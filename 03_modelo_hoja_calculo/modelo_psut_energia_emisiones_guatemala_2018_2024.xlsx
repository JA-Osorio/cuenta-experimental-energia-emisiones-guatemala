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EME" sheetId="1" state="visible" r:id="rId3"/>
    <sheet name="PSUT" sheetId="2" state="visible" r:id="rId4"/>
    <sheet name="EMISIONES" sheetId="3" state="visible" r:id="rId5"/>
    <sheet name="DATOS_MODELO" sheetId="4" state="visible" r:id="rId6"/>
    <sheet name="PARAMETROS" sheetId="5" state="visible" r:id="rId7"/>
    <sheet name="PSUT_LARGA" sheetId="6" state="visible" r:id="rId8"/>
    <sheet name="EMISIONES_LARGA" sheetId="7" state="visible" r:id="rId9"/>
    <sheet name="QA" sheetId="8" state="visible" r:id="rId10"/>
  </sheets>
  <definedNames>
    <definedName function="false" hidden="false" localSheetId="3" name="_xlnm.Print_Area" vbProcedure="false">DATOS_MODELO!$A$1:$AM$25</definedName>
    <definedName function="false" hidden="true" localSheetId="3" name="_xlnm._FilterDatabase" vbProcedure="false">DATOS_MODELO!$A$1:$AM$3447</definedName>
    <definedName function="false" hidden="false" localSheetId="2" name="_xlnm.Print_Area" vbProcedure="false">EMISIONES!$A$1:$J$24</definedName>
    <definedName function="false" hidden="false" localSheetId="6" name="_xlnm.Print_Area" vbProcedure="false">EMISIONES_LARGA!$A$1:$AH$25</definedName>
    <definedName function="false" hidden="true" localSheetId="6" name="_xlnm._FilterDatabase" vbProcedure="false">EMISIONES_LARGA!$A$1:$AH$375</definedName>
    <definedName function="false" hidden="false" localSheetId="0" name="_xlnm.Print_Area" vbProcedure="false">LEEME!$A$1:$C$23</definedName>
    <definedName function="false" hidden="false" localSheetId="4" name="_xlnm.Print_Area" vbProcedure="false">PARAMETROS!$A$1:$F$33</definedName>
    <definedName function="false" hidden="false" localSheetId="1" name="_xlnm.Print_Area" vbProcedure="false">PSUT!$A$1:$W$40</definedName>
    <definedName function="false" hidden="false" localSheetId="5" name="_xlnm.Print_Area" vbProcedure="false">PSUT_LARGA!$A$1:$M$25</definedName>
    <definedName function="false" hidden="true" localSheetId="5" name="_xlnm._FilterDatabase" vbProcedure="false">PSUT_LARGA!$A$1:$M$618</definedName>
    <definedName function="false" hidden="false" localSheetId="7" name="_xlnm.Print_Area" vbProcedure="false">QA!$A$1:$D$17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<sst xmlns="http://schemas.openxmlformats.org/spreadsheetml/2006/main" count="60465" uniqueCount="6189">
  <si>
    <t xml:space="preserve">CUENTA EXPERIMENTAL DE ENERGÍA Y EMISIONES AL AIRE DE GUATEMALA, 2018–2024</t>
  </si>
  <si>
    <t xml:space="preserve">Autoría</t>
  </si>
  <si>
    <t xml:space="preserve">Juan Alejandro Osorio</t>
  </si>
  <si>
    <t xml:space="preserve">Patricia Villatoro</t>
  </si>
  <si>
    <t xml:space="preserve">Noe Salguero</t>
  </si>
  <si>
    <t xml:space="preserve">José Carlos Soberanis</t>
  </si>
  <si>
    <t xml:space="preserve">Unidades</t>
  </si>
  <si>
    <t xml:space="preserve">Terajulios (TJ) y kilotoneladas (kt)</t>
  </si>
  <si>
    <t xml:space="preserve">Hoja</t>
  </si>
  <si>
    <t xml:space="preserve">Contenido</t>
  </si>
  <si>
    <t xml:space="preserve">Uso</t>
  </si>
  <si>
    <t xml:space="preserve">PSUT</t>
  </si>
  <si>
    <t xml:space="preserve">PSUT de energía</t>
  </si>
  <si>
    <t xml:space="preserve">Seleccione el año en la celda resaltada.</t>
  </si>
  <si>
    <t xml:space="preserve">EMISIONES</t>
  </si>
  <si>
    <t xml:space="preserve">Emisiones al aire</t>
  </si>
  <si>
    <t xml:space="preserve">El año sigue el selector de PSUT.</t>
  </si>
  <si>
    <t xml:space="preserve">DATOS_MODELO</t>
  </si>
  <si>
    <t xml:space="preserve">Entradas y reglas en una tabla única</t>
  </si>
  <si>
    <t xml:space="preserve">Reúne datos fuente y parámetros.</t>
  </si>
  <si>
    <t xml:space="preserve">PARAMETROS</t>
  </si>
  <si>
    <t xml:space="preserve">Conversiones, tolerancias y proxies</t>
  </si>
  <si>
    <t xml:space="preserve">Los valores derivados se muestran como fórmulas.</t>
  </si>
  <si>
    <t xml:space="preserve">PSUT_LARGA</t>
  </si>
  <si>
    <t xml:space="preserve">Flujos físicos en formato largo</t>
  </si>
  <si>
    <t xml:space="preserve">Cada valor se obtiene por clave de origen.</t>
  </si>
  <si>
    <t xml:space="preserve">EMISIONES_LARGA</t>
  </si>
  <si>
    <t xml:space="preserve">Cálculo por categoría, gas y año</t>
  </si>
  <si>
    <t xml:space="preserve">Actividad, factores y emisiones son fórmulas.</t>
  </si>
  <si>
    <t xml:space="preserve">QA</t>
  </si>
  <si>
    <t xml:space="preserve">Controles mínimos de integridad</t>
  </si>
  <si>
    <t xml:space="preserve">Resume únicamente las verificaciones decisivas.</t>
  </si>
  <si>
    <t xml:space="preserve">Criterio</t>
  </si>
  <si>
    <t xml:space="preserve">Aplicación</t>
  </si>
  <si>
    <t xml:space="preserve">Resultado</t>
  </si>
  <si>
    <t xml:space="preserve">Vacío</t>
  </si>
  <si>
    <t xml:space="preserve">No existe flujo o dato numérico</t>
  </si>
  <si>
    <t xml:space="preserve">No se interpreta como cero.</t>
  </si>
  <si>
    <t xml:space="preserve">Cero</t>
  </si>
  <si>
    <t xml:space="preserve">La fuente registra un valor numérico nulo</t>
  </si>
  <si>
    <t xml:space="preserve">Se conserva como 0.</t>
  </si>
  <si>
    <t xml:space="preserve">NO_ASIG</t>
  </si>
  <si>
    <t xml:space="preserve">Uso interno aparente sin actividad identificada</t>
  </si>
  <si>
    <t xml:space="preserve">NOEN se excluye de combustión; GAS 2019 usa un factor ponderado.</t>
  </si>
  <si>
    <t xml:space="preserve">STAT</t>
  </si>
  <si>
    <t xml:space="preserve">Oferta menos utilización por producto y año</t>
  </si>
  <si>
    <t xml:space="preserve">Distingue redondeo de residuo estadístico.</t>
  </si>
  <si>
    <t xml:space="preserve">Biogénico</t>
  </si>
  <si>
    <t xml:space="preserve">CO2 de biomasa</t>
  </si>
  <si>
    <t xml:space="preserve">Se informa por separado y no se suma al CO2e.</t>
  </si>
  <si>
    <t xml:space="preserve">Las afiliaciones, los identificadores ORCID y los demás créditos se presentan en creditos.txt.</t>
  </si>
  <si>
    <t xml:space="preserve">PSUT DE ENERGÍA</t>
  </si>
  <si>
    <t xml:space="preserve">Juan Alejandro Osorio · Patricia Villatoro · Noe Salguero · José Carlos Soberanis</t>
  </si>
  <si>
    <t xml:space="preserve">Año</t>
  </si>
  <si>
    <t xml:space="preserve">Unidad</t>
  </si>
  <si>
    <t xml:space="preserve">TJ</t>
  </si>
  <si>
    <t xml:space="preserve">Estado</t>
  </si>
  <si>
    <t xml:space="preserve">Las celdas vacías indican ausencia de flujo; el cero conserva un registro numérico nulo. NO_ASIG identifica un uso interno aparente cuya actividad usuaria no está identificada.</t>
  </si>
  <si>
    <t xml:space="preserve">ENERGÍA DE INSUMOS NATURALES</t>
  </si>
  <si>
    <t xml:space="preserve">SUMINISTRO</t>
  </si>
  <si>
    <t xml:space="preserve">UTILIZACIÓN</t>
  </si>
  <si>
    <t xml:space="preserve">Saldo</t>
  </si>
  <si>
    <t xml:space="preserve">Código</t>
  </si>
  <si>
    <t xml:space="preserve">Producto</t>
  </si>
  <si>
    <t xml:space="preserve">ENV</t>
  </si>
  <si>
    <t xml:space="preserve">A</t>
  </si>
  <si>
    <t xml:space="preserve">B</t>
  </si>
  <si>
    <t xml:space="preserve">ENER</t>
  </si>
  <si>
    <t xml:space="preserve">IND_BEN</t>
  </si>
  <si>
    <t xml:space="preserve">ROW</t>
  </si>
  <si>
    <t xml:space="preserve">Total</t>
  </si>
  <si>
    <t xml:space="preserve">TR_BEN</t>
  </si>
  <si>
    <t xml:space="preserve">SERV</t>
  </si>
  <si>
    <t xml:space="preserve">HH</t>
  </si>
  <si>
    <t xml:space="preserve">ACC</t>
  </si>
  <si>
    <t xml:space="preserve">Oferta − uso</t>
  </si>
  <si>
    <t xml:space="preserve">CRBN</t>
  </si>
  <si>
    <t xml:space="preserve">Carbón</t>
  </si>
  <si>
    <t xml:space="preserve">EOLICA</t>
  </si>
  <si>
    <t xml:space="preserve">Energía eólica</t>
  </si>
  <si>
    <t xml:space="preserve">GEOE</t>
  </si>
  <si>
    <t xml:space="preserve">Geoenergía / geotermia</t>
  </si>
  <si>
    <t xml:space="preserve">GN</t>
  </si>
  <si>
    <t xml:space="preserve">Gas natural</t>
  </si>
  <si>
    <t xml:space="preserve">HYDR</t>
  </si>
  <si>
    <t xml:space="preserve">Energía hídrica</t>
  </si>
  <si>
    <t xml:space="preserve">PETR</t>
  </si>
  <si>
    <t xml:space="preserve">Petróleo crudo</t>
  </si>
  <si>
    <t xml:space="preserve">SOLAR</t>
  </si>
  <si>
    <t xml:space="preserve">Energía solar</t>
  </si>
  <si>
    <t xml:space="preserve">PRODUCTOS ENERGÉTICOS</t>
  </si>
  <si>
    <t xml:space="preserve">BCANA</t>
  </si>
  <si>
    <t xml:space="preserve">Bagazo de caña</t>
  </si>
  <si>
    <t xml:space="preserve">BIOGAS</t>
  </si>
  <si>
    <t xml:space="preserve">Biogás</t>
  </si>
  <si>
    <t xml:space="preserve">COQUE</t>
  </si>
  <si>
    <t xml:space="preserve">Coque</t>
  </si>
  <si>
    <t xml:space="preserve">DOIL</t>
  </si>
  <si>
    <t xml:space="preserve">Diésel / gas oil</t>
  </si>
  <si>
    <t xml:space="preserve">ELEC</t>
  </si>
  <si>
    <t xml:space="preserve">Electricidad</t>
  </si>
  <si>
    <t xml:space="preserve">FOIL</t>
  </si>
  <si>
    <t xml:space="preserve">Fuel oil</t>
  </si>
  <si>
    <t xml:space="preserve">GAS</t>
  </si>
  <si>
    <t xml:space="preserve">Gasolinas</t>
  </si>
  <si>
    <t xml:space="preserve">GLP</t>
  </si>
  <si>
    <t xml:space="preserve">Gas licuado de petróleo (GLP)</t>
  </si>
  <si>
    <t xml:space="preserve">KER</t>
  </si>
  <si>
    <t xml:space="preserve">Keroseno</t>
  </si>
  <si>
    <t xml:space="preserve">LENA</t>
  </si>
  <si>
    <t xml:space="preserve">Leña</t>
  </si>
  <si>
    <t xml:space="preserve">NOEN</t>
  </si>
  <si>
    <t xml:space="preserve">Usos no energéticos</t>
  </si>
  <si>
    <t xml:space="preserve">RESIDUALES ENERGÉTICOS</t>
  </si>
  <si>
    <t xml:space="preserve">EMISIONES AL AIRE</t>
  </si>
  <si>
    <t xml:space="preserve">Los factores CRT son anuales para 2018–2022; 2023–2024 emplean el factor 2022. Agricultura es observada hasta 2022 y se proyecta con el índice de VAB en 2023–2024. Para el uso GAS 2019 sin sector identificado se aplica un factor ponderado por los usos observados. El CO2 biogénico se informa por separado.</t>
  </si>
  <si>
    <t xml:space="preserve">Indicador</t>
  </si>
  <si>
    <t xml:space="preserve">TOTAL</t>
  </si>
  <si>
    <t xml:space="preserve">Actividad (TJ)</t>
  </si>
  <si>
    <t xml:space="preserve">CO2 directo (kt)</t>
  </si>
  <si>
    <t xml:space="preserve">CO2 biogénico memo (kt)</t>
  </si>
  <si>
    <t xml:space="preserve">CH4 (kt)</t>
  </si>
  <si>
    <t xml:space="preserve">N2O (kt)</t>
  </si>
  <si>
    <t xml:space="preserve">CO2e (kt)</t>
  </si>
  <si>
    <t xml:space="preserve">SERIE COMPARABLE 2018–2024</t>
  </si>
  <si>
    <t xml:space="preserve">Energía (kt CO2e)</t>
  </si>
  <si>
    <t xml:space="preserve">Agricultura (kt CO2e)</t>
  </si>
  <si>
    <t xml:space="preserve">Total (kt CO2e)</t>
  </si>
  <si>
    <t xml:space="preserve">tipo_registro</t>
  </si>
  <si>
    <t xml:space="preserve">registro_id</t>
  </si>
  <si>
    <t xml:space="preserve">clave_union</t>
  </si>
  <si>
    <t xml:space="preserve">anio</t>
  </si>
  <si>
    <t xml:space="preserve">anio_fuente</t>
  </si>
  <si>
    <t xml:space="preserve">estado</t>
  </si>
  <si>
    <t xml:space="preserve">fuente_id</t>
  </si>
  <si>
    <t xml:space="preserve">titulo_fuente</t>
  </si>
  <si>
    <t xml:space="preserve">url_fuente</t>
  </si>
  <si>
    <t xml:space="preserve">source_record_id</t>
  </si>
  <si>
    <t xml:space="preserve">producto</t>
  </si>
  <si>
    <t xml:space="preserve">nombre_producto</t>
  </si>
  <si>
    <t xml:space="preserve">flow_group</t>
  </si>
  <si>
    <t xml:space="preserve">lado</t>
  </si>
  <si>
    <t xml:space="preserve">bloque</t>
  </si>
  <si>
    <t xml:space="preserve">unidad_sectorial</t>
  </si>
  <si>
    <t xml:space="preserve">metodo</t>
  </si>
  <si>
    <t xml:space="preserve">ajuste</t>
  </si>
  <si>
    <t xml:space="preserve">valor_original</t>
  </si>
  <si>
    <t xml:space="preserve">unidad_original</t>
  </si>
  <si>
    <t xml:space="preserve">valor_tj</t>
  </si>
  <si>
    <t xml:space="preserve">cero_imputado</t>
  </si>
  <si>
    <t xml:space="preserve">categoria_ipcc</t>
  </si>
  <si>
    <t xml:space="preserve">categoria_nombre</t>
  </si>
  <si>
    <t xml:space="preserve">grupo_factor</t>
  </si>
  <si>
    <t xml:space="preserve">gas</t>
  </si>
  <si>
    <t xml:space="preserve">valor_factor</t>
  </si>
  <si>
    <t xml:space="preserve">unidad_factor</t>
  </si>
  <si>
    <t xml:space="preserve">tratamiento_co2</t>
  </si>
  <si>
    <t xml:space="preserve">emision_kt_gas</t>
  </si>
  <si>
    <t xml:space="preserve">valor_vab</t>
  </si>
  <si>
    <t xml:space="preserve">unidad_vab</t>
  </si>
  <si>
    <t xml:space="preserve">parametro</t>
  </si>
  <si>
    <t xml:space="preserve">valor_parametro</t>
  </si>
  <si>
    <t xml:space="preserve">unidad_parametro</t>
  </si>
  <si>
    <t xml:space="preserve">incluir</t>
  </si>
  <si>
    <t xml:space="preserve">clave_notacion</t>
  </si>
  <si>
    <t xml:space="preserve">fuente_pagina</t>
  </si>
  <si>
    <t xml:space="preserve">nota</t>
  </si>
  <si>
    <t xml:space="preserve">BALANCE</t>
  </si>
  <si>
    <t xml:space="preserve">BEV2_00001</t>
  </si>
  <si>
    <t xml:space="preserve">OBS</t>
  </si>
  <si>
    <t xml:space="preserve">MEM_BEN</t>
  </si>
  <si>
    <t xml:space="preserve">Balance energético nacional</t>
  </si>
  <si>
    <t xml:space="preserve">https://mem.gob.gt/que-hacemos/area-energetica/publicaciones/estadisticas/balance-energetico/</t>
  </si>
  <si>
    <t xml:space="preserve">kBEP</t>
  </si>
  <si>
    <t xml:space="preserve">No aplica — fuente tabular</t>
  </si>
  <si>
    <t xml:space="preserve">Etiqueta y código normalizados con el catálogo estándar disponible.</t>
  </si>
  <si>
    <t xml:space="preserve">BEV2_00002</t>
  </si>
  <si>
    <t xml:space="preserve">BEV2_00003</t>
  </si>
  <si>
    <t xml:space="preserve">BEV2_00004</t>
  </si>
  <si>
    <t xml:space="preserve">BEV2_00005</t>
  </si>
  <si>
    <t xml:space="preserve">BEV2_00006</t>
  </si>
  <si>
    <t xml:space="preserve">BEV2_00007</t>
  </si>
  <si>
    <t xml:space="preserve">BEV2_00008</t>
  </si>
  <si>
    <t xml:space="preserve">BEV2_00009</t>
  </si>
  <si>
    <t xml:space="preserve">BEV2_00010</t>
  </si>
  <si>
    <t xml:space="preserve">BEV2_00011</t>
  </si>
  <si>
    <t xml:space="preserve">BEV2_00012</t>
  </si>
  <si>
    <t xml:space="preserve">BEV2_00013</t>
  </si>
  <si>
    <t xml:space="preserve">BEV2_00014</t>
  </si>
  <si>
    <t xml:space="preserve">BEV2_00015</t>
  </si>
  <si>
    <t xml:space="preserve">Tratamiento PSUT/SEEA definido con el catálogo y los mapeos vigentes.</t>
  </si>
  <si>
    <t xml:space="preserve">BEV2_00016</t>
  </si>
  <si>
    <t xml:space="preserve">BEV2_00017</t>
  </si>
  <si>
    <t xml:space="preserve">BEV2_00018</t>
  </si>
  <si>
    <t xml:space="preserve">BEV2_00019</t>
  </si>
  <si>
    <t xml:space="preserve">BEV2_00020</t>
  </si>
  <si>
    <t xml:space="preserve">BEV2_00021</t>
  </si>
  <si>
    <t xml:space="preserve">BEV2_00022</t>
  </si>
  <si>
    <t xml:space="preserve">BEV2_00023</t>
  </si>
  <si>
    <t xml:space="preserve">BEV2_00024</t>
  </si>
  <si>
    <t xml:space="preserve">BEV2_00025</t>
  </si>
  <si>
    <t xml:space="preserve">BEV2_00026</t>
  </si>
  <si>
    <t xml:space="preserve">BEV2_00027</t>
  </si>
  <si>
    <t xml:space="preserve">BEV2_00028</t>
  </si>
  <si>
    <t xml:space="preserve">BEV2_00029</t>
  </si>
  <si>
    <t xml:space="preserve">Tratamiento definido en el catálogo estándar; sin observación adicional.</t>
  </si>
  <si>
    <t xml:space="preserve">BEV2_00030</t>
  </si>
  <si>
    <t xml:space="preserve">BEV2_00031</t>
  </si>
  <si>
    <t xml:space="preserve">BEV2_00032</t>
  </si>
  <si>
    <t xml:space="preserve">BEV2_00033</t>
  </si>
  <si>
    <t xml:space="preserve">BEV2_00034</t>
  </si>
  <si>
    <t xml:space="preserve">BEV2_00035</t>
  </si>
  <si>
    <t xml:space="preserve">BEV2_00036</t>
  </si>
  <si>
    <t xml:space="preserve">BEV2_00037</t>
  </si>
  <si>
    <t xml:space="preserve">BEV2_00038</t>
  </si>
  <si>
    <t xml:space="preserve">BEV2_00039</t>
  </si>
  <si>
    <t xml:space="preserve">BEV2_00040</t>
  </si>
  <si>
    <t xml:space="preserve">BEV2_00041</t>
  </si>
  <si>
    <t xml:space="preserve">BEV2_00042</t>
  </si>
  <si>
    <t xml:space="preserve">BEV2_00043</t>
  </si>
  <si>
    <t xml:space="preserve">BEV2_00044</t>
  </si>
  <si>
    <t xml:space="preserve">BEV2_00045</t>
  </si>
  <si>
    <t xml:space="preserve">BEV2_00046</t>
  </si>
  <si>
    <t xml:space="preserve">BEV2_00047</t>
  </si>
  <si>
    <t xml:space="preserve">BEV2_00048</t>
  </si>
  <si>
    <t xml:space="preserve">BEV2_00049</t>
  </si>
  <si>
    <t xml:space="preserve">BEV2_00050</t>
  </si>
  <si>
    <t xml:space="preserve">BEV2_00051</t>
  </si>
  <si>
    <t xml:space="preserve">BEV2_00052</t>
  </si>
  <si>
    <t xml:space="preserve">BEV2_00053</t>
  </si>
  <si>
    <t xml:space="preserve">BEV2_00054</t>
  </si>
  <si>
    <t xml:space="preserve">BEV2_00055</t>
  </si>
  <si>
    <t xml:space="preserve">BEV2_00056</t>
  </si>
  <si>
    <t xml:space="preserve">BEV2_00057</t>
  </si>
  <si>
    <t xml:space="preserve">BEV2_00058</t>
  </si>
  <si>
    <t xml:space="preserve">BEV2_00059</t>
  </si>
  <si>
    <t xml:space="preserve">BEV2_00060</t>
  </si>
  <si>
    <t xml:space="preserve">BEV2_00061</t>
  </si>
  <si>
    <t xml:space="preserve">BEV2_00062</t>
  </si>
  <si>
    <t xml:space="preserve">BEV2_00063</t>
  </si>
  <si>
    <t xml:space="preserve">BEV2_00064</t>
  </si>
  <si>
    <t xml:space="preserve">BEV2_00065</t>
  </si>
  <si>
    <t xml:space="preserve">BEV2_00066</t>
  </si>
  <si>
    <t xml:space="preserve">BEV2_00067</t>
  </si>
  <si>
    <t xml:space="preserve">BEV2_00068</t>
  </si>
  <si>
    <t xml:space="preserve">BEV2_00069</t>
  </si>
  <si>
    <t xml:space="preserve">BEV2_00070</t>
  </si>
  <si>
    <t xml:space="preserve">BEV2_00071</t>
  </si>
  <si>
    <t xml:space="preserve">BEV2_00072</t>
  </si>
  <si>
    <t xml:space="preserve">BEV2_00073</t>
  </si>
  <si>
    <t xml:space="preserve">BEV2_00074</t>
  </si>
  <si>
    <t xml:space="preserve">BEV2_00075</t>
  </si>
  <si>
    <t xml:space="preserve">BEV2_00076</t>
  </si>
  <si>
    <t xml:space="preserve">BEV2_00077</t>
  </si>
  <si>
    <t xml:space="preserve">BEV2_00078</t>
  </si>
  <si>
    <t xml:space="preserve">BEV2_00079</t>
  </si>
  <si>
    <t xml:space="preserve">BEV2_00080</t>
  </si>
  <si>
    <t xml:space="preserve">BEV2_00081</t>
  </si>
  <si>
    <t xml:space="preserve">BEV2_00082</t>
  </si>
  <si>
    <t xml:space="preserve">BEV2_00083</t>
  </si>
  <si>
    <t xml:space="preserve">BEV2_00084</t>
  </si>
  <si>
    <t xml:space="preserve">BEV2_00085</t>
  </si>
  <si>
    <t xml:space="preserve">BEV2_00086</t>
  </si>
  <si>
    <t xml:space="preserve">BEV2_00087</t>
  </si>
  <si>
    <t xml:space="preserve">BEV2_00088</t>
  </si>
  <si>
    <t xml:space="preserve">BEV2_00089</t>
  </si>
  <si>
    <t xml:space="preserve">BEV2_00090</t>
  </si>
  <si>
    <t xml:space="preserve">BEV2_00091</t>
  </si>
  <si>
    <t xml:space="preserve">BEV2_00092</t>
  </si>
  <si>
    <t xml:space="preserve">BEV2_00093</t>
  </si>
  <si>
    <t xml:space="preserve">BEV2_00094</t>
  </si>
  <si>
    <t xml:space="preserve">BEV2_00095</t>
  </si>
  <si>
    <t xml:space="preserve">BEV2_00096</t>
  </si>
  <si>
    <t xml:space="preserve">BEV2_00097</t>
  </si>
  <si>
    <t xml:space="preserve">BEV2_00098</t>
  </si>
  <si>
    <t xml:space="preserve">BEV2_00099</t>
  </si>
  <si>
    <t xml:space="preserve">BEV2_00100</t>
  </si>
  <si>
    <t xml:space="preserve">BEV2_00101</t>
  </si>
  <si>
    <t xml:space="preserve">BEV2_00102</t>
  </si>
  <si>
    <t xml:space="preserve">BEV2_00103</t>
  </si>
  <si>
    <t xml:space="preserve">BEV2_00104</t>
  </si>
  <si>
    <t xml:space="preserve">BEV2_00105</t>
  </si>
  <si>
    <t xml:space="preserve">BEV2_00106</t>
  </si>
  <si>
    <t xml:space="preserve">BEV2_00107</t>
  </si>
  <si>
    <t xml:space="preserve">BEV2_00108</t>
  </si>
  <si>
    <t xml:space="preserve">BEV2_00109</t>
  </si>
  <si>
    <t xml:space="preserve">BEV2_00110</t>
  </si>
  <si>
    <t xml:space="preserve">BEV2_00111</t>
  </si>
  <si>
    <t xml:space="preserve">BEV2_00112</t>
  </si>
  <si>
    <t xml:space="preserve">BEV2_00113</t>
  </si>
  <si>
    <t xml:space="preserve">BEV2_00114</t>
  </si>
  <si>
    <t xml:space="preserve">BEV2_00115</t>
  </si>
  <si>
    <t xml:space="preserve">BEV2_00116</t>
  </si>
  <si>
    <t xml:space="preserve">BEV2_00117</t>
  </si>
  <si>
    <t xml:space="preserve">BEV2_00118</t>
  </si>
  <si>
    <t xml:space="preserve">BEV2_00119</t>
  </si>
  <si>
    <t xml:space="preserve">BEV2_00120</t>
  </si>
  <si>
    <t xml:space="preserve">BEV2_00121</t>
  </si>
  <si>
    <t xml:space="preserve">BEV2_00122</t>
  </si>
  <si>
    <t xml:space="preserve">BEV2_00123</t>
  </si>
  <si>
    <t xml:space="preserve">BEV2_00124</t>
  </si>
  <si>
    <t xml:space="preserve">BEV2_00125</t>
  </si>
  <si>
    <t xml:space="preserve">BEV2_00126</t>
  </si>
  <si>
    <t xml:space="preserve">BEV2_00127</t>
  </si>
  <si>
    <t xml:space="preserve">BEV2_00128</t>
  </si>
  <si>
    <t xml:space="preserve">BEV2_00129</t>
  </si>
  <si>
    <t xml:space="preserve">BEV2_00130</t>
  </si>
  <si>
    <t xml:space="preserve">BEV2_00131</t>
  </si>
  <si>
    <t xml:space="preserve">BEV2_00132</t>
  </si>
  <si>
    <t xml:space="preserve">BEV2_00133</t>
  </si>
  <si>
    <t xml:space="preserve">BEV2_00134</t>
  </si>
  <si>
    <t xml:space="preserve">BEV2_00135</t>
  </si>
  <si>
    <t xml:space="preserve">BEV2_00136</t>
  </si>
  <si>
    <t xml:space="preserve">BEV2_00137</t>
  </si>
  <si>
    <t xml:space="preserve">BEV2_00138</t>
  </si>
  <si>
    <t xml:space="preserve">BEV2_00139</t>
  </si>
  <si>
    <t xml:space="preserve">BEV2_00140</t>
  </si>
  <si>
    <t xml:space="preserve">BEV2_00141</t>
  </si>
  <si>
    <t xml:space="preserve">BEV2_00142</t>
  </si>
  <si>
    <t xml:space="preserve">BEV2_00143</t>
  </si>
  <si>
    <t xml:space="preserve">BEV2_00144</t>
  </si>
  <si>
    <t xml:space="preserve">BEV2_00145</t>
  </si>
  <si>
    <t xml:space="preserve">BEV2_00146</t>
  </si>
  <si>
    <t xml:space="preserve">BEV2_00147</t>
  </si>
  <si>
    <t xml:space="preserve">BEV2_00148</t>
  </si>
  <si>
    <t xml:space="preserve">BEV2_00149</t>
  </si>
  <si>
    <t xml:space="preserve">BEV2_00150</t>
  </si>
  <si>
    <t xml:space="preserve">BEV2_00151</t>
  </si>
  <si>
    <t xml:space="preserve">BEV2_00152</t>
  </si>
  <si>
    <t xml:space="preserve">BEV2_00153</t>
  </si>
  <si>
    <t xml:space="preserve">BEV2_00154</t>
  </si>
  <si>
    <t xml:space="preserve">BEV2_00155</t>
  </si>
  <si>
    <t xml:space="preserve">BEV2_00156</t>
  </si>
  <si>
    <t xml:space="preserve">BEV2_00157</t>
  </si>
  <si>
    <t xml:space="preserve">BEV2_00158</t>
  </si>
  <si>
    <t xml:space="preserve">BEV2_00159</t>
  </si>
  <si>
    <t xml:space="preserve">BEV2_00160</t>
  </si>
  <si>
    <t xml:space="preserve">BEV2_00161</t>
  </si>
  <si>
    <t xml:space="preserve">BEV2_00162</t>
  </si>
  <si>
    <t xml:space="preserve">BEV2_00163</t>
  </si>
  <si>
    <t xml:space="preserve">BEV2_00164</t>
  </si>
  <si>
    <t xml:space="preserve">BEV2_00165</t>
  </si>
  <si>
    <t xml:space="preserve">BEV2_00166</t>
  </si>
  <si>
    <t xml:space="preserve">BEV2_00167</t>
  </si>
  <si>
    <t xml:space="preserve">BEV2_00168</t>
  </si>
  <si>
    <t xml:space="preserve">BEV2_00169</t>
  </si>
  <si>
    <t xml:space="preserve">BEV2_00170</t>
  </si>
  <si>
    <t xml:space="preserve">BEV2_00171</t>
  </si>
  <si>
    <t xml:space="preserve">BEV2_00172</t>
  </si>
  <si>
    <t xml:space="preserve">BEV2_00173</t>
  </si>
  <si>
    <t xml:space="preserve">BEV2_00174</t>
  </si>
  <si>
    <t xml:space="preserve">BEV2_00175</t>
  </si>
  <si>
    <t xml:space="preserve">BEV2_00176</t>
  </si>
  <si>
    <t xml:space="preserve">BEV2_00177</t>
  </si>
  <si>
    <t xml:space="preserve">BEV2_00178</t>
  </si>
  <si>
    <t xml:space="preserve">BEV2_00179</t>
  </si>
  <si>
    <t xml:space="preserve">BEV2_00180</t>
  </si>
  <si>
    <t xml:space="preserve">BEV2_00181</t>
  </si>
  <si>
    <t xml:space="preserve">BEV2_00182</t>
  </si>
  <si>
    <t xml:space="preserve">BEV2_00183</t>
  </si>
  <si>
    <t xml:space="preserve">BEV2_00184</t>
  </si>
  <si>
    <t xml:space="preserve">BEV2_00185</t>
  </si>
  <si>
    <t xml:space="preserve">BEV2_00186</t>
  </si>
  <si>
    <t xml:space="preserve">BEV2_00187</t>
  </si>
  <si>
    <t xml:space="preserve">BEV2_00188</t>
  </si>
  <si>
    <t xml:space="preserve">BEV2_00189</t>
  </si>
  <si>
    <t xml:space="preserve">BEV2_00190</t>
  </si>
  <si>
    <t xml:space="preserve">BEV2_00191</t>
  </si>
  <si>
    <t xml:space="preserve">BEV2_00192</t>
  </si>
  <si>
    <t xml:space="preserve">BEV2_00193</t>
  </si>
  <si>
    <t xml:space="preserve">BEV2_00194</t>
  </si>
  <si>
    <t xml:space="preserve">BEV2_00195</t>
  </si>
  <si>
    <t xml:space="preserve">BEV2_00196</t>
  </si>
  <si>
    <t xml:space="preserve">BEV2_00197</t>
  </si>
  <si>
    <t xml:space="preserve">BEV2_00198</t>
  </si>
  <si>
    <t xml:space="preserve">BEV2_00199</t>
  </si>
  <si>
    <t xml:space="preserve">BEV2_00200</t>
  </si>
  <si>
    <t xml:space="preserve">BEV2_00201</t>
  </si>
  <si>
    <t xml:space="preserve">BEV2_00202</t>
  </si>
  <si>
    <t xml:space="preserve">BEV2_00203</t>
  </si>
  <si>
    <t xml:space="preserve">BEV2_00204</t>
  </si>
  <si>
    <t xml:space="preserve">BEV2_00205</t>
  </si>
  <si>
    <t xml:space="preserve">BEV2_00206</t>
  </si>
  <si>
    <t xml:space="preserve">BEV2_00207</t>
  </si>
  <si>
    <t xml:space="preserve">BEV2_00208</t>
  </si>
  <si>
    <t xml:space="preserve">BEV2_00209</t>
  </si>
  <si>
    <t xml:space="preserve">BEV2_00210</t>
  </si>
  <si>
    <t xml:space="preserve">BEV2_00211</t>
  </si>
  <si>
    <t xml:space="preserve">BEV2_00212</t>
  </si>
  <si>
    <t xml:space="preserve">BEV2_00213</t>
  </si>
  <si>
    <t xml:space="preserve">BEV2_00214</t>
  </si>
  <si>
    <t xml:space="preserve">BEV2_00215</t>
  </si>
  <si>
    <t xml:space="preserve">BEV2_00216</t>
  </si>
  <si>
    <t xml:space="preserve">BEV2_00217</t>
  </si>
  <si>
    <t xml:space="preserve">BEV2_00218</t>
  </si>
  <si>
    <t xml:space="preserve">BEV2_00219</t>
  </si>
  <si>
    <t xml:space="preserve">BEV2_00220</t>
  </si>
  <si>
    <t xml:space="preserve">BEV2_00221</t>
  </si>
  <si>
    <t xml:space="preserve">BEV2_00222</t>
  </si>
  <si>
    <t xml:space="preserve">BEV2_00223</t>
  </si>
  <si>
    <t xml:space="preserve">BEV2_00224</t>
  </si>
  <si>
    <t xml:space="preserve">BEV2_00225</t>
  </si>
  <si>
    <t xml:space="preserve">BEV2_00226</t>
  </si>
  <si>
    <t xml:space="preserve">BEV2_00227</t>
  </si>
  <si>
    <t xml:space="preserve">BEV2_00228</t>
  </si>
  <si>
    <t xml:space="preserve">BEV2_00229</t>
  </si>
  <si>
    <t xml:space="preserve">BEV2_00230</t>
  </si>
  <si>
    <t xml:space="preserve">BEV2_00231</t>
  </si>
  <si>
    <t xml:space="preserve">BEV2_00232</t>
  </si>
  <si>
    <t xml:space="preserve">BEV2_00233</t>
  </si>
  <si>
    <t xml:space="preserve">BEV2_00234</t>
  </si>
  <si>
    <t xml:space="preserve">BEV2_00235</t>
  </si>
  <si>
    <t xml:space="preserve">BEV2_00236</t>
  </si>
  <si>
    <t xml:space="preserve">BEV2_00237</t>
  </si>
  <si>
    <t xml:space="preserve">BEV2_00238</t>
  </si>
  <si>
    <t xml:space="preserve">BEV2_00239</t>
  </si>
  <si>
    <t xml:space="preserve">BEV2_00240</t>
  </si>
  <si>
    <t xml:space="preserve">BEV2_00241</t>
  </si>
  <si>
    <t xml:space="preserve">BEV2_00242</t>
  </si>
  <si>
    <t xml:space="preserve">BEV2_00243</t>
  </si>
  <si>
    <t xml:space="preserve">BEV2_00244</t>
  </si>
  <si>
    <t xml:space="preserve">BEV2_00245</t>
  </si>
  <si>
    <t xml:space="preserve">BEV2_00246</t>
  </si>
  <si>
    <t xml:space="preserve">BEV2_00247</t>
  </si>
  <si>
    <t xml:space="preserve">BEV2_00248</t>
  </si>
  <si>
    <t xml:space="preserve">BEV2_00249</t>
  </si>
  <si>
    <t xml:space="preserve">BEV2_00250</t>
  </si>
  <si>
    <t xml:space="preserve">BEV2_00251</t>
  </si>
  <si>
    <t xml:space="preserve">BEV2_00252</t>
  </si>
  <si>
    <t xml:space="preserve">BEV2_00253</t>
  </si>
  <si>
    <t xml:space="preserve">BEV2_00254</t>
  </si>
  <si>
    <t xml:space="preserve">BEV2_00255</t>
  </si>
  <si>
    <t xml:space="preserve">BEV2_00256</t>
  </si>
  <si>
    <t xml:space="preserve">BEV2_00257</t>
  </si>
  <si>
    <t xml:space="preserve">BEV2_00258</t>
  </si>
  <si>
    <t xml:space="preserve">BEV2_00259</t>
  </si>
  <si>
    <t xml:space="preserve">BEV2_00260</t>
  </si>
  <si>
    <t xml:space="preserve">BEV2_00261</t>
  </si>
  <si>
    <t xml:space="preserve">BEV2_00262</t>
  </si>
  <si>
    <t xml:space="preserve">BEV2_00263</t>
  </si>
  <si>
    <t xml:space="preserve">BEV2_00264</t>
  </si>
  <si>
    <t xml:space="preserve">BEV2_00265</t>
  </si>
  <si>
    <t xml:space="preserve">BEV2_00266</t>
  </si>
  <si>
    <t xml:space="preserve">BEV2_00267</t>
  </si>
  <si>
    <t xml:space="preserve">BEV2_00268</t>
  </si>
  <si>
    <t xml:space="preserve">BEV2_00269</t>
  </si>
  <si>
    <t xml:space="preserve">BEV2_00270</t>
  </si>
  <si>
    <t xml:space="preserve">BEV2_00271</t>
  </si>
  <si>
    <t xml:space="preserve">BEV2_00272</t>
  </si>
  <si>
    <t xml:space="preserve">BEV2_00273</t>
  </si>
  <si>
    <t xml:space="preserve">BEV2_00274</t>
  </si>
  <si>
    <t xml:space="preserve">BEV2_00275</t>
  </si>
  <si>
    <t xml:space="preserve">BEV2_00276</t>
  </si>
  <si>
    <t xml:space="preserve">BEV2_00277</t>
  </si>
  <si>
    <t xml:space="preserve">BEV2_00278</t>
  </si>
  <si>
    <t xml:space="preserve">BEV2_00279</t>
  </si>
  <si>
    <t xml:space="preserve">BEV2_00280</t>
  </si>
  <si>
    <t xml:space="preserve">BEV2_00281</t>
  </si>
  <si>
    <t xml:space="preserve">BEV2_00282</t>
  </si>
  <si>
    <t xml:space="preserve">BEV2_00283</t>
  </si>
  <si>
    <t xml:space="preserve">BEV2_00284</t>
  </si>
  <si>
    <t xml:space="preserve">BEV2_00285</t>
  </si>
  <si>
    <t xml:space="preserve">BEV2_00286</t>
  </si>
  <si>
    <t xml:space="preserve">BEV2_00287</t>
  </si>
  <si>
    <t xml:space="preserve">BEV2_00288</t>
  </si>
  <si>
    <t xml:space="preserve">BEV2_00289</t>
  </si>
  <si>
    <t xml:space="preserve">BEV2_00290</t>
  </si>
  <si>
    <t xml:space="preserve">BEV2_00291</t>
  </si>
  <si>
    <t xml:space="preserve">BEV2_00292</t>
  </si>
  <si>
    <t xml:space="preserve">BEV2_00293</t>
  </si>
  <si>
    <t xml:space="preserve">BEV2_00294</t>
  </si>
  <si>
    <t xml:space="preserve">BEV2_00295</t>
  </si>
  <si>
    <t xml:space="preserve">BEV2_00296</t>
  </si>
  <si>
    <t xml:space="preserve">BEV2_00297</t>
  </si>
  <si>
    <t xml:space="preserve">BEV2_00298</t>
  </si>
  <si>
    <t xml:space="preserve">BEV2_00299</t>
  </si>
  <si>
    <t xml:space="preserve">BEV2_00300</t>
  </si>
  <si>
    <t xml:space="preserve">BEV2_00301</t>
  </si>
  <si>
    <t xml:space="preserve">BEV2_00302</t>
  </si>
  <si>
    <t xml:space="preserve">BEV2_00303</t>
  </si>
  <si>
    <t xml:space="preserve">BEV2_00304</t>
  </si>
  <si>
    <t xml:space="preserve">BEV2_00305</t>
  </si>
  <si>
    <t xml:space="preserve">BEV2_00306</t>
  </si>
  <si>
    <t xml:space="preserve">BEV2_00307</t>
  </si>
  <si>
    <t xml:space="preserve">BEV2_00308</t>
  </si>
  <si>
    <t xml:space="preserve">BEV2_00309</t>
  </si>
  <si>
    <t xml:space="preserve">BEV2_00310</t>
  </si>
  <si>
    <t xml:space="preserve">BEV2_00311</t>
  </si>
  <si>
    <t xml:space="preserve">BEV2_00312</t>
  </si>
  <si>
    <t xml:space="preserve">BEV2_00313</t>
  </si>
  <si>
    <t xml:space="preserve">BEV2_00314</t>
  </si>
  <si>
    <t xml:space="preserve">BEV2_00315</t>
  </si>
  <si>
    <t xml:space="preserve">BEV2_00316</t>
  </si>
  <si>
    <t xml:space="preserve">BEV2_00317</t>
  </si>
  <si>
    <t xml:space="preserve">BEV2_00318</t>
  </si>
  <si>
    <t xml:space="preserve">BEV2_00319</t>
  </si>
  <si>
    <t xml:space="preserve">BEV2_00320</t>
  </si>
  <si>
    <t xml:space="preserve">BEV2_00321</t>
  </si>
  <si>
    <t xml:space="preserve">BEV2_00322</t>
  </si>
  <si>
    <t xml:space="preserve">BEV2_00323</t>
  </si>
  <si>
    <t xml:space="preserve">BEV2_00324</t>
  </si>
  <si>
    <t xml:space="preserve">BEV2_00325</t>
  </si>
  <si>
    <t xml:space="preserve">BEV2_00326</t>
  </si>
  <si>
    <t xml:space="preserve">BEV2_00327</t>
  </si>
  <si>
    <t xml:space="preserve">BEV2_00328</t>
  </si>
  <si>
    <t xml:space="preserve">BEV2_00329</t>
  </si>
  <si>
    <t xml:space="preserve">BEV2_00330</t>
  </si>
  <si>
    <t xml:space="preserve">BEV2_00331</t>
  </si>
  <si>
    <t xml:space="preserve">BEV2_00332</t>
  </si>
  <si>
    <t xml:space="preserve">BEV2_00333</t>
  </si>
  <si>
    <t xml:space="preserve">BEV2_00334</t>
  </si>
  <si>
    <t xml:space="preserve">BEV2_00335</t>
  </si>
  <si>
    <t xml:space="preserve">BEV2_00336</t>
  </si>
  <si>
    <t xml:space="preserve">BEV2_00337</t>
  </si>
  <si>
    <t xml:space="preserve">BEV2_00338</t>
  </si>
  <si>
    <t xml:space="preserve">BEV2_00339</t>
  </si>
  <si>
    <t xml:space="preserve">BEV2_00340</t>
  </si>
  <si>
    <t xml:space="preserve">BEV2_00341</t>
  </si>
  <si>
    <t xml:space="preserve">BEV2_00342</t>
  </si>
  <si>
    <t xml:space="preserve">BEV2_00343</t>
  </si>
  <si>
    <t xml:space="preserve">BEV2_00344</t>
  </si>
  <si>
    <t xml:space="preserve">BEV2_00345</t>
  </si>
  <si>
    <t xml:space="preserve">BEV2_00346</t>
  </si>
  <si>
    <t xml:space="preserve">BEV2_00347</t>
  </si>
  <si>
    <t xml:space="preserve">BEV2_00348</t>
  </si>
  <si>
    <t xml:space="preserve">BEV2_00349</t>
  </si>
  <si>
    <t xml:space="preserve">BEV2_00350</t>
  </si>
  <si>
    <t xml:space="preserve">BEV2_00351</t>
  </si>
  <si>
    <t xml:space="preserve">BEV2_00352</t>
  </si>
  <si>
    <t xml:space="preserve">BEV2_00353</t>
  </si>
  <si>
    <t xml:space="preserve">BEV2_00354</t>
  </si>
  <si>
    <t xml:space="preserve">BEV2_00355</t>
  </si>
  <si>
    <t xml:space="preserve">BEV2_00356</t>
  </si>
  <si>
    <t xml:space="preserve">BEV2_00357</t>
  </si>
  <si>
    <t xml:space="preserve">BEV2_00358</t>
  </si>
  <si>
    <t xml:space="preserve">BEV2_00359</t>
  </si>
  <si>
    <t xml:space="preserve">BEV2_00360</t>
  </si>
  <si>
    <t xml:space="preserve">BEV2_00361</t>
  </si>
  <si>
    <t xml:space="preserve">BEV2_00362</t>
  </si>
  <si>
    <t xml:space="preserve">BEV2_00363</t>
  </si>
  <si>
    <t xml:space="preserve">BEV2_00364</t>
  </si>
  <si>
    <t xml:space="preserve">BEV2_00365</t>
  </si>
  <si>
    <t xml:space="preserve">BEV2_00366</t>
  </si>
  <si>
    <t xml:space="preserve">BEV2_00367</t>
  </si>
  <si>
    <t xml:space="preserve">BEV2_00368</t>
  </si>
  <si>
    <t xml:space="preserve">BEV2_00369</t>
  </si>
  <si>
    <t xml:space="preserve">BEV2_00370</t>
  </si>
  <si>
    <t xml:space="preserve">BEV2_00371</t>
  </si>
  <si>
    <t xml:space="preserve">BEV2_00372</t>
  </si>
  <si>
    <t xml:space="preserve">BEV2_00373</t>
  </si>
  <si>
    <t xml:space="preserve">BEV2_00374</t>
  </si>
  <si>
    <t xml:space="preserve">BEV2_00375</t>
  </si>
  <si>
    <t xml:space="preserve">BEV2_00376</t>
  </si>
  <si>
    <t xml:space="preserve">BEV2_00377</t>
  </si>
  <si>
    <t xml:space="preserve">BEV2_00378</t>
  </si>
  <si>
    <t xml:space="preserve">BEV2_00379</t>
  </si>
  <si>
    <t xml:space="preserve">BEV2_00380</t>
  </si>
  <si>
    <t xml:space="preserve">BEV2_00381</t>
  </si>
  <si>
    <t xml:space="preserve">BEV2_00382</t>
  </si>
  <si>
    <t xml:space="preserve">BEV2_00383</t>
  </si>
  <si>
    <t xml:space="preserve">BEV2_00384</t>
  </si>
  <si>
    <t xml:space="preserve">BEV2_00385</t>
  </si>
  <si>
    <t xml:space="preserve">BEV2_00386</t>
  </si>
  <si>
    <t xml:space="preserve">BEV2_00387</t>
  </si>
  <si>
    <t xml:space="preserve">BEV2_00388</t>
  </si>
  <si>
    <t xml:space="preserve">BEV2_00389</t>
  </si>
  <si>
    <t xml:space="preserve">BEV2_00390</t>
  </si>
  <si>
    <t xml:space="preserve">BEV2_00391</t>
  </si>
  <si>
    <t xml:space="preserve">BEV2_00392</t>
  </si>
  <si>
    <t xml:space="preserve">BEV2_00393</t>
  </si>
  <si>
    <t xml:space="preserve">BEV2_00394</t>
  </si>
  <si>
    <t xml:space="preserve">BEV2_00395</t>
  </si>
  <si>
    <t xml:space="preserve">BEV2_00396</t>
  </si>
  <si>
    <t xml:space="preserve">BEV2_00397</t>
  </si>
  <si>
    <t xml:space="preserve">BEV2_00398</t>
  </si>
  <si>
    <t xml:space="preserve">BEV2_00399</t>
  </si>
  <si>
    <t xml:space="preserve">BEV2_00400</t>
  </si>
  <si>
    <t xml:space="preserve">BEV2_00401</t>
  </si>
  <si>
    <t xml:space="preserve">BEV2_00402</t>
  </si>
  <si>
    <t xml:space="preserve">BEV2_00403</t>
  </si>
  <si>
    <t xml:space="preserve">BEV2_00404</t>
  </si>
  <si>
    <t xml:space="preserve">BEV2_00405</t>
  </si>
  <si>
    <t xml:space="preserve">BEV2_00406</t>
  </si>
  <si>
    <t xml:space="preserve">BEV2_00407</t>
  </si>
  <si>
    <t xml:space="preserve">BEV2_00408</t>
  </si>
  <si>
    <t xml:space="preserve">BEV2_00409</t>
  </si>
  <si>
    <t xml:space="preserve">BEV2_00410</t>
  </si>
  <si>
    <t xml:space="preserve">BEV2_00411</t>
  </si>
  <si>
    <t xml:space="preserve">BEV2_00412</t>
  </si>
  <si>
    <t xml:space="preserve">BEV2_00413</t>
  </si>
  <si>
    <t xml:space="preserve">BEV2_00414</t>
  </si>
  <si>
    <t xml:space="preserve">BEV2_00415</t>
  </si>
  <si>
    <t xml:space="preserve">BEV2_00416</t>
  </si>
  <si>
    <t xml:space="preserve">BEV2_00417</t>
  </si>
  <si>
    <t xml:space="preserve">BEV2_00418</t>
  </si>
  <si>
    <t xml:space="preserve">BEV2_00419</t>
  </si>
  <si>
    <t xml:space="preserve">BEV2_00420</t>
  </si>
  <si>
    <t xml:space="preserve">BEV2_00421</t>
  </si>
  <si>
    <t xml:space="preserve">BEV2_00422</t>
  </si>
  <si>
    <t xml:space="preserve">BEV2_00423</t>
  </si>
  <si>
    <t xml:space="preserve">BEV2_00424</t>
  </si>
  <si>
    <t xml:space="preserve">BEV2_00425</t>
  </si>
  <si>
    <t xml:space="preserve">BEV2_00426</t>
  </si>
  <si>
    <t xml:space="preserve">BEV2_00427</t>
  </si>
  <si>
    <t xml:space="preserve">BEV2_00428</t>
  </si>
  <si>
    <t xml:space="preserve">BEV2_00429</t>
  </si>
  <si>
    <t xml:space="preserve">BEV2_00430</t>
  </si>
  <si>
    <t xml:space="preserve">BEV2_00431</t>
  </si>
  <si>
    <t xml:space="preserve">BEV2_00432</t>
  </si>
  <si>
    <t xml:space="preserve">BEV2_00433</t>
  </si>
  <si>
    <t xml:space="preserve">BEV2_00434</t>
  </si>
  <si>
    <t xml:space="preserve">BEV2_00435</t>
  </si>
  <si>
    <t xml:space="preserve">BEV2_00436</t>
  </si>
  <si>
    <t xml:space="preserve">BEV2_00437</t>
  </si>
  <si>
    <t xml:space="preserve">BEV2_00438</t>
  </si>
  <si>
    <t xml:space="preserve">BEV2_00439</t>
  </si>
  <si>
    <t xml:space="preserve">BEV2_00440</t>
  </si>
  <si>
    <t xml:space="preserve">BEV2_00441</t>
  </si>
  <si>
    <t xml:space="preserve">BEV2_00442</t>
  </si>
  <si>
    <t xml:space="preserve">BEV2_00443</t>
  </si>
  <si>
    <t xml:space="preserve">BEV2_00444</t>
  </si>
  <si>
    <t xml:space="preserve">BEV2_00445</t>
  </si>
  <si>
    <t xml:space="preserve">BEV2_00446</t>
  </si>
  <si>
    <t xml:space="preserve">BEV2_00447</t>
  </si>
  <si>
    <t xml:space="preserve">BEV2_00448</t>
  </si>
  <si>
    <t xml:space="preserve">BEV2_00449</t>
  </si>
  <si>
    <t xml:space="preserve">BEV2_00450</t>
  </si>
  <si>
    <t xml:space="preserve">BEV2_00451</t>
  </si>
  <si>
    <t xml:space="preserve">BEV2_00452</t>
  </si>
  <si>
    <t xml:space="preserve">BEV2_00453</t>
  </si>
  <si>
    <t xml:space="preserve">BEV2_00454</t>
  </si>
  <si>
    <t xml:space="preserve">BEV2_00455</t>
  </si>
  <si>
    <t xml:space="preserve">BEV2_00456</t>
  </si>
  <si>
    <t xml:space="preserve">BEV2_00457</t>
  </si>
  <si>
    <t xml:space="preserve">BEV2_00458</t>
  </si>
  <si>
    <t xml:space="preserve">BEV2_00459</t>
  </si>
  <si>
    <t xml:space="preserve">BEV2_00460</t>
  </si>
  <si>
    <t xml:space="preserve">BEV2_00461</t>
  </si>
  <si>
    <t xml:space="preserve">BEV2_00462</t>
  </si>
  <si>
    <t xml:space="preserve">BEV2_00463</t>
  </si>
  <si>
    <t xml:space="preserve">BEV2_00464</t>
  </si>
  <si>
    <t xml:space="preserve">BEV2_00465</t>
  </si>
  <si>
    <t xml:space="preserve">BEV2_00466</t>
  </si>
  <si>
    <t xml:space="preserve">BEV2_00467</t>
  </si>
  <si>
    <t xml:space="preserve">BEV2_00468</t>
  </si>
  <si>
    <t xml:space="preserve">BEV2_00469</t>
  </si>
  <si>
    <t xml:space="preserve">BEV2_00470</t>
  </si>
  <si>
    <t xml:space="preserve">BEV2_00471</t>
  </si>
  <si>
    <t xml:space="preserve">BEV2_00472</t>
  </si>
  <si>
    <t xml:space="preserve">BEV2_00473</t>
  </si>
  <si>
    <t xml:space="preserve">BEV2_00474</t>
  </si>
  <si>
    <t xml:space="preserve">BEV2_00475</t>
  </si>
  <si>
    <t xml:space="preserve">BEV2_00476</t>
  </si>
  <si>
    <t xml:space="preserve">BEV2_00477</t>
  </si>
  <si>
    <t xml:space="preserve">ORIM</t>
  </si>
  <si>
    <t xml:space="preserve">Orimulsión</t>
  </si>
  <si>
    <t xml:space="preserve">BEV2_00478</t>
  </si>
  <si>
    <t xml:space="preserve">BEV2_00479</t>
  </si>
  <si>
    <t xml:space="preserve">BEV2_00480</t>
  </si>
  <si>
    <t xml:space="preserve">BEV2_00481</t>
  </si>
  <si>
    <t xml:space="preserve">BEV2_00482</t>
  </si>
  <si>
    <t xml:space="preserve">BEV2_00483</t>
  </si>
  <si>
    <t xml:space="preserve">BEV2_00484</t>
  </si>
  <si>
    <t xml:space="preserve">BEV2_00485</t>
  </si>
  <si>
    <t xml:space="preserve">BEV2_00486</t>
  </si>
  <si>
    <t xml:space="preserve">BEV2_00487</t>
  </si>
  <si>
    <t xml:space="preserve">BEV2_00488</t>
  </si>
  <si>
    <t xml:space="preserve">BEV2_00489</t>
  </si>
  <si>
    <t xml:space="preserve">BEV2_00490</t>
  </si>
  <si>
    <t xml:space="preserve">BEV2_00491</t>
  </si>
  <si>
    <t xml:space="preserve">BEV2_00492</t>
  </si>
  <si>
    <t xml:space="preserve">BEV2_00493</t>
  </si>
  <si>
    <t xml:space="preserve">BEV2_00494</t>
  </si>
  <si>
    <t xml:space="preserve">BEV2_00495</t>
  </si>
  <si>
    <t xml:space="preserve">BEV2_00496</t>
  </si>
  <si>
    <t xml:space="preserve">BEV2_00497</t>
  </si>
  <si>
    <t xml:space="preserve">BEV2_00498</t>
  </si>
  <si>
    <t xml:space="preserve">BEV2_00499</t>
  </si>
  <si>
    <t xml:space="preserve">BEV2_00500</t>
  </si>
  <si>
    <t xml:space="preserve">BEV2_00501</t>
  </si>
  <si>
    <t xml:space="preserve">BEV2_00502</t>
  </si>
  <si>
    <t xml:space="preserve">BEV2_00503</t>
  </si>
  <si>
    <t xml:space="preserve">BEV2_00504</t>
  </si>
  <si>
    <t xml:space="preserve">BEV2_00505</t>
  </si>
  <si>
    <t xml:space="preserve">BEV2_00506</t>
  </si>
  <si>
    <t xml:space="preserve">BEV2_00507</t>
  </si>
  <si>
    <t xml:space="preserve">BEV2_00508</t>
  </si>
  <si>
    <t xml:space="preserve">BEV2_00509</t>
  </si>
  <si>
    <t xml:space="preserve">BEV2_00510</t>
  </si>
  <si>
    <t xml:space="preserve">BEV2_00511</t>
  </si>
  <si>
    <t xml:space="preserve">BEV2_00512</t>
  </si>
  <si>
    <t xml:space="preserve">BEV2_00513</t>
  </si>
  <si>
    <t xml:space="preserve">BEV2_00514</t>
  </si>
  <si>
    <t xml:space="preserve">BEV2_00515</t>
  </si>
  <si>
    <t xml:space="preserve">BEV2_00516</t>
  </si>
  <si>
    <t xml:space="preserve">BEV2_00517</t>
  </si>
  <si>
    <t xml:space="preserve">BEV2_00518</t>
  </si>
  <si>
    <t xml:space="preserve">BEV2_00519</t>
  </si>
  <si>
    <t xml:space="preserve">BEV2_00520</t>
  </si>
  <si>
    <t xml:space="preserve">BEV2_00521</t>
  </si>
  <si>
    <t xml:space="preserve">BEV2_00522</t>
  </si>
  <si>
    <t xml:space="preserve">BEV2_00523</t>
  </si>
  <si>
    <t xml:space="preserve">BEV2_00524</t>
  </si>
  <si>
    <t xml:space="preserve">BEV2_00525</t>
  </si>
  <si>
    <t xml:space="preserve">BEV2_00526</t>
  </si>
  <si>
    <t xml:space="preserve">BEV2_00527</t>
  </si>
  <si>
    <t xml:space="preserve">BEV2_00528</t>
  </si>
  <si>
    <t xml:space="preserve">BEV2_00529</t>
  </si>
  <si>
    <t xml:space="preserve">BEV2_00530</t>
  </si>
  <si>
    <t xml:space="preserve">BEV2_00531</t>
  </si>
  <si>
    <t xml:space="preserve">BEV2_00532</t>
  </si>
  <si>
    <t xml:space="preserve">BEV2_00533</t>
  </si>
  <si>
    <t xml:space="preserve">BEV2_00534</t>
  </si>
  <si>
    <t xml:space="preserve">BEV2_00535</t>
  </si>
  <si>
    <t xml:space="preserve">BEV2_00536</t>
  </si>
  <si>
    <t xml:space="preserve">BEV2_00537</t>
  </si>
  <si>
    <t xml:space="preserve">BEV2_00538</t>
  </si>
  <si>
    <t xml:space="preserve">BEV2_00539</t>
  </si>
  <si>
    <t xml:space="preserve">BEV2_00540</t>
  </si>
  <si>
    <t xml:space="preserve">BEV2_00541</t>
  </si>
  <si>
    <t xml:space="preserve">BEV2_00542</t>
  </si>
  <si>
    <t xml:space="preserve">BEV2_00543</t>
  </si>
  <si>
    <t xml:space="preserve">BEV2_00544</t>
  </si>
  <si>
    <t xml:space="preserve">BEV2_00545</t>
  </si>
  <si>
    <t xml:space="preserve">BEV2_00546</t>
  </si>
  <si>
    <t xml:space="preserve">BEV2_00547</t>
  </si>
  <si>
    <t xml:space="preserve">BEV2_00548</t>
  </si>
  <si>
    <t xml:space="preserve">BEV2_00549</t>
  </si>
  <si>
    <t xml:space="preserve">BEV2_00550</t>
  </si>
  <si>
    <t xml:space="preserve">BEV2_00551</t>
  </si>
  <si>
    <t xml:space="preserve">BEV2_00552</t>
  </si>
  <si>
    <t xml:space="preserve">BEV2_00553</t>
  </si>
  <si>
    <t xml:space="preserve">BEV2_00554</t>
  </si>
  <si>
    <t xml:space="preserve">BEV2_00555</t>
  </si>
  <si>
    <t xml:space="preserve">BEV2_00556</t>
  </si>
  <si>
    <t xml:space="preserve">BEV2_00557</t>
  </si>
  <si>
    <t xml:space="preserve">BEV2_00558</t>
  </si>
  <si>
    <t xml:space="preserve">BEV2_00559</t>
  </si>
  <si>
    <t xml:space="preserve">BEV2_00560</t>
  </si>
  <si>
    <t xml:space="preserve">BEV2_00561</t>
  </si>
  <si>
    <t xml:space="preserve">BEV2_00562</t>
  </si>
  <si>
    <t xml:space="preserve">BEV2_00563</t>
  </si>
  <si>
    <t xml:space="preserve">BEV2_00564</t>
  </si>
  <si>
    <t xml:space="preserve">BEV2_00565</t>
  </si>
  <si>
    <t xml:space="preserve">BEV2_00566</t>
  </si>
  <si>
    <t xml:space="preserve">BEV2_00567</t>
  </si>
  <si>
    <t xml:space="preserve">BEV2_00568</t>
  </si>
  <si>
    <t xml:space="preserve">BEV2_00569</t>
  </si>
  <si>
    <t xml:space="preserve">BEV2_00570</t>
  </si>
  <si>
    <t xml:space="preserve">BEV2_00571</t>
  </si>
  <si>
    <t xml:space="preserve">BEV2_00572</t>
  </si>
  <si>
    <t xml:space="preserve">BEV2_00573</t>
  </si>
  <si>
    <t xml:space="preserve">BEV2_00574</t>
  </si>
  <si>
    <t xml:space="preserve">BEV2_00575</t>
  </si>
  <si>
    <t xml:space="preserve">BEV2_00576</t>
  </si>
  <si>
    <t xml:space="preserve">BEV2_00577</t>
  </si>
  <si>
    <t xml:space="preserve">BEV2_00578</t>
  </si>
  <si>
    <t xml:space="preserve">BEV2_00579</t>
  </si>
  <si>
    <t xml:space="preserve">BEV2_00580</t>
  </si>
  <si>
    <t xml:space="preserve">BEV2_00581</t>
  </si>
  <si>
    <t xml:space="preserve">BEV2_00582</t>
  </si>
  <si>
    <t xml:space="preserve">BEV2_00583</t>
  </si>
  <si>
    <t xml:space="preserve">BEV2_00584</t>
  </si>
  <si>
    <t xml:space="preserve">BEV2_00585</t>
  </si>
  <si>
    <t xml:space="preserve">BEV2_00586</t>
  </si>
  <si>
    <t xml:space="preserve">BEV2_00587</t>
  </si>
  <si>
    <t xml:space="preserve">BEV2_00588</t>
  </si>
  <si>
    <t xml:space="preserve">BEV2_00589</t>
  </si>
  <si>
    <t xml:space="preserve">BEV2_00590</t>
  </si>
  <si>
    <t xml:space="preserve">BEV2_00591</t>
  </si>
  <si>
    <t xml:space="preserve">BEV2_00592</t>
  </si>
  <si>
    <t xml:space="preserve">BEV2_00593</t>
  </si>
  <si>
    <t xml:space="preserve">BEV2_00594</t>
  </si>
  <si>
    <t xml:space="preserve">BEV2_00595</t>
  </si>
  <si>
    <t xml:space="preserve">BEV2_00596</t>
  </si>
  <si>
    <t xml:space="preserve">BEV2_00597</t>
  </si>
  <si>
    <t xml:space="preserve">BEV2_00598</t>
  </si>
  <si>
    <t xml:space="preserve">BEV2_00599</t>
  </si>
  <si>
    <t xml:space="preserve">BEV2_00600</t>
  </si>
  <si>
    <t xml:space="preserve">BEV2_00601</t>
  </si>
  <si>
    <t xml:space="preserve">BEV2_00602</t>
  </si>
  <si>
    <t xml:space="preserve">BEV2_00603</t>
  </si>
  <si>
    <t xml:space="preserve">BEV2_00604</t>
  </si>
  <si>
    <t xml:space="preserve">BEV2_00605</t>
  </si>
  <si>
    <t xml:space="preserve">BEV2_00606</t>
  </si>
  <si>
    <t xml:space="preserve">BEV2_00607</t>
  </si>
  <si>
    <t xml:space="preserve">BEV2_00608</t>
  </si>
  <si>
    <t xml:space="preserve">BEV2_00609</t>
  </si>
  <si>
    <t xml:space="preserve">BEV2_00610</t>
  </si>
  <si>
    <t xml:space="preserve">BEV2_00611</t>
  </si>
  <si>
    <t xml:space="preserve">BEV2_00612</t>
  </si>
  <si>
    <t xml:space="preserve">BEV2_00613</t>
  </si>
  <si>
    <t xml:space="preserve">BEV2_00614</t>
  </si>
  <si>
    <t xml:space="preserve">BEV2_00615</t>
  </si>
  <si>
    <t xml:space="preserve">BEV2_00616</t>
  </si>
  <si>
    <t xml:space="preserve">BEV2_00617</t>
  </si>
  <si>
    <t xml:space="preserve">BEV2_00618</t>
  </si>
  <si>
    <t xml:space="preserve">BEV2_00619</t>
  </si>
  <si>
    <t xml:space="preserve">BEV2_00620</t>
  </si>
  <si>
    <t xml:space="preserve">BEV2_00621</t>
  </si>
  <si>
    <t xml:space="preserve">BEV2_00622</t>
  </si>
  <si>
    <t xml:space="preserve">BEV2_00623</t>
  </si>
  <si>
    <t xml:space="preserve">BEV2_00624</t>
  </si>
  <si>
    <t xml:space="preserve">BEV2_00625</t>
  </si>
  <si>
    <t xml:space="preserve">BEV2_00626</t>
  </si>
  <si>
    <t xml:space="preserve">BEV2_00627</t>
  </si>
  <si>
    <t xml:space="preserve">BEV2_00628</t>
  </si>
  <si>
    <t xml:space="preserve">BEV2_00629</t>
  </si>
  <si>
    <t xml:space="preserve">BEV2_00630</t>
  </si>
  <si>
    <t xml:space="preserve">BEV2_00631</t>
  </si>
  <si>
    <t xml:space="preserve">BEV2_00632</t>
  </si>
  <si>
    <t xml:space="preserve">BEV2_00633</t>
  </si>
  <si>
    <t xml:space="preserve">BEV2_00634</t>
  </si>
  <si>
    <t xml:space="preserve">BEV2_00635</t>
  </si>
  <si>
    <t xml:space="preserve">BEV2_00636</t>
  </si>
  <si>
    <t xml:space="preserve">BEV2_00637</t>
  </si>
  <si>
    <t xml:space="preserve">BEV2_00638</t>
  </si>
  <si>
    <t xml:space="preserve">BEV2_00639</t>
  </si>
  <si>
    <t xml:space="preserve">BEV2_00640</t>
  </si>
  <si>
    <t xml:space="preserve">BEV2_00641</t>
  </si>
  <si>
    <t xml:space="preserve">BEV2_00642</t>
  </si>
  <si>
    <t xml:space="preserve">BEV2_00643</t>
  </si>
  <si>
    <t xml:space="preserve">BEV2_00644</t>
  </si>
  <si>
    <t xml:space="preserve">BEV2_00645</t>
  </si>
  <si>
    <t xml:space="preserve">BEV2_00646</t>
  </si>
  <si>
    <t xml:space="preserve">BEV2_00647</t>
  </si>
  <si>
    <t xml:space="preserve">BEV2_00648</t>
  </si>
  <si>
    <t xml:space="preserve">BEV2_00649</t>
  </si>
  <si>
    <t xml:space="preserve">BEV2_00650</t>
  </si>
  <si>
    <t xml:space="preserve">BEV2_00651</t>
  </si>
  <si>
    <t xml:space="preserve">BEV2_00652</t>
  </si>
  <si>
    <t xml:space="preserve">BEV2_00653</t>
  </si>
  <si>
    <t xml:space="preserve">BEV2_00654</t>
  </si>
  <si>
    <t xml:space="preserve">BEV2_00655</t>
  </si>
  <si>
    <t xml:space="preserve">BEV2_00656</t>
  </si>
  <si>
    <t xml:space="preserve">BEV2_00657</t>
  </si>
  <si>
    <t xml:space="preserve">BEV2_00658</t>
  </si>
  <si>
    <t xml:space="preserve">BEV2_00659</t>
  </si>
  <si>
    <t xml:space="preserve">BEV2_00660</t>
  </si>
  <si>
    <t xml:space="preserve">BEV2_00661</t>
  </si>
  <si>
    <t xml:space="preserve">BEV2_00662</t>
  </si>
  <si>
    <t xml:space="preserve">BEV2_00663</t>
  </si>
  <si>
    <t xml:space="preserve">BEV2_00664</t>
  </si>
  <si>
    <t xml:space="preserve">BEV2_00665</t>
  </si>
  <si>
    <t xml:space="preserve">BEV2_00666</t>
  </si>
  <si>
    <t xml:space="preserve">BEV2_00667</t>
  </si>
  <si>
    <t xml:space="preserve">BEV2_00668</t>
  </si>
  <si>
    <t xml:space="preserve">BEV2_00669</t>
  </si>
  <si>
    <t xml:space="preserve">BEV2_00670</t>
  </si>
  <si>
    <t xml:space="preserve">BEV2_00671</t>
  </si>
  <si>
    <t xml:space="preserve">BEV2_00672</t>
  </si>
  <si>
    <t xml:space="preserve">BEV2_00673</t>
  </si>
  <si>
    <t xml:space="preserve">BEV2_00674</t>
  </si>
  <si>
    <t xml:space="preserve">BEV2_00675</t>
  </si>
  <si>
    <t xml:space="preserve">BEV2_00676</t>
  </si>
  <si>
    <t xml:space="preserve">BEV2_00677</t>
  </si>
  <si>
    <t xml:space="preserve">BEV2_00678</t>
  </si>
  <si>
    <t xml:space="preserve">BEV2_00679</t>
  </si>
  <si>
    <t xml:space="preserve">BEV2_00680</t>
  </si>
  <si>
    <t xml:space="preserve">BEV2_00681</t>
  </si>
  <si>
    <t xml:space="preserve">BEV2_00682</t>
  </si>
  <si>
    <t xml:space="preserve">BEV2_00683</t>
  </si>
  <si>
    <t xml:space="preserve">BEV2_00684</t>
  </si>
  <si>
    <t xml:space="preserve">BEV2_00685</t>
  </si>
  <si>
    <t xml:space="preserve">BEV2_00686</t>
  </si>
  <si>
    <t xml:space="preserve">BEV2_00687</t>
  </si>
  <si>
    <t xml:space="preserve">BEV2_00688</t>
  </si>
  <si>
    <t xml:space="preserve">BEV2_00689</t>
  </si>
  <si>
    <t xml:space="preserve">BEV2_00690</t>
  </si>
  <si>
    <t xml:space="preserve">BEV2_00691</t>
  </si>
  <si>
    <t xml:space="preserve">BEV2_00692</t>
  </si>
  <si>
    <t xml:space="preserve">BEV2_00693</t>
  </si>
  <si>
    <t xml:space="preserve">BEV2_00694</t>
  </si>
  <si>
    <t xml:space="preserve">BEV2_00695</t>
  </si>
  <si>
    <t xml:space="preserve">BEV2_00696</t>
  </si>
  <si>
    <t xml:space="preserve">BEV2_00697</t>
  </si>
  <si>
    <t xml:space="preserve">BEV2_00698</t>
  </si>
  <si>
    <t xml:space="preserve">BEV2_00699</t>
  </si>
  <si>
    <t xml:space="preserve">BEV2_00700</t>
  </si>
  <si>
    <t xml:space="preserve">BEV2_00701</t>
  </si>
  <si>
    <t xml:space="preserve">BEV2_00702</t>
  </si>
  <si>
    <t xml:space="preserve">BEV2_00703</t>
  </si>
  <si>
    <t xml:space="preserve">BEV2_00704</t>
  </si>
  <si>
    <t xml:space="preserve">BEV2_00705</t>
  </si>
  <si>
    <t xml:space="preserve">BEV2_00706</t>
  </si>
  <si>
    <t xml:space="preserve">BEV2_00707</t>
  </si>
  <si>
    <t xml:space="preserve">BEV2_00708</t>
  </si>
  <si>
    <t xml:space="preserve">BEV2_00709</t>
  </si>
  <si>
    <t xml:space="preserve">BEV2_00710</t>
  </si>
  <si>
    <t xml:space="preserve">BEV2_00711</t>
  </si>
  <si>
    <t xml:space="preserve">BEV2_00712</t>
  </si>
  <si>
    <t xml:space="preserve">BEV2_00713</t>
  </si>
  <si>
    <t xml:space="preserve">BEV2_00714</t>
  </si>
  <si>
    <t xml:space="preserve">BEV2_00715</t>
  </si>
  <si>
    <t xml:space="preserve">BEV2_00716</t>
  </si>
  <si>
    <t xml:space="preserve">BEV2_00717</t>
  </si>
  <si>
    <t xml:space="preserve">BEV2_00718</t>
  </si>
  <si>
    <t xml:space="preserve">BEV2_00719</t>
  </si>
  <si>
    <t xml:space="preserve">BEV2_00720</t>
  </si>
  <si>
    <t xml:space="preserve">BEV2_00721</t>
  </si>
  <si>
    <t xml:space="preserve">BEV2_00722</t>
  </si>
  <si>
    <t xml:space="preserve">BEV2_00723</t>
  </si>
  <si>
    <t xml:space="preserve">BEV2_00724</t>
  </si>
  <si>
    <t xml:space="preserve">BEV2_00725</t>
  </si>
  <si>
    <t xml:space="preserve">BEV2_00726</t>
  </si>
  <si>
    <t xml:space="preserve">BEV2_00727</t>
  </si>
  <si>
    <t xml:space="preserve">BEV2_00728</t>
  </si>
  <si>
    <t xml:space="preserve">BEV2_00729</t>
  </si>
  <si>
    <t xml:space="preserve">BEV2_00730</t>
  </si>
  <si>
    <t xml:space="preserve">BEV2_00731</t>
  </si>
  <si>
    <t xml:space="preserve">BEV2_00732</t>
  </si>
  <si>
    <t xml:space="preserve">BEV2_00733</t>
  </si>
  <si>
    <t xml:space="preserve">BEV2_00734</t>
  </si>
  <si>
    <t xml:space="preserve">BEV2_00735</t>
  </si>
  <si>
    <t xml:space="preserve">BEV2_00736</t>
  </si>
  <si>
    <t xml:space="preserve">BEV2_00737</t>
  </si>
  <si>
    <t xml:space="preserve">BEV2_00738</t>
  </si>
  <si>
    <t xml:space="preserve">BEV2_00739</t>
  </si>
  <si>
    <t xml:space="preserve">BEV2_00740</t>
  </si>
  <si>
    <t xml:space="preserve">BEV2_00741</t>
  </si>
  <si>
    <t xml:space="preserve">BEV2_00742</t>
  </si>
  <si>
    <t xml:space="preserve">BEV2_00743</t>
  </si>
  <si>
    <t xml:space="preserve">BEV2_00744</t>
  </si>
  <si>
    <t xml:space="preserve">BEV2_00745</t>
  </si>
  <si>
    <t xml:space="preserve">BEV2_00746</t>
  </si>
  <si>
    <t xml:space="preserve">BEV2_00747</t>
  </si>
  <si>
    <t xml:space="preserve">BEV2_00748</t>
  </si>
  <si>
    <t xml:space="preserve">BEV2_00749</t>
  </si>
  <si>
    <t xml:space="preserve">BEV2_00750</t>
  </si>
  <si>
    <t xml:space="preserve">BEV2_00751</t>
  </si>
  <si>
    <t xml:space="preserve">BEV2_00752</t>
  </si>
  <si>
    <t xml:space="preserve">BEV2_00753</t>
  </si>
  <si>
    <t xml:space="preserve">BEV2_00754</t>
  </si>
  <si>
    <t xml:space="preserve">BEV2_00755</t>
  </si>
  <si>
    <t xml:space="preserve">BEV2_00756</t>
  </si>
  <si>
    <t xml:space="preserve">BEV2_00757</t>
  </si>
  <si>
    <t xml:space="preserve">BEV2_00758</t>
  </si>
  <si>
    <t xml:space="preserve">BEV2_00759</t>
  </si>
  <si>
    <t xml:space="preserve">BEV2_00760</t>
  </si>
  <si>
    <t xml:space="preserve">BEV2_00761</t>
  </si>
  <si>
    <t xml:space="preserve">BEV2_00762</t>
  </si>
  <si>
    <t xml:space="preserve">BEV2_00763</t>
  </si>
  <si>
    <t xml:space="preserve">BEV2_00764</t>
  </si>
  <si>
    <t xml:space="preserve">BEV2_00765</t>
  </si>
  <si>
    <t xml:space="preserve">BEV2_00766</t>
  </si>
  <si>
    <t xml:space="preserve">BEV2_00767</t>
  </si>
  <si>
    <t xml:space="preserve">BEV2_00768</t>
  </si>
  <si>
    <t xml:space="preserve">BEV2_00769</t>
  </si>
  <si>
    <t xml:space="preserve">BEV2_00770</t>
  </si>
  <si>
    <t xml:space="preserve">BEV2_00771</t>
  </si>
  <si>
    <t xml:space="preserve">BEV2_00772</t>
  </si>
  <si>
    <t xml:space="preserve">BEV2_00773</t>
  </si>
  <si>
    <t xml:space="preserve">BEV2_00774</t>
  </si>
  <si>
    <t xml:space="preserve">BEV2_00775</t>
  </si>
  <si>
    <t xml:space="preserve">BEV2_00776</t>
  </si>
  <si>
    <t xml:space="preserve">BEV2_00777</t>
  </si>
  <si>
    <t xml:space="preserve">BEV2_00778</t>
  </si>
  <si>
    <t xml:space="preserve">BEV2_00779</t>
  </si>
  <si>
    <t xml:space="preserve">BEV2_00780</t>
  </si>
  <si>
    <t xml:space="preserve">BEV2_00781</t>
  </si>
  <si>
    <t xml:space="preserve">BEV2_00782</t>
  </si>
  <si>
    <t xml:space="preserve">BEV2_00783</t>
  </si>
  <si>
    <t xml:space="preserve">BEV2_00784</t>
  </si>
  <si>
    <t xml:space="preserve">BEV2_00785</t>
  </si>
  <si>
    <t xml:space="preserve">BEV2_00786</t>
  </si>
  <si>
    <t xml:space="preserve">BEV2_00787</t>
  </si>
  <si>
    <t xml:space="preserve">BEV2_00788</t>
  </si>
  <si>
    <t xml:space="preserve">BEV2_00789</t>
  </si>
  <si>
    <t xml:space="preserve">BEV2_00790</t>
  </si>
  <si>
    <t xml:space="preserve">BEV2_00791</t>
  </si>
  <si>
    <t xml:space="preserve">BEV2_00792</t>
  </si>
  <si>
    <t xml:space="preserve">BEV2_00793</t>
  </si>
  <si>
    <t xml:space="preserve">BEV2_00794</t>
  </si>
  <si>
    <t xml:space="preserve">BEV2_00795</t>
  </si>
  <si>
    <t xml:space="preserve">BEV2_00796</t>
  </si>
  <si>
    <t xml:space="preserve">BEV2_00797</t>
  </si>
  <si>
    <t xml:space="preserve">BEV2_00798</t>
  </si>
  <si>
    <t xml:space="preserve">BEV2_00799</t>
  </si>
  <si>
    <t xml:space="preserve">BEV2_00800</t>
  </si>
  <si>
    <t xml:space="preserve">BEV2_00801</t>
  </si>
  <si>
    <t xml:space="preserve">BEV2_00802</t>
  </si>
  <si>
    <t xml:space="preserve">BEV2_00803</t>
  </si>
  <si>
    <t xml:space="preserve">BEV2_00804</t>
  </si>
  <si>
    <t xml:space="preserve">BEV2_00805</t>
  </si>
  <si>
    <t xml:space="preserve">BEV2_00806</t>
  </si>
  <si>
    <t xml:space="preserve">BEV2_00807</t>
  </si>
  <si>
    <t xml:space="preserve">BEV2_00808</t>
  </si>
  <si>
    <t xml:space="preserve">BEV2_00809</t>
  </si>
  <si>
    <t xml:space="preserve">BEV2_00810</t>
  </si>
  <si>
    <t xml:space="preserve">BEV2_00811</t>
  </si>
  <si>
    <t xml:space="preserve">BEV2_00812</t>
  </si>
  <si>
    <t xml:space="preserve">BEV2_00813</t>
  </si>
  <si>
    <t xml:space="preserve">BEV2_00814</t>
  </si>
  <si>
    <t xml:space="preserve">BEV2_00815</t>
  </si>
  <si>
    <t xml:space="preserve">BEV2_00816</t>
  </si>
  <si>
    <t xml:space="preserve">BEV2_00817</t>
  </si>
  <si>
    <t xml:space="preserve">BEV2_00818</t>
  </si>
  <si>
    <t xml:space="preserve">BEV2_00819</t>
  </si>
  <si>
    <t xml:space="preserve">BEV2_00820</t>
  </si>
  <si>
    <t xml:space="preserve">BEV2_00821</t>
  </si>
  <si>
    <t xml:space="preserve">BEV2_00822</t>
  </si>
  <si>
    <t xml:space="preserve">BEV2_00823</t>
  </si>
  <si>
    <t xml:space="preserve">BEV2_00824</t>
  </si>
  <si>
    <t xml:space="preserve">BEV2_00825</t>
  </si>
  <si>
    <t xml:space="preserve">BEV2_00826</t>
  </si>
  <si>
    <t xml:space="preserve">BEV2_00827</t>
  </si>
  <si>
    <t xml:space="preserve">BEV2_00828</t>
  </si>
  <si>
    <t xml:space="preserve">BEV2_00829</t>
  </si>
  <si>
    <t xml:space="preserve">BEV2_00830</t>
  </si>
  <si>
    <t xml:space="preserve">BEV2_00831</t>
  </si>
  <si>
    <t xml:space="preserve">BEV2_00832</t>
  </si>
  <si>
    <t xml:space="preserve">BEV2_00833</t>
  </si>
  <si>
    <t xml:space="preserve">BEV2_00834</t>
  </si>
  <si>
    <t xml:space="preserve">BEV2_00835</t>
  </si>
  <si>
    <t xml:space="preserve">BEV2_00836</t>
  </si>
  <si>
    <t xml:space="preserve">BEV2_00837</t>
  </si>
  <si>
    <t xml:space="preserve">BEV2_00838</t>
  </si>
  <si>
    <t xml:space="preserve">BEV2_00839</t>
  </si>
  <si>
    <t xml:space="preserve">BEV2_00840</t>
  </si>
  <si>
    <t xml:space="preserve">BEV2_00841</t>
  </si>
  <si>
    <t xml:space="preserve">BEV2_00842</t>
  </si>
  <si>
    <t xml:space="preserve">BEV2_00843</t>
  </si>
  <si>
    <t xml:space="preserve">BEV2_00844</t>
  </si>
  <si>
    <t xml:space="preserve">BEV2_00845</t>
  </si>
  <si>
    <t xml:space="preserve">BEV2_00846</t>
  </si>
  <si>
    <t xml:space="preserve">BEV2_00847</t>
  </si>
  <si>
    <t xml:space="preserve">BEV2_00848</t>
  </si>
  <si>
    <t xml:space="preserve">BEV2_00849</t>
  </si>
  <si>
    <t xml:space="preserve">BEV2_00850</t>
  </si>
  <si>
    <t xml:space="preserve">BEV2_00851</t>
  </si>
  <si>
    <t xml:space="preserve">BEV2_00852</t>
  </si>
  <si>
    <t xml:space="preserve">BEV2_00853</t>
  </si>
  <si>
    <t xml:space="preserve">BEV2_00854</t>
  </si>
  <si>
    <t xml:space="preserve">BEV2_00855</t>
  </si>
  <si>
    <t xml:space="preserve">BEV2_00856</t>
  </si>
  <si>
    <t xml:space="preserve">BEV2_00857</t>
  </si>
  <si>
    <t xml:space="preserve">BEV2_00858</t>
  </si>
  <si>
    <t xml:space="preserve">BEV2_00859</t>
  </si>
  <si>
    <t xml:space="preserve">BEV2_00860</t>
  </si>
  <si>
    <t xml:space="preserve">BEV2_00861</t>
  </si>
  <si>
    <t xml:space="preserve">BEV2_00862</t>
  </si>
  <si>
    <t xml:space="preserve">BEV2_00863</t>
  </si>
  <si>
    <t xml:space="preserve">BEV2_00864</t>
  </si>
  <si>
    <t xml:space="preserve">BEV2_00865</t>
  </si>
  <si>
    <t xml:space="preserve">BEV2_00866</t>
  </si>
  <si>
    <t xml:space="preserve">BEV2_00867</t>
  </si>
  <si>
    <t xml:space="preserve">BEV2_00868</t>
  </si>
  <si>
    <t xml:space="preserve">BEV2_00869</t>
  </si>
  <si>
    <t xml:space="preserve">BEV2_00870</t>
  </si>
  <si>
    <t xml:space="preserve">BEV2_00871</t>
  </si>
  <si>
    <t xml:space="preserve">BEV2_00872</t>
  </si>
  <si>
    <t xml:space="preserve">BEV2_00873</t>
  </si>
  <si>
    <t xml:space="preserve">BEV2_00874</t>
  </si>
  <si>
    <t xml:space="preserve">BEV2_00875</t>
  </si>
  <si>
    <t xml:space="preserve">BEV2_00876</t>
  </si>
  <si>
    <t xml:space="preserve">BEV2_00877</t>
  </si>
  <si>
    <t xml:space="preserve">BEV2_00878</t>
  </si>
  <si>
    <t xml:space="preserve">BEV2_00879</t>
  </si>
  <si>
    <t xml:space="preserve">BEV2_00880</t>
  </si>
  <si>
    <t xml:space="preserve">BEV2_00881</t>
  </si>
  <si>
    <t xml:space="preserve">BEV2_00882</t>
  </si>
  <si>
    <t xml:space="preserve">BEV2_00883</t>
  </si>
  <si>
    <t xml:space="preserve">BEV2_00884</t>
  </si>
  <si>
    <t xml:space="preserve">BEV2_00885</t>
  </si>
  <si>
    <t xml:space="preserve">BEV2_00886</t>
  </si>
  <si>
    <t xml:space="preserve">BEV2_00887</t>
  </si>
  <si>
    <t xml:space="preserve">BEV2_00888</t>
  </si>
  <si>
    <t xml:space="preserve">BEV2_00889</t>
  </si>
  <si>
    <t xml:space="preserve">BEV2_00890</t>
  </si>
  <si>
    <t xml:space="preserve">BEV2_00891</t>
  </si>
  <si>
    <t xml:space="preserve">BEV2_00892</t>
  </si>
  <si>
    <t xml:space="preserve">BEV2_00893</t>
  </si>
  <si>
    <t xml:space="preserve">BEV2_00894</t>
  </si>
  <si>
    <t xml:space="preserve">BEV2_00895</t>
  </si>
  <si>
    <t xml:space="preserve">BEV2_00896</t>
  </si>
  <si>
    <t xml:space="preserve">BEV2_00897</t>
  </si>
  <si>
    <t xml:space="preserve">BEV2_00898</t>
  </si>
  <si>
    <t xml:space="preserve">BEV2_00899</t>
  </si>
  <si>
    <t xml:space="preserve">BEV2_00900</t>
  </si>
  <si>
    <t xml:space="preserve">BEV2_00901</t>
  </si>
  <si>
    <t xml:space="preserve">BEV2_00902</t>
  </si>
  <si>
    <t xml:space="preserve">BEV2_00903</t>
  </si>
  <si>
    <t xml:space="preserve">BEV2_00904</t>
  </si>
  <si>
    <t xml:space="preserve">BEV2_00905</t>
  </si>
  <si>
    <t xml:space="preserve">BEV2_00906</t>
  </si>
  <si>
    <t xml:space="preserve">BEV2_00907</t>
  </si>
  <si>
    <t xml:space="preserve">BEV2_00908</t>
  </si>
  <si>
    <t xml:space="preserve">BEV2_00909</t>
  </si>
  <si>
    <t xml:space="preserve">BEV2_00910</t>
  </si>
  <si>
    <t xml:space="preserve">BEV2_00911</t>
  </si>
  <si>
    <t xml:space="preserve">BEV2_00912</t>
  </si>
  <si>
    <t xml:space="preserve">BEV2_00913</t>
  </si>
  <si>
    <t xml:space="preserve">BEV2_00914</t>
  </si>
  <si>
    <t xml:space="preserve">BEV2_00915</t>
  </si>
  <si>
    <t xml:space="preserve">BEV2_00916</t>
  </si>
  <si>
    <t xml:space="preserve">BEV2_00917</t>
  </si>
  <si>
    <t xml:space="preserve">BEV2_00918</t>
  </si>
  <si>
    <t xml:space="preserve">BEV2_00919</t>
  </si>
  <si>
    <t xml:space="preserve">BEV2_00920</t>
  </si>
  <si>
    <t xml:space="preserve">BEV2_00921</t>
  </si>
  <si>
    <t xml:space="preserve">BEV2_00922</t>
  </si>
  <si>
    <t xml:space="preserve">BEV2_00923</t>
  </si>
  <si>
    <t xml:space="preserve">BEV2_00924</t>
  </si>
  <si>
    <t xml:space="preserve">BEV2_00925</t>
  </si>
  <si>
    <t xml:space="preserve">BEV2_00926</t>
  </si>
  <si>
    <t xml:space="preserve">BEV2_00927</t>
  </si>
  <si>
    <t xml:space="preserve">BEV2_00928</t>
  </si>
  <si>
    <t xml:space="preserve">BEV2_00929</t>
  </si>
  <si>
    <t xml:space="preserve">BEV2_00930</t>
  </si>
  <si>
    <t xml:space="preserve">BEV2_00931</t>
  </si>
  <si>
    <t xml:space="preserve">BEV2_00932</t>
  </si>
  <si>
    <t xml:space="preserve">BEV2_00933</t>
  </si>
  <si>
    <t xml:space="preserve">BEV2_00934</t>
  </si>
  <si>
    <t xml:space="preserve">BEV2_00935</t>
  </si>
  <si>
    <t xml:space="preserve">BEV2_00936</t>
  </si>
  <si>
    <t xml:space="preserve">BEV2_00937</t>
  </si>
  <si>
    <t xml:space="preserve">BEV2_00938</t>
  </si>
  <si>
    <t xml:space="preserve">BEV2_00939</t>
  </si>
  <si>
    <t xml:space="preserve">BEV2_00940</t>
  </si>
  <si>
    <t xml:space="preserve">BEV2_00941</t>
  </si>
  <si>
    <t xml:space="preserve">BEV2_00942</t>
  </si>
  <si>
    <t xml:space="preserve">BEV2_00943</t>
  </si>
  <si>
    <t xml:space="preserve">BEV2_00944</t>
  </si>
  <si>
    <t xml:space="preserve">BEV2_00945</t>
  </si>
  <si>
    <t xml:space="preserve">BEV2_00946</t>
  </si>
  <si>
    <t xml:space="preserve">BEV2_00947</t>
  </si>
  <si>
    <t xml:space="preserve">BEV2_00948</t>
  </si>
  <si>
    <t xml:space="preserve">BEV2_00949</t>
  </si>
  <si>
    <t xml:space="preserve">BEV2_00950</t>
  </si>
  <si>
    <t xml:space="preserve">BEV2_00951</t>
  </si>
  <si>
    <t xml:space="preserve">BEV2_00952</t>
  </si>
  <si>
    <t xml:space="preserve">BEV2_00953</t>
  </si>
  <si>
    <t xml:space="preserve">BEV2_00954</t>
  </si>
  <si>
    <t xml:space="preserve">BEV2_00955</t>
  </si>
  <si>
    <t xml:space="preserve">BEV2_00956</t>
  </si>
  <si>
    <t xml:space="preserve">BEV2_00957</t>
  </si>
  <si>
    <t xml:space="preserve">BEV2_00958</t>
  </si>
  <si>
    <t xml:space="preserve">BEV2_00959</t>
  </si>
  <si>
    <t xml:space="preserve">BEV2_00960</t>
  </si>
  <si>
    <t xml:space="preserve">BEV2_00961</t>
  </si>
  <si>
    <t xml:space="preserve">BEV2_00962</t>
  </si>
  <si>
    <t xml:space="preserve">BEV2_00963</t>
  </si>
  <si>
    <t xml:space="preserve">BEV2_00964</t>
  </si>
  <si>
    <t xml:space="preserve">BEV2_00965</t>
  </si>
  <si>
    <t xml:space="preserve">BEV2_00966</t>
  </si>
  <si>
    <t xml:space="preserve">BEV2_00967</t>
  </si>
  <si>
    <t xml:space="preserve">BEV2_00968</t>
  </si>
  <si>
    <t xml:space="preserve">BEV2_00969</t>
  </si>
  <si>
    <t xml:space="preserve">BEV2_00970</t>
  </si>
  <si>
    <t xml:space="preserve">BEV2_00971</t>
  </si>
  <si>
    <t xml:space="preserve">BEV2_00972</t>
  </si>
  <si>
    <t xml:space="preserve">BEV2_00973</t>
  </si>
  <si>
    <t xml:space="preserve">BEV2_00974</t>
  </si>
  <si>
    <t xml:space="preserve">BEV2_00975</t>
  </si>
  <si>
    <t xml:space="preserve">BEV2_00976</t>
  </si>
  <si>
    <t xml:space="preserve">BEV2_00977</t>
  </si>
  <si>
    <t xml:space="preserve">BEV2_00978</t>
  </si>
  <si>
    <t xml:space="preserve">BEV2_00979</t>
  </si>
  <si>
    <t xml:space="preserve">BEV2_00980</t>
  </si>
  <si>
    <t xml:space="preserve">BEV2_00981</t>
  </si>
  <si>
    <t xml:space="preserve">BEV2_00982</t>
  </si>
  <si>
    <t xml:space="preserve">BEV2_00983</t>
  </si>
  <si>
    <t xml:space="preserve">BEV2_00984</t>
  </si>
  <si>
    <t xml:space="preserve">BEV2_00985</t>
  </si>
  <si>
    <t xml:space="preserve">BEV2_00986</t>
  </si>
  <si>
    <t xml:space="preserve">BEV2_00987</t>
  </si>
  <si>
    <t xml:space="preserve">BEV2_00988</t>
  </si>
  <si>
    <t xml:space="preserve">BEV2_00989</t>
  </si>
  <si>
    <t xml:space="preserve">BEV2_00990</t>
  </si>
  <si>
    <t xml:space="preserve">BEV2_00991</t>
  </si>
  <si>
    <t xml:space="preserve">BEV2_00992</t>
  </si>
  <si>
    <t xml:space="preserve">BEV2_00993</t>
  </si>
  <si>
    <t xml:space="preserve">BEV2_00994</t>
  </si>
  <si>
    <t xml:space="preserve">BEV2_00995</t>
  </si>
  <si>
    <t xml:space="preserve">BEV2_00996</t>
  </si>
  <si>
    <t xml:space="preserve">BEV2_00997</t>
  </si>
  <si>
    <t xml:space="preserve">BEV2_00998</t>
  </si>
  <si>
    <t xml:space="preserve">BEV2_00999</t>
  </si>
  <si>
    <t xml:space="preserve">BEV2_01000</t>
  </si>
  <si>
    <t xml:space="preserve">BEV2_01001</t>
  </si>
  <si>
    <t xml:space="preserve">BEV2_01002</t>
  </si>
  <si>
    <t xml:space="preserve">BEV2_01003</t>
  </si>
  <si>
    <t xml:space="preserve">BEV2_01004</t>
  </si>
  <si>
    <t xml:space="preserve">BEV2_01005</t>
  </si>
  <si>
    <t xml:space="preserve">BEV2_01006</t>
  </si>
  <si>
    <t xml:space="preserve">BEV2_01007</t>
  </si>
  <si>
    <t xml:space="preserve">BEV2_01008</t>
  </si>
  <si>
    <t xml:space="preserve">BEV2_01009</t>
  </si>
  <si>
    <t xml:space="preserve">BEV2_01010</t>
  </si>
  <si>
    <t xml:space="preserve">BEV2_01011</t>
  </si>
  <si>
    <t xml:space="preserve">BEV2_01012</t>
  </si>
  <si>
    <t xml:space="preserve">BEV2_01013</t>
  </si>
  <si>
    <t xml:space="preserve">BEV2_01014</t>
  </si>
  <si>
    <t xml:space="preserve">BEV2_01015</t>
  </si>
  <si>
    <t xml:space="preserve">BEV2_01016</t>
  </si>
  <si>
    <t xml:space="preserve">BEV2_01017</t>
  </si>
  <si>
    <t xml:space="preserve">BEV2_01018</t>
  </si>
  <si>
    <t xml:space="preserve">BEV2_01019</t>
  </si>
  <si>
    <t xml:space="preserve">BEV2_01020</t>
  </si>
  <si>
    <t xml:space="preserve">BEV2_01021</t>
  </si>
  <si>
    <t xml:space="preserve">BEV2_01022</t>
  </si>
  <si>
    <t xml:space="preserve">BEV2_01023</t>
  </si>
  <si>
    <t xml:space="preserve">BEV2_01024</t>
  </si>
  <si>
    <t xml:space="preserve">BEV2_01025</t>
  </si>
  <si>
    <t xml:space="preserve">BEV2_01026</t>
  </si>
  <si>
    <t xml:space="preserve">BEV2_01027</t>
  </si>
  <si>
    <t xml:space="preserve">BEV2_01028</t>
  </si>
  <si>
    <t xml:space="preserve">BEV2_01029</t>
  </si>
  <si>
    <t xml:space="preserve">BEV2_01030</t>
  </si>
  <si>
    <t xml:space="preserve">BEV2_01031</t>
  </si>
  <si>
    <t xml:space="preserve">BEV2_01032</t>
  </si>
  <si>
    <t xml:space="preserve">BEV2_01033</t>
  </si>
  <si>
    <t xml:space="preserve">BEV2_01034</t>
  </si>
  <si>
    <t xml:space="preserve">BEV2_01035</t>
  </si>
  <si>
    <t xml:space="preserve">BEV2_01036</t>
  </si>
  <si>
    <t xml:space="preserve">BEV2_01037</t>
  </si>
  <si>
    <t xml:space="preserve">BEV2_01038</t>
  </si>
  <si>
    <t xml:space="preserve">BEV2_01039</t>
  </si>
  <si>
    <t xml:space="preserve">BEV2_01040</t>
  </si>
  <si>
    <t xml:space="preserve">BEV2_01041</t>
  </si>
  <si>
    <t xml:space="preserve">BEV2_01042</t>
  </si>
  <si>
    <t xml:space="preserve">BEV2_01043</t>
  </si>
  <si>
    <t xml:space="preserve">BEV2_01044</t>
  </si>
  <si>
    <t xml:space="preserve">BEV2_01045</t>
  </si>
  <si>
    <t xml:space="preserve">BEV2_01046</t>
  </si>
  <si>
    <t xml:space="preserve">BEV2_01047</t>
  </si>
  <si>
    <t xml:space="preserve">BEV2_01048</t>
  </si>
  <si>
    <t xml:space="preserve">BEV2_01049</t>
  </si>
  <si>
    <t xml:space="preserve">BEV2_01050</t>
  </si>
  <si>
    <t xml:space="preserve">BEV2_01051</t>
  </si>
  <si>
    <t xml:space="preserve">BEV2_01052</t>
  </si>
  <si>
    <t xml:space="preserve">BEV2_01053</t>
  </si>
  <si>
    <t xml:space="preserve">BEV2_01054</t>
  </si>
  <si>
    <t xml:space="preserve">BEV2_01055</t>
  </si>
  <si>
    <t xml:space="preserve">BEV2_01056</t>
  </si>
  <si>
    <t xml:space="preserve">BEV2_01057</t>
  </si>
  <si>
    <t xml:space="preserve">BEV2_01058</t>
  </si>
  <si>
    <t xml:space="preserve">BEV2_01059</t>
  </si>
  <si>
    <t xml:space="preserve">BEV2_01060</t>
  </si>
  <si>
    <t xml:space="preserve">BEV2_01061</t>
  </si>
  <si>
    <t xml:space="preserve">BEV2_01062</t>
  </si>
  <si>
    <t xml:space="preserve">BEV2_01063</t>
  </si>
  <si>
    <t xml:space="preserve">BEV2_01064</t>
  </si>
  <si>
    <t xml:space="preserve">BEV2_01065</t>
  </si>
  <si>
    <t xml:space="preserve">BEV2_01066</t>
  </si>
  <si>
    <t xml:space="preserve">BEV2_01067</t>
  </si>
  <si>
    <t xml:space="preserve">BEV2_01068</t>
  </si>
  <si>
    <t xml:space="preserve">BEV2_01069</t>
  </si>
  <si>
    <t xml:space="preserve">BEV2_01070</t>
  </si>
  <si>
    <t xml:space="preserve">BEV2_01071</t>
  </si>
  <si>
    <t xml:space="preserve">BEV2_01072</t>
  </si>
  <si>
    <t xml:space="preserve">BEV2_01073</t>
  </si>
  <si>
    <t xml:space="preserve">BEV2_01074</t>
  </si>
  <si>
    <t xml:space="preserve">BEV2_01075</t>
  </si>
  <si>
    <t xml:space="preserve">BEV2_01076</t>
  </si>
  <si>
    <t xml:space="preserve">BEV2_01077</t>
  </si>
  <si>
    <t xml:space="preserve">BEV2_01078</t>
  </si>
  <si>
    <t xml:space="preserve">BEV2_01079</t>
  </si>
  <si>
    <t xml:space="preserve">BEV2_01080</t>
  </si>
  <si>
    <t xml:space="preserve">BEV2_01081</t>
  </si>
  <si>
    <t xml:space="preserve">BEV2_01082</t>
  </si>
  <si>
    <t xml:space="preserve">BEV2_01083</t>
  </si>
  <si>
    <t xml:space="preserve">BEV2_01084</t>
  </si>
  <si>
    <t xml:space="preserve">BEV2_01085</t>
  </si>
  <si>
    <t xml:space="preserve">BEV2_01086</t>
  </si>
  <si>
    <t xml:space="preserve">BEV2_01087</t>
  </si>
  <si>
    <t xml:space="preserve">BEV2_01088</t>
  </si>
  <si>
    <t xml:space="preserve">BEV2_01089</t>
  </si>
  <si>
    <t xml:space="preserve">BEV2_01090</t>
  </si>
  <si>
    <t xml:space="preserve">BEV2_01091</t>
  </si>
  <si>
    <t xml:space="preserve">BEV2_01092</t>
  </si>
  <si>
    <t xml:space="preserve">BEV2_01093</t>
  </si>
  <si>
    <t xml:space="preserve">BEV2_01094</t>
  </si>
  <si>
    <t xml:space="preserve">BEV2_01095</t>
  </si>
  <si>
    <t xml:space="preserve">BEV2_01096</t>
  </si>
  <si>
    <t xml:space="preserve">BEV2_01097</t>
  </si>
  <si>
    <t xml:space="preserve">BEV2_01098</t>
  </si>
  <si>
    <t xml:space="preserve">BEV2_01099</t>
  </si>
  <si>
    <t xml:space="preserve">BEV2_01100</t>
  </si>
  <si>
    <t xml:space="preserve">BEV2_01101</t>
  </si>
  <si>
    <t xml:space="preserve">BEV2_01102</t>
  </si>
  <si>
    <t xml:space="preserve">BEV2_01103</t>
  </si>
  <si>
    <t xml:space="preserve">BEV2_01104</t>
  </si>
  <si>
    <t xml:space="preserve">BEV2_01105</t>
  </si>
  <si>
    <t xml:space="preserve">BEV2_01106</t>
  </si>
  <si>
    <t xml:space="preserve">BEV2_01107</t>
  </si>
  <si>
    <t xml:space="preserve">BEV2_01108</t>
  </si>
  <si>
    <t xml:space="preserve">BEV2_01109</t>
  </si>
  <si>
    <t xml:space="preserve">BEV2_01110</t>
  </si>
  <si>
    <t xml:space="preserve">BEV2_01111</t>
  </si>
  <si>
    <t xml:space="preserve">BEV2_01112</t>
  </si>
  <si>
    <t xml:space="preserve">BEV2_01113</t>
  </si>
  <si>
    <t xml:space="preserve">BEV2_01114</t>
  </si>
  <si>
    <t xml:space="preserve">BEV2_01115</t>
  </si>
  <si>
    <t xml:space="preserve">BEV2_01116</t>
  </si>
  <si>
    <t xml:space="preserve">BEV2_01117</t>
  </si>
  <si>
    <t xml:space="preserve">BEV2_01118</t>
  </si>
  <si>
    <t xml:space="preserve">BEV2_01119</t>
  </si>
  <si>
    <t xml:space="preserve">BEV2_01120</t>
  </si>
  <si>
    <t xml:space="preserve">BEV2_01121</t>
  </si>
  <si>
    <t xml:space="preserve">BEV2_01122</t>
  </si>
  <si>
    <t xml:space="preserve">BEV2_01123</t>
  </si>
  <si>
    <t xml:space="preserve">BEV2_01124</t>
  </si>
  <si>
    <t xml:space="preserve">BEV2_01125</t>
  </si>
  <si>
    <t xml:space="preserve">BEV2_01126</t>
  </si>
  <si>
    <t xml:space="preserve">BEV2_01127</t>
  </si>
  <si>
    <t xml:space="preserve">BEV2_01128</t>
  </si>
  <si>
    <t xml:space="preserve">BEV2_01129</t>
  </si>
  <si>
    <t xml:space="preserve">BEV2_01130</t>
  </si>
  <si>
    <t xml:space="preserve">BEV2_01131</t>
  </si>
  <si>
    <t xml:space="preserve">BEV2_01132</t>
  </si>
  <si>
    <t xml:space="preserve">BEV2_01133</t>
  </si>
  <si>
    <t xml:space="preserve">BEV2_01134</t>
  </si>
  <si>
    <t xml:space="preserve">BEV2_01135</t>
  </si>
  <si>
    <t xml:space="preserve">BEV2_01136</t>
  </si>
  <si>
    <t xml:space="preserve">BEV2_01137</t>
  </si>
  <si>
    <t xml:space="preserve">BEV2_01138</t>
  </si>
  <si>
    <t xml:space="preserve">BEV2_01139</t>
  </si>
  <si>
    <t xml:space="preserve">BEV2_01140</t>
  </si>
  <si>
    <t xml:space="preserve">BEV2_01141</t>
  </si>
  <si>
    <t xml:space="preserve">BEV2_01142</t>
  </si>
  <si>
    <t xml:space="preserve">BEV2_01143</t>
  </si>
  <si>
    <t xml:space="preserve">BEV2_01144</t>
  </si>
  <si>
    <t xml:space="preserve">BEV2_01145</t>
  </si>
  <si>
    <t xml:space="preserve">BEV2_01146</t>
  </si>
  <si>
    <t xml:space="preserve">BEV2_01147</t>
  </si>
  <si>
    <t xml:space="preserve">BEV2_01148</t>
  </si>
  <si>
    <t xml:space="preserve">BEV2_01149</t>
  </si>
  <si>
    <t xml:space="preserve">BEV2_01150</t>
  </si>
  <si>
    <t xml:space="preserve">BEV2_01151</t>
  </si>
  <si>
    <t xml:space="preserve">BEV2_01152</t>
  </si>
  <si>
    <t xml:space="preserve">BEV2_01153</t>
  </si>
  <si>
    <t xml:space="preserve">BEV2_01154</t>
  </si>
  <si>
    <t xml:space="preserve">BEV2_01155</t>
  </si>
  <si>
    <t xml:space="preserve">BEV2_01156</t>
  </si>
  <si>
    <t xml:space="preserve">BEV2_01157</t>
  </si>
  <si>
    <t xml:space="preserve">BEV2_01158</t>
  </si>
  <si>
    <t xml:space="preserve">BEV2_01159</t>
  </si>
  <si>
    <t xml:space="preserve">BEV2_01160</t>
  </si>
  <si>
    <t xml:space="preserve">BEV2_01161</t>
  </si>
  <si>
    <t xml:space="preserve">BEV2_01162</t>
  </si>
  <si>
    <t xml:space="preserve">BEV2_01163</t>
  </si>
  <si>
    <t xml:space="preserve">BEV2_01164</t>
  </si>
  <si>
    <t xml:space="preserve">BEV2_01165</t>
  </si>
  <si>
    <t xml:space="preserve">BEV2_01166</t>
  </si>
  <si>
    <t xml:space="preserve">BEV2_01167</t>
  </si>
  <si>
    <t xml:space="preserve">BEV2_01168</t>
  </si>
  <si>
    <t xml:space="preserve">BEV2_01169</t>
  </si>
  <si>
    <t xml:space="preserve">BEV2_01170</t>
  </si>
  <si>
    <t xml:space="preserve">BEV2_01171</t>
  </si>
  <si>
    <t xml:space="preserve">BEV2_01172</t>
  </si>
  <si>
    <t xml:space="preserve">BEV2_01173</t>
  </si>
  <si>
    <t xml:space="preserve">BEV2_01174</t>
  </si>
  <si>
    <t xml:space="preserve">BEV2_01175</t>
  </si>
  <si>
    <t xml:space="preserve">BEV2_01176</t>
  </si>
  <si>
    <t xml:space="preserve">BEV2_01177</t>
  </si>
  <si>
    <t xml:space="preserve">BEV2_01178</t>
  </si>
  <si>
    <t xml:space="preserve">BEV2_01179</t>
  </si>
  <si>
    <t xml:space="preserve">BEV2_01180</t>
  </si>
  <si>
    <t xml:space="preserve">BEV2_01181</t>
  </si>
  <si>
    <t xml:space="preserve">BEV2_01182</t>
  </si>
  <si>
    <t xml:space="preserve">BEV2_01183</t>
  </si>
  <si>
    <t xml:space="preserve">BEV2_01184</t>
  </si>
  <si>
    <t xml:space="preserve">BEV2_01185</t>
  </si>
  <si>
    <t xml:space="preserve">BEV2_01186</t>
  </si>
  <si>
    <t xml:space="preserve">BEV2_01187</t>
  </si>
  <si>
    <t xml:space="preserve">BEV2_01188</t>
  </si>
  <si>
    <t xml:space="preserve">BEV2_01189</t>
  </si>
  <si>
    <t xml:space="preserve">BEV2_01190</t>
  </si>
  <si>
    <t xml:space="preserve">BEV2_01191</t>
  </si>
  <si>
    <t xml:space="preserve">BEV2_01192</t>
  </si>
  <si>
    <t xml:space="preserve">BEV2_01193</t>
  </si>
  <si>
    <t xml:space="preserve">BEV2_01194</t>
  </si>
  <si>
    <t xml:space="preserve">BEV2_01195</t>
  </si>
  <si>
    <t xml:space="preserve">BEV2_01196</t>
  </si>
  <si>
    <t xml:space="preserve">BEV2_01197</t>
  </si>
  <si>
    <t xml:space="preserve">BEV2_01198</t>
  </si>
  <si>
    <t xml:space="preserve">BEV2_01199</t>
  </si>
  <si>
    <t xml:space="preserve">BEV2_01200</t>
  </si>
  <si>
    <t xml:space="preserve">BEV2_01201</t>
  </si>
  <si>
    <t xml:space="preserve">BEV2_01202</t>
  </si>
  <si>
    <t xml:space="preserve">BEV2_01203</t>
  </si>
  <si>
    <t xml:space="preserve">BEV2_01204</t>
  </si>
  <si>
    <t xml:space="preserve">BEV2_01205</t>
  </si>
  <si>
    <t xml:space="preserve">BEV2_01206</t>
  </si>
  <si>
    <t xml:space="preserve">BEV2_01207</t>
  </si>
  <si>
    <t xml:space="preserve">BEV2_01208</t>
  </si>
  <si>
    <t xml:space="preserve">BEV2_01209</t>
  </si>
  <si>
    <t xml:space="preserve">BEV2_01210</t>
  </si>
  <si>
    <t xml:space="preserve">BEV2_01211</t>
  </si>
  <si>
    <t xml:space="preserve">BEV2_01212</t>
  </si>
  <si>
    <t xml:space="preserve">BEV2_01213</t>
  </si>
  <si>
    <t xml:space="preserve">BEV2_01214</t>
  </si>
  <si>
    <t xml:space="preserve">BEV2_01215</t>
  </si>
  <si>
    <t xml:space="preserve">BEV2_01216</t>
  </si>
  <si>
    <t xml:space="preserve">BEV2_01217</t>
  </si>
  <si>
    <t xml:space="preserve">BEV2_01218</t>
  </si>
  <si>
    <t xml:space="preserve">BEV2_01219</t>
  </si>
  <si>
    <t xml:space="preserve">BEV2_01220</t>
  </si>
  <si>
    <t xml:space="preserve">BEV2_01221</t>
  </si>
  <si>
    <t xml:space="preserve">BEV2_01222</t>
  </si>
  <si>
    <t xml:space="preserve">BEV2_01223</t>
  </si>
  <si>
    <t xml:space="preserve">BEV2_01224</t>
  </si>
  <si>
    <t xml:space="preserve">BEV2_01225</t>
  </si>
  <si>
    <t xml:space="preserve">BEV2_01226</t>
  </si>
  <si>
    <t xml:space="preserve">BEV2_01227</t>
  </si>
  <si>
    <t xml:space="preserve">BEV2_01228</t>
  </si>
  <si>
    <t xml:space="preserve">BEV2_01229</t>
  </si>
  <si>
    <t xml:space="preserve">BEV2_01230</t>
  </si>
  <si>
    <t xml:space="preserve">BEV2_01231</t>
  </si>
  <si>
    <t xml:space="preserve">BEV2_01232</t>
  </si>
  <si>
    <t xml:space="preserve">BEV2_01233</t>
  </si>
  <si>
    <t xml:space="preserve">BEV2_01234</t>
  </si>
  <si>
    <t xml:space="preserve">BEV2_01235</t>
  </si>
  <si>
    <t xml:space="preserve">BEV2_01236</t>
  </si>
  <si>
    <t xml:space="preserve">BEV2_01237</t>
  </si>
  <si>
    <t xml:space="preserve">BEV2_01238</t>
  </si>
  <si>
    <t xml:space="preserve">BEV2_01239</t>
  </si>
  <si>
    <t xml:space="preserve">BEV2_01240</t>
  </si>
  <si>
    <t xml:space="preserve">BEV2_01241</t>
  </si>
  <si>
    <t xml:space="preserve">BEV2_01242</t>
  </si>
  <si>
    <t xml:space="preserve">BEV2_01243</t>
  </si>
  <si>
    <t xml:space="preserve">BEV2_01244</t>
  </si>
  <si>
    <t xml:space="preserve">BEV2_01245</t>
  </si>
  <si>
    <t xml:space="preserve">BEV2_01246</t>
  </si>
  <si>
    <t xml:space="preserve">BEV2_01247</t>
  </si>
  <si>
    <t xml:space="preserve">BEV2_01248</t>
  </si>
  <si>
    <t xml:space="preserve">BEV2_01249</t>
  </si>
  <si>
    <t xml:space="preserve">BEV2_01250</t>
  </si>
  <si>
    <t xml:space="preserve">BEV2_01251</t>
  </si>
  <si>
    <t xml:space="preserve">BEV2_01252</t>
  </si>
  <si>
    <t xml:space="preserve">BEV2_01253</t>
  </si>
  <si>
    <t xml:space="preserve">BEV2_01254</t>
  </si>
  <si>
    <t xml:space="preserve">BEV2_01255</t>
  </si>
  <si>
    <t xml:space="preserve">BEV2_01256</t>
  </si>
  <si>
    <t xml:space="preserve">BEV2_01257</t>
  </si>
  <si>
    <t xml:space="preserve">BEV2_01258</t>
  </si>
  <si>
    <t xml:space="preserve">BEV2_01259</t>
  </si>
  <si>
    <t xml:space="preserve">BEV2_01260</t>
  </si>
  <si>
    <t xml:space="preserve">BEV2_01261</t>
  </si>
  <si>
    <t xml:space="preserve">BEV2_01262</t>
  </si>
  <si>
    <t xml:space="preserve">BEV2_01263</t>
  </si>
  <si>
    <t xml:space="preserve">BEV2_01264</t>
  </si>
  <si>
    <t xml:space="preserve">BEV2_01265</t>
  </si>
  <si>
    <t xml:space="preserve">BEV2_01266</t>
  </si>
  <si>
    <t xml:space="preserve">BEV2_01267</t>
  </si>
  <si>
    <t xml:space="preserve">BEV2_01268</t>
  </si>
  <si>
    <t xml:space="preserve">BEV2_01269</t>
  </si>
  <si>
    <t xml:space="preserve">BEV2_01270</t>
  </si>
  <si>
    <t xml:space="preserve">BEV2_01271</t>
  </si>
  <si>
    <t xml:space="preserve">BEV2_01272</t>
  </si>
  <si>
    <t xml:space="preserve">BEV2_01273</t>
  </si>
  <si>
    <t xml:space="preserve">BEV2_01274</t>
  </si>
  <si>
    <t xml:space="preserve">BEV2_01275</t>
  </si>
  <si>
    <t xml:space="preserve">BEV2_01276</t>
  </si>
  <si>
    <t xml:space="preserve">BEV2_01277</t>
  </si>
  <si>
    <t xml:space="preserve">BEV2_01278</t>
  </si>
  <si>
    <t xml:space="preserve">BEV2_01279</t>
  </si>
  <si>
    <t xml:space="preserve">BEV2_01280</t>
  </si>
  <si>
    <t xml:space="preserve">BEV2_01281</t>
  </si>
  <si>
    <t xml:space="preserve">BEV2_01282</t>
  </si>
  <si>
    <t xml:space="preserve">BEV2_01283</t>
  </si>
  <si>
    <t xml:space="preserve">BEV2_01284</t>
  </si>
  <si>
    <t xml:space="preserve">BEV2_01285</t>
  </si>
  <si>
    <t xml:space="preserve">BEV2_01286</t>
  </si>
  <si>
    <t xml:space="preserve">BEV2_01287</t>
  </si>
  <si>
    <t xml:space="preserve">BEV2_01288</t>
  </si>
  <si>
    <t xml:space="preserve">BEV2_01289</t>
  </si>
  <si>
    <t xml:space="preserve">BEV2_01290</t>
  </si>
  <si>
    <t xml:space="preserve">BEV2_01291</t>
  </si>
  <si>
    <t xml:space="preserve">BEV2_01292</t>
  </si>
  <si>
    <t xml:space="preserve">BEV2_01293</t>
  </si>
  <si>
    <t xml:space="preserve">BEV2_01294</t>
  </si>
  <si>
    <t xml:space="preserve">BEV2_01295</t>
  </si>
  <si>
    <t xml:space="preserve">BEV2_01296</t>
  </si>
  <si>
    <t xml:space="preserve">BEV2_01297</t>
  </si>
  <si>
    <t xml:space="preserve">BEV2_01298</t>
  </si>
  <si>
    <t xml:space="preserve">BEV2_01299</t>
  </si>
  <si>
    <t xml:space="preserve">BEV2_01300</t>
  </si>
  <si>
    <t xml:space="preserve">BEV2_01301</t>
  </si>
  <si>
    <t xml:space="preserve">BEV2_01302</t>
  </si>
  <si>
    <t xml:space="preserve">BEV2_01303</t>
  </si>
  <si>
    <t xml:space="preserve">BEV2_01304</t>
  </si>
  <si>
    <t xml:space="preserve">BEV2_01305</t>
  </si>
  <si>
    <t xml:space="preserve">BEV2_01306</t>
  </si>
  <si>
    <t xml:space="preserve">BEV2_01307</t>
  </si>
  <si>
    <t xml:space="preserve">BEV2_01308</t>
  </si>
  <si>
    <t xml:space="preserve">BEV2_01309</t>
  </si>
  <si>
    <t xml:space="preserve">BEV2_01310</t>
  </si>
  <si>
    <t xml:space="preserve">BEV2_01311</t>
  </si>
  <si>
    <t xml:space="preserve">BEV2_01312</t>
  </si>
  <si>
    <t xml:space="preserve">BEV2_01313</t>
  </si>
  <si>
    <t xml:space="preserve">BEV2_01314</t>
  </si>
  <si>
    <t xml:space="preserve">BEV2_01315</t>
  </si>
  <si>
    <t xml:space="preserve">BEV2_01316</t>
  </si>
  <si>
    <t xml:space="preserve">BEV2_01317</t>
  </si>
  <si>
    <t xml:space="preserve">BEV2_01318</t>
  </si>
  <si>
    <t xml:space="preserve">BEV2_01319</t>
  </si>
  <si>
    <t xml:space="preserve">BEV2_01320</t>
  </si>
  <si>
    <t xml:space="preserve">BEV2_01321</t>
  </si>
  <si>
    <t xml:space="preserve">BEV2_01322</t>
  </si>
  <si>
    <t xml:space="preserve">BEV2_01323</t>
  </si>
  <si>
    <t xml:space="preserve">BEV2_01324</t>
  </si>
  <si>
    <t xml:space="preserve">BEV2_01325</t>
  </si>
  <si>
    <t xml:space="preserve">BEV2_01326</t>
  </si>
  <si>
    <t xml:space="preserve">BEV2_01327</t>
  </si>
  <si>
    <t xml:space="preserve">BEV2_01328</t>
  </si>
  <si>
    <t xml:space="preserve">BEV2_01329</t>
  </si>
  <si>
    <t xml:space="preserve">BEV2_01330</t>
  </si>
  <si>
    <t xml:space="preserve">BEV2_01331</t>
  </si>
  <si>
    <t xml:space="preserve">BEV2_01332</t>
  </si>
  <si>
    <t xml:space="preserve">BEV2_01333</t>
  </si>
  <si>
    <t xml:space="preserve">BEV2_01334</t>
  </si>
  <si>
    <t xml:space="preserve">BEV2_01335</t>
  </si>
  <si>
    <t xml:space="preserve">BEV2_01336</t>
  </si>
  <si>
    <t xml:space="preserve">BEV2_01337</t>
  </si>
  <si>
    <t xml:space="preserve">BEV2_01338</t>
  </si>
  <si>
    <t xml:space="preserve">BEV2_01339</t>
  </si>
  <si>
    <t xml:space="preserve">BEV2_01340</t>
  </si>
  <si>
    <t xml:space="preserve">BEV2_01341</t>
  </si>
  <si>
    <t xml:space="preserve">BEV2_01342</t>
  </si>
  <si>
    <t xml:space="preserve">BEV2_01343</t>
  </si>
  <si>
    <t xml:space="preserve">BEV2_01344</t>
  </si>
  <si>
    <t xml:space="preserve">BEV2_01345</t>
  </si>
  <si>
    <t xml:space="preserve">BEV2_01346</t>
  </si>
  <si>
    <t xml:space="preserve">BEV2_01347</t>
  </si>
  <si>
    <t xml:space="preserve">BEV2_01348</t>
  </si>
  <si>
    <t xml:space="preserve">BEV2_01349</t>
  </si>
  <si>
    <t xml:space="preserve">BEV2_01350</t>
  </si>
  <si>
    <t xml:space="preserve">BEV2_01351</t>
  </si>
  <si>
    <t xml:space="preserve">BEV2_01352</t>
  </si>
  <si>
    <t xml:space="preserve">BEV2_01353</t>
  </si>
  <si>
    <t xml:space="preserve">BEV2_01354</t>
  </si>
  <si>
    <t xml:space="preserve">BEV2_01355</t>
  </si>
  <si>
    <t xml:space="preserve">BEV2_01356</t>
  </si>
  <si>
    <t xml:space="preserve">BEV2_01357</t>
  </si>
  <si>
    <t xml:space="preserve">BEV2_01358</t>
  </si>
  <si>
    <t xml:space="preserve">BEV2_01359</t>
  </si>
  <si>
    <t xml:space="preserve">BEV2_01360</t>
  </si>
  <si>
    <t xml:space="preserve">BEV2_01361</t>
  </si>
  <si>
    <t xml:space="preserve">BEV2_01362</t>
  </si>
  <si>
    <t xml:space="preserve">BEV2_01363</t>
  </si>
  <si>
    <t xml:space="preserve">BEV2_01364</t>
  </si>
  <si>
    <t xml:space="preserve">BEV2_01365</t>
  </si>
  <si>
    <t xml:space="preserve">BEV2_01366</t>
  </si>
  <si>
    <t xml:space="preserve">BEV2_01367</t>
  </si>
  <si>
    <t xml:space="preserve">BEV2_01368</t>
  </si>
  <si>
    <t xml:space="preserve">BEV2_01369</t>
  </si>
  <si>
    <t xml:space="preserve">BEV2_01370</t>
  </si>
  <si>
    <t xml:space="preserve">BEV2_01371</t>
  </si>
  <si>
    <t xml:space="preserve">BEV2_01372</t>
  </si>
  <si>
    <t xml:space="preserve">BEV2_01373</t>
  </si>
  <si>
    <t xml:space="preserve">BEV2_01374</t>
  </si>
  <si>
    <t xml:space="preserve">BEV2_01375</t>
  </si>
  <si>
    <t xml:space="preserve">BEV2_01376</t>
  </si>
  <si>
    <t xml:space="preserve">BEV2_01377</t>
  </si>
  <si>
    <t xml:space="preserve">BEV2_01378</t>
  </si>
  <si>
    <t xml:space="preserve">BEV2_01379</t>
  </si>
  <si>
    <t xml:space="preserve">BEV2_01380</t>
  </si>
  <si>
    <t xml:space="preserve">BEV2_01381</t>
  </si>
  <si>
    <t xml:space="preserve">BEV2_01382</t>
  </si>
  <si>
    <t xml:space="preserve">BEV2_01383</t>
  </si>
  <si>
    <t xml:space="preserve">BEV2_01384</t>
  </si>
  <si>
    <t xml:space="preserve">BEV2_01385</t>
  </si>
  <si>
    <t xml:space="preserve">BEV2_01386</t>
  </si>
  <si>
    <t xml:space="preserve">BEV2_01387</t>
  </si>
  <si>
    <t xml:space="preserve">BEV2_01388</t>
  </si>
  <si>
    <t xml:space="preserve">BEV2_01389</t>
  </si>
  <si>
    <t xml:space="preserve">BEV2_01390</t>
  </si>
  <si>
    <t xml:space="preserve">BEV2_01391</t>
  </si>
  <si>
    <t xml:space="preserve">BEV2_01392</t>
  </si>
  <si>
    <t xml:space="preserve">BEV2_01393</t>
  </si>
  <si>
    <t xml:space="preserve">BEV2_01394</t>
  </si>
  <si>
    <t xml:space="preserve">BEV2_01395</t>
  </si>
  <si>
    <t xml:space="preserve">BEV2_01396</t>
  </si>
  <si>
    <t xml:space="preserve">BEV2_01397</t>
  </si>
  <si>
    <t xml:space="preserve">BEV2_01398</t>
  </si>
  <si>
    <t xml:space="preserve">BEV2_01399</t>
  </si>
  <si>
    <t xml:space="preserve">BEV2_01400</t>
  </si>
  <si>
    <t xml:space="preserve">BEV2_01401</t>
  </si>
  <si>
    <t xml:space="preserve">BEV2_01402</t>
  </si>
  <si>
    <t xml:space="preserve">BEV2_01403</t>
  </si>
  <si>
    <t xml:space="preserve">BEV2_01404</t>
  </si>
  <si>
    <t xml:space="preserve">BEV2_01405</t>
  </si>
  <si>
    <t xml:space="preserve">BEV2_01406</t>
  </si>
  <si>
    <t xml:space="preserve">BEV2_01407</t>
  </si>
  <si>
    <t xml:space="preserve">BEV2_01408</t>
  </si>
  <si>
    <t xml:space="preserve">BEV2_01409</t>
  </si>
  <si>
    <t xml:space="preserve">BEV2_01410</t>
  </si>
  <si>
    <t xml:space="preserve">BEV2_01411</t>
  </si>
  <si>
    <t xml:space="preserve">BEV2_01412</t>
  </si>
  <si>
    <t xml:space="preserve">BEV2_01413</t>
  </si>
  <si>
    <t xml:space="preserve">BEV2_01414</t>
  </si>
  <si>
    <t xml:space="preserve">BEV2_01415</t>
  </si>
  <si>
    <t xml:space="preserve">BEV2_01416</t>
  </si>
  <si>
    <t xml:space="preserve">BEV2_01417</t>
  </si>
  <si>
    <t xml:space="preserve">BEV2_01418</t>
  </si>
  <si>
    <t xml:space="preserve">BEV2_01419</t>
  </si>
  <si>
    <t xml:space="preserve">BEV2_01420</t>
  </si>
  <si>
    <t xml:space="preserve">BEV2_01421</t>
  </si>
  <si>
    <t xml:space="preserve">BEV2_01422</t>
  </si>
  <si>
    <t xml:space="preserve">BEV2_01423</t>
  </si>
  <si>
    <t xml:space="preserve">BEV2_01424</t>
  </si>
  <si>
    <t xml:space="preserve">BEV2_01425</t>
  </si>
  <si>
    <t xml:space="preserve">BEV2_01426</t>
  </si>
  <si>
    <t xml:space="preserve">BEV2_01427</t>
  </si>
  <si>
    <t xml:space="preserve">BEV2_01428</t>
  </si>
  <si>
    <t xml:space="preserve">BEV2_01429</t>
  </si>
  <si>
    <t xml:space="preserve">BEV2_01430</t>
  </si>
  <si>
    <t xml:space="preserve">BEV2_01431</t>
  </si>
  <si>
    <t xml:space="preserve">BEV2_01432</t>
  </si>
  <si>
    <t xml:space="preserve">BEV2_01433</t>
  </si>
  <si>
    <t xml:space="preserve">BEV2_01434</t>
  </si>
  <si>
    <t xml:space="preserve">BEV2_01435</t>
  </si>
  <si>
    <t xml:space="preserve">BEV2_01436</t>
  </si>
  <si>
    <t xml:space="preserve">BEV2_01437</t>
  </si>
  <si>
    <t xml:space="preserve">BEV2_01438</t>
  </si>
  <si>
    <t xml:space="preserve">BEV2_01439</t>
  </si>
  <si>
    <t xml:space="preserve">BEV2_01440</t>
  </si>
  <si>
    <t xml:space="preserve">BEV2_01441</t>
  </si>
  <si>
    <t xml:space="preserve">BEV2_01442</t>
  </si>
  <si>
    <t xml:space="preserve">BEV2_01443</t>
  </si>
  <si>
    <t xml:space="preserve">BEV2_01444</t>
  </si>
  <si>
    <t xml:space="preserve">BEV2_01445</t>
  </si>
  <si>
    <t xml:space="preserve">BEV2_01446</t>
  </si>
  <si>
    <t xml:space="preserve">BEV2_01447</t>
  </si>
  <si>
    <t xml:space="preserve">BEV2_01448</t>
  </si>
  <si>
    <t xml:space="preserve">BEV2_01449</t>
  </si>
  <si>
    <t xml:space="preserve">BEV2_01450</t>
  </si>
  <si>
    <t xml:space="preserve">BEV2_01451</t>
  </si>
  <si>
    <t xml:space="preserve">BEV2_01452</t>
  </si>
  <si>
    <t xml:space="preserve">BEV2_01453</t>
  </si>
  <si>
    <t xml:space="preserve">BEV2_01454</t>
  </si>
  <si>
    <t xml:space="preserve">BEV2_01455</t>
  </si>
  <si>
    <t xml:space="preserve">BEV2_01456</t>
  </si>
  <si>
    <t xml:space="preserve">BEV2_01457</t>
  </si>
  <si>
    <t xml:space="preserve">BEV2_01458</t>
  </si>
  <si>
    <t xml:space="preserve">BEV2_01459</t>
  </si>
  <si>
    <t xml:space="preserve">BEV2_01460</t>
  </si>
  <si>
    <t xml:space="preserve">BEV2_01461</t>
  </si>
  <si>
    <t xml:space="preserve">BEV2_01462</t>
  </si>
  <si>
    <t xml:space="preserve">BEV2_01463</t>
  </si>
  <si>
    <t xml:space="preserve">BEV2_01464</t>
  </si>
  <si>
    <t xml:space="preserve">BEV2_01465</t>
  </si>
  <si>
    <t xml:space="preserve">BEV2_01466</t>
  </si>
  <si>
    <t xml:space="preserve">BEV2_01467</t>
  </si>
  <si>
    <t xml:space="preserve">BEV2_01468</t>
  </si>
  <si>
    <t xml:space="preserve">BEV2_01469</t>
  </si>
  <si>
    <t xml:space="preserve">BEV2_01470</t>
  </si>
  <si>
    <t xml:space="preserve">BEV2_01471</t>
  </si>
  <si>
    <t xml:space="preserve">BEV2_01472</t>
  </si>
  <si>
    <t xml:space="preserve">BEV2_01473</t>
  </si>
  <si>
    <t xml:space="preserve">BEV2_01474</t>
  </si>
  <si>
    <t xml:space="preserve">BEV2_01475</t>
  </si>
  <si>
    <t xml:space="preserve">BEV2_01476</t>
  </si>
  <si>
    <t xml:space="preserve">BEV2_01477</t>
  </si>
  <si>
    <t xml:space="preserve">BEV2_01478</t>
  </si>
  <si>
    <t xml:space="preserve">BEV2_01479</t>
  </si>
  <si>
    <t xml:space="preserve">BEV2_01480</t>
  </si>
  <si>
    <t xml:space="preserve">BEV2_01481</t>
  </si>
  <si>
    <t xml:space="preserve">BEV2_01482</t>
  </si>
  <si>
    <t xml:space="preserve">BEV2_01483</t>
  </si>
  <si>
    <t xml:space="preserve">BEV2_01484</t>
  </si>
  <si>
    <t xml:space="preserve">BEV2_01485</t>
  </si>
  <si>
    <t xml:space="preserve">BEV2_01486</t>
  </si>
  <si>
    <t xml:space="preserve">BEV2_01487</t>
  </si>
  <si>
    <t xml:space="preserve">BEV2_01488</t>
  </si>
  <si>
    <t xml:space="preserve">BEV2_01489</t>
  </si>
  <si>
    <t xml:space="preserve">BEV2_01490</t>
  </si>
  <si>
    <t xml:space="preserve">BEV2_01491</t>
  </si>
  <si>
    <t xml:space="preserve">BEV2_01492</t>
  </si>
  <si>
    <t xml:space="preserve">BEV2_01493</t>
  </si>
  <si>
    <t xml:space="preserve">BEV2_01494</t>
  </si>
  <si>
    <t xml:space="preserve">BEV2_01495</t>
  </si>
  <si>
    <t xml:space="preserve">BEV2_01496</t>
  </si>
  <si>
    <t xml:space="preserve">BEV2_01497</t>
  </si>
  <si>
    <t xml:space="preserve">BEV2_01498</t>
  </si>
  <si>
    <t xml:space="preserve">BEV2_01499</t>
  </si>
  <si>
    <t xml:space="preserve">BEV2_01500</t>
  </si>
  <si>
    <t xml:space="preserve">BEV2_01501</t>
  </si>
  <si>
    <t xml:space="preserve">BEV2_01502</t>
  </si>
  <si>
    <t xml:space="preserve">BEV2_01503</t>
  </si>
  <si>
    <t xml:space="preserve">BEV2_01504</t>
  </si>
  <si>
    <t xml:space="preserve">BEV2_01505</t>
  </si>
  <si>
    <t xml:space="preserve">BEV2_01506</t>
  </si>
  <si>
    <t xml:space="preserve">BEV2_01507</t>
  </si>
  <si>
    <t xml:space="preserve">BEV2_01508</t>
  </si>
  <si>
    <t xml:space="preserve">BEV2_01509</t>
  </si>
  <si>
    <t xml:space="preserve">BEV2_01510</t>
  </si>
  <si>
    <t xml:space="preserve">BEV2_01511</t>
  </si>
  <si>
    <t xml:space="preserve">BEV2_01512</t>
  </si>
  <si>
    <t xml:space="preserve">BEV2_01513</t>
  </si>
  <si>
    <t xml:space="preserve">Página 9</t>
  </si>
  <si>
    <t xml:space="preserve">Código BCANA normalizado; tratamiento PSUT 2024 cerrado conforme al catálogo y a las reglas sectoriales.</t>
  </si>
  <si>
    <t xml:space="preserve">BEV2_01514</t>
  </si>
  <si>
    <t xml:space="preserve">BEV2_01515</t>
  </si>
  <si>
    <t xml:space="preserve">BEV2_01516</t>
  </si>
  <si>
    <t xml:space="preserve">BEV2_01517</t>
  </si>
  <si>
    <t xml:space="preserve">Cero observado en el BEN 2024 para Refinerías; conservado en la base operativa.</t>
  </si>
  <si>
    <t xml:space="preserve">BEV2_01518</t>
  </si>
  <si>
    <t xml:space="preserve">Flujo de generación central cerrado en D con trazabilidad al registro BEN.</t>
  </si>
  <si>
    <t xml:space="preserve">BEV2_01519</t>
  </si>
  <si>
    <t xml:space="preserve">Flujo de autoproducción cerrado en D bajo la regla funcional fija 2024.</t>
  </si>
  <si>
    <t xml:space="preserve">BEV2_01520</t>
  </si>
  <si>
    <t xml:space="preserve">Cero observado en el BEN 2024 para Consumo Propio; conservado en la base operativa.</t>
  </si>
  <si>
    <t xml:space="preserve">BEV2_01521</t>
  </si>
  <si>
    <t xml:space="preserve">BEV2_01522</t>
  </si>
  <si>
    <t xml:space="preserve">Cero observado en el BEN 2024 para Residencial; conservado en la base operativa.</t>
  </si>
  <si>
    <t xml:space="preserve">BEV2_01523</t>
  </si>
  <si>
    <t xml:space="preserve">Cero observado en el BEN 2024 para Comercio y Servicios; conservado en la base y excluido de la PSUT dispersa.</t>
  </si>
  <si>
    <t xml:space="preserve">BEV2_01524</t>
  </si>
  <si>
    <t xml:space="preserve">Cero observado en el BEN 2024 para Industria; conservado en la base operativa.</t>
  </si>
  <si>
    <t xml:space="preserve">BEV2_01525</t>
  </si>
  <si>
    <t xml:space="preserve">BEV2_01526</t>
  </si>
  <si>
    <t xml:space="preserve">Cero observado en el BEN 2024 para Pérdidas; conservado en la base operativa.</t>
  </si>
  <si>
    <t xml:space="preserve">BEV2_01527</t>
  </si>
  <si>
    <t xml:space="preserve">Código BIOGAS normalizado; tratamiento PSUT 2024 cerrado conforme al catálogo y a las reglas sectoriales.</t>
  </si>
  <si>
    <t xml:space="preserve">BEV2_01528</t>
  </si>
  <si>
    <t xml:space="preserve">BEV2_01529</t>
  </si>
  <si>
    <t xml:space="preserve">BEV2_01530</t>
  </si>
  <si>
    <t xml:space="preserve">BEV2_01531</t>
  </si>
  <si>
    <t xml:space="preserve">BEV2_01532</t>
  </si>
  <si>
    <t xml:space="preserve">BEV2_01533</t>
  </si>
  <si>
    <t xml:space="preserve">Cero observado en el BEN 2024 para Auto productores; conservado en la base operativa.</t>
  </si>
  <si>
    <t xml:space="preserve">BEV2_01534</t>
  </si>
  <si>
    <t xml:space="preserve">BEV2_01535</t>
  </si>
  <si>
    <t xml:space="preserve">BEV2_01536</t>
  </si>
  <si>
    <t xml:space="preserve">BEV2_01537</t>
  </si>
  <si>
    <t xml:space="preserve">BEV2_01538</t>
  </si>
  <si>
    <t xml:space="preserve">BEV2_01539</t>
  </si>
  <si>
    <t xml:space="preserve">BEV2_01540</t>
  </si>
  <si>
    <t xml:space="preserve">BEV2_01541</t>
  </si>
  <si>
    <t xml:space="preserve">Cero observado en la producción BEN 2024 de carbón; estructura extractiva conservada en B.</t>
  </si>
  <si>
    <t xml:space="preserve">BEV2_01542</t>
  </si>
  <si>
    <t xml:space="preserve">BEV2_01543</t>
  </si>
  <si>
    <t xml:space="preserve">BEV2_01544</t>
  </si>
  <si>
    <t xml:space="preserve">BEV2_01545</t>
  </si>
  <si>
    <t xml:space="preserve">BEV2_01546</t>
  </si>
  <si>
    <t xml:space="preserve">BEV2_01547</t>
  </si>
  <si>
    <t xml:space="preserve">BEV2_01548</t>
  </si>
  <si>
    <t xml:space="preserve">BEV2_01549</t>
  </si>
  <si>
    <t xml:space="preserve">BEV2_01550</t>
  </si>
  <si>
    <t xml:space="preserve">BEV2_01551</t>
  </si>
  <si>
    <t xml:space="preserve">BEV2_01552</t>
  </si>
  <si>
    <t xml:space="preserve">BEV2_01553</t>
  </si>
  <si>
    <t xml:space="preserve">BEV2_01554</t>
  </si>
  <si>
    <t xml:space="preserve">BEV2_01555</t>
  </si>
  <si>
    <t xml:space="preserve">Tratamiento PSUT 2024 cerrado como insumo natural para generación cuando corresponde.</t>
  </si>
  <si>
    <t xml:space="preserve">BEV2_01556</t>
  </si>
  <si>
    <t xml:space="preserve">BEV2_01557</t>
  </si>
  <si>
    <t xml:space="preserve">BEV2_01558</t>
  </si>
  <si>
    <t xml:space="preserve">BEV2_01559</t>
  </si>
  <si>
    <t xml:space="preserve">BEV2_01560</t>
  </si>
  <si>
    <t xml:space="preserve">BEV2_01561</t>
  </si>
  <si>
    <t xml:space="preserve">BEV2_01562</t>
  </si>
  <si>
    <t xml:space="preserve">BEV2_01563</t>
  </si>
  <si>
    <t xml:space="preserve">BEV2_01564</t>
  </si>
  <si>
    <t xml:space="preserve">BEV2_01565</t>
  </si>
  <si>
    <t xml:space="preserve">BEV2_01566</t>
  </si>
  <si>
    <t xml:space="preserve">BEV2_01567</t>
  </si>
  <si>
    <t xml:space="preserve">BEV2_01568</t>
  </si>
  <si>
    <t xml:space="preserve">BEV2_01569</t>
  </si>
  <si>
    <t xml:space="preserve">Tratamiento PSUT 2024 cerrado como insumo natural geotérmico para generación cuando corresponde.</t>
  </si>
  <si>
    <t xml:space="preserve">BEV2_01570</t>
  </si>
  <si>
    <t xml:space="preserve">BEV2_01571</t>
  </si>
  <si>
    <t xml:space="preserve">BEV2_01572</t>
  </si>
  <si>
    <t xml:space="preserve">BEV2_01573</t>
  </si>
  <si>
    <t xml:space="preserve">BEV2_01574</t>
  </si>
  <si>
    <t xml:space="preserve">BEV2_01575</t>
  </si>
  <si>
    <t xml:space="preserve">BEV2_01576</t>
  </si>
  <si>
    <t xml:space="preserve">BEV2_01577</t>
  </si>
  <si>
    <t xml:space="preserve">BEV2_01578</t>
  </si>
  <si>
    <t xml:space="preserve">BEV2_01579</t>
  </si>
  <si>
    <t xml:space="preserve">BEV2_01580</t>
  </si>
  <si>
    <t xml:space="preserve">BEV2_01581</t>
  </si>
  <si>
    <t xml:space="preserve">BEV2_01582</t>
  </si>
  <si>
    <t xml:space="preserve">BEV2_01583</t>
  </si>
  <si>
    <t xml:space="preserve">Producción BEN 2024 cerrada en B como extracción de gas natural y suministro del producto energético.</t>
  </si>
  <si>
    <t xml:space="preserve">BEV2_01584</t>
  </si>
  <si>
    <t xml:space="preserve">BEV2_01585</t>
  </si>
  <si>
    <t xml:space="preserve">BEV2_01586</t>
  </si>
  <si>
    <t xml:space="preserve">BEV2_01587</t>
  </si>
  <si>
    <t xml:space="preserve">BEV2_01588</t>
  </si>
  <si>
    <t xml:space="preserve">BEV2_01589</t>
  </si>
  <si>
    <t xml:space="preserve">BEV2_01590</t>
  </si>
  <si>
    <t xml:space="preserve">BEV2_01591</t>
  </si>
  <si>
    <t xml:space="preserve">BEV2_01592</t>
  </si>
  <si>
    <t xml:space="preserve">BEV2_01593</t>
  </si>
  <si>
    <t xml:space="preserve">BEV2_01594</t>
  </si>
  <si>
    <t xml:space="preserve">BEV2_01595</t>
  </si>
  <si>
    <t xml:space="preserve">BEV2_01596</t>
  </si>
  <si>
    <t xml:space="preserve">BEV2_01597</t>
  </si>
  <si>
    <t xml:space="preserve">Tratamiento PSUT 2024 cerrado como insumo natural hídrico para generación cuando corresponde.</t>
  </si>
  <si>
    <t xml:space="preserve">BEV2_01598</t>
  </si>
  <si>
    <t xml:space="preserve">BEV2_01599</t>
  </si>
  <si>
    <t xml:space="preserve">BEV2_01600</t>
  </si>
  <si>
    <t xml:space="preserve">BEV2_01601</t>
  </si>
  <si>
    <t xml:space="preserve">BEV2_01602</t>
  </si>
  <si>
    <t xml:space="preserve">BEV2_01603</t>
  </si>
  <si>
    <t xml:space="preserve">BEV2_01604</t>
  </si>
  <si>
    <t xml:space="preserve">BEV2_01605</t>
  </si>
  <si>
    <t xml:space="preserve">BEV2_01606</t>
  </si>
  <si>
    <t xml:space="preserve">BEV2_01607</t>
  </si>
  <si>
    <t xml:space="preserve">BEV2_01608</t>
  </si>
  <si>
    <t xml:space="preserve">BEV2_01609</t>
  </si>
  <si>
    <t xml:space="preserve">BEV2_01610</t>
  </si>
  <si>
    <t xml:space="preserve">BEV2_01611</t>
  </si>
  <si>
    <t xml:space="preserve">Código LENA normalizado; tratamiento PSUT 2024 cerrado conforme al catálogo y a la regla sectorial.</t>
  </si>
  <si>
    <t xml:space="preserve">BEV2_01612</t>
  </si>
  <si>
    <t xml:space="preserve">BEV2_01613</t>
  </si>
  <si>
    <t xml:space="preserve">BEV2_01614</t>
  </si>
  <si>
    <t xml:space="preserve">BEV2_01615</t>
  </si>
  <si>
    <t xml:space="preserve">BEV2_01616</t>
  </si>
  <si>
    <t xml:space="preserve">Cero observado en el BEN 2024 para Centrales Eléctricas; conservado en la base operativa.</t>
  </si>
  <si>
    <t xml:space="preserve">BEV2_01617</t>
  </si>
  <si>
    <t xml:space="preserve">BEV2_01618</t>
  </si>
  <si>
    <t xml:space="preserve">BEV2_01619</t>
  </si>
  <si>
    <t xml:space="preserve">BEV2_01620</t>
  </si>
  <si>
    <t xml:space="preserve">Consumo residencial BEN 2024 cerrado en HH con trazabilidad al registro fuente.</t>
  </si>
  <si>
    <t xml:space="preserve">BEV2_01621</t>
  </si>
  <si>
    <t xml:space="preserve">Asignación directa al sector SERV cerrada con trazabilidad producto-registro.</t>
  </si>
  <si>
    <t xml:space="preserve">BEV2_01622</t>
  </si>
  <si>
    <t xml:space="preserve">BEV2_01623</t>
  </si>
  <si>
    <t xml:space="preserve">BEV2_01624</t>
  </si>
  <si>
    <t xml:space="preserve">BEV2_01625</t>
  </si>
  <si>
    <t xml:space="preserve">Producción BEN 2024 cerrada en B como extracción de petróleo crudo y suministro del producto energético.</t>
  </si>
  <si>
    <t xml:space="preserve">BEV2_01626</t>
  </si>
  <si>
    <t xml:space="preserve">BEV2_01627</t>
  </si>
  <si>
    <t xml:space="preserve">BEV2_01628</t>
  </si>
  <si>
    <t xml:space="preserve">BEV2_01629</t>
  </si>
  <si>
    <t xml:space="preserve">Flujo de refinación cerrado en C con trazabilidad al registro BEN.</t>
  </si>
  <si>
    <t xml:space="preserve">BEV2_01630</t>
  </si>
  <si>
    <t xml:space="preserve">BEV2_01631</t>
  </si>
  <si>
    <t xml:space="preserve">BEV2_01632</t>
  </si>
  <si>
    <t xml:space="preserve">BEV2_01633</t>
  </si>
  <si>
    <t xml:space="preserve">BEV2_01634</t>
  </si>
  <si>
    <t xml:space="preserve">BEV2_01635</t>
  </si>
  <si>
    <t xml:space="preserve">BEV2_01636</t>
  </si>
  <si>
    <t xml:space="preserve">BEV2_01637</t>
  </si>
  <si>
    <t xml:space="preserve">BEV2_01638</t>
  </si>
  <si>
    <t xml:space="preserve">BEV2_01639</t>
  </si>
  <si>
    <t xml:space="preserve">Tratamiento PSUT 2024 cerrado como insumo natural solar para generación cuando corresponde.</t>
  </si>
  <si>
    <t xml:space="preserve">BEV2_01640</t>
  </si>
  <si>
    <t xml:space="preserve">BEV2_01641</t>
  </si>
  <si>
    <t xml:space="preserve">BEV2_01642</t>
  </si>
  <si>
    <t xml:space="preserve">BEV2_01643</t>
  </si>
  <si>
    <t xml:space="preserve">BEV2_01644</t>
  </si>
  <si>
    <t xml:space="preserve">BEV2_01645</t>
  </si>
  <si>
    <t xml:space="preserve">BEV2_01646</t>
  </si>
  <si>
    <t xml:space="preserve">BEV2_01647</t>
  </si>
  <si>
    <t xml:space="preserve">BEV2_01648</t>
  </si>
  <si>
    <t xml:space="preserve">BEV2_01649</t>
  </si>
  <si>
    <t xml:space="preserve">BEV2_01650</t>
  </si>
  <si>
    <t xml:space="preserve">BEV2_01651</t>
  </si>
  <si>
    <t xml:space="preserve">BEV2_01652</t>
  </si>
  <si>
    <t xml:space="preserve">BEV2_01653</t>
  </si>
  <si>
    <t xml:space="preserve">Página 12</t>
  </si>
  <si>
    <t xml:space="preserve">BEV2_01654</t>
  </si>
  <si>
    <t xml:space="preserve">BEV2_01655</t>
  </si>
  <si>
    <t xml:space="preserve">BEV2_01656</t>
  </si>
  <si>
    <t xml:space="preserve">BEV2_01657</t>
  </si>
  <si>
    <t xml:space="preserve">BEV2_01658</t>
  </si>
  <si>
    <t xml:space="preserve">BEV2_01659</t>
  </si>
  <si>
    <t xml:space="preserve">BEV2_01660</t>
  </si>
  <si>
    <t xml:space="preserve">BEV2_01661</t>
  </si>
  <si>
    <t xml:space="preserve">BEV2_01662</t>
  </si>
  <si>
    <t xml:space="preserve">BEV2_01663</t>
  </si>
  <si>
    <t xml:space="preserve">BEV2_01664</t>
  </si>
  <si>
    <t xml:space="preserve">Consumo final de Industria BEN 2024 cerrado en Manufactura (C) con trazabilidad al registro fuente.</t>
  </si>
  <si>
    <t xml:space="preserve">BEV2_01665</t>
  </si>
  <si>
    <t xml:space="preserve">BEV2_01666</t>
  </si>
  <si>
    <t xml:space="preserve">BEV2_01667</t>
  </si>
  <si>
    <t xml:space="preserve">BEV2_01668</t>
  </si>
  <si>
    <t xml:space="preserve">BEV2_01669</t>
  </si>
  <si>
    <t xml:space="preserve">BEV2_01670</t>
  </si>
  <si>
    <t xml:space="preserve">BEV2_01671</t>
  </si>
  <si>
    <t xml:space="preserve">BEV2_01672</t>
  </si>
  <si>
    <t xml:space="preserve">BEV2_01673</t>
  </si>
  <si>
    <t xml:space="preserve">BEV2_01674</t>
  </si>
  <si>
    <t xml:space="preserve">BEV2_01675</t>
  </si>
  <si>
    <t xml:space="preserve">BEV2_01676</t>
  </si>
  <si>
    <t xml:space="preserve">BEV2_01677</t>
  </si>
  <si>
    <t xml:space="preserve">BEV2_01678</t>
  </si>
  <si>
    <t xml:space="preserve">BEV2_01679</t>
  </si>
  <si>
    <t xml:space="preserve">BEV2_01680</t>
  </si>
  <si>
    <t xml:space="preserve">BEV2_01681</t>
  </si>
  <si>
    <t xml:space="preserve">BEV2_01682</t>
  </si>
  <si>
    <t xml:space="preserve">BEV2_01683</t>
  </si>
  <si>
    <t xml:space="preserve">BEV2_01684</t>
  </si>
  <si>
    <t xml:space="preserve">BEV2_01685</t>
  </si>
  <si>
    <t xml:space="preserve">BEV2_01686</t>
  </si>
  <si>
    <t xml:space="preserve">BEV2_01687</t>
  </si>
  <si>
    <t xml:space="preserve">BEV2_01688</t>
  </si>
  <si>
    <t xml:space="preserve">Consumo propio de electricidad cerrado en D.</t>
  </si>
  <si>
    <t xml:space="preserve">BEV2_01689</t>
  </si>
  <si>
    <t xml:space="preserve">BEV2_01690</t>
  </si>
  <si>
    <t xml:space="preserve">BEV2_01691</t>
  </si>
  <si>
    <t xml:space="preserve">BEV2_01692</t>
  </si>
  <si>
    <t xml:space="preserve">BEV2_01693</t>
  </si>
  <si>
    <t xml:space="preserve">BEV2_01694</t>
  </si>
  <si>
    <t xml:space="preserve">Pérdida de electricidad cerrada como uso del producto y flujo residual con contrapartida ambiental.</t>
  </si>
  <si>
    <t xml:space="preserve">BEV2_01695</t>
  </si>
  <si>
    <t xml:space="preserve">BEV2_01696</t>
  </si>
  <si>
    <t xml:space="preserve">BEV2_01697</t>
  </si>
  <si>
    <t xml:space="preserve">BEV2_01698</t>
  </si>
  <si>
    <t xml:space="preserve">BEV2_01699</t>
  </si>
  <si>
    <t xml:space="preserve">BEV2_01700</t>
  </si>
  <si>
    <t xml:space="preserve">BEV2_01701</t>
  </si>
  <si>
    <t xml:space="preserve">BEV2_01702</t>
  </si>
  <si>
    <t xml:space="preserve">BEV2_01703</t>
  </si>
  <si>
    <t xml:space="preserve">BEV2_01704</t>
  </si>
  <si>
    <t xml:space="preserve">BEV2_01705</t>
  </si>
  <si>
    <t xml:space="preserve">BEV2_01706</t>
  </si>
  <si>
    <t xml:space="preserve">BEV2_01707</t>
  </si>
  <si>
    <t xml:space="preserve">BEV2_01708</t>
  </si>
  <si>
    <t xml:space="preserve">BEV2_01709</t>
  </si>
  <si>
    <t xml:space="preserve">BEV2_01710</t>
  </si>
  <si>
    <t xml:space="preserve">BEV2_01711</t>
  </si>
  <si>
    <t xml:space="preserve">BEV2_01712</t>
  </si>
  <si>
    <t xml:space="preserve">BEV2_01713</t>
  </si>
  <si>
    <t xml:space="preserve">BEV2_01714</t>
  </si>
  <si>
    <t xml:space="preserve">BEV2_01715</t>
  </si>
  <si>
    <t xml:space="preserve">BEV2_01716</t>
  </si>
  <si>
    <t xml:space="preserve">BEV2_01717</t>
  </si>
  <si>
    <t xml:space="preserve">BEV2_01718</t>
  </si>
  <si>
    <t xml:space="preserve">BEV2_01719</t>
  </si>
  <si>
    <t xml:space="preserve">BEV2_01720</t>
  </si>
  <si>
    <t xml:space="preserve">BEV2_01721</t>
  </si>
  <si>
    <t xml:space="preserve">BEV2_01722</t>
  </si>
  <si>
    <t xml:space="preserve">BEV2_01723</t>
  </si>
  <si>
    <t xml:space="preserve">BEV2_01724</t>
  </si>
  <si>
    <t xml:space="preserve">BEV2_01725</t>
  </si>
  <si>
    <t xml:space="preserve">BEV2_01726</t>
  </si>
  <si>
    <t xml:space="preserve">BEV2_01727</t>
  </si>
  <si>
    <t xml:space="preserve">BEV2_01728</t>
  </si>
  <si>
    <t xml:space="preserve">BEV2_01729</t>
  </si>
  <si>
    <t xml:space="preserve">BEV2_01730</t>
  </si>
  <si>
    <t xml:space="preserve">BEV2_01731</t>
  </si>
  <si>
    <t xml:space="preserve">BEV2_01732</t>
  </si>
  <si>
    <t xml:space="preserve">BEV2_01733</t>
  </si>
  <si>
    <t xml:space="preserve">BEV2_01734</t>
  </si>
  <si>
    <t xml:space="preserve">BEV2_01735</t>
  </si>
  <si>
    <t xml:space="preserve">BEV2_01736</t>
  </si>
  <si>
    <t xml:space="preserve">BEV2_01737</t>
  </si>
  <si>
    <t xml:space="preserve">BEV2_01738</t>
  </si>
  <si>
    <t xml:space="preserve">BEV2_01739</t>
  </si>
  <si>
    <t xml:space="preserve">BEV2_01740</t>
  </si>
  <si>
    <t xml:space="preserve">BEV2_01741</t>
  </si>
  <si>
    <t xml:space="preserve">BEV2_01742</t>
  </si>
  <si>
    <t xml:space="preserve">BEV2_01743</t>
  </si>
  <si>
    <t xml:space="preserve">BEV2_01744</t>
  </si>
  <si>
    <t xml:space="preserve">BEV2_01745</t>
  </si>
  <si>
    <t xml:space="preserve">BEV2_01746</t>
  </si>
  <si>
    <t xml:space="preserve">BEV2_01747</t>
  </si>
  <si>
    <t xml:space="preserve">BEV2_01748</t>
  </si>
  <si>
    <t xml:space="preserve">BEV2_01749</t>
  </si>
  <si>
    <t xml:space="preserve">BEV2_01750</t>
  </si>
  <si>
    <t xml:space="preserve">BEV2_01751</t>
  </si>
  <si>
    <t xml:space="preserve">Tratamiento PSUT 2024 cerrado como uso no energético separado del módulo de combustión.</t>
  </si>
  <si>
    <t xml:space="preserve">BEV2_01752</t>
  </si>
  <si>
    <t xml:space="preserve">BEV2_01753</t>
  </si>
  <si>
    <t xml:space="preserve">BEV2_01754</t>
  </si>
  <si>
    <t xml:space="preserve">BEV2_01755</t>
  </si>
  <si>
    <t xml:space="preserve">BEV2_01756</t>
  </si>
  <si>
    <t xml:space="preserve">BEV2_01757</t>
  </si>
  <si>
    <t xml:space="preserve">BEV2_01758</t>
  </si>
  <si>
    <t xml:space="preserve">BEV2_01759</t>
  </si>
  <si>
    <t xml:space="preserve">BEV2_01760</t>
  </si>
  <si>
    <t xml:space="preserve">BEV2_01761</t>
  </si>
  <si>
    <t xml:space="preserve">BEV2_01762</t>
  </si>
  <si>
    <t xml:space="preserve">BEV2_01763</t>
  </si>
  <si>
    <t xml:space="preserve">BEV2_01764</t>
  </si>
  <si>
    <t xml:space="preserve">BEV2_01765</t>
  </si>
  <si>
    <t xml:space="preserve">Tratamiento PSUT 2024 cerrado conforme al catálogo disponible y a la regla documentada.</t>
  </si>
  <si>
    <t xml:space="preserve">BEV2_01766</t>
  </si>
  <si>
    <t xml:space="preserve">BEV2_01767</t>
  </si>
  <si>
    <t xml:space="preserve">BEV2_01768</t>
  </si>
  <si>
    <t xml:space="preserve">BEV2_01769</t>
  </si>
  <si>
    <t xml:space="preserve">BEV2_01770</t>
  </si>
  <si>
    <t xml:space="preserve">BEV2_01771</t>
  </si>
  <si>
    <t xml:space="preserve">BEV2_01772</t>
  </si>
  <si>
    <t xml:space="preserve">BEV2_01773</t>
  </si>
  <si>
    <t xml:space="preserve">BEV2_01774</t>
  </si>
  <si>
    <t xml:space="preserve">BEV2_01775</t>
  </si>
  <si>
    <t xml:space="preserve">BEV2_01776</t>
  </si>
  <si>
    <t xml:space="preserve">BEV2_01777</t>
  </si>
  <si>
    <t xml:space="preserve">BEV2_01778</t>
  </si>
  <si>
    <t xml:space="preserve">MAPEO_PSUT</t>
  </si>
  <si>
    <t xml:space="preserve">MAP_0001</t>
  </si>
  <si>
    <t xml:space="preserve">2024|BEV2_01513|Supply|C|IND_BEN|FRONTERA_BAGAZO_IND</t>
  </si>
  <si>
    <t xml:space="preserve">CAL</t>
  </si>
  <si>
    <t xml:space="preserve">METODO_PSUT</t>
  </si>
  <si>
    <t xml:space="preserve">Reglas metodológicas de asignación PSUT</t>
  </si>
  <si>
    <t xml:space="preserve">Energy products</t>
  </si>
  <si>
    <t xml:space="preserve">Supply</t>
  </si>
  <si>
    <t xml:space="preserve">C</t>
  </si>
  <si>
    <t xml:space="preserve">FRONTERA_BAGAZO_IND</t>
  </si>
  <si>
    <t xml:space="preserve">sin ajuste</t>
  </si>
  <si>
    <t xml:space="preserve">Bagazo como subproducto agroindustrial; se conserva en IND_BEN.</t>
  </si>
  <si>
    <t xml:space="preserve">MAP_0002</t>
  </si>
  <si>
    <t xml:space="preserve">2024|BEV2_01518|Use|E|ENER|GENERACION_CENTRAL</t>
  </si>
  <si>
    <t xml:space="preserve">Use</t>
  </si>
  <si>
    <t xml:space="preserve">E</t>
  </si>
  <si>
    <t xml:space="preserve">GENERACION_CENTRAL</t>
  </si>
  <si>
    <t xml:space="preserve">valor absoluto</t>
  </si>
  <si>
    <t xml:space="preserve">Combustibles y biomasa usados en generación central.</t>
  </si>
  <si>
    <t xml:space="preserve">MAP_0003</t>
  </si>
  <si>
    <t xml:space="preserve">2024|BEV2_01519|Use|E|ENER|AUTOPRODUCCION</t>
  </si>
  <si>
    <t xml:space="preserve">AUTOPRODUCCION</t>
  </si>
  <si>
    <t xml:space="preserve">Productos usados por autoproducción, conservados en ENER.</t>
  </si>
  <si>
    <t xml:space="preserve">MAP_0004</t>
  </si>
  <si>
    <t xml:space="preserve">2024|BEV2_01527|Supply|C|ENER|FRONTERA_BIOGAS_ENER</t>
  </si>
  <si>
    <t xml:space="preserve">FRONTERA_BIOGAS_ENER</t>
  </si>
  <si>
    <t xml:space="preserve">Biogás producido y vinculado al módulo energético observable.</t>
  </si>
  <si>
    <t xml:space="preserve">MAP_0005</t>
  </si>
  <si>
    <t xml:space="preserve">2024|BEV2_01532|Use|E|ENER|GENERACION_CENTRAL</t>
  </si>
  <si>
    <t xml:space="preserve">MAP_0006</t>
  </si>
  <si>
    <t xml:space="preserve">2024|BEV2_01541|Supply|A|ENV|EXTRACCION_B</t>
  </si>
  <si>
    <t xml:space="preserve">Energy from natural inputs</t>
  </si>
  <si>
    <t xml:space="preserve">EXTRACCION_B</t>
  </si>
  <si>
    <t xml:space="preserve">Contrapartida ambiental de PETR, GN y CRBN extraídos.</t>
  </si>
  <si>
    <t xml:space="preserve">MAP_0007</t>
  </si>
  <si>
    <t xml:space="preserve">2024|BEV2_01541|Use|B|B|EXTRACCION_B</t>
  </si>
  <si>
    <t xml:space="preserve">Uso del insumo natural por Minería y canteras.</t>
  </si>
  <si>
    <t xml:space="preserve">MAP_0008</t>
  </si>
  <si>
    <t xml:space="preserve">2024|BEV2_01541|Supply|C|B|EXTRACCION_B</t>
  </si>
  <si>
    <t xml:space="preserve">Suministro del producto energético extraído por B.</t>
  </si>
  <si>
    <t xml:space="preserve">MAP_0009</t>
  </si>
  <si>
    <t xml:space="preserve">2024|BEV2_01542|Supply|D|ROW|COMERCIO_EXTERIOR</t>
  </si>
  <si>
    <t xml:space="preserve">D</t>
  </si>
  <si>
    <t xml:space="preserve">COMERCIO_EXTERIOR</t>
  </si>
  <si>
    <t xml:space="preserve">Importación BEN como suministro del resto del mundo.</t>
  </si>
  <si>
    <t xml:space="preserve">MAP_0010</t>
  </si>
  <si>
    <t xml:space="preserve">2024|BEV2_01544|Use|G|ACC|CAMBIO_EXISTENCIAS</t>
  </si>
  <si>
    <t xml:space="preserve">G</t>
  </si>
  <si>
    <t xml:space="preserve">CAMBIO_EXISTENCIAS</t>
  </si>
  <si>
    <t xml:space="preserve">cambio de signo</t>
  </si>
  <si>
    <t xml:space="preserve">Convención PSUT: valor de acumulación = -1 × valor BEN.</t>
  </si>
  <si>
    <t xml:space="preserve">MAP_0011</t>
  </si>
  <si>
    <t xml:space="preserve">2024|BEV2_01546|Use|E|ENER|GENERACION_CENTRAL</t>
  </si>
  <si>
    <t xml:space="preserve">MAP_0012</t>
  </si>
  <si>
    <t xml:space="preserve">2024|BEV2_01547|Use|E|ENER|AUTOPRODUCCION</t>
  </si>
  <si>
    <t xml:space="preserve">MAP_0013</t>
  </si>
  <si>
    <t xml:space="preserve">2024|BEV2_01555|Supply|A|ENV|INSUMO_NATURAL_RENOVABLE</t>
  </si>
  <si>
    <t xml:space="preserve">INSUMO_NATURAL_RENOVABLE</t>
  </si>
  <si>
    <t xml:space="preserve">La producción BEN de HYDR, SOLAR, EOLICA y GEOE representa disponibilidad ambiental; su captación se registra al entrar a la transformación.</t>
  </si>
  <si>
    <t xml:space="preserve">MAP_0014</t>
  </si>
  <si>
    <t xml:space="preserve">2024|BEV2_01560|Use|B|ENER|GENERACION_CENTRAL</t>
  </si>
  <si>
    <t xml:space="preserve">Captación de insumos naturales renovables por ENER.</t>
  </si>
  <si>
    <t xml:space="preserve">MAP_0015</t>
  </si>
  <si>
    <t xml:space="preserve">2024|BEV2_01569|Supply|A|ENV|INSUMO_NATURAL_RENOVABLE</t>
  </si>
  <si>
    <t xml:space="preserve">MAP_0016</t>
  </si>
  <si>
    <t xml:space="preserve">2024|BEV2_01574|Use|B|ENER|GENERACION_CENTRAL</t>
  </si>
  <si>
    <t xml:space="preserve">MAP_0017</t>
  </si>
  <si>
    <t xml:space="preserve">2024|BEV2_01583|Supply|A|ENV|EXTRACCION_B</t>
  </si>
  <si>
    <t xml:space="preserve">MAP_0018</t>
  </si>
  <si>
    <t xml:space="preserve">2024|BEV2_01583|Use|B|B|EXTRACCION_B</t>
  </si>
  <si>
    <t xml:space="preserve">MAP_0019</t>
  </si>
  <si>
    <t xml:space="preserve">2024|BEV2_01583|Supply|C|B|EXTRACCION_B</t>
  </si>
  <si>
    <t xml:space="preserve">MAP_0020</t>
  </si>
  <si>
    <t xml:space="preserve">2024|BEV2_01588|Use|E|ENER|GENERACION_CENTRAL</t>
  </si>
  <si>
    <t xml:space="preserve">MAP_0021</t>
  </si>
  <si>
    <t xml:space="preserve">2024|BEV2_01597|Supply|A|ENV|INSUMO_NATURAL_RENOVABLE</t>
  </si>
  <si>
    <t xml:space="preserve">MAP_0022</t>
  </si>
  <si>
    <t xml:space="preserve">2024|BEV2_01602|Use|B|ENER|GENERACION_CENTRAL</t>
  </si>
  <si>
    <t xml:space="preserve">MAP_0023</t>
  </si>
  <si>
    <t xml:space="preserve">2024|BEV2_01603|Use|B|ENER|AUTOPRODUCCION</t>
  </si>
  <si>
    <t xml:space="preserve">Captación renovable de la autoproducción, conservada en ENER.</t>
  </si>
  <si>
    <t xml:space="preserve">MAP_0024</t>
  </si>
  <si>
    <t xml:space="preserve">2024|BEV2_01611|Supply|C|A|FRONTERA_LENA_A</t>
  </si>
  <si>
    <t xml:space="preserve">FRONTERA_LENA_A</t>
  </si>
  <si>
    <t xml:space="preserve">Suministro de leña por A; sus usos permanecen en los usuarios observados.</t>
  </si>
  <si>
    <t xml:space="preserve">MAP_0025</t>
  </si>
  <si>
    <t xml:space="preserve">2024|BEV2_01620|Use|F|HH|USO_HH</t>
  </si>
  <si>
    <t xml:space="preserve">F</t>
  </si>
  <si>
    <t xml:space="preserve">USO_HH</t>
  </si>
  <si>
    <t xml:space="preserve">Consumo final residencial observado.</t>
  </si>
  <si>
    <t xml:space="preserve">MAP_0026</t>
  </si>
  <si>
    <t xml:space="preserve">2024|BEV2_01621|Use|E|SERV|USO_SERV</t>
  </si>
  <si>
    <t xml:space="preserve">USO_SERV</t>
  </si>
  <si>
    <t xml:space="preserve">Consumo intermedio de comercio y servicios observado.</t>
  </si>
  <si>
    <t xml:space="preserve">MAP_0027</t>
  </si>
  <si>
    <t xml:space="preserve">2024|BEV2_01625|Supply|A|ENV|EXTRACCION_B</t>
  </si>
  <si>
    <t xml:space="preserve">MAP_0028</t>
  </si>
  <si>
    <t xml:space="preserve">2024|BEV2_01625|Use|B|B|EXTRACCION_B</t>
  </si>
  <si>
    <t xml:space="preserve">MAP_0029</t>
  </si>
  <si>
    <t xml:space="preserve">2024|BEV2_01625|Supply|C|B|EXTRACCION_B</t>
  </si>
  <si>
    <t xml:space="preserve">MAP_0030</t>
  </si>
  <si>
    <t xml:space="preserve">2024|BEV2_01626|Supply|D|ROW|COMERCIO_EXTERIOR</t>
  </si>
  <si>
    <t xml:space="preserve">MAP_0031</t>
  </si>
  <si>
    <t xml:space="preserve">2024|BEV2_01627|Use|H|ROW|COMERCIO_EXTERIOR</t>
  </si>
  <si>
    <t xml:space="preserve">H</t>
  </si>
  <si>
    <t xml:space="preserve">Exportación BEN como uso por el resto del mundo.</t>
  </si>
  <si>
    <t xml:space="preserve">MAP_0032</t>
  </si>
  <si>
    <t xml:space="preserve">2024|BEV2_01628|Use|G|ACC|CAMBIO_EXISTENCIAS</t>
  </si>
  <si>
    <t xml:space="preserve">MAP_0033</t>
  </si>
  <si>
    <t xml:space="preserve">2024|BEV2_01629|Use|E|ENER|TRANSFORMACION_REFINERIA</t>
  </si>
  <si>
    <t xml:space="preserve">TRANSFORMACION_REFINERIA</t>
  </si>
  <si>
    <t xml:space="preserve">Entradas a refinerías como uso de productos por ENER.</t>
  </si>
  <si>
    <t xml:space="preserve">MAP_0034</t>
  </si>
  <si>
    <t xml:space="preserve">2024|BEV2_01639|Supply|A|ENV|INSUMO_NATURAL_RENOVABLE</t>
  </si>
  <si>
    <t xml:space="preserve">MAP_0035</t>
  </si>
  <si>
    <t xml:space="preserve">2024|BEV2_01644|Use|B|ENER|GENERACION_CENTRAL</t>
  </si>
  <si>
    <t xml:space="preserve">MAP_0036</t>
  </si>
  <si>
    <t xml:space="preserve">2024|BEV2_01654|Supply|D|ROW|COMERCIO_EXTERIOR</t>
  </si>
  <si>
    <t xml:space="preserve">MAP_0037</t>
  </si>
  <si>
    <t xml:space="preserve">2024|BEV2_01656|Use|G|ACC|CAMBIO_EXISTENCIAS</t>
  </si>
  <si>
    <t xml:space="preserve">MAP_0038</t>
  </si>
  <si>
    <t xml:space="preserve">2024|BEV2_01658|Use|E|ENER|GENERACION_CENTRAL</t>
  </si>
  <si>
    <t xml:space="preserve">MAP_0039</t>
  </si>
  <si>
    <t xml:space="preserve">2024|BEV2_01664|Use|E|IND_BEN|USO_IND_BEN</t>
  </si>
  <si>
    <t xml:space="preserve">USO_IND_BEN</t>
  </si>
  <si>
    <t xml:space="preserve">Consumo industrial agregado tal como lo publica el BEN.</t>
  </si>
  <si>
    <t xml:space="preserve">MAP_0040</t>
  </si>
  <si>
    <t xml:space="preserve">2024|BEV2_01668|Supply|D|ROW|COMERCIO_EXTERIOR</t>
  </si>
  <si>
    <t xml:space="preserve">MAP_0041</t>
  </si>
  <si>
    <t xml:space="preserve">2024|BEV2_01669|Use|H|ROW|COMERCIO_EXTERIOR</t>
  </si>
  <si>
    <t xml:space="preserve">MAP_0042</t>
  </si>
  <si>
    <t xml:space="preserve">2024|BEV2_01670|Use|G|ACC|CAMBIO_EXISTENCIAS</t>
  </si>
  <si>
    <t xml:space="preserve">MAP_0043</t>
  </si>
  <si>
    <t xml:space="preserve">2024|BEV2_01672|Use|E|ENER|GENERACION_CENTRAL</t>
  </si>
  <si>
    <t xml:space="preserve">MAP_0044</t>
  </si>
  <si>
    <t xml:space="preserve">2024|BEV2_01675|Use|E|TR_BEN|USO_TR_BEN</t>
  </si>
  <si>
    <t xml:space="preserve">USO_TR_BEN</t>
  </si>
  <si>
    <t xml:space="preserve">Uso funcional agregado tal como lo publica el BEN.</t>
  </si>
  <si>
    <t xml:space="preserve">MAP_0045</t>
  </si>
  <si>
    <t xml:space="preserve">2024|BEV2_01678|Use|E|IND_BEN|USO_IND_BEN</t>
  </si>
  <si>
    <t xml:space="preserve">MAP_0046</t>
  </si>
  <si>
    <t xml:space="preserve">2024|BEV2_01682|Supply|D|ROW|COMERCIO_EXTERIOR</t>
  </si>
  <si>
    <t xml:space="preserve">MAP_0047</t>
  </si>
  <si>
    <t xml:space="preserve">2024|BEV2_01683|Use|H|ROW|COMERCIO_EXTERIOR</t>
  </si>
  <si>
    <t xml:space="preserve">MAP_0048</t>
  </si>
  <si>
    <t xml:space="preserve">2024|BEV2_01686|Supply|C|ENER|GENERACION_CENTRAL</t>
  </si>
  <si>
    <t xml:space="preserve">Productos suministrados por generación central.</t>
  </si>
  <si>
    <t xml:space="preserve">MAP_0049</t>
  </si>
  <si>
    <t xml:space="preserve">2024|BEV2_01687|Supply|C|ENER|AUTOPRODUCCION</t>
  </si>
  <si>
    <t xml:space="preserve">Productos suministrados por autoproducción, conservados en ENER.</t>
  </si>
  <si>
    <t xml:space="preserve">MAP_0050</t>
  </si>
  <si>
    <t xml:space="preserve">2024|BEV2_01688|Use|E|ENER|USO_ENER</t>
  </si>
  <si>
    <t xml:space="preserve">USO_ENER</t>
  </si>
  <si>
    <t xml:space="preserve">Consumo propio del bloque funcional energético.</t>
  </si>
  <si>
    <t xml:space="preserve">MAP_0051</t>
  </si>
  <si>
    <t xml:space="preserve">2024|BEV2_01689|Use|E|TR_BEN|USO_TR_BEN</t>
  </si>
  <si>
    <t xml:space="preserve">MAP_0052</t>
  </si>
  <si>
    <t xml:space="preserve">2024|BEV2_01690|Use|F|HH|USO_HH</t>
  </si>
  <si>
    <t xml:space="preserve">MAP_0053</t>
  </si>
  <si>
    <t xml:space="preserve">2024|BEV2_01691|Use|E|SERV|USO_SERV</t>
  </si>
  <si>
    <t xml:space="preserve">MAP_0054</t>
  </si>
  <si>
    <t xml:space="preserve">2024|BEV2_01692|Use|E|IND_BEN|USO_IND_BEN</t>
  </si>
  <si>
    <t xml:space="preserve">MAP_0055</t>
  </si>
  <si>
    <t xml:space="preserve">2024|BEV2_01694|Use|E|ENER|PERDIDAS_TRIPLE</t>
  </si>
  <si>
    <t xml:space="preserve">PERDIDAS_TRIPLE</t>
  </si>
  <si>
    <t xml:space="preserve">Primera salida: uso del producto energético perdido por ENER.</t>
  </si>
  <si>
    <t xml:space="preserve">MAP_0056</t>
  </si>
  <si>
    <t xml:space="preserve">2024|BEV2_01694|Supply|I|ENER|PERDIDAS_TRIPLE</t>
  </si>
  <si>
    <t xml:space="preserve">Energy residuals</t>
  </si>
  <si>
    <t xml:space="preserve">I</t>
  </si>
  <si>
    <t xml:space="preserve">Segunda salida: suministro del residual por ENER.</t>
  </si>
  <si>
    <t xml:space="preserve">MAP_0057</t>
  </si>
  <si>
    <t xml:space="preserve">2024|BEV2_01694|Use|Q|ENV|PERDIDAS_TRIPLE</t>
  </si>
  <si>
    <t xml:space="preserve">Q</t>
  </si>
  <si>
    <t xml:space="preserve">Tercera salida: recepción del residual por el ambiente.</t>
  </si>
  <si>
    <t xml:space="preserve">MAP_0058</t>
  </si>
  <si>
    <t xml:space="preserve">2024|BEV2_01696|Supply|D|ROW|COMERCIO_EXTERIOR</t>
  </si>
  <si>
    <t xml:space="preserve">MAP_0059</t>
  </si>
  <si>
    <t xml:space="preserve">2024|BEV2_01697|Use|H|ROW|COMERCIO_EXTERIOR</t>
  </si>
  <si>
    <t xml:space="preserve">MAP_0060</t>
  </si>
  <si>
    <t xml:space="preserve">2024|BEV2_01698|Use|G|ACC|CAMBIO_EXISTENCIAS</t>
  </si>
  <si>
    <t xml:space="preserve">MAP_0061</t>
  </si>
  <si>
    <t xml:space="preserve">2024|BEV2_01700|Use|E|ENER|GENERACION_CENTRAL</t>
  </si>
  <si>
    <t xml:space="preserve">MAP_0062</t>
  </si>
  <si>
    <t xml:space="preserve">2024|BEV2_01701|Use|E|ENER|AUTOPRODUCCION</t>
  </si>
  <si>
    <t xml:space="preserve">MAP_0063</t>
  </si>
  <si>
    <t xml:space="preserve">2024|BEV2_01706|Use|E|IND_BEN|USO_IND_BEN</t>
  </si>
  <si>
    <t xml:space="preserve">MAP_0064</t>
  </si>
  <si>
    <t xml:space="preserve">2024|BEV2_01710|Supply|D|ROW|COMERCIO_EXTERIOR</t>
  </si>
  <si>
    <t xml:space="preserve">MAP_0065</t>
  </si>
  <si>
    <t xml:space="preserve">2024|BEV2_01711|Use|H|ROW|COMERCIO_EXTERIOR</t>
  </si>
  <si>
    <t xml:space="preserve">MAP_0066</t>
  </si>
  <si>
    <t xml:space="preserve">2024|BEV2_01712|Use|G|ACC|CAMBIO_EXISTENCIAS</t>
  </si>
  <si>
    <t xml:space="preserve">MAP_0067</t>
  </si>
  <si>
    <t xml:space="preserve">2024|BEV2_01717|Use|E|TR_BEN|USO_TR_BEN</t>
  </si>
  <si>
    <t xml:space="preserve">MAP_0068</t>
  </si>
  <si>
    <t xml:space="preserve">2024|BEV2_01719|Use|E|SERV|USO_SERV</t>
  </si>
  <si>
    <t xml:space="preserve">MAP_0069</t>
  </si>
  <si>
    <t xml:space="preserve">2024|BEV2_01720|Use|E|IND_BEN|USO_IND_BEN</t>
  </si>
  <si>
    <t xml:space="preserve">MAP_0070</t>
  </si>
  <si>
    <t xml:space="preserve">2024|BEV2_01724|Supply|D|ROW|COMERCIO_EXTERIOR</t>
  </si>
  <si>
    <t xml:space="preserve">MAP_0071</t>
  </si>
  <si>
    <t xml:space="preserve">2024|BEV2_01725|Use|H|ROW|COMERCIO_EXTERIOR</t>
  </si>
  <si>
    <t xml:space="preserve">MAP_0072</t>
  </si>
  <si>
    <t xml:space="preserve">2024|BEV2_01726|Use|G|ACC|CAMBIO_EXISTENCIAS</t>
  </si>
  <si>
    <t xml:space="preserve">MAP_0073</t>
  </si>
  <si>
    <t xml:space="preserve">2024|BEV2_01731|Use|E|TR_BEN|USO_TR_BEN</t>
  </si>
  <si>
    <t xml:space="preserve">MAP_0074</t>
  </si>
  <si>
    <t xml:space="preserve">2024|BEV2_01732|Use|F|HH|USO_HH</t>
  </si>
  <si>
    <t xml:space="preserve">MAP_0075</t>
  </si>
  <si>
    <t xml:space="preserve">2024|BEV2_01733|Use|E|SERV|USO_SERV</t>
  </si>
  <si>
    <t xml:space="preserve">MAP_0076</t>
  </si>
  <si>
    <t xml:space="preserve">2024|BEV2_01734|Use|E|IND_BEN|USO_IND_BEN</t>
  </si>
  <si>
    <t xml:space="preserve">MAP_0077</t>
  </si>
  <si>
    <t xml:space="preserve">2024|BEV2_01738|Supply|D|ROW|COMERCIO_EXTERIOR</t>
  </si>
  <si>
    <t xml:space="preserve">MAP_0078</t>
  </si>
  <si>
    <t xml:space="preserve">2024|BEV2_01740|Use|G|ACC|CAMBIO_EXISTENCIAS</t>
  </si>
  <si>
    <t xml:space="preserve">MAP_0079</t>
  </si>
  <si>
    <t xml:space="preserve">2024|BEV2_01745|Use|E|TR_BEN|USO_TR_BEN</t>
  </si>
  <si>
    <t xml:space="preserve">MAP_0080</t>
  </si>
  <si>
    <t xml:space="preserve">2024|BEV2_01752|Supply|D|ROW|COMERCIO_EXTERIOR</t>
  </si>
  <si>
    <t xml:space="preserve">MAP_0081</t>
  </si>
  <si>
    <t xml:space="preserve">2024|BEV2_01753|Use|H|ROW|COMERCIO_EXTERIOR</t>
  </si>
  <si>
    <t xml:space="preserve">MAP_0082</t>
  </si>
  <si>
    <t xml:space="preserve">2024|BEV2_01754|Use|G|ACC|CAMBIO_EXISTENCIAS</t>
  </si>
  <si>
    <t xml:space="preserve">MAP_0083</t>
  </si>
  <si>
    <t xml:space="preserve">2024|BEV2_01755|Supply|C|ENER|TRANSFORMACION_REFINERIA</t>
  </si>
  <si>
    <t xml:space="preserve">Salidas de refinerías como suministro de productos por ENER.</t>
  </si>
  <si>
    <t xml:space="preserve">MAP_0084</t>
  </si>
  <si>
    <t xml:space="preserve">2024|STAT_2024_ELEC|Use|SD|STAT|saldo oferta menos uso por producto</t>
  </si>
  <si>
    <t xml:space="preserve">STAT_2024_ELEC</t>
  </si>
  <si>
    <t xml:space="preserve">SD</t>
  </si>
  <si>
    <t xml:space="preserve">saldo oferta menos uso por producto</t>
  </si>
  <si>
    <t xml:space="preserve">discrepancia estadística</t>
  </si>
  <si>
    <t xml:space="preserve">Saldo de cierre automático: oferta menos uso; tolerancia 0.02905 TJ.</t>
  </si>
  <si>
    <t xml:space="preserve">MAP_0085</t>
  </si>
  <si>
    <t xml:space="preserve">2024|STAT_2024_GAS|Use|SD|STAT|saldo oferta menos uso por producto</t>
  </si>
  <si>
    <t xml:space="preserve">STAT_2024_GAS</t>
  </si>
  <si>
    <t xml:space="preserve">MAP_0086</t>
  </si>
  <si>
    <t xml:space="preserve">2024|NOEN_APARENTE_2024|Use|E|NO_ASIG|USO_NO_ENERGETICO_APARENTE</t>
  </si>
  <si>
    <t xml:space="preserve">NOEN_APARENTE_2024</t>
  </si>
  <si>
    <t xml:space="preserve">USO_NO_ENERGETICO_APARENTE</t>
  </si>
  <si>
    <t xml:space="preserve">Uso interno aparente calculado como oferta de NOEN menos usos observados. La actividad usuaria no está identificada y el flujo se excluye de la combustión.</t>
  </si>
  <si>
    <t xml:space="preserve">MAP_0087</t>
  </si>
  <si>
    <t xml:space="preserve">2023|BEV2_01247|Supply|C|IND_BEN|FRONTERA_BAGAZO_IND</t>
  </si>
  <si>
    <t xml:space="preserve">MAP_0088</t>
  </si>
  <si>
    <t xml:space="preserve">2023|BEV2_01252|Use|E|ENER|GENERACION_CENTRAL</t>
  </si>
  <si>
    <t xml:space="preserve">MAP_0089</t>
  </si>
  <si>
    <t xml:space="preserve">2023|BEV2_01253|Use|E|ENER|AUTOPRODUCCION</t>
  </si>
  <si>
    <t xml:space="preserve">MAP_0090</t>
  </si>
  <si>
    <t xml:space="preserve">2023|BEV2_01261|Supply|C|ENER|FRONTERA_BIOGAS_ENER</t>
  </si>
  <si>
    <t xml:space="preserve">MAP_0091</t>
  </si>
  <si>
    <t xml:space="preserve">2023|BEV2_01266|Use|E|ENER|GENERACION_CENTRAL</t>
  </si>
  <si>
    <t xml:space="preserve">MAP_0092</t>
  </si>
  <si>
    <t xml:space="preserve">2023|BEV2_01275|Supply|A|ENV|EXTRACCION_B</t>
  </si>
  <si>
    <t xml:space="preserve">MAP_0093</t>
  </si>
  <si>
    <t xml:space="preserve">2023|BEV2_01275|Use|B|B|EXTRACCION_B</t>
  </si>
  <si>
    <t xml:space="preserve">MAP_0094</t>
  </si>
  <si>
    <t xml:space="preserve">2023|BEV2_01275|Supply|C|B|EXTRACCION_B</t>
  </si>
  <si>
    <t xml:space="preserve">MAP_0095</t>
  </si>
  <si>
    <t xml:space="preserve">2023|BEV2_01276|Supply|D|ROW|COMERCIO_EXTERIOR</t>
  </si>
  <si>
    <t xml:space="preserve">MAP_0096</t>
  </si>
  <si>
    <t xml:space="preserve">2023|BEV2_01278|Use|G|ACC|CAMBIO_EXISTENCIAS</t>
  </si>
  <si>
    <t xml:space="preserve">MAP_0097</t>
  </si>
  <si>
    <t xml:space="preserve">2023|BEV2_01280|Use|E|ENER|GENERACION_CENTRAL</t>
  </si>
  <si>
    <t xml:space="preserve">MAP_0098</t>
  </si>
  <si>
    <t xml:space="preserve">2023|BEV2_01281|Use|E|ENER|AUTOPRODUCCION</t>
  </si>
  <si>
    <t xml:space="preserve">MAP_0099</t>
  </si>
  <si>
    <t xml:space="preserve">2023|BEV2_01289|Supply|A|ENV|INSUMO_NATURAL_RENOVABLE</t>
  </si>
  <si>
    <t xml:space="preserve">MAP_0100</t>
  </si>
  <si>
    <t xml:space="preserve">2023|BEV2_01294|Use|B|ENER|GENERACION_CENTRAL</t>
  </si>
  <si>
    <t xml:space="preserve">MAP_0101</t>
  </si>
  <si>
    <t xml:space="preserve">2023|BEV2_01303|Supply|A|ENV|INSUMO_NATURAL_RENOVABLE</t>
  </si>
  <si>
    <t xml:space="preserve">MAP_0102</t>
  </si>
  <si>
    <t xml:space="preserve">2023|BEV2_01308|Use|B|ENER|GENERACION_CENTRAL</t>
  </si>
  <si>
    <t xml:space="preserve">MAP_0103</t>
  </si>
  <si>
    <t xml:space="preserve">2023|BEV2_01317|Supply|A|ENV|EXTRACCION_B</t>
  </si>
  <si>
    <t xml:space="preserve">MAP_0104</t>
  </si>
  <si>
    <t xml:space="preserve">2023|BEV2_01317|Use|B|B|EXTRACCION_B</t>
  </si>
  <si>
    <t xml:space="preserve">MAP_0105</t>
  </si>
  <si>
    <t xml:space="preserve">2023|BEV2_01317|Supply|C|B|EXTRACCION_B</t>
  </si>
  <si>
    <t xml:space="preserve">MAP_0106</t>
  </si>
  <si>
    <t xml:space="preserve">2023|BEV2_01331|Supply|A|ENV|INSUMO_NATURAL_RENOVABLE</t>
  </si>
  <si>
    <t xml:space="preserve">MAP_0107</t>
  </si>
  <si>
    <t xml:space="preserve">2023|BEV2_01336|Use|B|ENER|GENERACION_CENTRAL</t>
  </si>
  <si>
    <t xml:space="preserve">MAP_0108</t>
  </si>
  <si>
    <t xml:space="preserve">2023|BEV2_01337|Use|B|ENER|AUTOPRODUCCION</t>
  </si>
  <si>
    <t xml:space="preserve">MAP_0109</t>
  </si>
  <si>
    <t xml:space="preserve">2023|BEV2_01345|Supply|C|A|FRONTERA_LENA_A</t>
  </si>
  <si>
    <t xml:space="preserve">MAP_0110</t>
  </si>
  <si>
    <t xml:space="preserve">2023|BEV2_01354|Use|F|HH|USO_HH</t>
  </si>
  <si>
    <t xml:space="preserve">MAP_0111</t>
  </si>
  <si>
    <t xml:space="preserve">2023|BEV2_01355|Use|E|SERV|USO_SERV</t>
  </si>
  <si>
    <t xml:space="preserve">MAP_0112</t>
  </si>
  <si>
    <t xml:space="preserve">2023|BEV2_01359|Supply|A|ENV|EXTRACCION_B</t>
  </si>
  <si>
    <t xml:space="preserve">MAP_0113</t>
  </si>
  <si>
    <t xml:space="preserve">2023|BEV2_01359|Use|B|B|EXTRACCION_B</t>
  </si>
  <si>
    <t xml:space="preserve">MAP_0114</t>
  </si>
  <si>
    <t xml:space="preserve">2023|BEV2_01359|Supply|C|B|EXTRACCION_B</t>
  </si>
  <si>
    <t xml:space="preserve">MAP_0115</t>
  </si>
  <si>
    <t xml:space="preserve">2023|BEV2_01360|Supply|D|ROW|COMERCIO_EXTERIOR</t>
  </si>
  <si>
    <t xml:space="preserve">MAP_0116</t>
  </si>
  <si>
    <t xml:space="preserve">2023|BEV2_01361|Use|H|ROW|COMERCIO_EXTERIOR</t>
  </si>
  <si>
    <t xml:space="preserve">MAP_0117</t>
  </si>
  <si>
    <t xml:space="preserve">2023|BEV2_01362|Use|G|ACC|CAMBIO_EXISTENCIAS</t>
  </si>
  <si>
    <t xml:space="preserve">MAP_0118</t>
  </si>
  <si>
    <t xml:space="preserve">2023|BEV2_01363|Use|E|ENER|TRANSFORMACION_REFINERIA</t>
  </si>
  <si>
    <t xml:space="preserve">MAP_0119</t>
  </si>
  <si>
    <t xml:space="preserve">2023|BEV2_01373|Supply|A|ENV|INSUMO_NATURAL_RENOVABLE</t>
  </si>
  <si>
    <t xml:space="preserve">MAP_0120</t>
  </si>
  <si>
    <t xml:space="preserve">2023|BEV2_01378|Use|B|ENER|GENERACION_CENTRAL</t>
  </si>
  <si>
    <t xml:space="preserve">MAP_0121</t>
  </si>
  <si>
    <t xml:space="preserve">2023|BEV2_01388|Supply|D|ROW|COMERCIO_EXTERIOR</t>
  </si>
  <si>
    <t xml:space="preserve">MAP_0122</t>
  </si>
  <si>
    <t xml:space="preserve">2023|BEV2_01390|Use|G|ACC|CAMBIO_EXISTENCIAS</t>
  </si>
  <si>
    <t xml:space="preserve">MAP_0123</t>
  </si>
  <si>
    <t xml:space="preserve">2023|BEV2_01398|Use|E|IND_BEN|USO_IND_BEN</t>
  </si>
  <si>
    <t xml:space="preserve">MAP_0124</t>
  </si>
  <si>
    <t xml:space="preserve">2023|BEV2_01402|Supply|D|ROW|COMERCIO_EXTERIOR</t>
  </si>
  <si>
    <t xml:space="preserve">MAP_0125</t>
  </si>
  <si>
    <t xml:space="preserve">2023|BEV2_01403|Use|H|ROW|COMERCIO_EXTERIOR</t>
  </si>
  <si>
    <t xml:space="preserve">MAP_0126</t>
  </si>
  <si>
    <t xml:space="preserve">2023|BEV2_01404|Use|G|ACC|CAMBIO_EXISTENCIAS</t>
  </si>
  <si>
    <t xml:space="preserve">MAP_0127</t>
  </si>
  <si>
    <t xml:space="preserve">2023|BEV2_01406|Use|E|ENER|GENERACION_CENTRAL</t>
  </si>
  <si>
    <t xml:space="preserve">MAP_0128</t>
  </si>
  <si>
    <t xml:space="preserve">2023|BEV2_01409|Use|E|TR_BEN|USO_TR_BEN</t>
  </si>
  <si>
    <t xml:space="preserve">MAP_0129</t>
  </si>
  <si>
    <t xml:space="preserve">2023|BEV2_01412|Use|E|IND_BEN|USO_IND_BEN</t>
  </si>
  <si>
    <t xml:space="preserve">MAP_0130</t>
  </si>
  <si>
    <t xml:space="preserve">2023|BEV2_01416|Supply|D|ROW|COMERCIO_EXTERIOR</t>
  </si>
  <si>
    <t xml:space="preserve">MAP_0131</t>
  </si>
  <si>
    <t xml:space="preserve">2023|BEV2_01417|Use|H|ROW|COMERCIO_EXTERIOR</t>
  </si>
  <si>
    <t xml:space="preserve">MAP_0132</t>
  </si>
  <si>
    <t xml:space="preserve">2023|BEV2_01420|Supply|C|ENER|GENERACION_CENTRAL</t>
  </si>
  <si>
    <t xml:space="preserve">MAP_0133</t>
  </si>
  <si>
    <t xml:space="preserve">2023|BEV2_01421|Supply|C|ENER|AUTOPRODUCCION</t>
  </si>
  <si>
    <t xml:space="preserve">MAP_0134</t>
  </si>
  <si>
    <t xml:space="preserve">2023|BEV2_01422|Use|E|ENER|USO_ENER</t>
  </si>
  <si>
    <t xml:space="preserve">MAP_0135</t>
  </si>
  <si>
    <t xml:space="preserve">2023|BEV2_01423|Use|E|TR_BEN|USO_TR_BEN</t>
  </si>
  <si>
    <t xml:space="preserve">MAP_0136</t>
  </si>
  <si>
    <t xml:space="preserve">2023|BEV2_01424|Use|F|HH|USO_HH</t>
  </si>
  <si>
    <t xml:space="preserve">MAP_0137</t>
  </si>
  <si>
    <t xml:space="preserve">2023|BEV2_01425|Use|E|SERV|USO_SERV</t>
  </si>
  <si>
    <t xml:space="preserve">MAP_0138</t>
  </si>
  <si>
    <t xml:space="preserve">2023|BEV2_01426|Use|E|IND_BEN|USO_IND_BEN</t>
  </si>
  <si>
    <t xml:space="preserve">MAP_0139</t>
  </si>
  <si>
    <t xml:space="preserve">2023|BEV2_01428|Use|E|ENER|PERDIDAS_TRIPLE</t>
  </si>
  <si>
    <t xml:space="preserve">MAP_0140</t>
  </si>
  <si>
    <t xml:space="preserve">2023|BEV2_01428|Supply|I|ENER|PERDIDAS_TRIPLE</t>
  </si>
  <si>
    <t xml:space="preserve">MAP_0141</t>
  </si>
  <si>
    <t xml:space="preserve">2023|BEV2_01428|Use|Q|ENV|PERDIDAS_TRIPLE</t>
  </si>
  <si>
    <t xml:space="preserve">MAP_0142</t>
  </si>
  <si>
    <t xml:space="preserve">2023|BEV2_01430|Supply|D|ROW|COMERCIO_EXTERIOR</t>
  </si>
  <si>
    <t xml:space="preserve">MAP_0143</t>
  </si>
  <si>
    <t xml:space="preserve">2023|BEV2_01432|Use|G|ACC|CAMBIO_EXISTENCIAS</t>
  </si>
  <si>
    <t xml:space="preserve">MAP_0144</t>
  </si>
  <si>
    <t xml:space="preserve">2023|BEV2_01434|Use|E|ENER|GENERACION_CENTRAL</t>
  </si>
  <si>
    <t xml:space="preserve">MAP_0145</t>
  </si>
  <si>
    <t xml:space="preserve">2023|BEV2_01435|Use|E|ENER|AUTOPRODUCCION</t>
  </si>
  <si>
    <t xml:space="preserve">MAP_0146</t>
  </si>
  <si>
    <t xml:space="preserve">2023|BEV2_01440|Use|E|IND_BEN|USO_IND_BEN</t>
  </si>
  <si>
    <t xml:space="preserve">MAP_0147</t>
  </si>
  <si>
    <t xml:space="preserve">2023|BEV2_01444|Supply|D|ROW|COMERCIO_EXTERIOR</t>
  </si>
  <si>
    <t xml:space="preserve">MAP_0148</t>
  </si>
  <si>
    <t xml:space="preserve">2023|BEV2_01445|Use|H|ROW|COMERCIO_EXTERIOR</t>
  </si>
  <si>
    <t xml:space="preserve">MAP_0149</t>
  </si>
  <si>
    <t xml:space="preserve">2023|BEV2_01446|Use|G|ACC|CAMBIO_EXISTENCIAS</t>
  </si>
  <si>
    <t xml:space="preserve">MAP_0150</t>
  </si>
  <si>
    <t xml:space="preserve">2023|BEV2_01451|Use|E|TR_BEN|USO_TR_BEN</t>
  </si>
  <si>
    <t xml:space="preserve">MAP_0151</t>
  </si>
  <si>
    <t xml:space="preserve">2023|BEV2_01453|Use|E|SERV|USO_SERV</t>
  </si>
  <si>
    <t xml:space="preserve">MAP_0152</t>
  </si>
  <si>
    <t xml:space="preserve">2023|BEV2_01454|Use|E|IND_BEN|USO_IND_BEN</t>
  </si>
  <si>
    <t xml:space="preserve">MAP_0153</t>
  </si>
  <si>
    <t xml:space="preserve">2023|BEV2_01458|Supply|D|ROW|COMERCIO_EXTERIOR</t>
  </si>
  <si>
    <t xml:space="preserve">MAP_0154</t>
  </si>
  <si>
    <t xml:space="preserve">2023|BEV2_01459|Use|H|ROW|COMERCIO_EXTERIOR</t>
  </si>
  <si>
    <t xml:space="preserve">MAP_0155</t>
  </si>
  <si>
    <t xml:space="preserve">2023|BEV2_01460|Use|G|ACC|CAMBIO_EXISTENCIAS</t>
  </si>
  <si>
    <t xml:space="preserve">MAP_0156</t>
  </si>
  <si>
    <t xml:space="preserve">2023|BEV2_01465|Use|E|TR_BEN|USO_TR_BEN</t>
  </si>
  <si>
    <t xml:space="preserve">MAP_0157</t>
  </si>
  <si>
    <t xml:space="preserve">2023|BEV2_01466|Use|F|HH|USO_HH</t>
  </si>
  <si>
    <t xml:space="preserve">MAP_0158</t>
  </si>
  <si>
    <t xml:space="preserve">2023|BEV2_01467|Use|E|SERV|USO_SERV</t>
  </si>
  <si>
    <t xml:space="preserve">MAP_0159</t>
  </si>
  <si>
    <t xml:space="preserve">2023|BEV2_01468|Use|E|IND_BEN|USO_IND_BEN</t>
  </si>
  <si>
    <t xml:space="preserve">MAP_0160</t>
  </si>
  <si>
    <t xml:space="preserve">2023|BEV2_01472|Supply|D|ROW|COMERCIO_EXTERIOR</t>
  </si>
  <si>
    <t xml:space="preserve">MAP_0161</t>
  </si>
  <si>
    <t xml:space="preserve">2023|BEV2_01473|Use|H|ROW|COMERCIO_EXTERIOR</t>
  </si>
  <si>
    <t xml:space="preserve">MAP_0162</t>
  </si>
  <si>
    <t xml:space="preserve">2023|BEV2_01474|Use|G|ACC|CAMBIO_EXISTENCIAS</t>
  </si>
  <si>
    <t xml:space="preserve">MAP_0163</t>
  </si>
  <si>
    <t xml:space="preserve">2023|BEV2_01479|Use|E|TR_BEN|USO_TR_BEN</t>
  </si>
  <si>
    <t xml:space="preserve">MAP_0164</t>
  </si>
  <si>
    <t xml:space="preserve">2023|BEV2_01486|Supply|D|ROW|COMERCIO_EXTERIOR</t>
  </si>
  <si>
    <t xml:space="preserve">MAP_0165</t>
  </si>
  <si>
    <t xml:space="preserve">2023|BEV2_01487|Use|H|ROW|COMERCIO_EXTERIOR</t>
  </si>
  <si>
    <t xml:space="preserve">MAP_0166</t>
  </si>
  <si>
    <t xml:space="preserve">2023|BEV2_01488|Use|G|ACC|CAMBIO_EXISTENCIAS</t>
  </si>
  <si>
    <t xml:space="preserve">MAP_0167</t>
  </si>
  <si>
    <t xml:space="preserve">2023|BEV2_01489|Supply|C|ENER|TRANSFORMACION_REFINERIA</t>
  </si>
  <si>
    <t xml:space="preserve">MAP_0168</t>
  </si>
  <si>
    <t xml:space="preserve">2023|STAT_2023_COQUE|Use|SD|STAT|saldo oferta menos uso por producto</t>
  </si>
  <si>
    <t xml:space="preserve">STAT_2023_COQUE</t>
  </si>
  <si>
    <t xml:space="preserve">MAP_0169</t>
  </si>
  <si>
    <t xml:space="preserve">2023|STAT_2023_CRBN|Use|SD|STAT|saldo oferta menos uso por producto</t>
  </si>
  <si>
    <t xml:space="preserve">STAT_2023_CRBN</t>
  </si>
  <si>
    <t xml:space="preserve">MAP_0170</t>
  </si>
  <si>
    <t xml:space="preserve">2023|STAT_2023_DOIL|Use|SD|STAT|saldo oferta menos uso por producto</t>
  </si>
  <si>
    <t xml:space="preserve">STAT_2023_DOIL</t>
  </si>
  <si>
    <t xml:space="preserve">MAP_0171</t>
  </si>
  <si>
    <t xml:space="preserve">2023|STAT_2023_KER|Use|SD|STAT|saldo oferta menos uso por producto</t>
  </si>
  <si>
    <t xml:space="preserve">STAT_2023_KER</t>
  </si>
  <si>
    <t xml:space="preserve">MAP_0172</t>
  </si>
  <si>
    <t xml:space="preserve">2023|NOEN_APARENTE_2023|Use|E|NO_ASIG|USO_NO_ENERGETICO_APARENTE</t>
  </si>
  <si>
    <t xml:space="preserve">NOEN_APARENTE_2023</t>
  </si>
  <si>
    <t xml:space="preserve">MAP_0173</t>
  </si>
  <si>
    <t xml:space="preserve">2023|STAT_2023_PETR|Use|SD|STAT|saldo oferta menos uso por producto</t>
  </si>
  <si>
    <t xml:space="preserve">STAT_2023_PETR</t>
  </si>
  <si>
    <t xml:space="preserve">MAP_0174</t>
  </si>
  <si>
    <t xml:space="preserve">2022|BEV2_00981|Supply|C|IND_BEN|FRONTERA_BAGAZO_IND</t>
  </si>
  <si>
    <t xml:space="preserve">MAP_0175</t>
  </si>
  <si>
    <t xml:space="preserve">2022|BEV2_00986|Use|E|ENER|GENERACION_CENTRAL</t>
  </si>
  <si>
    <t xml:space="preserve">MAP_0176</t>
  </si>
  <si>
    <t xml:space="preserve">2022|BEV2_00987|Use|E|ENER|AUTOPRODUCCION</t>
  </si>
  <si>
    <t xml:space="preserve">MAP_0177</t>
  </si>
  <si>
    <t xml:space="preserve">2022|BEV2_00995|Supply|C|ENER|FRONTERA_BIOGAS_ENER</t>
  </si>
  <si>
    <t xml:space="preserve">MAP_0178</t>
  </si>
  <si>
    <t xml:space="preserve">2022|BEV2_01000|Use|E|ENER|GENERACION_CENTRAL</t>
  </si>
  <si>
    <t xml:space="preserve">MAP_0179</t>
  </si>
  <si>
    <t xml:space="preserve">2022|BEV2_01009|Supply|A|ENV|EXTRACCION_B</t>
  </si>
  <si>
    <t xml:space="preserve">MAP_0180</t>
  </si>
  <si>
    <t xml:space="preserve">2022|BEV2_01009|Use|B|B|EXTRACCION_B</t>
  </si>
  <si>
    <t xml:space="preserve">MAP_0181</t>
  </si>
  <si>
    <t xml:space="preserve">2022|BEV2_01009|Supply|C|B|EXTRACCION_B</t>
  </si>
  <si>
    <t xml:space="preserve">MAP_0182</t>
  </si>
  <si>
    <t xml:space="preserve">2022|BEV2_01010|Supply|D|ROW|COMERCIO_EXTERIOR</t>
  </si>
  <si>
    <t xml:space="preserve">MAP_0183</t>
  </si>
  <si>
    <t xml:space="preserve">2022|BEV2_01012|Use|G|ACC|CAMBIO_EXISTENCIAS</t>
  </si>
  <si>
    <t xml:space="preserve">MAP_0184</t>
  </si>
  <si>
    <t xml:space="preserve">2022|BEV2_01014|Use|E|ENER|GENERACION_CENTRAL</t>
  </si>
  <si>
    <t xml:space="preserve">MAP_0185</t>
  </si>
  <si>
    <t xml:space="preserve">2022|BEV2_01015|Use|E|ENER|AUTOPRODUCCION</t>
  </si>
  <si>
    <t xml:space="preserve">MAP_0186</t>
  </si>
  <si>
    <t xml:space="preserve">2022|BEV2_01023|Supply|A|ENV|INSUMO_NATURAL_RENOVABLE</t>
  </si>
  <si>
    <t xml:space="preserve">MAP_0187</t>
  </si>
  <si>
    <t xml:space="preserve">2022|BEV2_01028|Use|B|ENER|GENERACION_CENTRAL</t>
  </si>
  <si>
    <t xml:space="preserve">MAP_0188</t>
  </si>
  <si>
    <t xml:space="preserve">2022|BEV2_01037|Supply|A|ENV|INSUMO_NATURAL_RENOVABLE</t>
  </si>
  <si>
    <t xml:space="preserve">MAP_0189</t>
  </si>
  <si>
    <t xml:space="preserve">2022|BEV2_01042|Use|B|ENER|GENERACION_CENTRAL</t>
  </si>
  <si>
    <t xml:space="preserve">MAP_0190</t>
  </si>
  <si>
    <t xml:space="preserve">2022|BEV2_01051|Supply|A|ENV|EXTRACCION_B</t>
  </si>
  <si>
    <t xml:space="preserve">MAP_0191</t>
  </si>
  <si>
    <t xml:space="preserve">2022|BEV2_01051|Use|B|B|EXTRACCION_B</t>
  </si>
  <si>
    <t xml:space="preserve">MAP_0192</t>
  </si>
  <si>
    <t xml:space="preserve">2022|BEV2_01051|Supply|C|B|EXTRACCION_B</t>
  </si>
  <si>
    <t xml:space="preserve">MAP_0193</t>
  </si>
  <si>
    <t xml:space="preserve">2022|BEV2_01056|Use|E|ENER|GENERACION_CENTRAL</t>
  </si>
  <si>
    <t xml:space="preserve">MAP_0194</t>
  </si>
  <si>
    <t xml:space="preserve">2022|BEV2_01065|Supply|A|ENV|INSUMO_NATURAL_RENOVABLE</t>
  </si>
  <si>
    <t xml:space="preserve">MAP_0195</t>
  </si>
  <si>
    <t xml:space="preserve">2022|BEV2_01070|Use|B|ENER|GENERACION_CENTRAL</t>
  </si>
  <si>
    <t xml:space="preserve">MAP_0196</t>
  </si>
  <si>
    <t xml:space="preserve">2022|BEV2_01071|Use|B|ENER|AUTOPRODUCCION</t>
  </si>
  <si>
    <t xml:space="preserve">MAP_0197</t>
  </si>
  <si>
    <t xml:space="preserve">2022|BEV2_01079|Supply|C|A|FRONTERA_LENA_A</t>
  </si>
  <si>
    <t xml:space="preserve">MAP_0198</t>
  </si>
  <si>
    <t xml:space="preserve">2022|BEV2_01088|Use|F|HH|USO_HH</t>
  </si>
  <si>
    <t xml:space="preserve">MAP_0199</t>
  </si>
  <si>
    <t xml:space="preserve">2022|BEV2_01089|Use|E|SERV|USO_SERV</t>
  </si>
  <si>
    <t xml:space="preserve">MAP_0200</t>
  </si>
  <si>
    <t xml:space="preserve">2022|BEV2_01093|Supply|A|ENV|EXTRACCION_B</t>
  </si>
  <si>
    <t xml:space="preserve">MAP_0201</t>
  </si>
  <si>
    <t xml:space="preserve">2022|BEV2_01093|Use|B|B|EXTRACCION_B</t>
  </si>
  <si>
    <t xml:space="preserve">MAP_0202</t>
  </si>
  <si>
    <t xml:space="preserve">2022|BEV2_01093|Supply|C|B|EXTRACCION_B</t>
  </si>
  <si>
    <t xml:space="preserve">MAP_0203</t>
  </si>
  <si>
    <t xml:space="preserve">2022|BEV2_01094|Supply|D|ROW|COMERCIO_EXTERIOR</t>
  </si>
  <si>
    <t xml:space="preserve">MAP_0204</t>
  </si>
  <si>
    <t xml:space="preserve">2022|BEV2_01095|Use|H|ROW|COMERCIO_EXTERIOR</t>
  </si>
  <si>
    <t xml:space="preserve">MAP_0205</t>
  </si>
  <si>
    <t xml:space="preserve">2022|BEV2_01096|Use|G|ACC|CAMBIO_EXISTENCIAS</t>
  </si>
  <si>
    <t xml:space="preserve">MAP_0206</t>
  </si>
  <si>
    <t xml:space="preserve">2022|BEV2_01097|Use|E|ENER|TRANSFORMACION_REFINERIA</t>
  </si>
  <si>
    <t xml:space="preserve">MAP_0207</t>
  </si>
  <si>
    <t xml:space="preserve">2022|BEV2_01107|Supply|A|ENV|INSUMO_NATURAL_RENOVABLE</t>
  </si>
  <si>
    <t xml:space="preserve">MAP_0208</t>
  </si>
  <si>
    <t xml:space="preserve">2022|BEV2_01112|Use|B|ENER|GENERACION_CENTRAL</t>
  </si>
  <si>
    <t xml:space="preserve">MAP_0209</t>
  </si>
  <si>
    <t xml:space="preserve">2022|BEV2_01122|Supply|D|ROW|COMERCIO_EXTERIOR</t>
  </si>
  <si>
    <t xml:space="preserve">MAP_0210</t>
  </si>
  <si>
    <t xml:space="preserve">2022|BEV2_01124|Use|G|ACC|CAMBIO_EXISTENCIAS</t>
  </si>
  <si>
    <t xml:space="preserve">MAP_0211</t>
  </si>
  <si>
    <t xml:space="preserve">2022|BEV2_01132|Use|E|IND_BEN|USO_IND_BEN</t>
  </si>
  <si>
    <t xml:space="preserve">MAP_0212</t>
  </si>
  <si>
    <t xml:space="preserve">2022|BEV2_01136|Supply|D|ROW|COMERCIO_EXTERIOR</t>
  </si>
  <si>
    <t xml:space="preserve">MAP_0213</t>
  </si>
  <si>
    <t xml:space="preserve">2022|BEV2_01137|Use|H|ROW|COMERCIO_EXTERIOR</t>
  </si>
  <si>
    <t xml:space="preserve">MAP_0214</t>
  </si>
  <si>
    <t xml:space="preserve">2022|BEV2_01138|Use|G|ACC|CAMBIO_EXISTENCIAS</t>
  </si>
  <si>
    <t xml:space="preserve">MAP_0215</t>
  </si>
  <si>
    <t xml:space="preserve">2022|BEV2_01140|Use|E|ENER|GENERACION_CENTRAL</t>
  </si>
  <si>
    <t xml:space="preserve">MAP_0216</t>
  </si>
  <si>
    <t xml:space="preserve">2022|BEV2_01143|Use|E|TR_BEN|USO_TR_BEN</t>
  </si>
  <si>
    <t xml:space="preserve">MAP_0217</t>
  </si>
  <si>
    <t xml:space="preserve">2022|BEV2_01146|Use|E|IND_BEN|USO_IND_BEN</t>
  </si>
  <si>
    <t xml:space="preserve">MAP_0218</t>
  </si>
  <si>
    <t xml:space="preserve">2022|BEV2_01150|Supply|D|ROW|COMERCIO_EXTERIOR</t>
  </si>
  <si>
    <t xml:space="preserve">MAP_0219</t>
  </si>
  <si>
    <t xml:space="preserve">2022|BEV2_01151|Use|H|ROW|COMERCIO_EXTERIOR</t>
  </si>
  <si>
    <t xml:space="preserve">MAP_0220</t>
  </si>
  <si>
    <t xml:space="preserve">2022|BEV2_01154|Supply|C|ENER|GENERACION_CENTRAL</t>
  </si>
  <si>
    <t xml:space="preserve">MAP_0221</t>
  </si>
  <si>
    <t xml:space="preserve">2022|BEV2_01155|Supply|C|ENER|AUTOPRODUCCION</t>
  </si>
  <si>
    <t xml:space="preserve">MAP_0222</t>
  </si>
  <si>
    <t xml:space="preserve">2022|BEV2_01156|Use|E|ENER|USO_ENER</t>
  </si>
  <si>
    <t xml:space="preserve">MAP_0223</t>
  </si>
  <si>
    <t xml:space="preserve">2022|BEV2_01158|Use|F|HH|USO_HH</t>
  </si>
  <si>
    <t xml:space="preserve">MAP_0224</t>
  </si>
  <si>
    <t xml:space="preserve">2022|BEV2_01159|Use|E|SERV|USO_SERV</t>
  </si>
  <si>
    <t xml:space="preserve">MAP_0225</t>
  </si>
  <si>
    <t xml:space="preserve">2022|BEV2_01160|Use|E|IND_BEN|USO_IND_BEN</t>
  </si>
  <si>
    <t xml:space="preserve">MAP_0226</t>
  </si>
  <si>
    <t xml:space="preserve">2022|BEV2_01162|Use|E|ENER|PERDIDAS_TRIPLE</t>
  </si>
  <si>
    <t xml:space="preserve">MAP_0227</t>
  </si>
  <si>
    <t xml:space="preserve">2022|BEV2_01162|Supply|I|ENER|PERDIDAS_TRIPLE</t>
  </si>
  <si>
    <t xml:space="preserve">MAP_0228</t>
  </si>
  <si>
    <t xml:space="preserve">2022|BEV2_01162|Use|Q|ENV|PERDIDAS_TRIPLE</t>
  </si>
  <si>
    <t xml:space="preserve">MAP_0229</t>
  </si>
  <si>
    <t xml:space="preserve">2022|BEV2_01164|Supply|D|ROW|COMERCIO_EXTERIOR</t>
  </si>
  <si>
    <t xml:space="preserve">MAP_0230</t>
  </si>
  <si>
    <t xml:space="preserve">2022|BEV2_01166|Use|G|ACC|CAMBIO_EXISTENCIAS</t>
  </si>
  <si>
    <t xml:space="preserve">MAP_0231</t>
  </si>
  <si>
    <t xml:space="preserve">2022|BEV2_01168|Use|E|ENER|GENERACION_CENTRAL</t>
  </si>
  <si>
    <t xml:space="preserve">MAP_0232</t>
  </si>
  <si>
    <t xml:space="preserve">2022|BEV2_01169|Use|E|ENER|AUTOPRODUCCION</t>
  </si>
  <si>
    <t xml:space="preserve">MAP_0233</t>
  </si>
  <si>
    <t xml:space="preserve">2022|BEV2_01174|Use|E|IND_BEN|USO_IND_BEN</t>
  </si>
  <si>
    <t xml:space="preserve">MAP_0234</t>
  </si>
  <si>
    <t xml:space="preserve">2022|BEV2_01178|Supply|D|ROW|COMERCIO_EXTERIOR</t>
  </si>
  <si>
    <t xml:space="preserve">MAP_0235</t>
  </si>
  <si>
    <t xml:space="preserve">2022|BEV2_01179|Use|H|ROW|COMERCIO_EXTERIOR</t>
  </si>
  <si>
    <t xml:space="preserve">MAP_0236</t>
  </si>
  <si>
    <t xml:space="preserve">2022|BEV2_01180|Use|G|ACC|CAMBIO_EXISTENCIAS</t>
  </si>
  <si>
    <t xml:space="preserve">MAP_0237</t>
  </si>
  <si>
    <t xml:space="preserve">2022|BEV2_01185|Use|E|TR_BEN|USO_TR_BEN</t>
  </si>
  <si>
    <t xml:space="preserve">MAP_0238</t>
  </si>
  <si>
    <t xml:space="preserve">2022|BEV2_01187|Use|E|SERV|USO_SERV</t>
  </si>
  <si>
    <t xml:space="preserve">MAP_0239</t>
  </si>
  <si>
    <t xml:space="preserve">2022|BEV2_01188|Use|E|IND_BEN|USO_IND_BEN</t>
  </si>
  <si>
    <t xml:space="preserve">MAP_0240</t>
  </si>
  <si>
    <t xml:space="preserve">2022|BEV2_01192|Supply|D|ROW|COMERCIO_EXTERIOR</t>
  </si>
  <si>
    <t xml:space="preserve">MAP_0241</t>
  </si>
  <si>
    <t xml:space="preserve">2022|BEV2_01193|Use|H|ROW|COMERCIO_EXTERIOR</t>
  </si>
  <si>
    <t xml:space="preserve">MAP_0242</t>
  </si>
  <si>
    <t xml:space="preserve">2022|BEV2_01194|Use|G|ACC|CAMBIO_EXISTENCIAS</t>
  </si>
  <si>
    <t xml:space="preserve">MAP_0243</t>
  </si>
  <si>
    <t xml:space="preserve">2022|BEV2_01199|Use|E|TR_BEN|USO_TR_BEN</t>
  </si>
  <si>
    <t xml:space="preserve">MAP_0244</t>
  </si>
  <si>
    <t xml:space="preserve">2022|BEV2_01200|Use|F|HH|USO_HH</t>
  </si>
  <si>
    <t xml:space="preserve">MAP_0245</t>
  </si>
  <si>
    <t xml:space="preserve">2022|BEV2_01201|Use|E|SERV|USO_SERV</t>
  </si>
  <si>
    <t xml:space="preserve">MAP_0246</t>
  </si>
  <si>
    <t xml:space="preserve">2022|BEV2_01202|Use|E|IND_BEN|USO_IND_BEN</t>
  </si>
  <si>
    <t xml:space="preserve">MAP_0247</t>
  </si>
  <si>
    <t xml:space="preserve">2022|BEV2_01206|Supply|D|ROW|COMERCIO_EXTERIOR</t>
  </si>
  <si>
    <t xml:space="preserve">MAP_0248</t>
  </si>
  <si>
    <t xml:space="preserve">2022|BEV2_01207|Use|H|ROW|COMERCIO_EXTERIOR</t>
  </si>
  <si>
    <t xml:space="preserve">MAP_0249</t>
  </si>
  <si>
    <t xml:space="preserve">2022|BEV2_01208|Use|G|ACC|CAMBIO_EXISTENCIAS</t>
  </si>
  <si>
    <t xml:space="preserve">MAP_0250</t>
  </si>
  <si>
    <t xml:space="preserve">2022|BEV2_01213|Use|E|TR_BEN|USO_TR_BEN</t>
  </si>
  <si>
    <t xml:space="preserve">MAP_0251</t>
  </si>
  <si>
    <t xml:space="preserve">2022|BEV2_01220|Supply|D|ROW|COMERCIO_EXTERIOR</t>
  </si>
  <si>
    <t xml:space="preserve">MAP_0252</t>
  </si>
  <si>
    <t xml:space="preserve">2022|BEV2_01221|Use|H|ROW|COMERCIO_EXTERIOR</t>
  </si>
  <si>
    <t xml:space="preserve">MAP_0253</t>
  </si>
  <si>
    <t xml:space="preserve">2022|BEV2_01222|Use|G|ACC|CAMBIO_EXISTENCIAS</t>
  </si>
  <si>
    <t xml:space="preserve">MAP_0254</t>
  </si>
  <si>
    <t xml:space="preserve">2022|BEV2_01223|Supply|C|ENER|TRANSFORMACION_REFINERIA</t>
  </si>
  <si>
    <t xml:space="preserve">MAP_0255</t>
  </si>
  <si>
    <t xml:space="preserve">2022|STAT_2022_BCANA|Use|SD|STAT|saldo oferta menos uso por producto</t>
  </si>
  <si>
    <t xml:space="preserve">STAT_2022_BCANA</t>
  </si>
  <si>
    <t xml:space="preserve">MAP_0256</t>
  </si>
  <si>
    <t xml:space="preserve">2022|STAT_2022_CRBN|Use|SD|STAT|saldo oferta menos uso por producto</t>
  </si>
  <si>
    <t xml:space="preserve">STAT_2022_CRBN</t>
  </si>
  <si>
    <t xml:space="preserve">MAP_0257</t>
  </si>
  <si>
    <t xml:space="preserve">2022|STAT_2022_ELEC|Use|SD|STAT|saldo oferta menos uso por producto</t>
  </si>
  <si>
    <t xml:space="preserve">STAT_2022_ELEC</t>
  </si>
  <si>
    <t xml:space="preserve">MAP_0258</t>
  </si>
  <si>
    <t xml:space="preserve">2022|STAT_2022_FOIL|Use|SD|STAT|saldo oferta menos uso por producto</t>
  </si>
  <si>
    <t xml:space="preserve">STAT_2022_FOIL</t>
  </si>
  <si>
    <t xml:space="preserve">MAP_0259</t>
  </si>
  <si>
    <t xml:space="preserve">2022|STAT_2022_GAS|Use|SD|STAT|saldo oferta menos uso por producto</t>
  </si>
  <si>
    <t xml:space="preserve">STAT_2022_GAS</t>
  </si>
  <si>
    <t xml:space="preserve">MAP_0260</t>
  </si>
  <si>
    <t xml:space="preserve">2022|STAT_2022_GLP|Use|SD|STAT|saldo oferta menos uso por producto</t>
  </si>
  <si>
    <t xml:space="preserve">STAT_2022_GLP</t>
  </si>
  <si>
    <t xml:space="preserve">MAP_0261</t>
  </si>
  <si>
    <t xml:space="preserve">2022|STAT_2022_KER|Use|SD|STAT|saldo oferta menos uso por producto</t>
  </si>
  <si>
    <t xml:space="preserve">STAT_2022_KER</t>
  </si>
  <si>
    <t xml:space="preserve">MAP_0262</t>
  </si>
  <si>
    <t xml:space="preserve">2022|NOEN_APARENTE_2022|Use|E|NO_ASIG|USO_NO_ENERGETICO_APARENTE</t>
  </si>
  <si>
    <t xml:space="preserve">NOEN_APARENTE_2022</t>
  </si>
  <si>
    <t xml:space="preserve">MAP_0263</t>
  </si>
  <si>
    <t xml:space="preserve">2022|STAT_2022_PETR|Use|SD|STAT|saldo oferta menos uso por producto</t>
  </si>
  <si>
    <t xml:space="preserve">STAT_2022_PETR</t>
  </si>
  <si>
    <t xml:space="preserve">MAP_0264</t>
  </si>
  <si>
    <t xml:space="preserve">2021|BEV2_00729|Supply|C|IND_BEN|FRONTERA_BAGAZO_IND</t>
  </si>
  <si>
    <t xml:space="preserve">MAP_0265</t>
  </si>
  <si>
    <t xml:space="preserve">2021|BEV2_00734|Use|E|ENER|GENERACION_CENTRAL</t>
  </si>
  <si>
    <t xml:space="preserve">MAP_0266</t>
  </si>
  <si>
    <t xml:space="preserve">2021|BEV2_00735|Use|E|ENER|AUTOPRODUCCION</t>
  </si>
  <si>
    <t xml:space="preserve">MAP_0267</t>
  </si>
  <si>
    <t xml:space="preserve">2021|BEV2_00743|Supply|C|ENER|FRONTERA_BIOGAS_ENER</t>
  </si>
  <si>
    <t xml:space="preserve">MAP_0268</t>
  </si>
  <si>
    <t xml:space="preserve">2021|BEV2_00748|Use|E|ENER|GENERACION_CENTRAL</t>
  </si>
  <si>
    <t xml:space="preserve">MAP_0269</t>
  </si>
  <si>
    <t xml:space="preserve">2021|BEV2_00757|Supply|A|ENV|EXTRACCION_B</t>
  </si>
  <si>
    <t xml:space="preserve">MAP_0270</t>
  </si>
  <si>
    <t xml:space="preserve">2021|BEV2_00757|Use|B|B|EXTRACCION_B</t>
  </si>
  <si>
    <t xml:space="preserve">MAP_0271</t>
  </si>
  <si>
    <t xml:space="preserve">2021|BEV2_00757|Supply|C|B|EXTRACCION_B</t>
  </si>
  <si>
    <t xml:space="preserve">MAP_0272</t>
  </si>
  <si>
    <t xml:space="preserve">2021|BEV2_00758|Supply|D|ROW|COMERCIO_EXTERIOR</t>
  </si>
  <si>
    <t xml:space="preserve">MAP_0273</t>
  </si>
  <si>
    <t xml:space="preserve">2021|BEV2_00760|Use|G|ACC|CAMBIO_EXISTENCIAS</t>
  </si>
  <si>
    <t xml:space="preserve">MAP_0274</t>
  </si>
  <si>
    <t xml:space="preserve">2021|BEV2_00762|Use|E|ENER|GENERACION_CENTRAL</t>
  </si>
  <si>
    <t xml:space="preserve">MAP_0275</t>
  </si>
  <si>
    <t xml:space="preserve">2021|BEV2_00763|Use|E|ENER|AUTOPRODUCCION</t>
  </si>
  <si>
    <t xml:space="preserve">MAP_0276</t>
  </si>
  <si>
    <t xml:space="preserve">2021|BEV2_00771|Supply|A|ENV|INSUMO_NATURAL_RENOVABLE</t>
  </si>
  <si>
    <t xml:space="preserve">MAP_0277</t>
  </si>
  <si>
    <t xml:space="preserve">2021|BEV2_00776|Use|B|ENER|GENERACION_CENTRAL</t>
  </si>
  <si>
    <t xml:space="preserve">MAP_0278</t>
  </si>
  <si>
    <t xml:space="preserve">2021|BEV2_00785|Supply|A|ENV|INSUMO_NATURAL_RENOVABLE</t>
  </si>
  <si>
    <t xml:space="preserve">MAP_0279</t>
  </si>
  <si>
    <t xml:space="preserve">2021|BEV2_00790|Use|B|ENER|GENERACION_CENTRAL</t>
  </si>
  <si>
    <t xml:space="preserve">MAP_0280</t>
  </si>
  <si>
    <t xml:space="preserve">2021|BEV2_00799|Supply|A|ENV|EXTRACCION_B</t>
  </si>
  <si>
    <t xml:space="preserve">MAP_0281</t>
  </si>
  <si>
    <t xml:space="preserve">2021|BEV2_00799|Use|B|B|EXTRACCION_B</t>
  </si>
  <si>
    <t xml:space="preserve">MAP_0282</t>
  </si>
  <si>
    <t xml:space="preserve">2021|BEV2_00799|Supply|C|B|EXTRACCION_B</t>
  </si>
  <si>
    <t xml:space="preserve">MAP_0283</t>
  </si>
  <si>
    <t xml:space="preserve">2021|BEV2_00804|Use|E|ENER|GENERACION_CENTRAL</t>
  </si>
  <si>
    <t xml:space="preserve">MAP_0284</t>
  </si>
  <si>
    <t xml:space="preserve">2021|BEV2_00813|Supply|A|ENV|INSUMO_NATURAL_RENOVABLE</t>
  </si>
  <si>
    <t xml:space="preserve">MAP_0285</t>
  </si>
  <si>
    <t xml:space="preserve">2021|BEV2_00818|Use|B|ENER|GENERACION_CENTRAL</t>
  </si>
  <si>
    <t xml:space="preserve">MAP_0286</t>
  </si>
  <si>
    <t xml:space="preserve">2021|BEV2_00819|Use|B|ENER|AUTOPRODUCCION</t>
  </si>
  <si>
    <t xml:space="preserve">MAP_0287</t>
  </si>
  <si>
    <t xml:space="preserve">2021|BEV2_00827|Supply|C|A|FRONTERA_LENA_A</t>
  </si>
  <si>
    <t xml:space="preserve">MAP_0288</t>
  </si>
  <si>
    <t xml:space="preserve">2021|BEV2_00836|Use|F|HH|USO_HH</t>
  </si>
  <si>
    <t xml:space="preserve">MAP_0289</t>
  </si>
  <si>
    <t xml:space="preserve">2021|BEV2_00837|Use|E|SERV|USO_SERV</t>
  </si>
  <si>
    <t xml:space="preserve">MAP_0290</t>
  </si>
  <si>
    <t xml:space="preserve">2021|BEV2_00841|Supply|A|ENV|EXTRACCION_B</t>
  </si>
  <si>
    <t xml:space="preserve">MAP_0291</t>
  </si>
  <si>
    <t xml:space="preserve">2021|BEV2_00841|Use|B|B|EXTRACCION_B</t>
  </si>
  <si>
    <t xml:space="preserve">MAP_0292</t>
  </si>
  <si>
    <t xml:space="preserve">2021|BEV2_00841|Supply|C|B|EXTRACCION_B</t>
  </si>
  <si>
    <t xml:space="preserve">MAP_0293</t>
  </si>
  <si>
    <t xml:space="preserve">2021|BEV2_00843|Use|H|ROW|COMERCIO_EXTERIOR</t>
  </si>
  <si>
    <t xml:space="preserve">MAP_0294</t>
  </si>
  <si>
    <t xml:space="preserve">2021|BEV2_00844|Use|G|ACC|CAMBIO_EXISTENCIAS</t>
  </si>
  <si>
    <t xml:space="preserve">MAP_0295</t>
  </si>
  <si>
    <t xml:space="preserve">2021|BEV2_00845|Use|E|ENER|TRANSFORMACION_REFINERIA</t>
  </si>
  <si>
    <t xml:space="preserve">MAP_0296</t>
  </si>
  <si>
    <t xml:space="preserve">2021|BEV2_00855|Supply|A|ENV|INSUMO_NATURAL_RENOVABLE</t>
  </si>
  <si>
    <t xml:space="preserve">MAP_0297</t>
  </si>
  <si>
    <t xml:space="preserve">2021|BEV2_00860|Use|B|ENER|GENERACION_CENTRAL</t>
  </si>
  <si>
    <t xml:space="preserve">MAP_0298</t>
  </si>
  <si>
    <t xml:space="preserve">2021|BEV2_00870|Supply|D|ROW|COMERCIO_EXTERIOR</t>
  </si>
  <si>
    <t xml:space="preserve">MAP_0299</t>
  </si>
  <si>
    <t xml:space="preserve">2021|BEV2_00872|Use|G|ACC|CAMBIO_EXISTENCIAS</t>
  </si>
  <si>
    <t xml:space="preserve">MAP_0300</t>
  </si>
  <si>
    <t xml:space="preserve">2021|BEV2_00880|Use|E|IND_BEN|USO_IND_BEN</t>
  </si>
  <si>
    <t xml:space="preserve">MAP_0301</t>
  </si>
  <si>
    <t xml:space="preserve">2021|BEV2_00884|Supply|D|ROW|COMERCIO_EXTERIOR</t>
  </si>
  <si>
    <t xml:space="preserve">MAP_0302</t>
  </si>
  <si>
    <t xml:space="preserve">2021|BEV2_00885|Use|H|ROW|COMERCIO_EXTERIOR</t>
  </si>
  <si>
    <t xml:space="preserve">MAP_0303</t>
  </si>
  <si>
    <t xml:space="preserve">2021|BEV2_00886|Use|G|ACC|CAMBIO_EXISTENCIAS</t>
  </si>
  <si>
    <t xml:space="preserve">MAP_0304</t>
  </si>
  <si>
    <t xml:space="preserve">2021|BEV2_00888|Use|E|ENER|GENERACION_CENTRAL</t>
  </si>
  <si>
    <t xml:space="preserve">MAP_0305</t>
  </si>
  <si>
    <t xml:space="preserve">2021|BEV2_00891|Use|E|TR_BEN|USO_TR_BEN</t>
  </si>
  <si>
    <t xml:space="preserve">MAP_0306</t>
  </si>
  <si>
    <t xml:space="preserve">2021|BEV2_00894|Use|E|IND_BEN|USO_IND_BEN</t>
  </si>
  <si>
    <t xml:space="preserve">MAP_0307</t>
  </si>
  <si>
    <t xml:space="preserve">2021|BEV2_00898|Supply|D|ROW|COMERCIO_EXTERIOR</t>
  </si>
  <si>
    <t xml:space="preserve">MAP_0308</t>
  </si>
  <si>
    <t xml:space="preserve">2021|BEV2_00899|Use|H|ROW|COMERCIO_EXTERIOR</t>
  </si>
  <si>
    <t xml:space="preserve">MAP_0309</t>
  </si>
  <si>
    <t xml:space="preserve">2021|BEV2_00902|Supply|C|ENER|GENERACION_CENTRAL</t>
  </si>
  <si>
    <t xml:space="preserve">MAP_0310</t>
  </si>
  <si>
    <t xml:space="preserve">2021|BEV2_00903|Supply|C|ENER|AUTOPRODUCCION</t>
  </si>
  <si>
    <t xml:space="preserve">MAP_0311</t>
  </si>
  <si>
    <t xml:space="preserve">2021|BEV2_00904|Use|E|ENER|USO_ENER</t>
  </si>
  <si>
    <t xml:space="preserve">MAP_0312</t>
  </si>
  <si>
    <t xml:space="preserve">2021|BEV2_00906|Use|F|HH|USO_HH</t>
  </si>
  <si>
    <t xml:space="preserve">MAP_0313</t>
  </si>
  <si>
    <t xml:space="preserve">2021|BEV2_00907|Use|E|SERV|USO_SERV</t>
  </si>
  <si>
    <t xml:space="preserve">MAP_0314</t>
  </si>
  <si>
    <t xml:space="preserve">2021|BEV2_00908|Use|E|IND_BEN|USO_IND_BEN</t>
  </si>
  <si>
    <t xml:space="preserve">MAP_0315</t>
  </si>
  <si>
    <t xml:space="preserve">2021|BEV2_00910|Use|E|ENER|PERDIDAS_TRIPLE</t>
  </si>
  <si>
    <t xml:space="preserve">MAP_0316</t>
  </si>
  <si>
    <t xml:space="preserve">2021|BEV2_00910|Supply|I|ENER|PERDIDAS_TRIPLE</t>
  </si>
  <si>
    <t xml:space="preserve">MAP_0317</t>
  </si>
  <si>
    <t xml:space="preserve">2021|BEV2_00910|Use|Q|ENV|PERDIDAS_TRIPLE</t>
  </si>
  <si>
    <t xml:space="preserve">MAP_0318</t>
  </si>
  <si>
    <t xml:space="preserve">2021|BEV2_00912|Supply|D|ROW|COMERCIO_EXTERIOR</t>
  </si>
  <si>
    <t xml:space="preserve">MAP_0319</t>
  </si>
  <si>
    <t xml:space="preserve">2021|BEV2_00914|Use|G|ACC|CAMBIO_EXISTENCIAS</t>
  </si>
  <si>
    <t xml:space="preserve">MAP_0320</t>
  </si>
  <si>
    <t xml:space="preserve">2021|BEV2_00916|Use|E|ENER|GENERACION_CENTRAL</t>
  </si>
  <si>
    <t xml:space="preserve">MAP_0321</t>
  </si>
  <si>
    <t xml:space="preserve">2021|BEV2_00917|Use|E|ENER|AUTOPRODUCCION</t>
  </si>
  <si>
    <t xml:space="preserve">MAP_0322</t>
  </si>
  <si>
    <t xml:space="preserve">2021|BEV2_00922|Use|E|IND_BEN|USO_IND_BEN</t>
  </si>
  <si>
    <t xml:space="preserve">MAP_0323</t>
  </si>
  <si>
    <t xml:space="preserve">2021|BEV2_00926|Supply|D|ROW|COMERCIO_EXTERIOR</t>
  </si>
  <si>
    <t xml:space="preserve">MAP_0324</t>
  </si>
  <si>
    <t xml:space="preserve">2021|BEV2_00927|Use|H|ROW|COMERCIO_EXTERIOR</t>
  </si>
  <si>
    <t xml:space="preserve">MAP_0325</t>
  </si>
  <si>
    <t xml:space="preserve">2021|BEV2_00928|Use|G|ACC|CAMBIO_EXISTENCIAS</t>
  </si>
  <si>
    <t xml:space="preserve">MAP_0326</t>
  </si>
  <si>
    <t xml:space="preserve">2021|BEV2_00933|Use|E|TR_BEN|USO_TR_BEN</t>
  </si>
  <si>
    <t xml:space="preserve">MAP_0327</t>
  </si>
  <si>
    <t xml:space="preserve">2021|BEV2_00935|Use|E|SERV|USO_SERV</t>
  </si>
  <si>
    <t xml:space="preserve">MAP_0328</t>
  </si>
  <si>
    <t xml:space="preserve">2021|BEV2_00936|Use|E|IND_BEN|USO_IND_BEN</t>
  </si>
  <si>
    <t xml:space="preserve">MAP_0329</t>
  </si>
  <si>
    <t xml:space="preserve">2021|BEV2_00940|Supply|D|ROW|COMERCIO_EXTERIOR</t>
  </si>
  <si>
    <t xml:space="preserve">MAP_0330</t>
  </si>
  <si>
    <t xml:space="preserve">2021|BEV2_00941|Use|H|ROW|COMERCIO_EXTERIOR</t>
  </si>
  <si>
    <t xml:space="preserve">MAP_0331</t>
  </si>
  <si>
    <t xml:space="preserve">2021|BEV2_00942|Use|G|ACC|CAMBIO_EXISTENCIAS</t>
  </si>
  <si>
    <t xml:space="preserve">MAP_0332</t>
  </si>
  <si>
    <t xml:space="preserve">2021|BEV2_00947|Use|E|TR_BEN|USO_TR_BEN</t>
  </si>
  <si>
    <t xml:space="preserve">MAP_0333</t>
  </si>
  <si>
    <t xml:space="preserve">2021|BEV2_00948|Use|F|HH|USO_HH</t>
  </si>
  <si>
    <t xml:space="preserve">MAP_0334</t>
  </si>
  <si>
    <t xml:space="preserve">2021|BEV2_00949|Use|E|SERV|USO_SERV</t>
  </si>
  <si>
    <t xml:space="preserve">MAP_0335</t>
  </si>
  <si>
    <t xml:space="preserve">2021|BEV2_00950|Use|E|IND_BEN|USO_IND_BEN</t>
  </si>
  <si>
    <t xml:space="preserve">MAP_0336</t>
  </si>
  <si>
    <t xml:space="preserve">2021|BEV2_00954|Supply|D|ROW|COMERCIO_EXTERIOR</t>
  </si>
  <si>
    <t xml:space="preserve">MAP_0337</t>
  </si>
  <si>
    <t xml:space="preserve">2021|BEV2_00955|Use|H|ROW|COMERCIO_EXTERIOR</t>
  </si>
  <si>
    <t xml:space="preserve">MAP_0338</t>
  </si>
  <si>
    <t xml:space="preserve">2021|BEV2_00956|Use|G|ACC|CAMBIO_EXISTENCIAS</t>
  </si>
  <si>
    <t xml:space="preserve">MAP_0339</t>
  </si>
  <si>
    <t xml:space="preserve">2021|BEV2_00961|Use|E|TR_BEN|USO_TR_BEN</t>
  </si>
  <si>
    <t xml:space="preserve">MAP_0340</t>
  </si>
  <si>
    <t xml:space="preserve">2021|BEV2_00968|Supply|D|ROW|COMERCIO_EXTERIOR</t>
  </si>
  <si>
    <t xml:space="preserve">MAP_0341</t>
  </si>
  <si>
    <t xml:space="preserve">2021|BEV2_00969|Use|H|ROW|COMERCIO_EXTERIOR</t>
  </si>
  <si>
    <t xml:space="preserve">MAP_0342</t>
  </si>
  <si>
    <t xml:space="preserve">2021|BEV2_00970|Use|G|ACC|CAMBIO_EXISTENCIAS</t>
  </si>
  <si>
    <t xml:space="preserve">MAP_0343</t>
  </si>
  <si>
    <t xml:space="preserve">2021|BEV2_00971|Supply|C|ENER|TRANSFORMACION_REFINERIA</t>
  </si>
  <si>
    <t xml:space="preserve">MAP_0344</t>
  </si>
  <si>
    <t xml:space="preserve">2021|STAT_2021_DOIL|Use|SD|STAT|saldo oferta menos uso por producto</t>
  </si>
  <si>
    <t xml:space="preserve">STAT_2021_DOIL</t>
  </si>
  <si>
    <t xml:space="preserve">MAP_0345</t>
  </si>
  <si>
    <t xml:space="preserve">2021|STAT_2021_ELEC|Use|SD|STAT|saldo oferta menos uso por producto</t>
  </si>
  <si>
    <t xml:space="preserve">STAT_2021_ELEC</t>
  </si>
  <si>
    <t xml:space="preserve">MAP_0346</t>
  </si>
  <si>
    <t xml:space="preserve">2021|STAT_2021_FOIL|Use|SD|STAT|saldo oferta menos uso por producto</t>
  </si>
  <si>
    <t xml:space="preserve">STAT_2021_FOIL</t>
  </si>
  <si>
    <t xml:space="preserve">MAP_0347</t>
  </si>
  <si>
    <t xml:space="preserve">2021|STAT_2021_GAS|Use|SD|STAT|saldo oferta menos uso por producto</t>
  </si>
  <si>
    <t xml:space="preserve">STAT_2021_GAS</t>
  </si>
  <si>
    <t xml:space="preserve">MAP_0348</t>
  </si>
  <si>
    <t xml:space="preserve">2021|STAT_2021_GLP|Use|SD|STAT|saldo oferta menos uso por producto</t>
  </si>
  <si>
    <t xml:space="preserve">STAT_2021_GLP</t>
  </si>
  <si>
    <t xml:space="preserve">MAP_0349</t>
  </si>
  <si>
    <t xml:space="preserve">2021|STAT_2021_KER|Use|SD|STAT|saldo oferta menos uso por producto</t>
  </si>
  <si>
    <t xml:space="preserve">STAT_2021_KER</t>
  </si>
  <si>
    <t xml:space="preserve">MAP_0350</t>
  </si>
  <si>
    <t xml:space="preserve">2021|NOEN_APARENTE_2021|Use|E|NO_ASIG|USO_NO_ENERGETICO_APARENTE</t>
  </si>
  <si>
    <t xml:space="preserve">NOEN_APARENTE_2021</t>
  </si>
  <si>
    <t xml:space="preserve">MAP_0351</t>
  </si>
  <si>
    <t xml:space="preserve">2021|STAT_2021_PETR|Use|SD|STAT|saldo oferta menos uso por producto</t>
  </si>
  <si>
    <t xml:space="preserve">STAT_2021_PETR</t>
  </si>
  <si>
    <t xml:space="preserve">MAP_0352</t>
  </si>
  <si>
    <t xml:space="preserve">2020|BEV2_00491|Supply|C|IND_BEN|FRONTERA_BAGAZO_IND</t>
  </si>
  <si>
    <t xml:space="preserve">MAP_0353</t>
  </si>
  <si>
    <t xml:space="preserve">2020|BEV2_00496|Use|E|ENER|GENERACION_CENTRAL</t>
  </si>
  <si>
    <t xml:space="preserve">MAP_0354</t>
  </si>
  <si>
    <t xml:space="preserve">2020|BEV2_00497|Use|E|ENER|AUTOPRODUCCION</t>
  </si>
  <si>
    <t xml:space="preserve">MAP_0355</t>
  </si>
  <si>
    <t xml:space="preserve">2020|BEV2_00505|Supply|C|ENER|FRONTERA_BIOGAS_ENER</t>
  </si>
  <si>
    <t xml:space="preserve">MAP_0356</t>
  </si>
  <si>
    <t xml:space="preserve">2020|BEV2_00510|Use|E|ENER|GENERACION_CENTRAL</t>
  </si>
  <si>
    <t xml:space="preserve">MAP_0357</t>
  </si>
  <si>
    <t xml:space="preserve">2020|BEV2_00519|Supply|A|ENV|EXTRACCION_B</t>
  </si>
  <si>
    <t xml:space="preserve">MAP_0358</t>
  </si>
  <si>
    <t xml:space="preserve">2020|BEV2_00519|Use|B|B|EXTRACCION_B</t>
  </si>
  <si>
    <t xml:space="preserve">MAP_0359</t>
  </si>
  <si>
    <t xml:space="preserve">2020|BEV2_00519|Supply|C|B|EXTRACCION_B</t>
  </si>
  <si>
    <t xml:space="preserve">MAP_0360</t>
  </si>
  <si>
    <t xml:space="preserve">2020|BEV2_00520|Supply|D|ROW|COMERCIO_EXTERIOR</t>
  </si>
  <si>
    <t xml:space="preserve">MAP_0361</t>
  </si>
  <si>
    <t xml:space="preserve">2020|BEV2_00522|Use|G|ACC|CAMBIO_EXISTENCIAS</t>
  </si>
  <si>
    <t xml:space="preserve">MAP_0362</t>
  </si>
  <si>
    <t xml:space="preserve">2020|BEV2_00524|Use|E|ENER|GENERACION_CENTRAL</t>
  </si>
  <si>
    <t xml:space="preserve">MAP_0363</t>
  </si>
  <si>
    <t xml:space="preserve">2020|BEV2_00533|Supply|A|ENV|INSUMO_NATURAL_RENOVABLE</t>
  </si>
  <si>
    <t xml:space="preserve">MAP_0364</t>
  </si>
  <si>
    <t xml:space="preserve">2020|BEV2_00538|Use|B|ENER|GENERACION_CENTRAL</t>
  </si>
  <si>
    <t xml:space="preserve">MAP_0365</t>
  </si>
  <si>
    <t xml:space="preserve">2020|BEV2_00547|Supply|A|ENV|INSUMO_NATURAL_RENOVABLE</t>
  </si>
  <si>
    <t xml:space="preserve">MAP_0366</t>
  </si>
  <si>
    <t xml:space="preserve">2020|BEV2_00552|Use|B|ENER|GENERACION_CENTRAL</t>
  </si>
  <si>
    <t xml:space="preserve">MAP_0367</t>
  </si>
  <si>
    <t xml:space="preserve">2020|BEV2_00561|Supply|A|ENV|INSUMO_NATURAL_RENOVABLE</t>
  </si>
  <si>
    <t xml:space="preserve">MAP_0368</t>
  </si>
  <si>
    <t xml:space="preserve">2020|BEV2_00566|Use|B|ENER|GENERACION_CENTRAL</t>
  </si>
  <si>
    <t xml:space="preserve">MAP_0369</t>
  </si>
  <si>
    <t xml:space="preserve">2020|BEV2_00567|Use|B|ENER|AUTOPRODUCCION</t>
  </si>
  <si>
    <t xml:space="preserve">MAP_0370</t>
  </si>
  <si>
    <t xml:space="preserve">2020|BEV2_00575|Supply|C|A|FRONTERA_LENA_A</t>
  </si>
  <si>
    <t xml:space="preserve">MAP_0371</t>
  </si>
  <si>
    <t xml:space="preserve">2020|BEV2_00584|Use|F|HH|USO_HH</t>
  </si>
  <si>
    <t xml:space="preserve">MAP_0372</t>
  </si>
  <si>
    <t xml:space="preserve">2020|BEV2_00585|Use|E|SERV|USO_SERV</t>
  </si>
  <si>
    <t xml:space="preserve">MAP_0373</t>
  </si>
  <si>
    <t xml:space="preserve">2020|BEV2_00589|Supply|A|ENV|EXTRACCION_B</t>
  </si>
  <si>
    <t xml:space="preserve">MAP_0374</t>
  </si>
  <si>
    <t xml:space="preserve">2020|BEV2_00589|Use|B|B|EXTRACCION_B</t>
  </si>
  <si>
    <t xml:space="preserve">MAP_0375</t>
  </si>
  <si>
    <t xml:space="preserve">2020|BEV2_00589|Supply|C|B|EXTRACCION_B</t>
  </si>
  <si>
    <t xml:space="preserve">MAP_0376</t>
  </si>
  <si>
    <t xml:space="preserve">2020|BEV2_00591|Use|H|ROW|COMERCIO_EXTERIOR</t>
  </si>
  <si>
    <t xml:space="preserve">MAP_0377</t>
  </si>
  <si>
    <t xml:space="preserve">2020|BEV2_00592|Use|G|ACC|CAMBIO_EXISTENCIAS</t>
  </si>
  <si>
    <t xml:space="preserve">MAP_0378</t>
  </si>
  <si>
    <t xml:space="preserve">2020|BEV2_00593|Use|E|ENER|TRANSFORMACION_REFINERIA</t>
  </si>
  <si>
    <t xml:space="preserve">MAP_0379</t>
  </si>
  <si>
    <t xml:space="preserve">2020|BEV2_00603|Supply|A|ENV|INSUMO_NATURAL_RENOVABLE</t>
  </si>
  <si>
    <t xml:space="preserve">MAP_0380</t>
  </si>
  <si>
    <t xml:space="preserve">2020|BEV2_00608|Use|B|ENER|GENERACION_CENTRAL</t>
  </si>
  <si>
    <t xml:space="preserve">MAP_0381</t>
  </si>
  <si>
    <t xml:space="preserve">2020|BEV2_00618|Supply|D|ROW|COMERCIO_EXTERIOR</t>
  </si>
  <si>
    <t xml:space="preserve">MAP_0382</t>
  </si>
  <si>
    <t xml:space="preserve">2020|BEV2_00620|Use|G|ACC|CAMBIO_EXISTENCIAS</t>
  </si>
  <si>
    <t xml:space="preserve">MAP_0383</t>
  </si>
  <si>
    <t xml:space="preserve">2020|BEV2_00628|Use|E|IND_BEN|USO_IND_BEN</t>
  </si>
  <si>
    <t xml:space="preserve">MAP_0384</t>
  </si>
  <si>
    <t xml:space="preserve">2020|BEV2_00632|Supply|D|ROW|COMERCIO_EXTERIOR</t>
  </si>
  <si>
    <t xml:space="preserve">MAP_0385</t>
  </si>
  <si>
    <t xml:space="preserve">2020|BEV2_00633|Use|H|ROW|COMERCIO_EXTERIOR</t>
  </si>
  <si>
    <t xml:space="preserve">MAP_0386</t>
  </si>
  <si>
    <t xml:space="preserve">2020|BEV2_00634|Use|G|ACC|CAMBIO_EXISTENCIAS</t>
  </si>
  <si>
    <t xml:space="preserve">MAP_0387</t>
  </si>
  <si>
    <t xml:space="preserve">2020|BEV2_00636|Use|E|ENER|GENERACION_CENTRAL</t>
  </si>
  <si>
    <t xml:space="preserve">MAP_0388</t>
  </si>
  <si>
    <t xml:space="preserve">2020|BEV2_00639|Use|E|TR_BEN|USO_TR_BEN</t>
  </si>
  <si>
    <t xml:space="preserve">MAP_0389</t>
  </si>
  <si>
    <t xml:space="preserve">2020|BEV2_00642|Use|E|IND_BEN|USO_IND_BEN</t>
  </si>
  <si>
    <t xml:space="preserve">MAP_0390</t>
  </si>
  <si>
    <t xml:space="preserve">2020|BEV2_00646|Supply|D|ROW|COMERCIO_EXTERIOR</t>
  </si>
  <si>
    <t xml:space="preserve">MAP_0391</t>
  </si>
  <si>
    <t xml:space="preserve">2020|BEV2_00647|Use|H|ROW|COMERCIO_EXTERIOR</t>
  </si>
  <si>
    <t xml:space="preserve">MAP_0392</t>
  </si>
  <si>
    <t xml:space="preserve">2020|BEV2_00650|Supply|C|ENER|GENERACION_CENTRAL</t>
  </si>
  <si>
    <t xml:space="preserve">MAP_0393</t>
  </si>
  <si>
    <t xml:space="preserve">2020|BEV2_00651|Supply|C|ENER|AUTOPRODUCCION</t>
  </si>
  <si>
    <t xml:space="preserve">MAP_0394</t>
  </si>
  <si>
    <t xml:space="preserve">2020|BEV2_00652|Use|E|ENER|USO_ENER</t>
  </si>
  <si>
    <t xml:space="preserve">MAP_0395</t>
  </si>
  <si>
    <t xml:space="preserve">2020|BEV2_00654|Use|F|HH|USO_HH</t>
  </si>
  <si>
    <t xml:space="preserve">MAP_0396</t>
  </si>
  <si>
    <t xml:space="preserve">2020|BEV2_00655|Use|E|SERV|USO_SERV</t>
  </si>
  <si>
    <t xml:space="preserve">MAP_0397</t>
  </si>
  <si>
    <t xml:space="preserve">2020|BEV2_00656|Use|E|IND_BEN|USO_IND_BEN</t>
  </si>
  <si>
    <t xml:space="preserve">MAP_0398</t>
  </si>
  <si>
    <t xml:space="preserve">2020|BEV2_00658|Use|E|ENER|PERDIDAS_TRIPLE</t>
  </si>
  <si>
    <t xml:space="preserve">MAP_0399</t>
  </si>
  <si>
    <t xml:space="preserve">2020|BEV2_00658|Supply|I|ENER|PERDIDAS_TRIPLE</t>
  </si>
  <si>
    <t xml:space="preserve">MAP_0400</t>
  </si>
  <si>
    <t xml:space="preserve">2020|BEV2_00658|Use|Q|ENV|PERDIDAS_TRIPLE</t>
  </si>
  <si>
    <t xml:space="preserve">MAP_0401</t>
  </si>
  <si>
    <t xml:space="preserve">2020|BEV2_00660|Supply|D|ROW|COMERCIO_EXTERIOR</t>
  </si>
  <si>
    <t xml:space="preserve">MAP_0402</t>
  </si>
  <si>
    <t xml:space="preserve">2020|BEV2_00661|Use|H|ROW|COMERCIO_EXTERIOR</t>
  </si>
  <si>
    <t xml:space="preserve">MAP_0403</t>
  </si>
  <si>
    <t xml:space="preserve">2020|BEV2_00662|Use|G|ACC|CAMBIO_EXISTENCIAS</t>
  </si>
  <si>
    <t xml:space="preserve">MAP_0404</t>
  </si>
  <si>
    <t xml:space="preserve">2020|BEV2_00664|Use|E|ENER|GENERACION_CENTRAL</t>
  </si>
  <si>
    <t xml:space="preserve">MAP_0405</t>
  </si>
  <si>
    <t xml:space="preserve">2020|BEV2_00665|Use|E|ENER|AUTOPRODUCCION</t>
  </si>
  <si>
    <t xml:space="preserve">MAP_0406</t>
  </si>
  <si>
    <t xml:space="preserve">2020|BEV2_00670|Use|E|IND_BEN|USO_IND_BEN</t>
  </si>
  <si>
    <t xml:space="preserve">MAP_0407</t>
  </si>
  <si>
    <t xml:space="preserve">2020|BEV2_00674|Supply|D|ROW|COMERCIO_EXTERIOR</t>
  </si>
  <si>
    <t xml:space="preserve">MAP_0408</t>
  </si>
  <si>
    <t xml:space="preserve">2020|BEV2_00675|Use|H|ROW|COMERCIO_EXTERIOR</t>
  </si>
  <si>
    <t xml:space="preserve">MAP_0409</t>
  </si>
  <si>
    <t xml:space="preserve">2020|BEV2_00676|Use|G|ACC|CAMBIO_EXISTENCIAS</t>
  </si>
  <si>
    <t xml:space="preserve">MAP_0410</t>
  </si>
  <si>
    <t xml:space="preserve">2020|BEV2_00681|Use|E|TR_BEN|USO_TR_BEN</t>
  </si>
  <si>
    <t xml:space="preserve">MAP_0411</t>
  </si>
  <si>
    <t xml:space="preserve">2020|BEV2_00683|Use|E|SERV|USO_SERV</t>
  </si>
  <si>
    <t xml:space="preserve">MAP_0412</t>
  </si>
  <si>
    <t xml:space="preserve">2020|BEV2_00684|Use|E|IND_BEN|USO_IND_BEN</t>
  </si>
  <si>
    <t xml:space="preserve">MAP_0413</t>
  </si>
  <si>
    <t xml:space="preserve">2020|BEV2_00688|Supply|D|ROW|COMERCIO_EXTERIOR</t>
  </si>
  <si>
    <t xml:space="preserve">MAP_0414</t>
  </si>
  <si>
    <t xml:space="preserve">2020|BEV2_00689|Use|H|ROW|COMERCIO_EXTERIOR</t>
  </si>
  <si>
    <t xml:space="preserve">MAP_0415</t>
  </si>
  <si>
    <t xml:space="preserve">2020|BEV2_00690|Use|G|ACC|CAMBIO_EXISTENCIAS</t>
  </si>
  <si>
    <t xml:space="preserve">MAP_0416</t>
  </si>
  <si>
    <t xml:space="preserve">2020|BEV2_00695|Use|E|TR_BEN|USO_TR_BEN</t>
  </si>
  <si>
    <t xml:space="preserve">MAP_0417</t>
  </si>
  <si>
    <t xml:space="preserve">2020|BEV2_00696|Use|F|HH|USO_HH</t>
  </si>
  <si>
    <t xml:space="preserve">MAP_0418</t>
  </si>
  <si>
    <t xml:space="preserve">2020|BEV2_00697|Use|E|SERV|USO_SERV</t>
  </si>
  <si>
    <t xml:space="preserve">MAP_0419</t>
  </si>
  <si>
    <t xml:space="preserve">2020|BEV2_00698|Use|E|IND_BEN|USO_IND_BEN</t>
  </si>
  <si>
    <t xml:space="preserve">MAP_0420</t>
  </si>
  <si>
    <t xml:space="preserve">2020|BEV2_00702|Supply|D|ROW|COMERCIO_EXTERIOR</t>
  </si>
  <si>
    <t xml:space="preserve">MAP_0421</t>
  </si>
  <si>
    <t xml:space="preserve">2020|BEV2_00703|Use|H|ROW|COMERCIO_EXTERIOR</t>
  </si>
  <si>
    <t xml:space="preserve">MAP_0422</t>
  </si>
  <si>
    <t xml:space="preserve">2020|BEV2_00704|Use|G|ACC|CAMBIO_EXISTENCIAS</t>
  </si>
  <si>
    <t xml:space="preserve">MAP_0423</t>
  </si>
  <si>
    <t xml:space="preserve">2020|BEV2_00709|Use|E|TR_BEN|USO_TR_BEN</t>
  </si>
  <si>
    <t xml:space="preserve">MAP_0424</t>
  </si>
  <si>
    <t xml:space="preserve">2020|BEV2_00710|Use|F|HH|USO_HH</t>
  </si>
  <si>
    <t xml:space="preserve">MAP_0425</t>
  </si>
  <si>
    <t xml:space="preserve">2020|BEV2_00711|Use|E|SERV|USO_SERV</t>
  </si>
  <si>
    <t xml:space="preserve">MAP_0426</t>
  </si>
  <si>
    <t xml:space="preserve">2020|BEV2_00712|Use|E|IND_BEN|USO_IND_BEN</t>
  </si>
  <si>
    <t xml:space="preserve">MAP_0427</t>
  </si>
  <si>
    <t xml:space="preserve">2020|BEV2_00716|Supply|D|ROW|COMERCIO_EXTERIOR</t>
  </si>
  <si>
    <t xml:space="preserve">MAP_0428</t>
  </si>
  <si>
    <t xml:space="preserve">2020|BEV2_00717|Use|H|ROW|COMERCIO_EXTERIOR</t>
  </si>
  <si>
    <t xml:space="preserve">MAP_0429</t>
  </si>
  <si>
    <t xml:space="preserve">2020|BEV2_00718|Use|G|ACC|CAMBIO_EXISTENCIAS</t>
  </si>
  <si>
    <t xml:space="preserve">MAP_0430</t>
  </si>
  <si>
    <t xml:space="preserve">2020|BEV2_00719|Supply|C|ENER|TRANSFORMACION_REFINERIA</t>
  </si>
  <si>
    <t xml:space="preserve">MAP_0431</t>
  </si>
  <si>
    <t xml:space="preserve">2020|STAT_2020_BCANA|Use|SD|STAT|saldo oferta menos uso por producto</t>
  </si>
  <si>
    <t xml:space="preserve">STAT_2020_BCANA</t>
  </si>
  <si>
    <t xml:space="preserve">MAP_0432</t>
  </si>
  <si>
    <t xml:space="preserve">2020|STAT_2020_COQUE|Use|SD|STAT|saldo oferta menos uso por producto</t>
  </si>
  <si>
    <t xml:space="preserve">STAT_2020_COQUE</t>
  </si>
  <si>
    <t xml:space="preserve">MAP_0433</t>
  </si>
  <si>
    <t xml:space="preserve">2020|STAT_2020_DOIL|Use|SD|STAT|saldo oferta menos uso por producto</t>
  </si>
  <si>
    <t xml:space="preserve">STAT_2020_DOIL</t>
  </si>
  <si>
    <t xml:space="preserve">MAP_0434</t>
  </si>
  <si>
    <t xml:space="preserve">2020|STAT_2020_GAS|Use|SD|STAT|saldo oferta menos uso por producto</t>
  </si>
  <si>
    <t xml:space="preserve">STAT_2020_GAS</t>
  </si>
  <si>
    <t xml:space="preserve">MAP_0435</t>
  </si>
  <si>
    <t xml:space="preserve">2020|STAT_2020_GLP|Use|SD|STAT|saldo oferta menos uso por producto</t>
  </si>
  <si>
    <t xml:space="preserve">STAT_2020_GLP</t>
  </si>
  <si>
    <t xml:space="preserve">MAP_0436</t>
  </si>
  <si>
    <t xml:space="preserve">2020|STAT_2020_KER|Use|SD|STAT|saldo oferta menos uso por producto</t>
  </si>
  <si>
    <t xml:space="preserve">STAT_2020_KER</t>
  </si>
  <si>
    <t xml:space="preserve">MAP_0437</t>
  </si>
  <si>
    <t xml:space="preserve">2020|NOEN_APARENTE_2020|Use|E|NO_ASIG|USO_NO_ENERGETICO_APARENTE</t>
  </si>
  <si>
    <t xml:space="preserve">NOEN_APARENTE_2020</t>
  </si>
  <si>
    <t xml:space="preserve">MAP_0438</t>
  </si>
  <si>
    <t xml:space="preserve">2019|BEV2_00239|Supply|C|IND_BEN|FRONTERA_BAGAZO_IND</t>
  </si>
  <si>
    <t xml:space="preserve">MAP_0439</t>
  </si>
  <si>
    <t xml:space="preserve">2019|BEV2_00244|Use|E|ENER|GENERACION_CENTRAL</t>
  </si>
  <si>
    <t xml:space="preserve">MAP_0440</t>
  </si>
  <si>
    <t xml:space="preserve">2019|BEV2_00245|Use|E|ENER|AUTOPRODUCCION</t>
  </si>
  <si>
    <t xml:space="preserve">MAP_0441</t>
  </si>
  <si>
    <t xml:space="preserve">2019|BEV2_00253|Supply|C|ENER|FRONTERA_BIOGAS_ENER</t>
  </si>
  <si>
    <t xml:space="preserve">MAP_0442</t>
  </si>
  <si>
    <t xml:space="preserve">2019|BEV2_00258|Use|E|ENER|GENERACION_CENTRAL</t>
  </si>
  <si>
    <t xml:space="preserve">MAP_0443</t>
  </si>
  <si>
    <t xml:space="preserve">2019|BEV2_00259|Use|E|ENER|AUTOPRODUCCION</t>
  </si>
  <si>
    <t xml:space="preserve">MAP_0444</t>
  </si>
  <si>
    <t xml:space="preserve">2019|BEV2_00267|Supply|A|ENV|EXTRACCION_B</t>
  </si>
  <si>
    <t xml:space="preserve">MAP_0445</t>
  </si>
  <si>
    <t xml:space="preserve">2019|BEV2_00267|Use|B|B|EXTRACCION_B</t>
  </si>
  <si>
    <t xml:space="preserve">MAP_0446</t>
  </si>
  <si>
    <t xml:space="preserve">2019|BEV2_00267|Supply|C|B|EXTRACCION_B</t>
  </si>
  <si>
    <t xml:space="preserve">MAP_0447</t>
  </si>
  <si>
    <t xml:space="preserve">2019|BEV2_00268|Supply|D|ROW|COMERCIO_EXTERIOR</t>
  </si>
  <si>
    <t xml:space="preserve">MAP_0448</t>
  </si>
  <si>
    <t xml:space="preserve">2019|BEV2_00270|Use|G|ACC|CAMBIO_EXISTENCIAS</t>
  </si>
  <si>
    <t xml:space="preserve">MAP_0449</t>
  </si>
  <si>
    <t xml:space="preserve">2019|BEV2_00272|Use|E|ENER|GENERACION_CENTRAL</t>
  </si>
  <si>
    <t xml:space="preserve">MAP_0450</t>
  </si>
  <si>
    <t xml:space="preserve">2019|BEV2_00281|Supply|A|ENV|INSUMO_NATURAL_RENOVABLE</t>
  </si>
  <si>
    <t xml:space="preserve">MAP_0451</t>
  </si>
  <si>
    <t xml:space="preserve">2019|BEV2_00286|Use|B|ENER|GENERACION_CENTRAL</t>
  </si>
  <si>
    <t xml:space="preserve">MAP_0452</t>
  </si>
  <si>
    <t xml:space="preserve">2019|BEV2_00295|Supply|A|ENV|INSUMO_NATURAL_RENOVABLE</t>
  </si>
  <si>
    <t xml:space="preserve">MAP_0453</t>
  </si>
  <si>
    <t xml:space="preserve">2019|BEV2_00300|Use|B|ENER|GENERACION_CENTRAL</t>
  </si>
  <si>
    <t xml:space="preserve">MAP_0454</t>
  </si>
  <si>
    <t xml:space="preserve">2019|BEV2_00309|Supply|A|ENV|INSUMO_NATURAL_RENOVABLE</t>
  </si>
  <si>
    <t xml:space="preserve">MAP_0455</t>
  </si>
  <si>
    <t xml:space="preserve">2019|BEV2_00314|Use|B|ENER|GENERACION_CENTRAL</t>
  </si>
  <si>
    <t xml:space="preserve">MAP_0456</t>
  </si>
  <si>
    <t xml:space="preserve">2019|BEV2_00315|Use|B|ENER|AUTOPRODUCCION</t>
  </si>
  <si>
    <t xml:space="preserve">MAP_0457</t>
  </si>
  <si>
    <t xml:space="preserve">2019|BEV2_00323|Supply|C|A|FRONTERA_LENA_A</t>
  </si>
  <si>
    <t xml:space="preserve">MAP_0458</t>
  </si>
  <si>
    <t xml:space="preserve">2019|BEV2_00332|Use|F|HH|USO_HH</t>
  </si>
  <si>
    <t xml:space="preserve">MAP_0459</t>
  </si>
  <si>
    <t xml:space="preserve">2019|BEV2_00333|Use|E|SERV|USO_SERV</t>
  </si>
  <si>
    <t xml:space="preserve">MAP_0460</t>
  </si>
  <si>
    <t xml:space="preserve">2019|BEV2_00337|Supply|A|ENV|EXTRACCION_B</t>
  </si>
  <si>
    <t xml:space="preserve">MAP_0461</t>
  </si>
  <si>
    <t xml:space="preserve">2019|BEV2_00337|Use|B|B|EXTRACCION_B</t>
  </si>
  <si>
    <t xml:space="preserve">MAP_0462</t>
  </si>
  <si>
    <t xml:space="preserve">2019|BEV2_00337|Supply|C|B|EXTRACCION_B</t>
  </si>
  <si>
    <t xml:space="preserve">MAP_0463</t>
  </si>
  <si>
    <t xml:space="preserve">2019|BEV2_00339|Use|H|ROW|COMERCIO_EXTERIOR</t>
  </si>
  <si>
    <t xml:space="preserve">MAP_0464</t>
  </si>
  <si>
    <t xml:space="preserve">2019|BEV2_00340|Use|G|ACC|CAMBIO_EXISTENCIAS</t>
  </si>
  <si>
    <t xml:space="preserve">MAP_0465</t>
  </si>
  <si>
    <t xml:space="preserve">2019|BEV2_00341|Use|E|ENER|TRANSFORMACION_REFINERIA</t>
  </si>
  <si>
    <t xml:space="preserve">MAP_0466</t>
  </si>
  <si>
    <t xml:space="preserve">2019|BEV2_00351|Supply|A|ENV|INSUMO_NATURAL_RENOVABLE</t>
  </si>
  <si>
    <t xml:space="preserve">MAP_0467</t>
  </si>
  <si>
    <t xml:space="preserve">2019|BEV2_00356|Use|B|ENER|GENERACION_CENTRAL</t>
  </si>
  <si>
    <t xml:space="preserve">MAP_0468</t>
  </si>
  <si>
    <t xml:space="preserve">2019|BEV2_00366|Supply|D|ROW|COMERCIO_EXTERIOR</t>
  </si>
  <si>
    <t xml:space="preserve">MAP_0469</t>
  </si>
  <si>
    <t xml:space="preserve">2019|BEV2_00368|Use|G|ACC|CAMBIO_EXISTENCIAS</t>
  </si>
  <si>
    <t xml:space="preserve">MAP_0470</t>
  </si>
  <si>
    <t xml:space="preserve">2019|BEV2_00376|Use|E|IND_BEN|USO_IND_BEN</t>
  </si>
  <si>
    <t xml:space="preserve">MAP_0471</t>
  </si>
  <si>
    <t xml:space="preserve">2019|BEV2_00380|Supply|D|ROW|COMERCIO_EXTERIOR</t>
  </si>
  <si>
    <t xml:space="preserve">MAP_0472</t>
  </si>
  <si>
    <t xml:space="preserve">2019|BEV2_00381|Use|H|ROW|COMERCIO_EXTERIOR</t>
  </si>
  <si>
    <t xml:space="preserve">MAP_0473</t>
  </si>
  <si>
    <t xml:space="preserve">2019|BEV2_00382|Use|G|ACC|CAMBIO_EXISTENCIAS</t>
  </si>
  <si>
    <t xml:space="preserve">MAP_0474</t>
  </si>
  <si>
    <t xml:space="preserve">2019|BEV2_00384|Use|E|ENER|GENERACION_CENTRAL</t>
  </si>
  <si>
    <t xml:space="preserve">MAP_0475</t>
  </si>
  <si>
    <t xml:space="preserve">2019|BEV2_00387|Use|E|TR_BEN|USO_TR_BEN</t>
  </si>
  <si>
    <t xml:space="preserve">MAP_0476</t>
  </si>
  <si>
    <t xml:space="preserve">2019|BEV2_00390|Use|E|IND_BEN|USO_IND_BEN</t>
  </si>
  <si>
    <t xml:space="preserve">MAP_0477</t>
  </si>
  <si>
    <t xml:space="preserve">2019|BEV2_00394|Supply|D|ROW|COMERCIO_EXTERIOR</t>
  </si>
  <si>
    <t xml:space="preserve">MAP_0478</t>
  </si>
  <si>
    <t xml:space="preserve">2019|BEV2_00395|Use|H|ROW|COMERCIO_EXTERIOR</t>
  </si>
  <si>
    <t xml:space="preserve">MAP_0479</t>
  </si>
  <si>
    <t xml:space="preserve">2019|BEV2_00398|Supply|C|ENER|GENERACION_CENTRAL</t>
  </si>
  <si>
    <t xml:space="preserve">MAP_0480</t>
  </si>
  <si>
    <t xml:space="preserve">2019|BEV2_00399|Supply|C|ENER|AUTOPRODUCCION</t>
  </si>
  <si>
    <t xml:space="preserve">MAP_0481</t>
  </si>
  <si>
    <t xml:space="preserve">2019|BEV2_00400|Use|E|ENER|USO_ENER</t>
  </si>
  <si>
    <t xml:space="preserve">MAP_0482</t>
  </si>
  <si>
    <t xml:space="preserve">2019|BEV2_00402|Use|F|HH|USO_HH</t>
  </si>
  <si>
    <t xml:space="preserve">MAP_0483</t>
  </si>
  <si>
    <t xml:space="preserve">2019|BEV2_00403|Use|E|SERV|USO_SERV</t>
  </si>
  <si>
    <t xml:space="preserve">MAP_0484</t>
  </si>
  <si>
    <t xml:space="preserve">2019|BEV2_00404|Use|E|IND_BEN|USO_IND_BEN</t>
  </si>
  <si>
    <t xml:space="preserve">MAP_0485</t>
  </si>
  <si>
    <t xml:space="preserve">2019|BEV2_00406|Use|E|ENER|PERDIDAS_TRIPLE</t>
  </si>
  <si>
    <t xml:space="preserve">MAP_0486</t>
  </si>
  <si>
    <t xml:space="preserve">2019|BEV2_00406|Supply|I|ENER|PERDIDAS_TRIPLE</t>
  </si>
  <si>
    <t xml:space="preserve">MAP_0487</t>
  </si>
  <si>
    <t xml:space="preserve">2019|BEV2_00406|Use|Q|ENV|PERDIDAS_TRIPLE</t>
  </si>
  <si>
    <t xml:space="preserve">MAP_0488</t>
  </si>
  <si>
    <t xml:space="preserve">2019|BEV2_00408|Supply|D|ROW|COMERCIO_EXTERIOR</t>
  </si>
  <si>
    <t xml:space="preserve">MAP_0489</t>
  </si>
  <si>
    <t xml:space="preserve">2019|BEV2_00409|Use|H|ROW|COMERCIO_EXTERIOR</t>
  </si>
  <si>
    <t xml:space="preserve">MAP_0490</t>
  </si>
  <si>
    <t xml:space="preserve">2019|BEV2_00410|Use|G|ACC|CAMBIO_EXISTENCIAS</t>
  </si>
  <si>
    <t xml:space="preserve">MAP_0491</t>
  </si>
  <si>
    <t xml:space="preserve">2019|BEV2_00412|Use|E|ENER|GENERACION_CENTRAL</t>
  </si>
  <si>
    <t xml:space="preserve">MAP_0492</t>
  </si>
  <si>
    <t xml:space="preserve">2019|BEV2_00413|Use|E|ENER|AUTOPRODUCCION</t>
  </si>
  <si>
    <t xml:space="preserve">MAP_0493</t>
  </si>
  <si>
    <t xml:space="preserve">2019|BEV2_00418|Use|E|IND_BEN|USO_IND_BEN</t>
  </si>
  <si>
    <t xml:space="preserve">MAP_0494</t>
  </si>
  <si>
    <t xml:space="preserve">2019|BEV2_00422|Supply|D|ROW|COMERCIO_EXTERIOR</t>
  </si>
  <si>
    <t xml:space="preserve">MAP_0495</t>
  </si>
  <si>
    <t xml:space="preserve">2019|BEV2_00423|Use|H|ROW|COMERCIO_EXTERIOR</t>
  </si>
  <si>
    <t xml:space="preserve">MAP_0496</t>
  </si>
  <si>
    <t xml:space="preserve">2019|BEV2_00424|Use|G|ACC|CAMBIO_EXISTENCIAS</t>
  </si>
  <si>
    <t xml:space="preserve">MAP_0497</t>
  </si>
  <si>
    <t xml:space="preserve">2019|BEV2_00429|Use|E|TR_BEN|USO_TR_BEN</t>
  </si>
  <si>
    <t xml:space="preserve">MAP_0498</t>
  </si>
  <si>
    <t xml:space="preserve">2019|BEV2_00431|Use|E|SERV|USO_SERV</t>
  </si>
  <si>
    <t xml:space="preserve">MAP_0499</t>
  </si>
  <si>
    <t xml:space="preserve">2019|BEV2_00432|Use|E|IND_BEN|USO_IND_BEN</t>
  </si>
  <si>
    <t xml:space="preserve">MAP_0500</t>
  </si>
  <si>
    <t xml:space="preserve">2019|BEV2_00436|Supply|D|ROW|COMERCIO_EXTERIOR</t>
  </si>
  <si>
    <t xml:space="preserve">MAP_0501</t>
  </si>
  <si>
    <t xml:space="preserve">2019|BEV2_00437|Use|H|ROW|COMERCIO_EXTERIOR</t>
  </si>
  <si>
    <t xml:space="preserve">MAP_0502</t>
  </si>
  <si>
    <t xml:space="preserve">2019|BEV2_00438|Use|G|ACC|CAMBIO_EXISTENCIAS</t>
  </si>
  <si>
    <t xml:space="preserve">MAP_0503</t>
  </si>
  <si>
    <t xml:space="preserve">2019|BEV2_00443|Use|E|TR_BEN|USO_TR_BEN</t>
  </si>
  <si>
    <t xml:space="preserve">MAP_0504</t>
  </si>
  <si>
    <t xml:space="preserve">2019|BEV2_00444|Use|F|HH|USO_HH</t>
  </si>
  <si>
    <t xml:space="preserve">MAP_0505</t>
  </si>
  <si>
    <t xml:space="preserve">2019|BEV2_00445|Use|E|SERV|USO_SERV</t>
  </si>
  <si>
    <t xml:space="preserve">MAP_0506</t>
  </si>
  <si>
    <t xml:space="preserve">2019|BEV2_00446|Use|E|IND_BEN|USO_IND_BEN</t>
  </si>
  <si>
    <t xml:space="preserve">MAP_0507</t>
  </si>
  <si>
    <t xml:space="preserve">2019|BEV2_00450|Supply|D|ROW|COMERCIO_EXTERIOR</t>
  </si>
  <si>
    <t xml:space="preserve">MAP_0508</t>
  </si>
  <si>
    <t xml:space="preserve">2019|BEV2_00451|Use|H|ROW|COMERCIO_EXTERIOR</t>
  </si>
  <si>
    <t xml:space="preserve">MAP_0509</t>
  </si>
  <si>
    <t xml:space="preserve">2019|BEV2_00452|Use|G|ACC|CAMBIO_EXISTENCIAS</t>
  </si>
  <si>
    <t xml:space="preserve">MAP_0510</t>
  </si>
  <si>
    <t xml:space="preserve">2019|BEV2_00457|Use|E|TR_BEN|USO_TR_BEN</t>
  </si>
  <si>
    <t xml:space="preserve">MAP_0511</t>
  </si>
  <si>
    <t xml:space="preserve">2019|BEV2_00458|Use|F|HH|USO_HH</t>
  </si>
  <si>
    <t xml:space="preserve">MAP_0512</t>
  </si>
  <si>
    <t xml:space="preserve">2019|BEV2_00459|Use|E|SERV|USO_SERV</t>
  </si>
  <si>
    <t xml:space="preserve">MAP_0513</t>
  </si>
  <si>
    <t xml:space="preserve">2019|BEV2_00460|Use|E|IND_BEN|USO_IND_BEN</t>
  </si>
  <si>
    <t xml:space="preserve">MAP_0514</t>
  </si>
  <si>
    <t xml:space="preserve">2019|BEV2_00464|Supply|D|ROW|COMERCIO_EXTERIOR</t>
  </si>
  <si>
    <t xml:space="preserve">MAP_0515</t>
  </si>
  <si>
    <t xml:space="preserve">2019|BEV2_00465|Use|H|ROW|COMERCIO_EXTERIOR</t>
  </si>
  <si>
    <t xml:space="preserve">MAP_0516</t>
  </si>
  <si>
    <t xml:space="preserve">2019|BEV2_00466|Use|G|ACC|CAMBIO_EXISTENCIAS</t>
  </si>
  <si>
    <t xml:space="preserve">MAP_0517</t>
  </si>
  <si>
    <t xml:space="preserve">2019|BEV2_00467|Supply|C|ENER|TRANSFORMACION_REFINERIA</t>
  </si>
  <si>
    <t xml:space="preserve">MAP_0518</t>
  </si>
  <si>
    <t xml:space="preserve">2019|STAT_2019_DOIL|Use|SD|STAT|saldo oferta menos uso por producto</t>
  </si>
  <si>
    <t xml:space="preserve">STAT_2019_DOIL</t>
  </si>
  <si>
    <t xml:space="preserve">MAP_0519</t>
  </si>
  <si>
    <t xml:space="preserve">2019|STAT_2019_ELEC|Use|SD|STAT|saldo oferta menos uso por producto</t>
  </si>
  <si>
    <t xml:space="preserve">STAT_2019_ELEC</t>
  </si>
  <si>
    <t xml:space="preserve">MAP_0520</t>
  </si>
  <si>
    <t xml:space="preserve">2019|GAS_USO_INTERNO_APARENTE_2019|Use|E|NO_ASIG|USO_ENERGETICO_INTERNO_APARENTE</t>
  </si>
  <si>
    <t xml:space="preserve">GAS_USO_INTERNO_APARENTE_2019</t>
  </si>
  <si>
    <t xml:space="preserve">USO_ENERGETICO_INTERNO_APARENTE</t>
  </si>
  <si>
    <t xml:space="preserve">oferta final menos usos sectoriales observados</t>
  </si>
  <si>
    <t xml:space="preserve">Uso energético interno calculado como oferta disponible menos usos sectoriales observados. La fuente no identifica la actividad usuaria.</t>
  </si>
  <si>
    <t xml:space="preserve">MAP_0521</t>
  </si>
  <si>
    <t xml:space="preserve">2019|STAT_2019_KER|Use|SD|STAT|saldo oferta menos uso por producto</t>
  </si>
  <si>
    <t xml:space="preserve">STAT_2019_KER</t>
  </si>
  <si>
    <t xml:space="preserve">MAP_0522</t>
  </si>
  <si>
    <t xml:space="preserve">2019|NOEN_APARENTE_2019|Use|E|NO_ASIG|USO_NO_ENERGETICO_APARENTE</t>
  </si>
  <si>
    <t xml:space="preserve">NOEN_APARENTE_2019</t>
  </si>
  <si>
    <t xml:space="preserve">MAP_0523</t>
  </si>
  <si>
    <t xml:space="preserve">2019|STAT_2019_PETR|Use|SD|STAT|saldo oferta menos uso por producto</t>
  </si>
  <si>
    <t xml:space="preserve">STAT_2019_PETR</t>
  </si>
  <si>
    <t xml:space="preserve">MAP_0524</t>
  </si>
  <si>
    <t xml:space="preserve">2018|BEV2_00001|Supply|C|IND_BEN|FRONTERA_BAGAZO_IND</t>
  </si>
  <si>
    <t xml:space="preserve">MAP_0525</t>
  </si>
  <si>
    <t xml:space="preserve">2018|BEV2_00006|Use|E|ENER|GENERACION_CENTRAL</t>
  </si>
  <si>
    <t xml:space="preserve">MAP_0526</t>
  </si>
  <si>
    <t xml:space="preserve">2018|BEV2_00007|Use|E|ENER|AUTOPRODUCCION</t>
  </si>
  <si>
    <t xml:space="preserve">MAP_0527</t>
  </si>
  <si>
    <t xml:space="preserve">2018|BEV2_00015|Supply|C|ENER|FRONTERA_BIOGAS_ENER</t>
  </si>
  <si>
    <t xml:space="preserve">MAP_0528</t>
  </si>
  <si>
    <t xml:space="preserve">2018|BEV2_00020|Use|E|ENER|GENERACION_CENTRAL</t>
  </si>
  <si>
    <t xml:space="preserve">MAP_0529</t>
  </si>
  <si>
    <t xml:space="preserve">2018|BEV2_00021|Use|E|ENER|AUTOPRODUCCION</t>
  </si>
  <si>
    <t xml:space="preserve">MAP_0530</t>
  </si>
  <si>
    <t xml:space="preserve">2018|BEV2_00029|Supply|A|ENV|EXTRACCION_B</t>
  </si>
  <si>
    <t xml:space="preserve">MAP_0531</t>
  </si>
  <si>
    <t xml:space="preserve">2018|BEV2_00029|Use|B|B|EXTRACCION_B</t>
  </si>
  <si>
    <t xml:space="preserve">MAP_0532</t>
  </si>
  <si>
    <t xml:space="preserve">2018|BEV2_00029|Supply|C|B|EXTRACCION_B</t>
  </si>
  <si>
    <t xml:space="preserve">MAP_0533</t>
  </si>
  <si>
    <t xml:space="preserve">2018|BEV2_00030|Supply|D|ROW|COMERCIO_EXTERIOR</t>
  </si>
  <si>
    <t xml:space="preserve">MAP_0534</t>
  </si>
  <si>
    <t xml:space="preserve">2018|BEV2_00032|Use|G|ACC|CAMBIO_EXISTENCIAS</t>
  </si>
  <si>
    <t xml:space="preserve">MAP_0535</t>
  </si>
  <si>
    <t xml:space="preserve">2018|BEV2_00034|Use|E|ENER|GENERACION_CENTRAL</t>
  </si>
  <si>
    <t xml:space="preserve">MAP_0536</t>
  </si>
  <si>
    <t xml:space="preserve">2018|BEV2_00043|Supply|A|ENV|INSUMO_NATURAL_RENOVABLE</t>
  </si>
  <si>
    <t xml:space="preserve">MAP_0537</t>
  </si>
  <si>
    <t xml:space="preserve">2018|BEV2_00048|Use|B|ENER|GENERACION_CENTRAL</t>
  </si>
  <si>
    <t xml:space="preserve">MAP_0538</t>
  </si>
  <si>
    <t xml:space="preserve">2018|BEV2_00057|Supply|A|ENV|INSUMO_NATURAL_RENOVABLE</t>
  </si>
  <si>
    <t xml:space="preserve">MAP_0539</t>
  </si>
  <si>
    <t xml:space="preserve">2018|BEV2_00062|Use|B|ENER|GENERACION_CENTRAL</t>
  </si>
  <si>
    <t xml:space="preserve">MAP_0540</t>
  </si>
  <si>
    <t xml:space="preserve">2018|BEV2_00071|Supply|A|ENV|INSUMO_NATURAL_RENOVABLE</t>
  </si>
  <si>
    <t xml:space="preserve">MAP_0541</t>
  </si>
  <si>
    <t xml:space="preserve">2018|BEV2_00076|Use|B|ENER|GENERACION_CENTRAL</t>
  </si>
  <si>
    <t xml:space="preserve">MAP_0542</t>
  </si>
  <si>
    <t xml:space="preserve">2018|BEV2_00077|Use|B|ENER|AUTOPRODUCCION</t>
  </si>
  <si>
    <t xml:space="preserve">MAP_0543</t>
  </si>
  <si>
    <t xml:space="preserve">2018|BEV2_00085|Supply|C|A|FRONTERA_LENA_A</t>
  </si>
  <si>
    <t xml:space="preserve">MAP_0544</t>
  </si>
  <si>
    <t xml:space="preserve">2018|BEV2_00088|Use|G|ACC|CAMBIO_EXISTENCIAS</t>
  </si>
  <si>
    <t xml:space="preserve">MAP_0545</t>
  </si>
  <si>
    <t xml:space="preserve">2018|BEV2_00091|Use|E|ENER|AUTOPRODUCCION</t>
  </si>
  <si>
    <t xml:space="preserve">MAP_0546</t>
  </si>
  <si>
    <t xml:space="preserve">2018|BEV2_00094|Use|F|HH|USO_HH</t>
  </si>
  <si>
    <t xml:space="preserve">MAP_0547</t>
  </si>
  <si>
    <t xml:space="preserve">2018|BEV2_00095|Use|E|SERV|USO_SERV</t>
  </si>
  <si>
    <t xml:space="preserve">MAP_0548</t>
  </si>
  <si>
    <t xml:space="preserve">2018|BEV2_00099|Supply|A|ENV|EXTRACCION_B</t>
  </si>
  <si>
    <t xml:space="preserve">MAP_0549</t>
  </si>
  <si>
    <t xml:space="preserve">2018|BEV2_00099|Use|B|B|EXTRACCION_B</t>
  </si>
  <si>
    <t xml:space="preserve">MAP_0550</t>
  </si>
  <si>
    <t xml:space="preserve">2018|BEV2_00099|Supply|C|B|EXTRACCION_B</t>
  </si>
  <si>
    <t xml:space="preserve">MAP_0551</t>
  </si>
  <si>
    <t xml:space="preserve">2018|BEV2_00101|Use|H|ROW|COMERCIO_EXTERIOR</t>
  </si>
  <si>
    <t xml:space="preserve">MAP_0552</t>
  </si>
  <si>
    <t xml:space="preserve">2018|BEV2_00102|Use|G|ACC|CAMBIO_EXISTENCIAS</t>
  </si>
  <si>
    <t xml:space="preserve">MAP_0553</t>
  </si>
  <si>
    <t xml:space="preserve">2018|BEV2_00103|Use|E|ENER|TRANSFORMACION_REFINERIA</t>
  </si>
  <si>
    <t xml:space="preserve">MAP_0554</t>
  </si>
  <si>
    <t xml:space="preserve">2018|BEV2_00113|Supply|A|ENV|INSUMO_NATURAL_RENOVABLE</t>
  </si>
  <si>
    <t xml:space="preserve">MAP_0555</t>
  </si>
  <si>
    <t xml:space="preserve">2018|BEV2_00118|Use|B|ENER|GENERACION_CENTRAL</t>
  </si>
  <si>
    <t xml:space="preserve">MAP_0556</t>
  </si>
  <si>
    <t xml:space="preserve">2018|BEV2_00128|Supply|D|ROW|COMERCIO_EXTERIOR</t>
  </si>
  <si>
    <t xml:space="preserve">MAP_0557</t>
  </si>
  <si>
    <t xml:space="preserve">2018|BEV2_00130|Use|G|ACC|CAMBIO_EXISTENCIAS</t>
  </si>
  <si>
    <t xml:space="preserve">MAP_0558</t>
  </si>
  <si>
    <t xml:space="preserve">2018|BEV2_00132|Use|E|ENER|GENERACION_CENTRAL</t>
  </si>
  <si>
    <t xml:space="preserve">MAP_0559</t>
  </si>
  <si>
    <t xml:space="preserve">2018|BEV2_00133|Use|E|ENER|AUTOPRODUCCION</t>
  </si>
  <si>
    <t xml:space="preserve">MAP_0560</t>
  </si>
  <si>
    <t xml:space="preserve">2018|BEV2_00134|Use|E|ENER|USO_ENER</t>
  </si>
  <si>
    <t xml:space="preserve">MAP_0561</t>
  </si>
  <si>
    <t xml:space="preserve">2018|BEV2_00138|Use|E|IND_BEN|USO_IND_BEN</t>
  </si>
  <si>
    <t xml:space="preserve">MAP_0562</t>
  </si>
  <si>
    <t xml:space="preserve">2018|BEV2_00142|Supply|D|ROW|COMERCIO_EXTERIOR</t>
  </si>
  <si>
    <t xml:space="preserve">MAP_0563</t>
  </si>
  <si>
    <t xml:space="preserve">2018|BEV2_00143|Use|H|ROW|COMERCIO_EXTERIOR</t>
  </si>
  <si>
    <t xml:space="preserve">MAP_0564</t>
  </si>
  <si>
    <t xml:space="preserve">2018|BEV2_00144|Use|G|ACC|CAMBIO_EXISTENCIAS</t>
  </si>
  <si>
    <t xml:space="preserve">MAP_0565</t>
  </si>
  <si>
    <t xml:space="preserve">2018|BEV2_00145|Supply|C|ENER|TRANSFORMACION_REFINERIA</t>
  </si>
  <si>
    <t xml:space="preserve">MAP_0566</t>
  </si>
  <si>
    <t xml:space="preserve">2018|BEV2_00146|Use|E|ENER|GENERACION_CENTRAL</t>
  </si>
  <si>
    <t xml:space="preserve">MAP_0567</t>
  </si>
  <si>
    <t xml:space="preserve">2018|BEV2_00147|Use|E|ENER|AUTOPRODUCCION</t>
  </si>
  <si>
    <t xml:space="preserve">MAP_0568</t>
  </si>
  <si>
    <t xml:space="preserve">2018|BEV2_00148|Use|E|ENER|USO_ENER</t>
  </si>
  <si>
    <t xml:space="preserve">MAP_0569</t>
  </si>
  <si>
    <t xml:space="preserve">2018|BEV2_00149|Use|E|TR_BEN|USO_TR_BEN</t>
  </si>
  <si>
    <t xml:space="preserve">MAP_0570</t>
  </si>
  <si>
    <t xml:space="preserve">2018|BEV2_00152|Use|E|IND_BEN|USO_IND_BEN</t>
  </si>
  <si>
    <t xml:space="preserve">MAP_0571</t>
  </si>
  <si>
    <t xml:space="preserve">2018|BEV2_00156|Supply|D|ROW|COMERCIO_EXTERIOR</t>
  </si>
  <si>
    <t xml:space="preserve">MAP_0572</t>
  </si>
  <si>
    <t xml:space="preserve">2018|BEV2_00157|Use|H|ROW|COMERCIO_EXTERIOR</t>
  </si>
  <si>
    <t xml:space="preserve">MAP_0573</t>
  </si>
  <si>
    <t xml:space="preserve">2018|BEV2_00160|Supply|C|ENER|GENERACION_CENTRAL</t>
  </si>
  <si>
    <t xml:space="preserve">MAP_0574</t>
  </si>
  <si>
    <t xml:space="preserve">2018|BEV2_00161|Supply|C|ENER|AUTOPRODUCCION</t>
  </si>
  <si>
    <t xml:space="preserve">MAP_0575</t>
  </si>
  <si>
    <t xml:space="preserve">2018|BEV2_00162|Use|E|ENER|USO_ENER</t>
  </si>
  <si>
    <t xml:space="preserve">MAP_0576</t>
  </si>
  <si>
    <t xml:space="preserve">2018|BEV2_00164|Use|F|HH|USO_HH</t>
  </si>
  <si>
    <t xml:space="preserve">MAP_0577</t>
  </si>
  <si>
    <t xml:space="preserve">2018|BEV2_00165|Use|E|SERV|USO_SERV</t>
  </si>
  <si>
    <t xml:space="preserve">MAP_0578</t>
  </si>
  <si>
    <t xml:space="preserve">2018|BEV2_00166|Use|E|IND_BEN|USO_IND_BEN</t>
  </si>
  <si>
    <t xml:space="preserve">MAP_0579</t>
  </si>
  <si>
    <t xml:space="preserve">2018|BEV2_00168|Use|E|ENER|PERDIDAS_TRIPLE</t>
  </si>
  <si>
    <t xml:space="preserve">MAP_0580</t>
  </si>
  <si>
    <t xml:space="preserve">2018|BEV2_00168|Supply|I|ENER|PERDIDAS_TRIPLE</t>
  </si>
  <si>
    <t xml:space="preserve">MAP_0581</t>
  </si>
  <si>
    <t xml:space="preserve">2018|BEV2_00168|Use|Q|ENV|PERDIDAS_TRIPLE</t>
  </si>
  <si>
    <t xml:space="preserve">MAP_0582</t>
  </si>
  <si>
    <t xml:space="preserve">2018|BEV2_00170|Supply|D|ROW|COMERCIO_EXTERIOR</t>
  </si>
  <si>
    <t xml:space="preserve">MAP_0583</t>
  </si>
  <si>
    <t xml:space="preserve">2018|BEV2_00171|Use|H|ROW|COMERCIO_EXTERIOR</t>
  </si>
  <si>
    <t xml:space="preserve">MAP_0584</t>
  </si>
  <si>
    <t xml:space="preserve">2018|BEV2_00172|Use|G|ACC|CAMBIO_EXISTENCIAS</t>
  </si>
  <si>
    <t xml:space="preserve">MAP_0585</t>
  </si>
  <si>
    <t xml:space="preserve">2018|BEV2_00174|Use|E|ENER|GENERACION_CENTRAL</t>
  </si>
  <si>
    <t xml:space="preserve">MAP_0586</t>
  </si>
  <si>
    <t xml:space="preserve">2018|BEV2_00180|Use|E|IND_BEN|USO_IND_BEN</t>
  </si>
  <si>
    <t xml:space="preserve">MAP_0587</t>
  </si>
  <si>
    <t xml:space="preserve">2018|BEV2_00184|Supply|D|ROW|COMERCIO_EXTERIOR</t>
  </si>
  <si>
    <t xml:space="preserve">MAP_0588</t>
  </si>
  <si>
    <t xml:space="preserve">2018|BEV2_00185|Use|H|ROW|COMERCIO_EXTERIOR</t>
  </si>
  <si>
    <t xml:space="preserve">MAP_0589</t>
  </si>
  <si>
    <t xml:space="preserve">2018|BEV2_00186|Use|G|ACC|CAMBIO_EXISTENCIAS</t>
  </si>
  <si>
    <t xml:space="preserve">MAP_0590</t>
  </si>
  <si>
    <t xml:space="preserve">2018|BEV2_00191|Use|E|TR_BEN|USO_TR_BEN</t>
  </si>
  <si>
    <t xml:space="preserve">MAP_0591</t>
  </si>
  <si>
    <t xml:space="preserve">2018|BEV2_00193|Use|E|SERV|USO_SERV</t>
  </si>
  <si>
    <t xml:space="preserve">MAP_0592</t>
  </si>
  <si>
    <t xml:space="preserve">2018|BEV2_00194|Use|E|IND_BEN|USO_IND_BEN</t>
  </si>
  <si>
    <t xml:space="preserve">MAP_0593</t>
  </si>
  <si>
    <t xml:space="preserve">2018|BEV2_00198|Supply|D|ROW|COMERCIO_EXTERIOR</t>
  </si>
  <si>
    <t xml:space="preserve">MAP_0594</t>
  </si>
  <si>
    <t xml:space="preserve">2018|BEV2_00199|Use|H|ROW|COMERCIO_EXTERIOR</t>
  </si>
  <si>
    <t xml:space="preserve">MAP_0595</t>
  </si>
  <si>
    <t xml:space="preserve">2018|BEV2_00200|Use|G|ACC|CAMBIO_EXISTENCIAS</t>
  </si>
  <si>
    <t xml:space="preserve">MAP_0596</t>
  </si>
  <si>
    <t xml:space="preserve">2018|BEV2_00205|Use|E|TR_BEN|USO_TR_BEN</t>
  </si>
  <si>
    <t xml:space="preserve">MAP_0597</t>
  </si>
  <si>
    <t xml:space="preserve">2018|BEV2_00206|Use|F|HH|USO_HH</t>
  </si>
  <si>
    <t xml:space="preserve">MAP_0598</t>
  </si>
  <si>
    <t xml:space="preserve">2018|BEV2_00207|Use|E|SERV|USO_SERV</t>
  </si>
  <si>
    <t xml:space="preserve">MAP_0599</t>
  </si>
  <si>
    <t xml:space="preserve">2018|BEV2_00208|Use|E|IND_BEN|USO_IND_BEN</t>
  </si>
  <si>
    <t xml:space="preserve">MAP_0600</t>
  </si>
  <si>
    <t xml:space="preserve">2018|BEV2_00212|Supply|D|ROW|COMERCIO_EXTERIOR</t>
  </si>
  <si>
    <t xml:space="preserve">MAP_0601</t>
  </si>
  <si>
    <t xml:space="preserve">2018|BEV2_00213|Use|H|ROW|COMERCIO_EXTERIOR</t>
  </si>
  <si>
    <t xml:space="preserve">MAP_0602</t>
  </si>
  <si>
    <t xml:space="preserve">2018|BEV2_00214|Use|G|ACC|CAMBIO_EXISTENCIAS</t>
  </si>
  <si>
    <t xml:space="preserve">MAP_0603</t>
  </si>
  <si>
    <t xml:space="preserve">2018|BEV2_00219|Use|E|TR_BEN|USO_TR_BEN</t>
  </si>
  <si>
    <t xml:space="preserve">MAP_0604</t>
  </si>
  <si>
    <t xml:space="preserve">2018|BEV2_00220|Use|F|HH|USO_HH</t>
  </si>
  <si>
    <t xml:space="preserve">MAP_0605</t>
  </si>
  <si>
    <t xml:space="preserve">2018|BEV2_00221|Use|E|SERV|USO_SERV</t>
  </si>
  <si>
    <t xml:space="preserve">MAP_0606</t>
  </si>
  <si>
    <t xml:space="preserve">2018|BEV2_00222|Use|E|IND_BEN|USO_IND_BEN</t>
  </si>
  <si>
    <t xml:space="preserve">MAP_0607</t>
  </si>
  <si>
    <t xml:space="preserve">2018|BEV2_00226|Supply|D|ROW|COMERCIO_EXTERIOR</t>
  </si>
  <si>
    <t xml:space="preserve">MAP_0608</t>
  </si>
  <si>
    <t xml:space="preserve">2018|BEV2_00227|Use|H|ROW|COMERCIO_EXTERIOR</t>
  </si>
  <si>
    <t xml:space="preserve">MAP_0609</t>
  </si>
  <si>
    <t xml:space="preserve">2018|BEV2_00228|Use|G|ACC|CAMBIO_EXISTENCIAS</t>
  </si>
  <si>
    <t xml:space="preserve">MAP_0610</t>
  </si>
  <si>
    <t xml:space="preserve">2018|BEV2_00229|Supply|C|ENER|TRANSFORMACION_REFINERIA</t>
  </si>
  <si>
    <t xml:space="preserve">MAP_0611</t>
  </si>
  <si>
    <t xml:space="preserve">2018|STAT_2018_DOIL|Use|SD|STAT|saldo oferta menos uso por producto</t>
  </si>
  <si>
    <t xml:space="preserve">STAT_2018_DOIL</t>
  </si>
  <si>
    <t xml:space="preserve">MAP_0612</t>
  </si>
  <si>
    <t xml:space="preserve">2018|STAT_2018_FOIL|Use|SD|STAT|saldo oferta menos uso por producto</t>
  </si>
  <si>
    <t xml:space="preserve">STAT_2018_FOIL</t>
  </si>
  <si>
    <t xml:space="preserve">MAP_0613</t>
  </si>
  <si>
    <t xml:space="preserve">2018|STAT_2018_GAS|Use|SD|STAT|saldo oferta menos uso por producto</t>
  </si>
  <si>
    <t xml:space="preserve">STAT_2018_GAS</t>
  </si>
  <si>
    <t xml:space="preserve">MAP_0614</t>
  </si>
  <si>
    <t xml:space="preserve">2018|STAT_2018_GLP|Use|SD|STAT|saldo oferta menos uso por producto</t>
  </si>
  <si>
    <t xml:space="preserve">STAT_2018_GLP</t>
  </si>
  <si>
    <t xml:space="preserve">MAP_0615</t>
  </si>
  <si>
    <t xml:space="preserve">2018|STAT_2018_KER|Use|SD|STAT|saldo oferta menos uso por producto</t>
  </si>
  <si>
    <t xml:space="preserve">STAT_2018_KER</t>
  </si>
  <si>
    <t xml:space="preserve">MAP_0616</t>
  </si>
  <si>
    <t xml:space="preserve">2018|NOEN_APARENTE_2018|Use|E|NO_ASIG|USO_NO_ENERGETICO_APARENTE</t>
  </si>
  <si>
    <t xml:space="preserve">NOEN_APARENTE_2018</t>
  </si>
  <si>
    <t xml:space="preserve">MAP_0617</t>
  </si>
  <si>
    <t xml:space="preserve">2018|STAT_2018_PETR|Use|SD|STAT|saldo oferta menos uso por producto</t>
  </si>
  <si>
    <t xml:space="preserve">STAT_2018_PETR</t>
  </si>
  <si>
    <t xml:space="preserve">REGLA_EMISION_ENERGIA</t>
  </si>
  <si>
    <t xml:space="preserve">PSUT|BEV2_01513|Supply|C|IND_BEN</t>
  </si>
  <si>
    <t xml:space="preserve">PSUT|BEV2_01518|Use|E|ENER</t>
  </si>
  <si>
    <t xml:space="preserve">1.A.1.a.i</t>
  </si>
  <si>
    <t xml:space="preserve">Generación de electricidad</t>
  </si>
  <si>
    <t xml:space="preserve">BIOMASS</t>
  </si>
  <si>
    <t xml:space="preserve">BIOGENICO</t>
  </si>
  <si>
    <t xml:space="preserve">PSUT|BEV2_01519|Use|E|ENER</t>
  </si>
  <si>
    <t xml:space="preserve">PSUT|BEV2_01527|Supply|C|ENER</t>
  </si>
  <si>
    <t xml:space="preserve">PSUT|BEV2_01532|Use|E|ENER</t>
  </si>
  <si>
    <t xml:space="preserve">PSUT|BEV2_01541|Supply|A|ENV</t>
  </si>
  <si>
    <t xml:space="preserve">NO</t>
  </si>
  <si>
    <t xml:space="preserve">1.B.1.a</t>
  </si>
  <si>
    <t xml:space="preserve">Minería de carbón</t>
  </si>
  <si>
    <t xml:space="preserve">FOSIL</t>
  </si>
  <si>
    <t xml:space="preserve">PSUT|BEV2_01541|Use|B|B</t>
  </si>
  <si>
    <t xml:space="preserve">PSUT|BEV2_01541|Supply|C|B</t>
  </si>
  <si>
    <t xml:space="preserve">PSUT|BEV2_01542|Supply|D|ROW</t>
  </si>
  <si>
    <t xml:space="preserve">PSUT|BEV2_01544|Use|G|ACC</t>
  </si>
  <si>
    <t xml:space="preserve">PSUT|BEV2_01546|Use|E|ENER</t>
  </si>
  <si>
    <t xml:space="preserve">SOLID_FUELS</t>
  </si>
  <si>
    <t xml:space="preserve">PSUT|BEV2_01547|Use|E|ENER</t>
  </si>
  <si>
    <t xml:space="preserve">PSUT|BEV2_01555|Supply|A|ENV</t>
  </si>
  <si>
    <t xml:space="preserve">PSUT|BEV2_01560|Use|B|ENER</t>
  </si>
  <si>
    <t xml:space="preserve">CERO_DIRECTO</t>
  </si>
  <si>
    <t xml:space="preserve">SIN_EMISION_DIRECTA</t>
  </si>
  <si>
    <t xml:space="preserve">PSUT|BEV2_01569|Supply|A|ENV</t>
  </si>
  <si>
    <t xml:space="preserve">PSUT|BEV2_01574|Use|B|ENER</t>
  </si>
  <si>
    <t xml:space="preserve">PSUT|BEV2_01583|Supply|A|ENV</t>
  </si>
  <si>
    <t xml:space="preserve">1.B.2.b.ii</t>
  </si>
  <si>
    <t xml:space="preserve">Producción y mejoramiento de gas natural</t>
  </si>
  <si>
    <t xml:space="preserve">PSUT|BEV2_01583|Use|B|B</t>
  </si>
  <si>
    <t xml:space="preserve">PSUT|BEV2_01583|Supply|C|B</t>
  </si>
  <si>
    <t xml:space="preserve">PSUT|BEV2_01588|Use|E|ENER</t>
  </si>
  <si>
    <t xml:space="preserve">GASEOUS_FUELS</t>
  </si>
  <si>
    <t xml:space="preserve">PSUT|BEV2_01597|Supply|A|ENV</t>
  </si>
  <si>
    <t xml:space="preserve">PSUT|BEV2_01602|Use|B|ENER</t>
  </si>
  <si>
    <t xml:space="preserve">PSUT|BEV2_01603|Use|B|ENER</t>
  </si>
  <si>
    <t xml:space="preserve">PSUT|BEV2_01611|Supply|C|A</t>
  </si>
  <si>
    <t xml:space="preserve">1.A.4.c</t>
  </si>
  <si>
    <t xml:space="preserve">Agricultura, silvicultura y pesca</t>
  </si>
  <si>
    <t xml:space="preserve">PSUT|BEV2_01620|Use|F|HH</t>
  </si>
  <si>
    <t xml:space="preserve">1.A.4.b</t>
  </si>
  <si>
    <t xml:space="preserve">Residencial</t>
  </si>
  <si>
    <t xml:space="preserve">PSUT|BEV2_01621|Use|E|SERV</t>
  </si>
  <si>
    <t xml:space="preserve">1.A.4.a</t>
  </si>
  <si>
    <t xml:space="preserve">Comercial e institucional</t>
  </si>
  <si>
    <t xml:space="preserve">PSUT|BEV2_01625|Supply|A|ENV</t>
  </si>
  <si>
    <t xml:space="preserve">1.B.2.a.ii</t>
  </si>
  <si>
    <t xml:space="preserve">Producción y mejoramiento de petróleo</t>
  </si>
  <si>
    <t xml:space="preserve">FUGITIVA_PETROLEO</t>
  </si>
  <si>
    <t xml:space="preserve">PSUT|BEV2_01625|Use|B|B</t>
  </si>
  <si>
    <t xml:space="preserve">PSUT|BEV2_01625|Supply|C|B</t>
  </si>
  <si>
    <t xml:space="preserve">PSUT|BEV2_01626|Supply|D|ROW</t>
  </si>
  <si>
    <t xml:space="preserve">PSUT|BEV2_01627|Use|H|ROW</t>
  </si>
  <si>
    <t xml:space="preserve">PSUT|BEV2_01628|Use|G|ACC</t>
  </si>
  <si>
    <t xml:space="preserve">PSUT|BEV2_01629|Use|E|ENER</t>
  </si>
  <si>
    <t xml:space="preserve">1.A.1.b</t>
  </si>
  <si>
    <t xml:space="preserve">Refinación de petróleo</t>
  </si>
  <si>
    <t xml:space="preserve">LIQUID_FUELS</t>
  </si>
  <si>
    <t xml:space="preserve">PSUT|BEV2_01639|Supply|A|ENV</t>
  </si>
  <si>
    <t xml:space="preserve">PSUT|BEV2_01644|Use|B|ENER</t>
  </si>
  <si>
    <t xml:space="preserve">PSUT|BEV2_01654|Supply|D|ROW</t>
  </si>
  <si>
    <t xml:space="preserve">PSUT|BEV2_01656|Use|G|ACC</t>
  </si>
  <si>
    <t xml:space="preserve">PSUT|BEV2_01658|Use|E|ENER</t>
  </si>
  <si>
    <t xml:space="preserve">PSUT|BEV2_01664|Use|E|IND_BEN</t>
  </si>
  <si>
    <t xml:space="preserve">1.A.2</t>
  </si>
  <si>
    <t xml:space="preserve">Industrias manufactureras y construcción</t>
  </si>
  <si>
    <t xml:space="preserve">AGREGADO_FOSIL</t>
  </si>
  <si>
    <t xml:space="preserve">PSUT|BEV2_01668|Supply|D|ROW</t>
  </si>
  <si>
    <t xml:space="preserve">PSUT|BEV2_01669|Use|H|ROW</t>
  </si>
  <si>
    <t xml:space="preserve">PSUT|BEV2_01670|Use|G|ACC</t>
  </si>
  <si>
    <t xml:space="preserve">PSUT|BEV2_01672|Use|E|ENER</t>
  </si>
  <si>
    <t xml:space="preserve">PSUT|BEV2_01675|Use|E|TR_BEN</t>
  </si>
  <si>
    <t xml:space="preserve">1.A.3</t>
  </si>
  <si>
    <t xml:space="preserve">Transporte</t>
  </si>
  <si>
    <t xml:space="preserve">PSUT|BEV2_01678|Use|E|IND_BEN</t>
  </si>
  <si>
    <t xml:space="preserve">PSUT|BEV2_01682|Supply|D|ROW</t>
  </si>
  <si>
    <t xml:space="preserve">PSUT|BEV2_01683|Use|H|ROW</t>
  </si>
  <si>
    <t xml:space="preserve">PSUT|BEV2_01686|Supply|C|ENER</t>
  </si>
  <si>
    <t xml:space="preserve">PSUT|BEV2_01687|Supply|C|ENER</t>
  </si>
  <si>
    <t xml:space="preserve">PSUT|BEV2_01688|Use|E|ENER</t>
  </si>
  <si>
    <t xml:space="preserve">1.A.1.c</t>
  </si>
  <si>
    <t xml:space="preserve">Fabricación de combustibles sólidos y otras industrias de la energía</t>
  </si>
  <si>
    <t xml:space="preserve">PSUT|BEV2_01689|Use|E|TR_BEN</t>
  </si>
  <si>
    <t xml:space="preserve">PSUT|BEV2_01690|Use|F|HH</t>
  </si>
  <si>
    <t xml:space="preserve">PSUT|BEV2_01691|Use|E|SERV</t>
  </si>
  <si>
    <t xml:space="preserve">PSUT|BEV2_01692|Use|E|IND_BEN</t>
  </si>
  <si>
    <t xml:space="preserve">PSUT|BEV2_01694|Use|E|ENER</t>
  </si>
  <si>
    <t xml:space="preserve">PSUT|BEV2_01694|Supply|I|ENER</t>
  </si>
  <si>
    <t xml:space="preserve">PSUT|BEV2_01694|Use|Q|ENV</t>
  </si>
  <si>
    <t xml:space="preserve">PSUT|BEV2_01696|Supply|D|ROW</t>
  </si>
  <si>
    <t xml:space="preserve">PSUT|BEV2_01697|Use|H|ROW</t>
  </si>
  <si>
    <t xml:space="preserve">PSUT|BEV2_01698|Use|G|ACC</t>
  </si>
  <si>
    <t xml:space="preserve">PSUT|BEV2_01700|Use|E|ENER</t>
  </si>
  <si>
    <t xml:space="preserve">PSUT|BEV2_01701|Use|E|ENER</t>
  </si>
  <si>
    <t xml:space="preserve">PSUT|BEV2_01706|Use|E|IND_BEN</t>
  </si>
  <si>
    <t xml:space="preserve">PSUT|BEV2_01710|Supply|D|ROW</t>
  </si>
  <si>
    <t xml:space="preserve">PSUT|BEV2_01711|Use|H|ROW</t>
  </si>
  <si>
    <t xml:space="preserve">PSUT|BEV2_01712|Use|G|ACC</t>
  </si>
  <si>
    <t xml:space="preserve">PSUT|BEV2_01717|Use|E|TR_BEN</t>
  </si>
  <si>
    <t xml:space="preserve">PSUT|BEV2_01719|Use|E|SERV</t>
  </si>
  <si>
    <t xml:space="preserve">PSUT|BEV2_01720|Use|E|IND_BEN</t>
  </si>
  <si>
    <t xml:space="preserve">PSUT|BEV2_01724|Supply|D|ROW</t>
  </si>
  <si>
    <t xml:space="preserve">PSUT|BEV2_01725|Use|H|ROW</t>
  </si>
  <si>
    <t xml:space="preserve">PSUT|BEV2_01726|Use|G|ACC</t>
  </si>
  <si>
    <t xml:space="preserve">PSUT|BEV2_01731|Use|E|TR_BEN</t>
  </si>
  <si>
    <t xml:space="preserve">PSUT|BEV2_01732|Use|F|HH</t>
  </si>
  <si>
    <t xml:space="preserve">PSUT|BEV2_01733|Use|E|SERV</t>
  </si>
  <si>
    <t xml:space="preserve">PSUT|BEV2_01734|Use|E|IND_BEN</t>
  </si>
  <si>
    <t xml:space="preserve">PSUT|BEV2_01738|Supply|D|ROW</t>
  </si>
  <si>
    <t xml:space="preserve">PSUT|BEV2_01740|Use|G|ACC</t>
  </si>
  <si>
    <t xml:space="preserve">PSUT|BEV2_01745|Use|E|TR_BEN</t>
  </si>
  <si>
    <t xml:space="preserve">PSUT|BEV2_01752|Supply|D|ROW</t>
  </si>
  <si>
    <t xml:space="preserve">PSUT|BEV2_01753|Use|H|ROW</t>
  </si>
  <si>
    <t xml:space="preserve">PSUT|BEV2_01754|Use|G|ACC</t>
  </si>
  <si>
    <t xml:space="preserve">PSUT|BEV2_01755|Supply|C|ENER</t>
  </si>
  <si>
    <t xml:space="preserve">PSUT|STAT_2024_ELEC|Use|SD|STAT</t>
  </si>
  <si>
    <t xml:space="preserve">PSUT|STAT_2024_GAS|Use|SD|STAT</t>
  </si>
  <si>
    <t xml:space="preserve">PSUT|NOEN_APARENTE_2024|Use|E|NO_ASIG</t>
  </si>
  <si>
    <t xml:space="preserve">Regla de uso no energético aparente</t>
  </si>
  <si>
    <t xml:space="preserve">Flujo calculado por identidad y excluido de la combustión.</t>
  </si>
  <si>
    <t xml:space="preserve">PSUT|BEV2_01247|Supply|C|IND_BEN</t>
  </si>
  <si>
    <t xml:space="preserve">PSUT|BEV2_01252|Use|E|ENER</t>
  </si>
  <si>
    <t xml:space="preserve">PSUT|BEV2_01253|Use|E|ENER</t>
  </si>
  <si>
    <t xml:space="preserve">PSUT|BEV2_01261|Supply|C|ENER</t>
  </si>
  <si>
    <t xml:space="preserve">PSUT|BEV2_01266|Use|E|ENER</t>
  </si>
  <si>
    <t xml:space="preserve">PSUT|BEV2_01275|Supply|A|ENV</t>
  </si>
  <si>
    <t xml:space="preserve">PSUT|BEV2_01275|Use|B|B</t>
  </si>
  <si>
    <t xml:space="preserve">PSUT|BEV2_01275|Supply|C|B</t>
  </si>
  <si>
    <t xml:space="preserve">PSUT|BEV2_01276|Supply|D|ROW</t>
  </si>
  <si>
    <t xml:space="preserve">PSUT|BEV2_01278|Use|G|ACC</t>
  </si>
  <si>
    <t xml:space="preserve">PSUT|BEV2_01280|Use|E|ENER</t>
  </si>
  <si>
    <t xml:space="preserve">PSUT|BEV2_01281|Use|E|ENER</t>
  </si>
  <si>
    <t xml:space="preserve">PSUT|BEV2_01289|Supply|A|ENV</t>
  </si>
  <si>
    <t xml:space="preserve">PSUT|BEV2_01294|Use|B|ENER</t>
  </si>
  <si>
    <t xml:space="preserve">PSUT|BEV2_01303|Supply|A|ENV</t>
  </si>
  <si>
    <t xml:space="preserve">PSUT|BEV2_01308|Use|B|ENER</t>
  </si>
  <si>
    <t xml:space="preserve">PSUT|BEV2_01317|Supply|A|ENV</t>
  </si>
  <si>
    <t xml:space="preserve">PSUT|BEV2_01317|Use|B|B</t>
  </si>
  <si>
    <t xml:space="preserve">PSUT|BEV2_01317|Supply|C|B</t>
  </si>
  <si>
    <t xml:space="preserve">PSUT|BEV2_01331|Supply|A|ENV</t>
  </si>
  <si>
    <t xml:space="preserve">PSUT|BEV2_01336|Use|B|ENER</t>
  </si>
  <si>
    <t xml:space="preserve">PSUT|BEV2_01337|Use|B|ENER</t>
  </si>
  <si>
    <t xml:space="preserve">PSUT|BEV2_01345|Supply|C|A</t>
  </si>
  <si>
    <t xml:space="preserve">PSUT|BEV2_01354|Use|F|HH</t>
  </si>
  <si>
    <t xml:space="preserve">PSUT|BEV2_01355|Use|E|SERV</t>
  </si>
  <si>
    <t xml:space="preserve">PSUT|BEV2_01359|Supply|A|ENV</t>
  </si>
  <si>
    <t xml:space="preserve">PSUT|BEV2_01359|Use|B|B</t>
  </si>
  <si>
    <t xml:space="preserve">PSUT|BEV2_01359|Supply|C|B</t>
  </si>
  <si>
    <t xml:space="preserve">PSUT|BEV2_01360|Supply|D|ROW</t>
  </si>
  <si>
    <t xml:space="preserve">PSUT|BEV2_01361|Use|H|ROW</t>
  </si>
  <si>
    <t xml:space="preserve">PSUT|BEV2_01362|Use|G|ACC</t>
  </si>
  <si>
    <t xml:space="preserve">PSUT|BEV2_01363|Use|E|ENER</t>
  </si>
  <si>
    <t xml:space="preserve">PSUT|BEV2_01373|Supply|A|ENV</t>
  </si>
  <si>
    <t xml:space="preserve">PSUT|BEV2_01378|Use|B|ENER</t>
  </si>
  <si>
    <t xml:space="preserve">PSUT|BEV2_01388|Supply|D|ROW</t>
  </si>
  <si>
    <t xml:space="preserve">PSUT|BEV2_01390|Use|G|ACC</t>
  </si>
  <si>
    <t xml:space="preserve">PSUT|BEV2_01398|Use|E|IND_BEN</t>
  </si>
  <si>
    <t xml:space="preserve">PSUT|BEV2_01402|Supply|D|ROW</t>
  </si>
  <si>
    <t xml:space="preserve">PSUT|BEV2_01403|Use|H|ROW</t>
  </si>
  <si>
    <t xml:space="preserve">PSUT|BEV2_01404|Use|G|ACC</t>
  </si>
  <si>
    <t xml:space="preserve">PSUT|BEV2_01406|Use|E|ENER</t>
  </si>
  <si>
    <t xml:space="preserve">PSUT|BEV2_01409|Use|E|TR_BEN</t>
  </si>
  <si>
    <t xml:space="preserve">PSUT|BEV2_01412|Use|E|IND_BEN</t>
  </si>
  <si>
    <t xml:space="preserve">PSUT|BEV2_01416|Supply|D|ROW</t>
  </si>
  <si>
    <t xml:space="preserve">PSUT|BEV2_01417|Use|H|ROW</t>
  </si>
  <si>
    <t xml:space="preserve">PSUT|BEV2_01420|Supply|C|ENER</t>
  </si>
  <si>
    <t xml:space="preserve">PSUT|BEV2_01421|Supply|C|ENER</t>
  </si>
  <si>
    <t xml:space="preserve">PSUT|BEV2_01422|Use|E|ENER</t>
  </si>
  <si>
    <t xml:space="preserve">PSUT|BEV2_01423|Use|E|TR_BEN</t>
  </si>
  <si>
    <t xml:space="preserve">PSUT|BEV2_01424|Use|F|HH</t>
  </si>
  <si>
    <t xml:space="preserve">PSUT|BEV2_01425|Use|E|SERV</t>
  </si>
  <si>
    <t xml:space="preserve">PSUT|BEV2_01426|Use|E|IND_BEN</t>
  </si>
  <si>
    <t xml:space="preserve">PSUT|BEV2_01428|Use|E|ENER</t>
  </si>
  <si>
    <t xml:space="preserve">PSUT|BEV2_01428|Supply|I|ENER</t>
  </si>
  <si>
    <t xml:space="preserve">PSUT|BEV2_01428|Use|Q|ENV</t>
  </si>
  <si>
    <t xml:space="preserve">PSUT|BEV2_01430|Supply|D|ROW</t>
  </si>
  <si>
    <t xml:space="preserve">PSUT|BEV2_01432|Use|G|ACC</t>
  </si>
  <si>
    <t xml:space="preserve">PSUT|BEV2_01434|Use|E|ENER</t>
  </si>
  <si>
    <t xml:space="preserve">PSUT|BEV2_01435|Use|E|ENER</t>
  </si>
  <si>
    <t xml:space="preserve">PSUT|BEV2_01440|Use|E|IND_BEN</t>
  </si>
  <si>
    <t xml:space="preserve">PSUT|BEV2_01444|Supply|D|ROW</t>
  </si>
  <si>
    <t xml:space="preserve">PSUT|BEV2_01445|Use|H|ROW</t>
  </si>
  <si>
    <t xml:space="preserve">PSUT|BEV2_01446|Use|G|ACC</t>
  </si>
  <si>
    <t xml:space="preserve">PSUT|BEV2_01451|Use|E|TR_BEN</t>
  </si>
  <si>
    <t xml:space="preserve">PSUT|BEV2_01453|Use|E|SERV</t>
  </si>
  <si>
    <t xml:space="preserve">PSUT|BEV2_01454|Use|E|IND_BEN</t>
  </si>
  <si>
    <t xml:space="preserve">PSUT|BEV2_01458|Supply|D|ROW</t>
  </si>
  <si>
    <t xml:space="preserve">PSUT|BEV2_01459|Use|H|ROW</t>
  </si>
  <si>
    <t xml:space="preserve">PSUT|BEV2_01460|Use|G|ACC</t>
  </si>
  <si>
    <t xml:space="preserve">PSUT|BEV2_01465|Use|E|TR_BEN</t>
  </si>
  <si>
    <t xml:space="preserve">PSUT|BEV2_01466|Use|F|HH</t>
  </si>
  <si>
    <t xml:space="preserve">PSUT|BEV2_01467|Use|E|SERV</t>
  </si>
  <si>
    <t xml:space="preserve">PSUT|BEV2_01468|Use|E|IND_BEN</t>
  </si>
  <si>
    <t xml:space="preserve">PSUT|BEV2_01472|Supply|D|ROW</t>
  </si>
  <si>
    <t xml:space="preserve">PSUT|BEV2_01473|Use|H|ROW</t>
  </si>
  <si>
    <t xml:space="preserve">PSUT|BEV2_01474|Use|G|ACC</t>
  </si>
  <si>
    <t xml:space="preserve">PSUT|BEV2_01479|Use|E|TR_BEN</t>
  </si>
  <si>
    <t xml:space="preserve">PSUT|BEV2_01486|Supply|D|ROW</t>
  </si>
  <si>
    <t xml:space="preserve">PSUT|BEV2_01487|Use|H|ROW</t>
  </si>
  <si>
    <t xml:space="preserve">PSUT|BEV2_01488|Use|G|ACC</t>
  </si>
  <si>
    <t xml:space="preserve">PSUT|BEV2_01489|Supply|C|ENER</t>
  </si>
  <si>
    <t xml:space="preserve">PSUT|STAT_2023_COQUE|Use|SD|STAT</t>
  </si>
  <si>
    <t xml:space="preserve">PSUT|STAT_2023_CRBN|Use|SD|STAT</t>
  </si>
  <si>
    <t xml:space="preserve">PSUT|STAT_2023_DOIL|Use|SD|STAT</t>
  </si>
  <si>
    <t xml:space="preserve">PSUT|STAT_2023_KER|Use|SD|STAT</t>
  </si>
  <si>
    <t xml:space="preserve">PSUT|NOEN_APARENTE_2023|Use|E|NO_ASIG</t>
  </si>
  <si>
    <t xml:space="preserve">PSUT|STAT_2023_PETR|Use|SD|STAT</t>
  </si>
  <si>
    <t xml:space="preserve">PSUT|BEV2_00981|Supply|C|IND_BEN</t>
  </si>
  <si>
    <t xml:space="preserve">PSUT|BEV2_00986|Use|E|ENER</t>
  </si>
  <si>
    <t xml:space="preserve">PSUT|BEV2_00987|Use|E|ENER</t>
  </si>
  <si>
    <t xml:space="preserve">PSUT|BEV2_00995|Supply|C|ENER</t>
  </si>
  <si>
    <t xml:space="preserve">PSUT|BEV2_01000|Use|E|ENER</t>
  </si>
  <si>
    <t xml:space="preserve">PSUT|BEV2_01009|Supply|A|ENV</t>
  </si>
  <si>
    <t xml:space="preserve">PSUT|BEV2_01009|Use|B|B</t>
  </si>
  <si>
    <t xml:space="preserve">PSUT|BEV2_01009|Supply|C|B</t>
  </si>
  <si>
    <t xml:space="preserve">PSUT|BEV2_01010|Supply|D|ROW</t>
  </si>
  <si>
    <t xml:space="preserve">PSUT|BEV2_01012|Use|G|ACC</t>
  </si>
  <si>
    <t xml:space="preserve">PSUT|BEV2_01014|Use|E|ENER</t>
  </si>
  <si>
    <t xml:space="preserve">PSUT|BEV2_01015|Use|E|ENER</t>
  </si>
  <si>
    <t xml:space="preserve">PSUT|BEV2_01023|Supply|A|ENV</t>
  </si>
  <si>
    <t xml:space="preserve">PSUT|BEV2_01028|Use|B|ENER</t>
  </si>
  <si>
    <t xml:space="preserve">PSUT|BEV2_01037|Supply|A|ENV</t>
  </si>
  <si>
    <t xml:space="preserve">PSUT|BEV2_01042|Use|B|ENER</t>
  </si>
  <si>
    <t xml:space="preserve">PSUT|BEV2_01051|Supply|A|ENV</t>
  </si>
  <si>
    <t xml:space="preserve">PSUT|BEV2_01051|Use|B|B</t>
  </si>
  <si>
    <t xml:space="preserve">PSUT|BEV2_01051|Supply|C|B</t>
  </si>
  <si>
    <t xml:space="preserve">PSUT|BEV2_01056|Use|E|ENER</t>
  </si>
  <si>
    <t xml:space="preserve">PSUT|BEV2_01065|Supply|A|ENV</t>
  </si>
  <si>
    <t xml:space="preserve">PSUT|BEV2_01070|Use|B|ENER</t>
  </si>
  <si>
    <t xml:space="preserve">PSUT|BEV2_01071|Use|B|ENER</t>
  </si>
  <si>
    <t xml:space="preserve">PSUT|BEV2_01079|Supply|C|A</t>
  </si>
  <si>
    <t xml:space="preserve">PSUT|BEV2_01088|Use|F|HH</t>
  </si>
  <si>
    <t xml:space="preserve">PSUT|BEV2_01089|Use|E|SERV</t>
  </si>
  <si>
    <t xml:space="preserve">PSUT|BEV2_01093|Supply|A|ENV</t>
  </si>
  <si>
    <t xml:space="preserve">PSUT|BEV2_01093|Use|B|B</t>
  </si>
  <si>
    <t xml:space="preserve">PSUT|BEV2_01093|Supply|C|B</t>
  </si>
  <si>
    <t xml:space="preserve">PSUT|BEV2_01094|Supply|D|ROW</t>
  </si>
  <si>
    <t xml:space="preserve">PSUT|BEV2_01095|Use|H|ROW</t>
  </si>
  <si>
    <t xml:space="preserve">PSUT|BEV2_01096|Use|G|ACC</t>
  </si>
  <si>
    <t xml:space="preserve">PSUT|BEV2_01097|Use|E|ENER</t>
  </si>
  <si>
    <t xml:space="preserve">PSUT|BEV2_01107|Supply|A|ENV</t>
  </si>
  <si>
    <t xml:space="preserve">PSUT|BEV2_01112|Use|B|ENER</t>
  </si>
  <si>
    <t xml:space="preserve">PSUT|BEV2_01122|Supply|D|ROW</t>
  </si>
  <si>
    <t xml:space="preserve">PSUT|BEV2_01124|Use|G|ACC</t>
  </si>
  <si>
    <t xml:space="preserve">PSUT|BEV2_01132|Use|E|IND_BEN</t>
  </si>
  <si>
    <t xml:space="preserve">PSUT|BEV2_01136|Supply|D|ROW</t>
  </si>
  <si>
    <t xml:space="preserve">PSUT|BEV2_01137|Use|H|ROW</t>
  </si>
  <si>
    <t xml:space="preserve">PSUT|BEV2_01138|Use|G|ACC</t>
  </si>
  <si>
    <t xml:space="preserve">PSUT|BEV2_01140|Use|E|ENER</t>
  </si>
  <si>
    <t xml:space="preserve">PSUT|BEV2_01143|Use|E|TR_BEN</t>
  </si>
  <si>
    <t xml:space="preserve">PSUT|BEV2_01146|Use|E|IND_BEN</t>
  </si>
  <si>
    <t xml:space="preserve">PSUT|BEV2_01150|Supply|D|ROW</t>
  </si>
  <si>
    <t xml:space="preserve">PSUT|BEV2_01151|Use|H|ROW</t>
  </si>
  <si>
    <t xml:space="preserve">PSUT|BEV2_01154|Supply|C|ENER</t>
  </si>
  <si>
    <t xml:space="preserve">PSUT|BEV2_01155|Supply|C|ENER</t>
  </si>
  <si>
    <t xml:space="preserve">PSUT|BEV2_01156|Use|E|ENER</t>
  </si>
  <si>
    <t xml:space="preserve">PSUT|BEV2_01158|Use|F|HH</t>
  </si>
  <si>
    <t xml:space="preserve">PSUT|BEV2_01159|Use|E|SERV</t>
  </si>
  <si>
    <t xml:space="preserve">PSUT|BEV2_01160|Use|E|IND_BEN</t>
  </si>
  <si>
    <t xml:space="preserve">PSUT|BEV2_01162|Use|E|ENER</t>
  </si>
  <si>
    <t xml:space="preserve">PSUT|BEV2_01162|Supply|I|ENER</t>
  </si>
  <si>
    <t xml:space="preserve">PSUT|BEV2_01162|Use|Q|ENV</t>
  </si>
  <si>
    <t xml:space="preserve">PSUT|BEV2_01164|Supply|D|ROW</t>
  </si>
  <si>
    <t xml:space="preserve">PSUT|BEV2_01166|Use|G|ACC</t>
  </si>
  <si>
    <t xml:space="preserve">PSUT|BEV2_01168|Use|E|ENER</t>
  </si>
  <si>
    <t xml:space="preserve">PSUT|BEV2_01169|Use|E|ENER</t>
  </si>
  <si>
    <t xml:space="preserve">PSUT|BEV2_01174|Use|E|IND_BEN</t>
  </si>
  <si>
    <t xml:space="preserve">PSUT|BEV2_01178|Supply|D|ROW</t>
  </si>
  <si>
    <t xml:space="preserve">PSUT|BEV2_01179|Use|H|ROW</t>
  </si>
  <si>
    <t xml:space="preserve">PSUT|BEV2_01180|Use|G|ACC</t>
  </si>
  <si>
    <t xml:space="preserve">PSUT|BEV2_01185|Use|E|TR_BEN</t>
  </si>
  <si>
    <t xml:space="preserve">PSUT|BEV2_01187|Use|E|SERV</t>
  </si>
  <si>
    <t xml:space="preserve">PSUT|BEV2_01188|Use|E|IND_BEN</t>
  </si>
  <si>
    <t xml:space="preserve">PSUT|BEV2_01192|Supply|D|ROW</t>
  </si>
  <si>
    <t xml:space="preserve">PSUT|BEV2_01193|Use|H|ROW</t>
  </si>
  <si>
    <t xml:space="preserve">PSUT|BEV2_01194|Use|G|ACC</t>
  </si>
  <si>
    <t xml:space="preserve">PSUT|BEV2_01199|Use|E|TR_BEN</t>
  </si>
  <si>
    <t xml:space="preserve">PSUT|BEV2_01200|Use|F|HH</t>
  </si>
  <si>
    <t xml:space="preserve">PSUT|BEV2_01201|Use|E|SERV</t>
  </si>
  <si>
    <t xml:space="preserve">PSUT|BEV2_01202|Use|E|IND_BEN</t>
  </si>
  <si>
    <t xml:space="preserve">PSUT|BEV2_01206|Supply|D|ROW</t>
  </si>
  <si>
    <t xml:space="preserve">PSUT|BEV2_01207|Use|H|ROW</t>
  </si>
  <si>
    <t xml:space="preserve">PSUT|BEV2_01208|Use|G|ACC</t>
  </si>
  <si>
    <t xml:space="preserve">PSUT|BEV2_01213|Use|E|TR_BEN</t>
  </si>
  <si>
    <t xml:space="preserve">PSUT|BEV2_01220|Supply|D|ROW</t>
  </si>
  <si>
    <t xml:space="preserve">PSUT|BEV2_01221|Use|H|ROW</t>
  </si>
  <si>
    <t xml:space="preserve">PSUT|BEV2_01222|Use|G|ACC</t>
  </si>
  <si>
    <t xml:space="preserve">PSUT|BEV2_01223|Supply|C|ENER</t>
  </si>
  <si>
    <t xml:space="preserve">PSUT|STAT_2022_BCANA|Use|SD|STAT</t>
  </si>
  <si>
    <t xml:space="preserve">PSUT|STAT_2022_CRBN|Use|SD|STAT</t>
  </si>
  <si>
    <t xml:space="preserve">PSUT|STAT_2022_ELEC|Use|SD|STAT</t>
  </si>
  <si>
    <t xml:space="preserve">PSUT|STAT_2022_FOIL|Use|SD|STAT</t>
  </si>
  <si>
    <t xml:space="preserve">PSUT|STAT_2022_GAS|Use|SD|STAT</t>
  </si>
  <si>
    <t xml:space="preserve">PSUT|STAT_2022_GLP|Use|SD|STAT</t>
  </si>
  <si>
    <t xml:space="preserve">PSUT|STAT_2022_KER|Use|SD|STAT</t>
  </si>
  <si>
    <t xml:space="preserve">PSUT|NOEN_APARENTE_2022|Use|E|NO_ASIG</t>
  </si>
  <si>
    <t xml:space="preserve">PSUT|STAT_2022_PETR|Use|SD|STAT</t>
  </si>
  <si>
    <t xml:space="preserve">PSUT|BEV2_00729|Supply|C|IND_BEN</t>
  </si>
  <si>
    <t xml:space="preserve">PSUT|BEV2_00734|Use|E|ENER</t>
  </si>
  <si>
    <t xml:space="preserve">PSUT|BEV2_00735|Use|E|ENER</t>
  </si>
  <si>
    <t xml:space="preserve">PSUT|BEV2_00743|Supply|C|ENER</t>
  </si>
  <si>
    <t xml:space="preserve">PSUT|BEV2_00748|Use|E|ENER</t>
  </si>
  <si>
    <t xml:space="preserve">PSUT|BEV2_00757|Supply|A|ENV</t>
  </si>
  <si>
    <t xml:space="preserve">PSUT|BEV2_00757|Use|B|B</t>
  </si>
  <si>
    <t xml:space="preserve">PSUT|BEV2_00757|Supply|C|B</t>
  </si>
  <si>
    <t xml:space="preserve">PSUT|BEV2_00758|Supply|D|ROW</t>
  </si>
  <si>
    <t xml:space="preserve">PSUT|BEV2_00760|Use|G|ACC</t>
  </si>
  <si>
    <t xml:space="preserve">PSUT|BEV2_00762|Use|E|ENER</t>
  </si>
  <si>
    <t xml:space="preserve">PSUT|BEV2_00763|Use|E|ENER</t>
  </si>
  <si>
    <t xml:space="preserve">PSUT|BEV2_00771|Supply|A|ENV</t>
  </si>
  <si>
    <t xml:space="preserve">PSUT|BEV2_00776|Use|B|ENER</t>
  </si>
  <si>
    <t xml:space="preserve">PSUT|BEV2_00785|Supply|A|ENV</t>
  </si>
  <si>
    <t xml:space="preserve">PSUT|BEV2_00790|Use|B|ENER</t>
  </si>
  <si>
    <t xml:space="preserve">PSUT|BEV2_00799|Supply|A|ENV</t>
  </si>
  <si>
    <t xml:space="preserve">PSUT|BEV2_00799|Use|B|B</t>
  </si>
  <si>
    <t xml:space="preserve">PSUT|BEV2_00799|Supply|C|B</t>
  </si>
  <si>
    <t xml:space="preserve">PSUT|BEV2_00804|Use|E|ENER</t>
  </si>
  <si>
    <t xml:space="preserve">PSUT|BEV2_00813|Supply|A|ENV</t>
  </si>
  <si>
    <t xml:space="preserve">PSUT|BEV2_00818|Use|B|ENER</t>
  </si>
  <si>
    <t xml:space="preserve">PSUT|BEV2_00819|Use|B|ENER</t>
  </si>
  <si>
    <t xml:space="preserve">PSUT|BEV2_00827|Supply|C|A</t>
  </si>
  <si>
    <t xml:space="preserve">PSUT|BEV2_00836|Use|F|HH</t>
  </si>
  <si>
    <t xml:space="preserve">PSUT|BEV2_00837|Use|E|SERV</t>
  </si>
  <si>
    <t xml:space="preserve">PSUT|BEV2_00841|Supply|A|ENV</t>
  </si>
  <si>
    <t xml:space="preserve">PSUT|BEV2_00841|Use|B|B</t>
  </si>
  <si>
    <t xml:space="preserve">PSUT|BEV2_00841|Supply|C|B</t>
  </si>
  <si>
    <t xml:space="preserve">PSUT|BEV2_00843|Use|H|ROW</t>
  </si>
  <si>
    <t xml:space="preserve">PSUT|BEV2_00844|Use|G|ACC</t>
  </si>
  <si>
    <t xml:space="preserve">PSUT|BEV2_00845|Use|E|ENER</t>
  </si>
  <si>
    <t xml:space="preserve">PSUT|BEV2_00855|Supply|A|ENV</t>
  </si>
  <si>
    <t xml:space="preserve">PSUT|BEV2_00860|Use|B|ENER</t>
  </si>
  <si>
    <t xml:space="preserve">PSUT|BEV2_00870|Supply|D|ROW</t>
  </si>
  <si>
    <t xml:space="preserve">PSUT|BEV2_00872|Use|G|ACC</t>
  </si>
  <si>
    <t xml:space="preserve">PSUT|BEV2_00880|Use|E|IND_BEN</t>
  </si>
  <si>
    <t xml:space="preserve">PSUT|BEV2_00884|Supply|D|ROW</t>
  </si>
  <si>
    <t xml:space="preserve">PSUT|BEV2_00885|Use|H|ROW</t>
  </si>
  <si>
    <t xml:space="preserve">PSUT|BEV2_00886|Use|G|ACC</t>
  </si>
  <si>
    <t xml:space="preserve">PSUT|BEV2_00888|Use|E|ENER</t>
  </si>
  <si>
    <t xml:space="preserve">PSUT|BEV2_00891|Use|E|TR_BEN</t>
  </si>
  <si>
    <t xml:space="preserve">PSUT|BEV2_00894|Use|E|IND_BEN</t>
  </si>
  <si>
    <t xml:space="preserve">PSUT|BEV2_00898|Supply|D|ROW</t>
  </si>
  <si>
    <t xml:space="preserve">PSUT|BEV2_00899|Use|H|ROW</t>
  </si>
  <si>
    <t xml:space="preserve">PSUT|BEV2_00902|Supply|C|ENER</t>
  </si>
  <si>
    <t xml:space="preserve">PSUT|BEV2_00903|Supply|C|ENER</t>
  </si>
  <si>
    <t xml:space="preserve">PSUT|BEV2_00904|Use|E|ENER</t>
  </si>
  <si>
    <t xml:space="preserve">PSUT|BEV2_00906|Use|F|HH</t>
  </si>
  <si>
    <t xml:space="preserve">PSUT|BEV2_00907|Use|E|SERV</t>
  </si>
  <si>
    <t xml:space="preserve">PSUT|BEV2_00908|Use|E|IND_BEN</t>
  </si>
  <si>
    <t xml:space="preserve">PSUT|BEV2_00910|Use|E|ENER</t>
  </si>
  <si>
    <t xml:space="preserve">PSUT|BEV2_00910|Supply|I|ENER</t>
  </si>
  <si>
    <t xml:space="preserve">PSUT|BEV2_00910|Use|Q|ENV</t>
  </si>
  <si>
    <t xml:space="preserve">PSUT|BEV2_00912|Supply|D|ROW</t>
  </si>
  <si>
    <t xml:space="preserve">PSUT|BEV2_00914|Use|G|ACC</t>
  </si>
  <si>
    <t xml:space="preserve">PSUT|BEV2_00916|Use|E|ENER</t>
  </si>
  <si>
    <t xml:space="preserve">PSUT|BEV2_00917|Use|E|ENER</t>
  </si>
  <si>
    <t xml:space="preserve">PSUT|BEV2_00922|Use|E|IND_BEN</t>
  </si>
  <si>
    <t xml:space="preserve">PSUT|BEV2_00926|Supply|D|ROW</t>
  </si>
  <si>
    <t xml:space="preserve">PSUT|BEV2_00927|Use|H|ROW</t>
  </si>
  <si>
    <t xml:space="preserve">PSUT|BEV2_00928|Use|G|ACC</t>
  </si>
  <si>
    <t xml:space="preserve">PSUT|BEV2_00933|Use|E|TR_BEN</t>
  </si>
  <si>
    <t xml:space="preserve">PSUT|BEV2_00935|Use|E|SERV</t>
  </si>
  <si>
    <t xml:space="preserve">PSUT|BEV2_00936|Use|E|IND_BEN</t>
  </si>
  <si>
    <t xml:space="preserve">PSUT|BEV2_00940|Supply|D|ROW</t>
  </si>
  <si>
    <t xml:space="preserve">PSUT|BEV2_00941|Use|H|ROW</t>
  </si>
  <si>
    <t xml:space="preserve">PSUT|BEV2_00942|Use|G|ACC</t>
  </si>
  <si>
    <t xml:space="preserve">PSUT|BEV2_00947|Use|E|TR_BEN</t>
  </si>
  <si>
    <t xml:space="preserve">PSUT|BEV2_00948|Use|F|HH</t>
  </si>
  <si>
    <t xml:space="preserve">PSUT|BEV2_00949|Use|E|SERV</t>
  </si>
  <si>
    <t xml:space="preserve">PSUT|BEV2_00950|Use|E|IND_BEN</t>
  </si>
  <si>
    <t xml:space="preserve">PSUT|BEV2_00954|Supply|D|ROW</t>
  </si>
  <si>
    <t xml:space="preserve">PSUT|BEV2_00955|Use|H|ROW</t>
  </si>
  <si>
    <t xml:space="preserve">PSUT|BEV2_00956|Use|G|ACC</t>
  </si>
  <si>
    <t xml:space="preserve">PSUT|BEV2_00961|Use|E|TR_BEN</t>
  </si>
  <si>
    <t xml:space="preserve">PSUT|BEV2_00968|Supply|D|ROW</t>
  </si>
  <si>
    <t xml:space="preserve">PSUT|BEV2_00969|Use|H|ROW</t>
  </si>
  <si>
    <t xml:space="preserve">PSUT|BEV2_00970|Use|G|ACC</t>
  </si>
  <si>
    <t xml:space="preserve">PSUT|BEV2_00971|Supply|C|ENER</t>
  </si>
  <si>
    <t xml:space="preserve">PSUT|STAT_2021_DOIL|Use|SD|STAT</t>
  </si>
  <si>
    <t xml:space="preserve">PSUT|STAT_2021_ELEC|Use|SD|STAT</t>
  </si>
  <si>
    <t xml:space="preserve">PSUT|STAT_2021_FOIL|Use|SD|STAT</t>
  </si>
  <si>
    <t xml:space="preserve">PSUT|STAT_2021_GAS|Use|SD|STAT</t>
  </si>
  <si>
    <t xml:space="preserve">PSUT|STAT_2021_GLP|Use|SD|STAT</t>
  </si>
  <si>
    <t xml:space="preserve">PSUT|STAT_2021_KER|Use|SD|STAT</t>
  </si>
  <si>
    <t xml:space="preserve">PSUT|NOEN_APARENTE_2021|Use|E|NO_ASIG</t>
  </si>
  <si>
    <t xml:space="preserve">PSUT|STAT_2021_PETR|Use|SD|STAT</t>
  </si>
  <si>
    <t xml:space="preserve">PSUT|BEV2_00491|Supply|C|IND_BEN</t>
  </si>
  <si>
    <t xml:space="preserve">PSUT|BEV2_00496|Use|E|ENER</t>
  </si>
  <si>
    <t xml:space="preserve">PSUT|BEV2_00497|Use|E|ENER</t>
  </si>
  <si>
    <t xml:space="preserve">PSUT|BEV2_00505|Supply|C|ENER</t>
  </si>
  <si>
    <t xml:space="preserve">PSUT|BEV2_00510|Use|E|ENER</t>
  </si>
  <si>
    <t xml:space="preserve">PSUT|BEV2_00519|Supply|A|ENV</t>
  </si>
  <si>
    <t xml:space="preserve">PSUT|BEV2_00519|Use|B|B</t>
  </si>
  <si>
    <t xml:space="preserve">PSUT|BEV2_00519|Supply|C|B</t>
  </si>
  <si>
    <t xml:space="preserve">PSUT|BEV2_00520|Supply|D|ROW</t>
  </si>
  <si>
    <t xml:space="preserve">PSUT|BEV2_00522|Use|G|ACC</t>
  </si>
  <si>
    <t xml:space="preserve">PSUT|BEV2_00524|Use|E|ENER</t>
  </si>
  <si>
    <t xml:space="preserve">PSUT|BEV2_00533|Supply|A|ENV</t>
  </si>
  <si>
    <t xml:space="preserve">PSUT|BEV2_00538|Use|B|ENER</t>
  </si>
  <si>
    <t xml:space="preserve">PSUT|BEV2_00547|Supply|A|ENV</t>
  </si>
  <si>
    <t xml:space="preserve">PSUT|BEV2_00552|Use|B|ENER</t>
  </si>
  <si>
    <t xml:space="preserve">PSUT|BEV2_00561|Supply|A|ENV</t>
  </si>
  <si>
    <t xml:space="preserve">PSUT|BEV2_00566|Use|B|ENER</t>
  </si>
  <si>
    <t xml:space="preserve">PSUT|BEV2_00567|Use|B|ENER</t>
  </si>
  <si>
    <t xml:space="preserve">PSUT|BEV2_00575|Supply|C|A</t>
  </si>
  <si>
    <t xml:space="preserve">PSUT|BEV2_00584|Use|F|HH</t>
  </si>
  <si>
    <t xml:space="preserve">PSUT|BEV2_00585|Use|E|SERV</t>
  </si>
  <si>
    <t xml:space="preserve">PSUT|BEV2_00589|Supply|A|ENV</t>
  </si>
  <si>
    <t xml:space="preserve">PSUT|BEV2_00589|Use|B|B</t>
  </si>
  <si>
    <t xml:space="preserve">PSUT|BEV2_00589|Supply|C|B</t>
  </si>
  <si>
    <t xml:space="preserve">PSUT|BEV2_00591|Use|H|ROW</t>
  </si>
  <si>
    <t xml:space="preserve">PSUT|BEV2_00592|Use|G|ACC</t>
  </si>
  <si>
    <t xml:space="preserve">PSUT|BEV2_00593|Use|E|ENER</t>
  </si>
  <si>
    <t xml:space="preserve">PSUT|BEV2_00603|Supply|A|ENV</t>
  </si>
  <si>
    <t xml:space="preserve">PSUT|BEV2_00608|Use|B|ENER</t>
  </si>
  <si>
    <t xml:space="preserve">PSUT|BEV2_00618|Supply|D|ROW</t>
  </si>
  <si>
    <t xml:space="preserve">PSUT|BEV2_00620|Use|G|ACC</t>
  </si>
  <si>
    <t xml:space="preserve">PSUT|BEV2_00628|Use|E|IND_BEN</t>
  </si>
  <si>
    <t xml:space="preserve">PSUT|BEV2_00632|Supply|D|ROW</t>
  </si>
  <si>
    <t xml:space="preserve">PSUT|BEV2_00633|Use|H|ROW</t>
  </si>
  <si>
    <t xml:space="preserve">PSUT|BEV2_00634|Use|G|ACC</t>
  </si>
  <si>
    <t xml:space="preserve">PSUT|BEV2_00636|Use|E|ENER</t>
  </si>
  <si>
    <t xml:space="preserve">PSUT|BEV2_00639|Use|E|TR_BEN</t>
  </si>
  <si>
    <t xml:space="preserve">PSUT|BEV2_00642|Use|E|IND_BEN</t>
  </si>
  <si>
    <t xml:space="preserve">PSUT|BEV2_00646|Supply|D|ROW</t>
  </si>
  <si>
    <t xml:space="preserve">PSUT|BEV2_00647|Use|H|ROW</t>
  </si>
  <si>
    <t xml:space="preserve">PSUT|BEV2_00650|Supply|C|ENER</t>
  </si>
  <si>
    <t xml:space="preserve">PSUT|BEV2_00651|Supply|C|ENER</t>
  </si>
  <si>
    <t xml:space="preserve">PSUT|BEV2_00652|Use|E|ENER</t>
  </si>
  <si>
    <t xml:space="preserve">PSUT|BEV2_00654|Use|F|HH</t>
  </si>
  <si>
    <t xml:space="preserve">PSUT|BEV2_00655|Use|E|SERV</t>
  </si>
  <si>
    <t xml:space="preserve">PSUT|BEV2_00656|Use|E|IND_BEN</t>
  </si>
  <si>
    <t xml:space="preserve">PSUT|BEV2_00658|Use|E|ENER</t>
  </si>
  <si>
    <t xml:space="preserve">PSUT|BEV2_00658|Supply|I|ENER</t>
  </si>
  <si>
    <t xml:space="preserve">PSUT|BEV2_00658|Use|Q|ENV</t>
  </si>
  <si>
    <t xml:space="preserve">PSUT|BEV2_00660|Supply|D|ROW</t>
  </si>
  <si>
    <t xml:space="preserve">PSUT|BEV2_00661|Use|H|ROW</t>
  </si>
  <si>
    <t xml:space="preserve">PSUT|BEV2_00662|Use|G|ACC</t>
  </si>
  <si>
    <t xml:space="preserve">PSUT|BEV2_00664|Use|E|ENER</t>
  </si>
  <si>
    <t xml:space="preserve">PSUT|BEV2_00665|Use|E|ENER</t>
  </si>
  <si>
    <t xml:space="preserve">PSUT|BEV2_00670|Use|E|IND_BEN</t>
  </si>
  <si>
    <t xml:space="preserve">PSUT|BEV2_00674|Supply|D|ROW</t>
  </si>
  <si>
    <t xml:space="preserve">PSUT|BEV2_00675|Use|H|ROW</t>
  </si>
  <si>
    <t xml:space="preserve">PSUT|BEV2_00676|Use|G|ACC</t>
  </si>
  <si>
    <t xml:space="preserve">PSUT|BEV2_00681|Use|E|TR_BEN</t>
  </si>
  <si>
    <t xml:space="preserve">PSUT|BEV2_00683|Use|E|SERV</t>
  </si>
  <si>
    <t xml:space="preserve">PSUT|BEV2_00684|Use|E|IND_BEN</t>
  </si>
  <si>
    <t xml:space="preserve">PSUT|BEV2_00688|Supply|D|ROW</t>
  </si>
  <si>
    <t xml:space="preserve">PSUT|BEV2_00689|Use|H|ROW</t>
  </si>
  <si>
    <t xml:space="preserve">PSUT|BEV2_00690|Use|G|ACC</t>
  </si>
  <si>
    <t xml:space="preserve">PSUT|BEV2_00695|Use|E|TR_BEN</t>
  </si>
  <si>
    <t xml:space="preserve">PSUT|BEV2_00696|Use|F|HH</t>
  </si>
  <si>
    <t xml:space="preserve">PSUT|BEV2_00697|Use|E|SERV</t>
  </si>
  <si>
    <t xml:space="preserve">PSUT|BEV2_00698|Use|E|IND_BEN</t>
  </si>
  <si>
    <t xml:space="preserve">PSUT|BEV2_00702|Supply|D|ROW</t>
  </si>
  <si>
    <t xml:space="preserve">PSUT|BEV2_00703|Use|H|ROW</t>
  </si>
  <si>
    <t xml:space="preserve">PSUT|BEV2_00704|Use|G|ACC</t>
  </si>
  <si>
    <t xml:space="preserve">PSUT|BEV2_00709|Use|E|TR_BEN</t>
  </si>
  <si>
    <t xml:space="preserve">PSUT|BEV2_00710|Use|F|HH</t>
  </si>
  <si>
    <t xml:space="preserve">PSUT|BEV2_00711|Use|E|SERV</t>
  </si>
  <si>
    <t xml:space="preserve">PSUT|BEV2_00712|Use|E|IND_BEN</t>
  </si>
  <si>
    <t xml:space="preserve">PSUT|BEV2_00716|Supply|D|ROW</t>
  </si>
  <si>
    <t xml:space="preserve">PSUT|BEV2_00717|Use|H|ROW</t>
  </si>
  <si>
    <t xml:space="preserve">PSUT|BEV2_00718|Use|G|ACC</t>
  </si>
  <si>
    <t xml:space="preserve">PSUT|BEV2_00719|Supply|C|ENER</t>
  </si>
  <si>
    <t xml:space="preserve">PSUT|STAT_2020_BCANA|Use|SD|STAT</t>
  </si>
  <si>
    <t xml:space="preserve">PSUT|STAT_2020_COQUE|Use|SD|STAT</t>
  </si>
  <si>
    <t xml:space="preserve">PSUT|STAT_2020_DOIL|Use|SD|STAT</t>
  </si>
  <si>
    <t xml:space="preserve">PSUT|STAT_2020_GAS|Use|SD|STAT</t>
  </si>
  <si>
    <t xml:space="preserve">PSUT|STAT_2020_GLP|Use|SD|STAT</t>
  </si>
  <si>
    <t xml:space="preserve">PSUT|STAT_2020_KER|Use|SD|STAT</t>
  </si>
  <si>
    <t xml:space="preserve">PSUT|NOEN_APARENTE_2020|Use|E|NO_ASIG</t>
  </si>
  <si>
    <t xml:space="preserve">PSUT|BEV2_00239|Supply|C|IND_BEN</t>
  </si>
  <si>
    <t xml:space="preserve">PSUT|BEV2_00244|Use|E|ENER</t>
  </si>
  <si>
    <t xml:space="preserve">PSUT|BEV2_00245|Use|E|ENER</t>
  </si>
  <si>
    <t xml:space="preserve">PSUT|BEV2_00253|Supply|C|ENER</t>
  </si>
  <si>
    <t xml:space="preserve">PSUT|BEV2_00258|Use|E|ENER</t>
  </si>
  <si>
    <t xml:space="preserve">PSUT|BEV2_00259|Use|E|ENER</t>
  </si>
  <si>
    <t xml:space="preserve">PSUT|BEV2_00267|Supply|A|ENV</t>
  </si>
  <si>
    <t xml:space="preserve">PSUT|BEV2_00267|Use|B|B</t>
  </si>
  <si>
    <t xml:space="preserve">PSUT|BEV2_00267|Supply|C|B</t>
  </si>
  <si>
    <t xml:space="preserve">PSUT|BEV2_00268|Supply|D|ROW</t>
  </si>
  <si>
    <t xml:space="preserve">PSUT|BEV2_00270|Use|G|ACC</t>
  </si>
  <si>
    <t xml:space="preserve">PSUT|BEV2_00272|Use|E|ENER</t>
  </si>
  <si>
    <t xml:space="preserve">PSUT|BEV2_00281|Supply|A|ENV</t>
  </si>
  <si>
    <t xml:space="preserve">PSUT|BEV2_00286|Use|B|ENER</t>
  </si>
  <si>
    <t xml:space="preserve">PSUT|BEV2_00295|Supply|A|ENV</t>
  </si>
  <si>
    <t xml:space="preserve">PSUT|BEV2_00300|Use|B|ENER</t>
  </si>
  <si>
    <t xml:space="preserve">PSUT|BEV2_00309|Supply|A|ENV</t>
  </si>
  <si>
    <t xml:space="preserve">PSUT|BEV2_00314|Use|B|ENER</t>
  </si>
  <si>
    <t xml:space="preserve">PSUT|BEV2_00315|Use|B|ENER</t>
  </si>
  <si>
    <t xml:space="preserve">PSUT|BEV2_00323|Supply|C|A</t>
  </si>
  <si>
    <t xml:space="preserve">PSUT|BEV2_00332|Use|F|HH</t>
  </si>
  <si>
    <t xml:space="preserve">PSUT|BEV2_00333|Use|E|SERV</t>
  </si>
  <si>
    <t xml:space="preserve">PSUT|BEV2_00337|Supply|A|ENV</t>
  </si>
  <si>
    <t xml:space="preserve">PSUT|BEV2_00337|Use|B|B</t>
  </si>
  <si>
    <t xml:space="preserve">PSUT|BEV2_00337|Supply|C|B</t>
  </si>
  <si>
    <t xml:space="preserve">PSUT|BEV2_00339|Use|H|ROW</t>
  </si>
  <si>
    <t xml:space="preserve">PSUT|BEV2_00340|Use|G|ACC</t>
  </si>
  <si>
    <t xml:space="preserve">PSUT|BEV2_00341|Use|E|ENER</t>
  </si>
  <si>
    <t xml:space="preserve">PSUT|BEV2_00351|Supply|A|ENV</t>
  </si>
  <si>
    <t xml:space="preserve">PSUT|BEV2_00356|Use|B|ENER</t>
  </si>
  <si>
    <t xml:space="preserve">PSUT|BEV2_00366|Supply|D|ROW</t>
  </si>
  <si>
    <t xml:space="preserve">PSUT|BEV2_00368|Use|G|ACC</t>
  </si>
  <si>
    <t xml:space="preserve">PSUT|BEV2_00376|Use|E|IND_BEN</t>
  </si>
  <si>
    <t xml:space="preserve">PSUT|BEV2_00380|Supply|D|ROW</t>
  </si>
  <si>
    <t xml:space="preserve">PSUT|BEV2_00381|Use|H|ROW</t>
  </si>
  <si>
    <t xml:space="preserve">PSUT|BEV2_00382|Use|G|ACC</t>
  </si>
  <si>
    <t xml:space="preserve">PSUT|BEV2_00384|Use|E|ENER</t>
  </si>
  <si>
    <t xml:space="preserve">PSUT|BEV2_00387|Use|E|TR_BEN</t>
  </si>
  <si>
    <t xml:space="preserve">PSUT|BEV2_00390|Use|E|IND_BEN</t>
  </si>
  <si>
    <t xml:space="preserve">PSUT|BEV2_00394|Supply|D|ROW</t>
  </si>
  <si>
    <t xml:space="preserve">PSUT|BEV2_00395|Use|H|ROW</t>
  </si>
  <si>
    <t xml:space="preserve">PSUT|BEV2_00398|Supply|C|ENER</t>
  </si>
  <si>
    <t xml:space="preserve">PSUT|BEV2_00399|Supply|C|ENER</t>
  </si>
  <si>
    <t xml:space="preserve">PSUT|BEV2_00400|Use|E|ENER</t>
  </si>
  <si>
    <t xml:space="preserve">PSUT|BEV2_00402|Use|F|HH</t>
  </si>
  <si>
    <t xml:space="preserve">PSUT|BEV2_00403|Use|E|SERV</t>
  </si>
  <si>
    <t xml:space="preserve">PSUT|BEV2_00404|Use|E|IND_BEN</t>
  </si>
  <si>
    <t xml:space="preserve">PSUT|BEV2_00406|Use|E|ENER</t>
  </si>
  <si>
    <t xml:space="preserve">PSUT|BEV2_00406|Supply|I|ENER</t>
  </si>
  <si>
    <t xml:space="preserve">PSUT|BEV2_00406|Use|Q|ENV</t>
  </si>
  <si>
    <t xml:space="preserve">PSUT|BEV2_00408|Supply|D|ROW</t>
  </si>
  <si>
    <t xml:space="preserve">PSUT|BEV2_00409|Use|H|ROW</t>
  </si>
  <si>
    <t xml:space="preserve">PSUT|BEV2_00410|Use|G|ACC</t>
  </si>
  <si>
    <t xml:space="preserve">PSUT|BEV2_00412|Use|E|ENER</t>
  </si>
  <si>
    <t xml:space="preserve">PSUT|BEV2_00413|Use|E|ENER</t>
  </si>
  <si>
    <t xml:space="preserve">PSUT|BEV2_00418|Use|E|IND_BEN</t>
  </si>
  <si>
    <t xml:space="preserve">PSUT|BEV2_00422|Supply|D|ROW</t>
  </si>
  <si>
    <t xml:space="preserve">PSUT|BEV2_00423|Use|H|ROW</t>
  </si>
  <si>
    <t xml:space="preserve">PSUT|BEV2_00424|Use|G|ACC</t>
  </si>
  <si>
    <t xml:space="preserve">PSUT|BEV2_00429|Use|E|TR_BEN</t>
  </si>
  <si>
    <t xml:space="preserve">PSUT|BEV2_00431|Use|E|SERV</t>
  </si>
  <si>
    <t xml:space="preserve">PSUT|BEV2_00432|Use|E|IND_BEN</t>
  </si>
  <si>
    <t xml:space="preserve">PSUT|BEV2_00436|Supply|D|ROW</t>
  </si>
  <si>
    <t xml:space="preserve">PSUT|BEV2_00437|Use|H|ROW</t>
  </si>
  <si>
    <t xml:space="preserve">PSUT|BEV2_00438|Use|G|ACC</t>
  </si>
  <si>
    <t xml:space="preserve">PSUT|BEV2_00443|Use|E|TR_BEN</t>
  </si>
  <si>
    <t xml:space="preserve">PSUT|BEV2_00444|Use|F|HH</t>
  </si>
  <si>
    <t xml:space="preserve">PSUT|BEV2_00445|Use|E|SERV</t>
  </si>
  <si>
    <t xml:space="preserve">PSUT|BEV2_00446|Use|E|IND_BEN</t>
  </si>
  <si>
    <t xml:space="preserve">PSUT|BEV2_00450|Supply|D|ROW</t>
  </si>
  <si>
    <t xml:space="preserve">PSUT|BEV2_00451|Use|H|ROW</t>
  </si>
  <si>
    <t xml:space="preserve">PSUT|BEV2_00452|Use|G|ACC</t>
  </si>
  <si>
    <t xml:space="preserve">PSUT|BEV2_00457|Use|E|TR_BEN</t>
  </si>
  <si>
    <t xml:space="preserve">PSUT|BEV2_00458|Use|F|HH</t>
  </si>
  <si>
    <t xml:space="preserve">PSUT|BEV2_00459|Use|E|SERV</t>
  </si>
  <si>
    <t xml:space="preserve">PSUT|BEV2_00460|Use|E|IND_BEN</t>
  </si>
  <si>
    <t xml:space="preserve">PSUT|BEV2_00464|Supply|D|ROW</t>
  </si>
  <si>
    <t xml:space="preserve">PSUT|BEV2_00465|Use|H|ROW</t>
  </si>
  <si>
    <t xml:space="preserve">PSUT|BEV2_00466|Use|G|ACC</t>
  </si>
  <si>
    <t xml:space="preserve">PSUT|BEV2_00467|Supply|C|ENER</t>
  </si>
  <si>
    <t xml:space="preserve">PSUT|STAT_2019_DOIL|Use|SD|STAT</t>
  </si>
  <si>
    <t xml:space="preserve">PSUT|STAT_2019_ELEC|Use|SD|STAT</t>
  </si>
  <si>
    <t xml:space="preserve">PSUT|GAS_USO_INTERNO_APARENTE_2019|Use|E|NO_ASIG</t>
  </si>
  <si>
    <t xml:space="preserve">PRX</t>
  </si>
  <si>
    <t xml:space="preserve">Regla de uso energético sin asignación sectorial</t>
  </si>
  <si>
    <t xml:space="preserve">Combustión sin asignación sectorial</t>
  </si>
  <si>
    <t xml:space="preserve">GAS_COMPUESTO_2019</t>
  </si>
  <si>
    <t xml:space="preserve">Actividad calculada por saldo del BEN 2019. Los factores de emisión se ponderan con los usos observados de transporte, industria y servicios.</t>
  </si>
  <si>
    <t xml:space="preserve">PSUT|STAT_2019_KER|Use|SD|STAT</t>
  </si>
  <si>
    <t xml:space="preserve">PSUT|NOEN_APARENTE_2019|Use|E|NO_ASIG</t>
  </si>
  <si>
    <t xml:space="preserve">PSUT|STAT_2019_PETR|Use|SD|STAT</t>
  </si>
  <si>
    <t xml:space="preserve">PSUT|BEV2_00001|Supply|C|IND_BEN</t>
  </si>
  <si>
    <t xml:space="preserve">PSUT|BEV2_00006|Use|E|ENER</t>
  </si>
  <si>
    <t xml:space="preserve">PSUT|BEV2_00007|Use|E|ENER</t>
  </si>
  <si>
    <t xml:space="preserve">PSUT|BEV2_00015|Supply|C|ENER</t>
  </si>
  <si>
    <t xml:space="preserve">PSUT|BEV2_00020|Use|E|ENER</t>
  </si>
  <si>
    <t xml:space="preserve">PSUT|BEV2_00021|Use|E|ENER</t>
  </si>
  <si>
    <t xml:space="preserve">PSUT|BEV2_00029|Supply|A|ENV</t>
  </si>
  <si>
    <t xml:space="preserve">PSUT|BEV2_00029|Use|B|B</t>
  </si>
  <si>
    <t xml:space="preserve">PSUT|BEV2_00029|Supply|C|B</t>
  </si>
  <si>
    <t xml:space="preserve">PSUT|BEV2_00030|Supply|D|ROW</t>
  </si>
  <si>
    <t xml:space="preserve">PSUT|BEV2_00032|Use|G|ACC</t>
  </si>
  <si>
    <t xml:space="preserve">PSUT|BEV2_00034|Use|E|ENER</t>
  </si>
  <si>
    <t xml:space="preserve">PSUT|BEV2_00043|Supply|A|ENV</t>
  </si>
  <si>
    <t xml:space="preserve">PSUT|BEV2_00048|Use|B|ENER</t>
  </si>
  <si>
    <t xml:space="preserve">PSUT|BEV2_00057|Supply|A|ENV</t>
  </si>
  <si>
    <t xml:space="preserve">PSUT|BEV2_00062|Use|B|ENER</t>
  </si>
  <si>
    <t xml:space="preserve">PSUT|BEV2_00071|Supply|A|ENV</t>
  </si>
  <si>
    <t xml:space="preserve">PSUT|BEV2_00076|Use|B|ENER</t>
  </si>
  <si>
    <t xml:space="preserve">PSUT|BEV2_00077|Use|B|ENER</t>
  </si>
  <si>
    <t xml:space="preserve">PSUT|BEV2_00085|Supply|C|A</t>
  </si>
  <si>
    <t xml:space="preserve">PSUT|BEV2_00088|Use|G|ACC</t>
  </si>
  <si>
    <t xml:space="preserve">PSUT|BEV2_00091|Use|E|ENER</t>
  </si>
  <si>
    <t xml:space="preserve">PSUT|BEV2_00094|Use|F|HH</t>
  </si>
  <si>
    <t xml:space="preserve">PSUT|BEV2_00095|Use|E|SERV</t>
  </si>
  <si>
    <t xml:space="preserve">PSUT|BEV2_00099|Supply|A|ENV</t>
  </si>
  <si>
    <t xml:space="preserve">PSUT|BEV2_00099|Use|B|B</t>
  </si>
  <si>
    <t xml:space="preserve">PSUT|BEV2_00099|Supply|C|B</t>
  </si>
  <si>
    <t xml:space="preserve">PSUT|BEV2_00101|Use|H|ROW</t>
  </si>
  <si>
    <t xml:space="preserve">PSUT|BEV2_00102|Use|G|ACC</t>
  </si>
  <si>
    <t xml:space="preserve">PSUT|BEV2_00103|Use|E|ENER</t>
  </si>
  <si>
    <t xml:space="preserve">PSUT|BEV2_00113|Supply|A|ENV</t>
  </si>
  <si>
    <t xml:space="preserve">PSUT|BEV2_00118|Use|B|ENER</t>
  </si>
  <si>
    <t xml:space="preserve">PSUT|BEV2_00128|Supply|D|ROW</t>
  </si>
  <si>
    <t xml:space="preserve">PSUT|BEV2_00130|Use|G|ACC</t>
  </si>
  <si>
    <t xml:space="preserve">PSUT|BEV2_00132|Use|E|ENER</t>
  </si>
  <si>
    <t xml:space="preserve">PSUT|BEV2_00133|Use|E|ENER</t>
  </si>
  <si>
    <t xml:space="preserve">PSUT|BEV2_00134|Use|E|ENER</t>
  </si>
  <si>
    <t xml:space="preserve">PSUT|BEV2_00138|Use|E|IND_BEN</t>
  </si>
  <si>
    <t xml:space="preserve">PSUT|BEV2_00142|Supply|D|ROW</t>
  </si>
  <si>
    <t xml:space="preserve">PSUT|BEV2_00143|Use|H|ROW</t>
  </si>
  <si>
    <t xml:space="preserve">PSUT|BEV2_00144|Use|G|ACC</t>
  </si>
  <si>
    <t xml:space="preserve">PSUT|BEV2_00145|Supply|C|ENER</t>
  </si>
  <si>
    <t xml:space="preserve">PSUT|BEV2_00146|Use|E|ENER</t>
  </si>
  <si>
    <t xml:space="preserve">PSUT|BEV2_00147|Use|E|ENER</t>
  </si>
  <si>
    <t xml:space="preserve">PSUT|BEV2_00148|Use|E|ENER</t>
  </si>
  <si>
    <t xml:space="preserve">PSUT|BEV2_00149|Use|E|TR_BEN</t>
  </si>
  <si>
    <t xml:space="preserve">PSUT|BEV2_00152|Use|E|IND_BEN</t>
  </si>
  <si>
    <t xml:space="preserve">PSUT|BEV2_00156|Supply|D|ROW</t>
  </si>
  <si>
    <t xml:space="preserve">PSUT|BEV2_00157|Use|H|ROW</t>
  </si>
  <si>
    <t xml:space="preserve">PSUT|BEV2_00160|Supply|C|ENER</t>
  </si>
  <si>
    <t xml:space="preserve">PSUT|BEV2_00161|Supply|C|ENER</t>
  </si>
  <si>
    <t xml:space="preserve">PSUT|BEV2_00162|Use|E|ENER</t>
  </si>
  <si>
    <t xml:space="preserve">PSUT|BEV2_00164|Use|F|HH</t>
  </si>
  <si>
    <t xml:space="preserve">PSUT|BEV2_00165|Use|E|SERV</t>
  </si>
  <si>
    <t xml:space="preserve">PSUT|BEV2_00166|Use|E|IND_BEN</t>
  </si>
  <si>
    <t xml:space="preserve">PSUT|BEV2_00168|Use|E|ENER</t>
  </si>
  <si>
    <t xml:space="preserve">PSUT|BEV2_00168|Supply|I|ENER</t>
  </si>
  <si>
    <t xml:space="preserve">PSUT|BEV2_00168|Use|Q|ENV</t>
  </si>
  <si>
    <t xml:space="preserve">PSUT|BEV2_00170|Supply|D|ROW</t>
  </si>
  <si>
    <t xml:space="preserve">PSUT|BEV2_00171|Use|H|ROW</t>
  </si>
  <si>
    <t xml:space="preserve">PSUT|BEV2_00172|Use|G|ACC</t>
  </si>
  <si>
    <t xml:space="preserve">PSUT|BEV2_00174|Use|E|ENER</t>
  </si>
  <si>
    <t xml:space="preserve">PSUT|BEV2_00180|Use|E|IND_BEN</t>
  </si>
  <si>
    <t xml:space="preserve">PSUT|BEV2_00184|Supply|D|ROW</t>
  </si>
  <si>
    <t xml:space="preserve">PSUT|BEV2_00185|Use|H|ROW</t>
  </si>
  <si>
    <t xml:space="preserve">PSUT|BEV2_00186|Use|G|ACC</t>
  </si>
  <si>
    <t xml:space="preserve">PSUT|BEV2_00191|Use|E|TR_BEN</t>
  </si>
  <si>
    <t xml:space="preserve">PSUT|BEV2_00193|Use|E|SERV</t>
  </si>
  <si>
    <t xml:space="preserve">PSUT|BEV2_00194|Use|E|IND_BEN</t>
  </si>
  <si>
    <t xml:space="preserve">PSUT|BEV2_00198|Supply|D|ROW</t>
  </si>
  <si>
    <t xml:space="preserve">PSUT|BEV2_00199|Use|H|ROW</t>
  </si>
  <si>
    <t xml:space="preserve">PSUT|BEV2_00200|Use|G|ACC</t>
  </si>
  <si>
    <t xml:space="preserve">PSUT|BEV2_00205|Use|E|TR_BEN</t>
  </si>
  <si>
    <t xml:space="preserve">PSUT|BEV2_00206|Use|F|HH</t>
  </si>
  <si>
    <t xml:space="preserve">PSUT|BEV2_00207|Use|E|SERV</t>
  </si>
  <si>
    <t xml:space="preserve">PSUT|BEV2_00208|Use|E|IND_BEN</t>
  </si>
  <si>
    <t xml:space="preserve">PSUT|BEV2_00212|Supply|D|ROW</t>
  </si>
  <si>
    <t xml:space="preserve">PSUT|BEV2_00213|Use|H|ROW</t>
  </si>
  <si>
    <t xml:space="preserve">PSUT|BEV2_00214|Use|G|ACC</t>
  </si>
  <si>
    <t xml:space="preserve">PSUT|BEV2_00219|Use|E|TR_BEN</t>
  </si>
  <si>
    <t xml:space="preserve">PSUT|BEV2_00220|Use|F|HH</t>
  </si>
  <si>
    <t xml:space="preserve">PSUT|BEV2_00221|Use|E|SERV</t>
  </si>
  <si>
    <t xml:space="preserve">PSUT|BEV2_00222|Use|E|IND_BEN</t>
  </si>
  <si>
    <t xml:space="preserve">PSUT|BEV2_00226|Supply|D|ROW</t>
  </si>
  <si>
    <t xml:space="preserve">PSUT|BEV2_00227|Use|H|ROW</t>
  </si>
  <si>
    <t xml:space="preserve">PSUT|BEV2_00228|Use|G|ACC</t>
  </si>
  <si>
    <t xml:space="preserve">PSUT|BEV2_00229|Supply|C|ENER</t>
  </si>
  <si>
    <t xml:space="preserve">PSUT|STAT_2018_DOIL|Use|SD|STAT</t>
  </si>
  <si>
    <t xml:space="preserve">PSUT|STAT_2018_FOIL|Use|SD|STAT</t>
  </si>
  <si>
    <t xml:space="preserve">PSUT|STAT_2018_GAS|Use|SD|STAT</t>
  </si>
  <si>
    <t xml:space="preserve">PSUT|STAT_2018_GLP|Use|SD|STAT</t>
  </si>
  <si>
    <t xml:space="preserve">PSUT|STAT_2018_KER|Use|SD|STAT</t>
  </si>
  <si>
    <t xml:space="preserve">PSUT|NOEN_APARENTE_2018|Use|E|NO_ASIG</t>
  </si>
  <si>
    <t xml:space="preserve">PSUT|STAT_2018_PETR|Use|SD|STAT</t>
  </si>
  <si>
    <t xml:space="preserve">ACTIVIDAD_REFINACION_OBS</t>
  </si>
  <si>
    <t xml:space="preserve">ADREFCRT|2018</t>
  </si>
  <si>
    <t xml:space="preserve">2018</t>
  </si>
  <si>
    <t xml:space="preserve">UNFCCC_GTM_CRT_2024</t>
  </si>
  <si>
    <t xml:space="preserve">Guatemala. 2024 Common Reporting Table (CRT)</t>
  </si>
  <si>
    <t xml:space="preserve">https://unfccc.int/reports?f%5B0%5D=corporate_author%3A206</t>
  </si>
  <si>
    <t xml:space="preserve">CRT1A|2018|1.A.1.b|AD</t>
  </si>
  <si>
    <t xml:space="preserve">Table1.A(a)s1; registro CRT1A|2018|1.A.1.b|AD</t>
  </si>
  <si>
    <t xml:space="preserve">Actividad CRT en TJ para 1.A.1.b, utilizada para el coeficiente entre actividad CRT y crudo de la PSUT; no representa el crudo total ni un factor de emisión.</t>
  </si>
  <si>
    <t xml:space="preserve">EMISION_AGRICULTURA_OBS</t>
  </si>
  <si>
    <t xml:space="preserve">AGRCRT|2018|3|CO2</t>
  </si>
  <si>
    <t xml:space="preserve">2018|3|CO2</t>
  </si>
  <si>
    <t xml:space="preserve">CRT10|2018|CO2|3</t>
  </si>
  <si>
    <t xml:space="preserve">3</t>
  </si>
  <si>
    <t xml:space="preserve">Agriculture</t>
  </si>
  <si>
    <t xml:space="preserve">AGRICULTURA_CRT</t>
  </si>
  <si>
    <t xml:space="preserve">CO2</t>
  </si>
  <si>
    <t xml:space="preserve">Table10s2; registro CRT10|2018|CO2|3</t>
  </si>
  <si>
    <t xml:space="preserve">Valor observado de Table 10 para año, categoría y gas; insumo del módulo agrícola.</t>
  </si>
  <si>
    <t xml:space="preserve">AGRCRT|2018|3|CH4</t>
  </si>
  <si>
    <t xml:space="preserve">2018|3|CH4</t>
  </si>
  <si>
    <t xml:space="preserve">CRT10|2018|CH4|3</t>
  </si>
  <si>
    <t xml:space="preserve">CH4</t>
  </si>
  <si>
    <t xml:space="preserve">NO_APLICA</t>
  </si>
  <si>
    <t xml:space="preserve">Table10s3; registro CRT10|2018|CH4|3</t>
  </si>
  <si>
    <t xml:space="preserve">AGRCRT|2018|3.A|CH4</t>
  </si>
  <si>
    <t xml:space="preserve">2018|3.A|CH4</t>
  </si>
  <si>
    <t xml:space="preserve">CRT10|2018|CH4|3.A</t>
  </si>
  <si>
    <t xml:space="preserve">3.A</t>
  </si>
  <si>
    <t xml:space="preserve">Enteric fermentation</t>
  </si>
  <si>
    <t xml:space="preserve">Table10s3; registro CRT10|2018|CH4|3.A</t>
  </si>
  <si>
    <t xml:space="preserve">AGRCRT|2018|3.B|CH4</t>
  </si>
  <si>
    <t xml:space="preserve">2018|3.B|CH4</t>
  </si>
  <si>
    <t xml:space="preserve">CRT10|2018|CH4|3.B</t>
  </si>
  <si>
    <t xml:space="preserve">3.B</t>
  </si>
  <si>
    <t xml:space="preserve">Manure management</t>
  </si>
  <si>
    <t xml:space="preserve">Table10s3; registro CRT10|2018|CH4|3.B</t>
  </si>
  <si>
    <t xml:space="preserve">AGRCRT|2018|3.C|CH4</t>
  </si>
  <si>
    <t xml:space="preserve">2018|3.C|CH4</t>
  </si>
  <si>
    <t xml:space="preserve">CRT10|2018|CH4|3.C</t>
  </si>
  <si>
    <t xml:space="preserve">3.C</t>
  </si>
  <si>
    <t xml:space="preserve">Rice cultivation</t>
  </si>
  <si>
    <t xml:space="preserve">Table10s3; registro CRT10|2018|CH4|3.C</t>
  </si>
  <si>
    <t xml:space="preserve">AGRCRT|2018|3.E|CH4</t>
  </si>
  <si>
    <t xml:space="preserve">2018|3.E|CH4</t>
  </si>
  <si>
    <t xml:space="preserve">CRT10|2018|CH4|3.E</t>
  </si>
  <si>
    <t xml:space="preserve">3.E</t>
  </si>
  <si>
    <t xml:space="preserve">Prescribed burning of savannahs</t>
  </si>
  <si>
    <t xml:space="preserve">Table10s3; registro CRT10|2018|CH4|3.E</t>
  </si>
  <si>
    <t xml:space="preserve">AGRCRT|2018|3|N2O</t>
  </si>
  <si>
    <t xml:space="preserve">2018|3|N2O</t>
  </si>
  <si>
    <t xml:space="preserve">CRT10|2018|N2O|3</t>
  </si>
  <si>
    <t xml:space="preserve">N2O</t>
  </si>
  <si>
    <t xml:space="preserve">Table10s4; registro CRT10|2018|N2O|3</t>
  </si>
  <si>
    <t xml:space="preserve">AGRCRT|2018|3.B|N2O</t>
  </si>
  <si>
    <t xml:space="preserve">2018|3.B|N2O</t>
  </si>
  <si>
    <t xml:space="preserve">CRT10|2018|N2O|3.B</t>
  </si>
  <si>
    <t xml:space="preserve">Table10s4; registro CRT10|2018|N2O|3.B</t>
  </si>
  <si>
    <t xml:space="preserve">AGRCRT|2018|3.D|N2O</t>
  </si>
  <si>
    <t xml:space="preserve">2018|3.D|N2O</t>
  </si>
  <si>
    <t xml:space="preserve">CRT10|2018|N2O|3.D</t>
  </si>
  <si>
    <t xml:space="preserve">3.D</t>
  </si>
  <si>
    <t xml:space="preserve">Agricultural soils</t>
  </si>
  <si>
    <t xml:space="preserve">Table10s4; registro CRT10|2018|N2O|3.D</t>
  </si>
  <si>
    <t xml:space="preserve">AGRCRT|2018|3.E|N2O</t>
  </si>
  <si>
    <t xml:space="preserve">2018|3.E|N2O</t>
  </si>
  <si>
    <t xml:space="preserve">CRT10|2018|N2O|3.E</t>
  </si>
  <si>
    <t xml:space="preserve">Table10s4; registro CRT10|2018|N2O|3.E</t>
  </si>
  <si>
    <t xml:space="preserve">ADREFCRT|2019</t>
  </si>
  <si>
    <t xml:space="preserve">2019</t>
  </si>
  <si>
    <t xml:space="preserve">CRT1A|2019|1.A.1.b|AD</t>
  </si>
  <si>
    <t xml:space="preserve">Table1.A(a)s1; registro CRT1A|2019|1.A.1.b|AD</t>
  </si>
  <si>
    <t xml:space="preserve">AGRCRT|2019|3|CO2</t>
  </si>
  <si>
    <t xml:space="preserve">2019|3|CO2</t>
  </si>
  <si>
    <t xml:space="preserve">CRT10|2019|CO2|3</t>
  </si>
  <si>
    <t xml:space="preserve">Table10s2; registro CRT10|2019|CO2|3</t>
  </si>
  <si>
    <t xml:space="preserve">AGRCRT|2019|3|CH4</t>
  </si>
  <si>
    <t xml:space="preserve">2019|3|CH4</t>
  </si>
  <si>
    <t xml:space="preserve">CRT10|2019|CH4|3</t>
  </si>
  <si>
    <t xml:space="preserve">Table10s3; registro CRT10|2019|CH4|3</t>
  </si>
  <si>
    <t xml:space="preserve">AGRCRT|2019|3.A|CH4</t>
  </si>
  <si>
    <t xml:space="preserve">2019|3.A|CH4</t>
  </si>
  <si>
    <t xml:space="preserve">CRT10|2019|CH4|3.A</t>
  </si>
  <si>
    <t xml:space="preserve">Table10s3; registro CRT10|2019|CH4|3.A</t>
  </si>
  <si>
    <t xml:space="preserve">AGRCRT|2019|3.B|CH4</t>
  </si>
  <si>
    <t xml:space="preserve">2019|3.B|CH4</t>
  </si>
  <si>
    <t xml:space="preserve">CRT10|2019|CH4|3.B</t>
  </si>
  <si>
    <t xml:space="preserve">Table10s3; registro CRT10|2019|CH4|3.B</t>
  </si>
  <si>
    <t xml:space="preserve">AGRCRT|2019|3.C|CH4</t>
  </si>
  <si>
    <t xml:space="preserve">2019|3.C|CH4</t>
  </si>
  <si>
    <t xml:space="preserve">CRT10|2019|CH4|3.C</t>
  </si>
  <si>
    <t xml:space="preserve">Table10s3; registro CRT10|2019|CH4|3.C</t>
  </si>
  <si>
    <t xml:space="preserve">AGRCRT|2019|3.E|CH4</t>
  </si>
  <si>
    <t xml:space="preserve">2019|3.E|CH4</t>
  </si>
  <si>
    <t xml:space="preserve">CRT10|2019|CH4|3.E</t>
  </si>
  <si>
    <t xml:space="preserve">Table10s3; registro CRT10|2019|CH4|3.E</t>
  </si>
  <si>
    <t xml:space="preserve">AGRCRT|2019|3|N2O</t>
  </si>
  <si>
    <t xml:space="preserve">2019|3|N2O</t>
  </si>
  <si>
    <t xml:space="preserve">CRT10|2019|N2O|3</t>
  </si>
  <si>
    <t xml:space="preserve">Table10s4; registro CRT10|2019|N2O|3</t>
  </si>
  <si>
    <t xml:space="preserve">AGRCRT|2019|3.B|N2O</t>
  </si>
  <si>
    <t xml:space="preserve">2019|3.B|N2O</t>
  </si>
  <si>
    <t xml:space="preserve">CRT10|2019|N2O|3.B</t>
  </si>
  <si>
    <t xml:space="preserve">Table10s4; registro CRT10|2019|N2O|3.B</t>
  </si>
  <si>
    <t xml:space="preserve">AGRCRT|2019|3.D|N2O</t>
  </si>
  <si>
    <t xml:space="preserve">2019|3.D|N2O</t>
  </si>
  <si>
    <t xml:space="preserve">CRT10|2019|N2O|3.D</t>
  </si>
  <si>
    <t xml:space="preserve">Table10s4; registro CRT10|2019|N2O|3.D</t>
  </si>
  <si>
    <t xml:space="preserve">AGRCRT|2019|3.E|N2O</t>
  </si>
  <si>
    <t xml:space="preserve">2019|3.E|N2O</t>
  </si>
  <si>
    <t xml:space="preserve">CRT10|2019|N2O|3.E</t>
  </si>
  <si>
    <t xml:space="preserve">Table10s4; registro CRT10|2019|N2O|3.E</t>
  </si>
  <si>
    <t xml:space="preserve">ADREFCRT|2020</t>
  </si>
  <si>
    <t xml:space="preserve">2020</t>
  </si>
  <si>
    <t xml:space="preserve">CRT1A|2020|1.A.1.b|AD</t>
  </si>
  <si>
    <t xml:space="preserve">Table1.A(a)s1; registro CRT1A|2020|1.A.1.b|AD</t>
  </si>
  <si>
    <t xml:space="preserve">AGRCRT|2020|3|CO2</t>
  </si>
  <si>
    <t xml:space="preserve">2020|3|CO2</t>
  </si>
  <si>
    <t xml:space="preserve">CRT10|2020|CO2|3</t>
  </si>
  <si>
    <t xml:space="preserve">Table10s2; registro CRT10|2020|CO2|3</t>
  </si>
  <si>
    <t xml:space="preserve">AGRCRT|2020|3|CH4</t>
  </si>
  <si>
    <t xml:space="preserve">2020|3|CH4</t>
  </si>
  <si>
    <t xml:space="preserve">CRT10|2020|CH4|3</t>
  </si>
  <si>
    <t xml:space="preserve">Table10s3; registro CRT10|2020|CH4|3</t>
  </si>
  <si>
    <t xml:space="preserve">AGRCRT|2020|3.A|CH4</t>
  </si>
  <si>
    <t xml:space="preserve">2020|3.A|CH4</t>
  </si>
  <si>
    <t xml:space="preserve">CRT10|2020|CH4|3.A</t>
  </si>
  <si>
    <t xml:space="preserve">Table10s3; registro CRT10|2020|CH4|3.A</t>
  </si>
  <si>
    <t xml:space="preserve">AGRCRT|2020|3.B|CH4</t>
  </si>
  <si>
    <t xml:space="preserve">2020|3.B|CH4</t>
  </si>
  <si>
    <t xml:space="preserve">CRT10|2020|CH4|3.B</t>
  </si>
  <si>
    <t xml:space="preserve">Table10s3; registro CRT10|2020|CH4|3.B</t>
  </si>
  <si>
    <t xml:space="preserve">AGRCRT|2020|3.C|CH4</t>
  </si>
  <si>
    <t xml:space="preserve">2020|3.C|CH4</t>
  </si>
  <si>
    <t xml:space="preserve">CRT10|2020|CH4|3.C</t>
  </si>
  <si>
    <t xml:space="preserve">Table10s3; registro CRT10|2020|CH4|3.C</t>
  </si>
  <si>
    <t xml:space="preserve">AGRCRT|2020|3.E|CH4</t>
  </si>
  <si>
    <t xml:space="preserve">2020|3.E|CH4</t>
  </si>
  <si>
    <t xml:space="preserve">CRT10|2020|CH4|3.E</t>
  </si>
  <si>
    <t xml:space="preserve">Table10s3; registro CRT10|2020|CH4|3.E</t>
  </si>
  <si>
    <t xml:space="preserve">AGRCRT|2020|3|N2O</t>
  </si>
  <si>
    <t xml:space="preserve">2020|3|N2O</t>
  </si>
  <si>
    <t xml:space="preserve">CRT10|2020|N2O|3</t>
  </si>
  <si>
    <t xml:space="preserve">Table10s4; registro CRT10|2020|N2O|3</t>
  </si>
  <si>
    <t xml:space="preserve">AGRCRT|2020|3.B|N2O</t>
  </si>
  <si>
    <t xml:space="preserve">2020|3.B|N2O</t>
  </si>
  <si>
    <t xml:space="preserve">CRT10|2020|N2O|3.B</t>
  </si>
  <si>
    <t xml:space="preserve">Table10s4; registro CRT10|2020|N2O|3.B</t>
  </si>
  <si>
    <t xml:space="preserve">AGRCRT|2020|3.D|N2O</t>
  </si>
  <si>
    <t xml:space="preserve">2020|3.D|N2O</t>
  </si>
  <si>
    <t xml:space="preserve">CRT10|2020|N2O|3.D</t>
  </si>
  <si>
    <t xml:space="preserve">Table10s4; registro CRT10|2020|N2O|3.D</t>
  </si>
  <si>
    <t xml:space="preserve">AGRCRT|2020|3.E|N2O</t>
  </si>
  <si>
    <t xml:space="preserve">2020|3.E|N2O</t>
  </si>
  <si>
    <t xml:space="preserve">CRT10|2020|N2O|3.E</t>
  </si>
  <si>
    <t xml:space="preserve">Table10s4; registro CRT10|2020|N2O|3.E</t>
  </si>
  <si>
    <t xml:space="preserve">ADREFCRT|2021</t>
  </si>
  <si>
    <t xml:space="preserve">2021</t>
  </si>
  <si>
    <t xml:space="preserve">CRT1A|2021|1.A.1.b|AD</t>
  </si>
  <si>
    <t xml:space="preserve">Table1.A(a)s1; registro CRT1A|2021|1.A.1.b|AD</t>
  </si>
  <si>
    <t xml:space="preserve">AGRCRT|2021|3|CO2</t>
  </si>
  <si>
    <t xml:space="preserve">2021|3|CO2</t>
  </si>
  <si>
    <t xml:space="preserve">CRT10|2021|CO2|3</t>
  </si>
  <si>
    <t xml:space="preserve">Table10s2; registro CRT10|2021|CO2|3</t>
  </si>
  <si>
    <t xml:space="preserve">AGRCRT|2021|3|CH4</t>
  </si>
  <si>
    <t xml:space="preserve">2021|3|CH4</t>
  </si>
  <si>
    <t xml:space="preserve">CRT10|2021|CH4|3</t>
  </si>
  <si>
    <t xml:space="preserve">Table10s3; registro CRT10|2021|CH4|3</t>
  </si>
  <si>
    <t xml:space="preserve">AGRCRT|2021|3.A|CH4</t>
  </si>
  <si>
    <t xml:space="preserve">2021|3.A|CH4</t>
  </si>
  <si>
    <t xml:space="preserve">CRT10|2021|CH4|3.A</t>
  </si>
  <si>
    <t xml:space="preserve">Table10s3; registro CRT10|2021|CH4|3.A</t>
  </si>
  <si>
    <t xml:space="preserve">AGRCRT|2021|3.B|CH4</t>
  </si>
  <si>
    <t xml:space="preserve">2021|3.B|CH4</t>
  </si>
  <si>
    <t xml:space="preserve">CRT10|2021|CH4|3.B</t>
  </si>
  <si>
    <t xml:space="preserve">Table10s3; registro CRT10|2021|CH4|3.B</t>
  </si>
  <si>
    <t xml:space="preserve">AGRCRT|2021|3.C|CH4</t>
  </si>
  <si>
    <t xml:space="preserve">2021|3.C|CH4</t>
  </si>
  <si>
    <t xml:space="preserve">CRT10|2021|CH4|3.C</t>
  </si>
  <si>
    <t xml:space="preserve">Table10s3; registro CRT10|2021|CH4|3.C</t>
  </si>
  <si>
    <t xml:space="preserve">AGRCRT|2021|3.E|CH4</t>
  </si>
  <si>
    <t xml:space="preserve">2021|3.E|CH4</t>
  </si>
  <si>
    <t xml:space="preserve">CRT10|2021|CH4|3.E</t>
  </si>
  <si>
    <t xml:space="preserve">Table10s3; registro CRT10|2021|CH4|3.E</t>
  </si>
  <si>
    <t xml:space="preserve">AGRCRT|2021|3|N2O</t>
  </si>
  <si>
    <t xml:space="preserve">2021|3|N2O</t>
  </si>
  <si>
    <t xml:space="preserve">CRT10|2021|N2O|3</t>
  </si>
  <si>
    <t xml:space="preserve">Table10s4; registro CRT10|2021|N2O|3</t>
  </si>
  <si>
    <t xml:space="preserve">AGRCRT|2021|3.B|N2O</t>
  </si>
  <si>
    <t xml:space="preserve">2021|3.B|N2O</t>
  </si>
  <si>
    <t xml:space="preserve">CRT10|2021|N2O|3.B</t>
  </si>
  <si>
    <t xml:space="preserve">Table10s4; registro CRT10|2021|N2O|3.B</t>
  </si>
  <si>
    <t xml:space="preserve">AGRCRT|2021|3.D|N2O</t>
  </si>
  <si>
    <t xml:space="preserve">2021|3.D|N2O</t>
  </si>
  <si>
    <t xml:space="preserve">CRT10|2021|N2O|3.D</t>
  </si>
  <si>
    <t xml:space="preserve">Table10s4; registro CRT10|2021|N2O|3.D</t>
  </si>
  <si>
    <t xml:space="preserve">AGRCRT|2021|3.E|N2O</t>
  </si>
  <si>
    <t xml:space="preserve">2021|3.E|N2O</t>
  </si>
  <si>
    <t xml:space="preserve">CRT10|2021|N2O|3.E</t>
  </si>
  <si>
    <t xml:space="preserve">Table10s4; registro CRT10|2021|N2O|3.E</t>
  </si>
  <si>
    <t xml:space="preserve">ADREFCRT|2022</t>
  </si>
  <si>
    <t xml:space="preserve">2022</t>
  </si>
  <si>
    <t xml:space="preserve">CRT1A|2022|1.A.1.b|AD</t>
  </si>
  <si>
    <t xml:space="preserve">Table1.A(a)s1; registro CRT1A|2022|1.A.1.b|AD</t>
  </si>
  <si>
    <t xml:space="preserve">AGRCRT|2022|3|CO2</t>
  </si>
  <si>
    <t xml:space="preserve">2022|3|CO2</t>
  </si>
  <si>
    <t xml:space="preserve">CRT10|2022|CO2|3</t>
  </si>
  <si>
    <t xml:space="preserve">Table10s2; registro CRT10|2022|CO2|3</t>
  </si>
  <si>
    <t xml:space="preserve">AGRCRT|2022|3|CH4</t>
  </si>
  <si>
    <t xml:space="preserve">2022|3|CH4</t>
  </si>
  <si>
    <t xml:space="preserve">CRT10|2022|CH4|3</t>
  </si>
  <si>
    <t xml:space="preserve">Table10s3; registro CRT10|2022|CH4|3</t>
  </si>
  <si>
    <t xml:space="preserve">AGRCRT|2022|3.A|CH4</t>
  </si>
  <si>
    <t xml:space="preserve">2022|3.A|CH4</t>
  </si>
  <si>
    <t xml:space="preserve">CRT10|2022|CH4|3.A</t>
  </si>
  <si>
    <t xml:space="preserve">Table10s3; registro CRT10|2022|CH4|3.A</t>
  </si>
  <si>
    <t xml:space="preserve">AGRCRT|2022|3.B|CH4</t>
  </si>
  <si>
    <t xml:space="preserve">2022|3.B|CH4</t>
  </si>
  <si>
    <t xml:space="preserve">CRT10|2022|CH4|3.B</t>
  </si>
  <si>
    <t xml:space="preserve">Table10s3; registro CRT10|2022|CH4|3.B</t>
  </si>
  <si>
    <t xml:space="preserve">AGRCRT|2022|3.C|CH4</t>
  </si>
  <si>
    <t xml:space="preserve">2022|3.C|CH4</t>
  </si>
  <si>
    <t xml:space="preserve">CRT10|2022|CH4|3.C</t>
  </si>
  <si>
    <t xml:space="preserve">Table10s3; registro CRT10|2022|CH4|3.C</t>
  </si>
  <si>
    <t xml:space="preserve">AGRCRT|2022|3.E|CH4</t>
  </si>
  <si>
    <t xml:space="preserve">2022|3.E|CH4</t>
  </si>
  <si>
    <t xml:space="preserve">CRT10|2022|CH4|3.E</t>
  </si>
  <si>
    <t xml:space="preserve">Table10s3; registro CRT10|2022|CH4|3.E</t>
  </si>
  <si>
    <t xml:space="preserve">AGRCRT|2022|3|N2O</t>
  </si>
  <si>
    <t xml:space="preserve">2022|3|N2O</t>
  </si>
  <si>
    <t xml:space="preserve">CRT10|2022|N2O|3</t>
  </si>
  <si>
    <t xml:space="preserve">Table10s4; registro CRT10|2022|N2O|3</t>
  </si>
  <si>
    <t xml:space="preserve">AGRCRT|2022|3.B|N2O</t>
  </si>
  <si>
    <t xml:space="preserve">2022|3.B|N2O</t>
  </si>
  <si>
    <t xml:space="preserve">CRT10|2022|N2O|3.B</t>
  </si>
  <si>
    <t xml:space="preserve">Table10s4; registro CRT10|2022|N2O|3.B</t>
  </si>
  <si>
    <t xml:space="preserve">AGRCRT|2022|3.D|N2O</t>
  </si>
  <si>
    <t xml:space="preserve">2022|3.D|N2O</t>
  </si>
  <si>
    <t xml:space="preserve">CRT10|2022|N2O|3.D</t>
  </si>
  <si>
    <t xml:space="preserve">Table10s4; registro CRT10|2022|N2O|3.D</t>
  </si>
  <si>
    <t xml:space="preserve">AGRCRT|2022|3.E|N2O</t>
  </si>
  <si>
    <t xml:space="preserve">2022|3.E|N2O</t>
  </si>
  <si>
    <t xml:space="preserve">CRT10|2022|N2O|3.E</t>
  </si>
  <si>
    <t xml:space="preserve">Table10s4; registro CRT10|2022|N2O|3.E</t>
  </si>
  <si>
    <t xml:space="preserve">VAB_AGRICULTURA</t>
  </si>
  <si>
    <t xml:space="preserve">VABAGR|2018</t>
  </si>
  <si>
    <t xml:space="preserve">BANGUAT_SCN_2013</t>
  </si>
  <si>
    <t xml:space="preserve">Producto Interno Bruto anual — Cuentas Nacionales, referencia 2013</t>
  </si>
  <si>
    <t xml:space="preserve">https://banguat.gob.gt/page/producto-interno-bruto-anual</t>
  </si>
  <si>
    <t xml:space="preserve">BANGUAT|VAB_A|2018</t>
  </si>
  <si>
    <t xml:space="preserve">millones de quetzales de 2013</t>
  </si>
  <si>
    <t xml:space="preserve">PIB por actividad a precios constantes; registro BANGUAT|VAB_A|2018</t>
  </si>
  <si>
    <t xml:space="preserve">VAB real de Agricultura, ganadería, silvicultura y pesca a precios constantes de 2013; utilizado únicamente como índice temporal para 2023–2024.</t>
  </si>
  <si>
    <t xml:space="preserve">VABAGR|2019</t>
  </si>
  <si>
    <t xml:space="preserve">BANGUAT|VAB_A|2019</t>
  </si>
  <si>
    <t xml:space="preserve">PIB por actividad a precios constantes; registro BANGUAT|VAB_A|2019</t>
  </si>
  <si>
    <t xml:space="preserve">VABAGR|2020</t>
  </si>
  <si>
    <t xml:space="preserve">BANGUAT|VAB_A|2020</t>
  </si>
  <si>
    <t xml:space="preserve">PIB por actividad a precios constantes; registro BANGUAT|VAB_A|2020</t>
  </si>
  <si>
    <t xml:space="preserve">VABAGR|2021</t>
  </si>
  <si>
    <t xml:space="preserve">BANGUAT|VAB_A|2021</t>
  </si>
  <si>
    <t xml:space="preserve">PIB por actividad a precios constantes; registro BANGUAT|VAB_A|2021</t>
  </si>
  <si>
    <t xml:space="preserve">VABAGR|2022</t>
  </si>
  <si>
    <t xml:space="preserve">BANGUAT|VAB_A|2022</t>
  </si>
  <si>
    <t xml:space="preserve">PIB por actividad a precios constantes; registro BANGUAT|VAB_A|2022</t>
  </si>
  <si>
    <t xml:space="preserve">VABAGR|2023</t>
  </si>
  <si>
    <t xml:space="preserve">2023</t>
  </si>
  <si>
    <t xml:space="preserve">BANGUAT|VAB_A|2023</t>
  </si>
  <si>
    <t xml:space="preserve">PIB por actividad a precios constantes; registro BANGUAT|VAB_A|2023</t>
  </si>
  <si>
    <t xml:space="preserve">Cifra preliminar. VAB real de Agricultura, ganadería, silvicultura y pesca a precios constantes de 2013; utilizado únicamente como índice temporal para 2023–2024.</t>
  </si>
  <si>
    <t xml:space="preserve">VABAGR|2024</t>
  </si>
  <si>
    <t xml:space="preserve">2024</t>
  </si>
  <si>
    <t xml:space="preserve">BANGUAT|VAB_A|2024</t>
  </si>
  <si>
    <t xml:space="preserve">PIB por actividad a precios constantes; registro BANGUAT|VAB_A|2024</t>
  </si>
  <si>
    <t xml:space="preserve">FACTOR_EMISION_OBS</t>
  </si>
  <si>
    <t xml:space="preserve">FE_COMB|2018|1.A.1.a.i|BIOMASS|CO2</t>
  </si>
  <si>
    <t xml:space="preserve">2018|1.A.1.a.i|BIOMASS|CO2</t>
  </si>
  <si>
    <t xml:space="preserve">CRT1A|2018|1.A.1.a.i|BIOMASS|CO2</t>
  </si>
  <si>
    <t xml:space="preserve">CRT_ANUAL</t>
  </si>
  <si>
    <t xml:space="preserve">kg CO2/TJ</t>
  </si>
  <si>
    <t xml:space="preserve">Table1.A(a)s1; registro CRT1A|2018|1.A.1.a.i|BIOMASS|CO2</t>
  </si>
  <si>
    <t xml:space="preserve">Factor implícito anual derivado de actividad y emisión CRT del mismo año, categoría, grupo y gas. Registro CRT: CRT1A|2018|1.A.1.a.i|BIOMASS|CO2.</t>
  </si>
  <si>
    <t xml:space="preserve">FE_COMB|2018|1.A.1.a.i|BIOMASS|CH4</t>
  </si>
  <si>
    <t xml:space="preserve">2018|1.A.1.a.i|BIOMASS|CH4</t>
  </si>
  <si>
    <t xml:space="preserve">CRT1A|2018|1.A.1.a.i|BIOMASS|CH4</t>
  </si>
  <si>
    <t xml:space="preserve">kg CH4/TJ</t>
  </si>
  <si>
    <t xml:space="preserve">Table1.A(a)s1; registro CRT1A|2018|1.A.1.a.i|BIOMASS|CH4</t>
  </si>
  <si>
    <t xml:space="preserve">Factor implícito anual derivado de actividad y emisión CRT del mismo año, categoría, grupo y gas. Registro CRT: CRT1A|2018|1.A.1.a.i|BIOMASS|CH4.</t>
  </si>
  <si>
    <t xml:space="preserve">FE_COMB|2018|1.A.1.a.i|BIOMASS|N2O</t>
  </si>
  <si>
    <t xml:space="preserve">2018|1.A.1.a.i|BIOMASS|N2O</t>
  </si>
  <si>
    <t xml:space="preserve">CRT1A|2018|1.A.1.a.i|BIOMASS|N2O</t>
  </si>
  <si>
    <t xml:space="preserve">kg N2O/TJ</t>
  </si>
  <si>
    <t xml:space="preserve">Table1.A(a)s1; registro CRT1A|2018|1.A.1.a.i|BIOMASS|N2O</t>
  </si>
  <si>
    <t xml:space="preserve">Factor implícito anual derivado de actividad y emisión CRT del mismo año, categoría, grupo y gas. Registro CRT: CRT1A|2018|1.A.1.a.i|BIOMASS|N2O.</t>
  </si>
  <si>
    <t xml:space="preserve">FE_COMB|2018|1.A.1.a.i|SOLID_FUELS|CO2</t>
  </si>
  <si>
    <t xml:space="preserve">2018|1.A.1.a.i|SOLID_FUELS|CO2</t>
  </si>
  <si>
    <t xml:space="preserve">CRT1A|2018|1.A.1.a.i|SOLID_FUELS|CO2</t>
  </si>
  <si>
    <t xml:space="preserve">Table1.A(a)s1; registro CRT1A|2018|1.A.1.a.i|SOLID_FUELS|CO2</t>
  </si>
  <si>
    <t xml:space="preserve">Factor implícito anual derivado de actividad y emisión CRT del mismo año, categoría, grupo y gas. Registro CRT: CRT1A|2018|1.A.1.a.i|SOLID_FUELS|CO2.</t>
  </si>
  <si>
    <t xml:space="preserve">FE_COMB|2018|1.A.1.a.i|SOLID_FUELS|CH4</t>
  </si>
  <si>
    <t xml:space="preserve">2018|1.A.1.a.i|SOLID_FUELS|CH4</t>
  </si>
  <si>
    <t xml:space="preserve">CRT1A|2018|1.A.1.a.i|SOLID_FUELS|CH4</t>
  </si>
  <si>
    <t xml:space="preserve">Table1.A(a)s1; registro CRT1A|2018|1.A.1.a.i|SOLID_FUELS|CH4</t>
  </si>
  <si>
    <t xml:space="preserve">Factor implícito anual derivado de actividad y emisión CRT del mismo año, categoría, grupo y gas. Registro CRT: CRT1A|2018|1.A.1.a.i|SOLID_FUELS|CH4.</t>
  </si>
  <si>
    <t xml:space="preserve">FE_COMB|2018|1.A.1.a.i|SOLID_FUELS|N2O</t>
  </si>
  <si>
    <t xml:space="preserve">2018|1.A.1.a.i|SOLID_FUELS|N2O</t>
  </si>
  <si>
    <t xml:space="preserve">CRT1A|2018|1.A.1.a.i|SOLID_FUELS|N2O</t>
  </si>
  <si>
    <t xml:space="preserve">Table1.A(a)s1; registro CRT1A|2018|1.A.1.a.i|SOLID_FUELS|N2O</t>
  </si>
  <si>
    <t xml:space="preserve">Factor implícito anual derivado de actividad y emisión CRT del mismo año, categoría, grupo y gas. Registro CRT: CRT1A|2018|1.A.1.a.i|SOLID_FUELS|N2O.</t>
  </si>
  <si>
    <t xml:space="preserve">FE_COMB|2018|1.A.1.a.i|LIQUID_FUELS|CO2</t>
  </si>
  <si>
    <t xml:space="preserve">2018|1.A.1.a.i|LIQUID_FUELS|CO2</t>
  </si>
  <si>
    <t xml:space="preserve">CRT1A|2018|1.A.1.a.i|LIQUID_FUELS|CO2</t>
  </si>
  <si>
    <t xml:space="preserve">Table1.A(a)s1; registro CRT1A|2018|1.A.1.a.i|LIQUID_FUELS|CO2</t>
  </si>
  <si>
    <t xml:space="preserve">Factor implícito anual derivado de actividad y emisión CRT del mismo año, categoría, grupo y gas. Registro CRT: CRT1A|2018|1.A.1.a.i|LIQUID_FUELS|CO2.</t>
  </si>
  <si>
    <t xml:space="preserve">FE_COMB|2018|1.A.1.a.i|LIQUID_FUELS|CH4</t>
  </si>
  <si>
    <t xml:space="preserve">2018|1.A.1.a.i|LIQUID_FUELS|CH4</t>
  </si>
  <si>
    <t xml:space="preserve">CRT1A|2018|1.A.1.a.i|LIQUID_FUELS|CH4</t>
  </si>
  <si>
    <t xml:space="preserve">Table1.A(a)s1; registro CRT1A|2018|1.A.1.a.i|LIQUID_FUELS|CH4</t>
  </si>
  <si>
    <t xml:space="preserve">Factor implícito anual derivado de actividad y emisión CRT del mismo año, categoría, grupo y gas. Registro CRT: CRT1A|2018|1.A.1.a.i|LIQUID_FUELS|CH4.</t>
  </si>
  <si>
    <t xml:space="preserve">FE_COMB|2018|1.A.1.a.i|LIQUID_FUELS|N2O</t>
  </si>
  <si>
    <t xml:space="preserve">2018|1.A.1.a.i|LIQUID_FUELS|N2O</t>
  </si>
  <si>
    <t xml:space="preserve">CRT1A|2018|1.A.1.a.i|LIQUID_FUELS|N2O</t>
  </si>
  <si>
    <t xml:space="preserve">Table1.A(a)s1; registro CRT1A|2018|1.A.1.a.i|LIQUID_FUELS|N2O</t>
  </si>
  <si>
    <t xml:space="preserve">Factor implícito anual derivado de actividad y emisión CRT del mismo año, categoría, grupo y gas. Registro CRT: CRT1A|2018|1.A.1.a.i|LIQUID_FUELS|N2O.</t>
  </si>
  <si>
    <t xml:space="preserve">FE_COMB|2018|1.A.1.a.i|GASEOUS_FUELS|CO2</t>
  </si>
  <si>
    <t xml:space="preserve">2018|1.A.1.a.i|GASEOUS_FUELS|CO2</t>
  </si>
  <si>
    <t xml:space="preserve">Table1.A; localizador a nivel de tabla; sin registro numérico</t>
  </si>
  <si>
    <t xml:space="preserve">Se conserva el estado NO porque la fuente no aporta un factor numérico para la clave interna FE_COMB|2018|1.A.1.a.i|GASEOUS_FUELS|CO2.</t>
  </si>
  <si>
    <t xml:space="preserve">FE_COMB|2018|1.A.1.a.i|GASEOUS_FUELS|CH4</t>
  </si>
  <si>
    <t xml:space="preserve">2018|1.A.1.a.i|GASEOUS_FUELS|CH4</t>
  </si>
  <si>
    <t xml:space="preserve">Se conserva el estado NO porque la fuente no aporta un factor numérico para la clave interna FE_COMB|2018|1.A.1.a.i|GASEOUS_FUELS|CH4.</t>
  </si>
  <si>
    <t xml:space="preserve">FE_COMB|2018|1.A.1.a.i|GASEOUS_FUELS|N2O</t>
  </si>
  <si>
    <t xml:space="preserve">2018|1.A.1.a.i|GASEOUS_FUELS|N2O</t>
  </si>
  <si>
    <t xml:space="preserve">Se conserva el estado NO porque la fuente no aporta un factor numérico para la clave interna FE_COMB|2018|1.A.1.a.i|GASEOUS_FUELS|N2O.</t>
  </si>
  <si>
    <t xml:space="preserve">FE_COMB|2018|1.A.1.b|LIQUID_FUELS|CO2</t>
  </si>
  <si>
    <t xml:space="preserve">2018|1.A.1.b|LIQUID_FUELS|CO2</t>
  </si>
  <si>
    <t xml:space="preserve">CRT1A|2018|1.A.1.b|LIQUID_FUELS|CO2</t>
  </si>
  <si>
    <t xml:space="preserve">Table1.A(a)s1; registro CRT1A|2018|1.A.1.b|LIQUID_FUELS|CO2</t>
  </si>
  <si>
    <t xml:space="preserve">Factor implícito anual derivado de actividad y emisión CRT del mismo año, categoría, grupo y gas. Registro CRT: CRT1A|2018|1.A.1.b|LIQUID_FUELS|CO2.</t>
  </si>
  <si>
    <t xml:space="preserve">FE_COMB|2018|1.A.1.b|LIQUID_FUELS|CH4</t>
  </si>
  <si>
    <t xml:space="preserve">2018|1.A.1.b|LIQUID_FUELS|CH4</t>
  </si>
  <si>
    <t xml:space="preserve">CRT1A|2018|1.A.1.b|LIQUID_FUELS|CH4</t>
  </si>
  <si>
    <t xml:space="preserve">Table1.A(a)s1; registro CRT1A|2018|1.A.1.b|LIQUID_FUELS|CH4</t>
  </si>
  <si>
    <t xml:space="preserve">Factor implícito anual derivado de actividad y emisión CRT del mismo año, categoría, grupo y gas. Registro CRT: CRT1A|2018|1.A.1.b|LIQUID_FUELS|CH4.</t>
  </si>
  <si>
    <t xml:space="preserve">FE_COMB|2018|1.A.1.b|LIQUID_FUELS|N2O</t>
  </si>
  <si>
    <t xml:space="preserve">2018|1.A.1.b|LIQUID_FUELS|N2O</t>
  </si>
  <si>
    <t xml:space="preserve">CRT1A|2018|1.A.1.b|LIQUID_FUELS|N2O</t>
  </si>
  <si>
    <t xml:space="preserve">Table1.A(a)s1; registro CRT1A|2018|1.A.1.b|LIQUID_FUELS|N2O</t>
  </si>
  <si>
    <t xml:space="preserve">Factor implícito anual derivado de actividad y emisión CRT del mismo año, categoría, grupo y gas. Registro CRT: CRT1A|2018|1.A.1.b|LIQUID_FUELS|N2O.</t>
  </si>
  <si>
    <t xml:space="preserve">FE_COMB|2018|1.A.2|AGREGADO_FOSIL|CO2</t>
  </si>
  <si>
    <t xml:space="preserve">2018|1.A.2|AGREGADO_FOSIL|CO2</t>
  </si>
  <si>
    <t xml:space="preserve">CRT1A|2018|1.A.2|AGREGADO_FOSIL|CO2</t>
  </si>
  <si>
    <t xml:space="preserve">Table1.A(a)s2; registro CRT1A|2018|1.A.2|AGREGADO_FOSIL|CO2</t>
  </si>
  <si>
    <t xml:space="preserve">Factor implícito anual derivado de actividad y emisión CRT del mismo año, categoría, grupo y gas. Registro CRT: CRT1A|2018|1.A.2|AGREGADO_FOSIL|CO2.</t>
  </si>
  <si>
    <t xml:space="preserve">FE_COMB|2018|1.A.2|AGREGADO_FOSIL|CH4</t>
  </si>
  <si>
    <t xml:space="preserve">2018|1.A.2|AGREGADO_FOSIL|CH4</t>
  </si>
  <si>
    <t xml:space="preserve">CRT1A|2018|1.A.2|AGREGADO_FOSIL|CH4</t>
  </si>
  <si>
    <t xml:space="preserve">Table1.A(a)s2; registro CRT1A|2018|1.A.2|AGREGADO_FOSIL|CH4</t>
  </si>
  <si>
    <t xml:space="preserve">Factor implícito anual derivado de actividad y emisión CRT del mismo año, categoría, grupo y gas. Registro CRT: CRT1A|2018|1.A.2|AGREGADO_FOSIL|CH4.</t>
  </si>
  <si>
    <t xml:space="preserve">FE_COMB|2018|1.A.2|AGREGADO_FOSIL|N2O</t>
  </si>
  <si>
    <t xml:space="preserve">2018|1.A.2|AGREGADO_FOSIL|N2O</t>
  </si>
  <si>
    <t xml:space="preserve">CRT1A|2018|1.A.2|AGREGADO_FOSIL|N2O</t>
  </si>
  <si>
    <t xml:space="preserve">Table1.A(a)s2; registro CRT1A|2018|1.A.2|AGREGADO_FOSIL|N2O</t>
  </si>
  <si>
    <t xml:space="preserve">Factor implícito anual derivado de actividad y emisión CRT del mismo año, categoría, grupo y gas. Registro CRT: CRT1A|2018|1.A.2|AGREGADO_FOSIL|N2O.</t>
  </si>
  <si>
    <t xml:space="preserve">FE_COMB|2018|1.A.3|AGREGADO_FOSIL|CO2</t>
  </si>
  <si>
    <t xml:space="preserve">2018|1.A.3|AGREGADO_FOSIL|CO2</t>
  </si>
  <si>
    <t xml:space="preserve">CRT1A|2018|1.A.3|AGREGADO_FOSIL|CO2</t>
  </si>
  <si>
    <t xml:space="preserve">Table1.A(a)s3; registro CRT1A|2018|1.A.3|AGREGADO_FOSIL|CO2</t>
  </si>
  <si>
    <t xml:space="preserve">Factor implícito anual derivado de actividad y emisión CRT del mismo año, categoría, grupo y gas. Registro CRT: CRT1A|2018|1.A.3|AGREGADO_FOSIL|CO2.</t>
  </si>
  <si>
    <t xml:space="preserve">FE_COMB|2018|1.A.3|AGREGADO_FOSIL|CH4</t>
  </si>
  <si>
    <t xml:space="preserve">2018|1.A.3|AGREGADO_FOSIL|CH4</t>
  </si>
  <si>
    <t xml:space="preserve">CRT1A|2018|1.A.3|AGREGADO_FOSIL|CH4</t>
  </si>
  <si>
    <t xml:space="preserve">Table1.A(a)s3; registro CRT1A|2018|1.A.3|AGREGADO_FOSIL|CH4</t>
  </si>
  <si>
    <t xml:space="preserve">Factor implícito anual derivado de actividad y emisión CRT del mismo año, categoría, grupo y gas. Registro CRT: CRT1A|2018|1.A.3|AGREGADO_FOSIL|CH4.</t>
  </si>
  <si>
    <t xml:space="preserve">FE_COMB|2018|1.A.3|AGREGADO_FOSIL|N2O</t>
  </si>
  <si>
    <t xml:space="preserve">2018|1.A.3|AGREGADO_FOSIL|N2O</t>
  </si>
  <si>
    <t xml:space="preserve">CRT1A|2018|1.A.3|AGREGADO_FOSIL|N2O</t>
  </si>
  <si>
    <t xml:space="preserve">Table1.A(a)s3; registro CRT1A|2018|1.A.3|AGREGADO_FOSIL|N2O</t>
  </si>
  <si>
    <t xml:space="preserve">Factor implícito anual derivado de actividad y emisión CRT del mismo año, categoría, grupo y gas. Registro CRT: CRT1A|2018|1.A.3|AGREGADO_FOSIL|N2O.</t>
  </si>
  <si>
    <t xml:space="preserve">FE_COMB|2018|1.A.4.a|BIOMASS|CO2</t>
  </si>
  <si>
    <t xml:space="preserve">2018|1.A.4.a|BIOMASS|CO2</t>
  </si>
  <si>
    <t xml:space="preserve">CRT1A|2018|1.A.4.a|BIOMASS|CO2</t>
  </si>
  <si>
    <t xml:space="preserve">Table1.A(a)s4; registro CRT1A|2018|1.A.4.a|BIOMASS|CO2</t>
  </si>
  <si>
    <t xml:space="preserve">Factor implícito anual derivado de actividad y emisión CRT del mismo año, categoría, grupo y gas. Registro CRT: CRT1A|2018|1.A.4.a|BIOMASS|CO2.</t>
  </si>
  <si>
    <t xml:space="preserve">FE_COMB|2018|1.A.4.a|BIOMASS|CH4</t>
  </si>
  <si>
    <t xml:space="preserve">2018|1.A.4.a|BIOMASS|CH4</t>
  </si>
  <si>
    <t xml:space="preserve">CRT1A|2018|1.A.4.a|BIOMASS|CH4</t>
  </si>
  <si>
    <t xml:space="preserve">Table1.A(a)s4; registro CRT1A|2018|1.A.4.a|BIOMASS|CH4</t>
  </si>
  <si>
    <t xml:space="preserve">Factor implícito anual derivado de actividad y emisión CRT del mismo año, categoría, grupo y gas. Registro CRT: CRT1A|2018|1.A.4.a|BIOMASS|CH4.</t>
  </si>
  <si>
    <t xml:space="preserve">FE_COMB|2018|1.A.4.a|BIOMASS|N2O</t>
  </si>
  <si>
    <t xml:space="preserve">2018|1.A.4.a|BIOMASS|N2O</t>
  </si>
  <si>
    <t xml:space="preserve">CRT1A|2018|1.A.4.a|BIOMASS|N2O</t>
  </si>
  <si>
    <t xml:space="preserve">Table1.A(a)s4; registro CRT1A|2018|1.A.4.a|BIOMASS|N2O</t>
  </si>
  <si>
    <t xml:space="preserve">Factor implícito anual derivado de actividad y emisión CRT del mismo año, categoría, grupo y gas. Registro CRT: CRT1A|2018|1.A.4.a|BIOMASS|N2O.</t>
  </si>
  <si>
    <t xml:space="preserve">FE_COMB|2018|1.A.4.a|LIQUID_FUELS|CO2</t>
  </si>
  <si>
    <t xml:space="preserve">2018|1.A.4.a|LIQUID_FUELS|CO2</t>
  </si>
  <si>
    <t xml:space="preserve">CRT1A|2018|1.A.4.a|LIQUID_FUELS|CO2</t>
  </si>
  <si>
    <t xml:space="preserve">Table1.A(a)s4; registro CRT1A|2018|1.A.4.a|LIQUID_FUELS|CO2</t>
  </si>
  <si>
    <t xml:space="preserve">Factor implícito anual derivado de actividad y emisión CRT del mismo año, categoría, grupo y gas. Registro CRT: CRT1A|2018|1.A.4.a|LIQUID_FUELS|CO2.</t>
  </si>
  <si>
    <t xml:space="preserve">FE_COMB|2018|1.A.4.a|LIQUID_FUELS|CH4</t>
  </si>
  <si>
    <t xml:space="preserve">2018|1.A.4.a|LIQUID_FUELS|CH4</t>
  </si>
  <si>
    <t xml:space="preserve">CRT1A|2018|1.A.4.a|LIQUID_FUELS|CH4</t>
  </si>
  <si>
    <t xml:space="preserve">Table1.A(a)s4; registro CRT1A|2018|1.A.4.a|LIQUID_FUELS|CH4</t>
  </si>
  <si>
    <t xml:space="preserve">Factor implícito anual derivado de actividad y emisión CRT del mismo año, categoría, grupo y gas. Registro CRT: CRT1A|2018|1.A.4.a|LIQUID_FUELS|CH4.</t>
  </si>
  <si>
    <t xml:space="preserve">FE_COMB|2018|1.A.4.a|LIQUID_FUELS|N2O</t>
  </si>
  <si>
    <t xml:space="preserve">2018|1.A.4.a|LIQUID_FUELS|N2O</t>
  </si>
  <si>
    <t xml:space="preserve">CRT1A|2018|1.A.4.a|LIQUID_FUELS|N2O</t>
  </si>
  <si>
    <t xml:space="preserve">Table1.A(a)s4; registro CRT1A|2018|1.A.4.a|LIQUID_FUELS|N2O</t>
  </si>
  <si>
    <t xml:space="preserve">Factor implícito anual derivado de actividad y emisión CRT del mismo año, categoría, grupo y gas. Registro CRT: CRT1A|2018|1.A.4.a|LIQUID_FUELS|N2O.</t>
  </si>
  <si>
    <t xml:space="preserve">FE_COMB|2018|1.A.4.b|BIOMASS|CO2</t>
  </si>
  <si>
    <t xml:space="preserve">2018|1.A.4.b|BIOMASS|CO2</t>
  </si>
  <si>
    <t xml:space="preserve">CRT1A|2018|1.A.4.b|BIOMASS|CO2</t>
  </si>
  <si>
    <t xml:space="preserve">Table1.A(a)s4; registro CRT1A|2018|1.A.4.b|BIOMASS|CO2</t>
  </si>
  <si>
    <t xml:space="preserve">Factor implícito anual derivado de actividad y emisión CRT del mismo año, categoría, grupo y gas. Registro CRT: CRT1A|2018|1.A.4.b|BIOMASS|CO2.</t>
  </si>
  <si>
    <t xml:space="preserve">FE_COMB|2018|1.A.4.b|BIOMASS|CH4</t>
  </si>
  <si>
    <t xml:space="preserve">2018|1.A.4.b|BIOMASS|CH4</t>
  </si>
  <si>
    <t xml:space="preserve">CRT1A|2018|1.A.4.b|BIOMASS|CH4</t>
  </si>
  <si>
    <t xml:space="preserve">Table1.A(a)s4; registro CRT1A|2018|1.A.4.b|BIOMASS|CH4</t>
  </si>
  <si>
    <t xml:space="preserve">Factor implícito anual derivado de actividad y emisión CRT del mismo año, categoría, grupo y gas. Registro CRT: CRT1A|2018|1.A.4.b|BIOMASS|CH4.</t>
  </si>
  <si>
    <t xml:space="preserve">FE_COMB|2018|1.A.4.b|BIOMASS|N2O</t>
  </si>
  <si>
    <t xml:space="preserve">2018|1.A.4.b|BIOMASS|N2O</t>
  </si>
  <si>
    <t xml:space="preserve">CRT1A|2018|1.A.4.b|BIOMASS|N2O</t>
  </si>
  <si>
    <t xml:space="preserve">Table1.A(a)s4; registro CRT1A|2018|1.A.4.b|BIOMASS|N2O</t>
  </si>
  <si>
    <t xml:space="preserve">Factor implícito anual derivado de actividad y emisión CRT del mismo año, categoría, grupo y gas. Registro CRT: CRT1A|2018|1.A.4.b|BIOMASS|N2O.</t>
  </si>
  <si>
    <t xml:space="preserve">FE_COMB|2018|1.A.4.b|LIQUID_FUELS|CO2</t>
  </si>
  <si>
    <t xml:space="preserve">2018|1.A.4.b|LIQUID_FUELS|CO2</t>
  </si>
  <si>
    <t xml:space="preserve">CRT1A|2018|1.A.4.b|LIQUID_FUELS|CO2</t>
  </si>
  <si>
    <t xml:space="preserve">Table1.A(a)s4; registro CRT1A|2018|1.A.4.b|LIQUID_FUELS|CO2</t>
  </si>
  <si>
    <t xml:space="preserve">Factor implícito anual derivado de actividad y emisión CRT del mismo año, categoría, grupo y gas. Registro CRT: CRT1A|2018|1.A.4.b|LIQUID_FUELS|CO2.</t>
  </si>
  <si>
    <t xml:space="preserve">FE_COMB|2018|1.A.4.b|LIQUID_FUELS|CH4</t>
  </si>
  <si>
    <t xml:space="preserve">2018|1.A.4.b|LIQUID_FUELS|CH4</t>
  </si>
  <si>
    <t xml:space="preserve">CRT1A|2018|1.A.4.b|LIQUID_FUELS|CH4</t>
  </si>
  <si>
    <t xml:space="preserve">Table1.A(a)s4; registro CRT1A|2018|1.A.4.b|LIQUID_FUELS|CH4</t>
  </si>
  <si>
    <t xml:space="preserve">Factor implícito anual derivado de actividad y emisión CRT del mismo año, categoría, grupo y gas. Registro CRT: CRT1A|2018|1.A.4.b|LIQUID_FUELS|CH4.</t>
  </si>
  <si>
    <t xml:space="preserve">FE_COMB|2018|1.A.4.b|LIQUID_FUELS|N2O</t>
  </si>
  <si>
    <t xml:space="preserve">2018|1.A.4.b|LIQUID_FUELS|N2O</t>
  </si>
  <si>
    <t xml:space="preserve">CRT1A|2018|1.A.4.b|LIQUID_FUELS|N2O</t>
  </si>
  <si>
    <t xml:space="preserve">Table1.A(a)s4; registro CRT1A|2018|1.A.4.b|LIQUID_FUELS|N2O</t>
  </si>
  <si>
    <t xml:space="preserve">Factor implícito anual derivado de actividad y emisión CRT del mismo año, categoría, grupo y gas. Registro CRT: CRT1A|2018|1.A.4.b|LIQUID_FUELS|N2O.</t>
  </si>
  <si>
    <t xml:space="preserve">FE_COMB|2018|1.A.1.a.i|CERO_DIRECTO|CO2</t>
  </si>
  <si>
    <t xml:space="preserve">2018|1.A.1.a.i|CERO_DIRECTO|CO2</t>
  </si>
  <si>
    <t xml:space="preserve">METODO_EMISIONES</t>
  </si>
  <si>
    <t xml:space="preserve">Regla metodológica de emisión directa cero</t>
  </si>
  <si>
    <t xml:space="preserve">PARAM|CERO|1.A.1.a.i|CO2</t>
  </si>
  <si>
    <t xml:space="preserve">No aplica — regla interna CERO_DIRECTO; NT-02, sección 9; hoja PARAMETROS</t>
  </si>
  <si>
    <t xml:space="preserve">Cero metodológico definido por la correspondencia contable; no procede de una celda numérica independiente de la CRT.</t>
  </si>
  <si>
    <t xml:space="preserve">FE_COMB|2018|1.A.1.a.i|CERO_DIRECTO|CH4</t>
  </si>
  <si>
    <t xml:space="preserve">2018|1.A.1.a.i|CERO_DIRECTO|CH4</t>
  </si>
  <si>
    <t xml:space="preserve">PARAM|CERO|1.A.1.a.i|CH4</t>
  </si>
  <si>
    <t xml:space="preserve">FE_COMB|2018|1.A.1.a.i|CERO_DIRECTO|N2O</t>
  </si>
  <si>
    <t xml:space="preserve">2018|1.A.1.a.i|CERO_DIRECTO|N2O</t>
  </si>
  <si>
    <t xml:space="preserve">PARAM|CERO|1.A.1.a.i|N2O</t>
  </si>
  <si>
    <t xml:space="preserve">FE_COMB|2018|1.A.1.c|CERO_DIRECTO|CO2</t>
  </si>
  <si>
    <t xml:space="preserve">2018|1.A.1.c|CERO_DIRECTO|CO2</t>
  </si>
  <si>
    <t xml:space="preserve">PARAM|CERO|1.A.1.c|CO2</t>
  </si>
  <si>
    <t xml:space="preserve">FE_COMB|2018|1.A.1.c|CERO_DIRECTO|CH4</t>
  </si>
  <si>
    <t xml:space="preserve">2018|1.A.1.c|CERO_DIRECTO|CH4</t>
  </si>
  <si>
    <t xml:space="preserve">PARAM|CERO|1.A.1.c|CH4</t>
  </si>
  <si>
    <t xml:space="preserve">FE_COMB|2018|1.A.1.c|CERO_DIRECTO|N2O</t>
  </si>
  <si>
    <t xml:space="preserve">2018|1.A.1.c|CERO_DIRECTO|N2O</t>
  </si>
  <si>
    <t xml:space="preserve">PARAM|CERO|1.A.1.c|N2O</t>
  </si>
  <si>
    <t xml:space="preserve">FE_COMB|2018|1.A.2|CERO_DIRECTO|CO2</t>
  </si>
  <si>
    <t xml:space="preserve">2018|1.A.2|CERO_DIRECTO|CO2</t>
  </si>
  <si>
    <t xml:space="preserve">PARAM|CERO|1.A.2|CO2</t>
  </si>
  <si>
    <t xml:space="preserve">FE_COMB|2018|1.A.2|CERO_DIRECTO|CH4</t>
  </si>
  <si>
    <t xml:space="preserve">2018|1.A.2|CERO_DIRECTO|CH4</t>
  </si>
  <si>
    <t xml:space="preserve">PARAM|CERO|1.A.2|CH4</t>
  </si>
  <si>
    <t xml:space="preserve">FE_COMB|2018|1.A.2|CERO_DIRECTO|N2O</t>
  </si>
  <si>
    <t xml:space="preserve">2018|1.A.2|CERO_DIRECTO|N2O</t>
  </si>
  <si>
    <t xml:space="preserve">PARAM|CERO|1.A.2|N2O</t>
  </si>
  <si>
    <t xml:space="preserve">FE_COMB|2018|1.A.3|CERO_DIRECTO|CO2</t>
  </si>
  <si>
    <t xml:space="preserve">2018|1.A.3|CERO_DIRECTO|CO2</t>
  </si>
  <si>
    <t xml:space="preserve">PARAM|CERO|1.A.3|CO2</t>
  </si>
  <si>
    <t xml:space="preserve">FE_COMB|2018|1.A.3|CERO_DIRECTO|CH4</t>
  </si>
  <si>
    <t xml:space="preserve">2018|1.A.3|CERO_DIRECTO|CH4</t>
  </si>
  <si>
    <t xml:space="preserve">PARAM|CERO|1.A.3|CH4</t>
  </si>
  <si>
    <t xml:space="preserve">FE_COMB|2018|1.A.3|CERO_DIRECTO|N2O</t>
  </si>
  <si>
    <t xml:space="preserve">2018|1.A.3|CERO_DIRECTO|N2O</t>
  </si>
  <si>
    <t xml:space="preserve">PARAM|CERO|1.A.3|N2O</t>
  </si>
  <si>
    <t xml:space="preserve">FE_COMB|2018|1.A.4.a|CERO_DIRECTO|CO2</t>
  </si>
  <si>
    <t xml:space="preserve">2018|1.A.4.a|CERO_DIRECTO|CO2</t>
  </si>
  <si>
    <t xml:space="preserve">PARAM|CERO|1.A.4.a|CO2</t>
  </si>
  <si>
    <t xml:space="preserve">FE_COMB|2018|1.A.4.a|CERO_DIRECTO|CH4</t>
  </si>
  <si>
    <t xml:space="preserve">2018|1.A.4.a|CERO_DIRECTO|CH4</t>
  </si>
  <si>
    <t xml:space="preserve">PARAM|CERO|1.A.4.a|CH4</t>
  </si>
  <si>
    <t xml:space="preserve">FE_COMB|2018|1.A.4.a|CERO_DIRECTO|N2O</t>
  </si>
  <si>
    <t xml:space="preserve">2018|1.A.4.a|CERO_DIRECTO|N2O</t>
  </si>
  <si>
    <t xml:space="preserve">PARAM|CERO|1.A.4.a|N2O</t>
  </si>
  <si>
    <t xml:space="preserve">FE_COMB|2018|1.A.4.b|CERO_DIRECTO|CO2</t>
  </si>
  <si>
    <t xml:space="preserve">2018|1.A.4.b|CERO_DIRECTO|CO2</t>
  </si>
  <si>
    <t xml:space="preserve">PARAM|CERO|1.A.4.b|CO2</t>
  </si>
  <si>
    <t xml:space="preserve">FE_COMB|2018|1.A.4.b|CERO_DIRECTO|CH4</t>
  </si>
  <si>
    <t xml:space="preserve">2018|1.A.4.b|CERO_DIRECTO|CH4</t>
  </si>
  <si>
    <t xml:space="preserve">PARAM|CERO|1.A.4.b|CH4</t>
  </si>
  <si>
    <t xml:space="preserve">FE_COMB|2018|1.A.4.b|CERO_DIRECTO|N2O</t>
  </si>
  <si>
    <t xml:space="preserve">2018|1.A.4.b|CERO_DIRECTO|N2O</t>
  </si>
  <si>
    <t xml:space="preserve">PARAM|CERO|1.A.4.b|N2O</t>
  </si>
  <si>
    <t xml:space="preserve">FE_NO|2018|1.A.1.c|NO|CO2</t>
  </si>
  <si>
    <t xml:space="preserve">2018|1.A.1.c|NO|CO2</t>
  </si>
  <si>
    <t xml:space="preserve">SIN_FACTOR_NUMERICO</t>
  </si>
  <si>
    <t xml:space="preserve">Se conserva el estado NO porque la fuente no aporta un factor numérico para la clave interna FE_NO|2018|1.A.1.c|NO|CO2.</t>
  </si>
  <si>
    <t xml:space="preserve">FE_NO|2018|1.A.1.c|NO|CH4</t>
  </si>
  <si>
    <t xml:space="preserve">2018|1.A.1.c|NO|CH4</t>
  </si>
  <si>
    <t xml:space="preserve">Se conserva el estado NO porque la fuente no aporta un factor numérico para la clave interna FE_NO|2018|1.A.1.c|NO|CH4.</t>
  </si>
  <si>
    <t xml:space="preserve">FE_NO|2018|1.A.1.c|NO|N2O</t>
  </si>
  <si>
    <t xml:space="preserve">2018|1.A.1.c|NO|N2O</t>
  </si>
  <si>
    <t xml:space="preserve">Se conserva el estado NO porque la fuente no aporta un factor numérico para la clave interna FE_NO|2018|1.A.1.c|NO|N2O.</t>
  </si>
  <si>
    <t xml:space="preserve">FE_NO|2018|1.A.4.c|NO|CO2</t>
  </si>
  <si>
    <t xml:space="preserve">2018|1.A.4.c|NO|CO2</t>
  </si>
  <si>
    <t xml:space="preserve">Se conserva el estado NO porque la fuente no aporta un factor numérico para la clave interna FE_NO|2018|1.A.4.c|NO|CO2.</t>
  </si>
  <si>
    <t xml:space="preserve">FE_NO|2018|1.A.4.c|NO|CH4</t>
  </si>
  <si>
    <t xml:space="preserve">2018|1.A.4.c|NO|CH4</t>
  </si>
  <si>
    <t xml:space="preserve">Se conserva el estado NO porque la fuente no aporta un factor numérico para la clave interna FE_NO|2018|1.A.4.c|NO|CH4.</t>
  </si>
  <si>
    <t xml:space="preserve">FE_NO|2018|1.A.4.c|NO|N2O</t>
  </si>
  <si>
    <t xml:space="preserve">2018|1.A.4.c|NO|N2O</t>
  </si>
  <si>
    <t xml:space="preserve">Se conserva el estado NO porque la fuente no aporta un factor numérico para la clave interna FE_NO|2018|1.A.4.c|NO|N2O.</t>
  </si>
  <si>
    <t xml:space="preserve">FE_NO|2018|1.B.1.a|NO|CO2</t>
  </si>
  <si>
    <t xml:space="preserve">2018|1.B.1.a|NO|CO2</t>
  </si>
  <si>
    <t xml:space="preserve">Table1.B.2; localizador a nivel de tabla; sin registro numérico</t>
  </si>
  <si>
    <t xml:space="preserve">Se conserva el estado NO porque la fuente no aporta un factor numérico para la clave interna FE_NO|2018|1.B.1.a|NO|CO2.</t>
  </si>
  <si>
    <t xml:space="preserve">FE_NO|2018|1.B.1.a|NO|CH4</t>
  </si>
  <si>
    <t xml:space="preserve">2018|1.B.1.a|NO|CH4</t>
  </si>
  <si>
    <t xml:space="preserve">Se conserva el estado NO porque la fuente no aporta un factor numérico para la clave interna FE_NO|2018|1.B.1.a|NO|CH4.</t>
  </si>
  <si>
    <t xml:space="preserve">FE_NO|2018|1.B.1.a|NO|N2O</t>
  </si>
  <si>
    <t xml:space="preserve">2018|1.B.1.a|NO|N2O</t>
  </si>
  <si>
    <t xml:space="preserve">Se conserva el estado NO porque la fuente no aporta un factor numérico para la clave interna FE_NO|2018|1.B.1.a|NO|N2O.</t>
  </si>
  <si>
    <t xml:space="preserve">FE_NO|2018|1.B.2.b.ii|NO|CO2</t>
  </si>
  <si>
    <t xml:space="preserve">2018|1.B.2.b.ii|NO|CO2</t>
  </si>
  <si>
    <t xml:space="preserve">Se conserva el estado NO porque la fuente no aporta un factor numérico para la clave interna FE_NO|2018|1.B.2.b.ii|NO|CO2.</t>
  </si>
  <si>
    <t xml:space="preserve">FE_NO|2018|1.B.2.b.ii|NO|CH4</t>
  </si>
  <si>
    <t xml:space="preserve">2018|1.B.2.b.ii|NO|CH4</t>
  </si>
  <si>
    <t xml:space="preserve">Se conserva el estado NO porque la fuente no aporta un factor numérico para la clave interna FE_NO|2018|1.B.2.b.ii|NO|CH4.</t>
  </si>
  <si>
    <t xml:space="preserve">FE_NO|2018|1.B.2.b.ii|NO|N2O</t>
  </si>
  <si>
    <t xml:space="preserve">2018|1.B.2.b.ii|NO|N2O</t>
  </si>
  <si>
    <t xml:space="preserve">Se conserva el estado NO porque la fuente no aporta un factor numérico para la clave interna FE_NO|2018|1.B.2.b.ii|NO|N2O.</t>
  </si>
  <si>
    <t xml:space="preserve">FE_FUG|2018|1.B.2.a.ii|FUGITIVA_PETROLEO|CO2</t>
  </si>
  <si>
    <t xml:space="preserve">2018|1.B.2.a.ii|FUGITIVA_PETROLEO|CO2</t>
  </si>
  <si>
    <t xml:space="preserve">CRT1B2|2018|1.B.2.a.ii|CO2</t>
  </si>
  <si>
    <t xml:space="preserve">EMISION_CRT_DIV_PSUT_EXTRACCION</t>
  </si>
  <si>
    <t xml:space="preserve">Table1.B.2; registro CRT1B2|2018|1.B.2.a.ii|CO2</t>
  </si>
  <si>
    <t xml:space="preserve">Factor fugitivo anual derivado de la emisión CRT y de la extracción PETR de la PSUT. Registro CRT: CRT1B2|2018|1.B.2.a.ii|CO2.</t>
  </si>
  <si>
    <t xml:space="preserve">FE_FUG|2018|1.B.2.a.ii|FUGITIVA_PETROLEO|CH4</t>
  </si>
  <si>
    <t xml:space="preserve">2018|1.B.2.a.ii|FUGITIVA_PETROLEO|CH4</t>
  </si>
  <si>
    <t xml:space="preserve">CRT1B2|2018|1.B.2.a.ii|CH4</t>
  </si>
  <si>
    <t xml:space="preserve">Table1.B.2; registro CRT1B2|2018|1.B.2.a.ii|CH4</t>
  </si>
  <si>
    <t xml:space="preserve">Factor fugitivo anual derivado de la emisión CRT y de la extracción PETR de la PSUT. Registro CRT: CRT1B2|2018|1.B.2.a.ii|CH4.</t>
  </si>
  <si>
    <t xml:space="preserve">FE_FUG|2018|1.B.2.a.ii|FUGITIVA_PETROLEO|N2O</t>
  </si>
  <si>
    <t xml:space="preserve">2018|1.B.2.a.ii|FUGITIVA_PETROLEO|N2O</t>
  </si>
  <si>
    <t xml:space="preserve">CRT1B2|2018|1.B.2.a.ii|N2O</t>
  </si>
  <si>
    <t xml:space="preserve">Table1.B.2; registro CRT1B2|2018|1.B.2.a.ii|N2O</t>
  </si>
  <si>
    <t xml:space="preserve">Factor fugitivo anual derivado de la emisión CRT y de la extracción PETR de la PSUT. Registro CRT: CRT1B2|2018|1.B.2.a.ii|N2O.</t>
  </si>
  <si>
    <t xml:space="preserve">FE_COMB|2019|1.A.1.a.i|BIOMASS|CO2</t>
  </si>
  <si>
    <t xml:space="preserve">2019|1.A.1.a.i|BIOMASS|CO2</t>
  </si>
  <si>
    <t xml:space="preserve">CRT1A|2019|1.A.1.a.i|BIOMASS|CO2</t>
  </si>
  <si>
    <t xml:space="preserve">Table1.A(a)s1; registro CRT1A|2019|1.A.1.a.i|BIOMASS|CO2</t>
  </si>
  <si>
    <t xml:space="preserve">Factor implícito anual derivado de actividad y emisión CRT del mismo año, categoría, grupo y gas. Registro CRT: CRT1A|2019|1.A.1.a.i|BIOMASS|CO2.</t>
  </si>
  <si>
    <t xml:space="preserve">FE_COMB|2019|1.A.1.a.i|BIOMASS|CH4</t>
  </si>
  <si>
    <t xml:space="preserve">2019|1.A.1.a.i|BIOMASS|CH4</t>
  </si>
  <si>
    <t xml:space="preserve">CRT1A|2019|1.A.1.a.i|BIOMASS|CH4</t>
  </si>
  <si>
    <t xml:space="preserve">Table1.A(a)s1; registro CRT1A|2019|1.A.1.a.i|BIOMASS|CH4</t>
  </si>
  <si>
    <t xml:space="preserve">Factor implícito anual derivado de actividad y emisión CRT del mismo año, categoría, grupo y gas. Registro CRT: CRT1A|2019|1.A.1.a.i|BIOMASS|CH4.</t>
  </si>
  <si>
    <t xml:space="preserve">FE_COMB|2019|1.A.1.a.i|BIOMASS|N2O</t>
  </si>
  <si>
    <t xml:space="preserve">2019|1.A.1.a.i|BIOMASS|N2O</t>
  </si>
  <si>
    <t xml:space="preserve">CRT1A|2019|1.A.1.a.i|BIOMASS|N2O</t>
  </si>
  <si>
    <t xml:space="preserve">Table1.A(a)s1; registro CRT1A|2019|1.A.1.a.i|BIOMASS|N2O</t>
  </si>
  <si>
    <t xml:space="preserve">Factor implícito anual derivado de actividad y emisión CRT del mismo año, categoría, grupo y gas. Registro CRT: CRT1A|2019|1.A.1.a.i|BIOMASS|N2O.</t>
  </si>
  <si>
    <t xml:space="preserve">FE_COMB|2019|1.A.1.a.i|SOLID_FUELS|CO2</t>
  </si>
  <si>
    <t xml:space="preserve">2019|1.A.1.a.i|SOLID_FUELS|CO2</t>
  </si>
  <si>
    <t xml:space="preserve">CRT1A|2019|1.A.1.a.i|SOLID_FUELS|CO2</t>
  </si>
  <si>
    <t xml:space="preserve">Table1.A(a)s1; registro CRT1A|2019|1.A.1.a.i|SOLID_FUELS|CO2</t>
  </si>
  <si>
    <t xml:space="preserve">Factor implícito anual derivado de actividad y emisión CRT del mismo año, categoría, grupo y gas. Registro CRT: CRT1A|2019|1.A.1.a.i|SOLID_FUELS|CO2.</t>
  </si>
  <si>
    <t xml:space="preserve">FE_COMB|2019|1.A.1.a.i|SOLID_FUELS|CH4</t>
  </si>
  <si>
    <t xml:space="preserve">2019|1.A.1.a.i|SOLID_FUELS|CH4</t>
  </si>
  <si>
    <t xml:space="preserve">CRT1A|2019|1.A.1.a.i|SOLID_FUELS|CH4</t>
  </si>
  <si>
    <t xml:space="preserve">Table1.A(a)s1; registro CRT1A|2019|1.A.1.a.i|SOLID_FUELS|CH4</t>
  </si>
  <si>
    <t xml:space="preserve">Factor implícito anual derivado de actividad y emisión CRT del mismo año, categoría, grupo y gas. Registro CRT: CRT1A|2019|1.A.1.a.i|SOLID_FUELS|CH4.</t>
  </si>
  <si>
    <t xml:space="preserve">FE_COMB|2019|1.A.1.a.i|SOLID_FUELS|N2O</t>
  </si>
  <si>
    <t xml:space="preserve">2019|1.A.1.a.i|SOLID_FUELS|N2O</t>
  </si>
  <si>
    <t xml:space="preserve">CRT1A|2019|1.A.1.a.i|SOLID_FUELS|N2O</t>
  </si>
  <si>
    <t xml:space="preserve">Table1.A(a)s1; registro CRT1A|2019|1.A.1.a.i|SOLID_FUELS|N2O</t>
  </si>
  <si>
    <t xml:space="preserve">Factor implícito anual derivado de actividad y emisión CRT del mismo año, categoría, grupo y gas. Registro CRT: CRT1A|2019|1.A.1.a.i|SOLID_FUELS|N2O.</t>
  </si>
  <si>
    <t xml:space="preserve">FE_COMB|2019|1.A.1.a.i|LIQUID_FUELS|CO2</t>
  </si>
  <si>
    <t xml:space="preserve">2019|1.A.1.a.i|LIQUID_FUELS|CO2</t>
  </si>
  <si>
    <t xml:space="preserve">CRT1A|2019|1.A.1.a.i|LIQUID_FUELS|CO2</t>
  </si>
  <si>
    <t xml:space="preserve">Table1.A(a)s1; registro CRT1A|2019|1.A.1.a.i|LIQUID_FUELS|CO2</t>
  </si>
  <si>
    <t xml:space="preserve">Factor implícito anual derivado de actividad y emisión CRT del mismo año, categoría, grupo y gas. Registro CRT: CRT1A|2019|1.A.1.a.i|LIQUID_FUELS|CO2.</t>
  </si>
  <si>
    <t xml:space="preserve">FE_COMB|2019|1.A.1.a.i|LIQUID_FUELS|CH4</t>
  </si>
  <si>
    <t xml:space="preserve">2019|1.A.1.a.i|LIQUID_FUELS|CH4</t>
  </si>
  <si>
    <t xml:space="preserve">CRT1A|2019|1.A.1.a.i|LIQUID_FUELS|CH4</t>
  </si>
  <si>
    <t xml:space="preserve">Table1.A(a)s1; registro CRT1A|2019|1.A.1.a.i|LIQUID_FUELS|CH4</t>
  </si>
  <si>
    <t xml:space="preserve">Factor implícito anual derivado de actividad y emisión CRT del mismo año, categoría, grupo y gas. Registro CRT: CRT1A|2019|1.A.1.a.i|LIQUID_FUELS|CH4.</t>
  </si>
  <si>
    <t xml:space="preserve">FE_COMB|2019|1.A.1.a.i|LIQUID_FUELS|N2O</t>
  </si>
  <si>
    <t xml:space="preserve">2019|1.A.1.a.i|LIQUID_FUELS|N2O</t>
  </si>
  <si>
    <t xml:space="preserve">CRT1A|2019|1.A.1.a.i|LIQUID_FUELS|N2O</t>
  </si>
  <si>
    <t xml:space="preserve">Table1.A(a)s1; registro CRT1A|2019|1.A.1.a.i|LIQUID_FUELS|N2O</t>
  </si>
  <si>
    <t xml:space="preserve">Factor implícito anual derivado de actividad y emisión CRT del mismo año, categoría, grupo y gas. Registro CRT: CRT1A|2019|1.A.1.a.i|LIQUID_FUELS|N2O.</t>
  </si>
  <si>
    <t xml:space="preserve">FE_COMB|2019|1.A.1.a.i|GASEOUS_FUELS|CO2</t>
  </si>
  <si>
    <t xml:space="preserve">2019|1.A.1.a.i|GASEOUS_FUELS|CO2</t>
  </si>
  <si>
    <t xml:space="preserve">Se conserva el estado NO porque la fuente no aporta un factor numérico para la clave interna FE_COMB|2019|1.A.1.a.i|GASEOUS_FUELS|CO2.</t>
  </si>
  <si>
    <t xml:space="preserve">FE_COMB|2019|1.A.1.a.i|GASEOUS_FUELS|CH4</t>
  </si>
  <si>
    <t xml:space="preserve">2019|1.A.1.a.i|GASEOUS_FUELS|CH4</t>
  </si>
  <si>
    <t xml:space="preserve">Se conserva el estado NO porque la fuente no aporta un factor numérico para la clave interna FE_COMB|2019|1.A.1.a.i|GASEOUS_FUELS|CH4.</t>
  </si>
  <si>
    <t xml:space="preserve">FE_COMB|2019|1.A.1.a.i|GASEOUS_FUELS|N2O</t>
  </si>
  <si>
    <t xml:space="preserve">2019|1.A.1.a.i|GASEOUS_FUELS|N2O</t>
  </si>
  <si>
    <t xml:space="preserve">Se conserva el estado NO porque la fuente no aporta un factor numérico para la clave interna FE_COMB|2019|1.A.1.a.i|GASEOUS_FUELS|N2O.</t>
  </si>
  <si>
    <t xml:space="preserve">FE_COMB|2019|1.A.1.b|LIQUID_FUELS|CO2</t>
  </si>
  <si>
    <t xml:space="preserve">2019|1.A.1.b|LIQUID_FUELS|CO2</t>
  </si>
  <si>
    <t xml:space="preserve">CRT1A|2019|1.A.1.b|LIQUID_FUELS|CO2</t>
  </si>
  <si>
    <t xml:space="preserve">Table1.A(a)s1; registro CRT1A|2019|1.A.1.b|LIQUID_FUELS|CO2</t>
  </si>
  <si>
    <t xml:space="preserve">Factor implícito anual derivado de actividad y emisión CRT del mismo año, categoría, grupo y gas. Registro CRT: CRT1A|2019|1.A.1.b|LIQUID_FUELS|CO2.</t>
  </si>
  <si>
    <t xml:space="preserve">FE_COMB|2019|1.A.1.b|LIQUID_FUELS|CH4</t>
  </si>
  <si>
    <t xml:space="preserve">2019|1.A.1.b|LIQUID_FUELS|CH4</t>
  </si>
  <si>
    <t xml:space="preserve">CRT1A|2019|1.A.1.b|LIQUID_FUELS|CH4</t>
  </si>
  <si>
    <t xml:space="preserve">Table1.A(a)s1; registro CRT1A|2019|1.A.1.b|LIQUID_FUELS|CH4</t>
  </si>
  <si>
    <t xml:space="preserve">Factor implícito anual derivado de actividad y emisión CRT del mismo año, categoría, grupo y gas. Registro CRT: CRT1A|2019|1.A.1.b|LIQUID_FUELS|CH4.</t>
  </si>
  <si>
    <t xml:space="preserve">FE_COMB|2019|1.A.1.b|LIQUID_FUELS|N2O</t>
  </si>
  <si>
    <t xml:space="preserve">2019|1.A.1.b|LIQUID_FUELS|N2O</t>
  </si>
  <si>
    <t xml:space="preserve">CRT1A|2019|1.A.1.b|LIQUID_FUELS|N2O</t>
  </si>
  <si>
    <t xml:space="preserve">Table1.A(a)s1; registro CRT1A|2019|1.A.1.b|LIQUID_FUELS|N2O</t>
  </si>
  <si>
    <t xml:space="preserve">Factor implícito anual derivado de actividad y emisión CRT del mismo año, categoría, grupo y gas. Registro CRT: CRT1A|2019|1.A.1.b|LIQUID_FUELS|N2O.</t>
  </si>
  <si>
    <t xml:space="preserve">FE_COMB|2019|1.A.2|AGREGADO_FOSIL|CO2</t>
  </si>
  <si>
    <t xml:space="preserve">2019|1.A.2|AGREGADO_FOSIL|CO2</t>
  </si>
  <si>
    <t xml:space="preserve">CRT1A|2019|1.A.2|AGREGADO_FOSIL|CO2</t>
  </si>
  <si>
    <t xml:space="preserve">Table1.A(a)s2; registro CRT1A|2019|1.A.2|AGREGADO_FOSIL|CO2</t>
  </si>
  <si>
    <t xml:space="preserve">Factor implícito anual derivado de actividad y emisión CRT del mismo año, categoría, grupo y gas. Registro CRT: CRT1A|2019|1.A.2|AGREGADO_FOSIL|CO2.</t>
  </si>
  <si>
    <t xml:space="preserve">FE_COMB|2019|1.A.2|AGREGADO_FOSIL|CH4</t>
  </si>
  <si>
    <t xml:space="preserve">2019|1.A.2|AGREGADO_FOSIL|CH4</t>
  </si>
  <si>
    <t xml:space="preserve">CRT1A|2019|1.A.2|AGREGADO_FOSIL|CH4</t>
  </si>
  <si>
    <t xml:space="preserve">Table1.A(a)s2; registro CRT1A|2019|1.A.2|AGREGADO_FOSIL|CH4</t>
  </si>
  <si>
    <t xml:space="preserve">Factor implícito anual derivado de actividad y emisión CRT del mismo año, categoría, grupo y gas. Registro CRT: CRT1A|2019|1.A.2|AGREGADO_FOSIL|CH4.</t>
  </si>
  <si>
    <t xml:space="preserve">FE_COMB|2019|1.A.2|AGREGADO_FOSIL|N2O</t>
  </si>
  <si>
    <t xml:space="preserve">2019|1.A.2|AGREGADO_FOSIL|N2O</t>
  </si>
  <si>
    <t xml:space="preserve">CRT1A|2019|1.A.2|AGREGADO_FOSIL|N2O</t>
  </si>
  <si>
    <t xml:space="preserve">Table1.A(a)s2; registro CRT1A|2019|1.A.2|AGREGADO_FOSIL|N2O</t>
  </si>
  <si>
    <t xml:space="preserve">Factor implícito anual derivado de actividad y emisión CRT del mismo año, categoría, grupo y gas. Registro CRT: CRT1A|2019|1.A.2|AGREGADO_FOSIL|N2O.</t>
  </si>
  <si>
    <t xml:space="preserve">FE_COMB|2019|1.A.3|AGREGADO_FOSIL|CO2</t>
  </si>
  <si>
    <t xml:space="preserve">2019|1.A.3|AGREGADO_FOSIL|CO2</t>
  </si>
  <si>
    <t xml:space="preserve">CRT1A|2019|1.A.3|AGREGADO_FOSIL|CO2</t>
  </si>
  <si>
    <t xml:space="preserve">Table1.A(a)s3; registro CRT1A|2019|1.A.3|AGREGADO_FOSIL|CO2</t>
  </si>
  <si>
    <t xml:space="preserve">Factor implícito anual derivado de actividad y emisión CRT del mismo año, categoría, grupo y gas. Registro CRT: CRT1A|2019|1.A.3|AGREGADO_FOSIL|CO2.</t>
  </si>
  <si>
    <t xml:space="preserve">FE_COMB|2019|1.A.3|AGREGADO_FOSIL|CH4</t>
  </si>
  <si>
    <t xml:space="preserve">2019|1.A.3|AGREGADO_FOSIL|CH4</t>
  </si>
  <si>
    <t xml:space="preserve">CRT1A|2019|1.A.3|AGREGADO_FOSIL|CH4</t>
  </si>
  <si>
    <t xml:space="preserve">Table1.A(a)s3; registro CRT1A|2019|1.A.3|AGREGADO_FOSIL|CH4</t>
  </si>
  <si>
    <t xml:space="preserve">Factor implícito anual derivado de actividad y emisión CRT del mismo año, categoría, grupo y gas. Registro CRT: CRT1A|2019|1.A.3|AGREGADO_FOSIL|CH4.</t>
  </si>
  <si>
    <t xml:space="preserve">FE_COMB|2019|1.A.3|AGREGADO_FOSIL|N2O</t>
  </si>
  <si>
    <t xml:space="preserve">2019|1.A.3|AGREGADO_FOSIL|N2O</t>
  </si>
  <si>
    <t xml:space="preserve">CRT1A|2019|1.A.3|AGREGADO_FOSIL|N2O</t>
  </si>
  <si>
    <t xml:space="preserve">Table1.A(a)s3; registro CRT1A|2019|1.A.3|AGREGADO_FOSIL|N2O</t>
  </si>
  <si>
    <t xml:space="preserve">Factor implícito anual derivado de actividad y emisión CRT del mismo año, categoría, grupo y gas. Registro CRT: CRT1A|2019|1.A.3|AGREGADO_FOSIL|N2O.</t>
  </si>
  <si>
    <t xml:space="preserve">FE_COMB|2019|1.A.4.a|BIOMASS|CO2</t>
  </si>
  <si>
    <t xml:space="preserve">2019|1.A.4.a|BIOMASS|CO2</t>
  </si>
  <si>
    <t xml:space="preserve">CRT1A|2019|1.A.4.a|BIOMASS|CO2</t>
  </si>
  <si>
    <t xml:space="preserve">Table1.A(a)s4; registro CRT1A|2019|1.A.4.a|BIOMASS|CO2</t>
  </si>
  <si>
    <t xml:space="preserve">Factor implícito anual derivado de actividad y emisión CRT del mismo año, categoría, grupo y gas. Registro CRT: CRT1A|2019|1.A.4.a|BIOMASS|CO2.</t>
  </si>
  <si>
    <t xml:space="preserve">FE_COMB|2019|1.A.4.a|BIOMASS|CH4</t>
  </si>
  <si>
    <t xml:space="preserve">2019|1.A.4.a|BIOMASS|CH4</t>
  </si>
  <si>
    <t xml:space="preserve">CRT1A|2019|1.A.4.a|BIOMASS|CH4</t>
  </si>
  <si>
    <t xml:space="preserve">Table1.A(a)s4; registro CRT1A|2019|1.A.4.a|BIOMASS|CH4</t>
  </si>
  <si>
    <t xml:space="preserve">Factor implícito anual derivado de actividad y emisión CRT del mismo año, categoría, grupo y gas. Registro CRT: CRT1A|2019|1.A.4.a|BIOMASS|CH4.</t>
  </si>
  <si>
    <t xml:space="preserve">FE_COMB|2019|1.A.4.a|BIOMASS|N2O</t>
  </si>
  <si>
    <t xml:space="preserve">2019|1.A.4.a|BIOMASS|N2O</t>
  </si>
  <si>
    <t xml:space="preserve">CRT1A|2019|1.A.4.a|BIOMASS|N2O</t>
  </si>
  <si>
    <t xml:space="preserve">Table1.A(a)s4; registro CRT1A|2019|1.A.4.a|BIOMASS|N2O</t>
  </si>
  <si>
    <t xml:space="preserve">Factor implícito anual derivado de actividad y emisión CRT del mismo año, categoría, grupo y gas. Registro CRT: CRT1A|2019|1.A.4.a|BIOMASS|N2O.</t>
  </si>
  <si>
    <t xml:space="preserve">FE_COMB|2019|1.A.4.a|LIQUID_FUELS|CO2</t>
  </si>
  <si>
    <t xml:space="preserve">2019|1.A.4.a|LIQUID_FUELS|CO2</t>
  </si>
  <si>
    <t xml:space="preserve">CRT1A|2019|1.A.4.a|LIQUID_FUELS|CO2</t>
  </si>
  <si>
    <t xml:space="preserve">Table1.A(a)s4; registro CRT1A|2019|1.A.4.a|LIQUID_FUELS|CO2</t>
  </si>
  <si>
    <t xml:space="preserve">Factor implícito anual derivado de actividad y emisión CRT del mismo año, categoría, grupo y gas. Registro CRT: CRT1A|2019|1.A.4.a|LIQUID_FUELS|CO2.</t>
  </si>
  <si>
    <t xml:space="preserve">FE_COMB|2019|1.A.4.a|LIQUID_FUELS|CH4</t>
  </si>
  <si>
    <t xml:space="preserve">2019|1.A.4.a|LIQUID_FUELS|CH4</t>
  </si>
  <si>
    <t xml:space="preserve">CRT1A|2019|1.A.4.a|LIQUID_FUELS|CH4</t>
  </si>
  <si>
    <t xml:space="preserve">Table1.A(a)s4; registro CRT1A|2019|1.A.4.a|LIQUID_FUELS|CH4</t>
  </si>
  <si>
    <t xml:space="preserve">Factor implícito anual derivado de actividad y emisión CRT del mismo año, categoría, grupo y gas. Registro CRT: CRT1A|2019|1.A.4.a|LIQUID_FUELS|CH4.</t>
  </si>
  <si>
    <t xml:space="preserve">FE_COMB|2019|1.A.4.a|LIQUID_FUELS|N2O</t>
  </si>
  <si>
    <t xml:space="preserve">2019|1.A.4.a|LIQUID_FUELS|N2O</t>
  </si>
  <si>
    <t xml:space="preserve">CRT1A|2019|1.A.4.a|LIQUID_FUELS|N2O</t>
  </si>
  <si>
    <t xml:space="preserve">Table1.A(a)s4; registro CRT1A|2019|1.A.4.a|LIQUID_FUELS|N2O</t>
  </si>
  <si>
    <t xml:space="preserve">Factor implícito anual derivado de actividad y emisión CRT del mismo año, categoría, grupo y gas. Registro CRT: CRT1A|2019|1.A.4.a|LIQUID_FUELS|N2O.</t>
  </si>
  <si>
    <t xml:space="preserve">FE_COMB|2019|1.A.4.b|BIOMASS|CO2</t>
  </si>
  <si>
    <t xml:space="preserve">2019|1.A.4.b|BIOMASS|CO2</t>
  </si>
  <si>
    <t xml:space="preserve">CRT1A|2019|1.A.4.b|BIOMASS|CO2</t>
  </si>
  <si>
    <t xml:space="preserve">Table1.A(a)s4; registro CRT1A|2019|1.A.4.b|BIOMASS|CO2</t>
  </si>
  <si>
    <t xml:space="preserve">Factor implícito anual derivado de actividad y emisión CRT del mismo año, categoría, grupo y gas. Registro CRT: CRT1A|2019|1.A.4.b|BIOMASS|CO2.</t>
  </si>
  <si>
    <t xml:space="preserve">FE_COMB|2019|1.A.4.b|BIOMASS|CH4</t>
  </si>
  <si>
    <t xml:space="preserve">2019|1.A.4.b|BIOMASS|CH4</t>
  </si>
  <si>
    <t xml:space="preserve">CRT1A|2019|1.A.4.b|BIOMASS|CH4</t>
  </si>
  <si>
    <t xml:space="preserve">Table1.A(a)s4; registro CRT1A|2019|1.A.4.b|BIOMASS|CH4</t>
  </si>
  <si>
    <t xml:space="preserve">Factor implícito anual derivado de actividad y emisión CRT del mismo año, categoría, grupo y gas. Registro CRT: CRT1A|2019|1.A.4.b|BIOMASS|CH4.</t>
  </si>
  <si>
    <t xml:space="preserve">FE_COMB|2019|1.A.4.b|BIOMASS|N2O</t>
  </si>
  <si>
    <t xml:space="preserve">2019|1.A.4.b|BIOMASS|N2O</t>
  </si>
  <si>
    <t xml:space="preserve">CRT1A|2019|1.A.4.b|BIOMASS|N2O</t>
  </si>
  <si>
    <t xml:space="preserve">Table1.A(a)s4; registro CRT1A|2019|1.A.4.b|BIOMASS|N2O</t>
  </si>
  <si>
    <t xml:space="preserve">Factor implícito anual derivado de actividad y emisión CRT del mismo año, categoría, grupo y gas. Registro CRT: CRT1A|2019|1.A.4.b|BIOMASS|N2O.</t>
  </si>
  <si>
    <t xml:space="preserve">FE_COMB|2019|1.A.4.b|LIQUID_FUELS|CO2</t>
  </si>
  <si>
    <t xml:space="preserve">2019|1.A.4.b|LIQUID_FUELS|CO2</t>
  </si>
  <si>
    <t xml:space="preserve">CRT1A|2019|1.A.4.b|LIQUID_FUELS|CO2</t>
  </si>
  <si>
    <t xml:space="preserve">Table1.A(a)s4; registro CRT1A|2019|1.A.4.b|LIQUID_FUELS|CO2</t>
  </si>
  <si>
    <t xml:space="preserve">Factor implícito anual derivado de actividad y emisión CRT del mismo año, categoría, grupo y gas. Registro CRT: CRT1A|2019|1.A.4.b|LIQUID_FUELS|CO2.</t>
  </si>
  <si>
    <t xml:space="preserve">FE_COMB|2019|1.A.4.b|LIQUID_FUELS|CH4</t>
  </si>
  <si>
    <t xml:space="preserve">2019|1.A.4.b|LIQUID_FUELS|CH4</t>
  </si>
  <si>
    <t xml:space="preserve">CRT1A|2019|1.A.4.b|LIQUID_FUELS|CH4</t>
  </si>
  <si>
    <t xml:space="preserve">Table1.A(a)s4; registro CRT1A|2019|1.A.4.b|LIQUID_FUELS|CH4</t>
  </si>
  <si>
    <t xml:space="preserve">Factor implícito anual derivado de actividad y emisión CRT del mismo año, categoría, grupo y gas. Registro CRT: CRT1A|2019|1.A.4.b|LIQUID_FUELS|CH4.</t>
  </si>
  <si>
    <t xml:space="preserve">FE_COMB|2019|1.A.4.b|LIQUID_FUELS|N2O</t>
  </si>
  <si>
    <t xml:space="preserve">2019|1.A.4.b|LIQUID_FUELS|N2O</t>
  </si>
  <si>
    <t xml:space="preserve">CRT1A|2019|1.A.4.b|LIQUID_FUELS|N2O</t>
  </si>
  <si>
    <t xml:space="preserve">Table1.A(a)s4; registro CRT1A|2019|1.A.4.b|LIQUID_FUELS|N2O</t>
  </si>
  <si>
    <t xml:space="preserve">Factor implícito anual derivado de actividad y emisión CRT del mismo año, categoría, grupo y gas. Registro CRT: CRT1A|2019|1.A.4.b|LIQUID_FUELS|N2O.</t>
  </si>
  <si>
    <t xml:space="preserve">FE_COMB|2019|1.A.1.a.i|CERO_DIRECTO|CO2</t>
  </si>
  <si>
    <t xml:space="preserve">2019|1.A.1.a.i|CERO_DIRECTO|CO2</t>
  </si>
  <si>
    <t xml:space="preserve">FE_COMB|2019|1.A.1.a.i|CERO_DIRECTO|CH4</t>
  </si>
  <si>
    <t xml:space="preserve">2019|1.A.1.a.i|CERO_DIRECTO|CH4</t>
  </si>
  <si>
    <t xml:space="preserve">FE_COMB|2019|1.A.1.a.i|CERO_DIRECTO|N2O</t>
  </si>
  <si>
    <t xml:space="preserve">2019|1.A.1.a.i|CERO_DIRECTO|N2O</t>
  </si>
  <si>
    <t xml:space="preserve">FE_COMB|2019|1.A.1.c|CERO_DIRECTO|CO2</t>
  </si>
  <si>
    <t xml:space="preserve">2019|1.A.1.c|CERO_DIRECTO|CO2</t>
  </si>
  <si>
    <t xml:space="preserve">FE_COMB|2019|1.A.1.c|CERO_DIRECTO|CH4</t>
  </si>
  <si>
    <t xml:space="preserve">2019|1.A.1.c|CERO_DIRECTO|CH4</t>
  </si>
  <si>
    <t xml:space="preserve">FE_COMB|2019|1.A.1.c|CERO_DIRECTO|N2O</t>
  </si>
  <si>
    <t xml:space="preserve">2019|1.A.1.c|CERO_DIRECTO|N2O</t>
  </si>
  <si>
    <t xml:space="preserve">FE_COMB|2019|1.A.2|CERO_DIRECTO|CO2</t>
  </si>
  <si>
    <t xml:space="preserve">2019|1.A.2|CERO_DIRECTO|CO2</t>
  </si>
  <si>
    <t xml:space="preserve">FE_COMB|2019|1.A.2|CERO_DIRECTO|CH4</t>
  </si>
  <si>
    <t xml:space="preserve">2019|1.A.2|CERO_DIRECTO|CH4</t>
  </si>
  <si>
    <t xml:space="preserve">FE_COMB|2019|1.A.2|CERO_DIRECTO|N2O</t>
  </si>
  <si>
    <t xml:space="preserve">2019|1.A.2|CERO_DIRECTO|N2O</t>
  </si>
  <si>
    <t xml:space="preserve">FE_COMB|2019|1.A.3|CERO_DIRECTO|CO2</t>
  </si>
  <si>
    <t xml:space="preserve">2019|1.A.3|CERO_DIRECTO|CO2</t>
  </si>
  <si>
    <t xml:space="preserve">FE_COMB|2019|1.A.3|CERO_DIRECTO|CH4</t>
  </si>
  <si>
    <t xml:space="preserve">2019|1.A.3|CERO_DIRECTO|CH4</t>
  </si>
  <si>
    <t xml:space="preserve">FE_COMB|2019|1.A.3|CERO_DIRECTO|N2O</t>
  </si>
  <si>
    <t xml:space="preserve">2019|1.A.3|CERO_DIRECTO|N2O</t>
  </si>
  <si>
    <t xml:space="preserve">FE_COMB|2019|1.A.4.a|CERO_DIRECTO|CO2</t>
  </si>
  <si>
    <t xml:space="preserve">2019|1.A.4.a|CERO_DIRECTO|CO2</t>
  </si>
  <si>
    <t xml:space="preserve">FE_COMB|2019|1.A.4.a|CERO_DIRECTO|CH4</t>
  </si>
  <si>
    <t xml:space="preserve">2019|1.A.4.a|CERO_DIRECTO|CH4</t>
  </si>
  <si>
    <t xml:space="preserve">FE_COMB|2019|1.A.4.a|CERO_DIRECTO|N2O</t>
  </si>
  <si>
    <t xml:space="preserve">2019|1.A.4.a|CERO_DIRECTO|N2O</t>
  </si>
  <si>
    <t xml:space="preserve">FE_COMB|2019|1.A.4.b|CERO_DIRECTO|CO2</t>
  </si>
  <si>
    <t xml:space="preserve">2019|1.A.4.b|CERO_DIRECTO|CO2</t>
  </si>
  <si>
    <t xml:space="preserve">FE_COMB|2019|1.A.4.b|CERO_DIRECTO|CH4</t>
  </si>
  <si>
    <t xml:space="preserve">2019|1.A.4.b|CERO_DIRECTO|CH4</t>
  </si>
  <si>
    <t xml:space="preserve">FE_COMB|2019|1.A.4.b|CERO_DIRECTO|N2O</t>
  </si>
  <si>
    <t xml:space="preserve">2019|1.A.4.b|CERO_DIRECTO|N2O</t>
  </si>
  <si>
    <t xml:space="preserve">FE_NO|2019|1.A.1.c|NO|CO2</t>
  </si>
  <si>
    <t xml:space="preserve">2019|1.A.1.c|NO|CO2</t>
  </si>
  <si>
    <t xml:space="preserve">Se conserva el estado NO porque la fuente no aporta un factor numérico para la clave interna FE_NO|2019|1.A.1.c|NO|CO2.</t>
  </si>
  <si>
    <t xml:space="preserve">FE_NO|2019|1.A.1.c|NO|CH4</t>
  </si>
  <si>
    <t xml:space="preserve">2019|1.A.1.c|NO|CH4</t>
  </si>
  <si>
    <t xml:space="preserve">Se conserva el estado NO porque la fuente no aporta un factor numérico para la clave interna FE_NO|2019|1.A.1.c|NO|CH4.</t>
  </si>
  <si>
    <t xml:space="preserve">FE_NO|2019|1.A.1.c|NO|N2O</t>
  </si>
  <si>
    <t xml:space="preserve">2019|1.A.1.c|NO|N2O</t>
  </si>
  <si>
    <t xml:space="preserve">Se conserva el estado NO porque la fuente no aporta un factor numérico para la clave interna FE_NO|2019|1.A.1.c|NO|N2O.</t>
  </si>
  <si>
    <t xml:space="preserve">FE_NO|2019|1.A.4.c|NO|CO2</t>
  </si>
  <si>
    <t xml:space="preserve">2019|1.A.4.c|NO|CO2</t>
  </si>
  <si>
    <t xml:space="preserve">Se conserva el estado NO porque la fuente no aporta un factor numérico para la clave interna FE_NO|2019|1.A.4.c|NO|CO2.</t>
  </si>
  <si>
    <t xml:space="preserve">FE_NO|2019|1.A.4.c|NO|CH4</t>
  </si>
  <si>
    <t xml:space="preserve">2019|1.A.4.c|NO|CH4</t>
  </si>
  <si>
    <t xml:space="preserve">Se conserva el estado NO porque la fuente no aporta un factor numérico para la clave interna FE_NO|2019|1.A.4.c|NO|CH4.</t>
  </si>
  <si>
    <t xml:space="preserve">FE_NO|2019|1.A.4.c|NO|N2O</t>
  </si>
  <si>
    <t xml:space="preserve">2019|1.A.4.c|NO|N2O</t>
  </si>
  <si>
    <t xml:space="preserve">Se conserva el estado NO porque la fuente no aporta un factor numérico para la clave interna FE_NO|2019|1.A.4.c|NO|N2O.</t>
  </si>
  <si>
    <t xml:space="preserve">FE_NO|2019|1.B.1.a|NO|CO2</t>
  </si>
  <si>
    <t xml:space="preserve">2019|1.B.1.a|NO|CO2</t>
  </si>
  <si>
    <t xml:space="preserve">Se conserva el estado NO porque la fuente no aporta un factor numérico para la clave interna FE_NO|2019|1.B.1.a|NO|CO2.</t>
  </si>
  <si>
    <t xml:space="preserve">FE_NO|2019|1.B.1.a|NO|CH4</t>
  </si>
  <si>
    <t xml:space="preserve">2019|1.B.1.a|NO|CH4</t>
  </si>
  <si>
    <t xml:space="preserve">Se conserva el estado NO porque la fuente no aporta un factor numérico para la clave interna FE_NO|2019|1.B.1.a|NO|CH4.</t>
  </si>
  <si>
    <t xml:space="preserve">FE_NO|2019|1.B.1.a|NO|N2O</t>
  </si>
  <si>
    <t xml:space="preserve">2019|1.B.1.a|NO|N2O</t>
  </si>
  <si>
    <t xml:space="preserve">Se conserva el estado NO porque la fuente no aporta un factor numérico para la clave interna FE_NO|2019|1.B.1.a|NO|N2O.</t>
  </si>
  <si>
    <t xml:space="preserve">FE_NO|2019|1.B.2.b.ii|NO|CO2</t>
  </si>
  <si>
    <t xml:space="preserve">2019|1.B.2.b.ii|NO|CO2</t>
  </si>
  <si>
    <t xml:space="preserve">Se conserva el estado NO porque la fuente no aporta un factor numérico para la clave interna FE_NO|2019|1.B.2.b.ii|NO|CO2.</t>
  </si>
  <si>
    <t xml:space="preserve">FE_NO|2019|1.B.2.b.ii|NO|CH4</t>
  </si>
  <si>
    <t xml:space="preserve">2019|1.B.2.b.ii|NO|CH4</t>
  </si>
  <si>
    <t xml:space="preserve">Se conserva el estado NO porque la fuente no aporta un factor numérico para la clave interna FE_NO|2019|1.B.2.b.ii|NO|CH4.</t>
  </si>
  <si>
    <t xml:space="preserve">FE_NO|2019|1.B.2.b.ii|NO|N2O</t>
  </si>
  <si>
    <t xml:space="preserve">2019|1.B.2.b.ii|NO|N2O</t>
  </si>
  <si>
    <t xml:space="preserve">Se conserva el estado NO porque la fuente no aporta un factor numérico para la clave interna FE_NO|2019|1.B.2.b.ii|NO|N2O.</t>
  </si>
  <si>
    <t xml:space="preserve">FE_FUG|2019|1.B.2.a.ii|FUGITIVA_PETROLEO|CO2</t>
  </si>
  <si>
    <t xml:space="preserve">2019|1.B.2.a.ii|FUGITIVA_PETROLEO|CO2</t>
  </si>
  <si>
    <t xml:space="preserve">CRT1B2|2019|1.B.2.a.ii|CO2</t>
  </si>
  <si>
    <t xml:space="preserve">Table1.B.2; registro CRT1B2|2019|1.B.2.a.ii|CO2</t>
  </si>
  <si>
    <t xml:space="preserve">Factor fugitivo anual derivado de la emisión CRT y de la extracción PETR de la PSUT. Registro CRT: CRT1B2|2019|1.B.2.a.ii|CO2.</t>
  </si>
  <si>
    <t xml:space="preserve">FE_FUG|2019|1.B.2.a.ii|FUGITIVA_PETROLEO|CH4</t>
  </si>
  <si>
    <t xml:space="preserve">2019|1.B.2.a.ii|FUGITIVA_PETROLEO|CH4</t>
  </si>
  <si>
    <t xml:space="preserve">CRT1B2|2019|1.B.2.a.ii|CH4</t>
  </si>
  <si>
    <t xml:space="preserve">Table1.B.2; registro CRT1B2|2019|1.B.2.a.ii|CH4</t>
  </si>
  <si>
    <t xml:space="preserve">Factor fugitivo anual derivado de la emisión CRT y de la extracción PETR de la PSUT. Registro CRT: CRT1B2|2019|1.B.2.a.ii|CH4.</t>
  </si>
  <si>
    <t xml:space="preserve">FE_FUG|2019|1.B.2.a.ii|FUGITIVA_PETROLEO|N2O</t>
  </si>
  <si>
    <t xml:space="preserve">2019|1.B.2.a.ii|FUGITIVA_PETROLEO|N2O</t>
  </si>
  <si>
    <t xml:space="preserve">CRT1B2|2019|1.B.2.a.ii|N2O</t>
  </si>
  <si>
    <t xml:space="preserve">Table1.B.2; registro CRT1B2|2019|1.B.2.a.ii|N2O</t>
  </si>
  <si>
    <t xml:space="preserve">Factor fugitivo anual derivado de la emisión CRT y de la extracción PETR de la PSUT. Registro CRT: CRT1B2|2019|1.B.2.a.ii|N2O.</t>
  </si>
  <si>
    <t xml:space="preserve">FE_COMB|2020|1.A.1.a.i|BIOMASS|CO2</t>
  </si>
  <si>
    <t xml:space="preserve">2020|1.A.1.a.i|BIOMASS|CO2</t>
  </si>
  <si>
    <t xml:space="preserve">CRT1A|2020|1.A.1.a.i|BIOMASS|CO2</t>
  </si>
  <si>
    <t xml:space="preserve">Table1.A(a)s1; registro CRT1A|2020|1.A.1.a.i|BIOMASS|CO2</t>
  </si>
  <si>
    <t xml:space="preserve">Factor implícito anual derivado de actividad y emisión CRT del mismo año, categoría, grupo y gas. Registro CRT: CRT1A|2020|1.A.1.a.i|BIOMASS|CO2.</t>
  </si>
  <si>
    <t xml:space="preserve">FE_COMB|2020|1.A.1.a.i|BIOMASS|CH4</t>
  </si>
  <si>
    <t xml:space="preserve">2020|1.A.1.a.i|BIOMASS|CH4</t>
  </si>
  <si>
    <t xml:space="preserve">CRT1A|2020|1.A.1.a.i|BIOMASS|CH4</t>
  </si>
  <si>
    <t xml:space="preserve">Table1.A(a)s1; registro CRT1A|2020|1.A.1.a.i|BIOMASS|CH4</t>
  </si>
  <si>
    <t xml:space="preserve">Factor implícito anual derivado de actividad y emisión CRT del mismo año, categoría, grupo y gas. Registro CRT: CRT1A|2020|1.A.1.a.i|BIOMASS|CH4.</t>
  </si>
  <si>
    <t xml:space="preserve">FE_COMB|2020|1.A.1.a.i|BIOMASS|N2O</t>
  </si>
  <si>
    <t xml:space="preserve">2020|1.A.1.a.i|BIOMASS|N2O</t>
  </si>
  <si>
    <t xml:space="preserve">CRT1A|2020|1.A.1.a.i|BIOMASS|N2O</t>
  </si>
  <si>
    <t xml:space="preserve">Table1.A(a)s1; registro CRT1A|2020|1.A.1.a.i|BIOMASS|N2O</t>
  </si>
  <si>
    <t xml:space="preserve">Factor implícito anual derivado de actividad y emisión CRT del mismo año, categoría, grupo y gas. Registro CRT: CRT1A|2020|1.A.1.a.i|BIOMASS|N2O.</t>
  </si>
  <si>
    <t xml:space="preserve">FE_COMB|2020|1.A.1.a.i|SOLID_FUELS|CO2</t>
  </si>
  <si>
    <t xml:space="preserve">2020|1.A.1.a.i|SOLID_FUELS|CO2</t>
  </si>
  <si>
    <t xml:space="preserve">CRT1A|2020|1.A.1.a.i|SOLID_FUELS|CO2</t>
  </si>
  <si>
    <t xml:space="preserve">Table1.A(a)s1; registro CRT1A|2020|1.A.1.a.i|SOLID_FUELS|CO2</t>
  </si>
  <si>
    <t xml:space="preserve">Factor implícito anual derivado de actividad y emisión CRT del mismo año, categoría, grupo y gas. Registro CRT: CRT1A|2020|1.A.1.a.i|SOLID_FUELS|CO2.</t>
  </si>
  <si>
    <t xml:space="preserve">FE_COMB|2020|1.A.1.a.i|SOLID_FUELS|CH4</t>
  </si>
  <si>
    <t xml:space="preserve">2020|1.A.1.a.i|SOLID_FUELS|CH4</t>
  </si>
  <si>
    <t xml:space="preserve">CRT1A|2020|1.A.1.a.i|SOLID_FUELS|CH4</t>
  </si>
  <si>
    <t xml:space="preserve">Table1.A(a)s1; registro CRT1A|2020|1.A.1.a.i|SOLID_FUELS|CH4</t>
  </si>
  <si>
    <t xml:space="preserve">Factor implícito anual derivado de actividad y emisión CRT del mismo año, categoría, grupo y gas. Registro CRT: CRT1A|2020|1.A.1.a.i|SOLID_FUELS|CH4.</t>
  </si>
  <si>
    <t xml:space="preserve">FE_COMB|2020|1.A.1.a.i|SOLID_FUELS|N2O</t>
  </si>
  <si>
    <t xml:space="preserve">2020|1.A.1.a.i|SOLID_FUELS|N2O</t>
  </si>
  <si>
    <t xml:space="preserve">CRT1A|2020|1.A.1.a.i|SOLID_FUELS|N2O</t>
  </si>
  <si>
    <t xml:space="preserve">Table1.A(a)s1; registro CRT1A|2020|1.A.1.a.i|SOLID_FUELS|N2O</t>
  </si>
  <si>
    <t xml:space="preserve">Factor implícito anual derivado de actividad y emisión CRT del mismo año, categoría, grupo y gas. Registro CRT: CRT1A|2020|1.A.1.a.i|SOLID_FUELS|N2O.</t>
  </si>
  <si>
    <t xml:space="preserve">FE_COMB|2020|1.A.1.a.i|LIQUID_FUELS|CO2</t>
  </si>
  <si>
    <t xml:space="preserve">2020|1.A.1.a.i|LIQUID_FUELS|CO2</t>
  </si>
  <si>
    <t xml:space="preserve">CRT1A|2020|1.A.1.a.i|LIQUID_FUELS|CO2</t>
  </si>
  <si>
    <t xml:space="preserve">Table1.A(a)s1; registro CRT1A|2020|1.A.1.a.i|LIQUID_FUELS|CO2</t>
  </si>
  <si>
    <t xml:space="preserve">Factor implícito anual derivado de actividad y emisión CRT del mismo año, categoría, grupo y gas. Registro CRT: CRT1A|2020|1.A.1.a.i|LIQUID_FUELS|CO2.</t>
  </si>
  <si>
    <t xml:space="preserve">FE_COMB|2020|1.A.1.a.i|LIQUID_FUELS|CH4</t>
  </si>
  <si>
    <t xml:space="preserve">2020|1.A.1.a.i|LIQUID_FUELS|CH4</t>
  </si>
  <si>
    <t xml:space="preserve">CRT1A|2020|1.A.1.a.i|LIQUID_FUELS|CH4</t>
  </si>
  <si>
    <t xml:space="preserve">Table1.A(a)s1; registro CRT1A|2020|1.A.1.a.i|LIQUID_FUELS|CH4</t>
  </si>
  <si>
    <t xml:space="preserve">Factor implícito anual derivado de actividad y emisión CRT del mismo año, categoría, grupo y gas. Registro CRT: CRT1A|2020|1.A.1.a.i|LIQUID_FUELS|CH4.</t>
  </si>
  <si>
    <t xml:space="preserve">FE_COMB|2020|1.A.1.a.i|LIQUID_FUELS|N2O</t>
  </si>
  <si>
    <t xml:space="preserve">2020|1.A.1.a.i|LIQUID_FUELS|N2O</t>
  </si>
  <si>
    <t xml:space="preserve">CRT1A|2020|1.A.1.a.i|LIQUID_FUELS|N2O</t>
  </si>
  <si>
    <t xml:space="preserve">Table1.A(a)s1; registro CRT1A|2020|1.A.1.a.i|LIQUID_FUELS|N2O</t>
  </si>
  <si>
    <t xml:space="preserve">Factor implícito anual derivado de actividad y emisión CRT del mismo año, categoría, grupo y gas. Registro CRT: CRT1A|2020|1.A.1.a.i|LIQUID_FUELS|N2O.</t>
  </si>
  <si>
    <t xml:space="preserve">FE_COMB|2020|1.A.1.a.i|GASEOUS_FUELS|CO2</t>
  </si>
  <si>
    <t xml:space="preserve">2020|1.A.1.a.i|GASEOUS_FUELS|CO2</t>
  </si>
  <si>
    <t xml:space="preserve">Se conserva el estado NO porque la fuente no aporta un factor numérico para la clave interna FE_COMB|2020|1.A.1.a.i|GASEOUS_FUELS|CO2.</t>
  </si>
  <si>
    <t xml:space="preserve">FE_COMB|2020|1.A.1.a.i|GASEOUS_FUELS|CH4</t>
  </si>
  <si>
    <t xml:space="preserve">2020|1.A.1.a.i|GASEOUS_FUELS|CH4</t>
  </si>
  <si>
    <t xml:space="preserve">Se conserva el estado NO porque la fuente no aporta un factor numérico para la clave interna FE_COMB|2020|1.A.1.a.i|GASEOUS_FUELS|CH4.</t>
  </si>
  <si>
    <t xml:space="preserve">FE_COMB|2020|1.A.1.a.i|GASEOUS_FUELS|N2O</t>
  </si>
  <si>
    <t xml:space="preserve">2020|1.A.1.a.i|GASEOUS_FUELS|N2O</t>
  </si>
  <si>
    <t xml:space="preserve">Se conserva el estado NO porque la fuente no aporta un factor numérico para la clave interna FE_COMB|2020|1.A.1.a.i|GASEOUS_FUELS|N2O.</t>
  </si>
  <si>
    <t xml:space="preserve">FE_COMB|2020|1.A.1.b|LIQUID_FUELS|CO2</t>
  </si>
  <si>
    <t xml:space="preserve">2020|1.A.1.b|LIQUID_FUELS|CO2</t>
  </si>
  <si>
    <t xml:space="preserve">CRT1A|2020|1.A.1.b|LIQUID_FUELS|CO2</t>
  </si>
  <si>
    <t xml:space="preserve">Table1.A(a)s1; registro CRT1A|2020|1.A.1.b|LIQUID_FUELS|CO2</t>
  </si>
  <si>
    <t xml:space="preserve">Factor implícito anual derivado de actividad y emisión CRT del mismo año, categoría, grupo y gas. Registro CRT: CRT1A|2020|1.A.1.b|LIQUID_FUELS|CO2.</t>
  </si>
  <si>
    <t xml:space="preserve">FE_COMB|2020|1.A.1.b|LIQUID_FUELS|CH4</t>
  </si>
  <si>
    <t xml:space="preserve">2020|1.A.1.b|LIQUID_FUELS|CH4</t>
  </si>
  <si>
    <t xml:space="preserve">CRT1A|2020|1.A.1.b|LIQUID_FUELS|CH4</t>
  </si>
  <si>
    <t xml:space="preserve">Table1.A(a)s1; registro CRT1A|2020|1.A.1.b|LIQUID_FUELS|CH4</t>
  </si>
  <si>
    <t xml:space="preserve">Factor implícito anual derivado de actividad y emisión CRT del mismo año, categoría, grupo y gas. Registro CRT: CRT1A|2020|1.A.1.b|LIQUID_FUELS|CH4.</t>
  </si>
  <si>
    <t xml:space="preserve">FE_COMB|2020|1.A.1.b|LIQUID_FUELS|N2O</t>
  </si>
  <si>
    <t xml:space="preserve">2020|1.A.1.b|LIQUID_FUELS|N2O</t>
  </si>
  <si>
    <t xml:space="preserve">CRT1A|2020|1.A.1.b|LIQUID_FUELS|N2O</t>
  </si>
  <si>
    <t xml:space="preserve">Table1.A(a)s1; registro CRT1A|2020|1.A.1.b|LIQUID_FUELS|N2O</t>
  </si>
  <si>
    <t xml:space="preserve">Factor implícito anual derivado de actividad y emisión CRT del mismo año, categoría, grupo y gas. Registro CRT: CRT1A|2020|1.A.1.b|LIQUID_FUELS|N2O.</t>
  </si>
  <si>
    <t xml:space="preserve">FE_COMB|2020|1.A.2|AGREGADO_FOSIL|CO2</t>
  </si>
  <si>
    <t xml:space="preserve">2020|1.A.2|AGREGADO_FOSIL|CO2</t>
  </si>
  <si>
    <t xml:space="preserve">CRT1A|2020|1.A.2|AGREGADO_FOSIL|CO2</t>
  </si>
  <si>
    <t xml:space="preserve">Table1.A(a)s2; registro CRT1A|2020|1.A.2|AGREGADO_FOSIL|CO2</t>
  </si>
  <si>
    <t xml:space="preserve">Factor implícito anual derivado de actividad y emisión CRT del mismo año, categoría, grupo y gas. Registro CRT: CRT1A|2020|1.A.2|AGREGADO_FOSIL|CO2.</t>
  </si>
  <si>
    <t xml:space="preserve">FE_COMB|2020|1.A.2|AGREGADO_FOSIL|CH4</t>
  </si>
  <si>
    <t xml:space="preserve">2020|1.A.2|AGREGADO_FOSIL|CH4</t>
  </si>
  <si>
    <t xml:space="preserve">CRT1A|2020|1.A.2|AGREGADO_FOSIL|CH4</t>
  </si>
  <si>
    <t xml:space="preserve">Table1.A(a)s2; registro CRT1A|2020|1.A.2|AGREGADO_FOSIL|CH4</t>
  </si>
  <si>
    <t xml:space="preserve">Factor implícito anual derivado de actividad y emisión CRT del mismo año, categoría, grupo y gas. Registro CRT: CRT1A|2020|1.A.2|AGREGADO_FOSIL|CH4.</t>
  </si>
  <si>
    <t xml:space="preserve">FE_COMB|2020|1.A.2|AGREGADO_FOSIL|N2O</t>
  </si>
  <si>
    <t xml:space="preserve">2020|1.A.2|AGREGADO_FOSIL|N2O</t>
  </si>
  <si>
    <t xml:space="preserve">CRT1A|2020|1.A.2|AGREGADO_FOSIL|N2O</t>
  </si>
  <si>
    <t xml:space="preserve">Table1.A(a)s2; registro CRT1A|2020|1.A.2|AGREGADO_FOSIL|N2O</t>
  </si>
  <si>
    <t xml:space="preserve">Factor implícito anual derivado de actividad y emisión CRT del mismo año, categoría, grupo y gas. Registro CRT: CRT1A|2020|1.A.2|AGREGADO_FOSIL|N2O.</t>
  </si>
  <si>
    <t xml:space="preserve">FE_COMB|2020|1.A.3|AGREGADO_FOSIL|CO2</t>
  </si>
  <si>
    <t xml:space="preserve">2020|1.A.3|AGREGADO_FOSIL|CO2</t>
  </si>
  <si>
    <t xml:space="preserve">CRT1A|2020|1.A.3|AGREGADO_FOSIL|CO2</t>
  </si>
  <si>
    <t xml:space="preserve">Table1.A(a)s3; registro CRT1A|2020|1.A.3|AGREGADO_FOSIL|CO2</t>
  </si>
  <si>
    <t xml:space="preserve">Factor implícito anual derivado de actividad y emisión CRT del mismo año, categoría, grupo y gas. Registro CRT: CRT1A|2020|1.A.3|AGREGADO_FOSIL|CO2.</t>
  </si>
  <si>
    <t xml:space="preserve">FE_COMB|2020|1.A.3|AGREGADO_FOSIL|CH4</t>
  </si>
  <si>
    <t xml:space="preserve">2020|1.A.3|AGREGADO_FOSIL|CH4</t>
  </si>
  <si>
    <t xml:space="preserve">CRT1A|2020|1.A.3|AGREGADO_FOSIL|CH4</t>
  </si>
  <si>
    <t xml:space="preserve">Table1.A(a)s3; registro CRT1A|2020|1.A.3|AGREGADO_FOSIL|CH4</t>
  </si>
  <si>
    <t xml:space="preserve">Factor implícito anual derivado de actividad y emisión CRT del mismo año, categoría, grupo y gas. Registro CRT: CRT1A|2020|1.A.3|AGREGADO_FOSIL|CH4.</t>
  </si>
  <si>
    <t xml:space="preserve">FE_COMB|2020|1.A.3|AGREGADO_FOSIL|N2O</t>
  </si>
  <si>
    <t xml:space="preserve">2020|1.A.3|AGREGADO_FOSIL|N2O</t>
  </si>
  <si>
    <t xml:space="preserve">CRT1A|2020|1.A.3|AGREGADO_FOSIL|N2O</t>
  </si>
  <si>
    <t xml:space="preserve">Table1.A(a)s3; registro CRT1A|2020|1.A.3|AGREGADO_FOSIL|N2O</t>
  </si>
  <si>
    <t xml:space="preserve">Factor implícito anual derivado de actividad y emisión CRT del mismo año, categoría, grupo y gas. Registro CRT: CRT1A|2020|1.A.3|AGREGADO_FOSIL|N2O.</t>
  </si>
  <si>
    <t xml:space="preserve">FE_COMB|2020|1.A.4.a|BIOMASS|CO2</t>
  </si>
  <si>
    <t xml:space="preserve">2020|1.A.4.a|BIOMASS|CO2</t>
  </si>
  <si>
    <t xml:space="preserve">CRT1A|2020|1.A.4.a|BIOMASS|CO2</t>
  </si>
  <si>
    <t xml:space="preserve">Table1.A(a)s4; registro CRT1A|2020|1.A.4.a|BIOMASS|CO2</t>
  </si>
  <si>
    <t xml:space="preserve">Factor implícito anual derivado de actividad y emisión CRT del mismo año, categoría, grupo y gas. Registro CRT: CRT1A|2020|1.A.4.a|BIOMASS|CO2.</t>
  </si>
  <si>
    <t xml:space="preserve">FE_COMB|2020|1.A.4.a|BIOMASS|CH4</t>
  </si>
  <si>
    <t xml:space="preserve">2020|1.A.4.a|BIOMASS|CH4</t>
  </si>
  <si>
    <t xml:space="preserve">CRT1A|2020|1.A.4.a|BIOMASS|CH4</t>
  </si>
  <si>
    <t xml:space="preserve">Table1.A(a)s4; registro CRT1A|2020|1.A.4.a|BIOMASS|CH4</t>
  </si>
  <si>
    <t xml:space="preserve">Factor implícito anual derivado de actividad y emisión CRT del mismo año, categoría, grupo y gas. Registro CRT: CRT1A|2020|1.A.4.a|BIOMASS|CH4.</t>
  </si>
  <si>
    <t xml:space="preserve">FE_COMB|2020|1.A.4.a|BIOMASS|N2O</t>
  </si>
  <si>
    <t xml:space="preserve">2020|1.A.4.a|BIOMASS|N2O</t>
  </si>
  <si>
    <t xml:space="preserve">CRT1A|2020|1.A.4.a|BIOMASS|N2O</t>
  </si>
  <si>
    <t xml:space="preserve">Table1.A(a)s4; registro CRT1A|2020|1.A.4.a|BIOMASS|N2O</t>
  </si>
  <si>
    <t xml:space="preserve">Factor implícito anual derivado de actividad y emisión CRT del mismo año, categoría, grupo y gas. Registro CRT: CRT1A|2020|1.A.4.a|BIOMASS|N2O.</t>
  </si>
  <si>
    <t xml:space="preserve">FE_COMB|2020|1.A.4.a|LIQUID_FUELS|CO2</t>
  </si>
  <si>
    <t xml:space="preserve">2020|1.A.4.a|LIQUID_FUELS|CO2</t>
  </si>
  <si>
    <t xml:space="preserve">CRT1A|2020|1.A.4.a|LIQUID_FUELS|CO2</t>
  </si>
  <si>
    <t xml:space="preserve">Table1.A(a)s4; registro CRT1A|2020|1.A.4.a|LIQUID_FUELS|CO2</t>
  </si>
  <si>
    <t xml:space="preserve">Factor implícito anual derivado de actividad y emisión CRT del mismo año, categoría, grupo y gas. Registro CRT: CRT1A|2020|1.A.4.a|LIQUID_FUELS|CO2.</t>
  </si>
  <si>
    <t xml:space="preserve">FE_COMB|2020|1.A.4.a|LIQUID_FUELS|CH4</t>
  </si>
  <si>
    <t xml:space="preserve">2020|1.A.4.a|LIQUID_FUELS|CH4</t>
  </si>
  <si>
    <t xml:space="preserve">CRT1A|2020|1.A.4.a|LIQUID_FUELS|CH4</t>
  </si>
  <si>
    <t xml:space="preserve">Table1.A(a)s4; registro CRT1A|2020|1.A.4.a|LIQUID_FUELS|CH4</t>
  </si>
  <si>
    <t xml:space="preserve">Factor implícito anual derivado de actividad y emisión CRT del mismo año, categoría, grupo y gas. Registro CRT: CRT1A|2020|1.A.4.a|LIQUID_FUELS|CH4.</t>
  </si>
  <si>
    <t xml:space="preserve">FE_COMB|2020|1.A.4.a|LIQUID_FUELS|N2O</t>
  </si>
  <si>
    <t xml:space="preserve">2020|1.A.4.a|LIQUID_FUELS|N2O</t>
  </si>
  <si>
    <t xml:space="preserve">CRT1A|2020|1.A.4.a|LIQUID_FUELS|N2O</t>
  </si>
  <si>
    <t xml:space="preserve">Table1.A(a)s4; registro CRT1A|2020|1.A.4.a|LIQUID_FUELS|N2O</t>
  </si>
  <si>
    <t xml:space="preserve">Factor implícito anual derivado de actividad y emisión CRT del mismo año, categoría, grupo y gas. Registro CRT: CRT1A|2020|1.A.4.a|LIQUID_FUELS|N2O.</t>
  </si>
  <si>
    <t xml:space="preserve">FE_COMB|2020|1.A.4.b|BIOMASS|CO2</t>
  </si>
  <si>
    <t xml:space="preserve">2020|1.A.4.b|BIOMASS|CO2</t>
  </si>
  <si>
    <t xml:space="preserve">CRT1A|2020|1.A.4.b|BIOMASS|CO2</t>
  </si>
  <si>
    <t xml:space="preserve">Table1.A(a)s4; registro CRT1A|2020|1.A.4.b|BIOMASS|CO2</t>
  </si>
  <si>
    <t xml:space="preserve">Factor implícito anual derivado de actividad y emisión CRT del mismo año, categoría, grupo y gas. Registro CRT: CRT1A|2020|1.A.4.b|BIOMASS|CO2.</t>
  </si>
  <si>
    <t xml:space="preserve">FE_COMB|2020|1.A.4.b|BIOMASS|CH4</t>
  </si>
  <si>
    <t xml:space="preserve">2020|1.A.4.b|BIOMASS|CH4</t>
  </si>
  <si>
    <t xml:space="preserve">CRT1A|2020|1.A.4.b|BIOMASS|CH4</t>
  </si>
  <si>
    <t xml:space="preserve">Table1.A(a)s4; registro CRT1A|2020|1.A.4.b|BIOMASS|CH4</t>
  </si>
  <si>
    <t xml:space="preserve">Factor implícito anual derivado de actividad y emisión CRT del mismo año, categoría, grupo y gas. Registro CRT: CRT1A|2020|1.A.4.b|BIOMASS|CH4.</t>
  </si>
  <si>
    <t xml:space="preserve">FE_COMB|2020|1.A.4.b|BIOMASS|N2O</t>
  </si>
  <si>
    <t xml:space="preserve">2020|1.A.4.b|BIOMASS|N2O</t>
  </si>
  <si>
    <t xml:space="preserve">CRT1A|2020|1.A.4.b|BIOMASS|N2O</t>
  </si>
  <si>
    <t xml:space="preserve">Table1.A(a)s4; registro CRT1A|2020|1.A.4.b|BIOMASS|N2O</t>
  </si>
  <si>
    <t xml:space="preserve">Factor implícito anual derivado de actividad y emisión CRT del mismo año, categoría, grupo y gas. Registro CRT: CRT1A|2020|1.A.4.b|BIOMASS|N2O.</t>
  </si>
  <si>
    <t xml:space="preserve">FE_COMB|2020|1.A.4.b|LIQUID_FUELS|CO2</t>
  </si>
  <si>
    <t xml:space="preserve">2020|1.A.4.b|LIQUID_FUELS|CO2</t>
  </si>
  <si>
    <t xml:space="preserve">CRT1A|2020|1.A.4.b|LIQUID_FUELS|CO2</t>
  </si>
  <si>
    <t xml:space="preserve">Table1.A(a)s4; registro CRT1A|2020|1.A.4.b|LIQUID_FUELS|CO2</t>
  </si>
  <si>
    <t xml:space="preserve">Factor implícito anual derivado de actividad y emisión CRT del mismo año, categoría, grupo y gas. Registro CRT: CRT1A|2020|1.A.4.b|LIQUID_FUELS|CO2.</t>
  </si>
  <si>
    <t xml:space="preserve">FE_COMB|2020|1.A.4.b|LIQUID_FUELS|CH4</t>
  </si>
  <si>
    <t xml:space="preserve">2020|1.A.4.b|LIQUID_FUELS|CH4</t>
  </si>
  <si>
    <t xml:space="preserve">CRT1A|2020|1.A.4.b|LIQUID_FUELS|CH4</t>
  </si>
  <si>
    <t xml:space="preserve">Table1.A(a)s4; registro CRT1A|2020|1.A.4.b|LIQUID_FUELS|CH4</t>
  </si>
  <si>
    <t xml:space="preserve">Factor implícito anual derivado de actividad y emisión CRT del mismo año, categoría, grupo y gas. Registro CRT: CRT1A|2020|1.A.4.b|LIQUID_FUELS|CH4.</t>
  </si>
  <si>
    <t xml:space="preserve">FE_COMB|2020|1.A.4.b|LIQUID_FUELS|N2O</t>
  </si>
  <si>
    <t xml:space="preserve">2020|1.A.4.b|LIQUID_FUELS|N2O</t>
  </si>
  <si>
    <t xml:space="preserve">CRT1A|2020|1.A.4.b|LIQUID_FUELS|N2O</t>
  </si>
  <si>
    <t xml:space="preserve">Table1.A(a)s4; registro CRT1A|2020|1.A.4.b|LIQUID_FUELS|N2O</t>
  </si>
  <si>
    <t xml:space="preserve">Factor implícito anual derivado de actividad y emisión CRT del mismo año, categoría, grupo y gas. Registro CRT: CRT1A|2020|1.A.4.b|LIQUID_FUELS|N2O.</t>
  </si>
  <si>
    <t xml:space="preserve">FE_COMB|2020|1.A.1.a.i|CERO_DIRECTO|CO2</t>
  </si>
  <si>
    <t xml:space="preserve">2020|1.A.1.a.i|CERO_DIRECTO|CO2</t>
  </si>
  <si>
    <t xml:space="preserve">FE_COMB|2020|1.A.1.a.i|CERO_DIRECTO|CH4</t>
  </si>
  <si>
    <t xml:space="preserve">2020|1.A.1.a.i|CERO_DIRECTO|CH4</t>
  </si>
  <si>
    <t xml:space="preserve">FE_COMB|2020|1.A.1.a.i|CERO_DIRECTO|N2O</t>
  </si>
  <si>
    <t xml:space="preserve">2020|1.A.1.a.i|CERO_DIRECTO|N2O</t>
  </si>
  <si>
    <t xml:space="preserve">FE_COMB|2020|1.A.1.c|CERO_DIRECTO|CO2</t>
  </si>
  <si>
    <t xml:space="preserve">2020|1.A.1.c|CERO_DIRECTO|CO2</t>
  </si>
  <si>
    <t xml:space="preserve">FE_COMB|2020|1.A.1.c|CERO_DIRECTO|CH4</t>
  </si>
  <si>
    <t xml:space="preserve">2020|1.A.1.c|CERO_DIRECTO|CH4</t>
  </si>
  <si>
    <t xml:space="preserve">FE_COMB|2020|1.A.1.c|CERO_DIRECTO|N2O</t>
  </si>
  <si>
    <t xml:space="preserve">2020|1.A.1.c|CERO_DIRECTO|N2O</t>
  </si>
  <si>
    <t xml:space="preserve">FE_COMB|2020|1.A.2|CERO_DIRECTO|CO2</t>
  </si>
  <si>
    <t xml:space="preserve">2020|1.A.2|CERO_DIRECTO|CO2</t>
  </si>
  <si>
    <t xml:space="preserve">FE_COMB|2020|1.A.2|CERO_DIRECTO|CH4</t>
  </si>
  <si>
    <t xml:space="preserve">2020|1.A.2|CERO_DIRECTO|CH4</t>
  </si>
  <si>
    <t xml:space="preserve">FE_COMB|2020|1.A.2|CERO_DIRECTO|N2O</t>
  </si>
  <si>
    <t xml:space="preserve">2020|1.A.2|CERO_DIRECTO|N2O</t>
  </si>
  <si>
    <t xml:space="preserve">FE_COMB|2020|1.A.3|CERO_DIRECTO|CO2</t>
  </si>
  <si>
    <t xml:space="preserve">2020|1.A.3|CERO_DIRECTO|CO2</t>
  </si>
  <si>
    <t xml:space="preserve">FE_COMB|2020|1.A.3|CERO_DIRECTO|CH4</t>
  </si>
  <si>
    <t xml:space="preserve">2020|1.A.3|CERO_DIRECTO|CH4</t>
  </si>
  <si>
    <t xml:space="preserve">FE_COMB|2020|1.A.3|CERO_DIRECTO|N2O</t>
  </si>
  <si>
    <t xml:space="preserve">2020|1.A.3|CERO_DIRECTO|N2O</t>
  </si>
  <si>
    <t xml:space="preserve">FE_COMB|2020|1.A.4.a|CERO_DIRECTO|CO2</t>
  </si>
  <si>
    <t xml:space="preserve">2020|1.A.4.a|CERO_DIRECTO|CO2</t>
  </si>
  <si>
    <t xml:space="preserve">FE_COMB|2020|1.A.4.a|CERO_DIRECTO|CH4</t>
  </si>
  <si>
    <t xml:space="preserve">2020|1.A.4.a|CERO_DIRECTO|CH4</t>
  </si>
  <si>
    <t xml:space="preserve">FE_COMB|2020|1.A.4.a|CERO_DIRECTO|N2O</t>
  </si>
  <si>
    <t xml:space="preserve">2020|1.A.4.a|CERO_DIRECTO|N2O</t>
  </si>
  <si>
    <t xml:space="preserve">FE_COMB|2020|1.A.4.b|CERO_DIRECTO|CO2</t>
  </si>
  <si>
    <t xml:space="preserve">2020|1.A.4.b|CERO_DIRECTO|CO2</t>
  </si>
  <si>
    <t xml:space="preserve">FE_COMB|2020|1.A.4.b|CERO_DIRECTO|CH4</t>
  </si>
  <si>
    <t xml:space="preserve">2020|1.A.4.b|CERO_DIRECTO|CH4</t>
  </si>
  <si>
    <t xml:space="preserve">FE_COMB|2020|1.A.4.b|CERO_DIRECTO|N2O</t>
  </si>
  <si>
    <t xml:space="preserve">2020|1.A.4.b|CERO_DIRECTO|N2O</t>
  </si>
  <si>
    <t xml:space="preserve">FE_NO|2020|1.A.1.c|NO|CO2</t>
  </si>
  <si>
    <t xml:space="preserve">2020|1.A.1.c|NO|CO2</t>
  </si>
  <si>
    <t xml:space="preserve">Se conserva el estado NO porque la fuente no aporta un factor numérico para la clave interna FE_NO|2020|1.A.1.c|NO|CO2.</t>
  </si>
  <si>
    <t xml:space="preserve">FE_NO|2020|1.A.1.c|NO|CH4</t>
  </si>
  <si>
    <t xml:space="preserve">2020|1.A.1.c|NO|CH4</t>
  </si>
  <si>
    <t xml:space="preserve">Se conserva el estado NO porque la fuente no aporta un factor numérico para la clave interna FE_NO|2020|1.A.1.c|NO|CH4.</t>
  </si>
  <si>
    <t xml:space="preserve">FE_NO|2020|1.A.1.c|NO|N2O</t>
  </si>
  <si>
    <t xml:space="preserve">2020|1.A.1.c|NO|N2O</t>
  </si>
  <si>
    <t xml:space="preserve">Se conserva el estado NO porque la fuente no aporta un factor numérico para la clave interna FE_NO|2020|1.A.1.c|NO|N2O.</t>
  </si>
  <si>
    <t xml:space="preserve">FE_NO|2020|1.A.4.c|NO|CO2</t>
  </si>
  <si>
    <t xml:space="preserve">2020|1.A.4.c|NO|CO2</t>
  </si>
  <si>
    <t xml:space="preserve">Se conserva el estado NO porque la fuente no aporta un factor numérico para la clave interna FE_NO|2020|1.A.4.c|NO|CO2.</t>
  </si>
  <si>
    <t xml:space="preserve">FE_NO|2020|1.A.4.c|NO|CH4</t>
  </si>
  <si>
    <t xml:space="preserve">2020|1.A.4.c|NO|CH4</t>
  </si>
  <si>
    <t xml:space="preserve">Se conserva el estado NO porque la fuente no aporta un factor numérico para la clave interna FE_NO|2020|1.A.4.c|NO|CH4.</t>
  </si>
  <si>
    <t xml:space="preserve">FE_NO|2020|1.A.4.c|NO|N2O</t>
  </si>
  <si>
    <t xml:space="preserve">2020|1.A.4.c|NO|N2O</t>
  </si>
  <si>
    <t xml:space="preserve">Se conserva el estado NO porque la fuente no aporta un factor numérico para la clave interna FE_NO|2020|1.A.4.c|NO|N2O.</t>
  </si>
  <si>
    <t xml:space="preserve">FE_NO|2020|1.B.1.a|NO|CO2</t>
  </si>
  <si>
    <t xml:space="preserve">2020|1.B.1.a|NO|CO2</t>
  </si>
  <si>
    <t xml:space="preserve">Se conserva el estado NO porque la fuente no aporta un factor numérico para la clave interna FE_NO|2020|1.B.1.a|NO|CO2.</t>
  </si>
  <si>
    <t xml:space="preserve">FE_NO|2020|1.B.1.a|NO|CH4</t>
  </si>
  <si>
    <t xml:space="preserve">2020|1.B.1.a|NO|CH4</t>
  </si>
  <si>
    <t xml:space="preserve">Se conserva el estado NO porque la fuente no aporta un factor numérico para la clave interna FE_NO|2020|1.B.1.a|NO|CH4.</t>
  </si>
  <si>
    <t xml:space="preserve">FE_NO|2020|1.B.1.a|NO|N2O</t>
  </si>
  <si>
    <t xml:space="preserve">2020|1.B.1.a|NO|N2O</t>
  </si>
  <si>
    <t xml:space="preserve">Se conserva el estado NO porque la fuente no aporta un factor numérico para la clave interna FE_NO|2020|1.B.1.a|NO|N2O.</t>
  </si>
  <si>
    <t xml:space="preserve">FE_NO|2020|1.B.2.b.ii|NO|CO2</t>
  </si>
  <si>
    <t xml:space="preserve">2020|1.B.2.b.ii|NO|CO2</t>
  </si>
  <si>
    <t xml:space="preserve">Se conserva el estado NO porque la fuente no aporta un factor numérico para la clave interna FE_NO|2020|1.B.2.b.ii|NO|CO2.</t>
  </si>
  <si>
    <t xml:space="preserve">FE_NO|2020|1.B.2.b.ii|NO|CH4</t>
  </si>
  <si>
    <t xml:space="preserve">2020|1.B.2.b.ii|NO|CH4</t>
  </si>
  <si>
    <t xml:space="preserve">Se conserva el estado NO porque la fuente no aporta un factor numérico para la clave interna FE_NO|2020|1.B.2.b.ii|NO|CH4.</t>
  </si>
  <si>
    <t xml:space="preserve">FE_NO|2020|1.B.2.b.ii|NO|N2O</t>
  </si>
  <si>
    <t xml:space="preserve">2020|1.B.2.b.ii|NO|N2O</t>
  </si>
  <si>
    <t xml:space="preserve">Se conserva el estado NO porque la fuente no aporta un factor numérico para la clave interna FE_NO|2020|1.B.2.b.ii|NO|N2O.</t>
  </si>
  <si>
    <t xml:space="preserve">FE_FUG|2020|1.B.2.a.ii|FUGITIVA_PETROLEO|CO2</t>
  </si>
  <si>
    <t xml:space="preserve">2020|1.B.2.a.ii|FUGITIVA_PETROLEO|CO2</t>
  </si>
  <si>
    <t xml:space="preserve">CRT1B2|2020|1.B.2.a.ii|CO2</t>
  </si>
  <si>
    <t xml:space="preserve">Table1.B.2; registro CRT1B2|2020|1.B.2.a.ii|CO2</t>
  </si>
  <si>
    <t xml:space="preserve">Factor fugitivo anual derivado de la emisión CRT y de la extracción PETR de la PSUT. Registro CRT: CRT1B2|2020|1.B.2.a.ii|CO2.</t>
  </si>
  <si>
    <t xml:space="preserve">FE_FUG|2020|1.B.2.a.ii|FUGITIVA_PETROLEO|CH4</t>
  </si>
  <si>
    <t xml:space="preserve">2020|1.B.2.a.ii|FUGITIVA_PETROLEO|CH4</t>
  </si>
  <si>
    <t xml:space="preserve">CRT1B2|2020|1.B.2.a.ii|CH4</t>
  </si>
  <si>
    <t xml:space="preserve">Table1.B.2; registro CRT1B2|2020|1.B.2.a.ii|CH4</t>
  </si>
  <si>
    <t xml:space="preserve">Factor fugitivo anual derivado de la emisión CRT y de la extracción PETR de la PSUT. Registro CRT: CRT1B2|2020|1.B.2.a.ii|CH4.</t>
  </si>
  <si>
    <t xml:space="preserve">FE_FUG|2020|1.B.2.a.ii|FUGITIVA_PETROLEO|N2O</t>
  </si>
  <si>
    <t xml:space="preserve">2020|1.B.2.a.ii|FUGITIVA_PETROLEO|N2O</t>
  </si>
  <si>
    <t xml:space="preserve">CRT1B2|2020|1.B.2.a.ii|N2O</t>
  </si>
  <si>
    <t xml:space="preserve">Table1.B.2; registro CRT1B2|2020|1.B.2.a.ii|N2O</t>
  </si>
  <si>
    <t xml:space="preserve">Factor fugitivo anual derivado de la emisión CRT y de la extracción PETR de la PSUT. Registro CRT: CRT1B2|2020|1.B.2.a.ii|N2O.</t>
  </si>
  <si>
    <t xml:space="preserve">FE_COMB|2021|1.A.1.a.i|BIOMASS|CO2</t>
  </si>
  <si>
    <t xml:space="preserve">2021|1.A.1.a.i|BIOMASS|CO2</t>
  </si>
  <si>
    <t xml:space="preserve">CRT1A|2021|1.A.1.a.i|BIOMASS|CO2</t>
  </si>
  <si>
    <t xml:space="preserve">Table1.A(a)s1; registro CRT1A|2021|1.A.1.a.i|BIOMASS|CO2</t>
  </si>
  <si>
    <t xml:space="preserve">Factor implícito anual derivado de actividad y emisión CRT del mismo año, categoría, grupo y gas. Registro CRT: CRT1A|2021|1.A.1.a.i|BIOMASS|CO2.</t>
  </si>
  <si>
    <t xml:space="preserve">FE_COMB|2021|1.A.1.a.i|BIOMASS|CH4</t>
  </si>
  <si>
    <t xml:space="preserve">2021|1.A.1.a.i|BIOMASS|CH4</t>
  </si>
  <si>
    <t xml:space="preserve">CRT1A|2021|1.A.1.a.i|BIOMASS|CH4</t>
  </si>
  <si>
    <t xml:space="preserve">Table1.A(a)s1; registro CRT1A|2021|1.A.1.a.i|BIOMASS|CH4</t>
  </si>
  <si>
    <t xml:space="preserve">Factor implícito anual derivado de actividad y emisión CRT del mismo año, categoría, grupo y gas. Registro CRT: CRT1A|2021|1.A.1.a.i|BIOMASS|CH4.</t>
  </si>
  <si>
    <t xml:space="preserve">FE_COMB|2021|1.A.1.a.i|BIOMASS|N2O</t>
  </si>
  <si>
    <t xml:space="preserve">2021|1.A.1.a.i|BIOMASS|N2O</t>
  </si>
  <si>
    <t xml:space="preserve">CRT1A|2021|1.A.1.a.i|BIOMASS|N2O</t>
  </si>
  <si>
    <t xml:space="preserve">Table1.A(a)s1; registro CRT1A|2021|1.A.1.a.i|BIOMASS|N2O</t>
  </si>
  <si>
    <t xml:space="preserve">Factor implícito anual derivado de actividad y emisión CRT del mismo año, categoría, grupo y gas. Registro CRT: CRT1A|2021|1.A.1.a.i|BIOMASS|N2O.</t>
  </si>
  <si>
    <t xml:space="preserve">FE_COMB|2021|1.A.1.a.i|SOLID_FUELS|CO2</t>
  </si>
  <si>
    <t xml:space="preserve">2021|1.A.1.a.i|SOLID_FUELS|CO2</t>
  </si>
  <si>
    <t xml:space="preserve">CRT1A|2021|1.A.1.a.i|SOLID_FUELS|CO2</t>
  </si>
  <si>
    <t xml:space="preserve">Table1.A(a)s1; registro CRT1A|2021|1.A.1.a.i|SOLID_FUELS|CO2</t>
  </si>
  <si>
    <t xml:space="preserve">Factor implícito anual derivado de actividad y emisión CRT del mismo año, categoría, grupo y gas. Registro CRT: CRT1A|2021|1.A.1.a.i|SOLID_FUELS|CO2.</t>
  </si>
  <si>
    <t xml:space="preserve">FE_COMB|2021|1.A.1.a.i|SOLID_FUELS|CH4</t>
  </si>
  <si>
    <t xml:space="preserve">2021|1.A.1.a.i|SOLID_FUELS|CH4</t>
  </si>
  <si>
    <t xml:space="preserve">CRT1A|2021|1.A.1.a.i|SOLID_FUELS|CH4</t>
  </si>
  <si>
    <t xml:space="preserve">Table1.A(a)s1; registro CRT1A|2021|1.A.1.a.i|SOLID_FUELS|CH4</t>
  </si>
  <si>
    <t xml:space="preserve">Factor implícito anual derivado de actividad y emisión CRT del mismo año, categoría, grupo y gas. Registro CRT: CRT1A|2021|1.A.1.a.i|SOLID_FUELS|CH4.</t>
  </si>
  <si>
    <t xml:space="preserve">FE_COMB|2021|1.A.1.a.i|SOLID_FUELS|N2O</t>
  </si>
  <si>
    <t xml:space="preserve">2021|1.A.1.a.i|SOLID_FUELS|N2O</t>
  </si>
  <si>
    <t xml:space="preserve">CRT1A|2021|1.A.1.a.i|SOLID_FUELS|N2O</t>
  </si>
  <si>
    <t xml:space="preserve">Table1.A(a)s1; registro CRT1A|2021|1.A.1.a.i|SOLID_FUELS|N2O</t>
  </si>
  <si>
    <t xml:space="preserve">Factor implícito anual derivado de actividad y emisión CRT del mismo año, categoría, grupo y gas. Registro CRT: CRT1A|2021|1.A.1.a.i|SOLID_FUELS|N2O.</t>
  </si>
  <si>
    <t xml:space="preserve">FE_COMB|2021|1.A.1.a.i|LIQUID_FUELS|CO2</t>
  </si>
  <si>
    <t xml:space="preserve">2021|1.A.1.a.i|LIQUID_FUELS|CO2</t>
  </si>
  <si>
    <t xml:space="preserve">CRT1A|2021|1.A.1.a.i|LIQUID_FUELS|CO2</t>
  </si>
  <si>
    <t xml:space="preserve">Table1.A(a)s1; registro CRT1A|2021|1.A.1.a.i|LIQUID_FUELS|CO2</t>
  </si>
  <si>
    <t xml:space="preserve">Factor implícito anual derivado de actividad y emisión CRT del mismo año, categoría, grupo y gas. Registro CRT: CRT1A|2021|1.A.1.a.i|LIQUID_FUELS|CO2.</t>
  </si>
  <si>
    <t xml:space="preserve">FE_COMB|2021|1.A.1.a.i|LIQUID_FUELS|CH4</t>
  </si>
  <si>
    <t xml:space="preserve">2021|1.A.1.a.i|LIQUID_FUELS|CH4</t>
  </si>
  <si>
    <t xml:space="preserve">CRT1A|2021|1.A.1.a.i|LIQUID_FUELS|CH4</t>
  </si>
  <si>
    <t xml:space="preserve">Table1.A(a)s1; registro CRT1A|2021|1.A.1.a.i|LIQUID_FUELS|CH4</t>
  </si>
  <si>
    <t xml:space="preserve">Factor implícito anual derivado de actividad y emisión CRT del mismo año, categoría, grupo y gas. Registro CRT: CRT1A|2021|1.A.1.a.i|LIQUID_FUELS|CH4.</t>
  </si>
  <si>
    <t xml:space="preserve">FE_COMB|2021|1.A.1.a.i|LIQUID_FUELS|N2O</t>
  </si>
  <si>
    <t xml:space="preserve">2021|1.A.1.a.i|LIQUID_FUELS|N2O</t>
  </si>
  <si>
    <t xml:space="preserve">CRT1A|2021|1.A.1.a.i|LIQUID_FUELS|N2O</t>
  </si>
  <si>
    <t xml:space="preserve">Table1.A(a)s1; registro CRT1A|2021|1.A.1.a.i|LIQUID_FUELS|N2O</t>
  </si>
  <si>
    <t xml:space="preserve">Factor implícito anual derivado de actividad y emisión CRT del mismo año, categoría, grupo y gas. Registro CRT: CRT1A|2021|1.A.1.a.i|LIQUID_FUELS|N2O.</t>
  </si>
  <si>
    <t xml:space="preserve">FE_COMB|2021|1.A.1.a.i|GASEOUS_FUELS|CO2</t>
  </si>
  <si>
    <t xml:space="preserve">2021|1.A.1.a.i|GASEOUS_FUELS|CO2</t>
  </si>
  <si>
    <t xml:space="preserve">CRT1A|2021|1.A.1.a.i|GASEOUS_FUELS|CO2</t>
  </si>
  <si>
    <t xml:space="preserve">Table1.A(a)s1; registro CRT1A|2021|1.A.1.a.i|GASEOUS_FUELS|CO2</t>
  </si>
  <si>
    <t xml:space="preserve">Factor implícito anual derivado de actividad y emisión CRT del mismo año, categoría, grupo y gas. Registro CRT: CRT1A|2021|1.A.1.a.i|GASEOUS_FUELS|CO2.</t>
  </si>
  <si>
    <t xml:space="preserve">FE_COMB|2021|1.A.1.a.i|GASEOUS_FUELS|CH4</t>
  </si>
  <si>
    <t xml:space="preserve">2021|1.A.1.a.i|GASEOUS_FUELS|CH4</t>
  </si>
  <si>
    <t xml:space="preserve">CRT1A|2021|1.A.1.a.i|GASEOUS_FUELS|CH4</t>
  </si>
  <si>
    <t xml:space="preserve">Table1.A(a)s1; registro CRT1A|2021|1.A.1.a.i|GASEOUS_FUELS|CH4</t>
  </si>
  <si>
    <t xml:space="preserve">Factor implícito anual derivado de actividad y emisión CRT del mismo año, categoría, grupo y gas. Registro CRT: CRT1A|2021|1.A.1.a.i|GASEOUS_FUELS|CH4.</t>
  </si>
  <si>
    <t xml:space="preserve">FE_COMB|2021|1.A.1.a.i|GASEOUS_FUELS|N2O</t>
  </si>
  <si>
    <t xml:space="preserve">2021|1.A.1.a.i|GASEOUS_FUELS|N2O</t>
  </si>
  <si>
    <t xml:space="preserve">CRT1A|2021|1.A.1.a.i|GASEOUS_FUELS|N2O</t>
  </si>
  <si>
    <t xml:space="preserve">Table1.A(a)s1; registro CRT1A|2021|1.A.1.a.i|GASEOUS_FUELS|N2O</t>
  </si>
  <si>
    <t xml:space="preserve">Factor implícito anual derivado de actividad y emisión CRT del mismo año, categoría, grupo y gas. Registro CRT: CRT1A|2021|1.A.1.a.i|GASEOUS_FUELS|N2O.</t>
  </si>
  <si>
    <t xml:space="preserve">FE_COMB|2021|1.A.1.b|LIQUID_FUELS|CO2</t>
  </si>
  <si>
    <t xml:space="preserve">2021|1.A.1.b|LIQUID_FUELS|CO2</t>
  </si>
  <si>
    <t xml:space="preserve">CRT1A|2021|1.A.1.b|LIQUID_FUELS|CO2</t>
  </si>
  <si>
    <t xml:space="preserve">Table1.A(a)s1; registro CRT1A|2021|1.A.1.b|LIQUID_FUELS|CO2</t>
  </si>
  <si>
    <t xml:space="preserve">Factor implícito anual derivado de actividad y emisión CRT del mismo año, categoría, grupo y gas. Registro CRT: CRT1A|2021|1.A.1.b|LIQUID_FUELS|CO2.</t>
  </si>
  <si>
    <t xml:space="preserve">FE_COMB|2021|1.A.1.b|LIQUID_FUELS|CH4</t>
  </si>
  <si>
    <t xml:space="preserve">2021|1.A.1.b|LIQUID_FUELS|CH4</t>
  </si>
  <si>
    <t xml:space="preserve">CRT1A|2021|1.A.1.b|LIQUID_FUELS|CH4</t>
  </si>
  <si>
    <t xml:space="preserve">Table1.A(a)s1; registro CRT1A|2021|1.A.1.b|LIQUID_FUELS|CH4</t>
  </si>
  <si>
    <t xml:space="preserve">Factor implícito anual derivado de actividad y emisión CRT del mismo año, categoría, grupo y gas. Registro CRT: CRT1A|2021|1.A.1.b|LIQUID_FUELS|CH4.</t>
  </si>
  <si>
    <t xml:space="preserve">FE_COMB|2021|1.A.1.b|LIQUID_FUELS|N2O</t>
  </si>
  <si>
    <t xml:space="preserve">2021|1.A.1.b|LIQUID_FUELS|N2O</t>
  </si>
  <si>
    <t xml:space="preserve">CRT1A|2021|1.A.1.b|LIQUID_FUELS|N2O</t>
  </si>
  <si>
    <t xml:space="preserve">Table1.A(a)s1; registro CRT1A|2021|1.A.1.b|LIQUID_FUELS|N2O</t>
  </si>
  <si>
    <t xml:space="preserve">Factor implícito anual derivado de actividad y emisión CRT del mismo año, categoría, grupo y gas. Registro CRT: CRT1A|2021|1.A.1.b|LIQUID_FUELS|N2O.</t>
  </si>
  <si>
    <t xml:space="preserve">FE_COMB|2021|1.A.2|AGREGADO_FOSIL|CO2</t>
  </si>
  <si>
    <t xml:space="preserve">2021|1.A.2|AGREGADO_FOSIL|CO2</t>
  </si>
  <si>
    <t xml:space="preserve">CRT1A|2021|1.A.2|AGREGADO_FOSIL|CO2</t>
  </si>
  <si>
    <t xml:space="preserve">Table1.A(a)s2; registro CRT1A|2021|1.A.2|AGREGADO_FOSIL|CO2</t>
  </si>
  <si>
    <t xml:space="preserve">Factor implícito anual derivado de actividad y emisión CRT del mismo año, categoría, grupo y gas. Registro CRT: CRT1A|2021|1.A.2|AGREGADO_FOSIL|CO2.</t>
  </si>
  <si>
    <t xml:space="preserve">FE_COMB|2021|1.A.2|AGREGADO_FOSIL|CH4</t>
  </si>
  <si>
    <t xml:space="preserve">2021|1.A.2|AGREGADO_FOSIL|CH4</t>
  </si>
  <si>
    <t xml:space="preserve">CRT1A|2021|1.A.2|AGREGADO_FOSIL|CH4</t>
  </si>
  <si>
    <t xml:space="preserve">Table1.A(a)s2; registro CRT1A|2021|1.A.2|AGREGADO_FOSIL|CH4</t>
  </si>
  <si>
    <t xml:space="preserve">Factor implícito anual derivado de actividad y emisión CRT del mismo año, categoría, grupo y gas. Registro CRT: CRT1A|2021|1.A.2|AGREGADO_FOSIL|CH4.</t>
  </si>
  <si>
    <t xml:space="preserve">FE_COMB|2021|1.A.2|AGREGADO_FOSIL|N2O</t>
  </si>
  <si>
    <t xml:space="preserve">2021|1.A.2|AGREGADO_FOSIL|N2O</t>
  </si>
  <si>
    <t xml:space="preserve">CRT1A|2021|1.A.2|AGREGADO_FOSIL|N2O</t>
  </si>
  <si>
    <t xml:space="preserve">Table1.A(a)s2; registro CRT1A|2021|1.A.2|AGREGADO_FOSIL|N2O</t>
  </si>
  <si>
    <t xml:space="preserve">Factor implícito anual derivado de actividad y emisión CRT del mismo año, categoría, grupo y gas. Registro CRT: CRT1A|2021|1.A.2|AGREGADO_FOSIL|N2O.</t>
  </si>
  <si>
    <t xml:space="preserve">FE_COMB|2021|1.A.3|AGREGADO_FOSIL|CO2</t>
  </si>
  <si>
    <t xml:space="preserve">2021|1.A.3|AGREGADO_FOSIL|CO2</t>
  </si>
  <si>
    <t xml:space="preserve">CRT1A|2021|1.A.3|AGREGADO_FOSIL|CO2</t>
  </si>
  <si>
    <t xml:space="preserve">Table1.A(a)s3; registro CRT1A|2021|1.A.3|AGREGADO_FOSIL|CO2</t>
  </si>
  <si>
    <t xml:space="preserve">Factor implícito anual derivado de actividad y emisión CRT del mismo año, categoría, grupo y gas. Registro CRT: CRT1A|2021|1.A.3|AGREGADO_FOSIL|CO2.</t>
  </si>
  <si>
    <t xml:space="preserve">FE_COMB|2021|1.A.3|AGREGADO_FOSIL|CH4</t>
  </si>
  <si>
    <t xml:space="preserve">2021|1.A.3|AGREGADO_FOSIL|CH4</t>
  </si>
  <si>
    <t xml:space="preserve">CRT1A|2021|1.A.3|AGREGADO_FOSIL|CH4</t>
  </si>
  <si>
    <t xml:space="preserve">Table1.A(a)s3; registro CRT1A|2021|1.A.3|AGREGADO_FOSIL|CH4</t>
  </si>
  <si>
    <t xml:space="preserve">Factor implícito anual derivado de actividad y emisión CRT del mismo año, categoría, grupo y gas. Registro CRT: CRT1A|2021|1.A.3|AGREGADO_FOSIL|CH4.</t>
  </si>
  <si>
    <t xml:space="preserve">FE_COMB|2021|1.A.3|AGREGADO_FOSIL|N2O</t>
  </si>
  <si>
    <t xml:space="preserve">2021|1.A.3|AGREGADO_FOSIL|N2O</t>
  </si>
  <si>
    <t xml:space="preserve">CRT1A|2021|1.A.3|AGREGADO_FOSIL|N2O</t>
  </si>
  <si>
    <t xml:space="preserve">Table1.A(a)s3; registro CRT1A|2021|1.A.3|AGREGADO_FOSIL|N2O</t>
  </si>
  <si>
    <t xml:space="preserve">Factor implícito anual derivado de actividad y emisión CRT del mismo año, categoría, grupo y gas. Registro CRT: CRT1A|2021|1.A.3|AGREGADO_FOSIL|N2O.</t>
  </si>
  <si>
    <t xml:space="preserve">FE_COMB|2021|1.A.4.a|BIOMASS|CO2</t>
  </si>
  <si>
    <t xml:space="preserve">2021|1.A.4.a|BIOMASS|CO2</t>
  </si>
  <si>
    <t xml:space="preserve">CRT1A|2021|1.A.4.a|BIOMASS|CO2</t>
  </si>
  <si>
    <t xml:space="preserve">Table1.A(a)s4; registro CRT1A|2021|1.A.4.a|BIOMASS|CO2</t>
  </si>
  <si>
    <t xml:space="preserve">Factor implícito anual derivado de actividad y emisión CRT del mismo año, categoría, grupo y gas. Registro CRT: CRT1A|2021|1.A.4.a|BIOMASS|CO2.</t>
  </si>
  <si>
    <t xml:space="preserve">FE_COMB|2021|1.A.4.a|BIOMASS|CH4</t>
  </si>
  <si>
    <t xml:space="preserve">2021|1.A.4.a|BIOMASS|CH4</t>
  </si>
  <si>
    <t xml:space="preserve">CRT1A|2021|1.A.4.a|BIOMASS|CH4</t>
  </si>
  <si>
    <t xml:space="preserve">Table1.A(a)s4; registro CRT1A|2021|1.A.4.a|BIOMASS|CH4</t>
  </si>
  <si>
    <t xml:space="preserve">Factor implícito anual derivado de actividad y emisión CRT del mismo año, categoría, grupo y gas. Registro CRT: CRT1A|2021|1.A.4.a|BIOMASS|CH4.</t>
  </si>
  <si>
    <t xml:space="preserve">FE_COMB|2021|1.A.4.a|BIOMASS|N2O</t>
  </si>
  <si>
    <t xml:space="preserve">2021|1.A.4.a|BIOMASS|N2O</t>
  </si>
  <si>
    <t xml:space="preserve">CRT1A|2021|1.A.4.a|BIOMASS|N2O</t>
  </si>
  <si>
    <t xml:space="preserve">Table1.A(a)s4; registro CRT1A|2021|1.A.4.a|BIOMASS|N2O</t>
  </si>
  <si>
    <t xml:space="preserve">Factor implícito anual derivado de actividad y emisión CRT del mismo año, categoría, grupo y gas. Registro CRT: CRT1A|2021|1.A.4.a|BIOMASS|N2O.</t>
  </si>
  <si>
    <t xml:space="preserve">FE_COMB|2021|1.A.4.a|LIQUID_FUELS|CO2</t>
  </si>
  <si>
    <t xml:space="preserve">2021|1.A.4.a|LIQUID_FUELS|CO2</t>
  </si>
  <si>
    <t xml:space="preserve">CRT1A|2021|1.A.4.a|LIQUID_FUELS|CO2</t>
  </si>
  <si>
    <t xml:space="preserve">Table1.A(a)s4; registro CRT1A|2021|1.A.4.a|LIQUID_FUELS|CO2</t>
  </si>
  <si>
    <t xml:space="preserve">Factor implícito anual derivado de actividad y emisión CRT del mismo año, categoría, grupo y gas. Registro CRT: CRT1A|2021|1.A.4.a|LIQUID_FUELS|CO2.</t>
  </si>
  <si>
    <t xml:space="preserve">FE_COMB|2021|1.A.4.a|LIQUID_FUELS|CH4</t>
  </si>
  <si>
    <t xml:space="preserve">2021|1.A.4.a|LIQUID_FUELS|CH4</t>
  </si>
  <si>
    <t xml:space="preserve">CRT1A|2021|1.A.4.a|LIQUID_FUELS|CH4</t>
  </si>
  <si>
    <t xml:space="preserve">Table1.A(a)s4; registro CRT1A|2021|1.A.4.a|LIQUID_FUELS|CH4</t>
  </si>
  <si>
    <t xml:space="preserve">Factor implícito anual derivado de actividad y emisión CRT del mismo año, categoría, grupo y gas. Registro CRT: CRT1A|2021|1.A.4.a|LIQUID_FUELS|CH4.</t>
  </si>
  <si>
    <t xml:space="preserve">FE_COMB|2021|1.A.4.a|LIQUID_FUELS|N2O</t>
  </si>
  <si>
    <t xml:space="preserve">2021|1.A.4.a|LIQUID_FUELS|N2O</t>
  </si>
  <si>
    <t xml:space="preserve">CRT1A|2021|1.A.4.a|LIQUID_FUELS|N2O</t>
  </si>
  <si>
    <t xml:space="preserve">Table1.A(a)s4; registro CRT1A|2021|1.A.4.a|LIQUID_FUELS|N2O</t>
  </si>
  <si>
    <t xml:space="preserve">Factor implícito anual derivado de actividad y emisión CRT del mismo año, categoría, grupo y gas. Registro CRT: CRT1A|2021|1.A.4.a|LIQUID_FUELS|N2O.</t>
  </si>
  <si>
    <t xml:space="preserve">FE_COMB|2021|1.A.4.b|BIOMASS|CO2</t>
  </si>
  <si>
    <t xml:space="preserve">2021|1.A.4.b|BIOMASS|CO2</t>
  </si>
  <si>
    <t xml:space="preserve">CRT1A|2021|1.A.4.b|BIOMASS|CO2</t>
  </si>
  <si>
    <t xml:space="preserve">Table1.A(a)s4; registro CRT1A|2021|1.A.4.b|BIOMASS|CO2</t>
  </si>
  <si>
    <t xml:space="preserve">Factor implícito anual derivado de actividad y emisión CRT del mismo año, categoría, grupo y gas. Registro CRT: CRT1A|2021|1.A.4.b|BIOMASS|CO2.</t>
  </si>
  <si>
    <t xml:space="preserve">FE_COMB|2021|1.A.4.b|BIOMASS|CH4</t>
  </si>
  <si>
    <t xml:space="preserve">2021|1.A.4.b|BIOMASS|CH4</t>
  </si>
  <si>
    <t xml:space="preserve">CRT1A|2021|1.A.4.b|BIOMASS|CH4</t>
  </si>
  <si>
    <t xml:space="preserve">Table1.A(a)s4; registro CRT1A|2021|1.A.4.b|BIOMASS|CH4</t>
  </si>
  <si>
    <t xml:space="preserve">Factor implícito anual derivado de actividad y emisión CRT del mismo año, categoría, grupo y gas. Registro CRT: CRT1A|2021|1.A.4.b|BIOMASS|CH4.</t>
  </si>
  <si>
    <t xml:space="preserve">FE_COMB|2021|1.A.4.b|BIOMASS|N2O</t>
  </si>
  <si>
    <t xml:space="preserve">2021|1.A.4.b|BIOMASS|N2O</t>
  </si>
  <si>
    <t xml:space="preserve">CRT1A|2021|1.A.4.b|BIOMASS|N2O</t>
  </si>
  <si>
    <t xml:space="preserve">Table1.A(a)s4; registro CRT1A|2021|1.A.4.b|BIOMASS|N2O</t>
  </si>
  <si>
    <t xml:space="preserve">Factor implícito anual derivado de actividad y emisión CRT del mismo año, categoría, grupo y gas. Registro CRT: CRT1A|2021|1.A.4.b|BIOMASS|N2O.</t>
  </si>
  <si>
    <t xml:space="preserve">FE_COMB|2021|1.A.4.b|LIQUID_FUELS|CO2</t>
  </si>
  <si>
    <t xml:space="preserve">2021|1.A.4.b|LIQUID_FUELS|CO2</t>
  </si>
  <si>
    <t xml:space="preserve">CRT1A|2021|1.A.4.b|LIQUID_FUELS|CO2</t>
  </si>
  <si>
    <t xml:space="preserve">Table1.A(a)s4; registro CRT1A|2021|1.A.4.b|LIQUID_FUELS|CO2</t>
  </si>
  <si>
    <t xml:space="preserve">Factor implícito anual derivado de actividad y emisión CRT del mismo año, categoría, grupo y gas. Registro CRT: CRT1A|2021|1.A.4.b|LIQUID_FUELS|CO2.</t>
  </si>
  <si>
    <t xml:space="preserve">FE_COMB|2021|1.A.4.b|LIQUID_FUELS|CH4</t>
  </si>
  <si>
    <t xml:space="preserve">2021|1.A.4.b|LIQUID_FUELS|CH4</t>
  </si>
  <si>
    <t xml:space="preserve">CRT1A|2021|1.A.4.b|LIQUID_FUELS|CH4</t>
  </si>
  <si>
    <t xml:space="preserve">Table1.A(a)s4; registro CRT1A|2021|1.A.4.b|LIQUID_FUELS|CH4</t>
  </si>
  <si>
    <t xml:space="preserve">Factor implícito anual derivado de actividad y emisión CRT del mismo año, categoría, grupo y gas. Registro CRT: CRT1A|2021|1.A.4.b|LIQUID_FUELS|CH4.</t>
  </si>
  <si>
    <t xml:space="preserve">FE_COMB|2021|1.A.4.b|LIQUID_FUELS|N2O</t>
  </si>
  <si>
    <t xml:space="preserve">2021|1.A.4.b|LIQUID_FUELS|N2O</t>
  </si>
  <si>
    <t xml:space="preserve">CRT1A|2021|1.A.4.b|LIQUID_FUELS|N2O</t>
  </si>
  <si>
    <t xml:space="preserve">Table1.A(a)s4; registro CRT1A|2021|1.A.4.b|LIQUID_FUELS|N2O</t>
  </si>
  <si>
    <t xml:space="preserve">Factor implícito anual derivado de actividad y emisión CRT del mismo año, categoría, grupo y gas. Registro CRT: CRT1A|2021|1.A.4.b|LIQUID_FUELS|N2O.</t>
  </si>
  <si>
    <t xml:space="preserve">FE_COMB|2021|1.A.1.a.i|CERO_DIRECTO|CO2</t>
  </si>
  <si>
    <t xml:space="preserve">2021|1.A.1.a.i|CERO_DIRECTO|CO2</t>
  </si>
  <si>
    <t xml:space="preserve">FE_COMB|2021|1.A.1.a.i|CERO_DIRECTO|CH4</t>
  </si>
  <si>
    <t xml:space="preserve">2021|1.A.1.a.i|CERO_DIRECTO|CH4</t>
  </si>
  <si>
    <t xml:space="preserve">FE_COMB|2021|1.A.1.a.i|CERO_DIRECTO|N2O</t>
  </si>
  <si>
    <t xml:space="preserve">2021|1.A.1.a.i|CERO_DIRECTO|N2O</t>
  </si>
  <si>
    <t xml:space="preserve">FE_COMB|2021|1.A.1.c|CERO_DIRECTO|CO2</t>
  </si>
  <si>
    <t xml:space="preserve">2021|1.A.1.c|CERO_DIRECTO|CO2</t>
  </si>
  <si>
    <t xml:space="preserve">FE_COMB|2021|1.A.1.c|CERO_DIRECTO|CH4</t>
  </si>
  <si>
    <t xml:space="preserve">2021|1.A.1.c|CERO_DIRECTO|CH4</t>
  </si>
  <si>
    <t xml:space="preserve">FE_COMB|2021|1.A.1.c|CERO_DIRECTO|N2O</t>
  </si>
  <si>
    <t xml:space="preserve">2021|1.A.1.c|CERO_DIRECTO|N2O</t>
  </si>
  <si>
    <t xml:space="preserve">FE_COMB|2021|1.A.2|CERO_DIRECTO|CO2</t>
  </si>
  <si>
    <t xml:space="preserve">2021|1.A.2|CERO_DIRECTO|CO2</t>
  </si>
  <si>
    <t xml:space="preserve">FE_COMB|2021|1.A.2|CERO_DIRECTO|CH4</t>
  </si>
  <si>
    <t xml:space="preserve">2021|1.A.2|CERO_DIRECTO|CH4</t>
  </si>
  <si>
    <t xml:space="preserve">FE_COMB|2021|1.A.2|CERO_DIRECTO|N2O</t>
  </si>
  <si>
    <t xml:space="preserve">2021|1.A.2|CERO_DIRECTO|N2O</t>
  </si>
  <si>
    <t xml:space="preserve">FE_COMB|2021|1.A.3|CERO_DIRECTO|CO2</t>
  </si>
  <si>
    <t xml:space="preserve">2021|1.A.3|CERO_DIRECTO|CO2</t>
  </si>
  <si>
    <t xml:space="preserve">FE_COMB|2021|1.A.3|CERO_DIRECTO|CH4</t>
  </si>
  <si>
    <t xml:space="preserve">2021|1.A.3|CERO_DIRECTO|CH4</t>
  </si>
  <si>
    <t xml:space="preserve">FE_COMB|2021|1.A.3|CERO_DIRECTO|N2O</t>
  </si>
  <si>
    <t xml:space="preserve">2021|1.A.3|CERO_DIRECTO|N2O</t>
  </si>
  <si>
    <t xml:space="preserve">FE_COMB|2021|1.A.4.a|CERO_DIRECTO|CO2</t>
  </si>
  <si>
    <t xml:space="preserve">2021|1.A.4.a|CERO_DIRECTO|CO2</t>
  </si>
  <si>
    <t xml:space="preserve">FE_COMB|2021|1.A.4.a|CERO_DIRECTO|CH4</t>
  </si>
  <si>
    <t xml:space="preserve">2021|1.A.4.a|CERO_DIRECTO|CH4</t>
  </si>
  <si>
    <t xml:space="preserve">FE_COMB|2021|1.A.4.a|CERO_DIRECTO|N2O</t>
  </si>
  <si>
    <t xml:space="preserve">2021|1.A.4.a|CERO_DIRECTO|N2O</t>
  </si>
  <si>
    <t xml:space="preserve">FE_COMB|2021|1.A.4.b|CERO_DIRECTO|CO2</t>
  </si>
  <si>
    <t xml:space="preserve">2021|1.A.4.b|CERO_DIRECTO|CO2</t>
  </si>
  <si>
    <t xml:space="preserve">FE_COMB|2021|1.A.4.b|CERO_DIRECTO|CH4</t>
  </si>
  <si>
    <t xml:space="preserve">2021|1.A.4.b|CERO_DIRECTO|CH4</t>
  </si>
  <si>
    <t xml:space="preserve">FE_COMB|2021|1.A.4.b|CERO_DIRECTO|N2O</t>
  </si>
  <si>
    <t xml:space="preserve">2021|1.A.4.b|CERO_DIRECTO|N2O</t>
  </si>
  <si>
    <t xml:space="preserve">FE_NO|2021|1.A.1.c|NO|CO2</t>
  </si>
  <si>
    <t xml:space="preserve">2021|1.A.1.c|NO|CO2</t>
  </si>
  <si>
    <t xml:space="preserve">Se conserva el estado NO porque la fuente no aporta un factor numérico para la clave interna FE_NO|2021|1.A.1.c|NO|CO2.</t>
  </si>
  <si>
    <t xml:space="preserve">FE_NO|2021|1.A.1.c|NO|CH4</t>
  </si>
  <si>
    <t xml:space="preserve">2021|1.A.1.c|NO|CH4</t>
  </si>
  <si>
    <t xml:space="preserve">Se conserva el estado NO porque la fuente no aporta un factor numérico para la clave interna FE_NO|2021|1.A.1.c|NO|CH4.</t>
  </si>
  <si>
    <t xml:space="preserve">FE_NO|2021|1.A.1.c|NO|N2O</t>
  </si>
  <si>
    <t xml:space="preserve">2021|1.A.1.c|NO|N2O</t>
  </si>
  <si>
    <t xml:space="preserve">Se conserva el estado NO porque la fuente no aporta un factor numérico para la clave interna FE_NO|2021|1.A.1.c|NO|N2O.</t>
  </si>
  <si>
    <t xml:space="preserve">FE_NO|2021|1.A.4.c|NO|CO2</t>
  </si>
  <si>
    <t xml:space="preserve">2021|1.A.4.c|NO|CO2</t>
  </si>
  <si>
    <t xml:space="preserve">Se conserva el estado NO porque la fuente no aporta un factor numérico para la clave interna FE_NO|2021|1.A.4.c|NO|CO2.</t>
  </si>
  <si>
    <t xml:space="preserve">FE_NO|2021|1.A.4.c|NO|CH4</t>
  </si>
  <si>
    <t xml:space="preserve">2021|1.A.4.c|NO|CH4</t>
  </si>
  <si>
    <t xml:space="preserve">Se conserva el estado NO porque la fuente no aporta un factor numérico para la clave interna FE_NO|2021|1.A.4.c|NO|CH4.</t>
  </si>
  <si>
    <t xml:space="preserve">FE_NO|2021|1.A.4.c|NO|N2O</t>
  </si>
  <si>
    <t xml:space="preserve">2021|1.A.4.c|NO|N2O</t>
  </si>
  <si>
    <t xml:space="preserve">Se conserva el estado NO porque la fuente no aporta un factor numérico para la clave interna FE_NO|2021|1.A.4.c|NO|N2O.</t>
  </si>
  <si>
    <t xml:space="preserve">FE_NO|2021|1.B.1.a|NO|CO2</t>
  </si>
  <si>
    <t xml:space="preserve">2021|1.B.1.a|NO|CO2</t>
  </si>
  <si>
    <t xml:space="preserve">Se conserva el estado NO porque la fuente no aporta un factor numérico para la clave interna FE_NO|2021|1.B.1.a|NO|CO2.</t>
  </si>
  <si>
    <t xml:space="preserve">FE_NO|2021|1.B.1.a|NO|CH4</t>
  </si>
  <si>
    <t xml:space="preserve">2021|1.B.1.a|NO|CH4</t>
  </si>
  <si>
    <t xml:space="preserve">Se conserva el estado NO porque la fuente no aporta un factor numérico para la clave interna FE_NO|2021|1.B.1.a|NO|CH4.</t>
  </si>
  <si>
    <t xml:space="preserve">FE_NO|2021|1.B.1.a|NO|N2O</t>
  </si>
  <si>
    <t xml:space="preserve">2021|1.B.1.a|NO|N2O</t>
  </si>
  <si>
    <t xml:space="preserve">Se conserva el estado NO porque la fuente no aporta un factor numérico para la clave interna FE_NO|2021|1.B.1.a|NO|N2O.</t>
  </si>
  <si>
    <t xml:space="preserve">FE_NO|2021|1.B.2.b.ii|NO|CO2</t>
  </si>
  <si>
    <t xml:space="preserve">2021|1.B.2.b.ii|NO|CO2</t>
  </si>
  <si>
    <t xml:space="preserve">Se conserva el estado NO porque la fuente no aporta un factor numérico para la clave interna FE_NO|2021|1.B.2.b.ii|NO|CO2.</t>
  </si>
  <si>
    <t xml:space="preserve">FE_NO|2021|1.B.2.b.ii|NO|CH4</t>
  </si>
  <si>
    <t xml:space="preserve">2021|1.B.2.b.ii|NO|CH4</t>
  </si>
  <si>
    <t xml:space="preserve">Se conserva el estado NO porque la fuente no aporta un factor numérico para la clave interna FE_NO|2021|1.B.2.b.ii|NO|CH4.</t>
  </si>
  <si>
    <t xml:space="preserve">FE_NO|2021|1.B.2.b.ii|NO|N2O</t>
  </si>
  <si>
    <t xml:space="preserve">2021|1.B.2.b.ii|NO|N2O</t>
  </si>
  <si>
    <t xml:space="preserve">Se conserva el estado NO porque la fuente no aporta un factor numérico para la clave interna FE_NO|2021|1.B.2.b.ii|NO|N2O.</t>
  </si>
  <si>
    <t xml:space="preserve">FE_FUG|2021|1.B.2.a.ii|FUGITIVA_PETROLEO|CO2</t>
  </si>
  <si>
    <t xml:space="preserve">2021|1.B.2.a.ii|FUGITIVA_PETROLEO|CO2</t>
  </si>
  <si>
    <t xml:space="preserve">CRT1B2|2021|1.B.2.a.ii|CO2</t>
  </si>
  <si>
    <t xml:space="preserve">Table1.B.2; registro CRT1B2|2021|1.B.2.a.ii|CO2</t>
  </si>
  <si>
    <t xml:space="preserve">Factor fugitivo anual derivado de la emisión CRT y de la extracción PETR de la PSUT. Registro CRT: CRT1B2|2021|1.B.2.a.ii|CO2.</t>
  </si>
  <si>
    <t xml:space="preserve">FE_FUG|2021|1.B.2.a.ii|FUGITIVA_PETROLEO|CH4</t>
  </si>
  <si>
    <t xml:space="preserve">2021|1.B.2.a.ii|FUGITIVA_PETROLEO|CH4</t>
  </si>
  <si>
    <t xml:space="preserve">CRT1B2|2021|1.B.2.a.ii|CH4</t>
  </si>
  <si>
    <t xml:space="preserve">Table1.B.2; registro CRT1B2|2021|1.B.2.a.ii|CH4</t>
  </si>
  <si>
    <t xml:space="preserve">Factor fugitivo anual derivado de la emisión CRT y de la extracción PETR de la PSUT. Registro CRT: CRT1B2|2021|1.B.2.a.ii|CH4.</t>
  </si>
  <si>
    <t xml:space="preserve">FE_FUG|2021|1.B.2.a.ii|FUGITIVA_PETROLEO|N2O</t>
  </si>
  <si>
    <t xml:space="preserve">2021|1.B.2.a.ii|FUGITIVA_PETROLEO|N2O</t>
  </si>
  <si>
    <t xml:space="preserve">CRT1B2|2021|1.B.2.a.ii|N2O</t>
  </si>
  <si>
    <t xml:space="preserve">Table1.B.2; registro CRT1B2|2021|1.B.2.a.ii|N2O</t>
  </si>
  <si>
    <t xml:space="preserve">Factor fugitivo anual derivado de la emisión CRT y de la extracción PETR de la PSUT. Registro CRT: CRT1B2|2021|1.B.2.a.ii|N2O.</t>
  </si>
  <si>
    <t xml:space="preserve">FE_COMB|2022|1.A.1.a.i|BIOMASS|CO2</t>
  </si>
  <si>
    <t xml:space="preserve">2022|1.A.1.a.i|BIOMASS|CO2</t>
  </si>
  <si>
    <t xml:space="preserve">CRT1A|2022|1.A.1.a.i|BIOMASS|CO2</t>
  </si>
  <si>
    <t xml:space="preserve">Table1.A(a)s1; registro CRT1A|2022|1.A.1.a.i|BIOMASS|CO2</t>
  </si>
  <si>
    <t xml:space="preserve">Factor implícito anual derivado de actividad y emisión CRT del mismo año, categoría, grupo y gas. Registro CRT: CRT1A|2022|1.A.1.a.i|BIOMASS|CO2.</t>
  </si>
  <si>
    <t xml:space="preserve">FE_COMB|2022|1.A.1.a.i|BIOMASS|CH4</t>
  </si>
  <si>
    <t xml:space="preserve">2022|1.A.1.a.i|BIOMASS|CH4</t>
  </si>
  <si>
    <t xml:space="preserve">CRT1A|2022|1.A.1.a.i|BIOMASS|CH4</t>
  </si>
  <si>
    <t xml:space="preserve">Table1.A(a)s1; registro CRT1A|2022|1.A.1.a.i|BIOMASS|CH4</t>
  </si>
  <si>
    <t xml:space="preserve">Factor implícito anual derivado de actividad y emisión CRT del mismo año, categoría, grupo y gas. Registro CRT: CRT1A|2022|1.A.1.a.i|BIOMASS|CH4.</t>
  </si>
  <si>
    <t xml:space="preserve">FE_COMB|2022|1.A.1.a.i|BIOMASS|N2O</t>
  </si>
  <si>
    <t xml:space="preserve">2022|1.A.1.a.i|BIOMASS|N2O</t>
  </si>
  <si>
    <t xml:space="preserve">CRT1A|2022|1.A.1.a.i|BIOMASS|N2O</t>
  </si>
  <si>
    <t xml:space="preserve">Table1.A(a)s1; registro CRT1A|2022|1.A.1.a.i|BIOMASS|N2O</t>
  </si>
  <si>
    <t xml:space="preserve">Factor implícito anual derivado de actividad y emisión CRT del mismo año, categoría, grupo y gas. Registro CRT: CRT1A|2022|1.A.1.a.i|BIOMASS|N2O.</t>
  </si>
  <si>
    <t xml:space="preserve">FE_COMB|2022|1.A.1.a.i|SOLID_FUELS|CO2</t>
  </si>
  <si>
    <t xml:space="preserve">2022|1.A.1.a.i|SOLID_FUELS|CO2</t>
  </si>
  <si>
    <t xml:space="preserve">CRT1A|2022|1.A.1.a.i|SOLID_FUELS|CO2</t>
  </si>
  <si>
    <t xml:space="preserve">Table1.A(a)s1; registro CRT1A|2022|1.A.1.a.i|SOLID_FUELS|CO2</t>
  </si>
  <si>
    <t xml:space="preserve">Factor implícito anual derivado de actividad y emisión CRT del mismo año, categoría, grupo y gas. Registro CRT: CRT1A|2022|1.A.1.a.i|SOLID_FUELS|CO2.</t>
  </si>
  <si>
    <t xml:space="preserve">FE_COMB|2022|1.A.1.a.i|SOLID_FUELS|CH4</t>
  </si>
  <si>
    <t xml:space="preserve">2022|1.A.1.a.i|SOLID_FUELS|CH4</t>
  </si>
  <si>
    <t xml:space="preserve">CRT1A|2022|1.A.1.a.i|SOLID_FUELS|CH4</t>
  </si>
  <si>
    <t xml:space="preserve">Table1.A(a)s1; registro CRT1A|2022|1.A.1.a.i|SOLID_FUELS|CH4</t>
  </si>
  <si>
    <t xml:space="preserve">Factor implícito anual derivado de actividad y emisión CRT del mismo año, categoría, grupo y gas. Registro CRT: CRT1A|2022|1.A.1.a.i|SOLID_FUELS|CH4.</t>
  </si>
  <si>
    <t xml:space="preserve">FE_COMB|2022|1.A.1.a.i|SOLID_FUELS|N2O</t>
  </si>
  <si>
    <t xml:space="preserve">2022|1.A.1.a.i|SOLID_FUELS|N2O</t>
  </si>
  <si>
    <t xml:space="preserve">CRT1A|2022|1.A.1.a.i|SOLID_FUELS|N2O</t>
  </si>
  <si>
    <t xml:space="preserve">Table1.A(a)s1; registro CRT1A|2022|1.A.1.a.i|SOLID_FUELS|N2O</t>
  </si>
  <si>
    <t xml:space="preserve">Factor implícito anual derivado de actividad y emisión CRT del mismo año, categoría, grupo y gas. Registro CRT: CRT1A|2022|1.A.1.a.i|SOLID_FUELS|N2O.</t>
  </si>
  <si>
    <t xml:space="preserve">FE_COMB|2022|1.A.1.a.i|LIQUID_FUELS|CO2</t>
  </si>
  <si>
    <t xml:space="preserve">2022|1.A.1.a.i|LIQUID_FUELS|CO2</t>
  </si>
  <si>
    <t xml:space="preserve">CRT1A|2022|1.A.1.a.i|LIQUID_FUELS|CO2</t>
  </si>
  <si>
    <t xml:space="preserve">Table1.A(a)s1; registro CRT1A|2022|1.A.1.a.i|LIQUID_FUELS|CO2</t>
  </si>
  <si>
    <t xml:space="preserve">Factor implícito anual derivado de actividad y emisión CRT del mismo año, categoría, grupo y gas. Registro CRT: CRT1A|2022|1.A.1.a.i|LIQUID_FUELS|CO2.</t>
  </si>
  <si>
    <t xml:space="preserve">FE_COMB|2022|1.A.1.a.i|LIQUID_FUELS|CH4</t>
  </si>
  <si>
    <t xml:space="preserve">2022|1.A.1.a.i|LIQUID_FUELS|CH4</t>
  </si>
  <si>
    <t xml:space="preserve">CRT1A|2022|1.A.1.a.i|LIQUID_FUELS|CH4</t>
  </si>
  <si>
    <t xml:space="preserve">Table1.A(a)s1; registro CRT1A|2022|1.A.1.a.i|LIQUID_FUELS|CH4</t>
  </si>
  <si>
    <t xml:space="preserve">Factor implícito anual derivado de actividad y emisión CRT del mismo año, categoría, grupo y gas. Registro CRT: CRT1A|2022|1.A.1.a.i|LIQUID_FUELS|CH4.</t>
  </si>
  <si>
    <t xml:space="preserve">FE_COMB|2022|1.A.1.a.i|LIQUID_FUELS|N2O</t>
  </si>
  <si>
    <t xml:space="preserve">2022|1.A.1.a.i|LIQUID_FUELS|N2O</t>
  </si>
  <si>
    <t xml:space="preserve">CRT1A|2022|1.A.1.a.i|LIQUID_FUELS|N2O</t>
  </si>
  <si>
    <t xml:space="preserve">Table1.A(a)s1; registro CRT1A|2022|1.A.1.a.i|LIQUID_FUELS|N2O</t>
  </si>
  <si>
    <t xml:space="preserve">Factor implícito anual derivado de actividad y emisión CRT del mismo año, categoría, grupo y gas. Registro CRT: CRT1A|2022|1.A.1.a.i|LIQUID_FUELS|N2O.</t>
  </si>
  <si>
    <t xml:space="preserve">FE_COMB|2022|1.A.1.a.i|GASEOUS_FUELS|CO2</t>
  </si>
  <si>
    <t xml:space="preserve">2022|1.A.1.a.i|GASEOUS_FUELS|CO2</t>
  </si>
  <si>
    <t xml:space="preserve">CRT1A|2022|1.A.1.a.i|GASEOUS_FUELS|CO2</t>
  </si>
  <si>
    <t xml:space="preserve">Table1.A(a)s1; registro CRT1A|2022|1.A.1.a.i|GASEOUS_FUELS|CO2</t>
  </si>
  <si>
    <t xml:space="preserve">Factor implícito anual derivado de actividad y emisión CRT del mismo año, categoría, grupo y gas. Registro CRT: CRT1A|2022|1.A.1.a.i|GASEOUS_FUELS|CO2.</t>
  </si>
  <si>
    <t xml:space="preserve">FE_COMB|2022|1.A.1.a.i|GASEOUS_FUELS|CH4</t>
  </si>
  <si>
    <t xml:space="preserve">2022|1.A.1.a.i|GASEOUS_FUELS|CH4</t>
  </si>
  <si>
    <t xml:space="preserve">CRT1A|2022|1.A.1.a.i|GASEOUS_FUELS|CH4</t>
  </si>
  <si>
    <t xml:space="preserve">Table1.A(a)s1; registro CRT1A|2022|1.A.1.a.i|GASEOUS_FUELS|CH4</t>
  </si>
  <si>
    <t xml:space="preserve">Factor implícito anual derivado de actividad y emisión CRT del mismo año, categoría, grupo y gas. Registro CRT: CRT1A|2022|1.A.1.a.i|GASEOUS_FUELS|CH4.</t>
  </si>
  <si>
    <t xml:space="preserve">FE_COMB|2022|1.A.1.a.i|GASEOUS_FUELS|N2O</t>
  </si>
  <si>
    <t xml:space="preserve">2022|1.A.1.a.i|GASEOUS_FUELS|N2O</t>
  </si>
  <si>
    <t xml:space="preserve">CRT1A|2022|1.A.1.a.i|GASEOUS_FUELS|N2O</t>
  </si>
  <si>
    <t xml:space="preserve">Table1.A(a)s1; registro CRT1A|2022|1.A.1.a.i|GASEOUS_FUELS|N2O</t>
  </si>
  <si>
    <t xml:space="preserve">Factor implícito anual derivado de actividad y emisión CRT del mismo año, categoría, grupo y gas. Registro CRT: CRT1A|2022|1.A.1.a.i|GASEOUS_FUELS|N2O.</t>
  </si>
  <si>
    <t xml:space="preserve">FE_COMB|2022|1.A.1.b|LIQUID_FUELS|CO2</t>
  </si>
  <si>
    <t xml:space="preserve">2022|1.A.1.b|LIQUID_FUELS|CO2</t>
  </si>
  <si>
    <t xml:space="preserve">CRT1A|2022|1.A.1.b|LIQUID_FUELS|CO2</t>
  </si>
  <si>
    <t xml:space="preserve">Table1.A(a)s1; registro CRT1A|2022|1.A.1.b|LIQUID_FUELS|CO2</t>
  </si>
  <si>
    <t xml:space="preserve">Factor implícito anual derivado de actividad y emisión CRT del mismo año, categoría, grupo y gas. Registro CRT: CRT1A|2022|1.A.1.b|LIQUID_FUELS|CO2.</t>
  </si>
  <si>
    <t xml:space="preserve">FE_COMB|2022|1.A.1.b|LIQUID_FUELS|CH4</t>
  </si>
  <si>
    <t xml:space="preserve">2022|1.A.1.b|LIQUID_FUELS|CH4</t>
  </si>
  <si>
    <t xml:space="preserve">CRT1A|2022|1.A.1.b|LIQUID_FUELS|CH4</t>
  </si>
  <si>
    <t xml:space="preserve">Table1.A(a)s1; registro CRT1A|2022|1.A.1.b|LIQUID_FUELS|CH4</t>
  </si>
  <si>
    <t xml:space="preserve">Factor implícito anual derivado de actividad y emisión CRT del mismo año, categoría, grupo y gas. Registro CRT: CRT1A|2022|1.A.1.b|LIQUID_FUELS|CH4.</t>
  </si>
  <si>
    <t xml:space="preserve">FE_COMB|2022|1.A.1.b|LIQUID_FUELS|N2O</t>
  </si>
  <si>
    <t xml:space="preserve">2022|1.A.1.b|LIQUID_FUELS|N2O</t>
  </si>
  <si>
    <t xml:space="preserve">CRT1A|2022|1.A.1.b|LIQUID_FUELS|N2O</t>
  </si>
  <si>
    <t xml:space="preserve">Table1.A(a)s1; registro CRT1A|2022|1.A.1.b|LIQUID_FUELS|N2O</t>
  </si>
  <si>
    <t xml:space="preserve">Factor implícito anual derivado de actividad y emisión CRT del mismo año, categoría, grupo y gas. Registro CRT: CRT1A|2022|1.A.1.b|LIQUID_FUELS|N2O.</t>
  </si>
  <si>
    <t xml:space="preserve">FE_COMB|2022|1.A.2|AGREGADO_FOSIL|CO2</t>
  </si>
  <si>
    <t xml:space="preserve">2022|1.A.2|AGREGADO_FOSIL|CO2</t>
  </si>
  <si>
    <t xml:space="preserve">CRT1A|2022|1.A.2|AGREGADO_FOSIL|CO2</t>
  </si>
  <si>
    <t xml:space="preserve">Table1.A(a)s2; registro CRT1A|2022|1.A.2|AGREGADO_FOSIL|CO2</t>
  </si>
  <si>
    <t xml:space="preserve">Factor implícito anual derivado de actividad y emisión CRT del mismo año, categoría, grupo y gas. Registro CRT: CRT1A|2022|1.A.2|AGREGADO_FOSIL|CO2.</t>
  </si>
  <si>
    <t xml:space="preserve">FE_COMB|2022|1.A.2|AGREGADO_FOSIL|CH4</t>
  </si>
  <si>
    <t xml:space="preserve">2022|1.A.2|AGREGADO_FOSIL|CH4</t>
  </si>
  <si>
    <t xml:space="preserve">CRT1A|2022|1.A.2|AGREGADO_FOSIL|CH4</t>
  </si>
  <si>
    <t xml:space="preserve">Table1.A(a)s2; registro CRT1A|2022|1.A.2|AGREGADO_FOSIL|CH4</t>
  </si>
  <si>
    <t xml:space="preserve">Factor implícito anual derivado de actividad y emisión CRT del mismo año, categoría, grupo y gas. Registro CRT: CRT1A|2022|1.A.2|AGREGADO_FOSIL|CH4.</t>
  </si>
  <si>
    <t xml:space="preserve">FE_COMB|2022|1.A.2|AGREGADO_FOSIL|N2O</t>
  </si>
  <si>
    <t xml:space="preserve">2022|1.A.2|AGREGADO_FOSIL|N2O</t>
  </si>
  <si>
    <t xml:space="preserve">CRT1A|2022|1.A.2|AGREGADO_FOSIL|N2O</t>
  </si>
  <si>
    <t xml:space="preserve">Table1.A(a)s2; registro CRT1A|2022|1.A.2|AGREGADO_FOSIL|N2O</t>
  </si>
  <si>
    <t xml:space="preserve">Factor implícito anual derivado de actividad y emisión CRT del mismo año, categoría, grupo y gas. Registro CRT: CRT1A|2022|1.A.2|AGREGADO_FOSIL|N2O.</t>
  </si>
  <si>
    <t xml:space="preserve">FE_COMB|2022|1.A.3|AGREGADO_FOSIL|CO2</t>
  </si>
  <si>
    <t xml:space="preserve">2022|1.A.3|AGREGADO_FOSIL|CO2</t>
  </si>
  <si>
    <t xml:space="preserve">CRT1A|2022|1.A.3|AGREGADO_FOSIL|CO2</t>
  </si>
  <si>
    <t xml:space="preserve">Table1.A(a)s3; registro CRT1A|2022|1.A.3|AGREGADO_FOSIL|CO2</t>
  </si>
  <si>
    <t xml:space="preserve">Factor implícito anual derivado de actividad y emisión CRT del mismo año, categoría, grupo y gas. Registro CRT: CRT1A|2022|1.A.3|AGREGADO_FOSIL|CO2.</t>
  </si>
  <si>
    <t xml:space="preserve">FE_COMB|2022|1.A.3|AGREGADO_FOSIL|CH4</t>
  </si>
  <si>
    <t xml:space="preserve">2022|1.A.3|AGREGADO_FOSIL|CH4</t>
  </si>
  <si>
    <t xml:space="preserve">CRT1A|2022|1.A.3|AGREGADO_FOSIL|CH4</t>
  </si>
  <si>
    <t xml:space="preserve">Table1.A(a)s3; registro CRT1A|2022|1.A.3|AGREGADO_FOSIL|CH4</t>
  </si>
  <si>
    <t xml:space="preserve">Factor implícito anual derivado de actividad y emisión CRT del mismo año, categoría, grupo y gas. Registro CRT: CRT1A|2022|1.A.3|AGREGADO_FOSIL|CH4.</t>
  </si>
  <si>
    <t xml:space="preserve">FE_COMB|2022|1.A.3|AGREGADO_FOSIL|N2O</t>
  </si>
  <si>
    <t xml:space="preserve">2022|1.A.3|AGREGADO_FOSIL|N2O</t>
  </si>
  <si>
    <t xml:space="preserve">CRT1A|2022|1.A.3|AGREGADO_FOSIL|N2O</t>
  </si>
  <si>
    <t xml:space="preserve">Table1.A(a)s3; registro CRT1A|2022|1.A.3|AGREGADO_FOSIL|N2O</t>
  </si>
  <si>
    <t xml:space="preserve">Factor implícito anual derivado de actividad y emisión CRT del mismo año, categoría, grupo y gas. Registro CRT: CRT1A|2022|1.A.3|AGREGADO_FOSIL|N2O.</t>
  </si>
  <si>
    <t xml:space="preserve">FE_COMB|2022|1.A.4.a|BIOMASS|CO2</t>
  </si>
  <si>
    <t xml:space="preserve">2022|1.A.4.a|BIOMASS|CO2</t>
  </si>
  <si>
    <t xml:space="preserve">CRT1A|2022|1.A.4.a|BIOMASS|CO2</t>
  </si>
  <si>
    <t xml:space="preserve">Table1.A(a)s4; registro CRT1A|2022|1.A.4.a|BIOMASS|CO2</t>
  </si>
  <si>
    <t xml:space="preserve">Factor implícito anual derivado de actividad y emisión CRT del mismo año, categoría, grupo y gas. Registro CRT: CRT1A|2022|1.A.4.a|BIOMASS|CO2.</t>
  </si>
  <si>
    <t xml:space="preserve">FE_COMB|2022|1.A.4.a|BIOMASS|CH4</t>
  </si>
  <si>
    <t xml:space="preserve">2022|1.A.4.a|BIOMASS|CH4</t>
  </si>
  <si>
    <t xml:space="preserve">CRT1A|2022|1.A.4.a|BIOMASS|CH4</t>
  </si>
  <si>
    <t xml:space="preserve">Table1.A(a)s4; registro CRT1A|2022|1.A.4.a|BIOMASS|CH4</t>
  </si>
  <si>
    <t xml:space="preserve">Factor implícito anual derivado de actividad y emisión CRT del mismo año, categoría, grupo y gas. Registro CRT: CRT1A|2022|1.A.4.a|BIOMASS|CH4.</t>
  </si>
  <si>
    <t xml:space="preserve">FE_COMB|2022|1.A.4.a|BIOMASS|N2O</t>
  </si>
  <si>
    <t xml:space="preserve">2022|1.A.4.a|BIOMASS|N2O</t>
  </si>
  <si>
    <t xml:space="preserve">CRT1A|2022|1.A.4.a|BIOMASS|N2O</t>
  </si>
  <si>
    <t xml:space="preserve">Table1.A(a)s4; registro CRT1A|2022|1.A.4.a|BIOMASS|N2O</t>
  </si>
  <si>
    <t xml:space="preserve">Factor implícito anual derivado de actividad y emisión CRT del mismo año, categoría, grupo y gas. Registro CRT: CRT1A|2022|1.A.4.a|BIOMASS|N2O.</t>
  </si>
  <si>
    <t xml:space="preserve">FE_COMB|2022|1.A.4.a|LIQUID_FUELS|CO2</t>
  </si>
  <si>
    <t xml:space="preserve">2022|1.A.4.a|LIQUID_FUELS|CO2</t>
  </si>
  <si>
    <t xml:space="preserve">CRT1A|2022|1.A.4.a|LIQUID_FUELS|CO2</t>
  </si>
  <si>
    <t xml:space="preserve">Table1.A(a)s4; registro CRT1A|2022|1.A.4.a|LIQUID_FUELS|CO2</t>
  </si>
  <si>
    <t xml:space="preserve">Factor implícito anual derivado de actividad y emisión CRT del mismo año, categoría, grupo y gas. Registro CRT: CRT1A|2022|1.A.4.a|LIQUID_FUELS|CO2.</t>
  </si>
  <si>
    <t xml:space="preserve">FE_COMB|2022|1.A.4.a|LIQUID_FUELS|CH4</t>
  </si>
  <si>
    <t xml:space="preserve">2022|1.A.4.a|LIQUID_FUELS|CH4</t>
  </si>
  <si>
    <t xml:space="preserve">CRT1A|2022|1.A.4.a|LIQUID_FUELS|CH4</t>
  </si>
  <si>
    <t xml:space="preserve">Table1.A(a)s4; registro CRT1A|2022|1.A.4.a|LIQUID_FUELS|CH4</t>
  </si>
  <si>
    <t xml:space="preserve">Factor implícito anual derivado de actividad y emisión CRT del mismo año, categoría, grupo y gas. Registro CRT: CRT1A|2022|1.A.4.a|LIQUID_FUELS|CH4.</t>
  </si>
  <si>
    <t xml:space="preserve">FE_COMB|2022|1.A.4.a|LIQUID_FUELS|N2O</t>
  </si>
  <si>
    <t xml:space="preserve">2022|1.A.4.a|LIQUID_FUELS|N2O</t>
  </si>
  <si>
    <t xml:space="preserve">CRT1A|2022|1.A.4.a|LIQUID_FUELS|N2O</t>
  </si>
  <si>
    <t xml:space="preserve">Table1.A(a)s4; registro CRT1A|2022|1.A.4.a|LIQUID_FUELS|N2O</t>
  </si>
  <si>
    <t xml:space="preserve">Factor implícito anual derivado de actividad y emisión CRT del mismo año, categoría, grupo y gas. Registro CRT: CRT1A|2022|1.A.4.a|LIQUID_FUELS|N2O.</t>
  </si>
  <si>
    <t xml:space="preserve">FE_COMB|2022|1.A.4.b|BIOMASS|CO2</t>
  </si>
  <si>
    <t xml:space="preserve">2022|1.A.4.b|BIOMASS|CO2</t>
  </si>
  <si>
    <t xml:space="preserve">CRT1A|2022|1.A.4.b|BIOMASS|CO2</t>
  </si>
  <si>
    <t xml:space="preserve">Table1.A(a)s4; registro CRT1A|2022|1.A.4.b|BIOMASS|CO2</t>
  </si>
  <si>
    <t xml:space="preserve">Factor implícito anual derivado de actividad y emisión CRT del mismo año, categoría, grupo y gas. Registro CRT: CRT1A|2022|1.A.4.b|BIOMASS|CO2.</t>
  </si>
  <si>
    <t xml:space="preserve">FE_COMB|2022|1.A.4.b|BIOMASS|CH4</t>
  </si>
  <si>
    <t xml:space="preserve">2022|1.A.4.b|BIOMASS|CH4</t>
  </si>
  <si>
    <t xml:space="preserve">CRT1A|2022|1.A.4.b|BIOMASS|CH4</t>
  </si>
  <si>
    <t xml:space="preserve">Table1.A(a)s4; registro CRT1A|2022|1.A.4.b|BIOMASS|CH4</t>
  </si>
  <si>
    <t xml:space="preserve">Factor implícito anual derivado de actividad y emisión CRT del mismo año, categoría, grupo y gas. Registro CRT: CRT1A|2022|1.A.4.b|BIOMASS|CH4.</t>
  </si>
  <si>
    <t xml:space="preserve">FE_COMB|2022|1.A.4.b|BIOMASS|N2O</t>
  </si>
  <si>
    <t xml:space="preserve">2022|1.A.4.b|BIOMASS|N2O</t>
  </si>
  <si>
    <t xml:space="preserve">CRT1A|2022|1.A.4.b|BIOMASS|N2O</t>
  </si>
  <si>
    <t xml:space="preserve">Table1.A(a)s4; registro CRT1A|2022|1.A.4.b|BIOMASS|N2O</t>
  </si>
  <si>
    <t xml:space="preserve">Factor implícito anual derivado de actividad y emisión CRT del mismo año, categoría, grupo y gas. Registro CRT: CRT1A|2022|1.A.4.b|BIOMASS|N2O.</t>
  </si>
  <si>
    <t xml:space="preserve">FE_COMB|2022|1.A.4.b|LIQUID_FUELS|CO2</t>
  </si>
  <si>
    <t xml:space="preserve">2022|1.A.4.b|LIQUID_FUELS|CO2</t>
  </si>
  <si>
    <t xml:space="preserve">CRT1A|2022|1.A.4.b|LIQUID_FUELS|CO2</t>
  </si>
  <si>
    <t xml:space="preserve">Table1.A(a)s4; registro CRT1A|2022|1.A.4.b|LIQUID_FUELS|CO2</t>
  </si>
  <si>
    <t xml:space="preserve">Factor implícito anual derivado de actividad y emisión CRT del mismo año, categoría, grupo y gas. Registro CRT: CRT1A|2022|1.A.4.b|LIQUID_FUELS|CO2.</t>
  </si>
  <si>
    <t xml:space="preserve">FE_COMB|2022|1.A.4.b|LIQUID_FUELS|CH4</t>
  </si>
  <si>
    <t xml:space="preserve">2022|1.A.4.b|LIQUID_FUELS|CH4</t>
  </si>
  <si>
    <t xml:space="preserve">CRT1A|2022|1.A.4.b|LIQUID_FUELS|CH4</t>
  </si>
  <si>
    <t xml:space="preserve">Table1.A(a)s4; registro CRT1A|2022|1.A.4.b|LIQUID_FUELS|CH4</t>
  </si>
  <si>
    <t xml:space="preserve">Factor implícito anual derivado de actividad y emisión CRT del mismo año, categoría, grupo y gas. Registro CRT: CRT1A|2022|1.A.4.b|LIQUID_FUELS|CH4.</t>
  </si>
  <si>
    <t xml:space="preserve">FE_COMB|2022|1.A.4.b|LIQUID_FUELS|N2O</t>
  </si>
  <si>
    <t xml:space="preserve">2022|1.A.4.b|LIQUID_FUELS|N2O</t>
  </si>
  <si>
    <t xml:space="preserve">CRT1A|2022|1.A.4.b|LIQUID_FUELS|N2O</t>
  </si>
  <si>
    <t xml:space="preserve">Table1.A(a)s4; registro CRT1A|2022|1.A.4.b|LIQUID_FUELS|N2O</t>
  </si>
  <si>
    <t xml:space="preserve">Factor implícito anual derivado de actividad y emisión CRT del mismo año, categoría, grupo y gas. Registro CRT: CRT1A|2022|1.A.4.b|LIQUID_FUELS|N2O.</t>
  </si>
  <si>
    <t xml:space="preserve">FE_COMB|2022|1.A.1.a.i|CERO_DIRECTO|CO2</t>
  </si>
  <si>
    <t xml:space="preserve">2022|1.A.1.a.i|CERO_DIRECTO|CO2</t>
  </si>
  <si>
    <t xml:space="preserve">FE_COMB|2022|1.A.1.a.i|CERO_DIRECTO|CH4</t>
  </si>
  <si>
    <t xml:space="preserve">2022|1.A.1.a.i|CERO_DIRECTO|CH4</t>
  </si>
  <si>
    <t xml:space="preserve">FE_COMB|2022|1.A.1.a.i|CERO_DIRECTO|N2O</t>
  </si>
  <si>
    <t xml:space="preserve">2022|1.A.1.a.i|CERO_DIRECTO|N2O</t>
  </si>
  <si>
    <t xml:space="preserve">FE_COMB|2022|1.A.1.c|CERO_DIRECTO|CO2</t>
  </si>
  <si>
    <t xml:space="preserve">2022|1.A.1.c|CERO_DIRECTO|CO2</t>
  </si>
  <si>
    <t xml:space="preserve">FE_COMB|2022|1.A.1.c|CERO_DIRECTO|CH4</t>
  </si>
  <si>
    <t xml:space="preserve">2022|1.A.1.c|CERO_DIRECTO|CH4</t>
  </si>
  <si>
    <t xml:space="preserve">FE_COMB|2022|1.A.1.c|CERO_DIRECTO|N2O</t>
  </si>
  <si>
    <t xml:space="preserve">2022|1.A.1.c|CERO_DIRECTO|N2O</t>
  </si>
  <si>
    <t xml:space="preserve">FE_COMB|2022|1.A.2|CERO_DIRECTO|CO2</t>
  </si>
  <si>
    <t xml:space="preserve">2022|1.A.2|CERO_DIRECTO|CO2</t>
  </si>
  <si>
    <t xml:space="preserve">FE_COMB|2022|1.A.2|CERO_DIRECTO|CH4</t>
  </si>
  <si>
    <t xml:space="preserve">2022|1.A.2|CERO_DIRECTO|CH4</t>
  </si>
  <si>
    <t xml:space="preserve">FE_COMB|2022|1.A.2|CERO_DIRECTO|N2O</t>
  </si>
  <si>
    <t xml:space="preserve">2022|1.A.2|CERO_DIRECTO|N2O</t>
  </si>
  <si>
    <t xml:space="preserve">FE_COMB|2022|1.A.3|CERO_DIRECTO|CO2</t>
  </si>
  <si>
    <t xml:space="preserve">2022|1.A.3|CERO_DIRECTO|CO2</t>
  </si>
  <si>
    <t xml:space="preserve">FE_COMB|2022|1.A.3|CERO_DIRECTO|CH4</t>
  </si>
  <si>
    <t xml:space="preserve">2022|1.A.3|CERO_DIRECTO|CH4</t>
  </si>
  <si>
    <t xml:space="preserve">FE_COMB|2022|1.A.3|CERO_DIRECTO|N2O</t>
  </si>
  <si>
    <t xml:space="preserve">2022|1.A.3|CERO_DIRECTO|N2O</t>
  </si>
  <si>
    <t xml:space="preserve">FE_COMB|2022|1.A.4.a|CERO_DIRECTO|CO2</t>
  </si>
  <si>
    <t xml:space="preserve">2022|1.A.4.a|CERO_DIRECTO|CO2</t>
  </si>
  <si>
    <t xml:space="preserve">FE_COMB|2022|1.A.4.a|CERO_DIRECTO|CH4</t>
  </si>
  <si>
    <t xml:space="preserve">2022|1.A.4.a|CERO_DIRECTO|CH4</t>
  </si>
  <si>
    <t xml:space="preserve">FE_COMB|2022|1.A.4.a|CERO_DIRECTO|N2O</t>
  </si>
  <si>
    <t xml:space="preserve">2022|1.A.4.a|CERO_DIRECTO|N2O</t>
  </si>
  <si>
    <t xml:space="preserve">FE_COMB|2022|1.A.4.b|CERO_DIRECTO|CO2</t>
  </si>
  <si>
    <t xml:space="preserve">2022|1.A.4.b|CERO_DIRECTO|CO2</t>
  </si>
  <si>
    <t xml:space="preserve">FE_COMB|2022|1.A.4.b|CERO_DIRECTO|CH4</t>
  </si>
  <si>
    <t xml:space="preserve">2022|1.A.4.b|CERO_DIRECTO|CH4</t>
  </si>
  <si>
    <t xml:space="preserve">FE_COMB|2022|1.A.4.b|CERO_DIRECTO|N2O</t>
  </si>
  <si>
    <t xml:space="preserve">2022|1.A.4.b|CERO_DIRECTO|N2O</t>
  </si>
  <si>
    <t xml:space="preserve">FE_NO|2022|1.A.1.c|NO|CO2</t>
  </si>
  <si>
    <t xml:space="preserve">2022|1.A.1.c|NO|CO2</t>
  </si>
  <si>
    <t xml:space="preserve">Se conserva el estado NO porque la fuente no aporta un factor numérico para la clave interna FE_NO|2022|1.A.1.c|NO|CO2.</t>
  </si>
  <si>
    <t xml:space="preserve">FE_NO|2022|1.A.1.c|NO|CH4</t>
  </si>
  <si>
    <t xml:space="preserve">2022|1.A.1.c|NO|CH4</t>
  </si>
  <si>
    <t xml:space="preserve">Se conserva el estado NO porque la fuente no aporta un factor numérico para la clave interna FE_NO|2022|1.A.1.c|NO|CH4.</t>
  </si>
  <si>
    <t xml:space="preserve">FE_NO|2022|1.A.1.c|NO|N2O</t>
  </si>
  <si>
    <t xml:space="preserve">2022|1.A.1.c|NO|N2O</t>
  </si>
  <si>
    <t xml:space="preserve">Se conserva el estado NO porque la fuente no aporta un factor numérico para la clave interna FE_NO|2022|1.A.1.c|NO|N2O.</t>
  </si>
  <si>
    <t xml:space="preserve">FE_NO|2022|1.A.4.c|NO|CO2</t>
  </si>
  <si>
    <t xml:space="preserve">2022|1.A.4.c|NO|CO2</t>
  </si>
  <si>
    <t xml:space="preserve">Se conserva el estado NO porque la fuente no aporta un factor numérico para la clave interna FE_NO|2022|1.A.4.c|NO|CO2.</t>
  </si>
  <si>
    <t xml:space="preserve">FE_NO|2022|1.A.4.c|NO|CH4</t>
  </si>
  <si>
    <t xml:space="preserve">2022|1.A.4.c|NO|CH4</t>
  </si>
  <si>
    <t xml:space="preserve">Se conserva el estado NO porque la fuente no aporta un factor numérico para la clave interna FE_NO|2022|1.A.4.c|NO|CH4.</t>
  </si>
  <si>
    <t xml:space="preserve">FE_NO|2022|1.A.4.c|NO|N2O</t>
  </si>
  <si>
    <t xml:space="preserve">2022|1.A.4.c|NO|N2O</t>
  </si>
  <si>
    <t xml:space="preserve">Se conserva el estado NO porque la fuente no aporta un factor numérico para la clave interna FE_NO|2022|1.A.4.c|NO|N2O.</t>
  </si>
  <si>
    <t xml:space="preserve">FE_NO|2022|1.B.1.a|NO|CO2</t>
  </si>
  <si>
    <t xml:space="preserve">2022|1.B.1.a|NO|CO2</t>
  </si>
  <si>
    <t xml:space="preserve">Se conserva el estado NO porque la fuente no aporta un factor numérico para la clave interna FE_NO|2022|1.B.1.a|NO|CO2.</t>
  </si>
  <si>
    <t xml:space="preserve">FE_NO|2022|1.B.1.a|NO|CH4</t>
  </si>
  <si>
    <t xml:space="preserve">2022|1.B.1.a|NO|CH4</t>
  </si>
  <si>
    <t xml:space="preserve">Se conserva el estado NO porque la fuente no aporta un factor numérico para la clave interna FE_NO|2022|1.B.1.a|NO|CH4.</t>
  </si>
  <si>
    <t xml:space="preserve">FE_NO|2022|1.B.1.a|NO|N2O</t>
  </si>
  <si>
    <t xml:space="preserve">2022|1.B.1.a|NO|N2O</t>
  </si>
  <si>
    <t xml:space="preserve">Se conserva el estado NO porque la fuente no aporta un factor numérico para la clave interna FE_NO|2022|1.B.1.a|NO|N2O.</t>
  </si>
  <si>
    <t xml:space="preserve">FE_NO|2022|1.B.2.b.ii|NO|CO2</t>
  </si>
  <si>
    <t xml:space="preserve">2022|1.B.2.b.ii|NO|CO2</t>
  </si>
  <si>
    <t xml:space="preserve">Se conserva el estado NO porque la fuente no aporta un factor numérico para la clave interna FE_NO|2022|1.B.2.b.ii|NO|CO2.</t>
  </si>
  <si>
    <t xml:space="preserve">FE_NO|2022|1.B.2.b.ii|NO|CH4</t>
  </si>
  <si>
    <t xml:space="preserve">2022|1.B.2.b.ii|NO|CH4</t>
  </si>
  <si>
    <t xml:space="preserve">Se conserva el estado NO porque la fuente no aporta un factor numérico para la clave interna FE_NO|2022|1.B.2.b.ii|NO|CH4.</t>
  </si>
  <si>
    <t xml:space="preserve">FE_NO|2022|1.B.2.b.ii|NO|N2O</t>
  </si>
  <si>
    <t xml:space="preserve">2022|1.B.2.b.ii|NO|N2O</t>
  </si>
  <si>
    <t xml:space="preserve">Se conserva el estado NO porque la fuente no aporta un factor numérico para la clave interna FE_NO|2022|1.B.2.b.ii|NO|N2O.</t>
  </si>
  <si>
    <t xml:space="preserve">FE_FUG|2022|1.B.2.a.ii|FUGITIVA_PETROLEO|CO2</t>
  </si>
  <si>
    <t xml:space="preserve">2022|1.B.2.a.ii|FUGITIVA_PETROLEO|CO2</t>
  </si>
  <si>
    <t xml:space="preserve">CRT1B2|2022|1.B.2.a.ii|CO2</t>
  </si>
  <si>
    <t xml:space="preserve">Table1.B.2; registro CRT1B2|2022|1.B.2.a.ii|CO2</t>
  </si>
  <si>
    <t xml:space="preserve">Factor fugitivo anual derivado de la emisión CRT y de la extracción PETR de la PSUT. Registro CRT: CRT1B2|2022|1.B.2.a.ii|CO2.</t>
  </si>
  <si>
    <t xml:space="preserve">FE_FUG|2022|1.B.2.a.ii|FUGITIVA_PETROLEO|CH4</t>
  </si>
  <si>
    <t xml:space="preserve">2022|1.B.2.a.ii|FUGITIVA_PETROLEO|CH4</t>
  </si>
  <si>
    <t xml:space="preserve">CRT1B2|2022|1.B.2.a.ii|CH4</t>
  </si>
  <si>
    <t xml:space="preserve">Table1.B.2; registro CRT1B2|2022|1.B.2.a.ii|CH4</t>
  </si>
  <si>
    <t xml:space="preserve">Factor fugitivo anual derivado de la emisión CRT y de la extracción PETR de la PSUT. Registro CRT: CRT1B2|2022|1.B.2.a.ii|CH4.</t>
  </si>
  <si>
    <t xml:space="preserve">FE_FUG|2022|1.B.2.a.ii|FUGITIVA_PETROLEO|N2O</t>
  </si>
  <si>
    <t xml:space="preserve">2022|1.B.2.a.ii|FUGITIVA_PETROLEO|N2O</t>
  </si>
  <si>
    <t xml:space="preserve">CRT1B2|2022|1.B.2.a.ii|N2O</t>
  </si>
  <si>
    <t xml:space="preserve">Table1.B.2; registro CRT1B2|2022|1.B.2.a.ii|N2O</t>
  </si>
  <si>
    <t xml:space="preserve">Factor fugitivo anual derivado de la emisión CRT y de la extracción PETR de la PSUT. Registro CRT: CRT1B2|2022|1.B.2.a.ii|N2O.</t>
  </si>
  <si>
    <t xml:space="preserve">PARAMETRO</t>
  </si>
  <si>
    <t xml:space="preserve">PAR_001</t>
  </si>
  <si>
    <t xml:space="preserve">factor_kbep_tj</t>
  </si>
  <si>
    <t xml:space="preserve">TJ/kBEP</t>
  </si>
  <si>
    <t xml:space="preserve">PAR_002</t>
  </si>
  <si>
    <t xml:space="preserve">redondeo_kbep</t>
  </si>
  <si>
    <t xml:space="preserve">Criterio de redondeo del balance</t>
  </si>
  <si>
    <t xml:space="preserve">PAR_003</t>
  </si>
  <si>
    <t xml:space="preserve">tolerancia_cierre_modelo_tj</t>
  </si>
  <si>
    <t xml:space="preserve">Criterios metodológicos del producto</t>
  </si>
  <si>
    <t xml:space="preserve">PAR_004</t>
  </si>
  <si>
    <t xml:space="preserve">kg_por_kt</t>
  </si>
  <si>
    <t xml:space="preserve">CONVERSION</t>
  </si>
  <si>
    <t xml:space="preserve">Conversión de unidades de masa</t>
  </si>
  <si>
    <t xml:space="preserve">kg/kt</t>
  </si>
  <si>
    <t xml:space="preserve">PAR_005</t>
  </si>
  <si>
    <t xml:space="preserve">gwp_ch4</t>
  </si>
  <si>
    <t xml:space="preserve">IPCC_AR5</t>
  </si>
  <si>
    <t xml:space="preserve">Quinto Informe de Evaluación del IPCC</t>
  </si>
  <si>
    <t xml:space="preserve">https://www.ipcc.ch/report/ar5/syr/</t>
  </si>
  <si>
    <t xml:space="preserve">kg CO2e/kg CH4</t>
  </si>
  <si>
    <t xml:space="preserve">PAR_006</t>
  </si>
  <si>
    <t xml:space="preserve">gwp_n2o</t>
  </si>
  <si>
    <t xml:space="preserve">kg CO2e/kg N2O</t>
  </si>
  <si>
    <t xml:space="preserve">PAR_007</t>
  </si>
  <si>
    <t xml:space="preserve">tolerancia_qa_psut_tj</t>
  </si>
  <si>
    <t xml:space="preserve">CONTROL</t>
  </si>
  <si>
    <t xml:space="preserve">Tolerancia de verificación PSUT</t>
  </si>
  <si>
    <t xml:space="preserve">PAR_008</t>
  </si>
  <si>
    <t xml:space="preserve">tolerancia_qa_emisiones_kt</t>
  </si>
  <si>
    <t xml:space="preserve">Tolerancia de verificación de emisiones</t>
  </si>
  <si>
    <t xml:space="preserve">kt</t>
  </si>
  <si>
    <t xml:space="preserve">CATALOGO_PRODUCTO</t>
  </si>
  <si>
    <t xml:space="preserve">PROD_BCANA</t>
  </si>
  <si>
    <t xml:space="preserve">Catálogo de productos energéticos</t>
  </si>
  <si>
    <t xml:space="preserve">PROD_BIOGAS</t>
  </si>
  <si>
    <t xml:space="preserve">PROD_COQUE</t>
  </si>
  <si>
    <t xml:space="preserve">PROD_CRBN</t>
  </si>
  <si>
    <t xml:space="preserve">PROD_DOIL</t>
  </si>
  <si>
    <t xml:space="preserve">PROD_ELEC</t>
  </si>
  <si>
    <t xml:space="preserve">PROD_EOLICA</t>
  </si>
  <si>
    <t xml:space="preserve">PROD_FOIL</t>
  </si>
  <si>
    <t xml:space="preserve">PROD_GAS</t>
  </si>
  <si>
    <t xml:space="preserve">PROD_GEOE</t>
  </si>
  <si>
    <t xml:space="preserve">PROD_GLP</t>
  </si>
  <si>
    <t xml:space="preserve">PROD_GN</t>
  </si>
  <si>
    <t xml:space="preserve">PROD_HYDR</t>
  </si>
  <si>
    <t xml:space="preserve">PROD_KER</t>
  </si>
  <si>
    <t xml:space="preserve">PROD_LENA</t>
  </si>
  <si>
    <t xml:space="preserve">PROD_NOEN</t>
  </si>
  <si>
    <t xml:space="preserve">PROD_ORIM</t>
  </si>
  <si>
    <t xml:space="preserve">PROD_PETR</t>
  </si>
  <si>
    <t xml:space="preserve">PROD_SOLAR</t>
  </si>
  <si>
    <t xml:space="preserve">CATALOGO_UNIDAD</t>
  </si>
  <si>
    <t xml:space="preserve">UNIDAD_A</t>
  </si>
  <si>
    <t xml:space="preserve">Agregación sectorial</t>
  </si>
  <si>
    <t xml:space="preserve">UNIDAD_B</t>
  </si>
  <si>
    <t xml:space="preserve">Minería y canteras</t>
  </si>
  <si>
    <t xml:space="preserve">UNIDAD_ENER</t>
  </si>
  <si>
    <t xml:space="preserve">Industrias de energía</t>
  </si>
  <si>
    <t xml:space="preserve">UNIDAD_IND_BEN</t>
  </si>
  <si>
    <t xml:space="preserve">Industria — agregado BEN</t>
  </si>
  <si>
    <t xml:space="preserve">UNIDAD_TR_BEN</t>
  </si>
  <si>
    <t xml:space="preserve">Transporte — agregado BEN</t>
  </si>
  <si>
    <t xml:space="preserve">UNIDAD_SERV</t>
  </si>
  <si>
    <t xml:space="preserve">Comercio y servicios</t>
  </si>
  <si>
    <t xml:space="preserve">UNIDAD_HH</t>
  </si>
  <si>
    <t xml:space="preserve">Hogares</t>
  </si>
  <si>
    <t xml:space="preserve">UNIDAD_C</t>
  </si>
  <si>
    <t xml:space="preserve">Manufactura</t>
  </si>
  <si>
    <t xml:space="preserve">UNIDAD_D</t>
  </si>
  <si>
    <t xml:space="preserve">Electricidad, gas, vapor y aire acondicionado</t>
  </si>
  <si>
    <t xml:space="preserve">UNIDAD_H</t>
  </si>
  <si>
    <t xml:space="preserve">Transporte y almacenamiento</t>
  </si>
  <si>
    <t xml:space="preserve">UNIDAD_ACC</t>
  </si>
  <si>
    <t xml:space="preserve">Acumulación</t>
  </si>
  <si>
    <t xml:space="preserve">UNIDAD_ROW</t>
  </si>
  <si>
    <t xml:space="preserve">Resto del mundo</t>
  </si>
  <si>
    <t xml:space="preserve">UNIDAD_ENV</t>
  </si>
  <si>
    <t xml:space="preserve">Ambiente</t>
  </si>
  <si>
    <t xml:space="preserve">UNIDAD_STAT</t>
  </si>
  <si>
    <t xml:space="preserve">Discrepancia estadística</t>
  </si>
  <si>
    <t xml:space="preserve">UNIDAD_NO_ASIG</t>
  </si>
  <si>
    <t xml:space="preserve">Uso interno no asignado</t>
  </si>
  <si>
    <t xml:space="preserve">PARÁMETROS Y COEFICIENTES</t>
  </si>
  <si>
    <t xml:space="preserve">parámetro</t>
  </si>
  <si>
    <t xml:space="preserve">valor</t>
  </si>
  <si>
    <t xml:space="preserve">unidad</t>
  </si>
  <si>
    <t xml:space="preserve">clase</t>
  </si>
  <si>
    <t xml:space="preserve">descripción</t>
  </si>
  <si>
    <t xml:space="preserve">fuente</t>
  </si>
  <si>
    <t xml:space="preserve">ENTRADA</t>
  </si>
  <si>
    <t xml:space="preserve">Conversión de kBEP a TJ.</t>
  </si>
  <si>
    <t xml:space="preserve">Semiancho del redondeo original.</t>
  </si>
  <si>
    <t xml:space="preserve">tolerancia_redondeo_celda_tj</t>
  </si>
  <si>
    <t xml:space="preserve">DERIVADO</t>
  </si>
  <si>
    <t xml:space="preserve">redondeo_kbep × factor_kbep_tj.</t>
  </si>
  <si>
    <t xml:space="preserve">Fórmula</t>
  </si>
  <si>
    <t xml:space="preserve">Umbral numérico posterior a STAT.</t>
  </si>
  <si>
    <t xml:space="preserve">Conversión de masa.</t>
  </si>
  <si>
    <t xml:space="preserve">GWP100 para CH4.</t>
  </si>
  <si>
    <t xml:space="preserve">GWP100 para N2O.</t>
  </si>
  <si>
    <t xml:space="preserve">Comparación de flujos PSUT.</t>
  </si>
  <si>
    <t xml:space="preserve">Comparación de emisiones.</t>
  </si>
  <si>
    <t xml:space="preserve">año</t>
  </si>
  <si>
    <t xml:space="preserve">VAB agricultura</t>
  </si>
  <si>
    <t xml:space="preserve">índice 2022=1</t>
  </si>
  <si>
    <t xml:space="preserve">Banco de Guatemala</t>
  </si>
  <si>
    <t xml:space="preserve">crudo PSUT (TJ)</t>
  </si>
  <si>
    <t xml:space="preserve">coeficiente de combustión</t>
  </si>
  <si>
    <t xml:space="preserve">CRT y PSUT</t>
  </si>
  <si>
    <t xml:space="preserve">Coeficiente 2022</t>
  </si>
  <si>
    <t xml:space="preserve">registro_mapeo</t>
  </si>
  <si>
    <t xml:space="preserve">tipo_STAT</t>
  </si>
  <si>
    <t xml:space="preserve">estado_fuente</t>
  </si>
  <si>
    <t xml:space="preserve">clave_emision</t>
  </si>
  <si>
    <t xml:space="preserve">unidad_sectorial_agregada</t>
  </si>
  <si>
    <t xml:space="preserve">modulo</t>
  </si>
  <si>
    <t xml:space="preserve">producto_std</t>
  </si>
  <si>
    <t xml:space="preserve">metodo_asignacion</t>
  </si>
  <si>
    <t xml:space="preserve">unidad_origen_psut</t>
  </si>
  <si>
    <t xml:space="preserve">psut_side</t>
  </si>
  <si>
    <t xml:space="preserve">psut_block_code</t>
  </si>
  <si>
    <t xml:space="preserve">actividad_base_tj</t>
  </si>
  <si>
    <t xml:space="preserve">actividad_emisiones_tj</t>
  </si>
  <si>
    <t xml:space="preserve">anio_factor</t>
  </si>
  <si>
    <t xml:space="preserve">estado_factor</t>
  </si>
  <si>
    <t xml:space="preserve">ef_co2_kg_tj</t>
  </si>
  <si>
    <t xml:space="preserve">ef_ch4_kg_tj</t>
  </si>
  <si>
    <t xml:space="preserve">ef_n2o_kg_tj</t>
  </si>
  <si>
    <t xml:space="preserve">gas_fuente</t>
  </si>
  <si>
    <t xml:space="preserve">emision_fuente_kt_gas</t>
  </si>
  <si>
    <t xml:space="preserve">co2_directo_kt</t>
  </si>
  <si>
    <t xml:space="preserve">co2_biogenico_memo_kt</t>
  </si>
  <si>
    <t xml:space="preserve">ch4_kt</t>
  </si>
  <si>
    <t xml:space="preserve">n2o_kt</t>
  </si>
  <si>
    <t xml:space="preserve">co2e_kt</t>
  </si>
  <si>
    <t xml:space="preserve">estado_resultado</t>
  </si>
  <si>
    <t xml:space="preserve">metodo_calculo</t>
  </si>
  <si>
    <t xml:space="preserve">fuente_id_actividad</t>
  </si>
  <si>
    <t xml:space="preserve">fuente_id_factor</t>
  </si>
  <si>
    <t xml:space="preserve">EM|2018|BEV2_00085</t>
  </si>
  <si>
    <t xml:space="preserve">COMBUSTION</t>
  </si>
  <si>
    <t xml:space="preserve">SIN_CALCULO_NO</t>
  </si>
  <si>
    <t xml:space="preserve">EM|2018|BEV2_00029</t>
  </si>
  <si>
    <t xml:space="preserve">FUGITIVAS</t>
  </si>
  <si>
    <t xml:space="preserve">EM|2018|BEV2_00099</t>
  </si>
  <si>
    <t xml:space="preserve">ACTIVIDAD_X_FE</t>
  </si>
  <si>
    <t xml:space="preserve">EM|2018|BEV2_00006</t>
  </si>
  <si>
    <t xml:space="preserve">EM|2018|BEV2_00007</t>
  </si>
  <si>
    <t xml:space="preserve">EM|2018|BEV2_00020</t>
  </si>
  <si>
    <t xml:space="preserve">EM|2018|BEV2_00021</t>
  </si>
  <si>
    <t xml:space="preserve">EM|2018|BEV2_00034</t>
  </si>
  <si>
    <t xml:space="preserve">EM|2018|BEV2_00048</t>
  </si>
  <si>
    <t xml:space="preserve">EM|2018|BEV2_00062</t>
  </si>
  <si>
    <t xml:space="preserve">EM|2018|BEV2_00076</t>
  </si>
  <si>
    <t xml:space="preserve">EM|2018|BEV2_00077</t>
  </si>
  <si>
    <t xml:space="preserve">EM|2018|BEV2_00091</t>
  </si>
  <si>
    <t xml:space="preserve">EM|2018|BEV2_00103</t>
  </si>
  <si>
    <t xml:space="preserve">EM|2018|BEV2_00118</t>
  </si>
  <si>
    <t xml:space="preserve">EM|2018|BEV2_00132</t>
  </si>
  <si>
    <t xml:space="preserve">EM|2018|BEV2_00133</t>
  </si>
  <si>
    <t xml:space="preserve">EM|2018|BEV2_00134</t>
  </si>
  <si>
    <t xml:space="preserve">EM|2018|BEV2_00146</t>
  </si>
  <si>
    <t xml:space="preserve">EM|2018|BEV2_00147</t>
  </si>
  <si>
    <t xml:space="preserve">EM|2018|BEV2_00148</t>
  </si>
  <si>
    <t xml:space="preserve">EM|2018|BEV2_00160</t>
  </si>
  <si>
    <t xml:space="preserve">EM|2018|BEV2_00161</t>
  </si>
  <si>
    <t xml:space="preserve">EM|2018|BEV2_00162</t>
  </si>
  <si>
    <t xml:space="preserve">EM|2018|BEV2_00174</t>
  </si>
  <si>
    <t xml:space="preserve">EM|2018|BEV2_00094</t>
  </si>
  <si>
    <t xml:space="preserve">EM|2018|BEV2_00164</t>
  </si>
  <si>
    <t xml:space="preserve">EM|2018|BEV2_00206</t>
  </si>
  <si>
    <t xml:space="preserve">EM|2018|BEV2_00220</t>
  </si>
  <si>
    <t xml:space="preserve">EM|2018|BEV2_00138</t>
  </si>
  <si>
    <t xml:space="preserve">EM|2018|BEV2_00152</t>
  </si>
  <si>
    <t xml:space="preserve">EM|2018|BEV2_00166</t>
  </si>
  <si>
    <t xml:space="preserve">EM|2018|BEV2_00180</t>
  </si>
  <si>
    <t xml:space="preserve">EM|2018|BEV2_00194</t>
  </si>
  <si>
    <t xml:space="preserve">EM|2018|BEV2_00208</t>
  </si>
  <si>
    <t xml:space="preserve">EM|2018|BEV2_00222</t>
  </si>
  <si>
    <t xml:space="preserve">EM|2018|BEV2_00095</t>
  </si>
  <si>
    <t xml:space="preserve">EM|2018|BEV2_00165</t>
  </si>
  <si>
    <t xml:space="preserve">EM|2018|BEV2_00193</t>
  </si>
  <si>
    <t xml:space="preserve">EM|2018|BEV2_00207</t>
  </si>
  <si>
    <t xml:space="preserve">EM|2018|BEV2_00221</t>
  </si>
  <si>
    <t xml:space="preserve">EM|2018|BEV2_00149</t>
  </si>
  <si>
    <t xml:space="preserve">EM|2018|BEV2_00191</t>
  </si>
  <si>
    <t xml:space="preserve">EM|2018|BEV2_00205</t>
  </si>
  <si>
    <t xml:space="preserve">EM|2018|BEV2_00219</t>
  </si>
  <si>
    <t xml:space="preserve">EM|2018|AGR|3.A|CH4</t>
  </si>
  <si>
    <t xml:space="preserve">AGRICULTURA</t>
  </si>
  <si>
    <t xml:space="preserve">Fermentación entérica</t>
  </si>
  <si>
    <t xml:space="preserve">EMISION_OBSERVADA_CRT</t>
  </si>
  <si>
    <t xml:space="preserve">AGR|2018|3.A|CH4</t>
  </si>
  <si>
    <t xml:space="preserve">EM|2018|AGR|3.B|CH4</t>
  </si>
  <si>
    <t xml:space="preserve">Gestión del estiércol</t>
  </si>
  <si>
    <t xml:space="preserve">AGR|2018|3.B|CH4</t>
  </si>
  <si>
    <t xml:space="preserve">EM|2018|AGR|3.B|N2O</t>
  </si>
  <si>
    <t xml:space="preserve">AGR|2018|3.B|N2O</t>
  </si>
  <si>
    <t xml:space="preserve">EM|2018|AGR|3.C|CH4</t>
  </si>
  <si>
    <t xml:space="preserve">Cultivo de arroz</t>
  </si>
  <si>
    <t xml:space="preserve">AGR|2018|3.C|CH4</t>
  </si>
  <si>
    <t xml:space="preserve">EM|2018|AGR|3.D|N2O</t>
  </si>
  <si>
    <t xml:space="preserve">Suelos agrícolas</t>
  </si>
  <si>
    <t xml:space="preserve">AGR|2018|3.D|N2O</t>
  </si>
  <si>
    <t xml:space="preserve">EM|2018|AGR|3.E|CH4</t>
  </si>
  <si>
    <t xml:space="preserve">Quema prescrita de sabanas</t>
  </si>
  <si>
    <t xml:space="preserve">AGR|2018|3.E|CH4</t>
  </si>
  <si>
    <t xml:space="preserve">EM|2018|AGR|3.E|N2O</t>
  </si>
  <si>
    <t xml:space="preserve">AGR|2018|3.E|N2O</t>
  </si>
  <si>
    <t xml:space="preserve">EM|2018|AGR|3.F|CH4</t>
  </si>
  <si>
    <t xml:space="preserve">3.F</t>
  </si>
  <si>
    <t xml:space="preserve">Quema de residuos agrícolas en el campo</t>
  </si>
  <si>
    <t xml:space="preserve">TOTAL_SECTOR_MENOS_COMPONENTES</t>
  </si>
  <si>
    <t xml:space="preserve">AGR|2018|3.F|CH4</t>
  </si>
  <si>
    <t xml:space="preserve">EM|2018|AGR|3.F|N2O</t>
  </si>
  <si>
    <t xml:space="preserve">AGR|2018|3.F|N2O</t>
  </si>
  <si>
    <t xml:space="preserve">EM|2018|AGR|3.G|NO</t>
  </si>
  <si>
    <t xml:space="preserve">3.G</t>
  </si>
  <si>
    <t xml:space="preserve">Encalado</t>
  </si>
  <si>
    <t xml:space="preserve">AGR|2018|3.G|NO</t>
  </si>
  <si>
    <t xml:space="preserve">EM|2018|AGR|3.H|CO2</t>
  </si>
  <si>
    <t xml:space="preserve">3.H</t>
  </si>
  <si>
    <t xml:space="preserve">Aplicación de urea</t>
  </si>
  <si>
    <t xml:space="preserve">AGR|2018|3.H|CO2</t>
  </si>
  <si>
    <t xml:space="preserve">EM|2018|AGR|3.I|NO</t>
  </si>
  <si>
    <t xml:space="preserve">3.I</t>
  </si>
  <si>
    <t xml:space="preserve">Otros fertilizantes que contienen carbono</t>
  </si>
  <si>
    <t xml:space="preserve">AGR|2018|3.I|NO</t>
  </si>
  <si>
    <t xml:space="preserve">EM|2018|AGR|3.J|NO</t>
  </si>
  <si>
    <t xml:space="preserve">3.J</t>
  </si>
  <si>
    <t xml:space="preserve">Otros</t>
  </si>
  <si>
    <t xml:space="preserve">AGR|2018|3.J|NO</t>
  </si>
  <si>
    <t xml:space="preserve">EM|2019|BEV2_00323</t>
  </si>
  <si>
    <t xml:space="preserve">EM|2019|BEV2_00267</t>
  </si>
  <si>
    <t xml:space="preserve">EM|2019|BEV2_00337</t>
  </si>
  <si>
    <t xml:space="preserve">EM|2019|BEV2_00244</t>
  </si>
  <si>
    <t xml:space="preserve">EM|2019|BEV2_00245</t>
  </si>
  <si>
    <t xml:space="preserve">EM|2019|BEV2_00258</t>
  </si>
  <si>
    <t xml:space="preserve">EM|2019|BEV2_00259</t>
  </si>
  <si>
    <t xml:space="preserve">EM|2019|BEV2_00272</t>
  </si>
  <si>
    <t xml:space="preserve">EM|2019|BEV2_00286</t>
  </si>
  <si>
    <t xml:space="preserve">EM|2019|BEV2_00300</t>
  </si>
  <si>
    <t xml:space="preserve">EM|2019|BEV2_00314</t>
  </si>
  <si>
    <t xml:space="preserve">EM|2019|BEV2_00315</t>
  </si>
  <si>
    <t xml:space="preserve">EM|2019|BEV2_00341</t>
  </si>
  <si>
    <t xml:space="preserve">EM|2019|BEV2_00356</t>
  </si>
  <si>
    <t xml:space="preserve">EM|2019|BEV2_00384</t>
  </si>
  <si>
    <t xml:space="preserve">EM|2019|BEV2_00398</t>
  </si>
  <si>
    <t xml:space="preserve">EM|2019|BEV2_00399</t>
  </si>
  <si>
    <t xml:space="preserve">EM|2019|BEV2_00400</t>
  </si>
  <si>
    <t xml:space="preserve">EM|2019|BEV2_00412</t>
  </si>
  <si>
    <t xml:space="preserve">EM|2019|BEV2_00413</t>
  </si>
  <si>
    <t xml:space="preserve">EM|2019|BEV2_00332</t>
  </si>
  <si>
    <t xml:space="preserve">EM|2019|BEV2_00402</t>
  </si>
  <si>
    <t xml:space="preserve">EM|2019|BEV2_00444</t>
  </si>
  <si>
    <t xml:space="preserve">EM|2019|BEV2_00458</t>
  </si>
  <si>
    <t xml:space="preserve">EM|2019|BEV2_00376</t>
  </si>
  <si>
    <t xml:space="preserve">EM|2019|BEV2_00390</t>
  </si>
  <si>
    <t xml:space="preserve">EM|2019|BEV2_00404</t>
  </si>
  <si>
    <t xml:space="preserve">EM|2019|BEV2_00418</t>
  </si>
  <si>
    <t xml:space="preserve">EM|2019|BEV2_00432</t>
  </si>
  <si>
    <t xml:space="preserve">EM|2019|BEV2_00446</t>
  </si>
  <si>
    <t xml:space="preserve">EM|2019|BEV2_00460</t>
  </si>
  <si>
    <t xml:space="preserve">EM|2019|GAS_USO_INTERNO_APARENTE_2019</t>
  </si>
  <si>
    <t xml:space="preserve">ACTIVIDAD_X_FE_PONDERADO_USOS_OBSERVADOS_2019</t>
  </si>
  <si>
    <t xml:space="preserve">Factor ponderado por los usos observados de GAS en transporte, industria y servicios.</t>
  </si>
  <si>
    <t xml:space="preserve">EM|2019|BEV2_00333</t>
  </si>
  <si>
    <t xml:space="preserve">EM|2019|BEV2_00403</t>
  </si>
  <si>
    <t xml:space="preserve">EM|2019|BEV2_00431</t>
  </si>
  <si>
    <t xml:space="preserve">EM|2019|BEV2_00445</t>
  </si>
  <si>
    <t xml:space="preserve">EM|2019|BEV2_00459</t>
  </si>
  <si>
    <t xml:space="preserve">EM|2019|BEV2_00387</t>
  </si>
  <si>
    <t xml:space="preserve">EM|2019|BEV2_00429</t>
  </si>
  <si>
    <t xml:space="preserve">EM|2019|BEV2_00443</t>
  </si>
  <si>
    <t xml:space="preserve">EM|2019|BEV2_00457</t>
  </si>
  <si>
    <t xml:space="preserve">EM|2019|AGR|3.A|CH4</t>
  </si>
  <si>
    <t xml:space="preserve">AGR|2019|3.A|CH4</t>
  </si>
  <si>
    <t xml:space="preserve">EM|2019|AGR|3.B|CH4</t>
  </si>
  <si>
    <t xml:space="preserve">AGR|2019|3.B|CH4</t>
  </si>
  <si>
    <t xml:space="preserve">EM|2019|AGR|3.B|N2O</t>
  </si>
  <si>
    <t xml:space="preserve">AGR|2019|3.B|N2O</t>
  </si>
  <si>
    <t xml:space="preserve">EM|2019|AGR|3.C|CH4</t>
  </si>
  <si>
    <t xml:space="preserve">AGR|2019|3.C|CH4</t>
  </si>
  <si>
    <t xml:space="preserve">EM|2019|AGR|3.D|N2O</t>
  </si>
  <si>
    <t xml:space="preserve">AGR|2019|3.D|N2O</t>
  </si>
  <si>
    <t xml:space="preserve">EM|2019|AGR|3.E|CH4</t>
  </si>
  <si>
    <t xml:space="preserve">AGR|2019|3.E|CH4</t>
  </si>
  <si>
    <t xml:space="preserve">EM|2019|AGR|3.E|N2O</t>
  </si>
  <si>
    <t xml:space="preserve">AGR|2019|3.E|N2O</t>
  </si>
  <si>
    <t xml:space="preserve">EM|2019|AGR|3.F|CH4</t>
  </si>
  <si>
    <t xml:space="preserve">AGR|2019|3.F|CH4</t>
  </si>
  <si>
    <t xml:space="preserve">EM|2019|AGR|3.F|N2O</t>
  </si>
  <si>
    <t xml:space="preserve">AGR|2019|3.F|N2O</t>
  </si>
  <si>
    <t xml:space="preserve">EM|2019|AGR|3.G|NO</t>
  </si>
  <si>
    <t xml:space="preserve">AGR|2019|3.G|NO</t>
  </si>
  <si>
    <t xml:space="preserve">EM|2019|AGR|3.H|CO2</t>
  </si>
  <si>
    <t xml:space="preserve">AGR|2019|3.H|CO2</t>
  </si>
  <si>
    <t xml:space="preserve">EM|2019|AGR|3.I|NO</t>
  </si>
  <si>
    <t xml:space="preserve">AGR|2019|3.I|NO</t>
  </si>
  <si>
    <t xml:space="preserve">EM|2019|AGR|3.J|NO</t>
  </si>
  <si>
    <t xml:space="preserve">AGR|2019|3.J|NO</t>
  </si>
  <si>
    <t xml:space="preserve">EM|2020|BEV2_00575</t>
  </si>
  <si>
    <t xml:space="preserve">EM|2020|BEV2_00519</t>
  </si>
  <si>
    <t xml:space="preserve">EM|2020|BEV2_00589</t>
  </si>
  <si>
    <t xml:space="preserve">EM|2020|BEV2_00496</t>
  </si>
  <si>
    <t xml:space="preserve">EM|2020|BEV2_00497</t>
  </si>
  <si>
    <t xml:space="preserve">EM|2020|BEV2_00510</t>
  </si>
  <si>
    <t xml:space="preserve">EM|2020|BEV2_00524</t>
  </si>
  <si>
    <t xml:space="preserve">EM|2020|BEV2_00538</t>
  </si>
  <si>
    <t xml:space="preserve">EM|2020|BEV2_00552</t>
  </si>
  <si>
    <t xml:space="preserve">EM|2020|BEV2_00566</t>
  </si>
  <si>
    <t xml:space="preserve">EM|2020|BEV2_00567</t>
  </si>
  <si>
    <t xml:space="preserve">EM|2020|BEV2_00593</t>
  </si>
  <si>
    <t xml:space="preserve">EM|2020|BEV2_00608</t>
  </si>
  <si>
    <t xml:space="preserve">EM|2020|BEV2_00636</t>
  </si>
  <si>
    <t xml:space="preserve">EM|2020|BEV2_00650</t>
  </si>
  <si>
    <t xml:space="preserve">EM|2020|BEV2_00651</t>
  </si>
  <si>
    <t xml:space="preserve">EM|2020|BEV2_00652</t>
  </si>
  <si>
    <t xml:space="preserve">EM|2020|BEV2_00664</t>
  </si>
  <si>
    <t xml:space="preserve">EM|2020|BEV2_00665</t>
  </si>
  <si>
    <t xml:space="preserve">EM|2020|BEV2_00584</t>
  </si>
  <si>
    <t xml:space="preserve">EM|2020|BEV2_00654</t>
  </si>
  <si>
    <t xml:space="preserve">EM|2020|BEV2_00696</t>
  </si>
  <si>
    <t xml:space="preserve">EM|2020|BEV2_00710</t>
  </si>
  <si>
    <t xml:space="preserve">EM|2020|BEV2_00628</t>
  </si>
  <si>
    <t xml:space="preserve">EM|2020|BEV2_00642</t>
  </si>
  <si>
    <t xml:space="preserve">EM|2020|BEV2_00656</t>
  </si>
  <si>
    <t xml:space="preserve">EM|2020|BEV2_00670</t>
  </si>
  <si>
    <t xml:space="preserve">EM|2020|BEV2_00684</t>
  </si>
  <si>
    <t xml:space="preserve">EM|2020|BEV2_00698</t>
  </si>
  <si>
    <t xml:space="preserve">EM|2020|BEV2_00712</t>
  </si>
  <si>
    <t xml:space="preserve">EM|2020|BEV2_00585</t>
  </si>
  <si>
    <t xml:space="preserve">EM|2020|BEV2_00655</t>
  </si>
  <si>
    <t xml:space="preserve">EM|2020|BEV2_00683</t>
  </si>
  <si>
    <t xml:space="preserve">EM|2020|BEV2_00697</t>
  </si>
  <si>
    <t xml:space="preserve">EM|2020|BEV2_00711</t>
  </si>
  <si>
    <t xml:space="preserve">EM|2020|BEV2_00639</t>
  </si>
  <si>
    <t xml:space="preserve">EM|2020|BEV2_00681</t>
  </si>
  <si>
    <t xml:space="preserve">EM|2020|BEV2_00695</t>
  </si>
  <si>
    <t xml:space="preserve">EM|2020|BEV2_00709</t>
  </si>
  <si>
    <t xml:space="preserve">EM|2020|AGR|3.A|CH4</t>
  </si>
  <si>
    <t xml:space="preserve">AGR|2020|3.A|CH4</t>
  </si>
  <si>
    <t xml:space="preserve">EM|2020|AGR|3.B|CH4</t>
  </si>
  <si>
    <t xml:space="preserve">AGR|2020|3.B|CH4</t>
  </si>
  <si>
    <t xml:space="preserve">EM|2020|AGR|3.B|N2O</t>
  </si>
  <si>
    <t xml:space="preserve">AGR|2020|3.B|N2O</t>
  </si>
  <si>
    <t xml:space="preserve">EM|2020|AGR|3.C|CH4</t>
  </si>
  <si>
    <t xml:space="preserve">AGR|2020|3.C|CH4</t>
  </si>
  <si>
    <t xml:space="preserve">EM|2020|AGR|3.D|N2O</t>
  </si>
  <si>
    <t xml:space="preserve">AGR|2020|3.D|N2O</t>
  </si>
  <si>
    <t xml:space="preserve">EM|2020|AGR|3.E|CH4</t>
  </si>
  <si>
    <t xml:space="preserve">AGR|2020|3.E|CH4</t>
  </si>
  <si>
    <t xml:space="preserve">EM|2020|AGR|3.E|N2O</t>
  </si>
  <si>
    <t xml:space="preserve">AGR|2020|3.E|N2O</t>
  </si>
  <si>
    <t xml:space="preserve">EM|2020|AGR|3.F|CH4</t>
  </si>
  <si>
    <t xml:space="preserve">AGR|2020|3.F|CH4</t>
  </si>
  <si>
    <t xml:space="preserve">EM|2020|AGR|3.F|N2O</t>
  </si>
  <si>
    <t xml:space="preserve">AGR|2020|3.F|N2O</t>
  </si>
  <si>
    <t xml:space="preserve">EM|2020|AGR|3.G|NO</t>
  </si>
  <si>
    <t xml:space="preserve">AGR|2020|3.G|NO</t>
  </si>
  <si>
    <t xml:space="preserve">EM|2020|AGR|3.H|CO2</t>
  </si>
  <si>
    <t xml:space="preserve">AGR|2020|3.H|CO2</t>
  </si>
  <si>
    <t xml:space="preserve">EM|2020|AGR|3.I|NO</t>
  </si>
  <si>
    <t xml:space="preserve">AGR|2020|3.I|NO</t>
  </si>
  <si>
    <t xml:space="preserve">EM|2020|AGR|3.J|NO</t>
  </si>
  <si>
    <t xml:space="preserve">AGR|2020|3.J|NO</t>
  </si>
  <si>
    <t xml:space="preserve">EM|2021|BEV2_00827</t>
  </si>
  <si>
    <t xml:space="preserve">EM|2021|BEV2_00757</t>
  </si>
  <si>
    <t xml:space="preserve">EM|2021|BEV2_00799</t>
  </si>
  <si>
    <t xml:space="preserve">EM|2021|BEV2_00841</t>
  </si>
  <si>
    <t xml:space="preserve">EM|2021|BEV2_00734</t>
  </si>
  <si>
    <t xml:space="preserve">EM|2021|BEV2_00735</t>
  </si>
  <si>
    <t xml:space="preserve">EM|2021|BEV2_00748</t>
  </si>
  <si>
    <t xml:space="preserve">EM|2021|BEV2_00762</t>
  </si>
  <si>
    <t xml:space="preserve">EM|2021|BEV2_00763</t>
  </si>
  <si>
    <t xml:space="preserve">EM|2021|BEV2_00776</t>
  </si>
  <si>
    <t xml:space="preserve">EM|2021|BEV2_00790</t>
  </si>
  <si>
    <t xml:space="preserve">EM|2021|BEV2_00804</t>
  </si>
  <si>
    <t xml:space="preserve">EM|2021|BEV2_00818</t>
  </si>
  <si>
    <t xml:space="preserve">EM|2021|BEV2_00819</t>
  </si>
  <si>
    <t xml:space="preserve">EM|2021|BEV2_00845</t>
  </si>
  <si>
    <t xml:space="preserve">EM|2021|BEV2_00860</t>
  </si>
  <si>
    <t xml:space="preserve">EM|2021|BEV2_00888</t>
  </si>
  <si>
    <t xml:space="preserve">EM|2021|BEV2_00902</t>
  </si>
  <si>
    <t xml:space="preserve">EM|2021|BEV2_00903</t>
  </si>
  <si>
    <t xml:space="preserve">EM|2021|BEV2_00904</t>
  </si>
  <si>
    <t xml:space="preserve">EM|2021|BEV2_00916</t>
  </si>
  <si>
    <t xml:space="preserve">EM|2021|BEV2_00917</t>
  </si>
  <si>
    <t xml:space="preserve">EM|2021|BEV2_00836</t>
  </si>
  <si>
    <t xml:space="preserve">EM|2021|BEV2_00906</t>
  </si>
  <si>
    <t xml:space="preserve">EM|2021|BEV2_00948</t>
  </si>
  <si>
    <t xml:space="preserve">EM|2021|BEV2_00880</t>
  </si>
  <si>
    <t xml:space="preserve">EM|2021|BEV2_00894</t>
  </si>
  <si>
    <t xml:space="preserve">EM|2021|BEV2_00908</t>
  </si>
  <si>
    <t xml:space="preserve">EM|2021|BEV2_00922</t>
  </si>
  <si>
    <t xml:space="preserve">EM|2021|BEV2_00936</t>
  </si>
  <si>
    <t xml:space="preserve">EM|2021|BEV2_00950</t>
  </si>
  <si>
    <t xml:space="preserve">EM|2021|BEV2_00837</t>
  </si>
  <si>
    <t xml:space="preserve">EM|2021|BEV2_00907</t>
  </si>
  <si>
    <t xml:space="preserve">EM|2021|BEV2_00935</t>
  </si>
  <si>
    <t xml:space="preserve">EM|2021|BEV2_00949</t>
  </si>
  <si>
    <t xml:space="preserve">EM|2021|BEV2_00891</t>
  </si>
  <si>
    <t xml:space="preserve">EM|2021|BEV2_00933</t>
  </si>
  <si>
    <t xml:space="preserve">EM|2021|BEV2_00947</t>
  </si>
  <si>
    <t xml:space="preserve">EM|2021|BEV2_00961</t>
  </si>
  <si>
    <t xml:space="preserve">EM|2021|AGR|3.A|CH4</t>
  </si>
  <si>
    <t xml:space="preserve">AGR|2021|3.A|CH4</t>
  </si>
  <si>
    <t xml:space="preserve">EM|2021|AGR|3.B|CH4</t>
  </si>
  <si>
    <t xml:space="preserve">AGR|2021|3.B|CH4</t>
  </si>
  <si>
    <t xml:space="preserve">EM|2021|AGR|3.B|N2O</t>
  </si>
  <si>
    <t xml:space="preserve">AGR|2021|3.B|N2O</t>
  </si>
  <si>
    <t xml:space="preserve">EM|2021|AGR|3.C|CH4</t>
  </si>
  <si>
    <t xml:space="preserve">AGR|2021|3.C|CH4</t>
  </si>
  <si>
    <t xml:space="preserve">EM|2021|AGR|3.D|N2O</t>
  </si>
  <si>
    <t xml:space="preserve">AGR|2021|3.D|N2O</t>
  </si>
  <si>
    <t xml:space="preserve">EM|2021|AGR|3.E|CH4</t>
  </si>
  <si>
    <t xml:space="preserve">AGR|2021|3.E|CH4</t>
  </si>
  <si>
    <t xml:space="preserve">EM|2021|AGR|3.E|N2O</t>
  </si>
  <si>
    <t xml:space="preserve">AGR|2021|3.E|N2O</t>
  </si>
  <si>
    <t xml:space="preserve">EM|2021|AGR|3.F|CH4</t>
  </si>
  <si>
    <t xml:space="preserve">AGR|2021|3.F|CH4</t>
  </si>
  <si>
    <t xml:space="preserve">EM|2021|AGR|3.F|N2O</t>
  </si>
  <si>
    <t xml:space="preserve">AGR|2021|3.F|N2O</t>
  </si>
  <si>
    <t xml:space="preserve">EM|2021|AGR|3.G|NO</t>
  </si>
  <si>
    <t xml:space="preserve">AGR|2021|3.G|NO</t>
  </si>
  <si>
    <t xml:space="preserve">EM|2021|AGR|3.H|CO2</t>
  </si>
  <si>
    <t xml:space="preserve">AGR|2021|3.H|CO2</t>
  </si>
  <si>
    <t xml:space="preserve">EM|2021|AGR|3.I|NO</t>
  </si>
  <si>
    <t xml:space="preserve">AGR|2021|3.I|NO</t>
  </si>
  <si>
    <t xml:space="preserve">EM|2021|AGR|3.J|NO</t>
  </si>
  <si>
    <t xml:space="preserve">AGR|2021|3.J|NO</t>
  </si>
  <si>
    <t xml:space="preserve">EM|2022|BEV2_01079</t>
  </si>
  <si>
    <t xml:space="preserve">EM|2022|BEV2_01009</t>
  </si>
  <si>
    <t xml:space="preserve">EM|2022|BEV2_01051</t>
  </si>
  <si>
    <t xml:space="preserve">EM|2022|BEV2_01093</t>
  </si>
  <si>
    <t xml:space="preserve">EM|2022|BEV2_00986</t>
  </si>
  <si>
    <t xml:space="preserve">EM|2022|BEV2_00987</t>
  </si>
  <si>
    <t xml:space="preserve">EM|2022|BEV2_01000</t>
  </si>
  <si>
    <t xml:space="preserve">EM|2022|BEV2_01014</t>
  </si>
  <si>
    <t xml:space="preserve">EM|2022|BEV2_01015</t>
  </si>
  <si>
    <t xml:space="preserve">EM|2022|BEV2_01028</t>
  </si>
  <si>
    <t xml:space="preserve">EM|2022|BEV2_01042</t>
  </si>
  <si>
    <t xml:space="preserve">EM|2022|BEV2_01056</t>
  </si>
  <si>
    <t xml:space="preserve">EM|2022|BEV2_01070</t>
  </si>
  <si>
    <t xml:space="preserve">EM|2022|BEV2_01071</t>
  </si>
  <si>
    <t xml:space="preserve">EM|2022|BEV2_01097</t>
  </si>
  <si>
    <t xml:space="preserve">EM|2022|BEV2_01112</t>
  </si>
  <si>
    <t xml:space="preserve">EM|2022|BEV2_01140</t>
  </si>
  <si>
    <t xml:space="preserve">EM|2022|BEV2_01154</t>
  </si>
  <si>
    <t xml:space="preserve">EM|2022|BEV2_01155</t>
  </si>
  <si>
    <t xml:space="preserve">EM|2022|BEV2_01156</t>
  </si>
  <si>
    <t xml:space="preserve">EM|2022|BEV2_01168</t>
  </si>
  <si>
    <t xml:space="preserve">EM|2022|BEV2_01169</t>
  </si>
  <si>
    <t xml:space="preserve">EM|2022|BEV2_01088</t>
  </si>
  <si>
    <t xml:space="preserve">EM|2022|BEV2_01158</t>
  </si>
  <si>
    <t xml:space="preserve">EM|2022|BEV2_01200</t>
  </si>
  <si>
    <t xml:space="preserve">EM|2022|BEV2_01132</t>
  </si>
  <si>
    <t xml:space="preserve">EM|2022|BEV2_01146</t>
  </si>
  <si>
    <t xml:space="preserve">EM|2022|BEV2_01160</t>
  </si>
  <si>
    <t xml:space="preserve">EM|2022|BEV2_01174</t>
  </si>
  <si>
    <t xml:space="preserve">EM|2022|BEV2_01188</t>
  </si>
  <si>
    <t xml:space="preserve">EM|2022|BEV2_01202</t>
  </si>
  <si>
    <t xml:space="preserve">EM|2022|BEV2_01089</t>
  </si>
  <si>
    <t xml:space="preserve">EM|2022|BEV2_01159</t>
  </si>
  <si>
    <t xml:space="preserve">EM|2022|BEV2_01187</t>
  </si>
  <si>
    <t xml:space="preserve">EM|2022|BEV2_01201</t>
  </si>
  <si>
    <t xml:space="preserve">EM|2022|BEV2_01143</t>
  </si>
  <si>
    <t xml:space="preserve">EM|2022|BEV2_01185</t>
  </si>
  <si>
    <t xml:space="preserve">EM|2022|BEV2_01199</t>
  </si>
  <si>
    <t xml:space="preserve">EM|2022|BEV2_01213</t>
  </si>
  <si>
    <t xml:space="preserve">EM|2022|AGR|3.A|CH4</t>
  </si>
  <si>
    <t xml:space="preserve">AGR|2022|3.A|CH4</t>
  </si>
  <si>
    <t xml:space="preserve">EM|2022|AGR|3.B|CH4</t>
  </si>
  <si>
    <t xml:space="preserve">AGR|2022|3.B|CH4</t>
  </si>
  <si>
    <t xml:space="preserve">EM|2022|AGR|3.B|N2O</t>
  </si>
  <si>
    <t xml:space="preserve">AGR|2022|3.B|N2O</t>
  </si>
  <si>
    <t xml:space="preserve">EM|2022|AGR|3.C|CH4</t>
  </si>
  <si>
    <t xml:space="preserve">AGR|2022|3.C|CH4</t>
  </si>
  <si>
    <t xml:space="preserve">EM|2022|AGR|3.D|N2O</t>
  </si>
  <si>
    <t xml:space="preserve">AGR|2022|3.D|N2O</t>
  </si>
  <si>
    <t xml:space="preserve">EM|2022|AGR|3.E|CH4</t>
  </si>
  <si>
    <t xml:space="preserve">AGR|2022|3.E|CH4</t>
  </si>
  <si>
    <t xml:space="preserve">EM|2022|AGR|3.E|N2O</t>
  </si>
  <si>
    <t xml:space="preserve">AGR|2022|3.E|N2O</t>
  </si>
  <si>
    <t xml:space="preserve">EM|2022|AGR|3.F|CH4</t>
  </si>
  <si>
    <t xml:space="preserve">AGR|2022|3.F|CH4</t>
  </si>
  <si>
    <t xml:space="preserve">EM|2022|AGR|3.F|N2O</t>
  </si>
  <si>
    <t xml:space="preserve">AGR|2022|3.F|N2O</t>
  </si>
  <si>
    <t xml:space="preserve">EM|2022|AGR|3.G|NO</t>
  </si>
  <si>
    <t xml:space="preserve">AGR|2022|3.G|NO</t>
  </si>
  <si>
    <t xml:space="preserve">EM|2022|AGR|3.H|CO2</t>
  </si>
  <si>
    <t xml:space="preserve">AGR|2022|3.H|CO2</t>
  </si>
  <si>
    <t xml:space="preserve">EM|2022|AGR|3.I|NO</t>
  </si>
  <si>
    <t xml:space="preserve">AGR|2022|3.I|NO</t>
  </si>
  <si>
    <t xml:space="preserve">EM|2022|AGR|3.J|NO</t>
  </si>
  <si>
    <t xml:space="preserve">AGR|2022|3.J|NO</t>
  </si>
  <si>
    <t xml:space="preserve">EM|2023|BEV2_01345</t>
  </si>
  <si>
    <t xml:space="preserve">EM|2023|BEV2_01275</t>
  </si>
  <si>
    <t xml:space="preserve">EM|2023|BEV2_01317</t>
  </si>
  <si>
    <t xml:space="preserve">EM|2023|BEV2_01359</t>
  </si>
  <si>
    <t xml:space="preserve">EM|2023|BEV2_01252</t>
  </si>
  <si>
    <t xml:space="preserve">EM|2023|BEV2_01253</t>
  </si>
  <si>
    <t xml:space="preserve">EM|2023|BEV2_01266</t>
  </si>
  <si>
    <t xml:space="preserve">EM|2023|BEV2_01280</t>
  </si>
  <si>
    <t xml:space="preserve">EM|2023|BEV2_01281</t>
  </si>
  <si>
    <t xml:space="preserve">EM|2023|BEV2_01294</t>
  </si>
  <si>
    <t xml:space="preserve">EM|2023|BEV2_01308</t>
  </si>
  <si>
    <t xml:space="preserve">EM|2023|BEV2_01336</t>
  </si>
  <si>
    <t xml:space="preserve">EM|2023|BEV2_01337</t>
  </si>
  <si>
    <t xml:space="preserve">EM|2023|BEV2_01363</t>
  </si>
  <si>
    <t xml:space="preserve">EM|2023|BEV2_01378</t>
  </si>
  <si>
    <t xml:space="preserve">EM|2023|BEV2_01406</t>
  </si>
  <si>
    <t xml:space="preserve">EM|2023|BEV2_01420</t>
  </si>
  <si>
    <t xml:space="preserve">EM|2023|BEV2_01421</t>
  </si>
  <si>
    <t xml:space="preserve">EM|2023|BEV2_01422</t>
  </si>
  <si>
    <t xml:space="preserve">EM|2023|BEV2_01434</t>
  </si>
  <si>
    <t xml:space="preserve">EM|2023|BEV2_01435</t>
  </si>
  <si>
    <t xml:space="preserve">EM|2023|BEV2_01354</t>
  </si>
  <si>
    <t xml:space="preserve">EM|2023|BEV2_01424</t>
  </si>
  <si>
    <t xml:space="preserve">EM|2023|BEV2_01466</t>
  </si>
  <si>
    <t xml:space="preserve">EM|2023|BEV2_01398</t>
  </si>
  <si>
    <t xml:space="preserve">EM|2023|BEV2_01412</t>
  </si>
  <si>
    <t xml:space="preserve">EM|2023|BEV2_01426</t>
  </si>
  <si>
    <t xml:space="preserve">EM|2023|BEV2_01440</t>
  </si>
  <si>
    <t xml:space="preserve">EM|2023|BEV2_01454</t>
  </si>
  <si>
    <t xml:space="preserve">EM|2023|BEV2_01468</t>
  </si>
  <si>
    <t xml:space="preserve">EM|2023|BEV2_01355</t>
  </si>
  <si>
    <t xml:space="preserve">EM|2023|BEV2_01425</t>
  </si>
  <si>
    <t xml:space="preserve">EM|2023|BEV2_01453</t>
  </si>
  <si>
    <t xml:space="preserve">EM|2023|BEV2_01467</t>
  </si>
  <si>
    <t xml:space="preserve">EM|2023|BEV2_01409</t>
  </si>
  <si>
    <t xml:space="preserve">EM|2023|BEV2_01423</t>
  </si>
  <si>
    <t xml:space="preserve">EM|2023|BEV2_01451</t>
  </si>
  <si>
    <t xml:space="preserve">EM|2023|BEV2_01465</t>
  </si>
  <si>
    <t xml:space="preserve">EM|2023|BEV2_01479</t>
  </si>
  <si>
    <t xml:space="preserve">EM|2023|AGR|3.A|CH4</t>
  </si>
  <si>
    <t xml:space="preserve">PROXY_VAB_DESDE_2022</t>
  </si>
  <si>
    <t xml:space="preserve">AGR|2023|3.A|CH4</t>
  </si>
  <si>
    <t xml:space="preserve">EMISION_2022_X_RATIO_VAB</t>
  </si>
  <si>
    <t xml:space="preserve">EM|2023|AGR|3.B|CH4</t>
  </si>
  <si>
    <t xml:space="preserve">AGR|2023|3.B|CH4</t>
  </si>
  <si>
    <t xml:space="preserve">EM|2023|AGR|3.B|N2O</t>
  </si>
  <si>
    <t xml:space="preserve">AGR|2023|3.B|N2O</t>
  </si>
  <si>
    <t xml:space="preserve">EM|2023|AGR|3.C|CH4</t>
  </si>
  <si>
    <t xml:space="preserve">AGR|2023|3.C|CH4</t>
  </si>
  <si>
    <t xml:space="preserve">EM|2023|AGR|3.D|N2O</t>
  </si>
  <si>
    <t xml:space="preserve">AGR|2023|3.D|N2O</t>
  </si>
  <si>
    <t xml:space="preserve">EM|2023|AGR|3.E|CH4</t>
  </si>
  <si>
    <t xml:space="preserve">AGR|2023|3.E|CH4</t>
  </si>
  <si>
    <t xml:space="preserve">EM|2023|AGR|3.E|N2O</t>
  </si>
  <si>
    <t xml:space="preserve">AGR|2023|3.E|N2O</t>
  </si>
  <si>
    <t xml:space="preserve">EM|2023|AGR|3.F|CH4</t>
  </si>
  <si>
    <t xml:space="preserve">AGR|2023|3.F|CH4</t>
  </si>
  <si>
    <t xml:space="preserve">EM|2023|AGR|3.F|N2O</t>
  </si>
  <si>
    <t xml:space="preserve">AGR|2023|3.F|N2O</t>
  </si>
  <si>
    <t xml:space="preserve">EM|2023|AGR|3.G|NO</t>
  </si>
  <si>
    <t xml:space="preserve">AGR|2023|3.G|NO</t>
  </si>
  <si>
    <t xml:space="preserve">EM|2023|AGR|3.H|CO2</t>
  </si>
  <si>
    <t xml:space="preserve">AGR|2023|3.H|CO2</t>
  </si>
  <si>
    <t xml:space="preserve">EM|2023|AGR|3.I|NO</t>
  </si>
  <si>
    <t xml:space="preserve">AGR|2023|3.I|NO</t>
  </si>
  <si>
    <t xml:space="preserve">EM|2023|AGR|3.J|NO</t>
  </si>
  <si>
    <t xml:space="preserve">AGR|2023|3.J|NO</t>
  </si>
  <si>
    <t xml:space="preserve">EM|2024|BEV2_01611</t>
  </si>
  <si>
    <t xml:space="preserve">EM|2024|BEV2_01541</t>
  </si>
  <si>
    <t xml:space="preserve">EM|2024|BEV2_01583</t>
  </si>
  <si>
    <t xml:space="preserve">EM|2024|BEV2_01625</t>
  </si>
  <si>
    <t xml:space="preserve">EM|2024|BEV2_01518</t>
  </si>
  <si>
    <t xml:space="preserve">EM|2024|BEV2_01519</t>
  </si>
  <si>
    <t xml:space="preserve">EM|2024|BEV2_01532</t>
  </si>
  <si>
    <t xml:space="preserve">EM|2024|BEV2_01546</t>
  </si>
  <si>
    <t xml:space="preserve">EM|2024|BEV2_01547</t>
  </si>
  <si>
    <t xml:space="preserve">EM|2024|BEV2_01560</t>
  </si>
  <si>
    <t xml:space="preserve">EM|2024|BEV2_01574</t>
  </si>
  <si>
    <t xml:space="preserve">EM|2024|BEV2_01588</t>
  </si>
  <si>
    <t xml:space="preserve">EM|2024|BEV2_01602</t>
  </si>
  <si>
    <t xml:space="preserve">EM|2024|BEV2_01603</t>
  </si>
  <si>
    <t xml:space="preserve">EM|2024|BEV2_01629</t>
  </si>
  <si>
    <t xml:space="preserve">EM|2024|BEV2_01644</t>
  </si>
  <si>
    <t xml:space="preserve">EM|2024|BEV2_01658</t>
  </si>
  <si>
    <t xml:space="preserve">EM|2024|BEV2_01672</t>
  </si>
  <si>
    <t xml:space="preserve">EM|2024|BEV2_01686</t>
  </si>
  <si>
    <t xml:space="preserve">EM|2024|BEV2_01687</t>
  </si>
  <si>
    <t xml:space="preserve">EM|2024|BEV2_01688</t>
  </si>
  <si>
    <t xml:space="preserve">EM|2024|BEV2_01700</t>
  </si>
  <si>
    <t xml:space="preserve">EM|2024|BEV2_01701</t>
  </si>
  <si>
    <t xml:space="preserve">EM|2024|BEV2_01620</t>
  </si>
  <si>
    <t xml:space="preserve">EM|2024|BEV2_01690</t>
  </si>
  <si>
    <t xml:space="preserve">EM|2024|BEV2_01732</t>
  </si>
  <si>
    <t xml:space="preserve">EM|2024|BEV2_01664</t>
  </si>
  <si>
    <t xml:space="preserve">EM|2024|BEV2_01678</t>
  </si>
  <si>
    <t xml:space="preserve">EM|2024|BEV2_01692</t>
  </si>
  <si>
    <t xml:space="preserve">EM|2024|BEV2_01706</t>
  </si>
  <si>
    <t xml:space="preserve">EM|2024|BEV2_01720</t>
  </si>
  <si>
    <t xml:space="preserve">EM|2024|BEV2_01734</t>
  </si>
  <si>
    <t xml:space="preserve">EM|2024|BEV2_01621</t>
  </si>
  <si>
    <t xml:space="preserve">EM|2024|BEV2_01691</t>
  </si>
  <si>
    <t xml:space="preserve">EM|2024|BEV2_01719</t>
  </si>
  <si>
    <t xml:space="preserve">EM|2024|BEV2_01733</t>
  </si>
  <si>
    <t xml:space="preserve">EM|2024|BEV2_01675</t>
  </si>
  <si>
    <t xml:space="preserve">EM|2024|BEV2_01689</t>
  </si>
  <si>
    <t xml:space="preserve">EM|2024|BEV2_01717</t>
  </si>
  <si>
    <t xml:space="preserve">EM|2024|BEV2_01731</t>
  </si>
  <si>
    <t xml:space="preserve">EM|2024|BEV2_01745</t>
  </si>
  <si>
    <t xml:space="preserve">EM|2024|AGR|3.A|CH4</t>
  </si>
  <si>
    <t xml:space="preserve">AGR|2024|3.A|CH4</t>
  </si>
  <si>
    <t xml:space="preserve">EM|2024|AGR|3.B|CH4</t>
  </si>
  <si>
    <t xml:space="preserve">AGR|2024|3.B|CH4</t>
  </si>
  <si>
    <t xml:space="preserve">EM|2024|AGR|3.B|N2O</t>
  </si>
  <si>
    <t xml:space="preserve">AGR|2024|3.B|N2O</t>
  </si>
  <si>
    <t xml:space="preserve">EM|2024|AGR|3.C|CH4</t>
  </si>
  <si>
    <t xml:space="preserve">AGR|2024|3.C|CH4</t>
  </si>
  <si>
    <t xml:space="preserve">EM|2024|AGR|3.D|N2O</t>
  </si>
  <si>
    <t xml:space="preserve">AGR|2024|3.D|N2O</t>
  </si>
  <si>
    <t xml:space="preserve">EM|2024|AGR|3.E|CH4</t>
  </si>
  <si>
    <t xml:space="preserve">AGR|2024|3.E|CH4</t>
  </si>
  <si>
    <t xml:space="preserve">EM|2024|AGR|3.E|N2O</t>
  </si>
  <si>
    <t xml:space="preserve">AGR|2024|3.E|N2O</t>
  </si>
  <si>
    <t xml:space="preserve">EM|2024|AGR|3.F|CH4</t>
  </si>
  <si>
    <t xml:space="preserve">AGR|2024|3.F|CH4</t>
  </si>
  <si>
    <t xml:space="preserve">EM|2024|AGR|3.F|N2O</t>
  </si>
  <si>
    <t xml:space="preserve">AGR|2024|3.F|N2O</t>
  </si>
  <si>
    <t xml:space="preserve">EM|2024|AGR|3.G|NO</t>
  </si>
  <si>
    <t xml:space="preserve">AGR|2024|3.G|NO</t>
  </si>
  <si>
    <t xml:space="preserve">EM|2024|AGR|3.H|CO2</t>
  </si>
  <si>
    <t xml:space="preserve">AGR|2024|3.H|CO2</t>
  </si>
  <si>
    <t xml:space="preserve">EM|2024|AGR|3.I|NO</t>
  </si>
  <si>
    <t xml:space="preserve">AGR|2024|3.I|NO</t>
  </si>
  <si>
    <t xml:space="preserve">EM|2024|AGR|3.J|NO</t>
  </si>
  <si>
    <t xml:space="preserve">AGR|2024|3.J|NO</t>
  </si>
  <si>
    <t xml:space="preserve">CONTROLES DEL MODELO</t>
  </si>
  <si>
    <t xml:space="preserve">Control</t>
  </si>
  <si>
    <t xml:space="preserve">Filas PSUT_LARGA</t>
  </si>
  <si>
    <t xml:space="preserve">Filas PSUT 2024</t>
  </si>
  <si>
    <t xml:space="preserve">STAT 2024</t>
  </si>
  <si>
    <t xml:space="preserve">NO_ASIG de NOEN 2018-2024</t>
  </si>
  <si>
    <t xml:space="preserve">Uso NOEN aparente 2024</t>
  </si>
  <si>
    <t xml:space="preserve">Filas NOEN en STAT</t>
  </si>
  <si>
    <t xml:space="preserve">Uso GAS sin asignación 2019</t>
  </si>
  <si>
    <t xml:space="preserve">Residuos estadísticos</t>
  </si>
  <si>
    <t xml:space="preserve">Filas EMISIONES_LARGA</t>
  </si>
  <si>
    <t xml:space="preserve">Emisión GAS sin asignación 2019</t>
  </si>
  <si>
    <t xml:space="preserve">Años de emisiones</t>
  </si>
  <si>
    <t xml:space="preserve">Identidad CO2e</t>
  </si>
</sst>
</file>

<file path=xl/styles.xml><?xml version="1.0" encoding="utf-8"?>
<styleSheet xmlns="http://schemas.openxmlformats.org/spreadsheetml/2006/main">
  <numFmts count="6">
    <numFmt numFmtId="164" formatCode="General"/>
    <numFmt numFmtId="165" formatCode="0"/>
    <numFmt numFmtId="166" formatCode="#,##0.00"/>
    <numFmt numFmtId="167" formatCode="#,##0.000000"/>
    <numFmt numFmtId="168" formatCode="#,##0.0000"/>
    <numFmt numFmtId="169" formatCode="#,##0.000000000"/>
  </numFmts>
  <fonts count="9">
    <font>
      <sz val="11"/>
      <color theme="1"/>
      <name val="Calibri"/>
      <family val="2"/>
      <charset val="1"/>
    </font>
    <font>
      <sz val="10"/>
      <name val="Arial"/>
      <family val="0"/>
    </font>
    <font>
      <sz val="10"/>
      <name val="Arial"/>
      <family val="0"/>
    </font>
    <font>
      <sz val="10"/>
      <name val="Arial"/>
      <family val="0"/>
    </font>
    <font>
      <b val="true"/>
      <sz val="16"/>
      <color rgb="FFFFFFFF"/>
      <name val="Calibri"/>
      <family val="2"/>
      <charset val="1"/>
    </font>
    <font>
      <b val="true"/>
      <sz val="11"/>
      <color rgb="FF17365D"/>
      <name val="Calibri"/>
      <family val="2"/>
      <charset val="1"/>
    </font>
    <font>
      <b val="true"/>
      <sz val="11"/>
      <color rgb="FFFFFFFF"/>
      <name val="Calibri"/>
      <family val="2"/>
      <charset val="1"/>
    </font>
    <font>
      <sz val="11"/>
      <color rgb="FF666666"/>
      <name val="Calibri"/>
      <family val="2"/>
      <charset val="1"/>
    </font>
    <font>
      <b val="true"/>
      <sz val="11"/>
      <color rgb="FF006100"/>
      <name val="Calibri"/>
      <family val="2"/>
      <charset val="1"/>
    </font>
  </fonts>
  <fills count="8">
    <fill>
      <patternFill patternType="none"/>
    </fill>
    <fill>
      <patternFill patternType="gray125"/>
    </fill>
    <fill>
      <patternFill patternType="solid">
        <fgColor rgb="FF17365D"/>
        <bgColor rgb="FF333333"/>
      </patternFill>
    </fill>
    <fill>
      <patternFill patternType="solid">
        <fgColor rgb="FFD9EAF7"/>
        <bgColor rgb="FFE2F0D9"/>
      </patternFill>
    </fill>
    <fill>
      <patternFill patternType="solid">
        <fgColor rgb="FF2F75B5"/>
        <bgColor rgb="FF0066CC"/>
      </patternFill>
    </fill>
    <fill>
      <patternFill patternType="solid">
        <fgColor rgb="FFF7F9FB"/>
        <bgColor rgb="FFFFFFFF"/>
      </patternFill>
    </fill>
    <fill>
      <patternFill patternType="solid">
        <fgColor rgb="FFFFE699"/>
        <bgColor rgb="FFFCE4D6"/>
      </patternFill>
    </fill>
    <fill>
      <patternFill patternType="solid">
        <fgColor rgb="FFE2F0D9"/>
        <bgColor rgb="FFD9EAF7"/>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0" wrapText="false" indent="0" shrinkToFit="false"/>
      <protection locked="true" hidden="false"/>
    </xf>
    <xf numFmtId="164" fontId="5" fillId="3" borderId="1" xfId="0" applyFont="true" applyBorder="true" applyAlignment="true" applyProtection="true">
      <alignment horizontal="center" vertical="center" textRotation="0" wrapText="true" indent="0" shrinkToFit="false"/>
      <protection locked="true" hidden="false"/>
    </xf>
    <xf numFmtId="164" fontId="0" fillId="0" borderId="1" xfId="0" applyFont="true" applyBorder="true" applyAlignment="true" applyProtection="true">
      <alignment horizontal="general" vertical="top" textRotation="0" wrapText="true" indent="0" shrinkToFit="false"/>
      <protection locked="true" hidden="false"/>
    </xf>
    <xf numFmtId="164" fontId="6" fillId="4" borderId="1" xfId="0" applyFont="true" applyBorder="true" applyAlignment="true" applyProtection="true">
      <alignment horizontal="center" vertical="center" textRotation="0" wrapText="true" indent="0" shrinkToFit="false"/>
      <protection locked="true" hidden="false"/>
    </xf>
    <xf numFmtId="164" fontId="7" fillId="5" borderId="0" xfId="0" applyFont="true" applyBorder="true" applyAlignment="true" applyProtection="true">
      <alignment horizontal="general" vertical="center" textRotation="0" wrapText="true" indent="0" shrinkToFit="false"/>
      <protection locked="true" hidden="false"/>
    </xf>
    <xf numFmtId="165" fontId="0" fillId="6" borderId="1" xfId="0" applyFont="false" applyBorder="true" applyAlignment="true" applyProtection="true">
      <alignment horizontal="general" vertical="bottom" textRotation="0" wrapText="false" indent="0" shrinkToFit="false"/>
      <protection locked="true" hidden="false"/>
    </xf>
    <xf numFmtId="164" fontId="0" fillId="7" borderId="1" xfId="0" applyFont="false" applyBorder="true" applyAlignment="true" applyProtection="true">
      <alignment horizontal="general" vertical="bottom" textRotation="0" wrapText="true" indent="0" shrinkToFit="false"/>
      <protection locked="true" hidden="false"/>
    </xf>
    <xf numFmtId="164" fontId="6" fillId="2" borderId="1" xfId="0" applyFont="true" applyBorder="true" applyAlignment="true" applyProtection="true">
      <alignment horizontal="general" vertical="bottom" textRotation="0" wrapText="false" indent="0" shrinkToFit="false"/>
      <protection locked="true" hidden="false"/>
    </xf>
    <xf numFmtId="166" fontId="0" fillId="7" borderId="1" xfId="0" applyFont="false" applyBorder="true" applyAlignment="true" applyProtection="true">
      <alignment horizontal="general" vertical="bottom" textRotation="0" wrapText="false" indent="0" shrinkToFit="false"/>
      <protection locked="true" hidden="false"/>
    </xf>
    <xf numFmtId="165" fontId="0" fillId="7" borderId="1" xfId="0" applyFont="false" applyBorder="true" applyAlignment="true" applyProtection="true">
      <alignment horizontal="general" vertical="bottom" textRotation="0" wrapText="false" indent="0" shrinkToFit="false"/>
      <protection locked="true" hidden="false"/>
    </xf>
    <xf numFmtId="165" fontId="0" fillId="0" borderId="1" xfId="0" applyFont="false" applyBorder="true" applyAlignment="true" applyProtection="true">
      <alignment horizontal="general" vertical="bottom" textRotation="0" wrapText="false" indent="0" shrinkToFit="false"/>
      <protection locked="true" hidden="false"/>
    </xf>
    <xf numFmtId="167" fontId="0" fillId="0" borderId="1" xfId="0" applyFont="false" applyBorder="true" applyAlignment="true" applyProtection="true">
      <alignment horizontal="general" vertical="bottom" textRotation="0" wrapText="false" indent="0" shrinkToFit="false"/>
      <protection locked="true" hidden="false"/>
    </xf>
    <xf numFmtId="167" fontId="0" fillId="7" borderId="1" xfId="0" applyFont="false" applyBorder="true" applyAlignment="true" applyProtection="true">
      <alignment horizontal="general" vertical="bottom" textRotation="0" wrapText="false" indent="0" shrinkToFit="false"/>
      <protection locked="true" hidden="false"/>
    </xf>
    <xf numFmtId="164" fontId="8" fillId="7" borderId="1" xfId="0" applyFont="true" applyBorder="true" applyAlignment="true" applyProtection="true">
      <alignment horizontal="center" vertical="bottom" textRotation="0" wrapText="false" indent="0" shrinkToFit="false"/>
      <protection locked="true" hidden="false"/>
    </xf>
    <xf numFmtId="168" fontId="0" fillId="7" borderId="1" xfId="0" applyFont="false" applyBorder="true" applyAlignment="true" applyProtection="true">
      <alignment horizontal="general" vertical="bottom" textRotation="0" wrapText="false" indent="0" shrinkToFit="false"/>
      <protection locked="true" hidden="false"/>
    </xf>
    <xf numFmtId="168" fontId="0" fillId="0" borderId="1" xfId="0" applyFont="false" applyBorder="true" applyAlignment="true" applyProtection="true">
      <alignment horizontal="general" vertical="bottom" textRotation="0" wrapText="false" indent="0" shrinkToFit="false"/>
      <protection locked="true" hidden="false"/>
    </xf>
    <xf numFmtId="169" fontId="0" fillId="7" borderId="1" xfId="0" applyFont="false" applyBorder="true" applyAlignment="true" applyProtection="true">
      <alignment horizontal="general" vertical="bottom" textRotation="0" wrapText="false" indent="0" shrinkToFit="false"/>
      <protection locked="true" hidden="false"/>
    </xf>
    <xf numFmtId="169" fontId="0" fillId="0" borderId="1" xfId="0" applyFont="fals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F75B5"/>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E2F0D9"/>
          <bgColor rgb="FF000000"/>
        </patternFill>
      </fill>
    </dxf>
    <dxf>
      <font>
        <b val="1"/>
        <color rgb="FF9C0006"/>
      </font>
      <fill>
        <patternFill>
          <bgColor rgb="FFFCE4D6"/>
        </patternFill>
      </fill>
      <border diagonalUp="false" diagonalDown="false">
        <left style="thin"/>
        <right style="thin"/>
        <top style="thin"/>
        <bottom style="thin"/>
        <diagonal/>
      </border>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7F9FB"/>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F0D9"/>
      <rgbColor rgb="FFFFE699"/>
      <rgbColor rgb="FF99CCFF"/>
      <rgbColor rgb="FFFF99CC"/>
      <rgbColor rgb="FFCC99FF"/>
      <rgbColor rgb="FFFCE4D6"/>
      <rgbColor rgb="FF2F75B5"/>
      <rgbColor rgb="FF33CCCC"/>
      <rgbColor rgb="FF99CC00"/>
      <rgbColor rgb="FFFFCC00"/>
      <rgbColor rgb="FFFF9900"/>
      <rgbColor rgb="FFFF6600"/>
      <rgbColor rgb="FF666666"/>
      <rgbColor rgb="FF969696"/>
      <rgbColor rgb="FF17365D"/>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mem.gob.gt/que-hacemos/area-energetica/publicaciones/estadisticas/balance-energetico/" TargetMode="External"/><Relationship Id="rId2" Type="http://schemas.openxmlformats.org/officeDocument/2006/relationships/hyperlink" Target="https://mem.gob.gt/que-hacemos/area-energetica/publicaciones/estadisticas/balance-energetico/" TargetMode="External"/><Relationship Id="rId3" Type="http://schemas.openxmlformats.org/officeDocument/2006/relationships/hyperlink" Target="https://mem.gob.gt/que-hacemos/area-energetica/publicaciones/estadisticas/balance-energetico/" TargetMode="External"/><Relationship Id="rId4" Type="http://schemas.openxmlformats.org/officeDocument/2006/relationships/hyperlink" Target="https://mem.gob.gt/que-hacemos/area-energetica/publicaciones/estadisticas/balance-energetico/" TargetMode="External"/><Relationship Id="rId5" Type="http://schemas.openxmlformats.org/officeDocument/2006/relationships/hyperlink" Target="https://mem.gob.gt/que-hacemos/area-energetica/publicaciones/estadisticas/balance-energetico/" TargetMode="External"/><Relationship Id="rId6" Type="http://schemas.openxmlformats.org/officeDocument/2006/relationships/hyperlink" Target="https://mem.gob.gt/que-hacemos/area-energetica/publicaciones/estadisticas/balance-energetico/" TargetMode="External"/><Relationship Id="rId7" Type="http://schemas.openxmlformats.org/officeDocument/2006/relationships/hyperlink" Target="https://mem.gob.gt/que-hacemos/area-energetica/publicaciones/estadisticas/balance-energetico/" TargetMode="External"/><Relationship Id="rId8" Type="http://schemas.openxmlformats.org/officeDocument/2006/relationships/hyperlink" Target="https://mem.gob.gt/que-hacemos/area-energetica/publicaciones/estadisticas/balance-energetico/" TargetMode="External"/><Relationship Id="rId9" Type="http://schemas.openxmlformats.org/officeDocument/2006/relationships/hyperlink" Target="https://mem.gob.gt/que-hacemos/area-energetica/publicaciones/estadisticas/balance-energetico/" TargetMode="External"/><Relationship Id="rId10" Type="http://schemas.openxmlformats.org/officeDocument/2006/relationships/hyperlink" Target="https://mem.gob.gt/que-hacemos/area-energetica/publicaciones/estadisticas/balance-energetico/" TargetMode="External"/><Relationship Id="rId11" Type="http://schemas.openxmlformats.org/officeDocument/2006/relationships/hyperlink" Target="https://mem.gob.gt/que-hacemos/area-energetica/publicaciones/estadisticas/balance-energetico/" TargetMode="External"/><Relationship Id="rId12" Type="http://schemas.openxmlformats.org/officeDocument/2006/relationships/hyperlink" Target="https://mem.gob.gt/que-hacemos/area-energetica/publicaciones/estadisticas/balance-energetico/" TargetMode="External"/><Relationship Id="rId13" Type="http://schemas.openxmlformats.org/officeDocument/2006/relationships/hyperlink" Target="https://mem.gob.gt/que-hacemos/area-energetica/publicaciones/estadisticas/balance-energetico/" TargetMode="External"/><Relationship Id="rId14" Type="http://schemas.openxmlformats.org/officeDocument/2006/relationships/hyperlink" Target="https://mem.gob.gt/que-hacemos/area-energetica/publicaciones/estadisticas/balance-energetico/" TargetMode="External"/><Relationship Id="rId15" Type="http://schemas.openxmlformats.org/officeDocument/2006/relationships/hyperlink" Target="https://mem.gob.gt/que-hacemos/area-energetica/publicaciones/estadisticas/balance-energetico/" TargetMode="External"/><Relationship Id="rId16" Type="http://schemas.openxmlformats.org/officeDocument/2006/relationships/hyperlink" Target="https://mem.gob.gt/que-hacemos/area-energetica/publicaciones/estadisticas/balance-energetico/" TargetMode="External"/><Relationship Id="rId17" Type="http://schemas.openxmlformats.org/officeDocument/2006/relationships/hyperlink" Target="https://mem.gob.gt/que-hacemos/area-energetica/publicaciones/estadisticas/balance-energetico/" TargetMode="External"/><Relationship Id="rId18" Type="http://schemas.openxmlformats.org/officeDocument/2006/relationships/hyperlink" Target="https://mem.gob.gt/que-hacemos/area-energetica/publicaciones/estadisticas/balance-energetico/" TargetMode="External"/><Relationship Id="rId19" Type="http://schemas.openxmlformats.org/officeDocument/2006/relationships/hyperlink" Target="https://mem.gob.gt/que-hacemos/area-energetica/publicaciones/estadisticas/balance-energetico/" TargetMode="External"/><Relationship Id="rId20" Type="http://schemas.openxmlformats.org/officeDocument/2006/relationships/hyperlink" Target="https://mem.gob.gt/que-hacemos/area-energetica/publicaciones/estadisticas/balance-energetico/" TargetMode="External"/><Relationship Id="rId21" Type="http://schemas.openxmlformats.org/officeDocument/2006/relationships/hyperlink" Target="https://mem.gob.gt/que-hacemos/area-energetica/publicaciones/estadisticas/balance-energetico/" TargetMode="External"/><Relationship Id="rId22" Type="http://schemas.openxmlformats.org/officeDocument/2006/relationships/hyperlink" Target="https://mem.gob.gt/que-hacemos/area-energetica/publicaciones/estadisticas/balance-energetico/" TargetMode="External"/><Relationship Id="rId23" Type="http://schemas.openxmlformats.org/officeDocument/2006/relationships/hyperlink" Target="https://mem.gob.gt/que-hacemos/area-energetica/publicaciones/estadisticas/balance-energetico/" TargetMode="External"/><Relationship Id="rId24" Type="http://schemas.openxmlformats.org/officeDocument/2006/relationships/hyperlink" Target="https://mem.gob.gt/que-hacemos/area-energetica/publicaciones/estadisticas/balance-energetico/" TargetMode="External"/><Relationship Id="rId25" Type="http://schemas.openxmlformats.org/officeDocument/2006/relationships/hyperlink" Target="https://mem.gob.gt/que-hacemos/area-energetica/publicaciones/estadisticas/balance-energetico/" TargetMode="External"/><Relationship Id="rId26" Type="http://schemas.openxmlformats.org/officeDocument/2006/relationships/hyperlink" Target="https://mem.gob.gt/que-hacemos/area-energetica/publicaciones/estadisticas/balance-energetico/" TargetMode="External"/><Relationship Id="rId27" Type="http://schemas.openxmlformats.org/officeDocument/2006/relationships/hyperlink" Target="https://mem.gob.gt/que-hacemos/area-energetica/publicaciones/estadisticas/balance-energetico/" TargetMode="External"/><Relationship Id="rId28" Type="http://schemas.openxmlformats.org/officeDocument/2006/relationships/hyperlink" Target="https://mem.gob.gt/que-hacemos/area-energetica/publicaciones/estadisticas/balance-energetico/" TargetMode="External"/><Relationship Id="rId29" Type="http://schemas.openxmlformats.org/officeDocument/2006/relationships/hyperlink" Target="https://mem.gob.gt/que-hacemos/area-energetica/publicaciones/estadisticas/balance-energetico/" TargetMode="External"/><Relationship Id="rId30" Type="http://schemas.openxmlformats.org/officeDocument/2006/relationships/hyperlink" Target="https://mem.gob.gt/que-hacemos/area-energetica/publicaciones/estadisticas/balance-energetico/" TargetMode="External"/><Relationship Id="rId31" Type="http://schemas.openxmlformats.org/officeDocument/2006/relationships/hyperlink" Target="https://mem.gob.gt/que-hacemos/area-energetica/publicaciones/estadisticas/balance-energetico/" TargetMode="External"/><Relationship Id="rId32" Type="http://schemas.openxmlformats.org/officeDocument/2006/relationships/hyperlink" Target="https://mem.gob.gt/que-hacemos/area-energetica/publicaciones/estadisticas/balance-energetico/" TargetMode="External"/><Relationship Id="rId33" Type="http://schemas.openxmlformats.org/officeDocument/2006/relationships/hyperlink" Target="https://mem.gob.gt/que-hacemos/area-energetica/publicaciones/estadisticas/balance-energetico/" TargetMode="External"/><Relationship Id="rId34" Type="http://schemas.openxmlformats.org/officeDocument/2006/relationships/hyperlink" Target="https://mem.gob.gt/que-hacemos/area-energetica/publicaciones/estadisticas/balance-energetico/" TargetMode="External"/><Relationship Id="rId35" Type="http://schemas.openxmlformats.org/officeDocument/2006/relationships/hyperlink" Target="https://mem.gob.gt/que-hacemos/area-energetica/publicaciones/estadisticas/balance-energetico/" TargetMode="External"/><Relationship Id="rId36" Type="http://schemas.openxmlformats.org/officeDocument/2006/relationships/hyperlink" Target="https://mem.gob.gt/que-hacemos/area-energetica/publicaciones/estadisticas/balance-energetico/" TargetMode="External"/><Relationship Id="rId37" Type="http://schemas.openxmlformats.org/officeDocument/2006/relationships/hyperlink" Target="https://mem.gob.gt/que-hacemos/area-energetica/publicaciones/estadisticas/balance-energetico/" TargetMode="External"/><Relationship Id="rId38" Type="http://schemas.openxmlformats.org/officeDocument/2006/relationships/hyperlink" Target="https://mem.gob.gt/que-hacemos/area-energetica/publicaciones/estadisticas/balance-energetico/" TargetMode="External"/><Relationship Id="rId39" Type="http://schemas.openxmlformats.org/officeDocument/2006/relationships/hyperlink" Target="https://mem.gob.gt/que-hacemos/area-energetica/publicaciones/estadisticas/balance-energetico/" TargetMode="External"/><Relationship Id="rId40" Type="http://schemas.openxmlformats.org/officeDocument/2006/relationships/hyperlink" Target="https://mem.gob.gt/que-hacemos/area-energetica/publicaciones/estadisticas/balance-energetico/" TargetMode="External"/><Relationship Id="rId41" Type="http://schemas.openxmlformats.org/officeDocument/2006/relationships/hyperlink" Target="https://mem.gob.gt/que-hacemos/area-energetica/publicaciones/estadisticas/balance-energetico/" TargetMode="External"/><Relationship Id="rId42" Type="http://schemas.openxmlformats.org/officeDocument/2006/relationships/hyperlink" Target="https://mem.gob.gt/que-hacemos/area-energetica/publicaciones/estadisticas/balance-energetico/" TargetMode="External"/><Relationship Id="rId43" Type="http://schemas.openxmlformats.org/officeDocument/2006/relationships/hyperlink" Target="https://mem.gob.gt/que-hacemos/area-energetica/publicaciones/estadisticas/balance-energetico/" TargetMode="External"/><Relationship Id="rId44" Type="http://schemas.openxmlformats.org/officeDocument/2006/relationships/hyperlink" Target="https://mem.gob.gt/que-hacemos/area-energetica/publicaciones/estadisticas/balance-energetico/" TargetMode="External"/><Relationship Id="rId45" Type="http://schemas.openxmlformats.org/officeDocument/2006/relationships/hyperlink" Target="https://mem.gob.gt/que-hacemos/area-energetica/publicaciones/estadisticas/balance-energetico/" TargetMode="External"/><Relationship Id="rId46" Type="http://schemas.openxmlformats.org/officeDocument/2006/relationships/hyperlink" Target="https://mem.gob.gt/que-hacemos/area-energetica/publicaciones/estadisticas/balance-energetico/" TargetMode="External"/><Relationship Id="rId47" Type="http://schemas.openxmlformats.org/officeDocument/2006/relationships/hyperlink" Target="https://mem.gob.gt/que-hacemos/area-energetica/publicaciones/estadisticas/balance-energetico/" TargetMode="External"/><Relationship Id="rId48" Type="http://schemas.openxmlformats.org/officeDocument/2006/relationships/hyperlink" Target="https://mem.gob.gt/que-hacemos/area-energetica/publicaciones/estadisticas/balance-energetico/" TargetMode="External"/><Relationship Id="rId49" Type="http://schemas.openxmlformats.org/officeDocument/2006/relationships/hyperlink" Target="https://mem.gob.gt/que-hacemos/area-energetica/publicaciones/estadisticas/balance-energetico/" TargetMode="External"/><Relationship Id="rId50" Type="http://schemas.openxmlformats.org/officeDocument/2006/relationships/hyperlink" Target="https://mem.gob.gt/que-hacemos/area-energetica/publicaciones/estadisticas/balance-energetico/" TargetMode="External"/><Relationship Id="rId51" Type="http://schemas.openxmlformats.org/officeDocument/2006/relationships/hyperlink" Target="https://mem.gob.gt/que-hacemos/area-energetica/publicaciones/estadisticas/balance-energetico/" TargetMode="External"/><Relationship Id="rId52" Type="http://schemas.openxmlformats.org/officeDocument/2006/relationships/hyperlink" Target="https://mem.gob.gt/que-hacemos/area-energetica/publicaciones/estadisticas/balance-energetico/" TargetMode="External"/><Relationship Id="rId53" Type="http://schemas.openxmlformats.org/officeDocument/2006/relationships/hyperlink" Target="https://mem.gob.gt/que-hacemos/area-energetica/publicaciones/estadisticas/balance-energetico/" TargetMode="External"/><Relationship Id="rId54" Type="http://schemas.openxmlformats.org/officeDocument/2006/relationships/hyperlink" Target="https://mem.gob.gt/que-hacemos/area-energetica/publicaciones/estadisticas/balance-energetico/" TargetMode="External"/><Relationship Id="rId55" Type="http://schemas.openxmlformats.org/officeDocument/2006/relationships/hyperlink" Target="https://mem.gob.gt/que-hacemos/area-energetica/publicaciones/estadisticas/balance-energetico/" TargetMode="External"/><Relationship Id="rId56" Type="http://schemas.openxmlformats.org/officeDocument/2006/relationships/hyperlink" Target="https://mem.gob.gt/que-hacemos/area-energetica/publicaciones/estadisticas/balance-energetico/" TargetMode="External"/><Relationship Id="rId57" Type="http://schemas.openxmlformats.org/officeDocument/2006/relationships/hyperlink" Target="https://mem.gob.gt/que-hacemos/area-energetica/publicaciones/estadisticas/balance-energetico/" TargetMode="External"/><Relationship Id="rId58" Type="http://schemas.openxmlformats.org/officeDocument/2006/relationships/hyperlink" Target="https://mem.gob.gt/que-hacemos/area-energetica/publicaciones/estadisticas/balance-energetico/" TargetMode="External"/><Relationship Id="rId59" Type="http://schemas.openxmlformats.org/officeDocument/2006/relationships/hyperlink" Target="https://mem.gob.gt/que-hacemos/area-energetica/publicaciones/estadisticas/balance-energetico/" TargetMode="External"/><Relationship Id="rId60" Type="http://schemas.openxmlformats.org/officeDocument/2006/relationships/hyperlink" Target="https://mem.gob.gt/que-hacemos/area-energetica/publicaciones/estadisticas/balance-energetico/" TargetMode="External"/><Relationship Id="rId61" Type="http://schemas.openxmlformats.org/officeDocument/2006/relationships/hyperlink" Target="https://mem.gob.gt/que-hacemos/area-energetica/publicaciones/estadisticas/balance-energetico/" TargetMode="External"/><Relationship Id="rId62" Type="http://schemas.openxmlformats.org/officeDocument/2006/relationships/hyperlink" Target="https://mem.gob.gt/que-hacemos/area-energetica/publicaciones/estadisticas/balance-energetico/" TargetMode="External"/><Relationship Id="rId63" Type="http://schemas.openxmlformats.org/officeDocument/2006/relationships/hyperlink" Target="https://mem.gob.gt/que-hacemos/area-energetica/publicaciones/estadisticas/balance-energetico/" TargetMode="External"/><Relationship Id="rId64" Type="http://schemas.openxmlformats.org/officeDocument/2006/relationships/hyperlink" Target="https://mem.gob.gt/que-hacemos/area-energetica/publicaciones/estadisticas/balance-energetico/" TargetMode="External"/><Relationship Id="rId65" Type="http://schemas.openxmlformats.org/officeDocument/2006/relationships/hyperlink" Target="https://mem.gob.gt/que-hacemos/area-energetica/publicaciones/estadisticas/balance-energetico/" TargetMode="External"/><Relationship Id="rId66" Type="http://schemas.openxmlformats.org/officeDocument/2006/relationships/hyperlink" Target="https://mem.gob.gt/que-hacemos/area-energetica/publicaciones/estadisticas/balance-energetico/" TargetMode="External"/><Relationship Id="rId67" Type="http://schemas.openxmlformats.org/officeDocument/2006/relationships/hyperlink" Target="https://mem.gob.gt/que-hacemos/area-energetica/publicaciones/estadisticas/balance-energetico/" TargetMode="External"/><Relationship Id="rId68" Type="http://schemas.openxmlformats.org/officeDocument/2006/relationships/hyperlink" Target="https://mem.gob.gt/que-hacemos/area-energetica/publicaciones/estadisticas/balance-energetico/" TargetMode="External"/><Relationship Id="rId69" Type="http://schemas.openxmlformats.org/officeDocument/2006/relationships/hyperlink" Target="https://mem.gob.gt/que-hacemos/area-energetica/publicaciones/estadisticas/balance-energetico/" TargetMode="External"/><Relationship Id="rId70" Type="http://schemas.openxmlformats.org/officeDocument/2006/relationships/hyperlink" Target="https://mem.gob.gt/que-hacemos/area-energetica/publicaciones/estadisticas/balance-energetico/" TargetMode="External"/><Relationship Id="rId71" Type="http://schemas.openxmlformats.org/officeDocument/2006/relationships/hyperlink" Target="https://mem.gob.gt/que-hacemos/area-energetica/publicaciones/estadisticas/balance-energetico/" TargetMode="External"/><Relationship Id="rId72" Type="http://schemas.openxmlformats.org/officeDocument/2006/relationships/hyperlink" Target="https://mem.gob.gt/que-hacemos/area-energetica/publicaciones/estadisticas/balance-energetico/" TargetMode="External"/><Relationship Id="rId73" Type="http://schemas.openxmlformats.org/officeDocument/2006/relationships/hyperlink" Target="https://mem.gob.gt/que-hacemos/area-energetica/publicaciones/estadisticas/balance-energetico/" TargetMode="External"/><Relationship Id="rId74" Type="http://schemas.openxmlformats.org/officeDocument/2006/relationships/hyperlink" Target="https://mem.gob.gt/que-hacemos/area-energetica/publicaciones/estadisticas/balance-energetico/" TargetMode="External"/><Relationship Id="rId75" Type="http://schemas.openxmlformats.org/officeDocument/2006/relationships/hyperlink" Target="https://mem.gob.gt/que-hacemos/area-energetica/publicaciones/estadisticas/balance-energetico/" TargetMode="External"/><Relationship Id="rId76" Type="http://schemas.openxmlformats.org/officeDocument/2006/relationships/hyperlink" Target="https://mem.gob.gt/que-hacemos/area-energetica/publicaciones/estadisticas/balance-energetico/" TargetMode="External"/><Relationship Id="rId77" Type="http://schemas.openxmlformats.org/officeDocument/2006/relationships/hyperlink" Target="https://mem.gob.gt/que-hacemos/area-energetica/publicaciones/estadisticas/balance-energetico/" TargetMode="External"/><Relationship Id="rId78" Type="http://schemas.openxmlformats.org/officeDocument/2006/relationships/hyperlink" Target="https://mem.gob.gt/que-hacemos/area-energetica/publicaciones/estadisticas/balance-energetico/" TargetMode="External"/><Relationship Id="rId79" Type="http://schemas.openxmlformats.org/officeDocument/2006/relationships/hyperlink" Target="https://mem.gob.gt/que-hacemos/area-energetica/publicaciones/estadisticas/balance-energetico/" TargetMode="External"/><Relationship Id="rId80" Type="http://schemas.openxmlformats.org/officeDocument/2006/relationships/hyperlink" Target="https://mem.gob.gt/que-hacemos/area-energetica/publicaciones/estadisticas/balance-energetico/" TargetMode="External"/><Relationship Id="rId81" Type="http://schemas.openxmlformats.org/officeDocument/2006/relationships/hyperlink" Target="https://mem.gob.gt/que-hacemos/area-energetica/publicaciones/estadisticas/balance-energetico/" TargetMode="External"/><Relationship Id="rId82" Type="http://schemas.openxmlformats.org/officeDocument/2006/relationships/hyperlink" Target="https://mem.gob.gt/que-hacemos/area-energetica/publicaciones/estadisticas/balance-energetico/" TargetMode="External"/><Relationship Id="rId83" Type="http://schemas.openxmlformats.org/officeDocument/2006/relationships/hyperlink" Target="https://mem.gob.gt/que-hacemos/area-energetica/publicaciones/estadisticas/balance-energetico/" TargetMode="External"/><Relationship Id="rId84" Type="http://schemas.openxmlformats.org/officeDocument/2006/relationships/hyperlink" Target="https://mem.gob.gt/que-hacemos/area-energetica/publicaciones/estadisticas/balance-energetico/" TargetMode="External"/><Relationship Id="rId85" Type="http://schemas.openxmlformats.org/officeDocument/2006/relationships/hyperlink" Target="https://mem.gob.gt/que-hacemos/area-energetica/publicaciones/estadisticas/balance-energetico/" TargetMode="External"/><Relationship Id="rId86" Type="http://schemas.openxmlformats.org/officeDocument/2006/relationships/hyperlink" Target="https://mem.gob.gt/que-hacemos/area-energetica/publicaciones/estadisticas/balance-energetico/" TargetMode="External"/><Relationship Id="rId87" Type="http://schemas.openxmlformats.org/officeDocument/2006/relationships/hyperlink" Target="https://mem.gob.gt/que-hacemos/area-energetica/publicaciones/estadisticas/balance-energetico/" TargetMode="External"/><Relationship Id="rId88" Type="http://schemas.openxmlformats.org/officeDocument/2006/relationships/hyperlink" Target="https://mem.gob.gt/que-hacemos/area-energetica/publicaciones/estadisticas/balance-energetico/" TargetMode="External"/><Relationship Id="rId89" Type="http://schemas.openxmlformats.org/officeDocument/2006/relationships/hyperlink" Target="https://mem.gob.gt/que-hacemos/area-energetica/publicaciones/estadisticas/balance-energetico/" TargetMode="External"/><Relationship Id="rId90" Type="http://schemas.openxmlformats.org/officeDocument/2006/relationships/hyperlink" Target="https://mem.gob.gt/que-hacemos/area-energetica/publicaciones/estadisticas/balance-energetico/" TargetMode="External"/><Relationship Id="rId91" Type="http://schemas.openxmlformats.org/officeDocument/2006/relationships/hyperlink" Target="https://mem.gob.gt/que-hacemos/area-energetica/publicaciones/estadisticas/balance-energetico/" TargetMode="External"/><Relationship Id="rId92" Type="http://schemas.openxmlformats.org/officeDocument/2006/relationships/hyperlink" Target="https://mem.gob.gt/que-hacemos/area-energetica/publicaciones/estadisticas/balance-energetico/" TargetMode="External"/><Relationship Id="rId93" Type="http://schemas.openxmlformats.org/officeDocument/2006/relationships/hyperlink" Target="https://mem.gob.gt/que-hacemos/area-energetica/publicaciones/estadisticas/balance-energetico/" TargetMode="External"/><Relationship Id="rId94" Type="http://schemas.openxmlformats.org/officeDocument/2006/relationships/hyperlink" Target="https://mem.gob.gt/que-hacemos/area-energetica/publicaciones/estadisticas/balance-energetico/" TargetMode="External"/><Relationship Id="rId95" Type="http://schemas.openxmlformats.org/officeDocument/2006/relationships/hyperlink" Target="https://mem.gob.gt/que-hacemos/area-energetica/publicaciones/estadisticas/balance-energetico/" TargetMode="External"/><Relationship Id="rId96" Type="http://schemas.openxmlformats.org/officeDocument/2006/relationships/hyperlink" Target="https://mem.gob.gt/que-hacemos/area-energetica/publicaciones/estadisticas/balance-energetico/" TargetMode="External"/><Relationship Id="rId97" Type="http://schemas.openxmlformats.org/officeDocument/2006/relationships/hyperlink" Target="https://mem.gob.gt/que-hacemos/area-energetica/publicaciones/estadisticas/balance-energetico/" TargetMode="External"/><Relationship Id="rId98" Type="http://schemas.openxmlformats.org/officeDocument/2006/relationships/hyperlink" Target="https://mem.gob.gt/que-hacemos/area-energetica/publicaciones/estadisticas/balance-energetico/" TargetMode="External"/><Relationship Id="rId99" Type="http://schemas.openxmlformats.org/officeDocument/2006/relationships/hyperlink" Target="https://mem.gob.gt/que-hacemos/area-energetica/publicaciones/estadisticas/balance-energetico/" TargetMode="External"/><Relationship Id="rId100" Type="http://schemas.openxmlformats.org/officeDocument/2006/relationships/hyperlink" Target="https://mem.gob.gt/que-hacemos/area-energetica/publicaciones/estadisticas/balance-energetico/" TargetMode="External"/><Relationship Id="rId101" Type="http://schemas.openxmlformats.org/officeDocument/2006/relationships/hyperlink" Target="https://mem.gob.gt/que-hacemos/area-energetica/publicaciones/estadisticas/balance-energetico/" TargetMode="External"/><Relationship Id="rId102" Type="http://schemas.openxmlformats.org/officeDocument/2006/relationships/hyperlink" Target="https://mem.gob.gt/que-hacemos/area-energetica/publicaciones/estadisticas/balance-energetico/" TargetMode="External"/><Relationship Id="rId103" Type="http://schemas.openxmlformats.org/officeDocument/2006/relationships/hyperlink" Target="https://mem.gob.gt/que-hacemos/area-energetica/publicaciones/estadisticas/balance-energetico/" TargetMode="External"/><Relationship Id="rId104" Type="http://schemas.openxmlformats.org/officeDocument/2006/relationships/hyperlink" Target="https://mem.gob.gt/que-hacemos/area-energetica/publicaciones/estadisticas/balance-energetico/" TargetMode="External"/><Relationship Id="rId105" Type="http://schemas.openxmlformats.org/officeDocument/2006/relationships/hyperlink" Target="https://mem.gob.gt/que-hacemos/area-energetica/publicaciones/estadisticas/balance-energetico/" TargetMode="External"/><Relationship Id="rId106" Type="http://schemas.openxmlformats.org/officeDocument/2006/relationships/hyperlink" Target="https://mem.gob.gt/que-hacemos/area-energetica/publicaciones/estadisticas/balance-energetico/" TargetMode="External"/><Relationship Id="rId107" Type="http://schemas.openxmlformats.org/officeDocument/2006/relationships/hyperlink" Target="https://mem.gob.gt/que-hacemos/area-energetica/publicaciones/estadisticas/balance-energetico/" TargetMode="External"/><Relationship Id="rId108" Type="http://schemas.openxmlformats.org/officeDocument/2006/relationships/hyperlink" Target="https://mem.gob.gt/que-hacemos/area-energetica/publicaciones/estadisticas/balance-energetico/" TargetMode="External"/><Relationship Id="rId109" Type="http://schemas.openxmlformats.org/officeDocument/2006/relationships/hyperlink" Target="https://mem.gob.gt/que-hacemos/area-energetica/publicaciones/estadisticas/balance-energetico/" TargetMode="External"/><Relationship Id="rId110" Type="http://schemas.openxmlformats.org/officeDocument/2006/relationships/hyperlink" Target="https://mem.gob.gt/que-hacemos/area-energetica/publicaciones/estadisticas/balance-energetico/" TargetMode="External"/><Relationship Id="rId111" Type="http://schemas.openxmlformats.org/officeDocument/2006/relationships/hyperlink" Target="https://mem.gob.gt/que-hacemos/area-energetica/publicaciones/estadisticas/balance-energetico/" TargetMode="External"/><Relationship Id="rId112" Type="http://schemas.openxmlformats.org/officeDocument/2006/relationships/hyperlink" Target="https://mem.gob.gt/que-hacemos/area-energetica/publicaciones/estadisticas/balance-energetico/" TargetMode="External"/><Relationship Id="rId113" Type="http://schemas.openxmlformats.org/officeDocument/2006/relationships/hyperlink" Target="https://mem.gob.gt/que-hacemos/area-energetica/publicaciones/estadisticas/balance-energetico/" TargetMode="External"/><Relationship Id="rId114" Type="http://schemas.openxmlformats.org/officeDocument/2006/relationships/hyperlink" Target="https://mem.gob.gt/que-hacemos/area-energetica/publicaciones/estadisticas/balance-energetico/" TargetMode="External"/><Relationship Id="rId115" Type="http://schemas.openxmlformats.org/officeDocument/2006/relationships/hyperlink" Target="https://mem.gob.gt/que-hacemos/area-energetica/publicaciones/estadisticas/balance-energetico/" TargetMode="External"/><Relationship Id="rId116" Type="http://schemas.openxmlformats.org/officeDocument/2006/relationships/hyperlink" Target="https://mem.gob.gt/que-hacemos/area-energetica/publicaciones/estadisticas/balance-energetico/" TargetMode="External"/><Relationship Id="rId117" Type="http://schemas.openxmlformats.org/officeDocument/2006/relationships/hyperlink" Target="https://mem.gob.gt/que-hacemos/area-energetica/publicaciones/estadisticas/balance-energetico/" TargetMode="External"/><Relationship Id="rId118" Type="http://schemas.openxmlformats.org/officeDocument/2006/relationships/hyperlink" Target="https://mem.gob.gt/que-hacemos/area-energetica/publicaciones/estadisticas/balance-energetico/" TargetMode="External"/><Relationship Id="rId119" Type="http://schemas.openxmlformats.org/officeDocument/2006/relationships/hyperlink" Target="https://mem.gob.gt/que-hacemos/area-energetica/publicaciones/estadisticas/balance-energetico/" TargetMode="External"/><Relationship Id="rId120" Type="http://schemas.openxmlformats.org/officeDocument/2006/relationships/hyperlink" Target="https://mem.gob.gt/que-hacemos/area-energetica/publicaciones/estadisticas/balance-energetico/" TargetMode="External"/><Relationship Id="rId121" Type="http://schemas.openxmlformats.org/officeDocument/2006/relationships/hyperlink" Target="https://mem.gob.gt/que-hacemos/area-energetica/publicaciones/estadisticas/balance-energetico/" TargetMode="External"/><Relationship Id="rId122" Type="http://schemas.openxmlformats.org/officeDocument/2006/relationships/hyperlink" Target="https://mem.gob.gt/que-hacemos/area-energetica/publicaciones/estadisticas/balance-energetico/" TargetMode="External"/><Relationship Id="rId123" Type="http://schemas.openxmlformats.org/officeDocument/2006/relationships/hyperlink" Target="https://mem.gob.gt/que-hacemos/area-energetica/publicaciones/estadisticas/balance-energetico/" TargetMode="External"/><Relationship Id="rId124" Type="http://schemas.openxmlformats.org/officeDocument/2006/relationships/hyperlink" Target="https://mem.gob.gt/que-hacemos/area-energetica/publicaciones/estadisticas/balance-energetico/" TargetMode="External"/><Relationship Id="rId125" Type="http://schemas.openxmlformats.org/officeDocument/2006/relationships/hyperlink" Target="https://mem.gob.gt/que-hacemos/area-energetica/publicaciones/estadisticas/balance-energetico/" TargetMode="External"/><Relationship Id="rId126" Type="http://schemas.openxmlformats.org/officeDocument/2006/relationships/hyperlink" Target="https://mem.gob.gt/que-hacemos/area-energetica/publicaciones/estadisticas/balance-energetico/" TargetMode="External"/><Relationship Id="rId127" Type="http://schemas.openxmlformats.org/officeDocument/2006/relationships/hyperlink" Target="https://mem.gob.gt/que-hacemos/area-energetica/publicaciones/estadisticas/balance-energetico/" TargetMode="External"/><Relationship Id="rId128" Type="http://schemas.openxmlformats.org/officeDocument/2006/relationships/hyperlink" Target="https://mem.gob.gt/que-hacemos/area-energetica/publicaciones/estadisticas/balance-energetico/" TargetMode="External"/><Relationship Id="rId129" Type="http://schemas.openxmlformats.org/officeDocument/2006/relationships/hyperlink" Target="https://mem.gob.gt/que-hacemos/area-energetica/publicaciones/estadisticas/balance-energetico/" TargetMode="External"/><Relationship Id="rId130" Type="http://schemas.openxmlformats.org/officeDocument/2006/relationships/hyperlink" Target="https://mem.gob.gt/que-hacemos/area-energetica/publicaciones/estadisticas/balance-energetico/" TargetMode="External"/><Relationship Id="rId131" Type="http://schemas.openxmlformats.org/officeDocument/2006/relationships/hyperlink" Target="https://mem.gob.gt/que-hacemos/area-energetica/publicaciones/estadisticas/balance-energetico/" TargetMode="External"/><Relationship Id="rId132" Type="http://schemas.openxmlformats.org/officeDocument/2006/relationships/hyperlink" Target="https://mem.gob.gt/que-hacemos/area-energetica/publicaciones/estadisticas/balance-energetico/" TargetMode="External"/><Relationship Id="rId133" Type="http://schemas.openxmlformats.org/officeDocument/2006/relationships/hyperlink" Target="https://mem.gob.gt/que-hacemos/area-energetica/publicaciones/estadisticas/balance-energetico/" TargetMode="External"/><Relationship Id="rId134" Type="http://schemas.openxmlformats.org/officeDocument/2006/relationships/hyperlink" Target="https://mem.gob.gt/que-hacemos/area-energetica/publicaciones/estadisticas/balance-energetico/" TargetMode="External"/><Relationship Id="rId135" Type="http://schemas.openxmlformats.org/officeDocument/2006/relationships/hyperlink" Target="https://mem.gob.gt/que-hacemos/area-energetica/publicaciones/estadisticas/balance-energetico/" TargetMode="External"/><Relationship Id="rId136" Type="http://schemas.openxmlformats.org/officeDocument/2006/relationships/hyperlink" Target="https://mem.gob.gt/que-hacemos/area-energetica/publicaciones/estadisticas/balance-energetico/" TargetMode="External"/><Relationship Id="rId137" Type="http://schemas.openxmlformats.org/officeDocument/2006/relationships/hyperlink" Target="https://mem.gob.gt/que-hacemos/area-energetica/publicaciones/estadisticas/balance-energetico/" TargetMode="External"/><Relationship Id="rId138" Type="http://schemas.openxmlformats.org/officeDocument/2006/relationships/hyperlink" Target="https://mem.gob.gt/que-hacemos/area-energetica/publicaciones/estadisticas/balance-energetico/" TargetMode="External"/><Relationship Id="rId139" Type="http://schemas.openxmlformats.org/officeDocument/2006/relationships/hyperlink" Target="https://mem.gob.gt/que-hacemos/area-energetica/publicaciones/estadisticas/balance-energetico/" TargetMode="External"/><Relationship Id="rId140" Type="http://schemas.openxmlformats.org/officeDocument/2006/relationships/hyperlink" Target="https://mem.gob.gt/que-hacemos/area-energetica/publicaciones/estadisticas/balance-energetico/" TargetMode="External"/><Relationship Id="rId141" Type="http://schemas.openxmlformats.org/officeDocument/2006/relationships/hyperlink" Target="https://mem.gob.gt/que-hacemos/area-energetica/publicaciones/estadisticas/balance-energetico/" TargetMode="External"/><Relationship Id="rId142" Type="http://schemas.openxmlformats.org/officeDocument/2006/relationships/hyperlink" Target="https://mem.gob.gt/que-hacemos/area-energetica/publicaciones/estadisticas/balance-energetico/" TargetMode="External"/><Relationship Id="rId143" Type="http://schemas.openxmlformats.org/officeDocument/2006/relationships/hyperlink" Target="https://mem.gob.gt/que-hacemos/area-energetica/publicaciones/estadisticas/balance-energetico/" TargetMode="External"/><Relationship Id="rId144" Type="http://schemas.openxmlformats.org/officeDocument/2006/relationships/hyperlink" Target="https://mem.gob.gt/que-hacemos/area-energetica/publicaciones/estadisticas/balance-energetico/" TargetMode="External"/><Relationship Id="rId145" Type="http://schemas.openxmlformats.org/officeDocument/2006/relationships/hyperlink" Target="https://mem.gob.gt/que-hacemos/area-energetica/publicaciones/estadisticas/balance-energetico/" TargetMode="External"/><Relationship Id="rId146" Type="http://schemas.openxmlformats.org/officeDocument/2006/relationships/hyperlink" Target="https://mem.gob.gt/que-hacemos/area-energetica/publicaciones/estadisticas/balance-energetico/" TargetMode="External"/><Relationship Id="rId147" Type="http://schemas.openxmlformats.org/officeDocument/2006/relationships/hyperlink" Target="https://mem.gob.gt/que-hacemos/area-energetica/publicaciones/estadisticas/balance-energetico/" TargetMode="External"/><Relationship Id="rId148" Type="http://schemas.openxmlformats.org/officeDocument/2006/relationships/hyperlink" Target="https://mem.gob.gt/que-hacemos/area-energetica/publicaciones/estadisticas/balance-energetico/" TargetMode="External"/><Relationship Id="rId149" Type="http://schemas.openxmlformats.org/officeDocument/2006/relationships/hyperlink" Target="https://mem.gob.gt/que-hacemos/area-energetica/publicaciones/estadisticas/balance-energetico/" TargetMode="External"/><Relationship Id="rId150" Type="http://schemas.openxmlformats.org/officeDocument/2006/relationships/hyperlink" Target="https://mem.gob.gt/que-hacemos/area-energetica/publicaciones/estadisticas/balance-energetico/" TargetMode="External"/><Relationship Id="rId151" Type="http://schemas.openxmlformats.org/officeDocument/2006/relationships/hyperlink" Target="https://mem.gob.gt/que-hacemos/area-energetica/publicaciones/estadisticas/balance-energetico/" TargetMode="External"/><Relationship Id="rId152" Type="http://schemas.openxmlformats.org/officeDocument/2006/relationships/hyperlink" Target="https://mem.gob.gt/que-hacemos/area-energetica/publicaciones/estadisticas/balance-energetico/" TargetMode="External"/><Relationship Id="rId153" Type="http://schemas.openxmlformats.org/officeDocument/2006/relationships/hyperlink" Target="https://mem.gob.gt/que-hacemos/area-energetica/publicaciones/estadisticas/balance-energetico/" TargetMode="External"/><Relationship Id="rId154" Type="http://schemas.openxmlformats.org/officeDocument/2006/relationships/hyperlink" Target="https://mem.gob.gt/que-hacemos/area-energetica/publicaciones/estadisticas/balance-energetico/" TargetMode="External"/><Relationship Id="rId155" Type="http://schemas.openxmlformats.org/officeDocument/2006/relationships/hyperlink" Target="https://mem.gob.gt/que-hacemos/area-energetica/publicaciones/estadisticas/balance-energetico/" TargetMode="External"/><Relationship Id="rId156" Type="http://schemas.openxmlformats.org/officeDocument/2006/relationships/hyperlink" Target="https://mem.gob.gt/que-hacemos/area-energetica/publicaciones/estadisticas/balance-energetico/" TargetMode="External"/><Relationship Id="rId157" Type="http://schemas.openxmlformats.org/officeDocument/2006/relationships/hyperlink" Target="https://mem.gob.gt/que-hacemos/area-energetica/publicaciones/estadisticas/balance-energetico/" TargetMode="External"/><Relationship Id="rId158" Type="http://schemas.openxmlformats.org/officeDocument/2006/relationships/hyperlink" Target="https://mem.gob.gt/que-hacemos/area-energetica/publicaciones/estadisticas/balance-energetico/" TargetMode="External"/><Relationship Id="rId159" Type="http://schemas.openxmlformats.org/officeDocument/2006/relationships/hyperlink" Target="https://mem.gob.gt/que-hacemos/area-energetica/publicaciones/estadisticas/balance-energetico/" TargetMode="External"/><Relationship Id="rId160" Type="http://schemas.openxmlformats.org/officeDocument/2006/relationships/hyperlink" Target="https://mem.gob.gt/que-hacemos/area-energetica/publicaciones/estadisticas/balance-energetico/" TargetMode="External"/><Relationship Id="rId161" Type="http://schemas.openxmlformats.org/officeDocument/2006/relationships/hyperlink" Target="https://mem.gob.gt/que-hacemos/area-energetica/publicaciones/estadisticas/balance-energetico/" TargetMode="External"/><Relationship Id="rId162" Type="http://schemas.openxmlformats.org/officeDocument/2006/relationships/hyperlink" Target="https://mem.gob.gt/que-hacemos/area-energetica/publicaciones/estadisticas/balance-energetico/" TargetMode="External"/><Relationship Id="rId163" Type="http://schemas.openxmlformats.org/officeDocument/2006/relationships/hyperlink" Target="https://mem.gob.gt/que-hacemos/area-energetica/publicaciones/estadisticas/balance-energetico/" TargetMode="External"/><Relationship Id="rId164" Type="http://schemas.openxmlformats.org/officeDocument/2006/relationships/hyperlink" Target="https://mem.gob.gt/que-hacemos/area-energetica/publicaciones/estadisticas/balance-energetico/" TargetMode="External"/><Relationship Id="rId165" Type="http://schemas.openxmlformats.org/officeDocument/2006/relationships/hyperlink" Target="https://mem.gob.gt/que-hacemos/area-energetica/publicaciones/estadisticas/balance-energetico/" TargetMode="External"/><Relationship Id="rId166" Type="http://schemas.openxmlformats.org/officeDocument/2006/relationships/hyperlink" Target="https://mem.gob.gt/que-hacemos/area-energetica/publicaciones/estadisticas/balance-energetico/" TargetMode="External"/><Relationship Id="rId167" Type="http://schemas.openxmlformats.org/officeDocument/2006/relationships/hyperlink" Target="https://mem.gob.gt/que-hacemos/area-energetica/publicaciones/estadisticas/balance-energetico/" TargetMode="External"/><Relationship Id="rId168" Type="http://schemas.openxmlformats.org/officeDocument/2006/relationships/hyperlink" Target="https://mem.gob.gt/que-hacemos/area-energetica/publicaciones/estadisticas/balance-energetico/" TargetMode="External"/><Relationship Id="rId169" Type="http://schemas.openxmlformats.org/officeDocument/2006/relationships/hyperlink" Target="https://mem.gob.gt/que-hacemos/area-energetica/publicaciones/estadisticas/balance-energetico/" TargetMode="External"/><Relationship Id="rId170" Type="http://schemas.openxmlformats.org/officeDocument/2006/relationships/hyperlink" Target="https://mem.gob.gt/que-hacemos/area-energetica/publicaciones/estadisticas/balance-energetico/" TargetMode="External"/><Relationship Id="rId171" Type="http://schemas.openxmlformats.org/officeDocument/2006/relationships/hyperlink" Target="https://mem.gob.gt/que-hacemos/area-energetica/publicaciones/estadisticas/balance-energetico/" TargetMode="External"/><Relationship Id="rId172" Type="http://schemas.openxmlformats.org/officeDocument/2006/relationships/hyperlink" Target="https://mem.gob.gt/que-hacemos/area-energetica/publicaciones/estadisticas/balance-energetico/" TargetMode="External"/><Relationship Id="rId173" Type="http://schemas.openxmlformats.org/officeDocument/2006/relationships/hyperlink" Target="https://mem.gob.gt/que-hacemos/area-energetica/publicaciones/estadisticas/balance-energetico/" TargetMode="External"/><Relationship Id="rId174" Type="http://schemas.openxmlformats.org/officeDocument/2006/relationships/hyperlink" Target="https://mem.gob.gt/que-hacemos/area-energetica/publicaciones/estadisticas/balance-energetico/" TargetMode="External"/><Relationship Id="rId175" Type="http://schemas.openxmlformats.org/officeDocument/2006/relationships/hyperlink" Target="https://mem.gob.gt/que-hacemos/area-energetica/publicaciones/estadisticas/balance-energetico/" TargetMode="External"/><Relationship Id="rId176" Type="http://schemas.openxmlformats.org/officeDocument/2006/relationships/hyperlink" Target="https://mem.gob.gt/que-hacemos/area-energetica/publicaciones/estadisticas/balance-energetico/" TargetMode="External"/><Relationship Id="rId177" Type="http://schemas.openxmlformats.org/officeDocument/2006/relationships/hyperlink" Target="https://mem.gob.gt/que-hacemos/area-energetica/publicaciones/estadisticas/balance-energetico/" TargetMode="External"/><Relationship Id="rId178" Type="http://schemas.openxmlformats.org/officeDocument/2006/relationships/hyperlink" Target="https://mem.gob.gt/que-hacemos/area-energetica/publicaciones/estadisticas/balance-energetico/" TargetMode="External"/><Relationship Id="rId179" Type="http://schemas.openxmlformats.org/officeDocument/2006/relationships/hyperlink" Target="https://mem.gob.gt/que-hacemos/area-energetica/publicaciones/estadisticas/balance-energetico/" TargetMode="External"/><Relationship Id="rId180" Type="http://schemas.openxmlformats.org/officeDocument/2006/relationships/hyperlink" Target="https://mem.gob.gt/que-hacemos/area-energetica/publicaciones/estadisticas/balance-energetico/" TargetMode="External"/><Relationship Id="rId181" Type="http://schemas.openxmlformats.org/officeDocument/2006/relationships/hyperlink" Target="https://mem.gob.gt/que-hacemos/area-energetica/publicaciones/estadisticas/balance-energetico/" TargetMode="External"/><Relationship Id="rId182" Type="http://schemas.openxmlformats.org/officeDocument/2006/relationships/hyperlink" Target="https://mem.gob.gt/que-hacemos/area-energetica/publicaciones/estadisticas/balance-energetico/" TargetMode="External"/><Relationship Id="rId183" Type="http://schemas.openxmlformats.org/officeDocument/2006/relationships/hyperlink" Target="https://mem.gob.gt/que-hacemos/area-energetica/publicaciones/estadisticas/balance-energetico/" TargetMode="External"/><Relationship Id="rId184" Type="http://schemas.openxmlformats.org/officeDocument/2006/relationships/hyperlink" Target="https://mem.gob.gt/que-hacemos/area-energetica/publicaciones/estadisticas/balance-energetico/" TargetMode="External"/><Relationship Id="rId185" Type="http://schemas.openxmlformats.org/officeDocument/2006/relationships/hyperlink" Target="https://mem.gob.gt/que-hacemos/area-energetica/publicaciones/estadisticas/balance-energetico/" TargetMode="External"/><Relationship Id="rId186" Type="http://schemas.openxmlformats.org/officeDocument/2006/relationships/hyperlink" Target="https://mem.gob.gt/que-hacemos/area-energetica/publicaciones/estadisticas/balance-energetico/" TargetMode="External"/><Relationship Id="rId187" Type="http://schemas.openxmlformats.org/officeDocument/2006/relationships/hyperlink" Target="https://mem.gob.gt/que-hacemos/area-energetica/publicaciones/estadisticas/balance-energetico/" TargetMode="External"/><Relationship Id="rId188" Type="http://schemas.openxmlformats.org/officeDocument/2006/relationships/hyperlink" Target="https://mem.gob.gt/que-hacemos/area-energetica/publicaciones/estadisticas/balance-energetico/" TargetMode="External"/><Relationship Id="rId189" Type="http://schemas.openxmlformats.org/officeDocument/2006/relationships/hyperlink" Target="https://mem.gob.gt/que-hacemos/area-energetica/publicaciones/estadisticas/balance-energetico/" TargetMode="External"/><Relationship Id="rId190" Type="http://schemas.openxmlformats.org/officeDocument/2006/relationships/hyperlink" Target="https://mem.gob.gt/que-hacemos/area-energetica/publicaciones/estadisticas/balance-energetico/" TargetMode="External"/><Relationship Id="rId191" Type="http://schemas.openxmlformats.org/officeDocument/2006/relationships/hyperlink" Target="https://mem.gob.gt/que-hacemos/area-energetica/publicaciones/estadisticas/balance-energetico/" TargetMode="External"/><Relationship Id="rId192" Type="http://schemas.openxmlformats.org/officeDocument/2006/relationships/hyperlink" Target="https://mem.gob.gt/que-hacemos/area-energetica/publicaciones/estadisticas/balance-energetico/" TargetMode="External"/><Relationship Id="rId193" Type="http://schemas.openxmlformats.org/officeDocument/2006/relationships/hyperlink" Target="https://mem.gob.gt/que-hacemos/area-energetica/publicaciones/estadisticas/balance-energetico/" TargetMode="External"/><Relationship Id="rId194" Type="http://schemas.openxmlformats.org/officeDocument/2006/relationships/hyperlink" Target="https://mem.gob.gt/que-hacemos/area-energetica/publicaciones/estadisticas/balance-energetico/" TargetMode="External"/><Relationship Id="rId195" Type="http://schemas.openxmlformats.org/officeDocument/2006/relationships/hyperlink" Target="https://mem.gob.gt/que-hacemos/area-energetica/publicaciones/estadisticas/balance-energetico/" TargetMode="External"/><Relationship Id="rId196" Type="http://schemas.openxmlformats.org/officeDocument/2006/relationships/hyperlink" Target="https://mem.gob.gt/que-hacemos/area-energetica/publicaciones/estadisticas/balance-energetico/" TargetMode="External"/><Relationship Id="rId197" Type="http://schemas.openxmlformats.org/officeDocument/2006/relationships/hyperlink" Target="https://mem.gob.gt/que-hacemos/area-energetica/publicaciones/estadisticas/balance-energetico/" TargetMode="External"/><Relationship Id="rId198" Type="http://schemas.openxmlformats.org/officeDocument/2006/relationships/hyperlink" Target="https://mem.gob.gt/que-hacemos/area-energetica/publicaciones/estadisticas/balance-energetico/" TargetMode="External"/><Relationship Id="rId199" Type="http://schemas.openxmlformats.org/officeDocument/2006/relationships/hyperlink" Target="https://mem.gob.gt/que-hacemos/area-energetica/publicaciones/estadisticas/balance-energetico/" TargetMode="External"/><Relationship Id="rId200" Type="http://schemas.openxmlformats.org/officeDocument/2006/relationships/hyperlink" Target="https://mem.gob.gt/que-hacemos/area-energetica/publicaciones/estadisticas/balance-energetico/" TargetMode="External"/><Relationship Id="rId201" Type="http://schemas.openxmlformats.org/officeDocument/2006/relationships/hyperlink" Target="https://mem.gob.gt/que-hacemos/area-energetica/publicaciones/estadisticas/balance-energetico/" TargetMode="External"/><Relationship Id="rId202" Type="http://schemas.openxmlformats.org/officeDocument/2006/relationships/hyperlink" Target="https://mem.gob.gt/que-hacemos/area-energetica/publicaciones/estadisticas/balance-energetico/" TargetMode="External"/><Relationship Id="rId203" Type="http://schemas.openxmlformats.org/officeDocument/2006/relationships/hyperlink" Target="https://mem.gob.gt/que-hacemos/area-energetica/publicaciones/estadisticas/balance-energetico/" TargetMode="External"/><Relationship Id="rId204" Type="http://schemas.openxmlformats.org/officeDocument/2006/relationships/hyperlink" Target="https://mem.gob.gt/que-hacemos/area-energetica/publicaciones/estadisticas/balance-energetico/" TargetMode="External"/><Relationship Id="rId205" Type="http://schemas.openxmlformats.org/officeDocument/2006/relationships/hyperlink" Target="https://mem.gob.gt/que-hacemos/area-energetica/publicaciones/estadisticas/balance-energetico/" TargetMode="External"/><Relationship Id="rId206" Type="http://schemas.openxmlformats.org/officeDocument/2006/relationships/hyperlink" Target="https://mem.gob.gt/que-hacemos/area-energetica/publicaciones/estadisticas/balance-energetico/" TargetMode="External"/><Relationship Id="rId207" Type="http://schemas.openxmlformats.org/officeDocument/2006/relationships/hyperlink" Target="https://mem.gob.gt/que-hacemos/area-energetica/publicaciones/estadisticas/balance-energetico/" TargetMode="External"/><Relationship Id="rId208" Type="http://schemas.openxmlformats.org/officeDocument/2006/relationships/hyperlink" Target="https://mem.gob.gt/que-hacemos/area-energetica/publicaciones/estadisticas/balance-energetico/" TargetMode="External"/><Relationship Id="rId209" Type="http://schemas.openxmlformats.org/officeDocument/2006/relationships/hyperlink" Target="https://mem.gob.gt/que-hacemos/area-energetica/publicaciones/estadisticas/balance-energetico/" TargetMode="External"/><Relationship Id="rId210" Type="http://schemas.openxmlformats.org/officeDocument/2006/relationships/hyperlink" Target="https://mem.gob.gt/que-hacemos/area-energetica/publicaciones/estadisticas/balance-energetico/" TargetMode="External"/><Relationship Id="rId211" Type="http://schemas.openxmlformats.org/officeDocument/2006/relationships/hyperlink" Target="https://mem.gob.gt/que-hacemos/area-energetica/publicaciones/estadisticas/balance-energetico/" TargetMode="External"/><Relationship Id="rId212" Type="http://schemas.openxmlformats.org/officeDocument/2006/relationships/hyperlink" Target="https://mem.gob.gt/que-hacemos/area-energetica/publicaciones/estadisticas/balance-energetico/" TargetMode="External"/><Relationship Id="rId213" Type="http://schemas.openxmlformats.org/officeDocument/2006/relationships/hyperlink" Target="https://mem.gob.gt/que-hacemos/area-energetica/publicaciones/estadisticas/balance-energetico/" TargetMode="External"/><Relationship Id="rId214" Type="http://schemas.openxmlformats.org/officeDocument/2006/relationships/hyperlink" Target="https://mem.gob.gt/que-hacemos/area-energetica/publicaciones/estadisticas/balance-energetico/" TargetMode="External"/><Relationship Id="rId215" Type="http://schemas.openxmlformats.org/officeDocument/2006/relationships/hyperlink" Target="https://mem.gob.gt/que-hacemos/area-energetica/publicaciones/estadisticas/balance-energetico/" TargetMode="External"/><Relationship Id="rId216" Type="http://schemas.openxmlformats.org/officeDocument/2006/relationships/hyperlink" Target="https://mem.gob.gt/que-hacemos/area-energetica/publicaciones/estadisticas/balance-energetico/" TargetMode="External"/><Relationship Id="rId217" Type="http://schemas.openxmlformats.org/officeDocument/2006/relationships/hyperlink" Target="https://mem.gob.gt/que-hacemos/area-energetica/publicaciones/estadisticas/balance-energetico/" TargetMode="External"/><Relationship Id="rId218" Type="http://schemas.openxmlformats.org/officeDocument/2006/relationships/hyperlink" Target="https://mem.gob.gt/que-hacemos/area-energetica/publicaciones/estadisticas/balance-energetico/" TargetMode="External"/><Relationship Id="rId219" Type="http://schemas.openxmlformats.org/officeDocument/2006/relationships/hyperlink" Target="https://mem.gob.gt/que-hacemos/area-energetica/publicaciones/estadisticas/balance-energetico/" TargetMode="External"/><Relationship Id="rId220" Type="http://schemas.openxmlformats.org/officeDocument/2006/relationships/hyperlink" Target="https://mem.gob.gt/que-hacemos/area-energetica/publicaciones/estadisticas/balance-energetico/" TargetMode="External"/><Relationship Id="rId221" Type="http://schemas.openxmlformats.org/officeDocument/2006/relationships/hyperlink" Target="https://mem.gob.gt/que-hacemos/area-energetica/publicaciones/estadisticas/balance-energetico/" TargetMode="External"/><Relationship Id="rId222" Type="http://schemas.openxmlformats.org/officeDocument/2006/relationships/hyperlink" Target="https://mem.gob.gt/que-hacemos/area-energetica/publicaciones/estadisticas/balance-energetico/" TargetMode="External"/><Relationship Id="rId223" Type="http://schemas.openxmlformats.org/officeDocument/2006/relationships/hyperlink" Target="https://mem.gob.gt/que-hacemos/area-energetica/publicaciones/estadisticas/balance-energetico/" TargetMode="External"/><Relationship Id="rId224" Type="http://schemas.openxmlformats.org/officeDocument/2006/relationships/hyperlink" Target="https://mem.gob.gt/que-hacemos/area-energetica/publicaciones/estadisticas/balance-energetico/" TargetMode="External"/><Relationship Id="rId225" Type="http://schemas.openxmlformats.org/officeDocument/2006/relationships/hyperlink" Target="https://mem.gob.gt/que-hacemos/area-energetica/publicaciones/estadisticas/balance-energetico/" TargetMode="External"/><Relationship Id="rId226" Type="http://schemas.openxmlformats.org/officeDocument/2006/relationships/hyperlink" Target="https://mem.gob.gt/que-hacemos/area-energetica/publicaciones/estadisticas/balance-energetico/" TargetMode="External"/><Relationship Id="rId227" Type="http://schemas.openxmlformats.org/officeDocument/2006/relationships/hyperlink" Target="https://mem.gob.gt/que-hacemos/area-energetica/publicaciones/estadisticas/balance-energetico/" TargetMode="External"/><Relationship Id="rId228" Type="http://schemas.openxmlformats.org/officeDocument/2006/relationships/hyperlink" Target="https://mem.gob.gt/que-hacemos/area-energetica/publicaciones/estadisticas/balance-energetico/" TargetMode="External"/><Relationship Id="rId229" Type="http://schemas.openxmlformats.org/officeDocument/2006/relationships/hyperlink" Target="https://mem.gob.gt/que-hacemos/area-energetica/publicaciones/estadisticas/balance-energetico/" TargetMode="External"/><Relationship Id="rId230" Type="http://schemas.openxmlformats.org/officeDocument/2006/relationships/hyperlink" Target="https://mem.gob.gt/que-hacemos/area-energetica/publicaciones/estadisticas/balance-energetico/" TargetMode="External"/><Relationship Id="rId231" Type="http://schemas.openxmlformats.org/officeDocument/2006/relationships/hyperlink" Target="https://mem.gob.gt/que-hacemos/area-energetica/publicaciones/estadisticas/balance-energetico/" TargetMode="External"/><Relationship Id="rId232" Type="http://schemas.openxmlformats.org/officeDocument/2006/relationships/hyperlink" Target="https://mem.gob.gt/que-hacemos/area-energetica/publicaciones/estadisticas/balance-energetico/" TargetMode="External"/><Relationship Id="rId233" Type="http://schemas.openxmlformats.org/officeDocument/2006/relationships/hyperlink" Target="https://mem.gob.gt/que-hacemos/area-energetica/publicaciones/estadisticas/balance-energetico/" TargetMode="External"/><Relationship Id="rId234" Type="http://schemas.openxmlformats.org/officeDocument/2006/relationships/hyperlink" Target="https://mem.gob.gt/que-hacemos/area-energetica/publicaciones/estadisticas/balance-energetico/" TargetMode="External"/><Relationship Id="rId235" Type="http://schemas.openxmlformats.org/officeDocument/2006/relationships/hyperlink" Target="https://mem.gob.gt/que-hacemos/area-energetica/publicaciones/estadisticas/balance-energetico/" TargetMode="External"/><Relationship Id="rId236" Type="http://schemas.openxmlformats.org/officeDocument/2006/relationships/hyperlink" Target="https://mem.gob.gt/que-hacemos/area-energetica/publicaciones/estadisticas/balance-energetico/" TargetMode="External"/><Relationship Id="rId237" Type="http://schemas.openxmlformats.org/officeDocument/2006/relationships/hyperlink" Target="https://mem.gob.gt/que-hacemos/area-energetica/publicaciones/estadisticas/balance-energetico/" TargetMode="External"/><Relationship Id="rId238" Type="http://schemas.openxmlformats.org/officeDocument/2006/relationships/hyperlink" Target="https://mem.gob.gt/que-hacemos/area-energetica/publicaciones/estadisticas/balance-energetico/" TargetMode="External"/><Relationship Id="rId239" Type="http://schemas.openxmlformats.org/officeDocument/2006/relationships/hyperlink" Target="https://mem.gob.gt/que-hacemos/area-energetica/publicaciones/estadisticas/balance-energetico/" TargetMode="External"/><Relationship Id="rId240" Type="http://schemas.openxmlformats.org/officeDocument/2006/relationships/hyperlink" Target="https://mem.gob.gt/que-hacemos/area-energetica/publicaciones/estadisticas/balance-energetico/" TargetMode="External"/><Relationship Id="rId241" Type="http://schemas.openxmlformats.org/officeDocument/2006/relationships/hyperlink" Target="https://mem.gob.gt/que-hacemos/area-energetica/publicaciones/estadisticas/balance-energetico/" TargetMode="External"/><Relationship Id="rId242" Type="http://schemas.openxmlformats.org/officeDocument/2006/relationships/hyperlink" Target="https://mem.gob.gt/que-hacemos/area-energetica/publicaciones/estadisticas/balance-energetico/" TargetMode="External"/><Relationship Id="rId243" Type="http://schemas.openxmlformats.org/officeDocument/2006/relationships/hyperlink" Target="https://mem.gob.gt/que-hacemos/area-energetica/publicaciones/estadisticas/balance-energetico/" TargetMode="External"/><Relationship Id="rId244" Type="http://schemas.openxmlformats.org/officeDocument/2006/relationships/hyperlink" Target="https://mem.gob.gt/que-hacemos/area-energetica/publicaciones/estadisticas/balance-energetico/" TargetMode="External"/><Relationship Id="rId245" Type="http://schemas.openxmlformats.org/officeDocument/2006/relationships/hyperlink" Target="https://mem.gob.gt/que-hacemos/area-energetica/publicaciones/estadisticas/balance-energetico/" TargetMode="External"/><Relationship Id="rId246" Type="http://schemas.openxmlformats.org/officeDocument/2006/relationships/hyperlink" Target="https://mem.gob.gt/que-hacemos/area-energetica/publicaciones/estadisticas/balance-energetico/" TargetMode="External"/><Relationship Id="rId247" Type="http://schemas.openxmlformats.org/officeDocument/2006/relationships/hyperlink" Target="https://mem.gob.gt/que-hacemos/area-energetica/publicaciones/estadisticas/balance-energetico/" TargetMode="External"/><Relationship Id="rId248" Type="http://schemas.openxmlformats.org/officeDocument/2006/relationships/hyperlink" Target="https://mem.gob.gt/que-hacemos/area-energetica/publicaciones/estadisticas/balance-energetico/" TargetMode="External"/><Relationship Id="rId249" Type="http://schemas.openxmlformats.org/officeDocument/2006/relationships/hyperlink" Target="https://mem.gob.gt/que-hacemos/area-energetica/publicaciones/estadisticas/balance-energetico/" TargetMode="External"/><Relationship Id="rId250" Type="http://schemas.openxmlformats.org/officeDocument/2006/relationships/hyperlink" Target="https://mem.gob.gt/que-hacemos/area-energetica/publicaciones/estadisticas/balance-energetico/" TargetMode="External"/><Relationship Id="rId251" Type="http://schemas.openxmlformats.org/officeDocument/2006/relationships/hyperlink" Target="https://mem.gob.gt/que-hacemos/area-energetica/publicaciones/estadisticas/balance-energetico/" TargetMode="External"/><Relationship Id="rId252" Type="http://schemas.openxmlformats.org/officeDocument/2006/relationships/hyperlink" Target="https://mem.gob.gt/que-hacemos/area-energetica/publicaciones/estadisticas/balance-energetico/" TargetMode="External"/><Relationship Id="rId253" Type="http://schemas.openxmlformats.org/officeDocument/2006/relationships/hyperlink" Target="https://mem.gob.gt/que-hacemos/area-energetica/publicaciones/estadisticas/balance-energetico/" TargetMode="External"/><Relationship Id="rId254" Type="http://schemas.openxmlformats.org/officeDocument/2006/relationships/hyperlink" Target="https://mem.gob.gt/que-hacemos/area-energetica/publicaciones/estadisticas/balance-energetico/" TargetMode="External"/><Relationship Id="rId255" Type="http://schemas.openxmlformats.org/officeDocument/2006/relationships/hyperlink" Target="https://mem.gob.gt/que-hacemos/area-energetica/publicaciones/estadisticas/balance-energetico/" TargetMode="External"/><Relationship Id="rId256" Type="http://schemas.openxmlformats.org/officeDocument/2006/relationships/hyperlink" Target="https://mem.gob.gt/que-hacemos/area-energetica/publicaciones/estadisticas/balance-energetico/" TargetMode="External"/><Relationship Id="rId257" Type="http://schemas.openxmlformats.org/officeDocument/2006/relationships/hyperlink" Target="https://mem.gob.gt/que-hacemos/area-energetica/publicaciones/estadisticas/balance-energetico/" TargetMode="External"/><Relationship Id="rId258" Type="http://schemas.openxmlformats.org/officeDocument/2006/relationships/hyperlink" Target="https://mem.gob.gt/que-hacemos/area-energetica/publicaciones/estadisticas/balance-energetico/" TargetMode="External"/><Relationship Id="rId259" Type="http://schemas.openxmlformats.org/officeDocument/2006/relationships/hyperlink" Target="https://mem.gob.gt/que-hacemos/area-energetica/publicaciones/estadisticas/balance-energetico/" TargetMode="External"/><Relationship Id="rId260" Type="http://schemas.openxmlformats.org/officeDocument/2006/relationships/hyperlink" Target="https://mem.gob.gt/que-hacemos/area-energetica/publicaciones/estadisticas/balance-energetico/" TargetMode="External"/><Relationship Id="rId261" Type="http://schemas.openxmlformats.org/officeDocument/2006/relationships/hyperlink" Target="https://mem.gob.gt/que-hacemos/area-energetica/publicaciones/estadisticas/balance-energetico/" TargetMode="External"/><Relationship Id="rId262" Type="http://schemas.openxmlformats.org/officeDocument/2006/relationships/hyperlink" Target="https://mem.gob.gt/que-hacemos/area-energetica/publicaciones/estadisticas/balance-energetico/" TargetMode="External"/><Relationship Id="rId263" Type="http://schemas.openxmlformats.org/officeDocument/2006/relationships/hyperlink" Target="https://mem.gob.gt/que-hacemos/area-energetica/publicaciones/estadisticas/balance-energetico/" TargetMode="External"/><Relationship Id="rId264" Type="http://schemas.openxmlformats.org/officeDocument/2006/relationships/hyperlink" Target="https://mem.gob.gt/que-hacemos/area-energetica/publicaciones/estadisticas/balance-energetico/" TargetMode="External"/><Relationship Id="rId265" Type="http://schemas.openxmlformats.org/officeDocument/2006/relationships/hyperlink" Target="https://mem.gob.gt/que-hacemos/area-energetica/publicaciones/estadisticas/balance-energetico/" TargetMode="External"/><Relationship Id="rId266" Type="http://schemas.openxmlformats.org/officeDocument/2006/relationships/hyperlink" Target="https://mem.gob.gt/que-hacemos/area-energetica/publicaciones/estadisticas/balance-energetico/" TargetMode="External"/><Relationship Id="rId267" Type="http://schemas.openxmlformats.org/officeDocument/2006/relationships/hyperlink" Target="https://mem.gob.gt/que-hacemos/area-energetica/publicaciones/estadisticas/balance-energetico/" TargetMode="External"/><Relationship Id="rId268" Type="http://schemas.openxmlformats.org/officeDocument/2006/relationships/hyperlink" Target="https://mem.gob.gt/que-hacemos/area-energetica/publicaciones/estadisticas/balance-energetico/" TargetMode="External"/><Relationship Id="rId269" Type="http://schemas.openxmlformats.org/officeDocument/2006/relationships/hyperlink" Target="https://mem.gob.gt/que-hacemos/area-energetica/publicaciones/estadisticas/balance-energetico/" TargetMode="External"/><Relationship Id="rId270" Type="http://schemas.openxmlformats.org/officeDocument/2006/relationships/hyperlink" Target="https://mem.gob.gt/que-hacemos/area-energetica/publicaciones/estadisticas/balance-energetico/" TargetMode="External"/><Relationship Id="rId271" Type="http://schemas.openxmlformats.org/officeDocument/2006/relationships/hyperlink" Target="https://mem.gob.gt/que-hacemos/area-energetica/publicaciones/estadisticas/balance-energetico/" TargetMode="External"/><Relationship Id="rId272" Type="http://schemas.openxmlformats.org/officeDocument/2006/relationships/hyperlink" Target="https://mem.gob.gt/que-hacemos/area-energetica/publicaciones/estadisticas/balance-energetico/" TargetMode="External"/><Relationship Id="rId273" Type="http://schemas.openxmlformats.org/officeDocument/2006/relationships/hyperlink" Target="https://mem.gob.gt/que-hacemos/area-energetica/publicaciones/estadisticas/balance-energetico/" TargetMode="External"/><Relationship Id="rId274" Type="http://schemas.openxmlformats.org/officeDocument/2006/relationships/hyperlink" Target="https://mem.gob.gt/que-hacemos/area-energetica/publicaciones/estadisticas/balance-energetico/" TargetMode="External"/><Relationship Id="rId275" Type="http://schemas.openxmlformats.org/officeDocument/2006/relationships/hyperlink" Target="https://mem.gob.gt/que-hacemos/area-energetica/publicaciones/estadisticas/balance-energetico/" TargetMode="External"/><Relationship Id="rId276" Type="http://schemas.openxmlformats.org/officeDocument/2006/relationships/hyperlink" Target="https://mem.gob.gt/que-hacemos/area-energetica/publicaciones/estadisticas/balance-energetico/" TargetMode="External"/><Relationship Id="rId277" Type="http://schemas.openxmlformats.org/officeDocument/2006/relationships/hyperlink" Target="https://mem.gob.gt/que-hacemos/area-energetica/publicaciones/estadisticas/balance-energetico/" TargetMode="External"/><Relationship Id="rId278" Type="http://schemas.openxmlformats.org/officeDocument/2006/relationships/hyperlink" Target="https://mem.gob.gt/que-hacemos/area-energetica/publicaciones/estadisticas/balance-energetico/" TargetMode="External"/><Relationship Id="rId279" Type="http://schemas.openxmlformats.org/officeDocument/2006/relationships/hyperlink" Target="https://mem.gob.gt/que-hacemos/area-energetica/publicaciones/estadisticas/balance-energetico/" TargetMode="External"/><Relationship Id="rId280" Type="http://schemas.openxmlformats.org/officeDocument/2006/relationships/hyperlink" Target="https://mem.gob.gt/que-hacemos/area-energetica/publicaciones/estadisticas/balance-energetico/" TargetMode="External"/><Relationship Id="rId281" Type="http://schemas.openxmlformats.org/officeDocument/2006/relationships/hyperlink" Target="https://mem.gob.gt/que-hacemos/area-energetica/publicaciones/estadisticas/balance-energetico/" TargetMode="External"/><Relationship Id="rId282" Type="http://schemas.openxmlformats.org/officeDocument/2006/relationships/hyperlink" Target="https://mem.gob.gt/que-hacemos/area-energetica/publicaciones/estadisticas/balance-energetico/" TargetMode="External"/><Relationship Id="rId283" Type="http://schemas.openxmlformats.org/officeDocument/2006/relationships/hyperlink" Target="https://mem.gob.gt/que-hacemos/area-energetica/publicaciones/estadisticas/balance-energetico/" TargetMode="External"/><Relationship Id="rId284" Type="http://schemas.openxmlformats.org/officeDocument/2006/relationships/hyperlink" Target="https://mem.gob.gt/que-hacemos/area-energetica/publicaciones/estadisticas/balance-energetico/" TargetMode="External"/><Relationship Id="rId285" Type="http://schemas.openxmlformats.org/officeDocument/2006/relationships/hyperlink" Target="https://mem.gob.gt/que-hacemos/area-energetica/publicaciones/estadisticas/balance-energetico/" TargetMode="External"/><Relationship Id="rId286" Type="http://schemas.openxmlformats.org/officeDocument/2006/relationships/hyperlink" Target="https://mem.gob.gt/que-hacemos/area-energetica/publicaciones/estadisticas/balance-energetico/" TargetMode="External"/><Relationship Id="rId287" Type="http://schemas.openxmlformats.org/officeDocument/2006/relationships/hyperlink" Target="https://mem.gob.gt/que-hacemos/area-energetica/publicaciones/estadisticas/balance-energetico/" TargetMode="External"/><Relationship Id="rId288" Type="http://schemas.openxmlformats.org/officeDocument/2006/relationships/hyperlink" Target="https://mem.gob.gt/que-hacemos/area-energetica/publicaciones/estadisticas/balance-energetico/" TargetMode="External"/><Relationship Id="rId289" Type="http://schemas.openxmlformats.org/officeDocument/2006/relationships/hyperlink" Target="https://mem.gob.gt/que-hacemos/area-energetica/publicaciones/estadisticas/balance-energetico/" TargetMode="External"/><Relationship Id="rId290" Type="http://schemas.openxmlformats.org/officeDocument/2006/relationships/hyperlink" Target="https://mem.gob.gt/que-hacemos/area-energetica/publicaciones/estadisticas/balance-energetico/" TargetMode="External"/><Relationship Id="rId291" Type="http://schemas.openxmlformats.org/officeDocument/2006/relationships/hyperlink" Target="https://mem.gob.gt/que-hacemos/area-energetica/publicaciones/estadisticas/balance-energetico/" TargetMode="External"/><Relationship Id="rId292" Type="http://schemas.openxmlformats.org/officeDocument/2006/relationships/hyperlink" Target="https://mem.gob.gt/que-hacemos/area-energetica/publicaciones/estadisticas/balance-energetico/" TargetMode="External"/><Relationship Id="rId293" Type="http://schemas.openxmlformats.org/officeDocument/2006/relationships/hyperlink" Target="https://mem.gob.gt/que-hacemos/area-energetica/publicaciones/estadisticas/balance-energetico/" TargetMode="External"/><Relationship Id="rId294" Type="http://schemas.openxmlformats.org/officeDocument/2006/relationships/hyperlink" Target="https://mem.gob.gt/que-hacemos/area-energetica/publicaciones/estadisticas/balance-energetico/" TargetMode="External"/><Relationship Id="rId295" Type="http://schemas.openxmlformats.org/officeDocument/2006/relationships/hyperlink" Target="https://mem.gob.gt/que-hacemos/area-energetica/publicaciones/estadisticas/balance-energetico/" TargetMode="External"/><Relationship Id="rId296" Type="http://schemas.openxmlformats.org/officeDocument/2006/relationships/hyperlink" Target="https://mem.gob.gt/que-hacemos/area-energetica/publicaciones/estadisticas/balance-energetico/" TargetMode="External"/><Relationship Id="rId297" Type="http://schemas.openxmlformats.org/officeDocument/2006/relationships/hyperlink" Target="https://mem.gob.gt/que-hacemos/area-energetica/publicaciones/estadisticas/balance-energetico/" TargetMode="External"/><Relationship Id="rId298" Type="http://schemas.openxmlformats.org/officeDocument/2006/relationships/hyperlink" Target="https://mem.gob.gt/que-hacemos/area-energetica/publicaciones/estadisticas/balance-energetico/" TargetMode="External"/><Relationship Id="rId299" Type="http://schemas.openxmlformats.org/officeDocument/2006/relationships/hyperlink" Target="https://mem.gob.gt/que-hacemos/area-energetica/publicaciones/estadisticas/balance-energetico/" TargetMode="External"/><Relationship Id="rId300" Type="http://schemas.openxmlformats.org/officeDocument/2006/relationships/hyperlink" Target="https://mem.gob.gt/que-hacemos/area-energetica/publicaciones/estadisticas/balance-energetico/" TargetMode="External"/><Relationship Id="rId301" Type="http://schemas.openxmlformats.org/officeDocument/2006/relationships/hyperlink" Target="https://mem.gob.gt/que-hacemos/area-energetica/publicaciones/estadisticas/balance-energetico/" TargetMode="External"/><Relationship Id="rId302" Type="http://schemas.openxmlformats.org/officeDocument/2006/relationships/hyperlink" Target="https://mem.gob.gt/que-hacemos/area-energetica/publicaciones/estadisticas/balance-energetico/" TargetMode="External"/><Relationship Id="rId303" Type="http://schemas.openxmlformats.org/officeDocument/2006/relationships/hyperlink" Target="https://mem.gob.gt/que-hacemos/area-energetica/publicaciones/estadisticas/balance-energetico/" TargetMode="External"/><Relationship Id="rId304" Type="http://schemas.openxmlformats.org/officeDocument/2006/relationships/hyperlink" Target="https://mem.gob.gt/que-hacemos/area-energetica/publicaciones/estadisticas/balance-energetico/" TargetMode="External"/><Relationship Id="rId305" Type="http://schemas.openxmlformats.org/officeDocument/2006/relationships/hyperlink" Target="https://mem.gob.gt/que-hacemos/area-energetica/publicaciones/estadisticas/balance-energetico/" TargetMode="External"/><Relationship Id="rId306" Type="http://schemas.openxmlformats.org/officeDocument/2006/relationships/hyperlink" Target="https://mem.gob.gt/que-hacemos/area-energetica/publicaciones/estadisticas/balance-energetico/" TargetMode="External"/><Relationship Id="rId307" Type="http://schemas.openxmlformats.org/officeDocument/2006/relationships/hyperlink" Target="https://mem.gob.gt/que-hacemos/area-energetica/publicaciones/estadisticas/balance-energetico/" TargetMode="External"/><Relationship Id="rId308" Type="http://schemas.openxmlformats.org/officeDocument/2006/relationships/hyperlink" Target="https://mem.gob.gt/que-hacemos/area-energetica/publicaciones/estadisticas/balance-energetico/" TargetMode="External"/><Relationship Id="rId309" Type="http://schemas.openxmlformats.org/officeDocument/2006/relationships/hyperlink" Target="https://mem.gob.gt/que-hacemos/area-energetica/publicaciones/estadisticas/balance-energetico/" TargetMode="External"/><Relationship Id="rId310" Type="http://schemas.openxmlformats.org/officeDocument/2006/relationships/hyperlink" Target="https://mem.gob.gt/que-hacemos/area-energetica/publicaciones/estadisticas/balance-energetico/" TargetMode="External"/><Relationship Id="rId311" Type="http://schemas.openxmlformats.org/officeDocument/2006/relationships/hyperlink" Target="https://mem.gob.gt/que-hacemos/area-energetica/publicaciones/estadisticas/balance-energetico/" TargetMode="External"/><Relationship Id="rId312" Type="http://schemas.openxmlformats.org/officeDocument/2006/relationships/hyperlink" Target="https://mem.gob.gt/que-hacemos/area-energetica/publicaciones/estadisticas/balance-energetico/" TargetMode="External"/><Relationship Id="rId313" Type="http://schemas.openxmlformats.org/officeDocument/2006/relationships/hyperlink" Target="https://mem.gob.gt/que-hacemos/area-energetica/publicaciones/estadisticas/balance-energetico/" TargetMode="External"/><Relationship Id="rId314" Type="http://schemas.openxmlformats.org/officeDocument/2006/relationships/hyperlink" Target="https://mem.gob.gt/que-hacemos/area-energetica/publicaciones/estadisticas/balance-energetico/" TargetMode="External"/><Relationship Id="rId315" Type="http://schemas.openxmlformats.org/officeDocument/2006/relationships/hyperlink" Target="https://mem.gob.gt/que-hacemos/area-energetica/publicaciones/estadisticas/balance-energetico/" TargetMode="External"/><Relationship Id="rId316" Type="http://schemas.openxmlformats.org/officeDocument/2006/relationships/hyperlink" Target="https://mem.gob.gt/que-hacemos/area-energetica/publicaciones/estadisticas/balance-energetico/" TargetMode="External"/><Relationship Id="rId317" Type="http://schemas.openxmlformats.org/officeDocument/2006/relationships/hyperlink" Target="https://mem.gob.gt/que-hacemos/area-energetica/publicaciones/estadisticas/balance-energetico/" TargetMode="External"/><Relationship Id="rId318" Type="http://schemas.openxmlformats.org/officeDocument/2006/relationships/hyperlink" Target="https://mem.gob.gt/que-hacemos/area-energetica/publicaciones/estadisticas/balance-energetico/" TargetMode="External"/><Relationship Id="rId319" Type="http://schemas.openxmlformats.org/officeDocument/2006/relationships/hyperlink" Target="https://mem.gob.gt/que-hacemos/area-energetica/publicaciones/estadisticas/balance-energetico/" TargetMode="External"/><Relationship Id="rId320" Type="http://schemas.openxmlformats.org/officeDocument/2006/relationships/hyperlink" Target="https://mem.gob.gt/que-hacemos/area-energetica/publicaciones/estadisticas/balance-energetico/" TargetMode="External"/><Relationship Id="rId321" Type="http://schemas.openxmlformats.org/officeDocument/2006/relationships/hyperlink" Target="https://mem.gob.gt/que-hacemos/area-energetica/publicaciones/estadisticas/balance-energetico/" TargetMode="External"/><Relationship Id="rId322" Type="http://schemas.openxmlformats.org/officeDocument/2006/relationships/hyperlink" Target="https://mem.gob.gt/que-hacemos/area-energetica/publicaciones/estadisticas/balance-energetico/" TargetMode="External"/><Relationship Id="rId323" Type="http://schemas.openxmlformats.org/officeDocument/2006/relationships/hyperlink" Target="https://mem.gob.gt/que-hacemos/area-energetica/publicaciones/estadisticas/balance-energetico/" TargetMode="External"/><Relationship Id="rId324" Type="http://schemas.openxmlformats.org/officeDocument/2006/relationships/hyperlink" Target="https://mem.gob.gt/que-hacemos/area-energetica/publicaciones/estadisticas/balance-energetico/" TargetMode="External"/><Relationship Id="rId325" Type="http://schemas.openxmlformats.org/officeDocument/2006/relationships/hyperlink" Target="https://mem.gob.gt/que-hacemos/area-energetica/publicaciones/estadisticas/balance-energetico/" TargetMode="External"/><Relationship Id="rId326" Type="http://schemas.openxmlformats.org/officeDocument/2006/relationships/hyperlink" Target="https://mem.gob.gt/que-hacemos/area-energetica/publicaciones/estadisticas/balance-energetico/" TargetMode="External"/><Relationship Id="rId327" Type="http://schemas.openxmlformats.org/officeDocument/2006/relationships/hyperlink" Target="https://mem.gob.gt/que-hacemos/area-energetica/publicaciones/estadisticas/balance-energetico/" TargetMode="External"/><Relationship Id="rId328" Type="http://schemas.openxmlformats.org/officeDocument/2006/relationships/hyperlink" Target="https://mem.gob.gt/que-hacemos/area-energetica/publicaciones/estadisticas/balance-energetico/" TargetMode="External"/><Relationship Id="rId329" Type="http://schemas.openxmlformats.org/officeDocument/2006/relationships/hyperlink" Target="https://mem.gob.gt/que-hacemos/area-energetica/publicaciones/estadisticas/balance-energetico/" TargetMode="External"/><Relationship Id="rId330" Type="http://schemas.openxmlformats.org/officeDocument/2006/relationships/hyperlink" Target="https://mem.gob.gt/que-hacemos/area-energetica/publicaciones/estadisticas/balance-energetico/" TargetMode="External"/><Relationship Id="rId331" Type="http://schemas.openxmlformats.org/officeDocument/2006/relationships/hyperlink" Target="https://mem.gob.gt/que-hacemos/area-energetica/publicaciones/estadisticas/balance-energetico/" TargetMode="External"/><Relationship Id="rId332" Type="http://schemas.openxmlformats.org/officeDocument/2006/relationships/hyperlink" Target="https://mem.gob.gt/que-hacemos/area-energetica/publicaciones/estadisticas/balance-energetico/" TargetMode="External"/><Relationship Id="rId333" Type="http://schemas.openxmlformats.org/officeDocument/2006/relationships/hyperlink" Target="https://mem.gob.gt/que-hacemos/area-energetica/publicaciones/estadisticas/balance-energetico/" TargetMode="External"/><Relationship Id="rId334" Type="http://schemas.openxmlformats.org/officeDocument/2006/relationships/hyperlink" Target="https://mem.gob.gt/que-hacemos/area-energetica/publicaciones/estadisticas/balance-energetico/" TargetMode="External"/><Relationship Id="rId335" Type="http://schemas.openxmlformats.org/officeDocument/2006/relationships/hyperlink" Target="https://mem.gob.gt/que-hacemos/area-energetica/publicaciones/estadisticas/balance-energetico/" TargetMode="External"/><Relationship Id="rId336" Type="http://schemas.openxmlformats.org/officeDocument/2006/relationships/hyperlink" Target="https://mem.gob.gt/que-hacemos/area-energetica/publicaciones/estadisticas/balance-energetico/" TargetMode="External"/><Relationship Id="rId337" Type="http://schemas.openxmlformats.org/officeDocument/2006/relationships/hyperlink" Target="https://mem.gob.gt/que-hacemos/area-energetica/publicaciones/estadisticas/balance-energetico/" TargetMode="External"/><Relationship Id="rId338" Type="http://schemas.openxmlformats.org/officeDocument/2006/relationships/hyperlink" Target="https://mem.gob.gt/que-hacemos/area-energetica/publicaciones/estadisticas/balance-energetico/" TargetMode="External"/><Relationship Id="rId339" Type="http://schemas.openxmlformats.org/officeDocument/2006/relationships/hyperlink" Target="https://mem.gob.gt/que-hacemos/area-energetica/publicaciones/estadisticas/balance-energetico/" TargetMode="External"/><Relationship Id="rId340" Type="http://schemas.openxmlformats.org/officeDocument/2006/relationships/hyperlink" Target="https://mem.gob.gt/que-hacemos/area-energetica/publicaciones/estadisticas/balance-energetico/" TargetMode="External"/><Relationship Id="rId341" Type="http://schemas.openxmlformats.org/officeDocument/2006/relationships/hyperlink" Target="https://mem.gob.gt/que-hacemos/area-energetica/publicaciones/estadisticas/balance-energetico/" TargetMode="External"/><Relationship Id="rId342" Type="http://schemas.openxmlformats.org/officeDocument/2006/relationships/hyperlink" Target="https://mem.gob.gt/que-hacemos/area-energetica/publicaciones/estadisticas/balance-energetico/" TargetMode="External"/><Relationship Id="rId343" Type="http://schemas.openxmlformats.org/officeDocument/2006/relationships/hyperlink" Target="https://mem.gob.gt/que-hacemos/area-energetica/publicaciones/estadisticas/balance-energetico/" TargetMode="External"/><Relationship Id="rId344" Type="http://schemas.openxmlformats.org/officeDocument/2006/relationships/hyperlink" Target="https://mem.gob.gt/que-hacemos/area-energetica/publicaciones/estadisticas/balance-energetico/" TargetMode="External"/><Relationship Id="rId345" Type="http://schemas.openxmlformats.org/officeDocument/2006/relationships/hyperlink" Target="https://mem.gob.gt/que-hacemos/area-energetica/publicaciones/estadisticas/balance-energetico/" TargetMode="External"/><Relationship Id="rId346" Type="http://schemas.openxmlformats.org/officeDocument/2006/relationships/hyperlink" Target="https://mem.gob.gt/que-hacemos/area-energetica/publicaciones/estadisticas/balance-energetico/" TargetMode="External"/><Relationship Id="rId347" Type="http://schemas.openxmlformats.org/officeDocument/2006/relationships/hyperlink" Target="https://mem.gob.gt/que-hacemos/area-energetica/publicaciones/estadisticas/balance-energetico/" TargetMode="External"/><Relationship Id="rId348" Type="http://schemas.openxmlformats.org/officeDocument/2006/relationships/hyperlink" Target="https://mem.gob.gt/que-hacemos/area-energetica/publicaciones/estadisticas/balance-energetico/" TargetMode="External"/><Relationship Id="rId349" Type="http://schemas.openxmlformats.org/officeDocument/2006/relationships/hyperlink" Target="https://mem.gob.gt/que-hacemos/area-energetica/publicaciones/estadisticas/balance-energetico/" TargetMode="External"/><Relationship Id="rId350" Type="http://schemas.openxmlformats.org/officeDocument/2006/relationships/hyperlink" Target="https://mem.gob.gt/que-hacemos/area-energetica/publicaciones/estadisticas/balance-energetico/" TargetMode="External"/><Relationship Id="rId351" Type="http://schemas.openxmlformats.org/officeDocument/2006/relationships/hyperlink" Target="https://mem.gob.gt/que-hacemos/area-energetica/publicaciones/estadisticas/balance-energetico/" TargetMode="External"/><Relationship Id="rId352" Type="http://schemas.openxmlformats.org/officeDocument/2006/relationships/hyperlink" Target="https://mem.gob.gt/que-hacemos/area-energetica/publicaciones/estadisticas/balance-energetico/" TargetMode="External"/><Relationship Id="rId353" Type="http://schemas.openxmlformats.org/officeDocument/2006/relationships/hyperlink" Target="https://mem.gob.gt/que-hacemos/area-energetica/publicaciones/estadisticas/balance-energetico/" TargetMode="External"/><Relationship Id="rId354" Type="http://schemas.openxmlformats.org/officeDocument/2006/relationships/hyperlink" Target="https://mem.gob.gt/que-hacemos/area-energetica/publicaciones/estadisticas/balance-energetico/" TargetMode="External"/><Relationship Id="rId355" Type="http://schemas.openxmlformats.org/officeDocument/2006/relationships/hyperlink" Target="https://mem.gob.gt/que-hacemos/area-energetica/publicaciones/estadisticas/balance-energetico/" TargetMode="External"/><Relationship Id="rId356" Type="http://schemas.openxmlformats.org/officeDocument/2006/relationships/hyperlink" Target="https://mem.gob.gt/que-hacemos/area-energetica/publicaciones/estadisticas/balance-energetico/" TargetMode="External"/><Relationship Id="rId357" Type="http://schemas.openxmlformats.org/officeDocument/2006/relationships/hyperlink" Target="https://mem.gob.gt/que-hacemos/area-energetica/publicaciones/estadisticas/balance-energetico/" TargetMode="External"/><Relationship Id="rId358" Type="http://schemas.openxmlformats.org/officeDocument/2006/relationships/hyperlink" Target="https://mem.gob.gt/que-hacemos/area-energetica/publicaciones/estadisticas/balance-energetico/" TargetMode="External"/><Relationship Id="rId359" Type="http://schemas.openxmlformats.org/officeDocument/2006/relationships/hyperlink" Target="https://mem.gob.gt/que-hacemos/area-energetica/publicaciones/estadisticas/balance-energetico/" TargetMode="External"/><Relationship Id="rId360" Type="http://schemas.openxmlformats.org/officeDocument/2006/relationships/hyperlink" Target="https://mem.gob.gt/que-hacemos/area-energetica/publicaciones/estadisticas/balance-energetico/" TargetMode="External"/><Relationship Id="rId361" Type="http://schemas.openxmlformats.org/officeDocument/2006/relationships/hyperlink" Target="https://mem.gob.gt/que-hacemos/area-energetica/publicaciones/estadisticas/balance-energetico/" TargetMode="External"/><Relationship Id="rId362" Type="http://schemas.openxmlformats.org/officeDocument/2006/relationships/hyperlink" Target="https://mem.gob.gt/que-hacemos/area-energetica/publicaciones/estadisticas/balance-energetico/" TargetMode="External"/><Relationship Id="rId363" Type="http://schemas.openxmlformats.org/officeDocument/2006/relationships/hyperlink" Target="https://mem.gob.gt/que-hacemos/area-energetica/publicaciones/estadisticas/balance-energetico/" TargetMode="External"/><Relationship Id="rId364" Type="http://schemas.openxmlformats.org/officeDocument/2006/relationships/hyperlink" Target="https://mem.gob.gt/que-hacemos/area-energetica/publicaciones/estadisticas/balance-energetico/" TargetMode="External"/><Relationship Id="rId365" Type="http://schemas.openxmlformats.org/officeDocument/2006/relationships/hyperlink" Target="https://mem.gob.gt/que-hacemos/area-energetica/publicaciones/estadisticas/balance-energetico/" TargetMode="External"/><Relationship Id="rId366" Type="http://schemas.openxmlformats.org/officeDocument/2006/relationships/hyperlink" Target="https://mem.gob.gt/que-hacemos/area-energetica/publicaciones/estadisticas/balance-energetico/" TargetMode="External"/><Relationship Id="rId367" Type="http://schemas.openxmlformats.org/officeDocument/2006/relationships/hyperlink" Target="https://mem.gob.gt/que-hacemos/area-energetica/publicaciones/estadisticas/balance-energetico/" TargetMode="External"/><Relationship Id="rId368" Type="http://schemas.openxmlformats.org/officeDocument/2006/relationships/hyperlink" Target="https://mem.gob.gt/que-hacemos/area-energetica/publicaciones/estadisticas/balance-energetico/" TargetMode="External"/><Relationship Id="rId369" Type="http://schemas.openxmlformats.org/officeDocument/2006/relationships/hyperlink" Target="https://mem.gob.gt/que-hacemos/area-energetica/publicaciones/estadisticas/balance-energetico/" TargetMode="External"/><Relationship Id="rId370" Type="http://schemas.openxmlformats.org/officeDocument/2006/relationships/hyperlink" Target="https://mem.gob.gt/que-hacemos/area-energetica/publicaciones/estadisticas/balance-energetico/" TargetMode="External"/><Relationship Id="rId371" Type="http://schemas.openxmlformats.org/officeDocument/2006/relationships/hyperlink" Target="https://mem.gob.gt/que-hacemos/area-energetica/publicaciones/estadisticas/balance-energetico/" TargetMode="External"/><Relationship Id="rId372" Type="http://schemas.openxmlformats.org/officeDocument/2006/relationships/hyperlink" Target="https://mem.gob.gt/que-hacemos/area-energetica/publicaciones/estadisticas/balance-energetico/" TargetMode="External"/><Relationship Id="rId373" Type="http://schemas.openxmlformats.org/officeDocument/2006/relationships/hyperlink" Target="https://mem.gob.gt/que-hacemos/area-energetica/publicaciones/estadisticas/balance-energetico/" TargetMode="External"/><Relationship Id="rId374" Type="http://schemas.openxmlformats.org/officeDocument/2006/relationships/hyperlink" Target="https://mem.gob.gt/que-hacemos/area-energetica/publicaciones/estadisticas/balance-energetico/" TargetMode="External"/><Relationship Id="rId375" Type="http://schemas.openxmlformats.org/officeDocument/2006/relationships/hyperlink" Target="https://mem.gob.gt/que-hacemos/area-energetica/publicaciones/estadisticas/balance-energetico/" TargetMode="External"/><Relationship Id="rId376" Type="http://schemas.openxmlformats.org/officeDocument/2006/relationships/hyperlink" Target="https://mem.gob.gt/que-hacemos/area-energetica/publicaciones/estadisticas/balance-energetico/" TargetMode="External"/><Relationship Id="rId377" Type="http://schemas.openxmlformats.org/officeDocument/2006/relationships/hyperlink" Target="https://mem.gob.gt/que-hacemos/area-energetica/publicaciones/estadisticas/balance-energetico/" TargetMode="External"/><Relationship Id="rId378" Type="http://schemas.openxmlformats.org/officeDocument/2006/relationships/hyperlink" Target="https://mem.gob.gt/que-hacemos/area-energetica/publicaciones/estadisticas/balance-energetico/" TargetMode="External"/><Relationship Id="rId379" Type="http://schemas.openxmlformats.org/officeDocument/2006/relationships/hyperlink" Target="https://mem.gob.gt/que-hacemos/area-energetica/publicaciones/estadisticas/balance-energetico/" TargetMode="External"/><Relationship Id="rId380" Type="http://schemas.openxmlformats.org/officeDocument/2006/relationships/hyperlink" Target="https://mem.gob.gt/que-hacemos/area-energetica/publicaciones/estadisticas/balance-energetico/" TargetMode="External"/><Relationship Id="rId381" Type="http://schemas.openxmlformats.org/officeDocument/2006/relationships/hyperlink" Target="https://mem.gob.gt/que-hacemos/area-energetica/publicaciones/estadisticas/balance-energetico/" TargetMode="External"/><Relationship Id="rId382" Type="http://schemas.openxmlformats.org/officeDocument/2006/relationships/hyperlink" Target="https://mem.gob.gt/que-hacemos/area-energetica/publicaciones/estadisticas/balance-energetico/" TargetMode="External"/><Relationship Id="rId383" Type="http://schemas.openxmlformats.org/officeDocument/2006/relationships/hyperlink" Target="https://mem.gob.gt/que-hacemos/area-energetica/publicaciones/estadisticas/balance-energetico/" TargetMode="External"/><Relationship Id="rId384" Type="http://schemas.openxmlformats.org/officeDocument/2006/relationships/hyperlink" Target="https://mem.gob.gt/que-hacemos/area-energetica/publicaciones/estadisticas/balance-energetico/" TargetMode="External"/><Relationship Id="rId385" Type="http://schemas.openxmlformats.org/officeDocument/2006/relationships/hyperlink" Target="https://mem.gob.gt/que-hacemos/area-energetica/publicaciones/estadisticas/balance-energetico/" TargetMode="External"/><Relationship Id="rId386" Type="http://schemas.openxmlformats.org/officeDocument/2006/relationships/hyperlink" Target="https://mem.gob.gt/que-hacemos/area-energetica/publicaciones/estadisticas/balance-energetico/" TargetMode="External"/><Relationship Id="rId387" Type="http://schemas.openxmlformats.org/officeDocument/2006/relationships/hyperlink" Target="https://mem.gob.gt/que-hacemos/area-energetica/publicaciones/estadisticas/balance-energetico/" TargetMode="External"/><Relationship Id="rId388" Type="http://schemas.openxmlformats.org/officeDocument/2006/relationships/hyperlink" Target="https://mem.gob.gt/que-hacemos/area-energetica/publicaciones/estadisticas/balance-energetico/" TargetMode="External"/><Relationship Id="rId389" Type="http://schemas.openxmlformats.org/officeDocument/2006/relationships/hyperlink" Target="https://mem.gob.gt/que-hacemos/area-energetica/publicaciones/estadisticas/balance-energetico/" TargetMode="External"/><Relationship Id="rId390" Type="http://schemas.openxmlformats.org/officeDocument/2006/relationships/hyperlink" Target="https://mem.gob.gt/que-hacemos/area-energetica/publicaciones/estadisticas/balance-energetico/" TargetMode="External"/><Relationship Id="rId391" Type="http://schemas.openxmlformats.org/officeDocument/2006/relationships/hyperlink" Target="https://mem.gob.gt/que-hacemos/area-energetica/publicaciones/estadisticas/balance-energetico/" TargetMode="External"/><Relationship Id="rId392" Type="http://schemas.openxmlformats.org/officeDocument/2006/relationships/hyperlink" Target="https://mem.gob.gt/que-hacemos/area-energetica/publicaciones/estadisticas/balance-energetico/" TargetMode="External"/><Relationship Id="rId393" Type="http://schemas.openxmlformats.org/officeDocument/2006/relationships/hyperlink" Target="https://mem.gob.gt/que-hacemos/area-energetica/publicaciones/estadisticas/balance-energetico/" TargetMode="External"/><Relationship Id="rId394" Type="http://schemas.openxmlformats.org/officeDocument/2006/relationships/hyperlink" Target="https://mem.gob.gt/que-hacemos/area-energetica/publicaciones/estadisticas/balance-energetico/" TargetMode="External"/><Relationship Id="rId395" Type="http://schemas.openxmlformats.org/officeDocument/2006/relationships/hyperlink" Target="https://mem.gob.gt/que-hacemos/area-energetica/publicaciones/estadisticas/balance-energetico/" TargetMode="External"/><Relationship Id="rId396" Type="http://schemas.openxmlformats.org/officeDocument/2006/relationships/hyperlink" Target="https://mem.gob.gt/que-hacemos/area-energetica/publicaciones/estadisticas/balance-energetico/" TargetMode="External"/><Relationship Id="rId397" Type="http://schemas.openxmlformats.org/officeDocument/2006/relationships/hyperlink" Target="https://mem.gob.gt/que-hacemos/area-energetica/publicaciones/estadisticas/balance-energetico/" TargetMode="External"/><Relationship Id="rId398" Type="http://schemas.openxmlformats.org/officeDocument/2006/relationships/hyperlink" Target="https://mem.gob.gt/que-hacemos/area-energetica/publicaciones/estadisticas/balance-energetico/" TargetMode="External"/><Relationship Id="rId399" Type="http://schemas.openxmlformats.org/officeDocument/2006/relationships/hyperlink" Target="https://mem.gob.gt/que-hacemos/area-energetica/publicaciones/estadisticas/balance-energetico/" TargetMode="External"/><Relationship Id="rId400" Type="http://schemas.openxmlformats.org/officeDocument/2006/relationships/hyperlink" Target="https://mem.gob.gt/que-hacemos/area-energetica/publicaciones/estadisticas/balance-energetico/" TargetMode="External"/><Relationship Id="rId401" Type="http://schemas.openxmlformats.org/officeDocument/2006/relationships/hyperlink" Target="https://mem.gob.gt/que-hacemos/area-energetica/publicaciones/estadisticas/balance-energetico/" TargetMode="External"/><Relationship Id="rId402" Type="http://schemas.openxmlformats.org/officeDocument/2006/relationships/hyperlink" Target="https://mem.gob.gt/que-hacemos/area-energetica/publicaciones/estadisticas/balance-energetico/" TargetMode="External"/><Relationship Id="rId403" Type="http://schemas.openxmlformats.org/officeDocument/2006/relationships/hyperlink" Target="https://mem.gob.gt/que-hacemos/area-energetica/publicaciones/estadisticas/balance-energetico/" TargetMode="External"/><Relationship Id="rId404" Type="http://schemas.openxmlformats.org/officeDocument/2006/relationships/hyperlink" Target="https://mem.gob.gt/que-hacemos/area-energetica/publicaciones/estadisticas/balance-energetico/" TargetMode="External"/><Relationship Id="rId405" Type="http://schemas.openxmlformats.org/officeDocument/2006/relationships/hyperlink" Target="https://mem.gob.gt/que-hacemos/area-energetica/publicaciones/estadisticas/balance-energetico/" TargetMode="External"/><Relationship Id="rId406" Type="http://schemas.openxmlformats.org/officeDocument/2006/relationships/hyperlink" Target="https://mem.gob.gt/que-hacemos/area-energetica/publicaciones/estadisticas/balance-energetico/" TargetMode="External"/><Relationship Id="rId407" Type="http://schemas.openxmlformats.org/officeDocument/2006/relationships/hyperlink" Target="https://mem.gob.gt/que-hacemos/area-energetica/publicaciones/estadisticas/balance-energetico/" TargetMode="External"/><Relationship Id="rId408" Type="http://schemas.openxmlformats.org/officeDocument/2006/relationships/hyperlink" Target="https://mem.gob.gt/que-hacemos/area-energetica/publicaciones/estadisticas/balance-energetico/" TargetMode="External"/><Relationship Id="rId409" Type="http://schemas.openxmlformats.org/officeDocument/2006/relationships/hyperlink" Target="https://mem.gob.gt/que-hacemos/area-energetica/publicaciones/estadisticas/balance-energetico/" TargetMode="External"/><Relationship Id="rId410" Type="http://schemas.openxmlformats.org/officeDocument/2006/relationships/hyperlink" Target="https://mem.gob.gt/que-hacemos/area-energetica/publicaciones/estadisticas/balance-energetico/" TargetMode="External"/><Relationship Id="rId411" Type="http://schemas.openxmlformats.org/officeDocument/2006/relationships/hyperlink" Target="https://mem.gob.gt/que-hacemos/area-energetica/publicaciones/estadisticas/balance-energetico/" TargetMode="External"/><Relationship Id="rId412" Type="http://schemas.openxmlformats.org/officeDocument/2006/relationships/hyperlink" Target="https://mem.gob.gt/que-hacemos/area-energetica/publicaciones/estadisticas/balance-energetico/" TargetMode="External"/><Relationship Id="rId413" Type="http://schemas.openxmlformats.org/officeDocument/2006/relationships/hyperlink" Target="https://mem.gob.gt/que-hacemos/area-energetica/publicaciones/estadisticas/balance-energetico/" TargetMode="External"/><Relationship Id="rId414" Type="http://schemas.openxmlformats.org/officeDocument/2006/relationships/hyperlink" Target="https://mem.gob.gt/que-hacemos/area-energetica/publicaciones/estadisticas/balance-energetico/" TargetMode="External"/><Relationship Id="rId415" Type="http://schemas.openxmlformats.org/officeDocument/2006/relationships/hyperlink" Target="https://mem.gob.gt/que-hacemos/area-energetica/publicaciones/estadisticas/balance-energetico/" TargetMode="External"/><Relationship Id="rId416" Type="http://schemas.openxmlformats.org/officeDocument/2006/relationships/hyperlink" Target="https://mem.gob.gt/que-hacemos/area-energetica/publicaciones/estadisticas/balance-energetico/" TargetMode="External"/><Relationship Id="rId417" Type="http://schemas.openxmlformats.org/officeDocument/2006/relationships/hyperlink" Target="https://mem.gob.gt/que-hacemos/area-energetica/publicaciones/estadisticas/balance-energetico/" TargetMode="External"/><Relationship Id="rId418" Type="http://schemas.openxmlformats.org/officeDocument/2006/relationships/hyperlink" Target="https://mem.gob.gt/que-hacemos/area-energetica/publicaciones/estadisticas/balance-energetico/" TargetMode="External"/><Relationship Id="rId419" Type="http://schemas.openxmlformats.org/officeDocument/2006/relationships/hyperlink" Target="https://mem.gob.gt/que-hacemos/area-energetica/publicaciones/estadisticas/balance-energetico/" TargetMode="External"/><Relationship Id="rId420" Type="http://schemas.openxmlformats.org/officeDocument/2006/relationships/hyperlink" Target="https://mem.gob.gt/que-hacemos/area-energetica/publicaciones/estadisticas/balance-energetico/" TargetMode="External"/><Relationship Id="rId421" Type="http://schemas.openxmlformats.org/officeDocument/2006/relationships/hyperlink" Target="https://mem.gob.gt/que-hacemos/area-energetica/publicaciones/estadisticas/balance-energetico/" TargetMode="External"/><Relationship Id="rId422" Type="http://schemas.openxmlformats.org/officeDocument/2006/relationships/hyperlink" Target="https://mem.gob.gt/que-hacemos/area-energetica/publicaciones/estadisticas/balance-energetico/" TargetMode="External"/><Relationship Id="rId423" Type="http://schemas.openxmlformats.org/officeDocument/2006/relationships/hyperlink" Target="https://mem.gob.gt/que-hacemos/area-energetica/publicaciones/estadisticas/balance-energetico/" TargetMode="External"/><Relationship Id="rId424" Type="http://schemas.openxmlformats.org/officeDocument/2006/relationships/hyperlink" Target="https://mem.gob.gt/que-hacemos/area-energetica/publicaciones/estadisticas/balance-energetico/" TargetMode="External"/><Relationship Id="rId425" Type="http://schemas.openxmlformats.org/officeDocument/2006/relationships/hyperlink" Target="https://mem.gob.gt/que-hacemos/area-energetica/publicaciones/estadisticas/balance-energetico/" TargetMode="External"/><Relationship Id="rId426" Type="http://schemas.openxmlformats.org/officeDocument/2006/relationships/hyperlink" Target="https://mem.gob.gt/que-hacemos/area-energetica/publicaciones/estadisticas/balance-energetico/" TargetMode="External"/><Relationship Id="rId427" Type="http://schemas.openxmlformats.org/officeDocument/2006/relationships/hyperlink" Target="https://mem.gob.gt/que-hacemos/area-energetica/publicaciones/estadisticas/balance-energetico/" TargetMode="External"/><Relationship Id="rId428" Type="http://schemas.openxmlformats.org/officeDocument/2006/relationships/hyperlink" Target="https://mem.gob.gt/que-hacemos/area-energetica/publicaciones/estadisticas/balance-energetico/" TargetMode="External"/><Relationship Id="rId429" Type="http://schemas.openxmlformats.org/officeDocument/2006/relationships/hyperlink" Target="https://mem.gob.gt/que-hacemos/area-energetica/publicaciones/estadisticas/balance-energetico/" TargetMode="External"/><Relationship Id="rId430" Type="http://schemas.openxmlformats.org/officeDocument/2006/relationships/hyperlink" Target="https://mem.gob.gt/que-hacemos/area-energetica/publicaciones/estadisticas/balance-energetico/" TargetMode="External"/><Relationship Id="rId431" Type="http://schemas.openxmlformats.org/officeDocument/2006/relationships/hyperlink" Target="https://mem.gob.gt/que-hacemos/area-energetica/publicaciones/estadisticas/balance-energetico/" TargetMode="External"/><Relationship Id="rId432" Type="http://schemas.openxmlformats.org/officeDocument/2006/relationships/hyperlink" Target="https://mem.gob.gt/que-hacemos/area-energetica/publicaciones/estadisticas/balance-energetico/" TargetMode="External"/><Relationship Id="rId433" Type="http://schemas.openxmlformats.org/officeDocument/2006/relationships/hyperlink" Target="https://mem.gob.gt/que-hacemos/area-energetica/publicaciones/estadisticas/balance-energetico/" TargetMode="External"/><Relationship Id="rId434" Type="http://schemas.openxmlformats.org/officeDocument/2006/relationships/hyperlink" Target="https://mem.gob.gt/que-hacemos/area-energetica/publicaciones/estadisticas/balance-energetico/" TargetMode="External"/><Relationship Id="rId435" Type="http://schemas.openxmlformats.org/officeDocument/2006/relationships/hyperlink" Target="https://mem.gob.gt/que-hacemos/area-energetica/publicaciones/estadisticas/balance-energetico/" TargetMode="External"/><Relationship Id="rId436" Type="http://schemas.openxmlformats.org/officeDocument/2006/relationships/hyperlink" Target="https://mem.gob.gt/que-hacemos/area-energetica/publicaciones/estadisticas/balance-energetico/" TargetMode="External"/><Relationship Id="rId437" Type="http://schemas.openxmlformats.org/officeDocument/2006/relationships/hyperlink" Target="https://mem.gob.gt/que-hacemos/area-energetica/publicaciones/estadisticas/balance-energetico/" TargetMode="External"/><Relationship Id="rId438" Type="http://schemas.openxmlformats.org/officeDocument/2006/relationships/hyperlink" Target="https://mem.gob.gt/que-hacemos/area-energetica/publicaciones/estadisticas/balance-energetico/" TargetMode="External"/><Relationship Id="rId439" Type="http://schemas.openxmlformats.org/officeDocument/2006/relationships/hyperlink" Target="https://mem.gob.gt/que-hacemos/area-energetica/publicaciones/estadisticas/balance-energetico/" TargetMode="External"/><Relationship Id="rId440" Type="http://schemas.openxmlformats.org/officeDocument/2006/relationships/hyperlink" Target="https://mem.gob.gt/que-hacemos/area-energetica/publicaciones/estadisticas/balance-energetico/" TargetMode="External"/><Relationship Id="rId441" Type="http://schemas.openxmlformats.org/officeDocument/2006/relationships/hyperlink" Target="https://mem.gob.gt/que-hacemos/area-energetica/publicaciones/estadisticas/balance-energetico/" TargetMode="External"/><Relationship Id="rId442" Type="http://schemas.openxmlformats.org/officeDocument/2006/relationships/hyperlink" Target="https://mem.gob.gt/que-hacemos/area-energetica/publicaciones/estadisticas/balance-energetico/" TargetMode="External"/><Relationship Id="rId443" Type="http://schemas.openxmlformats.org/officeDocument/2006/relationships/hyperlink" Target="https://mem.gob.gt/que-hacemos/area-energetica/publicaciones/estadisticas/balance-energetico/" TargetMode="External"/><Relationship Id="rId444" Type="http://schemas.openxmlformats.org/officeDocument/2006/relationships/hyperlink" Target="https://mem.gob.gt/que-hacemos/area-energetica/publicaciones/estadisticas/balance-energetico/" TargetMode="External"/><Relationship Id="rId445" Type="http://schemas.openxmlformats.org/officeDocument/2006/relationships/hyperlink" Target="https://mem.gob.gt/que-hacemos/area-energetica/publicaciones/estadisticas/balance-energetico/" TargetMode="External"/><Relationship Id="rId446" Type="http://schemas.openxmlformats.org/officeDocument/2006/relationships/hyperlink" Target="https://mem.gob.gt/que-hacemos/area-energetica/publicaciones/estadisticas/balance-energetico/" TargetMode="External"/><Relationship Id="rId447" Type="http://schemas.openxmlformats.org/officeDocument/2006/relationships/hyperlink" Target="https://mem.gob.gt/que-hacemos/area-energetica/publicaciones/estadisticas/balance-energetico/" TargetMode="External"/><Relationship Id="rId448" Type="http://schemas.openxmlformats.org/officeDocument/2006/relationships/hyperlink" Target="https://mem.gob.gt/que-hacemos/area-energetica/publicaciones/estadisticas/balance-energetico/" TargetMode="External"/><Relationship Id="rId449" Type="http://schemas.openxmlformats.org/officeDocument/2006/relationships/hyperlink" Target="https://mem.gob.gt/que-hacemos/area-energetica/publicaciones/estadisticas/balance-energetico/" TargetMode="External"/><Relationship Id="rId450" Type="http://schemas.openxmlformats.org/officeDocument/2006/relationships/hyperlink" Target="https://mem.gob.gt/que-hacemos/area-energetica/publicaciones/estadisticas/balance-energetico/" TargetMode="External"/><Relationship Id="rId451" Type="http://schemas.openxmlformats.org/officeDocument/2006/relationships/hyperlink" Target="https://mem.gob.gt/que-hacemos/area-energetica/publicaciones/estadisticas/balance-energetico/" TargetMode="External"/><Relationship Id="rId452" Type="http://schemas.openxmlformats.org/officeDocument/2006/relationships/hyperlink" Target="https://mem.gob.gt/que-hacemos/area-energetica/publicaciones/estadisticas/balance-energetico/" TargetMode="External"/><Relationship Id="rId453" Type="http://schemas.openxmlformats.org/officeDocument/2006/relationships/hyperlink" Target="https://mem.gob.gt/que-hacemos/area-energetica/publicaciones/estadisticas/balance-energetico/" TargetMode="External"/><Relationship Id="rId454" Type="http://schemas.openxmlformats.org/officeDocument/2006/relationships/hyperlink" Target="https://mem.gob.gt/que-hacemos/area-energetica/publicaciones/estadisticas/balance-energetico/" TargetMode="External"/><Relationship Id="rId455" Type="http://schemas.openxmlformats.org/officeDocument/2006/relationships/hyperlink" Target="https://mem.gob.gt/que-hacemos/area-energetica/publicaciones/estadisticas/balance-energetico/" TargetMode="External"/><Relationship Id="rId456" Type="http://schemas.openxmlformats.org/officeDocument/2006/relationships/hyperlink" Target="https://mem.gob.gt/que-hacemos/area-energetica/publicaciones/estadisticas/balance-energetico/" TargetMode="External"/><Relationship Id="rId457" Type="http://schemas.openxmlformats.org/officeDocument/2006/relationships/hyperlink" Target="https://mem.gob.gt/que-hacemos/area-energetica/publicaciones/estadisticas/balance-energetico/" TargetMode="External"/><Relationship Id="rId458" Type="http://schemas.openxmlformats.org/officeDocument/2006/relationships/hyperlink" Target="https://mem.gob.gt/que-hacemos/area-energetica/publicaciones/estadisticas/balance-energetico/" TargetMode="External"/><Relationship Id="rId459" Type="http://schemas.openxmlformats.org/officeDocument/2006/relationships/hyperlink" Target="https://mem.gob.gt/que-hacemos/area-energetica/publicaciones/estadisticas/balance-energetico/" TargetMode="External"/><Relationship Id="rId460" Type="http://schemas.openxmlformats.org/officeDocument/2006/relationships/hyperlink" Target="https://mem.gob.gt/que-hacemos/area-energetica/publicaciones/estadisticas/balance-energetico/" TargetMode="External"/><Relationship Id="rId461" Type="http://schemas.openxmlformats.org/officeDocument/2006/relationships/hyperlink" Target="https://mem.gob.gt/que-hacemos/area-energetica/publicaciones/estadisticas/balance-energetico/" TargetMode="External"/><Relationship Id="rId462" Type="http://schemas.openxmlformats.org/officeDocument/2006/relationships/hyperlink" Target="https://mem.gob.gt/que-hacemos/area-energetica/publicaciones/estadisticas/balance-energetico/" TargetMode="External"/><Relationship Id="rId463" Type="http://schemas.openxmlformats.org/officeDocument/2006/relationships/hyperlink" Target="https://mem.gob.gt/que-hacemos/area-energetica/publicaciones/estadisticas/balance-energetico/" TargetMode="External"/><Relationship Id="rId464" Type="http://schemas.openxmlformats.org/officeDocument/2006/relationships/hyperlink" Target="https://mem.gob.gt/que-hacemos/area-energetica/publicaciones/estadisticas/balance-energetico/" TargetMode="External"/><Relationship Id="rId465" Type="http://schemas.openxmlformats.org/officeDocument/2006/relationships/hyperlink" Target="https://mem.gob.gt/que-hacemos/area-energetica/publicaciones/estadisticas/balance-energetico/" TargetMode="External"/><Relationship Id="rId466" Type="http://schemas.openxmlformats.org/officeDocument/2006/relationships/hyperlink" Target="https://mem.gob.gt/que-hacemos/area-energetica/publicaciones/estadisticas/balance-energetico/" TargetMode="External"/><Relationship Id="rId467" Type="http://schemas.openxmlformats.org/officeDocument/2006/relationships/hyperlink" Target="https://mem.gob.gt/que-hacemos/area-energetica/publicaciones/estadisticas/balance-energetico/" TargetMode="External"/><Relationship Id="rId468" Type="http://schemas.openxmlformats.org/officeDocument/2006/relationships/hyperlink" Target="https://mem.gob.gt/que-hacemos/area-energetica/publicaciones/estadisticas/balance-energetico/" TargetMode="External"/><Relationship Id="rId469" Type="http://schemas.openxmlformats.org/officeDocument/2006/relationships/hyperlink" Target="https://mem.gob.gt/que-hacemos/area-energetica/publicaciones/estadisticas/balance-energetico/" TargetMode="External"/><Relationship Id="rId470" Type="http://schemas.openxmlformats.org/officeDocument/2006/relationships/hyperlink" Target="https://mem.gob.gt/que-hacemos/area-energetica/publicaciones/estadisticas/balance-energetico/" TargetMode="External"/><Relationship Id="rId471" Type="http://schemas.openxmlformats.org/officeDocument/2006/relationships/hyperlink" Target="https://mem.gob.gt/que-hacemos/area-energetica/publicaciones/estadisticas/balance-energetico/" TargetMode="External"/><Relationship Id="rId472" Type="http://schemas.openxmlformats.org/officeDocument/2006/relationships/hyperlink" Target="https://mem.gob.gt/que-hacemos/area-energetica/publicaciones/estadisticas/balance-energetico/" TargetMode="External"/><Relationship Id="rId473" Type="http://schemas.openxmlformats.org/officeDocument/2006/relationships/hyperlink" Target="https://mem.gob.gt/que-hacemos/area-energetica/publicaciones/estadisticas/balance-energetico/" TargetMode="External"/><Relationship Id="rId474" Type="http://schemas.openxmlformats.org/officeDocument/2006/relationships/hyperlink" Target="https://mem.gob.gt/que-hacemos/area-energetica/publicaciones/estadisticas/balance-energetico/" TargetMode="External"/><Relationship Id="rId475" Type="http://schemas.openxmlformats.org/officeDocument/2006/relationships/hyperlink" Target="https://mem.gob.gt/que-hacemos/area-energetica/publicaciones/estadisticas/balance-energetico/" TargetMode="External"/><Relationship Id="rId476" Type="http://schemas.openxmlformats.org/officeDocument/2006/relationships/hyperlink" Target="https://mem.gob.gt/que-hacemos/area-energetica/publicaciones/estadisticas/balance-energetico/" TargetMode="External"/><Relationship Id="rId477" Type="http://schemas.openxmlformats.org/officeDocument/2006/relationships/hyperlink" Target="https://mem.gob.gt/que-hacemos/area-energetica/publicaciones/estadisticas/balance-energetico/" TargetMode="External"/><Relationship Id="rId478" Type="http://schemas.openxmlformats.org/officeDocument/2006/relationships/hyperlink" Target="https://mem.gob.gt/que-hacemos/area-energetica/publicaciones/estadisticas/balance-energetico/" TargetMode="External"/><Relationship Id="rId479" Type="http://schemas.openxmlformats.org/officeDocument/2006/relationships/hyperlink" Target="https://mem.gob.gt/que-hacemos/area-energetica/publicaciones/estadisticas/balance-energetico/" TargetMode="External"/><Relationship Id="rId480" Type="http://schemas.openxmlformats.org/officeDocument/2006/relationships/hyperlink" Target="https://mem.gob.gt/que-hacemos/area-energetica/publicaciones/estadisticas/balance-energetico/" TargetMode="External"/><Relationship Id="rId481" Type="http://schemas.openxmlformats.org/officeDocument/2006/relationships/hyperlink" Target="https://mem.gob.gt/que-hacemos/area-energetica/publicaciones/estadisticas/balance-energetico/" TargetMode="External"/><Relationship Id="rId482" Type="http://schemas.openxmlformats.org/officeDocument/2006/relationships/hyperlink" Target="https://mem.gob.gt/que-hacemos/area-energetica/publicaciones/estadisticas/balance-energetico/" TargetMode="External"/><Relationship Id="rId483" Type="http://schemas.openxmlformats.org/officeDocument/2006/relationships/hyperlink" Target="https://mem.gob.gt/que-hacemos/area-energetica/publicaciones/estadisticas/balance-energetico/" TargetMode="External"/><Relationship Id="rId484" Type="http://schemas.openxmlformats.org/officeDocument/2006/relationships/hyperlink" Target="https://mem.gob.gt/que-hacemos/area-energetica/publicaciones/estadisticas/balance-energetico/" TargetMode="External"/><Relationship Id="rId485" Type="http://schemas.openxmlformats.org/officeDocument/2006/relationships/hyperlink" Target="https://mem.gob.gt/que-hacemos/area-energetica/publicaciones/estadisticas/balance-energetico/" TargetMode="External"/><Relationship Id="rId486" Type="http://schemas.openxmlformats.org/officeDocument/2006/relationships/hyperlink" Target="https://mem.gob.gt/que-hacemos/area-energetica/publicaciones/estadisticas/balance-energetico/" TargetMode="External"/><Relationship Id="rId487" Type="http://schemas.openxmlformats.org/officeDocument/2006/relationships/hyperlink" Target="https://mem.gob.gt/que-hacemos/area-energetica/publicaciones/estadisticas/balance-energetico/" TargetMode="External"/><Relationship Id="rId488" Type="http://schemas.openxmlformats.org/officeDocument/2006/relationships/hyperlink" Target="https://mem.gob.gt/que-hacemos/area-energetica/publicaciones/estadisticas/balance-energetico/" TargetMode="External"/><Relationship Id="rId489" Type="http://schemas.openxmlformats.org/officeDocument/2006/relationships/hyperlink" Target="https://mem.gob.gt/que-hacemos/area-energetica/publicaciones/estadisticas/balance-energetico/" TargetMode="External"/><Relationship Id="rId490" Type="http://schemas.openxmlformats.org/officeDocument/2006/relationships/hyperlink" Target="https://mem.gob.gt/que-hacemos/area-energetica/publicaciones/estadisticas/balance-energetico/" TargetMode="External"/><Relationship Id="rId491" Type="http://schemas.openxmlformats.org/officeDocument/2006/relationships/hyperlink" Target="https://mem.gob.gt/que-hacemos/area-energetica/publicaciones/estadisticas/balance-energetico/" TargetMode="External"/><Relationship Id="rId492" Type="http://schemas.openxmlformats.org/officeDocument/2006/relationships/hyperlink" Target="https://mem.gob.gt/que-hacemos/area-energetica/publicaciones/estadisticas/balance-energetico/" TargetMode="External"/><Relationship Id="rId493" Type="http://schemas.openxmlformats.org/officeDocument/2006/relationships/hyperlink" Target="https://mem.gob.gt/que-hacemos/area-energetica/publicaciones/estadisticas/balance-energetico/" TargetMode="External"/><Relationship Id="rId494" Type="http://schemas.openxmlformats.org/officeDocument/2006/relationships/hyperlink" Target="https://mem.gob.gt/que-hacemos/area-energetica/publicaciones/estadisticas/balance-energetico/" TargetMode="External"/><Relationship Id="rId495" Type="http://schemas.openxmlformats.org/officeDocument/2006/relationships/hyperlink" Target="https://mem.gob.gt/que-hacemos/area-energetica/publicaciones/estadisticas/balance-energetico/" TargetMode="External"/><Relationship Id="rId496" Type="http://schemas.openxmlformats.org/officeDocument/2006/relationships/hyperlink" Target="https://mem.gob.gt/que-hacemos/area-energetica/publicaciones/estadisticas/balance-energetico/" TargetMode="External"/><Relationship Id="rId497" Type="http://schemas.openxmlformats.org/officeDocument/2006/relationships/hyperlink" Target="https://mem.gob.gt/que-hacemos/area-energetica/publicaciones/estadisticas/balance-energetico/" TargetMode="External"/><Relationship Id="rId498" Type="http://schemas.openxmlformats.org/officeDocument/2006/relationships/hyperlink" Target="https://mem.gob.gt/que-hacemos/area-energetica/publicaciones/estadisticas/balance-energetico/" TargetMode="External"/><Relationship Id="rId499" Type="http://schemas.openxmlformats.org/officeDocument/2006/relationships/hyperlink" Target="https://mem.gob.gt/que-hacemos/area-energetica/publicaciones/estadisticas/balance-energetico/" TargetMode="External"/><Relationship Id="rId500" Type="http://schemas.openxmlformats.org/officeDocument/2006/relationships/hyperlink" Target="https://mem.gob.gt/que-hacemos/area-energetica/publicaciones/estadisticas/balance-energetico/" TargetMode="External"/><Relationship Id="rId501" Type="http://schemas.openxmlformats.org/officeDocument/2006/relationships/hyperlink" Target="https://mem.gob.gt/que-hacemos/area-energetica/publicaciones/estadisticas/balance-energetico/" TargetMode="External"/><Relationship Id="rId502" Type="http://schemas.openxmlformats.org/officeDocument/2006/relationships/hyperlink" Target="https://mem.gob.gt/que-hacemos/area-energetica/publicaciones/estadisticas/balance-energetico/" TargetMode="External"/><Relationship Id="rId503" Type="http://schemas.openxmlformats.org/officeDocument/2006/relationships/hyperlink" Target="https://mem.gob.gt/que-hacemos/area-energetica/publicaciones/estadisticas/balance-energetico/" TargetMode="External"/><Relationship Id="rId504" Type="http://schemas.openxmlformats.org/officeDocument/2006/relationships/hyperlink" Target="https://mem.gob.gt/que-hacemos/area-energetica/publicaciones/estadisticas/balance-energetico/" TargetMode="External"/><Relationship Id="rId505" Type="http://schemas.openxmlformats.org/officeDocument/2006/relationships/hyperlink" Target="https://mem.gob.gt/que-hacemos/area-energetica/publicaciones/estadisticas/balance-energetico/" TargetMode="External"/><Relationship Id="rId506" Type="http://schemas.openxmlformats.org/officeDocument/2006/relationships/hyperlink" Target="https://mem.gob.gt/que-hacemos/area-energetica/publicaciones/estadisticas/balance-energetico/" TargetMode="External"/><Relationship Id="rId507" Type="http://schemas.openxmlformats.org/officeDocument/2006/relationships/hyperlink" Target="https://mem.gob.gt/que-hacemos/area-energetica/publicaciones/estadisticas/balance-energetico/" TargetMode="External"/><Relationship Id="rId508" Type="http://schemas.openxmlformats.org/officeDocument/2006/relationships/hyperlink" Target="https://mem.gob.gt/que-hacemos/area-energetica/publicaciones/estadisticas/balance-energetico/" TargetMode="External"/><Relationship Id="rId509" Type="http://schemas.openxmlformats.org/officeDocument/2006/relationships/hyperlink" Target="https://mem.gob.gt/que-hacemos/area-energetica/publicaciones/estadisticas/balance-energetico/" TargetMode="External"/><Relationship Id="rId510" Type="http://schemas.openxmlformats.org/officeDocument/2006/relationships/hyperlink" Target="https://mem.gob.gt/que-hacemos/area-energetica/publicaciones/estadisticas/balance-energetico/" TargetMode="External"/><Relationship Id="rId511" Type="http://schemas.openxmlformats.org/officeDocument/2006/relationships/hyperlink" Target="https://mem.gob.gt/que-hacemos/area-energetica/publicaciones/estadisticas/balance-energetico/" TargetMode="External"/><Relationship Id="rId512" Type="http://schemas.openxmlformats.org/officeDocument/2006/relationships/hyperlink" Target="https://mem.gob.gt/que-hacemos/area-energetica/publicaciones/estadisticas/balance-energetico/" TargetMode="External"/><Relationship Id="rId513" Type="http://schemas.openxmlformats.org/officeDocument/2006/relationships/hyperlink" Target="https://mem.gob.gt/que-hacemos/area-energetica/publicaciones/estadisticas/balance-energetico/" TargetMode="External"/><Relationship Id="rId514" Type="http://schemas.openxmlformats.org/officeDocument/2006/relationships/hyperlink" Target="https://mem.gob.gt/que-hacemos/area-energetica/publicaciones/estadisticas/balance-energetico/" TargetMode="External"/><Relationship Id="rId515" Type="http://schemas.openxmlformats.org/officeDocument/2006/relationships/hyperlink" Target="https://mem.gob.gt/que-hacemos/area-energetica/publicaciones/estadisticas/balance-energetico/" TargetMode="External"/><Relationship Id="rId516" Type="http://schemas.openxmlformats.org/officeDocument/2006/relationships/hyperlink" Target="https://mem.gob.gt/que-hacemos/area-energetica/publicaciones/estadisticas/balance-energetico/" TargetMode="External"/><Relationship Id="rId517" Type="http://schemas.openxmlformats.org/officeDocument/2006/relationships/hyperlink" Target="https://mem.gob.gt/que-hacemos/area-energetica/publicaciones/estadisticas/balance-energetico/" TargetMode="External"/><Relationship Id="rId518" Type="http://schemas.openxmlformats.org/officeDocument/2006/relationships/hyperlink" Target="https://mem.gob.gt/que-hacemos/area-energetica/publicaciones/estadisticas/balance-energetico/" TargetMode="External"/><Relationship Id="rId519" Type="http://schemas.openxmlformats.org/officeDocument/2006/relationships/hyperlink" Target="https://mem.gob.gt/que-hacemos/area-energetica/publicaciones/estadisticas/balance-energetico/" TargetMode="External"/><Relationship Id="rId520" Type="http://schemas.openxmlformats.org/officeDocument/2006/relationships/hyperlink" Target="https://mem.gob.gt/que-hacemos/area-energetica/publicaciones/estadisticas/balance-energetico/" TargetMode="External"/><Relationship Id="rId521" Type="http://schemas.openxmlformats.org/officeDocument/2006/relationships/hyperlink" Target="https://mem.gob.gt/que-hacemos/area-energetica/publicaciones/estadisticas/balance-energetico/" TargetMode="External"/><Relationship Id="rId522" Type="http://schemas.openxmlformats.org/officeDocument/2006/relationships/hyperlink" Target="https://mem.gob.gt/que-hacemos/area-energetica/publicaciones/estadisticas/balance-energetico/" TargetMode="External"/><Relationship Id="rId523" Type="http://schemas.openxmlformats.org/officeDocument/2006/relationships/hyperlink" Target="https://mem.gob.gt/que-hacemos/area-energetica/publicaciones/estadisticas/balance-energetico/" TargetMode="External"/><Relationship Id="rId524" Type="http://schemas.openxmlformats.org/officeDocument/2006/relationships/hyperlink" Target="https://mem.gob.gt/que-hacemos/area-energetica/publicaciones/estadisticas/balance-energetico/" TargetMode="External"/><Relationship Id="rId525" Type="http://schemas.openxmlformats.org/officeDocument/2006/relationships/hyperlink" Target="https://mem.gob.gt/que-hacemos/area-energetica/publicaciones/estadisticas/balance-energetico/" TargetMode="External"/><Relationship Id="rId526" Type="http://schemas.openxmlformats.org/officeDocument/2006/relationships/hyperlink" Target="https://mem.gob.gt/que-hacemos/area-energetica/publicaciones/estadisticas/balance-energetico/" TargetMode="External"/><Relationship Id="rId527" Type="http://schemas.openxmlformats.org/officeDocument/2006/relationships/hyperlink" Target="https://mem.gob.gt/que-hacemos/area-energetica/publicaciones/estadisticas/balance-energetico/" TargetMode="External"/><Relationship Id="rId528" Type="http://schemas.openxmlformats.org/officeDocument/2006/relationships/hyperlink" Target="https://mem.gob.gt/que-hacemos/area-energetica/publicaciones/estadisticas/balance-energetico/" TargetMode="External"/><Relationship Id="rId529" Type="http://schemas.openxmlformats.org/officeDocument/2006/relationships/hyperlink" Target="https://mem.gob.gt/que-hacemos/area-energetica/publicaciones/estadisticas/balance-energetico/" TargetMode="External"/><Relationship Id="rId530" Type="http://schemas.openxmlformats.org/officeDocument/2006/relationships/hyperlink" Target="https://mem.gob.gt/que-hacemos/area-energetica/publicaciones/estadisticas/balance-energetico/" TargetMode="External"/><Relationship Id="rId531" Type="http://schemas.openxmlformats.org/officeDocument/2006/relationships/hyperlink" Target="https://mem.gob.gt/que-hacemos/area-energetica/publicaciones/estadisticas/balance-energetico/" TargetMode="External"/><Relationship Id="rId532" Type="http://schemas.openxmlformats.org/officeDocument/2006/relationships/hyperlink" Target="https://mem.gob.gt/que-hacemos/area-energetica/publicaciones/estadisticas/balance-energetico/" TargetMode="External"/><Relationship Id="rId533" Type="http://schemas.openxmlformats.org/officeDocument/2006/relationships/hyperlink" Target="https://mem.gob.gt/que-hacemos/area-energetica/publicaciones/estadisticas/balance-energetico/" TargetMode="External"/><Relationship Id="rId534" Type="http://schemas.openxmlformats.org/officeDocument/2006/relationships/hyperlink" Target="https://mem.gob.gt/que-hacemos/area-energetica/publicaciones/estadisticas/balance-energetico/" TargetMode="External"/><Relationship Id="rId535" Type="http://schemas.openxmlformats.org/officeDocument/2006/relationships/hyperlink" Target="https://mem.gob.gt/que-hacemos/area-energetica/publicaciones/estadisticas/balance-energetico/" TargetMode="External"/><Relationship Id="rId536" Type="http://schemas.openxmlformats.org/officeDocument/2006/relationships/hyperlink" Target="https://mem.gob.gt/que-hacemos/area-energetica/publicaciones/estadisticas/balance-energetico/" TargetMode="External"/><Relationship Id="rId537" Type="http://schemas.openxmlformats.org/officeDocument/2006/relationships/hyperlink" Target="https://mem.gob.gt/que-hacemos/area-energetica/publicaciones/estadisticas/balance-energetico/" TargetMode="External"/><Relationship Id="rId538" Type="http://schemas.openxmlformats.org/officeDocument/2006/relationships/hyperlink" Target="https://mem.gob.gt/que-hacemos/area-energetica/publicaciones/estadisticas/balance-energetico/" TargetMode="External"/><Relationship Id="rId539" Type="http://schemas.openxmlformats.org/officeDocument/2006/relationships/hyperlink" Target="https://mem.gob.gt/que-hacemos/area-energetica/publicaciones/estadisticas/balance-energetico/" TargetMode="External"/><Relationship Id="rId540" Type="http://schemas.openxmlformats.org/officeDocument/2006/relationships/hyperlink" Target="https://mem.gob.gt/que-hacemos/area-energetica/publicaciones/estadisticas/balance-energetico/" TargetMode="External"/><Relationship Id="rId541" Type="http://schemas.openxmlformats.org/officeDocument/2006/relationships/hyperlink" Target="https://mem.gob.gt/que-hacemos/area-energetica/publicaciones/estadisticas/balance-energetico/" TargetMode="External"/><Relationship Id="rId542" Type="http://schemas.openxmlformats.org/officeDocument/2006/relationships/hyperlink" Target="https://mem.gob.gt/que-hacemos/area-energetica/publicaciones/estadisticas/balance-energetico/" TargetMode="External"/><Relationship Id="rId543" Type="http://schemas.openxmlformats.org/officeDocument/2006/relationships/hyperlink" Target="https://mem.gob.gt/que-hacemos/area-energetica/publicaciones/estadisticas/balance-energetico/" TargetMode="External"/><Relationship Id="rId544" Type="http://schemas.openxmlformats.org/officeDocument/2006/relationships/hyperlink" Target="https://mem.gob.gt/que-hacemos/area-energetica/publicaciones/estadisticas/balance-energetico/" TargetMode="External"/><Relationship Id="rId545" Type="http://schemas.openxmlformats.org/officeDocument/2006/relationships/hyperlink" Target="https://mem.gob.gt/que-hacemos/area-energetica/publicaciones/estadisticas/balance-energetico/" TargetMode="External"/><Relationship Id="rId546" Type="http://schemas.openxmlformats.org/officeDocument/2006/relationships/hyperlink" Target="https://mem.gob.gt/que-hacemos/area-energetica/publicaciones/estadisticas/balance-energetico/" TargetMode="External"/><Relationship Id="rId547" Type="http://schemas.openxmlformats.org/officeDocument/2006/relationships/hyperlink" Target="https://mem.gob.gt/que-hacemos/area-energetica/publicaciones/estadisticas/balance-energetico/" TargetMode="External"/><Relationship Id="rId548" Type="http://schemas.openxmlformats.org/officeDocument/2006/relationships/hyperlink" Target="https://mem.gob.gt/que-hacemos/area-energetica/publicaciones/estadisticas/balance-energetico/" TargetMode="External"/><Relationship Id="rId549" Type="http://schemas.openxmlformats.org/officeDocument/2006/relationships/hyperlink" Target="https://mem.gob.gt/que-hacemos/area-energetica/publicaciones/estadisticas/balance-energetico/" TargetMode="External"/><Relationship Id="rId550" Type="http://schemas.openxmlformats.org/officeDocument/2006/relationships/hyperlink" Target="https://mem.gob.gt/que-hacemos/area-energetica/publicaciones/estadisticas/balance-energetico/" TargetMode="External"/><Relationship Id="rId551" Type="http://schemas.openxmlformats.org/officeDocument/2006/relationships/hyperlink" Target="https://mem.gob.gt/que-hacemos/area-energetica/publicaciones/estadisticas/balance-energetico/" TargetMode="External"/><Relationship Id="rId552" Type="http://schemas.openxmlformats.org/officeDocument/2006/relationships/hyperlink" Target="https://mem.gob.gt/que-hacemos/area-energetica/publicaciones/estadisticas/balance-energetico/" TargetMode="External"/><Relationship Id="rId553" Type="http://schemas.openxmlformats.org/officeDocument/2006/relationships/hyperlink" Target="https://mem.gob.gt/que-hacemos/area-energetica/publicaciones/estadisticas/balance-energetico/" TargetMode="External"/><Relationship Id="rId554" Type="http://schemas.openxmlformats.org/officeDocument/2006/relationships/hyperlink" Target="https://mem.gob.gt/que-hacemos/area-energetica/publicaciones/estadisticas/balance-energetico/" TargetMode="External"/><Relationship Id="rId555" Type="http://schemas.openxmlformats.org/officeDocument/2006/relationships/hyperlink" Target="https://mem.gob.gt/que-hacemos/area-energetica/publicaciones/estadisticas/balance-energetico/" TargetMode="External"/><Relationship Id="rId556" Type="http://schemas.openxmlformats.org/officeDocument/2006/relationships/hyperlink" Target="https://mem.gob.gt/que-hacemos/area-energetica/publicaciones/estadisticas/balance-energetico/" TargetMode="External"/><Relationship Id="rId557" Type="http://schemas.openxmlformats.org/officeDocument/2006/relationships/hyperlink" Target="https://mem.gob.gt/que-hacemos/area-energetica/publicaciones/estadisticas/balance-energetico/" TargetMode="External"/><Relationship Id="rId558" Type="http://schemas.openxmlformats.org/officeDocument/2006/relationships/hyperlink" Target="https://mem.gob.gt/que-hacemos/area-energetica/publicaciones/estadisticas/balance-energetico/" TargetMode="External"/><Relationship Id="rId559" Type="http://schemas.openxmlformats.org/officeDocument/2006/relationships/hyperlink" Target="https://mem.gob.gt/que-hacemos/area-energetica/publicaciones/estadisticas/balance-energetico/" TargetMode="External"/><Relationship Id="rId560" Type="http://schemas.openxmlformats.org/officeDocument/2006/relationships/hyperlink" Target="https://mem.gob.gt/que-hacemos/area-energetica/publicaciones/estadisticas/balance-energetico/" TargetMode="External"/><Relationship Id="rId561" Type="http://schemas.openxmlformats.org/officeDocument/2006/relationships/hyperlink" Target="https://mem.gob.gt/que-hacemos/area-energetica/publicaciones/estadisticas/balance-energetico/" TargetMode="External"/><Relationship Id="rId562" Type="http://schemas.openxmlformats.org/officeDocument/2006/relationships/hyperlink" Target="https://mem.gob.gt/que-hacemos/area-energetica/publicaciones/estadisticas/balance-energetico/" TargetMode="External"/><Relationship Id="rId563" Type="http://schemas.openxmlformats.org/officeDocument/2006/relationships/hyperlink" Target="https://mem.gob.gt/que-hacemos/area-energetica/publicaciones/estadisticas/balance-energetico/" TargetMode="External"/><Relationship Id="rId564" Type="http://schemas.openxmlformats.org/officeDocument/2006/relationships/hyperlink" Target="https://mem.gob.gt/que-hacemos/area-energetica/publicaciones/estadisticas/balance-energetico/" TargetMode="External"/><Relationship Id="rId565" Type="http://schemas.openxmlformats.org/officeDocument/2006/relationships/hyperlink" Target="https://mem.gob.gt/que-hacemos/area-energetica/publicaciones/estadisticas/balance-energetico/" TargetMode="External"/><Relationship Id="rId566" Type="http://schemas.openxmlformats.org/officeDocument/2006/relationships/hyperlink" Target="https://mem.gob.gt/que-hacemos/area-energetica/publicaciones/estadisticas/balance-energetico/" TargetMode="External"/><Relationship Id="rId567" Type="http://schemas.openxmlformats.org/officeDocument/2006/relationships/hyperlink" Target="https://mem.gob.gt/que-hacemos/area-energetica/publicaciones/estadisticas/balance-energetico/" TargetMode="External"/><Relationship Id="rId568" Type="http://schemas.openxmlformats.org/officeDocument/2006/relationships/hyperlink" Target="https://mem.gob.gt/que-hacemos/area-energetica/publicaciones/estadisticas/balance-energetico/" TargetMode="External"/><Relationship Id="rId569" Type="http://schemas.openxmlformats.org/officeDocument/2006/relationships/hyperlink" Target="https://mem.gob.gt/que-hacemos/area-energetica/publicaciones/estadisticas/balance-energetico/" TargetMode="External"/><Relationship Id="rId570" Type="http://schemas.openxmlformats.org/officeDocument/2006/relationships/hyperlink" Target="https://mem.gob.gt/que-hacemos/area-energetica/publicaciones/estadisticas/balance-energetico/" TargetMode="External"/><Relationship Id="rId571" Type="http://schemas.openxmlformats.org/officeDocument/2006/relationships/hyperlink" Target="https://mem.gob.gt/que-hacemos/area-energetica/publicaciones/estadisticas/balance-energetico/" TargetMode="External"/><Relationship Id="rId572" Type="http://schemas.openxmlformats.org/officeDocument/2006/relationships/hyperlink" Target="https://mem.gob.gt/que-hacemos/area-energetica/publicaciones/estadisticas/balance-energetico/" TargetMode="External"/><Relationship Id="rId573" Type="http://schemas.openxmlformats.org/officeDocument/2006/relationships/hyperlink" Target="https://mem.gob.gt/que-hacemos/area-energetica/publicaciones/estadisticas/balance-energetico/" TargetMode="External"/><Relationship Id="rId574" Type="http://schemas.openxmlformats.org/officeDocument/2006/relationships/hyperlink" Target="https://mem.gob.gt/que-hacemos/area-energetica/publicaciones/estadisticas/balance-energetico/" TargetMode="External"/><Relationship Id="rId575" Type="http://schemas.openxmlformats.org/officeDocument/2006/relationships/hyperlink" Target="https://mem.gob.gt/que-hacemos/area-energetica/publicaciones/estadisticas/balance-energetico/" TargetMode="External"/><Relationship Id="rId576" Type="http://schemas.openxmlformats.org/officeDocument/2006/relationships/hyperlink" Target="https://mem.gob.gt/que-hacemos/area-energetica/publicaciones/estadisticas/balance-energetico/" TargetMode="External"/><Relationship Id="rId577" Type="http://schemas.openxmlformats.org/officeDocument/2006/relationships/hyperlink" Target="https://mem.gob.gt/que-hacemos/area-energetica/publicaciones/estadisticas/balance-energetico/" TargetMode="External"/><Relationship Id="rId578" Type="http://schemas.openxmlformats.org/officeDocument/2006/relationships/hyperlink" Target="https://mem.gob.gt/que-hacemos/area-energetica/publicaciones/estadisticas/balance-energetico/" TargetMode="External"/><Relationship Id="rId579" Type="http://schemas.openxmlformats.org/officeDocument/2006/relationships/hyperlink" Target="https://mem.gob.gt/que-hacemos/area-energetica/publicaciones/estadisticas/balance-energetico/" TargetMode="External"/><Relationship Id="rId580" Type="http://schemas.openxmlformats.org/officeDocument/2006/relationships/hyperlink" Target="https://mem.gob.gt/que-hacemos/area-energetica/publicaciones/estadisticas/balance-energetico/" TargetMode="External"/><Relationship Id="rId581" Type="http://schemas.openxmlformats.org/officeDocument/2006/relationships/hyperlink" Target="https://mem.gob.gt/que-hacemos/area-energetica/publicaciones/estadisticas/balance-energetico/" TargetMode="External"/><Relationship Id="rId582" Type="http://schemas.openxmlformats.org/officeDocument/2006/relationships/hyperlink" Target="https://mem.gob.gt/que-hacemos/area-energetica/publicaciones/estadisticas/balance-energetico/" TargetMode="External"/><Relationship Id="rId583" Type="http://schemas.openxmlformats.org/officeDocument/2006/relationships/hyperlink" Target="https://mem.gob.gt/que-hacemos/area-energetica/publicaciones/estadisticas/balance-energetico/" TargetMode="External"/><Relationship Id="rId584" Type="http://schemas.openxmlformats.org/officeDocument/2006/relationships/hyperlink" Target="https://mem.gob.gt/que-hacemos/area-energetica/publicaciones/estadisticas/balance-energetico/" TargetMode="External"/><Relationship Id="rId585" Type="http://schemas.openxmlformats.org/officeDocument/2006/relationships/hyperlink" Target="https://mem.gob.gt/que-hacemos/area-energetica/publicaciones/estadisticas/balance-energetico/" TargetMode="External"/><Relationship Id="rId586" Type="http://schemas.openxmlformats.org/officeDocument/2006/relationships/hyperlink" Target="https://mem.gob.gt/que-hacemos/area-energetica/publicaciones/estadisticas/balance-energetico/" TargetMode="External"/><Relationship Id="rId587" Type="http://schemas.openxmlformats.org/officeDocument/2006/relationships/hyperlink" Target="https://mem.gob.gt/que-hacemos/area-energetica/publicaciones/estadisticas/balance-energetico/" TargetMode="External"/><Relationship Id="rId588" Type="http://schemas.openxmlformats.org/officeDocument/2006/relationships/hyperlink" Target="https://mem.gob.gt/que-hacemos/area-energetica/publicaciones/estadisticas/balance-energetico/" TargetMode="External"/><Relationship Id="rId589" Type="http://schemas.openxmlformats.org/officeDocument/2006/relationships/hyperlink" Target="https://mem.gob.gt/que-hacemos/area-energetica/publicaciones/estadisticas/balance-energetico/" TargetMode="External"/><Relationship Id="rId590" Type="http://schemas.openxmlformats.org/officeDocument/2006/relationships/hyperlink" Target="https://mem.gob.gt/que-hacemos/area-energetica/publicaciones/estadisticas/balance-energetico/" TargetMode="External"/><Relationship Id="rId591" Type="http://schemas.openxmlformats.org/officeDocument/2006/relationships/hyperlink" Target="https://mem.gob.gt/que-hacemos/area-energetica/publicaciones/estadisticas/balance-energetico/" TargetMode="External"/><Relationship Id="rId592" Type="http://schemas.openxmlformats.org/officeDocument/2006/relationships/hyperlink" Target="https://mem.gob.gt/que-hacemos/area-energetica/publicaciones/estadisticas/balance-energetico/" TargetMode="External"/><Relationship Id="rId593" Type="http://schemas.openxmlformats.org/officeDocument/2006/relationships/hyperlink" Target="https://mem.gob.gt/que-hacemos/area-energetica/publicaciones/estadisticas/balance-energetico/" TargetMode="External"/><Relationship Id="rId594" Type="http://schemas.openxmlformats.org/officeDocument/2006/relationships/hyperlink" Target="https://mem.gob.gt/que-hacemos/area-energetica/publicaciones/estadisticas/balance-energetico/" TargetMode="External"/><Relationship Id="rId595" Type="http://schemas.openxmlformats.org/officeDocument/2006/relationships/hyperlink" Target="https://mem.gob.gt/que-hacemos/area-energetica/publicaciones/estadisticas/balance-energetico/" TargetMode="External"/><Relationship Id="rId596" Type="http://schemas.openxmlformats.org/officeDocument/2006/relationships/hyperlink" Target="https://mem.gob.gt/que-hacemos/area-energetica/publicaciones/estadisticas/balance-energetico/" TargetMode="External"/><Relationship Id="rId597" Type="http://schemas.openxmlformats.org/officeDocument/2006/relationships/hyperlink" Target="https://mem.gob.gt/que-hacemos/area-energetica/publicaciones/estadisticas/balance-energetico/" TargetMode="External"/><Relationship Id="rId598" Type="http://schemas.openxmlformats.org/officeDocument/2006/relationships/hyperlink" Target="https://mem.gob.gt/que-hacemos/area-energetica/publicaciones/estadisticas/balance-energetico/" TargetMode="External"/><Relationship Id="rId599" Type="http://schemas.openxmlformats.org/officeDocument/2006/relationships/hyperlink" Target="https://mem.gob.gt/que-hacemos/area-energetica/publicaciones/estadisticas/balance-energetico/" TargetMode="External"/><Relationship Id="rId600" Type="http://schemas.openxmlformats.org/officeDocument/2006/relationships/hyperlink" Target="https://mem.gob.gt/que-hacemos/area-energetica/publicaciones/estadisticas/balance-energetico/" TargetMode="External"/><Relationship Id="rId601" Type="http://schemas.openxmlformats.org/officeDocument/2006/relationships/hyperlink" Target="https://mem.gob.gt/que-hacemos/area-energetica/publicaciones/estadisticas/balance-energetico/" TargetMode="External"/><Relationship Id="rId602" Type="http://schemas.openxmlformats.org/officeDocument/2006/relationships/hyperlink" Target="https://mem.gob.gt/que-hacemos/area-energetica/publicaciones/estadisticas/balance-energetico/" TargetMode="External"/><Relationship Id="rId603" Type="http://schemas.openxmlformats.org/officeDocument/2006/relationships/hyperlink" Target="https://mem.gob.gt/que-hacemos/area-energetica/publicaciones/estadisticas/balance-energetico/" TargetMode="External"/><Relationship Id="rId604" Type="http://schemas.openxmlformats.org/officeDocument/2006/relationships/hyperlink" Target="https://mem.gob.gt/que-hacemos/area-energetica/publicaciones/estadisticas/balance-energetico/" TargetMode="External"/><Relationship Id="rId605" Type="http://schemas.openxmlformats.org/officeDocument/2006/relationships/hyperlink" Target="https://mem.gob.gt/que-hacemos/area-energetica/publicaciones/estadisticas/balance-energetico/" TargetMode="External"/><Relationship Id="rId606" Type="http://schemas.openxmlformats.org/officeDocument/2006/relationships/hyperlink" Target="https://mem.gob.gt/que-hacemos/area-energetica/publicaciones/estadisticas/balance-energetico/" TargetMode="External"/><Relationship Id="rId607" Type="http://schemas.openxmlformats.org/officeDocument/2006/relationships/hyperlink" Target="https://mem.gob.gt/que-hacemos/area-energetica/publicaciones/estadisticas/balance-energetico/" TargetMode="External"/><Relationship Id="rId608" Type="http://schemas.openxmlformats.org/officeDocument/2006/relationships/hyperlink" Target="https://mem.gob.gt/que-hacemos/area-energetica/publicaciones/estadisticas/balance-energetico/" TargetMode="External"/><Relationship Id="rId609" Type="http://schemas.openxmlformats.org/officeDocument/2006/relationships/hyperlink" Target="https://mem.gob.gt/que-hacemos/area-energetica/publicaciones/estadisticas/balance-energetico/" TargetMode="External"/><Relationship Id="rId610" Type="http://schemas.openxmlformats.org/officeDocument/2006/relationships/hyperlink" Target="https://mem.gob.gt/que-hacemos/area-energetica/publicaciones/estadisticas/balance-energetico/" TargetMode="External"/><Relationship Id="rId611" Type="http://schemas.openxmlformats.org/officeDocument/2006/relationships/hyperlink" Target="https://mem.gob.gt/que-hacemos/area-energetica/publicaciones/estadisticas/balance-energetico/" TargetMode="External"/><Relationship Id="rId612" Type="http://schemas.openxmlformats.org/officeDocument/2006/relationships/hyperlink" Target="https://mem.gob.gt/que-hacemos/area-energetica/publicaciones/estadisticas/balance-energetico/" TargetMode="External"/><Relationship Id="rId613" Type="http://schemas.openxmlformats.org/officeDocument/2006/relationships/hyperlink" Target="https://mem.gob.gt/que-hacemos/area-energetica/publicaciones/estadisticas/balance-energetico/" TargetMode="External"/><Relationship Id="rId614" Type="http://schemas.openxmlformats.org/officeDocument/2006/relationships/hyperlink" Target="https://mem.gob.gt/que-hacemos/area-energetica/publicaciones/estadisticas/balance-energetico/" TargetMode="External"/><Relationship Id="rId615" Type="http://schemas.openxmlformats.org/officeDocument/2006/relationships/hyperlink" Target="https://mem.gob.gt/que-hacemos/area-energetica/publicaciones/estadisticas/balance-energetico/" TargetMode="External"/><Relationship Id="rId616" Type="http://schemas.openxmlformats.org/officeDocument/2006/relationships/hyperlink" Target="https://mem.gob.gt/que-hacemos/area-energetica/publicaciones/estadisticas/balance-energetico/" TargetMode="External"/><Relationship Id="rId617" Type="http://schemas.openxmlformats.org/officeDocument/2006/relationships/hyperlink" Target="https://mem.gob.gt/que-hacemos/area-energetica/publicaciones/estadisticas/balance-energetico/" TargetMode="External"/><Relationship Id="rId618" Type="http://schemas.openxmlformats.org/officeDocument/2006/relationships/hyperlink" Target="https://mem.gob.gt/que-hacemos/area-energetica/publicaciones/estadisticas/balance-energetico/" TargetMode="External"/><Relationship Id="rId619" Type="http://schemas.openxmlformats.org/officeDocument/2006/relationships/hyperlink" Target="https://mem.gob.gt/que-hacemos/area-energetica/publicaciones/estadisticas/balance-energetico/" TargetMode="External"/><Relationship Id="rId620" Type="http://schemas.openxmlformats.org/officeDocument/2006/relationships/hyperlink" Target="https://mem.gob.gt/que-hacemos/area-energetica/publicaciones/estadisticas/balance-energetico/" TargetMode="External"/><Relationship Id="rId621" Type="http://schemas.openxmlformats.org/officeDocument/2006/relationships/hyperlink" Target="https://mem.gob.gt/que-hacemos/area-energetica/publicaciones/estadisticas/balance-energetico/" TargetMode="External"/><Relationship Id="rId622" Type="http://schemas.openxmlformats.org/officeDocument/2006/relationships/hyperlink" Target="https://mem.gob.gt/que-hacemos/area-energetica/publicaciones/estadisticas/balance-energetico/" TargetMode="External"/><Relationship Id="rId623" Type="http://schemas.openxmlformats.org/officeDocument/2006/relationships/hyperlink" Target="https://mem.gob.gt/que-hacemos/area-energetica/publicaciones/estadisticas/balance-energetico/" TargetMode="External"/><Relationship Id="rId624" Type="http://schemas.openxmlformats.org/officeDocument/2006/relationships/hyperlink" Target="https://mem.gob.gt/que-hacemos/area-energetica/publicaciones/estadisticas/balance-energetico/" TargetMode="External"/><Relationship Id="rId625" Type="http://schemas.openxmlformats.org/officeDocument/2006/relationships/hyperlink" Target="https://mem.gob.gt/que-hacemos/area-energetica/publicaciones/estadisticas/balance-energetico/" TargetMode="External"/><Relationship Id="rId626" Type="http://schemas.openxmlformats.org/officeDocument/2006/relationships/hyperlink" Target="https://mem.gob.gt/que-hacemos/area-energetica/publicaciones/estadisticas/balance-energetico/" TargetMode="External"/><Relationship Id="rId627" Type="http://schemas.openxmlformats.org/officeDocument/2006/relationships/hyperlink" Target="https://mem.gob.gt/que-hacemos/area-energetica/publicaciones/estadisticas/balance-energetico/" TargetMode="External"/><Relationship Id="rId628" Type="http://schemas.openxmlformats.org/officeDocument/2006/relationships/hyperlink" Target="https://mem.gob.gt/que-hacemos/area-energetica/publicaciones/estadisticas/balance-energetico/" TargetMode="External"/><Relationship Id="rId629" Type="http://schemas.openxmlformats.org/officeDocument/2006/relationships/hyperlink" Target="https://mem.gob.gt/que-hacemos/area-energetica/publicaciones/estadisticas/balance-energetico/" TargetMode="External"/><Relationship Id="rId630" Type="http://schemas.openxmlformats.org/officeDocument/2006/relationships/hyperlink" Target="https://mem.gob.gt/que-hacemos/area-energetica/publicaciones/estadisticas/balance-energetico/" TargetMode="External"/><Relationship Id="rId631" Type="http://schemas.openxmlformats.org/officeDocument/2006/relationships/hyperlink" Target="https://mem.gob.gt/que-hacemos/area-energetica/publicaciones/estadisticas/balance-energetico/" TargetMode="External"/><Relationship Id="rId632" Type="http://schemas.openxmlformats.org/officeDocument/2006/relationships/hyperlink" Target="https://mem.gob.gt/que-hacemos/area-energetica/publicaciones/estadisticas/balance-energetico/" TargetMode="External"/><Relationship Id="rId633" Type="http://schemas.openxmlformats.org/officeDocument/2006/relationships/hyperlink" Target="https://mem.gob.gt/que-hacemos/area-energetica/publicaciones/estadisticas/balance-energetico/" TargetMode="External"/><Relationship Id="rId634" Type="http://schemas.openxmlformats.org/officeDocument/2006/relationships/hyperlink" Target="https://mem.gob.gt/que-hacemos/area-energetica/publicaciones/estadisticas/balance-energetico/" TargetMode="External"/><Relationship Id="rId635" Type="http://schemas.openxmlformats.org/officeDocument/2006/relationships/hyperlink" Target="https://mem.gob.gt/que-hacemos/area-energetica/publicaciones/estadisticas/balance-energetico/" TargetMode="External"/><Relationship Id="rId636" Type="http://schemas.openxmlformats.org/officeDocument/2006/relationships/hyperlink" Target="https://mem.gob.gt/que-hacemos/area-energetica/publicaciones/estadisticas/balance-energetico/" TargetMode="External"/><Relationship Id="rId637" Type="http://schemas.openxmlformats.org/officeDocument/2006/relationships/hyperlink" Target="https://mem.gob.gt/que-hacemos/area-energetica/publicaciones/estadisticas/balance-energetico/" TargetMode="External"/><Relationship Id="rId638" Type="http://schemas.openxmlformats.org/officeDocument/2006/relationships/hyperlink" Target="https://mem.gob.gt/que-hacemos/area-energetica/publicaciones/estadisticas/balance-energetico/" TargetMode="External"/><Relationship Id="rId639" Type="http://schemas.openxmlformats.org/officeDocument/2006/relationships/hyperlink" Target="https://mem.gob.gt/que-hacemos/area-energetica/publicaciones/estadisticas/balance-energetico/" TargetMode="External"/><Relationship Id="rId640" Type="http://schemas.openxmlformats.org/officeDocument/2006/relationships/hyperlink" Target="https://mem.gob.gt/que-hacemos/area-energetica/publicaciones/estadisticas/balance-energetico/" TargetMode="External"/><Relationship Id="rId641" Type="http://schemas.openxmlformats.org/officeDocument/2006/relationships/hyperlink" Target="https://mem.gob.gt/que-hacemos/area-energetica/publicaciones/estadisticas/balance-energetico/" TargetMode="External"/><Relationship Id="rId642" Type="http://schemas.openxmlformats.org/officeDocument/2006/relationships/hyperlink" Target="https://mem.gob.gt/que-hacemos/area-energetica/publicaciones/estadisticas/balance-energetico/" TargetMode="External"/><Relationship Id="rId643" Type="http://schemas.openxmlformats.org/officeDocument/2006/relationships/hyperlink" Target="https://mem.gob.gt/que-hacemos/area-energetica/publicaciones/estadisticas/balance-energetico/" TargetMode="External"/><Relationship Id="rId644" Type="http://schemas.openxmlformats.org/officeDocument/2006/relationships/hyperlink" Target="https://mem.gob.gt/que-hacemos/area-energetica/publicaciones/estadisticas/balance-energetico/" TargetMode="External"/><Relationship Id="rId645" Type="http://schemas.openxmlformats.org/officeDocument/2006/relationships/hyperlink" Target="https://mem.gob.gt/que-hacemos/area-energetica/publicaciones/estadisticas/balance-energetico/" TargetMode="External"/><Relationship Id="rId646" Type="http://schemas.openxmlformats.org/officeDocument/2006/relationships/hyperlink" Target="https://mem.gob.gt/que-hacemos/area-energetica/publicaciones/estadisticas/balance-energetico/" TargetMode="External"/><Relationship Id="rId647" Type="http://schemas.openxmlformats.org/officeDocument/2006/relationships/hyperlink" Target="https://mem.gob.gt/que-hacemos/area-energetica/publicaciones/estadisticas/balance-energetico/" TargetMode="External"/><Relationship Id="rId648" Type="http://schemas.openxmlformats.org/officeDocument/2006/relationships/hyperlink" Target="https://mem.gob.gt/que-hacemos/area-energetica/publicaciones/estadisticas/balance-energetico/" TargetMode="External"/><Relationship Id="rId649" Type="http://schemas.openxmlformats.org/officeDocument/2006/relationships/hyperlink" Target="https://mem.gob.gt/que-hacemos/area-energetica/publicaciones/estadisticas/balance-energetico/" TargetMode="External"/><Relationship Id="rId650" Type="http://schemas.openxmlformats.org/officeDocument/2006/relationships/hyperlink" Target="https://mem.gob.gt/que-hacemos/area-energetica/publicaciones/estadisticas/balance-energetico/" TargetMode="External"/><Relationship Id="rId651" Type="http://schemas.openxmlformats.org/officeDocument/2006/relationships/hyperlink" Target="https://mem.gob.gt/que-hacemos/area-energetica/publicaciones/estadisticas/balance-energetico/" TargetMode="External"/><Relationship Id="rId652" Type="http://schemas.openxmlformats.org/officeDocument/2006/relationships/hyperlink" Target="https://mem.gob.gt/que-hacemos/area-energetica/publicaciones/estadisticas/balance-energetico/" TargetMode="External"/><Relationship Id="rId653" Type="http://schemas.openxmlformats.org/officeDocument/2006/relationships/hyperlink" Target="https://mem.gob.gt/que-hacemos/area-energetica/publicaciones/estadisticas/balance-energetico/" TargetMode="External"/><Relationship Id="rId654" Type="http://schemas.openxmlformats.org/officeDocument/2006/relationships/hyperlink" Target="https://mem.gob.gt/que-hacemos/area-energetica/publicaciones/estadisticas/balance-energetico/" TargetMode="External"/><Relationship Id="rId655" Type="http://schemas.openxmlformats.org/officeDocument/2006/relationships/hyperlink" Target="https://mem.gob.gt/que-hacemos/area-energetica/publicaciones/estadisticas/balance-energetico/" TargetMode="External"/><Relationship Id="rId656" Type="http://schemas.openxmlformats.org/officeDocument/2006/relationships/hyperlink" Target="https://mem.gob.gt/que-hacemos/area-energetica/publicaciones/estadisticas/balance-energetico/" TargetMode="External"/><Relationship Id="rId657" Type="http://schemas.openxmlformats.org/officeDocument/2006/relationships/hyperlink" Target="https://mem.gob.gt/que-hacemos/area-energetica/publicaciones/estadisticas/balance-energetico/" TargetMode="External"/><Relationship Id="rId658" Type="http://schemas.openxmlformats.org/officeDocument/2006/relationships/hyperlink" Target="https://mem.gob.gt/que-hacemos/area-energetica/publicaciones/estadisticas/balance-energetico/" TargetMode="External"/><Relationship Id="rId659" Type="http://schemas.openxmlformats.org/officeDocument/2006/relationships/hyperlink" Target="https://mem.gob.gt/que-hacemos/area-energetica/publicaciones/estadisticas/balance-energetico/" TargetMode="External"/><Relationship Id="rId660" Type="http://schemas.openxmlformats.org/officeDocument/2006/relationships/hyperlink" Target="https://mem.gob.gt/que-hacemos/area-energetica/publicaciones/estadisticas/balance-energetico/" TargetMode="External"/><Relationship Id="rId661" Type="http://schemas.openxmlformats.org/officeDocument/2006/relationships/hyperlink" Target="https://mem.gob.gt/que-hacemos/area-energetica/publicaciones/estadisticas/balance-energetico/" TargetMode="External"/><Relationship Id="rId662" Type="http://schemas.openxmlformats.org/officeDocument/2006/relationships/hyperlink" Target="https://mem.gob.gt/que-hacemos/area-energetica/publicaciones/estadisticas/balance-energetico/" TargetMode="External"/><Relationship Id="rId663" Type="http://schemas.openxmlformats.org/officeDocument/2006/relationships/hyperlink" Target="https://mem.gob.gt/que-hacemos/area-energetica/publicaciones/estadisticas/balance-energetico/" TargetMode="External"/><Relationship Id="rId664" Type="http://schemas.openxmlformats.org/officeDocument/2006/relationships/hyperlink" Target="https://mem.gob.gt/que-hacemos/area-energetica/publicaciones/estadisticas/balance-energetico/" TargetMode="External"/><Relationship Id="rId665" Type="http://schemas.openxmlformats.org/officeDocument/2006/relationships/hyperlink" Target="https://mem.gob.gt/que-hacemos/area-energetica/publicaciones/estadisticas/balance-energetico/" TargetMode="External"/><Relationship Id="rId666" Type="http://schemas.openxmlformats.org/officeDocument/2006/relationships/hyperlink" Target="https://mem.gob.gt/que-hacemos/area-energetica/publicaciones/estadisticas/balance-energetico/" TargetMode="External"/><Relationship Id="rId667" Type="http://schemas.openxmlformats.org/officeDocument/2006/relationships/hyperlink" Target="https://mem.gob.gt/que-hacemos/area-energetica/publicaciones/estadisticas/balance-energetico/" TargetMode="External"/><Relationship Id="rId668" Type="http://schemas.openxmlformats.org/officeDocument/2006/relationships/hyperlink" Target="https://mem.gob.gt/que-hacemos/area-energetica/publicaciones/estadisticas/balance-energetico/" TargetMode="External"/><Relationship Id="rId669" Type="http://schemas.openxmlformats.org/officeDocument/2006/relationships/hyperlink" Target="https://mem.gob.gt/que-hacemos/area-energetica/publicaciones/estadisticas/balance-energetico/" TargetMode="External"/><Relationship Id="rId670" Type="http://schemas.openxmlformats.org/officeDocument/2006/relationships/hyperlink" Target="https://mem.gob.gt/que-hacemos/area-energetica/publicaciones/estadisticas/balance-energetico/" TargetMode="External"/><Relationship Id="rId671" Type="http://schemas.openxmlformats.org/officeDocument/2006/relationships/hyperlink" Target="https://mem.gob.gt/que-hacemos/area-energetica/publicaciones/estadisticas/balance-energetico/" TargetMode="External"/><Relationship Id="rId672" Type="http://schemas.openxmlformats.org/officeDocument/2006/relationships/hyperlink" Target="https://mem.gob.gt/que-hacemos/area-energetica/publicaciones/estadisticas/balance-energetico/" TargetMode="External"/><Relationship Id="rId673" Type="http://schemas.openxmlformats.org/officeDocument/2006/relationships/hyperlink" Target="https://mem.gob.gt/que-hacemos/area-energetica/publicaciones/estadisticas/balance-energetico/" TargetMode="External"/><Relationship Id="rId674" Type="http://schemas.openxmlformats.org/officeDocument/2006/relationships/hyperlink" Target="https://mem.gob.gt/que-hacemos/area-energetica/publicaciones/estadisticas/balance-energetico/" TargetMode="External"/><Relationship Id="rId675" Type="http://schemas.openxmlformats.org/officeDocument/2006/relationships/hyperlink" Target="https://mem.gob.gt/que-hacemos/area-energetica/publicaciones/estadisticas/balance-energetico/" TargetMode="External"/><Relationship Id="rId676" Type="http://schemas.openxmlformats.org/officeDocument/2006/relationships/hyperlink" Target="https://mem.gob.gt/que-hacemos/area-energetica/publicaciones/estadisticas/balance-energetico/" TargetMode="External"/><Relationship Id="rId677" Type="http://schemas.openxmlformats.org/officeDocument/2006/relationships/hyperlink" Target="https://mem.gob.gt/que-hacemos/area-energetica/publicaciones/estadisticas/balance-energetico/" TargetMode="External"/><Relationship Id="rId678" Type="http://schemas.openxmlformats.org/officeDocument/2006/relationships/hyperlink" Target="https://mem.gob.gt/que-hacemos/area-energetica/publicaciones/estadisticas/balance-energetico/" TargetMode="External"/><Relationship Id="rId679" Type="http://schemas.openxmlformats.org/officeDocument/2006/relationships/hyperlink" Target="https://mem.gob.gt/que-hacemos/area-energetica/publicaciones/estadisticas/balance-energetico/" TargetMode="External"/><Relationship Id="rId680" Type="http://schemas.openxmlformats.org/officeDocument/2006/relationships/hyperlink" Target="https://mem.gob.gt/que-hacemos/area-energetica/publicaciones/estadisticas/balance-energetico/" TargetMode="External"/><Relationship Id="rId681" Type="http://schemas.openxmlformats.org/officeDocument/2006/relationships/hyperlink" Target="https://mem.gob.gt/que-hacemos/area-energetica/publicaciones/estadisticas/balance-energetico/" TargetMode="External"/><Relationship Id="rId682" Type="http://schemas.openxmlformats.org/officeDocument/2006/relationships/hyperlink" Target="https://mem.gob.gt/que-hacemos/area-energetica/publicaciones/estadisticas/balance-energetico/" TargetMode="External"/><Relationship Id="rId683" Type="http://schemas.openxmlformats.org/officeDocument/2006/relationships/hyperlink" Target="https://mem.gob.gt/que-hacemos/area-energetica/publicaciones/estadisticas/balance-energetico/" TargetMode="External"/><Relationship Id="rId684" Type="http://schemas.openxmlformats.org/officeDocument/2006/relationships/hyperlink" Target="https://mem.gob.gt/que-hacemos/area-energetica/publicaciones/estadisticas/balance-energetico/" TargetMode="External"/><Relationship Id="rId685" Type="http://schemas.openxmlformats.org/officeDocument/2006/relationships/hyperlink" Target="https://mem.gob.gt/que-hacemos/area-energetica/publicaciones/estadisticas/balance-energetico/" TargetMode="External"/><Relationship Id="rId686" Type="http://schemas.openxmlformats.org/officeDocument/2006/relationships/hyperlink" Target="https://mem.gob.gt/que-hacemos/area-energetica/publicaciones/estadisticas/balance-energetico/" TargetMode="External"/><Relationship Id="rId687" Type="http://schemas.openxmlformats.org/officeDocument/2006/relationships/hyperlink" Target="https://mem.gob.gt/que-hacemos/area-energetica/publicaciones/estadisticas/balance-energetico/" TargetMode="External"/><Relationship Id="rId688" Type="http://schemas.openxmlformats.org/officeDocument/2006/relationships/hyperlink" Target="https://mem.gob.gt/que-hacemos/area-energetica/publicaciones/estadisticas/balance-energetico/" TargetMode="External"/><Relationship Id="rId689" Type="http://schemas.openxmlformats.org/officeDocument/2006/relationships/hyperlink" Target="https://mem.gob.gt/que-hacemos/area-energetica/publicaciones/estadisticas/balance-energetico/" TargetMode="External"/><Relationship Id="rId690" Type="http://schemas.openxmlformats.org/officeDocument/2006/relationships/hyperlink" Target="https://mem.gob.gt/que-hacemos/area-energetica/publicaciones/estadisticas/balance-energetico/" TargetMode="External"/><Relationship Id="rId691" Type="http://schemas.openxmlformats.org/officeDocument/2006/relationships/hyperlink" Target="https://mem.gob.gt/que-hacemos/area-energetica/publicaciones/estadisticas/balance-energetico/" TargetMode="External"/><Relationship Id="rId692" Type="http://schemas.openxmlformats.org/officeDocument/2006/relationships/hyperlink" Target="https://mem.gob.gt/que-hacemos/area-energetica/publicaciones/estadisticas/balance-energetico/" TargetMode="External"/><Relationship Id="rId693" Type="http://schemas.openxmlformats.org/officeDocument/2006/relationships/hyperlink" Target="https://mem.gob.gt/que-hacemos/area-energetica/publicaciones/estadisticas/balance-energetico/" TargetMode="External"/><Relationship Id="rId694" Type="http://schemas.openxmlformats.org/officeDocument/2006/relationships/hyperlink" Target="https://mem.gob.gt/que-hacemos/area-energetica/publicaciones/estadisticas/balance-energetico/" TargetMode="External"/><Relationship Id="rId695" Type="http://schemas.openxmlformats.org/officeDocument/2006/relationships/hyperlink" Target="https://mem.gob.gt/que-hacemos/area-energetica/publicaciones/estadisticas/balance-energetico/" TargetMode="External"/><Relationship Id="rId696" Type="http://schemas.openxmlformats.org/officeDocument/2006/relationships/hyperlink" Target="https://mem.gob.gt/que-hacemos/area-energetica/publicaciones/estadisticas/balance-energetico/" TargetMode="External"/><Relationship Id="rId697" Type="http://schemas.openxmlformats.org/officeDocument/2006/relationships/hyperlink" Target="https://mem.gob.gt/que-hacemos/area-energetica/publicaciones/estadisticas/balance-energetico/" TargetMode="External"/><Relationship Id="rId698" Type="http://schemas.openxmlformats.org/officeDocument/2006/relationships/hyperlink" Target="https://mem.gob.gt/que-hacemos/area-energetica/publicaciones/estadisticas/balance-energetico/" TargetMode="External"/><Relationship Id="rId699" Type="http://schemas.openxmlformats.org/officeDocument/2006/relationships/hyperlink" Target="https://mem.gob.gt/que-hacemos/area-energetica/publicaciones/estadisticas/balance-energetico/" TargetMode="External"/><Relationship Id="rId700" Type="http://schemas.openxmlformats.org/officeDocument/2006/relationships/hyperlink" Target="https://mem.gob.gt/que-hacemos/area-energetica/publicaciones/estadisticas/balance-energetico/" TargetMode="External"/><Relationship Id="rId701" Type="http://schemas.openxmlformats.org/officeDocument/2006/relationships/hyperlink" Target="https://mem.gob.gt/que-hacemos/area-energetica/publicaciones/estadisticas/balance-energetico/" TargetMode="External"/><Relationship Id="rId702" Type="http://schemas.openxmlformats.org/officeDocument/2006/relationships/hyperlink" Target="https://mem.gob.gt/que-hacemos/area-energetica/publicaciones/estadisticas/balance-energetico/" TargetMode="External"/><Relationship Id="rId703" Type="http://schemas.openxmlformats.org/officeDocument/2006/relationships/hyperlink" Target="https://mem.gob.gt/que-hacemos/area-energetica/publicaciones/estadisticas/balance-energetico/" TargetMode="External"/><Relationship Id="rId704" Type="http://schemas.openxmlformats.org/officeDocument/2006/relationships/hyperlink" Target="https://mem.gob.gt/que-hacemos/area-energetica/publicaciones/estadisticas/balance-energetico/" TargetMode="External"/><Relationship Id="rId705" Type="http://schemas.openxmlformats.org/officeDocument/2006/relationships/hyperlink" Target="https://mem.gob.gt/que-hacemos/area-energetica/publicaciones/estadisticas/balance-energetico/" TargetMode="External"/><Relationship Id="rId706" Type="http://schemas.openxmlformats.org/officeDocument/2006/relationships/hyperlink" Target="https://mem.gob.gt/que-hacemos/area-energetica/publicaciones/estadisticas/balance-energetico/" TargetMode="External"/><Relationship Id="rId707" Type="http://schemas.openxmlformats.org/officeDocument/2006/relationships/hyperlink" Target="https://mem.gob.gt/que-hacemos/area-energetica/publicaciones/estadisticas/balance-energetico/" TargetMode="External"/><Relationship Id="rId708" Type="http://schemas.openxmlformats.org/officeDocument/2006/relationships/hyperlink" Target="https://mem.gob.gt/que-hacemos/area-energetica/publicaciones/estadisticas/balance-energetico/" TargetMode="External"/><Relationship Id="rId709" Type="http://schemas.openxmlformats.org/officeDocument/2006/relationships/hyperlink" Target="https://mem.gob.gt/que-hacemos/area-energetica/publicaciones/estadisticas/balance-energetico/" TargetMode="External"/><Relationship Id="rId710" Type="http://schemas.openxmlformats.org/officeDocument/2006/relationships/hyperlink" Target="https://mem.gob.gt/que-hacemos/area-energetica/publicaciones/estadisticas/balance-energetico/" TargetMode="External"/><Relationship Id="rId711" Type="http://schemas.openxmlformats.org/officeDocument/2006/relationships/hyperlink" Target="https://mem.gob.gt/que-hacemos/area-energetica/publicaciones/estadisticas/balance-energetico/" TargetMode="External"/><Relationship Id="rId712" Type="http://schemas.openxmlformats.org/officeDocument/2006/relationships/hyperlink" Target="https://mem.gob.gt/que-hacemos/area-energetica/publicaciones/estadisticas/balance-energetico/" TargetMode="External"/><Relationship Id="rId713" Type="http://schemas.openxmlformats.org/officeDocument/2006/relationships/hyperlink" Target="https://mem.gob.gt/que-hacemos/area-energetica/publicaciones/estadisticas/balance-energetico/" TargetMode="External"/><Relationship Id="rId714" Type="http://schemas.openxmlformats.org/officeDocument/2006/relationships/hyperlink" Target="https://mem.gob.gt/que-hacemos/area-energetica/publicaciones/estadisticas/balance-energetico/" TargetMode="External"/><Relationship Id="rId715" Type="http://schemas.openxmlformats.org/officeDocument/2006/relationships/hyperlink" Target="https://mem.gob.gt/que-hacemos/area-energetica/publicaciones/estadisticas/balance-energetico/" TargetMode="External"/><Relationship Id="rId716" Type="http://schemas.openxmlformats.org/officeDocument/2006/relationships/hyperlink" Target="https://mem.gob.gt/que-hacemos/area-energetica/publicaciones/estadisticas/balance-energetico/" TargetMode="External"/><Relationship Id="rId717" Type="http://schemas.openxmlformats.org/officeDocument/2006/relationships/hyperlink" Target="https://mem.gob.gt/que-hacemos/area-energetica/publicaciones/estadisticas/balance-energetico/" TargetMode="External"/><Relationship Id="rId718" Type="http://schemas.openxmlformats.org/officeDocument/2006/relationships/hyperlink" Target="https://mem.gob.gt/que-hacemos/area-energetica/publicaciones/estadisticas/balance-energetico/" TargetMode="External"/><Relationship Id="rId719" Type="http://schemas.openxmlformats.org/officeDocument/2006/relationships/hyperlink" Target="https://mem.gob.gt/que-hacemos/area-energetica/publicaciones/estadisticas/balance-energetico/" TargetMode="External"/><Relationship Id="rId720" Type="http://schemas.openxmlformats.org/officeDocument/2006/relationships/hyperlink" Target="https://mem.gob.gt/que-hacemos/area-energetica/publicaciones/estadisticas/balance-energetico/" TargetMode="External"/><Relationship Id="rId721" Type="http://schemas.openxmlformats.org/officeDocument/2006/relationships/hyperlink" Target="https://mem.gob.gt/que-hacemos/area-energetica/publicaciones/estadisticas/balance-energetico/" TargetMode="External"/><Relationship Id="rId722" Type="http://schemas.openxmlformats.org/officeDocument/2006/relationships/hyperlink" Target="https://mem.gob.gt/que-hacemos/area-energetica/publicaciones/estadisticas/balance-energetico/" TargetMode="External"/><Relationship Id="rId723" Type="http://schemas.openxmlformats.org/officeDocument/2006/relationships/hyperlink" Target="https://mem.gob.gt/que-hacemos/area-energetica/publicaciones/estadisticas/balance-energetico/" TargetMode="External"/><Relationship Id="rId724" Type="http://schemas.openxmlformats.org/officeDocument/2006/relationships/hyperlink" Target="https://mem.gob.gt/que-hacemos/area-energetica/publicaciones/estadisticas/balance-energetico/" TargetMode="External"/><Relationship Id="rId725" Type="http://schemas.openxmlformats.org/officeDocument/2006/relationships/hyperlink" Target="https://mem.gob.gt/que-hacemos/area-energetica/publicaciones/estadisticas/balance-energetico/" TargetMode="External"/><Relationship Id="rId726" Type="http://schemas.openxmlformats.org/officeDocument/2006/relationships/hyperlink" Target="https://mem.gob.gt/que-hacemos/area-energetica/publicaciones/estadisticas/balance-energetico/" TargetMode="External"/><Relationship Id="rId727" Type="http://schemas.openxmlformats.org/officeDocument/2006/relationships/hyperlink" Target="https://mem.gob.gt/que-hacemos/area-energetica/publicaciones/estadisticas/balance-energetico/" TargetMode="External"/><Relationship Id="rId728" Type="http://schemas.openxmlformats.org/officeDocument/2006/relationships/hyperlink" Target="https://mem.gob.gt/que-hacemos/area-energetica/publicaciones/estadisticas/balance-energetico/" TargetMode="External"/><Relationship Id="rId729" Type="http://schemas.openxmlformats.org/officeDocument/2006/relationships/hyperlink" Target="https://mem.gob.gt/que-hacemos/area-energetica/publicaciones/estadisticas/balance-energetico/" TargetMode="External"/><Relationship Id="rId730" Type="http://schemas.openxmlformats.org/officeDocument/2006/relationships/hyperlink" Target="https://mem.gob.gt/que-hacemos/area-energetica/publicaciones/estadisticas/balance-energetico/" TargetMode="External"/><Relationship Id="rId731" Type="http://schemas.openxmlformats.org/officeDocument/2006/relationships/hyperlink" Target="https://mem.gob.gt/que-hacemos/area-energetica/publicaciones/estadisticas/balance-energetico/" TargetMode="External"/><Relationship Id="rId732" Type="http://schemas.openxmlformats.org/officeDocument/2006/relationships/hyperlink" Target="https://mem.gob.gt/que-hacemos/area-energetica/publicaciones/estadisticas/balance-energetico/" TargetMode="External"/><Relationship Id="rId733" Type="http://schemas.openxmlformats.org/officeDocument/2006/relationships/hyperlink" Target="https://mem.gob.gt/que-hacemos/area-energetica/publicaciones/estadisticas/balance-energetico/" TargetMode="External"/><Relationship Id="rId734" Type="http://schemas.openxmlformats.org/officeDocument/2006/relationships/hyperlink" Target="https://mem.gob.gt/que-hacemos/area-energetica/publicaciones/estadisticas/balance-energetico/" TargetMode="External"/><Relationship Id="rId735" Type="http://schemas.openxmlformats.org/officeDocument/2006/relationships/hyperlink" Target="https://mem.gob.gt/que-hacemos/area-energetica/publicaciones/estadisticas/balance-energetico/" TargetMode="External"/><Relationship Id="rId736" Type="http://schemas.openxmlformats.org/officeDocument/2006/relationships/hyperlink" Target="https://mem.gob.gt/que-hacemos/area-energetica/publicaciones/estadisticas/balance-energetico/" TargetMode="External"/><Relationship Id="rId737" Type="http://schemas.openxmlformats.org/officeDocument/2006/relationships/hyperlink" Target="https://mem.gob.gt/que-hacemos/area-energetica/publicaciones/estadisticas/balance-energetico/" TargetMode="External"/><Relationship Id="rId738" Type="http://schemas.openxmlformats.org/officeDocument/2006/relationships/hyperlink" Target="https://mem.gob.gt/que-hacemos/area-energetica/publicaciones/estadisticas/balance-energetico/" TargetMode="External"/><Relationship Id="rId739" Type="http://schemas.openxmlformats.org/officeDocument/2006/relationships/hyperlink" Target="https://mem.gob.gt/que-hacemos/area-energetica/publicaciones/estadisticas/balance-energetico/" TargetMode="External"/><Relationship Id="rId740" Type="http://schemas.openxmlformats.org/officeDocument/2006/relationships/hyperlink" Target="https://mem.gob.gt/que-hacemos/area-energetica/publicaciones/estadisticas/balance-energetico/" TargetMode="External"/><Relationship Id="rId741" Type="http://schemas.openxmlformats.org/officeDocument/2006/relationships/hyperlink" Target="https://mem.gob.gt/que-hacemos/area-energetica/publicaciones/estadisticas/balance-energetico/" TargetMode="External"/><Relationship Id="rId742" Type="http://schemas.openxmlformats.org/officeDocument/2006/relationships/hyperlink" Target="https://mem.gob.gt/que-hacemos/area-energetica/publicaciones/estadisticas/balance-energetico/" TargetMode="External"/><Relationship Id="rId743" Type="http://schemas.openxmlformats.org/officeDocument/2006/relationships/hyperlink" Target="https://mem.gob.gt/que-hacemos/area-energetica/publicaciones/estadisticas/balance-energetico/" TargetMode="External"/><Relationship Id="rId744" Type="http://schemas.openxmlformats.org/officeDocument/2006/relationships/hyperlink" Target="https://mem.gob.gt/que-hacemos/area-energetica/publicaciones/estadisticas/balance-energetico/" TargetMode="External"/><Relationship Id="rId745" Type="http://schemas.openxmlformats.org/officeDocument/2006/relationships/hyperlink" Target="https://mem.gob.gt/que-hacemos/area-energetica/publicaciones/estadisticas/balance-energetico/" TargetMode="External"/><Relationship Id="rId746" Type="http://schemas.openxmlformats.org/officeDocument/2006/relationships/hyperlink" Target="https://mem.gob.gt/que-hacemos/area-energetica/publicaciones/estadisticas/balance-energetico/" TargetMode="External"/><Relationship Id="rId747" Type="http://schemas.openxmlformats.org/officeDocument/2006/relationships/hyperlink" Target="https://mem.gob.gt/que-hacemos/area-energetica/publicaciones/estadisticas/balance-energetico/" TargetMode="External"/><Relationship Id="rId748" Type="http://schemas.openxmlformats.org/officeDocument/2006/relationships/hyperlink" Target="https://mem.gob.gt/que-hacemos/area-energetica/publicaciones/estadisticas/balance-energetico/" TargetMode="External"/><Relationship Id="rId749" Type="http://schemas.openxmlformats.org/officeDocument/2006/relationships/hyperlink" Target="https://mem.gob.gt/que-hacemos/area-energetica/publicaciones/estadisticas/balance-energetico/" TargetMode="External"/><Relationship Id="rId750" Type="http://schemas.openxmlformats.org/officeDocument/2006/relationships/hyperlink" Target="https://mem.gob.gt/que-hacemos/area-energetica/publicaciones/estadisticas/balance-energetico/" TargetMode="External"/><Relationship Id="rId751" Type="http://schemas.openxmlformats.org/officeDocument/2006/relationships/hyperlink" Target="https://mem.gob.gt/que-hacemos/area-energetica/publicaciones/estadisticas/balance-energetico/" TargetMode="External"/><Relationship Id="rId752" Type="http://schemas.openxmlformats.org/officeDocument/2006/relationships/hyperlink" Target="https://mem.gob.gt/que-hacemos/area-energetica/publicaciones/estadisticas/balance-energetico/" TargetMode="External"/><Relationship Id="rId753" Type="http://schemas.openxmlformats.org/officeDocument/2006/relationships/hyperlink" Target="https://mem.gob.gt/que-hacemos/area-energetica/publicaciones/estadisticas/balance-energetico/" TargetMode="External"/><Relationship Id="rId754" Type="http://schemas.openxmlformats.org/officeDocument/2006/relationships/hyperlink" Target="https://mem.gob.gt/que-hacemos/area-energetica/publicaciones/estadisticas/balance-energetico/" TargetMode="External"/><Relationship Id="rId755" Type="http://schemas.openxmlformats.org/officeDocument/2006/relationships/hyperlink" Target="https://mem.gob.gt/que-hacemos/area-energetica/publicaciones/estadisticas/balance-energetico/" TargetMode="External"/><Relationship Id="rId756" Type="http://schemas.openxmlformats.org/officeDocument/2006/relationships/hyperlink" Target="https://mem.gob.gt/que-hacemos/area-energetica/publicaciones/estadisticas/balance-energetico/" TargetMode="External"/><Relationship Id="rId757" Type="http://schemas.openxmlformats.org/officeDocument/2006/relationships/hyperlink" Target="https://mem.gob.gt/que-hacemos/area-energetica/publicaciones/estadisticas/balance-energetico/" TargetMode="External"/><Relationship Id="rId758" Type="http://schemas.openxmlformats.org/officeDocument/2006/relationships/hyperlink" Target="https://mem.gob.gt/que-hacemos/area-energetica/publicaciones/estadisticas/balance-energetico/" TargetMode="External"/><Relationship Id="rId759" Type="http://schemas.openxmlformats.org/officeDocument/2006/relationships/hyperlink" Target="https://mem.gob.gt/que-hacemos/area-energetica/publicaciones/estadisticas/balance-energetico/" TargetMode="External"/><Relationship Id="rId760" Type="http://schemas.openxmlformats.org/officeDocument/2006/relationships/hyperlink" Target="https://mem.gob.gt/que-hacemos/area-energetica/publicaciones/estadisticas/balance-energetico/" TargetMode="External"/><Relationship Id="rId761" Type="http://schemas.openxmlformats.org/officeDocument/2006/relationships/hyperlink" Target="https://mem.gob.gt/que-hacemos/area-energetica/publicaciones/estadisticas/balance-energetico/" TargetMode="External"/><Relationship Id="rId762" Type="http://schemas.openxmlformats.org/officeDocument/2006/relationships/hyperlink" Target="https://mem.gob.gt/que-hacemos/area-energetica/publicaciones/estadisticas/balance-energetico/" TargetMode="External"/><Relationship Id="rId763" Type="http://schemas.openxmlformats.org/officeDocument/2006/relationships/hyperlink" Target="https://mem.gob.gt/que-hacemos/area-energetica/publicaciones/estadisticas/balance-energetico/" TargetMode="External"/><Relationship Id="rId764" Type="http://schemas.openxmlformats.org/officeDocument/2006/relationships/hyperlink" Target="https://mem.gob.gt/que-hacemos/area-energetica/publicaciones/estadisticas/balance-energetico/" TargetMode="External"/><Relationship Id="rId765" Type="http://schemas.openxmlformats.org/officeDocument/2006/relationships/hyperlink" Target="https://mem.gob.gt/que-hacemos/area-energetica/publicaciones/estadisticas/balance-energetico/" TargetMode="External"/><Relationship Id="rId766" Type="http://schemas.openxmlformats.org/officeDocument/2006/relationships/hyperlink" Target="https://mem.gob.gt/que-hacemos/area-energetica/publicaciones/estadisticas/balance-energetico/" TargetMode="External"/><Relationship Id="rId767" Type="http://schemas.openxmlformats.org/officeDocument/2006/relationships/hyperlink" Target="https://mem.gob.gt/que-hacemos/area-energetica/publicaciones/estadisticas/balance-energetico/" TargetMode="External"/><Relationship Id="rId768" Type="http://schemas.openxmlformats.org/officeDocument/2006/relationships/hyperlink" Target="https://mem.gob.gt/que-hacemos/area-energetica/publicaciones/estadisticas/balance-energetico/" TargetMode="External"/><Relationship Id="rId769" Type="http://schemas.openxmlformats.org/officeDocument/2006/relationships/hyperlink" Target="https://mem.gob.gt/que-hacemos/area-energetica/publicaciones/estadisticas/balance-energetico/" TargetMode="External"/><Relationship Id="rId770" Type="http://schemas.openxmlformats.org/officeDocument/2006/relationships/hyperlink" Target="https://mem.gob.gt/que-hacemos/area-energetica/publicaciones/estadisticas/balance-energetico/" TargetMode="External"/><Relationship Id="rId771" Type="http://schemas.openxmlformats.org/officeDocument/2006/relationships/hyperlink" Target="https://mem.gob.gt/que-hacemos/area-energetica/publicaciones/estadisticas/balance-energetico/" TargetMode="External"/><Relationship Id="rId772" Type="http://schemas.openxmlformats.org/officeDocument/2006/relationships/hyperlink" Target="https://mem.gob.gt/que-hacemos/area-energetica/publicaciones/estadisticas/balance-energetico/" TargetMode="External"/><Relationship Id="rId773" Type="http://schemas.openxmlformats.org/officeDocument/2006/relationships/hyperlink" Target="https://mem.gob.gt/que-hacemos/area-energetica/publicaciones/estadisticas/balance-energetico/" TargetMode="External"/><Relationship Id="rId774" Type="http://schemas.openxmlformats.org/officeDocument/2006/relationships/hyperlink" Target="https://mem.gob.gt/que-hacemos/area-energetica/publicaciones/estadisticas/balance-energetico/" TargetMode="External"/><Relationship Id="rId775" Type="http://schemas.openxmlformats.org/officeDocument/2006/relationships/hyperlink" Target="https://mem.gob.gt/que-hacemos/area-energetica/publicaciones/estadisticas/balance-energetico/" TargetMode="External"/><Relationship Id="rId776" Type="http://schemas.openxmlformats.org/officeDocument/2006/relationships/hyperlink" Target="https://mem.gob.gt/que-hacemos/area-energetica/publicaciones/estadisticas/balance-energetico/" TargetMode="External"/><Relationship Id="rId777" Type="http://schemas.openxmlformats.org/officeDocument/2006/relationships/hyperlink" Target="https://mem.gob.gt/que-hacemos/area-energetica/publicaciones/estadisticas/balance-energetico/" TargetMode="External"/><Relationship Id="rId778" Type="http://schemas.openxmlformats.org/officeDocument/2006/relationships/hyperlink" Target="https://mem.gob.gt/que-hacemos/area-energetica/publicaciones/estadisticas/balance-energetico/" TargetMode="External"/><Relationship Id="rId779" Type="http://schemas.openxmlformats.org/officeDocument/2006/relationships/hyperlink" Target="https://mem.gob.gt/que-hacemos/area-energetica/publicaciones/estadisticas/balance-energetico/" TargetMode="External"/><Relationship Id="rId780" Type="http://schemas.openxmlformats.org/officeDocument/2006/relationships/hyperlink" Target="https://mem.gob.gt/que-hacemos/area-energetica/publicaciones/estadisticas/balance-energetico/" TargetMode="External"/><Relationship Id="rId781" Type="http://schemas.openxmlformats.org/officeDocument/2006/relationships/hyperlink" Target="https://mem.gob.gt/que-hacemos/area-energetica/publicaciones/estadisticas/balance-energetico/" TargetMode="External"/><Relationship Id="rId782" Type="http://schemas.openxmlformats.org/officeDocument/2006/relationships/hyperlink" Target="https://mem.gob.gt/que-hacemos/area-energetica/publicaciones/estadisticas/balance-energetico/" TargetMode="External"/><Relationship Id="rId783" Type="http://schemas.openxmlformats.org/officeDocument/2006/relationships/hyperlink" Target="https://mem.gob.gt/que-hacemos/area-energetica/publicaciones/estadisticas/balance-energetico/" TargetMode="External"/><Relationship Id="rId784" Type="http://schemas.openxmlformats.org/officeDocument/2006/relationships/hyperlink" Target="https://mem.gob.gt/que-hacemos/area-energetica/publicaciones/estadisticas/balance-energetico/" TargetMode="External"/><Relationship Id="rId785" Type="http://schemas.openxmlformats.org/officeDocument/2006/relationships/hyperlink" Target="https://mem.gob.gt/que-hacemos/area-energetica/publicaciones/estadisticas/balance-energetico/" TargetMode="External"/><Relationship Id="rId786" Type="http://schemas.openxmlformats.org/officeDocument/2006/relationships/hyperlink" Target="https://mem.gob.gt/que-hacemos/area-energetica/publicaciones/estadisticas/balance-energetico/" TargetMode="External"/><Relationship Id="rId787" Type="http://schemas.openxmlformats.org/officeDocument/2006/relationships/hyperlink" Target="https://mem.gob.gt/que-hacemos/area-energetica/publicaciones/estadisticas/balance-energetico/" TargetMode="External"/><Relationship Id="rId788" Type="http://schemas.openxmlformats.org/officeDocument/2006/relationships/hyperlink" Target="https://mem.gob.gt/que-hacemos/area-energetica/publicaciones/estadisticas/balance-energetico/" TargetMode="External"/><Relationship Id="rId789" Type="http://schemas.openxmlformats.org/officeDocument/2006/relationships/hyperlink" Target="https://mem.gob.gt/que-hacemos/area-energetica/publicaciones/estadisticas/balance-energetico/" TargetMode="External"/><Relationship Id="rId790" Type="http://schemas.openxmlformats.org/officeDocument/2006/relationships/hyperlink" Target="https://mem.gob.gt/que-hacemos/area-energetica/publicaciones/estadisticas/balance-energetico/" TargetMode="External"/><Relationship Id="rId791" Type="http://schemas.openxmlformats.org/officeDocument/2006/relationships/hyperlink" Target="https://mem.gob.gt/que-hacemos/area-energetica/publicaciones/estadisticas/balance-energetico/" TargetMode="External"/><Relationship Id="rId792" Type="http://schemas.openxmlformats.org/officeDocument/2006/relationships/hyperlink" Target="https://mem.gob.gt/que-hacemos/area-energetica/publicaciones/estadisticas/balance-energetico/" TargetMode="External"/><Relationship Id="rId793" Type="http://schemas.openxmlformats.org/officeDocument/2006/relationships/hyperlink" Target="https://mem.gob.gt/que-hacemos/area-energetica/publicaciones/estadisticas/balance-energetico/" TargetMode="External"/><Relationship Id="rId794" Type="http://schemas.openxmlformats.org/officeDocument/2006/relationships/hyperlink" Target="https://mem.gob.gt/que-hacemos/area-energetica/publicaciones/estadisticas/balance-energetico/" TargetMode="External"/><Relationship Id="rId795" Type="http://schemas.openxmlformats.org/officeDocument/2006/relationships/hyperlink" Target="https://mem.gob.gt/que-hacemos/area-energetica/publicaciones/estadisticas/balance-energetico/" TargetMode="External"/><Relationship Id="rId796" Type="http://schemas.openxmlformats.org/officeDocument/2006/relationships/hyperlink" Target="https://mem.gob.gt/que-hacemos/area-energetica/publicaciones/estadisticas/balance-energetico/" TargetMode="External"/><Relationship Id="rId797" Type="http://schemas.openxmlformats.org/officeDocument/2006/relationships/hyperlink" Target="https://mem.gob.gt/que-hacemos/area-energetica/publicaciones/estadisticas/balance-energetico/" TargetMode="External"/><Relationship Id="rId798" Type="http://schemas.openxmlformats.org/officeDocument/2006/relationships/hyperlink" Target="https://mem.gob.gt/que-hacemos/area-energetica/publicaciones/estadisticas/balance-energetico/" TargetMode="External"/><Relationship Id="rId799" Type="http://schemas.openxmlformats.org/officeDocument/2006/relationships/hyperlink" Target="https://mem.gob.gt/que-hacemos/area-energetica/publicaciones/estadisticas/balance-energetico/" TargetMode="External"/><Relationship Id="rId800" Type="http://schemas.openxmlformats.org/officeDocument/2006/relationships/hyperlink" Target="https://mem.gob.gt/que-hacemos/area-energetica/publicaciones/estadisticas/balance-energetico/" TargetMode="External"/><Relationship Id="rId801" Type="http://schemas.openxmlformats.org/officeDocument/2006/relationships/hyperlink" Target="https://mem.gob.gt/que-hacemos/area-energetica/publicaciones/estadisticas/balance-energetico/" TargetMode="External"/><Relationship Id="rId802" Type="http://schemas.openxmlformats.org/officeDocument/2006/relationships/hyperlink" Target="https://mem.gob.gt/que-hacemos/area-energetica/publicaciones/estadisticas/balance-energetico/" TargetMode="External"/><Relationship Id="rId803" Type="http://schemas.openxmlformats.org/officeDocument/2006/relationships/hyperlink" Target="https://mem.gob.gt/que-hacemos/area-energetica/publicaciones/estadisticas/balance-energetico/" TargetMode="External"/><Relationship Id="rId804" Type="http://schemas.openxmlformats.org/officeDocument/2006/relationships/hyperlink" Target="https://mem.gob.gt/que-hacemos/area-energetica/publicaciones/estadisticas/balance-energetico/" TargetMode="External"/><Relationship Id="rId805" Type="http://schemas.openxmlformats.org/officeDocument/2006/relationships/hyperlink" Target="https://mem.gob.gt/que-hacemos/area-energetica/publicaciones/estadisticas/balance-energetico/" TargetMode="External"/><Relationship Id="rId806" Type="http://schemas.openxmlformats.org/officeDocument/2006/relationships/hyperlink" Target="https://mem.gob.gt/que-hacemos/area-energetica/publicaciones/estadisticas/balance-energetico/" TargetMode="External"/><Relationship Id="rId807" Type="http://schemas.openxmlformats.org/officeDocument/2006/relationships/hyperlink" Target="https://mem.gob.gt/que-hacemos/area-energetica/publicaciones/estadisticas/balance-energetico/" TargetMode="External"/><Relationship Id="rId808" Type="http://schemas.openxmlformats.org/officeDocument/2006/relationships/hyperlink" Target="https://mem.gob.gt/que-hacemos/area-energetica/publicaciones/estadisticas/balance-energetico/" TargetMode="External"/><Relationship Id="rId809" Type="http://schemas.openxmlformats.org/officeDocument/2006/relationships/hyperlink" Target="https://mem.gob.gt/que-hacemos/area-energetica/publicaciones/estadisticas/balance-energetico/" TargetMode="External"/><Relationship Id="rId810" Type="http://schemas.openxmlformats.org/officeDocument/2006/relationships/hyperlink" Target="https://mem.gob.gt/que-hacemos/area-energetica/publicaciones/estadisticas/balance-energetico/" TargetMode="External"/><Relationship Id="rId811" Type="http://schemas.openxmlformats.org/officeDocument/2006/relationships/hyperlink" Target="https://mem.gob.gt/que-hacemos/area-energetica/publicaciones/estadisticas/balance-energetico/" TargetMode="External"/><Relationship Id="rId812" Type="http://schemas.openxmlformats.org/officeDocument/2006/relationships/hyperlink" Target="https://mem.gob.gt/que-hacemos/area-energetica/publicaciones/estadisticas/balance-energetico/" TargetMode="External"/><Relationship Id="rId813" Type="http://schemas.openxmlformats.org/officeDocument/2006/relationships/hyperlink" Target="https://mem.gob.gt/que-hacemos/area-energetica/publicaciones/estadisticas/balance-energetico/" TargetMode="External"/><Relationship Id="rId814" Type="http://schemas.openxmlformats.org/officeDocument/2006/relationships/hyperlink" Target="https://mem.gob.gt/que-hacemos/area-energetica/publicaciones/estadisticas/balance-energetico/" TargetMode="External"/><Relationship Id="rId815" Type="http://schemas.openxmlformats.org/officeDocument/2006/relationships/hyperlink" Target="https://mem.gob.gt/que-hacemos/area-energetica/publicaciones/estadisticas/balance-energetico/" TargetMode="External"/><Relationship Id="rId816" Type="http://schemas.openxmlformats.org/officeDocument/2006/relationships/hyperlink" Target="https://mem.gob.gt/que-hacemos/area-energetica/publicaciones/estadisticas/balance-energetico/" TargetMode="External"/><Relationship Id="rId817" Type="http://schemas.openxmlformats.org/officeDocument/2006/relationships/hyperlink" Target="https://mem.gob.gt/que-hacemos/area-energetica/publicaciones/estadisticas/balance-energetico/" TargetMode="External"/><Relationship Id="rId818" Type="http://schemas.openxmlformats.org/officeDocument/2006/relationships/hyperlink" Target="https://mem.gob.gt/que-hacemos/area-energetica/publicaciones/estadisticas/balance-energetico/" TargetMode="External"/><Relationship Id="rId819" Type="http://schemas.openxmlformats.org/officeDocument/2006/relationships/hyperlink" Target="https://mem.gob.gt/que-hacemos/area-energetica/publicaciones/estadisticas/balance-energetico/" TargetMode="External"/><Relationship Id="rId820" Type="http://schemas.openxmlformats.org/officeDocument/2006/relationships/hyperlink" Target="https://mem.gob.gt/que-hacemos/area-energetica/publicaciones/estadisticas/balance-energetico/" TargetMode="External"/><Relationship Id="rId821" Type="http://schemas.openxmlformats.org/officeDocument/2006/relationships/hyperlink" Target="https://mem.gob.gt/que-hacemos/area-energetica/publicaciones/estadisticas/balance-energetico/" TargetMode="External"/><Relationship Id="rId822" Type="http://schemas.openxmlformats.org/officeDocument/2006/relationships/hyperlink" Target="https://mem.gob.gt/que-hacemos/area-energetica/publicaciones/estadisticas/balance-energetico/" TargetMode="External"/><Relationship Id="rId823" Type="http://schemas.openxmlformats.org/officeDocument/2006/relationships/hyperlink" Target="https://mem.gob.gt/que-hacemos/area-energetica/publicaciones/estadisticas/balance-energetico/" TargetMode="External"/><Relationship Id="rId824" Type="http://schemas.openxmlformats.org/officeDocument/2006/relationships/hyperlink" Target="https://mem.gob.gt/que-hacemos/area-energetica/publicaciones/estadisticas/balance-energetico/" TargetMode="External"/><Relationship Id="rId825" Type="http://schemas.openxmlformats.org/officeDocument/2006/relationships/hyperlink" Target="https://mem.gob.gt/que-hacemos/area-energetica/publicaciones/estadisticas/balance-energetico/" TargetMode="External"/><Relationship Id="rId826" Type="http://schemas.openxmlformats.org/officeDocument/2006/relationships/hyperlink" Target="https://mem.gob.gt/que-hacemos/area-energetica/publicaciones/estadisticas/balance-energetico/" TargetMode="External"/><Relationship Id="rId827" Type="http://schemas.openxmlformats.org/officeDocument/2006/relationships/hyperlink" Target="https://mem.gob.gt/que-hacemos/area-energetica/publicaciones/estadisticas/balance-energetico/" TargetMode="External"/><Relationship Id="rId828" Type="http://schemas.openxmlformats.org/officeDocument/2006/relationships/hyperlink" Target="https://mem.gob.gt/que-hacemos/area-energetica/publicaciones/estadisticas/balance-energetico/" TargetMode="External"/><Relationship Id="rId829" Type="http://schemas.openxmlformats.org/officeDocument/2006/relationships/hyperlink" Target="https://mem.gob.gt/que-hacemos/area-energetica/publicaciones/estadisticas/balance-energetico/" TargetMode="External"/><Relationship Id="rId830" Type="http://schemas.openxmlformats.org/officeDocument/2006/relationships/hyperlink" Target="https://mem.gob.gt/que-hacemos/area-energetica/publicaciones/estadisticas/balance-energetico/" TargetMode="External"/><Relationship Id="rId831" Type="http://schemas.openxmlformats.org/officeDocument/2006/relationships/hyperlink" Target="https://mem.gob.gt/que-hacemos/area-energetica/publicaciones/estadisticas/balance-energetico/" TargetMode="External"/><Relationship Id="rId832" Type="http://schemas.openxmlformats.org/officeDocument/2006/relationships/hyperlink" Target="https://mem.gob.gt/que-hacemos/area-energetica/publicaciones/estadisticas/balance-energetico/" TargetMode="External"/><Relationship Id="rId833" Type="http://schemas.openxmlformats.org/officeDocument/2006/relationships/hyperlink" Target="https://mem.gob.gt/que-hacemos/area-energetica/publicaciones/estadisticas/balance-energetico/" TargetMode="External"/><Relationship Id="rId834" Type="http://schemas.openxmlformats.org/officeDocument/2006/relationships/hyperlink" Target="https://mem.gob.gt/que-hacemos/area-energetica/publicaciones/estadisticas/balance-energetico/" TargetMode="External"/><Relationship Id="rId835" Type="http://schemas.openxmlformats.org/officeDocument/2006/relationships/hyperlink" Target="https://mem.gob.gt/que-hacemos/area-energetica/publicaciones/estadisticas/balance-energetico/" TargetMode="External"/><Relationship Id="rId836" Type="http://schemas.openxmlformats.org/officeDocument/2006/relationships/hyperlink" Target="https://mem.gob.gt/que-hacemos/area-energetica/publicaciones/estadisticas/balance-energetico/" TargetMode="External"/><Relationship Id="rId837" Type="http://schemas.openxmlformats.org/officeDocument/2006/relationships/hyperlink" Target="https://mem.gob.gt/que-hacemos/area-energetica/publicaciones/estadisticas/balance-energetico/" TargetMode="External"/><Relationship Id="rId838" Type="http://schemas.openxmlformats.org/officeDocument/2006/relationships/hyperlink" Target="https://mem.gob.gt/que-hacemos/area-energetica/publicaciones/estadisticas/balance-energetico/" TargetMode="External"/><Relationship Id="rId839" Type="http://schemas.openxmlformats.org/officeDocument/2006/relationships/hyperlink" Target="https://mem.gob.gt/que-hacemos/area-energetica/publicaciones/estadisticas/balance-energetico/" TargetMode="External"/><Relationship Id="rId840" Type="http://schemas.openxmlformats.org/officeDocument/2006/relationships/hyperlink" Target="https://mem.gob.gt/que-hacemos/area-energetica/publicaciones/estadisticas/balance-energetico/" TargetMode="External"/><Relationship Id="rId841" Type="http://schemas.openxmlformats.org/officeDocument/2006/relationships/hyperlink" Target="https://mem.gob.gt/que-hacemos/area-energetica/publicaciones/estadisticas/balance-energetico/" TargetMode="External"/><Relationship Id="rId842" Type="http://schemas.openxmlformats.org/officeDocument/2006/relationships/hyperlink" Target="https://mem.gob.gt/que-hacemos/area-energetica/publicaciones/estadisticas/balance-energetico/" TargetMode="External"/><Relationship Id="rId843" Type="http://schemas.openxmlformats.org/officeDocument/2006/relationships/hyperlink" Target="https://mem.gob.gt/que-hacemos/area-energetica/publicaciones/estadisticas/balance-energetico/" TargetMode="External"/><Relationship Id="rId844" Type="http://schemas.openxmlformats.org/officeDocument/2006/relationships/hyperlink" Target="https://mem.gob.gt/que-hacemos/area-energetica/publicaciones/estadisticas/balance-energetico/" TargetMode="External"/><Relationship Id="rId845" Type="http://schemas.openxmlformats.org/officeDocument/2006/relationships/hyperlink" Target="https://mem.gob.gt/que-hacemos/area-energetica/publicaciones/estadisticas/balance-energetico/" TargetMode="External"/><Relationship Id="rId846" Type="http://schemas.openxmlformats.org/officeDocument/2006/relationships/hyperlink" Target="https://mem.gob.gt/que-hacemos/area-energetica/publicaciones/estadisticas/balance-energetico/" TargetMode="External"/><Relationship Id="rId847" Type="http://schemas.openxmlformats.org/officeDocument/2006/relationships/hyperlink" Target="https://mem.gob.gt/que-hacemos/area-energetica/publicaciones/estadisticas/balance-energetico/" TargetMode="External"/><Relationship Id="rId848" Type="http://schemas.openxmlformats.org/officeDocument/2006/relationships/hyperlink" Target="https://mem.gob.gt/que-hacemos/area-energetica/publicaciones/estadisticas/balance-energetico/" TargetMode="External"/><Relationship Id="rId849" Type="http://schemas.openxmlformats.org/officeDocument/2006/relationships/hyperlink" Target="https://mem.gob.gt/que-hacemos/area-energetica/publicaciones/estadisticas/balance-energetico/" TargetMode="External"/><Relationship Id="rId850" Type="http://schemas.openxmlformats.org/officeDocument/2006/relationships/hyperlink" Target="https://mem.gob.gt/que-hacemos/area-energetica/publicaciones/estadisticas/balance-energetico/" TargetMode="External"/><Relationship Id="rId851" Type="http://schemas.openxmlformats.org/officeDocument/2006/relationships/hyperlink" Target="https://mem.gob.gt/que-hacemos/area-energetica/publicaciones/estadisticas/balance-energetico/" TargetMode="External"/><Relationship Id="rId852" Type="http://schemas.openxmlformats.org/officeDocument/2006/relationships/hyperlink" Target="https://mem.gob.gt/que-hacemos/area-energetica/publicaciones/estadisticas/balance-energetico/" TargetMode="External"/><Relationship Id="rId853" Type="http://schemas.openxmlformats.org/officeDocument/2006/relationships/hyperlink" Target="https://mem.gob.gt/que-hacemos/area-energetica/publicaciones/estadisticas/balance-energetico/" TargetMode="External"/><Relationship Id="rId854" Type="http://schemas.openxmlformats.org/officeDocument/2006/relationships/hyperlink" Target="https://mem.gob.gt/que-hacemos/area-energetica/publicaciones/estadisticas/balance-energetico/" TargetMode="External"/><Relationship Id="rId855" Type="http://schemas.openxmlformats.org/officeDocument/2006/relationships/hyperlink" Target="https://mem.gob.gt/que-hacemos/area-energetica/publicaciones/estadisticas/balance-energetico/" TargetMode="External"/><Relationship Id="rId856" Type="http://schemas.openxmlformats.org/officeDocument/2006/relationships/hyperlink" Target="https://mem.gob.gt/que-hacemos/area-energetica/publicaciones/estadisticas/balance-energetico/" TargetMode="External"/><Relationship Id="rId857" Type="http://schemas.openxmlformats.org/officeDocument/2006/relationships/hyperlink" Target="https://mem.gob.gt/que-hacemos/area-energetica/publicaciones/estadisticas/balance-energetico/" TargetMode="External"/><Relationship Id="rId858" Type="http://schemas.openxmlformats.org/officeDocument/2006/relationships/hyperlink" Target="https://mem.gob.gt/que-hacemos/area-energetica/publicaciones/estadisticas/balance-energetico/" TargetMode="External"/><Relationship Id="rId859" Type="http://schemas.openxmlformats.org/officeDocument/2006/relationships/hyperlink" Target="https://mem.gob.gt/que-hacemos/area-energetica/publicaciones/estadisticas/balance-energetico/" TargetMode="External"/><Relationship Id="rId860" Type="http://schemas.openxmlformats.org/officeDocument/2006/relationships/hyperlink" Target="https://mem.gob.gt/que-hacemos/area-energetica/publicaciones/estadisticas/balance-energetico/" TargetMode="External"/><Relationship Id="rId861" Type="http://schemas.openxmlformats.org/officeDocument/2006/relationships/hyperlink" Target="https://mem.gob.gt/que-hacemos/area-energetica/publicaciones/estadisticas/balance-energetico/" TargetMode="External"/><Relationship Id="rId862" Type="http://schemas.openxmlformats.org/officeDocument/2006/relationships/hyperlink" Target="https://mem.gob.gt/que-hacemos/area-energetica/publicaciones/estadisticas/balance-energetico/" TargetMode="External"/><Relationship Id="rId863" Type="http://schemas.openxmlformats.org/officeDocument/2006/relationships/hyperlink" Target="https://mem.gob.gt/que-hacemos/area-energetica/publicaciones/estadisticas/balance-energetico/" TargetMode="External"/><Relationship Id="rId864" Type="http://schemas.openxmlformats.org/officeDocument/2006/relationships/hyperlink" Target="https://mem.gob.gt/que-hacemos/area-energetica/publicaciones/estadisticas/balance-energetico/" TargetMode="External"/><Relationship Id="rId865" Type="http://schemas.openxmlformats.org/officeDocument/2006/relationships/hyperlink" Target="https://mem.gob.gt/que-hacemos/area-energetica/publicaciones/estadisticas/balance-energetico/" TargetMode="External"/><Relationship Id="rId866" Type="http://schemas.openxmlformats.org/officeDocument/2006/relationships/hyperlink" Target="https://mem.gob.gt/que-hacemos/area-energetica/publicaciones/estadisticas/balance-energetico/" TargetMode="External"/><Relationship Id="rId867" Type="http://schemas.openxmlformats.org/officeDocument/2006/relationships/hyperlink" Target="https://mem.gob.gt/que-hacemos/area-energetica/publicaciones/estadisticas/balance-energetico/" TargetMode="External"/><Relationship Id="rId868" Type="http://schemas.openxmlformats.org/officeDocument/2006/relationships/hyperlink" Target="https://mem.gob.gt/que-hacemos/area-energetica/publicaciones/estadisticas/balance-energetico/" TargetMode="External"/><Relationship Id="rId869" Type="http://schemas.openxmlformats.org/officeDocument/2006/relationships/hyperlink" Target="https://mem.gob.gt/que-hacemos/area-energetica/publicaciones/estadisticas/balance-energetico/" TargetMode="External"/><Relationship Id="rId870" Type="http://schemas.openxmlformats.org/officeDocument/2006/relationships/hyperlink" Target="https://mem.gob.gt/que-hacemos/area-energetica/publicaciones/estadisticas/balance-energetico/" TargetMode="External"/><Relationship Id="rId871" Type="http://schemas.openxmlformats.org/officeDocument/2006/relationships/hyperlink" Target="https://mem.gob.gt/que-hacemos/area-energetica/publicaciones/estadisticas/balance-energetico/" TargetMode="External"/><Relationship Id="rId872" Type="http://schemas.openxmlformats.org/officeDocument/2006/relationships/hyperlink" Target="https://mem.gob.gt/que-hacemos/area-energetica/publicaciones/estadisticas/balance-energetico/" TargetMode="External"/><Relationship Id="rId873" Type="http://schemas.openxmlformats.org/officeDocument/2006/relationships/hyperlink" Target="https://mem.gob.gt/que-hacemos/area-energetica/publicaciones/estadisticas/balance-energetico/" TargetMode="External"/><Relationship Id="rId874" Type="http://schemas.openxmlformats.org/officeDocument/2006/relationships/hyperlink" Target="https://mem.gob.gt/que-hacemos/area-energetica/publicaciones/estadisticas/balance-energetico/" TargetMode="External"/><Relationship Id="rId875" Type="http://schemas.openxmlformats.org/officeDocument/2006/relationships/hyperlink" Target="https://mem.gob.gt/que-hacemos/area-energetica/publicaciones/estadisticas/balance-energetico/" TargetMode="External"/><Relationship Id="rId876" Type="http://schemas.openxmlformats.org/officeDocument/2006/relationships/hyperlink" Target="https://mem.gob.gt/que-hacemos/area-energetica/publicaciones/estadisticas/balance-energetico/" TargetMode="External"/><Relationship Id="rId877" Type="http://schemas.openxmlformats.org/officeDocument/2006/relationships/hyperlink" Target="https://mem.gob.gt/que-hacemos/area-energetica/publicaciones/estadisticas/balance-energetico/" TargetMode="External"/><Relationship Id="rId878" Type="http://schemas.openxmlformats.org/officeDocument/2006/relationships/hyperlink" Target="https://mem.gob.gt/que-hacemos/area-energetica/publicaciones/estadisticas/balance-energetico/" TargetMode="External"/><Relationship Id="rId879" Type="http://schemas.openxmlformats.org/officeDocument/2006/relationships/hyperlink" Target="https://mem.gob.gt/que-hacemos/area-energetica/publicaciones/estadisticas/balance-energetico/" TargetMode="External"/><Relationship Id="rId880" Type="http://schemas.openxmlformats.org/officeDocument/2006/relationships/hyperlink" Target="https://mem.gob.gt/que-hacemos/area-energetica/publicaciones/estadisticas/balance-energetico/" TargetMode="External"/><Relationship Id="rId881" Type="http://schemas.openxmlformats.org/officeDocument/2006/relationships/hyperlink" Target="https://mem.gob.gt/que-hacemos/area-energetica/publicaciones/estadisticas/balance-energetico/" TargetMode="External"/><Relationship Id="rId882" Type="http://schemas.openxmlformats.org/officeDocument/2006/relationships/hyperlink" Target="https://mem.gob.gt/que-hacemos/area-energetica/publicaciones/estadisticas/balance-energetico/" TargetMode="External"/><Relationship Id="rId883" Type="http://schemas.openxmlformats.org/officeDocument/2006/relationships/hyperlink" Target="https://mem.gob.gt/que-hacemos/area-energetica/publicaciones/estadisticas/balance-energetico/" TargetMode="External"/><Relationship Id="rId884" Type="http://schemas.openxmlformats.org/officeDocument/2006/relationships/hyperlink" Target="https://mem.gob.gt/que-hacemos/area-energetica/publicaciones/estadisticas/balance-energetico/" TargetMode="External"/><Relationship Id="rId885" Type="http://schemas.openxmlformats.org/officeDocument/2006/relationships/hyperlink" Target="https://mem.gob.gt/que-hacemos/area-energetica/publicaciones/estadisticas/balance-energetico/" TargetMode="External"/><Relationship Id="rId886" Type="http://schemas.openxmlformats.org/officeDocument/2006/relationships/hyperlink" Target="https://mem.gob.gt/que-hacemos/area-energetica/publicaciones/estadisticas/balance-energetico/" TargetMode="External"/><Relationship Id="rId887" Type="http://schemas.openxmlformats.org/officeDocument/2006/relationships/hyperlink" Target="https://mem.gob.gt/que-hacemos/area-energetica/publicaciones/estadisticas/balance-energetico/" TargetMode="External"/><Relationship Id="rId888" Type="http://schemas.openxmlformats.org/officeDocument/2006/relationships/hyperlink" Target="https://mem.gob.gt/que-hacemos/area-energetica/publicaciones/estadisticas/balance-energetico/" TargetMode="External"/><Relationship Id="rId889" Type="http://schemas.openxmlformats.org/officeDocument/2006/relationships/hyperlink" Target="https://mem.gob.gt/que-hacemos/area-energetica/publicaciones/estadisticas/balance-energetico/" TargetMode="External"/><Relationship Id="rId890" Type="http://schemas.openxmlformats.org/officeDocument/2006/relationships/hyperlink" Target="https://mem.gob.gt/que-hacemos/area-energetica/publicaciones/estadisticas/balance-energetico/" TargetMode="External"/><Relationship Id="rId891" Type="http://schemas.openxmlformats.org/officeDocument/2006/relationships/hyperlink" Target="https://mem.gob.gt/que-hacemos/area-energetica/publicaciones/estadisticas/balance-energetico/" TargetMode="External"/><Relationship Id="rId892" Type="http://schemas.openxmlformats.org/officeDocument/2006/relationships/hyperlink" Target="https://mem.gob.gt/que-hacemos/area-energetica/publicaciones/estadisticas/balance-energetico/" TargetMode="External"/><Relationship Id="rId893" Type="http://schemas.openxmlformats.org/officeDocument/2006/relationships/hyperlink" Target="https://mem.gob.gt/que-hacemos/area-energetica/publicaciones/estadisticas/balance-energetico/" TargetMode="External"/><Relationship Id="rId894" Type="http://schemas.openxmlformats.org/officeDocument/2006/relationships/hyperlink" Target="https://mem.gob.gt/que-hacemos/area-energetica/publicaciones/estadisticas/balance-energetico/" TargetMode="External"/><Relationship Id="rId895" Type="http://schemas.openxmlformats.org/officeDocument/2006/relationships/hyperlink" Target="https://mem.gob.gt/que-hacemos/area-energetica/publicaciones/estadisticas/balance-energetico/" TargetMode="External"/><Relationship Id="rId896" Type="http://schemas.openxmlformats.org/officeDocument/2006/relationships/hyperlink" Target="https://mem.gob.gt/que-hacemos/area-energetica/publicaciones/estadisticas/balance-energetico/" TargetMode="External"/><Relationship Id="rId897" Type="http://schemas.openxmlformats.org/officeDocument/2006/relationships/hyperlink" Target="https://mem.gob.gt/que-hacemos/area-energetica/publicaciones/estadisticas/balance-energetico/" TargetMode="External"/><Relationship Id="rId898" Type="http://schemas.openxmlformats.org/officeDocument/2006/relationships/hyperlink" Target="https://mem.gob.gt/que-hacemos/area-energetica/publicaciones/estadisticas/balance-energetico/" TargetMode="External"/><Relationship Id="rId899" Type="http://schemas.openxmlformats.org/officeDocument/2006/relationships/hyperlink" Target="https://mem.gob.gt/que-hacemos/area-energetica/publicaciones/estadisticas/balance-energetico/" TargetMode="External"/><Relationship Id="rId900" Type="http://schemas.openxmlformats.org/officeDocument/2006/relationships/hyperlink" Target="https://mem.gob.gt/que-hacemos/area-energetica/publicaciones/estadisticas/balance-energetico/" TargetMode="External"/><Relationship Id="rId901" Type="http://schemas.openxmlformats.org/officeDocument/2006/relationships/hyperlink" Target="https://mem.gob.gt/que-hacemos/area-energetica/publicaciones/estadisticas/balance-energetico/" TargetMode="External"/><Relationship Id="rId902" Type="http://schemas.openxmlformats.org/officeDocument/2006/relationships/hyperlink" Target="https://mem.gob.gt/que-hacemos/area-energetica/publicaciones/estadisticas/balance-energetico/" TargetMode="External"/><Relationship Id="rId903" Type="http://schemas.openxmlformats.org/officeDocument/2006/relationships/hyperlink" Target="https://mem.gob.gt/que-hacemos/area-energetica/publicaciones/estadisticas/balance-energetico/" TargetMode="External"/><Relationship Id="rId904" Type="http://schemas.openxmlformats.org/officeDocument/2006/relationships/hyperlink" Target="https://mem.gob.gt/que-hacemos/area-energetica/publicaciones/estadisticas/balance-energetico/" TargetMode="External"/><Relationship Id="rId905" Type="http://schemas.openxmlformats.org/officeDocument/2006/relationships/hyperlink" Target="https://mem.gob.gt/que-hacemos/area-energetica/publicaciones/estadisticas/balance-energetico/" TargetMode="External"/><Relationship Id="rId906" Type="http://schemas.openxmlformats.org/officeDocument/2006/relationships/hyperlink" Target="https://mem.gob.gt/que-hacemos/area-energetica/publicaciones/estadisticas/balance-energetico/" TargetMode="External"/><Relationship Id="rId907" Type="http://schemas.openxmlformats.org/officeDocument/2006/relationships/hyperlink" Target="https://mem.gob.gt/que-hacemos/area-energetica/publicaciones/estadisticas/balance-energetico/" TargetMode="External"/><Relationship Id="rId908" Type="http://schemas.openxmlformats.org/officeDocument/2006/relationships/hyperlink" Target="https://mem.gob.gt/que-hacemos/area-energetica/publicaciones/estadisticas/balance-energetico/" TargetMode="External"/><Relationship Id="rId909" Type="http://schemas.openxmlformats.org/officeDocument/2006/relationships/hyperlink" Target="https://mem.gob.gt/que-hacemos/area-energetica/publicaciones/estadisticas/balance-energetico/" TargetMode="External"/><Relationship Id="rId910" Type="http://schemas.openxmlformats.org/officeDocument/2006/relationships/hyperlink" Target="https://mem.gob.gt/que-hacemos/area-energetica/publicaciones/estadisticas/balance-energetico/" TargetMode="External"/><Relationship Id="rId911" Type="http://schemas.openxmlformats.org/officeDocument/2006/relationships/hyperlink" Target="https://mem.gob.gt/que-hacemos/area-energetica/publicaciones/estadisticas/balance-energetico/" TargetMode="External"/><Relationship Id="rId912" Type="http://schemas.openxmlformats.org/officeDocument/2006/relationships/hyperlink" Target="https://mem.gob.gt/que-hacemos/area-energetica/publicaciones/estadisticas/balance-energetico/" TargetMode="External"/><Relationship Id="rId913" Type="http://schemas.openxmlformats.org/officeDocument/2006/relationships/hyperlink" Target="https://mem.gob.gt/que-hacemos/area-energetica/publicaciones/estadisticas/balance-energetico/" TargetMode="External"/><Relationship Id="rId914" Type="http://schemas.openxmlformats.org/officeDocument/2006/relationships/hyperlink" Target="https://mem.gob.gt/que-hacemos/area-energetica/publicaciones/estadisticas/balance-energetico/" TargetMode="External"/><Relationship Id="rId915" Type="http://schemas.openxmlformats.org/officeDocument/2006/relationships/hyperlink" Target="https://mem.gob.gt/que-hacemos/area-energetica/publicaciones/estadisticas/balance-energetico/" TargetMode="External"/><Relationship Id="rId916" Type="http://schemas.openxmlformats.org/officeDocument/2006/relationships/hyperlink" Target="https://mem.gob.gt/que-hacemos/area-energetica/publicaciones/estadisticas/balance-energetico/" TargetMode="External"/><Relationship Id="rId917" Type="http://schemas.openxmlformats.org/officeDocument/2006/relationships/hyperlink" Target="https://mem.gob.gt/que-hacemos/area-energetica/publicaciones/estadisticas/balance-energetico/" TargetMode="External"/><Relationship Id="rId918" Type="http://schemas.openxmlformats.org/officeDocument/2006/relationships/hyperlink" Target="https://mem.gob.gt/que-hacemos/area-energetica/publicaciones/estadisticas/balance-energetico/" TargetMode="External"/><Relationship Id="rId919" Type="http://schemas.openxmlformats.org/officeDocument/2006/relationships/hyperlink" Target="https://mem.gob.gt/que-hacemos/area-energetica/publicaciones/estadisticas/balance-energetico/" TargetMode="External"/><Relationship Id="rId920" Type="http://schemas.openxmlformats.org/officeDocument/2006/relationships/hyperlink" Target="https://mem.gob.gt/que-hacemos/area-energetica/publicaciones/estadisticas/balance-energetico/" TargetMode="External"/><Relationship Id="rId921" Type="http://schemas.openxmlformats.org/officeDocument/2006/relationships/hyperlink" Target="https://mem.gob.gt/que-hacemos/area-energetica/publicaciones/estadisticas/balance-energetico/" TargetMode="External"/><Relationship Id="rId922" Type="http://schemas.openxmlformats.org/officeDocument/2006/relationships/hyperlink" Target="https://mem.gob.gt/que-hacemos/area-energetica/publicaciones/estadisticas/balance-energetico/" TargetMode="External"/><Relationship Id="rId923" Type="http://schemas.openxmlformats.org/officeDocument/2006/relationships/hyperlink" Target="https://mem.gob.gt/que-hacemos/area-energetica/publicaciones/estadisticas/balance-energetico/" TargetMode="External"/><Relationship Id="rId924" Type="http://schemas.openxmlformats.org/officeDocument/2006/relationships/hyperlink" Target="https://mem.gob.gt/que-hacemos/area-energetica/publicaciones/estadisticas/balance-energetico/" TargetMode="External"/><Relationship Id="rId925" Type="http://schemas.openxmlformats.org/officeDocument/2006/relationships/hyperlink" Target="https://mem.gob.gt/que-hacemos/area-energetica/publicaciones/estadisticas/balance-energetico/" TargetMode="External"/><Relationship Id="rId926" Type="http://schemas.openxmlformats.org/officeDocument/2006/relationships/hyperlink" Target="https://mem.gob.gt/que-hacemos/area-energetica/publicaciones/estadisticas/balance-energetico/" TargetMode="External"/><Relationship Id="rId927" Type="http://schemas.openxmlformats.org/officeDocument/2006/relationships/hyperlink" Target="https://mem.gob.gt/que-hacemos/area-energetica/publicaciones/estadisticas/balance-energetico/" TargetMode="External"/><Relationship Id="rId928" Type="http://schemas.openxmlformats.org/officeDocument/2006/relationships/hyperlink" Target="https://mem.gob.gt/que-hacemos/area-energetica/publicaciones/estadisticas/balance-energetico/" TargetMode="External"/><Relationship Id="rId929" Type="http://schemas.openxmlformats.org/officeDocument/2006/relationships/hyperlink" Target="https://mem.gob.gt/que-hacemos/area-energetica/publicaciones/estadisticas/balance-energetico/" TargetMode="External"/><Relationship Id="rId930" Type="http://schemas.openxmlformats.org/officeDocument/2006/relationships/hyperlink" Target="https://mem.gob.gt/que-hacemos/area-energetica/publicaciones/estadisticas/balance-energetico/" TargetMode="External"/><Relationship Id="rId931" Type="http://schemas.openxmlformats.org/officeDocument/2006/relationships/hyperlink" Target="https://mem.gob.gt/que-hacemos/area-energetica/publicaciones/estadisticas/balance-energetico/" TargetMode="External"/><Relationship Id="rId932" Type="http://schemas.openxmlformats.org/officeDocument/2006/relationships/hyperlink" Target="https://mem.gob.gt/que-hacemos/area-energetica/publicaciones/estadisticas/balance-energetico/" TargetMode="External"/><Relationship Id="rId933" Type="http://schemas.openxmlformats.org/officeDocument/2006/relationships/hyperlink" Target="https://mem.gob.gt/que-hacemos/area-energetica/publicaciones/estadisticas/balance-energetico/" TargetMode="External"/><Relationship Id="rId934" Type="http://schemas.openxmlformats.org/officeDocument/2006/relationships/hyperlink" Target="https://mem.gob.gt/que-hacemos/area-energetica/publicaciones/estadisticas/balance-energetico/" TargetMode="External"/><Relationship Id="rId935" Type="http://schemas.openxmlformats.org/officeDocument/2006/relationships/hyperlink" Target="https://mem.gob.gt/que-hacemos/area-energetica/publicaciones/estadisticas/balance-energetico/" TargetMode="External"/><Relationship Id="rId936" Type="http://schemas.openxmlformats.org/officeDocument/2006/relationships/hyperlink" Target="https://mem.gob.gt/que-hacemos/area-energetica/publicaciones/estadisticas/balance-energetico/" TargetMode="External"/><Relationship Id="rId937" Type="http://schemas.openxmlformats.org/officeDocument/2006/relationships/hyperlink" Target="https://mem.gob.gt/que-hacemos/area-energetica/publicaciones/estadisticas/balance-energetico/" TargetMode="External"/><Relationship Id="rId938" Type="http://schemas.openxmlformats.org/officeDocument/2006/relationships/hyperlink" Target="https://mem.gob.gt/que-hacemos/area-energetica/publicaciones/estadisticas/balance-energetico/" TargetMode="External"/><Relationship Id="rId939" Type="http://schemas.openxmlformats.org/officeDocument/2006/relationships/hyperlink" Target="https://mem.gob.gt/que-hacemos/area-energetica/publicaciones/estadisticas/balance-energetico/" TargetMode="External"/><Relationship Id="rId940" Type="http://schemas.openxmlformats.org/officeDocument/2006/relationships/hyperlink" Target="https://mem.gob.gt/que-hacemos/area-energetica/publicaciones/estadisticas/balance-energetico/" TargetMode="External"/><Relationship Id="rId941" Type="http://schemas.openxmlformats.org/officeDocument/2006/relationships/hyperlink" Target="https://mem.gob.gt/que-hacemos/area-energetica/publicaciones/estadisticas/balance-energetico/" TargetMode="External"/><Relationship Id="rId942" Type="http://schemas.openxmlformats.org/officeDocument/2006/relationships/hyperlink" Target="https://mem.gob.gt/que-hacemos/area-energetica/publicaciones/estadisticas/balance-energetico/" TargetMode="External"/><Relationship Id="rId943" Type="http://schemas.openxmlformats.org/officeDocument/2006/relationships/hyperlink" Target="https://mem.gob.gt/que-hacemos/area-energetica/publicaciones/estadisticas/balance-energetico/" TargetMode="External"/><Relationship Id="rId944" Type="http://schemas.openxmlformats.org/officeDocument/2006/relationships/hyperlink" Target="https://mem.gob.gt/que-hacemos/area-energetica/publicaciones/estadisticas/balance-energetico/" TargetMode="External"/><Relationship Id="rId945" Type="http://schemas.openxmlformats.org/officeDocument/2006/relationships/hyperlink" Target="https://mem.gob.gt/que-hacemos/area-energetica/publicaciones/estadisticas/balance-energetico/" TargetMode="External"/><Relationship Id="rId946" Type="http://schemas.openxmlformats.org/officeDocument/2006/relationships/hyperlink" Target="https://mem.gob.gt/que-hacemos/area-energetica/publicaciones/estadisticas/balance-energetico/" TargetMode="External"/><Relationship Id="rId947" Type="http://schemas.openxmlformats.org/officeDocument/2006/relationships/hyperlink" Target="https://mem.gob.gt/que-hacemos/area-energetica/publicaciones/estadisticas/balance-energetico/" TargetMode="External"/><Relationship Id="rId948" Type="http://schemas.openxmlformats.org/officeDocument/2006/relationships/hyperlink" Target="https://mem.gob.gt/que-hacemos/area-energetica/publicaciones/estadisticas/balance-energetico/" TargetMode="External"/><Relationship Id="rId949" Type="http://schemas.openxmlformats.org/officeDocument/2006/relationships/hyperlink" Target="https://mem.gob.gt/que-hacemos/area-energetica/publicaciones/estadisticas/balance-energetico/" TargetMode="External"/><Relationship Id="rId950" Type="http://schemas.openxmlformats.org/officeDocument/2006/relationships/hyperlink" Target="https://mem.gob.gt/que-hacemos/area-energetica/publicaciones/estadisticas/balance-energetico/" TargetMode="External"/><Relationship Id="rId951" Type="http://schemas.openxmlformats.org/officeDocument/2006/relationships/hyperlink" Target="https://mem.gob.gt/que-hacemos/area-energetica/publicaciones/estadisticas/balance-energetico/" TargetMode="External"/><Relationship Id="rId952" Type="http://schemas.openxmlformats.org/officeDocument/2006/relationships/hyperlink" Target="https://mem.gob.gt/que-hacemos/area-energetica/publicaciones/estadisticas/balance-energetico/" TargetMode="External"/><Relationship Id="rId953" Type="http://schemas.openxmlformats.org/officeDocument/2006/relationships/hyperlink" Target="https://mem.gob.gt/que-hacemos/area-energetica/publicaciones/estadisticas/balance-energetico/" TargetMode="External"/><Relationship Id="rId954" Type="http://schemas.openxmlformats.org/officeDocument/2006/relationships/hyperlink" Target="https://mem.gob.gt/que-hacemos/area-energetica/publicaciones/estadisticas/balance-energetico/" TargetMode="External"/><Relationship Id="rId955" Type="http://schemas.openxmlformats.org/officeDocument/2006/relationships/hyperlink" Target="https://mem.gob.gt/que-hacemos/area-energetica/publicaciones/estadisticas/balance-energetico/" TargetMode="External"/><Relationship Id="rId956" Type="http://schemas.openxmlformats.org/officeDocument/2006/relationships/hyperlink" Target="https://mem.gob.gt/que-hacemos/area-energetica/publicaciones/estadisticas/balance-energetico/" TargetMode="External"/><Relationship Id="rId957" Type="http://schemas.openxmlformats.org/officeDocument/2006/relationships/hyperlink" Target="https://mem.gob.gt/que-hacemos/area-energetica/publicaciones/estadisticas/balance-energetico/" TargetMode="External"/><Relationship Id="rId958" Type="http://schemas.openxmlformats.org/officeDocument/2006/relationships/hyperlink" Target="https://mem.gob.gt/que-hacemos/area-energetica/publicaciones/estadisticas/balance-energetico/" TargetMode="External"/><Relationship Id="rId959" Type="http://schemas.openxmlformats.org/officeDocument/2006/relationships/hyperlink" Target="https://mem.gob.gt/que-hacemos/area-energetica/publicaciones/estadisticas/balance-energetico/" TargetMode="External"/><Relationship Id="rId960" Type="http://schemas.openxmlformats.org/officeDocument/2006/relationships/hyperlink" Target="https://mem.gob.gt/que-hacemos/area-energetica/publicaciones/estadisticas/balance-energetico/" TargetMode="External"/><Relationship Id="rId961" Type="http://schemas.openxmlformats.org/officeDocument/2006/relationships/hyperlink" Target="https://mem.gob.gt/que-hacemos/area-energetica/publicaciones/estadisticas/balance-energetico/" TargetMode="External"/><Relationship Id="rId962" Type="http://schemas.openxmlformats.org/officeDocument/2006/relationships/hyperlink" Target="https://mem.gob.gt/que-hacemos/area-energetica/publicaciones/estadisticas/balance-energetico/" TargetMode="External"/><Relationship Id="rId963" Type="http://schemas.openxmlformats.org/officeDocument/2006/relationships/hyperlink" Target="https://mem.gob.gt/que-hacemos/area-energetica/publicaciones/estadisticas/balance-energetico/" TargetMode="External"/><Relationship Id="rId964" Type="http://schemas.openxmlformats.org/officeDocument/2006/relationships/hyperlink" Target="https://mem.gob.gt/que-hacemos/area-energetica/publicaciones/estadisticas/balance-energetico/" TargetMode="External"/><Relationship Id="rId965" Type="http://schemas.openxmlformats.org/officeDocument/2006/relationships/hyperlink" Target="https://mem.gob.gt/que-hacemos/area-energetica/publicaciones/estadisticas/balance-energetico/" TargetMode="External"/><Relationship Id="rId966" Type="http://schemas.openxmlformats.org/officeDocument/2006/relationships/hyperlink" Target="https://mem.gob.gt/que-hacemos/area-energetica/publicaciones/estadisticas/balance-energetico/" TargetMode="External"/><Relationship Id="rId967" Type="http://schemas.openxmlformats.org/officeDocument/2006/relationships/hyperlink" Target="https://mem.gob.gt/que-hacemos/area-energetica/publicaciones/estadisticas/balance-energetico/" TargetMode="External"/><Relationship Id="rId968" Type="http://schemas.openxmlformats.org/officeDocument/2006/relationships/hyperlink" Target="https://mem.gob.gt/que-hacemos/area-energetica/publicaciones/estadisticas/balance-energetico/" TargetMode="External"/><Relationship Id="rId969" Type="http://schemas.openxmlformats.org/officeDocument/2006/relationships/hyperlink" Target="https://mem.gob.gt/que-hacemos/area-energetica/publicaciones/estadisticas/balance-energetico/" TargetMode="External"/><Relationship Id="rId970" Type="http://schemas.openxmlformats.org/officeDocument/2006/relationships/hyperlink" Target="https://mem.gob.gt/que-hacemos/area-energetica/publicaciones/estadisticas/balance-energetico/" TargetMode="External"/><Relationship Id="rId971" Type="http://schemas.openxmlformats.org/officeDocument/2006/relationships/hyperlink" Target="https://mem.gob.gt/que-hacemos/area-energetica/publicaciones/estadisticas/balance-energetico/" TargetMode="External"/><Relationship Id="rId972" Type="http://schemas.openxmlformats.org/officeDocument/2006/relationships/hyperlink" Target="https://mem.gob.gt/que-hacemos/area-energetica/publicaciones/estadisticas/balance-energetico/" TargetMode="External"/><Relationship Id="rId973" Type="http://schemas.openxmlformats.org/officeDocument/2006/relationships/hyperlink" Target="https://mem.gob.gt/que-hacemos/area-energetica/publicaciones/estadisticas/balance-energetico/" TargetMode="External"/><Relationship Id="rId974" Type="http://schemas.openxmlformats.org/officeDocument/2006/relationships/hyperlink" Target="https://mem.gob.gt/que-hacemos/area-energetica/publicaciones/estadisticas/balance-energetico/" TargetMode="External"/><Relationship Id="rId975" Type="http://schemas.openxmlformats.org/officeDocument/2006/relationships/hyperlink" Target="https://mem.gob.gt/que-hacemos/area-energetica/publicaciones/estadisticas/balance-energetico/" TargetMode="External"/><Relationship Id="rId976" Type="http://schemas.openxmlformats.org/officeDocument/2006/relationships/hyperlink" Target="https://mem.gob.gt/que-hacemos/area-energetica/publicaciones/estadisticas/balance-energetico/" TargetMode="External"/><Relationship Id="rId977" Type="http://schemas.openxmlformats.org/officeDocument/2006/relationships/hyperlink" Target="https://mem.gob.gt/que-hacemos/area-energetica/publicaciones/estadisticas/balance-energetico/" TargetMode="External"/><Relationship Id="rId978" Type="http://schemas.openxmlformats.org/officeDocument/2006/relationships/hyperlink" Target="https://mem.gob.gt/que-hacemos/area-energetica/publicaciones/estadisticas/balance-energetico/" TargetMode="External"/><Relationship Id="rId979" Type="http://schemas.openxmlformats.org/officeDocument/2006/relationships/hyperlink" Target="https://mem.gob.gt/que-hacemos/area-energetica/publicaciones/estadisticas/balance-energetico/" TargetMode="External"/><Relationship Id="rId980" Type="http://schemas.openxmlformats.org/officeDocument/2006/relationships/hyperlink" Target="https://mem.gob.gt/que-hacemos/area-energetica/publicaciones/estadisticas/balance-energetico/" TargetMode="External"/><Relationship Id="rId981" Type="http://schemas.openxmlformats.org/officeDocument/2006/relationships/hyperlink" Target="https://mem.gob.gt/que-hacemos/area-energetica/publicaciones/estadisticas/balance-energetico/" TargetMode="External"/><Relationship Id="rId982" Type="http://schemas.openxmlformats.org/officeDocument/2006/relationships/hyperlink" Target="https://mem.gob.gt/que-hacemos/area-energetica/publicaciones/estadisticas/balance-energetico/" TargetMode="External"/><Relationship Id="rId983" Type="http://schemas.openxmlformats.org/officeDocument/2006/relationships/hyperlink" Target="https://mem.gob.gt/que-hacemos/area-energetica/publicaciones/estadisticas/balance-energetico/" TargetMode="External"/><Relationship Id="rId984" Type="http://schemas.openxmlformats.org/officeDocument/2006/relationships/hyperlink" Target="https://mem.gob.gt/que-hacemos/area-energetica/publicaciones/estadisticas/balance-energetico/" TargetMode="External"/><Relationship Id="rId985" Type="http://schemas.openxmlformats.org/officeDocument/2006/relationships/hyperlink" Target="https://mem.gob.gt/que-hacemos/area-energetica/publicaciones/estadisticas/balance-energetico/" TargetMode="External"/><Relationship Id="rId986" Type="http://schemas.openxmlformats.org/officeDocument/2006/relationships/hyperlink" Target="https://mem.gob.gt/que-hacemos/area-energetica/publicaciones/estadisticas/balance-energetico/" TargetMode="External"/><Relationship Id="rId987" Type="http://schemas.openxmlformats.org/officeDocument/2006/relationships/hyperlink" Target="https://mem.gob.gt/que-hacemos/area-energetica/publicaciones/estadisticas/balance-energetico/" TargetMode="External"/><Relationship Id="rId988" Type="http://schemas.openxmlformats.org/officeDocument/2006/relationships/hyperlink" Target="https://mem.gob.gt/que-hacemos/area-energetica/publicaciones/estadisticas/balance-energetico/" TargetMode="External"/><Relationship Id="rId989" Type="http://schemas.openxmlformats.org/officeDocument/2006/relationships/hyperlink" Target="https://mem.gob.gt/que-hacemos/area-energetica/publicaciones/estadisticas/balance-energetico/" TargetMode="External"/><Relationship Id="rId990" Type="http://schemas.openxmlformats.org/officeDocument/2006/relationships/hyperlink" Target="https://mem.gob.gt/que-hacemos/area-energetica/publicaciones/estadisticas/balance-energetico/" TargetMode="External"/><Relationship Id="rId991" Type="http://schemas.openxmlformats.org/officeDocument/2006/relationships/hyperlink" Target="https://mem.gob.gt/que-hacemos/area-energetica/publicaciones/estadisticas/balance-energetico/" TargetMode="External"/><Relationship Id="rId992" Type="http://schemas.openxmlformats.org/officeDocument/2006/relationships/hyperlink" Target="https://mem.gob.gt/que-hacemos/area-energetica/publicaciones/estadisticas/balance-energetico/" TargetMode="External"/><Relationship Id="rId993" Type="http://schemas.openxmlformats.org/officeDocument/2006/relationships/hyperlink" Target="https://mem.gob.gt/que-hacemos/area-energetica/publicaciones/estadisticas/balance-energetico/" TargetMode="External"/><Relationship Id="rId994" Type="http://schemas.openxmlformats.org/officeDocument/2006/relationships/hyperlink" Target="https://mem.gob.gt/que-hacemos/area-energetica/publicaciones/estadisticas/balance-energetico/" TargetMode="External"/><Relationship Id="rId995" Type="http://schemas.openxmlformats.org/officeDocument/2006/relationships/hyperlink" Target="https://mem.gob.gt/que-hacemos/area-energetica/publicaciones/estadisticas/balance-energetico/" TargetMode="External"/><Relationship Id="rId996" Type="http://schemas.openxmlformats.org/officeDocument/2006/relationships/hyperlink" Target="https://mem.gob.gt/que-hacemos/area-energetica/publicaciones/estadisticas/balance-energetico/" TargetMode="External"/><Relationship Id="rId997" Type="http://schemas.openxmlformats.org/officeDocument/2006/relationships/hyperlink" Target="https://mem.gob.gt/que-hacemos/area-energetica/publicaciones/estadisticas/balance-energetico/" TargetMode="External"/><Relationship Id="rId998" Type="http://schemas.openxmlformats.org/officeDocument/2006/relationships/hyperlink" Target="https://mem.gob.gt/que-hacemos/area-energetica/publicaciones/estadisticas/balance-energetico/" TargetMode="External"/><Relationship Id="rId999" Type="http://schemas.openxmlformats.org/officeDocument/2006/relationships/hyperlink" Target="https://mem.gob.gt/que-hacemos/area-energetica/publicaciones/estadisticas/balance-energetico/" TargetMode="External"/><Relationship Id="rId1000" Type="http://schemas.openxmlformats.org/officeDocument/2006/relationships/hyperlink" Target="https://mem.gob.gt/que-hacemos/area-energetica/publicaciones/estadisticas/balance-energetico/" TargetMode="External"/><Relationship Id="rId1001" Type="http://schemas.openxmlformats.org/officeDocument/2006/relationships/hyperlink" Target="https://mem.gob.gt/que-hacemos/area-energetica/publicaciones/estadisticas/balance-energetico/" TargetMode="External"/><Relationship Id="rId1002" Type="http://schemas.openxmlformats.org/officeDocument/2006/relationships/hyperlink" Target="https://mem.gob.gt/que-hacemos/area-energetica/publicaciones/estadisticas/balance-energetico/" TargetMode="External"/><Relationship Id="rId1003" Type="http://schemas.openxmlformats.org/officeDocument/2006/relationships/hyperlink" Target="https://mem.gob.gt/que-hacemos/area-energetica/publicaciones/estadisticas/balance-energetico/" TargetMode="External"/><Relationship Id="rId1004" Type="http://schemas.openxmlformats.org/officeDocument/2006/relationships/hyperlink" Target="https://mem.gob.gt/que-hacemos/area-energetica/publicaciones/estadisticas/balance-energetico/" TargetMode="External"/><Relationship Id="rId1005" Type="http://schemas.openxmlformats.org/officeDocument/2006/relationships/hyperlink" Target="https://mem.gob.gt/que-hacemos/area-energetica/publicaciones/estadisticas/balance-energetico/" TargetMode="External"/><Relationship Id="rId1006" Type="http://schemas.openxmlformats.org/officeDocument/2006/relationships/hyperlink" Target="https://mem.gob.gt/que-hacemos/area-energetica/publicaciones/estadisticas/balance-energetico/" TargetMode="External"/><Relationship Id="rId1007" Type="http://schemas.openxmlformats.org/officeDocument/2006/relationships/hyperlink" Target="https://mem.gob.gt/que-hacemos/area-energetica/publicaciones/estadisticas/balance-energetico/" TargetMode="External"/><Relationship Id="rId1008" Type="http://schemas.openxmlformats.org/officeDocument/2006/relationships/hyperlink" Target="https://mem.gob.gt/que-hacemos/area-energetica/publicaciones/estadisticas/balance-energetico/" TargetMode="External"/><Relationship Id="rId1009" Type="http://schemas.openxmlformats.org/officeDocument/2006/relationships/hyperlink" Target="https://mem.gob.gt/que-hacemos/area-energetica/publicaciones/estadisticas/balance-energetico/" TargetMode="External"/><Relationship Id="rId1010" Type="http://schemas.openxmlformats.org/officeDocument/2006/relationships/hyperlink" Target="https://mem.gob.gt/que-hacemos/area-energetica/publicaciones/estadisticas/balance-energetico/" TargetMode="External"/><Relationship Id="rId1011" Type="http://schemas.openxmlformats.org/officeDocument/2006/relationships/hyperlink" Target="https://mem.gob.gt/que-hacemos/area-energetica/publicaciones/estadisticas/balance-energetico/" TargetMode="External"/><Relationship Id="rId1012" Type="http://schemas.openxmlformats.org/officeDocument/2006/relationships/hyperlink" Target="https://mem.gob.gt/que-hacemos/area-energetica/publicaciones/estadisticas/balance-energetico/" TargetMode="External"/><Relationship Id="rId1013" Type="http://schemas.openxmlformats.org/officeDocument/2006/relationships/hyperlink" Target="https://mem.gob.gt/que-hacemos/area-energetica/publicaciones/estadisticas/balance-energetico/" TargetMode="External"/><Relationship Id="rId1014" Type="http://schemas.openxmlformats.org/officeDocument/2006/relationships/hyperlink" Target="https://mem.gob.gt/que-hacemos/area-energetica/publicaciones/estadisticas/balance-energetico/" TargetMode="External"/><Relationship Id="rId1015" Type="http://schemas.openxmlformats.org/officeDocument/2006/relationships/hyperlink" Target="https://mem.gob.gt/que-hacemos/area-energetica/publicaciones/estadisticas/balance-energetico/" TargetMode="External"/><Relationship Id="rId1016" Type="http://schemas.openxmlformats.org/officeDocument/2006/relationships/hyperlink" Target="https://mem.gob.gt/que-hacemos/area-energetica/publicaciones/estadisticas/balance-energetico/" TargetMode="External"/><Relationship Id="rId1017" Type="http://schemas.openxmlformats.org/officeDocument/2006/relationships/hyperlink" Target="https://mem.gob.gt/que-hacemos/area-energetica/publicaciones/estadisticas/balance-energetico/" TargetMode="External"/><Relationship Id="rId1018" Type="http://schemas.openxmlformats.org/officeDocument/2006/relationships/hyperlink" Target="https://mem.gob.gt/que-hacemos/area-energetica/publicaciones/estadisticas/balance-energetico/" TargetMode="External"/><Relationship Id="rId1019" Type="http://schemas.openxmlformats.org/officeDocument/2006/relationships/hyperlink" Target="https://mem.gob.gt/que-hacemos/area-energetica/publicaciones/estadisticas/balance-energetico/" TargetMode="External"/><Relationship Id="rId1020" Type="http://schemas.openxmlformats.org/officeDocument/2006/relationships/hyperlink" Target="https://mem.gob.gt/que-hacemos/area-energetica/publicaciones/estadisticas/balance-energetico/" TargetMode="External"/><Relationship Id="rId1021" Type="http://schemas.openxmlformats.org/officeDocument/2006/relationships/hyperlink" Target="https://mem.gob.gt/que-hacemos/area-energetica/publicaciones/estadisticas/balance-energetico/" TargetMode="External"/><Relationship Id="rId1022" Type="http://schemas.openxmlformats.org/officeDocument/2006/relationships/hyperlink" Target="https://mem.gob.gt/que-hacemos/area-energetica/publicaciones/estadisticas/balance-energetico/" TargetMode="External"/><Relationship Id="rId1023" Type="http://schemas.openxmlformats.org/officeDocument/2006/relationships/hyperlink" Target="https://mem.gob.gt/que-hacemos/area-energetica/publicaciones/estadisticas/balance-energetico/" TargetMode="External"/><Relationship Id="rId1024" Type="http://schemas.openxmlformats.org/officeDocument/2006/relationships/hyperlink" Target="https://mem.gob.gt/que-hacemos/area-energetica/publicaciones/estadisticas/balance-energetico/" TargetMode="External"/><Relationship Id="rId1025" Type="http://schemas.openxmlformats.org/officeDocument/2006/relationships/hyperlink" Target="https://mem.gob.gt/que-hacemos/area-energetica/publicaciones/estadisticas/balance-energetico/" TargetMode="External"/><Relationship Id="rId1026" Type="http://schemas.openxmlformats.org/officeDocument/2006/relationships/hyperlink" Target="https://mem.gob.gt/que-hacemos/area-energetica/publicaciones/estadisticas/balance-energetico/" TargetMode="External"/><Relationship Id="rId1027" Type="http://schemas.openxmlformats.org/officeDocument/2006/relationships/hyperlink" Target="https://mem.gob.gt/que-hacemos/area-energetica/publicaciones/estadisticas/balance-energetico/" TargetMode="External"/><Relationship Id="rId1028" Type="http://schemas.openxmlformats.org/officeDocument/2006/relationships/hyperlink" Target="https://mem.gob.gt/que-hacemos/area-energetica/publicaciones/estadisticas/balance-energetico/" TargetMode="External"/><Relationship Id="rId1029" Type="http://schemas.openxmlformats.org/officeDocument/2006/relationships/hyperlink" Target="https://mem.gob.gt/que-hacemos/area-energetica/publicaciones/estadisticas/balance-energetico/" TargetMode="External"/><Relationship Id="rId1030" Type="http://schemas.openxmlformats.org/officeDocument/2006/relationships/hyperlink" Target="https://mem.gob.gt/que-hacemos/area-energetica/publicaciones/estadisticas/balance-energetico/" TargetMode="External"/><Relationship Id="rId1031" Type="http://schemas.openxmlformats.org/officeDocument/2006/relationships/hyperlink" Target="https://mem.gob.gt/que-hacemos/area-energetica/publicaciones/estadisticas/balance-energetico/" TargetMode="External"/><Relationship Id="rId1032" Type="http://schemas.openxmlformats.org/officeDocument/2006/relationships/hyperlink" Target="https://mem.gob.gt/que-hacemos/area-energetica/publicaciones/estadisticas/balance-energetico/" TargetMode="External"/><Relationship Id="rId1033" Type="http://schemas.openxmlformats.org/officeDocument/2006/relationships/hyperlink" Target="https://mem.gob.gt/que-hacemos/area-energetica/publicaciones/estadisticas/balance-energetico/" TargetMode="External"/><Relationship Id="rId1034" Type="http://schemas.openxmlformats.org/officeDocument/2006/relationships/hyperlink" Target="https://mem.gob.gt/que-hacemos/area-energetica/publicaciones/estadisticas/balance-energetico/" TargetMode="External"/><Relationship Id="rId1035" Type="http://schemas.openxmlformats.org/officeDocument/2006/relationships/hyperlink" Target="https://mem.gob.gt/que-hacemos/area-energetica/publicaciones/estadisticas/balance-energetico/" TargetMode="External"/><Relationship Id="rId1036" Type="http://schemas.openxmlformats.org/officeDocument/2006/relationships/hyperlink" Target="https://mem.gob.gt/que-hacemos/area-energetica/publicaciones/estadisticas/balance-energetico/" TargetMode="External"/><Relationship Id="rId1037" Type="http://schemas.openxmlformats.org/officeDocument/2006/relationships/hyperlink" Target="https://mem.gob.gt/que-hacemos/area-energetica/publicaciones/estadisticas/balance-energetico/" TargetMode="External"/><Relationship Id="rId1038" Type="http://schemas.openxmlformats.org/officeDocument/2006/relationships/hyperlink" Target="https://mem.gob.gt/que-hacemos/area-energetica/publicaciones/estadisticas/balance-energetico/" TargetMode="External"/><Relationship Id="rId1039" Type="http://schemas.openxmlformats.org/officeDocument/2006/relationships/hyperlink" Target="https://mem.gob.gt/que-hacemos/area-energetica/publicaciones/estadisticas/balance-energetico/" TargetMode="External"/><Relationship Id="rId1040" Type="http://schemas.openxmlformats.org/officeDocument/2006/relationships/hyperlink" Target="https://mem.gob.gt/que-hacemos/area-energetica/publicaciones/estadisticas/balance-energetico/" TargetMode="External"/><Relationship Id="rId1041" Type="http://schemas.openxmlformats.org/officeDocument/2006/relationships/hyperlink" Target="https://mem.gob.gt/que-hacemos/area-energetica/publicaciones/estadisticas/balance-energetico/" TargetMode="External"/><Relationship Id="rId1042" Type="http://schemas.openxmlformats.org/officeDocument/2006/relationships/hyperlink" Target="https://mem.gob.gt/que-hacemos/area-energetica/publicaciones/estadisticas/balance-energetico/" TargetMode="External"/><Relationship Id="rId1043" Type="http://schemas.openxmlformats.org/officeDocument/2006/relationships/hyperlink" Target="https://mem.gob.gt/que-hacemos/area-energetica/publicaciones/estadisticas/balance-energetico/" TargetMode="External"/><Relationship Id="rId1044" Type="http://schemas.openxmlformats.org/officeDocument/2006/relationships/hyperlink" Target="https://mem.gob.gt/que-hacemos/area-energetica/publicaciones/estadisticas/balance-energetico/" TargetMode="External"/><Relationship Id="rId1045" Type="http://schemas.openxmlformats.org/officeDocument/2006/relationships/hyperlink" Target="https://mem.gob.gt/que-hacemos/area-energetica/publicaciones/estadisticas/balance-energetico/" TargetMode="External"/><Relationship Id="rId1046" Type="http://schemas.openxmlformats.org/officeDocument/2006/relationships/hyperlink" Target="https://mem.gob.gt/que-hacemos/area-energetica/publicaciones/estadisticas/balance-energetico/" TargetMode="External"/><Relationship Id="rId1047" Type="http://schemas.openxmlformats.org/officeDocument/2006/relationships/hyperlink" Target="https://mem.gob.gt/que-hacemos/area-energetica/publicaciones/estadisticas/balance-energetico/" TargetMode="External"/><Relationship Id="rId1048" Type="http://schemas.openxmlformats.org/officeDocument/2006/relationships/hyperlink" Target="https://mem.gob.gt/que-hacemos/area-energetica/publicaciones/estadisticas/balance-energetico/" TargetMode="External"/><Relationship Id="rId1049" Type="http://schemas.openxmlformats.org/officeDocument/2006/relationships/hyperlink" Target="https://mem.gob.gt/que-hacemos/area-energetica/publicaciones/estadisticas/balance-energetico/" TargetMode="External"/><Relationship Id="rId1050" Type="http://schemas.openxmlformats.org/officeDocument/2006/relationships/hyperlink" Target="https://mem.gob.gt/que-hacemos/area-energetica/publicaciones/estadisticas/balance-energetico/" TargetMode="External"/><Relationship Id="rId1051" Type="http://schemas.openxmlformats.org/officeDocument/2006/relationships/hyperlink" Target="https://mem.gob.gt/que-hacemos/area-energetica/publicaciones/estadisticas/balance-energetico/" TargetMode="External"/><Relationship Id="rId1052" Type="http://schemas.openxmlformats.org/officeDocument/2006/relationships/hyperlink" Target="https://mem.gob.gt/que-hacemos/area-energetica/publicaciones/estadisticas/balance-energetico/" TargetMode="External"/><Relationship Id="rId1053" Type="http://schemas.openxmlformats.org/officeDocument/2006/relationships/hyperlink" Target="https://mem.gob.gt/que-hacemos/area-energetica/publicaciones/estadisticas/balance-energetico/" TargetMode="External"/><Relationship Id="rId1054" Type="http://schemas.openxmlformats.org/officeDocument/2006/relationships/hyperlink" Target="https://mem.gob.gt/que-hacemos/area-energetica/publicaciones/estadisticas/balance-energetico/" TargetMode="External"/><Relationship Id="rId1055" Type="http://schemas.openxmlformats.org/officeDocument/2006/relationships/hyperlink" Target="https://mem.gob.gt/que-hacemos/area-energetica/publicaciones/estadisticas/balance-energetico/" TargetMode="External"/><Relationship Id="rId1056" Type="http://schemas.openxmlformats.org/officeDocument/2006/relationships/hyperlink" Target="https://mem.gob.gt/que-hacemos/area-energetica/publicaciones/estadisticas/balance-energetico/" TargetMode="External"/><Relationship Id="rId1057" Type="http://schemas.openxmlformats.org/officeDocument/2006/relationships/hyperlink" Target="https://mem.gob.gt/que-hacemos/area-energetica/publicaciones/estadisticas/balance-energetico/" TargetMode="External"/><Relationship Id="rId1058" Type="http://schemas.openxmlformats.org/officeDocument/2006/relationships/hyperlink" Target="https://mem.gob.gt/que-hacemos/area-energetica/publicaciones/estadisticas/balance-energetico/" TargetMode="External"/><Relationship Id="rId1059" Type="http://schemas.openxmlformats.org/officeDocument/2006/relationships/hyperlink" Target="https://mem.gob.gt/que-hacemos/area-energetica/publicaciones/estadisticas/balance-energetico/" TargetMode="External"/><Relationship Id="rId1060" Type="http://schemas.openxmlformats.org/officeDocument/2006/relationships/hyperlink" Target="https://mem.gob.gt/que-hacemos/area-energetica/publicaciones/estadisticas/balance-energetico/" TargetMode="External"/><Relationship Id="rId1061" Type="http://schemas.openxmlformats.org/officeDocument/2006/relationships/hyperlink" Target="https://mem.gob.gt/que-hacemos/area-energetica/publicaciones/estadisticas/balance-energetico/" TargetMode="External"/><Relationship Id="rId1062" Type="http://schemas.openxmlformats.org/officeDocument/2006/relationships/hyperlink" Target="https://mem.gob.gt/que-hacemos/area-energetica/publicaciones/estadisticas/balance-energetico/" TargetMode="External"/><Relationship Id="rId1063" Type="http://schemas.openxmlformats.org/officeDocument/2006/relationships/hyperlink" Target="https://mem.gob.gt/que-hacemos/area-energetica/publicaciones/estadisticas/balance-energetico/" TargetMode="External"/><Relationship Id="rId1064" Type="http://schemas.openxmlformats.org/officeDocument/2006/relationships/hyperlink" Target="https://mem.gob.gt/que-hacemos/area-energetica/publicaciones/estadisticas/balance-energetico/" TargetMode="External"/><Relationship Id="rId1065" Type="http://schemas.openxmlformats.org/officeDocument/2006/relationships/hyperlink" Target="https://mem.gob.gt/que-hacemos/area-energetica/publicaciones/estadisticas/balance-energetico/" TargetMode="External"/><Relationship Id="rId1066" Type="http://schemas.openxmlformats.org/officeDocument/2006/relationships/hyperlink" Target="https://mem.gob.gt/que-hacemos/area-energetica/publicaciones/estadisticas/balance-energetico/" TargetMode="External"/><Relationship Id="rId1067" Type="http://schemas.openxmlformats.org/officeDocument/2006/relationships/hyperlink" Target="https://mem.gob.gt/que-hacemos/area-energetica/publicaciones/estadisticas/balance-energetico/" TargetMode="External"/><Relationship Id="rId1068" Type="http://schemas.openxmlformats.org/officeDocument/2006/relationships/hyperlink" Target="https://mem.gob.gt/que-hacemos/area-energetica/publicaciones/estadisticas/balance-energetico/" TargetMode="External"/><Relationship Id="rId1069" Type="http://schemas.openxmlformats.org/officeDocument/2006/relationships/hyperlink" Target="https://mem.gob.gt/que-hacemos/area-energetica/publicaciones/estadisticas/balance-energetico/" TargetMode="External"/><Relationship Id="rId1070" Type="http://schemas.openxmlformats.org/officeDocument/2006/relationships/hyperlink" Target="https://mem.gob.gt/que-hacemos/area-energetica/publicaciones/estadisticas/balance-energetico/" TargetMode="External"/><Relationship Id="rId1071" Type="http://schemas.openxmlformats.org/officeDocument/2006/relationships/hyperlink" Target="https://mem.gob.gt/que-hacemos/area-energetica/publicaciones/estadisticas/balance-energetico/" TargetMode="External"/><Relationship Id="rId1072" Type="http://schemas.openxmlformats.org/officeDocument/2006/relationships/hyperlink" Target="https://mem.gob.gt/que-hacemos/area-energetica/publicaciones/estadisticas/balance-energetico/" TargetMode="External"/><Relationship Id="rId1073" Type="http://schemas.openxmlformats.org/officeDocument/2006/relationships/hyperlink" Target="https://mem.gob.gt/que-hacemos/area-energetica/publicaciones/estadisticas/balance-energetico/" TargetMode="External"/><Relationship Id="rId1074" Type="http://schemas.openxmlformats.org/officeDocument/2006/relationships/hyperlink" Target="https://mem.gob.gt/que-hacemos/area-energetica/publicaciones/estadisticas/balance-energetico/" TargetMode="External"/><Relationship Id="rId1075" Type="http://schemas.openxmlformats.org/officeDocument/2006/relationships/hyperlink" Target="https://mem.gob.gt/que-hacemos/area-energetica/publicaciones/estadisticas/balance-energetico/" TargetMode="External"/><Relationship Id="rId1076" Type="http://schemas.openxmlformats.org/officeDocument/2006/relationships/hyperlink" Target="https://mem.gob.gt/que-hacemos/area-energetica/publicaciones/estadisticas/balance-energetico/" TargetMode="External"/><Relationship Id="rId1077" Type="http://schemas.openxmlformats.org/officeDocument/2006/relationships/hyperlink" Target="https://mem.gob.gt/que-hacemos/area-energetica/publicaciones/estadisticas/balance-energetico/" TargetMode="External"/><Relationship Id="rId1078" Type="http://schemas.openxmlformats.org/officeDocument/2006/relationships/hyperlink" Target="https://mem.gob.gt/que-hacemos/area-energetica/publicaciones/estadisticas/balance-energetico/" TargetMode="External"/><Relationship Id="rId1079" Type="http://schemas.openxmlformats.org/officeDocument/2006/relationships/hyperlink" Target="https://mem.gob.gt/que-hacemos/area-energetica/publicaciones/estadisticas/balance-energetico/" TargetMode="External"/><Relationship Id="rId1080" Type="http://schemas.openxmlformats.org/officeDocument/2006/relationships/hyperlink" Target="https://mem.gob.gt/que-hacemos/area-energetica/publicaciones/estadisticas/balance-energetico/" TargetMode="External"/><Relationship Id="rId1081" Type="http://schemas.openxmlformats.org/officeDocument/2006/relationships/hyperlink" Target="https://mem.gob.gt/que-hacemos/area-energetica/publicaciones/estadisticas/balance-energetico/" TargetMode="External"/><Relationship Id="rId1082" Type="http://schemas.openxmlformats.org/officeDocument/2006/relationships/hyperlink" Target="https://mem.gob.gt/que-hacemos/area-energetica/publicaciones/estadisticas/balance-energetico/" TargetMode="External"/><Relationship Id="rId1083" Type="http://schemas.openxmlformats.org/officeDocument/2006/relationships/hyperlink" Target="https://mem.gob.gt/que-hacemos/area-energetica/publicaciones/estadisticas/balance-energetico/" TargetMode="External"/><Relationship Id="rId1084" Type="http://schemas.openxmlformats.org/officeDocument/2006/relationships/hyperlink" Target="https://mem.gob.gt/que-hacemos/area-energetica/publicaciones/estadisticas/balance-energetico/" TargetMode="External"/><Relationship Id="rId1085" Type="http://schemas.openxmlformats.org/officeDocument/2006/relationships/hyperlink" Target="https://mem.gob.gt/que-hacemos/area-energetica/publicaciones/estadisticas/balance-energetico/" TargetMode="External"/><Relationship Id="rId1086" Type="http://schemas.openxmlformats.org/officeDocument/2006/relationships/hyperlink" Target="https://mem.gob.gt/que-hacemos/area-energetica/publicaciones/estadisticas/balance-energetico/" TargetMode="External"/><Relationship Id="rId1087" Type="http://schemas.openxmlformats.org/officeDocument/2006/relationships/hyperlink" Target="https://mem.gob.gt/que-hacemos/area-energetica/publicaciones/estadisticas/balance-energetico/" TargetMode="External"/><Relationship Id="rId1088" Type="http://schemas.openxmlformats.org/officeDocument/2006/relationships/hyperlink" Target="https://mem.gob.gt/que-hacemos/area-energetica/publicaciones/estadisticas/balance-energetico/" TargetMode="External"/><Relationship Id="rId1089" Type="http://schemas.openxmlformats.org/officeDocument/2006/relationships/hyperlink" Target="https://mem.gob.gt/que-hacemos/area-energetica/publicaciones/estadisticas/balance-energetico/" TargetMode="External"/><Relationship Id="rId1090" Type="http://schemas.openxmlformats.org/officeDocument/2006/relationships/hyperlink" Target="https://mem.gob.gt/que-hacemos/area-energetica/publicaciones/estadisticas/balance-energetico/" TargetMode="External"/><Relationship Id="rId1091" Type="http://schemas.openxmlformats.org/officeDocument/2006/relationships/hyperlink" Target="https://mem.gob.gt/que-hacemos/area-energetica/publicaciones/estadisticas/balance-energetico/" TargetMode="External"/><Relationship Id="rId1092" Type="http://schemas.openxmlformats.org/officeDocument/2006/relationships/hyperlink" Target="https://mem.gob.gt/que-hacemos/area-energetica/publicaciones/estadisticas/balance-energetico/" TargetMode="External"/><Relationship Id="rId1093" Type="http://schemas.openxmlformats.org/officeDocument/2006/relationships/hyperlink" Target="https://mem.gob.gt/que-hacemos/area-energetica/publicaciones/estadisticas/balance-energetico/" TargetMode="External"/><Relationship Id="rId1094" Type="http://schemas.openxmlformats.org/officeDocument/2006/relationships/hyperlink" Target="https://mem.gob.gt/que-hacemos/area-energetica/publicaciones/estadisticas/balance-energetico/" TargetMode="External"/><Relationship Id="rId1095" Type="http://schemas.openxmlformats.org/officeDocument/2006/relationships/hyperlink" Target="https://mem.gob.gt/que-hacemos/area-energetica/publicaciones/estadisticas/balance-energetico/" TargetMode="External"/><Relationship Id="rId1096" Type="http://schemas.openxmlformats.org/officeDocument/2006/relationships/hyperlink" Target="https://mem.gob.gt/que-hacemos/area-energetica/publicaciones/estadisticas/balance-energetico/" TargetMode="External"/><Relationship Id="rId1097" Type="http://schemas.openxmlformats.org/officeDocument/2006/relationships/hyperlink" Target="https://mem.gob.gt/que-hacemos/area-energetica/publicaciones/estadisticas/balance-energetico/" TargetMode="External"/><Relationship Id="rId1098" Type="http://schemas.openxmlformats.org/officeDocument/2006/relationships/hyperlink" Target="https://mem.gob.gt/que-hacemos/area-energetica/publicaciones/estadisticas/balance-energetico/" TargetMode="External"/><Relationship Id="rId1099" Type="http://schemas.openxmlformats.org/officeDocument/2006/relationships/hyperlink" Target="https://mem.gob.gt/que-hacemos/area-energetica/publicaciones/estadisticas/balance-energetico/" TargetMode="External"/><Relationship Id="rId1100" Type="http://schemas.openxmlformats.org/officeDocument/2006/relationships/hyperlink" Target="https://mem.gob.gt/que-hacemos/area-energetica/publicaciones/estadisticas/balance-energetico/" TargetMode="External"/><Relationship Id="rId1101" Type="http://schemas.openxmlformats.org/officeDocument/2006/relationships/hyperlink" Target="https://mem.gob.gt/que-hacemos/area-energetica/publicaciones/estadisticas/balance-energetico/" TargetMode="External"/><Relationship Id="rId1102" Type="http://schemas.openxmlformats.org/officeDocument/2006/relationships/hyperlink" Target="https://mem.gob.gt/que-hacemos/area-energetica/publicaciones/estadisticas/balance-energetico/" TargetMode="External"/><Relationship Id="rId1103" Type="http://schemas.openxmlformats.org/officeDocument/2006/relationships/hyperlink" Target="https://mem.gob.gt/que-hacemos/area-energetica/publicaciones/estadisticas/balance-energetico/" TargetMode="External"/><Relationship Id="rId1104" Type="http://schemas.openxmlformats.org/officeDocument/2006/relationships/hyperlink" Target="https://mem.gob.gt/que-hacemos/area-energetica/publicaciones/estadisticas/balance-energetico/" TargetMode="External"/><Relationship Id="rId1105" Type="http://schemas.openxmlformats.org/officeDocument/2006/relationships/hyperlink" Target="https://mem.gob.gt/que-hacemos/area-energetica/publicaciones/estadisticas/balance-energetico/" TargetMode="External"/><Relationship Id="rId1106" Type="http://schemas.openxmlformats.org/officeDocument/2006/relationships/hyperlink" Target="https://mem.gob.gt/que-hacemos/area-energetica/publicaciones/estadisticas/balance-energetico/" TargetMode="External"/><Relationship Id="rId1107" Type="http://schemas.openxmlformats.org/officeDocument/2006/relationships/hyperlink" Target="https://mem.gob.gt/que-hacemos/area-energetica/publicaciones/estadisticas/balance-energetico/" TargetMode="External"/><Relationship Id="rId1108" Type="http://schemas.openxmlformats.org/officeDocument/2006/relationships/hyperlink" Target="https://mem.gob.gt/que-hacemos/area-energetica/publicaciones/estadisticas/balance-energetico/" TargetMode="External"/><Relationship Id="rId1109" Type="http://schemas.openxmlformats.org/officeDocument/2006/relationships/hyperlink" Target="https://mem.gob.gt/que-hacemos/area-energetica/publicaciones/estadisticas/balance-energetico/" TargetMode="External"/><Relationship Id="rId1110" Type="http://schemas.openxmlformats.org/officeDocument/2006/relationships/hyperlink" Target="https://mem.gob.gt/que-hacemos/area-energetica/publicaciones/estadisticas/balance-energetico/" TargetMode="External"/><Relationship Id="rId1111" Type="http://schemas.openxmlformats.org/officeDocument/2006/relationships/hyperlink" Target="https://mem.gob.gt/que-hacemos/area-energetica/publicaciones/estadisticas/balance-energetico/" TargetMode="External"/><Relationship Id="rId1112" Type="http://schemas.openxmlformats.org/officeDocument/2006/relationships/hyperlink" Target="https://mem.gob.gt/que-hacemos/area-energetica/publicaciones/estadisticas/balance-energetico/" TargetMode="External"/><Relationship Id="rId1113" Type="http://schemas.openxmlformats.org/officeDocument/2006/relationships/hyperlink" Target="https://mem.gob.gt/que-hacemos/area-energetica/publicaciones/estadisticas/balance-energetico/" TargetMode="External"/><Relationship Id="rId1114" Type="http://schemas.openxmlformats.org/officeDocument/2006/relationships/hyperlink" Target="https://mem.gob.gt/que-hacemos/area-energetica/publicaciones/estadisticas/balance-energetico/" TargetMode="External"/><Relationship Id="rId1115" Type="http://schemas.openxmlformats.org/officeDocument/2006/relationships/hyperlink" Target="https://mem.gob.gt/que-hacemos/area-energetica/publicaciones/estadisticas/balance-energetico/" TargetMode="External"/><Relationship Id="rId1116" Type="http://schemas.openxmlformats.org/officeDocument/2006/relationships/hyperlink" Target="https://mem.gob.gt/que-hacemos/area-energetica/publicaciones/estadisticas/balance-energetico/" TargetMode="External"/><Relationship Id="rId1117" Type="http://schemas.openxmlformats.org/officeDocument/2006/relationships/hyperlink" Target="https://mem.gob.gt/que-hacemos/area-energetica/publicaciones/estadisticas/balance-energetico/" TargetMode="External"/><Relationship Id="rId1118" Type="http://schemas.openxmlformats.org/officeDocument/2006/relationships/hyperlink" Target="https://mem.gob.gt/que-hacemos/area-energetica/publicaciones/estadisticas/balance-energetico/" TargetMode="External"/><Relationship Id="rId1119" Type="http://schemas.openxmlformats.org/officeDocument/2006/relationships/hyperlink" Target="https://mem.gob.gt/que-hacemos/area-energetica/publicaciones/estadisticas/balance-energetico/" TargetMode="External"/><Relationship Id="rId1120" Type="http://schemas.openxmlformats.org/officeDocument/2006/relationships/hyperlink" Target="https://mem.gob.gt/que-hacemos/area-energetica/publicaciones/estadisticas/balance-energetico/" TargetMode="External"/><Relationship Id="rId1121" Type="http://schemas.openxmlformats.org/officeDocument/2006/relationships/hyperlink" Target="https://mem.gob.gt/que-hacemos/area-energetica/publicaciones/estadisticas/balance-energetico/" TargetMode="External"/><Relationship Id="rId1122" Type="http://schemas.openxmlformats.org/officeDocument/2006/relationships/hyperlink" Target="https://mem.gob.gt/que-hacemos/area-energetica/publicaciones/estadisticas/balance-energetico/" TargetMode="External"/><Relationship Id="rId1123" Type="http://schemas.openxmlformats.org/officeDocument/2006/relationships/hyperlink" Target="https://mem.gob.gt/que-hacemos/area-energetica/publicaciones/estadisticas/balance-energetico/" TargetMode="External"/><Relationship Id="rId1124" Type="http://schemas.openxmlformats.org/officeDocument/2006/relationships/hyperlink" Target="https://mem.gob.gt/que-hacemos/area-energetica/publicaciones/estadisticas/balance-energetico/" TargetMode="External"/><Relationship Id="rId1125" Type="http://schemas.openxmlformats.org/officeDocument/2006/relationships/hyperlink" Target="https://mem.gob.gt/que-hacemos/area-energetica/publicaciones/estadisticas/balance-energetico/" TargetMode="External"/><Relationship Id="rId1126" Type="http://schemas.openxmlformats.org/officeDocument/2006/relationships/hyperlink" Target="https://mem.gob.gt/que-hacemos/area-energetica/publicaciones/estadisticas/balance-energetico/" TargetMode="External"/><Relationship Id="rId1127" Type="http://schemas.openxmlformats.org/officeDocument/2006/relationships/hyperlink" Target="https://mem.gob.gt/que-hacemos/area-energetica/publicaciones/estadisticas/balance-energetico/" TargetMode="External"/><Relationship Id="rId1128" Type="http://schemas.openxmlformats.org/officeDocument/2006/relationships/hyperlink" Target="https://mem.gob.gt/que-hacemos/area-energetica/publicaciones/estadisticas/balance-energetico/" TargetMode="External"/><Relationship Id="rId1129" Type="http://schemas.openxmlformats.org/officeDocument/2006/relationships/hyperlink" Target="https://mem.gob.gt/que-hacemos/area-energetica/publicaciones/estadisticas/balance-energetico/" TargetMode="External"/><Relationship Id="rId1130" Type="http://schemas.openxmlformats.org/officeDocument/2006/relationships/hyperlink" Target="https://mem.gob.gt/que-hacemos/area-energetica/publicaciones/estadisticas/balance-energetico/" TargetMode="External"/><Relationship Id="rId1131" Type="http://schemas.openxmlformats.org/officeDocument/2006/relationships/hyperlink" Target="https://mem.gob.gt/que-hacemos/area-energetica/publicaciones/estadisticas/balance-energetico/" TargetMode="External"/><Relationship Id="rId1132" Type="http://schemas.openxmlformats.org/officeDocument/2006/relationships/hyperlink" Target="https://mem.gob.gt/que-hacemos/area-energetica/publicaciones/estadisticas/balance-energetico/" TargetMode="External"/><Relationship Id="rId1133" Type="http://schemas.openxmlformats.org/officeDocument/2006/relationships/hyperlink" Target="https://mem.gob.gt/que-hacemos/area-energetica/publicaciones/estadisticas/balance-energetico/" TargetMode="External"/><Relationship Id="rId1134" Type="http://schemas.openxmlformats.org/officeDocument/2006/relationships/hyperlink" Target="https://mem.gob.gt/que-hacemos/area-energetica/publicaciones/estadisticas/balance-energetico/" TargetMode="External"/><Relationship Id="rId1135" Type="http://schemas.openxmlformats.org/officeDocument/2006/relationships/hyperlink" Target="https://mem.gob.gt/que-hacemos/area-energetica/publicaciones/estadisticas/balance-energetico/" TargetMode="External"/><Relationship Id="rId1136" Type="http://schemas.openxmlformats.org/officeDocument/2006/relationships/hyperlink" Target="https://mem.gob.gt/que-hacemos/area-energetica/publicaciones/estadisticas/balance-energetico/" TargetMode="External"/><Relationship Id="rId1137" Type="http://schemas.openxmlformats.org/officeDocument/2006/relationships/hyperlink" Target="https://mem.gob.gt/que-hacemos/area-energetica/publicaciones/estadisticas/balance-energetico/" TargetMode="External"/><Relationship Id="rId1138" Type="http://schemas.openxmlformats.org/officeDocument/2006/relationships/hyperlink" Target="https://mem.gob.gt/que-hacemos/area-energetica/publicaciones/estadisticas/balance-energetico/" TargetMode="External"/><Relationship Id="rId1139" Type="http://schemas.openxmlformats.org/officeDocument/2006/relationships/hyperlink" Target="https://mem.gob.gt/que-hacemos/area-energetica/publicaciones/estadisticas/balance-energetico/" TargetMode="External"/><Relationship Id="rId1140" Type="http://schemas.openxmlformats.org/officeDocument/2006/relationships/hyperlink" Target="https://mem.gob.gt/que-hacemos/area-energetica/publicaciones/estadisticas/balance-energetico/" TargetMode="External"/><Relationship Id="rId1141" Type="http://schemas.openxmlformats.org/officeDocument/2006/relationships/hyperlink" Target="https://mem.gob.gt/que-hacemos/area-energetica/publicaciones/estadisticas/balance-energetico/" TargetMode="External"/><Relationship Id="rId1142" Type="http://schemas.openxmlformats.org/officeDocument/2006/relationships/hyperlink" Target="https://mem.gob.gt/que-hacemos/area-energetica/publicaciones/estadisticas/balance-energetico/" TargetMode="External"/><Relationship Id="rId1143" Type="http://schemas.openxmlformats.org/officeDocument/2006/relationships/hyperlink" Target="https://mem.gob.gt/que-hacemos/area-energetica/publicaciones/estadisticas/balance-energetico/" TargetMode="External"/><Relationship Id="rId1144" Type="http://schemas.openxmlformats.org/officeDocument/2006/relationships/hyperlink" Target="https://mem.gob.gt/que-hacemos/area-energetica/publicaciones/estadisticas/balance-energetico/" TargetMode="External"/><Relationship Id="rId1145" Type="http://schemas.openxmlformats.org/officeDocument/2006/relationships/hyperlink" Target="https://mem.gob.gt/que-hacemos/area-energetica/publicaciones/estadisticas/balance-energetico/" TargetMode="External"/><Relationship Id="rId1146" Type="http://schemas.openxmlformats.org/officeDocument/2006/relationships/hyperlink" Target="https://mem.gob.gt/que-hacemos/area-energetica/publicaciones/estadisticas/balance-energetico/" TargetMode="External"/><Relationship Id="rId1147" Type="http://schemas.openxmlformats.org/officeDocument/2006/relationships/hyperlink" Target="https://mem.gob.gt/que-hacemos/area-energetica/publicaciones/estadisticas/balance-energetico/" TargetMode="External"/><Relationship Id="rId1148" Type="http://schemas.openxmlformats.org/officeDocument/2006/relationships/hyperlink" Target="https://mem.gob.gt/que-hacemos/area-energetica/publicaciones/estadisticas/balance-energetico/" TargetMode="External"/><Relationship Id="rId1149" Type="http://schemas.openxmlformats.org/officeDocument/2006/relationships/hyperlink" Target="https://mem.gob.gt/que-hacemos/area-energetica/publicaciones/estadisticas/balance-energetico/" TargetMode="External"/><Relationship Id="rId1150" Type="http://schemas.openxmlformats.org/officeDocument/2006/relationships/hyperlink" Target="https://mem.gob.gt/que-hacemos/area-energetica/publicaciones/estadisticas/balance-energetico/" TargetMode="External"/><Relationship Id="rId1151" Type="http://schemas.openxmlformats.org/officeDocument/2006/relationships/hyperlink" Target="https://mem.gob.gt/que-hacemos/area-energetica/publicaciones/estadisticas/balance-energetico/" TargetMode="External"/><Relationship Id="rId1152" Type="http://schemas.openxmlformats.org/officeDocument/2006/relationships/hyperlink" Target="https://mem.gob.gt/que-hacemos/area-energetica/publicaciones/estadisticas/balance-energetico/" TargetMode="External"/><Relationship Id="rId1153" Type="http://schemas.openxmlformats.org/officeDocument/2006/relationships/hyperlink" Target="https://mem.gob.gt/que-hacemos/area-energetica/publicaciones/estadisticas/balance-energetico/" TargetMode="External"/><Relationship Id="rId1154" Type="http://schemas.openxmlformats.org/officeDocument/2006/relationships/hyperlink" Target="https://mem.gob.gt/que-hacemos/area-energetica/publicaciones/estadisticas/balance-energetico/" TargetMode="External"/><Relationship Id="rId1155" Type="http://schemas.openxmlformats.org/officeDocument/2006/relationships/hyperlink" Target="https://mem.gob.gt/que-hacemos/area-energetica/publicaciones/estadisticas/balance-energetico/" TargetMode="External"/><Relationship Id="rId1156" Type="http://schemas.openxmlformats.org/officeDocument/2006/relationships/hyperlink" Target="https://mem.gob.gt/que-hacemos/area-energetica/publicaciones/estadisticas/balance-energetico/" TargetMode="External"/><Relationship Id="rId1157" Type="http://schemas.openxmlformats.org/officeDocument/2006/relationships/hyperlink" Target="https://mem.gob.gt/que-hacemos/area-energetica/publicaciones/estadisticas/balance-energetico/" TargetMode="External"/><Relationship Id="rId1158" Type="http://schemas.openxmlformats.org/officeDocument/2006/relationships/hyperlink" Target="https://mem.gob.gt/que-hacemos/area-energetica/publicaciones/estadisticas/balance-energetico/" TargetMode="External"/><Relationship Id="rId1159" Type="http://schemas.openxmlformats.org/officeDocument/2006/relationships/hyperlink" Target="https://mem.gob.gt/que-hacemos/area-energetica/publicaciones/estadisticas/balance-energetico/" TargetMode="External"/><Relationship Id="rId1160" Type="http://schemas.openxmlformats.org/officeDocument/2006/relationships/hyperlink" Target="https://mem.gob.gt/que-hacemos/area-energetica/publicaciones/estadisticas/balance-energetico/" TargetMode="External"/><Relationship Id="rId1161" Type="http://schemas.openxmlformats.org/officeDocument/2006/relationships/hyperlink" Target="https://mem.gob.gt/que-hacemos/area-energetica/publicaciones/estadisticas/balance-energetico/" TargetMode="External"/><Relationship Id="rId1162" Type="http://schemas.openxmlformats.org/officeDocument/2006/relationships/hyperlink" Target="https://mem.gob.gt/que-hacemos/area-energetica/publicaciones/estadisticas/balance-energetico/" TargetMode="External"/><Relationship Id="rId1163" Type="http://schemas.openxmlformats.org/officeDocument/2006/relationships/hyperlink" Target="https://mem.gob.gt/que-hacemos/area-energetica/publicaciones/estadisticas/balance-energetico/" TargetMode="External"/><Relationship Id="rId1164" Type="http://schemas.openxmlformats.org/officeDocument/2006/relationships/hyperlink" Target="https://mem.gob.gt/que-hacemos/area-energetica/publicaciones/estadisticas/balance-energetico/" TargetMode="External"/><Relationship Id="rId1165" Type="http://schemas.openxmlformats.org/officeDocument/2006/relationships/hyperlink" Target="https://mem.gob.gt/que-hacemos/area-energetica/publicaciones/estadisticas/balance-energetico/" TargetMode="External"/><Relationship Id="rId1166" Type="http://schemas.openxmlformats.org/officeDocument/2006/relationships/hyperlink" Target="https://mem.gob.gt/que-hacemos/area-energetica/publicaciones/estadisticas/balance-energetico/" TargetMode="External"/><Relationship Id="rId1167" Type="http://schemas.openxmlformats.org/officeDocument/2006/relationships/hyperlink" Target="https://mem.gob.gt/que-hacemos/area-energetica/publicaciones/estadisticas/balance-energetico/" TargetMode="External"/><Relationship Id="rId1168" Type="http://schemas.openxmlformats.org/officeDocument/2006/relationships/hyperlink" Target="https://mem.gob.gt/que-hacemos/area-energetica/publicaciones/estadisticas/balance-energetico/" TargetMode="External"/><Relationship Id="rId1169" Type="http://schemas.openxmlformats.org/officeDocument/2006/relationships/hyperlink" Target="https://mem.gob.gt/que-hacemos/area-energetica/publicaciones/estadisticas/balance-energetico/" TargetMode="External"/><Relationship Id="rId1170" Type="http://schemas.openxmlformats.org/officeDocument/2006/relationships/hyperlink" Target="https://mem.gob.gt/que-hacemos/area-energetica/publicaciones/estadisticas/balance-energetico/" TargetMode="External"/><Relationship Id="rId1171" Type="http://schemas.openxmlformats.org/officeDocument/2006/relationships/hyperlink" Target="https://mem.gob.gt/que-hacemos/area-energetica/publicaciones/estadisticas/balance-energetico/" TargetMode="External"/><Relationship Id="rId1172" Type="http://schemas.openxmlformats.org/officeDocument/2006/relationships/hyperlink" Target="https://mem.gob.gt/que-hacemos/area-energetica/publicaciones/estadisticas/balance-energetico/" TargetMode="External"/><Relationship Id="rId1173" Type="http://schemas.openxmlformats.org/officeDocument/2006/relationships/hyperlink" Target="https://mem.gob.gt/que-hacemos/area-energetica/publicaciones/estadisticas/balance-energetico/" TargetMode="External"/><Relationship Id="rId1174" Type="http://schemas.openxmlformats.org/officeDocument/2006/relationships/hyperlink" Target="https://mem.gob.gt/que-hacemos/area-energetica/publicaciones/estadisticas/balance-energetico/" TargetMode="External"/><Relationship Id="rId1175" Type="http://schemas.openxmlformats.org/officeDocument/2006/relationships/hyperlink" Target="https://mem.gob.gt/que-hacemos/area-energetica/publicaciones/estadisticas/balance-energetico/" TargetMode="External"/><Relationship Id="rId1176" Type="http://schemas.openxmlformats.org/officeDocument/2006/relationships/hyperlink" Target="https://mem.gob.gt/que-hacemos/area-energetica/publicaciones/estadisticas/balance-energetico/" TargetMode="External"/><Relationship Id="rId1177" Type="http://schemas.openxmlformats.org/officeDocument/2006/relationships/hyperlink" Target="https://mem.gob.gt/que-hacemos/area-energetica/publicaciones/estadisticas/balance-energetico/" TargetMode="External"/><Relationship Id="rId1178" Type="http://schemas.openxmlformats.org/officeDocument/2006/relationships/hyperlink" Target="https://mem.gob.gt/que-hacemos/area-energetica/publicaciones/estadisticas/balance-energetico/" TargetMode="External"/><Relationship Id="rId1179" Type="http://schemas.openxmlformats.org/officeDocument/2006/relationships/hyperlink" Target="https://mem.gob.gt/que-hacemos/area-energetica/publicaciones/estadisticas/balance-energetico/" TargetMode="External"/><Relationship Id="rId1180" Type="http://schemas.openxmlformats.org/officeDocument/2006/relationships/hyperlink" Target="https://mem.gob.gt/que-hacemos/area-energetica/publicaciones/estadisticas/balance-energetico/" TargetMode="External"/><Relationship Id="rId1181" Type="http://schemas.openxmlformats.org/officeDocument/2006/relationships/hyperlink" Target="https://mem.gob.gt/que-hacemos/area-energetica/publicaciones/estadisticas/balance-energetico/" TargetMode="External"/><Relationship Id="rId1182" Type="http://schemas.openxmlformats.org/officeDocument/2006/relationships/hyperlink" Target="https://mem.gob.gt/que-hacemos/area-energetica/publicaciones/estadisticas/balance-energetico/" TargetMode="External"/><Relationship Id="rId1183" Type="http://schemas.openxmlformats.org/officeDocument/2006/relationships/hyperlink" Target="https://mem.gob.gt/que-hacemos/area-energetica/publicaciones/estadisticas/balance-energetico/" TargetMode="External"/><Relationship Id="rId1184" Type="http://schemas.openxmlformats.org/officeDocument/2006/relationships/hyperlink" Target="https://mem.gob.gt/que-hacemos/area-energetica/publicaciones/estadisticas/balance-energetico/" TargetMode="External"/><Relationship Id="rId1185" Type="http://schemas.openxmlformats.org/officeDocument/2006/relationships/hyperlink" Target="https://mem.gob.gt/que-hacemos/area-energetica/publicaciones/estadisticas/balance-energetico/" TargetMode="External"/><Relationship Id="rId1186" Type="http://schemas.openxmlformats.org/officeDocument/2006/relationships/hyperlink" Target="https://mem.gob.gt/que-hacemos/area-energetica/publicaciones/estadisticas/balance-energetico/" TargetMode="External"/><Relationship Id="rId1187" Type="http://schemas.openxmlformats.org/officeDocument/2006/relationships/hyperlink" Target="https://mem.gob.gt/que-hacemos/area-energetica/publicaciones/estadisticas/balance-energetico/" TargetMode="External"/><Relationship Id="rId1188" Type="http://schemas.openxmlformats.org/officeDocument/2006/relationships/hyperlink" Target="https://mem.gob.gt/que-hacemos/area-energetica/publicaciones/estadisticas/balance-energetico/" TargetMode="External"/><Relationship Id="rId1189" Type="http://schemas.openxmlformats.org/officeDocument/2006/relationships/hyperlink" Target="https://mem.gob.gt/que-hacemos/area-energetica/publicaciones/estadisticas/balance-energetico/" TargetMode="External"/><Relationship Id="rId1190" Type="http://schemas.openxmlformats.org/officeDocument/2006/relationships/hyperlink" Target="https://mem.gob.gt/que-hacemos/area-energetica/publicaciones/estadisticas/balance-energetico/" TargetMode="External"/><Relationship Id="rId1191" Type="http://schemas.openxmlformats.org/officeDocument/2006/relationships/hyperlink" Target="https://mem.gob.gt/que-hacemos/area-energetica/publicaciones/estadisticas/balance-energetico/" TargetMode="External"/><Relationship Id="rId1192" Type="http://schemas.openxmlformats.org/officeDocument/2006/relationships/hyperlink" Target="https://mem.gob.gt/que-hacemos/area-energetica/publicaciones/estadisticas/balance-energetico/" TargetMode="External"/><Relationship Id="rId1193" Type="http://schemas.openxmlformats.org/officeDocument/2006/relationships/hyperlink" Target="https://mem.gob.gt/que-hacemos/area-energetica/publicaciones/estadisticas/balance-energetico/" TargetMode="External"/><Relationship Id="rId1194" Type="http://schemas.openxmlformats.org/officeDocument/2006/relationships/hyperlink" Target="https://mem.gob.gt/que-hacemos/area-energetica/publicaciones/estadisticas/balance-energetico/" TargetMode="External"/><Relationship Id="rId1195" Type="http://schemas.openxmlformats.org/officeDocument/2006/relationships/hyperlink" Target="https://mem.gob.gt/que-hacemos/area-energetica/publicaciones/estadisticas/balance-energetico/" TargetMode="External"/><Relationship Id="rId1196" Type="http://schemas.openxmlformats.org/officeDocument/2006/relationships/hyperlink" Target="https://mem.gob.gt/que-hacemos/area-energetica/publicaciones/estadisticas/balance-energetico/" TargetMode="External"/><Relationship Id="rId1197" Type="http://schemas.openxmlformats.org/officeDocument/2006/relationships/hyperlink" Target="https://mem.gob.gt/que-hacemos/area-energetica/publicaciones/estadisticas/balance-energetico/" TargetMode="External"/><Relationship Id="rId1198" Type="http://schemas.openxmlformats.org/officeDocument/2006/relationships/hyperlink" Target="https://mem.gob.gt/que-hacemos/area-energetica/publicaciones/estadisticas/balance-energetico/" TargetMode="External"/><Relationship Id="rId1199" Type="http://schemas.openxmlformats.org/officeDocument/2006/relationships/hyperlink" Target="https://mem.gob.gt/que-hacemos/area-energetica/publicaciones/estadisticas/balance-energetico/" TargetMode="External"/><Relationship Id="rId1200" Type="http://schemas.openxmlformats.org/officeDocument/2006/relationships/hyperlink" Target="https://mem.gob.gt/que-hacemos/area-energetica/publicaciones/estadisticas/balance-energetico/" TargetMode="External"/><Relationship Id="rId1201" Type="http://schemas.openxmlformats.org/officeDocument/2006/relationships/hyperlink" Target="https://mem.gob.gt/que-hacemos/area-energetica/publicaciones/estadisticas/balance-energetico/" TargetMode="External"/><Relationship Id="rId1202" Type="http://schemas.openxmlformats.org/officeDocument/2006/relationships/hyperlink" Target="https://mem.gob.gt/que-hacemos/area-energetica/publicaciones/estadisticas/balance-energetico/" TargetMode="External"/><Relationship Id="rId1203" Type="http://schemas.openxmlformats.org/officeDocument/2006/relationships/hyperlink" Target="https://mem.gob.gt/que-hacemos/area-energetica/publicaciones/estadisticas/balance-energetico/" TargetMode="External"/><Relationship Id="rId1204" Type="http://schemas.openxmlformats.org/officeDocument/2006/relationships/hyperlink" Target="https://mem.gob.gt/que-hacemos/area-energetica/publicaciones/estadisticas/balance-energetico/" TargetMode="External"/><Relationship Id="rId1205" Type="http://schemas.openxmlformats.org/officeDocument/2006/relationships/hyperlink" Target="https://mem.gob.gt/que-hacemos/area-energetica/publicaciones/estadisticas/balance-energetico/" TargetMode="External"/><Relationship Id="rId1206" Type="http://schemas.openxmlformats.org/officeDocument/2006/relationships/hyperlink" Target="https://mem.gob.gt/que-hacemos/area-energetica/publicaciones/estadisticas/balance-energetico/" TargetMode="External"/><Relationship Id="rId1207" Type="http://schemas.openxmlformats.org/officeDocument/2006/relationships/hyperlink" Target="https://mem.gob.gt/que-hacemos/area-energetica/publicaciones/estadisticas/balance-energetico/" TargetMode="External"/><Relationship Id="rId1208" Type="http://schemas.openxmlformats.org/officeDocument/2006/relationships/hyperlink" Target="https://mem.gob.gt/que-hacemos/area-energetica/publicaciones/estadisticas/balance-energetico/" TargetMode="External"/><Relationship Id="rId1209" Type="http://schemas.openxmlformats.org/officeDocument/2006/relationships/hyperlink" Target="https://mem.gob.gt/que-hacemos/area-energetica/publicaciones/estadisticas/balance-energetico/" TargetMode="External"/><Relationship Id="rId1210" Type="http://schemas.openxmlformats.org/officeDocument/2006/relationships/hyperlink" Target="https://mem.gob.gt/que-hacemos/area-energetica/publicaciones/estadisticas/balance-energetico/" TargetMode="External"/><Relationship Id="rId1211" Type="http://schemas.openxmlformats.org/officeDocument/2006/relationships/hyperlink" Target="https://mem.gob.gt/que-hacemos/area-energetica/publicaciones/estadisticas/balance-energetico/" TargetMode="External"/><Relationship Id="rId1212" Type="http://schemas.openxmlformats.org/officeDocument/2006/relationships/hyperlink" Target="https://mem.gob.gt/que-hacemos/area-energetica/publicaciones/estadisticas/balance-energetico/" TargetMode="External"/><Relationship Id="rId1213" Type="http://schemas.openxmlformats.org/officeDocument/2006/relationships/hyperlink" Target="https://mem.gob.gt/que-hacemos/area-energetica/publicaciones/estadisticas/balance-energetico/" TargetMode="External"/><Relationship Id="rId1214" Type="http://schemas.openxmlformats.org/officeDocument/2006/relationships/hyperlink" Target="https://mem.gob.gt/que-hacemos/area-energetica/publicaciones/estadisticas/balance-energetico/" TargetMode="External"/><Relationship Id="rId1215" Type="http://schemas.openxmlformats.org/officeDocument/2006/relationships/hyperlink" Target="https://mem.gob.gt/que-hacemos/area-energetica/publicaciones/estadisticas/balance-energetico/" TargetMode="External"/><Relationship Id="rId1216" Type="http://schemas.openxmlformats.org/officeDocument/2006/relationships/hyperlink" Target="https://mem.gob.gt/que-hacemos/area-energetica/publicaciones/estadisticas/balance-energetico/" TargetMode="External"/><Relationship Id="rId1217" Type="http://schemas.openxmlformats.org/officeDocument/2006/relationships/hyperlink" Target="https://mem.gob.gt/que-hacemos/area-energetica/publicaciones/estadisticas/balance-energetico/" TargetMode="External"/><Relationship Id="rId1218" Type="http://schemas.openxmlformats.org/officeDocument/2006/relationships/hyperlink" Target="https://mem.gob.gt/que-hacemos/area-energetica/publicaciones/estadisticas/balance-energetico/" TargetMode="External"/><Relationship Id="rId1219" Type="http://schemas.openxmlformats.org/officeDocument/2006/relationships/hyperlink" Target="https://mem.gob.gt/que-hacemos/area-energetica/publicaciones/estadisticas/balance-energetico/" TargetMode="External"/><Relationship Id="rId1220" Type="http://schemas.openxmlformats.org/officeDocument/2006/relationships/hyperlink" Target="https://mem.gob.gt/que-hacemos/area-energetica/publicaciones/estadisticas/balance-energetico/" TargetMode="External"/><Relationship Id="rId1221" Type="http://schemas.openxmlformats.org/officeDocument/2006/relationships/hyperlink" Target="https://mem.gob.gt/que-hacemos/area-energetica/publicaciones/estadisticas/balance-energetico/" TargetMode="External"/><Relationship Id="rId1222" Type="http://schemas.openxmlformats.org/officeDocument/2006/relationships/hyperlink" Target="https://mem.gob.gt/que-hacemos/area-energetica/publicaciones/estadisticas/balance-energetico/" TargetMode="External"/><Relationship Id="rId1223" Type="http://schemas.openxmlformats.org/officeDocument/2006/relationships/hyperlink" Target="https://mem.gob.gt/que-hacemos/area-energetica/publicaciones/estadisticas/balance-energetico/" TargetMode="External"/><Relationship Id="rId1224" Type="http://schemas.openxmlformats.org/officeDocument/2006/relationships/hyperlink" Target="https://mem.gob.gt/que-hacemos/area-energetica/publicaciones/estadisticas/balance-energetico/" TargetMode="External"/><Relationship Id="rId1225" Type="http://schemas.openxmlformats.org/officeDocument/2006/relationships/hyperlink" Target="https://mem.gob.gt/que-hacemos/area-energetica/publicaciones/estadisticas/balance-energetico/" TargetMode="External"/><Relationship Id="rId1226" Type="http://schemas.openxmlformats.org/officeDocument/2006/relationships/hyperlink" Target="https://mem.gob.gt/que-hacemos/area-energetica/publicaciones/estadisticas/balance-energetico/" TargetMode="External"/><Relationship Id="rId1227" Type="http://schemas.openxmlformats.org/officeDocument/2006/relationships/hyperlink" Target="https://mem.gob.gt/que-hacemos/area-energetica/publicaciones/estadisticas/balance-energetico/" TargetMode="External"/><Relationship Id="rId1228" Type="http://schemas.openxmlformats.org/officeDocument/2006/relationships/hyperlink" Target="https://mem.gob.gt/que-hacemos/area-energetica/publicaciones/estadisticas/balance-energetico/" TargetMode="External"/><Relationship Id="rId1229" Type="http://schemas.openxmlformats.org/officeDocument/2006/relationships/hyperlink" Target="https://mem.gob.gt/que-hacemos/area-energetica/publicaciones/estadisticas/balance-energetico/" TargetMode="External"/><Relationship Id="rId1230" Type="http://schemas.openxmlformats.org/officeDocument/2006/relationships/hyperlink" Target="https://mem.gob.gt/que-hacemos/area-energetica/publicaciones/estadisticas/balance-energetico/" TargetMode="External"/><Relationship Id="rId1231" Type="http://schemas.openxmlformats.org/officeDocument/2006/relationships/hyperlink" Target="https://mem.gob.gt/que-hacemos/area-energetica/publicaciones/estadisticas/balance-energetico/" TargetMode="External"/><Relationship Id="rId1232" Type="http://schemas.openxmlformats.org/officeDocument/2006/relationships/hyperlink" Target="https://mem.gob.gt/que-hacemos/area-energetica/publicaciones/estadisticas/balance-energetico/" TargetMode="External"/><Relationship Id="rId1233" Type="http://schemas.openxmlformats.org/officeDocument/2006/relationships/hyperlink" Target="https://mem.gob.gt/que-hacemos/area-energetica/publicaciones/estadisticas/balance-energetico/" TargetMode="External"/><Relationship Id="rId1234" Type="http://schemas.openxmlformats.org/officeDocument/2006/relationships/hyperlink" Target="https://mem.gob.gt/que-hacemos/area-energetica/publicaciones/estadisticas/balance-energetico/" TargetMode="External"/><Relationship Id="rId1235" Type="http://schemas.openxmlformats.org/officeDocument/2006/relationships/hyperlink" Target="https://mem.gob.gt/que-hacemos/area-energetica/publicaciones/estadisticas/balance-energetico/" TargetMode="External"/><Relationship Id="rId1236" Type="http://schemas.openxmlformats.org/officeDocument/2006/relationships/hyperlink" Target="https://mem.gob.gt/que-hacemos/area-energetica/publicaciones/estadisticas/balance-energetico/" TargetMode="External"/><Relationship Id="rId1237" Type="http://schemas.openxmlformats.org/officeDocument/2006/relationships/hyperlink" Target="https://mem.gob.gt/que-hacemos/area-energetica/publicaciones/estadisticas/balance-energetico/" TargetMode="External"/><Relationship Id="rId1238" Type="http://schemas.openxmlformats.org/officeDocument/2006/relationships/hyperlink" Target="https://mem.gob.gt/que-hacemos/area-energetica/publicaciones/estadisticas/balance-energetico/" TargetMode="External"/><Relationship Id="rId1239" Type="http://schemas.openxmlformats.org/officeDocument/2006/relationships/hyperlink" Target="https://mem.gob.gt/que-hacemos/area-energetica/publicaciones/estadisticas/balance-energetico/" TargetMode="External"/><Relationship Id="rId1240" Type="http://schemas.openxmlformats.org/officeDocument/2006/relationships/hyperlink" Target="https://mem.gob.gt/que-hacemos/area-energetica/publicaciones/estadisticas/balance-energetico/" TargetMode="External"/><Relationship Id="rId1241" Type="http://schemas.openxmlformats.org/officeDocument/2006/relationships/hyperlink" Target="https://mem.gob.gt/que-hacemos/area-energetica/publicaciones/estadisticas/balance-energetico/" TargetMode="External"/><Relationship Id="rId1242" Type="http://schemas.openxmlformats.org/officeDocument/2006/relationships/hyperlink" Target="https://mem.gob.gt/que-hacemos/area-energetica/publicaciones/estadisticas/balance-energetico/" TargetMode="External"/><Relationship Id="rId1243" Type="http://schemas.openxmlformats.org/officeDocument/2006/relationships/hyperlink" Target="https://mem.gob.gt/que-hacemos/area-energetica/publicaciones/estadisticas/balance-energetico/" TargetMode="External"/><Relationship Id="rId1244" Type="http://schemas.openxmlformats.org/officeDocument/2006/relationships/hyperlink" Target="https://mem.gob.gt/que-hacemos/area-energetica/publicaciones/estadisticas/balance-energetico/" TargetMode="External"/><Relationship Id="rId1245" Type="http://schemas.openxmlformats.org/officeDocument/2006/relationships/hyperlink" Target="https://mem.gob.gt/que-hacemos/area-energetica/publicaciones/estadisticas/balance-energetico/" TargetMode="External"/><Relationship Id="rId1246" Type="http://schemas.openxmlformats.org/officeDocument/2006/relationships/hyperlink" Target="https://mem.gob.gt/que-hacemos/area-energetica/publicaciones/estadisticas/balance-energetico/" TargetMode="External"/><Relationship Id="rId1247" Type="http://schemas.openxmlformats.org/officeDocument/2006/relationships/hyperlink" Target="https://mem.gob.gt/que-hacemos/area-energetica/publicaciones/estadisticas/balance-energetico/" TargetMode="External"/><Relationship Id="rId1248" Type="http://schemas.openxmlformats.org/officeDocument/2006/relationships/hyperlink" Target="https://mem.gob.gt/que-hacemos/area-energetica/publicaciones/estadisticas/balance-energetico/" TargetMode="External"/><Relationship Id="rId1249" Type="http://schemas.openxmlformats.org/officeDocument/2006/relationships/hyperlink" Target="https://mem.gob.gt/que-hacemos/area-energetica/publicaciones/estadisticas/balance-energetico/" TargetMode="External"/><Relationship Id="rId1250" Type="http://schemas.openxmlformats.org/officeDocument/2006/relationships/hyperlink" Target="https://mem.gob.gt/que-hacemos/area-energetica/publicaciones/estadisticas/balance-energetico/" TargetMode="External"/><Relationship Id="rId1251" Type="http://schemas.openxmlformats.org/officeDocument/2006/relationships/hyperlink" Target="https://mem.gob.gt/que-hacemos/area-energetica/publicaciones/estadisticas/balance-energetico/" TargetMode="External"/><Relationship Id="rId1252" Type="http://schemas.openxmlformats.org/officeDocument/2006/relationships/hyperlink" Target="https://mem.gob.gt/que-hacemos/area-energetica/publicaciones/estadisticas/balance-energetico/" TargetMode="External"/><Relationship Id="rId1253" Type="http://schemas.openxmlformats.org/officeDocument/2006/relationships/hyperlink" Target="https://mem.gob.gt/que-hacemos/area-energetica/publicaciones/estadisticas/balance-energetico/" TargetMode="External"/><Relationship Id="rId1254" Type="http://schemas.openxmlformats.org/officeDocument/2006/relationships/hyperlink" Target="https://mem.gob.gt/que-hacemos/area-energetica/publicaciones/estadisticas/balance-energetico/" TargetMode="External"/><Relationship Id="rId1255" Type="http://schemas.openxmlformats.org/officeDocument/2006/relationships/hyperlink" Target="https://mem.gob.gt/que-hacemos/area-energetica/publicaciones/estadisticas/balance-energetico/" TargetMode="External"/><Relationship Id="rId1256" Type="http://schemas.openxmlformats.org/officeDocument/2006/relationships/hyperlink" Target="https://mem.gob.gt/que-hacemos/area-energetica/publicaciones/estadisticas/balance-energetico/" TargetMode="External"/><Relationship Id="rId1257" Type="http://schemas.openxmlformats.org/officeDocument/2006/relationships/hyperlink" Target="https://mem.gob.gt/que-hacemos/area-energetica/publicaciones/estadisticas/balance-energetico/" TargetMode="External"/><Relationship Id="rId1258" Type="http://schemas.openxmlformats.org/officeDocument/2006/relationships/hyperlink" Target="https://mem.gob.gt/que-hacemos/area-energetica/publicaciones/estadisticas/balance-energetico/" TargetMode="External"/><Relationship Id="rId1259" Type="http://schemas.openxmlformats.org/officeDocument/2006/relationships/hyperlink" Target="https://mem.gob.gt/que-hacemos/area-energetica/publicaciones/estadisticas/balance-energetico/" TargetMode="External"/><Relationship Id="rId1260" Type="http://schemas.openxmlformats.org/officeDocument/2006/relationships/hyperlink" Target="https://mem.gob.gt/que-hacemos/area-energetica/publicaciones/estadisticas/balance-energetico/" TargetMode="External"/><Relationship Id="rId1261" Type="http://schemas.openxmlformats.org/officeDocument/2006/relationships/hyperlink" Target="https://mem.gob.gt/que-hacemos/area-energetica/publicaciones/estadisticas/balance-energetico/" TargetMode="External"/><Relationship Id="rId1262" Type="http://schemas.openxmlformats.org/officeDocument/2006/relationships/hyperlink" Target="https://mem.gob.gt/que-hacemos/area-energetica/publicaciones/estadisticas/balance-energetico/" TargetMode="External"/><Relationship Id="rId1263" Type="http://schemas.openxmlformats.org/officeDocument/2006/relationships/hyperlink" Target="https://mem.gob.gt/que-hacemos/area-energetica/publicaciones/estadisticas/balance-energetico/" TargetMode="External"/><Relationship Id="rId1264" Type="http://schemas.openxmlformats.org/officeDocument/2006/relationships/hyperlink" Target="https://mem.gob.gt/que-hacemos/area-energetica/publicaciones/estadisticas/balance-energetico/" TargetMode="External"/><Relationship Id="rId1265" Type="http://schemas.openxmlformats.org/officeDocument/2006/relationships/hyperlink" Target="https://mem.gob.gt/que-hacemos/area-energetica/publicaciones/estadisticas/balance-energetico/" TargetMode="External"/><Relationship Id="rId1266" Type="http://schemas.openxmlformats.org/officeDocument/2006/relationships/hyperlink" Target="https://mem.gob.gt/que-hacemos/area-energetica/publicaciones/estadisticas/balance-energetico/" TargetMode="External"/><Relationship Id="rId1267" Type="http://schemas.openxmlformats.org/officeDocument/2006/relationships/hyperlink" Target="https://mem.gob.gt/que-hacemos/area-energetica/publicaciones/estadisticas/balance-energetico/" TargetMode="External"/><Relationship Id="rId1268" Type="http://schemas.openxmlformats.org/officeDocument/2006/relationships/hyperlink" Target="https://mem.gob.gt/que-hacemos/area-energetica/publicaciones/estadisticas/balance-energetico/" TargetMode="External"/><Relationship Id="rId1269" Type="http://schemas.openxmlformats.org/officeDocument/2006/relationships/hyperlink" Target="https://mem.gob.gt/que-hacemos/area-energetica/publicaciones/estadisticas/balance-energetico/" TargetMode="External"/><Relationship Id="rId1270" Type="http://schemas.openxmlformats.org/officeDocument/2006/relationships/hyperlink" Target="https://mem.gob.gt/que-hacemos/area-energetica/publicaciones/estadisticas/balance-energetico/" TargetMode="External"/><Relationship Id="rId1271" Type="http://schemas.openxmlformats.org/officeDocument/2006/relationships/hyperlink" Target="https://mem.gob.gt/que-hacemos/area-energetica/publicaciones/estadisticas/balance-energetico/" TargetMode="External"/><Relationship Id="rId1272" Type="http://schemas.openxmlformats.org/officeDocument/2006/relationships/hyperlink" Target="https://mem.gob.gt/que-hacemos/area-energetica/publicaciones/estadisticas/balance-energetico/" TargetMode="External"/><Relationship Id="rId1273" Type="http://schemas.openxmlformats.org/officeDocument/2006/relationships/hyperlink" Target="https://mem.gob.gt/que-hacemos/area-energetica/publicaciones/estadisticas/balance-energetico/" TargetMode="External"/><Relationship Id="rId1274" Type="http://schemas.openxmlformats.org/officeDocument/2006/relationships/hyperlink" Target="https://mem.gob.gt/que-hacemos/area-energetica/publicaciones/estadisticas/balance-energetico/" TargetMode="External"/><Relationship Id="rId1275" Type="http://schemas.openxmlformats.org/officeDocument/2006/relationships/hyperlink" Target="https://mem.gob.gt/que-hacemos/area-energetica/publicaciones/estadisticas/balance-energetico/" TargetMode="External"/><Relationship Id="rId1276" Type="http://schemas.openxmlformats.org/officeDocument/2006/relationships/hyperlink" Target="https://mem.gob.gt/que-hacemos/area-energetica/publicaciones/estadisticas/balance-energetico/" TargetMode="External"/><Relationship Id="rId1277" Type="http://schemas.openxmlformats.org/officeDocument/2006/relationships/hyperlink" Target="https://mem.gob.gt/que-hacemos/area-energetica/publicaciones/estadisticas/balance-energetico/" TargetMode="External"/><Relationship Id="rId1278" Type="http://schemas.openxmlformats.org/officeDocument/2006/relationships/hyperlink" Target="https://mem.gob.gt/que-hacemos/area-energetica/publicaciones/estadisticas/balance-energetico/" TargetMode="External"/><Relationship Id="rId1279" Type="http://schemas.openxmlformats.org/officeDocument/2006/relationships/hyperlink" Target="https://mem.gob.gt/que-hacemos/area-energetica/publicaciones/estadisticas/balance-energetico/" TargetMode="External"/><Relationship Id="rId1280" Type="http://schemas.openxmlformats.org/officeDocument/2006/relationships/hyperlink" Target="https://mem.gob.gt/que-hacemos/area-energetica/publicaciones/estadisticas/balance-energetico/" TargetMode="External"/><Relationship Id="rId1281" Type="http://schemas.openxmlformats.org/officeDocument/2006/relationships/hyperlink" Target="https://mem.gob.gt/que-hacemos/area-energetica/publicaciones/estadisticas/balance-energetico/" TargetMode="External"/><Relationship Id="rId1282" Type="http://schemas.openxmlformats.org/officeDocument/2006/relationships/hyperlink" Target="https://mem.gob.gt/que-hacemos/area-energetica/publicaciones/estadisticas/balance-energetico/" TargetMode="External"/><Relationship Id="rId1283" Type="http://schemas.openxmlformats.org/officeDocument/2006/relationships/hyperlink" Target="https://mem.gob.gt/que-hacemos/area-energetica/publicaciones/estadisticas/balance-energetico/" TargetMode="External"/><Relationship Id="rId1284" Type="http://schemas.openxmlformats.org/officeDocument/2006/relationships/hyperlink" Target="https://mem.gob.gt/que-hacemos/area-energetica/publicaciones/estadisticas/balance-energetico/" TargetMode="External"/><Relationship Id="rId1285" Type="http://schemas.openxmlformats.org/officeDocument/2006/relationships/hyperlink" Target="https://mem.gob.gt/que-hacemos/area-energetica/publicaciones/estadisticas/balance-energetico/" TargetMode="External"/><Relationship Id="rId1286" Type="http://schemas.openxmlformats.org/officeDocument/2006/relationships/hyperlink" Target="https://mem.gob.gt/que-hacemos/area-energetica/publicaciones/estadisticas/balance-energetico/" TargetMode="External"/><Relationship Id="rId1287" Type="http://schemas.openxmlformats.org/officeDocument/2006/relationships/hyperlink" Target="https://mem.gob.gt/que-hacemos/area-energetica/publicaciones/estadisticas/balance-energetico/" TargetMode="External"/><Relationship Id="rId1288" Type="http://schemas.openxmlformats.org/officeDocument/2006/relationships/hyperlink" Target="https://mem.gob.gt/que-hacemos/area-energetica/publicaciones/estadisticas/balance-energetico/" TargetMode="External"/><Relationship Id="rId1289" Type="http://schemas.openxmlformats.org/officeDocument/2006/relationships/hyperlink" Target="https://mem.gob.gt/que-hacemos/area-energetica/publicaciones/estadisticas/balance-energetico/" TargetMode="External"/><Relationship Id="rId1290" Type="http://schemas.openxmlformats.org/officeDocument/2006/relationships/hyperlink" Target="https://mem.gob.gt/que-hacemos/area-energetica/publicaciones/estadisticas/balance-energetico/" TargetMode="External"/><Relationship Id="rId1291" Type="http://schemas.openxmlformats.org/officeDocument/2006/relationships/hyperlink" Target="https://mem.gob.gt/que-hacemos/area-energetica/publicaciones/estadisticas/balance-energetico/" TargetMode="External"/><Relationship Id="rId1292" Type="http://schemas.openxmlformats.org/officeDocument/2006/relationships/hyperlink" Target="https://mem.gob.gt/que-hacemos/area-energetica/publicaciones/estadisticas/balance-energetico/" TargetMode="External"/><Relationship Id="rId1293" Type="http://schemas.openxmlformats.org/officeDocument/2006/relationships/hyperlink" Target="https://mem.gob.gt/que-hacemos/area-energetica/publicaciones/estadisticas/balance-energetico/" TargetMode="External"/><Relationship Id="rId1294" Type="http://schemas.openxmlformats.org/officeDocument/2006/relationships/hyperlink" Target="https://mem.gob.gt/que-hacemos/area-energetica/publicaciones/estadisticas/balance-energetico/" TargetMode="External"/><Relationship Id="rId1295" Type="http://schemas.openxmlformats.org/officeDocument/2006/relationships/hyperlink" Target="https://mem.gob.gt/que-hacemos/area-energetica/publicaciones/estadisticas/balance-energetico/" TargetMode="External"/><Relationship Id="rId1296" Type="http://schemas.openxmlformats.org/officeDocument/2006/relationships/hyperlink" Target="https://mem.gob.gt/que-hacemos/area-energetica/publicaciones/estadisticas/balance-energetico/" TargetMode="External"/><Relationship Id="rId1297" Type="http://schemas.openxmlformats.org/officeDocument/2006/relationships/hyperlink" Target="https://mem.gob.gt/que-hacemos/area-energetica/publicaciones/estadisticas/balance-energetico/" TargetMode="External"/><Relationship Id="rId1298" Type="http://schemas.openxmlformats.org/officeDocument/2006/relationships/hyperlink" Target="https://mem.gob.gt/que-hacemos/area-energetica/publicaciones/estadisticas/balance-energetico/" TargetMode="External"/><Relationship Id="rId1299" Type="http://schemas.openxmlformats.org/officeDocument/2006/relationships/hyperlink" Target="https://mem.gob.gt/que-hacemos/area-energetica/publicaciones/estadisticas/balance-energetico/" TargetMode="External"/><Relationship Id="rId1300" Type="http://schemas.openxmlformats.org/officeDocument/2006/relationships/hyperlink" Target="https://mem.gob.gt/que-hacemos/area-energetica/publicaciones/estadisticas/balance-energetico/" TargetMode="External"/><Relationship Id="rId1301" Type="http://schemas.openxmlformats.org/officeDocument/2006/relationships/hyperlink" Target="https://mem.gob.gt/que-hacemos/area-energetica/publicaciones/estadisticas/balance-energetico/" TargetMode="External"/><Relationship Id="rId1302" Type="http://schemas.openxmlformats.org/officeDocument/2006/relationships/hyperlink" Target="https://mem.gob.gt/que-hacemos/area-energetica/publicaciones/estadisticas/balance-energetico/" TargetMode="External"/><Relationship Id="rId1303" Type="http://schemas.openxmlformats.org/officeDocument/2006/relationships/hyperlink" Target="https://mem.gob.gt/que-hacemos/area-energetica/publicaciones/estadisticas/balance-energetico/" TargetMode="External"/><Relationship Id="rId1304" Type="http://schemas.openxmlformats.org/officeDocument/2006/relationships/hyperlink" Target="https://mem.gob.gt/que-hacemos/area-energetica/publicaciones/estadisticas/balance-energetico/" TargetMode="External"/><Relationship Id="rId1305" Type="http://schemas.openxmlformats.org/officeDocument/2006/relationships/hyperlink" Target="https://mem.gob.gt/que-hacemos/area-energetica/publicaciones/estadisticas/balance-energetico/" TargetMode="External"/><Relationship Id="rId1306" Type="http://schemas.openxmlformats.org/officeDocument/2006/relationships/hyperlink" Target="https://mem.gob.gt/que-hacemos/area-energetica/publicaciones/estadisticas/balance-energetico/" TargetMode="External"/><Relationship Id="rId1307" Type="http://schemas.openxmlformats.org/officeDocument/2006/relationships/hyperlink" Target="https://mem.gob.gt/que-hacemos/area-energetica/publicaciones/estadisticas/balance-energetico/" TargetMode="External"/><Relationship Id="rId1308" Type="http://schemas.openxmlformats.org/officeDocument/2006/relationships/hyperlink" Target="https://mem.gob.gt/que-hacemos/area-energetica/publicaciones/estadisticas/balance-energetico/" TargetMode="External"/><Relationship Id="rId1309" Type="http://schemas.openxmlformats.org/officeDocument/2006/relationships/hyperlink" Target="https://mem.gob.gt/que-hacemos/area-energetica/publicaciones/estadisticas/balance-energetico/" TargetMode="External"/><Relationship Id="rId1310" Type="http://schemas.openxmlformats.org/officeDocument/2006/relationships/hyperlink" Target="https://mem.gob.gt/que-hacemos/area-energetica/publicaciones/estadisticas/balance-energetico/" TargetMode="External"/><Relationship Id="rId1311" Type="http://schemas.openxmlformats.org/officeDocument/2006/relationships/hyperlink" Target="https://mem.gob.gt/que-hacemos/area-energetica/publicaciones/estadisticas/balance-energetico/" TargetMode="External"/><Relationship Id="rId1312" Type="http://schemas.openxmlformats.org/officeDocument/2006/relationships/hyperlink" Target="https://mem.gob.gt/que-hacemos/area-energetica/publicaciones/estadisticas/balance-energetico/" TargetMode="External"/><Relationship Id="rId1313" Type="http://schemas.openxmlformats.org/officeDocument/2006/relationships/hyperlink" Target="https://mem.gob.gt/que-hacemos/area-energetica/publicaciones/estadisticas/balance-energetico/" TargetMode="External"/><Relationship Id="rId1314" Type="http://schemas.openxmlformats.org/officeDocument/2006/relationships/hyperlink" Target="https://mem.gob.gt/que-hacemos/area-energetica/publicaciones/estadisticas/balance-energetico/" TargetMode="External"/><Relationship Id="rId1315" Type="http://schemas.openxmlformats.org/officeDocument/2006/relationships/hyperlink" Target="https://mem.gob.gt/que-hacemos/area-energetica/publicaciones/estadisticas/balance-energetico/" TargetMode="External"/><Relationship Id="rId1316" Type="http://schemas.openxmlformats.org/officeDocument/2006/relationships/hyperlink" Target="https://mem.gob.gt/que-hacemos/area-energetica/publicaciones/estadisticas/balance-energetico/" TargetMode="External"/><Relationship Id="rId1317" Type="http://schemas.openxmlformats.org/officeDocument/2006/relationships/hyperlink" Target="https://mem.gob.gt/que-hacemos/area-energetica/publicaciones/estadisticas/balance-energetico/" TargetMode="External"/><Relationship Id="rId1318" Type="http://schemas.openxmlformats.org/officeDocument/2006/relationships/hyperlink" Target="https://mem.gob.gt/que-hacemos/area-energetica/publicaciones/estadisticas/balance-energetico/" TargetMode="External"/><Relationship Id="rId1319" Type="http://schemas.openxmlformats.org/officeDocument/2006/relationships/hyperlink" Target="https://mem.gob.gt/que-hacemos/area-energetica/publicaciones/estadisticas/balance-energetico/" TargetMode="External"/><Relationship Id="rId1320" Type="http://schemas.openxmlformats.org/officeDocument/2006/relationships/hyperlink" Target="https://mem.gob.gt/que-hacemos/area-energetica/publicaciones/estadisticas/balance-energetico/" TargetMode="External"/><Relationship Id="rId1321" Type="http://schemas.openxmlformats.org/officeDocument/2006/relationships/hyperlink" Target="https://mem.gob.gt/que-hacemos/area-energetica/publicaciones/estadisticas/balance-energetico/" TargetMode="External"/><Relationship Id="rId1322" Type="http://schemas.openxmlformats.org/officeDocument/2006/relationships/hyperlink" Target="https://mem.gob.gt/que-hacemos/area-energetica/publicaciones/estadisticas/balance-energetico/" TargetMode="External"/><Relationship Id="rId1323" Type="http://schemas.openxmlformats.org/officeDocument/2006/relationships/hyperlink" Target="https://mem.gob.gt/que-hacemos/area-energetica/publicaciones/estadisticas/balance-energetico/" TargetMode="External"/><Relationship Id="rId1324" Type="http://schemas.openxmlformats.org/officeDocument/2006/relationships/hyperlink" Target="https://mem.gob.gt/que-hacemos/area-energetica/publicaciones/estadisticas/balance-energetico/" TargetMode="External"/><Relationship Id="rId1325" Type="http://schemas.openxmlformats.org/officeDocument/2006/relationships/hyperlink" Target="https://mem.gob.gt/que-hacemos/area-energetica/publicaciones/estadisticas/balance-energetico/" TargetMode="External"/><Relationship Id="rId1326" Type="http://schemas.openxmlformats.org/officeDocument/2006/relationships/hyperlink" Target="https://mem.gob.gt/que-hacemos/area-energetica/publicaciones/estadisticas/balance-energetico/" TargetMode="External"/><Relationship Id="rId1327" Type="http://schemas.openxmlformats.org/officeDocument/2006/relationships/hyperlink" Target="https://mem.gob.gt/que-hacemos/area-energetica/publicaciones/estadisticas/balance-energetico/" TargetMode="External"/><Relationship Id="rId1328" Type="http://schemas.openxmlformats.org/officeDocument/2006/relationships/hyperlink" Target="https://mem.gob.gt/que-hacemos/area-energetica/publicaciones/estadisticas/balance-energetico/" TargetMode="External"/><Relationship Id="rId1329" Type="http://schemas.openxmlformats.org/officeDocument/2006/relationships/hyperlink" Target="https://mem.gob.gt/que-hacemos/area-energetica/publicaciones/estadisticas/balance-energetico/" TargetMode="External"/><Relationship Id="rId1330" Type="http://schemas.openxmlformats.org/officeDocument/2006/relationships/hyperlink" Target="https://mem.gob.gt/que-hacemos/area-energetica/publicaciones/estadisticas/balance-energetico/" TargetMode="External"/><Relationship Id="rId1331" Type="http://schemas.openxmlformats.org/officeDocument/2006/relationships/hyperlink" Target="https://mem.gob.gt/que-hacemos/area-energetica/publicaciones/estadisticas/balance-energetico/" TargetMode="External"/><Relationship Id="rId1332" Type="http://schemas.openxmlformats.org/officeDocument/2006/relationships/hyperlink" Target="https://mem.gob.gt/que-hacemos/area-energetica/publicaciones/estadisticas/balance-energetico/" TargetMode="External"/><Relationship Id="rId1333" Type="http://schemas.openxmlformats.org/officeDocument/2006/relationships/hyperlink" Target="https://mem.gob.gt/que-hacemos/area-energetica/publicaciones/estadisticas/balance-energetico/" TargetMode="External"/><Relationship Id="rId1334" Type="http://schemas.openxmlformats.org/officeDocument/2006/relationships/hyperlink" Target="https://mem.gob.gt/que-hacemos/area-energetica/publicaciones/estadisticas/balance-energetico/" TargetMode="External"/><Relationship Id="rId1335" Type="http://schemas.openxmlformats.org/officeDocument/2006/relationships/hyperlink" Target="https://mem.gob.gt/que-hacemos/area-energetica/publicaciones/estadisticas/balance-energetico/" TargetMode="External"/><Relationship Id="rId1336" Type="http://schemas.openxmlformats.org/officeDocument/2006/relationships/hyperlink" Target="https://mem.gob.gt/que-hacemos/area-energetica/publicaciones/estadisticas/balance-energetico/" TargetMode="External"/><Relationship Id="rId1337" Type="http://schemas.openxmlformats.org/officeDocument/2006/relationships/hyperlink" Target="https://mem.gob.gt/que-hacemos/area-energetica/publicaciones/estadisticas/balance-energetico/" TargetMode="External"/><Relationship Id="rId1338" Type="http://schemas.openxmlformats.org/officeDocument/2006/relationships/hyperlink" Target="https://mem.gob.gt/que-hacemos/area-energetica/publicaciones/estadisticas/balance-energetico/" TargetMode="External"/><Relationship Id="rId1339" Type="http://schemas.openxmlformats.org/officeDocument/2006/relationships/hyperlink" Target="https://mem.gob.gt/que-hacemos/area-energetica/publicaciones/estadisticas/balance-energetico/" TargetMode="External"/><Relationship Id="rId1340" Type="http://schemas.openxmlformats.org/officeDocument/2006/relationships/hyperlink" Target="https://mem.gob.gt/que-hacemos/area-energetica/publicaciones/estadisticas/balance-energetico/" TargetMode="External"/><Relationship Id="rId1341" Type="http://schemas.openxmlformats.org/officeDocument/2006/relationships/hyperlink" Target="https://mem.gob.gt/que-hacemos/area-energetica/publicaciones/estadisticas/balance-energetico/" TargetMode="External"/><Relationship Id="rId1342" Type="http://schemas.openxmlformats.org/officeDocument/2006/relationships/hyperlink" Target="https://mem.gob.gt/que-hacemos/area-energetica/publicaciones/estadisticas/balance-energetico/" TargetMode="External"/><Relationship Id="rId1343" Type="http://schemas.openxmlformats.org/officeDocument/2006/relationships/hyperlink" Target="https://mem.gob.gt/que-hacemos/area-energetica/publicaciones/estadisticas/balance-energetico/" TargetMode="External"/><Relationship Id="rId1344" Type="http://schemas.openxmlformats.org/officeDocument/2006/relationships/hyperlink" Target="https://mem.gob.gt/que-hacemos/area-energetica/publicaciones/estadisticas/balance-energetico/" TargetMode="External"/><Relationship Id="rId1345" Type="http://schemas.openxmlformats.org/officeDocument/2006/relationships/hyperlink" Target="https://mem.gob.gt/que-hacemos/area-energetica/publicaciones/estadisticas/balance-energetico/" TargetMode="External"/><Relationship Id="rId1346" Type="http://schemas.openxmlformats.org/officeDocument/2006/relationships/hyperlink" Target="https://mem.gob.gt/que-hacemos/area-energetica/publicaciones/estadisticas/balance-energetico/" TargetMode="External"/><Relationship Id="rId1347" Type="http://schemas.openxmlformats.org/officeDocument/2006/relationships/hyperlink" Target="https://mem.gob.gt/que-hacemos/area-energetica/publicaciones/estadisticas/balance-energetico/" TargetMode="External"/><Relationship Id="rId1348" Type="http://schemas.openxmlformats.org/officeDocument/2006/relationships/hyperlink" Target="https://mem.gob.gt/que-hacemos/area-energetica/publicaciones/estadisticas/balance-energetico/" TargetMode="External"/><Relationship Id="rId1349" Type="http://schemas.openxmlformats.org/officeDocument/2006/relationships/hyperlink" Target="https://mem.gob.gt/que-hacemos/area-energetica/publicaciones/estadisticas/balance-energetico/" TargetMode="External"/><Relationship Id="rId1350" Type="http://schemas.openxmlformats.org/officeDocument/2006/relationships/hyperlink" Target="https://mem.gob.gt/que-hacemos/area-energetica/publicaciones/estadisticas/balance-energetico/" TargetMode="External"/><Relationship Id="rId1351" Type="http://schemas.openxmlformats.org/officeDocument/2006/relationships/hyperlink" Target="https://mem.gob.gt/que-hacemos/area-energetica/publicaciones/estadisticas/balance-energetico/" TargetMode="External"/><Relationship Id="rId1352" Type="http://schemas.openxmlformats.org/officeDocument/2006/relationships/hyperlink" Target="https://mem.gob.gt/que-hacemos/area-energetica/publicaciones/estadisticas/balance-energetico/" TargetMode="External"/><Relationship Id="rId1353" Type="http://schemas.openxmlformats.org/officeDocument/2006/relationships/hyperlink" Target="https://mem.gob.gt/que-hacemos/area-energetica/publicaciones/estadisticas/balance-energetico/" TargetMode="External"/><Relationship Id="rId1354" Type="http://schemas.openxmlformats.org/officeDocument/2006/relationships/hyperlink" Target="https://mem.gob.gt/que-hacemos/area-energetica/publicaciones/estadisticas/balance-energetico/" TargetMode="External"/><Relationship Id="rId1355" Type="http://schemas.openxmlformats.org/officeDocument/2006/relationships/hyperlink" Target="https://mem.gob.gt/que-hacemos/area-energetica/publicaciones/estadisticas/balance-energetico/" TargetMode="External"/><Relationship Id="rId1356" Type="http://schemas.openxmlformats.org/officeDocument/2006/relationships/hyperlink" Target="https://mem.gob.gt/que-hacemos/area-energetica/publicaciones/estadisticas/balance-energetico/" TargetMode="External"/><Relationship Id="rId1357" Type="http://schemas.openxmlformats.org/officeDocument/2006/relationships/hyperlink" Target="https://mem.gob.gt/que-hacemos/area-energetica/publicaciones/estadisticas/balance-energetico/" TargetMode="External"/><Relationship Id="rId1358" Type="http://schemas.openxmlformats.org/officeDocument/2006/relationships/hyperlink" Target="https://mem.gob.gt/que-hacemos/area-energetica/publicaciones/estadisticas/balance-energetico/" TargetMode="External"/><Relationship Id="rId1359" Type="http://schemas.openxmlformats.org/officeDocument/2006/relationships/hyperlink" Target="https://mem.gob.gt/que-hacemos/area-energetica/publicaciones/estadisticas/balance-energetico/" TargetMode="External"/><Relationship Id="rId1360" Type="http://schemas.openxmlformats.org/officeDocument/2006/relationships/hyperlink" Target="https://mem.gob.gt/que-hacemos/area-energetica/publicaciones/estadisticas/balance-energetico/" TargetMode="External"/><Relationship Id="rId1361" Type="http://schemas.openxmlformats.org/officeDocument/2006/relationships/hyperlink" Target="https://mem.gob.gt/que-hacemos/area-energetica/publicaciones/estadisticas/balance-energetico/" TargetMode="External"/><Relationship Id="rId1362" Type="http://schemas.openxmlformats.org/officeDocument/2006/relationships/hyperlink" Target="https://mem.gob.gt/que-hacemos/area-energetica/publicaciones/estadisticas/balance-energetico/" TargetMode="External"/><Relationship Id="rId1363" Type="http://schemas.openxmlformats.org/officeDocument/2006/relationships/hyperlink" Target="https://mem.gob.gt/que-hacemos/area-energetica/publicaciones/estadisticas/balance-energetico/" TargetMode="External"/><Relationship Id="rId1364" Type="http://schemas.openxmlformats.org/officeDocument/2006/relationships/hyperlink" Target="https://mem.gob.gt/que-hacemos/area-energetica/publicaciones/estadisticas/balance-energetico/" TargetMode="External"/><Relationship Id="rId1365" Type="http://schemas.openxmlformats.org/officeDocument/2006/relationships/hyperlink" Target="https://mem.gob.gt/que-hacemos/area-energetica/publicaciones/estadisticas/balance-energetico/" TargetMode="External"/><Relationship Id="rId1366" Type="http://schemas.openxmlformats.org/officeDocument/2006/relationships/hyperlink" Target="https://mem.gob.gt/que-hacemos/area-energetica/publicaciones/estadisticas/balance-energetico/" TargetMode="External"/><Relationship Id="rId1367" Type="http://schemas.openxmlformats.org/officeDocument/2006/relationships/hyperlink" Target="https://mem.gob.gt/que-hacemos/area-energetica/publicaciones/estadisticas/balance-energetico/" TargetMode="External"/><Relationship Id="rId1368" Type="http://schemas.openxmlformats.org/officeDocument/2006/relationships/hyperlink" Target="https://mem.gob.gt/que-hacemos/area-energetica/publicaciones/estadisticas/balance-energetico/" TargetMode="External"/><Relationship Id="rId1369" Type="http://schemas.openxmlformats.org/officeDocument/2006/relationships/hyperlink" Target="https://mem.gob.gt/que-hacemos/area-energetica/publicaciones/estadisticas/balance-energetico/" TargetMode="External"/><Relationship Id="rId1370" Type="http://schemas.openxmlformats.org/officeDocument/2006/relationships/hyperlink" Target="https://mem.gob.gt/que-hacemos/area-energetica/publicaciones/estadisticas/balance-energetico/" TargetMode="External"/><Relationship Id="rId1371" Type="http://schemas.openxmlformats.org/officeDocument/2006/relationships/hyperlink" Target="https://mem.gob.gt/que-hacemos/area-energetica/publicaciones/estadisticas/balance-energetico/" TargetMode="External"/><Relationship Id="rId1372" Type="http://schemas.openxmlformats.org/officeDocument/2006/relationships/hyperlink" Target="https://mem.gob.gt/que-hacemos/area-energetica/publicaciones/estadisticas/balance-energetico/" TargetMode="External"/><Relationship Id="rId1373" Type="http://schemas.openxmlformats.org/officeDocument/2006/relationships/hyperlink" Target="https://mem.gob.gt/que-hacemos/area-energetica/publicaciones/estadisticas/balance-energetico/" TargetMode="External"/><Relationship Id="rId1374" Type="http://schemas.openxmlformats.org/officeDocument/2006/relationships/hyperlink" Target="https://mem.gob.gt/que-hacemos/area-energetica/publicaciones/estadisticas/balance-energetico/" TargetMode="External"/><Relationship Id="rId1375" Type="http://schemas.openxmlformats.org/officeDocument/2006/relationships/hyperlink" Target="https://mem.gob.gt/que-hacemos/area-energetica/publicaciones/estadisticas/balance-energetico/" TargetMode="External"/><Relationship Id="rId1376" Type="http://schemas.openxmlformats.org/officeDocument/2006/relationships/hyperlink" Target="https://mem.gob.gt/que-hacemos/area-energetica/publicaciones/estadisticas/balance-energetico/" TargetMode="External"/><Relationship Id="rId1377" Type="http://schemas.openxmlformats.org/officeDocument/2006/relationships/hyperlink" Target="https://mem.gob.gt/que-hacemos/area-energetica/publicaciones/estadisticas/balance-energetico/" TargetMode="External"/><Relationship Id="rId1378" Type="http://schemas.openxmlformats.org/officeDocument/2006/relationships/hyperlink" Target="https://mem.gob.gt/que-hacemos/area-energetica/publicaciones/estadisticas/balance-energetico/" TargetMode="External"/><Relationship Id="rId1379" Type="http://schemas.openxmlformats.org/officeDocument/2006/relationships/hyperlink" Target="https://mem.gob.gt/que-hacemos/area-energetica/publicaciones/estadisticas/balance-energetico/" TargetMode="External"/><Relationship Id="rId1380" Type="http://schemas.openxmlformats.org/officeDocument/2006/relationships/hyperlink" Target="https://mem.gob.gt/que-hacemos/area-energetica/publicaciones/estadisticas/balance-energetico/" TargetMode="External"/><Relationship Id="rId1381" Type="http://schemas.openxmlformats.org/officeDocument/2006/relationships/hyperlink" Target="https://mem.gob.gt/que-hacemos/area-energetica/publicaciones/estadisticas/balance-energetico/" TargetMode="External"/><Relationship Id="rId1382" Type="http://schemas.openxmlformats.org/officeDocument/2006/relationships/hyperlink" Target="https://mem.gob.gt/que-hacemos/area-energetica/publicaciones/estadisticas/balance-energetico/" TargetMode="External"/><Relationship Id="rId1383" Type="http://schemas.openxmlformats.org/officeDocument/2006/relationships/hyperlink" Target="https://mem.gob.gt/que-hacemos/area-energetica/publicaciones/estadisticas/balance-energetico/" TargetMode="External"/><Relationship Id="rId1384" Type="http://schemas.openxmlformats.org/officeDocument/2006/relationships/hyperlink" Target="https://mem.gob.gt/que-hacemos/area-energetica/publicaciones/estadisticas/balance-energetico/" TargetMode="External"/><Relationship Id="rId1385" Type="http://schemas.openxmlformats.org/officeDocument/2006/relationships/hyperlink" Target="https://mem.gob.gt/que-hacemos/area-energetica/publicaciones/estadisticas/balance-energetico/" TargetMode="External"/><Relationship Id="rId1386" Type="http://schemas.openxmlformats.org/officeDocument/2006/relationships/hyperlink" Target="https://mem.gob.gt/que-hacemos/area-energetica/publicaciones/estadisticas/balance-energetico/" TargetMode="External"/><Relationship Id="rId1387" Type="http://schemas.openxmlformats.org/officeDocument/2006/relationships/hyperlink" Target="https://mem.gob.gt/que-hacemos/area-energetica/publicaciones/estadisticas/balance-energetico/" TargetMode="External"/><Relationship Id="rId1388" Type="http://schemas.openxmlformats.org/officeDocument/2006/relationships/hyperlink" Target="https://mem.gob.gt/que-hacemos/area-energetica/publicaciones/estadisticas/balance-energetico/" TargetMode="External"/><Relationship Id="rId1389" Type="http://schemas.openxmlformats.org/officeDocument/2006/relationships/hyperlink" Target="https://mem.gob.gt/que-hacemos/area-energetica/publicaciones/estadisticas/balance-energetico/" TargetMode="External"/><Relationship Id="rId1390" Type="http://schemas.openxmlformats.org/officeDocument/2006/relationships/hyperlink" Target="https://mem.gob.gt/que-hacemos/area-energetica/publicaciones/estadisticas/balance-energetico/" TargetMode="External"/><Relationship Id="rId1391" Type="http://schemas.openxmlformats.org/officeDocument/2006/relationships/hyperlink" Target="https://mem.gob.gt/que-hacemos/area-energetica/publicaciones/estadisticas/balance-energetico/" TargetMode="External"/><Relationship Id="rId1392" Type="http://schemas.openxmlformats.org/officeDocument/2006/relationships/hyperlink" Target="https://mem.gob.gt/que-hacemos/area-energetica/publicaciones/estadisticas/balance-energetico/" TargetMode="External"/><Relationship Id="rId1393" Type="http://schemas.openxmlformats.org/officeDocument/2006/relationships/hyperlink" Target="https://mem.gob.gt/que-hacemos/area-energetica/publicaciones/estadisticas/balance-energetico/" TargetMode="External"/><Relationship Id="rId1394" Type="http://schemas.openxmlformats.org/officeDocument/2006/relationships/hyperlink" Target="https://mem.gob.gt/que-hacemos/area-energetica/publicaciones/estadisticas/balance-energetico/" TargetMode="External"/><Relationship Id="rId1395" Type="http://schemas.openxmlformats.org/officeDocument/2006/relationships/hyperlink" Target="https://mem.gob.gt/que-hacemos/area-energetica/publicaciones/estadisticas/balance-energetico/" TargetMode="External"/><Relationship Id="rId1396" Type="http://schemas.openxmlformats.org/officeDocument/2006/relationships/hyperlink" Target="https://mem.gob.gt/que-hacemos/area-energetica/publicaciones/estadisticas/balance-energetico/" TargetMode="External"/><Relationship Id="rId1397" Type="http://schemas.openxmlformats.org/officeDocument/2006/relationships/hyperlink" Target="https://mem.gob.gt/que-hacemos/area-energetica/publicaciones/estadisticas/balance-energetico/" TargetMode="External"/><Relationship Id="rId1398" Type="http://schemas.openxmlformats.org/officeDocument/2006/relationships/hyperlink" Target="https://mem.gob.gt/que-hacemos/area-energetica/publicaciones/estadisticas/balance-energetico/" TargetMode="External"/><Relationship Id="rId1399" Type="http://schemas.openxmlformats.org/officeDocument/2006/relationships/hyperlink" Target="https://mem.gob.gt/que-hacemos/area-energetica/publicaciones/estadisticas/balance-energetico/" TargetMode="External"/><Relationship Id="rId1400" Type="http://schemas.openxmlformats.org/officeDocument/2006/relationships/hyperlink" Target="https://mem.gob.gt/que-hacemos/area-energetica/publicaciones/estadisticas/balance-energetico/" TargetMode="External"/><Relationship Id="rId1401" Type="http://schemas.openxmlformats.org/officeDocument/2006/relationships/hyperlink" Target="https://mem.gob.gt/que-hacemos/area-energetica/publicaciones/estadisticas/balance-energetico/" TargetMode="External"/><Relationship Id="rId1402" Type="http://schemas.openxmlformats.org/officeDocument/2006/relationships/hyperlink" Target="https://mem.gob.gt/que-hacemos/area-energetica/publicaciones/estadisticas/balance-energetico/" TargetMode="External"/><Relationship Id="rId1403" Type="http://schemas.openxmlformats.org/officeDocument/2006/relationships/hyperlink" Target="https://mem.gob.gt/que-hacemos/area-energetica/publicaciones/estadisticas/balance-energetico/" TargetMode="External"/><Relationship Id="rId1404" Type="http://schemas.openxmlformats.org/officeDocument/2006/relationships/hyperlink" Target="https://mem.gob.gt/que-hacemos/area-energetica/publicaciones/estadisticas/balance-energetico/" TargetMode="External"/><Relationship Id="rId1405" Type="http://schemas.openxmlformats.org/officeDocument/2006/relationships/hyperlink" Target="https://mem.gob.gt/que-hacemos/area-energetica/publicaciones/estadisticas/balance-energetico/" TargetMode="External"/><Relationship Id="rId1406" Type="http://schemas.openxmlformats.org/officeDocument/2006/relationships/hyperlink" Target="https://mem.gob.gt/que-hacemos/area-energetica/publicaciones/estadisticas/balance-energetico/" TargetMode="External"/><Relationship Id="rId1407" Type="http://schemas.openxmlformats.org/officeDocument/2006/relationships/hyperlink" Target="https://mem.gob.gt/que-hacemos/area-energetica/publicaciones/estadisticas/balance-energetico/" TargetMode="External"/><Relationship Id="rId1408" Type="http://schemas.openxmlformats.org/officeDocument/2006/relationships/hyperlink" Target="https://mem.gob.gt/que-hacemos/area-energetica/publicaciones/estadisticas/balance-energetico/" TargetMode="External"/><Relationship Id="rId1409" Type="http://schemas.openxmlformats.org/officeDocument/2006/relationships/hyperlink" Target="https://mem.gob.gt/que-hacemos/area-energetica/publicaciones/estadisticas/balance-energetico/" TargetMode="External"/><Relationship Id="rId1410" Type="http://schemas.openxmlformats.org/officeDocument/2006/relationships/hyperlink" Target="https://mem.gob.gt/que-hacemos/area-energetica/publicaciones/estadisticas/balance-energetico/" TargetMode="External"/><Relationship Id="rId1411" Type="http://schemas.openxmlformats.org/officeDocument/2006/relationships/hyperlink" Target="https://mem.gob.gt/que-hacemos/area-energetica/publicaciones/estadisticas/balance-energetico/" TargetMode="External"/><Relationship Id="rId1412" Type="http://schemas.openxmlformats.org/officeDocument/2006/relationships/hyperlink" Target="https://mem.gob.gt/que-hacemos/area-energetica/publicaciones/estadisticas/balance-energetico/" TargetMode="External"/><Relationship Id="rId1413" Type="http://schemas.openxmlformats.org/officeDocument/2006/relationships/hyperlink" Target="https://mem.gob.gt/que-hacemos/area-energetica/publicaciones/estadisticas/balance-energetico/" TargetMode="External"/><Relationship Id="rId1414" Type="http://schemas.openxmlformats.org/officeDocument/2006/relationships/hyperlink" Target="https://mem.gob.gt/que-hacemos/area-energetica/publicaciones/estadisticas/balance-energetico/" TargetMode="External"/><Relationship Id="rId1415" Type="http://schemas.openxmlformats.org/officeDocument/2006/relationships/hyperlink" Target="https://mem.gob.gt/que-hacemos/area-energetica/publicaciones/estadisticas/balance-energetico/" TargetMode="External"/><Relationship Id="rId1416" Type="http://schemas.openxmlformats.org/officeDocument/2006/relationships/hyperlink" Target="https://mem.gob.gt/que-hacemos/area-energetica/publicaciones/estadisticas/balance-energetico/" TargetMode="External"/><Relationship Id="rId1417" Type="http://schemas.openxmlformats.org/officeDocument/2006/relationships/hyperlink" Target="https://mem.gob.gt/que-hacemos/area-energetica/publicaciones/estadisticas/balance-energetico/" TargetMode="External"/><Relationship Id="rId1418" Type="http://schemas.openxmlformats.org/officeDocument/2006/relationships/hyperlink" Target="https://mem.gob.gt/que-hacemos/area-energetica/publicaciones/estadisticas/balance-energetico/" TargetMode="External"/><Relationship Id="rId1419" Type="http://schemas.openxmlformats.org/officeDocument/2006/relationships/hyperlink" Target="https://mem.gob.gt/que-hacemos/area-energetica/publicaciones/estadisticas/balance-energetico/" TargetMode="External"/><Relationship Id="rId1420" Type="http://schemas.openxmlformats.org/officeDocument/2006/relationships/hyperlink" Target="https://mem.gob.gt/que-hacemos/area-energetica/publicaciones/estadisticas/balance-energetico/" TargetMode="External"/><Relationship Id="rId1421" Type="http://schemas.openxmlformats.org/officeDocument/2006/relationships/hyperlink" Target="https://mem.gob.gt/que-hacemos/area-energetica/publicaciones/estadisticas/balance-energetico/" TargetMode="External"/><Relationship Id="rId1422" Type="http://schemas.openxmlformats.org/officeDocument/2006/relationships/hyperlink" Target="https://mem.gob.gt/que-hacemos/area-energetica/publicaciones/estadisticas/balance-energetico/" TargetMode="External"/><Relationship Id="rId1423" Type="http://schemas.openxmlformats.org/officeDocument/2006/relationships/hyperlink" Target="https://mem.gob.gt/que-hacemos/area-energetica/publicaciones/estadisticas/balance-energetico/" TargetMode="External"/><Relationship Id="rId1424" Type="http://schemas.openxmlformats.org/officeDocument/2006/relationships/hyperlink" Target="https://mem.gob.gt/que-hacemos/area-energetica/publicaciones/estadisticas/balance-energetico/" TargetMode="External"/><Relationship Id="rId1425" Type="http://schemas.openxmlformats.org/officeDocument/2006/relationships/hyperlink" Target="https://mem.gob.gt/que-hacemos/area-energetica/publicaciones/estadisticas/balance-energetico/" TargetMode="External"/><Relationship Id="rId1426" Type="http://schemas.openxmlformats.org/officeDocument/2006/relationships/hyperlink" Target="https://mem.gob.gt/que-hacemos/area-energetica/publicaciones/estadisticas/balance-energetico/" TargetMode="External"/><Relationship Id="rId1427" Type="http://schemas.openxmlformats.org/officeDocument/2006/relationships/hyperlink" Target="https://mem.gob.gt/que-hacemos/area-energetica/publicaciones/estadisticas/balance-energetico/" TargetMode="External"/><Relationship Id="rId1428" Type="http://schemas.openxmlformats.org/officeDocument/2006/relationships/hyperlink" Target="https://mem.gob.gt/que-hacemos/area-energetica/publicaciones/estadisticas/balance-energetico/" TargetMode="External"/><Relationship Id="rId1429" Type="http://schemas.openxmlformats.org/officeDocument/2006/relationships/hyperlink" Target="https://mem.gob.gt/que-hacemos/area-energetica/publicaciones/estadisticas/balance-energetico/" TargetMode="External"/><Relationship Id="rId1430" Type="http://schemas.openxmlformats.org/officeDocument/2006/relationships/hyperlink" Target="https://mem.gob.gt/que-hacemos/area-energetica/publicaciones/estadisticas/balance-energetico/" TargetMode="External"/><Relationship Id="rId1431" Type="http://schemas.openxmlformats.org/officeDocument/2006/relationships/hyperlink" Target="https://mem.gob.gt/que-hacemos/area-energetica/publicaciones/estadisticas/balance-energetico/" TargetMode="External"/><Relationship Id="rId1432" Type="http://schemas.openxmlformats.org/officeDocument/2006/relationships/hyperlink" Target="https://mem.gob.gt/que-hacemos/area-energetica/publicaciones/estadisticas/balance-energetico/" TargetMode="External"/><Relationship Id="rId1433" Type="http://schemas.openxmlformats.org/officeDocument/2006/relationships/hyperlink" Target="https://mem.gob.gt/que-hacemos/area-energetica/publicaciones/estadisticas/balance-energetico/" TargetMode="External"/><Relationship Id="rId1434" Type="http://schemas.openxmlformats.org/officeDocument/2006/relationships/hyperlink" Target="https://mem.gob.gt/que-hacemos/area-energetica/publicaciones/estadisticas/balance-energetico/" TargetMode="External"/><Relationship Id="rId1435" Type="http://schemas.openxmlformats.org/officeDocument/2006/relationships/hyperlink" Target="https://mem.gob.gt/que-hacemos/area-energetica/publicaciones/estadisticas/balance-energetico/" TargetMode="External"/><Relationship Id="rId1436" Type="http://schemas.openxmlformats.org/officeDocument/2006/relationships/hyperlink" Target="https://mem.gob.gt/que-hacemos/area-energetica/publicaciones/estadisticas/balance-energetico/" TargetMode="External"/><Relationship Id="rId1437" Type="http://schemas.openxmlformats.org/officeDocument/2006/relationships/hyperlink" Target="https://mem.gob.gt/que-hacemos/area-energetica/publicaciones/estadisticas/balance-energetico/" TargetMode="External"/><Relationship Id="rId1438" Type="http://schemas.openxmlformats.org/officeDocument/2006/relationships/hyperlink" Target="https://mem.gob.gt/que-hacemos/area-energetica/publicaciones/estadisticas/balance-energetico/" TargetMode="External"/><Relationship Id="rId1439" Type="http://schemas.openxmlformats.org/officeDocument/2006/relationships/hyperlink" Target="https://mem.gob.gt/que-hacemos/area-energetica/publicaciones/estadisticas/balance-energetico/" TargetMode="External"/><Relationship Id="rId1440" Type="http://schemas.openxmlformats.org/officeDocument/2006/relationships/hyperlink" Target="https://mem.gob.gt/que-hacemos/area-energetica/publicaciones/estadisticas/balance-energetico/" TargetMode="External"/><Relationship Id="rId1441" Type="http://schemas.openxmlformats.org/officeDocument/2006/relationships/hyperlink" Target="https://mem.gob.gt/que-hacemos/area-energetica/publicaciones/estadisticas/balance-energetico/" TargetMode="External"/><Relationship Id="rId1442" Type="http://schemas.openxmlformats.org/officeDocument/2006/relationships/hyperlink" Target="https://mem.gob.gt/que-hacemos/area-energetica/publicaciones/estadisticas/balance-energetico/" TargetMode="External"/><Relationship Id="rId1443" Type="http://schemas.openxmlformats.org/officeDocument/2006/relationships/hyperlink" Target="https://mem.gob.gt/que-hacemos/area-energetica/publicaciones/estadisticas/balance-energetico/" TargetMode="External"/><Relationship Id="rId1444" Type="http://schemas.openxmlformats.org/officeDocument/2006/relationships/hyperlink" Target="https://mem.gob.gt/que-hacemos/area-energetica/publicaciones/estadisticas/balance-energetico/" TargetMode="External"/><Relationship Id="rId1445" Type="http://schemas.openxmlformats.org/officeDocument/2006/relationships/hyperlink" Target="https://mem.gob.gt/que-hacemos/area-energetica/publicaciones/estadisticas/balance-energetico/" TargetMode="External"/><Relationship Id="rId1446" Type="http://schemas.openxmlformats.org/officeDocument/2006/relationships/hyperlink" Target="https://mem.gob.gt/que-hacemos/area-energetica/publicaciones/estadisticas/balance-energetico/" TargetMode="External"/><Relationship Id="rId1447" Type="http://schemas.openxmlformats.org/officeDocument/2006/relationships/hyperlink" Target="https://mem.gob.gt/que-hacemos/area-energetica/publicaciones/estadisticas/balance-energetico/" TargetMode="External"/><Relationship Id="rId1448" Type="http://schemas.openxmlformats.org/officeDocument/2006/relationships/hyperlink" Target="https://mem.gob.gt/que-hacemos/area-energetica/publicaciones/estadisticas/balance-energetico/" TargetMode="External"/><Relationship Id="rId1449" Type="http://schemas.openxmlformats.org/officeDocument/2006/relationships/hyperlink" Target="https://mem.gob.gt/que-hacemos/area-energetica/publicaciones/estadisticas/balance-energetico/" TargetMode="External"/><Relationship Id="rId1450" Type="http://schemas.openxmlformats.org/officeDocument/2006/relationships/hyperlink" Target="https://mem.gob.gt/que-hacemos/area-energetica/publicaciones/estadisticas/balance-energetico/" TargetMode="External"/><Relationship Id="rId1451" Type="http://schemas.openxmlformats.org/officeDocument/2006/relationships/hyperlink" Target="https://mem.gob.gt/que-hacemos/area-energetica/publicaciones/estadisticas/balance-energetico/" TargetMode="External"/><Relationship Id="rId1452" Type="http://schemas.openxmlformats.org/officeDocument/2006/relationships/hyperlink" Target="https://mem.gob.gt/que-hacemos/area-energetica/publicaciones/estadisticas/balance-energetico/" TargetMode="External"/><Relationship Id="rId1453" Type="http://schemas.openxmlformats.org/officeDocument/2006/relationships/hyperlink" Target="https://mem.gob.gt/que-hacemos/area-energetica/publicaciones/estadisticas/balance-energetico/" TargetMode="External"/><Relationship Id="rId1454" Type="http://schemas.openxmlformats.org/officeDocument/2006/relationships/hyperlink" Target="https://mem.gob.gt/que-hacemos/area-energetica/publicaciones/estadisticas/balance-energetico/" TargetMode="External"/><Relationship Id="rId1455" Type="http://schemas.openxmlformats.org/officeDocument/2006/relationships/hyperlink" Target="https://mem.gob.gt/que-hacemos/area-energetica/publicaciones/estadisticas/balance-energetico/" TargetMode="External"/><Relationship Id="rId1456" Type="http://schemas.openxmlformats.org/officeDocument/2006/relationships/hyperlink" Target="https://mem.gob.gt/que-hacemos/area-energetica/publicaciones/estadisticas/balance-energetico/" TargetMode="External"/><Relationship Id="rId1457" Type="http://schemas.openxmlformats.org/officeDocument/2006/relationships/hyperlink" Target="https://mem.gob.gt/que-hacemos/area-energetica/publicaciones/estadisticas/balance-energetico/" TargetMode="External"/><Relationship Id="rId1458" Type="http://schemas.openxmlformats.org/officeDocument/2006/relationships/hyperlink" Target="https://mem.gob.gt/que-hacemos/area-energetica/publicaciones/estadisticas/balance-energetico/" TargetMode="External"/><Relationship Id="rId1459" Type="http://schemas.openxmlformats.org/officeDocument/2006/relationships/hyperlink" Target="https://mem.gob.gt/que-hacemos/area-energetica/publicaciones/estadisticas/balance-energetico/" TargetMode="External"/><Relationship Id="rId1460" Type="http://schemas.openxmlformats.org/officeDocument/2006/relationships/hyperlink" Target="https://mem.gob.gt/que-hacemos/area-energetica/publicaciones/estadisticas/balance-energetico/" TargetMode="External"/><Relationship Id="rId1461" Type="http://schemas.openxmlformats.org/officeDocument/2006/relationships/hyperlink" Target="https://mem.gob.gt/que-hacemos/area-energetica/publicaciones/estadisticas/balance-energetico/" TargetMode="External"/><Relationship Id="rId1462" Type="http://schemas.openxmlformats.org/officeDocument/2006/relationships/hyperlink" Target="https://mem.gob.gt/que-hacemos/area-energetica/publicaciones/estadisticas/balance-energetico/" TargetMode="External"/><Relationship Id="rId1463" Type="http://schemas.openxmlformats.org/officeDocument/2006/relationships/hyperlink" Target="https://mem.gob.gt/que-hacemos/area-energetica/publicaciones/estadisticas/balance-energetico/" TargetMode="External"/><Relationship Id="rId1464" Type="http://schemas.openxmlformats.org/officeDocument/2006/relationships/hyperlink" Target="https://mem.gob.gt/que-hacemos/area-energetica/publicaciones/estadisticas/balance-energetico/" TargetMode="External"/><Relationship Id="rId1465" Type="http://schemas.openxmlformats.org/officeDocument/2006/relationships/hyperlink" Target="https://mem.gob.gt/que-hacemos/area-energetica/publicaciones/estadisticas/balance-energetico/" TargetMode="External"/><Relationship Id="rId1466" Type="http://schemas.openxmlformats.org/officeDocument/2006/relationships/hyperlink" Target="https://mem.gob.gt/que-hacemos/area-energetica/publicaciones/estadisticas/balance-energetico/" TargetMode="External"/><Relationship Id="rId1467" Type="http://schemas.openxmlformats.org/officeDocument/2006/relationships/hyperlink" Target="https://mem.gob.gt/que-hacemos/area-energetica/publicaciones/estadisticas/balance-energetico/" TargetMode="External"/><Relationship Id="rId1468" Type="http://schemas.openxmlformats.org/officeDocument/2006/relationships/hyperlink" Target="https://mem.gob.gt/que-hacemos/area-energetica/publicaciones/estadisticas/balance-energetico/" TargetMode="External"/><Relationship Id="rId1469" Type="http://schemas.openxmlformats.org/officeDocument/2006/relationships/hyperlink" Target="https://mem.gob.gt/que-hacemos/area-energetica/publicaciones/estadisticas/balance-energetico/" TargetMode="External"/><Relationship Id="rId1470" Type="http://schemas.openxmlformats.org/officeDocument/2006/relationships/hyperlink" Target="https://mem.gob.gt/que-hacemos/area-energetica/publicaciones/estadisticas/balance-energetico/" TargetMode="External"/><Relationship Id="rId1471" Type="http://schemas.openxmlformats.org/officeDocument/2006/relationships/hyperlink" Target="https://mem.gob.gt/que-hacemos/area-energetica/publicaciones/estadisticas/balance-energetico/" TargetMode="External"/><Relationship Id="rId1472" Type="http://schemas.openxmlformats.org/officeDocument/2006/relationships/hyperlink" Target="https://mem.gob.gt/que-hacemos/area-energetica/publicaciones/estadisticas/balance-energetico/" TargetMode="External"/><Relationship Id="rId1473" Type="http://schemas.openxmlformats.org/officeDocument/2006/relationships/hyperlink" Target="https://mem.gob.gt/que-hacemos/area-energetica/publicaciones/estadisticas/balance-energetico/" TargetMode="External"/><Relationship Id="rId1474" Type="http://schemas.openxmlformats.org/officeDocument/2006/relationships/hyperlink" Target="https://mem.gob.gt/que-hacemos/area-energetica/publicaciones/estadisticas/balance-energetico/" TargetMode="External"/><Relationship Id="rId1475" Type="http://schemas.openxmlformats.org/officeDocument/2006/relationships/hyperlink" Target="https://mem.gob.gt/que-hacemos/area-energetica/publicaciones/estadisticas/balance-energetico/" TargetMode="External"/><Relationship Id="rId1476" Type="http://schemas.openxmlformats.org/officeDocument/2006/relationships/hyperlink" Target="https://mem.gob.gt/que-hacemos/area-energetica/publicaciones/estadisticas/balance-energetico/" TargetMode="External"/><Relationship Id="rId1477" Type="http://schemas.openxmlformats.org/officeDocument/2006/relationships/hyperlink" Target="https://mem.gob.gt/que-hacemos/area-energetica/publicaciones/estadisticas/balance-energetico/" TargetMode="External"/><Relationship Id="rId1478" Type="http://schemas.openxmlformats.org/officeDocument/2006/relationships/hyperlink" Target="https://mem.gob.gt/que-hacemos/area-energetica/publicaciones/estadisticas/balance-energetico/" TargetMode="External"/><Relationship Id="rId1479" Type="http://schemas.openxmlformats.org/officeDocument/2006/relationships/hyperlink" Target="https://mem.gob.gt/que-hacemos/area-energetica/publicaciones/estadisticas/balance-energetico/" TargetMode="External"/><Relationship Id="rId1480" Type="http://schemas.openxmlformats.org/officeDocument/2006/relationships/hyperlink" Target="https://mem.gob.gt/que-hacemos/area-energetica/publicaciones/estadisticas/balance-energetico/" TargetMode="External"/><Relationship Id="rId1481" Type="http://schemas.openxmlformats.org/officeDocument/2006/relationships/hyperlink" Target="https://mem.gob.gt/que-hacemos/area-energetica/publicaciones/estadisticas/balance-energetico/" TargetMode="External"/><Relationship Id="rId1482" Type="http://schemas.openxmlformats.org/officeDocument/2006/relationships/hyperlink" Target="https://mem.gob.gt/que-hacemos/area-energetica/publicaciones/estadisticas/balance-energetico/" TargetMode="External"/><Relationship Id="rId1483" Type="http://schemas.openxmlformats.org/officeDocument/2006/relationships/hyperlink" Target="https://mem.gob.gt/que-hacemos/area-energetica/publicaciones/estadisticas/balance-energetico/" TargetMode="External"/><Relationship Id="rId1484" Type="http://schemas.openxmlformats.org/officeDocument/2006/relationships/hyperlink" Target="https://mem.gob.gt/que-hacemos/area-energetica/publicaciones/estadisticas/balance-energetico/" TargetMode="External"/><Relationship Id="rId1485" Type="http://schemas.openxmlformats.org/officeDocument/2006/relationships/hyperlink" Target="https://mem.gob.gt/que-hacemos/area-energetica/publicaciones/estadisticas/balance-energetico/" TargetMode="External"/><Relationship Id="rId1486" Type="http://schemas.openxmlformats.org/officeDocument/2006/relationships/hyperlink" Target="https://mem.gob.gt/que-hacemos/area-energetica/publicaciones/estadisticas/balance-energetico/" TargetMode="External"/><Relationship Id="rId1487" Type="http://schemas.openxmlformats.org/officeDocument/2006/relationships/hyperlink" Target="https://mem.gob.gt/que-hacemos/area-energetica/publicaciones/estadisticas/balance-energetico/" TargetMode="External"/><Relationship Id="rId1488" Type="http://schemas.openxmlformats.org/officeDocument/2006/relationships/hyperlink" Target="https://mem.gob.gt/que-hacemos/area-energetica/publicaciones/estadisticas/balance-energetico/" TargetMode="External"/><Relationship Id="rId1489" Type="http://schemas.openxmlformats.org/officeDocument/2006/relationships/hyperlink" Target="https://mem.gob.gt/que-hacemos/area-energetica/publicaciones/estadisticas/balance-energetico/" TargetMode="External"/><Relationship Id="rId1490" Type="http://schemas.openxmlformats.org/officeDocument/2006/relationships/hyperlink" Target="https://mem.gob.gt/que-hacemos/area-energetica/publicaciones/estadisticas/balance-energetico/" TargetMode="External"/><Relationship Id="rId1491" Type="http://schemas.openxmlformats.org/officeDocument/2006/relationships/hyperlink" Target="https://mem.gob.gt/que-hacemos/area-energetica/publicaciones/estadisticas/balance-energetico/" TargetMode="External"/><Relationship Id="rId1492" Type="http://schemas.openxmlformats.org/officeDocument/2006/relationships/hyperlink" Target="https://mem.gob.gt/que-hacemos/area-energetica/publicaciones/estadisticas/balance-energetico/" TargetMode="External"/><Relationship Id="rId1493" Type="http://schemas.openxmlformats.org/officeDocument/2006/relationships/hyperlink" Target="https://mem.gob.gt/que-hacemos/area-energetica/publicaciones/estadisticas/balance-energetico/" TargetMode="External"/><Relationship Id="rId1494" Type="http://schemas.openxmlformats.org/officeDocument/2006/relationships/hyperlink" Target="https://mem.gob.gt/que-hacemos/area-energetica/publicaciones/estadisticas/balance-energetico/" TargetMode="External"/><Relationship Id="rId1495" Type="http://schemas.openxmlformats.org/officeDocument/2006/relationships/hyperlink" Target="https://mem.gob.gt/que-hacemos/area-energetica/publicaciones/estadisticas/balance-energetico/" TargetMode="External"/><Relationship Id="rId1496" Type="http://schemas.openxmlformats.org/officeDocument/2006/relationships/hyperlink" Target="https://mem.gob.gt/que-hacemos/area-energetica/publicaciones/estadisticas/balance-energetico/" TargetMode="External"/><Relationship Id="rId1497" Type="http://schemas.openxmlformats.org/officeDocument/2006/relationships/hyperlink" Target="https://mem.gob.gt/que-hacemos/area-energetica/publicaciones/estadisticas/balance-energetico/" TargetMode="External"/><Relationship Id="rId1498" Type="http://schemas.openxmlformats.org/officeDocument/2006/relationships/hyperlink" Target="https://mem.gob.gt/que-hacemos/area-energetica/publicaciones/estadisticas/balance-energetico/" TargetMode="External"/><Relationship Id="rId1499" Type="http://schemas.openxmlformats.org/officeDocument/2006/relationships/hyperlink" Target="https://mem.gob.gt/que-hacemos/area-energetica/publicaciones/estadisticas/balance-energetico/" TargetMode="External"/><Relationship Id="rId1500" Type="http://schemas.openxmlformats.org/officeDocument/2006/relationships/hyperlink" Target="https://mem.gob.gt/que-hacemos/area-energetica/publicaciones/estadisticas/balance-energetico/" TargetMode="External"/><Relationship Id="rId1501" Type="http://schemas.openxmlformats.org/officeDocument/2006/relationships/hyperlink" Target="https://mem.gob.gt/que-hacemos/area-energetica/publicaciones/estadisticas/balance-energetico/" TargetMode="External"/><Relationship Id="rId1502" Type="http://schemas.openxmlformats.org/officeDocument/2006/relationships/hyperlink" Target="https://mem.gob.gt/que-hacemos/area-energetica/publicaciones/estadisticas/balance-energetico/" TargetMode="External"/><Relationship Id="rId1503" Type="http://schemas.openxmlformats.org/officeDocument/2006/relationships/hyperlink" Target="https://mem.gob.gt/que-hacemos/area-energetica/publicaciones/estadisticas/balance-energetico/" TargetMode="External"/><Relationship Id="rId1504" Type="http://schemas.openxmlformats.org/officeDocument/2006/relationships/hyperlink" Target="https://mem.gob.gt/que-hacemos/area-energetica/publicaciones/estadisticas/balance-energetico/" TargetMode="External"/><Relationship Id="rId1505" Type="http://schemas.openxmlformats.org/officeDocument/2006/relationships/hyperlink" Target="https://mem.gob.gt/que-hacemos/area-energetica/publicaciones/estadisticas/balance-energetico/" TargetMode="External"/><Relationship Id="rId1506" Type="http://schemas.openxmlformats.org/officeDocument/2006/relationships/hyperlink" Target="https://mem.gob.gt/que-hacemos/area-energetica/publicaciones/estadisticas/balance-energetico/" TargetMode="External"/><Relationship Id="rId1507" Type="http://schemas.openxmlformats.org/officeDocument/2006/relationships/hyperlink" Target="https://mem.gob.gt/que-hacemos/area-energetica/publicaciones/estadisticas/balance-energetico/" TargetMode="External"/><Relationship Id="rId1508" Type="http://schemas.openxmlformats.org/officeDocument/2006/relationships/hyperlink" Target="https://mem.gob.gt/que-hacemos/area-energetica/publicaciones/estadisticas/balance-energetico/" TargetMode="External"/><Relationship Id="rId1509" Type="http://schemas.openxmlformats.org/officeDocument/2006/relationships/hyperlink" Target="https://mem.gob.gt/que-hacemos/area-energetica/publicaciones/estadisticas/balance-energetico/" TargetMode="External"/><Relationship Id="rId1510" Type="http://schemas.openxmlformats.org/officeDocument/2006/relationships/hyperlink" Target="https://mem.gob.gt/que-hacemos/area-energetica/publicaciones/estadisticas/balance-energetico/" TargetMode="External"/><Relationship Id="rId1511" Type="http://schemas.openxmlformats.org/officeDocument/2006/relationships/hyperlink" Target="https://mem.gob.gt/que-hacemos/area-energetica/publicaciones/estadisticas/balance-energetico/" TargetMode="External"/><Relationship Id="rId1512" Type="http://schemas.openxmlformats.org/officeDocument/2006/relationships/hyperlink" Target="https://mem.gob.gt/que-hacemos/area-energetica/publicaciones/estadisticas/balance-energetico/" TargetMode="External"/><Relationship Id="rId1513" Type="http://schemas.openxmlformats.org/officeDocument/2006/relationships/hyperlink" Target="https://mem.gob.gt/que-hacemos/area-energetica/publicaciones/estadisticas/balance-energetico/" TargetMode="External"/><Relationship Id="rId1514" Type="http://schemas.openxmlformats.org/officeDocument/2006/relationships/hyperlink" Target="https://mem.gob.gt/que-hacemos/area-energetica/publicaciones/estadisticas/balance-energetico/" TargetMode="External"/><Relationship Id="rId1515" Type="http://schemas.openxmlformats.org/officeDocument/2006/relationships/hyperlink" Target="https://mem.gob.gt/que-hacemos/area-energetica/publicaciones/estadisticas/balance-energetico/" TargetMode="External"/><Relationship Id="rId1516" Type="http://schemas.openxmlformats.org/officeDocument/2006/relationships/hyperlink" Target="https://mem.gob.gt/que-hacemos/area-energetica/publicaciones/estadisticas/balance-energetico/" TargetMode="External"/><Relationship Id="rId1517" Type="http://schemas.openxmlformats.org/officeDocument/2006/relationships/hyperlink" Target="https://mem.gob.gt/que-hacemos/area-energetica/publicaciones/estadisticas/balance-energetico/" TargetMode="External"/><Relationship Id="rId1518" Type="http://schemas.openxmlformats.org/officeDocument/2006/relationships/hyperlink" Target="https://mem.gob.gt/que-hacemos/area-energetica/publicaciones/estadisticas/balance-energetico/" TargetMode="External"/><Relationship Id="rId1519" Type="http://schemas.openxmlformats.org/officeDocument/2006/relationships/hyperlink" Target="https://mem.gob.gt/que-hacemos/area-energetica/publicaciones/estadisticas/balance-energetico/" TargetMode="External"/><Relationship Id="rId1520" Type="http://schemas.openxmlformats.org/officeDocument/2006/relationships/hyperlink" Target="https://mem.gob.gt/que-hacemos/area-energetica/publicaciones/estadisticas/balance-energetico/" TargetMode="External"/><Relationship Id="rId1521" Type="http://schemas.openxmlformats.org/officeDocument/2006/relationships/hyperlink" Target="https://mem.gob.gt/que-hacemos/area-energetica/publicaciones/estadisticas/balance-energetico/" TargetMode="External"/><Relationship Id="rId1522" Type="http://schemas.openxmlformats.org/officeDocument/2006/relationships/hyperlink" Target="https://mem.gob.gt/que-hacemos/area-energetica/publicaciones/estadisticas/balance-energetico/" TargetMode="External"/><Relationship Id="rId1523" Type="http://schemas.openxmlformats.org/officeDocument/2006/relationships/hyperlink" Target="https://mem.gob.gt/que-hacemos/area-energetica/publicaciones/estadisticas/balance-energetico/" TargetMode="External"/><Relationship Id="rId1524" Type="http://schemas.openxmlformats.org/officeDocument/2006/relationships/hyperlink" Target="https://mem.gob.gt/que-hacemos/area-energetica/publicaciones/estadisticas/balance-energetico/" TargetMode="External"/><Relationship Id="rId1525" Type="http://schemas.openxmlformats.org/officeDocument/2006/relationships/hyperlink" Target="https://mem.gob.gt/que-hacemos/area-energetica/publicaciones/estadisticas/balance-energetico/" TargetMode="External"/><Relationship Id="rId1526" Type="http://schemas.openxmlformats.org/officeDocument/2006/relationships/hyperlink" Target="https://mem.gob.gt/que-hacemos/area-energetica/publicaciones/estadisticas/balance-energetico/" TargetMode="External"/><Relationship Id="rId1527" Type="http://schemas.openxmlformats.org/officeDocument/2006/relationships/hyperlink" Target="https://mem.gob.gt/que-hacemos/area-energetica/publicaciones/estadisticas/balance-energetico/" TargetMode="External"/><Relationship Id="rId1528" Type="http://schemas.openxmlformats.org/officeDocument/2006/relationships/hyperlink" Target="https://mem.gob.gt/que-hacemos/area-energetica/publicaciones/estadisticas/balance-energetico/" TargetMode="External"/><Relationship Id="rId1529" Type="http://schemas.openxmlformats.org/officeDocument/2006/relationships/hyperlink" Target="https://mem.gob.gt/que-hacemos/area-energetica/publicaciones/estadisticas/balance-energetico/" TargetMode="External"/><Relationship Id="rId1530" Type="http://schemas.openxmlformats.org/officeDocument/2006/relationships/hyperlink" Target="https://mem.gob.gt/que-hacemos/area-energetica/publicaciones/estadisticas/balance-energetico/" TargetMode="External"/><Relationship Id="rId1531" Type="http://schemas.openxmlformats.org/officeDocument/2006/relationships/hyperlink" Target="https://mem.gob.gt/que-hacemos/area-energetica/publicaciones/estadisticas/balance-energetico/" TargetMode="External"/><Relationship Id="rId1532" Type="http://schemas.openxmlformats.org/officeDocument/2006/relationships/hyperlink" Target="https://mem.gob.gt/que-hacemos/area-energetica/publicaciones/estadisticas/balance-energetico/" TargetMode="External"/><Relationship Id="rId1533" Type="http://schemas.openxmlformats.org/officeDocument/2006/relationships/hyperlink" Target="https://mem.gob.gt/que-hacemos/area-energetica/publicaciones/estadisticas/balance-energetico/" TargetMode="External"/><Relationship Id="rId1534" Type="http://schemas.openxmlformats.org/officeDocument/2006/relationships/hyperlink" Target="https://mem.gob.gt/que-hacemos/area-energetica/publicaciones/estadisticas/balance-energetico/" TargetMode="External"/><Relationship Id="rId1535" Type="http://schemas.openxmlformats.org/officeDocument/2006/relationships/hyperlink" Target="https://mem.gob.gt/que-hacemos/area-energetica/publicaciones/estadisticas/balance-energetico/" TargetMode="External"/><Relationship Id="rId1536" Type="http://schemas.openxmlformats.org/officeDocument/2006/relationships/hyperlink" Target="https://mem.gob.gt/que-hacemos/area-energetica/publicaciones/estadisticas/balance-energetico/" TargetMode="External"/><Relationship Id="rId1537" Type="http://schemas.openxmlformats.org/officeDocument/2006/relationships/hyperlink" Target="https://mem.gob.gt/que-hacemos/area-energetica/publicaciones/estadisticas/balance-energetico/" TargetMode="External"/><Relationship Id="rId1538" Type="http://schemas.openxmlformats.org/officeDocument/2006/relationships/hyperlink" Target="https://mem.gob.gt/que-hacemos/area-energetica/publicaciones/estadisticas/balance-energetico/" TargetMode="External"/><Relationship Id="rId1539" Type="http://schemas.openxmlformats.org/officeDocument/2006/relationships/hyperlink" Target="https://mem.gob.gt/que-hacemos/area-energetica/publicaciones/estadisticas/balance-energetico/" TargetMode="External"/><Relationship Id="rId1540" Type="http://schemas.openxmlformats.org/officeDocument/2006/relationships/hyperlink" Target="https://mem.gob.gt/que-hacemos/area-energetica/publicaciones/estadisticas/balance-energetico/" TargetMode="External"/><Relationship Id="rId1541" Type="http://schemas.openxmlformats.org/officeDocument/2006/relationships/hyperlink" Target="https://mem.gob.gt/que-hacemos/area-energetica/publicaciones/estadisticas/balance-energetico/" TargetMode="External"/><Relationship Id="rId1542" Type="http://schemas.openxmlformats.org/officeDocument/2006/relationships/hyperlink" Target="https://mem.gob.gt/que-hacemos/area-energetica/publicaciones/estadisticas/balance-energetico/" TargetMode="External"/><Relationship Id="rId1543" Type="http://schemas.openxmlformats.org/officeDocument/2006/relationships/hyperlink" Target="https://mem.gob.gt/que-hacemos/area-energetica/publicaciones/estadisticas/balance-energetico/" TargetMode="External"/><Relationship Id="rId1544" Type="http://schemas.openxmlformats.org/officeDocument/2006/relationships/hyperlink" Target="https://mem.gob.gt/que-hacemos/area-energetica/publicaciones/estadisticas/balance-energetico/" TargetMode="External"/><Relationship Id="rId1545" Type="http://schemas.openxmlformats.org/officeDocument/2006/relationships/hyperlink" Target="https://mem.gob.gt/que-hacemos/area-energetica/publicaciones/estadisticas/balance-energetico/" TargetMode="External"/><Relationship Id="rId1546" Type="http://schemas.openxmlformats.org/officeDocument/2006/relationships/hyperlink" Target="https://mem.gob.gt/que-hacemos/area-energetica/publicaciones/estadisticas/balance-energetico/" TargetMode="External"/><Relationship Id="rId1547" Type="http://schemas.openxmlformats.org/officeDocument/2006/relationships/hyperlink" Target="https://mem.gob.gt/que-hacemos/area-energetica/publicaciones/estadisticas/balance-energetico/" TargetMode="External"/><Relationship Id="rId1548" Type="http://schemas.openxmlformats.org/officeDocument/2006/relationships/hyperlink" Target="https://mem.gob.gt/que-hacemos/area-energetica/publicaciones/estadisticas/balance-energetico/" TargetMode="External"/><Relationship Id="rId1549" Type="http://schemas.openxmlformats.org/officeDocument/2006/relationships/hyperlink" Target="https://mem.gob.gt/que-hacemos/area-energetica/publicaciones/estadisticas/balance-energetico/" TargetMode="External"/><Relationship Id="rId1550" Type="http://schemas.openxmlformats.org/officeDocument/2006/relationships/hyperlink" Target="https://mem.gob.gt/que-hacemos/area-energetica/publicaciones/estadisticas/balance-energetico/" TargetMode="External"/><Relationship Id="rId1551" Type="http://schemas.openxmlformats.org/officeDocument/2006/relationships/hyperlink" Target="https://mem.gob.gt/que-hacemos/area-energetica/publicaciones/estadisticas/balance-energetico/" TargetMode="External"/><Relationship Id="rId1552" Type="http://schemas.openxmlformats.org/officeDocument/2006/relationships/hyperlink" Target="https://mem.gob.gt/que-hacemos/area-energetica/publicaciones/estadisticas/balance-energetico/" TargetMode="External"/><Relationship Id="rId1553" Type="http://schemas.openxmlformats.org/officeDocument/2006/relationships/hyperlink" Target="https://mem.gob.gt/que-hacemos/area-energetica/publicaciones/estadisticas/balance-energetico/" TargetMode="External"/><Relationship Id="rId1554" Type="http://schemas.openxmlformats.org/officeDocument/2006/relationships/hyperlink" Target="https://mem.gob.gt/que-hacemos/area-energetica/publicaciones/estadisticas/balance-energetico/" TargetMode="External"/><Relationship Id="rId1555" Type="http://schemas.openxmlformats.org/officeDocument/2006/relationships/hyperlink" Target="https://mem.gob.gt/que-hacemos/area-energetica/publicaciones/estadisticas/balance-energetico/" TargetMode="External"/><Relationship Id="rId1556" Type="http://schemas.openxmlformats.org/officeDocument/2006/relationships/hyperlink" Target="https://mem.gob.gt/que-hacemos/area-energetica/publicaciones/estadisticas/balance-energetico/" TargetMode="External"/><Relationship Id="rId1557" Type="http://schemas.openxmlformats.org/officeDocument/2006/relationships/hyperlink" Target="https://mem.gob.gt/que-hacemos/area-energetica/publicaciones/estadisticas/balance-energetico/" TargetMode="External"/><Relationship Id="rId1558" Type="http://schemas.openxmlformats.org/officeDocument/2006/relationships/hyperlink" Target="https://mem.gob.gt/que-hacemos/area-energetica/publicaciones/estadisticas/balance-energetico/" TargetMode="External"/><Relationship Id="rId1559" Type="http://schemas.openxmlformats.org/officeDocument/2006/relationships/hyperlink" Target="https://mem.gob.gt/que-hacemos/area-energetica/publicaciones/estadisticas/balance-energetico/" TargetMode="External"/><Relationship Id="rId1560" Type="http://schemas.openxmlformats.org/officeDocument/2006/relationships/hyperlink" Target="https://mem.gob.gt/que-hacemos/area-energetica/publicaciones/estadisticas/balance-energetico/" TargetMode="External"/><Relationship Id="rId1561" Type="http://schemas.openxmlformats.org/officeDocument/2006/relationships/hyperlink" Target="https://mem.gob.gt/que-hacemos/area-energetica/publicaciones/estadisticas/balance-energetico/" TargetMode="External"/><Relationship Id="rId1562" Type="http://schemas.openxmlformats.org/officeDocument/2006/relationships/hyperlink" Target="https://mem.gob.gt/que-hacemos/area-energetica/publicaciones/estadisticas/balance-energetico/" TargetMode="External"/><Relationship Id="rId1563" Type="http://schemas.openxmlformats.org/officeDocument/2006/relationships/hyperlink" Target="https://mem.gob.gt/que-hacemos/area-energetica/publicaciones/estadisticas/balance-energetico/" TargetMode="External"/><Relationship Id="rId1564" Type="http://schemas.openxmlformats.org/officeDocument/2006/relationships/hyperlink" Target="https://mem.gob.gt/que-hacemos/area-energetica/publicaciones/estadisticas/balance-energetico/" TargetMode="External"/><Relationship Id="rId1565" Type="http://schemas.openxmlformats.org/officeDocument/2006/relationships/hyperlink" Target="https://mem.gob.gt/que-hacemos/area-energetica/publicaciones/estadisticas/balance-energetico/" TargetMode="External"/><Relationship Id="rId1566" Type="http://schemas.openxmlformats.org/officeDocument/2006/relationships/hyperlink" Target="https://mem.gob.gt/que-hacemos/area-energetica/publicaciones/estadisticas/balance-energetico/" TargetMode="External"/><Relationship Id="rId1567" Type="http://schemas.openxmlformats.org/officeDocument/2006/relationships/hyperlink" Target="https://mem.gob.gt/que-hacemos/area-energetica/publicaciones/estadisticas/balance-energetico/" TargetMode="External"/><Relationship Id="rId1568" Type="http://schemas.openxmlformats.org/officeDocument/2006/relationships/hyperlink" Target="https://mem.gob.gt/que-hacemos/area-energetica/publicaciones/estadisticas/balance-energetico/" TargetMode="External"/><Relationship Id="rId1569" Type="http://schemas.openxmlformats.org/officeDocument/2006/relationships/hyperlink" Target="https://mem.gob.gt/que-hacemos/area-energetica/publicaciones/estadisticas/balance-energetico/" TargetMode="External"/><Relationship Id="rId1570" Type="http://schemas.openxmlformats.org/officeDocument/2006/relationships/hyperlink" Target="https://mem.gob.gt/que-hacemos/area-energetica/publicaciones/estadisticas/balance-energetico/" TargetMode="External"/><Relationship Id="rId1571" Type="http://schemas.openxmlformats.org/officeDocument/2006/relationships/hyperlink" Target="https://mem.gob.gt/que-hacemos/area-energetica/publicaciones/estadisticas/balance-energetico/" TargetMode="External"/><Relationship Id="rId1572" Type="http://schemas.openxmlformats.org/officeDocument/2006/relationships/hyperlink" Target="https://mem.gob.gt/que-hacemos/area-energetica/publicaciones/estadisticas/balance-energetico/" TargetMode="External"/><Relationship Id="rId1573" Type="http://schemas.openxmlformats.org/officeDocument/2006/relationships/hyperlink" Target="https://mem.gob.gt/que-hacemos/area-energetica/publicaciones/estadisticas/balance-energetico/" TargetMode="External"/><Relationship Id="rId1574" Type="http://schemas.openxmlformats.org/officeDocument/2006/relationships/hyperlink" Target="https://mem.gob.gt/que-hacemos/area-energetica/publicaciones/estadisticas/balance-energetico/" TargetMode="External"/><Relationship Id="rId1575" Type="http://schemas.openxmlformats.org/officeDocument/2006/relationships/hyperlink" Target="https://mem.gob.gt/que-hacemos/area-energetica/publicaciones/estadisticas/balance-energetico/" TargetMode="External"/><Relationship Id="rId1576" Type="http://schemas.openxmlformats.org/officeDocument/2006/relationships/hyperlink" Target="https://mem.gob.gt/que-hacemos/area-energetica/publicaciones/estadisticas/balance-energetico/" TargetMode="External"/><Relationship Id="rId1577" Type="http://schemas.openxmlformats.org/officeDocument/2006/relationships/hyperlink" Target="https://mem.gob.gt/que-hacemos/area-energetica/publicaciones/estadisticas/balance-energetico/" TargetMode="External"/><Relationship Id="rId1578" Type="http://schemas.openxmlformats.org/officeDocument/2006/relationships/hyperlink" Target="https://mem.gob.gt/que-hacemos/area-energetica/publicaciones/estadisticas/balance-energetico/" TargetMode="External"/><Relationship Id="rId1579" Type="http://schemas.openxmlformats.org/officeDocument/2006/relationships/hyperlink" Target="https://mem.gob.gt/que-hacemos/area-energetica/publicaciones/estadisticas/balance-energetico/" TargetMode="External"/><Relationship Id="rId1580" Type="http://schemas.openxmlformats.org/officeDocument/2006/relationships/hyperlink" Target="https://mem.gob.gt/que-hacemos/area-energetica/publicaciones/estadisticas/balance-energetico/" TargetMode="External"/><Relationship Id="rId1581" Type="http://schemas.openxmlformats.org/officeDocument/2006/relationships/hyperlink" Target="https://mem.gob.gt/que-hacemos/area-energetica/publicaciones/estadisticas/balance-energetico/" TargetMode="External"/><Relationship Id="rId1582" Type="http://schemas.openxmlformats.org/officeDocument/2006/relationships/hyperlink" Target="https://mem.gob.gt/que-hacemos/area-energetica/publicaciones/estadisticas/balance-energetico/" TargetMode="External"/><Relationship Id="rId1583" Type="http://schemas.openxmlformats.org/officeDocument/2006/relationships/hyperlink" Target="https://mem.gob.gt/que-hacemos/area-energetica/publicaciones/estadisticas/balance-energetico/" TargetMode="External"/><Relationship Id="rId1584" Type="http://schemas.openxmlformats.org/officeDocument/2006/relationships/hyperlink" Target="https://mem.gob.gt/que-hacemos/area-energetica/publicaciones/estadisticas/balance-energetico/" TargetMode="External"/><Relationship Id="rId1585" Type="http://schemas.openxmlformats.org/officeDocument/2006/relationships/hyperlink" Target="https://mem.gob.gt/que-hacemos/area-energetica/publicaciones/estadisticas/balance-energetico/" TargetMode="External"/><Relationship Id="rId1586" Type="http://schemas.openxmlformats.org/officeDocument/2006/relationships/hyperlink" Target="https://mem.gob.gt/que-hacemos/area-energetica/publicaciones/estadisticas/balance-energetico/" TargetMode="External"/><Relationship Id="rId1587" Type="http://schemas.openxmlformats.org/officeDocument/2006/relationships/hyperlink" Target="https://mem.gob.gt/que-hacemos/area-energetica/publicaciones/estadisticas/balance-energetico/" TargetMode="External"/><Relationship Id="rId1588" Type="http://schemas.openxmlformats.org/officeDocument/2006/relationships/hyperlink" Target="https://mem.gob.gt/que-hacemos/area-energetica/publicaciones/estadisticas/balance-energetico/" TargetMode="External"/><Relationship Id="rId1589" Type="http://schemas.openxmlformats.org/officeDocument/2006/relationships/hyperlink" Target="https://mem.gob.gt/que-hacemos/area-energetica/publicaciones/estadisticas/balance-energetico/" TargetMode="External"/><Relationship Id="rId1590" Type="http://schemas.openxmlformats.org/officeDocument/2006/relationships/hyperlink" Target="https://mem.gob.gt/que-hacemos/area-energetica/publicaciones/estadisticas/balance-energetico/" TargetMode="External"/><Relationship Id="rId1591" Type="http://schemas.openxmlformats.org/officeDocument/2006/relationships/hyperlink" Target="https://mem.gob.gt/que-hacemos/area-energetica/publicaciones/estadisticas/balance-energetico/" TargetMode="External"/><Relationship Id="rId1592" Type="http://schemas.openxmlformats.org/officeDocument/2006/relationships/hyperlink" Target="https://mem.gob.gt/que-hacemos/area-energetica/publicaciones/estadisticas/balance-energetico/" TargetMode="External"/><Relationship Id="rId1593" Type="http://schemas.openxmlformats.org/officeDocument/2006/relationships/hyperlink" Target="https://mem.gob.gt/que-hacemos/area-energetica/publicaciones/estadisticas/balance-energetico/" TargetMode="External"/><Relationship Id="rId1594" Type="http://schemas.openxmlformats.org/officeDocument/2006/relationships/hyperlink" Target="https://mem.gob.gt/que-hacemos/area-energetica/publicaciones/estadisticas/balance-energetico/" TargetMode="External"/><Relationship Id="rId1595" Type="http://schemas.openxmlformats.org/officeDocument/2006/relationships/hyperlink" Target="https://mem.gob.gt/que-hacemos/area-energetica/publicaciones/estadisticas/balance-energetico/" TargetMode="External"/><Relationship Id="rId1596" Type="http://schemas.openxmlformats.org/officeDocument/2006/relationships/hyperlink" Target="https://mem.gob.gt/que-hacemos/area-energetica/publicaciones/estadisticas/balance-energetico/" TargetMode="External"/><Relationship Id="rId1597" Type="http://schemas.openxmlformats.org/officeDocument/2006/relationships/hyperlink" Target="https://mem.gob.gt/que-hacemos/area-energetica/publicaciones/estadisticas/balance-energetico/" TargetMode="External"/><Relationship Id="rId1598" Type="http://schemas.openxmlformats.org/officeDocument/2006/relationships/hyperlink" Target="https://mem.gob.gt/que-hacemos/area-energetica/publicaciones/estadisticas/balance-energetico/" TargetMode="External"/><Relationship Id="rId1599" Type="http://schemas.openxmlformats.org/officeDocument/2006/relationships/hyperlink" Target="https://mem.gob.gt/que-hacemos/area-energetica/publicaciones/estadisticas/balance-energetico/" TargetMode="External"/><Relationship Id="rId1600" Type="http://schemas.openxmlformats.org/officeDocument/2006/relationships/hyperlink" Target="https://mem.gob.gt/que-hacemos/area-energetica/publicaciones/estadisticas/balance-energetico/" TargetMode="External"/><Relationship Id="rId1601" Type="http://schemas.openxmlformats.org/officeDocument/2006/relationships/hyperlink" Target="https://mem.gob.gt/que-hacemos/area-energetica/publicaciones/estadisticas/balance-energetico/" TargetMode="External"/><Relationship Id="rId1602" Type="http://schemas.openxmlformats.org/officeDocument/2006/relationships/hyperlink" Target="https://mem.gob.gt/que-hacemos/area-energetica/publicaciones/estadisticas/balance-energetico/" TargetMode="External"/><Relationship Id="rId1603" Type="http://schemas.openxmlformats.org/officeDocument/2006/relationships/hyperlink" Target="https://mem.gob.gt/que-hacemos/area-energetica/publicaciones/estadisticas/balance-energetico/" TargetMode="External"/><Relationship Id="rId1604" Type="http://schemas.openxmlformats.org/officeDocument/2006/relationships/hyperlink" Target="https://mem.gob.gt/que-hacemos/area-energetica/publicaciones/estadisticas/balance-energetico/" TargetMode="External"/><Relationship Id="rId1605" Type="http://schemas.openxmlformats.org/officeDocument/2006/relationships/hyperlink" Target="https://mem.gob.gt/que-hacemos/area-energetica/publicaciones/estadisticas/balance-energetico/" TargetMode="External"/><Relationship Id="rId1606" Type="http://schemas.openxmlformats.org/officeDocument/2006/relationships/hyperlink" Target="https://mem.gob.gt/que-hacemos/area-energetica/publicaciones/estadisticas/balance-energetico/" TargetMode="External"/><Relationship Id="rId1607" Type="http://schemas.openxmlformats.org/officeDocument/2006/relationships/hyperlink" Target="https://mem.gob.gt/que-hacemos/area-energetica/publicaciones/estadisticas/balance-energetico/" TargetMode="External"/><Relationship Id="rId1608" Type="http://schemas.openxmlformats.org/officeDocument/2006/relationships/hyperlink" Target="https://mem.gob.gt/que-hacemos/area-energetica/publicaciones/estadisticas/balance-energetico/" TargetMode="External"/><Relationship Id="rId1609" Type="http://schemas.openxmlformats.org/officeDocument/2006/relationships/hyperlink" Target="https://mem.gob.gt/que-hacemos/area-energetica/publicaciones/estadisticas/balance-energetico/" TargetMode="External"/><Relationship Id="rId1610" Type="http://schemas.openxmlformats.org/officeDocument/2006/relationships/hyperlink" Target="https://mem.gob.gt/que-hacemos/area-energetica/publicaciones/estadisticas/balance-energetico/" TargetMode="External"/><Relationship Id="rId1611" Type="http://schemas.openxmlformats.org/officeDocument/2006/relationships/hyperlink" Target="https://mem.gob.gt/que-hacemos/area-energetica/publicaciones/estadisticas/balance-energetico/" TargetMode="External"/><Relationship Id="rId1612" Type="http://schemas.openxmlformats.org/officeDocument/2006/relationships/hyperlink" Target="https://mem.gob.gt/que-hacemos/area-energetica/publicaciones/estadisticas/balance-energetico/" TargetMode="External"/><Relationship Id="rId1613" Type="http://schemas.openxmlformats.org/officeDocument/2006/relationships/hyperlink" Target="https://mem.gob.gt/que-hacemos/area-energetica/publicaciones/estadisticas/balance-energetico/" TargetMode="External"/><Relationship Id="rId1614" Type="http://schemas.openxmlformats.org/officeDocument/2006/relationships/hyperlink" Target="https://mem.gob.gt/que-hacemos/area-energetica/publicaciones/estadisticas/balance-energetico/" TargetMode="External"/><Relationship Id="rId1615" Type="http://schemas.openxmlformats.org/officeDocument/2006/relationships/hyperlink" Target="https://mem.gob.gt/que-hacemos/area-energetica/publicaciones/estadisticas/balance-energetico/" TargetMode="External"/><Relationship Id="rId1616" Type="http://schemas.openxmlformats.org/officeDocument/2006/relationships/hyperlink" Target="https://mem.gob.gt/que-hacemos/area-energetica/publicaciones/estadisticas/balance-energetico/" TargetMode="External"/><Relationship Id="rId1617" Type="http://schemas.openxmlformats.org/officeDocument/2006/relationships/hyperlink" Target="https://mem.gob.gt/que-hacemos/area-energetica/publicaciones/estadisticas/balance-energetico/" TargetMode="External"/><Relationship Id="rId1618" Type="http://schemas.openxmlformats.org/officeDocument/2006/relationships/hyperlink" Target="https://mem.gob.gt/que-hacemos/area-energetica/publicaciones/estadisticas/balance-energetico/" TargetMode="External"/><Relationship Id="rId1619" Type="http://schemas.openxmlformats.org/officeDocument/2006/relationships/hyperlink" Target="https://mem.gob.gt/que-hacemos/area-energetica/publicaciones/estadisticas/balance-energetico/" TargetMode="External"/><Relationship Id="rId1620" Type="http://schemas.openxmlformats.org/officeDocument/2006/relationships/hyperlink" Target="https://mem.gob.gt/que-hacemos/area-energetica/publicaciones/estadisticas/balance-energetico/" TargetMode="External"/><Relationship Id="rId1621" Type="http://schemas.openxmlformats.org/officeDocument/2006/relationships/hyperlink" Target="https://mem.gob.gt/que-hacemos/area-energetica/publicaciones/estadisticas/balance-energetico/" TargetMode="External"/><Relationship Id="rId1622" Type="http://schemas.openxmlformats.org/officeDocument/2006/relationships/hyperlink" Target="https://mem.gob.gt/que-hacemos/area-energetica/publicaciones/estadisticas/balance-energetico/" TargetMode="External"/><Relationship Id="rId1623" Type="http://schemas.openxmlformats.org/officeDocument/2006/relationships/hyperlink" Target="https://mem.gob.gt/que-hacemos/area-energetica/publicaciones/estadisticas/balance-energetico/" TargetMode="External"/><Relationship Id="rId1624" Type="http://schemas.openxmlformats.org/officeDocument/2006/relationships/hyperlink" Target="https://mem.gob.gt/que-hacemos/area-energetica/publicaciones/estadisticas/balance-energetico/" TargetMode="External"/><Relationship Id="rId1625" Type="http://schemas.openxmlformats.org/officeDocument/2006/relationships/hyperlink" Target="https://mem.gob.gt/que-hacemos/area-energetica/publicaciones/estadisticas/balance-energetico/" TargetMode="External"/><Relationship Id="rId1626" Type="http://schemas.openxmlformats.org/officeDocument/2006/relationships/hyperlink" Target="https://mem.gob.gt/que-hacemos/area-energetica/publicaciones/estadisticas/balance-energetico/" TargetMode="External"/><Relationship Id="rId1627" Type="http://schemas.openxmlformats.org/officeDocument/2006/relationships/hyperlink" Target="https://mem.gob.gt/que-hacemos/area-energetica/publicaciones/estadisticas/balance-energetico/" TargetMode="External"/><Relationship Id="rId1628" Type="http://schemas.openxmlformats.org/officeDocument/2006/relationships/hyperlink" Target="https://mem.gob.gt/que-hacemos/area-energetica/publicaciones/estadisticas/balance-energetico/" TargetMode="External"/><Relationship Id="rId1629" Type="http://schemas.openxmlformats.org/officeDocument/2006/relationships/hyperlink" Target="https://mem.gob.gt/que-hacemos/area-energetica/publicaciones/estadisticas/balance-energetico/" TargetMode="External"/><Relationship Id="rId1630" Type="http://schemas.openxmlformats.org/officeDocument/2006/relationships/hyperlink" Target="https://mem.gob.gt/que-hacemos/area-energetica/publicaciones/estadisticas/balance-energetico/" TargetMode="External"/><Relationship Id="rId1631" Type="http://schemas.openxmlformats.org/officeDocument/2006/relationships/hyperlink" Target="https://mem.gob.gt/que-hacemos/area-energetica/publicaciones/estadisticas/balance-energetico/" TargetMode="External"/><Relationship Id="rId1632" Type="http://schemas.openxmlformats.org/officeDocument/2006/relationships/hyperlink" Target="https://mem.gob.gt/que-hacemos/area-energetica/publicaciones/estadisticas/balance-energetico/" TargetMode="External"/><Relationship Id="rId1633" Type="http://schemas.openxmlformats.org/officeDocument/2006/relationships/hyperlink" Target="https://mem.gob.gt/que-hacemos/area-energetica/publicaciones/estadisticas/balance-energetico/" TargetMode="External"/><Relationship Id="rId1634" Type="http://schemas.openxmlformats.org/officeDocument/2006/relationships/hyperlink" Target="https://mem.gob.gt/que-hacemos/area-energetica/publicaciones/estadisticas/balance-energetico/" TargetMode="External"/><Relationship Id="rId1635" Type="http://schemas.openxmlformats.org/officeDocument/2006/relationships/hyperlink" Target="https://mem.gob.gt/que-hacemos/area-energetica/publicaciones/estadisticas/balance-energetico/" TargetMode="External"/><Relationship Id="rId1636" Type="http://schemas.openxmlformats.org/officeDocument/2006/relationships/hyperlink" Target="https://mem.gob.gt/que-hacemos/area-energetica/publicaciones/estadisticas/balance-energetico/" TargetMode="External"/><Relationship Id="rId1637" Type="http://schemas.openxmlformats.org/officeDocument/2006/relationships/hyperlink" Target="https://mem.gob.gt/que-hacemos/area-energetica/publicaciones/estadisticas/balance-energetico/" TargetMode="External"/><Relationship Id="rId1638" Type="http://schemas.openxmlformats.org/officeDocument/2006/relationships/hyperlink" Target="https://mem.gob.gt/que-hacemos/area-energetica/publicaciones/estadisticas/balance-energetico/" TargetMode="External"/><Relationship Id="rId1639" Type="http://schemas.openxmlformats.org/officeDocument/2006/relationships/hyperlink" Target="https://mem.gob.gt/que-hacemos/area-energetica/publicaciones/estadisticas/balance-energetico/" TargetMode="External"/><Relationship Id="rId1640" Type="http://schemas.openxmlformats.org/officeDocument/2006/relationships/hyperlink" Target="https://mem.gob.gt/que-hacemos/area-energetica/publicaciones/estadisticas/balance-energetico/" TargetMode="External"/><Relationship Id="rId1641" Type="http://schemas.openxmlformats.org/officeDocument/2006/relationships/hyperlink" Target="https://mem.gob.gt/que-hacemos/area-energetica/publicaciones/estadisticas/balance-energetico/" TargetMode="External"/><Relationship Id="rId1642" Type="http://schemas.openxmlformats.org/officeDocument/2006/relationships/hyperlink" Target="https://mem.gob.gt/que-hacemos/area-energetica/publicaciones/estadisticas/balance-energetico/" TargetMode="External"/><Relationship Id="rId1643" Type="http://schemas.openxmlformats.org/officeDocument/2006/relationships/hyperlink" Target="https://mem.gob.gt/que-hacemos/area-energetica/publicaciones/estadisticas/balance-energetico/" TargetMode="External"/><Relationship Id="rId1644" Type="http://schemas.openxmlformats.org/officeDocument/2006/relationships/hyperlink" Target="https://mem.gob.gt/que-hacemos/area-energetica/publicaciones/estadisticas/balance-energetico/" TargetMode="External"/><Relationship Id="rId1645" Type="http://schemas.openxmlformats.org/officeDocument/2006/relationships/hyperlink" Target="https://mem.gob.gt/que-hacemos/area-energetica/publicaciones/estadisticas/balance-energetico/" TargetMode="External"/><Relationship Id="rId1646" Type="http://schemas.openxmlformats.org/officeDocument/2006/relationships/hyperlink" Target="https://mem.gob.gt/que-hacemos/area-energetica/publicaciones/estadisticas/balance-energetico/" TargetMode="External"/><Relationship Id="rId1647" Type="http://schemas.openxmlformats.org/officeDocument/2006/relationships/hyperlink" Target="https://mem.gob.gt/que-hacemos/area-energetica/publicaciones/estadisticas/balance-energetico/" TargetMode="External"/><Relationship Id="rId1648" Type="http://schemas.openxmlformats.org/officeDocument/2006/relationships/hyperlink" Target="https://mem.gob.gt/que-hacemos/area-energetica/publicaciones/estadisticas/balance-energetico/" TargetMode="External"/><Relationship Id="rId1649" Type="http://schemas.openxmlformats.org/officeDocument/2006/relationships/hyperlink" Target="https://mem.gob.gt/que-hacemos/area-energetica/publicaciones/estadisticas/balance-energetico/" TargetMode="External"/><Relationship Id="rId1650" Type="http://schemas.openxmlformats.org/officeDocument/2006/relationships/hyperlink" Target="https://mem.gob.gt/que-hacemos/area-energetica/publicaciones/estadisticas/balance-energetico/" TargetMode="External"/><Relationship Id="rId1651" Type="http://schemas.openxmlformats.org/officeDocument/2006/relationships/hyperlink" Target="https://mem.gob.gt/que-hacemos/area-energetica/publicaciones/estadisticas/balance-energetico/" TargetMode="External"/><Relationship Id="rId1652" Type="http://schemas.openxmlformats.org/officeDocument/2006/relationships/hyperlink" Target="https://mem.gob.gt/que-hacemos/area-energetica/publicaciones/estadisticas/balance-energetico/" TargetMode="External"/><Relationship Id="rId1653" Type="http://schemas.openxmlformats.org/officeDocument/2006/relationships/hyperlink" Target="https://mem.gob.gt/que-hacemos/area-energetica/publicaciones/estadisticas/balance-energetico/" TargetMode="External"/><Relationship Id="rId1654" Type="http://schemas.openxmlformats.org/officeDocument/2006/relationships/hyperlink" Target="https://mem.gob.gt/que-hacemos/area-energetica/publicaciones/estadisticas/balance-energetico/" TargetMode="External"/><Relationship Id="rId1655" Type="http://schemas.openxmlformats.org/officeDocument/2006/relationships/hyperlink" Target="https://mem.gob.gt/que-hacemos/area-energetica/publicaciones/estadisticas/balance-energetico/" TargetMode="External"/><Relationship Id="rId1656" Type="http://schemas.openxmlformats.org/officeDocument/2006/relationships/hyperlink" Target="https://mem.gob.gt/que-hacemos/area-energetica/publicaciones/estadisticas/balance-energetico/" TargetMode="External"/><Relationship Id="rId1657" Type="http://schemas.openxmlformats.org/officeDocument/2006/relationships/hyperlink" Target="https://mem.gob.gt/que-hacemos/area-energetica/publicaciones/estadisticas/balance-energetico/" TargetMode="External"/><Relationship Id="rId1658" Type="http://schemas.openxmlformats.org/officeDocument/2006/relationships/hyperlink" Target="https://mem.gob.gt/que-hacemos/area-energetica/publicaciones/estadisticas/balance-energetico/" TargetMode="External"/><Relationship Id="rId1659" Type="http://schemas.openxmlformats.org/officeDocument/2006/relationships/hyperlink" Target="https://mem.gob.gt/que-hacemos/area-energetica/publicaciones/estadisticas/balance-energetico/" TargetMode="External"/><Relationship Id="rId1660" Type="http://schemas.openxmlformats.org/officeDocument/2006/relationships/hyperlink" Target="https://mem.gob.gt/que-hacemos/area-energetica/publicaciones/estadisticas/balance-energetico/" TargetMode="External"/><Relationship Id="rId1661" Type="http://schemas.openxmlformats.org/officeDocument/2006/relationships/hyperlink" Target="https://mem.gob.gt/que-hacemos/area-energetica/publicaciones/estadisticas/balance-energetico/" TargetMode="External"/><Relationship Id="rId1662" Type="http://schemas.openxmlformats.org/officeDocument/2006/relationships/hyperlink" Target="https://mem.gob.gt/que-hacemos/area-energetica/publicaciones/estadisticas/balance-energetico/" TargetMode="External"/><Relationship Id="rId1663" Type="http://schemas.openxmlformats.org/officeDocument/2006/relationships/hyperlink" Target="https://mem.gob.gt/que-hacemos/area-energetica/publicaciones/estadisticas/balance-energetico/" TargetMode="External"/><Relationship Id="rId1664" Type="http://schemas.openxmlformats.org/officeDocument/2006/relationships/hyperlink" Target="https://mem.gob.gt/que-hacemos/area-energetica/publicaciones/estadisticas/balance-energetico/" TargetMode="External"/><Relationship Id="rId1665" Type="http://schemas.openxmlformats.org/officeDocument/2006/relationships/hyperlink" Target="https://mem.gob.gt/que-hacemos/area-energetica/publicaciones/estadisticas/balance-energetico/" TargetMode="External"/><Relationship Id="rId1666" Type="http://schemas.openxmlformats.org/officeDocument/2006/relationships/hyperlink" Target="https://mem.gob.gt/que-hacemos/area-energetica/publicaciones/estadisticas/balance-energetico/" TargetMode="External"/><Relationship Id="rId1667" Type="http://schemas.openxmlformats.org/officeDocument/2006/relationships/hyperlink" Target="https://mem.gob.gt/que-hacemos/area-energetica/publicaciones/estadisticas/balance-energetico/" TargetMode="External"/><Relationship Id="rId1668" Type="http://schemas.openxmlformats.org/officeDocument/2006/relationships/hyperlink" Target="https://mem.gob.gt/que-hacemos/area-energetica/publicaciones/estadisticas/balance-energetico/" TargetMode="External"/><Relationship Id="rId1669" Type="http://schemas.openxmlformats.org/officeDocument/2006/relationships/hyperlink" Target="https://mem.gob.gt/que-hacemos/area-energetica/publicaciones/estadisticas/balance-energetico/" TargetMode="External"/><Relationship Id="rId1670" Type="http://schemas.openxmlformats.org/officeDocument/2006/relationships/hyperlink" Target="https://mem.gob.gt/que-hacemos/area-energetica/publicaciones/estadisticas/balance-energetico/" TargetMode="External"/><Relationship Id="rId1671" Type="http://schemas.openxmlformats.org/officeDocument/2006/relationships/hyperlink" Target="https://mem.gob.gt/que-hacemos/area-energetica/publicaciones/estadisticas/balance-energetico/" TargetMode="External"/><Relationship Id="rId1672" Type="http://schemas.openxmlformats.org/officeDocument/2006/relationships/hyperlink" Target="https://mem.gob.gt/que-hacemos/area-energetica/publicaciones/estadisticas/balance-energetico/" TargetMode="External"/><Relationship Id="rId1673" Type="http://schemas.openxmlformats.org/officeDocument/2006/relationships/hyperlink" Target="https://mem.gob.gt/que-hacemos/area-energetica/publicaciones/estadisticas/balance-energetico/" TargetMode="External"/><Relationship Id="rId1674" Type="http://schemas.openxmlformats.org/officeDocument/2006/relationships/hyperlink" Target="https://mem.gob.gt/que-hacemos/area-energetica/publicaciones/estadisticas/balance-energetico/" TargetMode="External"/><Relationship Id="rId1675" Type="http://schemas.openxmlformats.org/officeDocument/2006/relationships/hyperlink" Target="https://mem.gob.gt/que-hacemos/area-energetica/publicaciones/estadisticas/balance-energetico/" TargetMode="External"/><Relationship Id="rId1676" Type="http://schemas.openxmlformats.org/officeDocument/2006/relationships/hyperlink" Target="https://mem.gob.gt/que-hacemos/area-energetica/publicaciones/estadisticas/balance-energetico/" TargetMode="External"/><Relationship Id="rId1677" Type="http://schemas.openxmlformats.org/officeDocument/2006/relationships/hyperlink" Target="https://mem.gob.gt/que-hacemos/area-energetica/publicaciones/estadisticas/balance-energetico/" TargetMode="External"/><Relationship Id="rId1678" Type="http://schemas.openxmlformats.org/officeDocument/2006/relationships/hyperlink" Target="https://mem.gob.gt/que-hacemos/area-energetica/publicaciones/estadisticas/balance-energetico/" TargetMode="External"/><Relationship Id="rId1679" Type="http://schemas.openxmlformats.org/officeDocument/2006/relationships/hyperlink" Target="https://mem.gob.gt/que-hacemos/area-energetica/publicaciones/estadisticas/balance-energetico/" TargetMode="External"/><Relationship Id="rId1680" Type="http://schemas.openxmlformats.org/officeDocument/2006/relationships/hyperlink" Target="https://mem.gob.gt/que-hacemos/area-energetica/publicaciones/estadisticas/balance-energetico/" TargetMode="External"/><Relationship Id="rId1681" Type="http://schemas.openxmlformats.org/officeDocument/2006/relationships/hyperlink" Target="https://mem.gob.gt/que-hacemos/area-energetica/publicaciones/estadisticas/balance-energetico/" TargetMode="External"/><Relationship Id="rId1682" Type="http://schemas.openxmlformats.org/officeDocument/2006/relationships/hyperlink" Target="https://mem.gob.gt/que-hacemos/area-energetica/publicaciones/estadisticas/balance-energetico/" TargetMode="External"/><Relationship Id="rId1683" Type="http://schemas.openxmlformats.org/officeDocument/2006/relationships/hyperlink" Target="https://mem.gob.gt/que-hacemos/area-energetica/publicaciones/estadisticas/balance-energetico/" TargetMode="External"/><Relationship Id="rId1684" Type="http://schemas.openxmlformats.org/officeDocument/2006/relationships/hyperlink" Target="https://mem.gob.gt/que-hacemos/area-energetica/publicaciones/estadisticas/balance-energetico/" TargetMode="External"/><Relationship Id="rId1685" Type="http://schemas.openxmlformats.org/officeDocument/2006/relationships/hyperlink" Target="https://mem.gob.gt/que-hacemos/area-energetica/publicaciones/estadisticas/balance-energetico/" TargetMode="External"/><Relationship Id="rId1686" Type="http://schemas.openxmlformats.org/officeDocument/2006/relationships/hyperlink" Target="https://mem.gob.gt/que-hacemos/area-energetica/publicaciones/estadisticas/balance-energetico/" TargetMode="External"/><Relationship Id="rId1687" Type="http://schemas.openxmlformats.org/officeDocument/2006/relationships/hyperlink" Target="https://mem.gob.gt/que-hacemos/area-energetica/publicaciones/estadisticas/balance-energetico/" TargetMode="External"/><Relationship Id="rId1688" Type="http://schemas.openxmlformats.org/officeDocument/2006/relationships/hyperlink" Target="https://mem.gob.gt/que-hacemos/area-energetica/publicaciones/estadisticas/balance-energetico/" TargetMode="External"/><Relationship Id="rId1689" Type="http://schemas.openxmlformats.org/officeDocument/2006/relationships/hyperlink" Target="https://mem.gob.gt/que-hacemos/area-energetica/publicaciones/estadisticas/balance-energetico/" TargetMode="External"/><Relationship Id="rId1690" Type="http://schemas.openxmlformats.org/officeDocument/2006/relationships/hyperlink" Target="https://mem.gob.gt/que-hacemos/area-energetica/publicaciones/estadisticas/balance-energetico/" TargetMode="External"/><Relationship Id="rId1691" Type="http://schemas.openxmlformats.org/officeDocument/2006/relationships/hyperlink" Target="https://mem.gob.gt/que-hacemos/area-energetica/publicaciones/estadisticas/balance-energetico/" TargetMode="External"/><Relationship Id="rId1692" Type="http://schemas.openxmlformats.org/officeDocument/2006/relationships/hyperlink" Target="https://mem.gob.gt/que-hacemos/area-energetica/publicaciones/estadisticas/balance-energetico/" TargetMode="External"/><Relationship Id="rId1693" Type="http://schemas.openxmlformats.org/officeDocument/2006/relationships/hyperlink" Target="https://mem.gob.gt/que-hacemos/area-energetica/publicaciones/estadisticas/balance-energetico/" TargetMode="External"/><Relationship Id="rId1694" Type="http://schemas.openxmlformats.org/officeDocument/2006/relationships/hyperlink" Target="https://mem.gob.gt/que-hacemos/area-energetica/publicaciones/estadisticas/balance-energetico/" TargetMode="External"/><Relationship Id="rId1695" Type="http://schemas.openxmlformats.org/officeDocument/2006/relationships/hyperlink" Target="https://mem.gob.gt/que-hacemos/area-energetica/publicaciones/estadisticas/balance-energetico/" TargetMode="External"/><Relationship Id="rId1696" Type="http://schemas.openxmlformats.org/officeDocument/2006/relationships/hyperlink" Target="https://mem.gob.gt/que-hacemos/area-energetica/publicaciones/estadisticas/balance-energetico/" TargetMode="External"/><Relationship Id="rId1697" Type="http://schemas.openxmlformats.org/officeDocument/2006/relationships/hyperlink" Target="https://mem.gob.gt/que-hacemos/area-energetica/publicaciones/estadisticas/balance-energetico/" TargetMode="External"/><Relationship Id="rId1698" Type="http://schemas.openxmlformats.org/officeDocument/2006/relationships/hyperlink" Target="https://mem.gob.gt/que-hacemos/area-energetica/publicaciones/estadisticas/balance-energetico/" TargetMode="External"/><Relationship Id="rId1699" Type="http://schemas.openxmlformats.org/officeDocument/2006/relationships/hyperlink" Target="https://mem.gob.gt/que-hacemos/area-energetica/publicaciones/estadisticas/balance-energetico/" TargetMode="External"/><Relationship Id="rId1700" Type="http://schemas.openxmlformats.org/officeDocument/2006/relationships/hyperlink" Target="https://mem.gob.gt/que-hacemos/area-energetica/publicaciones/estadisticas/balance-energetico/" TargetMode="External"/><Relationship Id="rId1701" Type="http://schemas.openxmlformats.org/officeDocument/2006/relationships/hyperlink" Target="https://mem.gob.gt/que-hacemos/area-energetica/publicaciones/estadisticas/balance-energetico/" TargetMode="External"/><Relationship Id="rId1702" Type="http://schemas.openxmlformats.org/officeDocument/2006/relationships/hyperlink" Target="https://mem.gob.gt/que-hacemos/area-energetica/publicaciones/estadisticas/balance-energetico/" TargetMode="External"/><Relationship Id="rId1703" Type="http://schemas.openxmlformats.org/officeDocument/2006/relationships/hyperlink" Target="https://mem.gob.gt/que-hacemos/area-energetica/publicaciones/estadisticas/balance-energetico/" TargetMode="External"/><Relationship Id="rId1704" Type="http://schemas.openxmlformats.org/officeDocument/2006/relationships/hyperlink" Target="https://mem.gob.gt/que-hacemos/area-energetica/publicaciones/estadisticas/balance-energetico/" TargetMode="External"/><Relationship Id="rId1705" Type="http://schemas.openxmlformats.org/officeDocument/2006/relationships/hyperlink" Target="https://mem.gob.gt/que-hacemos/area-energetica/publicaciones/estadisticas/balance-energetico/" TargetMode="External"/><Relationship Id="rId1706" Type="http://schemas.openxmlformats.org/officeDocument/2006/relationships/hyperlink" Target="https://mem.gob.gt/que-hacemos/area-energetica/publicaciones/estadisticas/balance-energetico/" TargetMode="External"/><Relationship Id="rId1707" Type="http://schemas.openxmlformats.org/officeDocument/2006/relationships/hyperlink" Target="https://mem.gob.gt/que-hacemos/area-energetica/publicaciones/estadisticas/balance-energetico/" TargetMode="External"/><Relationship Id="rId1708" Type="http://schemas.openxmlformats.org/officeDocument/2006/relationships/hyperlink" Target="https://mem.gob.gt/que-hacemos/area-energetica/publicaciones/estadisticas/balance-energetico/" TargetMode="External"/><Relationship Id="rId1709" Type="http://schemas.openxmlformats.org/officeDocument/2006/relationships/hyperlink" Target="https://mem.gob.gt/que-hacemos/area-energetica/publicaciones/estadisticas/balance-energetico/" TargetMode="External"/><Relationship Id="rId1710" Type="http://schemas.openxmlformats.org/officeDocument/2006/relationships/hyperlink" Target="https://mem.gob.gt/que-hacemos/area-energetica/publicaciones/estadisticas/balance-energetico/" TargetMode="External"/><Relationship Id="rId1711" Type="http://schemas.openxmlformats.org/officeDocument/2006/relationships/hyperlink" Target="https://mem.gob.gt/que-hacemos/area-energetica/publicaciones/estadisticas/balance-energetico/" TargetMode="External"/><Relationship Id="rId1712" Type="http://schemas.openxmlformats.org/officeDocument/2006/relationships/hyperlink" Target="https://mem.gob.gt/que-hacemos/area-energetica/publicaciones/estadisticas/balance-energetico/" TargetMode="External"/><Relationship Id="rId1713" Type="http://schemas.openxmlformats.org/officeDocument/2006/relationships/hyperlink" Target="https://mem.gob.gt/que-hacemos/area-energetica/publicaciones/estadisticas/balance-energetico/" TargetMode="External"/><Relationship Id="rId1714" Type="http://schemas.openxmlformats.org/officeDocument/2006/relationships/hyperlink" Target="https://mem.gob.gt/que-hacemos/area-energetica/publicaciones/estadisticas/balance-energetico/" TargetMode="External"/><Relationship Id="rId1715" Type="http://schemas.openxmlformats.org/officeDocument/2006/relationships/hyperlink" Target="https://mem.gob.gt/que-hacemos/area-energetica/publicaciones/estadisticas/balance-energetico/" TargetMode="External"/><Relationship Id="rId1716" Type="http://schemas.openxmlformats.org/officeDocument/2006/relationships/hyperlink" Target="https://mem.gob.gt/que-hacemos/area-energetica/publicaciones/estadisticas/balance-energetico/" TargetMode="External"/><Relationship Id="rId1717" Type="http://schemas.openxmlformats.org/officeDocument/2006/relationships/hyperlink" Target="https://mem.gob.gt/que-hacemos/area-energetica/publicaciones/estadisticas/balance-energetico/" TargetMode="External"/><Relationship Id="rId1718" Type="http://schemas.openxmlformats.org/officeDocument/2006/relationships/hyperlink" Target="https://mem.gob.gt/que-hacemos/area-energetica/publicaciones/estadisticas/balance-energetico/" TargetMode="External"/><Relationship Id="rId1719" Type="http://schemas.openxmlformats.org/officeDocument/2006/relationships/hyperlink" Target="https://mem.gob.gt/que-hacemos/area-energetica/publicaciones/estadisticas/balance-energetico/" TargetMode="External"/><Relationship Id="rId1720" Type="http://schemas.openxmlformats.org/officeDocument/2006/relationships/hyperlink" Target="https://mem.gob.gt/que-hacemos/area-energetica/publicaciones/estadisticas/balance-energetico/" TargetMode="External"/><Relationship Id="rId1721" Type="http://schemas.openxmlformats.org/officeDocument/2006/relationships/hyperlink" Target="https://mem.gob.gt/que-hacemos/area-energetica/publicaciones/estadisticas/balance-energetico/" TargetMode="External"/><Relationship Id="rId1722" Type="http://schemas.openxmlformats.org/officeDocument/2006/relationships/hyperlink" Target="https://mem.gob.gt/que-hacemos/area-energetica/publicaciones/estadisticas/balance-energetico/" TargetMode="External"/><Relationship Id="rId1723" Type="http://schemas.openxmlformats.org/officeDocument/2006/relationships/hyperlink" Target="https://mem.gob.gt/que-hacemos/area-energetica/publicaciones/estadisticas/balance-energetico/" TargetMode="External"/><Relationship Id="rId1724" Type="http://schemas.openxmlformats.org/officeDocument/2006/relationships/hyperlink" Target="https://mem.gob.gt/que-hacemos/area-energetica/publicaciones/estadisticas/balance-energetico/" TargetMode="External"/><Relationship Id="rId1725" Type="http://schemas.openxmlformats.org/officeDocument/2006/relationships/hyperlink" Target="https://mem.gob.gt/que-hacemos/area-energetica/publicaciones/estadisticas/balance-energetico/" TargetMode="External"/><Relationship Id="rId1726" Type="http://schemas.openxmlformats.org/officeDocument/2006/relationships/hyperlink" Target="https://mem.gob.gt/que-hacemos/area-energetica/publicaciones/estadisticas/balance-energetico/" TargetMode="External"/><Relationship Id="rId1727" Type="http://schemas.openxmlformats.org/officeDocument/2006/relationships/hyperlink" Target="https://mem.gob.gt/que-hacemos/area-energetica/publicaciones/estadisticas/balance-energetico/" TargetMode="External"/><Relationship Id="rId1728" Type="http://schemas.openxmlformats.org/officeDocument/2006/relationships/hyperlink" Target="https://mem.gob.gt/que-hacemos/area-energetica/publicaciones/estadisticas/balance-energetico/" TargetMode="External"/><Relationship Id="rId1729" Type="http://schemas.openxmlformats.org/officeDocument/2006/relationships/hyperlink" Target="https://mem.gob.gt/que-hacemos/area-energetica/publicaciones/estadisticas/balance-energetico/" TargetMode="External"/><Relationship Id="rId1730" Type="http://schemas.openxmlformats.org/officeDocument/2006/relationships/hyperlink" Target="https://mem.gob.gt/que-hacemos/area-energetica/publicaciones/estadisticas/balance-energetico/" TargetMode="External"/><Relationship Id="rId1731" Type="http://schemas.openxmlformats.org/officeDocument/2006/relationships/hyperlink" Target="https://mem.gob.gt/que-hacemos/area-energetica/publicaciones/estadisticas/balance-energetico/" TargetMode="External"/><Relationship Id="rId1732" Type="http://schemas.openxmlformats.org/officeDocument/2006/relationships/hyperlink" Target="https://mem.gob.gt/que-hacemos/area-energetica/publicaciones/estadisticas/balance-energetico/" TargetMode="External"/><Relationship Id="rId1733" Type="http://schemas.openxmlformats.org/officeDocument/2006/relationships/hyperlink" Target="https://mem.gob.gt/que-hacemos/area-energetica/publicaciones/estadisticas/balance-energetico/" TargetMode="External"/><Relationship Id="rId1734" Type="http://schemas.openxmlformats.org/officeDocument/2006/relationships/hyperlink" Target="https://mem.gob.gt/que-hacemos/area-energetica/publicaciones/estadisticas/balance-energetico/" TargetMode="External"/><Relationship Id="rId1735" Type="http://schemas.openxmlformats.org/officeDocument/2006/relationships/hyperlink" Target="https://mem.gob.gt/que-hacemos/area-energetica/publicaciones/estadisticas/balance-energetico/" TargetMode="External"/><Relationship Id="rId1736" Type="http://schemas.openxmlformats.org/officeDocument/2006/relationships/hyperlink" Target="https://mem.gob.gt/que-hacemos/area-energetica/publicaciones/estadisticas/balance-energetico/" TargetMode="External"/><Relationship Id="rId1737" Type="http://schemas.openxmlformats.org/officeDocument/2006/relationships/hyperlink" Target="https://mem.gob.gt/que-hacemos/area-energetica/publicaciones/estadisticas/balance-energetico/" TargetMode="External"/><Relationship Id="rId1738" Type="http://schemas.openxmlformats.org/officeDocument/2006/relationships/hyperlink" Target="https://mem.gob.gt/que-hacemos/area-energetica/publicaciones/estadisticas/balance-energetico/" TargetMode="External"/><Relationship Id="rId1739" Type="http://schemas.openxmlformats.org/officeDocument/2006/relationships/hyperlink" Target="https://mem.gob.gt/que-hacemos/area-energetica/publicaciones/estadisticas/balance-energetico/" TargetMode="External"/><Relationship Id="rId1740" Type="http://schemas.openxmlformats.org/officeDocument/2006/relationships/hyperlink" Target="https://mem.gob.gt/que-hacemos/area-energetica/publicaciones/estadisticas/balance-energetico/" TargetMode="External"/><Relationship Id="rId1741" Type="http://schemas.openxmlformats.org/officeDocument/2006/relationships/hyperlink" Target="https://mem.gob.gt/que-hacemos/area-energetica/publicaciones/estadisticas/balance-energetico/" TargetMode="External"/><Relationship Id="rId1742" Type="http://schemas.openxmlformats.org/officeDocument/2006/relationships/hyperlink" Target="https://mem.gob.gt/que-hacemos/area-energetica/publicaciones/estadisticas/balance-energetico/" TargetMode="External"/><Relationship Id="rId1743" Type="http://schemas.openxmlformats.org/officeDocument/2006/relationships/hyperlink" Target="https://mem.gob.gt/que-hacemos/area-energetica/publicaciones/estadisticas/balance-energetico/" TargetMode="External"/><Relationship Id="rId1744" Type="http://schemas.openxmlformats.org/officeDocument/2006/relationships/hyperlink" Target="https://mem.gob.gt/que-hacemos/area-energetica/publicaciones/estadisticas/balance-energetico/" TargetMode="External"/><Relationship Id="rId1745" Type="http://schemas.openxmlformats.org/officeDocument/2006/relationships/hyperlink" Target="https://mem.gob.gt/que-hacemos/area-energetica/publicaciones/estadisticas/balance-energetico/" TargetMode="External"/><Relationship Id="rId1746" Type="http://schemas.openxmlformats.org/officeDocument/2006/relationships/hyperlink" Target="https://mem.gob.gt/que-hacemos/area-energetica/publicaciones/estadisticas/balance-energetico/" TargetMode="External"/><Relationship Id="rId1747" Type="http://schemas.openxmlformats.org/officeDocument/2006/relationships/hyperlink" Target="https://mem.gob.gt/que-hacemos/area-energetica/publicaciones/estadisticas/balance-energetico/" TargetMode="External"/><Relationship Id="rId1748" Type="http://schemas.openxmlformats.org/officeDocument/2006/relationships/hyperlink" Target="https://mem.gob.gt/que-hacemos/area-energetica/publicaciones/estadisticas/balance-energetico/" TargetMode="External"/><Relationship Id="rId1749" Type="http://schemas.openxmlformats.org/officeDocument/2006/relationships/hyperlink" Target="https://mem.gob.gt/que-hacemos/area-energetica/publicaciones/estadisticas/balance-energetico/" TargetMode="External"/><Relationship Id="rId1750" Type="http://schemas.openxmlformats.org/officeDocument/2006/relationships/hyperlink" Target="https://mem.gob.gt/que-hacemos/area-energetica/publicaciones/estadisticas/balance-energetico/" TargetMode="External"/><Relationship Id="rId1751" Type="http://schemas.openxmlformats.org/officeDocument/2006/relationships/hyperlink" Target="https://mem.gob.gt/que-hacemos/area-energetica/publicaciones/estadisticas/balance-energetico/" TargetMode="External"/><Relationship Id="rId1752" Type="http://schemas.openxmlformats.org/officeDocument/2006/relationships/hyperlink" Target="https://mem.gob.gt/que-hacemos/area-energetica/publicaciones/estadisticas/balance-energetico/" TargetMode="External"/><Relationship Id="rId1753" Type="http://schemas.openxmlformats.org/officeDocument/2006/relationships/hyperlink" Target="https://mem.gob.gt/que-hacemos/area-energetica/publicaciones/estadisticas/balance-energetico/" TargetMode="External"/><Relationship Id="rId1754" Type="http://schemas.openxmlformats.org/officeDocument/2006/relationships/hyperlink" Target="https://mem.gob.gt/que-hacemos/area-energetica/publicaciones/estadisticas/balance-energetico/" TargetMode="External"/><Relationship Id="rId1755" Type="http://schemas.openxmlformats.org/officeDocument/2006/relationships/hyperlink" Target="https://mem.gob.gt/que-hacemos/area-energetica/publicaciones/estadisticas/balance-energetico/" TargetMode="External"/><Relationship Id="rId1756" Type="http://schemas.openxmlformats.org/officeDocument/2006/relationships/hyperlink" Target="https://mem.gob.gt/que-hacemos/area-energetica/publicaciones/estadisticas/balance-energetico/" TargetMode="External"/><Relationship Id="rId1757" Type="http://schemas.openxmlformats.org/officeDocument/2006/relationships/hyperlink" Target="https://mem.gob.gt/que-hacemos/area-energetica/publicaciones/estadisticas/balance-energetico/" TargetMode="External"/><Relationship Id="rId1758" Type="http://schemas.openxmlformats.org/officeDocument/2006/relationships/hyperlink" Target="https://mem.gob.gt/que-hacemos/area-energetica/publicaciones/estadisticas/balance-energetico/" TargetMode="External"/><Relationship Id="rId1759" Type="http://schemas.openxmlformats.org/officeDocument/2006/relationships/hyperlink" Target="https://mem.gob.gt/que-hacemos/area-energetica/publicaciones/estadisticas/balance-energetico/" TargetMode="External"/><Relationship Id="rId1760" Type="http://schemas.openxmlformats.org/officeDocument/2006/relationships/hyperlink" Target="https://mem.gob.gt/que-hacemos/area-energetica/publicaciones/estadisticas/balance-energetico/" TargetMode="External"/><Relationship Id="rId1761" Type="http://schemas.openxmlformats.org/officeDocument/2006/relationships/hyperlink" Target="https://mem.gob.gt/que-hacemos/area-energetica/publicaciones/estadisticas/balance-energetico/" TargetMode="External"/><Relationship Id="rId1762" Type="http://schemas.openxmlformats.org/officeDocument/2006/relationships/hyperlink" Target="https://mem.gob.gt/que-hacemos/area-energetica/publicaciones/estadisticas/balance-energetico/" TargetMode="External"/><Relationship Id="rId1763" Type="http://schemas.openxmlformats.org/officeDocument/2006/relationships/hyperlink" Target="https://mem.gob.gt/que-hacemos/area-energetica/publicaciones/estadisticas/balance-energetico/" TargetMode="External"/><Relationship Id="rId1764" Type="http://schemas.openxmlformats.org/officeDocument/2006/relationships/hyperlink" Target="https://mem.gob.gt/que-hacemos/area-energetica/publicaciones/estadisticas/balance-energetico/" TargetMode="External"/><Relationship Id="rId1765" Type="http://schemas.openxmlformats.org/officeDocument/2006/relationships/hyperlink" Target="https://mem.gob.gt/que-hacemos/area-energetica/publicaciones/estadisticas/balance-energetico/" TargetMode="External"/><Relationship Id="rId1766" Type="http://schemas.openxmlformats.org/officeDocument/2006/relationships/hyperlink" Target="https://mem.gob.gt/que-hacemos/area-energetica/publicaciones/estadisticas/balance-energetico/" TargetMode="External"/><Relationship Id="rId1767" Type="http://schemas.openxmlformats.org/officeDocument/2006/relationships/hyperlink" Target="https://mem.gob.gt/que-hacemos/area-energetica/publicaciones/estadisticas/balance-energetico/" TargetMode="External"/><Relationship Id="rId1768" Type="http://schemas.openxmlformats.org/officeDocument/2006/relationships/hyperlink" Target="https://mem.gob.gt/que-hacemos/area-energetica/publicaciones/estadisticas/balance-energetico/" TargetMode="External"/><Relationship Id="rId1769" Type="http://schemas.openxmlformats.org/officeDocument/2006/relationships/hyperlink" Target="https://mem.gob.gt/que-hacemos/area-energetica/publicaciones/estadisticas/balance-energetico/" TargetMode="External"/><Relationship Id="rId1770" Type="http://schemas.openxmlformats.org/officeDocument/2006/relationships/hyperlink" Target="https://mem.gob.gt/que-hacemos/area-energetica/publicaciones/estadisticas/balance-energetico/" TargetMode="External"/><Relationship Id="rId1771" Type="http://schemas.openxmlformats.org/officeDocument/2006/relationships/hyperlink" Target="https://mem.gob.gt/que-hacemos/area-energetica/publicaciones/estadisticas/balance-energetico/" TargetMode="External"/><Relationship Id="rId1772" Type="http://schemas.openxmlformats.org/officeDocument/2006/relationships/hyperlink" Target="https://mem.gob.gt/que-hacemos/area-energetica/publicaciones/estadisticas/balance-energetico/" TargetMode="External"/><Relationship Id="rId1773" Type="http://schemas.openxmlformats.org/officeDocument/2006/relationships/hyperlink" Target="https://mem.gob.gt/que-hacemos/area-energetica/publicaciones/estadisticas/balance-energetico/" TargetMode="External"/><Relationship Id="rId1774" Type="http://schemas.openxmlformats.org/officeDocument/2006/relationships/hyperlink" Target="https://mem.gob.gt/que-hacemos/area-energetica/publicaciones/estadisticas/balance-energetico/" TargetMode="External"/><Relationship Id="rId1775" Type="http://schemas.openxmlformats.org/officeDocument/2006/relationships/hyperlink" Target="https://mem.gob.gt/que-hacemos/area-energetica/publicaciones/estadisticas/balance-energetico/" TargetMode="External"/><Relationship Id="rId1776" Type="http://schemas.openxmlformats.org/officeDocument/2006/relationships/hyperlink" Target="https://mem.gob.gt/que-hacemos/area-energetica/publicaciones/estadisticas/balance-energetico/" TargetMode="External"/><Relationship Id="rId1777" Type="http://schemas.openxmlformats.org/officeDocument/2006/relationships/hyperlink" Target="https://mem.gob.gt/que-hacemos/area-energetica/publicaciones/estadisticas/balance-energetico/" TargetMode="External"/><Relationship Id="rId1778" Type="http://schemas.openxmlformats.org/officeDocument/2006/relationships/hyperlink" Target="https://mem.gob.gt/que-hacemos/area-energetica/publicaciones/estadisticas/balance-energetico/" TargetMode="External"/><Relationship Id="rId1779" Type="http://schemas.openxmlformats.org/officeDocument/2006/relationships/hyperlink" Target="https://mem.gob.gt/que-hacemos/area-energetica/publicaciones/estadisticas/balance-energetico/" TargetMode="External"/><Relationship Id="rId1780" Type="http://schemas.openxmlformats.org/officeDocument/2006/relationships/hyperlink" Target="https://mem.gob.gt/que-hacemos/area-energetica/publicaciones/estadisticas/balance-energetico/" TargetMode="External"/><Relationship Id="rId1781" Type="http://schemas.openxmlformats.org/officeDocument/2006/relationships/hyperlink" Target="https://mem.gob.gt/que-hacemos/area-energetica/publicaciones/estadisticas/balance-energetico/" TargetMode="External"/><Relationship Id="rId1782" Type="http://schemas.openxmlformats.org/officeDocument/2006/relationships/hyperlink" Target="https://mem.gob.gt/que-hacemos/area-energetica/publicaciones/estadisticas/balance-energetico/" TargetMode="External"/><Relationship Id="rId1783" Type="http://schemas.openxmlformats.org/officeDocument/2006/relationships/hyperlink" Target="https://mem.gob.gt/que-hacemos/area-energetica/publicaciones/estadisticas/balance-energetico/" TargetMode="External"/><Relationship Id="rId1784" Type="http://schemas.openxmlformats.org/officeDocument/2006/relationships/hyperlink" Target="https://mem.gob.gt/que-hacemos/area-energetica/publicaciones/estadisticas/balance-energetico/" TargetMode="External"/><Relationship Id="rId1785" Type="http://schemas.openxmlformats.org/officeDocument/2006/relationships/hyperlink" Target="https://mem.gob.gt/que-hacemos/area-energetica/publicaciones/estadisticas/balance-energetico/" TargetMode="External"/><Relationship Id="rId1786" Type="http://schemas.openxmlformats.org/officeDocument/2006/relationships/hyperlink" Target="https://mem.gob.gt/que-hacemos/area-energetica/publicaciones/estadisticas/balance-energetico/" TargetMode="External"/><Relationship Id="rId1787" Type="http://schemas.openxmlformats.org/officeDocument/2006/relationships/hyperlink" Target="https://mem.gob.gt/que-hacemos/area-energetica/publicaciones/estadisticas/balance-energetico/" TargetMode="External"/><Relationship Id="rId1788" Type="http://schemas.openxmlformats.org/officeDocument/2006/relationships/hyperlink" Target="https://mem.gob.gt/que-hacemos/area-energetica/publicaciones/estadisticas/balance-energetico/" TargetMode="External"/><Relationship Id="rId1789" Type="http://schemas.openxmlformats.org/officeDocument/2006/relationships/hyperlink" Target="https://mem.gob.gt/que-hacemos/area-energetica/publicaciones/estadisticas/balance-energetico/" TargetMode="External"/><Relationship Id="rId1790" Type="http://schemas.openxmlformats.org/officeDocument/2006/relationships/hyperlink" Target="https://mem.gob.gt/que-hacemos/area-energetica/publicaciones/estadisticas/balance-energetico/" TargetMode="External"/><Relationship Id="rId1791" Type="http://schemas.openxmlformats.org/officeDocument/2006/relationships/hyperlink" Target="https://mem.gob.gt/que-hacemos/area-energetica/publicaciones/estadisticas/balance-energetico/" TargetMode="External"/><Relationship Id="rId1792" Type="http://schemas.openxmlformats.org/officeDocument/2006/relationships/hyperlink" Target="https://mem.gob.gt/que-hacemos/area-energetica/publicaciones/estadisticas/balance-energetico/" TargetMode="External"/><Relationship Id="rId1793" Type="http://schemas.openxmlformats.org/officeDocument/2006/relationships/hyperlink" Target="https://mem.gob.gt/que-hacemos/area-energetica/publicaciones/estadisticas/balance-energetico/" TargetMode="External"/><Relationship Id="rId1794" Type="http://schemas.openxmlformats.org/officeDocument/2006/relationships/hyperlink" Target="https://mem.gob.gt/que-hacemos/area-energetica/publicaciones/estadisticas/balance-energetico/" TargetMode="External"/><Relationship Id="rId1795" Type="http://schemas.openxmlformats.org/officeDocument/2006/relationships/hyperlink" Target="https://mem.gob.gt/que-hacemos/area-energetica/publicaciones/estadisticas/balance-energetico/" TargetMode="External"/><Relationship Id="rId1796" Type="http://schemas.openxmlformats.org/officeDocument/2006/relationships/hyperlink" Target="https://mem.gob.gt/que-hacemos/area-energetica/publicaciones/estadisticas/balance-energetico/" TargetMode="External"/><Relationship Id="rId1797" Type="http://schemas.openxmlformats.org/officeDocument/2006/relationships/hyperlink" Target="https://mem.gob.gt/que-hacemos/area-energetica/publicaciones/estadisticas/balance-energetico/" TargetMode="External"/><Relationship Id="rId1798" Type="http://schemas.openxmlformats.org/officeDocument/2006/relationships/hyperlink" Target="https://mem.gob.gt/que-hacemos/area-energetica/publicaciones/estadisticas/balance-energetico/" TargetMode="External"/><Relationship Id="rId1799" Type="http://schemas.openxmlformats.org/officeDocument/2006/relationships/hyperlink" Target="https://mem.gob.gt/que-hacemos/area-energetica/publicaciones/estadisticas/balance-energetico/" TargetMode="External"/><Relationship Id="rId1800" Type="http://schemas.openxmlformats.org/officeDocument/2006/relationships/hyperlink" Target="https://mem.gob.gt/que-hacemos/area-energetica/publicaciones/estadisticas/balance-energetico/" TargetMode="External"/><Relationship Id="rId1801" Type="http://schemas.openxmlformats.org/officeDocument/2006/relationships/hyperlink" Target="https://mem.gob.gt/que-hacemos/area-energetica/publicaciones/estadisticas/balance-energetico/" TargetMode="External"/><Relationship Id="rId1802" Type="http://schemas.openxmlformats.org/officeDocument/2006/relationships/hyperlink" Target="https://mem.gob.gt/que-hacemos/area-energetica/publicaciones/estadisticas/balance-energetico/" TargetMode="External"/><Relationship Id="rId1803" Type="http://schemas.openxmlformats.org/officeDocument/2006/relationships/hyperlink" Target="https://mem.gob.gt/que-hacemos/area-energetica/publicaciones/estadisticas/balance-energetico/" TargetMode="External"/><Relationship Id="rId1804" Type="http://schemas.openxmlformats.org/officeDocument/2006/relationships/hyperlink" Target="https://mem.gob.gt/que-hacemos/area-energetica/publicaciones/estadisticas/balance-energetico/" TargetMode="External"/><Relationship Id="rId1805" Type="http://schemas.openxmlformats.org/officeDocument/2006/relationships/hyperlink" Target="https://mem.gob.gt/que-hacemos/area-energetica/publicaciones/estadisticas/balance-energetico/" TargetMode="External"/><Relationship Id="rId1806" Type="http://schemas.openxmlformats.org/officeDocument/2006/relationships/hyperlink" Target="https://mem.gob.gt/que-hacemos/area-energetica/publicaciones/estadisticas/balance-energetico/" TargetMode="External"/><Relationship Id="rId1807" Type="http://schemas.openxmlformats.org/officeDocument/2006/relationships/hyperlink" Target="https://mem.gob.gt/que-hacemos/area-energetica/publicaciones/estadisticas/balance-energetico/" TargetMode="External"/><Relationship Id="rId1808" Type="http://schemas.openxmlformats.org/officeDocument/2006/relationships/hyperlink" Target="https://mem.gob.gt/que-hacemos/area-energetica/publicaciones/estadisticas/balance-energetico/" TargetMode="External"/><Relationship Id="rId1809" Type="http://schemas.openxmlformats.org/officeDocument/2006/relationships/hyperlink" Target="https://mem.gob.gt/que-hacemos/area-energetica/publicaciones/estadisticas/balance-energetico/" TargetMode="External"/><Relationship Id="rId1810" Type="http://schemas.openxmlformats.org/officeDocument/2006/relationships/hyperlink" Target="https://mem.gob.gt/que-hacemos/area-energetica/publicaciones/estadisticas/balance-energetico/" TargetMode="External"/><Relationship Id="rId1811" Type="http://schemas.openxmlformats.org/officeDocument/2006/relationships/hyperlink" Target="https://mem.gob.gt/que-hacemos/area-energetica/publicaciones/estadisticas/balance-energetico/" TargetMode="External"/><Relationship Id="rId1812" Type="http://schemas.openxmlformats.org/officeDocument/2006/relationships/hyperlink" Target="https://mem.gob.gt/que-hacemos/area-energetica/publicaciones/estadisticas/balance-energetico/" TargetMode="External"/><Relationship Id="rId1813" Type="http://schemas.openxmlformats.org/officeDocument/2006/relationships/hyperlink" Target="https://mem.gob.gt/que-hacemos/area-energetica/publicaciones/estadisticas/balance-energetico/" TargetMode="External"/><Relationship Id="rId1814" Type="http://schemas.openxmlformats.org/officeDocument/2006/relationships/hyperlink" Target="https://mem.gob.gt/que-hacemos/area-energetica/publicaciones/estadisticas/balance-energetico/" TargetMode="External"/><Relationship Id="rId1815" Type="http://schemas.openxmlformats.org/officeDocument/2006/relationships/hyperlink" Target="https://mem.gob.gt/que-hacemos/area-energetica/publicaciones/estadisticas/balance-energetico/" TargetMode="External"/><Relationship Id="rId1816" Type="http://schemas.openxmlformats.org/officeDocument/2006/relationships/hyperlink" Target="https://mem.gob.gt/que-hacemos/area-energetica/publicaciones/estadisticas/balance-energetico/" TargetMode="External"/><Relationship Id="rId1817" Type="http://schemas.openxmlformats.org/officeDocument/2006/relationships/hyperlink" Target="https://mem.gob.gt/que-hacemos/area-energetica/publicaciones/estadisticas/balance-energetico/" TargetMode="External"/><Relationship Id="rId1818" Type="http://schemas.openxmlformats.org/officeDocument/2006/relationships/hyperlink" Target="https://mem.gob.gt/que-hacemos/area-energetica/publicaciones/estadisticas/balance-energetico/" TargetMode="External"/><Relationship Id="rId1819" Type="http://schemas.openxmlformats.org/officeDocument/2006/relationships/hyperlink" Target="https://mem.gob.gt/que-hacemos/area-energetica/publicaciones/estadisticas/balance-energetico/" TargetMode="External"/><Relationship Id="rId1820" Type="http://schemas.openxmlformats.org/officeDocument/2006/relationships/hyperlink" Target="https://mem.gob.gt/que-hacemos/area-energetica/publicaciones/estadisticas/balance-energetico/" TargetMode="External"/><Relationship Id="rId1821" Type="http://schemas.openxmlformats.org/officeDocument/2006/relationships/hyperlink" Target="https://mem.gob.gt/que-hacemos/area-energetica/publicaciones/estadisticas/balance-energetico/" TargetMode="External"/><Relationship Id="rId1822" Type="http://schemas.openxmlformats.org/officeDocument/2006/relationships/hyperlink" Target="https://mem.gob.gt/que-hacemos/area-energetica/publicaciones/estadisticas/balance-energetico/" TargetMode="External"/><Relationship Id="rId1823" Type="http://schemas.openxmlformats.org/officeDocument/2006/relationships/hyperlink" Target="https://mem.gob.gt/que-hacemos/area-energetica/publicaciones/estadisticas/balance-energetico/" TargetMode="External"/><Relationship Id="rId1824" Type="http://schemas.openxmlformats.org/officeDocument/2006/relationships/hyperlink" Target="https://mem.gob.gt/que-hacemos/area-energetica/publicaciones/estadisticas/balance-energetico/" TargetMode="External"/><Relationship Id="rId1825" Type="http://schemas.openxmlformats.org/officeDocument/2006/relationships/hyperlink" Target="https://mem.gob.gt/que-hacemos/area-energetica/publicaciones/estadisticas/balance-energetico/" TargetMode="External"/><Relationship Id="rId1826" Type="http://schemas.openxmlformats.org/officeDocument/2006/relationships/hyperlink" Target="https://mem.gob.gt/que-hacemos/area-energetica/publicaciones/estadisticas/balance-energetico/" TargetMode="External"/><Relationship Id="rId1827" Type="http://schemas.openxmlformats.org/officeDocument/2006/relationships/hyperlink" Target="https://mem.gob.gt/que-hacemos/area-energetica/publicaciones/estadisticas/balance-energetico/" TargetMode="External"/><Relationship Id="rId1828" Type="http://schemas.openxmlformats.org/officeDocument/2006/relationships/hyperlink" Target="https://mem.gob.gt/que-hacemos/area-energetica/publicaciones/estadisticas/balance-energetico/" TargetMode="External"/><Relationship Id="rId1829" Type="http://schemas.openxmlformats.org/officeDocument/2006/relationships/hyperlink" Target="https://mem.gob.gt/que-hacemos/area-energetica/publicaciones/estadisticas/balance-energetico/" TargetMode="External"/><Relationship Id="rId1830" Type="http://schemas.openxmlformats.org/officeDocument/2006/relationships/hyperlink" Target="https://mem.gob.gt/que-hacemos/area-energetica/publicaciones/estadisticas/balance-energetico/" TargetMode="External"/><Relationship Id="rId1831" Type="http://schemas.openxmlformats.org/officeDocument/2006/relationships/hyperlink" Target="https://mem.gob.gt/que-hacemos/area-energetica/publicaciones/estadisticas/balance-energetico/" TargetMode="External"/><Relationship Id="rId1832" Type="http://schemas.openxmlformats.org/officeDocument/2006/relationships/hyperlink" Target="https://mem.gob.gt/que-hacemos/area-energetica/publicaciones/estadisticas/balance-energetico/" TargetMode="External"/><Relationship Id="rId1833" Type="http://schemas.openxmlformats.org/officeDocument/2006/relationships/hyperlink" Target="https://mem.gob.gt/que-hacemos/area-energetica/publicaciones/estadisticas/balance-energetico/" TargetMode="External"/><Relationship Id="rId1834" Type="http://schemas.openxmlformats.org/officeDocument/2006/relationships/hyperlink" Target="https://mem.gob.gt/que-hacemos/area-energetica/publicaciones/estadisticas/balance-energetico/" TargetMode="External"/><Relationship Id="rId1835" Type="http://schemas.openxmlformats.org/officeDocument/2006/relationships/hyperlink" Target="https://mem.gob.gt/que-hacemos/area-energetica/publicaciones/estadisticas/balance-energetico/" TargetMode="External"/><Relationship Id="rId1836" Type="http://schemas.openxmlformats.org/officeDocument/2006/relationships/hyperlink" Target="https://mem.gob.gt/que-hacemos/area-energetica/publicaciones/estadisticas/balance-energetico/" TargetMode="External"/><Relationship Id="rId1837" Type="http://schemas.openxmlformats.org/officeDocument/2006/relationships/hyperlink" Target="https://mem.gob.gt/que-hacemos/area-energetica/publicaciones/estadisticas/balance-energetico/" TargetMode="External"/><Relationship Id="rId1838" Type="http://schemas.openxmlformats.org/officeDocument/2006/relationships/hyperlink" Target="https://mem.gob.gt/que-hacemos/area-energetica/publicaciones/estadisticas/balance-energetico/" TargetMode="External"/><Relationship Id="rId1839" Type="http://schemas.openxmlformats.org/officeDocument/2006/relationships/hyperlink" Target="https://mem.gob.gt/que-hacemos/area-energetica/publicaciones/estadisticas/balance-energetico/" TargetMode="External"/><Relationship Id="rId1840" Type="http://schemas.openxmlformats.org/officeDocument/2006/relationships/hyperlink" Target="https://mem.gob.gt/que-hacemos/area-energetica/publicaciones/estadisticas/balance-energetico/" TargetMode="External"/><Relationship Id="rId1841" Type="http://schemas.openxmlformats.org/officeDocument/2006/relationships/hyperlink" Target="https://mem.gob.gt/que-hacemos/area-energetica/publicaciones/estadisticas/balance-energetico/" TargetMode="External"/><Relationship Id="rId1842" Type="http://schemas.openxmlformats.org/officeDocument/2006/relationships/hyperlink" Target="https://mem.gob.gt/que-hacemos/area-energetica/publicaciones/estadisticas/balance-energetico/" TargetMode="External"/><Relationship Id="rId1843" Type="http://schemas.openxmlformats.org/officeDocument/2006/relationships/hyperlink" Target="https://mem.gob.gt/que-hacemos/area-energetica/publicaciones/estadisticas/balance-energetico/" TargetMode="External"/><Relationship Id="rId1844" Type="http://schemas.openxmlformats.org/officeDocument/2006/relationships/hyperlink" Target="https://mem.gob.gt/que-hacemos/area-energetica/publicaciones/estadisticas/balance-energetico/" TargetMode="External"/><Relationship Id="rId1845" Type="http://schemas.openxmlformats.org/officeDocument/2006/relationships/hyperlink" Target="https://mem.gob.gt/que-hacemos/area-energetica/publicaciones/estadisticas/balance-energetico/" TargetMode="External"/><Relationship Id="rId1846" Type="http://schemas.openxmlformats.org/officeDocument/2006/relationships/hyperlink" Target="https://mem.gob.gt/que-hacemos/area-energetica/publicaciones/estadisticas/balance-energetico/" TargetMode="External"/><Relationship Id="rId1847" Type="http://schemas.openxmlformats.org/officeDocument/2006/relationships/hyperlink" Target="https://mem.gob.gt/que-hacemos/area-energetica/publicaciones/estadisticas/balance-energetico/" TargetMode="External"/><Relationship Id="rId1848" Type="http://schemas.openxmlformats.org/officeDocument/2006/relationships/hyperlink" Target="https://mem.gob.gt/que-hacemos/area-energetica/publicaciones/estadisticas/balance-energetico/" TargetMode="External"/><Relationship Id="rId1849" Type="http://schemas.openxmlformats.org/officeDocument/2006/relationships/hyperlink" Target="https://mem.gob.gt/que-hacemos/area-energetica/publicaciones/estadisticas/balance-energetico/" TargetMode="External"/><Relationship Id="rId1850" Type="http://schemas.openxmlformats.org/officeDocument/2006/relationships/hyperlink" Target="https://mem.gob.gt/que-hacemos/area-energetica/publicaciones/estadisticas/balance-energetico/" TargetMode="External"/><Relationship Id="rId1851" Type="http://schemas.openxmlformats.org/officeDocument/2006/relationships/hyperlink" Target="https://mem.gob.gt/que-hacemos/area-energetica/publicaciones/estadisticas/balance-energetico/" TargetMode="External"/><Relationship Id="rId1852" Type="http://schemas.openxmlformats.org/officeDocument/2006/relationships/hyperlink" Target="https://mem.gob.gt/que-hacemos/area-energetica/publicaciones/estadisticas/balance-energetico/" TargetMode="External"/><Relationship Id="rId1853" Type="http://schemas.openxmlformats.org/officeDocument/2006/relationships/hyperlink" Target="https://mem.gob.gt/que-hacemos/area-energetica/publicaciones/estadisticas/balance-energetico/" TargetMode="External"/><Relationship Id="rId1854" Type="http://schemas.openxmlformats.org/officeDocument/2006/relationships/hyperlink" Target="https://mem.gob.gt/que-hacemos/area-energetica/publicaciones/estadisticas/balance-energetico/" TargetMode="External"/><Relationship Id="rId1855" Type="http://schemas.openxmlformats.org/officeDocument/2006/relationships/hyperlink" Target="https://mem.gob.gt/que-hacemos/area-energetica/publicaciones/estadisticas/balance-energetico/" TargetMode="External"/><Relationship Id="rId1856" Type="http://schemas.openxmlformats.org/officeDocument/2006/relationships/hyperlink" Target="https://mem.gob.gt/que-hacemos/area-energetica/publicaciones/estadisticas/balance-energetico/" TargetMode="External"/><Relationship Id="rId1857" Type="http://schemas.openxmlformats.org/officeDocument/2006/relationships/hyperlink" Target="https://mem.gob.gt/que-hacemos/area-energetica/publicaciones/estadisticas/balance-energetico/" TargetMode="External"/><Relationship Id="rId1858" Type="http://schemas.openxmlformats.org/officeDocument/2006/relationships/hyperlink" Target="https://mem.gob.gt/que-hacemos/area-energetica/publicaciones/estadisticas/balance-energetico/" TargetMode="External"/><Relationship Id="rId1859" Type="http://schemas.openxmlformats.org/officeDocument/2006/relationships/hyperlink" Target="https://mem.gob.gt/que-hacemos/area-energetica/publicaciones/estadisticas/balance-energetico/" TargetMode="External"/><Relationship Id="rId1860" Type="http://schemas.openxmlformats.org/officeDocument/2006/relationships/hyperlink" Target="https://mem.gob.gt/que-hacemos/area-energetica/publicaciones/estadisticas/balance-energetico/" TargetMode="External"/><Relationship Id="rId1861" Type="http://schemas.openxmlformats.org/officeDocument/2006/relationships/hyperlink" Target="https://mem.gob.gt/que-hacemos/area-energetica/publicaciones/estadisticas/balance-energetico/" TargetMode="External"/><Relationship Id="rId1862" Type="http://schemas.openxmlformats.org/officeDocument/2006/relationships/hyperlink" Target="https://mem.gob.gt/que-hacemos/area-energetica/publicaciones/estadisticas/balance-energetico/" TargetMode="External"/><Relationship Id="rId1863" Type="http://schemas.openxmlformats.org/officeDocument/2006/relationships/hyperlink" Target="https://mem.gob.gt/que-hacemos/area-energetica/publicaciones/estadisticas/balance-energetico/" TargetMode="External"/><Relationship Id="rId1864" Type="http://schemas.openxmlformats.org/officeDocument/2006/relationships/hyperlink" Target="https://mem.gob.gt/que-hacemos/area-energetica/publicaciones/estadisticas/balance-energetico/" TargetMode="External"/><Relationship Id="rId1865" Type="http://schemas.openxmlformats.org/officeDocument/2006/relationships/hyperlink" Target="https://mem.gob.gt/que-hacemos/area-energetica/publicaciones/estadisticas/balance-energetico/" TargetMode="External"/><Relationship Id="rId1866" Type="http://schemas.openxmlformats.org/officeDocument/2006/relationships/hyperlink" Target="https://mem.gob.gt/que-hacemos/area-energetica/publicaciones/estadisticas/balance-energetico/" TargetMode="External"/><Relationship Id="rId1867" Type="http://schemas.openxmlformats.org/officeDocument/2006/relationships/hyperlink" Target="https://mem.gob.gt/que-hacemos/area-energetica/publicaciones/estadisticas/balance-energetico/" TargetMode="External"/><Relationship Id="rId1868" Type="http://schemas.openxmlformats.org/officeDocument/2006/relationships/hyperlink" Target="https://mem.gob.gt/que-hacemos/area-energetica/publicaciones/estadisticas/balance-energetico/" TargetMode="External"/><Relationship Id="rId1869" Type="http://schemas.openxmlformats.org/officeDocument/2006/relationships/hyperlink" Target="https://mem.gob.gt/que-hacemos/area-energetica/publicaciones/estadisticas/balance-energetico/" TargetMode="External"/><Relationship Id="rId1870" Type="http://schemas.openxmlformats.org/officeDocument/2006/relationships/hyperlink" Target="https://mem.gob.gt/que-hacemos/area-energetica/publicaciones/estadisticas/balance-energetico/" TargetMode="External"/><Relationship Id="rId1871" Type="http://schemas.openxmlformats.org/officeDocument/2006/relationships/hyperlink" Target="https://mem.gob.gt/que-hacemos/area-energetica/publicaciones/estadisticas/balance-energetico/" TargetMode="External"/><Relationship Id="rId1872" Type="http://schemas.openxmlformats.org/officeDocument/2006/relationships/hyperlink" Target="https://mem.gob.gt/que-hacemos/area-energetica/publicaciones/estadisticas/balance-energetico/" TargetMode="External"/><Relationship Id="rId1873" Type="http://schemas.openxmlformats.org/officeDocument/2006/relationships/hyperlink" Target="https://mem.gob.gt/que-hacemos/area-energetica/publicaciones/estadisticas/balance-energetico/" TargetMode="External"/><Relationship Id="rId1874" Type="http://schemas.openxmlformats.org/officeDocument/2006/relationships/hyperlink" Target="https://mem.gob.gt/que-hacemos/area-energetica/publicaciones/estadisticas/balance-energetico/" TargetMode="External"/><Relationship Id="rId1875" Type="http://schemas.openxmlformats.org/officeDocument/2006/relationships/hyperlink" Target="https://mem.gob.gt/que-hacemos/area-energetica/publicaciones/estadisticas/balance-energetico/" TargetMode="External"/><Relationship Id="rId1876" Type="http://schemas.openxmlformats.org/officeDocument/2006/relationships/hyperlink" Target="https://mem.gob.gt/que-hacemos/area-energetica/publicaciones/estadisticas/balance-energetico/" TargetMode="External"/><Relationship Id="rId1877" Type="http://schemas.openxmlformats.org/officeDocument/2006/relationships/hyperlink" Target="https://mem.gob.gt/que-hacemos/area-energetica/publicaciones/estadisticas/balance-energetico/" TargetMode="External"/><Relationship Id="rId1878" Type="http://schemas.openxmlformats.org/officeDocument/2006/relationships/hyperlink" Target="https://mem.gob.gt/que-hacemos/area-energetica/publicaciones/estadisticas/balance-energetico/" TargetMode="External"/><Relationship Id="rId1879" Type="http://schemas.openxmlformats.org/officeDocument/2006/relationships/hyperlink" Target="https://mem.gob.gt/que-hacemos/area-energetica/publicaciones/estadisticas/balance-energetico/" TargetMode="External"/><Relationship Id="rId1880" Type="http://schemas.openxmlformats.org/officeDocument/2006/relationships/hyperlink" Target="https://mem.gob.gt/que-hacemos/area-energetica/publicaciones/estadisticas/balance-energetico/" TargetMode="External"/><Relationship Id="rId1881" Type="http://schemas.openxmlformats.org/officeDocument/2006/relationships/hyperlink" Target="https://mem.gob.gt/que-hacemos/area-energetica/publicaciones/estadisticas/balance-energetico/" TargetMode="External"/><Relationship Id="rId1882" Type="http://schemas.openxmlformats.org/officeDocument/2006/relationships/hyperlink" Target="https://mem.gob.gt/que-hacemos/area-energetica/publicaciones/estadisticas/balance-energetico/" TargetMode="External"/><Relationship Id="rId1883" Type="http://schemas.openxmlformats.org/officeDocument/2006/relationships/hyperlink" Target="https://mem.gob.gt/que-hacemos/area-energetica/publicaciones/estadisticas/balance-energetico/" TargetMode="External"/><Relationship Id="rId1884" Type="http://schemas.openxmlformats.org/officeDocument/2006/relationships/hyperlink" Target="https://mem.gob.gt/que-hacemos/area-energetica/publicaciones/estadisticas/balance-energetico/" TargetMode="External"/><Relationship Id="rId1885" Type="http://schemas.openxmlformats.org/officeDocument/2006/relationships/hyperlink" Target="https://mem.gob.gt/que-hacemos/area-energetica/publicaciones/estadisticas/balance-energetico/" TargetMode="External"/><Relationship Id="rId1886" Type="http://schemas.openxmlformats.org/officeDocument/2006/relationships/hyperlink" Target="https://mem.gob.gt/que-hacemos/area-energetica/publicaciones/estadisticas/balance-energetico/" TargetMode="External"/><Relationship Id="rId1887" Type="http://schemas.openxmlformats.org/officeDocument/2006/relationships/hyperlink" Target="https://mem.gob.gt/que-hacemos/area-energetica/publicaciones/estadisticas/balance-energetico/" TargetMode="External"/><Relationship Id="rId1888" Type="http://schemas.openxmlformats.org/officeDocument/2006/relationships/hyperlink" Target="https://mem.gob.gt/que-hacemos/area-energetica/publicaciones/estadisticas/balance-energetico/" TargetMode="External"/><Relationship Id="rId1889" Type="http://schemas.openxmlformats.org/officeDocument/2006/relationships/hyperlink" Target="https://mem.gob.gt/que-hacemos/area-energetica/publicaciones/estadisticas/balance-energetico/" TargetMode="External"/><Relationship Id="rId1890" Type="http://schemas.openxmlformats.org/officeDocument/2006/relationships/hyperlink" Target="https://mem.gob.gt/que-hacemos/area-energetica/publicaciones/estadisticas/balance-energetico/" TargetMode="External"/><Relationship Id="rId1891" Type="http://schemas.openxmlformats.org/officeDocument/2006/relationships/hyperlink" Target="https://mem.gob.gt/que-hacemos/area-energetica/publicaciones/estadisticas/balance-energetico/" TargetMode="External"/><Relationship Id="rId1892" Type="http://schemas.openxmlformats.org/officeDocument/2006/relationships/hyperlink" Target="https://mem.gob.gt/que-hacemos/area-energetica/publicaciones/estadisticas/balance-energetico/" TargetMode="External"/><Relationship Id="rId1893" Type="http://schemas.openxmlformats.org/officeDocument/2006/relationships/hyperlink" Target="https://mem.gob.gt/que-hacemos/area-energetica/publicaciones/estadisticas/balance-energetico/" TargetMode="External"/><Relationship Id="rId1894" Type="http://schemas.openxmlformats.org/officeDocument/2006/relationships/hyperlink" Target="https://mem.gob.gt/que-hacemos/area-energetica/publicaciones/estadisticas/balance-energetico/" TargetMode="External"/><Relationship Id="rId1895" Type="http://schemas.openxmlformats.org/officeDocument/2006/relationships/hyperlink" Target="https://mem.gob.gt/que-hacemos/area-energetica/publicaciones/estadisticas/balance-energetico/" TargetMode="External"/><Relationship Id="rId1896" Type="http://schemas.openxmlformats.org/officeDocument/2006/relationships/hyperlink" Target="https://mem.gob.gt/que-hacemos/area-energetica/publicaciones/estadisticas/balance-energetico/" TargetMode="External"/><Relationship Id="rId1897" Type="http://schemas.openxmlformats.org/officeDocument/2006/relationships/hyperlink" Target="https://mem.gob.gt/que-hacemos/area-energetica/publicaciones/estadisticas/balance-energetico/" TargetMode="External"/><Relationship Id="rId1898" Type="http://schemas.openxmlformats.org/officeDocument/2006/relationships/hyperlink" Target="https://mem.gob.gt/que-hacemos/area-energetica/publicaciones/estadisticas/balance-energetico/" TargetMode="External"/><Relationship Id="rId1899" Type="http://schemas.openxmlformats.org/officeDocument/2006/relationships/hyperlink" Target="https://mem.gob.gt/que-hacemos/area-energetica/publicaciones/estadisticas/balance-energetico/" TargetMode="External"/><Relationship Id="rId1900" Type="http://schemas.openxmlformats.org/officeDocument/2006/relationships/hyperlink" Target="https://mem.gob.gt/que-hacemos/area-energetica/publicaciones/estadisticas/balance-energetico/" TargetMode="External"/><Relationship Id="rId1901" Type="http://schemas.openxmlformats.org/officeDocument/2006/relationships/hyperlink" Target="https://mem.gob.gt/que-hacemos/area-energetica/publicaciones/estadisticas/balance-energetico/" TargetMode="External"/><Relationship Id="rId1902" Type="http://schemas.openxmlformats.org/officeDocument/2006/relationships/hyperlink" Target="https://mem.gob.gt/que-hacemos/area-energetica/publicaciones/estadisticas/balance-energetico/" TargetMode="External"/><Relationship Id="rId1903" Type="http://schemas.openxmlformats.org/officeDocument/2006/relationships/hyperlink" Target="https://mem.gob.gt/que-hacemos/area-energetica/publicaciones/estadisticas/balance-energetico/" TargetMode="External"/><Relationship Id="rId1904" Type="http://schemas.openxmlformats.org/officeDocument/2006/relationships/hyperlink" Target="https://mem.gob.gt/que-hacemos/area-energetica/publicaciones/estadisticas/balance-energetico/" TargetMode="External"/><Relationship Id="rId1905" Type="http://schemas.openxmlformats.org/officeDocument/2006/relationships/hyperlink" Target="https://mem.gob.gt/que-hacemos/area-energetica/publicaciones/estadisticas/balance-energetico/" TargetMode="External"/><Relationship Id="rId1906" Type="http://schemas.openxmlformats.org/officeDocument/2006/relationships/hyperlink" Target="https://mem.gob.gt/que-hacemos/area-energetica/publicaciones/estadisticas/balance-energetico/" TargetMode="External"/><Relationship Id="rId1907" Type="http://schemas.openxmlformats.org/officeDocument/2006/relationships/hyperlink" Target="https://mem.gob.gt/que-hacemos/area-energetica/publicaciones/estadisticas/balance-energetico/" TargetMode="External"/><Relationship Id="rId1908" Type="http://schemas.openxmlformats.org/officeDocument/2006/relationships/hyperlink" Target="https://mem.gob.gt/que-hacemos/area-energetica/publicaciones/estadisticas/balance-energetico/" TargetMode="External"/><Relationship Id="rId1909" Type="http://schemas.openxmlformats.org/officeDocument/2006/relationships/hyperlink" Target="https://mem.gob.gt/que-hacemos/area-energetica/publicaciones/estadisticas/balance-energetico/" TargetMode="External"/><Relationship Id="rId1910" Type="http://schemas.openxmlformats.org/officeDocument/2006/relationships/hyperlink" Target="https://mem.gob.gt/que-hacemos/area-energetica/publicaciones/estadisticas/balance-energetico/" TargetMode="External"/><Relationship Id="rId1911" Type="http://schemas.openxmlformats.org/officeDocument/2006/relationships/hyperlink" Target="https://mem.gob.gt/que-hacemos/area-energetica/publicaciones/estadisticas/balance-energetico/" TargetMode="External"/><Relationship Id="rId1912" Type="http://schemas.openxmlformats.org/officeDocument/2006/relationships/hyperlink" Target="https://mem.gob.gt/que-hacemos/area-energetica/publicaciones/estadisticas/balance-energetico/" TargetMode="External"/><Relationship Id="rId1913" Type="http://schemas.openxmlformats.org/officeDocument/2006/relationships/hyperlink" Target="https://mem.gob.gt/que-hacemos/area-energetica/publicaciones/estadisticas/balance-energetico/" TargetMode="External"/><Relationship Id="rId1914" Type="http://schemas.openxmlformats.org/officeDocument/2006/relationships/hyperlink" Target="https://mem.gob.gt/que-hacemos/area-energetica/publicaciones/estadisticas/balance-energetico/" TargetMode="External"/><Relationship Id="rId1915" Type="http://schemas.openxmlformats.org/officeDocument/2006/relationships/hyperlink" Target="https://mem.gob.gt/que-hacemos/area-energetica/publicaciones/estadisticas/balance-energetico/" TargetMode="External"/><Relationship Id="rId1916" Type="http://schemas.openxmlformats.org/officeDocument/2006/relationships/hyperlink" Target="https://mem.gob.gt/que-hacemos/area-energetica/publicaciones/estadisticas/balance-energetico/" TargetMode="External"/><Relationship Id="rId1917" Type="http://schemas.openxmlformats.org/officeDocument/2006/relationships/hyperlink" Target="https://mem.gob.gt/que-hacemos/area-energetica/publicaciones/estadisticas/balance-energetico/" TargetMode="External"/><Relationship Id="rId1918" Type="http://schemas.openxmlformats.org/officeDocument/2006/relationships/hyperlink" Target="https://mem.gob.gt/que-hacemos/area-energetica/publicaciones/estadisticas/balance-energetico/" TargetMode="External"/><Relationship Id="rId1919" Type="http://schemas.openxmlformats.org/officeDocument/2006/relationships/hyperlink" Target="https://mem.gob.gt/que-hacemos/area-energetica/publicaciones/estadisticas/balance-energetico/" TargetMode="External"/><Relationship Id="rId1920" Type="http://schemas.openxmlformats.org/officeDocument/2006/relationships/hyperlink" Target="https://mem.gob.gt/que-hacemos/area-energetica/publicaciones/estadisticas/balance-energetico/" TargetMode="External"/><Relationship Id="rId1921" Type="http://schemas.openxmlformats.org/officeDocument/2006/relationships/hyperlink" Target="https://mem.gob.gt/que-hacemos/area-energetica/publicaciones/estadisticas/balance-energetico/" TargetMode="External"/><Relationship Id="rId1922" Type="http://schemas.openxmlformats.org/officeDocument/2006/relationships/hyperlink" Target="https://mem.gob.gt/que-hacemos/area-energetica/publicaciones/estadisticas/balance-energetico/" TargetMode="External"/><Relationship Id="rId1923" Type="http://schemas.openxmlformats.org/officeDocument/2006/relationships/hyperlink" Target="https://mem.gob.gt/que-hacemos/area-energetica/publicaciones/estadisticas/balance-energetico/" TargetMode="External"/><Relationship Id="rId1924" Type="http://schemas.openxmlformats.org/officeDocument/2006/relationships/hyperlink" Target="https://mem.gob.gt/que-hacemos/area-energetica/publicaciones/estadisticas/balance-energetico/" TargetMode="External"/><Relationship Id="rId1925" Type="http://schemas.openxmlformats.org/officeDocument/2006/relationships/hyperlink" Target="https://mem.gob.gt/que-hacemos/area-energetica/publicaciones/estadisticas/balance-energetico/" TargetMode="External"/><Relationship Id="rId1926" Type="http://schemas.openxmlformats.org/officeDocument/2006/relationships/hyperlink" Target="https://mem.gob.gt/que-hacemos/area-energetica/publicaciones/estadisticas/balance-energetico/" TargetMode="External"/><Relationship Id="rId1927" Type="http://schemas.openxmlformats.org/officeDocument/2006/relationships/hyperlink" Target="https://mem.gob.gt/que-hacemos/area-energetica/publicaciones/estadisticas/balance-energetico/" TargetMode="External"/><Relationship Id="rId1928" Type="http://schemas.openxmlformats.org/officeDocument/2006/relationships/hyperlink" Target="https://mem.gob.gt/que-hacemos/area-energetica/publicaciones/estadisticas/balance-energetico/" TargetMode="External"/><Relationship Id="rId1929" Type="http://schemas.openxmlformats.org/officeDocument/2006/relationships/hyperlink" Target="https://mem.gob.gt/que-hacemos/area-energetica/publicaciones/estadisticas/balance-energetico/" TargetMode="External"/><Relationship Id="rId1930" Type="http://schemas.openxmlformats.org/officeDocument/2006/relationships/hyperlink" Target="https://mem.gob.gt/que-hacemos/area-energetica/publicaciones/estadisticas/balance-energetico/" TargetMode="External"/><Relationship Id="rId1931" Type="http://schemas.openxmlformats.org/officeDocument/2006/relationships/hyperlink" Target="https://mem.gob.gt/que-hacemos/area-energetica/publicaciones/estadisticas/balance-energetico/" TargetMode="External"/><Relationship Id="rId1932" Type="http://schemas.openxmlformats.org/officeDocument/2006/relationships/hyperlink" Target="https://mem.gob.gt/que-hacemos/area-energetica/publicaciones/estadisticas/balance-energetico/" TargetMode="External"/><Relationship Id="rId1933" Type="http://schemas.openxmlformats.org/officeDocument/2006/relationships/hyperlink" Target="https://mem.gob.gt/que-hacemos/area-energetica/publicaciones/estadisticas/balance-energetico/" TargetMode="External"/><Relationship Id="rId1934" Type="http://schemas.openxmlformats.org/officeDocument/2006/relationships/hyperlink" Target="https://mem.gob.gt/que-hacemos/area-energetica/publicaciones/estadisticas/balance-energetico/" TargetMode="External"/><Relationship Id="rId1935" Type="http://schemas.openxmlformats.org/officeDocument/2006/relationships/hyperlink" Target="https://mem.gob.gt/que-hacemos/area-energetica/publicaciones/estadisticas/balance-energetico/" TargetMode="External"/><Relationship Id="rId1936" Type="http://schemas.openxmlformats.org/officeDocument/2006/relationships/hyperlink" Target="https://mem.gob.gt/que-hacemos/area-energetica/publicaciones/estadisticas/balance-energetico/" TargetMode="External"/><Relationship Id="rId1937" Type="http://schemas.openxmlformats.org/officeDocument/2006/relationships/hyperlink" Target="https://mem.gob.gt/que-hacemos/area-energetica/publicaciones/estadisticas/balance-energetico/" TargetMode="External"/><Relationship Id="rId1938" Type="http://schemas.openxmlformats.org/officeDocument/2006/relationships/hyperlink" Target="https://mem.gob.gt/que-hacemos/area-energetica/publicaciones/estadisticas/balance-energetico/" TargetMode="External"/><Relationship Id="rId1939" Type="http://schemas.openxmlformats.org/officeDocument/2006/relationships/hyperlink" Target="https://mem.gob.gt/que-hacemos/area-energetica/publicaciones/estadisticas/balance-energetico/" TargetMode="External"/><Relationship Id="rId1940" Type="http://schemas.openxmlformats.org/officeDocument/2006/relationships/hyperlink" Target="https://mem.gob.gt/que-hacemos/area-energetica/publicaciones/estadisticas/balance-energetico/" TargetMode="External"/><Relationship Id="rId1941" Type="http://schemas.openxmlformats.org/officeDocument/2006/relationships/hyperlink" Target="https://mem.gob.gt/que-hacemos/area-energetica/publicaciones/estadisticas/balance-energetico/" TargetMode="External"/><Relationship Id="rId1942" Type="http://schemas.openxmlformats.org/officeDocument/2006/relationships/hyperlink" Target="https://mem.gob.gt/que-hacemos/area-energetica/publicaciones/estadisticas/balance-energetico/" TargetMode="External"/><Relationship Id="rId1943" Type="http://schemas.openxmlformats.org/officeDocument/2006/relationships/hyperlink" Target="https://mem.gob.gt/que-hacemos/area-energetica/publicaciones/estadisticas/balance-energetico/" TargetMode="External"/><Relationship Id="rId1944" Type="http://schemas.openxmlformats.org/officeDocument/2006/relationships/hyperlink" Target="https://mem.gob.gt/que-hacemos/area-energetica/publicaciones/estadisticas/balance-energetico/" TargetMode="External"/><Relationship Id="rId1945" Type="http://schemas.openxmlformats.org/officeDocument/2006/relationships/hyperlink" Target="https://mem.gob.gt/que-hacemos/area-energetica/publicaciones/estadisticas/balance-energetico/" TargetMode="External"/><Relationship Id="rId1946" Type="http://schemas.openxmlformats.org/officeDocument/2006/relationships/hyperlink" Target="https://mem.gob.gt/que-hacemos/area-energetica/publicaciones/estadisticas/balance-energetico/" TargetMode="External"/><Relationship Id="rId1947" Type="http://schemas.openxmlformats.org/officeDocument/2006/relationships/hyperlink" Target="https://mem.gob.gt/que-hacemos/area-energetica/publicaciones/estadisticas/balance-energetico/" TargetMode="External"/><Relationship Id="rId1948" Type="http://schemas.openxmlformats.org/officeDocument/2006/relationships/hyperlink" Target="https://mem.gob.gt/que-hacemos/area-energetica/publicaciones/estadisticas/balance-energetico/" TargetMode="External"/><Relationship Id="rId1949" Type="http://schemas.openxmlformats.org/officeDocument/2006/relationships/hyperlink" Target="https://mem.gob.gt/que-hacemos/area-energetica/publicaciones/estadisticas/balance-energetico/" TargetMode="External"/><Relationship Id="rId1950" Type="http://schemas.openxmlformats.org/officeDocument/2006/relationships/hyperlink" Target="https://mem.gob.gt/que-hacemos/area-energetica/publicaciones/estadisticas/balance-energetico/" TargetMode="External"/><Relationship Id="rId1951" Type="http://schemas.openxmlformats.org/officeDocument/2006/relationships/hyperlink" Target="https://mem.gob.gt/que-hacemos/area-energetica/publicaciones/estadisticas/balance-energetico/" TargetMode="External"/><Relationship Id="rId1952" Type="http://schemas.openxmlformats.org/officeDocument/2006/relationships/hyperlink" Target="https://mem.gob.gt/que-hacemos/area-energetica/publicaciones/estadisticas/balance-energetico/" TargetMode="External"/><Relationship Id="rId1953" Type="http://schemas.openxmlformats.org/officeDocument/2006/relationships/hyperlink" Target="https://mem.gob.gt/que-hacemos/area-energetica/publicaciones/estadisticas/balance-energetico/" TargetMode="External"/><Relationship Id="rId1954" Type="http://schemas.openxmlformats.org/officeDocument/2006/relationships/hyperlink" Target="https://mem.gob.gt/que-hacemos/area-energetica/publicaciones/estadisticas/balance-energetico/" TargetMode="External"/><Relationship Id="rId1955" Type="http://schemas.openxmlformats.org/officeDocument/2006/relationships/hyperlink" Target="https://mem.gob.gt/que-hacemos/area-energetica/publicaciones/estadisticas/balance-energetico/" TargetMode="External"/><Relationship Id="rId1956" Type="http://schemas.openxmlformats.org/officeDocument/2006/relationships/hyperlink" Target="https://mem.gob.gt/que-hacemos/area-energetica/publicaciones/estadisticas/balance-energetico/" TargetMode="External"/><Relationship Id="rId1957" Type="http://schemas.openxmlformats.org/officeDocument/2006/relationships/hyperlink" Target="https://mem.gob.gt/que-hacemos/area-energetica/publicaciones/estadisticas/balance-energetico/" TargetMode="External"/><Relationship Id="rId1958" Type="http://schemas.openxmlformats.org/officeDocument/2006/relationships/hyperlink" Target="https://mem.gob.gt/que-hacemos/area-energetica/publicaciones/estadisticas/balance-energetico/" TargetMode="External"/><Relationship Id="rId1959" Type="http://schemas.openxmlformats.org/officeDocument/2006/relationships/hyperlink" Target="https://mem.gob.gt/que-hacemos/area-energetica/publicaciones/estadisticas/balance-energetico/" TargetMode="External"/><Relationship Id="rId1960" Type="http://schemas.openxmlformats.org/officeDocument/2006/relationships/hyperlink" Target="https://mem.gob.gt/que-hacemos/area-energetica/publicaciones/estadisticas/balance-energetico/" TargetMode="External"/><Relationship Id="rId1961" Type="http://schemas.openxmlformats.org/officeDocument/2006/relationships/hyperlink" Target="https://mem.gob.gt/que-hacemos/area-energetica/publicaciones/estadisticas/balance-energetico/" TargetMode="External"/><Relationship Id="rId1962" Type="http://schemas.openxmlformats.org/officeDocument/2006/relationships/hyperlink" Target="https://mem.gob.gt/que-hacemos/area-energetica/publicaciones/estadisticas/balance-energetico/" TargetMode="External"/><Relationship Id="rId1963" Type="http://schemas.openxmlformats.org/officeDocument/2006/relationships/hyperlink" Target="https://mem.gob.gt/que-hacemos/area-energetica/publicaciones/estadisticas/balance-energetico/" TargetMode="External"/><Relationship Id="rId1964" Type="http://schemas.openxmlformats.org/officeDocument/2006/relationships/hyperlink" Target="https://mem.gob.gt/que-hacemos/area-energetica/publicaciones/estadisticas/balance-energetico/" TargetMode="External"/><Relationship Id="rId1965" Type="http://schemas.openxmlformats.org/officeDocument/2006/relationships/hyperlink" Target="https://mem.gob.gt/que-hacemos/area-energetica/publicaciones/estadisticas/balance-energetico/" TargetMode="External"/><Relationship Id="rId1966" Type="http://schemas.openxmlformats.org/officeDocument/2006/relationships/hyperlink" Target="https://mem.gob.gt/que-hacemos/area-energetica/publicaciones/estadisticas/balance-energetico/" TargetMode="External"/><Relationship Id="rId1967" Type="http://schemas.openxmlformats.org/officeDocument/2006/relationships/hyperlink" Target="https://mem.gob.gt/que-hacemos/area-energetica/publicaciones/estadisticas/balance-energetico/" TargetMode="External"/><Relationship Id="rId1968" Type="http://schemas.openxmlformats.org/officeDocument/2006/relationships/hyperlink" Target="https://mem.gob.gt/que-hacemos/area-energetica/publicaciones/estadisticas/balance-energetico/" TargetMode="External"/><Relationship Id="rId1969" Type="http://schemas.openxmlformats.org/officeDocument/2006/relationships/hyperlink" Target="https://mem.gob.gt/que-hacemos/area-energetica/publicaciones/estadisticas/balance-energetico/" TargetMode="External"/><Relationship Id="rId1970" Type="http://schemas.openxmlformats.org/officeDocument/2006/relationships/hyperlink" Target="https://mem.gob.gt/que-hacemos/area-energetica/publicaciones/estadisticas/balance-energetico/" TargetMode="External"/><Relationship Id="rId1971" Type="http://schemas.openxmlformats.org/officeDocument/2006/relationships/hyperlink" Target="https://mem.gob.gt/que-hacemos/area-energetica/publicaciones/estadisticas/balance-energetico/" TargetMode="External"/><Relationship Id="rId1972" Type="http://schemas.openxmlformats.org/officeDocument/2006/relationships/hyperlink" Target="https://mem.gob.gt/que-hacemos/area-energetica/publicaciones/estadisticas/balance-energetico/" TargetMode="External"/><Relationship Id="rId1973" Type="http://schemas.openxmlformats.org/officeDocument/2006/relationships/hyperlink" Target="https://mem.gob.gt/que-hacemos/area-energetica/publicaciones/estadisticas/balance-energetico/" TargetMode="External"/><Relationship Id="rId1974" Type="http://schemas.openxmlformats.org/officeDocument/2006/relationships/hyperlink" Target="https://mem.gob.gt/que-hacemos/area-energetica/publicaciones/estadisticas/balance-energetico/" TargetMode="External"/><Relationship Id="rId1975" Type="http://schemas.openxmlformats.org/officeDocument/2006/relationships/hyperlink" Target="https://mem.gob.gt/que-hacemos/area-energetica/publicaciones/estadisticas/balance-energetico/" TargetMode="External"/><Relationship Id="rId1976" Type="http://schemas.openxmlformats.org/officeDocument/2006/relationships/hyperlink" Target="https://mem.gob.gt/que-hacemos/area-energetica/publicaciones/estadisticas/balance-energetico/" TargetMode="External"/><Relationship Id="rId1977" Type="http://schemas.openxmlformats.org/officeDocument/2006/relationships/hyperlink" Target="https://mem.gob.gt/que-hacemos/area-energetica/publicaciones/estadisticas/balance-energetico/" TargetMode="External"/><Relationship Id="rId1978" Type="http://schemas.openxmlformats.org/officeDocument/2006/relationships/hyperlink" Target="https://mem.gob.gt/que-hacemos/area-energetica/publicaciones/estadisticas/balance-energetico/" TargetMode="External"/><Relationship Id="rId1979" Type="http://schemas.openxmlformats.org/officeDocument/2006/relationships/hyperlink" Target="https://mem.gob.gt/que-hacemos/area-energetica/publicaciones/estadisticas/balance-energetico/" TargetMode="External"/><Relationship Id="rId1980" Type="http://schemas.openxmlformats.org/officeDocument/2006/relationships/hyperlink" Target="https://mem.gob.gt/que-hacemos/area-energetica/publicaciones/estadisticas/balance-energetico/" TargetMode="External"/><Relationship Id="rId1981" Type="http://schemas.openxmlformats.org/officeDocument/2006/relationships/hyperlink" Target="https://mem.gob.gt/que-hacemos/area-energetica/publicaciones/estadisticas/balance-energetico/" TargetMode="External"/><Relationship Id="rId1982" Type="http://schemas.openxmlformats.org/officeDocument/2006/relationships/hyperlink" Target="https://mem.gob.gt/que-hacemos/area-energetica/publicaciones/estadisticas/balance-energetico/" TargetMode="External"/><Relationship Id="rId1983" Type="http://schemas.openxmlformats.org/officeDocument/2006/relationships/hyperlink" Target="https://mem.gob.gt/que-hacemos/area-energetica/publicaciones/estadisticas/balance-energetico/" TargetMode="External"/><Relationship Id="rId1984" Type="http://schemas.openxmlformats.org/officeDocument/2006/relationships/hyperlink" Target="https://mem.gob.gt/que-hacemos/area-energetica/publicaciones/estadisticas/balance-energetico/" TargetMode="External"/><Relationship Id="rId1985" Type="http://schemas.openxmlformats.org/officeDocument/2006/relationships/hyperlink" Target="https://mem.gob.gt/que-hacemos/area-energetica/publicaciones/estadisticas/balance-energetico/" TargetMode="External"/><Relationship Id="rId1986" Type="http://schemas.openxmlformats.org/officeDocument/2006/relationships/hyperlink" Target="https://mem.gob.gt/que-hacemos/area-energetica/publicaciones/estadisticas/balance-energetico/" TargetMode="External"/><Relationship Id="rId1987" Type="http://schemas.openxmlformats.org/officeDocument/2006/relationships/hyperlink" Target="https://mem.gob.gt/que-hacemos/area-energetica/publicaciones/estadisticas/balance-energetico/" TargetMode="External"/><Relationship Id="rId1988" Type="http://schemas.openxmlformats.org/officeDocument/2006/relationships/hyperlink" Target="https://mem.gob.gt/que-hacemos/area-energetica/publicaciones/estadisticas/balance-energetico/" TargetMode="External"/><Relationship Id="rId1989" Type="http://schemas.openxmlformats.org/officeDocument/2006/relationships/hyperlink" Target="https://mem.gob.gt/que-hacemos/area-energetica/publicaciones/estadisticas/balance-energetico/" TargetMode="External"/><Relationship Id="rId1990" Type="http://schemas.openxmlformats.org/officeDocument/2006/relationships/hyperlink" Target="https://mem.gob.gt/que-hacemos/area-energetica/publicaciones/estadisticas/balance-energetico/" TargetMode="External"/><Relationship Id="rId1991" Type="http://schemas.openxmlformats.org/officeDocument/2006/relationships/hyperlink" Target="https://mem.gob.gt/que-hacemos/area-energetica/publicaciones/estadisticas/balance-energetico/" TargetMode="External"/><Relationship Id="rId1992" Type="http://schemas.openxmlformats.org/officeDocument/2006/relationships/hyperlink" Target="https://mem.gob.gt/que-hacemos/area-energetica/publicaciones/estadisticas/balance-energetico/" TargetMode="External"/><Relationship Id="rId1993" Type="http://schemas.openxmlformats.org/officeDocument/2006/relationships/hyperlink" Target="https://mem.gob.gt/que-hacemos/area-energetica/publicaciones/estadisticas/balance-energetico/" TargetMode="External"/><Relationship Id="rId1994" Type="http://schemas.openxmlformats.org/officeDocument/2006/relationships/hyperlink" Target="https://mem.gob.gt/que-hacemos/area-energetica/publicaciones/estadisticas/balance-energetico/" TargetMode="External"/><Relationship Id="rId1995" Type="http://schemas.openxmlformats.org/officeDocument/2006/relationships/hyperlink" Target="https://mem.gob.gt/que-hacemos/area-energetica/publicaciones/estadisticas/balance-energetico/" TargetMode="External"/><Relationship Id="rId1996" Type="http://schemas.openxmlformats.org/officeDocument/2006/relationships/hyperlink" Target="https://mem.gob.gt/que-hacemos/area-energetica/publicaciones/estadisticas/balance-energetico/" TargetMode="External"/><Relationship Id="rId1997" Type="http://schemas.openxmlformats.org/officeDocument/2006/relationships/hyperlink" Target="https://mem.gob.gt/que-hacemos/area-energetica/publicaciones/estadisticas/balance-energetico/" TargetMode="External"/><Relationship Id="rId1998" Type="http://schemas.openxmlformats.org/officeDocument/2006/relationships/hyperlink" Target="https://mem.gob.gt/que-hacemos/area-energetica/publicaciones/estadisticas/balance-energetico/" TargetMode="External"/><Relationship Id="rId1999" Type="http://schemas.openxmlformats.org/officeDocument/2006/relationships/hyperlink" Target="https://mem.gob.gt/que-hacemos/area-energetica/publicaciones/estadisticas/balance-energetico/" TargetMode="External"/><Relationship Id="rId2000" Type="http://schemas.openxmlformats.org/officeDocument/2006/relationships/hyperlink" Target="https://mem.gob.gt/que-hacemos/area-energetica/publicaciones/estadisticas/balance-energetico/" TargetMode="External"/><Relationship Id="rId2001" Type="http://schemas.openxmlformats.org/officeDocument/2006/relationships/hyperlink" Target="https://mem.gob.gt/que-hacemos/area-energetica/publicaciones/estadisticas/balance-energetico/" TargetMode="External"/><Relationship Id="rId2002" Type="http://schemas.openxmlformats.org/officeDocument/2006/relationships/hyperlink" Target="https://mem.gob.gt/que-hacemos/area-energetica/publicaciones/estadisticas/balance-energetico/" TargetMode="External"/><Relationship Id="rId2003" Type="http://schemas.openxmlformats.org/officeDocument/2006/relationships/hyperlink" Target="https://mem.gob.gt/que-hacemos/area-energetica/publicaciones/estadisticas/balance-energetico/" TargetMode="External"/><Relationship Id="rId2004" Type="http://schemas.openxmlformats.org/officeDocument/2006/relationships/hyperlink" Target="https://mem.gob.gt/que-hacemos/area-energetica/publicaciones/estadisticas/balance-energetico/" TargetMode="External"/><Relationship Id="rId2005" Type="http://schemas.openxmlformats.org/officeDocument/2006/relationships/hyperlink" Target="https://mem.gob.gt/que-hacemos/area-energetica/publicaciones/estadisticas/balance-energetico/" TargetMode="External"/><Relationship Id="rId2006" Type="http://schemas.openxmlformats.org/officeDocument/2006/relationships/hyperlink" Target="https://mem.gob.gt/que-hacemos/area-energetica/publicaciones/estadisticas/balance-energetico/" TargetMode="External"/><Relationship Id="rId2007" Type="http://schemas.openxmlformats.org/officeDocument/2006/relationships/hyperlink" Target="https://mem.gob.gt/que-hacemos/area-energetica/publicaciones/estadisticas/balance-energetico/" TargetMode="External"/><Relationship Id="rId2008" Type="http://schemas.openxmlformats.org/officeDocument/2006/relationships/hyperlink" Target="https://mem.gob.gt/que-hacemos/area-energetica/publicaciones/estadisticas/balance-energetico/" TargetMode="External"/><Relationship Id="rId2009" Type="http://schemas.openxmlformats.org/officeDocument/2006/relationships/hyperlink" Target="https://mem.gob.gt/que-hacemos/area-energetica/publicaciones/estadisticas/balance-energetico/" TargetMode="External"/><Relationship Id="rId2010" Type="http://schemas.openxmlformats.org/officeDocument/2006/relationships/hyperlink" Target="https://mem.gob.gt/que-hacemos/area-energetica/publicaciones/estadisticas/balance-energetico/" TargetMode="External"/><Relationship Id="rId2011" Type="http://schemas.openxmlformats.org/officeDocument/2006/relationships/hyperlink" Target="https://mem.gob.gt/que-hacemos/area-energetica/publicaciones/estadisticas/balance-energetico/" TargetMode="External"/><Relationship Id="rId2012" Type="http://schemas.openxmlformats.org/officeDocument/2006/relationships/hyperlink" Target="https://mem.gob.gt/que-hacemos/area-energetica/publicaciones/estadisticas/balance-energetico/" TargetMode="External"/><Relationship Id="rId2013" Type="http://schemas.openxmlformats.org/officeDocument/2006/relationships/hyperlink" Target="https://mem.gob.gt/que-hacemos/area-energetica/publicaciones/estadisticas/balance-energetico/" TargetMode="External"/><Relationship Id="rId2014" Type="http://schemas.openxmlformats.org/officeDocument/2006/relationships/hyperlink" Target="https://mem.gob.gt/que-hacemos/area-energetica/publicaciones/estadisticas/balance-energetico/" TargetMode="External"/><Relationship Id="rId2015" Type="http://schemas.openxmlformats.org/officeDocument/2006/relationships/hyperlink" Target="https://mem.gob.gt/que-hacemos/area-energetica/publicaciones/estadisticas/balance-energetico/" TargetMode="External"/><Relationship Id="rId2016" Type="http://schemas.openxmlformats.org/officeDocument/2006/relationships/hyperlink" Target="https://mem.gob.gt/que-hacemos/area-energetica/publicaciones/estadisticas/balance-energetico/" TargetMode="External"/><Relationship Id="rId2017" Type="http://schemas.openxmlformats.org/officeDocument/2006/relationships/hyperlink" Target="https://mem.gob.gt/que-hacemos/area-energetica/publicaciones/estadisticas/balance-energetico/" TargetMode="External"/><Relationship Id="rId2018" Type="http://schemas.openxmlformats.org/officeDocument/2006/relationships/hyperlink" Target="https://mem.gob.gt/que-hacemos/area-energetica/publicaciones/estadisticas/balance-energetico/" TargetMode="External"/><Relationship Id="rId2019" Type="http://schemas.openxmlformats.org/officeDocument/2006/relationships/hyperlink" Target="https://mem.gob.gt/que-hacemos/area-energetica/publicaciones/estadisticas/balance-energetico/" TargetMode="External"/><Relationship Id="rId2020" Type="http://schemas.openxmlformats.org/officeDocument/2006/relationships/hyperlink" Target="https://mem.gob.gt/que-hacemos/area-energetica/publicaciones/estadisticas/balance-energetico/" TargetMode="External"/><Relationship Id="rId2021" Type="http://schemas.openxmlformats.org/officeDocument/2006/relationships/hyperlink" Target="https://mem.gob.gt/que-hacemos/area-energetica/publicaciones/estadisticas/balance-energetico/" TargetMode="External"/><Relationship Id="rId2022" Type="http://schemas.openxmlformats.org/officeDocument/2006/relationships/hyperlink" Target="https://mem.gob.gt/que-hacemos/area-energetica/publicaciones/estadisticas/balance-energetico/" TargetMode="External"/><Relationship Id="rId2023" Type="http://schemas.openxmlformats.org/officeDocument/2006/relationships/hyperlink" Target="https://mem.gob.gt/que-hacemos/area-energetica/publicaciones/estadisticas/balance-energetico/" TargetMode="External"/><Relationship Id="rId2024" Type="http://schemas.openxmlformats.org/officeDocument/2006/relationships/hyperlink" Target="https://mem.gob.gt/que-hacemos/area-energetica/publicaciones/estadisticas/balance-energetico/" TargetMode="External"/><Relationship Id="rId2025" Type="http://schemas.openxmlformats.org/officeDocument/2006/relationships/hyperlink" Target="https://mem.gob.gt/que-hacemos/area-energetica/publicaciones/estadisticas/balance-energetico/" TargetMode="External"/><Relationship Id="rId2026" Type="http://schemas.openxmlformats.org/officeDocument/2006/relationships/hyperlink" Target="https://mem.gob.gt/que-hacemos/area-energetica/publicaciones/estadisticas/balance-energetico/" TargetMode="External"/><Relationship Id="rId2027" Type="http://schemas.openxmlformats.org/officeDocument/2006/relationships/hyperlink" Target="https://mem.gob.gt/que-hacemos/area-energetica/publicaciones/estadisticas/balance-energetico/" TargetMode="External"/><Relationship Id="rId2028" Type="http://schemas.openxmlformats.org/officeDocument/2006/relationships/hyperlink" Target="https://mem.gob.gt/que-hacemos/area-energetica/publicaciones/estadisticas/balance-energetico/" TargetMode="External"/><Relationship Id="rId2029" Type="http://schemas.openxmlformats.org/officeDocument/2006/relationships/hyperlink" Target="https://mem.gob.gt/que-hacemos/area-energetica/publicaciones/estadisticas/balance-energetico/" TargetMode="External"/><Relationship Id="rId2030" Type="http://schemas.openxmlformats.org/officeDocument/2006/relationships/hyperlink" Target="https://mem.gob.gt/que-hacemos/area-energetica/publicaciones/estadisticas/balance-energetico/" TargetMode="External"/><Relationship Id="rId2031" Type="http://schemas.openxmlformats.org/officeDocument/2006/relationships/hyperlink" Target="https://mem.gob.gt/que-hacemos/area-energetica/publicaciones/estadisticas/balance-energetico/" TargetMode="External"/><Relationship Id="rId2032" Type="http://schemas.openxmlformats.org/officeDocument/2006/relationships/hyperlink" Target="https://mem.gob.gt/que-hacemos/area-energetica/publicaciones/estadisticas/balance-energetico/" TargetMode="External"/><Relationship Id="rId2033" Type="http://schemas.openxmlformats.org/officeDocument/2006/relationships/hyperlink" Target="https://mem.gob.gt/que-hacemos/area-energetica/publicaciones/estadisticas/balance-energetico/" TargetMode="External"/><Relationship Id="rId2034" Type="http://schemas.openxmlformats.org/officeDocument/2006/relationships/hyperlink" Target="https://mem.gob.gt/que-hacemos/area-energetica/publicaciones/estadisticas/balance-energetico/" TargetMode="External"/><Relationship Id="rId2035" Type="http://schemas.openxmlformats.org/officeDocument/2006/relationships/hyperlink" Target="https://mem.gob.gt/que-hacemos/area-energetica/publicaciones/estadisticas/balance-energetico/" TargetMode="External"/><Relationship Id="rId2036" Type="http://schemas.openxmlformats.org/officeDocument/2006/relationships/hyperlink" Target="https://mem.gob.gt/que-hacemos/area-energetica/publicaciones/estadisticas/balance-energetico/" TargetMode="External"/><Relationship Id="rId2037" Type="http://schemas.openxmlformats.org/officeDocument/2006/relationships/hyperlink" Target="https://mem.gob.gt/que-hacemos/area-energetica/publicaciones/estadisticas/balance-energetico/" TargetMode="External"/><Relationship Id="rId2038" Type="http://schemas.openxmlformats.org/officeDocument/2006/relationships/hyperlink" Target="https://mem.gob.gt/que-hacemos/area-energetica/publicaciones/estadisticas/balance-energetico/" TargetMode="External"/><Relationship Id="rId2039" Type="http://schemas.openxmlformats.org/officeDocument/2006/relationships/hyperlink" Target="https://mem.gob.gt/que-hacemos/area-energetica/publicaciones/estadisticas/balance-energetico/" TargetMode="External"/><Relationship Id="rId2040" Type="http://schemas.openxmlformats.org/officeDocument/2006/relationships/hyperlink" Target="https://mem.gob.gt/que-hacemos/area-energetica/publicaciones/estadisticas/balance-energetico/" TargetMode="External"/><Relationship Id="rId2041" Type="http://schemas.openxmlformats.org/officeDocument/2006/relationships/hyperlink" Target="https://mem.gob.gt/que-hacemos/area-energetica/publicaciones/estadisticas/balance-energetico/" TargetMode="External"/><Relationship Id="rId2042" Type="http://schemas.openxmlformats.org/officeDocument/2006/relationships/hyperlink" Target="https://mem.gob.gt/que-hacemos/area-energetica/publicaciones/estadisticas/balance-energetico/" TargetMode="External"/><Relationship Id="rId2043" Type="http://schemas.openxmlformats.org/officeDocument/2006/relationships/hyperlink" Target="https://mem.gob.gt/que-hacemos/area-energetica/publicaciones/estadisticas/balance-energetico/" TargetMode="External"/><Relationship Id="rId2044" Type="http://schemas.openxmlformats.org/officeDocument/2006/relationships/hyperlink" Target="https://mem.gob.gt/que-hacemos/area-energetica/publicaciones/estadisticas/balance-energetico/" TargetMode="External"/><Relationship Id="rId2045" Type="http://schemas.openxmlformats.org/officeDocument/2006/relationships/hyperlink" Target="https://mem.gob.gt/que-hacemos/area-energetica/publicaciones/estadisticas/balance-energetico/" TargetMode="External"/><Relationship Id="rId2046" Type="http://schemas.openxmlformats.org/officeDocument/2006/relationships/hyperlink" Target="https://mem.gob.gt/que-hacemos/area-energetica/publicaciones/estadisticas/balance-energetico/" TargetMode="External"/><Relationship Id="rId2047" Type="http://schemas.openxmlformats.org/officeDocument/2006/relationships/hyperlink" Target="https://mem.gob.gt/que-hacemos/area-energetica/publicaciones/estadisticas/balance-energetico/" TargetMode="External"/><Relationship Id="rId2048" Type="http://schemas.openxmlformats.org/officeDocument/2006/relationships/hyperlink" Target="https://mem.gob.gt/que-hacemos/area-energetica/publicaciones/estadisticas/balance-energetico/" TargetMode="External"/><Relationship Id="rId2049" Type="http://schemas.openxmlformats.org/officeDocument/2006/relationships/hyperlink" Target="https://mem.gob.gt/que-hacemos/area-energetica/publicaciones/estadisticas/balance-energetico/" TargetMode="External"/><Relationship Id="rId2050" Type="http://schemas.openxmlformats.org/officeDocument/2006/relationships/hyperlink" Target="https://mem.gob.gt/que-hacemos/area-energetica/publicaciones/estadisticas/balance-energetico/" TargetMode="External"/><Relationship Id="rId2051" Type="http://schemas.openxmlformats.org/officeDocument/2006/relationships/hyperlink" Target="https://mem.gob.gt/que-hacemos/area-energetica/publicaciones/estadisticas/balance-energetico/" TargetMode="External"/><Relationship Id="rId2052" Type="http://schemas.openxmlformats.org/officeDocument/2006/relationships/hyperlink" Target="https://mem.gob.gt/que-hacemos/area-energetica/publicaciones/estadisticas/balance-energetico/" TargetMode="External"/><Relationship Id="rId2053" Type="http://schemas.openxmlformats.org/officeDocument/2006/relationships/hyperlink" Target="https://mem.gob.gt/que-hacemos/area-energetica/publicaciones/estadisticas/balance-energetico/" TargetMode="External"/><Relationship Id="rId2054" Type="http://schemas.openxmlformats.org/officeDocument/2006/relationships/hyperlink" Target="https://mem.gob.gt/que-hacemos/area-energetica/publicaciones/estadisticas/balance-energetico/" TargetMode="External"/><Relationship Id="rId2055" Type="http://schemas.openxmlformats.org/officeDocument/2006/relationships/hyperlink" Target="https://mem.gob.gt/que-hacemos/area-energetica/publicaciones/estadisticas/balance-energetico/" TargetMode="External"/><Relationship Id="rId2056" Type="http://schemas.openxmlformats.org/officeDocument/2006/relationships/hyperlink" Target="https://mem.gob.gt/que-hacemos/area-energetica/publicaciones/estadisticas/balance-energetico/" TargetMode="External"/><Relationship Id="rId2057" Type="http://schemas.openxmlformats.org/officeDocument/2006/relationships/hyperlink" Target="https://mem.gob.gt/que-hacemos/area-energetica/publicaciones/estadisticas/balance-energetico/" TargetMode="External"/><Relationship Id="rId2058" Type="http://schemas.openxmlformats.org/officeDocument/2006/relationships/hyperlink" Target="https://mem.gob.gt/que-hacemos/area-energetica/publicaciones/estadisticas/balance-energetico/" TargetMode="External"/><Relationship Id="rId2059" Type="http://schemas.openxmlformats.org/officeDocument/2006/relationships/hyperlink" Target="https://mem.gob.gt/que-hacemos/area-energetica/publicaciones/estadisticas/balance-energetico/" TargetMode="External"/><Relationship Id="rId2060" Type="http://schemas.openxmlformats.org/officeDocument/2006/relationships/hyperlink" Target="https://mem.gob.gt/que-hacemos/area-energetica/publicaciones/estadisticas/balance-energetico/" TargetMode="External"/><Relationship Id="rId2061" Type="http://schemas.openxmlformats.org/officeDocument/2006/relationships/hyperlink" Target="https://mem.gob.gt/que-hacemos/area-energetica/publicaciones/estadisticas/balance-energetico/" TargetMode="External"/><Relationship Id="rId2062" Type="http://schemas.openxmlformats.org/officeDocument/2006/relationships/hyperlink" Target="https://mem.gob.gt/que-hacemos/area-energetica/publicaciones/estadisticas/balance-energetico/" TargetMode="External"/><Relationship Id="rId2063" Type="http://schemas.openxmlformats.org/officeDocument/2006/relationships/hyperlink" Target="https://mem.gob.gt/que-hacemos/area-energetica/publicaciones/estadisticas/balance-energetico/" TargetMode="External"/><Relationship Id="rId2064" Type="http://schemas.openxmlformats.org/officeDocument/2006/relationships/hyperlink" Target="https://mem.gob.gt/que-hacemos/area-energetica/publicaciones/estadisticas/balance-energetico/" TargetMode="External"/><Relationship Id="rId2065" Type="http://schemas.openxmlformats.org/officeDocument/2006/relationships/hyperlink" Target="https://mem.gob.gt/que-hacemos/area-energetica/publicaciones/estadisticas/balance-energetico/" TargetMode="External"/><Relationship Id="rId2066" Type="http://schemas.openxmlformats.org/officeDocument/2006/relationships/hyperlink" Target="https://mem.gob.gt/que-hacemos/area-energetica/publicaciones/estadisticas/balance-energetico/" TargetMode="External"/><Relationship Id="rId2067" Type="http://schemas.openxmlformats.org/officeDocument/2006/relationships/hyperlink" Target="https://mem.gob.gt/que-hacemos/area-energetica/publicaciones/estadisticas/balance-energetico/" TargetMode="External"/><Relationship Id="rId2068" Type="http://schemas.openxmlformats.org/officeDocument/2006/relationships/hyperlink" Target="https://mem.gob.gt/que-hacemos/area-energetica/publicaciones/estadisticas/balance-energetico/" TargetMode="External"/><Relationship Id="rId2069" Type="http://schemas.openxmlformats.org/officeDocument/2006/relationships/hyperlink" Target="https://mem.gob.gt/que-hacemos/area-energetica/publicaciones/estadisticas/balance-energetico/" TargetMode="External"/><Relationship Id="rId2070" Type="http://schemas.openxmlformats.org/officeDocument/2006/relationships/hyperlink" Target="https://mem.gob.gt/que-hacemos/area-energetica/publicaciones/estadisticas/balance-energetico/" TargetMode="External"/><Relationship Id="rId2071" Type="http://schemas.openxmlformats.org/officeDocument/2006/relationships/hyperlink" Target="https://mem.gob.gt/que-hacemos/area-energetica/publicaciones/estadisticas/balance-energetico/" TargetMode="External"/><Relationship Id="rId2072" Type="http://schemas.openxmlformats.org/officeDocument/2006/relationships/hyperlink" Target="https://mem.gob.gt/que-hacemos/area-energetica/publicaciones/estadisticas/balance-energetico/" TargetMode="External"/><Relationship Id="rId2073" Type="http://schemas.openxmlformats.org/officeDocument/2006/relationships/hyperlink" Target="https://mem.gob.gt/que-hacemos/area-energetica/publicaciones/estadisticas/balance-energetico/" TargetMode="External"/><Relationship Id="rId2074" Type="http://schemas.openxmlformats.org/officeDocument/2006/relationships/hyperlink" Target="https://mem.gob.gt/que-hacemos/area-energetica/publicaciones/estadisticas/balance-energetico/" TargetMode="External"/><Relationship Id="rId2075" Type="http://schemas.openxmlformats.org/officeDocument/2006/relationships/hyperlink" Target="https://mem.gob.gt/que-hacemos/area-energetica/publicaciones/estadisticas/balance-energetico/" TargetMode="External"/><Relationship Id="rId2076" Type="http://schemas.openxmlformats.org/officeDocument/2006/relationships/hyperlink" Target="https://mem.gob.gt/que-hacemos/area-energetica/publicaciones/estadisticas/balance-energetico/" TargetMode="External"/><Relationship Id="rId2077" Type="http://schemas.openxmlformats.org/officeDocument/2006/relationships/hyperlink" Target="https://mem.gob.gt/que-hacemos/area-energetica/publicaciones/estadisticas/balance-energetico/" TargetMode="External"/><Relationship Id="rId2078" Type="http://schemas.openxmlformats.org/officeDocument/2006/relationships/hyperlink" Target="https://mem.gob.gt/que-hacemos/area-energetica/publicaciones/estadisticas/balance-energetico/" TargetMode="External"/><Relationship Id="rId2079" Type="http://schemas.openxmlformats.org/officeDocument/2006/relationships/hyperlink" Target="https://mem.gob.gt/que-hacemos/area-energetica/publicaciones/estadisticas/balance-energetico/" TargetMode="External"/><Relationship Id="rId2080" Type="http://schemas.openxmlformats.org/officeDocument/2006/relationships/hyperlink" Target="https://mem.gob.gt/que-hacemos/area-energetica/publicaciones/estadisticas/balance-energetico/" TargetMode="External"/><Relationship Id="rId2081" Type="http://schemas.openxmlformats.org/officeDocument/2006/relationships/hyperlink" Target="https://mem.gob.gt/que-hacemos/area-energetica/publicaciones/estadisticas/balance-energetico/" TargetMode="External"/><Relationship Id="rId2082" Type="http://schemas.openxmlformats.org/officeDocument/2006/relationships/hyperlink" Target="https://mem.gob.gt/que-hacemos/area-energetica/publicaciones/estadisticas/balance-energetico/" TargetMode="External"/><Relationship Id="rId2083" Type="http://schemas.openxmlformats.org/officeDocument/2006/relationships/hyperlink" Target="https://mem.gob.gt/que-hacemos/area-energetica/publicaciones/estadisticas/balance-energetico/" TargetMode="External"/><Relationship Id="rId2084" Type="http://schemas.openxmlformats.org/officeDocument/2006/relationships/hyperlink" Target="https://mem.gob.gt/que-hacemos/area-energetica/publicaciones/estadisticas/balance-energetico/" TargetMode="External"/><Relationship Id="rId2085" Type="http://schemas.openxmlformats.org/officeDocument/2006/relationships/hyperlink" Target="https://mem.gob.gt/que-hacemos/area-energetica/publicaciones/estadisticas/balance-energetico/" TargetMode="External"/><Relationship Id="rId2086" Type="http://schemas.openxmlformats.org/officeDocument/2006/relationships/hyperlink" Target="https://mem.gob.gt/que-hacemos/area-energetica/publicaciones/estadisticas/balance-energetico/" TargetMode="External"/><Relationship Id="rId2087" Type="http://schemas.openxmlformats.org/officeDocument/2006/relationships/hyperlink" Target="https://mem.gob.gt/que-hacemos/area-energetica/publicaciones/estadisticas/balance-energetico/" TargetMode="External"/><Relationship Id="rId2088" Type="http://schemas.openxmlformats.org/officeDocument/2006/relationships/hyperlink" Target="https://mem.gob.gt/que-hacemos/area-energetica/publicaciones/estadisticas/balance-energetico/" TargetMode="External"/><Relationship Id="rId2089" Type="http://schemas.openxmlformats.org/officeDocument/2006/relationships/hyperlink" Target="https://mem.gob.gt/que-hacemos/area-energetica/publicaciones/estadisticas/balance-energetico/" TargetMode="External"/><Relationship Id="rId2090" Type="http://schemas.openxmlformats.org/officeDocument/2006/relationships/hyperlink" Target="https://mem.gob.gt/que-hacemos/area-energetica/publicaciones/estadisticas/balance-energetico/" TargetMode="External"/><Relationship Id="rId2091" Type="http://schemas.openxmlformats.org/officeDocument/2006/relationships/hyperlink" Target="https://mem.gob.gt/que-hacemos/area-energetica/publicaciones/estadisticas/balance-energetico/" TargetMode="External"/><Relationship Id="rId2092" Type="http://schemas.openxmlformats.org/officeDocument/2006/relationships/hyperlink" Target="https://mem.gob.gt/que-hacemos/area-energetica/publicaciones/estadisticas/balance-energetico/" TargetMode="External"/><Relationship Id="rId2093" Type="http://schemas.openxmlformats.org/officeDocument/2006/relationships/hyperlink" Target="https://mem.gob.gt/que-hacemos/area-energetica/publicaciones/estadisticas/balance-energetico/" TargetMode="External"/><Relationship Id="rId2094" Type="http://schemas.openxmlformats.org/officeDocument/2006/relationships/hyperlink" Target="https://mem.gob.gt/que-hacemos/area-energetica/publicaciones/estadisticas/balance-energetico/" TargetMode="External"/><Relationship Id="rId2095" Type="http://schemas.openxmlformats.org/officeDocument/2006/relationships/hyperlink" Target="https://mem.gob.gt/que-hacemos/area-energetica/publicaciones/estadisticas/balance-energetico/" TargetMode="External"/><Relationship Id="rId2096" Type="http://schemas.openxmlformats.org/officeDocument/2006/relationships/hyperlink" Target="https://mem.gob.gt/que-hacemos/area-energetica/publicaciones/estadisticas/balance-energetico/" TargetMode="External"/><Relationship Id="rId2097" Type="http://schemas.openxmlformats.org/officeDocument/2006/relationships/hyperlink" Target="https://mem.gob.gt/que-hacemos/area-energetica/publicaciones/estadisticas/balance-energetico/" TargetMode="External"/><Relationship Id="rId2098" Type="http://schemas.openxmlformats.org/officeDocument/2006/relationships/hyperlink" Target="https://mem.gob.gt/que-hacemos/area-energetica/publicaciones/estadisticas/balance-energetico/" TargetMode="External"/><Relationship Id="rId2099" Type="http://schemas.openxmlformats.org/officeDocument/2006/relationships/hyperlink" Target="https://mem.gob.gt/que-hacemos/area-energetica/publicaciones/estadisticas/balance-energetico/" TargetMode="External"/><Relationship Id="rId2100" Type="http://schemas.openxmlformats.org/officeDocument/2006/relationships/hyperlink" Target="https://mem.gob.gt/que-hacemos/area-energetica/publicaciones/estadisticas/balance-energetico/" TargetMode="External"/><Relationship Id="rId2101" Type="http://schemas.openxmlformats.org/officeDocument/2006/relationships/hyperlink" Target="https://mem.gob.gt/que-hacemos/area-energetica/publicaciones/estadisticas/balance-energetico/" TargetMode="External"/><Relationship Id="rId2102" Type="http://schemas.openxmlformats.org/officeDocument/2006/relationships/hyperlink" Target="https://mem.gob.gt/que-hacemos/area-energetica/publicaciones/estadisticas/balance-energetico/" TargetMode="External"/><Relationship Id="rId2103" Type="http://schemas.openxmlformats.org/officeDocument/2006/relationships/hyperlink" Target="https://mem.gob.gt/que-hacemos/area-energetica/publicaciones/estadisticas/balance-energetico/" TargetMode="External"/><Relationship Id="rId2104" Type="http://schemas.openxmlformats.org/officeDocument/2006/relationships/hyperlink" Target="https://mem.gob.gt/que-hacemos/area-energetica/publicaciones/estadisticas/balance-energetico/" TargetMode="External"/><Relationship Id="rId2105" Type="http://schemas.openxmlformats.org/officeDocument/2006/relationships/hyperlink" Target="https://mem.gob.gt/que-hacemos/area-energetica/publicaciones/estadisticas/balance-energetico/" TargetMode="External"/><Relationship Id="rId2106" Type="http://schemas.openxmlformats.org/officeDocument/2006/relationships/hyperlink" Target="https://mem.gob.gt/que-hacemos/area-energetica/publicaciones/estadisticas/balance-energetico/" TargetMode="External"/><Relationship Id="rId2107" Type="http://schemas.openxmlformats.org/officeDocument/2006/relationships/hyperlink" Target="https://mem.gob.gt/que-hacemos/area-energetica/publicaciones/estadisticas/balance-energetico/" TargetMode="External"/><Relationship Id="rId2108" Type="http://schemas.openxmlformats.org/officeDocument/2006/relationships/hyperlink" Target="https://mem.gob.gt/que-hacemos/area-energetica/publicaciones/estadisticas/balance-energetico/" TargetMode="External"/><Relationship Id="rId2109" Type="http://schemas.openxmlformats.org/officeDocument/2006/relationships/hyperlink" Target="https://mem.gob.gt/que-hacemos/area-energetica/publicaciones/estadisticas/balance-energetico/" TargetMode="External"/><Relationship Id="rId2110" Type="http://schemas.openxmlformats.org/officeDocument/2006/relationships/hyperlink" Target="https://mem.gob.gt/que-hacemos/area-energetica/publicaciones/estadisticas/balance-energetico/" TargetMode="External"/><Relationship Id="rId2111" Type="http://schemas.openxmlformats.org/officeDocument/2006/relationships/hyperlink" Target="https://mem.gob.gt/que-hacemos/area-energetica/publicaciones/estadisticas/balance-energetico/" TargetMode="External"/><Relationship Id="rId2112" Type="http://schemas.openxmlformats.org/officeDocument/2006/relationships/hyperlink" Target="https://mem.gob.gt/que-hacemos/area-energetica/publicaciones/estadisticas/balance-energetico/" TargetMode="External"/><Relationship Id="rId2113" Type="http://schemas.openxmlformats.org/officeDocument/2006/relationships/hyperlink" Target="https://mem.gob.gt/que-hacemos/area-energetica/publicaciones/estadisticas/balance-energetico/" TargetMode="External"/><Relationship Id="rId2114" Type="http://schemas.openxmlformats.org/officeDocument/2006/relationships/hyperlink" Target="https://mem.gob.gt/que-hacemos/area-energetica/publicaciones/estadisticas/balance-energetico/" TargetMode="External"/><Relationship Id="rId2115" Type="http://schemas.openxmlformats.org/officeDocument/2006/relationships/hyperlink" Target="https://mem.gob.gt/que-hacemos/area-energetica/publicaciones/estadisticas/balance-energetico/" TargetMode="External"/><Relationship Id="rId2116" Type="http://schemas.openxmlformats.org/officeDocument/2006/relationships/hyperlink" Target="https://mem.gob.gt/que-hacemos/area-energetica/publicaciones/estadisticas/balance-energetico/" TargetMode="External"/><Relationship Id="rId2117" Type="http://schemas.openxmlformats.org/officeDocument/2006/relationships/hyperlink" Target="https://mem.gob.gt/que-hacemos/area-energetica/publicaciones/estadisticas/balance-energetico/" TargetMode="External"/><Relationship Id="rId2118" Type="http://schemas.openxmlformats.org/officeDocument/2006/relationships/hyperlink" Target="https://mem.gob.gt/que-hacemos/area-energetica/publicaciones/estadisticas/balance-energetico/" TargetMode="External"/><Relationship Id="rId2119" Type="http://schemas.openxmlformats.org/officeDocument/2006/relationships/hyperlink" Target="https://mem.gob.gt/que-hacemos/area-energetica/publicaciones/estadisticas/balance-energetico/" TargetMode="External"/><Relationship Id="rId2120" Type="http://schemas.openxmlformats.org/officeDocument/2006/relationships/hyperlink" Target="https://mem.gob.gt/que-hacemos/area-energetica/publicaciones/estadisticas/balance-energetico/" TargetMode="External"/><Relationship Id="rId2121" Type="http://schemas.openxmlformats.org/officeDocument/2006/relationships/hyperlink" Target="https://mem.gob.gt/que-hacemos/area-energetica/publicaciones/estadisticas/balance-energetico/" TargetMode="External"/><Relationship Id="rId2122" Type="http://schemas.openxmlformats.org/officeDocument/2006/relationships/hyperlink" Target="https://mem.gob.gt/que-hacemos/area-energetica/publicaciones/estadisticas/balance-energetico/" TargetMode="External"/><Relationship Id="rId2123" Type="http://schemas.openxmlformats.org/officeDocument/2006/relationships/hyperlink" Target="https://mem.gob.gt/que-hacemos/area-energetica/publicaciones/estadisticas/balance-energetico/" TargetMode="External"/><Relationship Id="rId2124" Type="http://schemas.openxmlformats.org/officeDocument/2006/relationships/hyperlink" Target="https://mem.gob.gt/que-hacemos/area-energetica/publicaciones/estadisticas/balance-energetico/" TargetMode="External"/><Relationship Id="rId2125" Type="http://schemas.openxmlformats.org/officeDocument/2006/relationships/hyperlink" Target="https://mem.gob.gt/que-hacemos/area-energetica/publicaciones/estadisticas/balance-energetico/" TargetMode="External"/><Relationship Id="rId2126" Type="http://schemas.openxmlformats.org/officeDocument/2006/relationships/hyperlink" Target="https://mem.gob.gt/que-hacemos/area-energetica/publicaciones/estadisticas/balance-energetico/" TargetMode="External"/><Relationship Id="rId2127" Type="http://schemas.openxmlformats.org/officeDocument/2006/relationships/hyperlink" Target="https://mem.gob.gt/que-hacemos/area-energetica/publicaciones/estadisticas/balance-energetico/" TargetMode="External"/><Relationship Id="rId2128" Type="http://schemas.openxmlformats.org/officeDocument/2006/relationships/hyperlink" Target="https://mem.gob.gt/que-hacemos/area-energetica/publicaciones/estadisticas/balance-energetico/" TargetMode="External"/><Relationship Id="rId2129" Type="http://schemas.openxmlformats.org/officeDocument/2006/relationships/hyperlink" Target="https://mem.gob.gt/que-hacemos/area-energetica/publicaciones/estadisticas/balance-energetico/" TargetMode="External"/><Relationship Id="rId2130" Type="http://schemas.openxmlformats.org/officeDocument/2006/relationships/hyperlink" Target="https://mem.gob.gt/que-hacemos/area-energetica/publicaciones/estadisticas/balance-energetico/" TargetMode="External"/><Relationship Id="rId2131" Type="http://schemas.openxmlformats.org/officeDocument/2006/relationships/hyperlink" Target="https://mem.gob.gt/que-hacemos/area-energetica/publicaciones/estadisticas/balance-energetico/" TargetMode="External"/><Relationship Id="rId2132" Type="http://schemas.openxmlformats.org/officeDocument/2006/relationships/hyperlink" Target="https://mem.gob.gt/que-hacemos/area-energetica/publicaciones/estadisticas/balance-energetico/" TargetMode="External"/><Relationship Id="rId2133" Type="http://schemas.openxmlformats.org/officeDocument/2006/relationships/hyperlink" Target="https://mem.gob.gt/que-hacemos/area-energetica/publicaciones/estadisticas/balance-energetico/" TargetMode="External"/><Relationship Id="rId2134" Type="http://schemas.openxmlformats.org/officeDocument/2006/relationships/hyperlink" Target="https://mem.gob.gt/que-hacemos/area-energetica/publicaciones/estadisticas/balance-energetico/" TargetMode="External"/><Relationship Id="rId2135" Type="http://schemas.openxmlformats.org/officeDocument/2006/relationships/hyperlink" Target="https://mem.gob.gt/que-hacemos/area-energetica/publicaciones/estadisticas/balance-energetico/" TargetMode="External"/><Relationship Id="rId2136" Type="http://schemas.openxmlformats.org/officeDocument/2006/relationships/hyperlink" Target="https://mem.gob.gt/que-hacemos/area-energetica/publicaciones/estadisticas/balance-energetico/" TargetMode="External"/><Relationship Id="rId2137" Type="http://schemas.openxmlformats.org/officeDocument/2006/relationships/hyperlink" Target="https://mem.gob.gt/que-hacemos/area-energetica/publicaciones/estadisticas/balance-energetico/" TargetMode="External"/><Relationship Id="rId2138" Type="http://schemas.openxmlformats.org/officeDocument/2006/relationships/hyperlink" Target="https://mem.gob.gt/que-hacemos/area-energetica/publicaciones/estadisticas/balance-energetico/" TargetMode="External"/><Relationship Id="rId2139" Type="http://schemas.openxmlformats.org/officeDocument/2006/relationships/hyperlink" Target="https://mem.gob.gt/que-hacemos/area-energetica/publicaciones/estadisticas/balance-energetico/" TargetMode="External"/><Relationship Id="rId2140" Type="http://schemas.openxmlformats.org/officeDocument/2006/relationships/hyperlink" Target="https://mem.gob.gt/que-hacemos/area-energetica/publicaciones/estadisticas/balance-energetico/" TargetMode="External"/><Relationship Id="rId2141" Type="http://schemas.openxmlformats.org/officeDocument/2006/relationships/hyperlink" Target="https://mem.gob.gt/que-hacemos/area-energetica/publicaciones/estadisticas/balance-energetico/" TargetMode="External"/><Relationship Id="rId2142" Type="http://schemas.openxmlformats.org/officeDocument/2006/relationships/hyperlink" Target="https://mem.gob.gt/que-hacemos/area-energetica/publicaciones/estadisticas/balance-energetico/" TargetMode="External"/><Relationship Id="rId2143" Type="http://schemas.openxmlformats.org/officeDocument/2006/relationships/hyperlink" Target="https://mem.gob.gt/que-hacemos/area-energetica/publicaciones/estadisticas/balance-energetico/" TargetMode="External"/><Relationship Id="rId2144" Type="http://schemas.openxmlformats.org/officeDocument/2006/relationships/hyperlink" Target="https://mem.gob.gt/que-hacemos/area-energetica/publicaciones/estadisticas/balance-energetico/" TargetMode="External"/><Relationship Id="rId2145" Type="http://schemas.openxmlformats.org/officeDocument/2006/relationships/hyperlink" Target="https://mem.gob.gt/que-hacemos/area-energetica/publicaciones/estadisticas/balance-energetico/" TargetMode="External"/><Relationship Id="rId2146" Type="http://schemas.openxmlformats.org/officeDocument/2006/relationships/hyperlink" Target="https://mem.gob.gt/que-hacemos/area-energetica/publicaciones/estadisticas/balance-energetico/" TargetMode="External"/><Relationship Id="rId2147" Type="http://schemas.openxmlformats.org/officeDocument/2006/relationships/hyperlink" Target="https://mem.gob.gt/que-hacemos/area-energetica/publicaciones/estadisticas/balance-energetico/" TargetMode="External"/><Relationship Id="rId2148" Type="http://schemas.openxmlformats.org/officeDocument/2006/relationships/hyperlink" Target="https://mem.gob.gt/que-hacemos/area-energetica/publicaciones/estadisticas/balance-energetico/" TargetMode="External"/><Relationship Id="rId2149" Type="http://schemas.openxmlformats.org/officeDocument/2006/relationships/hyperlink" Target="https://mem.gob.gt/que-hacemos/area-energetica/publicaciones/estadisticas/balance-energetico/" TargetMode="External"/><Relationship Id="rId2150" Type="http://schemas.openxmlformats.org/officeDocument/2006/relationships/hyperlink" Target="https://mem.gob.gt/que-hacemos/area-energetica/publicaciones/estadisticas/balance-energetico/" TargetMode="External"/><Relationship Id="rId2151" Type="http://schemas.openxmlformats.org/officeDocument/2006/relationships/hyperlink" Target="https://mem.gob.gt/que-hacemos/area-energetica/publicaciones/estadisticas/balance-energetico/" TargetMode="External"/><Relationship Id="rId2152" Type="http://schemas.openxmlformats.org/officeDocument/2006/relationships/hyperlink" Target="https://mem.gob.gt/que-hacemos/area-energetica/publicaciones/estadisticas/balance-energetico/" TargetMode="External"/><Relationship Id="rId2153" Type="http://schemas.openxmlformats.org/officeDocument/2006/relationships/hyperlink" Target="https://mem.gob.gt/que-hacemos/area-energetica/publicaciones/estadisticas/balance-energetico/" TargetMode="External"/><Relationship Id="rId2154" Type="http://schemas.openxmlformats.org/officeDocument/2006/relationships/hyperlink" Target="https://mem.gob.gt/que-hacemos/area-energetica/publicaciones/estadisticas/balance-energetico/" TargetMode="External"/><Relationship Id="rId2155" Type="http://schemas.openxmlformats.org/officeDocument/2006/relationships/hyperlink" Target="https://mem.gob.gt/que-hacemos/area-energetica/publicaciones/estadisticas/balance-energetico/" TargetMode="External"/><Relationship Id="rId2156" Type="http://schemas.openxmlformats.org/officeDocument/2006/relationships/hyperlink" Target="https://mem.gob.gt/que-hacemos/area-energetica/publicaciones/estadisticas/balance-energetico/" TargetMode="External"/><Relationship Id="rId2157" Type="http://schemas.openxmlformats.org/officeDocument/2006/relationships/hyperlink" Target="https://mem.gob.gt/que-hacemos/area-energetica/publicaciones/estadisticas/balance-energetico/" TargetMode="External"/><Relationship Id="rId2158" Type="http://schemas.openxmlformats.org/officeDocument/2006/relationships/hyperlink" Target="https://mem.gob.gt/que-hacemos/area-energetica/publicaciones/estadisticas/balance-energetico/" TargetMode="External"/><Relationship Id="rId2159" Type="http://schemas.openxmlformats.org/officeDocument/2006/relationships/hyperlink" Target="https://mem.gob.gt/que-hacemos/area-energetica/publicaciones/estadisticas/balance-energetico/" TargetMode="External"/><Relationship Id="rId2160" Type="http://schemas.openxmlformats.org/officeDocument/2006/relationships/hyperlink" Target="https://mem.gob.gt/que-hacemos/area-energetica/publicaciones/estadisticas/balance-energetico/" TargetMode="External"/><Relationship Id="rId2161" Type="http://schemas.openxmlformats.org/officeDocument/2006/relationships/hyperlink" Target="https://mem.gob.gt/que-hacemos/area-energetica/publicaciones/estadisticas/balance-energetico/" TargetMode="External"/><Relationship Id="rId2162" Type="http://schemas.openxmlformats.org/officeDocument/2006/relationships/hyperlink" Target="https://mem.gob.gt/que-hacemos/area-energetica/publicaciones/estadisticas/balance-energetico/" TargetMode="External"/><Relationship Id="rId2163" Type="http://schemas.openxmlformats.org/officeDocument/2006/relationships/hyperlink" Target="https://mem.gob.gt/que-hacemos/area-energetica/publicaciones/estadisticas/balance-energetico/" TargetMode="External"/><Relationship Id="rId2164" Type="http://schemas.openxmlformats.org/officeDocument/2006/relationships/hyperlink" Target="https://mem.gob.gt/que-hacemos/area-energetica/publicaciones/estadisticas/balance-energetico/" TargetMode="External"/><Relationship Id="rId2165" Type="http://schemas.openxmlformats.org/officeDocument/2006/relationships/hyperlink" Target="https://mem.gob.gt/que-hacemos/area-energetica/publicaciones/estadisticas/balance-energetico/" TargetMode="External"/><Relationship Id="rId2166" Type="http://schemas.openxmlformats.org/officeDocument/2006/relationships/hyperlink" Target="https://mem.gob.gt/que-hacemos/area-energetica/publicaciones/estadisticas/balance-energetico/" TargetMode="External"/><Relationship Id="rId2167" Type="http://schemas.openxmlformats.org/officeDocument/2006/relationships/hyperlink" Target="https://mem.gob.gt/que-hacemos/area-energetica/publicaciones/estadisticas/balance-energetico/" TargetMode="External"/><Relationship Id="rId2168" Type="http://schemas.openxmlformats.org/officeDocument/2006/relationships/hyperlink" Target="https://mem.gob.gt/que-hacemos/area-energetica/publicaciones/estadisticas/balance-energetico/" TargetMode="External"/><Relationship Id="rId2169" Type="http://schemas.openxmlformats.org/officeDocument/2006/relationships/hyperlink" Target="https://mem.gob.gt/que-hacemos/area-energetica/publicaciones/estadisticas/balance-energetico/" TargetMode="External"/><Relationship Id="rId2170" Type="http://schemas.openxmlformats.org/officeDocument/2006/relationships/hyperlink" Target="https://mem.gob.gt/que-hacemos/area-energetica/publicaciones/estadisticas/balance-energetico/" TargetMode="External"/><Relationship Id="rId2171" Type="http://schemas.openxmlformats.org/officeDocument/2006/relationships/hyperlink" Target="https://mem.gob.gt/que-hacemos/area-energetica/publicaciones/estadisticas/balance-energetico/" TargetMode="External"/><Relationship Id="rId2172" Type="http://schemas.openxmlformats.org/officeDocument/2006/relationships/hyperlink" Target="https://mem.gob.gt/que-hacemos/area-energetica/publicaciones/estadisticas/balance-energetico/" TargetMode="External"/><Relationship Id="rId2173" Type="http://schemas.openxmlformats.org/officeDocument/2006/relationships/hyperlink" Target="https://mem.gob.gt/que-hacemos/area-energetica/publicaciones/estadisticas/balance-energetico/" TargetMode="External"/><Relationship Id="rId2174" Type="http://schemas.openxmlformats.org/officeDocument/2006/relationships/hyperlink" Target="https://mem.gob.gt/que-hacemos/area-energetica/publicaciones/estadisticas/balance-energetico/" TargetMode="External"/><Relationship Id="rId2175" Type="http://schemas.openxmlformats.org/officeDocument/2006/relationships/hyperlink" Target="https://mem.gob.gt/que-hacemos/area-energetica/publicaciones/estadisticas/balance-energetico/" TargetMode="External"/><Relationship Id="rId2176" Type="http://schemas.openxmlformats.org/officeDocument/2006/relationships/hyperlink" Target="https://mem.gob.gt/que-hacemos/area-energetica/publicaciones/estadisticas/balance-energetico/" TargetMode="External"/><Relationship Id="rId2177" Type="http://schemas.openxmlformats.org/officeDocument/2006/relationships/hyperlink" Target="https://mem.gob.gt/que-hacemos/area-energetica/publicaciones/estadisticas/balance-energetico/" TargetMode="External"/><Relationship Id="rId2178" Type="http://schemas.openxmlformats.org/officeDocument/2006/relationships/hyperlink" Target="https://mem.gob.gt/que-hacemos/area-energetica/publicaciones/estadisticas/balance-energetico/" TargetMode="External"/><Relationship Id="rId2179" Type="http://schemas.openxmlformats.org/officeDocument/2006/relationships/hyperlink" Target="https://mem.gob.gt/que-hacemos/area-energetica/publicaciones/estadisticas/balance-energetico/" TargetMode="External"/><Relationship Id="rId2180" Type="http://schemas.openxmlformats.org/officeDocument/2006/relationships/hyperlink" Target="https://mem.gob.gt/que-hacemos/area-energetica/publicaciones/estadisticas/balance-energetico/" TargetMode="External"/><Relationship Id="rId2181" Type="http://schemas.openxmlformats.org/officeDocument/2006/relationships/hyperlink" Target="https://mem.gob.gt/que-hacemos/area-energetica/publicaciones/estadisticas/balance-energetico/" TargetMode="External"/><Relationship Id="rId2182" Type="http://schemas.openxmlformats.org/officeDocument/2006/relationships/hyperlink" Target="https://mem.gob.gt/que-hacemos/area-energetica/publicaciones/estadisticas/balance-energetico/" TargetMode="External"/><Relationship Id="rId2183" Type="http://schemas.openxmlformats.org/officeDocument/2006/relationships/hyperlink" Target="https://mem.gob.gt/que-hacemos/area-energetica/publicaciones/estadisticas/balance-energetico/" TargetMode="External"/><Relationship Id="rId2184" Type="http://schemas.openxmlformats.org/officeDocument/2006/relationships/hyperlink" Target="https://mem.gob.gt/que-hacemos/area-energetica/publicaciones/estadisticas/balance-energetico/" TargetMode="External"/><Relationship Id="rId2185" Type="http://schemas.openxmlformats.org/officeDocument/2006/relationships/hyperlink" Target="https://mem.gob.gt/que-hacemos/area-energetica/publicaciones/estadisticas/balance-energetico/" TargetMode="External"/><Relationship Id="rId2186" Type="http://schemas.openxmlformats.org/officeDocument/2006/relationships/hyperlink" Target="https://mem.gob.gt/que-hacemos/area-energetica/publicaciones/estadisticas/balance-energetico/" TargetMode="External"/><Relationship Id="rId2187" Type="http://schemas.openxmlformats.org/officeDocument/2006/relationships/hyperlink" Target="https://mem.gob.gt/que-hacemos/area-energetica/publicaciones/estadisticas/balance-energetico/" TargetMode="External"/><Relationship Id="rId2188" Type="http://schemas.openxmlformats.org/officeDocument/2006/relationships/hyperlink" Target="https://mem.gob.gt/que-hacemos/area-energetica/publicaciones/estadisticas/balance-energetico/" TargetMode="External"/><Relationship Id="rId2189" Type="http://schemas.openxmlformats.org/officeDocument/2006/relationships/hyperlink" Target="https://mem.gob.gt/que-hacemos/area-energetica/publicaciones/estadisticas/balance-energetico/" TargetMode="External"/><Relationship Id="rId2190" Type="http://schemas.openxmlformats.org/officeDocument/2006/relationships/hyperlink" Target="https://mem.gob.gt/que-hacemos/area-energetica/publicaciones/estadisticas/balance-energetico/" TargetMode="External"/><Relationship Id="rId2191" Type="http://schemas.openxmlformats.org/officeDocument/2006/relationships/hyperlink" Target="https://mem.gob.gt/que-hacemos/area-energetica/publicaciones/estadisticas/balance-energetico/" TargetMode="External"/><Relationship Id="rId2192" Type="http://schemas.openxmlformats.org/officeDocument/2006/relationships/hyperlink" Target="https://mem.gob.gt/que-hacemos/area-energetica/publicaciones/estadisticas/balance-energetico/" TargetMode="External"/><Relationship Id="rId2193" Type="http://schemas.openxmlformats.org/officeDocument/2006/relationships/hyperlink" Target="https://mem.gob.gt/que-hacemos/area-energetica/publicaciones/estadisticas/balance-energetico/" TargetMode="External"/><Relationship Id="rId2194" Type="http://schemas.openxmlformats.org/officeDocument/2006/relationships/hyperlink" Target="https://mem.gob.gt/que-hacemos/area-energetica/publicaciones/estadisticas/balance-energetico/" TargetMode="External"/><Relationship Id="rId2195" Type="http://schemas.openxmlformats.org/officeDocument/2006/relationships/hyperlink" Target="https://mem.gob.gt/que-hacemos/area-energetica/publicaciones/estadisticas/balance-energetico/" TargetMode="External"/><Relationship Id="rId2196" Type="http://schemas.openxmlformats.org/officeDocument/2006/relationships/hyperlink" Target="https://mem.gob.gt/que-hacemos/area-energetica/publicaciones/estadisticas/balance-energetico/" TargetMode="External"/><Relationship Id="rId2197" Type="http://schemas.openxmlformats.org/officeDocument/2006/relationships/hyperlink" Target="https://mem.gob.gt/que-hacemos/area-energetica/publicaciones/estadisticas/balance-energetico/" TargetMode="External"/><Relationship Id="rId2198" Type="http://schemas.openxmlformats.org/officeDocument/2006/relationships/hyperlink" Target="https://mem.gob.gt/que-hacemos/area-energetica/publicaciones/estadisticas/balance-energetico/" TargetMode="External"/><Relationship Id="rId2199" Type="http://schemas.openxmlformats.org/officeDocument/2006/relationships/hyperlink" Target="https://mem.gob.gt/que-hacemos/area-energetica/publicaciones/estadisticas/balance-energetico/" TargetMode="External"/><Relationship Id="rId2200" Type="http://schemas.openxmlformats.org/officeDocument/2006/relationships/hyperlink" Target="https://mem.gob.gt/que-hacemos/area-energetica/publicaciones/estadisticas/balance-energetico/" TargetMode="External"/><Relationship Id="rId2201" Type="http://schemas.openxmlformats.org/officeDocument/2006/relationships/hyperlink" Target="https://mem.gob.gt/que-hacemos/area-energetica/publicaciones/estadisticas/balance-energetico/" TargetMode="External"/><Relationship Id="rId2202" Type="http://schemas.openxmlformats.org/officeDocument/2006/relationships/hyperlink" Target="https://mem.gob.gt/que-hacemos/area-energetica/publicaciones/estadisticas/balance-energetico/" TargetMode="External"/><Relationship Id="rId2203" Type="http://schemas.openxmlformats.org/officeDocument/2006/relationships/hyperlink" Target="https://mem.gob.gt/que-hacemos/area-energetica/publicaciones/estadisticas/balance-energetico/" TargetMode="External"/><Relationship Id="rId2204" Type="http://schemas.openxmlformats.org/officeDocument/2006/relationships/hyperlink" Target="https://mem.gob.gt/que-hacemos/area-energetica/publicaciones/estadisticas/balance-energetico/" TargetMode="External"/><Relationship Id="rId2205" Type="http://schemas.openxmlformats.org/officeDocument/2006/relationships/hyperlink" Target="https://mem.gob.gt/que-hacemos/area-energetica/publicaciones/estadisticas/balance-energetico/" TargetMode="External"/><Relationship Id="rId2206" Type="http://schemas.openxmlformats.org/officeDocument/2006/relationships/hyperlink" Target="https://mem.gob.gt/que-hacemos/area-energetica/publicaciones/estadisticas/balance-energetico/" TargetMode="External"/><Relationship Id="rId2207" Type="http://schemas.openxmlformats.org/officeDocument/2006/relationships/hyperlink" Target="https://mem.gob.gt/que-hacemos/area-energetica/publicaciones/estadisticas/balance-energetico/" TargetMode="External"/><Relationship Id="rId2208" Type="http://schemas.openxmlformats.org/officeDocument/2006/relationships/hyperlink" Target="https://mem.gob.gt/que-hacemos/area-energetica/publicaciones/estadisticas/balance-energetico/" TargetMode="External"/><Relationship Id="rId2209" Type="http://schemas.openxmlformats.org/officeDocument/2006/relationships/hyperlink" Target="https://mem.gob.gt/que-hacemos/area-energetica/publicaciones/estadisticas/balance-energetico/" TargetMode="External"/><Relationship Id="rId2210" Type="http://schemas.openxmlformats.org/officeDocument/2006/relationships/hyperlink" Target="https://mem.gob.gt/que-hacemos/area-energetica/publicaciones/estadisticas/balance-energetico/" TargetMode="External"/><Relationship Id="rId2211" Type="http://schemas.openxmlformats.org/officeDocument/2006/relationships/hyperlink" Target="https://mem.gob.gt/que-hacemos/area-energetica/publicaciones/estadisticas/balance-energetico/" TargetMode="External"/><Relationship Id="rId2212" Type="http://schemas.openxmlformats.org/officeDocument/2006/relationships/hyperlink" Target="https://mem.gob.gt/que-hacemos/area-energetica/publicaciones/estadisticas/balance-energetico/" TargetMode="External"/><Relationship Id="rId2213" Type="http://schemas.openxmlformats.org/officeDocument/2006/relationships/hyperlink" Target="https://mem.gob.gt/que-hacemos/area-energetica/publicaciones/estadisticas/balance-energetico/" TargetMode="External"/><Relationship Id="rId2214" Type="http://schemas.openxmlformats.org/officeDocument/2006/relationships/hyperlink" Target="https://mem.gob.gt/que-hacemos/area-energetica/publicaciones/estadisticas/balance-energetico/" TargetMode="External"/><Relationship Id="rId2215" Type="http://schemas.openxmlformats.org/officeDocument/2006/relationships/hyperlink" Target="https://mem.gob.gt/que-hacemos/area-energetica/publicaciones/estadisticas/balance-energetico/" TargetMode="External"/><Relationship Id="rId2216" Type="http://schemas.openxmlformats.org/officeDocument/2006/relationships/hyperlink" Target="https://mem.gob.gt/que-hacemos/area-energetica/publicaciones/estadisticas/balance-energetico/" TargetMode="External"/><Relationship Id="rId2217" Type="http://schemas.openxmlformats.org/officeDocument/2006/relationships/hyperlink" Target="https://mem.gob.gt/que-hacemos/area-energetica/publicaciones/estadisticas/balance-energetico/" TargetMode="External"/><Relationship Id="rId2218" Type="http://schemas.openxmlformats.org/officeDocument/2006/relationships/hyperlink" Target="https://mem.gob.gt/que-hacemos/area-energetica/publicaciones/estadisticas/balance-energetico/" TargetMode="External"/><Relationship Id="rId2219" Type="http://schemas.openxmlformats.org/officeDocument/2006/relationships/hyperlink" Target="https://mem.gob.gt/que-hacemos/area-energetica/publicaciones/estadisticas/balance-energetico/" TargetMode="External"/><Relationship Id="rId2220" Type="http://schemas.openxmlformats.org/officeDocument/2006/relationships/hyperlink" Target="https://mem.gob.gt/que-hacemos/area-energetica/publicaciones/estadisticas/balance-energetico/" TargetMode="External"/><Relationship Id="rId2221" Type="http://schemas.openxmlformats.org/officeDocument/2006/relationships/hyperlink" Target="https://mem.gob.gt/que-hacemos/area-energetica/publicaciones/estadisticas/balance-energetico/" TargetMode="External"/><Relationship Id="rId2222" Type="http://schemas.openxmlformats.org/officeDocument/2006/relationships/hyperlink" Target="https://mem.gob.gt/que-hacemos/area-energetica/publicaciones/estadisticas/balance-energetico/" TargetMode="External"/><Relationship Id="rId2223" Type="http://schemas.openxmlformats.org/officeDocument/2006/relationships/hyperlink" Target="https://mem.gob.gt/que-hacemos/area-energetica/publicaciones/estadisticas/balance-energetico/" TargetMode="External"/><Relationship Id="rId2224" Type="http://schemas.openxmlformats.org/officeDocument/2006/relationships/hyperlink" Target="https://mem.gob.gt/que-hacemos/area-energetica/publicaciones/estadisticas/balance-energetico/" TargetMode="External"/><Relationship Id="rId2225" Type="http://schemas.openxmlformats.org/officeDocument/2006/relationships/hyperlink" Target="https://mem.gob.gt/que-hacemos/area-energetica/publicaciones/estadisticas/balance-energetico/" TargetMode="External"/><Relationship Id="rId2226" Type="http://schemas.openxmlformats.org/officeDocument/2006/relationships/hyperlink" Target="https://mem.gob.gt/que-hacemos/area-energetica/publicaciones/estadisticas/balance-energetico/" TargetMode="External"/><Relationship Id="rId2227" Type="http://schemas.openxmlformats.org/officeDocument/2006/relationships/hyperlink" Target="https://mem.gob.gt/que-hacemos/area-energetica/publicaciones/estadisticas/balance-energetico/" TargetMode="External"/><Relationship Id="rId2228" Type="http://schemas.openxmlformats.org/officeDocument/2006/relationships/hyperlink" Target="https://mem.gob.gt/que-hacemos/area-energetica/publicaciones/estadisticas/balance-energetico/" TargetMode="External"/><Relationship Id="rId2229" Type="http://schemas.openxmlformats.org/officeDocument/2006/relationships/hyperlink" Target="https://mem.gob.gt/que-hacemos/area-energetica/publicaciones/estadisticas/balance-energetico/" TargetMode="External"/><Relationship Id="rId2230" Type="http://schemas.openxmlformats.org/officeDocument/2006/relationships/hyperlink" Target="https://mem.gob.gt/que-hacemos/area-energetica/publicaciones/estadisticas/balance-energetico/" TargetMode="External"/><Relationship Id="rId2231" Type="http://schemas.openxmlformats.org/officeDocument/2006/relationships/hyperlink" Target="https://mem.gob.gt/que-hacemos/area-energetica/publicaciones/estadisticas/balance-energetico/" TargetMode="External"/><Relationship Id="rId2232" Type="http://schemas.openxmlformats.org/officeDocument/2006/relationships/hyperlink" Target="https://mem.gob.gt/que-hacemos/area-energetica/publicaciones/estadisticas/balance-energetico/" TargetMode="External"/><Relationship Id="rId2233" Type="http://schemas.openxmlformats.org/officeDocument/2006/relationships/hyperlink" Target="https://mem.gob.gt/que-hacemos/area-energetica/publicaciones/estadisticas/balance-energetico/" TargetMode="External"/><Relationship Id="rId2234" Type="http://schemas.openxmlformats.org/officeDocument/2006/relationships/hyperlink" Target="https://mem.gob.gt/que-hacemos/area-energetica/publicaciones/estadisticas/balance-energetico/" TargetMode="External"/><Relationship Id="rId2235" Type="http://schemas.openxmlformats.org/officeDocument/2006/relationships/hyperlink" Target="https://mem.gob.gt/que-hacemos/area-energetica/publicaciones/estadisticas/balance-energetico/" TargetMode="External"/><Relationship Id="rId2236" Type="http://schemas.openxmlformats.org/officeDocument/2006/relationships/hyperlink" Target="https://mem.gob.gt/que-hacemos/area-energetica/publicaciones/estadisticas/balance-energetico/" TargetMode="External"/><Relationship Id="rId2237" Type="http://schemas.openxmlformats.org/officeDocument/2006/relationships/hyperlink" Target="https://mem.gob.gt/que-hacemos/area-energetica/publicaciones/estadisticas/balance-energetico/" TargetMode="External"/><Relationship Id="rId2238" Type="http://schemas.openxmlformats.org/officeDocument/2006/relationships/hyperlink" Target="https://mem.gob.gt/que-hacemos/area-energetica/publicaciones/estadisticas/balance-energetico/" TargetMode="External"/><Relationship Id="rId2239" Type="http://schemas.openxmlformats.org/officeDocument/2006/relationships/hyperlink" Target="https://mem.gob.gt/que-hacemos/area-energetica/publicaciones/estadisticas/balance-energetico/" TargetMode="External"/><Relationship Id="rId2240" Type="http://schemas.openxmlformats.org/officeDocument/2006/relationships/hyperlink" Target="https://mem.gob.gt/que-hacemos/area-energetica/publicaciones/estadisticas/balance-energetico/" TargetMode="External"/><Relationship Id="rId2241" Type="http://schemas.openxmlformats.org/officeDocument/2006/relationships/hyperlink" Target="https://mem.gob.gt/que-hacemos/area-energetica/publicaciones/estadisticas/balance-energetico/" TargetMode="External"/><Relationship Id="rId2242" Type="http://schemas.openxmlformats.org/officeDocument/2006/relationships/hyperlink" Target="https://mem.gob.gt/que-hacemos/area-energetica/publicaciones/estadisticas/balance-energetico/" TargetMode="External"/><Relationship Id="rId2243" Type="http://schemas.openxmlformats.org/officeDocument/2006/relationships/hyperlink" Target="https://mem.gob.gt/que-hacemos/area-energetica/publicaciones/estadisticas/balance-energetico/" TargetMode="External"/><Relationship Id="rId2244" Type="http://schemas.openxmlformats.org/officeDocument/2006/relationships/hyperlink" Target="https://mem.gob.gt/que-hacemos/area-energetica/publicaciones/estadisticas/balance-energetico/" TargetMode="External"/><Relationship Id="rId2245" Type="http://schemas.openxmlformats.org/officeDocument/2006/relationships/hyperlink" Target="https://mem.gob.gt/que-hacemos/area-energetica/publicaciones/estadisticas/balance-energetico/" TargetMode="External"/><Relationship Id="rId2246" Type="http://schemas.openxmlformats.org/officeDocument/2006/relationships/hyperlink" Target="https://mem.gob.gt/que-hacemos/area-energetica/publicaciones/estadisticas/balance-energetico/" TargetMode="External"/><Relationship Id="rId2247" Type="http://schemas.openxmlformats.org/officeDocument/2006/relationships/hyperlink" Target="https://mem.gob.gt/que-hacemos/area-energetica/publicaciones/estadisticas/balance-energetico/" TargetMode="External"/><Relationship Id="rId2248" Type="http://schemas.openxmlformats.org/officeDocument/2006/relationships/hyperlink" Target="https://mem.gob.gt/que-hacemos/area-energetica/publicaciones/estadisticas/balance-energetico/" TargetMode="External"/><Relationship Id="rId2249" Type="http://schemas.openxmlformats.org/officeDocument/2006/relationships/hyperlink" Target="https://mem.gob.gt/que-hacemos/area-energetica/publicaciones/estadisticas/balance-energetico/" TargetMode="External"/><Relationship Id="rId2250" Type="http://schemas.openxmlformats.org/officeDocument/2006/relationships/hyperlink" Target="https://mem.gob.gt/que-hacemos/area-energetica/publicaciones/estadisticas/balance-energetico/" TargetMode="External"/><Relationship Id="rId2251" Type="http://schemas.openxmlformats.org/officeDocument/2006/relationships/hyperlink" Target="https://mem.gob.gt/que-hacemos/area-energetica/publicaciones/estadisticas/balance-energetico/" TargetMode="External"/><Relationship Id="rId2252" Type="http://schemas.openxmlformats.org/officeDocument/2006/relationships/hyperlink" Target="https://mem.gob.gt/que-hacemos/area-energetica/publicaciones/estadisticas/balance-energetico/" TargetMode="External"/><Relationship Id="rId2253" Type="http://schemas.openxmlformats.org/officeDocument/2006/relationships/hyperlink" Target="https://mem.gob.gt/que-hacemos/area-energetica/publicaciones/estadisticas/balance-energetico/" TargetMode="External"/><Relationship Id="rId2254" Type="http://schemas.openxmlformats.org/officeDocument/2006/relationships/hyperlink" Target="https://mem.gob.gt/que-hacemos/area-energetica/publicaciones/estadisticas/balance-energetico/" TargetMode="External"/><Relationship Id="rId2255" Type="http://schemas.openxmlformats.org/officeDocument/2006/relationships/hyperlink" Target="https://mem.gob.gt/que-hacemos/area-energetica/publicaciones/estadisticas/balance-energetico/" TargetMode="External"/><Relationship Id="rId2256" Type="http://schemas.openxmlformats.org/officeDocument/2006/relationships/hyperlink" Target="https://mem.gob.gt/que-hacemos/area-energetica/publicaciones/estadisticas/balance-energetico/" TargetMode="External"/><Relationship Id="rId2257" Type="http://schemas.openxmlformats.org/officeDocument/2006/relationships/hyperlink" Target="https://mem.gob.gt/que-hacemos/area-energetica/publicaciones/estadisticas/balance-energetico/" TargetMode="External"/><Relationship Id="rId2258" Type="http://schemas.openxmlformats.org/officeDocument/2006/relationships/hyperlink" Target="https://mem.gob.gt/que-hacemos/area-energetica/publicaciones/estadisticas/balance-energetico/" TargetMode="External"/><Relationship Id="rId2259" Type="http://schemas.openxmlformats.org/officeDocument/2006/relationships/hyperlink" Target="https://mem.gob.gt/que-hacemos/area-energetica/publicaciones/estadisticas/balance-energetico/" TargetMode="External"/><Relationship Id="rId2260" Type="http://schemas.openxmlformats.org/officeDocument/2006/relationships/hyperlink" Target="https://mem.gob.gt/que-hacemos/area-energetica/publicaciones/estadisticas/balance-energetico/" TargetMode="External"/><Relationship Id="rId2261" Type="http://schemas.openxmlformats.org/officeDocument/2006/relationships/hyperlink" Target="https://mem.gob.gt/que-hacemos/area-energetica/publicaciones/estadisticas/balance-energetico/" TargetMode="External"/><Relationship Id="rId2262" Type="http://schemas.openxmlformats.org/officeDocument/2006/relationships/hyperlink" Target="https://mem.gob.gt/que-hacemos/area-energetica/publicaciones/estadisticas/balance-energetico/" TargetMode="External"/><Relationship Id="rId2263" Type="http://schemas.openxmlformats.org/officeDocument/2006/relationships/hyperlink" Target="https://mem.gob.gt/que-hacemos/area-energetica/publicaciones/estadisticas/balance-energetico/" TargetMode="External"/><Relationship Id="rId2264" Type="http://schemas.openxmlformats.org/officeDocument/2006/relationships/hyperlink" Target="https://mem.gob.gt/que-hacemos/area-energetica/publicaciones/estadisticas/balance-energetico/" TargetMode="External"/><Relationship Id="rId2265" Type="http://schemas.openxmlformats.org/officeDocument/2006/relationships/hyperlink" Target="https://mem.gob.gt/que-hacemos/area-energetica/publicaciones/estadisticas/balance-energetico/" TargetMode="External"/><Relationship Id="rId2266" Type="http://schemas.openxmlformats.org/officeDocument/2006/relationships/hyperlink" Target="https://mem.gob.gt/que-hacemos/area-energetica/publicaciones/estadisticas/balance-energetico/" TargetMode="External"/><Relationship Id="rId2267" Type="http://schemas.openxmlformats.org/officeDocument/2006/relationships/hyperlink" Target="https://mem.gob.gt/que-hacemos/area-energetica/publicaciones/estadisticas/balance-energetico/" TargetMode="External"/><Relationship Id="rId2268" Type="http://schemas.openxmlformats.org/officeDocument/2006/relationships/hyperlink" Target="https://mem.gob.gt/que-hacemos/area-energetica/publicaciones/estadisticas/balance-energetico/" TargetMode="External"/><Relationship Id="rId2269" Type="http://schemas.openxmlformats.org/officeDocument/2006/relationships/hyperlink" Target="https://mem.gob.gt/que-hacemos/area-energetica/publicaciones/estadisticas/balance-energetico/" TargetMode="External"/><Relationship Id="rId2270" Type="http://schemas.openxmlformats.org/officeDocument/2006/relationships/hyperlink" Target="https://mem.gob.gt/que-hacemos/area-energetica/publicaciones/estadisticas/balance-energetico/" TargetMode="External"/><Relationship Id="rId2271" Type="http://schemas.openxmlformats.org/officeDocument/2006/relationships/hyperlink" Target="https://mem.gob.gt/que-hacemos/area-energetica/publicaciones/estadisticas/balance-energetico/" TargetMode="External"/><Relationship Id="rId2272" Type="http://schemas.openxmlformats.org/officeDocument/2006/relationships/hyperlink" Target="https://mem.gob.gt/que-hacemos/area-energetica/publicaciones/estadisticas/balance-energetico/" TargetMode="External"/><Relationship Id="rId2273" Type="http://schemas.openxmlformats.org/officeDocument/2006/relationships/hyperlink" Target="https://mem.gob.gt/que-hacemos/area-energetica/publicaciones/estadisticas/balance-energetico/" TargetMode="External"/><Relationship Id="rId2274" Type="http://schemas.openxmlformats.org/officeDocument/2006/relationships/hyperlink" Target="https://mem.gob.gt/que-hacemos/area-energetica/publicaciones/estadisticas/balance-energetico/" TargetMode="External"/><Relationship Id="rId2275" Type="http://schemas.openxmlformats.org/officeDocument/2006/relationships/hyperlink" Target="https://mem.gob.gt/que-hacemos/area-energetica/publicaciones/estadisticas/balance-energetico/" TargetMode="External"/><Relationship Id="rId2276" Type="http://schemas.openxmlformats.org/officeDocument/2006/relationships/hyperlink" Target="https://mem.gob.gt/que-hacemos/area-energetica/publicaciones/estadisticas/balance-energetico/" TargetMode="External"/><Relationship Id="rId2277" Type="http://schemas.openxmlformats.org/officeDocument/2006/relationships/hyperlink" Target="https://mem.gob.gt/que-hacemos/area-energetica/publicaciones/estadisticas/balance-energetico/" TargetMode="External"/><Relationship Id="rId2278" Type="http://schemas.openxmlformats.org/officeDocument/2006/relationships/hyperlink" Target="https://mem.gob.gt/que-hacemos/area-energetica/publicaciones/estadisticas/balance-energetico/" TargetMode="External"/><Relationship Id="rId2279" Type="http://schemas.openxmlformats.org/officeDocument/2006/relationships/hyperlink" Target="https://mem.gob.gt/que-hacemos/area-energetica/publicaciones/estadisticas/balance-energetico/" TargetMode="External"/><Relationship Id="rId2280" Type="http://schemas.openxmlformats.org/officeDocument/2006/relationships/hyperlink" Target="https://mem.gob.gt/que-hacemos/area-energetica/publicaciones/estadisticas/balance-energetico/" TargetMode="External"/><Relationship Id="rId2281" Type="http://schemas.openxmlformats.org/officeDocument/2006/relationships/hyperlink" Target="https://mem.gob.gt/que-hacemos/area-energetica/publicaciones/estadisticas/balance-energetico/" TargetMode="External"/><Relationship Id="rId2282" Type="http://schemas.openxmlformats.org/officeDocument/2006/relationships/hyperlink" Target="https://mem.gob.gt/que-hacemos/area-energetica/publicaciones/estadisticas/balance-energetico/" TargetMode="External"/><Relationship Id="rId2283" Type="http://schemas.openxmlformats.org/officeDocument/2006/relationships/hyperlink" Target="https://mem.gob.gt/que-hacemos/area-energetica/publicaciones/estadisticas/balance-energetico/" TargetMode="External"/><Relationship Id="rId2284" Type="http://schemas.openxmlformats.org/officeDocument/2006/relationships/hyperlink" Target="https://mem.gob.gt/que-hacemos/area-energetica/publicaciones/estadisticas/balance-energetico/" TargetMode="External"/><Relationship Id="rId2285" Type="http://schemas.openxmlformats.org/officeDocument/2006/relationships/hyperlink" Target="https://mem.gob.gt/que-hacemos/area-energetica/publicaciones/estadisticas/balance-energetico/" TargetMode="External"/><Relationship Id="rId2286" Type="http://schemas.openxmlformats.org/officeDocument/2006/relationships/hyperlink" Target="https://mem.gob.gt/que-hacemos/area-energetica/publicaciones/estadisticas/balance-energetico/" TargetMode="External"/><Relationship Id="rId2287" Type="http://schemas.openxmlformats.org/officeDocument/2006/relationships/hyperlink" Target="https://mem.gob.gt/que-hacemos/area-energetica/publicaciones/estadisticas/balance-energetico/" TargetMode="External"/><Relationship Id="rId2288" Type="http://schemas.openxmlformats.org/officeDocument/2006/relationships/hyperlink" Target="https://mem.gob.gt/que-hacemos/area-energetica/publicaciones/estadisticas/balance-energetico/" TargetMode="External"/><Relationship Id="rId2289" Type="http://schemas.openxmlformats.org/officeDocument/2006/relationships/hyperlink" Target="https://mem.gob.gt/que-hacemos/area-energetica/publicaciones/estadisticas/balance-energetico/" TargetMode="External"/><Relationship Id="rId2290" Type="http://schemas.openxmlformats.org/officeDocument/2006/relationships/hyperlink" Target="https://mem.gob.gt/que-hacemos/area-energetica/publicaciones/estadisticas/balance-energetico/" TargetMode="External"/><Relationship Id="rId2291" Type="http://schemas.openxmlformats.org/officeDocument/2006/relationships/hyperlink" Target="https://mem.gob.gt/que-hacemos/area-energetica/publicaciones/estadisticas/balance-energetico/" TargetMode="External"/><Relationship Id="rId2292" Type="http://schemas.openxmlformats.org/officeDocument/2006/relationships/hyperlink" Target="https://mem.gob.gt/que-hacemos/area-energetica/publicaciones/estadisticas/balance-energetico/" TargetMode="External"/><Relationship Id="rId2293" Type="http://schemas.openxmlformats.org/officeDocument/2006/relationships/hyperlink" Target="https://mem.gob.gt/que-hacemos/area-energetica/publicaciones/estadisticas/balance-energetico/" TargetMode="External"/><Relationship Id="rId2294" Type="http://schemas.openxmlformats.org/officeDocument/2006/relationships/hyperlink" Target="https://mem.gob.gt/que-hacemos/area-energetica/publicaciones/estadisticas/balance-energetico/" TargetMode="External"/><Relationship Id="rId2295" Type="http://schemas.openxmlformats.org/officeDocument/2006/relationships/hyperlink" Target="https://mem.gob.gt/que-hacemos/area-energetica/publicaciones/estadisticas/balance-energetico/" TargetMode="External"/><Relationship Id="rId2296" Type="http://schemas.openxmlformats.org/officeDocument/2006/relationships/hyperlink" Target="https://mem.gob.gt/que-hacemos/area-energetica/publicaciones/estadisticas/balance-energetico/" TargetMode="External"/><Relationship Id="rId2297" Type="http://schemas.openxmlformats.org/officeDocument/2006/relationships/hyperlink" Target="https://mem.gob.gt/que-hacemos/area-energetica/publicaciones/estadisticas/balance-energetico/" TargetMode="External"/><Relationship Id="rId2298" Type="http://schemas.openxmlformats.org/officeDocument/2006/relationships/hyperlink" Target="https://mem.gob.gt/que-hacemos/area-energetica/publicaciones/estadisticas/balance-energetico/" TargetMode="External"/><Relationship Id="rId2299" Type="http://schemas.openxmlformats.org/officeDocument/2006/relationships/hyperlink" Target="https://mem.gob.gt/que-hacemos/area-energetica/publicaciones/estadisticas/balance-energetico/" TargetMode="External"/><Relationship Id="rId2300" Type="http://schemas.openxmlformats.org/officeDocument/2006/relationships/hyperlink" Target="https://mem.gob.gt/que-hacemos/area-energetica/publicaciones/estadisticas/balance-energetico/" TargetMode="External"/><Relationship Id="rId2301" Type="http://schemas.openxmlformats.org/officeDocument/2006/relationships/hyperlink" Target="https://mem.gob.gt/que-hacemos/area-energetica/publicaciones/estadisticas/balance-energetico/" TargetMode="External"/><Relationship Id="rId2302" Type="http://schemas.openxmlformats.org/officeDocument/2006/relationships/hyperlink" Target="https://mem.gob.gt/que-hacemos/area-energetica/publicaciones/estadisticas/balance-energetico/" TargetMode="External"/><Relationship Id="rId2303" Type="http://schemas.openxmlformats.org/officeDocument/2006/relationships/hyperlink" Target="https://mem.gob.gt/que-hacemos/area-energetica/publicaciones/estadisticas/balance-energetico/" TargetMode="External"/><Relationship Id="rId2304" Type="http://schemas.openxmlformats.org/officeDocument/2006/relationships/hyperlink" Target="https://mem.gob.gt/que-hacemos/area-energetica/publicaciones/estadisticas/balance-energetico/" TargetMode="External"/><Relationship Id="rId2305" Type="http://schemas.openxmlformats.org/officeDocument/2006/relationships/hyperlink" Target="https://mem.gob.gt/que-hacemos/area-energetica/publicaciones/estadisticas/balance-energetico/" TargetMode="External"/><Relationship Id="rId2306" Type="http://schemas.openxmlformats.org/officeDocument/2006/relationships/hyperlink" Target="https://mem.gob.gt/que-hacemos/area-energetica/publicaciones/estadisticas/balance-energetico/" TargetMode="External"/><Relationship Id="rId2307" Type="http://schemas.openxmlformats.org/officeDocument/2006/relationships/hyperlink" Target="https://mem.gob.gt/que-hacemos/area-energetica/publicaciones/estadisticas/balance-energetico/" TargetMode="External"/><Relationship Id="rId2308" Type="http://schemas.openxmlformats.org/officeDocument/2006/relationships/hyperlink" Target="https://mem.gob.gt/que-hacemos/area-energetica/publicaciones/estadisticas/balance-energetico/" TargetMode="External"/><Relationship Id="rId2309" Type="http://schemas.openxmlformats.org/officeDocument/2006/relationships/hyperlink" Target="https://mem.gob.gt/que-hacemos/area-energetica/publicaciones/estadisticas/balance-energetico/" TargetMode="External"/><Relationship Id="rId2310" Type="http://schemas.openxmlformats.org/officeDocument/2006/relationships/hyperlink" Target="https://mem.gob.gt/que-hacemos/area-energetica/publicaciones/estadisticas/balance-energetico/" TargetMode="External"/><Relationship Id="rId2311" Type="http://schemas.openxmlformats.org/officeDocument/2006/relationships/hyperlink" Target="https://mem.gob.gt/que-hacemos/area-energetica/publicaciones/estadisticas/balance-energetico/" TargetMode="External"/><Relationship Id="rId2312" Type="http://schemas.openxmlformats.org/officeDocument/2006/relationships/hyperlink" Target="https://mem.gob.gt/que-hacemos/area-energetica/publicaciones/estadisticas/balance-energetico/" TargetMode="External"/><Relationship Id="rId2313" Type="http://schemas.openxmlformats.org/officeDocument/2006/relationships/hyperlink" Target="https://mem.gob.gt/que-hacemos/area-energetica/publicaciones/estadisticas/balance-energetico/" TargetMode="External"/><Relationship Id="rId2314" Type="http://schemas.openxmlformats.org/officeDocument/2006/relationships/hyperlink" Target="https://mem.gob.gt/que-hacemos/area-energetica/publicaciones/estadisticas/balance-energetico/" TargetMode="External"/><Relationship Id="rId2315" Type="http://schemas.openxmlformats.org/officeDocument/2006/relationships/hyperlink" Target="https://mem.gob.gt/que-hacemos/area-energetica/publicaciones/estadisticas/balance-energetico/" TargetMode="External"/><Relationship Id="rId2316" Type="http://schemas.openxmlformats.org/officeDocument/2006/relationships/hyperlink" Target="https://mem.gob.gt/que-hacemos/area-energetica/publicaciones/estadisticas/balance-energetico/" TargetMode="External"/><Relationship Id="rId2317" Type="http://schemas.openxmlformats.org/officeDocument/2006/relationships/hyperlink" Target="https://mem.gob.gt/que-hacemos/area-energetica/publicaciones/estadisticas/balance-energetico/" TargetMode="External"/><Relationship Id="rId2318" Type="http://schemas.openxmlformats.org/officeDocument/2006/relationships/hyperlink" Target="https://mem.gob.gt/que-hacemos/area-energetica/publicaciones/estadisticas/balance-energetico/" TargetMode="External"/><Relationship Id="rId2319" Type="http://schemas.openxmlformats.org/officeDocument/2006/relationships/hyperlink" Target="https://mem.gob.gt/que-hacemos/area-energetica/publicaciones/estadisticas/balance-energetico/" TargetMode="External"/><Relationship Id="rId2320" Type="http://schemas.openxmlformats.org/officeDocument/2006/relationships/hyperlink" Target="https://mem.gob.gt/que-hacemos/area-energetica/publicaciones/estadisticas/balance-energetico/" TargetMode="External"/><Relationship Id="rId2321" Type="http://schemas.openxmlformats.org/officeDocument/2006/relationships/hyperlink" Target="https://mem.gob.gt/que-hacemos/area-energetica/publicaciones/estadisticas/balance-energetico/" TargetMode="External"/><Relationship Id="rId2322" Type="http://schemas.openxmlformats.org/officeDocument/2006/relationships/hyperlink" Target="https://mem.gob.gt/que-hacemos/area-energetica/publicaciones/estadisticas/balance-energetico/" TargetMode="External"/><Relationship Id="rId2323" Type="http://schemas.openxmlformats.org/officeDocument/2006/relationships/hyperlink" Target="https://mem.gob.gt/que-hacemos/area-energetica/publicaciones/estadisticas/balance-energetico/" TargetMode="External"/><Relationship Id="rId2324" Type="http://schemas.openxmlformats.org/officeDocument/2006/relationships/hyperlink" Target="https://mem.gob.gt/que-hacemos/area-energetica/publicaciones/estadisticas/balance-energetico/" TargetMode="External"/><Relationship Id="rId2325" Type="http://schemas.openxmlformats.org/officeDocument/2006/relationships/hyperlink" Target="https://mem.gob.gt/que-hacemos/area-energetica/publicaciones/estadisticas/balance-energetico/" TargetMode="External"/><Relationship Id="rId2326" Type="http://schemas.openxmlformats.org/officeDocument/2006/relationships/hyperlink" Target="https://mem.gob.gt/que-hacemos/area-energetica/publicaciones/estadisticas/balance-energetico/" TargetMode="External"/><Relationship Id="rId2327" Type="http://schemas.openxmlformats.org/officeDocument/2006/relationships/hyperlink" Target="https://mem.gob.gt/que-hacemos/area-energetica/publicaciones/estadisticas/balance-energetico/" TargetMode="External"/><Relationship Id="rId2328" Type="http://schemas.openxmlformats.org/officeDocument/2006/relationships/hyperlink" Target="https://mem.gob.gt/que-hacemos/area-energetica/publicaciones/estadisticas/balance-energetico/" TargetMode="External"/><Relationship Id="rId2329" Type="http://schemas.openxmlformats.org/officeDocument/2006/relationships/hyperlink" Target="https://mem.gob.gt/que-hacemos/area-energetica/publicaciones/estadisticas/balance-energetico/" TargetMode="External"/><Relationship Id="rId2330" Type="http://schemas.openxmlformats.org/officeDocument/2006/relationships/hyperlink" Target="https://mem.gob.gt/que-hacemos/area-energetica/publicaciones/estadisticas/balance-energetico/" TargetMode="External"/><Relationship Id="rId2331" Type="http://schemas.openxmlformats.org/officeDocument/2006/relationships/hyperlink" Target="https://mem.gob.gt/que-hacemos/area-energetica/publicaciones/estadisticas/balance-energetico/" TargetMode="External"/><Relationship Id="rId2332" Type="http://schemas.openxmlformats.org/officeDocument/2006/relationships/hyperlink" Target="https://mem.gob.gt/que-hacemos/area-energetica/publicaciones/estadisticas/balance-energetico/" TargetMode="External"/><Relationship Id="rId2333" Type="http://schemas.openxmlformats.org/officeDocument/2006/relationships/hyperlink" Target="https://mem.gob.gt/que-hacemos/area-energetica/publicaciones/estadisticas/balance-energetico/" TargetMode="External"/><Relationship Id="rId2334" Type="http://schemas.openxmlformats.org/officeDocument/2006/relationships/hyperlink" Target="https://mem.gob.gt/que-hacemos/area-energetica/publicaciones/estadisticas/balance-energetico/" TargetMode="External"/><Relationship Id="rId2335" Type="http://schemas.openxmlformats.org/officeDocument/2006/relationships/hyperlink" Target="https://mem.gob.gt/que-hacemos/area-energetica/publicaciones/estadisticas/balance-energetico/" TargetMode="External"/><Relationship Id="rId2336" Type="http://schemas.openxmlformats.org/officeDocument/2006/relationships/hyperlink" Target="https://mem.gob.gt/que-hacemos/area-energetica/publicaciones/estadisticas/balance-energetico/" TargetMode="External"/><Relationship Id="rId2337" Type="http://schemas.openxmlformats.org/officeDocument/2006/relationships/hyperlink" Target="https://mem.gob.gt/que-hacemos/area-energetica/publicaciones/estadisticas/balance-energetico/" TargetMode="External"/><Relationship Id="rId2338" Type="http://schemas.openxmlformats.org/officeDocument/2006/relationships/hyperlink" Target="https://mem.gob.gt/que-hacemos/area-energetica/publicaciones/estadisticas/balance-energetico/" TargetMode="External"/><Relationship Id="rId2339" Type="http://schemas.openxmlformats.org/officeDocument/2006/relationships/hyperlink" Target="https://mem.gob.gt/que-hacemos/area-energetica/publicaciones/estadisticas/balance-energetico/" TargetMode="External"/><Relationship Id="rId2340" Type="http://schemas.openxmlformats.org/officeDocument/2006/relationships/hyperlink" Target="https://mem.gob.gt/que-hacemos/area-energetica/publicaciones/estadisticas/balance-energetico/" TargetMode="External"/><Relationship Id="rId2341" Type="http://schemas.openxmlformats.org/officeDocument/2006/relationships/hyperlink" Target="https://mem.gob.gt/que-hacemos/area-energetica/publicaciones/estadisticas/balance-energetico/" TargetMode="External"/><Relationship Id="rId2342" Type="http://schemas.openxmlformats.org/officeDocument/2006/relationships/hyperlink" Target="https://mem.gob.gt/que-hacemos/area-energetica/publicaciones/estadisticas/balance-energetico/" TargetMode="External"/><Relationship Id="rId2343" Type="http://schemas.openxmlformats.org/officeDocument/2006/relationships/hyperlink" Target="https://mem.gob.gt/que-hacemos/area-energetica/publicaciones/estadisticas/balance-energetico/" TargetMode="External"/><Relationship Id="rId2344" Type="http://schemas.openxmlformats.org/officeDocument/2006/relationships/hyperlink" Target="https://mem.gob.gt/que-hacemos/area-energetica/publicaciones/estadisticas/balance-energetico/" TargetMode="External"/><Relationship Id="rId2345" Type="http://schemas.openxmlformats.org/officeDocument/2006/relationships/hyperlink" Target="https://mem.gob.gt/que-hacemos/area-energetica/publicaciones/estadisticas/balance-energetico/" TargetMode="External"/><Relationship Id="rId2346" Type="http://schemas.openxmlformats.org/officeDocument/2006/relationships/hyperlink" Target="https://mem.gob.gt/que-hacemos/area-energetica/publicaciones/estadisticas/balance-energetico/" TargetMode="External"/><Relationship Id="rId2347" Type="http://schemas.openxmlformats.org/officeDocument/2006/relationships/hyperlink" Target="https://mem.gob.gt/que-hacemos/area-energetica/publicaciones/estadisticas/balance-energetico/" TargetMode="External"/><Relationship Id="rId2348" Type="http://schemas.openxmlformats.org/officeDocument/2006/relationships/hyperlink" Target="https://mem.gob.gt/que-hacemos/area-energetica/publicaciones/estadisticas/balance-energetico/" TargetMode="External"/><Relationship Id="rId2349" Type="http://schemas.openxmlformats.org/officeDocument/2006/relationships/hyperlink" Target="https://mem.gob.gt/que-hacemos/area-energetica/publicaciones/estadisticas/balance-energetico/" TargetMode="External"/><Relationship Id="rId2350" Type="http://schemas.openxmlformats.org/officeDocument/2006/relationships/hyperlink" Target="https://mem.gob.gt/que-hacemos/area-energetica/publicaciones/estadisticas/balance-energetico/" TargetMode="External"/><Relationship Id="rId2351" Type="http://schemas.openxmlformats.org/officeDocument/2006/relationships/hyperlink" Target="https://mem.gob.gt/que-hacemos/area-energetica/publicaciones/estadisticas/balance-energetico/" TargetMode="External"/><Relationship Id="rId2352" Type="http://schemas.openxmlformats.org/officeDocument/2006/relationships/hyperlink" Target="https://mem.gob.gt/que-hacemos/area-energetica/publicaciones/estadisticas/balance-energetico/" TargetMode="External"/><Relationship Id="rId2353" Type="http://schemas.openxmlformats.org/officeDocument/2006/relationships/hyperlink" Target="https://mem.gob.gt/que-hacemos/area-energetica/publicaciones/estadisticas/balance-energetico/" TargetMode="External"/><Relationship Id="rId2354" Type="http://schemas.openxmlformats.org/officeDocument/2006/relationships/hyperlink" Target="https://mem.gob.gt/que-hacemos/area-energetica/publicaciones/estadisticas/balance-energetico/" TargetMode="External"/><Relationship Id="rId2355" Type="http://schemas.openxmlformats.org/officeDocument/2006/relationships/hyperlink" Target="https://mem.gob.gt/que-hacemos/area-energetica/publicaciones/estadisticas/balance-energetico/" TargetMode="External"/><Relationship Id="rId2356" Type="http://schemas.openxmlformats.org/officeDocument/2006/relationships/hyperlink" Target="https://mem.gob.gt/que-hacemos/area-energetica/publicaciones/estadisticas/balance-energetico/" TargetMode="External"/><Relationship Id="rId2357" Type="http://schemas.openxmlformats.org/officeDocument/2006/relationships/hyperlink" Target="https://mem.gob.gt/que-hacemos/area-energetica/publicaciones/estadisticas/balance-energetico/" TargetMode="External"/><Relationship Id="rId2358" Type="http://schemas.openxmlformats.org/officeDocument/2006/relationships/hyperlink" Target="https://mem.gob.gt/que-hacemos/area-energetica/publicaciones/estadisticas/balance-energetico/" TargetMode="External"/><Relationship Id="rId2359" Type="http://schemas.openxmlformats.org/officeDocument/2006/relationships/hyperlink" Target="https://mem.gob.gt/que-hacemos/area-energetica/publicaciones/estadisticas/balance-energetico/" TargetMode="External"/><Relationship Id="rId2360" Type="http://schemas.openxmlformats.org/officeDocument/2006/relationships/hyperlink" Target="https://mem.gob.gt/que-hacemos/area-energetica/publicaciones/estadisticas/balance-energetico/" TargetMode="External"/><Relationship Id="rId2361" Type="http://schemas.openxmlformats.org/officeDocument/2006/relationships/hyperlink" Target="https://mem.gob.gt/que-hacemos/area-energetica/publicaciones/estadisticas/balance-energetico/" TargetMode="External"/><Relationship Id="rId2362" Type="http://schemas.openxmlformats.org/officeDocument/2006/relationships/hyperlink" Target="https://mem.gob.gt/que-hacemos/area-energetica/publicaciones/estadisticas/balance-energetico/" TargetMode="External"/><Relationship Id="rId2363" Type="http://schemas.openxmlformats.org/officeDocument/2006/relationships/hyperlink" Target="https://mem.gob.gt/que-hacemos/area-energetica/publicaciones/estadisticas/balance-energetico/" TargetMode="External"/><Relationship Id="rId2364" Type="http://schemas.openxmlformats.org/officeDocument/2006/relationships/hyperlink" Target="https://mem.gob.gt/que-hacemos/area-energetica/publicaciones/estadisticas/balance-energetico/" TargetMode="External"/><Relationship Id="rId2365" Type="http://schemas.openxmlformats.org/officeDocument/2006/relationships/hyperlink" Target="https://mem.gob.gt/que-hacemos/area-energetica/publicaciones/estadisticas/balance-energetico/" TargetMode="External"/><Relationship Id="rId2366" Type="http://schemas.openxmlformats.org/officeDocument/2006/relationships/hyperlink" Target="https://mem.gob.gt/que-hacemos/area-energetica/publicaciones/estadisticas/balance-energetico/" TargetMode="External"/><Relationship Id="rId2367" Type="http://schemas.openxmlformats.org/officeDocument/2006/relationships/hyperlink" Target="https://mem.gob.gt/que-hacemos/area-energetica/publicaciones/estadisticas/balance-energetico/" TargetMode="External"/><Relationship Id="rId2368" Type="http://schemas.openxmlformats.org/officeDocument/2006/relationships/hyperlink" Target="https://mem.gob.gt/que-hacemos/area-energetica/publicaciones/estadisticas/balance-energetico/" TargetMode="External"/><Relationship Id="rId2369" Type="http://schemas.openxmlformats.org/officeDocument/2006/relationships/hyperlink" Target="https://mem.gob.gt/que-hacemos/area-energetica/publicaciones/estadisticas/balance-energetico/" TargetMode="External"/><Relationship Id="rId2370" Type="http://schemas.openxmlformats.org/officeDocument/2006/relationships/hyperlink" Target="https://mem.gob.gt/que-hacemos/area-energetica/publicaciones/estadisticas/balance-energetico/" TargetMode="External"/><Relationship Id="rId2371" Type="http://schemas.openxmlformats.org/officeDocument/2006/relationships/hyperlink" Target="https://mem.gob.gt/que-hacemos/area-energetica/publicaciones/estadisticas/balance-energetico/" TargetMode="External"/><Relationship Id="rId2372" Type="http://schemas.openxmlformats.org/officeDocument/2006/relationships/hyperlink" Target="https://mem.gob.gt/que-hacemos/area-energetica/publicaciones/estadisticas/balance-energetico/" TargetMode="External"/><Relationship Id="rId2373" Type="http://schemas.openxmlformats.org/officeDocument/2006/relationships/hyperlink" Target="https://mem.gob.gt/que-hacemos/area-energetica/publicaciones/estadisticas/balance-energetico/" TargetMode="External"/><Relationship Id="rId2374" Type="http://schemas.openxmlformats.org/officeDocument/2006/relationships/hyperlink" Target="https://mem.gob.gt/que-hacemos/area-energetica/publicaciones/estadisticas/balance-energetico/" TargetMode="External"/><Relationship Id="rId2375" Type="http://schemas.openxmlformats.org/officeDocument/2006/relationships/hyperlink" Target="https://mem.gob.gt/que-hacemos/area-energetica/publicaciones/estadisticas/balance-energetico/" TargetMode="External"/><Relationship Id="rId2376" Type="http://schemas.openxmlformats.org/officeDocument/2006/relationships/hyperlink" Target="https://mem.gob.gt/que-hacemos/area-energetica/publicaciones/estadisticas/balance-energetico/" TargetMode="External"/><Relationship Id="rId2377" Type="http://schemas.openxmlformats.org/officeDocument/2006/relationships/hyperlink" Target="https://mem.gob.gt/que-hacemos/area-energetica/publicaciones/estadisticas/balance-energetico/" TargetMode="External"/><Relationship Id="rId2378" Type="http://schemas.openxmlformats.org/officeDocument/2006/relationships/hyperlink" Target="https://mem.gob.gt/que-hacemos/area-energetica/publicaciones/estadisticas/balance-energetico/" TargetMode="External"/><Relationship Id="rId2379" Type="http://schemas.openxmlformats.org/officeDocument/2006/relationships/hyperlink" Target="https://mem.gob.gt/que-hacemos/area-energetica/publicaciones/estadisticas/balance-energetico/" TargetMode="External"/><Relationship Id="rId2380" Type="http://schemas.openxmlformats.org/officeDocument/2006/relationships/hyperlink" Target="https://mem.gob.gt/que-hacemos/area-energetica/publicaciones/estadisticas/balance-energetico/" TargetMode="External"/><Relationship Id="rId2381" Type="http://schemas.openxmlformats.org/officeDocument/2006/relationships/hyperlink" Target="https://mem.gob.gt/que-hacemos/area-energetica/publicaciones/estadisticas/balance-energetico/" TargetMode="External"/><Relationship Id="rId2382" Type="http://schemas.openxmlformats.org/officeDocument/2006/relationships/hyperlink" Target="https://mem.gob.gt/que-hacemos/area-energetica/publicaciones/estadisticas/balance-energetico/" TargetMode="External"/><Relationship Id="rId2383" Type="http://schemas.openxmlformats.org/officeDocument/2006/relationships/hyperlink" Target="https://mem.gob.gt/que-hacemos/area-energetica/publicaciones/estadisticas/balance-energetico/" TargetMode="External"/><Relationship Id="rId2384" Type="http://schemas.openxmlformats.org/officeDocument/2006/relationships/hyperlink" Target="https://mem.gob.gt/que-hacemos/area-energetica/publicaciones/estadisticas/balance-energetico/" TargetMode="External"/><Relationship Id="rId2385" Type="http://schemas.openxmlformats.org/officeDocument/2006/relationships/hyperlink" Target="https://mem.gob.gt/que-hacemos/area-energetica/publicaciones/estadisticas/balance-energetico/" TargetMode="External"/><Relationship Id="rId2386" Type="http://schemas.openxmlformats.org/officeDocument/2006/relationships/hyperlink" Target="https://mem.gob.gt/que-hacemos/area-energetica/publicaciones/estadisticas/balance-energetico/" TargetMode="External"/><Relationship Id="rId2387" Type="http://schemas.openxmlformats.org/officeDocument/2006/relationships/hyperlink" Target="https://mem.gob.gt/que-hacemos/area-energetica/publicaciones/estadisticas/balance-energetico/" TargetMode="External"/><Relationship Id="rId2388" Type="http://schemas.openxmlformats.org/officeDocument/2006/relationships/hyperlink" Target="https://unfccc.int/reports?f%5B0%5D=corporate_author%3A206" TargetMode="External"/><Relationship Id="rId2389" Type="http://schemas.openxmlformats.org/officeDocument/2006/relationships/hyperlink" Target="https://unfccc.int/reports?f%5B0%5D=corporate_author%3A206" TargetMode="External"/><Relationship Id="rId2390" Type="http://schemas.openxmlformats.org/officeDocument/2006/relationships/hyperlink" Target="https://unfccc.int/reports?f%5B0%5D=corporate_author%3A206" TargetMode="External"/><Relationship Id="rId2391" Type="http://schemas.openxmlformats.org/officeDocument/2006/relationships/hyperlink" Target="https://unfccc.int/reports?f%5B0%5D=corporate_author%3A206" TargetMode="External"/><Relationship Id="rId2392" Type="http://schemas.openxmlformats.org/officeDocument/2006/relationships/hyperlink" Target="https://unfccc.int/reports?f%5B0%5D=corporate_author%3A206" TargetMode="External"/><Relationship Id="rId2393" Type="http://schemas.openxmlformats.org/officeDocument/2006/relationships/hyperlink" Target="https://unfccc.int/reports?f%5B0%5D=corporate_author%3A206" TargetMode="External"/><Relationship Id="rId2394" Type="http://schemas.openxmlformats.org/officeDocument/2006/relationships/hyperlink" Target="https://unfccc.int/reports?f%5B0%5D=corporate_author%3A206" TargetMode="External"/><Relationship Id="rId2395" Type="http://schemas.openxmlformats.org/officeDocument/2006/relationships/hyperlink" Target="https://unfccc.int/reports?f%5B0%5D=corporate_author%3A206" TargetMode="External"/><Relationship Id="rId2396" Type="http://schemas.openxmlformats.org/officeDocument/2006/relationships/hyperlink" Target="https://unfccc.int/reports?f%5B0%5D=corporate_author%3A206" TargetMode="External"/><Relationship Id="rId2397" Type="http://schemas.openxmlformats.org/officeDocument/2006/relationships/hyperlink" Target="https://unfccc.int/reports?f%5B0%5D=corporate_author%3A206" TargetMode="External"/><Relationship Id="rId2398" Type="http://schemas.openxmlformats.org/officeDocument/2006/relationships/hyperlink" Target="https://unfccc.int/reports?f%5B0%5D=corporate_author%3A206" TargetMode="External"/><Relationship Id="rId2399" Type="http://schemas.openxmlformats.org/officeDocument/2006/relationships/hyperlink" Target="https://unfccc.int/reports?f%5B0%5D=corporate_author%3A206" TargetMode="External"/><Relationship Id="rId2400" Type="http://schemas.openxmlformats.org/officeDocument/2006/relationships/hyperlink" Target="https://unfccc.int/reports?f%5B0%5D=corporate_author%3A206" TargetMode="External"/><Relationship Id="rId2401" Type="http://schemas.openxmlformats.org/officeDocument/2006/relationships/hyperlink" Target="https://unfccc.int/reports?f%5B0%5D=corporate_author%3A206" TargetMode="External"/><Relationship Id="rId2402" Type="http://schemas.openxmlformats.org/officeDocument/2006/relationships/hyperlink" Target="https://unfccc.int/reports?f%5B0%5D=corporate_author%3A206" TargetMode="External"/><Relationship Id="rId2403" Type="http://schemas.openxmlformats.org/officeDocument/2006/relationships/hyperlink" Target="https://unfccc.int/reports?f%5B0%5D=corporate_author%3A206" TargetMode="External"/><Relationship Id="rId2404" Type="http://schemas.openxmlformats.org/officeDocument/2006/relationships/hyperlink" Target="https://unfccc.int/reports?f%5B0%5D=corporate_author%3A206" TargetMode="External"/><Relationship Id="rId2405" Type="http://schemas.openxmlformats.org/officeDocument/2006/relationships/hyperlink" Target="https://unfccc.int/reports?f%5B0%5D=corporate_author%3A206" TargetMode="External"/><Relationship Id="rId2406" Type="http://schemas.openxmlformats.org/officeDocument/2006/relationships/hyperlink" Target="https://unfccc.int/reports?f%5B0%5D=corporate_author%3A206" TargetMode="External"/><Relationship Id="rId2407" Type="http://schemas.openxmlformats.org/officeDocument/2006/relationships/hyperlink" Target="https://unfccc.int/reports?f%5B0%5D=corporate_author%3A206" TargetMode="External"/><Relationship Id="rId2408" Type="http://schemas.openxmlformats.org/officeDocument/2006/relationships/hyperlink" Target="https://unfccc.int/reports?f%5B0%5D=corporate_author%3A206" TargetMode="External"/><Relationship Id="rId2409" Type="http://schemas.openxmlformats.org/officeDocument/2006/relationships/hyperlink" Target="https://unfccc.int/reports?f%5B0%5D=corporate_author%3A206" TargetMode="External"/><Relationship Id="rId2410" Type="http://schemas.openxmlformats.org/officeDocument/2006/relationships/hyperlink" Target="https://unfccc.int/reports?f%5B0%5D=corporate_author%3A206" TargetMode="External"/><Relationship Id="rId2411" Type="http://schemas.openxmlformats.org/officeDocument/2006/relationships/hyperlink" Target="https://unfccc.int/reports?f%5B0%5D=corporate_author%3A206" TargetMode="External"/><Relationship Id="rId2412" Type="http://schemas.openxmlformats.org/officeDocument/2006/relationships/hyperlink" Target="https://unfccc.int/reports?f%5B0%5D=corporate_author%3A206" TargetMode="External"/><Relationship Id="rId2413" Type="http://schemas.openxmlformats.org/officeDocument/2006/relationships/hyperlink" Target="https://unfccc.int/reports?f%5B0%5D=corporate_author%3A206" TargetMode="External"/><Relationship Id="rId2414" Type="http://schemas.openxmlformats.org/officeDocument/2006/relationships/hyperlink" Target="https://unfccc.int/reports?f%5B0%5D=corporate_author%3A206" TargetMode="External"/><Relationship Id="rId2415" Type="http://schemas.openxmlformats.org/officeDocument/2006/relationships/hyperlink" Target="https://unfccc.int/reports?f%5B0%5D=corporate_author%3A206" TargetMode="External"/><Relationship Id="rId2416" Type="http://schemas.openxmlformats.org/officeDocument/2006/relationships/hyperlink" Target="https://unfccc.int/reports?f%5B0%5D=corporate_author%3A206" TargetMode="External"/><Relationship Id="rId2417" Type="http://schemas.openxmlformats.org/officeDocument/2006/relationships/hyperlink" Target="https://unfccc.int/reports?f%5B0%5D=corporate_author%3A206" TargetMode="External"/><Relationship Id="rId2418" Type="http://schemas.openxmlformats.org/officeDocument/2006/relationships/hyperlink" Target="https://unfccc.int/reports?f%5B0%5D=corporate_author%3A206" TargetMode="External"/><Relationship Id="rId2419" Type="http://schemas.openxmlformats.org/officeDocument/2006/relationships/hyperlink" Target="https://unfccc.int/reports?f%5B0%5D=corporate_author%3A206" TargetMode="External"/><Relationship Id="rId2420" Type="http://schemas.openxmlformats.org/officeDocument/2006/relationships/hyperlink" Target="https://unfccc.int/reports?f%5B0%5D=corporate_author%3A206" TargetMode="External"/><Relationship Id="rId2421" Type="http://schemas.openxmlformats.org/officeDocument/2006/relationships/hyperlink" Target="https://unfccc.int/reports?f%5B0%5D=corporate_author%3A206" TargetMode="External"/><Relationship Id="rId2422" Type="http://schemas.openxmlformats.org/officeDocument/2006/relationships/hyperlink" Target="https://unfccc.int/reports?f%5B0%5D=corporate_author%3A206" TargetMode="External"/><Relationship Id="rId2423" Type="http://schemas.openxmlformats.org/officeDocument/2006/relationships/hyperlink" Target="https://unfccc.int/reports?f%5B0%5D=corporate_author%3A206" TargetMode="External"/><Relationship Id="rId2424" Type="http://schemas.openxmlformats.org/officeDocument/2006/relationships/hyperlink" Target="https://unfccc.int/reports?f%5B0%5D=corporate_author%3A206" TargetMode="External"/><Relationship Id="rId2425" Type="http://schemas.openxmlformats.org/officeDocument/2006/relationships/hyperlink" Target="https://unfccc.int/reports?f%5B0%5D=corporate_author%3A206" TargetMode="External"/><Relationship Id="rId2426" Type="http://schemas.openxmlformats.org/officeDocument/2006/relationships/hyperlink" Target="https://unfccc.int/reports?f%5B0%5D=corporate_author%3A206" TargetMode="External"/><Relationship Id="rId2427" Type="http://schemas.openxmlformats.org/officeDocument/2006/relationships/hyperlink" Target="https://unfccc.int/reports?f%5B0%5D=corporate_author%3A206" TargetMode="External"/><Relationship Id="rId2428" Type="http://schemas.openxmlformats.org/officeDocument/2006/relationships/hyperlink" Target="https://unfccc.int/reports?f%5B0%5D=corporate_author%3A206" TargetMode="External"/><Relationship Id="rId2429" Type="http://schemas.openxmlformats.org/officeDocument/2006/relationships/hyperlink" Target="https://unfccc.int/reports?f%5B0%5D=corporate_author%3A206" TargetMode="External"/><Relationship Id="rId2430" Type="http://schemas.openxmlformats.org/officeDocument/2006/relationships/hyperlink" Target="https://unfccc.int/reports?f%5B0%5D=corporate_author%3A206" TargetMode="External"/><Relationship Id="rId2431" Type="http://schemas.openxmlformats.org/officeDocument/2006/relationships/hyperlink" Target="https://unfccc.int/reports?f%5B0%5D=corporate_author%3A206" TargetMode="External"/><Relationship Id="rId2432" Type="http://schemas.openxmlformats.org/officeDocument/2006/relationships/hyperlink" Target="https://unfccc.int/reports?f%5B0%5D=corporate_author%3A206" TargetMode="External"/><Relationship Id="rId2433" Type="http://schemas.openxmlformats.org/officeDocument/2006/relationships/hyperlink" Target="https://unfccc.int/reports?f%5B0%5D=corporate_author%3A206" TargetMode="External"/><Relationship Id="rId2434" Type="http://schemas.openxmlformats.org/officeDocument/2006/relationships/hyperlink" Target="https://unfccc.int/reports?f%5B0%5D=corporate_author%3A206" TargetMode="External"/><Relationship Id="rId2435" Type="http://schemas.openxmlformats.org/officeDocument/2006/relationships/hyperlink" Target="https://unfccc.int/reports?f%5B0%5D=corporate_author%3A206" TargetMode="External"/><Relationship Id="rId2436" Type="http://schemas.openxmlformats.org/officeDocument/2006/relationships/hyperlink" Target="https://unfccc.int/reports?f%5B0%5D=corporate_author%3A206" TargetMode="External"/><Relationship Id="rId2437" Type="http://schemas.openxmlformats.org/officeDocument/2006/relationships/hyperlink" Target="https://unfccc.int/reports?f%5B0%5D=corporate_author%3A206" TargetMode="External"/><Relationship Id="rId2438" Type="http://schemas.openxmlformats.org/officeDocument/2006/relationships/hyperlink" Target="https://unfccc.int/reports?f%5B0%5D=corporate_author%3A206" TargetMode="External"/><Relationship Id="rId2439" Type="http://schemas.openxmlformats.org/officeDocument/2006/relationships/hyperlink" Target="https://unfccc.int/reports?f%5B0%5D=corporate_author%3A206" TargetMode="External"/><Relationship Id="rId2440" Type="http://schemas.openxmlformats.org/officeDocument/2006/relationships/hyperlink" Target="https://unfccc.int/reports?f%5B0%5D=corporate_author%3A206" TargetMode="External"/><Relationship Id="rId2441" Type="http://schemas.openxmlformats.org/officeDocument/2006/relationships/hyperlink" Target="https://unfccc.int/reports?f%5B0%5D=corporate_author%3A206" TargetMode="External"/><Relationship Id="rId2442" Type="http://schemas.openxmlformats.org/officeDocument/2006/relationships/hyperlink" Target="https://unfccc.int/reports?f%5B0%5D=corporate_author%3A206" TargetMode="External"/><Relationship Id="rId2443" Type="http://schemas.openxmlformats.org/officeDocument/2006/relationships/hyperlink" Target="https://banguat.gob.gt/page/producto-interno-bruto-anual" TargetMode="External"/><Relationship Id="rId2444" Type="http://schemas.openxmlformats.org/officeDocument/2006/relationships/hyperlink" Target="https://banguat.gob.gt/page/producto-interno-bruto-anual" TargetMode="External"/><Relationship Id="rId2445" Type="http://schemas.openxmlformats.org/officeDocument/2006/relationships/hyperlink" Target="https://banguat.gob.gt/page/producto-interno-bruto-anual" TargetMode="External"/><Relationship Id="rId2446" Type="http://schemas.openxmlformats.org/officeDocument/2006/relationships/hyperlink" Target="https://banguat.gob.gt/page/producto-interno-bruto-anual" TargetMode="External"/><Relationship Id="rId2447" Type="http://schemas.openxmlformats.org/officeDocument/2006/relationships/hyperlink" Target="https://banguat.gob.gt/page/producto-interno-bruto-anual" TargetMode="External"/><Relationship Id="rId2448" Type="http://schemas.openxmlformats.org/officeDocument/2006/relationships/hyperlink" Target="https://banguat.gob.gt/page/producto-interno-bruto-anual" TargetMode="External"/><Relationship Id="rId2449" Type="http://schemas.openxmlformats.org/officeDocument/2006/relationships/hyperlink" Target="https://banguat.gob.gt/page/producto-interno-bruto-anual" TargetMode="External"/><Relationship Id="rId2450" Type="http://schemas.openxmlformats.org/officeDocument/2006/relationships/hyperlink" Target="https://unfccc.int/reports?f%5B0%5D=corporate_author%3A206" TargetMode="External"/><Relationship Id="rId2451" Type="http://schemas.openxmlformats.org/officeDocument/2006/relationships/hyperlink" Target="https://unfccc.int/reports?f%5B0%5D=corporate_author%3A206" TargetMode="External"/><Relationship Id="rId2452" Type="http://schemas.openxmlformats.org/officeDocument/2006/relationships/hyperlink" Target="https://unfccc.int/reports?f%5B0%5D=corporate_author%3A206" TargetMode="External"/><Relationship Id="rId2453" Type="http://schemas.openxmlformats.org/officeDocument/2006/relationships/hyperlink" Target="https://unfccc.int/reports?f%5B0%5D=corporate_author%3A206" TargetMode="External"/><Relationship Id="rId2454" Type="http://schemas.openxmlformats.org/officeDocument/2006/relationships/hyperlink" Target="https://unfccc.int/reports?f%5B0%5D=corporate_author%3A206" TargetMode="External"/><Relationship Id="rId2455" Type="http://schemas.openxmlformats.org/officeDocument/2006/relationships/hyperlink" Target="https://unfccc.int/reports?f%5B0%5D=corporate_author%3A206" TargetMode="External"/><Relationship Id="rId2456" Type="http://schemas.openxmlformats.org/officeDocument/2006/relationships/hyperlink" Target="https://unfccc.int/reports?f%5B0%5D=corporate_author%3A206" TargetMode="External"/><Relationship Id="rId2457" Type="http://schemas.openxmlformats.org/officeDocument/2006/relationships/hyperlink" Target="https://unfccc.int/reports?f%5B0%5D=corporate_author%3A206" TargetMode="External"/><Relationship Id="rId2458" Type="http://schemas.openxmlformats.org/officeDocument/2006/relationships/hyperlink" Target="https://unfccc.int/reports?f%5B0%5D=corporate_author%3A206" TargetMode="External"/><Relationship Id="rId2459" Type="http://schemas.openxmlformats.org/officeDocument/2006/relationships/hyperlink" Target="https://unfccc.int/reports?f%5B0%5D=corporate_author%3A206" TargetMode="External"/><Relationship Id="rId2460" Type="http://schemas.openxmlformats.org/officeDocument/2006/relationships/hyperlink" Target="https://unfccc.int/reports?f%5B0%5D=corporate_author%3A206" TargetMode="External"/><Relationship Id="rId2461" Type="http://schemas.openxmlformats.org/officeDocument/2006/relationships/hyperlink" Target="https://unfccc.int/reports?f%5B0%5D=corporate_author%3A206" TargetMode="External"/><Relationship Id="rId2462" Type="http://schemas.openxmlformats.org/officeDocument/2006/relationships/hyperlink" Target="https://unfccc.int/reports?f%5B0%5D=corporate_author%3A206" TargetMode="External"/><Relationship Id="rId2463" Type="http://schemas.openxmlformats.org/officeDocument/2006/relationships/hyperlink" Target="https://unfccc.int/reports?f%5B0%5D=corporate_author%3A206" TargetMode="External"/><Relationship Id="rId2464" Type="http://schemas.openxmlformats.org/officeDocument/2006/relationships/hyperlink" Target="https://unfccc.int/reports?f%5B0%5D=corporate_author%3A206" TargetMode="External"/><Relationship Id="rId2465" Type="http://schemas.openxmlformats.org/officeDocument/2006/relationships/hyperlink" Target="https://unfccc.int/reports?f%5B0%5D=corporate_author%3A206" TargetMode="External"/><Relationship Id="rId2466" Type="http://schemas.openxmlformats.org/officeDocument/2006/relationships/hyperlink" Target="https://unfccc.int/reports?f%5B0%5D=corporate_author%3A206" TargetMode="External"/><Relationship Id="rId2467" Type="http://schemas.openxmlformats.org/officeDocument/2006/relationships/hyperlink" Target="https://unfccc.int/reports?f%5B0%5D=corporate_author%3A206" TargetMode="External"/><Relationship Id="rId2468" Type="http://schemas.openxmlformats.org/officeDocument/2006/relationships/hyperlink" Target="https://unfccc.int/reports?f%5B0%5D=corporate_author%3A206" TargetMode="External"/><Relationship Id="rId2469" Type="http://schemas.openxmlformats.org/officeDocument/2006/relationships/hyperlink" Target="https://unfccc.int/reports?f%5B0%5D=corporate_author%3A206" TargetMode="External"/><Relationship Id="rId2470" Type="http://schemas.openxmlformats.org/officeDocument/2006/relationships/hyperlink" Target="https://unfccc.int/reports?f%5B0%5D=corporate_author%3A206" TargetMode="External"/><Relationship Id="rId2471" Type="http://schemas.openxmlformats.org/officeDocument/2006/relationships/hyperlink" Target="https://unfccc.int/reports?f%5B0%5D=corporate_author%3A206" TargetMode="External"/><Relationship Id="rId2472" Type="http://schemas.openxmlformats.org/officeDocument/2006/relationships/hyperlink" Target="https://unfccc.int/reports?f%5B0%5D=corporate_author%3A206" TargetMode="External"/><Relationship Id="rId2473" Type="http://schemas.openxmlformats.org/officeDocument/2006/relationships/hyperlink" Target="https://unfccc.int/reports?f%5B0%5D=corporate_author%3A206" TargetMode="External"/><Relationship Id="rId2474" Type="http://schemas.openxmlformats.org/officeDocument/2006/relationships/hyperlink" Target="https://unfccc.int/reports?f%5B0%5D=corporate_author%3A206" TargetMode="External"/><Relationship Id="rId2475" Type="http://schemas.openxmlformats.org/officeDocument/2006/relationships/hyperlink" Target="https://unfccc.int/reports?f%5B0%5D=corporate_author%3A206" TargetMode="External"/><Relationship Id="rId2476" Type="http://schemas.openxmlformats.org/officeDocument/2006/relationships/hyperlink" Target="https://unfccc.int/reports?f%5B0%5D=corporate_author%3A206" TargetMode="External"/><Relationship Id="rId2477" Type="http://schemas.openxmlformats.org/officeDocument/2006/relationships/hyperlink" Target="https://unfccc.int/reports?f%5B0%5D=corporate_author%3A206" TargetMode="External"/><Relationship Id="rId2478" Type="http://schemas.openxmlformats.org/officeDocument/2006/relationships/hyperlink" Target="https://unfccc.int/reports?f%5B0%5D=corporate_author%3A206" TargetMode="External"/><Relationship Id="rId2479" Type="http://schemas.openxmlformats.org/officeDocument/2006/relationships/hyperlink" Target="https://unfccc.int/reports?f%5B0%5D=corporate_author%3A206" TargetMode="External"/><Relationship Id="rId2480" Type="http://schemas.openxmlformats.org/officeDocument/2006/relationships/hyperlink" Target="https://unfccc.int/reports?f%5B0%5D=corporate_author%3A206" TargetMode="External"/><Relationship Id="rId2481" Type="http://schemas.openxmlformats.org/officeDocument/2006/relationships/hyperlink" Target="https://unfccc.int/reports?f%5B0%5D=corporate_author%3A206" TargetMode="External"/><Relationship Id="rId2482" Type="http://schemas.openxmlformats.org/officeDocument/2006/relationships/hyperlink" Target="https://unfccc.int/reports?f%5B0%5D=corporate_author%3A206" TargetMode="External"/><Relationship Id="rId2483" Type="http://schemas.openxmlformats.org/officeDocument/2006/relationships/hyperlink" Target="https://unfccc.int/reports?f%5B0%5D=corporate_author%3A206" TargetMode="External"/><Relationship Id="rId2484" Type="http://schemas.openxmlformats.org/officeDocument/2006/relationships/hyperlink" Target="https://unfccc.int/reports?f%5B0%5D=corporate_author%3A206" TargetMode="External"/><Relationship Id="rId2485" Type="http://schemas.openxmlformats.org/officeDocument/2006/relationships/hyperlink" Target="https://unfccc.int/reports?f%5B0%5D=corporate_author%3A206" TargetMode="External"/><Relationship Id="rId2486" Type="http://schemas.openxmlformats.org/officeDocument/2006/relationships/hyperlink" Target="https://unfccc.int/reports?f%5B0%5D=corporate_author%3A206" TargetMode="External"/><Relationship Id="rId2487" Type="http://schemas.openxmlformats.org/officeDocument/2006/relationships/hyperlink" Target="https://unfccc.int/reports?f%5B0%5D=corporate_author%3A206" TargetMode="External"/><Relationship Id="rId2488" Type="http://schemas.openxmlformats.org/officeDocument/2006/relationships/hyperlink" Target="https://unfccc.int/reports?f%5B0%5D=corporate_author%3A206" TargetMode="External"/><Relationship Id="rId2489" Type="http://schemas.openxmlformats.org/officeDocument/2006/relationships/hyperlink" Target="https://unfccc.int/reports?f%5B0%5D=corporate_author%3A206" TargetMode="External"/><Relationship Id="rId2490" Type="http://schemas.openxmlformats.org/officeDocument/2006/relationships/hyperlink" Target="https://unfccc.int/reports?f%5B0%5D=corporate_author%3A206" TargetMode="External"/><Relationship Id="rId2491" Type="http://schemas.openxmlformats.org/officeDocument/2006/relationships/hyperlink" Target="https://unfccc.int/reports?f%5B0%5D=corporate_author%3A206" TargetMode="External"/><Relationship Id="rId2492" Type="http://schemas.openxmlformats.org/officeDocument/2006/relationships/hyperlink" Target="https://unfccc.int/reports?f%5B0%5D=corporate_author%3A206" TargetMode="External"/><Relationship Id="rId2493" Type="http://schemas.openxmlformats.org/officeDocument/2006/relationships/hyperlink" Target="https://unfccc.int/reports?f%5B0%5D=corporate_author%3A206" TargetMode="External"/><Relationship Id="rId2494" Type="http://schemas.openxmlformats.org/officeDocument/2006/relationships/hyperlink" Target="https://unfccc.int/reports?f%5B0%5D=corporate_author%3A206" TargetMode="External"/><Relationship Id="rId2495" Type="http://schemas.openxmlformats.org/officeDocument/2006/relationships/hyperlink" Target="https://unfccc.int/reports?f%5B0%5D=corporate_author%3A206" TargetMode="External"/><Relationship Id="rId2496" Type="http://schemas.openxmlformats.org/officeDocument/2006/relationships/hyperlink" Target="https://unfccc.int/reports?f%5B0%5D=corporate_author%3A206" TargetMode="External"/><Relationship Id="rId2497" Type="http://schemas.openxmlformats.org/officeDocument/2006/relationships/hyperlink" Target="https://unfccc.int/reports?f%5B0%5D=corporate_author%3A206" TargetMode="External"/><Relationship Id="rId2498" Type="http://schemas.openxmlformats.org/officeDocument/2006/relationships/hyperlink" Target="https://unfccc.int/reports?f%5B0%5D=corporate_author%3A206" TargetMode="External"/><Relationship Id="rId2499" Type="http://schemas.openxmlformats.org/officeDocument/2006/relationships/hyperlink" Target="https://unfccc.int/reports?f%5B0%5D=corporate_author%3A206" TargetMode="External"/><Relationship Id="rId2500" Type="http://schemas.openxmlformats.org/officeDocument/2006/relationships/hyperlink" Target="https://unfccc.int/reports?f%5B0%5D=corporate_author%3A206" TargetMode="External"/><Relationship Id="rId2501" Type="http://schemas.openxmlformats.org/officeDocument/2006/relationships/hyperlink" Target="https://unfccc.int/reports?f%5B0%5D=corporate_author%3A206" TargetMode="External"/><Relationship Id="rId2502" Type="http://schemas.openxmlformats.org/officeDocument/2006/relationships/hyperlink" Target="https://unfccc.int/reports?f%5B0%5D=corporate_author%3A206" TargetMode="External"/><Relationship Id="rId2503" Type="http://schemas.openxmlformats.org/officeDocument/2006/relationships/hyperlink" Target="https://unfccc.int/reports?f%5B0%5D=corporate_author%3A206" TargetMode="External"/><Relationship Id="rId2504" Type="http://schemas.openxmlformats.org/officeDocument/2006/relationships/hyperlink" Target="https://unfccc.int/reports?f%5B0%5D=corporate_author%3A206" TargetMode="External"/><Relationship Id="rId2505" Type="http://schemas.openxmlformats.org/officeDocument/2006/relationships/hyperlink" Target="https://unfccc.int/reports?f%5B0%5D=corporate_author%3A206" TargetMode="External"/><Relationship Id="rId2506" Type="http://schemas.openxmlformats.org/officeDocument/2006/relationships/hyperlink" Target="https://unfccc.int/reports?f%5B0%5D=corporate_author%3A206" TargetMode="External"/><Relationship Id="rId2507" Type="http://schemas.openxmlformats.org/officeDocument/2006/relationships/hyperlink" Target="https://unfccc.int/reports?f%5B0%5D=corporate_author%3A206" TargetMode="External"/><Relationship Id="rId2508" Type="http://schemas.openxmlformats.org/officeDocument/2006/relationships/hyperlink" Target="https://unfccc.int/reports?f%5B0%5D=corporate_author%3A206" TargetMode="External"/><Relationship Id="rId2509" Type="http://schemas.openxmlformats.org/officeDocument/2006/relationships/hyperlink" Target="https://unfccc.int/reports?f%5B0%5D=corporate_author%3A206" TargetMode="External"/><Relationship Id="rId2510" Type="http://schemas.openxmlformats.org/officeDocument/2006/relationships/hyperlink" Target="https://unfccc.int/reports?f%5B0%5D=corporate_author%3A206" TargetMode="External"/><Relationship Id="rId2511" Type="http://schemas.openxmlformats.org/officeDocument/2006/relationships/hyperlink" Target="https://unfccc.int/reports?f%5B0%5D=corporate_author%3A206" TargetMode="External"/><Relationship Id="rId2512" Type="http://schemas.openxmlformats.org/officeDocument/2006/relationships/hyperlink" Target="https://unfccc.int/reports?f%5B0%5D=corporate_author%3A206" TargetMode="External"/><Relationship Id="rId2513" Type="http://schemas.openxmlformats.org/officeDocument/2006/relationships/hyperlink" Target="https://unfccc.int/reports?f%5B0%5D=corporate_author%3A206" TargetMode="External"/><Relationship Id="rId2514" Type="http://schemas.openxmlformats.org/officeDocument/2006/relationships/hyperlink" Target="https://unfccc.int/reports?f%5B0%5D=corporate_author%3A206" TargetMode="External"/><Relationship Id="rId2515" Type="http://schemas.openxmlformats.org/officeDocument/2006/relationships/hyperlink" Target="https://unfccc.int/reports?f%5B0%5D=corporate_author%3A206" TargetMode="External"/><Relationship Id="rId2516" Type="http://schemas.openxmlformats.org/officeDocument/2006/relationships/hyperlink" Target="https://unfccc.int/reports?f%5B0%5D=corporate_author%3A206" TargetMode="External"/><Relationship Id="rId2517" Type="http://schemas.openxmlformats.org/officeDocument/2006/relationships/hyperlink" Target="https://unfccc.int/reports?f%5B0%5D=corporate_author%3A206" TargetMode="External"/><Relationship Id="rId2518" Type="http://schemas.openxmlformats.org/officeDocument/2006/relationships/hyperlink" Target="https://unfccc.int/reports?f%5B0%5D=corporate_author%3A206" TargetMode="External"/><Relationship Id="rId2519" Type="http://schemas.openxmlformats.org/officeDocument/2006/relationships/hyperlink" Target="https://unfccc.int/reports?f%5B0%5D=corporate_author%3A206" TargetMode="External"/><Relationship Id="rId2520" Type="http://schemas.openxmlformats.org/officeDocument/2006/relationships/hyperlink" Target="https://unfccc.int/reports?f%5B0%5D=corporate_author%3A206" TargetMode="External"/><Relationship Id="rId2521" Type="http://schemas.openxmlformats.org/officeDocument/2006/relationships/hyperlink" Target="https://unfccc.int/reports?f%5B0%5D=corporate_author%3A206" TargetMode="External"/><Relationship Id="rId2522" Type="http://schemas.openxmlformats.org/officeDocument/2006/relationships/hyperlink" Target="https://unfccc.int/reports?f%5B0%5D=corporate_author%3A206" TargetMode="External"/><Relationship Id="rId2523" Type="http://schemas.openxmlformats.org/officeDocument/2006/relationships/hyperlink" Target="https://unfccc.int/reports?f%5B0%5D=corporate_author%3A206" TargetMode="External"/><Relationship Id="rId2524" Type="http://schemas.openxmlformats.org/officeDocument/2006/relationships/hyperlink" Target="https://unfccc.int/reports?f%5B0%5D=corporate_author%3A206" TargetMode="External"/><Relationship Id="rId2525" Type="http://schemas.openxmlformats.org/officeDocument/2006/relationships/hyperlink" Target="https://unfccc.int/reports?f%5B0%5D=corporate_author%3A206" TargetMode="External"/><Relationship Id="rId2526" Type="http://schemas.openxmlformats.org/officeDocument/2006/relationships/hyperlink" Target="https://unfccc.int/reports?f%5B0%5D=corporate_author%3A206" TargetMode="External"/><Relationship Id="rId2527" Type="http://schemas.openxmlformats.org/officeDocument/2006/relationships/hyperlink" Target="https://unfccc.int/reports?f%5B0%5D=corporate_author%3A206" TargetMode="External"/><Relationship Id="rId2528" Type="http://schemas.openxmlformats.org/officeDocument/2006/relationships/hyperlink" Target="https://unfccc.int/reports?f%5B0%5D=corporate_author%3A206" TargetMode="External"/><Relationship Id="rId2529" Type="http://schemas.openxmlformats.org/officeDocument/2006/relationships/hyperlink" Target="https://unfccc.int/reports?f%5B0%5D=corporate_author%3A206" TargetMode="External"/><Relationship Id="rId2530" Type="http://schemas.openxmlformats.org/officeDocument/2006/relationships/hyperlink" Target="https://unfccc.int/reports?f%5B0%5D=corporate_author%3A206" TargetMode="External"/><Relationship Id="rId2531" Type="http://schemas.openxmlformats.org/officeDocument/2006/relationships/hyperlink" Target="https://unfccc.int/reports?f%5B0%5D=corporate_author%3A206" TargetMode="External"/><Relationship Id="rId2532" Type="http://schemas.openxmlformats.org/officeDocument/2006/relationships/hyperlink" Target="https://unfccc.int/reports?f%5B0%5D=corporate_author%3A206" TargetMode="External"/><Relationship Id="rId2533" Type="http://schemas.openxmlformats.org/officeDocument/2006/relationships/hyperlink" Target="https://unfccc.int/reports?f%5B0%5D=corporate_author%3A206" TargetMode="External"/><Relationship Id="rId2534" Type="http://schemas.openxmlformats.org/officeDocument/2006/relationships/hyperlink" Target="https://unfccc.int/reports?f%5B0%5D=corporate_author%3A206" TargetMode="External"/><Relationship Id="rId2535" Type="http://schemas.openxmlformats.org/officeDocument/2006/relationships/hyperlink" Target="https://unfccc.int/reports?f%5B0%5D=corporate_author%3A206" TargetMode="External"/><Relationship Id="rId2536" Type="http://schemas.openxmlformats.org/officeDocument/2006/relationships/hyperlink" Target="https://unfccc.int/reports?f%5B0%5D=corporate_author%3A206" TargetMode="External"/><Relationship Id="rId2537" Type="http://schemas.openxmlformats.org/officeDocument/2006/relationships/hyperlink" Target="https://unfccc.int/reports?f%5B0%5D=corporate_author%3A206" TargetMode="External"/><Relationship Id="rId2538" Type="http://schemas.openxmlformats.org/officeDocument/2006/relationships/hyperlink" Target="https://unfccc.int/reports?f%5B0%5D=corporate_author%3A206" TargetMode="External"/><Relationship Id="rId2539" Type="http://schemas.openxmlformats.org/officeDocument/2006/relationships/hyperlink" Target="https://unfccc.int/reports?f%5B0%5D=corporate_author%3A206" TargetMode="External"/><Relationship Id="rId2540" Type="http://schemas.openxmlformats.org/officeDocument/2006/relationships/hyperlink" Target="https://unfccc.int/reports?f%5B0%5D=corporate_author%3A206" TargetMode="External"/><Relationship Id="rId2541" Type="http://schemas.openxmlformats.org/officeDocument/2006/relationships/hyperlink" Target="https://unfccc.int/reports?f%5B0%5D=corporate_author%3A206" TargetMode="External"/><Relationship Id="rId2542" Type="http://schemas.openxmlformats.org/officeDocument/2006/relationships/hyperlink" Target="https://unfccc.int/reports?f%5B0%5D=corporate_author%3A206" TargetMode="External"/><Relationship Id="rId2543" Type="http://schemas.openxmlformats.org/officeDocument/2006/relationships/hyperlink" Target="https://unfccc.int/reports?f%5B0%5D=corporate_author%3A206" TargetMode="External"/><Relationship Id="rId2544" Type="http://schemas.openxmlformats.org/officeDocument/2006/relationships/hyperlink" Target="https://unfccc.int/reports?f%5B0%5D=corporate_author%3A206" TargetMode="External"/><Relationship Id="rId2545" Type="http://schemas.openxmlformats.org/officeDocument/2006/relationships/hyperlink" Target="https://unfccc.int/reports?f%5B0%5D=corporate_author%3A206" TargetMode="External"/><Relationship Id="rId2546" Type="http://schemas.openxmlformats.org/officeDocument/2006/relationships/hyperlink" Target="https://unfccc.int/reports?f%5B0%5D=corporate_author%3A206" TargetMode="External"/><Relationship Id="rId2547" Type="http://schemas.openxmlformats.org/officeDocument/2006/relationships/hyperlink" Target="https://unfccc.int/reports?f%5B0%5D=corporate_author%3A206" TargetMode="External"/><Relationship Id="rId2548" Type="http://schemas.openxmlformats.org/officeDocument/2006/relationships/hyperlink" Target="https://unfccc.int/reports?f%5B0%5D=corporate_author%3A206" TargetMode="External"/><Relationship Id="rId2549" Type="http://schemas.openxmlformats.org/officeDocument/2006/relationships/hyperlink" Target="https://unfccc.int/reports?f%5B0%5D=corporate_author%3A206" TargetMode="External"/><Relationship Id="rId2550" Type="http://schemas.openxmlformats.org/officeDocument/2006/relationships/hyperlink" Target="https://unfccc.int/reports?f%5B0%5D=corporate_author%3A206" TargetMode="External"/><Relationship Id="rId2551" Type="http://schemas.openxmlformats.org/officeDocument/2006/relationships/hyperlink" Target="https://unfccc.int/reports?f%5B0%5D=corporate_author%3A206" TargetMode="External"/><Relationship Id="rId2552" Type="http://schemas.openxmlformats.org/officeDocument/2006/relationships/hyperlink" Target="https://unfccc.int/reports?f%5B0%5D=corporate_author%3A206" TargetMode="External"/><Relationship Id="rId2553" Type="http://schemas.openxmlformats.org/officeDocument/2006/relationships/hyperlink" Target="https://unfccc.int/reports?f%5B0%5D=corporate_author%3A206" TargetMode="External"/><Relationship Id="rId2554" Type="http://schemas.openxmlformats.org/officeDocument/2006/relationships/hyperlink" Target="https://unfccc.int/reports?f%5B0%5D=corporate_author%3A206" TargetMode="External"/><Relationship Id="rId2555" Type="http://schemas.openxmlformats.org/officeDocument/2006/relationships/hyperlink" Target="https://unfccc.int/reports?f%5B0%5D=corporate_author%3A206" TargetMode="External"/><Relationship Id="rId2556" Type="http://schemas.openxmlformats.org/officeDocument/2006/relationships/hyperlink" Target="https://unfccc.int/reports?f%5B0%5D=corporate_author%3A206" TargetMode="External"/><Relationship Id="rId2557" Type="http://schemas.openxmlformats.org/officeDocument/2006/relationships/hyperlink" Target="https://unfccc.int/reports?f%5B0%5D=corporate_author%3A206" TargetMode="External"/><Relationship Id="rId2558" Type="http://schemas.openxmlformats.org/officeDocument/2006/relationships/hyperlink" Target="https://unfccc.int/reports?f%5B0%5D=corporate_author%3A206" TargetMode="External"/><Relationship Id="rId2559" Type="http://schemas.openxmlformats.org/officeDocument/2006/relationships/hyperlink" Target="https://unfccc.int/reports?f%5B0%5D=corporate_author%3A206" TargetMode="External"/><Relationship Id="rId2560" Type="http://schemas.openxmlformats.org/officeDocument/2006/relationships/hyperlink" Target="https://unfccc.int/reports?f%5B0%5D=corporate_author%3A206" TargetMode="External"/><Relationship Id="rId2561" Type="http://schemas.openxmlformats.org/officeDocument/2006/relationships/hyperlink" Target="https://unfccc.int/reports?f%5B0%5D=corporate_author%3A206" TargetMode="External"/><Relationship Id="rId2562" Type="http://schemas.openxmlformats.org/officeDocument/2006/relationships/hyperlink" Target="https://unfccc.int/reports?f%5B0%5D=corporate_author%3A206" TargetMode="External"/><Relationship Id="rId2563" Type="http://schemas.openxmlformats.org/officeDocument/2006/relationships/hyperlink" Target="https://unfccc.int/reports?f%5B0%5D=corporate_author%3A206" TargetMode="External"/><Relationship Id="rId2564" Type="http://schemas.openxmlformats.org/officeDocument/2006/relationships/hyperlink" Target="https://unfccc.int/reports?f%5B0%5D=corporate_author%3A206" TargetMode="External"/><Relationship Id="rId2565" Type="http://schemas.openxmlformats.org/officeDocument/2006/relationships/hyperlink" Target="https://unfccc.int/reports?f%5B0%5D=corporate_author%3A206" TargetMode="External"/><Relationship Id="rId2566" Type="http://schemas.openxmlformats.org/officeDocument/2006/relationships/hyperlink" Target="https://unfccc.int/reports?f%5B0%5D=corporate_author%3A206" TargetMode="External"/><Relationship Id="rId2567" Type="http://schemas.openxmlformats.org/officeDocument/2006/relationships/hyperlink" Target="https://unfccc.int/reports?f%5B0%5D=corporate_author%3A206" TargetMode="External"/><Relationship Id="rId2568" Type="http://schemas.openxmlformats.org/officeDocument/2006/relationships/hyperlink" Target="https://unfccc.int/reports?f%5B0%5D=corporate_author%3A206" TargetMode="External"/><Relationship Id="rId2569" Type="http://schemas.openxmlformats.org/officeDocument/2006/relationships/hyperlink" Target="https://unfccc.int/reports?f%5B0%5D=corporate_author%3A206" TargetMode="External"/><Relationship Id="rId2570" Type="http://schemas.openxmlformats.org/officeDocument/2006/relationships/hyperlink" Target="https://unfccc.int/reports?f%5B0%5D=corporate_author%3A206" TargetMode="External"/><Relationship Id="rId2571" Type="http://schemas.openxmlformats.org/officeDocument/2006/relationships/hyperlink" Target="https://unfccc.int/reports?f%5B0%5D=corporate_author%3A206" TargetMode="External"/><Relationship Id="rId2572" Type="http://schemas.openxmlformats.org/officeDocument/2006/relationships/hyperlink" Target="https://unfccc.int/reports?f%5B0%5D=corporate_author%3A206" TargetMode="External"/><Relationship Id="rId2573" Type="http://schemas.openxmlformats.org/officeDocument/2006/relationships/hyperlink" Target="https://unfccc.int/reports?f%5B0%5D=corporate_author%3A206" TargetMode="External"/><Relationship Id="rId2574" Type="http://schemas.openxmlformats.org/officeDocument/2006/relationships/hyperlink" Target="https://unfccc.int/reports?f%5B0%5D=corporate_author%3A206" TargetMode="External"/><Relationship Id="rId2575" Type="http://schemas.openxmlformats.org/officeDocument/2006/relationships/hyperlink" Target="https://unfccc.int/reports?f%5B0%5D=corporate_author%3A206" TargetMode="External"/><Relationship Id="rId2576" Type="http://schemas.openxmlformats.org/officeDocument/2006/relationships/hyperlink" Target="https://unfccc.int/reports?f%5B0%5D=corporate_author%3A206" TargetMode="External"/><Relationship Id="rId2577" Type="http://schemas.openxmlformats.org/officeDocument/2006/relationships/hyperlink" Target="https://unfccc.int/reports?f%5B0%5D=corporate_author%3A206" TargetMode="External"/><Relationship Id="rId2578" Type="http://schemas.openxmlformats.org/officeDocument/2006/relationships/hyperlink" Target="https://unfccc.int/reports?f%5B0%5D=corporate_author%3A206" TargetMode="External"/><Relationship Id="rId2579" Type="http://schemas.openxmlformats.org/officeDocument/2006/relationships/hyperlink" Target="https://unfccc.int/reports?f%5B0%5D=corporate_author%3A206" TargetMode="External"/><Relationship Id="rId2580" Type="http://schemas.openxmlformats.org/officeDocument/2006/relationships/hyperlink" Target="https://unfccc.int/reports?f%5B0%5D=corporate_author%3A206" TargetMode="External"/><Relationship Id="rId2581" Type="http://schemas.openxmlformats.org/officeDocument/2006/relationships/hyperlink" Target="https://unfccc.int/reports?f%5B0%5D=corporate_author%3A206" TargetMode="External"/><Relationship Id="rId2582" Type="http://schemas.openxmlformats.org/officeDocument/2006/relationships/hyperlink" Target="https://unfccc.int/reports?f%5B0%5D=corporate_author%3A206" TargetMode="External"/><Relationship Id="rId2583" Type="http://schemas.openxmlformats.org/officeDocument/2006/relationships/hyperlink" Target="https://unfccc.int/reports?f%5B0%5D=corporate_author%3A206" TargetMode="External"/><Relationship Id="rId2584" Type="http://schemas.openxmlformats.org/officeDocument/2006/relationships/hyperlink" Target="https://unfccc.int/reports?f%5B0%5D=corporate_author%3A206" TargetMode="External"/><Relationship Id="rId2585" Type="http://schemas.openxmlformats.org/officeDocument/2006/relationships/hyperlink" Target="https://unfccc.int/reports?f%5B0%5D=corporate_author%3A206" TargetMode="External"/><Relationship Id="rId2586" Type="http://schemas.openxmlformats.org/officeDocument/2006/relationships/hyperlink" Target="https://unfccc.int/reports?f%5B0%5D=corporate_author%3A206" TargetMode="External"/><Relationship Id="rId2587" Type="http://schemas.openxmlformats.org/officeDocument/2006/relationships/hyperlink" Target="https://unfccc.int/reports?f%5B0%5D=corporate_author%3A206" TargetMode="External"/><Relationship Id="rId2588" Type="http://schemas.openxmlformats.org/officeDocument/2006/relationships/hyperlink" Target="https://unfccc.int/reports?f%5B0%5D=corporate_author%3A206" TargetMode="External"/><Relationship Id="rId2589" Type="http://schemas.openxmlformats.org/officeDocument/2006/relationships/hyperlink" Target="https://unfccc.int/reports?f%5B0%5D=corporate_author%3A206" TargetMode="External"/><Relationship Id="rId2590" Type="http://schemas.openxmlformats.org/officeDocument/2006/relationships/hyperlink" Target="https://unfccc.int/reports?f%5B0%5D=corporate_author%3A206" TargetMode="External"/><Relationship Id="rId2591" Type="http://schemas.openxmlformats.org/officeDocument/2006/relationships/hyperlink" Target="https://unfccc.int/reports?f%5B0%5D=corporate_author%3A206" TargetMode="External"/><Relationship Id="rId2592" Type="http://schemas.openxmlformats.org/officeDocument/2006/relationships/hyperlink" Target="https://unfccc.int/reports?f%5B0%5D=corporate_author%3A206" TargetMode="External"/><Relationship Id="rId2593" Type="http://schemas.openxmlformats.org/officeDocument/2006/relationships/hyperlink" Target="https://unfccc.int/reports?f%5B0%5D=corporate_author%3A206" TargetMode="External"/><Relationship Id="rId2594" Type="http://schemas.openxmlformats.org/officeDocument/2006/relationships/hyperlink" Target="https://unfccc.int/reports?f%5B0%5D=corporate_author%3A206" TargetMode="External"/><Relationship Id="rId2595" Type="http://schemas.openxmlformats.org/officeDocument/2006/relationships/hyperlink" Target="https://unfccc.int/reports?f%5B0%5D=corporate_author%3A206" TargetMode="External"/><Relationship Id="rId2596" Type="http://schemas.openxmlformats.org/officeDocument/2006/relationships/hyperlink" Target="https://unfccc.int/reports?f%5B0%5D=corporate_author%3A206" TargetMode="External"/><Relationship Id="rId2597" Type="http://schemas.openxmlformats.org/officeDocument/2006/relationships/hyperlink" Target="https://unfccc.int/reports?f%5B0%5D=corporate_author%3A206" TargetMode="External"/><Relationship Id="rId2598" Type="http://schemas.openxmlformats.org/officeDocument/2006/relationships/hyperlink" Target="https://unfccc.int/reports?f%5B0%5D=corporate_author%3A206" TargetMode="External"/><Relationship Id="rId2599" Type="http://schemas.openxmlformats.org/officeDocument/2006/relationships/hyperlink" Target="https://unfccc.int/reports?f%5B0%5D=corporate_author%3A206" TargetMode="External"/><Relationship Id="rId2600" Type="http://schemas.openxmlformats.org/officeDocument/2006/relationships/hyperlink" Target="https://unfccc.int/reports?f%5B0%5D=corporate_author%3A206" TargetMode="External"/><Relationship Id="rId2601" Type="http://schemas.openxmlformats.org/officeDocument/2006/relationships/hyperlink" Target="https://unfccc.int/reports?f%5B0%5D=corporate_author%3A206" TargetMode="External"/><Relationship Id="rId2602" Type="http://schemas.openxmlformats.org/officeDocument/2006/relationships/hyperlink" Target="https://unfccc.int/reports?f%5B0%5D=corporate_author%3A206" TargetMode="External"/><Relationship Id="rId2603" Type="http://schemas.openxmlformats.org/officeDocument/2006/relationships/hyperlink" Target="https://unfccc.int/reports?f%5B0%5D=corporate_author%3A206" TargetMode="External"/><Relationship Id="rId2604" Type="http://schemas.openxmlformats.org/officeDocument/2006/relationships/hyperlink" Target="https://unfccc.int/reports?f%5B0%5D=corporate_author%3A206" TargetMode="External"/><Relationship Id="rId2605" Type="http://schemas.openxmlformats.org/officeDocument/2006/relationships/hyperlink" Target="https://unfccc.int/reports?f%5B0%5D=corporate_author%3A206" TargetMode="External"/><Relationship Id="rId2606" Type="http://schemas.openxmlformats.org/officeDocument/2006/relationships/hyperlink" Target="https://unfccc.int/reports?f%5B0%5D=corporate_author%3A206" TargetMode="External"/><Relationship Id="rId2607" Type="http://schemas.openxmlformats.org/officeDocument/2006/relationships/hyperlink" Target="https://unfccc.int/reports?f%5B0%5D=corporate_author%3A206" TargetMode="External"/><Relationship Id="rId2608" Type="http://schemas.openxmlformats.org/officeDocument/2006/relationships/hyperlink" Target="https://unfccc.int/reports?f%5B0%5D=corporate_author%3A206" TargetMode="External"/><Relationship Id="rId2609" Type="http://schemas.openxmlformats.org/officeDocument/2006/relationships/hyperlink" Target="https://unfccc.int/reports?f%5B0%5D=corporate_author%3A206" TargetMode="External"/><Relationship Id="rId2610" Type="http://schemas.openxmlformats.org/officeDocument/2006/relationships/hyperlink" Target="https://unfccc.int/reports?f%5B0%5D=corporate_author%3A206" TargetMode="External"/><Relationship Id="rId2611" Type="http://schemas.openxmlformats.org/officeDocument/2006/relationships/hyperlink" Target="https://unfccc.int/reports?f%5B0%5D=corporate_author%3A206" TargetMode="External"/><Relationship Id="rId2612" Type="http://schemas.openxmlformats.org/officeDocument/2006/relationships/hyperlink" Target="https://unfccc.int/reports?f%5B0%5D=corporate_author%3A206" TargetMode="External"/><Relationship Id="rId2613" Type="http://schemas.openxmlformats.org/officeDocument/2006/relationships/hyperlink" Target="https://unfccc.int/reports?f%5B0%5D=corporate_author%3A206" TargetMode="External"/><Relationship Id="rId2614" Type="http://schemas.openxmlformats.org/officeDocument/2006/relationships/hyperlink" Target="https://unfccc.int/reports?f%5B0%5D=corporate_author%3A206" TargetMode="External"/><Relationship Id="rId2615" Type="http://schemas.openxmlformats.org/officeDocument/2006/relationships/hyperlink" Target="https://unfccc.int/reports?f%5B0%5D=corporate_author%3A206" TargetMode="External"/><Relationship Id="rId2616" Type="http://schemas.openxmlformats.org/officeDocument/2006/relationships/hyperlink" Target="https://unfccc.int/reports?f%5B0%5D=corporate_author%3A206" TargetMode="External"/><Relationship Id="rId2617" Type="http://schemas.openxmlformats.org/officeDocument/2006/relationships/hyperlink" Target="https://unfccc.int/reports?f%5B0%5D=corporate_author%3A206" TargetMode="External"/><Relationship Id="rId2618" Type="http://schemas.openxmlformats.org/officeDocument/2006/relationships/hyperlink" Target="https://unfccc.int/reports?f%5B0%5D=corporate_author%3A206" TargetMode="External"/><Relationship Id="rId2619" Type="http://schemas.openxmlformats.org/officeDocument/2006/relationships/hyperlink" Target="https://unfccc.int/reports?f%5B0%5D=corporate_author%3A206" TargetMode="External"/><Relationship Id="rId2620" Type="http://schemas.openxmlformats.org/officeDocument/2006/relationships/hyperlink" Target="https://unfccc.int/reports?f%5B0%5D=corporate_author%3A206" TargetMode="External"/><Relationship Id="rId2621" Type="http://schemas.openxmlformats.org/officeDocument/2006/relationships/hyperlink" Target="https://unfccc.int/reports?f%5B0%5D=corporate_author%3A206" TargetMode="External"/><Relationship Id="rId2622" Type="http://schemas.openxmlformats.org/officeDocument/2006/relationships/hyperlink" Target="https://unfccc.int/reports?f%5B0%5D=corporate_author%3A206" TargetMode="External"/><Relationship Id="rId2623" Type="http://schemas.openxmlformats.org/officeDocument/2006/relationships/hyperlink" Target="https://unfccc.int/reports?f%5B0%5D=corporate_author%3A206" TargetMode="External"/><Relationship Id="rId2624" Type="http://schemas.openxmlformats.org/officeDocument/2006/relationships/hyperlink" Target="https://unfccc.int/reports?f%5B0%5D=corporate_author%3A206" TargetMode="External"/><Relationship Id="rId2625" Type="http://schemas.openxmlformats.org/officeDocument/2006/relationships/hyperlink" Target="https://unfccc.int/reports?f%5B0%5D=corporate_author%3A206" TargetMode="External"/><Relationship Id="rId2626" Type="http://schemas.openxmlformats.org/officeDocument/2006/relationships/hyperlink" Target="https://unfccc.int/reports?f%5B0%5D=corporate_author%3A206" TargetMode="External"/><Relationship Id="rId2627" Type="http://schemas.openxmlformats.org/officeDocument/2006/relationships/hyperlink" Target="https://unfccc.int/reports?f%5B0%5D=corporate_author%3A206" TargetMode="External"/><Relationship Id="rId2628" Type="http://schemas.openxmlformats.org/officeDocument/2006/relationships/hyperlink" Target="https://unfccc.int/reports?f%5B0%5D=corporate_author%3A206" TargetMode="External"/><Relationship Id="rId2629" Type="http://schemas.openxmlformats.org/officeDocument/2006/relationships/hyperlink" Target="https://unfccc.int/reports?f%5B0%5D=corporate_author%3A206" TargetMode="External"/><Relationship Id="rId2630" Type="http://schemas.openxmlformats.org/officeDocument/2006/relationships/hyperlink" Target="https://unfccc.int/reports?f%5B0%5D=corporate_author%3A206" TargetMode="External"/><Relationship Id="rId2631" Type="http://schemas.openxmlformats.org/officeDocument/2006/relationships/hyperlink" Target="https://unfccc.int/reports?f%5B0%5D=corporate_author%3A206" TargetMode="External"/><Relationship Id="rId2632" Type="http://schemas.openxmlformats.org/officeDocument/2006/relationships/hyperlink" Target="https://unfccc.int/reports?f%5B0%5D=corporate_author%3A206" TargetMode="External"/><Relationship Id="rId2633" Type="http://schemas.openxmlformats.org/officeDocument/2006/relationships/hyperlink" Target="https://unfccc.int/reports?f%5B0%5D=corporate_author%3A206" TargetMode="External"/><Relationship Id="rId2634" Type="http://schemas.openxmlformats.org/officeDocument/2006/relationships/hyperlink" Target="https://unfccc.int/reports?f%5B0%5D=corporate_author%3A206" TargetMode="External"/><Relationship Id="rId2635" Type="http://schemas.openxmlformats.org/officeDocument/2006/relationships/hyperlink" Target="https://unfccc.int/reports?f%5B0%5D=corporate_author%3A206" TargetMode="External"/><Relationship Id="rId2636" Type="http://schemas.openxmlformats.org/officeDocument/2006/relationships/hyperlink" Target="https://unfccc.int/reports?f%5B0%5D=corporate_author%3A206" TargetMode="External"/><Relationship Id="rId2637" Type="http://schemas.openxmlformats.org/officeDocument/2006/relationships/hyperlink" Target="https://unfccc.int/reports?f%5B0%5D=corporate_author%3A206" TargetMode="External"/><Relationship Id="rId2638" Type="http://schemas.openxmlformats.org/officeDocument/2006/relationships/hyperlink" Target="https://unfccc.int/reports?f%5B0%5D=corporate_author%3A206" TargetMode="External"/><Relationship Id="rId2639" Type="http://schemas.openxmlformats.org/officeDocument/2006/relationships/hyperlink" Target="https://unfccc.int/reports?f%5B0%5D=corporate_author%3A206" TargetMode="External"/><Relationship Id="rId2640" Type="http://schemas.openxmlformats.org/officeDocument/2006/relationships/hyperlink" Target="https://unfccc.int/reports?f%5B0%5D=corporate_author%3A206" TargetMode="External"/><Relationship Id="rId2641" Type="http://schemas.openxmlformats.org/officeDocument/2006/relationships/hyperlink" Target="https://unfccc.int/reports?f%5B0%5D=corporate_author%3A206" TargetMode="External"/><Relationship Id="rId2642" Type="http://schemas.openxmlformats.org/officeDocument/2006/relationships/hyperlink" Target="https://unfccc.int/reports?f%5B0%5D=corporate_author%3A206" TargetMode="External"/><Relationship Id="rId2643" Type="http://schemas.openxmlformats.org/officeDocument/2006/relationships/hyperlink" Target="https://unfccc.int/reports?f%5B0%5D=corporate_author%3A206" TargetMode="External"/><Relationship Id="rId2644" Type="http://schemas.openxmlformats.org/officeDocument/2006/relationships/hyperlink" Target="https://unfccc.int/reports?f%5B0%5D=corporate_author%3A206" TargetMode="External"/><Relationship Id="rId2645" Type="http://schemas.openxmlformats.org/officeDocument/2006/relationships/hyperlink" Target="https://unfccc.int/reports?f%5B0%5D=corporate_author%3A206" TargetMode="External"/><Relationship Id="rId2646" Type="http://schemas.openxmlformats.org/officeDocument/2006/relationships/hyperlink" Target="https://unfccc.int/reports?f%5B0%5D=corporate_author%3A206" TargetMode="External"/><Relationship Id="rId2647" Type="http://schemas.openxmlformats.org/officeDocument/2006/relationships/hyperlink" Target="https://unfccc.int/reports?f%5B0%5D=corporate_author%3A206" TargetMode="External"/><Relationship Id="rId2648" Type="http://schemas.openxmlformats.org/officeDocument/2006/relationships/hyperlink" Target="https://unfccc.int/reports?f%5B0%5D=corporate_author%3A206" TargetMode="External"/><Relationship Id="rId2649" Type="http://schemas.openxmlformats.org/officeDocument/2006/relationships/hyperlink" Target="https://unfccc.int/reports?f%5B0%5D=corporate_author%3A206" TargetMode="External"/><Relationship Id="rId2650" Type="http://schemas.openxmlformats.org/officeDocument/2006/relationships/hyperlink" Target="https://unfccc.int/reports?f%5B0%5D=corporate_author%3A206" TargetMode="External"/><Relationship Id="rId2651" Type="http://schemas.openxmlformats.org/officeDocument/2006/relationships/hyperlink" Target="https://unfccc.int/reports?f%5B0%5D=corporate_author%3A206" TargetMode="External"/><Relationship Id="rId2652" Type="http://schemas.openxmlformats.org/officeDocument/2006/relationships/hyperlink" Target="https://unfccc.int/reports?f%5B0%5D=corporate_author%3A206" TargetMode="External"/><Relationship Id="rId2653" Type="http://schemas.openxmlformats.org/officeDocument/2006/relationships/hyperlink" Target="https://unfccc.int/reports?f%5B0%5D=corporate_author%3A206" TargetMode="External"/><Relationship Id="rId2654" Type="http://schemas.openxmlformats.org/officeDocument/2006/relationships/hyperlink" Target="https://unfccc.int/reports?f%5B0%5D=corporate_author%3A206" TargetMode="External"/><Relationship Id="rId2655" Type="http://schemas.openxmlformats.org/officeDocument/2006/relationships/hyperlink" Target="https://unfccc.int/reports?f%5B0%5D=corporate_author%3A206" TargetMode="External"/><Relationship Id="rId2656" Type="http://schemas.openxmlformats.org/officeDocument/2006/relationships/hyperlink" Target="https://unfccc.int/reports?f%5B0%5D=corporate_author%3A206" TargetMode="External"/><Relationship Id="rId2657" Type="http://schemas.openxmlformats.org/officeDocument/2006/relationships/hyperlink" Target="https://unfccc.int/reports?f%5B0%5D=corporate_author%3A206" TargetMode="External"/><Relationship Id="rId2658" Type="http://schemas.openxmlformats.org/officeDocument/2006/relationships/hyperlink" Target="https://unfccc.int/reports?f%5B0%5D=corporate_author%3A206" TargetMode="External"/><Relationship Id="rId2659" Type="http://schemas.openxmlformats.org/officeDocument/2006/relationships/hyperlink" Target="https://unfccc.int/reports?f%5B0%5D=corporate_author%3A206" TargetMode="External"/><Relationship Id="rId2660" Type="http://schemas.openxmlformats.org/officeDocument/2006/relationships/hyperlink" Target="https://unfccc.int/reports?f%5B0%5D=corporate_author%3A206" TargetMode="External"/><Relationship Id="rId2661" Type="http://schemas.openxmlformats.org/officeDocument/2006/relationships/hyperlink" Target="https://unfccc.int/reports?f%5B0%5D=corporate_author%3A206" TargetMode="External"/><Relationship Id="rId2662" Type="http://schemas.openxmlformats.org/officeDocument/2006/relationships/hyperlink" Target="https://unfccc.int/reports?f%5B0%5D=corporate_author%3A206" TargetMode="External"/><Relationship Id="rId2663" Type="http://schemas.openxmlformats.org/officeDocument/2006/relationships/hyperlink" Target="https://unfccc.int/reports?f%5B0%5D=corporate_author%3A206" TargetMode="External"/><Relationship Id="rId2664" Type="http://schemas.openxmlformats.org/officeDocument/2006/relationships/hyperlink" Target="https://unfccc.int/reports?f%5B0%5D=corporate_author%3A206" TargetMode="External"/><Relationship Id="rId2665" Type="http://schemas.openxmlformats.org/officeDocument/2006/relationships/hyperlink" Target="https://unfccc.int/reports?f%5B0%5D=corporate_author%3A206" TargetMode="External"/><Relationship Id="rId2666" Type="http://schemas.openxmlformats.org/officeDocument/2006/relationships/hyperlink" Target="https://unfccc.int/reports?f%5B0%5D=corporate_author%3A206" TargetMode="External"/><Relationship Id="rId2667" Type="http://schemas.openxmlformats.org/officeDocument/2006/relationships/hyperlink" Target="https://unfccc.int/reports?f%5B0%5D=corporate_author%3A206" TargetMode="External"/><Relationship Id="rId2668" Type="http://schemas.openxmlformats.org/officeDocument/2006/relationships/hyperlink" Target="https://unfccc.int/reports?f%5B0%5D=corporate_author%3A206" TargetMode="External"/><Relationship Id="rId2669" Type="http://schemas.openxmlformats.org/officeDocument/2006/relationships/hyperlink" Target="https://unfccc.int/reports?f%5B0%5D=corporate_author%3A206" TargetMode="External"/><Relationship Id="rId2670" Type="http://schemas.openxmlformats.org/officeDocument/2006/relationships/hyperlink" Target="https://unfccc.int/reports?f%5B0%5D=corporate_author%3A206" TargetMode="External"/><Relationship Id="rId2671" Type="http://schemas.openxmlformats.org/officeDocument/2006/relationships/hyperlink" Target="https://unfccc.int/reports?f%5B0%5D=corporate_author%3A206" TargetMode="External"/><Relationship Id="rId2672" Type="http://schemas.openxmlformats.org/officeDocument/2006/relationships/hyperlink" Target="https://unfccc.int/reports?f%5B0%5D=corporate_author%3A206" TargetMode="External"/><Relationship Id="rId2673" Type="http://schemas.openxmlformats.org/officeDocument/2006/relationships/hyperlink" Target="https://unfccc.int/reports?f%5B0%5D=corporate_author%3A206" TargetMode="External"/><Relationship Id="rId2674" Type="http://schemas.openxmlformats.org/officeDocument/2006/relationships/hyperlink" Target="https://unfccc.int/reports?f%5B0%5D=corporate_author%3A206" TargetMode="External"/><Relationship Id="rId2675" Type="http://schemas.openxmlformats.org/officeDocument/2006/relationships/hyperlink" Target="https://unfccc.int/reports?f%5B0%5D=corporate_author%3A206" TargetMode="External"/><Relationship Id="rId2676" Type="http://schemas.openxmlformats.org/officeDocument/2006/relationships/hyperlink" Target="https://unfccc.int/reports?f%5B0%5D=corporate_author%3A206" TargetMode="External"/><Relationship Id="rId2677" Type="http://schemas.openxmlformats.org/officeDocument/2006/relationships/hyperlink" Target="https://unfccc.int/reports?f%5B0%5D=corporate_author%3A206" TargetMode="External"/><Relationship Id="rId2678" Type="http://schemas.openxmlformats.org/officeDocument/2006/relationships/hyperlink" Target="https://unfccc.int/reports?f%5B0%5D=corporate_author%3A206" TargetMode="External"/><Relationship Id="rId2679" Type="http://schemas.openxmlformats.org/officeDocument/2006/relationships/hyperlink" Target="https://unfccc.int/reports?f%5B0%5D=corporate_author%3A206" TargetMode="External"/><Relationship Id="rId2680" Type="http://schemas.openxmlformats.org/officeDocument/2006/relationships/hyperlink" Target="https://unfccc.int/reports?f%5B0%5D=corporate_author%3A206" TargetMode="External"/><Relationship Id="rId2681" Type="http://schemas.openxmlformats.org/officeDocument/2006/relationships/hyperlink" Target="https://unfccc.int/reports?f%5B0%5D=corporate_author%3A206" TargetMode="External"/><Relationship Id="rId2682" Type="http://schemas.openxmlformats.org/officeDocument/2006/relationships/hyperlink" Target="https://unfccc.int/reports?f%5B0%5D=corporate_author%3A206" TargetMode="External"/><Relationship Id="rId2683" Type="http://schemas.openxmlformats.org/officeDocument/2006/relationships/hyperlink" Target="https://unfccc.int/reports?f%5B0%5D=corporate_author%3A206" TargetMode="External"/><Relationship Id="rId2684" Type="http://schemas.openxmlformats.org/officeDocument/2006/relationships/hyperlink" Target="https://unfccc.int/reports?f%5B0%5D=corporate_author%3A206" TargetMode="External"/><Relationship Id="rId2685" Type="http://schemas.openxmlformats.org/officeDocument/2006/relationships/hyperlink" Target="https://unfccc.int/reports?f%5B0%5D=corporate_author%3A206" TargetMode="External"/><Relationship Id="rId2686" Type="http://schemas.openxmlformats.org/officeDocument/2006/relationships/hyperlink" Target="https://unfccc.int/reports?f%5B0%5D=corporate_author%3A206" TargetMode="External"/><Relationship Id="rId2687" Type="http://schemas.openxmlformats.org/officeDocument/2006/relationships/hyperlink" Target="https://unfccc.int/reports?f%5B0%5D=corporate_author%3A206" TargetMode="External"/><Relationship Id="rId2688" Type="http://schemas.openxmlformats.org/officeDocument/2006/relationships/hyperlink" Target="https://unfccc.int/reports?f%5B0%5D=corporate_author%3A206" TargetMode="External"/><Relationship Id="rId2689" Type="http://schemas.openxmlformats.org/officeDocument/2006/relationships/hyperlink" Target="https://unfccc.int/reports?f%5B0%5D=corporate_author%3A206" TargetMode="External"/><Relationship Id="rId2690" Type="http://schemas.openxmlformats.org/officeDocument/2006/relationships/hyperlink" Target="https://mem.gob.gt/que-hacemos/area-energetica/publicaciones/estadisticas/balance-energetico/" TargetMode="External"/><Relationship Id="rId2691" Type="http://schemas.openxmlformats.org/officeDocument/2006/relationships/hyperlink" Target="https://www.ipcc.ch/report/ar5/syr/" TargetMode="External"/><Relationship Id="rId2692" Type="http://schemas.openxmlformats.org/officeDocument/2006/relationships/hyperlink" Target="https://www.ipcc.ch/report/ar5/syr/" TargetMode="External"/><Relationship Id="rId2693"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2.71"/>
    <col collapsed="false" customWidth="true" hidden="false" outlineLevel="0" max="2" min="2" style="1" width="52.71"/>
    <col collapsed="false" customWidth="true" hidden="false" outlineLevel="0" max="3" min="3" style="1" width="43.71"/>
  </cols>
  <sheetData>
    <row r="1" customFormat="false" ht="30" hidden="false" customHeight="true" outlineLevel="0" collapsed="false">
      <c r="A1" s="2" t="s">
        <v>0</v>
      </c>
      <c r="B1" s="2"/>
      <c r="C1" s="2"/>
    </row>
    <row r="3" customFormat="false" ht="15" hidden="false" customHeight="false" outlineLevel="0" collapsed="false">
      <c r="A3" s="3" t="s">
        <v>1</v>
      </c>
      <c r="B3" s="4" t="s">
        <v>2</v>
      </c>
    </row>
    <row r="4" customFormat="false" ht="15" hidden="false" customHeight="false" outlineLevel="0" collapsed="false">
      <c r="A4" s="3"/>
      <c r="B4" s="4" t="s">
        <v>3</v>
      </c>
    </row>
    <row r="5" customFormat="false" ht="15" hidden="false" customHeight="false" outlineLevel="0" collapsed="false">
      <c r="A5" s="3"/>
      <c r="B5" s="4" t="s">
        <v>4</v>
      </c>
    </row>
    <row r="6" customFormat="false" ht="15" hidden="false" customHeight="false" outlineLevel="0" collapsed="false">
      <c r="A6" s="3"/>
      <c r="B6" s="4" t="s">
        <v>5</v>
      </c>
    </row>
    <row r="7" customFormat="false" ht="15" hidden="false" customHeight="false" outlineLevel="0" collapsed="false">
      <c r="A7" s="3" t="s">
        <v>6</v>
      </c>
      <c r="B7" s="4" t="s">
        <v>7</v>
      </c>
    </row>
    <row r="8" customFormat="false" ht="15" hidden="false" customHeight="false" outlineLevel="0" collapsed="false">
      <c r="A8" s="5" t="s">
        <v>8</v>
      </c>
      <c r="B8" s="5" t="s">
        <v>9</v>
      </c>
      <c r="C8" s="5" t="s">
        <v>10</v>
      </c>
    </row>
    <row r="9" customFormat="false" ht="15" hidden="false" customHeight="false" outlineLevel="0" collapsed="false">
      <c r="A9" s="4" t="s">
        <v>11</v>
      </c>
      <c r="B9" s="4" t="s">
        <v>12</v>
      </c>
      <c r="C9" s="4" t="s">
        <v>13</v>
      </c>
    </row>
    <row r="10" customFormat="false" ht="15" hidden="false" customHeight="false" outlineLevel="0" collapsed="false">
      <c r="A10" s="4" t="s">
        <v>14</v>
      </c>
      <c r="B10" s="4" t="s">
        <v>15</v>
      </c>
      <c r="C10" s="4" t="s">
        <v>16</v>
      </c>
    </row>
    <row r="11" customFormat="false" ht="15" hidden="false" customHeight="false" outlineLevel="0" collapsed="false">
      <c r="A11" s="4" t="s">
        <v>17</v>
      </c>
      <c r="B11" s="4" t="s">
        <v>18</v>
      </c>
      <c r="C11" s="4" t="s">
        <v>19</v>
      </c>
    </row>
    <row r="12" customFormat="false" ht="15" hidden="false" customHeight="false" outlineLevel="0" collapsed="false">
      <c r="A12" s="4" t="s">
        <v>20</v>
      </c>
      <c r="B12" s="4" t="s">
        <v>21</v>
      </c>
      <c r="C12" s="4" t="s">
        <v>22</v>
      </c>
    </row>
    <row r="13" customFormat="false" ht="15" hidden="false" customHeight="false" outlineLevel="0" collapsed="false">
      <c r="A13" s="4" t="s">
        <v>23</v>
      </c>
      <c r="B13" s="4" t="s">
        <v>24</v>
      </c>
      <c r="C13" s="4" t="s">
        <v>25</v>
      </c>
    </row>
    <row r="14" customFormat="false" ht="15" hidden="false" customHeight="false" outlineLevel="0" collapsed="false">
      <c r="A14" s="4" t="s">
        <v>26</v>
      </c>
      <c r="B14" s="4" t="s">
        <v>27</v>
      </c>
      <c r="C14" s="4" t="s">
        <v>28</v>
      </c>
    </row>
    <row r="15" customFormat="false" ht="15" hidden="false" customHeight="false" outlineLevel="0" collapsed="false">
      <c r="A15" s="4" t="s">
        <v>29</v>
      </c>
      <c r="B15" s="4" t="s">
        <v>30</v>
      </c>
      <c r="C15" s="4" t="s">
        <v>31</v>
      </c>
    </row>
    <row r="17" customFormat="false" ht="15" hidden="false" customHeight="false" outlineLevel="0" collapsed="false">
      <c r="A17" s="5" t="s">
        <v>32</v>
      </c>
      <c r="B17" s="5" t="s">
        <v>33</v>
      </c>
      <c r="C17" s="5" t="s">
        <v>34</v>
      </c>
    </row>
    <row r="18" customFormat="false" ht="15" hidden="false" customHeight="false" outlineLevel="0" collapsed="false">
      <c r="A18" s="4" t="s">
        <v>35</v>
      </c>
      <c r="B18" s="4" t="s">
        <v>36</v>
      </c>
      <c r="C18" s="4" t="s">
        <v>37</v>
      </c>
    </row>
    <row r="19" customFormat="false" ht="15" hidden="false" customHeight="false" outlineLevel="0" collapsed="false">
      <c r="A19" s="4" t="s">
        <v>38</v>
      </c>
      <c r="B19" s="4" t="s">
        <v>39</v>
      </c>
      <c r="C19" s="4" t="s">
        <v>40</v>
      </c>
    </row>
    <row r="20" customFormat="false" ht="23.85" hidden="false" customHeight="false" outlineLevel="0" collapsed="false">
      <c r="A20" s="4" t="s">
        <v>41</v>
      </c>
      <c r="B20" s="4" t="s">
        <v>42</v>
      </c>
      <c r="C20" s="4" t="s">
        <v>43</v>
      </c>
    </row>
    <row r="21" customFormat="false" ht="15" hidden="false" customHeight="false" outlineLevel="0" collapsed="false">
      <c r="A21" s="4" t="s">
        <v>44</v>
      </c>
      <c r="B21" s="4" t="s">
        <v>45</v>
      </c>
      <c r="C21" s="4" t="s">
        <v>46</v>
      </c>
    </row>
    <row r="22" customFormat="false" ht="15" hidden="false" customHeight="false" outlineLevel="0" collapsed="false">
      <c r="A22" s="4" t="s">
        <v>47</v>
      </c>
      <c r="B22" s="4" t="s">
        <v>48</v>
      </c>
      <c r="C22" s="4" t="s">
        <v>49</v>
      </c>
    </row>
    <row r="23" customFormat="false" ht="15" hidden="false" customHeight="true" outlineLevel="0" collapsed="false">
      <c r="A23" s="6" t="s">
        <v>50</v>
      </c>
      <c r="B23" s="6"/>
      <c r="C23" s="6"/>
    </row>
  </sheetData>
  <mergeCells count="2">
    <mergeCell ref="A1:C1"/>
    <mergeCell ref="A23:C2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2.71"/>
    <col collapsed="false" customWidth="true" hidden="false" outlineLevel="0" max="2" min="2" style="1" width="28.71"/>
    <col collapsed="false" customWidth="true" hidden="false" outlineLevel="0" max="23" min="3" style="1" width="13.71"/>
  </cols>
  <sheetData>
    <row r="1" customFormat="false" ht="19.7" hidden="false" customHeight="false" outlineLevel="0" collapsed="false">
      <c r="A1" s="2" t="s">
        <v>51</v>
      </c>
      <c r="B1" s="2"/>
      <c r="C1" s="2"/>
      <c r="D1" s="2"/>
      <c r="E1" s="2"/>
      <c r="F1" s="2"/>
      <c r="G1" s="2"/>
      <c r="H1" s="2"/>
      <c r="I1" s="2"/>
      <c r="J1" s="2"/>
      <c r="K1" s="2"/>
      <c r="L1" s="2"/>
      <c r="M1" s="2"/>
      <c r="N1" s="2"/>
      <c r="O1" s="2"/>
      <c r="P1" s="2"/>
      <c r="Q1" s="2"/>
      <c r="R1" s="2"/>
      <c r="S1" s="2"/>
      <c r="T1" s="2"/>
      <c r="U1" s="2"/>
      <c r="V1" s="2"/>
      <c r="W1" s="2"/>
    </row>
    <row r="2" customFormat="false" ht="24" hidden="false" customHeight="true" outlineLevel="0" collapsed="false">
      <c r="A2" s="6" t="s">
        <v>52</v>
      </c>
      <c r="B2" s="6"/>
      <c r="C2" s="6"/>
      <c r="D2" s="6"/>
      <c r="E2" s="6"/>
      <c r="F2" s="6"/>
      <c r="G2" s="6"/>
      <c r="H2" s="6"/>
      <c r="I2" s="6"/>
      <c r="J2" s="6"/>
      <c r="K2" s="6"/>
      <c r="L2" s="6"/>
      <c r="M2" s="6"/>
      <c r="N2" s="6"/>
      <c r="O2" s="6"/>
      <c r="P2" s="6"/>
      <c r="Q2" s="6"/>
      <c r="R2" s="6"/>
      <c r="S2" s="6"/>
      <c r="T2" s="6"/>
      <c r="U2" s="6"/>
      <c r="V2" s="6"/>
      <c r="W2" s="6"/>
    </row>
    <row r="3" customFormat="false" ht="15" hidden="false" customHeight="false" outlineLevel="0" collapsed="false">
      <c r="A3" s="3" t="s">
        <v>53</v>
      </c>
      <c r="B3" s="7" t="n">
        <v>2024</v>
      </c>
      <c r="D3" s="3" t="s">
        <v>54</v>
      </c>
      <c r="E3" s="4" t="s">
        <v>55</v>
      </c>
      <c r="G3" s="3" t="s">
        <v>56</v>
      </c>
      <c r="H3" s="8" t="str">
        <f aca="false">IF(MAX(MAX(W10:W16),-MIN(W10:W16),MAX(W21:W33),-MIN(W21:W33),MAX(W38),-MIN(W38))&lt;=PARAMETROS!$B$7,"CERRADO","REVISAR")</f>
        <v>CERRADO</v>
      </c>
    </row>
    <row r="4" customFormat="false" ht="15" hidden="false" customHeight="true" outlineLevel="0" collapsed="false">
      <c r="A4" s="6" t="s">
        <v>57</v>
      </c>
      <c r="B4" s="6"/>
      <c r="C4" s="6"/>
      <c r="D4" s="6"/>
      <c r="E4" s="6"/>
      <c r="F4" s="6"/>
      <c r="G4" s="6"/>
      <c r="H4" s="6"/>
      <c r="I4" s="6"/>
      <c r="J4" s="6"/>
      <c r="K4" s="6"/>
      <c r="L4" s="6"/>
      <c r="M4" s="6"/>
      <c r="N4" s="6"/>
      <c r="O4" s="6"/>
      <c r="P4" s="6"/>
      <c r="Q4" s="6"/>
      <c r="R4" s="6"/>
      <c r="S4" s="6"/>
      <c r="T4" s="6"/>
      <c r="U4" s="6"/>
      <c r="V4" s="6"/>
      <c r="W4" s="6"/>
    </row>
    <row r="7" customFormat="false" ht="15" hidden="false" customHeight="false" outlineLevel="0" collapsed="false">
      <c r="A7" s="9" t="s">
        <v>58</v>
      </c>
      <c r="B7" s="9"/>
      <c r="C7" s="9"/>
      <c r="D7" s="9"/>
      <c r="E7" s="9"/>
      <c r="F7" s="9"/>
      <c r="G7" s="9"/>
      <c r="H7" s="9"/>
      <c r="I7" s="9"/>
      <c r="J7" s="9"/>
      <c r="K7" s="9"/>
      <c r="L7" s="9"/>
      <c r="M7" s="9"/>
      <c r="N7" s="9"/>
      <c r="O7" s="9"/>
      <c r="P7" s="9"/>
      <c r="Q7" s="9"/>
      <c r="R7" s="9"/>
      <c r="S7" s="9"/>
      <c r="T7" s="9"/>
      <c r="U7" s="9"/>
      <c r="V7" s="9"/>
      <c r="W7" s="9"/>
    </row>
    <row r="8" customFormat="false" ht="15" hidden="false" customHeight="true" outlineLevel="0" collapsed="false">
      <c r="A8" s="3"/>
      <c r="B8" s="3"/>
      <c r="C8" s="3" t="s">
        <v>59</v>
      </c>
      <c r="D8" s="3"/>
      <c r="E8" s="3"/>
      <c r="F8" s="3"/>
      <c r="G8" s="3"/>
      <c r="H8" s="3"/>
      <c r="I8" s="3"/>
      <c r="J8" s="3" t="s">
        <v>60</v>
      </c>
      <c r="K8" s="3"/>
      <c r="L8" s="3"/>
      <c r="M8" s="3"/>
      <c r="N8" s="3"/>
      <c r="O8" s="3"/>
      <c r="P8" s="3"/>
      <c r="Q8" s="3"/>
      <c r="R8" s="3"/>
      <c r="S8" s="3"/>
      <c r="T8" s="3"/>
      <c r="U8" s="3"/>
      <c r="V8" s="3"/>
      <c r="W8" s="3" t="s">
        <v>61</v>
      </c>
    </row>
    <row r="9" customFormat="false" ht="15" hidden="false" customHeight="false" outlineLevel="0" collapsed="false">
      <c r="A9" s="5" t="s">
        <v>62</v>
      </c>
      <c r="B9" s="5" t="s">
        <v>63</v>
      </c>
      <c r="C9" s="5" t="s">
        <v>64</v>
      </c>
      <c r="D9" s="5" t="s">
        <v>65</v>
      </c>
      <c r="E9" s="5" t="s">
        <v>66</v>
      </c>
      <c r="F9" s="5" t="s">
        <v>67</v>
      </c>
      <c r="G9" s="5" t="s">
        <v>68</v>
      </c>
      <c r="H9" s="5" t="s">
        <v>69</v>
      </c>
      <c r="I9" s="5" t="s">
        <v>70</v>
      </c>
      <c r="J9" s="5" t="s">
        <v>64</v>
      </c>
      <c r="K9" s="5" t="s">
        <v>65</v>
      </c>
      <c r="L9" s="5" t="s">
        <v>66</v>
      </c>
      <c r="M9" s="5" t="s">
        <v>67</v>
      </c>
      <c r="N9" s="5" t="s">
        <v>68</v>
      </c>
      <c r="O9" s="5" t="s">
        <v>71</v>
      </c>
      <c r="P9" s="5" t="s">
        <v>72</v>
      </c>
      <c r="Q9" s="5" t="s">
        <v>73</v>
      </c>
      <c r="R9" s="5" t="s">
        <v>69</v>
      </c>
      <c r="S9" s="5" t="s">
        <v>74</v>
      </c>
      <c r="T9" s="5" t="s">
        <v>41</v>
      </c>
      <c r="U9" s="5" t="s">
        <v>44</v>
      </c>
      <c r="V9" s="5" t="s">
        <v>70</v>
      </c>
      <c r="W9" s="5" t="s">
        <v>75</v>
      </c>
    </row>
    <row r="10" customFormat="false" ht="15" hidden="false" customHeight="false" outlineLevel="0" collapsed="false">
      <c r="A10" s="4" t="s">
        <v>76</v>
      </c>
      <c r="B10" s="4" t="s">
        <v>77</v>
      </c>
      <c r="C10" s="10" t="n">
        <f aca="false">IF(COUNTIFS(PSUT_LARGA!$B$2:$B$618,$B$3,PSUT_LARGA!$C$2:$C$618,$A10,PSUT_LARGA!$D$2:$D$618,"Energy from natural inputs",PSUT_LARGA!$E$2:$E$618,"Supply",PSUT_LARGA!$G$2:$G$618,C$9)=0,"",SUMIFS(PSUT_LARGA!$K$2:$K$618,PSUT_LARGA!$B$2:$B$618,$B$3,PSUT_LARGA!$C$2:$C$618,$A10,PSUT_LARGA!$D$2:$D$618,"Energy from natural inputs",PSUT_LARGA!$E$2:$E$618,"Supply",PSUT_LARGA!$G$2:$G$618,C$9))</f>
        <v>0</v>
      </c>
      <c r="D10" s="10" t="str">
        <f aca="false">IF(COUNTIFS(PSUT_LARGA!$B$2:$B$618,$B$3,PSUT_LARGA!$C$2:$C$618,$A10,PSUT_LARGA!$D$2:$D$618,"Energy from natural inputs",PSUT_LARGA!$E$2:$E$618,"Supply",PSUT_LARGA!$G$2:$G$618,D$9)=0,"",SUMIFS(PSUT_LARGA!$K$2:$K$618,PSUT_LARGA!$B$2:$B$618,$B$3,PSUT_LARGA!$C$2:$C$618,$A10,PSUT_LARGA!$D$2:$D$618,"Energy from natural inputs",PSUT_LARGA!$E$2:$E$618,"Supply",PSUT_LARGA!$G$2:$G$618,D$9))</f>
        <v/>
      </c>
      <c r="E10" s="10" t="str">
        <f aca="false">IF(COUNTIFS(PSUT_LARGA!$B$2:$B$618,$B$3,PSUT_LARGA!$C$2:$C$618,$A10,PSUT_LARGA!$D$2:$D$618,"Energy from natural inputs",PSUT_LARGA!$E$2:$E$618,"Supply",PSUT_LARGA!$G$2:$G$618,E$9)=0,"",SUMIFS(PSUT_LARGA!$K$2:$K$618,PSUT_LARGA!$B$2:$B$618,$B$3,PSUT_LARGA!$C$2:$C$618,$A10,PSUT_LARGA!$D$2:$D$618,"Energy from natural inputs",PSUT_LARGA!$E$2:$E$618,"Supply",PSUT_LARGA!$G$2:$G$618,E$9))</f>
        <v/>
      </c>
      <c r="F10" s="10" t="str">
        <f aca="false">IF(COUNTIFS(PSUT_LARGA!$B$2:$B$618,$B$3,PSUT_LARGA!$C$2:$C$618,$A10,PSUT_LARGA!$D$2:$D$618,"Energy from natural inputs",PSUT_LARGA!$E$2:$E$618,"Supply",PSUT_LARGA!$G$2:$G$618,F$9)=0,"",SUMIFS(PSUT_LARGA!$K$2:$K$618,PSUT_LARGA!$B$2:$B$618,$B$3,PSUT_LARGA!$C$2:$C$618,$A10,PSUT_LARGA!$D$2:$D$618,"Energy from natural inputs",PSUT_LARGA!$E$2:$E$618,"Supply",PSUT_LARGA!$G$2:$G$618,F$9))</f>
        <v/>
      </c>
      <c r="G10" s="10" t="str">
        <f aca="false">IF(COUNTIFS(PSUT_LARGA!$B$2:$B$618,$B$3,PSUT_LARGA!$C$2:$C$618,$A10,PSUT_LARGA!$D$2:$D$618,"Energy from natural inputs",PSUT_LARGA!$E$2:$E$618,"Supply",PSUT_LARGA!$G$2:$G$618,G$9)=0,"",SUMIFS(PSUT_LARGA!$K$2:$K$618,PSUT_LARGA!$B$2:$B$618,$B$3,PSUT_LARGA!$C$2:$C$618,$A10,PSUT_LARGA!$D$2:$D$618,"Energy from natural inputs",PSUT_LARGA!$E$2:$E$618,"Supply",PSUT_LARGA!$G$2:$G$618,G$9))</f>
        <v/>
      </c>
      <c r="H10" s="10" t="str">
        <f aca="false">IF(COUNTIFS(PSUT_LARGA!$B$2:$B$618,$B$3,PSUT_LARGA!$C$2:$C$618,$A10,PSUT_LARGA!$D$2:$D$618,"Energy from natural inputs",PSUT_LARGA!$E$2:$E$618,"Supply",PSUT_LARGA!$G$2:$G$618,H$9)=0,"",SUMIFS(PSUT_LARGA!$K$2:$K$618,PSUT_LARGA!$B$2:$B$618,$B$3,PSUT_LARGA!$C$2:$C$618,$A10,PSUT_LARGA!$D$2:$D$618,"Energy from natural inputs",PSUT_LARGA!$E$2:$E$618,"Supply",PSUT_LARGA!$G$2:$G$618,H$9))</f>
        <v/>
      </c>
      <c r="I10" s="10" t="n">
        <f aca="false">IF(COUNT(C10:H10)=0,"",SUM(C10:H10))</f>
        <v>0</v>
      </c>
      <c r="J10" s="10" t="str">
        <f aca="false">IF(COUNTIFS(PSUT_LARGA!$B$2:$B$618,$B$3,PSUT_LARGA!$C$2:$C$618,$A10,PSUT_LARGA!$D$2:$D$618,"Energy from natural inputs",PSUT_LARGA!$E$2:$E$618,"Use",PSUT_LARGA!$G$2:$G$618,J$9)=0,"",SUMIFS(PSUT_LARGA!$K$2:$K$618,PSUT_LARGA!$B$2:$B$618,$B$3,PSUT_LARGA!$C$2:$C$618,$A10,PSUT_LARGA!$D$2:$D$618,"Energy from natural inputs",PSUT_LARGA!$E$2:$E$618,"Use",PSUT_LARGA!$G$2:$G$618,J$9))</f>
        <v/>
      </c>
      <c r="K10" s="10" t="str">
        <f aca="false">IF(COUNTIFS(PSUT_LARGA!$B$2:$B$618,$B$3,PSUT_LARGA!$C$2:$C$618,$A10,PSUT_LARGA!$D$2:$D$618,"Energy from natural inputs",PSUT_LARGA!$E$2:$E$618,"Use",PSUT_LARGA!$G$2:$G$618,K$9)=0,"",SUMIFS(PSUT_LARGA!$K$2:$K$618,PSUT_LARGA!$B$2:$B$618,$B$3,PSUT_LARGA!$C$2:$C$618,$A10,PSUT_LARGA!$D$2:$D$618,"Energy from natural inputs",PSUT_LARGA!$E$2:$E$618,"Use",PSUT_LARGA!$G$2:$G$618,K$9))</f>
        <v/>
      </c>
      <c r="L10" s="10" t="n">
        <f aca="false">IF(COUNTIFS(PSUT_LARGA!$B$2:$B$618,$B$3,PSUT_LARGA!$C$2:$C$618,$A10,PSUT_LARGA!$D$2:$D$618,"Energy from natural inputs",PSUT_LARGA!$E$2:$E$618,"Use",PSUT_LARGA!$G$2:$G$618,L$9)=0,"",SUMIFS(PSUT_LARGA!$K$2:$K$618,PSUT_LARGA!$B$2:$B$618,$B$3,PSUT_LARGA!$C$2:$C$618,$A10,PSUT_LARGA!$D$2:$D$618,"Energy from natural inputs",PSUT_LARGA!$E$2:$E$618,"Use",PSUT_LARGA!$G$2:$G$618,L$9))</f>
        <v>0</v>
      </c>
      <c r="M10" s="10" t="str">
        <f aca="false">IF(COUNTIFS(PSUT_LARGA!$B$2:$B$618,$B$3,PSUT_LARGA!$C$2:$C$618,$A10,PSUT_LARGA!$D$2:$D$618,"Energy from natural inputs",PSUT_LARGA!$E$2:$E$618,"Use",PSUT_LARGA!$G$2:$G$618,M$9)=0,"",SUMIFS(PSUT_LARGA!$K$2:$K$618,PSUT_LARGA!$B$2:$B$618,$B$3,PSUT_LARGA!$C$2:$C$618,$A10,PSUT_LARGA!$D$2:$D$618,"Energy from natural inputs",PSUT_LARGA!$E$2:$E$618,"Use",PSUT_LARGA!$G$2:$G$618,M$9))</f>
        <v/>
      </c>
      <c r="N10" s="10" t="str">
        <f aca="false">IF(COUNTIFS(PSUT_LARGA!$B$2:$B$618,$B$3,PSUT_LARGA!$C$2:$C$618,$A10,PSUT_LARGA!$D$2:$D$618,"Energy from natural inputs",PSUT_LARGA!$E$2:$E$618,"Use",PSUT_LARGA!$G$2:$G$618,N$9)=0,"",SUMIFS(PSUT_LARGA!$K$2:$K$618,PSUT_LARGA!$B$2:$B$618,$B$3,PSUT_LARGA!$C$2:$C$618,$A10,PSUT_LARGA!$D$2:$D$618,"Energy from natural inputs",PSUT_LARGA!$E$2:$E$618,"Use",PSUT_LARGA!$G$2:$G$618,N$9))</f>
        <v/>
      </c>
      <c r="O10" s="10" t="str">
        <f aca="false">IF(COUNTIFS(PSUT_LARGA!$B$2:$B$618,$B$3,PSUT_LARGA!$C$2:$C$618,$A10,PSUT_LARGA!$D$2:$D$618,"Energy from natural inputs",PSUT_LARGA!$E$2:$E$618,"Use",PSUT_LARGA!$G$2:$G$618,O$9)=0,"",SUMIFS(PSUT_LARGA!$K$2:$K$618,PSUT_LARGA!$B$2:$B$618,$B$3,PSUT_LARGA!$C$2:$C$618,$A10,PSUT_LARGA!$D$2:$D$618,"Energy from natural inputs",PSUT_LARGA!$E$2:$E$618,"Use",PSUT_LARGA!$G$2:$G$618,O$9))</f>
        <v/>
      </c>
      <c r="P10" s="10" t="str">
        <f aca="false">IF(COUNTIFS(PSUT_LARGA!$B$2:$B$618,$B$3,PSUT_LARGA!$C$2:$C$618,$A10,PSUT_LARGA!$D$2:$D$618,"Energy from natural inputs",PSUT_LARGA!$E$2:$E$618,"Use",PSUT_LARGA!$G$2:$G$618,P$9)=0,"",SUMIFS(PSUT_LARGA!$K$2:$K$618,PSUT_LARGA!$B$2:$B$618,$B$3,PSUT_LARGA!$C$2:$C$618,$A10,PSUT_LARGA!$D$2:$D$618,"Energy from natural inputs",PSUT_LARGA!$E$2:$E$618,"Use",PSUT_LARGA!$G$2:$G$618,P$9))</f>
        <v/>
      </c>
      <c r="Q10" s="10" t="str">
        <f aca="false">IF(COUNTIFS(PSUT_LARGA!$B$2:$B$618,$B$3,PSUT_LARGA!$C$2:$C$618,$A10,PSUT_LARGA!$D$2:$D$618,"Energy from natural inputs",PSUT_LARGA!$E$2:$E$618,"Use",PSUT_LARGA!$G$2:$G$618,Q$9)=0,"",SUMIFS(PSUT_LARGA!$K$2:$K$618,PSUT_LARGA!$B$2:$B$618,$B$3,PSUT_LARGA!$C$2:$C$618,$A10,PSUT_LARGA!$D$2:$D$618,"Energy from natural inputs",PSUT_LARGA!$E$2:$E$618,"Use",PSUT_LARGA!$G$2:$G$618,Q$9))</f>
        <v/>
      </c>
      <c r="R10" s="10" t="str">
        <f aca="false">IF(COUNTIFS(PSUT_LARGA!$B$2:$B$618,$B$3,PSUT_LARGA!$C$2:$C$618,$A10,PSUT_LARGA!$D$2:$D$618,"Energy from natural inputs",PSUT_LARGA!$E$2:$E$618,"Use",PSUT_LARGA!$G$2:$G$618,R$9)=0,"",SUMIFS(PSUT_LARGA!$K$2:$K$618,PSUT_LARGA!$B$2:$B$618,$B$3,PSUT_LARGA!$C$2:$C$618,$A10,PSUT_LARGA!$D$2:$D$618,"Energy from natural inputs",PSUT_LARGA!$E$2:$E$618,"Use",PSUT_LARGA!$G$2:$G$618,R$9))</f>
        <v/>
      </c>
      <c r="S10" s="10" t="str">
        <f aca="false">IF(COUNTIFS(PSUT_LARGA!$B$2:$B$618,$B$3,PSUT_LARGA!$C$2:$C$618,$A10,PSUT_LARGA!$D$2:$D$618,"Energy from natural inputs",PSUT_LARGA!$E$2:$E$618,"Use",PSUT_LARGA!$G$2:$G$618,S$9)=0,"",SUMIFS(PSUT_LARGA!$K$2:$K$618,PSUT_LARGA!$B$2:$B$618,$B$3,PSUT_LARGA!$C$2:$C$618,$A10,PSUT_LARGA!$D$2:$D$618,"Energy from natural inputs",PSUT_LARGA!$E$2:$E$618,"Use",PSUT_LARGA!$G$2:$G$618,S$9))</f>
        <v/>
      </c>
      <c r="T10" s="10" t="str">
        <f aca="false">IF(COUNTIFS(PSUT_LARGA!$B$2:$B$618,$B$3,PSUT_LARGA!$C$2:$C$618,$A10,PSUT_LARGA!$D$2:$D$618,"Energy from natural inputs",PSUT_LARGA!$E$2:$E$618,"Use",PSUT_LARGA!$G$2:$G$618,T$9)=0,"",SUMIFS(PSUT_LARGA!$K$2:$K$618,PSUT_LARGA!$B$2:$B$618,$B$3,PSUT_LARGA!$C$2:$C$618,$A10,PSUT_LARGA!$D$2:$D$618,"Energy from natural inputs",PSUT_LARGA!$E$2:$E$618,"Use",PSUT_LARGA!$G$2:$G$618,T$9))</f>
        <v/>
      </c>
      <c r="U10" s="10" t="str">
        <f aca="false">IF(COUNTIFS(PSUT_LARGA!$B$2:$B$618,$B$3,PSUT_LARGA!$C$2:$C$618,$A10,PSUT_LARGA!$D$2:$D$618,"Energy from natural inputs",PSUT_LARGA!$E$2:$E$618,"Use",PSUT_LARGA!$G$2:$G$618,U$9)=0,"",SUMIFS(PSUT_LARGA!$K$2:$K$618,PSUT_LARGA!$B$2:$B$618,$B$3,PSUT_LARGA!$C$2:$C$618,$A10,PSUT_LARGA!$D$2:$D$618,"Energy from natural inputs",PSUT_LARGA!$E$2:$E$618,"Use",PSUT_LARGA!$G$2:$G$618,U$9))</f>
        <v/>
      </c>
      <c r="V10" s="10" t="n">
        <f aca="false">IF(COUNT(J10:U10)=0,"",SUM(J10:U10))</f>
        <v>0</v>
      </c>
      <c r="W10" s="10" t="n">
        <f aca="false">IF(AND(I10="",COUNT(J10:U10)=0),"",SUM(I10)-SUM(J10:U10))</f>
        <v>0</v>
      </c>
    </row>
    <row r="11" customFormat="false" ht="15" hidden="false" customHeight="false" outlineLevel="0" collapsed="false">
      <c r="A11" s="4" t="s">
        <v>78</v>
      </c>
      <c r="B11" s="4" t="s">
        <v>79</v>
      </c>
      <c r="C11" s="10" t="n">
        <f aca="false">IF(COUNTIFS(PSUT_LARGA!$B$2:$B$618,$B$3,PSUT_LARGA!$C$2:$C$618,$A11,PSUT_LARGA!$D$2:$D$618,"Energy from natural inputs",PSUT_LARGA!$E$2:$E$618,"Supply",PSUT_LARGA!$G$2:$G$618,C$9)=0,"",SUMIFS(PSUT_LARGA!$K$2:$K$618,PSUT_LARGA!$B$2:$B$618,$B$3,PSUT_LARGA!$C$2:$C$618,$A11,PSUT_LARGA!$D$2:$D$618,"Energy from natural inputs",PSUT_LARGA!$E$2:$E$618,"Supply",PSUT_LARGA!$G$2:$G$618,C$9))</f>
        <v>1044.9866</v>
      </c>
      <c r="D11" s="10" t="str">
        <f aca="false">IF(COUNTIFS(PSUT_LARGA!$B$2:$B$618,$B$3,PSUT_LARGA!$C$2:$C$618,$A11,PSUT_LARGA!$D$2:$D$618,"Energy from natural inputs",PSUT_LARGA!$E$2:$E$618,"Supply",PSUT_LARGA!$G$2:$G$618,D$9)=0,"",SUMIFS(PSUT_LARGA!$K$2:$K$618,PSUT_LARGA!$B$2:$B$618,$B$3,PSUT_LARGA!$C$2:$C$618,$A11,PSUT_LARGA!$D$2:$D$618,"Energy from natural inputs",PSUT_LARGA!$E$2:$E$618,"Supply",PSUT_LARGA!$G$2:$G$618,D$9))</f>
        <v/>
      </c>
      <c r="E11" s="10" t="str">
        <f aca="false">IF(COUNTIFS(PSUT_LARGA!$B$2:$B$618,$B$3,PSUT_LARGA!$C$2:$C$618,$A11,PSUT_LARGA!$D$2:$D$618,"Energy from natural inputs",PSUT_LARGA!$E$2:$E$618,"Supply",PSUT_LARGA!$G$2:$G$618,E$9)=0,"",SUMIFS(PSUT_LARGA!$K$2:$K$618,PSUT_LARGA!$B$2:$B$618,$B$3,PSUT_LARGA!$C$2:$C$618,$A11,PSUT_LARGA!$D$2:$D$618,"Energy from natural inputs",PSUT_LARGA!$E$2:$E$618,"Supply",PSUT_LARGA!$G$2:$G$618,E$9))</f>
        <v/>
      </c>
      <c r="F11" s="10" t="str">
        <f aca="false">IF(COUNTIFS(PSUT_LARGA!$B$2:$B$618,$B$3,PSUT_LARGA!$C$2:$C$618,$A11,PSUT_LARGA!$D$2:$D$618,"Energy from natural inputs",PSUT_LARGA!$E$2:$E$618,"Supply",PSUT_LARGA!$G$2:$G$618,F$9)=0,"",SUMIFS(PSUT_LARGA!$K$2:$K$618,PSUT_LARGA!$B$2:$B$618,$B$3,PSUT_LARGA!$C$2:$C$618,$A11,PSUT_LARGA!$D$2:$D$618,"Energy from natural inputs",PSUT_LARGA!$E$2:$E$618,"Supply",PSUT_LARGA!$G$2:$G$618,F$9))</f>
        <v/>
      </c>
      <c r="G11" s="10" t="str">
        <f aca="false">IF(COUNTIFS(PSUT_LARGA!$B$2:$B$618,$B$3,PSUT_LARGA!$C$2:$C$618,$A11,PSUT_LARGA!$D$2:$D$618,"Energy from natural inputs",PSUT_LARGA!$E$2:$E$618,"Supply",PSUT_LARGA!$G$2:$G$618,G$9)=0,"",SUMIFS(PSUT_LARGA!$K$2:$K$618,PSUT_LARGA!$B$2:$B$618,$B$3,PSUT_LARGA!$C$2:$C$618,$A11,PSUT_LARGA!$D$2:$D$618,"Energy from natural inputs",PSUT_LARGA!$E$2:$E$618,"Supply",PSUT_LARGA!$G$2:$G$618,G$9))</f>
        <v/>
      </c>
      <c r="H11" s="10" t="str">
        <f aca="false">IF(COUNTIFS(PSUT_LARGA!$B$2:$B$618,$B$3,PSUT_LARGA!$C$2:$C$618,$A11,PSUT_LARGA!$D$2:$D$618,"Energy from natural inputs",PSUT_LARGA!$E$2:$E$618,"Supply",PSUT_LARGA!$G$2:$G$618,H$9)=0,"",SUMIFS(PSUT_LARGA!$K$2:$K$618,PSUT_LARGA!$B$2:$B$618,$B$3,PSUT_LARGA!$C$2:$C$618,$A11,PSUT_LARGA!$D$2:$D$618,"Energy from natural inputs",PSUT_LARGA!$E$2:$E$618,"Supply",PSUT_LARGA!$G$2:$G$618,H$9))</f>
        <v/>
      </c>
      <c r="I11" s="10" t="n">
        <f aca="false">IF(COUNT(C11:H11)=0,"",SUM(C11:H11))</f>
        <v>1044.9866</v>
      </c>
      <c r="J11" s="10" t="str">
        <f aca="false">IF(COUNTIFS(PSUT_LARGA!$B$2:$B$618,$B$3,PSUT_LARGA!$C$2:$C$618,$A11,PSUT_LARGA!$D$2:$D$618,"Energy from natural inputs",PSUT_LARGA!$E$2:$E$618,"Use",PSUT_LARGA!$G$2:$G$618,J$9)=0,"",SUMIFS(PSUT_LARGA!$K$2:$K$618,PSUT_LARGA!$B$2:$B$618,$B$3,PSUT_LARGA!$C$2:$C$618,$A11,PSUT_LARGA!$D$2:$D$618,"Energy from natural inputs",PSUT_LARGA!$E$2:$E$618,"Use",PSUT_LARGA!$G$2:$G$618,J$9))</f>
        <v/>
      </c>
      <c r="K11" s="10" t="str">
        <f aca="false">IF(COUNTIFS(PSUT_LARGA!$B$2:$B$618,$B$3,PSUT_LARGA!$C$2:$C$618,$A11,PSUT_LARGA!$D$2:$D$618,"Energy from natural inputs",PSUT_LARGA!$E$2:$E$618,"Use",PSUT_LARGA!$G$2:$G$618,K$9)=0,"",SUMIFS(PSUT_LARGA!$K$2:$K$618,PSUT_LARGA!$B$2:$B$618,$B$3,PSUT_LARGA!$C$2:$C$618,$A11,PSUT_LARGA!$D$2:$D$618,"Energy from natural inputs",PSUT_LARGA!$E$2:$E$618,"Use",PSUT_LARGA!$G$2:$G$618,K$9))</f>
        <v/>
      </c>
      <c r="L11" s="10" t="str">
        <f aca="false">IF(COUNTIFS(PSUT_LARGA!$B$2:$B$618,$B$3,PSUT_LARGA!$C$2:$C$618,$A11,PSUT_LARGA!$D$2:$D$618,"Energy from natural inputs",PSUT_LARGA!$E$2:$E$618,"Use",PSUT_LARGA!$G$2:$G$618,L$9)=0,"",SUMIFS(PSUT_LARGA!$K$2:$K$618,PSUT_LARGA!$B$2:$B$618,$B$3,PSUT_LARGA!$C$2:$C$618,$A11,PSUT_LARGA!$D$2:$D$618,"Energy from natural inputs",PSUT_LARGA!$E$2:$E$618,"Use",PSUT_LARGA!$G$2:$G$618,L$9))</f>
        <v/>
      </c>
      <c r="M11" s="10" t="n">
        <f aca="false">IF(COUNTIFS(PSUT_LARGA!$B$2:$B$618,$B$3,PSUT_LARGA!$C$2:$C$618,$A11,PSUT_LARGA!$D$2:$D$618,"Energy from natural inputs",PSUT_LARGA!$E$2:$E$618,"Use",PSUT_LARGA!$G$2:$G$618,M$9)=0,"",SUMIFS(PSUT_LARGA!$K$2:$K$618,PSUT_LARGA!$B$2:$B$618,$B$3,PSUT_LARGA!$C$2:$C$618,$A11,PSUT_LARGA!$D$2:$D$618,"Energy from natural inputs",PSUT_LARGA!$E$2:$E$618,"Use",PSUT_LARGA!$G$2:$G$618,M$9))</f>
        <v>1044.9866</v>
      </c>
      <c r="N11" s="10" t="str">
        <f aca="false">IF(COUNTIFS(PSUT_LARGA!$B$2:$B$618,$B$3,PSUT_LARGA!$C$2:$C$618,$A11,PSUT_LARGA!$D$2:$D$618,"Energy from natural inputs",PSUT_LARGA!$E$2:$E$618,"Use",PSUT_LARGA!$G$2:$G$618,N$9)=0,"",SUMIFS(PSUT_LARGA!$K$2:$K$618,PSUT_LARGA!$B$2:$B$618,$B$3,PSUT_LARGA!$C$2:$C$618,$A11,PSUT_LARGA!$D$2:$D$618,"Energy from natural inputs",PSUT_LARGA!$E$2:$E$618,"Use",PSUT_LARGA!$G$2:$G$618,N$9))</f>
        <v/>
      </c>
      <c r="O11" s="10" t="str">
        <f aca="false">IF(COUNTIFS(PSUT_LARGA!$B$2:$B$618,$B$3,PSUT_LARGA!$C$2:$C$618,$A11,PSUT_LARGA!$D$2:$D$618,"Energy from natural inputs",PSUT_LARGA!$E$2:$E$618,"Use",PSUT_LARGA!$G$2:$G$618,O$9)=0,"",SUMIFS(PSUT_LARGA!$K$2:$K$618,PSUT_LARGA!$B$2:$B$618,$B$3,PSUT_LARGA!$C$2:$C$618,$A11,PSUT_LARGA!$D$2:$D$618,"Energy from natural inputs",PSUT_LARGA!$E$2:$E$618,"Use",PSUT_LARGA!$G$2:$G$618,O$9))</f>
        <v/>
      </c>
      <c r="P11" s="10" t="str">
        <f aca="false">IF(COUNTIFS(PSUT_LARGA!$B$2:$B$618,$B$3,PSUT_LARGA!$C$2:$C$618,$A11,PSUT_LARGA!$D$2:$D$618,"Energy from natural inputs",PSUT_LARGA!$E$2:$E$618,"Use",PSUT_LARGA!$G$2:$G$618,P$9)=0,"",SUMIFS(PSUT_LARGA!$K$2:$K$618,PSUT_LARGA!$B$2:$B$618,$B$3,PSUT_LARGA!$C$2:$C$618,$A11,PSUT_LARGA!$D$2:$D$618,"Energy from natural inputs",PSUT_LARGA!$E$2:$E$618,"Use",PSUT_LARGA!$G$2:$G$618,P$9))</f>
        <v/>
      </c>
      <c r="Q11" s="10" t="str">
        <f aca="false">IF(COUNTIFS(PSUT_LARGA!$B$2:$B$618,$B$3,PSUT_LARGA!$C$2:$C$618,$A11,PSUT_LARGA!$D$2:$D$618,"Energy from natural inputs",PSUT_LARGA!$E$2:$E$618,"Use",PSUT_LARGA!$G$2:$G$618,Q$9)=0,"",SUMIFS(PSUT_LARGA!$K$2:$K$618,PSUT_LARGA!$B$2:$B$618,$B$3,PSUT_LARGA!$C$2:$C$618,$A11,PSUT_LARGA!$D$2:$D$618,"Energy from natural inputs",PSUT_LARGA!$E$2:$E$618,"Use",PSUT_LARGA!$G$2:$G$618,Q$9))</f>
        <v/>
      </c>
      <c r="R11" s="10" t="str">
        <f aca="false">IF(COUNTIFS(PSUT_LARGA!$B$2:$B$618,$B$3,PSUT_LARGA!$C$2:$C$618,$A11,PSUT_LARGA!$D$2:$D$618,"Energy from natural inputs",PSUT_LARGA!$E$2:$E$618,"Use",PSUT_LARGA!$G$2:$G$618,R$9)=0,"",SUMIFS(PSUT_LARGA!$K$2:$K$618,PSUT_LARGA!$B$2:$B$618,$B$3,PSUT_LARGA!$C$2:$C$618,$A11,PSUT_LARGA!$D$2:$D$618,"Energy from natural inputs",PSUT_LARGA!$E$2:$E$618,"Use",PSUT_LARGA!$G$2:$G$618,R$9))</f>
        <v/>
      </c>
      <c r="S11" s="10" t="str">
        <f aca="false">IF(COUNTIFS(PSUT_LARGA!$B$2:$B$618,$B$3,PSUT_LARGA!$C$2:$C$618,$A11,PSUT_LARGA!$D$2:$D$618,"Energy from natural inputs",PSUT_LARGA!$E$2:$E$618,"Use",PSUT_LARGA!$G$2:$G$618,S$9)=0,"",SUMIFS(PSUT_LARGA!$K$2:$K$618,PSUT_LARGA!$B$2:$B$618,$B$3,PSUT_LARGA!$C$2:$C$618,$A11,PSUT_LARGA!$D$2:$D$618,"Energy from natural inputs",PSUT_LARGA!$E$2:$E$618,"Use",PSUT_LARGA!$G$2:$G$618,S$9))</f>
        <v/>
      </c>
      <c r="T11" s="10" t="str">
        <f aca="false">IF(COUNTIFS(PSUT_LARGA!$B$2:$B$618,$B$3,PSUT_LARGA!$C$2:$C$618,$A11,PSUT_LARGA!$D$2:$D$618,"Energy from natural inputs",PSUT_LARGA!$E$2:$E$618,"Use",PSUT_LARGA!$G$2:$G$618,T$9)=0,"",SUMIFS(PSUT_LARGA!$K$2:$K$618,PSUT_LARGA!$B$2:$B$618,$B$3,PSUT_LARGA!$C$2:$C$618,$A11,PSUT_LARGA!$D$2:$D$618,"Energy from natural inputs",PSUT_LARGA!$E$2:$E$618,"Use",PSUT_LARGA!$G$2:$G$618,T$9))</f>
        <v/>
      </c>
      <c r="U11" s="10" t="str">
        <f aca="false">IF(COUNTIFS(PSUT_LARGA!$B$2:$B$618,$B$3,PSUT_LARGA!$C$2:$C$618,$A11,PSUT_LARGA!$D$2:$D$618,"Energy from natural inputs",PSUT_LARGA!$E$2:$E$618,"Use",PSUT_LARGA!$G$2:$G$618,U$9)=0,"",SUMIFS(PSUT_LARGA!$K$2:$K$618,PSUT_LARGA!$B$2:$B$618,$B$3,PSUT_LARGA!$C$2:$C$618,$A11,PSUT_LARGA!$D$2:$D$618,"Energy from natural inputs",PSUT_LARGA!$E$2:$E$618,"Use",PSUT_LARGA!$G$2:$G$618,U$9))</f>
        <v/>
      </c>
      <c r="V11" s="10" t="n">
        <f aca="false">IF(COUNT(J11:U11)=0,"",SUM(J11:U11))</f>
        <v>1044.9866</v>
      </c>
      <c r="W11" s="10" t="n">
        <f aca="false">IF(AND(I11="",COUNT(J11:U11)=0),"",SUM(I11)-SUM(J11:U11))</f>
        <v>0</v>
      </c>
    </row>
    <row r="12" customFormat="false" ht="15" hidden="false" customHeight="false" outlineLevel="0" collapsed="false">
      <c r="A12" s="4" t="s">
        <v>80</v>
      </c>
      <c r="B12" s="4" t="s">
        <v>81</v>
      </c>
      <c r="C12" s="10" t="n">
        <f aca="false">IF(COUNTIFS(PSUT_LARGA!$B$2:$B$618,$B$3,PSUT_LARGA!$C$2:$C$618,$A12,PSUT_LARGA!$D$2:$D$618,"Energy from natural inputs",PSUT_LARGA!$E$2:$E$618,"Supply",PSUT_LARGA!$G$2:$G$618,C$9)=0,"",SUMIFS(PSUT_LARGA!$K$2:$K$618,PSUT_LARGA!$B$2:$B$618,$B$3,PSUT_LARGA!$C$2:$C$618,$A12,PSUT_LARGA!$D$2:$D$618,"Energy from natural inputs",PSUT_LARGA!$E$2:$E$618,"Supply",PSUT_LARGA!$G$2:$G$618,C$9))</f>
        <v>11449.0698</v>
      </c>
      <c r="D12" s="10" t="str">
        <f aca="false">IF(COUNTIFS(PSUT_LARGA!$B$2:$B$618,$B$3,PSUT_LARGA!$C$2:$C$618,$A12,PSUT_LARGA!$D$2:$D$618,"Energy from natural inputs",PSUT_LARGA!$E$2:$E$618,"Supply",PSUT_LARGA!$G$2:$G$618,D$9)=0,"",SUMIFS(PSUT_LARGA!$K$2:$K$618,PSUT_LARGA!$B$2:$B$618,$B$3,PSUT_LARGA!$C$2:$C$618,$A12,PSUT_LARGA!$D$2:$D$618,"Energy from natural inputs",PSUT_LARGA!$E$2:$E$618,"Supply",PSUT_LARGA!$G$2:$G$618,D$9))</f>
        <v/>
      </c>
      <c r="E12" s="10" t="str">
        <f aca="false">IF(COUNTIFS(PSUT_LARGA!$B$2:$B$618,$B$3,PSUT_LARGA!$C$2:$C$618,$A12,PSUT_LARGA!$D$2:$D$618,"Energy from natural inputs",PSUT_LARGA!$E$2:$E$618,"Supply",PSUT_LARGA!$G$2:$G$618,E$9)=0,"",SUMIFS(PSUT_LARGA!$K$2:$K$618,PSUT_LARGA!$B$2:$B$618,$B$3,PSUT_LARGA!$C$2:$C$618,$A12,PSUT_LARGA!$D$2:$D$618,"Energy from natural inputs",PSUT_LARGA!$E$2:$E$618,"Supply",PSUT_LARGA!$G$2:$G$618,E$9))</f>
        <v/>
      </c>
      <c r="F12" s="10" t="str">
        <f aca="false">IF(COUNTIFS(PSUT_LARGA!$B$2:$B$618,$B$3,PSUT_LARGA!$C$2:$C$618,$A12,PSUT_LARGA!$D$2:$D$618,"Energy from natural inputs",PSUT_LARGA!$E$2:$E$618,"Supply",PSUT_LARGA!$G$2:$G$618,F$9)=0,"",SUMIFS(PSUT_LARGA!$K$2:$K$618,PSUT_LARGA!$B$2:$B$618,$B$3,PSUT_LARGA!$C$2:$C$618,$A12,PSUT_LARGA!$D$2:$D$618,"Energy from natural inputs",PSUT_LARGA!$E$2:$E$618,"Supply",PSUT_LARGA!$G$2:$G$618,F$9))</f>
        <v/>
      </c>
      <c r="G12" s="10" t="str">
        <f aca="false">IF(COUNTIFS(PSUT_LARGA!$B$2:$B$618,$B$3,PSUT_LARGA!$C$2:$C$618,$A12,PSUT_LARGA!$D$2:$D$618,"Energy from natural inputs",PSUT_LARGA!$E$2:$E$618,"Supply",PSUT_LARGA!$G$2:$G$618,G$9)=0,"",SUMIFS(PSUT_LARGA!$K$2:$K$618,PSUT_LARGA!$B$2:$B$618,$B$3,PSUT_LARGA!$C$2:$C$618,$A12,PSUT_LARGA!$D$2:$D$618,"Energy from natural inputs",PSUT_LARGA!$E$2:$E$618,"Supply",PSUT_LARGA!$G$2:$G$618,G$9))</f>
        <v/>
      </c>
      <c r="H12" s="10" t="str">
        <f aca="false">IF(COUNTIFS(PSUT_LARGA!$B$2:$B$618,$B$3,PSUT_LARGA!$C$2:$C$618,$A12,PSUT_LARGA!$D$2:$D$618,"Energy from natural inputs",PSUT_LARGA!$E$2:$E$618,"Supply",PSUT_LARGA!$G$2:$G$618,H$9)=0,"",SUMIFS(PSUT_LARGA!$K$2:$K$618,PSUT_LARGA!$B$2:$B$618,$B$3,PSUT_LARGA!$C$2:$C$618,$A12,PSUT_LARGA!$D$2:$D$618,"Energy from natural inputs",PSUT_LARGA!$E$2:$E$618,"Supply",PSUT_LARGA!$G$2:$G$618,H$9))</f>
        <v/>
      </c>
      <c r="I12" s="10" t="n">
        <f aca="false">IF(COUNT(C12:H12)=0,"",SUM(C12:H12))</f>
        <v>11449.0698</v>
      </c>
      <c r="J12" s="10" t="str">
        <f aca="false">IF(COUNTIFS(PSUT_LARGA!$B$2:$B$618,$B$3,PSUT_LARGA!$C$2:$C$618,$A12,PSUT_LARGA!$D$2:$D$618,"Energy from natural inputs",PSUT_LARGA!$E$2:$E$618,"Use",PSUT_LARGA!$G$2:$G$618,J$9)=0,"",SUMIFS(PSUT_LARGA!$K$2:$K$618,PSUT_LARGA!$B$2:$B$618,$B$3,PSUT_LARGA!$C$2:$C$618,$A12,PSUT_LARGA!$D$2:$D$618,"Energy from natural inputs",PSUT_LARGA!$E$2:$E$618,"Use",PSUT_LARGA!$G$2:$G$618,J$9))</f>
        <v/>
      </c>
      <c r="K12" s="10" t="str">
        <f aca="false">IF(COUNTIFS(PSUT_LARGA!$B$2:$B$618,$B$3,PSUT_LARGA!$C$2:$C$618,$A12,PSUT_LARGA!$D$2:$D$618,"Energy from natural inputs",PSUT_LARGA!$E$2:$E$618,"Use",PSUT_LARGA!$G$2:$G$618,K$9)=0,"",SUMIFS(PSUT_LARGA!$K$2:$K$618,PSUT_LARGA!$B$2:$B$618,$B$3,PSUT_LARGA!$C$2:$C$618,$A12,PSUT_LARGA!$D$2:$D$618,"Energy from natural inputs",PSUT_LARGA!$E$2:$E$618,"Use",PSUT_LARGA!$G$2:$G$618,K$9))</f>
        <v/>
      </c>
      <c r="L12" s="10" t="str">
        <f aca="false">IF(COUNTIFS(PSUT_LARGA!$B$2:$B$618,$B$3,PSUT_LARGA!$C$2:$C$618,$A12,PSUT_LARGA!$D$2:$D$618,"Energy from natural inputs",PSUT_LARGA!$E$2:$E$618,"Use",PSUT_LARGA!$G$2:$G$618,L$9)=0,"",SUMIFS(PSUT_LARGA!$K$2:$K$618,PSUT_LARGA!$B$2:$B$618,$B$3,PSUT_LARGA!$C$2:$C$618,$A12,PSUT_LARGA!$D$2:$D$618,"Energy from natural inputs",PSUT_LARGA!$E$2:$E$618,"Use",PSUT_LARGA!$G$2:$G$618,L$9))</f>
        <v/>
      </c>
      <c r="M12" s="10" t="n">
        <f aca="false">IF(COUNTIFS(PSUT_LARGA!$B$2:$B$618,$B$3,PSUT_LARGA!$C$2:$C$618,$A12,PSUT_LARGA!$D$2:$D$618,"Energy from natural inputs",PSUT_LARGA!$E$2:$E$618,"Use",PSUT_LARGA!$G$2:$G$618,M$9)=0,"",SUMIFS(PSUT_LARGA!$K$2:$K$618,PSUT_LARGA!$B$2:$B$618,$B$3,PSUT_LARGA!$C$2:$C$618,$A12,PSUT_LARGA!$D$2:$D$618,"Energy from natural inputs",PSUT_LARGA!$E$2:$E$618,"Use",PSUT_LARGA!$G$2:$G$618,M$9))</f>
        <v>11449.0698</v>
      </c>
      <c r="N12" s="10" t="str">
        <f aca="false">IF(COUNTIFS(PSUT_LARGA!$B$2:$B$618,$B$3,PSUT_LARGA!$C$2:$C$618,$A12,PSUT_LARGA!$D$2:$D$618,"Energy from natural inputs",PSUT_LARGA!$E$2:$E$618,"Use",PSUT_LARGA!$G$2:$G$618,N$9)=0,"",SUMIFS(PSUT_LARGA!$K$2:$K$618,PSUT_LARGA!$B$2:$B$618,$B$3,PSUT_LARGA!$C$2:$C$618,$A12,PSUT_LARGA!$D$2:$D$618,"Energy from natural inputs",PSUT_LARGA!$E$2:$E$618,"Use",PSUT_LARGA!$G$2:$G$618,N$9))</f>
        <v/>
      </c>
      <c r="O12" s="10" t="str">
        <f aca="false">IF(COUNTIFS(PSUT_LARGA!$B$2:$B$618,$B$3,PSUT_LARGA!$C$2:$C$618,$A12,PSUT_LARGA!$D$2:$D$618,"Energy from natural inputs",PSUT_LARGA!$E$2:$E$618,"Use",PSUT_LARGA!$G$2:$G$618,O$9)=0,"",SUMIFS(PSUT_LARGA!$K$2:$K$618,PSUT_LARGA!$B$2:$B$618,$B$3,PSUT_LARGA!$C$2:$C$618,$A12,PSUT_LARGA!$D$2:$D$618,"Energy from natural inputs",PSUT_LARGA!$E$2:$E$618,"Use",PSUT_LARGA!$G$2:$G$618,O$9))</f>
        <v/>
      </c>
      <c r="P12" s="10" t="str">
        <f aca="false">IF(COUNTIFS(PSUT_LARGA!$B$2:$B$618,$B$3,PSUT_LARGA!$C$2:$C$618,$A12,PSUT_LARGA!$D$2:$D$618,"Energy from natural inputs",PSUT_LARGA!$E$2:$E$618,"Use",PSUT_LARGA!$G$2:$G$618,P$9)=0,"",SUMIFS(PSUT_LARGA!$K$2:$K$618,PSUT_LARGA!$B$2:$B$618,$B$3,PSUT_LARGA!$C$2:$C$618,$A12,PSUT_LARGA!$D$2:$D$618,"Energy from natural inputs",PSUT_LARGA!$E$2:$E$618,"Use",PSUT_LARGA!$G$2:$G$618,P$9))</f>
        <v/>
      </c>
      <c r="Q12" s="10" t="str">
        <f aca="false">IF(COUNTIFS(PSUT_LARGA!$B$2:$B$618,$B$3,PSUT_LARGA!$C$2:$C$618,$A12,PSUT_LARGA!$D$2:$D$618,"Energy from natural inputs",PSUT_LARGA!$E$2:$E$618,"Use",PSUT_LARGA!$G$2:$G$618,Q$9)=0,"",SUMIFS(PSUT_LARGA!$K$2:$K$618,PSUT_LARGA!$B$2:$B$618,$B$3,PSUT_LARGA!$C$2:$C$618,$A12,PSUT_LARGA!$D$2:$D$618,"Energy from natural inputs",PSUT_LARGA!$E$2:$E$618,"Use",PSUT_LARGA!$G$2:$G$618,Q$9))</f>
        <v/>
      </c>
      <c r="R12" s="10" t="str">
        <f aca="false">IF(COUNTIFS(PSUT_LARGA!$B$2:$B$618,$B$3,PSUT_LARGA!$C$2:$C$618,$A12,PSUT_LARGA!$D$2:$D$618,"Energy from natural inputs",PSUT_LARGA!$E$2:$E$618,"Use",PSUT_LARGA!$G$2:$G$618,R$9)=0,"",SUMIFS(PSUT_LARGA!$K$2:$K$618,PSUT_LARGA!$B$2:$B$618,$B$3,PSUT_LARGA!$C$2:$C$618,$A12,PSUT_LARGA!$D$2:$D$618,"Energy from natural inputs",PSUT_LARGA!$E$2:$E$618,"Use",PSUT_LARGA!$G$2:$G$618,R$9))</f>
        <v/>
      </c>
      <c r="S12" s="10" t="str">
        <f aca="false">IF(COUNTIFS(PSUT_LARGA!$B$2:$B$618,$B$3,PSUT_LARGA!$C$2:$C$618,$A12,PSUT_LARGA!$D$2:$D$618,"Energy from natural inputs",PSUT_LARGA!$E$2:$E$618,"Use",PSUT_LARGA!$G$2:$G$618,S$9)=0,"",SUMIFS(PSUT_LARGA!$K$2:$K$618,PSUT_LARGA!$B$2:$B$618,$B$3,PSUT_LARGA!$C$2:$C$618,$A12,PSUT_LARGA!$D$2:$D$618,"Energy from natural inputs",PSUT_LARGA!$E$2:$E$618,"Use",PSUT_LARGA!$G$2:$G$618,S$9))</f>
        <v/>
      </c>
      <c r="T12" s="10" t="str">
        <f aca="false">IF(COUNTIFS(PSUT_LARGA!$B$2:$B$618,$B$3,PSUT_LARGA!$C$2:$C$618,$A12,PSUT_LARGA!$D$2:$D$618,"Energy from natural inputs",PSUT_LARGA!$E$2:$E$618,"Use",PSUT_LARGA!$G$2:$G$618,T$9)=0,"",SUMIFS(PSUT_LARGA!$K$2:$K$618,PSUT_LARGA!$B$2:$B$618,$B$3,PSUT_LARGA!$C$2:$C$618,$A12,PSUT_LARGA!$D$2:$D$618,"Energy from natural inputs",PSUT_LARGA!$E$2:$E$618,"Use",PSUT_LARGA!$G$2:$G$618,T$9))</f>
        <v/>
      </c>
      <c r="U12" s="10" t="str">
        <f aca="false">IF(COUNTIFS(PSUT_LARGA!$B$2:$B$618,$B$3,PSUT_LARGA!$C$2:$C$618,$A12,PSUT_LARGA!$D$2:$D$618,"Energy from natural inputs",PSUT_LARGA!$E$2:$E$618,"Use",PSUT_LARGA!$G$2:$G$618,U$9)=0,"",SUMIFS(PSUT_LARGA!$K$2:$K$618,PSUT_LARGA!$B$2:$B$618,$B$3,PSUT_LARGA!$C$2:$C$618,$A12,PSUT_LARGA!$D$2:$D$618,"Energy from natural inputs",PSUT_LARGA!$E$2:$E$618,"Use",PSUT_LARGA!$G$2:$G$618,U$9))</f>
        <v/>
      </c>
      <c r="V12" s="10" t="n">
        <f aca="false">IF(COUNT(J12:U12)=0,"",SUM(J12:U12))</f>
        <v>11449.0698</v>
      </c>
      <c r="W12" s="10" t="n">
        <f aca="false">IF(AND(I12="",COUNT(J12:U12)=0),"",SUM(I12)-SUM(J12:U12))</f>
        <v>0</v>
      </c>
    </row>
    <row r="13" customFormat="false" ht="15" hidden="false" customHeight="false" outlineLevel="0" collapsed="false">
      <c r="A13" s="4" t="s">
        <v>82</v>
      </c>
      <c r="B13" s="4" t="s">
        <v>83</v>
      </c>
      <c r="C13" s="10" t="n">
        <f aca="false">IF(COUNTIFS(PSUT_LARGA!$B$2:$B$618,$B$3,PSUT_LARGA!$C$2:$C$618,$A13,PSUT_LARGA!$D$2:$D$618,"Energy from natural inputs",PSUT_LARGA!$E$2:$E$618,"Supply",PSUT_LARGA!$G$2:$G$618,C$9)=0,"",SUMIFS(PSUT_LARGA!$K$2:$K$618,PSUT_LARGA!$B$2:$B$618,$B$3,PSUT_LARGA!$C$2:$C$618,$A13,PSUT_LARGA!$D$2:$D$618,"Energy from natural inputs",PSUT_LARGA!$E$2:$E$618,"Supply",PSUT_LARGA!$G$2:$G$618,C$9))</f>
        <v>736.0108</v>
      </c>
      <c r="D13" s="10" t="str">
        <f aca="false">IF(COUNTIFS(PSUT_LARGA!$B$2:$B$618,$B$3,PSUT_LARGA!$C$2:$C$618,$A13,PSUT_LARGA!$D$2:$D$618,"Energy from natural inputs",PSUT_LARGA!$E$2:$E$618,"Supply",PSUT_LARGA!$G$2:$G$618,D$9)=0,"",SUMIFS(PSUT_LARGA!$K$2:$K$618,PSUT_LARGA!$B$2:$B$618,$B$3,PSUT_LARGA!$C$2:$C$618,$A13,PSUT_LARGA!$D$2:$D$618,"Energy from natural inputs",PSUT_LARGA!$E$2:$E$618,"Supply",PSUT_LARGA!$G$2:$G$618,D$9))</f>
        <v/>
      </c>
      <c r="E13" s="10" t="str">
        <f aca="false">IF(COUNTIFS(PSUT_LARGA!$B$2:$B$618,$B$3,PSUT_LARGA!$C$2:$C$618,$A13,PSUT_LARGA!$D$2:$D$618,"Energy from natural inputs",PSUT_LARGA!$E$2:$E$618,"Supply",PSUT_LARGA!$G$2:$G$618,E$9)=0,"",SUMIFS(PSUT_LARGA!$K$2:$K$618,PSUT_LARGA!$B$2:$B$618,$B$3,PSUT_LARGA!$C$2:$C$618,$A13,PSUT_LARGA!$D$2:$D$618,"Energy from natural inputs",PSUT_LARGA!$E$2:$E$618,"Supply",PSUT_LARGA!$G$2:$G$618,E$9))</f>
        <v/>
      </c>
      <c r="F13" s="10" t="str">
        <f aca="false">IF(COUNTIFS(PSUT_LARGA!$B$2:$B$618,$B$3,PSUT_LARGA!$C$2:$C$618,$A13,PSUT_LARGA!$D$2:$D$618,"Energy from natural inputs",PSUT_LARGA!$E$2:$E$618,"Supply",PSUT_LARGA!$G$2:$G$618,F$9)=0,"",SUMIFS(PSUT_LARGA!$K$2:$K$618,PSUT_LARGA!$B$2:$B$618,$B$3,PSUT_LARGA!$C$2:$C$618,$A13,PSUT_LARGA!$D$2:$D$618,"Energy from natural inputs",PSUT_LARGA!$E$2:$E$618,"Supply",PSUT_LARGA!$G$2:$G$618,F$9))</f>
        <v/>
      </c>
      <c r="G13" s="10" t="str">
        <f aca="false">IF(COUNTIFS(PSUT_LARGA!$B$2:$B$618,$B$3,PSUT_LARGA!$C$2:$C$618,$A13,PSUT_LARGA!$D$2:$D$618,"Energy from natural inputs",PSUT_LARGA!$E$2:$E$618,"Supply",PSUT_LARGA!$G$2:$G$618,G$9)=0,"",SUMIFS(PSUT_LARGA!$K$2:$K$618,PSUT_LARGA!$B$2:$B$618,$B$3,PSUT_LARGA!$C$2:$C$618,$A13,PSUT_LARGA!$D$2:$D$618,"Energy from natural inputs",PSUT_LARGA!$E$2:$E$618,"Supply",PSUT_LARGA!$G$2:$G$618,G$9))</f>
        <v/>
      </c>
      <c r="H13" s="10" t="str">
        <f aca="false">IF(COUNTIFS(PSUT_LARGA!$B$2:$B$618,$B$3,PSUT_LARGA!$C$2:$C$618,$A13,PSUT_LARGA!$D$2:$D$618,"Energy from natural inputs",PSUT_LARGA!$E$2:$E$618,"Supply",PSUT_LARGA!$G$2:$G$618,H$9)=0,"",SUMIFS(PSUT_LARGA!$K$2:$K$618,PSUT_LARGA!$B$2:$B$618,$B$3,PSUT_LARGA!$C$2:$C$618,$A13,PSUT_LARGA!$D$2:$D$618,"Energy from natural inputs",PSUT_LARGA!$E$2:$E$618,"Supply",PSUT_LARGA!$G$2:$G$618,H$9))</f>
        <v/>
      </c>
      <c r="I13" s="10" t="n">
        <f aca="false">IF(COUNT(C13:H13)=0,"",SUM(C13:H13))</f>
        <v>736.0108</v>
      </c>
      <c r="J13" s="10" t="str">
        <f aca="false">IF(COUNTIFS(PSUT_LARGA!$B$2:$B$618,$B$3,PSUT_LARGA!$C$2:$C$618,$A13,PSUT_LARGA!$D$2:$D$618,"Energy from natural inputs",PSUT_LARGA!$E$2:$E$618,"Use",PSUT_LARGA!$G$2:$G$618,J$9)=0,"",SUMIFS(PSUT_LARGA!$K$2:$K$618,PSUT_LARGA!$B$2:$B$618,$B$3,PSUT_LARGA!$C$2:$C$618,$A13,PSUT_LARGA!$D$2:$D$618,"Energy from natural inputs",PSUT_LARGA!$E$2:$E$618,"Use",PSUT_LARGA!$G$2:$G$618,J$9))</f>
        <v/>
      </c>
      <c r="K13" s="10" t="str">
        <f aca="false">IF(COUNTIFS(PSUT_LARGA!$B$2:$B$618,$B$3,PSUT_LARGA!$C$2:$C$618,$A13,PSUT_LARGA!$D$2:$D$618,"Energy from natural inputs",PSUT_LARGA!$E$2:$E$618,"Use",PSUT_LARGA!$G$2:$G$618,K$9)=0,"",SUMIFS(PSUT_LARGA!$K$2:$K$618,PSUT_LARGA!$B$2:$B$618,$B$3,PSUT_LARGA!$C$2:$C$618,$A13,PSUT_LARGA!$D$2:$D$618,"Energy from natural inputs",PSUT_LARGA!$E$2:$E$618,"Use",PSUT_LARGA!$G$2:$G$618,K$9))</f>
        <v/>
      </c>
      <c r="L13" s="10" t="n">
        <f aca="false">IF(COUNTIFS(PSUT_LARGA!$B$2:$B$618,$B$3,PSUT_LARGA!$C$2:$C$618,$A13,PSUT_LARGA!$D$2:$D$618,"Energy from natural inputs",PSUT_LARGA!$E$2:$E$618,"Use",PSUT_LARGA!$G$2:$G$618,L$9)=0,"",SUMIFS(PSUT_LARGA!$K$2:$K$618,PSUT_LARGA!$B$2:$B$618,$B$3,PSUT_LARGA!$C$2:$C$618,$A13,PSUT_LARGA!$D$2:$D$618,"Energy from natural inputs",PSUT_LARGA!$E$2:$E$618,"Use",PSUT_LARGA!$G$2:$G$618,L$9))</f>
        <v>736.0108</v>
      </c>
      <c r="M13" s="10" t="str">
        <f aca="false">IF(COUNTIFS(PSUT_LARGA!$B$2:$B$618,$B$3,PSUT_LARGA!$C$2:$C$618,$A13,PSUT_LARGA!$D$2:$D$618,"Energy from natural inputs",PSUT_LARGA!$E$2:$E$618,"Use",PSUT_LARGA!$G$2:$G$618,M$9)=0,"",SUMIFS(PSUT_LARGA!$K$2:$K$618,PSUT_LARGA!$B$2:$B$618,$B$3,PSUT_LARGA!$C$2:$C$618,$A13,PSUT_LARGA!$D$2:$D$618,"Energy from natural inputs",PSUT_LARGA!$E$2:$E$618,"Use",PSUT_LARGA!$G$2:$G$618,M$9))</f>
        <v/>
      </c>
      <c r="N13" s="10" t="str">
        <f aca="false">IF(COUNTIFS(PSUT_LARGA!$B$2:$B$618,$B$3,PSUT_LARGA!$C$2:$C$618,$A13,PSUT_LARGA!$D$2:$D$618,"Energy from natural inputs",PSUT_LARGA!$E$2:$E$618,"Use",PSUT_LARGA!$G$2:$G$618,N$9)=0,"",SUMIFS(PSUT_LARGA!$K$2:$K$618,PSUT_LARGA!$B$2:$B$618,$B$3,PSUT_LARGA!$C$2:$C$618,$A13,PSUT_LARGA!$D$2:$D$618,"Energy from natural inputs",PSUT_LARGA!$E$2:$E$618,"Use",PSUT_LARGA!$G$2:$G$618,N$9))</f>
        <v/>
      </c>
      <c r="O13" s="10" t="str">
        <f aca="false">IF(COUNTIFS(PSUT_LARGA!$B$2:$B$618,$B$3,PSUT_LARGA!$C$2:$C$618,$A13,PSUT_LARGA!$D$2:$D$618,"Energy from natural inputs",PSUT_LARGA!$E$2:$E$618,"Use",PSUT_LARGA!$G$2:$G$618,O$9)=0,"",SUMIFS(PSUT_LARGA!$K$2:$K$618,PSUT_LARGA!$B$2:$B$618,$B$3,PSUT_LARGA!$C$2:$C$618,$A13,PSUT_LARGA!$D$2:$D$618,"Energy from natural inputs",PSUT_LARGA!$E$2:$E$618,"Use",PSUT_LARGA!$G$2:$G$618,O$9))</f>
        <v/>
      </c>
      <c r="P13" s="10" t="str">
        <f aca="false">IF(COUNTIFS(PSUT_LARGA!$B$2:$B$618,$B$3,PSUT_LARGA!$C$2:$C$618,$A13,PSUT_LARGA!$D$2:$D$618,"Energy from natural inputs",PSUT_LARGA!$E$2:$E$618,"Use",PSUT_LARGA!$G$2:$G$618,P$9)=0,"",SUMIFS(PSUT_LARGA!$K$2:$K$618,PSUT_LARGA!$B$2:$B$618,$B$3,PSUT_LARGA!$C$2:$C$618,$A13,PSUT_LARGA!$D$2:$D$618,"Energy from natural inputs",PSUT_LARGA!$E$2:$E$618,"Use",PSUT_LARGA!$G$2:$G$618,P$9))</f>
        <v/>
      </c>
      <c r="Q13" s="10" t="str">
        <f aca="false">IF(COUNTIFS(PSUT_LARGA!$B$2:$B$618,$B$3,PSUT_LARGA!$C$2:$C$618,$A13,PSUT_LARGA!$D$2:$D$618,"Energy from natural inputs",PSUT_LARGA!$E$2:$E$618,"Use",PSUT_LARGA!$G$2:$G$618,Q$9)=0,"",SUMIFS(PSUT_LARGA!$K$2:$K$618,PSUT_LARGA!$B$2:$B$618,$B$3,PSUT_LARGA!$C$2:$C$618,$A13,PSUT_LARGA!$D$2:$D$618,"Energy from natural inputs",PSUT_LARGA!$E$2:$E$618,"Use",PSUT_LARGA!$G$2:$G$618,Q$9))</f>
        <v/>
      </c>
      <c r="R13" s="10" t="str">
        <f aca="false">IF(COUNTIFS(PSUT_LARGA!$B$2:$B$618,$B$3,PSUT_LARGA!$C$2:$C$618,$A13,PSUT_LARGA!$D$2:$D$618,"Energy from natural inputs",PSUT_LARGA!$E$2:$E$618,"Use",PSUT_LARGA!$G$2:$G$618,R$9)=0,"",SUMIFS(PSUT_LARGA!$K$2:$K$618,PSUT_LARGA!$B$2:$B$618,$B$3,PSUT_LARGA!$C$2:$C$618,$A13,PSUT_LARGA!$D$2:$D$618,"Energy from natural inputs",PSUT_LARGA!$E$2:$E$618,"Use",PSUT_LARGA!$G$2:$G$618,R$9))</f>
        <v/>
      </c>
      <c r="S13" s="10" t="str">
        <f aca="false">IF(COUNTIFS(PSUT_LARGA!$B$2:$B$618,$B$3,PSUT_LARGA!$C$2:$C$618,$A13,PSUT_LARGA!$D$2:$D$618,"Energy from natural inputs",PSUT_LARGA!$E$2:$E$618,"Use",PSUT_LARGA!$G$2:$G$618,S$9)=0,"",SUMIFS(PSUT_LARGA!$K$2:$K$618,PSUT_LARGA!$B$2:$B$618,$B$3,PSUT_LARGA!$C$2:$C$618,$A13,PSUT_LARGA!$D$2:$D$618,"Energy from natural inputs",PSUT_LARGA!$E$2:$E$618,"Use",PSUT_LARGA!$G$2:$G$618,S$9))</f>
        <v/>
      </c>
      <c r="T13" s="10" t="str">
        <f aca="false">IF(COUNTIFS(PSUT_LARGA!$B$2:$B$618,$B$3,PSUT_LARGA!$C$2:$C$618,$A13,PSUT_LARGA!$D$2:$D$618,"Energy from natural inputs",PSUT_LARGA!$E$2:$E$618,"Use",PSUT_LARGA!$G$2:$G$618,T$9)=0,"",SUMIFS(PSUT_LARGA!$K$2:$K$618,PSUT_LARGA!$B$2:$B$618,$B$3,PSUT_LARGA!$C$2:$C$618,$A13,PSUT_LARGA!$D$2:$D$618,"Energy from natural inputs",PSUT_LARGA!$E$2:$E$618,"Use",PSUT_LARGA!$G$2:$G$618,T$9))</f>
        <v/>
      </c>
      <c r="U13" s="10" t="str">
        <f aca="false">IF(COUNTIFS(PSUT_LARGA!$B$2:$B$618,$B$3,PSUT_LARGA!$C$2:$C$618,$A13,PSUT_LARGA!$D$2:$D$618,"Energy from natural inputs",PSUT_LARGA!$E$2:$E$618,"Use",PSUT_LARGA!$G$2:$G$618,U$9)=0,"",SUMIFS(PSUT_LARGA!$K$2:$K$618,PSUT_LARGA!$B$2:$B$618,$B$3,PSUT_LARGA!$C$2:$C$618,$A13,PSUT_LARGA!$D$2:$D$618,"Energy from natural inputs",PSUT_LARGA!$E$2:$E$618,"Use",PSUT_LARGA!$G$2:$G$618,U$9))</f>
        <v/>
      </c>
      <c r="V13" s="10" t="n">
        <f aca="false">IF(COUNT(J13:U13)=0,"",SUM(J13:U13))</f>
        <v>736.0108</v>
      </c>
      <c r="W13" s="10" t="n">
        <f aca="false">IF(AND(I13="",COUNT(J13:U13)=0),"",SUM(I13)-SUM(J13:U13))</f>
        <v>0</v>
      </c>
    </row>
    <row r="14" customFormat="false" ht="15" hidden="false" customHeight="false" outlineLevel="0" collapsed="false">
      <c r="A14" s="4" t="s">
        <v>84</v>
      </c>
      <c r="B14" s="4" t="s">
        <v>85</v>
      </c>
      <c r="C14" s="10" t="n">
        <f aca="false">IF(COUNTIFS(PSUT_LARGA!$B$2:$B$618,$B$3,PSUT_LARGA!$C$2:$C$618,$A14,PSUT_LARGA!$D$2:$D$618,"Energy from natural inputs",PSUT_LARGA!$E$2:$E$618,"Supply",PSUT_LARGA!$G$2:$G$618,C$9)=0,"",SUMIFS(PSUT_LARGA!$K$2:$K$618,PSUT_LARGA!$B$2:$B$618,$B$3,PSUT_LARGA!$C$2:$C$618,$A14,PSUT_LARGA!$D$2:$D$618,"Energy from natural inputs",PSUT_LARGA!$E$2:$E$618,"Supply",PSUT_LARGA!$G$2:$G$618,C$9))</f>
        <v>24578.4497</v>
      </c>
      <c r="D14" s="10" t="str">
        <f aca="false">IF(COUNTIFS(PSUT_LARGA!$B$2:$B$618,$B$3,PSUT_LARGA!$C$2:$C$618,$A14,PSUT_LARGA!$D$2:$D$618,"Energy from natural inputs",PSUT_LARGA!$E$2:$E$618,"Supply",PSUT_LARGA!$G$2:$G$618,D$9)=0,"",SUMIFS(PSUT_LARGA!$K$2:$K$618,PSUT_LARGA!$B$2:$B$618,$B$3,PSUT_LARGA!$C$2:$C$618,$A14,PSUT_LARGA!$D$2:$D$618,"Energy from natural inputs",PSUT_LARGA!$E$2:$E$618,"Supply",PSUT_LARGA!$G$2:$G$618,D$9))</f>
        <v/>
      </c>
      <c r="E14" s="10" t="str">
        <f aca="false">IF(COUNTIFS(PSUT_LARGA!$B$2:$B$618,$B$3,PSUT_LARGA!$C$2:$C$618,$A14,PSUT_LARGA!$D$2:$D$618,"Energy from natural inputs",PSUT_LARGA!$E$2:$E$618,"Supply",PSUT_LARGA!$G$2:$G$618,E$9)=0,"",SUMIFS(PSUT_LARGA!$K$2:$K$618,PSUT_LARGA!$B$2:$B$618,$B$3,PSUT_LARGA!$C$2:$C$618,$A14,PSUT_LARGA!$D$2:$D$618,"Energy from natural inputs",PSUT_LARGA!$E$2:$E$618,"Supply",PSUT_LARGA!$G$2:$G$618,E$9))</f>
        <v/>
      </c>
      <c r="F14" s="10" t="str">
        <f aca="false">IF(COUNTIFS(PSUT_LARGA!$B$2:$B$618,$B$3,PSUT_LARGA!$C$2:$C$618,$A14,PSUT_LARGA!$D$2:$D$618,"Energy from natural inputs",PSUT_LARGA!$E$2:$E$618,"Supply",PSUT_LARGA!$G$2:$G$618,F$9)=0,"",SUMIFS(PSUT_LARGA!$K$2:$K$618,PSUT_LARGA!$B$2:$B$618,$B$3,PSUT_LARGA!$C$2:$C$618,$A14,PSUT_LARGA!$D$2:$D$618,"Energy from natural inputs",PSUT_LARGA!$E$2:$E$618,"Supply",PSUT_LARGA!$G$2:$G$618,F$9))</f>
        <v/>
      </c>
      <c r="G14" s="10" t="str">
        <f aca="false">IF(COUNTIFS(PSUT_LARGA!$B$2:$B$618,$B$3,PSUT_LARGA!$C$2:$C$618,$A14,PSUT_LARGA!$D$2:$D$618,"Energy from natural inputs",PSUT_LARGA!$E$2:$E$618,"Supply",PSUT_LARGA!$G$2:$G$618,G$9)=0,"",SUMIFS(PSUT_LARGA!$K$2:$K$618,PSUT_LARGA!$B$2:$B$618,$B$3,PSUT_LARGA!$C$2:$C$618,$A14,PSUT_LARGA!$D$2:$D$618,"Energy from natural inputs",PSUT_LARGA!$E$2:$E$618,"Supply",PSUT_LARGA!$G$2:$G$618,G$9))</f>
        <v/>
      </c>
      <c r="H14" s="10" t="str">
        <f aca="false">IF(COUNTIFS(PSUT_LARGA!$B$2:$B$618,$B$3,PSUT_LARGA!$C$2:$C$618,$A14,PSUT_LARGA!$D$2:$D$618,"Energy from natural inputs",PSUT_LARGA!$E$2:$E$618,"Supply",PSUT_LARGA!$G$2:$G$618,H$9)=0,"",SUMIFS(PSUT_LARGA!$K$2:$K$618,PSUT_LARGA!$B$2:$B$618,$B$3,PSUT_LARGA!$C$2:$C$618,$A14,PSUT_LARGA!$D$2:$D$618,"Energy from natural inputs",PSUT_LARGA!$E$2:$E$618,"Supply",PSUT_LARGA!$G$2:$G$618,H$9))</f>
        <v/>
      </c>
      <c r="I14" s="10" t="n">
        <f aca="false">IF(COUNT(C14:H14)=0,"",SUM(C14:H14))</f>
        <v>24578.4497</v>
      </c>
      <c r="J14" s="10" t="str">
        <f aca="false">IF(COUNTIFS(PSUT_LARGA!$B$2:$B$618,$B$3,PSUT_LARGA!$C$2:$C$618,$A14,PSUT_LARGA!$D$2:$D$618,"Energy from natural inputs",PSUT_LARGA!$E$2:$E$618,"Use",PSUT_LARGA!$G$2:$G$618,J$9)=0,"",SUMIFS(PSUT_LARGA!$K$2:$K$618,PSUT_LARGA!$B$2:$B$618,$B$3,PSUT_LARGA!$C$2:$C$618,$A14,PSUT_LARGA!$D$2:$D$618,"Energy from natural inputs",PSUT_LARGA!$E$2:$E$618,"Use",PSUT_LARGA!$G$2:$G$618,J$9))</f>
        <v/>
      </c>
      <c r="K14" s="10" t="str">
        <f aca="false">IF(COUNTIFS(PSUT_LARGA!$B$2:$B$618,$B$3,PSUT_LARGA!$C$2:$C$618,$A14,PSUT_LARGA!$D$2:$D$618,"Energy from natural inputs",PSUT_LARGA!$E$2:$E$618,"Use",PSUT_LARGA!$G$2:$G$618,K$9)=0,"",SUMIFS(PSUT_LARGA!$K$2:$K$618,PSUT_LARGA!$B$2:$B$618,$B$3,PSUT_LARGA!$C$2:$C$618,$A14,PSUT_LARGA!$D$2:$D$618,"Energy from natural inputs",PSUT_LARGA!$E$2:$E$618,"Use",PSUT_LARGA!$G$2:$G$618,K$9))</f>
        <v/>
      </c>
      <c r="L14" s="10" t="str">
        <f aca="false">IF(COUNTIFS(PSUT_LARGA!$B$2:$B$618,$B$3,PSUT_LARGA!$C$2:$C$618,$A14,PSUT_LARGA!$D$2:$D$618,"Energy from natural inputs",PSUT_LARGA!$E$2:$E$618,"Use",PSUT_LARGA!$G$2:$G$618,L$9)=0,"",SUMIFS(PSUT_LARGA!$K$2:$K$618,PSUT_LARGA!$B$2:$B$618,$B$3,PSUT_LARGA!$C$2:$C$618,$A14,PSUT_LARGA!$D$2:$D$618,"Energy from natural inputs",PSUT_LARGA!$E$2:$E$618,"Use",PSUT_LARGA!$G$2:$G$618,L$9))</f>
        <v/>
      </c>
      <c r="M14" s="10" t="n">
        <f aca="false">IF(COUNTIFS(PSUT_LARGA!$B$2:$B$618,$B$3,PSUT_LARGA!$C$2:$C$618,$A14,PSUT_LARGA!$D$2:$D$618,"Energy from natural inputs",PSUT_LARGA!$E$2:$E$618,"Use",PSUT_LARGA!$G$2:$G$618,M$9)=0,"",SUMIFS(PSUT_LARGA!$K$2:$K$618,PSUT_LARGA!$B$2:$B$618,$B$3,PSUT_LARGA!$C$2:$C$618,$A14,PSUT_LARGA!$D$2:$D$618,"Energy from natural inputs",PSUT_LARGA!$E$2:$E$618,"Use",PSUT_LARGA!$G$2:$G$618,M$9))</f>
        <v>24578.4497</v>
      </c>
      <c r="N14" s="10" t="str">
        <f aca="false">IF(COUNTIFS(PSUT_LARGA!$B$2:$B$618,$B$3,PSUT_LARGA!$C$2:$C$618,$A14,PSUT_LARGA!$D$2:$D$618,"Energy from natural inputs",PSUT_LARGA!$E$2:$E$618,"Use",PSUT_LARGA!$G$2:$G$618,N$9)=0,"",SUMIFS(PSUT_LARGA!$K$2:$K$618,PSUT_LARGA!$B$2:$B$618,$B$3,PSUT_LARGA!$C$2:$C$618,$A14,PSUT_LARGA!$D$2:$D$618,"Energy from natural inputs",PSUT_LARGA!$E$2:$E$618,"Use",PSUT_LARGA!$G$2:$G$618,N$9))</f>
        <v/>
      </c>
      <c r="O14" s="10" t="str">
        <f aca="false">IF(COUNTIFS(PSUT_LARGA!$B$2:$B$618,$B$3,PSUT_LARGA!$C$2:$C$618,$A14,PSUT_LARGA!$D$2:$D$618,"Energy from natural inputs",PSUT_LARGA!$E$2:$E$618,"Use",PSUT_LARGA!$G$2:$G$618,O$9)=0,"",SUMIFS(PSUT_LARGA!$K$2:$K$618,PSUT_LARGA!$B$2:$B$618,$B$3,PSUT_LARGA!$C$2:$C$618,$A14,PSUT_LARGA!$D$2:$D$618,"Energy from natural inputs",PSUT_LARGA!$E$2:$E$618,"Use",PSUT_LARGA!$G$2:$G$618,O$9))</f>
        <v/>
      </c>
      <c r="P14" s="10" t="str">
        <f aca="false">IF(COUNTIFS(PSUT_LARGA!$B$2:$B$618,$B$3,PSUT_LARGA!$C$2:$C$618,$A14,PSUT_LARGA!$D$2:$D$618,"Energy from natural inputs",PSUT_LARGA!$E$2:$E$618,"Use",PSUT_LARGA!$G$2:$G$618,P$9)=0,"",SUMIFS(PSUT_LARGA!$K$2:$K$618,PSUT_LARGA!$B$2:$B$618,$B$3,PSUT_LARGA!$C$2:$C$618,$A14,PSUT_LARGA!$D$2:$D$618,"Energy from natural inputs",PSUT_LARGA!$E$2:$E$618,"Use",PSUT_LARGA!$G$2:$G$618,P$9))</f>
        <v/>
      </c>
      <c r="Q14" s="10" t="str">
        <f aca="false">IF(COUNTIFS(PSUT_LARGA!$B$2:$B$618,$B$3,PSUT_LARGA!$C$2:$C$618,$A14,PSUT_LARGA!$D$2:$D$618,"Energy from natural inputs",PSUT_LARGA!$E$2:$E$618,"Use",PSUT_LARGA!$G$2:$G$618,Q$9)=0,"",SUMIFS(PSUT_LARGA!$K$2:$K$618,PSUT_LARGA!$B$2:$B$618,$B$3,PSUT_LARGA!$C$2:$C$618,$A14,PSUT_LARGA!$D$2:$D$618,"Energy from natural inputs",PSUT_LARGA!$E$2:$E$618,"Use",PSUT_LARGA!$G$2:$G$618,Q$9))</f>
        <v/>
      </c>
      <c r="R14" s="10" t="str">
        <f aca="false">IF(COUNTIFS(PSUT_LARGA!$B$2:$B$618,$B$3,PSUT_LARGA!$C$2:$C$618,$A14,PSUT_LARGA!$D$2:$D$618,"Energy from natural inputs",PSUT_LARGA!$E$2:$E$618,"Use",PSUT_LARGA!$G$2:$G$618,R$9)=0,"",SUMIFS(PSUT_LARGA!$K$2:$K$618,PSUT_LARGA!$B$2:$B$618,$B$3,PSUT_LARGA!$C$2:$C$618,$A14,PSUT_LARGA!$D$2:$D$618,"Energy from natural inputs",PSUT_LARGA!$E$2:$E$618,"Use",PSUT_LARGA!$G$2:$G$618,R$9))</f>
        <v/>
      </c>
      <c r="S14" s="10" t="str">
        <f aca="false">IF(COUNTIFS(PSUT_LARGA!$B$2:$B$618,$B$3,PSUT_LARGA!$C$2:$C$618,$A14,PSUT_LARGA!$D$2:$D$618,"Energy from natural inputs",PSUT_LARGA!$E$2:$E$618,"Use",PSUT_LARGA!$G$2:$G$618,S$9)=0,"",SUMIFS(PSUT_LARGA!$K$2:$K$618,PSUT_LARGA!$B$2:$B$618,$B$3,PSUT_LARGA!$C$2:$C$618,$A14,PSUT_LARGA!$D$2:$D$618,"Energy from natural inputs",PSUT_LARGA!$E$2:$E$618,"Use",PSUT_LARGA!$G$2:$G$618,S$9))</f>
        <v/>
      </c>
      <c r="T14" s="10" t="str">
        <f aca="false">IF(COUNTIFS(PSUT_LARGA!$B$2:$B$618,$B$3,PSUT_LARGA!$C$2:$C$618,$A14,PSUT_LARGA!$D$2:$D$618,"Energy from natural inputs",PSUT_LARGA!$E$2:$E$618,"Use",PSUT_LARGA!$G$2:$G$618,T$9)=0,"",SUMIFS(PSUT_LARGA!$K$2:$K$618,PSUT_LARGA!$B$2:$B$618,$B$3,PSUT_LARGA!$C$2:$C$618,$A14,PSUT_LARGA!$D$2:$D$618,"Energy from natural inputs",PSUT_LARGA!$E$2:$E$618,"Use",PSUT_LARGA!$G$2:$G$618,T$9))</f>
        <v/>
      </c>
      <c r="U14" s="10" t="str">
        <f aca="false">IF(COUNTIFS(PSUT_LARGA!$B$2:$B$618,$B$3,PSUT_LARGA!$C$2:$C$618,$A14,PSUT_LARGA!$D$2:$D$618,"Energy from natural inputs",PSUT_LARGA!$E$2:$E$618,"Use",PSUT_LARGA!$G$2:$G$618,U$9)=0,"",SUMIFS(PSUT_LARGA!$K$2:$K$618,PSUT_LARGA!$B$2:$B$618,$B$3,PSUT_LARGA!$C$2:$C$618,$A14,PSUT_LARGA!$D$2:$D$618,"Energy from natural inputs",PSUT_LARGA!$E$2:$E$618,"Use",PSUT_LARGA!$G$2:$G$618,U$9))</f>
        <v/>
      </c>
      <c r="V14" s="10" t="n">
        <f aca="false">IF(COUNT(J14:U14)=0,"",SUM(J14:U14))</f>
        <v>24578.4497</v>
      </c>
      <c r="W14" s="10" t="n">
        <f aca="false">IF(AND(I14="",COUNT(J14:U14)=0),"",SUM(I14)-SUM(J14:U14))</f>
        <v>0</v>
      </c>
    </row>
    <row r="15" customFormat="false" ht="15" hidden="false" customHeight="false" outlineLevel="0" collapsed="false">
      <c r="A15" s="4" t="s">
        <v>86</v>
      </c>
      <c r="B15" s="4" t="s">
        <v>87</v>
      </c>
      <c r="C15" s="10" t="n">
        <f aca="false">IF(COUNTIFS(PSUT_LARGA!$B$2:$B$618,$B$3,PSUT_LARGA!$C$2:$C$618,$A15,PSUT_LARGA!$D$2:$D$618,"Energy from natural inputs",PSUT_LARGA!$E$2:$E$618,"Supply",PSUT_LARGA!$G$2:$G$618,C$9)=0,"",SUMIFS(PSUT_LARGA!$K$2:$K$618,PSUT_LARGA!$B$2:$B$618,$B$3,PSUT_LARGA!$C$2:$C$618,$A15,PSUT_LARGA!$D$2:$D$618,"Energy from natural inputs",PSUT_LARGA!$E$2:$E$618,"Supply",PSUT_LARGA!$G$2:$G$618,C$9))</f>
        <v>10735.3113</v>
      </c>
      <c r="D15" s="10" t="str">
        <f aca="false">IF(COUNTIFS(PSUT_LARGA!$B$2:$B$618,$B$3,PSUT_LARGA!$C$2:$C$618,$A15,PSUT_LARGA!$D$2:$D$618,"Energy from natural inputs",PSUT_LARGA!$E$2:$E$618,"Supply",PSUT_LARGA!$G$2:$G$618,D$9)=0,"",SUMIFS(PSUT_LARGA!$K$2:$K$618,PSUT_LARGA!$B$2:$B$618,$B$3,PSUT_LARGA!$C$2:$C$618,$A15,PSUT_LARGA!$D$2:$D$618,"Energy from natural inputs",PSUT_LARGA!$E$2:$E$618,"Supply",PSUT_LARGA!$G$2:$G$618,D$9))</f>
        <v/>
      </c>
      <c r="E15" s="10" t="str">
        <f aca="false">IF(COUNTIFS(PSUT_LARGA!$B$2:$B$618,$B$3,PSUT_LARGA!$C$2:$C$618,$A15,PSUT_LARGA!$D$2:$D$618,"Energy from natural inputs",PSUT_LARGA!$E$2:$E$618,"Supply",PSUT_LARGA!$G$2:$G$618,E$9)=0,"",SUMIFS(PSUT_LARGA!$K$2:$K$618,PSUT_LARGA!$B$2:$B$618,$B$3,PSUT_LARGA!$C$2:$C$618,$A15,PSUT_LARGA!$D$2:$D$618,"Energy from natural inputs",PSUT_LARGA!$E$2:$E$618,"Supply",PSUT_LARGA!$G$2:$G$618,E$9))</f>
        <v/>
      </c>
      <c r="F15" s="10" t="str">
        <f aca="false">IF(COUNTIFS(PSUT_LARGA!$B$2:$B$618,$B$3,PSUT_LARGA!$C$2:$C$618,$A15,PSUT_LARGA!$D$2:$D$618,"Energy from natural inputs",PSUT_LARGA!$E$2:$E$618,"Supply",PSUT_LARGA!$G$2:$G$618,F$9)=0,"",SUMIFS(PSUT_LARGA!$K$2:$K$618,PSUT_LARGA!$B$2:$B$618,$B$3,PSUT_LARGA!$C$2:$C$618,$A15,PSUT_LARGA!$D$2:$D$618,"Energy from natural inputs",PSUT_LARGA!$E$2:$E$618,"Supply",PSUT_LARGA!$G$2:$G$618,F$9))</f>
        <v/>
      </c>
      <c r="G15" s="10" t="str">
        <f aca="false">IF(COUNTIFS(PSUT_LARGA!$B$2:$B$618,$B$3,PSUT_LARGA!$C$2:$C$618,$A15,PSUT_LARGA!$D$2:$D$618,"Energy from natural inputs",PSUT_LARGA!$E$2:$E$618,"Supply",PSUT_LARGA!$G$2:$G$618,G$9)=0,"",SUMIFS(PSUT_LARGA!$K$2:$K$618,PSUT_LARGA!$B$2:$B$618,$B$3,PSUT_LARGA!$C$2:$C$618,$A15,PSUT_LARGA!$D$2:$D$618,"Energy from natural inputs",PSUT_LARGA!$E$2:$E$618,"Supply",PSUT_LARGA!$G$2:$G$618,G$9))</f>
        <v/>
      </c>
      <c r="H15" s="10" t="str">
        <f aca="false">IF(COUNTIFS(PSUT_LARGA!$B$2:$B$618,$B$3,PSUT_LARGA!$C$2:$C$618,$A15,PSUT_LARGA!$D$2:$D$618,"Energy from natural inputs",PSUT_LARGA!$E$2:$E$618,"Supply",PSUT_LARGA!$G$2:$G$618,H$9)=0,"",SUMIFS(PSUT_LARGA!$K$2:$K$618,PSUT_LARGA!$B$2:$B$618,$B$3,PSUT_LARGA!$C$2:$C$618,$A15,PSUT_LARGA!$D$2:$D$618,"Energy from natural inputs",PSUT_LARGA!$E$2:$E$618,"Supply",PSUT_LARGA!$G$2:$G$618,H$9))</f>
        <v/>
      </c>
      <c r="I15" s="10" t="n">
        <f aca="false">IF(COUNT(C15:H15)=0,"",SUM(C15:H15))</f>
        <v>10735.3113</v>
      </c>
      <c r="J15" s="10" t="str">
        <f aca="false">IF(COUNTIFS(PSUT_LARGA!$B$2:$B$618,$B$3,PSUT_LARGA!$C$2:$C$618,$A15,PSUT_LARGA!$D$2:$D$618,"Energy from natural inputs",PSUT_LARGA!$E$2:$E$618,"Use",PSUT_LARGA!$G$2:$G$618,J$9)=0,"",SUMIFS(PSUT_LARGA!$K$2:$K$618,PSUT_LARGA!$B$2:$B$618,$B$3,PSUT_LARGA!$C$2:$C$618,$A15,PSUT_LARGA!$D$2:$D$618,"Energy from natural inputs",PSUT_LARGA!$E$2:$E$618,"Use",PSUT_LARGA!$G$2:$G$618,J$9))</f>
        <v/>
      </c>
      <c r="K15" s="10" t="str">
        <f aca="false">IF(COUNTIFS(PSUT_LARGA!$B$2:$B$618,$B$3,PSUT_LARGA!$C$2:$C$618,$A15,PSUT_LARGA!$D$2:$D$618,"Energy from natural inputs",PSUT_LARGA!$E$2:$E$618,"Use",PSUT_LARGA!$G$2:$G$618,K$9)=0,"",SUMIFS(PSUT_LARGA!$K$2:$K$618,PSUT_LARGA!$B$2:$B$618,$B$3,PSUT_LARGA!$C$2:$C$618,$A15,PSUT_LARGA!$D$2:$D$618,"Energy from natural inputs",PSUT_LARGA!$E$2:$E$618,"Use",PSUT_LARGA!$G$2:$G$618,K$9))</f>
        <v/>
      </c>
      <c r="L15" s="10" t="n">
        <f aca="false">IF(COUNTIFS(PSUT_LARGA!$B$2:$B$618,$B$3,PSUT_LARGA!$C$2:$C$618,$A15,PSUT_LARGA!$D$2:$D$618,"Energy from natural inputs",PSUT_LARGA!$E$2:$E$618,"Use",PSUT_LARGA!$G$2:$G$618,L$9)=0,"",SUMIFS(PSUT_LARGA!$K$2:$K$618,PSUT_LARGA!$B$2:$B$618,$B$3,PSUT_LARGA!$C$2:$C$618,$A15,PSUT_LARGA!$D$2:$D$618,"Energy from natural inputs",PSUT_LARGA!$E$2:$E$618,"Use",PSUT_LARGA!$G$2:$G$618,L$9))</f>
        <v>10735.3113</v>
      </c>
      <c r="M15" s="10" t="str">
        <f aca="false">IF(COUNTIFS(PSUT_LARGA!$B$2:$B$618,$B$3,PSUT_LARGA!$C$2:$C$618,$A15,PSUT_LARGA!$D$2:$D$618,"Energy from natural inputs",PSUT_LARGA!$E$2:$E$618,"Use",PSUT_LARGA!$G$2:$G$618,M$9)=0,"",SUMIFS(PSUT_LARGA!$K$2:$K$618,PSUT_LARGA!$B$2:$B$618,$B$3,PSUT_LARGA!$C$2:$C$618,$A15,PSUT_LARGA!$D$2:$D$618,"Energy from natural inputs",PSUT_LARGA!$E$2:$E$618,"Use",PSUT_LARGA!$G$2:$G$618,M$9))</f>
        <v/>
      </c>
      <c r="N15" s="10" t="str">
        <f aca="false">IF(COUNTIFS(PSUT_LARGA!$B$2:$B$618,$B$3,PSUT_LARGA!$C$2:$C$618,$A15,PSUT_LARGA!$D$2:$D$618,"Energy from natural inputs",PSUT_LARGA!$E$2:$E$618,"Use",PSUT_LARGA!$G$2:$G$618,N$9)=0,"",SUMIFS(PSUT_LARGA!$K$2:$K$618,PSUT_LARGA!$B$2:$B$618,$B$3,PSUT_LARGA!$C$2:$C$618,$A15,PSUT_LARGA!$D$2:$D$618,"Energy from natural inputs",PSUT_LARGA!$E$2:$E$618,"Use",PSUT_LARGA!$G$2:$G$618,N$9))</f>
        <v/>
      </c>
      <c r="O15" s="10" t="str">
        <f aca="false">IF(COUNTIFS(PSUT_LARGA!$B$2:$B$618,$B$3,PSUT_LARGA!$C$2:$C$618,$A15,PSUT_LARGA!$D$2:$D$618,"Energy from natural inputs",PSUT_LARGA!$E$2:$E$618,"Use",PSUT_LARGA!$G$2:$G$618,O$9)=0,"",SUMIFS(PSUT_LARGA!$K$2:$K$618,PSUT_LARGA!$B$2:$B$618,$B$3,PSUT_LARGA!$C$2:$C$618,$A15,PSUT_LARGA!$D$2:$D$618,"Energy from natural inputs",PSUT_LARGA!$E$2:$E$618,"Use",PSUT_LARGA!$G$2:$G$618,O$9))</f>
        <v/>
      </c>
      <c r="P15" s="10" t="str">
        <f aca="false">IF(COUNTIFS(PSUT_LARGA!$B$2:$B$618,$B$3,PSUT_LARGA!$C$2:$C$618,$A15,PSUT_LARGA!$D$2:$D$618,"Energy from natural inputs",PSUT_LARGA!$E$2:$E$618,"Use",PSUT_LARGA!$G$2:$G$618,P$9)=0,"",SUMIFS(PSUT_LARGA!$K$2:$K$618,PSUT_LARGA!$B$2:$B$618,$B$3,PSUT_LARGA!$C$2:$C$618,$A15,PSUT_LARGA!$D$2:$D$618,"Energy from natural inputs",PSUT_LARGA!$E$2:$E$618,"Use",PSUT_LARGA!$G$2:$G$618,P$9))</f>
        <v/>
      </c>
      <c r="Q15" s="10" t="str">
        <f aca="false">IF(COUNTIFS(PSUT_LARGA!$B$2:$B$618,$B$3,PSUT_LARGA!$C$2:$C$618,$A15,PSUT_LARGA!$D$2:$D$618,"Energy from natural inputs",PSUT_LARGA!$E$2:$E$618,"Use",PSUT_LARGA!$G$2:$G$618,Q$9)=0,"",SUMIFS(PSUT_LARGA!$K$2:$K$618,PSUT_LARGA!$B$2:$B$618,$B$3,PSUT_LARGA!$C$2:$C$618,$A15,PSUT_LARGA!$D$2:$D$618,"Energy from natural inputs",PSUT_LARGA!$E$2:$E$618,"Use",PSUT_LARGA!$G$2:$G$618,Q$9))</f>
        <v/>
      </c>
      <c r="R15" s="10" t="str">
        <f aca="false">IF(COUNTIFS(PSUT_LARGA!$B$2:$B$618,$B$3,PSUT_LARGA!$C$2:$C$618,$A15,PSUT_LARGA!$D$2:$D$618,"Energy from natural inputs",PSUT_LARGA!$E$2:$E$618,"Use",PSUT_LARGA!$G$2:$G$618,R$9)=0,"",SUMIFS(PSUT_LARGA!$K$2:$K$618,PSUT_LARGA!$B$2:$B$618,$B$3,PSUT_LARGA!$C$2:$C$618,$A15,PSUT_LARGA!$D$2:$D$618,"Energy from natural inputs",PSUT_LARGA!$E$2:$E$618,"Use",PSUT_LARGA!$G$2:$G$618,R$9))</f>
        <v/>
      </c>
      <c r="S15" s="10" t="str">
        <f aca="false">IF(COUNTIFS(PSUT_LARGA!$B$2:$B$618,$B$3,PSUT_LARGA!$C$2:$C$618,$A15,PSUT_LARGA!$D$2:$D$618,"Energy from natural inputs",PSUT_LARGA!$E$2:$E$618,"Use",PSUT_LARGA!$G$2:$G$618,S$9)=0,"",SUMIFS(PSUT_LARGA!$K$2:$K$618,PSUT_LARGA!$B$2:$B$618,$B$3,PSUT_LARGA!$C$2:$C$618,$A15,PSUT_LARGA!$D$2:$D$618,"Energy from natural inputs",PSUT_LARGA!$E$2:$E$618,"Use",PSUT_LARGA!$G$2:$G$618,S$9))</f>
        <v/>
      </c>
      <c r="T15" s="10" t="str">
        <f aca="false">IF(COUNTIFS(PSUT_LARGA!$B$2:$B$618,$B$3,PSUT_LARGA!$C$2:$C$618,$A15,PSUT_LARGA!$D$2:$D$618,"Energy from natural inputs",PSUT_LARGA!$E$2:$E$618,"Use",PSUT_LARGA!$G$2:$G$618,T$9)=0,"",SUMIFS(PSUT_LARGA!$K$2:$K$618,PSUT_LARGA!$B$2:$B$618,$B$3,PSUT_LARGA!$C$2:$C$618,$A15,PSUT_LARGA!$D$2:$D$618,"Energy from natural inputs",PSUT_LARGA!$E$2:$E$618,"Use",PSUT_LARGA!$G$2:$G$618,T$9))</f>
        <v/>
      </c>
      <c r="U15" s="10" t="str">
        <f aca="false">IF(COUNTIFS(PSUT_LARGA!$B$2:$B$618,$B$3,PSUT_LARGA!$C$2:$C$618,$A15,PSUT_LARGA!$D$2:$D$618,"Energy from natural inputs",PSUT_LARGA!$E$2:$E$618,"Use",PSUT_LARGA!$G$2:$G$618,U$9)=0,"",SUMIFS(PSUT_LARGA!$K$2:$K$618,PSUT_LARGA!$B$2:$B$618,$B$3,PSUT_LARGA!$C$2:$C$618,$A15,PSUT_LARGA!$D$2:$D$618,"Energy from natural inputs",PSUT_LARGA!$E$2:$E$618,"Use",PSUT_LARGA!$G$2:$G$618,U$9))</f>
        <v/>
      </c>
      <c r="V15" s="10" t="n">
        <f aca="false">IF(COUNT(J15:U15)=0,"",SUM(J15:U15))</f>
        <v>10735.3113</v>
      </c>
      <c r="W15" s="10" t="n">
        <f aca="false">IF(AND(I15="",COUNT(J15:U15)=0),"",SUM(I15)-SUM(J15:U15))</f>
        <v>0</v>
      </c>
    </row>
    <row r="16" customFormat="false" ht="15" hidden="false" customHeight="false" outlineLevel="0" collapsed="false">
      <c r="A16" s="4" t="s">
        <v>88</v>
      </c>
      <c r="B16" s="4" t="s">
        <v>89</v>
      </c>
      <c r="C16" s="10" t="n">
        <f aca="false">IF(COUNTIFS(PSUT_LARGA!$B$2:$B$618,$B$3,PSUT_LARGA!$C$2:$C$618,$A16,PSUT_LARGA!$D$2:$D$618,"Energy from natural inputs",PSUT_LARGA!$E$2:$E$618,"Supply",PSUT_LARGA!$G$2:$G$618,C$9)=0,"",SUMIFS(PSUT_LARGA!$K$2:$K$618,PSUT_LARGA!$B$2:$B$618,$B$3,PSUT_LARGA!$C$2:$C$618,$A16,PSUT_LARGA!$D$2:$D$618,"Energy from natural inputs",PSUT_LARGA!$E$2:$E$618,"Supply",PSUT_LARGA!$G$2:$G$618,C$9))</f>
        <v>909.6136</v>
      </c>
      <c r="D16" s="10" t="str">
        <f aca="false">IF(COUNTIFS(PSUT_LARGA!$B$2:$B$618,$B$3,PSUT_LARGA!$C$2:$C$618,$A16,PSUT_LARGA!$D$2:$D$618,"Energy from natural inputs",PSUT_LARGA!$E$2:$E$618,"Supply",PSUT_LARGA!$G$2:$G$618,D$9)=0,"",SUMIFS(PSUT_LARGA!$K$2:$K$618,PSUT_LARGA!$B$2:$B$618,$B$3,PSUT_LARGA!$C$2:$C$618,$A16,PSUT_LARGA!$D$2:$D$618,"Energy from natural inputs",PSUT_LARGA!$E$2:$E$618,"Supply",PSUT_LARGA!$G$2:$G$618,D$9))</f>
        <v/>
      </c>
      <c r="E16" s="10" t="str">
        <f aca="false">IF(COUNTIFS(PSUT_LARGA!$B$2:$B$618,$B$3,PSUT_LARGA!$C$2:$C$618,$A16,PSUT_LARGA!$D$2:$D$618,"Energy from natural inputs",PSUT_LARGA!$E$2:$E$618,"Supply",PSUT_LARGA!$G$2:$G$618,E$9)=0,"",SUMIFS(PSUT_LARGA!$K$2:$K$618,PSUT_LARGA!$B$2:$B$618,$B$3,PSUT_LARGA!$C$2:$C$618,$A16,PSUT_LARGA!$D$2:$D$618,"Energy from natural inputs",PSUT_LARGA!$E$2:$E$618,"Supply",PSUT_LARGA!$G$2:$G$618,E$9))</f>
        <v/>
      </c>
      <c r="F16" s="10" t="str">
        <f aca="false">IF(COUNTIFS(PSUT_LARGA!$B$2:$B$618,$B$3,PSUT_LARGA!$C$2:$C$618,$A16,PSUT_LARGA!$D$2:$D$618,"Energy from natural inputs",PSUT_LARGA!$E$2:$E$618,"Supply",PSUT_LARGA!$G$2:$G$618,F$9)=0,"",SUMIFS(PSUT_LARGA!$K$2:$K$618,PSUT_LARGA!$B$2:$B$618,$B$3,PSUT_LARGA!$C$2:$C$618,$A16,PSUT_LARGA!$D$2:$D$618,"Energy from natural inputs",PSUT_LARGA!$E$2:$E$618,"Supply",PSUT_LARGA!$G$2:$G$618,F$9))</f>
        <v/>
      </c>
      <c r="G16" s="10" t="str">
        <f aca="false">IF(COUNTIFS(PSUT_LARGA!$B$2:$B$618,$B$3,PSUT_LARGA!$C$2:$C$618,$A16,PSUT_LARGA!$D$2:$D$618,"Energy from natural inputs",PSUT_LARGA!$E$2:$E$618,"Supply",PSUT_LARGA!$G$2:$G$618,G$9)=0,"",SUMIFS(PSUT_LARGA!$K$2:$K$618,PSUT_LARGA!$B$2:$B$618,$B$3,PSUT_LARGA!$C$2:$C$618,$A16,PSUT_LARGA!$D$2:$D$618,"Energy from natural inputs",PSUT_LARGA!$E$2:$E$618,"Supply",PSUT_LARGA!$G$2:$G$618,G$9))</f>
        <v/>
      </c>
      <c r="H16" s="10" t="str">
        <f aca="false">IF(COUNTIFS(PSUT_LARGA!$B$2:$B$618,$B$3,PSUT_LARGA!$C$2:$C$618,$A16,PSUT_LARGA!$D$2:$D$618,"Energy from natural inputs",PSUT_LARGA!$E$2:$E$618,"Supply",PSUT_LARGA!$G$2:$G$618,H$9)=0,"",SUMIFS(PSUT_LARGA!$K$2:$K$618,PSUT_LARGA!$B$2:$B$618,$B$3,PSUT_LARGA!$C$2:$C$618,$A16,PSUT_LARGA!$D$2:$D$618,"Energy from natural inputs",PSUT_LARGA!$E$2:$E$618,"Supply",PSUT_LARGA!$G$2:$G$618,H$9))</f>
        <v/>
      </c>
      <c r="I16" s="10" t="n">
        <f aca="false">IF(COUNT(C16:H16)=0,"",SUM(C16:H16))</f>
        <v>909.6136</v>
      </c>
      <c r="J16" s="10" t="str">
        <f aca="false">IF(COUNTIFS(PSUT_LARGA!$B$2:$B$618,$B$3,PSUT_LARGA!$C$2:$C$618,$A16,PSUT_LARGA!$D$2:$D$618,"Energy from natural inputs",PSUT_LARGA!$E$2:$E$618,"Use",PSUT_LARGA!$G$2:$G$618,J$9)=0,"",SUMIFS(PSUT_LARGA!$K$2:$K$618,PSUT_LARGA!$B$2:$B$618,$B$3,PSUT_LARGA!$C$2:$C$618,$A16,PSUT_LARGA!$D$2:$D$618,"Energy from natural inputs",PSUT_LARGA!$E$2:$E$618,"Use",PSUT_LARGA!$G$2:$G$618,J$9))</f>
        <v/>
      </c>
      <c r="K16" s="10" t="str">
        <f aca="false">IF(COUNTIFS(PSUT_LARGA!$B$2:$B$618,$B$3,PSUT_LARGA!$C$2:$C$618,$A16,PSUT_LARGA!$D$2:$D$618,"Energy from natural inputs",PSUT_LARGA!$E$2:$E$618,"Use",PSUT_LARGA!$G$2:$G$618,K$9)=0,"",SUMIFS(PSUT_LARGA!$K$2:$K$618,PSUT_LARGA!$B$2:$B$618,$B$3,PSUT_LARGA!$C$2:$C$618,$A16,PSUT_LARGA!$D$2:$D$618,"Energy from natural inputs",PSUT_LARGA!$E$2:$E$618,"Use",PSUT_LARGA!$G$2:$G$618,K$9))</f>
        <v/>
      </c>
      <c r="L16" s="10" t="str">
        <f aca="false">IF(COUNTIFS(PSUT_LARGA!$B$2:$B$618,$B$3,PSUT_LARGA!$C$2:$C$618,$A16,PSUT_LARGA!$D$2:$D$618,"Energy from natural inputs",PSUT_LARGA!$E$2:$E$618,"Use",PSUT_LARGA!$G$2:$G$618,L$9)=0,"",SUMIFS(PSUT_LARGA!$K$2:$K$618,PSUT_LARGA!$B$2:$B$618,$B$3,PSUT_LARGA!$C$2:$C$618,$A16,PSUT_LARGA!$D$2:$D$618,"Energy from natural inputs",PSUT_LARGA!$E$2:$E$618,"Use",PSUT_LARGA!$G$2:$G$618,L$9))</f>
        <v/>
      </c>
      <c r="M16" s="10" t="n">
        <f aca="false">IF(COUNTIFS(PSUT_LARGA!$B$2:$B$618,$B$3,PSUT_LARGA!$C$2:$C$618,$A16,PSUT_LARGA!$D$2:$D$618,"Energy from natural inputs",PSUT_LARGA!$E$2:$E$618,"Use",PSUT_LARGA!$G$2:$G$618,M$9)=0,"",SUMIFS(PSUT_LARGA!$K$2:$K$618,PSUT_LARGA!$B$2:$B$618,$B$3,PSUT_LARGA!$C$2:$C$618,$A16,PSUT_LARGA!$D$2:$D$618,"Energy from natural inputs",PSUT_LARGA!$E$2:$E$618,"Use",PSUT_LARGA!$G$2:$G$618,M$9))</f>
        <v>909.6136</v>
      </c>
      <c r="N16" s="10" t="str">
        <f aca="false">IF(COUNTIFS(PSUT_LARGA!$B$2:$B$618,$B$3,PSUT_LARGA!$C$2:$C$618,$A16,PSUT_LARGA!$D$2:$D$618,"Energy from natural inputs",PSUT_LARGA!$E$2:$E$618,"Use",PSUT_LARGA!$G$2:$G$618,N$9)=0,"",SUMIFS(PSUT_LARGA!$K$2:$K$618,PSUT_LARGA!$B$2:$B$618,$B$3,PSUT_LARGA!$C$2:$C$618,$A16,PSUT_LARGA!$D$2:$D$618,"Energy from natural inputs",PSUT_LARGA!$E$2:$E$618,"Use",PSUT_LARGA!$G$2:$G$618,N$9))</f>
        <v/>
      </c>
      <c r="O16" s="10" t="str">
        <f aca="false">IF(COUNTIFS(PSUT_LARGA!$B$2:$B$618,$B$3,PSUT_LARGA!$C$2:$C$618,$A16,PSUT_LARGA!$D$2:$D$618,"Energy from natural inputs",PSUT_LARGA!$E$2:$E$618,"Use",PSUT_LARGA!$G$2:$G$618,O$9)=0,"",SUMIFS(PSUT_LARGA!$K$2:$K$618,PSUT_LARGA!$B$2:$B$618,$B$3,PSUT_LARGA!$C$2:$C$618,$A16,PSUT_LARGA!$D$2:$D$618,"Energy from natural inputs",PSUT_LARGA!$E$2:$E$618,"Use",PSUT_LARGA!$G$2:$G$618,O$9))</f>
        <v/>
      </c>
      <c r="P16" s="10" t="str">
        <f aca="false">IF(COUNTIFS(PSUT_LARGA!$B$2:$B$618,$B$3,PSUT_LARGA!$C$2:$C$618,$A16,PSUT_LARGA!$D$2:$D$618,"Energy from natural inputs",PSUT_LARGA!$E$2:$E$618,"Use",PSUT_LARGA!$G$2:$G$618,P$9)=0,"",SUMIFS(PSUT_LARGA!$K$2:$K$618,PSUT_LARGA!$B$2:$B$618,$B$3,PSUT_LARGA!$C$2:$C$618,$A16,PSUT_LARGA!$D$2:$D$618,"Energy from natural inputs",PSUT_LARGA!$E$2:$E$618,"Use",PSUT_LARGA!$G$2:$G$618,P$9))</f>
        <v/>
      </c>
      <c r="Q16" s="10" t="str">
        <f aca="false">IF(COUNTIFS(PSUT_LARGA!$B$2:$B$618,$B$3,PSUT_LARGA!$C$2:$C$618,$A16,PSUT_LARGA!$D$2:$D$618,"Energy from natural inputs",PSUT_LARGA!$E$2:$E$618,"Use",PSUT_LARGA!$G$2:$G$618,Q$9)=0,"",SUMIFS(PSUT_LARGA!$K$2:$K$618,PSUT_LARGA!$B$2:$B$618,$B$3,PSUT_LARGA!$C$2:$C$618,$A16,PSUT_LARGA!$D$2:$D$618,"Energy from natural inputs",PSUT_LARGA!$E$2:$E$618,"Use",PSUT_LARGA!$G$2:$G$618,Q$9))</f>
        <v/>
      </c>
      <c r="R16" s="10" t="str">
        <f aca="false">IF(COUNTIFS(PSUT_LARGA!$B$2:$B$618,$B$3,PSUT_LARGA!$C$2:$C$618,$A16,PSUT_LARGA!$D$2:$D$618,"Energy from natural inputs",PSUT_LARGA!$E$2:$E$618,"Use",PSUT_LARGA!$G$2:$G$618,R$9)=0,"",SUMIFS(PSUT_LARGA!$K$2:$K$618,PSUT_LARGA!$B$2:$B$618,$B$3,PSUT_LARGA!$C$2:$C$618,$A16,PSUT_LARGA!$D$2:$D$618,"Energy from natural inputs",PSUT_LARGA!$E$2:$E$618,"Use",PSUT_LARGA!$G$2:$G$618,R$9))</f>
        <v/>
      </c>
      <c r="S16" s="10" t="str">
        <f aca="false">IF(COUNTIFS(PSUT_LARGA!$B$2:$B$618,$B$3,PSUT_LARGA!$C$2:$C$618,$A16,PSUT_LARGA!$D$2:$D$618,"Energy from natural inputs",PSUT_LARGA!$E$2:$E$618,"Use",PSUT_LARGA!$G$2:$G$618,S$9)=0,"",SUMIFS(PSUT_LARGA!$K$2:$K$618,PSUT_LARGA!$B$2:$B$618,$B$3,PSUT_LARGA!$C$2:$C$618,$A16,PSUT_LARGA!$D$2:$D$618,"Energy from natural inputs",PSUT_LARGA!$E$2:$E$618,"Use",PSUT_LARGA!$G$2:$G$618,S$9))</f>
        <v/>
      </c>
      <c r="T16" s="10" t="str">
        <f aca="false">IF(COUNTIFS(PSUT_LARGA!$B$2:$B$618,$B$3,PSUT_LARGA!$C$2:$C$618,$A16,PSUT_LARGA!$D$2:$D$618,"Energy from natural inputs",PSUT_LARGA!$E$2:$E$618,"Use",PSUT_LARGA!$G$2:$G$618,T$9)=0,"",SUMIFS(PSUT_LARGA!$K$2:$K$618,PSUT_LARGA!$B$2:$B$618,$B$3,PSUT_LARGA!$C$2:$C$618,$A16,PSUT_LARGA!$D$2:$D$618,"Energy from natural inputs",PSUT_LARGA!$E$2:$E$618,"Use",PSUT_LARGA!$G$2:$G$618,T$9))</f>
        <v/>
      </c>
      <c r="U16" s="10" t="str">
        <f aca="false">IF(COUNTIFS(PSUT_LARGA!$B$2:$B$618,$B$3,PSUT_LARGA!$C$2:$C$618,$A16,PSUT_LARGA!$D$2:$D$618,"Energy from natural inputs",PSUT_LARGA!$E$2:$E$618,"Use",PSUT_LARGA!$G$2:$G$618,U$9)=0,"",SUMIFS(PSUT_LARGA!$K$2:$K$618,PSUT_LARGA!$B$2:$B$618,$B$3,PSUT_LARGA!$C$2:$C$618,$A16,PSUT_LARGA!$D$2:$D$618,"Energy from natural inputs",PSUT_LARGA!$E$2:$E$618,"Use",PSUT_LARGA!$G$2:$G$618,U$9))</f>
        <v/>
      </c>
      <c r="V16" s="10" t="n">
        <f aca="false">IF(COUNT(J16:U16)=0,"",SUM(J16:U16))</f>
        <v>909.6136</v>
      </c>
      <c r="W16" s="10" t="n">
        <f aca="false">IF(AND(I16="",COUNT(J16:U16)=0),"",SUM(I16)-SUM(J16:U16))</f>
        <v>0</v>
      </c>
    </row>
    <row r="18" customFormat="false" ht="15" hidden="false" customHeight="false" outlineLevel="0" collapsed="false">
      <c r="A18" s="9" t="s">
        <v>90</v>
      </c>
      <c r="B18" s="9"/>
      <c r="C18" s="9"/>
      <c r="D18" s="9"/>
      <c r="E18" s="9"/>
      <c r="F18" s="9"/>
      <c r="G18" s="9"/>
      <c r="H18" s="9"/>
      <c r="I18" s="9"/>
      <c r="J18" s="9"/>
      <c r="K18" s="9"/>
      <c r="L18" s="9"/>
      <c r="M18" s="9"/>
      <c r="N18" s="9"/>
      <c r="O18" s="9"/>
      <c r="P18" s="9"/>
      <c r="Q18" s="9"/>
      <c r="R18" s="9"/>
      <c r="S18" s="9"/>
      <c r="T18" s="9"/>
      <c r="U18" s="9"/>
      <c r="V18" s="9"/>
      <c r="W18" s="9"/>
    </row>
    <row r="19" customFormat="false" ht="15" hidden="false" customHeight="true" outlineLevel="0" collapsed="false">
      <c r="A19" s="3"/>
      <c r="B19" s="3"/>
      <c r="C19" s="3" t="s">
        <v>59</v>
      </c>
      <c r="D19" s="3"/>
      <c r="E19" s="3"/>
      <c r="F19" s="3"/>
      <c r="G19" s="3"/>
      <c r="H19" s="3"/>
      <c r="I19" s="3"/>
      <c r="J19" s="3" t="s">
        <v>60</v>
      </c>
      <c r="K19" s="3"/>
      <c r="L19" s="3"/>
      <c r="M19" s="3"/>
      <c r="N19" s="3"/>
      <c r="O19" s="3"/>
      <c r="P19" s="3"/>
      <c r="Q19" s="3"/>
      <c r="R19" s="3"/>
      <c r="S19" s="3"/>
      <c r="T19" s="3"/>
      <c r="U19" s="3"/>
      <c r="V19" s="3"/>
      <c r="W19" s="3" t="s">
        <v>61</v>
      </c>
    </row>
    <row r="20" customFormat="false" ht="15" hidden="false" customHeight="false" outlineLevel="0" collapsed="false">
      <c r="A20" s="5" t="s">
        <v>62</v>
      </c>
      <c r="B20" s="5" t="s">
        <v>63</v>
      </c>
      <c r="C20" s="5" t="s">
        <v>64</v>
      </c>
      <c r="D20" s="5" t="s">
        <v>65</v>
      </c>
      <c r="E20" s="5" t="s">
        <v>66</v>
      </c>
      <c r="F20" s="5" t="s">
        <v>67</v>
      </c>
      <c r="G20" s="5" t="s">
        <v>68</v>
      </c>
      <c r="H20" s="5" t="s">
        <v>69</v>
      </c>
      <c r="I20" s="5" t="s">
        <v>70</v>
      </c>
      <c r="J20" s="5" t="s">
        <v>64</v>
      </c>
      <c r="K20" s="5" t="s">
        <v>65</v>
      </c>
      <c r="L20" s="5" t="s">
        <v>66</v>
      </c>
      <c r="M20" s="5" t="s">
        <v>67</v>
      </c>
      <c r="N20" s="5" t="s">
        <v>68</v>
      </c>
      <c r="O20" s="5" t="s">
        <v>71</v>
      </c>
      <c r="P20" s="5" t="s">
        <v>72</v>
      </c>
      <c r="Q20" s="5" t="s">
        <v>73</v>
      </c>
      <c r="R20" s="5" t="s">
        <v>69</v>
      </c>
      <c r="S20" s="5" t="s">
        <v>74</v>
      </c>
      <c r="T20" s="5" t="s">
        <v>41</v>
      </c>
      <c r="U20" s="5" t="s">
        <v>44</v>
      </c>
      <c r="V20" s="5" t="s">
        <v>70</v>
      </c>
      <c r="W20" s="5" t="s">
        <v>75</v>
      </c>
    </row>
    <row r="21" customFormat="false" ht="15" hidden="false" customHeight="false" outlineLevel="0" collapsed="false">
      <c r="A21" s="4" t="s">
        <v>91</v>
      </c>
      <c r="B21" s="4" t="s">
        <v>92</v>
      </c>
      <c r="C21" s="10" t="str">
        <f aca="false">IF(COUNTIFS(PSUT_LARGA!$B$2:$B$618,$B$3,PSUT_LARGA!$C$2:$C$618,$A21,PSUT_LARGA!$D$2:$D$618,"Energy products",PSUT_LARGA!$E$2:$E$618,"Supply",PSUT_LARGA!$G$2:$G$618,C$20)=0,"",SUMIFS(PSUT_LARGA!$K$2:$K$618,PSUT_LARGA!$B$2:$B$618,$B$3,PSUT_LARGA!$C$2:$C$618,$A21,PSUT_LARGA!$D$2:$D$618,"Energy products",PSUT_LARGA!$E$2:$E$618,"Supply",PSUT_LARGA!$G$2:$G$618,C$20))</f>
        <v/>
      </c>
      <c r="D21" s="10" t="str">
        <f aca="false">IF(COUNTIFS(PSUT_LARGA!$B$2:$B$618,$B$3,PSUT_LARGA!$C$2:$C$618,$A21,PSUT_LARGA!$D$2:$D$618,"Energy products",PSUT_LARGA!$E$2:$E$618,"Supply",PSUT_LARGA!$G$2:$G$618,D$20)=0,"",SUMIFS(PSUT_LARGA!$K$2:$K$618,PSUT_LARGA!$B$2:$B$618,$B$3,PSUT_LARGA!$C$2:$C$618,$A21,PSUT_LARGA!$D$2:$D$618,"Energy products",PSUT_LARGA!$E$2:$E$618,"Supply",PSUT_LARGA!$G$2:$G$618,D$20))</f>
        <v/>
      </c>
      <c r="E21" s="10" t="str">
        <f aca="false">IF(COUNTIFS(PSUT_LARGA!$B$2:$B$618,$B$3,PSUT_LARGA!$C$2:$C$618,$A21,PSUT_LARGA!$D$2:$D$618,"Energy products",PSUT_LARGA!$E$2:$E$618,"Supply",PSUT_LARGA!$G$2:$G$618,E$20)=0,"",SUMIFS(PSUT_LARGA!$K$2:$K$618,PSUT_LARGA!$B$2:$B$618,$B$3,PSUT_LARGA!$C$2:$C$618,$A21,PSUT_LARGA!$D$2:$D$618,"Energy products",PSUT_LARGA!$E$2:$E$618,"Supply",PSUT_LARGA!$G$2:$G$618,E$20))</f>
        <v/>
      </c>
      <c r="F21" s="10" t="str">
        <f aca="false">IF(COUNTIFS(PSUT_LARGA!$B$2:$B$618,$B$3,PSUT_LARGA!$C$2:$C$618,$A21,PSUT_LARGA!$D$2:$D$618,"Energy products",PSUT_LARGA!$E$2:$E$618,"Supply",PSUT_LARGA!$G$2:$G$618,F$20)=0,"",SUMIFS(PSUT_LARGA!$K$2:$K$618,PSUT_LARGA!$B$2:$B$618,$B$3,PSUT_LARGA!$C$2:$C$618,$A21,PSUT_LARGA!$D$2:$D$618,"Energy products",PSUT_LARGA!$E$2:$E$618,"Supply",PSUT_LARGA!$G$2:$G$618,F$20))</f>
        <v/>
      </c>
      <c r="G21" s="10" t="n">
        <f aca="false">IF(COUNTIFS(PSUT_LARGA!$B$2:$B$618,$B$3,PSUT_LARGA!$C$2:$C$618,$A21,PSUT_LARGA!$D$2:$D$618,"Energy products",PSUT_LARGA!$E$2:$E$618,"Supply",PSUT_LARGA!$G$2:$G$618,G$20)=0,"",SUMIFS(PSUT_LARGA!$K$2:$K$618,PSUT_LARGA!$B$2:$B$618,$B$3,PSUT_LARGA!$C$2:$C$618,$A21,PSUT_LARGA!$D$2:$D$618,"Energy products",PSUT_LARGA!$E$2:$E$618,"Supply",PSUT_LARGA!$G$2:$G$618,G$20))</f>
        <v>77138.789</v>
      </c>
      <c r="H21" s="10" t="str">
        <f aca="false">IF(COUNTIFS(PSUT_LARGA!$B$2:$B$618,$B$3,PSUT_LARGA!$C$2:$C$618,$A21,PSUT_LARGA!$D$2:$D$618,"Energy products",PSUT_LARGA!$E$2:$E$618,"Supply",PSUT_LARGA!$G$2:$G$618,H$20)=0,"",SUMIFS(PSUT_LARGA!$K$2:$K$618,PSUT_LARGA!$B$2:$B$618,$B$3,PSUT_LARGA!$C$2:$C$618,$A21,PSUT_LARGA!$D$2:$D$618,"Energy products",PSUT_LARGA!$E$2:$E$618,"Supply",PSUT_LARGA!$G$2:$G$618,H$20))</f>
        <v/>
      </c>
      <c r="I21" s="10" t="n">
        <f aca="false">IF(COUNT(C21:H21)=0,"",SUM(C21:H21))</f>
        <v>77138.789</v>
      </c>
      <c r="J21" s="10" t="str">
        <f aca="false">IF(COUNTIFS(PSUT_LARGA!$B$2:$B$618,$B$3,PSUT_LARGA!$C$2:$C$618,$A21,PSUT_LARGA!$D$2:$D$618,"Energy products",PSUT_LARGA!$E$2:$E$618,"Use",PSUT_LARGA!$G$2:$G$618,J$20)=0,"",SUMIFS(PSUT_LARGA!$K$2:$K$618,PSUT_LARGA!$B$2:$B$618,$B$3,PSUT_LARGA!$C$2:$C$618,$A21,PSUT_LARGA!$D$2:$D$618,"Energy products",PSUT_LARGA!$E$2:$E$618,"Use",PSUT_LARGA!$G$2:$G$618,J$20))</f>
        <v/>
      </c>
      <c r="K21" s="10" t="str">
        <f aca="false">IF(COUNTIFS(PSUT_LARGA!$B$2:$B$618,$B$3,PSUT_LARGA!$C$2:$C$618,$A21,PSUT_LARGA!$D$2:$D$618,"Energy products",PSUT_LARGA!$E$2:$E$618,"Use",PSUT_LARGA!$G$2:$G$618,K$20)=0,"",SUMIFS(PSUT_LARGA!$K$2:$K$618,PSUT_LARGA!$B$2:$B$618,$B$3,PSUT_LARGA!$C$2:$C$618,$A21,PSUT_LARGA!$D$2:$D$618,"Energy products",PSUT_LARGA!$E$2:$E$618,"Use",PSUT_LARGA!$G$2:$G$618,K$20))</f>
        <v/>
      </c>
      <c r="L21" s="10" t="str">
        <f aca="false">IF(COUNTIFS(PSUT_LARGA!$B$2:$B$618,$B$3,PSUT_LARGA!$C$2:$C$618,$A21,PSUT_LARGA!$D$2:$D$618,"Energy products",PSUT_LARGA!$E$2:$E$618,"Use",PSUT_LARGA!$G$2:$G$618,L$20)=0,"",SUMIFS(PSUT_LARGA!$K$2:$K$618,PSUT_LARGA!$B$2:$B$618,$B$3,PSUT_LARGA!$C$2:$C$618,$A21,PSUT_LARGA!$D$2:$D$618,"Energy products",PSUT_LARGA!$E$2:$E$618,"Use",PSUT_LARGA!$G$2:$G$618,L$20))</f>
        <v/>
      </c>
      <c r="M21" s="10" t="n">
        <f aca="false">IF(COUNTIFS(PSUT_LARGA!$B$2:$B$618,$B$3,PSUT_LARGA!$C$2:$C$618,$A21,PSUT_LARGA!$D$2:$D$618,"Energy products",PSUT_LARGA!$E$2:$E$618,"Use",PSUT_LARGA!$G$2:$G$618,M$20)=0,"",SUMIFS(PSUT_LARGA!$K$2:$K$618,PSUT_LARGA!$B$2:$B$618,$B$3,PSUT_LARGA!$C$2:$C$618,$A21,PSUT_LARGA!$D$2:$D$618,"Energy products",PSUT_LARGA!$E$2:$E$618,"Use",PSUT_LARGA!$G$2:$G$618,M$20))</f>
        <v>77138.789</v>
      </c>
      <c r="N21" s="10" t="str">
        <f aca="false">IF(COUNTIFS(PSUT_LARGA!$B$2:$B$618,$B$3,PSUT_LARGA!$C$2:$C$618,$A21,PSUT_LARGA!$D$2:$D$618,"Energy products",PSUT_LARGA!$E$2:$E$618,"Use",PSUT_LARGA!$G$2:$G$618,N$20)=0,"",SUMIFS(PSUT_LARGA!$K$2:$K$618,PSUT_LARGA!$B$2:$B$618,$B$3,PSUT_LARGA!$C$2:$C$618,$A21,PSUT_LARGA!$D$2:$D$618,"Energy products",PSUT_LARGA!$E$2:$E$618,"Use",PSUT_LARGA!$G$2:$G$618,N$20))</f>
        <v/>
      </c>
      <c r="O21" s="10" t="str">
        <f aca="false">IF(COUNTIFS(PSUT_LARGA!$B$2:$B$618,$B$3,PSUT_LARGA!$C$2:$C$618,$A21,PSUT_LARGA!$D$2:$D$618,"Energy products",PSUT_LARGA!$E$2:$E$618,"Use",PSUT_LARGA!$G$2:$G$618,O$20)=0,"",SUMIFS(PSUT_LARGA!$K$2:$K$618,PSUT_LARGA!$B$2:$B$618,$B$3,PSUT_LARGA!$C$2:$C$618,$A21,PSUT_LARGA!$D$2:$D$618,"Energy products",PSUT_LARGA!$E$2:$E$618,"Use",PSUT_LARGA!$G$2:$G$618,O$20))</f>
        <v/>
      </c>
      <c r="P21" s="10" t="str">
        <f aca="false">IF(COUNTIFS(PSUT_LARGA!$B$2:$B$618,$B$3,PSUT_LARGA!$C$2:$C$618,$A21,PSUT_LARGA!$D$2:$D$618,"Energy products",PSUT_LARGA!$E$2:$E$618,"Use",PSUT_LARGA!$G$2:$G$618,P$20)=0,"",SUMIFS(PSUT_LARGA!$K$2:$K$618,PSUT_LARGA!$B$2:$B$618,$B$3,PSUT_LARGA!$C$2:$C$618,$A21,PSUT_LARGA!$D$2:$D$618,"Energy products",PSUT_LARGA!$E$2:$E$618,"Use",PSUT_LARGA!$G$2:$G$618,P$20))</f>
        <v/>
      </c>
      <c r="Q21" s="10" t="str">
        <f aca="false">IF(COUNTIFS(PSUT_LARGA!$B$2:$B$618,$B$3,PSUT_LARGA!$C$2:$C$618,$A21,PSUT_LARGA!$D$2:$D$618,"Energy products",PSUT_LARGA!$E$2:$E$618,"Use",PSUT_LARGA!$G$2:$G$618,Q$20)=0,"",SUMIFS(PSUT_LARGA!$K$2:$K$618,PSUT_LARGA!$B$2:$B$618,$B$3,PSUT_LARGA!$C$2:$C$618,$A21,PSUT_LARGA!$D$2:$D$618,"Energy products",PSUT_LARGA!$E$2:$E$618,"Use",PSUT_LARGA!$G$2:$G$618,Q$20))</f>
        <v/>
      </c>
      <c r="R21" s="10" t="str">
        <f aca="false">IF(COUNTIFS(PSUT_LARGA!$B$2:$B$618,$B$3,PSUT_LARGA!$C$2:$C$618,$A21,PSUT_LARGA!$D$2:$D$618,"Energy products",PSUT_LARGA!$E$2:$E$618,"Use",PSUT_LARGA!$G$2:$G$618,R$20)=0,"",SUMIFS(PSUT_LARGA!$K$2:$K$618,PSUT_LARGA!$B$2:$B$618,$B$3,PSUT_LARGA!$C$2:$C$618,$A21,PSUT_LARGA!$D$2:$D$618,"Energy products",PSUT_LARGA!$E$2:$E$618,"Use",PSUT_LARGA!$G$2:$G$618,R$20))</f>
        <v/>
      </c>
      <c r="S21" s="10" t="str">
        <f aca="false">IF(COUNTIFS(PSUT_LARGA!$B$2:$B$618,$B$3,PSUT_LARGA!$C$2:$C$618,$A21,PSUT_LARGA!$D$2:$D$618,"Energy products",PSUT_LARGA!$E$2:$E$618,"Use",PSUT_LARGA!$G$2:$G$618,S$20)=0,"",SUMIFS(PSUT_LARGA!$K$2:$K$618,PSUT_LARGA!$B$2:$B$618,$B$3,PSUT_LARGA!$C$2:$C$618,$A21,PSUT_LARGA!$D$2:$D$618,"Energy products",PSUT_LARGA!$E$2:$E$618,"Use",PSUT_LARGA!$G$2:$G$618,S$20))</f>
        <v/>
      </c>
      <c r="T21" s="10" t="str">
        <f aca="false">IF(COUNTIFS(PSUT_LARGA!$B$2:$B$618,$B$3,PSUT_LARGA!$C$2:$C$618,$A21,PSUT_LARGA!$D$2:$D$618,"Energy products",PSUT_LARGA!$E$2:$E$618,"Use",PSUT_LARGA!$G$2:$G$618,T$20)=0,"",SUMIFS(PSUT_LARGA!$K$2:$K$618,PSUT_LARGA!$B$2:$B$618,$B$3,PSUT_LARGA!$C$2:$C$618,$A21,PSUT_LARGA!$D$2:$D$618,"Energy products",PSUT_LARGA!$E$2:$E$618,"Use",PSUT_LARGA!$G$2:$G$618,T$20))</f>
        <v/>
      </c>
      <c r="U21" s="10" t="str">
        <f aca="false">IF(COUNTIFS(PSUT_LARGA!$B$2:$B$618,$B$3,PSUT_LARGA!$C$2:$C$618,$A21,PSUT_LARGA!$D$2:$D$618,"Energy products",PSUT_LARGA!$E$2:$E$618,"Use",PSUT_LARGA!$G$2:$G$618,U$20)=0,"",SUMIFS(PSUT_LARGA!$K$2:$K$618,PSUT_LARGA!$B$2:$B$618,$B$3,PSUT_LARGA!$C$2:$C$618,$A21,PSUT_LARGA!$D$2:$D$618,"Energy products",PSUT_LARGA!$E$2:$E$618,"Use",PSUT_LARGA!$G$2:$G$618,U$20))</f>
        <v/>
      </c>
      <c r="V21" s="10" t="n">
        <f aca="false">IF(COUNT(J21:U21)=0,"",SUM(J21:U21))</f>
        <v>77138.789</v>
      </c>
      <c r="W21" s="10" t="n">
        <f aca="false">IF(AND(I21="",COUNT(J21:U21)=0),"",SUM(I21)-SUM(J21:U21))</f>
        <v>0</v>
      </c>
    </row>
    <row r="22" customFormat="false" ht="15" hidden="false" customHeight="false" outlineLevel="0" collapsed="false">
      <c r="A22" s="4" t="s">
        <v>93</v>
      </c>
      <c r="B22" s="4" t="s">
        <v>94</v>
      </c>
      <c r="C22" s="10" t="str">
        <f aca="false">IF(COUNTIFS(PSUT_LARGA!$B$2:$B$618,$B$3,PSUT_LARGA!$C$2:$C$618,$A22,PSUT_LARGA!$D$2:$D$618,"Energy products",PSUT_LARGA!$E$2:$E$618,"Supply",PSUT_LARGA!$G$2:$G$618,C$20)=0,"",SUMIFS(PSUT_LARGA!$K$2:$K$618,PSUT_LARGA!$B$2:$B$618,$B$3,PSUT_LARGA!$C$2:$C$618,$A22,PSUT_LARGA!$D$2:$D$618,"Energy products",PSUT_LARGA!$E$2:$E$618,"Supply",PSUT_LARGA!$G$2:$G$618,C$20))</f>
        <v/>
      </c>
      <c r="D22" s="10" t="str">
        <f aca="false">IF(COUNTIFS(PSUT_LARGA!$B$2:$B$618,$B$3,PSUT_LARGA!$C$2:$C$618,$A22,PSUT_LARGA!$D$2:$D$618,"Energy products",PSUT_LARGA!$E$2:$E$618,"Supply",PSUT_LARGA!$G$2:$G$618,D$20)=0,"",SUMIFS(PSUT_LARGA!$K$2:$K$618,PSUT_LARGA!$B$2:$B$618,$B$3,PSUT_LARGA!$C$2:$C$618,$A22,PSUT_LARGA!$D$2:$D$618,"Energy products",PSUT_LARGA!$E$2:$E$618,"Supply",PSUT_LARGA!$G$2:$G$618,D$20))</f>
        <v/>
      </c>
      <c r="E22" s="10" t="str">
        <f aca="false">IF(COUNTIFS(PSUT_LARGA!$B$2:$B$618,$B$3,PSUT_LARGA!$C$2:$C$618,$A22,PSUT_LARGA!$D$2:$D$618,"Energy products",PSUT_LARGA!$E$2:$E$618,"Supply",PSUT_LARGA!$G$2:$G$618,E$20)=0,"",SUMIFS(PSUT_LARGA!$K$2:$K$618,PSUT_LARGA!$B$2:$B$618,$B$3,PSUT_LARGA!$C$2:$C$618,$A22,PSUT_LARGA!$D$2:$D$618,"Energy products",PSUT_LARGA!$E$2:$E$618,"Supply",PSUT_LARGA!$G$2:$G$618,E$20))</f>
        <v/>
      </c>
      <c r="F22" s="10" t="n">
        <f aca="false">IF(COUNTIFS(PSUT_LARGA!$B$2:$B$618,$B$3,PSUT_LARGA!$C$2:$C$618,$A22,PSUT_LARGA!$D$2:$D$618,"Energy products",PSUT_LARGA!$E$2:$E$618,"Supply",PSUT_LARGA!$G$2:$G$618,F$20)=0,"",SUMIFS(PSUT_LARGA!$K$2:$K$618,PSUT_LARGA!$B$2:$B$618,$B$3,PSUT_LARGA!$C$2:$C$618,$A22,PSUT_LARGA!$D$2:$D$618,"Energy products",PSUT_LARGA!$E$2:$E$618,"Supply",PSUT_LARGA!$G$2:$G$618,F$20))</f>
        <v>355.9206</v>
      </c>
      <c r="G22" s="10" t="str">
        <f aca="false">IF(COUNTIFS(PSUT_LARGA!$B$2:$B$618,$B$3,PSUT_LARGA!$C$2:$C$618,$A22,PSUT_LARGA!$D$2:$D$618,"Energy products",PSUT_LARGA!$E$2:$E$618,"Supply",PSUT_LARGA!$G$2:$G$618,G$20)=0,"",SUMIFS(PSUT_LARGA!$K$2:$K$618,PSUT_LARGA!$B$2:$B$618,$B$3,PSUT_LARGA!$C$2:$C$618,$A22,PSUT_LARGA!$D$2:$D$618,"Energy products",PSUT_LARGA!$E$2:$E$618,"Supply",PSUT_LARGA!$G$2:$G$618,G$20))</f>
        <v/>
      </c>
      <c r="H22" s="10" t="str">
        <f aca="false">IF(COUNTIFS(PSUT_LARGA!$B$2:$B$618,$B$3,PSUT_LARGA!$C$2:$C$618,$A22,PSUT_LARGA!$D$2:$D$618,"Energy products",PSUT_LARGA!$E$2:$E$618,"Supply",PSUT_LARGA!$G$2:$G$618,H$20)=0,"",SUMIFS(PSUT_LARGA!$K$2:$K$618,PSUT_LARGA!$B$2:$B$618,$B$3,PSUT_LARGA!$C$2:$C$618,$A22,PSUT_LARGA!$D$2:$D$618,"Energy products",PSUT_LARGA!$E$2:$E$618,"Supply",PSUT_LARGA!$G$2:$G$618,H$20))</f>
        <v/>
      </c>
      <c r="I22" s="10" t="n">
        <f aca="false">IF(COUNT(C22:H22)=0,"",SUM(C22:H22))</f>
        <v>355.9206</v>
      </c>
      <c r="J22" s="10" t="str">
        <f aca="false">IF(COUNTIFS(PSUT_LARGA!$B$2:$B$618,$B$3,PSUT_LARGA!$C$2:$C$618,$A22,PSUT_LARGA!$D$2:$D$618,"Energy products",PSUT_LARGA!$E$2:$E$618,"Use",PSUT_LARGA!$G$2:$G$618,J$20)=0,"",SUMIFS(PSUT_LARGA!$K$2:$K$618,PSUT_LARGA!$B$2:$B$618,$B$3,PSUT_LARGA!$C$2:$C$618,$A22,PSUT_LARGA!$D$2:$D$618,"Energy products",PSUT_LARGA!$E$2:$E$618,"Use",PSUT_LARGA!$G$2:$G$618,J$20))</f>
        <v/>
      </c>
      <c r="K22" s="10" t="str">
        <f aca="false">IF(COUNTIFS(PSUT_LARGA!$B$2:$B$618,$B$3,PSUT_LARGA!$C$2:$C$618,$A22,PSUT_LARGA!$D$2:$D$618,"Energy products",PSUT_LARGA!$E$2:$E$618,"Use",PSUT_LARGA!$G$2:$G$618,K$20)=0,"",SUMIFS(PSUT_LARGA!$K$2:$K$618,PSUT_LARGA!$B$2:$B$618,$B$3,PSUT_LARGA!$C$2:$C$618,$A22,PSUT_LARGA!$D$2:$D$618,"Energy products",PSUT_LARGA!$E$2:$E$618,"Use",PSUT_LARGA!$G$2:$G$618,K$20))</f>
        <v/>
      </c>
      <c r="L22" s="10" t="str">
        <f aca="false">IF(COUNTIFS(PSUT_LARGA!$B$2:$B$618,$B$3,PSUT_LARGA!$C$2:$C$618,$A22,PSUT_LARGA!$D$2:$D$618,"Energy products",PSUT_LARGA!$E$2:$E$618,"Use",PSUT_LARGA!$G$2:$G$618,L$20)=0,"",SUMIFS(PSUT_LARGA!$K$2:$K$618,PSUT_LARGA!$B$2:$B$618,$B$3,PSUT_LARGA!$C$2:$C$618,$A22,PSUT_LARGA!$D$2:$D$618,"Energy products",PSUT_LARGA!$E$2:$E$618,"Use",PSUT_LARGA!$G$2:$G$618,L$20))</f>
        <v/>
      </c>
      <c r="M22" s="10" t="n">
        <f aca="false">IF(COUNTIFS(PSUT_LARGA!$B$2:$B$618,$B$3,PSUT_LARGA!$C$2:$C$618,$A22,PSUT_LARGA!$D$2:$D$618,"Energy products",PSUT_LARGA!$E$2:$E$618,"Use",PSUT_LARGA!$G$2:$G$618,M$20)=0,"",SUMIFS(PSUT_LARGA!$K$2:$K$618,PSUT_LARGA!$B$2:$B$618,$B$3,PSUT_LARGA!$C$2:$C$618,$A22,PSUT_LARGA!$D$2:$D$618,"Energy products",PSUT_LARGA!$E$2:$E$618,"Use",PSUT_LARGA!$G$2:$G$618,M$20))</f>
        <v>355.9206</v>
      </c>
      <c r="N22" s="10" t="str">
        <f aca="false">IF(COUNTIFS(PSUT_LARGA!$B$2:$B$618,$B$3,PSUT_LARGA!$C$2:$C$618,$A22,PSUT_LARGA!$D$2:$D$618,"Energy products",PSUT_LARGA!$E$2:$E$618,"Use",PSUT_LARGA!$G$2:$G$618,N$20)=0,"",SUMIFS(PSUT_LARGA!$K$2:$K$618,PSUT_LARGA!$B$2:$B$618,$B$3,PSUT_LARGA!$C$2:$C$618,$A22,PSUT_LARGA!$D$2:$D$618,"Energy products",PSUT_LARGA!$E$2:$E$618,"Use",PSUT_LARGA!$G$2:$G$618,N$20))</f>
        <v/>
      </c>
      <c r="O22" s="10" t="str">
        <f aca="false">IF(COUNTIFS(PSUT_LARGA!$B$2:$B$618,$B$3,PSUT_LARGA!$C$2:$C$618,$A22,PSUT_LARGA!$D$2:$D$618,"Energy products",PSUT_LARGA!$E$2:$E$618,"Use",PSUT_LARGA!$G$2:$G$618,O$20)=0,"",SUMIFS(PSUT_LARGA!$K$2:$K$618,PSUT_LARGA!$B$2:$B$618,$B$3,PSUT_LARGA!$C$2:$C$618,$A22,PSUT_LARGA!$D$2:$D$618,"Energy products",PSUT_LARGA!$E$2:$E$618,"Use",PSUT_LARGA!$G$2:$G$618,O$20))</f>
        <v/>
      </c>
      <c r="P22" s="10" t="str">
        <f aca="false">IF(COUNTIFS(PSUT_LARGA!$B$2:$B$618,$B$3,PSUT_LARGA!$C$2:$C$618,$A22,PSUT_LARGA!$D$2:$D$618,"Energy products",PSUT_LARGA!$E$2:$E$618,"Use",PSUT_LARGA!$G$2:$G$618,P$20)=0,"",SUMIFS(PSUT_LARGA!$K$2:$K$618,PSUT_LARGA!$B$2:$B$618,$B$3,PSUT_LARGA!$C$2:$C$618,$A22,PSUT_LARGA!$D$2:$D$618,"Energy products",PSUT_LARGA!$E$2:$E$618,"Use",PSUT_LARGA!$G$2:$G$618,P$20))</f>
        <v/>
      </c>
      <c r="Q22" s="10" t="str">
        <f aca="false">IF(COUNTIFS(PSUT_LARGA!$B$2:$B$618,$B$3,PSUT_LARGA!$C$2:$C$618,$A22,PSUT_LARGA!$D$2:$D$618,"Energy products",PSUT_LARGA!$E$2:$E$618,"Use",PSUT_LARGA!$G$2:$G$618,Q$20)=0,"",SUMIFS(PSUT_LARGA!$K$2:$K$618,PSUT_LARGA!$B$2:$B$618,$B$3,PSUT_LARGA!$C$2:$C$618,$A22,PSUT_LARGA!$D$2:$D$618,"Energy products",PSUT_LARGA!$E$2:$E$618,"Use",PSUT_LARGA!$G$2:$G$618,Q$20))</f>
        <v/>
      </c>
      <c r="R22" s="10" t="str">
        <f aca="false">IF(COUNTIFS(PSUT_LARGA!$B$2:$B$618,$B$3,PSUT_LARGA!$C$2:$C$618,$A22,PSUT_LARGA!$D$2:$D$618,"Energy products",PSUT_LARGA!$E$2:$E$618,"Use",PSUT_LARGA!$G$2:$G$618,R$20)=0,"",SUMIFS(PSUT_LARGA!$K$2:$K$618,PSUT_LARGA!$B$2:$B$618,$B$3,PSUT_LARGA!$C$2:$C$618,$A22,PSUT_LARGA!$D$2:$D$618,"Energy products",PSUT_LARGA!$E$2:$E$618,"Use",PSUT_LARGA!$G$2:$G$618,R$20))</f>
        <v/>
      </c>
      <c r="S22" s="10" t="str">
        <f aca="false">IF(COUNTIFS(PSUT_LARGA!$B$2:$B$618,$B$3,PSUT_LARGA!$C$2:$C$618,$A22,PSUT_LARGA!$D$2:$D$618,"Energy products",PSUT_LARGA!$E$2:$E$618,"Use",PSUT_LARGA!$G$2:$G$618,S$20)=0,"",SUMIFS(PSUT_LARGA!$K$2:$K$618,PSUT_LARGA!$B$2:$B$618,$B$3,PSUT_LARGA!$C$2:$C$618,$A22,PSUT_LARGA!$D$2:$D$618,"Energy products",PSUT_LARGA!$E$2:$E$618,"Use",PSUT_LARGA!$G$2:$G$618,S$20))</f>
        <v/>
      </c>
      <c r="T22" s="10" t="str">
        <f aca="false">IF(COUNTIFS(PSUT_LARGA!$B$2:$B$618,$B$3,PSUT_LARGA!$C$2:$C$618,$A22,PSUT_LARGA!$D$2:$D$618,"Energy products",PSUT_LARGA!$E$2:$E$618,"Use",PSUT_LARGA!$G$2:$G$618,T$20)=0,"",SUMIFS(PSUT_LARGA!$K$2:$K$618,PSUT_LARGA!$B$2:$B$618,$B$3,PSUT_LARGA!$C$2:$C$618,$A22,PSUT_LARGA!$D$2:$D$618,"Energy products",PSUT_LARGA!$E$2:$E$618,"Use",PSUT_LARGA!$G$2:$G$618,T$20))</f>
        <v/>
      </c>
      <c r="U22" s="10" t="str">
        <f aca="false">IF(COUNTIFS(PSUT_LARGA!$B$2:$B$618,$B$3,PSUT_LARGA!$C$2:$C$618,$A22,PSUT_LARGA!$D$2:$D$618,"Energy products",PSUT_LARGA!$E$2:$E$618,"Use",PSUT_LARGA!$G$2:$G$618,U$20)=0,"",SUMIFS(PSUT_LARGA!$K$2:$K$618,PSUT_LARGA!$B$2:$B$618,$B$3,PSUT_LARGA!$C$2:$C$618,$A22,PSUT_LARGA!$D$2:$D$618,"Energy products",PSUT_LARGA!$E$2:$E$618,"Use",PSUT_LARGA!$G$2:$G$618,U$20))</f>
        <v/>
      </c>
      <c r="V22" s="10" t="n">
        <f aca="false">IF(COUNT(J22:U22)=0,"",SUM(J22:U22))</f>
        <v>355.9206</v>
      </c>
      <c r="W22" s="10" t="n">
        <f aca="false">IF(AND(I22="",COUNT(J22:U22)=0),"",SUM(I22)-SUM(J22:U22))</f>
        <v>0</v>
      </c>
    </row>
    <row r="23" customFormat="false" ht="15" hidden="false" customHeight="false" outlineLevel="0" collapsed="false">
      <c r="A23" s="4" t="s">
        <v>76</v>
      </c>
      <c r="B23" s="4" t="s">
        <v>77</v>
      </c>
      <c r="C23" s="10" t="str">
        <f aca="false">IF(COUNTIFS(PSUT_LARGA!$B$2:$B$618,$B$3,PSUT_LARGA!$C$2:$C$618,$A23,PSUT_LARGA!$D$2:$D$618,"Energy products",PSUT_LARGA!$E$2:$E$618,"Supply",PSUT_LARGA!$G$2:$G$618,C$20)=0,"",SUMIFS(PSUT_LARGA!$K$2:$K$618,PSUT_LARGA!$B$2:$B$618,$B$3,PSUT_LARGA!$C$2:$C$618,$A23,PSUT_LARGA!$D$2:$D$618,"Energy products",PSUT_LARGA!$E$2:$E$618,"Supply",PSUT_LARGA!$G$2:$G$618,C$20))</f>
        <v/>
      </c>
      <c r="D23" s="10" t="str">
        <f aca="false">IF(COUNTIFS(PSUT_LARGA!$B$2:$B$618,$B$3,PSUT_LARGA!$C$2:$C$618,$A23,PSUT_LARGA!$D$2:$D$618,"Energy products",PSUT_LARGA!$E$2:$E$618,"Supply",PSUT_LARGA!$G$2:$G$618,D$20)=0,"",SUMIFS(PSUT_LARGA!$K$2:$K$618,PSUT_LARGA!$B$2:$B$618,$B$3,PSUT_LARGA!$C$2:$C$618,$A23,PSUT_LARGA!$D$2:$D$618,"Energy products",PSUT_LARGA!$E$2:$E$618,"Supply",PSUT_LARGA!$G$2:$G$618,D$20))</f>
        <v/>
      </c>
      <c r="E23" s="10" t="n">
        <f aca="false">IF(COUNTIFS(PSUT_LARGA!$B$2:$B$618,$B$3,PSUT_LARGA!$C$2:$C$618,$A23,PSUT_LARGA!$D$2:$D$618,"Energy products",PSUT_LARGA!$E$2:$E$618,"Supply",PSUT_LARGA!$G$2:$G$618,E$20)=0,"",SUMIFS(PSUT_LARGA!$K$2:$K$618,PSUT_LARGA!$B$2:$B$618,$B$3,PSUT_LARGA!$C$2:$C$618,$A23,PSUT_LARGA!$D$2:$D$618,"Energy products",PSUT_LARGA!$E$2:$E$618,"Supply",PSUT_LARGA!$G$2:$G$618,E$20))</f>
        <v>0</v>
      </c>
      <c r="F23" s="10" t="str">
        <f aca="false">IF(COUNTIFS(PSUT_LARGA!$B$2:$B$618,$B$3,PSUT_LARGA!$C$2:$C$618,$A23,PSUT_LARGA!$D$2:$D$618,"Energy products",PSUT_LARGA!$E$2:$E$618,"Supply",PSUT_LARGA!$G$2:$G$618,F$20)=0,"",SUMIFS(PSUT_LARGA!$K$2:$K$618,PSUT_LARGA!$B$2:$B$618,$B$3,PSUT_LARGA!$C$2:$C$618,$A23,PSUT_LARGA!$D$2:$D$618,"Energy products",PSUT_LARGA!$E$2:$E$618,"Supply",PSUT_LARGA!$G$2:$G$618,F$20))</f>
        <v/>
      </c>
      <c r="G23" s="10" t="str">
        <f aca="false">IF(COUNTIFS(PSUT_LARGA!$B$2:$B$618,$B$3,PSUT_LARGA!$C$2:$C$618,$A23,PSUT_LARGA!$D$2:$D$618,"Energy products",PSUT_LARGA!$E$2:$E$618,"Supply",PSUT_LARGA!$G$2:$G$618,G$20)=0,"",SUMIFS(PSUT_LARGA!$K$2:$K$618,PSUT_LARGA!$B$2:$B$618,$B$3,PSUT_LARGA!$C$2:$C$618,$A23,PSUT_LARGA!$D$2:$D$618,"Energy products",PSUT_LARGA!$E$2:$E$618,"Supply",PSUT_LARGA!$G$2:$G$618,G$20))</f>
        <v/>
      </c>
      <c r="H23" s="10" t="n">
        <f aca="false">IF(COUNTIFS(PSUT_LARGA!$B$2:$B$618,$B$3,PSUT_LARGA!$C$2:$C$618,$A23,PSUT_LARGA!$D$2:$D$618,"Energy products",PSUT_LARGA!$E$2:$E$618,"Supply",PSUT_LARGA!$G$2:$G$618,H$20)=0,"",SUMIFS(PSUT_LARGA!$K$2:$K$618,PSUT_LARGA!$B$2:$B$618,$B$3,PSUT_LARGA!$C$2:$C$618,$A23,PSUT_LARGA!$D$2:$D$618,"Energy products",PSUT_LARGA!$E$2:$E$618,"Supply",PSUT_LARGA!$G$2:$G$618,H$20))</f>
        <v>42753.5241</v>
      </c>
      <c r="I23" s="10" t="n">
        <f aca="false">IF(COUNT(C23:H23)=0,"",SUM(C23:H23))</f>
        <v>42753.5241</v>
      </c>
      <c r="J23" s="10" t="str">
        <f aca="false">IF(COUNTIFS(PSUT_LARGA!$B$2:$B$618,$B$3,PSUT_LARGA!$C$2:$C$618,$A23,PSUT_LARGA!$D$2:$D$618,"Energy products",PSUT_LARGA!$E$2:$E$618,"Use",PSUT_LARGA!$G$2:$G$618,J$20)=0,"",SUMIFS(PSUT_LARGA!$K$2:$K$618,PSUT_LARGA!$B$2:$B$618,$B$3,PSUT_LARGA!$C$2:$C$618,$A23,PSUT_LARGA!$D$2:$D$618,"Energy products",PSUT_LARGA!$E$2:$E$618,"Use",PSUT_LARGA!$G$2:$G$618,J$20))</f>
        <v/>
      </c>
      <c r="K23" s="10" t="str">
        <f aca="false">IF(COUNTIFS(PSUT_LARGA!$B$2:$B$618,$B$3,PSUT_LARGA!$C$2:$C$618,$A23,PSUT_LARGA!$D$2:$D$618,"Energy products",PSUT_LARGA!$E$2:$E$618,"Use",PSUT_LARGA!$G$2:$G$618,K$20)=0,"",SUMIFS(PSUT_LARGA!$K$2:$K$618,PSUT_LARGA!$B$2:$B$618,$B$3,PSUT_LARGA!$C$2:$C$618,$A23,PSUT_LARGA!$D$2:$D$618,"Energy products",PSUT_LARGA!$E$2:$E$618,"Use",PSUT_LARGA!$G$2:$G$618,K$20))</f>
        <v/>
      </c>
      <c r="L23" s="10" t="str">
        <f aca="false">IF(COUNTIFS(PSUT_LARGA!$B$2:$B$618,$B$3,PSUT_LARGA!$C$2:$C$618,$A23,PSUT_LARGA!$D$2:$D$618,"Energy products",PSUT_LARGA!$E$2:$E$618,"Use",PSUT_LARGA!$G$2:$G$618,L$20)=0,"",SUMIFS(PSUT_LARGA!$K$2:$K$618,PSUT_LARGA!$B$2:$B$618,$B$3,PSUT_LARGA!$C$2:$C$618,$A23,PSUT_LARGA!$D$2:$D$618,"Energy products",PSUT_LARGA!$E$2:$E$618,"Use",PSUT_LARGA!$G$2:$G$618,L$20))</f>
        <v/>
      </c>
      <c r="M23" s="10" t="n">
        <f aca="false">IF(COUNTIFS(PSUT_LARGA!$B$2:$B$618,$B$3,PSUT_LARGA!$C$2:$C$618,$A23,PSUT_LARGA!$D$2:$D$618,"Energy products",PSUT_LARGA!$E$2:$E$618,"Use",PSUT_LARGA!$G$2:$G$618,M$20)=0,"",SUMIFS(PSUT_LARGA!$K$2:$K$618,PSUT_LARGA!$B$2:$B$618,$B$3,PSUT_LARGA!$C$2:$C$618,$A23,PSUT_LARGA!$D$2:$D$618,"Energy products",PSUT_LARGA!$E$2:$E$618,"Use",PSUT_LARGA!$G$2:$G$618,M$20))</f>
        <v>36126.2314</v>
      </c>
      <c r="N23" s="10" t="str">
        <f aca="false">IF(COUNTIFS(PSUT_LARGA!$B$2:$B$618,$B$3,PSUT_LARGA!$C$2:$C$618,$A23,PSUT_LARGA!$D$2:$D$618,"Energy products",PSUT_LARGA!$E$2:$E$618,"Use",PSUT_LARGA!$G$2:$G$618,N$20)=0,"",SUMIFS(PSUT_LARGA!$K$2:$K$618,PSUT_LARGA!$B$2:$B$618,$B$3,PSUT_LARGA!$C$2:$C$618,$A23,PSUT_LARGA!$D$2:$D$618,"Energy products",PSUT_LARGA!$E$2:$E$618,"Use",PSUT_LARGA!$G$2:$G$618,N$20))</f>
        <v/>
      </c>
      <c r="O23" s="10" t="str">
        <f aca="false">IF(COUNTIFS(PSUT_LARGA!$B$2:$B$618,$B$3,PSUT_LARGA!$C$2:$C$618,$A23,PSUT_LARGA!$D$2:$D$618,"Energy products",PSUT_LARGA!$E$2:$E$618,"Use",PSUT_LARGA!$G$2:$G$618,O$20)=0,"",SUMIFS(PSUT_LARGA!$K$2:$K$618,PSUT_LARGA!$B$2:$B$618,$B$3,PSUT_LARGA!$C$2:$C$618,$A23,PSUT_LARGA!$D$2:$D$618,"Energy products",PSUT_LARGA!$E$2:$E$618,"Use",PSUT_LARGA!$G$2:$G$618,O$20))</f>
        <v/>
      </c>
      <c r="P23" s="10" t="str">
        <f aca="false">IF(COUNTIFS(PSUT_LARGA!$B$2:$B$618,$B$3,PSUT_LARGA!$C$2:$C$618,$A23,PSUT_LARGA!$D$2:$D$618,"Energy products",PSUT_LARGA!$E$2:$E$618,"Use",PSUT_LARGA!$G$2:$G$618,P$20)=0,"",SUMIFS(PSUT_LARGA!$K$2:$K$618,PSUT_LARGA!$B$2:$B$618,$B$3,PSUT_LARGA!$C$2:$C$618,$A23,PSUT_LARGA!$D$2:$D$618,"Energy products",PSUT_LARGA!$E$2:$E$618,"Use",PSUT_LARGA!$G$2:$G$618,P$20))</f>
        <v/>
      </c>
      <c r="Q23" s="10" t="str">
        <f aca="false">IF(COUNTIFS(PSUT_LARGA!$B$2:$B$618,$B$3,PSUT_LARGA!$C$2:$C$618,$A23,PSUT_LARGA!$D$2:$D$618,"Energy products",PSUT_LARGA!$E$2:$E$618,"Use",PSUT_LARGA!$G$2:$G$618,Q$20)=0,"",SUMIFS(PSUT_LARGA!$K$2:$K$618,PSUT_LARGA!$B$2:$B$618,$B$3,PSUT_LARGA!$C$2:$C$618,$A23,PSUT_LARGA!$D$2:$D$618,"Energy products",PSUT_LARGA!$E$2:$E$618,"Use",PSUT_LARGA!$G$2:$G$618,Q$20))</f>
        <v/>
      </c>
      <c r="R23" s="10" t="str">
        <f aca="false">IF(COUNTIFS(PSUT_LARGA!$B$2:$B$618,$B$3,PSUT_LARGA!$C$2:$C$618,$A23,PSUT_LARGA!$D$2:$D$618,"Energy products",PSUT_LARGA!$E$2:$E$618,"Use",PSUT_LARGA!$G$2:$G$618,R$20)=0,"",SUMIFS(PSUT_LARGA!$K$2:$K$618,PSUT_LARGA!$B$2:$B$618,$B$3,PSUT_LARGA!$C$2:$C$618,$A23,PSUT_LARGA!$D$2:$D$618,"Energy products",PSUT_LARGA!$E$2:$E$618,"Use",PSUT_LARGA!$G$2:$G$618,R$20))</f>
        <v/>
      </c>
      <c r="S23" s="10" t="n">
        <f aca="false">IF(COUNTIFS(PSUT_LARGA!$B$2:$B$618,$B$3,PSUT_LARGA!$C$2:$C$618,$A23,PSUT_LARGA!$D$2:$D$618,"Energy products",PSUT_LARGA!$E$2:$E$618,"Use",PSUT_LARGA!$G$2:$G$618,S$20)=0,"",SUMIFS(PSUT_LARGA!$K$2:$K$618,PSUT_LARGA!$B$2:$B$618,$B$3,PSUT_LARGA!$C$2:$C$618,$A23,PSUT_LARGA!$D$2:$D$618,"Energy products",PSUT_LARGA!$E$2:$E$618,"Use",PSUT_LARGA!$G$2:$G$618,S$20))</f>
        <v>6627.2927</v>
      </c>
      <c r="T23" s="10" t="str">
        <f aca="false">IF(COUNTIFS(PSUT_LARGA!$B$2:$B$618,$B$3,PSUT_LARGA!$C$2:$C$618,$A23,PSUT_LARGA!$D$2:$D$618,"Energy products",PSUT_LARGA!$E$2:$E$618,"Use",PSUT_LARGA!$G$2:$G$618,T$20)=0,"",SUMIFS(PSUT_LARGA!$K$2:$K$618,PSUT_LARGA!$B$2:$B$618,$B$3,PSUT_LARGA!$C$2:$C$618,$A23,PSUT_LARGA!$D$2:$D$618,"Energy products",PSUT_LARGA!$E$2:$E$618,"Use",PSUT_LARGA!$G$2:$G$618,T$20))</f>
        <v/>
      </c>
      <c r="U23" s="10" t="str">
        <f aca="false">IF(COUNTIFS(PSUT_LARGA!$B$2:$B$618,$B$3,PSUT_LARGA!$C$2:$C$618,$A23,PSUT_LARGA!$D$2:$D$618,"Energy products",PSUT_LARGA!$E$2:$E$618,"Use",PSUT_LARGA!$G$2:$G$618,U$20)=0,"",SUMIFS(PSUT_LARGA!$K$2:$K$618,PSUT_LARGA!$B$2:$B$618,$B$3,PSUT_LARGA!$C$2:$C$618,$A23,PSUT_LARGA!$D$2:$D$618,"Energy products",PSUT_LARGA!$E$2:$E$618,"Use",PSUT_LARGA!$G$2:$G$618,U$20))</f>
        <v/>
      </c>
      <c r="V23" s="10" t="n">
        <f aca="false">IF(COUNT(J23:U23)=0,"",SUM(J23:U23))</f>
        <v>42753.5241</v>
      </c>
      <c r="W23" s="10" t="n">
        <f aca="false">IF(AND(I23="",COUNT(J23:U23)=0),"",SUM(I23)-SUM(J23:U23))</f>
        <v>0</v>
      </c>
    </row>
    <row r="24" customFormat="false" ht="15" hidden="false" customHeight="false" outlineLevel="0" collapsed="false">
      <c r="A24" s="4" t="s">
        <v>95</v>
      </c>
      <c r="B24" s="4" t="s">
        <v>96</v>
      </c>
      <c r="C24" s="10" t="str">
        <f aca="false">IF(COUNTIFS(PSUT_LARGA!$B$2:$B$618,$B$3,PSUT_LARGA!$C$2:$C$618,$A24,PSUT_LARGA!$D$2:$D$618,"Energy products",PSUT_LARGA!$E$2:$E$618,"Supply",PSUT_LARGA!$G$2:$G$618,C$20)=0,"",SUMIFS(PSUT_LARGA!$K$2:$K$618,PSUT_LARGA!$B$2:$B$618,$B$3,PSUT_LARGA!$C$2:$C$618,$A24,PSUT_LARGA!$D$2:$D$618,"Energy products",PSUT_LARGA!$E$2:$E$618,"Supply",PSUT_LARGA!$G$2:$G$618,C$20))</f>
        <v/>
      </c>
      <c r="D24" s="10" t="str">
        <f aca="false">IF(COUNTIFS(PSUT_LARGA!$B$2:$B$618,$B$3,PSUT_LARGA!$C$2:$C$618,$A24,PSUT_LARGA!$D$2:$D$618,"Energy products",PSUT_LARGA!$E$2:$E$618,"Supply",PSUT_LARGA!$G$2:$G$618,D$20)=0,"",SUMIFS(PSUT_LARGA!$K$2:$K$618,PSUT_LARGA!$B$2:$B$618,$B$3,PSUT_LARGA!$C$2:$C$618,$A24,PSUT_LARGA!$D$2:$D$618,"Energy products",PSUT_LARGA!$E$2:$E$618,"Supply",PSUT_LARGA!$G$2:$G$618,D$20))</f>
        <v/>
      </c>
      <c r="E24" s="10" t="str">
        <f aca="false">IF(COUNTIFS(PSUT_LARGA!$B$2:$B$618,$B$3,PSUT_LARGA!$C$2:$C$618,$A24,PSUT_LARGA!$D$2:$D$618,"Energy products",PSUT_LARGA!$E$2:$E$618,"Supply",PSUT_LARGA!$G$2:$G$618,E$20)=0,"",SUMIFS(PSUT_LARGA!$K$2:$K$618,PSUT_LARGA!$B$2:$B$618,$B$3,PSUT_LARGA!$C$2:$C$618,$A24,PSUT_LARGA!$D$2:$D$618,"Energy products",PSUT_LARGA!$E$2:$E$618,"Supply",PSUT_LARGA!$G$2:$G$618,E$20))</f>
        <v/>
      </c>
      <c r="F24" s="10" t="str">
        <f aca="false">IF(COUNTIFS(PSUT_LARGA!$B$2:$B$618,$B$3,PSUT_LARGA!$C$2:$C$618,$A24,PSUT_LARGA!$D$2:$D$618,"Energy products",PSUT_LARGA!$E$2:$E$618,"Supply",PSUT_LARGA!$G$2:$G$618,F$20)=0,"",SUMIFS(PSUT_LARGA!$K$2:$K$618,PSUT_LARGA!$B$2:$B$618,$B$3,PSUT_LARGA!$C$2:$C$618,$A24,PSUT_LARGA!$D$2:$D$618,"Energy products",PSUT_LARGA!$E$2:$E$618,"Supply",PSUT_LARGA!$G$2:$G$618,F$20))</f>
        <v/>
      </c>
      <c r="G24" s="10" t="str">
        <f aca="false">IF(COUNTIFS(PSUT_LARGA!$B$2:$B$618,$B$3,PSUT_LARGA!$C$2:$C$618,$A24,PSUT_LARGA!$D$2:$D$618,"Energy products",PSUT_LARGA!$E$2:$E$618,"Supply",PSUT_LARGA!$G$2:$G$618,G$20)=0,"",SUMIFS(PSUT_LARGA!$K$2:$K$618,PSUT_LARGA!$B$2:$B$618,$B$3,PSUT_LARGA!$C$2:$C$618,$A24,PSUT_LARGA!$D$2:$D$618,"Energy products",PSUT_LARGA!$E$2:$E$618,"Supply",PSUT_LARGA!$G$2:$G$618,G$20))</f>
        <v/>
      </c>
      <c r="H24" s="10" t="n">
        <f aca="false">IF(COUNTIFS(PSUT_LARGA!$B$2:$B$618,$B$3,PSUT_LARGA!$C$2:$C$618,$A24,PSUT_LARGA!$D$2:$D$618,"Energy products",PSUT_LARGA!$E$2:$E$618,"Supply",PSUT_LARGA!$G$2:$G$618,H$20)=0,"",SUMIFS(PSUT_LARGA!$K$2:$K$618,PSUT_LARGA!$B$2:$B$618,$B$3,PSUT_LARGA!$C$2:$C$618,$A24,PSUT_LARGA!$D$2:$D$618,"Energy products",PSUT_LARGA!$E$2:$E$618,"Supply",PSUT_LARGA!$G$2:$G$618,H$20))</f>
        <v>25354.7819</v>
      </c>
      <c r="I24" s="10" t="n">
        <f aca="false">IF(COUNT(C24:H24)=0,"",SUM(C24:H24))</f>
        <v>25354.7819</v>
      </c>
      <c r="J24" s="10" t="str">
        <f aca="false">IF(COUNTIFS(PSUT_LARGA!$B$2:$B$618,$B$3,PSUT_LARGA!$C$2:$C$618,$A24,PSUT_LARGA!$D$2:$D$618,"Energy products",PSUT_LARGA!$E$2:$E$618,"Use",PSUT_LARGA!$G$2:$G$618,J$20)=0,"",SUMIFS(PSUT_LARGA!$K$2:$K$618,PSUT_LARGA!$B$2:$B$618,$B$3,PSUT_LARGA!$C$2:$C$618,$A24,PSUT_LARGA!$D$2:$D$618,"Energy products",PSUT_LARGA!$E$2:$E$618,"Use",PSUT_LARGA!$G$2:$G$618,J$20))</f>
        <v/>
      </c>
      <c r="K24" s="10" t="str">
        <f aca="false">IF(COUNTIFS(PSUT_LARGA!$B$2:$B$618,$B$3,PSUT_LARGA!$C$2:$C$618,$A24,PSUT_LARGA!$D$2:$D$618,"Energy products",PSUT_LARGA!$E$2:$E$618,"Use",PSUT_LARGA!$G$2:$G$618,K$20)=0,"",SUMIFS(PSUT_LARGA!$K$2:$K$618,PSUT_LARGA!$B$2:$B$618,$B$3,PSUT_LARGA!$C$2:$C$618,$A24,PSUT_LARGA!$D$2:$D$618,"Energy products",PSUT_LARGA!$E$2:$E$618,"Use",PSUT_LARGA!$G$2:$G$618,K$20))</f>
        <v/>
      </c>
      <c r="L24" s="10" t="str">
        <f aca="false">IF(COUNTIFS(PSUT_LARGA!$B$2:$B$618,$B$3,PSUT_LARGA!$C$2:$C$618,$A24,PSUT_LARGA!$D$2:$D$618,"Energy products",PSUT_LARGA!$E$2:$E$618,"Use",PSUT_LARGA!$G$2:$G$618,L$20)=0,"",SUMIFS(PSUT_LARGA!$K$2:$K$618,PSUT_LARGA!$B$2:$B$618,$B$3,PSUT_LARGA!$C$2:$C$618,$A24,PSUT_LARGA!$D$2:$D$618,"Energy products",PSUT_LARGA!$E$2:$E$618,"Use",PSUT_LARGA!$G$2:$G$618,L$20))</f>
        <v/>
      </c>
      <c r="M24" s="10" t="n">
        <f aca="false">IF(COUNTIFS(PSUT_LARGA!$B$2:$B$618,$B$3,PSUT_LARGA!$C$2:$C$618,$A24,PSUT_LARGA!$D$2:$D$618,"Energy products",PSUT_LARGA!$E$2:$E$618,"Use",PSUT_LARGA!$G$2:$G$618,M$20)=0,"",SUMIFS(PSUT_LARGA!$K$2:$K$618,PSUT_LARGA!$B$2:$B$618,$B$3,PSUT_LARGA!$C$2:$C$618,$A24,PSUT_LARGA!$D$2:$D$618,"Energy products",PSUT_LARGA!$E$2:$E$618,"Use",PSUT_LARGA!$G$2:$G$618,M$20))</f>
        <v>54.0911</v>
      </c>
      <c r="N24" s="10" t="n">
        <f aca="false">IF(COUNTIFS(PSUT_LARGA!$B$2:$B$618,$B$3,PSUT_LARGA!$C$2:$C$618,$A24,PSUT_LARGA!$D$2:$D$618,"Energy products",PSUT_LARGA!$E$2:$E$618,"Use",PSUT_LARGA!$G$2:$G$618,N$20)=0,"",SUMIFS(PSUT_LARGA!$K$2:$K$618,PSUT_LARGA!$B$2:$B$618,$B$3,PSUT_LARGA!$C$2:$C$618,$A24,PSUT_LARGA!$D$2:$D$618,"Energy products",PSUT_LARGA!$E$2:$E$618,"Use",PSUT_LARGA!$G$2:$G$618,N$20))</f>
        <v>30038.6296</v>
      </c>
      <c r="O24" s="10" t="str">
        <f aca="false">IF(COUNTIFS(PSUT_LARGA!$B$2:$B$618,$B$3,PSUT_LARGA!$C$2:$C$618,$A24,PSUT_LARGA!$D$2:$D$618,"Energy products",PSUT_LARGA!$E$2:$E$618,"Use",PSUT_LARGA!$G$2:$G$618,O$20)=0,"",SUMIFS(PSUT_LARGA!$K$2:$K$618,PSUT_LARGA!$B$2:$B$618,$B$3,PSUT_LARGA!$C$2:$C$618,$A24,PSUT_LARGA!$D$2:$D$618,"Energy products",PSUT_LARGA!$E$2:$E$618,"Use",PSUT_LARGA!$G$2:$G$618,O$20))</f>
        <v/>
      </c>
      <c r="P24" s="10" t="str">
        <f aca="false">IF(COUNTIFS(PSUT_LARGA!$B$2:$B$618,$B$3,PSUT_LARGA!$C$2:$C$618,$A24,PSUT_LARGA!$D$2:$D$618,"Energy products",PSUT_LARGA!$E$2:$E$618,"Use",PSUT_LARGA!$G$2:$G$618,P$20)=0,"",SUMIFS(PSUT_LARGA!$K$2:$K$618,PSUT_LARGA!$B$2:$B$618,$B$3,PSUT_LARGA!$C$2:$C$618,$A24,PSUT_LARGA!$D$2:$D$618,"Energy products",PSUT_LARGA!$E$2:$E$618,"Use",PSUT_LARGA!$G$2:$G$618,P$20))</f>
        <v/>
      </c>
      <c r="Q24" s="10" t="str">
        <f aca="false">IF(COUNTIFS(PSUT_LARGA!$B$2:$B$618,$B$3,PSUT_LARGA!$C$2:$C$618,$A24,PSUT_LARGA!$D$2:$D$618,"Energy products",PSUT_LARGA!$E$2:$E$618,"Use",PSUT_LARGA!$G$2:$G$618,Q$20)=0,"",SUMIFS(PSUT_LARGA!$K$2:$K$618,PSUT_LARGA!$B$2:$B$618,$B$3,PSUT_LARGA!$C$2:$C$618,$A24,PSUT_LARGA!$D$2:$D$618,"Energy products",PSUT_LARGA!$E$2:$E$618,"Use",PSUT_LARGA!$G$2:$G$618,Q$20))</f>
        <v/>
      </c>
      <c r="R24" s="10" t="str">
        <f aca="false">IF(COUNTIFS(PSUT_LARGA!$B$2:$B$618,$B$3,PSUT_LARGA!$C$2:$C$618,$A24,PSUT_LARGA!$D$2:$D$618,"Energy products",PSUT_LARGA!$E$2:$E$618,"Use",PSUT_LARGA!$G$2:$G$618,R$20)=0,"",SUMIFS(PSUT_LARGA!$K$2:$K$618,PSUT_LARGA!$B$2:$B$618,$B$3,PSUT_LARGA!$C$2:$C$618,$A24,PSUT_LARGA!$D$2:$D$618,"Energy products",PSUT_LARGA!$E$2:$E$618,"Use",PSUT_LARGA!$G$2:$G$618,R$20))</f>
        <v/>
      </c>
      <c r="S24" s="10" t="n">
        <f aca="false">IF(COUNTIFS(PSUT_LARGA!$B$2:$B$618,$B$3,PSUT_LARGA!$C$2:$C$618,$A24,PSUT_LARGA!$D$2:$D$618,"Energy products",PSUT_LARGA!$E$2:$E$618,"Use",PSUT_LARGA!$G$2:$G$618,S$20)=0,"",SUMIFS(PSUT_LARGA!$K$2:$K$618,PSUT_LARGA!$B$2:$B$618,$B$3,PSUT_LARGA!$C$2:$C$618,$A24,PSUT_LARGA!$D$2:$D$618,"Energy products",PSUT_LARGA!$E$2:$E$618,"Use",PSUT_LARGA!$G$2:$G$618,S$20))</f>
        <v>-4737.9388</v>
      </c>
      <c r="T24" s="10" t="str">
        <f aca="false">IF(COUNTIFS(PSUT_LARGA!$B$2:$B$618,$B$3,PSUT_LARGA!$C$2:$C$618,$A24,PSUT_LARGA!$D$2:$D$618,"Energy products",PSUT_LARGA!$E$2:$E$618,"Use",PSUT_LARGA!$G$2:$G$618,T$20)=0,"",SUMIFS(PSUT_LARGA!$K$2:$K$618,PSUT_LARGA!$B$2:$B$618,$B$3,PSUT_LARGA!$C$2:$C$618,$A24,PSUT_LARGA!$D$2:$D$618,"Energy products",PSUT_LARGA!$E$2:$E$618,"Use",PSUT_LARGA!$G$2:$G$618,T$20))</f>
        <v/>
      </c>
      <c r="U24" s="10" t="str">
        <f aca="false">IF(COUNTIFS(PSUT_LARGA!$B$2:$B$618,$B$3,PSUT_LARGA!$C$2:$C$618,$A24,PSUT_LARGA!$D$2:$D$618,"Energy products",PSUT_LARGA!$E$2:$E$618,"Use",PSUT_LARGA!$G$2:$G$618,U$20)=0,"",SUMIFS(PSUT_LARGA!$K$2:$K$618,PSUT_LARGA!$B$2:$B$618,$B$3,PSUT_LARGA!$C$2:$C$618,$A24,PSUT_LARGA!$D$2:$D$618,"Energy products",PSUT_LARGA!$E$2:$E$618,"Use",PSUT_LARGA!$G$2:$G$618,U$20))</f>
        <v/>
      </c>
      <c r="V24" s="10" t="n">
        <f aca="false">IF(COUNT(J24:U24)=0,"",SUM(J24:U24))</f>
        <v>25354.7819</v>
      </c>
      <c r="W24" s="10" t="n">
        <f aca="false">IF(AND(I24="",COUNT(J24:U24)=0),"",SUM(I24)-SUM(J24:U24))</f>
        <v>0</v>
      </c>
    </row>
    <row r="25" customFormat="false" ht="15" hidden="false" customHeight="false" outlineLevel="0" collapsed="false">
      <c r="A25" s="4" t="s">
        <v>97</v>
      </c>
      <c r="B25" s="4" t="s">
        <v>98</v>
      </c>
      <c r="C25" s="10" t="str">
        <f aca="false">IF(COUNTIFS(PSUT_LARGA!$B$2:$B$618,$B$3,PSUT_LARGA!$C$2:$C$618,$A25,PSUT_LARGA!$D$2:$D$618,"Energy products",PSUT_LARGA!$E$2:$E$618,"Supply",PSUT_LARGA!$G$2:$G$618,C$20)=0,"",SUMIFS(PSUT_LARGA!$K$2:$K$618,PSUT_LARGA!$B$2:$B$618,$B$3,PSUT_LARGA!$C$2:$C$618,$A25,PSUT_LARGA!$D$2:$D$618,"Energy products",PSUT_LARGA!$E$2:$E$618,"Supply",PSUT_LARGA!$G$2:$G$618,C$20))</f>
        <v/>
      </c>
      <c r="D25" s="10" t="str">
        <f aca="false">IF(COUNTIFS(PSUT_LARGA!$B$2:$B$618,$B$3,PSUT_LARGA!$C$2:$C$618,$A25,PSUT_LARGA!$D$2:$D$618,"Energy products",PSUT_LARGA!$E$2:$E$618,"Supply",PSUT_LARGA!$G$2:$G$618,D$20)=0,"",SUMIFS(PSUT_LARGA!$K$2:$K$618,PSUT_LARGA!$B$2:$B$618,$B$3,PSUT_LARGA!$C$2:$C$618,$A25,PSUT_LARGA!$D$2:$D$618,"Energy products",PSUT_LARGA!$E$2:$E$618,"Supply",PSUT_LARGA!$G$2:$G$618,D$20))</f>
        <v/>
      </c>
      <c r="E25" s="10" t="str">
        <f aca="false">IF(COUNTIFS(PSUT_LARGA!$B$2:$B$618,$B$3,PSUT_LARGA!$C$2:$C$618,$A25,PSUT_LARGA!$D$2:$D$618,"Energy products",PSUT_LARGA!$E$2:$E$618,"Supply",PSUT_LARGA!$G$2:$G$618,E$20)=0,"",SUMIFS(PSUT_LARGA!$K$2:$K$618,PSUT_LARGA!$B$2:$B$618,$B$3,PSUT_LARGA!$C$2:$C$618,$A25,PSUT_LARGA!$D$2:$D$618,"Energy products",PSUT_LARGA!$E$2:$E$618,"Supply",PSUT_LARGA!$G$2:$G$618,E$20))</f>
        <v/>
      </c>
      <c r="F25" s="10" t="str">
        <f aca="false">IF(COUNTIFS(PSUT_LARGA!$B$2:$B$618,$B$3,PSUT_LARGA!$C$2:$C$618,$A25,PSUT_LARGA!$D$2:$D$618,"Energy products",PSUT_LARGA!$E$2:$E$618,"Supply",PSUT_LARGA!$G$2:$G$618,F$20)=0,"",SUMIFS(PSUT_LARGA!$K$2:$K$618,PSUT_LARGA!$B$2:$B$618,$B$3,PSUT_LARGA!$C$2:$C$618,$A25,PSUT_LARGA!$D$2:$D$618,"Energy products",PSUT_LARGA!$E$2:$E$618,"Supply",PSUT_LARGA!$G$2:$G$618,F$20))</f>
        <v/>
      </c>
      <c r="G25" s="10" t="str">
        <f aca="false">IF(COUNTIFS(PSUT_LARGA!$B$2:$B$618,$B$3,PSUT_LARGA!$C$2:$C$618,$A25,PSUT_LARGA!$D$2:$D$618,"Energy products",PSUT_LARGA!$E$2:$E$618,"Supply",PSUT_LARGA!$G$2:$G$618,G$20)=0,"",SUMIFS(PSUT_LARGA!$K$2:$K$618,PSUT_LARGA!$B$2:$B$618,$B$3,PSUT_LARGA!$C$2:$C$618,$A25,PSUT_LARGA!$D$2:$D$618,"Energy products",PSUT_LARGA!$E$2:$E$618,"Supply",PSUT_LARGA!$G$2:$G$618,G$20))</f>
        <v/>
      </c>
      <c r="H25" s="10" t="n">
        <f aca="false">IF(COUNTIFS(PSUT_LARGA!$B$2:$B$618,$B$3,PSUT_LARGA!$C$2:$C$618,$A25,PSUT_LARGA!$D$2:$D$618,"Energy products",PSUT_LARGA!$E$2:$E$618,"Supply",PSUT_LARGA!$G$2:$G$618,H$20)=0,"",SUMIFS(PSUT_LARGA!$K$2:$K$618,PSUT_LARGA!$B$2:$B$618,$B$3,PSUT_LARGA!$C$2:$C$618,$A25,PSUT_LARGA!$D$2:$D$618,"Energy products",PSUT_LARGA!$E$2:$E$618,"Supply",PSUT_LARGA!$G$2:$G$618,H$20))</f>
        <v>93364.8408</v>
      </c>
      <c r="I25" s="10" t="n">
        <f aca="false">IF(COUNT(C25:H25)=0,"",SUM(C25:H25))</f>
        <v>93364.8408</v>
      </c>
      <c r="J25" s="10" t="str">
        <f aca="false">IF(COUNTIFS(PSUT_LARGA!$B$2:$B$618,$B$3,PSUT_LARGA!$C$2:$C$618,$A25,PSUT_LARGA!$D$2:$D$618,"Energy products",PSUT_LARGA!$E$2:$E$618,"Use",PSUT_LARGA!$G$2:$G$618,J$20)=0,"",SUMIFS(PSUT_LARGA!$K$2:$K$618,PSUT_LARGA!$B$2:$B$618,$B$3,PSUT_LARGA!$C$2:$C$618,$A25,PSUT_LARGA!$D$2:$D$618,"Energy products",PSUT_LARGA!$E$2:$E$618,"Use",PSUT_LARGA!$G$2:$G$618,J$20))</f>
        <v/>
      </c>
      <c r="K25" s="10" t="str">
        <f aca="false">IF(COUNTIFS(PSUT_LARGA!$B$2:$B$618,$B$3,PSUT_LARGA!$C$2:$C$618,$A25,PSUT_LARGA!$D$2:$D$618,"Energy products",PSUT_LARGA!$E$2:$E$618,"Use",PSUT_LARGA!$G$2:$G$618,K$20)=0,"",SUMIFS(PSUT_LARGA!$K$2:$K$618,PSUT_LARGA!$B$2:$B$618,$B$3,PSUT_LARGA!$C$2:$C$618,$A25,PSUT_LARGA!$D$2:$D$618,"Energy products",PSUT_LARGA!$E$2:$E$618,"Use",PSUT_LARGA!$G$2:$G$618,K$20))</f>
        <v/>
      </c>
      <c r="L25" s="10" t="str">
        <f aca="false">IF(COUNTIFS(PSUT_LARGA!$B$2:$B$618,$B$3,PSUT_LARGA!$C$2:$C$618,$A25,PSUT_LARGA!$D$2:$D$618,"Energy products",PSUT_LARGA!$E$2:$E$618,"Use",PSUT_LARGA!$G$2:$G$618,L$20)=0,"",SUMIFS(PSUT_LARGA!$K$2:$K$618,PSUT_LARGA!$B$2:$B$618,$B$3,PSUT_LARGA!$C$2:$C$618,$A25,PSUT_LARGA!$D$2:$D$618,"Energy products",PSUT_LARGA!$E$2:$E$618,"Use",PSUT_LARGA!$G$2:$G$618,L$20))</f>
        <v/>
      </c>
      <c r="M25" s="10" t="n">
        <f aca="false">IF(COUNTIFS(PSUT_LARGA!$B$2:$B$618,$B$3,PSUT_LARGA!$C$2:$C$618,$A25,PSUT_LARGA!$D$2:$D$618,"Energy products",PSUT_LARGA!$E$2:$E$618,"Use",PSUT_LARGA!$G$2:$G$618,M$20)=0,"",SUMIFS(PSUT_LARGA!$K$2:$K$618,PSUT_LARGA!$B$2:$B$618,$B$3,PSUT_LARGA!$C$2:$C$618,$A25,PSUT_LARGA!$D$2:$D$618,"Energy products",PSUT_LARGA!$E$2:$E$618,"Use",PSUT_LARGA!$G$2:$G$618,M$20))</f>
        <v>434.7042</v>
      </c>
      <c r="N25" s="10" t="n">
        <f aca="false">IF(COUNTIFS(PSUT_LARGA!$B$2:$B$618,$B$3,PSUT_LARGA!$C$2:$C$618,$A25,PSUT_LARGA!$D$2:$D$618,"Energy products",PSUT_LARGA!$E$2:$E$618,"Use",PSUT_LARGA!$G$2:$G$618,N$20)=0,"",SUMIFS(PSUT_LARGA!$K$2:$K$618,PSUT_LARGA!$B$2:$B$618,$B$3,PSUT_LARGA!$C$2:$C$618,$A25,PSUT_LARGA!$D$2:$D$618,"Energy products",PSUT_LARGA!$E$2:$E$618,"Use",PSUT_LARGA!$G$2:$G$618,N$20))</f>
        <v>7345.4668</v>
      </c>
      <c r="O25" s="10" t="n">
        <f aca="false">IF(COUNTIFS(PSUT_LARGA!$B$2:$B$618,$B$3,PSUT_LARGA!$C$2:$C$618,$A25,PSUT_LARGA!$D$2:$D$618,"Energy products",PSUT_LARGA!$E$2:$E$618,"Use",PSUT_LARGA!$G$2:$G$618,O$20)=0,"",SUMIFS(PSUT_LARGA!$K$2:$K$618,PSUT_LARGA!$B$2:$B$618,$B$3,PSUT_LARGA!$C$2:$C$618,$A25,PSUT_LARGA!$D$2:$D$618,"Energy products",PSUT_LARGA!$E$2:$E$618,"Use",PSUT_LARGA!$G$2:$G$618,O$20))</f>
        <v>84472.6358</v>
      </c>
      <c r="P25" s="10" t="str">
        <f aca="false">IF(COUNTIFS(PSUT_LARGA!$B$2:$B$618,$B$3,PSUT_LARGA!$C$2:$C$618,$A25,PSUT_LARGA!$D$2:$D$618,"Energy products",PSUT_LARGA!$E$2:$E$618,"Use",PSUT_LARGA!$G$2:$G$618,P$20)=0,"",SUMIFS(PSUT_LARGA!$K$2:$K$618,PSUT_LARGA!$B$2:$B$618,$B$3,PSUT_LARGA!$C$2:$C$618,$A25,PSUT_LARGA!$D$2:$D$618,"Energy products",PSUT_LARGA!$E$2:$E$618,"Use",PSUT_LARGA!$G$2:$G$618,P$20))</f>
        <v/>
      </c>
      <c r="Q25" s="10" t="str">
        <f aca="false">IF(COUNTIFS(PSUT_LARGA!$B$2:$B$618,$B$3,PSUT_LARGA!$C$2:$C$618,$A25,PSUT_LARGA!$D$2:$D$618,"Energy products",PSUT_LARGA!$E$2:$E$618,"Use",PSUT_LARGA!$G$2:$G$618,Q$20)=0,"",SUMIFS(PSUT_LARGA!$K$2:$K$618,PSUT_LARGA!$B$2:$B$618,$B$3,PSUT_LARGA!$C$2:$C$618,$A25,PSUT_LARGA!$D$2:$D$618,"Energy products",PSUT_LARGA!$E$2:$E$618,"Use",PSUT_LARGA!$G$2:$G$618,Q$20))</f>
        <v/>
      </c>
      <c r="R25" s="10" t="n">
        <f aca="false">IF(COUNTIFS(PSUT_LARGA!$B$2:$B$618,$B$3,PSUT_LARGA!$C$2:$C$618,$A25,PSUT_LARGA!$D$2:$D$618,"Energy products",PSUT_LARGA!$E$2:$E$618,"Use",PSUT_LARGA!$G$2:$G$618,R$20)=0,"",SUMIFS(PSUT_LARGA!$K$2:$K$618,PSUT_LARGA!$B$2:$B$618,$B$3,PSUT_LARGA!$C$2:$C$618,$A25,PSUT_LARGA!$D$2:$D$618,"Energy products",PSUT_LARGA!$E$2:$E$618,"Use",PSUT_LARGA!$G$2:$G$618,R$20))</f>
        <v>887.8842</v>
      </c>
      <c r="S25" s="10" t="n">
        <f aca="false">IF(COUNTIFS(PSUT_LARGA!$B$2:$B$618,$B$3,PSUT_LARGA!$C$2:$C$618,$A25,PSUT_LARGA!$D$2:$D$618,"Energy products",PSUT_LARGA!$E$2:$E$618,"Use",PSUT_LARGA!$G$2:$G$618,S$20)=0,"",SUMIFS(PSUT_LARGA!$K$2:$K$618,PSUT_LARGA!$B$2:$B$618,$B$3,PSUT_LARGA!$C$2:$C$618,$A25,PSUT_LARGA!$D$2:$D$618,"Energy products",PSUT_LARGA!$E$2:$E$618,"Use",PSUT_LARGA!$G$2:$G$618,S$20))</f>
        <v>224.1498</v>
      </c>
      <c r="T25" s="10" t="str">
        <f aca="false">IF(COUNTIFS(PSUT_LARGA!$B$2:$B$618,$B$3,PSUT_LARGA!$C$2:$C$618,$A25,PSUT_LARGA!$D$2:$D$618,"Energy products",PSUT_LARGA!$E$2:$E$618,"Use",PSUT_LARGA!$G$2:$G$618,T$20)=0,"",SUMIFS(PSUT_LARGA!$K$2:$K$618,PSUT_LARGA!$B$2:$B$618,$B$3,PSUT_LARGA!$C$2:$C$618,$A25,PSUT_LARGA!$D$2:$D$618,"Energy products",PSUT_LARGA!$E$2:$E$618,"Use",PSUT_LARGA!$G$2:$G$618,T$20))</f>
        <v/>
      </c>
      <c r="U25" s="10" t="str">
        <f aca="false">IF(COUNTIFS(PSUT_LARGA!$B$2:$B$618,$B$3,PSUT_LARGA!$C$2:$C$618,$A25,PSUT_LARGA!$D$2:$D$618,"Energy products",PSUT_LARGA!$E$2:$E$618,"Use",PSUT_LARGA!$G$2:$G$618,U$20)=0,"",SUMIFS(PSUT_LARGA!$K$2:$K$618,PSUT_LARGA!$B$2:$B$618,$B$3,PSUT_LARGA!$C$2:$C$618,$A25,PSUT_LARGA!$D$2:$D$618,"Energy products",PSUT_LARGA!$E$2:$E$618,"Use",PSUT_LARGA!$G$2:$G$618,U$20))</f>
        <v/>
      </c>
      <c r="V25" s="10" t="n">
        <f aca="false">IF(COUNT(J25:U25)=0,"",SUM(J25:U25))</f>
        <v>93364.8408</v>
      </c>
      <c r="W25" s="10" t="n">
        <f aca="false">IF(AND(I25="",COUNT(J25:U25)=0),"",SUM(I25)-SUM(J25:U25))</f>
        <v>0</v>
      </c>
    </row>
    <row r="26" customFormat="false" ht="15" hidden="false" customHeight="false" outlineLevel="0" collapsed="false">
      <c r="A26" s="4" t="s">
        <v>99</v>
      </c>
      <c r="B26" s="4" t="s">
        <v>100</v>
      </c>
      <c r="C26" s="10" t="str">
        <f aca="false">IF(COUNTIFS(PSUT_LARGA!$B$2:$B$618,$B$3,PSUT_LARGA!$C$2:$C$618,$A26,PSUT_LARGA!$D$2:$D$618,"Energy products",PSUT_LARGA!$E$2:$E$618,"Supply",PSUT_LARGA!$G$2:$G$618,C$20)=0,"",SUMIFS(PSUT_LARGA!$K$2:$K$618,PSUT_LARGA!$B$2:$B$618,$B$3,PSUT_LARGA!$C$2:$C$618,$A26,PSUT_LARGA!$D$2:$D$618,"Energy products",PSUT_LARGA!$E$2:$E$618,"Supply",PSUT_LARGA!$G$2:$G$618,C$20))</f>
        <v/>
      </c>
      <c r="D26" s="10" t="str">
        <f aca="false">IF(COUNTIFS(PSUT_LARGA!$B$2:$B$618,$B$3,PSUT_LARGA!$C$2:$C$618,$A26,PSUT_LARGA!$D$2:$D$618,"Energy products",PSUT_LARGA!$E$2:$E$618,"Supply",PSUT_LARGA!$G$2:$G$618,D$20)=0,"",SUMIFS(PSUT_LARGA!$K$2:$K$618,PSUT_LARGA!$B$2:$B$618,$B$3,PSUT_LARGA!$C$2:$C$618,$A26,PSUT_LARGA!$D$2:$D$618,"Energy products",PSUT_LARGA!$E$2:$E$618,"Supply",PSUT_LARGA!$G$2:$G$618,D$20))</f>
        <v/>
      </c>
      <c r="E26" s="10" t="str">
        <f aca="false">IF(COUNTIFS(PSUT_LARGA!$B$2:$B$618,$B$3,PSUT_LARGA!$C$2:$C$618,$A26,PSUT_LARGA!$D$2:$D$618,"Energy products",PSUT_LARGA!$E$2:$E$618,"Supply",PSUT_LARGA!$G$2:$G$618,E$20)=0,"",SUMIFS(PSUT_LARGA!$K$2:$K$618,PSUT_LARGA!$B$2:$B$618,$B$3,PSUT_LARGA!$C$2:$C$618,$A26,PSUT_LARGA!$D$2:$D$618,"Energy products",PSUT_LARGA!$E$2:$E$618,"Supply",PSUT_LARGA!$G$2:$G$618,E$20))</f>
        <v/>
      </c>
      <c r="F26" s="10" t="n">
        <f aca="false">IF(COUNTIFS(PSUT_LARGA!$B$2:$B$618,$B$3,PSUT_LARGA!$C$2:$C$618,$A26,PSUT_LARGA!$D$2:$D$618,"Energy products",PSUT_LARGA!$E$2:$E$618,"Supply",PSUT_LARGA!$G$2:$G$618,F$20)=0,"",SUMIFS(PSUT_LARGA!$K$2:$K$618,PSUT_LARGA!$B$2:$B$618,$B$3,PSUT_LARGA!$C$2:$C$618,$A26,PSUT_LARGA!$D$2:$D$618,"Energy products",PSUT_LARGA!$E$2:$E$618,"Supply",PSUT_LARGA!$G$2:$G$618,F$20))</f>
        <v>53209.4325</v>
      </c>
      <c r="G26" s="10" t="str">
        <f aca="false">IF(COUNTIFS(PSUT_LARGA!$B$2:$B$618,$B$3,PSUT_LARGA!$C$2:$C$618,$A26,PSUT_LARGA!$D$2:$D$618,"Energy products",PSUT_LARGA!$E$2:$E$618,"Supply",PSUT_LARGA!$G$2:$G$618,G$20)=0,"",SUMIFS(PSUT_LARGA!$K$2:$K$618,PSUT_LARGA!$B$2:$B$618,$B$3,PSUT_LARGA!$C$2:$C$618,$A26,PSUT_LARGA!$D$2:$D$618,"Energy products",PSUT_LARGA!$E$2:$E$618,"Supply",PSUT_LARGA!$G$2:$G$618,G$20))</f>
        <v/>
      </c>
      <c r="H26" s="10" t="n">
        <f aca="false">IF(COUNTIFS(PSUT_LARGA!$B$2:$B$618,$B$3,PSUT_LARGA!$C$2:$C$618,$A26,PSUT_LARGA!$D$2:$D$618,"Energy products",PSUT_LARGA!$E$2:$E$618,"Supply",PSUT_LARGA!$G$2:$G$618,H$20)=0,"",SUMIFS(PSUT_LARGA!$K$2:$K$618,PSUT_LARGA!$B$2:$B$618,$B$3,PSUT_LARGA!$C$2:$C$618,$A26,PSUT_LARGA!$D$2:$D$618,"Energy products",PSUT_LARGA!$E$2:$E$618,"Supply",PSUT_LARGA!$G$2:$G$618,H$20))</f>
        <v>6706.1344</v>
      </c>
      <c r="I26" s="10" t="n">
        <f aca="false">IF(COUNT(C26:H26)=0,"",SUM(C26:H26))</f>
        <v>59915.5669</v>
      </c>
      <c r="J26" s="10" t="str">
        <f aca="false">IF(COUNTIFS(PSUT_LARGA!$B$2:$B$618,$B$3,PSUT_LARGA!$C$2:$C$618,$A26,PSUT_LARGA!$D$2:$D$618,"Energy products",PSUT_LARGA!$E$2:$E$618,"Use",PSUT_LARGA!$G$2:$G$618,J$20)=0,"",SUMIFS(PSUT_LARGA!$K$2:$K$618,PSUT_LARGA!$B$2:$B$618,$B$3,PSUT_LARGA!$C$2:$C$618,$A26,PSUT_LARGA!$D$2:$D$618,"Energy products",PSUT_LARGA!$E$2:$E$618,"Use",PSUT_LARGA!$G$2:$G$618,J$20))</f>
        <v/>
      </c>
      <c r="K26" s="10" t="str">
        <f aca="false">IF(COUNTIFS(PSUT_LARGA!$B$2:$B$618,$B$3,PSUT_LARGA!$C$2:$C$618,$A26,PSUT_LARGA!$D$2:$D$618,"Energy products",PSUT_LARGA!$E$2:$E$618,"Use",PSUT_LARGA!$G$2:$G$618,K$20)=0,"",SUMIFS(PSUT_LARGA!$K$2:$K$618,PSUT_LARGA!$B$2:$B$618,$B$3,PSUT_LARGA!$C$2:$C$618,$A26,PSUT_LARGA!$D$2:$D$618,"Energy products",PSUT_LARGA!$E$2:$E$618,"Use",PSUT_LARGA!$G$2:$G$618,K$20))</f>
        <v/>
      </c>
      <c r="L26" s="10" t="str">
        <f aca="false">IF(COUNTIFS(PSUT_LARGA!$B$2:$B$618,$B$3,PSUT_LARGA!$C$2:$C$618,$A26,PSUT_LARGA!$D$2:$D$618,"Energy products",PSUT_LARGA!$E$2:$E$618,"Use",PSUT_LARGA!$G$2:$G$618,L$20)=0,"",SUMIFS(PSUT_LARGA!$K$2:$K$618,PSUT_LARGA!$B$2:$B$618,$B$3,PSUT_LARGA!$C$2:$C$618,$A26,PSUT_LARGA!$D$2:$D$618,"Energy products",PSUT_LARGA!$E$2:$E$618,"Use",PSUT_LARGA!$G$2:$G$618,L$20))</f>
        <v/>
      </c>
      <c r="M26" s="10" t="n">
        <f aca="false">IF(COUNTIFS(PSUT_LARGA!$B$2:$B$618,$B$3,PSUT_LARGA!$C$2:$C$618,$A26,PSUT_LARGA!$D$2:$D$618,"Energy products",PSUT_LARGA!$E$2:$E$618,"Use",PSUT_LARGA!$G$2:$G$618,M$20)=0,"",SUMIFS(PSUT_LARGA!$K$2:$K$618,PSUT_LARGA!$B$2:$B$618,$B$3,PSUT_LARGA!$C$2:$C$618,$A26,PSUT_LARGA!$D$2:$D$618,"Energy products",PSUT_LARGA!$E$2:$E$618,"Use",PSUT_LARGA!$G$2:$G$618,M$20))</f>
        <v>9947.1267</v>
      </c>
      <c r="N26" s="10" t="n">
        <f aca="false">IF(COUNTIFS(PSUT_LARGA!$B$2:$B$618,$B$3,PSUT_LARGA!$C$2:$C$618,$A26,PSUT_LARGA!$D$2:$D$618,"Energy products",PSUT_LARGA!$E$2:$E$618,"Use",PSUT_LARGA!$G$2:$G$618,N$20)=0,"",SUMIFS(PSUT_LARGA!$K$2:$K$618,PSUT_LARGA!$B$2:$B$618,$B$3,PSUT_LARGA!$C$2:$C$618,$A26,PSUT_LARGA!$D$2:$D$618,"Energy products",PSUT_LARGA!$E$2:$E$618,"Use",PSUT_LARGA!$G$2:$G$618,N$20))</f>
        <v>17403.2159</v>
      </c>
      <c r="O26" s="10" t="n">
        <f aca="false">IF(COUNTIFS(PSUT_LARGA!$B$2:$B$618,$B$3,PSUT_LARGA!$C$2:$C$618,$A26,PSUT_LARGA!$D$2:$D$618,"Energy products",PSUT_LARGA!$E$2:$E$618,"Use",PSUT_LARGA!$G$2:$G$618,O$20)=0,"",SUMIFS(PSUT_LARGA!$K$2:$K$618,PSUT_LARGA!$B$2:$B$618,$B$3,PSUT_LARGA!$C$2:$C$618,$A26,PSUT_LARGA!$D$2:$D$618,"Energy products",PSUT_LARGA!$E$2:$E$618,"Use",PSUT_LARGA!$G$2:$G$618,O$20))</f>
        <v>29.2243</v>
      </c>
      <c r="P26" s="10" t="n">
        <f aca="false">IF(COUNTIFS(PSUT_LARGA!$B$2:$B$618,$B$3,PSUT_LARGA!$C$2:$C$618,$A26,PSUT_LARGA!$D$2:$D$618,"Energy products",PSUT_LARGA!$E$2:$E$618,"Use",PSUT_LARGA!$G$2:$G$618,P$20)=0,"",SUMIFS(PSUT_LARGA!$K$2:$K$618,PSUT_LARGA!$B$2:$B$618,$B$3,PSUT_LARGA!$C$2:$C$618,$A26,PSUT_LARGA!$D$2:$D$618,"Energy products",PSUT_LARGA!$E$2:$E$618,"Use",PSUT_LARGA!$G$2:$G$618,P$20))</f>
        <v>12059.1779</v>
      </c>
      <c r="Q26" s="10" t="n">
        <f aca="false">IF(COUNTIFS(PSUT_LARGA!$B$2:$B$618,$B$3,PSUT_LARGA!$C$2:$C$618,$A26,PSUT_LARGA!$D$2:$D$618,"Energy products",PSUT_LARGA!$E$2:$E$618,"Use",PSUT_LARGA!$G$2:$G$618,Q$20)=0,"",SUMIFS(PSUT_LARGA!$K$2:$K$618,PSUT_LARGA!$B$2:$B$618,$B$3,PSUT_LARGA!$C$2:$C$618,$A26,PSUT_LARGA!$D$2:$D$618,"Energy products",PSUT_LARGA!$E$2:$E$618,"Use",PSUT_LARGA!$G$2:$G$618,Q$20))</f>
        <v>16781.9526</v>
      </c>
      <c r="R26" s="10" t="n">
        <f aca="false">IF(COUNTIFS(PSUT_LARGA!$B$2:$B$618,$B$3,PSUT_LARGA!$C$2:$C$618,$A26,PSUT_LARGA!$D$2:$D$618,"Energy products",PSUT_LARGA!$E$2:$E$618,"Use",PSUT_LARGA!$G$2:$G$618,R$20)=0,"",SUMIFS(PSUT_LARGA!$K$2:$K$618,PSUT_LARGA!$B$2:$B$618,$B$3,PSUT_LARGA!$C$2:$C$618,$A26,PSUT_LARGA!$D$2:$D$618,"Energy products",PSUT_LARGA!$E$2:$E$618,"Use",PSUT_LARGA!$G$2:$G$618,R$20))</f>
        <v>3694.8114</v>
      </c>
      <c r="S26" s="10" t="str">
        <f aca="false">IF(COUNTIFS(PSUT_LARGA!$B$2:$B$618,$B$3,PSUT_LARGA!$C$2:$C$618,$A26,PSUT_LARGA!$D$2:$D$618,"Energy products",PSUT_LARGA!$E$2:$E$618,"Use",PSUT_LARGA!$G$2:$G$618,S$20)=0,"",SUMIFS(PSUT_LARGA!$K$2:$K$618,PSUT_LARGA!$B$2:$B$618,$B$3,PSUT_LARGA!$C$2:$C$618,$A26,PSUT_LARGA!$D$2:$D$618,"Energy products",PSUT_LARGA!$E$2:$E$618,"Use",PSUT_LARGA!$G$2:$G$618,S$20))</f>
        <v/>
      </c>
      <c r="T26" s="10" t="str">
        <f aca="false">IF(COUNTIFS(PSUT_LARGA!$B$2:$B$618,$B$3,PSUT_LARGA!$C$2:$C$618,$A26,PSUT_LARGA!$D$2:$D$618,"Energy products",PSUT_LARGA!$E$2:$E$618,"Use",PSUT_LARGA!$G$2:$G$618,T$20)=0,"",SUMIFS(PSUT_LARGA!$K$2:$K$618,PSUT_LARGA!$B$2:$B$618,$B$3,PSUT_LARGA!$C$2:$C$618,$A26,PSUT_LARGA!$D$2:$D$618,"Energy products",PSUT_LARGA!$E$2:$E$618,"Use",PSUT_LARGA!$G$2:$G$618,T$20))</f>
        <v/>
      </c>
      <c r="U26" s="10" t="n">
        <f aca="false">IF(COUNTIFS(PSUT_LARGA!$B$2:$B$618,$B$3,PSUT_LARGA!$C$2:$C$618,$A26,PSUT_LARGA!$D$2:$D$618,"Energy products",PSUT_LARGA!$E$2:$E$618,"Use",PSUT_LARGA!$G$2:$G$618,U$20)=0,"",SUMIFS(PSUT_LARGA!$K$2:$K$618,PSUT_LARGA!$B$2:$B$618,$B$3,PSUT_LARGA!$C$2:$C$618,$A26,PSUT_LARGA!$D$2:$D$618,"Energy products",PSUT_LARGA!$E$2:$E$618,"Use",PSUT_LARGA!$G$2:$G$618,U$20))</f>
        <v>0.0581</v>
      </c>
      <c r="V26" s="10" t="n">
        <f aca="false">IF(COUNT(J26:U26)=0,"",SUM(J26:U26))</f>
        <v>59915.5669</v>
      </c>
      <c r="W26" s="10" t="n">
        <f aca="false">IF(AND(I26="",COUNT(J26:U26)=0),"",SUM(I26)-SUM(J26:U26))</f>
        <v>0</v>
      </c>
    </row>
    <row r="27" customFormat="false" ht="15" hidden="false" customHeight="false" outlineLevel="0" collapsed="false">
      <c r="A27" s="4" t="s">
        <v>101</v>
      </c>
      <c r="B27" s="4" t="s">
        <v>102</v>
      </c>
      <c r="C27" s="10" t="str">
        <f aca="false">IF(COUNTIFS(PSUT_LARGA!$B$2:$B$618,$B$3,PSUT_LARGA!$C$2:$C$618,$A27,PSUT_LARGA!$D$2:$D$618,"Energy products",PSUT_LARGA!$E$2:$E$618,"Supply",PSUT_LARGA!$G$2:$G$618,C$20)=0,"",SUMIFS(PSUT_LARGA!$K$2:$K$618,PSUT_LARGA!$B$2:$B$618,$B$3,PSUT_LARGA!$C$2:$C$618,$A27,PSUT_LARGA!$D$2:$D$618,"Energy products",PSUT_LARGA!$E$2:$E$618,"Supply",PSUT_LARGA!$G$2:$G$618,C$20))</f>
        <v/>
      </c>
      <c r="D27" s="10" t="str">
        <f aca="false">IF(COUNTIFS(PSUT_LARGA!$B$2:$B$618,$B$3,PSUT_LARGA!$C$2:$C$618,$A27,PSUT_LARGA!$D$2:$D$618,"Energy products",PSUT_LARGA!$E$2:$E$618,"Supply",PSUT_LARGA!$G$2:$G$618,D$20)=0,"",SUMIFS(PSUT_LARGA!$K$2:$K$618,PSUT_LARGA!$B$2:$B$618,$B$3,PSUT_LARGA!$C$2:$C$618,$A27,PSUT_LARGA!$D$2:$D$618,"Energy products",PSUT_LARGA!$E$2:$E$618,"Supply",PSUT_LARGA!$G$2:$G$618,D$20))</f>
        <v/>
      </c>
      <c r="E27" s="10" t="str">
        <f aca="false">IF(COUNTIFS(PSUT_LARGA!$B$2:$B$618,$B$3,PSUT_LARGA!$C$2:$C$618,$A27,PSUT_LARGA!$D$2:$D$618,"Energy products",PSUT_LARGA!$E$2:$E$618,"Supply",PSUT_LARGA!$G$2:$G$618,E$20)=0,"",SUMIFS(PSUT_LARGA!$K$2:$K$618,PSUT_LARGA!$B$2:$B$618,$B$3,PSUT_LARGA!$C$2:$C$618,$A27,PSUT_LARGA!$D$2:$D$618,"Energy products",PSUT_LARGA!$E$2:$E$618,"Supply",PSUT_LARGA!$G$2:$G$618,E$20))</f>
        <v/>
      </c>
      <c r="F27" s="10" t="str">
        <f aca="false">IF(COUNTIFS(PSUT_LARGA!$B$2:$B$618,$B$3,PSUT_LARGA!$C$2:$C$618,$A27,PSUT_LARGA!$D$2:$D$618,"Energy products",PSUT_LARGA!$E$2:$E$618,"Supply",PSUT_LARGA!$G$2:$G$618,F$20)=0,"",SUMIFS(PSUT_LARGA!$K$2:$K$618,PSUT_LARGA!$B$2:$B$618,$B$3,PSUT_LARGA!$C$2:$C$618,$A27,PSUT_LARGA!$D$2:$D$618,"Energy products",PSUT_LARGA!$E$2:$E$618,"Supply",PSUT_LARGA!$G$2:$G$618,F$20))</f>
        <v/>
      </c>
      <c r="G27" s="10" t="str">
        <f aca="false">IF(COUNTIFS(PSUT_LARGA!$B$2:$B$618,$B$3,PSUT_LARGA!$C$2:$C$618,$A27,PSUT_LARGA!$D$2:$D$618,"Energy products",PSUT_LARGA!$E$2:$E$618,"Supply",PSUT_LARGA!$G$2:$G$618,G$20)=0,"",SUMIFS(PSUT_LARGA!$K$2:$K$618,PSUT_LARGA!$B$2:$B$618,$B$3,PSUT_LARGA!$C$2:$C$618,$A27,PSUT_LARGA!$D$2:$D$618,"Energy products",PSUT_LARGA!$E$2:$E$618,"Supply",PSUT_LARGA!$G$2:$G$618,G$20))</f>
        <v/>
      </c>
      <c r="H27" s="10" t="n">
        <f aca="false">IF(COUNTIFS(PSUT_LARGA!$B$2:$B$618,$B$3,PSUT_LARGA!$C$2:$C$618,$A27,PSUT_LARGA!$D$2:$D$618,"Energy products",PSUT_LARGA!$E$2:$E$618,"Supply",PSUT_LARGA!$G$2:$G$618,H$20)=0,"",SUMIFS(PSUT_LARGA!$K$2:$K$618,PSUT_LARGA!$B$2:$B$618,$B$3,PSUT_LARGA!$C$2:$C$618,$A27,PSUT_LARGA!$D$2:$D$618,"Energy products",PSUT_LARGA!$E$2:$E$618,"Supply",PSUT_LARGA!$G$2:$G$618,H$20))</f>
        <v>13499.8255</v>
      </c>
      <c r="I27" s="10" t="n">
        <f aca="false">IF(COUNT(C27:H27)=0,"",SUM(C27:H27))</f>
        <v>13499.8255</v>
      </c>
      <c r="J27" s="10" t="str">
        <f aca="false">IF(COUNTIFS(PSUT_LARGA!$B$2:$B$618,$B$3,PSUT_LARGA!$C$2:$C$618,$A27,PSUT_LARGA!$D$2:$D$618,"Energy products",PSUT_LARGA!$E$2:$E$618,"Use",PSUT_LARGA!$G$2:$G$618,J$20)=0,"",SUMIFS(PSUT_LARGA!$K$2:$K$618,PSUT_LARGA!$B$2:$B$618,$B$3,PSUT_LARGA!$C$2:$C$618,$A27,PSUT_LARGA!$D$2:$D$618,"Energy products",PSUT_LARGA!$E$2:$E$618,"Use",PSUT_LARGA!$G$2:$G$618,J$20))</f>
        <v/>
      </c>
      <c r="K27" s="10" t="str">
        <f aca="false">IF(COUNTIFS(PSUT_LARGA!$B$2:$B$618,$B$3,PSUT_LARGA!$C$2:$C$618,$A27,PSUT_LARGA!$D$2:$D$618,"Energy products",PSUT_LARGA!$E$2:$E$618,"Use",PSUT_LARGA!$G$2:$G$618,K$20)=0,"",SUMIFS(PSUT_LARGA!$K$2:$K$618,PSUT_LARGA!$B$2:$B$618,$B$3,PSUT_LARGA!$C$2:$C$618,$A27,PSUT_LARGA!$D$2:$D$618,"Energy products",PSUT_LARGA!$E$2:$E$618,"Use",PSUT_LARGA!$G$2:$G$618,K$20))</f>
        <v/>
      </c>
      <c r="L27" s="10" t="str">
        <f aca="false">IF(COUNTIFS(PSUT_LARGA!$B$2:$B$618,$B$3,PSUT_LARGA!$C$2:$C$618,$A27,PSUT_LARGA!$D$2:$D$618,"Energy products",PSUT_LARGA!$E$2:$E$618,"Use",PSUT_LARGA!$G$2:$G$618,L$20)=0,"",SUMIFS(PSUT_LARGA!$K$2:$K$618,PSUT_LARGA!$B$2:$B$618,$B$3,PSUT_LARGA!$C$2:$C$618,$A27,PSUT_LARGA!$D$2:$D$618,"Energy products",PSUT_LARGA!$E$2:$E$618,"Use",PSUT_LARGA!$G$2:$G$618,L$20))</f>
        <v/>
      </c>
      <c r="M27" s="10" t="n">
        <f aca="false">IF(COUNTIFS(PSUT_LARGA!$B$2:$B$618,$B$3,PSUT_LARGA!$C$2:$C$618,$A27,PSUT_LARGA!$D$2:$D$618,"Energy products",PSUT_LARGA!$E$2:$E$618,"Use",PSUT_LARGA!$G$2:$G$618,M$20)=0,"",SUMIFS(PSUT_LARGA!$K$2:$K$618,PSUT_LARGA!$B$2:$B$618,$B$3,PSUT_LARGA!$C$2:$C$618,$A27,PSUT_LARGA!$D$2:$D$618,"Energy products",PSUT_LARGA!$E$2:$E$618,"Use",PSUT_LARGA!$G$2:$G$618,M$20))</f>
        <v>7225.6646</v>
      </c>
      <c r="N27" s="10" t="n">
        <f aca="false">IF(COUNTIFS(PSUT_LARGA!$B$2:$B$618,$B$3,PSUT_LARGA!$C$2:$C$618,$A27,PSUT_LARGA!$D$2:$D$618,"Energy products",PSUT_LARGA!$E$2:$E$618,"Use",PSUT_LARGA!$G$2:$G$618,N$20)=0,"",SUMIFS(PSUT_LARGA!$K$2:$K$618,PSUT_LARGA!$B$2:$B$618,$B$3,PSUT_LARGA!$C$2:$C$618,$A27,PSUT_LARGA!$D$2:$D$618,"Energy products",PSUT_LARGA!$E$2:$E$618,"Use",PSUT_LARGA!$G$2:$G$618,N$20))</f>
        <v>7259.2464</v>
      </c>
      <c r="O27" s="10" t="str">
        <f aca="false">IF(COUNTIFS(PSUT_LARGA!$B$2:$B$618,$B$3,PSUT_LARGA!$C$2:$C$618,$A27,PSUT_LARGA!$D$2:$D$618,"Energy products",PSUT_LARGA!$E$2:$E$618,"Use",PSUT_LARGA!$G$2:$G$618,O$20)=0,"",SUMIFS(PSUT_LARGA!$K$2:$K$618,PSUT_LARGA!$B$2:$B$618,$B$3,PSUT_LARGA!$C$2:$C$618,$A27,PSUT_LARGA!$D$2:$D$618,"Energy products",PSUT_LARGA!$E$2:$E$618,"Use",PSUT_LARGA!$G$2:$G$618,O$20))</f>
        <v/>
      </c>
      <c r="P27" s="10" t="str">
        <f aca="false">IF(COUNTIFS(PSUT_LARGA!$B$2:$B$618,$B$3,PSUT_LARGA!$C$2:$C$618,$A27,PSUT_LARGA!$D$2:$D$618,"Energy products",PSUT_LARGA!$E$2:$E$618,"Use",PSUT_LARGA!$G$2:$G$618,P$20)=0,"",SUMIFS(PSUT_LARGA!$K$2:$K$618,PSUT_LARGA!$B$2:$B$618,$B$3,PSUT_LARGA!$C$2:$C$618,$A27,PSUT_LARGA!$D$2:$D$618,"Energy products",PSUT_LARGA!$E$2:$E$618,"Use",PSUT_LARGA!$G$2:$G$618,P$20))</f>
        <v/>
      </c>
      <c r="Q27" s="10" t="str">
        <f aca="false">IF(COUNTIFS(PSUT_LARGA!$B$2:$B$618,$B$3,PSUT_LARGA!$C$2:$C$618,$A27,PSUT_LARGA!$D$2:$D$618,"Energy products",PSUT_LARGA!$E$2:$E$618,"Use",PSUT_LARGA!$G$2:$G$618,Q$20)=0,"",SUMIFS(PSUT_LARGA!$K$2:$K$618,PSUT_LARGA!$B$2:$B$618,$B$3,PSUT_LARGA!$C$2:$C$618,$A27,PSUT_LARGA!$D$2:$D$618,"Energy products",PSUT_LARGA!$E$2:$E$618,"Use",PSUT_LARGA!$G$2:$G$618,Q$20))</f>
        <v/>
      </c>
      <c r="R27" s="10" t="n">
        <f aca="false">IF(COUNTIFS(PSUT_LARGA!$B$2:$B$618,$B$3,PSUT_LARGA!$C$2:$C$618,$A27,PSUT_LARGA!$D$2:$D$618,"Energy products",PSUT_LARGA!$E$2:$E$618,"Use",PSUT_LARGA!$G$2:$G$618,R$20)=0,"",SUMIFS(PSUT_LARGA!$K$2:$K$618,PSUT_LARGA!$B$2:$B$618,$B$3,PSUT_LARGA!$C$2:$C$618,$A27,PSUT_LARGA!$D$2:$D$618,"Energy products",PSUT_LARGA!$E$2:$E$618,"Use",PSUT_LARGA!$G$2:$G$618,R$20))</f>
        <v>127.4133</v>
      </c>
      <c r="S27" s="10" t="n">
        <f aca="false">IF(COUNTIFS(PSUT_LARGA!$B$2:$B$618,$B$3,PSUT_LARGA!$C$2:$C$618,$A27,PSUT_LARGA!$D$2:$D$618,"Energy products",PSUT_LARGA!$E$2:$E$618,"Use",PSUT_LARGA!$G$2:$G$618,S$20)=0,"",SUMIFS(PSUT_LARGA!$K$2:$K$618,PSUT_LARGA!$B$2:$B$618,$B$3,PSUT_LARGA!$C$2:$C$618,$A27,PSUT_LARGA!$D$2:$D$618,"Energy products",PSUT_LARGA!$E$2:$E$618,"Use",PSUT_LARGA!$G$2:$G$618,S$20))</f>
        <v>-1112.4988</v>
      </c>
      <c r="T27" s="10" t="str">
        <f aca="false">IF(COUNTIFS(PSUT_LARGA!$B$2:$B$618,$B$3,PSUT_LARGA!$C$2:$C$618,$A27,PSUT_LARGA!$D$2:$D$618,"Energy products",PSUT_LARGA!$E$2:$E$618,"Use",PSUT_LARGA!$G$2:$G$618,T$20)=0,"",SUMIFS(PSUT_LARGA!$K$2:$K$618,PSUT_LARGA!$B$2:$B$618,$B$3,PSUT_LARGA!$C$2:$C$618,$A27,PSUT_LARGA!$D$2:$D$618,"Energy products",PSUT_LARGA!$E$2:$E$618,"Use",PSUT_LARGA!$G$2:$G$618,T$20))</f>
        <v/>
      </c>
      <c r="U27" s="10" t="str">
        <f aca="false">IF(COUNTIFS(PSUT_LARGA!$B$2:$B$618,$B$3,PSUT_LARGA!$C$2:$C$618,$A27,PSUT_LARGA!$D$2:$D$618,"Energy products",PSUT_LARGA!$E$2:$E$618,"Use",PSUT_LARGA!$G$2:$G$618,U$20)=0,"",SUMIFS(PSUT_LARGA!$K$2:$K$618,PSUT_LARGA!$B$2:$B$618,$B$3,PSUT_LARGA!$C$2:$C$618,$A27,PSUT_LARGA!$D$2:$D$618,"Energy products",PSUT_LARGA!$E$2:$E$618,"Use",PSUT_LARGA!$G$2:$G$618,U$20))</f>
        <v/>
      </c>
      <c r="V27" s="10" t="n">
        <f aca="false">IF(COUNT(J27:U27)=0,"",SUM(J27:U27))</f>
        <v>13499.8255</v>
      </c>
      <c r="W27" s="10" t="n">
        <f aca="false">IF(AND(I27="",COUNT(J27:U27)=0),"",SUM(I27)-SUM(J27:U27))</f>
        <v>1.81898940354586E-012</v>
      </c>
    </row>
    <row r="28" customFormat="false" ht="15" hidden="false" customHeight="false" outlineLevel="0" collapsed="false">
      <c r="A28" s="4" t="s">
        <v>103</v>
      </c>
      <c r="B28" s="4" t="s">
        <v>104</v>
      </c>
      <c r="C28" s="10" t="str">
        <f aca="false">IF(COUNTIFS(PSUT_LARGA!$B$2:$B$618,$B$3,PSUT_LARGA!$C$2:$C$618,$A28,PSUT_LARGA!$D$2:$D$618,"Energy products",PSUT_LARGA!$E$2:$E$618,"Supply",PSUT_LARGA!$G$2:$G$618,C$20)=0,"",SUMIFS(PSUT_LARGA!$K$2:$K$618,PSUT_LARGA!$B$2:$B$618,$B$3,PSUT_LARGA!$C$2:$C$618,$A28,PSUT_LARGA!$D$2:$D$618,"Energy products",PSUT_LARGA!$E$2:$E$618,"Supply",PSUT_LARGA!$G$2:$G$618,C$20))</f>
        <v/>
      </c>
      <c r="D28" s="10" t="str">
        <f aca="false">IF(COUNTIFS(PSUT_LARGA!$B$2:$B$618,$B$3,PSUT_LARGA!$C$2:$C$618,$A28,PSUT_LARGA!$D$2:$D$618,"Energy products",PSUT_LARGA!$E$2:$E$618,"Supply",PSUT_LARGA!$G$2:$G$618,D$20)=0,"",SUMIFS(PSUT_LARGA!$K$2:$K$618,PSUT_LARGA!$B$2:$B$618,$B$3,PSUT_LARGA!$C$2:$C$618,$A28,PSUT_LARGA!$D$2:$D$618,"Energy products",PSUT_LARGA!$E$2:$E$618,"Supply",PSUT_LARGA!$G$2:$G$618,D$20))</f>
        <v/>
      </c>
      <c r="E28" s="10" t="str">
        <f aca="false">IF(COUNTIFS(PSUT_LARGA!$B$2:$B$618,$B$3,PSUT_LARGA!$C$2:$C$618,$A28,PSUT_LARGA!$D$2:$D$618,"Energy products",PSUT_LARGA!$E$2:$E$618,"Supply",PSUT_LARGA!$G$2:$G$618,E$20)=0,"",SUMIFS(PSUT_LARGA!$K$2:$K$618,PSUT_LARGA!$B$2:$B$618,$B$3,PSUT_LARGA!$C$2:$C$618,$A28,PSUT_LARGA!$D$2:$D$618,"Energy products",PSUT_LARGA!$E$2:$E$618,"Supply",PSUT_LARGA!$G$2:$G$618,E$20))</f>
        <v/>
      </c>
      <c r="F28" s="10" t="str">
        <f aca="false">IF(COUNTIFS(PSUT_LARGA!$B$2:$B$618,$B$3,PSUT_LARGA!$C$2:$C$618,$A28,PSUT_LARGA!$D$2:$D$618,"Energy products",PSUT_LARGA!$E$2:$E$618,"Supply",PSUT_LARGA!$G$2:$G$618,F$20)=0,"",SUMIFS(PSUT_LARGA!$K$2:$K$618,PSUT_LARGA!$B$2:$B$618,$B$3,PSUT_LARGA!$C$2:$C$618,$A28,PSUT_LARGA!$D$2:$D$618,"Energy products",PSUT_LARGA!$E$2:$E$618,"Supply",PSUT_LARGA!$G$2:$G$618,F$20))</f>
        <v/>
      </c>
      <c r="G28" s="10" t="str">
        <f aca="false">IF(COUNTIFS(PSUT_LARGA!$B$2:$B$618,$B$3,PSUT_LARGA!$C$2:$C$618,$A28,PSUT_LARGA!$D$2:$D$618,"Energy products",PSUT_LARGA!$E$2:$E$618,"Supply",PSUT_LARGA!$G$2:$G$618,G$20)=0,"",SUMIFS(PSUT_LARGA!$K$2:$K$618,PSUT_LARGA!$B$2:$B$618,$B$3,PSUT_LARGA!$C$2:$C$618,$A28,PSUT_LARGA!$D$2:$D$618,"Energy products",PSUT_LARGA!$E$2:$E$618,"Supply",PSUT_LARGA!$G$2:$G$618,G$20))</f>
        <v/>
      </c>
      <c r="H28" s="10" t="n">
        <f aca="false">IF(COUNTIFS(PSUT_LARGA!$B$2:$B$618,$B$3,PSUT_LARGA!$C$2:$C$618,$A28,PSUT_LARGA!$D$2:$D$618,"Energy products",PSUT_LARGA!$E$2:$E$618,"Supply",PSUT_LARGA!$G$2:$G$618,H$20)=0,"",SUMIFS(PSUT_LARGA!$K$2:$K$618,PSUT_LARGA!$B$2:$B$618,$B$3,PSUT_LARGA!$C$2:$C$618,$A28,PSUT_LARGA!$D$2:$D$618,"Energy products",PSUT_LARGA!$E$2:$E$618,"Supply",PSUT_LARGA!$G$2:$G$618,H$20))</f>
        <v>97933.1857</v>
      </c>
      <c r="I28" s="10" t="n">
        <f aca="false">IF(COUNT(C28:H28)=0,"",SUM(C28:H28))</f>
        <v>97933.1857</v>
      </c>
      <c r="J28" s="10" t="str">
        <f aca="false">IF(COUNTIFS(PSUT_LARGA!$B$2:$B$618,$B$3,PSUT_LARGA!$C$2:$C$618,$A28,PSUT_LARGA!$D$2:$D$618,"Energy products",PSUT_LARGA!$E$2:$E$618,"Use",PSUT_LARGA!$G$2:$G$618,J$20)=0,"",SUMIFS(PSUT_LARGA!$K$2:$K$618,PSUT_LARGA!$B$2:$B$618,$B$3,PSUT_LARGA!$C$2:$C$618,$A28,PSUT_LARGA!$D$2:$D$618,"Energy products",PSUT_LARGA!$E$2:$E$618,"Use",PSUT_LARGA!$G$2:$G$618,J$20))</f>
        <v/>
      </c>
      <c r="K28" s="10" t="str">
        <f aca="false">IF(COUNTIFS(PSUT_LARGA!$B$2:$B$618,$B$3,PSUT_LARGA!$C$2:$C$618,$A28,PSUT_LARGA!$D$2:$D$618,"Energy products",PSUT_LARGA!$E$2:$E$618,"Use",PSUT_LARGA!$G$2:$G$618,K$20)=0,"",SUMIFS(PSUT_LARGA!$K$2:$K$618,PSUT_LARGA!$B$2:$B$618,$B$3,PSUT_LARGA!$C$2:$C$618,$A28,PSUT_LARGA!$D$2:$D$618,"Energy products",PSUT_LARGA!$E$2:$E$618,"Use",PSUT_LARGA!$G$2:$G$618,K$20))</f>
        <v/>
      </c>
      <c r="L28" s="10" t="str">
        <f aca="false">IF(COUNTIFS(PSUT_LARGA!$B$2:$B$618,$B$3,PSUT_LARGA!$C$2:$C$618,$A28,PSUT_LARGA!$D$2:$D$618,"Energy products",PSUT_LARGA!$E$2:$E$618,"Use",PSUT_LARGA!$G$2:$G$618,L$20)=0,"",SUMIFS(PSUT_LARGA!$K$2:$K$618,PSUT_LARGA!$B$2:$B$618,$B$3,PSUT_LARGA!$C$2:$C$618,$A28,PSUT_LARGA!$D$2:$D$618,"Energy products",PSUT_LARGA!$E$2:$E$618,"Use",PSUT_LARGA!$G$2:$G$618,L$20))</f>
        <v/>
      </c>
      <c r="M28" s="10" t="str">
        <f aca="false">IF(COUNTIFS(PSUT_LARGA!$B$2:$B$618,$B$3,PSUT_LARGA!$C$2:$C$618,$A28,PSUT_LARGA!$D$2:$D$618,"Energy products",PSUT_LARGA!$E$2:$E$618,"Use",PSUT_LARGA!$G$2:$G$618,M$20)=0,"",SUMIFS(PSUT_LARGA!$K$2:$K$618,PSUT_LARGA!$B$2:$B$618,$B$3,PSUT_LARGA!$C$2:$C$618,$A28,PSUT_LARGA!$D$2:$D$618,"Energy products",PSUT_LARGA!$E$2:$E$618,"Use",PSUT_LARGA!$G$2:$G$618,M$20))</f>
        <v/>
      </c>
      <c r="N28" s="10" t="n">
        <f aca="false">IF(COUNTIFS(PSUT_LARGA!$B$2:$B$618,$B$3,PSUT_LARGA!$C$2:$C$618,$A28,PSUT_LARGA!$D$2:$D$618,"Energy products",PSUT_LARGA!$E$2:$E$618,"Use",PSUT_LARGA!$G$2:$G$618,N$20)=0,"",SUMIFS(PSUT_LARGA!$K$2:$K$618,PSUT_LARGA!$B$2:$B$618,$B$3,PSUT_LARGA!$C$2:$C$618,$A28,PSUT_LARGA!$D$2:$D$618,"Energy products",PSUT_LARGA!$E$2:$E$618,"Use",PSUT_LARGA!$G$2:$G$618,N$20))</f>
        <v>1921.7156</v>
      </c>
      <c r="O28" s="10" t="n">
        <f aca="false">IF(COUNTIFS(PSUT_LARGA!$B$2:$B$618,$B$3,PSUT_LARGA!$C$2:$C$618,$A28,PSUT_LARGA!$D$2:$D$618,"Energy products",PSUT_LARGA!$E$2:$E$618,"Use",PSUT_LARGA!$G$2:$G$618,O$20)=0,"",SUMIFS(PSUT_LARGA!$K$2:$K$618,PSUT_LARGA!$B$2:$B$618,$B$3,PSUT_LARGA!$C$2:$C$618,$A28,PSUT_LARGA!$D$2:$D$618,"Energy products",PSUT_LARGA!$E$2:$E$618,"Use",PSUT_LARGA!$G$2:$G$618,O$20))</f>
        <v>93990.3454</v>
      </c>
      <c r="P28" s="10" t="n">
        <f aca="false">IF(COUNTIFS(PSUT_LARGA!$B$2:$B$618,$B$3,PSUT_LARGA!$C$2:$C$618,$A28,PSUT_LARGA!$D$2:$D$618,"Energy products",PSUT_LARGA!$E$2:$E$618,"Use",PSUT_LARGA!$G$2:$G$618,P$20)=0,"",SUMIFS(PSUT_LARGA!$K$2:$K$618,PSUT_LARGA!$B$2:$B$618,$B$3,PSUT_LARGA!$C$2:$C$618,$A28,PSUT_LARGA!$D$2:$D$618,"Energy products",PSUT_LARGA!$E$2:$E$618,"Use",PSUT_LARGA!$G$2:$G$618,P$20))</f>
        <v>480.4289</v>
      </c>
      <c r="Q28" s="10" t="str">
        <f aca="false">IF(COUNTIFS(PSUT_LARGA!$B$2:$B$618,$B$3,PSUT_LARGA!$C$2:$C$618,$A28,PSUT_LARGA!$D$2:$D$618,"Energy products",PSUT_LARGA!$E$2:$E$618,"Use",PSUT_LARGA!$G$2:$G$618,Q$20)=0,"",SUMIFS(PSUT_LARGA!$K$2:$K$618,PSUT_LARGA!$B$2:$B$618,$B$3,PSUT_LARGA!$C$2:$C$618,$A28,PSUT_LARGA!$D$2:$D$618,"Energy products",PSUT_LARGA!$E$2:$E$618,"Use",PSUT_LARGA!$G$2:$G$618,Q$20))</f>
        <v/>
      </c>
      <c r="R28" s="10" t="n">
        <f aca="false">IF(COUNTIFS(PSUT_LARGA!$B$2:$B$618,$B$3,PSUT_LARGA!$C$2:$C$618,$A28,PSUT_LARGA!$D$2:$D$618,"Energy products",PSUT_LARGA!$E$2:$E$618,"Use",PSUT_LARGA!$G$2:$G$618,R$20)=0,"",SUMIFS(PSUT_LARGA!$K$2:$K$618,PSUT_LARGA!$B$2:$B$618,$B$3,PSUT_LARGA!$C$2:$C$618,$A28,PSUT_LARGA!$D$2:$D$618,"Energy products",PSUT_LARGA!$E$2:$E$618,"Use",PSUT_LARGA!$G$2:$G$618,R$20))</f>
        <v>752.5112</v>
      </c>
      <c r="S28" s="10" t="n">
        <f aca="false">IF(COUNTIFS(PSUT_LARGA!$B$2:$B$618,$B$3,PSUT_LARGA!$C$2:$C$618,$A28,PSUT_LARGA!$D$2:$D$618,"Energy products",PSUT_LARGA!$E$2:$E$618,"Use",PSUT_LARGA!$G$2:$G$618,S$20)=0,"",SUMIFS(PSUT_LARGA!$K$2:$K$618,PSUT_LARGA!$B$2:$B$618,$B$3,PSUT_LARGA!$C$2:$C$618,$A28,PSUT_LARGA!$D$2:$D$618,"Energy products",PSUT_LARGA!$E$2:$E$618,"Use",PSUT_LARGA!$G$2:$G$618,S$20))</f>
        <v>788.1265</v>
      </c>
      <c r="T28" s="10" t="str">
        <f aca="false">IF(COUNTIFS(PSUT_LARGA!$B$2:$B$618,$B$3,PSUT_LARGA!$C$2:$C$618,$A28,PSUT_LARGA!$D$2:$D$618,"Energy products",PSUT_LARGA!$E$2:$E$618,"Use",PSUT_LARGA!$G$2:$G$618,T$20)=0,"",SUMIFS(PSUT_LARGA!$K$2:$K$618,PSUT_LARGA!$B$2:$B$618,$B$3,PSUT_LARGA!$C$2:$C$618,$A28,PSUT_LARGA!$D$2:$D$618,"Energy products",PSUT_LARGA!$E$2:$E$618,"Use",PSUT_LARGA!$G$2:$G$618,T$20))</f>
        <v/>
      </c>
      <c r="U28" s="10" t="n">
        <f aca="false">IF(COUNTIFS(PSUT_LARGA!$B$2:$B$618,$B$3,PSUT_LARGA!$C$2:$C$618,$A28,PSUT_LARGA!$D$2:$D$618,"Energy products",PSUT_LARGA!$E$2:$E$618,"Use",PSUT_LARGA!$G$2:$G$618,U$20)=0,"",SUMIFS(PSUT_LARGA!$K$2:$K$618,PSUT_LARGA!$B$2:$B$618,$B$3,PSUT_LARGA!$C$2:$C$618,$A28,PSUT_LARGA!$D$2:$D$618,"Energy products",PSUT_LARGA!$E$2:$E$618,"Use",PSUT_LARGA!$G$2:$G$618,U$20))</f>
        <v>0.0581</v>
      </c>
      <c r="V28" s="10" t="n">
        <f aca="false">IF(COUNT(J28:U28)=0,"",SUM(J28:U28))</f>
        <v>97933.1857</v>
      </c>
      <c r="W28" s="10">
        <f>IF(AND(I28="",COUNT(J28:U28)=0),"",SUM(I28)-SUM(J28:U28))</f>
        <v>0.0</v>
      </c>
    </row>
    <row r="29" customFormat="false" ht="15" hidden="false" customHeight="false" outlineLevel="0" collapsed="false">
      <c r="A29" s="4" t="s">
        <v>105</v>
      </c>
      <c r="B29" s="4" t="s">
        <v>106</v>
      </c>
      <c r="C29" s="10" t="str">
        <f aca="false">IF(COUNTIFS(PSUT_LARGA!$B$2:$B$618,$B$3,PSUT_LARGA!$C$2:$C$618,$A29,PSUT_LARGA!$D$2:$D$618,"Energy products",PSUT_LARGA!$E$2:$E$618,"Supply",PSUT_LARGA!$G$2:$G$618,C$20)=0,"",SUMIFS(PSUT_LARGA!$K$2:$K$618,PSUT_LARGA!$B$2:$B$618,$B$3,PSUT_LARGA!$C$2:$C$618,$A29,PSUT_LARGA!$D$2:$D$618,"Energy products",PSUT_LARGA!$E$2:$E$618,"Supply",PSUT_LARGA!$G$2:$G$618,C$20))</f>
        <v/>
      </c>
      <c r="D29" s="10" t="str">
        <f aca="false">IF(COUNTIFS(PSUT_LARGA!$B$2:$B$618,$B$3,PSUT_LARGA!$C$2:$C$618,$A29,PSUT_LARGA!$D$2:$D$618,"Energy products",PSUT_LARGA!$E$2:$E$618,"Supply",PSUT_LARGA!$G$2:$G$618,D$20)=0,"",SUMIFS(PSUT_LARGA!$K$2:$K$618,PSUT_LARGA!$B$2:$B$618,$B$3,PSUT_LARGA!$C$2:$C$618,$A29,PSUT_LARGA!$D$2:$D$618,"Energy products",PSUT_LARGA!$E$2:$E$618,"Supply",PSUT_LARGA!$G$2:$G$618,D$20))</f>
        <v/>
      </c>
      <c r="E29" s="10" t="str">
        <f aca="false">IF(COUNTIFS(PSUT_LARGA!$B$2:$B$618,$B$3,PSUT_LARGA!$C$2:$C$618,$A29,PSUT_LARGA!$D$2:$D$618,"Energy products",PSUT_LARGA!$E$2:$E$618,"Supply",PSUT_LARGA!$G$2:$G$618,E$20)=0,"",SUMIFS(PSUT_LARGA!$K$2:$K$618,PSUT_LARGA!$B$2:$B$618,$B$3,PSUT_LARGA!$C$2:$C$618,$A29,PSUT_LARGA!$D$2:$D$618,"Energy products",PSUT_LARGA!$E$2:$E$618,"Supply",PSUT_LARGA!$G$2:$G$618,E$20))</f>
        <v/>
      </c>
      <c r="F29" s="10" t="str">
        <f aca="false">IF(COUNTIFS(PSUT_LARGA!$B$2:$B$618,$B$3,PSUT_LARGA!$C$2:$C$618,$A29,PSUT_LARGA!$D$2:$D$618,"Energy products",PSUT_LARGA!$E$2:$E$618,"Supply",PSUT_LARGA!$G$2:$G$618,F$20)=0,"",SUMIFS(PSUT_LARGA!$K$2:$K$618,PSUT_LARGA!$B$2:$B$618,$B$3,PSUT_LARGA!$C$2:$C$618,$A29,PSUT_LARGA!$D$2:$D$618,"Energy products",PSUT_LARGA!$E$2:$E$618,"Supply",PSUT_LARGA!$G$2:$G$618,F$20))</f>
        <v/>
      </c>
      <c r="G29" s="10" t="str">
        <f aca="false">IF(COUNTIFS(PSUT_LARGA!$B$2:$B$618,$B$3,PSUT_LARGA!$C$2:$C$618,$A29,PSUT_LARGA!$D$2:$D$618,"Energy products",PSUT_LARGA!$E$2:$E$618,"Supply",PSUT_LARGA!$G$2:$G$618,G$20)=0,"",SUMIFS(PSUT_LARGA!$K$2:$K$618,PSUT_LARGA!$B$2:$B$618,$B$3,PSUT_LARGA!$C$2:$C$618,$A29,PSUT_LARGA!$D$2:$D$618,"Energy products",PSUT_LARGA!$E$2:$E$618,"Supply",PSUT_LARGA!$G$2:$G$618,G$20))</f>
        <v/>
      </c>
      <c r="H29" s="10" t="n">
        <f aca="false">IF(COUNTIFS(PSUT_LARGA!$B$2:$B$618,$B$3,PSUT_LARGA!$C$2:$C$618,$A29,PSUT_LARGA!$D$2:$D$618,"Energy products",PSUT_LARGA!$E$2:$E$618,"Supply",PSUT_LARGA!$G$2:$G$618,H$20)=0,"",SUMIFS(PSUT_LARGA!$K$2:$K$618,PSUT_LARGA!$B$2:$B$618,$B$3,PSUT_LARGA!$C$2:$C$618,$A29,PSUT_LARGA!$D$2:$D$618,"Energy products",PSUT_LARGA!$E$2:$E$618,"Supply",PSUT_LARGA!$G$2:$G$618,H$20))</f>
        <v>34095.3459</v>
      </c>
      <c r="I29" s="10" t="n">
        <f aca="false">IF(COUNT(C29:H29)=0,"",SUM(C29:H29))</f>
        <v>34095.3459</v>
      </c>
      <c r="J29" s="10" t="str">
        <f aca="false">IF(COUNTIFS(PSUT_LARGA!$B$2:$B$618,$B$3,PSUT_LARGA!$C$2:$C$618,$A29,PSUT_LARGA!$D$2:$D$618,"Energy products",PSUT_LARGA!$E$2:$E$618,"Use",PSUT_LARGA!$G$2:$G$618,J$20)=0,"",SUMIFS(PSUT_LARGA!$K$2:$K$618,PSUT_LARGA!$B$2:$B$618,$B$3,PSUT_LARGA!$C$2:$C$618,$A29,PSUT_LARGA!$D$2:$D$618,"Energy products",PSUT_LARGA!$E$2:$E$618,"Use",PSUT_LARGA!$G$2:$G$618,J$20))</f>
        <v/>
      </c>
      <c r="K29" s="10" t="str">
        <f aca="false">IF(COUNTIFS(PSUT_LARGA!$B$2:$B$618,$B$3,PSUT_LARGA!$C$2:$C$618,$A29,PSUT_LARGA!$D$2:$D$618,"Energy products",PSUT_LARGA!$E$2:$E$618,"Use",PSUT_LARGA!$G$2:$G$618,K$20)=0,"",SUMIFS(PSUT_LARGA!$K$2:$K$618,PSUT_LARGA!$B$2:$B$618,$B$3,PSUT_LARGA!$C$2:$C$618,$A29,PSUT_LARGA!$D$2:$D$618,"Energy products",PSUT_LARGA!$E$2:$E$618,"Use",PSUT_LARGA!$G$2:$G$618,K$20))</f>
        <v/>
      </c>
      <c r="L29" s="10" t="str">
        <f aca="false">IF(COUNTIFS(PSUT_LARGA!$B$2:$B$618,$B$3,PSUT_LARGA!$C$2:$C$618,$A29,PSUT_LARGA!$D$2:$D$618,"Energy products",PSUT_LARGA!$E$2:$E$618,"Use",PSUT_LARGA!$G$2:$G$618,L$20)=0,"",SUMIFS(PSUT_LARGA!$K$2:$K$618,PSUT_LARGA!$B$2:$B$618,$B$3,PSUT_LARGA!$C$2:$C$618,$A29,PSUT_LARGA!$D$2:$D$618,"Energy products",PSUT_LARGA!$E$2:$E$618,"Use",PSUT_LARGA!$G$2:$G$618,L$20))</f>
        <v/>
      </c>
      <c r="M29" s="10" t="str">
        <f aca="false">IF(COUNTIFS(PSUT_LARGA!$B$2:$B$618,$B$3,PSUT_LARGA!$C$2:$C$618,$A29,PSUT_LARGA!$D$2:$D$618,"Energy products",PSUT_LARGA!$E$2:$E$618,"Use",PSUT_LARGA!$G$2:$G$618,M$20)=0,"",SUMIFS(PSUT_LARGA!$K$2:$K$618,PSUT_LARGA!$B$2:$B$618,$B$3,PSUT_LARGA!$C$2:$C$618,$A29,PSUT_LARGA!$D$2:$D$618,"Energy products",PSUT_LARGA!$E$2:$E$618,"Use",PSUT_LARGA!$G$2:$G$618,M$20))</f>
        <v/>
      </c>
      <c r="N29" s="10" t="n">
        <f aca="false">IF(COUNTIFS(PSUT_LARGA!$B$2:$B$618,$B$3,PSUT_LARGA!$C$2:$C$618,$A29,PSUT_LARGA!$D$2:$D$618,"Energy products",PSUT_LARGA!$E$2:$E$618,"Use",PSUT_LARGA!$G$2:$G$618,N$20)=0,"",SUMIFS(PSUT_LARGA!$K$2:$K$618,PSUT_LARGA!$B$2:$B$618,$B$3,PSUT_LARGA!$C$2:$C$618,$A29,PSUT_LARGA!$D$2:$D$618,"Energy products",PSUT_LARGA!$E$2:$E$618,"Use",PSUT_LARGA!$G$2:$G$618,N$20))</f>
        <v>5153.2376</v>
      </c>
      <c r="O29" s="10" t="n">
        <f aca="false">IF(COUNTIFS(PSUT_LARGA!$B$2:$B$618,$B$3,PSUT_LARGA!$C$2:$C$618,$A29,PSUT_LARGA!$D$2:$D$618,"Energy products",PSUT_LARGA!$E$2:$E$618,"Use",PSUT_LARGA!$G$2:$G$618,O$20)=0,"",SUMIFS(PSUT_LARGA!$K$2:$K$618,PSUT_LARGA!$B$2:$B$618,$B$3,PSUT_LARGA!$C$2:$C$618,$A29,PSUT_LARGA!$D$2:$D$618,"Energy products",PSUT_LARGA!$E$2:$E$618,"Use",PSUT_LARGA!$G$2:$G$618,O$20))</f>
        <v>257.6735</v>
      </c>
      <c r="P29" s="10" t="n">
        <f aca="false">IF(COUNTIFS(PSUT_LARGA!$B$2:$B$618,$B$3,PSUT_LARGA!$C$2:$C$618,$A29,PSUT_LARGA!$D$2:$D$618,"Energy products",PSUT_LARGA!$E$2:$E$618,"Use",PSUT_LARGA!$G$2:$G$618,P$20)=0,"",SUMIFS(PSUT_LARGA!$K$2:$K$618,PSUT_LARGA!$B$2:$B$618,$B$3,PSUT_LARGA!$C$2:$C$618,$A29,PSUT_LARGA!$D$2:$D$618,"Energy products",PSUT_LARGA!$E$2:$E$618,"Use",PSUT_LARGA!$G$2:$G$618,P$20))</f>
        <v>515.347</v>
      </c>
      <c r="Q29" s="10" t="n">
        <f aca="false">IF(COUNTIFS(PSUT_LARGA!$B$2:$B$618,$B$3,PSUT_LARGA!$C$2:$C$618,$A29,PSUT_LARGA!$D$2:$D$618,"Energy products",PSUT_LARGA!$E$2:$E$618,"Use",PSUT_LARGA!$G$2:$G$618,Q$20)=0,"",SUMIFS(PSUT_LARGA!$K$2:$K$618,PSUT_LARGA!$B$2:$B$618,$B$3,PSUT_LARGA!$C$2:$C$618,$A29,PSUT_LARGA!$D$2:$D$618,"Energy products",PSUT_LARGA!$E$2:$E$618,"Use",PSUT_LARGA!$G$2:$G$618,Q$20))</f>
        <v>19839.988</v>
      </c>
      <c r="R29" s="10" t="n">
        <f aca="false">IF(COUNTIFS(PSUT_LARGA!$B$2:$B$618,$B$3,PSUT_LARGA!$C$2:$C$618,$A29,PSUT_LARGA!$D$2:$D$618,"Energy products",PSUT_LARGA!$E$2:$E$618,"Use",PSUT_LARGA!$G$2:$G$618,R$20)=0,"",SUMIFS(PSUT_LARGA!$K$2:$K$618,PSUT_LARGA!$B$2:$B$618,$B$3,PSUT_LARGA!$C$2:$C$618,$A29,PSUT_LARGA!$D$2:$D$618,"Energy products",PSUT_LARGA!$E$2:$E$618,"Use",PSUT_LARGA!$G$2:$G$618,R$20))</f>
        <v>7869.645</v>
      </c>
      <c r="S29" s="10" t="n">
        <f aca="false">IF(COUNTIFS(PSUT_LARGA!$B$2:$B$618,$B$3,PSUT_LARGA!$C$2:$C$618,$A29,PSUT_LARGA!$D$2:$D$618,"Energy products",PSUT_LARGA!$E$2:$E$618,"Use",PSUT_LARGA!$G$2:$G$618,S$20)=0,"",SUMIFS(PSUT_LARGA!$K$2:$K$618,PSUT_LARGA!$B$2:$B$618,$B$3,PSUT_LARGA!$C$2:$C$618,$A29,PSUT_LARGA!$D$2:$D$618,"Energy products",PSUT_LARGA!$E$2:$E$618,"Use",PSUT_LARGA!$G$2:$G$618,S$20))</f>
        <v>459.4548</v>
      </c>
      <c r="T29" s="10" t="str">
        <f aca="false">IF(COUNTIFS(PSUT_LARGA!$B$2:$B$618,$B$3,PSUT_LARGA!$C$2:$C$618,$A29,PSUT_LARGA!$D$2:$D$618,"Energy products",PSUT_LARGA!$E$2:$E$618,"Use",PSUT_LARGA!$G$2:$G$618,T$20)=0,"",SUMIFS(PSUT_LARGA!$K$2:$K$618,PSUT_LARGA!$B$2:$B$618,$B$3,PSUT_LARGA!$C$2:$C$618,$A29,PSUT_LARGA!$D$2:$D$618,"Energy products",PSUT_LARGA!$E$2:$E$618,"Use",PSUT_LARGA!$G$2:$G$618,T$20))</f>
        <v/>
      </c>
      <c r="U29" s="10" t="str">
        <f aca="false">IF(COUNTIFS(PSUT_LARGA!$B$2:$B$618,$B$3,PSUT_LARGA!$C$2:$C$618,$A29,PSUT_LARGA!$D$2:$D$618,"Energy products",PSUT_LARGA!$E$2:$E$618,"Use",PSUT_LARGA!$G$2:$G$618,U$20)=0,"",SUMIFS(PSUT_LARGA!$K$2:$K$618,PSUT_LARGA!$B$2:$B$618,$B$3,PSUT_LARGA!$C$2:$C$618,$A29,PSUT_LARGA!$D$2:$D$618,"Energy products",PSUT_LARGA!$E$2:$E$618,"Use",PSUT_LARGA!$G$2:$G$618,U$20))</f>
        <v/>
      </c>
      <c r="V29" s="10" t="n">
        <f aca="false">IF(COUNT(J29:U29)=0,"",SUM(J29:U29))</f>
        <v>34095.3459</v>
      </c>
      <c r="W29" s="10" t="n">
        <f aca="false">IF(AND(I29="",COUNT(J29:U29)=0),"",SUM(I29)-SUM(J29:U29))</f>
        <v>0</v>
      </c>
    </row>
    <row r="30" customFormat="false" ht="15" hidden="false" customHeight="false" outlineLevel="0" collapsed="false">
      <c r="A30" s="4" t="s">
        <v>107</v>
      </c>
      <c r="B30" s="4" t="s">
        <v>108</v>
      </c>
      <c r="C30" s="10" t="str">
        <f aca="false">IF(COUNTIFS(PSUT_LARGA!$B$2:$B$618,$B$3,PSUT_LARGA!$C$2:$C$618,$A30,PSUT_LARGA!$D$2:$D$618,"Energy products",PSUT_LARGA!$E$2:$E$618,"Supply",PSUT_LARGA!$G$2:$G$618,C$20)=0,"",SUMIFS(PSUT_LARGA!$K$2:$K$618,PSUT_LARGA!$B$2:$B$618,$B$3,PSUT_LARGA!$C$2:$C$618,$A30,PSUT_LARGA!$D$2:$D$618,"Energy products",PSUT_LARGA!$E$2:$E$618,"Supply",PSUT_LARGA!$G$2:$G$618,C$20))</f>
        <v/>
      </c>
      <c r="D30" s="10" t="str">
        <f aca="false">IF(COUNTIFS(PSUT_LARGA!$B$2:$B$618,$B$3,PSUT_LARGA!$C$2:$C$618,$A30,PSUT_LARGA!$D$2:$D$618,"Energy products",PSUT_LARGA!$E$2:$E$618,"Supply",PSUT_LARGA!$G$2:$G$618,D$20)=0,"",SUMIFS(PSUT_LARGA!$K$2:$K$618,PSUT_LARGA!$B$2:$B$618,$B$3,PSUT_LARGA!$C$2:$C$618,$A30,PSUT_LARGA!$D$2:$D$618,"Energy products",PSUT_LARGA!$E$2:$E$618,"Supply",PSUT_LARGA!$G$2:$G$618,D$20))</f>
        <v/>
      </c>
      <c r="E30" s="10" t="str">
        <f aca="false">IF(COUNTIFS(PSUT_LARGA!$B$2:$B$618,$B$3,PSUT_LARGA!$C$2:$C$618,$A30,PSUT_LARGA!$D$2:$D$618,"Energy products",PSUT_LARGA!$E$2:$E$618,"Supply",PSUT_LARGA!$G$2:$G$618,E$20)=0,"",SUMIFS(PSUT_LARGA!$K$2:$K$618,PSUT_LARGA!$B$2:$B$618,$B$3,PSUT_LARGA!$C$2:$C$618,$A30,PSUT_LARGA!$D$2:$D$618,"Energy products",PSUT_LARGA!$E$2:$E$618,"Supply",PSUT_LARGA!$G$2:$G$618,E$20))</f>
        <v/>
      </c>
      <c r="F30" s="10" t="str">
        <f aca="false">IF(COUNTIFS(PSUT_LARGA!$B$2:$B$618,$B$3,PSUT_LARGA!$C$2:$C$618,$A30,PSUT_LARGA!$D$2:$D$618,"Energy products",PSUT_LARGA!$E$2:$E$618,"Supply",PSUT_LARGA!$G$2:$G$618,F$20)=0,"",SUMIFS(PSUT_LARGA!$K$2:$K$618,PSUT_LARGA!$B$2:$B$618,$B$3,PSUT_LARGA!$C$2:$C$618,$A30,PSUT_LARGA!$D$2:$D$618,"Energy products",PSUT_LARGA!$E$2:$E$618,"Supply",PSUT_LARGA!$G$2:$G$618,F$20))</f>
        <v/>
      </c>
      <c r="G30" s="10" t="str">
        <f aca="false">IF(COUNTIFS(PSUT_LARGA!$B$2:$B$618,$B$3,PSUT_LARGA!$C$2:$C$618,$A30,PSUT_LARGA!$D$2:$D$618,"Energy products",PSUT_LARGA!$E$2:$E$618,"Supply",PSUT_LARGA!$G$2:$G$618,G$20)=0,"",SUMIFS(PSUT_LARGA!$K$2:$K$618,PSUT_LARGA!$B$2:$B$618,$B$3,PSUT_LARGA!$C$2:$C$618,$A30,PSUT_LARGA!$D$2:$D$618,"Energy products",PSUT_LARGA!$E$2:$E$618,"Supply",PSUT_LARGA!$G$2:$G$618,G$20))</f>
        <v/>
      </c>
      <c r="H30" s="10" t="n">
        <f aca="false">IF(COUNTIFS(PSUT_LARGA!$B$2:$B$618,$B$3,PSUT_LARGA!$C$2:$C$618,$A30,PSUT_LARGA!$D$2:$D$618,"Energy products",PSUT_LARGA!$E$2:$E$618,"Supply",PSUT_LARGA!$G$2:$G$618,H$20)=0,"",SUMIFS(PSUT_LARGA!$K$2:$K$618,PSUT_LARGA!$B$2:$B$618,$B$3,PSUT_LARGA!$C$2:$C$618,$A30,PSUT_LARGA!$D$2:$D$618,"Energy products",PSUT_LARGA!$E$2:$E$618,"Supply",PSUT_LARGA!$G$2:$G$618,H$20))</f>
        <v>5536.2909</v>
      </c>
      <c r="I30" s="10" t="n">
        <f aca="false">IF(COUNT(C30:H30)=0,"",SUM(C30:H30))</f>
        <v>5536.2909</v>
      </c>
      <c r="J30" s="10" t="str">
        <f aca="false">IF(COUNTIFS(PSUT_LARGA!$B$2:$B$618,$B$3,PSUT_LARGA!$C$2:$C$618,$A30,PSUT_LARGA!$D$2:$D$618,"Energy products",PSUT_LARGA!$E$2:$E$618,"Use",PSUT_LARGA!$G$2:$G$618,J$20)=0,"",SUMIFS(PSUT_LARGA!$K$2:$K$618,PSUT_LARGA!$B$2:$B$618,$B$3,PSUT_LARGA!$C$2:$C$618,$A30,PSUT_LARGA!$D$2:$D$618,"Energy products",PSUT_LARGA!$E$2:$E$618,"Use",PSUT_LARGA!$G$2:$G$618,J$20))</f>
        <v/>
      </c>
      <c r="K30" s="10" t="str">
        <f aca="false">IF(COUNTIFS(PSUT_LARGA!$B$2:$B$618,$B$3,PSUT_LARGA!$C$2:$C$618,$A30,PSUT_LARGA!$D$2:$D$618,"Energy products",PSUT_LARGA!$E$2:$E$618,"Use",PSUT_LARGA!$G$2:$G$618,K$20)=0,"",SUMIFS(PSUT_LARGA!$K$2:$K$618,PSUT_LARGA!$B$2:$B$618,$B$3,PSUT_LARGA!$C$2:$C$618,$A30,PSUT_LARGA!$D$2:$D$618,"Energy products",PSUT_LARGA!$E$2:$E$618,"Use",PSUT_LARGA!$G$2:$G$618,K$20))</f>
        <v/>
      </c>
      <c r="L30" s="10" t="str">
        <f aca="false">IF(COUNTIFS(PSUT_LARGA!$B$2:$B$618,$B$3,PSUT_LARGA!$C$2:$C$618,$A30,PSUT_LARGA!$D$2:$D$618,"Energy products",PSUT_LARGA!$E$2:$E$618,"Use",PSUT_LARGA!$G$2:$G$618,L$20)=0,"",SUMIFS(PSUT_LARGA!$K$2:$K$618,PSUT_LARGA!$B$2:$B$618,$B$3,PSUT_LARGA!$C$2:$C$618,$A30,PSUT_LARGA!$D$2:$D$618,"Energy products",PSUT_LARGA!$E$2:$E$618,"Use",PSUT_LARGA!$G$2:$G$618,L$20))</f>
        <v/>
      </c>
      <c r="M30" s="10" t="str">
        <f aca="false">IF(COUNTIFS(PSUT_LARGA!$B$2:$B$618,$B$3,PSUT_LARGA!$C$2:$C$618,$A30,PSUT_LARGA!$D$2:$D$618,"Energy products",PSUT_LARGA!$E$2:$E$618,"Use",PSUT_LARGA!$G$2:$G$618,M$20)=0,"",SUMIFS(PSUT_LARGA!$K$2:$K$618,PSUT_LARGA!$B$2:$B$618,$B$3,PSUT_LARGA!$C$2:$C$618,$A30,PSUT_LARGA!$D$2:$D$618,"Energy products",PSUT_LARGA!$E$2:$E$618,"Use",PSUT_LARGA!$G$2:$G$618,M$20))</f>
        <v/>
      </c>
      <c r="N30" s="10" t="str">
        <f aca="false">IF(COUNTIFS(PSUT_LARGA!$B$2:$B$618,$B$3,PSUT_LARGA!$C$2:$C$618,$A30,PSUT_LARGA!$D$2:$D$618,"Energy products",PSUT_LARGA!$E$2:$E$618,"Use",PSUT_LARGA!$G$2:$G$618,N$20)=0,"",SUMIFS(PSUT_LARGA!$K$2:$K$618,PSUT_LARGA!$B$2:$B$618,$B$3,PSUT_LARGA!$C$2:$C$618,$A30,PSUT_LARGA!$D$2:$D$618,"Energy products",PSUT_LARGA!$E$2:$E$618,"Use",PSUT_LARGA!$G$2:$G$618,N$20))</f>
        <v/>
      </c>
      <c r="O30" s="10" t="n">
        <f aca="false">IF(COUNTIFS(PSUT_LARGA!$B$2:$B$618,$B$3,PSUT_LARGA!$C$2:$C$618,$A30,PSUT_LARGA!$D$2:$D$618,"Energy products",PSUT_LARGA!$E$2:$E$618,"Use",PSUT_LARGA!$G$2:$G$618,O$20)=0,"",SUMIFS(PSUT_LARGA!$K$2:$K$618,PSUT_LARGA!$B$2:$B$618,$B$3,PSUT_LARGA!$C$2:$C$618,$A30,PSUT_LARGA!$D$2:$D$618,"Energy products",PSUT_LARGA!$E$2:$E$618,"Use",PSUT_LARGA!$G$2:$G$618,O$20))</f>
        <v>5611.1237</v>
      </c>
      <c r="P30" s="10" t="str">
        <f aca="false">IF(COUNTIFS(PSUT_LARGA!$B$2:$B$618,$B$3,PSUT_LARGA!$C$2:$C$618,$A30,PSUT_LARGA!$D$2:$D$618,"Energy products",PSUT_LARGA!$E$2:$E$618,"Use",PSUT_LARGA!$G$2:$G$618,P$20)=0,"",SUMIFS(PSUT_LARGA!$K$2:$K$618,PSUT_LARGA!$B$2:$B$618,$B$3,PSUT_LARGA!$C$2:$C$618,$A30,PSUT_LARGA!$D$2:$D$618,"Energy products",PSUT_LARGA!$E$2:$E$618,"Use",PSUT_LARGA!$G$2:$G$618,P$20))</f>
        <v/>
      </c>
      <c r="Q30" s="10" t="str">
        <f aca="false">IF(COUNTIFS(PSUT_LARGA!$B$2:$B$618,$B$3,PSUT_LARGA!$C$2:$C$618,$A30,PSUT_LARGA!$D$2:$D$618,"Energy products",PSUT_LARGA!$E$2:$E$618,"Use",PSUT_LARGA!$G$2:$G$618,Q$20)=0,"",SUMIFS(PSUT_LARGA!$K$2:$K$618,PSUT_LARGA!$B$2:$B$618,$B$3,PSUT_LARGA!$C$2:$C$618,$A30,PSUT_LARGA!$D$2:$D$618,"Energy products",PSUT_LARGA!$E$2:$E$618,"Use",PSUT_LARGA!$G$2:$G$618,Q$20))</f>
        <v/>
      </c>
      <c r="R30" s="10" t="str">
        <f aca="false">IF(COUNTIFS(PSUT_LARGA!$B$2:$B$618,$B$3,PSUT_LARGA!$C$2:$C$618,$A30,PSUT_LARGA!$D$2:$D$618,"Energy products",PSUT_LARGA!$E$2:$E$618,"Use",PSUT_LARGA!$G$2:$G$618,R$20)=0,"",SUMIFS(PSUT_LARGA!$K$2:$K$618,PSUT_LARGA!$B$2:$B$618,$B$3,PSUT_LARGA!$C$2:$C$618,$A30,PSUT_LARGA!$D$2:$D$618,"Energy products",PSUT_LARGA!$E$2:$E$618,"Use",PSUT_LARGA!$G$2:$G$618,R$20))</f>
        <v/>
      </c>
      <c r="S30" s="10" t="n">
        <f aca="false">IF(COUNTIFS(PSUT_LARGA!$B$2:$B$618,$B$3,PSUT_LARGA!$C$2:$C$618,$A30,PSUT_LARGA!$D$2:$D$618,"Energy products",PSUT_LARGA!$E$2:$E$618,"Use",PSUT_LARGA!$G$2:$G$618,S$20)=0,"",SUMIFS(PSUT_LARGA!$K$2:$K$618,PSUT_LARGA!$B$2:$B$618,$B$3,PSUT_LARGA!$C$2:$C$618,$A30,PSUT_LARGA!$D$2:$D$618,"Energy products",PSUT_LARGA!$E$2:$E$618,"Use",PSUT_LARGA!$G$2:$G$618,S$20))</f>
        <v>-74.8328</v>
      </c>
      <c r="T30" s="10" t="str">
        <f aca="false">IF(COUNTIFS(PSUT_LARGA!$B$2:$B$618,$B$3,PSUT_LARGA!$C$2:$C$618,$A30,PSUT_LARGA!$D$2:$D$618,"Energy products",PSUT_LARGA!$E$2:$E$618,"Use",PSUT_LARGA!$G$2:$G$618,T$20)=0,"",SUMIFS(PSUT_LARGA!$K$2:$K$618,PSUT_LARGA!$B$2:$B$618,$B$3,PSUT_LARGA!$C$2:$C$618,$A30,PSUT_LARGA!$D$2:$D$618,"Energy products",PSUT_LARGA!$E$2:$E$618,"Use",PSUT_LARGA!$G$2:$G$618,T$20))</f>
        <v/>
      </c>
      <c r="U30" s="10" t="str">
        <f aca="false">IF(COUNTIFS(PSUT_LARGA!$B$2:$B$618,$B$3,PSUT_LARGA!$C$2:$C$618,$A30,PSUT_LARGA!$D$2:$D$618,"Energy products",PSUT_LARGA!$E$2:$E$618,"Use",PSUT_LARGA!$G$2:$G$618,U$20)=0,"",SUMIFS(PSUT_LARGA!$K$2:$K$618,PSUT_LARGA!$B$2:$B$618,$B$3,PSUT_LARGA!$C$2:$C$618,$A30,PSUT_LARGA!$D$2:$D$618,"Energy products",PSUT_LARGA!$E$2:$E$618,"Use",PSUT_LARGA!$G$2:$G$618,U$20))</f>
        <v/>
      </c>
      <c r="V30" s="10" t="n">
        <f aca="false">IF(COUNT(J30:U30)=0,"",SUM(J30:U30))</f>
        <v>5536.2909</v>
      </c>
      <c r="W30" s="10" t="n">
        <f aca="false">IF(AND(I30="",COUNT(J30:U30)=0),"",SUM(I30)-SUM(J30:U30))</f>
        <v>9.09494701772928E-013</v>
      </c>
    </row>
    <row r="31" customFormat="false" ht="15" hidden="false" customHeight="false" outlineLevel="0" collapsed="false">
      <c r="A31" s="4" t="s">
        <v>109</v>
      </c>
      <c r="B31" s="4" t="s">
        <v>110</v>
      </c>
      <c r="C31" s="10" t="str">
        <f aca="false">IF(COUNTIFS(PSUT_LARGA!$B$2:$B$618,$B$3,PSUT_LARGA!$C$2:$C$618,$A31,PSUT_LARGA!$D$2:$D$618,"Energy products",PSUT_LARGA!$E$2:$E$618,"Supply",PSUT_LARGA!$G$2:$G$618,C$20)=0,"",SUMIFS(PSUT_LARGA!$K$2:$K$618,PSUT_LARGA!$B$2:$B$618,$B$3,PSUT_LARGA!$C$2:$C$618,$A31,PSUT_LARGA!$D$2:$D$618,"Energy products",PSUT_LARGA!$E$2:$E$618,"Supply",PSUT_LARGA!$G$2:$G$618,C$20))</f>
        <v/>
      </c>
      <c r="D31" s="10" t="n">
        <f aca="false">IF(COUNTIFS(PSUT_LARGA!$B$2:$B$618,$B$3,PSUT_LARGA!$C$2:$C$618,$A31,PSUT_LARGA!$D$2:$D$618,"Energy products",PSUT_LARGA!$E$2:$E$618,"Supply",PSUT_LARGA!$G$2:$G$618,D$20)=0,"",SUMIFS(PSUT_LARGA!$K$2:$K$618,PSUT_LARGA!$B$2:$B$618,$B$3,PSUT_LARGA!$C$2:$C$618,$A31,PSUT_LARGA!$D$2:$D$618,"Energy products",PSUT_LARGA!$E$2:$E$618,"Supply",PSUT_LARGA!$G$2:$G$618,D$20))</f>
        <v>342603.9638</v>
      </c>
      <c r="E31" s="10" t="str">
        <f aca="false">IF(COUNTIFS(PSUT_LARGA!$B$2:$B$618,$B$3,PSUT_LARGA!$C$2:$C$618,$A31,PSUT_LARGA!$D$2:$D$618,"Energy products",PSUT_LARGA!$E$2:$E$618,"Supply",PSUT_LARGA!$G$2:$G$618,E$20)=0,"",SUMIFS(PSUT_LARGA!$K$2:$K$618,PSUT_LARGA!$B$2:$B$618,$B$3,PSUT_LARGA!$C$2:$C$618,$A31,PSUT_LARGA!$D$2:$D$618,"Energy products",PSUT_LARGA!$E$2:$E$618,"Supply",PSUT_LARGA!$G$2:$G$618,E$20))</f>
        <v/>
      </c>
      <c r="F31" s="10" t="str">
        <f aca="false">IF(COUNTIFS(PSUT_LARGA!$B$2:$B$618,$B$3,PSUT_LARGA!$C$2:$C$618,$A31,PSUT_LARGA!$D$2:$D$618,"Energy products",PSUT_LARGA!$E$2:$E$618,"Supply",PSUT_LARGA!$G$2:$G$618,F$20)=0,"",SUMIFS(PSUT_LARGA!$K$2:$K$618,PSUT_LARGA!$B$2:$B$618,$B$3,PSUT_LARGA!$C$2:$C$618,$A31,PSUT_LARGA!$D$2:$D$618,"Energy products",PSUT_LARGA!$E$2:$E$618,"Supply",PSUT_LARGA!$G$2:$G$618,F$20))</f>
        <v/>
      </c>
      <c r="G31" s="10" t="str">
        <f aca="false">IF(COUNTIFS(PSUT_LARGA!$B$2:$B$618,$B$3,PSUT_LARGA!$C$2:$C$618,$A31,PSUT_LARGA!$D$2:$D$618,"Energy products",PSUT_LARGA!$E$2:$E$618,"Supply",PSUT_LARGA!$G$2:$G$618,G$20)=0,"",SUMIFS(PSUT_LARGA!$K$2:$K$618,PSUT_LARGA!$B$2:$B$618,$B$3,PSUT_LARGA!$C$2:$C$618,$A31,PSUT_LARGA!$D$2:$D$618,"Energy products",PSUT_LARGA!$E$2:$E$618,"Supply",PSUT_LARGA!$G$2:$G$618,G$20))</f>
        <v/>
      </c>
      <c r="H31" s="10" t="str">
        <f aca="false">IF(COUNTIFS(PSUT_LARGA!$B$2:$B$618,$B$3,PSUT_LARGA!$C$2:$C$618,$A31,PSUT_LARGA!$D$2:$D$618,"Energy products",PSUT_LARGA!$E$2:$E$618,"Supply",PSUT_LARGA!$G$2:$G$618,H$20)=0,"",SUMIFS(PSUT_LARGA!$K$2:$K$618,PSUT_LARGA!$B$2:$B$618,$B$3,PSUT_LARGA!$C$2:$C$618,$A31,PSUT_LARGA!$D$2:$D$618,"Energy products",PSUT_LARGA!$E$2:$E$618,"Supply",PSUT_LARGA!$G$2:$G$618,H$20))</f>
        <v/>
      </c>
      <c r="I31" s="10" t="n">
        <f aca="false">IF(COUNT(C31:H31)=0,"",SUM(C31:H31))</f>
        <v>342603.9638</v>
      </c>
      <c r="J31" s="10" t="str">
        <f aca="false">IF(COUNTIFS(PSUT_LARGA!$B$2:$B$618,$B$3,PSUT_LARGA!$C$2:$C$618,$A31,PSUT_LARGA!$D$2:$D$618,"Energy products",PSUT_LARGA!$E$2:$E$618,"Use",PSUT_LARGA!$G$2:$G$618,J$20)=0,"",SUMIFS(PSUT_LARGA!$K$2:$K$618,PSUT_LARGA!$B$2:$B$618,$B$3,PSUT_LARGA!$C$2:$C$618,$A31,PSUT_LARGA!$D$2:$D$618,"Energy products",PSUT_LARGA!$E$2:$E$618,"Use",PSUT_LARGA!$G$2:$G$618,J$20))</f>
        <v/>
      </c>
      <c r="K31" s="10" t="str">
        <f aca="false">IF(COUNTIFS(PSUT_LARGA!$B$2:$B$618,$B$3,PSUT_LARGA!$C$2:$C$618,$A31,PSUT_LARGA!$D$2:$D$618,"Energy products",PSUT_LARGA!$E$2:$E$618,"Use",PSUT_LARGA!$G$2:$G$618,K$20)=0,"",SUMIFS(PSUT_LARGA!$K$2:$K$618,PSUT_LARGA!$B$2:$B$618,$B$3,PSUT_LARGA!$C$2:$C$618,$A31,PSUT_LARGA!$D$2:$D$618,"Energy products",PSUT_LARGA!$E$2:$E$618,"Use",PSUT_LARGA!$G$2:$G$618,K$20))</f>
        <v/>
      </c>
      <c r="L31" s="10" t="str">
        <f aca="false">IF(COUNTIFS(PSUT_LARGA!$B$2:$B$618,$B$3,PSUT_LARGA!$C$2:$C$618,$A31,PSUT_LARGA!$D$2:$D$618,"Energy products",PSUT_LARGA!$E$2:$E$618,"Use",PSUT_LARGA!$G$2:$G$618,L$20)=0,"",SUMIFS(PSUT_LARGA!$K$2:$K$618,PSUT_LARGA!$B$2:$B$618,$B$3,PSUT_LARGA!$C$2:$C$618,$A31,PSUT_LARGA!$D$2:$D$618,"Energy products",PSUT_LARGA!$E$2:$E$618,"Use",PSUT_LARGA!$G$2:$G$618,L$20))</f>
        <v/>
      </c>
      <c r="M31" s="10" t="str">
        <f aca="false">IF(COUNTIFS(PSUT_LARGA!$B$2:$B$618,$B$3,PSUT_LARGA!$C$2:$C$618,$A31,PSUT_LARGA!$D$2:$D$618,"Energy products",PSUT_LARGA!$E$2:$E$618,"Use",PSUT_LARGA!$G$2:$G$618,M$20)=0,"",SUMIFS(PSUT_LARGA!$K$2:$K$618,PSUT_LARGA!$B$2:$B$618,$B$3,PSUT_LARGA!$C$2:$C$618,$A31,PSUT_LARGA!$D$2:$D$618,"Energy products",PSUT_LARGA!$E$2:$E$618,"Use",PSUT_LARGA!$G$2:$G$618,M$20))</f>
        <v/>
      </c>
      <c r="N31" s="10" t="str">
        <f aca="false">IF(COUNTIFS(PSUT_LARGA!$B$2:$B$618,$B$3,PSUT_LARGA!$C$2:$C$618,$A31,PSUT_LARGA!$D$2:$D$618,"Energy products",PSUT_LARGA!$E$2:$E$618,"Use",PSUT_LARGA!$G$2:$G$618,N$20)=0,"",SUMIFS(PSUT_LARGA!$K$2:$K$618,PSUT_LARGA!$B$2:$B$618,$B$3,PSUT_LARGA!$C$2:$C$618,$A31,PSUT_LARGA!$D$2:$D$618,"Energy products",PSUT_LARGA!$E$2:$E$618,"Use",PSUT_LARGA!$G$2:$G$618,N$20))</f>
        <v/>
      </c>
      <c r="O31" s="10" t="str">
        <f aca="false">IF(COUNTIFS(PSUT_LARGA!$B$2:$B$618,$B$3,PSUT_LARGA!$C$2:$C$618,$A31,PSUT_LARGA!$D$2:$D$618,"Energy products",PSUT_LARGA!$E$2:$E$618,"Use",PSUT_LARGA!$G$2:$G$618,O$20)=0,"",SUMIFS(PSUT_LARGA!$K$2:$K$618,PSUT_LARGA!$B$2:$B$618,$B$3,PSUT_LARGA!$C$2:$C$618,$A31,PSUT_LARGA!$D$2:$D$618,"Energy products",PSUT_LARGA!$E$2:$E$618,"Use",PSUT_LARGA!$G$2:$G$618,O$20))</f>
        <v/>
      </c>
      <c r="P31" s="10" t="n">
        <f aca="false">IF(COUNTIFS(PSUT_LARGA!$B$2:$B$618,$B$3,PSUT_LARGA!$C$2:$C$618,$A31,PSUT_LARGA!$D$2:$D$618,"Energy products",PSUT_LARGA!$E$2:$E$618,"Use",PSUT_LARGA!$G$2:$G$618,P$20)=0,"",SUMIFS(PSUT_LARGA!$K$2:$K$618,PSUT_LARGA!$B$2:$B$618,$B$3,PSUT_LARGA!$C$2:$C$618,$A31,PSUT_LARGA!$D$2:$D$618,"Energy products",PSUT_LARGA!$E$2:$E$618,"Use",PSUT_LARGA!$G$2:$G$618,P$20))</f>
        <v>10278.1224</v>
      </c>
      <c r="Q31" s="10" t="n">
        <f aca="false">IF(COUNTIFS(PSUT_LARGA!$B$2:$B$618,$B$3,PSUT_LARGA!$C$2:$C$618,$A31,PSUT_LARGA!$D$2:$D$618,"Energy products",PSUT_LARGA!$E$2:$E$618,"Use",PSUT_LARGA!$G$2:$G$618,Q$20)=0,"",SUMIFS(PSUT_LARGA!$K$2:$K$618,PSUT_LARGA!$B$2:$B$618,$B$3,PSUT_LARGA!$C$2:$C$618,$A31,PSUT_LARGA!$D$2:$D$618,"Energy products",PSUT_LARGA!$E$2:$E$618,"Use",PSUT_LARGA!$G$2:$G$618,Q$20))</f>
        <v>332325.8414</v>
      </c>
      <c r="R31" s="10" t="str">
        <f aca="false">IF(COUNTIFS(PSUT_LARGA!$B$2:$B$618,$B$3,PSUT_LARGA!$C$2:$C$618,$A31,PSUT_LARGA!$D$2:$D$618,"Energy products",PSUT_LARGA!$E$2:$E$618,"Use",PSUT_LARGA!$G$2:$G$618,R$20)=0,"",SUMIFS(PSUT_LARGA!$K$2:$K$618,PSUT_LARGA!$B$2:$B$618,$B$3,PSUT_LARGA!$C$2:$C$618,$A31,PSUT_LARGA!$D$2:$D$618,"Energy products",PSUT_LARGA!$E$2:$E$618,"Use",PSUT_LARGA!$G$2:$G$618,R$20))</f>
        <v/>
      </c>
      <c r="S31" s="10" t="str">
        <f aca="false">IF(COUNTIFS(PSUT_LARGA!$B$2:$B$618,$B$3,PSUT_LARGA!$C$2:$C$618,$A31,PSUT_LARGA!$D$2:$D$618,"Energy products",PSUT_LARGA!$E$2:$E$618,"Use",PSUT_LARGA!$G$2:$G$618,S$20)=0,"",SUMIFS(PSUT_LARGA!$K$2:$K$618,PSUT_LARGA!$B$2:$B$618,$B$3,PSUT_LARGA!$C$2:$C$618,$A31,PSUT_LARGA!$D$2:$D$618,"Energy products",PSUT_LARGA!$E$2:$E$618,"Use",PSUT_LARGA!$G$2:$G$618,S$20))</f>
        <v/>
      </c>
      <c r="T31" s="10" t="str">
        <f aca="false">IF(COUNTIFS(PSUT_LARGA!$B$2:$B$618,$B$3,PSUT_LARGA!$C$2:$C$618,$A31,PSUT_LARGA!$D$2:$D$618,"Energy products",PSUT_LARGA!$E$2:$E$618,"Use",PSUT_LARGA!$G$2:$G$618,T$20)=0,"",SUMIFS(PSUT_LARGA!$K$2:$K$618,PSUT_LARGA!$B$2:$B$618,$B$3,PSUT_LARGA!$C$2:$C$618,$A31,PSUT_LARGA!$D$2:$D$618,"Energy products",PSUT_LARGA!$E$2:$E$618,"Use",PSUT_LARGA!$G$2:$G$618,T$20))</f>
        <v/>
      </c>
      <c r="U31" s="10" t="str">
        <f aca="false">IF(COUNTIFS(PSUT_LARGA!$B$2:$B$618,$B$3,PSUT_LARGA!$C$2:$C$618,$A31,PSUT_LARGA!$D$2:$D$618,"Energy products",PSUT_LARGA!$E$2:$E$618,"Use",PSUT_LARGA!$G$2:$G$618,U$20)=0,"",SUMIFS(PSUT_LARGA!$K$2:$K$618,PSUT_LARGA!$B$2:$B$618,$B$3,PSUT_LARGA!$C$2:$C$618,$A31,PSUT_LARGA!$D$2:$D$618,"Energy products",PSUT_LARGA!$E$2:$E$618,"Use",PSUT_LARGA!$G$2:$G$618,U$20))</f>
        <v/>
      </c>
      <c r="V31" s="10" t="n">
        <f aca="false">IF(COUNT(J31:U31)=0,"",SUM(J31:U31))</f>
        <v>342603.9638</v>
      </c>
      <c r="W31" s="10" t="n">
        <f aca="false">IF(AND(I31="",COUNT(J31:U31)=0),"",SUM(I31)-SUM(J31:U31))</f>
        <v>0</v>
      </c>
    </row>
    <row r="32" customFormat="false" ht="15" hidden="false" customHeight="false" outlineLevel="0" collapsed="false">
      <c r="A32" s="4" t="s">
        <v>111</v>
      </c>
      <c r="B32" s="4" t="s">
        <v>112</v>
      </c>
      <c r="C32" s="10" t="str">
        <f aca="false">IF(COUNTIFS(PSUT_LARGA!$B$2:$B$618,$B$3,PSUT_LARGA!$C$2:$C$618,$A32,PSUT_LARGA!$D$2:$D$618,"Energy products",PSUT_LARGA!$E$2:$E$618,"Supply",PSUT_LARGA!$G$2:$G$618,C$20)=0,"",SUMIFS(PSUT_LARGA!$K$2:$K$618,PSUT_LARGA!$B$2:$B$618,$B$3,PSUT_LARGA!$C$2:$C$618,$A32,PSUT_LARGA!$D$2:$D$618,"Energy products",PSUT_LARGA!$E$2:$E$618,"Supply",PSUT_LARGA!$G$2:$G$618,C$20))</f>
        <v/>
      </c>
      <c r="D32" s="10" t="str">
        <f aca="false">IF(COUNTIFS(PSUT_LARGA!$B$2:$B$618,$B$3,PSUT_LARGA!$C$2:$C$618,$A32,PSUT_LARGA!$D$2:$D$618,"Energy products",PSUT_LARGA!$E$2:$E$618,"Supply",PSUT_LARGA!$G$2:$G$618,D$20)=0,"",SUMIFS(PSUT_LARGA!$K$2:$K$618,PSUT_LARGA!$B$2:$B$618,$B$3,PSUT_LARGA!$C$2:$C$618,$A32,PSUT_LARGA!$D$2:$D$618,"Energy products",PSUT_LARGA!$E$2:$E$618,"Supply",PSUT_LARGA!$G$2:$G$618,D$20))</f>
        <v/>
      </c>
      <c r="E32" s="10" t="str">
        <f aca="false">IF(COUNTIFS(PSUT_LARGA!$B$2:$B$618,$B$3,PSUT_LARGA!$C$2:$C$618,$A32,PSUT_LARGA!$D$2:$D$618,"Energy products",PSUT_LARGA!$E$2:$E$618,"Supply",PSUT_LARGA!$G$2:$G$618,E$20)=0,"",SUMIFS(PSUT_LARGA!$K$2:$K$618,PSUT_LARGA!$B$2:$B$618,$B$3,PSUT_LARGA!$C$2:$C$618,$A32,PSUT_LARGA!$D$2:$D$618,"Energy products",PSUT_LARGA!$E$2:$E$618,"Supply",PSUT_LARGA!$G$2:$G$618,E$20))</f>
        <v/>
      </c>
      <c r="F32" s="10" t="n">
        <f aca="false">IF(COUNTIFS(PSUT_LARGA!$B$2:$B$618,$B$3,PSUT_LARGA!$C$2:$C$618,$A32,PSUT_LARGA!$D$2:$D$618,"Energy products",PSUT_LARGA!$E$2:$E$618,"Supply",PSUT_LARGA!$G$2:$G$618,F$20)=0,"",SUMIFS(PSUT_LARGA!$K$2:$K$618,PSUT_LARGA!$B$2:$B$618,$B$3,PSUT_LARGA!$C$2:$C$618,$A32,PSUT_LARGA!$D$2:$D$618,"Energy products",PSUT_LARGA!$E$2:$E$618,"Supply",PSUT_LARGA!$G$2:$G$618,F$20))</f>
        <v>2783.571</v>
      </c>
      <c r="G32" s="10" t="str">
        <f aca="false">IF(COUNTIFS(PSUT_LARGA!$B$2:$B$618,$B$3,PSUT_LARGA!$C$2:$C$618,$A32,PSUT_LARGA!$D$2:$D$618,"Energy products",PSUT_LARGA!$E$2:$E$618,"Supply",PSUT_LARGA!$G$2:$G$618,G$20)=0,"",SUMIFS(PSUT_LARGA!$K$2:$K$618,PSUT_LARGA!$B$2:$B$618,$B$3,PSUT_LARGA!$C$2:$C$618,$A32,PSUT_LARGA!$D$2:$D$618,"Energy products",PSUT_LARGA!$E$2:$E$618,"Supply",PSUT_LARGA!$G$2:$G$618,G$20))</f>
        <v/>
      </c>
      <c r="H32" s="10" t="n">
        <f aca="false">IF(COUNTIFS(PSUT_LARGA!$B$2:$B$618,$B$3,PSUT_LARGA!$C$2:$C$618,$A32,PSUT_LARGA!$D$2:$D$618,"Energy products",PSUT_LARGA!$E$2:$E$618,"Supply",PSUT_LARGA!$G$2:$G$618,H$20)=0,"",SUMIFS(PSUT_LARGA!$K$2:$K$618,PSUT_LARGA!$B$2:$B$618,$B$3,PSUT_LARGA!$C$2:$C$618,$A32,PSUT_LARGA!$D$2:$D$618,"Energy products",PSUT_LARGA!$E$2:$E$618,"Supply",PSUT_LARGA!$G$2:$G$618,H$20))</f>
        <v>444.7555</v>
      </c>
      <c r="I32" s="10" t="n">
        <f aca="false">IF(COUNT(C32:H32)=0,"",SUM(C32:H32))</f>
        <v>3228.3265</v>
      </c>
      <c r="J32" s="10" t="str">
        <f aca="false">IF(COUNTIFS(PSUT_LARGA!$B$2:$B$618,$B$3,PSUT_LARGA!$C$2:$C$618,$A32,PSUT_LARGA!$D$2:$D$618,"Energy products",PSUT_LARGA!$E$2:$E$618,"Use",PSUT_LARGA!$G$2:$G$618,J$20)=0,"",SUMIFS(PSUT_LARGA!$K$2:$K$618,PSUT_LARGA!$B$2:$B$618,$B$3,PSUT_LARGA!$C$2:$C$618,$A32,PSUT_LARGA!$D$2:$D$618,"Energy products",PSUT_LARGA!$E$2:$E$618,"Use",PSUT_LARGA!$G$2:$G$618,J$20))</f>
        <v/>
      </c>
      <c r="K32" s="10" t="str">
        <f aca="false">IF(COUNTIFS(PSUT_LARGA!$B$2:$B$618,$B$3,PSUT_LARGA!$C$2:$C$618,$A32,PSUT_LARGA!$D$2:$D$618,"Energy products",PSUT_LARGA!$E$2:$E$618,"Use",PSUT_LARGA!$G$2:$G$618,K$20)=0,"",SUMIFS(PSUT_LARGA!$K$2:$K$618,PSUT_LARGA!$B$2:$B$618,$B$3,PSUT_LARGA!$C$2:$C$618,$A32,PSUT_LARGA!$D$2:$D$618,"Energy products",PSUT_LARGA!$E$2:$E$618,"Use",PSUT_LARGA!$G$2:$G$618,K$20))</f>
        <v/>
      </c>
      <c r="L32" s="10" t="str">
        <f aca="false">IF(COUNTIFS(PSUT_LARGA!$B$2:$B$618,$B$3,PSUT_LARGA!$C$2:$C$618,$A32,PSUT_LARGA!$D$2:$D$618,"Energy products",PSUT_LARGA!$E$2:$E$618,"Use",PSUT_LARGA!$G$2:$G$618,L$20)=0,"",SUMIFS(PSUT_LARGA!$K$2:$K$618,PSUT_LARGA!$B$2:$B$618,$B$3,PSUT_LARGA!$C$2:$C$618,$A32,PSUT_LARGA!$D$2:$D$618,"Energy products",PSUT_LARGA!$E$2:$E$618,"Use",PSUT_LARGA!$G$2:$G$618,L$20))</f>
        <v/>
      </c>
      <c r="M32" s="10" t="str">
        <f aca="false">IF(COUNTIFS(PSUT_LARGA!$B$2:$B$618,$B$3,PSUT_LARGA!$C$2:$C$618,$A32,PSUT_LARGA!$D$2:$D$618,"Energy products",PSUT_LARGA!$E$2:$E$618,"Use",PSUT_LARGA!$G$2:$G$618,M$20)=0,"",SUMIFS(PSUT_LARGA!$K$2:$K$618,PSUT_LARGA!$B$2:$B$618,$B$3,PSUT_LARGA!$C$2:$C$618,$A32,PSUT_LARGA!$D$2:$D$618,"Energy products",PSUT_LARGA!$E$2:$E$618,"Use",PSUT_LARGA!$G$2:$G$618,M$20))</f>
        <v/>
      </c>
      <c r="N32" s="10" t="str">
        <f aca="false">IF(COUNTIFS(PSUT_LARGA!$B$2:$B$618,$B$3,PSUT_LARGA!$C$2:$C$618,$A32,PSUT_LARGA!$D$2:$D$618,"Energy products",PSUT_LARGA!$E$2:$E$618,"Use",PSUT_LARGA!$G$2:$G$618,N$20)=0,"",SUMIFS(PSUT_LARGA!$K$2:$K$618,PSUT_LARGA!$B$2:$B$618,$B$3,PSUT_LARGA!$C$2:$C$618,$A32,PSUT_LARGA!$D$2:$D$618,"Energy products",PSUT_LARGA!$E$2:$E$618,"Use",PSUT_LARGA!$G$2:$G$618,N$20))</f>
        <v/>
      </c>
      <c r="O32" s="10" t="str">
        <f aca="false">IF(COUNTIFS(PSUT_LARGA!$B$2:$B$618,$B$3,PSUT_LARGA!$C$2:$C$618,$A32,PSUT_LARGA!$D$2:$D$618,"Energy products",PSUT_LARGA!$E$2:$E$618,"Use",PSUT_LARGA!$G$2:$G$618,O$20)=0,"",SUMIFS(PSUT_LARGA!$K$2:$K$618,PSUT_LARGA!$B$2:$B$618,$B$3,PSUT_LARGA!$C$2:$C$618,$A32,PSUT_LARGA!$D$2:$D$618,"Energy products",PSUT_LARGA!$E$2:$E$618,"Use",PSUT_LARGA!$G$2:$G$618,O$20))</f>
        <v/>
      </c>
      <c r="P32" s="10" t="str">
        <f aca="false">IF(COUNTIFS(PSUT_LARGA!$B$2:$B$618,$B$3,PSUT_LARGA!$C$2:$C$618,$A32,PSUT_LARGA!$D$2:$D$618,"Energy products",PSUT_LARGA!$E$2:$E$618,"Use",PSUT_LARGA!$G$2:$G$618,P$20)=0,"",SUMIFS(PSUT_LARGA!$K$2:$K$618,PSUT_LARGA!$B$2:$B$618,$B$3,PSUT_LARGA!$C$2:$C$618,$A32,PSUT_LARGA!$D$2:$D$618,"Energy products",PSUT_LARGA!$E$2:$E$618,"Use",PSUT_LARGA!$G$2:$G$618,P$20))</f>
        <v/>
      </c>
      <c r="Q32" s="10" t="str">
        <f aca="false">IF(COUNTIFS(PSUT_LARGA!$B$2:$B$618,$B$3,PSUT_LARGA!$C$2:$C$618,$A32,PSUT_LARGA!$D$2:$D$618,"Energy products",PSUT_LARGA!$E$2:$E$618,"Use",PSUT_LARGA!$G$2:$G$618,Q$20)=0,"",SUMIFS(PSUT_LARGA!$K$2:$K$618,PSUT_LARGA!$B$2:$B$618,$B$3,PSUT_LARGA!$C$2:$C$618,$A32,PSUT_LARGA!$D$2:$D$618,"Energy products",PSUT_LARGA!$E$2:$E$618,"Use",PSUT_LARGA!$G$2:$G$618,Q$20))</f>
        <v/>
      </c>
      <c r="R32" s="10" t="n">
        <f aca="false">IF(COUNTIFS(PSUT_LARGA!$B$2:$B$618,$B$3,PSUT_LARGA!$C$2:$C$618,$A32,PSUT_LARGA!$D$2:$D$618,"Energy products",PSUT_LARGA!$E$2:$E$618,"Use",PSUT_LARGA!$G$2:$G$618,R$20)=0,"",SUMIFS(PSUT_LARGA!$K$2:$K$618,PSUT_LARGA!$B$2:$B$618,$B$3,PSUT_LARGA!$C$2:$C$618,$A32,PSUT_LARGA!$D$2:$D$618,"Energy products",PSUT_LARGA!$E$2:$E$618,"Use",PSUT_LARGA!$G$2:$G$618,R$20))</f>
        <v>1991.5518</v>
      </c>
      <c r="S32" s="10" t="n">
        <f aca="false">IF(COUNTIFS(PSUT_LARGA!$B$2:$B$618,$B$3,PSUT_LARGA!$C$2:$C$618,$A32,PSUT_LARGA!$D$2:$D$618,"Energy products",PSUT_LARGA!$E$2:$E$618,"Use",PSUT_LARGA!$G$2:$G$618,S$20)=0,"",SUMIFS(PSUT_LARGA!$K$2:$K$618,PSUT_LARGA!$B$2:$B$618,$B$3,PSUT_LARGA!$C$2:$C$618,$A32,PSUT_LARGA!$D$2:$D$618,"Energy products",PSUT_LARGA!$E$2:$E$618,"Use",PSUT_LARGA!$G$2:$G$618,S$20))</f>
        <v>19.754</v>
      </c>
      <c r="T32" s="10" t="n">
        <f aca="false">IF(COUNTIFS(PSUT_LARGA!$B$2:$B$618,$B$3,PSUT_LARGA!$C$2:$C$618,$A32,PSUT_LARGA!$D$2:$D$618,"Energy products",PSUT_LARGA!$E$2:$E$618,"Use",PSUT_LARGA!$G$2:$G$618,T$20)=0,"",SUMIFS(PSUT_LARGA!$K$2:$K$618,PSUT_LARGA!$B$2:$B$618,$B$3,PSUT_LARGA!$C$2:$C$618,$A32,PSUT_LARGA!$D$2:$D$618,"Energy products",PSUT_LARGA!$E$2:$E$618,"Use",PSUT_LARGA!$G$2:$G$618,T$20))</f>
        <v>1217.0207</v>
      </c>
      <c r="U32" s="10" t="str">
        <f aca="false">IF(COUNTIFS(PSUT_LARGA!$B$2:$B$618,$B$3,PSUT_LARGA!$C$2:$C$618,$A32,PSUT_LARGA!$D$2:$D$618,"Energy products",PSUT_LARGA!$E$2:$E$618,"Use",PSUT_LARGA!$G$2:$G$618,U$20)=0,"",SUMIFS(PSUT_LARGA!$K$2:$K$618,PSUT_LARGA!$B$2:$B$618,$B$3,PSUT_LARGA!$C$2:$C$618,$A32,PSUT_LARGA!$D$2:$D$618,"Energy products",PSUT_LARGA!$E$2:$E$618,"Use",PSUT_LARGA!$G$2:$G$618,U$20))</f>
        <v/>
      </c>
      <c r="V32" s="10" t="n">
        <f aca="false">IF(COUNT(J32:U32)=0,"",SUM(J32:U32))</f>
        <v>3228.3265</v>
      </c>
      <c r="W32" s="10" t="n">
        <f aca="false">IF(AND(I32="",COUNT(J32:U32)=0),"",SUM(I32)-SUM(J32:U32))</f>
        <v>0</v>
      </c>
    </row>
    <row r="33" customFormat="false" ht="15" hidden="false" customHeight="false" outlineLevel="0" collapsed="false">
      <c r="A33" s="4" t="s">
        <v>86</v>
      </c>
      <c r="B33" s="4" t="s">
        <v>87</v>
      </c>
      <c r="C33" s="10" t="str">
        <f aca="false">IF(COUNTIFS(PSUT_LARGA!$B$2:$B$618,$B$3,PSUT_LARGA!$C$2:$C$618,$A33,PSUT_LARGA!$D$2:$D$618,"Energy products",PSUT_LARGA!$E$2:$E$618,"Supply",PSUT_LARGA!$G$2:$G$618,C$20)=0,"",SUMIFS(PSUT_LARGA!$K$2:$K$618,PSUT_LARGA!$B$2:$B$618,$B$3,PSUT_LARGA!$C$2:$C$618,$A33,PSUT_LARGA!$D$2:$D$618,"Energy products",PSUT_LARGA!$E$2:$E$618,"Supply",PSUT_LARGA!$G$2:$G$618,C$20))</f>
        <v/>
      </c>
      <c r="D33" s="10" t="str">
        <f aca="false">IF(COUNTIFS(PSUT_LARGA!$B$2:$B$618,$B$3,PSUT_LARGA!$C$2:$C$618,$A33,PSUT_LARGA!$D$2:$D$618,"Energy products",PSUT_LARGA!$E$2:$E$618,"Supply",PSUT_LARGA!$G$2:$G$618,D$20)=0,"",SUMIFS(PSUT_LARGA!$K$2:$K$618,PSUT_LARGA!$B$2:$B$618,$B$3,PSUT_LARGA!$C$2:$C$618,$A33,PSUT_LARGA!$D$2:$D$618,"Energy products",PSUT_LARGA!$E$2:$E$618,"Supply",PSUT_LARGA!$G$2:$G$618,D$20))</f>
        <v/>
      </c>
      <c r="E33" s="10" t="n">
        <f aca="false">IF(COUNTIFS(PSUT_LARGA!$B$2:$B$618,$B$3,PSUT_LARGA!$C$2:$C$618,$A33,PSUT_LARGA!$D$2:$D$618,"Energy products",PSUT_LARGA!$E$2:$E$618,"Supply",PSUT_LARGA!$G$2:$G$618,E$20)=0,"",SUMIFS(PSUT_LARGA!$K$2:$K$618,PSUT_LARGA!$B$2:$B$618,$B$3,PSUT_LARGA!$C$2:$C$618,$A33,PSUT_LARGA!$D$2:$D$618,"Energy products",PSUT_LARGA!$E$2:$E$618,"Supply",PSUT_LARGA!$G$2:$G$618,E$20))</f>
        <v>10735.3113</v>
      </c>
      <c r="F33" s="10" t="str">
        <f aca="false">IF(COUNTIFS(PSUT_LARGA!$B$2:$B$618,$B$3,PSUT_LARGA!$C$2:$C$618,$A33,PSUT_LARGA!$D$2:$D$618,"Energy products",PSUT_LARGA!$E$2:$E$618,"Supply",PSUT_LARGA!$G$2:$G$618,F$20)=0,"",SUMIFS(PSUT_LARGA!$K$2:$K$618,PSUT_LARGA!$B$2:$B$618,$B$3,PSUT_LARGA!$C$2:$C$618,$A33,PSUT_LARGA!$D$2:$D$618,"Energy products",PSUT_LARGA!$E$2:$E$618,"Supply",PSUT_LARGA!$G$2:$G$618,F$20))</f>
        <v/>
      </c>
      <c r="G33" s="10" t="str">
        <f aca="false">IF(COUNTIFS(PSUT_LARGA!$B$2:$B$618,$B$3,PSUT_LARGA!$C$2:$C$618,$A33,PSUT_LARGA!$D$2:$D$618,"Energy products",PSUT_LARGA!$E$2:$E$618,"Supply",PSUT_LARGA!$G$2:$G$618,G$20)=0,"",SUMIFS(PSUT_LARGA!$K$2:$K$618,PSUT_LARGA!$B$2:$B$618,$B$3,PSUT_LARGA!$C$2:$C$618,$A33,PSUT_LARGA!$D$2:$D$618,"Energy products",PSUT_LARGA!$E$2:$E$618,"Supply",PSUT_LARGA!$G$2:$G$618,G$20))</f>
        <v/>
      </c>
      <c r="H33" s="10" t="n">
        <f aca="false">IF(COUNTIFS(PSUT_LARGA!$B$2:$B$618,$B$3,PSUT_LARGA!$C$2:$C$618,$A33,PSUT_LARGA!$D$2:$D$618,"Energy products",PSUT_LARGA!$E$2:$E$618,"Supply",PSUT_LARGA!$G$2:$G$618,H$20)=0,"",SUMIFS(PSUT_LARGA!$K$2:$K$618,PSUT_LARGA!$B$2:$B$618,$B$3,PSUT_LARGA!$C$2:$C$618,$A33,PSUT_LARGA!$D$2:$D$618,"Energy products",PSUT_LARGA!$E$2:$E$618,"Supply",PSUT_LARGA!$G$2:$G$618,H$20))</f>
        <v>191.6138</v>
      </c>
      <c r="I33" s="10" t="n">
        <f aca="false">IF(COUNT(C33:H33)=0,"",SUM(C33:H33))</f>
        <v>10926.9251</v>
      </c>
      <c r="J33" s="10" t="str">
        <f aca="false">IF(COUNTIFS(PSUT_LARGA!$B$2:$B$618,$B$3,PSUT_LARGA!$C$2:$C$618,$A33,PSUT_LARGA!$D$2:$D$618,"Energy products",PSUT_LARGA!$E$2:$E$618,"Use",PSUT_LARGA!$G$2:$G$618,J$20)=0,"",SUMIFS(PSUT_LARGA!$K$2:$K$618,PSUT_LARGA!$B$2:$B$618,$B$3,PSUT_LARGA!$C$2:$C$618,$A33,PSUT_LARGA!$D$2:$D$618,"Energy products",PSUT_LARGA!$E$2:$E$618,"Use",PSUT_LARGA!$G$2:$G$618,J$20))</f>
        <v/>
      </c>
      <c r="K33" s="10" t="str">
        <f aca="false">IF(COUNTIFS(PSUT_LARGA!$B$2:$B$618,$B$3,PSUT_LARGA!$C$2:$C$618,$A33,PSUT_LARGA!$D$2:$D$618,"Energy products",PSUT_LARGA!$E$2:$E$618,"Use",PSUT_LARGA!$G$2:$G$618,K$20)=0,"",SUMIFS(PSUT_LARGA!$K$2:$K$618,PSUT_LARGA!$B$2:$B$618,$B$3,PSUT_LARGA!$C$2:$C$618,$A33,PSUT_LARGA!$D$2:$D$618,"Energy products",PSUT_LARGA!$E$2:$E$618,"Use",PSUT_LARGA!$G$2:$G$618,K$20))</f>
        <v/>
      </c>
      <c r="L33" s="10" t="str">
        <f aca="false">IF(COUNTIFS(PSUT_LARGA!$B$2:$B$618,$B$3,PSUT_LARGA!$C$2:$C$618,$A33,PSUT_LARGA!$D$2:$D$618,"Energy products",PSUT_LARGA!$E$2:$E$618,"Use",PSUT_LARGA!$G$2:$G$618,L$20)=0,"",SUMIFS(PSUT_LARGA!$K$2:$K$618,PSUT_LARGA!$B$2:$B$618,$B$3,PSUT_LARGA!$C$2:$C$618,$A33,PSUT_LARGA!$D$2:$D$618,"Energy products",PSUT_LARGA!$E$2:$E$618,"Use",PSUT_LARGA!$G$2:$G$618,L$20))</f>
        <v/>
      </c>
      <c r="M33" s="10" t="n">
        <f aca="false">IF(COUNTIFS(PSUT_LARGA!$B$2:$B$618,$B$3,PSUT_LARGA!$C$2:$C$618,$A33,PSUT_LARGA!$D$2:$D$618,"Energy products",PSUT_LARGA!$E$2:$E$618,"Use",PSUT_LARGA!$G$2:$G$618,M$20)=0,"",SUMIFS(PSUT_LARGA!$K$2:$K$618,PSUT_LARGA!$B$2:$B$618,$B$3,PSUT_LARGA!$C$2:$C$618,$A33,PSUT_LARGA!$D$2:$D$618,"Energy products",PSUT_LARGA!$E$2:$E$618,"Use",PSUT_LARGA!$G$2:$G$618,M$20))</f>
        <v>2930.0992</v>
      </c>
      <c r="N33" s="10" t="str">
        <f aca="false">IF(COUNTIFS(PSUT_LARGA!$B$2:$B$618,$B$3,PSUT_LARGA!$C$2:$C$618,$A33,PSUT_LARGA!$D$2:$D$618,"Energy products",PSUT_LARGA!$E$2:$E$618,"Use",PSUT_LARGA!$G$2:$G$618,N$20)=0,"",SUMIFS(PSUT_LARGA!$K$2:$K$618,PSUT_LARGA!$B$2:$B$618,$B$3,PSUT_LARGA!$C$2:$C$618,$A33,PSUT_LARGA!$D$2:$D$618,"Energy products",PSUT_LARGA!$E$2:$E$618,"Use",PSUT_LARGA!$G$2:$G$618,N$20))</f>
        <v/>
      </c>
      <c r="O33" s="10" t="str">
        <f aca="false">IF(COUNTIFS(PSUT_LARGA!$B$2:$B$618,$B$3,PSUT_LARGA!$C$2:$C$618,$A33,PSUT_LARGA!$D$2:$D$618,"Energy products",PSUT_LARGA!$E$2:$E$618,"Use",PSUT_LARGA!$G$2:$G$618,O$20)=0,"",SUMIFS(PSUT_LARGA!$K$2:$K$618,PSUT_LARGA!$B$2:$B$618,$B$3,PSUT_LARGA!$C$2:$C$618,$A33,PSUT_LARGA!$D$2:$D$618,"Energy products",PSUT_LARGA!$E$2:$E$618,"Use",PSUT_LARGA!$G$2:$G$618,O$20))</f>
        <v/>
      </c>
      <c r="P33" s="10" t="str">
        <f aca="false">IF(COUNTIFS(PSUT_LARGA!$B$2:$B$618,$B$3,PSUT_LARGA!$C$2:$C$618,$A33,PSUT_LARGA!$D$2:$D$618,"Energy products",PSUT_LARGA!$E$2:$E$618,"Use",PSUT_LARGA!$G$2:$G$618,P$20)=0,"",SUMIFS(PSUT_LARGA!$K$2:$K$618,PSUT_LARGA!$B$2:$B$618,$B$3,PSUT_LARGA!$C$2:$C$618,$A33,PSUT_LARGA!$D$2:$D$618,"Energy products",PSUT_LARGA!$E$2:$E$618,"Use",PSUT_LARGA!$G$2:$G$618,P$20))</f>
        <v/>
      </c>
      <c r="Q33" s="10" t="str">
        <f aca="false">IF(COUNTIFS(PSUT_LARGA!$B$2:$B$618,$B$3,PSUT_LARGA!$C$2:$C$618,$A33,PSUT_LARGA!$D$2:$D$618,"Energy products",PSUT_LARGA!$E$2:$E$618,"Use",PSUT_LARGA!$G$2:$G$618,Q$20)=0,"",SUMIFS(PSUT_LARGA!$K$2:$K$618,PSUT_LARGA!$B$2:$B$618,$B$3,PSUT_LARGA!$C$2:$C$618,$A33,PSUT_LARGA!$D$2:$D$618,"Energy products",PSUT_LARGA!$E$2:$E$618,"Use",PSUT_LARGA!$G$2:$G$618,Q$20))</f>
        <v/>
      </c>
      <c r="R33" s="10" t="n">
        <f aca="false">IF(COUNTIFS(PSUT_LARGA!$B$2:$B$618,$B$3,PSUT_LARGA!$C$2:$C$618,$A33,PSUT_LARGA!$D$2:$D$618,"Energy products",PSUT_LARGA!$E$2:$E$618,"Use",PSUT_LARGA!$G$2:$G$618,R$20)=0,"",SUMIFS(PSUT_LARGA!$K$2:$K$618,PSUT_LARGA!$B$2:$B$618,$B$3,PSUT_LARGA!$C$2:$C$618,$A33,PSUT_LARGA!$D$2:$D$618,"Energy products",PSUT_LARGA!$E$2:$E$618,"Use",PSUT_LARGA!$G$2:$G$618,R$20))</f>
        <v>6505.2246</v>
      </c>
      <c r="S33" s="10" t="n">
        <f aca="false">IF(COUNTIFS(PSUT_LARGA!$B$2:$B$618,$B$3,PSUT_LARGA!$C$2:$C$618,$A33,PSUT_LARGA!$D$2:$D$618,"Energy products",PSUT_LARGA!$E$2:$E$618,"Use",PSUT_LARGA!$G$2:$G$618,S$20)=0,"",SUMIFS(PSUT_LARGA!$K$2:$K$618,PSUT_LARGA!$B$2:$B$618,$B$3,PSUT_LARGA!$C$2:$C$618,$A33,PSUT_LARGA!$D$2:$D$618,"Energy products",PSUT_LARGA!$E$2:$E$618,"Use",PSUT_LARGA!$G$2:$G$618,S$20))</f>
        <v>1491.6013</v>
      </c>
      <c r="T33" s="10" t="str">
        <f aca="false">IF(COUNTIFS(PSUT_LARGA!$B$2:$B$618,$B$3,PSUT_LARGA!$C$2:$C$618,$A33,PSUT_LARGA!$D$2:$D$618,"Energy products",PSUT_LARGA!$E$2:$E$618,"Use",PSUT_LARGA!$G$2:$G$618,T$20)=0,"",SUMIFS(PSUT_LARGA!$K$2:$K$618,PSUT_LARGA!$B$2:$B$618,$B$3,PSUT_LARGA!$C$2:$C$618,$A33,PSUT_LARGA!$D$2:$D$618,"Energy products",PSUT_LARGA!$E$2:$E$618,"Use",PSUT_LARGA!$G$2:$G$618,T$20))</f>
        <v/>
      </c>
      <c r="U33" s="10" t="str">
        <f aca="false">IF(COUNTIFS(PSUT_LARGA!$B$2:$B$618,$B$3,PSUT_LARGA!$C$2:$C$618,$A33,PSUT_LARGA!$D$2:$D$618,"Energy products",PSUT_LARGA!$E$2:$E$618,"Use",PSUT_LARGA!$G$2:$G$618,U$20)=0,"",SUMIFS(PSUT_LARGA!$K$2:$K$618,PSUT_LARGA!$B$2:$B$618,$B$3,PSUT_LARGA!$C$2:$C$618,$A33,PSUT_LARGA!$D$2:$D$618,"Energy products",PSUT_LARGA!$E$2:$E$618,"Use",PSUT_LARGA!$G$2:$G$618,U$20))</f>
        <v/>
      </c>
      <c r="V33" s="10" t="n">
        <f aca="false">IF(COUNT(J33:U33)=0,"",SUM(J33:U33))</f>
        <v>10926.9251</v>
      </c>
      <c r="W33" s="10" t="n">
        <f aca="false">IF(AND(I33="",COUNT(J33:U33)=0),"",SUM(I33)-SUM(J33:U33))</f>
        <v>-1.81898940354586E-012</v>
      </c>
    </row>
    <row r="35" customFormat="false" ht="15" hidden="false" customHeight="false" outlineLevel="0" collapsed="false">
      <c r="A35" s="9" t="s">
        <v>113</v>
      </c>
      <c r="B35" s="9"/>
      <c r="C35" s="9"/>
      <c r="D35" s="9"/>
      <c r="E35" s="9"/>
      <c r="F35" s="9"/>
      <c r="G35" s="9"/>
      <c r="H35" s="9"/>
      <c r="I35" s="9"/>
      <c r="J35" s="9"/>
      <c r="K35" s="9"/>
      <c r="L35" s="9"/>
      <c r="M35" s="9"/>
      <c r="N35" s="9"/>
      <c r="O35" s="9"/>
      <c r="P35" s="9"/>
      <c r="Q35" s="9"/>
      <c r="R35" s="9"/>
      <c r="S35" s="9"/>
      <c r="T35" s="9"/>
      <c r="U35" s="9"/>
      <c r="V35" s="9"/>
      <c r="W35" s="9"/>
    </row>
    <row r="36" customFormat="false" ht="15" hidden="false" customHeight="true" outlineLevel="0" collapsed="false">
      <c r="A36" s="3"/>
      <c r="B36" s="3"/>
      <c r="C36" s="3" t="s">
        <v>59</v>
      </c>
      <c r="D36" s="3"/>
      <c r="E36" s="3"/>
      <c r="F36" s="3"/>
      <c r="G36" s="3"/>
      <c r="H36" s="3"/>
      <c r="I36" s="3"/>
      <c r="J36" s="3" t="s">
        <v>60</v>
      </c>
      <c r="K36" s="3"/>
      <c r="L36" s="3"/>
      <c r="M36" s="3"/>
      <c r="N36" s="3"/>
      <c r="O36" s="3"/>
      <c r="P36" s="3"/>
      <c r="Q36" s="3"/>
      <c r="R36" s="3"/>
      <c r="S36" s="3"/>
      <c r="T36" s="3"/>
      <c r="U36" s="3"/>
      <c r="V36" s="3"/>
      <c r="W36" s="3" t="s">
        <v>61</v>
      </c>
    </row>
    <row r="37" customFormat="false" ht="15" hidden="false" customHeight="false" outlineLevel="0" collapsed="false">
      <c r="A37" s="5" t="s">
        <v>62</v>
      </c>
      <c r="B37" s="5" t="s">
        <v>63</v>
      </c>
      <c r="C37" s="5" t="s">
        <v>64</v>
      </c>
      <c r="D37" s="5" t="s">
        <v>65</v>
      </c>
      <c r="E37" s="5" t="s">
        <v>66</v>
      </c>
      <c r="F37" s="5" t="s">
        <v>67</v>
      </c>
      <c r="G37" s="5" t="s">
        <v>68</v>
      </c>
      <c r="H37" s="5" t="s">
        <v>69</v>
      </c>
      <c r="I37" s="5" t="s">
        <v>70</v>
      </c>
      <c r="J37" s="5" t="s">
        <v>64</v>
      </c>
      <c r="K37" s="5" t="s">
        <v>65</v>
      </c>
      <c r="L37" s="5" t="s">
        <v>66</v>
      </c>
      <c r="M37" s="5" t="s">
        <v>67</v>
      </c>
      <c r="N37" s="5" t="s">
        <v>68</v>
      </c>
      <c r="O37" s="5" t="s">
        <v>71</v>
      </c>
      <c r="P37" s="5" t="s">
        <v>72</v>
      </c>
      <c r="Q37" s="5" t="s">
        <v>73</v>
      </c>
      <c r="R37" s="5" t="s">
        <v>69</v>
      </c>
      <c r="S37" s="5" t="s">
        <v>74</v>
      </c>
      <c r="T37" s="5" t="s">
        <v>41</v>
      </c>
      <c r="U37" s="5" t="s">
        <v>44</v>
      </c>
      <c r="V37" s="5" t="s">
        <v>70</v>
      </c>
      <c r="W37" s="5" t="s">
        <v>75</v>
      </c>
    </row>
    <row r="38" customFormat="false" ht="15" hidden="false" customHeight="false" outlineLevel="0" collapsed="false">
      <c r="A38" s="4" t="s">
        <v>99</v>
      </c>
      <c r="B38" s="4" t="s">
        <v>100</v>
      </c>
      <c r="C38" s="10" t="str">
        <f aca="false">IF(COUNTIFS(PSUT_LARGA!$B$2:$B$618,$B$3,PSUT_LARGA!$C$2:$C$618,$A38,PSUT_LARGA!$D$2:$D$618,"Energy residuals",PSUT_LARGA!$E$2:$E$618,"Supply",PSUT_LARGA!$G$2:$G$618,C$37)=0,"",SUMIFS(PSUT_LARGA!$K$2:$K$618,PSUT_LARGA!$B$2:$B$618,$B$3,PSUT_LARGA!$C$2:$C$618,$A38,PSUT_LARGA!$D$2:$D$618,"Energy residuals",PSUT_LARGA!$E$2:$E$618,"Supply",PSUT_LARGA!$G$2:$G$618,C$37))</f>
        <v/>
      </c>
      <c r="D38" s="10" t="str">
        <f aca="false">IF(COUNTIFS(PSUT_LARGA!$B$2:$B$618,$B$3,PSUT_LARGA!$C$2:$C$618,$A38,PSUT_LARGA!$D$2:$D$618,"Energy residuals",PSUT_LARGA!$E$2:$E$618,"Supply",PSUT_LARGA!$G$2:$G$618,D$37)=0,"",SUMIFS(PSUT_LARGA!$K$2:$K$618,PSUT_LARGA!$B$2:$B$618,$B$3,PSUT_LARGA!$C$2:$C$618,$A38,PSUT_LARGA!$D$2:$D$618,"Energy residuals",PSUT_LARGA!$E$2:$E$618,"Supply",PSUT_LARGA!$G$2:$G$618,D$37))</f>
        <v/>
      </c>
      <c r="E38" s="10" t="str">
        <f aca="false">IF(COUNTIFS(PSUT_LARGA!$B$2:$B$618,$B$3,PSUT_LARGA!$C$2:$C$618,$A38,PSUT_LARGA!$D$2:$D$618,"Energy residuals",PSUT_LARGA!$E$2:$E$618,"Supply",PSUT_LARGA!$G$2:$G$618,E$37)=0,"",SUMIFS(PSUT_LARGA!$K$2:$K$618,PSUT_LARGA!$B$2:$B$618,$B$3,PSUT_LARGA!$C$2:$C$618,$A38,PSUT_LARGA!$D$2:$D$618,"Energy residuals",PSUT_LARGA!$E$2:$E$618,"Supply",PSUT_LARGA!$G$2:$G$618,E$37))</f>
        <v/>
      </c>
      <c r="F38" s="10" t="n">
        <f aca="false">IF(COUNTIFS(PSUT_LARGA!$B$2:$B$618,$B$3,PSUT_LARGA!$C$2:$C$618,$A38,PSUT_LARGA!$D$2:$D$618,"Energy residuals",PSUT_LARGA!$E$2:$E$618,"Supply",PSUT_LARGA!$G$2:$G$618,F$37)=0,"",SUMIFS(PSUT_LARGA!$K$2:$K$618,PSUT_LARGA!$B$2:$B$618,$B$3,PSUT_LARGA!$C$2:$C$618,$A38,PSUT_LARGA!$D$2:$D$618,"Energy residuals",PSUT_LARGA!$E$2:$E$618,"Supply",PSUT_LARGA!$G$2:$G$618,F$37))</f>
        <v>7018.5381</v>
      </c>
      <c r="G38" s="10" t="str">
        <f aca="false">IF(COUNTIFS(PSUT_LARGA!$B$2:$B$618,$B$3,PSUT_LARGA!$C$2:$C$618,$A38,PSUT_LARGA!$D$2:$D$618,"Energy residuals",PSUT_LARGA!$E$2:$E$618,"Supply",PSUT_LARGA!$G$2:$G$618,G$37)=0,"",SUMIFS(PSUT_LARGA!$K$2:$K$618,PSUT_LARGA!$B$2:$B$618,$B$3,PSUT_LARGA!$C$2:$C$618,$A38,PSUT_LARGA!$D$2:$D$618,"Energy residuals",PSUT_LARGA!$E$2:$E$618,"Supply",PSUT_LARGA!$G$2:$G$618,G$37))</f>
        <v/>
      </c>
      <c r="H38" s="10" t="str">
        <f aca="false">IF(COUNTIFS(PSUT_LARGA!$B$2:$B$618,$B$3,PSUT_LARGA!$C$2:$C$618,$A38,PSUT_LARGA!$D$2:$D$618,"Energy residuals",PSUT_LARGA!$E$2:$E$618,"Supply",PSUT_LARGA!$G$2:$G$618,H$37)=0,"",SUMIFS(PSUT_LARGA!$K$2:$K$618,PSUT_LARGA!$B$2:$B$618,$B$3,PSUT_LARGA!$C$2:$C$618,$A38,PSUT_LARGA!$D$2:$D$618,"Energy residuals",PSUT_LARGA!$E$2:$E$618,"Supply",PSUT_LARGA!$G$2:$G$618,H$37))</f>
        <v/>
      </c>
      <c r="I38" s="10" t="n">
        <f aca="false">IF(COUNT(C38:H38)=0,"",SUM(C38:H38))</f>
        <v>7018.5381</v>
      </c>
      <c r="J38" s="10" t="n">
        <f aca="false">IF(COUNTIFS(PSUT_LARGA!$B$2:$B$618,$B$3,PSUT_LARGA!$C$2:$C$618,$A38,PSUT_LARGA!$D$2:$D$618,"Energy residuals",PSUT_LARGA!$E$2:$E$618,"Use",PSUT_LARGA!$G$2:$G$618,J$37)=0,"",SUMIFS(PSUT_LARGA!$K$2:$K$618,PSUT_LARGA!$B$2:$B$618,$B$3,PSUT_LARGA!$C$2:$C$618,$A38,PSUT_LARGA!$D$2:$D$618,"Energy residuals",PSUT_LARGA!$E$2:$E$618,"Use",PSUT_LARGA!$G$2:$G$618,J$37))</f>
        <v>7018.5381</v>
      </c>
      <c r="K38" s="10" t="str">
        <f aca="false">IF(COUNTIFS(PSUT_LARGA!$B$2:$B$618,$B$3,PSUT_LARGA!$C$2:$C$618,$A38,PSUT_LARGA!$D$2:$D$618,"Energy residuals",PSUT_LARGA!$E$2:$E$618,"Use",PSUT_LARGA!$G$2:$G$618,K$37)=0,"",SUMIFS(PSUT_LARGA!$K$2:$K$618,PSUT_LARGA!$B$2:$B$618,$B$3,PSUT_LARGA!$C$2:$C$618,$A38,PSUT_LARGA!$D$2:$D$618,"Energy residuals",PSUT_LARGA!$E$2:$E$618,"Use",PSUT_LARGA!$G$2:$G$618,K$37))</f>
        <v/>
      </c>
      <c r="L38" s="10" t="str">
        <f aca="false">IF(COUNTIFS(PSUT_LARGA!$B$2:$B$618,$B$3,PSUT_LARGA!$C$2:$C$618,$A38,PSUT_LARGA!$D$2:$D$618,"Energy residuals",PSUT_LARGA!$E$2:$E$618,"Use",PSUT_LARGA!$G$2:$G$618,L$37)=0,"",SUMIFS(PSUT_LARGA!$K$2:$K$618,PSUT_LARGA!$B$2:$B$618,$B$3,PSUT_LARGA!$C$2:$C$618,$A38,PSUT_LARGA!$D$2:$D$618,"Energy residuals",PSUT_LARGA!$E$2:$E$618,"Use",PSUT_LARGA!$G$2:$G$618,L$37))</f>
        <v/>
      </c>
      <c r="M38" s="10" t="str">
        <f aca="false">IF(COUNTIFS(PSUT_LARGA!$B$2:$B$618,$B$3,PSUT_LARGA!$C$2:$C$618,$A38,PSUT_LARGA!$D$2:$D$618,"Energy residuals",PSUT_LARGA!$E$2:$E$618,"Use",PSUT_LARGA!$G$2:$G$618,M$37)=0,"",SUMIFS(PSUT_LARGA!$K$2:$K$618,PSUT_LARGA!$B$2:$B$618,$B$3,PSUT_LARGA!$C$2:$C$618,$A38,PSUT_LARGA!$D$2:$D$618,"Energy residuals",PSUT_LARGA!$E$2:$E$618,"Use",PSUT_LARGA!$G$2:$G$618,M$37))</f>
        <v/>
      </c>
      <c r="N38" s="10" t="str">
        <f aca="false">IF(COUNTIFS(PSUT_LARGA!$B$2:$B$618,$B$3,PSUT_LARGA!$C$2:$C$618,$A38,PSUT_LARGA!$D$2:$D$618,"Energy residuals",PSUT_LARGA!$E$2:$E$618,"Use",PSUT_LARGA!$G$2:$G$618,N$37)=0,"",SUMIFS(PSUT_LARGA!$K$2:$K$618,PSUT_LARGA!$B$2:$B$618,$B$3,PSUT_LARGA!$C$2:$C$618,$A38,PSUT_LARGA!$D$2:$D$618,"Energy residuals",PSUT_LARGA!$E$2:$E$618,"Use",PSUT_LARGA!$G$2:$G$618,N$37))</f>
        <v/>
      </c>
      <c r="O38" s="10" t="str">
        <f aca="false">IF(COUNTIFS(PSUT_LARGA!$B$2:$B$618,$B$3,PSUT_LARGA!$C$2:$C$618,$A38,PSUT_LARGA!$D$2:$D$618,"Energy residuals",PSUT_LARGA!$E$2:$E$618,"Use",PSUT_LARGA!$G$2:$G$618,O$37)=0,"",SUMIFS(PSUT_LARGA!$K$2:$K$618,PSUT_LARGA!$B$2:$B$618,$B$3,PSUT_LARGA!$C$2:$C$618,$A38,PSUT_LARGA!$D$2:$D$618,"Energy residuals",PSUT_LARGA!$E$2:$E$618,"Use",PSUT_LARGA!$G$2:$G$618,O$37))</f>
        <v/>
      </c>
      <c r="P38" s="10" t="str">
        <f aca="false">IF(COUNTIFS(PSUT_LARGA!$B$2:$B$618,$B$3,PSUT_LARGA!$C$2:$C$618,$A38,PSUT_LARGA!$D$2:$D$618,"Energy residuals",PSUT_LARGA!$E$2:$E$618,"Use",PSUT_LARGA!$G$2:$G$618,P$37)=0,"",SUMIFS(PSUT_LARGA!$K$2:$K$618,PSUT_LARGA!$B$2:$B$618,$B$3,PSUT_LARGA!$C$2:$C$618,$A38,PSUT_LARGA!$D$2:$D$618,"Energy residuals",PSUT_LARGA!$E$2:$E$618,"Use",PSUT_LARGA!$G$2:$G$618,P$37))</f>
        <v/>
      </c>
      <c r="Q38" s="10" t="str">
        <f aca="false">IF(COUNTIFS(PSUT_LARGA!$B$2:$B$618,$B$3,PSUT_LARGA!$C$2:$C$618,$A38,PSUT_LARGA!$D$2:$D$618,"Energy residuals",PSUT_LARGA!$E$2:$E$618,"Use",PSUT_LARGA!$G$2:$G$618,Q$37)=0,"",SUMIFS(PSUT_LARGA!$K$2:$K$618,PSUT_LARGA!$B$2:$B$618,$B$3,PSUT_LARGA!$C$2:$C$618,$A38,PSUT_LARGA!$D$2:$D$618,"Energy residuals",PSUT_LARGA!$E$2:$E$618,"Use",PSUT_LARGA!$G$2:$G$618,Q$37))</f>
        <v/>
      </c>
      <c r="R38" s="10" t="str">
        <f aca="false">IF(COUNTIFS(PSUT_LARGA!$B$2:$B$618,$B$3,PSUT_LARGA!$C$2:$C$618,$A38,PSUT_LARGA!$D$2:$D$618,"Energy residuals",PSUT_LARGA!$E$2:$E$618,"Use",PSUT_LARGA!$G$2:$G$618,R$37)=0,"",SUMIFS(PSUT_LARGA!$K$2:$K$618,PSUT_LARGA!$B$2:$B$618,$B$3,PSUT_LARGA!$C$2:$C$618,$A38,PSUT_LARGA!$D$2:$D$618,"Energy residuals",PSUT_LARGA!$E$2:$E$618,"Use",PSUT_LARGA!$G$2:$G$618,R$37))</f>
        <v/>
      </c>
      <c r="S38" s="10" t="str">
        <f aca="false">IF(COUNTIFS(PSUT_LARGA!$B$2:$B$618,$B$3,PSUT_LARGA!$C$2:$C$618,$A38,PSUT_LARGA!$D$2:$D$618,"Energy residuals",PSUT_LARGA!$E$2:$E$618,"Use",PSUT_LARGA!$G$2:$G$618,S$37)=0,"",SUMIFS(PSUT_LARGA!$K$2:$K$618,PSUT_LARGA!$B$2:$B$618,$B$3,PSUT_LARGA!$C$2:$C$618,$A38,PSUT_LARGA!$D$2:$D$618,"Energy residuals",PSUT_LARGA!$E$2:$E$618,"Use",PSUT_LARGA!$G$2:$G$618,S$37))</f>
        <v/>
      </c>
      <c r="T38" s="10" t="str">
        <f aca="false">IF(COUNTIFS(PSUT_LARGA!$B$2:$B$618,$B$3,PSUT_LARGA!$C$2:$C$618,$A38,PSUT_LARGA!$D$2:$D$618,"Energy residuals",PSUT_LARGA!$E$2:$E$618,"Use",PSUT_LARGA!$G$2:$G$618,T$37)=0,"",SUMIFS(PSUT_LARGA!$K$2:$K$618,PSUT_LARGA!$B$2:$B$618,$B$3,PSUT_LARGA!$C$2:$C$618,$A38,PSUT_LARGA!$D$2:$D$618,"Energy residuals",PSUT_LARGA!$E$2:$E$618,"Use",PSUT_LARGA!$G$2:$G$618,T$37))</f>
        <v/>
      </c>
      <c r="U38" s="10" t="str">
        <f aca="false">IF(COUNTIFS(PSUT_LARGA!$B$2:$B$618,$B$3,PSUT_LARGA!$C$2:$C$618,$A38,PSUT_LARGA!$D$2:$D$618,"Energy residuals",PSUT_LARGA!$E$2:$E$618,"Use",PSUT_LARGA!$G$2:$G$618,U$37)=0,"",SUMIFS(PSUT_LARGA!$K$2:$K$618,PSUT_LARGA!$B$2:$B$618,$B$3,PSUT_LARGA!$C$2:$C$618,$A38,PSUT_LARGA!$D$2:$D$618,"Energy residuals",PSUT_LARGA!$E$2:$E$618,"Use",PSUT_LARGA!$G$2:$G$618,U$37))</f>
        <v/>
      </c>
      <c r="V38" s="10" t="n">
        <f aca="false">IF(COUNT(J38:U38)=0,"",SUM(J38:U38))</f>
        <v>7018.5381</v>
      </c>
      <c r="W38" s="10" t="n">
        <f aca="false">IF(AND(I38="",COUNT(J38:U38)=0),"",SUM(I38)-SUM(J38:U38))</f>
        <v>0</v>
      </c>
    </row>
  </sheetData>
  <mergeCells count="15">
    <mergeCell ref="A1:W1"/>
    <mergeCell ref="A2:W2"/>
    <mergeCell ref="A4:W4"/>
    <mergeCell ref="A7:W7"/>
    <mergeCell ref="A8:B8"/>
    <mergeCell ref="C8:I8"/>
    <mergeCell ref="J8:V8"/>
    <mergeCell ref="A18:W18"/>
    <mergeCell ref="A19:B19"/>
    <mergeCell ref="C19:I19"/>
    <mergeCell ref="J19:V19"/>
    <mergeCell ref="A35:W35"/>
    <mergeCell ref="A36:B36"/>
    <mergeCell ref="C36:I36"/>
    <mergeCell ref="J36:V36"/>
  </mergeCells>
  <dataValidations count="1">
    <dataValidation allowBlank="true" errorStyle="stop" operator="between" showDropDown="false" showErrorMessage="true" showInputMessage="true" sqref="B3" type="list">
      <formula1>"2018,2019,2020,2021,2022,2023,2024"</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30.71"/>
    <col collapsed="false" customWidth="true" hidden="false" outlineLevel="0" max="10" min="2" style="1" width="18.71"/>
  </cols>
  <sheetData>
    <row r="1" customFormat="false" ht="19.7" hidden="false" customHeight="false" outlineLevel="0" collapsed="false">
      <c r="A1" s="2" t="s">
        <v>114</v>
      </c>
      <c r="B1" s="2"/>
      <c r="C1" s="2"/>
      <c r="D1" s="2"/>
      <c r="E1" s="2"/>
      <c r="F1" s="2"/>
      <c r="G1" s="2"/>
      <c r="H1" s="2"/>
      <c r="I1" s="2"/>
      <c r="J1" s="2"/>
    </row>
    <row r="2" customFormat="false" ht="24" hidden="false" customHeight="true" outlineLevel="0" collapsed="false">
      <c r="A2" s="6" t="s">
        <v>52</v>
      </c>
      <c r="B2" s="6"/>
      <c r="C2" s="6"/>
      <c r="D2" s="6"/>
      <c r="E2" s="6"/>
      <c r="F2" s="6"/>
      <c r="G2" s="6"/>
      <c r="H2" s="6"/>
      <c r="I2" s="6"/>
      <c r="J2" s="6"/>
    </row>
    <row r="3" customFormat="false" ht="15" hidden="false" customHeight="false" outlineLevel="0" collapsed="false">
      <c r="A3" s="3" t="s">
        <v>53</v>
      </c>
      <c r="B3" s="11" t="n">
        <f aca="false">PSUT!$B$3</f>
        <v>2024</v>
      </c>
    </row>
    <row r="5" customFormat="false" ht="23.85" hidden="false" customHeight="true" outlineLevel="0" collapsed="false">
      <c r="A5" s="6" t="inlineStr">
        <is>
          <t>Factores por combustible: CRT/BTR nacionales e IPCC por defecto (proxy). Agricultura: observada hasta 2022 y proyectada con VAB en 2023–2024. GAS 2019 no asignado: factor ponderado. CO2 biogénico: memo. N2O fugitivo de petróleo: sin factor, se muestra vacío. CO2e: subtotal de gases cuantificados.</t>
        </is>
      </c>
      <c r="B5" s="6"/>
      <c r="C5" s="6"/>
      <c r="D5" s="6"/>
      <c r="E5" s="6"/>
      <c r="F5" s="6"/>
      <c r="G5" s="6"/>
      <c r="H5" s="6"/>
      <c r="I5" s="6"/>
      <c r="J5" s="6"/>
    </row>
    <row r="7" customFormat="false" ht="15" hidden="false" customHeight="false" outlineLevel="0" collapsed="false">
      <c r="A7" s="5" t="s">
        <v>116</v>
      </c>
      <c r="B7" s="5" t="s">
        <v>65</v>
      </c>
      <c r="C7" s="5" t="s">
        <v>66</v>
      </c>
      <c r="D7" s="5" t="s">
        <v>67</v>
      </c>
      <c r="E7" s="5" t="s">
        <v>73</v>
      </c>
      <c r="F7" s="5" t="s">
        <v>68</v>
      </c>
      <c r="G7" s="5" t="s">
        <v>72</v>
      </c>
      <c r="H7" s="5" t="s">
        <v>71</v>
      </c>
      <c r="I7" s="5" t="s">
        <v>41</v>
      </c>
      <c r="J7" s="5" t="s">
        <v>117</v>
      </c>
    </row>
    <row r="8" customFormat="false" ht="15" hidden="false" customHeight="false" outlineLevel="0" collapsed="false">
      <c r="A8" s="4" t="s">
        <v>118</v>
      </c>
      <c r="B8" s="10" t="n">
        <f aca="false">SUMIFS(EMISIONES_LARGA!$N$2:$N$375,EMISIONES_LARGA!$B$2:$B$375,$B$3,EMISIONES_LARGA!$C$2:$C$375,B$7)</f>
        <v>342603.9638</v>
      </c>
      <c r="C8" s="10" t="n">
        <f aca="false">SUMIFS(EMISIONES_LARGA!$N$2:$N$375,EMISIONES_LARGA!$B$2:$B$375,$B$3,EMISIONES_LARGA!$C$2:$C$375,C$7)</f>
        <v>11471.3221</v>
      </c>
      <c r="D8" s="10" t="n">
        <f aca="false">SUMIFS(EMISIONES_LARGA!$N$2:$N$375,EMISIONES_LARGA!$B$2:$B$375,$B$3,EMISIONES_LARGA!$C$2:$C$375,D$7)</f>
        <v>216205.548059138</v>
      </c>
      <c r="E8" s="10" t="n">
        <f aca="false">SUMIFS(EMISIONES_LARGA!$N$2:$N$375,EMISIONES_LARGA!$B$2:$B$375,$B$3,EMISIONES_LARGA!$C$2:$C$375,E$7)</f>
        <v>368947.782</v>
      </c>
      <c r="F8" s="10" t="n">
        <f aca="false">SUMIFS(EMISIONES_LARGA!$N$2:$N$375,EMISIONES_LARGA!$B$2:$B$375,$B$3,EMISIONES_LARGA!$C$2:$C$375,F$7)</f>
        <v>69121.5119</v>
      </c>
      <c r="G8" s="10" t="n">
        <f aca="false">SUMIFS(EMISIONES_LARGA!$N$2:$N$375,EMISIONES_LARGA!$B$2:$B$375,$B$3,EMISIONES_LARGA!$C$2:$C$375,G$7)</f>
        <v>23333.0762</v>
      </c>
      <c r="H8" s="10" t="n">
        <f aca="false">SUMIFS(EMISIONES_LARGA!$N$2:$N$375,EMISIONES_LARGA!$B$2:$B$375,$B$3,EMISIONES_LARGA!$C$2:$C$375,H$7)</f>
        <v>184361.0027</v>
      </c>
      <c r="I8" s="10" t="n">
        <f aca="false">SUMIFS(EMISIONES_LARGA!$N$2:$N$375,EMISIONES_LARGA!$B$2:$B$375,$B$3,EMISIONES_LARGA!$C$2:$C$375,I$7)</f>
        <v>0</v>
      </c>
      <c r="J8" s="10" t="n">
        <f aca="false">SUM(B8:I8)</f>
        <v>1216044.20675914</v>
      </c>
    </row>
    <row r="9" customFormat="false" ht="15" hidden="false" customHeight="false" outlineLevel="0" collapsed="false">
      <c r="A9" s="4" t="s">
        <v>119</v>
      </c>
      <c r="B9" s="10" t="n">
        <f aca="false">SUMIFS(EMISIONES_LARGA!$X$2:$X$375,EMISIONES_LARGA!$B$2:$B$375,$B$3,EMISIONES_LARGA!$C$2:$C$375,B$7)</f>
        <v>32.8627608101359</v>
      </c>
      <c r="C9" s="10" t="n">
        <f aca="false">SUMIFS(EMISIONES_LARGA!$X$2:$X$375,EMISIONES_LARGA!$B$2:$B$375,$B$3,EMISIONES_LARGA!$C$2:$C$375,C$7)</f>
        <v>7.26683251963636E-005</v>
      </c>
      <c r="D9" s="10">
        <f>SUMIFS(EMISIONES_LARGA!$X$2:$X$375,EMISIONES_LARGA!$B$2:$B$375,$B$3,EMISIONES_LARGA!$C$2:$C$375,D$7)</f>
        <v>4190.26185030253</v>
      </c>
      <c r="E9" s="10">
        <f>SUMIFS(EMISIONES_LARGA!$X$2:$X$375,EMISIONES_LARGA!$B$2:$B$375,$B$3,EMISIONES_LARGA!$C$2:$C$375,E$7)</f>
        <v>1251.9032428</v>
      </c>
      <c r="F9" s="10">
        <f>SUMIFS(EMISIONES_LARGA!$X$2:$X$375,EMISIONES_LARGA!$B$2:$B$375,$B$3,EMISIONES_LARGA!$C$2:$C$375,F$7)</f>
        <v>4493.27533088</v>
      </c>
      <c r="G9" s="10">
        <f>SUMIFS(EMISIONES_LARGA!$X$2:$X$375,EMISIONES_LARGA!$B$2:$B$375,$B$3,EMISIONES_LARGA!$C$2:$C$375,G$7)</f>
        <v>65.81211847</v>
      </c>
      <c r="H9" s="10">
        <f>SUMIFS(EMISIONES_LARGA!$X$2:$X$375,EMISIONES_LARGA!$B$2:$B$375,$B$3,EMISIONES_LARGA!$C$2:$C$375,H$7)</f>
        <v>13190.4727726303</v>
      </c>
      <c r="I9" s="10" t="n">
        <f aca="false">SUMIFS(EMISIONES_LARGA!$X$2:$X$375,EMISIONES_LARGA!$B$2:$B$375,$B$3,EMISIONES_LARGA!$C$2:$C$375,I$7)</f>
        <v>0</v>
      </c>
      <c r="J9" s="10">
        <f>SUM(B9:I9)</f>
        <v>23224.5881485613</v>
      </c>
    </row>
    <row r="10" customFormat="false" ht="15" hidden="false" customHeight="false" outlineLevel="0" collapsed="false">
      <c r="A10" s="4" t="s">
        <v>120</v>
      </c>
      <c r="B10" s="10" t="n">
        <f aca="false">SUMIFS(EMISIONES_LARGA!$Y$2:$Y$375,EMISIONES_LARGA!$B$2:$B$375,$B$3,EMISIONES_LARGA!$C$2:$C$375,B$7)</f>
        <v>0</v>
      </c>
      <c r="C10" s="10" t="n">
        <f aca="false">SUMIFS(EMISIONES_LARGA!$Y$2:$Y$375,EMISIONES_LARGA!$B$2:$B$375,$B$3,EMISIONES_LARGA!$C$2:$C$375,C$7)</f>
        <v>0</v>
      </c>
      <c r="D10" s="10">
        <f>SUMIFS(EMISIONES_LARGA!$Y$2:$Y$375,EMISIONES_LARGA!$B$2:$B$375,$B$3,EMISIONES_LARGA!$C$2:$C$375,D$7)</f>
        <v>7733.31216476</v>
      </c>
      <c r="E10" s="10" t="n">
        <f aca="false">SUMIFS(EMISIONES_LARGA!$Y$2:$Y$375,EMISIONES_LARGA!$B$2:$B$375,$B$3,EMISIONES_LARGA!$C$2:$C$375,E$7)</f>
        <v>37220.4942627063</v>
      </c>
      <c r="F10" s="10" t="n">
        <f aca="false">SUMIFS(EMISIONES_LARGA!$Y$2:$Y$375,EMISIONES_LARGA!$B$2:$B$375,$B$3,EMISIONES_LARGA!$C$2:$C$375,F$7)</f>
        <v>0</v>
      </c>
      <c r="G10" s="10" t="n">
        <f aca="false">SUMIFS(EMISIONES_LARGA!$Y$2:$Y$375,EMISIONES_LARGA!$B$2:$B$375,$B$3,EMISIONES_LARGA!$C$2:$C$375,G$7)</f>
        <v>1151.14970646843</v>
      </c>
      <c r="H10" s="10" t="n">
        <f aca="false">SUMIFS(EMISIONES_LARGA!$Y$2:$Y$375,EMISIONES_LARGA!$B$2:$B$375,$B$3,EMISIONES_LARGA!$C$2:$C$375,H$7)</f>
        <v>0</v>
      </c>
      <c r="I10" s="10" t="n">
        <f aca="false">SUMIFS(EMISIONES_LARGA!$Y$2:$Y$375,EMISIONES_LARGA!$B$2:$B$375,$B$3,EMISIONES_LARGA!$C$2:$C$375,I$7)</f>
        <v>0</v>
      </c>
      <c r="J10" s="10">
        <f>SUM(B10:I10)</f>
        <v>46104.9561339348</v>
      </c>
    </row>
    <row r="11" customFormat="false" ht="15" hidden="false" customHeight="false" outlineLevel="0" collapsed="false">
      <c r="A11" s="4" t="s">
        <v>121</v>
      </c>
      <c r="B11" s="10" t="n">
        <f aca="false">SUMIFS(EMISIONES_LARGA!$Z$2:$Z$375,EMISIONES_LARGA!$B$2:$B$375,$B$3,EMISIONES_LARGA!$C$2:$C$375,B$7)</f>
        <v>192.562507153364</v>
      </c>
      <c r="C11" s="10" t="n">
        <f aca="false">SUMIFS(EMISIONES_LARGA!$Z$2:$Z$375,EMISIONES_LARGA!$B$2:$B$375,$B$3,EMISIONES_LARGA!$C$2:$C$375,C$7)</f>
        <v>0.000997072100116788</v>
      </c>
      <c r="D11" s="10">
        <f>SUMIFS(EMISIONES_LARGA!$Z$2:$Z$375,EMISIONES_LARGA!$B$2:$B$375,$B$3,EMISIONES_LARGA!$C$2:$C$375,D$7)</f>
        <v>2.37456719964989</v>
      </c>
      <c r="E11" s="10">
        <f>SUMIFS(EMISIONES_LARGA!$Z$2:$Z$375,EMISIONES_LARGA!$B$2:$B$375,$B$3,EMISIONES_LARGA!$C$2:$C$375,E$7)</f>
        <v>99.79695236</v>
      </c>
      <c r="F11" s="10">
        <f>SUMIFS(EMISIONES_LARGA!$Z$2:$Z$375,EMISIONES_LARGA!$B$2:$B$375,$B$3,EMISIONES_LARGA!$C$2:$C$375,F$7)</f>
        <v>0.1448484128</v>
      </c>
      <c r="G11" s="10">
        <f>SUMIFS(EMISIONES_LARGA!$Z$2:$Z$375,EMISIONES_LARGA!$B$2:$B$375,$B$3,EMISIONES_LARGA!$C$2:$C$375,G$7)</f>
        <v>3.09081773968227</v>
      </c>
      <c r="H11" s="10">
        <f>SUMIFS(EMISIONES_LARGA!$Z$2:$Z$375,EMISIONES_LARGA!$B$2:$B$375,$B$3,EMISIONES_LARGA!$C$2:$C$375,H$7)</f>
        <v>3.44688920362975</v>
      </c>
      <c r="I11" s="10" t="n">
        <f aca="false">SUMIFS(EMISIONES_LARGA!$Z$2:$Z$375,EMISIONES_LARGA!$B$2:$B$375,$B$3,EMISIONES_LARGA!$C$2:$C$375,I$7)</f>
        <v>0</v>
      </c>
      <c r="J11" s="10">
        <f>SUM(B11:I11)</f>
        <v>301.417579141226</v>
      </c>
    </row>
    <row r="12" customFormat="false" ht="15" hidden="false" customHeight="false" outlineLevel="0" collapsed="false">
      <c r="A12" s="4" t="s">
        <v>122</v>
      </c>
      <c r="B12" s="10" t="n">
        <f aca="false">SUMIFS(EMISIONES_LARGA!$AA$2:$AA$375,EMISIONES_LARGA!$B$2:$B$375,$B$3,EMISIONES_LARGA!$C$2:$C$375,B$7)</f>
        <v>4.71872855399663</v>
      </c>
      <c r="C12" s="10" t="str">
        <f>IF(SUMPRODUCT((EMISIONES_LARGA!$B$2:$B$375=$B$3)*(EMISIONES_LARGA!$C$2:$C$375=C$7)*ISNUMBER(EMISIONES_LARGA!$AA$2:$AA$375))=0,"",SUMIFS(EMISIONES_LARGA!$AA$2:$AA$375,EMISIONES_LARGA!$B$2:$B$375,$B$3,EMISIONES_LARGA!$C$2:$C$375,C$7))</f>
        <v/>
      </c>
      <c r="D12" s="10">
        <f>SUMIFS(EMISIONES_LARGA!$AA$2:$AA$375,EMISIONES_LARGA!$B$2:$B$375,$B$3,EMISIONES_LARGA!$C$2:$C$375,D$7)</f>
        <v>0.367490769576595</v>
      </c>
      <c r="E12" s="10">
        <f>SUMIFS(EMISIONES_LARGA!$AA$2:$AA$375,EMISIONES_LARGA!$B$2:$B$375,$B$3,EMISIONES_LARGA!$C$2:$C$375,E$7)</f>
        <v>1.33128736224114</v>
      </c>
      <c r="F12" s="10">
        <f>SUMIFS(EMISIONES_LARGA!$AA$2:$AA$375,EMISIONES_LARGA!$B$2:$B$375,$B$3,EMISIONES_LARGA!$C$2:$C$375,F$7)</f>
        <v>0.0284543588</v>
      </c>
      <c r="G12" s="10">
        <f>SUMIFS(EMISIONES_LARGA!$AA$2:$AA$375,EMISIONES_LARGA!$B$2:$B$375,$B$3,EMISIONES_LARGA!$C$2:$C$375,G$7)</f>
        <v>0.0414522765450828</v>
      </c>
      <c r="H12" s="10">
        <f>SUMIFS(EMISIONES_LARGA!$AA$2:$AA$375,EMISIONES_LARGA!$B$2:$B$375,$B$3,EMISIONES_LARGA!$C$2:$C$375,H$7)</f>
        <v>0.641374771204322</v>
      </c>
      <c r="I12" s="10" t="n">
        <f aca="false">SUMIFS(EMISIONES_LARGA!$AA$2:$AA$375,EMISIONES_LARGA!$B$2:$B$375,$B$3,EMISIONES_LARGA!$C$2:$C$375,I$7)</f>
        <v>0</v>
      </c>
      <c r="J12" s="10">
        <f>SUM(B12:I12)</f>
        <v>7.12878809236376</v>
      </c>
    </row>
    <row r="13" customFormat="false" ht="15" hidden="false" customHeight="false" outlineLevel="0" collapsed="false">
      <c r="A13" s="4" t="s">
        <v>123</v>
      </c>
      <c r="B13" s="10" t="n">
        <f aca="false">SUMIFS(EMISIONES_LARGA!$AB$2:$AB$375,EMISIONES_LARGA!$B$2:$B$375,$B$3,EMISIONES_LARGA!$C$2:$C$375,B$7)</f>
        <v>6675.07602791344</v>
      </c>
      <c r="C13" s="10" t="n">
        <f aca="false">SUMIFS(EMISIONES_LARGA!$AB$2:$AB$375,EMISIONES_LARGA!$B$2:$B$375,$B$3,EMISIONES_LARGA!$C$2:$C$375,C$7)</f>
        <v>0.0279906871284664</v>
      </c>
      <c r="D13" s="10">
        <f>SUMIFS(EMISIONES_LARGA!$AB$2:$AB$375,EMISIONES_LARGA!$B$2:$B$375,$B$3,EMISIONES_LARGA!$C$2:$C$375,D$7)</f>
        <v>4354.13478583052</v>
      </c>
      <c r="E13" s="10">
        <f>SUMIFS(EMISIONES_LARGA!$AB$2:$AB$375,EMISIONES_LARGA!$B$2:$B$375,$B$3,EMISIONES_LARGA!$C$2:$C$375,E$7)</f>
        <v>4399.0090598739</v>
      </c>
      <c r="F13" s="10">
        <f>SUMIFS(EMISIONES_LARGA!$AB$2:$AB$375,EMISIONES_LARGA!$B$2:$B$375,$B$3,EMISIONES_LARGA!$C$2:$C$375,F$7)</f>
        <v>4504.8714915204</v>
      </c>
      <c r="G13" s="10">
        <f>SUMIFS(EMISIONES_LARGA!$AB$2:$AB$375,EMISIONES_LARGA!$B$2:$B$375,$B$3,EMISIONES_LARGA!$C$2:$C$375,G$7)</f>
        <v>163.339868465551</v>
      </c>
      <c r="H13" s="10">
        <f>SUMIFS(EMISIONES_LARGA!$AB$2:$AB$375,EMISIONES_LARGA!$B$2:$B$375,$B$3,EMISIONES_LARGA!$C$2:$C$375,H$7)</f>
        <v>13456.9499847011</v>
      </c>
      <c r="I13" s="10" t="n">
        <f aca="false">SUMIFS(EMISIONES_LARGA!$AB$2:$AB$375,EMISIONES_LARGA!$B$2:$B$375,$B$3,EMISIONES_LARGA!$C$2:$C$375,I$7)</f>
        <v>0</v>
      </c>
      <c r="J13" s="10">
        <f>SUM(B13:I13)</f>
        <v>33553.409208992</v>
      </c>
    </row>
    <row r="16" customFormat="false" ht="15" hidden="false" customHeight="false" outlineLevel="0" collapsed="false">
      <c r="A16" s="9" t="s">
        <v>124</v>
      </c>
      <c r="B16" s="9"/>
      <c r="C16" s="9"/>
      <c r="D16" s="9"/>
      <c r="E16" s="9"/>
      <c r="F16" s="9"/>
      <c r="G16" s="9"/>
      <c r="H16" s="9"/>
    </row>
    <row r="17" customFormat="false" ht="23.85" hidden="false" customHeight="false" outlineLevel="0" collapsed="false">
      <c r="A17" s="5" t="s">
        <v>53</v>
      </c>
      <c r="B17" s="5" t="s">
        <v>125</v>
      </c>
      <c r="C17" s="5" t="s">
        <v>126</v>
      </c>
      <c r="D17" s="5" t="s">
        <v>127</v>
      </c>
      <c r="E17" s="5" t="s">
        <v>119</v>
      </c>
      <c r="F17" s="5" t="s">
        <v>120</v>
      </c>
      <c r="G17" s="5" t="s">
        <v>121</v>
      </c>
      <c r="H17" s="5" t="s">
        <v>122</v>
      </c>
    </row>
    <row r="18" customFormat="false" ht="15" hidden="false" customHeight="false" outlineLevel="0" collapsed="false">
      <c r="A18" s="12" t="n">
        <v>2018</v>
      </c>
      <c r="B18" s="10">
        <f>SUMIFS(EMISIONES_LARGA!$AB$2:$AB$375,EMISIONES_LARGA!$B$2:$B$375,$A18,EMISIONES_LARGA!$D$2:$D$375,"&lt;&gt;AGRICULTURA")</f>
        <v>21635.7104750116</v>
      </c>
      <c r="C18" s="10" t="n">
        <f aca="false">SUMIFS(EMISIONES_LARGA!$AB$2:$AB$375,EMISIONES_LARGA!$B$2:$B$375,$A18,EMISIONES_LARGA!$D$2:$D$375,"AGRICULTURA")</f>
        <v>6970.94711840692</v>
      </c>
      <c r="D18" s="10">
        <f>SUM(B18:C18)</f>
        <v>28606.6575934185</v>
      </c>
      <c r="E18" s="10">
        <f>SUMIFS(EMISIONES_LARGA!$X$2:$X$375,EMISIONES_LARGA!$B$2:$B$375,$A18)</f>
        <v>18603.8903729271</v>
      </c>
      <c r="F18" s="10">
        <f>SUMIFS(EMISIONES_LARGA!$Y$2:$Y$375,EMISIONES_LARGA!$B$2:$B$375,$A18)</f>
        <v>37542.27000696</v>
      </c>
      <c r="G18" s="10">
        <f>SUMIFS(EMISIONES_LARGA!$Z$2:$Z$375,EMISIONES_LARGA!$B$2:$B$375,$A18)</f>
        <v>274.155798809273</v>
      </c>
      <c r="H18" s="10">
        <f>SUMIFS(EMISIONES_LARGA!$AA$2:$AA$375,EMISIONES_LARGA!$B$2:$B$375,$A18)</f>
        <v>8.77888624087466</v>
      </c>
    </row>
    <row r="19" customFormat="false" ht="15" hidden="false" customHeight="false" outlineLevel="0" collapsed="false">
      <c r="A19" s="12" t="n">
        <v>2019</v>
      </c>
      <c r="B19" s="10">
        <f>SUMIFS(EMISIONES_LARGA!$AB$2:$AB$375,EMISIONES_LARGA!$B$2:$B$375,$A19,EMISIONES_LARGA!$D$2:$D$375,"&lt;&gt;AGRICULTURA")</f>
        <v>23069.3249624815</v>
      </c>
      <c r="C19" s="10" t="n">
        <f aca="false">SUMIFS(EMISIONES_LARGA!$AB$2:$AB$375,EMISIONES_LARGA!$B$2:$B$375,$A19,EMISIONES_LARGA!$D$2:$D$375,"AGRICULTURA")</f>
        <v>6973.72267400264</v>
      </c>
      <c r="D19" s="10">
        <f>SUM(B19:C19)</f>
        <v>30043.0476364841</v>
      </c>
      <c r="E19" s="10">
        <f>SUMIFS(EMISIONES_LARGA!$X$2:$X$375,EMISIONES_LARGA!$B$2:$B$375,$A19)</f>
        <v>19960.0776048055</v>
      </c>
      <c r="F19" s="10">
        <f>SUMIFS(EMISIONES_LARGA!$Y$2:$Y$375,EMISIONES_LARGA!$B$2:$B$375,$A19)</f>
        <v>38399.6782066317</v>
      </c>
      <c r="G19" s="10">
        <f>SUMIFS(EMISIONES_LARGA!$Z$2:$Z$375,EMISIONES_LARGA!$B$2:$B$375,$A19)</f>
        <v>280.352203064691</v>
      </c>
      <c r="H19" s="10">
        <f>SUMIFS(EMISIONES_LARGA!$AA$2:$AA$375,EMISIONES_LARGA!$B$2:$B$375,$A19)</f>
        <v>8.42682394666906</v>
      </c>
    </row>
    <row r="20" customFormat="false" ht="15" hidden="false" customHeight="false" outlineLevel="0" collapsed="false">
      <c r="A20" s="12" t="n">
        <v>2020</v>
      </c>
      <c r="B20" s="10">
        <f>SUMIFS(EMISIONES_LARGA!$AB$2:$AB$375,EMISIONES_LARGA!$B$2:$B$375,$A20,EMISIONES_LARGA!$D$2:$D$375,"&lt;&gt;AGRICULTURA")</f>
        <v>20409.2467310556</v>
      </c>
      <c r="C20" s="10" t="n">
        <f aca="false">SUMIFS(EMISIONES_LARGA!$AB$2:$AB$375,EMISIONES_LARGA!$B$2:$B$375,$A20,EMISIONES_LARGA!$D$2:$D$375,"AGRICULTURA")</f>
        <v>6756.52293603173</v>
      </c>
      <c r="D20" s="10">
        <f>SUM(B20:C20)</f>
        <v>27165.7696670873</v>
      </c>
      <c r="E20" s="10">
        <f>SUMIFS(EMISIONES_LARGA!$X$2:$X$375,EMISIONES_LARGA!$B$2:$B$375,$A20)</f>
        <v>17243.921332857</v>
      </c>
      <c r="F20" s="10">
        <f>SUMIFS(EMISIONES_LARGA!$Y$2:$Y$375,EMISIONES_LARGA!$B$2:$B$375,$A20)</f>
        <v>39422.4698857262</v>
      </c>
      <c r="G20" s="10">
        <f>SUMIFS(EMISIONES_LARGA!$Z$2:$Z$375,EMISIONES_LARGA!$B$2:$B$375,$A20)</f>
        <v>285.251188016595</v>
      </c>
      <c r="H20" s="10">
        <f>SUMIFS(EMISIONES_LARGA!$AA$2:$AA$375,EMISIONES_LARGA!$B$2:$B$375,$A20)</f>
        <v>7.30118894251169</v>
      </c>
    </row>
    <row r="21" customFormat="false" ht="15" hidden="false" customHeight="false" outlineLevel="0" collapsed="false">
      <c r="A21" s="12" t="n">
        <v>2021</v>
      </c>
      <c r="B21" s="10">
        <f>SUMIFS(EMISIONES_LARGA!$AB$2:$AB$375,EMISIONES_LARGA!$B$2:$B$375,$A21,EMISIONES_LARGA!$D$2:$D$375,"&lt;&gt;AGRICULTURA")</f>
        <v>23642.1536554498</v>
      </c>
      <c r="C21" s="10" t="n">
        <f aca="false">SUMIFS(EMISIONES_LARGA!$AB$2:$AB$375,EMISIONES_LARGA!$B$2:$B$375,$A21,EMISIONES_LARGA!$D$2:$D$375,"AGRICULTURA")</f>
        <v>6590.02428768792</v>
      </c>
      <c r="D21" s="10">
        <f>SUM(B21:C21)</f>
        <v>30232.1779431377</v>
      </c>
      <c r="E21" s="10">
        <f>SUMIFS(EMISIONES_LARGA!$X$2:$X$375,EMISIONES_LARGA!$B$2:$B$375,$A21)</f>
        <v>20283.2195549173</v>
      </c>
      <c r="F21" s="10">
        <f>SUMIFS(EMISIONES_LARGA!$Y$2:$Y$375,EMISIONES_LARGA!$B$2:$B$375,$A21)</f>
        <v>43822.4646347999</v>
      </c>
      <c r="G21" s="10">
        <f>SUMIFS(EMISIONES_LARGA!$Z$2:$Z$375,EMISIONES_LARGA!$B$2:$B$375,$A21)</f>
        <v>287.739029268175</v>
      </c>
      <c r="H21" s="10">
        <f>SUMIFS(EMISIONES_LARGA!$AA$2:$AA$375,EMISIONES_LARGA!$B$2:$B$375,$A21)</f>
        <v>7.14062478759044</v>
      </c>
    </row>
    <row r="22" customFormat="false" ht="15" hidden="false" customHeight="false" outlineLevel="0" collapsed="false">
      <c r="A22" s="12" t="n">
        <v>2022</v>
      </c>
      <c r="B22" s="10">
        <f>SUMIFS(EMISIONES_LARGA!$AB$2:$AB$375,EMISIONES_LARGA!$B$2:$B$375,$A22,EMISIONES_LARGA!$D$2:$D$375,"&lt;&gt;AGRICULTURA")</f>
        <v>22071.1570036245</v>
      </c>
      <c r="C22" s="10" t="n">
        <f aca="false">SUMIFS(EMISIONES_LARGA!$AB$2:$AB$375,EMISIONES_LARGA!$B$2:$B$375,$A22,EMISIONES_LARGA!$D$2:$D$375,"AGRICULTURA")</f>
        <v>6578.43603231341</v>
      </c>
      <c r="D22" s="10">
        <f>SUM(B22:C22)</f>
        <v>28649.5930359379</v>
      </c>
      <c r="E22" s="10">
        <f>SUMIFS(EMISIONES_LARGA!$X$2:$X$375,EMISIONES_LARGA!$B$2:$B$375,$A22)</f>
        <v>18653.2411379232</v>
      </c>
      <c r="F22" s="10">
        <f>SUMIFS(EMISIONES_LARGA!$Y$2:$Y$375,EMISIONES_LARGA!$B$2:$B$375,$A22)</f>
        <v>43638.7918816752</v>
      </c>
      <c r="G22" s="10">
        <f>SUMIFS(EMISIONES_LARGA!$Z$2:$Z$375,EMISIONES_LARGA!$B$2:$B$375,$A22)</f>
        <v>292.106752671007</v>
      </c>
      <c r="H22" s="10">
        <f>SUMIFS(EMISIONES_LARGA!$AA$2:$AA$375,EMISIONES_LARGA!$B$2:$B$375,$A22)</f>
        <v>6.85797291783573</v>
      </c>
    </row>
    <row r="23" customFormat="false" ht="15" hidden="false" customHeight="false" outlineLevel="0" collapsed="false">
      <c r="A23" s="12" t="n">
        <v>2023</v>
      </c>
      <c r="B23" s="10">
        <f>SUMIFS(EMISIONES_LARGA!$AB$2:$AB$375,EMISIONES_LARGA!$B$2:$B$375,$A23,EMISIONES_LARGA!$D$2:$D$375,"&lt;&gt;AGRICULTURA")</f>
        <v>24501.8474926088</v>
      </c>
      <c r="C23" s="10" t="n">
        <f aca="false">SUMIFS(EMISIONES_LARGA!$AB$2:$AB$375,EMISIONES_LARGA!$B$2:$B$375,$A23,EMISIONES_LARGA!$D$2:$D$375,"AGRICULTURA")</f>
        <v>6669.6481327798</v>
      </c>
      <c r="D23" s="10">
        <f>SUM(B23:C23)</f>
        <v>31171.4956253886</v>
      </c>
      <c r="E23" s="10">
        <f>SUMIFS(EMISIONES_LARGA!$X$2:$X$375,EMISIONES_LARGA!$B$2:$B$375,$A23)</f>
        <v>20944.031488102</v>
      </c>
      <c r="F23" s="10">
        <f>SUMIFS(EMISIONES_LARGA!$Y$2:$Y$375,EMISIONES_LARGA!$B$2:$B$375,$A23)</f>
        <v>46175.4021043649</v>
      </c>
      <c r="G23" s="10">
        <f>SUMIFS(EMISIONES_LARGA!$Z$2:$Z$375,EMISIONES_LARGA!$B$2:$B$375,$A23)</f>
        <v>298.313251260052</v>
      </c>
      <c r="H23" s="10">
        <f>SUMIFS(EMISIONES_LARGA!$AA$2:$AA$375,EMISIONES_LARGA!$B$2:$B$375,$A23)</f>
        <v>7.07431359247245</v>
      </c>
    </row>
    <row r="24" customFormat="false" ht="15" hidden="false" customHeight="false" outlineLevel="0" collapsed="false">
      <c r="A24" s="12" t="n">
        <v>2024</v>
      </c>
      <c r="B24" s="10">
        <f>SUMIFS(EMISIONES_LARGA!$AB$2:$AB$375,EMISIONES_LARGA!$B$2:$B$375,$A24,EMISIONES_LARGA!$D$2:$D$375,"&lt;&gt;AGRICULTURA")</f>
        <v>26878.3331810786</v>
      </c>
      <c r="C24" s="10" t="n">
        <f aca="false">SUMIFS(EMISIONES_LARGA!$AB$2:$AB$375,EMISIONES_LARGA!$B$2:$B$375,$A24,EMISIONES_LARGA!$D$2:$D$375,"AGRICULTURA")</f>
        <v>6675.07602791344</v>
      </c>
      <c r="D24" s="10">
        <f>SUM(B24:C24)</f>
        <v>33553.409208992</v>
      </c>
      <c r="E24" s="10">
        <f>SUMIFS(EMISIONES_LARGA!$X$2:$X$375,EMISIONES_LARGA!$B$2:$B$375,$A24)</f>
        <v>23224.5881485613</v>
      </c>
      <c r="F24" s="10">
        <f>SUMIFS(EMISIONES_LARGA!$Y$2:$Y$375,EMISIONES_LARGA!$B$2:$B$375,$A24)</f>
        <v>46104.9561339348</v>
      </c>
      <c r="G24" s="10">
        <f>SUMIFS(EMISIONES_LARGA!$Z$2:$Z$375,EMISIONES_LARGA!$B$2:$B$375,$A24)</f>
        <v>301.417579141226</v>
      </c>
      <c r="H24" s="10">
        <f>SUMIFS(EMISIONES_LARGA!$AA$2:$AA$375,EMISIONES_LARGA!$B$2:$B$375,$A24)</f>
        <v>7.12878809236376</v>
      </c>
    </row>
  </sheetData>
  <mergeCells count="4">
    <mergeCell ref="A1:J1"/>
    <mergeCell ref="A2:J2"/>
    <mergeCell ref="A5:J5"/>
    <mergeCell ref="A16:H16"/>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M36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4.71"/>
    <col collapsed="false" customWidth="true" hidden="false" outlineLevel="0" max="2" min="2" style="1" width="22.71"/>
    <col collapsed="false" customWidth="true" hidden="false" outlineLevel="0" max="3" min="3" style="1" width="42.71"/>
    <col collapsed="false" customWidth="true" hidden="false" outlineLevel="0" max="4" min="4" style="1" width="9.71"/>
    <col collapsed="false" customWidth="true" hidden="false" outlineLevel="0" max="6" min="5" style="1" width="11.71"/>
    <col collapsed="false" customWidth="true" hidden="false" outlineLevel="0" max="7" min="7" style="1" width="22.71"/>
    <col collapsed="false" customWidth="true" hidden="false" outlineLevel="0" max="8" min="8" style="1" width="42.71"/>
    <col collapsed="false" customWidth="true" hidden="false" outlineLevel="0" max="9" min="9" style="1" width="45.71"/>
    <col collapsed="false" customWidth="true" hidden="false" outlineLevel="0" max="10" min="10" style="1" width="20.71"/>
    <col collapsed="false" customWidth="true" hidden="false" outlineLevel="0" max="11" min="11" style="1" width="12.71"/>
    <col collapsed="false" customWidth="true" hidden="false" outlineLevel="0" max="12" min="12" style="1" width="28.71"/>
    <col collapsed="false" customWidth="true" hidden="false" outlineLevel="0" max="13" min="13" style="1" width="24.71"/>
    <col collapsed="false" customWidth="true" hidden="false" outlineLevel="0" max="14" min="14" style="1" width="12.71"/>
    <col collapsed="false" customWidth="true" hidden="false" outlineLevel="0" max="15" min="15" style="1" width="10.71"/>
    <col collapsed="false" customWidth="true" hidden="false" outlineLevel="0" max="16" min="16" style="1" width="17.71"/>
    <col collapsed="false" customWidth="true" hidden="false" outlineLevel="0" max="17" min="17" style="1" width="30.71"/>
    <col collapsed="false" customWidth="true" hidden="false" outlineLevel="0" max="18" min="18" style="1" width="22.71"/>
    <col collapsed="false" customWidth="true" hidden="false" outlineLevel="0" max="19" min="19" style="1" width="16.71"/>
    <col collapsed="false" customWidth="true" hidden="false" outlineLevel="0" max="20" min="20" style="1" width="14.71"/>
    <col collapsed="false" customWidth="true" hidden="false" outlineLevel="0" max="21" min="21" style="1" width="16.71"/>
    <col collapsed="false" customWidth="true" hidden="false" outlineLevel="0" max="22" min="22" style="1" width="12.71"/>
    <col collapsed="false" customWidth="true" hidden="false" outlineLevel="0" max="23" min="23" style="1" width="18.71"/>
    <col collapsed="false" customWidth="true" hidden="false" outlineLevel="0" max="24" min="24" style="1" width="38.71"/>
    <col collapsed="false" customWidth="true" hidden="false" outlineLevel="0" max="25" min="25" style="1" width="20.71"/>
    <col collapsed="false" customWidth="true" hidden="false" outlineLevel="0" max="26" min="26" style="1" width="10.71"/>
    <col collapsed="false" customWidth="true" hidden="false" outlineLevel="0" max="31" min="27" style="1" width="18.71"/>
    <col collapsed="false" customWidth="true" hidden="false" outlineLevel="0" max="32" min="32" style="1" width="24.71"/>
    <col collapsed="false" customWidth="true" hidden="false" outlineLevel="0" max="33" min="33" style="1" width="30.71"/>
    <col collapsed="false" customWidth="true" hidden="false" outlineLevel="0" max="35" min="34" style="1" width="18.71"/>
    <col collapsed="false" customWidth="true" hidden="false" outlineLevel="0" max="36" min="36" style="1" width="11.71"/>
    <col collapsed="false" customWidth="true" hidden="false" outlineLevel="0" max="37" min="37" style="1" width="18.71"/>
    <col collapsed="false" customWidth="true" hidden="false" outlineLevel="0" max="38" min="38" style="1" width="16.71"/>
    <col collapsed="false" customWidth="true" hidden="false" outlineLevel="0" max="39" min="39" style="1" width="54.71"/>
  </cols>
  <sheetData>
    <row r="1" customFormat="false" ht="23.85" hidden="false" customHeight="false" outlineLevel="0" collapsed="false">
      <c r="A1" s="5" t="s">
        <v>128</v>
      </c>
      <c r="B1" s="5" t="s">
        <v>129</v>
      </c>
      <c r="C1" s="5" t="s">
        <v>130</v>
      </c>
      <c r="D1" s="5" t="s">
        <v>131</v>
      </c>
      <c r="E1" s="5" t="s">
        <v>132</v>
      </c>
      <c r="F1" s="5" t="s">
        <v>133</v>
      </c>
      <c r="G1" s="5" t="s">
        <v>134</v>
      </c>
      <c r="H1" s="5" t="s">
        <v>135</v>
      </c>
      <c r="I1" s="5" t="s">
        <v>136</v>
      </c>
      <c r="J1" s="5" t="s">
        <v>137</v>
      </c>
      <c r="K1" s="5" t="s">
        <v>138</v>
      </c>
      <c r="L1" s="5" t="s">
        <v>139</v>
      </c>
      <c r="M1" s="5" t="s">
        <v>140</v>
      </c>
      <c r="N1" s="5" t="s">
        <v>141</v>
      </c>
      <c r="O1" s="5" t="s">
        <v>142</v>
      </c>
      <c r="P1" s="5" t="s">
        <v>143</v>
      </c>
      <c r="Q1" s="5" t="s">
        <v>144</v>
      </c>
      <c r="R1" s="5" t="s">
        <v>145</v>
      </c>
      <c r="S1" s="5" t="s">
        <v>146</v>
      </c>
      <c r="T1" s="5" t="s">
        <v>147</v>
      </c>
      <c r="U1" s="5" t="s">
        <v>148</v>
      </c>
      <c r="V1" s="5" t="s">
        <v>149</v>
      </c>
      <c r="W1" s="5" t="s">
        <v>150</v>
      </c>
      <c r="X1" s="5" t="s">
        <v>151</v>
      </c>
      <c r="Y1" s="5" t="s">
        <v>152</v>
      </c>
      <c r="Z1" s="5" t="s">
        <v>153</v>
      </c>
      <c r="AA1" s="5" t="s">
        <v>154</v>
      </c>
      <c r="AB1" s="5" t="s">
        <v>155</v>
      </c>
      <c r="AC1" s="5" t="s">
        <v>156</v>
      </c>
      <c r="AD1" s="5" t="s">
        <v>157</v>
      </c>
      <c r="AE1" s="5" t="s">
        <v>158</v>
      </c>
      <c r="AF1" s="5" t="s">
        <v>159</v>
      </c>
      <c r="AG1" s="5" t="s">
        <v>160</v>
      </c>
      <c r="AH1" s="5" t="s">
        <v>161</v>
      </c>
      <c r="AI1" s="5" t="s">
        <v>162</v>
      </c>
      <c r="AJ1" s="5" t="s">
        <v>163</v>
      </c>
      <c r="AK1" s="5" t="s">
        <v>164</v>
      </c>
      <c r="AL1" s="5" t="s">
        <v>165</v>
      </c>
      <c r="AM1" s="5" t="s">
        <v>166</v>
      </c>
    </row>
    <row r="2" customFormat="false" ht="23.85" hidden="false" customHeight="false" outlineLevel="0" collapsed="false">
      <c r="A2" s="4" t="s">
        <v>167</v>
      </c>
      <c r="B2" s="4" t="s">
        <v>168</v>
      </c>
      <c r="C2" s="4" t="s">
        <v>168</v>
      </c>
      <c r="D2" s="12" t="n">
        <v>2018</v>
      </c>
      <c r="E2" s="4"/>
      <c r="F2" s="4" t="s">
        <v>169</v>
      </c>
      <c r="G2" s="4" t="s">
        <v>170</v>
      </c>
      <c r="H2" s="4" t="s">
        <v>171</v>
      </c>
      <c r="I2" s="4" t="s">
        <v>172</v>
      </c>
      <c r="J2" s="4" t="s">
        <v>168</v>
      </c>
      <c r="K2" s="4" t="s">
        <v>91</v>
      </c>
      <c r="L2" s="4" t="s">
        <v>92</v>
      </c>
      <c r="M2" s="4"/>
      <c r="N2" s="4"/>
      <c r="O2" s="4"/>
      <c r="P2" s="4"/>
      <c r="Q2" s="4"/>
      <c r="R2" s="4"/>
      <c r="S2" s="13" t="n">
        <v>8718.73</v>
      </c>
      <c r="T2" s="4" t="s">
        <v>173</v>
      </c>
      <c r="U2" s="14" t="n">
        <f aca="false">IF(OR($S2="",PARAMETROS!$B$4=""),"",$S2*PARAMETROS!$B$4)</f>
        <v>50655.8213</v>
      </c>
      <c r="V2" s="13" t="n">
        <v>0</v>
      </c>
      <c r="W2" s="4"/>
      <c r="X2" s="4"/>
      <c r="Y2" s="4"/>
      <c r="Z2" s="4"/>
      <c r="AA2" s="4"/>
      <c r="AB2" s="4"/>
      <c r="AC2" s="4"/>
      <c r="AD2" s="4"/>
      <c r="AE2" s="4"/>
      <c r="AF2" s="4"/>
      <c r="AG2" s="4"/>
      <c r="AH2" s="4"/>
      <c r="AI2" s="4"/>
      <c r="AJ2" s="4"/>
      <c r="AK2" s="4"/>
      <c r="AL2" s="4" t="s">
        <v>174</v>
      </c>
      <c r="AM2" s="4" t="s">
        <v>175</v>
      </c>
    </row>
    <row r="3" customFormat="false" ht="23.85" hidden="false" customHeight="false" outlineLevel="0" collapsed="false">
      <c r="A3" s="4" t="s">
        <v>167</v>
      </c>
      <c r="B3" s="4" t="s">
        <v>176</v>
      </c>
      <c r="C3" s="4" t="s">
        <v>176</v>
      </c>
      <c r="D3" s="12" t="n">
        <v>2018</v>
      </c>
      <c r="E3" s="4"/>
      <c r="F3" s="4" t="s">
        <v>169</v>
      </c>
      <c r="G3" s="4" t="s">
        <v>170</v>
      </c>
      <c r="H3" s="4" t="s">
        <v>171</v>
      </c>
      <c r="I3" s="4" t="s">
        <v>172</v>
      </c>
      <c r="J3" s="4" t="s">
        <v>176</v>
      </c>
      <c r="K3" s="4" t="s">
        <v>91</v>
      </c>
      <c r="L3" s="4" t="s">
        <v>92</v>
      </c>
      <c r="M3" s="4"/>
      <c r="N3" s="4"/>
      <c r="O3" s="4"/>
      <c r="P3" s="4"/>
      <c r="Q3" s="4"/>
      <c r="R3" s="4"/>
      <c r="S3" s="13" t="n">
        <v>0</v>
      </c>
      <c r="T3" s="4" t="s">
        <v>173</v>
      </c>
      <c r="U3" s="14" t="n">
        <f aca="false">IF(OR($S3="",PARAMETROS!$B$4=""),"",$S3*PARAMETROS!$B$4)</f>
        <v>0</v>
      </c>
      <c r="V3" s="13" t="n">
        <v>0</v>
      </c>
      <c r="W3" s="4"/>
      <c r="X3" s="4"/>
      <c r="Y3" s="4"/>
      <c r="Z3" s="4"/>
      <c r="AA3" s="4"/>
      <c r="AB3" s="4"/>
      <c r="AC3" s="4"/>
      <c r="AD3" s="4"/>
      <c r="AE3" s="4"/>
      <c r="AF3" s="4"/>
      <c r="AG3" s="4"/>
      <c r="AH3" s="4"/>
      <c r="AI3" s="4"/>
      <c r="AJ3" s="4"/>
      <c r="AK3" s="4"/>
      <c r="AL3" s="4" t="s">
        <v>174</v>
      </c>
      <c r="AM3" s="4" t="s">
        <v>175</v>
      </c>
    </row>
    <row r="4" customFormat="false" ht="23.85" hidden="false" customHeight="false" outlineLevel="0" collapsed="false">
      <c r="A4" s="4" t="s">
        <v>167</v>
      </c>
      <c r="B4" s="4" t="s">
        <v>177</v>
      </c>
      <c r="C4" s="4" t="s">
        <v>177</v>
      </c>
      <c r="D4" s="12" t="n">
        <v>2018</v>
      </c>
      <c r="E4" s="4"/>
      <c r="F4" s="4" t="s">
        <v>169</v>
      </c>
      <c r="G4" s="4" t="s">
        <v>170</v>
      </c>
      <c r="H4" s="4" t="s">
        <v>171</v>
      </c>
      <c r="I4" s="4" t="s">
        <v>172</v>
      </c>
      <c r="J4" s="4" t="s">
        <v>177</v>
      </c>
      <c r="K4" s="4" t="s">
        <v>91</v>
      </c>
      <c r="L4" s="4" t="s">
        <v>92</v>
      </c>
      <c r="M4" s="4"/>
      <c r="N4" s="4"/>
      <c r="O4" s="4"/>
      <c r="P4" s="4"/>
      <c r="Q4" s="4"/>
      <c r="R4" s="4"/>
      <c r="S4" s="13" t="n">
        <v>0</v>
      </c>
      <c r="T4" s="4" t="s">
        <v>173</v>
      </c>
      <c r="U4" s="14" t="n">
        <f aca="false">IF(OR($S4="",PARAMETROS!$B$4=""),"",$S4*PARAMETROS!$B$4)</f>
        <v>0</v>
      </c>
      <c r="V4" s="13" t="n">
        <v>0</v>
      </c>
      <c r="W4" s="4"/>
      <c r="X4" s="4"/>
      <c r="Y4" s="4"/>
      <c r="Z4" s="4"/>
      <c r="AA4" s="4"/>
      <c r="AB4" s="4"/>
      <c r="AC4" s="4"/>
      <c r="AD4" s="4"/>
      <c r="AE4" s="4"/>
      <c r="AF4" s="4"/>
      <c r="AG4" s="4"/>
      <c r="AH4" s="4"/>
      <c r="AI4" s="4"/>
      <c r="AJ4" s="4"/>
      <c r="AK4" s="4"/>
      <c r="AL4" s="4" t="s">
        <v>174</v>
      </c>
      <c r="AM4" s="4" t="s">
        <v>175</v>
      </c>
    </row>
    <row r="5" customFormat="false" ht="23.85" hidden="false" customHeight="false" outlineLevel="0" collapsed="false">
      <c r="A5" s="4" t="s">
        <v>167</v>
      </c>
      <c r="B5" s="4" t="s">
        <v>178</v>
      </c>
      <c r="C5" s="4" t="s">
        <v>178</v>
      </c>
      <c r="D5" s="12" t="n">
        <v>2018</v>
      </c>
      <c r="E5" s="4"/>
      <c r="F5" s="4" t="s">
        <v>169</v>
      </c>
      <c r="G5" s="4" t="s">
        <v>170</v>
      </c>
      <c r="H5" s="4" t="s">
        <v>171</v>
      </c>
      <c r="I5" s="4" t="s">
        <v>172</v>
      </c>
      <c r="J5" s="4" t="s">
        <v>178</v>
      </c>
      <c r="K5" s="4" t="s">
        <v>91</v>
      </c>
      <c r="L5" s="4" t="s">
        <v>92</v>
      </c>
      <c r="M5" s="4"/>
      <c r="N5" s="4"/>
      <c r="O5" s="4"/>
      <c r="P5" s="4"/>
      <c r="Q5" s="4"/>
      <c r="R5" s="4"/>
      <c r="S5" s="13" t="n">
        <v>0</v>
      </c>
      <c r="T5" s="4" t="s">
        <v>173</v>
      </c>
      <c r="U5" s="14" t="n">
        <f aca="false">IF(OR($S5="",PARAMETROS!$B$4=""),"",$S5*PARAMETROS!$B$4)</f>
        <v>0</v>
      </c>
      <c r="V5" s="13" t="n">
        <v>0</v>
      </c>
      <c r="W5" s="4"/>
      <c r="X5" s="4"/>
      <c r="Y5" s="4"/>
      <c r="Z5" s="4"/>
      <c r="AA5" s="4"/>
      <c r="AB5" s="4"/>
      <c r="AC5" s="4"/>
      <c r="AD5" s="4"/>
      <c r="AE5" s="4"/>
      <c r="AF5" s="4"/>
      <c r="AG5" s="4"/>
      <c r="AH5" s="4"/>
      <c r="AI5" s="4"/>
      <c r="AJ5" s="4"/>
      <c r="AK5" s="4"/>
      <c r="AL5" s="4" t="s">
        <v>174</v>
      </c>
      <c r="AM5" s="4" t="s">
        <v>175</v>
      </c>
    </row>
    <row r="6" customFormat="false" ht="23.85" hidden="false" customHeight="false" outlineLevel="0" collapsed="false">
      <c r="A6" s="4" t="s">
        <v>167</v>
      </c>
      <c r="B6" s="4" t="s">
        <v>179</v>
      </c>
      <c r="C6" s="4" t="s">
        <v>179</v>
      </c>
      <c r="D6" s="12" t="n">
        <v>2018</v>
      </c>
      <c r="E6" s="4"/>
      <c r="F6" s="4" t="s">
        <v>169</v>
      </c>
      <c r="G6" s="4" t="s">
        <v>170</v>
      </c>
      <c r="H6" s="4" t="s">
        <v>171</v>
      </c>
      <c r="I6" s="4" t="s">
        <v>172</v>
      </c>
      <c r="J6" s="4" t="s">
        <v>179</v>
      </c>
      <c r="K6" s="4" t="s">
        <v>91</v>
      </c>
      <c r="L6" s="4" t="s">
        <v>92</v>
      </c>
      <c r="M6" s="4"/>
      <c r="N6" s="4"/>
      <c r="O6" s="4"/>
      <c r="P6" s="4"/>
      <c r="Q6" s="4"/>
      <c r="R6" s="4"/>
      <c r="S6" s="13" t="n">
        <v>0</v>
      </c>
      <c r="T6" s="4" t="s">
        <v>173</v>
      </c>
      <c r="U6" s="14" t="n">
        <f aca="false">IF(OR($S6="",PARAMETROS!$B$4=""),"",$S6*PARAMETROS!$B$4)</f>
        <v>0</v>
      </c>
      <c r="V6" s="13" t="n">
        <v>0</v>
      </c>
      <c r="W6" s="4"/>
      <c r="X6" s="4"/>
      <c r="Y6" s="4"/>
      <c r="Z6" s="4"/>
      <c r="AA6" s="4"/>
      <c r="AB6" s="4"/>
      <c r="AC6" s="4"/>
      <c r="AD6" s="4"/>
      <c r="AE6" s="4"/>
      <c r="AF6" s="4"/>
      <c r="AG6" s="4"/>
      <c r="AH6" s="4"/>
      <c r="AI6" s="4"/>
      <c r="AJ6" s="4"/>
      <c r="AK6" s="4"/>
      <c r="AL6" s="4" t="s">
        <v>174</v>
      </c>
      <c r="AM6" s="4" t="s">
        <v>175</v>
      </c>
    </row>
    <row r="7" customFormat="false" ht="23.85" hidden="false" customHeight="false" outlineLevel="0" collapsed="false">
      <c r="A7" s="4" t="s">
        <v>167</v>
      </c>
      <c r="B7" s="4" t="s">
        <v>180</v>
      </c>
      <c r="C7" s="4" t="s">
        <v>180</v>
      </c>
      <c r="D7" s="12" t="n">
        <v>2018</v>
      </c>
      <c r="E7" s="4"/>
      <c r="F7" s="4" t="s">
        <v>169</v>
      </c>
      <c r="G7" s="4" t="s">
        <v>170</v>
      </c>
      <c r="H7" s="4" t="s">
        <v>171</v>
      </c>
      <c r="I7" s="4" t="s">
        <v>172</v>
      </c>
      <c r="J7" s="4" t="s">
        <v>180</v>
      </c>
      <c r="K7" s="4" t="s">
        <v>91</v>
      </c>
      <c r="L7" s="4" t="s">
        <v>92</v>
      </c>
      <c r="M7" s="4"/>
      <c r="N7" s="4"/>
      <c r="O7" s="4"/>
      <c r="P7" s="4"/>
      <c r="Q7" s="4"/>
      <c r="R7" s="4"/>
      <c r="S7" s="13" t="n">
        <v>-6198.53</v>
      </c>
      <c r="T7" s="4" t="s">
        <v>173</v>
      </c>
      <c r="U7" s="14" t="n">
        <f aca="false">IF(OR($S7="",PARAMETROS!$B$4=""),"",$S7*PARAMETROS!$B$4)</f>
        <v>-36013.4593</v>
      </c>
      <c r="V7" s="13" t="n">
        <v>0</v>
      </c>
      <c r="W7" s="4"/>
      <c r="X7" s="4"/>
      <c r="Y7" s="4"/>
      <c r="Z7" s="4"/>
      <c r="AA7" s="4"/>
      <c r="AB7" s="4"/>
      <c r="AC7" s="4"/>
      <c r="AD7" s="4"/>
      <c r="AE7" s="4"/>
      <c r="AF7" s="4"/>
      <c r="AG7" s="4"/>
      <c r="AH7" s="4"/>
      <c r="AI7" s="4"/>
      <c r="AJ7" s="4"/>
      <c r="AK7" s="4"/>
      <c r="AL7" s="4" t="s">
        <v>174</v>
      </c>
      <c r="AM7" s="4" t="s">
        <v>175</v>
      </c>
    </row>
    <row r="8" customFormat="false" ht="23.85" hidden="false" customHeight="false" outlineLevel="0" collapsed="false">
      <c r="A8" s="4" t="s">
        <v>167</v>
      </c>
      <c r="B8" s="4" t="s">
        <v>181</v>
      </c>
      <c r="C8" s="4" t="s">
        <v>181</v>
      </c>
      <c r="D8" s="12" t="n">
        <v>2018</v>
      </c>
      <c r="E8" s="4"/>
      <c r="F8" s="4" t="s">
        <v>169</v>
      </c>
      <c r="G8" s="4" t="s">
        <v>170</v>
      </c>
      <c r="H8" s="4" t="s">
        <v>171</v>
      </c>
      <c r="I8" s="4" t="s">
        <v>172</v>
      </c>
      <c r="J8" s="4" t="s">
        <v>181</v>
      </c>
      <c r="K8" s="4" t="s">
        <v>91</v>
      </c>
      <c r="L8" s="4" t="s">
        <v>92</v>
      </c>
      <c r="M8" s="4"/>
      <c r="N8" s="4"/>
      <c r="O8" s="4"/>
      <c r="P8" s="4"/>
      <c r="Q8" s="4"/>
      <c r="R8" s="4"/>
      <c r="S8" s="13" t="n">
        <v>-2520.2</v>
      </c>
      <c r="T8" s="4" t="s">
        <v>173</v>
      </c>
      <c r="U8" s="14" t="n">
        <f aca="false">IF(OR($S8="",PARAMETROS!$B$4=""),"",$S8*PARAMETROS!$B$4)</f>
        <v>-14642.362</v>
      </c>
      <c r="V8" s="13" t="n">
        <v>0</v>
      </c>
      <c r="W8" s="4"/>
      <c r="X8" s="4"/>
      <c r="Y8" s="4"/>
      <c r="Z8" s="4"/>
      <c r="AA8" s="4"/>
      <c r="AB8" s="4"/>
      <c r="AC8" s="4"/>
      <c r="AD8" s="4"/>
      <c r="AE8" s="4"/>
      <c r="AF8" s="4"/>
      <c r="AG8" s="4"/>
      <c r="AH8" s="4"/>
      <c r="AI8" s="4"/>
      <c r="AJ8" s="4"/>
      <c r="AK8" s="4"/>
      <c r="AL8" s="4" t="s">
        <v>174</v>
      </c>
      <c r="AM8" s="4" t="s">
        <v>175</v>
      </c>
    </row>
    <row r="9" customFormat="false" ht="23.85" hidden="false" customHeight="false" outlineLevel="0" collapsed="false">
      <c r="A9" s="4" t="s">
        <v>167</v>
      </c>
      <c r="B9" s="4" t="s">
        <v>182</v>
      </c>
      <c r="C9" s="4" t="s">
        <v>182</v>
      </c>
      <c r="D9" s="12" t="n">
        <v>2018</v>
      </c>
      <c r="E9" s="4"/>
      <c r="F9" s="4" t="s">
        <v>169</v>
      </c>
      <c r="G9" s="4" t="s">
        <v>170</v>
      </c>
      <c r="H9" s="4" t="s">
        <v>171</v>
      </c>
      <c r="I9" s="4" t="s">
        <v>172</v>
      </c>
      <c r="J9" s="4" t="s">
        <v>182</v>
      </c>
      <c r="K9" s="4" t="s">
        <v>91</v>
      </c>
      <c r="L9" s="4" t="s">
        <v>92</v>
      </c>
      <c r="M9" s="4"/>
      <c r="N9" s="4"/>
      <c r="O9" s="4"/>
      <c r="P9" s="4"/>
      <c r="Q9" s="4"/>
      <c r="R9" s="4"/>
      <c r="S9" s="13" t="n">
        <v>0</v>
      </c>
      <c r="T9" s="4" t="s">
        <v>173</v>
      </c>
      <c r="U9" s="14" t="n">
        <f aca="false">IF(OR($S9="",PARAMETROS!$B$4=""),"",$S9*PARAMETROS!$B$4)</f>
        <v>0</v>
      </c>
      <c r="V9" s="13" t="n">
        <v>0</v>
      </c>
      <c r="W9" s="4"/>
      <c r="X9" s="4"/>
      <c r="Y9" s="4"/>
      <c r="Z9" s="4"/>
      <c r="AA9" s="4"/>
      <c r="AB9" s="4"/>
      <c r="AC9" s="4"/>
      <c r="AD9" s="4"/>
      <c r="AE9" s="4"/>
      <c r="AF9" s="4"/>
      <c r="AG9" s="4"/>
      <c r="AH9" s="4"/>
      <c r="AI9" s="4"/>
      <c r="AJ9" s="4"/>
      <c r="AK9" s="4"/>
      <c r="AL9" s="4" t="s">
        <v>174</v>
      </c>
      <c r="AM9" s="4" t="s">
        <v>175</v>
      </c>
    </row>
    <row r="10" customFormat="false" ht="23.85" hidden="false" customHeight="false" outlineLevel="0" collapsed="false">
      <c r="A10" s="4" t="s">
        <v>167</v>
      </c>
      <c r="B10" s="4" t="s">
        <v>183</v>
      </c>
      <c r="C10" s="4" t="s">
        <v>183</v>
      </c>
      <c r="D10" s="12" t="n">
        <v>2018</v>
      </c>
      <c r="E10" s="4"/>
      <c r="F10" s="4" t="s">
        <v>169</v>
      </c>
      <c r="G10" s="4" t="s">
        <v>170</v>
      </c>
      <c r="H10" s="4" t="s">
        <v>171</v>
      </c>
      <c r="I10" s="4" t="s">
        <v>172</v>
      </c>
      <c r="J10" s="4" t="s">
        <v>183</v>
      </c>
      <c r="K10" s="4" t="s">
        <v>91</v>
      </c>
      <c r="L10" s="4" t="s">
        <v>92</v>
      </c>
      <c r="M10" s="4"/>
      <c r="N10" s="4"/>
      <c r="O10" s="4"/>
      <c r="P10" s="4"/>
      <c r="Q10" s="4"/>
      <c r="R10" s="4"/>
      <c r="S10" s="13" t="n">
        <v>0</v>
      </c>
      <c r="T10" s="4" t="s">
        <v>173</v>
      </c>
      <c r="U10" s="14" t="n">
        <f aca="false">IF(OR($S10="",PARAMETROS!$B$4=""),"",$S10*PARAMETROS!$B$4)</f>
        <v>0</v>
      </c>
      <c r="V10" s="13" t="n">
        <v>0</v>
      </c>
      <c r="W10" s="4"/>
      <c r="X10" s="4"/>
      <c r="Y10" s="4"/>
      <c r="Z10" s="4"/>
      <c r="AA10" s="4"/>
      <c r="AB10" s="4"/>
      <c r="AC10" s="4"/>
      <c r="AD10" s="4"/>
      <c r="AE10" s="4"/>
      <c r="AF10" s="4"/>
      <c r="AG10" s="4"/>
      <c r="AH10" s="4"/>
      <c r="AI10" s="4"/>
      <c r="AJ10" s="4"/>
      <c r="AK10" s="4"/>
      <c r="AL10" s="4" t="s">
        <v>174</v>
      </c>
      <c r="AM10" s="4" t="s">
        <v>175</v>
      </c>
    </row>
    <row r="11" customFormat="false" ht="23.85" hidden="false" customHeight="false" outlineLevel="0" collapsed="false">
      <c r="A11" s="4" t="s">
        <v>167</v>
      </c>
      <c r="B11" s="4" t="s">
        <v>184</v>
      </c>
      <c r="C11" s="4" t="s">
        <v>184</v>
      </c>
      <c r="D11" s="12" t="n">
        <v>2018</v>
      </c>
      <c r="E11" s="4"/>
      <c r="F11" s="4" t="s">
        <v>169</v>
      </c>
      <c r="G11" s="4" t="s">
        <v>170</v>
      </c>
      <c r="H11" s="4" t="s">
        <v>171</v>
      </c>
      <c r="I11" s="4" t="s">
        <v>172</v>
      </c>
      <c r="J11" s="4" t="s">
        <v>184</v>
      </c>
      <c r="K11" s="4" t="s">
        <v>91</v>
      </c>
      <c r="L11" s="4" t="s">
        <v>92</v>
      </c>
      <c r="M11" s="4"/>
      <c r="N11" s="4"/>
      <c r="O11" s="4"/>
      <c r="P11" s="4"/>
      <c r="Q11" s="4"/>
      <c r="R11" s="4"/>
      <c r="S11" s="13" t="n">
        <v>0</v>
      </c>
      <c r="T11" s="4" t="s">
        <v>173</v>
      </c>
      <c r="U11" s="14" t="n">
        <f aca="false">IF(OR($S11="",PARAMETROS!$B$4=""),"",$S11*PARAMETROS!$B$4)</f>
        <v>0</v>
      </c>
      <c r="V11" s="13" t="n">
        <v>0</v>
      </c>
      <c r="W11" s="4"/>
      <c r="X11" s="4"/>
      <c r="Y11" s="4"/>
      <c r="Z11" s="4"/>
      <c r="AA11" s="4"/>
      <c r="AB11" s="4"/>
      <c r="AC11" s="4"/>
      <c r="AD11" s="4"/>
      <c r="AE11" s="4"/>
      <c r="AF11" s="4"/>
      <c r="AG11" s="4"/>
      <c r="AH11" s="4"/>
      <c r="AI11" s="4"/>
      <c r="AJ11" s="4"/>
      <c r="AK11" s="4"/>
      <c r="AL11" s="4" t="s">
        <v>174</v>
      </c>
      <c r="AM11" s="4" t="s">
        <v>175</v>
      </c>
    </row>
    <row r="12" customFormat="false" ht="23.85" hidden="false" customHeight="false" outlineLevel="0" collapsed="false">
      <c r="A12" s="4" t="s">
        <v>167</v>
      </c>
      <c r="B12" s="4" t="s">
        <v>185</v>
      </c>
      <c r="C12" s="4" t="s">
        <v>185</v>
      </c>
      <c r="D12" s="12" t="n">
        <v>2018</v>
      </c>
      <c r="E12" s="4"/>
      <c r="F12" s="4" t="s">
        <v>169</v>
      </c>
      <c r="G12" s="4" t="s">
        <v>170</v>
      </c>
      <c r="H12" s="4" t="s">
        <v>171</v>
      </c>
      <c r="I12" s="4" t="s">
        <v>172</v>
      </c>
      <c r="J12" s="4" t="s">
        <v>185</v>
      </c>
      <c r="K12" s="4" t="s">
        <v>91</v>
      </c>
      <c r="L12" s="4" t="s">
        <v>92</v>
      </c>
      <c r="M12" s="4"/>
      <c r="N12" s="4"/>
      <c r="O12" s="4"/>
      <c r="P12" s="4"/>
      <c r="Q12" s="4"/>
      <c r="R12" s="4"/>
      <c r="S12" s="13" t="n">
        <v>0</v>
      </c>
      <c r="T12" s="4" t="s">
        <v>173</v>
      </c>
      <c r="U12" s="14" t="n">
        <f aca="false">IF(OR($S12="",PARAMETROS!$B$4=""),"",$S12*PARAMETROS!$B$4)</f>
        <v>0</v>
      </c>
      <c r="V12" s="13" t="n">
        <v>0</v>
      </c>
      <c r="W12" s="4"/>
      <c r="X12" s="4"/>
      <c r="Y12" s="4"/>
      <c r="Z12" s="4"/>
      <c r="AA12" s="4"/>
      <c r="AB12" s="4"/>
      <c r="AC12" s="4"/>
      <c r="AD12" s="4"/>
      <c r="AE12" s="4"/>
      <c r="AF12" s="4"/>
      <c r="AG12" s="4"/>
      <c r="AH12" s="4"/>
      <c r="AI12" s="4"/>
      <c r="AJ12" s="4"/>
      <c r="AK12" s="4"/>
      <c r="AL12" s="4" t="s">
        <v>174</v>
      </c>
      <c r="AM12" s="4" t="s">
        <v>175</v>
      </c>
    </row>
    <row r="13" customFormat="false" ht="23.85" hidden="false" customHeight="false" outlineLevel="0" collapsed="false">
      <c r="A13" s="4" t="s">
        <v>167</v>
      </c>
      <c r="B13" s="4" t="s">
        <v>186</v>
      </c>
      <c r="C13" s="4" t="s">
        <v>186</v>
      </c>
      <c r="D13" s="12" t="n">
        <v>2018</v>
      </c>
      <c r="E13" s="4"/>
      <c r="F13" s="4" t="s">
        <v>169</v>
      </c>
      <c r="G13" s="4" t="s">
        <v>170</v>
      </c>
      <c r="H13" s="4" t="s">
        <v>171</v>
      </c>
      <c r="I13" s="4" t="s">
        <v>172</v>
      </c>
      <c r="J13" s="4" t="s">
        <v>186</v>
      </c>
      <c r="K13" s="4" t="s">
        <v>91</v>
      </c>
      <c r="L13" s="4" t="s">
        <v>92</v>
      </c>
      <c r="M13" s="4"/>
      <c r="N13" s="4"/>
      <c r="O13" s="4"/>
      <c r="P13" s="4"/>
      <c r="Q13" s="4"/>
      <c r="R13" s="4"/>
      <c r="S13" s="13" t="n">
        <v>0</v>
      </c>
      <c r="T13" s="4" t="s">
        <v>173</v>
      </c>
      <c r="U13" s="14" t="n">
        <f aca="false">IF(OR($S13="",PARAMETROS!$B$4=""),"",$S13*PARAMETROS!$B$4)</f>
        <v>0</v>
      </c>
      <c r="V13" s="13" t="n">
        <v>0</v>
      </c>
      <c r="W13" s="4"/>
      <c r="X13" s="4"/>
      <c r="Y13" s="4"/>
      <c r="Z13" s="4"/>
      <c r="AA13" s="4"/>
      <c r="AB13" s="4"/>
      <c r="AC13" s="4"/>
      <c r="AD13" s="4"/>
      <c r="AE13" s="4"/>
      <c r="AF13" s="4"/>
      <c r="AG13" s="4"/>
      <c r="AH13" s="4"/>
      <c r="AI13" s="4"/>
      <c r="AJ13" s="4"/>
      <c r="AK13" s="4"/>
      <c r="AL13" s="4" t="s">
        <v>174</v>
      </c>
      <c r="AM13" s="4" t="s">
        <v>175</v>
      </c>
    </row>
    <row r="14" customFormat="false" ht="23.85" hidden="false" customHeight="false" outlineLevel="0" collapsed="false">
      <c r="A14" s="4" t="s">
        <v>167</v>
      </c>
      <c r="B14" s="4" t="s">
        <v>187</v>
      </c>
      <c r="C14" s="4" t="s">
        <v>187</v>
      </c>
      <c r="D14" s="12" t="n">
        <v>2018</v>
      </c>
      <c r="E14" s="4"/>
      <c r="F14" s="4" t="s">
        <v>169</v>
      </c>
      <c r="G14" s="4" t="s">
        <v>170</v>
      </c>
      <c r="H14" s="4" t="s">
        <v>171</v>
      </c>
      <c r="I14" s="4" t="s">
        <v>172</v>
      </c>
      <c r="J14" s="4" t="s">
        <v>187</v>
      </c>
      <c r="K14" s="4" t="s">
        <v>91</v>
      </c>
      <c r="L14" s="4" t="s">
        <v>92</v>
      </c>
      <c r="M14" s="4"/>
      <c r="N14" s="4"/>
      <c r="O14" s="4"/>
      <c r="P14" s="4"/>
      <c r="Q14" s="4"/>
      <c r="R14" s="4"/>
      <c r="S14" s="13" t="n">
        <v>0</v>
      </c>
      <c r="T14" s="4" t="s">
        <v>173</v>
      </c>
      <c r="U14" s="14" t="n">
        <f aca="false">IF(OR($S14="",PARAMETROS!$B$4=""),"",$S14*PARAMETROS!$B$4)</f>
        <v>0</v>
      </c>
      <c r="V14" s="13" t="n">
        <v>0</v>
      </c>
      <c r="W14" s="4"/>
      <c r="X14" s="4"/>
      <c r="Y14" s="4"/>
      <c r="Z14" s="4"/>
      <c r="AA14" s="4"/>
      <c r="AB14" s="4"/>
      <c r="AC14" s="4"/>
      <c r="AD14" s="4"/>
      <c r="AE14" s="4"/>
      <c r="AF14" s="4"/>
      <c r="AG14" s="4"/>
      <c r="AH14" s="4"/>
      <c r="AI14" s="4"/>
      <c r="AJ14" s="4"/>
      <c r="AK14" s="4"/>
      <c r="AL14" s="4" t="s">
        <v>174</v>
      </c>
      <c r="AM14" s="4" t="s">
        <v>175</v>
      </c>
    </row>
    <row r="15" customFormat="false" ht="23.85" hidden="false" customHeight="false" outlineLevel="0" collapsed="false">
      <c r="A15" s="4" t="s">
        <v>167</v>
      </c>
      <c r="B15" s="4" t="s">
        <v>188</v>
      </c>
      <c r="C15" s="4" t="s">
        <v>188</v>
      </c>
      <c r="D15" s="12" t="n">
        <v>2018</v>
      </c>
      <c r="E15" s="4"/>
      <c r="F15" s="4" t="s">
        <v>169</v>
      </c>
      <c r="G15" s="4" t="s">
        <v>170</v>
      </c>
      <c r="H15" s="4" t="s">
        <v>171</v>
      </c>
      <c r="I15" s="4" t="s">
        <v>172</v>
      </c>
      <c r="J15" s="4" t="s">
        <v>188</v>
      </c>
      <c r="K15" s="4" t="s">
        <v>91</v>
      </c>
      <c r="L15" s="4" t="s">
        <v>92</v>
      </c>
      <c r="M15" s="4"/>
      <c r="N15" s="4"/>
      <c r="O15" s="4"/>
      <c r="P15" s="4"/>
      <c r="Q15" s="4"/>
      <c r="R15" s="4"/>
      <c r="S15" s="13" t="n">
        <v>0</v>
      </c>
      <c r="T15" s="4" t="s">
        <v>173</v>
      </c>
      <c r="U15" s="14" t="n">
        <f aca="false">IF(OR($S15="",PARAMETROS!$B$4=""),"",$S15*PARAMETROS!$B$4)</f>
        <v>0</v>
      </c>
      <c r="V15" s="13" t="n">
        <v>0</v>
      </c>
      <c r="W15" s="4"/>
      <c r="X15" s="4"/>
      <c r="Y15" s="4"/>
      <c r="Z15" s="4"/>
      <c r="AA15" s="4"/>
      <c r="AB15" s="4"/>
      <c r="AC15" s="4"/>
      <c r="AD15" s="4"/>
      <c r="AE15" s="4"/>
      <c r="AF15" s="4"/>
      <c r="AG15" s="4"/>
      <c r="AH15" s="4"/>
      <c r="AI15" s="4"/>
      <c r="AJ15" s="4"/>
      <c r="AK15" s="4"/>
      <c r="AL15" s="4" t="s">
        <v>174</v>
      </c>
      <c r="AM15" s="4" t="s">
        <v>175</v>
      </c>
    </row>
    <row r="16" customFormat="false" ht="23.85" hidden="false" customHeight="false" outlineLevel="0" collapsed="false">
      <c r="A16" s="4" t="s">
        <v>167</v>
      </c>
      <c r="B16" s="4" t="s">
        <v>189</v>
      </c>
      <c r="C16" s="4" t="s">
        <v>189</v>
      </c>
      <c r="D16" s="12" t="n">
        <v>2018</v>
      </c>
      <c r="E16" s="4"/>
      <c r="F16" s="4" t="s">
        <v>169</v>
      </c>
      <c r="G16" s="4" t="s">
        <v>170</v>
      </c>
      <c r="H16" s="4" t="s">
        <v>171</v>
      </c>
      <c r="I16" s="4" t="s">
        <v>172</v>
      </c>
      <c r="J16" s="4" t="s">
        <v>189</v>
      </c>
      <c r="K16" s="4" t="s">
        <v>93</v>
      </c>
      <c r="L16" s="4" t="s">
        <v>94</v>
      </c>
      <c r="M16" s="4"/>
      <c r="N16" s="4"/>
      <c r="O16" s="4"/>
      <c r="P16" s="4"/>
      <c r="Q16" s="4"/>
      <c r="R16" s="4"/>
      <c r="S16" s="13" t="n">
        <v>75.08</v>
      </c>
      <c r="T16" s="4" t="s">
        <v>173</v>
      </c>
      <c r="U16" s="14" t="n">
        <f aca="false">IF(OR($S16="",PARAMETROS!$B$4=""),"",$S16*PARAMETROS!$B$4)</f>
        <v>436.2148</v>
      </c>
      <c r="V16" s="13" t="n">
        <v>0</v>
      </c>
      <c r="W16" s="4"/>
      <c r="X16" s="4"/>
      <c r="Y16" s="4"/>
      <c r="Z16" s="4"/>
      <c r="AA16" s="4"/>
      <c r="AB16" s="4"/>
      <c r="AC16" s="4"/>
      <c r="AD16" s="4"/>
      <c r="AE16" s="4"/>
      <c r="AF16" s="4"/>
      <c r="AG16" s="4"/>
      <c r="AH16" s="4"/>
      <c r="AI16" s="4"/>
      <c r="AJ16" s="4"/>
      <c r="AK16" s="4"/>
      <c r="AL16" s="4" t="s">
        <v>174</v>
      </c>
      <c r="AM16" s="4" t="s">
        <v>190</v>
      </c>
    </row>
    <row r="17" customFormat="false" ht="23.85" hidden="false" customHeight="false" outlineLevel="0" collapsed="false">
      <c r="A17" s="4" t="s">
        <v>167</v>
      </c>
      <c r="B17" s="4" t="s">
        <v>191</v>
      </c>
      <c r="C17" s="4" t="s">
        <v>191</v>
      </c>
      <c r="D17" s="12" t="n">
        <v>2018</v>
      </c>
      <c r="E17" s="4"/>
      <c r="F17" s="4" t="s">
        <v>169</v>
      </c>
      <c r="G17" s="4" t="s">
        <v>170</v>
      </c>
      <c r="H17" s="4" t="s">
        <v>171</v>
      </c>
      <c r="I17" s="4" t="s">
        <v>172</v>
      </c>
      <c r="J17" s="4" t="s">
        <v>191</v>
      </c>
      <c r="K17" s="4" t="s">
        <v>93</v>
      </c>
      <c r="L17" s="4" t="s">
        <v>94</v>
      </c>
      <c r="M17" s="4"/>
      <c r="N17" s="4"/>
      <c r="O17" s="4"/>
      <c r="P17" s="4"/>
      <c r="Q17" s="4"/>
      <c r="R17" s="4"/>
      <c r="S17" s="13" t="n">
        <v>0</v>
      </c>
      <c r="T17" s="4" t="s">
        <v>173</v>
      </c>
      <c r="U17" s="14" t="n">
        <f aca="false">IF(OR($S17="",PARAMETROS!$B$4=""),"",$S17*PARAMETROS!$B$4)</f>
        <v>0</v>
      </c>
      <c r="V17" s="13" t="n">
        <v>0</v>
      </c>
      <c r="W17" s="4"/>
      <c r="X17" s="4"/>
      <c r="Y17" s="4"/>
      <c r="Z17" s="4"/>
      <c r="AA17" s="4"/>
      <c r="AB17" s="4"/>
      <c r="AC17" s="4"/>
      <c r="AD17" s="4"/>
      <c r="AE17" s="4"/>
      <c r="AF17" s="4"/>
      <c r="AG17" s="4"/>
      <c r="AH17" s="4"/>
      <c r="AI17" s="4"/>
      <c r="AJ17" s="4"/>
      <c r="AK17" s="4"/>
      <c r="AL17" s="4" t="s">
        <v>174</v>
      </c>
      <c r="AM17" s="4" t="s">
        <v>190</v>
      </c>
    </row>
    <row r="18" customFormat="false" ht="23.85" hidden="false" customHeight="false" outlineLevel="0" collapsed="false">
      <c r="A18" s="4" t="s">
        <v>167</v>
      </c>
      <c r="B18" s="4" t="s">
        <v>192</v>
      </c>
      <c r="C18" s="4" t="s">
        <v>192</v>
      </c>
      <c r="D18" s="12" t="n">
        <v>2018</v>
      </c>
      <c r="E18" s="4"/>
      <c r="F18" s="4" t="s">
        <v>169</v>
      </c>
      <c r="G18" s="4" t="s">
        <v>170</v>
      </c>
      <c r="H18" s="4" t="s">
        <v>171</v>
      </c>
      <c r="I18" s="4" t="s">
        <v>172</v>
      </c>
      <c r="J18" s="4" t="s">
        <v>192</v>
      </c>
      <c r="K18" s="4" t="s">
        <v>93</v>
      </c>
      <c r="L18" s="4" t="s">
        <v>94</v>
      </c>
      <c r="M18" s="4"/>
      <c r="N18" s="4"/>
      <c r="O18" s="4"/>
      <c r="P18" s="4"/>
      <c r="Q18" s="4"/>
      <c r="R18" s="4"/>
      <c r="S18" s="13" t="n">
        <v>0</v>
      </c>
      <c r="T18" s="4" t="s">
        <v>173</v>
      </c>
      <c r="U18" s="14" t="n">
        <f aca="false">IF(OR($S18="",PARAMETROS!$B$4=""),"",$S18*PARAMETROS!$B$4)</f>
        <v>0</v>
      </c>
      <c r="V18" s="13" t="n">
        <v>0</v>
      </c>
      <c r="W18" s="4"/>
      <c r="X18" s="4"/>
      <c r="Y18" s="4"/>
      <c r="Z18" s="4"/>
      <c r="AA18" s="4"/>
      <c r="AB18" s="4"/>
      <c r="AC18" s="4"/>
      <c r="AD18" s="4"/>
      <c r="AE18" s="4"/>
      <c r="AF18" s="4"/>
      <c r="AG18" s="4"/>
      <c r="AH18" s="4"/>
      <c r="AI18" s="4"/>
      <c r="AJ18" s="4"/>
      <c r="AK18" s="4"/>
      <c r="AL18" s="4" t="s">
        <v>174</v>
      </c>
      <c r="AM18" s="4" t="s">
        <v>190</v>
      </c>
    </row>
    <row r="19" customFormat="false" ht="23.85" hidden="false" customHeight="false" outlineLevel="0" collapsed="false">
      <c r="A19" s="4" t="s">
        <v>167</v>
      </c>
      <c r="B19" s="4" t="s">
        <v>193</v>
      </c>
      <c r="C19" s="4" t="s">
        <v>193</v>
      </c>
      <c r="D19" s="12" t="n">
        <v>2018</v>
      </c>
      <c r="E19" s="4"/>
      <c r="F19" s="4" t="s">
        <v>169</v>
      </c>
      <c r="G19" s="4" t="s">
        <v>170</v>
      </c>
      <c r="H19" s="4" t="s">
        <v>171</v>
      </c>
      <c r="I19" s="4" t="s">
        <v>172</v>
      </c>
      <c r="J19" s="4" t="s">
        <v>193</v>
      </c>
      <c r="K19" s="4" t="s">
        <v>93</v>
      </c>
      <c r="L19" s="4" t="s">
        <v>94</v>
      </c>
      <c r="M19" s="4"/>
      <c r="N19" s="4"/>
      <c r="O19" s="4"/>
      <c r="P19" s="4"/>
      <c r="Q19" s="4"/>
      <c r="R19" s="4"/>
      <c r="S19" s="13" t="n">
        <v>0</v>
      </c>
      <c r="T19" s="4" t="s">
        <v>173</v>
      </c>
      <c r="U19" s="14" t="n">
        <f aca="false">IF(OR($S19="",PARAMETROS!$B$4=""),"",$S19*PARAMETROS!$B$4)</f>
        <v>0</v>
      </c>
      <c r="V19" s="13" t="n">
        <v>0</v>
      </c>
      <c r="W19" s="4"/>
      <c r="X19" s="4"/>
      <c r="Y19" s="4"/>
      <c r="Z19" s="4"/>
      <c r="AA19" s="4"/>
      <c r="AB19" s="4"/>
      <c r="AC19" s="4"/>
      <c r="AD19" s="4"/>
      <c r="AE19" s="4"/>
      <c r="AF19" s="4"/>
      <c r="AG19" s="4"/>
      <c r="AH19" s="4"/>
      <c r="AI19" s="4"/>
      <c r="AJ19" s="4"/>
      <c r="AK19" s="4"/>
      <c r="AL19" s="4" t="s">
        <v>174</v>
      </c>
      <c r="AM19" s="4" t="s">
        <v>190</v>
      </c>
    </row>
    <row r="20" customFormat="false" ht="23.85" hidden="false" customHeight="false" outlineLevel="0" collapsed="false">
      <c r="A20" s="4" t="s">
        <v>167</v>
      </c>
      <c r="B20" s="4" t="s">
        <v>194</v>
      </c>
      <c r="C20" s="4" t="s">
        <v>194</v>
      </c>
      <c r="D20" s="12" t="n">
        <v>2018</v>
      </c>
      <c r="E20" s="4"/>
      <c r="F20" s="4" t="s">
        <v>169</v>
      </c>
      <c r="G20" s="4" t="s">
        <v>170</v>
      </c>
      <c r="H20" s="4" t="s">
        <v>171</v>
      </c>
      <c r="I20" s="4" t="s">
        <v>172</v>
      </c>
      <c r="J20" s="4" t="s">
        <v>194</v>
      </c>
      <c r="K20" s="4" t="s">
        <v>93</v>
      </c>
      <c r="L20" s="4" t="s">
        <v>94</v>
      </c>
      <c r="M20" s="4"/>
      <c r="N20" s="4"/>
      <c r="O20" s="4"/>
      <c r="P20" s="4"/>
      <c r="Q20" s="4"/>
      <c r="R20" s="4"/>
      <c r="S20" s="13" t="n">
        <v>0</v>
      </c>
      <c r="T20" s="4" t="s">
        <v>173</v>
      </c>
      <c r="U20" s="14" t="n">
        <f aca="false">IF(OR($S20="",PARAMETROS!$B$4=""),"",$S20*PARAMETROS!$B$4)</f>
        <v>0</v>
      </c>
      <c r="V20" s="13" t="n">
        <v>0</v>
      </c>
      <c r="W20" s="4"/>
      <c r="X20" s="4"/>
      <c r="Y20" s="4"/>
      <c r="Z20" s="4"/>
      <c r="AA20" s="4"/>
      <c r="AB20" s="4"/>
      <c r="AC20" s="4"/>
      <c r="AD20" s="4"/>
      <c r="AE20" s="4"/>
      <c r="AF20" s="4"/>
      <c r="AG20" s="4"/>
      <c r="AH20" s="4"/>
      <c r="AI20" s="4"/>
      <c r="AJ20" s="4"/>
      <c r="AK20" s="4"/>
      <c r="AL20" s="4" t="s">
        <v>174</v>
      </c>
      <c r="AM20" s="4" t="s">
        <v>190</v>
      </c>
    </row>
    <row r="21" customFormat="false" ht="23.85" hidden="false" customHeight="false" outlineLevel="0" collapsed="false">
      <c r="A21" s="4" t="s">
        <v>167</v>
      </c>
      <c r="B21" s="4" t="s">
        <v>195</v>
      </c>
      <c r="C21" s="4" t="s">
        <v>195</v>
      </c>
      <c r="D21" s="12" t="n">
        <v>2018</v>
      </c>
      <c r="E21" s="4"/>
      <c r="F21" s="4" t="s">
        <v>169</v>
      </c>
      <c r="G21" s="4" t="s">
        <v>170</v>
      </c>
      <c r="H21" s="4" t="s">
        <v>171</v>
      </c>
      <c r="I21" s="4" t="s">
        <v>172</v>
      </c>
      <c r="J21" s="4" t="s">
        <v>195</v>
      </c>
      <c r="K21" s="4" t="s">
        <v>93</v>
      </c>
      <c r="L21" s="4" t="s">
        <v>94</v>
      </c>
      <c r="M21" s="4"/>
      <c r="N21" s="4"/>
      <c r="O21" s="4"/>
      <c r="P21" s="4"/>
      <c r="Q21" s="4"/>
      <c r="R21" s="4"/>
      <c r="S21" s="13" t="n">
        <v>-72.58</v>
      </c>
      <c r="T21" s="4" t="s">
        <v>173</v>
      </c>
      <c r="U21" s="14" t="n">
        <f aca="false">IF(OR($S21="",PARAMETROS!$B$4=""),"",$S21*PARAMETROS!$B$4)</f>
        <v>-421.6898</v>
      </c>
      <c r="V21" s="13" t="n">
        <v>0</v>
      </c>
      <c r="W21" s="4"/>
      <c r="X21" s="4"/>
      <c r="Y21" s="4"/>
      <c r="Z21" s="4"/>
      <c r="AA21" s="4"/>
      <c r="AB21" s="4"/>
      <c r="AC21" s="4"/>
      <c r="AD21" s="4"/>
      <c r="AE21" s="4"/>
      <c r="AF21" s="4"/>
      <c r="AG21" s="4"/>
      <c r="AH21" s="4"/>
      <c r="AI21" s="4"/>
      <c r="AJ21" s="4"/>
      <c r="AK21" s="4"/>
      <c r="AL21" s="4" t="s">
        <v>174</v>
      </c>
      <c r="AM21" s="4" t="s">
        <v>190</v>
      </c>
    </row>
    <row r="22" customFormat="false" ht="23.85" hidden="false" customHeight="false" outlineLevel="0" collapsed="false">
      <c r="A22" s="4" t="s">
        <v>167</v>
      </c>
      <c r="B22" s="4" t="s">
        <v>196</v>
      </c>
      <c r="C22" s="4" t="s">
        <v>196</v>
      </c>
      <c r="D22" s="12" t="n">
        <v>2018</v>
      </c>
      <c r="E22" s="4"/>
      <c r="F22" s="4" t="s">
        <v>169</v>
      </c>
      <c r="G22" s="4" t="s">
        <v>170</v>
      </c>
      <c r="H22" s="4" t="s">
        <v>171</v>
      </c>
      <c r="I22" s="4" t="s">
        <v>172</v>
      </c>
      <c r="J22" s="4" t="s">
        <v>196</v>
      </c>
      <c r="K22" s="4" t="s">
        <v>93</v>
      </c>
      <c r="L22" s="4" t="s">
        <v>94</v>
      </c>
      <c r="M22" s="4"/>
      <c r="N22" s="4"/>
      <c r="O22" s="4"/>
      <c r="P22" s="4"/>
      <c r="Q22" s="4"/>
      <c r="R22" s="4"/>
      <c r="S22" s="13" t="n">
        <v>-2.5</v>
      </c>
      <c r="T22" s="4" t="s">
        <v>173</v>
      </c>
      <c r="U22" s="14" t="n">
        <f aca="false">IF(OR($S22="",PARAMETROS!$B$4=""),"",$S22*PARAMETROS!$B$4)</f>
        <v>-14.525</v>
      </c>
      <c r="V22" s="13" t="n">
        <v>0</v>
      </c>
      <c r="W22" s="4"/>
      <c r="X22" s="4"/>
      <c r="Y22" s="4"/>
      <c r="Z22" s="4"/>
      <c r="AA22" s="4"/>
      <c r="AB22" s="4"/>
      <c r="AC22" s="4"/>
      <c r="AD22" s="4"/>
      <c r="AE22" s="4"/>
      <c r="AF22" s="4"/>
      <c r="AG22" s="4"/>
      <c r="AH22" s="4"/>
      <c r="AI22" s="4"/>
      <c r="AJ22" s="4"/>
      <c r="AK22" s="4"/>
      <c r="AL22" s="4" t="s">
        <v>174</v>
      </c>
      <c r="AM22" s="4" t="s">
        <v>190</v>
      </c>
    </row>
    <row r="23" customFormat="false" ht="23.85" hidden="false" customHeight="false" outlineLevel="0" collapsed="false">
      <c r="A23" s="4" t="s">
        <v>167</v>
      </c>
      <c r="B23" s="4" t="s">
        <v>197</v>
      </c>
      <c r="C23" s="4" t="s">
        <v>197</v>
      </c>
      <c r="D23" s="12" t="n">
        <v>2018</v>
      </c>
      <c r="E23" s="4"/>
      <c r="F23" s="4" t="s">
        <v>169</v>
      </c>
      <c r="G23" s="4" t="s">
        <v>170</v>
      </c>
      <c r="H23" s="4" t="s">
        <v>171</v>
      </c>
      <c r="I23" s="4" t="s">
        <v>172</v>
      </c>
      <c r="J23" s="4" t="s">
        <v>197</v>
      </c>
      <c r="K23" s="4" t="s">
        <v>93</v>
      </c>
      <c r="L23" s="4" t="s">
        <v>94</v>
      </c>
      <c r="M23" s="4"/>
      <c r="N23" s="4"/>
      <c r="O23" s="4"/>
      <c r="P23" s="4"/>
      <c r="Q23" s="4"/>
      <c r="R23" s="4"/>
      <c r="S23" s="13" t="n">
        <v>0</v>
      </c>
      <c r="T23" s="4" t="s">
        <v>173</v>
      </c>
      <c r="U23" s="14" t="n">
        <f aca="false">IF(OR($S23="",PARAMETROS!$B$4=""),"",$S23*PARAMETROS!$B$4)</f>
        <v>0</v>
      </c>
      <c r="V23" s="13" t="n">
        <v>0</v>
      </c>
      <c r="W23" s="4"/>
      <c r="X23" s="4"/>
      <c r="Y23" s="4"/>
      <c r="Z23" s="4"/>
      <c r="AA23" s="4"/>
      <c r="AB23" s="4"/>
      <c r="AC23" s="4"/>
      <c r="AD23" s="4"/>
      <c r="AE23" s="4"/>
      <c r="AF23" s="4"/>
      <c r="AG23" s="4"/>
      <c r="AH23" s="4"/>
      <c r="AI23" s="4"/>
      <c r="AJ23" s="4"/>
      <c r="AK23" s="4"/>
      <c r="AL23" s="4" t="s">
        <v>174</v>
      </c>
      <c r="AM23" s="4" t="s">
        <v>190</v>
      </c>
    </row>
    <row r="24" customFormat="false" ht="23.85" hidden="false" customHeight="false" outlineLevel="0" collapsed="false">
      <c r="A24" s="4" t="s">
        <v>167</v>
      </c>
      <c r="B24" s="4" t="s">
        <v>198</v>
      </c>
      <c r="C24" s="4" t="s">
        <v>198</v>
      </c>
      <c r="D24" s="12" t="n">
        <v>2018</v>
      </c>
      <c r="E24" s="4"/>
      <c r="F24" s="4" t="s">
        <v>169</v>
      </c>
      <c r="G24" s="4" t="s">
        <v>170</v>
      </c>
      <c r="H24" s="4" t="s">
        <v>171</v>
      </c>
      <c r="I24" s="4" t="s">
        <v>172</v>
      </c>
      <c r="J24" s="4" t="s">
        <v>198</v>
      </c>
      <c r="K24" s="4" t="s">
        <v>93</v>
      </c>
      <c r="L24" s="4" t="s">
        <v>94</v>
      </c>
      <c r="M24" s="4"/>
      <c r="N24" s="4"/>
      <c r="O24" s="4"/>
      <c r="P24" s="4"/>
      <c r="Q24" s="4"/>
      <c r="R24" s="4"/>
      <c r="S24" s="13" t="n">
        <v>0</v>
      </c>
      <c r="T24" s="4" t="s">
        <v>173</v>
      </c>
      <c r="U24" s="14" t="n">
        <f aca="false">IF(OR($S24="",PARAMETROS!$B$4=""),"",$S24*PARAMETROS!$B$4)</f>
        <v>0</v>
      </c>
      <c r="V24" s="13" t="n">
        <v>0</v>
      </c>
      <c r="W24" s="4"/>
      <c r="X24" s="4"/>
      <c r="Y24" s="4"/>
      <c r="Z24" s="4"/>
      <c r="AA24" s="4"/>
      <c r="AB24" s="4"/>
      <c r="AC24" s="4"/>
      <c r="AD24" s="4"/>
      <c r="AE24" s="4"/>
      <c r="AF24" s="4"/>
      <c r="AG24" s="4"/>
      <c r="AH24" s="4"/>
      <c r="AI24" s="4"/>
      <c r="AJ24" s="4"/>
      <c r="AK24" s="4"/>
      <c r="AL24" s="4" t="s">
        <v>174</v>
      </c>
      <c r="AM24" s="4" t="s">
        <v>190</v>
      </c>
    </row>
    <row r="25" customFormat="false" ht="23.85" hidden="false" customHeight="false" outlineLevel="0" collapsed="false">
      <c r="A25" s="4" t="s">
        <v>167</v>
      </c>
      <c r="B25" s="4" t="s">
        <v>199</v>
      </c>
      <c r="C25" s="4" t="s">
        <v>199</v>
      </c>
      <c r="D25" s="12" t="n">
        <v>2018</v>
      </c>
      <c r="E25" s="4"/>
      <c r="F25" s="4" t="s">
        <v>169</v>
      </c>
      <c r="G25" s="4" t="s">
        <v>170</v>
      </c>
      <c r="H25" s="4" t="s">
        <v>171</v>
      </c>
      <c r="I25" s="4" t="s">
        <v>172</v>
      </c>
      <c r="J25" s="4" t="s">
        <v>199</v>
      </c>
      <c r="K25" s="4" t="s">
        <v>93</v>
      </c>
      <c r="L25" s="4" t="s">
        <v>94</v>
      </c>
      <c r="M25" s="4"/>
      <c r="N25" s="4"/>
      <c r="O25" s="4"/>
      <c r="P25" s="4"/>
      <c r="Q25" s="4"/>
      <c r="R25" s="4"/>
      <c r="S25" s="13" t="n">
        <v>0</v>
      </c>
      <c r="T25" s="4" t="s">
        <v>173</v>
      </c>
      <c r="U25" s="14" t="n">
        <f aca="false">IF(OR($S25="",PARAMETROS!$B$4=""),"",$S25*PARAMETROS!$B$4)</f>
        <v>0</v>
      </c>
      <c r="V25" s="13" t="n">
        <v>0</v>
      </c>
      <c r="W25" s="4"/>
      <c r="X25" s="4"/>
      <c r="Y25" s="4"/>
      <c r="Z25" s="4"/>
      <c r="AA25" s="4"/>
      <c r="AB25" s="4"/>
      <c r="AC25" s="4"/>
      <c r="AD25" s="4"/>
      <c r="AE25" s="4"/>
      <c r="AF25" s="4"/>
      <c r="AG25" s="4"/>
      <c r="AH25" s="4"/>
      <c r="AI25" s="4"/>
      <c r="AJ25" s="4"/>
      <c r="AK25" s="4"/>
      <c r="AL25" s="4" t="s">
        <v>174</v>
      </c>
      <c r="AM25" s="4" t="s">
        <v>190</v>
      </c>
    </row>
    <row r="26" customFormat="false" ht="23.85" hidden="false" customHeight="false" outlineLevel="0" collapsed="false">
      <c r="A26" s="4" t="s">
        <v>167</v>
      </c>
      <c r="B26" s="4" t="s">
        <v>200</v>
      </c>
      <c r="C26" s="4" t="s">
        <v>200</v>
      </c>
      <c r="D26" s="12" t="n">
        <v>2018</v>
      </c>
      <c r="E26" s="4"/>
      <c r="F26" s="4" t="s">
        <v>169</v>
      </c>
      <c r="G26" s="4" t="s">
        <v>170</v>
      </c>
      <c r="H26" s="4" t="s">
        <v>171</v>
      </c>
      <c r="I26" s="4" t="s">
        <v>172</v>
      </c>
      <c r="J26" s="4" t="s">
        <v>200</v>
      </c>
      <c r="K26" s="4" t="s">
        <v>93</v>
      </c>
      <c r="L26" s="4" t="s">
        <v>94</v>
      </c>
      <c r="M26" s="4"/>
      <c r="N26" s="4"/>
      <c r="O26" s="4"/>
      <c r="P26" s="4"/>
      <c r="Q26" s="4"/>
      <c r="R26" s="4"/>
      <c r="S26" s="13" t="n">
        <v>0</v>
      </c>
      <c r="T26" s="4" t="s">
        <v>173</v>
      </c>
      <c r="U26" s="14" t="n">
        <f aca="false">IF(OR($S26="",PARAMETROS!$B$4=""),"",$S26*PARAMETROS!$B$4)</f>
        <v>0</v>
      </c>
      <c r="V26" s="13" t="n">
        <v>0</v>
      </c>
      <c r="W26" s="4"/>
      <c r="X26" s="4"/>
      <c r="Y26" s="4"/>
      <c r="Z26" s="4"/>
      <c r="AA26" s="4"/>
      <c r="AB26" s="4"/>
      <c r="AC26" s="4"/>
      <c r="AD26" s="4"/>
      <c r="AE26" s="4"/>
      <c r="AF26" s="4"/>
      <c r="AG26" s="4"/>
      <c r="AH26" s="4"/>
      <c r="AI26" s="4"/>
      <c r="AJ26" s="4"/>
      <c r="AK26" s="4"/>
      <c r="AL26" s="4" t="s">
        <v>174</v>
      </c>
      <c r="AM26" s="4" t="s">
        <v>190</v>
      </c>
    </row>
    <row r="27" customFormat="false" ht="23.85" hidden="false" customHeight="false" outlineLevel="0" collapsed="false">
      <c r="A27" s="4" t="s">
        <v>167</v>
      </c>
      <c r="B27" s="4" t="s">
        <v>201</v>
      </c>
      <c r="C27" s="4" t="s">
        <v>201</v>
      </c>
      <c r="D27" s="12" t="n">
        <v>2018</v>
      </c>
      <c r="E27" s="4"/>
      <c r="F27" s="4" t="s">
        <v>169</v>
      </c>
      <c r="G27" s="4" t="s">
        <v>170</v>
      </c>
      <c r="H27" s="4" t="s">
        <v>171</v>
      </c>
      <c r="I27" s="4" t="s">
        <v>172</v>
      </c>
      <c r="J27" s="4" t="s">
        <v>201</v>
      </c>
      <c r="K27" s="4" t="s">
        <v>93</v>
      </c>
      <c r="L27" s="4" t="s">
        <v>94</v>
      </c>
      <c r="M27" s="4"/>
      <c r="N27" s="4"/>
      <c r="O27" s="4"/>
      <c r="P27" s="4"/>
      <c r="Q27" s="4"/>
      <c r="R27" s="4"/>
      <c r="S27" s="13" t="n">
        <v>0</v>
      </c>
      <c r="T27" s="4" t="s">
        <v>173</v>
      </c>
      <c r="U27" s="14" t="n">
        <f aca="false">IF(OR($S27="",PARAMETROS!$B$4=""),"",$S27*PARAMETROS!$B$4)</f>
        <v>0</v>
      </c>
      <c r="V27" s="13" t="n">
        <v>0</v>
      </c>
      <c r="W27" s="4"/>
      <c r="X27" s="4"/>
      <c r="Y27" s="4"/>
      <c r="Z27" s="4"/>
      <c r="AA27" s="4"/>
      <c r="AB27" s="4"/>
      <c r="AC27" s="4"/>
      <c r="AD27" s="4"/>
      <c r="AE27" s="4"/>
      <c r="AF27" s="4"/>
      <c r="AG27" s="4"/>
      <c r="AH27" s="4"/>
      <c r="AI27" s="4"/>
      <c r="AJ27" s="4"/>
      <c r="AK27" s="4"/>
      <c r="AL27" s="4" t="s">
        <v>174</v>
      </c>
      <c r="AM27" s="4" t="s">
        <v>190</v>
      </c>
    </row>
    <row r="28" customFormat="false" ht="23.85" hidden="false" customHeight="false" outlineLevel="0" collapsed="false">
      <c r="A28" s="4" t="s">
        <v>167</v>
      </c>
      <c r="B28" s="4" t="s">
        <v>202</v>
      </c>
      <c r="C28" s="4" t="s">
        <v>202</v>
      </c>
      <c r="D28" s="12" t="n">
        <v>2018</v>
      </c>
      <c r="E28" s="4"/>
      <c r="F28" s="4" t="s">
        <v>169</v>
      </c>
      <c r="G28" s="4" t="s">
        <v>170</v>
      </c>
      <c r="H28" s="4" t="s">
        <v>171</v>
      </c>
      <c r="I28" s="4" t="s">
        <v>172</v>
      </c>
      <c r="J28" s="4" t="s">
        <v>202</v>
      </c>
      <c r="K28" s="4" t="s">
        <v>93</v>
      </c>
      <c r="L28" s="4" t="s">
        <v>94</v>
      </c>
      <c r="M28" s="4"/>
      <c r="N28" s="4"/>
      <c r="O28" s="4"/>
      <c r="P28" s="4"/>
      <c r="Q28" s="4"/>
      <c r="R28" s="4"/>
      <c r="S28" s="13" t="n">
        <v>0</v>
      </c>
      <c r="T28" s="4" t="s">
        <v>173</v>
      </c>
      <c r="U28" s="14" t="n">
        <f aca="false">IF(OR($S28="",PARAMETROS!$B$4=""),"",$S28*PARAMETROS!$B$4)</f>
        <v>0</v>
      </c>
      <c r="V28" s="13" t="n">
        <v>0</v>
      </c>
      <c r="W28" s="4"/>
      <c r="X28" s="4"/>
      <c r="Y28" s="4"/>
      <c r="Z28" s="4"/>
      <c r="AA28" s="4"/>
      <c r="AB28" s="4"/>
      <c r="AC28" s="4"/>
      <c r="AD28" s="4"/>
      <c r="AE28" s="4"/>
      <c r="AF28" s="4"/>
      <c r="AG28" s="4"/>
      <c r="AH28" s="4"/>
      <c r="AI28" s="4"/>
      <c r="AJ28" s="4"/>
      <c r="AK28" s="4"/>
      <c r="AL28" s="4" t="s">
        <v>174</v>
      </c>
      <c r="AM28" s="4" t="s">
        <v>190</v>
      </c>
    </row>
    <row r="29" customFormat="false" ht="23.85" hidden="false" customHeight="false" outlineLevel="0" collapsed="false">
      <c r="A29" s="4" t="s">
        <v>167</v>
      </c>
      <c r="B29" s="4" t="s">
        <v>203</v>
      </c>
      <c r="C29" s="4" t="s">
        <v>203</v>
      </c>
      <c r="D29" s="12" t="n">
        <v>2018</v>
      </c>
      <c r="E29" s="4"/>
      <c r="F29" s="4" t="s">
        <v>169</v>
      </c>
      <c r="G29" s="4" t="s">
        <v>170</v>
      </c>
      <c r="H29" s="4" t="s">
        <v>171</v>
      </c>
      <c r="I29" s="4" t="s">
        <v>172</v>
      </c>
      <c r="J29" s="4" t="s">
        <v>203</v>
      </c>
      <c r="K29" s="4" t="s">
        <v>93</v>
      </c>
      <c r="L29" s="4" t="s">
        <v>94</v>
      </c>
      <c r="M29" s="4"/>
      <c r="N29" s="4"/>
      <c r="O29" s="4"/>
      <c r="P29" s="4"/>
      <c r="Q29" s="4"/>
      <c r="R29" s="4"/>
      <c r="S29" s="13" t="n">
        <v>0</v>
      </c>
      <c r="T29" s="4" t="s">
        <v>173</v>
      </c>
      <c r="U29" s="14" t="n">
        <f aca="false">IF(OR($S29="",PARAMETROS!$B$4=""),"",$S29*PARAMETROS!$B$4)</f>
        <v>0</v>
      </c>
      <c r="V29" s="13" t="n">
        <v>0</v>
      </c>
      <c r="W29" s="4"/>
      <c r="X29" s="4"/>
      <c r="Y29" s="4"/>
      <c r="Z29" s="4"/>
      <c r="AA29" s="4"/>
      <c r="AB29" s="4"/>
      <c r="AC29" s="4"/>
      <c r="AD29" s="4"/>
      <c r="AE29" s="4"/>
      <c r="AF29" s="4"/>
      <c r="AG29" s="4"/>
      <c r="AH29" s="4"/>
      <c r="AI29" s="4"/>
      <c r="AJ29" s="4"/>
      <c r="AK29" s="4"/>
      <c r="AL29" s="4" t="s">
        <v>174</v>
      </c>
      <c r="AM29" s="4" t="s">
        <v>190</v>
      </c>
    </row>
    <row r="30" customFormat="false" ht="23.85" hidden="false" customHeight="false" outlineLevel="0" collapsed="false">
      <c r="A30" s="4" t="s">
        <v>167</v>
      </c>
      <c r="B30" s="4" t="s">
        <v>204</v>
      </c>
      <c r="C30" s="4" t="s">
        <v>204</v>
      </c>
      <c r="D30" s="12" t="n">
        <v>2018</v>
      </c>
      <c r="E30" s="4"/>
      <c r="F30" s="4" t="s">
        <v>169</v>
      </c>
      <c r="G30" s="4" t="s">
        <v>170</v>
      </c>
      <c r="H30" s="4" t="s">
        <v>171</v>
      </c>
      <c r="I30" s="4" t="s">
        <v>172</v>
      </c>
      <c r="J30" s="4" t="s">
        <v>204</v>
      </c>
      <c r="K30" s="4" t="s">
        <v>76</v>
      </c>
      <c r="L30" s="4" t="s">
        <v>77</v>
      </c>
      <c r="M30" s="4"/>
      <c r="N30" s="4"/>
      <c r="O30" s="4"/>
      <c r="P30" s="4"/>
      <c r="Q30" s="4"/>
      <c r="R30" s="4"/>
      <c r="S30" s="13" t="n">
        <v>0</v>
      </c>
      <c r="T30" s="4" t="s">
        <v>173</v>
      </c>
      <c r="U30" s="14" t="n">
        <f aca="false">IF(OR($S30="",PARAMETROS!$B$4=""),"",$S30*PARAMETROS!$B$4)</f>
        <v>0</v>
      </c>
      <c r="V30" s="13" t="n">
        <v>0</v>
      </c>
      <c r="W30" s="4"/>
      <c r="X30" s="4"/>
      <c r="Y30" s="4"/>
      <c r="Z30" s="4"/>
      <c r="AA30" s="4"/>
      <c r="AB30" s="4"/>
      <c r="AC30" s="4"/>
      <c r="AD30" s="4"/>
      <c r="AE30" s="4"/>
      <c r="AF30" s="4"/>
      <c r="AG30" s="4"/>
      <c r="AH30" s="4"/>
      <c r="AI30" s="4"/>
      <c r="AJ30" s="4"/>
      <c r="AK30" s="4"/>
      <c r="AL30" s="4" t="s">
        <v>174</v>
      </c>
      <c r="AM30" s="4" t="s">
        <v>205</v>
      </c>
    </row>
    <row r="31" customFormat="false" ht="23.85" hidden="false" customHeight="false" outlineLevel="0" collapsed="false">
      <c r="A31" s="4" t="s">
        <v>167</v>
      </c>
      <c r="B31" s="4" t="s">
        <v>206</v>
      </c>
      <c r="C31" s="4" t="s">
        <v>206</v>
      </c>
      <c r="D31" s="12" t="n">
        <v>2018</v>
      </c>
      <c r="E31" s="4"/>
      <c r="F31" s="4" t="s">
        <v>169</v>
      </c>
      <c r="G31" s="4" t="s">
        <v>170</v>
      </c>
      <c r="H31" s="4" t="s">
        <v>171</v>
      </c>
      <c r="I31" s="4" t="s">
        <v>172</v>
      </c>
      <c r="J31" s="4" t="s">
        <v>206</v>
      </c>
      <c r="K31" s="4" t="s">
        <v>76</v>
      </c>
      <c r="L31" s="4" t="s">
        <v>77</v>
      </c>
      <c r="M31" s="4"/>
      <c r="N31" s="4"/>
      <c r="O31" s="4"/>
      <c r="P31" s="4"/>
      <c r="Q31" s="4"/>
      <c r="R31" s="4"/>
      <c r="S31" s="13" t="n">
        <v>9113.53</v>
      </c>
      <c r="T31" s="4" t="s">
        <v>173</v>
      </c>
      <c r="U31" s="14" t="n">
        <f aca="false">IF(OR($S31="",PARAMETROS!$B$4=""),"",$S31*PARAMETROS!$B$4)</f>
        <v>52949.6093</v>
      </c>
      <c r="V31" s="13" t="n">
        <v>0</v>
      </c>
      <c r="W31" s="4"/>
      <c r="X31" s="4"/>
      <c r="Y31" s="4"/>
      <c r="Z31" s="4"/>
      <c r="AA31" s="4"/>
      <c r="AB31" s="4"/>
      <c r="AC31" s="4"/>
      <c r="AD31" s="4"/>
      <c r="AE31" s="4"/>
      <c r="AF31" s="4"/>
      <c r="AG31" s="4"/>
      <c r="AH31" s="4"/>
      <c r="AI31" s="4"/>
      <c r="AJ31" s="4"/>
      <c r="AK31" s="4"/>
      <c r="AL31" s="4" t="s">
        <v>174</v>
      </c>
      <c r="AM31" s="4" t="s">
        <v>205</v>
      </c>
    </row>
    <row r="32" customFormat="false" ht="23.85" hidden="false" customHeight="false" outlineLevel="0" collapsed="false">
      <c r="A32" s="4" t="s">
        <v>167</v>
      </c>
      <c r="B32" s="4" t="s">
        <v>207</v>
      </c>
      <c r="C32" s="4" t="s">
        <v>207</v>
      </c>
      <c r="D32" s="12" t="n">
        <v>2018</v>
      </c>
      <c r="E32" s="4"/>
      <c r="F32" s="4" t="s">
        <v>169</v>
      </c>
      <c r="G32" s="4" t="s">
        <v>170</v>
      </c>
      <c r="H32" s="4" t="s">
        <v>171</v>
      </c>
      <c r="I32" s="4" t="s">
        <v>172</v>
      </c>
      <c r="J32" s="4" t="s">
        <v>207</v>
      </c>
      <c r="K32" s="4" t="s">
        <v>76</v>
      </c>
      <c r="L32" s="4" t="s">
        <v>77</v>
      </c>
      <c r="M32" s="4"/>
      <c r="N32" s="4"/>
      <c r="O32" s="4"/>
      <c r="P32" s="4"/>
      <c r="Q32" s="4"/>
      <c r="R32" s="4"/>
      <c r="S32" s="13" t="n">
        <v>0</v>
      </c>
      <c r="T32" s="4" t="s">
        <v>173</v>
      </c>
      <c r="U32" s="14" t="n">
        <f aca="false">IF(OR($S32="",PARAMETROS!$B$4=""),"",$S32*PARAMETROS!$B$4)</f>
        <v>0</v>
      </c>
      <c r="V32" s="13" t="n">
        <v>0</v>
      </c>
      <c r="W32" s="4"/>
      <c r="X32" s="4"/>
      <c r="Y32" s="4"/>
      <c r="Z32" s="4"/>
      <c r="AA32" s="4"/>
      <c r="AB32" s="4"/>
      <c r="AC32" s="4"/>
      <c r="AD32" s="4"/>
      <c r="AE32" s="4"/>
      <c r="AF32" s="4"/>
      <c r="AG32" s="4"/>
      <c r="AH32" s="4"/>
      <c r="AI32" s="4"/>
      <c r="AJ32" s="4"/>
      <c r="AK32" s="4"/>
      <c r="AL32" s="4" t="s">
        <v>174</v>
      </c>
      <c r="AM32" s="4" t="s">
        <v>205</v>
      </c>
    </row>
    <row r="33" customFormat="false" ht="23.85" hidden="false" customHeight="false" outlineLevel="0" collapsed="false">
      <c r="A33" s="4" t="s">
        <v>167</v>
      </c>
      <c r="B33" s="4" t="s">
        <v>208</v>
      </c>
      <c r="C33" s="4" t="s">
        <v>208</v>
      </c>
      <c r="D33" s="12" t="n">
        <v>2018</v>
      </c>
      <c r="E33" s="4"/>
      <c r="F33" s="4" t="s">
        <v>169</v>
      </c>
      <c r="G33" s="4" t="s">
        <v>170</v>
      </c>
      <c r="H33" s="4" t="s">
        <v>171</v>
      </c>
      <c r="I33" s="4" t="s">
        <v>172</v>
      </c>
      <c r="J33" s="4" t="s">
        <v>208</v>
      </c>
      <c r="K33" s="4" t="s">
        <v>76</v>
      </c>
      <c r="L33" s="4" t="s">
        <v>77</v>
      </c>
      <c r="M33" s="4"/>
      <c r="N33" s="4"/>
      <c r="O33" s="4"/>
      <c r="P33" s="4"/>
      <c r="Q33" s="4"/>
      <c r="R33" s="4"/>
      <c r="S33" s="13" t="n">
        <v>-201.24</v>
      </c>
      <c r="T33" s="4" t="s">
        <v>173</v>
      </c>
      <c r="U33" s="14" t="n">
        <f aca="false">IF(OR($S33="",PARAMETROS!$B$4=""),"",$S33*PARAMETROS!$B$4)</f>
        <v>-1169.2044</v>
      </c>
      <c r="V33" s="13" t="n">
        <v>0</v>
      </c>
      <c r="W33" s="4"/>
      <c r="X33" s="4"/>
      <c r="Y33" s="4"/>
      <c r="Z33" s="4"/>
      <c r="AA33" s="4"/>
      <c r="AB33" s="4"/>
      <c r="AC33" s="4"/>
      <c r="AD33" s="4"/>
      <c r="AE33" s="4"/>
      <c r="AF33" s="4"/>
      <c r="AG33" s="4"/>
      <c r="AH33" s="4"/>
      <c r="AI33" s="4"/>
      <c r="AJ33" s="4"/>
      <c r="AK33" s="4"/>
      <c r="AL33" s="4" t="s">
        <v>174</v>
      </c>
      <c r="AM33" s="4" t="s">
        <v>205</v>
      </c>
    </row>
    <row r="34" customFormat="false" ht="23.85" hidden="false" customHeight="false" outlineLevel="0" collapsed="false">
      <c r="A34" s="4" t="s">
        <v>167</v>
      </c>
      <c r="B34" s="4" t="s">
        <v>209</v>
      </c>
      <c r="C34" s="4" t="s">
        <v>209</v>
      </c>
      <c r="D34" s="12" t="n">
        <v>2018</v>
      </c>
      <c r="E34" s="4"/>
      <c r="F34" s="4" t="s">
        <v>169</v>
      </c>
      <c r="G34" s="4" t="s">
        <v>170</v>
      </c>
      <c r="H34" s="4" t="s">
        <v>171</v>
      </c>
      <c r="I34" s="4" t="s">
        <v>172</v>
      </c>
      <c r="J34" s="4" t="s">
        <v>209</v>
      </c>
      <c r="K34" s="4" t="s">
        <v>76</v>
      </c>
      <c r="L34" s="4" t="s">
        <v>77</v>
      </c>
      <c r="M34" s="4"/>
      <c r="N34" s="4"/>
      <c r="O34" s="4"/>
      <c r="P34" s="4"/>
      <c r="Q34" s="4"/>
      <c r="R34" s="4"/>
      <c r="S34" s="13" t="n">
        <v>0</v>
      </c>
      <c r="T34" s="4" t="s">
        <v>173</v>
      </c>
      <c r="U34" s="14" t="n">
        <f aca="false">IF(OR($S34="",PARAMETROS!$B$4=""),"",$S34*PARAMETROS!$B$4)</f>
        <v>0</v>
      </c>
      <c r="V34" s="13" t="n">
        <v>0</v>
      </c>
      <c r="W34" s="4"/>
      <c r="X34" s="4"/>
      <c r="Y34" s="4"/>
      <c r="Z34" s="4"/>
      <c r="AA34" s="4"/>
      <c r="AB34" s="4"/>
      <c r="AC34" s="4"/>
      <c r="AD34" s="4"/>
      <c r="AE34" s="4"/>
      <c r="AF34" s="4"/>
      <c r="AG34" s="4"/>
      <c r="AH34" s="4"/>
      <c r="AI34" s="4"/>
      <c r="AJ34" s="4"/>
      <c r="AK34" s="4"/>
      <c r="AL34" s="4" t="s">
        <v>174</v>
      </c>
      <c r="AM34" s="4" t="s">
        <v>205</v>
      </c>
    </row>
    <row r="35" customFormat="false" ht="23.85" hidden="false" customHeight="false" outlineLevel="0" collapsed="false">
      <c r="A35" s="4" t="s">
        <v>167</v>
      </c>
      <c r="B35" s="4" t="s">
        <v>210</v>
      </c>
      <c r="C35" s="4" t="s">
        <v>210</v>
      </c>
      <c r="D35" s="12" t="n">
        <v>2018</v>
      </c>
      <c r="E35" s="4"/>
      <c r="F35" s="4" t="s">
        <v>169</v>
      </c>
      <c r="G35" s="4" t="s">
        <v>170</v>
      </c>
      <c r="H35" s="4" t="s">
        <v>171</v>
      </c>
      <c r="I35" s="4" t="s">
        <v>172</v>
      </c>
      <c r="J35" s="4" t="s">
        <v>210</v>
      </c>
      <c r="K35" s="4" t="s">
        <v>76</v>
      </c>
      <c r="L35" s="4" t="s">
        <v>77</v>
      </c>
      <c r="M35" s="4"/>
      <c r="N35" s="4"/>
      <c r="O35" s="4"/>
      <c r="P35" s="4"/>
      <c r="Q35" s="4"/>
      <c r="R35" s="4"/>
      <c r="S35" s="13" t="n">
        <v>-8912.29</v>
      </c>
      <c r="T35" s="4" t="s">
        <v>173</v>
      </c>
      <c r="U35" s="14" t="n">
        <f aca="false">IF(OR($S35="",PARAMETROS!$B$4=""),"",$S35*PARAMETROS!$B$4)</f>
        <v>-51780.4049</v>
      </c>
      <c r="V35" s="13" t="n">
        <v>0</v>
      </c>
      <c r="W35" s="4"/>
      <c r="X35" s="4"/>
      <c r="Y35" s="4"/>
      <c r="Z35" s="4"/>
      <c r="AA35" s="4"/>
      <c r="AB35" s="4"/>
      <c r="AC35" s="4"/>
      <c r="AD35" s="4"/>
      <c r="AE35" s="4"/>
      <c r="AF35" s="4"/>
      <c r="AG35" s="4"/>
      <c r="AH35" s="4"/>
      <c r="AI35" s="4"/>
      <c r="AJ35" s="4"/>
      <c r="AK35" s="4"/>
      <c r="AL35" s="4" t="s">
        <v>174</v>
      </c>
      <c r="AM35" s="4" t="s">
        <v>205</v>
      </c>
    </row>
    <row r="36" customFormat="false" ht="23.85" hidden="false" customHeight="false" outlineLevel="0" collapsed="false">
      <c r="A36" s="4" t="s">
        <v>167</v>
      </c>
      <c r="B36" s="4" t="s">
        <v>211</v>
      </c>
      <c r="C36" s="4" t="s">
        <v>211</v>
      </c>
      <c r="D36" s="12" t="n">
        <v>2018</v>
      </c>
      <c r="E36" s="4"/>
      <c r="F36" s="4" t="s">
        <v>169</v>
      </c>
      <c r="G36" s="4" t="s">
        <v>170</v>
      </c>
      <c r="H36" s="4" t="s">
        <v>171</v>
      </c>
      <c r="I36" s="4" t="s">
        <v>172</v>
      </c>
      <c r="J36" s="4" t="s">
        <v>211</v>
      </c>
      <c r="K36" s="4" t="s">
        <v>76</v>
      </c>
      <c r="L36" s="4" t="s">
        <v>77</v>
      </c>
      <c r="M36" s="4"/>
      <c r="N36" s="4"/>
      <c r="O36" s="4"/>
      <c r="P36" s="4"/>
      <c r="Q36" s="4"/>
      <c r="R36" s="4"/>
      <c r="S36" s="13" t="n">
        <v>0</v>
      </c>
      <c r="T36" s="4" t="s">
        <v>173</v>
      </c>
      <c r="U36" s="14" t="n">
        <f aca="false">IF(OR($S36="",PARAMETROS!$B$4=""),"",$S36*PARAMETROS!$B$4)</f>
        <v>0</v>
      </c>
      <c r="V36" s="13" t="n">
        <v>0</v>
      </c>
      <c r="W36" s="4"/>
      <c r="X36" s="4"/>
      <c r="Y36" s="4"/>
      <c r="Z36" s="4"/>
      <c r="AA36" s="4"/>
      <c r="AB36" s="4"/>
      <c r="AC36" s="4"/>
      <c r="AD36" s="4"/>
      <c r="AE36" s="4"/>
      <c r="AF36" s="4"/>
      <c r="AG36" s="4"/>
      <c r="AH36" s="4"/>
      <c r="AI36" s="4"/>
      <c r="AJ36" s="4"/>
      <c r="AK36" s="4"/>
      <c r="AL36" s="4" t="s">
        <v>174</v>
      </c>
      <c r="AM36" s="4" t="s">
        <v>205</v>
      </c>
    </row>
    <row r="37" customFormat="false" ht="23.85" hidden="false" customHeight="false" outlineLevel="0" collapsed="false">
      <c r="A37" s="4" t="s">
        <v>167</v>
      </c>
      <c r="B37" s="4" t="s">
        <v>212</v>
      </c>
      <c r="C37" s="4" t="s">
        <v>212</v>
      </c>
      <c r="D37" s="12" t="n">
        <v>2018</v>
      </c>
      <c r="E37" s="4"/>
      <c r="F37" s="4" t="s">
        <v>169</v>
      </c>
      <c r="G37" s="4" t="s">
        <v>170</v>
      </c>
      <c r="H37" s="4" t="s">
        <v>171</v>
      </c>
      <c r="I37" s="4" t="s">
        <v>172</v>
      </c>
      <c r="J37" s="4" t="s">
        <v>212</v>
      </c>
      <c r="K37" s="4" t="s">
        <v>76</v>
      </c>
      <c r="L37" s="4" t="s">
        <v>77</v>
      </c>
      <c r="M37" s="4"/>
      <c r="N37" s="4"/>
      <c r="O37" s="4"/>
      <c r="P37" s="4"/>
      <c r="Q37" s="4"/>
      <c r="R37" s="4"/>
      <c r="S37" s="13" t="n">
        <v>0</v>
      </c>
      <c r="T37" s="4" t="s">
        <v>173</v>
      </c>
      <c r="U37" s="14" t="n">
        <f aca="false">IF(OR($S37="",PARAMETROS!$B$4=""),"",$S37*PARAMETROS!$B$4)</f>
        <v>0</v>
      </c>
      <c r="V37" s="13" t="n">
        <v>0</v>
      </c>
      <c r="W37" s="4"/>
      <c r="X37" s="4"/>
      <c r="Y37" s="4"/>
      <c r="Z37" s="4"/>
      <c r="AA37" s="4"/>
      <c r="AB37" s="4"/>
      <c r="AC37" s="4"/>
      <c r="AD37" s="4"/>
      <c r="AE37" s="4"/>
      <c r="AF37" s="4"/>
      <c r="AG37" s="4"/>
      <c r="AH37" s="4"/>
      <c r="AI37" s="4"/>
      <c r="AJ37" s="4"/>
      <c r="AK37" s="4"/>
      <c r="AL37" s="4" t="s">
        <v>174</v>
      </c>
      <c r="AM37" s="4" t="s">
        <v>205</v>
      </c>
    </row>
    <row r="38" customFormat="false" ht="23.85" hidden="false" customHeight="false" outlineLevel="0" collapsed="false">
      <c r="A38" s="4" t="s">
        <v>167</v>
      </c>
      <c r="B38" s="4" t="s">
        <v>213</v>
      </c>
      <c r="C38" s="4" t="s">
        <v>213</v>
      </c>
      <c r="D38" s="12" t="n">
        <v>2018</v>
      </c>
      <c r="E38" s="4"/>
      <c r="F38" s="4" t="s">
        <v>169</v>
      </c>
      <c r="G38" s="4" t="s">
        <v>170</v>
      </c>
      <c r="H38" s="4" t="s">
        <v>171</v>
      </c>
      <c r="I38" s="4" t="s">
        <v>172</v>
      </c>
      <c r="J38" s="4" t="s">
        <v>213</v>
      </c>
      <c r="K38" s="4" t="s">
        <v>76</v>
      </c>
      <c r="L38" s="4" t="s">
        <v>77</v>
      </c>
      <c r="M38" s="4"/>
      <c r="N38" s="4"/>
      <c r="O38" s="4"/>
      <c r="P38" s="4"/>
      <c r="Q38" s="4"/>
      <c r="R38" s="4"/>
      <c r="S38" s="13" t="n">
        <v>0</v>
      </c>
      <c r="T38" s="4" t="s">
        <v>173</v>
      </c>
      <c r="U38" s="14" t="n">
        <f aca="false">IF(OR($S38="",PARAMETROS!$B$4=""),"",$S38*PARAMETROS!$B$4)</f>
        <v>0</v>
      </c>
      <c r="V38" s="13" t="n">
        <v>0</v>
      </c>
      <c r="W38" s="4"/>
      <c r="X38" s="4"/>
      <c r="Y38" s="4"/>
      <c r="Z38" s="4"/>
      <c r="AA38" s="4"/>
      <c r="AB38" s="4"/>
      <c r="AC38" s="4"/>
      <c r="AD38" s="4"/>
      <c r="AE38" s="4"/>
      <c r="AF38" s="4"/>
      <c r="AG38" s="4"/>
      <c r="AH38" s="4"/>
      <c r="AI38" s="4"/>
      <c r="AJ38" s="4"/>
      <c r="AK38" s="4"/>
      <c r="AL38" s="4" t="s">
        <v>174</v>
      </c>
      <c r="AM38" s="4" t="s">
        <v>205</v>
      </c>
    </row>
    <row r="39" customFormat="false" ht="23.85" hidden="false" customHeight="false" outlineLevel="0" collapsed="false">
      <c r="A39" s="4" t="s">
        <v>167</v>
      </c>
      <c r="B39" s="4" t="s">
        <v>214</v>
      </c>
      <c r="C39" s="4" t="s">
        <v>214</v>
      </c>
      <c r="D39" s="12" t="n">
        <v>2018</v>
      </c>
      <c r="E39" s="4"/>
      <c r="F39" s="4" t="s">
        <v>169</v>
      </c>
      <c r="G39" s="4" t="s">
        <v>170</v>
      </c>
      <c r="H39" s="4" t="s">
        <v>171</v>
      </c>
      <c r="I39" s="4" t="s">
        <v>172</v>
      </c>
      <c r="J39" s="4" t="s">
        <v>214</v>
      </c>
      <c r="K39" s="4" t="s">
        <v>76</v>
      </c>
      <c r="L39" s="4" t="s">
        <v>77</v>
      </c>
      <c r="M39" s="4"/>
      <c r="N39" s="4"/>
      <c r="O39" s="4"/>
      <c r="P39" s="4"/>
      <c r="Q39" s="4"/>
      <c r="R39" s="4"/>
      <c r="S39" s="13" t="n">
        <v>0</v>
      </c>
      <c r="T39" s="4" t="s">
        <v>173</v>
      </c>
      <c r="U39" s="14" t="n">
        <f aca="false">IF(OR($S39="",PARAMETROS!$B$4=""),"",$S39*PARAMETROS!$B$4)</f>
        <v>0</v>
      </c>
      <c r="V39" s="13" t="n">
        <v>0</v>
      </c>
      <c r="W39" s="4"/>
      <c r="X39" s="4"/>
      <c r="Y39" s="4"/>
      <c r="Z39" s="4"/>
      <c r="AA39" s="4"/>
      <c r="AB39" s="4"/>
      <c r="AC39" s="4"/>
      <c r="AD39" s="4"/>
      <c r="AE39" s="4"/>
      <c r="AF39" s="4"/>
      <c r="AG39" s="4"/>
      <c r="AH39" s="4"/>
      <c r="AI39" s="4"/>
      <c r="AJ39" s="4"/>
      <c r="AK39" s="4"/>
      <c r="AL39" s="4" t="s">
        <v>174</v>
      </c>
      <c r="AM39" s="4" t="s">
        <v>205</v>
      </c>
    </row>
    <row r="40" customFormat="false" ht="23.85" hidden="false" customHeight="false" outlineLevel="0" collapsed="false">
      <c r="A40" s="4" t="s">
        <v>167</v>
      </c>
      <c r="B40" s="4" t="s">
        <v>215</v>
      </c>
      <c r="C40" s="4" t="s">
        <v>215</v>
      </c>
      <c r="D40" s="12" t="n">
        <v>2018</v>
      </c>
      <c r="E40" s="4"/>
      <c r="F40" s="4" t="s">
        <v>169</v>
      </c>
      <c r="G40" s="4" t="s">
        <v>170</v>
      </c>
      <c r="H40" s="4" t="s">
        <v>171</v>
      </c>
      <c r="I40" s="4" t="s">
        <v>172</v>
      </c>
      <c r="J40" s="4" t="s">
        <v>215</v>
      </c>
      <c r="K40" s="4" t="s">
        <v>76</v>
      </c>
      <c r="L40" s="4" t="s">
        <v>77</v>
      </c>
      <c r="M40" s="4"/>
      <c r="N40" s="4"/>
      <c r="O40" s="4"/>
      <c r="P40" s="4"/>
      <c r="Q40" s="4"/>
      <c r="R40" s="4"/>
      <c r="S40" s="13" t="n">
        <v>0</v>
      </c>
      <c r="T40" s="4" t="s">
        <v>173</v>
      </c>
      <c r="U40" s="14" t="n">
        <f aca="false">IF(OR($S40="",PARAMETROS!$B$4=""),"",$S40*PARAMETROS!$B$4)</f>
        <v>0</v>
      </c>
      <c r="V40" s="13" t="n">
        <v>0</v>
      </c>
      <c r="W40" s="4"/>
      <c r="X40" s="4"/>
      <c r="Y40" s="4"/>
      <c r="Z40" s="4"/>
      <c r="AA40" s="4"/>
      <c r="AB40" s="4"/>
      <c r="AC40" s="4"/>
      <c r="AD40" s="4"/>
      <c r="AE40" s="4"/>
      <c r="AF40" s="4"/>
      <c r="AG40" s="4"/>
      <c r="AH40" s="4"/>
      <c r="AI40" s="4"/>
      <c r="AJ40" s="4"/>
      <c r="AK40" s="4"/>
      <c r="AL40" s="4" t="s">
        <v>174</v>
      </c>
      <c r="AM40" s="4" t="s">
        <v>205</v>
      </c>
    </row>
    <row r="41" customFormat="false" ht="23.85" hidden="false" customHeight="false" outlineLevel="0" collapsed="false">
      <c r="A41" s="4" t="s">
        <v>167</v>
      </c>
      <c r="B41" s="4" t="s">
        <v>216</v>
      </c>
      <c r="C41" s="4" t="s">
        <v>216</v>
      </c>
      <c r="D41" s="12" t="n">
        <v>2018</v>
      </c>
      <c r="E41" s="4"/>
      <c r="F41" s="4" t="s">
        <v>169</v>
      </c>
      <c r="G41" s="4" t="s">
        <v>170</v>
      </c>
      <c r="H41" s="4" t="s">
        <v>171</v>
      </c>
      <c r="I41" s="4" t="s">
        <v>172</v>
      </c>
      <c r="J41" s="4" t="s">
        <v>216</v>
      </c>
      <c r="K41" s="4" t="s">
        <v>76</v>
      </c>
      <c r="L41" s="4" t="s">
        <v>77</v>
      </c>
      <c r="M41" s="4"/>
      <c r="N41" s="4"/>
      <c r="O41" s="4"/>
      <c r="P41" s="4"/>
      <c r="Q41" s="4"/>
      <c r="R41" s="4"/>
      <c r="S41" s="13" t="n">
        <v>0</v>
      </c>
      <c r="T41" s="4" t="s">
        <v>173</v>
      </c>
      <c r="U41" s="14" t="n">
        <f aca="false">IF(OR($S41="",PARAMETROS!$B$4=""),"",$S41*PARAMETROS!$B$4)</f>
        <v>0</v>
      </c>
      <c r="V41" s="13" t="n">
        <v>0</v>
      </c>
      <c r="W41" s="4"/>
      <c r="X41" s="4"/>
      <c r="Y41" s="4"/>
      <c r="Z41" s="4"/>
      <c r="AA41" s="4"/>
      <c r="AB41" s="4"/>
      <c r="AC41" s="4"/>
      <c r="AD41" s="4"/>
      <c r="AE41" s="4"/>
      <c r="AF41" s="4"/>
      <c r="AG41" s="4"/>
      <c r="AH41" s="4"/>
      <c r="AI41" s="4"/>
      <c r="AJ41" s="4"/>
      <c r="AK41" s="4"/>
      <c r="AL41" s="4" t="s">
        <v>174</v>
      </c>
      <c r="AM41" s="4" t="s">
        <v>205</v>
      </c>
    </row>
    <row r="42" customFormat="false" ht="23.85" hidden="false" customHeight="false" outlineLevel="0" collapsed="false">
      <c r="A42" s="4" t="s">
        <v>167</v>
      </c>
      <c r="B42" s="4" t="s">
        <v>217</v>
      </c>
      <c r="C42" s="4" t="s">
        <v>217</v>
      </c>
      <c r="D42" s="12" t="n">
        <v>2018</v>
      </c>
      <c r="E42" s="4"/>
      <c r="F42" s="4" t="s">
        <v>169</v>
      </c>
      <c r="G42" s="4" t="s">
        <v>170</v>
      </c>
      <c r="H42" s="4" t="s">
        <v>171</v>
      </c>
      <c r="I42" s="4" t="s">
        <v>172</v>
      </c>
      <c r="J42" s="4" t="s">
        <v>217</v>
      </c>
      <c r="K42" s="4" t="s">
        <v>76</v>
      </c>
      <c r="L42" s="4" t="s">
        <v>77</v>
      </c>
      <c r="M42" s="4"/>
      <c r="N42" s="4"/>
      <c r="O42" s="4"/>
      <c r="P42" s="4"/>
      <c r="Q42" s="4"/>
      <c r="R42" s="4"/>
      <c r="S42" s="13" t="n">
        <v>0</v>
      </c>
      <c r="T42" s="4" t="s">
        <v>173</v>
      </c>
      <c r="U42" s="14" t="n">
        <f aca="false">IF(OR($S42="",PARAMETROS!$B$4=""),"",$S42*PARAMETROS!$B$4)</f>
        <v>0</v>
      </c>
      <c r="V42" s="13" t="n">
        <v>0</v>
      </c>
      <c r="W42" s="4"/>
      <c r="X42" s="4"/>
      <c r="Y42" s="4"/>
      <c r="Z42" s="4"/>
      <c r="AA42" s="4"/>
      <c r="AB42" s="4"/>
      <c r="AC42" s="4"/>
      <c r="AD42" s="4"/>
      <c r="AE42" s="4"/>
      <c r="AF42" s="4"/>
      <c r="AG42" s="4"/>
      <c r="AH42" s="4"/>
      <c r="AI42" s="4"/>
      <c r="AJ42" s="4"/>
      <c r="AK42" s="4"/>
      <c r="AL42" s="4" t="s">
        <v>174</v>
      </c>
      <c r="AM42" s="4" t="s">
        <v>205</v>
      </c>
    </row>
    <row r="43" customFormat="false" ht="23.85" hidden="false" customHeight="false" outlineLevel="0" collapsed="false">
      <c r="A43" s="4" t="s">
        <v>167</v>
      </c>
      <c r="B43" s="4" t="s">
        <v>218</v>
      </c>
      <c r="C43" s="4" t="s">
        <v>218</v>
      </c>
      <c r="D43" s="12" t="n">
        <v>2018</v>
      </c>
      <c r="E43" s="4"/>
      <c r="F43" s="4" t="s">
        <v>169</v>
      </c>
      <c r="G43" s="4" t="s">
        <v>170</v>
      </c>
      <c r="H43" s="4" t="s">
        <v>171</v>
      </c>
      <c r="I43" s="4" t="s">
        <v>172</v>
      </c>
      <c r="J43" s="4" t="s">
        <v>218</v>
      </c>
      <c r="K43" s="4" t="s">
        <v>76</v>
      </c>
      <c r="L43" s="4" t="s">
        <v>77</v>
      </c>
      <c r="M43" s="4"/>
      <c r="N43" s="4"/>
      <c r="O43" s="4"/>
      <c r="P43" s="4"/>
      <c r="Q43" s="4"/>
      <c r="R43" s="4"/>
      <c r="S43" s="13" t="n">
        <v>0</v>
      </c>
      <c r="T43" s="4" t="s">
        <v>173</v>
      </c>
      <c r="U43" s="14" t="n">
        <f aca="false">IF(OR($S43="",PARAMETROS!$B$4=""),"",$S43*PARAMETROS!$B$4)</f>
        <v>0</v>
      </c>
      <c r="V43" s="13" t="n">
        <v>0</v>
      </c>
      <c r="W43" s="4"/>
      <c r="X43" s="4"/>
      <c r="Y43" s="4"/>
      <c r="Z43" s="4"/>
      <c r="AA43" s="4"/>
      <c r="AB43" s="4"/>
      <c r="AC43" s="4"/>
      <c r="AD43" s="4"/>
      <c r="AE43" s="4"/>
      <c r="AF43" s="4"/>
      <c r="AG43" s="4"/>
      <c r="AH43" s="4"/>
      <c r="AI43" s="4"/>
      <c r="AJ43" s="4"/>
      <c r="AK43" s="4"/>
      <c r="AL43" s="4" t="s">
        <v>174</v>
      </c>
      <c r="AM43" s="4" t="s">
        <v>205</v>
      </c>
    </row>
    <row r="44" customFormat="false" ht="23.85" hidden="false" customHeight="false" outlineLevel="0" collapsed="false">
      <c r="A44" s="4" t="s">
        <v>167</v>
      </c>
      <c r="B44" s="4" t="s">
        <v>219</v>
      </c>
      <c r="C44" s="4" t="s">
        <v>219</v>
      </c>
      <c r="D44" s="12" t="n">
        <v>2018</v>
      </c>
      <c r="E44" s="4"/>
      <c r="F44" s="4" t="s">
        <v>169</v>
      </c>
      <c r="G44" s="4" t="s">
        <v>170</v>
      </c>
      <c r="H44" s="4" t="s">
        <v>171</v>
      </c>
      <c r="I44" s="4" t="s">
        <v>172</v>
      </c>
      <c r="J44" s="4" t="s">
        <v>219</v>
      </c>
      <c r="K44" s="4" t="s">
        <v>78</v>
      </c>
      <c r="L44" s="4" t="s">
        <v>79</v>
      </c>
      <c r="M44" s="4"/>
      <c r="N44" s="4"/>
      <c r="O44" s="4"/>
      <c r="P44" s="4"/>
      <c r="Q44" s="4"/>
      <c r="R44" s="4"/>
      <c r="S44" s="13" t="n">
        <v>200.81</v>
      </c>
      <c r="T44" s="4" t="s">
        <v>173</v>
      </c>
      <c r="U44" s="14" t="n">
        <f aca="false">IF(OR($S44="",PARAMETROS!$B$4=""),"",$S44*PARAMETROS!$B$4)</f>
        <v>1166.7061</v>
      </c>
      <c r="V44" s="13" t="n">
        <v>0</v>
      </c>
      <c r="W44" s="4"/>
      <c r="X44" s="4"/>
      <c r="Y44" s="4"/>
      <c r="Z44" s="4"/>
      <c r="AA44" s="4"/>
      <c r="AB44" s="4"/>
      <c r="AC44" s="4"/>
      <c r="AD44" s="4"/>
      <c r="AE44" s="4"/>
      <c r="AF44" s="4"/>
      <c r="AG44" s="4"/>
      <c r="AH44" s="4"/>
      <c r="AI44" s="4"/>
      <c r="AJ44" s="4"/>
      <c r="AK44" s="4"/>
      <c r="AL44" s="4" t="s">
        <v>174</v>
      </c>
      <c r="AM44" s="4" t="s">
        <v>175</v>
      </c>
    </row>
    <row r="45" customFormat="false" ht="23.85" hidden="false" customHeight="false" outlineLevel="0" collapsed="false">
      <c r="A45" s="4" t="s">
        <v>167</v>
      </c>
      <c r="B45" s="4" t="s">
        <v>220</v>
      </c>
      <c r="C45" s="4" t="s">
        <v>220</v>
      </c>
      <c r="D45" s="12" t="n">
        <v>2018</v>
      </c>
      <c r="E45" s="4"/>
      <c r="F45" s="4" t="s">
        <v>169</v>
      </c>
      <c r="G45" s="4" t="s">
        <v>170</v>
      </c>
      <c r="H45" s="4" t="s">
        <v>171</v>
      </c>
      <c r="I45" s="4" t="s">
        <v>172</v>
      </c>
      <c r="J45" s="4" t="s">
        <v>220</v>
      </c>
      <c r="K45" s="4" t="s">
        <v>78</v>
      </c>
      <c r="L45" s="4" t="s">
        <v>79</v>
      </c>
      <c r="M45" s="4"/>
      <c r="N45" s="4"/>
      <c r="O45" s="4"/>
      <c r="P45" s="4"/>
      <c r="Q45" s="4"/>
      <c r="R45" s="4"/>
      <c r="S45" s="13" t="n">
        <v>0</v>
      </c>
      <c r="T45" s="4" t="s">
        <v>173</v>
      </c>
      <c r="U45" s="14" t="n">
        <f aca="false">IF(OR($S45="",PARAMETROS!$B$4=""),"",$S45*PARAMETROS!$B$4)</f>
        <v>0</v>
      </c>
      <c r="V45" s="13" t="n">
        <v>0</v>
      </c>
      <c r="W45" s="4"/>
      <c r="X45" s="4"/>
      <c r="Y45" s="4"/>
      <c r="Z45" s="4"/>
      <c r="AA45" s="4"/>
      <c r="AB45" s="4"/>
      <c r="AC45" s="4"/>
      <c r="AD45" s="4"/>
      <c r="AE45" s="4"/>
      <c r="AF45" s="4"/>
      <c r="AG45" s="4"/>
      <c r="AH45" s="4"/>
      <c r="AI45" s="4"/>
      <c r="AJ45" s="4"/>
      <c r="AK45" s="4"/>
      <c r="AL45" s="4" t="s">
        <v>174</v>
      </c>
      <c r="AM45" s="4" t="s">
        <v>175</v>
      </c>
    </row>
    <row r="46" customFormat="false" ht="23.85" hidden="false" customHeight="false" outlineLevel="0" collapsed="false">
      <c r="A46" s="4" t="s">
        <v>167</v>
      </c>
      <c r="B46" s="4" t="s">
        <v>221</v>
      </c>
      <c r="C46" s="4" t="s">
        <v>221</v>
      </c>
      <c r="D46" s="12" t="n">
        <v>2018</v>
      </c>
      <c r="E46" s="4"/>
      <c r="F46" s="4" t="s">
        <v>169</v>
      </c>
      <c r="G46" s="4" t="s">
        <v>170</v>
      </c>
      <c r="H46" s="4" t="s">
        <v>171</v>
      </c>
      <c r="I46" s="4" t="s">
        <v>172</v>
      </c>
      <c r="J46" s="4" t="s">
        <v>221</v>
      </c>
      <c r="K46" s="4" t="s">
        <v>78</v>
      </c>
      <c r="L46" s="4" t="s">
        <v>79</v>
      </c>
      <c r="M46" s="4"/>
      <c r="N46" s="4"/>
      <c r="O46" s="4"/>
      <c r="P46" s="4"/>
      <c r="Q46" s="4"/>
      <c r="R46" s="4"/>
      <c r="S46" s="13" t="n">
        <v>0</v>
      </c>
      <c r="T46" s="4" t="s">
        <v>173</v>
      </c>
      <c r="U46" s="14" t="n">
        <f aca="false">IF(OR($S46="",PARAMETROS!$B$4=""),"",$S46*PARAMETROS!$B$4)</f>
        <v>0</v>
      </c>
      <c r="V46" s="13" t="n">
        <v>0</v>
      </c>
      <c r="W46" s="4"/>
      <c r="X46" s="4"/>
      <c r="Y46" s="4"/>
      <c r="Z46" s="4"/>
      <c r="AA46" s="4"/>
      <c r="AB46" s="4"/>
      <c r="AC46" s="4"/>
      <c r="AD46" s="4"/>
      <c r="AE46" s="4"/>
      <c r="AF46" s="4"/>
      <c r="AG46" s="4"/>
      <c r="AH46" s="4"/>
      <c r="AI46" s="4"/>
      <c r="AJ46" s="4"/>
      <c r="AK46" s="4"/>
      <c r="AL46" s="4" t="s">
        <v>174</v>
      </c>
      <c r="AM46" s="4" t="s">
        <v>175</v>
      </c>
    </row>
    <row r="47" customFormat="false" ht="23.85" hidden="false" customHeight="false" outlineLevel="0" collapsed="false">
      <c r="A47" s="4" t="s">
        <v>167</v>
      </c>
      <c r="B47" s="4" t="s">
        <v>222</v>
      </c>
      <c r="C47" s="4" t="s">
        <v>222</v>
      </c>
      <c r="D47" s="12" t="n">
        <v>2018</v>
      </c>
      <c r="E47" s="4"/>
      <c r="F47" s="4" t="s">
        <v>169</v>
      </c>
      <c r="G47" s="4" t="s">
        <v>170</v>
      </c>
      <c r="H47" s="4" t="s">
        <v>171</v>
      </c>
      <c r="I47" s="4" t="s">
        <v>172</v>
      </c>
      <c r="J47" s="4" t="s">
        <v>222</v>
      </c>
      <c r="K47" s="4" t="s">
        <v>78</v>
      </c>
      <c r="L47" s="4" t="s">
        <v>79</v>
      </c>
      <c r="M47" s="4"/>
      <c r="N47" s="4"/>
      <c r="O47" s="4"/>
      <c r="P47" s="4"/>
      <c r="Q47" s="4"/>
      <c r="R47" s="4"/>
      <c r="S47" s="13" t="n">
        <v>0</v>
      </c>
      <c r="T47" s="4" t="s">
        <v>173</v>
      </c>
      <c r="U47" s="14" t="n">
        <f aca="false">IF(OR($S47="",PARAMETROS!$B$4=""),"",$S47*PARAMETROS!$B$4)</f>
        <v>0</v>
      </c>
      <c r="V47" s="13" t="n">
        <v>0</v>
      </c>
      <c r="W47" s="4"/>
      <c r="X47" s="4"/>
      <c r="Y47" s="4"/>
      <c r="Z47" s="4"/>
      <c r="AA47" s="4"/>
      <c r="AB47" s="4"/>
      <c r="AC47" s="4"/>
      <c r="AD47" s="4"/>
      <c r="AE47" s="4"/>
      <c r="AF47" s="4"/>
      <c r="AG47" s="4"/>
      <c r="AH47" s="4"/>
      <c r="AI47" s="4"/>
      <c r="AJ47" s="4"/>
      <c r="AK47" s="4"/>
      <c r="AL47" s="4" t="s">
        <v>174</v>
      </c>
      <c r="AM47" s="4" t="s">
        <v>175</v>
      </c>
    </row>
    <row r="48" customFormat="false" ht="23.85" hidden="false" customHeight="false" outlineLevel="0" collapsed="false">
      <c r="A48" s="4" t="s">
        <v>167</v>
      </c>
      <c r="B48" s="4" t="s">
        <v>223</v>
      </c>
      <c r="C48" s="4" t="s">
        <v>223</v>
      </c>
      <c r="D48" s="12" t="n">
        <v>2018</v>
      </c>
      <c r="E48" s="4"/>
      <c r="F48" s="4" t="s">
        <v>169</v>
      </c>
      <c r="G48" s="4" t="s">
        <v>170</v>
      </c>
      <c r="H48" s="4" t="s">
        <v>171</v>
      </c>
      <c r="I48" s="4" t="s">
        <v>172</v>
      </c>
      <c r="J48" s="4" t="s">
        <v>223</v>
      </c>
      <c r="K48" s="4" t="s">
        <v>78</v>
      </c>
      <c r="L48" s="4" t="s">
        <v>79</v>
      </c>
      <c r="M48" s="4"/>
      <c r="N48" s="4"/>
      <c r="O48" s="4"/>
      <c r="P48" s="4"/>
      <c r="Q48" s="4"/>
      <c r="R48" s="4"/>
      <c r="S48" s="13" t="n">
        <v>0</v>
      </c>
      <c r="T48" s="4" t="s">
        <v>173</v>
      </c>
      <c r="U48" s="14" t="n">
        <f aca="false">IF(OR($S48="",PARAMETROS!$B$4=""),"",$S48*PARAMETROS!$B$4)</f>
        <v>0</v>
      </c>
      <c r="V48" s="13" t="n">
        <v>0</v>
      </c>
      <c r="W48" s="4"/>
      <c r="X48" s="4"/>
      <c r="Y48" s="4"/>
      <c r="Z48" s="4"/>
      <c r="AA48" s="4"/>
      <c r="AB48" s="4"/>
      <c r="AC48" s="4"/>
      <c r="AD48" s="4"/>
      <c r="AE48" s="4"/>
      <c r="AF48" s="4"/>
      <c r="AG48" s="4"/>
      <c r="AH48" s="4"/>
      <c r="AI48" s="4"/>
      <c r="AJ48" s="4"/>
      <c r="AK48" s="4"/>
      <c r="AL48" s="4" t="s">
        <v>174</v>
      </c>
      <c r="AM48" s="4" t="s">
        <v>175</v>
      </c>
    </row>
    <row r="49" customFormat="false" ht="23.85" hidden="false" customHeight="false" outlineLevel="0" collapsed="false">
      <c r="A49" s="4" t="s">
        <v>167</v>
      </c>
      <c r="B49" s="4" t="s">
        <v>224</v>
      </c>
      <c r="C49" s="4" t="s">
        <v>224</v>
      </c>
      <c r="D49" s="12" t="n">
        <v>2018</v>
      </c>
      <c r="E49" s="4"/>
      <c r="F49" s="4" t="s">
        <v>169</v>
      </c>
      <c r="G49" s="4" t="s">
        <v>170</v>
      </c>
      <c r="H49" s="4" t="s">
        <v>171</v>
      </c>
      <c r="I49" s="4" t="s">
        <v>172</v>
      </c>
      <c r="J49" s="4" t="s">
        <v>224</v>
      </c>
      <c r="K49" s="4" t="s">
        <v>78</v>
      </c>
      <c r="L49" s="4" t="s">
        <v>79</v>
      </c>
      <c r="M49" s="4"/>
      <c r="N49" s="4"/>
      <c r="O49" s="4"/>
      <c r="P49" s="4"/>
      <c r="Q49" s="4"/>
      <c r="R49" s="4"/>
      <c r="S49" s="13" t="n">
        <v>-200.81</v>
      </c>
      <c r="T49" s="4" t="s">
        <v>173</v>
      </c>
      <c r="U49" s="14" t="n">
        <f aca="false">IF(OR($S49="",PARAMETROS!$B$4=""),"",$S49*PARAMETROS!$B$4)</f>
        <v>-1166.7061</v>
      </c>
      <c r="V49" s="13" t="n">
        <v>0</v>
      </c>
      <c r="W49" s="4"/>
      <c r="X49" s="4"/>
      <c r="Y49" s="4"/>
      <c r="Z49" s="4"/>
      <c r="AA49" s="4"/>
      <c r="AB49" s="4"/>
      <c r="AC49" s="4"/>
      <c r="AD49" s="4"/>
      <c r="AE49" s="4"/>
      <c r="AF49" s="4"/>
      <c r="AG49" s="4"/>
      <c r="AH49" s="4"/>
      <c r="AI49" s="4"/>
      <c r="AJ49" s="4"/>
      <c r="AK49" s="4"/>
      <c r="AL49" s="4" t="s">
        <v>174</v>
      </c>
      <c r="AM49" s="4" t="s">
        <v>175</v>
      </c>
    </row>
    <row r="50" customFormat="false" ht="23.85" hidden="false" customHeight="false" outlineLevel="0" collapsed="false">
      <c r="A50" s="4" t="s">
        <v>167</v>
      </c>
      <c r="B50" s="4" t="s">
        <v>225</v>
      </c>
      <c r="C50" s="4" t="s">
        <v>225</v>
      </c>
      <c r="D50" s="12" t="n">
        <v>2018</v>
      </c>
      <c r="E50" s="4"/>
      <c r="F50" s="4" t="s">
        <v>169</v>
      </c>
      <c r="G50" s="4" t="s">
        <v>170</v>
      </c>
      <c r="H50" s="4" t="s">
        <v>171</v>
      </c>
      <c r="I50" s="4" t="s">
        <v>172</v>
      </c>
      <c r="J50" s="4" t="s">
        <v>225</v>
      </c>
      <c r="K50" s="4" t="s">
        <v>78</v>
      </c>
      <c r="L50" s="4" t="s">
        <v>79</v>
      </c>
      <c r="M50" s="4"/>
      <c r="N50" s="4"/>
      <c r="O50" s="4"/>
      <c r="P50" s="4"/>
      <c r="Q50" s="4"/>
      <c r="R50" s="4"/>
      <c r="S50" s="13" t="n">
        <v>0</v>
      </c>
      <c r="T50" s="4" t="s">
        <v>173</v>
      </c>
      <c r="U50" s="14" t="n">
        <f aca="false">IF(OR($S50="",PARAMETROS!$B$4=""),"",$S50*PARAMETROS!$B$4)</f>
        <v>0</v>
      </c>
      <c r="V50" s="13" t="n">
        <v>0</v>
      </c>
      <c r="W50" s="4"/>
      <c r="X50" s="4"/>
      <c r="Y50" s="4"/>
      <c r="Z50" s="4"/>
      <c r="AA50" s="4"/>
      <c r="AB50" s="4"/>
      <c r="AC50" s="4"/>
      <c r="AD50" s="4"/>
      <c r="AE50" s="4"/>
      <c r="AF50" s="4"/>
      <c r="AG50" s="4"/>
      <c r="AH50" s="4"/>
      <c r="AI50" s="4"/>
      <c r="AJ50" s="4"/>
      <c r="AK50" s="4"/>
      <c r="AL50" s="4" t="s">
        <v>174</v>
      </c>
      <c r="AM50" s="4" t="s">
        <v>175</v>
      </c>
    </row>
    <row r="51" customFormat="false" ht="23.85" hidden="false" customHeight="false" outlineLevel="0" collapsed="false">
      <c r="A51" s="4" t="s">
        <v>167</v>
      </c>
      <c r="B51" s="4" t="s">
        <v>226</v>
      </c>
      <c r="C51" s="4" t="s">
        <v>226</v>
      </c>
      <c r="D51" s="12" t="n">
        <v>2018</v>
      </c>
      <c r="E51" s="4"/>
      <c r="F51" s="4" t="s">
        <v>169</v>
      </c>
      <c r="G51" s="4" t="s">
        <v>170</v>
      </c>
      <c r="H51" s="4" t="s">
        <v>171</v>
      </c>
      <c r="I51" s="4" t="s">
        <v>172</v>
      </c>
      <c r="J51" s="4" t="s">
        <v>226</v>
      </c>
      <c r="K51" s="4" t="s">
        <v>78</v>
      </c>
      <c r="L51" s="4" t="s">
        <v>79</v>
      </c>
      <c r="M51" s="4"/>
      <c r="N51" s="4"/>
      <c r="O51" s="4"/>
      <c r="P51" s="4"/>
      <c r="Q51" s="4"/>
      <c r="R51" s="4"/>
      <c r="S51" s="13" t="n">
        <v>0</v>
      </c>
      <c r="T51" s="4" t="s">
        <v>173</v>
      </c>
      <c r="U51" s="14" t="n">
        <f aca="false">IF(OR($S51="",PARAMETROS!$B$4=""),"",$S51*PARAMETROS!$B$4)</f>
        <v>0</v>
      </c>
      <c r="V51" s="13" t="n">
        <v>0</v>
      </c>
      <c r="W51" s="4"/>
      <c r="X51" s="4"/>
      <c r="Y51" s="4"/>
      <c r="Z51" s="4"/>
      <c r="AA51" s="4"/>
      <c r="AB51" s="4"/>
      <c r="AC51" s="4"/>
      <c r="AD51" s="4"/>
      <c r="AE51" s="4"/>
      <c r="AF51" s="4"/>
      <c r="AG51" s="4"/>
      <c r="AH51" s="4"/>
      <c r="AI51" s="4"/>
      <c r="AJ51" s="4"/>
      <c r="AK51" s="4"/>
      <c r="AL51" s="4" t="s">
        <v>174</v>
      </c>
      <c r="AM51" s="4" t="s">
        <v>175</v>
      </c>
    </row>
    <row r="52" customFormat="false" ht="23.85" hidden="false" customHeight="false" outlineLevel="0" collapsed="false">
      <c r="A52" s="4" t="s">
        <v>167</v>
      </c>
      <c r="B52" s="4" t="s">
        <v>227</v>
      </c>
      <c r="C52" s="4" t="s">
        <v>227</v>
      </c>
      <c r="D52" s="12" t="n">
        <v>2018</v>
      </c>
      <c r="E52" s="4"/>
      <c r="F52" s="4" t="s">
        <v>169</v>
      </c>
      <c r="G52" s="4" t="s">
        <v>170</v>
      </c>
      <c r="H52" s="4" t="s">
        <v>171</v>
      </c>
      <c r="I52" s="4" t="s">
        <v>172</v>
      </c>
      <c r="J52" s="4" t="s">
        <v>227</v>
      </c>
      <c r="K52" s="4" t="s">
        <v>78</v>
      </c>
      <c r="L52" s="4" t="s">
        <v>79</v>
      </c>
      <c r="M52" s="4"/>
      <c r="N52" s="4"/>
      <c r="O52" s="4"/>
      <c r="P52" s="4"/>
      <c r="Q52" s="4"/>
      <c r="R52" s="4"/>
      <c r="S52" s="13" t="n">
        <v>0</v>
      </c>
      <c r="T52" s="4" t="s">
        <v>173</v>
      </c>
      <c r="U52" s="14" t="n">
        <f aca="false">IF(OR($S52="",PARAMETROS!$B$4=""),"",$S52*PARAMETROS!$B$4)</f>
        <v>0</v>
      </c>
      <c r="V52" s="13" t="n">
        <v>0</v>
      </c>
      <c r="W52" s="4"/>
      <c r="X52" s="4"/>
      <c r="Y52" s="4"/>
      <c r="Z52" s="4"/>
      <c r="AA52" s="4"/>
      <c r="AB52" s="4"/>
      <c r="AC52" s="4"/>
      <c r="AD52" s="4"/>
      <c r="AE52" s="4"/>
      <c r="AF52" s="4"/>
      <c r="AG52" s="4"/>
      <c r="AH52" s="4"/>
      <c r="AI52" s="4"/>
      <c r="AJ52" s="4"/>
      <c r="AK52" s="4"/>
      <c r="AL52" s="4" t="s">
        <v>174</v>
      </c>
      <c r="AM52" s="4" t="s">
        <v>175</v>
      </c>
    </row>
    <row r="53" customFormat="false" ht="23.85" hidden="false" customHeight="false" outlineLevel="0" collapsed="false">
      <c r="A53" s="4" t="s">
        <v>167</v>
      </c>
      <c r="B53" s="4" t="s">
        <v>228</v>
      </c>
      <c r="C53" s="4" t="s">
        <v>228</v>
      </c>
      <c r="D53" s="12" t="n">
        <v>2018</v>
      </c>
      <c r="E53" s="4"/>
      <c r="F53" s="4" t="s">
        <v>169</v>
      </c>
      <c r="G53" s="4" t="s">
        <v>170</v>
      </c>
      <c r="H53" s="4" t="s">
        <v>171</v>
      </c>
      <c r="I53" s="4" t="s">
        <v>172</v>
      </c>
      <c r="J53" s="4" t="s">
        <v>228</v>
      </c>
      <c r="K53" s="4" t="s">
        <v>78</v>
      </c>
      <c r="L53" s="4" t="s">
        <v>79</v>
      </c>
      <c r="M53" s="4"/>
      <c r="N53" s="4"/>
      <c r="O53" s="4"/>
      <c r="P53" s="4"/>
      <c r="Q53" s="4"/>
      <c r="R53" s="4"/>
      <c r="S53" s="13" t="n">
        <v>0</v>
      </c>
      <c r="T53" s="4" t="s">
        <v>173</v>
      </c>
      <c r="U53" s="14" t="n">
        <f aca="false">IF(OR($S53="",PARAMETROS!$B$4=""),"",$S53*PARAMETROS!$B$4)</f>
        <v>0</v>
      </c>
      <c r="V53" s="13" t="n">
        <v>0</v>
      </c>
      <c r="W53" s="4"/>
      <c r="X53" s="4"/>
      <c r="Y53" s="4"/>
      <c r="Z53" s="4"/>
      <c r="AA53" s="4"/>
      <c r="AB53" s="4"/>
      <c r="AC53" s="4"/>
      <c r="AD53" s="4"/>
      <c r="AE53" s="4"/>
      <c r="AF53" s="4"/>
      <c r="AG53" s="4"/>
      <c r="AH53" s="4"/>
      <c r="AI53" s="4"/>
      <c r="AJ53" s="4"/>
      <c r="AK53" s="4"/>
      <c r="AL53" s="4" t="s">
        <v>174</v>
      </c>
      <c r="AM53" s="4" t="s">
        <v>175</v>
      </c>
    </row>
    <row r="54" customFormat="false" ht="23.85" hidden="false" customHeight="false" outlineLevel="0" collapsed="false">
      <c r="A54" s="4" t="s">
        <v>167</v>
      </c>
      <c r="B54" s="4" t="s">
        <v>229</v>
      </c>
      <c r="C54" s="4" t="s">
        <v>229</v>
      </c>
      <c r="D54" s="12" t="n">
        <v>2018</v>
      </c>
      <c r="E54" s="4"/>
      <c r="F54" s="4" t="s">
        <v>169</v>
      </c>
      <c r="G54" s="4" t="s">
        <v>170</v>
      </c>
      <c r="H54" s="4" t="s">
        <v>171</v>
      </c>
      <c r="I54" s="4" t="s">
        <v>172</v>
      </c>
      <c r="J54" s="4" t="s">
        <v>229</v>
      </c>
      <c r="K54" s="4" t="s">
        <v>78</v>
      </c>
      <c r="L54" s="4" t="s">
        <v>79</v>
      </c>
      <c r="M54" s="4"/>
      <c r="N54" s="4"/>
      <c r="O54" s="4"/>
      <c r="P54" s="4"/>
      <c r="Q54" s="4"/>
      <c r="R54" s="4"/>
      <c r="S54" s="13" t="n">
        <v>0</v>
      </c>
      <c r="T54" s="4" t="s">
        <v>173</v>
      </c>
      <c r="U54" s="14" t="n">
        <f aca="false">IF(OR($S54="",PARAMETROS!$B$4=""),"",$S54*PARAMETROS!$B$4)</f>
        <v>0</v>
      </c>
      <c r="V54" s="13" t="n">
        <v>0</v>
      </c>
      <c r="W54" s="4"/>
      <c r="X54" s="4"/>
      <c r="Y54" s="4"/>
      <c r="Z54" s="4"/>
      <c r="AA54" s="4"/>
      <c r="AB54" s="4"/>
      <c r="AC54" s="4"/>
      <c r="AD54" s="4"/>
      <c r="AE54" s="4"/>
      <c r="AF54" s="4"/>
      <c r="AG54" s="4"/>
      <c r="AH54" s="4"/>
      <c r="AI54" s="4"/>
      <c r="AJ54" s="4"/>
      <c r="AK54" s="4"/>
      <c r="AL54" s="4" t="s">
        <v>174</v>
      </c>
      <c r="AM54" s="4" t="s">
        <v>175</v>
      </c>
    </row>
    <row r="55" customFormat="false" ht="23.85" hidden="false" customHeight="false" outlineLevel="0" collapsed="false">
      <c r="A55" s="4" t="s">
        <v>167</v>
      </c>
      <c r="B55" s="4" t="s">
        <v>230</v>
      </c>
      <c r="C55" s="4" t="s">
        <v>230</v>
      </c>
      <c r="D55" s="12" t="n">
        <v>2018</v>
      </c>
      <c r="E55" s="4"/>
      <c r="F55" s="4" t="s">
        <v>169</v>
      </c>
      <c r="G55" s="4" t="s">
        <v>170</v>
      </c>
      <c r="H55" s="4" t="s">
        <v>171</v>
      </c>
      <c r="I55" s="4" t="s">
        <v>172</v>
      </c>
      <c r="J55" s="4" t="s">
        <v>230</v>
      </c>
      <c r="K55" s="4" t="s">
        <v>78</v>
      </c>
      <c r="L55" s="4" t="s">
        <v>79</v>
      </c>
      <c r="M55" s="4"/>
      <c r="N55" s="4"/>
      <c r="O55" s="4"/>
      <c r="P55" s="4"/>
      <c r="Q55" s="4"/>
      <c r="R55" s="4"/>
      <c r="S55" s="13" t="n">
        <v>0</v>
      </c>
      <c r="T55" s="4" t="s">
        <v>173</v>
      </c>
      <c r="U55" s="14" t="n">
        <f aca="false">IF(OR($S55="",PARAMETROS!$B$4=""),"",$S55*PARAMETROS!$B$4)</f>
        <v>0</v>
      </c>
      <c r="V55" s="13" t="n">
        <v>0</v>
      </c>
      <c r="W55" s="4"/>
      <c r="X55" s="4"/>
      <c r="Y55" s="4"/>
      <c r="Z55" s="4"/>
      <c r="AA55" s="4"/>
      <c r="AB55" s="4"/>
      <c r="AC55" s="4"/>
      <c r="AD55" s="4"/>
      <c r="AE55" s="4"/>
      <c r="AF55" s="4"/>
      <c r="AG55" s="4"/>
      <c r="AH55" s="4"/>
      <c r="AI55" s="4"/>
      <c r="AJ55" s="4"/>
      <c r="AK55" s="4"/>
      <c r="AL55" s="4" t="s">
        <v>174</v>
      </c>
      <c r="AM55" s="4" t="s">
        <v>175</v>
      </c>
    </row>
    <row r="56" customFormat="false" ht="23.85" hidden="false" customHeight="false" outlineLevel="0" collapsed="false">
      <c r="A56" s="4" t="s">
        <v>167</v>
      </c>
      <c r="B56" s="4" t="s">
        <v>231</v>
      </c>
      <c r="C56" s="4" t="s">
        <v>231</v>
      </c>
      <c r="D56" s="12" t="n">
        <v>2018</v>
      </c>
      <c r="E56" s="4"/>
      <c r="F56" s="4" t="s">
        <v>169</v>
      </c>
      <c r="G56" s="4" t="s">
        <v>170</v>
      </c>
      <c r="H56" s="4" t="s">
        <v>171</v>
      </c>
      <c r="I56" s="4" t="s">
        <v>172</v>
      </c>
      <c r="J56" s="4" t="s">
        <v>231</v>
      </c>
      <c r="K56" s="4" t="s">
        <v>78</v>
      </c>
      <c r="L56" s="4" t="s">
        <v>79</v>
      </c>
      <c r="M56" s="4"/>
      <c r="N56" s="4"/>
      <c r="O56" s="4"/>
      <c r="P56" s="4"/>
      <c r="Q56" s="4"/>
      <c r="R56" s="4"/>
      <c r="S56" s="13" t="n">
        <v>0</v>
      </c>
      <c r="T56" s="4" t="s">
        <v>173</v>
      </c>
      <c r="U56" s="14" t="n">
        <f aca="false">IF(OR($S56="",PARAMETROS!$B$4=""),"",$S56*PARAMETROS!$B$4)</f>
        <v>0</v>
      </c>
      <c r="V56" s="13" t="n">
        <v>0</v>
      </c>
      <c r="W56" s="4"/>
      <c r="X56" s="4"/>
      <c r="Y56" s="4"/>
      <c r="Z56" s="4"/>
      <c r="AA56" s="4"/>
      <c r="AB56" s="4"/>
      <c r="AC56" s="4"/>
      <c r="AD56" s="4"/>
      <c r="AE56" s="4"/>
      <c r="AF56" s="4"/>
      <c r="AG56" s="4"/>
      <c r="AH56" s="4"/>
      <c r="AI56" s="4"/>
      <c r="AJ56" s="4"/>
      <c r="AK56" s="4"/>
      <c r="AL56" s="4" t="s">
        <v>174</v>
      </c>
      <c r="AM56" s="4" t="s">
        <v>175</v>
      </c>
    </row>
    <row r="57" customFormat="false" ht="23.85" hidden="false" customHeight="false" outlineLevel="0" collapsed="false">
      <c r="A57" s="4" t="s">
        <v>167</v>
      </c>
      <c r="B57" s="4" t="s">
        <v>232</v>
      </c>
      <c r="C57" s="4" t="s">
        <v>232</v>
      </c>
      <c r="D57" s="12" t="n">
        <v>2018</v>
      </c>
      <c r="E57" s="4"/>
      <c r="F57" s="4" t="s">
        <v>169</v>
      </c>
      <c r="G57" s="4" t="s">
        <v>170</v>
      </c>
      <c r="H57" s="4" t="s">
        <v>171</v>
      </c>
      <c r="I57" s="4" t="s">
        <v>172</v>
      </c>
      <c r="J57" s="4" t="s">
        <v>232</v>
      </c>
      <c r="K57" s="4" t="s">
        <v>78</v>
      </c>
      <c r="L57" s="4" t="s">
        <v>79</v>
      </c>
      <c r="M57" s="4"/>
      <c r="N57" s="4"/>
      <c r="O57" s="4"/>
      <c r="P57" s="4"/>
      <c r="Q57" s="4"/>
      <c r="R57" s="4"/>
      <c r="S57" s="13" t="n">
        <v>0</v>
      </c>
      <c r="T57" s="4" t="s">
        <v>173</v>
      </c>
      <c r="U57" s="14" t="n">
        <f aca="false">IF(OR($S57="",PARAMETROS!$B$4=""),"",$S57*PARAMETROS!$B$4)</f>
        <v>0</v>
      </c>
      <c r="V57" s="13" t="n">
        <v>0</v>
      </c>
      <c r="W57" s="4"/>
      <c r="X57" s="4"/>
      <c r="Y57" s="4"/>
      <c r="Z57" s="4"/>
      <c r="AA57" s="4"/>
      <c r="AB57" s="4"/>
      <c r="AC57" s="4"/>
      <c r="AD57" s="4"/>
      <c r="AE57" s="4"/>
      <c r="AF57" s="4"/>
      <c r="AG57" s="4"/>
      <c r="AH57" s="4"/>
      <c r="AI57" s="4"/>
      <c r="AJ57" s="4"/>
      <c r="AK57" s="4"/>
      <c r="AL57" s="4" t="s">
        <v>174</v>
      </c>
      <c r="AM57" s="4" t="s">
        <v>175</v>
      </c>
    </row>
    <row r="58" customFormat="false" ht="23.85" hidden="false" customHeight="false" outlineLevel="0" collapsed="false">
      <c r="A58" s="4" t="s">
        <v>167</v>
      </c>
      <c r="B58" s="4" t="s">
        <v>233</v>
      </c>
      <c r="C58" s="4" t="s">
        <v>233</v>
      </c>
      <c r="D58" s="12" t="n">
        <v>2018</v>
      </c>
      <c r="E58" s="4"/>
      <c r="F58" s="4" t="s">
        <v>169</v>
      </c>
      <c r="G58" s="4" t="s">
        <v>170</v>
      </c>
      <c r="H58" s="4" t="s">
        <v>171</v>
      </c>
      <c r="I58" s="4" t="s">
        <v>172</v>
      </c>
      <c r="J58" s="4" t="s">
        <v>233</v>
      </c>
      <c r="K58" s="4" t="s">
        <v>80</v>
      </c>
      <c r="L58" s="4" t="s">
        <v>81</v>
      </c>
      <c r="M58" s="4"/>
      <c r="N58" s="4"/>
      <c r="O58" s="4"/>
      <c r="P58" s="4"/>
      <c r="Q58" s="4"/>
      <c r="R58" s="4"/>
      <c r="S58" s="13" t="n">
        <v>1843.35</v>
      </c>
      <c r="T58" s="4" t="s">
        <v>173</v>
      </c>
      <c r="U58" s="14" t="n">
        <f aca="false">IF(OR($S58="",PARAMETROS!$B$4=""),"",$S58*PARAMETROS!$B$4)</f>
        <v>10709.8635</v>
      </c>
      <c r="V58" s="13" t="n">
        <v>0</v>
      </c>
      <c r="W58" s="4"/>
      <c r="X58" s="4"/>
      <c r="Y58" s="4"/>
      <c r="Z58" s="4"/>
      <c r="AA58" s="4"/>
      <c r="AB58" s="4"/>
      <c r="AC58" s="4"/>
      <c r="AD58" s="4"/>
      <c r="AE58" s="4"/>
      <c r="AF58" s="4"/>
      <c r="AG58" s="4"/>
      <c r="AH58" s="4"/>
      <c r="AI58" s="4"/>
      <c r="AJ58" s="4"/>
      <c r="AK58" s="4"/>
      <c r="AL58" s="4" t="s">
        <v>174</v>
      </c>
      <c r="AM58" s="4" t="s">
        <v>190</v>
      </c>
    </row>
    <row r="59" customFormat="false" ht="23.85" hidden="false" customHeight="false" outlineLevel="0" collapsed="false">
      <c r="A59" s="4" t="s">
        <v>167</v>
      </c>
      <c r="B59" s="4" t="s">
        <v>234</v>
      </c>
      <c r="C59" s="4" t="s">
        <v>234</v>
      </c>
      <c r="D59" s="12" t="n">
        <v>2018</v>
      </c>
      <c r="E59" s="4"/>
      <c r="F59" s="4" t="s">
        <v>169</v>
      </c>
      <c r="G59" s="4" t="s">
        <v>170</v>
      </c>
      <c r="H59" s="4" t="s">
        <v>171</v>
      </c>
      <c r="I59" s="4" t="s">
        <v>172</v>
      </c>
      <c r="J59" s="4" t="s">
        <v>234</v>
      </c>
      <c r="K59" s="4" t="s">
        <v>80</v>
      </c>
      <c r="L59" s="4" t="s">
        <v>81</v>
      </c>
      <c r="M59" s="4"/>
      <c r="N59" s="4"/>
      <c r="O59" s="4"/>
      <c r="P59" s="4"/>
      <c r="Q59" s="4"/>
      <c r="R59" s="4"/>
      <c r="S59" s="13" t="n">
        <v>0</v>
      </c>
      <c r="T59" s="4" t="s">
        <v>173</v>
      </c>
      <c r="U59" s="14" t="n">
        <f aca="false">IF(OR($S59="",PARAMETROS!$B$4=""),"",$S59*PARAMETROS!$B$4)</f>
        <v>0</v>
      </c>
      <c r="V59" s="13" t="n">
        <v>0</v>
      </c>
      <c r="W59" s="4"/>
      <c r="X59" s="4"/>
      <c r="Y59" s="4"/>
      <c r="Z59" s="4"/>
      <c r="AA59" s="4"/>
      <c r="AB59" s="4"/>
      <c r="AC59" s="4"/>
      <c r="AD59" s="4"/>
      <c r="AE59" s="4"/>
      <c r="AF59" s="4"/>
      <c r="AG59" s="4"/>
      <c r="AH59" s="4"/>
      <c r="AI59" s="4"/>
      <c r="AJ59" s="4"/>
      <c r="AK59" s="4"/>
      <c r="AL59" s="4" t="s">
        <v>174</v>
      </c>
      <c r="AM59" s="4" t="s">
        <v>190</v>
      </c>
    </row>
    <row r="60" customFormat="false" ht="23.85" hidden="false" customHeight="false" outlineLevel="0" collapsed="false">
      <c r="A60" s="4" t="s">
        <v>167</v>
      </c>
      <c r="B60" s="4" t="s">
        <v>235</v>
      </c>
      <c r="C60" s="4" t="s">
        <v>235</v>
      </c>
      <c r="D60" s="12" t="n">
        <v>2018</v>
      </c>
      <c r="E60" s="4"/>
      <c r="F60" s="4" t="s">
        <v>169</v>
      </c>
      <c r="G60" s="4" t="s">
        <v>170</v>
      </c>
      <c r="H60" s="4" t="s">
        <v>171</v>
      </c>
      <c r="I60" s="4" t="s">
        <v>172</v>
      </c>
      <c r="J60" s="4" t="s">
        <v>235</v>
      </c>
      <c r="K60" s="4" t="s">
        <v>80</v>
      </c>
      <c r="L60" s="4" t="s">
        <v>81</v>
      </c>
      <c r="M60" s="4"/>
      <c r="N60" s="4"/>
      <c r="O60" s="4"/>
      <c r="P60" s="4"/>
      <c r="Q60" s="4"/>
      <c r="R60" s="4"/>
      <c r="S60" s="13" t="n">
        <v>0</v>
      </c>
      <c r="T60" s="4" t="s">
        <v>173</v>
      </c>
      <c r="U60" s="14" t="n">
        <f aca="false">IF(OR($S60="",PARAMETROS!$B$4=""),"",$S60*PARAMETROS!$B$4)</f>
        <v>0</v>
      </c>
      <c r="V60" s="13" t="n">
        <v>0</v>
      </c>
      <c r="W60" s="4"/>
      <c r="X60" s="4"/>
      <c r="Y60" s="4"/>
      <c r="Z60" s="4"/>
      <c r="AA60" s="4"/>
      <c r="AB60" s="4"/>
      <c r="AC60" s="4"/>
      <c r="AD60" s="4"/>
      <c r="AE60" s="4"/>
      <c r="AF60" s="4"/>
      <c r="AG60" s="4"/>
      <c r="AH60" s="4"/>
      <c r="AI60" s="4"/>
      <c r="AJ60" s="4"/>
      <c r="AK60" s="4"/>
      <c r="AL60" s="4" t="s">
        <v>174</v>
      </c>
      <c r="AM60" s="4" t="s">
        <v>190</v>
      </c>
    </row>
    <row r="61" customFormat="false" ht="23.85" hidden="false" customHeight="false" outlineLevel="0" collapsed="false">
      <c r="A61" s="4" t="s">
        <v>167</v>
      </c>
      <c r="B61" s="4" t="s">
        <v>236</v>
      </c>
      <c r="C61" s="4" t="s">
        <v>236</v>
      </c>
      <c r="D61" s="12" t="n">
        <v>2018</v>
      </c>
      <c r="E61" s="4"/>
      <c r="F61" s="4" t="s">
        <v>169</v>
      </c>
      <c r="G61" s="4" t="s">
        <v>170</v>
      </c>
      <c r="H61" s="4" t="s">
        <v>171</v>
      </c>
      <c r="I61" s="4" t="s">
        <v>172</v>
      </c>
      <c r="J61" s="4" t="s">
        <v>236</v>
      </c>
      <c r="K61" s="4" t="s">
        <v>80</v>
      </c>
      <c r="L61" s="4" t="s">
        <v>81</v>
      </c>
      <c r="M61" s="4"/>
      <c r="N61" s="4"/>
      <c r="O61" s="4"/>
      <c r="P61" s="4"/>
      <c r="Q61" s="4"/>
      <c r="R61" s="4"/>
      <c r="S61" s="13" t="n">
        <v>0</v>
      </c>
      <c r="T61" s="4" t="s">
        <v>173</v>
      </c>
      <c r="U61" s="14" t="n">
        <f aca="false">IF(OR($S61="",PARAMETROS!$B$4=""),"",$S61*PARAMETROS!$B$4)</f>
        <v>0</v>
      </c>
      <c r="V61" s="13" t="n">
        <v>0</v>
      </c>
      <c r="W61" s="4"/>
      <c r="X61" s="4"/>
      <c r="Y61" s="4"/>
      <c r="Z61" s="4"/>
      <c r="AA61" s="4"/>
      <c r="AB61" s="4"/>
      <c r="AC61" s="4"/>
      <c r="AD61" s="4"/>
      <c r="AE61" s="4"/>
      <c r="AF61" s="4"/>
      <c r="AG61" s="4"/>
      <c r="AH61" s="4"/>
      <c r="AI61" s="4"/>
      <c r="AJ61" s="4"/>
      <c r="AK61" s="4"/>
      <c r="AL61" s="4" t="s">
        <v>174</v>
      </c>
      <c r="AM61" s="4" t="s">
        <v>190</v>
      </c>
    </row>
    <row r="62" customFormat="false" ht="23.85" hidden="false" customHeight="false" outlineLevel="0" collapsed="false">
      <c r="A62" s="4" t="s">
        <v>167</v>
      </c>
      <c r="B62" s="4" t="s">
        <v>237</v>
      </c>
      <c r="C62" s="4" t="s">
        <v>237</v>
      </c>
      <c r="D62" s="12" t="n">
        <v>2018</v>
      </c>
      <c r="E62" s="4"/>
      <c r="F62" s="4" t="s">
        <v>169</v>
      </c>
      <c r="G62" s="4" t="s">
        <v>170</v>
      </c>
      <c r="H62" s="4" t="s">
        <v>171</v>
      </c>
      <c r="I62" s="4" t="s">
        <v>172</v>
      </c>
      <c r="J62" s="4" t="s">
        <v>237</v>
      </c>
      <c r="K62" s="4" t="s">
        <v>80</v>
      </c>
      <c r="L62" s="4" t="s">
        <v>81</v>
      </c>
      <c r="M62" s="4"/>
      <c r="N62" s="4"/>
      <c r="O62" s="4"/>
      <c r="P62" s="4"/>
      <c r="Q62" s="4"/>
      <c r="R62" s="4"/>
      <c r="S62" s="13" t="n">
        <v>0</v>
      </c>
      <c r="T62" s="4" t="s">
        <v>173</v>
      </c>
      <c r="U62" s="14" t="n">
        <f aca="false">IF(OR($S62="",PARAMETROS!$B$4=""),"",$S62*PARAMETROS!$B$4)</f>
        <v>0</v>
      </c>
      <c r="V62" s="13" t="n">
        <v>0</v>
      </c>
      <c r="W62" s="4"/>
      <c r="X62" s="4"/>
      <c r="Y62" s="4"/>
      <c r="Z62" s="4"/>
      <c r="AA62" s="4"/>
      <c r="AB62" s="4"/>
      <c r="AC62" s="4"/>
      <c r="AD62" s="4"/>
      <c r="AE62" s="4"/>
      <c r="AF62" s="4"/>
      <c r="AG62" s="4"/>
      <c r="AH62" s="4"/>
      <c r="AI62" s="4"/>
      <c r="AJ62" s="4"/>
      <c r="AK62" s="4"/>
      <c r="AL62" s="4" t="s">
        <v>174</v>
      </c>
      <c r="AM62" s="4" t="s">
        <v>190</v>
      </c>
    </row>
    <row r="63" customFormat="false" ht="23.85" hidden="false" customHeight="false" outlineLevel="0" collapsed="false">
      <c r="A63" s="4" t="s">
        <v>167</v>
      </c>
      <c r="B63" s="4" t="s">
        <v>238</v>
      </c>
      <c r="C63" s="4" t="s">
        <v>238</v>
      </c>
      <c r="D63" s="12" t="n">
        <v>2018</v>
      </c>
      <c r="E63" s="4"/>
      <c r="F63" s="4" t="s">
        <v>169</v>
      </c>
      <c r="G63" s="4" t="s">
        <v>170</v>
      </c>
      <c r="H63" s="4" t="s">
        <v>171</v>
      </c>
      <c r="I63" s="4" t="s">
        <v>172</v>
      </c>
      <c r="J63" s="4" t="s">
        <v>238</v>
      </c>
      <c r="K63" s="4" t="s">
        <v>80</v>
      </c>
      <c r="L63" s="4" t="s">
        <v>81</v>
      </c>
      <c r="M63" s="4"/>
      <c r="N63" s="4"/>
      <c r="O63" s="4"/>
      <c r="P63" s="4"/>
      <c r="Q63" s="4"/>
      <c r="R63" s="4"/>
      <c r="S63" s="13" t="n">
        <v>-1843.35</v>
      </c>
      <c r="T63" s="4" t="s">
        <v>173</v>
      </c>
      <c r="U63" s="14" t="n">
        <f aca="false">IF(OR($S63="",PARAMETROS!$B$4=""),"",$S63*PARAMETROS!$B$4)</f>
        <v>-10709.8635</v>
      </c>
      <c r="V63" s="13" t="n">
        <v>0</v>
      </c>
      <c r="W63" s="4"/>
      <c r="X63" s="4"/>
      <c r="Y63" s="4"/>
      <c r="Z63" s="4"/>
      <c r="AA63" s="4"/>
      <c r="AB63" s="4"/>
      <c r="AC63" s="4"/>
      <c r="AD63" s="4"/>
      <c r="AE63" s="4"/>
      <c r="AF63" s="4"/>
      <c r="AG63" s="4"/>
      <c r="AH63" s="4"/>
      <c r="AI63" s="4"/>
      <c r="AJ63" s="4"/>
      <c r="AK63" s="4"/>
      <c r="AL63" s="4" t="s">
        <v>174</v>
      </c>
      <c r="AM63" s="4" t="s">
        <v>190</v>
      </c>
    </row>
    <row r="64" customFormat="false" ht="23.85" hidden="false" customHeight="false" outlineLevel="0" collapsed="false">
      <c r="A64" s="4" t="s">
        <v>167</v>
      </c>
      <c r="B64" s="4" t="s">
        <v>239</v>
      </c>
      <c r="C64" s="4" t="s">
        <v>239</v>
      </c>
      <c r="D64" s="12" t="n">
        <v>2018</v>
      </c>
      <c r="E64" s="4"/>
      <c r="F64" s="4" t="s">
        <v>169</v>
      </c>
      <c r="G64" s="4" t="s">
        <v>170</v>
      </c>
      <c r="H64" s="4" t="s">
        <v>171</v>
      </c>
      <c r="I64" s="4" t="s">
        <v>172</v>
      </c>
      <c r="J64" s="4" t="s">
        <v>239</v>
      </c>
      <c r="K64" s="4" t="s">
        <v>80</v>
      </c>
      <c r="L64" s="4" t="s">
        <v>81</v>
      </c>
      <c r="M64" s="4"/>
      <c r="N64" s="4"/>
      <c r="O64" s="4"/>
      <c r="P64" s="4"/>
      <c r="Q64" s="4"/>
      <c r="R64" s="4"/>
      <c r="S64" s="13" t="n">
        <v>0</v>
      </c>
      <c r="T64" s="4" t="s">
        <v>173</v>
      </c>
      <c r="U64" s="14" t="n">
        <f aca="false">IF(OR($S64="",PARAMETROS!$B$4=""),"",$S64*PARAMETROS!$B$4)</f>
        <v>0</v>
      </c>
      <c r="V64" s="13" t="n">
        <v>0</v>
      </c>
      <c r="W64" s="4"/>
      <c r="X64" s="4"/>
      <c r="Y64" s="4"/>
      <c r="Z64" s="4"/>
      <c r="AA64" s="4"/>
      <c r="AB64" s="4"/>
      <c r="AC64" s="4"/>
      <c r="AD64" s="4"/>
      <c r="AE64" s="4"/>
      <c r="AF64" s="4"/>
      <c r="AG64" s="4"/>
      <c r="AH64" s="4"/>
      <c r="AI64" s="4"/>
      <c r="AJ64" s="4"/>
      <c r="AK64" s="4"/>
      <c r="AL64" s="4" t="s">
        <v>174</v>
      </c>
      <c r="AM64" s="4" t="s">
        <v>190</v>
      </c>
    </row>
    <row r="65" customFormat="false" ht="23.85" hidden="false" customHeight="false" outlineLevel="0" collapsed="false">
      <c r="A65" s="4" t="s">
        <v>167</v>
      </c>
      <c r="B65" s="4" t="s">
        <v>240</v>
      </c>
      <c r="C65" s="4" t="s">
        <v>240</v>
      </c>
      <c r="D65" s="12" t="n">
        <v>2018</v>
      </c>
      <c r="E65" s="4"/>
      <c r="F65" s="4" t="s">
        <v>169</v>
      </c>
      <c r="G65" s="4" t="s">
        <v>170</v>
      </c>
      <c r="H65" s="4" t="s">
        <v>171</v>
      </c>
      <c r="I65" s="4" t="s">
        <v>172</v>
      </c>
      <c r="J65" s="4" t="s">
        <v>240</v>
      </c>
      <c r="K65" s="4" t="s">
        <v>80</v>
      </c>
      <c r="L65" s="4" t="s">
        <v>81</v>
      </c>
      <c r="M65" s="4"/>
      <c r="N65" s="4"/>
      <c r="O65" s="4"/>
      <c r="P65" s="4"/>
      <c r="Q65" s="4"/>
      <c r="R65" s="4"/>
      <c r="S65" s="13" t="n">
        <v>0</v>
      </c>
      <c r="T65" s="4" t="s">
        <v>173</v>
      </c>
      <c r="U65" s="14" t="n">
        <f aca="false">IF(OR($S65="",PARAMETROS!$B$4=""),"",$S65*PARAMETROS!$B$4)</f>
        <v>0</v>
      </c>
      <c r="V65" s="13" t="n">
        <v>0</v>
      </c>
      <c r="W65" s="4"/>
      <c r="X65" s="4"/>
      <c r="Y65" s="4"/>
      <c r="Z65" s="4"/>
      <c r="AA65" s="4"/>
      <c r="AB65" s="4"/>
      <c r="AC65" s="4"/>
      <c r="AD65" s="4"/>
      <c r="AE65" s="4"/>
      <c r="AF65" s="4"/>
      <c r="AG65" s="4"/>
      <c r="AH65" s="4"/>
      <c r="AI65" s="4"/>
      <c r="AJ65" s="4"/>
      <c r="AK65" s="4"/>
      <c r="AL65" s="4" t="s">
        <v>174</v>
      </c>
      <c r="AM65" s="4" t="s">
        <v>190</v>
      </c>
    </row>
    <row r="66" customFormat="false" ht="23.85" hidden="false" customHeight="false" outlineLevel="0" collapsed="false">
      <c r="A66" s="4" t="s">
        <v>167</v>
      </c>
      <c r="B66" s="4" t="s">
        <v>241</v>
      </c>
      <c r="C66" s="4" t="s">
        <v>241</v>
      </c>
      <c r="D66" s="12" t="n">
        <v>2018</v>
      </c>
      <c r="E66" s="4"/>
      <c r="F66" s="4" t="s">
        <v>169</v>
      </c>
      <c r="G66" s="4" t="s">
        <v>170</v>
      </c>
      <c r="H66" s="4" t="s">
        <v>171</v>
      </c>
      <c r="I66" s="4" t="s">
        <v>172</v>
      </c>
      <c r="J66" s="4" t="s">
        <v>241</v>
      </c>
      <c r="K66" s="4" t="s">
        <v>80</v>
      </c>
      <c r="L66" s="4" t="s">
        <v>81</v>
      </c>
      <c r="M66" s="4"/>
      <c r="N66" s="4"/>
      <c r="O66" s="4"/>
      <c r="P66" s="4"/>
      <c r="Q66" s="4"/>
      <c r="R66" s="4"/>
      <c r="S66" s="13" t="n">
        <v>0</v>
      </c>
      <c r="T66" s="4" t="s">
        <v>173</v>
      </c>
      <c r="U66" s="14" t="n">
        <f aca="false">IF(OR($S66="",PARAMETROS!$B$4=""),"",$S66*PARAMETROS!$B$4)</f>
        <v>0</v>
      </c>
      <c r="V66" s="13" t="n">
        <v>0</v>
      </c>
      <c r="W66" s="4"/>
      <c r="X66" s="4"/>
      <c r="Y66" s="4"/>
      <c r="Z66" s="4"/>
      <c r="AA66" s="4"/>
      <c r="AB66" s="4"/>
      <c r="AC66" s="4"/>
      <c r="AD66" s="4"/>
      <c r="AE66" s="4"/>
      <c r="AF66" s="4"/>
      <c r="AG66" s="4"/>
      <c r="AH66" s="4"/>
      <c r="AI66" s="4"/>
      <c r="AJ66" s="4"/>
      <c r="AK66" s="4"/>
      <c r="AL66" s="4" t="s">
        <v>174</v>
      </c>
      <c r="AM66" s="4" t="s">
        <v>190</v>
      </c>
    </row>
    <row r="67" customFormat="false" ht="23.85" hidden="false" customHeight="false" outlineLevel="0" collapsed="false">
      <c r="A67" s="4" t="s">
        <v>167</v>
      </c>
      <c r="B67" s="4" t="s">
        <v>242</v>
      </c>
      <c r="C67" s="4" t="s">
        <v>242</v>
      </c>
      <c r="D67" s="12" t="n">
        <v>2018</v>
      </c>
      <c r="E67" s="4"/>
      <c r="F67" s="4" t="s">
        <v>169</v>
      </c>
      <c r="G67" s="4" t="s">
        <v>170</v>
      </c>
      <c r="H67" s="4" t="s">
        <v>171</v>
      </c>
      <c r="I67" s="4" t="s">
        <v>172</v>
      </c>
      <c r="J67" s="4" t="s">
        <v>242</v>
      </c>
      <c r="K67" s="4" t="s">
        <v>80</v>
      </c>
      <c r="L67" s="4" t="s">
        <v>81</v>
      </c>
      <c r="M67" s="4"/>
      <c r="N67" s="4"/>
      <c r="O67" s="4"/>
      <c r="P67" s="4"/>
      <c r="Q67" s="4"/>
      <c r="R67" s="4"/>
      <c r="S67" s="13" t="n">
        <v>0</v>
      </c>
      <c r="T67" s="4" t="s">
        <v>173</v>
      </c>
      <c r="U67" s="14" t="n">
        <f aca="false">IF(OR($S67="",PARAMETROS!$B$4=""),"",$S67*PARAMETROS!$B$4)</f>
        <v>0</v>
      </c>
      <c r="V67" s="13" t="n">
        <v>0</v>
      </c>
      <c r="W67" s="4"/>
      <c r="X67" s="4"/>
      <c r="Y67" s="4"/>
      <c r="Z67" s="4"/>
      <c r="AA67" s="4"/>
      <c r="AB67" s="4"/>
      <c r="AC67" s="4"/>
      <c r="AD67" s="4"/>
      <c r="AE67" s="4"/>
      <c r="AF67" s="4"/>
      <c r="AG67" s="4"/>
      <c r="AH67" s="4"/>
      <c r="AI67" s="4"/>
      <c r="AJ67" s="4"/>
      <c r="AK67" s="4"/>
      <c r="AL67" s="4" t="s">
        <v>174</v>
      </c>
      <c r="AM67" s="4" t="s">
        <v>190</v>
      </c>
    </row>
    <row r="68" customFormat="false" ht="23.85" hidden="false" customHeight="false" outlineLevel="0" collapsed="false">
      <c r="A68" s="4" t="s">
        <v>167</v>
      </c>
      <c r="B68" s="4" t="s">
        <v>243</v>
      </c>
      <c r="C68" s="4" t="s">
        <v>243</v>
      </c>
      <c r="D68" s="12" t="n">
        <v>2018</v>
      </c>
      <c r="E68" s="4"/>
      <c r="F68" s="4" t="s">
        <v>169</v>
      </c>
      <c r="G68" s="4" t="s">
        <v>170</v>
      </c>
      <c r="H68" s="4" t="s">
        <v>171</v>
      </c>
      <c r="I68" s="4" t="s">
        <v>172</v>
      </c>
      <c r="J68" s="4" t="s">
        <v>243</v>
      </c>
      <c r="K68" s="4" t="s">
        <v>80</v>
      </c>
      <c r="L68" s="4" t="s">
        <v>81</v>
      </c>
      <c r="M68" s="4"/>
      <c r="N68" s="4"/>
      <c r="O68" s="4"/>
      <c r="P68" s="4"/>
      <c r="Q68" s="4"/>
      <c r="R68" s="4"/>
      <c r="S68" s="13" t="n">
        <v>0</v>
      </c>
      <c r="T68" s="4" t="s">
        <v>173</v>
      </c>
      <c r="U68" s="14" t="n">
        <f aca="false">IF(OR($S68="",PARAMETROS!$B$4=""),"",$S68*PARAMETROS!$B$4)</f>
        <v>0</v>
      </c>
      <c r="V68" s="13" t="n">
        <v>0</v>
      </c>
      <c r="W68" s="4"/>
      <c r="X68" s="4"/>
      <c r="Y68" s="4"/>
      <c r="Z68" s="4"/>
      <c r="AA68" s="4"/>
      <c r="AB68" s="4"/>
      <c r="AC68" s="4"/>
      <c r="AD68" s="4"/>
      <c r="AE68" s="4"/>
      <c r="AF68" s="4"/>
      <c r="AG68" s="4"/>
      <c r="AH68" s="4"/>
      <c r="AI68" s="4"/>
      <c r="AJ68" s="4"/>
      <c r="AK68" s="4"/>
      <c r="AL68" s="4" t="s">
        <v>174</v>
      </c>
      <c r="AM68" s="4" t="s">
        <v>190</v>
      </c>
    </row>
    <row r="69" customFormat="false" ht="23.85" hidden="false" customHeight="false" outlineLevel="0" collapsed="false">
      <c r="A69" s="4" t="s">
        <v>167</v>
      </c>
      <c r="B69" s="4" t="s">
        <v>244</v>
      </c>
      <c r="C69" s="4" t="s">
        <v>244</v>
      </c>
      <c r="D69" s="12" t="n">
        <v>2018</v>
      </c>
      <c r="E69" s="4"/>
      <c r="F69" s="4" t="s">
        <v>169</v>
      </c>
      <c r="G69" s="4" t="s">
        <v>170</v>
      </c>
      <c r="H69" s="4" t="s">
        <v>171</v>
      </c>
      <c r="I69" s="4" t="s">
        <v>172</v>
      </c>
      <c r="J69" s="4" t="s">
        <v>244</v>
      </c>
      <c r="K69" s="4" t="s">
        <v>80</v>
      </c>
      <c r="L69" s="4" t="s">
        <v>81</v>
      </c>
      <c r="M69" s="4"/>
      <c r="N69" s="4"/>
      <c r="O69" s="4"/>
      <c r="P69" s="4"/>
      <c r="Q69" s="4"/>
      <c r="R69" s="4"/>
      <c r="S69" s="13" t="n">
        <v>0</v>
      </c>
      <c r="T69" s="4" t="s">
        <v>173</v>
      </c>
      <c r="U69" s="14" t="n">
        <f aca="false">IF(OR($S69="",PARAMETROS!$B$4=""),"",$S69*PARAMETROS!$B$4)</f>
        <v>0</v>
      </c>
      <c r="V69" s="13" t="n">
        <v>0</v>
      </c>
      <c r="W69" s="4"/>
      <c r="X69" s="4"/>
      <c r="Y69" s="4"/>
      <c r="Z69" s="4"/>
      <c r="AA69" s="4"/>
      <c r="AB69" s="4"/>
      <c r="AC69" s="4"/>
      <c r="AD69" s="4"/>
      <c r="AE69" s="4"/>
      <c r="AF69" s="4"/>
      <c r="AG69" s="4"/>
      <c r="AH69" s="4"/>
      <c r="AI69" s="4"/>
      <c r="AJ69" s="4"/>
      <c r="AK69" s="4"/>
      <c r="AL69" s="4" t="s">
        <v>174</v>
      </c>
      <c r="AM69" s="4" t="s">
        <v>190</v>
      </c>
    </row>
    <row r="70" customFormat="false" ht="23.85" hidden="false" customHeight="false" outlineLevel="0" collapsed="false">
      <c r="A70" s="4" t="s">
        <v>167</v>
      </c>
      <c r="B70" s="4" t="s">
        <v>245</v>
      </c>
      <c r="C70" s="4" t="s">
        <v>245</v>
      </c>
      <c r="D70" s="12" t="n">
        <v>2018</v>
      </c>
      <c r="E70" s="4"/>
      <c r="F70" s="4" t="s">
        <v>169</v>
      </c>
      <c r="G70" s="4" t="s">
        <v>170</v>
      </c>
      <c r="H70" s="4" t="s">
        <v>171</v>
      </c>
      <c r="I70" s="4" t="s">
        <v>172</v>
      </c>
      <c r="J70" s="4" t="s">
        <v>245</v>
      </c>
      <c r="K70" s="4" t="s">
        <v>80</v>
      </c>
      <c r="L70" s="4" t="s">
        <v>81</v>
      </c>
      <c r="M70" s="4"/>
      <c r="N70" s="4"/>
      <c r="O70" s="4"/>
      <c r="P70" s="4"/>
      <c r="Q70" s="4"/>
      <c r="R70" s="4"/>
      <c r="S70" s="13" t="n">
        <v>0</v>
      </c>
      <c r="T70" s="4" t="s">
        <v>173</v>
      </c>
      <c r="U70" s="14" t="n">
        <f aca="false">IF(OR($S70="",PARAMETROS!$B$4=""),"",$S70*PARAMETROS!$B$4)</f>
        <v>0</v>
      </c>
      <c r="V70" s="13" t="n">
        <v>0</v>
      </c>
      <c r="W70" s="4"/>
      <c r="X70" s="4"/>
      <c r="Y70" s="4"/>
      <c r="Z70" s="4"/>
      <c r="AA70" s="4"/>
      <c r="AB70" s="4"/>
      <c r="AC70" s="4"/>
      <c r="AD70" s="4"/>
      <c r="AE70" s="4"/>
      <c r="AF70" s="4"/>
      <c r="AG70" s="4"/>
      <c r="AH70" s="4"/>
      <c r="AI70" s="4"/>
      <c r="AJ70" s="4"/>
      <c r="AK70" s="4"/>
      <c r="AL70" s="4" t="s">
        <v>174</v>
      </c>
      <c r="AM70" s="4" t="s">
        <v>190</v>
      </c>
    </row>
    <row r="71" customFormat="false" ht="23.85" hidden="false" customHeight="false" outlineLevel="0" collapsed="false">
      <c r="A71" s="4" t="s">
        <v>167</v>
      </c>
      <c r="B71" s="4" t="s">
        <v>246</v>
      </c>
      <c r="C71" s="4" t="s">
        <v>246</v>
      </c>
      <c r="D71" s="12" t="n">
        <v>2018</v>
      </c>
      <c r="E71" s="4"/>
      <c r="F71" s="4" t="s">
        <v>169</v>
      </c>
      <c r="G71" s="4" t="s">
        <v>170</v>
      </c>
      <c r="H71" s="4" t="s">
        <v>171</v>
      </c>
      <c r="I71" s="4" t="s">
        <v>172</v>
      </c>
      <c r="J71" s="4" t="s">
        <v>246</v>
      </c>
      <c r="K71" s="4" t="s">
        <v>80</v>
      </c>
      <c r="L71" s="4" t="s">
        <v>81</v>
      </c>
      <c r="M71" s="4"/>
      <c r="N71" s="4"/>
      <c r="O71" s="4"/>
      <c r="P71" s="4"/>
      <c r="Q71" s="4"/>
      <c r="R71" s="4"/>
      <c r="S71" s="13" t="n">
        <v>0</v>
      </c>
      <c r="T71" s="4" t="s">
        <v>173</v>
      </c>
      <c r="U71" s="14" t="n">
        <f aca="false">IF(OR($S71="",PARAMETROS!$B$4=""),"",$S71*PARAMETROS!$B$4)</f>
        <v>0</v>
      </c>
      <c r="V71" s="13" t="n">
        <v>0</v>
      </c>
      <c r="W71" s="4"/>
      <c r="X71" s="4"/>
      <c r="Y71" s="4"/>
      <c r="Z71" s="4"/>
      <c r="AA71" s="4"/>
      <c r="AB71" s="4"/>
      <c r="AC71" s="4"/>
      <c r="AD71" s="4"/>
      <c r="AE71" s="4"/>
      <c r="AF71" s="4"/>
      <c r="AG71" s="4"/>
      <c r="AH71" s="4"/>
      <c r="AI71" s="4"/>
      <c r="AJ71" s="4"/>
      <c r="AK71" s="4"/>
      <c r="AL71" s="4" t="s">
        <v>174</v>
      </c>
      <c r="AM71" s="4" t="s">
        <v>190</v>
      </c>
    </row>
    <row r="72" customFormat="false" ht="23.85" hidden="false" customHeight="false" outlineLevel="0" collapsed="false">
      <c r="A72" s="4" t="s">
        <v>167</v>
      </c>
      <c r="B72" s="4" t="s">
        <v>247</v>
      </c>
      <c r="C72" s="4" t="s">
        <v>247</v>
      </c>
      <c r="D72" s="12" t="n">
        <v>2018</v>
      </c>
      <c r="E72" s="4"/>
      <c r="F72" s="4" t="s">
        <v>169</v>
      </c>
      <c r="G72" s="4" t="s">
        <v>170</v>
      </c>
      <c r="H72" s="4" t="s">
        <v>171</v>
      </c>
      <c r="I72" s="4" t="s">
        <v>172</v>
      </c>
      <c r="J72" s="4" t="s">
        <v>247</v>
      </c>
      <c r="K72" s="4" t="s">
        <v>84</v>
      </c>
      <c r="L72" s="4" t="s">
        <v>85</v>
      </c>
      <c r="M72" s="4"/>
      <c r="N72" s="4"/>
      <c r="O72" s="4"/>
      <c r="P72" s="4"/>
      <c r="Q72" s="4"/>
      <c r="R72" s="4"/>
      <c r="S72" s="13" t="n">
        <v>4113.65</v>
      </c>
      <c r="T72" s="4" t="s">
        <v>173</v>
      </c>
      <c r="U72" s="14" t="n">
        <f aca="false">IF(OR($S72="",PARAMETROS!$B$4=""),"",$S72*PARAMETROS!$B$4)</f>
        <v>23900.3065</v>
      </c>
      <c r="V72" s="13" t="n">
        <v>0</v>
      </c>
      <c r="W72" s="4"/>
      <c r="X72" s="4"/>
      <c r="Y72" s="4"/>
      <c r="Z72" s="4"/>
      <c r="AA72" s="4"/>
      <c r="AB72" s="4"/>
      <c r="AC72" s="4"/>
      <c r="AD72" s="4"/>
      <c r="AE72" s="4"/>
      <c r="AF72" s="4"/>
      <c r="AG72" s="4"/>
      <c r="AH72" s="4"/>
      <c r="AI72" s="4"/>
      <c r="AJ72" s="4"/>
      <c r="AK72" s="4"/>
      <c r="AL72" s="4" t="s">
        <v>174</v>
      </c>
      <c r="AM72" s="4" t="s">
        <v>190</v>
      </c>
    </row>
    <row r="73" customFormat="false" ht="23.85" hidden="false" customHeight="false" outlineLevel="0" collapsed="false">
      <c r="A73" s="4" t="s">
        <v>167</v>
      </c>
      <c r="B73" s="4" t="s">
        <v>248</v>
      </c>
      <c r="C73" s="4" t="s">
        <v>248</v>
      </c>
      <c r="D73" s="12" t="n">
        <v>2018</v>
      </c>
      <c r="E73" s="4"/>
      <c r="F73" s="4" t="s">
        <v>169</v>
      </c>
      <c r="G73" s="4" t="s">
        <v>170</v>
      </c>
      <c r="H73" s="4" t="s">
        <v>171</v>
      </c>
      <c r="I73" s="4" t="s">
        <v>172</v>
      </c>
      <c r="J73" s="4" t="s">
        <v>248</v>
      </c>
      <c r="K73" s="4" t="s">
        <v>84</v>
      </c>
      <c r="L73" s="4" t="s">
        <v>85</v>
      </c>
      <c r="M73" s="4"/>
      <c r="N73" s="4"/>
      <c r="O73" s="4"/>
      <c r="P73" s="4"/>
      <c r="Q73" s="4"/>
      <c r="R73" s="4"/>
      <c r="S73" s="13" t="n">
        <v>0</v>
      </c>
      <c r="T73" s="4" t="s">
        <v>173</v>
      </c>
      <c r="U73" s="14" t="n">
        <f aca="false">IF(OR($S73="",PARAMETROS!$B$4=""),"",$S73*PARAMETROS!$B$4)</f>
        <v>0</v>
      </c>
      <c r="V73" s="13" t="n">
        <v>0</v>
      </c>
      <c r="W73" s="4"/>
      <c r="X73" s="4"/>
      <c r="Y73" s="4"/>
      <c r="Z73" s="4"/>
      <c r="AA73" s="4"/>
      <c r="AB73" s="4"/>
      <c r="AC73" s="4"/>
      <c r="AD73" s="4"/>
      <c r="AE73" s="4"/>
      <c r="AF73" s="4"/>
      <c r="AG73" s="4"/>
      <c r="AH73" s="4"/>
      <c r="AI73" s="4"/>
      <c r="AJ73" s="4"/>
      <c r="AK73" s="4"/>
      <c r="AL73" s="4" t="s">
        <v>174</v>
      </c>
      <c r="AM73" s="4" t="s">
        <v>190</v>
      </c>
    </row>
    <row r="74" customFormat="false" ht="23.85" hidden="false" customHeight="false" outlineLevel="0" collapsed="false">
      <c r="A74" s="4" t="s">
        <v>167</v>
      </c>
      <c r="B74" s="4" t="s">
        <v>249</v>
      </c>
      <c r="C74" s="4" t="s">
        <v>249</v>
      </c>
      <c r="D74" s="12" t="n">
        <v>2018</v>
      </c>
      <c r="E74" s="4"/>
      <c r="F74" s="4" t="s">
        <v>169</v>
      </c>
      <c r="G74" s="4" t="s">
        <v>170</v>
      </c>
      <c r="H74" s="4" t="s">
        <v>171</v>
      </c>
      <c r="I74" s="4" t="s">
        <v>172</v>
      </c>
      <c r="J74" s="4" t="s">
        <v>249</v>
      </c>
      <c r="K74" s="4" t="s">
        <v>84</v>
      </c>
      <c r="L74" s="4" t="s">
        <v>85</v>
      </c>
      <c r="M74" s="4"/>
      <c r="N74" s="4"/>
      <c r="O74" s="4"/>
      <c r="P74" s="4"/>
      <c r="Q74" s="4"/>
      <c r="R74" s="4"/>
      <c r="S74" s="13" t="n">
        <v>0</v>
      </c>
      <c r="T74" s="4" t="s">
        <v>173</v>
      </c>
      <c r="U74" s="14" t="n">
        <f aca="false">IF(OR($S74="",PARAMETROS!$B$4=""),"",$S74*PARAMETROS!$B$4)</f>
        <v>0</v>
      </c>
      <c r="V74" s="13" t="n">
        <v>0</v>
      </c>
      <c r="W74" s="4"/>
      <c r="X74" s="4"/>
      <c r="Y74" s="4"/>
      <c r="Z74" s="4"/>
      <c r="AA74" s="4"/>
      <c r="AB74" s="4"/>
      <c r="AC74" s="4"/>
      <c r="AD74" s="4"/>
      <c r="AE74" s="4"/>
      <c r="AF74" s="4"/>
      <c r="AG74" s="4"/>
      <c r="AH74" s="4"/>
      <c r="AI74" s="4"/>
      <c r="AJ74" s="4"/>
      <c r="AK74" s="4"/>
      <c r="AL74" s="4" t="s">
        <v>174</v>
      </c>
      <c r="AM74" s="4" t="s">
        <v>190</v>
      </c>
    </row>
    <row r="75" customFormat="false" ht="23.85" hidden="false" customHeight="false" outlineLevel="0" collapsed="false">
      <c r="A75" s="4" t="s">
        <v>167</v>
      </c>
      <c r="B75" s="4" t="s">
        <v>250</v>
      </c>
      <c r="C75" s="4" t="s">
        <v>250</v>
      </c>
      <c r="D75" s="12" t="n">
        <v>2018</v>
      </c>
      <c r="E75" s="4"/>
      <c r="F75" s="4" t="s">
        <v>169</v>
      </c>
      <c r="G75" s="4" t="s">
        <v>170</v>
      </c>
      <c r="H75" s="4" t="s">
        <v>171</v>
      </c>
      <c r="I75" s="4" t="s">
        <v>172</v>
      </c>
      <c r="J75" s="4" t="s">
        <v>250</v>
      </c>
      <c r="K75" s="4" t="s">
        <v>84</v>
      </c>
      <c r="L75" s="4" t="s">
        <v>85</v>
      </c>
      <c r="M75" s="4"/>
      <c r="N75" s="4"/>
      <c r="O75" s="4"/>
      <c r="P75" s="4"/>
      <c r="Q75" s="4"/>
      <c r="R75" s="4"/>
      <c r="S75" s="13" t="n">
        <v>0</v>
      </c>
      <c r="T75" s="4" t="s">
        <v>173</v>
      </c>
      <c r="U75" s="14" t="n">
        <f aca="false">IF(OR($S75="",PARAMETROS!$B$4=""),"",$S75*PARAMETROS!$B$4)</f>
        <v>0</v>
      </c>
      <c r="V75" s="13" t="n">
        <v>0</v>
      </c>
      <c r="W75" s="4"/>
      <c r="X75" s="4"/>
      <c r="Y75" s="4"/>
      <c r="Z75" s="4"/>
      <c r="AA75" s="4"/>
      <c r="AB75" s="4"/>
      <c r="AC75" s="4"/>
      <c r="AD75" s="4"/>
      <c r="AE75" s="4"/>
      <c r="AF75" s="4"/>
      <c r="AG75" s="4"/>
      <c r="AH75" s="4"/>
      <c r="AI75" s="4"/>
      <c r="AJ75" s="4"/>
      <c r="AK75" s="4"/>
      <c r="AL75" s="4" t="s">
        <v>174</v>
      </c>
      <c r="AM75" s="4" t="s">
        <v>190</v>
      </c>
    </row>
    <row r="76" customFormat="false" ht="23.85" hidden="false" customHeight="false" outlineLevel="0" collapsed="false">
      <c r="A76" s="4" t="s">
        <v>167</v>
      </c>
      <c r="B76" s="4" t="s">
        <v>251</v>
      </c>
      <c r="C76" s="4" t="s">
        <v>251</v>
      </c>
      <c r="D76" s="12" t="n">
        <v>2018</v>
      </c>
      <c r="E76" s="4"/>
      <c r="F76" s="4" t="s">
        <v>169</v>
      </c>
      <c r="G76" s="4" t="s">
        <v>170</v>
      </c>
      <c r="H76" s="4" t="s">
        <v>171</v>
      </c>
      <c r="I76" s="4" t="s">
        <v>172</v>
      </c>
      <c r="J76" s="4" t="s">
        <v>251</v>
      </c>
      <c r="K76" s="4" t="s">
        <v>84</v>
      </c>
      <c r="L76" s="4" t="s">
        <v>85</v>
      </c>
      <c r="M76" s="4"/>
      <c r="N76" s="4"/>
      <c r="O76" s="4"/>
      <c r="P76" s="4"/>
      <c r="Q76" s="4"/>
      <c r="R76" s="4"/>
      <c r="S76" s="13" t="n">
        <v>0</v>
      </c>
      <c r="T76" s="4" t="s">
        <v>173</v>
      </c>
      <c r="U76" s="14" t="n">
        <f aca="false">IF(OR($S76="",PARAMETROS!$B$4=""),"",$S76*PARAMETROS!$B$4)</f>
        <v>0</v>
      </c>
      <c r="V76" s="13" t="n">
        <v>0</v>
      </c>
      <c r="W76" s="4"/>
      <c r="X76" s="4"/>
      <c r="Y76" s="4"/>
      <c r="Z76" s="4"/>
      <c r="AA76" s="4"/>
      <c r="AB76" s="4"/>
      <c r="AC76" s="4"/>
      <c r="AD76" s="4"/>
      <c r="AE76" s="4"/>
      <c r="AF76" s="4"/>
      <c r="AG76" s="4"/>
      <c r="AH76" s="4"/>
      <c r="AI76" s="4"/>
      <c r="AJ76" s="4"/>
      <c r="AK76" s="4"/>
      <c r="AL76" s="4" t="s">
        <v>174</v>
      </c>
      <c r="AM76" s="4" t="s">
        <v>190</v>
      </c>
    </row>
    <row r="77" customFormat="false" ht="23.85" hidden="false" customHeight="false" outlineLevel="0" collapsed="false">
      <c r="A77" s="4" t="s">
        <v>167</v>
      </c>
      <c r="B77" s="4" t="s">
        <v>252</v>
      </c>
      <c r="C77" s="4" t="s">
        <v>252</v>
      </c>
      <c r="D77" s="12" t="n">
        <v>2018</v>
      </c>
      <c r="E77" s="4"/>
      <c r="F77" s="4" t="s">
        <v>169</v>
      </c>
      <c r="G77" s="4" t="s">
        <v>170</v>
      </c>
      <c r="H77" s="4" t="s">
        <v>171</v>
      </c>
      <c r="I77" s="4" t="s">
        <v>172</v>
      </c>
      <c r="J77" s="4" t="s">
        <v>252</v>
      </c>
      <c r="K77" s="4" t="s">
        <v>84</v>
      </c>
      <c r="L77" s="4" t="s">
        <v>85</v>
      </c>
      <c r="M77" s="4"/>
      <c r="N77" s="4"/>
      <c r="O77" s="4"/>
      <c r="P77" s="4"/>
      <c r="Q77" s="4"/>
      <c r="R77" s="4"/>
      <c r="S77" s="13" t="n">
        <v>-4096.62</v>
      </c>
      <c r="T77" s="4" t="s">
        <v>173</v>
      </c>
      <c r="U77" s="14" t="n">
        <f aca="false">IF(OR($S77="",PARAMETROS!$B$4=""),"",$S77*PARAMETROS!$B$4)</f>
        <v>-23801.3622</v>
      </c>
      <c r="V77" s="13" t="n">
        <v>0</v>
      </c>
      <c r="W77" s="4"/>
      <c r="X77" s="4"/>
      <c r="Y77" s="4"/>
      <c r="Z77" s="4"/>
      <c r="AA77" s="4"/>
      <c r="AB77" s="4"/>
      <c r="AC77" s="4"/>
      <c r="AD77" s="4"/>
      <c r="AE77" s="4"/>
      <c r="AF77" s="4"/>
      <c r="AG77" s="4"/>
      <c r="AH77" s="4"/>
      <c r="AI77" s="4"/>
      <c r="AJ77" s="4"/>
      <c r="AK77" s="4"/>
      <c r="AL77" s="4" t="s">
        <v>174</v>
      </c>
      <c r="AM77" s="4" t="s">
        <v>190</v>
      </c>
    </row>
    <row r="78" customFormat="false" ht="23.85" hidden="false" customHeight="false" outlineLevel="0" collapsed="false">
      <c r="A78" s="4" t="s">
        <v>167</v>
      </c>
      <c r="B78" s="4" t="s">
        <v>253</v>
      </c>
      <c r="C78" s="4" t="s">
        <v>253</v>
      </c>
      <c r="D78" s="12" t="n">
        <v>2018</v>
      </c>
      <c r="E78" s="4"/>
      <c r="F78" s="4" t="s">
        <v>169</v>
      </c>
      <c r="G78" s="4" t="s">
        <v>170</v>
      </c>
      <c r="H78" s="4" t="s">
        <v>171</v>
      </c>
      <c r="I78" s="4" t="s">
        <v>172</v>
      </c>
      <c r="J78" s="4" t="s">
        <v>253</v>
      </c>
      <c r="K78" s="4" t="s">
        <v>84</v>
      </c>
      <c r="L78" s="4" t="s">
        <v>85</v>
      </c>
      <c r="M78" s="4"/>
      <c r="N78" s="4"/>
      <c r="O78" s="4"/>
      <c r="P78" s="4"/>
      <c r="Q78" s="4"/>
      <c r="R78" s="4"/>
      <c r="S78" s="13" t="n">
        <v>-17.03</v>
      </c>
      <c r="T78" s="4" t="s">
        <v>173</v>
      </c>
      <c r="U78" s="14" t="n">
        <f aca="false">IF(OR($S78="",PARAMETROS!$B$4=""),"",$S78*PARAMETROS!$B$4)</f>
        <v>-98.9443</v>
      </c>
      <c r="V78" s="13" t="n">
        <v>0</v>
      </c>
      <c r="W78" s="4"/>
      <c r="X78" s="4"/>
      <c r="Y78" s="4"/>
      <c r="Z78" s="4"/>
      <c r="AA78" s="4"/>
      <c r="AB78" s="4"/>
      <c r="AC78" s="4"/>
      <c r="AD78" s="4"/>
      <c r="AE78" s="4"/>
      <c r="AF78" s="4"/>
      <c r="AG78" s="4"/>
      <c r="AH78" s="4"/>
      <c r="AI78" s="4"/>
      <c r="AJ78" s="4"/>
      <c r="AK78" s="4"/>
      <c r="AL78" s="4" t="s">
        <v>174</v>
      </c>
      <c r="AM78" s="4" t="s">
        <v>190</v>
      </c>
    </row>
    <row r="79" customFormat="false" ht="23.85" hidden="false" customHeight="false" outlineLevel="0" collapsed="false">
      <c r="A79" s="4" t="s">
        <v>167</v>
      </c>
      <c r="B79" s="4" t="s">
        <v>254</v>
      </c>
      <c r="C79" s="4" t="s">
        <v>254</v>
      </c>
      <c r="D79" s="12" t="n">
        <v>2018</v>
      </c>
      <c r="E79" s="4"/>
      <c r="F79" s="4" t="s">
        <v>169</v>
      </c>
      <c r="G79" s="4" t="s">
        <v>170</v>
      </c>
      <c r="H79" s="4" t="s">
        <v>171</v>
      </c>
      <c r="I79" s="4" t="s">
        <v>172</v>
      </c>
      <c r="J79" s="4" t="s">
        <v>254</v>
      </c>
      <c r="K79" s="4" t="s">
        <v>84</v>
      </c>
      <c r="L79" s="4" t="s">
        <v>85</v>
      </c>
      <c r="M79" s="4"/>
      <c r="N79" s="4"/>
      <c r="O79" s="4"/>
      <c r="P79" s="4"/>
      <c r="Q79" s="4"/>
      <c r="R79" s="4"/>
      <c r="S79" s="13" t="n">
        <v>0</v>
      </c>
      <c r="T79" s="4" t="s">
        <v>173</v>
      </c>
      <c r="U79" s="14" t="n">
        <f aca="false">IF(OR($S79="",PARAMETROS!$B$4=""),"",$S79*PARAMETROS!$B$4)</f>
        <v>0</v>
      </c>
      <c r="V79" s="13" t="n">
        <v>0</v>
      </c>
      <c r="W79" s="4"/>
      <c r="X79" s="4"/>
      <c r="Y79" s="4"/>
      <c r="Z79" s="4"/>
      <c r="AA79" s="4"/>
      <c r="AB79" s="4"/>
      <c r="AC79" s="4"/>
      <c r="AD79" s="4"/>
      <c r="AE79" s="4"/>
      <c r="AF79" s="4"/>
      <c r="AG79" s="4"/>
      <c r="AH79" s="4"/>
      <c r="AI79" s="4"/>
      <c r="AJ79" s="4"/>
      <c r="AK79" s="4"/>
      <c r="AL79" s="4" t="s">
        <v>174</v>
      </c>
      <c r="AM79" s="4" t="s">
        <v>190</v>
      </c>
    </row>
    <row r="80" customFormat="false" ht="23.85" hidden="false" customHeight="false" outlineLevel="0" collapsed="false">
      <c r="A80" s="4" t="s">
        <v>167</v>
      </c>
      <c r="B80" s="4" t="s">
        <v>255</v>
      </c>
      <c r="C80" s="4" t="s">
        <v>255</v>
      </c>
      <c r="D80" s="12" t="n">
        <v>2018</v>
      </c>
      <c r="E80" s="4"/>
      <c r="F80" s="4" t="s">
        <v>169</v>
      </c>
      <c r="G80" s="4" t="s">
        <v>170</v>
      </c>
      <c r="H80" s="4" t="s">
        <v>171</v>
      </c>
      <c r="I80" s="4" t="s">
        <v>172</v>
      </c>
      <c r="J80" s="4" t="s">
        <v>255</v>
      </c>
      <c r="K80" s="4" t="s">
        <v>84</v>
      </c>
      <c r="L80" s="4" t="s">
        <v>85</v>
      </c>
      <c r="M80" s="4"/>
      <c r="N80" s="4"/>
      <c r="O80" s="4"/>
      <c r="P80" s="4"/>
      <c r="Q80" s="4"/>
      <c r="R80" s="4"/>
      <c r="S80" s="13" t="n">
        <v>0</v>
      </c>
      <c r="T80" s="4" t="s">
        <v>173</v>
      </c>
      <c r="U80" s="14" t="n">
        <f aca="false">IF(OR($S80="",PARAMETROS!$B$4=""),"",$S80*PARAMETROS!$B$4)</f>
        <v>0</v>
      </c>
      <c r="V80" s="13" t="n">
        <v>0</v>
      </c>
      <c r="W80" s="4"/>
      <c r="X80" s="4"/>
      <c r="Y80" s="4"/>
      <c r="Z80" s="4"/>
      <c r="AA80" s="4"/>
      <c r="AB80" s="4"/>
      <c r="AC80" s="4"/>
      <c r="AD80" s="4"/>
      <c r="AE80" s="4"/>
      <c r="AF80" s="4"/>
      <c r="AG80" s="4"/>
      <c r="AH80" s="4"/>
      <c r="AI80" s="4"/>
      <c r="AJ80" s="4"/>
      <c r="AK80" s="4"/>
      <c r="AL80" s="4" t="s">
        <v>174</v>
      </c>
      <c r="AM80" s="4" t="s">
        <v>190</v>
      </c>
    </row>
    <row r="81" customFormat="false" ht="23.85" hidden="false" customHeight="false" outlineLevel="0" collapsed="false">
      <c r="A81" s="4" t="s">
        <v>167</v>
      </c>
      <c r="B81" s="4" t="s">
        <v>256</v>
      </c>
      <c r="C81" s="4" t="s">
        <v>256</v>
      </c>
      <c r="D81" s="12" t="n">
        <v>2018</v>
      </c>
      <c r="E81" s="4"/>
      <c r="F81" s="4" t="s">
        <v>169</v>
      </c>
      <c r="G81" s="4" t="s">
        <v>170</v>
      </c>
      <c r="H81" s="4" t="s">
        <v>171</v>
      </c>
      <c r="I81" s="4" t="s">
        <v>172</v>
      </c>
      <c r="J81" s="4" t="s">
        <v>256</v>
      </c>
      <c r="K81" s="4" t="s">
        <v>84</v>
      </c>
      <c r="L81" s="4" t="s">
        <v>85</v>
      </c>
      <c r="M81" s="4"/>
      <c r="N81" s="4"/>
      <c r="O81" s="4"/>
      <c r="P81" s="4"/>
      <c r="Q81" s="4"/>
      <c r="R81" s="4"/>
      <c r="S81" s="13" t="n">
        <v>0</v>
      </c>
      <c r="T81" s="4" t="s">
        <v>173</v>
      </c>
      <c r="U81" s="14" t="n">
        <f aca="false">IF(OR($S81="",PARAMETROS!$B$4=""),"",$S81*PARAMETROS!$B$4)</f>
        <v>0</v>
      </c>
      <c r="V81" s="13" t="n">
        <v>0</v>
      </c>
      <c r="W81" s="4"/>
      <c r="X81" s="4"/>
      <c r="Y81" s="4"/>
      <c r="Z81" s="4"/>
      <c r="AA81" s="4"/>
      <c r="AB81" s="4"/>
      <c r="AC81" s="4"/>
      <c r="AD81" s="4"/>
      <c r="AE81" s="4"/>
      <c r="AF81" s="4"/>
      <c r="AG81" s="4"/>
      <c r="AH81" s="4"/>
      <c r="AI81" s="4"/>
      <c r="AJ81" s="4"/>
      <c r="AK81" s="4"/>
      <c r="AL81" s="4" t="s">
        <v>174</v>
      </c>
      <c r="AM81" s="4" t="s">
        <v>190</v>
      </c>
    </row>
    <row r="82" customFormat="false" ht="23.85" hidden="false" customHeight="false" outlineLevel="0" collapsed="false">
      <c r="A82" s="4" t="s">
        <v>167</v>
      </c>
      <c r="B82" s="4" t="s">
        <v>257</v>
      </c>
      <c r="C82" s="4" t="s">
        <v>257</v>
      </c>
      <c r="D82" s="12" t="n">
        <v>2018</v>
      </c>
      <c r="E82" s="4"/>
      <c r="F82" s="4" t="s">
        <v>169</v>
      </c>
      <c r="G82" s="4" t="s">
        <v>170</v>
      </c>
      <c r="H82" s="4" t="s">
        <v>171</v>
      </c>
      <c r="I82" s="4" t="s">
        <v>172</v>
      </c>
      <c r="J82" s="4" t="s">
        <v>257</v>
      </c>
      <c r="K82" s="4" t="s">
        <v>84</v>
      </c>
      <c r="L82" s="4" t="s">
        <v>85</v>
      </c>
      <c r="M82" s="4"/>
      <c r="N82" s="4"/>
      <c r="O82" s="4"/>
      <c r="P82" s="4"/>
      <c r="Q82" s="4"/>
      <c r="R82" s="4"/>
      <c r="S82" s="13" t="n">
        <v>0</v>
      </c>
      <c r="T82" s="4" t="s">
        <v>173</v>
      </c>
      <c r="U82" s="14" t="n">
        <f aca="false">IF(OR($S82="",PARAMETROS!$B$4=""),"",$S82*PARAMETROS!$B$4)</f>
        <v>0</v>
      </c>
      <c r="V82" s="13" t="n">
        <v>0</v>
      </c>
      <c r="W82" s="4"/>
      <c r="X82" s="4"/>
      <c r="Y82" s="4"/>
      <c r="Z82" s="4"/>
      <c r="AA82" s="4"/>
      <c r="AB82" s="4"/>
      <c r="AC82" s="4"/>
      <c r="AD82" s="4"/>
      <c r="AE82" s="4"/>
      <c r="AF82" s="4"/>
      <c r="AG82" s="4"/>
      <c r="AH82" s="4"/>
      <c r="AI82" s="4"/>
      <c r="AJ82" s="4"/>
      <c r="AK82" s="4"/>
      <c r="AL82" s="4" t="s">
        <v>174</v>
      </c>
      <c r="AM82" s="4" t="s">
        <v>190</v>
      </c>
    </row>
    <row r="83" customFormat="false" ht="23.85" hidden="false" customHeight="false" outlineLevel="0" collapsed="false">
      <c r="A83" s="4" t="s">
        <v>167</v>
      </c>
      <c r="B83" s="4" t="s">
        <v>258</v>
      </c>
      <c r="C83" s="4" t="s">
        <v>258</v>
      </c>
      <c r="D83" s="12" t="n">
        <v>2018</v>
      </c>
      <c r="E83" s="4"/>
      <c r="F83" s="4" t="s">
        <v>169</v>
      </c>
      <c r="G83" s="4" t="s">
        <v>170</v>
      </c>
      <c r="H83" s="4" t="s">
        <v>171</v>
      </c>
      <c r="I83" s="4" t="s">
        <v>172</v>
      </c>
      <c r="J83" s="4" t="s">
        <v>258</v>
      </c>
      <c r="K83" s="4" t="s">
        <v>84</v>
      </c>
      <c r="L83" s="4" t="s">
        <v>85</v>
      </c>
      <c r="M83" s="4"/>
      <c r="N83" s="4"/>
      <c r="O83" s="4"/>
      <c r="P83" s="4"/>
      <c r="Q83" s="4"/>
      <c r="R83" s="4"/>
      <c r="S83" s="13" t="n">
        <v>0</v>
      </c>
      <c r="T83" s="4" t="s">
        <v>173</v>
      </c>
      <c r="U83" s="14" t="n">
        <f aca="false">IF(OR($S83="",PARAMETROS!$B$4=""),"",$S83*PARAMETROS!$B$4)</f>
        <v>0</v>
      </c>
      <c r="V83" s="13" t="n">
        <v>0</v>
      </c>
      <c r="W83" s="4"/>
      <c r="X83" s="4"/>
      <c r="Y83" s="4"/>
      <c r="Z83" s="4"/>
      <c r="AA83" s="4"/>
      <c r="AB83" s="4"/>
      <c r="AC83" s="4"/>
      <c r="AD83" s="4"/>
      <c r="AE83" s="4"/>
      <c r="AF83" s="4"/>
      <c r="AG83" s="4"/>
      <c r="AH83" s="4"/>
      <c r="AI83" s="4"/>
      <c r="AJ83" s="4"/>
      <c r="AK83" s="4"/>
      <c r="AL83" s="4" t="s">
        <v>174</v>
      </c>
      <c r="AM83" s="4" t="s">
        <v>190</v>
      </c>
    </row>
    <row r="84" customFormat="false" ht="23.85" hidden="false" customHeight="false" outlineLevel="0" collapsed="false">
      <c r="A84" s="4" t="s">
        <v>167</v>
      </c>
      <c r="B84" s="4" t="s">
        <v>259</v>
      </c>
      <c r="C84" s="4" t="s">
        <v>259</v>
      </c>
      <c r="D84" s="12" t="n">
        <v>2018</v>
      </c>
      <c r="E84" s="4"/>
      <c r="F84" s="4" t="s">
        <v>169</v>
      </c>
      <c r="G84" s="4" t="s">
        <v>170</v>
      </c>
      <c r="H84" s="4" t="s">
        <v>171</v>
      </c>
      <c r="I84" s="4" t="s">
        <v>172</v>
      </c>
      <c r="J84" s="4" t="s">
        <v>259</v>
      </c>
      <c r="K84" s="4" t="s">
        <v>84</v>
      </c>
      <c r="L84" s="4" t="s">
        <v>85</v>
      </c>
      <c r="M84" s="4"/>
      <c r="N84" s="4"/>
      <c r="O84" s="4"/>
      <c r="P84" s="4"/>
      <c r="Q84" s="4"/>
      <c r="R84" s="4"/>
      <c r="S84" s="13" t="n">
        <v>0</v>
      </c>
      <c r="T84" s="4" t="s">
        <v>173</v>
      </c>
      <c r="U84" s="14" t="n">
        <f aca="false">IF(OR($S84="",PARAMETROS!$B$4=""),"",$S84*PARAMETROS!$B$4)</f>
        <v>0</v>
      </c>
      <c r="V84" s="13" t="n">
        <v>0</v>
      </c>
      <c r="W84" s="4"/>
      <c r="X84" s="4"/>
      <c r="Y84" s="4"/>
      <c r="Z84" s="4"/>
      <c r="AA84" s="4"/>
      <c r="AB84" s="4"/>
      <c r="AC84" s="4"/>
      <c r="AD84" s="4"/>
      <c r="AE84" s="4"/>
      <c r="AF84" s="4"/>
      <c r="AG84" s="4"/>
      <c r="AH84" s="4"/>
      <c r="AI84" s="4"/>
      <c r="AJ84" s="4"/>
      <c r="AK84" s="4"/>
      <c r="AL84" s="4" t="s">
        <v>174</v>
      </c>
      <c r="AM84" s="4" t="s">
        <v>190</v>
      </c>
    </row>
    <row r="85" customFormat="false" ht="23.85" hidden="false" customHeight="false" outlineLevel="0" collapsed="false">
      <c r="A85" s="4" t="s">
        <v>167</v>
      </c>
      <c r="B85" s="4" t="s">
        <v>260</v>
      </c>
      <c r="C85" s="4" t="s">
        <v>260</v>
      </c>
      <c r="D85" s="12" t="n">
        <v>2018</v>
      </c>
      <c r="E85" s="4"/>
      <c r="F85" s="4" t="s">
        <v>169</v>
      </c>
      <c r="G85" s="4" t="s">
        <v>170</v>
      </c>
      <c r="H85" s="4" t="s">
        <v>171</v>
      </c>
      <c r="I85" s="4" t="s">
        <v>172</v>
      </c>
      <c r="J85" s="4" t="s">
        <v>260</v>
      </c>
      <c r="K85" s="4" t="s">
        <v>84</v>
      </c>
      <c r="L85" s="4" t="s">
        <v>85</v>
      </c>
      <c r="M85" s="4"/>
      <c r="N85" s="4"/>
      <c r="O85" s="4"/>
      <c r="P85" s="4"/>
      <c r="Q85" s="4"/>
      <c r="R85" s="4"/>
      <c r="S85" s="13" t="n">
        <v>0</v>
      </c>
      <c r="T85" s="4" t="s">
        <v>173</v>
      </c>
      <c r="U85" s="14" t="n">
        <f aca="false">IF(OR($S85="",PARAMETROS!$B$4=""),"",$S85*PARAMETROS!$B$4)</f>
        <v>0</v>
      </c>
      <c r="V85" s="13" t="n">
        <v>0</v>
      </c>
      <c r="W85" s="4"/>
      <c r="X85" s="4"/>
      <c r="Y85" s="4"/>
      <c r="Z85" s="4"/>
      <c r="AA85" s="4"/>
      <c r="AB85" s="4"/>
      <c r="AC85" s="4"/>
      <c r="AD85" s="4"/>
      <c r="AE85" s="4"/>
      <c r="AF85" s="4"/>
      <c r="AG85" s="4"/>
      <c r="AH85" s="4"/>
      <c r="AI85" s="4"/>
      <c r="AJ85" s="4"/>
      <c r="AK85" s="4"/>
      <c r="AL85" s="4" t="s">
        <v>174</v>
      </c>
      <c r="AM85" s="4" t="s">
        <v>190</v>
      </c>
    </row>
    <row r="86" customFormat="false" ht="23.85" hidden="false" customHeight="false" outlineLevel="0" collapsed="false">
      <c r="A86" s="4" t="s">
        <v>167</v>
      </c>
      <c r="B86" s="4" t="s">
        <v>261</v>
      </c>
      <c r="C86" s="4" t="s">
        <v>261</v>
      </c>
      <c r="D86" s="12" t="n">
        <v>2018</v>
      </c>
      <c r="E86" s="4"/>
      <c r="F86" s="4" t="s">
        <v>169</v>
      </c>
      <c r="G86" s="4" t="s">
        <v>170</v>
      </c>
      <c r="H86" s="4" t="s">
        <v>171</v>
      </c>
      <c r="I86" s="4" t="s">
        <v>172</v>
      </c>
      <c r="J86" s="4" t="s">
        <v>261</v>
      </c>
      <c r="K86" s="4" t="s">
        <v>109</v>
      </c>
      <c r="L86" s="4" t="s">
        <v>110</v>
      </c>
      <c r="M86" s="4"/>
      <c r="N86" s="4"/>
      <c r="O86" s="4"/>
      <c r="P86" s="4"/>
      <c r="Q86" s="4"/>
      <c r="R86" s="4"/>
      <c r="S86" s="13" t="n">
        <v>49871.76</v>
      </c>
      <c r="T86" s="4" t="s">
        <v>173</v>
      </c>
      <c r="U86" s="14" t="n">
        <f aca="false">IF(OR($S86="",PARAMETROS!$B$4=""),"",$S86*PARAMETROS!$B$4)</f>
        <v>289754.9256</v>
      </c>
      <c r="V86" s="13" t="n">
        <v>0</v>
      </c>
      <c r="W86" s="4"/>
      <c r="X86" s="4"/>
      <c r="Y86" s="4"/>
      <c r="Z86" s="4"/>
      <c r="AA86" s="4"/>
      <c r="AB86" s="4"/>
      <c r="AC86" s="4"/>
      <c r="AD86" s="4"/>
      <c r="AE86" s="4"/>
      <c r="AF86" s="4"/>
      <c r="AG86" s="4"/>
      <c r="AH86" s="4"/>
      <c r="AI86" s="4"/>
      <c r="AJ86" s="4"/>
      <c r="AK86" s="4"/>
      <c r="AL86" s="4" t="s">
        <v>174</v>
      </c>
      <c r="AM86" s="4" t="s">
        <v>175</v>
      </c>
    </row>
    <row r="87" customFormat="false" ht="23.85" hidden="false" customHeight="false" outlineLevel="0" collapsed="false">
      <c r="A87" s="4" t="s">
        <v>167</v>
      </c>
      <c r="B87" s="4" t="s">
        <v>262</v>
      </c>
      <c r="C87" s="4" t="s">
        <v>262</v>
      </c>
      <c r="D87" s="12" t="n">
        <v>2018</v>
      </c>
      <c r="E87" s="4"/>
      <c r="F87" s="4" t="s">
        <v>169</v>
      </c>
      <c r="G87" s="4" t="s">
        <v>170</v>
      </c>
      <c r="H87" s="4" t="s">
        <v>171</v>
      </c>
      <c r="I87" s="4" t="s">
        <v>172</v>
      </c>
      <c r="J87" s="4" t="s">
        <v>262</v>
      </c>
      <c r="K87" s="4" t="s">
        <v>109</v>
      </c>
      <c r="L87" s="4" t="s">
        <v>110</v>
      </c>
      <c r="M87" s="4"/>
      <c r="N87" s="4"/>
      <c r="O87" s="4"/>
      <c r="P87" s="4"/>
      <c r="Q87" s="4"/>
      <c r="R87" s="4"/>
      <c r="S87" s="13" t="n">
        <v>0</v>
      </c>
      <c r="T87" s="4" t="s">
        <v>173</v>
      </c>
      <c r="U87" s="14" t="n">
        <f aca="false">IF(OR($S87="",PARAMETROS!$B$4=""),"",$S87*PARAMETROS!$B$4)</f>
        <v>0</v>
      </c>
      <c r="V87" s="13" t="n">
        <v>0</v>
      </c>
      <c r="W87" s="4"/>
      <c r="X87" s="4"/>
      <c r="Y87" s="4"/>
      <c r="Z87" s="4"/>
      <c r="AA87" s="4"/>
      <c r="AB87" s="4"/>
      <c r="AC87" s="4"/>
      <c r="AD87" s="4"/>
      <c r="AE87" s="4"/>
      <c r="AF87" s="4"/>
      <c r="AG87" s="4"/>
      <c r="AH87" s="4"/>
      <c r="AI87" s="4"/>
      <c r="AJ87" s="4"/>
      <c r="AK87" s="4"/>
      <c r="AL87" s="4" t="s">
        <v>174</v>
      </c>
      <c r="AM87" s="4" t="s">
        <v>175</v>
      </c>
    </row>
    <row r="88" customFormat="false" ht="23.85" hidden="false" customHeight="false" outlineLevel="0" collapsed="false">
      <c r="A88" s="4" t="s">
        <v>167</v>
      </c>
      <c r="B88" s="4" t="s">
        <v>263</v>
      </c>
      <c r="C88" s="4" t="s">
        <v>263</v>
      </c>
      <c r="D88" s="12" t="n">
        <v>2018</v>
      </c>
      <c r="E88" s="4"/>
      <c r="F88" s="4" t="s">
        <v>169</v>
      </c>
      <c r="G88" s="4" t="s">
        <v>170</v>
      </c>
      <c r="H88" s="4" t="s">
        <v>171</v>
      </c>
      <c r="I88" s="4" t="s">
        <v>172</v>
      </c>
      <c r="J88" s="4" t="s">
        <v>263</v>
      </c>
      <c r="K88" s="4" t="s">
        <v>109</v>
      </c>
      <c r="L88" s="4" t="s">
        <v>110</v>
      </c>
      <c r="M88" s="4"/>
      <c r="N88" s="4"/>
      <c r="O88" s="4"/>
      <c r="P88" s="4"/>
      <c r="Q88" s="4"/>
      <c r="R88" s="4"/>
      <c r="S88" s="13" t="n">
        <v>0</v>
      </c>
      <c r="T88" s="4" t="s">
        <v>173</v>
      </c>
      <c r="U88" s="14" t="n">
        <f aca="false">IF(OR($S88="",PARAMETROS!$B$4=""),"",$S88*PARAMETROS!$B$4)</f>
        <v>0</v>
      </c>
      <c r="V88" s="13" t="n">
        <v>0</v>
      </c>
      <c r="W88" s="4"/>
      <c r="X88" s="4"/>
      <c r="Y88" s="4"/>
      <c r="Z88" s="4"/>
      <c r="AA88" s="4"/>
      <c r="AB88" s="4"/>
      <c r="AC88" s="4"/>
      <c r="AD88" s="4"/>
      <c r="AE88" s="4"/>
      <c r="AF88" s="4"/>
      <c r="AG88" s="4"/>
      <c r="AH88" s="4"/>
      <c r="AI88" s="4"/>
      <c r="AJ88" s="4"/>
      <c r="AK88" s="4"/>
      <c r="AL88" s="4" t="s">
        <v>174</v>
      </c>
      <c r="AM88" s="4" t="s">
        <v>175</v>
      </c>
    </row>
    <row r="89" customFormat="false" ht="23.85" hidden="false" customHeight="false" outlineLevel="0" collapsed="false">
      <c r="A89" s="4" t="s">
        <v>167</v>
      </c>
      <c r="B89" s="4" t="s">
        <v>264</v>
      </c>
      <c r="C89" s="4" t="s">
        <v>264</v>
      </c>
      <c r="D89" s="12" t="n">
        <v>2018</v>
      </c>
      <c r="E89" s="4"/>
      <c r="F89" s="4" t="s">
        <v>169</v>
      </c>
      <c r="G89" s="4" t="s">
        <v>170</v>
      </c>
      <c r="H89" s="4" t="s">
        <v>171</v>
      </c>
      <c r="I89" s="4" t="s">
        <v>172</v>
      </c>
      <c r="J89" s="4" t="s">
        <v>264</v>
      </c>
      <c r="K89" s="4" t="s">
        <v>109</v>
      </c>
      <c r="L89" s="4" t="s">
        <v>110</v>
      </c>
      <c r="M89" s="4"/>
      <c r="N89" s="4"/>
      <c r="O89" s="4"/>
      <c r="P89" s="4"/>
      <c r="Q89" s="4"/>
      <c r="R89" s="4"/>
      <c r="S89" s="13" t="n">
        <v>0.49</v>
      </c>
      <c r="T89" s="4" t="s">
        <v>173</v>
      </c>
      <c r="U89" s="14" t="n">
        <f aca="false">IF(OR($S89="",PARAMETROS!$B$4=""),"",$S89*PARAMETROS!$B$4)</f>
        <v>2.8469</v>
      </c>
      <c r="V89" s="13" t="n">
        <v>0</v>
      </c>
      <c r="W89" s="4"/>
      <c r="X89" s="4"/>
      <c r="Y89" s="4"/>
      <c r="Z89" s="4"/>
      <c r="AA89" s="4"/>
      <c r="AB89" s="4"/>
      <c r="AC89" s="4"/>
      <c r="AD89" s="4"/>
      <c r="AE89" s="4"/>
      <c r="AF89" s="4"/>
      <c r="AG89" s="4"/>
      <c r="AH89" s="4"/>
      <c r="AI89" s="4"/>
      <c r="AJ89" s="4"/>
      <c r="AK89" s="4"/>
      <c r="AL89" s="4" t="s">
        <v>174</v>
      </c>
      <c r="AM89" s="4" t="s">
        <v>175</v>
      </c>
    </row>
    <row r="90" customFormat="false" ht="23.85" hidden="false" customHeight="false" outlineLevel="0" collapsed="false">
      <c r="A90" s="4" t="s">
        <v>167</v>
      </c>
      <c r="B90" s="4" t="s">
        <v>265</v>
      </c>
      <c r="C90" s="4" t="s">
        <v>265</v>
      </c>
      <c r="D90" s="12" t="n">
        <v>2018</v>
      </c>
      <c r="E90" s="4"/>
      <c r="F90" s="4" t="s">
        <v>169</v>
      </c>
      <c r="G90" s="4" t="s">
        <v>170</v>
      </c>
      <c r="H90" s="4" t="s">
        <v>171</v>
      </c>
      <c r="I90" s="4" t="s">
        <v>172</v>
      </c>
      <c r="J90" s="4" t="s">
        <v>265</v>
      </c>
      <c r="K90" s="4" t="s">
        <v>109</v>
      </c>
      <c r="L90" s="4" t="s">
        <v>110</v>
      </c>
      <c r="M90" s="4"/>
      <c r="N90" s="4"/>
      <c r="O90" s="4"/>
      <c r="P90" s="4"/>
      <c r="Q90" s="4"/>
      <c r="R90" s="4"/>
      <c r="S90" s="13" t="n">
        <v>0</v>
      </c>
      <c r="T90" s="4" t="s">
        <v>173</v>
      </c>
      <c r="U90" s="14" t="n">
        <f aca="false">IF(OR($S90="",PARAMETROS!$B$4=""),"",$S90*PARAMETROS!$B$4)</f>
        <v>0</v>
      </c>
      <c r="V90" s="13" t="n">
        <v>0</v>
      </c>
      <c r="W90" s="4"/>
      <c r="X90" s="4"/>
      <c r="Y90" s="4"/>
      <c r="Z90" s="4"/>
      <c r="AA90" s="4"/>
      <c r="AB90" s="4"/>
      <c r="AC90" s="4"/>
      <c r="AD90" s="4"/>
      <c r="AE90" s="4"/>
      <c r="AF90" s="4"/>
      <c r="AG90" s="4"/>
      <c r="AH90" s="4"/>
      <c r="AI90" s="4"/>
      <c r="AJ90" s="4"/>
      <c r="AK90" s="4"/>
      <c r="AL90" s="4" t="s">
        <v>174</v>
      </c>
      <c r="AM90" s="4" t="s">
        <v>175</v>
      </c>
    </row>
    <row r="91" customFormat="false" ht="23.85" hidden="false" customHeight="false" outlineLevel="0" collapsed="false">
      <c r="A91" s="4" t="s">
        <v>167</v>
      </c>
      <c r="B91" s="4" t="s">
        <v>266</v>
      </c>
      <c r="C91" s="4" t="s">
        <v>266</v>
      </c>
      <c r="D91" s="12" t="n">
        <v>2018</v>
      </c>
      <c r="E91" s="4"/>
      <c r="F91" s="4" t="s">
        <v>169</v>
      </c>
      <c r="G91" s="4" t="s">
        <v>170</v>
      </c>
      <c r="H91" s="4" t="s">
        <v>171</v>
      </c>
      <c r="I91" s="4" t="s">
        <v>172</v>
      </c>
      <c r="J91" s="4" t="s">
        <v>266</v>
      </c>
      <c r="K91" s="4" t="s">
        <v>109</v>
      </c>
      <c r="L91" s="4" t="s">
        <v>110</v>
      </c>
      <c r="M91" s="4"/>
      <c r="N91" s="4"/>
      <c r="O91" s="4"/>
      <c r="P91" s="4"/>
      <c r="Q91" s="4"/>
      <c r="R91" s="4"/>
      <c r="S91" s="13" t="n">
        <v>0</v>
      </c>
      <c r="T91" s="4" t="s">
        <v>173</v>
      </c>
      <c r="U91" s="14" t="n">
        <f aca="false">IF(OR($S91="",PARAMETROS!$B$4=""),"",$S91*PARAMETROS!$B$4)</f>
        <v>0</v>
      </c>
      <c r="V91" s="13" t="n">
        <v>0</v>
      </c>
      <c r="W91" s="4"/>
      <c r="X91" s="4"/>
      <c r="Y91" s="4"/>
      <c r="Z91" s="4"/>
      <c r="AA91" s="4"/>
      <c r="AB91" s="4"/>
      <c r="AC91" s="4"/>
      <c r="AD91" s="4"/>
      <c r="AE91" s="4"/>
      <c r="AF91" s="4"/>
      <c r="AG91" s="4"/>
      <c r="AH91" s="4"/>
      <c r="AI91" s="4"/>
      <c r="AJ91" s="4"/>
      <c r="AK91" s="4"/>
      <c r="AL91" s="4" t="s">
        <v>174</v>
      </c>
      <c r="AM91" s="4" t="s">
        <v>175</v>
      </c>
    </row>
    <row r="92" customFormat="false" ht="23.85" hidden="false" customHeight="false" outlineLevel="0" collapsed="false">
      <c r="A92" s="4" t="s">
        <v>167</v>
      </c>
      <c r="B92" s="4" t="s">
        <v>267</v>
      </c>
      <c r="C92" s="4" t="s">
        <v>267</v>
      </c>
      <c r="D92" s="12" t="n">
        <v>2018</v>
      </c>
      <c r="E92" s="4"/>
      <c r="F92" s="4" t="s">
        <v>169</v>
      </c>
      <c r="G92" s="4" t="s">
        <v>170</v>
      </c>
      <c r="H92" s="4" t="s">
        <v>171</v>
      </c>
      <c r="I92" s="4" t="s">
        <v>172</v>
      </c>
      <c r="J92" s="4" t="s">
        <v>267</v>
      </c>
      <c r="K92" s="4" t="s">
        <v>109</v>
      </c>
      <c r="L92" s="4" t="s">
        <v>110</v>
      </c>
      <c r="M92" s="4"/>
      <c r="N92" s="4"/>
      <c r="O92" s="4"/>
      <c r="P92" s="4"/>
      <c r="Q92" s="4"/>
      <c r="R92" s="4"/>
      <c r="S92" s="13" t="n">
        <v>-0.49</v>
      </c>
      <c r="T92" s="4" t="s">
        <v>173</v>
      </c>
      <c r="U92" s="14" t="n">
        <f aca="false">IF(OR($S92="",PARAMETROS!$B$4=""),"",$S92*PARAMETROS!$B$4)</f>
        <v>-2.8469</v>
      </c>
      <c r="V92" s="13" t="n">
        <v>0</v>
      </c>
      <c r="W92" s="4"/>
      <c r="X92" s="4"/>
      <c r="Y92" s="4"/>
      <c r="Z92" s="4"/>
      <c r="AA92" s="4"/>
      <c r="AB92" s="4"/>
      <c r="AC92" s="4"/>
      <c r="AD92" s="4"/>
      <c r="AE92" s="4"/>
      <c r="AF92" s="4"/>
      <c r="AG92" s="4"/>
      <c r="AH92" s="4"/>
      <c r="AI92" s="4"/>
      <c r="AJ92" s="4"/>
      <c r="AK92" s="4"/>
      <c r="AL92" s="4" t="s">
        <v>174</v>
      </c>
      <c r="AM92" s="4" t="s">
        <v>175</v>
      </c>
    </row>
    <row r="93" customFormat="false" ht="23.85" hidden="false" customHeight="false" outlineLevel="0" collapsed="false">
      <c r="A93" s="4" t="s">
        <v>167</v>
      </c>
      <c r="B93" s="4" t="s">
        <v>268</v>
      </c>
      <c r="C93" s="4" t="s">
        <v>268</v>
      </c>
      <c r="D93" s="12" t="n">
        <v>2018</v>
      </c>
      <c r="E93" s="4"/>
      <c r="F93" s="4" t="s">
        <v>169</v>
      </c>
      <c r="G93" s="4" t="s">
        <v>170</v>
      </c>
      <c r="H93" s="4" t="s">
        <v>171</v>
      </c>
      <c r="I93" s="4" t="s">
        <v>172</v>
      </c>
      <c r="J93" s="4" t="s">
        <v>268</v>
      </c>
      <c r="K93" s="4" t="s">
        <v>109</v>
      </c>
      <c r="L93" s="4" t="s">
        <v>110</v>
      </c>
      <c r="M93" s="4"/>
      <c r="N93" s="4"/>
      <c r="O93" s="4"/>
      <c r="P93" s="4"/>
      <c r="Q93" s="4"/>
      <c r="R93" s="4"/>
      <c r="S93" s="13" t="n">
        <v>0</v>
      </c>
      <c r="T93" s="4" t="s">
        <v>173</v>
      </c>
      <c r="U93" s="14" t="n">
        <f aca="false">IF(OR($S93="",PARAMETROS!$B$4=""),"",$S93*PARAMETROS!$B$4)</f>
        <v>0</v>
      </c>
      <c r="V93" s="13" t="n">
        <v>0</v>
      </c>
      <c r="W93" s="4"/>
      <c r="X93" s="4"/>
      <c r="Y93" s="4"/>
      <c r="Z93" s="4"/>
      <c r="AA93" s="4"/>
      <c r="AB93" s="4"/>
      <c r="AC93" s="4"/>
      <c r="AD93" s="4"/>
      <c r="AE93" s="4"/>
      <c r="AF93" s="4"/>
      <c r="AG93" s="4"/>
      <c r="AH93" s="4"/>
      <c r="AI93" s="4"/>
      <c r="AJ93" s="4"/>
      <c r="AK93" s="4"/>
      <c r="AL93" s="4" t="s">
        <v>174</v>
      </c>
      <c r="AM93" s="4" t="s">
        <v>175</v>
      </c>
    </row>
    <row r="94" customFormat="false" ht="23.85" hidden="false" customHeight="false" outlineLevel="0" collapsed="false">
      <c r="A94" s="4" t="s">
        <v>167</v>
      </c>
      <c r="B94" s="4" t="s">
        <v>269</v>
      </c>
      <c r="C94" s="4" t="s">
        <v>269</v>
      </c>
      <c r="D94" s="12" t="n">
        <v>2018</v>
      </c>
      <c r="E94" s="4"/>
      <c r="F94" s="4" t="s">
        <v>169</v>
      </c>
      <c r="G94" s="4" t="s">
        <v>170</v>
      </c>
      <c r="H94" s="4" t="s">
        <v>171</v>
      </c>
      <c r="I94" s="4" t="s">
        <v>172</v>
      </c>
      <c r="J94" s="4" t="s">
        <v>269</v>
      </c>
      <c r="K94" s="4" t="s">
        <v>109</v>
      </c>
      <c r="L94" s="4" t="s">
        <v>110</v>
      </c>
      <c r="M94" s="4"/>
      <c r="N94" s="4"/>
      <c r="O94" s="4"/>
      <c r="P94" s="4"/>
      <c r="Q94" s="4"/>
      <c r="R94" s="4"/>
      <c r="S94" s="13" t="n">
        <v>0</v>
      </c>
      <c r="T94" s="4" t="s">
        <v>173</v>
      </c>
      <c r="U94" s="14" t="n">
        <f aca="false">IF(OR($S94="",PARAMETROS!$B$4=""),"",$S94*PARAMETROS!$B$4)</f>
        <v>0</v>
      </c>
      <c r="V94" s="13" t="n">
        <v>0</v>
      </c>
      <c r="W94" s="4"/>
      <c r="X94" s="4"/>
      <c r="Y94" s="4"/>
      <c r="Z94" s="4"/>
      <c r="AA94" s="4"/>
      <c r="AB94" s="4"/>
      <c r="AC94" s="4"/>
      <c r="AD94" s="4"/>
      <c r="AE94" s="4"/>
      <c r="AF94" s="4"/>
      <c r="AG94" s="4"/>
      <c r="AH94" s="4"/>
      <c r="AI94" s="4"/>
      <c r="AJ94" s="4"/>
      <c r="AK94" s="4"/>
      <c r="AL94" s="4" t="s">
        <v>174</v>
      </c>
      <c r="AM94" s="4" t="s">
        <v>175</v>
      </c>
    </row>
    <row r="95" customFormat="false" ht="23.85" hidden="false" customHeight="false" outlineLevel="0" collapsed="false">
      <c r="A95" s="4" t="s">
        <v>167</v>
      </c>
      <c r="B95" s="4" t="s">
        <v>270</v>
      </c>
      <c r="C95" s="4" t="s">
        <v>270</v>
      </c>
      <c r="D95" s="12" t="n">
        <v>2018</v>
      </c>
      <c r="E95" s="4"/>
      <c r="F95" s="4" t="s">
        <v>169</v>
      </c>
      <c r="G95" s="4" t="s">
        <v>170</v>
      </c>
      <c r="H95" s="4" t="s">
        <v>171</v>
      </c>
      <c r="I95" s="4" t="s">
        <v>172</v>
      </c>
      <c r="J95" s="4" t="s">
        <v>270</v>
      </c>
      <c r="K95" s="4" t="s">
        <v>109</v>
      </c>
      <c r="L95" s="4" t="s">
        <v>110</v>
      </c>
      <c r="M95" s="4"/>
      <c r="N95" s="4"/>
      <c r="O95" s="4"/>
      <c r="P95" s="4"/>
      <c r="Q95" s="4"/>
      <c r="R95" s="4"/>
      <c r="S95" s="13" t="n">
        <v>48375.61</v>
      </c>
      <c r="T95" s="4" t="s">
        <v>173</v>
      </c>
      <c r="U95" s="14" t="n">
        <f aca="false">IF(OR($S95="",PARAMETROS!$B$4=""),"",$S95*PARAMETROS!$B$4)</f>
        <v>281062.2941</v>
      </c>
      <c r="V95" s="13" t="n">
        <v>0</v>
      </c>
      <c r="W95" s="4"/>
      <c r="X95" s="4"/>
      <c r="Y95" s="4"/>
      <c r="Z95" s="4"/>
      <c r="AA95" s="4"/>
      <c r="AB95" s="4"/>
      <c r="AC95" s="4"/>
      <c r="AD95" s="4"/>
      <c r="AE95" s="4"/>
      <c r="AF95" s="4"/>
      <c r="AG95" s="4"/>
      <c r="AH95" s="4"/>
      <c r="AI95" s="4"/>
      <c r="AJ95" s="4"/>
      <c r="AK95" s="4"/>
      <c r="AL95" s="4" t="s">
        <v>174</v>
      </c>
      <c r="AM95" s="4" t="s">
        <v>175</v>
      </c>
    </row>
    <row r="96" customFormat="false" ht="23.85" hidden="false" customHeight="false" outlineLevel="0" collapsed="false">
      <c r="A96" s="4" t="s">
        <v>167</v>
      </c>
      <c r="B96" s="4" t="s">
        <v>271</v>
      </c>
      <c r="C96" s="4" t="s">
        <v>271</v>
      </c>
      <c r="D96" s="12" t="n">
        <v>2018</v>
      </c>
      <c r="E96" s="4"/>
      <c r="F96" s="4" t="s">
        <v>169</v>
      </c>
      <c r="G96" s="4" t="s">
        <v>170</v>
      </c>
      <c r="H96" s="4" t="s">
        <v>171</v>
      </c>
      <c r="I96" s="4" t="s">
        <v>172</v>
      </c>
      <c r="J96" s="4" t="s">
        <v>271</v>
      </c>
      <c r="K96" s="4" t="s">
        <v>109</v>
      </c>
      <c r="L96" s="4" t="s">
        <v>110</v>
      </c>
      <c r="M96" s="4"/>
      <c r="N96" s="4"/>
      <c r="O96" s="4"/>
      <c r="P96" s="4"/>
      <c r="Q96" s="4"/>
      <c r="R96" s="4"/>
      <c r="S96" s="13" t="n">
        <v>1496.15</v>
      </c>
      <c r="T96" s="4" t="s">
        <v>173</v>
      </c>
      <c r="U96" s="14" t="n">
        <f aca="false">IF(OR($S96="",PARAMETROS!$B$4=""),"",$S96*PARAMETROS!$B$4)</f>
        <v>8692.6315</v>
      </c>
      <c r="V96" s="13" t="n">
        <v>0</v>
      </c>
      <c r="W96" s="4"/>
      <c r="X96" s="4"/>
      <c r="Y96" s="4"/>
      <c r="Z96" s="4"/>
      <c r="AA96" s="4"/>
      <c r="AB96" s="4"/>
      <c r="AC96" s="4"/>
      <c r="AD96" s="4"/>
      <c r="AE96" s="4"/>
      <c r="AF96" s="4"/>
      <c r="AG96" s="4"/>
      <c r="AH96" s="4"/>
      <c r="AI96" s="4"/>
      <c r="AJ96" s="4"/>
      <c r="AK96" s="4"/>
      <c r="AL96" s="4" t="s">
        <v>174</v>
      </c>
      <c r="AM96" s="4" t="s">
        <v>175</v>
      </c>
    </row>
    <row r="97" customFormat="false" ht="23.85" hidden="false" customHeight="false" outlineLevel="0" collapsed="false">
      <c r="A97" s="4" t="s">
        <v>167</v>
      </c>
      <c r="B97" s="4" t="s">
        <v>272</v>
      </c>
      <c r="C97" s="4" t="s">
        <v>272</v>
      </c>
      <c r="D97" s="12" t="n">
        <v>2018</v>
      </c>
      <c r="E97" s="4"/>
      <c r="F97" s="4" t="s">
        <v>169</v>
      </c>
      <c r="G97" s="4" t="s">
        <v>170</v>
      </c>
      <c r="H97" s="4" t="s">
        <v>171</v>
      </c>
      <c r="I97" s="4" t="s">
        <v>172</v>
      </c>
      <c r="J97" s="4" t="s">
        <v>272</v>
      </c>
      <c r="K97" s="4" t="s">
        <v>109</v>
      </c>
      <c r="L97" s="4" t="s">
        <v>110</v>
      </c>
      <c r="M97" s="4"/>
      <c r="N97" s="4"/>
      <c r="O97" s="4"/>
      <c r="P97" s="4"/>
      <c r="Q97" s="4"/>
      <c r="R97" s="4"/>
      <c r="S97" s="13" t="n">
        <v>0</v>
      </c>
      <c r="T97" s="4" t="s">
        <v>173</v>
      </c>
      <c r="U97" s="14" t="n">
        <f aca="false">IF(OR($S97="",PARAMETROS!$B$4=""),"",$S97*PARAMETROS!$B$4)</f>
        <v>0</v>
      </c>
      <c r="V97" s="13" t="n">
        <v>0</v>
      </c>
      <c r="W97" s="4"/>
      <c r="X97" s="4"/>
      <c r="Y97" s="4"/>
      <c r="Z97" s="4"/>
      <c r="AA97" s="4"/>
      <c r="AB97" s="4"/>
      <c r="AC97" s="4"/>
      <c r="AD97" s="4"/>
      <c r="AE97" s="4"/>
      <c r="AF97" s="4"/>
      <c r="AG97" s="4"/>
      <c r="AH97" s="4"/>
      <c r="AI97" s="4"/>
      <c r="AJ97" s="4"/>
      <c r="AK97" s="4"/>
      <c r="AL97" s="4" t="s">
        <v>174</v>
      </c>
      <c r="AM97" s="4" t="s">
        <v>175</v>
      </c>
    </row>
    <row r="98" customFormat="false" ht="23.85" hidden="false" customHeight="false" outlineLevel="0" collapsed="false">
      <c r="A98" s="4" t="s">
        <v>167</v>
      </c>
      <c r="B98" s="4" t="s">
        <v>273</v>
      </c>
      <c r="C98" s="4" t="s">
        <v>273</v>
      </c>
      <c r="D98" s="12" t="n">
        <v>2018</v>
      </c>
      <c r="E98" s="4"/>
      <c r="F98" s="4" t="s">
        <v>169</v>
      </c>
      <c r="G98" s="4" t="s">
        <v>170</v>
      </c>
      <c r="H98" s="4" t="s">
        <v>171</v>
      </c>
      <c r="I98" s="4" t="s">
        <v>172</v>
      </c>
      <c r="J98" s="4" t="s">
        <v>273</v>
      </c>
      <c r="K98" s="4" t="s">
        <v>109</v>
      </c>
      <c r="L98" s="4" t="s">
        <v>110</v>
      </c>
      <c r="M98" s="4"/>
      <c r="N98" s="4"/>
      <c r="O98" s="4"/>
      <c r="P98" s="4"/>
      <c r="Q98" s="4"/>
      <c r="R98" s="4"/>
      <c r="S98" s="13" t="n">
        <v>0</v>
      </c>
      <c r="T98" s="4" t="s">
        <v>173</v>
      </c>
      <c r="U98" s="14" t="n">
        <f aca="false">IF(OR($S98="",PARAMETROS!$B$4=""),"",$S98*PARAMETROS!$B$4)</f>
        <v>0</v>
      </c>
      <c r="V98" s="13" t="n">
        <v>0</v>
      </c>
      <c r="W98" s="4"/>
      <c r="X98" s="4"/>
      <c r="Y98" s="4"/>
      <c r="Z98" s="4"/>
      <c r="AA98" s="4"/>
      <c r="AB98" s="4"/>
      <c r="AC98" s="4"/>
      <c r="AD98" s="4"/>
      <c r="AE98" s="4"/>
      <c r="AF98" s="4"/>
      <c r="AG98" s="4"/>
      <c r="AH98" s="4"/>
      <c r="AI98" s="4"/>
      <c r="AJ98" s="4"/>
      <c r="AK98" s="4"/>
      <c r="AL98" s="4" t="s">
        <v>174</v>
      </c>
      <c r="AM98" s="4" t="s">
        <v>175</v>
      </c>
    </row>
    <row r="99" customFormat="false" ht="23.85" hidden="false" customHeight="false" outlineLevel="0" collapsed="false">
      <c r="A99" s="4" t="s">
        <v>167</v>
      </c>
      <c r="B99" s="4" t="s">
        <v>274</v>
      </c>
      <c r="C99" s="4" t="s">
        <v>274</v>
      </c>
      <c r="D99" s="12" t="n">
        <v>2018</v>
      </c>
      <c r="E99" s="4"/>
      <c r="F99" s="4" t="s">
        <v>169</v>
      </c>
      <c r="G99" s="4" t="s">
        <v>170</v>
      </c>
      <c r="H99" s="4" t="s">
        <v>171</v>
      </c>
      <c r="I99" s="4" t="s">
        <v>172</v>
      </c>
      <c r="J99" s="4" t="s">
        <v>274</v>
      </c>
      <c r="K99" s="4" t="s">
        <v>109</v>
      </c>
      <c r="L99" s="4" t="s">
        <v>110</v>
      </c>
      <c r="M99" s="4"/>
      <c r="N99" s="4"/>
      <c r="O99" s="4"/>
      <c r="P99" s="4"/>
      <c r="Q99" s="4"/>
      <c r="R99" s="4"/>
      <c r="S99" s="13" t="n">
        <v>0</v>
      </c>
      <c r="T99" s="4" t="s">
        <v>173</v>
      </c>
      <c r="U99" s="14" t="n">
        <f aca="false">IF(OR($S99="",PARAMETROS!$B$4=""),"",$S99*PARAMETROS!$B$4)</f>
        <v>0</v>
      </c>
      <c r="V99" s="13" t="n">
        <v>0</v>
      </c>
      <c r="W99" s="4"/>
      <c r="X99" s="4"/>
      <c r="Y99" s="4"/>
      <c r="Z99" s="4"/>
      <c r="AA99" s="4"/>
      <c r="AB99" s="4"/>
      <c r="AC99" s="4"/>
      <c r="AD99" s="4"/>
      <c r="AE99" s="4"/>
      <c r="AF99" s="4"/>
      <c r="AG99" s="4"/>
      <c r="AH99" s="4"/>
      <c r="AI99" s="4"/>
      <c r="AJ99" s="4"/>
      <c r="AK99" s="4"/>
      <c r="AL99" s="4" t="s">
        <v>174</v>
      </c>
      <c r="AM99" s="4" t="s">
        <v>175</v>
      </c>
    </row>
    <row r="100" customFormat="false" ht="23.85" hidden="false" customHeight="false" outlineLevel="0" collapsed="false">
      <c r="A100" s="4" t="s">
        <v>167</v>
      </c>
      <c r="B100" s="4" t="s">
        <v>275</v>
      </c>
      <c r="C100" s="4" t="s">
        <v>275</v>
      </c>
      <c r="D100" s="12" t="n">
        <v>2018</v>
      </c>
      <c r="E100" s="4"/>
      <c r="F100" s="4" t="s">
        <v>169</v>
      </c>
      <c r="G100" s="4" t="s">
        <v>170</v>
      </c>
      <c r="H100" s="4" t="s">
        <v>171</v>
      </c>
      <c r="I100" s="4" t="s">
        <v>172</v>
      </c>
      <c r="J100" s="4" t="s">
        <v>275</v>
      </c>
      <c r="K100" s="4" t="s">
        <v>86</v>
      </c>
      <c r="L100" s="4" t="s">
        <v>87</v>
      </c>
      <c r="M100" s="4"/>
      <c r="N100" s="4"/>
      <c r="O100" s="4"/>
      <c r="P100" s="4"/>
      <c r="Q100" s="4"/>
      <c r="R100" s="4"/>
      <c r="S100" s="13" t="n">
        <v>3339.55</v>
      </c>
      <c r="T100" s="4" t="s">
        <v>173</v>
      </c>
      <c r="U100" s="14" t="n">
        <f aca="false">IF(OR($S100="",PARAMETROS!$B$4=""),"",$S100*PARAMETROS!$B$4)</f>
        <v>19402.7855</v>
      </c>
      <c r="V100" s="13" t="n">
        <v>0</v>
      </c>
      <c r="W100" s="4"/>
      <c r="X100" s="4"/>
      <c r="Y100" s="4"/>
      <c r="Z100" s="4"/>
      <c r="AA100" s="4"/>
      <c r="AB100" s="4"/>
      <c r="AC100" s="4"/>
      <c r="AD100" s="4"/>
      <c r="AE100" s="4"/>
      <c r="AF100" s="4"/>
      <c r="AG100" s="4"/>
      <c r="AH100" s="4"/>
      <c r="AI100" s="4"/>
      <c r="AJ100" s="4"/>
      <c r="AK100" s="4"/>
      <c r="AL100" s="4" t="s">
        <v>174</v>
      </c>
      <c r="AM100" s="4" t="s">
        <v>205</v>
      </c>
    </row>
    <row r="101" customFormat="false" ht="23.85" hidden="false" customHeight="false" outlineLevel="0" collapsed="false">
      <c r="A101" s="4" t="s">
        <v>167</v>
      </c>
      <c r="B101" s="4" t="s">
        <v>276</v>
      </c>
      <c r="C101" s="4" t="s">
        <v>276</v>
      </c>
      <c r="D101" s="12" t="n">
        <v>2018</v>
      </c>
      <c r="E101" s="4"/>
      <c r="F101" s="4" t="s">
        <v>169</v>
      </c>
      <c r="G101" s="4" t="s">
        <v>170</v>
      </c>
      <c r="H101" s="4" t="s">
        <v>171</v>
      </c>
      <c r="I101" s="4" t="s">
        <v>172</v>
      </c>
      <c r="J101" s="4" t="s">
        <v>276</v>
      </c>
      <c r="K101" s="4" t="s">
        <v>86</v>
      </c>
      <c r="L101" s="4" t="s">
        <v>87</v>
      </c>
      <c r="M101" s="4"/>
      <c r="N101" s="4"/>
      <c r="O101" s="4"/>
      <c r="P101" s="4"/>
      <c r="Q101" s="4"/>
      <c r="R101" s="4"/>
      <c r="S101" s="13" t="n">
        <v>0</v>
      </c>
      <c r="T101" s="4" t="s">
        <v>173</v>
      </c>
      <c r="U101" s="14" t="n">
        <f aca="false">IF(OR($S101="",PARAMETROS!$B$4=""),"",$S101*PARAMETROS!$B$4)</f>
        <v>0</v>
      </c>
      <c r="V101" s="13" t="n">
        <v>0</v>
      </c>
      <c r="W101" s="4"/>
      <c r="X101" s="4"/>
      <c r="Y101" s="4"/>
      <c r="Z101" s="4"/>
      <c r="AA101" s="4"/>
      <c r="AB101" s="4"/>
      <c r="AC101" s="4"/>
      <c r="AD101" s="4"/>
      <c r="AE101" s="4"/>
      <c r="AF101" s="4"/>
      <c r="AG101" s="4"/>
      <c r="AH101" s="4"/>
      <c r="AI101" s="4"/>
      <c r="AJ101" s="4"/>
      <c r="AK101" s="4"/>
      <c r="AL101" s="4" t="s">
        <v>174</v>
      </c>
      <c r="AM101" s="4" t="s">
        <v>205</v>
      </c>
    </row>
    <row r="102" customFormat="false" ht="23.85" hidden="false" customHeight="false" outlineLevel="0" collapsed="false">
      <c r="A102" s="4" t="s">
        <v>167</v>
      </c>
      <c r="B102" s="4" t="s">
        <v>277</v>
      </c>
      <c r="C102" s="4" t="s">
        <v>277</v>
      </c>
      <c r="D102" s="12" t="n">
        <v>2018</v>
      </c>
      <c r="E102" s="4"/>
      <c r="F102" s="4" t="s">
        <v>169</v>
      </c>
      <c r="G102" s="4" t="s">
        <v>170</v>
      </c>
      <c r="H102" s="4" t="s">
        <v>171</v>
      </c>
      <c r="I102" s="4" t="s">
        <v>172</v>
      </c>
      <c r="J102" s="4" t="s">
        <v>277</v>
      </c>
      <c r="K102" s="4" t="s">
        <v>86</v>
      </c>
      <c r="L102" s="4" t="s">
        <v>87</v>
      </c>
      <c r="M102" s="4"/>
      <c r="N102" s="4"/>
      <c r="O102" s="4"/>
      <c r="P102" s="4"/>
      <c r="Q102" s="4"/>
      <c r="R102" s="4"/>
      <c r="S102" s="13" t="n">
        <v>2243.6</v>
      </c>
      <c r="T102" s="4" t="s">
        <v>173</v>
      </c>
      <c r="U102" s="14" t="n">
        <f aca="false">IF(OR($S102="",PARAMETROS!$B$4=""),"",$S102*PARAMETROS!$B$4)</f>
        <v>13035.316</v>
      </c>
      <c r="V102" s="13" t="n">
        <v>0</v>
      </c>
      <c r="W102" s="4"/>
      <c r="X102" s="4"/>
      <c r="Y102" s="4"/>
      <c r="Z102" s="4"/>
      <c r="AA102" s="4"/>
      <c r="AB102" s="4"/>
      <c r="AC102" s="4"/>
      <c r="AD102" s="4"/>
      <c r="AE102" s="4"/>
      <c r="AF102" s="4"/>
      <c r="AG102" s="4"/>
      <c r="AH102" s="4"/>
      <c r="AI102" s="4"/>
      <c r="AJ102" s="4"/>
      <c r="AK102" s="4"/>
      <c r="AL102" s="4" t="s">
        <v>174</v>
      </c>
      <c r="AM102" s="4" t="s">
        <v>205</v>
      </c>
    </row>
    <row r="103" customFormat="false" ht="23.85" hidden="false" customHeight="false" outlineLevel="0" collapsed="false">
      <c r="A103" s="4" t="s">
        <v>167</v>
      </c>
      <c r="B103" s="4" t="s">
        <v>278</v>
      </c>
      <c r="C103" s="4" t="s">
        <v>278</v>
      </c>
      <c r="D103" s="12" t="n">
        <v>2018</v>
      </c>
      <c r="E103" s="4"/>
      <c r="F103" s="4" t="s">
        <v>169</v>
      </c>
      <c r="G103" s="4" t="s">
        <v>170</v>
      </c>
      <c r="H103" s="4" t="s">
        <v>171</v>
      </c>
      <c r="I103" s="4" t="s">
        <v>172</v>
      </c>
      <c r="J103" s="4" t="s">
        <v>278</v>
      </c>
      <c r="K103" s="4" t="s">
        <v>86</v>
      </c>
      <c r="L103" s="4" t="s">
        <v>87</v>
      </c>
      <c r="M103" s="4"/>
      <c r="N103" s="4"/>
      <c r="O103" s="4"/>
      <c r="P103" s="4"/>
      <c r="Q103" s="4"/>
      <c r="R103" s="4"/>
      <c r="S103" s="13" t="n">
        <v>-103.31</v>
      </c>
      <c r="T103" s="4" t="s">
        <v>173</v>
      </c>
      <c r="U103" s="14" t="n">
        <f aca="false">IF(OR($S103="",PARAMETROS!$B$4=""),"",$S103*PARAMETROS!$B$4)</f>
        <v>-600.2311</v>
      </c>
      <c r="V103" s="13" t="n">
        <v>0</v>
      </c>
      <c r="W103" s="4"/>
      <c r="X103" s="4"/>
      <c r="Y103" s="4"/>
      <c r="Z103" s="4"/>
      <c r="AA103" s="4"/>
      <c r="AB103" s="4"/>
      <c r="AC103" s="4"/>
      <c r="AD103" s="4"/>
      <c r="AE103" s="4"/>
      <c r="AF103" s="4"/>
      <c r="AG103" s="4"/>
      <c r="AH103" s="4"/>
      <c r="AI103" s="4"/>
      <c r="AJ103" s="4"/>
      <c r="AK103" s="4"/>
      <c r="AL103" s="4" t="s">
        <v>174</v>
      </c>
      <c r="AM103" s="4" t="s">
        <v>205</v>
      </c>
    </row>
    <row r="104" customFormat="false" ht="23.85" hidden="false" customHeight="false" outlineLevel="0" collapsed="false">
      <c r="A104" s="4" t="s">
        <v>167</v>
      </c>
      <c r="B104" s="4" t="s">
        <v>279</v>
      </c>
      <c r="C104" s="4" t="s">
        <v>279</v>
      </c>
      <c r="D104" s="12" t="n">
        <v>2018</v>
      </c>
      <c r="E104" s="4"/>
      <c r="F104" s="4" t="s">
        <v>169</v>
      </c>
      <c r="G104" s="4" t="s">
        <v>170</v>
      </c>
      <c r="H104" s="4" t="s">
        <v>171</v>
      </c>
      <c r="I104" s="4" t="s">
        <v>172</v>
      </c>
      <c r="J104" s="4" t="s">
        <v>279</v>
      </c>
      <c r="K104" s="4" t="s">
        <v>86</v>
      </c>
      <c r="L104" s="4" t="s">
        <v>87</v>
      </c>
      <c r="M104" s="4"/>
      <c r="N104" s="4"/>
      <c r="O104" s="4"/>
      <c r="P104" s="4"/>
      <c r="Q104" s="4"/>
      <c r="R104" s="4"/>
      <c r="S104" s="13" t="n">
        <v>-992.65</v>
      </c>
      <c r="T104" s="4" t="s">
        <v>173</v>
      </c>
      <c r="U104" s="14" t="n">
        <f aca="false">IF(OR($S104="",PARAMETROS!$B$4=""),"",$S104*PARAMETROS!$B$4)</f>
        <v>-5767.2965</v>
      </c>
      <c r="V104" s="13" t="n">
        <v>0</v>
      </c>
      <c r="W104" s="4"/>
      <c r="X104" s="4"/>
      <c r="Y104" s="4"/>
      <c r="Z104" s="4"/>
      <c r="AA104" s="4"/>
      <c r="AB104" s="4"/>
      <c r="AC104" s="4"/>
      <c r="AD104" s="4"/>
      <c r="AE104" s="4"/>
      <c r="AF104" s="4"/>
      <c r="AG104" s="4"/>
      <c r="AH104" s="4"/>
      <c r="AI104" s="4"/>
      <c r="AJ104" s="4"/>
      <c r="AK104" s="4"/>
      <c r="AL104" s="4" t="s">
        <v>174</v>
      </c>
      <c r="AM104" s="4" t="s">
        <v>205</v>
      </c>
    </row>
    <row r="105" customFormat="false" ht="23.85" hidden="false" customHeight="false" outlineLevel="0" collapsed="false">
      <c r="A105" s="4" t="s">
        <v>167</v>
      </c>
      <c r="B105" s="4" t="s">
        <v>280</v>
      </c>
      <c r="C105" s="4" t="s">
        <v>280</v>
      </c>
      <c r="D105" s="12" t="n">
        <v>2018</v>
      </c>
      <c r="E105" s="4"/>
      <c r="F105" s="4" t="s">
        <v>169</v>
      </c>
      <c r="G105" s="4" t="s">
        <v>170</v>
      </c>
      <c r="H105" s="4" t="s">
        <v>171</v>
      </c>
      <c r="I105" s="4" t="s">
        <v>172</v>
      </c>
      <c r="J105" s="4" t="s">
        <v>280</v>
      </c>
      <c r="K105" s="4" t="s">
        <v>86</v>
      </c>
      <c r="L105" s="4" t="s">
        <v>87</v>
      </c>
      <c r="M105" s="4"/>
      <c r="N105" s="4"/>
      <c r="O105" s="4"/>
      <c r="P105" s="4"/>
      <c r="Q105" s="4"/>
      <c r="R105" s="4"/>
      <c r="S105" s="13" t="n">
        <v>0</v>
      </c>
      <c r="T105" s="4" t="s">
        <v>173</v>
      </c>
      <c r="U105" s="14" t="n">
        <f aca="false">IF(OR($S105="",PARAMETROS!$B$4=""),"",$S105*PARAMETROS!$B$4)</f>
        <v>0</v>
      </c>
      <c r="V105" s="13" t="n">
        <v>0</v>
      </c>
      <c r="W105" s="4"/>
      <c r="X105" s="4"/>
      <c r="Y105" s="4"/>
      <c r="Z105" s="4"/>
      <c r="AA105" s="4"/>
      <c r="AB105" s="4"/>
      <c r="AC105" s="4"/>
      <c r="AD105" s="4"/>
      <c r="AE105" s="4"/>
      <c r="AF105" s="4"/>
      <c r="AG105" s="4"/>
      <c r="AH105" s="4"/>
      <c r="AI105" s="4"/>
      <c r="AJ105" s="4"/>
      <c r="AK105" s="4"/>
      <c r="AL105" s="4" t="s">
        <v>174</v>
      </c>
      <c r="AM105" s="4" t="s">
        <v>205</v>
      </c>
    </row>
    <row r="106" customFormat="false" ht="23.85" hidden="false" customHeight="false" outlineLevel="0" collapsed="false">
      <c r="A106" s="4" t="s">
        <v>167</v>
      </c>
      <c r="B106" s="4" t="s">
        <v>281</v>
      </c>
      <c r="C106" s="4" t="s">
        <v>281</v>
      </c>
      <c r="D106" s="12" t="n">
        <v>2018</v>
      </c>
      <c r="E106" s="4"/>
      <c r="F106" s="4" t="s">
        <v>169</v>
      </c>
      <c r="G106" s="4" t="s">
        <v>170</v>
      </c>
      <c r="H106" s="4" t="s">
        <v>171</v>
      </c>
      <c r="I106" s="4" t="s">
        <v>172</v>
      </c>
      <c r="J106" s="4" t="s">
        <v>281</v>
      </c>
      <c r="K106" s="4" t="s">
        <v>86</v>
      </c>
      <c r="L106" s="4" t="s">
        <v>87</v>
      </c>
      <c r="M106" s="4"/>
      <c r="N106" s="4"/>
      <c r="O106" s="4"/>
      <c r="P106" s="4"/>
      <c r="Q106" s="4"/>
      <c r="R106" s="4"/>
      <c r="S106" s="13" t="n">
        <v>0</v>
      </c>
      <c r="T106" s="4" t="s">
        <v>173</v>
      </c>
      <c r="U106" s="14" t="n">
        <f aca="false">IF(OR($S106="",PARAMETROS!$B$4=""),"",$S106*PARAMETROS!$B$4)</f>
        <v>0</v>
      </c>
      <c r="V106" s="13" t="n">
        <v>0</v>
      </c>
      <c r="W106" s="4"/>
      <c r="X106" s="4"/>
      <c r="Y106" s="4"/>
      <c r="Z106" s="4"/>
      <c r="AA106" s="4"/>
      <c r="AB106" s="4"/>
      <c r="AC106" s="4"/>
      <c r="AD106" s="4"/>
      <c r="AE106" s="4"/>
      <c r="AF106" s="4"/>
      <c r="AG106" s="4"/>
      <c r="AH106" s="4"/>
      <c r="AI106" s="4"/>
      <c r="AJ106" s="4"/>
      <c r="AK106" s="4"/>
      <c r="AL106" s="4" t="s">
        <v>174</v>
      </c>
      <c r="AM106" s="4" t="s">
        <v>205</v>
      </c>
    </row>
    <row r="107" customFormat="false" ht="23.85" hidden="false" customHeight="false" outlineLevel="0" collapsed="false">
      <c r="A107" s="4" t="s">
        <v>167</v>
      </c>
      <c r="B107" s="4" t="s">
        <v>282</v>
      </c>
      <c r="C107" s="4" t="s">
        <v>282</v>
      </c>
      <c r="D107" s="12" t="n">
        <v>2018</v>
      </c>
      <c r="E107" s="4"/>
      <c r="F107" s="4" t="s">
        <v>169</v>
      </c>
      <c r="G107" s="4" t="s">
        <v>170</v>
      </c>
      <c r="H107" s="4" t="s">
        <v>171</v>
      </c>
      <c r="I107" s="4" t="s">
        <v>172</v>
      </c>
      <c r="J107" s="4" t="s">
        <v>282</v>
      </c>
      <c r="K107" s="4" t="s">
        <v>86</v>
      </c>
      <c r="L107" s="4" t="s">
        <v>87</v>
      </c>
      <c r="M107" s="4"/>
      <c r="N107" s="4"/>
      <c r="O107" s="4"/>
      <c r="P107" s="4"/>
      <c r="Q107" s="4"/>
      <c r="R107" s="4"/>
      <c r="S107" s="13" t="n">
        <v>0</v>
      </c>
      <c r="T107" s="4" t="s">
        <v>173</v>
      </c>
      <c r="U107" s="14" t="n">
        <f aca="false">IF(OR($S107="",PARAMETROS!$B$4=""),"",$S107*PARAMETROS!$B$4)</f>
        <v>0</v>
      </c>
      <c r="V107" s="13" t="n">
        <v>0</v>
      </c>
      <c r="W107" s="4"/>
      <c r="X107" s="4"/>
      <c r="Y107" s="4"/>
      <c r="Z107" s="4"/>
      <c r="AA107" s="4"/>
      <c r="AB107" s="4"/>
      <c r="AC107" s="4"/>
      <c r="AD107" s="4"/>
      <c r="AE107" s="4"/>
      <c r="AF107" s="4"/>
      <c r="AG107" s="4"/>
      <c r="AH107" s="4"/>
      <c r="AI107" s="4"/>
      <c r="AJ107" s="4"/>
      <c r="AK107" s="4"/>
      <c r="AL107" s="4" t="s">
        <v>174</v>
      </c>
      <c r="AM107" s="4" t="s">
        <v>205</v>
      </c>
    </row>
    <row r="108" customFormat="false" ht="23.85" hidden="false" customHeight="false" outlineLevel="0" collapsed="false">
      <c r="A108" s="4" t="s">
        <v>167</v>
      </c>
      <c r="B108" s="4" t="s">
        <v>283</v>
      </c>
      <c r="C108" s="4" t="s">
        <v>283</v>
      </c>
      <c r="D108" s="12" t="n">
        <v>2018</v>
      </c>
      <c r="E108" s="4"/>
      <c r="F108" s="4" t="s">
        <v>169</v>
      </c>
      <c r="G108" s="4" t="s">
        <v>170</v>
      </c>
      <c r="H108" s="4" t="s">
        <v>171</v>
      </c>
      <c r="I108" s="4" t="s">
        <v>172</v>
      </c>
      <c r="J108" s="4" t="s">
        <v>283</v>
      </c>
      <c r="K108" s="4" t="s">
        <v>86</v>
      </c>
      <c r="L108" s="4" t="s">
        <v>87</v>
      </c>
      <c r="M108" s="4"/>
      <c r="N108" s="4"/>
      <c r="O108" s="4"/>
      <c r="P108" s="4"/>
      <c r="Q108" s="4"/>
      <c r="R108" s="4"/>
      <c r="S108" s="13" t="n">
        <v>0</v>
      </c>
      <c r="T108" s="4" t="s">
        <v>173</v>
      </c>
      <c r="U108" s="14" t="n">
        <f aca="false">IF(OR($S108="",PARAMETROS!$B$4=""),"",$S108*PARAMETROS!$B$4)</f>
        <v>0</v>
      </c>
      <c r="V108" s="13" t="n">
        <v>0</v>
      </c>
      <c r="W108" s="4"/>
      <c r="X108" s="4"/>
      <c r="Y108" s="4"/>
      <c r="Z108" s="4"/>
      <c r="AA108" s="4"/>
      <c r="AB108" s="4"/>
      <c r="AC108" s="4"/>
      <c r="AD108" s="4"/>
      <c r="AE108" s="4"/>
      <c r="AF108" s="4"/>
      <c r="AG108" s="4"/>
      <c r="AH108" s="4"/>
      <c r="AI108" s="4"/>
      <c r="AJ108" s="4"/>
      <c r="AK108" s="4"/>
      <c r="AL108" s="4" t="s">
        <v>174</v>
      </c>
      <c r="AM108" s="4" t="s">
        <v>205</v>
      </c>
    </row>
    <row r="109" customFormat="false" ht="23.85" hidden="false" customHeight="false" outlineLevel="0" collapsed="false">
      <c r="A109" s="4" t="s">
        <v>167</v>
      </c>
      <c r="B109" s="4" t="s">
        <v>284</v>
      </c>
      <c r="C109" s="4" t="s">
        <v>284</v>
      </c>
      <c r="D109" s="12" t="n">
        <v>2018</v>
      </c>
      <c r="E109" s="4"/>
      <c r="F109" s="4" t="s">
        <v>169</v>
      </c>
      <c r="G109" s="4" t="s">
        <v>170</v>
      </c>
      <c r="H109" s="4" t="s">
        <v>171</v>
      </c>
      <c r="I109" s="4" t="s">
        <v>172</v>
      </c>
      <c r="J109" s="4" t="s">
        <v>284</v>
      </c>
      <c r="K109" s="4" t="s">
        <v>86</v>
      </c>
      <c r="L109" s="4" t="s">
        <v>87</v>
      </c>
      <c r="M109" s="4"/>
      <c r="N109" s="4"/>
      <c r="O109" s="4"/>
      <c r="P109" s="4"/>
      <c r="Q109" s="4"/>
      <c r="R109" s="4"/>
      <c r="S109" s="13" t="n">
        <v>0</v>
      </c>
      <c r="T109" s="4" t="s">
        <v>173</v>
      </c>
      <c r="U109" s="14" t="n">
        <f aca="false">IF(OR($S109="",PARAMETROS!$B$4=""),"",$S109*PARAMETROS!$B$4)</f>
        <v>0</v>
      </c>
      <c r="V109" s="13" t="n">
        <v>0</v>
      </c>
      <c r="W109" s="4"/>
      <c r="X109" s="4"/>
      <c r="Y109" s="4"/>
      <c r="Z109" s="4"/>
      <c r="AA109" s="4"/>
      <c r="AB109" s="4"/>
      <c r="AC109" s="4"/>
      <c r="AD109" s="4"/>
      <c r="AE109" s="4"/>
      <c r="AF109" s="4"/>
      <c r="AG109" s="4"/>
      <c r="AH109" s="4"/>
      <c r="AI109" s="4"/>
      <c r="AJ109" s="4"/>
      <c r="AK109" s="4"/>
      <c r="AL109" s="4" t="s">
        <v>174</v>
      </c>
      <c r="AM109" s="4" t="s">
        <v>205</v>
      </c>
    </row>
    <row r="110" customFormat="false" ht="23.85" hidden="false" customHeight="false" outlineLevel="0" collapsed="false">
      <c r="A110" s="4" t="s">
        <v>167</v>
      </c>
      <c r="B110" s="4" t="s">
        <v>285</v>
      </c>
      <c r="C110" s="4" t="s">
        <v>285</v>
      </c>
      <c r="D110" s="12" t="n">
        <v>2018</v>
      </c>
      <c r="E110" s="4"/>
      <c r="F110" s="4" t="s">
        <v>169</v>
      </c>
      <c r="G110" s="4" t="s">
        <v>170</v>
      </c>
      <c r="H110" s="4" t="s">
        <v>171</v>
      </c>
      <c r="I110" s="4" t="s">
        <v>172</v>
      </c>
      <c r="J110" s="4" t="s">
        <v>285</v>
      </c>
      <c r="K110" s="4" t="s">
        <v>86</v>
      </c>
      <c r="L110" s="4" t="s">
        <v>87</v>
      </c>
      <c r="M110" s="4"/>
      <c r="N110" s="4"/>
      <c r="O110" s="4"/>
      <c r="P110" s="4"/>
      <c r="Q110" s="4"/>
      <c r="R110" s="4"/>
      <c r="S110" s="13" t="n">
        <v>0</v>
      </c>
      <c r="T110" s="4" t="s">
        <v>173</v>
      </c>
      <c r="U110" s="14" t="n">
        <f aca="false">IF(OR($S110="",PARAMETROS!$B$4=""),"",$S110*PARAMETROS!$B$4)</f>
        <v>0</v>
      </c>
      <c r="V110" s="13" t="n">
        <v>0</v>
      </c>
      <c r="W110" s="4"/>
      <c r="X110" s="4"/>
      <c r="Y110" s="4"/>
      <c r="Z110" s="4"/>
      <c r="AA110" s="4"/>
      <c r="AB110" s="4"/>
      <c r="AC110" s="4"/>
      <c r="AD110" s="4"/>
      <c r="AE110" s="4"/>
      <c r="AF110" s="4"/>
      <c r="AG110" s="4"/>
      <c r="AH110" s="4"/>
      <c r="AI110" s="4"/>
      <c r="AJ110" s="4"/>
      <c r="AK110" s="4"/>
      <c r="AL110" s="4" t="s">
        <v>174</v>
      </c>
      <c r="AM110" s="4" t="s">
        <v>205</v>
      </c>
    </row>
    <row r="111" customFormat="false" ht="23.85" hidden="false" customHeight="false" outlineLevel="0" collapsed="false">
      <c r="A111" s="4" t="s">
        <v>167</v>
      </c>
      <c r="B111" s="4" t="s">
        <v>286</v>
      </c>
      <c r="C111" s="4" t="s">
        <v>286</v>
      </c>
      <c r="D111" s="12" t="n">
        <v>2018</v>
      </c>
      <c r="E111" s="4"/>
      <c r="F111" s="4" t="s">
        <v>169</v>
      </c>
      <c r="G111" s="4" t="s">
        <v>170</v>
      </c>
      <c r="H111" s="4" t="s">
        <v>171</v>
      </c>
      <c r="I111" s="4" t="s">
        <v>172</v>
      </c>
      <c r="J111" s="4" t="s">
        <v>286</v>
      </c>
      <c r="K111" s="4" t="s">
        <v>86</v>
      </c>
      <c r="L111" s="4" t="s">
        <v>87</v>
      </c>
      <c r="M111" s="4"/>
      <c r="N111" s="4"/>
      <c r="O111" s="4"/>
      <c r="P111" s="4"/>
      <c r="Q111" s="4"/>
      <c r="R111" s="4"/>
      <c r="S111" s="13" t="n">
        <v>0</v>
      </c>
      <c r="T111" s="4" t="s">
        <v>173</v>
      </c>
      <c r="U111" s="14" t="n">
        <f aca="false">IF(OR($S111="",PARAMETROS!$B$4=""),"",$S111*PARAMETROS!$B$4)</f>
        <v>0</v>
      </c>
      <c r="V111" s="13" t="n">
        <v>0</v>
      </c>
      <c r="W111" s="4"/>
      <c r="X111" s="4"/>
      <c r="Y111" s="4"/>
      <c r="Z111" s="4"/>
      <c r="AA111" s="4"/>
      <c r="AB111" s="4"/>
      <c r="AC111" s="4"/>
      <c r="AD111" s="4"/>
      <c r="AE111" s="4"/>
      <c r="AF111" s="4"/>
      <c r="AG111" s="4"/>
      <c r="AH111" s="4"/>
      <c r="AI111" s="4"/>
      <c r="AJ111" s="4"/>
      <c r="AK111" s="4"/>
      <c r="AL111" s="4" t="s">
        <v>174</v>
      </c>
      <c r="AM111" s="4" t="s">
        <v>205</v>
      </c>
    </row>
    <row r="112" customFormat="false" ht="23.85" hidden="false" customHeight="false" outlineLevel="0" collapsed="false">
      <c r="A112" s="4" t="s">
        <v>167</v>
      </c>
      <c r="B112" s="4" t="s">
        <v>287</v>
      </c>
      <c r="C112" s="4" t="s">
        <v>287</v>
      </c>
      <c r="D112" s="12" t="n">
        <v>2018</v>
      </c>
      <c r="E112" s="4"/>
      <c r="F112" s="4" t="s">
        <v>169</v>
      </c>
      <c r="G112" s="4" t="s">
        <v>170</v>
      </c>
      <c r="H112" s="4" t="s">
        <v>171</v>
      </c>
      <c r="I112" s="4" t="s">
        <v>172</v>
      </c>
      <c r="J112" s="4" t="s">
        <v>287</v>
      </c>
      <c r="K112" s="4" t="s">
        <v>86</v>
      </c>
      <c r="L112" s="4" t="s">
        <v>87</v>
      </c>
      <c r="M112" s="4"/>
      <c r="N112" s="4"/>
      <c r="O112" s="4"/>
      <c r="P112" s="4"/>
      <c r="Q112" s="4"/>
      <c r="R112" s="4"/>
      <c r="S112" s="13" t="n">
        <v>0</v>
      </c>
      <c r="T112" s="4" t="s">
        <v>173</v>
      </c>
      <c r="U112" s="14" t="n">
        <f aca="false">IF(OR($S112="",PARAMETROS!$B$4=""),"",$S112*PARAMETROS!$B$4)</f>
        <v>0</v>
      </c>
      <c r="V112" s="13" t="n">
        <v>0</v>
      </c>
      <c r="W112" s="4"/>
      <c r="X112" s="4"/>
      <c r="Y112" s="4"/>
      <c r="Z112" s="4"/>
      <c r="AA112" s="4"/>
      <c r="AB112" s="4"/>
      <c r="AC112" s="4"/>
      <c r="AD112" s="4"/>
      <c r="AE112" s="4"/>
      <c r="AF112" s="4"/>
      <c r="AG112" s="4"/>
      <c r="AH112" s="4"/>
      <c r="AI112" s="4"/>
      <c r="AJ112" s="4"/>
      <c r="AK112" s="4"/>
      <c r="AL112" s="4" t="s">
        <v>174</v>
      </c>
      <c r="AM112" s="4" t="s">
        <v>205</v>
      </c>
    </row>
    <row r="113" customFormat="false" ht="23.85" hidden="false" customHeight="false" outlineLevel="0" collapsed="false">
      <c r="A113" s="4" t="s">
        <v>167</v>
      </c>
      <c r="B113" s="4" t="s">
        <v>288</v>
      </c>
      <c r="C113" s="4" t="s">
        <v>288</v>
      </c>
      <c r="D113" s="12" t="n">
        <v>2018</v>
      </c>
      <c r="E113" s="4"/>
      <c r="F113" s="4" t="s">
        <v>169</v>
      </c>
      <c r="G113" s="4" t="s">
        <v>170</v>
      </c>
      <c r="H113" s="4" t="s">
        <v>171</v>
      </c>
      <c r="I113" s="4" t="s">
        <v>172</v>
      </c>
      <c r="J113" s="4" t="s">
        <v>288</v>
      </c>
      <c r="K113" s="4" t="s">
        <v>86</v>
      </c>
      <c r="L113" s="4" t="s">
        <v>87</v>
      </c>
      <c r="M113" s="4"/>
      <c r="N113" s="4"/>
      <c r="O113" s="4"/>
      <c r="P113" s="4"/>
      <c r="Q113" s="4"/>
      <c r="R113" s="4"/>
      <c r="S113" s="13" t="n">
        <v>0</v>
      </c>
      <c r="T113" s="4" t="s">
        <v>173</v>
      </c>
      <c r="U113" s="14" t="n">
        <f aca="false">IF(OR($S113="",PARAMETROS!$B$4=""),"",$S113*PARAMETROS!$B$4)</f>
        <v>0</v>
      </c>
      <c r="V113" s="13" t="n">
        <v>0</v>
      </c>
      <c r="W113" s="4"/>
      <c r="X113" s="4"/>
      <c r="Y113" s="4"/>
      <c r="Z113" s="4"/>
      <c r="AA113" s="4"/>
      <c r="AB113" s="4"/>
      <c r="AC113" s="4"/>
      <c r="AD113" s="4"/>
      <c r="AE113" s="4"/>
      <c r="AF113" s="4"/>
      <c r="AG113" s="4"/>
      <c r="AH113" s="4"/>
      <c r="AI113" s="4"/>
      <c r="AJ113" s="4"/>
      <c r="AK113" s="4"/>
      <c r="AL113" s="4" t="s">
        <v>174</v>
      </c>
      <c r="AM113" s="4" t="s">
        <v>205</v>
      </c>
    </row>
    <row r="114" customFormat="false" ht="23.85" hidden="false" customHeight="false" outlineLevel="0" collapsed="false">
      <c r="A114" s="4" t="s">
        <v>167</v>
      </c>
      <c r="B114" s="4" t="s">
        <v>289</v>
      </c>
      <c r="C114" s="4" t="s">
        <v>289</v>
      </c>
      <c r="D114" s="12" t="n">
        <v>2018</v>
      </c>
      <c r="E114" s="4"/>
      <c r="F114" s="4" t="s">
        <v>169</v>
      </c>
      <c r="G114" s="4" t="s">
        <v>170</v>
      </c>
      <c r="H114" s="4" t="s">
        <v>171</v>
      </c>
      <c r="I114" s="4" t="s">
        <v>172</v>
      </c>
      <c r="J114" s="4" t="s">
        <v>289</v>
      </c>
      <c r="K114" s="4" t="s">
        <v>88</v>
      </c>
      <c r="L114" s="4" t="s">
        <v>89</v>
      </c>
      <c r="M114" s="4"/>
      <c r="N114" s="4"/>
      <c r="O114" s="4"/>
      <c r="P114" s="4"/>
      <c r="Q114" s="4"/>
      <c r="R114" s="4"/>
      <c r="S114" s="13" t="n">
        <v>126.71</v>
      </c>
      <c r="T114" s="4" t="s">
        <v>173</v>
      </c>
      <c r="U114" s="14" t="n">
        <f aca="false">IF(OR($S114="",PARAMETROS!$B$4=""),"",$S114*PARAMETROS!$B$4)</f>
        <v>736.1851</v>
      </c>
      <c r="V114" s="13" t="n">
        <v>0</v>
      </c>
      <c r="W114" s="4"/>
      <c r="X114" s="4"/>
      <c r="Y114" s="4"/>
      <c r="Z114" s="4"/>
      <c r="AA114" s="4"/>
      <c r="AB114" s="4"/>
      <c r="AC114" s="4"/>
      <c r="AD114" s="4"/>
      <c r="AE114" s="4"/>
      <c r="AF114" s="4"/>
      <c r="AG114" s="4"/>
      <c r="AH114" s="4"/>
      <c r="AI114" s="4"/>
      <c r="AJ114" s="4"/>
      <c r="AK114" s="4"/>
      <c r="AL114" s="4" t="s">
        <v>174</v>
      </c>
      <c r="AM114" s="4" t="s">
        <v>190</v>
      </c>
    </row>
    <row r="115" customFormat="false" ht="23.85" hidden="false" customHeight="false" outlineLevel="0" collapsed="false">
      <c r="A115" s="4" t="s">
        <v>167</v>
      </c>
      <c r="B115" s="4" t="s">
        <v>290</v>
      </c>
      <c r="C115" s="4" t="s">
        <v>290</v>
      </c>
      <c r="D115" s="12" t="n">
        <v>2018</v>
      </c>
      <c r="E115" s="4"/>
      <c r="F115" s="4" t="s">
        <v>169</v>
      </c>
      <c r="G115" s="4" t="s">
        <v>170</v>
      </c>
      <c r="H115" s="4" t="s">
        <v>171</v>
      </c>
      <c r="I115" s="4" t="s">
        <v>172</v>
      </c>
      <c r="J115" s="4" t="s">
        <v>290</v>
      </c>
      <c r="K115" s="4" t="s">
        <v>88</v>
      </c>
      <c r="L115" s="4" t="s">
        <v>89</v>
      </c>
      <c r="M115" s="4"/>
      <c r="N115" s="4"/>
      <c r="O115" s="4"/>
      <c r="P115" s="4"/>
      <c r="Q115" s="4"/>
      <c r="R115" s="4"/>
      <c r="S115" s="13" t="n">
        <v>0</v>
      </c>
      <c r="T115" s="4" t="s">
        <v>173</v>
      </c>
      <c r="U115" s="14" t="n">
        <f aca="false">IF(OR($S115="",PARAMETROS!$B$4=""),"",$S115*PARAMETROS!$B$4)</f>
        <v>0</v>
      </c>
      <c r="V115" s="13" t="n">
        <v>0</v>
      </c>
      <c r="W115" s="4"/>
      <c r="X115" s="4"/>
      <c r="Y115" s="4"/>
      <c r="Z115" s="4"/>
      <c r="AA115" s="4"/>
      <c r="AB115" s="4"/>
      <c r="AC115" s="4"/>
      <c r="AD115" s="4"/>
      <c r="AE115" s="4"/>
      <c r="AF115" s="4"/>
      <c r="AG115" s="4"/>
      <c r="AH115" s="4"/>
      <c r="AI115" s="4"/>
      <c r="AJ115" s="4"/>
      <c r="AK115" s="4"/>
      <c r="AL115" s="4" t="s">
        <v>174</v>
      </c>
      <c r="AM115" s="4" t="s">
        <v>190</v>
      </c>
    </row>
    <row r="116" customFormat="false" ht="23.85" hidden="false" customHeight="false" outlineLevel="0" collapsed="false">
      <c r="A116" s="4" t="s">
        <v>167</v>
      </c>
      <c r="B116" s="4" t="s">
        <v>291</v>
      </c>
      <c r="C116" s="4" t="s">
        <v>291</v>
      </c>
      <c r="D116" s="12" t="n">
        <v>2018</v>
      </c>
      <c r="E116" s="4"/>
      <c r="F116" s="4" t="s">
        <v>169</v>
      </c>
      <c r="G116" s="4" t="s">
        <v>170</v>
      </c>
      <c r="H116" s="4" t="s">
        <v>171</v>
      </c>
      <c r="I116" s="4" t="s">
        <v>172</v>
      </c>
      <c r="J116" s="4" t="s">
        <v>291</v>
      </c>
      <c r="K116" s="4" t="s">
        <v>88</v>
      </c>
      <c r="L116" s="4" t="s">
        <v>89</v>
      </c>
      <c r="M116" s="4"/>
      <c r="N116" s="4"/>
      <c r="O116" s="4"/>
      <c r="P116" s="4"/>
      <c r="Q116" s="4"/>
      <c r="R116" s="4"/>
      <c r="S116" s="13" t="n">
        <v>0</v>
      </c>
      <c r="T116" s="4" t="s">
        <v>173</v>
      </c>
      <c r="U116" s="14" t="n">
        <f aca="false">IF(OR($S116="",PARAMETROS!$B$4=""),"",$S116*PARAMETROS!$B$4)</f>
        <v>0</v>
      </c>
      <c r="V116" s="13" t="n">
        <v>0</v>
      </c>
      <c r="W116" s="4"/>
      <c r="X116" s="4"/>
      <c r="Y116" s="4"/>
      <c r="Z116" s="4"/>
      <c r="AA116" s="4"/>
      <c r="AB116" s="4"/>
      <c r="AC116" s="4"/>
      <c r="AD116" s="4"/>
      <c r="AE116" s="4"/>
      <c r="AF116" s="4"/>
      <c r="AG116" s="4"/>
      <c r="AH116" s="4"/>
      <c r="AI116" s="4"/>
      <c r="AJ116" s="4"/>
      <c r="AK116" s="4"/>
      <c r="AL116" s="4" t="s">
        <v>174</v>
      </c>
      <c r="AM116" s="4" t="s">
        <v>190</v>
      </c>
    </row>
    <row r="117" customFormat="false" ht="23.85" hidden="false" customHeight="false" outlineLevel="0" collapsed="false">
      <c r="A117" s="4" t="s">
        <v>167</v>
      </c>
      <c r="B117" s="4" t="s">
        <v>292</v>
      </c>
      <c r="C117" s="4" t="s">
        <v>292</v>
      </c>
      <c r="D117" s="12" t="n">
        <v>2018</v>
      </c>
      <c r="E117" s="4"/>
      <c r="F117" s="4" t="s">
        <v>169</v>
      </c>
      <c r="G117" s="4" t="s">
        <v>170</v>
      </c>
      <c r="H117" s="4" t="s">
        <v>171</v>
      </c>
      <c r="I117" s="4" t="s">
        <v>172</v>
      </c>
      <c r="J117" s="4" t="s">
        <v>292</v>
      </c>
      <c r="K117" s="4" t="s">
        <v>88</v>
      </c>
      <c r="L117" s="4" t="s">
        <v>89</v>
      </c>
      <c r="M117" s="4"/>
      <c r="N117" s="4"/>
      <c r="O117" s="4"/>
      <c r="P117" s="4"/>
      <c r="Q117" s="4"/>
      <c r="R117" s="4"/>
      <c r="S117" s="13" t="n">
        <v>0</v>
      </c>
      <c r="T117" s="4" t="s">
        <v>173</v>
      </c>
      <c r="U117" s="14" t="n">
        <f aca="false">IF(OR($S117="",PARAMETROS!$B$4=""),"",$S117*PARAMETROS!$B$4)</f>
        <v>0</v>
      </c>
      <c r="V117" s="13" t="n">
        <v>0</v>
      </c>
      <c r="W117" s="4"/>
      <c r="X117" s="4"/>
      <c r="Y117" s="4"/>
      <c r="Z117" s="4"/>
      <c r="AA117" s="4"/>
      <c r="AB117" s="4"/>
      <c r="AC117" s="4"/>
      <c r="AD117" s="4"/>
      <c r="AE117" s="4"/>
      <c r="AF117" s="4"/>
      <c r="AG117" s="4"/>
      <c r="AH117" s="4"/>
      <c r="AI117" s="4"/>
      <c r="AJ117" s="4"/>
      <c r="AK117" s="4"/>
      <c r="AL117" s="4" t="s">
        <v>174</v>
      </c>
      <c r="AM117" s="4" t="s">
        <v>190</v>
      </c>
    </row>
    <row r="118" customFormat="false" ht="23.85" hidden="false" customHeight="false" outlineLevel="0" collapsed="false">
      <c r="A118" s="4" t="s">
        <v>167</v>
      </c>
      <c r="B118" s="4" t="s">
        <v>293</v>
      </c>
      <c r="C118" s="4" t="s">
        <v>293</v>
      </c>
      <c r="D118" s="12" t="n">
        <v>2018</v>
      </c>
      <c r="E118" s="4"/>
      <c r="F118" s="4" t="s">
        <v>169</v>
      </c>
      <c r="G118" s="4" t="s">
        <v>170</v>
      </c>
      <c r="H118" s="4" t="s">
        <v>171</v>
      </c>
      <c r="I118" s="4" t="s">
        <v>172</v>
      </c>
      <c r="J118" s="4" t="s">
        <v>293</v>
      </c>
      <c r="K118" s="4" t="s">
        <v>88</v>
      </c>
      <c r="L118" s="4" t="s">
        <v>89</v>
      </c>
      <c r="M118" s="4"/>
      <c r="N118" s="4"/>
      <c r="O118" s="4"/>
      <c r="P118" s="4"/>
      <c r="Q118" s="4"/>
      <c r="R118" s="4"/>
      <c r="S118" s="13" t="n">
        <v>0</v>
      </c>
      <c r="T118" s="4" t="s">
        <v>173</v>
      </c>
      <c r="U118" s="14" t="n">
        <f aca="false">IF(OR($S118="",PARAMETROS!$B$4=""),"",$S118*PARAMETROS!$B$4)</f>
        <v>0</v>
      </c>
      <c r="V118" s="13" t="n">
        <v>0</v>
      </c>
      <c r="W118" s="4"/>
      <c r="X118" s="4"/>
      <c r="Y118" s="4"/>
      <c r="Z118" s="4"/>
      <c r="AA118" s="4"/>
      <c r="AB118" s="4"/>
      <c r="AC118" s="4"/>
      <c r="AD118" s="4"/>
      <c r="AE118" s="4"/>
      <c r="AF118" s="4"/>
      <c r="AG118" s="4"/>
      <c r="AH118" s="4"/>
      <c r="AI118" s="4"/>
      <c r="AJ118" s="4"/>
      <c r="AK118" s="4"/>
      <c r="AL118" s="4" t="s">
        <v>174</v>
      </c>
      <c r="AM118" s="4" t="s">
        <v>190</v>
      </c>
    </row>
    <row r="119" customFormat="false" ht="23.85" hidden="false" customHeight="false" outlineLevel="0" collapsed="false">
      <c r="A119" s="4" t="s">
        <v>167</v>
      </c>
      <c r="B119" s="4" t="s">
        <v>294</v>
      </c>
      <c r="C119" s="4" t="s">
        <v>294</v>
      </c>
      <c r="D119" s="12" t="n">
        <v>2018</v>
      </c>
      <c r="E119" s="4"/>
      <c r="F119" s="4" t="s">
        <v>169</v>
      </c>
      <c r="G119" s="4" t="s">
        <v>170</v>
      </c>
      <c r="H119" s="4" t="s">
        <v>171</v>
      </c>
      <c r="I119" s="4" t="s">
        <v>172</v>
      </c>
      <c r="J119" s="4" t="s">
        <v>294</v>
      </c>
      <c r="K119" s="4" t="s">
        <v>88</v>
      </c>
      <c r="L119" s="4" t="s">
        <v>89</v>
      </c>
      <c r="M119" s="4"/>
      <c r="N119" s="4"/>
      <c r="O119" s="4"/>
      <c r="P119" s="4"/>
      <c r="Q119" s="4"/>
      <c r="R119" s="4"/>
      <c r="S119" s="13" t="n">
        <v>-126.71</v>
      </c>
      <c r="T119" s="4" t="s">
        <v>173</v>
      </c>
      <c r="U119" s="14" t="n">
        <f aca="false">IF(OR($S119="",PARAMETROS!$B$4=""),"",$S119*PARAMETROS!$B$4)</f>
        <v>-736.1851</v>
      </c>
      <c r="V119" s="13" t="n">
        <v>0</v>
      </c>
      <c r="W119" s="4"/>
      <c r="X119" s="4"/>
      <c r="Y119" s="4"/>
      <c r="Z119" s="4"/>
      <c r="AA119" s="4"/>
      <c r="AB119" s="4"/>
      <c r="AC119" s="4"/>
      <c r="AD119" s="4"/>
      <c r="AE119" s="4"/>
      <c r="AF119" s="4"/>
      <c r="AG119" s="4"/>
      <c r="AH119" s="4"/>
      <c r="AI119" s="4"/>
      <c r="AJ119" s="4"/>
      <c r="AK119" s="4"/>
      <c r="AL119" s="4" t="s">
        <v>174</v>
      </c>
      <c r="AM119" s="4" t="s">
        <v>190</v>
      </c>
    </row>
    <row r="120" customFormat="false" ht="23.85" hidden="false" customHeight="false" outlineLevel="0" collapsed="false">
      <c r="A120" s="4" t="s">
        <v>167</v>
      </c>
      <c r="B120" s="4" t="s">
        <v>295</v>
      </c>
      <c r="C120" s="4" t="s">
        <v>295</v>
      </c>
      <c r="D120" s="12" t="n">
        <v>2018</v>
      </c>
      <c r="E120" s="4"/>
      <c r="F120" s="4" t="s">
        <v>169</v>
      </c>
      <c r="G120" s="4" t="s">
        <v>170</v>
      </c>
      <c r="H120" s="4" t="s">
        <v>171</v>
      </c>
      <c r="I120" s="4" t="s">
        <v>172</v>
      </c>
      <c r="J120" s="4" t="s">
        <v>295</v>
      </c>
      <c r="K120" s="4" t="s">
        <v>88</v>
      </c>
      <c r="L120" s="4" t="s">
        <v>89</v>
      </c>
      <c r="M120" s="4"/>
      <c r="N120" s="4"/>
      <c r="O120" s="4"/>
      <c r="P120" s="4"/>
      <c r="Q120" s="4"/>
      <c r="R120" s="4"/>
      <c r="S120" s="13" t="n">
        <v>0</v>
      </c>
      <c r="T120" s="4" t="s">
        <v>173</v>
      </c>
      <c r="U120" s="14" t="n">
        <f aca="false">IF(OR($S120="",PARAMETROS!$B$4=""),"",$S120*PARAMETROS!$B$4)</f>
        <v>0</v>
      </c>
      <c r="V120" s="13" t="n">
        <v>0</v>
      </c>
      <c r="W120" s="4"/>
      <c r="X120" s="4"/>
      <c r="Y120" s="4"/>
      <c r="Z120" s="4"/>
      <c r="AA120" s="4"/>
      <c r="AB120" s="4"/>
      <c r="AC120" s="4"/>
      <c r="AD120" s="4"/>
      <c r="AE120" s="4"/>
      <c r="AF120" s="4"/>
      <c r="AG120" s="4"/>
      <c r="AH120" s="4"/>
      <c r="AI120" s="4"/>
      <c r="AJ120" s="4"/>
      <c r="AK120" s="4"/>
      <c r="AL120" s="4" t="s">
        <v>174</v>
      </c>
      <c r="AM120" s="4" t="s">
        <v>190</v>
      </c>
    </row>
    <row r="121" customFormat="false" ht="23.85" hidden="false" customHeight="false" outlineLevel="0" collapsed="false">
      <c r="A121" s="4" t="s">
        <v>167</v>
      </c>
      <c r="B121" s="4" t="s">
        <v>296</v>
      </c>
      <c r="C121" s="4" t="s">
        <v>296</v>
      </c>
      <c r="D121" s="12" t="n">
        <v>2018</v>
      </c>
      <c r="E121" s="4"/>
      <c r="F121" s="4" t="s">
        <v>169</v>
      </c>
      <c r="G121" s="4" t="s">
        <v>170</v>
      </c>
      <c r="H121" s="4" t="s">
        <v>171</v>
      </c>
      <c r="I121" s="4" t="s">
        <v>172</v>
      </c>
      <c r="J121" s="4" t="s">
        <v>296</v>
      </c>
      <c r="K121" s="4" t="s">
        <v>88</v>
      </c>
      <c r="L121" s="4" t="s">
        <v>89</v>
      </c>
      <c r="M121" s="4"/>
      <c r="N121" s="4"/>
      <c r="O121" s="4"/>
      <c r="P121" s="4"/>
      <c r="Q121" s="4"/>
      <c r="R121" s="4"/>
      <c r="S121" s="13" t="n">
        <v>0</v>
      </c>
      <c r="T121" s="4" t="s">
        <v>173</v>
      </c>
      <c r="U121" s="14" t="n">
        <f aca="false">IF(OR($S121="",PARAMETROS!$B$4=""),"",$S121*PARAMETROS!$B$4)</f>
        <v>0</v>
      </c>
      <c r="V121" s="13" t="n">
        <v>0</v>
      </c>
      <c r="W121" s="4"/>
      <c r="X121" s="4"/>
      <c r="Y121" s="4"/>
      <c r="Z121" s="4"/>
      <c r="AA121" s="4"/>
      <c r="AB121" s="4"/>
      <c r="AC121" s="4"/>
      <c r="AD121" s="4"/>
      <c r="AE121" s="4"/>
      <c r="AF121" s="4"/>
      <c r="AG121" s="4"/>
      <c r="AH121" s="4"/>
      <c r="AI121" s="4"/>
      <c r="AJ121" s="4"/>
      <c r="AK121" s="4"/>
      <c r="AL121" s="4" t="s">
        <v>174</v>
      </c>
      <c r="AM121" s="4" t="s">
        <v>190</v>
      </c>
    </row>
    <row r="122" customFormat="false" ht="23.85" hidden="false" customHeight="false" outlineLevel="0" collapsed="false">
      <c r="A122" s="4" t="s">
        <v>167</v>
      </c>
      <c r="B122" s="4" t="s">
        <v>297</v>
      </c>
      <c r="C122" s="4" t="s">
        <v>297</v>
      </c>
      <c r="D122" s="12" t="n">
        <v>2018</v>
      </c>
      <c r="E122" s="4"/>
      <c r="F122" s="4" t="s">
        <v>169</v>
      </c>
      <c r="G122" s="4" t="s">
        <v>170</v>
      </c>
      <c r="H122" s="4" t="s">
        <v>171</v>
      </c>
      <c r="I122" s="4" t="s">
        <v>172</v>
      </c>
      <c r="J122" s="4" t="s">
        <v>297</v>
      </c>
      <c r="K122" s="4" t="s">
        <v>88</v>
      </c>
      <c r="L122" s="4" t="s">
        <v>89</v>
      </c>
      <c r="M122" s="4"/>
      <c r="N122" s="4"/>
      <c r="O122" s="4"/>
      <c r="P122" s="4"/>
      <c r="Q122" s="4"/>
      <c r="R122" s="4"/>
      <c r="S122" s="13" t="n">
        <v>0</v>
      </c>
      <c r="T122" s="4" t="s">
        <v>173</v>
      </c>
      <c r="U122" s="14" t="n">
        <f aca="false">IF(OR($S122="",PARAMETROS!$B$4=""),"",$S122*PARAMETROS!$B$4)</f>
        <v>0</v>
      </c>
      <c r="V122" s="13" t="n">
        <v>0</v>
      </c>
      <c r="W122" s="4"/>
      <c r="X122" s="4"/>
      <c r="Y122" s="4"/>
      <c r="Z122" s="4"/>
      <c r="AA122" s="4"/>
      <c r="AB122" s="4"/>
      <c r="AC122" s="4"/>
      <c r="AD122" s="4"/>
      <c r="AE122" s="4"/>
      <c r="AF122" s="4"/>
      <c r="AG122" s="4"/>
      <c r="AH122" s="4"/>
      <c r="AI122" s="4"/>
      <c r="AJ122" s="4"/>
      <c r="AK122" s="4"/>
      <c r="AL122" s="4" t="s">
        <v>174</v>
      </c>
      <c r="AM122" s="4" t="s">
        <v>190</v>
      </c>
    </row>
    <row r="123" customFormat="false" ht="23.85" hidden="false" customHeight="false" outlineLevel="0" collapsed="false">
      <c r="A123" s="4" t="s">
        <v>167</v>
      </c>
      <c r="B123" s="4" t="s">
        <v>298</v>
      </c>
      <c r="C123" s="4" t="s">
        <v>298</v>
      </c>
      <c r="D123" s="12" t="n">
        <v>2018</v>
      </c>
      <c r="E123" s="4"/>
      <c r="F123" s="4" t="s">
        <v>169</v>
      </c>
      <c r="G123" s="4" t="s">
        <v>170</v>
      </c>
      <c r="H123" s="4" t="s">
        <v>171</v>
      </c>
      <c r="I123" s="4" t="s">
        <v>172</v>
      </c>
      <c r="J123" s="4" t="s">
        <v>298</v>
      </c>
      <c r="K123" s="4" t="s">
        <v>88</v>
      </c>
      <c r="L123" s="4" t="s">
        <v>89</v>
      </c>
      <c r="M123" s="4"/>
      <c r="N123" s="4"/>
      <c r="O123" s="4"/>
      <c r="P123" s="4"/>
      <c r="Q123" s="4"/>
      <c r="R123" s="4"/>
      <c r="S123" s="13" t="n">
        <v>0</v>
      </c>
      <c r="T123" s="4" t="s">
        <v>173</v>
      </c>
      <c r="U123" s="14" t="n">
        <f aca="false">IF(OR($S123="",PARAMETROS!$B$4=""),"",$S123*PARAMETROS!$B$4)</f>
        <v>0</v>
      </c>
      <c r="V123" s="13" t="n">
        <v>0</v>
      </c>
      <c r="W123" s="4"/>
      <c r="X123" s="4"/>
      <c r="Y123" s="4"/>
      <c r="Z123" s="4"/>
      <c r="AA123" s="4"/>
      <c r="AB123" s="4"/>
      <c r="AC123" s="4"/>
      <c r="AD123" s="4"/>
      <c r="AE123" s="4"/>
      <c r="AF123" s="4"/>
      <c r="AG123" s="4"/>
      <c r="AH123" s="4"/>
      <c r="AI123" s="4"/>
      <c r="AJ123" s="4"/>
      <c r="AK123" s="4"/>
      <c r="AL123" s="4" t="s">
        <v>174</v>
      </c>
      <c r="AM123" s="4" t="s">
        <v>190</v>
      </c>
    </row>
    <row r="124" customFormat="false" ht="23.85" hidden="false" customHeight="false" outlineLevel="0" collapsed="false">
      <c r="A124" s="4" t="s">
        <v>167</v>
      </c>
      <c r="B124" s="4" t="s">
        <v>299</v>
      </c>
      <c r="C124" s="4" t="s">
        <v>299</v>
      </c>
      <c r="D124" s="12" t="n">
        <v>2018</v>
      </c>
      <c r="E124" s="4"/>
      <c r="F124" s="4" t="s">
        <v>169</v>
      </c>
      <c r="G124" s="4" t="s">
        <v>170</v>
      </c>
      <c r="H124" s="4" t="s">
        <v>171</v>
      </c>
      <c r="I124" s="4" t="s">
        <v>172</v>
      </c>
      <c r="J124" s="4" t="s">
        <v>299</v>
      </c>
      <c r="K124" s="4" t="s">
        <v>88</v>
      </c>
      <c r="L124" s="4" t="s">
        <v>89</v>
      </c>
      <c r="M124" s="4"/>
      <c r="N124" s="4"/>
      <c r="O124" s="4"/>
      <c r="P124" s="4"/>
      <c r="Q124" s="4"/>
      <c r="R124" s="4"/>
      <c r="S124" s="13" t="n">
        <v>0</v>
      </c>
      <c r="T124" s="4" t="s">
        <v>173</v>
      </c>
      <c r="U124" s="14" t="n">
        <f aca="false">IF(OR($S124="",PARAMETROS!$B$4=""),"",$S124*PARAMETROS!$B$4)</f>
        <v>0</v>
      </c>
      <c r="V124" s="13" t="n">
        <v>0</v>
      </c>
      <c r="W124" s="4"/>
      <c r="X124" s="4"/>
      <c r="Y124" s="4"/>
      <c r="Z124" s="4"/>
      <c r="AA124" s="4"/>
      <c r="AB124" s="4"/>
      <c r="AC124" s="4"/>
      <c r="AD124" s="4"/>
      <c r="AE124" s="4"/>
      <c r="AF124" s="4"/>
      <c r="AG124" s="4"/>
      <c r="AH124" s="4"/>
      <c r="AI124" s="4"/>
      <c r="AJ124" s="4"/>
      <c r="AK124" s="4"/>
      <c r="AL124" s="4" t="s">
        <v>174</v>
      </c>
      <c r="AM124" s="4" t="s">
        <v>190</v>
      </c>
    </row>
    <row r="125" customFormat="false" ht="23.85" hidden="false" customHeight="false" outlineLevel="0" collapsed="false">
      <c r="A125" s="4" t="s">
        <v>167</v>
      </c>
      <c r="B125" s="4" t="s">
        <v>300</v>
      </c>
      <c r="C125" s="4" t="s">
        <v>300</v>
      </c>
      <c r="D125" s="12" t="n">
        <v>2018</v>
      </c>
      <c r="E125" s="4"/>
      <c r="F125" s="4" t="s">
        <v>169</v>
      </c>
      <c r="G125" s="4" t="s">
        <v>170</v>
      </c>
      <c r="H125" s="4" t="s">
        <v>171</v>
      </c>
      <c r="I125" s="4" t="s">
        <v>172</v>
      </c>
      <c r="J125" s="4" t="s">
        <v>300</v>
      </c>
      <c r="K125" s="4" t="s">
        <v>88</v>
      </c>
      <c r="L125" s="4" t="s">
        <v>89</v>
      </c>
      <c r="M125" s="4"/>
      <c r="N125" s="4"/>
      <c r="O125" s="4"/>
      <c r="P125" s="4"/>
      <c r="Q125" s="4"/>
      <c r="R125" s="4"/>
      <c r="S125" s="13" t="n">
        <v>0</v>
      </c>
      <c r="T125" s="4" t="s">
        <v>173</v>
      </c>
      <c r="U125" s="14" t="n">
        <f aca="false">IF(OR($S125="",PARAMETROS!$B$4=""),"",$S125*PARAMETROS!$B$4)</f>
        <v>0</v>
      </c>
      <c r="V125" s="13" t="n">
        <v>0</v>
      </c>
      <c r="W125" s="4"/>
      <c r="X125" s="4"/>
      <c r="Y125" s="4"/>
      <c r="Z125" s="4"/>
      <c r="AA125" s="4"/>
      <c r="AB125" s="4"/>
      <c r="AC125" s="4"/>
      <c r="AD125" s="4"/>
      <c r="AE125" s="4"/>
      <c r="AF125" s="4"/>
      <c r="AG125" s="4"/>
      <c r="AH125" s="4"/>
      <c r="AI125" s="4"/>
      <c r="AJ125" s="4"/>
      <c r="AK125" s="4"/>
      <c r="AL125" s="4" t="s">
        <v>174</v>
      </c>
      <c r="AM125" s="4" t="s">
        <v>190</v>
      </c>
    </row>
    <row r="126" customFormat="false" ht="23.85" hidden="false" customHeight="false" outlineLevel="0" collapsed="false">
      <c r="A126" s="4" t="s">
        <v>167</v>
      </c>
      <c r="B126" s="4" t="s">
        <v>301</v>
      </c>
      <c r="C126" s="4" t="s">
        <v>301</v>
      </c>
      <c r="D126" s="12" t="n">
        <v>2018</v>
      </c>
      <c r="E126" s="4"/>
      <c r="F126" s="4" t="s">
        <v>169</v>
      </c>
      <c r="G126" s="4" t="s">
        <v>170</v>
      </c>
      <c r="H126" s="4" t="s">
        <v>171</v>
      </c>
      <c r="I126" s="4" t="s">
        <v>172</v>
      </c>
      <c r="J126" s="4" t="s">
        <v>301</v>
      </c>
      <c r="K126" s="4" t="s">
        <v>88</v>
      </c>
      <c r="L126" s="4" t="s">
        <v>89</v>
      </c>
      <c r="M126" s="4"/>
      <c r="N126" s="4"/>
      <c r="O126" s="4"/>
      <c r="P126" s="4"/>
      <c r="Q126" s="4"/>
      <c r="R126" s="4"/>
      <c r="S126" s="13" t="n">
        <v>0</v>
      </c>
      <c r="T126" s="4" t="s">
        <v>173</v>
      </c>
      <c r="U126" s="14" t="n">
        <f aca="false">IF(OR($S126="",PARAMETROS!$B$4=""),"",$S126*PARAMETROS!$B$4)</f>
        <v>0</v>
      </c>
      <c r="V126" s="13" t="n">
        <v>0</v>
      </c>
      <c r="W126" s="4"/>
      <c r="X126" s="4"/>
      <c r="Y126" s="4"/>
      <c r="Z126" s="4"/>
      <c r="AA126" s="4"/>
      <c r="AB126" s="4"/>
      <c r="AC126" s="4"/>
      <c r="AD126" s="4"/>
      <c r="AE126" s="4"/>
      <c r="AF126" s="4"/>
      <c r="AG126" s="4"/>
      <c r="AH126" s="4"/>
      <c r="AI126" s="4"/>
      <c r="AJ126" s="4"/>
      <c r="AK126" s="4"/>
      <c r="AL126" s="4" t="s">
        <v>174</v>
      </c>
      <c r="AM126" s="4" t="s">
        <v>190</v>
      </c>
    </row>
    <row r="127" customFormat="false" ht="23.85" hidden="false" customHeight="false" outlineLevel="0" collapsed="false">
      <c r="A127" s="4" t="s">
        <v>167</v>
      </c>
      <c r="B127" s="4" t="s">
        <v>302</v>
      </c>
      <c r="C127" s="4" t="s">
        <v>302</v>
      </c>
      <c r="D127" s="12" t="n">
        <v>2018</v>
      </c>
      <c r="E127" s="4"/>
      <c r="F127" s="4" t="s">
        <v>169</v>
      </c>
      <c r="G127" s="4" t="s">
        <v>170</v>
      </c>
      <c r="H127" s="4" t="s">
        <v>171</v>
      </c>
      <c r="I127" s="4" t="s">
        <v>172</v>
      </c>
      <c r="J127" s="4" t="s">
        <v>302</v>
      </c>
      <c r="K127" s="4" t="s">
        <v>88</v>
      </c>
      <c r="L127" s="4" t="s">
        <v>89</v>
      </c>
      <c r="M127" s="4"/>
      <c r="N127" s="4"/>
      <c r="O127" s="4"/>
      <c r="P127" s="4"/>
      <c r="Q127" s="4"/>
      <c r="R127" s="4"/>
      <c r="S127" s="13" t="n">
        <v>0</v>
      </c>
      <c r="T127" s="4" t="s">
        <v>173</v>
      </c>
      <c r="U127" s="14" t="n">
        <f aca="false">IF(OR($S127="",PARAMETROS!$B$4=""),"",$S127*PARAMETROS!$B$4)</f>
        <v>0</v>
      </c>
      <c r="V127" s="13" t="n">
        <v>0</v>
      </c>
      <c r="W127" s="4"/>
      <c r="X127" s="4"/>
      <c r="Y127" s="4"/>
      <c r="Z127" s="4"/>
      <c r="AA127" s="4"/>
      <c r="AB127" s="4"/>
      <c r="AC127" s="4"/>
      <c r="AD127" s="4"/>
      <c r="AE127" s="4"/>
      <c r="AF127" s="4"/>
      <c r="AG127" s="4"/>
      <c r="AH127" s="4"/>
      <c r="AI127" s="4"/>
      <c r="AJ127" s="4"/>
      <c r="AK127" s="4"/>
      <c r="AL127" s="4" t="s">
        <v>174</v>
      </c>
      <c r="AM127" s="4" t="s">
        <v>190</v>
      </c>
    </row>
    <row r="128" customFormat="false" ht="23.85" hidden="false" customHeight="false" outlineLevel="0" collapsed="false">
      <c r="A128" s="4" t="s">
        <v>167</v>
      </c>
      <c r="B128" s="4" t="s">
        <v>303</v>
      </c>
      <c r="C128" s="4" t="s">
        <v>303</v>
      </c>
      <c r="D128" s="12" t="n">
        <v>2018</v>
      </c>
      <c r="E128" s="4"/>
      <c r="F128" s="4" t="s">
        <v>169</v>
      </c>
      <c r="G128" s="4" t="s">
        <v>170</v>
      </c>
      <c r="H128" s="4" t="s">
        <v>171</v>
      </c>
      <c r="I128" s="4" t="s">
        <v>172</v>
      </c>
      <c r="J128" s="4" t="s">
        <v>303</v>
      </c>
      <c r="K128" s="4" t="s">
        <v>95</v>
      </c>
      <c r="L128" s="4" t="s">
        <v>96</v>
      </c>
      <c r="M128" s="4"/>
      <c r="N128" s="4"/>
      <c r="O128" s="4"/>
      <c r="P128" s="4"/>
      <c r="Q128" s="4"/>
      <c r="R128" s="4"/>
      <c r="S128" s="13" t="n">
        <v>0</v>
      </c>
      <c r="T128" s="4" t="s">
        <v>173</v>
      </c>
      <c r="U128" s="14" t="n">
        <f aca="false">IF(OR($S128="",PARAMETROS!$B$4=""),"",$S128*PARAMETROS!$B$4)</f>
        <v>0</v>
      </c>
      <c r="V128" s="13" t="n">
        <v>0</v>
      </c>
      <c r="W128" s="4"/>
      <c r="X128" s="4"/>
      <c r="Y128" s="4"/>
      <c r="Z128" s="4"/>
      <c r="AA128" s="4"/>
      <c r="AB128" s="4"/>
      <c r="AC128" s="4"/>
      <c r="AD128" s="4"/>
      <c r="AE128" s="4"/>
      <c r="AF128" s="4"/>
      <c r="AG128" s="4"/>
      <c r="AH128" s="4"/>
      <c r="AI128" s="4"/>
      <c r="AJ128" s="4"/>
      <c r="AK128" s="4"/>
      <c r="AL128" s="4" t="s">
        <v>174</v>
      </c>
      <c r="AM128" s="4" t="s">
        <v>175</v>
      </c>
    </row>
    <row r="129" customFormat="false" ht="23.85" hidden="false" customHeight="false" outlineLevel="0" collapsed="false">
      <c r="A129" s="4" t="s">
        <v>167</v>
      </c>
      <c r="B129" s="4" t="s">
        <v>304</v>
      </c>
      <c r="C129" s="4" t="s">
        <v>304</v>
      </c>
      <c r="D129" s="12" t="n">
        <v>2018</v>
      </c>
      <c r="E129" s="4"/>
      <c r="F129" s="4" t="s">
        <v>169</v>
      </c>
      <c r="G129" s="4" t="s">
        <v>170</v>
      </c>
      <c r="H129" s="4" t="s">
        <v>171</v>
      </c>
      <c r="I129" s="4" t="s">
        <v>172</v>
      </c>
      <c r="J129" s="4" t="s">
        <v>304</v>
      </c>
      <c r="K129" s="4" t="s">
        <v>95</v>
      </c>
      <c r="L129" s="4" t="s">
        <v>96</v>
      </c>
      <c r="M129" s="4"/>
      <c r="N129" s="4"/>
      <c r="O129" s="4"/>
      <c r="P129" s="4"/>
      <c r="Q129" s="4"/>
      <c r="R129" s="4"/>
      <c r="S129" s="13" t="n">
        <v>2714.25</v>
      </c>
      <c r="T129" s="4" t="s">
        <v>173</v>
      </c>
      <c r="U129" s="14" t="n">
        <f aca="false">IF(OR($S129="",PARAMETROS!$B$4=""),"",$S129*PARAMETROS!$B$4)</f>
        <v>15769.7925</v>
      </c>
      <c r="V129" s="13" t="n">
        <v>0</v>
      </c>
      <c r="W129" s="4"/>
      <c r="X129" s="4"/>
      <c r="Y129" s="4"/>
      <c r="Z129" s="4"/>
      <c r="AA129" s="4"/>
      <c r="AB129" s="4"/>
      <c r="AC129" s="4"/>
      <c r="AD129" s="4"/>
      <c r="AE129" s="4"/>
      <c r="AF129" s="4"/>
      <c r="AG129" s="4"/>
      <c r="AH129" s="4"/>
      <c r="AI129" s="4"/>
      <c r="AJ129" s="4"/>
      <c r="AK129" s="4"/>
      <c r="AL129" s="4" t="s">
        <v>174</v>
      </c>
      <c r="AM129" s="4" t="s">
        <v>175</v>
      </c>
    </row>
    <row r="130" customFormat="false" ht="23.85" hidden="false" customHeight="false" outlineLevel="0" collapsed="false">
      <c r="A130" s="4" t="s">
        <v>167</v>
      </c>
      <c r="B130" s="4" t="s">
        <v>305</v>
      </c>
      <c r="C130" s="4" t="s">
        <v>305</v>
      </c>
      <c r="D130" s="12" t="n">
        <v>2018</v>
      </c>
      <c r="E130" s="4"/>
      <c r="F130" s="4" t="s">
        <v>169</v>
      </c>
      <c r="G130" s="4" t="s">
        <v>170</v>
      </c>
      <c r="H130" s="4" t="s">
        <v>171</v>
      </c>
      <c r="I130" s="4" t="s">
        <v>172</v>
      </c>
      <c r="J130" s="4" t="s">
        <v>305</v>
      </c>
      <c r="K130" s="4" t="s">
        <v>95</v>
      </c>
      <c r="L130" s="4" t="s">
        <v>96</v>
      </c>
      <c r="M130" s="4"/>
      <c r="N130" s="4"/>
      <c r="O130" s="4"/>
      <c r="P130" s="4"/>
      <c r="Q130" s="4"/>
      <c r="R130" s="4"/>
      <c r="S130" s="13" t="n">
        <v>0</v>
      </c>
      <c r="T130" s="4" t="s">
        <v>173</v>
      </c>
      <c r="U130" s="14" t="n">
        <f aca="false">IF(OR($S130="",PARAMETROS!$B$4=""),"",$S130*PARAMETROS!$B$4)</f>
        <v>0</v>
      </c>
      <c r="V130" s="13" t="n">
        <v>0</v>
      </c>
      <c r="W130" s="4"/>
      <c r="X130" s="4"/>
      <c r="Y130" s="4"/>
      <c r="Z130" s="4"/>
      <c r="AA130" s="4"/>
      <c r="AB130" s="4"/>
      <c r="AC130" s="4"/>
      <c r="AD130" s="4"/>
      <c r="AE130" s="4"/>
      <c r="AF130" s="4"/>
      <c r="AG130" s="4"/>
      <c r="AH130" s="4"/>
      <c r="AI130" s="4"/>
      <c r="AJ130" s="4"/>
      <c r="AK130" s="4"/>
      <c r="AL130" s="4" t="s">
        <v>174</v>
      </c>
      <c r="AM130" s="4" t="s">
        <v>175</v>
      </c>
    </row>
    <row r="131" customFormat="false" ht="23.85" hidden="false" customHeight="false" outlineLevel="0" collapsed="false">
      <c r="A131" s="4" t="s">
        <v>167</v>
      </c>
      <c r="B131" s="4" t="s">
        <v>306</v>
      </c>
      <c r="C131" s="4" t="s">
        <v>306</v>
      </c>
      <c r="D131" s="12" t="n">
        <v>2018</v>
      </c>
      <c r="E131" s="4"/>
      <c r="F131" s="4" t="s">
        <v>169</v>
      </c>
      <c r="G131" s="4" t="s">
        <v>170</v>
      </c>
      <c r="H131" s="4" t="s">
        <v>171</v>
      </c>
      <c r="I131" s="4" t="s">
        <v>172</v>
      </c>
      <c r="J131" s="4" t="s">
        <v>306</v>
      </c>
      <c r="K131" s="4" t="s">
        <v>95</v>
      </c>
      <c r="L131" s="4" t="s">
        <v>96</v>
      </c>
      <c r="M131" s="4"/>
      <c r="N131" s="4"/>
      <c r="O131" s="4"/>
      <c r="P131" s="4"/>
      <c r="Q131" s="4"/>
      <c r="R131" s="4"/>
      <c r="S131" s="13" t="n">
        <v>-362.69</v>
      </c>
      <c r="T131" s="4" t="s">
        <v>173</v>
      </c>
      <c r="U131" s="14" t="n">
        <f aca="false">IF(OR($S131="",PARAMETROS!$B$4=""),"",$S131*PARAMETROS!$B$4)</f>
        <v>-2107.2289</v>
      </c>
      <c r="V131" s="13" t="n">
        <v>0</v>
      </c>
      <c r="W131" s="4"/>
      <c r="X131" s="4"/>
      <c r="Y131" s="4"/>
      <c r="Z131" s="4"/>
      <c r="AA131" s="4"/>
      <c r="AB131" s="4"/>
      <c r="AC131" s="4"/>
      <c r="AD131" s="4"/>
      <c r="AE131" s="4"/>
      <c r="AF131" s="4"/>
      <c r="AG131" s="4"/>
      <c r="AH131" s="4"/>
      <c r="AI131" s="4"/>
      <c r="AJ131" s="4"/>
      <c r="AK131" s="4"/>
      <c r="AL131" s="4" t="s">
        <v>174</v>
      </c>
      <c r="AM131" s="4" t="s">
        <v>175</v>
      </c>
    </row>
    <row r="132" customFormat="false" ht="23.85" hidden="false" customHeight="false" outlineLevel="0" collapsed="false">
      <c r="A132" s="4" t="s">
        <v>167</v>
      </c>
      <c r="B132" s="4" t="s">
        <v>307</v>
      </c>
      <c r="C132" s="4" t="s">
        <v>307</v>
      </c>
      <c r="D132" s="12" t="n">
        <v>2018</v>
      </c>
      <c r="E132" s="4"/>
      <c r="F132" s="4" t="s">
        <v>169</v>
      </c>
      <c r="G132" s="4" t="s">
        <v>170</v>
      </c>
      <c r="H132" s="4" t="s">
        <v>171</v>
      </c>
      <c r="I132" s="4" t="s">
        <v>172</v>
      </c>
      <c r="J132" s="4" t="s">
        <v>307</v>
      </c>
      <c r="K132" s="4" t="s">
        <v>95</v>
      </c>
      <c r="L132" s="4" t="s">
        <v>96</v>
      </c>
      <c r="M132" s="4"/>
      <c r="N132" s="4"/>
      <c r="O132" s="4"/>
      <c r="P132" s="4"/>
      <c r="Q132" s="4"/>
      <c r="R132" s="4"/>
      <c r="S132" s="13" t="n">
        <v>0</v>
      </c>
      <c r="T132" s="4" t="s">
        <v>173</v>
      </c>
      <c r="U132" s="14" t="n">
        <f aca="false">IF(OR($S132="",PARAMETROS!$B$4=""),"",$S132*PARAMETROS!$B$4)</f>
        <v>0</v>
      </c>
      <c r="V132" s="13" t="n">
        <v>0</v>
      </c>
      <c r="W132" s="4"/>
      <c r="X132" s="4"/>
      <c r="Y132" s="4"/>
      <c r="Z132" s="4"/>
      <c r="AA132" s="4"/>
      <c r="AB132" s="4"/>
      <c r="AC132" s="4"/>
      <c r="AD132" s="4"/>
      <c r="AE132" s="4"/>
      <c r="AF132" s="4"/>
      <c r="AG132" s="4"/>
      <c r="AH132" s="4"/>
      <c r="AI132" s="4"/>
      <c r="AJ132" s="4"/>
      <c r="AK132" s="4"/>
      <c r="AL132" s="4" t="s">
        <v>174</v>
      </c>
      <c r="AM132" s="4" t="s">
        <v>175</v>
      </c>
    </row>
    <row r="133" customFormat="false" ht="23.85" hidden="false" customHeight="false" outlineLevel="0" collapsed="false">
      <c r="A133" s="4" t="s">
        <v>167</v>
      </c>
      <c r="B133" s="4" t="s">
        <v>308</v>
      </c>
      <c r="C133" s="4" t="s">
        <v>308</v>
      </c>
      <c r="D133" s="12" t="n">
        <v>2018</v>
      </c>
      <c r="E133" s="4"/>
      <c r="F133" s="4" t="s">
        <v>169</v>
      </c>
      <c r="G133" s="4" t="s">
        <v>170</v>
      </c>
      <c r="H133" s="4" t="s">
        <v>171</v>
      </c>
      <c r="I133" s="4" t="s">
        <v>172</v>
      </c>
      <c r="J133" s="4" t="s">
        <v>308</v>
      </c>
      <c r="K133" s="4" t="s">
        <v>95</v>
      </c>
      <c r="L133" s="4" t="s">
        <v>96</v>
      </c>
      <c r="M133" s="4"/>
      <c r="N133" s="4"/>
      <c r="O133" s="4"/>
      <c r="P133" s="4"/>
      <c r="Q133" s="4"/>
      <c r="R133" s="4"/>
      <c r="S133" s="13" t="n">
        <v>-166.79</v>
      </c>
      <c r="T133" s="4" t="s">
        <v>173</v>
      </c>
      <c r="U133" s="14" t="n">
        <f aca="false">IF(OR($S133="",PARAMETROS!$B$4=""),"",$S133*PARAMETROS!$B$4)</f>
        <v>-969.0499</v>
      </c>
      <c r="V133" s="13" t="n">
        <v>0</v>
      </c>
      <c r="W133" s="4"/>
      <c r="X133" s="4"/>
      <c r="Y133" s="4"/>
      <c r="Z133" s="4"/>
      <c r="AA133" s="4"/>
      <c r="AB133" s="4"/>
      <c r="AC133" s="4"/>
      <c r="AD133" s="4"/>
      <c r="AE133" s="4"/>
      <c r="AF133" s="4"/>
      <c r="AG133" s="4"/>
      <c r="AH133" s="4"/>
      <c r="AI133" s="4"/>
      <c r="AJ133" s="4"/>
      <c r="AK133" s="4"/>
      <c r="AL133" s="4" t="s">
        <v>174</v>
      </c>
      <c r="AM133" s="4" t="s">
        <v>175</v>
      </c>
    </row>
    <row r="134" customFormat="false" ht="23.85" hidden="false" customHeight="false" outlineLevel="0" collapsed="false">
      <c r="A134" s="4" t="s">
        <v>167</v>
      </c>
      <c r="B134" s="4" t="s">
        <v>309</v>
      </c>
      <c r="C134" s="4" t="s">
        <v>309</v>
      </c>
      <c r="D134" s="12" t="n">
        <v>2018</v>
      </c>
      <c r="E134" s="4"/>
      <c r="F134" s="4" t="s">
        <v>169</v>
      </c>
      <c r="G134" s="4" t="s">
        <v>170</v>
      </c>
      <c r="H134" s="4" t="s">
        <v>171</v>
      </c>
      <c r="I134" s="4" t="s">
        <v>172</v>
      </c>
      <c r="J134" s="4" t="s">
        <v>309</v>
      </c>
      <c r="K134" s="4" t="s">
        <v>95</v>
      </c>
      <c r="L134" s="4" t="s">
        <v>96</v>
      </c>
      <c r="M134" s="4"/>
      <c r="N134" s="4"/>
      <c r="O134" s="4"/>
      <c r="P134" s="4"/>
      <c r="Q134" s="4"/>
      <c r="R134" s="4"/>
      <c r="S134" s="13" t="n">
        <v>-97.19</v>
      </c>
      <c r="T134" s="4" t="s">
        <v>173</v>
      </c>
      <c r="U134" s="14" t="n">
        <f aca="false">IF(OR($S134="",PARAMETROS!$B$4=""),"",$S134*PARAMETROS!$B$4)</f>
        <v>-564.6739</v>
      </c>
      <c r="V134" s="13" t="n">
        <v>0</v>
      </c>
      <c r="W134" s="4"/>
      <c r="X134" s="4"/>
      <c r="Y134" s="4"/>
      <c r="Z134" s="4"/>
      <c r="AA134" s="4"/>
      <c r="AB134" s="4"/>
      <c r="AC134" s="4"/>
      <c r="AD134" s="4"/>
      <c r="AE134" s="4"/>
      <c r="AF134" s="4"/>
      <c r="AG134" s="4"/>
      <c r="AH134" s="4"/>
      <c r="AI134" s="4"/>
      <c r="AJ134" s="4"/>
      <c r="AK134" s="4"/>
      <c r="AL134" s="4" t="s">
        <v>174</v>
      </c>
      <c r="AM134" s="4" t="s">
        <v>175</v>
      </c>
    </row>
    <row r="135" customFormat="false" ht="23.85" hidden="false" customHeight="false" outlineLevel="0" collapsed="false">
      <c r="A135" s="4" t="s">
        <v>167</v>
      </c>
      <c r="B135" s="4" t="s">
        <v>310</v>
      </c>
      <c r="C135" s="4" t="s">
        <v>310</v>
      </c>
      <c r="D135" s="12" t="n">
        <v>2018</v>
      </c>
      <c r="E135" s="4"/>
      <c r="F135" s="4" t="s">
        <v>169</v>
      </c>
      <c r="G135" s="4" t="s">
        <v>170</v>
      </c>
      <c r="H135" s="4" t="s">
        <v>171</v>
      </c>
      <c r="I135" s="4" t="s">
        <v>172</v>
      </c>
      <c r="J135" s="4" t="s">
        <v>310</v>
      </c>
      <c r="K135" s="4" t="s">
        <v>95</v>
      </c>
      <c r="L135" s="4" t="s">
        <v>96</v>
      </c>
      <c r="M135" s="4"/>
      <c r="N135" s="4"/>
      <c r="O135" s="4"/>
      <c r="P135" s="4"/>
      <c r="Q135" s="4"/>
      <c r="R135" s="4"/>
      <c r="S135" s="13" t="n">
        <v>947.08</v>
      </c>
      <c r="T135" s="4" t="s">
        <v>173</v>
      </c>
      <c r="U135" s="14" t="n">
        <f aca="false">IF(OR($S135="",PARAMETROS!$B$4=""),"",$S135*PARAMETROS!$B$4)</f>
        <v>5502.5348</v>
      </c>
      <c r="V135" s="13" t="n">
        <v>0</v>
      </c>
      <c r="W135" s="4"/>
      <c r="X135" s="4"/>
      <c r="Y135" s="4"/>
      <c r="Z135" s="4"/>
      <c r="AA135" s="4"/>
      <c r="AB135" s="4"/>
      <c r="AC135" s="4"/>
      <c r="AD135" s="4"/>
      <c r="AE135" s="4"/>
      <c r="AF135" s="4"/>
      <c r="AG135" s="4"/>
      <c r="AH135" s="4"/>
      <c r="AI135" s="4"/>
      <c r="AJ135" s="4"/>
      <c r="AK135" s="4"/>
      <c r="AL135" s="4" t="s">
        <v>174</v>
      </c>
      <c r="AM135" s="4" t="s">
        <v>175</v>
      </c>
    </row>
    <row r="136" customFormat="false" ht="23.85" hidden="false" customHeight="false" outlineLevel="0" collapsed="false">
      <c r="A136" s="4" t="s">
        <v>167</v>
      </c>
      <c r="B136" s="4" t="s">
        <v>311</v>
      </c>
      <c r="C136" s="4" t="s">
        <v>311</v>
      </c>
      <c r="D136" s="12" t="n">
        <v>2018</v>
      </c>
      <c r="E136" s="4"/>
      <c r="F136" s="4" t="s">
        <v>169</v>
      </c>
      <c r="G136" s="4" t="s">
        <v>170</v>
      </c>
      <c r="H136" s="4" t="s">
        <v>171</v>
      </c>
      <c r="I136" s="4" t="s">
        <v>172</v>
      </c>
      <c r="J136" s="4" t="s">
        <v>311</v>
      </c>
      <c r="K136" s="4" t="s">
        <v>95</v>
      </c>
      <c r="L136" s="4" t="s">
        <v>96</v>
      </c>
      <c r="M136" s="4"/>
      <c r="N136" s="4"/>
      <c r="O136" s="4"/>
      <c r="P136" s="4"/>
      <c r="Q136" s="4"/>
      <c r="R136" s="4"/>
      <c r="S136" s="13" t="n">
        <v>0</v>
      </c>
      <c r="T136" s="4" t="s">
        <v>173</v>
      </c>
      <c r="U136" s="14" t="n">
        <f aca="false">IF(OR($S136="",PARAMETROS!$B$4=""),"",$S136*PARAMETROS!$B$4)</f>
        <v>0</v>
      </c>
      <c r="V136" s="13" t="n">
        <v>0</v>
      </c>
      <c r="W136" s="4"/>
      <c r="X136" s="4"/>
      <c r="Y136" s="4"/>
      <c r="Z136" s="4"/>
      <c r="AA136" s="4"/>
      <c r="AB136" s="4"/>
      <c r="AC136" s="4"/>
      <c r="AD136" s="4"/>
      <c r="AE136" s="4"/>
      <c r="AF136" s="4"/>
      <c r="AG136" s="4"/>
      <c r="AH136" s="4"/>
      <c r="AI136" s="4"/>
      <c r="AJ136" s="4"/>
      <c r="AK136" s="4"/>
      <c r="AL136" s="4" t="s">
        <v>174</v>
      </c>
      <c r="AM136" s="4" t="s">
        <v>175</v>
      </c>
    </row>
    <row r="137" customFormat="false" ht="23.85" hidden="false" customHeight="false" outlineLevel="0" collapsed="false">
      <c r="A137" s="4" t="s">
        <v>167</v>
      </c>
      <c r="B137" s="4" t="s">
        <v>312</v>
      </c>
      <c r="C137" s="4" t="s">
        <v>312</v>
      </c>
      <c r="D137" s="12" t="n">
        <v>2018</v>
      </c>
      <c r="E137" s="4"/>
      <c r="F137" s="4" t="s">
        <v>169</v>
      </c>
      <c r="G137" s="4" t="s">
        <v>170</v>
      </c>
      <c r="H137" s="4" t="s">
        <v>171</v>
      </c>
      <c r="I137" s="4" t="s">
        <v>172</v>
      </c>
      <c r="J137" s="4" t="s">
        <v>312</v>
      </c>
      <c r="K137" s="4" t="s">
        <v>95</v>
      </c>
      <c r="L137" s="4" t="s">
        <v>96</v>
      </c>
      <c r="M137" s="4"/>
      <c r="N137" s="4"/>
      <c r="O137" s="4"/>
      <c r="P137" s="4"/>
      <c r="Q137" s="4"/>
      <c r="R137" s="4"/>
      <c r="S137" s="13" t="n">
        <v>0</v>
      </c>
      <c r="T137" s="4" t="s">
        <v>173</v>
      </c>
      <c r="U137" s="14" t="n">
        <f aca="false">IF(OR($S137="",PARAMETROS!$B$4=""),"",$S137*PARAMETROS!$B$4)</f>
        <v>0</v>
      </c>
      <c r="V137" s="13" t="n">
        <v>0</v>
      </c>
      <c r="W137" s="4"/>
      <c r="X137" s="4"/>
      <c r="Y137" s="4"/>
      <c r="Z137" s="4"/>
      <c r="AA137" s="4"/>
      <c r="AB137" s="4"/>
      <c r="AC137" s="4"/>
      <c r="AD137" s="4"/>
      <c r="AE137" s="4"/>
      <c r="AF137" s="4"/>
      <c r="AG137" s="4"/>
      <c r="AH137" s="4"/>
      <c r="AI137" s="4"/>
      <c r="AJ137" s="4"/>
      <c r="AK137" s="4"/>
      <c r="AL137" s="4" t="s">
        <v>174</v>
      </c>
      <c r="AM137" s="4" t="s">
        <v>175</v>
      </c>
    </row>
    <row r="138" customFormat="false" ht="23.85" hidden="false" customHeight="false" outlineLevel="0" collapsed="false">
      <c r="A138" s="4" t="s">
        <v>167</v>
      </c>
      <c r="B138" s="4" t="s">
        <v>313</v>
      </c>
      <c r="C138" s="4" t="s">
        <v>313</v>
      </c>
      <c r="D138" s="12" t="n">
        <v>2018</v>
      </c>
      <c r="E138" s="4"/>
      <c r="F138" s="4" t="s">
        <v>169</v>
      </c>
      <c r="G138" s="4" t="s">
        <v>170</v>
      </c>
      <c r="H138" s="4" t="s">
        <v>171</v>
      </c>
      <c r="I138" s="4" t="s">
        <v>172</v>
      </c>
      <c r="J138" s="4" t="s">
        <v>313</v>
      </c>
      <c r="K138" s="4" t="s">
        <v>95</v>
      </c>
      <c r="L138" s="4" t="s">
        <v>96</v>
      </c>
      <c r="M138" s="4"/>
      <c r="N138" s="4"/>
      <c r="O138" s="4"/>
      <c r="P138" s="4"/>
      <c r="Q138" s="4"/>
      <c r="R138" s="4"/>
      <c r="S138" s="13" t="n">
        <v>0</v>
      </c>
      <c r="T138" s="4" t="s">
        <v>173</v>
      </c>
      <c r="U138" s="14" t="n">
        <f aca="false">IF(OR($S138="",PARAMETROS!$B$4=""),"",$S138*PARAMETROS!$B$4)</f>
        <v>0</v>
      </c>
      <c r="V138" s="13" t="n">
        <v>0</v>
      </c>
      <c r="W138" s="4"/>
      <c r="X138" s="4"/>
      <c r="Y138" s="4"/>
      <c r="Z138" s="4"/>
      <c r="AA138" s="4"/>
      <c r="AB138" s="4"/>
      <c r="AC138" s="4"/>
      <c r="AD138" s="4"/>
      <c r="AE138" s="4"/>
      <c r="AF138" s="4"/>
      <c r="AG138" s="4"/>
      <c r="AH138" s="4"/>
      <c r="AI138" s="4"/>
      <c r="AJ138" s="4"/>
      <c r="AK138" s="4"/>
      <c r="AL138" s="4" t="s">
        <v>174</v>
      </c>
      <c r="AM138" s="4" t="s">
        <v>175</v>
      </c>
    </row>
    <row r="139" customFormat="false" ht="23.85" hidden="false" customHeight="false" outlineLevel="0" collapsed="false">
      <c r="A139" s="4" t="s">
        <v>167</v>
      </c>
      <c r="B139" s="4" t="s">
        <v>314</v>
      </c>
      <c r="C139" s="4" t="s">
        <v>314</v>
      </c>
      <c r="D139" s="12" t="n">
        <v>2018</v>
      </c>
      <c r="E139" s="4"/>
      <c r="F139" s="4" t="s">
        <v>169</v>
      </c>
      <c r="G139" s="4" t="s">
        <v>170</v>
      </c>
      <c r="H139" s="4" t="s">
        <v>171</v>
      </c>
      <c r="I139" s="4" t="s">
        <v>172</v>
      </c>
      <c r="J139" s="4" t="s">
        <v>314</v>
      </c>
      <c r="K139" s="4" t="s">
        <v>95</v>
      </c>
      <c r="L139" s="4" t="s">
        <v>96</v>
      </c>
      <c r="M139" s="4"/>
      <c r="N139" s="4"/>
      <c r="O139" s="4"/>
      <c r="P139" s="4"/>
      <c r="Q139" s="4"/>
      <c r="R139" s="4"/>
      <c r="S139" s="13" t="n">
        <v>1140.5</v>
      </c>
      <c r="T139" s="4" t="s">
        <v>173</v>
      </c>
      <c r="U139" s="14" t="n">
        <f aca="false">IF(OR($S139="",PARAMETROS!$B$4=""),"",$S139*PARAMETROS!$B$4)</f>
        <v>6626.305</v>
      </c>
      <c r="V139" s="13" t="n">
        <v>0</v>
      </c>
      <c r="W139" s="4"/>
      <c r="X139" s="4"/>
      <c r="Y139" s="4"/>
      <c r="Z139" s="4"/>
      <c r="AA139" s="4"/>
      <c r="AB139" s="4"/>
      <c r="AC139" s="4"/>
      <c r="AD139" s="4"/>
      <c r="AE139" s="4"/>
      <c r="AF139" s="4"/>
      <c r="AG139" s="4"/>
      <c r="AH139" s="4"/>
      <c r="AI139" s="4"/>
      <c r="AJ139" s="4"/>
      <c r="AK139" s="4"/>
      <c r="AL139" s="4" t="s">
        <v>174</v>
      </c>
      <c r="AM139" s="4" t="s">
        <v>175</v>
      </c>
    </row>
    <row r="140" customFormat="false" ht="23.85" hidden="false" customHeight="false" outlineLevel="0" collapsed="false">
      <c r="A140" s="4" t="s">
        <v>167</v>
      </c>
      <c r="B140" s="4" t="s">
        <v>315</v>
      </c>
      <c r="C140" s="4" t="s">
        <v>315</v>
      </c>
      <c r="D140" s="12" t="n">
        <v>2018</v>
      </c>
      <c r="E140" s="4"/>
      <c r="F140" s="4" t="s">
        <v>169</v>
      </c>
      <c r="G140" s="4" t="s">
        <v>170</v>
      </c>
      <c r="H140" s="4" t="s">
        <v>171</v>
      </c>
      <c r="I140" s="4" t="s">
        <v>172</v>
      </c>
      <c r="J140" s="4" t="s">
        <v>315</v>
      </c>
      <c r="K140" s="4" t="s">
        <v>95</v>
      </c>
      <c r="L140" s="4" t="s">
        <v>96</v>
      </c>
      <c r="M140" s="4"/>
      <c r="N140" s="4"/>
      <c r="O140" s="4"/>
      <c r="P140" s="4"/>
      <c r="Q140" s="4"/>
      <c r="R140" s="4"/>
      <c r="S140" s="13" t="n">
        <v>0</v>
      </c>
      <c r="T140" s="4" t="s">
        <v>173</v>
      </c>
      <c r="U140" s="14" t="n">
        <f aca="false">IF(OR($S140="",PARAMETROS!$B$4=""),"",$S140*PARAMETROS!$B$4)</f>
        <v>0</v>
      </c>
      <c r="V140" s="13" t="n">
        <v>0</v>
      </c>
      <c r="W140" s="4"/>
      <c r="X140" s="4"/>
      <c r="Y140" s="4"/>
      <c r="Z140" s="4"/>
      <c r="AA140" s="4"/>
      <c r="AB140" s="4"/>
      <c r="AC140" s="4"/>
      <c r="AD140" s="4"/>
      <c r="AE140" s="4"/>
      <c r="AF140" s="4"/>
      <c r="AG140" s="4"/>
      <c r="AH140" s="4"/>
      <c r="AI140" s="4"/>
      <c r="AJ140" s="4"/>
      <c r="AK140" s="4"/>
      <c r="AL140" s="4" t="s">
        <v>174</v>
      </c>
      <c r="AM140" s="4" t="s">
        <v>175</v>
      </c>
    </row>
    <row r="141" customFormat="false" ht="23.85" hidden="false" customHeight="false" outlineLevel="0" collapsed="false">
      <c r="A141" s="4" t="s">
        <v>167</v>
      </c>
      <c r="B141" s="4" t="s">
        <v>316</v>
      </c>
      <c r="C141" s="4" t="s">
        <v>316</v>
      </c>
      <c r="D141" s="12" t="n">
        <v>2018</v>
      </c>
      <c r="E141" s="4"/>
      <c r="F141" s="4" t="s">
        <v>169</v>
      </c>
      <c r="G141" s="4" t="s">
        <v>170</v>
      </c>
      <c r="H141" s="4" t="s">
        <v>171</v>
      </c>
      <c r="I141" s="4" t="s">
        <v>172</v>
      </c>
      <c r="J141" s="4" t="s">
        <v>316</v>
      </c>
      <c r="K141" s="4" t="s">
        <v>95</v>
      </c>
      <c r="L141" s="4" t="s">
        <v>96</v>
      </c>
      <c r="M141" s="4"/>
      <c r="N141" s="4"/>
      <c r="O141" s="4"/>
      <c r="P141" s="4"/>
      <c r="Q141" s="4"/>
      <c r="R141" s="4"/>
      <c r="S141" s="13" t="n">
        <v>0</v>
      </c>
      <c r="T141" s="4" t="s">
        <v>173</v>
      </c>
      <c r="U141" s="14" t="n">
        <f aca="false">IF(OR($S141="",PARAMETROS!$B$4=""),"",$S141*PARAMETROS!$B$4)</f>
        <v>0</v>
      </c>
      <c r="V141" s="13" t="n">
        <v>0</v>
      </c>
      <c r="W141" s="4"/>
      <c r="X141" s="4"/>
      <c r="Y141" s="4"/>
      <c r="Z141" s="4"/>
      <c r="AA141" s="4"/>
      <c r="AB141" s="4"/>
      <c r="AC141" s="4"/>
      <c r="AD141" s="4"/>
      <c r="AE141" s="4"/>
      <c r="AF141" s="4"/>
      <c r="AG141" s="4"/>
      <c r="AH141" s="4"/>
      <c r="AI141" s="4"/>
      <c r="AJ141" s="4"/>
      <c r="AK141" s="4"/>
      <c r="AL141" s="4" t="s">
        <v>174</v>
      </c>
      <c r="AM141" s="4" t="s">
        <v>175</v>
      </c>
    </row>
    <row r="142" customFormat="false" ht="23.85" hidden="false" customHeight="false" outlineLevel="0" collapsed="false">
      <c r="A142" s="4" t="s">
        <v>167</v>
      </c>
      <c r="B142" s="4" t="s">
        <v>317</v>
      </c>
      <c r="C142" s="4" t="s">
        <v>317</v>
      </c>
      <c r="D142" s="12" t="n">
        <v>2018</v>
      </c>
      <c r="E142" s="4"/>
      <c r="F142" s="4" t="s">
        <v>169</v>
      </c>
      <c r="G142" s="4" t="s">
        <v>170</v>
      </c>
      <c r="H142" s="4" t="s">
        <v>171</v>
      </c>
      <c r="I142" s="4" t="s">
        <v>172</v>
      </c>
      <c r="J142" s="4" t="s">
        <v>317</v>
      </c>
      <c r="K142" s="4" t="s">
        <v>97</v>
      </c>
      <c r="L142" s="4" t="s">
        <v>98</v>
      </c>
      <c r="M142" s="4"/>
      <c r="N142" s="4"/>
      <c r="O142" s="4"/>
      <c r="P142" s="4"/>
      <c r="Q142" s="4"/>
      <c r="R142" s="4"/>
      <c r="S142" s="13" t="n">
        <v>0</v>
      </c>
      <c r="T142" s="4" t="s">
        <v>173</v>
      </c>
      <c r="U142" s="14" t="n">
        <f aca="false">IF(OR($S142="",PARAMETROS!$B$4=""),"",$S142*PARAMETROS!$B$4)</f>
        <v>0</v>
      </c>
      <c r="V142" s="13" t="n">
        <v>0</v>
      </c>
      <c r="W142" s="4"/>
      <c r="X142" s="4"/>
      <c r="Y142" s="4"/>
      <c r="Z142" s="4"/>
      <c r="AA142" s="4"/>
      <c r="AB142" s="4"/>
      <c r="AC142" s="4"/>
      <c r="AD142" s="4"/>
      <c r="AE142" s="4"/>
      <c r="AF142" s="4"/>
      <c r="AG142" s="4"/>
      <c r="AH142" s="4"/>
      <c r="AI142" s="4"/>
      <c r="AJ142" s="4"/>
      <c r="AK142" s="4"/>
      <c r="AL142" s="4" t="s">
        <v>174</v>
      </c>
      <c r="AM142" s="4" t="s">
        <v>205</v>
      </c>
    </row>
    <row r="143" customFormat="false" ht="23.85" hidden="false" customHeight="false" outlineLevel="0" collapsed="false">
      <c r="A143" s="4" t="s">
        <v>167</v>
      </c>
      <c r="B143" s="4" t="s">
        <v>318</v>
      </c>
      <c r="C143" s="4" t="s">
        <v>318</v>
      </c>
      <c r="D143" s="12" t="n">
        <v>2018</v>
      </c>
      <c r="E143" s="4"/>
      <c r="F143" s="4" t="s">
        <v>169</v>
      </c>
      <c r="G143" s="4" t="s">
        <v>170</v>
      </c>
      <c r="H143" s="4" t="s">
        <v>171</v>
      </c>
      <c r="I143" s="4" t="s">
        <v>172</v>
      </c>
      <c r="J143" s="4" t="s">
        <v>318</v>
      </c>
      <c r="K143" s="4" t="s">
        <v>97</v>
      </c>
      <c r="L143" s="4" t="s">
        <v>98</v>
      </c>
      <c r="M143" s="4"/>
      <c r="N143" s="4"/>
      <c r="O143" s="4"/>
      <c r="P143" s="4"/>
      <c r="Q143" s="4"/>
      <c r="R143" s="4"/>
      <c r="S143" s="13" t="n">
        <v>11790.56</v>
      </c>
      <c r="T143" s="4" t="s">
        <v>173</v>
      </c>
      <c r="U143" s="14" t="n">
        <f aca="false">IF(OR($S143="",PARAMETROS!$B$4=""),"",$S143*PARAMETROS!$B$4)</f>
        <v>68503.1536</v>
      </c>
      <c r="V143" s="13" t="n">
        <v>0</v>
      </c>
      <c r="W143" s="4"/>
      <c r="X143" s="4"/>
      <c r="Y143" s="4"/>
      <c r="Z143" s="4"/>
      <c r="AA143" s="4"/>
      <c r="AB143" s="4"/>
      <c r="AC143" s="4"/>
      <c r="AD143" s="4"/>
      <c r="AE143" s="4"/>
      <c r="AF143" s="4"/>
      <c r="AG143" s="4"/>
      <c r="AH143" s="4"/>
      <c r="AI143" s="4"/>
      <c r="AJ143" s="4"/>
      <c r="AK143" s="4"/>
      <c r="AL143" s="4" t="s">
        <v>174</v>
      </c>
      <c r="AM143" s="4" t="s">
        <v>205</v>
      </c>
    </row>
    <row r="144" customFormat="false" ht="23.85" hidden="false" customHeight="false" outlineLevel="0" collapsed="false">
      <c r="A144" s="4" t="s">
        <v>167</v>
      </c>
      <c r="B144" s="4" t="s">
        <v>319</v>
      </c>
      <c r="C144" s="4" t="s">
        <v>319</v>
      </c>
      <c r="D144" s="12" t="n">
        <v>2018</v>
      </c>
      <c r="E144" s="4"/>
      <c r="F144" s="4" t="s">
        <v>169</v>
      </c>
      <c r="G144" s="4" t="s">
        <v>170</v>
      </c>
      <c r="H144" s="4" t="s">
        <v>171</v>
      </c>
      <c r="I144" s="4" t="s">
        <v>172</v>
      </c>
      <c r="J144" s="4" t="s">
        <v>319</v>
      </c>
      <c r="K144" s="4" t="s">
        <v>97</v>
      </c>
      <c r="L144" s="4" t="s">
        <v>98</v>
      </c>
      <c r="M144" s="4"/>
      <c r="N144" s="4"/>
      <c r="O144" s="4"/>
      <c r="P144" s="4"/>
      <c r="Q144" s="4"/>
      <c r="R144" s="4"/>
      <c r="S144" s="13" t="n">
        <v>40.01</v>
      </c>
      <c r="T144" s="4" t="s">
        <v>173</v>
      </c>
      <c r="U144" s="14" t="n">
        <f aca="false">IF(OR($S144="",PARAMETROS!$B$4=""),"",$S144*PARAMETROS!$B$4)</f>
        <v>232.4581</v>
      </c>
      <c r="V144" s="13" t="n">
        <v>0</v>
      </c>
      <c r="W144" s="4"/>
      <c r="X144" s="4"/>
      <c r="Y144" s="4"/>
      <c r="Z144" s="4"/>
      <c r="AA144" s="4"/>
      <c r="AB144" s="4"/>
      <c r="AC144" s="4"/>
      <c r="AD144" s="4"/>
      <c r="AE144" s="4"/>
      <c r="AF144" s="4"/>
      <c r="AG144" s="4"/>
      <c r="AH144" s="4"/>
      <c r="AI144" s="4"/>
      <c r="AJ144" s="4"/>
      <c r="AK144" s="4"/>
      <c r="AL144" s="4" t="s">
        <v>174</v>
      </c>
      <c r="AM144" s="4" t="s">
        <v>205</v>
      </c>
    </row>
    <row r="145" customFormat="false" ht="23.85" hidden="false" customHeight="false" outlineLevel="0" collapsed="false">
      <c r="A145" s="4" t="s">
        <v>167</v>
      </c>
      <c r="B145" s="4" t="s">
        <v>320</v>
      </c>
      <c r="C145" s="4" t="s">
        <v>320</v>
      </c>
      <c r="D145" s="12" t="n">
        <v>2018</v>
      </c>
      <c r="E145" s="4"/>
      <c r="F145" s="4" t="s">
        <v>169</v>
      </c>
      <c r="G145" s="4" t="s">
        <v>170</v>
      </c>
      <c r="H145" s="4" t="s">
        <v>171</v>
      </c>
      <c r="I145" s="4" t="s">
        <v>172</v>
      </c>
      <c r="J145" s="4" t="s">
        <v>320</v>
      </c>
      <c r="K145" s="4" t="s">
        <v>97</v>
      </c>
      <c r="L145" s="4" t="s">
        <v>98</v>
      </c>
      <c r="M145" s="4"/>
      <c r="N145" s="4"/>
      <c r="O145" s="4"/>
      <c r="P145" s="4"/>
      <c r="Q145" s="4"/>
      <c r="R145" s="4"/>
      <c r="S145" s="13" t="n">
        <v>667.85</v>
      </c>
      <c r="T145" s="4" t="s">
        <v>173</v>
      </c>
      <c r="U145" s="14" t="n">
        <f aca="false">IF(OR($S145="",PARAMETROS!$B$4=""),"",$S145*PARAMETROS!$B$4)</f>
        <v>3880.2085</v>
      </c>
      <c r="V145" s="13" t="n">
        <v>0</v>
      </c>
      <c r="W145" s="4"/>
      <c r="X145" s="4"/>
      <c r="Y145" s="4"/>
      <c r="Z145" s="4"/>
      <c r="AA145" s="4"/>
      <c r="AB145" s="4"/>
      <c r="AC145" s="4"/>
      <c r="AD145" s="4"/>
      <c r="AE145" s="4"/>
      <c r="AF145" s="4"/>
      <c r="AG145" s="4"/>
      <c r="AH145" s="4"/>
      <c r="AI145" s="4"/>
      <c r="AJ145" s="4"/>
      <c r="AK145" s="4"/>
      <c r="AL145" s="4" t="s">
        <v>174</v>
      </c>
      <c r="AM145" s="4" t="s">
        <v>205</v>
      </c>
    </row>
    <row r="146" customFormat="false" ht="23.85" hidden="false" customHeight="false" outlineLevel="0" collapsed="false">
      <c r="A146" s="4" t="s">
        <v>167</v>
      </c>
      <c r="B146" s="4" t="s">
        <v>321</v>
      </c>
      <c r="C146" s="4" t="s">
        <v>321</v>
      </c>
      <c r="D146" s="12" t="n">
        <v>2018</v>
      </c>
      <c r="E146" s="4"/>
      <c r="F146" s="4" t="s">
        <v>169</v>
      </c>
      <c r="G146" s="4" t="s">
        <v>170</v>
      </c>
      <c r="H146" s="4" t="s">
        <v>171</v>
      </c>
      <c r="I146" s="4" t="s">
        <v>172</v>
      </c>
      <c r="J146" s="4" t="s">
        <v>321</v>
      </c>
      <c r="K146" s="4" t="s">
        <v>97</v>
      </c>
      <c r="L146" s="4" t="s">
        <v>98</v>
      </c>
      <c r="M146" s="4"/>
      <c r="N146" s="4"/>
      <c r="O146" s="4"/>
      <c r="P146" s="4"/>
      <c r="Q146" s="4"/>
      <c r="R146" s="4"/>
      <c r="S146" s="13" t="n">
        <v>357.65</v>
      </c>
      <c r="T146" s="4" t="s">
        <v>173</v>
      </c>
      <c r="U146" s="14" t="n">
        <f aca="false">IF(OR($S146="",PARAMETROS!$B$4=""),"",$S146*PARAMETROS!$B$4)</f>
        <v>2077.9465</v>
      </c>
      <c r="V146" s="13" t="n">
        <v>0</v>
      </c>
      <c r="W146" s="4"/>
      <c r="X146" s="4"/>
      <c r="Y146" s="4"/>
      <c r="Z146" s="4"/>
      <c r="AA146" s="4"/>
      <c r="AB146" s="4"/>
      <c r="AC146" s="4"/>
      <c r="AD146" s="4"/>
      <c r="AE146" s="4"/>
      <c r="AF146" s="4"/>
      <c r="AG146" s="4"/>
      <c r="AH146" s="4"/>
      <c r="AI146" s="4"/>
      <c r="AJ146" s="4"/>
      <c r="AK146" s="4"/>
      <c r="AL146" s="4" t="s">
        <v>174</v>
      </c>
      <c r="AM146" s="4" t="s">
        <v>205</v>
      </c>
    </row>
    <row r="147" customFormat="false" ht="23.85" hidden="false" customHeight="false" outlineLevel="0" collapsed="false">
      <c r="A147" s="4" t="s">
        <v>167</v>
      </c>
      <c r="B147" s="4" t="s">
        <v>322</v>
      </c>
      <c r="C147" s="4" t="s">
        <v>322</v>
      </c>
      <c r="D147" s="12" t="n">
        <v>2018</v>
      </c>
      <c r="E147" s="4"/>
      <c r="F147" s="4" t="s">
        <v>169</v>
      </c>
      <c r="G147" s="4" t="s">
        <v>170</v>
      </c>
      <c r="H147" s="4" t="s">
        <v>171</v>
      </c>
      <c r="I147" s="4" t="s">
        <v>172</v>
      </c>
      <c r="J147" s="4" t="s">
        <v>322</v>
      </c>
      <c r="K147" s="4" t="s">
        <v>97</v>
      </c>
      <c r="L147" s="4" t="s">
        <v>98</v>
      </c>
      <c r="M147" s="4"/>
      <c r="N147" s="4"/>
      <c r="O147" s="4"/>
      <c r="P147" s="4"/>
      <c r="Q147" s="4"/>
      <c r="R147" s="4"/>
      <c r="S147" s="13" t="n">
        <v>-8.21</v>
      </c>
      <c r="T147" s="4" t="s">
        <v>173</v>
      </c>
      <c r="U147" s="14" t="n">
        <f aca="false">IF(OR($S147="",PARAMETROS!$B$4=""),"",$S147*PARAMETROS!$B$4)</f>
        <v>-47.7001</v>
      </c>
      <c r="V147" s="13" t="n">
        <v>0</v>
      </c>
      <c r="W147" s="4"/>
      <c r="X147" s="4"/>
      <c r="Y147" s="4"/>
      <c r="Z147" s="4"/>
      <c r="AA147" s="4"/>
      <c r="AB147" s="4"/>
      <c r="AC147" s="4"/>
      <c r="AD147" s="4"/>
      <c r="AE147" s="4"/>
      <c r="AF147" s="4"/>
      <c r="AG147" s="4"/>
      <c r="AH147" s="4"/>
      <c r="AI147" s="4"/>
      <c r="AJ147" s="4"/>
      <c r="AK147" s="4"/>
      <c r="AL147" s="4" t="s">
        <v>174</v>
      </c>
      <c r="AM147" s="4" t="s">
        <v>205</v>
      </c>
    </row>
    <row r="148" customFormat="false" ht="23.85" hidden="false" customHeight="false" outlineLevel="0" collapsed="false">
      <c r="A148" s="4" t="s">
        <v>167</v>
      </c>
      <c r="B148" s="4" t="s">
        <v>323</v>
      </c>
      <c r="C148" s="4" t="s">
        <v>323</v>
      </c>
      <c r="D148" s="12" t="n">
        <v>2018</v>
      </c>
      <c r="E148" s="4"/>
      <c r="F148" s="4" t="s">
        <v>169</v>
      </c>
      <c r="G148" s="4" t="s">
        <v>170</v>
      </c>
      <c r="H148" s="4" t="s">
        <v>171</v>
      </c>
      <c r="I148" s="4" t="s">
        <v>172</v>
      </c>
      <c r="J148" s="4" t="s">
        <v>323</v>
      </c>
      <c r="K148" s="4" t="s">
        <v>97</v>
      </c>
      <c r="L148" s="4" t="s">
        <v>98</v>
      </c>
      <c r="M148" s="4"/>
      <c r="N148" s="4"/>
      <c r="O148" s="4"/>
      <c r="P148" s="4"/>
      <c r="Q148" s="4"/>
      <c r="R148" s="4"/>
      <c r="S148" s="13" t="n">
        <v>-2.11</v>
      </c>
      <c r="T148" s="4" t="s">
        <v>173</v>
      </c>
      <c r="U148" s="14" t="n">
        <f aca="false">IF(OR($S148="",PARAMETROS!$B$4=""),"",$S148*PARAMETROS!$B$4)</f>
        <v>-12.2591</v>
      </c>
      <c r="V148" s="13" t="n">
        <v>0</v>
      </c>
      <c r="W148" s="4"/>
      <c r="X148" s="4"/>
      <c r="Y148" s="4"/>
      <c r="Z148" s="4"/>
      <c r="AA148" s="4"/>
      <c r="AB148" s="4"/>
      <c r="AC148" s="4"/>
      <c r="AD148" s="4"/>
      <c r="AE148" s="4"/>
      <c r="AF148" s="4"/>
      <c r="AG148" s="4"/>
      <c r="AH148" s="4"/>
      <c r="AI148" s="4"/>
      <c r="AJ148" s="4"/>
      <c r="AK148" s="4"/>
      <c r="AL148" s="4" t="s">
        <v>174</v>
      </c>
      <c r="AM148" s="4" t="s">
        <v>205</v>
      </c>
    </row>
    <row r="149" customFormat="false" ht="23.85" hidden="false" customHeight="false" outlineLevel="0" collapsed="false">
      <c r="A149" s="4" t="s">
        <v>167</v>
      </c>
      <c r="B149" s="4" t="s">
        <v>324</v>
      </c>
      <c r="C149" s="4" t="s">
        <v>324</v>
      </c>
      <c r="D149" s="12" t="n">
        <v>2018</v>
      </c>
      <c r="E149" s="4"/>
      <c r="F149" s="4" t="s">
        <v>169</v>
      </c>
      <c r="G149" s="4" t="s">
        <v>170</v>
      </c>
      <c r="H149" s="4" t="s">
        <v>171</v>
      </c>
      <c r="I149" s="4" t="s">
        <v>172</v>
      </c>
      <c r="J149" s="4" t="s">
        <v>324</v>
      </c>
      <c r="K149" s="4" t="s">
        <v>97</v>
      </c>
      <c r="L149" s="4" t="s">
        <v>98</v>
      </c>
      <c r="M149" s="4"/>
      <c r="N149" s="4"/>
      <c r="O149" s="4"/>
      <c r="P149" s="4"/>
      <c r="Q149" s="4"/>
      <c r="R149" s="4"/>
      <c r="S149" s="13" t="n">
        <v>357.65</v>
      </c>
      <c r="T149" s="4" t="s">
        <v>173</v>
      </c>
      <c r="U149" s="14" t="n">
        <f aca="false">IF(OR($S149="",PARAMETROS!$B$4=""),"",$S149*PARAMETROS!$B$4)</f>
        <v>2077.9465</v>
      </c>
      <c r="V149" s="13" t="n">
        <v>0</v>
      </c>
      <c r="W149" s="4"/>
      <c r="X149" s="4"/>
      <c r="Y149" s="4"/>
      <c r="Z149" s="4"/>
      <c r="AA149" s="4"/>
      <c r="AB149" s="4"/>
      <c r="AC149" s="4"/>
      <c r="AD149" s="4"/>
      <c r="AE149" s="4"/>
      <c r="AF149" s="4"/>
      <c r="AG149" s="4"/>
      <c r="AH149" s="4"/>
      <c r="AI149" s="4"/>
      <c r="AJ149" s="4"/>
      <c r="AK149" s="4"/>
      <c r="AL149" s="4" t="s">
        <v>174</v>
      </c>
      <c r="AM149" s="4" t="s">
        <v>205</v>
      </c>
    </row>
    <row r="150" customFormat="false" ht="23.85" hidden="false" customHeight="false" outlineLevel="0" collapsed="false">
      <c r="A150" s="4" t="s">
        <v>167</v>
      </c>
      <c r="B150" s="4" t="s">
        <v>325</v>
      </c>
      <c r="C150" s="4" t="s">
        <v>325</v>
      </c>
      <c r="D150" s="12" t="n">
        <v>2018</v>
      </c>
      <c r="E150" s="4"/>
      <c r="F150" s="4" t="s">
        <v>169</v>
      </c>
      <c r="G150" s="4" t="s">
        <v>170</v>
      </c>
      <c r="H150" s="4" t="s">
        <v>171</v>
      </c>
      <c r="I150" s="4" t="s">
        <v>172</v>
      </c>
      <c r="J150" s="4" t="s">
        <v>325</v>
      </c>
      <c r="K150" s="4" t="s">
        <v>97</v>
      </c>
      <c r="L150" s="4" t="s">
        <v>98</v>
      </c>
      <c r="M150" s="4"/>
      <c r="N150" s="4"/>
      <c r="O150" s="4"/>
      <c r="P150" s="4"/>
      <c r="Q150" s="4"/>
      <c r="R150" s="4"/>
      <c r="S150" s="13" t="n">
        <v>11415.44</v>
      </c>
      <c r="T150" s="4" t="s">
        <v>173</v>
      </c>
      <c r="U150" s="14" t="n">
        <f aca="false">IF(OR($S150="",PARAMETROS!$B$4=""),"",$S150*PARAMETROS!$B$4)</f>
        <v>66323.7064</v>
      </c>
      <c r="V150" s="13" t="n">
        <v>0</v>
      </c>
      <c r="W150" s="4"/>
      <c r="X150" s="4"/>
      <c r="Y150" s="4"/>
      <c r="Z150" s="4"/>
      <c r="AA150" s="4"/>
      <c r="AB150" s="4"/>
      <c r="AC150" s="4"/>
      <c r="AD150" s="4"/>
      <c r="AE150" s="4"/>
      <c r="AF150" s="4"/>
      <c r="AG150" s="4"/>
      <c r="AH150" s="4"/>
      <c r="AI150" s="4"/>
      <c r="AJ150" s="4"/>
      <c r="AK150" s="4"/>
      <c r="AL150" s="4" t="s">
        <v>174</v>
      </c>
      <c r="AM150" s="4" t="s">
        <v>205</v>
      </c>
    </row>
    <row r="151" customFormat="false" ht="23.85" hidden="false" customHeight="false" outlineLevel="0" collapsed="false">
      <c r="A151" s="4" t="s">
        <v>167</v>
      </c>
      <c r="B151" s="4" t="s">
        <v>326</v>
      </c>
      <c r="C151" s="4" t="s">
        <v>326</v>
      </c>
      <c r="D151" s="12" t="n">
        <v>2018</v>
      </c>
      <c r="E151" s="4"/>
      <c r="F151" s="4" t="s">
        <v>169</v>
      </c>
      <c r="G151" s="4" t="s">
        <v>170</v>
      </c>
      <c r="H151" s="4" t="s">
        <v>171</v>
      </c>
      <c r="I151" s="4" t="s">
        <v>172</v>
      </c>
      <c r="J151" s="4" t="s">
        <v>326</v>
      </c>
      <c r="K151" s="4" t="s">
        <v>97</v>
      </c>
      <c r="L151" s="4" t="s">
        <v>98</v>
      </c>
      <c r="M151" s="4"/>
      <c r="N151" s="4"/>
      <c r="O151" s="4"/>
      <c r="P151" s="4"/>
      <c r="Q151" s="4"/>
      <c r="R151" s="4"/>
      <c r="S151" s="13" t="n">
        <v>0</v>
      </c>
      <c r="T151" s="4" t="s">
        <v>173</v>
      </c>
      <c r="U151" s="14" t="n">
        <f aca="false">IF(OR($S151="",PARAMETROS!$B$4=""),"",$S151*PARAMETROS!$B$4)</f>
        <v>0</v>
      </c>
      <c r="V151" s="13" t="n">
        <v>0</v>
      </c>
      <c r="W151" s="4"/>
      <c r="X151" s="4"/>
      <c r="Y151" s="4"/>
      <c r="Z151" s="4"/>
      <c r="AA151" s="4"/>
      <c r="AB151" s="4"/>
      <c r="AC151" s="4"/>
      <c r="AD151" s="4"/>
      <c r="AE151" s="4"/>
      <c r="AF151" s="4"/>
      <c r="AG151" s="4"/>
      <c r="AH151" s="4"/>
      <c r="AI151" s="4"/>
      <c r="AJ151" s="4"/>
      <c r="AK151" s="4"/>
      <c r="AL151" s="4" t="s">
        <v>174</v>
      </c>
      <c r="AM151" s="4" t="s">
        <v>205</v>
      </c>
    </row>
    <row r="152" customFormat="false" ht="23.85" hidden="false" customHeight="false" outlineLevel="0" collapsed="false">
      <c r="A152" s="4" t="s">
        <v>167</v>
      </c>
      <c r="B152" s="4" t="s">
        <v>327</v>
      </c>
      <c r="C152" s="4" t="s">
        <v>327</v>
      </c>
      <c r="D152" s="12" t="n">
        <v>2018</v>
      </c>
      <c r="E152" s="4"/>
      <c r="F152" s="4" t="s">
        <v>169</v>
      </c>
      <c r="G152" s="4" t="s">
        <v>170</v>
      </c>
      <c r="H152" s="4" t="s">
        <v>171</v>
      </c>
      <c r="I152" s="4" t="s">
        <v>172</v>
      </c>
      <c r="J152" s="4" t="s">
        <v>327</v>
      </c>
      <c r="K152" s="4" t="s">
        <v>97</v>
      </c>
      <c r="L152" s="4" t="s">
        <v>98</v>
      </c>
      <c r="M152" s="4"/>
      <c r="N152" s="4"/>
      <c r="O152" s="4"/>
      <c r="P152" s="4"/>
      <c r="Q152" s="4"/>
      <c r="R152" s="4"/>
      <c r="S152" s="13" t="n">
        <v>0</v>
      </c>
      <c r="T152" s="4" t="s">
        <v>173</v>
      </c>
      <c r="U152" s="14" t="n">
        <f aca="false">IF(OR($S152="",PARAMETROS!$B$4=""),"",$S152*PARAMETROS!$B$4)</f>
        <v>0</v>
      </c>
      <c r="V152" s="13" t="n">
        <v>0</v>
      </c>
      <c r="W152" s="4"/>
      <c r="X152" s="4"/>
      <c r="Y152" s="4"/>
      <c r="Z152" s="4"/>
      <c r="AA152" s="4"/>
      <c r="AB152" s="4"/>
      <c r="AC152" s="4"/>
      <c r="AD152" s="4"/>
      <c r="AE152" s="4"/>
      <c r="AF152" s="4"/>
      <c r="AG152" s="4"/>
      <c r="AH152" s="4"/>
      <c r="AI152" s="4"/>
      <c r="AJ152" s="4"/>
      <c r="AK152" s="4"/>
      <c r="AL152" s="4" t="s">
        <v>174</v>
      </c>
      <c r="AM152" s="4" t="s">
        <v>205</v>
      </c>
    </row>
    <row r="153" customFormat="false" ht="23.85" hidden="false" customHeight="false" outlineLevel="0" collapsed="false">
      <c r="A153" s="4" t="s">
        <v>167</v>
      </c>
      <c r="B153" s="4" t="s">
        <v>328</v>
      </c>
      <c r="C153" s="4" t="s">
        <v>328</v>
      </c>
      <c r="D153" s="12" t="n">
        <v>2018</v>
      </c>
      <c r="E153" s="4"/>
      <c r="F153" s="4" t="s">
        <v>169</v>
      </c>
      <c r="G153" s="4" t="s">
        <v>170</v>
      </c>
      <c r="H153" s="4" t="s">
        <v>171</v>
      </c>
      <c r="I153" s="4" t="s">
        <v>172</v>
      </c>
      <c r="J153" s="4" t="s">
        <v>328</v>
      </c>
      <c r="K153" s="4" t="s">
        <v>97</v>
      </c>
      <c r="L153" s="4" t="s">
        <v>98</v>
      </c>
      <c r="M153" s="4"/>
      <c r="N153" s="4"/>
      <c r="O153" s="4"/>
      <c r="P153" s="4"/>
      <c r="Q153" s="4"/>
      <c r="R153" s="4"/>
      <c r="S153" s="13" t="n">
        <v>992.65</v>
      </c>
      <c r="T153" s="4" t="s">
        <v>173</v>
      </c>
      <c r="U153" s="14" t="n">
        <f aca="false">IF(OR($S153="",PARAMETROS!$B$4=""),"",$S153*PARAMETROS!$B$4)</f>
        <v>5767.2965</v>
      </c>
      <c r="V153" s="13" t="n">
        <v>0</v>
      </c>
      <c r="W153" s="4"/>
      <c r="X153" s="4"/>
      <c r="Y153" s="4"/>
      <c r="Z153" s="4"/>
      <c r="AA153" s="4"/>
      <c r="AB153" s="4"/>
      <c r="AC153" s="4"/>
      <c r="AD153" s="4"/>
      <c r="AE153" s="4"/>
      <c r="AF153" s="4"/>
      <c r="AG153" s="4"/>
      <c r="AH153" s="4"/>
      <c r="AI153" s="4"/>
      <c r="AJ153" s="4"/>
      <c r="AK153" s="4"/>
      <c r="AL153" s="4" t="s">
        <v>174</v>
      </c>
      <c r="AM153" s="4" t="s">
        <v>205</v>
      </c>
    </row>
    <row r="154" customFormat="false" ht="23.85" hidden="false" customHeight="false" outlineLevel="0" collapsed="false">
      <c r="A154" s="4" t="s">
        <v>167</v>
      </c>
      <c r="B154" s="4" t="s">
        <v>329</v>
      </c>
      <c r="C154" s="4" t="s">
        <v>329</v>
      </c>
      <c r="D154" s="12" t="n">
        <v>2018</v>
      </c>
      <c r="E154" s="4"/>
      <c r="F154" s="4" t="s">
        <v>169</v>
      </c>
      <c r="G154" s="4" t="s">
        <v>170</v>
      </c>
      <c r="H154" s="4" t="s">
        <v>171</v>
      </c>
      <c r="I154" s="4" t="s">
        <v>172</v>
      </c>
      <c r="J154" s="4" t="s">
        <v>329</v>
      </c>
      <c r="K154" s="4" t="s">
        <v>97</v>
      </c>
      <c r="L154" s="4" t="s">
        <v>98</v>
      </c>
      <c r="M154" s="4"/>
      <c r="N154" s="4"/>
      <c r="O154" s="4"/>
      <c r="P154" s="4"/>
      <c r="Q154" s="4"/>
      <c r="R154" s="4"/>
      <c r="S154" s="13" t="n">
        <v>0</v>
      </c>
      <c r="T154" s="4" t="s">
        <v>173</v>
      </c>
      <c r="U154" s="14" t="n">
        <f aca="false">IF(OR($S154="",PARAMETROS!$B$4=""),"",$S154*PARAMETROS!$B$4)</f>
        <v>0</v>
      </c>
      <c r="V154" s="13" t="n">
        <v>0</v>
      </c>
      <c r="W154" s="4"/>
      <c r="X154" s="4"/>
      <c r="Y154" s="4"/>
      <c r="Z154" s="4"/>
      <c r="AA154" s="4"/>
      <c r="AB154" s="4"/>
      <c r="AC154" s="4"/>
      <c r="AD154" s="4"/>
      <c r="AE154" s="4"/>
      <c r="AF154" s="4"/>
      <c r="AG154" s="4"/>
      <c r="AH154" s="4"/>
      <c r="AI154" s="4"/>
      <c r="AJ154" s="4"/>
      <c r="AK154" s="4"/>
      <c r="AL154" s="4" t="s">
        <v>174</v>
      </c>
      <c r="AM154" s="4" t="s">
        <v>205</v>
      </c>
    </row>
    <row r="155" customFormat="false" ht="23.85" hidden="false" customHeight="false" outlineLevel="0" collapsed="false">
      <c r="A155" s="4" t="s">
        <v>167</v>
      </c>
      <c r="B155" s="4" t="s">
        <v>330</v>
      </c>
      <c r="C155" s="4" t="s">
        <v>330</v>
      </c>
      <c r="D155" s="12" t="n">
        <v>2018</v>
      </c>
      <c r="E155" s="4"/>
      <c r="F155" s="4" t="s">
        <v>169</v>
      </c>
      <c r="G155" s="4" t="s">
        <v>170</v>
      </c>
      <c r="H155" s="4" t="s">
        <v>171</v>
      </c>
      <c r="I155" s="4" t="s">
        <v>172</v>
      </c>
      <c r="J155" s="4" t="s">
        <v>330</v>
      </c>
      <c r="K155" s="4" t="s">
        <v>97</v>
      </c>
      <c r="L155" s="4" t="s">
        <v>98</v>
      </c>
      <c r="M155" s="4"/>
      <c r="N155" s="4"/>
      <c r="O155" s="4"/>
      <c r="P155" s="4"/>
      <c r="Q155" s="4"/>
      <c r="R155" s="4"/>
      <c r="S155" s="13" t="n">
        <v>0</v>
      </c>
      <c r="T155" s="4" t="s">
        <v>173</v>
      </c>
      <c r="U155" s="14" t="n">
        <f aca="false">IF(OR($S155="",PARAMETROS!$B$4=""),"",$S155*PARAMETROS!$B$4)</f>
        <v>0</v>
      </c>
      <c r="V155" s="13" t="n">
        <v>0</v>
      </c>
      <c r="W155" s="4"/>
      <c r="X155" s="4"/>
      <c r="Y155" s="4"/>
      <c r="Z155" s="4"/>
      <c r="AA155" s="4"/>
      <c r="AB155" s="4"/>
      <c r="AC155" s="4"/>
      <c r="AD155" s="4"/>
      <c r="AE155" s="4"/>
      <c r="AF155" s="4"/>
      <c r="AG155" s="4"/>
      <c r="AH155" s="4"/>
      <c r="AI155" s="4"/>
      <c r="AJ155" s="4"/>
      <c r="AK155" s="4"/>
      <c r="AL155" s="4" t="s">
        <v>174</v>
      </c>
      <c r="AM155" s="4" t="s">
        <v>205</v>
      </c>
    </row>
    <row r="156" customFormat="false" ht="23.85" hidden="false" customHeight="false" outlineLevel="0" collapsed="false">
      <c r="A156" s="4" t="s">
        <v>167</v>
      </c>
      <c r="B156" s="4" t="s">
        <v>331</v>
      </c>
      <c r="C156" s="4" t="s">
        <v>331</v>
      </c>
      <c r="D156" s="12" t="n">
        <v>2018</v>
      </c>
      <c r="E156" s="4"/>
      <c r="F156" s="4" t="s">
        <v>169</v>
      </c>
      <c r="G156" s="4" t="s">
        <v>170</v>
      </c>
      <c r="H156" s="4" t="s">
        <v>171</v>
      </c>
      <c r="I156" s="4" t="s">
        <v>172</v>
      </c>
      <c r="J156" s="4" t="s">
        <v>331</v>
      </c>
      <c r="K156" s="4" t="s">
        <v>99</v>
      </c>
      <c r="L156" s="4" t="s">
        <v>100</v>
      </c>
      <c r="M156" s="4"/>
      <c r="N156" s="4"/>
      <c r="O156" s="4"/>
      <c r="P156" s="4"/>
      <c r="Q156" s="4"/>
      <c r="R156" s="4"/>
      <c r="S156" s="13" t="n">
        <v>0</v>
      </c>
      <c r="T156" s="4" t="s">
        <v>173</v>
      </c>
      <c r="U156" s="14" t="n">
        <f aca="false">IF(OR($S156="",PARAMETROS!$B$4=""),"",$S156*PARAMETROS!$B$4)</f>
        <v>0</v>
      </c>
      <c r="V156" s="13" t="n">
        <v>0</v>
      </c>
      <c r="W156" s="4"/>
      <c r="X156" s="4"/>
      <c r="Y156" s="4"/>
      <c r="Z156" s="4"/>
      <c r="AA156" s="4"/>
      <c r="AB156" s="4"/>
      <c r="AC156" s="4"/>
      <c r="AD156" s="4"/>
      <c r="AE156" s="4"/>
      <c r="AF156" s="4"/>
      <c r="AG156" s="4"/>
      <c r="AH156" s="4"/>
      <c r="AI156" s="4"/>
      <c r="AJ156" s="4"/>
      <c r="AK156" s="4"/>
      <c r="AL156" s="4" t="s">
        <v>174</v>
      </c>
      <c r="AM156" s="4" t="s">
        <v>205</v>
      </c>
    </row>
    <row r="157" customFormat="false" ht="23.85" hidden="false" customHeight="false" outlineLevel="0" collapsed="false">
      <c r="A157" s="4" t="s">
        <v>167</v>
      </c>
      <c r="B157" s="4" t="s">
        <v>332</v>
      </c>
      <c r="C157" s="4" t="s">
        <v>332</v>
      </c>
      <c r="D157" s="12" t="n">
        <v>2018</v>
      </c>
      <c r="E157" s="4"/>
      <c r="F157" s="4" t="s">
        <v>169</v>
      </c>
      <c r="G157" s="4" t="s">
        <v>170</v>
      </c>
      <c r="H157" s="4" t="s">
        <v>171</v>
      </c>
      <c r="I157" s="4" t="s">
        <v>172</v>
      </c>
      <c r="J157" s="4" t="s">
        <v>332</v>
      </c>
      <c r="K157" s="4" t="s">
        <v>99</v>
      </c>
      <c r="L157" s="4" t="s">
        <v>100</v>
      </c>
      <c r="M157" s="4"/>
      <c r="N157" s="4"/>
      <c r="O157" s="4"/>
      <c r="P157" s="4"/>
      <c r="Q157" s="4"/>
      <c r="R157" s="4"/>
      <c r="S157" s="13" t="n">
        <v>511.62</v>
      </c>
      <c r="T157" s="4" t="s">
        <v>173</v>
      </c>
      <c r="U157" s="14" t="n">
        <f aca="false">IF(OR($S157="",PARAMETROS!$B$4=""),"",$S157*PARAMETROS!$B$4)</f>
        <v>2972.5122</v>
      </c>
      <c r="V157" s="13" t="n">
        <v>0</v>
      </c>
      <c r="W157" s="4"/>
      <c r="X157" s="4"/>
      <c r="Y157" s="4"/>
      <c r="Z157" s="4"/>
      <c r="AA157" s="4"/>
      <c r="AB157" s="4"/>
      <c r="AC157" s="4"/>
      <c r="AD157" s="4"/>
      <c r="AE157" s="4"/>
      <c r="AF157" s="4"/>
      <c r="AG157" s="4"/>
      <c r="AH157" s="4"/>
      <c r="AI157" s="4"/>
      <c r="AJ157" s="4"/>
      <c r="AK157" s="4"/>
      <c r="AL157" s="4" t="s">
        <v>174</v>
      </c>
      <c r="AM157" s="4" t="s">
        <v>205</v>
      </c>
    </row>
    <row r="158" customFormat="false" ht="23.85" hidden="false" customHeight="false" outlineLevel="0" collapsed="false">
      <c r="A158" s="4" t="s">
        <v>167</v>
      </c>
      <c r="B158" s="4" t="s">
        <v>333</v>
      </c>
      <c r="C158" s="4" t="s">
        <v>333</v>
      </c>
      <c r="D158" s="12" t="n">
        <v>2018</v>
      </c>
      <c r="E158" s="4"/>
      <c r="F158" s="4" t="s">
        <v>169</v>
      </c>
      <c r="G158" s="4" t="s">
        <v>170</v>
      </c>
      <c r="H158" s="4" t="s">
        <v>171</v>
      </c>
      <c r="I158" s="4" t="s">
        <v>172</v>
      </c>
      <c r="J158" s="4" t="s">
        <v>333</v>
      </c>
      <c r="K158" s="4" t="s">
        <v>99</v>
      </c>
      <c r="L158" s="4" t="s">
        <v>100</v>
      </c>
      <c r="M158" s="4"/>
      <c r="N158" s="4"/>
      <c r="O158" s="4"/>
      <c r="P158" s="4"/>
      <c r="Q158" s="4"/>
      <c r="R158" s="4"/>
      <c r="S158" s="13" t="n">
        <v>1549.24</v>
      </c>
      <c r="T158" s="4" t="s">
        <v>173</v>
      </c>
      <c r="U158" s="14" t="n">
        <f aca="false">IF(OR($S158="",PARAMETROS!$B$4=""),"",$S158*PARAMETROS!$B$4)</f>
        <v>9001.0844</v>
      </c>
      <c r="V158" s="13" t="n">
        <v>0</v>
      </c>
      <c r="W158" s="4"/>
      <c r="X158" s="4"/>
      <c r="Y158" s="4"/>
      <c r="Z158" s="4"/>
      <c r="AA158" s="4"/>
      <c r="AB158" s="4"/>
      <c r="AC158" s="4"/>
      <c r="AD158" s="4"/>
      <c r="AE158" s="4"/>
      <c r="AF158" s="4"/>
      <c r="AG158" s="4"/>
      <c r="AH158" s="4"/>
      <c r="AI158" s="4"/>
      <c r="AJ158" s="4"/>
      <c r="AK158" s="4"/>
      <c r="AL158" s="4" t="s">
        <v>174</v>
      </c>
      <c r="AM158" s="4" t="s">
        <v>205</v>
      </c>
    </row>
    <row r="159" customFormat="false" ht="23.85" hidden="false" customHeight="false" outlineLevel="0" collapsed="false">
      <c r="A159" s="4" t="s">
        <v>167</v>
      </c>
      <c r="B159" s="4" t="s">
        <v>334</v>
      </c>
      <c r="C159" s="4" t="s">
        <v>334</v>
      </c>
      <c r="D159" s="12" t="n">
        <v>2018</v>
      </c>
      <c r="E159" s="4"/>
      <c r="F159" s="4" t="s">
        <v>169</v>
      </c>
      <c r="G159" s="4" t="s">
        <v>170</v>
      </c>
      <c r="H159" s="4" t="s">
        <v>171</v>
      </c>
      <c r="I159" s="4" t="s">
        <v>172</v>
      </c>
      <c r="J159" s="4" t="s">
        <v>334</v>
      </c>
      <c r="K159" s="4" t="s">
        <v>99</v>
      </c>
      <c r="L159" s="4" t="s">
        <v>100</v>
      </c>
      <c r="M159" s="4"/>
      <c r="N159" s="4"/>
      <c r="O159" s="4"/>
      <c r="P159" s="4"/>
      <c r="Q159" s="4"/>
      <c r="R159" s="4"/>
      <c r="S159" s="13" t="n">
        <v>0</v>
      </c>
      <c r="T159" s="4" t="s">
        <v>173</v>
      </c>
      <c r="U159" s="14" t="n">
        <f aca="false">IF(OR($S159="",PARAMETROS!$B$4=""),"",$S159*PARAMETROS!$B$4)</f>
        <v>0</v>
      </c>
      <c r="V159" s="13" t="n">
        <v>0</v>
      </c>
      <c r="W159" s="4"/>
      <c r="X159" s="4"/>
      <c r="Y159" s="4"/>
      <c r="Z159" s="4"/>
      <c r="AA159" s="4"/>
      <c r="AB159" s="4"/>
      <c r="AC159" s="4"/>
      <c r="AD159" s="4"/>
      <c r="AE159" s="4"/>
      <c r="AF159" s="4"/>
      <c r="AG159" s="4"/>
      <c r="AH159" s="4"/>
      <c r="AI159" s="4"/>
      <c r="AJ159" s="4"/>
      <c r="AK159" s="4"/>
      <c r="AL159" s="4" t="s">
        <v>174</v>
      </c>
      <c r="AM159" s="4" t="s">
        <v>205</v>
      </c>
    </row>
    <row r="160" customFormat="false" ht="23.85" hidden="false" customHeight="false" outlineLevel="0" collapsed="false">
      <c r="A160" s="4" t="s">
        <v>167</v>
      </c>
      <c r="B160" s="4" t="s">
        <v>335</v>
      </c>
      <c r="C160" s="4" t="s">
        <v>335</v>
      </c>
      <c r="D160" s="12" t="n">
        <v>2018</v>
      </c>
      <c r="E160" s="4"/>
      <c r="F160" s="4" t="s">
        <v>169</v>
      </c>
      <c r="G160" s="4" t="s">
        <v>170</v>
      </c>
      <c r="H160" s="4" t="s">
        <v>171</v>
      </c>
      <c r="I160" s="4" t="s">
        <v>172</v>
      </c>
      <c r="J160" s="4" t="s">
        <v>335</v>
      </c>
      <c r="K160" s="4" t="s">
        <v>99</v>
      </c>
      <c r="L160" s="4" t="s">
        <v>100</v>
      </c>
      <c r="M160" s="4"/>
      <c r="N160" s="4"/>
      <c r="O160" s="4"/>
      <c r="P160" s="4"/>
      <c r="Q160" s="4"/>
      <c r="R160" s="4"/>
      <c r="S160" s="13" t="n">
        <v>0</v>
      </c>
      <c r="T160" s="4" t="s">
        <v>173</v>
      </c>
      <c r="U160" s="14" t="n">
        <f aca="false">IF(OR($S160="",PARAMETROS!$B$4=""),"",$S160*PARAMETROS!$B$4)</f>
        <v>0</v>
      </c>
      <c r="V160" s="13" t="n">
        <v>0</v>
      </c>
      <c r="W160" s="4"/>
      <c r="X160" s="4"/>
      <c r="Y160" s="4"/>
      <c r="Z160" s="4"/>
      <c r="AA160" s="4"/>
      <c r="AB160" s="4"/>
      <c r="AC160" s="4"/>
      <c r="AD160" s="4"/>
      <c r="AE160" s="4"/>
      <c r="AF160" s="4"/>
      <c r="AG160" s="4"/>
      <c r="AH160" s="4"/>
      <c r="AI160" s="4"/>
      <c r="AJ160" s="4"/>
      <c r="AK160" s="4"/>
      <c r="AL160" s="4" t="s">
        <v>174</v>
      </c>
      <c r="AM160" s="4" t="s">
        <v>205</v>
      </c>
    </row>
    <row r="161" customFormat="false" ht="23.85" hidden="false" customHeight="false" outlineLevel="0" collapsed="false">
      <c r="A161" s="4" t="s">
        <v>167</v>
      </c>
      <c r="B161" s="4" t="s">
        <v>336</v>
      </c>
      <c r="C161" s="4" t="s">
        <v>336</v>
      </c>
      <c r="D161" s="12" t="n">
        <v>2018</v>
      </c>
      <c r="E161" s="4"/>
      <c r="F161" s="4" t="s">
        <v>169</v>
      </c>
      <c r="G161" s="4" t="s">
        <v>170</v>
      </c>
      <c r="H161" s="4" t="s">
        <v>171</v>
      </c>
      <c r="I161" s="4" t="s">
        <v>172</v>
      </c>
      <c r="J161" s="4" t="s">
        <v>336</v>
      </c>
      <c r="K161" s="4" t="s">
        <v>99</v>
      </c>
      <c r="L161" s="4" t="s">
        <v>100</v>
      </c>
      <c r="M161" s="4"/>
      <c r="N161" s="4"/>
      <c r="O161" s="4"/>
      <c r="P161" s="4"/>
      <c r="Q161" s="4"/>
      <c r="R161" s="4"/>
      <c r="S161" s="13" t="n">
        <v>8105.61</v>
      </c>
      <c r="T161" s="4" t="s">
        <v>173</v>
      </c>
      <c r="U161" s="14" t="n">
        <f aca="false">IF(OR($S161="",PARAMETROS!$B$4=""),"",$S161*PARAMETROS!$B$4)</f>
        <v>47093.5941</v>
      </c>
      <c r="V161" s="13" t="n">
        <v>0</v>
      </c>
      <c r="W161" s="4"/>
      <c r="X161" s="4"/>
      <c r="Y161" s="4"/>
      <c r="Z161" s="4"/>
      <c r="AA161" s="4"/>
      <c r="AB161" s="4"/>
      <c r="AC161" s="4"/>
      <c r="AD161" s="4"/>
      <c r="AE161" s="4"/>
      <c r="AF161" s="4"/>
      <c r="AG161" s="4"/>
      <c r="AH161" s="4"/>
      <c r="AI161" s="4"/>
      <c r="AJ161" s="4"/>
      <c r="AK161" s="4"/>
      <c r="AL161" s="4" t="s">
        <v>174</v>
      </c>
      <c r="AM161" s="4" t="s">
        <v>205</v>
      </c>
    </row>
    <row r="162" customFormat="false" ht="23.85" hidden="false" customHeight="false" outlineLevel="0" collapsed="false">
      <c r="A162" s="4" t="s">
        <v>167</v>
      </c>
      <c r="B162" s="4" t="s">
        <v>337</v>
      </c>
      <c r="C162" s="4" t="s">
        <v>337</v>
      </c>
      <c r="D162" s="12" t="n">
        <v>2018</v>
      </c>
      <c r="E162" s="4"/>
      <c r="F162" s="4" t="s">
        <v>169</v>
      </c>
      <c r="G162" s="4" t="s">
        <v>170</v>
      </c>
      <c r="H162" s="4" t="s">
        <v>171</v>
      </c>
      <c r="I162" s="4" t="s">
        <v>172</v>
      </c>
      <c r="J162" s="4" t="s">
        <v>337</v>
      </c>
      <c r="K162" s="4" t="s">
        <v>99</v>
      </c>
      <c r="L162" s="4" t="s">
        <v>100</v>
      </c>
      <c r="M162" s="4"/>
      <c r="N162" s="4"/>
      <c r="O162" s="4"/>
      <c r="P162" s="4"/>
      <c r="Q162" s="4"/>
      <c r="R162" s="4"/>
      <c r="S162" s="13" t="n">
        <v>647.8</v>
      </c>
      <c r="T162" s="4" t="s">
        <v>173</v>
      </c>
      <c r="U162" s="14" t="n">
        <f aca="false">IF(OR($S162="",PARAMETROS!$B$4=""),"",$S162*PARAMETROS!$B$4)</f>
        <v>3763.718</v>
      </c>
      <c r="V162" s="13" t="n">
        <v>0</v>
      </c>
      <c r="W162" s="4"/>
      <c r="X162" s="4"/>
      <c r="Y162" s="4"/>
      <c r="Z162" s="4"/>
      <c r="AA162" s="4"/>
      <c r="AB162" s="4"/>
      <c r="AC162" s="4"/>
      <c r="AD162" s="4"/>
      <c r="AE162" s="4"/>
      <c r="AF162" s="4"/>
      <c r="AG162" s="4"/>
      <c r="AH162" s="4"/>
      <c r="AI162" s="4"/>
      <c r="AJ162" s="4"/>
      <c r="AK162" s="4"/>
      <c r="AL162" s="4" t="s">
        <v>174</v>
      </c>
      <c r="AM162" s="4" t="s">
        <v>205</v>
      </c>
    </row>
    <row r="163" customFormat="false" ht="23.85" hidden="false" customHeight="false" outlineLevel="0" collapsed="false">
      <c r="A163" s="4" t="s">
        <v>167</v>
      </c>
      <c r="B163" s="4" t="s">
        <v>338</v>
      </c>
      <c r="C163" s="4" t="s">
        <v>338</v>
      </c>
      <c r="D163" s="12" t="n">
        <v>2018</v>
      </c>
      <c r="E163" s="4"/>
      <c r="F163" s="4" t="s">
        <v>169</v>
      </c>
      <c r="G163" s="4" t="s">
        <v>170</v>
      </c>
      <c r="H163" s="4" t="s">
        <v>171</v>
      </c>
      <c r="I163" s="4" t="s">
        <v>172</v>
      </c>
      <c r="J163" s="4" t="s">
        <v>338</v>
      </c>
      <c r="K163" s="4" t="s">
        <v>99</v>
      </c>
      <c r="L163" s="4" t="s">
        <v>100</v>
      </c>
      <c r="M163" s="4"/>
      <c r="N163" s="4"/>
      <c r="O163" s="4"/>
      <c r="P163" s="4"/>
      <c r="Q163" s="4"/>
      <c r="R163" s="4"/>
      <c r="S163" s="13" t="n">
        <v>480.02</v>
      </c>
      <c r="T163" s="4" t="s">
        <v>173</v>
      </c>
      <c r="U163" s="14" t="n">
        <f aca="false">IF(OR($S163="",PARAMETROS!$B$4=""),"",$S163*PARAMETROS!$B$4)</f>
        <v>2788.9162</v>
      </c>
      <c r="V163" s="13" t="n">
        <v>0</v>
      </c>
      <c r="W163" s="4"/>
      <c r="X163" s="4"/>
      <c r="Y163" s="4"/>
      <c r="Z163" s="4"/>
      <c r="AA163" s="4"/>
      <c r="AB163" s="4"/>
      <c r="AC163" s="4"/>
      <c r="AD163" s="4"/>
      <c r="AE163" s="4"/>
      <c r="AF163" s="4"/>
      <c r="AG163" s="4"/>
      <c r="AH163" s="4"/>
      <c r="AI163" s="4"/>
      <c r="AJ163" s="4"/>
      <c r="AK163" s="4"/>
      <c r="AL163" s="4" t="s">
        <v>174</v>
      </c>
      <c r="AM163" s="4" t="s">
        <v>205</v>
      </c>
    </row>
    <row r="164" customFormat="false" ht="23.85" hidden="false" customHeight="false" outlineLevel="0" collapsed="false">
      <c r="A164" s="4" t="s">
        <v>167</v>
      </c>
      <c r="B164" s="4" t="s">
        <v>339</v>
      </c>
      <c r="C164" s="4" t="s">
        <v>339</v>
      </c>
      <c r="D164" s="12" t="n">
        <v>2018</v>
      </c>
      <c r="E164" s="4"/>
      <c r="F164" s="4" t="s">
        <v>169</v>
      </c>
      <c r="G164" s="4" t="s">
        <v>170</v>
      </c>
      <c r="H164" s="4" t="s">
        <v>171</v>
      </c>
      <c r="I164" s="4" t="s">
        <v>172</v>
      </c>
      <c r="J164" s="4" t="s">
        <v>339</v>
      </c>
      <c r="K164" s="4" t="s">
        <v>99</v>
      </c>
      <c r="L164" s="4" t="s">
        <v>100</v>
      </c>
      <c r="M164" s="4"/>
      <c r="N164" s="4"/>
      <c r="O164" s="4"/>
      <c r="P164" s="4"/>
      <c r="Q164" s="4"/>
      <c r="R164" s="4"/>
      <c r="S164" s="13" t="n">
        <v>0</v>
      </c>
      <c r="T164" s="4" t="s">
        <v>173</v>
      </c>
      <c r="U164" s="14" t="n">
        <f aca="false">IF(OR($S164="",PARAMETROS!$B$4=""),"",$S164*PARAMETROS!$B$4)</f>
        <v>0</v>
      </c>
      <c r="V164" s="13" t="n">
        <v>0</v>
      </c>
      <c r="W164" s="4"/>
      <c r="X164" s="4"/>
      <c r="Y164" s="4"/>
      <c r="Z164" s="4"/>
      <c r="AA164" s="4"/>
      <c r="AB164" s="4"/>
      <c r="AC164" s="4"/>
      <c r="AD164" s="4"/>
      <c r="AE164" s="4"/>
      <c r="AF164" s="4"/>
      <c r="AG164" s="4"/>
      <c r="AH164" s="4"/>
      <c r="AI164" s="4"/>
      <c r="AJ164" s="4"/>
      <c r="AK164" s="4"/>
      <c r="AL164" s="4" t="s">
        <v>174</v>
      </c>
      <c r="AM164" s="4" t="s">
        <v>205</v>
      </c>
    </row>
    <row r="165" customFormat="false" ht="23.85" hidden="false" customHeight="false" outlineLevel="0" collapsed="false">
      <c r="A165" s="4" t="s">
        <v>167</v>
      </c>
      <c r="B165" s="4" t="s">
        <v>340</v>
      </c>
      <c r="C165" s="4" t="s">
        <v>340</v>
      </c>
      <c r="D165" s="12" t="n">
        <v>2018</v>
      </c>
      <c r="E165" s="4"/>
      <c r="F165" s="4" t="s">
        <v>169</v>
      </c>
      <c r="G165" s="4" t="s">
        <v>170</v>
      </c>
      <c r="H165" s="4" t="s">
        <v>171</v>
      </c>
      <c r="I165" s="4" t="s">
        <v>172</v>
      </c>
      <c r="J165" s="4" t="s">
        <v>340</v>
      </c>
      <c r="K165" s="4" t="s">
        <v>99</v>
      </c>
      <c r="L165" s="4" t="s">
        <v>100</v>
      </c>
      <c r="M165" s="4"/>
      <c r="N165" s="4"/>
      <c r="O165" s="4"/>
      <c r="P165" s="4"/>
      <c r="Q165" s="4"/>
      <c r="R165" s="4"/>
      <c r="S165" s="13" t="n">
        <v>2274.64</v>
      </c>
      <c r="T165" s="4" t="s">
        <v>173</v>
      </c>
      <c r="U165" s="14" t="n">
        <f aca="false">IF(OR($S165="",PARAMETROS!$B$4=""),"",$S165*PARAMETROS!$B$4)</f>
        <v>13215.6584</v>
      </c>
      <c r="V165" s="13" t="n">
        <v>0</v>
      </c>
      <c r="W165" s="4"/>
      <c r="X165" s="4"/>
      <c r="Y165" s="4"/>
      <c r="Z165" s="4"/>
      <c r="AA165" s="4"/>
      <c r="AB165" s="4"/>
      <c r="AC165" s="4"/>
      <c r="AD165" s="4"/>
      <c r="AE165" s="4"/>
      <c r="AF165" s="4"/>
      <c r="AG165" s="4"/>
      <c r="AH165" s="4"/>
      <c r="AI165" s="4"/>
      <c r="AJ165" s="4"/>
      <c r="AK165" s="4"/>
      <c r="AL165" s="4" t="s">
        <v>174</v>
      </c>
      <c r="AM165" s="4" t="s">
        <v>205</v>
      </c>
    </row>
    <row r="166" customFormat="false" ht="23.85" hidden="false" customHeight="false" outlineLevel="0" collapsed="false">
      <c r="A166" s="4" t="s">
        <v>167</v>
      </c>
      <c r="B166" s="4" t="s">
        <v>341</v>
      </c>
      <c r="C166" s="4" t="s">
        <v>341</v>
      </c>
      <c r="D166" s="12" t="n">
        <v>2018</v>
      </c>
      <c r="E166" s="4"/>
      <c r="F166" s="4" t="s">
        <v>169</v>
      </c>
      <c r="G166" s="4" t="s">
        <v>170</v>
      </c>
      <c r="H166" s="4" t="s">
        <v>171</v>
      </c>
      <c r="I166" s="4" t="s">
        <v>172</v>
      </c>
      <c r="J166" s="4" t="s">
        <v>341</v>
      </c>
      <c r="K166" s="4" t="s">
        <v>99</v>
      </c>
      <c r="L166" s="4" t="s">
        <v>100</v>
      </c>
      <c r="M166" s="4"/>
      <c r="N166" s="4"/>
      <c r="O166" s="4"/>
      <c r="P166" s="4"/>
      <c r="Q166" s="4"/>
      <c r="R166" s="4"/>
      <c r="S166" s="13" t="n">
        <v>1768.16</v>
      </c>
      <c r="T166" s="4" t="s">
        <v>173</v>
      </c>
      <c r="U166" s="14" t="n">
        <f aca="false">IF(OR($S166="",PARAMETROS!$B$4=""),"",$S166*PARAMETROS!$B$4)</f>
        <v>10273.0096</v>
      </c>
      <c r="V166" s="13" t="n">
        <v>0</v>
      </c>
      <c r="W166" s="4"/>
      <c r="X166" s="4"/>
      <c r="Y166" s="4"/>
      <c r="Z166" s="4"/>
      <c r="AA166" s="4"/>
      <c r="AB166" s="4"/>
      <c r="AC166" s="4"/>
      <c r="AD166" s="4"/>
      <c r="AE166" s="4"/>
      <c r="AF166" s="4"/>
      <c r="AG166" s="4"/>
      <c r="AH166" s="4"/>
      <c r="AI166" s="4"/>
      <c r="AJ166" s="4"/>
      <c r="AK166" s="4"/>
      <c r="AL166" s="4" t="s">
        <v>174</v>
      </c>
      <c r="AM166" s="4" t="s">
        <v>205</v>
      </c>
    </row>
    <row r="167" customFormat="false" ht="23.85" hidden="false" customHeight="false" outlineLevel="0" collapsed="false">
      <c r="A167" s="4" t="s">
        <v>167</v>
      </c>
      <c r="B167" s="4" t="s">
        <v>342</v>
      </c>
      <c r="C167" s="4" t="s">
        <v>342</v>
      </c>
      <c r="D167" s="12" t="n">
        <v>2018</v>
      </c>
      <c r="E167" s="4"/>
      <c r="F167" s="4" t="s">
        <v>169</v>
      </c>
      <c r="G167" s="4" t="s">
        <v>170</v>
      </c>
      <c r="H167" s="4" t="s">
        <v>171</v>
      </c>
      <c r="I167" s="4" t="s">
        <v>172</v>
      </c>
      <c r="J167" s="4" t="s">
        <v>342</v>
      </c>
      <c r="K167" s="4" t="s">
        <v>99</v>
      </c>
      <c r="L167" s="4" t="s">
        <v>100</v>
      </c>
      <c r="M167" s="4"/>
      <c r="N167" s="4"/>
      <c r="O167" s="4"/>
      <c r="P167" s="4"/>
      <c r="Q167" s="4"/>
      <c r="R167" s="4"/>
      <c r="S167" s="13" t="n">
        <v>2289.7</v>
      </c>
      <c r="T167" s="4" t="s">
        <v>173</v>
      </c>
      <c r="U167" s="14" t="n">
        <f aca="false">IF(OR($S167="",PARAMETROS!$B$4=""),"",$S167*PARAMETROS!$B$4)</f>
        <v>13303.157</v>
      </c>
      <c r="V167" s="13" t="n">
        <v>0</v>
      </c>
      <c r="W167" s="4"/>
      <c r="X167" s="4"/>
      <c r="Y167" s="4"/>
      <c r="Z167" s="4"/>
      <c r="AA167" s="4"/>
      <c r="AB167" s="4"/>
      <c r="AC167" s="4"/>
      <c r="AD167" s="4"/>
      <c r="AE167" s="4"/>
      <c r="AF167" s="4"/>
      <c r="AG167" s="4"/>
      <c r="AH167" s="4"/>
      <c r="AI167" s="4"/>
      <c r="AJ167" s="4"/>
      <c r="AK167" s="4"/>
      <c r="AL167" s="4" t="s">
        <v>174</v>
      </c>
      <c r="AM167" s="4" t="s">
        <v>205</v>
      </c>
    </row>
    <row r="168" customFormat="false" ht="23.85" hidden="false" customHeight="false" outlineLevel="0" collapsed="false">
      <c r="A168" s="4" t="s">
        <v>167</v>
      </c>
      <c r="B168" s="4" t="s">
        <v>343</v>
      </c>
      <c r="C168" s="4" t="s">
        <v>343</v>
      </c>
      <c r="D168" s="12" t="n">
        <v>2018</v>
      </c>
      <c r="E168" s="4"/>
      <c r="F168" s="4" t="s">
        <v>169</v>
      </c>
      <c r="G168" s="4" t="s">
        <v>170</v>
      </c>
      <c r="H168" s="4" t="s">
        <v>171</v>
      </c>
      <c r="I168" s="4" t="s">
        <v>172</v>
      </c>
      <c r="J168" s="4" t="s">
        <v>343</v>
      </c>
      <c r="K168" s="4" t="s">
        <v>99</v>
      </c>
      <c r="L168" s="4" t="s">
        <v>100</v>
      </c>
      <c r="M168" s="4"/>
      <c r="N168" s="4"/>
      <c r="O168" s="4"/>
      <c r="P168" s="4"/>
      <c r="Q168" s="4"/>
      <c r="R168" s="4"/>
      <c r="S168" s="13" t="n">
        <v>0</v>
      </c>
      <c r="T168" s="4" t="s">
        <v>173</v>
      </c>
      <c r="U168" s="14" t="n">
        <f aca="false">IF(OR($S168="",PARAMETROS!$B$4=""),"",$S168*PARAMETROS!$B$4)</f>
        <v>0</v>
      </c>
      <c r="V168" s="13" t="n">
        <v>0</v>
      </c>
      <c r="W168" s="4"/>
      <c r="X168" s="4"/>
      <c r="Y168" s="4"/>
      <c r="Z168" s="4"/>
      <c r="AA168" s="4"/>
      <c r="AB168" s="4"/>
      <c r="AC168" s="4"/>
      <c r="AD168" s="4"/>
      <c r="AE168" s="4"/>
      <c r="AF168" s="4"/>
      <c r="AG168" s="4"/>
      <c r="AH168" s="4"/>
      <c r="AI168" s="4"/>
      <c r="AJ168" s="4"/>
      <c r="AK168" s="4"/>
      <c r="AL168" s="4" t="s">
        <v>174</v>
      </c>
      <c r="AM168" s="4" t="s">
        <v>205</v>
      </c>
    </row>
    <row r="169" customFormat="false" ht="23.85" hidden="false" customHeight="false" outlineLevel="0" collapsed="false">
      <c r="A169" s="4" t="s">
        <v>167</v>
      </c>
      <c r="B169" s="4" t="s">
        <v>344</v>
      </c>
      <c r="C169" s="4" t="s">
        <v>344</v>
      </c>
      <c r="D169" s="12" t="n">
        <v>2018</v>
      </c>
      <c r="E169" s="4"/>
      <c r="F169" s="4" t="s">
        <v>169</v>
      </c>
      <c r="G169" s="4" t="s">
        <v>170</v>
      </c>
      <c r="H169" s="4" t="s">
        <v>171</v>
      </c>
      <c r="I169" s="4" t="s">
        <v>172</v>
      </c>
      <c r="J169" s="4" t="s">
        <v>344</v>
      </c>
      <c r="K169" s="4" t="s">
        <v>99</v>
      </c>
      <c r="L169" s="4" t="s">
        <v>100</v>
      </c>
      <c r="M169" s="4"/>
      <c r="N169" s="4"/>
      <c r="O169" s="4"/>
      <c r="P169" s="4"/>
      <c r="Q169" s="4"/>
      <c r="R169" s="4"/>
      <c r="S169" s="13" t="n">
        <v>903.27</v>
      </c>
      <c r="T169" s="4" t="s">
        <v>173</v>
      </c>
      <c r="U169" s="14" t="n">
        <f aca="false">IF(OR($S169="",PARAMETROS!$B$4=""),"",$S169*PARAMETROS!$B$4)</f>
        <v>5247.9987</v>
      </c>
      <c r="V169" s="13" t="n">
        <v>0</v>
      </c>
      <c r="W169" s="4"/>
      <c r="X169" s="4"/>
      <c r="Y169" s="4"/>
      <c r="Z169" s="4"/>
      <c r="AA169" s="4"/>
      <c r="AB169" s="4"/>
      <c r="AC169" s="4"/>
      <c r="AD169" s="4"/>
      <c r="AE169" s="4"/>
      <c r="AF169" s="4"/>
      <c r="AG169" s="4"/>
      <c r="AH169" s="4"/>
      <c r="AI169" s="4"/>
      <c r="AJ169" s="4"/>
      <c r="AK169" s="4"/>
      <c r="AL169" s="4" t="s">
        <v>174</v>
      </c>
      <c r="AM169" s="4" t="s">
        <v>205</v>
      </c>
    </row>
    <row r="170" customFormat="false" ht="23.85" hidden="false" customHeight="false" outlineLevel="0" collapsed="false">
      <c r="A170" s="4" t="s">
        <v>167</v>
      </c>
      <c r="B170" s="4" t="s">
        <v>345</v>
      </c>
      <c r="C170" s="4" t="s">
        <v>345</v>
      </c>
      <c r="D170" s="12" t="n">
        <v>2018</v>
      </c>
      <c r="E170" s="4"/>
      <c r="F170" s="4" t="s">
        <v>169</v>
      </c>
      <c r="G170" s="4" t="s">
        <v>170</v>
      </c>
      <c r="H170" s="4" t="s">
        <v>171</v>
      </c>
      <c r="I170" s="4" t="s">
        <v>172</v>
      </c>
      <c r="J170" s="4" t="s">
        <v>345</v>
      </c>
      <c r="K170" s="4" t="s">
        <v>101</v>
      </c>
      <c r="L170" s="4" t="s">
        <v>102</v>
      </c>
      <c r="M170" s="4"/>
      <c r="N170" s="4"/>
      <c r="O170" s="4"/>
      <c r="P170" s="4"/>
      <c r="Q170" s="4"/>
      <c r="R170" s="4"/>
      <c r="S170" s="13" t="n">
        <v>0</v>
      </c>
      <c r="T170" s="4" t="s">
        <v>173</v>
      </c>
      <c r="U170" s="14" t="n">
        <f aca="false">IF(OR($S170="",PARAMETROS!$B$4=""),"",$S170*PARAMETROS!$B$4)</f>
        <v>0</v>
      </c>
      <c r="V170" s="13" t="n">
        <v>0</v>
      </c>
      <c r="W170" s="4"/>
      <c r="X170" s="4"/>
      <c r="Y170" s="4"/>
      <c r="Z170" s="4"/>
      <c r="AA170" s="4"/>
      <c r="AB170" s="4"/>
      <c r="AC170" s="4"/>
      <c r="AD170" s="4"/>
      <c r="AE170" s="4"/>
      <c r="AF170" s="4"/>
      <c r="AG170" s="4"/>
      <c r="AH170" s="4"/>
      <c r="AI170" s="4"/>
      <c r="AJ170" s="4"/>
      <c r="AK170" s="4"/>
      <c r="AL170" s="4" t="s">
        <v>174</v>
      </c>
      <c r="AM170" s="4" t="s">
        <v>205</v>
      </c>
    </row>
    <row r="171" customFormat="false" ht="23.85" hidden="false" customHeight="false" outlineLevel="0" collapsed="false">
      <c r="A171" s="4" t="s">
        <v>167</v>
      </c>
      <c r="B171" s="4" t="s">
        <v>346</v>
      </c>
      <c r="C171" s="4" t="s">
        <v>346</v>
      </c>
      <c r="D171" s="12" t="n">
        <v>2018</v>
      </c>
      <c r="E171" s="4"/>
      <c r="F171" s="4" t="s">
        <v>169</v>
      </c>
      <c r="G171" s="4" t="s">
        <v>170</v>
      </c>
      <c r="H171" s="4" t="s">
        <v>171</v>
      </c>
      <c r="I171" s="4" t="s">
        <v>172</v>
      </c>
      <c r="J171" s="4" t="s">
        <v>346</v>
      </c>
      <c r="K171" s="4" t="s">
        <v>101</v>
      </c>
      <c r="L171" s="4" t="s">
        <v>102</v>
      </c>
      <c r="M171" s="4"/>
      <c r="N171" s="4"/>
      <c r="O171" s="4"/>
      <c r="P171" s="4"/>
      <c r="Q171" s="4"/>
      <c r="R171" s="4"/>
      <c r="S171" s="13" t="n">
        <v>1711.05</v>
      </c>
      <c r="T171" s="4" t="s">
        <v>173</v>
      </c>
      <c r="U171" s="14" t="n">
        <f aca="false">IF(OR($S171="",PARAMETROS!$B$4=""),"",$S171*PARAMETROS!$B$4)</f>
        <v>9941.2005</v>
      </c>
      <c r="V171" s="13" t="n">
        <v>0</v>
      </c>
      <c r="W171" s="4"/>
      <c r="X171" s="4"/>
      <c r="Y171" s="4"/>
      <c r="Z171" s="4"/>
      <c r="AA171" s="4"/>
      <c r="AB171" s="4"/>
      <c r="AC171" s="4"/>
      <c r="AD171" s="4"/>
      <c r="AE171" s="4"/>
      <c r="AF171" s="4"/>
      <c r="AG171" s="4"/>
      <c r="AH171" s="4"/>
      <c r="AI171" s="4"/>
      <c r="AJ171" s="4"/>
      <c r="AK171" s="4"/>
      <c r="AL171" s="4" t="s">
        <v>174</v>
      </c>
      <c r="AM171" s="4" t="s">
        <v>205</v>
      </c>
    </row>
    <row r="172" customFormat="false" ht="23.85" hidden="false" customHeight="false" outlineLevel="0" collapsed="false">
      <c r="A172" s="4" t="s">
        <v>167</v>
      </c>
      <c r="B172" s="4" t="s">
        <v>347</v>
      </c>
      <c r="C172" s="4" t="s">
        <v>347</v>
      </c>
      <c r="D172" s="12" t="n">
        <v>2018</v>
      </c>
      <c r="E172" s="4"/>
      <c r="F172" s="4" t="s">
        <v>169</v>
      </c>
      <c r="G172" s="4" t="s">
        <v>170</v>
      </c>
      <c r="H172" s="4" t="s">
        <v>171</v>
      </c>
      <c r="I172" s="4" t="s">
        <v>172</v>
      </c>
      <c r="J172" s="4" t="s">
        <v>347</v>
      </c>
      <c r="K172" s="4" t="s">
        <v>101</v>
      </c>
      <c r="L172" s="4" t="s">
        <v>102</v>
      </c>
      <c r="M172" s="4"/>
      <c r="N172" s="4"/>
      <c r="O172" s="4"/>
      <c r="P172" s="4"/>
      <c r="Q172" s="4"/>
      <c r="R172" s="4"/>
      <c r="S172" s="13" t="n">
        <v>64.4</v>
      </c>
      <c r="T172" s="4" t="s">
        <v>173</v>
      </c>
      <c r="U172" s="14" t="n">
        <f aca="false">IF(OR($S172="",PARAMETROS!$B$4=""),"",$S172*PARAMETROS!$B$4)</f>
        <v>374.164</v>
      </c>
      <c r="V172" s="13" t="n">
        <v>0</v>
      </c>
      <c r="W172" s="4"/>
      <c r="X172" s="4"/>
      <c r="Y172" s="4"/>
      <c r="Z172" s="4"/>
      <c r="AA172" s="4"/>
      <c r="AB172" s="4"/>
      <c r="AC172" s="4"/>
      <c r="AD172" s="4"/>
      <c r="AE172" s="4"/>
      <c r="AF172" s="4"/>
      <c r="AG172" s="4"/>
      <c r="AH172" s="4"/>
      <c r="AI172" s="4"/>
      <c r="AJ172" s="4"/>
      <c r="AK172" s="4"/>
      <c r="AL172" s="4" t="s">
        <v>174</v>
      </c>
      <c r="AM172" s="4" t="s">
        <v>205</v>
      </c>
    </row>
    <row r="173" customFormat="false" ht="23.85" hidden="false" customHeight="false" outlineLevel="0" collapsed="false">
      <c r="A173" s="4" t="s">
        <v>167</v>
      </c>
      <c r="B173" s="4" t="s">
        <v>348</v>
      </c>
      <c r="C173" s="4" t="s">
        <v>348</v>
      </c>
      <c r="D173" s="12" t="n">
        <v>2018</v>
      </c>
      <c r="E173" s="4"/>
      <c r="F173" s="4" t="s">
        <v>169</v>
      </c>
      <c r="G173" s="4" t="s">
        <v>170</v>
      </c>
      <c r="H173" s="4" t="s">
        <v>171</v>
      </c>
      <c r="I173" s="4" t="s">
        <v>172</v>
      </c>
      <c r="J173" s="4" t="s">
        <v>348</v>
      </c>
      <c r="K173" s="4" t="s">
        <v>101</v>
      </c>
      <c r="L173" s="4" t="s">
        <v>102</v>
      </c>
      <c r="M173" s="4"/>
      <c r="N173" s="4"/>
      <c r="O173" s="4"/>
      <c r="P173" s="4"/>
      <c r="Q173" s="4"/>
      <c r="R173" s="4"/>
      <c r="S173" s="13" t="n">
        <v>146.83</v>
      </c>
      <c r="T173" s="4" t="s">
        <v>173</v>
      </c>
      <c r="U173" s="14" t="n">
        <f aca="false">IF(OR($S173="",PARAMETROS!$B$4=""),"",$S173*PARAMETROS!$B$4)</f>
        <v>853.0823</v>
      </c>
      <c r="V173" s="13" t="n">
        <v>0</v>
      </c>
      <c r="W173" s="4"/>
      <c r="X173" s="4"/>
      <c r="Y173" s="4"/>
      <c r="Z173" s="4"/>
      <c r="AA173" s="4"/>
      <c r="AB173" s="4"/>
      <c r="AC173" s="4"/>
      <c r="AD173" s="4"/>
      <c r="AE173" s="4"/>
      <c r="AF173" s="4"/>
      <c r="AG173" s="4"/>
      <c r="AH173" s="4"/>
      <c r="AI173" s="4"/>
      <c r="AJ173" s="4"/>
      <c r="AK173" s="4"/>
      <c r="AL173" s="4" t="s">
        <v>174</v>
      </c>
      <c r="AM173" s="4" t="s">
        <v>205</v>
      </c>
    </row>
    <row r="174" customFormat="false" ht="23.85" hidden="false" customHeight="false" outlineLevel="0" collapsed="false">
      <c r="A174" s="4" t="s">
        <v>167</v>
      </c>
      <c r="B174" s="4" t="s">
        <v>349</v>
      </c>
      <c r="C174" s="4" t="s">
        <v>349</v>
      </c>
      <c r="D174" s="12" t="n">
        <v>2018</v>
      </c>
      <c r="E174" s="4"/>
      <c r="F174" s="4" t="s">
        <v>169</v>
      </c>
      <c r="G174" s="4" t="s">
        <v>170</v>
      </c>
      <c r="H174" s="4" t="s">
        <v>171</v>
      </c>
      <c r="I174" s="4" t="s">
        <v>172</v>
      </c>
      <c r="J174" s="4" t="s">
        <v>349</v>
      </c>
      <c r="K174" s="4" t="s">
        <v>101</v>
      </c>
      <c r="L174" s="4" t="s">
        <v>102</v>
      </c>
      <c r="M174" s="4"/>
      <c r="N174" s="4"/>
      <c r="O174" s="4"/>
      <c r="P174" s="4"/>
      <c r="Q174" s="4"/>
      <c r="R174" s="4"/>
      <c r="S174" s="13" t="n">
        <v>0</v>
      </c>
      <c r="T174" s="4" t="s">
        <v>173</v>
      </c>
      <c r="U174" s="14" t="n">
        <f aca="false">IF(OR($S174="",PARAMETROS!$B$4=""),"",$S174*PARAMETROS!$B$4)</f>
        <v>0</v>
      </c>
      <c r="V174" s="13" t="n">
        <v>0</v>
      </c>
      <c r="W174" s="4"/>
      <c r="X174" s="4"/>
      <c r="Y174" s="4"/>
      <c r="Z174" s="4"/>
      <c r="AA174" s="4"/>
      <c r="AB174" s="4"/>
      <c r="AC174" s="4"/>
      <c r="AD174" s="4"/>
      <c r="AE174" s="4"/>
      <c r="AF174" s="4"/>
      <c r="AG174" s="4"/>
      <c r="AH174" s="4"/>
      <c r="AI174" s="4"/>
      <c r="AJ174" s="4"/>
      <c r="AK174" s="4"/>
      <c r="AL174" s="4" t="s">
        <v>174</v>
      </c>
      <c r="AM174" s="4" t="s">
        <v>205</v>
      </c>
    </row>
    <row r="175" customFormat="false" ht="23.85" hidden="false" customHeight="false" outlineLevel="0" collapsed="false">
      <c r="A175" s="4" t="s">
        <v>167</v>
      </c>
      <c r="B175" s="4" t="s">
        <v>350</v>
      </c>
      <c r="C175" s="4" t="s">
        <v>350</v>
      </c>
      <c r="D175" s="12" t="n">
        <v>2018</v>
      </c>
      <c r="E175" s="4"/>
      <c r="F175" s="4" t="s">
        <v>169</v>
      </c>
      <c r="G175" s="4" t="s">
        <v>170</v>
      </c>
      <c r="H175" s="4" t="s">
        <v>171</v>
      </c>
      <c r="I175" s="4" t="s">
        <v>172</v>
      </c>
      <c r="J175" s="4" t="s">
        <v>350</v>
      </c>
      <c r="K175" s="4" t="s">
        <v>101</v>
      </c>
      <c r="L175" s="4" t="s">
        <v>102</v>
      </c>
      <c r="M175" s="4"/>
      <c r="N175" s="4"/>
      <c r="O175" s="4"/>
      <c r="P175" s="4"/>
      <c r="Q175" s="4"/>
      <c r="R175" s="4"/>
      <c r="S175" s="13" t="n">
        <v>-599.25</v>
      </c>
      <c r="T175" s="4" t="s">
        <v>173</v>
      </c>
      <c r="U175" s="14" t="n">
        <f aca="false">IF(OR($S175="",PARAMETROS!$B$4=""),"",$S175*PARAMETROS!$B$4)</f>
        <v>-3481.6425</v>
      </c>
      <c r="V175" s="13" t="n">
        <v>0</v>
      </c>
      <c r="W175" s="4"/>
      <c r="X175" s="4"/>
      <c r="Y175" s="4"/>
      <c r="Z175" s="4"/>
      <c r="AA175" s="4"/>
      <c r="AB175" s="4"/>
      <c r="AC175" s="4"/>
      <c r="AD175" s="4"/>
      <c r="AE175" s="4"/>
      <c r="AF175" s="4"/>
      <c r="AG175" s="4"/>
      <c r="AH175" s="4"/>
      <c r="AI175" s="4"/>
      <c r="AJ175" s="4"/>
      <c r="AK175" s="4"/>
      <c r="AL175" s="4" t="s">
        <v>174</v>
      </c>
      <c r="AM175" s="4" t="s">
        <v>205</v>
      </c>
    </row>
    <row r="176" customFormat="false" ht="23.85" hidden="false" customHeight="false" outlineLevel="0" collapsed="false">
      <c r="A176" s="4" t="s">
        <v>167</v>
      </c>
      <c r="B176" s="4" t="s">
        <v>351</v>
      </c>
      <c r="C176" s="4" t="s">
        <v>351</v>
      </c>
      <c r="D176" s="12" t="n">
        <v>2018</v>
      </c>
      <c r="E176" s="4"/>
      <c r="F176" s="4" t="s">
        <v>169</v>
      </c>
      <c r="G176" s="4" t="s">
        <v>170</v>
      </c>
      <c r="H176" s="4" t="s">
        <v>171</v>
      </c>
      <c r="I176" s="4" t="s">
        <v>172</v>
      </c>
      <c r="J176" s="4" t="s">
        <v>351</v>
      </c>
      <c r="K176" s="4" t="s">
        <v>101</v>
      </c>
      <c r="L176" s="4" t="s">
        <v>102</v>
      </c>
      <c r="M176" s="4"/>
      <c r="N176" s="4"/>
      <c r="O176" s="4"/>
      <c r="P176" s="4"/>
      <c r="Q176" s="4"/>
      <c r="R176" s="4"/>
      <c r="S176" s="13" t="n">
        <v>0</v>
      </c>
      <c r="T176" s="4" t="s">
        <v>173</v>
      </c>
      <c r="U176" s="14" t="n">
        <f aca="false">IF(OR($S176="",PARAMETROS!$B$4=""),"",$S176*PARAMETROS!$B$4)</f>
        <v>0</v>
      </c>
      <c r="V176" s="13" t="n">
        <v>0</v>
      </c>
      <c r="W176" s="4"/>
      <c r="X176" s="4"/>
      <c r="Y176" s="4"/>
      <c r="Z176" s="4"/>
      <c r="AA176" s="4"/>
      <c r="AB176" s="4"/>
      <c r="AC176" s="4"/>
      <c r="AD176" s="4"/>
      <c r="AE176" s="4"/>
      <c r="AF176" s="4"/>
      <c r="AG176" s="4"/>
      <c r="AH176" s="4"/>
      <c r="AI176" s="4"/>
      <c r="AJ176" s="4"/>
      <c r="AK176" s="4"/>
      <c r="AL176" s="4" t="s">
        <v>174</v>
      </c>
      <c r="AM176" s="4" t="s">
        <v>205</v>
      </c>
    </row>
    <row r="177" customFormat="false" ht="23.85" hidden="false" customHeight="false" outlineLevel="0" collapsed="false">
      <c r="A177" s="4" t="s">
        <v>167</v>
      </c>
      <c r="B177" s="4" t="s">
        <v>352</v>
      </c>
      <c r="C177" s="4" t="s">
        <v>352</v>
      </c>
      <c r="D177" s="12" t="n">
        <v>2018</v>
      </c>
      <c r="E177" s="4"/>
      <c r="F177" s="4" t="s">
        <v>169</v>
      </c>
      <c r="G177" s="4" t="s">
        <v>170</v>
      </c>
      <c r="H177" s="4" t="s">
        <v>171</v>
      </c>
      <c r="I177" s="4" t="s">
        <v>172</v>
      </c>
      <c r="J177" s="4" t="s">
        <v>352</v>
      </c>
      <c r="K177" s="4" t="s">
        <v>101</v>
      </c>
      <c r="L177" s="4" t="s">
        <v>102</v>
      </c>
      <c r="M177" s="4"/>
      <c r="N177" s="4"/>
      <c r="O177" s="4"/>
      <c r="P177" s="4"/>
      <c r="Q177" s="4"/>
      <c r="R177" s="4"/>
      <c r="S177" s="13" t="n">
        <v>0</v>
      </c>
      <c r="T177" s="4" t="s">
        <v>173</v>
      </c>
      <c r="U177" s="14" t="n">
        <f aca="false">IF(OR($S177="",PARAMETROS!$B$4=""),"",$S177*PARAMETROS!$B$4)</f>
        <v>0</v>
      </c>
      <c r="V177" s="13" t="n">
        <v>0</v>
      </c>
      <c r="W177" s="4"/>
      <c r="X177" s="4"/>
      <c r="Y177" s="4"/>
      <c r="Z177" s="4"/>
      <c r="AA177" s="4"/>
      <c r="AB177" s="4"/>
      <c r="AC177" s="4"/>
      <c r="AD177" s="4"/>
      <c r="AE177" s="4"/>
      <c r="AF177" s="4"/>
      <c r="AG177" s="4"/>
      <c r="AH177" s="4"/>
      <c r="AI177" s="4"/>
      <c r="AJ177" s="4"/>
      <c r="AK177" s="4"/>
      <c r="AL177" s="4" t="s">
        <v>174</v>
      </c>
      <c r="AM177" s="4" t="s">
        <v>205</v>
      </c>
    </row>
    <row r="178" customFormat="false" ht="23.85" hidden="false" customHeight="false" outlineLevel="0" collapsed="false">
      <c r="A178" s="4" t="s">
        <v>167</v>
      </c>
      <c r="B178" s="4" t="s">
        <v>353</v>
      </c>
      <c r="C178" s="4" t="s">
        <v>353</v>
      </c>
      <c r="D178" s="12" t="n">
        <v>2018</v>
      </c>
      <c r="E178" s="4"/>
      <c r="F178" s="4" t="s">
        <v>169</v>
      </c>
      <c r="G178" s="4" t="s">
        <v>170</v>
      </c>
      <c r="H178" s="4" t="s">
        <v>171</v>
      </c>
      <c r="I178" s="4" t="s">
        <v>172</v>
      </c>
      <c r="J178" s="4" t="s">
        <v>353</v>
      </c>
      <c r="K178" s="4" t="s">
        <v>101</v>
      </c>
      <c r="L178" s="4" t="s">
        <v>102</v>
      </c>
      <c r="M178" s="4"/>
      <c r="N178" s="4"/>
      <c r="O178" s="4"/>
      <c r="P178" s="4"/>
      <c r="Q178" s="4"/>
      <c r="R178" s="4"/>
      <c r="S178" s="13" t="n">
        <v>0</v>
      </c>
      <c r="T178" s="4" t="s">
        <v>173</v>
      </c>
      <c r="U178" s="14" t="n">
        <f aca="false">IF(OR($S178="",PARAMETROS!$B$4=""),"",$S178*PARAMETROS!$B$4)</f>
        <v>0</v>
      </c>
      <c r="V178" s="13" t="n">
        <v>0</v>
      </c>
      <c r="W178" s="4"/>
      <c r="X178" s="4"/>
      <c r="Y178" s="4"/>
      <c r="Z178" s="4"/>
      <c r="AA178" s="4"/>
      <c r="AB178" s="4"/>
      <c r="AC178" s="4"/>
      <c r="AD178" s="4"/>
      <c r="AE178" s="4"/>
      <c r="AF178" s="4"/>
      <c r="AG178" s="4"/>
      <c r="AH178" s="4"/>
      <c r="AI178" s="4"/>
      <c r="AJ178" s="4"/>
      <c r="AK178" s="4"/>
      <c r="AL178" s="4" t="s">
        <v>174</v>
      </c>
      <c r="AM178" s="4" t="s">
        <v>205</v>
      </c>
    </row>
    <row r="179" customFormat="false" ht="23.85" hidden="false" customHeight="false" outlineLevel="0" collapsed="false">
      <c r="A179" s="4" t="s">
        <v>167</v>
      </c>
      <c r="B179" s="4" t="s">
        <v>354</v>
      </c>
      <c r="C179" s="4" t="s">
        <v>354</v>
      </c>
      <c r="D179" s="12" t="n">
        <v>2018</v>
      </c>
      <c r="E179" s="4"/>
      <c r="F179" s="4" t="s">
        <v>169</v>
      </c>
      <c r="G179" s="4" t="s">
        <v>170</v>
      </c>
      <c r="H179" s="4" t="s">
        <v>171</v>
      </c>
      <c r="I179" s="4" t="s">
        <v>172</v>
      </c>
      <c r="J179" s="4" t="s">
        <v>354</v>
      </c>
      <c r="K179" s="4" t="s">
        <v>101</v>
      </c>
      <c r="L179" s="4" t="s">
        <v>102</v>
      </c>
      <c r="M179" s="4"/>
      <c r="N179" s="4"/>
      <c r="O179" s="4"/>
      <c r="P179" s="4"/>
      <c r="Q179" s="4"/>
      <c r="R179" s="4"/>
      <c r="S179" s="13" t="n">
        <v>0</v>
      </c>
      <c r="T179" s="4" t="s">
        <v>173</v>
      </c>
      <c r="U179" s="14" t="n">
        <f aca="false">IF(OR($S179="",PARAMETROS!$B$4=""),"",$S179*PARAMETROS!$B$4)</f>
        <v>0</v>
      </c>
      <c r="V179" s="13" t="n">
        <v>0</v>
      </c>
      <c r="W179" s="4"/>
      <c r="X179" s="4"/>
      <c r="Y179" s="4"/>
      <c r="Z179" s="4"/>
      <c r="AA179" s="4"/>
      <c r="AB179" s="4"/>
      <c r="AC179" s="4"/>
      <c r="AD179" s="4"/>
      <c r="AE179" s="4"/>
      <c r="AF179" s="4"/>
      <c r="AG179" s="4"/>
      <c r="AH179" s="4"/>
      <c r="AI179" s="4"/>
      <c r="AJ179" s="4"/>
      <c r="AK179" s="4"/>
      <c r="AL179" s="4" t="s">
        <v>174</v>
      </c>
      <c r="AM179" s="4" t="s">
        <v>205</v>
      </c>
    </row>
    <row r="180" customFormat="false" ht="23.85" hidden="false" customHeight="false" outlineLevel="0" collapsed="false">
      <c r="A180" s="4" t="s">
        <v>167</v>
      </c>
      <c r="B180" s="4" t="s">
        <v>355</v>
      </c>
      <c r="C180" s="4" t="s">
        <v>355</v>
      </c>
      <c r="D180" s="12" t="n">
        <v>2018</v>
      </c>
      <c r="E180" s="4"/>
      <c r="F180" s="4" t="s">
        <v>169</v>
      </c>
      <c r="G180" s="4" t="s">
        <v>170</v>
      </c>
      <c r="H180" s="4" t="s">
        <v>171</v>
      </c>
      <c r="I180" s="4" t="s">
        <v>172</v>
      </c>
      <c r="J180" s="4" t="s">
        <v>355</v>
      </c>
      <c r="K180" s="4" t="s">
        <v>101</v>
      </c>
      <c r="L180" s="4" t="s">
        <v>102</v>
      </c>
      <c r="M180" s="4"/>
      <c r="N180" s="4"/>
      <c r="O180" s="4"/>
      <c r="P180" s="4"/>
      <c r="Q180" s="4"/>
      <c r="R180" s="4"/>
      <c r="S180" s="13" t="n">
        <v>0</v>
      </c>
      <c r="T180" s="4" t="s">
        <v>173</v>
      </c>
      <c r="U180" s="14" t="n">
        <f aca="false">IF(OR($S180="",PARAMETROS!$B$4=""),"",$S180*PARAMETROS!$B$4)</f>
        <v>0</v>
      </c>
      <c r="V180" s="13" t="n">
        <v>0</v>
      </c>
      <c r="W180" s="4"/>
      <c r="X180" s="4"/>
      <c r="Y180" s="4"/>
      <c r="Z180" s="4"/>
      <c r="AA180" s="4"/>
      <c r="AB180" s="4"/>
      <c r="AC180" s="4"/>
      <c r="AD180" s="4"/>
      <c r="AE180" s="4"/>
      <c r="AF180" s="4"/>
      <c r="AG180" s="4"/>
      <c r="AH180" s="4"/>
      <c r="AI180" s="4"/>
      <c r="AJ180" s="4"/>
      <c r="AK180" s="4"/>
      <c r="AL180" s="4" t="s">
        <v>174</v>
      </c>
      <c r="AM180" s="4" t="s">
        <v>205</v>
      </c>
    </row>
    <row r="181" customFormat="false" ht="23.85" hidden="false" customHeight="false" outlineLevel="0" collapsed="false">
      <c r="A181" s="4" t="s">
        <v>167</v>
      </c>
      <c r="B181" s="4" t="s">
        <v>356</v>
      </c>
      <c r="C181" s="4" t="s">
        <v>356</v>
      </c>
      <c r="D181" s="12" t="n">
        <v>2018</v>
      </c>
      <c r="E181" s="4"/>
      <c r="F181" s="4" t="s">
        <v>169</v>
      </c>
      <c r="G181" s="4" t="s">
        <v>170</v>
      </c>
      <c r="H181" s="4" t="s">
        <v>171</v>
      </c>
      <c r="I181" s="4" t="s">
        <v>172</v>
      </c>
      <c r="J181" s="4" t="s">
        <v>356</v>
      </c>
      <c r="K181" s="4" t="s">
        <v>101</v>
      </c>
      <c r="L181" s="4" t="s">
        <v>102</v>
      </c>
      <c r="M181" s="4"/>
      <c r="N181" s="4"/>
      <c r="O181" s="4"/>
      <c r="P181" s="4"/>
      <c r="Q181" s="4"/>
      <c r="R181" s="4"/>
      <c r="S181" s="13" t="n">
        <v>1194.24</v>
      </c>
      <c r="T181" s="4" t="s">
        <v>173</v>
      </c>
      <c r="U181" s="14" t="n">
        <f aca="false">IF(OR($S181="",PARAMETROS!$B$4=""),"",$S181*PARAMETROS!$B$4)</f>
        <v>6938.5344</v>
      </c>
      <c r="V181" s="13" t="n">
        <v>0</v>
      </c>
      <c r="W181" s="4"/>
      <c r="X181" s="4"/>
      <c r="Y181" s="4"/>
      <c r="Z181" s="4"/>
      <c r="AA181" s="4"/>
      <c r="AB181" s="4"/>
      <c r="AC181" s="4"/>
      <c r="AD181" s="4"/>
      <c r="AE181" s="4"/>
      <c r="AF181" s="4"/>
      <c r="AG181" s="4"/>
      <c r="AH181" s="4"/>
      <c r="AI181" s="4"/>
      <c r="AJ181" s="4"/>
      <c r="AK181" s="4"/>
      <c r="AL181" s="4" t="s">
        <v>174</v>
      </c>
      <c r="AM181" s="4" t="s">
        <v>205</v>
      </c>
    </row>
    <row r="182" customFormat="false" ht="23.85" hidden="false" customHeight="false" outlineLevel="0" collapsed="false">
      <c r="A182" s="4" t="s">
        <v>167</v>
      </c>
      <c r="B182" s="4" t="s">
        <v>357</v>
      </c>
      <c r="C182" s="4" t="s">
        <v>357</v>
      </c>
      <c r="D182" s="12" t="n">
        <v>2018</v>
      </c>
      <c r="E182" s="4"/>
      <c r="F182" s="4" t="s">
        <v>169</v>
      </c>
      <c r="G182" s="4" t="s">
        <v>170</v>
      </c>
      <c r="H182" s="4" t="s">
        <v>171</v>
      </c>
      <c r="I182" s="4" t="s">
        <v>172</v>
      </c>
      <c r="J182" s="4" t="s">
        <v>357</v>
      </c>
      <c r="K182" s="4" t="s">
        <v>101</v>
      </c>
      <c r="L182" s="4" t="s">
        <v>102</v>
      </c>
      <c r="M182" s="4"/>
      <c r="N182" s="4"/>
      <c r="O182" s="4"/>
      <c r="P182" s="4"/>
      <c r="Q182" s="4"/>
      <c r="R182" s="4"/>
      <c r="S182" s="13" t="n">
        <v>0</v>
      </c>
      <c r="T182" s="4" t="s">
        <v>173</v>
      </c>
      <c r="U182" s="14" t="n">
        <f aca="false">IF(OR($S182="",PARAMETROS!$B$4=""),"",$S182*PARAMETROS!$B$4)</f>
        <v>0</v>
      </c>
      <c r="V182" s="13" t="n">
        <v>0</v>
      </c>
      <c r="W182" s="4"/>
      <c r="X182" s="4"/>
      <c r="Y182" s="4"/>
      <c r="Z182" s="4"/>
      <c r="AA182" s="4"/>
      <c r="AB182" s="4"/>
      <c r="AC182" s="4"/>
      <c r="AD182" s="4"/>
      <c r="AE182" s="4"/>
      <c r="AF182" s="4"/>
      <c r="AG182" s="4"/>
      <c r="AH182" s="4"/>
      <c r="AI182" s="4"/>
      <c r="AJ182" s="4"/>
      <c r="AK182" s="4"/>
      <c r="AL182" s="4" t="s">
        <v>174</v>
      </c>
      <c r="AM182" s="4" t="s">
        <v>205</v>
      </c>
    </row>
    <row r="183" customFormat="false" ht="23.85" hidden="false" customHeight="false" outlineLevel="0" collapsed="false">
      <c r="A183" s="4" t="s">
        <v>167</v>
      </c>
      <c r="B183" s="4" t="s">
        <v>358</v>
      </c>
      <c r="C183" s="4" t="s">
        <v>358</v>
      </c>
      <c r="D183" s="12" t="n">
        <v>2018</v>
      </c>
      <c r="E183" s="4"/>
      <c r="F183" s="4" t="s">
        <v>169</v>
      </c>
      <c r="G183" s="4" t="s">
        <v>170</v>
      </c>
      <c r="H183" s="4" t="s">
        <v>171</v>
      </c>
      <c r="I183" s="4" t="s">
        <v>172</v>
      </c>
      <c r="J183" s="4" t="s">
        <v>358</v>
      </c>
      <c r="K183" s="4" t="s">
        <v>101</v>
      </c>
      <c r="L183" s="4" t="s">
        <v>102</v>
      </c>
      <c r="M183" s="4"/>
      <c r="N183" s="4"/>
      <c r="O183" s="4"/>
      <c r="P183" s="4"/>
      <c r="Q183" s="4"/>
      <c r="R183" s="4"/>
      <c r="S183" s="13" t="n">
        <v>0</v>
      </c>
      <c r="T183" s="4" t="s">
        <v>173</v>
      </c>
      <c r="U183" s="14" t="n">
        <f aca="false">IF(OR($S183="",PARAMETROS!$B$4=""),"",$S183*PARAMETROS!$B$4)</f>
        <v>0</v>
      </c>
      <c r="V183" s="13" t="n">
        <v>0</v>
      </c>
      <c r="W183" s="4"/>
      <c r="X183" s="4"/>
      <c r="Y183" s="4"/>
      <c r="Z183" s="4"/>
      <c r="AA183" s="4"/>
      <c r="AB183" s="4"/>
      <c r="AC183" s="4"/>
      <c r="AD183" s="4"/>
      <c r="AE183" s="4"/>
      <c r="AF183" s="4"/>
      <c r="AG183" s="4"/>
      <c r="AH183" s="4"/>
      <c r="AI183" s="4"/>
      <c r="AJ183" s="4"/>
      <c r="AK183" s="4"/>
      <c r="AL183" s="4" t="s">
        <v>174</v>
      </c>
      <c r="AM183" s="4" t="s">
        <v>205</v>
      </c>
    </row>
    <row r="184" customFormat="false" ht="23.85" hidden="false" customHeight="false" outlineLevel="0" collapsed="false">
      <c r="A184" s="4" t="s">
        <v>167</v>
      </c>
      <c r="B184" s="4" t="s">
        <v>359</v>
      </c>
      <c r="C184" s="4" t="s">
        <v>359</v>
      </c>
      <c r="D184" s="12" t="n">
        <v>2018</v>
      </c>
      <c r="E184" s="4"/>
      <c r="F184" s="4" t="s">
        <v>169</v>
      </c>
      <c r="G184" s="4" t="s">
        <v>170</v>
      </c>
      <c r="H184" s="4" t="s">
        <v>171</v>
      </c>
      <c r="I184" s="4" t="s">
        <v>172</v>
      </c>
      <c r="J184" s="4" t="s">
        <v>359</v>
      </c>
      <c r="K184" s="4" t="s">
        <v>103</v>
      </c>
      <c r="L184" s="4" t="s">
        <v>104</v>
      </c>
      <c r="M184" s="4"/>
      <c r="N184" s="4"/>
      <c r="O184" s="4"/>
      <c r="P184" s="4"/>
      <c r="Q184" s="4"/>
      <c r="R184" s="4"/>
      <c r="S184" s="13" t="n">
        <v>0</v>
      </c>
      <c r="T184" s="4" t="s">
        <v>173</v>
      </c>
      <c r="U184" s="14" t="n">
        <f aca="false">IF(OR($S184="",PARAMETROS!$B$4=""),"",$S184*PARAMETROS!$B$4)</f>
        <v>0</v>
      </c>
      <c r="V184" s="13" t="n">
        <v>0</v>
      </c>
      <c r="W184" s="4"/>
      <c r="X184" s="4"/>
      <c r="Y184" s="4"/>
      <c r="Z184" s="4"/>
      <c r="AA184" s="4"/>
      <c r="AB184" s="4"/>
      <c r="AC184" s="4"/>
      <c r="AD184" s="4"/>
      <c r="AE184" s="4"/>
      <c r="AF184" s="4"/>
      <c r="AG184" s="4"/>
      <c r="AH184" s="4"/>
      <c r="AI184" s="4"/>
      <c r="AJ184" s="4"/>
      <c r="AK184" s="4"/>
      <c r="AL184" s="4" t="s">
        <v>174</v>
      </c>
      <c r="AM184" s="4" t="s">
        <v>205</v>
      </c>
    </row>
    <row r="185" customFormat="false" ht="23.85" hidden="false" customHeight="false" outlineLevel="0" collapsed="false">
      <c r="A185" s="4" t="s">
        <v>167</v>
      </c>
      <c r="B185" s="4" t="s">
        <v>360</v>
      </c>
      <c r="C185" s="4" t="s">
        <v>360</v>
      </c>
      <c r="D185" s="12" t="n">
        <v>2018</v>
      </c>
      <c r="E185" s="4"/>
      <c r="F185" s="4" t="s">
        <v>169</v>
      </c>
      <c r="G185" s="4" t="s">
        <v>170</v>
      </c>
      <c r="H185" s="4" t="s">
        <v>171</v>
      </c>
      <c r="I185" s="4" t="s">
        <v>172</v>
      </c>
      <c r="J185" s="4" t="s">
        <v>360</v>
      </c>
      <c r="K185" s="4" t="s">
        <v>103</v>
      </c>
      <c r="L185" s="4" t="s">
        <v>104</v>
      </c>
      <c r="M185" s="4"/>
      <c r="N185" s="4"/>
      <c r="O185" s="4"/>
      <c r="P185" s="4"/>
      <c r="Q185" s="4"/>
      <c r="R185" s="4"/>
      <c r="S185" s="13" t="n">
        <v>12343.03</v>
      </c>
      <c r="T185" s="4" t="s">
        <v>173</v>
      </c>
      <c r="U185" s="14" t="n">
        <f aca="false">IF(OR($S185="",PARAMETROS!$B$4=""),"",$S185*PARAMETROS!$B$4)</f>
        <v>71713.0043</v>
      </c>
      <c r="V185" s="13" t="n">
        <v>0</v>
      </c>
      <c r="W185" s="4"/>
      <c r="X185" s="4"/>
      <c r="Y185" s="4"/>
      <c r="Z185" s="4"/>
      <c r="AA185" s="4"/>
      <c r="AB185" s="4"/>
      <c r="AC185" s="4"/>
      <c r="AD185" s="4"/>
      <c r="AE185" s="4"/>
      <c r="AF185" s="4"/>
      <c r="AG185" s="4"/>
      <c r="AH185" s="4"/>
      <c r="AI185" s="4"/>
      <c r="AJ185" s="4"/>
      <c r="AK185" s="4"/>
      <c r="AL185" s="4" t="s">
        <v>174</v>
      </c>
      <c r="AM185" s="4" t="s">
        <v>205</v>
      </c>
    </row>
    <row r="186" customFormat="false" ht="23.85" hidden="false" customHeight="false" outlineLevel="0" collapsed="false">
      <c r="A186" s="4" t="s">
        <v>167</v>
      </c>
      <c r="B186" s="4" t="s">
        <v>361</v>
      </c>
      <c r="C186" s="4" t="s">
        <v>361</v>
      </c>
      <c r="D186" s="12" t="n">
        <v>2018</v>
      </c>
      <c r="E186" s="4"/>
      <c r="F186" s="4" t="s">
        <v>169</v>
      </c>
      <c r="G186" s="4" t="s">
        <v>170</v>
      </c>
      <c r="H186" s="4" t="s">
        <v>171</v>
      </c>
      <c r="I186" s="4" t="s">
        <v>172</v>
      </c>
      <c r="J186" s="4" t="s">
        <v>361</v>
      </c>
      <c r="K186" s="4" t="s">
        <v>103</v>
      </c>
      <c r="L186" s="4" t="s">
        <v>104</v>
      </c>
      <c r="M186" s="4"/>
      <c r="N186" s="4"/>
      <c r="O186" s="4"/>
      <c r="P186" s="4"/>
      <c r="Q186" s="4"/>
      <c r="R186" s="4"/>
      <c r="S186" s="13" t="n">
        <v>250.03</v>
      </c>
      <c r="T186" s="4" t="s">
        <v>173</v>
      </c>
      <c r="U186" s="14" t="n">
        <f aca="false">IF(OR($S186="",PARAMETROS!$B$4=""),"",$S186*PARAMETROS!$B$4)</f>
        <v>1452.6743</v>
      </c>
      <c r="V186" s="13" t="n">
        <v>0</v>
      </c>
      <c r="W186" s="4"/>
      <c r="X186" s="4"/>
      <c r="Y186" s="4"/>
      <c r="Z186" s="4"/>
      <c r="AA186" s="4"/>
      <c r="AB186" s="4"/>
      <c r="AC186" s="4"/>
      <c r="AD186" s="4"/>
      <c r="AE186" s="4"/>
      <c r="AF186" s="4"/>
      <c r="AG186" s="4"/>
      <c r="AH186" s="4"/>
      <c r="AI186" s="4"/>
      <c r="AJ186" s="4"/>
      <c r="AK186" s="4"/>
      <c r="AL186" s="4" t="s">
        <v>174</v>
      </c>
      <c r="AM186" s="4" t="s">
        <v>205</v>
      </c>
    </row>
    <row r="187" customFormat="false" ht="23.85" hidden="false" customHeight="false" outlineLevel="0" collapsed="false">
      <c r="A187" s="4" t="s">
        <v>167</v>
      </c>
      <c r="B187" s="4" t="s">
        <v>362</v>
      </c>
      <c r="C187" s="4" t="s">
        <v>362</v>
      </c>
      <c r="D187" s="12" t="n">
        <v>2018</v>
      </c>
      <c r="E187" s="4"/>
      <c r="F187" s="4" t="s">
        <v>169</v>
      </c>
      <c r="G187" s="4" t="s">
        <v>170</v>
      </c>
      <c r="H187" s="4" t="s">
        <v>171</v>
      </c>
      <c r="I187" s="4" t="s">
        <v>172</v>
      </c>
      <c r="J187" s="4" t="s">
        <v>362</v>
      </c>
      <c r="K187" s="4" t="s">
        <v>103</v>
      </c>
      <c r="L187" s="4" t="s">
        <v>104</v>
      </c>
      <c r="M187" s="4"/>
      <c r="N187" s="4"/>
      <c r="O187" s="4"/>
      <c r="P187" s="4"/>
      <c r="Q187" s="4"/>
      <c r="R187" s="4"/>
      <c r="S187" s="13" t="n">
        <v>23.84</v>
      </c>
      <c r="T187" s="4" t="s">
        <v>173</v>
      </c>
      <c r="U187" s="14" t="n">
        <f aca="false">IF(OR($S187="",PARAMETROS!$B$4=""),"",$S187*PARAMETROS!$B$4)</f>
        <v>138.5104</v>
      </c>
      <c r="V187" s="13" t="n">
        <v>0</v>
      </c>
      <c r="W187" s="4"/>
      <c r="X187" s="4"/>
      <c r="Y187" s="4"/>
      <c r="Z187" s="4"/>
      <c r="AA187" s="4"/>
      <c r="AB187" s="4"/>
      <c r="AC187" s="4"/>
      <c r="AD187" s="4"/>
      <c r="AE187" s="4"/>
      <c r="AF187" s="4"/>
      <c r="AG187" s="4"/>
      <c r="AH187" s="4"/>
      <c r="AI187" s="4"/>
      <c r="AJ187" s="4"/>
      <c r="AK187" s="4"/>
      <c r="AL187" s="4" t="s">
        <v>174</v>
      </c>
      <c r="AM187" s="4" t="s">
        <v>205</v>
      </c>
    </row>
    <row r="188" customFormat="false" ht="23.85" hidden="false" customHeight="false" outlineLevel="0" collapsed="false">
      <c r="A188" s="4" t="s">
        <v>167</v>
      </c>
      <c r="B188" s="4" t="s">
        <v>363</v>
      </c>
      <c r="C188" s="4" t="s">
        <v>363</v>
      </c>
      <c r="D188" s="12" t="n">
        <v>2018</v>
      </c>
      <c r="E188" s="4"/>
      <c r="F188" s="4" t="s">
        <v>169</v>
      </c>
      <c r="G188" s="4" t="s">
        <v>170</v>
      </c>
      <c r="H188" s="4" t="s">
        <v>171</v>
      </c>
      <c r="I188" s="4" t="s">
        <v>172</v>
      </c>
      <c r="J188" s="4" t="s">
        <v>363</v>
      </c>
      <c r="K188" s="4" t="s">
        <v>103</v>
      </c>
      <c r="L188" s="4" t="s">
        <v>104</v>
      </c>
      <c r="M188" s="4"/>
      <c r="N188" s="4"/>
      <c r="O188" s="4"/>
      <c r="P188" s="4"/>
      <c r="Q188" s="4"/>
      <c r="R188" s="4"/>
      <c r="S188" s="13" t="n">
        <v>0</v>
      </c>
      <c r="T188" s="4" t="s">
        <v>173</v>
      </c>
      <c r="U188" s="14" t="n">
        <f aca="false">IF(OR($S188="",PARAMETROS!$B$4=""),"",$S188*PARAMETROS!$B$4)</f>
        <v>0</v>
      </c>
      <c r="V188" s="13" t="n">
        <v>0</v>
      </c>
      <c r="W188" s="4"/>
      <c r="X188" s="4"/>
      <c r="Y188" s="4"/>
      <c r="Z188" s="4"/>
      <c r="AA188" s="4"/>
      <c r="AB188" s="4"/>
      <c r="AC188" s="4"/>
      <c r="AD188" s="4"/>
      <c r="AE188" s="4"/>
      <c r="AF188" s="4"/>
      <c r="AG188" s="4"/>
      <c r="AH188" s="4"/>
      <c r="AI188" s="4"/>
      <c r="AJ188" s="4"/>
      <c r="AK188" s="4"/>
      <c r="AL188" s="4" t="s">
        <v>174</v>
      </c>
      <c r="AM188" s="4" t="s">
        <v>205</v>
      </c>
    </row>
    <row r="189" customFormat="false" ht="23.85" hidden="false" customHeight="false" outlineLevel="0" collapsed="false">
      <c r="A189" s="4" t="s">
        <v>167</v>
      </c>
      <c r="B189" s="4" t="s">
        <v>364</v>
      </c>
      <c r="C189" s="4" t="s">
        <v>364</v>
      </c>
      <c r="D189" s="12" t="n">
        <v>2018</v>
      </c>
      <c r="E189" s="4"/>
      <c r="F189" s="4" t="s">
        <v>169</v>
      </c>
      <c r="G189" s="4" t="s">
        <v>170</v>
      </c>
      <c r="H189" s="4" t="s">
        <v>171</v>
      </c>
      <c r="I189" s="4" t="s">
        <v>172</v>
      </c>
      <c r="J189" s="4" t="s">
        <v>364</v>
      </c>
      <c r="K189" s="4" t="s">
        <v>103</v>
      </c>
      <c r="L189" s="4" t="s">
        <v>104</v>
      </c>
      <c r="M189" s="4"/>
      <c r="N189" s="4"/>
      <c r="O189" s="4"/>
      <c r="P189" s="4"/>
      <c r="Q189" s="4"/>
      <c r="R189" s="4"/>
      <c r="S189" s="13" t="n">
        <v>0</v>
      </c>
      <c r="T189" s="4" t="s">
        <v>173</v>
      </c>
      <c r="U189" s="14" t="n">
        <f aca="false">IF(OR($S189="",PARAMETROS!$B$4=""),"",$S189*PARAMETROS!$B$4)</f>
        <v>0</v>
      </c>
      <c r="V189" s="13" t="n">
        <v>0</v>
      </c>
      <c r="W189" s="4"/>
      <c r="X189" s="4"/>
      <c r="Y189" s="4"/>
      <c r="Z189" s="4"/>
      <c r="AA189" s="4"/>
      <c r="AB189" s="4"/>
      <c r="AC189" s="4"/>
      <c r="AD189" s="4"/>
      <c r="AE189" s="4"/>
      <c r="AF189" s="4"/>
      <c r="AG189" s="4"/>
      <c r="AH189" s="4"/>
      <c r="AI189" s="4"/>
      <c r="AJ189" s="4"/>
      <c r="AK189" s="4"/>
      <c r="AL189" s="4" t="s">
        <v>174</v>
      </c>
      <c r="AM189" s="4" t="s">
        <v>205</v>
      </c>
    </row>
    <row r="190" customFormat="false" ht="23.85" hidden="false" customHeight="false" outlineLevel="0" collapsed="false">
      <c r="A190" s="4" t="s">
        <v>167</v>
      </c>
      <c r="B190" s="4" t="s">
        <v>365</v>
      </c>
      <c r="C190" s="4" t="s">
        <v>365</v>
      </c>
      <c r="D190" s="12" t="n">
        <v>2018</v>
      </c>
      <c r="E190" s="4"/>
      <c r="F190" s="4" t="s">
        <v>169</v>
      </c>
      <c r="G190" s="4" t="s">
        <v>170</v>
      </c>
      <c r="H190" s="4" t="s">
        <v>171</v>
      </c>
      <c r="I190" s="4" t="s">
        <v>172</v>
      </c>
      <c r="J190" s="4" t="s">
        <v>365</v>
      </c>
      <c r="K190" s="4" t="s">
        <v>103</v>
      </c>
      <c r="L190" s="4" t="s">
        <v>104</v>
      </c>
      <c r="M190" s="4"/>
      <c r="N190" s="4"/>
      <c r="O190" s="4"/>
      <c r="P190" s="4"/>
      <c r="Q190" s="4"/>
      <c r="R190" s="4"/>
      <c r="S190" s="13" t="n">
        <v>0</v>
      </c>
      <c r="T190" s="4" t="s">
        <v>173</v>
      </c>
      <c r="U190" s="14" t="n">
        <f aca="false">IF(OR($S190="",PARAMETROS!$B$4=""),"",$S190*PARAMETROS!$B$4)</f>
        <v>0</v>
      </c>
      <c r="V190" s="13" t="n">
        <v>0</v>
      </c>
      <c r="W190" s="4"/>
      <c r="X190" s="4"/>
      <c r="Y190" s="4"/>
      <c r="Z190" s="4"/>
      <c r="AA190" s="4"/>
      <c r="AB190" s="4"/>
      <c r="AC190" s="4"/>
      <c r="AD190" s="4"/>
      <c r="AE190" s="4"/>
      <c r="AF190" s="4"/>
      <c r="AG190" s="4"/>
      <c r="AH190" s="4"/>
      <c r="AI190" s="4"/>
      <c r="AJ190" s="4"/>
      <c r="AK190" s="4"/>
      <c r="AL190" s="4" t="s">
        <v>174</v>
      </c>
      <c r="AM190" s="4" t="s">
        <v>205</v>
      </c>
    </row>
    <row r="191" customFormat="false" ht="23.85" hidden="false" customHeight="false" outlineLevel="0" collapsed="false">
      <c r="A191" s="4" t="s">
        <v>167</v>
      </c>
      <c r="B191" s="4" t="s">
        <v>366</v>
      </c>
      <c r="C191" s="4" t="s">
        <v>366</v>
      </c>
      <c r="D191" s="12" t="n">
        <v>2018</v>
      </c>
      <c r="E191" s="4"/>
      <c r="F191" s="4" t="s">
        <v>169</v>
      </c>
      <c r="G191" s="4" t="s">
        <v>170</v>
      </c>
      <c r="H191" s="4" t="s">
        <v>171</v>
      </c>
      <c r="I191" s="4" t="s">
        <v>172</v>
      </c>
      <c r="J191" s="4" t="s">
        <v>366</v>
      </c>
      <c r="K191" s="4" t="s">
        <v>103</v>
      </c>
      <c r="L191" s="4" t="s">
        <v>104</v>
      </c>
      <c r="M191" s="4"/>
      <c r="N191" s="4"/>
      <c r="O191" s="4"/>
      <c r="P191" s="4"/>
      <c r="Q191" s="4"/>
      <c r="R191" s="4"/>
      <c r="S191" s="13" t="n">
        <v>0</v>
      </c>
      <c r="T191" s="4" t="s">
        <v>173</v>
      </c>
      <c r="U191" s="14" t="n">
        <f aca="false">IF(OR($S191="",PARAMETROS!$B$4=""),"",$S191*PARAMETROS!$B$4)</f>
        <v>0</v>
      </c>
      <c r="V191" s="13" t="n">
        <v>0</v>
      </c>
      <c r="W191" s="4"/>
      <c r="X191" s="4"/>
      <c r="Y191" s="4"/>
      <c r="Z191" s="4"/>
      <c r="AA191" s="4"/>
      <c r="AB191" s="4"/>
      <c r="AC191" s="4"/>
      <c r="AD191" s="4"/>
      <c r="AE191" s="4"/>
      <c r="AF191" s="4"/>
      <c r="AG191" s="4"/>
      <c r="AH191" s="4"/>
      <c r="AI191" s="4"/>
      <c r="AJ191" s="4"/>
      <c r="AK191" s="4"/>
      <c r="AL191" s="4" t="s">
        <v>174</v>
      </c>
      <c r="AM191" s="4" t="s">
        <v>205</v>
      </c>
    </row>
    <row r="192" customFormat="false" ht="23.85" hidden="false" customHeight="false" outlineLevel="0" collapsed="false">
      <c r="A192" s="4" t="s">
        <v>167</v>
      </c>
      <c r="B192" s="4" t="s">
        <v>367</v>
      </c>
      <c r="C192" s="4" t="s">
        <v>367</v>
      </c>
      <c r="D192" s="12" t="n">
        <v>2018</v>
      </c>
      <c r="E192" s="4"/>
      <c r="F192" s="4" t="s">
        <v>169</v>
      </c>
      <c r="G192" s="4" t="s">
        <v>170</v>
      </c>
      <c r="H192" s="4" t="s">
        <v>171</v>
      </c>
      <c r="I192" s="4" t="s">
        <v>172</v>
      </c>
      <c r="J192" s="4" t="s">
        <v>367</v>
      </c>
      <c r="K192" s="4" t="s">
        <v>103</v>
      </c>
      <c r="L192" s="4" t="s">
        <v>104</v>
      </c>
      <c r="M192" s="4"/>
      <c r="N192" s="4"/>
      <c r="O192" s="4"/>
      <c r="P192" s="4"/>
      <c r="Q192" s="4"/>
      <c r="R192" s="4"/>
      <c r="S192" s="13" t="n">
        <v>11814.16</v>
      </c>
      <c r="T192" s="4" t="s">
        <v>173</v>
      </c>
      <c r="U192" s="14" t="n">
        <f aca="false">IF(OR($S192="",PARAMETROS!$B$4=""),"",$S192*PARAMETROS!$B$4)</f>
        <v>68640.2696</v>
      </c>
      <c r="V192" s="13" t="n">
        <v>0</v>
      </c>
      <c r="W192" s="4"/>
      <c r="X192" s="4"/>
      <c r="Y192" s="4"/>
      <c r="Z192" s="4"/>
      <c r="AA192" s="4"/>
      <c r="AB192" s="4"/>
      <c r="AC192" s="4"/>
      <c r="AD192" s="4"/>
      <c r="AE192" s="4"/>
      <c r="AF192" s="4"/>
      <c r="AG192" s="4"/>
      <c r="AH192" s="4"/>
      <c r="AI192" s="4"/>
      <c r="AJ192" s="4"/>
      <c r="AK192" s="4"/>
      <c r="AL192" s="4" t="s">
        <v>174</v>
      </c>
      <c r="AM192" s="4" t="s">
        <v>205</v>
      </c>
    </row>
    <row r="193" customFormat="false" ht="23.85" hidden="false" customHeight="false" outlineLevel="0" collapsed="false">
      <c r="A193" s="4" t="s">
        <v>167</v>
      </c>
      <c r="B193" s="4" t="s">
        <v>368</v>
      </c>
      <c r="C193" s="4" t="s">
        <v>368</v>
      </c>
      <c r="D193" s="12" t="n">
        <v>2018</v>
      </c>
      <c r="E193" s="4"/>
      <c r="F193" s="4" t="s">
        <v>169</v>
      </c>
      <c r="G193" s="4" t="s">
        <v>170</v>
      </c>
      <c r="H193" s="4" t="s">
        <v>171</v>
      </c>
      <c r="I193" s="4" t="s">
        <v>172</v>
      </c>
      <c r="J193" s="4" t="s">
        <v>368</v>
      </c>
      <c r="K193" s="4" t="s">
        <v>103</v>
      </c>
      <c r="L193" s="4" t="s">
        <v>104</v>
      </c>
      <c r="M193" s="4"/>
      <c r="N193" s="4"/>
      <c r="O193" s="4"/>
      <c r="P193" s="4"/>
      <c r="Q193" s="4"/>
      <c r="R193" s="4"/>
      <c r="S193" s="13" t="n">
        <v>0</v>
      </c>
      <c r="T193" s="4" t="s">
        <v>173</v>
      </c>
      <c r="U193" s="14" t="n">
        <f aca="false">IF(OR($S193="",PARAMETROS!$B$4=""),"",$S193*PARAMETROS!$B$4)</f>
        <v>0</v>
      </c>
      <c r="V193" s="13" t="n">
        <v>0</v>
      </c>
      <c r="W193" s="4"/>
      <c r="X193" s="4"/>
      <c r="Y193" s="4"/>
      <c r="Z193" s="4"/>
      <c r="AA193" s="4"/>
      <c r="AB193" s="4"/>
      <c r="AC193" s="4"/>
      <c r="AD193" s="4"/>
      <c r="AE193" s="4"/>
      <c r="AF193" s="4"/>
      <c r="AG193" s="4"/>
      <c r="AH193" s="4"/>
      <c r="AI193" s="4"/>
      <c r="AJ193" s="4"/>
      <c r="AK193" s="4"/>
      <c r="AL193" s="4" t="s">
        <v>174</v>
      </c>
      <c r="AM193" s="4" t="s">
        <v>205</v>
      </c>
    </row>
    <row r="194" customFormat="false" ht="23.85" hidden="false" customHeight="false" outlineLevel="0" collapsed="false">
      <c r="A194" s="4" t="s">
        <v>167</v>
      </c>
      <c r="B194" s="4" t="s">
        <v>369</v>
      </c>
      <c r="C194" s="4" t="s">
        <v>369</v>
      </c>
      <c r="D194" s="12" t="n">
        <v>2018</v>
      </c>
      <c r="E194" s="4"/>
      <c r="F194" s="4" t="s">
        <v>169</v>
      </c>
      <c r="G194" s="4" t="s">
        <v>170</v>
      </c>
      <c r="H194" s="4" t="s">
        <v>171</v>
      </c>
      <c r="I194" s="4" t="s">
        <v>172</v>
      </c>
      <c r="J194" s="4" t="s">
        <v>369</v>
      </c>
      <c r="K194" s="4" t="s">
        <v>103</v>
      </c>
      <c r="L194" s="4" t="s">
        <v>104</v>
      </c>
      <c r="M194" s="4"/>
      <c r="N194" s="4"/>
      <c r="O194" s="4"/>
      <c r="P194" s="4"/>
      <c r="Q194" s="4"/>
      <c r="R194" s="4"/>
      <c r="S194" s="13" t="n">
        <v>60.53</v>
      </c>
      <c r="T194" s="4" t="s">
        <v>173</v>
      </c>
      <c r="U194" s="14" t="n">
        <f aca="false">IF(OR($S194="",PARAMETROS!$B$4=""),"",$S194*PARAMETROS!$B$4)</f>
        <v>351.6793</v>
      </c>
      <c r="V194" s="13" t="n">
        <v>0</v>
      </c>
      <c r="W194" s="4"/>
      <c r="X194" s="4"/>
      <c r="Y194" s="4"/>
      <c r="Z194" s="4"/>
      <c r="AA194" s="4"/>
      <c r="AB194" s="4"/>
      <c r="AC194" s="4"/>
      <c r="AD194" s="4"/>
      <c r="AE194" s="4"/>
      <c r="AF194" s="4"/>
      <c r="AG194" s="4"/>
      <c r="AH194" s="4"/>
      <c r="AI194" s="4"/>
      <c r="AJ194" s="4"/>
      <c r="AK194" s="4"/>
      <c r="AL194" s="4" t="s">
        <v>174</v>
      </c>
      <c r="AM194" s="4" t="s">
        <v>205</v>
      </c>
    </row>
    <row r="195" customFormat="false" ht="23.85" hidden="false" customHeight="false" outlineLevel="0" collapsed="false">
      <c r="A195" s="4" t="s">
        <v>167</v>
      </c>
      <c r="B195" s="4" t="s">
        <v>370</v>
      </c>
      <c r="C195" s="4" t="s">
        <v>370</v>
      </c>
      <c r="D195" s="12" t="n">
        <v>2018</v>
      </c>
      <c r="E195" s="4"/>
      <c r="F195" s="4" t="s">
        <v>169</v>
      </c>
      <c r="G195" s="4" t="s">
        <v>170</v>
      </c>
      <c r="H195" s="4" t="s">
        <v>171</v>
      </c>
      <c r="I195" s="4" t="s">
        <v>172</v>
      </c>
      <c r="J195" s="4" t="s">
        <v>370</v>
      </c>
      <c r="K195" s="4" t="s">
        <v>103</v>
      </c>
      <c r="L195" s="4" t="s">
        <v>104</v>
      </c>
      <c r="M195" s="4"/>
      <c r="N195" s="4"/>
      <c r="O195" s="4"/>
      <c r="P195" s="4"/>
      <c r="Q195" s="4"/>
      <c r="R195" s="4"/>
      <c r="S195" s="13" t="n">
        <v>242.14</v>
      </c>
      <c r="T195" s="4" t="s">
        <v>173</v>
      </c>
      <c r="U195" s="14" t="n">
        <f aca="false">IF(OR($S195="",PARAMETROS!$B$4=""),"",$S195*PARAMETROS!$B$4)</f>
        <v>1406.8334</v>
      </c>
      <c r="V195" s="13" t="n">
        <v>0</v>
      </c>
      <c r="W195" s="4"/>
      <c r="X195" s="4"/>
      <c r="Y195" s="4"/>
      <c r="Z195" s="4"/>
      <c r="AA195" s="4"/>
      <c r="AB195" s="4"/>
      <c r="AC195" s="4"/>
      <c r="AD195" s="4"/>
      <c r="AE195" s="4"/>
      <c r="AF195" s="4"/>
      <c r="AG195" s="4"/>
      <c r="AH195" s="4"/>
      <c r="AI195" s="4"/>
      <c r="AJ195" s="4"/>
      <c r="AK195" s="4"/>
      <c r="AL195" s="4" t="s">
        <v>174</v>
      </c>
      <c r="AM195" s="4" t="s">
        <v>205</v>
      </c>
    </row>
    <row r="196" customFormat="false" ht="23.85" hidden="false" customHeight="false" outlineLevel="0" collapsed="false">
      <c r="A196" s="4" t="s">
        <v>167</v>
      </c>
      <c r="B196" s="4" t="s">
        <v>371</v>
      </c>
      <c r="C196" s="4" t="s">
        <v>371</v>
      </c>
      <c r="D196" s="12" t="n">
        <v>2018</v>
      </c>
      <c r="E196" s="4"/>
      <c r="F196" s="4" t="s">
        <v>169</v>
      </c>
      <c r="G196" s="4" t="s">
        <v>170</v>
      </c>
      <c r="H196" s="4" t="s">
        <v>171</v>
      </c>
      <c r="I196" s="4" t="s">
        <v>172</v>
      </c>
      <c r="J196" s="4" t="s">
        <v>371</v>
      </c>
      <c r="K196" s="4" t="s">
        <v>103</v>
      </c>
      <c r="L196" s="4" t="s">
        <v>104</v>
      </c>
      <c r="M196" s="4"/>
      <c r="N196" s="4"/>
      <c r="O196" s="4"/>
      <c r="P196" s="4"/>
      <c r="Q196" s="4"/>
      <c r="R196" s="4"/>
      <c r="S196" s="13" t="n">
        <v>0</v>
      </c>
      <c r="T196" s="4" t="s">
        <v>173</v>
      </c>
      <c r="U196" s="14" t="n">
        <f aca="false">IF(OR($S196="",PARAMETROS!$B$4=""),"",$S196*PARAMETROS!$B$4)</f>
        <v>0</v>
      </c>
      <c r="V196" s="13" t="n">
        <v>0</v>
      </c>
      <c r="W196" s="4"/>
      <c r="X196" s="4"/>
      <c r="Y196" s="4"/>
      <c r="Z196" s="4"/>
      <c r="AA196" s="4"/>
      <c r="AB196" s="4"/>
      <c r="AC196" s="4"/>
      <c r="AD196" s="4"/>
      <c r="AE196" s="4"/>
      <c r="AF196" s="4"/>
      <c r="AG196" s="4"/>
      <c r="AH196" s="4"/>
      <c r="AI196" s="4"/>
      <c r="AJ196" s="4"/>
      <c r="AK196" s="4"/>
      <c r="AL196" s="4" t="s">
        <v>174</v>
      </c>
      <c r="AM196" s="4" t="s">
        <v>205</v>
      </c>
    </row>
    <row r="197" customFormat="false" ht="23.85" hidden="false" customHeight="false" outlineLevel="0" collapsed="false">
      <c r="A197" s="4" t="s">
        <v>167</v>
      </c>
      <c r="B197" s="4" t="s">
        <v>372</v>
      </c>
      <c r="C197" s="4" t="s">
        <v>372</v>
      </c>
      <c r="D197" s="12" t="n">
        <v>2018</v>
      </c>
      <c r="E197" s="4"/>
      <c r="F197" s="4" t="s">
        <v>169</v>
      </c>
      <c r="G197" s="4" t="s">
        <v>170</v>
      </c>
      <c r="H197" s="4" t="s">
        <v>171</v>
      </c>
      <c r="I197" s="4" t="s">
        <v>172</v>
      </c>
      <c r="J197" s="4" t="s">
        <v>372</v>
      </c>
      <c r="K197" s="4" t="s">
        <v>103</v>
      </c>
      <c r="L197" s="4" t="s">
        <v>104</v>
      </c>
      <c r="M197" s="4"/>
      <c r="N197" s="4"/>
      <c r="O197" s="4"/>
      <c r="P197" s="4"/>
      <c r="Q197" s="4"/>
      <c r="R197" s="4"/>
      <c r="S197" s="13" t="n">
        <v>0</v>
      </c>
      <c r="T197" s="4" t="s">
        <v>173</v>
      </c>
      <c r="U197" s="14" t="n">
        <f aca="false">IF(OR($S197="",PARAMETROS!$B$4=""),"",$S197*PARAMETROS!$B$4)</f>
        <v>0</v>
      </c>
      <c r="V197" s="13" t="n">
        <v>0</v>
      </c>
      <c r="W197" s="4"/>
      <c r="X197" s="4"/>
      <c r="Y197" s="4"/>
      <c r="Z197" s="4"/>
      <c r="AA197" s="4"/>
      <c r="AB197" s="4"/>
      <c r="AC197" s="4"/>
      <c r="AD197" s="4"/>
      <c r="AE197" s="4"/>
      <c r="AF197" s="4"/>
      <c r="AG197" s="4"/>
      <c r="AH197" s="4"/>
      <c r="AI197" s="4"/>
      <c r="AJ197" s="4"/>
      <c r="AK197" s="4"/>
      <c r="AL197" s="4" t="s">
        <v>174</v>
      </c>
      <c r="AM197" s="4" t="s">
        <v>205</v>
      </c>
    </row>
    <row r="198" customFormat="false" ht="23.85" hidden="false" customHeight="false" outlineLevel="0" collapsed="false">
      <c r="A198" s="4" t="s">
        <v>167</v>
      </c>
      <c r="B198" s="4" t="s">
        <v>373</v>
      </c>
      <c r="C198" s="4" t="s">
        <v>373</v>
      </c>
      <c r="D198" s="12" t="n">
        <v>2018</v>
      </c>
      <c r="E198" s="4"/>
      <c r="F198" s="4" t="s">
        <v>169</v>
      </c>
      <c r="G198" s="4" t="s">
        <v>170</v>
      </c>
      <c r="H198" s="4" t="s">
        <v>171</v>
      </c>
      <c r="I198" s="4" t="s">
        <v>172</v>
      </c>
      <c r="J198" s="4" t="s">
        <v>373</v>
      </c>
      <c r="K198" s="4" t="s">
        <v>105</v>
      </c>
      <c r="L198" s="4" t="s">
        <v>106</v>
      </c>
      <c r="M198" s="4"/>
      <c r="N198" s="4"/>
      <c r="O198" s="4"/>
      <c r="P198" s="4"/>
      <c r="Q198" s="4"/>
      <c r="R198" s="4"/>
      <c r="S198" s="13" t="n">
        <v>0</v>
      </c>
      <c r="T198" s="4" t="s">
        <v>173</v>
      </c>
      <c r="U198" s="14" t="n">
        <f aca="false">IF(OR($S198="",PARAMETROS!$B$4=""),"",$S198*PARAMETROS!$B$4)</f>
        <v>0</v>
      </c>
      <c r="V198" s="13" t="n">
        <v>0</v>
      </c>
      <c r="W198" s="4"/>
      <c r="X198" s="4"/>
      <c r="Y198" s="4"/>
      <c r="Z198" s="4"/>
      <c r="AA198" s="4"/>
      <c r="AB198" s="4"/>
      <c r="AC198" s="4"/>
      <c r="AD198" s="4"/>
      <c r="AE198" s="4"/>
      <c r="AF198" s="4"/>
      <c r="AG198" s="4"/>
      <c r="AH198" s="4"/>
      <c r="AI198" s="4"/>
      <c r="AJ198" s="4"/>
      <c r="AK198" s="4"/>
      <c r="AL198" s="4" t="s">
        <v>174</v>
      </c>
      <c r="AM198" s="4" t="s">
        <v>205</v>
      </c>
    </row>
    <row r="199" customFormat="false" ht="23.85" hidden="false" customHeight="false" outlineLevel="0" collapsed="false">
      <c r="A199" s="4" t="s">
        <v>167</v>
      </c>
      <c r="B199" s="4" t="s">
        <v>374</v>
      </c>
      <c r="C199" s="4" t="s">
        <v>374</v>
      </c>
      <c r="D199" s="12" t="n">
        <v>2018</v>
      </c>
      <c r="E199" s="4"/>
      <c r="F199" s="4" t="s">
        <v>169</v>
      </c>
      <c r="G199" s="4" t="s">
        <v>170</v>
      </c>
      <c r="H199" s="4" t="s">
        <v>171</v>
      </c>
      <c r="I199" s="4" t="s">
        <v>172</v>
      </c>
      <c r="J199" s="4" t="s">
        <v>374</v>
      </c>
      <c r="K199" s="4" t="s">
        <v>105</v>
      </c>
      <c r="L199" s="4" t="s">
        <v>106</v>
      </c>
      <c r="M199" s="4"/>
      <c r="N199" s="4"/>
      <c r="O199" s="4"/>
      <c r="P199" s="4"/>
      <c r="Q199" s="4"/>
      <c r="R199" s="4"/>
      <c r="S199" s="13" t="n">
        <v>4245.56</v>
      </c>
      <c r="T199" s="4" t="s">
        <v>173</v>
      </c>
      <c r="U199" s="14" t="n">
        <f aca="false">IF(OR($S199="",PARAMETROS!$B$4=""),"",$S199*PARAMETROS!$B$4)</f>
        <v>24666.7036</v>
      </c>
      <c r="V199" s="13" t="n">
        <v>0</v>
      </c>
      <c r="W199" s="4"/>
      <c r="X199" s="4"/>
      <c r="Y199" s="4"/>
      <c r="Z199" s="4"/>
      <c r="AA199" s="4"/>
      <c r="AB199" s="4"/>
      <c r="AC199" s="4"/>
      <c r="AD199" s="4"/>
      <c r="AE199" s="4"/>
      <c r="AF199" s="4"/>
      <c r="AG199" s="4"/>
      <c r="AH199" s="4"/>
      <c r="AI199" s="4"/>
      <c r="AJ199" s="4"/>
      <c r="AK199" s="4"/>
      <c r="AL199" s="4" t="s">
        <v>174</v>
      </c>
      <c r="AM199" s="4" t="s">
        <v>205</v>
      </c>
    </row>
    <row r="200" customFormat="false" ht="23.85" hidden="false" customHeight="false" outlineLevel="0" collapsed="false">
      <c r="A200" s="4" t="s">
        <v>167</v>
      </c>
      <c r="B200" s="4" t="s">
        <v>375</v>
      </c>
      <c r="C200" s="4" t="s">
        <v>375</v>
      </c>
      <c r="D200" s="12" t="n">
        <v>2018</v>
      </c>
      <c r="E200" s="4"/>
      <c r="F200" s="4" t="s">
        <v>169</v>
      </c>
      <c r="G200" s="4" t="s">
        <v>170</v>
      </c>
      <c r="H200" s="4" t="s">
        <v>171</v>
      </c>
      <c r="I200" s="4" t="s">
        <v>172</v>
      </c>
      <c r="J200" s="4" t="s">
        <v>375</v>
      </c>
      <c r="K200" s="4" t="s">
        <v>105</v>
      </c>
      <c r="L200" s="4" t="s">
        <v>106</v>
      </c>
      <c r="M200" s="4"/>
      <c r="N200" s="4"/>
      <c r="O200" s="4"/>
      <c r="P200" s="4"/>
      <c r="Q200" s="4"/>
      <c r="R200" s="4"/>
      <c r="S200" s="13" t="n">
        <v>1198.69</v>
      </c>
      <c r="T200" s="4" t="s">
        <v>173</v>
      </c>
      <c r="U200" s="14" t="n">
        <f aca="false">IF(OR($S200="",PARAMETROS!$B$4=""),"",$S200*PARAMETROS!$B$4)</f>
        <v>6964.3889</v>
      </c>
      <c r="V200" s="13" t="n">
        <v>0</v>
      </c>
      <c r="W200" s="4"/>
      <c r="X200" s="4"/>
      <c r="Y200" s="4"/>
      <c r="Z200" s="4"/>
      <c r="AA200" s="4"/>
      <c r="AB200" s="4"/>
      <c r="AC200" s="4"/>
      <c r="AD200" s="4"/>
      <c r="AE200" s="4"/>
      <c r="AF200" s="4"/>
      <c r="AG200" s="4"/>
      <c r="AH200" s="4"/>
      <c r="AI200" s="4"/>
      <c r="AJ200" s="4"/>
      <c r="AK200" s="4"/>
      <c r="AL200" s="4" t="s">
        <v>174</v>
      </c>
      <c r="AM200" s="4" t="s">
        <v>205</v>
      </c>
    </row>
    <row r="201" customFormat="false" ht="23.85" hidden="false" customHeight="false" outlineLevel="0" collapsed="false">
      <c r="A201" s="4" t="s">
        <v>167</v>
      </c>
      <c r="B201" s="4" t="s">
        <v>376</v>
      </c>
      <c r="C201" s="4" t="s">
        <v>376</v>
      </c>
      <c r="D201" s="12" t="n">
        <v>2018</v>
      </c>
      <c r="E201" s="4"/>
      <c r="F201" s="4" t="s">
        <v>169</v>
      </c>
      <c r="G201" s="4" t="s">
        <v>170</v>
      </c>
      <c r="H201" s="4" t="s">
        <v>171</v>
      </c>
      <c r="I201" s="4" t="s">
        <v>172</v>
      </c>
      <c r="J201" s="4" t="s">
        <v>376</v>
      </c>
      <c r="K201" s="4" t="s">
        <v>105</v>
      </c>
      <c r="L201" s="4" t="s">
        <v>106</v>
      </c>
      <c r="M201" s="4"/>
      <c r="N201" s="4"/>
      <c r="O201" s="4"/>
      <c r="P201" s="4"/>
      <c r="Q201" s="4"/>
      <c r="R201" s="4"/>
      <c r="S201" s="13" t="n">
        <v>164.98</v>
      </c>
      <c r="T201" s="4" t="s">
        <v>173</v>
      </c>
      <c r="U201" s="14" t="n">
        <f aca="false">IF(OR($S201="",PARAMETROS!$B$4=""),"",$S201*PARAMETROS!$B$4)</f>
        <v>958.5338</v>
      </c>
      <c r="V201" s="13" t="n">
        <v>0</v>
      </c>
      <c r="W201" s="4"/>
      <c r="X201" s="4"/>
      <c r="Y201" s="4"/>
      <c r="Z201" s="4"/>
      <c r="AA201" s="4"/>
      <c r="AB201" s="4"/>
      <c r="AC201" s="4"/>
      <c r="AD201" s="4"/>
      <c r="AE201" s="4"/>
      <c r="AF201" s="4"/>
      <c r="AG201" s="4"/>
      <c r="AH201" s="4"/>
      <c r="AI201" s="4"/>
      <c r="AJ201" s="4"/>
      <c r="AK201" s="4"/>
      <c r="AL201" s="4" t="s">
        <v>174</v>
      </c>
      <c r="AM201" s="4" t="s">
        <v>205</v>
      </c>
    </row>
    <row r="202" customFormat="false" ht="23.85" hidden="false" customHeight="false" outlineLevel="0" collapsed="false">
      <c r="A202" s="4" t="s">
        <v>167</v>
      </c>
      <c r="B202" s="4" t="s">
        <v>377</v>
      </c>
      <c r="C202" s="4" t="s">
        <v>377</v>
      </c>
      <c r="D202" s="12" t="n">
        <v>2018</v>
      </c>
      <c r="E202" s="4"/>
      <c r="F202" s="4" t="s">
        <v>169</v>
      </c>
      <c r="G202" s="4" t="s">
        <v>170</v>
      </c>
      <c r="H202" s="4" t="s">
        <v>171</v>
      </c>
      <c r="I202" s="4" t="s">
        <v>172</v>
      </c>
      <c r="J202" s="4" t="s">
        <v>377</v>
      </c>
      <c r="K202" s="4" t="s">
        <v>105</v>
      </c>
      <c r="L202" s="4" t="s">
        <v>106</v>
      </c>
      <c r="M202" s="4"/>
      <c r="N202" s="4"/>
      <c r="O202" s="4"/>
      <c r="P202" s="4"/>
      <c r="Q202" s="4"/>
      <c r="R202" s="4"/>
      <c r="S202" s="13" t="n">
        <v>0</v>
      </c>
      <c r="T202" s="4" t="s">
        <v>173</v>
      </c>
      <c r="U202" s="14" t="n">
        <f aca="false">IF(OR($S202="",PARAMETROS!$B$4=""),"",$S202*PARAMETROS!$B$4)</f>
        <v>0</v>
      </c>
      <c r="V202" s="13" t="n">
        <v>0</v>
      </c>
      <c r="W202" s="4"/>
      <c r="X202" s="4"/>
      <c r="Y202" s="4"/>
      <c r="Z202" s="4"/>
      <c r="AA202" s="4"/>
      <c r="AB202" s="4"/>
      <c r="AC202" s="4"/>
      <c r="AD202" s="4"/>
      <c r="AE202" s="4"/>
      <c r="AF202" s="4"/>
      <c r="AG202" s="4"/>
      <c r="AH202" s="4"/>
      <c r="AI202" s="4"/>
      <c r="AJ202" s="4"/>
      <c r="AK202" s="4"/>
      <c r="AL202" s="4" t="s">
        <v>174</v>
      </c>
      <c r="AM202" s="4" t="s">
        <v>205</v>
      </c>
    </row>
    <row r="203" customFormat="false" ht="23.85" hidden="false" customHeight="false" outlineLevel="0" collapsed="false">
      <c r="A203" s="4" t="s">
        <v>167</v>
      </c>
      <c r="B203" s="4" t="s">
        <v>378</v>
      </c>
      <c r="C203" s="4" t="s">
        <v>378</v>
      </c>
      <c r="D203" s="12" t="n">
        <v>2018</v>
      </c>
      <c r="E203" s="4"/>
      <c r="F203" s="4" t="s">
        <v>169</v>
      </c>
      <c r="G203" s="4" t="s">
        <v>170</v>
      </c>
      <c r="H203" s="4" t="s">
        <v>171</v>
      </c>
      <c r="I203" s="4" t="s">
        <v>172</v>
      </c>
      <c r="J203" s="4" t="s">
        <v>378</v>
      </c>
      <c r="K203" s="4" t="s">
        <v>105</v>
      </c>
      <c r="L203" s="4" t="s">
        <v>106</v>
      </c>
      <c r="M203" s="4"/>
      <c r="N203" s="4"/>
      <c r="O203" s="4"/>
      <c r="P203" s="4"/>
      <c r="Q203" s="4"/>
      <c r="R203" s="4"/>
      <c r="S203" s="13" t="n">
        <v>0</v>
      </c>
      <c r="T203" s="4" t="s">
        <v>173</v>
      </c>
      <c r="U203" s="14" t="n">
        <f aca="false">IF(OR($S203="",PARAMETROS!$B$4=""),"",$S203*PARAMETROS!$B$4)</f>
        <v>0</v>
      </c>
      <c r="V203" s="13" t="n">
        <v>0</v>
      </c>
      <c r="W203" s="4"/>
      <c r="X203" s="4"/>
      <c r="Y203" s="4"/>
      <c r="Z203" s="4"/>
      <c r="AA203" s="4"/>
      <c r="AB203" s="4"/>
      <c r="AC203" s="4"/>
      <c r="AD203" s="4"/>
      <c r="AE203" s="4"/>
      <c r="AF203" s="4"/>
      <c r="AG203" s="4"/>
      <c r="AH203" s="4"/>
      <c r="AI203" s="4"/>
      <c r="AJ203" s="4"/>
      <c r="AK203" s="4"/>
      <c r="AL203" s="4" t="s">
        <v>174</v>
      </c>
      <c r="AM203" s="4" t="s">
        <v>205</v>
      </c>
    </row>
    <row r="204" customFormat="false" ht="23.85" hidden="false" customHeight="false" outlineLevel="0" collapsed="false">
      <c r="A204" s="4" t="s">
        <v>167</v>
      </c>
      <c r="B204" s="4" t="s">
        <v>379</v>
      </c>
      <c r="C204" s="4" t="s">
        <v>379</v>
      </c>
      <c r="D204" s="12" t="n">
        <v>2018</v>
      </c>
      <c r="E204" s="4"/>
      <c r="F204" s="4" t="s">
        <v>169</v>
      </c>
      <c r="G204" s="4" t="s">
        <v>170</v>
      </c>
      <c r="H204" s="4" t="s">
        <v>171</v>
      </c>
      <c r="I204" s="4" t="s">
        <v>172</v>
      </c>
      <c r="J204" s="4" t="s">
        <v>379</v>
      </c>
      <c r="K204" s="4" t="s">
        <v>105</v>
      </c>
      <c r="L204" s="4" t="s">
        <v>106</v>
      </c>
      <c r="M204" s="4"/>
      <c r="N204" s="4"/>
      <c r="O204" s="4"/>
      <c r="P204" s="4"/>
      <c r="Q204" s="4"/>
      <c r="R204" s="4"/>
      <c r="S204" s="13" t="n">
        <v>0</v>
      </c>
      <c r="T204" s="4" t="s">
        <v>173</v>
      </c>
      <c r="U204" s="14" t="n">
        <f aca="false">IF(OR($S204="",PARAMETROS!$B$4=""),"",$S204*PARAMETROS!$B$4)</f>
        <v>0</v>
      </c>
      <c r="V204" s="13" t="n">
        <v>0</v>
      </c>
      <c r="W204" s="4"/>
      <c r="X204" s="4"/>
      <c r="Y204" s="4"/>
      <c r="Z204" s="4"/>
      <c r="AA204" s="4"/>
      <c r="AB204" s="4"/>
      <c r="AC204" s="4"/>
      <c r="AD204" s="4"/>
      <c r="AE204" s="4"/>
      <c r="AF204" s="4"/>
      <c r="AG204" s="4"/>
      <c r="AH204" s="4"/>
      <c r="AI204" s="4"/>
      <c r="AJ204" s="4"/>
      <c r="AK204" s="4"/>
      <c r="AL204" s="4" t="s">
        <v>174</v>
      </c>
      <c r="AM204" s="4" t="s">
        <v>205</v>
      </c>
    </row>
    <row r="205" customFormat="false" ht="23.85" hidden="false" customHeight="false" outlineLevel="0" collapsed="false">
      <c r="A205" s="4" t="s">
        <v>167</v>
      </c>
      <c r="B205" s="4" t="s">
        <v>380</v>
      </c>
      <c r="C205" s="4" t="s">
        <v>380</v>
      </c>
      <c r="D205" s="12" t="n">
        <v>2018</v>
      </c>
      <c r="E205" s="4"/>
      <c r="F205" s="4" t="s">
        <v>169</v>
      </c>
      <c r="G205" s="4" t="s">
        <v>170</v>
      </c>
      <c r="H205" s="4" t="s">
        <v>171</v>
      </c>
      <c r="I205" s="4" t="s">
        <v>172</v>
      </c>
      <c r="J205" s="4" t="s">
        <v>380</v>
      </c>
      <c r="K205" s="4" t="s">
        <v>105</v>
      </c>
      <c r="L205" s="4" t="s">
        <v>106</v>
      </c>
      <c r="M205" s="4"/>
      <c r="N205" s="4"/>
      <c r="O205" s="4"/>
      <c r="P205" s="4"/>
      <c r="Q205" s="4"/>
      <c r="R205" s="4"/>
      <c r="S205" s="13" t="n">
        <v>0</v>
      </c>
      <c r="T205" s="4" t="s">
        <v>173</v>
      </c>
      <c r="U205" s="14" t="n">
        <f aca="false">IF(OR($S205="",PARAMETROS!$B$4=""),"",$S205*PARAMETROS!$B$4)</f>
        <v>0</v>
      </c>
      <c r="V205" s="13" t="n">
        <v>0</v>
      </c>
      <c r="W205" s="4"/>
      <c r="X205" s="4"/>
      <c r="Y205" s="4"/>
      <c r="Z205" s="4"/>
      <c r="AA205" s="4"/>
      <c r="AB205" s="4"/>
      <c r="AC205" s="4"/>
      <c r="AD205" s="4"/>
      <c r="AE205" s="4"/>
      <c r="AF205" s="4"/>
      <c r="AG205" s="4"/>
      <c r="AH205" s="4"/>
      <c r="AI205" s="4"/>
      <c r="AJ205" s="4"/>
      <c r="AK205" s="4"/>
      <c r="AL205" s="4" t="s">
        <v>174</v>
      </c>
      <c r="AM205" s="4" t="s">
        <v>205</v>
      </c>
    </row>
    <row r="206" customFormat="false" ht="23.85" hidden="false" customHeight="false" outlineLevel="0" collapsed="false">
      <c r="A206" s="4" t="s">
        <v>167</v>
      </c>
      <c r="B206" s="4" t="s">
        <v>381</v>
      </c>
      <c r="C206" s="4" t="s">
        <v>381</v>
      </c>
      <c r="D206" s="12" t="n">
        <v>2018</v>
      </c>
      <c r="E206" s="4"/>
      <c r="F206" s="4" t="s">
        <v>169</v>
      </c>
      <c r="G206" s="4" t="s">
        <v>170</v>
      </c>
      <c r="H206" s="4" t="s">
        <v>171</v>
      </c>
      <c r="I206" s="4" t="s">
        <v>172</v>
      </c>
      <c r="J206" s="4" t="s">
        <v>381</v>
      </c>
      <c r="K206" s="4" t="s">
        <v>105</v>
      </c>
      <c r="L206" s="4" t="s">
        <v>106</v>
      </c>
      <c r="M206" s="4"/>
      <c r="N206" s="4"/>
      <c r="O206" s="4"/>
      <c r="P206" s="4"/>
      <c r="Q206" s="4"/>
      <c r="R206" s="4"/>
      <c r="S206" s="13" t="n">
        <v>32.12</v>
      </c>
      <c r="T206" s="4" t="s">
        <v>173</v>
      </c>
      <c r="U206" s="14" t="n">
        <f aca="false">IF(OR($S206="",PARAMETROS!$B$4=""),"",$S206*PARAMETROS!$B$4)</f>
        <v>186.6172</v>
      </c>
      <c r="V206" s="13" t="n">
        <v>0</v>
      </c>
      <c r="W206" s="4"/>
      <c r="X206" s="4"/>
      <c r="Y206" s="4"/>
      <c r="Z206" s="4"/>
      <c r="AA206" s="4"/>
      <c r="AB206" s="4"/>
      <c r="AC206" s="4"/>
      <c r="AD206" s="4"/>
      <c r="AE206" s="4"/>
      <c r="AF206" s="4"/>
      <c r="AG206" s="4"/>
      <c r="AH206" s="4"/>
      <c r="AI206" s="4"/>
      <c r="AJ206" s="4"/>
      <c r="AK206" s="4"/>
      <c r="AL206" s="4" t="s">
        <v>174</v>
      </c>
      <c r="AM206" s="4" t="s">
        <v>205</v>
      </c>
    </row>
    <row r="207" customFormat="false" ht="23.85" hidden="false" customHeight="false" outlineLevel="0" collapsed="false">
      <c r="A207" s="4" t="s">
        <v>167</v>
      </c>
      <c r="B207" s="4" t="s">
        <v>382</v>
      </c>
      <c r="C207" s="4" t="s">
        <v>382</v>
      </c>
      <c r="D207" s="12" t="n">
        <v>2018</v>
      </c>
      <c r="E207" s="4"/>
      <c r="F207" s="4" t="s">
        <v>169</v>
      </c>
      <c r="G207" s="4" t="s">
        <v>170</v>
      </c>
      <c r="H207" s="4" t="s">
        <v>171</v>
      </c>
      <c r="I207" s="4" t="s">
        <v>172</v>
      </c>
      <c r="J207" s="4" t="s">
        <v>382</v>
      </c>
      <c r="K207" s="4" t="s">
        <v>105</v>
      </c>
      <c r="L207" s="4" t="s">
        <v>106</v>
      </c>
      <c r="M207" s="4"/>
      <c r="N207" s="4"/>
      <c r="O207" s="4"/>
      <c r="P207" s="4"/>
      <c r="Q207" s="4"/>
      <c r="R207" s="4"/>
      <c r="S207" s="13" t="n">
        <v>2473.13</v>
      </c>
      <c r="T207" s="4" t="s">
        <v>173</v>
      </c>
      <c r="U207" s="14" t="n">
        <f aca="false">IF(OR($S207="",PARAMETROS!$B$4=""),"",$S207*PARAMETROS!$B$4)</f>
        <v>14368.8853</v>
      </c>
      <c r="V207" s="13" t="n">
        <v>0</v>
      </c>
      <c r="W207" s="4"/>
      <c r="X207" s="4"/>
      <c r="Y207" s="4"/>
      <c r="Z207" s="4"/>
      <c r="AA207" s="4"/>
      <c r="AB207" s="4"/>
      <c r="AC207" s="4"/>
      <c r="AD207" s="4"/>
      <c r="AE207" s="4"/>
      <c r="AF207" s="4"/>
      <c r="AG207" s="4"/>
      <c r="AH207" s="4"/>
      <c r="AI207" s="4"/>
      <c r="AJ207" s="4"/>
      <c r="AK207" s="4"/>
      <c r="AL207" s="4" t="s">
        <v>174</v>
      </c>
      <c r="AM207" s="4" t="s">
        <v>205</v>
      </c>
    </row>
    <row r="208" customFormat="false" ht="23.85" hidden="false" customHeight="false" outlineLevel="0" collapsed="false">
      <c r="A208" s="4" t="s">
        <v>167</v>
      </c>
      <c r="B208" s="4" t="s">
        <v>383</v>
      </c>
      <c r="C208" s="4" t="s">
        <v>383</v>
      </c>
      <c r="D208" s="12" t="n">
        <v>2018</v>
      </c>
      <c r="E208" s="4"/>
      <c r="F208" s="4" t="s">
        <v>169</v>
      </c>
      <c r="G208" s="4" t="s">
        <v>170</v>
      </c>
      <c r="H208" s="4" t="s">
        <v>171</v>
      </c>
      <c r="I208" s="4" t="s">
        <v>172</v>
      </c>
      <c r="J208" s="4" t="s">
        <v>383</v>
      </c>
      <c r="K208" s="4" t="s">
        <v>105</v>
      </c>
      <c r="L208" s="4" t="s">
        <v>106</v>
      </c>
      <c r="M208" s="4"/>
      <c r="N208" s="4"/>
      <c r="O208" s="4"/>
      <c r="P208" s="4"/>
      <c r="Q208" s="4"/>
      <c r="R208" s="4"/>
      <c r="S208" s="13" t="n">
        <v>64.24</v>
      </c>
      <c r="T208" s="4" t="s">
        <v>173</v>
      </c>
      <c r="U208" s="14" t="n">
        <f aca="false">IF(OR($S208="",PARAMETROS!$B$4=""),"",$S208*PARAMETROS!$B$4)</f>
        <v>373.2344</v>
      </c>
      <c r="V208" s="13" t="n">
        <v>0</v>
      </c>
      <c r="W208" s="4"/>
      <c r="X208" s="4"/>
      <c r="Y208" s="4"/>
      <c r="Z208" s="4"/>
      <c r="AA208" s="4"/>
      <c r="AB208" s="4"/>
      <c r="AC208" s="4"/>
      <c r="AD208" s="4"/>
      <c r="AE208" s="4"/>
      <c r="AF208" s="4"/>
      <c r="AG208" s="4"/>
      <c r="AH208" s="4"/>
      <c r="AI208" s="4"/>
      <c r="AJ208" s="4"/>
      <c r="AK208" s="4"/>
      <c r="AL208" s="4" t="s">
        <v>174</v>
      </c>
      <c r="AM208" s="4" t="s">
        <v>205</v>
      </c>
    </row>
    <row r="209" customFormat="false" ht="23.85" hidden="false" customHeight="false" outlineLevel="0" collapsed="false">
      <c r="A209" s="4" t="s">
        <v>167</v>
      </c>
      <c r="B209" s="4" t="s">
        <v>384</v>
      </c>
      <c r="C209" s="4" t="s">
        <v>384</v>
      </c>
      <c r="D209" s="12" t="n">
        <v>2018</v>
      </c>
      <c r="E209" s="4"/>
      <c r="F209" s="4" t="s">
        <v>169</v>
      </c>
      <c r="G209" s="4" t="s">
        <v>170</v>
      </c>
      <c r="H209" s="4" t="s">
        <v>171</v>
      </c>
      <c r="I209" s="4" t="s">
        <v>172</v>
      </c>
      <c r="J209" s="4" t="s">
        <v>384</v>
      </c>
      <c r="K209" s="4" t="s">
        <v>105</v>
      </c>
      <c r="L209" s="4" t="s">
        <v>106</v>
      </c>
      <c r="M209" s="4"/>
      <c r="N209" s="4"/>
      <c r="O209" s="4"/>
      <c r="P209" s="4"/>
      <c r="Q209" s="4"/>
      <c r="R209" s="4"/>
      <c r="S209" s="13" t="n">
        <v>642.37</v>
      </c>
      <c r="T209" s="4" t="s">
        <v>173</v>
      </c>
      <c r="U209" s="14" t="n">
        <f aca="false">IF(OR($S209="",PARAMETROS!$B$4=""),"",$S209*PARAMETROS!$B$4)</f>
        <v>3732.1697</v>
      </c>
      <c r="V209" s="13" t="n">
        <v>0</v>
      </c>
      <c r="W209" s="4"/>
      <c r="X209" s="4"/>
      <c r="Y209" s="4"/>
      <c r="Z209" s="4"/>
      <c r="AA209" s="4"/>
      <c r="AB209" s="4"/>
      <c r="AC209" s="4"/>
      <c r="AD209" s="4"/>
      <c r="AE209" s="4"/>
      <c r="AF209" s="4"/>
      <c r="AG209" s="4"/>
      <c r="AH209" s="4"/>
      <c r="AI209" s="4"/>
      <c r="AJ209" s="4"/>
      <c r="AK209" s="4"/>
      <c r="AL209" s="4" t="s">
        <v>174</v>
      </c>
      <c r="AM209" s="4" t="s">
        <v>205</v>
      </c>
    </row>
    <row r="210" customFormat="false" ht="23.85" hidden="false" customHeight="false" outlineLevel="0" collapsed="false">
      <c r="A210" s="4" t="s">
        <v>167</v>
      </c>
      <c r="B210" s="4" t="s">
        <v>385</v>
      </c>
      <c r="C210" s="4" t="s">
        <v>385</v>
      </c>
      <c r="D210" s="12" t="n">
        <v>2018</v>
      </c>
      <c r="E210" s="4"/>
      <c r="F210" s="4" t="s">
        <v>169</v>
      </c>
      <c r="G210" s="4" t="s">
        <v>170</v>
      </c>
      <c r="H210" s="4" t="s">
        <v>171</v>
      </c>
      <c r="I210" s="4" t="s">
        <v>172</v>
      </c>
      <c r="J210" s="4" t="s">
        <v>385</v>
      </c>
      <c r="K210" s="4" t="s">
        <v>105</v>
      </c>
      <c r="L210" s="4" t="s">
        <v>106</v>
      </c>
      <c r="M210" s="4"/>
      <c r="N210" s="4"/>
      <c r="O210" s="4"/>
      <c r="P210" s="4"/>
      <c r="Q210" s="4"/>
      <c r="R210" s="4"/>
      <c r="S210" s="13" t="n">
        <v>0</v>
      </c>
      <c r="T210" s="4" t="s">
        <v>173</v>
      </c>
      <c r="U210" s="14" t="n">
        <f aca="false">IF(OR($S210="",PARAMETROS!$B$4=""),"",$S210*PARAMETROS!$B$4)</f>
        <v>0</v>
      </c>
      <c r="V210" s="13" t="n">
        <v>0</v>
      </c>
      <c r="W210" s="4"/>
      <c r="X210" s="4"/>
      <c r="Y210" s="4"/>
      <c r="Z210" s="4"/>
      <c r="AA210" s="4"/>
      <c r="AB210" s="4"/>
      <c r="AC210" s="4"/>
      <c r="AD210" s="4"/>
      <c r="AE210" s="4"/>
      <c r="AF210" s="4"/>
      <c r="AG210" s="4"/>
      <c r="AH210" s="4"/>
      <c r="AI210" s="4"/>
      <c r="AJ210" s="4"/>
      <c r="AK210" s="4"/>
      <c r="AL210" s="4" t="s">
        <v>174</v>
      </c>
      <c r="AM210" s="4" t="s">
        <v>205</v>
      </c>
    </row>
    <row r="211" customFormat="false" ht="23.85" hidden="false" customHeight="false" outlineLevel="0" collapsed="false">
      <c r="A211" s="4" t="s">
        <v>167</v>
      </c>
      <c r="B211" s="4" t="s">
        <v>386</v>
      </c>
      <c r="C211" s="4" t="s">
        <v>386</v>
      </c>
      <c r="D211" s="12" t="n">
        <v>2018</v>
      </c>
      <c r="E211" s="4"/>
      <c r="F211" s="4" t="s">
        <v>169</v>
      </c>
      <c r="G211" s="4" t="s">
        <v>170</v>
      </c>
      <c r="H211" s="4" t="s">
        <v>171</v>
      </c>
      <c r="I211" s="4" t="s">
        <v>172</v>
      </c>
      <c r="J211" s="4" t="s">
        <v>386</v>
      </c>
      <c r="K211" s="4" t="s">
        <v>105</v>
      </c>
      <c r="L211" s="4" t="s">
        <v>106</v>
      </c>
      <c r="M211" s="4"/>
      <c r="N211" s="4"/>
      <c r="O211" s="4"/>
      <c r="P211" s="4"/>
      <c r="Q211" s="4"/>
      <c r="R211" s="4"/>
      <c r="S211" s="13" t="n">
        <v>0</v>
      </c>
      <c r="T211" s="4" t="s">
        <v>173</v>
      </c>
      <c r="U211" s="14" t="n">
        <f aca="false">IF(OR($S211="",PARAMETROS!$B$4=""),"",$S211*PARAMETROS!$B$4)</f>
        <v>0</v>
      </c>
      <c r="V211" s="13" t="n">
        <v>0</v>
      </c>
      <c r="W211" s="4"/>
      <c r="X211" s="4"/>
      <c r="Y211" s="4"/>
      <c r="Z211" s="4"/>
      <c r="AA211" s="4"/>
      <c r="AB211" s="4"/>
      <c r="AC211" s="4"/>
      <c r="AD211" s="4"/>
      <c r="AE211" s="4"/>
      <c r="AF211" s="4"/>
      <c r="AG211" s="4"/>
      <c r="AH211" s="4"/>
      <c r="AI211" s="4"/>
      <c r="AJ211" s="4"/>
      <c r="AK211" s="4"/>
      <c r="AL211" s="4" t="s">
        <v>174</v>
      </c>
      <c r="AM211" s="4" t="s">
        <v>205</v>
      </c>
    </row>
    <row r="212" customFormat="false" ht="23.85" hidden="false" customHeight="false" outlineLevel="0" collapsed="false">
      <c r="A212" s="4" t="s">
        <v>167</v>
      </c>
      <c r="B212" s="4" t="s">
        <v>387</v>
      </c>
      <c r="C212" s="4" t="s">
        <v>387</v>
      </c>
      <c r="D212" s="12" t="n">
        <v>2018</v>
      </c>
      <c r="E212" s="4"/>
      <c r="F212" s="4" t="s">
        <v>169</v>
      </c>
      <c r="G212" s="4" t="s">
        <v>170</v>
      </c>
      <c r="H212" s="4" t="s">
        <v>171</v>
      </c>
      <c r="I212" s="4" t="s">
        <v>172</v>
      </c>
      <c r="J212" s="4" t="s">
        <v>387</v>
      </c>
      <c r="K212" s="4" t="s">
        <v>107</v>
      </c>
      <c r="L212" s="4" t="s">
        <v>108</v>
      </c>
      <c r="M212" s="4"/>
      <c r="N212" s="4"/>
      <c r="O212" s="4"/>
      <c r="P212" s="4"/>
      <c r="Q212" s="4"/>
      <c r="R212" s="4"/>
      <c r="S212" s="13" t="n">
        <v>0</v>
      </c>
      <c r="T212" s="4" t="s">
        <v>173</v>
      </c>
      <c r="U212" s="14" t="n">
        <f aca="false">IF(OR($S212="",PARAMETROS!$B$4=""),"",$S212*PARAMETROS!$B$4)</f>
        <v>0</v>
      </c>
      <c r="V212" s="13" t="n">
        <v>0</v>
      </c>
      <c r="W212" s="4"/>
      <c r="X212" s="4"/>
      <c r="Y212" s="4"/>
      <c r="Z212" s="4"/>
      <c r="AA212" s="4"/>
      <c r="AB212" s="4"/>
      <c r="AC212" s="4"/>
      <c r="AD212" s="4"/>
      <c r="AE212" s="4"/>
      <c r="AF212" s="4"/>
      <c r="AG212" s="4"/>
      <c r="AH212" s="4"/>
      <c r="AI212" s="4"/>
      <c r="AJ212" s="4"/>
      <c r="AK212" s="4"/>
      <c r="AL212" s="4" t="s">
        <v>174</v>
      </c>
      <c r="AM212" s="4" t="s">
        <v>205</v>
      </c>
    </row>
    <row r="213" customFormat="false" ht="23.85" hidden="false" customHeight="false" outlineLevel="0" collapsed="false">
      <c r="A213" s="4" t="s">
        <v>167</v>
      </c>
      <c r="B213" s="4" t="s">
        <v>388</v>
      </c>
      <c r="C213" s="4" t="s">
        <v>388</v>
      </c>
      <c r="D213" s="12" t="n">
        <v>2018</v>
      </c>
      <c r="E213" s="4"/>
      <c r="F213" s="4" t="s">
        <v>169</v>
      </c>
      <c r="G213" s="4" t="s">
        <v>170</v>
      </c>
      <c r="H213" s="4" t="s">
        <v>171</v>
      </c>
      <c r="I213" s="4" t="s">
        <v>172</v>
      </c>
      <c r="J213" s="4" t="s">
        <v>388</v>
      </c>
      <c r="K213" s="4" t="s">
        <v>107</v>
      </c>
      <c r="L213" s="4" t="s">
        <v>108</v>
      </c>
      <c r="M213" s="4"/>
      <c r="N213" s="4"/>
      <c r="O213" s="4"/>
      <c r="P213" s="4"/>
      <c r="Q213" s="4"/>
      <c r="R213" s="4"/>
      <c r="S213" s="13" t="n">
        <v>719.81</v>
      </c>
      <c r="T213" s="4" t="s">
        <v>173</v>
      </c>
      <c r="U213" s="14" t="n">
        <f aca="false">IF(OR($S213="",PARAMETROS!$B$4=""),"",$S213*PARAMETROS!$B$4)</f>
        <v>4182.0961</v>
      </c>
      <c r="V213" s="13" t="n">
        <v>0</v>
      </c>
      <c r="W213" s="4"/>
      <c r="X213" s="4"/>
      <c r="Y213" s="4"/>
      <c r="Z213" s="4"/>
      <c r="AA213" s="4"/>
      <c r="AB213" s="4"/>
      <c r="AC213" s="4"/>
      <c r="AD213" s="4"/>
      <c r="AE213" s="4"/>
      <c r="AF213" s="4"/>
      <c r="AG213" s="4"/>
      <c r="AH213" s="4"/>
      <c r="AI213" s="4"/>
      <c r="AJ213" s="4"/>
      <c r="AK213" s="4"/>
      <c r="AL213" s="4" t="s">
        <v>174</v>
      </c>
      <c r="AM213" s="4" t="s">
        <v>205</v>
      </c>
    </row>
    <row r="214" customFormat="false" ht="23.85" hidden="false" customHeight="false" outlineLevel="0" collapsed="false">
      <c r="A214" s="4" t="s">
        <v>167</v>
      </c>
      <c r="B214" s="4" t="s">
        <v>389</v>
      </c>
      <c r="C214" s="4" t="s">
        <v>389</v>
      </c>
      <c r="D214" s="12" t="n">
        <v>2018</v>
      </c>
      <c r="E214" s="4"/>
      <c r="F214" s="4" t="s">
        <v>169</v>
      </c>
      <c r="G214" s="4" t="s">
        <v>170</v>
      </c>
      <c r="H214" s="4" t="s">
        <v>171</v>
      </c>
      <c r="I214" s="4" t="s">
        <v>172</v>
      </c>
      <c r="J214" s="4" t="s">
        <v>389</v>
      </c>
      <c r="K214" s="4" t="s">
        <v>107</v>
      </c>
      <c r="L214" s="4" t="s">
        <v>108</v>
      </c>
      <c r="M214" s="4"/>
      <c r="N214" s="4"/>
      <c r="O214" s="4"/>
      <c r="P214" s="4"/>
      <c r="Q214" s="4"/>
      <c r="R214" s="4"/>
      <c r="S214" s="13" t="n">
        <v>122.31</v>
      </c>
      <c r="T214" s="4" t="s">
        <v>173</v>
      </c>
      <c r="U214" s="14" t="n">
        <f aca="false">IF(OR($S214="",PARAMETROS!$B$4=""),"",$S214*PARAMETROS!$B$4)</f>
        <v>710.6211</v>
      </c>
      <c r="V214" s="13" t="n">
        <v>0</v>
      </c>
      <c r="W214" s="4"/>
      <c r="X214" s="4"/>
      <c r="Y214" s="4"/>
      <c r="Z214" s="4"/>
      <c r="AA214" s="4"/>
      <c r="AB214" s="4"/>
      <c r="AC214" s="4"/>
      <c r="AD214" s="4"/>
      <c r="AE214" s="4"/>
      <c r="AF214" s="4"/>
      <c r="AG214" s="4"/>
      <c r="AH214" s="4"/>
      <c r="AI214" s="4"/>
      <c r="AJ214" s="4"/>
      <c r="AK214" s="4"/>
      <c r="AL214" s="4" t="s">
        <v>174</v>
      </c>
      <c r="AM214" s="4" t="s">
        <v>205</v>
      </c>
    </row>
    <row r="215" customFormat="false" ht="23.85" hidden="false" customHeight="false" outlineLevel="0" collapsed="false">
      <c r="A215" s="4" t="s">
        <v>167</v>
      </c>
      <c r="B215" s="4" t="s">
        <v>390</v>
      </c>
      <c r="C215" s="4" t="s">
        <v>390</v>
      </c>
      <c r="D215" s="12" t="n">
        <v>2018</v>
      </c>
      <c r="E215" s="4"/>
      <c r="F215" s="4" t="s">
        <v>169</v>
      </c>
      <c r="G215" s="4" t="s">
        <v>170</v>
      </c>
      <c r="H215" s="4" t="s">
        <v>171</v>
      </c>
      <c r="I215" s="4" t="s">
        <v>172</v>
      </c>
      <c r="J215" s="4" t="s">
        <v>390</v>
      </c>
      <c r="K215" s="4" t="s">
        <v>107</v>
      </c>
      <c r="L215" s="4" t="s">
        <v>108</v>
      </c>
      <c r="M215" s="4"/>
      <c r="N215" s="4"/>
      <c r="O215" s="4"/>
      <c r="P215" s="4"/>
      <c r="Q215" s="4"/>
      <c r="R215" s="4"/>
      <c r="S215" s="13" t="n">
        <v>167.73</v>
      </c>
      <c r="T215" s="4" t="s">
        <v>173</v>
      </c>
      <c r="U215" s="14" t="n">
        <f aca="false">IF(OR($S215="",PARAMETROS!$B$4=""),"",$S215*PARAMETROS!$B$4)</f>
        <v>974.5113</v>
      </c>
      <c r="V215" s="13" t="n">
        <v>0</v>
      </c>
      <c r="W215" s="4"/>
      <c r="X215" s="4"/>
      <c r="Y215" s="4"/>
      <c r="Z215" s="4"/>
      <c r="AA215" s="4"/>
      <c r="AB215" s="4"/>
      <c r="AC215" s="4"/>
      <c r="AD215" s="4"/>
      <c r="AE215" s="4"/>
      <c r="AF215" s="4"/>
      <c r="AG215" s="4"/>
      <c r="AH215" s="4"/>
      <c r="AI215" s="4"/>
      <c r="AJ215" s="4"/>
      <c r="AK215" s="4"/>
      <c r="AL215" s="4" t="s">
        <v>174</v>
      </c>
      <c r="AM215" s="4" t="s">
        <v>205</v>
      </c>
    </row>
    <row r="216" customFormat="false" ht="23.85" hidden="false" customHeight="false" outlineLevel="0" collapsed="false">
      <c r="A216" s="4" t="s">
        <v>167</v>
      </c>
      <c r="B216" s="4" t="s">
        <v>391</v>
      </c>
      <c r="C216" s="4" t="s">
        <v>391</v>
      </c>
      <c r="D216" s="12" t="n">
        <v>2018</v>
      </c>
      <c r="E216" s="4"/>
      <c r="F216" s="4" t="s">
        <v>169</v>
      </c>
      <c r="G216" s="4" t="s">
        <v>170</v>
      </c>
      <c r="H216" s="4" t="s">
        <v>171</v>
      </c>
      <c r="I216" s="4" t="s">
        <v>172</v>
      </c>
      <c r="J216" s="4" t="s">
        <v>391</v>
      </c>
      <c r="K216" s="4" t="s">
        <v>107</v>
      </c>
      <c r="L216" s="4" t="s">
        <v>108</v>
      </c>
      <c r="M216" s="4"/>
      <c r="N216" s="4"/>
      <c r="O216" s="4"/>
      <c r="P216" s="4"/>
      <c r="Q216" s="4"/>
      <c r="R216" s="4"/>
      <c r="S216" s="13" t="n">
        <v>0</v>
      </c>
      <c r="T216" s="4" t="s">
        <v>173</v>
      </c>
      <c r="U216" s="14" t="n">
        <f aca="false">IF(OR($S216="",PARAMETROS!$B$4=""),"",$S216*PARAMETROS!$B$4)</f>
        <v>0</v>
      </c>
      <c r="V216" s="13" t="n">
        <v>0</v>
      </c>
      <c r="W216" s="4"/>
      <c r="X216" s="4"/>
      <c r="Y216" s="4"/>
      <c r="Z216" s="4"/>
      <c r="AA216" s="4"/>
      <c r="AB216" s="4"/>
      <c r="AC216" s="4"/>
      <c r="AD216" s="4"/>
      <c r="AE216" s="4"/>
      <c r="AF216" s="4"/>
      <c r="AG216" s="4"/>
      <c r="AH216" s="4"/>
      <c r="AI216" s="4"/>
      <c r="AJ216" s="4"/>
      <c r="AK216" s="4"/>
      <c r="AL216" s="4" t="s">
        <v>174</v>
      </c>
      <c r="AM216" s="4" t="s">
        <v>205</v>
      </c>
    </row>
    <row r="217" customFormat="false" ht="23.85" hidden="false" customHeight="false" outlineLevel="0" collapsed="false">
      <c r="A217" s="4" t="s">
        <v>167</v>
      </c>
      <c r="B217" s="4" t="s">
        <v>392</v>
      </c>
      <c r="C217" s="4" t="s">
        <v>392</v>
      </c>
      <c r="D217" s="12" t="n">
        <v>2018</v>
      </c>
      <c r="E217" s="4"/>
      <c r="F217" s="4" t="s">
        <v>169</v>
      </c>
      <c r="G217" s="4" t="s">
        <v>170</v>
      </c>
      <c r="H217" s="4" t="s">
        <v>171</v>
      </c>
      <c r="I217" s="4" t="s">
        <v>172</v>
      </c>
      <c r="J217" s="4" t="s">
        <v>392</v>
      </c>
      <c r="K217" s="4" t="s">
        <v>107</v>
      </c>
      <c r="L217" s="4" t="s">
        <v>108</v>
      </c>
      <c r="M217" s="4"/>
      <c r="N217" s="4"/>
      <c r="O217" s="4"/>
      <c r="P217" s="4"/>
      <c r="Q217" s="4"/>
      <c r="R217" s="4"/>
      <c r="S217" s="13" t="n">
        <v>0</v>
      </c>
      <c r="T217" s="4" t="s">
        <v>173</v>
      </c>
      <c r="U217" s="14" t="n">
        <f aca="false">IF(OR($S217="",PARAMETROS!$B$4=""),"",$S217*PARAMETROS!$B$4)</f>
        <v>0</v>
      </c>
      <c r="V217" s="13" t="n">
        <v>0</v>
      </c>
      <c r="W217" s="4"/>
      <c r="X217" s="4"/>
      <c r="Y217" s="4"/>
      <c r="Z217" s="4"/>
      <c r="AA217" s="4"/>
      <c r="AB217" s="4"/>
      <c r="AC217" s="4"/>
      <c r="AD217" s="4"/>
      <c r="AE217" s="4"/>
      <c r="AF217" s="4"/>
      <c r="AG217" s="4"/>
      <c r="AH217" s="4"/>
      <c r="AI217" s="4"/>
      <c r="AJ217" s="4"/>
      <c r="AK217" s="4"/>
      <c r="AL217" s="4" t="s">
        <v>174</v>
      </c>
      <c r="AM217" s="4" t="s">
        <v>205</v>
      </c>
    </row>
    <row r="218" customFormat="false" ht="23.85" hidden="false" customHeight="false" outlineLevel="0" collapsed="false">
      <c r="A218" s="4" t="s">
        <v>167</v>
      </c>
      <c r="B218" s="4" t="s">
        <v>393</v>
      </c>
      <c r="C218" s="4" t="s">
        <v>393</v>
      </c>
      <c r="D218" s="12" t="n">
        <v>2018</v>
      </c>
      <c r="E218" s="4"/>
      <c r="F218" s="4" t="s">
        <v>169</v>
      </c>
      <c r="G218" s="4" t="s">
        <v>170</v>
      </c>
      <c r="H218" s="4" t="s">
        <v>171</v>
      </c>
      <c r="I218" s="4" t="s">
        <v>172</v>
      </c>
      <c r="J218" s="4" t="s">
        <v>393</v>
      </c>
      <c r="K218" s="4" t="s">
        <v>107</v>
      </c>
      <c r="L218" s="4" t="s">
        <v>108</v>
      </c>
      <c r="M218" s="4"/>
      <c r="N218" s="4"/>
      <c r="O218" s="4"/>
      <c r="P218" s="4"/>
      <c r="Q218" s="4"/>
      <c r="R218" s="4"/>
      <c r="S218" s="13" t="n">
        <v>0</v>
      </c>
      <c r="T218" s="4" t="s">
        <v>173</v>
      </c>
      <c r="U218" s="14" t="n">
        <f aca="false">IF(OR($S218="",PARAMETROS!$B$4=""),"",$S218*PARAMETROS!$B$4)</f>
        <v>0</v>
      </c>
      <c r="V218" s="13" t="n">
        <v>0</v>
      </c>
      <c r="W218" s="4"/>
      <c r="X218" s="4"/>
      <c r="Y218" s="4"/>
      <c r="Z218" s="4"/>
      <c r="AA218" s="4"/>
      <c r="AB218" s="4"/>
      <c r="AC218" s="4"/>
      <c r="AD218" s="4"/>
      <c r="AE218" s="4"/>
      <c r="AF218" s="4"/>
      <c r="AG218" s="4"/>
      <c r="AH218" s="4"/>
      <c r="AI218" s="4"/>
      <c r="AJ218" s="4"/>
      <c r="AK218" s="4"/>
      <c r="AL218" s="4" t="s">
        <v>174</v>
      </c>
      <c r="AM218" s="4" t="s">
        <v>205</v>
      </c>
    </row>
    <row r="219" customFormat="false" ht="23.85" hidden="false" customHeight="false" outlineLevel="0" collapsed="false">
      <c r="A219" s="4" t="s">
        <v>167</v>
      </c>
      <c r="B219" s="4" t="s">
        <v>394</v>
      </c>
      <c r="C219" s="4" t="s">
        <v>394</v>
      </c>
      <c r="D219" s="12" t="n">
        <v>2018</v>
      </c>
      <c r="E219" s="4"/>
      <c r="F219" s="4" t="s">
        <v>169</v>
      </c>
      <c r="G219" s="4" t="s">
        <v>170</v>
      </c>
      <c r="H219" s="4" t="s">
        <v>171</v>
      </c>
      <c r="I219" s="4" t="s">
        <v>172</v>
      </c>
      <c r="J219" s="4" t="s">
        <v>394</v>
      </c>
      <c r="K219" s="4" t="s">
        <v>107</v>
      </c>
      <c r="L219" s="4" t="s">
        <v>108</v>
      </c>
      <c r="M219" s="4"/>
      <c r="N219" s="4"/>
      <c r="O219" s="4"/>
      <c r="P219" s="4"/>
      <c r="Q219" s="4"/>
      <c r="R219" s="4"/>
      <c r="S219" s="13" t="n">
        <v>0</v>
      </c>
      <c r="T219" s="4" t="s">
        <v>173</v>
      </c>
      <c r="U219" s="14" t="n">
        <f aca="false">IF(OR($S219="",PARAMETROS!$B$4=""),"",$S219*PARAMETROS!$B$4)</f>
        <v>0</v>
      </c>
      <c r="V219" s="13" t="n">
        <v>0</v>
      </c>
      <c r="W219" s="4"/>
      <c r="X219" s="4"/>
      <c r="Y219" s="4"/>
      <c r="Z219" s="4"/>
      <c r="AA219" s="4"/>
      <c r="AB219" s="4"/>
      <c r="AC219" s="4"/>
      <c r="AD219" s="4"/>
      <c r="AE219" s="4"/>
      <c r="AF219" s="4"/>
      <c r="AG219" s="4"/>
      <c r="AH219" s="4"/>
      <c r="AI219" s="4"/>
      <c r="AJ219" s="4"/>
      <c r="AK219" s="4"/>
      <c r="AL219" s="4" t="s">
        <v>174</v>
      </c>
      <c r="AM219" s="4" t="s">
        <v>205</v>
      </c>
    </row>
    <row r="220" customFormat="false" ht="23.85" hidden="false" customHeight="false" outlineLevel="0" collapsed="false">
      <c r="A220" s="4" t="s">
        <v>167</v>
      </c>
      <c r="B220" s="4" t="s">
        <v>395</v>
      </c>
      <c r="C220" s="4" t="s">
        <v>395</v>
      </c>
      <c r="D220" s="12" t="n">
        <v>2018</v>
      </c>
      <c r="E220" s="4"/>
      <c r="F220" s="4" t="s">
        <v>169</v>
      </c>
      <c r="G220" s="4" t="s">
        <v>170</v>
      </c>
      <c r="H220" s="4" t="s">
        <v>171</v>
      </c>
      <c r="I220" s="4" t="s">
        <v>172</v>
      </c>
      <c r="J220" s="4" t="s">
        <v>395</v>
      </c>
      <c r="K220" s="4" t="s">
        <v>107</v>
      </c>
      <c r="L220" s="4" t="s">
        <v>108</v>
      </c>
      <c r="M220" s="4"/>
      <c r="N220" s="4"/>
      <c r="O220" s="4"/>
      <c r="P220" s="4"/>
      <c r="Q220" s="4"/>
      <c r="R220" s="4"/>
      <c r="S220" s="13" t="n">
        <v>761</v>
      </c>
      <c r="T220" s="4" t="s">
        <v>173</v>
      </c>
      <c r="U220" s="14" t="n">
        <f aca="false">IF(OR($S220="",PARAMETROS!$B$4=""),"",$S220*PARAMETROS!$B$4)</f>
        <v>4421.41</v>
      </c>
      <c r="V220" s="13" t="n">
        <v>0</v>
      </c>
      <c r="W220" s="4"/>
      <c r="X220" s="4"/>
      <c r="Y220" s="4"/>
      <c r="Z220" s="4"/>
      <c r="AA220" s="4"/>
      <c r="AB220" s="4"/>
      <c r="AC220" s="4"/>
      <c r="AD220" s="4"/>
      <c r="AE220" s="4"/>
      <c r="AF220" s="4"/>
      <c r="AG220" s="4"/>
      <c r="AH220" s="4"/>
      <c r="AI220" s="4"/>
      <c r="AJ220" s="4"/>
      <c r="AK220" s="4"/>
      <c r="AL220" s="4" t="s">
        <v>174</v>
      </c>
      <c r="AM220" s="4" t="s">
        <v>205</v>
      </c>
    </row>
    <row r="221" customFormat="false" ht="23.85" hidden="false" customHeight="false" outlineLevel="0" collapsed="false">
      <c r="A221" s="4" t="s">
        <v>167</v>
      </c>
      <c r="B221" s="4" t="s">
        <v>396</v>
      </c>
      <c r="C221" s="4" t="s">
        <v>396</v>
      </c>
      <c r="D221" s="12" t="n">
        <v>2018</v>
      </c>
      <c r="E221" s="4"/>
      <c r="F221" s="4" t="s">
        <v>169</v>
      </c>
      <c r="G221" s="4" t="s">
        <v>170</v>
      </c>
      <c r="H221" s="4" t="s">
        <v>171</v>
      </c>
      <c r="I221" s="4" t="s">
        <v>172</v>
      </c>
      <c r="J221" s="4" t="s">
        <v>396</v>
      </c>
      <c r="K221" s="4" t="s">
        <v>107</v>
      </c>
      <c r="L221" s="4" t="s">
        <v>108</v>
      </c>
      <c r="M221" s="4"/>
      <c r="N221" s="4"/>
      <c r="O221" s="4"/>
      <c r="P221" s="4"/>
      <c r="Q221" s="4"/>
      <c r="R221" s="4"/>
      <c r="S221" s="13" t="n">
        <v>3.56</v>
      </c>
      <c r="T221" s="4" t="s">
        <v>173</v>
      </c>
      <c r="U221" s="14" t="n">
        <f aca="false">IF(OR($S221="",PARAMETROS!$B$4=""),"",$S221*PARAMETROS!$B$4)</f>
        <v>20.6836</v>
      </c>
      <c r="V221" s="13" t="n">
        <v>0</v>
      </c>
      <c r="W221" s="4"/>
      <c r="X221" s="4"/>
      <c r="Y221" s="4"/>
      <c r="Z221" s="4"/>
      <c r="AA221" s="4"/>
      <c r="AB221" s="4"/>
      <c r="AC221" s="4"/>
      <c r="AD221" s="4"/>
      <c r="AE221" s="4"/>
      <c r="AF221" s="4"/>
      <c r="AG221" s="4"/>
      <c r="AH221" s="4"/>
      <c r="AI221" s="4"/>
      <c r="AJ221" s="4"/>
      <c r="AK221" s="4"/>
      <c r="AL221" s="4" t="s">
        <v>174</v>
      </c>
      <c r="AM221" s="4" t="s">
        <v>205</v>
      </c>
    </row>
    <row r="222" customFormat="false" ht="23.85" hidden="false" customHeight="false" outlineLevel="0" collapsed="false">
      <c r="A222" s="4" t="s">
        <v>167</v>
      </c>
      <c r="B222" s="4" t="s">
        <v>397</v>
      </c>
      <c r="C222" s="4" t="s">
        <v>397</v>
      </c>
      <c r="D222" s="12" t="n">
        <v>2018</v>
      </c>
      <c r="E222" s="4"/>
      <c r="F222" s="4" t="s">
        <v>169</v>
      </c>
      <c r="G222" s="4" t="s">
        <v>170</v>
      </c>
      <c r="H222" s="4" t="s">
        <v>171</v>
      </c>
      <c r="I222" s="4" t="s">
        <v>172</v>
      </c>
      <c r="J222" s="4" t="s">
        <v>397</v>
      </c>
      <c r="K222" s="4" t="s">
        <v>107</v>
      </c>
      <c r="L222" s="4" t="s">
        <v>108</v>
      </c>
      <c r="M222" s="4"/>
      <c r="N222" s="4"/>
      <c r="O222" s="4"/>
      <c r="P222" s="4"/>
      <c r="Q222" s="4"/>
      <c r="R222" s="4"/>
      <c r="S222" s="13" t="n">
        <v>0.17</v>
      </c>
      <c r="T222" s="4" t="s">
        <v>173</v>
      </c>
      <c r="U222" s="14" t="n">
        <f aca="false">IF(OR($S222="",PARAMETROS!$B$4=""),"",$S222*PARAMETROS!$B$4)</f>
        <v>0.9877</v>
      </c>
      <c r="V222" s="13" t="n">
        <v>0</v>
      </c>
      <c r="W222" s="4"/>
      <c r="X222" s="4"/>
      <c r="Y222" s="4"/>
      <c r="Z222" s="4"/>
      <c r="AA222" s="4"/>
      <c r="AB222" s="4"/>
      <c r="AC222" s="4"/>
      <c r="AD222" s="4"/>
      <c r="AE222" s="4"/>
      <c r="AF222" s="4"/>
      <c r="AG222" s="4"/>
      <c r="AH222" s="4"/>
      <c r="AI222" s="4"/>
      <c r="AJ222" s="4"/>
      <c r="AK222" s="4"/>
      <c r="AL222" s="4" t="s">
        <v>174</v>
      </c>
      <c r="AM222" s="4" t="s">
        <v>205</v>
      </c>
    </row>
    <row r="223" customFormat="false" ht="23.85" hidden="false" customHeight="false" outlineLevel="0" collapsed="false">
      <c r="A223" s="4" t="s">
        <v>167</v>
      </c>
      <c r="B223" s="4" t="s">
        <v>398</v>
      </c>
      <c r="C223" s="4" t="s">
        <v>398</v>
      </c>
      <c r="D223" s="12" t="n">
        <v>2018</v>
      </c>
      <c r="E223" s="4"/>
      <c r="F223" s="4" t="s">
        <v>169</v>
      </c>
      <c r="G223" s="4" t="s">
        <v>170</v>
      </c>
      <c r="H223" s="4" t="s">
        <v>171</v>
      </c>
      <c r="I223" s="4" t="s">
        <v>172</v>
      </c>
      <c r="J223" s="4" t="s">
        <v>398</v>
      </c>
      <c r="K223" s="4" t="s">
        <v>107</v>
      </c>
      <c r="L223" s="4" t="s">
        <v>108</v>
      </c>
      <c r="M223" s="4"/>
      <c r="N223" s="4"/>
      <c r="O223" s="4"/>
      <c r="P223" s="4"/>
      <c r="Q223" s="4"/>
      <c r="R223" s="4"/>
      <c r="S223" s="13" t="n">
        <v>0.51</v>
      </c>
      <c r="T223" s="4" t="s">
        <v>173</v>
      </c>
      <c r="U223" s="14" t="n">
        <f aca="false">IF(OR($S223="",PARAMETROS!$B$4=""),"",$S223*PARAMETROS!$B$4)</f>
        <v>2.9631</v>
      </c>
      <c r="V223" s="13" t="n">
        <v>0</v>
      </c>
      <c r="W223" s="4"/>
      <c r="X223" s="4"/>
      <c r="Y223" s="4"/>
      <c r="Z223" s="4"/>
      <c r="AA223" s="4"/>
      <c r="AB223" s="4"/>
      <c r="AC223" s="4"/>
      <c r="AD223" s="4"/>
      <c r="AE223" s="4"/>
      <c r="AF223" s="4"/>
      <c r="AG223" s="4"/>
      <c r="AH223" s="4"/>
      <c r="AI223" s="4"/>
      <c r="AJ223" s="4"/>
      <c r="AK223" s="4"/>
      <c r="AL223" s="4" t="s">
        <v>174</v>
      </c>
      <c r="AM223" s="4" t="s">
        <v>205</v>
      </c>
    </row>
    <row r="224" customFormat="false" ht="23.85" hidden="false" customHeight="false" outlineLevel="0" collapsed="false">
      <c r="A224" s="4" t="s">
        <v>167</v>
      </c>
      <c r="B224" s="4" t="s">
        <v>399</v>
      </c>
      <c r="C224" s="4" t="s">
        <v>399</v>
      </c>
      <c r="D224" s="12" t="n">
        <v>2018</v>
      </c>
      <c r="E224" s="4"/>
      <c r="F224" s="4" t="s">
        <v>169</v>
      </c>
      <c r="G224" s="4" t="s">
        <v>170</v>
      </c>
      <c r="H224" s="4" t="s">
        <v>171</v>
      </c>
      <c r="I224" s="4" t="s">
        <v>172</v>
      </c>
      <c r="J224" s="4" t="s">
        <v>399</v>
      </c>
      <c r="K224" s="4" t="s">
        <v>107</v>
      </c>
      <c r="L224" s="4" t="s">
        <v>108</v>
      </c>
      <c r="M224" s="4"/>
      <c r="N224" s="4"/>
      <c r="O224" s="4"/>
      <c r="P224" s="4"/>
      <c r="Q224" s="4"/>
      <c r="R224" s="4"/>
      <c r="S224" s="13" t="n">
        <v>0</v>
      </c>
      <c r="T224" s="4" t="s">
        <v>173</v>
      </c>
      <c r="U224" s="14" t="n">
        <f aca="false">IF(OR($S224="",PARAMETROS!$B$4=""),"",$S224*PARAMETROS!$B$4)</f>
        <v>0</v>
      </c>
      <c r="V224" s="13" t="n">
        <v>0</v>
      </c>
      <c r="W224" s="4"/>
      <c r="X224" s="4"/>
      <c r="Y224" s="4"/>
      <c r="Z224" s="4"/>
      <c r="AA224" s="4"/>
      <c r="AB224" s="4"/>
      <c r="AC224" s="4"/>
      <c r="AD224" s="4"/>
      <c r="AE224" s="4"/>
      <c r="AF224" s="4"/>
      <c r="AG224" s="4"/>
      <c r="AH224" s="4"/>
      <c r="AI224" s="4"/>
      <c r="AJ224" s="4"/>
      <c r="AK224" s="4"/>
      <c r="AL224" s="4" t="s">
        <v>174</v>
      </c>
      <c r="AM224" s="4" t="s">
        <v>205</v>
      </c>
    </row>
    <row r="225" customFormat="false" ht="23.85" hidden="false" customHeight="false" outlineLevel="0" collapsed="false">
      <c r="A225" s="4" t="s">
        <v>167</v>
      </c>
      <c r="B225" s="4" t="s">
        <v>400</v>
      </c>
      <c r="C225" s="4" t="s">
        <v>400</v>
      </c>
      <c r="D225" s="12" t="n">
        <v>2018</v>
      </c>
      <c r="E225" s="4"/>
      <c r="F225" s="4" t="s">
        <v>169</v>
      </c>
      <c r="G225" s="4" t="s">
        <v>170</v>
      </c>
      <c r="H225" s="4" t="s">
        <v>171</v>
      </c>
      <c r="I225" s="4" t="s">
        <v>172</v>
      </c>
      <c r="J225" s="4" t="s">
        <v>400</v>
      </c>
      <c r="K225" s="4" t="s">
        <v>107</v>
      </c>
      <c r="L225" s="4" t="s">
        <v>108</v>
      </c>
      <c r="M225" s="4"/>
      <c r="N225" s="4"/>
      <c r="O225" s="4"/>
      <c r="P225" s="4"/>
      <c r="Q225" s="4"/>
      <c r="R225" s="4"/>
      <c r="S225" s="13" t="n">
        <v>0</v>
      </c>
      <c r="T225" s="4" t="s">
        <v>173</v>
      </c>
      <c r="U225" s="14" t="n">
        <f aca="false">IF(OR($S225="",PARAMETROS!$B$4=""),"",$S225*PARAMETROS!$B$4)</f>
        <v>0</v>
      </c>
      <c r="V225" s="13" t="n">
        <v>0</v>
      </c>
      <c r="W225" s="4"/>
      <c r="X225" s="4"/>
      <c r="Y225" s="4"/>
      <c r="Z225" s="4"/>
      <c r="AA225" s="4"/>
      <c r="AB225" s="4"/>
      <c r="AC225" s="4"/>
      <c r="AD225" s="4"/>
      <c r="AE225" s="4"/>
      <c r="AF225" s="4"/>
      <c r="AG225" s="4"/>
      <c r="AH225" s="4"/>
      <c r="AI225" s="4"/>
      <c r="AJ225" s="4"/>
      <c r="AK225" s="4"/>
      <c r="AL225" s="4" t="s">
        <v>174</v>
      </c>
      <c r="AM225" s="4" t="s">
        <v>205</v>
      </c>
    </row>
    <row r="226" customFormat="false" ht="23.85" hidden="false" customHeight="false" outlineLevel="0" collapsed="false">
      <c r="A226" s="4" t="s">
        <v>167</v>
      </c>
      <c r="B226" s="4" t="s">
        <v>401</v>
      </c>
      <c r="C226" s="4" t="s">
        <v>401</v>
      </c>
      <c r="D226" s="12" t="n">
        <v>2018</v>
      </c>
      <c r="E226" s="4"/>
      <c r="F226" s="4" t="s">
        <v>169</v>
      </c>
      <c r="G226" s="4" t="s">
        <v>170</v>
      </c>
      <c r="H226" s="4" t="s">
        <v>171</v>
      </c>
      <c r="I226" s="4" t="s">
        <v>172</v>
      </c>
      <c r="J226" s="4" t="s">
        <v>401</v>
      </c>
      <c r="K226" s="4" t="s">
        <v>111</v>
      </c>
      <c r="L226" s="4" t="s">
        <v>112</v>
      </c>
      <c r="M226" s="4"/>
      <c r="N226" s="4"/>
      <c r="O226" s="4"/>
      <c r="P226" s="4"/>
      <c r="Q226" s="4"/>
      <c r="R226" s="4"/>
      <c r="S226" s="13" t="n">
        <v>0</v>
      </c>
      <c r="T226" s="4" t="s">
        <v>173</v>
      </c>
      <c r="U226" s="14" t="n">
        <f aca="false">IF(OR($S226="",PARAMETROS!$B$4=""),"",$S226*PARAMETROS!$B$4)</f>
        <v>0</v>
      </c>
      <c r="V226" s="13" t="n">
        <v>0</v>
      </c>
      <c r="W226" s="4"/>
      <c r="X226" s="4"/>
      <c r="Y226" s="4"/>
      <c r="Z226" s="4"/>
      <c r="AA226" s="4"/>
      <c r="AB226" s="4"/>
      <c r="AC226" s="4"/>
      <c r="AD226" s="4"/>
      <c r="AE226" s="4"/>
      <c r="AF226" s="4"/>
      <c r="AG226" s="4"/>
      <c r="AH226" s="4"/>
      <c r="AI226" s="4"/>
      <c r="AJ226" s="4"/>
      <c r="AK226" s="4"/>
      <c r="AL226" s="4" t="s">
        <v>174</v>
      </c>
      <c r="AM226" s="4" t="s">
        <v>190</v>
      </c>
    </row>
    <row r="227" customFormat="false" ht="23.85" hidden="false" customHeight="false" outlineLevel="0" collapsed="false">
      <c r="A227" s="4" t="s">
        <v>167</v>
      </c>
      <c r="B227" s="4" t="s">
        <v>402</v>
      </c>
      <c r="C227" s="4" t="s">
        <v>402</v>
      </c>
      <c r="D227" s="12" t="n">
        <v>2018</v>
      </c>
      <c r="E227" s="4"/>
      <c r="F227" s="4" t="s">
        <v>169</v>
      </c>
      <c r="G227" s="4" t="s">
        <v>170</v>
      </c>
      <c r="H227" s="4" t="s">
        <v>171</v>
      </c>
      <c r="I227" s="4" t="s">
        <v>172</v>
      </c>
      <c r="J227" s="4" t="s">
        <v>402</v>
      </c>
      <c r="K227" s="4" t="s">
        <v>111</v>
      </c>
      <c r="L227" s="4" t="s">
        <v>112</v>
      </c>
      <c r="M227" s="4"/>
      <c r="N227" s="4"/>
      <c r="O227" s="4"/>
      <c r="P227" s="4"/>
      <c r="Q227" s="4"/>
      <c r="R227" s="4"/>
      <c r="S227" s="13" t="n">
        <v>53.3</v>
      </c>
      <c r="T227" s="4" t="s">
        <v>173</v>
      </c>
      <c r="U227" s="14" t="n">
        <f aca="false">IF(OR($S227="",PARAMETROS!$B$4=""),"",$S227*PARAMETROS!$B$4)</f>
        <v>309.673</v>
      </c>
      <c r="V227" s="13" t="n">
        <v>0</v>
      </c>
      <c r="W227" s="4"/>
      <c r="X227" s="4"/>
      <c r="Y227" s="4"/>
      <c r="Z227" s="4"/>
      <c r="AA227" s="4"/>
      <c r="AB227" s="4"/>
      <c r="AC227" s="4"/>
      <c r="AD227" s="4"/>
      <c r="AE227" s="4"/>
      <c r="AF227" s="4"/>
      <c r="AG227" s="4"/>
      <c r="AH227" s="4"/>
      <c r="AI227" s="4"/>
      <c r="AJ227" s="4"/>
      <c r="AK227" s="4"/>
      <c r="AL227" s="4" t="s">
        <v>174</v>
      </c>
      <c r="AM227" s="4" t="s">
        <v>190</v>
      </c>
    </row>
    <row r="228" customFormat="false" ht="23.85" hidden="false" customHeight="false" outlineLevel="0" collapsed="false">
      <c r="A228" s="4" t="s">
        <v>167</v>
      </c>
      <c r="B228" s="4" t="s">
        <v>403</v>
      </c>
      <c r="C228" s="4" t="s">
        <v>403</v>
      </c>
      <c r="D228" s="12" t="n">
        <v>2018</v>
      </c>
      <c r="E228" s="4"/>
      <c r="F228" s="4" t="s">
        <v>169</v>
      </c>
      <c r="G228" s="4" t="s">
        <v>170</v>
      </c>
      <c r="H228" s="4" t="s">
        <v>171</v>
      </c>
      <c r="I228" s="4" t="s">
        <v>172</v>
      </c>
      <c r="J228" s="4" t="s">
        <v>403</v>
      </c>
      <c r="K228" s="4" t="s">
        <v>111</v>
      </c>
      <c r="L228" s="4" t="s">
        <v>112</v>
      </c>
      <c r="M228" s="4"/>
      <c r="N228" s="4"/>
      <c r="O228" s="4"/>
      <c r="P228" s="4"/>
      <c r="Q228" s="4"/>
      <c r="R228" s="4"/>
      <c r="S228" s="13" t="n">
        <v>187.65</v>
      </c>
      <c r="T228" s="4" t="s">
        <v>173</v>
      </c>
      <c r="U228" s="14" t="n">
        <f aca="false">IF(OR($S228="",PARAMETROS!$B$4=""),"",$S228*PARAMETROS!$B$4)</f>
        <v>1090.2465</v>
      </c>
      <c r="V228" s="13" t="n">
        <v>0</v>
      </c>
      <c r="W228" s="4"/>
      <c r="X228" s="4"/>
      <c r="Y228" s="4"/>
      <c r="Z228" s="4"/>
      <c r="AA228" s="4"/>
      <c r="AB228" s="4"/>
      <c r="AC228" s="4"/>
      <c r="AD228" s="4"/>
      <c r="AE228" s="4"/>
      <c r="AF228" s="4"/>
      <c r="AG228" s="4"/>
      <c r="AH228" s="4"/>
      <c r="AI228" s="4"/>
      <c r="AJ228" s="4"/>
      <c r="AK228" s="4"/>
      <c r="AL228" s="4" t="s">
        <v>174</v>
      </c>
      <c r="AM228" s="4" t="s">
        <v>190</v>
      </c>
    </row>
    <row r="229" customFormat="false" ht="23.85" hidden="false" customHeight="false" outlineLevel="0" collapsed="false">
      <c r="A229" s="4" t="s">
        <v>167</v>
      </c>
      <c r="B229" s="4" t="s">
        <v>404</v>
      </c>
      <c r="C229" s="4" t="s">
        <v>404</v>
      </c>
      <c r="D229" s="12" t="n">
        <v>2018</v>
      </c>
      <c r="E229" s="4"/>
      <c r="F229" s="4" t="s">
        <v>169</v>
      </c>
      <c r="G229" s="4" t="s">
        <v>170</v>
      </c>
      <c r="H229" s="4" t="s">
        <v>171</v>
      </c>
      <c r="I229" s="4" t="s">
        <v>172</v>
      </c>
      <c r="J229" s="4" t="s">
        <v>404</v>
      </c>
      <c r="K229" s="4" t="s">
        <v>111</v>
      </c>
      <c r="L229" s="4" t="s">
        <v>112</v>
      </c>
      <c r="M229" s="4"/>
      <c r="N229" s="4"/>
      <c r="O229" s="4"/>
      <c r="P229" s="4"/>
      <c r="Q229" s="4"/>
      <c r="R229" s="4"/>
      <c r="S229" s="13" t="n">
        <v>-8.04</v>
      </c>
      <c r="T229" s="4" t="s">
        <v>173</v>
      </c>
      <c r="U229" s="14" t="n">
        <f aca="false">IF(OR($S229="",PARAMETROS!$B$4=""),"",$S229*PARAMETROS!$B$4)</f>
        <v>-46.7124</v>
      </c>
      <c r="V229" s="13" t="n">
        <v>0</v>
      </c>
      <c r="W229" s="4"/>
      <c r="X229" s="4"/>
      <c r="Y229" s="4"/>
      <c r="Z229" s="4"/>
      <c r="AA229" s="4"/>
      <c r="AB229" s="4"/>
      <c r="AC229" s="4"/>
      <c r="AD229" s="4"/>
      <c r="AE229" s="4"/>
      <c r="AF229" s="4"/>
      <c r="AG229" s="4"/>
      <c r="AH229" s="4"/>
      <c r="AI229" s="4"/>
      <c r="AJ229" s="4"/>
      <c r="AK229" s="4"/>
      <c r="AL229" s="4" t="s">
        <v>174</v>
      </c>
      <c r="AM229" s="4" t="s">
        <v>190</v>
      </c>
    </row>
    <row r="230" customFormat="false" ht="23.85" hidden="false" customHeight="false" outlineLevel="0" collapsed="false">
      <c r="A230" s="4" t="s">
        <v>167</v>
      </c>
      <c r="B230" s="4" t="s">
        <v>405</v>
      </c>
      <c r="C230" s="4" t="s">
        <v>405</v>
      </c>
      <c r="D230" s="12" t="n">
        <v>2018</v>
      </c>
      <c r="E230" s="4"/>
      <c r="F230" s="4" t="s">
        <v>169</v>
      </c>
      <c r="G230" s="4" t="s">
        <v>170</v>
      </c>
      <c r="H230" s="4" t="s">
        <v>171</v>
      </c>
      <c r="I230" s="4" t="s">
        <v>172</v>
      </c>
      <c r="J230" s="4" t="s">
        <v>405</v>
      </c>
      <c r="K230" s="4" t="s">
        <v>111</v>
      </c>
      <c r="L230" s="4" t="s">
        <v>112</v>
      </c>
      <c r="M230" s="4"/>
      <c r="N230" s="4"/>
      <c r="O230" s="4"/>
      <c r="P230" s="4"/>
      <c r="Q230" s="4"/>
      <c r="R230" s="4"/>
      <c r="S230" s="13" t="n">
        <v>585.37</v>
      </c>
      <c r="T230" s="4" t="s">
        <v>173</v>
      </c>
      <c r="U230" s="14" t="n">
        <f aca="false">IF(OR($S230="",PARAMETROS!$B$4=""),"",$S230*PARAMETROS!$B$4)</f>
        <v>3400.9997</v>
      </c>
      <c r="V230" s="13" t="n">
        <v>0</v>
      </c>
      <c r="W230" s="4"/>
      <c r="X230" s="4"/>
      <c r="Y230" s="4"/>
      <c r="Z230" s="4"/>
      <c r="AA230" s="4"/>
      <c r="AB230" s="4"/>
      <c r="AC230" s="4"/>
      <c r="AD230" s="4"/>
      <c r="AE230" s="4"/>
      <c r="AF230" s="4"/>
      <c r="AG230" s="4"/>
      <c r="AH230" s="4"/>
      <c r="AI230" s="4"/>
      <c r="AJ230" s="4"/>
      <c r="AK230" s="4"/>
      <c r="AL230" s="4" t="s">
        <v>174</v>
      </c>
      <c r="AM230" s="4" t="s">
        <v>190</v>
      </c>
    </row>
    <row r="231" customFormat="false" ht="23.85" hidden="false" customHeight="false" outlineLevel="0" collapsed="false">
      <c r="A231" s="4" t="s">
        <v>167</v>
      </c>
      <c r="B231" s="4" t="s">
        <v>406</v>
      </c>
      <c r="C231" s="4" t="s">
        <v>406</v>
      </c>
      <c r="D231" s="12" t="n">
        <v>2018</v>
      </c>
      <c r="E231" s="4"/>
      <c r="F231" s="4" t="s">
        <v>169</v>
      </c>
      <c r="G231" s="4" t="s">
        <v>170</v>
      </c>
      <c r="H231" s="4" t="s">
        <v>171</v>
      </c>
      <c r="I231" s="4" t="s">
        <v>172</v>
      </c>
      <c r="J231" s="4" t="s">
        <v>406</v>
      </c>
      <c r="K231" s="4" t="s">
        <v>111</v>
      </c>
      <c r="L231" s="4" t="s">
        <v>112</v>
      </c>
      <c r="M231" s="4"/>
      <c r="N231" s="4"/>
      <c r="O231" s="4"/>
      <c r="P231" s="4"/>
      <c r="Q231" s="4"/>
      <c r="R231" s="4"/>
      <c r="S231" s="13" t="n">
        <v>0</v>
      </c>
      <c r="T231" s="4" t="s">
        <v>173</v>
      </c>
      <c r="U231" s="14" t="n">
        <f aca="false">IF(OR($S231="",PARAMETROS!$B$4=""),"",$S231*PARAMETROS!$B$4)</f>
        <v>0</v>
      </c>
      <c r="V231" s="13" t="n">
        <v>0</v>
      </c>
      <c r="W231" s="4"/>
      <c r="X231" s="4"/>
      <c r="Y231" s="4"/>
      <c r="Z231" s="4"/>
      <c r="AA231" s="4"/>
      <c r="AB231" s="4"/>
      <c r="AC231" s="4"/>
      <c r="AD231" s="4"/>
      <c r="AE231" s="4"/>
      <c r="AF231" s="4"/>
      <c r="AG231" s="4"/>
      <c r="AH231" s="4"/>
      <c r="AI231" s="4"/>
      <c r="AJ231" s="4"/>
      <c r="AK231" s="4"/>
      <c r="AL231" s="4" t="s">
        <v>174</v>
      </c>
      <c r="AM231" s="4" t="s">
        <v>190</v>
      </c>
    </row>
    <row r="232" customFormat="false" ht="23.85" hidden="false" customHeight="false" outlineLevel="0" collapsed="false">
      <c r="A232" s="4" t="s">
        <v>167</v>
      </c>
      <c r="B232" s="4" t="s">
        <v>407</v>
      </c>
      <c r="C232" s="4" t="s">
        <v>407</v>
      </c>
      <c r="D232" s="12" t="n">
        <v>2018</v>
      </c>
      <c r="E232" s="4"/>
      <c r="F232" s="4" t="s">
        <v>169</v>
      </c>
      <c r="G232" s="4" t="s">
        <v>170</v>
      </c>
      <c r="H232" s="4" t="s">
        <v>171</v>
      </c>
      <c r="I232" s="4" t="s">
        <v>172</v>
      </c>
      <c r="J232" s="4" t="s">
        <v>407</v>
      </c>
      <c r="K232" s="4" t="s">
        <v>111</v>
      </c>
      <c r="L232" s="4" t="s">
        <v>112</v>
      </c>
      <c r="M232" s="4"/>
      <c r="N232" s="4"/>
      <c r="O232" s="4"/>
      <c r="P232" s="4"/>
      <c r="Q232" s="4"/>
      <c r="R232" s="4"/>
      <c r="S232" s="13" t="n">
        <v>0</v>
      </c>
      <c r="T232" s="4" t="s">
        <v>173</v>
      </c>
      <c r="U232" s="14" t="n">
        <f aca="false">IF(OR($S232="",PARAMETROS!$B$4=""),"",$S232*PARAMETROS!$B$4)</f>
        <v>0</v>
      </c>
      <c r="V232" s="13" t="n">
        <v>0</v>
      </c>
      <c r="W232" s="4"/>
      <c r="X232" s="4"/>
      <c r="Y232" s="4"/>
      <c r="Z232" s="4"/>
      <c r="AA232" s="4"/>
      <c r="AB232" s="4"/>
      <c r="AC232" s="4"/>
      <c r="AD232" s="4"/>
      <c r="AE232" s="4"/>
      <c r="AF232" s="4"/>
      <c r="AG232" s="4"/>
      <c r="AH232" s="4"/>
      <c r="AI232" s="4"/>
      <c r="AJ232" s="4"/>
      <c r="AK232" s="4"/>
      <c r="AL232" s="4" t="s">
        <v>174</v>
      </c>
      <c r="AM232" s="4" t="s">
        <v>190</v>
      </c>
    </row>
    <row r="233" customFormat="false" ht="23.85" hidden="false" customHeight="false" outlineLevel="0" collapsed="false">
      <c r="A233" s="4" t="s">
        <v>167</v>
      </c>
      <c r="B233" s="4" t="s">
        <v>408</v>
      </c>
      <c r="C233" s="4" t="s">
        <v>408</v>
      </c>
      <c r="D233" s="12" t="n">
        <v>2018</v>
      </c>
      <c r="E233" s="4"/>
      <c r="F233" s="4" t="s">
        <v>169</v>
      </c>
      <c r="G233" s="4" t="s">
        <v>170</v>
      </c>
      <c r="H233" s="4" t="s">
        <v>171</v>
      </c>
      <c r="I233" s="4" t="s">
        <v>172</v>
      </c>
      <c r="J233" s="4" t="s">
        <v>408</v>
      </c>
      <c r="K233" s="4" t="s">
        <v>111</v>
      </c>
      <c r="L233" s="4" t="s">
        <v>112</v>
      </c>
      <c r="M233" s="4"/>
      <c r="N233" s="4"/>
      <c r="O233" s="4"/>
      <c r="P233" s="4"/>
      <c r="Q233" s="4"/>
      <c r="R233" s="4"/>
      <c r="S233" s="13" t="n">
        <v>0</v>
      </c>
      <c r="T233" s="4" t="s">
        <v>173</v>
      </c>
      <c r="U233" s="14" t="n">
        <f aca="false">IF(OR($S233="",PARAMETROS!$B$4=""),"",$S233*PARAMETROS!$B$4)</f>
        <v>0</v>
      </c>
      <c r="V233" s="13" t="n">
        <v>0</v>
      </c>
      <c r="W233" s="4"/>
      <c r="X233" s="4"/>
      <c r="Y233" s="4"/>
      <c r="Z233" s="4"/>
      <c r="AA233" s="4"/>
      <c r="AB233" s="4"/>
      <c r="AC233" s="4"/>
      <c r="AD233" s="4"/>
      <c r="AE233" s="4"/>
      <c r="AF233" s="4"/>
      <c r="AG233" s="4"/>
      <c r="AH233" s="4"/>
      <c r="AI233" s="4"/>
      <c r="AJ233" s="4"/>
      <c r="AK233" s="4"/>
      <c r="AL233" s="4" t="s">
        <v>174</v>
      </c>
      <c r="AM233" s="4" t="s">
        <v>190</v>
      </c>
    </row>
    <row r="234" customFormat="false" ht="23.85" hidden="false" customHeight="false" outlineLevel="0" collapsed="false">
      <c r="A234" s="4" t="s">
        <v>167</v>
      </c>
      <c r="B234" s="4" t="s">
        <v>409</v>
      </c>
      <c r="C234" s="4" t="s">
        <v>409</v>
      </c>
      <c r="D234" s="12" t="n">
        <v>2018</v>
      </c>
      <c r="E234" s="4"/>
      <c r="F234" s="4" t="s">
        <v>169</v>
      </c>
      <c r="G234" s="4" t="s">
        <v>170</v>
      </c>
      <c r="H234" s="4" t="s">
        <v>171</v>
      </c>
      <c r="I234" s="4" t="s">
        <v>172</v>
      </c>
      <c r="J234" s="4" t="s">
        <v>409</v>
      </c>
      <c r="K234" s="4" t="s">
        <v>111</v>
      </c>
      <c r="L234" s="4" t="s">
        <v>112</v>
      </c>
      <c r="M234" s="4"/>
      <c r="N234" s="4"/>
      <c r="O234" s="4"/>
      <c r="P234" s="4"/>
      <c r="Q234" s="4"/>
      <c r="R234" s="4"/>
      <c r="S234" s="13" t="n">
        <v>0</v>
      </c>
      <c r="T234" s="4" t="s">
        <v>173</v>
      </c>
      <c r="U234" s="14" t="n">
        <f aca="false">IF(OR($S234="",PARAMETROS!$B$4=""),"",$S234*PARAMETROS!$B$4)</f>
        <v>0</v>
      </c>
      <c r="V234" s="13" t="n">
        <v>0</v>
      </c>
      <c r="W234" s="4"/>
      <c r="X234" s="4"/>
      <c r="Y234" s="4"/>
      <c r="Z234" s="4"/>
      <c r="AA234" s="4"/>
      <c r="AB234" s="4"/>
      <c r="AC234" s="4"/>
      <c r="AD234" s="4"/>
      <c r="AE234" s="4"/>
      <c r="AF234" s="4"/>
      <c r="AG234" s="4"/>
      <c r="AH234" s="4"/>
      <c r="AI234" s="4"/>
      <c r="AJ234" s="4"/>
      <c r="AK234" s="4"/>
      <c r="AL234" s="4" t="s">
        <v>174</v>
      </c>
      <c r="AM234" s="4" t="s">
        <v>190</v>
      </c>
    </row>
    <row r="235" customFormat="false" ht="23.85" hidden="false" customHeight="false" outlineLevel="0" collapsed="false">
      <c r="A235" s="4" t="s">
        <v>167</v>
      </c>
      <c r="B235" s="4" t="s">
        <v>410</v>
      </c>
      <c r="C235" s="4" t="s">
        <v>410</v>
      </c>
      <c r="D235" s="12" t="n">
        <v>2018</v>
      </c>
      <c r="E235" s="4"/>
      <c r="F235" s="4" t="s">
        <v>169</v>
      </c>
      <c r="G235" s="4" t="s">
        <v>170</v>
      </c>
      <c r="H235" s="4" t="s">
        <v>171</v>
      </c>
      <c r="I235" s="4" t="s">
        <v>172</v>
      </c>
      <c r="J235" s="4" t="s">
        <v>410</v>
      </c>
      <c r="K235" s="4" t="s">
        <v>111</v>
      </c>
      <c r="L235" s="4" t="s">
        <v>112</v>
      </c>
      <c r="M235" s="4"/>
      <c r="N235" s="4"/>
      <c r="O235" s="4"/>
      <c r="P235" s="4"/>
      <c r="Q235" s="4"/>
      <c r="R235" s="4"/>
      <c r="S235" s="13" t="n">
        <v>0</v>
      </c>
      <c r="T235" s="4" t="s">
        <v>173</v>
      </c>
      <c r="U235" s="14" t="n">
        <f aca="false">IF(OR($S235="",PARAMETROS!$B$4=""),"",$S235*PARAMETROS!$B$4)</f>
        <v>0</v>
      </c>
      <c r="V235" s="13" t="n">
        <v>0</v>
      </c>
      <c r="W235" s="4"/>
      <c r="X235" s="4"/>
      <c r="Y235" s="4"/>
      <c r="Z235" s="4"/>
      <c r="AA235" s="4"/>
      <c r="AB235" s="4"/>
      <c r="AC235" s="4"/>
      <c r="AD235" s="4"/>
      <c r="AE235" s="4"/>
      <c r="AF235" s="4"/>
      <c r="AG235" s="4"/>
      <c r="AH235" s="4"/>
      <c r="AI235" s="4"/>
      <c r="AJ235" s="4"/>
      <c r="AK235" s="4"/>
      <c r="AL235" s="4" t="s">
        <v>174</v>
      </c>
      <c r="AM235" s="4" t="s">
        <v>190</v>
      </c>
    </row>
    <row r="236" customFormat="false" ht="23.85" hidden="false" customHeight="false" outlineLevel="0" collapsed="false">
      <c r="A236" s="4" t="s">
        <v>167</v>
      </c>
      <c r="B236" s="4" t="s">
        <v>411</v>
      </c>
      <c r="C236" s="4" t="s">
        <v>411</v>
      </c>
      <c r="D236" s="12" t="n">
        <v>2018</v>
      </c>
      <c r="E236" s="4"/>
      <c r="F236" s="4" t="s">
        <v>169</v>
      </c>
      <c r="G236" s="4" t="s">
        <v>170</v>
      </c>
      <c r="H236" s="4" t="s">
        <v>171</v>
      </c>
      <c r="I236" s="4" t="s">
        <v>172</v>
      </c>
      <c r="J236" s="4" t="s">
        <v>411</v>
      </c>
      <c r="K236" s="4" t="s">
        <v>111</v>
      </c>
      <c r="L236" s="4" t="s">
        <v>112</v>
      </c>
      <c r="M236" s="4"/>
      <c r="N236" s="4"/>
      <c r="O236" s="4"/>
      <c r="P236" s="4"/>
      <c r="Q236" s="4"/>
      <c r="R236" s="4"/>
      <c r="S236" s="13" t="n">
        <v>0</v>
      </c>
      <c r="T236" s="4" t="s">
        <v>173</v>
      </c>
      <c r="U236" s="14" t="n">
        <f aca="false">IF(OR($S236="",PARAMETROS!$B$4=""),"",$S236*PARAMETROS!$B$4)</f>
        <v>0</v>
      </c>
      <c r="V236" s="13" t="n">
        <v>0</v>
      </c>
      <c r="W236" s="4"/>
      <c r="X236" s="4"/>
      <c r="Y236" s="4"/>
      <c r="Z236" s="4"/>
      <c r="AA236" s="4"/>
      <c r="AB236" s="4"/>
      <c r="AC236" s="4"/>
      <c r="AD236" s="4"/>
      <c r="AE236" s="4"/>
      <c r="AF236" s="4"/>
      <c r="AG236" s="4"/>
      <c r="AH236" s="4"/>
      <c r="AI236" s="4"/>
      <c r="AJ236" s="4"/>
      <c r="AK236" s="4"/>
      <c r="AL236" s="4" t="s">
        <v>174</v>
      </c>
      <c r="AM236" s="4" t="s">
        <v>190</v>
      </c>
    </row>
    <row r="237" customFormat="false" ht="23.85" hidden="false" customHeight="false" outlineLevel="0" collapsed="false">
      <c r="A237" s="4" t="s">
        <v>167</v>
      </c>
      <c r="B237" s="4" t="s">
        <v>412</v>
      </c>
      <c r="C237" s="4" t="s">
        <v>412</v>
      </c>
      <c r="D237" s="12" t="n">
        <v>2018</v>
      </c>
      <c r="E237" s="4"/>
      <c r="F237" s="4" t="s">
        <v>169</v>
      </c>
      <c r="G237" s="4" t="s">
        <v>170</v>
      </c>
      <c r="H237" s="4" t="s">
        <v>171</v>
      </c>
      <c r="I237" s="4" t="s">
        <v>172</v>
      </c>
      <c r="J237" s="4" t="s">
        <v>412</v>
      </c>
      <c r="K237" s="4" t="s">
        <v>111</v>
      </c>
      <c r="L237" s="4" t="s">
        <v>112</v>
      </c>
      <c r="M237" s="4"/>
      <c r="N237" s="4"/>
      <c r="O237" s="4"/>
      <c r="P237" s="4"/>
      <c r="Q237" s="4"/>
      <c r="R237" s="4"/>
      <c r="S237" s="13" t="n">
        <v>0</v>
      </c>
      <c r="T237" s="4" t="s">
        <v>173</v>
      </c>
      <c r="U237" s="14" t="n">
        <f aca="false">IF(OR($S237="",PARAMETROS!$B$4=""),"",$S237*PARAMETROS!$B$4)</f>
        <v>0</v>
      </c>
      <c r="V237" s="13" t="n">
        <v>0</v>
      </c>
      <c r="W237" s="4"/>
      <c r="X237" s="4"/>
      <c r="Y237" s="4"/>
      <c r="Z237" s="4"/>
      <c r="AA237" s="4"/>
      <c r="AB237" s="4"/>
      <c r="AC237" s="4"/>
      <c r="AD237" s="4"/>
      <c r="AE237" s="4"/>
      <c r="AF237" s="4"/>
      <c r="AG237" s="4"/>
      <c r="AH237" s="4"/>
      <c r="AI237" s="4"/>
      <c r="AJ237" s="4"/>
      <c r="AK237" s="4"/>
      <c r="AL237" s="4" t="s">
        <v>174</v>
      </c>
      <c r="AM237" s="4" t="s">
        <v>190</v>
      </c>
    </row>
    <row r="238" customFormat="false" ht="23.85" hidden="false" customHeight="false" outlineLevel="0" collapsed="false">
      <c r="A238" s="4" t="s">
        <v>167</v>
      </c>
      <c r="B238" s="4" t="s">
        <v>413</v>
      </c>
      <c r="C238" s="4" t="s">
        <v>413</v>
      </c>
      <c r="D238" s="12" t="n">
        <v>2018</v>
      </c>
      <c r="E238" s="4"/>
      <c r="F238" s="4" t="s">
        <v>169</v>
      </c>
      <c r="G238" s="4" t="s">
        <v>170</v>
      </c>
      <c r="H238" s="4" t="s">
        <v>171</v>
      </c>
      <c r="I238" s="4" t="s">
        <v>172</v>
      </c>
      <c r="J238" s="4" t="s">
        <v>413</v>
      </c>
      <c r="K238" s="4" t="s">
        <v>111</v>
      </c>
      <c r="L238" s="4" t="s">
        <v>112</v>
      </c>
      <c r="M238" s="4"/>
      <c r="N238" s="4"/>
      <c r="O238" s="4"/>
      <c r="P238" s="4"/>
      <c r="Q238" s="4"/>
      <c r="R238" s="4"/>
      <c r="S238" s="13" t="n">
        <v>0</v>
      </c>
      <c r="T238" s="4" t="s">
        <v>173</v>
      </c>
      <c r="U238" s="14" t="n">
        <f aca="false">IF(OR($S238="",PARAMETROS!$B$4=""),"",$S238*PARAMETROS!$B$4)</f>
        <v>0</v>
      </c>
      <c r="V238" s="13" t="n">
        <v>0</v>
      </c>
      <c r="W238" s="4"/>
      <c r="X238" s="4"/>
      <c r="Y238" s="4"/>
      <c r="Z238" s="4"/>
      <c r="AA238" s="4"/>
      <c r="AB238" s="4"/>
      <c r="AC238" s="4"/>
      <c r="AD238" s="4"/>
      <c r="AE238" s="4"/>
      <c r="AF238" s="4"/>
      <c r="AG238" s="4"/>
      <c r="AH238" s="4"/>
      <c r="AI238" s="4"/>
      <c r="AJ238" s="4"/>
      <c r="AK238" s="4"/>
      <c r="AL238" s="4" t="s">
        <v>174</v>
      </c>
      <c r="AM238" s="4" t="s">
        <v>190</v>
      </c>
    </row>
    <row r="239" customFormat="false" ht="23.85" hidden="false" customHeight="false" outlineLevel="0" collapsed="false">
      <c r="A239" s="4" t="s">
        <v>167</v>
      </c>
      <c r="B239" s="4" t="s">
        <v>414</v>
      </c>
      <c r="C239" s="4" t="s">
        <v>414</v>
      </c>
      <c r="D239" s="12" t="n">
        <v>2018</v>
      </c>
      <c r="E239" s="4"/>
      <c r="F239" s="4" t="s">
        <v>169</v>
      </c>
      <c r="G239" s="4" t="s">
        <v>170</v>
      </c>
      <c r="H239" s="4" t="s">
        <v>171</v>
      </c>
      <c r="I239" s="4" t="s">
        <v>172</v>
      </c>
      <c r="J239" s="4" t="s">
        <v>414</v>
      </c>
      <c r="K239" s="4" t="s">
        <v>111</v>
      </c>
      <c r="L239" s="4" t="s">
        <v>112</v>
      </c>
      <c r="M239" s="4"/>
      <c r="N239" s="4"/>
      <c r="O239" s="4"/>
      <c r="P239" s="4"/>
      <c r="Q239" s="4"/>
      <c r="R239" s="4"/>
      <c r="S239" s="13" t="n">
        <v>0</v>
      </c>
      <c r="T239" s="4" t="s">
        <v>173</v>
      </c>
      <c r="U239" s="14" t="n">
        <f aca="false">IF(OR($S239="",PARAMETROS!$B$4=""),"",$S239*PARAMETROS!$B$4)</f>
        <v>0</v>
      </c>
      <c r="V239" s="13" t="n">
        <v>0</v>
      </c>
      <c r="W239" s="4"/>
      <c r="X239" s="4"/>
      <c r="Y239" s="4"/>
      <c r="Z239" s="4"/>
      <c r="AA239" s="4"/>
      <c r="AB239" s="4"/>
      <c r="AC239" s="4"/>
      <c r="AD239" s="4"/>
      <c r="AE239" s="4"/>
      <c r="AF239" s="4"/>
      <c r="AG239" s="4"/>
      <c r="AH239" s="4"/>
      <c r="AI239" s="4"/>
      <c r="AJ239" s="4"/>
      <c r="AK239" s="4"/>
      <c r="AL239" s="4" t="s">
        <v>174</v>
      </c>
      <c r="AM239" s="4" t="s">
        <v>190</v>
      </c>
    </row>
    <row r="240" customFormat="false" ht="23.85" hidden="false" customHeight="false" outlineLevel="0" collapsed="false">
      <c r="A240" s="4" t="s">
        <v>167</v>
      </c>
      <c r="B240" s="4" t="s">
        <v>415</v>
      </c>
      <c r="C240" s="4" t="s">
        <v>415</v>
      </c>
      <c r="D240" s="12" t="n">
        <v>2019</v>
      </c>
      <c r="E240" s="4"/>
      <c r="F240" s="4" t="s">
        <v>169</v>
      </c>
      <c r="G240" s="4" t="s">
        <v>170</v>
      </c>
      <c r="H240" s="4" t="s">
        <v>171</v>
      </c>
      <c r="I240" s="4" t="s">
        <v>172</v>
      </c>
      <c r="J240" s="4" t="s">
        <v>415</v>
      </c>
      <c r="K240" s="4" t="s">
        <v>91</v>
      </c>
      <c r="L240" s="4" t="s">
        <v>92</v>
      </c>
      <c r="M240" s="4"/>
      <c r="N240" s="4"/>
      <c r="O240" s="4"/>
      <c r="P240" s="4"/>
      <c r="Q240" s="4"/>
      <c r="R240" s="4"/>
      <c r="S240" s="13" t="n">
        <v>9132.95</v>
      </c>
      <c r="T240" s="4" t="s">
        <v>173</v>
      </c>
      <c r="U240" s="14" t="n">
        <f aca="false">IF(OR($S240="",PARAMETROS!$B$4=""),"",$S240*PARAMETROS!$B$4)</f>
        <v>53062.4395</v>
      </c>
      <c r="V240" s="13" t="n">
        <v>0</v>
      </c>
      <c r="W240" s="4"/>
      <c r="X240" s="4"/>
      <c r="Y240" s="4"/>
      <c r="Z240" s="4"/>
      <c r="AA240" s="4"/>
      <c r="AB240" s="4"/>
      <c r="AC240" s="4"/>
      <c r="AD240" s="4"/>
      <c r="AE240" s="4"/>
      <c r="AF240" s="4"/>
      <c r="AG240" s="4"/>
      <c r="AH240" s="4"/>
      <c r="AI240" s="4"/>
      <c r="AJ240" s="4"/>
      <c r="AK240" s="4"/>
      <c r="AL240" s="4" t="s">
        <v>174</v>
      </c>
      <c r="AM240" s="4" t="s">
        <v>175</v>
      </c>
    </row>
    <row r="241" customFormat="false" ht="23.85" hidden="false" customHeight="false" outlineLevel="0" collapsed="false">
      <c r="A241" s="4" t="s">
        <v>167</v>
      </c>
      <c r="B241" s="4" t="s">
        <v>416</v>
      </c>
      <c r="C241" s="4" t="s">
        <v>416</v>
      </c>
      <c r="D241" s="12" t="n">
        <v>2019</v>
      </c>
      <c r="E241" s="4"/>
      <c r="F241" s="4" t="s">
        <v>169</v>
      </c>
      <c r="G241" s="4" t="s">
        <v>170</v>
      </c>
      <c r="H241" s="4" t="s">
        <v>171</v>
      </c>
      <c r="I241" s="4" t="s">
        <v>172</v>
      </c>
      <c r="J241" s="4" t="s">
        <v>416</v>
      </c>
      <c r="K241" s="4" t="s">
        <v>91</v>
      </c>
      <c r="L241" s="4" t="s">
        <v>92</v>
      </c>
      <c r="M241" s="4"/>
      <c r="N241" s="4"/>
      <c r="O241" s="4"/>
      <c r="P241" s="4"/>
      <c r="Q241" s="4"/>
      <c r="R241" s="4"/>
      <c r="S241" s="13" t="n">
        <v>0</v>
      </c>
      <c r="T241" s="4" t="s">
        <v>173</v>
      </c>
      <c r="U241" s="14" t="n">
        <f aca="false">IF(OR($S241="",PARAMETROS!$B$4=""),"",$S241*PARAMETROS!$B$4)</f>
        <v>0</v>
      </c>
      <c r="V241" s="13" t="n">
        <v>0</v>
      </c>
      <c r="W241" s="4"/>
      <c r="X241" s="4"/>
      <c r="Y241" s="4"/>
      <c r="Z241" s="4"/>
      <c r="AA241" s="4"/>
      <c r="AB241" s="4"/>
      <c r="AC241" s="4"/>
      <c r="AD241" s="4"/>
      <c r="AE241" s="4"/>
      <c r="AF241" s="4"/>
      <c r="AG241" s="4"/>
      <c r="AH241" s="4"/>
      <c r="AI241" s="4"/>
      <c r="AJ241" s="4"/>
      <c r="AK241" s="4"/>
      <c r="AL241" s="4" t="s">
        <v>174</v>
      </c>
      <c r="AM241" s="4" t="s">
        <v>175</v>
      </c>
    </row>
    <row r="242" customFormat="false" ht="23.85" hidden="false" customHeight="false" outlineLevel="0" collapsed="false">
      <c r="A242" s="4" t="s">
        <v>167</v>
      </c>
      <c r="B242" s="4" t="s">
        <v>417</v>
      </c>
      <c r="C242" s="4" t="s">
        <v>417</v>
      </c>
      <c r="D242" s="12" t="n">
        <v>2019</v>
      </c>
      <c r="E242" s="4"/>
      <c r="F242" s="4" t="s">
        <v>169</v>
      </c>
      <c r="G242" s="4" t="s">
        <v>170</v>
      </c>
      <c r="H242" s="4" t="s">
        <v>171</v>
      </c>
      <c r="I242" s="4" t="s">
        <v>172</v>
      </c>
      <c r="J242" s="4" t="s">
        <v>417</v>
      </c>
      <c r="K242" s="4" t="s">
        <v>91</v>
      </c>
      <c r="L242" s="4" t="s">
        <v>92</v>
      </c>
      <c r="M242" s="4"/>
      <c r="N242" s="4"/>
      <c r="O242" s="4"/>
      <c r="P242" s="4"/>
      <c r="Q242" s="4"/>
      <c r="R242" s="4"/>
      <c r="S242" s="13" t="n">
        <v>0</v>
      </c>
      <c r="T242" s="4" t="s">
        <v>173</v>
      </c>
      <c r="U242" s="14" t="n">
        <f aca="false">IF(OR($S242="",PARAMETROS!$B$4=""),"",$S242*PARAMETROS!$B$4)</f>
        <v>0</v>
      </c>
      <c r="V242" s="13" t="n">
        <v>0</v>
      </c>
      <c r="W242" s="4"/>
      <c r="X242" s="4"/>
      <c r="Y242" s="4"/>
      <c r="Z242" s="4"/>
      <c r="AA242" s="4"/>
      <c r="AB242" s="4"/>
      <c r="AC242" s="4"/>
      <c r="AD242" s="4"/>
      <c r="AE242" s="4"/>
      <c r="AF242" s="4"/>
      <c r="AG242" s="4"/>
      <c r="AH242" s="4"/>
      <c r="AI242" s="4"/>
      <c r="AJ242" s="4"/>
      <c r="AK242" s="4"/>
      <c r="AL242" s="4" t="s">
        <v>174</v>
      </c>
      <c r="AM242" s="4" t="s">
        <v>175</v>
      </c>
    </row>
    <row r="243" customFormat="false" ht="23.85" hidden="false" customHeight="false" outlineLevel="0" collapsed="false">
      <c r="A243" s="4" t="s">
        <v>167</v>
      </c>
      <c r="B243" s="4" t="s">
        <v>418</v>
      </c>
      <c r="C243" s="4" t="s">
        <v>418</v>
      </c>
      <c r="D243" s="12" t="n">
        <v>2019</v>
      </c>
      <c r="E243" s="4"/>
      <c r="F243" s="4" t="s">
        <v>169</v>
      </c>
      <c r="G243" s="4" t="s">
        <v>170</v>
      </c>
      <c r="H243" s="4" t="s">
        <v>171</v>
      </c>
      <c r="I243" s="4" t="s">
        <v>172</v>
      </c>
      <c r="J243" s="4" t="s">
        <v>418</v>
      </c>
      <c r="K243" s="4" t="s">
        <v>91</v>
      </c>
      <c r="L243" s="4" t="s">
        <v>92</v>
      </c>
      <c r="M243" s="4"/>
      <c r="N243" s="4"/>
      <c r="O243" s="4"/>
      <c r="P243" s="4"/>
      <c r="Q243" s="4"/>
      <c r="R243" s="4"/>
      <c r="S243" s="13" t="n">
        <v>0</v>
      </c>
      <c r="T243" s="4" t="s">
        <v>173</v>
      </c>
      <c r="U243" s="14" t="n">
        <f aca="false">IF(OR($S243="",PARAMETROS!$B$4=""),"",$S243*PARAMETROS!$B$4)</f>
        <v>0</v>
      </c>
      <c r="V243" s="13" t="n">
        <v>0</v>
      </c>
      <c r="W243" s="4"/>
      <c r="X243" s="4"/>
      <c r="Y243" s="4"/>
      <c r="Z243" s="4"/>
      <c r="AA243" s="4"/>
      <c r="AB243" s="4"/>
      <c r="AC243" s="4"/>
      <c r="AD243" s="4"/>
      <c r="AE243" s="4"/>
      <c r="AF243" s="4"/>
      <c r="AG243" s="4"/>
      <c r="AH243" s="4"/>
      <c r="AI243" s="4"/>
      <c r="AJ243" s="4"/>
      <c r="AK243" s="4"/>
      <c r="AL243" s="4" t="s">
        <v>174</v>
      </c>
      <c r="AM243" s="4" t="s">
        <v>175</v>
      </c>
    </row>
    <row r="244" customFormat="false" ht="23.85" hidden="false" customHeight="false" outlineLevel="0" collapsed="false">
      <c r="A244" s="4" t="s">
        <v>167</v>
      </c>
      <c r="B244" s="4" t="s">
        <v>419</v>
      </c>
      <c r="C244" s="4" t="s">
        <v>419</v>
      </c>
      <c r="D244" s="12" t="n">
        <v>2019</v>
      </c>
      <c r="E244" s="4"/>
      <c r="F244" s="4" t="s">
        <v>169</v>
      </c>
      <c r="G244" s="4" t="s">
        <v>170</v>
      </c>
      <c r="H244" s="4" t="s">
        <v>171</v>
      </c>
      <c r="I244" s="4" t="s">
        <v>172</v>
      </c>
      <c r="J244" s="4" t="s">
        <v>419</v>
      </c>
      <c r="K244" s="4" t="s">
        <v>91</v>
      </c>
      <c r="L244" s="4" t="s">
        <v>92</v>
      </c>
      <c r="M244" s="4"/>
      <c r="N244" s="4"/>
      <c r="O244" s="4"/>
      <c r="P244" s="4"/>
      <c r="Q244" s="4"/>
      <c r="R244" s="4"/>
      <c r="S244" s="13" t="n">
        <v>0</v>
      </c>
      <c r="T244" s="4" t="s">
        <v>173</v>
      </c>
      <c r="U244" s="14" t="n">
        <f aca="false">IF(OR($S244="",PARAMETROS!$B$4=""),"",$S244*PARAMETROS!$B$4)</f>
        <v>0</v>
      </c>
      <c r="V244" s="13" t="n">
        <v>0</v>
      </c>
      <c r="W244" s="4"/>
      <c r="X244" s="4"/>
      <c r="Y244" s="4"/>
      <c r="Z244" s="4"/>
      <c r="AA244" s="4"/>
      <c r="AB244" s="4"/>
      <c r="AC244" s="4"/>
      <c r="AD244" s="4"/>
      <c r="AE244" s="4"/>
      <c r="AF244" s="4"/>
      <c r="AG244" s="4"/>
      <c r="AH244" s="4"/>
      <c r="AI244" s="4"/>
      <c r="AJ244" s="4"/>
      <c r="AK244" s="4"/>
      <c r="AL244" s="4" t="s">
        <v>174</v>
      </c>
      <c r="AM244" s="4" t="s">
        <v>175</v>
      </c>
    </row>
    <row r="245" customFormat="false" ht="23.85" hidden="false" customHeight="false" outlineLevel="0" collapsed="false">
      <c r="A245" s="4" t="s">
        <v>167</v>
      </c>
      <c r="B245" s="4" t="s">
        <v>420</v>
      </c>
      <c r="C245" s="4" t="s">
        <v>420</v>
      </c>
      <c r="D245" s="12" t="n">
        <v>2019</v>
      </c>
      <c r="E245" s="4"/>
      <c r="F245" s="4" t="s">
        <v>169</v>
      </c>
      <c r="G245" s="4" t="s">
        <v>170</v>
      </c>
      <c r="H245" s="4" t="s">
        <v>171</v>
      </c>
      <c r="I245" s="4" t="s">
        <v>172</v>
      </c>
      <c r="J245" s="4" t="s">
        <v>420</v>
      </c>
      <c r="K245" s="4" t="s">
        <v>91</v>
      </c>
      <c r="L245" s="4" t="s">
        <v>92</v>
      </c>
      <c r="M245" s="4"/>
      <c r="N245" s="4"/>
      <c r="O245" s="4"/>
      <c r="P245" s="4"/>
      <c r="Q245" s="4"/>
      <c r="R245" s="4"/>
      <c r="S245" s="13" t="n">
        <v>-8361</v>
      </c>
      <c r="T245" s="4" t="s">
        <v>173</v>
      </c>
      <c r="U245" s="14" t="n">
        <f aca="false">IF(OR($S245="",PARAMETROS!$B$4=""),"",$S245*PARAMETROS!$B$4)</f>
        <v>-48577.41</v>
      </c>
      <c r="V245" s="13" t="n">
        <v>0</v>
      </c>
      <c r="W245" s="4"/>
      <c r="X245" s="4"/>
      <c r="Y245" s="4"/>
      <c r="Z245" s="4"/>
      <c r="AA245" s="4"/>
      <c r="AB245" s="4"/>
      <c r="AC245" s="4"/>
      <c r="AD245" s="4"/>
      <c r="AE245" s="4"/>
      <c r="AF245" s="4"/>
      <c r="AG245" s="4"/>
      <c r="AH245" s="4"/>
      <c r="AI245" s="4"/>
      <c r="AJ245" s="4"/>
      <c r="AK245" s="4"/>
      <c r="AL245" s="4" t="s">
        <v>174</v>
      </c>
      <c r="AM245" s="4" t="s">
        <v>175</v>
      </c>
    </row>
    <row r="246" customFormat="false" ht="23.85" hidden="false" customHeight="false" outlineLevel="0" collapsed="false">
      <c r="A246" s="4" t="s">
        <v>167</v>
      </c>
      <c r="B246" s="4" t="s">
        <v>421</v>
      </c>
      <c r="C246" s="4" t="s">
        <v>421</v>
      </c>
      <c r="D246" s="12" t="n">
        <v>2019</v>
      </c>
      <c r="E246" s="4"/>
      <c r="F246" s="4" t="s">
        <v>169</v>
      </c>
      <c r="G246" s="4" t="s">
        <v>170</v>
      </c>
      <c r="H246" s="4" t="s">
        <v>171</v>
      </c>
      <c r="I246" s="4" t="s">
        <v>172</v>
      </c>
      <c r="J246" s="4" t="s">
        <v>421</v>
      </c>
      <c r="K246" s="4" t="s">
        <v>91</v>
      </c>
      <c r="L246" s="4" t="s">
        <v>92</v>
      </c>
      <c r="M246" s="4"/>
      <c r="N246" s="4"/>
      <c r="O246" s="4"/>
      <c r="P246" s="4"/>
      <c r="Q246" s="4"/>
      <c r="R246" s="4"/>
      <c r="S246" s="13" t="n">
        <v>-771.95</v>
      </c>
      <c r="T246" s="4" t="s">
        <v>173</v>
      </c>
      <c r="U246" s="14" t="n">
        <f aca="false">IF(OR($S246="",PARAMETROS!$B$4=""),"",$S246*PARAMETROS!$B$4)</f>
        <v>-4485.0295</v>
      </c>
      <c r="V246" s="13" t="n">
        <v>0</v>
      </c>
      <c r="W246" s="4"/>
      <c r="X246" s="4"/>
      <c r="Y246" s="4"/>
      <c r="Z246" s="4"/>
      <c r="AA246" s="4"/>
      <c r="AB246" s="4"/>
      <c r="AC246" s="4"/>
      <c r="AD246" s="4"/>
      <c r="AE246" s="4"/>
      <c r="AF246" s="4"/>
      <c r="AG246" s="4"/>
      <c r="AH246" s="4"/>
      <c r="AI246" s="4"/>
      <c r="AJ246" s="4"/>
      <c r="AK246" s="4"/>
      <c r="AL246" s="4" t="s">
        <v>174</v>
      </c>
      <c r="AM246" s="4" t="s">
        <v>175</v>
      </c>
    </row>
    <row r="247" customFormat="false" ht="23.85" hidden="false" customHeight="false" outlineLevel="0" collapsed="false">
      <c r="A247" s="4" t="s">
        <v>167</v>
      </c>
      <c r="B247" s="4" t="s">
        <v>422</v>
      </c>
      <c r="C247" s="4" t="s">
        <v>422</v>
      </c>
      <c r="D247" s="12" t="n">
        <v>2019</v>
      </c>
      <c r="E247" s="4"/>
      <c r="F247" s="4" t="s">
        <v>169</v>
      </c>
      <c r="G247" s="4" t="s">
        <v>170</v>
      </c>
      <c r="H247" s="4" t="s">
        <v>171</v>
      </c>
      <c r="I247" s="4" t="s">
        <v>172</v>
      </c>
      <c r="J247" s="4" t="s">
        <v>422</v>
      </c>
      <c r="K247" s="4" t="s">
        <v>91</v>
      </c>
      <c r="L247" s="4" t="s">
        <v>92</v>
      </c>
      <c r="M247" s="4"/>
      <c r="N247" s="4"/>
      <c r="O247" s="4"/>
      <c r="P247" s="4"/>
      <c r="Q247" s="4"/>
      <c r="R247" s="4"/>
      <c r="S247" s="13" t="n">
        <v>0</v>
      </c>
      <c r="T247" s="4" t="s">
        <v>173</v>
      </c>
      <c r="U247" s="14" t="n">
        <f aca="false">IF(OR($S247="",PARAMETROS!$B$4=""),"",$S247*PARAMETROS!$B$4)</f>
        <v>0</v>
      </c>
      <c r="V247" s="13" t="n">
        <v>0</v>
      </c>
      <c r="W247" s="4"/>
      <c r="X247" s="4"/>
      <c r="Y247" s="4"/>
      <c r="Z247" s="4"/>
      <c r="AA247" s="4"/>
      <c r="AB247" s="4"/>
      <c r="AC247" s="4"/>
      <c r="AD247" s="4"/>
      <c r="AE247" s="4"/>
      <c r="AF247" s="4"/>
      <c r="AG247" s="4"/>
      <c r="AH247" s="4"/>
      <c r="AI247" s="4"/>
      <c r="AJ247" s="4"/>
      <c r="AK247" s="4"/>
      <c r="AL247" s="4" t="s">
        <v>174</v>
      </c>
      <c r="AM247" s="4" t="s">
        <v>175</v>
      </c>
    </row>
    <row r="248" customFormat="false" ht="23.85" hidden="false" customHeight="false" outlineLevel="0" collapsed="false">
      <c r="A248" s="4" t="s">
        <v>167</v>
      </c>
      <c r="B248" s="4" t="s">
        <v>423</v>
      </c>
      <c r="C248" s="4" t="s">
        <v>423</v>
      </c>
      <c r="D248" s="12" t="n">
        <v>2019</v>
      </c>
      <c r="E248" s="4"/>
      <c r="F248" s="4" t="s">
        <v>169</v>
      </c>
      <c r="G248" s="4" t="s">
        <v>170</v>
      </c>
      <c r="H248" s="4" t="s">
        <v>171</v>
      </c>
      <c r="I248" s="4" t="s">
        <v>172</v>
      </c>
      <c r="J248" s="4" t="s">
        <v>423</v>
      </c>
      <c r="K248" s="4" t="s">
        <v>91</v>
      </c>
      <c r="L248" s="4" t="s">
        <v>92</v>
      </c>
      <c r="M248" s="4"/>
      <c r="N248" s="4"/>
      <c r="O248" s="4"/>
      <c r="P248" s="4"/>
      <c r="Q248" s="4"/>
      <c r="R248" s="4"/>
      <c r="S248" s="13" t="n">
        <v>0</v>
      </c>
      <c r="T248" s="4" t="s">
        <v>173</v>
      </c>
      <c r="U248" s="14" t="n">
        <f aca="false">IF(OR($S248="",PARAMETROS!$B$4=""),"",$S248*PARAMETROS!$B$4)</f>
        <v>0</v>
      </c>
      <c r="V248" s="13" t="n">
        <v>0</v>
      </c>
      <c r="W248" s="4"/>
      <c r="X248" s="4"/>
      <c r="Y248" s="4"/>
      <c r="Z248" s="4"/>
      <c r="AA248" s="4"/>
      <c r="AB248" s="4"/>
      <c r="AC248" s="4"/>
      <c r="AD248" s="4"/>
      <c r="AE248" s="4"/>
      <c r="AF248" s="4"/>
      <c r="AG248" s="4"/>
      <c r="AH248" s="4"/>
      <c r="AI248" s="4"/>
      <c r="AJ248" s="4"/>
      <c r="AK248" s="4"/>
      <c r="AL248" s="4" t="s">
        <v>174</v>
      </c>
      <c r="AM248" s="4" t="s">
        <v>175</v>
      </c>
    </row>
    <row r="249" customFormat="false" ht="23.85" hidden="false" customHeight="false" outlineLevel="0" collapsed="false">
      <c r="A249" s="4" t="s">
        <v>167</v>
      </c>
      <c r="B249" s="4" t="s">
        <v>424</v>
      </c>
      <c r="C249" s="4" t="s">
        <v>424</v>
      </c>
      <c r="D249" s="12" t="n">
        <v>2019</v>
      </c>
      <c r="E249" s="4"/>
      <c r="F249" s="4" t="s">
        <v>169</v>
      </c>
      <c r="G249" s="4" t="s">
        <v>170</v>
      </c>
      <c r="H249" s="4" t="s">
        <v>171</v>
      </c>
      <c r="I249" s="4" t="s">
        <v>172</v>
      </c>
      <c r="J249" s="4" t="s">
        <v>424</v>
      </c>
      <c r="K249" s="4" t="s">
        <v>91</v>
      </c>
      <c r="L249" s="4" t="s">
        <v>92</v>
      </c>
      <c r="M249" s="4"/>
      <c r="N249" s="4"/>
      <c r="O249" s="4"/>
      <c r="P249" s="4"/>
      <c r="Q249" s="4"/>
      <c r="R249" s="4"/>
      <c r="S249" s="13" t="n">
        <v>0</v>
      </c>
      <c r="T249" s="4" t="s">
        <v>173</v>
      </c>
      <c r="U249" s="14" t="n">
        <f aca="false">IF(OR($S249="",PARAMETROS!$B$4=""),"",$S249*PARAMETROS!$B$4)</f>
        <v>0</v>
      </c>
      <c r="V249" s="13" t="n">
        <v>0</v>
      </c>
      <c r="W249" s="4"/>
      <c r="X249" s="4"/>
      <c r="Y249" s="4"/>
      <c r="Z249" s="4"/>
      <c r="AA249" s="4"/>
      <c r="AB249" s="4"/>
      <c r="AC249" s="4"/>
      <c r="AD249" s="4"/>
      <c r="AE249" s="4"/>
      <c r="AF249" s="4"/>
      <c r="AG249" s="4"/>
      <c r="AH249" s="4"/>
      <c r="AI249" s="4"/>
      <c r="AJ249" s="4"/>
      <c r="AK249" s="4"/>
      <c r="AL249" s="4" t="s">
        <v>174</v>
      </c>
      <c r="AM249" s="4" t="s">
        <v>175</v>
      </c>
    </row>
    <row r="250" customFormat="false" ht="23.85" hidden="false" customHeight="false" outlineLevel="0" collapsed="false">
      <c r="A250" s="4" t="s">
        <v>167</v>
      </c>
      <c r="B250" s="4" t="s">
        <v>425</v>
      </c>
      <c r="C250" s="4" t="s">
        <v>425</v>
      </c>
      <c r="D250" s="12" t="n">
        <v>2019</v>
      </c>
      <c r="E250" s="4"/>
      <c r="F250" s="4" t="s">
        <v>169</v>
      </c>
      <c r="G250" s="4" t="s">
        <v>170</v>
      </c>
      <c r="H250" s="4" t="s">
        <v>171</v>
      </c>
      <c r="I250" s="4" t="s">
        <v>172</v>
      </c>
      <c r="J250" s="4" t="s">
        <v>425</v>
      </c>
      <c r="K250" s="4" t="s">
        <v>91</v>
      </c>
      <c r="L250" s="4" t="s">
        <v>92</v>
      </c>
      <c r="M250" s="4"/>
      <c r="N250" s="4"/>
      <c r="O250" s="4"/>
      <c r="P250" s="4"/>
      <c r="Q250" s="4"/>
      <c r="R250" s="4"/>
      <c r="S250" s="13" t="n">
        <v>0</v>
      </c>
      <c r="T250" s="4" t="s">
        <v>173</v>
      </c>
      <c r="U250" s="14" t="n">
        <f aca="false">IF(OR($S250="",PARAMETROS!$B$4=""),"",$S250*PARAMETROS!$B$4)</f>
        <v>0</v>
      </c>
      <c r="V250" s="13" t="n">
        <v>0</v>
      </c>
      <c r="W250" s="4"/>
      <c r="X250" s="4"/>
      <c r="Y250" s="4"/>
      <c r="Z250" s="4"/>
      <c r="AA250" s="4"/>
      <c r="AB250" s="4"/>
      <c r="AC250" s="4"/>
      <c r="AD250" s="4"/>
      <c r="AE250" s="4"/>
      <c r="AF250" s="4"/>
      <c r="AG250" s="4"/>
      <c r="AH250" s="4"/>
      <c r="AI250" s="4"/>
      <c r="AJ250" s="4"/>
      <c r="AK250" s="4"/>
      <c r="AL250" s="4" t="s">
        <v>174</v>
      </c>
      <c r="AM250" s="4" t="s">
        <v>175</v>
      </c>
    </row>
    <row r="251" customFormat="false" ht="23.85" hidden="false" customHeight="false" outlineLevel="0" collapsed="false">
      <c r="A251" s="4" t="s">
        <v>167</v>
      </c>
      <c r="B251" s="4" t="s">
        <v>426</v>
      </c>
      <c r="C251" s="4" t="s">
        <v>426</v>
      </c>
      <c r="D251" s="12" t="n">
        <v>2019</v>
      </c>
      <c r="E251" s="4"/>
      <c r="F251" s="4" t="s">
        <v>169</v>
      </c>
      <c r="G251" s="4" t="s">
        <v>170</v>
      </c>
      <c r="H251" s="4" t="s">
        <v>171</v>
      </c>
      <c r="I251" s="4" t="s">
        <v>172</v>
      </c>
      <c r="J251" s="4" t="s">
        <v>426</v>
      </c>
      <c r="K251" s="4" t="s">
        <v>91</v>
      </c>
      <c r="L251" s="4" t="s">
        <v>92</v>
      </c>
      <c r="M251" s="4"/>
      <c r="N251" s="4"/>
      <c r="O251" s="4"/>
      <c r="P251" s="4"/>
      <c r="Q251" s="4"/>
      <c r="R251" s="4"/>
      <c r="S251" s="13" t="n">
        <v>0</v>
      </c>
      <c r="T251" s="4" t="s">
        <v>173</v>
      </c>
      <c r="U251" s="14" t="n">
        <f aca="false">IF(OR($S251="",PARAMETROS!$B$4=""),"",$S251*PARAMETROS!$B$4)</f>
        <v>0</v>
      </c>
      <c r="V251" s="13" t="n">
        <v>0</v>
      </c>
      <c r="W251" s="4"/>
      <c r="X251" s="4"/>
      <c r="Y251" s="4"/>
      <c r="Z251" s="4"/>
      <c r="AA251" s="4"/>
      <c r="AB251" s="4"/>
      <c r="AC251" s="4"/>
      <c r="AD251" s="4"/>
      <c r="AE251" s="4"/>
      <c r="AF251" s="4"/>
      <c r="AG251" s="4"/>
      <c r="AH251" s="4"/>
      <c r="AI251" s="4"/>
      <c r="AJ251" s="4"/>
      <c r="AK251" s="4"/>
      <c r="AL251" s="4" t="s">
        <v>174</v>
      </c>
      <c r="AM251" s="4" t="s">
        <v>175</v>
      </c>
    </row>
    <row r="252" customFormat="false" ht="23.85" hidden="false" customHeight="false" outlineLevel="0" collapsed="false">
      <c r="A252" s="4" t="s">
        <v>167</v>
      </c>
      <c r="B252" s="4" t="s">
        <v>427</v>
      </c>
      <c r="C252" s="4" t="s">
        <v>427</v>
      </c>
      <c r="D252" s="12" t="n">
        <v>2019</v>
      </c>
      <c r="E252" s="4"/>
      <c r="F252" s="4" t="s">
        <v>169</v>
      </c>
      <c r="G252" s="4" t="s">
        <v>170</v>
      </c>
      <c r="H252" s="4" t="s">
        <v>171</v>
      </c>
      <c r="I252" s="4" t="s">
        <v>172</v>
      </c>
      <c r="J252" s="4" t="s">
        <v>427</v>
      </c>
      <c r="K252" s="4" t="s">
        <v>91</v>
      </c>
      <c r="L252" s="4" t="s">
        <v>92</v>
      </c>
      <c r="M252" s="4"/>
      <c r="N252" s="4"/>
      <c r="O252" s="4"/>
      <c r="P252" s="4"/>
      <c r="Q252" s="4"/>
      <c r="R252" s="4"/>
      <c r="S252" s="13" t="n">
        <v>0</v>
      </c>
      <c r="T252" s="4" t="s">
        <v>173</v>
      </c>
      <c r="U252" s="14" t="n">
        <f aca="false">IF(OR($S252="",PARAMETROS!$B$4=""),"",$S252*PARAMETROS!$B$4)</f>
        <v>0</v>
      </c>
      <c r="V252" s="13" t="n">
        <v>0</v>
      </c>
      <c r="W252" s="4"/>
      <c r="X252" s="4"/>
      <c r="Y252" s="4"/>
      <c r="Z252" s="4"/>
      <c r="AA252" s="4"/>
      <c r="AB252" s="4"/>
      <c r="AC252" s="4"/>
      <c r="AD252" s="4"/>
      <c r="AE252" s="4"/>
      <c r="AF252" s="4"/>
      <c r="AG252" s="4"/>
      <c r="AH252" s="4"/>
      <c r="AI252" s="4"/>
      <c r="AJ252" s="4"/>
      <c r="AK252" s="4"/>
      <c r="AL252" s="4" t="s">
        <v>174</v>
      </c>
      <c r="AM252" s="4" t="s">
        <v>175</v>
      </c>
    </row>
    <row r="253" customFormat="false" ht="23.85" hidden="false" customHeight="false" outlineLevel="0" collapsed="false">
      <c r="A253" s="4" t="s">
        <v>167</v>
      </c>
      <c r="B253" s="4" t="s">
        <v>428</v>
      </c>
      <c r="C253" s="4" t="s">
        <v>428</v>
      </c>
      <c r="D253" s="12" t="n">
        <v>2019</v>
      </c>
      <c r="E253" s="4"/>
      <c r="F253" s="4" t="s">
        <v>169</v>
      </c>
      <c r="G253" s="4" t="s">
        <v>170</v>
      </c>
      <c r="H253" s="4" t="s">
        <v>171</v>
      </c>
      <c r="I253" s="4" t="s">
        <v>172</v>
      </c>
      <c r="J253" s="4" t="s">
        <v>428</v>
      </c>
      <c r="K253" s="4" t="s">
        <v>91</v>
      </c>
      <c r="L253" s="4" t="s">
        <v>92</v>
      </c>
      <c r="M253" s="4"/>
      <c r="N253" s="4"/>
      <c r="O253" s="4"/>
      <c r="P253" s="4"/>
      <c r="Q253" s="4"/>
      <c r="R253" s="4"/>
      <c r="S253" s="13" t="n">
        <v>0</v>
      </c>
      <c r="T253" s="4" t="s">
        <v>173</v>
      </c>
      <c r="U253" s="14" t="n">
        <f aca="false">IF(OR($S253="",PARAMETROS!$B$4=""),"",$S253*PARAMETROS!$B$4)</f>
        <v>0</v>
      </c>
      <c r="V253" s="13" t="n">
        <v>0</v>
      </c>
      <c r="W253" s="4"/>
      <c r="X253" s="4"/>
      <c r="Y253" s="4"/>
      <c r="Z253" s="4"/>
      <c r="AA253" s="4"/>
      <c r="AB253" s="4"/>
      <c r="AC253" s="4"/>
      <c r="AD253" s="4"/>
      <c r="AE253" s="4"/>
      <c r="AF253" s="4"/>
      <c r="AG253" s="4"/>
      <c r="AH253" s="4"/>
      <c r="AI253" s="4"/>
      <c r="AJ253" s="4"/>
      <c r="AK253" s="4"/>
      <c r="AL253" s="4" t="s">
        <v>174</v>
      </c>
      <c r="AM253" s="4" t="s">
        <v>175</v>
      </c>
    </row>
    <row r="254" customFormat="false" ht="23.85" hidden="false" customHeight="false" outlineLevel="0" collapsed="false">
      <c r="A254" s="4" t="s">
        <v>167</v>
      </c>
      <c r="B254" s="4" t="s">
        <v>429</v>
      </c>
      <c r="C254" s="4" t="s">
        <v>429</v>
      </c>
      <c r="D254" s="12" t="n">
        <v>2019</v>
      </c>
      <c r="E254" s="4"/>
      <c r="F254" s="4" t="s">
        <v>169</v>
      </c>
      <c r="G254" s="4" t="s">
        <v>170</v>
      </c>
      <c r="H254" s="4" t="s">
        <v>171</v>
      </c>
      <c r="I254" s="4" t="s">
        <v>172</v>
      </c>
      <c r="J254" s="4" t="s">
        <v>429</v>
      </c>
      <c r="K254" s="4" t="s">
        <v>93</v>
      </c>
      <c r="L254" s="4" t="s">
        <v>94</v>
      </c>
      <c r="M254" s="4"/>
      <c r="N254" s="4"/>
      <c r="O254" s="4"/>
      <c r="P254" s="4"/>
      <c r="Q254" s="4"/>
      <c r="R254" s="4"/>
      <c r="S254" s="13" t="n">
        <v>53.83</v>
      </c>
      <c r="T254" s="4" t="s">
        <v>173</v>
      </c>
      <c r="U254" s="14" t="n">
        <f aca="false">IF(OR($S254="",PARAMETROS!$B$4=""),"",$S254*PARAMETROS!$B$4)</f>
        <v>312.7523</v>
      </c>
      <c r="V254" s="13" t="n">
        <v>0</v>
      </c>
      <c r="W254" s="4"/>
      <c r="X254" s="4"/>
      <c r="Y254" s="4"/>
      <c r="Z254" s="4"/>
      <c r="AA254" s="4"/>
      <c r="AB254" s="4"/>
      <c r="AC254" s="4"/>
      <c r="AD254" s="4"/>
      <c r="AE254" s="4"/>
      <c r="AF254" s="4"/>
      <c r="AG254" s="4"/>
      <c r="AH254" s="4"/>
      <c r="AI254" s="4"/>
      <c r="AJ254" s="4"/>
      <c r="AK254" s="4"/>
      <c r="AL254" s="4" t="s">
        <v>174</v>
      </c>
      <c r="AM254" s="4" t="s">
        <v>190</v>
      </c>
    </row>
    <row r="255" customFormat="false" ht="23.85" hidden="false" customHeight="false" outlineLevel="0" collapsed="false">
      <c r="A255" s="4" t="s">
        <v>167</v>
      </c>
      <c r="B255" s="4" t="s">
        <v>430</v>
      </c>
      <c r="C255" s="4" t="s">
        <v>430</v>
      </c>
      <c r="D255" s="12" t="n">
        <v>2019</v>
      </c>
      <c r="E255" s="4"/>
      <c r="F255" s="4" t="s">
        <v>169</v>
      </c>
      <c r="G255" s="4" t="s">
        <v>170</v>
      </c>
      <c r="H255" s="4" t="s">
        <v>171</v>
      </c>
      <c r="I255" s="4" t="s">
        <v>172</v>
      </c>
      <c r="J255" s="4" t="s">
        <v>430</v>
      </c>
      <c r="K255" s="4" t="s">
        <v>93</v>
      </c>
      <c r="L255" s="4" t="s">
        <v>94</v>
      </c>
      <c r="M255" s="4"/>
      <c r="N255" s="4"/>
      <c r="O255" s="4"/>
      <c r="P255" s="4"/>
      <c r="Q255" s="4"/>
      <c r="R255" s="4"/>
      <c r="S255" s="13" t="n">
        <v>0</v>
      </c>
      <c r="T255" s="4" t="s">
        <v>173</v>
      </c>
      <c r="U255" s="14" t="n">
        <f aca="false">IF(OR($S255="",PARAMETROS!$B$4=""),"",$S255*PARAMETROS!$B$4)</f>
        <v>0</v>
      </c>
      <c r="V255" s="13" t="n">
        <v>0</v>
      </c>
      <c r="W255" s="4"/>
      <c r="X255" s="4"/>
      <c r="Y255" s="4"/>
      <c r="Z255" s="4"/>
      <c r="AA255" s="4"/>
      <c r="AB255" s="4"/>
      <c r="AC255" s="4"/>
      <c r="AD255" s="4"/>
      <c r="AE255" s="4"/>
      <c r="AF255" s="4"/>
      <c r="AG255" s="4"/>
      <c r="AH255" s="4"/>
      <c r="AI255" s="4"/>
      <c r="AJ255" s="4"/>
      <c r="AK255" s="4"/>
      <c r="AL255" s="4" t="s">
        <v>174</v>
      </c>
      <c r="AM255" s="4" t="s">
        <v>190</v>
      </c>
    </row>
    <row r="256" customFormat="false" ht="23.85" hidden="false" customHeight="false" outlineLevel="0" collapsed="false">
      <c r="A256" s="4" t="s">
        <v>167</v>
      </c>
      <c r="B256" s="4" t="s">
        <v>431</v>
      </c>
      <c r="C256" s="4" t="s">
        <v>431</v>
      </c>
      <c r="D256" s="12" t="n">
        <v>2019</v>
      </c>
      <c r="E256" s="4"/>
      <c r="F256" s="4" t="s">
        <v>169</v>
      </c>
      <c r="G256" s="4" t="s">
        <v>170</v>
      </c>
      <c r="H256" s="4" t="s">
        <v>171</v>
      </c>
      <c r="I256" s="4" t="s">
        <v>172</v>
      </c>
      <c r="J256" s="4" t="s">
        <v>431</v>
      </c>
      <c r="K256" s="4" t="s">
        <v>93</v>
      </c>
      <c r="L256" s="4" t="s">
        <v>94</v>
      </c>
      <c r="M256" s="4"/>
      <c r="N256" s="4"/>
      <c r="O256" s="4"/>
      <c r="P256" s="4"/>
      <c r="Q256" s="4"/>
      <c r="R256" s="4"/>
      <c r="S256" s="13" t="n">
        <v>0</v>
      </c>
      <c r="T256" s="4" t="s">
        <v>173</v>
      </c>
      <c r="U256" s="14" t="n">
        <f aca="false">IF(OR($S256="",PARAMETROS!$B$4=""),"",$S256*PARAMETROS!$B$4)</f>
        <v>0</v>
      </c>
      <c r="V256" s="13" t="n">
        <v>0</v>
      </c>
      <c r="W256" s="4"/>
      <c r="X256" s="4"/>
      <c r="Y256" s="4"/>
      <c r="Z256" s="4"/>
      <c r="AA256" s="4"/>
      <c r="AB256" s="4"/>
      <c r="AC256" s="4"/>
      <c r="AD256" s="4"/>
      <c r="AE256" s="4"/>
      <c r="AF256" s="4"/>
      <c r="AG256" s="4"/>
      <c r="AH256" s="4"/>
      <c r="AI256" s="4"/>
      <c r="AJ256" s="4"/>
      <c r="AK256" s="4"/>
      <c r="AL256" s="4" t="s">
        <v>174</v>
      </c>
      <c r="AM256" s="4" t="s">
        <v>190</v>
      </c>
    </row>
    <row r="257" customFormat="false" ht="23.85" hidden="false" customHeight="false" outlineLevel="0" collapsed="false">
      <c r="A257" s="4" t="s">
        <v>167</v>
      </c>
      <c r="B257" s="4" t="s">
        <v>432</v>
      </c>
      <c r="C257" s="4" t="s">
        <v>432</v>
      </c>
      <c r="D257" s="12" t="n">
        <v>2019</v>
      </c>
      <c r="E257" s="4"/>
      <c r="F257" s="4" t="s">
        <v>169</v>
      </c>
      <c r="G257" s="4" t="s">
        <v>170</v>
      </c>
      <c r="H257" s="4" t="s">
        <v>171</v>
      </c>
      <c r="I257" s="4" t="s">
        <v>172</v>
      </c>
      <c r="J257" s="4" t="s">
        <v>432</v>
      </c>
      <c r="K257" s="4" t="s">
        <v>93</v>
      </c>
      <c r="L257" s="4" t="s">
        <v>94</v>
      </c>
      <c r="M257" s="4"/>
      <c r="N257" s="4"/>
      <c r="O257" s="4"/>
      <c r="P257" s="4"/>
      <c r="Q257" s="4"/>
      <c r="R257" s="4"/>
      <c r="S257" s="13" t="n">
        <v>0</v>
      </c>
      <c r="T257" s="4" t="s">
        <v>173</v>
      </c>
      <c r="U257" s="14" t="n">
        <f aca="false">IF(OR($S257="",PARAMETROS!$B$4=""),"",$S257*PARAMETROS!$B$4)</f>
        <v>0</v>
      </c>
      <c r="V257" s="13" t="n">
        <v>0</v>
      </c>
      <c r="W257" s="4"/>
      <c r="X257" s="4"/>
      <c r="Y257" s="4"/>
      <c r="Z257" s="4"/>
      <c r="AA257" s="4"/>
      <c r="AB257" s="4"/>
      <c r="AC257" s="4"/>
      <c r="AD257" s="4"/>
      <c r="AE257" s="4"/>
      <c r="AF257" s="4"/>
      <c r="AG257" s="4"/>
      <c r="AH257" s="4"/>
      <c r="AI257" s="4"/>
      <c r="AJ257" s="4"/>
      <c r="AK257" s="4"/>
      <c r="AL257" s="4" t="s">
        <v>174</v>
      </c>
      <c r="AM257" s="4" t="s">
        <v>190</v>
      </c>
    </row>
    <row r="258" customFormat="false" ht="23.85" hidden="false" customHeight="false" outlineLevel="0" collapsed="false">
      <c r="A258" s="4" t="s">
        <v>167</v>
      </c>
      <c r="B258" s="4" t="s">
        <v>433</v>
      </c>
      <c r="C258" s="4" t="s">
        <v>433</v>
      </c>
      <c r="D258" s="12" t="n">
        <v>2019</v>
      </c>
      <c r="E258" s="4"/>
      <c r="F258" s="4" t="s">
        <v>169</v>
      </c>
      <c r="G258" s="4" t="s">
        <v>170</v>
      </c>
      <c r="H258" s="4" t="s">
        <v>171</v>
      </c>
      <c r="I258" s="4" t="s">
        <v>172</v>
      </c>
      <c r="J258" s="4" t="s">
        <v>433</v>
      </c>
      <c r="K258" s="4" t="s">
        <v>93</v>
      </c>
      <c r="L258" s="4" t="s">
        <v>94</v>
      </c>
      <c r="M258" s="4"/>
      <c r="N258" s="4"/>
      <c r="O258" s="4"/>
      <c r="P258" s="4"/>
      <c r="Q258" s="4"/>
      <c r="R258" s="4"/>
      <c r="S258" s="13" t="n">
        <v>0</v>
      </c>
      <c r="T258" s="4" t="s">
        <v>173</v>
      </c>
      <c r="U258" s="14" t="n">
        <f aca="false">IF(OR($S258="",PARAMETROS!$B$4=""),"",$S258*PARAMETROS!$B$4)</f>
        <v>0</v>
      </c>
      <c r="V258" s="13" t="n">
        <v>0</v>
      </c>
      <c r="W258" s="4"/>
      <c r="X258" s="4"/>
      <c r="Y258" s="4"/>
      <c r="Z258" s="4"/>
      <c r="AA258" s="4"/>
      <c r="AB258" s="4"/>
      <c r="AC258" s="4"/>
      <c r="AD258" s="4"/>
      <c r="AE258" s="4"/>
      <c r="AF258" s="4"/>
      <c r="AG258" s="4"/>
      <c r="AH258" s="4"/>
      <c r="AI258" s="4"/>
      <c r="AJ258" s="4"/>
      <c r="AK258" s="4"/>
      <c r="AL258" s="4" t="s">
        <v>174</v>
      </c>
      <c r="AM258" s="4" t="s">
        <v>190</v>
      </c>
    </row>
    <row r="259" customFormat="false" ht="23.85" hidden="false" customHeight="false" outlineLevel="0" collapsed="false">
      <c r="A259" s="4" t="s">
        <v>167</v>
      </c>
      <c r="B259" s="4" t="s">
        <v>434</v>
      </c>
      <c r="C259" s="4" t="s">
        <v>434</v>
      </c>
      <c r="D259" s="12" t="n">
        <v>2019</v>
      </c>
      <c r="E259" s="4"/>
      <c r="F259" s="4" t="s">
        <v>169</v>
      </c>
      <c r="G259" s="4" t="s">
        <v>170</v>
      </c>
      <c r="H259" s="4" t="s">
        <v>171</v>
      </c>
      <c r="I259" s="4" t="s">
        <v>172</v>
      </c>
      <c r="J259" s="4" t="s">
        <v>434</v>
      </c>
      <c r="K259" s="4" t="s">
        <v>93</v>
      </c>
      <c r="L259" s="4" t="s">
        <v>94</v>
      </c>
      <c r="M259" s="4"/>
      <c r="N259" s="4"/>
      <c r="O259" s="4"/>
      <c r="P259" s="4"/>
      <c r="Q259" s="4"/>
      <c r="R259" s="4"/>
      <c r="S259" s="13" t="n">
        <v>-50.53</v>
      </c>
      <c r="T259" s="4" t="s">
        <v>173</v>
      </c>
      <c r="U259" s="14" t="n">
        <f aca="false">IF(OR($S259="",PARAMETROS!$B$4=""),"",$S259*PARAMETROS!$B$4)</f>
        <v>-293.5793</v>
      </c>
      <c r="V259" s="13" t="n">
        <v>0</v>
      </c>
      <c r="W259" s="4"/>
      <c r="X259" s="4"/>
      <c r="Y259" s="4"/>
      <c r="Z259" s="4"/>
      <c r="AA259" s="4"/>
      <c r="AB259" s="4"/>
      <c r="AC259" s="4"/>
      <c r="AD259" s="4"/>
      <c r="AE259" s="4"/>
      <c r="AF259" s="4"/>
      <c r="AG259" s="4"/>
      <c r="AH259" s="4"/>
      <c r="AI259" s="4"/>
      <c r="AJ259" s="4"/>
      <c r="AK259" s="4"/>
      <c r="AL259" s="4" t="s">
        <v>174</v>
      </c>
      <c r="AM259" s="4" t="s">
        <v>190</v>
      </c>
    </row>
    <row r="260" customFormat="false" ht="23.85" hidden="false" customHeight="false" outlineLevel="0" collapsed="false">
      <c r="A260" s="4" t="s">
        <v>167</v>
      </c>
      <c r="B260" s="4" t="s">
        <v>435</v>
      </c>
      <c r="C260" s="4" t="s">
        <v>435</v>
      </c>
      <c r="D260" s="12" t="n">
        <v>2019</v>
      </c>
      <c r="E260" s="4"/>
      <c r="F260" s="4" t="s">
        <v>169</v>
      </c>
      <c r="G260" s="4" t="s">
        <v>170</v>
      </c>
      <c r="H260" s="4" t="s">
        <v>171</v>
      </c>
      <c r="I260" s="4" t="s">
        <v>172</v>
      </c>
      <c r="J260" s="4" t="s">
        <v>435</v>
      </c>
      <c r="K260" s="4" t="s">
        <v>93</v>
      </c>
      <c r="L260" s="4" t="s">
        <v>94</v>
      </c>
      <c r="M260" s="4"/>
      <c r="N260" s="4"/>
      <c r="O260" s="4"/>
      <c r="P260" s="4"/>
      <c r="Q260" s="4"/>
      <c r="R260" s="4"/>
      <c r="S260" s="13" t="n">
        <v>-3.3</v>
      </c>
      <c r="T260" s="4" t="s">
        <v>173</v>
      </c>
      <c r="U260" s="14" t="n">
        <f aca="false">IF(OR($S260="",PARAMETROS!$B$4=""),"",$S260*PARAMETROS!$B$4)</f>
        <v>-19.173</v>
      </c>
      <c r="V260" s="13" t="n">
        <v>0</v>
      </c>
      <c r="W260" s="4"/>
      <c r="X260" s="4"/>
      <c r="Y260" s="4"/>
      <c r="Z260" s="4"/>
      <c r="AA260" s="4"/>
      <c r="AB260" s="4"/>
      <c r="AC260" s="4"/>
      <c r="AD260" s="4"/>
      <c r="AE260" s="4"/>
      <c r="AF260" s="4"/>
      <c r="AG260" s="4"/>
      <c r="AH260" s="4"/>
      <c r="AI260" s="4"/>
      <c r="AJ260" s="4"/>
      <c r="AK260" s="4"/>
      <c r="AL260" s="4" t="s">
        <v>174</v>
      </c>
      <c r="AM260" s="4" t="s">
        <v>190</v>
      </c>
    </row>
    <row r="261" customFormat="false" ht="23.85" hidden="false" customHeight="false" outlineLevel="0" collapsed="false">
      <c r="A261" s="4" t="s">
        <v>167</v>
      </c>
      <c r="B261" s="4" t="s">
        <v>436</v>
      </c>
      <c r="C261" s="4" t="s">
        <v>436</v>
      </c>
      <c r="D261" s="12" t="n">
        <v>2019</v>
      </c>
      <c r="E261" s="4"/>
      <c r="F261" s="4" t="s">
        <v>169</v>
      </c>
      <c r="G261" s="4" t="s">
        <v>170</v>
      </c>
      <c r="H261" s="4" t="s">
        <v>171</v>
      </c>
      <c r="I261" s="4" t="s">
        <v>172</v>
      </c>
      <c r="J261" s="4" t="s">
        <v>436</v>
      </c>
      <c r="K261" s="4" t="s">
        <v>93</v>
      </c>
      <c r="L261" s="4" t="s">
        <v>94</v>
      </c>
      <c r="M261" s="4"/>
      <c r="N261" s="4"/>
      <c r="O261" s="4"/>
      <c r="P261" s="4"/>
      <c r="Q261" s="4"/>
      <c r="R261" s="4"/>
      <c r="S261" s="13" t="n">
        <v>0</v>
      </c>
      <c r="T261" s="4" t="s">
        <v>173</v>
      </c>
      <c r="U261" s="14" t="n">
        <f aca="false">IF(OR($S261="",PARAMETROS!$B$4=""),"",$S261*PARAMETROS!$B$4)</f>
        <v>0</v>
      </c>
      <c r="V261" s="13" t="n">
        <v>0</v>
      </c>
      <c r="W261" s="4"/>
      <c r="X261" s="4"/>
      <c r="Y261" s="4"/>
      <c r="Z261" s="4"/>
      <c r="AA261" s="4"/>
      <c r="AB261" s="4"/>
      <c r="AC261" s="4"/>
      <c r="AD261" s="4"/>
      <c r="AE261" s="4"/>
      <c r="AF261" s="4"/>
      <c r="AG261" s="4"/>
      <c r="AH261" s="4"/>
      <c r="AI261" s="4"/>
      <c r="AJ261" s="4"/>
      <c r="AK261" s="4"/>
      <c r="AL261" s="4" t="s">
        <v>174</v>
      </c>
      <c r="AM261" s="4" t="s">
        <v>190</v>
      </c>
    </row>
    <row r="262" customFormat="false" ht="23.85" hidden="false" customHeight="false" outlineLevel="0" collapsed="false">
      <c r="A262" s="4" t="s">
        <v>167</v>
      </c>
      <c r="B262" s="4" t="s">
        <v>437</v>
      </c>
      <c r="C262" s="4" t="s">
        <v>437</v>
      </c>
      <c r="D262" s="12" t="n">
        <v>2019</v>
      </c>
      <c r="E262" s="4"/>
      <c r="F262" s="4" t="s">
        <v>169</v>
      </c>
      <c r="G262" s="4" t="s">
        <v>170</v>
      </c>
      <c r="H262" s="4" t="s">
        <v>171</v>
      </c>
      <c r="I262" s="4" t="s">
        <v>172</v>
      </c>
      <c r="J262" s="4" t="s">
        <v>437</v>
      </c>
      <c r="K262" s="4" t="s">
        <v>93</v>
      </c>
      <c r="L262" s="4" t="s">
        <v>94</v>
      </c>
      <c r="M262" s="4"/>
      <c r="N262" s="4"/>
      <c r="O262" s="4"/>
      <c r="P262" s="4"/>
      <c r="Q262" s="4"/>
      <c r="R262" s="4"/>
      <c r="S262" s="13" t="n">
        <v>0</v>
      </c>
      <c r="T262" s="4" t="s">
        <v>173</v>
      </c>
      <c r="U262" s="14" t="n">
        <f aca="false">IF(OR($S262="",PARAMETROS!$B$4=""),"",$S262*PARAMETROS!$B$4)</f>
        <v>0</v>
      </c>
      <c r="V262" s="13" t="n">
        <v>0</v>
      </c>
      <c r="W262" s="4"/>
      <c r="X262" s="4"/>
      <c r="Y262" s="4"/>
      <c r="Z262" s="4"/>
      <c r="AA262" s="4"/>
      <c r="AB262" s="4"/>
      <c r="AC262" s="4"/>
      <c r="AD262" s="4"/>
      <c r="AE262" s="4"/>
      <c r="AF262" s="4"/>
      <c r="AG262" s="4"/>
      <c r="AH262" s="4"/>
      <c r="AI262" s="4"/>
      <c r="AJ262" s="4"/>
      <c r="AK262" s="4"/>
      <c r="AL262" s="4" t="s">
        <v>174</v>
      </c>
      <c r="AM262" s="4" t="s">
        <v>190</v>
      </c>
    </row>
    <row r="263" customFormat="false" ht="23.85" hidden="false" customHeight="false" outlineLevel="0" collapsed="false">
      <c r="A263" s="4" t="s">
        <v>167</v>
      </c>
      <c r="B263" s="4" t="s">
        <v>438</v>
      </c>
      <c r="C263" s="4" t="s">
        <v>438</v>
      </c>
      <c r="D263" s="12" t="n">
        <v>2019</v>
      </c>
      <c r="E263" s="4"/>
      <c r="F263" s="4" t="s">
        <v>169</v>
      </c>
      <c r="G263" s="4" t="s">
        <v>170</v>
      </c>
      <c r="H263" s="4" t="s">
        <v>171</v>
      </c>
      <c r="I263" s="4" t="s">
        <v>172</v>
      </c>
      <c r="J263" s="4" t="s">
        <v>438</v>
      </c>
      <c r="K263" s="4" t="s">
        <v>93</v>
      </c>
      <c r="L263" s="4" t="s">
        <v>94</v>
      </c>
      <c r="M263" s="4"/>
      <c r="N263" s="4"/>
      <c r="O263" s="4"/>
      <c r="P263" s="4"/>
      <c r="Q263" s="4"/>
      <c r="R263" s="4"/>
      <c r="S263" s="13" t="n">
        <v>0</v>
      </c>
      <c r="T263" s="4" t="s">
        <v>173</v>
      </c>
      <c r="U263" s="14" t="n">
        <f aca="false">IF(OR($S263="",PARAMETROS!$B$4=""),"",$S263*PARAMETROS!$B$4)</f>
        <v>0</v>
      </c>
      <c r="V263" s="13" t="n">
        <v>0</v>
      </c>
      <c r="W263" s="4"/>
      <c r="X263" s="4"/>
      <c r="Y263" s="4"/>
      <c r="Z263" s="4"/>
      <c r="AA263" s="4"/>
      <c r="AB263" s="4"/>
      <c r="AC263" s="4"/>
      <c r="AD263" s="4"/>
      <c r="AE263" s="4"/>
      <c r="AF263" s="4"/>
      <c r="AG263" s="4"/>
      <c r="AH263" s="4"/>
      <c r="AI263" s="4"/>
      <c r="AJ263" s="4"/>
      <c r="AK263" s="4"/>
      <c r="AL263" s="4" t="s">
        <v>174</v>
      </c>
      <c r="AM263" s="4" t="s">
        <v>190</v>
      </c>
    </row>
    <row r="264" customFormat="false" ht="23.85" hidden="false" customHeight="false" outlineLevel="0" collapsed="false">
      <c r="A264" s="4" t="s">
        <v>167</v>
      </c>
      <c r="B264" s="4" t="s">
        <v>439</v>
      </c>
      <c r="C264" s="4" t="s">
        <v>439</v>
      </c>
      <c r="D264" s="12" t="n">
        <v>2019</v>
      </c>
      <c r="E264" s="4"/>
      <c r="F264" s="4" t="s">
        <v>169</v>
      </c>
      <c r="G264" s="4" t="s">
        <v>170</v>
      </c>
      <c r="H264" s="4" t="s">
        <v>171</v>
      </c>
      <c r="I264" s="4" t="s">
        <v>172</v>
      </c>
      <c r="J264" s="4" t="s">
        <v>439</v>
      </c>
      <c r="K264" s="4" t="s">
        <v>93</v>
      </c>
      <c r="L264" s="4" t="s">
        <v>94</v>
      </c>
      <c r="M264" s="4"/>
      <c r="N264" s="4"/>
      <c r="O264" s="4"/>
      <c r="P264" s="4"/>
      <c r="Q264" s="4"/>
      <c r="R264" s="4"/>
      <c r="S264" s="13" t="n">
        <v>0</v>
      </c>
      <c r="T264" s="4" t="s">
        <v>173</v>
      </c>
      <c r="U264" s="14" t="n">
        <f aca="false">IF(OR($S264="",PARAMETROS!$B$4=""),"",$S264*PARAMETROS!$B$4)</f>
        <v>0</v>
      </c>
      <c r="V264" s="13" t="n">
        <v>0</v>
      </c>
      <c r="W264" s="4"/>
      <c r="X264" s="4"/>
      <c r="Y264" s="4"/>
      <c r="Z264" s="4"/>
      <c r="AA264" s="4"/>
      <c r="AB264" s="4"/>
      <c r="AC264" s="4"/>
      <c r="AD264" s="4"/>
      <c r="AE264" s="4"/>
      <c r="AF264" s="4"/>
      <c r="AG264" s="4"/>
      <c r="AH264" s="4"/>
      <c r="AI264" s="4"/>
      <c r="AJ264" s="4"/>
      <c r="AK264" s="4"/>
      <c r="AL264" s="4" t="s">
        <v>174</v>
      </c>
      <c r="AM264" s="4" t="s">
        <v>190</v>
      </c>
    </row>
    <row r="265" customFormat="false" ht="23.85" hidden="false" customHeight="false" outlineLevel="0" collapsed="false">
      <c r="A265" s="4" t="s">
        <v>167</v>
      </c>
      <c r="B265" s="4" t="s">
        <v>440</v>
      </c>
      <c r="C265" s="4" t="s">
        <v>440</v>
      </c>
      <c r="D265" s="12" t="n">
        <v>2019</v>
      </c>
      <c r="E265" s="4"/>
      <c r="F265" s="4" t="s">
        <v>169</v>
      </c>
      <c r="G265" s="4" t="s">
        <v>170</v>
      </c>
      <c r="H265" s="4" t="s">
        <v>171</v>
      </c>
      <c r="I265" s="4" t="s">
        <v>172</v>
      </c>
      <c r="J265" s="4" t="s">
        <v>440</v>
      </c>
      <c r="K265" s="4" t="s">
        <v>93</v>
      </c>
      <c r="L265" s="4" t="s">
        <v>94</v>
      </c>
      <c r="M265" s="4"/>
      <c r="N265" s="4"/>
      <c r="O265" s="4"/>
      <c r="P265" s="4"/>
      <c r="Q265" s="4"/>
      <c r="R265" s="4"/>
      <c r="S265" s="13" t="n">
        <v>0</v>
      </c>
      <c r="T265" s="4" t="s">
        <v>173</v>
      </c>
      <c r="U265" s="14" t="n">
        <f aca="false">IF(OR($S265="",PARAMETROS!$B$4=""),"",$S265*PARAMETROS!$B$4)</f>
        <v>0</v>
      </c>
      <c r="V265" s="13" t="n">
        <v>0</v>
      </c>
      <c r="W265" s="4"/>
      <c r="X265" s="4"/>
      <c r="Y265" s="4"/>
      <c r="Z265" s="4"/>
      <c r="AA265" s="4"/>
      <c r="AB265" s="4"/>
      <c r="AC265" s="4"/>
      <c r="AD265" s="4"/>
      <c r="AE265" s="4"/>
      <c r="AF265" s="4"/>
      <c r="AG265" s="4"/>
      <c r="AH265" s="4"/>
      <c r="AI265" s="4"/>
      <c r="AJ265" s="4"/>
      <c r="AK265" s="4"/>
      <c r="AL265" s="4" t="s">
        <v>174</v>
      </c>
      <c r="AM265" s="4" t="s">
        <v>190</v>
      </c>
    </row>
    <row r="266" customFormat="false" ht="23.85" hidden="false" customHeight="false" outlineLevel="0" collapsed="false">
      <c r="A266" s="4" t="s">
        <v>167</v>
      </c>
      <c r="B266" s="4" t="s">
        <v>441</v>
      </c>
      <c r="C266" s="4" t="s">
        <v>441</v>
      </c>
      <c r="D266" s="12" t="n">
        <v>2019</v>
      </c>
      <c r="E266" s="4"/>
      <c r="F266" s="4" t="s">
        <v>169</v>
      </c>
      <c r="G266" s="4" t="s">
        <v>170</v>
      </c>
      <c r="H266" s="4" t="s">
        <v>171</v>
      </c>
      <c r="I266" s="4" t="s">
        <v>172</v>
      </c>
      <c r="J266" s="4" t="s">
        <v>441</v>
      </c>
      <c r="K266" s="4" t="s">
        <v>93</v>
      </c>
      <c r="L266" s="4" t="s">
        <v>94</v>
      </c>
      <c r="M266" s="4"/>
      <c r="N266" s="4"/>
      <c r="O266" s="4"/>
      <c r="P266" s="4"/>
      <c r="Q266" s="4"/>
      <c r="R266" s="4"/>
      <c r="S266" s="13" t="n">
        <v>0</v>
      </c>
      <c r="T266" s="4" t="s">
        <v>173</v>
      </c>
      <c r="U266" s="14" t="n">
        <f aca="false">IF(OR($S266="",PARAMETROS!$B$4=""),"",$S266*PARAMETROS!$B$4)</f>
        <v>0</v>
      </c>
      <c r="V266" s="13" t="n">
        <v>0</v>
      </c>
      <c r="W266" s="4"/>
      <c r="X266" s="4"/>
      <c r="Y266" s="4"/>
      <c r="Z266" s="4"/>
      <c r="AA266" s="4"/>
      <c r="AB266" s="4"/>
      <c r="AC266" s="4"/>
      <c r="AD266" s="4"/>
      <c r="AE266" s="4"/>
      <c r="AF266" s="4"/>
      <c r="AG266" s="4"/>
      <c r="AH266" s="4"/>
      <c r="AI266" s="4"/>
      <c r="AJ266" s="4"/>
      <c r="AK266" s="4"/>
      <c r="AL266" s="4" t="s">
        <v>174</v>
      </c>
      <c r="AM266" s="4" t="s">
        <v>190</v>
      </c>
    </row>
    <row r="267" customFormat="false" ht="23.85" hidden="false" customHeight="false" outlineLevel="0" collapsed="false">
      <c r="A267" s="4" t="s">
        <v>167</v>
      </c>
      <c r="B267" s="4" t="s">
        <v>442</v>
      </c>
      <c r="C267" s="4" t="s">
        <v>442</v>
      </c>
      <c r="D267" s="12" t="n">
        <v>2019</v>
      </c>
      <c r="E267" s="4"/>
      <c r="F267" s="4" t="s">
        <v>169</v>
      </c>
      <c r="G267" s="4" t="s">
        <v>170</v>
      </c>
      <c r="H267" s="4" t="s">
        <v>171</v>
      </c>
      <c r="I267" s="4" t="s">
        <v>172</v>
      </c>
      <c r="J267" s="4" t="s">
        <v>442</v>
      </c>
      <c r="K267" s="4" t="s">
        <v>93</v>
      </c>
      <c r="L267" s="4" t="s">
        <v>94</v>
      </c>
      <c r="M267" s="4"/>
      <c r="N267" s="4"/>
      <c r="O267" s="4"/>
      <c r="P267" s="4"/>
      <c r="Q267" s="4"/>
      <c r="R267" s="4"/>
      <c r="S267" s="13" t="n">
        <v>0</v>
      </c>
      <c r="T267" s="4" t="s">
        <v>173</v>
      </c>
      <c r="U267" s="14" t="n">
        <f aca="false">IF(OR($S267="",PARAMETROS!$B$4=""),"",$S267*PARAMETROS!$B$4)</f>
        <v>0</v>
      </c>
      <c r="V267" s="13" t="n">
        <v>0</v>
      </c>
      <c r="W267" s="4"/>
      <c r="X267" s="4"/>
      <c r="Y267" s="4"/>
      <c r="Z267" s="4"/>
      <c r="AA267" s="4"/>
      <c r="AB267" s="4"/>
      <c r="AC267" s="4"/>
      <c r="AD267" s="4"/>
      <c r="AE267" s="4"/>
      <c r="AF267" s="4"/>
      <c r="AG267" s="4"/>
      <c r="AH267" s="4"/>
      <c r="AI267" s="4"/>
      <c r="AJ267" s="4"/>
      <c r="AK267" s="4"/>
      <c r="AL267" s="4" t="s">
        <v>174</v>
      </c>
      <c r="AM267" s="4" t="s">
        <v>190</v>
      </c>
    </row>
    <row r="268" customFormat="false" ht="23.85" hidden="false" customHeight="false" outlineLevel="0" collapsed="false">
      <c r="A268" s="4" t="s">
        <v>167</v>
      </c>
      <c r="B268" s="4" t="s">
        <v>443</v>
      </c>
      <c r="C268" s="4" t="s">
        <v>443</v>
      </c>
      <c r="D268" s="12" t="n">
        <v>2019</v>
      </c>
      <c r="E268" s="4"/>
      <c r="F268" s="4" t="s">
        <v>169</v>
      </c>
      <c r="G268" s="4" t="s">
        <v>170</v>
      </c>
      <c r="H268" s="4" t="s">
        <v>171</v>
      </c>
      <c r="I268" s="4" t="s">
        <v>172</v>
      </c>
      <c r="J268" s="4" t="s">
        <v>443</v>
      </c>
      <c r="K268" s="4" t="s">
        <v>76</v>
      </c>
      <c r="L268" s="4" t="s">
        <v>77</v>
      </c>
      <c r="M268" s="4"/>
      <c r="N268" s="4"/>
      <c r="O268" s="4"/>
      <c r="P268" s="4"/>
      <c r="Q268" s="4"/>
      <c r="R268" s="4"/>
      <c r="S268" s="13" t="n">
        <v>0</v>
      </c>
      <c r="T268" s="4" t="s">
        <v>173</v>
      </c>
      <c r="U268" s="14" t="n">
        <f aca="false">IF(OR($S268="",PARAMETROS!$B$4=""),"",$S268*PARAMETROS!$B$4)</f>
        <v>0</v>
      </c>
      <c r="V268" s="13" t="n">
        <v>0</v>
      </c>
      <c r="W268" s="4"/>
      <c r="X268" s="4"/>
      <c r="Y268" s="4"/>
      <c r="Z268" s="4"/>
      <c r="AA268" s="4"/>
      <c r="AB268" s="4"/>
      <c r="AC268" s="4"/>
      <c r="AD268" s="4"/>
      <c r="AE268" s="4"/>
      <c r="AF268" s="4"/>
      <c r="AG268" s="4"/>
      <c r="AH268" s="4"/>
      <c r="AI268" s="4"/>
      <c r="AJ268" s="4"/>
      <c r="AK268" s="4"/>
      <c r="AL268" s="4" t="s">
        <v>174</v>
      </c>
      <c r="AM268" s="4" t="s">
        <v>205</v>
      </c>
    </row>
    <row r="269" customFormat="false" ht="23.85" hidden="false" customHeight="false" outlineLevel="0" collapsed="false">
      <c r="A269" s="4" t="s">
        <v>167</v>
      </c>
      <c r="B269" s="4" t="s">
        <v>444</v>
      </c>
      <c r="C269" s="4" t="s">
        <v>444</v>
      </c>
      <c r="D269" s="12" t="n">
        <v>2019</v>
      </c>
      <c r="E269" s="4"/>
      <c r="F269" s="4" t="s">
        <v>169</v>
      </c>
      <c r="G269" s="4" t="s">
        <v>170</v>
      </c>
      <c r="H269" s="4" t="s">
        <v>171</v>
      </c>
      <c r="I269" s="4" t="s">
        <v>172</v>
      </c>
      <c r="J269" s="4" t="s">
        <v>444</v>
      </c>
      <c r="K269" s="4" t="s">
        <v>76</v>
      </c>
      <c r="L269" s="4" t="s">
        <v>77</v>
      </c>
      <c r="M269" s="4"/>
      <c r="N269" s="4"/>
      <c r="O269" s="4"/>
      <c r="P269" s="4"/>
      <c r="Q269" s="4"/>
      <c r="R269" s="4"/>
      <c r="S269" s="13" t="n">
        <v>12819.33</v>
      </c>
      <c r="T269" s="4" t="s">
        <v>173</v>
      </c>
      <c r="U269" s="14" t="n">
        <f aca="false">IF(OR($S269="",PARAMETROS!$B$4=""),"",$S269*PARAMETROS!$B$4)</f>
        <v>74480.3073</v>
      </c>
      <c r="V269" s="13" t="n">
        <v>0</v>
      </c>
      <c r="W269" s="4"/>
      <c r="X269" s="4"/>
      <c r="Y269" s="4"/>
      <c r="Z269" s="4"/>
      <c r="AA269" s="4"/>
      <c r="AB269" s="4"/>
      <c r="AC269" s="4"/>
      <c r="AD269" s="4"/>
      <c r="AE269" s="4"/>
      <c r="AF269" s="4"/>
      <c r="AG269" s="4"/>
      <c r="AH269" s="4"/>
      <c r="AI269" s="4"/>
      <c r="AJ269" s="4"/>
      <c r="AK269" s="4"/>
      <c r="AL269" s="4" t="s">
        <v>174</v>
      </c>
      <c r="AM269" s="4" t="s">
        <v>205</v>
      </c>
    </row>
    <row r="270" customFormat="false" ht="23.85" hidden="false" customHeight="false" outlineLevel="0" collapsed="false">
      <c r="A270" s="4" t="s">
        <v>167</v>
      </c>
      <c r="B270" s="4" t="s">
        <v>445</v>
      </c>
      <c r="C270" s="4" t="s">
        <v>445</v>
      </c>
      <c r="D270" s="12" t="n">
        <v>2019</v>
      </c>
      <c r="E270" s="4"/>
      <c r="F270" s="4" t="s">
        <v>169</v>
      </c>
      <c r="G270" s="4" t="s">
        <v>170</v>
      </c>
      <c r="H270" s="4" t="s">
        <v>171</v>
      </c>
      <c r="I270" s="4" t="s">
        <v>172</v>
      </c>
      <c r="J270" s="4" t="s">
        <v>445</v>
      </c>
      <c r="K270" s="4" t="s">
        <v>76</v>
      </c>
      <c r="L270" s="4" t="s">
        <v>77</v>
      </c>
      <c r="M270" s="4"/>
      <c r="N270" s="4"/>
      <c r="O270" s="4"/>
      <c r="P270" s="4"/>
      <c r="Q270" s="4"/>
      <c r="R270" s="4"/>
      <c r="S270" s="13" t="n">
        <v>0</v>
      </c>
      <c r="T270" s="4" t="s">
        <v>173</v>
      </c>
      <c r="U270" s="14" t="n">
        <f aca="false">IF(OR($S270="",PARAMETROS!$B$4=""),"",$S270*PARAMETROS!$B$4)</f>
        <v>0</v>
      </c>
      <c r="V270" s="13" t="n">
        <v>0</v>
      </c>
      <c r="W270" s="4"/>
      <c r="X270" s="4"/>
      <c r="Y270" s="4"/>
      <c r="Z270" s="4"/>
      <c r="AA270" s="4"/>
      <c r="AB270" s="4"/>
      <c r="AC270" s="4"/>
      <c r="AD270" s="4"/>
      <c r="AE270" s="4"/>
      <c r="AF270" s="4"/>
      <c r="AG270" s="4"/>
      <c r="AH270" s="4"/>
      <c r="AI270" s="4"/>
      <c r="AJ270" s="4"/>
      <c r="AK270" s="4"/>
      <c r="AL270" s="4" t="s">
        <v>174</v>
      </c>
      <c r="AM270" s="4" t="s">
        <v>205</v>
      </c>
    </row>
    <row r="271" customFormat="false" ht="23.85" hidden="false" customHeight="false" outlineLevel="0" collapsed="false">
      <c r="A271" s="4" t="s">
        <v>167</v>
      </c>
      <c r="B271" s="4" t="s">
        <v>446</v>
      </c>
      <c r="C271" s="4" t="s">
        <v>446</v>
      </c>
      <c r="D271" s="12" t="n">
        <v>2019</v>
      </c>
      <c r="E271" s="4"/>
      <c r="F271" s="4" t="s">
        <v>169</v>
      </c>
      <c r="G271" s="4" t="s">
        <v>170</v>
      </c>
      <c r="H271" s="4" t="s">
        <v>171</v>
      </c>
      <c r="I271" s="4" t="s">
        <v>172</v>
      </c>
      <c r="J271" s="4" t="s">
        <v>446</v>
      </c>
      <c r="K271" s="4" t="s">
        <v>76</v>
      </c>
      <c r="L271" s="4" t="s">
        <v>77</v>
      </c>
      <c r="M271" s="4"/>
      <c r="N271" s="4"/>
      <c r="O271" s="4"/>
      <c r="P271" s="4"/>
      <c r="Q271" s="4"/>
      <c r="R271" s="4"/>
      <c r="S271" s="13" t="n">
        <v>-4119.48</v>
      </c>
      <c r="T271" s="4" t="s">
        <v>173</v>
      </c>
      <c r="U271" s="14" t="n">
        <f aca="false">IF(OR($S271="",PARAMETROS!$B$4=""),"",$S271*PARAMETROS!$B$4)</f>
        <v>-23934.1788</v>
      </c>
      <c r="V271" s="13" t="n">
        <v>0</v>
      </c>
      <c r="W271" s="4"/>
      <c r="X271" s="4"/>
      <c r="Y271" s="4"/>
      <c r="Z271" s="4"/>
      <c r="AA271" s="4"/>
      <c r="AB271" s="4"/>
      <c r="AC271" s="4"/>
      <c r="AD271" s="4"/>
      <c r="AE271" s="4"/>
      <c r="AF271" s="4"/>
      <c r="AG271" s="4"/>
      <c r="AH271" s="4"/>
      <c r="AI271" s="4"/>
      <c r="AJ271" s="4"/>
      <c r="AK271" s="4"/>
      <c r="AL271" s="4" t="s">
        <v>174</v>
      </c>
      <c r="AM271" s="4" t="s">
        <v>205</v>
      </c>
    </row>
    <row r="272" customFormat="false" ht="23.85" hidden="false" customHeight="false" outlineLevel="0" collapsed="false">
      <c r="A272" s="4" t="s">
        <v>167</v>
      </c>
      <c r="B272" s="4" t="s">
        <v>447</v>
      </c>
      <c r="C272" s="4" t="s">
        <v>447</v>
      </c>
      <c r="D272" s="12" t="n">
        <v>2019</v>
      </c>
      <c r="E272" s="4"/>
      <c r="F272" s="4" t="s">
        <v>169</v>
      </c>
      <c r="G272" s="4" t="s">
        <v>170</v>
      </c>
      <c r="H272" s="4" t="s">
        <v>171</v>
      </c>
      <c r="I272" s="4" t="s">
        <v>172</v>
      </c>
      <c r="J272" s="4" t="s">
        <v>447</v>
      </c>
      <c r="K272" s="4" t="s">
        <v>76</v>
      </c>
      <c r="L272" s="4" t="s">
        <v>77</v>
      </c>
      <c r="M272" s="4"/>
      <c r="N272" s="4"/>
      <c r="O272" s="4"/>
      <c r="P272" s="4"/>
      <c r="Q272" s="4"/>
      <c r="R272" s="4"/>
      <c r="S272" s="13" t="n">
        <v>0</v>
      </c>
      <c r="T272" s="4" t="s">
        <v>173</v>
      </c>
      <c r="U272" s="14" t="n">
        <f aca="false">IF(OR($S272="",PARAMETROS!$B$4=""),"",$S272*PARAMETROS!$B$4)</f>
        <v>0</v>
      </c>
      <c r="V272" s="13" t="n">
        <v>0</v>
      </c>
      <c r="W272" s="4"/>
      <c r="X272" s="4"/>
      <c r="Y272" s="4"/>
      <c r="Z272" s="4"/>
      <c r="AA272" s="4"/>
      <c r="AB272" s="4"/>
      <c r="AC272" s="4"/>
      <c r="AD272" s="4"/>
      <c r="AE272" s="4"/>
      <c r="AF272" s="4"/>
      <c r="AG272" s="4"/>
      <c r="AH272" s="4"/>
      <c r="AI272" s="4"/>
      <c r="AJ272" s="4"/>
      <c r="AK272" s="4"/>
      <c r="AL272" s="4" t="s">
        <v>174</v>
      </c>
      <c r="AM272" s="4" t="s">
        <v>205</v>
      </c>
    </row>
    <row r="273" customFormat="false" ht="23.85" hidden="false" customHeight="false" outlineLevel="0" collapsed="false">
      <c r="A273" s="4" t="s">
        <v>167</v>
      </c>
      <c r="B273" s="4" t="s">
        <v>448</v>
      </c>
      <c r="C273" s="4" t="s">
        <v>448</v>
      </c>
      <c r="D273" s="12" t="n">
        <v>2019</v>
      </c>
      <c r="E273" s="4"/>
      <c r="F273" s="4" t="s">
        <v>169</v>
      </c>
      <c r="G273" s="4" t="s">
        <v>170</v>
      </c>
      <c r="H273" s="4" t="s">
        <v>171</v>
      </c>
      <c r="I273" s="4" t="s">
        <v>172</v>
      </c>
      <c r="J273" s="4" t="s">
        <v>448</v>
      </c>
      <c r="K273" s="4" t="s">
        <v>76</v>
      </c>
      <c r="L273" s="4" t="s">
        <v>77</v>
      </c>
      <c r="M273" s="4"/>
      <c r="N273" s="4"/>
      <c r="O273" s="4"/>
      <c r="P273" s="4"/>
      <c r="Q273" s="4"/>
      <c r="R273" s="4"/>
      <c r="S273" s="13" t="n">
        <v>-8699.85</v>
      </c>
      <c r="T273" s="4" t="s">
        <v>173</v>
      </c>
      <c r="U273" s="14" t="n">
        <f aca="false">IF(OR($S273="",PARAMETROS!$B$4=""),"",$S273*PARAMETROS!$B$4)</f>
        <v>-50546.1285</v>
      </c>
      <c r="V273" s="13" t="n">
        <v>0</v>
      </c>
      <c r="W273" s="4"/>
      <c r="X273" s="4"/>
      <c r="Y273" s="4"/>
      <c r="Z273" s="4"/>
      <c r="AA273" s="4"/>
      <c r="AB273" s="4"/>
      <c r="AC273" s="4"/>
      <c r="AD273" s="4"/>
      <c r="AE273" s="4"/>
      <c r="AF273" s="4"/>
      <c r="AG273" s="4"/>
      <c r="AH273" s="4"/>
      <c r="AI273" s="4"/>
      <c r="AJ273" s="4"/>
      <c r="AK273" s="4"/>
      <c r="AL273" s="4" t="s">
        <v>174</v>
      </c>
      <c r="AM273" s="4" t="s">
        <v>205</v>
      </c>
    </row>
    <row r="274" customFormat="false" ht="23.85" hidden="false" customHeight="false" outlineLevel="0" collapsed="false">
      <c r="A274" s="4" t="s">
        <v>167</v>
      </c>
      <c r="B274" s="4" t="s">
        <v>449</v>
      </c>
      <c r="C274" s="4" t="s">
        <v>449</v>
      </c>
      <c r="D274" s="12" t="n">
        <v>2019</v>
      </c>
      <c r="E274" s="4"/>
      <c r="F274" s="4" t="s">
        <v>169</v>
      </c>
      <c r="G274" s="4" t="s">
        <v>170</v>
      </c>
      <c r="H274" s="4" t="s">
        <v>171</v>
      </c>
      <c r="I274" s="4" t="s">
        <v>172</v>
      </c>
      <c r="J274" s="4" t="s">
        <v>449</v>
      </c>
      <c r="K274" s="4" t="s">
        <v>76</v>
      </c>
      <c r="L274" s="4" t="s">
        <v>77</v>
      </c>
      <c r="M274" s="4"/>
      <c r="N274" s="4"/>
      <c r="O274" s="4"/>
      <c r="P274" s="4"/>
      <c r="Q274" s="4"/>
      <c r="R274" s="4"/>
      <c r="S274" s="13" t="n">
        <v>0</v>
      </c>
      <c r="T274" s="4" t="s">
        <v>173</v>
      </c>
      <c r="U274" s="14" t="n">
        <f aca="false">IF(OR($S274="",PARAMETROS!$B$4=""),"",$S274*PARAMETROS!$B$4)</f>
        <v>0</v>
      </c>
      <c r="V274" s="13" t="n">
        <v>0</v>
      </c>
      <c r="W274" s="4"/>
      <c r="X274" s="4"/>
      <c r="Y274" s="4"/>
      <c r="Z274" s="4"/>
      <c r="AA274" s="4"/>
      <c r="AB274" s="4"/>
      <c r="AC274" s="4"/>
      <c r="AD274" s="4"/>
      <c r="AE274" s="4"/>
      <c r="AF274" s="4"/>
      <c r="AG274" s="4"/>
      <c r="AH274" s="4"/>
      <c r="AI274" s="4"/>
      <c r="AJ274" s="4"/>
      <c r="AK274" s="4"/>
      <c r="AL274" s="4" t="s">
        <v>174</v>
      </c>
      <c r="AM274" s="4" t="s">
        <v>205</v>
      </c>
    </row>
    <row r="275" customFormat="false" ht="23.85" hidden="false" customHeight="false" outlineLevel="0" collapsed="false">
      <c r="A275" s="4" t="s">
        <v>167</v>
      </c>
      <c r="B275" s="4" t="s">
        <v>450</v>
      </c>
      <c r="C275" s="4" t="s">
        <v>450</v>
      </c>
      <c r="D275" s="12" t="n">
        <v>2019</v>
      </c>
      <c r="E275" s="4"/>
      <c r="F275" s="4" t="s">
        <v>169</v>
      </c>
      <c r="G275" s="4" t="s">
        <v>170</v>
      </c>
      <c r="H275" s="4" t="s">
        <v>171</v>
      </c>
      <c r="I275" s="4" t="s">
        <v>172</v>
      </c>
      <c r="J275" s="4" t="s">
        <v>450</v>
      </c>
      <c r="K275" s="4" t="s">
        <v>76</v>
      </c>
      <c r="L275" s="4" t="s">
        <v>77</v>
      </c>
      <c r="M275" s="4"/>
      <c r="N275" s="4"/>
      <c r="O275" s="4"/>
      <c r="P275" s="4"/>
      <c r="Q275" s="4"/>
      <c r="R275" s="4"/>
      <c r="S275" s="13" t="n">
        <v>0</v>
      </c>
      <c r="T275" s="4" t="s">
        <v>173</v>
      </c>
      <c r="U275" s="14" t="n">
        <f aca="false">IF(OR($S275="",PARAMETROS!$B$4=""),"",$S275*PARAMETROS!$B$4)</f>
        <v>0</v>
      </c>
      <c r="V275" s="13" t="n">
        <v>0</v>
      </c>
      <c r="W275" s="4"/>
      <c r="X275" s="4"/>
      <c r="Y275" s="4"/>
      <c r="Z275" s="4"/>
      <c r="AA275" s="4"/>
      <c r="AB275" s="4"/>
      <c r="AC275" s="4"/>
      <c r="AD275" s="4"/>
      <c r="AE275" s="4"/>
      <c r="AF275" s="4"/>
      <c r="AG275" s="4"/>
      <c r="AH275" s="4"/>
      <c r="AI275" s="4"/>
      <c r="AJ275" s="4"/>
      <c r="AK275" s="4"/>
      <c r="AL275" s="4" t="s">
        <v>174</v>
      </c>
      <c r="AM275" s="4" t="s">
        <v>205</v>
      </c>
    </row>
    <row r="276" customFormat="false" ht="23.85" hidden="false" customHeight="false" outlineLevel="0" collapsed="false">
      <c r="A276" s="4" t="s">
        <v>167</v>
      </c>
      <c r="B276" s="4" t="s">
        <v>451</v>
      </c>
      <c r="C276" s="4" t="s">
        <v>451</v>
      </c>
      <c r="D276" s="12" t="n">
        <v>2019</v>
      </c>
      <c r="E276" s="4"/>
      <c r="F276" s="4" t="s">
        <v>169</v>
      </c>
      <c r="G276" s="4" t="s">
        <v>170</v>
      </c>
      <c r="H276" s="4" t="s">
        <v>171</v>
      </c>
      <c r="I276" s="4" t="s">
        <v>172</v>
      </c>
      <c r="J276" s="4" t="s">
        <v>451</v>
      </c>
      <c r="K276" s="4" t="s">
        <v>76</v>
      </c>
      <c r="L276" s="4" t="s">
        <v>77</v>
      </c>
      <c r="M276" s="4"/>
      <c r="N276" s="4"/>
      <c r="O276" s="4"/>
      <c r="P276" s="4"/>
      <c r="Q276" s="4"/>
      <c r="R276" s="4"/>
      <c r="S276" s="13" t="n">
        <v>0</v>
      </c>
      <c r="T276" s="4" t="s">
        <v>173</v>
      </c>
      <c r="U276" s="14" t="n">
        <f aca="false">IF(OR($S276="",PARAMETROS!$B$4=""),"",$S276*PARAMETROS!$B$4)</f>
        <v>0</v>
      </c>
      <c r="V276" s="13" t="n">
        <v>0</v>
      </c>
      <c r="W276" s="4"/>
      <c r="X276" s="4"/>
      <c r="Y276" s="4"/>
      <c r="Z276" s="4"/>
      <c r="AA276" s="4"/>
      <c r="AB276" s="4"/>
      <c r="AC276" s="4"/>
      <c r="AD276" s="4"/>
      <c r="AE276" s="4"/>
      <c r="AF276" s="4"/>
      <c r="AG276" s="4"/>
      <c r="AH276" s="4"/>
      <c r="AI276" s="4"/>
      <c r="AJ276" s="4"/>
      <c r="AK276" s="4"/>
      <c r="AL276" s="4" t="s">
        <v>174</v>
      </c>
      <c r="AM276" s="4" t="s">
        <v>205</v>
      </c>
    </row>
    <row r="277" customFormat="false" ht="23.85" hidden="false" customHeight="false" outlineLevel="0" collapsed="false">
      <c r="A277" s="4" t="s">
        <v>167</v>
      </c>
      <c r="B277" s="4" t="s">
        <v>452</v>
      </c>
      <c r="C277" s="4" t="s">
        <v>452</v>
      </c>
      <c r="D277" s="12" t="n">
        <v>2019</v>
      </c>
      <c r="E277" s="4"/>
      <c r="F277" s="4" t="s">
        <v>169</v>
      </c>
      <c r="G277" s="4" t="s">
        <v>170</v>
      </c>
      <c r="H277" s="4" t="s">
        <v>171</v>
      </c>
      <c r="I277" s="4" t="s">
        <v>172</v>
      </c>
      <c r="J277" s="4" t="s">
        <v>452</v>
      </c>
      <c r="K277" s="4" t="s">
        <v>76</v>
      </c>
      <c r="L277" s="4" t="s">
        <v>77</v>
      </c>
      <c r="M277" s="4"/>
      <c r="N277" s="4"/>
      <c r="O277" s="4"/>
      <c r="P277" s="4"/>
      <c r="Q277" s="4"/>
      <c r="R277" s="4"/>
      <c r="S277" s="13" t="n">
        <v>0</v>
      </c>
      <c r="T277" s="4" t="s">
        <v>173</v>
      </c>
      <c r="U277" s="14" t="n">
        <f aca="false">IF(OR($S277="",PARAMETROS!$B$4=""),"",$S277*PARAMETROS!$B$4)</f>
        <v>0</v>
      </c>
      <c r="V277" s="13" t="n">
        <v>0</v>
      </c>
      <c r="W277" s="4"/>
      <c r="X277" s="4"/>
      <c r="Y277" s="4"/>
      <c r="Z277" s="4"/>
      <c r="AA277" s="4"/>
      <c r="AB277" s="4"/>
      <c r="AC277" s="4"/>
      <c r="AD277" s="4"/>
      <c r="AE277" s="4"/>
      <c r="AF277" s="4"/>
      <c r="AG277" s="4"/>
      <c r="AH277" s="4"/>
      <c r="AI277" s="4"/>
      <c r="AJ277" s="4"/>
      <c r="AK277" s="4"/>
      <c r="AL277" s="4" t="s">
        <v>174</v>
      </c>
      <c r="AM277" s="4" t="s">
        <v>205</v>
      </c>
    </row>
    <row r="278" customFormat="false" ht="23.85" hidden="false" customHeight="false" outlineLevel="0" collapsed="false">
      <c r="A278" s="4" t="s">
        <v>167</v>
      </c>
      <c r="B278" s="4" t="s">
        <v>453</v>
      </c>
      <c r="C278" s="4" t="s">
        <v>453</v>
      </c>
      <c r="D278" s="12" t="n">
        <v>2019</v>
      </c>
      <c r="E278" s="4"/>
      <c r="F278" s="4" t="s">
        <v>169</v>
      </c>
      <c r="G278" s="4" t="s">
        <v>170</v>
      </c>
      <c r="H278" s="4" t="s">
        <v>171</v>
      </c>
      <c r="I278" s="4" t="s">
        <v>172</v>
      </c>
      <c r="J278" s="4" t="s">
        <v>453</v>
      </c>
      <c r="K278" s="4" t="s">
        <v>76</v>
      </c>
      <c r="L278" s="4" t="s">
        <v>77</v>
      </c>
      <c r="M278" s="4"/>
      <c r="N278" s="4"/>
      <c r="O278" s="4"/>
      <c r="P278" s="4"/>
      <c r="Q278" s="4"/>
      <c r="R278" s="4"/>
      <c r="S278" s="13" t="n">
        <v>0</v>
      </c>
      <c r="T278" s="4" t="s">
        <v>173</v>
      </c>
      <c r="U278" s="14" t="n">
        <f aca="false">IF(OR($S278="",PARAMETROS!$B$4=""),"",$S278*PARAMETROS!$B$4)</f>
        <v>0</v>
      </c>
      <c r="V278" s="13" t="n">
        <v>0</v>
      </c>
      <c r="W278" s="4"/>
      <c r="X278" s="4"/>
      <c r="Y278" s="4"/>
      <c r="Z278" s="4"/>
      <c r="AA278" s="4"/>
      <c r="AB278" s="4"/>
      <c r="AC278" s="4"/>
      <c r="AD278" s="4"/>
      <c r="AE278" s="4"/>
      <c r="AF278" s="4"/>
      <c r="AG278" s="4"/>
      <c r="AH278" s="4"/>
      <c r="AI278" s="4"/>
      <c r="AJ278" s="4"/>
      <c r="AK278" s="4"/>
      <c r="AL278" s="4" t="s">
        <v>174</v>
      </c>
      <c r="AM278" s="4" t="s">
        <v>205</v>
      </c>
    </row>
    <row r="279" customFormat="false" ht="23.85" hidden="false" customHeight="false" outlineLevel="0" collapsed="false">
      <c r="A279" s="4" t="s">
        <v>167</v>
      </c>
      <c r="B279" s="4" t="s">
        <v>454</v>
      </c>
      <c r="C279" s="4" t="s">
        <v>454</v>
      </c>
      <c r="D279" s="12" t="n">
        <v>2019</v>
      </c>
      <c r="E279" s="4"/>
      <c r="F279" s="4" t="s">
        <v>169</v>
      </c>
      <c r="G279" s="4" t="s">
        <v>170</v>
      </c>
      <c r="H279" s="4" t="s">
        <v>171</v>
      </c>
      <c r="I279" s="4" t="s">
        <v>172</v>
      </c>
      <c r="J279" s="4" t="s">
        <v>454</v>
      </c>
      <c r="K279" s="4" t="s">
        <v>76</v>
      </c>
      <c r="L279" s="4" t="s">
        <v>77</v>
      </c>
      <c r="M279" s="4"/>
      <c r="N279" s="4"/>
      <c r="O279" s="4"/>
      <c r="P279" s="4"/>
      <c r="Q279" s="4"/>
      <c r="R279" s="4"/>
      <c r="S279" s="13" t="n">
        <v>0</v>
      </c>
      <c r="T279" s="4" t="s">
        <v>173</v>
      </c>
      <c r="U279" s="14" t="n">
        <f aca="false">IF(OR($S279="",PARAMETROS!$B$4=""),"",$S279*PARAMETROS!$B$4)</f>
        <v>0</v>
      </c>
      <c r="V279" s="13" t="n">
        <v>0</v>
      </c>
      <c r="W279" s="4"/>
      <c r="X279" s="4"/>
      <c r="Y279" s="4"/>
      <c r="Z279" s="4"/>
      <c r="AA279" s="4"/>
      <c r="AB279" s="4"/>
      <c r="AC279" s="4"/>
      <c r="AD279" s="4"/>
      <c r="AE279" s="4"/>
      <c r="AF279" s="4"/>
      <c r="AG279" s="4"/>
      <c r="AH279" s="4"/>
      <c r="AI279" s="4"/>
      <c r="AJ279" s="4"/>
      <c r="AK279" s="4"/>
      <c r="AL279" s="4" t="s">
        <v>174</v>
      </c>
      <c r="AM279" s="4" t="s">
        <v>205</v>
      </c>
    </row>
    <row r="280" customFormat="false" ht="23.85" hidden="false" customHeight="false" outlineLevel="0" collapsed="false">
      <c r="A280" s="4" t="s">
        <v>167</v>
      </c>
      <c r="B280" s="4" t="s">
        <v>455</v>
      </c>
      <c r="C280" s="4" t="s">
        <v>455</v>
      </c>
      <c r="D280" s="12" t="n">
        <v>2019</v>
      </c>
      <c r="E280" s="4"/>
      <c r="F280" s="4" t="s">
        <v>169</v>
      </c>
      <c r="G280" s="4" t="s">
        <v>170</v>
      </c>
      <c r="H280" s="4" t="s">
        <v>171</v>
      </c>
      <c r="I280" s="4" t="s">
        <v>172</v>
      </c>
      <c r="J280" s="4" t="s">
        <v>455</v>
      </c>
      <c r="K280" s="4" t="s">
        <v>76</v>
      </c>
      <c r="L280" s="4" t="s">
        <v>77</v>
      </c>
      <c r="M280" s="4"/>
      <c r="N280" s="4"/>
      <c r="O280" s="4"/>
      <c r="P280" s="4"/>
      <c r="Q280" s="4"/>
      <c r="R280" s="4"/>
      <c r="S280" s="13" t="n">
        <v>0</v>
      </c>
      <c r="T280" s="4" t="s">
        <v>173</v>
      </c>
      <c r="U280" s="14" t="n">
        <f aca="false">IF(OR($S280="",PARAMETROS!$B$4=""),"",$S280*PARAMETROS!$B$4)</f>
        <v>0</v>
      </c>
      <c r="V280" s="13" t="n">
        <v>0</v>
      </c>
      <c r="W280" s="4"/>
      <c r="X280" s="4"/>
      <c r="Y280" s="4"/>
      <c r="Z280" s="4"/>
      <c r="AA280" s="4"/>
      <c r="AB280" s="4"/>
      <c r="AC280" s="4"/>
      <c r="AD280" s="4"/>
      <c r="AE280" s="4"/>
      <c r="AF280" s="4"/>
      <c r="AG280" s="4"/>
      <c r="AH280" s="4"/>
      <c r="AI280" s="4"/>
      <c r="AJ280" s="4"/>
      <c r="AK280" s="4"/>
      <c r="AL280" s="4" t="s">
        <v>174</v>
      </c>
      <c r="AM280" s="4" t="s">
        <v>205</v>
      </c>
    </row>
    <row r="281" customFormat="false" ht="23.85" hidden="false" customHeight="false" outlineLevel="0" collapsed="false">
      <c r="A281" s="4" t="s">
        <v>167</v>
      </c>
      <c r="B281" s="4" t="s">
        <v>456</v>
      </c>
      <c r="C281" s="4" t="s">
        <v>456</v>
      </c>
      <c r="D281" s="12" t="n">
        <v>2019</v>
      </c>
      <c r="E281" s="4"/>
      <c r="F281" s="4" t="s">
        <v>169</v>
      </c>
      <c r="G281" s="4" t="s">
        <v>170</v>
      </c>
      <c r="H281" s="4" t="s">
        <v>171</v>
      </c>
      <c r="I281" s="4" t="s">
        <v>172</v>
      </c>
      <c r="J281" s="4" t="s">
        <v>456</v>
      </c>
      <c r="K281" s="4" t="s">
        <v>76</v>
      </c>
      <c r="L281" s="4" t="s">
        <v>77</v>
      </c>
      <c r="M281" s="4"/>
      <c r="N281" s="4"/>
      <c r="O281" s="4"/>
      <c r="P281" s="4"/>
      <c r="Q281" s="4"/>
      <c r="R281" s="4"/>
      <c r="S281" s="13" t="n">
        <v>0</v>
      </c>
      <c r="T281" s="4" t="s">
        <v>173</v>
      </c>
      <c r="U281" s="14" t="n">
        <f aca="false">IF(OR($S281="",PARAMETROS!$B$4=""),"",$S281*PARAMETROS!$B$4)</f>
        <v>0</v>
      </c>
      <c r="V281" s="13" t="n">
        <v>0</v>
      </c>
      <c r="W281" s="4"/>
      <c r="X281" s="4"/>
      <c r="Y281" s="4"/>
      <c r="Z281" s="4"/>
      <c r="AA281" s="4"/>
      <c r="AB281" s="4"/>
      <c r="AC281" s="4"/>
      <c r="AD281" s="4"/>
      <c r="AE281" s="4"/>
      <c r="AF281" s="4"/>
      <c r="AG281" s="4"/>
      <c r="AH281" s="4"/>
      <c r="AI281" s="4"/>
      <c r="AJ281" s="4"/>
      <c r="AK281" s="4"/>
      <c r="AL281" s="4" t="s">
        <v>174</v>
      </c>
      <c r="AM281" s="4" t="s">
        <v>205</v>
      </c>
    </row>
    <row r="282" customFormat="false" ht="23.85" hidden="false" customHeight="false" outlineLevel="0" collapsed="false">
      <c r="A282" s="4" t="s">
        <v>167</v>
      </c>
      <c r="B282" s="4" t="s">
        <v>457</v>
      </c>
      <c r="C282" s="4" t="s">
        <v>457</v>
      </c>
      <c r="D282" s="12" t="n">
        <v>2019</v>
      </c>
      <c r="E282" s="4"/>
      <c r="F282" s="4" t="s">
        <v>169</v>
      </c>
      <c r="G282" s="4" t="s">
        <v>170</v>
      </c>
      <c r="H282" s="4" t="s">
        <v>171</v>
      </c>
      <c r="I282" s="4" t="s">
        <v>172</v>
      </c>
      <c r="J282" s="4" t="s">
        <v>457</v>
      </c>
      <c r="K282" s="4" t="s">
        <v>78</v>
      </c>
      <c r="L282" s="4" t="s">
        <v>79</v>
      </c>
      <c r="M282" s="4"/>
      <c r="N282" s="4"/>
      <c r="O282" s="4"/>
      <c r="P282" s="4"/>
      <c r="Q282" s="4"/>
      <c r="R282" s="4"/>
      <c r="S282" s="13" t="n">
        <v>136.81</v>
      </c>
      <c r="T282" s="4" t="s">
        <v>173</v>
      </c>
      <c r="U282" s="14" t="n">
        <f aca="false">IF(OR($S282="",PARAMETROS!$B$4=""),"",$S282*PARAMETROS!$B$4)</f>
        <v>794.8661</v>
      </c>
      <c r="V282" s="13" t="n">
        <v>0</v>
      </c>
      <c r="W282" s="4"/>
      <c r="X282" s="4"/>
      <c r="Y282" s="4"/>
      <c r="Z282" s="4"/>
      <c r="AA282" s="4"/>
      <c r="AB282" s="4"/>
      <c r="AC282" s="4"/>
      <c r="AD282" s="4"/>
      <c r="AE282" s="4"/>
      <c r="AF282" s="4"/>
      <c r="AG282" s="4"/>
      <c r="AH282" s="4"/>
      <c r="AI282" s="4"/>
      <c r="AJ282" s="4"/>
      <c r="AK282" s="4"/>
      <c r="AL282" s="4" t="s">
        <v>174</v>
      </c>
      <c r="AM282" s="4" t="s">
        <v>175</v>
      </c>
    </row>
    <row r="283" customFormat="false" ht="23.85" hidden="false" customHeight="false" outlineLevel="0" collapsed="false">
      <c r="A283" s="4" t="s">
        <v>167</v>
      </c>
      <c r="B283" s="4" t="s">
        <v>458</v>
      </c>
      <c r="C283" s="4" t="s">
        <v>458</v>
      </c>
      <c r="D283" s="12" t="n">
        <v>2019</v>
      </c>
      <c r="E283" s="4"/>
      <c r="F283" s="4" t="s">
        <v>169</v>
      </c>
      <c r="G283" s="4" t="s">
        <v>170</v>
      </c>
      <c r="H283" s="4" t="s">
        <v>171</v>
      </c>
      <c r="I283" s="4" t="s">
        <v>172</v>
      </c>
      <c r="J283" s="4" t="s">
        <v>458</v>
      </c>
      <c r="K283" s="4" t="s">
        <v>78</v>
      </c>
      <c r="L283" s="4" t="s">
        <v>79</v>
      </c>
      <c r="M283" s="4"/>
      <c r="N283" s="4"/>
      <c r="O283" s="4"/>
      <c r="P283" s="4"/>
      <c r="Q283" s="4"/>
      <c r="R283" s="4"/>
      <c r="S283" s="13" t="n">
        <v>0</v>
      </c>
      <c r="T283" s="4" t="s">
        <v>173</v>
      </c>
      <c r="U283" s="14" t="n">
        <f aca="false">IF(OR($S283="",PARAMETROS!$B$4=""),"",$S283*PARAMETROS!$B$4)</f>
        <v>0</v>
      </c>
      <c r="V283" s="13" t="n">
        <v>0</v>
      </c>
      <c r="W283" s="4"/>
      <c r="X283" s="4"/>
      <c r="Y283" s="4"/>
      <c r="Z283" s="4"/>
      <c r="AA283" s="4"/>
      <c r="AB283" s="4"/>
      <c r="AC283" s="4"/>
      <c r="AD283" s="4"/>
      <c r="AE283" s="4"/>
      <c r="AF283" s="4"/>
      <c r="AG283" s="4"/>
      <c r="AH283" s="4"/>
      <c r="AI283" s="4"/>
      <c r="AJ283" s="4"/>
      <c r="AK283" s="4"/>
      <c r="AL283" s="4" t="s">
        <v>174</v>
      </c>
      <c r="AM283" s="4" t="s">
        <v>175</v>
      </c>
    </row>
    <row r="284" customFormat="false" ht="23.85" hidden="false" customHeight="false" outlineLevel="0" collapsed="false">
      <c r="A284" s="4" t="s">
        <v>167</v>
      </c>
      <c r="B284" s="4" t="s">
        <v>459</v>
      </c>
      <c r="C284" s="4" t="s">
        <v>459</v>
      </c>
      <c r="D284" s="12" t="n">
        <v>2019</v>
      </c>
      <c r="E284" s="4"/>
      <c r="F284" s="4" t="s">
        <v>169</v>
      </c>
      <c r="G284" s="4" t="s">
        <v>170</v>
      </c>
      <c r="H284" s="4" t="s">
        <v>171</v>
      </c>
      <c r="I284" s="4" t="s">
        <v>172</v>
      </c>
      <c r="J284" s="4" t="s">
        <v>459</v>
      </c>
      <c r="K284" s="4" t="s">
        <v>78</v>
      </c>
      <c r="L284" s="4" t="s">
        <v>79</v>
      </c>
      <c r="M284" s="4"/>
      <c r="N284" s="4"/>
      <c r="O284" s="4"/>
      <c r="P284" s="4"/>
      <c r="Q284" s="4"/>
      <c r="R284" s="4"/>
      <c r="S284" s="13" t="n">
        <v>0</v>
      </c>
      <c r="T284" s="4" t="s">
        <v>173</v>
      </c>
      <c r="U284" s="14" t="n">
        <f aca="false">IF(OR($S284="",PARAMETROS!$B$4=""),"",$S284*PARAMETROS!$B$4)</f>
        <v>0</v>
      </c>
      <c r="V284" s="13" t="n">
        <v>0</v>
      </c>
      <c r="W284" s="4"/>
      <c r="X284" s="4"/>
      <c r="Y284" s="4"/>
      <c r="Z284" s="4"/>
      <c r="AA284" s="4"/>
      <c r="AB284" s="4"/>
      <c r="AC284" s="4"/>
      <c r="AD284" s="4"/>
      <c r="AE284" s="4"/>
      <c r="AF284" s="4"/>
      <c r="AG284" s="4"/>
      <c r="AH284" s="4"/>
      <c r="AI284" s="4"/>
      <c r="AJ284" s="4"/>
      <c r="AK284" s="4"/>
      <c r="AL284" s="4" t="s">
        <v>174</v>
      </c>
      <c r="AM284" s="4" t="s">
        <v>175</v>
      </c>
    </row>
    <row r="285" customFormat="false" ht="23.85" hidden="false" customHeight="false" outlineLevel="0" collapsed="false">
      <c r="A285" s="4" t="s">
        <v>167</v>
      </c>
      <c r="B285" s="4" t="s">
        <v>460</v>
      </c>
      <c r="C285" s="4" t="s">
        <v>460</v>
      </c>
      <c r="D285" s="12" t="n">
        <v>2019</v>
      </c>
      <c r="E285" s="4"/>
      <c r="F285" s="4" t="s">
        <v>169</v>
      </c>
      <c r="G285" s="4" t="s">
        <v>170</v>
      </c>
      <c r="H285" s="4" t="s">
        <v>171</v>
      </c>
      <c r="I285" s="4" t="s">
        <v>172</v>
      </c>
      <c r="J285" s="4" t="s">
        <v>460</v>
      </c>
      <c r="K285" s="4" t="s">
        <v>78</v>
      </c>
      <c r="L285" s="4" t="s">
        <v>79</v>
      </c>
      <c r="M285" s="4"/>
      <c r="N285" s="4"/>
      <c r="O285" s="4"/>
      <c r="P285" s="4"/>
      <c r="Q285" s="4"/>
      <c r="R285" s="4"/>
      <c r="S285" s="13" t="n">
        <v>0</v>
      </c>
      <c r="T285" s="4" t="s">
        <v>173</v>
      </c>
      <c r="U285" s="14" t="n">
        <f aca="false">IF(OR($S285="",PARAMETROS!$B$4=""),"",$S285*PARAMETROS!$B$4)</f>
        <v>0</v>
      </c>
      <c r="V285" s="13" t="n">
        <v>0</v>
      </c>
      <c r="W285" s="4"/>
      <c r="X285" s="4"/>
      <c r="Y285" s="4"/>
      <c r="Z285" s="4"/>
      <c r="AA285" s="4"/>
      <c r="AB285" s="4"/>
      <c r="AC285" s="4"/>
      <c r="AD285" s="4"/>
      <c r="AE285" s="4"/>
      <c r="AF285" s="4"/>
      <c r="AG285" s="4"/>
      <c r="AH285" s="4"/>
      <c r="AI285" s="4"/>
      <c r="AJ285" s="4"/>
      <c r="AK285" s="4"/>
      <c r="AL285" s="4" t="s">
        <v>174</v>
      </c>
      <c r="AM285" s="4" t="s">
        <v>175</v>
      </c>
    </row>
    <row r="286" customFormat="false" ht="23.85" hidden="false" customHeight="false" outlineLevel="0" collapsed="false">
      <c r="A286" s="4" t="s">
        <v>167</v>
      </c>
      <c r="B286" s="4" t="s">
        <v>461</v>
      </c>
      <c r="C286" s="4" t="s">
        <v>461</v>
      </c>
      <c r="D286" s="12" t="n">
        <v>2019</v>
      </c>
      <c r="E286" s="4"/>
      <c r="F286" s="4" t="s">
        <v>169</v>
      </c>
      <c r="G286" s="4" t="s">
        <v>170</v>
      </c>
      <c r="H286" s="4" t="s">
        <v>171</v>
      </c>
      <c r="I286" s="4" t="s">
        <v>172</v>
      </c>
      <c r="J286" s="4" t="s">
        <v>461</v>
      </c>
      <c r="K286" s="4" t="s">
        <v>78</v>
      </c>
      <c r="L286" s="4" t="s">
        <v>79</v>
      </c>
      <c r="M286" s="4"/>
      <c r="N286" s="4"/>
      <c r="O286" s="4"/>
      <c r="P286" s="4"/>
      <c r="Q286" s="4"/>
      <c r="R286" s="4"/>
      <c r="S286" s="13" t="n">
        <v>0</v>
      </c>
      <c r="T286" s="4" t="s">
        <v>173</v>
      </c>
      <c r="U286" s="14" t="n">
        <f aca="false">IF(OR($S286="",PARAMETROS!$B$4=""),"",$S286*PARAMETROS!$B$4)</f>
        <v>0</v>
      </c>
      <c r="V286" s="13" t="n">
        <v>0</v>
      </c>
      <c r="W286" s="4"/>
      <c r="X286" s="4"/>
      <c r="Y286" s="4"/>
      <c r="Z286" s="4"/>
      <c r="AA286" s="4"/>
      <c r="AB286" s="4"/>
      <c r="AC286" s="4"/>
      <c r="AD286" s="4"/>
      <c r="AE286" s="4"/>
      <c r="AF286" s="4"/>
      <c r="AG286" s="4"/>
      <c r="AH286" s="4"/>
      <c r="AI286" s="4"/>
      <c r="AJ286" s="4"/>
      <c r="AK286" s="4"/>
      <c r="AL286" s="4" t="s">
        <v>174</v>
      </c>
      <c r="AM286" s="4" t="s">
        <v>175</v>
      </c>
    </row>
    <row r="287" customFormat="false" ht="23.85" hidden="false" customHeight="false" outlineLevel="0" collapsed="false">
      <c r="A287" s="4" t="s">
        <v>167</v>
      </c>
      <c r="B287" s="4" t="s">
        <v>462</v>
      </c>
      <c r="C287" s="4" t="s">
        <v>462</v>
      </c>
      <c r="D287" s="12" t="n">
        <v>2019</v>
      </c>
      <c r="E287" s="4"/>
      <c r="F287" s="4" t="s">
        <v>169</v>
      </c>
      <c r="G287" s="4" t="s">
        <v>170</v>
      </c>
      <c r="H287" s="4" t="s">
        <v>171</v>
      </c>
      <c r="I287" s="4" t="s">
        <v>172</v>
      </c>
      <c r="J287" s="4" t="s">
        <v>462</v>
      </c>
      <c r="K287" s="4" t="s">
        <v>78</v>
      </c>
      <c r="L287" s="4" t="s">
        <v>79</v>
      </c>
      <c r="M287" s="4"/>
      <c r="N287" s="4"/>
      <c r="O287" s="4"/>
      <c r="P287" s="4"/>
      <c r="Q287" s="4"/>
      <c r="R287" s="4"/>
      <c r="S287" s="13" t="n">
        <v>-136.81</v>
      </c>
      <c r="T287" s="4" t="s">
        <v>173</v>
      </c>
      <c r="U287" s="14" t="n">
        <f aca="false">IF(OR($S287="",PARAMETROS!$B$4=""),"",$S287*PARAMETROS!$B$4)</f>
        <v>-794.8661</v>
      </c>
      <c r="V287" s="13" t="n">
        <v>0</v>
      </c>
      <c r="W287" s="4"/>
      <c r="X287" s="4"/>
      <c r="Y287" s="4"/>
      <c r="Z287" s="4"/>
      <c r="AA287" s="4"/>
      <c r="AB287" s="4"/>
      <c r="AC287" s="4"/>
      <c r="AD287" s="4"/>
      <c r="AE287" s="4"/>
      <c r="AF287" s="4"/>
      <c r="AG287" s="4"/>
      <c r="AH287" s="4"/>
      <c r="AI287" s="4"/>
      <c r="AJ287" s="4"/>
      <c r="AK287" s="4"/>
      <c r="AL287" s="4" t="s">
        <v>174</v>
      </c>
      <c r="AM287" s="4" t="s">
        <v>175</v>
      </c>
    </row>
    <row r="288" customFormat="false" ht="23.85" hidden="false" customHeight="false" outlineLevel="0" collapsed="false">
      <c r="A288" s="4" t="s">
        <v>167</v>
      </c>
      <c r="B288" s="4" t="s">
        <v>463</v>
      </c>
      <c r="C288" s="4" t="s">
        <v>463</v>
      </c>
      <c r="D288" s="12" t="n">
        <v>2019</v>
      </c>
      <c r="E288" s="4"/>
      <c r="F288" s="4" t="s">
        <v>169</v>
      </c>
      <c r="G288" s="4" t="s">
        <v>170</v>
      </c>
      <c r="H288" s="4" t="s">
        <v>171</v>
      </c>
      <c r="I288" s="4" t="s">
        <v>172</v>
      </c>
      <c r="J288" s="4" t="s">
        <v>463</v>
      </c>
      <c r="K288" s="4" t="s">
        <v>78</v>
      </c>
      <c r="L288" s="4" t="s">
        <v>79</v>
      </c>
      <c r="M288" s="4"/>
      <c r="N288" s="4"/>
      <c r="O288" s="4"/>
      <c r="P288" s="4"/>
      <c r="Q288" s="4"/>
      <c r="R288" s="4"/>
      <c r="S288" s="13" t="n">
        <v>0</v>
      </c>
      <c r="T288" s="4" t="s">
        <v>173</v>
      </c>
      <c r="U288" s="14" t="n">
        <f aca="false">IF(OR($S288="",PARAMETROS!$B$4=""),"",$S288*PARAMETROS!$B$4)</f>
        <v>0</v>
      </c>
      <c r="V288" s="13" t="n">
        <v>0</v>
      </c>
      <c r="W288" s="4"/>
      <c r="X288" s="4"/>
      <c r="Y288" s="4"/>
      <c r="Z288" s="4"/>
      <c r="AA288" s="4"/>
      <c r="AB288" s="4"/>
      <c r="AC288" s="4"/>
      <c r="AD288" s="4"/>
      <c r="AE288" s="4"/>
      <c r="AF288" s="4"/>
      <c r="AG288" s="4"/>
      <c r="AH288" s="4"/>
      <c r="AI288" s="4"/>
      <c r="AJ288" s="4"/>
      <c r="AK288" s="4"/>
      <c r="AL288" s="4" t="s">
        <v>174</v>
      </c>
      <c r="AM288" s="4" t="s">
        <v>175</v>
      </c>
    </row>
    <row r="289" customFormat="false" ht="23.85" hidden="false" customHeight="false" outlineLevel="0" collapsed="false">
      <c r="A289" s="4" t="s">
        <v>167</v>
      </c>
      <c r="B289" s="4" t="s">
        <v>464</v>
      </c>
      <c r="C289" s="4" t="s">
        <v>464</v>
      </c>
      <c r="D289" s="12" t="n">
        <v>2019</v>
      </c>
      <c r="E289" s="4"/>
      <c r="F289" s="4" t="s">
        <v>169</v>
      </c>
      <c r="G289" s="4" t="s">
        <v>170</v>
      </c>
      <c r="H289" s="4" t="s">
        <v>171</v>
      </c>
      <c r="I289" s="4" t="s">
        <v>172</v>
      </c>
      <c r="J289" s="4" t="s">
        <v>464</v>
      </c>
      <c r="K289" s="4" t="s">
        <v>78</v>
      </c>
      <c r="L289" s="4" t="s">
        <v>79</v>
      </c>
      <c r="M289" s="4"/>
      <c r="N289" s="4"/>
      <c r="O289" s="4"/>
      <c r="P289" s="4"/>
      <c r="Q289" s="4"/>
      <c r="R289" s="4"/>
      <c r="S289" s="13" t="n">
        <v>0</v>
      </c>
      <c r="T289" s="4" t="s">
        <v>173</v>
      </c>
      <c r="U289" s="14" t="n">
        <f aca="false">IF(OR($S289="",PARAMETROS!$B$4=""),"",$S289*PARAMETROS!$B$4)</f>
        <v>0</v>
      </c>
      <c r="V289" s="13" t="n">
        <v>0</v>
      </c>
      <c r="W289" s="4"/>
      <c r="X289" s="4"/>
      <c r="Y289" s="4"/>
      <c r="Z289" s="4"/>
      <c r="AA289" s="4"/>
      <c r="AB289" s="4"/>
      <c r="AC289" s="4"/>
      <c r="AD289" s="4"/>
      <c r="AE289" s="4"/>
      <c r="AF289" s="4"/>
      <c r="AG289" s="4"/>
      <c r="AH289" s="4"/>
      <c r="AI289" s="4"/>
      <c r="AJ289" s="4"/>
      <c r="AK289" s="4"/>
      <c r="AL289" s="4" t="s">
        <v>174</v>
      </c>
      <c r="AM289" s="4" t="s">
        <v>175</v>
      </c>
    </row>
    <row r="290" customFormat="false" ht="23.85" hidden="false" customHeight="false" outlineLevel="0" collapsed="false">
      <c r="A290" s="4" t="s">
        <v>167</v>
      </c>
      <c r="B290" s="4" t="s">
        <v>465</v>
      </c>
      <c r="C290" s="4" t="s">
        <v>465</v>
      </c>
      <c r="D290" s="12" t="n">
        <v>2019</v>
      </c>
      <c r="E290" s="4"/>
      <c r="F290" s="4" t="s">
        <v>169</v>
      </c>
      <c r="G290" s="4" t="s">
        <v>170</v>
      </c>
      <c r="H290" s="4" t="s">
        <v>171</v>
      </c>
      <c r="I290" s="4" t="s">
        <v>172</v>
      </c>
      <c r="J290" s="4" t="s">
        <v>465</v>
      </c>
      <c r="K290" s="4" t="s">
        <v>78</v>
      </c>
      <c r="L290" s="4" t="s">
        <v>79</v>
      </c>
      <c r="M290" s="4"/>
      <c r="N290" s="4"/>
      <c r="O290" s="4"/>
      <c r="P290" s="4"/>
      <c r="Q290" s="4"/>
      <c r="R290" s="4"/>
      <c r="S290" s="13" t="n">
        <v>0</v>
      </c>
      <c r="T290" s="4" t="s">
        <v>173</v>
      </c>
      <c r="U290" s="14" t="n">
        <f aca="false">IF(OR($S290="",PARAMETROS!$B$4=""),"",$S290*PARAMETROS!$B$4)</f>
        <v>0</v>
      </c>
      <c r="V290" s="13" t="n">
        <v>0</v>
      </c>
      <c r="W290" s="4"/>
      <c r="X290" s="4"/>
      <c r="Y290" s="4"/>
      <c r="Z290" s="4"/>
      <c r="AA290" s="4"/>
      <c r="AB290" s="4"/>
      <c r="AC290" s="4"/>
      <c r="AD290" s="4"/>
      <c r="AE290" s="4"/>
      <c r="AF290" s="4"/>
      <c r="AG290" s="4"/>
      <c r="AH290" s="4"/>
      <c r="AI290" s="4"/>
      <c r="AJ290" s="4"/>
      <c r="AK290" s="4"/>
      <c r="AL290" s="4" t="s">
        <v>174</v>
      </c>
      <c r="AM290" s="4" t="s">
        <v>175</v>
      </c>
    </row>
    <row r="291" customFormat="false" ht="23.85" hidden="false" customHeight="false" outlineLevel="0" collapsed="false">
      <c r="A291" s="4" t="s">
        <v>167</v>
      </c>
      <c r="B291" s="4" t="s">
        <v>466</v>
      </c>
      <c r="C291" s="4" t="s">
        <v>466</v>
      </c>
      <c r="D291" s="12" t="n">
        <v>2019</v>
      </c>
      <c r="E291" s="4"/>
      <c r="F291" s="4" t="s">
        <v>169</v>
      </c>
      <c r="G291" s="4" t="s">
        <v>170</v>
      </c>
      <c r="H291" s="4" t="s">
        <v>171</v>
      </c>
      <c r="I291" s="4" t="s">
        <v>172</v>
      </c>
      <c r="J291" s="4" t="s">
        <v>466</v>
      </c>
      <c r="K291" s="4" t="s">
        <v>78</v>
      </c>
      <c r="L291" s="4" t="s">
        <v>79</v>
      </c>
      <c r="M291" s="4"/>
      <c r="N291" s="4"/>
      <c r="O291" s="4"/>
      <c r="P291" s="4"/>
      <c r="Q291" s="4"/>
      <c r="R291" s="4"/>
      <c r="S291" s="13" t="n">
        <v>0</v>
      </c>
      <c r="T291" s="4" t="s">
        <v>173</v>
      </c>
      <c r="U291" s="14" t="n">
        <f aca="false">IF(OR($S291="",PARAMETROS!$B$4=""),"",$S291*PARAMETROS!$B$4)</f>
        <v>0</v>
      </c>
      <c r="V291" s="13" t="n">
        <v>0</v>
      </c>
      <c r="W291" s="4"/>
      <c r="X291" s="4"/>
      <c r="Y291" s="4"/>
      <c r="Z291" s="4"/>
      <c r="AA291" s="4"/>
      <c r="AB291" s="4"/>
      <c r="AC291" s="4"/>
      <c r="AD291" s="4"/>
      <c r="AE291" s="4"/>
      <c r="AF291" s="4"/>
      <c r="AG291" s="4"/>
      <c r="AH291" s="4"/>
      <c r="AI291" s="4"/>
      <c r="AJ291" s="4"/>
      <c r="AK291" s="4"/>
      <c r="AL291" s="4" t="s">
        <v>174</v>
      </c>
      <c r="AM291" s="4" t="s">
        <v>175</v>
      </c>
    </row>
    <row r="292" customFormat="false" ht="23.85" hidden="false" customHeight="false" outlineLevel="0" collapsed="false">
      <c r="A292" s="4" t="s">
        <v>167</v>
      </c>
      <c r="B292" s="4" t="s">
        <v>467</v>
      </c>
      <c r="C292" s="4" t="s">
        <v>467</v>
      </c>
      <c r="D292" s="12" t="n">
        <v>2019</v>
      </c>
      <c r="E292" s="4"/>
      <c r="F292" s="4" t="s">
        <v>169</v>
      </c>
      <c r="G292" s="4" t="s">
        <v>170</v>
      </c>
      <c r="H292" s="4" t="s">
        <v>171</v>
      </c>
      <c r="I292" s="4" t="s">
        <v>172</v>
      </c>
      <c r="J292" s="4" t="s">
        <v>467</v>
      </c>
      <c r="K292" s="4" t="s">
        <v>78</v>
      </c>
      <c r="L292" s="4" t="s">
        <v>79</v>
      </c>
      <c r="M292" s="4"/>
      <c r="N292" s="4"/>
      <c r="O292" s="4"/>
      <c r="P292" s="4"/>
      <c r="Q292" s="4"/>
      <c r="R292" s="4"/>
      <c r="S292" s="13" t="n">
        <v>0</v>
      </c>
      <c r="T292" s="4" t="s">
        <v>173</v>
      </c>
      <c r="U292" s="14" t="n">
        <f aca="false">IF(OR($S292="",PARAMETROS!$B$4=""),"",$S292*PARAMETROS!$B$4)</f>
        <v>0</v>
      </c>
      <c r="V292" s="13" t="n">
        <v>0</v>
      </c>
      <c r="W292" s="4"/>
      <c r="X292" s="4"/>
      <c r="Y292" s="4"/>
      <c r="Z292" s="4"/>
      <c r="AA292" s="4"/>
      <c r="AB292" s="4"/>
      <c r="AC292" s="4"/>
      <c r="AD292" s="4"/>
      <c r="AE292" s="4"/>
      <c r="AF292" s="4"/>
      <c r="AG292" s="4"/>
      <c r="AH292" s="4"/>
      <c r="AI292" s="4"/>
      <c r="AJ292" s="4"/>
      <c r="AK292" s="4"/>
      <c r="AL292" s="4" t="s">
        <v>174</v>
      </c>
      <c r="AM292" s="4" t="s">
        <v>175</v>
      </c>
    </row>
    <row r="293" customFormat="false" ht="23.85" hidden="false" customHeight="false" outlineLevel="0" collapsed="false">
      <c r="A293" s="4" t="s">
        <v>167</v>
      </c>
      <c r="B293" s="4" t="s">
        <v>468</v>
      </c>
      <c r="C293" s="4" t="s">
        <v>468</v>
      </c>
      <c r="D293" s="12" t="n">
        <v>2019</v>
      </c>
      <c r="E293" s="4"/>
      <c r="F293" s="4" t="s">
        <v>169</v>
      </c>
      <c r="G293" s="4" t="s">
        <v>170</v>
      </c>
      <c r="H293" s="4" t="s">
        <v>171</v>
      </c>
      <c r="I293" s="4" t="s">
        <v>172</v>
      </c>
      <c r="J293" s="4" t="s">
        <v>468</v>
      </c>
      <c r="K293" s="4" t="s">
        <v>78</v>
      </c>
      <c r="L293" s="4" t="s">
        <v>79</v>
      </c>
      <c r="M293" s="4"/>
      <c r="N293" s="4"/>
      <c r="O293" s="4"/>
      <c r="P293" s="4"/>
      <c r="Q293" s="4"/>
      <c r="R293" s="4"/>
      <c r="S293" s="13" t="n">
        <v>0</v>
      </c>
      <c r="T293" s="4" t="s">
        <v>173</v>
      </c>
      <c r="U293" s="14" t="n">
        <f aca="false">IF(OR($S293="",PARAMETROS!$B$4=""),"",$S293*PARAMETROS!$B$4)</f>
        <v>0</v>
      </c>
      <c r="V293" s="13" t="n">
        <v>0</v>
      </c>
      <c r="W293" s="4"/>
      <c r="X293" s="4"/>
      <c r="Y293" s="4"/>
      <c r="Z293" s="4"/>
      <c r="AA293" s="4"/>
      <c r="AB293" s="4"/>
      <c r="AC293" s="4"/>
      <c r="AD293" s="4"/>
      <c r="AE293" s="4"/>
      <c r="AF293" s="4"/>
      <c r="AG293" s="4"/>
      <c r="AH293" s="4"/>
      <c r="AI293" s="4"/>
      <c r="AJ293" s="4"/>
      <c r="AK293" s="4"/>
      <c r="AL293" s="4" t="s">
        <v>174</v>
      </c>
      <c r="AM293" s="4" t="s">
        <v>175</v>
      </c>
    </row>
    <row r="294" customFormat="false" ht="23.85" hidden="false" customHeight="false" outlineLevel="0" collapsed="false">
      <c r="A294" s="4" t="s">
        <v>167</v>
      </c>
      <c r="B294" s="4" t="s">
        <v>469</v>
      </c>
      <c r="C294" s="4" t="s">
        <v>469</v>
      </c>
      <c r="D294" s="12" t="n">
        <v>2019</v>
      </c>
      <c r="E294" s="4"/>
      <c r="F294" s="4" t="s">
        <v>169</v>
      </c>
      <c r="G294" s="4" t="s">
        <v>170</v>
      </c>
      <c r="H294" s="4" t="s">
        <v>171</v>
      </c>
      <c r="I294" s="4" t="s">
        <v>172</v>
      </c>
      <c r="J294" s="4" t="s">
        <v>469</v>
      </c>
      <c r="K294" s="4" t="s">
        <v>78</v>
      </c>
      <c r="L294" s="4" t="s">
        <v>79</v>
      </c>
      <c r="M294" s="4"/>
      <c r="N294" s="4"/>
      <c r="O294" s="4"/>
      <c r="P294" s="4"/>
      <c r="Q294" s="4"/>
      <c r="R294" s="4"/>
      <c r="S294" s="13" t="n">
        <v>0</v>
      </c>
      <c r="T294" s="4" t="s">
        <v>173</v>
      </c>
      <c r="U294" s="14" t="n">
        <f aca="false">IF(OR($S294="",PARAMETROS!$B$4=""),"",$S294*PARAMETROS!$B$4)</f>
        <v>0</v>
      </c>
      <c r="V294" s="13" t="n">
        <v>0</v>
      </c>
      <c r="W294" s="4"/>
      <c r="X294" s="4"/>
      <c r="Y294" s="4"/>
      <c r="Z294" s="4"/>
      <c r="AA294" s="4"/>
      <c r="AB294" s="4"/>
      <c r="AC294" s="4"/>
      <c r="AD294" s="4"/>
      <c r="AE294" s="4"/>
      <c r="AF294" s="4"/>
      <c r="AG294" s="4"/>
      <c r="AH294" s="4"/>
      <c r="AI294" s="4"/>
      <c r="AJ294" s="4"/>
      <c r="AK294" s="4"/>
      <c r="AL294" s="4" t="s">
        <v>174</v>
      </c>
      <c r="AM294" s="4" t="s">
        <v>175</v>
      </c>
    </row>
    <row r="295" customFormat="false" ht="23.85" hidden="false" customHeight="false" outlineLevel="0" collapsed="false">
      <c r="A295" s="4" t="s">
        <v>167</v>
      </c>
      <c r="B295" s="4" t="s">
        <v>470</v>
      </c>
      <c r="C295" s="4" t="s">
        <v>470</v>
      </c>
      <c r="D295" s="12" t="n">
        <v>2019</v>
      </c>
      <c r="E295" s="4"/>
      <c r="F295" s="4" t="s">
        <v>169</v>
      </c>
      <c r="G295" s="4" t="s">
        <v>170</v>
      </c>
      <c r="H295" s="4" t="s">
        <v>171</v>
      </c>
      <c r="I295" s="4" t="s">
        <v>172</v>
      </c>
      <c r="J295" s="4" t="s">
        <v>470</v>
      </c>
      <c r="K295" s="4" t="s">
        <v>78</v>
      </c>
      <c r="L295" s="4" t="s">
        <v>79</v>
      </c>
      <c r="M295" s="4"/>
      <c r="N295" s="4"/>
      <c r="O295" s="4"/>
      <c r="P295" s="4"/>
      <c r="Q295" s="4"/>
      <c r="R295" s="4"/>
      <c r="S295" s="13" t="n">
        <v>0</v>
      </c>
      <c r="T295" s="4" t="s">
        <v>173</v>
      </c>
      <c r="U295" s="14" t="n">
        <f aca="false">IF(OR($S295="",PARAMETROS!$B$4=""),"",$S295*PARAMETROS!$B$4)</f>
        <v>0</v>
      </c>
      <c r="V295" s="13" t="n">
        <v>0</v>
      </c>
      <c r="W295" s="4"/>
      <c r="X295" s="4"/>
      <c r="Y295" s="4"/>
      <c r="Z295" s="4"/>
      <c r="AA295" s="4"/>
      <c r="AB295" s="4"/>
      <c r="AC295" s="4"/>
      <c r="AD295" s="4"/>
      <c r="AE295" s="4"/>
      <c r="AF295" s="4"/>
      <c r="AG295" s="4"/>
      <c r="AH295" s="4"/>
      <c r="AI295" s="4"/>
      <c r="AJ295" s="4"/>
      <c r="AK295" s="4"/>
      <c r="AL295" s="4" t="s">
        <v>174</v>
      </c>
      <c r="AM295" s="4" t="s">
        <v>175</v>
      </c>
    </row>
    <row r="296" customFormat="false" ht="23.85" hidden="false" customHeight="false" outlineLevel="0" collapsed="false">
      <c r="A296" s="4" t="s">
        <v>167</v>
      </c>
      <c r="B296" s="4" t="s">
        <v>471</v>
      </c>
      <c r="C296" s="4" t="s">
        <v>471</v>
      </c>
      <c r="D296" s="12" t="n">
        <v>2019</v>
      </c>
      <c r="E296" s="4"/>
      <c r="F296" s="4" t="s">
        <v>169</v>
      </c>
      <c r="G296" s="4" t="s">
        <v>170</v>
      </c>
      <c r="H296" s="4" t="s">
        <v>171</v>
      </c>
      <c r="I296" s="4" t="s">
        <v>172</v>
      </c>
      <c r="J296" s="4" t="s">
        <v>471</v>
      </c>
      <c r="K296" s="4" t="s">
        <v>80</v>
      </c>
      <c r="L296" s="4" t="s">
        <v>81</v>
      </c>
      <c r="M296" s="4"/>
      <c r="N296" s="4"/>
      <c r="O296" s="4"/>
      <c r="P296" s="4"/>
      <c r="Q296" s="4"/>
      <c r="R296" s="4"/>
      <c r="S296" s="13" t="n">
        <v>1861.53</v>
      </c>
      <c r="T296" s="4" t="s">
        <v>173</v>
      </c>
      <c r="U296" s="14" t="n">
        <f aca="false">IF(OR($S296="",PARAMETROS!$B$4=""),"",$S296*PARAMETROS!$B$4)</f>
        <v>10815.4893</v>
      </c>
      <c r="V296" s="13" t="n">
        <v>0</v>
      </c>
      <c r="W296" s="4"/>
      <c r="X296" s="4"/>
      <c r="Y296" s="4"/>
      <c r="Z296" s="4"/>
      <c r="AA296" s="4"/>
      <c r="AB296" s="4"/>
      <c r="AC296" s="4"/>
      <c r="AD296" s="4"/>
      <c r="AE296" s="4"/>
      <c r="AF296" s="4"/>
      <c r="AG296" s="4"/>
      <c r="AH296" s="4"/>
      <c r="AI296" s="4"/>
      <c r="AJ296" s="4"/>
      <c r="AK296" s="4"/>
      <c r="AL296" s="4" t="s">
        <v>174</v>
      </c>
      <c r="AM296" s="4" t="s">
        <v>190</v>
      </c>
    </row>
    <row r="297" customFormat="false" ht="23.85" hidden="false" customHeight="false" outlineLevel="0" collapsed="false">
      <c r="A297" s="4" t="s">
        <v>167</v>
      </c>
      <c r="B297" s="4" t="s">
        <v>472</v>
      </c>
      <c r="C297" s="4" t="s">
        <v>472</v>
      </c>
      <c r="D297" s="12" t="n">
        <v>2019</v>
      </c>
      <c r="E297" s="4"/>
      <c r="F297" s="4" t="s">
        <v>169</v>
      </c>
      <c r="G297" s="4" t="s">
        <v>170</v>
      </c>
      <c r="H297" s="4" t="s">
        <v>171</v>
      </c>
      <c r="I297" s="4" t="s">
        <v>172</v>
      </c>
      <c r="J297" s="4" t="s">
        <v>472</v>
      </c>
      <c r="K297" s="4" t="s">
        <v>80</v>
      </c>
      <c r="L297" s="4" t="s">
        <v>81</v>
      </c>
      <c r="M297" s="4"/>
      <c r="N297" s="4"/>
      <c r="O297" s="4"/>
      <c r="P297" s="4"/>
      <c r="Q297" s="4"/>
      <c r="R297" s="4"/>
      <c r="S297" s="13" t="n">
        <v>0</v>
      </c>
      <c r="T297" s="4" t="s">
        <v>173</v>
      </c>
      <c r="U297" s="14" t="n">
        <f aca="false">IF(OR($S297="",PARAMETROS!$B$4=""),"",$S297*PARAMETROS!$B$4)</f>
        <v>0</v>
      </c>
      <c r="V297" s="13" t="n">
        <v>0</v>
      </c>
      <c r="W297" s="4"/>
      <c r="X297" s="4"/>
      <c r="Y297" s="4"/>
      <c r="Z297" s="4"/>
      <c r="AA297" s="4"/>
      <c r="AB297" s="4"/>
      <c r="AC297" s="4"/>
      <c r="AD297" s="4"/>
      <c r="AE297" s="4"/>
      <c r="AF297" s="4"/>
      <c r="AG297" s="4"/>
      <c r="AH297" s="4"/>
      <c r="AI297" s="4"/>
      <c r="AJ297" s="4"/>
      <c r="AK297" s="4"/>
      <c r="AL297" s="4" t="s">
        <v>174</v>
      </c>
      <c r="AM297" s="4" t="s">
        <v>190</v>
      </c>
    </row>
    <row r="298" customFormat="false" ht="23.85" hidden="false" customHeight="false" outlineLevel="0" collapsed="false">
      <c r="A298" s="4" t="s">
        <v>167</v>
      </c>
      <c r="B298" s="4" t="s">
        <v>473</v>
      </c>
      <c r="C298" s="4" t="s">
        <v>473</v>
      </c>
      <c r="D298" s="12" t="n">
        <v>2019</v>
      </c>
      <c r="E298" s="4"/>
      <c r="F298" s="4" t="s">
        <v>169</v>
      </c>
      <c r="G298" s="4" t="s">
        <v>170</v>
      </c>
      <c r="H298" s="4" t="s">
        <v>171</v>
      </c>
      <c r="I298" s="4" t="s">
        <v>172</v>
      </c>
      <c r="J298" s="4" t="s">
        <v>473</v>
      </c>
      <c r="K298" s="4" t="s">
        <v>80</v>
      </c>
      <c r="L298" s="4" t="s">
        <v>81</v>
      </c>
      <c r="M298" s="4"/>
      <c r="N298" s="4"/>
      <c r="O298" s="4"/>
      <c r="P298" s="4"/>
      <c r="Q298" s="4"/>
      <c r="R298" s="4"/>
      <c r="S298" s="13" t="n">
        <v>0</v>
      </c>
      <c r="T298" s="4" t="s">
        <v>173</v>
      </c>
      <c r="U298" s="14" t="n">
        <f aca="false">IF(OR($S298="",PARAMETROS!$B$4=""),"",$S298*PARAMETROS!$B$4)</f>
        <v>0</v>
      </c>
      <c r="V298" s="13" t="n">
        <v>0</v>
      </c>
      <c r="W298" s="4"/>
      <c r="X298" s="4"/>
      <c r="Y298" s="4"/>
      <c r="Z298" s="4"/>
      <c r="AA298" s="4"/>
      <c r="AB298" s="4"/>
      <c r="AC298" s="4"/>
      <c r="AD298" s="4"/>
      <c r="AE298" s="4"/>
      <c r="AF298" s="4"/>
      <c r="AG298" s="4"/>
      <c r="AH298" s="4"/>
      <c r="AI298" s="4"/>
      <c r="AJ298" s="4"/>
      <c r="AK298" s="4"/>
      <c r="AL298" s="4" t="s">
        <v>174</v>
      </c>
      <c r="AM298" s="4" t="s">
        <v>190</v>
      </c>
    </row>
    <row r="299" customFormat="false" ht="23.85" hidden="false" customHeight="false" outlineLevel="0" collapsed="false">
      <c r="A299" s="4" t="s">
        <v>167</v>
      </c>
      <c r="B299" s="4" t="s">
        <v>474</v>
      </c>
      <c r="C299" s="4" t="s">
        <v>474</v>
      </c>
      <c r="D299" s="12" t="n">
        <v>2019</v>
      </c>
      <c r="E299" s="4"/>
      <c r="F299" s="4" t="s">
        <v>169</v>
      </c>
      <c r="G299" s="4" t="s">
        <v>170</v>
      </c>
      <c r="H299" s="4" t="s">
        <v>171</v>
      </c>
      <c r="I299" s="4" t="s">
        <v>172</v>
      </c>
      <c r="J299" s="4" t="s">
        <v>474</v>
      </c>
      <c r="K299" s="4" t="s">
        <v>80</v>
      </c>
      <c r="L299" s="4" t="s">
        <v>81</v>
      </c>
      <c r="M299" s="4"/>
      <c r="N299" s="4"/>
      <c r="O299" s="4"/>
      <c r="P299" s="4"/>
      <c r="Q299" s="4"/>
      <c r="R299" s="4"/>
      <c r="S299" s="13" t="n">
        <v>0</v>
      </c>
      <c r="T299" s="4" t="s">
        <v>173</v>
      </c>
      <c r="U299" s="14" t="n">
        <f aca="false">IF(OR($S299="",PARAMETROS!$B$4=""),"",$S299*PARAMETROS!$B$4)</f>
        <v>0</v>
      </c>
      <c r="V299" s="13" t="n">
        <v>0</v>
      </c>
      <c r="W299" s="4"/>
      <c r="X299" s="4"/>
      <c r="Y299" s="4"/>
      <c r="Z299" s="4"/>
      <c r="AA299" s="4"/>
      <c r="AB299" s="4"/>
      <c r="AC299" s="4"/>
      <c r="AD299" s="4"/>
      <c r="AE299" s="4"/>
      <c r="AF299" s="4"/>
      <c r="AG299" s="4"/>
      <c r="AH299" s="4"/>
      <c r="AI299" s="4"/>
      <c r="AJ299" s="4"/>
      <c r="AK299" s="4"/>
      <c r="AL299" s="4" t="s">
        <v>174</v>
      </c>
      <c r="AM299" s="4" t="s">
        <v>190</v>
      </c>
    </row>
    <row r="300" customFormat="false" ht="23.85" hidden="false" customHeight="false" outlineLevel="0" collapsed="false">
      <c r="A300" s="4" t="s">
        <v>167</v>
      </c>
      <c r="B300" s="4" t="s">
        <v>475</v>
      </c>
      <c r="C300" s="4" t="s">
        <v>475</v>
      </c>
      <c r="D300" s="12" t="n">
        <v>2019</v>
      </c>
      <c r="E300" s="4"/>
      <c r="F300" s="4" t="s">
        <v>169</v>
      </c>
      <c r="G300" s="4" t="s">
        <v>170</v>
      </c>
      <c r="H300" s="4" t="s">
        <v>171</v>
      </c>
      <c r="I300" s="4" t="s">
        <v>172</v>
      </c>
      <c r="J300" s="4" t="s">
        <v>475</v>
      </c>
      <c r="K300" s="4" t="s">
        <v>80</v>
      </c>
      <c r="L300" s="4" t="s">
        <v>81</v>
      </c>
      <c r="M300" s="4"/>
      <c r="N300" s="4"/>
      <c r="O300" s="4"/>
      <c r="P300" s="4"/>
      <c r="Q300" s="4"/>
      <c r="R300" s="4"/>
      <c r="S300" s="13" t="n">
        <v>0</v>
      </c>
      <c r="T300" s="4" t="s">
        <v>173</v>
      </c>
      <c r="U300" s="14" t="n">
        <f aca="false">IF(OR($S300="",PARAMETROS!$B$4=""),"",$S300*PARAMETROS!$B$4)</f>
        <v>0</v>
      </c>
      <c r="V300" s="13" t="n">
        <v>0</v>
      </c>
      <c r="W300" s="4"/>
      <c r="X300" s="4"/>
      <c r="Y300" s="4"/>
      <c r="Z300" s="4"/>
      <c r="AA300" s="4"/>
      <c r="AB300" s="4"/>
      <c r="AC300" s="4"/>
      <c r="AD300" s="4"/>
      <c r="AE300" s="4"/>
      <c r="AF300" s="4"/>
      <c r="AG300" s="4"/>
      <c r="AH300" s="4"/>
      <c r="AI300" s="4"/>
      <c r="AJ300" s="4"/>
      <c r="AK300" s="4"/>
      <c r="AL300" s="4" t="s">
        <v>174</v>
      </c>
      <c r="AM300" s="4" t="s">
        <v>190</v>
      </c>
    </row>
    <row r="301" customFormat="false" ht="23.85" hidden="false" customHeight="false" outlineLevel="0" collapsed="false">
      <c r="A301" s="4" t="s">
        <v>167</v>
      </c>
      <c r="B301" s="4" t="s">
        <v>476</v>
      </c>
      <c r="C301" s="4" t="s">
        <v>476</v>
      </c>
      <c r="D301" s="12" t="n">
        <v>2019</v>
      </c>
      <c r="E301" s="4"/>
      <c r="F301" s="4" t="s">
        <v>169</v>
      </c>
      <c r="G301" s="4" t="s">
        <v>170</v>
      </c>
      <c r="H301" s="4" t="s">
        <v>171</v>
      </c>
      <c r="I301" s="4" t="s">
        <v>172</v>
      </c>
      <c r="J301" s="4" t="s">
        <v>476</v>
      </c>
      <c r="K301" s="4" t="s">
        <v>80</v>
      </c>
      <c r="L301" s="4" t="s">
        <v>81</v>
      </c>
      <c r="M301" s="4"/>
      <c r="N301" s="4"/>
      <c r="O301" s="4"/>
      <c r="P301" s="4"/>
      <c r="Q301" s="4"/>
      <c r="R301" s="4"/>
      <c r="S301" s="13" t="n">
        <v>-1861.53</v>
      </c>
      <c r="T301" s="4" t="s">
        <v>173</v>
      </c>
      <c r="U301" s="14" t="n">
        <f aca="false">IF(OR($S301="",PARAMETROS!$B$4=""),"",$S301*PARAMETROS!$B$4)</f>
        <v>-10815.4893</v>
      </c>
      <c r="V301" s="13" t="n">
        <v>0</v>
      </c>
      <c r="W301" s="4"/>
      <c r="X301" s="4"/>
      <c r="Y301" s="4"/>
      <c r="Z301" s="4"/>
      <c r="AA301" s="4"/>
      <c r="AB301" s="4"/>
      <c r="AC301" s="4"/>
      <c r="AD301" s="4"/>
      <c r="AE301" s="4"/>
      <c r="AF301" s="4"/>
      <c r="AG301" s="4"/>
      <c r="AH301" s="4"/>
      <c r="AI301" s="4"/>
      <c r="AJ301" s="4"/>
      <c r="AK301" s="4"/>
      <c r="AL301" s="4" t="s">
        <v>174</v>
      </c>
      <c r="AM301" s="4" t="s">
        <v>190</v>
      </c>
    </row>
    <row r="302" customFormat="false" ht="23.85" hidden="false" customHeight="false" outlineLevel="0" collapsed="false">
      <c r="A302" s="4" t="s">
        <v>167</v>
      </c>
      <c r="B302" s="4" t="s">
        <v>477</v>
      </c>
      <c r="C302" s="4" t="s">
        <v>477</v>
      </c>
      <c r="D302" s="12" t="n">
        <v>2019</v>
      </c>
      <c r="E302" s="4"/>
      <c r="F302" s="4" t="s">
        <v>169</v>
      </c>
      <c r="G302" s="4" t="s">
        <v>170</v>
      </c>
      <c r="H302" s="4" t="s">
        <v>171</v>
      </c>
      <c r="I302" s="4" t="s">
        <v>172</v>
      </c>
      <c r="J302" s="4" t="s">
        <v>477</v>
      </c>
      <c r="K302" s="4" t="s">
        <v>80</v>
      </c>
      <c r="L302" s="4" t="s">
        <v>81</v>
      </c>
      <c r="M302" s="4"/>
      <c r="N302" s="4"/>
      <c r="O302" s="4"/>
      <c r="P302" s="4"/>
      <c r="Q302" s="4"/>
      <c r="R302" s="4"/>
      <c r="S302" s="13" t="n">
        <v>0</v>
      </c>
      <c r="T302" s="4" t="s">
        <v>173</v>
      </c>
      <c r="U302" s="14" t="n">
        <f aca="false">IF(OR($S302="",PARAMETROS!$B$4=""),"",$S302*PARAMETROS!$B$4)</f>
        <v>0</v>
      </c>
      <c r="V302" s="13" t="n">
        <v>0</v>
      </c>
      <c r="W302" s="4"/>
      <c r="X302" s="4"/>
      <c r="Y302" s="4"/>
      <c r="Z302" s="4"/>
      <c r="AA302" s="4"/>
      <c r="AB302" s="4"/>
      <c r="AC302" s="4"/>
      <c r="AD302" s="4"/>
      <c r="AE302" s="4"/>
      <c r="AF302" s="4"/>
      <c r="AG302" s="4"/>
      <c r="AH302" s="4"/>
      <c r="AI302" s="4"/>
      <c r="AJ302" s="4"/>
      <c r="AK302" s="4"/>
      <c r="AL302" s="4" t="s">
        <v>174</v>
      </c>
      <c r="AM302" s="4" t="s">
        <v>190</v>
      </c>
    </row>
    <row r="303" customFormat="false" ht="23.85" hidden="false" customHeight="false" outlineLevel="0" collapsed="false">
      <c r="A303" s="4" t="s">
        <v>167</v>
      </c>
      <c r="B303" s="4" t="s">
        <v>478</v>
      </c>
      <c r="C303" s="4" t="s">
        <v>478</v>
      </c>
      <c r="D303" s="12" t="n">
        <v>2019</v>
      </c>
      <c r="E303" s="4"/>
      <c r="F303" s="4" t="s">
        <v>169</v>
      </c>
      <c r="G303" s="4" t="s">
        <v>170</v>
      </c>
      <c r="H303" s="4" t="s">
        <v>171</v>
      </c>
      <c r="I303" s="4" t="s">
        <v>172</v>
      </c>
      <c r="J303" s="4" t="s">
        <v>478</v>
      </c>
      <c r="K303" s="4" t="s">
        <v>80</v>
      </c>
      <c r="L303" s="4" t="s">
        <v>81</v>
      </c>
      <c r="M303" s="4"/>
      <c r="N303" s="4"/>
      <c r="O303" s="4"/>
      <c r="P303" s="4"/>
      <c r="Q303" s="4"/>
      <c r="R303" s="4"/>
      <c r="S303" s="13" t="n">
        <v>0</v>
      </c>
      <c r="T303" s="4" t="s">
        <v>173</v>
      </c>
      <c r="U303" s="14" t="n">
        <f aca="false">IF(OR($S303="",PARAMETROS!$B$4=""),"",$S303*PARAMETROS!$B$4)</f>
        <v>0</v>
      </c>
      <c r="V303" s="13" t="n">
        <v>0</v>
      </c>
      <c r="W303" s="4"/>
      <c r="X303" s="4"/>
      <c r="Y303" s="4"/>
      <c r="Z303" s="4"/>
      <c r="AA303" s="4"/>
      <c r="AB303" s="4"/>
      <c r="AC303" s="4"/>
      <c r="AD303" s="4"/>
      <c r="AE303" s="4"/>
      <c r="AF303" s="4"/>
      <c r="AG303" s="4"/>
      <c r="AH303" s="4"/>
      <c r="AI303" s="4"/>
      <c r="AJ303" s="4"/>
      <c r="AK303" s="4"/>
      <c r="AL303" s="4" t="s">
        <v>174</v>
      </c>
      <c r="AM303" s="4" t="s">
        <v>190</v>
      </c>
    </row>
    <row r="304" customFormat="false" ht="23.85" hidden="false" customHeight="false" outlineLevel="0" collapsed="false">
      <c r="A304" s="4" t="s">
        <v>167</v>
      </c>
      <c r="B304" s="4" t="s">
        <v>479</v>
      </c>
      <c r="C304" s="4" t="s">
        <v>479</v>
      </c>
      <c r="D304" s="12" t="n">
        <v>2019</v>
      </c>
      <c r="E304" s="4"/>
      <c r="F304" s="4" t="s">
        <v>169</v>
      </c>
      <c r="G304" s="4" t="s">
        <v>170</v>
      </c>
      <c r="H304" s="4" t="s">
        <v>171</v>
      </c>
      <c r="I304" s="4" t="s">
        <v>172</v>
      </c>
      <c r="J304" s="4" t="s">
        <v>479</v>
      </c>
      <c r="K304" s="4" t="s">
        <v>80</v>
      </c>
      <c r="L304" s="4" t="s">
        <v>81</v>
      </c>
      <c r="M304" s="4"/>
      <c r="N304" s="4"/>
      <c r="O304" s="4"/>
      <c r="P304" s="4"/>
      <c r="Q304" s="4"/>
      <c r="R304" s="4"/>
      <c r="S304" s="13" t="n">
        <v>0</v>
      </c>
      <c r="T304" s="4" t="s">
        <v>173</v>
      </c>
      <c r="U304" s="14" t="n">
        <f aca="false">IF(OR($S304="",PARAMETROS!$B$4=""),"",$S304*PARAMETROS!$B$4)</f>
        <v>0</v>
      </c>
      <c r="V304" s="13" t="n">
        <v>0</v>
      </c>
      <c r="W304" s="4"/>
      <c r="X304" s="4"/>
      <c r="Y304" s="4"/>
      <c r="Z304" s="4"/>
      <c r="AA304" s="4"/>
      <c r="AB304" s="4"/>
      <c r="AC304" s="4"/>
      <c r="AD304" s="4"/>
      <c r="AE304" s="4"/>
      <c r="AF304" s="4"/>
      <c r="AG304" s="4"/>
      <c r="AH304" s="4"/>
      <c r="AI304" s="4"/>
      <c r="AJ304" s="4"/>
      <c r="AK304" s="4"/>
      <c r="AL304" s="4" t="s">
        <v>174</v>
      </c>
      <c r="AM304" s="4" t="s">
        <v>190</v>
      </c>
    </row>
    <row r="305" customFormat="false" ht="23.85" hidden="false" customHeight="false" outlineLevel="0" collapsed="false">
      <c r="A305" s="4" t="s">
        <v>167</v>
      </c>
      <c r="B305" s="4" t="s">
        <v>480</v>
      </c>
      <c r="C305" s="4" t="s">
        <v>480</v>
      </c>
      <c r="D305" s="12" t="n">
        <v>2019</v>
      </c>
      <c r="E305" s="4"/>
      <c r="F305" s="4" t="s">
        <v>169</v>
      </c>
      <c r="G305" s="4" t="s">
        <v>170</v>
      </c>
      <c r="H305" s="4" t="s">
        <v>171</v>
      </c>
      <c r="I305" s="4" t="s">
        <v>172</v>
      </c>
      <c r="J305" s="4" t="s">
        <v>480</v>
      </c>
      <c r="K305" s="4" t="s">
        <v>80</v>
      </c>
      <c r="L305" s="4" t="s">
        <v>81</v>
      </c>
      <c r="M305" s="4"/>
      <c r="N305" s="4"/>
      <c r="O305" s="4"/>
      <c r="P305" s="4"/>
      <c r="Q305" s="4"/>
      <c r="R305" s="4"/>
      <c r="S305" s="13" t="n">
        <v>0</v>
      </c>
      <c r="T305" s="4" t="s">
        <v>173</v>
      </c>
      <c r="U305" s="14" t="n">
        <f aca="false">IF(OR($S305="",PARAMETROS!$B$4=""),"",$S305*PARAMETROS!$B$4)</f>
        <v>0</v>
      </c>
      <c r="V305" s="13" t="n">
        <v>0</v>
      </c>
      <c r="W305" s="4"/>
      <c r="X305" s="4"/>
      <c r="Y305" s="4"/>
      <c r="Z305" s="4"/>
      <c r="AA305" s="4"/>
      <c r="AB305" s="4"/>
      <c r="AC305" s="4"/>
      <c r="AD305" s="4"/>
      <c r="AE305" s="4"/>
      <c r="AF305" s="4"/>
      <c r="AG305" s="4"/>
      <c r="AH305" s="4"/>
      <c r="AI305" s="4"/>
      <c r="AJ305" s="4"/>
      <c r="AK305" s="4"/>
      <c r="AL305" s="4" t="s">
        <v>174</v>
      </c>
      <c r="AM305" s="4" t="s">
        <v>190</v>
      </c>
    </row>
    <row r="306" customFormat="false" ht="23.85" hidden="false" customHeight="false" outlineLevel="0" collapsed="false">
      <c r="A306" s="4" t="s">
        <v>167</v>
      </c>
      <c r="B306" s="4" t="s">
        <v>481</v>
      </c>
      <c r="C306" s="4" t="s">
        <v>481</v>
      </c>
      <c r="D306" s="12" t="n">
        <v>2019</v>
      </c>
      <c r="E306" s="4"/>
      <c r="F306" s="4" t="s">
        <v>169</v>
      </c>
      <c r="G306" s="4" t="s">
        <v>170</v>
      </c>
      <c r="H306" s="4" t="s">
        <v>171</v>
      </c>
      <c r="I306" s="4" t="s">
        <v>172</v>
      </c>
      <c r="J306" s="4" t="s">
        <v>481</v>
      </c>
      <c r="K306" s="4" t="s">
        <v>80</v>
      </c>
      <c r="L306" s="4" t="s">
        <v>81</v>
      </c>
      <c r="M306" s="4"/>
      <c r="N306" s="4"/>
      <c r="O306" s="4"/>
      <c r="P306" s="4"/>
      <c r="Q306" s="4"/>
      <c r="R306" s="4"/>
      <c r="S306" s="13" t="n">
        <v>0</v>
      </c>
      <c r="T306" s="4" t="s">
        <v>173</v>
      </c>
      <c r="U306" s="14" t="n">
        <f aca="false">IF(OR($S306="",PARAMETROS!$B$4=""),"",$S306*PARAMETROS!$B$4)</f>
        <v>0</v>
      </c>
      <c r="V306" s="13" t="n">
        <v>0</v>
      </c>
      <c r="W306" s="4"/>
      <c r="X306" s="4"/>
      <c r="Y306" s="4"/>
      <c r="Z306" s="4"/>
      <c r="AA306" s="4"/>
      <c r="AB306" s="4"/>
      <c r="AC306" s="4"/>
      <c r="AD306" s="4"/>
      <c r="AE306" s="4"/>
      <c r="AF306" s="4"/>
      <c r="AG306" s="4"/>
      <c r="AH306" s="4"/>
      <c r="AI306" s="4"/>
      <c r="AJ306" s="4"/>
      <c r="AK306" s="4"/>
      <c r="AL306" s="4" t="s">
        <v>174</v>
      </c>
      <c r="AM306" s="4" t="s">
        <v>190</v>
      </c>
    </row>
    <row r="307" customFormat="false" ht="23.85" hidden="false" customHeight="false" outlineLevel="0" collapsed="false">
      <c r="A307" s="4" t="s">
        <v>167</v>
      </c>
      <c r="B307" s="4" t="s">
        <v>482</v>
      </c>
      <c r="C307" s="4" t="s">
        <v>482</v>
      </c>
      <c r="D307" s="12" t="n">
        <v>2019</v>
      </c>
      <c r="E307" s="4"/>
      <c r="F307" s="4" t="s">
        <v>169</v>
      </c>
      <c r="G307" s="4" t="s">
        <v>170</v>
      </c>
      <c r="H307" s="4" t="s">
        <v>171</v>
      </c>
      <c r="I307" s="4" t="s">
        <v>172</v>
      </c>
      <c r="J307" s="4" t="s">
        <v>482</v>
      </c>
      <c r="K307" s="4" t="s">
        <v>80</v>
      </c>
      <c r="L307" s="4" t="s">
        <v>81</v>
      </c>
      <c r="M307" s="4"/>
      <c r="N307" s="4"/>
      <c r="O307" s="4"/>
      <c r="P307" s="4"/>
      <c r="Q307" s="4"/>
      <c r="R307" s="4"/>
      <c r="S307" s="13" t="n">
        <v>0</v>
      </c>
      <c r="T307" s="4" t="s">
        <v>173</v>
      </c>
      <c r="U307" s="14" t="n">
        <f aca="false">IF(OR($S307="",PARAMETROS!$B$4=""),"",$S307*PARAMETROS!$B$4)</f>
        <v>0</v>
      </c>
      <c r="V307" s="13" t="n">
        <v>0</v>
      </c>
      <c r="W307" s="4"/>
      <c r="X307" s="4"/>
      <c r="Y307" s="4"/>
      <c r="Z307" s="4"/>
      <c r="AA307" s="4"/>
      <c r="AB307" s="4"/>
      <c r="AC307" s="4"/>
      <c r="AD307" s="4"/>
      <c r="AE307" s="4"/>
      <c r="AF307" s="4"/>
      <c r="AG307" s="4"/>
      <c r="AH307" s="4"/>
      <c r="AI307" s="4"/>
      <c r="AJ307" s="4"/>
      <c r="AK307" s="4"/>
      <c r="AL307" s="4" t="s">
        <v>174</v>
      </c>
      <c r="AM307" s="4" t="s">
        <v>190</v>
      </c>
    </row>
    <row r="308" customFormat="false" ht="23.85" hidden="false" customHeight="false" outlineLevel="0" collapsed="false">
      <c r="A308" s="4" t="s">
        <v>167</v>
      </c>
      <c r="B308" s="4" t="s">
        <v>483</v>
      </c>
      <c r="C308" s="4" t="s">
        <v>483</v>
      </c>
      <c r="D308" s="12" t="n">
        <v>2019</v>
      </c>
      <c r="E308" s="4"/>
      <c r="F308" s="4" t="s">
        <v>169</v>
      </c>
      <c r="G308" s="4" t="s">
        <v>170</v>
      </c>
      <c r="H308" s="4" t="s">
        <v>171</v>
      </c>
      <c r="I308" s="4" t="s">
        <v>172</v>
      </c>
      <c r="J308" s="4" t="s">
        <v>483</v>
      </c>
      <c r="K308" s="4" t="s">
        <v>80</v>
      </c>
      <c r="L308" s="4" t="s">
        <v>81</v>
      </c>
      <c r="M308" s="4"/>
      <c r="N308" s="4"/>
      <c r="O308" s="4"/>
      <c r="P308" s="4"/>
      <c r="Q308" s="4"/>
      <c r="R308" s="4"/>
      <c r="S308" s="13" t="n">
        <v>0</v>
      </c>
      <c r="T308" s="4" t="s">
        <v>173</v>
      </c>
      <c r="U308" s="14" t="n">
        <f aca="false">IF(OR($S308="",PARAMETROS!$B$4=""),"",$S308*PARAMETROS!$B$4)</f>
        <v>0</v>
      </c>
      <c r="V308" s="13" t="n">
        <v>0</v>
      </c>
      <c r="W308" s="4"/>
      <c r="X308" s="4"/>
      <c r="Y308" s="4"/>
      <c r="Z308" s="4"/>
      <c r="AA308" s="4"/>
      <c r="AB308" s="4"/>
      <c r="AC308" s="4"/>
      <c r="AD308" s="4"/>
      <c r="AE308" s="4"/>
      <c r="AF308" s="4"/>
      <c r="AG308" s="4"/>
      <c r="AH308" s="4"/>
      <c r="AI308" s="4"/>
      <c r="AJ308" s="4"/>
      <c r="AK308" s="4"/>
      <c r="AL308" s="4" t="s">
        <v>174</v>
      </c>
      <c r="AM308" s="4" t="s">
        <v>190</v>
      </c>
    </row>
    <row r="309" customFormat="false" ht="23.85" hidden="false" customHeight="false" outlineLevel="0" collapsed="false">
      <c r="A309" s="4" t="s">
        <v>167</v>
      </c>
      <c r="B309" s="4" t="s">
        <v>484</v>
      </c>
      <c r="C309" s="4" t="s">
        <v>484</v>
      </c>
      <c r="D309" s="12" t="n">
        <v>2019</v>
      </c>
      <c r="E309" s="4"/>
      <c r="F309" s="4" t="s">
        <v>169</v>
      </c>
      <c r="G309" s="4" t="s">
        <v>170</v>
      </c>
      <c r="H309" s="4" t="s">
        <v>171</v>
      </c>
      <c r="I309" s="4" t="s">
        <v>172</v>
      </c>
      <c r="J309" s="4" t="s">
        <v>484</v>
      </c>
      <c r="K309" s="4" t="s">
        <v>80</v>
      </c>
      <c r="L309" s="4" t="s">
        <v>81</v>
      </c>
      <c r="M309" s="4"/>
      <c r="N309" s="4"/>
      <c r="O309" s="4"/>
      <c r="P309" s="4"/>
      <c r="Q309" s="4"/>
      <c r="R309" s="4"/>
      <c r="S309" s="13" t="n">
        <v>0</v>
      </c>
      <c r="T309" s="4" t="s">
        <v>173</v>
      </c>
      <c r="U309" s="14" t="n">
        <f aca="false">IF(OR($S309="",PARAMETROS!$B$4=""),"",$S309*PARAMETROS!$B$4)</f>
        <v>0</v>
      </c>
      <c r="V309" s="13" t="n">
        <v>0</v>
      </c>
      <c r="W309" s="4"/>
      <c r="X309" s="4"/>
      <c r="Y309" s="4"/>
      <c r="Z309" s="4"/>
      <c r="AA309" s="4"/>
      <c r="AB309" s="4"/>
      <c r="AC309" s="4"/>
      <c r="AD309" s="4"/>
      <c r="AE309" s="4"/>
      <c r="AF309" s="4"/>
      <c r="AG309" s="4"/>
      <c r="AH309" s="4"/>
      <c r="AI309" s="4"/>
      <c r="AJ309" s="4"/>
      <c r="AK309" s="4"/>
      <c r="AL309" s="4" t="s">
        <v>174</v>
      </c>
      <c r="AM309" s="4" t="s">
        <v>190</v>
      </c>
    </row>
    <row r="310" customFormat="false" ht="23.85" hidden="false" customHeight="false" outlineLevel="0" collapsed="false">
      <c r="A310" s="4" t="s">
        <v>167</v>
      </c>
      <c r="B310" s="4" t="s">
        <v>485</v>
      </c>
      <c r="C310" s="4" t="s">
        <v>485</v>
      </c>
      <c r="D310" s="12" t="n">
        <v>2019</v>
      </c>
      <c r="E310" s="4"/>
      <c r="F310" s="4" t="s">
        <v>169</v>
      </c>
      <c r="G310" s="4" t="s">
        <v>170</v>
      </c>
      <c r="H310" s="4" t="s">
        <v>171</v>
      </c>
      <c r="I310" s="4" t="s">
        <v>172</v>
      </c>
      <c r="J310" s="4" t="s">
        <v>485</v>
      </c>
      <c r="K310" s="4" t="s">
        <v>84</v>
      </c>
      <c r="L310" s="4" t="s">
        <v>85</v>
      </c>
      <c r="M310" s="4"/>
      <c r="N310" s="4"/>
      <c r="O310" s="4"/>
      <c r="P310" s="4"/>
      <c r="Q310" s="4"/>
      <c r="R310" s="4"/>
      <c r="S310" s="13" t="n">
        <v>4542.31</v>
      </c>
      <c r="T310" s="4" t="s">
        <v>173</v>
      </c>
      <c r="U310" s="14" t="n">
        <f aca="false">IF(OR($S310="",PARAMETROS!$B$4=""),"",$S310*PARAMETROS!$B$4)</f>
        <v>26390.8211</v>
      </c>
      <c r="V310" s="13" t="n">
        <v>0</v>
      </c>
      <c r="W310" s="4"/>
      <c r="X310" s="4"/>
      <c r="Y310" s="4"/>
      <c r="Z310" s="4"/>
      <c r="AA310" s="4"/>
      <c r="AB310" s="4"/>
      <c r="AC310" s="4"/>
      <c r="AD310" s="4"/>
      <c r="AE310" s="4"/>
      <c r="AF310" s="4"/>
      <c r="AG310" s="4"/>
      <c r="AH310" s="4"/>
      <c r="AI310" s="4"/>
      <c r="AJ310" s="4"/>
      <c r="AK310" s="4"/>
      <c r="AL310" s="4" t="s">
        <v>174</v>
      </c>
      <c r="AM310" s="4" t="s">
        <v>190</v>
      </c>
    </row>
    <row r="311" customFormat="false" ht="23.85" hidden="false" customHeight="false" outlineLevel="0" collapsed="false">
      <c r="A311" s="4" t="s">
        <v>167</v>
      </c>
      <c r="B311" s="4" t="s">
        <v>486</v>
      </c>
      <c r="C311" s="4" t="s">
        <v>486</v>
      </c>
      <c r="D311" s="12" t="n">
        <v>2019</v>
      </c>
      <c r="E311" s="4"/>
      <c r="F311" s="4" t="s">
        <v>169</v>
      </c>
      <c r="G311" s="4" t="s">
        <v>170</v>
      </c>
      <c r="H311" s="4" t="s">
        <v>171</v>
      </c>
      <c r="I311" s="4" t="s">
        <v>172</v>
      </c>
      <c r="J311" s="4" t="s">
        <v>486</v>
      </c>
      <c r="K311" s="4" t="s">
        <v>84</v>
      </c>
      <c r="L311" s="4" t="s">
        <v>85</v>
      </c>
      <c r="M311" s="4"/>
      <c r="N311" s="4"/>
      <c r="O311" s="4"/>
      <c r="P311" s="4"/>
      <c r="Q311" s="4"/>
      <c r="R311" s="4"/>
      <c r="S311" s="13" t="n">
        <v>0</v>
      </c>
      <c r="T311" s="4" t="s">
        <v>173</v>
      </c>
      <c r="U311" s="14" t="n">
        <f aca="false">IF(OR($S311="",PARAMETROS!$B$4=""),"",$S311*PARAMETROS!$B$4)</f>
        <v>0</v>
      </c>
      <c r="V311" s="13" t="n">
        <v>0</v>
      </c>
      <c r="W311" s="4"/>
      <c r="X311" s="4"/>
      <c r="Y311" s="4"/>
      <c r="Z311" s="4"/>
      <c r="AA311" s="4"/>
      <c r="AB311" s="4"/>
      <c r="AC311" s="4"/>
      <c r="AD311" s="4"/>
      <c r="AE311" s="4"/>
      <c r="AF311" s="4"/>
      <c r="AG311" s="4"/>
      <c r="AH311" s="4"/>
      <c r="AI311" s="4"/>
      <c r="AJ311" s="4"/>
      <c r="AK311" s="4"/>
      <c r="AL311" s="4" t="s">
        <v>174</v>
      </c>
      <c r="AM311" s="4" t="s">
        <v>190</v>
      </c>
    </row>
    <row r="312" customFormat="false" ht="23.85" hidden="false" customHeight="false" outlineLevel="0" collapsed="false">
      <c r="A312" s="4" t="s">
        <v>167</v>
      </c>
      <c r="B312" s="4" t="s">
        <v>487</v>
      </c>
      <c r="C312" s="4" t="s">
        <v>487</v>
      </c>
      <c r="D312" s="12" t="n">
        <v>2019</v>
      </c>
      <c r="E312" s="4"/>
      <c r="F312" s="4" t="s">
        <v>169</v>
      </c>
      <c r="G312" s="4" t="s">
        <v>170</v>
      </c>
      <c r="H312" s="4" t="s">
        <v>171</v>
      </c>
      <c r="I312" s="4" t="s">
        <v>172</v>
      </c>
      <c r="J312" s="4" t="s">
        <v>487</v>
      </c>
      <c r="K312" s="4" t="s">
        <v>84</v>
      </c>
      <c r="L312" s="4" t="s">
        <v>85</v>
      </c>
      <c r="M312" s="4"/>
      <c r="N312" s="4"/>
      <c r="O312" s="4"/>
      <c r="P312" s="4"/>
      <c r="Q312" s="4"/>
      <c r="R312" s="4"/>
      <c r="S312" s="13" t="n">
        <v>0</v>
      </c>
      <c r="T312" s="4" t="s">
        <v>173</v>
      </c>
      <c r="U312" s="14" t="n">
        <f aca="false">IF(OR($S312="",PARAMETROS!$B$4=""),"",$S312*PARAMETROS!$B$4)</f>
        <v>0</v>
      </c>
      <c r="V312" s="13" t="n">
        <v>0</v>
      </c>
      <c r="W312" s="4"/>
      <c r="X312" s="4"/>
      <c r="Y312" s="4"/>
      <c r="Z312" s="4"/>
      <c r="AA312" s="4"/>
      <c r="AB312" s="4"/>
      <c r="AC312" s="4"/>
      <c r="AD312" s="4"/>
      <c r="AE312" s="4"/>
      <c r="AF312" s="4"/>
      <c r="AG312" s="4"/>
      <c r="AH312" s="4"/>
      <c r="AI312" s="4"/>
      <c r="AJ312" s="4"/>
      <c r="AK312" s="4"/>
      <c r="AL312" s="4" t="s">
        <v>174</v>
      </c>
      <c r="AM312" s="4" t="s">
        <v>190</v>
      </c>
    </row>
    <row r="313" customFormat="false" ht="23.85" hidden="false" customHeight="false" outlineLevel="0" collapsed="false">
      <c r="A313" s="4" t="s">
        <v>167</v>
      </c>
      <c r="B313" s="4" t="s">
        <v>488</v>
      </c>
      <c r="C313" s="4" t="s">
        <v>488</v>
      </c>
      <c r="D313" s="12" t="n">
        <v>2019</v>
      </c>
      <c r="E313" s="4"/>
      <c r="F313" s="4" t="s">
        <v>169</v>
      </c>
      <c r="G313" s="4" t="s">
        <v>170</v>
      </c>
      <c r="H313" s="4" t="s">
        <v>171</v>
      </c>
      <c r="I313" s="4" t="s">
        <v>172</v>
      </c>
      <c r="J313" s="4" t="s">
        <v>488</v>
      </c>
      <c r="K313" s="4" t="s">
        <v>84</v>
      </c>
      <c r="L313" s="4" t="s">
        <v>85</v>
      </c>
      <c r="M313" s="4"/>
      <c r="N313" s="4"/>
      <c r="O313" s="4"/>
      <c r="P313" s="4"/>
      <c r="Q313" s="4"/>
      <c r="R313" s="4"/>
      <c r="S313" s="13" t="n">
        <v>0</v>
      </c>
      <c r="T313" s="4" t="s">
        <v>173</v>
      </c>
      <c r="U313" s="14" t="n">
        <f aca="false">IF(OR($S313="",PARAMETROS!$B$4=""),"",$S313*PARAMETROS!$B$4)</f>
        <v>0</v>
      </c>
      <c r="V313" s="13" t="n">
        <v>0</v>
      </c>
      <c r="W313" s="4"/>
      <c r="X313" s="4"/>
      <c r="Y313" s="4"/>
      <c r="Z313" s="4"/>
      <c r="AA313" s="4"/>
      <c r="AB313" s="4"/>
      <c r="AC313" s="4"/>
      <c r="AD313" s="4"/>
      <c r="AE313" s="4"/>
      <c r="AF313" s="4"/>
      <c r="AG313" s="4"/>
      <c r="AH313" s="4"/>
      <c r="AI313" s="4"/>
      <c r="AJ313" s="4"/>
      <c r="AK313" s="4"/>
      <c r="AL313" s="4" t="s">
        <v>174</v>
      </c>
      <c r="AM313" s="4" t="s">
        <v>190</v>
      </c>
    </row>
    <row r="314" customFormat="false" ht="23.85" hidden="false" customHeight="false" outlineLevel="0" collapsed="false">
      <c r="A314" s="4" t="s">
        <v>167</v>
      </c>
      <c r="B314" s="4" t="s">
        <v>489</v>
      </c>
      <c r="C314" s="4" t="s">
        <v>489</v>
      </c>
      <c r="D314" s="12" t="n">
        <v>2019</v>
      </c>
      <c r="E314" s="4"/>
      <c r="F314" s="4" t="s">
        <v>169</v>
      </c>
      <c r="G314" s="4" t="s">
        <v>170</v>
      </c>
      <c r="H314" s="4" t="s">
        <v>171</v>
      </c>
      <c r="I314" s="4" t="s">
        <v>172</v>
      </c>
      <c r="J314" s="4" t="s">
        <v>489</v>
      </c>
      <c r="K314" s="4" t="s">
        <v>84</v>
      </c>
      <c r="L314" s="4" t="s">
        <v>85</v>
      </c>
      <c r="M314" s="4"/>
      <c r="N314" s="4"/>
      <c r="O314" s="4"/>
      <c r="P314" s="4"/>
      <c r="Q314" s="4"/>
      <c r="R314" s="4"/>
      <c r="S314" s="13" t="n">
        <v>0</v>
      </c>
      <c r="T314" s="4" t="s">
        <v>173</v>
      </c>
      <c r="U314" s="14" t="n">
        <f aca="false">IF(OR($S314="",PARAMETROS!$B$4=""),"",$S314*PARAMETROS!$B$4)</f>
        <v>0</v>
      </c>
      <c r="V314" s="13" t="n">
        <v>0</v>
      </c>
      <c r="W314" s="4"/>
      <c r="X314" s="4"/>
      <c r="Y314" s="4"/>
      <c r="Z314" s="4"/>
      <c r="AA314" s="4"/>
      <c r="AB314" s="4"/>
      <c r="AC314" s="4"/>
      <c r="AD314" s="4"/>
      <c r="AE314" s="4"/>
      <c r="AF314" s="4"/>
      <c r="AG314" s="4"/>
      <c r="AH314" s="4"/>
      <c r="AI314" s="4"/>
      <c r="AJ314" s="4"/>
      <c r="AK314" s="4"/>
      <c r="AL314" s="4" t="s">
        <v>174</v>
      </c>
      <c r="AM314" s="4" t="s">
        <v>190</v>
      </c>
    </row>
    <row r="315" customFormat="false" ht="23.85" hidden="false" customHeight="false" outlineLevel="0" collapsed="false">
      <c r="A315" s="4" t="s">
        <v>167</v>
      </c>
      <c r="B315" s="4" t="s">
        <v>490</v>
      </c>
      <c r="C315" s="4" t="s">
        <v>490</v>
      </c>
      <c r="D315" s="12" t="n">
        <v>2019</v>
      </c>
      <c r="E315" s="4"/>
      <c r="F315" s="4" t="s">
        <v>169</v>
      </c>
      <c r="G315" s="4" t="s">
        <v>170</v>
      </c>
      <c r="H315" s="4" t="s">
        <v>171</v>
      </c>
      <c r="I315" s="4" t="s">
        <v>172</v>
      </c>
      <c r="J315" s="4" t="s">
        <v>490</v>
      </c>
      <c r="K315" s="4" t="s">
        <v>84</v>
      </c>
      <c r="L315" s="4" t="s">
        <v>85</v>
      </c>
      <c r="M315" s="4"/>
      <c r="N315" s="4"/>
      <c r="O315" s="4"/>
      <c r="P315" s="4"/>
      <c r="Q315" s="4"/>
      <c r="R315" s="4"/>
      <c r="S315" s="13" t="n">
        <v>-4525.69</v>
      </c>
      <c r="T315" s="4" t="s">
        <v>173</v>
      </c>
      <c r="U315" s="14" t="n">
        <f aca="false">IF(OR($S315="",PARAMETROS!$B$4=""),"",$S315*PARAMETROS!$B$4)</f>
        <v>-26294.2589</v>
      </c>
      <c r="V315" s="13" t="n">
        <v>0</v>
      </c>
      <c r="W315" s="4"/>
      <c r="X315" s="4"/>
      <c r="Y315" s="4"/>
      <c r="Z315" s="4"/>
      <c r="AA315" s="4"/>
      <c r="AB315" s="4"/>
      <c r="AC315" s="4"/>
      <c r="AD315" s="4"/>
      <c r="AE315" s="4"/>
      <c r="AF315" s="4"/>
      <c r="AG315" s="4"/>
      <c r="AH315" s="4"/>
      <c r="AI315" s="4"/>
      <c r="AJ315" s="4"/>
      <c r="AK315" s="4"/>
      <c r="AL315" s="4" t="s">
        <v>174</v>
      </c>
      <c r="AM315" s="4" t="s">
        <v>190</v>
      </c>
    </row>
    <row r="316" customFormat="false" ht="23.85" hidden="false" customHeight="false" outlineLevel="0" collapsed="false">
      <c r="A316" s="4" t="s">
        <v>167</v>
      </c>
      <c r="B316" s="4" t="s">
        <v>491</v>
      </c>
      <c r="C316" s="4" t="s">
        <v>491</v>
      </c>
      <c r="D316" s="12" t="n">
        <v>2019</v>
      </c>
      <c r="E316" s="4"/>
      <c r="F316" s="4" t="s">
        <v>169</v>
      </c>
      <c r="G316" s="4" t="s">
        <v>170</v>
      </c>
      <c r="H316" s="4" t="s">
        <v>171</v>
      </c>
      <c r="I316" s="4" t="s">
        <v>172</v>
      </c>
      <c r="J316" s="4" t="s">
        <v>491</v>
      </c>
      <c r="K316" s="4" t="s">
        <v>84</v>
      </c>
      <c r="L316" s="4" t="s">
        <v>85</v>
      </c>
      <c r="M316" s="4"/>
      <c r="N316" s="4"/>
      <c r="O316" s="4"/>
      <c r="P316" s="4"/>
      <c r="Q316" s="4"/>
      <c r="R316" s="4"/>
      <c r="S316" s="13" t="n">
        <v>-16.62</v>
      </c>
      <c r="T316" s="4" t="s">
        <v>173</v>
      </c>
      <c r="U316" s="14" t="n">
        <f aca="false">IF(OR($S316="",PARAMETROS!$B$4=""),"",$S316*PARAMETROS!$B$4)</f>
        <v>-96.5622</v>
      </c>
      <c r="V316" s="13" t="n">
        <v>0</v>
      </c>
      <c r="W316" s="4"/>
      <c r="X316" s="4"/>
      <c r="Y316" s="4"/>
      <c r="Z316" s="4"/>
      <c r="AA316" s="4"/>
      <c r="AB316" s="4"/>
      <c r="AC316" s="4"/>
      <c r="AD316" s="4"/>
      <c r="AE316" s="4"/>
      <c r="AF316" s="4"/>
      <c r="AG316" s="4"/>
      <c r="AH316" s="4"/>
      <c r="AI316" s="4"/>
      <c r="AJ316" s="4"/>
      <c r="AK316" s="4"/>
      <c r="AL316" s="4" t="s">
        <v>174</v>
      </c>
      <c r="AM316" s="4" t="s">
        <v>190</v>
      </c>
    </row>
    <row r="317" customFormat="false" ht="23.85" hidden="false" customHeight="false" outlineLevel="0" collapsed="false">
      <c r="A317" s="4" t="s">
        <v>167</v>
      </c>
      <c r="B317" s="4" t="s">
        <v>492</v>
      </c>
      <c r="C317" s="4" t="s">
        <v>492</v>
      </c>
      <c r="D317" s="12" t="n">
        <v>2019</v>
      </c>
      <c r="E317" s="4"/>
      <c r="F317" s="4" t="s">
        <v>169</v>
      </c>
      <c r="G317" s="4" t="s">
        <v>170</v>
      </c>
      <c r="H317" s="4" t="s">
        <v>171</v>
      </c>
      <c r="I317" s="4" t="s">
        <v>172</v>
      </c>
      <c r="J317" s="4" t="s">
        <v>492</v>
      </c>
      <c r="K317" s="4" t="s">
        <v>84</v>
      </c>
      <c r="L317" s="4" t="s">
        <v>85</v>
      </c>
      <c r="M317" s="4"/>
      <c r="N317" s="4"/>
      <c r="O317" s="4"/>
      <c r="P317" s="4"/>
      <c r="Q317" s="4"/>
      <c r="R317" s="4"/>
      <c r="S317" s="13" t="n">
        <v>0</v>
      </c>
      <c r="T317" s="4" t="s">
        <v>173</v>
      </c>
      <c r="U317" s="14" t="n">
        <f aca="false">IF(OR($S317="",PARAMETROS!$B$4=""),"",$S317*PARAMETROS!$B$4)</f>
        <v>0</v>
      </c>
      <c r="V317" s="13" t="n">
        <v>0</v>
      </c>
      <c r="W317" s="4"/>
      <c r="X317" s="4"/>
      <c r="Y317" s="4"/>
      <c r="Z317" s="4"/>
      <c r="AA317" s="4"/>
      <c r="AB317" s="4"/>
      <c r="AC317" s="4"/>
      <c r="AD317" s="4"/>
      <c r="AE317" s="4"/>
      <c r="AF317" s="4"/>
      <c r="AG317" s="4"/>
      <c r="AH317" s="4"/>
      <c r="AI317" s="4"/>
      <c r="AJ317" s="4"/>
      <c r="AK317" s="4"/>
      <c r="AL317" s="4" t="s">
        <v>174</v>
      </c>
      <c r="AM317" s="4" t="s">
        <v>190</v>
      </c>
    </row>
    <row r="318" customFormat="false" ht="23.85" hidden="false" customHeight="false" outlineLevel="0" collapsed="false">
      <c r="A318" s="4" t="s">
        <v>167</v>
      </c>
      <c r="B318" s="4" t="s">
        <v>493</v>
      </c>
      <c r="C318" s="4" t="s">
        <v>493</v>
      </c>
      <c r="D318" s="12" t="n">
        <v>2019</v>
      </c>
      <c r="E318" s="4"/>
      <c r="F318" s="4" t="s">
        <v>169</v>
      </c>
      <c r="G318" s="4" t="s">
        <v>170</v>
      </c>
      <c r="H318" s="4" t="s">
        <v>171</v>
      </c>
      <c r="I318" s="4" t="s">
        <v>172</v>
      </c>
      <c r="J318" s="4" t="s">
        <v>493</v>
      </c>
      <c r="K318" s="4" t="s">
        <v>84</v>
      </c>
      <c r="L318" s="4" t="s">
        <v>85</v>
      </c>
      <c r="M318" s="4"/>
      <c r="N318" s="4"/>
      <c r="O318" s="4"/>
      <c r="P318" s="4"/>
      <c r="Q318" s="4"/>
      <c r="R318" s="4"/>
      <c r="S318" s="13" t="n">
        <v>0</v>
      </c>
      <c r="T318" s="4" t="s">
        <v>173</v>
      </c>
      <c r="U318" s="14" t="n">
        <f aca="false">IF(OR($S318="",PARAMETROS!$B$4=""),"",$S318*PARAMETROS!$B$4)</f>
        <v>0</v>
      </c>
      <c r="V318" s="13" t="n">
        <v>0</v>
      </c>
      <c r="W318" s="4"/>
      <c r="X318" s="4"/>
      <c r="Y318" s="4"/>
      <c r="Z318" s="4"/>
      <c r="AA318" s="4"/>
      <c r="AB318" s="4"/>
      <c r="AC318" s="4"/>
      <c r="AD318" s="4"/>
      <c r="AE318" s="4"/>
      <c r="AF318" s="4"/>
      <c r="AG318" s="4"/>
      <c r="AH318" s="4"/>
      <c r="AI318" s="4"/>
      <c r="AJ318" s="4"/>
      <c r="AK318" s="4"/>
      <c r="AL318" s="4" t="s">
        <v>174</v>
      </c>
      <c r="AM318" s="4" t="s">
        <v>190</v>
      </c>
    </row>
    <row r="319" customFormat="false" ht="23.85" hidden="false" customHeight="false" outlineLevel="0" collapsed="false">
      <c r="A319" s="4" t="s">
        <v>167</v>
      </c>
      <c r="B319" s="4" t="s">
        <v>494</v>
      </c>
      <c r="C319" s="4" t="s">
        <v>494</v>
      </c>
      <c r="D319" s="12" t="n">
        <v>2019</v>
      </c>
      <c r="E319" s="4"/>
      <c r="F319" s="4" t="s">
        <v>169</v>
      </c>
      <c r="G319" s="4" t="s">
        <v>170</v>
      </c>
      <c r="H319" s="4" t="s">
        <v>171</v>
      </c>
      <c r="I319" s="4" t="s">
        <v>172</v>
      </c>
      <c r="J319" s="4" t="s">
        <v>494</v>
      </c>
      <c r="K319" s="4" t="s">
        <v>84</v>
      </c>
      <c r="L319" s="4" t="s">
        <v>85</v>
      </c>
      <c r="M319" s="4"/>
      <c r="N319" s="4"/>
      <c r="O319" s="4"/>
      <c r="P319" s="4"/>
      <c r="Q319" s="4"/>
      <c r="R319" s="4"/>
      <c r="S319" s="13" t="n">
        <v>0</v>
      </c>
      <c r="T319" s="4" t="s">
        <v>173</v>
      </c>
      <c r="U319" s="14" t="n">
        <f aca="false">IF(OR($S319="",PARAMETROS!$B$4=""),"",$S319*PARAMETROS!$B$4)</f>
        <v>0</v>
      </c>
      <c r="V319" s="13" t="n">
        <v>0</v>
      </c>
      <c r="W319" s="4"/>
      <c r="X319" s="4"/>
      <c r="Y319" s="4"/>
      <c r="Z319" s="4"/>
      <c r="AA319" s="4"/>
      <c r="AB319" s="4"/>
      <c r="AC319" s="4"/>
      <c r="AD319" s="4"/>
      <c r="AE319" s="4"/>
      <c r="AF319" s="4"/>
      <c r="AG319" s="4"/>
      <c r="AH319" s="4"/>
      <c r="AI319" s="4"/>
      <c r="AJ319" s="4"/>
      <c r="AK319" s="4"/>
      <c r="AL319" s="4" t="s">
        <v>174</v>
      </c>
      <c r="AM319" s="4" t="s">
        <v>190</v>
      </c>
    </row>
    <row r="320" customFormat="false" ht="23.85" hidden="false" customHeight="false" outlineLevel="0" collapsed="false">
      <c r="A320" s="4" t="s">
        <v>167</v>
      </c>
      <c r="B320" s="4" t="s">
        <v>495</v>
      </c>
      <c r="C320" s="4" t="s">
        <v>495</v>
      </c>
      <c r="D320" s="12" t="n">
        <v>2019</v>
      </c>
      <c r="E320" s="4"/>
      <c r="F320" s="4" t="s">
        <v>169</v>
      </c>
      <c r="G320" s="4" t="s">
        <v>170</v>
      </c>
      <c r="H320" s="4" t="s">
        <v>171</v>
      </c>
      <c r="I320" s="4" t="s">
        <v>172</v>
      </c>
      <c r="J320" s="4" t="s">
        <v>495</v>
      </c>
      <c r="K320" s="4" t="s">
        <v>84</v>
      </c>
      <c r="L320" s="4" t="s">
        <v>85</v>
      </c>
      <c r="M320" s="4"/>
      <c r="N320" s="4"/>
      <c r="O320" s="4"/>
      <c r="P320" s="4"/>
      <c r="Q320" s="4"/>
      <c r="R320" s="4"/>
      <c r="S320" s="13" t="n">
        <v>0</v>
      </c>
      <c r="T320" s="4" t="s">
        <v>173</v>
      </c>
      <c r="U320" s="14" t="n">
        <f aca="false">IF(OR($S320="",PARAMETROS!$B$4=""),"",$S320*PARAMETROS!$B$4)</f>
        <v>0</v>
      </c>
      <c r="V320" s="13" t="n">
        <v>0</v>
      </c>
      <c r="W320" s="4"/>
      <c r="X320" s="4"/>
      <c r="Y320" s="4"/>
      <c r="Z320" s="4"/>
      <c r="AA320" s="4"/>
      <c r="AB320" s="4"/>
      <c r="AC320" s="4"/>
      <c r="AD320" s="4"/>
      <c r="AE320" s="4"/>
      <c r="AF320" s="4"/>
      <c r="AG320" s="4"/>
      <c r="AH320" s="4"/>
      <c r="AI320" s="4"/>
      <c r="AJ320" s="4"/>
      <c r="AK320" s="4"/>
      <c r="AL320" s="4" t="s">
        <v>174</v>
      </c>
      <c r="AM320" s="4" t="s">
        <v>190</v>
      </c>
    </row>
    <row r="321" customFormat="false" ht="23.85" hidden="false" customHeight="false" outlineLevel="0" collapsed="false">
      <c r="A321" s="4" t="s">
        <v>167</v>
      </c>
      <c r="B321" s="4" t="s">
        <v>496</v>
      </c>
      <c r="C321" s="4" t="s">
        <v>496</v>
      </c>
      <c r="D321" s="12" t="n">
        <v>2019</v>
      </c>
      <c r="E321" s="4"/>
      <c r="F321" s="4" t="s">
        <v>169</v>
      </c>
      <c r="G321" s="4" t="s">
        <v>170</v>
      </c>
      <c r="H321" s="4" t="s">
        <v>171</v>
      </c>
      <c r="I321" s="4" t="s">
        <v>172</v>
      </c>
      <c r="J321" s="4" t="s">
        <v>496</v>
      </c>
      <c r="K321" s="4" t="s">
        <v>84</v>
      </c>
      <c r="L321" s="4" t="s">
        <v>85</v>
      </c>
      <c r="M321" s="4"/>
      <c r="N321" s="4"/>
      <c r="O321" s="4"/>
      <c r="P321" s="4"/>
      <c r="Q321" s="4"/>
      <c r="R321" s="4"/>
      <c r="S321" s="13" t="n">
        <v>0</v>
      </c>
      <c r="T321" s="4" t="s">
        <v>173</v>
      </c>
      <c r="U321" s="14" t="n">
        <f aca="false">IF(OR($S321="",PARAMETROS!$B$4=""),"",$S321*PARAMETROS!$B$4)</f>
        <v>0</v>
      </c>
      <c r="V321" s="13" t="n">
        <v>0</v>
      </c>
      <c r="W321" s="4"/>
      <c r="X321" s="4"/>
      <c r="Y321" s="4"/>
      <c r="Z321" s="4"/>
      <c r="AA321" s="4"/>
      <c r="AB321" s="4"/>
      <c r="AC321" s="4"/>
      <c r="AD321" s="4"/>
      <c r="AE321" s="4"/>
      <c r="AF321" s="4"/>
      <c r="AG321" s="4"/>
      <c r="AH321" s="4"/>
      <c r="AI321" s="4"/>
      <c r="AJ321" s="4"/>
      <c r="AK321" s="4"/>
      <c r="AL321" s="4" t="s">
        <v>174</v>
      </c>
      <c r="AM321" s="4" t="s">
        <v>190</v>
      </c>
    </row>
    <row r="322" customFormat="false" ht="23.85" hidden="false" customHeight="false" outlineLevel="0" collapsed="false">
      <c r="A322" s="4" t="s">
        <v>167</v>
      </c>
      <c r="B322" s="4" t="s">
        <v>497</v>
      </c>
      <c r="C322" s="4" t="s">
        <v>497</v>
      </c>
      <c r="D322" s="12" t="n">
        <v>2019</v>
      </c>
      <c r="E322" s="4"/>
      <c r="F322" s="4" t="s">
        <v>169</v>
      </c>
      <c r="G322" s="4" t="s">
        <v>170</v>
      </c>
      <c r="H322" s="4" t="s">
        <v>171</v>
      </c>
      <c r="I322" s="4" t="s">
        <v>172</v>
      </c>
      <c r="J322" s="4" t="s">
        <v>497</v>
      </c>
      <c r="K322" s="4" t="s">
        <v>84</v>
      </c>
      <c r="L322" s="4" t="s">
        <v>85</v>
      </c>
      <c r="M322" s="4"/>
      <c r="N322" s="4"/>
      <c r="O322" s="4"/>
      <c r="P322" s="4"/>
      <c r="Q322" s="4"/>
      <c r="R322" s="4"/>
      <c r="S322" s="13" t="n">
        <v>0</v>
      </c>
      <c r="T322" s="4" t="s">
        <v>173</v>
      </c>
      <c r="U322" s="14" t="n">
        <f aca="false">IF(OR($S322="",PARAMETROS!$B$4=""),"",$S322*PARAMETROS!$B$4)</f>
        <v>0</v>
      </c>
      <c r="V322" s="13" t="n">
        <v>0</v>
      </c>
      <c r="W322" s="4"/>
      <c r="X322" s="4"/>
      <c r="Y322" s="4"/>
      <c r="Z322" s="4"/>
      <c r="AA322" s="4"/>
      <c r="AB322" s="4"/>
      <c r="AC322" s="4"/>
      <c r="AD322" s="4"/>
      <c r="AE322" s="4"/>
      <c r="AF322" s="4"/>
      <c r="AG322" s="4"/>
      <c r="AH322" s="4"/>
      <c r="AI322" s="4"/>
      <c r="AJ322" s="4"/>
      <c r="AK322" s="4"/>
      <c r="AL322" s="4" t="s">
        <v>174</v>
      </c>
      <c r="AM322" s="4" t="s">
        <v>190</v>
      </c>
    </row>
    <row r="323" customFormat="false" ht="23.85" hidden="false" customHeight="false" outlineLevel="0" collapsed="false">
      <c r="A323" s="4" t="s">
        <v>167</v>
      </c>
      <c r="B323" s="4" t="s">
        <v>498</v>
      </c>
      <c r="C323" s="4" t="s">
        <v>498</v>
      </c>
      <c r="D323" s="12" t="n">
        <v>2019</v>
      </c>
      <c r="E323" s="4"/>
      <c r="F323" s="4" t="s">
        <v>169</v>
      </c>
      <c r="G323" s="4" t="s">
        <v>170</v>
      </c>
      <c r="H323" s="4" t="s">
        <v>171</v>
      </c>
      <c r="I323" s="4" t="s">
        <v>172</v>
      </c>
      <c r="J323" s="4" t="s">
        <v>498</v>
      </c>
      <c r="K323" s="4" t="s">
        <v>84</v>
      </c>
      <c r="L323" s="4" t="s">
        <v>85</v>
      </c>
      <c r="M323" s="4"/>
      <c r="N323" s="4"/>
      <c r="O323" s="4"/>
      <c r="P323" s="4"/>
      <c r="Q323" s="4"/>
      <c r="R323" s="4"/>
      <c r="S323" s="13" t="n">
        <v>0</v>
      </c>
      <c r="T323" s="4" t="s">
        <v>173</v>
      </c>
      <c r="U323" s="14" t="n">
        <f aca="false">IF(OR($S323="",PARAMETROS!$B$4=""),"",$S323*PARAMETROS!$B$4)</f>
        <v>0</v>
      </c>
      <c r="V323" s="13" t="n">
        <v>0</v>
      </c>
      <c r="W323" s="4"/>
      <c r="X323" s="4"/>
      <c r="Y323" s="4"/>
      <c r="Z323" s="4"/>
      <c r="AA323" s="4"/>
      <c r="AB323" s="4"/>
      <c r="AC323" s="4"/>
      <c r="AD323" s="4"/>
      <c r="AE323" s="4"/>
      <c r="AF323" s="4"/>
      <c r="AG323" s="4"/>
      <c r="AH323" s="4"/>
      <c r="AI323" s="4"/>
      <c r="AJ323" s="4"/>
      <c r="AK323" s="4"/>
      <c r="AL323" s="4" t="s">
        <v>174</v>
      </c>
      <c r="AM323" s="4" t="s">
        <v>190</v>
      </c>
    </row>
    <row r="324" customFormat="false" ht="23.85" hidden="false" customHeight="false" outlineLevel="0" collapsed="false">
      <c r="A324" s="4" t="s">
        <v>167</v>
      </c>
      <c r="B324" s="4" t="s">
        <v>499</v>
      </c>
      <c r="C324" s="4" t="s">
        <v>499</v>
      </c>
      <c r="D324" s="12" t="n">
        <v>2019</v>
      </c>
      <c r="E324" s="4"/>
      <c r="F324" s="4" t="s">
        <v>169</v>
      </c>
      <c r="G324" s="4" t="s">
        <v>170</v>
      </c>
      <c r="H324" s="4" t="s">
        <v>171</v>
      </c>
      <c r="I324" s="4" t="s">
        <v>172</v>
      </c>
      <c r="J324" s="4" t="s">
        <v>499</v>
      </c>
      <c r="K324" s="4" t="s">
        <v>109</v>
      </c>
      <c r="L324" s="4" t="s">
        <v>110</v>
      </c>
      <c r="M324" s="4"/>
      <c r="N324" s="4"/>
      <c r="O324" s="4"/>
      <c r="P324" s="4"/>
      <c r="Q324" s="4"/>
      <c r="R324" s="4"/>
      <c r="S324" s="13" t="n">
        <v>50830.4</v>
      </c>
      <c r="T324" s="4" t="s">
        <v>173</v>
      </c>
      <c r="U324" s="14" t="n">
        <f aca="false">IF(OR($S324="",PARAMETROS!$B$4=""),"",$S324*PARAMETROS!$B$4)</f>
        <v>295324.624</v>
      </c>
      <c r="V324" s="13" t="n">
        <v>0</v>
      </c>
      <c r="W324" s="4"/>
      <c r="X324" s="4"/>
      <c r="Y324" s="4"/>
      <c r="Z324" s="4"/>
      <c r="AA324" s="4"/>
      <c r="AB324" s="4"/>
      <c r="AC324" s="4"/>
      <c r="AD324" s="4"/>
      <c r="AE324" s="4"/>
      <c r="AF324" s="4"/>
      <c r="AG324" s="4"/>
      <c r="AH324" s="4"/>
      <c r="AI324" s="4"/>
      <c r="AJ324" s="4"/>
      <c r="AK324" s="4"/>
      <c r="AL324" s="4" t="s">
        <v>174</v>
      </c>
      <c r="AM324" s="4" t="s">
        <v>175</v>
      </c>
    </row>
    <row r="325" customFormat="false" ht="23.85" hidden="false" customHeight="false" outlineLevel="0" collapsed="false">
      <c r="A325" s="4" t="s">
        <v>167</v>
      </c>
      <c r="B325" s="4" t="s">
        <v>500</v>
      </c>
      <c r="C325" s="4" t="s">
        <v>500</v>
      </c>
      <c r="D325" s="12" t="n">
        <v>2019</v>
      </c>
      <c r="E325" s="4"/>
      <c r="F325" s="4" t="s">
        <v>169</v>
      </c>
      <c r="G325" s="4" t="s">
        <v>170</v>
      </c>
      <c r="H325" s="4" t="s">
        <v>171</v>
      </c>
      <c r="I325" s="4" t="s">
        <v>172</v>
      </c>
      <c r="J325" s="4" t="s">
        <v>500</v>
      </c>
      <c r="K325" s="4" t="s">
        <v>109</v>
      </c>
      <c r="L325" s="4" t="s">
        <v>110</v>
      </c>
      <c r="M325" s="4"/>
      <c r="N325" s="4"/>
      <c r="O325" s="4"/>
      <c r="P325" s="4"/>
      <c r="Q325" s="4"/>
      <c r="R325" s="4"/>
      <c r="S325" s="13" t="n">
        <v>0</v>
      </c>
      <c r="T325" s="4" t="s">
        <v>173</v>
      </c>
      <c r="U325" s="14" t="n">
        <f aca="false">IF(OR($S325="",PARAMETROS!$B$4=""),"",$S325*PARAMETROS!$B$4)</f>
        <v>0</v>
      </c>
      <c r="V325" s="13" t="n">
        <v>0</v>
      </c>
      <c r="W325" s="4"/>
      <c r="X325" s="4"/>
      <c r="Y325" s="4"/>
      <c r="Z325" s="4"/>
      <c r="AA325" s="4"/>
      <c r="AB325" s="4"/>
      <c r="AC325" s="4"/>
      <c r="AD325" s="4"/>
      <c r="AE325" s="4"/>
      <c r="AF325" s="4"/>
      <c r="AG325" s="4"/>
      <c r="AH325" s="4"/>
      <c r="AI325" s="4"/>
      <c r="AJ325" s="4"/>
      <c r="AK325" s="4"/>
      <c r="AL325" s="4" t="s">
        <v>174</v>
      </c>
      <c r="AM325" s="4" t="s">
        <v>175</v>
      </c>
    </row>
    <row r="326" customFormat="false" ht="23.85" hidden="false" customHeight="false" outlineLevel="0" collapsed="false">
      <c r="A326" s="4" t="s">
        <v>167</v>
      </c>
      <c r="B326" s="4" t="s">
        <v>501</v>
      </c>
      <c r="C326" s="4" t="s">
        <v>501</v>
      </c>
      <c r="D326" s="12" t="n">
        <v>2019</v>
      </c>
      <c r="E326" s="4"/>
      <c r="F326" s="4" t="s">
        <v>169</v>
      </c>
      <c r="G326" s="4" t="s">
        <v>170</v>
      </c>
      <c r="H326" s="4" t="s">
        <v>171</v>
      </c>
      <c r="I326" s="4" t="s">
        <v>172</v>
      </c>
      <c r="J326" s="4" t="s">
        <v>501</v>
      </c>
      <c r="K326" s="4" t="s">
        <v>109</v>
      </c>
      <c r="L326" s="4" t="s">
        <v>110</v>
      </c>
      <c r="M326" s="4"/>
      <c r="N326" s="4"/>
      <c r="O326" s="4"/>
      <c r="P326" s="4"/>
      <c r="Q326" s="4"/>
      <c r="R326" s="4"/>
      <c r="S326" s="13" t="n">
        <v>0</v>
      </c>
      <c r="T326" s="4" t="s">
        <v>173</v>
      </c>
      <c r="U326" s="14" t="n">
        <f aca="false">IF(OR($S326="",PARAMETROS!$B$4=""),"",$S326*PARAMETROS!$B$4)</f>
        <v>0</v>
      </c>
      <c r="V326" s="13" t="n">
        <v>0</v>
      </c>
      <c r="W326" s="4"/>
      <c r="X326" s="4"/>
      <c r="Y326" s="4"/>
      <c r="Z326" s="4"/>
      <c r="AA326" s="4"/>
      <c r="AB326" s="4"/>
      <c r="AC326" s="4"/>
      <c r="AD326" s="4"/>
      <c r="AE326" s="4"/>
      <c r="AF326" s="4"/>
      <c r="AG326" s="4"/>
      <c r="AH326" s="4"/>
      <c r="AI326" s="4"/>
      <c r="AJ326" s="4"/>
      <c r="AK326" s="4"/>
      <c r="AL326" s="4" t="s">
        <v>174</v>
      </c>
      <c r="AM326" s="4" t="s">
        <v>175</v>
      </c>
    </row>
    <row r="327" customFormat="false" ht="23.85" hidden="false" customHeight="false" outlineLevel="0" collapsed="false">
      <c r="A327" s="4" t="s">
        <v>167</v>
      </c>
      <c r="B327" s="4" t="s">
        <v>502</v>
      </c>
      <c r="C327" s="4" t="s">
        <v>502</v>
      </c>
      <c r="D327" s="12" t="n">
        <v>2019</v>
      </c>
      <c r="E327" s="4"/>
      <c r="F327" s="4" t="s">
        <v>169</v>
      </c>
      <c r="G327" s="4" t="s">
        <v>170</v>
      </c>
      <c r="H327" s="4" t="s">
        <v>171</v>
      </c>
      <c r="I327" s="4" t="s">
        <v>172</v>
      </c>
      <c r="J327" s="4" t="s">
        <v>502</v>
      </c>
      <c r="K327" s="4" t="s">
        <v>109</v>
      </c>
      <c r="L327" s="4" t="s">
        <v>110</v>
      </c>
      <c r="M327" s="4"/>
      <c r="N327" s="4"/>
      <c r="O327" s="4"/>
      <c r="P327" s="4"/>
      <c r="Q327" s="4"/>
      <c r="R327" s="4"/>
      <c r="S327" s="13" t="n">
        <v>0</v>
      </c>
      <c r="T327" s="4" t="s">
        <v>173</v>
      </c>
      <c r="U327" s="14" t="n">
        <f aca="false">IF(OR($S327="",PARAMETROS!$B$4=""),"",$S327*PARAMETROS!$B$4)</f>
        <v>0</v>
      </c>
      <c r="V327" s="13" t="n">
        <v>0</v>
      </c>
      <c r="W327" s="4"/>
      <c r="X327" s="4"/>
      <c r="Y327" s="4"/>
      <c r="Z327" s="4"/>
      <c r="AA327" s="4"/>
      <c r="AB327" s="4"/>
      <c r="AC327" s="4"/>
      <c r="AD327" s="4"/>
      <c r="AE327" s="4"/>
      <c r="AF327" s="4"/>
      <c r="AG327" s="4"/>
      <c r="AH327" s="4"/>
      <c r="AI327" s="4"/>
      <c r="AJ327" s="4"/>
      <c r="AK327" s="4"/>
      <c r="AL327" s="4" t="s">
        <v>174</v>
      </c>
      <c r="AM327" s="4" t="s">
        <v>175</v>
      </c>
    </row>
    <row r="328" customFormat="false" ht="23.85" hidden="false" customHeight="false" outlineLevel="0" collapsed="false">
      <c r="A328" s="4" t="s">
        <v>167</v>
      </c>
      <c r="B328" s="4" t="s">
        <v>503</v>
      </c>
      <c r="C328" s="4" t="s">
        <v>503</v>
      </c>
      <c r="D328" s="12" t="n">
        <v>2019</v>
      </c>
      <c r="E328" s="4"/>
      <c r="F328" s="4" t="s">
        <v>169</v>
      </c>
      <c r="G328" s="4" t="s">
        <v>170</v>
      </c>
      <c r="H328" s="4" t="s">
        <v>171</v>
      </c>
      <c r="I328" s="4" t="s">
        <v>172</v>
      </c>
      <c r="J328" s="4" t="s">
        <v>503</v>
      </c>
      <c r="K328" s="4" t="s">
        <v>109</v>
      </c>
      <c r="L328" s="4" t="s">
        <v>110</v>
      </c>
      <c r="M328" s="4"/>
      <c r="N328" s="4"/>
      <c r="O328" s="4"/>
      <c r="P328" s="4"/>
      <c r="Q328" s="4"/>
      <c r="R328" s="4"/>
      <c r="S328" s="13" t="n">
        <v>0</v>
      </c>
      <c r="T328" s="4" t="s">
        <v>173</v>
      </c>
      <c r="U328" s="14" t="n">
        <f aca="false">IF(OR($S328="",PARAMETROS!$B$4=""),"",$S328*PARAMETROS!$B$4)</f>
        <v>0</v>
      </c>
      <c r="V328" s="13" t="n">
        <v>0</v>
      </c>
      <c r="W328" s="4"/>
      <c r="X328" s="4"/>
      <c r="Y328" s="4"/>
      <c r="Z328" s="4"/>
      <c r="AA328" s="4"/>
      <c r="AB328" s="4"/>
      <c r="AC328" s="4"/>
      <c r="AD328" s="4"/>
      <c r="AE328" s="4"/>
      <c r="AF328" s="4"/>
      <c r="AG328" s="4"/>
      <c r="AH328" s="4"/>
      <c r="AI328" s="4"/>
      <c r="AJ328" s="4"/>
      <c r="AK328" s="4"/>
      <c r="AL328" s="4" t="s">
        <v>174</v>
      </c>
      <c r="AM328" s="4" t="s">
        <v>175</v>
      </c>
    </row>
    <row r="329" customFormat="false" ht="23.85" hidden="false" customHeight="false" outlineLevel="0" collapsed="false">
      <c r="A329" s="4" t="s">
        <v>167</v>
      </c>
      <c r="B329" s="4" t="s">
        <v>504</v>
      </c>
      <c r="C329" s="4" t="s">
        <v>504</v>
      </c>
      <c r="D329" s="12" t="n">
        <v>2019</v>
      </c>
      <c r="E329" s="4"/>
      <c r="F329" s="4" t="s">
        <v>169</v>
      </c>
      <c r="G329" s="4" t="s">
        <v>170</v>
      </c>
      <c r="H329" s="4" t="s">
        <v>171</v>
      </c>
      <c r="I329" s="4" t="s">
        <v>172</v>
      </c>
      <c r="J329" s="4" t="s">
        <v>504</v>
      </c>
      <c r="K329" s="4" t="s">
        <v>109</v>
      </c>
      <c r="L329" s="4" t="s">
        <v>110</v>
      </c>
      <c r="M329" s="4"/>
      <c r="N329" s="4"/>
      <c r="O329" s="4"/>
      <c r="P329" s="4"/>
      <c r="Q329" s="4"/>
      <c r="R329" s="4"/>
      <c r="S329" s="13" t="n">
        <v>0</v>
      </c>
      <c r="T329" s="4" t="s">
        <v>173</v>
      </c>
      <c r="U329" s="14" t="n">
        <f aca="false">IF(OR($S329="",PARAMETROS!$B$4=""),"",$S329*PARAMETROS!$B$4)</f>
        <v>0</v>
      </c>
      <c r="V329" s="13" t="n">
        <v>0</v>
      </c>
      <c r="W329" s="4"/>
      <c r="X329" s="4"/>
      <c r="Y329" s="4"/>
      <c r="Z329" s="4"/>
      <c r="AA329" s="4"/>
      <c r="AB329" s="4"/>
      <c r="AC329" s="4"/>
      <c r="AD329" s="4"/>
      <c r="AE329" s="4"/>
      <c r="AF329" s="4"/>
      <c r="AG329" s="4"/>
      <c r="AH329" s="4"/>
      <c r="AI329" s="4"/>
      <c r="AJ329" s="4"/>
      <c r="AK329" s="4"/>
      <c r="AL329" s="4" t="s">
        <v>174</v>
      </c>
      <c r="AM329" s="4" t="s">
        <v>175</v>
      </c>
    </row>
    <row r="330" customFormat="false" ht="23.85" hidden="false" customHeight="false" outlineLevel="0" collapsed="false">
      <c r="A330" s="4" t="s">
        <v>167</v>
      </c>
      <c r="B330" s="4" t="s">
        <v>505</v>
      </c>
      <c r="C330" s="4" t="s">
        <v>505</v>
      </c>
      <c r="D330" s="12" t="n">
        <v>2019</v>
      </c>
      <c r="E330" s="4"/>
      <c r="F330" s="4" t="s">
        <v>169</v>
      </c>
      <c r="G330" s="4" t="s">
        <v>170</v>
      </c>
      <c r="H330" s="4" t="s">
        <v>171</v>
      </c>
      <c r="I330" s="4" t="s">
        <v>172</v>
      </c>
      <c r="J330" s="4" t="s">
        <v>505</v>
      </c>
      <c r="K330" s="4" t="s">
        <v>109</v>
      </c>
      <c r="L330" s="4" t="s">
        <v>110</v>
      </c>
      <c r="M330" s="4"/>
      <c r="N330" s="4"/>
      <c r="O330" s="4"/>
      <c r="P330" s="4"/>
      <c r="Q330" s="4"/>
      <c r="R330" s="4"/>
      <c r="S330" s="13" t="n">
        <v>0</v>
      </c>
      <c r="T330" s="4" t="s">
        <v>173</v>
      </c>
      <c r="U330" s="14" t="n">
        <f aca="false">IF(OR($S330="",PARAMETROS!$B$4=""),"",$S330*PARAMETROS!$B$4)</f>
        <v>0</v>
      </c>
      <c r="V330" s="13" t="n">
        <v>0</v>
      </c>
      <c r="W330" s="4"/>
      <c r="X330" s="4"/>
      <c r="Y330" s="4"/>
      <c r="Z330" s="4"/>
      <c r="AA330" s="4"/>
      <c r="AB330" s="4"/>
      <c r="AC330" s="4"/>
      <c r="AD330" s="4"/>
      <c r="AE330" s="4"/>
      <c r="AF330" s="4"/>
      <c r="AG330" s="4"/>
      <c r="AH330" s="4"/>
      <c r="AI330" s="4"/>
      <c r="AJ330" s="4"/>
      <c r="AK330" s="4"/>
      <c r="AL330" s="4" t="s">
        <v>174</v>
      </c>
      <c r="AM330" s="4" t="s">
        <v>175</v>
      </c>
    </row>
    <row r="331" customFormat="false" ht="23.85" hidden="false" customHeight="false" outlineLevel="0" collapsed="false">
      <c r="A331" s="4" t="s">
        <v>167</v>
      </c>
      <c r="B331" s="4" t="s">
        <v>506</v>
      </c>
      <c r="C331" s="4" t="s">
        <v>506</v>
      </c>
      <c r="D331" s="12" t="n">
        <v>2019</v>
      </c>
      <c r="E331" s="4"/>
      <c r="F331" s="4" t="s">
        <v>169</v>
      </c>
      <c r="G331" s="4" t="s">
        <v>170</v>
      </c>
      <c r="H331" s="4" t="s">
        <v>171</v>
      </c>
      <c r="I331" s="4" t="s">
        <v>172</v>
      </c>
      <c r="J331" s="4" t="s">
        <v>506</v>
      </c>
      <c r="K331" s="4" t="s">
        <v>109</v>
      </c>
      <c r="L331" s="4" t="s">
        <v>110</v>
      </c>
      <c r="M331" s="4"/>
      <c r="N331" s="4"/>
      <c r="O331" s="4"/>
      <c r="P331" s="4"/>
      <c r="Q331" s="4"/>
      <c r="R331" s="4"/>
      <c r="S331" s="13" t="n">
        <v>0</v>
      </c>
      <c r="T331" s="4" t="s">
        <v>173</v>
      </c>
      <c r="U331" s="14" t="n">
        <f aca="false">IF(OR($S331="",PARAMETROS!$B$4=""),"",$S331*PARAMETROS!$B$4)</f>
        <v>0</v>
      </c>
      <c r="V331" s="13" t="n">
        <v>0</v>
      </c>
      <c r="W331" s="4"/>
      <c r="X331" s="4"/>
      <c r="Y331" s="4"/>
      <c r="Z331" s="4"/>
      <c r="AA331" s="4"/>
      <c r="AB331" s="4"/>
      <c r="AC331" s="4"/>
      <c r="AD331" s="4"/>
      <c r="AE331" s="4"/>
      <c r="AF331" s="4"/>
      <c r="AG331" s="4"/>
      <c r="AH331" s="4"/>
      <c r="AI331" s="4"/>
      <c r="AJ331" s="4"/>
      <c r="AK331" s="4"/>
      <c r="AL331" s="4" t="s">
        <v>174</v>
      </c>
      <c r="AM331" s="4" t="s">
        <v>175</v>
      </c>
    </row>
    <row r="332" customFormat="false" ht="23.85" hidden="false" customHeight="false" outlineLevel="0" collapsed="false">
      <c r="A332" s="4" t="s">
        <v>167</v>
      </c>
      <c r="B332" s="4" t="s">
        <v>507</v>
      </c>
      <c r="C332" s="4" t="s">
        <v>507</v>
      </c>
      <c r="D332" s="12" t="n">
        <v>2019</v>
      </c>
      <c r="E332" s="4"/>
      <c r="F332" s="4" t="s">
        <v>169</v>
      </c>
      <c r="G332" s="4" t="s">
        <v>170</v>
      </c>
      <c r="H332" s="4" t="s">
        <v>171</v>
      </c>
      <c r="I332" s="4" t="s">
        <v>172</v>
      </c>
      <c r="J332" s="4" t="s">
        <v>507</v>
      </c>
      <c r="K332" s="4" t="s">
        <v>109</v>
      </c>
      <c r="L332" s="4" t="s">
        <v>110</v>
      </c>
      <c r="M332" s="4"/>
      <c r="N332" s="4"/>
      <c r="O332" s="4"/>
      <c r="P332" s="4"/>
      <c r="Q332" s="4"/>
      <c r="R332" s="4"/>
      <c r="S332" s="13" t="n">
        <v>0</v>
      </c>
      <c r="T332" s="4" t="s">
        <v>173</v>
      </c>
      <c r="U332" s="14" t="n">
        <f aca="false">IF(OR($S332="",PARAMETROS!$B$4=""),"",$S332*PARAMETROS!$B$4)</f>
        <v>0</v>
      </c>
      <c r="V332" s="13" t="n">
        <v>0</v>
      </c>
      <c r="W332" s="4"/>
      <c r="X332" s="4"/>
      <c r="Y332" s="4"/>
      <c r="Z332" s="4"/>
      <c r="AA332" s="4"/>
      <c r="AB332" s="4"/>
      <c r="AC332" s="4"/>
      <c r="AD332" s="4"/>
      <c r="AE332" s="4"/>
      <c r="AF332" s="4"/>
      <c r="AG332" s="4"/>
      <c r="AH332" s="4"/>
      <c r="AI332" s="4"/>
      <c r="AJ332" s="4"/>
      <c r="AK332" s="4"/>
      <c r="AL332" s="4" t="s">
        <v>174</v>
      </c>
      <c r="AM332" s="4" t="s">
        <v>175</v>
      </c>
    </row>
    <row r="333" customFormat="false" ht="23.85" hidden="false" customHeight="false" outlineLevel="0" collapsed="false">
      <c r="A333" s="4" t="s">
        <v>167</v>
      </c>
      <c r="B333" s="4" t="s">
        <v>508</v>
      </c>
      <c r="C333" s="4" t="s">
        <v>508</v>
      </c>
      <c r="D333" s="12" t="n">
        <v>2019</v>
      </c>
      <c r="E333" s="4"/>
      <c r="F333" s="4" t="s">
        <v>169</v>
      </c>
      <c r="G333" s="4" t="s">
        <v>170</v>
      </c>
      <c r="H333" s="4" t="s">
        <v>171</v>
      </c>
      <c r="I333" s="4" t="s">
        <v>172</v>
      </c>
      <c r="J333" s="4" t="s">
        <v>508</v>
      </c>
      <c r="K333" s="4" t="s">
        <v>109</v>
      </c>
      <c r="L333" s="4" t="s">
        <v>110</v>
      </c>
      <c r="M333" s="4"/>
      <c r="N333" s="4"/>
      <c r="O333" s="4"/>
      <c r="P333" s="4"/>
      <c r="Q333" s="4"/>
      <c r="R333" s="4"/>
      <c r="S333" s="13" t="n">
        <v>49305.49</v>
      </c>
      <c r="T333" s="4" t="s">
        <v>173</v>
      </c>
      <c r="U333" s="14" t="n">
        <f aca="false">IF(OR($S333="",PARAMETROS!$B$4=""),"",$S333*PARAMETROS!$B$4)</f>
        <v>286464.8969</v>
      </c>
      <c r="V333" s="13" t="n">
        <v>0</v>
      </c>
      <c r="W333" s="4"/>
      <c r="X333" s="4"/>
      <c r="Y333" s="4"/>
      <c r="Z333" s="4"/>
      <c r="AA333" s="4"/>
      <c r="AB333" s="4"/>
      <c r="AC333" s="4"/>
      <c r="AD333" s="4"/>
      <c r="AE333" s="4"/>
      <c r="AF333" s="4"/>
      <c r="AG333" s="4"/>
      <c r="AH333" s="4"/>
      <c r="AI333" s="4"/>
      <c r="AJ333" s="4"/>
      <c r="AK333" s="4"/>
      <c r="AL333" s="4" t="s">
        <v>174</v>
      </c>
      <c r="AM333" s="4" t="s">
        <v>175</v>
      </c>
    </row>
    <row r="334" customFormat="false" ht="23.85" hidden="false" customHeight="false" outlineLevel="0" collapsed="false">
      <c r="A334" s="4" t="s">
        <v>167</v>
      </c>
      <c r="B334" s="4" t="s">
        <v>509</v>
      </c>
      <c r="C334" s="4" t="s">
        <v>509</v>
      </c>
      <c r="D334" s="12" t="n">
        <v>2019</v>
      </c>
      <c r="E334" s="4"/>
      <c r="F334" s="4" t="s">
        <v>169</v>
      </c>
      <c r="G334" s="4" t="s">
        <v>170</v>
      </c>
      <c r="H334" s="4" t="s">
        <v>171</v>
      </c>
      <c r="I334" s="4" t="s">
        <v>172</v>
      </c>
      <c r="J334" s="4" t="s">
        <v>509</v>
      </c>
      <c r="K334" s="4" t="s">
        <v>109</v>
      </c>
      <c r="L334" s="4" t="s">
        <v>110</v>
      </c>
      <c r="M334" s="4"/>
      <c r="N334" s="4"/>
      <c r="O334" s="4"/>
      <c r="P334" s="4"/>
      <c r="Q334" s="4"/>
      <c r="R334" s="4"/>
      <c r="S334" s="13" t="n">
        <v>1524.91</v>
      </c>
      <c r="T334" s="4" t="s">
        <v>173</v>
      </c>
      <c r="U334" s="14" t="n">
        <f aca="false">IF(OR($S334="",PARAMETROS!$B$4=""),"",$S334*PARAMETROS!$B$4)</f>
        <v>8859.7271</v>
      </c>
      <c r="V334" s="13" t="n">
        <v>0</v>
      </c>
      <c r="W334" s="4"/>
      <c r="X334" s="4"/>
      <c r="Y334" s="4"/>
      <c r="Z334" s="4"/>
      <c r="AA334" s="4"/>
      <c r="AB334" s="4"/>
      <c r="AC334" s="4"/>
      <c r="AD334" s="4"/>
      <c r="AE334" s="4"/>
      <c r="AF334" s="4"/>
      <c r="AG334" s="4"/>
      <c r="AH334" s="4"/>
      <c r="AI334" s="4"/>
      <c r="AJ334" s="4"/>
      <c r="AK334" s="4"/>
      <c r="AL334" s="4" t="s">
        <v>174</v>
      </c>
      <c r="AM334" s="4" t="s">
        <v>175</v>
      </c>
    </row>
    <row r="335" customFormat="false" ht="23.85" hidden="false" customHeight="false" outlineLevel="0" collapsed="false">
      <c r="A335" s="4" t="s">
        <v>167</v>
      </c>
      <c r="B335" s="4" t="s">
        <v>510</v>
      </c>
      <c r="C335" s="4" t="s">
        <v>510</v>
      </c>
      <c r="D335" s="12" t="n">
        <v>2019</v>
      </c>
      <c r="E335" s="4"/>
      <c r="F335" s="4" t="s">
        <v>169</v>
      </c>
      <c r="G335" s="4" t="s">
        <v>170</v>
      </c>
      <c r="H335" s="4" t="s">
        <v>171</v>
      </c>
      <c r="I335" s="4" t="s">
        <v>172</v>
      </c>
      <c r="J335" s="4" t="s">
        <v>510</v>
      </c>
      <c r="K335" s="4" t="s">
        <v>109</v>
      </c>
      <c r="L335" s="4" t="s">
        <v>110</v>
      </c>
      <c r="M335" s="4"/>
      <c r="N335" s="4"/>
      <c r="O335" s="4"/>
      <c r="P335" s="4"/>
      <c r="Q335" s="4"/>
      <c r="R335" s="4"/>
      <c r="S335" s="13" t="n">
        <v>0</v>
      </c>
      <c r="T335" s="4" t="s">
        <v>173</v>
      </c>
      <c r="U335" s="14" t="n">
        <f aca="false">IF(OR($S335="",PARAMETROS!$B$4=""),"",$S335*PARAMETROS!$B$4)</f>
        <v>0</v>
      </c>
      <c r="V335" s="13" t="n">
        <v>0</v>
      </c>
      <c r="W335" s="4"/>
      <c r="X335" s="4"/>
      <c r="Y335" s="4"/>
      <c r="Z335" s="4"/>
      <c r="AA335" s="4"/>
      <c r="AB335" s="4"/>
      <c r="AC335" s="4"/>
      <c r="AD335" s="4"/>
      <c r="AE335" s="4"/>
      <c r="AF335" s="4"/>
      <c r="AG335" s="4"/>
      <c r="AH335" s="4"/>
      <c r="AI335" s="4"/>
      <c r="AJ335" s="4"/>
      <c r="AK335" s="4"/>
      <c r="AL335" s="4" t="s">
        <v>174</v>
      </c>
      <c r="AM335" s="4" t="s">
        <v>175</v>
      </c>
    </row>
    <row r="336" customFormat="false" ht="23.85" hidden="false" customHeight="false" outlineLevel="0" collapsed="false">
      <c r="A336" s="4" t="s">
        <v>167</v>
      </c>
      <c r="B336" s="4" t="s">
        <v>511</v>
      </c>
      <c r="C336" s="4" t="s">
        <v>511</v>
      </c>
      <c r="D336" s="12" t="n">
        <v>2019</v>
      </c>
      <c r="E336" s="4"/>
      <c r="F336" s="4" t="s">
        <v>169</v>
      </c>
      <c r="G336" s="4" t="s">
        <v>170</v>
      </c>
      <c r="H336" s="4" t="s">
        <v>171</v>
      </c>
      <c r="I336" s="4" t="s">
        <v>172</v>
      </c>
      <c r="J336" s="4" t="s">
        <v>511</v>
      </c>
      <c r="K336" s="4" t="s">
        <v>109</v>
      </c>
      <c r="L336" s="4" t="s">
        <v>110</v>
      </c>
      <c r="M336" s="4"/>
      <c r="N336" s="4"/>
      <c r="O336" s="4"/>
      <c r="P336" s="4"/>
      <c r="Q336" s="4"/>
      <c r="R336" s="4"/>
      <c r="S336" s="13" t="n">
        <v>0</v>
      </c>
      <c r="T336" s="4" t="s">
        <v>173</v>
      </c>
      <c r="U336" s="14" t="n">
        <f aca="false">IF(OR($S336="",PARAMETROS!$B$4=""),"",$S336*PARAMETROS!$B$4)</f>
        <v>0</v>
      </c>
      <c r="V336" s="13" t="n">
        <v>0</v>
      </c>
      <c r="W336" s="4"/>
      <c r="X336" s="4"/>
      <c r="Y336" s="4"/>
      <c r="Z336" s="4"/>
      <c r="AA336" s="4"/>
      <c r="AB336" s="4"/>
      <c r="AC336" s="4"/>
      <c r="AD336" s="4"/>
      <c r="AE336" s="4"/>
      <c r="AF336" s="4"/>
      <c r="AG336" s="4"/>
      <c r="AH336" s="4"/>
      <c r="AI336" s="4"/>
      <c r="AJ336" s="4"/>
      <c r="AK336" s="4"/>
      <c r="AL336" s="4" t="s">
        <v>174</v>
      </c>
      <c r="AM336" s="4" t="s">
        <v>175</v>
      </c>
    </row>
    <row r="337" customFormat="false" ht="23.85" hidden="false" customHeight="false" outlineLevel="0" collapsed="false">
      <c r="A337" s="4" t="s">
        <v>167</v>
      </c>
      <c r="B337" s="4" t="s">
        <v>512</v>
      </c>
      <c r="C337" s="4" t="s">
        <v>512</v>
      </c>
      <c r="D337" s="12" t="n">
        <v>2019</v>
      </c>
      <c r="E337" s="4"/>
      <c r="F337" s="4" t="s">
        <v>169</v>
      </c>
      <c r="G337" s="4" t="s">
        <v>170</v>
      </c>
      <c r="H337" s="4" t="s">
        <v>171</v>
      </c>
      <c r="I337" s="4" t="s">
        <v>172</v>
      </c>
      <c r="J337" s="4" t="s">
        <v>512</v>
      </c>
      <c r="K337" s="4" t="s">
        <v>109</v>
      </c>
      <c r="L337" s="4" t="s">
        <v>110</v>
      </c>
      <c r="M337" s="4"/>
      <c r="N337" s="4"/>
      <c r="O337" s="4"/>
      <c r="P337" s="4"/>
      <c r="Q337" s="4"/>
      <c r="R337" s="4"/>
      <c r="S337" s="13" t="n">
        <v>0</v>
      </c>
      <c r="T337" s="4" t="s">
        <v>173</v>
      </c>
      <c r="U337" s="14" t="n">
        <f aca="false">IF(OR($S337="",PARAMETROS!$B$4=""),"",$S337*PARAMETROS!$B$4)</f>
        <v>0</v>
      </c>
      <c r="V337" s="13" t="n">
        <v>0</v>
      </c>
      <c r="W337" s="4"/>
      <c r="X337" s="4"/>
      <c r="Y337" s="4"/>
      <c r="Z337" s="4"/>
      <c r="AA337" s="4"/>
      <c r="AB337" s="4"/>
      <c r="AC337" s="4"/>
      <c r="AD337" s="4"/>
      <c r="AE337" s="4"/>
      <c r="AF337" s="4"/>
      <c r="AG337" s="4"/>
      <c r="AH337" s="4"/>
      <c r="AI337" s="4"/>
      <c r="AJ337" s="4"/>
      <c r="AK337" s="4"/>
      <c r="AL337" s="4" t="s">
        <v>174</v>
      </c>
      <c r="AM337" s="4" t="s">
        <v>175</v>
      </c>
    </row>
    <row r="338" customFormat="false" ht="23.85" hidden="false" customHeight="false" outlineLevel="0" collapsed="false">
      <c r="A338" s="4" t="s">
        <v>167</v>
      </c>
      <c r="B338" s="4" t="s">
        <v>513</v>
      </c>
      <c r="C338" s="4" t="s">
        <v>513</v>
      </c>
      <c r="D338" s="12" t="n">
        <v>2019</v>
      </c>
      <c r="E338" s="4"/>
      <c r="F338" s="4" t="s">
        <v>169</v>
      </c>
      <c r="G338" s="4" t="s">
        <v>170</v>
      </c>
      <c r="H338" s="4" t="s">
        <v>171</v>
      </c>
      <c r="I338" s="4" t="s">
        <v>172</v>
      </c>
      <c r="J338" s="4" t="s">
        <v>513</v>
      </c>
      <c r="K338" s="4" t="s">
        <v>86</v>
      </c>
      <c r="L338" s="4" t="s">
        <v>87</v>
      </c>
      <c r="M338" s="4"/>
      <c r="N338" s="4"/>
      <c r="O338" s="4"/>
      <c r="P338" s="4"/>
      <c r="Q338" s="4"/>
      <c r="R338" s="4"/>
      <c r="S338" s="13" t="n">
        <v>3478.09</v>
      </c>
      <c r="T338" s="4" t="s">
        <v>173</v>
      </c>
      <c r="U338" s="14" t="n">
        <f aca="false">IF(OR($S338="",PARAMETROS!$B$4=""),"",$S338*PARAMETROS!$B$4)</f>
        <v>20207.7029</v>
      </c>
      <c r="V338" s="13" t="n">
        <v>0</v>
      </c>
      <c r="W338" s="4"/>
      <c r="X338" s="4"/>
      <c r="Y338" s="4"/>
      <c r="Z338" s="4"/>
      <c r="AA338" s="4"/>
      <c r="AB338" s="4"/>
      <c r="AC338" s="4"/>
      <c r="AD338" s="4"/>
      <c r="AE338" s="4"/>
      <c r="AF338" s="4"/>
      <c r="AG338" s="4"/>
      <c r="AH338" s="4"/>
      <c r="AI338" s="4"/>
      <c r="AJ338" s="4"/>
      <c r="AK338" s="4"/>
      <c r="AL338" s="4" t="s">
        <v>174</v>
      </c>
      <c r="AM338" s="4" t="s">
        <v>205</v>
      </c>
    </row>
    <row r="339" customFormat="false" ht="23.85" hidden="false" customHeight="false" outlineLevel="0" collapsed="false">
      <c r="A339" s="4" t="s">
        <v>167</v>
      </c>
      <c r="B339" s="4" t="s">
        <v>514</v>
      </c>
      <c r="C339" s="4" t="s">
        <v>514</v>
      </c>
      <c r="D339" s="12" t="n">
        <v>2019</v>
      </c>
      <c r="E339" s="4"/>
      <c r="F339" s="4" t="s">
        <v>169</v>
      </c>
      <c r="G339" s="4" t="s">
        <v>170</v>
      </c>
      <c r="H339" s="4" t="s">
        <v>171</v>
      </c>
      <c r="I339" s="4" t="s">
        <v>172</v>
      </c>
      <c r="J339" s="4" t="s">
        <v>514</v>
      </c>
      <c r="K339" s="4" t="s">
        <v>86</v>
      </c>
      <c r="L339" s="4" t="s">
        <v>87</v>
      </c>
      <c r="M339" s="4"/>
      <c r="N339" s="4"/>
      <c r="O339" s="4"/>
      <c r="P339" s="4"/>
      <c r="Q339" s="4"/>
      <c r="R339" s="4"/>
      <c r="S339" s="13" t="n">
        <v>0</v>
      </c>
      <c r="T339" s="4" t="s">
        <v>173</v>
      </c>
      <c r="U339" s="14" t="n">
        <f aca="false">IF(OR($S339="",PARAMETROS!$B$4=""),"",$S339*PARAMETROS!$B$4)</f>
        <v>0</v>
      </c>
      <c r="V339" s="13" t="n">
        <v>0</v>
      </c>
      <c r="W339" s="4"/>
      <c r="X339" s="4"/>
      <c r="Y339" s="4"/>
      <c r="Z339" s="4"/>
      <c r="AA339" s="4"/>
      <c r="AB339" s="4"/>
      <c r="AC339" s="4"/>
      <c r="AD339" s="4"/>
      <c r="AE339" s="4"/>
      <c r="AF339" s="4"/>
      <c r="AG339" s="4"/>
      <c r="AH339" s="4"/>
      <c r="AI339" s="4"/>
      <c r="AJ339" s="4"/>
      <c r="AK339" s="4"/>
      <c r="AL339" s="4" t="s">
        <v>174</v>
      </c>
      <c r="AM339" s="4" t="s">
        <v>205</v>
      </c>
    </row>
    <row r="340" customFormat="false" ht="23.85" hidden="false" customHeight="false" outlineLevel="0" collapsed="false">
      <c r="A340" s="4" t="s">
        <v>167</v>
      </c>
      <c r="B340" s="4" t="s">
        <v>515</v>
      </c>
      <c r="C340" s="4" t="s">
        <v>515</v>
      </c>
      <c r="D340" s="12" t="n">
        <v>2019</v>
      </c>
      <c r="E340" s="4"/>
      <c r="F340" s="4" t="s">
        <v>169</v>
      </c>
      <c r="G340" s="4" t="s">
        <v>170</v>
      </c>
      <c r="H340" s="4" t="s">
        <v>171</v>
      </c>
      <c r="I340" s="4" t="s">
        <v>172</v>
      </c>
      <c r="J340" s="4" t="s">
        <v>515</v>
      </c>
      <c r="K340" s="4" t="s">
        <v>86</v>
      </c>
      <c r="L340" s="4" t="s">
        <v>87</v>
      </c>
      <c r="M340" s="4"/>
      <c r="N340" s="4"/>
      <c r="O340" s="4"/>
      <c r="P340" s="4"/>
      <c r="Q340" s="4"/>
      <c r="R340" s="4"/>
      <c r="S340" s="13" t="n">
        <v>1950.69</v>
      </c>
      <c r="T340" s="4" t="s">
        <v>173</v>
      </c>
      <c r="U340" s="14" t="n">
        <f aca="false">IF(OR($S340="",PARAMETROS!$B$4=""),"",$S340*PARAMETROS!$B$4)</f>
        <v>11333.5089</v>
      </c>
      <c r="V340" s="13" t="n">
        <v>0</v>
      </c>
      <c r="W340" s="4"/>
      <c r="X340" s="4"/>
      <c r="Y340" s="4"/>
      <c r="Z340" s="4"/>
      <c r="AA340" s="4"/>
      <c r="AB340" s="4"/>
      <c r="AC340" s="4"/>
      <c r="AD340" s="4"/>
      <c r="AE340" s="4"/>
      <c r="AF340" s="4"/>
      <c r="AG340" s="4"/>
      <c r="AH340" s="4"/>
      <c r="AI340" s="4"/>
      <c r="AJ340" s="4"/>
      <c r="AK340" s="4"/>
      <c r="AL340" s="4" t="s">
        <v>174</v>
      </c>
      <c r="AM340" s="4" t="s">
        <v>205</v>
      </c>
    </row>
    <row r="341" customFormat="false" ht="23.85" hidden="false" customHeight="false" outlineLevel="0" collapsed="false">
      <c r="A341" s="4" t="s">
        <v>167</v>
      </c>
      <c r="B341" s="4" t="s">
        <v>516</v>
      </c>
      <c r="C341" s="4" t="s">
        <v>516</v>
      </c>
      <c r="D341" s="12" t="n">
        <v>2019</v>
      </c>
      <c r="E341" s="4"/>
      <c r="F341" s="4" t="s">
        <v>169</v>
      </c>
      <c r="G341" s="4" t="s">
        <v>170</v>
      </c>
      <c r="H341" s="4" t="s">
        <v>171</v>
      </c>
      <c r="I341" s="4" t="s">
        <v>172</v>
      </c>
      <c r="J341" s="4" t="s">
        <v>516</v>
      </c>
      <c r="K341" s="4" t="s">
        <v>86</v>
      </c>
      <c r="L341" s="4" t="s">
        <v>87</v>
      </c>
      <c r="M341" s="4"/>
      <c r="N341" s="4"/>
      <c r="O341" s="4"/>
      <c r="P341" s="4"/>
      <c r="Q341" s="4"/>
      <c r="R341" s="4"/>
      <c r="S341" s="13" t="n">
        <v>-599.4</v>
      </c>
      <c r="T341" s="4" t="s">
        <v>173</v>
      </c>
      <c r="U341" s="14" t="n">
        <f aca="false">IF(OR($S341="",PARAMETROS!$B$4=""),"",$S341*PARAMETROS!$B$4)</f>
        <v>-3482.514</v>
      </c>
      <c r="V341" s="13" t="n">
        <v>0</v>
      </c>
      <c r="W341" s="4"/>
      <c r="X341" s="4"/>
      <c r="Y341" s="4"/>
      <c r="Z341" s="4"/>
      <c r="AA341" s="4"/>
      <c r="AB341" s="4"/>
      <c r="AC341" s="4"/>
      <c r="AD341" s="4"/>
      <c r="AE341" s="4"/>
      <c r="AF341" s="4"/>
      <c r="AG341" s="4"/>
      <c r="AH341" s="4"/>
      <c r="AI341" s="4"/>
      <c r="AJ341" s="4"/>
      <c r="AK341" s="4"/>
      <c r="AL341" s="4" t="s">
        <v>174</v>
      </c>
      <c r="AM341" s="4" t="s">
        <v>205</v>
      </c>
    </row>
    <row r="342" customFormat="false" ht="23.85" hidden="false" customHeight="false" outlineLevel="0" collapsed="false">
      <c r="A342" s="4" t="s">
        <v>167</v>
      </c>
      <c r="B342" s="4" t="s">
        <v>517</v>
      </c>
      <c r="C342" s="4" t="s">
        <v>517</v>
      </c>
      <c r="D342" s="12" t="n">
        <v>2019</v>
      </c>
      <c r="E342" s="4"/>
      <c r="F342" s="4" t="s">
        <v>169</v>
      </c>
      <c r="G342" s="4" t="s">
        <v>170</v>
      </c>
      <c r="H342" s="4" t="s">
        <v>171</v>
      </c>
      <c r="I342" s="4" t="s">
        <v>172</v>
      </c>
      <c r="J342" s="4" t="s">
        <v>517</v>
      </c>
      <c r="K342" s="4" t="s">
        <v>86</v>
      </c>
      <c r="L342" s="4" t="s">
        <v>87</v>
      </c>
      <c r="M342" s="4"/>
      <c r="N342" s="4"/>
      <c r="O342" s="4"/>
      <c r="P342" s="4"/>
      <c r="Q342" s="4"/>
      <c r="R342" s="4"/>
      <c r="S342" s="13" t="n">
        <v>-927.99</v>
      </c>
      <c r="T342" s="4" t="s">
        <v>173</v>
      </c>
      <c r="U342" s="14" t="n">
        <f aca="false">IF(OR($S342="",PARAMETROS!$B$4=""),"",$S342*PARAMETROS!$B$4)</f>
        <v>-5391.6219</v>
      </c>
      <c r="V342" s="13" t="n">
        <v>0</v>
      </c>
      <c r="W342" s="4"/>
      <c r="X342" s="4"/>
      <c r="Y342" s="4"/>
      <c r="Z342" s="4"/>
      <c r="AA342" s="4"/>
      <c r="AB342" s="4"/>
      <c r="AC342" s="4"/>
      <c r="AD342" s="4"/>
      <c r="AE342" s="4"/>
      <c r="AF342" s="4"/>
      <c r="AG342" s="4"/>
      <c r="AH342" s="4"/>
      <c r="AI342" s="4"/>
      <c r="AJ342" s="4"/>
      <c r="AK342" s="4"/>
      <c r="AL342" s="4" t="s">
        <v>174</v>
      </c>
      <c r="AM342" s="4" t="s">
        <v>205</v>
      </c>
    </row>
    <row r="343" customFormat="false" ht="23.85" hidden="false" customHeight="false" outlineLevel="0" collapsed="false">
      <c r="A343" s="4" t="s">
        <v>167</v>
      </c>
      <c r="B343" s="4" t="s">
        <v>518</v>
      </c>
      <c r="C343" s="4" t="s">
        <v>518</v>
      </c>
      <c r="D343" s="12" t="n">
        <v>2019</v>
      </c>
      <c r="E343" s="4"/>
      <c r="F343" s="4" t="s">
        <v>169</v>
      </c>
      <c r="G343" s="4" t="s">
        <v>170</v>
      </c>
      <c r="H343" s="4" t="s">
        <v>171</v>
      </c>
      <c r="I343" s="4" t="s">
        <v>172</v>
      </c>
      <c r="J343" s="4" t="s">
        <v>518</v>
      </c>
      <c r="K343" s="4" t="s">
        <v>86</v>
      </c>
      <c r="L343" s="4" t="s">
        <v>87</v>
      </c>
      <c r="M343" s="4"/>
      <c r="N343" s="4"/>
      <c r="O343" s="4"/>
      <c r="P343" s="4"/>
      <c r="Q343" s="4"/>
      <c r="R343" s="4"/>
      <c r="S343" s="13" t="n">
        <v>0</v>
      </c>
      <c r="T343" s="4" t="s">
        <v>173</v>
      </c>
      <c r="U343" s="14" t="n">
        <f aca="false">IF(OR($S343="",PARAMETROS!$B$4=""),"",$S343*PARAMETROS!$B$4)</f>
        <v>0</v>
      </c>
      <c r="V343" s="13" t="n">
        <v>0</v>
      </c>
      <c r="W343" s="4"/>
      <c r="X343" s="4"/>
      <c r="Y343" s="4"/>
      <c r="Z343" s="4"/>
      <c r="AA343" s="4"/>
      <c r="AB343" s="4"/>
      <c r="AC343" s="4"/>
      <c r="AD343" s="4"/>
      <c r="AE343" s="4"/>
      <c r="AF343" s="4"/>
      <c r="AG343" s="4"/>
      <c r="AH343" s="4"/>
      <c r="AI343" s="4"/>
      <c r="AJ343" s="4"/>
      <c r="AK343" s="4"/>
      <c r="AL343" s="4" t="s">
        <v>174</v>
      </c>
      <c r="AM343" s="4" t="s">
        <v>205</v>
      </c>
    </row>
    <row r="344" customFormat="false" ht="23.85" hidden="false" customHeight="false" outlineLevel="0" collapsed="false">
      <c r="A344" s="4" t="s">
        <v>167</v>
      </c>
      <c r="B344" s="4" t="s">
        <v>519</v>
      </c>
      <c r="C344" s="4" t="s">
        <v>519</v>
      </c>
      <c r="D344" s="12" t="n">
        <v>2019</v>
      </c>
      <c r="E344" s="4"/>
      <c r="F344" s="4" t="s">
        <v>169</v>
      </c>
      <c r="G344" s="4" t="s">
        <v>170</v>
      </c>
      <c r="H344" s="4" t="s">
        <v>171</v>
      </c>
      <c r="I344" s="4" t="s">
        <v>172</v>
      </c>
      <c r="J344" s="4" t="s">
        <v>519</v>
      </c>
      <c r="K344" s="4" t="s">
        <v>86</v>
      </c>
      <c r="L344" s="4" t="s">
        <v>87</v>
      </c>
      <c r="M344" s="4"/>
      <c r="N344" s="4"/>
      <c r="O344" s="4"/>
      <c r="P344" s="4"/>
      <c r="Q344" s="4"/>
      <c r="R344" s="4"/>
      <c r="S344" s="13" t="n">
        <v>0</v>
      </c>
      <c r="T344" s="4" t="s">
        <v>173</v>
      </c>
      <c r="U344" s="14" t="n">
        <f aca="false">IF(OR($S344="",PARAMETROS!$B$4=""),"",$S344*PARAMETROS!$B$4)</f>
        <v>0</v>
      </c>
      <c r="V344" s="13" t="n">
        <v>0</v>
      </c>
      <c r="W344" s="4"/>
      <c r="X344" s="4"/>
      <c r="Y344" s="4"/>
      <c r="Z344" s="4"/>
      <c r="AA344" s="4"/>
      <c r="AB344" s="4"/>
      <c r="AC344" s="4"/>
      <c r="AD344" s="4"/>
      <c r="AE344" s="4"/>
      <c r="AF344" s="4"/>
      <c r="AG344" s="4"/>
      <c r="AH344" s="4"/>
      <c r="AI344" s="4"/>
      <c r="AJ344" s="4"/>
      <c r="AK344" s="4"/>
      <c r="AL344" s="4" t="s">
        <v>174</v>
      </c>
      <c r="AM344" s="4" t="s">
        <v>205</v>
      </c>
    </row>
    <row r="345" customFormat="false" ht="23.85" hidden="false" customHeight="false" outlineLevel="0" collapsed="false">
      <c r="A345" s="4" t="s">
        <v>167</v>
      </c>
      <c r="B345" s="4" t="s">
        <v>520</v>
      </c>
      <c r="C345" s="4" t="s">
        <v>520</v>
      </c>
      <c r="D345" s="12" t="n">
        <v>2019</v>
      </c>
      <c r="E345" s="4"/>
      <c r="F345" s="4" t="s">
        <v>169</v>
      </c>
      <c r="G345" s="4" t="s">
        <v>170</v>
      </c>
      <c r="H345" s="4" t="s">
        <v>171</v>
      </c>
      <c r="I345" s="4" t="s">
        <v>172</v>
      </c>
      <c r="J345" s="4" t="s">
        <v>520</v>
      </c>
      <c r="K345" s="4" t="s">
        <v>86</v>
      </c>
      <c r="L345" s="4" t="s">
        <v>87</v>
      </c>
      <c r="M345" s="4"/>
      <c r="N345" s="4"/>
      <c r="O345" s="4"/>
      <c r="P345" s="4"/>
      <c r="Q345" s="4"/>
      <c r="R345" s="4"/>
      <c r="S345" s="13" t="n">
        <v>0</v>
      </c>
      <c r="T345" s="4" t="s">
        <v>173</v>
      </c>
      <c r="U345" s="14" t="n">
        <f aca="false">IF(OR($S345="",PARAMETROS!$B$4=""),"",$S345*PARAMETROS!$B$4)</f>
        <v>0</v>
      </c>
      <c r="V345" s="13" t="n">
        <v>0</v>
      </c>
      <c r="W345" s="4"/>
      <c r="X345" s="4"/>
      <c r="Y345" s="4"/>
      <c r="Z345" s="4"/>
      <c r="AA345" s="4"/>
      <c r="AB345" s="4"/>
      <c r="AC345" s="4"/>
      <c r="AD345" s="4"/>
      <c r="AE345" s="4"/>
      <c r="AF345" s="4"/>
      <c r="AG345" s="4"/>
      <c r="AH345" s="4"/>
      <c r="AI345" s="4"/>
      <c r="AJ345" s="4"/>
      <c r="AK345" s="4"/>
      <c r="AL345" s="4" t="s">
        <v>174</v>
      </c>
      <c r="AM345" s="4" t="s">
        <v>205</v>
      </c>
    </row>
    <row r="346" customFormat="false" ht="23.85" hidden="false" customHeight="false" outlineLevel="0" collapsed="false">
      <c r="A346" s="4" t="s">
        <v>167</v>
      </c>
      <c r="B346" s="4" t="s">
        <v>521</v>
      </c>
      <c r="C346" s="4" t="s">
        <v>521</v>
      </c>
      <c r="D346" s="12" t="n">
        <v>2019</v>
      </c>
      <c r="E346" s="4"/>
      <c r="F346" s="4" t="s">
        <v>169</v>
      </c>
      <c r="G346" s="4" t="s">
        <v>170</v>
      </c>
      <c r="H346" s="4" t="s">
        <v>171</v>
      </c>
      <c r="I346" s="4" t="s">
        <v>172</v>
      </c>
      <c r="J346" s="4" t="s">
        <v>521</v>
      </c>
      <c r="K346" s="4" t="s">
        <v>86</v>
      </c>
      <c r="L346" s="4" t="s">
        <v>87</v>
      </c>
      <c r="M346" s="4"/>
      <c r="N346" s="4"/>
      <c r="O346" s="4"/>
      <c r="P346" s="4"/>
      <c r="Q346" s="4"/>
      <c r="R346" s="4"/>
      <c r="S346" s="13" t="n">
        <v>0</v>
      </c>
      <c r="T346" s="4" t="s">
        <v>173</v>
      </c>
      <c r="U346" s="14" t="n">
        <f aca="false">IF(OR($S346="",PARAMETROS!$B$4=""),"",$S346*PARAMETROS!$B$4)</f>
        <v>0</v>
      </c>
      <c r="V346" s="13" t="n">
        <v>0</v>
      </c>
      <c r="W346" s="4"/>
      <c r="X346" s="4"/>
      <c r="Y346" s="4"/>
      <c r="Z346" s="4"/>
      <c r="AA346" s="4"/>
      <c r="AB346" s="4"/>
      <c r="AC346" s="4"/>
      <c r="AD346" s="4"/>
      <c r="AE346" s="4"/>
      <c r="AF346" s="4"/>
      <c r="AG346" s="4"/>
      <c r="AH346" s="4"/>
      <c r="AI346" s="4"/>
      <c r="AJ346" s="4"/>
      <c r="AK346" s="4"/>
      <c r="AL346" s="4" t="s">
        <v>174</v>
      </c>
      <c r="AM346" s="4" t="s">
        <v>205</v>
      </c>
    </row>
    <row r="347" customFormat="false" ht="23.85" hidden="false" customHeight="false" outlineLevel="0" collapsed="false">
      <c r="A347" s="4" t="s">
        <v>167</v>
      </c>
      <c r="B347" s="4" t="s">
        <v>522</v>
      </c>
      <c r="C347" s="4" t="s">
        <v>522</v>
      </c>
      <c r="D347" s="12" t="n">
        <v>2019</v>
      </c>
      <c r="E347" s="4"/>
      <c r="F347" s="4" t="s">
        <v>169</v>
      </c>
      <c r="G347" s="4" t="s">
        <v>170</v>
      </c>
      <c r="H347" s="4" t="s">
        <v>171</v>
      </c>
      <c r="I347" s="4" t="s">
        <v>172</v>
      </c>
      <c r="J347" s="4" t="s">
        <v>522</v>
      </c>
      <c r="K347" s="4" t="s">
        <v>86</v>
      </c>
      <c r="L347" s="4" t="s">
        <v>87</v>
      </c>
      <c r="M347" s="4"/>
      <c r="N347" s="4"/>
      <c r="O347" s="4"/>
      <c r="P347" s="4"/>
      <c r="Q347" s="4"/>
      <c r="R347" s="4"/>
      <c r="S347" s="13" t="n">
        <v>0</v>
      </c>
      <c r="T347" s="4" t="s">
        <v>173</v>
      </c>
      <c r="U347" s="14" t="n">
        <f aca="false">IF(OR($S347="",PARAMETROS!$B$4=""),"",$S347*PARAMETROS!$B$4)</f>
        <v>0</v>
      </c>
      <c r="V347" s="13" t="n">
        <v>0</v>
      </c>
      <c r="W347" s="4"/>
      <c r="X347" s="4"/>
      <c r="Y347" s="4"/>
      <c r="Z347" s="4"/>
      <c r="AA347" s="4"/>
      <c r="AB347" s="4"/>
      <c r="AC347" s="4"/>
      <c r="AD347" s="4"/>
      <c r="AE347" s="4"/>
      <c r="AF347" s="4"/>
      <c r="AG347" s="4"/>
      <c r="AH347" s="4"/>
      <c r="AI347" s="4"/>
      <c r="AJ347" s="4"/>
      <c r="AK347" s="4"/>
      <c r="AL347" s="4" t="s">
        <v>174</v>
      </c>
      <c r="AM347" s="4" t="s">
        <v>205</v>
      </c>
    </row>
    <row r="348" customFormat="false" ht="23.85" hidden="false" customHeight="false" outlineLevel="0" collapsed="false">
      <c r="A348" s="4" t="s">
        <v>167</v>
      </c>
      <c r="B348" s="4" t="s">
        <v>523</v>
      </c>
      <c r="C348" s="4" t="s">
        <v>523</v>
      </c>
      <c r="D348" s="12" t="n">
        <v>2019</v>
      </c>
      <c r="E348" s="4"/>
      <c r="F348" s="4" t="s">
        <v>169</v>
      </c>
      <c r="G348" s="4" t="s">
        <v>170</v>
      </c>
      <c r="H348" s="4" t="s">
        <v>171</v>
      </c>
      <c r="I348" s="4" t="s">
        <v>172</v>
      </c>
      <c r="J348" s="4" t="s">
        <v>523</v>
      </c>
      <c r="K348" s="4" t="s">
        <v>86</v>
      </c>
      <c r="L348" s="4" t="s">
        <v>87</v>
      </c>
      <c r="M348" s="4"/>
      <c r="N348" s="4"/>
      <c r="O348" s="4"/>
      <c r="P348" s="4"/>
      <c r="Q348" s="4"/>
      <c r="R348" s="4"/>
      <c r="S348" s="13" t="n">
        <v>0</v>
      </c>
      <c r="T348" s="4" t="s">
        <v>173</v>
      </c>
      <c r="U348" s="14" t="n">
        <f aca="false">IF(OR($S348="",PARAMETROS!$B$4=""),"",$S348*PARAMETROS!$B$4)</f>
        <v>0</v>
      </c>
      <c r="V348" s="13" t="n">
        <v>0</v>
      </c>
      <c r="W348" s="4"/>
      <c r="X348" s="4"/>
      <c r="Y348" s="4"/>
      <c r="Z348" s="4"/>
      <c r="AA348" s="4"/>
      <c r="AB348" s="4"/>
      <c r="AC348" s="4"/>
      <c r="AD348" s="4"/>
      <c r="AE348" s="4"/>
      <c r="AF348" s="4"/>
      <c r="AG348" s="4"/>
      <c r="AH348" s="4"/>
      <c r="AI348" s="4"/>
      <c r="AJ348" s="4"/>
      <c r="AK348" s="4"/>
      <c r="AL348" s="4" t="s">
        <v>174</v>
      </c>
      <c r="AM348" s="4" t="s">
        <v>205</v>
      </c>
    </row>
    <row r="349" customFormat="false" ht="23.85" hidden="false" customHeight="false" outlineLevel="0" collapsed="false">
      <c r="A349" s="4" t="s">
        <v>167</v>
      </c>
      <c r="B349" s="4" t="s">
        <v>524</v>
      </c>
      <c r="C349" s="4" t="s">
        <v>524</v>
      </c>
      <c r="D349" s="12" t="n">
        <v>2019</v>
      </c>
      <c r="E349" s="4"/>
      <c r="F349" s="4" t="s">
        <v>169</v>
      </c>
      <c r="G349" s="4" t="s">
        <v>170</v>
      </c>
      <c r="H349" s="4" t="s">
        <v>171</v>
      </c>
      <c r="I349" s="4" t="s">
        <v>172</v>
      </c>
      <c r="J349" s="4" t="s">
        <v>524</v>
      </c>
      <c r="K349" s="4" t="s">
        <v>86</v>
      </c>
      <c r="L349" s="4" t="s">
        <v>87</v>
      </c>
      <c r="M349" s="4"/>
      <c r="N349" s="4"/>
      <c r="O349" s="4"/>
      <c r="P349" s="4"/>
      <c r="Q349" s="4"/>
      <c r="R349" s="4"/>
      <c r="S349" s="13" t="n">
        <v>0</v>
      </c>
      <c r="T349" s="4" t="s">
        <v>173</v>
      </c>
      <c r="U349" s="14" t="n">
        <f aca="false">IF(OR($S349="",PARAMETROS!$B$4=""),"",$S349*PARAMETROS!$B$4)</f>
        <v>0</v>
      </c>
      <c r="V349" s="13" t="n">
        <v>0</v>
      </c>
      <c r="W349" s="4"/>
      <c r="X349" s="4"/>
      <c r="Y349" s="4"/>
      <c r="Z349" s="4"/>
      <c r="AA349" s="4"/>
      <c r="AB349" s="4"/>
      <c r="AC349" s="4"/>
      <c r="AD349" s="4"/>
      <c r="AE349" s="4"/>
      <c r="AF349" s="4"/>
      <c r="AG349" s="4"/>
      <c r="AH349" s="4"/>
      <c r="AI349" s="4"/>
      <c r="AJ349" s="4"/>
      <c r="AK349" s="4"/>
      <c r="AL349" s="4" t="s">
        <v>174</v>
      </c>
      <c r="AM349" s="4" t="s">
        <v>205</v>
      </c>
    </row>
    <row r="350" customFormat="false" ht="23.85" hidden="false" customHeight="false" outlineLevel="0" collapsed="false">
      <c r="A350" s="4" t="s">
        <v>167</v>
      </c>
      <c r="B350" s="4" t="s">
        <v>525</v>
      </c>
      <c r="C350" s="4" t="s">
        <v>525</v>
      </c>
      <c r="D350" s="12" t="n">
        <v>2019</v>
      </c>
      <c r="E350" s="4"/>
      <c r="F350" s="4" t="s">
        <v>169</v>
      </c>
      <c r="G350" s="4" t="s">
        <v>170</v>
      </c>
      <c r="H350" s="4" t="s">
        <v>171</v>
      </c>
      <c r="I350" s="4" t="s">
        <v>172</v>
      </c>
      <c r="J350" s="4" t="s">
        <v>525</v>
      </c>
      <c r="K350" s="4" t="s">
        <v>86</v>
      </c>
      <c r="L350" s="4" t="s">
        <v>87</v>
      </c>
      <c r="M350" s="4"/>
      <c r="N350" s="4"/>
      <c r="O350" s="4"/>
      <c r="P350" s="4"/>
      <c r="Q350" s="4"/>
      <c r="R350" s="4"/>
      <c r="S350" s="13" t="n">
        <v>0</v>
      </c>
      <c r="T350" s="4" t="s">
        <v>173</v>
      </c>
      <c r="U350" s="14" t="n">
        <f aca="false">IF(OR($S350="",PARAMETROS!$B$4=""),"",$S350*PARAMETROS!$B$4)</f>
        <v>0</v>
      </c>
      <c r="V350" s="13" t="n">
        <v>0</v>
      </c>
      <c r="W350" s="4"/>
      <c r="X350" s="4"/>
      <c r="Y350" s="4"/>
      <c r="Z350" s="4"/>
      <c r="AA350" s="4"/>
      <c r="AB350" s="4"/>
      <c r="AC350" s="4"/>
      <c r="AD350" s="4"/>
      <c r="AE350" s="4"/>
      <c r="AF350" s="4"/>
      <c r="AG350" s="4"/>
      <c r="AH350" s="4"/>
      <c r="AI350" s="4"/>
      <c r="AJ350" s="4"/>
      <c r="AK350" s="4"/>
      <c r="AL350" s="4" t="s">
        <v>174</v>
      </c>
      <c r="AM350" s="4" t="s">
        <v>205</v>
      </c>
    </row>
    <row r="351" customFormat="false" ht="23.85" hidden="false" customHeight="false" outlineLevel="0" collapsed="false">
      <c r="A351" s="4" t="s">
        <v>167</v>
      </c>
      <c r="B351" s="4" t="s">
        <v>526</v>
      </c>
      <c r="C351" s="4" t="s">
        <v>526</v>
      </c>
      <c r="D351" s="12" t="n">
        <v>2019</v>
      </c>
      <c r="E351" s="4"/>
      <c r="F351" s="4" t="s">
        <v>169</v>
      </c>
      <c r="G351" s="4" t="s">
        <v>170</v>
      </c>
      <c r="H351" s="4" t="s">
        <v>171</v>
      </c>
      <c r="I351" s="4" t="s">
        <v>172</v>
      </c>
      <c r="J351" s="4" t="s">
        <v>526</v>
      </c>
      <c r="K351" s="4" t="s">
        <v>86</v>
      </c>
      <c r="L351" s="4" t="s">
        <v>87</v>
      </c>
      <c r="M351" s="4"/>
      <c r="N351" s="4"/>
      <c r="O351" s="4"/>
      <c r="P351" s="4"/>
      <c r="Q351" s="4"/>
      <c r="R351" s="4"/>
      <c r="S351" s="13" t="n">
        <v>0</v>
      </c>
      <c r="T351" s="4" t="s">
        <v>173</v>
      </c>
      <c r="U351" s="14" t="n">
        <f aca="false">IF(OR($S351="",PARAMETROS!$B$4=""),"",$S351*PARAMETROS!$B$4)</f>
        <v>0</v>
      </c>
      <c r="V351" s="13" t="n">
        <v>0</v>
      </c>
      <c r="W351" s="4"/>
      <c r="X351" s="4"/>
      <c r="Y351" s="4"/>
      <c r="Z351" s="4"/>
      <c r="AA351" s="4"/>
      <c r="AB351" s="4"/>
      <c r="AC351" s="4"/>
      <c r="AD351" s="4"/>
      <c r="AE351" s="4"/>
      <c r="AF351" s="4"/>
      <c r="AG351" s="4"/>
      <c r="AH351" s="4"/>
      <c r="AI351" s="4"/>
      <c r="AJ351" s="4"/>
      <c r="AK351" s="4"/>
      <c r="AL351" s="4" t="s">
        <v>174</v>
      </c>
      <c r="AM351" s="4" t="s">
        <v>205</v>
      </c>
    </row>
    <row r="352" customFormat="false" ht="23.85" hidden="false" customHeight="false" outlineLevel="0" collapsed="false">
      <c r="A352" s="4" t="s">
        <v>167</v>
      </c>
      <c r="B352" s="4" t="s">
        <v>527</v>
      </c>
      <c r="C352" s="4" t="s">
        <v>527</v>
      </c>
      <c r="D352" s="12" t="n">
        <v>2019</v>
      </c>
      <c r="E352" s="4"/>
      <c r="F352" s="4" t="s">
        <v>169</v>
      </c>
      <c r="G352" s="4" t="s">
        <v>170</v>
      </c>
      <c r="H352" s="4" t="s">
        <v>171</v>
      </c>
      <c r="I352" s="4" t="s">
        <v>172</v>
      </c>
      <c r="J352" s="4" t="s">
        <v>527</v>
      </c>
      <c r="K352" s="4" t="s">
        <v>88</v>
      </c>
      <c r="L352" s="4" t="s">
        <v>89</v>
      </c>
      <c r="M352" s="4"/>
      <c r="N352" s="4"/>
      <c r="O352" s="4"/>
      <c r="P352" s="4"/>
      <c r="Q352" s="4"/>
      <c r="R352" s="4"/>
      <c r="S352" s="13" t="n">
        <v>123.14</v>
      </c>
      <c r="T352" s="4" t="s">
        <v>173</v>
      </c>
      <c r="U352" s="14" t="n">
        <f aca="false">IF(OR($S352="",PARAMETROS!$B$4=""),"",$S352*PARAMETROS!$B$4)</f>
        <v>715.4434</v>
      </c>
      <c r="V352" s="13" t="n">
        <v>0</v>
      </c>
      <c r="W352" s="4"/>
      <c r="X352" s="4"/>
      <c r="Y352" s="4"/>
      <c r="Z352" s="4"/>
      <c r="AA352" s="4"/>
      <c r="AB352" s="4"/>
      <c r="AC352" s="4"/>
      <c r="AD352" s="4"/>
      <c r="AE352" s="4"/>
      <c r="AF352" s="4"/>
      <c r="AG352" s="4"/>
      <c r="AH352" s="4"/>
      <c r="AI352" s="4"/>
      <c r="AJ352" s="4"/>
      <c r="AK352" s="4"/>
      <c r="AL352" s="4" t="s">
        <v>174</v>
      </c>
      <c r="AM352" s="4" t="s">
        <v>190</v>
      </c>
    </row>
    <row r="353" customFormat="false" ht="23.85" hidden="false" customHeight="false" outlineLevel="0" collapsed="false">
      <c r="A353" s="4" t="s">
        <v>167</v>
      </c>
      <c r="B353" s="4" t="s">
        <v>528</v>
      </c>
      <c r="C353" s="4" t="s">
        <v>528</v>
      </c>
      <c r="D353" s="12" t="n">
        <v>2019</v>
      </c>
      <c r="E353" s="4"/>
      <c r="F353" s="4" t="s">
        <v>169</v>
      </c>
      <c r="G353" s="4" t="s">
        <v>170</v>
      </c>
      <c r="H353" s="4" t="s">
        <v>171</v>
      </c>
      <c r="I353" s="4" t="s">
        <v>172</v>
      </c>
      <c r="J353" s="4" t="s">
        <v>528</v>
      </c>
      <c r="K353" s="4" t="s">
        <v>88</v>
      </c>
      <c r="L353" s="4" t="s">
        <v>89</v>
      </c>
      <c r="M353" s="4"/>
      <c r="N353" s="4"/>
      <c r="O353" s="4"/>
      <c r="P353" s="4"/>
      <c r="Q353" s="4"/>
      <c r="R353" s="4"/>
      <c r="S353" s="13" t="n">
        <v>0</v>
      </c>
      <c r="T353" s="4" t="s">
        <v>173</v>
      </c>
      <c r="U353" s="14" t="n">
        <f aca="false">IF(OR($S353="",PARAMETROS!$B$4=""),"",$S353*PARAMETROS!$B$4)</f>
        <v>0</v>
      </c>
      <c r="V353" s="13" t="n">
        <v>0</v>
      </c>
      <c r="W353" s="4"/>
      <c r="X353" s="4"/>
      <c r="Y353" s="4"/>
      <c r="Z353" s="4"/>
      <c r="AA353" s="4"/>
      <c r="AB353" s="4"/>
      <c r="AC353" s="4"/>
      <c r="AD353" s="4"/>
      <c r="AE353" s="4"/>
      <c r="AF353" s="4"/>
      <c r="AG353" s="4"/>
      <c r="AH353" s="4"/>
      <c r="AI353" s="4"/>
      <c r="AJ353" s="4"/>
      <c r="AK353" s="4"/>
      <c r="AL353" s="4" t="s">
        <v>174</v>
      </c>
      <c r="AM353" s="4" t="s">
        <v>190</v>
      </c>
    </row>
    <row r="354" customFormat="false" ht="23.85" hidden="false" customHeight="false" outlineLevel="0" collapsed="false">
      <c r="A354" s="4" t="s">
        <v>167</v>
      </c>
      <c r="B354" s="4" t="s">
        <v>529</v>
      </c>
      <c r="C354" s="4" t="s">
        <v>529</v>
      </c>
      <c r="D354" s="12" t="n">
        <v>2019</v>
      </c>
      <c r="E354" s="4"/>
      <c r="F354" s="4" t="s">
        <v>169</v>
      </c>
      <c r="G354" s="4" t="s">
        <v>170</v>
      </c>
      <c r="H354" s="4" t="s">
        <v>171</v>
      </c>
      <c r="I354" s="4" t="s">
        <v>172</v>
      </c>
      <c r="J354" s="4" t="s">
        <v>529</v>
      </c>
      <c r="K354" s="4" t="s">
        <v>88</v>
      </c>
      <c r="L354" s="4" t="s">
        <v>89</v>
      </c>
      <c r="M354" s="4"/>
      <c r="N354" s="4"/>
      <c r="O354" s="4"/>
      <c r="P354" s="4"/>
      <c r="Q354" s="4"/>
      <c r="R354" s="4"/>
      <c r="S354" s="13" t="n">
        <v>0</v>
      </c>
      <c r="T354" s="4" t="s">
        <v>173</v>
      </c>
      <c r="U354" s="14" t="n">
        <f aca="false">IF(OR($S354="",PARAMETROS!$B$4=""),"",$S354*PARAMETROS!$B$4)</f>
        <v>0</v>
      </c>
      <c r="V354" s="13" t="n">
        <v>0</v>
      </c>
      <c r="W354" s="4"/>
      <c r="X354" s="4"/>
      <c r="Y354" s="4"/>
      <c r="Z354" s="4"/>
      <c r="AA354" s="4"/>
      <c r="AB354" s="4"/>
      <c r="AC354" s="4"/>
      <c r="AD354" s="4"/>
      <c r="AE354" s="4"/>
      <c r="AF354" s="4"/>
      <c r="AG354" s="4"/>
      <c r="AH354" s="4"/>
      <c r="AI354" s="4"/>
      <c r="AJ354" s="4"/>
      <c r="AK354" s="4"/>
      <c r="AL354" s="4" t="s">
        <v>174</v>
      </c>
      <c r="AM354" s="4" t="s">
        <v>190</v>
      </c>
    </row>
    <row r="355" customFormat="false" ht="23.85" hidden="false" customHeight="false" outlineLevel="0" collapsed="false">
      <c r="A355" s="4" t="s">
        <v>167</v>
      </c>
      <c r="B355" s="4" t="s">
        <v>530</v>
      </c>
      <c r="C355" s="4" t="s">
        <v>530</v>
      </c>
      <c r="D355" s="12" t="n">
        <v>2019</v>
      </c>
      <c r="E355" s="4"/>
      <c r="F355" s="4" t="s">
        <v>169</v>
      </c>
      <c r="G355" s="4" t="s">
        <v>170</v>
      </c>
      <c r="H355" s="4" t="s">
        <v>171</v>
      </c>
      <c r="I355" s="4" t="s">
        <v>172</v>
      </c>
      <c r="J355" s="4" t="s">
        <v>530</v>
      </c>
      <c r="K355" s="4" t="s">
        <v>88</v>
      </c>
      <c r="L355" s="4" t="s">
        <v>89</v>
      </c>
      <c r="M355" s="4"/>
      <c r="N355" s="4"/>
      <c r="O355" s="4"/>
      <c r="P355" s="4"/>
      <c r="Q355" s="4"/>
      <c r="R355" s="4"/>
      <c r="S355" s="13" t="n">
        <v>0</v>
      </c>
      <c r="T355" s="4" t="s">
        <v>173</v>
      </c>
      <c r="U355" s="14" t="n">
        <f aca="false">IF(OR($S355="",PARAMETROS!$B$4=""),"",$S355*PARAMETROS!$B$4)</f>
        <v>0</v>
      </c>
      <c r="V355" s="13" t="n">
        <v>0</v>
      </c>
      <c r="W355" s="4"/>
      <c r="X355" s="4"/>
      <c r="Y355" s="4"/>
      <c r="Z355" s="4"/>
      <c r="AA355" s="4"/>
      <c r="AB355" s="4"/>
      <c r="AC355" s="4"/>
      <c r="AD355" s="4"/>
      <c r="AE355" s="4"/>
      <c r="AF355" s="4"/>
      <c r="AG355" s="4"/>
      <c r="AH355" s="4"/>
      <c r="AI355" s="4"/>
      <c r="AJ355" s="4"/>
      <c r="AK355" s="4"/>
      <c r="AL355" s="4" t="s">
        <v>174</v>
      </c>
      <c r="AM355" s="4" t="s">
        <v>190</v>
      </c>
    </row>
    <row r="356" customFormat="false" ht="23.85" hidden="false" customHeight="false" outlineLevel="0" collapsed="false">
      <c r="A356" s="4" t="s">
        <v>167</v>
      </c>
      <c r="B356" s="4" t="s">
        <v>531</v>
      </c>
      <c r="C356" s="4" t="s">
        <v>531</v>
      </c>
      <c r="D356" s="12" t="n">
        <v>2019</v>
      </c>
      <c r="E356" s="4"/>
      <c r="F356" s="4" t="s">
        <v>169</v>
      </c>
      <c r="G356" s="4" t="s">
        <v>170</v>
      </c>
      <c r="H356" s="4" t="s">
        <v>171</v>
      </c>
      <c r="I356" s="4" t="s">
        <v>172</v>
      </c>
      <c r="J356" s="4" t="s">
        <v>531</v>
      </c>
      <c r="K356" s="4" t="s">
        <v>88</v>
      </c>
      <c r="L356" s="4" t="s">
        <v>89</v>
      </c>
      <c r="M356" s="4"/>
      <c r="N356" s="4"/>
      <c r="O356" s="4"/>
      <c r="P356" s="4"/>
      <c r="Q356" s="4"/>
      <c r="R356" s="4"/>
      <c r="S356" s="13" t="n">
        <v>0</v>
      </c>
      <c r="T356" s="4" t="s">
        <v>173</v>
      </c>
      <c r="U356" s="14" t="n">
        <f aca="false">IF(OR($S356="",PARAMETROS!$B$4=""),"",$S356*PARAMETROS!$B$4)</f>
        <v>0</v>
      </c>
      <c r="V356" s="13" t="n">
        <v>0</v>
      </c>
      <c r="W356" s="4"/>
      <c r="X356" s="4"/>
      <c r="Y356" s="4"/>
      <c r="Z356" s="4"/>
      <c r="AA356" s="4"/>
      <c r="AB356" s="4"/>
      <c r="AC356" s="4"/>
      <c r="AD356" s="4"/>
      <c r="AE356" s="4"/>
      <c r="AF356" s="4"/>
      <c r="AG356" s="4"/>
      <c r="AH356" s="4"/>
      <c r="AI356" s="4"/>
      <c r="AJ356" s="4"/>
      <c r="AK356" s="4"/>
      <c r="AL356" s="4" t="s">
        <v>174</v>
      </c>
      <c r="AM356" s="4" t="s">
        <v>190</v>
      </c>
    </row>
    <row r="357" customFormat="false" ht="23.85" hidden="false" customHeight="false" outlineLevel="0" collapsed="false">
      <c r="A357" s="4" t="s">
        <v>167</v>
      </c>
      <c r="B357" s="4" t="s">
        <v>532</v>
      </c>
      <c r="C357" s="4" t="s">
        <v>532</v>
      </c>
      <c r="D357" s="12" t="n">
        <v>2019</v>
      </c>
      <c r="E357" s="4"/>
      <c r="F357" s="4" t="s">
        <v>169</v>
      </c>
      <c r="G357" s="4" t="s">
        <v>170</v>
      </c>
      <c r="H357" s="4" t="s">
        <v>171</v>
      </c>
      <c r="I357" s="4" t="s">
        <v>172</v>
      </c>
      <c r="J357" s="4" t="s">
        <v>532</v>
      </c>
      <c r="K357" s="4" t="s">
        <v>88</v>
      </c>
      <c r="L357" s="4" t="s">
        <v>89</v>
      </c>
      <c r="M357" s="4"/>
      <c r="N357" s="4"/>
      <c r="O357" s="4"/>
      <c r="P357" s="4"/>
      <c r="Q357" s="4"/>
      <c r="R357" s="4"/>
      <c r="S357" s="13" t="n">
        <v>-123.14</v>
      </c>
      <c r="T357" s="4" t="s">
        <v>173</v>
      </c>
      <c r="U357" s="14" t="n">
        <f aca="false">IF(OR($S357="",PARAMETROS!$B$4=""),"",$S357*PARAMETROS!$B$4)</f>
        <v>-715.4434</v>
      </c>
      <c r="V357" s="13" t="n">
        <v>0</v>
      </c>
      <c r="W357" s="4"/>
      <c r="X357" s="4"/>
      <c r="Y357" s="4"/>
      <c r="Z357" s="4"/>
      <c r="AA357" s="4"/>
      <c r="AB357" s="4"/>
      <c r="AC357" s="4"/>
      <c r="AD357" s="4"/>
      <c r="AE357" s="4"/>
      <c r="AF357" s="4"/>
      <c r="AG357" s="4"/>
      <c r="AH357" s="4"/>
      <c r="AI357" s="4"/>
      <c r="AJ357" s="4"/>
      <c r="AK357" s="4"/>
      <c r="AL357" s="4" t="s">
        <v>174</v>
      </c>
      <c r="AM357" s="4" t="s">
        <v>190</v>
      </c>
    </row>
    <row r="358" customFormat="false" ht="23.85" hidden="false" customHeight="false" outlineLevel="0" collapsed="false">
      <c r="A358" s="4" t="s">
        <v>167</v>
      </c>
      <c r="B358" s="4" t="s">
        <v>533</v>
      </c>
      <c r="C358" s="4" t="s">
        <v>533</v>
      </c>
      <c r="D358" s="12" t="n">
        <v>2019</v>
      </c>
      <c r="E358" s="4"/>
      <c r="F358" s="4" t="s">
        <v>169</v>
      </c>
      <c r="G358" s="4" t="s">
        <v>170</v>
      </c>
      <c r="H358" s="4" t="s">
        <v>171</v>
      </c>
      <c r="I358" s="4" t="s">
        <v>172</v>
      </c>
      <c r="J358" s="4" t="s">
        <v>533</v>
      </c>
      <c r="K358" s="4" t="s">
        <v>88</v>
      </c>
      <c r="L358" s="4" t="s">
        <v>89</v>
      </c>
      <c r="M358" s="4"/>
      <c r="N358" s="4"/>
      <c r="O358" s="4"/>
      <c r="P358" s="4"/>
      <c r="Q358" s="4"/>
      <c r="R358" s="4"/>
      <c r="S358" s="13" t="n">
        <v>0</v>
      </c>
      <c r="T358" s="4" t="s">
        <v>173</v>
      </c>
      <c r="U358" s="14" t="n">
        <f aca="false">IF(OR($S358="",PARAMETROS!$B$4=""),"",$S358*PARAMETROS!$B$4)</f>
        <v>0</v>
      </c>
      <c r="V358" s="13" t="n">
        <v>0</v>
      </c>
      <c r="W358" s="4"/>
      <c r="X358" s="4"/>
      <c r="Y358" s="4"/>
      <c r="Z358" s="4"/>
      <c r="AA358" s="4"/>
      <c r="AB358" s="4"/>
      <c r="AC358" s="4"/>
      <c r="AD358" s="4"/>
      <c r="AE358" s="4"/>
      <c r="AF358" s="4"/>
      <c r="AG358" s="4"/>
      <c r="AH358" s="4"/>
      <c r="AI358" s="4"/>
      <c r="AJ358" s="4"/>
      <c r="AK358" s="4"/>
      <c r="AL358" s="4" t="s">
        <v>174</v>
      </c>
      <c r="AM358" s="4" t="s">
        <v>190</v>
      </c>
    </row>
    <row r="359" customFormat="false" ht="23.85" hidden="false" customHeight="false" outlineLevel="0" collapsed="false">
      <c r="A359" s="4" t="s">
        <v>167</v>
      </c>
      <c r="B359" s="4" t="s">
        <v>534</v>
      </c>
      <c r="C359" s="4" t="s">
        <v>534</v>
      </c>
      <c r="D359" s="12" t="n">
        <v>2019</v>
      </c>
      <c r="E359" s="4"/>
      <c r="F359" s="4" t="s">
        <v>169</v>
      </c>
      <c r="G359" s="4" t="s">
        <v>170</v>
      </c>
      <c r="H359" s="4" t="s">
        <v>171</v>
      </c>
      <c r="I359" s="4" t="s">
        <v>172</v>
      </c>
      <c r="J359" s="4" t="s">
        <v>534</v>
      </c>
      <c r="K359" s="4" t="s">
        <v>88</v>
      </c>
      <c r="L359" s="4" t="s">
        <v>89</v>
      </c>
      <c r="M359" s="4"/>
      <c r="N359" s="4"/>
      <c r="O359" s="4"/>
      <c r="P359" s="4"/>
      <c r="Q359" s="4"/>
      <c r="R359" s="4"/>
      <c r="S359" s="13" t="n">
        <v>0</v>
      </c>
      <c r="T359" s="4" t="s">
        <v>173</v>
      </c>
      <c r="U359" s="14" t="n">
        <f aca="false">IF(OR($S359="",PARAMETROS!$B$4=""),"",$S359*PARAMETROS!$B$4)</f>
        <v>0</v>
      </c>
      <c r="V359" s="13" t="n">
        <v>0</v>
      </c>
      <c r="W359" s="4"/>
      <c r="X359" s="4"/>
      <c r="Y359" s="4"/>
      <c r="Z359" s="4"/>
      <c r="AA359" s="4"/>
      <c r="AB359" s="4"/>
      <c r="AC359" s="4"/>
      <c r="AD359" s="4"/>
      <c r="AE359" s="4"/>
      <c r="AF359" s="4"/>
      <c r="AG359" s="4"/>
      <c r="AH359" s="4"/>
      <c r="AI359" s="4"/>
      <c r="AJ359" s="4"/>
      <c r="AK359" s="4"/>
      <c r="AL359" s="4" t="s">
        <v>174</v>
      </c>
      <c r="AM359" s="4" t="s">
        <v>190</v>
      </c>
    </row>
    <row r="360" customFormat="false" ht="23.85" hidden="false" customHeight="false" outlineLevel="0" collapsed="false">
      <c r="A360" s="4" t="s">
        <v>167</v>
      </c>
      <c r="B360" s="4" t="s">
        <v>535</v>
      </c>
      <c r="C360" s="4" t="s">
        <v>535</v>
      </c>
      <c r="D360" s="12" t="n">
        <v>2019</v>
      </c>
      <c r="E360" s="4"/>
      <c r="F360" s="4" t="s">
        <v>169</v>
      </c>
      <c r="G360" s="4" t="s">
        <v>170</v>
      </c>
      <c r="H360" s="4" t="s">
        <v>171</v>
      </c>
      <c r="I360" s="4" t="s">
        <v>172</v>
      </c>
      <c r="J360" s="4" t="s">
        <v>535</v>
      </c>
      <c r="K360" s="4" t="s">
        <v>88</v>
      </c>
      <c r="L360" s="4" t="s">
        <v>89</v>
      </c>
      <c r="M360" s="4"/>
      <c r="N360" s="4"/>
      <c r="O360" s="4"/>
      <c r="P360" s="4"/>
      <c r="Q360" s="4"/>
      <c r="R360" s="4"/>
      <c r="S360" s="13" t="n">
        <v>0</v>
      </c>
      <c r="T360" s="4" t="s">
        <v>173</v>
      </c>
      <c r="U360" s="14" t="n">
        <f aca="false">IF(OR($S360="",PARAMETROS!$B$4=""),"",$S360*PARAMETROS!$B$4)</f>
        <v>0</v>
      </c>
      <c r="V360" s="13" t="n">
        <v>0</v>
      </c>
      <c r="W360" s="4"/>
      <c r="X360" s="4"/>
      <c r="Y360" s="4"/>
      <c r="Z360" s="4"/>
      <c r="AA360" s="4"/>
      <c r="AB360" s="4"/>
      <c r="AC360" s="4"/>
      <c r="AD360" s="4"/>
      <c r="AE360" s="4"/>
      <c r="AF360" s="4"/>
      <c r="AG360" s="4"/>
      <c r="AH360" s="4"/>
      <c r="AI360" s="4"/>
      <c r="AJ360" s="4"/>
      <c r="AK360" s="4"/>
      <c r="AL360" s="4" t="s">
        <v>174</v>
      </c>
      <c r="AM360" s="4" t="s">
        <v>190</v>
      </c>
    </row>
    <row r="361" customFormat="false" ht="23.85" hidden="false" customHeight="false" outlineLevel="0" collapsed="false">
      <c r="A361" s="4" t="s">
        <v>167</v>
      </c>
      <c r="B361" s="4" t="s">
        <v>536</v>
      </c>
      <c r="C361" s="4" t="s">
        <v>536</v>
      </c>
      <c r="D361" s="12" t="n">
        <v>2019</v>
      </c>
      <c r="E361" s="4"/>
      <c r="F361" s="4" t="s">
        <v>169</v>
      </c>
      <c r="G361" s="4" t="s">
        <v>170</v>
      </c>
      <c r="H361" s="4" t="s">
        <v>171</v>
      </c>
      <c r="I361" s="4" t="s">
        <v>172</v>
      </c>
      <c r="J361" s="4" t="s">
        <v>536</v>
      </c>
      <c r="K361" s="4" t="s">
        <v>88</v>
      </c>
      <c r="L361" s="4" t="s">
        <v>89</v>
      </c>
      <c r="M361" s="4"/>
      <c r="N361" s="4"/>
      <c r="O361" s="4"/>
      <c r="P361" s="4"/>
      <c r="Q361" s="4"/>
      <c r="R361" s="4"/>
      <c r="S361" s="13" t="n">
        <v>0</v>
      </c>
      <c r="T361" s="4" t="s">
        <v>173</v>
      </c>
      <c r="U361" s="14" t="n">
        <f aca="false">IF(OR($S361="",PARAMETROS!$B$4=""),"",$S361*PARAMETROS!$B$4)</f>
        <v>0</v>
      </c>
      <c r="V361" s="13" t="n">
        <v>0</v>
      </c>
      <c r="W361" s="4"/>
      <c r="X361" s="4"/>
      <c r="Y361" s="4"/>
      <c r="Z361" s="4"/>
      <c r="AA361" s="4"/>
      <c r="AB361" s="4"/>
      <c r="AC361" s="4"/>
      <c r="AD361" s="4"/>
      <c r="AE361" s="4"/>
      <c r="AF361" s="4"/>
      <c r="AG361" s="4"/>
      <c r="AH361" s="4"/>
      <c r="AI361" s="4"/>
      <c r="AJ361" s="4"/>
      <c r="AK361" s="4"/>
      <c r="AL361" s="4" t="s">
        <v>174</v>
      </c>
      <c r="AM361" s="4" t="s">
        <v>190</v>
      </c>
    </row>
    <row r="362" customFormat="false" ht="23.85" hidden="false" customHeight="false" outlineLevel="0" collapsed="false">
      <c r="A362" s="4" t="s">
        <v>167</v>
      </c>
      <c r="B362" s="4" t="s">
        <v>537</v>
      </c>
      <c r="C362" s="4" t="s">
        <v>537</v>
      </c>
      <c r="D362" s="12" t="n">
        <v>2019</v>
      </c>
      <c r="E362" s="4"/>
      <c r="F362" s="4" t="s">
        <v>169</v>
      </c>
      <c r="G362" s="4" t="s">
        <v>170</v>
      </c>
      <c r="H362" s="4" t="s">
        <v>171</v>
      </c>
      <c r="I362" s="4" t="s">
        <v>172</v>
      </c>
      <c r="J362" s="4" t="s">
        <v>537</v>
      </c>
      <c r="K362" s="4" t="s">
        <v>88</v>
      </c>
      <c r="L362" s="4" t="s">
        <v>89</v>
      </c>
      <c r="M362" s="4"/>
      <c r="N362" s="4"/>
      <c r="O362" s="4"/>
      <c r="P362" s="4"/>
      <c r="Q362" s="4"/>
      <c r="R362" s="4"/>
      <c r="S362" s="13" t="n">
        <v>0</v>
      </c>
      <c r="T362" s="4" t="s">
        <v>173</v>
      </c>
      <c r="U362" s="14" t="n">
        <f aca="false">IF(OR($S362="",PARAMETROS!$B$4=""),"",$S362*PARAMETROS!$B$4)</f>
        <v>0</v>
      </c>
      <c r="V362" s="13" t="n">
        <v>0</v>
      </c>
      <c r="W362" s="4"/>
      <c r="X362" s="4"/>
      <c r="Y362" s="4"/>
      <c r="Z362" s="4"/>
      <c r="AA362" s="4"/>
      <c r="AB362" s="4"/>
      <c r="AC362" s="4"/>
      <c r="AD362" s="4"/>
      <c r="AE362" s="4"/>
      <c r="AF362" s="4"/>
      <c r="AG362" s="4"/>
      <c r="AH362" s="4"/>
      <c r="AI362" s="4"/>
      <c r="AJ362" s="4"/>
      <c r="AK362" s="4"/>
      <c r="AL362" s="4" t="s">
        <v>174</v>
      </c>
      <c r="AM362" s="4" t="s">
        <v>190</v>
      </c>
    </row>
    <row r="363" customFormat="false" ht="23.85" hidden="false" customHeight="false" outlineLevel="0" collapsed="false">
      <c r="A363" s="4" t="s">
        <v>167</v>
      </c>
      <c r="B363" s="4" t="s">
        <v>538</v>
      </c>
      <c r="C363" s="4" t="s">
        <v>538</v>
      </c>
      <c r="D363" s="12" t="n">
        <v>2019</v>
      </c>
      <c r="E363" s="4"/>
      <c r="F363" s="4" t="s">
        <v>169</v>
      </c>
      <c r="G363" s="4" t="s">
        <v>170</v>
      </c>
      <c r="H363" s="4" t="s">
        <v>171</v>
      </c>
      <c r="I363" s="4" t="s">
        <v>172</v>
      </c>
      <c r="J363" s="4" t="s">
        <v>538</v>
      </c>
      <c r="K363" s="4" t="s">
        <v>88</v>
      </c>
      <c r="L363" s="4" t="s">
        <v>89</v>
      </c>
      <c r="M363" s="4"/>
      <c r="N363" s="4"/>
      <c r="O363" s="4"/>
      <c r="P363" s="4"/>
      <c r="Q363" s="4"/>
      <c r="R363" s="4"/>
      <c r="S363" s="13" t="n">
        <v>0</v>
      </c>
      <c r="T363" s="4" t="s">
        <v>173</v>
      </c>
      <c r="U363" s="14" t="n">
        <f aca="false">IF(OR($S363="",PARAMETROS!$B$4=""),"",$S363*PARAMETROS!$B$4)</f>
        <v>0</v>
      </c>
      <c r="V363" s="13" t="n">
        <v>0</v>
      </c>
      <c r="W363" s="4"/>
      <c r="X363" s="4"/>
      <c r="Y363" s="4"/>
      <c r="Z363" s="4"/>
      <c r="AA363" s="4"/>
      <c r="AB363" s="4"/>
      <c r="AC363" s="4"/>
      <c r="AD363" s="4"/>
      <c r="AE363" s="4"/>
      <c r="AF363" s="4"/>
      <c r="AG363" s="4"/>
      <c r="AH363" s="4"/>
      <c r="AI363" s="4"/>
      <c r="AJ363" s="4"/>
      <c r="AK363" s="4"/>
      <c r="AL363" s="4" t="s">
        <v>174</v>
      </c>
      <c r="AM363" s="4" t="s">
        <v>190</v>
      </c>
    </row>
    <row r="364" customFormat="false" ht="23.85" hidden="false" customHeight="false" outlineLevel="0" collapsed="false">
      <c r="A364" s="4" t="s">
        <v>167</v>
      </c>
      <c r="B364" s="4" t="s">
        <v>539</v>
      </c>
      <c r="C364" s="4" t="s">
        <v>539</v>
      </c>
      <c r="D364" s="12" t="n">
        <v>2019</v>
      </c>
      <c r="E364" s="4"/>
      <c r="F364" s="4" t="s">
        <v>169</v>
      </c>
      <c r="G364" s="4" t="s">
        <v>170</v>
      </c>
      <c r="H364" s="4" t="s">
        <v>171</v>
      </c>
      <c r="I364" s="4" t="s">
        <v>172</v>
      </c>
      <c r="J364" s="4" t="s">
        <v>539</v>
      </c>
      <c r="K364" s="4" t="s">
        <v>88</v>
      </c>
      <c r="L364" s="4" t="s">
        <v>89</v>
      </c>
      <c r="M364" s="4"/>
      <c r="N364" s="4"/>
      <c r="O364" s="4"/>
      <c r="P364" s="4"/>
      <c r="Q364" s="4"/>
      <c r="R364" s="4"/>
      <c r="S364" s="13" t="n">
        <v>0</v>
      </c>
      <c r="T364" s="4" t="s">
        <v>173</v>
      </c>
      <c r="U364" s="14" t="n">
        <f aca="false">IF(OR($S364="",PARAMETROS!$B$4=""),"",$S364*PARAMETROS!$B$4)</f>
        <v>0</v>
      </c>
      <c r="V364" s="13" t="n">
        <v>0</v>
      </c>
      <c r="W364" s="4"/>
      <c r="X364" s="4"/>
      <c r="Y364" s="4"/>
      <c r="Z364" s="4"/>
      <c r="AA364" s="4"/>
      <c r="AB364" s="4"/>
      <c r="AC364" s="4"/>
      <c r="AD364" s="4"/>
      <c r="AE364" s="4"/>
      <c r="AF364" s="4"/>
      <c r="AG364" s="4"/>
      <c r="AH364" s="4"/>
      <c r="AI364" s="4"/>
      <c r="AJ364" s="4"/>
      <c r="AK364" s="4"/>
      <c r="AL364" s="4" t="s">
        <v>174</v>
      </c>
      <c r="AM364" s="4" t="s">
        <v>190</v>
      </c>
    </row>
    <row r="365" customFormat="false" ht="23.85" hidden="false" customHeight="false" outlineLevel="0" collapsed="false">
      <c r="A365" s="4" t="s">
        <v>167</v>
      </c>
      <c r="B365" s="4" t="s">
        <v>540</v>
      </c>
      <c r="C365" s="4" t="s">
        <v>540</v>
      </c>
      <c r="D365" s="12" t="n">
        <v>2019</v>
      </c>
      <c r="E365" s="4"/>
      <c r="F365" s="4" t="s">
        <v>169</v>
      </c>
      <c r="G365" s="4" t="s">
        <v>170</v>
      </c>
      <c r="H365" s="4" t="s">
        <v>171</v>
      </c>
      <c r="I365" s="4" t="s">
        <v>172</v>
      </c>
      <c r="J365" s="4" t="s">
        <v>540</v>
      </c>
      <c r="K365" s="4" t="s">
        <v>88</v>
      </c>
      <c r="L365" s="4" t="s">
        <v>89</v>
      </c>
      <c r="M365" s="4"/>
      <c r="N365" s="4"/>
      <c r="O365" s="4"/>
      <c r="P365" s="4"/>
      <c r="Q365" s="4"/>
      <c r="R365" s="4"/>
      <c r="S365" s="13" t="n">
        <v>0</v>
      </c>
      <c r="T365" s="4" t="s">
        <v>173</v>
      </c>
      <c r="U365" s="14" t="n">
        <f aca="false">IF(OR($S365="",PARAMETROS!$B$4=""),"",$S365*PARAMETROS!$B$4)</f>
        <v>0</v>
      </c>
      <c r="V365" s="13" t="n">
        <v>0</v>
      </c>
      <c r="W365" s="4"/>
      <c r="X365" s="4"/>
      <c r="Y365" s="4"/>
      <c r="Z365" s="4"/>
      <c r="AA365" s="4"/>
      <c r="AB365" s="4"/>
      <c r="AC365" s="4"/>
      <c r="AD365" s="4"/>
      <c r="AE365" s="4"/>
      <c r="AF365" s="4"/>
      <c r="AG365" s="4"/>
      <c r="AH365" s="4"/>
      <c r="AI365" s="4"/>
      <c r="AJ365" s="4"/>
      <c r="AK365" s="4"/>
      <c r="AL365" s="4" t="s">
        <v>174</v>
      </c>
      <c r="AM365" s="4" t="s">
        <v>190</v>
      </c>
    </row>
    <row r="366" customFormat="false" ht="23.85" hidden="false" customHeight="false" outlineLevel="0" collapsed="false">
      <c r="A366" s="4" t="s">
        <v>167</v>
      </c>
      <c r="B366" s="4" t="s">
        <v>541</v>
      </c>
      <c r="C366" s="4" t="s">
        <v>541</v>
      </c>
      <c r="D366" s="12" t="n">
        <v>2019</v>
      </c>
      <c r="E366" s="4"/>
      <c r="F366" s="4" t="s">
        <v>169</v>
      </c>
      <c r="G366" s="4" t="s">
        <v>170</v>
      </c>
      <c r="H366" s="4" t="s">
        <v>171</v>
      </c>
      <c r="I366" s="4" t="s">
        <v>172</v>
      </c>
      <c r="J366" s="4" t="s">
        <v>541</v>
      </c>
      <c r="K366" s="4" t="s">
        <v>95</v>
      </c>
      <c r="L366" s="4" t="s">
        <v>96</v>
      </c>
      <c r="M366" s="4"/>
      <c r="N366" s="4"/>
      <c r="O366" s="4"/>
      <c r="P366" s="4"/>
      <c r="Q366" s="4"/>
      <c r="R366" s="4"/>
      <c r="S366" s="13" t="n">
        <v>0</v>
      </c>
      <c r="T366" s="4" t="s">
        <v>173</v>
      </c>
      <c r="U366" s="14" t="n">
        <f aca="false">IF(OR($S366="",PARAMETROS!$B$4=""),"",$S366*PARAMETROS!$B$4)</f>
        <v>0</v>
      </c>
      <c r="V366" s="13" t="n">
        <v>0</v>
      </c>
      <c r="W366" s="4"/>
      <c r="X366" s="4"/>
      <c r="Y366" s="4"/>
      <c r="Z366" s="4"/>
      <c r="AA366" s="4"/>
      <c r="AB366" s="4"/>
      <c r="AC366" s="4"/>
      <c r="AD366" s="4"/>
      <c r="AE366" s="4"/>
      <c r="AF366" s="4"/>
      <c r="AG366" s="4"/>
      <c r="AH366" s="4"/>
      <c r="AI366" s="4"/>
      <c r="AJ366" s="4"/>
      <c r="AK366" s="4"/>
      <c r="AL366" s="4" t="s">
        <v>174</v>
      </c>
      <c r="AM366" s="4" t="s">
        <v>175</v>
      </c>
    </row>
    <row r="367" customFormat="false" ht="23.85" hidden="false" customHeight="false" outlineLevel="0" collapsed="false">
      <c r="A367" s="4" t="s">
        <v>167</v>
      </c>
      <c r="B367" s="4" t="s">
        <v>542</v>
      </c>
      <c r="C367" s="4" t="s">
        <v>542</v>
      </c>
      <c r="D367" s="12" t="n">
        <v>2019</v>
      </c>
      <c r="E367" s="4"/>
      <c r="F367" s="4" t="s">
        <v>169</v>
      </c>
      <c r="G367" s="4" t="s">
        <v>170</v>
      </c>
      <c r="H367" s="4" t="s">
        <v>171</v>
      </c>
      <c r="I367" s="4" t="s">
        <v>172</v>
      </c>
      <c r="J367" s="4" t="s">
        <v>542</v>
      </c>
      <c r="K367" s="4" t="s">
        <v>95</v>
      </c>
      <c r="L367" s="4" t="s">
        <v>96</v>
      </c>
      <c r="M367" s="4"/>
      <c r="N367" s="4"/>
      <c r="O367" s="4"/>
      <c r="P367" s="4"/>
      <c r="Q367" s="4"/>
      <c r="R367" s="4"/>
      <c r="S367" s="13" t="n">
        <v>2677.46</v>
      </c>
      <c r="T367" s="4" t="s">
        <v>173</v>
      </c>
      <c r="U367" s="14" t="n">
        <f aca="false">IF(OR($S367="",PARAMETROS!$B$4=""),"",$S367*PARAMETROS!$B$4)</f>
        <v>15556.0426</v>
      </c>
      <c r="V367" s="13" t="n">
        <v>0</v>
      </c>
      <c r="W367" s="4"/>
      <c r="X367" s="4"/>
      <c r="Y367" s="4"/>
      <c r="Z367" s="4"/>
      <c r="AA367" s="4"/>
      <c r="AB367" s="4"/>
      <c r="AC367" s="4"/>
      <c r="AD367" s="4"/>
      <c r="AE367" s="4"/>
      <c r="AF367" s="4"/>
      <c r="AG367" s="4"/>
      <c r="AH367" s="4"/>
      <c r="AI367" s="4"/>
      <c r="AJ367" s="4"/>
      <c r="AK367" s="4"/>
      <c r="AL367" s="4" t="s">
        <v>174</v>
      </c>
      <c r="AM367" s="4" t="s">
        <v>175</v>
      </c>
    </row>
    <row r="368" customFormat="false" ht="23.85" hidden="false" customHeight="false" outlineLevel="0" collapsed="false">
      <c r="A368" s="4" t="s">
        <v>167</v>
      </c>
      <c r="B368" s="4" t="s">
        <v>543</v>
      </c>
      <c r="C368" s="4" t="s">
        <v>543</v>
      </c>
      <c r="D368" s="12" t="n">
        <v>2019</v>
      </c>
      <c r="E368" s="4"/>
      <c r="F368" s="4" t="s">
        <v>169</v>
      </c>
      <c r="G368" s="4" t="s">
        <v>170</v>
      </c>
      <c r="H368" s="4" t="s">
        <v>171</v>
      </c>
      <c r="I368" s="4" t="s">
        <v>172</v>
      </c>
      <c r="J368" s="4" t="s">
        <v>543</v>
      </c>
      <c r="K368" s="4" t="s">
        <v>95</v>
      </c>
      <c r="L368" s="4" t="s">
        <v>96</v>
      </c>
      <c r="M368" s="4"/>
      <c r="N368" s="4"/>
      <c r="O368" s="4"/>
      <c r="P368" s="4"/>
      <c r="Q368" s="4"/>
      <c r="R368" s="4"/>
      <c r="S368" s="13" t="n">
        <v>0</v>
      </c>
      <c r="T368" s="4" t="s">
        <v>173</v>
      </c>
      <c r="U368" s="14" t="n">
        <f aca="false">IF(OR($S368="",PARAMETROS!$B$4=""),"",$S368*PARAMETROS!$B$4)</f>
        <v>0</v>
      </c>
      <c r="V368" s="13" t="n">
        <v>0</v>
      </c>
      <c r="W368" s="4"/>
      <c r="X368" s="4"/>
      <c r="Y368" s="4"/>
      <c r="Z368" s="4"/>
      <c r="AA368" s="4"/>
      <c r="AB368" s="4"/>
      <c r="AC368" s="4"/>
      <c r="AD368" s="4"/>
      <c r="AE368" s="4"/>
      <c r="AF368" s="4"/>
      <c r="AG368" s="4"/>
      <c r="AH368" s="4"/>
      <c r="AI368" s="4"/>
      <c r="AJ368" s="4"/>
      <c r="AK368" s="4"/>
      <c r="AL368" s="4" t="s">
        <v>174</v>
      </c>
      <c r="AM368" s="4" t="s">
        <v>175</v>
      </c>
    </row>
    <row r="369" customFormat="false" ht="23.85" hidden="false" customHeight="false" outlineLevel="0" collapsed="false">
      <c r="A369" s="4" t="s">
        <v>167</v>
      </c>
      <c r="B369" s="4" t="s">
        <v>544</v>
      </c>
      <c r="C369" s="4" t="s">
        <v>544</v>
      </c>
      <c r="D369" s="12" t="n">
        <v>2019</v>
      </c>
      <c r="E369" s="4"/>
      <c r="F369" s="4" t="s">
        <v>169</v>
      </c>
      <c r="G369" s="4" t="s">
        <v>170</v>
      </c>
      <c r="H369" s="4" t="s">
        <v>171</v>
      </c>
      <c r="I369" s="4" t="s">
        <v>172</v>
      </c>
      <c r="J369" s="4" t="s">
        <v>544</v>
      </c>
      <c r="K369" s="4" t="s">
        <v>95</v>
      </c>
      <c r="L369" s="4" t="s">
        <v>96</v>
      </c>
      <c r="M369" s="4"/>
      <c r="N369" s="4"/>
      <c r="O369" s="4"/>
      <c r="P369" s="4"/>
      <c r="Q369" s="4"/>
      <c r="R369" s="4"/>
      <c r="S369" s="13" t="n">
        <v>-6.85</v>
      </c>
      <c r="T369" s="4" t="s">
        <v>173</v>
      </c>
      <c r="U369" s="14" t="n">
        <f aca="false">IF(OR($S369="",PARAMETROS!$B$4=""),"",$S369*PARAMETROS!$B$4)</f>
        <v>-39.7985</v>
      </c>
      <c r="V369" s="13" t="n">
        <v>0</v>
      </c>
      <c r="W369" s="4"/>
      <c r="X369" s="4"/>
      <c r="Y369" s="4"/>
      <c r="Z369" s="4"/>
      <c r="AA369" s="4"/>
      <c r="AB369" s="4"/>
      <c r="AC369" s="4"/>
      <c r="AD369" s="4"/>
      <c r="AE369" s="4"/>
      <c r="AF369" s="4"/>
      <c r="AG369" s="4"/>
      <c r="AH369" s="4"/>
      <c r="AI369" s="4"/>
      <c r="AJ369" s="4"/>
      <c r="AK369" s="4"/>
      <c r="AL369" s="4" t="s">
        <v>174</v>
      </c>
      <c r="AM369" s="4" t="s">
        <v>175</v>
      </c>
    </row>
    <row r="370" customFormat="false" ht="23.85" hidden="false" customHeight="false" outlineLevel="0" collapsed="false">
      <c r="A370" s="4" t="s">
        <v>167</v>
      </c>
      <c r="B370" s="4" t="s">
        <v>545</v>
      </c>
      <c r="C370" s="4" t="s">
        <v>545</v>
      </c>
      <c r="D370" s="12" t="n">
        <v>2019</v>
      </c>
      <c r="E370" s="4"/>
      <c r="F370" s="4" t="s">
        <v>169</v>
      </c>
      <c r="G370" s="4" t="s">
        <v>170</v>
      </c>
      <c r="H370" s="4" t="s">
        <v>171</v>
      </c>
      <c r="I370" s="4" t="s">
        <v>172</v>
      </c>
      <c r="J370" s="4" t="s">
        <v>545</v>
      </c>
      <c r="K370" s="4" t="s">
        <v>95</v>
      </c>
      <c r="L370" s="4" t="s">
        <v>96</v>
      </c>
      <c r="M370" s="4"/>
      <c r="N370" s="4"/>
      <c r="O370" s="4"/>
      <c r="P370" s="4"/>
      <c r="Q370" s="4"/>
      <c r="R370" s="4"/>
      <c r="S370" s="13" t="n">
        <v>0</v>
      </c>
      <c r="T370" s="4" t="s">
        <v>173</v>
      </c>
      <c r="U370" s="14" t="n">
        <f aca="false">IF(OR($S370="",PARAMETROS!$B$4=""),"",$S370*PARAMETROS!$B$4)</f>
        <v>0</v>
      </c>
      <c r="V370" s="13" t="n">
        <v>0</v>
      </c>
      <c r="W370" s="4"/>
      <c r="X370" s="4"/>
      <c r="Y370" s="4"/>
      <c r="Z370" s="4"/>
      <c r="AA370" s="4"/>
      <c r="AB370" s="4"/>
      <c r="AC370" s="4"/>
      <c r="AD370" s="4"/>
      <c r="AE370" s="4"/>
      <c r="AF370" s="4"/>
      <c r="AG370" s="4"/>
      <c r="AH370" s="4"/>
      <c r="AI370" s="4"/>
      <c r="AJ370" s="4"/>
      <c r="AK370" s="4"/>
      <c r="AL370" s="4" t="s">
        <v>174</v>
      </c>
      <c r="AM370" s="4" t="s">
        <v>175</v>
      </c>
    </row>
    <row r="371" customFormat="false" ht="23.85" hidden="false" customHeight="false" outlineLevel="0" collapsed="false">
      <c r="A371" s="4" t="s">
        <v>167</v>
      </c>
      <c r="B371" s="4" t="s">
        <v>546</v>
      </c>
      <c r="C371" s="4" t="s">
        <v>546</v>
      </c>
      <c r="D371" s="12" t="n">
        <v>2019</v>
      </c>
      <c r="E371" s="4"/>
      <c r="F371" s="4" t="s">
        <v>169</v>
      </c>
      <c r="G371" s="4" t="s">
        <v>170</v>
      </c>
      <c r="H371" s="4" t="s">
        <v>171</v>
      </c>
      <c r="I371" s="4" t="s">
        <v>172</v>
      </c>
      <c r="J371" s="4" t="s">
        <v>546</v>
      </c>
      <c r="K371" s="4" t="s">
        <v>95</v>
      </c>
      <c r="L371" s="4" t="s">
        <v>96</v>
      </c>
      <c r="M371" s="4"/>
      <c r="N371" s="4"/>
      <c r="O371" s="4"/>
      <c r="P371" s="4"/>
      <c r="Q371" s="4"/>
      <c r="R371" s="4"/>
      <c r="S371" s="13" t="n">
        <v>0</v>
      </c>
      <c r="T371" s="4" t="s">
        <v>173</v>
      </c>
      <c r="U371" s="14" t="n">
        <f aca="false">IF(OR($S371="",PARAMETROS!$B$4=""),"",$S371*PARAMETROS!$B$4)</f>
        <v>0</v>
      </c>
      <c r="V371" s="13" t="n">
        <v>0</v>
      </c>
      <c r="W371" s="4"/>
      <c r="X371" s="4"/>
      <c r="Y371" s="4"/>
      <c r="Z371" s="4"/>
      <c r="AA371" s="4"/>
      <c r="AB371" s="4"/>
      <c r="AC371" s="4"/>
      <c r="AD371" s="4"/>
      <c r="AE371" s="4"/>
      <c r="AF371" s="4"/>
      <c r="AG371" s="4"/>
      <c r="AH371" s="4"/>
      <c r="AI371" s="4"/>
      <c r="AJ371" s="4"/>
      <c r="AK371" s="4"/>
      <c r="AL371" s="4" t="s">
        <v>174</v>
      </c>
      <c r="AM371" s="4" t="s">
        <v>175</v>
      </c>
    </row>
    <row r="372" customFormat="false" ht="23.85" hidden="false" customHeight="false" outlineLevel="0" collapsed="false">
      <c r="A372" s="4" t="s">
        <v>167</v>
      </c>
      <c r="B372" s="4" t="s">
        <v>547</v>
      </c>
      <c r="C372" s="4" t="s">
        <v>547</v>
      </c>
      <c r="D372" s="12" t="n">
        <v>2019</v>
      </c>
      <c r="E372" s="4"/>
      <c r="F372" s="4" t="s">
        <v>169</v>
      </c>
      <c r="G372" s="4" t="s">
        <v>170</v>
      </c>
      <c r="H372" s="4" t="s">
        <v>171</v>
      </c>
      <c r="I372" s="4" t="s">
        <v>172</v>
      </c>
      <c r="J372" s="4" t="s">
        <v>547</v>
      </c>
      <c r="K372" s="4" t="s">
        <v>95</v>
      </c>
      <c r="L372" s="4" t="s">
        <v>96</v>
      </c>
      <c r="M372" s="4"/>
      <c r="N372" s="4"/>
      <c r="O372" s="4"/>
      <c r="P372" s="4"/>
      <c r="Q372" s="4"/>
      <c r="R372" s="4"/>
      <c r="S372" s="13" t="n">
        <v>0</v>
      </c>
      <c r="T372" s="4" t="s">
        <v>173</v>
      </c>
      <c r="U372" s="14" t="n">
        <f aca="false">IF(OR($S372="",PARAMETROS!$B$4=""),"",$S372*PARAMETROS!$B$4)</f>
        <v>0</v>
      </c>
      <c r="V372" s="13" t="n">
        <v>0</v>
      </c>
      <c r="W372" s="4"/>
      <c r="X372" s="4"/>
      <c r="Y372" s="4"/>
      <c r="Z372" s="4"/>
      <c r="AA372" s="4"/>
      <c r="AB372" s="4"/>
      <c r="AC372" s="4"/>
      <c r="AD372" s="4"/>
      <c r="AE372" s="4"/>
      <c r="AF372" s="4"/>
      <c r="AG372" s="4"/>
      <c r="AH372" s="4"/>
      <c r="AI372" s="4"/>
      <c r="AJ372" s="4"/>
      <c r="AK372" s="4"/>
      <c r="AL372" s="4" t="s">
        <v>174</v>
      </c>
      <c r="AM372" s="4" t="s">
        <v>175</v>
      </c>
    </row>
    <row r="373" customFormat="false" ht="23.85" hidden="false" customHeight="false" outlineLevel="0" collapsed="false">
      <c r="A373" s="4" t="s">
        <v>167</v>
      </c>
      <c r="B373" s="4" t="s">
        <v>548</v>
      </c>
      <c r="C373" s="4" t="s">
        <v>548</v>
      </c>
      <c r="D373" s="12" t="n">
        <v>2019</v>
      </c>
      <c r="E373" s="4"/>
      <c r="F373" s="4" t="s">
        <v>169</v>
      </c>
      <c r="G373" s="4" t="s">
        <v>170</v>
      </c>
      <c r="H373" s="4" t="s">
        <v>171</v>
      </c>
      <c r="I373" s="4" t="s">
        <v>172</v>
      </c>
      <c r="J373" s="4" t="s">
        <v>548</v>
      </c>
      <c r="K373" s="4" t="s">
        <v>95</v>
      </c>
      <c r="L373" s="4" t="s">
        <v>96</v>
      </c>
      <c r="M373" s="4"/>
      <c r="N373" s="4"/>
      <c r="O373" s="4"/>
      <c r="P373" s="4"/>
      <c r="Q373" s="4"/>
      <c r="R373" s="4"/>
      <c r="S373" s="13" t="n">
        <v>0</v>
      </c>
      <c r="T373" s="4" t="s">
        <v>173</v>
      </c>
      <c r="U373" s="14" t="n">
        <f aca="false">IF(OR($S373="",PARAMETROS!$B$4=""),"",$S373*PARAMETROS!$B$4)</f>
        <v>0</v>
      </c>
      <c r="V373" s="13" t="n">
        <v>0</v>
      </c>
      <c r="W373" s="4"/>
      <c r="X373" s="4"/>
      <c r="Y373" s="4"/>
      <c r="Z373" s="4"/>
      <c r="AA373" s="4"/>
      <c r="AB373" s="4"/>
      <c r="AC373" s="4"/>
      <c r="AD373" s="4"/>
      <c r="AE373" s="4"/>
      <c r="AF373" s="4"/>
      <c r="AG373" s="4"/>
      <c r="AH373" s="4"/>
      <c r="AI373" s="4"/>
      <c r="AJ373" s="4"/>
      <c r="AK373" s="4"/>
      <c r="AL373" s="4" t="s">
        <v>174</v>
      </c>
      <c r="AM373" s="4" t="s">
        <v>175</v>
      </c>
    </row>
    <row r="374" customFormat="false" ht="23.85" hidden="false" customHeight="false" outlineLevel="0" collapsed="false">
      <c r="A374" s="4" t="s">
        <v>167</v>
      </c>
      <c r="B374" s="4" t="s">
        <v>549</v>
      </c>
      <c r="C374" s="4" t="s">
        <v>549</v>
      </c>
      <c r="D374" s="12" t="n">
        <v>2019</v>
      </c>
      <c r="E374" s="4"/>
      <c r="F374" s="4" t="s">
        <v>169</v>
      </c>
      <c r="G374" s="4" t="s">
        <v>170</v>
      </c>
      <c r="H374" s="4" t="s">
        <v>171</v>
      </c>
      <c r="I374" s="4" t="s">
        <v>172</v>
      </c>
      <c r="J374" s="4" t="s">
        <v>549</v>
      </c>
      <c r="K374" s="4" t="s">
        <v>95</v>
      </c>
      <c r="L374" s="4" t="s">
        <v>96</v>
      </c>
      <c r="M374" s="4"/>
      <c r="N374" s="4"/>
      <c r="O374" s="4"/>
      <c r="P374" s="4"/>
      <c r="Q374" s="4"/>
      <c r="R374" s="4"/>
      <c r="S374" s="13" t="n">
        <v>0</v>
      </c>
      <c r="T374" s="4" t="s">
        <v>173</v>
      </c>
      <c r="U374" s="14" t="n">
        <f aca="false">IF(OR($S374="",PARAMETROS!$B$4=""),"",$S374*PARAMETROS!$B$4)</f>
        <v>0</v>
      </c>
      <c r="V374" s="13" t="n">
        <v>0</v>
      </c>
      <c r="W374" s="4"/>
      <c r="X374" s="4"/>
      <c r="Y374" s="4"/>
      <c r="Z374" s="4"/>
      <c r="AA374" s="4"/>
      <c r="AB374" s="4"/>
      <c r="AC374" s="4"/>
      <c r="AD374" s="4"/>
      <c r="AE374" s="4"/>
      <c r="AF374" s="4"/>
      <c r="AG374" s="4"/>
      <c r="AH374" s="4"/>
      <c r="AI374" s="4"/>
      <c r="AJ374" s="4"/>
      <c r="AK374" s="4"/>
      <c r="AL374" s="4" t="s">
        <v>174</v>
      </c>
      <c r="AM374" s="4" t="s">
        <v>175</v>
      </c>
    </row>
    <row r="375" customFormat="false" ht="23.85" hidden="false" customHeight="false" outlineLevel="0" collapsed="false">
      <c r="A375" s="4" t="s">
        <v>167</v>
      </c>
      <c r="B375" s="4" t="s">
        <v>550</v>
      </c>
      <c r="C375" s="4" t="s">
        <v>550</v>
      </c>
      <c r="D375" s="12" t="n">
        <v>2019</v>
      </c>
      <c r="E375" s="4"/>
      <c r="F375" s="4" t="s">
        <v>169</v>
      </c>
      <c r="G375" s="4" t="s">
        <v>170</v>
      </c>
      <c r="H375" s="4" t="s">
        <v>171</v>
      </c>
      <c r="I375" s="4" t="s">
        <v>172</v>
      </c>
      <c r="J375" s="4" t="s">
        <v>550</v>
      </c>
      <c r="K375" s="4" t="s">
        <v>95</v>
      </c>
      <c r="L375" s="4" t="s">
        <v>96</v>
      </c>
      <c r="M375" s="4"/>
      <c r="N375" s="4"/>
      <c r="O375" s="4"/>
      <c r="P375" s="4"/>
      <c r="Q375" s="4"/>
      <c r="R375" s="4"/>
      <c r="S375" s="13" t="n">
        <v>0</v>
      </c>
      <c r="T375" s="4" t="s">
        <v>173</v>
      </c>
      <c r="U375" s="14" t="n">
        <f aca="false">IF(OR($S375="",PARAMETROS!$B$4=""),"",$S375*PARAMETROS!$B$4)</f>
        <v>0</v>
      </c>
      <c r="V375" s="13" t="n">
        <v>0</v>
      </c>
      <c r="W375" s="4"/>
      <c r="X375" s="4"/>
      <c r="Y375" s="4"/>
      <c r="Z375" s="4"/>
      <c r="AA375" s="4"/>
      <c r="AB375" s="4"/>
      <c r="AC375" s="4"/>
      <c r="AD375" s="4"/>
      <c r="AE375" s="4"/>
      <c r="AF375" s="4"/>
      <c r="AG375" s="4"/>
      <c r="AH375" s="4"/>
      <c r="AI375" s="4"/>
      <c r="AJ375" s="4"/>
      <c r="AK375" s="4"/>
      <c r="AL375" s="4" t="s">
        <v>174</v>
      </c>
      <c r="AM375" s="4" t="s">
        <v>175</v>
      </c>
    </row>
    <row r="376" customFormat="false" ht="23.85" hidden="false" customHeight="false" outlineLevel="0" collapsed="false">
      <c r="A376" s="4" t="s">
        <v>167</v>
      </c>
      <c r="B376" s="4" t="s">
        <v>551</v>
      </c>
      <c r="C376" s="4" t="s">
        <v>551</v>
      </c>
      <c r="D376" s="12" t="n">
        <v>2019</v>
      </c>
      <c r="E376" s="4"/>
      <c r="F376" s="4" t="s">
        <v>169</v>
      </c>
      <c r="G376" s="4" t="s">
        <v>170</v>
      </c>
      <c r="H376" s="4" t="s">
        <v>171</v>
      </c>
      <c r="I376" s="4" t="s">
        <v>172</v>
      </c>
      <c r="J376" s="4" t="s">
        <v>551</v>
      </c>
      <c r="K376" s="4" t="s">
        <v>95</v>
      </c>
      <c r="L376" s="4" t="s">
        <v>96</v>
      </c>
      <c r="M376" s="4"/>
      <c r="N376" s="4"/>
      <c r="O376" s="4"/>
      <c r="P376" s="4"/>
      <c r="Q376" s="4"/>
      <c r="R376" s="4"/>
      <c r="S376" s="13" t="n">
        <v>0</v>
      </c>
      <c r="T376" s="4" t="s">
        <v>173</v>
      </c>
      <c r="U376" s="14" t="n">
        <f aca="false">IF(OR($S376="",PARAMETROS!$B$4=""),"",$S376*PARAMETROS!$B$4)</f>
        <v>0</v>
      </c>
      <c r="V376" s="13" t="n">
        <v>0</v>
      </c>
      <c r="W376" s="4"/>
      <c r="X376" s="4"/>
      <c r="Y376" s="4"/>
      <c r="Z376" s="4"/>
      <c r="AA376" s="4"/>
      <c r="AB376" s="4"/>
      <c r="AC376" s="4"/>
      <c r="AD376" s="4"/>
      <c r="AE376" s="4"/>
      <c r="AF376" s="4"/>
      <c r="AG376" s="4"/>
      <c r="AH376" s="4"/>
      <c r="AI376" s="4"/>
      <c r="AJ376" s="4"/>
      <c r="AK376" s="4"/>
      <c r="AL376" s="4" t="s">
        <v>174</v>
      </c>
      <c r="AM376" s="4" t="s">
        <v>175</v>
      </c>
    </row>
    <row r="377" customFormat="false" ht="23.85" hidden="false" customHeight="false" outlineLevel="0" collapsed="false">
      <c r="A377" s="4" t="s">
        <v>167</v>
      </c>
      <c r="B377" s="4" t="s">
        <v>552</v>
      </c>
      <c r="C377" s="4" t="s">
        <v>552</v>
      </c>
      <c r="D377" s="12" t="n">
        <v>2019</v>
      </c>
      <c r="E377" s="4"/>
      <c r="F377" s="4" t="s">
        <v>169</v>
      </c>
      <c r="G377" s="4" t="s">
        <v>170</v>
      </c>
      <c r="H377" s="4" t="s">
        <v>171</v>
      </c>
      <c r="I377" s="4" t="s">
        <v>172</v>
      </c>
      <c r="J377" s="4" t="s">
        <v>552</v>
      </c>
      <c r="K377" s="4" t="s">
        <v>95</v>
      </c>
      <c r="L377" s="4" t="s">
        <v>96</v>
      </c>
      <c r="M377" s="4"/>
      <c r="N377" s="4"/>
      <c r="O377" s="4"/>
      <c r="P377" s="4"/>
      <c r="Q377" s="4"/>
      <c r="R377" s="4"/>
      <c r="S377" s="13" t="n">
        <v>2670.61</v>
      </c>
      <c r="T377" s="4" t="s">
        <v>173</v>
      </c>
      <c r="U377" s="14" t="n">
        <f aca="false">IF(OR($S377="",PARAMETROS!$B$4=""),"",$S377*PARAMETROS!$B$4)</f>
        <v>15516.2441</v>
      </c>
      <c r="V377" s="13" t="n">
        <v>0</v>
      </c>
      <c r="W377" s="4"/>
      <c r="X377" s="4"/>
      <c r="Y377" s="4"/>
      <c r="Z377" s="4"/>
      <c r="AA377" s="4"/>
      <c r="AB377" s="4"/>
      <c r="AC377" s="4"/>
      <c r="AD377" s="4"/>
      <c r="AE377" s="4"/>
      <c r="AF377" s="4"/>
      <c r="AG377" s="4"/>
      <c r="AH377" s="4"/>
      <c r="AI377" s="4"/>
      <c r="AJ377" s="4"/>
      <c r="AK377" s="4"/>
      <c r="AL377" s="4" t="s">
        <v>174</v>
      </c>
      <c r="AM377" s="4" t="s">
        <v>175</v>
      </c>
    </row>
    <row r="378" customFormat="false" ht="23.85" hidden="false" customHeight="false" outlineLevel="0" collapsed="false">
      <c r="A378" s="4" t="s">
        <v>167</v>
      </c>
      <c r="B378" s="4" t="s">
        <v>553</v>
      </c>
      <c r="C378" s="4" t="s">
        <v>553</v>
      </c>
      <c r="D378" s="12" t="n">
        <v>2019</v>
      </c>
      <c r="E378" s="4"/>
      <c r="F378" s="4" t="s">
        <v>169</v>
      </c>
      <c r="G378" s="4" t="s">
        <v>170</v>
      </c>
      <c r="H378" s="4" t="s">
        <v>171</v>
      </c>
      <c r="I378" s="4" t="s">
        <v>172</v>
      </c>
      <c r="J378" s="4" t="s">
        <v>553</v>
      </c>
      <c r="K378" s="4" t="s">
        <v>95</v>
      </c>
      <c r="L378" s="4" t="s">
        <v>96</v>
      </c>
      <c r="M378" s="4"/>
      <c r="N378" s="4"/>
      <c r="O378" s="4"/>
      <c r="P378" s="4"/>
      <c r="Q378" s="4"/>
      <c r="R378" s="4"/>
      <c r="S378" s="13" t="n">
        <v>0</v>
      </c>
      <c r="T378" s="4" t="s">
        <v>173</v>
      </c>
      <c r="U378" s="14" t="n">
        <f aca="false">IF(OR($S378="",PARAMETROS!$B$4=""),"",$S378*PARAMETROS!$B$4)</f>
        <v>0</v>
      </c>
      <c r="V378" s="13" t="n">
        <v>0</v>
      </c>
      <c r="W378" s="4"/>
      <c r="X378" s="4"/>
      <c r="Y378" s="4"/>
      <c r="Z378" s="4"/>
      <c r="AA378" s="4"/>
      <c r="AB378" s="4"/>
      <c r="AC378" s="4"/>
      <c r="AD378" s="4"/>
      <c r="AE378" s="4"/>
      <c r="AF378" s="4"/>
      <c r="AG378" s="4"/>
      <c r="AH378" s="4"/>
      <c r="AI378" s="4"/>
      <c r="AJ378" s="4"/>
      <c r="AK378" s="4"/>
      <c r="AL378" s="4" t="s">
        <v>174</v>
      </c>
      <c r="AM378" s="4" t="s">
        <v>175</v>
      </c>
    </row>
    <row r="379" customFormat="false" ht="23.85" hidden="false" customHeight="false" outlineLevel="0" collapsed="false">
      <c r="A379" s="4" t="s">
        <v>167</v>
      </c>
      <c r="B379" s="4" t="s">
        <v>554</v>
      </c>
      <c r="C379" s="4" t="s">
        <v>554</v>
      </c>
      <c r="D379" s="12" t="n">
        <v>2019</v>
      </c>
      <c r="E379" s="4"/>
      <c r="F379" s="4" t="s">
        <v>169</v>
      </c>
      <c r="G379" s="4" t="s">
        <v>170</v>
      </c>
      <c r="H379" s="4" t="s">
        <v>171</v>
      </c>
      <c r="I379" s="4" t="s">
        <v>172</v>
      </c>
      <c r="J379" s="4" t="s">
        <v>554</v>
      </c>
      <c r="K379" s="4" t="s">
        <v>95</v>
      </c>
      <c r="L379" s="4" t="s">
        <v>96</v>
      </c>
      <c r="M379" s="4"/>
      <c r="N379" s="4"/>
      <c r="O379" s="4"/>
      <c r="P379" s="4"/>
      <c r="Q379" s="4"/>
      <c r="R379" s="4"/>
      <c r="S379" s="13" t="n">
        <v>0</v>
      </c>
      <c r="T379" s="4" t="s">
        <v>173</v>
      </c>
      <c r="U379" s="14" t="n">
        <f aca="false">IF(OR($S379="",PARAMETROS!$B$4=""),"",$S379*PARAMETROS!$B$4)</f>
        <v>0</v>
      </c>
      <c r="V379" s="13" t="n">
        <v>0</v>
      </c>
      <c r="W379" s="4"/>
      <c r="X379" s="4"/>
      <c r="Y379" s="4"/>
      <c r="Z379" s="4"/>
      <c r="AA379" s="4"/>
      <c r="AB379" s="4"/>
      <c r="AC379" s="4"/>
      <c r="AD379" s="4"/>
      <c r="AE379" s="4"/>
      <c r="AF379" s="4"/>
      <c r="AG379" s="4"/>
      <c r="AH379" s="4"/>
      <c r="AI379" s="4"/>
      <c r="AJ379" s="4"/>
      <c r="AK379" s="4"/>
      <c r="AL379" s="4" t="s">
        <v>174</v>
      </c>
      <c r="AM379" s="4" t="s">
        <v>175</v>
      </c>
    </row>
    <row r="380" customFormat="false" ht="23.85" hidden="false" customHeight="false" outlineLevel="0" collapsed="false">
      <c r="A380" s="4" t="s">
        <v>167</v>
      </c>
      <c r="B380" s="4" t="s">
        <v>555</v>
      </c>
      <c r="C380" s="4" t="s">
        <v>555</v>
      </c>
      <c r="D380" s="12" t="n">
        <v>2019</v>
      </c>
      <c r="E380" s="4"/>
      <c r="F380" s="4" t="s">
        <v>169</v>
      </c>
      <c r="G380" s="4" t="s">
        <v>170</v>
      </c>
      <c r="H380" s="4" t="s">
        <v>171</v>
      </c>
      <c r="I380" s="4" t="s">
        <v>172</v>
      </c>
      <c r="J380" s="4" t="s">
        <v>555</v>
      </c>
      <c r="K380" s="4" t="s">
        <v>97</v>
      </c>
      <c r="L380" s="4" t="s">
        <v>98</v>
      </c>
      <c r="M380" s="4"/>
      <c r="N380" s="4"/>
      <c r="O380" s="4"/>
      <c r="P380" s="4"/>
      <c r="Q380" s="4"/>
      <c r="R380" s="4"/>
      <c r="S380" s="13" t="n">
        <v>0</v>
      </c>
      <c r="T380" s="4" t="s">
        <v>173</v>
      </c>
      <c r="U380" s="14" t="n">
        <f aca="false">IF(OR($S380="",PARAMETROS!$B$4=""),"",$S380*PARAMETROS!$B$4)</f>
        <v>0</v>
      </c>
      <c r="V380" s="13" t="n">
        <v>0</v>
      </c>
      <c r="W380" s="4"/>
      <c r="X380" s="4"/>
      <c r="Y380" s="4"/>
      <c r="Z380" s="4"/>
      <c r="AA380" s="4"/>
      <c r="AB380" s="4"/>
      <c r="AC380" s="4"/>
      <c r="AD380" s="4"/>
      <c r="AE380" s="4"/>
      <c r="AF380" s="4"/>
      <c r="AG380" s="4"/>
      <c r="AH380" s="4"/>
      <c r="AI380" s="4"/>
      <c r="AJ380" s="4"/>
      <c r="AK380" s="4"/>
      <c r="AL380" s="4" t="s">
        <v>174</v>
      </c>
      <c r="AM380" s="4" t="s">
        <v>205</v>
      </c>
    </row>
    <row r="381" customFormat="false" ht="23.85" hidden="false" customHeight="false" outlineLevel="0" collapsed="false">
      <c r="A381" s="4" t="s">
        <v>167</v>
      </c>
      <c r="B381" s="4" t="s">
        <v>556</v>
      </c>
      <c r="C381" s="4" t="s">
        <v>556</v>
      </c>
      <c r="D381" s="12" t="n">
        <v>2019</v>
      </c>
      <c r="E381" s="4"/>
      <c r="F381" s="4" t="s">
        <v>169</v>
      </c>
      <c r="G381" s="4" t="s">
        <v>170</v>
      </c>
      <c r="H381" s="4" t="s">
        <v>171</v>
      </c>
      <c r="I381" s="4" t="s">
        <v>172</v>
      </c>
      <c r="J381" s="4" t="s">
        <v>556</v>
      </c>
      <c r="K381" s="4" t="s">
        <v>97</v>
      </c>
      <c r="L381" s="4" t="s">
        <v>98</v>
      </c>
      <c r="M381" s="4"/>
      <c r="N381" s="4"/>
      <c r="O381" s="4"/>
      <c r="P381" s="4"/>
      <c r="Q381" s="4"/>
      <c r="R381" s="4"/>
      <c r="S381" s="13" t="n">
        <v>13520.33</v>
      </c>
      <c r="T381" s="4" t="s">
        <v>173</v>
      </c>
      <c r="U381" s="14" t="n">
        <f aca="false">IF(OR($S381="",PARAMETROS!$B$4=""),"",$S381*PARAMETROS!$B$4)</f>
        <v>78553.1173</v>
      </c>
      <c r="V381" s="13" t="n">
        <v>0</v>
      </c>
      <c r="W381" s="4"/>
      <c r="X381" s="4"/>
      <c r="Y381" s="4"/>
      <c r="Z381" s="4"/>
      <c r="AA381" s="4"/>
      <c r="AB381" s="4"/>
      <c r="AC381" s="4"/>
      <c r="AD381" s="4"/>
      <c r="AE381" s="4"/>
      <c r="AF381" s="4"/>
      <c r="AG381" s="4"/>
      <c r="AH381" s="4"/>
      <c r="AI381" s="4"/>
      <c r="AJ381" s="4"/>
      <c r="AK381" s="4"/>
      <c r="AL381" s="4" t="s">
        <v>174</v>
      </c>
      <c r="AM381" s="4" t="s">
        <v>205</v>
      </c>
    </row>
    <row r="382" customFormat="false" ht="23.85" hidden="false" customHeight="false" outlineLevel="0" collapsed="false">
      <c r="A382" s="4" t="s">
        <v>167</v>
      </c>
      <c r="B382" s="4" t="s">
        <v>557</v>
      </c>
      <c r="C382" s="4" t="s">
        <v>557</v>
      </c>
      <c r="D382" s="12" t="n">
        <v>2019</v>
      </c>
      <c r="E382" s="4"/>
      <c r="F382" s="4" t="s">
        <v>169</v>
      </c>
      <c r="G382" s="4" t="s">
        <v>170</v>
      </c>
      <c r="H382" s="4" t="s">
        <v>171</v>
      </c>
      <c r="I382" s="4" t="s">
        <v>172</v>
      </c>
      <c r="J382" s="4" t="s">
        <v>557</v>
      </c>
      <c r="K382" s="4" t="s">
        <v>97</v>
      </c>
      <c r="L382" s="4" t="s">
        <v>98</v>
      </c>
      <c r="M382" s="4"/>
      <c r="N382" s="4"/>
      <c r="O382" s="4"/>
      <c r="P382" s="4"/>
      <c r="Q382" s="4"/>
      <c r="R382" s="4"/>
      <c r="S382" s="13" t="n">
        <v>65.87</v>
      </c>
      <c r="T382" s="4" t="s">
        <v>173</v>
      </c>
      <c r="U382" s="14" t="n">
        <f aca="false">IF(OR($S382="",PARAMETROS!$B$4=""),"",$S382*PARAMETROS!$B$4)</f>
        <v>382.7047</v>
      </c>
      <c r="V382" s="13" t="n">
        <v>0</v>
      </c>
      <c r="W382" s="4"/>
      <c r="X382" s="4"/>
      <c r="Y382" s="4"/>
      <c r="Z382" s="4"/>
      <c r="AA382" s="4"/>
      <c r="AB382" s="4"/>
      <c r="AC382" s="4"/>
      <c r="AD382" s="4"/>
      <c r="AE382" s="4"/>
      <c r="AF382" s="4"/>
      <c r="AG382" s="4"/>
      <c r="AH382" s="4"/>
      <c r="AI382" s="4"/>
      <c r="AJ382" s="4"/>
      <c r="AK382" s="4"/>
      <c r="AL382" s="4" t="s">
        <v>174</v>
      </c>
      <c r="AM382" s="4" t="s">
        <v>205</v>
      </c>
    </row>
    <row r="383" customFormat="false" ht="23.85" hidden="false" customHeight="false" outlineLevel="0" collapsed="false">
      <c r="A383" s="4" t="s">
        <v>167</v>
      </c>
      <c r="B383" s="4" t="s">
        <v>558</v>
      </c>
      <c r="C383" s="4" t="s">
        <v>558</v>
      </c>
      <c r="D383" s="12" t="n">
        <v>2019</v>
      </c>
      <c r="E383" s="4"/>
      <c r="F383" s="4" t="s">
        <v>169</v>
      </c>
      <c r="G383" s="4" t="s">
        <v>170</v>
      </c>
      <c r="H383" s="4" t="s">
        <v>171</v>
      </c>
      <c r="I383" s="4" t="s">
        <v>172</v>
      </c>
      <c r="J383" s="4" t="s">
        <v>558</v>
      </c>
      <c r="K383" s="4" t="s">
        <v>97</v>
      </c>
      <c r="L383" s="4" t="s">
        <v>98</v>
      </c>
      <c r="M383" s="4"/>
      <c r="N383" s="4"/>
      <c r="O383" s="4"/>
      <c r="P383" s="4"/>
      <c r="Q383" s="4"/>
      <c r="R383" s="4"/>
      <c r="S383" s="13" t="n">
        <v>-236.59</v>
      </c>
      <c r="T383" s="4" t="s">
        <v>173</v>
      </c>
      <c r="U383" s="14" t="n">
        <f aca="false">IF(OR($S383="",PARAMETROS!$B$4=""),"",$S383*PARAMETROS!$B$4)</f>
        <v>-1374.5879</v>
      </c>
      <c r="V383" s="13" t="n">
        <v>0</v>
      </c>
      <c r="W383" s="4"/>
      <c r="X383" s="4"/>
      <c r="Y383" s="4"/>
      <c r="Z383" s="4"/>
      <c r="AA383" s="4"/>
      <c r="AB383" s="4"/>
      <c r="AC383" s="4"/>
      <c r="AD383" s="4"/>
      <c r="AE383" s="4"/>
      <c r="AF383" s="4"/>
      <c r="AG383" s="4"/>
      <c r="AH383" s="4"/>
      <c r="AI383" s="4"/>
      <c r="AJ383" s="4"/>
      <c r="AK383" s="4"/>
      <c r="AL383" s="4" t="s">
        <v>174</v>
      </c>
      <c r="AM383" s="4" t="s">
        <v>205</v>
      </c>
    </row>
    <row r="384" customFormat="false" ht="23.85" hidden="false" customHeight="false" outlineLevel="0" collapsed="false">
      <c r="A384" s="4" t="s">
        <v>167</v>
      </c>
      <c r="B384" s="4" t="s">
        <v>559</v>
      </c>
      <c r="C384" s="4" t="s">
        <v>559</v>
      </c>
      <c r="D384" s="12" t="n">
        <v>2019</v>
      </c>
      <c r="E384" s="4"/>
      <c r="F384" s="4" t="s">
        <v>169</v>
      </c>
      <c r="G384" s="4" t="s">
        <v>170</v>
      </c>
      <c r="H384" s="4" t="s">
        <v>171</v>
      </c>
      <c r="I384" s="4" t="s">
        <v>172</v>
      </c>
      <c r="J384" s="4" t="s">
        <v>559</v>
      </c>
      <c r="K384" s="4" t="s">
        <v>97</v>
      </c>
      <c r="L384" s="4" t="s">
        <v>98</v>
      </c>
      <c r="M384" s="4"/>
      <c r="N384" s="4"/>
      <c r="O384" s="4"/>
      <c r="P384" s="4"/>
      <c r="Q384" s="4"/>
      <c r="R384" s="4"/>
      <c r="S384" s="13" t="n">
        <v>0</v>
      </c>
      <c r="T384" s="4" t="s">
        <v>173</v>
      </c>
      <c r="U384" s="14" t="n">
        <f aca="false">IF(OR($S384="",PARAMETROS!$B$4=""),"",$S384*PARAMETROS!$B$4)</f>
        <v>0</v>
      </c>
      <c r="V384" s="13" t="n">
        <v>0</v>
      </c>
      <c r="W384" s="4"/>
      <c r="X384" s="4"/>
      <c r="Y384" s="4"/>
      <c r="Z384" s="4"/>
      <c r="AA384" s="4"/>
      <c r="AB384" s="4"/>
      <c r="AC384" s="4"/>
      <c r="AD384" s="4"/>
      <c r="AE384" s="4"/>
      <c r="AF384" s="4"/>
      <c r="AG384" s="4"/>
      <c r="AH384" s="4"/>
      <c r="AI384" s="4"/>
      <c r="AJ384" s="4"/>
      <c r="AK384" s="4"/>
      <c r="AL384" s="4" t="s">
        <v>174</v>
      </c>
      <c r="AM384" s="4" t="s">
        <v>205</v>
      </c>
    </row>
    <row r="385" customFormat="false" ht="23.85" hidden="false" customHeight="false" outlineLevel="0" collapsed="false">
      <c r="A385" s="4" t="s">
        <v>167</v>
      </c>
      <c r="B385" s="4" t="s">
        <v>560</v>
      </c>
      <c r="C385" s="4" t="s">
        <v>560</v>
      </c>
      <c r="D385" s="12" t="n">
        <v>2019</v>
      </c>
      <c r="E385" s="4"/>
      <c r="F385" s="4" t="s">
        <v>169</v>
      </c>
      <c r="G385" s="4" t="s">
        <v>170</v>
      </c>
      <c r="H385" s="4" t="s">
        <v>171</v>
      </c>
      <c r="I385" s="4" t="s">
        <v>172</v>
      </c>
      <c r="J385" s="4" t="s">
        <v>560</v>
      </c>
      <c r="K385" s="4" t="s">
        <v>97</v>
      </c>
      <c r="L385" s="4" t="s">
        <v>98</v>
      </c>
      <c r="M385" s="4"/>
      <c r="N385" s="4"/>
      <c r="O385" s="4"/>
      <c r="P385" s="4"/>
      <c r="Q385" s="4"/>
      <c r="R385" s="4"/>
      <c r="S385" s="13" t="n">
        <v>-18.96</v>
      </c>
      <c r="T385" s="4" t="s">
        <v>173</v>
      </c>
      <c r="U385" s="14" t="n">
        <f aca="false">IF(OR($S385="",PARAMETROS!$B$4=""),"",$S385*PARAMETROS!$B$4)</f>
        <v>-110.1576</v>
      </c>
      <c r="V385" s="13" t="n">
        <v>0</v>
      </c>
      <c r="W385" s="4"/>
      <c r="X385" s="4"/>
      <c r="Y385" s="4"/>
      <c r="Z385" s="4"/>
      <c r="AA385" s="4"/>
      <c r="AB385" s="4"/>
      <c r="AC385" s="4"/>
      <c r="AD385" s="4"/>
      <c r="AE385" s="4"/>
      <c r="AF385" s="4"/>
      <c r="AG385" s="4"/>
      <c r="AH385" s="4"/>
      <c r="AI385" s="4"/>
      <c r="AJ385" s="4"/>
      <c r="AK385" s="4"/>
      <c r="AL385" s="4" t="s">
        <v>174</v>
      </c>
      <c r="AM385" s="4" t="s">
        <v>205</v>
      </c>
    </row>
    <row r="386" customFormat="false" ht="23.85" hidden="false" customHeight="false" outlineLevel="0" collapsed="false">
      <c r="A386" s="4" t="s">
        <v>167</v>
      </c>
      <c r="B386" s="4" t="s">
        <v>561</v>
      </c>
      <c r="C386" s="4" t="s">
        <v>561</v>
      </c>
      <c r="D386" s="12" t="n">
        <v>2019</v>
      </c>
      <c r="E386" s="4"/>
      <c r="F386" s="4" t="s">
        <v>169</v>
      </c>
      <c r="G386" s="4" t="s">
        <v>170</v>
      </c>
      <c r="H386" s="4" t="s">
        <v>171</v>
      </c>
      <c r="I386" s="4" t="s">
        <v>172</v>
      </c>
      <c r="J386" s="4" t="s">
        <v>561</v>
      </c>
      <c r="K386" s="4" t="s">
        <v>97</v>
      </c>
      <c r="L386" s="4" t="s">
        <v>98</v>
      </c>
      <c r="M386" s="4"/>
      <c r="N386" s="4"/>
      <c r="O386" s="4"/>
      <c r="P386" s="4"/>
      <c r="Q386" s="4"/>
      <c r="R386" s="4"/>
      <c r="S386" s="13" t="n">
        <v>0</v>
      </c>
      <c r="T386" s="4" t="s">
        <v>173</v>
      </c>
      <c r="U386" s="14" t="n">
        <f aca="false">IF(OR($S386="",PARAMETROS!$B$4=""),"",$S386*PARAMETROS!$B$4)</f>
        <v>0</v>
      </c>
      <c r="V386" s="13" t="n">
        <v>0</v>
      </c>
      <c r="W386" s="4"/>
      <c r="X386" s="4"/>
      <c r="Y386" s="4"/>
      <c r="Z386" s="4"/>
      <c r="AA386" s="4"/>
      <c r="AB386" s="4"/>
      <c r="AC386" s="4"/>
      <c r="AD386" s="4"/>
      <c r="AE386" s="4"/>
      <c r="AF386" s="4"/>
      <c r="AG386" s="4"/>
      <c r="AH386" s="4"/>
      <c r="AI386" s="4"/>
      <c r="AJ386" s="4"/>
      <c r="AK386" s="4"/>
      <c r="AL386" s="4" t="s">
        <v>174</v>
      </c>
      <c r="AM386" s="4" t="s">
        <v>205</v>
      </c>
    </row>
    <row r="387" customFormat="false" ht="23.85" hidden="false" customHeight="false" outlineLevel="0" collapsed="false">
      <c r="A387" s="4" t="s">
        <v>167</v>
      </c>
      <c r="B387" s="4" t="s">
        <v>562</v>
      </c>
      <c r="C387" s="4" t="s">
        <v>562</v>
      </c>
      <c r="D387" s="12" t="n">
        <v>2019</v>
      </c>
      <c r="E387" s="4"/>
      <c r="F387" s="4" t="s">
        <v>169</v>
      </c>
      <c r="G387" s="4" t="s">
        <v>170</v>
      </c>
      <c r="H387" s="4" t="s">
        <v>171</v>
      </c>
      <c r="I387" s="4" t="s">
        <v>172</v>
      </c>
      <c r="J387" s="4" t="s">
        <v>562</v>
      </c>
      <c r="K387" s="4" t="s">
        <v>97</v>
      </c>
      <c r="L387" s="4" t="s">
        <v>98</v>
      </c>
      <c r="M387" s="4"/>
      <c r="N387" s="4"/>
      <c r="O387" s="4"/>
      <c r="P387" s="4"/>
      <c r="Q387" s="4"/>
      <c r="R387" s="4"/>
      <c r="S387" s="13" t="n">
        <v>0</v>
      </c>
      <c r="T387" s="4" t="s">
        <v>173</v>
      </c>
      <c r="U387" s="14" t="n">
        <f aca="false">IF(OR($S387="",PARAMETROS!$B$4=""),"",$S387*PARAMETROS!$B$4)</f>
        <v>0</v>
      </c>
      <c r="V387" s="13" t="n">
        <v>0</v>
      </c>
      <c r="W387" s="4"/>
      <c r="X387" s="4"/>
      <c r="Y387" s="4"/>
      <c r="Z387" s="4"/>
      <c r="AA387" s="4"/>
      <c r="AB387" s="4"/>
      <c r="AC387" s="4"/>
      <c r="AD387" s="4"/>
      <c r="AE387" s="4"/>
      <c r="AF387" s="4"/>
      <c r="AG387" s="4"/>
      <c r="AH387" s="4"/>
      <c r="AI387" s="4"/>
      <c r="AJ387" s="4"/>
      <c r="AK387" s="4"/>
      <c r="AL387" s="4" t="s">
        <v>174</v>
      </c>
      <c r="AM387" s="4" t="s">
        <v>205</v>
      </c>
    </row>
    <row r="388" customFormat="false" ht="23.85" hidden="false" customHeight="false" outlineLevel="0" collapsed="false">
      <c r="A388" s="4" t="s">
        <v>167</v>
      </c>
      <c r="B388" s="4" t="s">
        <v>563</v>
      </c>
      <c r="C388" s="4" t="s">
        <v>563</v>
      </c>
      <c r="D388" s="12" t="n">
        <v>2019</v>
      </c>
      <c r="E388" s="4"/>
      <c r="F388" s="4" t="s">
        <v>169</v>
      </c>
      <c r="G388" s="4" t="s">
        <v>170</v>
      </c>
      <c r="H388" s="4" t="s">
        <v>171</v>
      </c>
      <c r="I388" s="4" t="s">
        <v>172</v>
      </c>
      <c r="J388" s="4" t="s">
        <v>563</v>
      </c>
      <c r="K388" s="4" t="s">
        <v>97</v>
      </c>
      <c r="L388" s="4" t="s">
        <v>98</v>
      </c>
      <c r="M388" s="4"/>
      <c r="N388" s="4"/>
      <c r="O388" s="4"/>
      <c r="P388" s="4"/>
      <c r="Q388" s="4"/>
      <c r="R388" s="4"/>
      <c r="S388" s="13" t="n">
        <v>12142.99</v>
      </c>
      <c r="T388" s="4" t="s">
        <v>173</v>
      </c>
      <c r="U388" s="14" t="n">
        <f aca="false">IF(OR($S388="",PARAMETROS!$B$4=""),"",$S388*PARAMETROS!$B$4)</f>
        <v>70550.7719</v>
      </c>
      <c r="V388" s="13" t="n">
        <v>0</v>
      </c>
      <c r="W388" s="4"/>
      <c r="X388" s="4"/>
      <c r="Y388" s="4"/>
      <c r="Z388" s="4"/>
      <c r="AA388" s="4"/>
      <c r="AB388" s="4"/>
      <c r="AC388" s="4"/>
      <c r="AD388" s="4"/>
      <c r="AE388" s="4"/>
      <c r="AF388" s="4"/>
      <c r="AG388" s="4"/>
      <c r="AH388" s="4"/>
      <c r="AI388" s="4"/>
      <c r="AJ388" s="4"/>
      <c r="AK388" s="4"/>
      <c r="AL388" s="4" t="s">
        <v>174</v>
      </c>
      <c r="AM388" s="4" t="s">
        <v>205</v>
      </c>
    </row>
    <row r="389" customFormat="false" ht="23.85" hidden="false" customHeight="false" outlineLevel="0" collapsed="false">
      <c r="A389" s="4" t="s">
        <v>167</v>
      </c>
      <c r="B389" s="4" t="s">
        <v>564</v>
      </c>
      <c r="C389" s="4" t="s">
        <v>564</v>
      </c>
      <c r="D389" s="12" t="n">
        <v>2019</v>
      </c>
      <c r="E389" s="4"/>
      <c r="F389" s="4" t="s">
        <v>169</v>
      </c>
      <c r="G389" s="4" t="s">
        <v>170</v>
      </c>
      <c r="H389" s="4" t="s">
        <v>171</v>
      </c>
      <c r="I389" s="4" t="s">
        <v>172</v>
      </c>
      <c r="J389" s="4" t="s">
        <v>564</v>
      </c>
      <c r="K389" s="4" t="s">
        <v>97</v>
      </c>
      <c r="L389" s="4" t="s">
        <v>98</v>
      </c>
      <c r="M389" s="4"/>
      <c r="N389" s="4"/>
      <c r="O389" s="4"/>
      <c r="P389" s="4"/>
      <c r="Q389" s="4"/>
      <c r="R389" s="4"/>
      <c r="S389" s="13" t="n">
        <v>0</v>
      </c>
      <c r="T389" s="4" t="s">
        <v>173</v>
      </c>
      <c r="U389" s="14" t="n">
        <f aca="false">IF(OR($S389="",PARAMETROS!$B$4=""),"",$S389*PARAMETROS!$B$4)</f>
        <v>0</v>
      </c>
      <c r="V389" s="13" t="n">
        <v>0</v>
      </c>
      <c r="W389" s="4"/>
      <c r="X389" s="4"/>
      <c r="Y389" s="4"/>
      <c r="Z389" s="4"/>
      <c r="AA389" s="4"/>
      <c r="AB389" s="4"/>
      <c r="AC389" s="4"/>
      <c r="AD389" s="4"/>
      <c r="AE389" s="4"/>
      <c r="AF389" s="4"/>
      <c r="AG389" s="4"/>
      <c r="AH389" s="4"/>
      <c r="AI389" s="4"/>
      <c r="AJ389" s="4"/>
      <c r="AK389" s="4"/>
      <c r="AL389" s="4" t="s">
        <v>174</v>
      </c>
      <c r="AM389" s="4" t="s">
        <v>205</v>
      </c>
    </row>
    <row r="390" customFormat="false" ht="23.85" hidden="false" customHeight="false" outlineLevel="0" collapsed="false">
      <c r="A390" s="4" t="s">
        <v>167</v>
      </c>
      <c r="B390" s="4" t="s">
        <v>565</v>
      </c>
      <c r="C390" s="4" t="s">
        <v>565</v>
      </c>
      <c r="D390" s="12" t="n">
        <v>2019</v>
      </c>
      <c r="E390" s="4"/>
      <c r="F390" s="4" t="s">
        <v>169</v>
      </c>
      <c r="G390" s="4" t="s">
        <v>170</v>
      </c>
      <c r="H390" s="4" t="s">
        <v>171</v>
      </c>
      <c r="I390" s="4" t="s">
        <v>172</v>
      </c>
      <c r="J390" s="4" t="s">
        <v>565</v>
      </c>
      <c r="K390" s="4" t="s">
        <v>97</v>
      </c>
      <c r="L390" s="4" t="s">
        <v>98</v>
      </c>
      <c r="M390" s="4"/>
      <c r="N390" s="4"/>
      <c r="O390" s="4"/>
      <c r="P390" s="4"/>
      <c r="Q390" s="4"/>
      <c r="R390" s="4"/>
      <c r="S390" s="13" t="n">
        <v>0</v>
      </c>
      <c r="T390" s="4" t="s">
        <v>173</v>
      </c>
      <c r="U390" s="14" t="n">
        <f aca="false">IF(OR($S390="",PARAMETROS!$B$4=""),"",$S390*PARAMETROS!$B$4)</f>
        <v>0</v>
      </c>
      <c r="V390" s="13" t="n">
        <v>0</v>
      </c>
      <c r="W390" s="4"/>
      <c r="X390" s="4"/>
      <c r="Y390" s="4"/>
      <c r="Z390" s="4"/>
      <c r="AA390" s="4"/>
      <c r="AB390" s="4"/>
      <c r="AC390" s="4"/>
      <c r="AD390" s="4"/>
      <c r="AE390" s="4"/>
      <c r="AF390" s="4"/>
      <c r="AG390" s="4"/>
      <c r="AH390" s="4"/>
      <c r="AI390" s="4"/>
      <c r="AJ390" s="4"/>
      <c r="AK390" s="4"/>
      <c r="AL390" s="4" t="s">
        <v>174</v>
      </c>
      <c r="AM390" s="4" t="s">
        <v>205</v>
      </c>
    </row>
    <row r="391" customFormat="false" ht="23.85" hidden="false" customHeight="false" outlineLevel="0" collapsed="false">
      <c r="A391" s="4" t="s">
        <v>167</v>
      </c>
      <c r="B391" s="4" t="s">
        <v>566</v>
      </c>
      <c r="C391" s="4" t="s">
        <v>566</v>
      </c>
      <c r="D391" s="12" t="n">
        <v>2019</v>
      </c>
      <c r="E391" s="4"/>
      <c r="F391" s="4" t="s">
        <v>169</v>
      </c>
      <c r="G391" s="4" t="s">
        <v>170</v>
      </c>
      <c r="H391" s="4" t="s">
        <v>171</v>
      </c>
      <c r="I391" s="4" t="s">
        <v>172</v>
      </c>
      <c r="J391" s="4" t="s">
        <v>566</v>
      </c>
      <c r="K391" s="4" t="s">
        <v>97</v>
      </c>
      <c r="L391" s="4" t="s">
        <v>98</v>
      </c>
      <c r="M391" s="4"/>
      <c r="N391" s="4"/>
      <c r="O391" s="4"/>
      <c r="P391" s="4"/>
      <c r="Q391" s="4"/>
      <c r="R391" s="4"/>
      <c r="S391" s="13" t="n">
        <v>1055.91</v>
      </c>
      <c r="T391" s="4" t="s">
        <v>173</v>
      </c>
      <c r="U391" s="14" t="n">
        <f aca="false">IF(OR($S391="",PARAMETROS!$B$4=""),"",$S391*PARAMETROS!$B$4)</f>
        <v>6134.8371</v>
      </c>
      <c r="V391" s="13" t="n">
        <v>0</v>
      </c>
      <c r="W391" s="4"/>
      <c r="X391" s="4"/>
      <c r="Y391" s="4"/>
      <c r="Z391" s="4"/>
      <c r="AA391" s="4"/>
      <c r="AB391" s="4"/>
      <c r="AC391" s="4"/>
      <c r="AD391" s="4"/>
      <c r="AE391" s="4"/>
      <c r="AF391" s="4"/>
      <c r="AG391" s="4"/>
      <c r="AH391" s="4"/>
      <c r="AI391" s="4"/>
      <c r="AJ391" s="4"/>
      <c r="AK391" s="4"/>
      <c r="AL391" s="4" t="s">
        <v>174</v>
      </c>
      <c r="AM391" s="4" t="s">
        <v>205</v>
      </c>
    </row>
    <row r="392" customFormat="false" ht="23.85" hidden="false" customHeight="false" outlineLevel="0" collapsed="false">
      <c r="A392" s="4" t="s">
        <v>167</v>
      </c>
      <c r="B392" s="4" t="s">
        <v>567</v>
      </c>
      <c r="C392" s="4" t="s">
        <v>567</v>
      </c>
      <c r="D392" s="12" t="n">
        <v>2019</v>
      </c>
      <c r="E392" s="4"/>
      <c r="F392" s="4" t="s">
        <v>169</v>
      </c>
      <c r="G392" s="4" t="s">
        <v>170</v>
      </c>
      <c r="H392" s="4" t="s">
        <v>171</v>
      </c>
      <c r="I392" s="4" t="s">
        <v>172</v>
      </c>
      <c r="J392" s="4" t="s">
        <v>567</v>
      </c>
      <c r="K392" s="4" t="s">
        <v>97</v>
      </c>
      <c r="L392" s="4" t="s">
        <v>98</v>
      </c>
      <c r="M392" s="4"/>
      <c r="N392" s="4"/>
      <c r="O392" s="4"/>
      <c r="P392" s="4"/>
      <c r="Q392" s="4"/>
      <c r="R392" s="4"/>
      <c r="S392" s="13" t="n">
        <v>0</v>
      </c>
      <c r="T392" s="4" t="s">
        <v>173</v>
      </c>
      <c r="U392" s="14" t="n">
        <f aca="false">IF(OR($S392="",PARAMETROS!$B$4=""),"",$S392*PARAMETROS!$B$4)</f>
        <v>0</v>
      </c>
      <c r="V392" s="13" t="n">
        <v>0</v>
      </c>
      <c r="W392" s="4"/>
      <c r="X392" s="4"/>
      <c r="Y392" s="4"/>
      <c r="Z392" s="4"/>
      <c r="AA392" s="4"/>
      <c r="AB392" s="4"/>
      <c r="AC392" s="4"/>
      <c r="AD392" s="4"/>
      <c r="AE392" s="4"/>
      <c r="AF392" s="4"/>
      <c r="AG392" s="4"/>
      <c r="AH392" s="4"/>
      <c r="AI392" s="4"/>
      <c r="AJ392" s="4"/>
      <c r="AK392" s="4"/>
      <c r="AL392" s="4" t="s">
        <v>174</v>
      </c>
      <c r="AM392" s="4" t="s">
        <v>205</v>
      </c>
    </row>
    <row r="393" customFormat="false" ht="23.85" hidden="false" customHeight="false" outlineLevel="0" collapsed="false">
      <c r="A393" s="4" t="s">
        <v>167</v>
      </c>
      <c r="B393" s="4" t="s">
        <v>568</v>
      </c>
      <c r="C393" s="4" t="s">
        <v>568</v>
      </c>
      <c r="D393" s="12" t="n">
        <v>2019</v>
      </c>
      <c r="E393" s="4"/>
      <c r="F393" s="4" t="s">
        <v>169</v>
      </c>
      <c r="G393" s="4" t="s">
        <v>170</v>
      </c>
      <c r="H393" s="4" t="s">
        <v>171</v>
      </c>
      <c r="I393" s="4" t="s">
        <v>172</v>
      </c>
      <c r="J393" s="4" t="s">
        <v>568</v>
      </c>
      <c r="K393" s="4" t="s">
        <v>97</v>
      </c>
      <c r="L393" s="4" t="s">
        <v>98</v>
      </c>
      <c r="M393" s="4"/>
      <c r="N393" s="4"/>
      <c r="O393" s="4"/>
      <c r="P393" s="4"/>
      <c r="Q393" s="4"/>
      <c r="R393" s="4"/>
      <c r="S393" s="13" t="n">
        <v>0</v>
      </c>
      <c r="T393" s="4" t="s">
        <v>173</v>
      </c>
      <c r="U393" s="14" t="n">
        <f aca="false">IF(OR($S393="",PARAMETROS!$B$4=""),"",$S393*PARAMETROS!$B$4)</f>
        <v>0</v>
      </c>
      <c r="V393" s="13" t="n">
        <v>0</v>
      </c>
      <c r="W393" s="4"/>
      <c r="X393" s="4"/>
      <c r="Y393" s="4"/>
      <c r="Z393" s="4"/>
      <c r="AA393" s="4"/>
      <c r="AB393" s="4"/>
      <c r="AC393" s="4"/>
      <c r="AD393" s="4"/>
      <c r="AE393" s="4"/>
      <c r="AF393" s="4"/>
      <c r="AG393" s="4"/>
      <c r="AH393" s="4"/>
      <c r="AI393" s="4"/>
      <c r="AJ393" s="4"/>
      <c r="AK393" s="4"/>
      <c r="AL393" s="4" t="s">
        <v>174</v>
      </c>
      <c r="AM393" s="4" t="s">
        <v>205</v>
      </c>
    </row>
    <row r="394" customFormat="false" ht="23.85" hidden="false" customHeight="false" outlineLevel="0" collapsed="false">
      <c r="A394" s="4" t="s">
        <v>167</v>
      </c>
      <c r="B394" s="4" t="s">
        <v>569</v>
      </c>
      <c r="C394" s="4" t="s">
        <v>569</v>
      </c>
      <c r="D394" s="12" t="n">
        <v>2019</v>
      </c>
      <c r="E394" s="4"/>
      <c r="F394" s="4" t="s">
        <v>169</v>
      </c>
      <c r="G394" s="4" t="s">
        <v>170</v>
      </c>
      <c r="H394" s="4" t="s">
        <v>171</v>
      </c>
      <c r="I394" s="4" t="s">
        <v>172</v>
      </c>
      <c r="J394" s="4" t="s">
        <v>569</v>
      </c>
      <c r="K394" s="4" t="s">
        <v>99</v>
      </c>
      <c r="L394" s="4" t="s">
        <v>100</v>
      </c>
      <c r="M394" s="4"/>
      <c r="N394" s="4"/>
      <c r="O394" s="4"/>
      <c r="P394" s="4"/>
      <c r="Q394" s="4"/>
      <c r="R394" s="4"/>
      <c r="S394" s="13" t="n">
        <v>0</v>
      </c>
      <c r="T394" s="4" t="s">
        <v>173</v>
      </c>
      <c r="U394" s="14" t="n">
        <f aca="false">IF(OR($S394="",PARAMETROS!$B$4=""),"",$S394*PARAMETROS!$B$4)</f>
        <v>0</v>
      </c>
      <c r="V394" s="13" t="n">
        <v>0</v>
      </c>
      <c r="W394" s="4"/>
      <c r="X394" s="4"/>
      <c r="Y394" s="4"/>
      <c r="Z394" s="4"/>
      <c r="AA394" s="4"/>
      <c r="AB394" s="4"/>
      <c r="AC394" s="4"/>
      <c r="AD394" s="4"/>
      <c r="AE394" s="4"/>
      <c r="AF394" s="4"/>
      <c r="AG394" s="4"/>
      <c r="AH394" s="4"/>
      <c r="AI394" s="4"/>
      <c r="AJ394" s="4"/>
      <c r="AK394" s="4"/>
      <c r="AL394" s="4" t="s">
        <v>174</v>
      </c>
      <c r="AM394" s="4" t="s">
        <v>205</v>
      </c>
    </row>
    <row r="395" customFormat="false" ht="23.85" hidden="false" customHeight="false" outlineLevel="0" collapsed="false">
      <c r="A395" s="4" t="s">
        <v>167</v>
      </c>
      <c r="B395" s="4" t="s">
        <v>570</v>
      </c>
      <c r="C395" s="4" t="s">
        <v>570</v>
      </c>
      <c r="D395" s="12" t="n">
        <v>2019</v>
      </c>
      <c r="E395" s="4"/>
      <c r="F395" s="4" t="s">
        <v>169</v>
      </c>
      <c r="G395" s="4" t="s">
        <v>170</v>
      </c>
      <c r="H395" s="4" t="s">
        <v>171</v>
      </c>
      <c r="I395" s="4" t="s">
        <v>172</v>
      </c>
      <c r="J395" s="4" t="s">
        <v>570</v>
      </c>
      <c r="K395" s="4" t="s">
        <v>99</v>
      </c>
      <c r="L395" s="4" t="s">
        <v>100</v>
      </c>
      <c r="M395" s="4"/>
      <c r="N395" s="4"/>
      <c r="O395" s="4"/>
      <c r="P395" s="4"/>
      <c r="Q395" s="4"/>
      <c r="R395" s="4"/>
      <c r="S395" s="13" t="n">
        <v>706.67</v>
      </c>
      <c r="T395" s="4" t="s">
        <v>173</v>
      </c>
      <c r="U395" s="14" t="n">
        <f aca="false">IF(OR($S395="",PARAMETROS!$B$4=""),"",$S395*PARAMETROS!$B$4)</f>
        <v>4105.7527</v>
      </c>
      <c r="V395" s="13" t="n">
        <v>0</v>
      </c>
      <c r="W395" s="4"/>
      <c r="X395" s="4"/>
      <c r="Y395" s="4"/>
      <c r="Z395" s="4"/>
      <c r="AA395" s="4"/>
      <c r="AB395" s="4"/>
      <c r="AC395" s="4"/>
      <c r="AD395" s="4"/>
      <c r="AE395" s="4"/>
      <c r="AF395" s="4"/>
      <c r="AG395" s="4"/>
      <c r="AH395" s="4"/>
      <c r="AI395" s="4"/>
      <c r="AJ395" s="4"/>
      <c r="AK395" s="4"/>
      <c r="AL395" s="4" t="s">
        <v>174</v>
      </c>
      <c r="AM395" s="4" t="s">
        <v>205</v>
      </c>
    </row>
    <row r="396" customFormat="false" ht="23.85" hidden="false" customHeight="false" outlineLevel="0" collapsed="false">
      <c r="A396" s="4" t="s">
        <v>167</v>
      </c>
      <c r="B396" s="4" t="s">
        <v>571</v>
      </c>
      <c r="C396" s="4" t="s">
        <v>571</v>
      </c>
      <c r="D396" s="12" t="n">
        <v>2019</v>
      </c>
      <c r="E396" s="4"/>
      <c r="F396" s="4" t="s">
        <v>169</v>
      </c>
      <c r="G396" s="4" t="s">
        <v>170</v>
      </c>
      <c r="H396" s="4" t="s">
        <v>171</v>
      </c>
      <c r="I396" s="4" t="s">
        <v>172</v>
      </c>
      <c r="J396" s="4" t="s">
        <v>571</v>
      </c>
      <c r="K396" s="4" t="s">
        <v>99</v>
      </c>
      <c r="L396" s="4" t="s">
        <v>100</v>
      </c>
      <c r="M396" s="4"/>
      <c r="N396" s="4"/>
      <c r="O396" s="4"/>
      <c r="P396" s="4"/>
      <c r="Q396" s="4"/>
      <c r="R396" s="4"/>
      <c r="S396" s="13" t="n">
        <v>1356.92</v>
      </c>
      <c r="T396" s="4" t="s">
        <v>173</v>
      </c>
      <c r="U396" s="14" t="n">
        <f aca="false">IF(OR($S396="",PARAMETROS!$B$4=""),"",$S396*PARAMETROS!$B$4)</f>
        <v>7883.7052</v>
      </c>
      <c r="V396" s="13" t="n">
        <v>0</v>
      </c>
      <c r="W396" s="4"/>
      <c r="X396" s="4"/>
      <c r="Y396" s="4"/>
      <c r="Z396" s="4"/>
      <c r="AA396" s="4"/>
      <c r="AB396" s="4"/>
      <c r="AC396" s="4"/>
      <c r="AD396" s="4"/>
      <c r="AE396" s="4"/>
      <c r="AF396" s="4"/>
      <c r="AG396" s="4"/>
      <c r="AH396" s="4"/>
      <c r="AI396" s="4"/>
      <c r="AJ396" s="4"/>
      <c r="AK396" s="4"/>
      <c r="AL396" s="4" t="s">
        <v>174</v>
      </c>
      <c r="AM396" s="4" t="s">
        <v>205</v>
      </c>
    </row>
    <row r="397" customFormat="false" ht="23.85" hidden="false" customHeight="false" outlineLevel="0" collapsed="false">
      <c r="A397" s="4" t="s">
        <v>167</v>
      </c>
      <c r="B397" s="4" t="s">
        <v>572</v>
      </c>
      <c r="C397" s="4" t="s">
        <v>572</v>
      </c>
      <c r="D397" s="12" t="n">
        <v>2019</v>
      </c>
      <c r="E397" s="4"/>
      <c r="F397" s="4" t="s">
        <v>169</v>
      </c>
      <c r="G397" s="4" t="s">
        <v>170</v>
      </c>
      <c r="H397" s="4" t="s">
        <v>171</v>
      </c>
      <c r="I397" s="4" t="s">
        <v>172</v>
      </c>
      <c r="J397" s="4" t="s">
        <v>572</v>
      </c>
      <c r="K397" s="4" t="s">
        <v>99</v>
      </c>
      <c r="L397" s="4" t="s">
        <v>100</v>
      </c>
      <c r="M397" s="4"/>
      <c r="N397" s="4"/>
      <c r="O397" s="4"/>
      <c r="P397" s="4"/>
      <c r="Q397" s="4"/>
      <c r="R397" s="4"/>
      <c r="S397" s="13" t="n">
        <v>0</v>
      </c>
      <c r="T397" s="4" t="s">
        <v>173</v>
      </c>
      <c r="U397" s="14" t="n">
        <f aca="false">IF(OR($S397="",PARAMETROS!$B$4=""),"",$S397*PARAMETROS!$B$4)</f>
        <v>0</v>
      </c>
      <c r="V397" s="13" t="n">
        <v>0</v>
      </c>
      <c r="W397" s="4"/>
      <c r="X397" s="4"/>
      <c r="Y397" s="4"/>
      <c r="Z397" s="4"/>
      <c r="AA397" s="4"/>
      <c r="AB397" s="4"/>
      <c r="AC397" s="4"/>
      <c r="AD397" s="4"/>
      <c r="AE397" s="4"/>
      <c r="AF397" s="4"/>
      <c r="AG397" s="4"/>
      <c r="AH397" s="4"/>
      <c r="AI397" s="4"/>
      <c r="AJ397" s="4"/>
      <c r="AK397" s="4"/>
      <c r="AL397" s="4" t="s">
        <v>174</v>
      </c>
      <c r="AM397" s="4" t="s">
        <v>205</v>
      </c>
    </row>
    <row r="398" customFormat="false" ht="23.85" hidden="false" customHeight="false" outlineLevel="0" collapsed="false">
      <c r="A398" s="4" t="s">
        <v>167</v>
      </c>
      <c r="B398" s="4" t="s">
        <v>573</v>
      </c>
      <c r="C398" s="4" t="s">
        <v>573</v>
      </c>
      <c r="D398" s="12" t="n">
        <v>2019</v>
      </c>
      <c r="E398" s="4"/>
      <c r="F398" s="4" t="s">
        <v>169</v>
      </c>
      <c r="G398" s="4" t="s">
        <v>170</v>
      </c>
      <c r="H398" s="4" t="s">
        <v>171</v>
      </c>
      <c r="I398" s="4" t="s">
        <v>172</v>
      </c>
      <c r="J398" s="4" t="s">
        <v>573</v>
      </c>
      <c r="K398" s="4" t="s">
        <v>99</v>
      </c>
      <c r="L398" s="4" t="s">
        <v>100</v>
      </c>
      <c r="M398" s="4"/>
      <c r="N398" s="4"/>
      <c r="O398" s="4"/>
      <c r="P398" s="4"/>
      <c r="Q398" s="4"/>
      <c r="R398" s="4"/>
      <c r="S398" s="13" t="n">
        <v>0</v>
      </c>
      <c r="T398" s="4" t="s">
        <v>173</v>
      </c>
      <c r="U398" s="14" t="n">
        <f aca="false">IF(OR($S398="",PARAMETROS!$B$4=""),"",$S398*PARAMETROS!$B$4)</f>
        <v>0</v>
      </c>
      <c r="V398" s="13" t="n">
        <v>0</v>
      </c>
      <c r="W398" s="4"/>
      <c r="X398" s="4"/>
      <c r="Y398" s="4"/>
      <c r="Z398" s="4"/>
      <c r="AA398" s="4"/>
      <c r="AB398" s="4"/>
      <c r="AC398" s="4"/>
      <c r="AD398" s="4"/>
      <c r="AE398" s="4"/>
      <c r="AF398" s="4"/>
      <c r="AG398" s="4"/>
      <c r="AH398" s="4"/>
      <c r="AI398" s="4"/>
      <c r="AJ398" s="4"/>
      <c r="AK398" s="4"/>
      <c r="AL398" s="4" t="s">
        <v>174</v>
      </c>
      <c r="AM398" s="4" t="s">
        <v>205</v>
      </c>
    </row>
    <row r="399" customFormat="false" ht="23.85" hidden="false" customHeight="false" outlineLevel="0" collapsed="false">
      <c r="A399" s="4" t="s">
        <v>167</v>
      </c>
      <c r="B399" s="4" t="s">
        <v>574</v>
      </c>
      <c r="C399" s="4" t="s">
        <v>574</v>
      </c>
      <c r="D399" s="12" t="n">
        <v>2019</v>
      </c>
      <c r="E399" s="4"/>
      <c r="F399" s="4" t="s">
        <v>169</v>
      </c>
      <c r="G399" s="4" t="s">
        <v>170</v>
      </c>
      <c r="H399" s="4" t="s">
        <v>171</v>
      </c>
      <c r="I399" s="4" t="s">
        <v>172</v>
      </c>
      <c r="J399" s="4" t="s">
        <v>574</v>
      </c>
      <c r="K399" s="4" t="s">
        <v>99</v>
      </c>
      <c r="L399" s="4" t="s">
        <v>100</v>
      </c>
      <c r="M399" s="4"/>
      <c r="N399" s="4"/>
      <c r="O399" s="4"/>
      <c r="P399" s="4"/>
      <c r="Q399" s="4"/>
      <c r="R399" s="4"/>
      <c r="S399" s="13" t="n">
        <v>7915.54</v>
      </c>
      <c r="T399" s="4" t="s">
        <v>173</v>
      </c>
      <c r="U399" s="14" t="n">
        <f aca="false">IF(OR($S399="",PARAMETROS!$B$4=""),"",$S399*PARAMETROS!$B$4)</f>
        <v>45989.2874</v>
      </c>
      <c r="V399" s="13" t="n">
        <v>0</v>
      </c>
      <c r="W399" s="4"/>
      <c r="X399" s="4"/>
      <c r="Y399" s="4"/>
      <c r="Z399" s="4"/>
      <c r="AA399" s="4"/>
      <c r="AB399" s="4"/>
      <c r="AC399" s="4"/>
      <c r="AD399" s="4"/>
      <c r="AE399" s="4"/>
      <c r="AF399" s="4"/>
      <c r="AG399" s="4"/>
      <c r="AH399" s="4"/>
      <c r="AI399" s="4"/>
      <c r="AJ399" s="4"/>
      <c r="AK399" s="4"/>
      <c r="AL399" s="4" t="s">
        <v>174</v>
      </c>
      <c r="AM399" s="4" t="s">
        <v>205</v>
      </c>
    </row>
    <row r="400" customFormat="false" ht="23.85" hidden="false" customHeight="false" outlineLevel="0" collapsed="false">
      <c r="A400" s="4" t="s">
        <v>167</v>
      </c>
      <c r="B400" s="4" t="s">
        <v>575</v>
      </c>
      <c r="C400" s="4" t="s">
        <v>575</v>
      </c>
      <c r="D400" s="12" t="n">
        <v>2019</v>
      </c>
      <c r="E400" s="4"/>
      <c r="F400" s="4" t="s">
        <v>169</v>
      </c>
      <c r="G400" s="4" t="s">
        <v>170</v>
      </c>
      <c r="H400" s="4" t="s">
        <v>171</v>
      </c>
      <c r="I400" s="4" t="s">
        <v>172</v>
      </c>
      <c r="J400" s="4" t="s">
        <v>575</v>
      </c>
      <c r="K400" s="4" t="s">
        <v>99</v>
      </c>
      <c r="L400" s="4" t="s">
        <v>100</v>
      </c>
      <c r="M400" s="4"/>
      <c r="N400" s="4"/>
      <c r="O400" s="4"/>
      <c r="P400" s="4"/>
      <c r="Q400" s="4"/>
      <c r="R400" s="4"/>
      <c r="S400" s="13" t="n">
        <v>810.44</v>
      </c>
      <c r="T400" s="4" t="s">
        <v>173</v>
      </c>
      <c r="U400" s="14" t="n">
        <f aca="false">IF(OR($S400="",PARAMETROS!$B$4=""),"",$S400*PARAMETROS!$B$4)</f>
        <v>4708.6564</v>
      </c>
      <c r="V400" s="13" t="n">
        <v>0</v>
      </c>
      <c r="W400" s="4"/>
      <c r="X400" s="4"/>
      <c r="Y400" s="4"/>
      <c r="Z400" s="4"/>
      <c r="AA400" s="4"/>
      <c r="AB400" s="4"/>
      <c r="AC400" s="4"/>
      <c r="AD400" s="4"/>
      <c r="AE400" s="4"/>
      <c r="AF400" s="4"/>
      <c r="AG400" s="4"/>
      <c r="AH400" s="4"/>
      <c r="AI400" s="4"/>
      <c r="AJ400" s="4"/>
      <c r="AK400" s="4"/>
      <c r="AL400" s="4" t="s">
        <v>174</v>
      </c>
      <c r="AM400" s="4" t="s">
        <v>205</v>
      </c>
    </row>
    <row r="401" customFormat="false" ht="23.85" hidden="false" customHeight="false" outlineLevel="0" collapsed="false">
      <c r="A401" s="4" t="s">
        <v>167</v>
      </c>
      <c r="B401" s="4" t="s">
        <v>576</v>
      </c>
      <c r="C401" s="4" t="s">
        <v>576</v>
      </c>
      <c r="D401" s="12" t="n">
        <v>2019</v>
      </c>
      <c r="E401" s="4"/>
      <c r="F401" s="4" t="s">
        <v>169</v>
      </c>
      <c r="G401" s="4" t="s">
        <v>170</v>
      </c>
      <c r="H401" s="4" t="s">
        <v>171</v>
      </c>
      <c r="I401" s="4" t="s">
        <v>172</v>
      </c>
      <c r="J401" s="4" t="s">
        <v>576</v>
      </c>
      <c r="K401" s="4" t="s">
        <v>99</v>
      </c>
      <c r="L401" s="4" t="s">
        <v>100</v>
      </c>
      <c r="M401" s="4"/>
      <c r="N401" s="4"/>
      <c r="O401" s="4"/>
      <c r="P401" s="4"/>
      <c r="Q401" s="4"/>
      <c r="R401" s="4"/>
      <c r="S401" s="13" t="n">
        <v>487.38</v>
      </c>
      <c r="T401" s="4" t="s">
        <v>173</v>
      </c>
      <c r="U401" s="14" t="n">
        <f aca="false">IF(OR($S401="",PARAMETROS!$B$4=""),"",$S401*PARAMETROS!$B$4)</f>
        <v>2831.6778</v>
      </c>
      <c r="V401" s="13" t="n">
        <v>0</v>
      </c>
      <c r="W401" s="4"/>
      <c r="X401" s="4"/>
      <c r="Y401" s="4"/>
      <c r="Z401" s="4"/>
      <c r="AA401" s="4"/>
      <c r="AB401" s="4"/>
      <c r="AC401" s="4"/>
      <c r="AD401" s="4"/>
      <c r="AE401" s="4"/>
      <c r="AF401" s="4"/>
      <c r="AG401" s="4"/>
      <c r="AH401" s="4"/>
      <c r="AI401" s="4"/>
      <c r="AJ401" s="4"/>
      <c r="AK401" s="4"/>
      <c r="AL401" s="4" t="s">
        <v>174</v>
      </c>
      <c r="AM401" s="4" t="s">
        <v>205</v>
      </c>
    </row>
    <row r="402" customFormat="false" ht="23.85" hidden="false" customHeight="false" outlineLevel="0" collapsed="false">
      <c r="A402" s="4" t="s">
        <v>167</v>
      </c>
      <c r="B402" s="4" t="s">
        <v>577</v>
      </c>
      <c r="C402" s="4" t="s">
        <v>577</v>
      </c>
      <c r="D402" s="12" t="n">
        <v>2019</v>
      </c>
      <c r="E402" s="4"/>
      <c r="F402" s="4" t="s">
        <v>169</v>
      </c>
      <c r="G402" s="4" t="s">
        <v>170</v>
      </c>
      <c r="H402" s="4" t="s">
        <v>171</v>
      </c>
      <c r="I402" s="4" t="s">
        <v>172</v>
      </c>
      <c r="J402" s="4" t="s">
        <v>577</v>
      </c>
      <c r="K402" s="4" t="s">
        <v>99</v>
      </c>
      <c r="L402" s="4" t="s">
        <v>100</v>
      </c>
      <c r="M402" s="4"/>
      <c r="N402" s="4"/>
      <c r="O402" s="4"/>
      <c r="P402" s="4"/>
      <c r="Q402" s="4"/>
      <c r="R402" s="4"/>
      <c r="S402" s="13" t="n">
        <v>0</v>
      </c>
      <c r="T402" s="4" t="s">
        <v>173</v>
      </c>
      <c r="U402" s="14" t="n">
        <f aca="false">IF(OR($S402="",PARAMETROS!$B$4=""),"",$S402*PARAMETROS!$B$4)</f>
        <v>0</v>
      </c>
      <c r="V402" s="13" t="n">
        <v>0</v>
      </c>
      <c r="W402" s="4"/>
      <c r="X402" s="4"/>
      <c r="Y402" s="4"/>
      <c r="Z402" s="4"/>
      <c r="AA402" s="4"/>
      <c r="AB402" s="4"/>
      <c r="AC402" s="4"/>
      <c r="AD402" s="4"/>
      <c r="AE402" s="4"/>
      <c r="AF402" s="4"/>
      <c r="AG402" s="4"/>
      <c r="AH402" s="4"/>
      <c r="AI402" s="4"/>
      <c r="AJ402" s="4"/>
      <c r="AK402" s="4"/>
      <c r="AL402" s="4" t="s">
        <v>174</v>
      </c>
      <c r="AM402" s="4" t="s">
        <v>205</v>
      </c>
    </row>
    <row r="403" customFormat="false" ht="23.85" hidden="false" customHeight="false" outlineLevel="0" collapsed="false">
      <c r="A403" s="4" t="s">
        <v>167</v>
      </c>
      <c r="B403" s="4" t="s">
        <v>578</v>
      </c>
      <c r="C403" s="4" t="s">
        <v>578</v>
      </c>
      <c r="D403" s="12" t="n">
        <v>2019</v>
      </c>
      <c r="E403" s="4"/>
      <c r="F403" s="4" t="s">
        <v>169</v>
      </c>
      <c r="G403" s="4" t="s">
        <v>170</v>
      </c>
      <c r="H403" s="4" t="s">
        <v>171</v>
      </c>
      <c r="I403" s="4" t="s">
        <v>172</v>
      </c>
      <c r="J403" s="4" t="s">
        <v>578</v>
      </c>
      <c r="K403" s="4" t="s">
        <v>99</v>
      </c>
      <c r="L403" s="4" t="s">
        <v>100</v>
      </c>
      <c r="M403" s="4"/>
      <c r="N403" s="4"/>
      <c r="O403" s="4"/>
      <c r="P403" s="4"/>
      <c r="Q403" s="4"/>
      <c r="R403" s="4"/>
      <c r="S403" s="13" t="n">
        <v>2321.37</v>
      </c>
      <c r="T403" s="4" t="s">
        <v>173</v>
      </c>
      <c r="U403" s="14" t="n">
        <f aca="false">IF(OR($S403="",PARAMETROS!$B$4=""),"",$S403*PARAMETROS!$B$4)</f>
        <v>13487.1597</v>
      </c>
      <c r="V403" s="13" t="n">
        <v>0</v>
      </c>
      <c r="W403" s="4"/>
      <c r="X403" s="4"/>
      <c r="Y403" s="4"/>
      <c r="Z403" s="4"/>
      <c r="AA403" s="4"/>
      <c r="AB403" s="4"/>
      <c r="AC403" s="4"/>
      <c r="AD403" s="4"/>
      <c r="AE403" s="4"/>
      <c r="AF403" s="4"/>
      <c r="AG403" s="4"/>
      <c r="AH403" s="4"/>
      <c r="AI403" s="4"/>
      <c r="AJ403" s="4"/>
      <c r="AK403" s="4"/>
      <c r="AL403" s="4" t="s">
        <v>174</v>
      </c>
      <c r="AM403" s="4" t="s">
        <v>205</v>
      </c>
    </row>
    <row r="404" customFormat="false" ht="23.85" hidden="false" customHeight="false" outlineLevel="0" collapsed="false">
      <c r="A404" s="4" t="s">
        <v>167</v>
      </c>
      <c r="B404" s="4" t="s">
        <v>579</v>
      </c>
      <c r="C404" s="4" t="s">
        <v>579</v>
      </c>
      <c r="D404" s="12" t="n">
        <v>2019</v>
      </c>
      <c r="E404" s="4"/>
      <c r="F404" s="4" t="s">
        <v>169</v>
      </c>
      <c r="G404" s="4" t="s">
        <v>170</v>
      </c>
      <c r="H404" s="4" t="s">
        <v>171</v>
      </c>
      <c r="I404" s="4" t="s">
        <v>172</v>
      </c>
      <c r="J404" s="4" t="s">
        <v>579</v>
      </c>
      <c r="K404" s="4" t="s">
        <v>99</v>
      </c>
      <c r="L404" s="4" t="s">
        <v>100</v>
      </c>
      <c r="M404" s="4"/>
      <c r="N404" s="4"/>
      <c r="O404" s="4"/>
      <c r="P404" s="4"/>
      <c r="Q404" s="4"/>
      <c r="R404" s="4"/>
      <c r="S404" s="13" t="n">
        <v>1795</v>
      </c>
      <c r="T404" s="4" t="s">
        <v>173</v>
      </c>
      <c r="U404" s="14" t="n">
        <f aca="false">IF(OR($S404="",PARAMETROS!$B$4=""),"",$S404*PARAMETROS!$B$4)</f>
        <v>10428.95</v>
      </c>
      <c r="V404" s="13" t="n">
        <v>0</v>
      </c>
      <c r="W404" s="4"/>
      <c r="X404" s="4"/>
      <c r="Y404" s="4"/>
      <c r="Z404" s="4"/>
      <c r="AA404" s="4"/>
      <c r="AB404" s="4"/>
      <c r="AC404" s="4"/>
      <c r="AD404" s="4"/>
      <c r="AE404" s="4"/>
      <c r="AF404" s="4"/>
      <c r="AG404" s="4"/>
      <c r="AH404" s="4"/>
      <c r="AI404" s="4"/>
      <c r="AJ404" s="4"/>
      <c r="AK404" s="4"/>
      <c r="AL404" s="4" t="s">
        <v>174</v>
      </c>
      <c r="AM404" s="4" t="s">
        <v>205</v>
      </c>
    </row>
    <row r="405" customFormat="false" ht="23.85" hidden="false" customHeight="false" outlineLevel="0" collapsed="false">
      <c r="A405" s="4" t="s">
        <v>167</v>
      </c>
      <c r="B405" s="4" t="s">
        <v>580</v>
      </c>
      <c r="C405" s="4" t="s">
        <v>580</v>
      </c>
      <c r="D405" s="12" t="n">
        <v>2019</v>
      </c>
      <c r="E405" s="4"/>
      <c r="F405" s="4" t="s">
        <v>169</v>
      </c>
      <c r="G405" s="4" t="s">
        <v>170</v>
      </c>
      <c r="H405" s="4" t="s">
        <v>171</v>
      </c>
      <c r="I405" s="4" t="s">
        <v>172</v>
      </c>
      <c r="J405" s="4" t="s">
        <v>580</v>
      </c>
      <c r="K405" s="4" t="s">
        <v>99</v>
      </c>
      <c r="L405" s="4" t="s">
        <v>100</v>
      </c>
      <c r="M405" s="4"/>
      <c r="N405" s="4"/>
      <c r="O405" s="4"/>
      <c r="P405" s="4"/>
      <c r="Q405" s="4"/>
      <c r="R405" s="4"/>
      <c r="S405" s="13" t="n">
        <v>2488.78</v>
      </c>
      <c r="T405" s="4" t="s">
        <v>173</v>
      </c>
      <c r="U405" s="14" t="n">
        <f aca="false">IF(OR($S405="",PARAMETROS!$B$4=""),"",$S405*PARAMETROS!$B$4)</f>
        <v>14459.8118</v>
      </c>
      <c r="V405" s="13" t="n">
        <v>0</v>
      </c>
      <c r="W405" s="4"/>
      <c r="X405" s="4"/>
      <c r="Y405" s="4"/>
      <c r="Z405" s="4"/>
      <c r="AA405" s="4"/>
      <c r="AB405" s="4"/>
      <c r="AC405" s="4"/>
      <c r="AD405" s="4"/>
      <c r="AE405" s="4"/>
      <c r="AF405" s="4"/>
      <c r="AG405" s="4"/>
      <c r="AH405" s="4"/>
      <c r="AI405" s="4"/>
      <c r="AJ405" s="4"/>
      <c r="AK405" s="4"/>
      <c r="AL405" s="4" t="s">
        <v>174</v>
      </c>
      <c r="AM405" s="4" t="s">
        <v>205</v>
      </c>
    </row>
    <row r="406" customFormat="false" ht="23.85" hidden="false" customHeight="false" outlineLevel="0" collapsed="false">
      <c r="A406" s="4" t="s">
        <v>167</v>
      </c>
      <c r="B406" s="4" t="s">
        <v>581</v>
      </c>
      <c r="C406" s="4" t="s">
        <v>581</v>
      </c>
      <c r="D406" s="12" t="n">
        <v>2019</v>
      </c>
      <c r="E406" s="4"/>
      <c r="F406" s="4" t="s">
        <v>169</v>
      </c>
      <c r="G406" s="4" t="s">
        <v>170</v>
      </c>
      <c r="H406" s="4" t="s">
        <v>171</v>
      </c>
      <c r="I406" s="4" t="s">
        <v>172</v>
      </c>
      <c r="J406" s="4" t="s">
        <v>581</v>
      </c>
      <c r="K406" s="4" t="s">
        <v>99</v>
      </c>
      <c r="L406" s="4" t="s">
        <v>100</v>
      </c>
      <c r="M406" s="4"/>
      <c r="N406" s="4"/>
      <c r="O406" s="4"/>
      <c r="P406" s="4"/>
      <c r="Q406" s="4"/>
      <c r="R406" s="4"/>
      <c r="S406" s="13" t="n">
        <v>0</v>
      </c>
      <c r="T406" s="4" t="s">
        <v>173</v>
      </c>
      <c r="U406" s="14" t="n">
        <f aca="false">IF(OR($S406="",PARAMETROS!$B$4=""),"",$S406*PARAMETROS!$B$4)</f>
        <v>0</v>
      </c>
      <c r="V406" s="13" t="n">
        <v>0</v>
      </c>
      <c r="W406" s="4"/>
      <c r="X406" s="4"/>
      <c r="Y406" s="4"/>
      <c r="Z406" s="4"/>
      <c r="AA406" s="4"/>
      <c r="AB406" s="4"/>
      <c r="AC406" s="4"/>
      <c r="AD406" s="4"/>
      <c r="AE406" s="4"/>
      <c r="AF406" s="4"/>
      <c r="AG406" s="4"/>
      <c r="AH406" s="4"/>
      <c r="AI406" s="4"/>
      <c r="AJ406" s="4"/>
      <c r="AK406" s="4"/>
      <c r="AL406" s="4" t="s">
        <v>174</v>
      </c>
      <c r="AM406" s="4" t="s">
        <v>205</v>
      </c>
    </row>
    <row r="407" customFormat="false" ht="23.85" hidden="false" customHeight="false" outlineLevel="0" collapsed="false">
      <c r="A407" s="4" t="s">
        <v>167</v>
      </c>
      <c r="B407" s="4" t="s">
        <v>582</v>
      </c>
      <c r="C407" s="4" t="s">
        <v>582</v>
      </c>
      <c r="D407" s="12" t="n">
        <v>2019</v>
      </c>
      <c r="E407" s="4"/>
      <c r="F407" s="4" t="s">
        <v>169</v>
      </c>
      <c r="G407" s="4" t="s">
        <v>170</v>
      </c>
      <c r="H407" s="4" t="s">
        <v>171</v>
      </c>
      <c r="I407" s="4" t="s">
        <v>172</v>
      </c>
      <c r="J407" s="4" t="s">
        <v>582</v>
      </c>
      <c r="K407" s="4" t="s">
        <v>99</v>
      </c>
      <c r="L407" s="4" t="s">
        <v>100</v>
      </c>
      <c r="M407" s="4"/>
      <c r="N407" s="4"/>
      <c r="O407" s="4"/>
      <c r="P407" s="4"/>
      <c r="Q407" s="4"/>
      <c r="R407" s="4"/>
      <c r="S407" s="13" t="n">
        <v>983.19</v>
      </c>
      <c r="T407" s="4" t="s">
        <v>173</v>
      </c>
      <c r="U407" s="14" t="n">
        <f aca="false">IF(OR($S407="",PARAMETROS!$B$4=""),"",$S407*PARAMETROS!$B$4)</f>
        <v>5712.3339</v>
      </c>
      <c r="V407" s="13" t="n">
        <v>0</v>
      </c>
      <c r="W407" s="4"/>
      <c r="X407" s="4"/>
      <c r="Y407" s="4"/>
      <c r="Z407" s="4"/>
      <c r="AA407" s="4"/>
      <c r="AB407" s="4"/>
      <c r="AC407" s="4"/>
      <c r="AD407" s="4"/>
      <c r="AE407" s="4"/>
      <c r="AF407" s="4"/>
      <c r="AG407" s="4"/>
      <c r="AH407" s="4"/>
      <c r="AI407" s="4"/>
      <c r="AJ407" s="4"/>
      <c r="AK407" s="4"/>
      <c r="AL407" s="4" t="s">
        <v>174</v>
      </c>
      <c r="AM407" s="4" t="s">
        <v>205</v>
      </c>
    </row>
    <row r="408" customFormat="false" ht="23.85" hidden="false" customHeight="false" outlineLevel="0" collapsed="false">
      <c r="A408" s="4" t="s">
        <v>167</v>
      </c>
      <c r="B408" s="4" t="s">
        <v>583</v>
      </c>
      <c r="C408" s="4" t="s">
        <v>583</v>
      </c>
      <c r="D408" s="12" t="n">
        <v>2019</v>
      </c>
      <c r="E408" s="4"/>
      <c r="F408" s="4" t="s">
        <v>169</v>
      </c>
      <c r="G408" s="4" t="s">
        <v>170</v>
      </c>
      <c r="H408" s="4" t="s">
        <v>171</v>
      </c>
      <c r="I408" s="4" t="s">
        <v>172</v>
      </c>
      <c r="J408" s="4" t="s">
        <v>583</v>
      </c>
      <c r="K408" s="4" t="s">
        <v>101</v>
      </c>
      <c r="L408" s="4" t="s">
        <v>102</v>
      </c>
      <c r="M408" s="4"/>
      <c r="N408" s="4"/>
      <c r="O408" s="4"/>
      <c r="P408" s="4"/>
      <c r="Q408" s="4"/>
      <c r="R408" s="4"/>
      <c r="S408" s="13" t="n">
        <v>0</v>
      </c>
      <c r="T408" s="4" t="s">
        <v>173</v>
      </c>
      <c r="U408" s="14" t="n">
        <f aca="false">IF(OR($S408="",PARAMETROS!$B$4=""),"",$S408*PARAMETROS!$B$4)</f>
        <v>0</v>
      </c>
      <c r="V408" s="13" t="n">
        <v>0</v>
      </c>
      <c r="W408" s="4"/>
      <c r="X408" s="4"/>
      <c r="Y408" s="4"/>
      <c r="Z408" s="4"/>
      <c r="AA408" s="4"/>
      <c r="AB408" s="4"/>
      <c r="AC408" s="4"/>
      <c r="AD408" s="4"/>
      <c r="AE408" s="4"/>
      <c r="AF408" s="4"/>
      <c r="AG408" s="4"/>
      <c r="AH408" s="4"/>
      <c r="AI408" s="4"/>
      <c r="AJ408" s="4"/>
      <c r="AK408" s="4"/>
      <c r="AL408" s="4" t="s">
        <v>174</v>
      </c>
      <c r="AM408" s="4" t="s">
        <v>205</v>
      </c>
    </row>
    <row r="409" customFormat="false" ht="23.85" hidden="false" customHeight="false" outlineLevel="0" collapsed="false">
      <c r="A409" s="4" t="s">
        <v>167</v>
      </c>
      <c r="B409" s="4" t="s">
        <v>584</v>
      </c>
      <c r="C409" s="4" t="s">
        <v>584</v>
      </c>
      <c r="D409" s="12" t="n">
        <v>2019</v>
      </c>
      <c r="E409" s="4"/>
      <c r="F409" s="4" t="s">
        <v>169</v>
      </c>
      <c r="G409" s="4" t="s">
        <v>170</v>
      </c>
      <c r="H409" s="4" t="s">
        <v>171</v>
      </c>
      <c r="I409" s="4" t="s">
        <v>172</v>
      </c>
      <c r="J409" s="4" t="s">
        <v>584</v>
      </c>
      <c r="K409" s="4" t="s">
        <v>101</v>
      </c>
      <c r="L409" s="4" t="s">
        <v>102</v>
      </c>
      <c r="M409" s="4"/>
      <c r="N409" s="4"/>
      <c r="O409" s="4"/>
      <c r="P409" s="4"/>
      <c r="Q409" s="4"/>
      <c r="R409" s="4"/>
      <c r="S409" s="13" t="n">
        <v>1865.5</v>
      </c>
      <c r="T409" s="4" t="s">
        <v>173</v>
      </c>
      <c r="U409" s="14" t="n">
        <f aca="false">IF(OR($S409="",PARAMETROS!$B$4=""),"",$S409*PARAMETROS!$B$4)</f>
        <v>10838.555</v>
      </c>
      <c r="V409" s="13" t="n">
        <v>0</v>
      </c>
      <c r="W409" s="4"/>
      <c r="X409" s="4"/>
      <c r="Y409" s="4"/>
      <c r="Z409" s="4"/>
      <c r="AA409" s="4"/>
      <c r="AB409" s="4"/>
      <c r="AC409" s="4"/>
      <c r="AD409" s="4"/>
      <c r="AE409" s="4"/>
      <c r="AF409" s="4"/>
      <c r="AG409" s="4"/>
      <c r="AH409" s="4"/>
      <c r="AI409" s="4"/>
      <c r="AJ409" s="4"/>
      <c r="AK409" s="4"/>
      <c r="AL409" s="4" t="s">
        <v>174</v>
      </c>
      <c r="AM409" s="4" t="s">
        <v>205</v>
      </c>
    </row>
    <row r="410" customFormat="false" ht="23.85" hidden="false" customHeight="false" outlineLevel="0" collapsed="false">
      <c r="A410" s="4" t="s">
        <v>167</v>
      </c>
      <c r="B410" s="4" t="s">
        <v>585</v>
      </c>
      <c r="C410" s="4" t="s">
        <v>585</v>
      </c>
      <c r="D410" s="12" t="n">
        <v>2019</v>
      </c>
      <c r="E410" s="4"/>
      <c r="F410" s="4" t="s">
        <v>169</v>
      </c>
      <c r="G410" s="4" t="s">
        <v>170</v>
      </c>
      <c r="H410" s="4" t="s">
        <v>171</v>
      </c>
      <c r="I410" s="4" t="s">
        <v>172</v>
      </c>
      <c r="J410" s="4" t="s">
        <v>585</v>
      </c>
      <c r="K410" s="4" t="s">
        <v>101</v>
      </c>
      <c r="L410" s="4" t="s">
        <v>102</v>
      </c>
      <c r="M410" s="4"/>
      <c r="N410" s="4"/>
      <c r="O410" s="4"/>
      <c r="P410" s="4"/>
      <c r="Q410" s="4"/>
      <c r="R410" s="4"/>
      <c r="S410" s="13" t="n">
        <v>116.81</v>
      </c>
      <c r="T410" s="4" t="s">
        <v>173</v>
      </c>
      <c r="U410" s="14" t="n">
        <f aca="false">IF(OR($S410="",PARAMETROS!$B$4=""),"",$S410*PARAMETROS!$B$4)</f>
        <v>678.6661</v>
      </c>
      <c r="V410" s="13" t="n">
        <v>0</v>
      </c>
      <c r="W410" s="4"/>
      <c r="X410" s="4"/>
      <c r="Y410" s="4"/>
      <c r="Z410" s="4"/>
      <c r="AA410" s="4"/>
      <c r="AB410" s="4"/>
      <c r="AC410" s="4"/>
      <c r="AD410" s="4"/>
      <c r="AE410" s="4"/>
      <c r="AF410" s="4"/>
      <c r="AG410" s="4"/>
      <c r="AH410" s="4"/>
      <c r="AI410" s="4"/>
      <c r="AJ410" s="4"/>
      <c r="AK410" s="4"/>
      <c r="AL410" s="4" t="s">
        <v>174</v>
      </c>
      <c r="AM410" s="4" t="s">
        <v>205</v>
      </c>
    </row>
    <row r="411" customFormat="false" ht="23.85" hidden="false" customHeight="false" outlineLevel="0" collapsed="false">
      <c r="A411" s="4" t="s">
        <v>167</v>
      </c>
      <c r="B411" s="4" t="s">
        <v>586</v>
      </c>
      <c r="C411" s="4" t="s">
        <v>586</v>
      </c>
      <c r="D411" s="12" t="n">
        <v>2019</v>
      </c>
      <c r="E411" s="4"/>
      <c r="F411" s="4" t="s">
        <v>169</v>
      </c>
      <c r="G411" s="4" t="s">
        <v>170</v>
      </c>
      <c r="H411" s="4" t="s">
        <v>171</v>
      </c>
      <c r="I411" s="4" t="s">
        <v>172</v>
      </c>
      <c r="J411" s="4" t="s">
        <v>586</v>
      </c>
      <c r="K411" s="4" t="s">
        <v>101</v>
      </c>
      <c r="L411" s="4" t="s">
        <v>102</v>
      </c>
      <c r="M411" s="4"/>
      <c r="N411" s="4"/>
      <c r="O411" s="4"/>
      <c r="P411" s="4"/>
      <c r="Q411" s="4"/>
      <c r="R411" s="4"/>
      <c r="S411" s="13" t="n">
        <v>-15.09</v>
      </c>
      <c r="T411" s="4" t="s">
        <v>173</v>
      </c>
      <c r="U411" s="14" t="n">
        <f aca="false">IF(OR($S411="",PARAMETROS!$B$4=""),"",$S411*PARAMETROS!$B$4)</f>
        <v>-87.6729</v>
      </c>
      <c r="V411" s="13" t="n">
        <v>0</v>
      </c>
      <c r="W411" s="4"/>
      <c r="X411" s="4"/>
      <c r="Y411" s="4"/>
      <c r="Z411" s="4"/>
      <c r="AA411" s="4"/>
      <c r="AB411" s="4"/>
      <c r="AC411" s="4"/>
      <c r="AD411" s="4"/>
      <c r="AE411" s="4"/>
      <c r="AF411" s="4"/>
      <c r="AG411" s="4"/>
      <c r="AH411" s="4"/>
      <c r="AI411" s="4"/>
      <c r="AJ411" s="4"/>
      <c r="AK411" s="4"/>
      <c r="AL411" s="4" t="s">
        <v>174</v>
      </c>
      <c r="AM411" s="4" t="s">
        <v>205</v>
      </c>
    </row>
    <row r="412" customFormat="false" ht="23.85" hidden="false" customHeight="false" outlineLevel="0" collapsed="false">
      <c r="A412" s="4" t="s">
        <v>167</v>
      </c>
      <c r="B412" s="4" t="s">
        <v>587</v>
      </c>
      <c r="C412" s="4" t="s">
        <v>587</v>
      </c>
      <c r="D412" s="12" t="n">
        <v>2019</v>
      </c>
      <c r="E412" s="4"/>
      <c r="F412" s="4" t="s">
        <v>169</v>
      </c>
      <c r="G412" s="4" t="s">
        <v>170</v>
      </c>
      <c r="H412" s="4" t="s">
        <v>171</v>
      </c>
      <c r="I412" s="4" t="s">
        <v>172</v>
      </c>
      <c r="J412" s="4" t="s">
        <v>587</v>
      </c>
      <c r="K412" s="4" t="s">
        <v>101</v>
      </c>
      <c r="L412" s="4" t="s">
        <v>102</v>
      </c>
      <c r="M412" s="4"/>
      <c r="N412" s="4"/>
      <c r="O412" s="4"/>
      <c r="P412" s="4"/>
      <c r="Q412" s="4"/>
      <c r="R412" s="4"/>
      <c r="S412" s="13" t="n">
        <v>0</v>
      </c>
      <c r="T412" s="4" t="s">
        <v>173</v>
      </c>
      <c r="U412" s="14" t="n">
        <f aca="false">IF(OR($S412="",PARAMETROS!$B$4=""),"",$S412*PARAMETROS!$B$4)</f>
        <v>0</v>
      </c>
      <c r="V412" s="13" t="n">
        <v>0</v>
      </c>
      <c r="W412" s="4"/>
      <c r="X412" s="4"/>
      <c r="Y412" s="4"/>
      <c r="Z412" s="4"/>
      <c r="AA412" s="4"/>
      <c r="AB412" s="4"/>
      <c r="AC412" s="4"/>
      <c r="AD412" s="4"/>
      <c r="AE412" s="4"/>
      <c r="AF412" s="4"/>
      <c r="AG412" s="4"/>
      <c r="AH412" s="4"/>
      <c r="AI412" s="4"/>
      <c r="AJ412" s="4"/>
      <c r="AK412" s="4"/>
      <c r="AL412" s="4" t="s">
        <v>174</v>
      </c>
      <c r="AM412" s="4" t="s">
        <v>205</v>
      </c>
    </row>
    <row r="413" customFormat="false" ht="23.85" hidden="false" customHeight="false" outlineLevel="0" collapsed="false">
      <c r="A413" s="4" t="s">
        <v>167</v>
      </c>
      <c r="B413" s="4" t="s">
        <v>588</v>
      </c>
      <c r="C413" s="4" t="s">
        <v>588</v>
      </c>
      <c r="D413" s="12" t="n">
        <v>2019</v>
      </c>
      <c r="E413" s="4"/>
      <c r="F413" s="4" t="s">
        <v>169</v>
      </c>
      <c r="G413" s="4" t="s">
        <v>170</v>
      </c>
      <c r="H413" s="4" t="s">
        <v>171</v>
      </c>
      <c r="I413" s="4" t="s">
        <v>172</v>
      </c>
      <c r="J413" s="4" t="s">
        <v>588</v>
      </c>
      <c r="K413" s="4" t="s">
        <v>101</v>
      </c>
      <c r="L413" s="4" t="s">
        <v>102</v>
      </c>
      <c r="M413" s="4"/>
      <c r="N413" s="4"/>
      <c r="O413" s="4"/>
      <c r="P413" s="4"/>
      <c r="Q413" s="4"/>
      <c r="R413" s="4"/>
      <c r="S413" s="13" t="n">
        <v>-651.18</v>
      </c>
      <c r="T413" s="4" t="s">
        <v>173</v>
      </c>
      <c r="U413" s="14" t="n">
        <f aca="false">IF(OR($S413="",PARAMETROS!$B$4=""),"",$S413*PARAMETROS!$B$4)</f>
        <v>-3783.3558</v>
      </c>
      <c r="V413" s="13" t="n">
        <v>0</v>
      </c>
      <c r="W413" s="4"/>
      <c r="X413" s="4"/>
      <c r="Y413" s="4"/>
      <c r="Z413" s="4"/>
      <c r="AA413" s="4"/>
      <c r="AB413" s="4"/>
      <c r="AC413" s="4"/>
      <c r="AD413" s="4"/>
      <c r="AE413" s="4"/>
      <c r="AF413" s="4"/>
      <c r="AG413" s="4"/>
      <c r="AH413" s="4"/>
      <c r="AI413" s="4"/>
      <c r="AJ413" s="4"/>
      <c r="AK413" s="4"/>
      <c r="AL413" s="4" t="s">
        <v>174</v>
      </c>
      <c r="AM413" s="4" t="s">
        <v>205</v>
      </c>
    </row>
    <row r="414" customFormat="false" ht="23.85" hidden="false" customHeight="false" outlineLevel="0" collapsed="false">
      <c r="A414" s="4" t="s">
        <v>167</v>
      </c>
      <c r="B414" s="4" t="s">
        <v>589</v>
      </c>
      <c r="C414" s="4" t="s">
        <v>589</v>
      </c>
      <c r="D414" s="12" t="n">
        <v>2019</v>
      </c>
      <c r="E414" s="4"/>
      <c r="F414" s="4" t="s">
        <v>169</v>
      </c>
      <c r="G414" s="4" t="s">
        <v>170</v>
      </c>
      <c r="H414" s="4" t="s">
        <v>171</v>
      </c>
      <c r="I414" s="4" t="s">
        <v>172</v>
      </c>
      <c r="J414" s="4" t="s">
        <v>589</v>
      </c>
      <c r="K414" s="4" t="s">
        <v>101</v>
      </c>
      <c r="L414" s="4" t="s">
        <v>102</v>
      </c>
      <c r="M414" s="4"/>
      <c r="N414" s="4"/>
      <c r="O414" s="4"/>
      <c r="P414" s="4"/>
      <c r="Q414" s="4"/>
      <c r="R414" s="4"/>
      <c r="S414" s="13" t="n">
        <v>-71.82</v>
      </c>
      <c r="T414" s="4" t="s">
        <v>173</v>
      </c>
      <c r="U414" s="14" t="n">
        <f aca="false">IF(OR($S414="",PARAMETROS!$B$4=""),"",$S414*PARAMETROS!$B$4)</f>
        <v>-417.2742</v>
      </c>
      <c r="V414" s="13" t="n">
        <v>0</v>
      </c>
      <c r="W414" s="4"/>
      <c r="X414" s="4"/>
      <c r="Y414" s="4"/>
      <c r="Z414" s="4"/>
      <c r="AA414" s="4"/>
      <c r="AB414" s="4"/>
      <c r="AC414" s="4"/>
      <c r="AD414" s="4"/>
      <c r="AE414" s="4"/>
      <c r="AF414" s="4"/>
      <c r="AG414" s="4"/>
      <c r="AH414" s="4"/>
      <c r="AI414" s="4"/>
      <c r="AJ414" s="4"/>
      <c r="AK414" s="4"/>
      <c r="AL414" s="4" t="s">
        <v>174</v>
      </c>
      <c r="AM414" s="4" t="s">
        <v>205</v>
      </c>
    </row>
    <row r="415" customFormat="false" ht="23.85" hidden="false" customHeight="false" outlineLevel="0" collapsed="false">
      <c r="A415" s="4" t="s">
        <v>167</v>
      </c>
      <c r="B415" s="4" t="s">
        <v>590</v>
      </c>
      <c r="C415" s="4" t="s">
        <v>590</v>
      </c>
      <c r="D415" s="12" t="n">
        <v>2019</v>
      </c>
      <c r="E415" s="4"/>
      <c r="F415" s="4" t="s">
        <v>169</v>
      </c>
      <c r="G415" s="4" t="s">
        <v>170</v>
      </c>
      <c r="H415" s="4" t="s">
        <v>171</v>
      </c>
      <c r="I415" s="4" t="s">
        <v>172</v>
      </c>
      <c r="J415" s="4" t="s">
        <v>590</v>
      </c>
      <c r="K415" s="4" t="s">
        <v>101</v>
      </c>
      <c r="L415" s="4" t="s">
        <v>102</v>
      </c>
      <c r="M415" s="4"/>
      <c r="N415" s="4"/>
      <c r="O415" s="4"/>
      <c r="P415" s="4"/>
      <c r="Q415" s="4"/>
      <c r="R415" s="4"/>
      <c r="S415" s="13" t="n">
        <v>0</v>
      </c>
      <c r="T415" s="4" t="s">
        <v>173</v>
      </c>
      <c r="U415" s="14" t="n">
        <f aca="false">IF(OR($S415="",PARAMETROS!$B$4=""),"",$S415*PARAMETROS!$B$4)</f>
        <v>0</v>
      </c>
      <c r="V415" s="13" t="n">
        <v>0</v>
      </c>
      <c r="W415" s="4"/>
      <c r="X415" s="4"/>
      <c r="Y415" s="4"/>
      <c r="Z415" s="4"/>
      <c r="AA415" s="4"/>
      <c r="AB415" s="4"/>
      <c r="AC415" s="4"/>
      <c r="AD415" s="4"/>
      <c r="AE415" s="4"/>
      <c r="AF415" s="4"/>
      <c r="AG415" s="4"/>
      <c r="AH415" s="4"/>
      <c r="AI415" s="4"/>
      <c r="AJ415" s="4"/>
      <c r="AK415" s="4"/>
      <c r="AL415" s="4" t="s">
        <v>174</v>
      </c>
      <c r="AM415" s="4" t="s">
        <v>205</v>
      </c>
    </row>
    <row r="416" customFormat="false" ht="23.85" hidden="false" customHeight="false" outlineLevel="0" collapsed="false">
      <c r="A416" s="4" t="s">
        <v>167</v>
      </c>
      <c r="B416" s="4" t="s">
        <v>591</v>
      </c>
      <c r="C416" s="4" t="s">
        <v>591</v>
      </c>
      <c r="D416" s="12" t="n">
        <v>2019</v>
      </c>
      <c r="E416" s="4"/>
      <c r="F416" s="4" t="s">
        <v>169</v>
      </c>
      <c r="G416" s="4" t="s">
        <v>170</v>
      </c>
      <c r="H416" s="4" t="s">
        <v>171</v>
      </c>
      <c r="I416" s="4" t="s">
        <v>172</v>
      </c>
      <c r="J416" s="4" t="s">
        <v>591</v>
      </c>
      <c r="K416" s="4" t="s">
        <v>101</v>
      </c>
      <c r="L416" s="4" t="s">
        <v>102</v>
      </c>
      <c r="M416" s="4"/>
      <c r="N416" s="4"/>
      <c r="O416" s="4"/>
      <c r="P416" s="4"/>
      <c r="Q416" s="4"/>
      <c r="R416" s="4"/>
      <c r="S416" s="13" t="n">
        <v>0</v>
      </c>
      <c r="T416" s="4" t="s">
        <v>173</v>
      </c>
      <c r="U416" s="14" t="n">
        <f aca="false">IF(OR($S416="",PARAMETROS!$B$4=""),"",$S416*PARAMETROS!$B$4)</f>
        <v>0</v>
      </c>
      <c r="V416" s="13" t="n">
        <v>0</v>
      </c>
      <c r="W416" s="4"/>
      <c r="X416" s="4"/>
      <c r="Y416" s="4"/>
      <c r="Z416" s="4"/>
      <c r="AA416" s="4"/>
      <c r="AB416" s="4"/>
      <c r="AC416" s="4"/>
      <c r="AD416" s="4"/>
      <c r="AE416" s="4"/>
      <c r="AF416" s="4"/>
      <c r="AG416" s="4"/>
      <c r="AH416" s="4"/>
      <c r="AI416" s="4"/>
      <c r="AJ416" s="4"/>
      <c r="AK416" s="4"/>
      <c r="AL416" s="4" t="s">
        <v>174</v>
      </c>
      <c r="AM416" s="4" t="s">
        <v>205</v>
      </c>
    </row>
    <row r="417" customFormat="false" ht="23.85" hidden="false" customHeight="false" outlineLevel="0" collapsed="false">
      <c r="A417" s="4" t="s">
        <v>167</v>
      </c>
      <c r="B417" s="4" t="s">
        <v>592</v>
      </c>
      <c r="C417" s="4" t="s">
        <v>592</v>
      </c>
      <c r="D417" s="12" t="n">
        <v>2019</v>
      </c>
      <c r="E417" s="4"/>
      <c r="F417" s="4" t="s">
        <v>169</v>
      </c>
      <c r="G417" s="4" t="s">
        <v>170</v>
      </c>
      <c r="H417" s="4" t="s">
        <v>171</v>
      </c>
      <c r="I417" s="4" t="s">
        <v>172</v>
      </c>
      <c r="J417" s="4" t="s">
        <v>592</v>
      </c>
      <c r="K417" s="4" t="s">
        <v>101</v>
      </c>
      <c r="L417" s="4" t="s">
        <v>102</v>
      </c>
      <c r="M417" s="4"/>
      <c r="N417" s="4"/>
      <c r="O417" s="4"/>
      <c r="P417" s="4"/>
      <c r="Q417" s="4"/>
      <c r="R417" s="4"/>
      <c r="S417" s="13" t="n">
        <v>0</v>
      </c>
      <c r="T417" s="4" t="s">
        <v>173</v>
      </c>
      <c r="U417" s="14" t="n">
        <f aca="false">IF(OR($S417="",PARAMETROS!$B$4=""),"",$S417*PARAMETROS!$B$4)</f>
        <v>0</v>
      </c>
      <c r="V417" s="13" t="n">
        <v>0</v>
      </c>
      <c r="W417" s="4"/>
      <c r="X417" s="4"/>
      <c r="Y417" s="4"/>
      <c r="Z417" s="4"/>
      <c r="AA417" s="4"/>
      <c r="AB417" s="4"/>
      <c r="AC417" s="4"/>
      <c r="AD417" s="4"/>
      <c r="AE417" s="4"/>
      <c r="AF417" s="4"/>
      <c r="AG417" s="4"/>
      <c r="AH417" s="4"/>
      <c r="AI417" s="4"/>
      <c r="AJ417" s="4"/>
      <c r="AK417" s="4"/>
      <c r="AL417" s="4" t="s">
        <v>174</v>
      </c>
      <c r="AM417" s="4" t="s">
        <v>205</v>
      </c>
    </row>
    <row r="418" customFormat="false" ht="23.85" hidden="false" customHeight="false" outlineLevel="0" collapsed="false">
      <c r="A418" s="4" t="s">
        <v>167</v>
      </c>
      <c r="B418" s="4" t="s">
        <v>593</v>
      </c>
      <c r="C418" s="4" t="s">
        <v>593</v>
      </c>
      <c r="D418" s="12" t="n">
        <v>2019</v>
      </c>
      <c r="E418" s="4"/>
      <c r="F418" s="4" t="s">
        <v>169</v>
      </c>
      <c r="G418" s="4" t="s">
        <v>170</v>
      </c>
      <c r="H418" s="4" t="s">
        <v>171</v>
      </c>
      <c r="I418" s="4" t="s">
        <v>172</v>
      </c>
      <c r="J418" s="4" t="s">
        <v>593</v>
      </c>
      <c r="K418" s="4" t="s">
        <v>101</v>
      </c>
      <c r="L418" s="4" t="s">
        <v>102</v>
      </c>
      <c r="M418" s="4"/>
      <c r="N418" s="4"/>
      <c r="O418" s="4"/>
      <c r="P418" s="4"/>
      <c r="Q418" s="4"/>
      <c r="R418" s="4"/>
      <c r="S418" s="13" t="n">
        <v>0</v>
      </c>
      <c r="T418" s="4" t="s">
        <v>173</v>
      </c>
      <c r="U418" s="14" t="n">
        <f aca="false">IF(OR($S418="",PARAMETROS!$B$4=""),"",$S418*PARAMETROS!$B$4)</f>
        <v>0</v>
      </c>
      <c r="V418" s="13" t="n">
        <v>0</v>
      </c>
      <c r="W418" s="4"/>
      <c r="X418" s="4"/>
      <c r="Y418" s="4"/>
      <c r="Z418" s="4"/>
      <c r="AA418" s="4"/>
      <c r="AB418" s="4"/>
      <c r="AC418" s="4"/>
      <c r="AD418" s="4"/>
      <c r="AE418" s="4"/>
      <c r="AF418" s="4"/>
      <c r="AG418" s="4"/>
      <c r="AH418" s="4"/>
      <c r="AI418" s="4"/>
      <c r="AJ418" s="4"/>
      <c r="AK418" s="4"/>
      <c r="AL418" s="4" t="s">
        <v>174</v>
      </c>
      <c r="AM418" s="4" t="s">
        <v>205</v>
      </c>
    </row>
    <row r="419" customFormat="false" ht="23.85" hidden="false" customHeight="false" outlineLevel="0" collapsed="false">
      <c r="A419" s="4" t="s">
        <v>167</v>
      </c>
      <c r="B419" s="4" t="s">
        <v>594</v>
      </c>
      <c r="C419" s="4" t="s">
        <v>594</v>
      </c>
      <c r="D419" s="12" t="n">
        <v>2019</v>
      </c>
      <c r="E419" s="4"/>
      <c r="F419" s="4" t="s">
        <v>169</v>
      </c>
      <c r="G419" s="4" t="s">
        <v>170</v>
      </c>
      <c r="H419" s="4" t="s">
        <v>171</v>
      </c>
      <c r="I419" s="4" t="s">
        <v>172</v>
      </c>
      <c r="J419" s="4" t="s">
        <v>594</v>
      </c>
      <c r="K419" s="4" t="s">
        <v>101</v>
      </c>
      <c r="L419" s="4" t="s">
        <v>102</v>
      </c>
      <c r="M419" s="4"/>
      <c r="N419" s="4"/>
      <c r="O419" s="4"/>
      <c r="P419" s="4"/>
      <c r="Q419" s="4"/>
      <c r="R419" s="4"/>
      <c r="S419" s="13" t="n">
        <v>1010.6</v>
      </c>
      <c r="T419" s="4" t="s">
        <v>173</v>
      </c>
      <c r="U419" s="14" t="n">
        <f aca="false">IF(OR($S419="",PARAMETROS!$B$4=""),"",$S419*PARAMETROS!$B$4)</f>
        <v>5871.586</v>
      </c>
      <c r="V419" s="13" t="n">
        <v>0</v>
      </c>
      <c r="W419" s="4"/>
      <c r="X419" s="4"/>
      <c r="Y419" s="4"/>
      <c r="Z419" s="4"/>
      <c r="AA419" s="4"/>
      <c r="AB419" s="4"/>
      <c r="AC419" s="4"/>
      <c r="AD419" s="4"/>
      <c r="AE419" s="4"/>
      <c r="AF419" s="4"/>
      <c r="AG419" s="4"/>
      <c r="AH419" s="4"/>
      <c r="AI419" s="4"/>
      <c r="AJ419" s="4"/>
      <c r="AK419" s="4"/>
      <c r="AL419" s="4" t="s">
        <v>174</v>
      </c>
      <c r="AM419" s="4" t="s">
        <v>205</v>
      </c>
    </row>
    <row r="420" customFormat="false" ht="23.85" hidden="false" customHeight="false" outlineLevel="0" collapsed="false">
      <c r="A420" s="4" t="s">
        <v>167</v>
      </c>
      <c r="B420" s="4" t="s">
        <v>595</v>
      </c>
      <c r="C420" s="4" t="s">
        <v>595</v>
      </c>
      <c r="D420" s="12" t="n">
        <v>2019</v>
      </c>
      <c r="E420" s="4"/>
      <c r="F420" s="4" t="s">
        <v>169</v>
      </c>
      <c r="G420" s="4" t="s">
        <v>170</v>
      </c>
      <c r="H420" s="4" t="s">
        <v>171</v>
      </c>
      <c r="I420" s="4" t="s">
        <v>172</v>
      </c>
      <c r="J420" s="4" t="s">
        <v>595</v>
      </c>
      <c r="K420" s="4" t="s">
        <v>101</v>
      </c>
      <c r="L420" s="4" t="s">
        <v>102</v>
      </c>
      <c r="M420" s="4"/>
      <c r="N420" s="4"/>
      <c r="O420" s="4"/>
      <c r="P420" s="4"/>
      <c r="Q420" s="4"/>
      <c r="R420" s="4"/>
      <c r="S420" s="13" t="n">
        <v>0</v>
      </c>
      <c r="T420" s="4" t="s">
        <v>173</v>
      </c>
      <c r="U420" s="14" t="n">
        <f aca="false">IF(OR($S420="",PARAMETROS!$B$4=""),"",$S420*PARAMETROS!$B$4)</f>
        <v>0</v>
      </c>
      <c r="V420" s="13" t="n">
        <v>0</v>
      </c>
      <c r="W420" s="4"/>
      <c r="X420" s="4"/>
      <c r="Y420" s="4"/>
      <c r="Z420" s="4"/>
      <c r="AA420" s="4"/>
      <c r="AB420" s="4"/>
      <c r="AC420" s="4"/>
      <c r="AD420" s="4"/>
      <c r="AE420" s="4"/>
      <c r="AF420" s="4"/>
      <c r="AG420" s="4"/>
      <c r="AH420" s="4"/>
      <c r="AI420" s="4"/>
      <c r="AJ420" s="4"/>
      <c r="AK420" s="4"/>
      <c r="AL420" s="4" t="s">
        <v>174</v>
      </c>
      <c r="AM420" s="4" t="s">
        <v>205</v>
      </c>
    </row>
    <row r="421" customFormat="false" ht="23.85" hidden="false" customHeight="false" outlineLevel="0" collapsed="false">
      <c r="A421" s="4" t="s">
        <v>167</v>
      </c>
      <c r="B421" s="4" t="s">
        <v>596</v>
      </c>
      <c r="C421" s="4" t="s">
        <v>596</v>
      </c>
      <c r="D421" s="12" t="n">
        <v>2019</v>
      </c>
      <c r="E421" s="4"/>
      <c r="F421" s="4" t="s">
        <v>169</v>
      </c>
      <c r="G421" s="4" t="s">
        <v>170</v>
      </c>
      <c r="H421" s="4" t="s">
        <v>171</v>
      </c>
      <c r="I421" s="4" t="s">
        <v>172</v>
      </c>
      <c r="J421" s="4" t="s">
        <v>596</v>
      </c>
      <c r="K421" s="4" t="s">
        <v>101</v>
      </c>
      <c r="L421" s="4" t="s">
        <v>102</v>
      </c>
      <c r="M421" s="4"/>
      <c r="N421" s="4"/>
      <c r="O421" s="4"/>
      <c r="P421" s="4"/>
      <c r="Q421" s="4"/>
      <c r="R421" s="4"/>
      <c r="S421" s="13" t="n">
        <v>0</v>
      </c>
      <c r="T421" s="4" t="s">
        <v>173</v>
      </c>
      <c r="U421" s="14" t="n">
        <f aca="false">IF(OR($S421="",PARAMETROS!$B$4=""),"",$S421*PARAMETROS!$B$4)</f>
        <v>0</v>
      </c>
      <c r="V421" s="13" t="n">
        <v>0</v>
      </c>
      <c r="W421" s="4"/>
      <c r="X421" s="4"/>
      <c r="Y421" s="4"/>
      <c r="Z421" s="4"/>
      <c r="AA421" s="4"/>
      <c r="AB421" s="4"/>
      <c r="AC421" s="4"/>
      <c r="AD421" s="4"/>
      <c r="AE421" s="4"/>
      <c r="AF421" s="4"/>
      <c r="AG421" s="4"/>
      <c r="AH421" s="4"/>
      <c r="AI421" s="4"/>
      <c r="AJ421" s="4"/>
      <c r="AK421" s="4"/>
      <c r="AL421" s="4" t="s">
        <v>174</v>
      </c>
      <c r="AM421" s="4" t="s">
        <v>205</v>
      </c>
    </row>
    <row r="422" customFormat="false" ht="23.85" hidden="false" customHeight="false" outlineLevel="0" collapsed="false">
      <c r="A422" s="4" t="s">
        <v>167</v>
      </c>
      <c r="B422" s="4" t="s">
        <v>597</v>
      </c>
      <c r="C422" s="4" t="s">
        <v>597</v>
      </c>
      <c r="D422" s="12" t="n">
        <v>2019</v>
      </c>
      <c r="E422" s="4"/>
      <c r="F422" s="4" t="s">
        <v>169</v>
      </c>
      <c r="G422" s="4" t="s">
        <v>170</v>
      </c>
      <c r="H422" s="4" t="s">
        <v>171</v>
      </c>
      <c r="I422" s="4" t="s">
        <v>172</v>
      </c>
      <c r="J422" s="4" t="s">
        <v>597</v>
      </c>
      <c r="K422" s="4" t="s">
        <v>103</v>
      </c>
      <c r="L422" s="4" t="s">
        <v>104</v>
      </c>
      <c r="M422" s="4"/>
      <c r="N422" s="4"/>
      <c r="O422" s="4"/>
      <c r="P422" s="4"/>
      <c r="Q422" s="4"/>
      <c r="R422" s="4"/>
      <c r="S422" s="13" t="n">
        <v>0</v>
      </c>
      <c r="T422" s="4" t="s">
        <v>173</v>
      </c>
      <c r="U422" s="14" t="n">
        <f aca="false">IF(OR($S422="",PARAMETROS!$B$4=""),"",$S422*PARAMETROS!$B$4)</f>
        <v>0</v>
      </c>
      <c r="V422" s="13" t="n">
        <v>0</v>
      </c>
      <c r="W422" s="4"/>
      <c r="X422" s="4"/>
      <c r="Y422" s="4"/>
      <c r="Z422" s="4"/>
      <c r="AA422" s="4"/>
      <c r="AB422" s="4"/>
      <c r="AC422" s="4"/>
      <c r="AD422" s="4"/>
      <c r="AE422" s="4"/>
      <c r="AF422" s="4"/>
      <c r="AG422" s="4"/>
      <c r="AH422" s="4"/>
      <c r="AI422" s="4"/>
      <c r="AJ422" s="4"/>
      <c r="AK422" s="4"/>
      <c r="AL422" s="4" t="s">
        <v>174</v>
      </c>
      <c r="AM422" s="4" t="s">
        <v>205</v>
      </c>
    </row>
    <row r="423" customFormat="false" ht="23.85" hidden="false" customHeight="false" outlineLevel="0" collapsed="false">
      <c r="A423" s="4" t="s">
        <v>167</v>
      </c>
      <c r="B423" s="4" t="s">
        <v>598</v>
      </c>
      <c r="C423" s="4" t="s">
        <v>598</v>
      </c>
      <c r="D423" s="12" t="n">
        <v>2019</v>
      </c>
      <c r="E423" s="4"/>
      <c r="F423" s="4" t="s">
        <v>169</v>
      </c>
      <c r="G423" s="4" t="s">
        <v>170</v>
      </c>
      <c r="H423" s="4" t="s">
        <v>171</v>
      </c>
      <c r="I423" s="4" t="s">
        <v>172</v>
      </c>
      <c r="J423" s="4" t="s">
        <v>598</v>
      </c>
      <c r="K423" s="4" t="s">
        <v>103</v>
      </c>
      <c r="L423" s="4" t="s">
        <v>104</v>
      </c>
      <c r="M423" s="4"/>
      <c r="N423" s="4"/>
      <c r="O423" s="4"/>
      <c r="P423" s="4"/>
      <c r="Q423" s="4"/>
      <c r="R423" s="4"/>
      <c r="S423" s="13" t="n">
        <v>14162.48</v>
      </c>
      <c r="T423" s="4" t="s">
        <v>173</v>
      </c>
      <c r="U423" s="14" t="n">
        <f aca="false">IF(OR($S423="",PARAMETROS!$B$4=""),"",$S423*PARAMETROS!$B$4)</f>
        <v>82284.0088</v>
      </c>
      <c r="V423" s="13" t="n">
        <v>0</v>
      </c>
      <c r="W423" s="4"/>
      <c r="X423" s="4"/>
      <c r="Y423" s="4"/>
      <c r="Z423" s="4"/>
      <c r="AA423" s="4"/>
      <c r="AB423" s="4"/>
      <c r="AC423" s="4"/>
      <c r="AD423" s="4"/>
      <c r="AE423" s="4"/>
      <c r="AF423" s="4"/>
      <c r="AG423" s="4"/>
      <c r="AH423" s="4"/>
      <c r="AI423" s="4"/>
      <c r="AJ423" s="4"/>
      <c r="AK423" s="4"/>
      <c r="AL423" s="4" t="s">
        <v>174</v>
      </c>
      <c r="AM423" s="4" t="s">
        <v>205</v>
      </c>
    </row>
    <row r="424" customFormat="false" ht="23.85" hidden="false" customHeight="false" outlineLevel="0" collapsed="false">
      <c r="A424" s="4" t="s">
        <v>167</v>
      </c>
      <c r="B424" s="4" t="s">
        <v>599</v>
      </c>
      <c r="C424" s="4" t="s">
        <v>599</v>
      </c>
      <c r="D424" s="12" t="n">
        <v>2019</v>
      </c>
      <c r="E424" s="4"/>
      <c r="F424" s="4" t="s">
        <v>169</v>
      </c>
      <c r="G424" s="4" t="s">
        <v>170</v>
      </c>
      <c r="H424" s="4" t="s">
        <v>171</v>
      </c>
      <c r="I424" s="4" t="s">
        <v>172</v>
      </c>
      <c r="J424" s="4" t="s">
        <v>599</v>
      </c>
      <c r="K424" s="4" t="s">
        <v>103</v>
      </c>
      <c r="L424" s="4" t="s">
        <v>104</v>
      </c>
      <c r="M424" s="4"/>
      <c r="N424" s="4"/>
      <c r="O424" s="4"/>
      <c r="P424" s="4"/>
      <c r="Q424" s="4"/>
      <c r="R424" s="4"/>
      <c r="S424" s="13" t="n">
        <v>291.72</v>
      </c>
      <c r="T424" s="4" t="s">
        <v>173</v>
      </c>
      <c r="U424" s="14" t="n">
        <f aca="false">IF(OR($S424="",PARAMETROS!$B$4=""),"",$S424*PARAMETROS!$B$4)</f>
        <v>1694.8932</v>
      </c>
      <c r="V424" s="13" t="n">
        <v>0</v>
      </c>
      <c r="W424" s="4"/>
      <c r="X424" s="4"/>
      <c r="Y424" s="4"/>
      <c r="Z424" s="4"/>
      <c r="AA424" s="4"/>
      <c r="AB424" s="4"/>
      <c r="AC424" s="4"/>
      <c r="AD424" s="4"/>
      <c r="AE424" s="4"/>
      <c r="AF424" s="4"/>
      <c r="AG424" s="4"/>
      <c r="AH424" s="4"/>
      <c r="AI424" s="4"/>
      <c r="AJ424" s="4"/>
      <c r="AK424" s="4"/>
      <c r="AL424" s="4" t="s">
        <v>174</v>
      </c>
      <c r="AM424" s="4" t="s">
        <v>205</v>
      </c>
    </row>
    <row r="425" customFormat="false" ht="23.85" hidden="false" customHeight="false" outlineLevel="0" collapsed="false">
      <c r="A425" s="4" t="s">
        <v>167</v>
      </c>
      <c r="B425" s="4" t="s">
        <v>600</v>
      </c>
      <c r="C425" s="4" t="s">
        <v>600</v>
      </c>
      <c r="D425" s="12" t="n">
        <v>2019</v>
      </c>
      <c r="E425" s="4"/>
      <c r="F425" s="4" t="s">
        <v>169</v>
      </c>
      <c r="G425" s="4" t="s">
        <v>170</v>
      </c>
      <c r="H425" s="4" t="s">
        <v>171</v>
      </c>
      <c r="I425" s="4" t="s">
        <v>172</v>
      </c>
      <c r="J425" s="4" t="s">
        <v>600</v>
      </c>
      <c r="K425" s="4" t="s">
        <v>103</v>
      </c>
      <c r="L425" s="4" t="s">
        <v>104</v>
      </c>
      <c r="M425" s="4"/>
      <c r="N425" s="4"/>
      <c r="O425" s="4"/>
      <c r="P425" s="4"/>
      <c r="Q425" s="4"/>
      <c r="R425" s="4"/>
      <c r="S425" s="13" t="n">
        <v>-414.51</v>
      </c>
      <c r="T425" s="4" t="s">
        <v>173</v>
      </c>
      <c r="U425" s="14" t="n">
        <f aca="false">IF(OR($S425="",PARAMETROS!$B$4=""),"",$S425*PARAMETROS!$B$4)</f>
        <v>-2408.3031</v>
      </c>
      <c r="V425" s="13" t="n">
        <v>0</v>
      </c>
      <c r="W425" s="4"/>
      <c r="X425" s="4"/>
      <c r="Y425" s="4"/>
      <c r="Z425" s="4"/>
      <c r="AA425" s="4"/>
      <c r="AB425" s="4"/>
      <c r="AC425" s="4"/>
      <c r="AD425" s="4"/>
      <c r="AE425" s="4"/>
      <c r="AF425" s="4"/>
      <c r="AG425" s="4"/>
      <c r="AH425" s="4"/>
      <c r="AI425" s="4"/>
      <c r="AJ425" s="4"/>
      <c r="AK425" s="4"/>
      <c r="AL425" s="4" t="s">
        <v>174</v>
      </c>
      <c r="AM425" s="4" t="s">
        <v>205</v>
      </c>
    </row>
    <row r="426" customFormat="false" ht="23.85" hidden="false" customHeight="false" outlineLevel="0" collapsed="false">
      <c r="A426" s="4" t="s">
        <v>167</v>
      </c>
      <c r="B426" s="4" t="s">
        <v>601</v>
      </c>
      <c r="C426" s="4" t="s">
        <v>601</v>
      </c>
      <c r="D426" s="12" t="n">
        <v>2019</v>
      </c>
      <c r="E426" s="4"/>
      <c r="F426" s="4" t="s">
        <v>169</v>
      </c>
      <c r="G426" s="4" t="s">
        <v>170</v>
      </c>
      <c r="H426" s="4" t="s">
        <v>171</v>
      </c>
      <c r="I426" s="4" t="s">
        <v>172</v>
      </c>
      <c r="J426" s="4" t="s">
        <v>601</v>
      </c>
      <c r="K426" s="4" t="s">
        <v>103</v>
      </c>
      <c r="L426" s="4" t="s">
        <v>104</v>
      </c>
      <c r="M426" s="4"/>
      <c r="N426" s="4"/>
      <c r="O426" s="4"/>
      <c r="P426" s="4"/>
      <c r="Q426" s="4"/>
      <c r="R426" s="4"/>
      <c r="S426" s="13" t="n">
        <v>0</v>
      </c>
      <c r="T426" s="4" t="s">
        <v>173</v>
      </c>
      <c r="U426" s="14" t="n">
        <f aca="false">IF(OR($S426="",PARAMETROS!$B$4=""),"",$S426*PARAMETROS!$B$4)</f>
        <v>0</v>
      </c>
      <c r="V426" s="13" t="n">
        <v>0</v>
      </c>
      <c r="W426" s="4"/>
      <c r="X426" s="4"/>
      <c r="Y426" s="4"/>
      <c r="Z426" s="4"/>
      <c r="AA426" s="4"/>
      <c r="AB426" s="4"/>
      <c r="AC426" s="4"/>
      <c r="AD426" s="4"/>
      <c r="AE426" s="4"/>
      <c r="AF426" s="4"/>
      <c r="AG426" s="4"/>
      <c r="AH426" s="4"/>
      <c r="AI426" s="4"/>
      <c r="AJ426" s="4"/>
      <c r="AK426" s="4"/>
      <c r="AL426" s="4" t="s">
        <v>174</v>
      </c>
      <c r="AM426" s="4" t="s">
        <v>205</v>
      </c>
    </row>
    <row r="427" customFormat="false" ht="23.85" hidden="false" customHeight="false" outlineLevel="0" collapsed="false">
      <c r="A427" s="4" t="s">
        <v>167</v>
      </c>
      <c r="B427" s="4" t="s">
        <v>602</v>
      </c>
      <c r="C427" s="4" t="s">
        <v>602</v>
      </c>
      <c r="D427" s="12" t="n">
        <v>2019</v>
      </c>
      <c r="E427" s="4"/>
      <c r="F427" s="4" t="s">
        <v>169</v>
      </c>
      <c r="G427" s="4" t="s">
        <v>170</v>
      </c>
      <c r="H427" s="4" t="s">
        <v>171</v>
      </c>
      <c r="I427" s="4" t="s">
        <v>172</v>
      </c>
      <c r="J427" s="4" t="s">
        <v>602</v>
      </c>
      <c r="K427" s="4" t="s">
        <v>103</v>
      </c>
      <c r="L427" s="4" t="s">
        <v>104</v>
      </c>
      <c r="M427" s="4"/>
      <c r="N427" s="4"/>
      <c r="O427" s="4"/>
      <c r="P427" s="4"/>
      <c r="Q427" s="4"/>
      <c r="R427" s="4"/>
      <c r="S427" s="13" t="n">
        <v>0</v>
      </c>
      <c r="T427" s="4" t="s">
        <v>173</v>
      </c>
      <c r="U427" s="14" t="n">
        <f aca="false">IF(OR($S427="",PARAMETROS!$B$4=""),"",$S427*PARAMETROS!$B$4)</f>
        <v>0</v>
      </c>
      <c r="V427" s="13" t="n">
        <v>0</v>
      </c>
      <c r="W427" s="4"/>
      <c r="X427" s="4"/>
      <c r="Y427" s="4"/>
      <c r="Z427" s="4"/>
      <c r="AA427" s="4"/>
      <c r="AB427" s="4"/>
      <c r="AC427" s="4"/>
      <c r="AD427" s="4"/>
      <c r="AE427" s="4"/>
      <c r="AF427" s="4"/>
      <c r="AG427" s="4"/>
      <c r="AH427" s="4"/>
      <c r="AI427" s="4"/>
      <c r="AJ427" s="4"/>
      <c r="AK427" s="4"/>
      <c r="AL427" s="4" t="s">
        <v>174</v>
      </c>
      <c r="AM427" s="4" t="s">
        <v>205</v>
      </c>
    </row>
    <row r="428" customFormat="false" ht="23.85" hidden="false" customHeight="false" outlineLevel="0" collapsed="false">
      <c r="A428" s="4" t="s">
        <v>167</v>
      </c>
      <c r="B428" s="4" t="s">
        <v>603</v>
      </c>
      <c r="C428" s="4" t="s">
        <v>603</v>
      </c>
      <c r="D428" s="12" t="n">
        <v>2019</v>
      </c>
      <c r="E428" s="4"/>
      <c r="F428" s="4" t="s">
        <v>169</v>
      </c>
      <c r="G428" s="4" t="s">
        <v>170</v>
      </c>
      <c r="H428" s="4" t="s">
        <v>171</v>
      </c>
      <c r="I428" s="4" t="s">
        <v>172</v>
      </c>
      <c r="J428" s="4" t="s">
        <v>603</v>
      </c>
      <c r="K428" s="4" t="s">
        <v>103</v>
      </c>
      <c r="L428" s="4" t="s">
        <v>104</v>
      </c>
      <c r="M428" s="4"/>
      <c r="N428" s="4"/>
      <c r="O428" s="4"/>
      <c r="P428" s="4"/>
      <c r="Q428" s="4"/>
      <c r="R428" s="4"/>
      <c r="S428" s="13" t="n">
        <v>0</v>
      </c>
      <c r="T428" s="4" t="s">
        <v>173</v>
      </c>
      <c r="U428" s="14" t="n">
        <f aca="false">IF(OR($S428="",PARAMETROS!$B$4=""),"",$S428*PARAMETROS!$B$4)</f>
        <v>0</v>
      </c>
      <c r="V428" s="13" t="n">
        <v>0</v>
      </c>
      <c r="W428" s="4"/>
      <c r="X428" s="4"/>
      <c r="Y428" s="4"/>
      <c r="Z428" s="4"/>
      <c r="AA428" s="4"/>
      <c r="AB428" s="4"/>
      <c r="AC428" s="4"/>
      <c r="AD428" s="4"/>
      <c r="AE428" s="4"/>
      <c r="AF428" s="4"/>
      <c r="AG428" s="4"/>
      <c r="AH428" s="4"/>
      <c r="AI428" s="4"/>
      <c r="AJ428" s="4"/>
      <c r="AK428" s="4"/>
      <c r="AL428" s="4" t="s">
        <v>174</v>
      </c>
      <c r="AM428" s="4" t="s">
        <v>205</v>
      </c>
    </row>
    <row r="429" customFormat="false" ht="23.85" hidden="false" customHeight="false" outlineLevel="0" collapsed="false">
      <c r="A429" s="4" t="s">
        <v>167</v>
      </c>
      <c r="B429" s="4" t="s">
        <v>604</v>
      </c>
      <c r="C429" s="4" t="s">
        <v>604</v>
      </c>
      <c r="D429" s="12" t="n">
        <v>2019</v>
      </c>
      <c r="E429" s="4"/>
      <c r="F429" s="4" t="s">
        <v>169</v>
      </c>
      <c r="G429" s="4" t="s">
        <v>170</v>
      </c>
      <c r="H429" s="4" t="s">
        <v>171</v>
      </c>
      <c r="I429" s="4" t="s">
        <v>172</v>
      </c>
      <c r="J429" s="4" t="s">
        <v>604</v>
      </c>
      <c r="K429" s="4" t="s">
        <v>103</v>
      </c>
      <c r="L429" s="4" t="s">
        <v>104</v>
      </c>
      <c r="M429" s="4"/>
      <c r="N429" s="4"/>
      <c r="O429" s="4"/>
      <c r="P429" s="4"/>
      <c r="Q429" s="4"/>
      <c r="R429" s="4"/>
      <c r="S429" s="13" t="n">
        <v>0</v>
      </c>
      <c r="T429" s="4" t="s">
        <v>173</v>
      </c>
      <c r="U429" s="14" t="n">
        <f aca="false">IF(OR($S429="",PARAMETROS!$B$4=""),"",$S429*PARAMETROS!$B$4)</f>
        <v>0</v>
      </c>
      <c r="V429" s="13" t="n">
        <v>0</v>
      </c>
      <c r="W429" s="4"/>
      <c r="X429" s="4"/>
      <c r="Y429" s="4"/>
      <c r="Z429" s="4"/>
      <c r="AA429" s="4"/>
      <c r="AB429" s="4"/>
      <c r="AC429" s="4"/>
      <c r="AD429" s="4"/>
      <c r="AE429" s="4"/>
      <c r="AF429" s="4"/>
      <c r="AG429" s="4"/>
      <c r="AH429" s="4"/>
      <c r="AI429" s="4"/>
      <c r="AJ429" s="4"/>
      <c r="AK429" s="4"/>
      <c r="AL429" s="4" t="s">
        <v>174</v>
      </c>
      <c r="AM429" s="4" t="s">
        <v>205</v>
      </c>
    </row>
    <row r="430" customFormat="false" ht="23.85" hidden="false" customHeight="false" outlineLevel="0" collapsed="false">
      <c r="A430" s="4" t="s">
        <v>167</v>
      </c>
      <c r="B430" s="4" t="s">
        <v>605</v>
      </c>
      <c r="C430" s="4" t="s">
        <v>605</v>
      </c>
      <c r="D430" s="12" t="n">
        <v>2019</v>
      </c>
      <c r="E430" s="4"/>
      <c r="F430" s="4" t="s">
        <v>169</v>
      </c>
      <c r="G430" s="4" t="s">
        <v>170</v>
      </c>
      <c r="H430" s="4" t="s">
        <v>171</v>
      </c>
      <c r="I430" s="4" t="s">
        <v>172</v>
      </c>
      <c r="J430" s="4" t="s">
        <v>605</v>
      </c>
      <c r="K430" s="4" t="s">
        <v>103</v>
      </c>
      <c r="L430" s="4" t="s">
        <v>104</v>
      </c>
      <c r="M430" s="4"/>
      <c r="N430" s="4"/>
      <c r="O430" s="4"/>
      <c r="P430" s="4"/>
      <c r="Q430" s="4"/>
      <c r="R430" s="4"/>
      <c r="S430" s="13" t="n">
        <v>11278.12</v>
      </c>
      <c r="T430" s="4" t="s">
        <v>173</v>
      </c>
      <c r="U430" s="14" t="n">
        <f aca="false">IF(OR($S430="",PARAMETROS!$B$4=""),"",$S430*PARAMETROS!$B$4)</f>
        <v>65525.8772</v>
      </c>
      <c r="V430" s="13" t="n">
        <v>0</v>
      </c>
      <c r="W430" s="4"/>
      <c r="X430" s="4"/>
      <c r="Y430" s="4"/>
      <c r="Z430" s="4"/>
      <c r="AA430" s="4"/>
      <c r="AB430" s="4"/>
      <c r="AC430" s="4"/>
      <c r="AD430" s="4"/>
      <c r="AE430" s="4"/>
      <c r="AF430" s="4"/>
      <c r="AG430" s="4"/>
      <c r="AH430" s="4"/>
      <c r="AI430" s="4"/>
      <c r="AJ430" s="4"/>
      <c r="AK430" s="4"/>
      <c r="AL430" s="4" t="s">
        <v>174</v>
      </c>
      <c r="AM430" s="4" t="s">
        <v>205</v>
      </c>
    </row>
    <row r="431" customFormat="false" ht="23.85" hidden="false" customHeight="false" outlineLevel="0" collapsed="false">
      <c r="A431" s="4" t="s">
        <v>167</v>
      </c>
      <c r="B431" s="4" t="s">
        <v>606</v>
      </c>
      <c r="C431" s="4" t="s">
        <v>606</v>
      </c>
      <c r="D431" s="12" t="n">
        <v>2019</v>
      </c>
      <c r="E431" s="4"/>
      <c r="F431" s="4" t="s">
        <v>169</v>
      </c>
      <c r="G431" s="4" t="s">
        <v>170</v>
      </c>
      <c r="H431" s="4" t="s">
        <v>171</v>
      </c>
      <c r="I431" s="4" t="s">
        <v>172</v>
      </c>
      <c r="J431" s="4" t="s">
        <v>606</v>
      </c>
      <c r="K431" s="4" t="s">
        <v>103</v>
      </c>
      <c r="L431" s="4" t="s">
        <v>104</v>
      </c>
      <c r="M431" s="4"/>
      <c r="N431" s="4"/>
      <c r="O431" s="4"/>
      <c r="P431" s="4"/>
      <c r="Q431" s="4"/>
      <c r="R431" s="4"/>
      <c r="S431" s="13" t="n">
        <v>0</v>
      </c>
      <c r="T431" s="4" t="s">
        <v>173</v>
      </c>
      <c r="U431" s="14" t="n">
        <f aca="false">IF(OR($S431="",PARAMETROS!$B$4=""),"",$S431*PARAMETROS!$B$4)</f>
        <v>0</v>
      </c>
      <c r="V431" s="13" t="n">
        <v>0</v>
      </c>
      <c r="W431" s="4"/>
      <c r="X431" s="4"/>
      <c r="Y431" s="4"/>
      <c r="Z431" s="4"/>
      <c r="AA431" s="4"/>
      <c r="AB431" s="4"/>
      <c r="AC431" s="4"/>
      <c r="AD431" s="4"/>
      <c r="AE431" s="4"/>
      <c r="AF431" s="4"/>
      <c r="AG431" s="4"/>
      <c r="AH431" s="4"/>
      <c r="AI431" s="4"/>
      <c r="AJ431" s="4"/>
      <c r="AK431" s="4"/>
      <c r="AL431" s="4" t="s">
        <v>174</v>
      </c>
      <c r="AM431" s="4" t="s">
        <v>205</v>
      </c>
    </row>
    <row r="432" customFormat="false" ht="23.85" hidden="false" customHeight="false" outlineLevel="0" collapsed="false">
      <c r="A432" s="4" t="s">
        <v>167</v>
      </c>
      <c r="B432" s="4" t="s">
        <v>607</v>
      </c>
      <c r="C432" s="4" t="s">
        <v>607</v>
      </c>
      <c r="D432" s="12" t="n">
        <v>2019</v>
      </c>
      <c r="E432" s="4"/>
      <c r="F432" s="4" t="s">
        <v>169</v>
      </c>
      <c r="G432" s="4" t="s">
        <v>170</v>
      </c>
      <c r="H432" s="4" t="s">
        <v>171</v>
      </c>
      <c r="I432" s="4" t="s">
        <v>172</v>
      </c>
      <c r="J432" s="4" t="s">
        <v>607</v>
      </c>
      <c r="K432" s="4" t="s">
        <v>103</v>
      </c>
      <c r="L432" s="4" t="s">
        <v>104</v>
      </c>
      <c r="M432" s="4"/>
      <c r="N432" s="4"/>
      <c r="O432" s="4"/>
      <c r="P432" s="4"/>
      <c r="Q432" s="4"/>
      <c r="R432" s="4"/>
      <c r="S432" s="13" t="n">
        <v>57.78</v>
      </c>
      <c r="T432" s="4" t="s">
        <v>173</v>
      </c>
      <c r="U432" s="14" t="n">
        <f aca="false">IF(OR($S432="",PARAMETROS!$B$4=""),"",$S432*PARAMETROS!$B$4)</f>
        <v>335.7018</v>
      </c>
      <c r="V432" s="13" t="n">
        <v>0</v>
      </c>
      <c r="W432" s="4"/>
      <c r="X432" s="4"/>
      <c r="Y432" s="4"/>
      <c r="Z432" s="4"/>
      <c r="AA432" s="4"/>
      <c r="AB432" s="4"/>
      <c r="AC432" s="4"/>
      <c r="AD432" s="4"/>
      <c r="AE432" s="4"/>
      <c r="AF432" s="4"/>
      <c r="AG432" s="4"/>
      <c r="AH432" s="4"/>
      <c r="AI432" s="4"/>
      <c r="AJ432" s="4"/>
      <c r="AK432" s="4"/>
      <c r="AL432" s="4" t="s">
        <v>174</v>
      </c>
      <c r="AM432" s="4" t="s">
        <v>205</v>
      </c>
    </row>
    <row r="433" customFormat="false" ht="23.85" hidden="false" customHeight="false" outlineLevel="0" collapsed="false">
      <c r="A433" s="4" t="s">
        <v>167</v>
      </c>
      <c r="B433" s="4" t="s">
        <v>608</v>
      </c>
      <c r="C433" s="4" t="s">
        <v>608</v>
      </c>
      <c r="D433" s="12" t="n">
        <v>2019</v>
      </c>
      <c r="E433" s="4"/>
      <c r="F433" s="4" t="s">
        <v>169</v>
      </c>
      <c r="G433" s="4" t="s">
        <v>170</v>
      </c>
      <c r="H433" s="4" t="s">
        <v>171</v>
      </c>
      <c r="I433" s="4" t="s">
        <v>172</v>
      </c>
      <c r="J433" s="4" t="s">
        <v>608</v>
      </c>
      <c r="K433" s="4" t="s">
        <v>103</v>
      </c>
      <c r="L433" s="4" t="s">
        <v>104</v>
      </c>
      <c r="M433" s="4"/>
      <c r="N433" s="4"/>
      <c r="O433" s="4"/>
      <c r="P433" s="4"/>
      <c r="Q433" s="4"/>
      <c r="R433" s="4"/>
      <c r="S433" s="13" t="n">
        <v>231.13</v>
      </c>
      <c r="T433" s="4" t="s">
        <v>173</v>
      </c>
      <c r="U433" s="14" t="n">
        <f aca="false">IF(OR($S433="",PARAMETROS!$B$4=""),"",$S433*PARAMETROS!$B$4)</f>
        <v>1342.8653</v>
      </c>
      <c r="V433" s="13" t="n">
        <v>0</v>
      </c>
      <c r="W433" s="4"/>
      <c r="X433" s="4"/>
      <c r="Y433" s="4"/>
      <c r="Z433" s="4"/>
      <c r="AA433" s="4"/>
      <c r="AB433" s="4"/>
      <c r="AC433" s="4"/>
      <c r="AD433" s="4"/>
      <c r="AE433" s="4"/>
      <c r="AF433" s="4"/>
      <c r="AG433" s="4"/>
      <c r="AH433" s="4"/>
      <c r="AI433" s="4"/>
      <c r="AJ433" s="4"/>
      <c r="AK433" s="4"/>
      <c r="AL433" s="4" t="s">
        <v>174</v>
      </c>
      <c r="AM433" s="4" t="s">
        <v>205</v>
      </c>
    </row>
    <row r="434" customFormat="false" ht="23.85" hidden="false" customHeight="false" outlineLevel="0" collapsed="false">
      <c r="A434" s="4" t="s">
        <v>167</v>
      </c>
      <c r="B434" s="4" t="s">
        <v>609</v>
      </c>
      <c r="C434" s="4" t="s">
        <v>609</v>
      </c>
      <c r="D434" s="12" t="n">
        <v>2019</v>
      </c>
      <c r="E434" s="4"/>
      <c r="F434" s="4" t="s">
        <v>169</v>
      </c>
      <c r="G434" s="4" t="s">
        <v>170</v>
      </c>
      <c r="H434" s="4" t="s">
        <v>171</v>
      </c>
      <c r="I434" s="4" t="s">
        <v>172</v>
      </c>
      <c r="J434" s="4" t="s">
        <v>609</v>
      </c>
      <c r="K434" s="4" t="s">
        <v>103</v>
      </c>
      <c r="L434" s="4" t="s">
        <v>104</v>
      </c>
      <c r="M434" s="4"/>
      <c r="N434" s="4"/>
      <c r="O434" s="4"/>
      <c r="P434" s="4"/>
      <c r="Q434" s="4"/>
      <c r="R434" s="4"/>
      <c r="S434" s="13" t="n">
        <v>0</v>
      </c>
      <c r="T434" s="4" t="s">
        <v>173</v>
      </c>
      <c r="U434" s="14" t="n">
        <f aca="false">IF(OR($S434="",PARAMETROS!$B$4=""),"",$S434*PARAMETROS!$B$4)</f>
        <v>0</v>
      </c>
      <c r="V434" s="13" t="n">
        <v>0</v>
      </c>
      <c r="W434" s="4"/>
      <c r="X434" s="4"/>
      <c r="Y434" s="4"/>
      <c r="Z434" s="4"/>
      <c r="AA434" s="4"/>
      <c r="AB434" s="4"/>
      <c r="AC434" s="4"/>
      <c r="AD434" s="4"/>
      <c r="AE434" s="4"/>
      <c r="AF434" s="4"/>
      <c r="AG434" s="4"/>
      <c r="AH434" s="4"/>
      <c r="AI434" s="4"/>
      <c r="AJ434" s="4"/>
      <c r="AK434" s="4"/>
      <c r="AL434" s="4" t="s">
        <v>174</v>
      </c>
      <c r="AM434" s="4" t="s">
        <v>205</v>
      </c>
    </row>
    <row r="435" customFormat="false" ht="23.85" hidden="false" customHeight="false" outlineLevel="0" collapsed="false">
      <c r="A435" s="4" t="s">
        <v>167</v>
      </c>
      <c r="B435" s="4" t="s">
        <v>610</v>
      </c>
      <c r="C435" s="4" t="s">
        <v>610</v>
      </c>
      <c r="D435" s="12" t="n">
        <v>2019</v>
      </c>
      <c r="E435" s="4"/>
      <c r="F435" s="4" t="s">
        <v>169</v>
      </c>
      <c r="G435" s="4" t="s">
        <v>170</v>
      </c>
      <c r="H435" s="4" t="s">
        <v>171</v>
      </c>
      <c r="I435" s="4" t="s">
        <v>172</v>
      </c>
      <c r="J435" s="4" t="s">
        <v>610</v>
      </c>
      <c r="K435" s="4" t="s">
        <v>103</v>
      </c>
      <c r="L435" s="4" t="s">
        <v>104</v>
      </c>
      <c r="M435" s="4"/>
      <c r="N435" s="4"/>
      <c r="O435" s="4"/>
      <c r="P435" s="4"/>
      <c r="Q435" s="4"/>
      <c r="R435" s="4"/>
      <c r="S435" s="13" t="n">
        <v>0</v>
      </c>
      <c r="T435" s="4" t="s">
        <v>173</v>
      </c>
      <c r="U435" s="14" t="n">
        <f aca="false">IF(OR($S435="",PARAMETROS!$B$4=""),"",$S435*PARAMETROS!$B$4)</f>
        <v>0</v>
      </c>
      <c r="V435" s="13" t="n">
        <v>0</v>
      </c>
      <c r="W435" s="4"/>
      <c r="X435" s="4"/>
      <c r="Y435" s="4"/>
      <c r="Z435" s="4"/>
      <c r="AA435" s="4"/>
      <c r="AB435" s="4"/>
      <c r="AC435" s="4"/>
      <c r="AD435" s="4"/>
      <c r="AE435" s="4"/>
      <c r="AF435" s="4"/>
      <c r="AG435" s="4"/>
      <c r="AH435" s="4"/>
      <c r="AI435" s="4"/>
      <c r="AJ435" s="4"/>
      <c r="AK435" s="4"/>
      <c r="AL435" s="4" t="s">
        <v>174</v>
      </c>
      <c r="AM435" s="4" t="s">
        <v>205</v>
      </c>
    </row>
    <row r="436" customFormat="false" ht="23.85" hidden="false" customHeight="false" outlineLevel="0" collapsed="false">
      <c r="A436" s="4" t="s">
        <v>167</v>
      </c>
      <c r="B436" s="4" t="s">
        <v>611</v>
      </c>
      <c r="C436" s="4" t="s">
        <v>611</v>
      </c>
      <c r="D436" s="12" t="n">
        <v>2019</v>
      </c>
      <c r="E436" s="4"/>
      <c r="F436" s="4" t="s">
        <v>169</v>
      </c>
      <c r="G436" s="4" t="s">
        <v>170</v>
      </c>
      <c r="H436" s="4" t="s">
        <v>171</v>
      </c>
      <c r="I436" s="4" t="s">
        <v>172</v>
      </c>
      <c r="J436" s="4" t="s">
        <v>611</v>
      </c>
      <c r="K436" s="4" t="s">
        <v>105</v>
      </c>
      <c r="L436" s="4" t="s">
        <v>106</v>
      </c>
      <c r="M436" s="4"/>
      <c r="N436" s="4"/>
      <c r="O436" s="4"/>
      <c r="P436" s="4"/>
      <c r="Q436" s="4"/>
      <c r="R436" s="4"/>
      <c r="S436" s="13" t="n">
        <v>0</v>
      </c>
      <c r="T436" s="4" t="s">
        <v>173</v>
      </c>
      <c r="U436" s="14" t="n">
        <f aca="false">IF(OR($S436="",PARAMETROS!$B$4=""),"",$S436*PARAMETROS!$B$4)</f>
        <v>0</v>
      </c>
      <c r="V436" s="13" t="n">
        <v>0</v>
      </c>
      <c r="W436" s="4"/>
      <c r="X436" s="4"/>
      <c r="Y436" s="4"/>
      <c r="Z436" s="4"/>
      <c r="AA436" s="4"/>
      <c r="AB436" s="4"/>
      <c r="AC436" s="4"/>
      <c r="AD436" s="4"/>
      <c r="AE436" s="4"/>
      <c r="AF436" s="4"/>
      <c r="AG436" s="4"/>
      <c r="AH436" s="4"/>
      <c r="AI436" s="4"/>
      <c r="AJ436" s="4"/>
      <c r="AK436" s="4"/>
      <c r="AL436" s="4" t="s">
        <v>174</v>
      </c>
      <c r="AM436" s="4" t="s">
        <v>205</v>
      </c>
    </row>
    <row r="437" customFormat="false" ht="23.85" hidden="false" customHeight="false" outlineLevel="0" collapsed="false">
      <c r="A437" s="4" t="s">
        <v>167</v>
      </c>
      <c r="B437" s="4" t="s">
        <v>612</v>
      </c>
      <c r="C437" s="4" t="s">
        <v>612</v>
      </c>
      <c r="D437" s="12" t="n">
        <v>2019</v>
      </c>
      <c r="E437" s="4"/>
      <c r="F437" s="4" t="s">
        <v>169</v>
      </c>
      <c r="G437" s="4" t="s">
        <v>170</v>
      </c>
      <c r="H437" s="4" t="s">
        <v>171</v>
      </c>
      <c r="I437" s="4" t="s">
        <v>172</v>
      </c>
      <c r="J437" s="4" t="s">
        <v>612</v>
      </c>
      <c r="K437" s="4" t="s">
        <v>105</v>
      </c>
      <c r="L437" s="4" t="s">
        <v>106</v>
      </c>
      <c r="M437" s="4"/>
      <c r="N437" s="4"/>
      <c r="O437" s="4"/>
      <c r="P437" s="4"/>
      <c r="Q437" s="4"/>
      <c r="R437" s="4"/>
      <c r="S437" s="13" t="n">
        <v>4494.83</v>
      </c>
      <c r="T437" s="4" t="s">
        <v>173</v>
      </c>
      <c r="U437" s="14" t="n">
        <f aca="false">IF(OR($S437="",PARAMETROS!$B$4=""),"",$S437*PARAMETROS!$B$4)</f>
        <v>26114.9623</v>
      </c>
      <c r="V437" s="13" t="n">
        <v>0</v>
      </c>
      <c r="W437" s="4"/>
      <c r="X437" s="4"/>
      <c r="Y437" s="4"/>
      <c r="Z437" s="4"/>
      <c r="AA437" s="4"/>
      <c r="AB437" s="4"/>
      <c r="AC437" s="4"/>
      <c r="AD437" s="4"/>
      <c r="AE437" s="4"/>
      <c r="AF437" s="4"/>
      <c r="AG437" s="4"/>
      <c r="AH437" s="4"/>
      <c r="AI437" s="4"/>
      <c r="AJ437" s="4"/>
      <c r="AK437" s="4"/>
      <c r="AL437" s="4" t="s">
        <v>174</v>
      </c>
      <c r="AM437" s="4" t="s">
        <v>205</v>
      </c>
    </row>
    <row r="438" customFormat="false" ht="23.85" hidden="false" customHeight="false" outlineLevel="0" collapsed="false">
      <c r="A438" s="4" t="s">
        <v>167</v>
      </c>
      <c r="B438" s="4" t="s">
        <v>613</v>
      </c>
      <c r="C438" s="4" t="s">
        <v>613</v>
      </c>
      <c r="D438" s="12" t="n">
        <v>2019</v>
      </c>
      <c r="E438" s="4"/>
      <c r="F438" s="4" t="s">
        <v>169</v>
      </c>
      <c r="G438" s="4" t="s">
        <v>170</v>
      </c>
      <c r="H438" s="4" t="s">
        <v>171</v>
      </c>
      <c r="I438" s="4" t="s">
        <v>172</v>
      </c>
      <c r="J438" s="4" t="s">
        <v>613</v>
      </c>
      <c r="K438" s="4" t="s">
        <v>105</v>
      </c>
      <c r="L438" s="4" t="s">
        <v>106</v>
      </c>
      <c r="M438" s="4"/>
      <c r="N438" s="4"/>
      <c r="O438" s="4"/>
      <c r="P438" s="4"/>
      <c r="Q438" s="4"/>
      <c r="R438" s="4"/>
      <c r="S438" s="13" t="n">
        <v>939.68</v>
      </c>
      <c r="T438" s="4" t="s">
        <v>173</v>
      </c>
      <c r="U438" s="14" t="n">
        <f aca="false">IF(OR($S438="",PARAMETROS!$B$4=""),"",$S438*PARAMETROS!$B$4)</f>
        <v>5459.5408</v>
      </c>
      <c r="V438" s="13" t="n">
        <v>0</v>
      </c>
      <c r="W438" s="4"/>
      <c r="X438" s="4"/>
      <c r="Y438" s="4"/>
      <c r="Z438" s="4"/>
      <c r="AA438" s="4"/>
      <c r="AB438" s="4"/>
      <c r="AC438" s="4"/>
      <c r="AD438" s="4"/>
      <c r="AE438" s="4"/>
      <c r="AF438" s="4"/>
      <c r="AG438" s="4"/>
      <c r="AH438" s="4"/>
      <c r="AI438" s="4"/>
      <c r="AJ438" s="4"/>
      <c r="AK438" s="4"/>
      <c r="AL438" s="4" t="s">
        <v>174</v>
      </c>
      <c r="AM438" s="4" t="s">
        <v>205</v>
      </c>
    </row>
    <row r="439" customFormat="false" ht="23.85" hidden="false" customHeight="false" outlineLevel="0" collapsed="false">
      <c r="A439" s="4" t="s">
        <v>167</v>
      </c>
      <c r="B439" s="4" t="s">
        <v>614</v>
      </c>
      <c r="C439" s="4" t="s">
        <v>614</v>
      </c>
      <c r="D439" s="12" t="n">
        <v>2019</v>
      </c>
      <c r="E439" s="4"/>
      <c r="F439" s="4" t="s">
        <v>169</v>
      </c>
      <c r="G439" s="4" t="s">
        <v>170</v>
      </c>
      <c r="H439" s="4" t="s">
        <v>171</v>
      </c>
      <c r="I439" s="4" t="s">
        <v>172</v>
      </c>
      <c r="J439" s="4" t="s">
        <v>614</v>
      </c>
      <c r="K439" s="4" t="s">
        <v>105</v>
      </c>
      <c r="L439" s="4" t="s">
        <v>106</v>
      </c>
      <c r="M439" s="4"/>
      <c r="N439" s="4"/>
      <c r="O439" s="4"/>
      <c r="P439" s="4"/>
      <c r="Q439" s="4"/>
      <c r="R439" s="4"/>
      <c r="S439" s="13" t="n">
        <v>-189.81</v>
      </c>
      <c r="T439" s="4" t="s">
        <v>173</v>
      </c>
      <c r="U439" s="14" t="n">
        <f aca="false">IF(OR($S439="",PARAMETROS!$B$4=""),"",$S439*PARAMETROS!$B$4)</f>
        <v>-1102.7961</v>
      </c>
      <c r="V439" s="13" t="n">
        <v>0</v>
      </c>
      <c r="W439" s="4"/>
      <c r="X439" s="4"/>
      <c r="Y439" s="4"/>
      <c r="Z439" s="4"/>
      <c r="AA439" s="4"/>
      <c r="AB439" s="4"/>
      <c r="AC439" s="4"/>
      <c r="AD439" s="4"/>
      <c r="AE439" s="4"/>
      <c r="AF439" s="4"/>
      <c r="AG439" s="4"/>
      <c r="AH439" s="4"/>
      <c r="AI439" s="4"/>
      <c r="AJ439" s="4"/>
      <c r="AK439" s="4"/>
      <c r="AL439" s="4" t="s">
        <v>174</v>
      </c>
      <c r="AM439" s="4" t="s">
        <v>205</v>
      </c>
    </row>
    <row r="440" customFormat="false" ht="23.85" hidden="false" customHeight="false" outlineLevel="0" collapsed="false">
      <c r="A440" s="4" t="s">
        <v>167</v>
      </c>
      <c r="B440" s="4" t="s">
        <v>615</v>
      </c>
      <c r="C440" s="4" t="s">
        <v>615</v>
      </c>
      <c r="D440" s="12" t="n">
        <v>2019</v>
      </c>
      <c r="E440" s="4"/>
      <c r="F440" s="4" t="s">
        <v>169</v>
      </c>
      <c r="G440" s="4" t="s">
        <v>170</v>
      </c>
      <c r="H440" s="4" t="s">
        <v>171</v>
      </c>
      <c r="I440" s="4" t="s">
        <v>172</v>
      </c>
      <c r="J440" s="4" t="s">
        <v>615</v>
      </c>
      <c r="K440" s="4" t="s">
        <v>105</v>
      </c>
      <c r="L440" s="4" t="s">
        <v>106</v>
      </c>
      <c r="M440" s="4"/>
      <c r="N440" s="4"/>
      <c r="O440" s="4"/>
      <c r="P440" s="4"/>
      <c r="Q440" s="4"/>
      <c r="R440" s="4"/>
      <c r="S440" s="13" t="n">
        <v>0</v>
      </c>
      <c r="T440" s="4" t="s">
        <v>173</v>
      </c>
      <c r="U440" s="14" t="n">
        <f aca="false">IF(OR($S440="",PARAMETROS!$B$4=""),"",$S440*PARAMETROS!$B$4)</f>
        <v>0</v>
      </c>
      <c r="V440" s="13" t="n">
        <v>0</v>
      </c>
      <c r="W440" s="4"/>
      <c r="X440" s="4"/>
      <c r="Y440" s="4"/>
      <c r="Z440" s="4"/>
      <c r="AA440" s="4"/>
      <c r="AB440" s="4"/>
      <c r="AC440" s="4"/>
      <c r="AD440" s="4"/>
      <c r="AE440" s="4"/>
      <c r="AF440" s="4"/>
      <c r="AG440" s="4"/>
      <c r="AH440" s="4"/>
      <c r="AI440" s="4"/>
      <c r="AJ440" s="4"/>
      <c r="AK440" s="4"/>
      <c r="AL440" s="4" t="s">
        <v>174</v>
      </c>
      <c r="AM440" s="4" t="s">
        <v>205</v>
      </c>
    </row>
    <row r="441" customFormat="false" ht="23.85" hidden="false" customHeight="false" outlineLevel="0" collapsed="false">
      <c r="A441" s="4" t="s">
        <v>167</v>
      </c>
      <c r="B441" s="4" t="s">
        <v>616</v>
      </c>
      <c r="C441" s="4" t="s">
        <v>616</v>
      </c>
      <c r="D441" s="12" t="n">
        <v>2019</v>
      </c>
      <c r="E441" s="4"/>
      <c r="F441" s="4" t="s">
        <v>169</v>
      </c>
      <c r="G441" s="4" t="s">
        <v>170</v>
      </c>
      <c r="H441" s="4" t="s">
        <v>171</v>
      </c>
      <c r="I441" s="4" t="s">
        <v>172</v>
      </c>
      <c r="J441" s="4" t="s">
        <v>616</v>
      </c>
      <c r="K441" s="4" t="s">
        <v>105</v>
      </c>
      <c r="L441" s="4" t="s">
        <v>106</v>
      </c>
      <c r="M441" s="4"/>
      <c r="N441" s="4"/>
      <c r="O441" s="4"/>
      <c r="P441" s="4"/>
      <c r="Q441" s="4"/>
      <c r="R441" s="4"/>
      <c r="S441" s="13" t="n">
        <v>0</v>
      </c>
      <c r="T441" s="4" t="s">
        <v>173</v>
      </c>
      <c r="U441" s="14" t="n">
        <f aca="false">IF(OR($S441="",PARAMETROS!$B$4=""),"",$S441*PARAMETROS!$B$4)</f>
        <v>0</v>
      </c>
      <c r="V441" s="13" t="n">
        <v>0</v>
      </c>
      <c r="W441" s="4"/>
      <c r="X441" s="4"/>
      <c r="Y441" s="4"/>
      <c r="Z441" s="4"/>
      <c r="AA441" s="4"/>
      <c r="AB441" s="4"/>
      <c r="AC441" s="4"/>
      <c r="AD441" s="4"/>
      <c r="AE441" s="4"/>
      <c r="AF441" s="4"/>
      <c r="AG441" s="4"/>
      <c r="AH441" s="4"/>
      <c r="AI441" s="4"/>
      <c r="AJ441" s="4"/>
      <c r="AK441" s="4"/>
      <c r="AL441" s="4" t="s">
        <v>174</v>
      </c>
      <c r="AM441" s="4" t="s">
        <v>205</v>
      </c>
    </row>
    <row r="442" customFormat="false" ht="23.85" hidden="false" customHeight="false" outlineLevel="0" collapsed="false">
      <c r="A442" s="4" t="s">
        <v>167</v>
      </c>
      <c r="B442" s="4" t="s">
        <v>617</v>
      </c>
      <c r="C442" s="4" t="s">
        <v>617</v>
      </c>
      <c r="D442" s="12" t="n">
        <v>2019</v>
      </c>
      <c r="E442" s="4"/>
      <c r="F442" s="4" t="s">
        <v>169</v>
      </c>
      <c r="G442" s="4" t="s">
        <v>170</v>
      </c>
      <c r="H442" s="4" t="s">
        <v>171</v>
      </c>
      <c r="I442" s="4" t="s">
        <v>172</v>
      </c>
      <c r="J442" s="4" t="s">
        <v>617</v>
      </c>
      <c r="K442" s="4" t="s">
        <v>105</v>
      </c>
      <c r="L442" s="4" t="s">
        <v>106</v>
      </c>
      <c r="M442" s="4"/>
      <c r="N442" s="4"/>
      <c r="O442" s="4"/>
      <c r="P442" s="4"/>
      <c r="Q442" s="4"/>
      <c r="R442" s="4"/>
      <c r="S442" s="13" t="n">
        <v>0</v>
      </c>
      <c r="T442" s="4" t="s">
        <v>173</v>
      </c>
      <c r="U442" s="14" t="n">
        <f aca="false">IF(OR($S442="",PARAMETROS!$B$4=""),"",$S442*PARAMETROS!$B$4)</f>
        <v>0</v>
      </c>
      <c r="V442" s="13" t="n">
        <v>0</v>
      </c>
      <c r="W442" s="4"/>
      <c r="X442" s="4"/>
      <c r="Y442" s="4"/>
      <c r="Z442" s="4"/>
      <c r="AA442" s="4"/>
      <c r="AB442" s="4"/>
      <c r="AC442" s="4"/>
      <c r="AD442" s="4"/>
      <c r="AE442" s="4"/>
      <c r="AF442" s="4"/>
      <c r="AG442" s="4"/>
      <c r="AH442" s="4"/>
      <c r="AI442" s="4"/>
      <c r="AJ442" s="4"/>
      <c r="AK442" s="4"/>
      <c r="AL442" s="4" t="s">
        <v>174</v>
      </c>
      <c r="AM442" s="4" t="s">
        <v>205</v>
      </c>
    </row>
    <row r="443" customFormat="false" ht="23.85" hidden="false" customHeight="false" outlineLevel="0" collapsed="false">
      <c r="A443" s="4" t="s">
        <v>167</v>
      </c>
      <c r="B443" s="4" t="s">
        <v>618</v>
      </c>
      <c r="C443" s="4" t="s">
        <v>618</v>
      </c>
      <c r="D443" s="12" t="n">
        <v>2019</v>
      </c>
      <c r="E443" s="4"/>
      <c r="F443" s="4" t="s">
        <v>169</v>
      </c>
      <c r="G443" s="4" t="s">
        <v>170</v>
      </c>
      <c r="H443" s="4" t="s">
        <v>171</v>
      </c>
      <c r="I443" s="4" t="s">
        <v>172</v>
      </c>
      <c r="J443" s="4" t="s">
        <v>618</v>
      </c>
      <c r="K443" s="4" t="s">
        <v>105</v>
      </c>
      <c r="L443" s="4" t="s">
        <v>106</v>
      </c>
      <c r="M443" s="4"/>
      <c r="N443" s="4"/>
      <c r="O443" s="4"/>
      <c r="P443" s="4"/>
      <c r="Q443" s="4"/>
      <c r="R443" s="4"/>
      <c r="S443" s="13" t="n">
        <v>0</v>
      </c>
      <c r="T443" s="4" t="s">
        <v>173</v>
      </c>
      <c r="U443" s="14" t="n">
        <f aca="false">IF(OR($S443="",PARAMETROS!$B$4=""),"",$S443*PARAMETROS!$B$4)</f>
        <v>0</v>
      </c>
      <c r="V443" s="13" t="n">
        <v>0</v>
      </c>
      <c r="W443" s="4"/>
      <c r="X443" s="4"/>
      <c r="Y443" s="4"/>
      <c r="Z443" s="4"/>
      <c r="AA443" s="4"/>
      <c r="AB443" s="4"/>
      <c r="AC443" s="4"/>
      <c r="AD443" s="4"/>
      <c r="AE443" s="4"/>
      <c r="AF443" s="4"/>
      <c r="AG443" s="4"/>
      <c r="AH443" s="4"/>
      <c r="AI443" s="4"/>
      <c r="AJ443" s="4"/>
      <c r="AK443" s="4"/>
      <c r="AL443" s="4" t="s">
        <v>174</v>
      </c>
      <c r="AM443" s="4" t="s">
        <v>205</v>
      </c>
    </row>
    <row r="444" customFormat="false" ht="23.85" hidden="false" customHeight="false" outlineLevel="0" collapsed="false">
      <c r="A444" s="4" t="s">
        <v>167</v>
      </c>
      <c r="B444" s="4" t="s">
        <v>619</v>
      </c>
      <c r="C444" s="4" t="s">
        <v>619</v>
      </c>
      <c r="D444" s="12" t="n">
        <v>2019</v>
      </c>
      <c r="E444" s="4"/>
      <c r="F444" s="4" t="s">
        <v>169</v>
      </c>
      <c r="G444" s="4" t="s">
        <v>170</v>
      </c>
      <c r="H444" s="4" t="s">
        <v>171</v>
      </c>
      <c r="I444" s="4" t="s">
        <v>172</v>
      </c>
      <c r="J444" s="4" t="s">
        <v>619</v>
      </c>
      <c r="K444" s="4" t="s">
        <v>105</v>
      </c>
      <c r="L444" s="4" t="s">
        <v>106</v>
      </c>
      <c r="M444" s="4"/>
      <c r="N444" s="4"/>
      <c r="O444" s="4"/>
      <c r="P444" s="4"/>
      <c r="Q444" s="4"/>
      <c r="R444" s="4"/>
      <c r="S444" s="13" t="n">
        <v>33.65</v>
      </c>
      <c r="T444" s="4" t="s">
        <v>173</v>
      </c>
      <c r="U444" s="14" t="n">
        <f aca="false">IF(OR($S444="",PARAMETROS!$B$4=""),"",$S444*PARAMETROS!$B$4)</f>
        <v>195.5065</v>
      </c>
      <c r="V444" s="13" t="n">
        <v>0</v>
      </c>
      <c r="W444" s="4"/>
      <c r="X444" s="4"/>
      <c r="Y444" s="4"/>
      <c r="Z444" s="4"/>
      <c r="AA444" s="4"/>
      <c r="AB444" s="4"/>
      <c r="AC444" s="4"/>
      <c r="AD444" s="4"/>
      <c r="AE444" s="4"/>
      <c r="AF444" s="4"/>
      <c r="AG444" s="4"/>
      <c r="AH444" s="4"/>
      <c r="AI444" s="4"/>
      <c r="AJ444" s="4"/>
      <c r="AK444" s="4"/>
      <c r="AL444" s="4" t="s">
        <v>174</v>
      </c>
      <c r="AM444" s="4" t="s">
        <v>205</v>
      </c>
    </row>
    <row r="445" customFormat="false" ht="23.85" hidden="false" customHeight="false" outlineLevel="0" collapsed="false">
      <c r="A445" s="4" t="s">
        <v>167</v>
      </c>
      <c r="B445" s="4" t="s">
        <v>620</v>
      </c>
      <c r="C445" s="4" t="s">
        <v>620</v>
      </c>
      <c r="D445" s="12" t="n">
        <v>2019</v>
      </c>
      <c r="E445" s="4"/>
      <c r="F445" s="4" t="s">
        <v>169</v>
      </c>
      <c r="G445" s="4" t="s">
        <v>170</v>
      </c>
      <c r="H445" s="4" t="s">
        <v>171</v>
      </c>
      <c r="I445" s="4" t="s">
        <v>172</v>
      </c>
      <c r="J445" s="4" t="s">
        <v>620</v>
      </c>
      <c r="K445" s="4" t="s">
        <v>105</v>
      </c>
      <c r="L445" s="4" t="s">
        <v>106</v>
      </c>
      <c r="M445" s="4"/>
      <c r="N445" s="4"/>
      <c r="O445" s="4"/>
      <c r="P445" s="4"/>
      <c r="Q445" s="4"/>
      <c r="R445" s="4"/>
      <c r="S445" s="13" t="n">
        <v>2591.31</v>
      </c>
      <c r="T445" s="4" t="s">
        <v>173</v>
      </c>
      <c r="U445" s="14" t="n">
        <f aca="false">IF(OR($S445="",PARAMETROS!$B$4=""),"",$S445*PARAMETROS!$B$4)</f>
        <v>15055.5111</v>
      </c>
      <c r="V445" s="13" t="n">
        <v>0</v>
      </c>
      <c r="W445" s="4"/>
      <c r="X445" s="4"/>
      <c r="Y445" s="4"/>
      <c r="Z445" s="4"/>
      <c r="AA445" s="4"/>
      <c r="AB445" s="4"/>
      <c r="AC445" s="4"/>
      <c r="AD445" s="4"/>
      <c r="AE445" s="4"/>
      <c r="AF445" s="4"/>
      <c r="AG445" s="4"/>
      <c r="AH445" s="4"/>
      <c r="AI445" s="4"/>
      <c r="AJ445" s="4"/>
      <c r="AK445" s="4"/>
      <c r="AL445" s="4" t="s">
        <v>174</v>
      </c>
      <c r="AM445" s="4" t="s">
        <v>205</v>
      </c>
    </row>
    <row r="446" customFormat="false" ht="23.85" hidden="false" customHeight="false" outlineLevel="0" collapsed="false">
      <c r="A446" s="4" t="s">
        <v>167</v>
      </c>
      <c r="B446" s="4" t="s">
        <v>621</v>
      </c>
      <c r="C446" s="4" t="s">
        <v>621</v>
      </c>
      <c r="D446" s="12" t="n">
        <v>2019</v>
      </c>
      <c r="E446" s="4"/>
      <c r="F446" s="4" t="s">
        <v>169</v>
      </c>
      <c r="G446" s="4" t="s">
        <v>170</v>
      </c>
      <c r="H446" s="4" t="s">
        <v>171</v>
      </c>
      <c r="I446" s="4" t="s">
        <v>172</v>
      </c>
      <c r="J446" s="4" t="s">
        <v>621</v>
      </c>
      <c r="K446" s="4" t="s">
        <v>105</v>
      </c>
      <c r="L446" s="4" t="s">
        <v>106</v>
      </c>
      <c r="M446" s="4"/>
      <c r="N446" s="4"/>
      <c r="O446" s="4"/>
      <c r="P446" s="4"/>
      <c r="Q446" s="4"/>
      <c r="R446" s="4"/>
      <c r="S446" s="13" t="n">
        <v>67.31</v>
      </c>
      <c r="T446" s="4" t="s">
        <v>173</v>
      </c>
      <c r="U446" s="14" t="n">
        <f aca="false">IF(OR($S446="",PARAMETROS!$B$4=""),"",$S446*PARAMETROS!$B$4)</f>
        <v>391.0711</v>
      </c>
      <c r="V446" s="13" t="n">
        <v>0</v>
      </c>
      <c r="W446" s="4"/>
      <c r="X446" s="4"/>
      <c r="Y446" s="4"/>
      <c r="Z446" s="4"/>
      <c r="AA446" s="4"/>
      <c r="AB446" s="4"/>
      <c r="AC446" s="4"/>
      <c r="AD446" s="4"/>
      <c r="AE446" s="4"/>
      <c r="AF446" s="4"/>
      <c r="AG446" s="4"/>
      <c r="AH446" s="4"/>
      <c r="AI446" s="4"/>
      <c r="AJ446" s="4"/>
      <c r="AK446" s="4"/>
      <c r="AL446" s="4" t="s">
        <v>174</v>
      </c>
      <c r="AM446" s="4" t="s">
        <v>205</v>
      </c>
    </row>
    <row r="447" customFormat="false" ht="23.85" hidden="false" customHeight="false" outlineLevel="0" collapsed="false">
      <c r="A447" s="4" t="s">
        <v>167</v>
      </c>
      <c r="B447" s="4" t="s">
        <v>622</v>
      </c>
      <c r="C447" s="4" t="s">
        <v>622</v>
      </c>
      <c r="D447" s="12" t="n">
        <v>2019</v>
      </c>
      <c r="E447" s="4"/>
      <c r="F447" s="4" t="s">
        <v>169</v>
      </c>
      <c r="G447" s="4" t="s">
        <v>170</v>
      </c>
      <c r="H447" s="4" t="s">
        <v>171</v>
      </c>
      <c r="I447" s="4" t="s">
        <v>172</v>
      </c>
      <c r="J447" s="4" t="s">
        <v>622</v>
      </c>
      <c r="K447" s="4" t="s">
        <v>105</v>
      </c>
      <c r="L447" s="4" t="s">
        <v>106</v>
      </c>
      <c r="M447" s="4"/>
      <c r="N447" s="4"/>
      <c r="O447" s="4"/>
      <c r="P447" s="4"/>
      <c r="Q447" s="4"/>
      <c r="R447" s="4"/>
      <c r="S447" s="13" t="n">
        <v>673.07</v>
      </c>
      <c r="T447" s="4" t="s">
        <v>173</v>
      </c>
      <c r="U447" s="14" t="n">
        <f aca="false">IF(OR($S447="",PARAMETROS!$B$4=""),"",$S447*PARAMETROS!$B$4)</f>
        <v>3910.5367</v>
      </c>
      <c r="V447" s="13" t="n">
        <v>0</v>
      </c>
      <c r="W447" s="4"/>
      <c r="X447" s="4"/>
      <c r="Y447" s="4"/>
      <c r="Z447" s="4"/>
      <c r="AA447" s="4"/>
      <c r="AB447" s="4"/>
      <c r="AC447" s="4"/>
      <c r="AD447" s="4"/>
      <c r="AE447" s="4"/>
      <c r="AF447" s="4"/>
      <c r="AG447" s="4"/>
      <c r="AH447" s="4"/>
      <c r="AI447" s="4"/>
      <c r="AJ447" s="4"/>
      <c r="AK447" s="4"/>
      <c r="AL447" s="4" t="s">
        <v>174</v>
      </c>
      <c r="AM447" s="4" t="s">
        <v>205</v>
      </c>
    </row>
    <row r="448" customFormat="false" ht="23.85" hidden="false" customHeight="false" outlineLevel="0" collapsed="false">
      <c r="A448" s="4" t="s">
        <v>167</v>
      </c>
      <c r="B448" s="4" t="s">
        <v>623</v>
      </c>
      <c r="C448" s="4" t="s">
        <v>623</v>
      </c>
      <c r="D448" s="12" t="n">
        <v>2019</v>
      </c>
      <c r="E448" s="4"/>
      <c r="F448" s="4" t="s">
        <v>169</v>
      </c>
      <c r="G448" s="4" t="s">
        <v>170</v>
      </c>
      <c r="H448" s="4" t="s">
        <v>171</v>
      </c>
      <c r="I448" s="4" t="s">
        <v>172</v>
      </c>
      <c r="J448" s="4" t="s">
        <v>623</v>
      </c>
      <c r="K448" s="4" t="s">
        <v>105</v>
      </c>
      <c r="L448" s="4" t="s">
        <v>106</v>
      </c>
      <c r="M448" s="4"/>
      <c r="N448" s="4"/>
      <c r="O448" s="4"/>
      <c r="P448" s="4"/>
      <c r="Q448" s="4"/>
      <c r="R448" s="4"/>
      <c r="S448" s="13" t="n">
        <v>0</v>
      </c>
      <c r="T448" s="4" t="s">
        <v>173</v>
      </c>
      <c r="U448" s="14" t="n">
        <f aca="false">IF(OR($S448="",PARAMETROS!$B$4=""),"",$S448*PARAMETROS!$B$4)</f>
        <v>0</v>
      </c>
      <c r="V448" s="13" t="n">
        <v>0</v>
      </c>
      <c r="W448" s="4"/>
      <c r="X448" s="4"/>
      <c r="Y448" s="4"/>
      <c r="Z448" s="4"/>
      <c r="AA448" s="4"/>
      <c r="AB448" s="4"/>
      <c r="AC448" s="4"/>
      <c r="AD448" s="4"/>
      <c r="AE448" s="4"/>
      <c r="AF448" s="4"/>
      <c r="AG448" s="4"/>
      <c r="AH448" s="4"/>
      <c r="AI448" s="4"/>
      <c r="AJ448" s="4"/>
      <c r="AK448" s="4"/>
      <c r="AL448" s="4" t="s">
        <v>174</v>
      </c>
      <c r="AM448" s="4" t="s">
        <v>205</v>
      </c>
    </row>
    <row r="449" customFormat="false" ht="23.85" hidden="false" customHeight="false" outlineLevel="0" collapsed="false">
      <c r="A449" s="4" t="s">
        <v>167</v>
      </c>
      <c r="B449" s="4" t="s">
        <v>624</v>
      </c>
      <c r="C449" s="4" t="s">
        <v>624</v>
      </c>
      <c r="D449" s="12" t="n">
        <v>2019</v>
      </c>
      <c r="E449" s="4"/>
      <c r="F449" s="4" t="s">
        <v>169</v>
      </c>
      <c r="G449" s="4" t="s">
        <v>170</v>
      </c>
      <c r="H449" s="4" t="s">
        <v>171</v>
      </c>
      <c r="I449" s="4" t="s">
        <v>172</v>
      </c>
      <c r="J449" s="4" t="s">
        <v>624</v>
      </c>
      <c r="K449" s="4" t="s">
        <v>105</v>
      </c>
      <c r="L449" s="4" t="s">
        <v>106</v>
      </c>
      <c r="M449" s="4"/>
      <c r="N449" s="4"/>
      <c r="O449" s="4"/>
      <c r="P449" s="4"/>
      <c r="Q449" s="4"/>
      <c r="R449" s="4"/>
      <c r="S449" s="13" t="n">
        <v>0</v>
      </c>
      <c r="T449" s="4" t="s">
        <v>173</v>
      </c>
      <c r="U449" s="14" t="n">
        <f aca="false">IF(OR($S449="",PARAMETROS!$B$4=""),"",$S449*PARAMETROS!$B$4)</f>
        <v>0</v>
      </c>
      <c r="V449" s="13" t="n">
        <v>0</v>
      </c>
      <c r="W449" s="4"/>
      <c r="X449" s="4"/>
      <c r="Y449" s="4"/>
      <c r="Z449" s="4"/>
      <c r="AA449" s="4"/>
      <c r="AB449" s="4"/>
      <c r="AC449" s="4"/>
      <c r="AD449" s="4"/>
      <c r="AE449" s="4"/>
      <c r="AF449" s="4"/>
      <c r="AG449" s="4"/>
      <c r="AH449" s="4"/>
      <c r="AI449" s="4"/>
      <c r="AJ449" s="4"/>
      <c r="AK449" s="4"/>
      <c r="AL449" s="4" t="s">
        <v>174</v>
      </c>
      <c r="AM449" s="4" t="s">
        <v>205</v>
      </c>
    </row>
    <row r="450" customFormat="false" ht="23.85" hidden="false" customHeight="false" outlineLevel="0" collapsed="false">
      <c r="A450" s="4" t="s">
        <v>167</v>
      </c>
      <c r="B450" s="4" t="s">
        <v>625</v>
      </c>
      <c r="C450" s="4" t="s">
        <v>625</v>
      </c>
      <c r="D450" s="12" t="n">
        <v>2019</v>
      </c>
      <c r="E450" s="4"/>
      <c r="F450" s="4" t="s">
        <v>169</v>
      </c>
      <c r="G450" s="4" t="s">
        <v>170</v>
      </c>
      <c r="H450" s="4" t="s">
        <v>171</v>
      </c>
      <c r="I450" s="4" t="s">
        <v>172</v>
      </c>
      <c r="J450" s="4" t="s">
        <v>625</v>
      </c>
      <c r="K450" s="4" t="s">
        <v>107</v>
      </c>
      <c r="L450" s="4" t="s">
        <v>108</v>
      </c>
      <c r="M450" s="4"/>
      <c r="N450" s="4"/>
      <c r="O450" s="4"/>
      <c r="P450" s="4"/>
      <c r="Q450" s="4"/>
      <c r="R450" s="4"/>
      <c r="S450" s="13" t="n">
        <v>0</v>
      </c>
      <c r="T450" s="4" t="s">
        <v>173</v>
      </c>
      <c r="U450" s="14" t="n">
        <f aca="false">IF(OR($S450="",PARAMETROS!$B$4=""),"",$S450*PARAMETROS!$B$4)</f>
        <v>0</v>
      </c>
      <c r="V450" s="13" t="n">
        <v>0</v>
      </c>
      <c r="W450" s="4"/>
      <c r="X450" s="4"/>
      <c r="Y450" s="4"/>
      <c r="Z450" s="4"/>
      <c r="AA450" s="4"/>
      <c r="AB450" s="4"/>
      <c r="AC450" s="4"/>
      <c r="AD450" s="4"/>
      <c r="AE450" s="4"/>
      <c r="AF450" s="4"/>
      <c r="AG450" s="4"/>
      <c r="AH450" s="4"/>
      <c r="AI450" s="4"/>
      <c r="AJ450" s="4"/>
      <c r="AK450" s="4"/>
      <c r="AL450" s="4" t="s">
        <v>174</v>
      </c>
      <c r="AM450" s="4" t="s">
        <v>205</v>
      </c>
    </row>
    <row r="451" customFormat="false" ht="23.85" hidden="false" customHeight="false" outlineLevel="0" collapsed="false">
      <c r="A451" s="4" t="s">
        <v>167</v>
      </c>
      <c r="B451" s="4" t="s">
        <v>626</v>
      </c>
      <c r="C451" s="4" t="s">
        <v>626</v>
      </c>
      <c r="D451" s="12" t="n">
        <v>2019</v>
      </c>
      <c r="E451" s="4"/>
      <c r="F451" s="4" t="s">
        <v>169</v>
      </c>
      <c r="G451" s="4" t="s">
        <v>170</v>
      </c>
      <c r="H451" s="4" t="s">
        <v>171</v>
      </c>
      <c r="I451" s="4" t="s">
        <v>172</v>
      </c>
      <c r="J451" s="4" t="s">
        <v>626</v>
      </c>
      <c r="K451" s="4" t="s">
        <v>107</v>
      </c>
      <c r="L451" s="4" t="s">
        <v>108</v>
      </c>
      <c r="M451" s="4"/>
      <c r="N451" s="4"/>
      <c r="O451" s="4"/>
      <c r="P451" s="4"/>
      <c r="Q451" s="4"/>
      <c r="R451" s="4"/>
      <c r="S451" s="13" t="n">
        <v>813.67</v>
      </c>
      <c r="T451" s="4" t="s">
        <v>173</v>
      </c>
      <c r="U451" s="14" t="n">
        <f aca="false">IF(OR($S451="",PARAMETROS!$B$4=""),"",$S451*PARAMETROS!$B$4)</f>
        <v>4727.4227</v>
      </c>
      <c r="V451" s="13" t="n">
        <v>0</v>
      </c>
      <c r="W451" s="4"/>
      <c r="X451" s="4"/>
      <c r="Y451" s="4"/>
      <c r="Z451" s="4"/>
      <c r="AA451" s="4"/>
      <c r="AB451" s="4"/>
      <c r="AC451" s="4"/>
      <c r="AD451" s="4"/>
      <c r="AE451" s="4"/>
      <c r="AF451" s="4"/>
      <c r="AG451" s="4"/>
      <c r="AH451" s="4"/>
      <c r="AI451" s="4"/>
      <c r="AJ451" s="4"/>
      <c r="AK451" s="4"/>
      <c r="AL451" s="4" t="s">
        <v>174</v>
      </c>
      <c r="AM451" s="4" t="s">
        <v>205</v>
      </c>
    </row>
    <row r="452" customFormat="false" ht="23.85" hidden="false" customHeight="false" outlineLevel="0" collapsed="false">
      <c r="A452" s="4" t="s">
        <v>167</v>
      </c>
      <c r="B452" s="4" t="s">
        <v>627</v>
      </c>
      <c r="C452" s="4" t="s">
        <v>627</v>
      </c>
      <c r="D452" s="12" t="n">
        <v>2019</v>
      </c>
      <c r="E452" s="4"/>
      <c r="F452" s="4" t="s">
        <v>169</v>
      </c>
      <c r="G452" s="4" t="s">
        <v>170</v>
      </c>
      <c r="H452" s="4" t="s">
        <v>171</v>
      </c>
      <c r="I452" s="4" t="s">
        <v>172</v>
      </c>
      <c r="J452" s="4" t="s">
        <v>627</v>
      </c>
      <c r="K452" s="4" t="s">
        <v>107</v>
      </c>
      <c r="L452" s="4" t="s">
        <v>108</v>
      </c>
      <c r="M452" s="4"/>
      <c r="N452" s="4"/>
      <c r="O452" s="4"/>
      <c r="P452" s="4"/>
      <c r="Q452" s="4"/>
      <c r="R452" s="4"/>
      <c r="S452" s="13" t="n">
        <v>31.81</v>
      </c>
      <c r="T452" s="4" t="s">
        <v>173</v>
      </c>
      <c r="U452" s="14" t="n">
        <f aca="false">IF(OR($S452="",PARAMETROS!$B$4=""),"",$S452*PARAMETROS!$B$4)</f>
        <v>184.8161</v>
      </c>
      <c r="V452" s="13" t="n">
        <v>0</v>
      </c>
      <c r="W452" s="4"/>
      <c r="X452" s="4"/>
      <c r="Y452" s="4"/>
      <c r="Z452" s="4"/>
      <c r="AA452" s="4"/>
      <c r="AB452" s="4"/>
      <c r="AC452" s="4"/>
      <c r="AD452" s="4"/>
      <c r="AE452" s="4"/>
      <c r="AF452" s="4"/>
      <c r="AG452" s="4"/>
      <c r="AH452" s="4"/>
      <c r="AI452" s="4"/>
      <c r="AJ452" s="4"/>
      <c r="AK452" s="4"/>
      <c r="AL452" s="4" t="s">
        <v>174</v>
      </c>
      <c r="AM452" s="4" t="s">
        <v>205</v>
      </c>
    </row>
    <row r="453" customFormat="false" ht="23.85" hidden="false" customHeight="false" outlineLevel="0" collapsed="false">
      <c r="A453" s="4" t="s">
        <v>167</v>
      </c>
      <c r="B453" s="4" t="s">
        <v>628</v>
      </c>
      <c r="C453" s="4" t="s">
        <v>628</v>
      </c>
      <c r="D453" s="12" t="n">
        <v>2019</v>
      </c>
      <c r="E453" s="4"/>
      <c r="F453" s="4" t="s">
        <v>169</v>
      </c>
      <c r="G453" s="4" t="s">
        <v>170</v>
      </c>
      <c r="H453" s="4" t="s">
        <v>171</v>
      </c>
      <c r="I453" s="4" t="s">
        <v>172</v>
      </c>
      <c r="J453" s="4" t="s">
        <v>628</v>
      </c>
      <c r="K453" s="4" t="s">
        <v>107</v>
      </c>
      <c r="L453" s="4" t="s">
        <v>108</v>
      </c>
      <c r="M453" s="4"/>
      <c r="N453" s="4"/>
      <c r="O453" s="4"/>
      <c r="P453" s="4"/>
      <c r="Q453" s="4"/>
      <c r="R453" s="4"/>
      <c r="S453" s="13" t="n">
        <v>-12.34</v>
      </c>
      <c r="T453" s="4" t="s">
        <v>173</v>
      </c>
      <c r="U453" s="14" t="n">
        <f aca="false">IF(OR($S453="",PARAMETROS!$B$4=""),"",$S453*PARAMETROS!$B$4)</f>
        <v>-71.6954</v>
      </c>
      <c r="V453" s="13" t="n">
        <v>0</v>
      </c>
      <c r="W453" s="4"/>
      <c r="X453" s="4"/>
      <c r="Y453" s="4"/>
      <c r="Z453" s="4"/>
      <c r="AA453" s="4"/>
      <c r="AB453" s="4"/>
      <c r="AC453" s="4"/>
      <c r="AD453" s="4"/>
      <c r="AE453" s="4"/>
      <c r="AF453" s="4"/>
      <c r="AG453" s="4"/>
      <c r="AH453" s="4"/>
      <c r="AI453" s="4"/>
      <c r="AJ453" s="4"/>
      <c r="AK453" s="4"/>
      <c r="AL453" s="4" t="s">
        <v>174</v>
      </c>
      <c r="AM453" s="4" t="s">
        <v>205</v>
      </c>
    </row>
    <row r="454" customFormat="false" ht="23.85" hidden="false" customHeight="false" outlineLevel="0" collapsed="false">
      <c r="A454" s="4" t="s">
        <v>167</v>
      </c>
      <c r="B454" s="4" t="s">
        <v>629</v>
      </c>
      <c r="C454" s="4" t="s">
        <v>629</v>
      </c>
      <c r="D454" s="12" t="n">
        <v>2019</v>
      </c>
      <c r="E454" s="4"/>
      <c r="F454" s="4" t="s">
        <v>169</v>
      </c>
      <c r="G454" s="4" t="s">
        <v>170</v>
      </c>
      <c r="H454" s="4" t="s">
        <v>171</v>
      </c>
      <c r="I454" s="4" t="s">
        <v>172</v>
      </c>
      <c r="J454" s="4" t="s">
        <v>629</v>
      </c>
      <c r="K454" s="4" t="s">
        <v>107</v>
      </c>
      <c r="L454" s="4" t="s">
        <v>108</v>
      </c>
      <c r="M454" s="4"/>
      <c r="N454" s="4"/>
      <c r="O454" s="4"/>
      <c r="P454" s="4"/>
      <c r="Q454" s="4"/>
      <c r="R454" s="4"/>
      <c r="S454" s="13" t="n">
        <v>0</v>
      </c>
      <c r="T454" s="4" t="s">
        <v>173</v>
      </c>
      <c r="U454" s="14" t="n">
        <f aca="false">IF(OR($S454="",PARAMETROS!$B$4=""),"",$S454*PARAMETROS!$B$4)</f>
        <v>0</v>
      </c>
      <c r="V454" s="13" t="n">
        <v>0</v>
      </c>
      <c r="W454" s="4"/>
      <c r="X454" s="4"/>
      <c r="Y454" s="4"/>
      <c r="Z454" s="4"/>
      <c r="AA454" s="4"/>
      <c r="AB454" s="4"/>
      <c r="AC454" s="4"/>
      <c r="AD454" s="4"/>
      <c r="AE454" s="4"/>
      <c r="AF454" s="4"/>
      <c r="AG454" s="4"/>
      <c r="AH454" s="4"/>
      <c r="AI454" s="4"/>
      <c r="AJ454" s="4"/>
      <c r="AK454" s="4"/>
      <c r="AL454" s="4" t="s">
        <v>174</v>
      </c>
      <c r="AM454" s="4" t="s">
        <v>205</v>
      </c>
    </row>
    <row r="455" customFormat="false" ht="23.85" hidden="false" customHeight="false" outlineLevel="0" collapsed="false">
      <c r="A455" s="4" t="s">
        <v>167</v>
      </c>
      <c r="B455" s="4" t="s">
        <v>630</v>
      </c>
      <c r="C455" s="4" t="s">
        <v>630</v>
      </c>
      <c r="D455" s="12" t="n">
        <v>2019</v>
      </c>
      <c r="E455" s="4"/>
      <c r="F455" s="4" t="s">
        <v>169</v>
      </c>
      <c r="G455" s="4" t="s">
        <v>170</v>
      </c>
      <c r="H455" s="4" t="s">
        <v>171</v>
      </c>
      <c r="I455" s="4" t="s">
        <v>172</v>
      </c>
      <c r="J455" s="4" t="s">
        <v>630</v>
      </c>
      <c r="K455" s="4" t="s">
        <v>107</v>
      </c>
      <c r="L455" s="4" t="s">
        <v>108</v>
      </c>
      <c r="M455" s="4"/>
      <c r="N455" s="4"/>
      <c r="O455" s="4"/>
      <c r="P455" s="4"/>
      <c r="Q455" s="4"/>
      <c r="R455" s="4"/>
      <c r="S455" s="13" t="n">
        <v>0</v>
      </c>
      <c r="T455" s="4" t="s">
        <v>173</v>
      </c>
      <c r="U455" s="14" t="n">
        <f aca="false">IF(OR($S455="",PARAMETROS!$B$4=""),"",$S455*PARAMETROS!$B$4)</f>
        <v>0</v>
      </c>
      <c r="V455" s="13" t="n">
        <v>0</v>
      </c>
      <c r="W455" s="4"/>
      <c r="X455" s="4"/>
      <c r="Y455" s="4"/>
      <c r="Z455" s="4"/>
      <c r="AA455" s="4"/>
      <c r="AB455" s="4"/>
      <c r="AC455" s="4"/>
      <c r="AD455" s="4"/>
      <c r="AE455" s="4"/>
      <c r="AF455" s="4"/>
      <c r="AG455" s="4"/>
      <c r="AH455" s="4"/>
      <c r="AI455" s="4"/>
      <c r="AJ455" s="4"/>
      <c r="AK455" s="4"/>
      <c r="AL455" s="4" t="s">
        <v>174</v>
      </c>
      <c r="AM455" s="4" t="s">
        <v>205</v>
      </c>
    </row>
    <row r="456" customFormat="false" ht="23.85" hidden="false" customHeight="false" outlineLevel="0" collapsed="false">
      <c r="A456" s="4" t="s">
        <v>167</v>
      </c>
      <c r="B456" s="4" t="s">
        <v>631</v>
      </c>
      <c r="C456" s="4" t="s">
        <v>631</v>
      </c>
      <c r="D456" s="12" t="n">
        <v>2019</v>
      </c>
      <c r="E456" s="4"/>
      <c r="F456" s="4" t="s">
        <v>169</v>
      </c>
      <c r="G456" s="4" t="s">
        <v>170</v>
      </c>
      <c r="H456" s="4" t="s">
        <v>171</v>
      </c>
      <c r="I456" s="4" t="s">
        <v>172</v>
      </c>
      <c r="J456" s="4" t="s">
        <v>631</v>
      </c>
      <c r="K456" s="4" t="s">
        <v>107</v>
      </c>
      <c r="L456" s="4" t="s">
        <v>108</v>
      </c>
      <c r="M456" s="4"/>
      <c r="N456" s="4"/>
      <c r="O456" s="4"/>
      <c r="P456" s="4"/>
      <c r="Q456" s="4"/>
      <c r="R456" s="4"/>
      <c r="S456" s="13" t="n">
        <v>0</v>
      </c>
      <c r="T456" s="4" t="s">
        <v>173</v>
      </c>
      <c r="U456" s="14" t="n">
        <f aca="false">IF(OR($S456="",PARAMETROS!$B$4=""),"",$S456*PARAMETROS!$B$4)</f>
        <v>0</v>
      </c>
      <c r="V456" s="13" t="n">
        <v>0</v>
      </c>
      <c r="W456" s="4"/>
      <c r="X456" s="4"/>
      <c r="Y456" s="4"/>
      <c r="Z456" s="4"/>
      <c r="AA456" s="4"/>
      <c r="AB456" s="4"/>
      <c r="AC456" s="4"/>
      <c r="AD456" s="4"/>
      <c r="AE456" s="4"/>
      <c r="AF456" s="4"/>
      <c r="AG456" s="4"/>
      <c r="AH456" s="4"/>
      <c r="AI456" s="4"/>
      <c r="AJ456" s="4"/>
      <c r="AK456" s="4"/>
      <c r="AL456" s="4" t="s">
        <v>174</v>
      </c>
      <c r="AM456" s="4" t="s">
        <v>205</v>
      </c>
    </row>
    <row r="457" customFormat="false" ht="23.85" hidden="false" customHeight="false" outlineLevel="0" collapsed="false">
      <c r="A457" s="4" t="s">
        <v>167</v>
      </c>
      <c r="B457" s="4" t="s">
        <v>632</v>
      </c>
      <c r="C457" s="4" t="s">
        <v>632</v>
      </c>
      <c r="D457" s="12" t="n">
        <v>2019</v>
      </c>
      <c r="E457" s="4"/>
      <c r="F457" s="4" t="s">
        <v>169</v>
      </c>
      <c r="G457" s="4" t="s">
        <v>170</v>
      </c>
      <c r="H457" s="4" t="s">
        <v>171</v>
      </c>
      <c r="I457" s="4" t="s">
        <v>172</v>
      </c>
      <c r="J457" s="4" t="s">
        <v>632</v>
      </c>
      <c r="K457" s="4" t="s">
        <v>107</v>
      </c>
      <c r="L457" s="4" t="s">
        <v>108</v>
      </c>
      <c r="M457" s="4"/>
      <c r="N457" s="4"/>
      <c r="O457" s="4"/>
      <c r="P457" s="4"/>
      <c r="Q457" s="4"/>
      <c r="R457" s="4"/>
      <c r="S457" s="13" t="n">
        <v>0</v>
      </c>
      <c r="T457" s="4" t="s">
        <v>173</v>
      </c>
      <c r="U457" s="14" t="n">
        <f aca="false">IF(OR($S457="",PARAMETROS!$B$4=""),"",$S457*PARAMETROS!$B$4)</f>
        <v>0</v>
      </c>
      <c r="V457" s="13" t="n">
        <v>0</v>
      </c>
      <c r="W457" s="4"/>
      <c r="X457" s="4"/>
      <c r="Y457" s="4"/>
      <c r="Z457" s="4"/>
      <c r="AA457" s="4"/>
      <c r="AB457" s="4"/>
      <c r="AC457" s="4"/>
      <c r="AD457" s="4"/>
      <c r="AE457" s="4"/>
      <c r="AF457" s="4"/>
      <c r="AG457" s="4"/>
      <c r="AH457" s="4"/>
      <c r="AI457" s="4"/>
      <c r="AJ457" s="4"/>
      <c r="AK457" s="4"/>
      <c r="AL457" s="4" t="s">
        <v>174</v>
      </c>
      <c r="AM457" s="4" t="s">
        <v>205</v>
      </c>
    </row>
    <row r="458" customFormat="false" ht="23.85" hidden="false" customHeight="false" outlineLevel="0" collapsed="false">
      <c r="A458" s="4" t="s">
        <v>167</v>
      </c>
      <c r="B458" s="4" t="s">
        <v>633</v>
      </c>
      <c r="C458" s="4" t="s">
        <v>633</v>
      </c>
      <c r="D458" s="12" t="n">
        <v>2019</v>
      </c>
      <c r="E458" s="4"/>
      <c r="F458" s="4" t="s">
        <v>169</v>
      </c>
      <c r="G458" s="4" t="s">
        <v>170</v>
      </c>
      <c r="H458" s="4" t="s">
        <v>171</v>
      </c>
      <c r="I458" s="4" t="s">
        <v>172</v>
      </c>
      <c r="J458" s="4" t="s">
        <v>633</v>
      </c>
      <c r="K458" s="4" t="s">
        <v>107</v>
      </c>
      <c r="L458" s="4" t="s">
        <v>108</v>
      </c>
      <c r="M458" s="4"/>
      <c r="N458" s="4"/>
      <c r="O458" s="4"/>
      <c r="P458" s="4"/>
      <c r="Q458" s="4"/>
      <c r="R458" s="4"/>
      <c r="S458" s="13" t="n">
        <v>737.55</v>
      </c>
      <c r="T458" s="4" t="s">
        <v>173</v>
      </c>
      <c r="U458" s="14" t="n">
        <f aca="false">IF(OR($S458="",PARAMETROS!$B$4=""),"",$S458*PARAMETROS!$B$4)</f>
        <v>4285.1655</v>
      </c>
      <c r="V458" s="13" t="n">
        <v>0</v>
      </c>
      <c r="W458" s="4"/>
      <c r="X458" s="4"/>
      <c r="Y458" s="4"/>
      <c r="Z458" s="4"/>
      <c r="AA458" s="4"/>
      <c r="AB458" s="4"/>
      <c r="AC458" s="4"/>
      <c r="AD458" s="4"/>
      <c r="AE458" s="4"/>
      <c r="AF458" s="4"/>
      <c r="AG458" s="4"/>
      <c r="AH458" s="4"/>
      <c r="AI458" s="4"/>
      <c r="AJ458" s="4"/>
      <c r="AK458" s="4"/>
      <c r="AL458" s="4" t="s">
        <v>174</v>
      </c>
      <c r="AM458" s="4" t="s">
        <v>205</v>
      </c>
    </row>
    <row r="459" customFormat="false" ht="23.85" hidden="false" customHeight="false" outlineLevel="0" collapsed="false">
      <c r="A459" s="4" t="s">
        <v>167</v>
      </c>
      <c r="B459" s="4" t="s">
        <v>634</v>
      </c>
      <c r="C459" s="4" t="s">
        <v>634</v>
      </c>
      <c r="D459" s="12" t="n">
        <v>2019</v>
      </c>
      <c r="E459" s="4"/>
      <c r="F459" s="4" t="s">
        <v>169</v>
      </c>
      <c r="G459" s="4" t="s">
        <v>170</v>
      </c>
      <c r="H459" s="4" t="s">
        <v>171</v>
      </c>
      <c r="I459" s="4" t="s">
        <v>172</v>
      </c>
      <c r="J459" s="4" t="s">
        <v>634</v>
      </c>
      <c r="K459" s="4" t="s">
        <v>107</v>
      </c>
      <c r="L459" s="4" t="s">
        <v>108</v>
      </c>
      <c r="M459" s="4"/>
      <c r="N459" s="4"/>
      <c r="O459" s="4"/>
      <c r="P459" s="4"/>
      <c r="Q459" s="4"/>
      <c r="R459" s="4"/>
      <c r="S459" s="13" t="n">
        <v>26.86</v>
      </c>
      <c r="T459" s="4" t="s">
        <v>173</v>
      </c>
      <c r="U459" s="14" t="n">
        <f aca="false">IF(OR($S459="",PARAMETROS!$B$4=""),"",$S459*PARAMETROS!$B$4)</f>
        <v>156.0566</v>
      </c>
      <c r="V459" s="13" t="n">
        <v>0</v>
      </c>
      <c r="W459" s="4"/>
      <c r="X459" s="4"/>
      <c r="Y459" s="4"/>
      <c r="Z459" s="4"/>
      <c r="AA459" s="4"/>
      <c r="AB459" s="4"/>
      <c r="AC459" s="4"/>
      <c r="AD459" s="4"/>
      <c r="AE459" s="4"/>
      <c r="AF459" s="4"/>
      <c r="AG459" s="4"/>
      <c r="AH459" s="4"/>
      <c r="AI459" s="4"/>
      <c r="AJ459" s="4"/>
      <c r="AK459" s="4"/>
      <c r="AL459" s="4" t="s">
        <v>174</v>
      </c>
      <c r="AM459" s="4" t="s">
        <v>205</v>
      </c>
    </row>
    <row r="460" customFormat="false" ht="23.85" hidden="false" customHeight="false" outlineLevel="0" collapsed="false">
      <c r="A460" s="4" t="s">
        <v>167</v>
      </c>
      <c r="B460" s="4" t="s">
        <v>635</v>
      </c>
      <c r="C460" s="4" t="s">
        <v>635</v>
      </c>
      <c r="D460" s="12" t="n">
        <v>2019</v>
      </c>
      <c r="E460" s="4"/>
      <c r="F460" s="4" t="s">
        <v>169</v>
      </c>
      <c r="G460" s="4" t="s">
        <v>170</v>
      </c>
      <c r="H460" s="4" t="s">
        <v>171</v>
      </c>
      <c r="I460" s="4" t="s">
        <v>172</v>
      </c>
      <c r="J460" s="4" t="s">
        <v>635</v>
      </c>
      <c r="K460" s="4" t="s">
        <v>107</v>
      </c>
      <c r="L460" s="4" t="s">
        <v>108</v>
      </c>
      <c r="M460" s="4"/>
      <c r="N460" s="4"/>
      <c r="O460" s="4"/>
      <c r="P460" s="4"/>
      <c r="Q460" s="4"/>
      <c r="R460" s="4"/>
      <c r="S460" s="13" t="n">
        <v>1.28</v>
      </c>
      <c r="T460" s="4" t="s">
        <v>173</v>
      </c>
      <c r="U460" s="14" t="n">
        <f aca="false">IF(OR($S460="",PARAMETROS!$B$4=""),"",$S460*PARAMETROS!$B$4)</f>
        <v>7.4368</v>
      </c>
      <c r="V460" s="13" t="n">
        <v>0</v>
      </c>
      <c r="W460" s="4"/>
      <c r="X460" s="4"/>
      <c r="Y460" s="4"/>
      <c r="Z460" s="4"/>
      <c r="AA460" s="4"/>
      <c r="AB460" s="4"/>
      <c r="AC460" s="4"/>
      <c r="AD460" s="4"/>
      <c r="AE460" s="4"/>
      <c r="AF460" s="4"/>
      <c r="AG460" s="4"/>
      <c r="AH460" s="4"/>
      <c r="AI460" s="4"/>
      <c r="AJ460" s="4"/>
      <c r="AK460" s="4"/>
      <c r="AL460" s="4" t="s">
        <v>174</v>
      </c>
      <c r="AM460" s="4" t="s">
        <v>205</v>
      </c>
    </row>
    <row r="461" customFormat="false" ht="23.85" hidden="false" customHeight="false" outlineLevel="0" collapsed="false">
      <c r="A461" s="4" t="s">
        <v>167</v>
      </c>
      <c r="B461" s="4" t="s">
        <v>636</v>
      </c>
      <c r="C461" s="4" t="s">
        <v>636</v>
      </c>
      <c r="D461" s="12" t="n">
        <v>2019</v>
      </c>
      <c r="E461" s="4"/>
      <c r="F461" s="4" t="s">
        <v>169</v>
      </c>
      <c r="G461" s="4" t="s">
        <v>170</v>
      </c>
      <c r="H461" s="4" t="s">
        <v>171</v>
      </c>
      <c r="I461" s="4" t="s">
        <v>172</v>
      </c>
      <c r="J461" s="4" t="s">
        <v>636</v>
      </c>
      <c r="K461" s="4" t="s">
        <v>107</v>
      </c>
      <c r="L461" s="4" t="s">
        <v>108</v>
      </c>
      <c r="M461" s="4"/>
      <c r="N461" s="4"/>
      <c r="O461" s="4"/>
      <c r="P461" s="4"/>
      <c r="Q461" s="4"/>
      <c r="R461" s="4"/>
      <c r="S461" s="13" t="n">
        <v>3.84</v>
      </c>
      <c r="T461" s="4" t="s">
        <v>173</v>
      </c>
      <c r="U461" s="14" t="n">
        <f aca="false">IF(OR($S461="",PARAMETROS!$B$4=""),"",$S461*PARAMETROS!$B$4)</f>
        <v>22.3104</v>
      </c>
      <c r="V461" s="13" t="n">
        <v>0</v>
      </c>
      <c r="W461" s="4"/>
      <c r="X461" s="4"/>
      <c r="Y461" s="4"/>
      <c r="Z461" s="4"/>
      <c r="AA461" s="4"/>
      <c r="AB461" s="4"/>
      <c r="AC461" s="4"/>
      <c r="AD461" s="4"/>
      <c r="AE461" s="4"/>
      <c r="AF461" s="4"/>
      <c r="AG461" s="4"/>
      <c r="AH461" s="4"/>
      <c r="AI461" s="4"/>
      <c r="AJ461" s="4"/>
      <c r="AK461" s="4"/>
      <c r="AL461" s="4" t="s">
        <v>174</v>
      </c>
      <c r="AM461" s="4" t="s">
        <v>205</v>
      </c>
    </row>
    <row r="462" customFormat="false" ht="23.85" hidden="false" customHeight="false" outlineLevel="0" collapsed="false">
      <c r="A462" s="4" t="s">
        <v>167</v>
      </c>
      <c r="B462" s="4" t="s">
        <v>637</v>
      </c>
      <c r="C462" s="4" t="s">
        <v>637</v>
      </c>
      <c r="D462" s="12" t="n">
        <v>2019</v>
      </c>
      <c r="E462" s="4"/>
      <c r="F462" s="4" t="s">
        <v>169</v>
      </c>
      <c r="G462" s="4" t="s">
        <v>170</v>
      </c>
      <c r="H462" s="4" t="s">
        <v>171</v>
      </c>
      <c r="I462" s="4" t="s">
        <v>172</v>
      </c>
      <c r="J462" s="4" t="s">
        <v>637</v>
      </c>
      <c r="K462" s="4" t="s">
        <v>107</v>
      </c>
      <c r="L462" s="4" t="s">
        <v>108</v>
      </c>
      <c r="M462" s="4"/>
      <c r="N462" s="4"/>
      <c r="O462" s="4"/>
      <c r="P462" s="4"/>
      <c r="Q462" s="4"/>
      <c r="R462" s="4"/>
      <c r="S462" s="13" t="n">
        <v>0</v>
      </c>
      <c r="T462" s="4" t="s">
        <v>173</v>
      </c>
      <c r="U462" s="14" t="n">
        <f aca="false">IF(OR($S462="",PARAMETROS!$B$4=""),"",$S462*PARAMETROS!$B$4)</f>
        <v>0</v>
      </c>
      <c r="V462" s="13" t="n">
        <v>0</v>
      </c>
      <c r="W462" s="4"/>
      <c r="X462" s="4"/>
      <c r="Y462" s="4"/>
      <c r="Z462" s="4"/>
      <c r="AA462" s="4"/>
      <c r="AB462" s="4"/>
      <c r="AC462" s="4"/>
      <c r="AD462" s="4"/>
      <c r="AE462" s="4"/>
      <c r="AF462" s="4"/>
      <c r="AG462" s="4"/>
      <c r="AH462" s="4"/>
      <c r="AI462" s="4"/>
      <c r="AJ462" s="4"/>
      <c r="AK462" s="4"/>
      <c r="AL462" s="4" t="s">
        <v>174</v>
      </c>
      <c r="AM462" s="4" t="s">
        <v>205</v>
      </c>
    </row>
    <row r="463" customFormat="false" ht="23.85" hidden="false" customHeight="false" outlineLevel="0" collapsed="false">
      <c r="A463" s="4" t="s">
        <v>167</v>
      </c>
      <c r="B463" s="4" t="s">
        <v>638</v>
      </c>
      <c r="C463" s="4" t="s">
        <v>638</v>
      </c>
      <c r="D463" s="12" t="n">
        <v>2019</v>
      </c>
      <c r="E463" s="4"/>
      <c r="F463" s="4" t="s">
        <v>169</v>
      </c>
      <c r="G463" s="4" t="s">
        <v>170</v>
      </c>
      <c r="H463" s="4" t="s">
        <v>171</v>
      </c>
      <c r="I463" s="4" t="s">
        <v>172</v>
      </c>
      <c r="J463" s="4" t="s">
        <v>638</v>
      </c>
      <c r="K463" s="4" t="s">
        <v>107</v>
      </c>
      <c r="L463" s="4" t="s">
        <v>108</v>
      </c>
      <c r="M463" s="4"/>
      <c r="N463" s="4"/>
      <c r="O463" s="4"/>
      <c r="P463" s="4"/>
      <c r="Q463" s="4"/>
      <c r="R463" s="4"/>
      <c r="S463" s="13" t="n">
        <v>0</v>
      </c>
      <c r="T463" s="4" t="s">
        <v>173</v>
      </c>
      <c r="U463" s="14" t="n">
        <f aca="false">IF(OR($S463="",PARAMETROS!$B$4=""),"",$S463*PARAMETROS!$B$4)</f>
        <v>0</v>
      </c>
      <c r="V463" s="13" t="n">
        <v>0</v>
      </c>
      <c r="W463" s="4"/>
      <c r="X463" s="4"/>
      <c r="Y463" s="4"/>
      <c r="Z463" s="4"/>
      <c r="AA463" s="4"/>
      <c r="AB463" s="4"/>
      <c r="AC463" s="4"/>
      <c r="AD463" s="4"/>
      <c r="AE463" s="4"/>
      <c r="AF463" s="4"/>
      <c r="AG463" s="4"/>
      <c r="AH463" s="4"/>
      <c r="AI463" s="4"/>
      <c r="AJ463" s="4"/>
      <c r="AK463" s="4"/>
      <c r="AL463" s="4" t="s">
        <v>174</v>
      </c>
      <c r="AM463" s="4" t="s">
        <v>205</v>
      </c>
    </row>
    <row r="464" customFormat="false" ht="23.85" hidden="false" customHeight="false" outlineLevel="0" collapsed="false">
      <c r="A464" s="4" t="s">
        <v>167</v>
      </c>
      <c r="B464" s="4" t="s">
        <v>639</v>
      </c>
      <c r="C464" s="4" t="s">
        <v>639</v>
      </c>
      <c r="D464" s="12" t="n">
        <v>2019</v>
      </c>
      <c r="E464" s="4"/>
      <c r="F464" s="4" t="s">
        <v>169</v>
      </c>
      <c r="G464" s="4" t="s">
        <v>170</v>
      </c>
      <c r="H464" s="4" t="s">
        <v>171</v>
      </c>
      <c r="I464" s="4" t="s">
        <v>172</v>
      </c>
      <c r="J464" s="4" t="s">
        <v>639</v>
      </c>
      <c r="K464" s="4" t="s">
        <v>111</v>
      </c>
      <c r="L464" s="4" t="s">
        <v>112</v>
      </c>
      <c r="M464" s="4"/>
      <c r="N464" s="4"/>
      <c r="O464" s="4"/>
      <c r="P464" s="4"/>
      <c r="Q464" s="4"/>
      <c r="R464" s="4"/>
      <c r="S464" s="13" t="n">
        <v>0</v>
      </c>
      <c r="T464" s="4" t="s">
        <v>173</v>
      </c>
      <c r="U464" s="14" t="n">
        <f aca="false">IF(OR($S464="",PARAMETROS!$B$4=""),"",$S464*PARAMETROS!$B$4)</f>
        <v>0</v>
      </c>
      <c r="V464" s="13" t="n">
        <v>0</v>
      </c>
      <c r="W464" s="4"/>
      <c r="X464" s="4"/>
      <c r="Y464" s="4"/>
      <c r="Z464" s="4"/>
      <c r="AA464" s="4"/>
      <c r="AB464" s="4"/>
      <c r="AC464" s="4"/>
      <c r="AD464" s="4"/>
      <c r="AE464" s="4"/>
      <c r="AF464" s="4"/>
      <c r="AG464" s="4"/>
      <c r="AH464" s="4"/>
      <c r="AI464" s="4"/>
      <c r="AJ464" s="4"/>
      <c r="AK464" s="4"/>
      <c r="AL464" s="4" t="s">
        <v>174</v>
      </c>
      <c r="AM464" s="4" t="s">
        <v>190</v>
      </c>
    </row>
    <row r="465" customFormat="false" ht="23.85" hidden="false" customHeight="false" outlineLevel="0" collapsed="false">
      <c r="A465" s="4" t="s">
        <v>167</v>
      </c>
      <c r="B465" s="4" t="s">
        <v>640</v>
      </c>
      <c r="C465" s="4" t="s">
        <v>640</v>
      </c>
      <c r="D465" s="12" t="n">
        <v>2019</v>
      </c>
      <c r="E465" s="4"/>
      <c r="F465" s="4" t="s">
        <v>169</v>
      </c>
      <c r="G465" s="4" t="s">
        <v>170</v>
      </c>
      <c r="H465" s="4" t="s">
        <v>171</v>
      </c>
      <c r="I465" s="4" t="s">
        <v>172</v>
      </c>
      <c r="J465" s="4" t="s">
        <v>640</v>
      </c>
      <c r="K465" s="4" t="s">
        <v>111</v>
      </c>
      <c r="L465" s="4" t="s">
        <v>112</v>
      </c>
      <c r="M465" s="4"/>
      <c r="N465" s="4"/>
      <c r="O465" s="4"/>
      <c r="P465" s="4"/>
      <c r="Q465" s="4"/>
      <c r="R465" s="4"/>
      <c r="S465" s="13" t="n">
        <v>93.99</v>
      </c>
      <c r="T465" s="4" t="s">
        <v>173</v>
      </c>
      <c r="U465" s="14" t="n">
        <f aca="false">IF(OR($S465="",PARAMETROS!$B$4=""),"",$S465*PARAMETROS!$B$4)</f>
        <v>546.0819</v>
      </c>
      <c r="V465" s="13" t="n">
        <v>0</v>
      </c>
      <c r="W465" s="4"/>
      <c r="X465" s="4"/>
      <c r="Y465" s="4"/>
      <c r="Z465" s="4"/>
      <c r="AA465" s="4"/>
      <c r="AB465" s="4"/>
      <c r="AC465" s="4"/>
      <c r="AD465" s="4"/>
      <c r="AE465" s="4"/>
      <c r="AF465" s="4"/>
      <c r="AG465" s="4"/>
      <c r="AH465" s="4"/>
      <c r="AI465" s="4"/>
      <c r="AJ465" s="4"/>
      <c r="AK465" s="4"/>
      <c r="AL465" s="4" t="s">
        <v>174</v>
      </c>
      <c r="AM465" s="4" t="s">
        <v>190</v>
      </c>
    </row>
    <row r="466" customFormat="false" ht="23.85" hidden="false" customHeight="false" outlineLevel="0" collapsed="false">
      <c r="A466" s="4" t="s">
        <v>167</v>
      </c>
      <c r="B466" s="4" t="s">
        <v>641</v>
      </c>
      <c r="C466" s="4" t="s">
        <v>641</v>
      </c>
      <c r="D466" s="12" t="n">
        <v>2019</v>
      </c>
      <c r="E466" s="4"/>
      <c r="F466" s="4" t="s">
        <v>169</v>
      </c>
      <c r="G466" s="4" t="s">
        <v>170</v>
      </c>
      <c r="H466" s="4" t="s">
        <v>171</v>
      </c>
      <c r="I466" s="4" t="s">
        <v>172</v>
      </c>
      <c r="J466" s="4" t="s">
        <v>641</v>
      </c>
      <c r="K466" s="4" t="s">
        <v>111</v>
      </c>
      <c r="L466" s="4" t="s">
        <v>112</v>
      </c>
      <c r="M466" s="4"/>
      <c r="N466" s="4"/>
      <c r="O466" s="4"/>
      <c r="P466" s="4"/>
      <c r="Q466" s="4"/>
      <c r="R466" s="4"/>
      <c r="S466" s="13" t="n">
        <v>330.08</v>
      </c>
      <c r="T466" s="4" t="s">
        <v>173</v>
      </c>
      <c r="U466" s="14" t="n">
        <f aca="false">IF(OR($S466="",PARAMETROS!$B$4=""),"",$S466*PARAMETROS!$B$4)</f>
        <v>1917.7648</v>
      </c>
      <c r="V466" s="13" t="n">
        <v>0</v>
      </c>
      <c r="W466" s="4"/>
      <c r="X466" s="4"/>
      <c r="Y466" s="4"/>
      <c r="Z466" s="4"/>
      <c r="AA466" s="4"/>
      <c r="AB466" s="4"/>
      <c r="AC466" s="4"/>
      <c r="AD466" s="4"/>
      <c r="AE466" s="4"/>
      <c r="AF466" s="4"/>
      <c r="AG466" s="4"/>
      <c r="AH466" s="4"/>
      <c r="AI466" s="4"/>
      <c r="AJ466" s="4"/>
      <c r="AK466" s="4"/>
      <c r="AL466" s="4" t="s">
        <v>174</v>
      </c>
      <c r="AM466" s="4" t="s">
        <v>190</v>
      </c>
    </row>
    <row r="467" customFormat="false" ht="23.85" hidden="false" customHeight="false" outlineLevel="0" collapsed="false">
      <c r="A467" s="4" t="s">
        <v>167</v>
      </c>
      <c r="B467" s="4" t="s">
        <v>642</v>
      </c>
      <c r="C467" s="4" t="s">
        <v>642</v>
      </c>
      <c r="D467" s="12" t="n">
        <v>2019</v>
      </c>
      <c r="E467" s="4"/>
      <c r="F467" s="4" t="s">
        <v>169</v>
      </c>
      <c r="G467" s="4" t="s">
        <v>170</v>
      </c>
      <c r="H467" s="4" t="s">
        <v>171</v>
      </c>
      <c r="I467" s="4" t="s">
        <v>172</v>
      </c>
      <c r="J467" s="4" t="s">
        <v>642</v>
      </c>
      <c r="K467" s="4" t="s">
        <v>111</v>
      </c>
      <c r="L467" s="4" t="s">
        <v>112</v>
      </c>
      <c r="M467" s="4"/>
      <c r="N467" s="4"/>
      <c r="O467" s="4"/>
      <c r="P467" s="4"/>
      <c r="Q467" s="4"/>
      <c r="R467" s="4"/>
      <c r="S467" s="13" t="n">
        <v>12.07</v>
      </c>
      <c r="T467" s="4" t="s">
        <v>173</v>
      </c>
      <c r="U467" s="14" t="n">
        <f aca="false">IF(OR($S467="",PARAMETROS!$B$4=""),"",$S467*PARAMETROS!$B$4)</f>
        <v>70.1267</v>
      </c>
      <c r="V467" s="13" t="n">
        <v>0</v>
      </c>
      <c r="W467" s="4"/>
      <c r="X467" s="4"/>
      <c r="Y467" s="4"/>
      <c r="Z467" s="4"/>
      <c r="AA467" s="4"/>
      <c r="AB467" s="4"/>
      <c r="AC467" s="4"/>
      <c r="AD467" s="4"/>
      <c r="AE467" s="4"/>
      <c r="AF467" s="4"/>
      <c r="AG467" s="4"/>
      <c r="AH467" s="4"/>
      <c r="AI467" s="4"/>
      <c r="AJ467" s="4"/>
      <c r="AK467" s="4"/>
      <c r="AL467" s="4" t="s">
        <v>174</v>
      </c>
      <c r="AM467" s="4" t="s">
        <v>190</v>
      </c>
    </row>
    <row r="468" customFormat="false" ht="23.85" hidden="false" customHeight="false" outlineLevel="0" collapsed="false">
      <c r="A468" s="4" t="s">
        <v>167</v>
      </c>
      <c r="B468" s="4" t="s">
        <v>643</v>
      </c>
      <c r="C468" s="4" t="s">
        <v>643</v>
      </c>
      <c r="D468" s="12" t="n">
        <v>2019</v>
      </c>
      <c r="E468" s="4"/>
      <c r="F468" s="4" t="s">
        <v>169</v>
      </c>
      <c r="G468" s="4" t="s">
        <v>170</v>
      </c>
      <c r="H468" s="4" t="s">
        <v>171</v>
      </c>
      <c r="I468" s="4" t="s">
        <v>172</v>
      </c>
      <c r="J468" s="4" t="s">
        <v>643</v>
      </c>
      <c r="K468" s="4" t="s">
        <v>111</v>
      </c>
      <c r="L468" s="4" t="s">
        <v>112</v>
      </c>
      <c r="M468" s="4"/>
      <c r="N468" s="4"/>
      <c r="O468" s="4"/>
      <c r="P468" s="4"/>
      <c r="Q468" s="4"/>
      <c r="R468" s="4"/>
      <c r="S468" s="13" t="n">
        <v>881.59</v>
      </c>
      <c r="T468" s="4" t="s">
        <v>173</v>
      </c>
      <c r="U468" s="14" t="n">
        <f aca="false">IF(OR($S468="",PARAMETROS!$B$4=""),"",$S468*PARAMETROS!$B$4)</f>
        <v>5122.0379</v>
      </c>
      <c r="V468" s="13" t="n">
        <v>0</v>
      </c>
      <c r="W468" s="4"/>
      <c r="X468" s="4"/>
      <c r="Y468" s="4"/>
      <c r="Z468" s="4"/>
      <c r="AA468" s="4"/>
      <c r="AB468" s="4"/>
      <c r="AC468" s="4"/>
      <c r="AD468" s="4"/>
      <c r="AE468" s="4"/>
      <c r="AF468" s="4"/>
      <c r="AG468" s="4"/>
      <c r="AH468" s="4"/>
      <c r="AI468" s="4"/>
      <c r="AJ468" s="4"/>
      <c r="AK468" s="4"/>
      <c r="AL468" s="4" t="s">
        <v>174</v>
      </c>
      <c r="AM468" s="4" t="s">
        <v>190</v>
      </c>
    </row>
    <row r="469" customFormat="false" ht="23.85" hidden="false" customHeight="false" outlineLevel="0" collapsed="false">
      <c r="A469" s="4" t="s">
        <v>167</v>
      </c>
      <c r="B469" s="4" t="s">
        <v>644</v>
      </c>
      <c r="C469" s="4" t="s">
        <v>644</v>
      </c>
      <c r="D469" s="12" t="n">
        <v>2019</v>
      </c>
      <c r="E469" s="4"/>
      <c r="F469" s="4" t="s">
        <v>169</v>
      </c>
      <c r="G469" s="4" t="s">
        <v>170</v>
      </c>
      <c r="H469" s="4" t="s">
        <v>171</v>
      </c>
      <c r="I469" s="4" t="s">
        <v>172</v>
      </c>
      <c r="J469" s="4" t="s">
        <v>644</v>
      </c>
      <c r="K469" s="4" t="s">
        <v>111</v>
      </c>
      <c r="L469" s="4" t="s">
        <v>112</v>
      </c>
      <c r="M469" s="4"/>
      <c r="N469" s="4"/>
      <c r="O469" s="4"/>
      <c r="P469" s="4"/>
      <c r="Q469" s="4"/>
      <c r="R469" s="4"/>
      <c r="S469" s="13" t="n">
        <v>0</v>
      </c>
      <c r="T469" s="4" t="s">
        <v>173</v>
      </c>
      <c r="U469" s="14" t="n">
        <f aca="false">IF(OR($S469="",PARAMETROS!$B$4=""),"",$S469*PARAMETROS!$B$4)</f>
        <v>0</v>
      </c>
      <c r="V469" s="13" t="n">
        <v>0</v>
      </c>
      <c r="W469" s="4"/>
      <c r="X469" s="4"/>
      <c r="Y469" s="4"/>
      <c r="Z469" s="4"/>
      <c r="AA469" s="4"/>
      <c r="AB469" s="4"/>
      <c r="AC469" s="4"/>
      <c r="AD469" s="4"/>
      <c r="AE469" s="4"/>
      <c r="AF469" s="4"/>
      <c r="AG469" s="4"/>
      <c r="AH469" s="4"/>
      <c r="AI469" s="4"/>
      <c r="AJ469" s="4"/>
      <c r="AK469" s="4"/>
      <c r="AL469" s="4" t="s">
        <v>174</v>
      </c>
      <c r="AM469" s="4" t="s">
        <v>190</v>
      </c>
    </row>
    <row r="470" customFormat="false" ht="23.85" hidden="false" customHeight="false" outlineLevel="0" collapsed="false">
      <c r="A470" s="4" t="s">
        <v>167</v>
      </c>
      <c r="B470" s="4" t="s">
        <v>645</v>
      </c>
      <c r="C470" s="4" t="s">
        <v>645</v>
      </c>
      <c r="D470" s="12" t="n">
        <v>2019</v>
      </c>
      <c r="E470" s="4"/>
      <c r="F470" s="4" t="s">
        <v>169</v>
      </c>
      <c r="G470" s="4" t="s">
        <v>170</v>
      </c>
      <c r="H470" s="4" t="s">
        <v>171</v>
      </c>
      <c r="I470" s="4" t="s">
        <v>172</v>
      </c>
      <c r="J470" s="4" t="s">
        <v>645</v>
      </c>
      <c r="K470" s="4" t="s">
        <v>111</v>
      </c>
      <c r="L470" s="4" t="s">
        <v>112</v>
      </c>
      <c r="M470" s="4"/>
      <c r="N470" s="4"/>
      <c r="O470" s="4"/>
      <c r="P470" s="4"/>
      <c r="Q470" s="4"/>
      <c r="R470" s="4"/>
      <c r="S470" s="13" t="n">
        <v>0</v>
      </c>
      <c r="T470" s="4" t="s">
        <v>173</v>
      </c>
      <c r="U470" s="14" t="n">
        <f aca="false">IF(OR($S470="",PARAMETROS!$B$4=""),"",$S470*PARAMETROS!$B$4)</f>
        <v>0</v>
      </c>
      <c r="V470" s="13" t="n">
        <v>0</v>
      </c>
      <c r="W470" s="4"/>
      <c r="X470" s="4"/>
      <c r="Y470" s="4"/>
      <c r="Z470" s="4"/>
      <c r="AA470" s="4"/>
      <c r="AB470" s="4"/>
      <c r="AC470" s="4"/>
      <c r="AD470" s="4"/>
      <c r="AE470" s="4"/>
      <c r="AF470" s="4"/>
      <c r="AG470" s="4"/>
      <c r="AH470" s="4"/>
      <c r="AI470" s="4"/>
      <c r="AJ470" s="4"/>
      <c r="AK470" s="4"/>
      <c r="AL470" s="4" t="s">
        <v>174</v>
      </c>
      <c r="AM470" s="4" t="s">
        <v>190</v>
      </c>
    </row>
    <row r="471" customFormat="false" ht="23.85" hidden="false" customHeight="false" outlineLevel="0" collapsed="false">
      <c r="A471" s="4" t="s">
        <v>167</v>
      </c>
      <c r="B471" s="4" t="s">
        <v>646</v>
      </c>
      <c r="C471" s="4" t="s">
        <v>646</v>
      </c>
      <c r="D471" s="12" t="n">
        <v>2019</v>
      </c>
      <c r="E471" s="4"/>
      <c r="F471" s="4" t="s">
        <v>169</v>
      </c>
      <c r="G471" s="4" t="s">
        <v>170</v>
      </c>
      <c r="H471" s="4" t="s">
        <v>171</v>
      </c>
      <c r="I471" s="4" t="s">
        <v>172</v>
      </c>
      <c r="J471" s="4" t="s">
        <v>646</v>
      </c>
      <c r="K471" s="4" t="s">
        <v>111</v>
      </c>
      <c r="L471" s="4" t="s">
        <v>112</v>
      </c>
      <c r="M471" s="4"/>
      <c r="N471" s="4"/>
      <c r="O471" s="4"/>
      <c r="P471" s="4"/>
      <c r="Q471" s="4"/>
      <c r="R471" s="4"/>
      <c r="S471" s="13" t="n">
        <v>0</v>
      </c>
      <c r="T471" s="4" t="s">
        <v>173</v>
      </c>
      <c r="U471" s="14" t="n">
        <f aca="false">IF(OR($S471="",PARAMETROS!$B$4=""),"",$S471*PARAMETROS!$B$4)</f>
        <v>0</v>
      </c>
      <c r="V471" s="13" t="n">
        <v>0</v>
      </c>
      <c r="W471" s="4"/>
      <c r="X471" s="4"/>
      <c r="Y471" s="4"/>
      <c r="Z471" s="4"/>
      <c r="AA471" s="4"/>
      <c r="AB471" s="4"/>
      <c r="AC471" s="4"/>
      <c r="AD471" s="4"/>
      <c r="AE471" s="4"/>
      <c r="AF471" s="4"/>
      <c r="AG471" s="4"/>
      <c r="AH471" s="4"/>
      <c r="AI471" s="4"/>
      <c r="AJ471" s="4"/>
      <c r="AK471" s="4"/>
      <c r="AL471" s="4" t="s">
        <v>174</v>
      </c>
      <c r="AM471" s="4" t="s">
        <v>190</v>
      </c>
    </row>
    <row r="472" customFormat="false" ht="23.85" hidden="false" customHeight="false" outlineLevel="0" collapsed="false">
      <c r="A472" s="4" t="s">
        <v>167</v>
      </c>
      <c r="B472" s="4" t="s">
        <v>647</v>
      </c>
      <c r="C472" s="4" t="s">
        <v>647</v>
      </c>
      <c r="D472" s="12" t="n">
        <v>2019</v>
      </c>
      <c r="E472" s="4"/>
      <c r="F472" s="4" t="s">
        <v>169</v>
      </c>
      <c r="G472" s="4" t="s">
        <v>170</v>
      </c>
      <c r="H472" s="4" t="s">
        <v>171</v>
      </c>
      <c r="I472" s="4" t="s">
        <v>172</v>
      </c>
      <c r="J472" s="4" t="s">
        <v>647</v>
      </c>
      <c r="K472" s="4" t="s">
        <v>111</v>
      </c>
      <c r="L472" s="4" t="s">
        <v>112</v>
      </c>
      <c r="M472" s="4"/>
      <c r="N472" s="4"/>
      <c r="O472" s="4"/>
      <c r="P472" s="4"/>
      <c r="Q472" s="4"/>
      <c r="R472" s="4"/>
      <c r="S472" s="13" t="n">
        <v>0</v>
      </c>
      <c r="T472" s="4" t="s">
        <v>173</v>
      </c>
      <c r="U472" s="14" t="n">
        <f aca="false">IF(OR($S472="",PARAMETROS!$B$4=""),"",$S472*PARAMETROS!$B$4)</f>
        <v>0</v>
      </c>
      <c r="V472" s="13" t="n">
        <v>0</v>
      </c>
      <c r="W472" s="4"/>
      <c r="X472" s="4"/>
      <c r="Y472" s="4"/>
      <c r="Z472" s="4"/>
      <c r="AA472" s="4"/>
      <c r="AB472" s="4"/>
      <c r="AC472" s="4"/>
      <c r="AD472" s="4"/>
      <c r="AE472" s="4"/>
      <c r="AF472" s="4"/>
      <c r="AG472" s="4"/>
      <c r="AH472" s="4"/>
      <c r="AI472" s="4"/>
      <c r="AJ472" s="4"/>
      <c r="AK472" s="4"/>
      <c r="AL472" s="4" t="s">
        <v>174</v>
      </c>
      <c r="AM472" s="4" t="s">
        <v>190</v>
      </c>
    </row>
    <row r="473" customFormat="false" ht="23.85" hidden="false" customHeight="false" outlineLevel="0" collapsed="false">
      <c r="A473" s="4" t="s">
        <v>167</v>
      </c>
      <c r="B473" s="4" t="s">
        <v>648</v>
      </c>
      <c r="C473" s="4" t="s">
        <v>648</v>
      </c>
      <c r="D473" s="12" t="n">
        <v>2019</v>
      </c>
      <c r="E473" s="4"/>
      <c r="F473" s="4" t="s">
        <v>169</v>
      </c>
      <c r="G473" s="4" t="s">
        <v>170</v>
      </c>
      <c r="H473" s="4" t="s">
        <v>171</v>
      </c>
      <c r="I473" s="4" t="s">
        <v>172</v>
      </c>
      <c r="J473" s="4" t="s">
        <v>648</v>
      </c>
      <c r="K473" s="4" t="s">
        <v>111</v>
      </c>
      <c r="L473" s="4" t="s">
        <v>112</v>
      </c>
      <c r="M473" s="4"/>
      <c r="N473" s="4"/>
      <c r="O473" s="4"/>
      <c r="P473" s="4"/>
      <c r="Q473" s="4"/>
      <c r="R473" s="4"/>
      <c r="S473" s="13" t="n">
        <v>0</v>
      </c>
      <c r="T473" s="4" t="s">
        <v>173</v>
      </c>
      <c r="U473" s="14" t="n">
        <f aca="false">IF(OR($S473="",PARAMETROS!$B$4=""),"",$S473*PARAMETROS!$B$4)</f>
        <v>0</v>
      </c>
      <c r="V473" s="13" t="n">
        <v>0</v>
      </c>
      <c r="W473" s="4"/>
      <c r="X473" s="4"/>
      <c r="Y473" s="4"/>
      <c r="Z473" s="4"/>
      <c r="AA473" s="4"/>
      <c r="AB473" s="4"/>
      <c r="AC473" s="4"/>
      <c r="AD473" s="4"/>
      <c r="AE473" s="4"/>
      <c r="AF473" s="4"/>
      <c r="AG473" s="4"/>
      <c r="AH473" s="4"/>
      <c r="AI473" s="4"/>
      <c r="AJ473" s="4"/>
      <c r="AK473" s="4"/>
      <c r="AL473" s="4" t="s">
        <v>174</v>
      </c>
      <c r="AM473" s="4" t="s">
        <v>190</v>
      </c>
    </row>
    <row r="474" customFormat="false" ht="23.85" hidden="false" customHeight="false" outlineLevel="0" collapsed="false">
      <c r="A474" s="4" t="s">
        <v>167</v>
      </c>
      <c r="B474" s="4" t="s">
        <v>649</v>
      </c>
      <c r="C474" s="4" t="s">
        <v>649</v>
      </c>
      <c r="D474" s="12" t="n">
        <v>2019</v>
      </c>
      <c r="E474" s="4"/>
      <c r="F474" s="4" t="s">
        <v>169</v>
      </c>
      <c r="G474" s="4" t="s">
        <v>170</v>
      </c>
      <c r="H474" s="4" t="s">
        <v>171</v>
      </c>
      <c r="I474" s="4" t="s">
        <v>172</v>
      </c>
      <c r="J474" s="4" t="s">
        <v>649</v>
      </c>
      <c r="K474" s="4" t="s">
        <v>111</v>
      </c>
      <c r="L474" s="4" t="s">
        <v>112</v>
      </c>
      <c r="M474" s="4"/>
      <c r="N474" s="4"/>
      <c r="O474" s="4"/>
      <c r="P474" s="4"/>
      <c r="Q474" s="4"/>
      <c r="R474" s="4"/>
      <c r="S474" s="13" t="n">
        <v>0</v>
      </c>
      <c r="T474" s="4" t="s">
        <v>173</v>
      </c>
      <c r="U474" s="14" t="n">
        <f aca="false">IF(OR($S474="",PARAMETROS!$B$4=""),"",$S474*PARAMETROS!$B$4)</f>
        <v>0</v>
      </c>
      <c r="V474" s="13" t="n">
        <v>0</v>
      </c>
      <c r="W474" s="4"/>
      <c r="X474" s="4"/>
      <c r="Y474" s="4"/>
      <c r="Z474" s="4"/>
      <c r="AA474" s="4"/>
      <c r="AB474" s="4"/>
      <c r="AC474" s="4"/>
      <c r="AD474" s="4"/>
      <c r="AE474" s="4"/>
      <c r="AF474" s="4"/>
      <c r="AG474" s="4"/>
      <c r="AH474" s="4"/>
      <c r="AI474" s="4"/>
      <c r="AJ474" s="4"/>
      <c r="AK474" s="4"/>
      <c r="AL474" s="4" t="s">
        <v>174</v>
      </c>
      <c r="AM474" s="4" t="s">
        <v>190</v>
      </c>
    </row>
    <row r="475" customFormat="false" ht="23.85" hidden="false" customHeight="false" outlineLevel="0" collapsed="false">
      <c r="A475" s="4" t="s">
        <v>167</v>
      </c>
      <c r="B475" s="4" t="s">
        <v>650</v>
      </c>
      <c r="C475" s="4" t="s">
        <v>650</v>
      </c>
      <c r="D475" s="12" t="n">
        <v>2019</v>
      </c>
      <c r="E475" s="4"/>
      <c r="F475" s="4" t="s">
        <v>169</v>
      </c>
      <c r="G475" s="4" t="s">
        <v>170</v>
      </c>
      <c r="H475" s="4" t="s">
        <v>171</v>
      </c>
      <c r="I475" s="4" t="s">
        <v>172</v>
      </c>
      <c r="J475" s="4" t="s">
        <v>650</v>
      </c>
      <c r="K475" s="4" t="s">
        <v>111</v>
      </c>
      <c r="L475" s="4" t="s">
        <v>112</v>
      </c>
      <c r="M475" s="4"/>
      <c r="N475" s="4"/>
      <c r="O475" s="4"/>
      <c r="P475" s="4"/>
      <c r="Q475" s="4"/>
      <c r="R475" s="4"/>
      <c r="S475" s="13" t="n">
        <v>0</v>
      </c>
      <c r="T475" s="4" t="s">
        <v>173</v>
      </c>
      <c r="U475" s="14" t="n">
        <f aca="false">IF(OR($S475="",PARAMETROS!$B$4=""),"",$S475*PARAMETROS!$B$4)</f>
        <v>0</v>
      </c>
      <c r="V475" s="13" t="n">
        <v>0</v>
      </c>
      <c r="W475" s="4"/>
      <c r="X475" s="4"/>
      <c r="Y475" s="4"/>
      <c r="Z475" s="4"/>
      <c r="AA475" s="4"/>
      <c r="AB475" s="4"/>
      <c r="AC475" s="4"/>
      <c r="AD475" s="4"/>
      <c r="AE475" s="4"/>
      <c r="AF475" s="4"/>
      <c r="AG475" s="4"/>
      <c r="AH475" s="4"/>
      <c r="AI475" s="4"/>
      <c r="AJ475" s="4"/>
      <c r="AK475" s="4"/>
      <c r="AL475" s="4" t="s">
        <v>174</v>
      </c>
      <c r="AM475" s="4" t="s">
        <v>190</v>
      </c>
    </row>
    <row r="476" customFormat="false" ht="23.85" hidden="false" customHeight="false" outlineLevel="0" collapsed="false">
      <c r="A476" s="4" t="s">
        <v>167</v>
      </c>
      <c r="B476" s="4" t="s">
        <v>651</v>
      </c>
      <c r="C476" s="4" t="s">
        <v>651</v>
      </c>
      <c r="D476" s="12" t="n">
        <v>2019</v>
      </c>
      <c r="E476" s="4"/>
      <c r="F476" s="4" t="s">
        <v>169</v>
      </c>
      <c r="G476" s="4" t="s">
        <v>170</v>
      </c>
      <c r="H476" s="4" t="s">
        <v>171</v>
      </c>
      <c r="I476" s="4" t="s">
        <v>172</v>
      </c>
      <c r="J476" s="4" t="s">
        <v>651</v>
      </c>
      <c r="K476" s="4" t="s">
        <v>111</v>
      </c>
      <c r="L476" s="4" t="s">
        <v>112</v>
      </c>
      <c r="M476" s="4"/>
      <c r="N476" s="4"/>
      <c r="O476" s="4"/>
      <c r="P476" s="4"/>
      <c r="Q476" s="4"/>
      <c r="R476" s="4"/>
      <c r="S476" s="13" t="n">
        <v>0</v>
      </c>
      <c r="T476" s="4" t="s">
        <v>173</v>
      </c>
      <c r="U476" s="14" t="n">
        <f aca="false">IF(OR($S476="",PARAMETROS!$B$4=""),"",$S476*PARAMETROS!$B$4)</f>
        <v>0</v>
      </c>
      <c r="V476" s="13" t="n">
        <v>0</v>
      </c>
      <c r="W476" s="4"/>
      <c r="X476" s="4"/>
      <c r="Y476" s="4"/>
      <c r="Z476" s="4"/>
      <c r="AA476" s="4"/>
      <c r="AB476" s="4"/>
      <c r="AC476" s="4"/>
      <c r="AD476" s="4"/>
      <c r="AE476" s="4"/>
      <c r="AF476" s="4"/>
      <c r="AG476" s="4"/>
      <c r="AH476" s="4"/>
      <c r="AI476" s="4"/>
      <c r="AJ476" s="4"/>
      <c r="AK476" s="4"/>
      <c r="AL476" s="4" t="s">
        <v>174</v>
      </c>
      <c r="AM476" s="4" t="s">
        <v>190</v>
      </c>
    </row>
    <row r="477" customFormat="false" ht="23.85" hidden="false" customHeight="false" outlineLevel="0" collapsed="false">
      <c r="A477" s="4" t="s">
        <v>167</v>
      </c>
      <c r="B477" s="4" t="s">
        <v>652</v>
      </c>
      <c r="C477" s="4" t="s">
        <v>652</v>
      </c>
      <c r="D477" s="12" t="n">
        <v>2019</v>
      </c>
      <c r="E477" s="4"/>
      <c r="F477" s="4" t="s">
        <v>169</v>
      </c>
      <c r="G477" s="4" t="s">
        <v>170</v>
      </c>
      <c r="H477" s="4" t="s">
        <v>171</v>
      </c>
      <c r="I477" s="4" t="s">
        <v>172</v>
      </c>
      <c r="J477" s="4" t="s">
        <v>652</v>
      </c>
      <c r="K477" s="4" t="s">
        <v>111</v>
      </c>
      <c r="L477" s="4" t="s">
        <v>112</v>
      </c>
      <c r="M477" s="4"/>
      <c r="N477" s="4"/>
      <c r="O477" s="4"/>
      <c r="P477" s="4"/>
      <c r="Q477" s="4"/>
      <c r="R477" s="4"/>
      <c r="S477" s="13" t="n">
        <v>0</v>
      </c>
      <c r="T477" s="4" t="s">
        <v>173</v>
      </c>
      <c r="U477" s="14" t="n">
        <f aca="false">IF(OR($S477="",PARAMETROS!$B$4=""),"",$S477*PARAMETROS!$B$4)</f>
        <v>0</v>
      </c>
      <c r="V477" s="13" t="n">
        <v>0</v>
      </c>
      <c r="W477" s="4"/>
      <c r="X477" s="4"/>
      <c r="Y477" s="4"/>
      <c r="Z477" s="4"/>
      <c r="AA477" s="4"/>
      <c r="AB477" s="4"/>
      <c r="AC477" s="4"/>
      <c r="AD477" s="4"/>
      <c r="AE477" s="4"/>
      <c r="AF477" s="4"/>
      <c r="AG477" s="4"/>
      <c r="AH477" s="4"/>
      <c r="AI477" s="4"/>
      <c r="AJ477" s="4"/>
      <c r="AK477" s="4"/>
      <c r="AL477" s="4" t="s">
        <v>174</v>
      </c>
      <c r="AM477" s="4" t="s">
        <v>190</v>
      </c>
    </row>
    <row r="478" customFormat="false" ht="23.85" hidden="false" customHeight="false" outlineLevel="0" collapsed="false">
      <c r="A478" s="4" t="s">
        <v>167</v>
      </c>
      <c r="B478" s="4" t="s">
        <v>653</v>
      </c>
      <c r="C478" s="4" t="s">
        <v>653</v>
      </c>
      <c r="D478" s="12" t="n">
        <v>2019</v>
      </c>
      <c r="E478" s="4"/>
      <c r="F478" s="4" t="s">
        <v>169</v>
      </c>
      <c r="G478" s="4" t="s">
        <v>170</v>
      </c>
      <c r="H478" s="4" t="s">
        <v>171</v>
      </c>
      <c r="I478" s="4" t="s">
        <v>172</v>
      </c>
      <c r="J478" s="4" t="s">
        <v>653</v>
      </c>
      <c r="K478" s="4" t="s">
        <v>654</v>
      </c>
      <c r="L478" s="4" t="s">
        <v>655</v>
      </c>
      <c r="M478" s="4"/>
      <c r="N478" s="4"/>
      <c r="O478" s="4"/>
      <c r="P478" s="4"/>
      <c r="Q478" s="4"/>
      <c r="R478" s="4"/>
      <c r="S478" s="13" t="n">
        <v>0</v>
      </c>
      <c r="T478" s="4" t="s">
        <v>173</v>
      </c>
      <c r="U478" s="14" t="n">
        <f aca="false">IF(OR($S478="",PARAMETROS!$B$4=""),"",$S478*PARAMETROS!$B$4)</f>
        <v>0</v>
      </c>
      <c r="V478" s="13" t="n">
        <v>0</v>
      </c>
      <c r="W478" s="4"/>
      <c r="X478" s="4"/>
      <c r="Y478" s="4"/>
      <c r="Z478" s="4"/>
      <c r="AA478" s="4"/>
      <c r="AB478" s="4"/>
      <c r="AC478" s="4"/>
      <c r="AD478" s="4"/>
      <c r="AE478" s="4"/>
      <c r="AF478" s="4"/>
      <c r="AG478" s="4"/>
      <c r="AH478" s="4"/>
      <c r="AI478" s="4"/>
      <c r="AJ478" s="4"/>
      <c r="AK478" s="4"/>
      <c r="AL478" s="4" t="s">
        <v>174</v>
      </c>
      <c r="AM478" s="4" t="s">
        <v>190</v>
      </c>
    </row>
    <row r="479" customFormat="false" ht="23.85" hidden="false" customHeight="false" outlineLevel="0" collapsed="false">
      <c r="A479" s="4" t="s">
        <v>167</v>
      </c>
      <c r="B479" s="4" t="s">
        <v>656</v>
      </c>
      <c r="C479" s="4" t="s">
        <v>656</v>
      </c>
      <c r="D479" s="12" t="n">
        <v>2019</v>
      </c>
      <c r="E479" s="4"/>
      <c r="F479" s="4" t="s">
        <v>169</v>
      </c>
      <c r="G479" s="4" t="s">
        <v>170</v>
      </c>
      <c r="H479" s="4" t="s">
        <v>171</v>
      </c>
      <c r="I479" s="4" t="s">
        <v>172</v>
      </c>
      <c r="J479" s="4" t="s">
        <v>656</v>
      </c>
      <c r="K479" s="4" t="s">
        <v>654</v>
      </c>
      <c r="L479" s="4" t="s">
        <v>655</v>
      </c>
      <c r="M479" s="4"/>
      <c r="N479" s="4"/>
      <c r="O479" s="4"/>
      <c r="P479" s="4"/>
      <c r="Q479" s="4"/>
      <c r="R479" s="4"/>
      <c r="S479" s="13" t="n">
        <v>0</v>
      </c>
      <c r="T479" s="4" t="s">
        <v>173</v>
      </c>
      <c r="U479" s="14" t="n">
        <f aca="false">IF(OR($S479="",PARAMETROS!$B$4=""),"",$S479*PARAMETROS!$B$4)</f>
        <v>0</v>
      </c>
      <c r="V479" s="13" t="n">
        <v>0</v>
      </c>
      <c r="W479" s="4"/>
      <c r="X479" s="4"/>
      <c r="Y479" s="4"/>
      <c r="Z479" s="4"/>
      <c r="AA479" s="4"/>
      <c r="AB479" s="4"/>
      <c r="AC479" s="4"/>
      <c r="AD479" s="4"/>
      <c r="AE479" s="4"/>
      <c r="AF479" s="4"/>
      <c r="AG479" s="4"/>
      <c r="AH479" s="4"/>
      <c r="AI479" s="4"/>
      <c r="AJ479" s="4"/>
      <c r="AK479" s="4"/>
      <c r="AL479" s="4" t="s">
        <v>174</v>
      </c>
      <c r="AM479" s="4" t="s">
        <v>190</v>
      </c>
    </row>
    <row r="480" customFormat="false" ht="23.85" hidden="false" customHeight="false" outlineLevel="0" collapsed="false">
      <c r="A480" s="4" t="s">
        <v>167</v>
      </c>
      <c r="B480" s="4" t="s">
        <v>657</v>
      </c>
      <c r="C480" s="4" t="s">
        <v>657</v>
      </c>
      <c r="D480" s="12" t="n">
        <v>2019</v>
      </c>
      <c r="E480" s="4"/>
      <c r="F480" s="4" t="s">
        <v>169</v>
      </c>
      <c r="G480" s="4" t="s">
        <v>170</v>
      </c>
      <c r="H480" s="4" t="s">
        <v>171</v>
      </c>
      <c r="I480" s="4" t="s">
        <v>172</v>
      </c>
      <c r="J480" s="4" t="s">
        <v>657</v>
      </c>
      <c r="K480" s="4" t="s">
        <v>654</v>
      </c>
      <c r="L480" s="4" t="s">
        <v>655</v>
      </c>
      <c r="M480" s="4"/>
      <c r="N480" s="4"/>
      <c r="O480" s="4"/>
      <c r="P480" s="4"/>
      <c r="Q480" s="4"/>
      <c r="R480" s="4"/>
      <c r="S480" s="13" t="n">
        <v>0</v>
      </c>
      <c r="T480" s="4" t="s">
        <v>173</v>
      </c>
      <c r="U480" s="14" t="n">
        <f aca="false">IF(OR($S480="",PARAMETROS!$B$4=""),"",$S480*PARAMETROS!$B$4)</f>
        <v>0</v>
      </c>
      <c r="V480" s="13" t="n">
        <v>0</v>
      </c>
      <c r="W480" s="4"/>
      <c r="X480" s="4"/>
      <c r="Y480" s="4"/>
      <c r="Z480" s="4"/>
      <c r="AA480" s="4"/>
      <c r="AB480" s="4"/>
      <c r="AC480" s="4"/>
      <c r="AD480" s="4"/>
      <c r="AE480" s="4"/>
      <c r="AF480" s="4"/>
      <c r="AG480" s="4"/>
      <c r="AH480" s="4"/>
      <c r="AI480" s="4"/>
      <c r="AJ480" s="4"/>
      <c r="AK480" s="4"/>
      <c r="AL480" s="4" t="s">
        <v>174</v>
      </c>
      <c r="AM480" s="4" t="s">
        <v>190</v>
      </c>
    </row>
    <row r="481" customFormat="false" ht="23.85" hidden="false" customHeight="false" outlineLevel="0" collapsed="false">
      <c r="A481" s="4" t="s">
        <v>167</v>
      </c>
      <c r="B481" s="4" t="s">
        <v>658</v>
      </c>
      <c r="C481" s="4" t="s">
        <v>658</v>
      </c>
      <c r="D481" s="12" t="n">
        <v>2019</v>
      </c>
      <c r="E481" s="4"/>
      <c r="F481" s="4" t="s">
        <v>169</v>
      </c>
      <c r="G481" s="4" t="s">
        <v>170</v>
      </c>
      <c r="H481" s="4" t="s">
        <v>171</v>
      </c>
      <c r="I481" s="4" t="s">
        <v>172</v>
      </c>
      <c r="J481" s="4" t="s">
        <v>658</v>
      </c>
      <c r="K481" s="4" t="s">
        <v>654</v>
      </c>
      <c r="L481" s="4" t="s">
        <v>655</v>
      </c>
      <c r="M481" s="4"/>
      <c r="N481" s="4"/>
      <c r="O481" s="4"/>
      <c r="P481" s="4"/>
      <c r="Q481" s="4"/>
      <c r="R481" s="4"/>
      <c r="S481" s="13" t="n">
        <v>0</v>
      </c>
      <c r="T481" s="4" t="s">
        <v>173</v>
      </c>
      <c r="U481" s="14" t="n">
        <f aca="false">IF(OR($S481="",PARAMETROS!$B$4=""),"",$S481*PARAMETROS!$B$4)</f>
        <v>0</v>
      </c>
      <c r="V481" s="13" t="n">
        <v>0</v>
      </c>
      <c r="W481" s="4"/>
      <c r="X481" s="4"/>
      <c r="Y481" s="4"/>
      <c r="Z481" s="4"/>
      <c r="AA481" s="4"/>
      <c r="AB481" s="4"/>
      <c r="AC481" s="4"/>
      <c r="AD481" s="4"/>
      <c r="AE481" s="4"/>
      <c r="AF481" s="4"/>
      <c r="AG481" s="4"/>
      <c r="AH481" s="4"/>
      <c r="AI481" s="4"/>
      <c r="AJ481" s="4"/>
      <c r="AK481" s="4"/>
      <c r="AL481" s="4" t="s">
        <v>174</v>
      </c>
      <c r="AM481" s="4" t="s">
        <v>190</v>
      </c>
    </row>
    <row r="482" customFormat="false" ht="23.85" hidden="false" customHeight="false" outlineLevel="0" collapsed="false">
      <c r="A482" s="4" t="s">
        <v>167</v>
      </c>
      <c r="B482" s="4" t="s">
        <v>659</v>
      </c>
      <c r="C482" s="4" t="s">
        <v>659</v>
      </c>
      <c r="D482" s="12" t="n">
        <v>2019</v>
      </c>
      <c r="E482" s="4"/>
      <c r="F482" s="4" t="s">
        <v>169</v>
      </c>
      <c r="G482" s="4" t="s">
        <v>170</v>
      </c>
      <c r="H482" s="4" t="s">
        <v>171</v>
      </c>
      <c r="I482" s="4" t="s">
        <v>172</v>
      </c>
      <c r="J482" s="4" t="s">
        <v>659</v>
      </c>
      <c r="K482" s="4" t="s">
        <v>654</v>
      </c>
      <c r="L482" s="4" t="s">
        <v>655</v>
      </c>
      <c r="M482" s="4"/>
      <c r="N482" s="4"/>
      <c r="O482" s="4"/>
      <c r="P482" s="4"/>
      <c r="Q482" s="4"/>
      <c r="R482" s="4"/>
      <c r="S482" s="13" t="n">
        <v>0</v>
      </c>
      <c r="T482" s="4" t="s">
        <v>173</v>
      </c>
      <c r="U482" s="14" t="n">
        <f aca="false">IF(OR($S482="",PARAMETROS!$B$4=""),"",$S482*PARAMETROS!$B$4)</f>
        <v>0</v>
      </c>
      <c r="V482" s="13" t="n">
        <v>0</v>
      </c>
      <c r="W482" s="4"/>
      <c r="X482" s="4"/>
      <c r="Y482" s="4"/>
      <c r="Z482" s="4"/>
      <c r="AA482" s="4"/>
      <c r="AB482" s="4"/>
      <c r="AC482" s="4"/>
      <c r="AD482" s="4"/>
      <c r="AE482" s="4"/>
      <c r="AF482" s="4"/>
      <c r="AG482" s="4"/>
      <c r="AH482" s="4"/>
      <c r="AI482" s="4"/>
      <c r="AJ482" s="4"/>
      <c r="AK482" s="4"/>
      <c r="AL482" s="4" t="s">
        <v>174</v>
      </c>
      <c r="AM482" s="4" t="s">
        <v>190</v>
      </c>
    </row>
    <row r="483" customFormat="false" ht="23.85" hidden="false" customHeight="false" outlineLevel="0" collapsed="false">
      <c r="A483" s="4" t="s">
        <v>167</v>
      </c>
      <c r="B483" s="4" t="s">
        <v>660</v>
      </c>
      <c r="C483" s="4" t="s">
        <v>660</v>
      </c>
      <c r="D483" s="12" t="n">
        <v>2019</v>
      </c>
      <c r="E483" s="4"/>
      <c r="F483" s="4" t="s">
        <v>169</v>
      </c>
      <c r="G483" s="4" t="s">
        <v>170</v>
      </c>
      <c r="H483" s="4" t="s">
        <v>171</v>
      </c>
      <c r="I483" s="4" t="s">
        <v>172</v>
      </c>
      <c r="J483" s="4" t="s">
        <v>660</v>
      </c>
      <c r="K483" s="4" t="s">
        <v>654</v>
      </c>
      <c r="L483" s="4" t="s">
        <v>655</v>
      </c>
      <c r="M483" s="4"/>
      <c r="N483" s="4"/>
      <c r="O483" s="4"/>
      <c r="P483" s="4"/>
      <c r="Q483" s="4"/>
      <c r="R483" s="4"/>
      <c r="S483" s="13" t="n">
        <v>0</v>
      </c>
      <c r="T483" s="4" t="s">
        <v>173</v>
      </c>
      <c r="U483" s="14" t="n">
        <f aca="false">IF(OR($S483="",PARAMETROS!$B$4=""),"",$S483*PARAMETROS!$B$4)</f>
        <v>0</v>
      </c>
      <c r="V483" s="13" t="n">
        <v>0</v>
      </c>
      <c r="W483" s="4"/>
      <c r="X483" s="4"/>
      <c r="Y483" s="4"/>
      <c r="Z483" s="4"/>
      <c r="AA483" s="4"/>
      <c r="AB483" s="4"/>
      <c r="AC483" s="4"/>
      <c r="AD483" s="4"/>
      <c r="AE483" s="4"/>
      <c r="AF483" s="4"/>
      <c r="AG483" s="4"/>
      <c r="AH483" s="4"/>
      <c r="AI483" s="4"/>
      <c r="AJ483" s="4"/>
      <c r="AK483" s="4"/>
      <c r="AL483" s="4" t="s">
        <v>174</v>
      </c>
      <c r="AM483" s="4" t="s">
        <v>190</v>
      </c>
    </row>
    <row r="484" customFormat="false" ht="23.85" hidden="false" customHeight="false" outlineLevel="0" collapsed="false">
      <c r="A484" s="4" t="s">
        <v>167</v>
      </c>
      <c r="B484" s="4" t="s">
        <v>661</v>
      </c>
      <c r="C484" s="4" t="s">
        <v>661</v>
      </c>
      <c r="D484" s="12" t="n">
        <v>2019</v>
      </c>
      <c r="E484" s="4"/>
      <c r="F484" s="4" t="s">
        <v>169</v>
      </c>
      <c r="G484" s="4" t="s">
        <v>170</v>
      </c>
      <c r="H484" s="4" t="s">
        <v>171</v>
      </c>
      <c r="I484" s="4" t="s">
        <v>172</v>
      </c>
      <c r="J484" s="4" t="s">
        <v>661</v>
      </c>
      <c r="K484" s="4" t="s">
        <v>654</v>
      </c>
      <c r="L484" s="4" t="s">
        <v>655</v>
      </c>
      <c r="M484" s="4"/>
      <c r="N484" s="4"/>
      <c r="O484" s="4"/>
      <c r="P484" s="4"/>
      <c r="Q484" s="4"/>
      <c r="R484" s="4"/>
      <c r="S484" s="13" t="n">
        <v>0</v>
      </c>
      <c r="T484" s="4" t="s">
        <v>173</v>
      </c>
      <c r="U484" s="14" t="n">
        <f aca="false">IF(OR($S484="",PARAMETROS!$B$4=""),"",$S484*PARAMETROS!$B$4)</f>
        <v>0</v>
      </c>
      <c r="V484" s="13" t="n">
        <v>0</v>
      </c>
      <c r="W484" s="4"/>
      <c r="X484" s="4"/>
      <c r="Y484" s="4"/>
      <c r="Z484" s="4"/>
      <c r="AA484" s="4"/>
      <c r="AB484" s="4"/>
      <c r="AC484" s="4"/>
      <c r="AD484" s="4"/>
      <c r="AE484" s="4"/>
      <c r="AF484" s="4"/>
      <c r="AG484" s="4"/>
      <c r="AH484" s="4"/>
      <c r="AI484" s="4"/>
      <c r="AJ484" s="4"/>
      <c r="AK484" s="4"/>
      <c r="AL484" s="4" t="s">
        <v>174</v>
      </c>
      <c r="AM484" s="4" t="s">
        <v>190</v>
      </c>
    </row>
    <row r="485" customFormat="false" ht="23.85" hidden="false" customHeight="false" outlineLevel="0" collapsed="false">
      <c r="A485" s="4" t="s">
        <v>167</v>
      </c>
      <c r="B485" s="4" t="s">
        <v>662</v>
      </c>
      <c r="C485" s="4" t="s">
        <v>662</v>
      </c>
      <c r="D485" s="12" t="n">
        <v>2019</v>
      </c>
      <c r="E485" s="4"/>
      <c r="F485" s="4" t="s">
        <v>169</v>
      </c>
      <c r="G485" s="4" t="s">
        <v>170</v>
      </c>
      <c r="H485" s="4" t="s">
        <v>171</v>
      </c>
      <c r="I485" s="4" t="s">
        <v>172</v>
      </c>
      <c r="J485" s="4" t="s">
        <v>662</v>
      </c>
      <c r="K485" s="4" t="s">
        <v>654</v>
      </c>
      <c r="L485" s="4" t="s">
        <v>655</v>
      </c>
      <c r="M485" s="4"/>
      <c r="N485" s="4"/>
      <c r="O485" s="4"/>
      <c r="P485" s="4"/>
      <c r="Q485" s="4"/>
      <c r="R485" s="4"/>
      <c r="S485" s="13" t="n">
        <v>0</v>
      </c>
      <c r="T485" s="4" t="s">
        <v>173</v>
      </c>
      <c r="U485" s="14" t="n">
        <f aca="false">IF(OR($S485="",PARAMETROS!$B$4=""),"",$S485*PARAMETROS!$B$4)</f>
        <v>0</v>
      </c>
      <c r="V485" s="13" t="n">
        <v>0</v>
      </c>
      <c r="W485" s="4"/>
      <c r="X485" s="4"/>
      <c r="Y485" s="4"/>
      <c r="Z485" s="4"/>
      <c r="AA485" s="4"/>
      <c r="AB485" s="4"/>
      <c r="AC485" s="4"/>
      <c r="AD485" s="4"/>
      <c r="AE485" s="4"/>
      <c r="AF485" s="4"/>
      <c r="AG485" s="4"/>
      <c r="AH485" s="4"/>
      <c r="AI485" s="4"/>
      <c r="AJ485" s="4"/>
      <c r="AK485" s="4"/>
      <c r="AL485" s="4" t="s">
        <v>174</v>
      </c>
      <c r="AM485" s="4" t="s">
        <v>190</v>
      </c>
    </row>
    <row r="486" customFormat="false" ht="23.85" hidden="false" customHeight="false" outlineLevel="0" collapsed="false">
      <c r="A486" s="4" t="s">
        <v>167</v>
      </c>
      <c r="B486" s="4" t="s">
        <v>663</v>
      </c>
      <c r="C486" s="4" t="s">
        <v>663</v>
      </c>
      <c r="D486" s="12" t="n">
        <v>2019</v>
      </c>
      <c r="E486" s="4"/>
      <c r="F486" s="4" t="s">
        <v>169</v>
      </c>
      <c r="G486" s="4" t="s">
        <v>170</v>
      </c>
      <c r="H486" s="4" t="s">
        <v>171</v>
      </c>
      <c r="I486" s="4" t="s">
        <v>172</v>
      </c>
      <c r="J486" s="4" t="s">
        <v>663</v>
      </c>
      <c r="K486" s="4" t="s">
        <v>654</v>
      </c>
      <c r="L486" s="4" t="s">
        <v>655</v>
      </c>
      <c r="M486" s="4"/>
      <c r="N486" s="4"/>
      <c r="O486" s="4"/>
      <c r="P486" s="4"/>
      <c r="Q486" s="4"/>
      <c r="R486" s="4"/>
      <c r="S486" s="13" t="n">
        <v>0</v>
      </c>
      <c r="T486" s="4" t="s">
        <v>173</v>
      </c>
      <c r="U486" s="14" t="n">
        <f aca="false">IF(OR($S486="",PARAMETROS!$B$4=""),"",$S486*PARAMETROS!$B$4)</f>
        <v>0</v>
      </c>
      <c r="V486" s="13" t="n">
        <v>0</v>
      </c>
      <c r="W486" s="4"/>
      <c r="X486" s="4"/>
      <c r="Y486" s="4"/>
      <c r="Z486" s="4"/>
      <c r="AA486" s="4"/>
      <c r="AB486" s="4"/>
      <c r="AC486" s="4"/>
      <c r="AD486" s="4"/>
      <c r="AE486" s="4"/>
      <c r="AF486" s="4"/>
      <c r="AG486" s="4"/>
      <c r="AH486" s="4"/>
      <c r="AI486" s="4"/>
      <c r="AJ486" s="4"/>
      <c r="AK486" s="4"/>
      <c r="AL486" s="4" t="s">
        <v>174</v>
      </c>
      <c r="AM486" s="4" t="s">
        <v>190</v>
      </c>
    </row>
    <row r="487" customFormat="false" ht="23.85" hidden="false" customHeight="false" outlineLevel="0" collapsed="false">
      <c r="A487" s="4" t="s">
        <v>167</v>
      </c>
      <c r="B487" s="4" t="s">
        <v>664</v>
      </c>
      <c r="C487" s="4" t="s">
        <v>664</v>
      </c>
      <c r="D487" s="12" t="n">
        <v>2019</v>
      </c>
      <c r="E487" s="4"/>
      <c r="F487" s="4" t="s">
        <v>169</v>
      </c>
      <c r="G487" s="4" t="s">
        <v>170</v>
      </c>
      <c r="H487" s="4" t="s">
        <v>171</v>
      </c>
      <c r="I487" s="4" t="s">
        <v>172</v>
      </c>
      <c r="J487" s="4" t="s">
        <v>664</v>
      </c>
      <c r="K487" s="4" t="s">
        <v>654</v>
      </c>
      <c r="L487" s="4" t="s">
        <v>655</v>
      </c>
      <c r="M487" s="4"/>
      <c r="N487" s="4"/>
      <c r="O487" s="4"/>
      <c r="P487" s="4"/>
      <c r="Q487" s="4"/>
      <c r="R487" s="4"/>
      <c r="S487" s="13" t="n">
        <v>0</v>
      </c>
      <c r="T487" s="4" t="s">
        <v>173</v>
      </c>
      <c r="U487" s="14" t="n">
        <f aca="false">IF(OR($S487="",PARAMETROS!$B$4=""),"",$S487*PARAMETROS!$B$4)</f>
        <v>0</v>
      </c>
      <c r="V487" s="13" t="n">
        <v>0</v>
      </c>
      <c r="W487" s="4"/>
      <c r="X487" s="4"/>
      <c r="Y487" s="4"/>
      <c r="Z487" s="4"/>
      <c r="AA487" s="4"/>
      <c r="AB487" s="4"/>
      <c r="AC487" s="4"/>
      <c r="AD487" s="4"/>
      <c r="AE487" s="4"/>
      <c r="AF487" s="4"/>
      <c r="AG487" s="4"/>
      <c r="AH487" s="4"/>
      <c r="AI487" s="4"/>
      <c r="AJ487" s="4"/>
      <c r="AK487" s="4"/>
      <c r="AL487" s="4" t="s">
        <v>174</v>
      </c>
      <c r="AM487" s="4" t="s">
        <v>190</v>
      </c>
    </row>
    <row r="488" customFormat="false" ht="23.85" hidden="false" customHeight="false" outlineLevel="0" collapsed="false">
      <c r="A488" s="4" t="s">
        <v>167</v>
      </c>
      <c r="B488" s="4" t="s">
        <v>665</v>
      </c>
      <c r="C488" s="4" t="s">
        <v>665</v>
      </c>
      <c r="D488" s="12" t="n">
        <v>2019</v>
      </c>
      <c r="E488" s="4"/>
      <c r="F488" s="4" t="s">
        <v>169</v>
      </c>
      <c r="G488" s="4" t="s">
        <v>170</v>
      </c>
      <c r="H488" s="4" t="s">
        <v>171</v>
      </c>
      <c r="I488" s="4" t="s">
        <v>172</v>
      </c>
      <c r="J488" s="4" t="s">
        <v>665</v>
      </c>
      <c r="K488" s="4" t="s">
        <v>654</v>
      </c>
      <c r="L488" s="4" t="s">
        <v>655</v>
      </c>
      <c r="M488" s="4"/>
      <c r="N488" s="4"/>
      <c r="O488" s="4"/>
      <c r="P488" s="4"/>
      <c r="Q488" s="4"/>
      <c r="R488" s="4"/>
      <c r="S488" s="13" t="n">
        <v>0</v>
      </c>
      <c r="T488" s="4" t="s">
        <v>173</v>
      </c>
      <c r="U488" s="14" t="n">
        <f aca="false">IF(OR($S488="",PARAMETROS!$B$4=""),"",$S488*PARAMETROS!$B$4)</f>
        <v>0</v>
      </c>
      <c r="V488" s="13" t="n">
        <v>0</v>
      </c>
      <c r="W488" s="4"/>
      <c r="X488" s="4"/>
      <c r="Y488" s="4"/>
      <c r="Z488" s="4"/>
      <c r="AA488" s="4"/>
      <c r="AB488" s="4"/>
      <c r="AC488" s="4"/>
      <c r="AD488" s="4"/>
      <c r="AE488" s="4"/>
      <c r="AF488" s="4"/>
      <c r="AG488" s="4"/>
      <c r="AH488" s="4"/>
      <c r="AI488" s="4"/>
      <c r="AJ488" s="4"/>
      <c r="AK488" s="4"/>
      <c r="AL488" s="4" t="s">
        <v>174</v>
      </c>
      <c r="AM488" s="4" t="s">
        <v>190</v>
      </c>
    </row>
    <row r="489" customFormat="false" ht="23.85" hidden="false" customHeight="false" outlineLevel="0" collapsed="false">
      <c r="A489" s="4" t="s">
        <v>167</v>
      </c>
      <c r="B489" s="4" t="s">
        <v>666</v>
      </c>
      <c r="C489" s="4" t="s">
        <v>666</v>
      </c>
      <c r="D489" s="12" t="n">
        <v>2019</v>
      </c>
      <c r="E489" s="4"/>
      <c r="F489" s="4" t="s">
        <v>169</v>
      </c>
      <c r="G489" s="4" t="s">
        <v>170</v>
      </c>
      <c r="H489" s="4" t="s">
        <v>171</v>
      </c>
      <c r="I489" s="4" t="s">
        <v>172</v>
      </c>
      <c r="J489" s="4" t="s">
        <v>666</v>
      </c>
      <c r="K489" s="4" t="s">
        <v>654</v>
      </c>
      <c r="L489" s="4" t="s">
        <v>655</v>
      </c>
      <c r="M489" s="4"/>
      <c r="N489" s="4"/>
      <c r="O489" s="4"/>
      <c r="P489" s="4"/>
      <c r="Q489" s="4"/>
      <c r="R489" s="4"/>
      <c r="S489" s="13" t="n">
        <v>0</v>
      </c>
      <c r="T489" s="4" t="s">
        <v>173</v>
      </c>
      <c r="U489" s="14" t="n">
        <f aca="false">IF(OR($S489="",PARAMETROS!$B$4=""),"",$S489*PARAMETROS!$B$4)</f>
        <v>0</v>
      </c>
      <c r="V489" s="13" t="n">
        <v>0</v>
      </c>
      <c r="W489" s="4"/>
      <c r="X489" s="4"/>
      <c r="Y489" s="4"/>
      <c r="Z489" s="4"/>
      <c r="AA489" s="4"/>
      <c r="AB489" s="4"/>
      <c r="AC489" s="4"/>
      <c r="AD489" s="4"/>
      <c r="AE489" s="4"/>
      <c r="AF489" s="4"/>
      <c r="AG489" s="4"/>
      <c r="AH489" s="4"/>
      <c r="AI489" s="4"/>
      <c r="AJ489" s="4"/>
      <c r="AK489" s="4"/>
      <c r="AL489" s="4" t="s">
        <v>174</v>
      </c>
      <c r="AM489" s="4" t="s">
        <v>190</v>
      </c>
    </row>
    <row r="490" customFormat="false" ht="23.85" hidden="false" customHeight="false" outlineLevel="0" collapsed="false">
      <c r="A490" s="4" t="s">
        <v>167</v>
      </c>
      <c r="B490" s="4" t="s">
        <v>667</v>
      </c>
      <c r="C490" s="4" t="s">
        <v>667</v>
      </c>
      <c r="D490" s="12" t="n">
        <v>2019</v>
      </c>
      <c r="E490" s="4"/>
      <c r="F490" s="4" t="s">
        <v>169</v>
      </c>
      <c r="G490" s="4" t="s">
        <v>170</v>
      </c>
      <c r="H490" s="4" t="s">
        <v>171</v>
      </c>
      <c r="I490" s="4" t="s">
        <v>172</v>
      </c>
      <c r="J490" s="4" t="s">
        <v>667</v>
      </c>
      <c r="K490" s="4" t="s">
        <v>654</v>
      </c>
      <c r="L490" s="4" t="s">
        <v>655</v>
      </c>
      <c r="M490" s="4"/>
      <c r="N490" s="4"/>
      <c r="O490" s="4"/>
      <c r="P490" s="4"/>
      <c r="Q490" s="4"/>
      <c r="R490" s="4"/>
      <c r="S490" s="13" t="n">
        <v>0</v>
      </c>
      <c r="T490" s="4" t="s">
        <v>173</v>
      </c>
      <c r="U490" s="14" t="n">
        <f aca="false">IF(OR($S490="",PARAMETROS!$B$4=""),"",$S490*PARAMETROS!$B$4)</f>
        <v>0</v>
      </c>
      <c r="V490" s="13" t="n">
        <v>0</v>
      </c>
      <c r="W490" s="4"/>
      <c r="X490" s="4"/>
      <c r="Y490" s="4"/>
      <c r="Z490" s="4"/>
      <c r="AA490" s="4"/>
      <c r="AB490" s="4"/>
      <c r="AC490" s="4"/>
      <c r="AD490" s="4"/>
      <c r="AE490" s="4"/>
      <c r="AF490" s="4"/>
      <c r="AG490" s="4"/>
      <c r="AH490" s="4"/>
      <c r="AI490" s="4"/>
      <c r="AJ490" s="4"/>
      <c r="AK490" s="4"/>
      <c r="AL490" s="4" t="s">
        <v>174</v>
      </c>
      <c r="AM490" s="4" t="s">
        <v>190</v>
      </c>
    </row>
    <row r="491" customFormat="false" ht="23.85" hidden="false" customHeight="false" outlineLevel="0" collapsed="false">
      <c r="A491" s="4" t="s">
        <v>167</v>
      </c>
      <c r="B491" s="4" t="s">
        <v>668</v>
      </c>
      <c r="C491" s="4" t="s">
        <v>668</v>
      </c>
      <c r="D491" s="12" t="n">
        <v>2019</v>
      </c>
      <c r="E491" s="4"/>
      <c r="F491" s="4" t="s">
        <v>169</v>
      </c>
      <c r="G491" s="4" t="s">
        <v>170</v>
      </c>
      <c r="H491" s="4" t="s">
        <v>171</v>
      </c>
      <c r="I491" s="4" t="s">
        <v>172</v>
      </c>
      <c r="J491" s="4" t="s">
        <v>668</v>
      </c>
      <c r="K491" s="4" t="s">
        <v>654</v>
      </c>
      <c r="L491" s="4" t="s">
        <v>655</v>
      </c>
      <c r="M491" s="4"/>
      <c r="N491" s="4"/>
      <c r="O491" s="4"/>
      <c r="P491" s="4"/>
      <c r="Q491" s="4"/>
      <c r="R491" s="4"/>
      <c r="S491" s="13" t="n">
        <v>0</v>
      </c>
      <c r="T491" s="4" t="s">
        <v>173</v>
      </c>
      <c r="U491" s="14" t="n">
        <f aca="false">IF(OR($S491="",PARAMETROS!$B$4=""),"",$S491*PARAMETROS!$B$4)</f>
        <v>0</v>
      </c>
      <c r="V491" s="13" t="n">
        <v>0</v>
      </c>
      <c r="W491" s="4"/>
      <c r="X491" s="4"/>
      <c r="Y491" s="4"/>
      <c r="Z491" s="4"/>
      <c r="AA491" s="4"/>
      <c r="AB491" s="4"/>
      <c r="AC491" s="4"/>
      <c r="AD491" s="4"/>
      <c r="AE491" s="4"/>
      <c r="AF491" s="4"/>
      <c r="AG491" s="4"/>
      <c r="AH491" s="4"/>
      <c r="AI491" s="4"/>
      <c r="AJ491" s="4"/>
      <c r="AK491" s="4"/>
      <c r="AL491" s="4" t="s">
        <v>174</v>
      </c>
      <c r="AM491" s="4" t="s">
        <v>190</v>
      </c>
    </row>
    <row r="492" customFormat="false" ht="23.85" hidden="false" customHeight="false" outlineLevel="0" collapsed="false">
      <c r="A492" s="4" t="s">
        <v>167</v>
      </c>
      <c r="B492" s="4" t="s">
        <v>669</v>
      </c>
      <c r="C492" s="4" t="s">
        <v>669</v>
      </c>
      <c r="D492" s="12" t="n">
        <v>2020</v>
      </c>
      <c r="E492" s="4"/>
      <c r="F492" s="4" t="s">
        <v>169</v>
      </c>
      <c r="G492" s="4" t="s">
        <v>170</v>
      </c>
      <c r="H492" s="4" t="s">
        <v>171</v>
      </c>
      <c r="I492" s="4" t="s">
        <v>172</v>
      </c>
      <c r="J492" s="4" t="s">
        <v>669</v>
      </c>
      <c r="K492" s="4" t="s">
        <v>91</v>
      </c>
      <c r="L492" s="4" t="s">
        <v>92</v>
      </c>
      <c r="M492" s="4"/>
      <c r="N492" s="4"/>
      <c r="O492" s="4"/>
      <c r="P492" s="4"/>
      <c r="Q492" s="4"/>
      <c r="R492" s="4"/>
      <c r="S492" s="13" t="n">
        <v>9179.76</v>
      </c>
      <c r="T492" s="4" t="s">
        <v>173</v>
      </c>
      <c r="U492" s="14" t="n">
        <f aca="false">IF(OR($S492="",PARAMETROS!$B$4=""),"",$S492*PARAMETROS!$B$4)</f>
        <v>53334.4056</v>
      </c>
      <c r="V492" s="13" t="n">
        <v>0</v>
      </c>
      <c r="W492" s="4"/>
      <c r="X492" s="4"/>
      <c r="Y492" s="4"/>
      <c r="Z492" s="4"/>
      <c r="AA492" s="4"/>
      <c r="AB492" s="4"/>
      <c r="AC492" s="4"/>
      <c r="AD492" s="4"/>
      <c r="AE492" s="4"/>
      <c r="AF492" s="4"/>
      <c r="AG492" s="4"/>
      <c r="AH492" s="4"/>
      <c r="AI492" s="4"/>
      <c r="AJ492" s="4"/>
      <c r="AK492" s="4"/>
      <c r="AL492" s="4" t="s">
        <v>174</v>
      </c>
      <c r="AM492" s="4" t="s">
        <v>175</v>
      </c>
    </row>
    <row r="493" customFormat="false" ht="23.85" hidden="false" customHeight="false" outlineLevel="0" collapsed="false">
      <c r="A493" s="4" t="s">
        <v>167</v>
      </c>
      <c r="B493" s="4" t="s">
        <v>670</v>
      </c>
      <c r="C493" s="4" t="s">
        <v>670</v>
      </c>
      <c r="D493" s="12" t="n">
        <v>2020</v>
      </c>
      <c r="E493" s="4"/>
      <c r="F493" s="4" t="s">
        <v>169</v>
      </c>
      <c r="G493" s="4" t="s">
        <v>170</v>
      </c>
      <c r="H493" s="4" t="s">
        <v>171</v>
      </c>
      <c r="I493" s="4" t="s">
        <v>172</v>
      </c>
      <c r="J493" s="4" t="s">
        <v>670</v>
      </c>
      <c r="K493" s="4" t="s">
        <v>91</v>
      </c>
      <c r="L493" s="4" t="s">
        <v>92</v>
      </c>
      <c r="M493" s="4"/>
      <c r="N493" s="4"/>
      <c r="O493" s="4"/>
      <c r="P493" s="4"/>
      <c r="Q493" s="4"/>
      <c r="R493" s="4"/>
      <c r="S493" s="13" t="n">
        <v>0</v>
      </c>
      <c r="T493" s="4" t="s">
        <v>173</v>
      </c>
      <c r="U493" s="14" t="n">
        <f aca="false">IF(OR($S493="",PARAMETROS!$B$4=""),"",$S493*PARAMETROS!$B$4)</f>
        <v>0</v>
      </c>
      <c r="V493" s="13" t="n">
        <v>0</v>
      </c>
      <c r="W493" s="4"/>
      <c r="X493" s="4"/>
      <c r="Y493" s="4"/>
      <c r="Z493" s="4"/>
      <c r="AA493" s="4"/>
      <c r="AB493" s="4"/>
      <c r="AC493" s="4"/>
      <c r="AD493" s="4"/>
      <c r="AE493" s="4"/>
      <c r="AF493" s="4"/>
      <c r="AG493" s="4"/>
      <c r="AH493" s="4"/>
      <c r="AI493" s="4"/>
      <c r="AJ493" s="4"/>
      <c r="AK493" s="4"/>
      <c r="AL493" s="4" t="s">
        <v>174</v>
      </c>
      <c r="AM493" s="4" t="s">
        <v>175</v>
      </c>
    </row>
    <row r="494" customFormat="false" ht="23.85" hidden="false" customHeight="false" outlineLevel="0" collapsed="false">
      <c r="A494" s="4" t="s">
        <v>167</v>
      </c>
      <c r="B494" s="4" t="s">
        <v>671</v>
      </c>
      <c r="C494" s="4" t="s">
        <v>671</v>
      </c>
      <c r="D494" s="12" t="n">
        <v>2020</v>
      </c>
      <c r="E494" s="4"/>
      <c r="F494" s="4" t="s">
        <v>169</v>
      </c>
      <c r="G494" s="4" t="s">
        <v>170</v>
      </c>
      <c r="H494" s="4" t="s">
        <v>171</v>
      </c>
      <c r="I494" s="4" t="s">
        <v>172</v>
      </c>
      <c r="J494" s="4" t="s">
        <v>671</v>
      </c>
      <c r="K494" s="4" t="s">
        <v>91</v>
      </c>
      <c r="L494" s="4" t="s">
        <v>92</v>
      </c>
      <c r="M494" s="4"/>
      <c r="N494" s="4"/>
      <c r="O494" s="4"/>
      <c r="P494" s="4"/>
      <c r="Q494" s="4"/>
      <c r="R494" s="4"/>
      <c r="S494" s="13" t="n">
        <v>0</v>
      </c>
      <c r="T494" s="4" t="s">
        <v>173</v>
      </c>
      <c r="U494" s="14" t="n">
        <f aca="false">IF(OR($S494="",PARAMETROS!$B$4=""),"",$S494*PARAMETROS!$B$4)</f>
        <v>0</v>
      </c>
      <c r="V494" s="13" t="n">
        <v>0</v>
      </c>
      <c r="W494" s="4"/>
      <c r="X494" s="4"/>
      <c r="Y494" s="4"/>
      <c r="Z494" s="4"/>
      <c r="AA494" s="4"/>
      <c r="AB494" s="4"/>
      <c r="AC494" s="4"/>
      <c r="AD494" s="4"/>
      <c r="AE494" s="4"/>
      <c r="AF494" s="4"/>
      <c r="AG494" s="4"/>
      <c r="AH494" s="4"/>
      <c r="AI494" s="4"/>
      <c r="AJ494" s="4"/>
      <c r="AK494" s="4"/>
      <c r="AL494" s="4" t="s">
        <v>174</v>
      </c>
      <c r="AM494" s="4" t="s">
        <v>175</v>
      </c>
    </row>
    <row r="495" customFormat="false" ht="23.85" hidden="false" customHeight="false" outlineLevel="0" collapsed="false">
      <c r="A495" s="4" t="s">
        <v>167</v>
      </c>
      <c r="B495" s="4" t="s">
        <v>672</v>
      </c>
      <c r="C495" s="4" t="s">
        <v>672</v>
      </c>
      <c r="D495" s="12" t="n">
        <v>2020</v>
      </c>
      <c r="E495" s="4"/>
      <c r="F495" s="4" t="s">
        <v>169</v>
      </c>
      <c r="G495" s="4" t="s">
        <v>170</v>
      </c>
      <c r="H495" s="4" t="s">
        <v>171</v>
      </c>
      <c r="I495" s="4" t="s">
        <v>172</v>
      </c>
      <c r="J495" s="4" t="s">
        <v>672</v>
      </c>
      <c r="K495" s="4" t="s">
        <v>91</v>
      </c>
      <c r="L495" s="4" t="s">
        <v>92</v>
      </c>
      <c r="M495" s="4"/>
      <c r="N495" s="4"/>
      <c r="O495" s="4"/>
      <c r="P495" s="4"/>
      <c r="Q495" s="4"/>
      <c r="R495" s="4"/>
      <c r="S495" s="13" t="n">
        <v>0</v>
      </c>
      <c r="T495" s="4" t="s">
        <v>173</v>
      </c>
      <c r="U495" s="14" t="n">
        <f aca="false">IF(OR($S495="",PARAMETROS!$B$4=""),"",$S495*PARAMETROS!$B$4)</f>
        <v>0</v>
      </c>
      <c r="V495" s="13" t="n">
        <v>0</v>
      </c>
      <c r="W495" s="4"/>
      <c r="X495" s="4"/>
      <c r="Y495" s="4"/>
      <c r="Z495" s="4"/>
      <c r="AA495" s="4"/>
      <c r="AB495" s="4"/>
      <c r="AC495" s="4"/>
      <c r="AD495" s="4"/>
      <c r="AE495" s="4"/>
      <c r="AF495" s="4"/>
      <c r="AG495" s="4"/>
      <c r="AH495" s="4"/>
      <c r="AI495" s="4"/>
      <c r="AJ495" s="4"/>
      <c r="AK495" s="4"/>
      <c r="AL495" s="4" t="s">
        <v>174</v>
      </c>
      <c r="AM495" s="4" t="s">
        <v>175</v>
      </c>
    </row>
    <row r="496" customFormat="false" ht="23.85" hidden="false" customHeight="false" outlineLevel="0" collapsed="false">
      <c r="A496" s="4" t="s">
        <v>167</v>
      </c>
      <c r="B496" s="4" t="s">
        <v>673</v>
      </c>
      <c r="C496" s="4" t="s">
        <v>673</v>
      </c>
      <c r="D496" s="12" t="n">
        <v>2020</v>
      </c>
      <c r="E496" s="4"/>
      <c r="F496" s="4" t="s">
        <v>169</v>
      </c>
      <c r="G496" s="4" t="s">
        <v>170</v>
      </c>
      <c r="H496" s="4" t="s">
        <v>171</v>
      </c>
      <c r="I496" s="4" t="s">
        <v>172</v>
      </c>
      <c r="J496" s="4" t="s">
        <v>673</v>
      </c>
      <c r="K496" s="4" t="s">
        <v>91</v>
      </c>
      <c r="L496" s="4" t="s">
        <v>92</v>
      </c>
      <c r="M496" s="4"/>
      <c r="N496" s="4"/>
      <c r="O496" s="4"/>
      <c r="P496" s="4"/>
      <c r="Q496" s="4"/>
      <c r="R496" s="4"/>
      <c r="S496" s="13" t="n">
        <v>0</v>
      </c>
      <c r="T496" s="4" t="s">
        <v>173</v>
      </c>
      <c r="U496" s="14" t="n">
        <f aca="false">IF(OR($S496="",PARAMETROS!$B$4=""),"",$S496*PARAMETROS!$B$4)</f>
        <v>0</v>
      </c>
      <c r="V496" s="13" t="n">
        <v>0</v>
      </c>
      <c r="W496" s="4"/>
      <c r="X496" s="4"/>
      <c r="Y496" s="4"/>
      <c r="Z496" s="4"/>
      <c r="AA496" s="4"/>
      <c r="AB496" s="4"/>
      <c r="AC496" s="4"/>
      <c r="AD496" s="4"/>
      <c r="AE496" s="4"/>
      <c r="AF496" s="4"/>
      <c r="AG496" s="4"/>
      <c r="AH496" s="4"/>
      <c r="AI496" s="4"/>
      <c r="AJ496" s="4"/>
      <c r="AK496" s="4"/>
      <c r="AL496" s="4" t="s">
        <v>174</v>
      </c>
      <c r="AM496" s="4" t="s">
        <v>175</v>
      </c>
    </row>
    <row r="497" customFormat="false" ht="23.85" hidden="false" customHeight="false" outlineLevel="0" collapsed="false">
      <c r="A497" s="4" t="s">
        <v>167</v>
      </c>
      <c r="B497" s="4" t="s">
        <v>674</v>
      </c>
      <c r="C497" s="4" t="s">
        <v>674</v>
      </c>
      <c r="D497" s="12" t="n">
        <v>2020</v>
      </c>
      <c r="E497" s="4"/>
      <c r="F497" s="4" t="s">
        <v>169</v>
      </c>
      <c r="G497" s="4" t="s">
        <v>170</v>
      </c>
      <c r="H497" s="4" t="s">
        <v>171</v>
      </c>
      <c r="I497" s="4" t="s">
        <v>172</v>
      </c>
      <c r="J497" s="4" t="s">
        <v>674</v>
      </c>
      <c r="K497" s="4" t="s">
        <v>91</v>
      </c>
      <c r="L497" s="4" t="s">
        <v>92</v>
      </c>
      <c r="M497" s="4"/>
      <c r="N497" s="4"/>
      <c r="O497" s="4"/>
      <c r="P497" s="4"/>
      <c r="Q497" s="4"/>
      <c r="R497" s="4"/>
      <c r="S497" s="13" t="n">
        <v>-8039.95</v>
      </c>
      <c r="T497" s="4" t="s">
        <v>173</v>
      </c>
      <c r="U497" s="14" t="n">
        <f aca="false">IF(OR($S497="",PARAMETROS!$B$4=""),"",$S497*PARAMETROS!$B$4)</f>
        <v>-46712.1095</v>
      </c>
      <c r="V497" s="13" t="n">
        <v>0</v>
      </c>
      <c r="W497" s="4"/>
      <c r="X497" s="4"/>
      <c r="Y497" s="4"/>
      <c r="Z497" s="4"/>
      <c r="AA497" s="4"/>
      <c r="AB497" s="4"/>
      <c r="AC497" s="4"/>
      <c r="AD497" s="4"/>
      <c r="AE497" s="4"/>
      <c r="AF497" s="4"/>
      <c r="AG497" s="4"/>
      <c r="AH497" s="4"/>
      <c r="AI497" s="4"/>
      <c r="AJ497" s="4"/>
      <c r="AK497" s="4"/>
      <c r="AL497" s="4" t="s">
        <v>174</v>
      </c>
      <c r="AM497" s="4" t="s">
        <v>175</v>
      </c>
    </row>
    <row r="498" customFormat="false" ht="23.85" hidden="false" customHeight="false" outlineLevel="0" collapsed="false">
      <c r="A498" s="4" t="s">
        <v>167</v>
      </c>
      <c r="B498" s="4" t="s">
        <v>675</v>
      </c>
      <c r="C498" s="4" t="s">
        <v>675</v>
      </c>
      <c r="D498" s="12" t="n">
        <v>2020</v>
      </c>
      <c r="E498" s="4"/>
      <c r="F498" s="4" t="s">
        <v>169</v>
      </c>
      <c r="G498" s="4" t="s">
        <v>170</v>
      </c>
      <c r="H498" s="4" t="s">
        <v>171</v>
      </c>
      <c r="I498" s="4" t="s">
        <v>172</v>
      </c>
      <c r="J498" s="4" t="s">
        <v>675</v>
      </c>
      <c r="K498" s="4" t="s">
        <v>91</v>
      </c>
      <c r="L498" s="4" t="s">
        <v>92</v>
      </c>
      <c r="M498" s="4"/>
      <c r="N498" s="4"/>
      <c r="O498" s="4"/>
      <c r="P498" s="4"/>
      <c r="Q498" s="4"/>
      <c r="R498" s="4"/>
      <c r="S498" s="13" t="n">
        <v>-1139.8</v>
      </c>
      <c r="T498" s="4" t="s">
        <v>173</v>
      </c>
      <c r="U498" s="14" t="n">
        <f aca="false">IF(OR($S498="",PARAMETROS!$B$4=""),"",$S498*PARAMETROS!$B$4)</f>
        <v>-6622.238</v>
      </c>
      <c r="V498" s="13" t="n">
        <v>0</v>
      </c>
      <c r="W498" s="4"/>
      <c r="X498" s="4"/>
      <c r="Y498" s="4"/>
      <c r="Z498" s="4"/>
      <c r="AA498" s="4"/>
      <c r="AB498" s="4"/>
      <c r="AC498" s="4"/>
      <c r="AD498" s="4"/>
      <c r="AE498" s="4"/>
      <c r="AF498" s="4"/>
      <c r="AG498" s="4"/>
      <c r="AH498" s="4"/>
      <c r="AI498" s="4"/>
      <c r="AJ498" s="4"/>
      <c r="AK498" s="4"/>
      <c r="AL498" s="4" t="s">
        <v>174</v>
      </c>
      <c r="AM498" s="4" t="s">
        <v>175</v>
      </c>
    </row>
    <row r="499" customFormat="false" ht="23.85" hidden="false" customHeight="false" outlineLevel="0" collapsed="false">
      <c r="A499" s="4" t="s">
        <v>167</v>
      </c>
      <c r="B499" s="4" t="s">
        <v>676</v>
      </c>
      <c r="C499" s="4" t="s">
        <v>676</v>
      </c>
      <c r="D499" s="12" t="n">
        <v>2020</v>
      </c>
      <c r="E499" s="4"/>
      <c r="F499" s="4" t="s">
        <v>169</v>
      </c>
      <c r="G499" s="4" t="s">
        <v>170</v>
      </c>
      <c r="H499" s="4" t="s">
        <v>171</v>
      </c>
      <c r="I499" s="4" t="s">
        <v>172</v>
      </c>
      <c r="J499" s="4" t="s">
        <v>676</v>
      </c>
      <c r="K499" s="4" t="s">
        <v>91</v>
      </c>
      <c r="L499" s="4" t="s">
        <v>92</v>
      </c>
      <c r="M499" s="4"/>
      <c r="N499" s="4"/>
      <c r="O499" s="4"/>
      <c r="P499" s="4"/>
      <c r="Q499" s="4"/>
      <c r="R499" s="4"/>
      <c r="S499" s="13" t="n">
        <v>0</v>
      </c>
      <c r="T499" s="4" t="s">
        <v>173</v>
      </c>
      <c r="U499" s="14" t="n">
        <f aca="false">IF(OR($S499="",PARAMETROS!$B$4=""),"",$S499*PARAMETROS!$B$4)</f>
        <v>0</v>
      </c>
      <c r="V499" s="13" t="n">
        <v>0</v>
      </c>
      <c r="W499" s="4"/>
      <c r="X499" s="4"/>
      <c r="Y499" s="4"/>
      <c r="Z499" s="4"/>
      <c r="AA499" s="4"/>
      <c r="AB499" s="4"/>
      <c r="AC499" s="4"/>
      <c r="AD499" s="4"/>
      <c r="AE499" s="4"/>
      <c r="AF499" s="4"/>
      <c r="AG499" s="4"/>
      <c r="AH499" s="4"/>
      <c r="AI499" s="4"/>
      <c r="AJ499" s="4"/>
      <c r="AK499" s="4"/>
      <c r="AL499" s="4" t="s">
        <v>174</v>
      </c>
      <c r="AM499" s="4" t="s">
        <v>175</v>
      </c>
    </row>
    <row r="500" customFormat="false" ht="23.85" hidden="false" customHeight="false" outlineLevel="0" collapsed="false">
      <c r="A500" s="4" t="s">
        <v>167</v>
      </c>
      <c r="B500" s="4" t="s">
        <v>677</v>
      </c>
      <c r="C500" s="4" t="s">
        <v>677</v>
      </c>
      <c r="D500" s="12" t="n">
        <v>2020</v>
      </c>
      <c r="E500" s="4"/>
      <c r="F500" s="4" t="s">
        <v>169</v>
      </c>
      <c r="G500" s="4" t="s">
        <v>170</v>
      </c>
      <c r="H500" s="4" t="s">
        <v>171</v>
      </c>
      <c r="I500" s="4" t="s">
        <v>172</v>
      </c>
      <c r="J500" s="4" t="s">
        <v>677</v>
      </c>
      <c r="K500" s="4" t="s">
        <v>91</v>
      </c>
      <c r="L500" s="4" t="s">
        <v>92</v>
      </c>
      <c r="M500" s="4"/>
      <c r="N500" s="4"/>
      <c r="O500" s="4"/>
      <c r="P500" s="4"/>
      <c r="Q500" s="4"/>
      <c r="R500" s="4"/>
      <c r="S500" s="13" t="n">
        <v>0</v>
      </c>
      <c r="T500" s="4" t="s">
        <v>173</v>
      </c>
      <c r="U500" s="14" t="n">
        <f aca="false">IF(OR($S500="",PARAMETROS!$B$4=""),"",$S500*PARAMETROS!$B$4)</f>
        <v>0</v>
      </c>
      <c r="V500" s="13" t="n">
        <v>0</v>
      </c>
      <c r="W500" s="4"/>
      <c r="X500" s="4"/>
      <c r="Y500" s="4"/>
      <c r="Z500" s="4"/>
      <c r="AA500" s="4"/>
      <c r="AB500" s="4"/>
      <c r="AC500" s="4"/>
      <c r="AD500" s="4"/>
      <c r="AE500" s="4"/>
      <c r="AF500" s="4"/>
      <c r="AG500" s="4"/>
      <c r="AH500" s="4"/>
      <c r="AI500" s="4"/>
      <c r="AJ500" s="4"/>
      <c r="AK500" s="4"/>
      <c r="AL500" s="4" t="s">
        <v>174</v>
      </c>
      <c r="AM500" s="4" t="s">
        <v>175</v>
      </c>
    </row>
    <row r="501" customFormat="false" ht="23.85" hidden="false" customHeight="false" outlineLevel="0" collapsed="false">
      <c r="A501" s="4" t="s">
        <v>167</v>
      </c>
      <c r="B501" s="4" t="s">
        <v>678</v>
      </c>
      <c r="C501" s="4" t="s">
        <v>678</v>
      </c>
      <c r="D501" s="12" t="n">
        <v>2020</v>
      </c>
      <c r="E501" s="4"/>
      <c r="F501" s="4" t="s">
        <v>169</v>
      </c>
      <c r="G501" s="4" t="s">
        <v>170</v>
      </c>
      <c r="H501" s="4" t="s">
        <v>171</v>
      </c>
      <c r="I501" s="4" t="s">
        <v>172</v>
      </c>
      <c r="J501" s="4" t="s">
        <v>678</v>
      </c>
      <c r="K501" s="4" t="s">
        <v>91</v>
      </c>
      <c r="L501" s="4" t="s">
        <v>92</v>
      </c>
      <c r="M501" s="4"/>
      <c r="N501" s="4"/>
      <c r="O501" s="4"/>
      <c r="P501" s="4"/>
      <c r="Q501" s="4"/>
      <c r="R501" s="4"/>
      <c r="S501" s="13" t="n">
        <v>0</v>
      </c>
      <c r="T501" s="4" t="s">
        <v>173</v>
      </c>
      <c r="U501" s="14" t="n">
        <f aca="false">IF(OR($S501="",PARAMETROS!$B$4=""),"",$S501*PARAMETROS!$B$4)</f>
        <v>0</v>
      </c>
      <c r="V501" s="13" t="n">
        <v>0</v>
      </c>
      <c r="W501" s="4"/>
      <c r="X501" s="4"/>
      <c r="Y501" s="4"/>
      <c r="Z501" s="4"/>
      <c r="AA501" s="4"/>
      <c r="AB501" s="4"/>
      <c r="AC501" s="4"/>
      <c r="AD501" s="4"/>
      <c r="AE501" s="4"/>
      <c r="AF501" s="4"/>
      <c r="AG501" s="4"/>
      <c r="AH501" s="4"/>
      <c r="AI501" s="4"/>
      <c r="AJ501" s="4"/>
      <c r="AK501" s="4"/>
      <c r="AL501" s="4" t="s">
        <v>174</v>
      </c>
      <c r="AM501" s="4" t="s">
        <v>175</v>
      </c>
    </row>
    <row r="502" customFormat="false" ht="23.85" hidden="false" customHeight="false" outlineLevel="0" collapsed="false">
      <c r="A502" s="4" t="s">
        <v>167</v>
      </c>
      <c r="B502" s="4" t="s">
        <v>679</v>
      </c>
      <c r="C502" s="4" t="s">
        <v>679</v>
      </c>
      <c r="D502" s="12" t="n">
        <v>2020</v>
      </c>
      <c r="E502" s="4"/>
      <c r="F502" s="4" t="s">
        <v>169</v>
      </c>
      <c r="G502" s="4" t="s">
        <v>170</v>
      </c>
      <c r="H502" s="4" t="s">
        <v>171</v>
      </c>
      <c r="I502" s="4" t="s">
        <v>172</v>
      </c>
      <c r="J502" s="4" t="s">
        <v>679</v>
      </c>
      <c r="K502" s="4" t="s">
        <v>91</v>
      </c>
      <c r="L502" s="4" t="s">
        <v>92</v>
      </c>
      <c r="M502" s="4"/>
      <c r="N502" s="4"/>
      <c r="O502" s="4"/>
      <c r="P502" s="4"/>
      <c r="Q502" s="4"/>
      <c r="R502" s="4"/>
      <c r="S502" s="13" t="n">
        <v>0</v>
      </c>
      <c r="T502" s="4" t="s">
        <v>173</v>
      </c>
      <c r="U502" s="14" t="n">
        <f aca="false">IF(OR($S502="",PARAMETROS!$B$4=""),"",$S502*PARAMETROS!$B$4)</f>
        <v>0</v>
      </c>
      <c r="V502" s="13" t="n">
        <v>0</v>
      </c>
      <c r="W502" s="4"/>
      <c r="X502" s="4"/>
      <c r="Y502" s="4"/>
      <c r="Z502" s="4"/>
      <c r="AA502" s="4"/>
      <c r="AB502" s="4"/>
      <c r="AC502" s="4"/>
      <c r="AD502" s="4"/>
      <c r="AE502" s="4"/>
      <c r="AF502" s="4"/>
      <c r="AG502" s="4"/>
      <c r="AH502" s="4"/>
      <c r="AI502" s="4"/>
      <c r="AJ502" s="4"/>
      <c r="AK502" s="4"/>
      <c r="AL502" s="4" t="s">
        <v>174</v>
      </c>
      <c r="AM502" s="4" t="s">
        <v>175</v>
      </c>
    </row>
    <row r="503" customFormat="false" ht="23.85" hidden="false" customHeight="false" outlineLevel="0" collapsed="false">
      <c r="A503" s="4" t="s">
        <v>167</v>
      </c>
      <c r="B503" s="4" t="s">
        <v>680</v>
      </c>
      <c r="C503" s="4" t="s">
        <v>680</v>
      </c>
      <c r="D503" s="12" t="n">
        <v>2020</v>
      </c>
      <c r="E503" s="4"/>
      <c r="F503" s="4" t="s">
        <v>169</v>
      </c>
      <c r="G503" s="4" t="s">
        <v>170</v>
      </c>
      <c r="H503" s="4" t="s">
        <v>171</v>
      </c>
      <c r="I503" s="4" t="s">
        <v>172</v>
      </c>
      <c r="J503" s="4" t="s">
        <v>680</v>
      </c>
      <c r="K503" s="4" t="s">
        <v>91</v>
      </c>
      <c r="L503" s="4" t="s">
        <v>92</v>
      </c>
      <c r="M503" s="4"/>
      <c r="N503" s="4"/>
      <c r="O503" s="4"/>
      <c r="P503" s="4"/>
      <c r="Q503" s="4"/>
      <c r="R503" s="4"/>
      <c r="S503" s="13" t="n">
        <v>0</v>
      </c>
      <c r="T503" s="4" t="s">
        <v>173</v>
      </c>
      <c r="U503" s="14" t="n">
        <f aca="false">IF(OR($S503="",PARAMETROS!$B$4=""),"",$S503*PARAMETROS!$B$4)</f>
        <v>0</v>
      </c>
      <c r="V503" s="13" t="n">
        <v>0</v>
      </c>
      <c r="W503" s="4"/>
      <c r="X503" s="4"/>
      <c r="Y503" s="4"/>
      <c r="Z503" s="4"/>
      <c r="AA503" s="4"/>
      <c r="AB503" s="4"/>
      <c r="AC503" s="4"/>
      <c r="AD503" s="4"/>
      <c r="AE503" s="4"/>
      <c r="AF503" s="4"/>
      <c r="AG503" s="4"/>
      <c r="AH503" s="4"/>
      <c r="AI503" s="4"/>
      <c r="AJ503" s="4"/>
      <c r="AK503" s="4"/>
      <c r="AL503" s="4" t="s">
        <v>174</v>
      </c>
      <c r="AM503" s="4" t="s">
        <v>175</v>
      </c>
    </row>
    <row r="504" customFormat="false" ht="23.85" hidden="false" customHeight="false" outlineLevel="0" collapsed="false">
      <c r="A504" s="4" t="s">
        <v>167</v>
      </c>
      <c r="B504" s="4" t="s">
        <v>681</v>
      </c>
      <c r="C504" s="4" t="s">
        <v>681</v>
      </c>
      <c r="D504" s="12" t="n">
        <v>2020</v>
      </c>
      <c r="E504" s="4"/>
      <c r="F504" s="4" t="s">
        <v>169</v>
      </c>
      <c r="G504" s="4" t="s">
        <v>170</v>
      </c>
      <c r="H504" s="4" t="s">
        <v>171</v>
      </c>
      <c r="I504" s="4" t="s">
        <v>172</v>
      </c>
      <c r="J504" s="4" t="s">
        <v>681</v>
      </c>
      <c r="K504" s="4" t="s">
        <v>91</v>
      </c>
      <c r="L504" s="4" t="s">
        <v>92</v>
      </c>
      <c r="M504" s="4"/>
      <c r="N504" s="4"/>
      <c r="O504" s="4"/>
      <c r="P504" s="4"/>
      <c r="Q504" s="4"/>
      <c r="R504" s="4"/>
      <c r="S504" s="13" t="n">
        <v>0</v>
      </c>
      <c r="T504" s="4" t="s">
        <v>173</v>
      </c>
      <c r="U504" s="14" t="n">
        <f aca="false">IF(OR($S504="",PARAMETROS!$B$4=""),"",$S504*PARAMETROS!$B$4)</f>
        <v>0</v>
      </c>
      <c r="V504" s="13" t="n">
        <v>0</v>
      </c>
      <c r="W504" s="4"/>
      <c r="X504" s="4"/>
      <c r="Y504" s="4"/>
      <c r="Z504" s="4"/>
      <c r="AA504" s="4"/>
      <c r="AB504" s="4"/>
      <c r="AC504" s="4"/>
      <c r="AD504" s="4"/>
      <c r="AE504" s="4"/>
      <c r="AF504" s="4"/>
      <c r="AG504" s="4"/>
      <c r="AH504" s="4"/>
      <c r="AI504" s="4"/>
      <c r="AJ504" s="4"/>
      <c r="AK504" s="4"/>
      <c r="AL504" s="4" t="s">
        <v>174</v>
      </c>
      <c r="AM504" s="4" t="s">
        <v>175</v>
      </c>
    </row>
    <row r="505" customFormat="false" ht="23.85" hidden="false" customHeight="false" outlineLevel="0" collapsed="false">
      <c r="A505" s="4" t="s">
        <v>167</v>
      </c>
      <c r="B505" s="4" t="s">
        <v>682</v>
      </c>
      <c r="C505" s="4" t="s">
        <v>682</v>
      </c>
      <c r="D505" s="12" t="n">
        <v>2020</v>
      </c>
      <c r="E505" s="4"/>
      <c r="F505" s="4" t="s">
        <v>169</v>
      </c>
      <c r="G505" s="4" t="s">
        <v>170</v>
      </c>
      <c r="H505" s="4" t="s">
        <v>171</v>
      </c>
      <c r="I505" s="4" t="s">
        <v>172</v>
      </c>
      <c r="J505" s="4" t="s">
        <v>682</v>
      </c>
      <c r="K505" s="4" t="s">
        <v>91</v>
      </c>
      <c r="L505" s="4" t="s">
        <v>92</v>
      </c>
      <c r="M505" s="4"/>
      <c r="N505" s="4"/>
      <c r="O505" s="4"/>
      <c r="P505" s="4"/>
      <c r="Q505" s="4"/>
      <c r="R505" s="4"/>
      <c r="S505" s="13" t="n">
        <v>0</v>
      </c>
      <c r="T505" s="4" t="s">
        <v>173</v>
      </c>
      <c r="U505" s="14" t="n">
        <f aca="false">IF(OR($S505="",PARAMETROS!$B$4=""),"",$S505*PARAMETROS!$B$4)</f>
        <v>0</v>
      </c>
      <c r="V505" s="13" t="n">
        <v>0</v>
      </c>
      <c r="W505" s="4"/>
      <c r="X505" s="4"/>
      <c r="Y505" s="4"/>
      <c r="Z505" s="4"/>
      <c r="AA505" s="4"/>
      <c r="AB505" s="4"/>
      <c r="AC505" s="4"/>
      <c r="AD505" s="4"/>
      <c r="AE505" s="4"/>
      <c r="AF505" s="4"/>
      <c r="AG505" s="4"/>
      <c r="AH505" s="4"/>
      <c r="AI505" s="4"/>
      <c r="AJ505" s="4"/>
      <c r="AK505" s="4"/>
      <c r="AL505" s="4" t="s">
        <v>174</v>
      </c>
      <c r="AM505" s="4" t="s">
        <v>175</v>
      </c>
    </row>
    <row r="506" customFormat="false" ht="23.85" hidden="false" customHeight="false" outlineLevel="0" collapsed="false">
      <c r="A506" s="4" t="s">
        <v>167</v>
      </c>
      <c r="B506" s="4" t="s">
        <v>683</v>
      </c>
      <c r="C506" s="4" t="s">
        <v>683</v>
      </c>
      <c r="D506" s="12" t="n">
        <v>2020</v>
      </c>
      <c r="E506" s="4"/>
      <c r="F506" s="4" t="s">
        <v>169</v>
      </c>
      <c r="G506" s="4" t="s">
        <v>170</v>
      </c>
      <c r="H506" s="4" t="s">
        <v>171</v>
      </c>
      <c r="I506" s="4" t="s">
        <v>172</v>
      </c>
      <c r="J506" s="4" t="s">
        <v>683</v>
      </c>
      <c r="K506" s="4" t="s">
        <v>93</v>
      </c>
      <c r="L506" s="4" t="s">
        <v>94</v>
      </c>
      <c r="M506" s="4"/>
      <c r="N506" s="4"/>
      <c r="O506" s="4"/>
      <c r="P506" s="4"/>
      <c r="Q506" s="4"/>
      <c r="R506" s="4"/>
      <c r="S506" s="13" t="n">
        <v>49.11</v>
      </c>
      <c r="T506" s="4" t="s">
        <v>173</v>
      </c>
      <c r="U506" s="14" t="n">
        <f aca="false">IF(OR($S506="",PARAMETROS!$B$4=""),"",$S506*PARAMETROS!$B$4)</f>
        <v>285.3291</v>
      </c>
      <c r="V506" s="13" t="n">
        <v>0</v>
      </c>
      <c r="W506" s="4"/>
      <c r="X506" s="4"/>
      <c r="Y506" s="4"/>
      <c r="Z506" s="4"/>
      <c r="AA506" s="4"/>
      <c r="AB506" s="4"/>
      <c r="AC506" s="4"/>
      <c r="AD506" s="4"/>
      <c r="AE506" s="4"/>
      <c r="AF506" s="4"/>
      <c r="AG506" s="4"/>
      <c r="AH506" s="4"/>
      <c r="AI506" s="4"/>
      <c r="AJ506" s="4"/>
      <c r="AK506" s="4"/>
      <c r="AL506" s="4" t="s">
        <v>174</v>
      </c>
      <c r="AM506" s="4" t="s">
        <v>190</v>
      </c>
    </row>
    <row r="507" customFormat="false" ht="23.85" hidden="false" customHeight="false" outlineLevel="0" collapsed="false">
      <c r="A507" s="4" t="s">
        <v>167</v>
      </c>
      <c r="B507" s="4" t="s">
        <v>684</v>
      </c>
      <c r="C507" s="4" t="s">
        <v>684</v>
      </c>
      <c r="D507" s="12" t="n">
        <v>2020</v>
      </c>
      <c r="E507" s="4"/>
      <c r="F507" s="4" t="s">
        <v>169</v>
      </c>
      <c r="G507" s="4" t="s">
        <v>170</v>
      </c>
      <c r="H507" s="4" t="s">
        <v>171</v>
      </c>
      <c r="I507" s="4" t="s">
        <v>172</v>
      </c>
      <c r="J507" s="4" t="s">
        <v>684</v>
      </c>
      <c r="K507" s="4" t="s">
        <v>93</v>
      </c>
      <c r="L507" s="4" t="s">
        <v>94</v>
      </c>
      <c r="M507" s="4"/>
      <c r="N507" s="4"/>
      <c r="O507" s="4"/>
      <c r="P507" s="4"/>
      <c r="Q507" s="4"/>
      <c r="R507" s="4"/>
      <c r="S507" s="13" t="n">
        <v>0</v>
      </c>
      <c r="T507" s="4" t="s">
        <v>173</v>
      </c>
      <c r="U507" s="14" t="n">
        <f aca="false">IF(OR($S507="",PARAMETROS!$B$4=""),"",$S507*PARAMETROS!$B$4)</f>
        <v>0</v>
      </c>
      <c r="V507" s="13" t="n">
        <v>0</v>
      </c>
      <c r="W507" s="4"/>
      <c r="X507" s="4"/>
      <c r="Y507" s="4"/>
      <c r="Z507" s="4"/>
      <c r="AA507" s="4"/>
      <c r="AB507" s="4"/>
      <c r="AC507" s="4"/>
      <c r="AD507" s="4"/>
      <c r="AE507" s="4"/>
      <c r="AF507" s="4"/>
      <c r="AG507" s="4"/>
      <c r="AH507" s="4"/>
      <c r="AI507" s="4"/>
      <c r="AJ507" s="4"/>
      <c r="AK507" s="4"/>
      <c r="AL507" s="4" t="s">
        <v>174</v>
      </c>
      <c r="AM507" s="4" t="s">
        <v>190</v>
      </c>
    </row>
    <row r="508" customFormat="false" ht="23.85" hidden="false" customHeight="false" outlineLevel="0" collapsed="false">
      <c r="A508" s="4" t="s">
        <v>167</v>
      </c>
      <c r="B508" s="4" t="s">
        <v>685</v>
      </c>
      <c r="C508" s="4" t="s">
        <v>685</v>
      </c>
      <c r="D508" s="12" t="n">
        <v>2020</v>
      </c>
      <c r="E508" s="4"/>
      <c r="F508" s="4" t="s">
        <v>169</v>
      </c>
      <c r="G508" s="4" t="s">
        <v>170</v>
      </c>
      <c r="H508" s="4" t="s">
        <v>171</v>
      </c>
      <c r="I508" s="4" t="s">
        <v>172</v>
      </c>
      <c r="J508" s="4" t="s">
        <v>685</v>
      </c>
      <c r="K508" s="4" t="s">
        <v>93</v>
      </c>
      <c r="L508" s="4" t="s">
        <v>94</v>
      </c>
      <c r="M508" s="4"/>
      <c r="N508" s="4"/>
      <c r="O508" s="4"/>
      <c r="P508" s="4"/>
      <c r="Q508" s="4"/>
      <c r="R508" s="4"/>
      <c r="S508" s="13" t="n">
        <v>0</v>
      </c>
      <c r="T508" s="4" t="s">
        <v>173</v>
      </c>
      <c r="U508" s="14" t="n">
        <f aca="false">IF(OR($S508="",PARAMETROS!$B$4=""),"",$S508*PARAMETROS!$B$4)</f>
        <v>0</v>
      </c>
      <c r="V508" s="13" t="n">
        <v>0</v>
      </c>
      <c r="W508" s="4"/>
      <c r="X508" s="4"/>
      <c r="Y508" s="4"/>
      <c r="Z508" s="4"/>
      <c r="AA508" s="4"/>
      <c r="AB508" s="4"/>
      <c r="AC508" s="4"/>
      <c r="AD508" s="4"/>
      <c r="AE508" s="4"/>
      <c r="AF508" s="4"/>
      <c r="AG508" s="4"/>
      <c r="AH508" s="4"/>
      <c r="AI508" s="4"/>
      <c r="AJ508" s="4"/>
      <c r="AK508" s="4"/>
      <c r="AL508" s="4" t="s">
        <v>174</v>
      </c>
      <c r="AM508" s="4" t="s">
        <v>190</v>
      </c>
    </row>
    <row r="509" customFormat="false" ht="23.85" hidden="false" customHeight="false" outlineLevel="0" collapsed="false">
      <c r="A509" s="4" t="s">
        <v>167</v>
      </c>
      <c r="B509" s="4" t="s">
        <v>686</v>
      </c>
      <c r="C509" s="4" t="s">
        <v>686</v>
      </c>
      <c r="D509" s="12" t="n">
        <v>2020</v>
      </c>
      <c r="E509" s="4"/>
      <c r="F509" s="4" t="s">
        <v>169</v>
      </c>
      <c r="G509" s="4" t="s">
        <v>170</v>
      </c>
      <c r="H509" s="4" t="s">
        <v>171</v>
      </c>
      <c r="I509" s="4" t="s">
        <v>172</v>
      </c>
      <c r="J509" s="4" t="s">
        <v>686</v>
      </c>
      <c r="K509" s="4" t="s">
        <v>93</v>
      </c>
      <c r="L509" s="4" t="s">
        <v>94</v>
      </c>
      <c r="M509" s="4"/>
      <c r="N509" s="4"/>
      <c r="O509" s="4"/>
      <c r="P509" s="4"/>
      <c r="Q509" s="4"/>
      <c r="R509" s="4"/>
      <c r="S509" s="13" t="n">
        <v>0</v>
      </c>
      <c r="T509" s="4" t="s">
        <v>173</v>
      </c>
      <c r="U509" s="14" t="n">
        <f aca="false">IF(OR($S509="",PARAMETROS!$B$4=""),"",$S509*PARAMETROS!$B$4)</f>
        <v>0</v>
      </c>
      <c r="V509" s="13" t="n">
        <v>0</v>
      </c>
      <c r="W509" s="4"/>
      <c r="X509" s="4"/>
      <c r="Y509" s="4"/>
      <c r="Z509" s="4"/>
      <c r="AA509" s="4"/>
      <c r="AB509" s="4"/>
      <c r="AC509" s="4"/>
      <c r="AD509" s="4"/>
      <c r="AE509" s="4"/>
      <c r="AF509" s="4"/>
      <c r="AG509" s="4"/>
      <c r="AH509" s="4"/>
      <c r="AI509" s="4"/>
      <c r="AJ509" s="4"/>
      <c r="AK509" s="4"/>
      <c r="AL509" s="4" t="s">
        <v>174</v>
      </c>
      <c r="AM509" s="4" t="s">
        <v>190</v>
      </c>
    </row>
    <row r="510" customFormat="false" ht="23.85" hidden="false" customHeight="false" outlineLevel="0" collapsed="false">
      <c r="A510" s="4" t="s">
        <v>167</v>
      </c>
      <c r="B510" s="4" t="s">
        <v>687</v>
      </c>
      <c r="C510" s="4" t="s">
        <v>687</v>
      </c>
      <c r="D510" s="12" t="n">
        <v>2020</v>
      </c>
      <c r="E510" s="4"/>
      <c r="F510" s="4" t="s">
        <v>169</v>
      </c>
      <c r="G510" s="4" t="s">
        <v>170</v>
      </c>
      <c r="H510" s="4" t="s">
        <v>171</v>
      </c>
      <c r="I510" s="4" t="s">
        <v>172</v>
      </c>
      <c r="J510" s="4" t="s">
        <v>687</v>
      </c>
      <c r="K510" s="4" t="s">
        <v>93</v>
      </c>
      <c r="L510" s="4" t="s">
        <v>94</v>
      </c>
      <c r="M510" s="4"/>
      <c r="N510" s="4"/>
      <c r="O510" s="4"/>
      <c r="P510" s="4"/>
      <c r="Q510" s="4"/>
      <c r="R510" s="4"/>
      <c r="S510" s="13" t="n">
        <v>0</v>
      </c>
      <c r="T510" s="4" t="s">
        <v>173</v>
      </c>
      <c r="U510" s="14" t="n">
        <f aca="false">IF(OR($S510="",PARAMETROS!$B$4=""),"",$S510*PARAMETROS!$B$4)</f>
        <v>0</v>
      </c>
      <c r="V510" s="13" t="n">
        <v>0</v>
      </c>
      <c r="W510" s="4"/>
      <c r="X510" s="4"/>
      <c r="Y510" s="4"/>
      <c r="Z510" s="4"/>
      <c r="AA510" s="4"/>
      <c r="AB510" s="4"/>
      <c r="AC510" s="4"/>
      <c r="AD510" s="4"/>
      <c r="AE510" s="4"/>
      <c r="AF510" s="4"/>
      <c r="AG510" s="4"/>
      <c r="AH510" s="4"/>
      <c r="AI510" s="4"/>
      <c r="AJ510" s="4"/>
      <c r="AK510" s="4"/>
      <c r="AL510" s="4" t="s">
        <v>174</v>
      </c>
      <c r="AM510" s="4" t="s">
        <v>190</v>
      </c>
    </row>
    <row r="511" customFormat="false" ht="23.85" hidden="false" customHeight="false" outlineLevel="0" collapsed="false">
      <c r="A511" s="4" t="s">
        <v>167</v>
      </c>
      <c r="B511" s="4" t="s">
        <v>688</v>
      </c>
      <c r="C511" s="4" t="s">
        <v>688</v>
      </c>
      <c r="D511" s="12" t="n">
        <v>2020</v>
      </c>
      <c r="E511" s="4"/>
      <c r="F511" s="4" t="s">
        <v>169</v>
      </c>
      <c r="G511" s="4" t="s">
        <v>170</v>
      </c>
      <c r="H511" s="4" t="s">
        <v>171</v>
      </c>
      <c r="I511" s="4" t="s">
        <v>172</v>
      </c>
      <c r="J511" s="4" t="s">
        <v>688</v>
      </c>
      <c r="K511" s="4" t="s">
        <v>93</v>
      </c>
      <c r="L511" s="4" t="s">
        <v>94</v>
      </c>
      <c r="M511" s="4"/>
      <c r="N511" s="4"/>
      <c r="O511" s="4"/>
      <c r="P511" s="4"/>
      <c r="Q511" s="4"/>
      <c r="R511" s="4"/>
      <c r="S511" s="13" t="n">
        <v>-49.11</v>
      </c>
      <c r="T511" s="4" t="s">
        <v>173</v>
      </c>
      <c r="U511" s="14" t="n">
        <f aca="false">IF(OR($S511="",PARAMETROS!$B$4=""),"",$S511*PARAMETROS!$B$4)</f>
        <v>-285.3291</v>
      </c>
      <c r="V511" s="13" t="n">
        <v>0</v>
      </c>
      <c r="W511" s="4"/>
      <c r="X511" s="4"/>
      <c r="Y511" s="4"/>
      <c r="Z511" s="4"/>
      <c r="AA511" s="4"/>
      <c r="AB511" s="4"/>
      <c r="AC511" s="4"/>
      <c r="AD511" s="4"/>
      <c r="AE511" s="4"/>
      <c r="AF511" s="4"/>
      <c r="AG511" s="4"/>
      <c r="AH511" s="4"/>
      <c r="AI511" s="4"/>
      <c r="AJ511" s="4"/>
      <c r="AK511" s="4"/>
      <c r="AL511" s="4" t="s">
        <v>174</v>
      </c>
      <c r="AM511" s="4" t="s">
        <v>190</v>
      </c>
    </row>
    <row r="512" customFormat="false" ht="23.85" hidden="false" customHeight="false" outlineLevel="0" collapsed="false">
      <c r="A512" s="4" t="s">
        <v>167</v>
      </c>
      <c r="B512" s="4" t="s">
        <v>689</v>
      </c>
      <c r="C512" s="4" t="s">
        <v>689</v>
      </c>
      <c r="D512" s="12" t="n">
        <v>2020</v>
      </c>
      <c r="E512" s="4"/>
      <c r="F512" s="4" t="s">
        <v>169</v>
      </c>
      <c r="G512" s="4" t="s">
        <v>170</v>
      </c>
      <c r="H512" s="4" t="s">
        <v>171</v>
      </c>
      <c r="I512" s="4" t="s">
        <v>172</v>
      </c>
      <c r="J512" s="4" t="s">
        <v>689</v>
      </c>
      <c r="K512" s="4" t="s">
        <v>93</v>
      </c>
      <c r="L512" s="4" t="s">
        <v>94</v>
      </c>
      <c r="M512" s="4"/>
      <c r="N512" s="4"/>
      <c r="O512" s="4"/>
      <c r="P512" s="4"/>
      <c r="Q512" s="4"/>
      <c r="R512" s="4"/>
      <c r="S512" s="13" t="n">
        <v>0</v>
      </c>
      <c r="T512" s="4" t="s">
        <v>173</v>
      </c>
      <c r="U512" s="14" t="n">
        <f aca="false">IF(OR($S512="",PARAMETROS!$B$4=""),"",$S512*PARAMETROS!$B$4)</f>
        <v>0</v>
      </c>
      <c r="V512" s="13" t="n">
        <v>0</v>
      </c>
      <c r="W512" s="4"/>
      <c r="X512" s="4"/>
      <c r="Y512" s="4"/>
      <c r="Z512" s="4"/>
      <c r="AA512" s="4"/>
      <c r="AB512" s="4"/>
      <c r="AC512" s="4"/>
      <c r="AD512" s="4"/>
      <c r="AE512" s="4"/>
      <c r="AF512" s="4"/>
      <c r="AG512" s="4"/>
      <c r="AH512" s="4"/>
      <c r="AI512" s="4"/>
      <c r="AJ512" s="4"/>
      <c r="AK512" s="4"/>
      <c r="AL512" s="4" t="s">
        <v>174</v>
      </c>
      <c r="AM512" s="4" t="s">
        <v>190</v>
      </c>
    </row>
    <row r="513" customFormat="false" ht="23.85" hidden="false" customHeight="false" outlineLevel="0" collapsed="false">
      <c r="A513" s="4" t="s">
        <v>167</v>
      </c>
      <c r="B513" s="4" t="s">
        <v>690</v>
      </c>
      <c r="C513" s="4" t="s">
        <v>690</v>
      </c>
      <c r="D513" s="12" t="n">
        <v>2020</v>
      </c>
      <c r="E513" s="4"/>
      <c r="F513" s="4" t="s">
        <v>169</v>
      </c>
      <c r="G513" s="4" t="s">
        <v>170</v>
      </c>
      <c r="H513" s="4" t="s">
        <v>171</v>
      </c>
      <c r="I513" s="4" t="s">
        <v>172</v>
      </c>
      <c r="J513" s="4" t="s">
        <v>690</v>
      </c>
      <c r="K513" s="4" t="s">
        <v>93</v>
      </c>
      <c r="L513" s="4" t="s">
        <v>94</v>
      </c>
      <c r="M513" s="4"/>
      <c r="N513" s="4"/>
      <c r="O513" s="4"/>
      <c r="P513" s="4"/>
      <c r="Q513" s="4"/>
      <c r="R513" s="4"/>
      <c r="S513" s="13" t="n">
        <v>0</v>
      </c>
      <c r="T513" s="4" t="s">
        <v>173</v>
      </c>
      <c r="U513" s="14" t="n">
        <f aca="false">IF(OR($S513="",PARAMETROS!$B$4=""),"",$S513*PARAMETROS!$B$4)</f>
        <v>0</v>
      </c>
      <c r="V513" s="13" t="n">
        <v>0</v>
      </c>
      <c r="W513" s="4"/>
      <c r="X513" s="4"/>
      <c r="Y513" s="4"/>
      <c r="Z513" s="4"/>
      <c r="AA513" s="4"/>
      <c r="AB513" s="4"/>
      <c r="AC513" s="4"/>
      <c r="AD513" s="4"/>
      <c r="AE513" s="4"/>
      <c r="AF513" s="4"/>
      <c r="AG513" s="4"/>
      <c r="AH513" s="4"/>
      <c r="AI513" s="4"/>
      <c r="AJ513" s="4"/>
      <c r="AK513" s="4"/>
      <c r="AL513" s="4" t="s">
        <v>174</v>
      </c>
      <c r="AM513" s="4" t="s">
        <v>190</v>
      </c>
    </row>
    <row r="514" customFormat="false" ht="23.85" hidden="false" customHeight="false" outlineLevel="0" collapsed="false">
      <c r="A514" s="4" t="s">
        <v>167</v>
      </c>
      <c r="B514" s="4" t="s">
        <v>691</v>
      </c>
      <c r="C514" s="4" t="s">
        <v>691</v>
      </c>
      <c r="D514" s="12" t="n">
        <v>2020</v>
      </c>
      <c r="E514" s="4"/>
      <c r="F514" s="4" t="s">
        <v>169</v>
      </c>
      <c r="G514" s="4" t="s">
        <v>170</v>
      </c>
      <c r="H514" s="4" t="s">
        <v>171</v>
      </c>
      <c r="I514" s="4" t="s">
        <v>172</v>
      </c>
      <c r="J514" s="4" t="s">
        <v>691</v>
      </c>
      <c r="K514" s="4" t="s">
        <v>93</v>
      </c>
      <c r="L514" s="4" t="s">
        <v>94</v>
      </c>
      <c r="M514" s="4"/>
      <c r="N514" s="4"/>
      <c r="O514" s="4"/>
      <c r="P514" s="4"/>
      <c r="Q514" s="4"/>
      <c r="R514" s="4"/>
      <c r="S514" s="13" t="n">
        <v>0</v>
      </c>
      <c r="T514" s="4" t="s">
        <v>173</v>
      </c>
      <c r="U514" s="14" t="n">
        <f aca="false">IF(OR($S514="",PARAMETROS!$B$4=""),"",$S514*PARAMETROS!$B$4)</f>
        <v>0</v>
      </c>
      <c r="V514" s="13" t="n">
        <v>0</v>
      </c>
      <c r="W514" s="4"/>
      <c r="X514" s="4"/>
      <c r="Y514" s="4"/>
      <c r="Z514" s="4"/>
      <c r="AA514" s="4"/>
      <c r="AB514" s="4"/>
      <c r="AC514" s="4"/>
      <c r="AD514" s="4"/>
      <c r="AE514" s="4"/>
      <c r="AF514" s="4"/>
      <c r="AG514" s="4"/>
      <c r="AH514" s="4"/>
      <c r="AI514" s="4"/>
      <c r="AJ514" s="4"/>
      <c r="AK514" s="4"/>
      <c r="AL514" s="4" t="s">
        <v>174</v>
      </c>
      <c r="AM514" s="4" t="s">
        <v>190</v>
      </c>
    </row>
    <row r="515" customFormat="false" ht="23.85" hidden="false" customHeight="false" outlineLevel="0" collapsed="false">
      <c r="A515" s="4" t="s">
        <v>167</v>
      </c>
      <c r="B515" s="4" t="s">
        <v>692</v>
      </c>
      <c r="C515" s="4" t="s">
        <v>692</v>
      </c>
      <c r="D515" s="12" t="n">
        <v>2020</v>
      </c>
      <c r="E515" s="4"/>
      <c r="F515" s="4" t="s">
        <v>169</v>
      </c>
      <c r="G515" s="4" t="s">
        <v>170</v>
      </c>
      <c r="H515" s="4" t="s">
        <v>171</v>
      </c>
      <c r="I515" s="4" t="s">
        <v>172</v>
      </c>
      <c r="J515" s="4" t="s">
        <v>692</v>
      </c>
      <c r="K515" s="4" t="s">
        <v>93</v>
      </c>
      <c r="L515" s="4" t="s">
        <v>94</v>
      </c>
      <c r="M515" s="4"/>
      <c r="N515" s="4"/>
      <c r="O515" s="4"/>
      <c r="P515" s="4"/>
      <c r="Q515" s="4"/>
      <c r="R515" s="4"/>
      <c r="S515" s="13" t="n">
        <v>0</v>
      </c>
      <c r="T515" s="4" t="s">
        <v>173</v>
      </c>
      <c r="U515" s="14" t="n">
        <f aca="false">IF(OR($S515="",PARAMETROS!$B$4=""),"",$S515*PARAMETROS!$B$4)</f>
        <v>0</v>
      </c>
      <c r="V515" s="13" t="n">
        <v>0</v>
      </c>
      <c r="W515" s="4"/>
      <c r="X515" s="4"/>
      <c r="Y515" s="4"/>
      <c r="Z515" s="4"/>
      <c r="AA515" s="4"/>
      <c r="AB515" s="4"/>
      <c r="AC515" s="4"/>
      <c r="AD515" s="4"/>
      <c r="AE515" s="4"/>
      <c r="AF515" s="4"/>
      <c r="AG515" s="4"/>
      <c r="AH515" s="4"/>
      <c r="AI515" s="4"/>
      <c r="AJ515" s="4"/>
      <c r="AK515" s="4"/>
      <c r="AL515" s="4" t="s">
        <v>174</v>
      </c>
      <c r="AM515" s="4" t="s">
        <v>190</v>
      </c>
    </row>
    <row r="516" customFormat="false" ht="23.85" hidden="false" customHeight="false" outlineLevel="0" collapsed="false">
      <c r="A516" s="4" t="s">
        <v>167</v>
      </c>
      <c r="B516" s="4" t="s">
        <v>693</v>
      </c>
      <c r="C516" s="4" t="s">
        <v>693</v>
      </c>
      <c r="D516" s="12" t="n">
        <v>2020</v>
      </c>
      <c r="E516" s="4"/>
      <c r="F516" s="4" t="s">
        <v>169</v>
      </c>
      <c r="G516" s="4" t="s">
        <v>170</v>
      </c>
      <c r="H516" s="4" t="s">
        <v>171</v>
      </c>
      <c r="I516" s="4" t="s">
        <v>172</v>
      </c>
      <c r="J516" s="4" t="s">
        <v>693</v>
      </c>
      <c r="K516" s="4" t="s">
        <v>93</v>
      </c>
      <c r="L516" s="4" t="s">
        <v>94</v>
      </c>
      <c r="M516" s="4"/>
      <c r="N516" s="4"/>
      <c r="O516" s="4"/>
      <c r="P516" s="4"/>
      <c r="Q516" s="4"/>
      <c r="R516" s="4"/>
      <c r="S516" s="13" t="n">
        <v>0</v>
      </c>
      <c r="T516" s="4" t="s">
        <v>173</v>
      </c>
      <c r="U516" s="14" t="n">
        <f aca="false">IF(OR($S516="",PARAMETROS!$B$4=""),"",$S516*PARAMETROS!$B$4)</f>
        <v>0</v>
      </c>
      <c r="V516" s="13" t="n">
        <v>0</v>
      </c>
      <c r="W516" s="4"/>
      <c r="X516" s="4"/>
      <c r="Y516" s="4"/>
      <c r="Z516" s="4"/>
      <c r="AA516" s="4"/>
      <c r="AB516" s="4"/>
      <c r="AC516" s="4"/>
      <c r="AD516" s="4"/>
      <c r="AE516" s="4"/>
      <c r="AF516" s="4"/>
      <c r="AG516" s="4"/>
      <c r="AH516" s="4"/>
      <c r="AI516" s="4"/>
      <c r="AJ516" s="4"/>
      <c r="AK516" s="4"/>
      <c r="AL516" s="4" t="s">
        <v>174</v>
      </c>
      <c r="AM516" s="4" t="s">
        <v>190</v>
      </c>
    </row>
    <row r="517" customFormat="false" ht="23.85" hidden="false" customHeight="false" outlineLevel="0" collapsed="false">
      <c r="A517" s="4" t="s">
        <v>167</v>
      </c>
      <c r="B517" s="4" t="s">
        <v>694</v>
      </c>
      <c r="C517" s="4" t="s">
        <v>694</v>
      </c>
      <c r="D517" s="12" t="n">
        <v>2020</v>
      </c>
      <c r="E517" s="4"/>
      <c r="F517" s="4" t="s">
        <v>169</v>
      </c>
      <c r="G517" s="4" t="s">
        <v>170</v>
      </c>
      <c r="H517" s="4" t="s">
        <v>171</v>
      </c>
      <c r="I517" s="4" t="s">
        <v>172</v>
      </c>
      <c r="J517" s="4" t="s">
        <v>694</v>
      </c>
      <c r="K517" s="4" t="s">
        <v>93</v>
      </c>
      <c r="L517" s="4" t="s">
        <v>94</v>
      </c>
      <c r="M517" s="4"/>
      <c r="N517" s="4"/>
      <c r="O517" s="4"/>
      <c r="P517" s="4"/>
      <c r="Q517" s="4"/>
      <c r="R517" s="4"/>
      <c r="S517" s="13" t="n">
        <v>0</v>
      </c>
      <c r="T517" s="4" t="s">
        <v>173</v>
      </c>
      <c r="U517" s="14" t="n">
        <f aca="false">IF(OR($S517="",PARAMETROS!$B$4=""),"",$S517*PARAMETROS!$B$4)</f>
        <v>0</v>
      </c>
      <c r="V517" s="13" t="n">
        <v>0</v>
      </c>
      <c r="W517" s="4"/>
      <c r="X517" s="4"/>
      <c r="Y517" s="4"/>
      <c r="Z517" s="4"/>
      <c r="AA517" s="4"/>
      <c r="AB517" s="4"/>
      <c r="AC517" s="4"/>
      <c r="AD517" s="4"/>
      <c r="AE517" s="4"/>
      <c r="AF517" s="4"/>
      <c r="AG517" s="4"/>
      <c r="AH517" s="4"/>
      <c r="AI517" s="4"/>
      <c r="AJ517" s="4"/>
      <c r="AK517" s="4"/>
      <c r="AL517" s="4" t="s">
        <v>174</v>
      </c>
      <c r="AM517" s="4" t="s">
        <v>190</v>
      </c>
    </row>
    <row r="518" customFormat="false" ht="23.85" hidden="false" customHeight="false" outlineLevel="0" collapsed="false">
      <c r="A518" s="4" t="s">
        <v>167</v>
      </c>
      <c r="B518" s="4" t="s">
        <v>695</v>
      </c>
      <c r="C518" s="4" t="s">
        <v>695</v>
      </c>
      <c r="D518" s="12" t="n">
        <v>2020</v>
      </c>
      <c r="E518" s="4"/>
      <c r="F518" s="4" t="s">
        <v>169</v>
      </c>
      <c r="G518" s="4" t="s">
        <v>170</v>
      </c>
      <c r="H518" s="4" t="s">
        <v>171</v>
      </c>
      <c r="I518" s="4" t="s">
        <v>172</v>
      </c>
      <c r="J518" s="4" t="s">
        <v>695</v>
      </c>
      <c r="K518" s="4" t="s">
        <v>93</v>
      </c>
      <c r="L518" s="4" t="s">
        <v>94</v>
      </c>
      <c r="M518" s="4"/>
      <c r="N518" s="4"/>
      <c r="O518" s="4"/>
      <c r="P518" s="4"/>
      <c r="Q518" s="4"/>
      <c r="R518" s="4"/>
      <c r="S518" s="13" t="n">
        <v>0</v>
      </c>
      <c r="T518" s="4" t="s">
        <v>173</v>
      </c>
      <c r="U518" s="14" t="n">
        <f aca="false">IF(OR($S518="",PARAMETROS!$B$4=""),"",$S518*PARAMETROS!$B$4)</f>
        <v>0</v>
      </c>
      <c r="V518" s="13" t="n">
        <v>0</v>
      </c>
      <c r="W518" s="4"/>
      <c r="X518" s="4"/>
      <c r="Y518" s="4"/>
      <c r="Z518" s="4"/>
      <c r="AA518" s="4"/>
      <c r="AB518" s="4"/>
      <c r="AC518" s="4"/>
      <c r="AD518" s="4"/>
      <c r="AE518" s="4"/>
      <c r="AF518" s="4"/>
      <c r="AG518" s="4"/>
      <c r="AH518" s="4"/>
      <c r="AI518" s="4"/>
      <c r="AJ518" s="4"/>
      <c r="AK518" s="4"/>
      <c r="AL518" s="4" t="s">
        <v>174</v>
      </c>
      <c r="AM518" s="4" t="s">
        <v>190</v>
      </c>
    </row>
    <row r="519" customFormat="false" ht="23.85" hidden="false" customHeight="false" outlineLevel="0" collapsed="false">
      <c r="A519" s="4" t="s">
        <v>167</v>
      </c>
      <c r="B519" s="4" t="s">
        <v>696</v>
      </c>
      <c r="C519" s="4" t="s">
        <v>696</v>
      </c>
      <c r="D519" s="12" t="n">
        <v>2020</v>
      </c>
      <c r="E519" s="4"/>
      <c r="F519" s="4" t="s">
        <v>169</v>
      </c>
      <c r="G519" s="4" t="s">
        <v>170</v>
      </c>
      <c r="H519" s="4" t="s">
        <v>171</v>
      </c>
      <c r="I519" s="4" t="s">
        <v>172</v>
      </c>
      <c r="J519" s="4" t="s">
        <v>696</v>
      </c>
      <c r="K519" s="4" t="s">
        <v>93</v>
      </c>
      <c r="L519" s="4" t="s">
        <v>94</v>
      </c>
      <c r="M519" s="4"/>
      <c r="N519" s="4"/>
      <c r="O519" s="4"/>
      <c r="P519" s="4"/>
      <c r="Q519" s="4"/>
      <c r="R519" s="4"/>
      <c r="S519" s="13" t="n">
        <v>0</v>
      </c>
      <c r="T519" s="4" t="s">
        <v>173</v>
      </c>
      <c r="U519" s="14" t="n">
        <f aca="false">IF(OR($S519="",PARAMETROS!$B$4=""),"",$S519*PARAMETROS!$B$4)</f>
        <v>0</v>
      </c>
      <c r="V519" s="13" t="n">
        <v>0</v>
      </c>
      <c r="W519" s="4"/>
      <c r="X519" s="4"/>
      <c r="Y519" s="4"/>
      <c r="Z519" s="4"/>
      <c r="AA519" s="4"/>
      <c r="AB519" s="4"/>
      <c r="AC519" s="4"/>
      <c r="AD519" s="4"/>
      <c r="AE519" s="4"/>
      <c r="AF519" s="4"/>
      <c r="AG519" s="4"/>
      <c r="AH519" s="4"/>
      <c r="AI519" s="4"/>
      <c r="AJ519" s="4"/>
      <c r="AK519" s="4"/>
      <c r="AL519" s="4" t="s">
        <v>174</v>
      </c>
      <c r="AM519" s="4" t="s">
        <v>190</v>
      </c>
    </row>
    <row r="520" customFormat="false" ht="23.85" hidden="false" customHeight="false" outlineLevel="0" collapsed="false">
      <c r="A520" s="4" t="s">
        <v>167</v>
      </c>
      <c r="B520" s="4" t="s">
        <v>697</v>
      </c>
      <c r="C520" s="4" t="s">
        <v>697</v>
      </c>
      <c r="D520" s="12" t="n">
        <v>2020</v>
      </c>
      <c r="E520" s="4"/>
      <c r="F520" s="4" t="s">
        <v>169</v>
      </c>
      <c r="G520" s="4" t="s">
        <v>170</v>
      </c>
      <c r="H520" s="4" t="s">
        <v>171</v>
      </c>
      <c r="I520" s="4" t="s">
        <v>172</v>
      </c>
      <c r="J520" s="4" t="s">
        <v>697</v>
      </c>
      <c r="K520" s="4" t="s">
        <v>76</v>
      </c>
      <c r="L520" s="4" t="s">
        <v>77</v>
      </c>
      <c r="M520" s="4"/>
      <c r="N520" s="4"/>
      <c r="O520" s="4"/>
      <c r="P520" s="4"/>
      <c r="Q520" s="4"/>
      <c r="R520" s="4"/>
      <c r="S520" s="13" t="n">
        <v>0</v>
      </c>
      <c r="T520" s="4" t="s">
        <v>173</v>
      </c>
      <c r="U520" s="14" t="n">
        <f aca="false">IF(OR($S520="",PARAMETROS!$B$4=""),"",$S520*PARAMETROS!$B$4)</f>
        <v>0</v>
      </c>
      <c r="V520" s="13" t="n">
        <v>0</v>
      </c>
      <c r="W520" s="4"/>
      <c r="X520" s="4"/>
      <c r="Y520" s="4"/>
      <c r="Z520" s="4"/>
      <c r="AA520" s="4"/>
      <c r="AB520" s="4"/>
      <c r="AC520" s="4"/>
      <c r="AD520" s="4"/>
      <c r="AE520" s="4"/>
      <c r="AF520" s="4"/>
      <c r="AG520" s="4"/>
      <c r="AH520" s="4"/>
      <c r="AI520" s="4"/>
      <c r="AJ520" s="4"/>
      <c r="AK520" s="4"/>
      <c r="AL520" s="4" t="s">
        <v>174</v>
      </c>
      <c r="AM520" s="4" t="s">
        <v>205</v>
      </c>
    </row>
    <row r="521" customFormat="false" ht="23.85" hidden="false" customHeight="false" outlineLevel="0" collapsed="false">
      <c r="A521" s="4" t="s">
        <v>167</v>
      </c>
      <c r="B521" s="4" t="s">
        <v>698</v>
      </c>
      <c r="C521" s="4" t="s">
        <v>698</v>
      </c>
      <c r="D521" s="12" t="n">
        <v>2020</v>
      </c>
      <c r="E521" s="4"/>
      <c r="F521" s="4" t="s">
        <v>169</v>
      </c>
      <c r="G521" s="4" t="s">
        <v>170</v>
      </c>
      <c r="H521" s="4" t="s">
        <v>171</v>
      </c>
      <c r="I521" s="4" t="s">
        <v>172</v>
      </c>
      <c r="J521" s="4" t="s">
        <v>698</v>
      </c>
      <c r="K521" s="4" t="s">
        <v>76</v>
      </c>
      <c r="L521" s="4" t="s">
        <v>77</v>
      </c>
      <c r="M521" s="4"/>
      <c r="N521" s="4"/>
      <c r="O521" s="4"/>
      <c r="P521" s="4"/>
      <c r="Q521" s="4"/>
      <c r="R521" s="4"/>
      <c r="S521" s="13" t="n">
        <v>5552.55</v>
      </c>
      <c r="T521" s="4" t="s">
        <v>173</v>
      </c>
      <c r="U521" s="14" t="n">
        <f aca="false">IF(OR($S521="",PARAMETROS!$B$4=""),"",$S521*PARAMETROS!$B$4)</f>
        <v>32260.3155</v>
      </c>
      <c r="V521" s="13" t="n">
        <v>0</v>
      </c>
      <c r="W521" s="4"/>
      <c r="X521" s="4"/>
      <c r="Y521" s="4"/>
      <c r="Z521" s="4"/>
      <c r="AA521" s="4"/>
      <c r="AB521" s="4"/>
      <c r="AC521" s="4"/>
      <c r="AD521" s="4"/>
      <c r="AE521" s="4"/>
      <c r="AF521" s="4"/>
      <c r="AG521" s="4"/>
      <c r="AH521" s="4"/>
      <c r="AI521" s="4"/>
      <c r="AJ521" s="4"/>
      <c r="AK521" s="4"/>
      <c r="AL521" s="4" t="s">
        <v>174</v>
      </c>
      <c r="AM521" s="4" t="s">
        <v>205</v>
      </c>
    </row>
    <row r="522" customFormat="false" ht="23.85" hidden="false" customHeight="false" outlineLevel="0" collapsed="false">
      <c r="A522" s="4" t="s">
        <v>167</v>
      </c>
      <c r="B522" s="4" t="s">
        <v>699</v>
      </c>
      <c r="C522" s="4" t="s">
        <v>699</v>
      </c>
      <c r="D522" s="12" t="n">
        <v>2020</v>
      </c>
      <c r="E522" s="4"/>
      <c r="F522" s="4" t="s">
        <v>169</v>
      </c>
      <c r="G522" s="4" t="s">
        <v>170</v>
      </c>
      <c r="H522" s="4" t="s">
        <v>171</v>
      </c>
      <c r="I522" s="4" t="s">
        <v>172</v>
      </c>
      <c r="J522" s="4" t="s">
        <v>699</v>
      </c>
      <c r="K522" s="4" t="s">
        <v>76</v>
      </c>
      <c r="L522" s="4" t="s">
        <v>77</v>
      </c>
      <c r="M522" s="4"/>
      <c r="N522" s="4"/>
      <c r="O522" s="4"/>
      <c r="P522" s="4"/>
      <c r="Q522" s="4"/>
      <c r="R522" s="4"/>
      <c r="S522" s="13" t="n">
        <v>0</v>
      </c>
      <c r="T522" s="4" t="s">
        <v>173</v>
      </c>
      <c r="U522" s="14" t="n">
        <f aca="false">IF(OR($S522="",PARAMETROS!$B$4=""),"",$S522*PARAMETROS!$B$4)</f>
        <v>0</v>
      </c>
      <c r="V522" s="13" t="n">
        <v>0</v>
      </c>
      <c r="W522" s="4"/>
      <c r="X522" s="4"/>
      <c r="Y522" s="4"/>
      <c r="Z522" s="4"/>
      <c r="AA522" s="4"/>
      <c r="AB522" s="4"/>
      <c r="AC522" s="4"/>
      <c r="AD522" s="4"/>
      <c r="AE522" s="4"/>
      <c r="AF522" s="4"/>
      <c r="AG522" s="4"/>
      <c r="AH522" s="4"/>
      <c r="AI522" s="4"/>
      <c r="AJ522" s="4"/>
      <c r="AK522" s="4"/>
      <c r="AL522" s="4" t="s">
        <v>174</v>
      </c>
      <c r="AM522" s="4" t="s">
        <v>205</v>
      </c>
    </row>
    <row r="523" customFormat="false" ht="23.85" hidden="false" customHeight="false" outlineLevel="0" collapsed="false">
      <c r="A523" s="4" t="s">
        <v>167</v>
      </c>
      <c r="B523" s="4" t="s">
        <v>700</v>
      </c>
      <c r="C523" s="4" t="s">
        <v>700</v>
      </c>
      <c r="D523" s="12" t="n">
        <v>2020</v>
      </c>
      <c r="E523" s="4"/>
      <c r="F523" s="4" t="s">
        <v>169</v>
      </c>
      <c r="G523" s="4" t="s">
        <v>170</v>
      </c>
      <c r="H523" s="4" t="s">
        <v>171</v>
      </c>
      <c r="I523" s="4" t="s">
        <v>172</v>
      </c>
      <c r="J523" s="4" t="s">
        <v>700</v>
      </c>
      <c r="K523" s="4" t="s">
        <v>76</v>
      </c>
      <c r="L523" s="4" t="s">
        <v>77</v>
      </c>
      <c r="M523" s="4"/>
      <c r="N523" s="4"/>
      <c r="O523" s="4"/>
      <c r="P523" s="4"/>
      <c r="Q523" s="4"/>
      <c r="R523" s="4"/>
      <c r="S523" s="13" t="n">
        <v>64.62</v>
      </c>
      <c r="T523" s="4" t="s">
        <v>173</v>
      </c>
      <c r="U523" s="14" t="n">
        <f aca="false">IF(OR($S523="",PARAMETROS!$B$4=""),"",$S523*PARAMETROS!$B$4)</f>
        <v>375.4422</v>
      </c>
      <c r="V523" s="13" t="n">
        <v>0</v>
      </c>
      <c r="W523" s="4"/>
      <c r="X523" s="4"/>
      <c r="Y523" s="4"/>
      <c r="Z523" s="4"/>
      <c r="AA523" s="4"/>
      <c r="AB523" s="4"/>
      <c r="AC523" s="4"/>
      <c r="AD523" s="4"/>
      <c r="AE523" s="4"/>
      <c r="AF523" s="4"/>
      <c r="AG523" s="4"/>
      <c r="AH523" s="4"/>
      <c r="AI523" s="4"/>
      <c r="AJ523" s="4"/>
      <c r="AK523" s="4"/>
      <c r="AL523" s="4" t="s">
        <v>174</v>
      </c>
      <c r="AM523" s="4" t="s">
        <v>205</v>
      </c>
    </row>
    <row r="524" customFormat="false" ht="23.85" hidden="false" customHeight="false" outlineLevel="0" collapsed="false">
      <c r="A524" s="4" t="s">
        <v>167</v>
      </c>
      <c r="B524" s="4" t="s">
        <v>701</v>
      </c>
      <c r="C524" s="4" t="s">
        <v>701</v>
      </c>
      <c r="D524" s="12" t="n">
        <v>2020</v>
      </c>
      <c r="E524" s="4"/>
      <c r="F524" s="4" t="s">
        <v>169</v>
      </c>
      <c r="G524" s="4" t="s">
        <v>170</v>
      </c>
      <c r="H524" s="4" t="s">
        <v>171</v>
      </c>
      <c r="I524" s="4" t="s">
        <v>172</v>
      </c>
      <c r="J524" s="4" t="s">
        <v>701</v>
      </c>
      <c r="K524" s="4" t="s">
        <v>76</v>
      </c>
      <c r="L524" s="4" t="s">
        <v>77</v>
      </c>
      <c r="M524" s="4"/>
      <c r="N524" s="4"/>
      <c r="O524" s="4"/>
      <c r="P524" s="4"/>
      <c r="Q524" s="4"/>
      <c r="R524" s="4"/>
      <c r="S524" s="13" t="n">
        <v>0</v>
      </c>
      <c r="T524" s="4" t="s">
        <v>173</v>
      </c>
      <c r="U524" s="14" t="n">
        <f aca="false">IF(OR($S524="",PARAMETROS!$B$4=""),"",$S524*PARAMETROS!$B$4)</f>
        <v>0</v>
      </c>
      <c r="V524" s="13" t="n">
        <v>0</v>
      </c>
      <c r="W524" s="4"/>
      <c r="X524" s="4"/>
      <c r="Y524" s="4"/>
      <c r="Z524" s="4"/>
      <c r="AA524" s="4"/>
      <c r="AB524" s="4"/>
      <c r="AC524" s="4"/>
      <c r="AD524" s="4"/>
      <c r="AE524" s="4"/>
      <c r="AF524" s="4"/>
      <c r="AG524" s="4"/>
      <c r="AH524" s="4"/>
      <c r="AI524" s="4"/>
      <c r="AJ524" s="4"/>
      <c r="AK524" s="4"/>
      <c r="AL524" s="4" t="s">
        <v>174</v>
      </c>
      <c r="AM524" s="4" t="s">
        <v>205</v>
      </c>
    </row>
    <row r="525" customFormat="false" ht="23.85" hidden="false" customHeight="false" outlineLevel="0" collapsed="false">
      <c r="A525" s="4" t="s">
        <v>167</v>
      </c>
      <c r="B525" s="4" t="s">
        <v>702</v>
      </c>
      <c r="C525" s="4" t="s">
        <v>702</v>
      </c>
      <c r="D525" s="12" t="n">
        <v>2020</v>
      </c>
      <c r="E525" s="4"/>
      <c r="F525" s="4" t="s">
        <v>169</v>
      </c>
      <c r="G525" s="4" t="s">
        <v>170</v>
      </c>
      <c r="H525" s="4" t="s">
        <v>171</v>
      </c>
      <c r="I525" s="4" t="s">
        <v>172</v>
      </c>
      <c r="J525" s="4" t="s">
        <v>702</v>
      </c>
      <c r="K525" s="4" t="s">
        <v>76</v>
      </c>
      <c r="L525" s="4" t="s">
        <v>77</v>
      </c>
      <c r="M525" s="4"/>
      <c r="N525" s="4"/>
      <c r="O525" s="4"/>
      <c r="P525" s="4"/>
      <c r="Q525" s="4"/>
      <c r="R525" s="4"/>
      <c r="S525" s="13" t="n">
        <v>-5617.17</v>
      </c>
      <c r="T525" s="4" t="s">
        <v>173</v>
      </c>
      <c r="U525" s="14" t="n">
        <f aca="false">IF(OR($S525="",PARAMETROS!$B$4=""),"",$S525*PARAMETROS!$B$4)</f>
        <v>-32635.7577</v>
      </c>
      <c r="V525" s="13" t="n">
        <v>0</v>
      </c>
      <c r="W525" s="4"/>
      <c r="X525" s="4"/>
      <c r="Y525" s="4"/>
      <c r="Z525" s="4"/>
      <c r="AA525" s="4"/>
      <c r="AB525" s="4"/>
      <c r="AC525" s="4"/>
      <c r="AD525" s="4"/>
      <c r="AE525" s="4"/>
      <c r="AF525" s="4"/>
      <c r="AG525" s="4"/>
      <c r="AH525" s="4"/>
      <c r="AI525" s="4"/>
      <c r="AJ525" s="4"/>
      <c r="AK525" s="4"/>
      <c r="AL525" s="4" t="s">
        <v>174</v>
      </c>
      <c r="AM525" s="4" t="s">
        <v>205</v>
      </c>
    </row>
    <row r="526" customFormat="false" ht="23.85" hidden="false" customHeight="false" outlineLevel="0" collapsed="false">
      <c r="A526" s="4" t="s">
        <v>167</v>
      </c>
      <c r="B526" s="4" t="s">
        <v>703</v>
      </c>
      <c r="C526" s="4" t="s">
        <v>703</v>
      </c>
      <c r="D526" s="12" t="n">
        <v>2020</v>
      </c>
      <c r="E526" s="4"/>
      <c r="F526" s="4" t="s">
        <v>169</v>
      </c>
      <c r="G526" s="4" t="s">
        <v>170</v>
      </c>
      <c r="H526" s="4" t="s">
        <v>171</v>
      </c>
      <c r="I526" s="4" t="s">
        <v>172</v>
      </c>
      <c r="J526" s="4" t="s">
        <v>703</v>
      </c>
      <c r="K526" s="4" t="s">
        <v>76</v>
      </c>
      <c r="L526" s="4" t="s">
        <v>77</v>
      </c>
      <c r="M526" s="4"/>
      <c r="N526" s="4"/>
      <c r="O526" s="4"/>
      <c r="P526" s="4"/>
      <c r="Q526" s="4"/>
      <c r="R526" s="4"/>
      <c r="S526" s="13" t="n">
        <v>0</v>
      </c>
      <c r="T526" s="4" t="s">
        <v>173</v>
      </c>
      <c r="U526" s="14" t="n">
        <f aca="false">IF(OR($S526="",PARAMETROS!$B$4=""),"",$S526*PARAMETROS!$B$4)</f>
        <v>0</v>
      </c>
      <c r="V526" s="13" t="n">
        <v>0</v>
      </c>
      <c r="W526" s="4"/>
      <c r="X526" s="4"/>
      <c r="Y526" s="4"/>
      <c r="Z526" s="4"/>
      <c r="AA526" s="4"/>
      <c r="AB526" s="4"/>
      <c r="AC526" s="4"/>
      <c r="AD526" s="4"/>
      <c r="AE526" s="4"/>
      <c r="AF526" s="4"/>
      <c r="AG526" s="4"/>
      <c r="AH526" s="4"/>
      <c r="AI526" s="4"/>
      <c r="AJ526" s="4"/>
      <c r="AK526" s="4"/>
      <c r="AL526" s="4" t="s">
        <v>174</v>
      </c>
      <c r="AM526" s="4" t="s">
        <v>205</v>
      </c>
    </row>
    <row r="527" customFormat="false" ht="23.85" hidden="false" customHeight="false" outlineLevel="0" collapsed="false">
      <c r="A527" s="4" t="s">
        <v>167</v>
      </c>
      <c r="B527" s="4" t="s">
        <v>704</v>
      </c>
      <c r="C527" s="4" t="s">
        <v>704</v>
      </c>
      <c r="D527" s="12" t="n">
        <v>2020</v>
      </c>
      <c r="E527" s="4"/>
      <c r="F527" s="4" t="s">
        <v>169</v>
      </c>
      <c r="G527" s="4" t="s">
        <v>170</v>
      </c>
      <c r="H527" s="4" t="s">
        <v>171</v>
      </c>
      <c r="I527" s="4" t="s">
        <v>172</v>
      </c>
      <c r="J527" s="4" t="s">
        <v>704</v>
      </c>
      <c r="K527" s="4" t="s">
        <v>76</v>
      </c>
      <c r="L527" s="4" t="s">
        <v>77</v>
      </c>
      <c r="M527" s="4"/>
      <c r="N527" s="4"/>
      <c r="O527" s="4"/>
      <c r="P527" s="4"/>
      <c r="Q527" s="4"/>
      <c r="R527" s="4"/>
      <c r="S527" s="13" t="n">
        <v>0</v>
      </c>
      <c r="T527" s="4" t="s">
        <v>173</v>
      </c>
      <c r="U527" s="14" t="n">
        <f aca="false">IF(OR($S527="",PARAMETROS!$B$4=""),"",$S527*PARAMETROS!$B$4)</f>
        <v>0</v>
      </c>
      <c r="V527" s="13" t="n">
        <v>0</v>
      </c>
      <c r="W527" s="4"/>
      <c r="X527" s="4"/>
      <c r="Y527" s="4"/>
      <c r="Z527" s="4"/>
      <c r="AA527" s="4"/>
      <c r="AB527" s="4"/>
      <c r="AC527" s="4"/>
      <c r="AD527" s="4"/>
      <c r="AE527" s="4"/>
      <c r="AF527" s="4"/>
      <c r="AG527" s="4"/>
      <c r="AH527" s="4"/>
      <c r="AI527" s="4"/>
      <c r="AJ527" s="4"/>
      <c r="AK527" s="4"/>
      <c r="AL527" s="4" t="s">
        <v>174</v>
      </c>
      <c r="AM527" s="4" t="s">
        <v>205</v>
      </c>
    </row>
    <row r="528" customFormat="false" ht="23.85" hidden="false" customHeight="false" outlineLevel="0" collapsed="false">
      <c r="A528" s="4" t="s">
        <v>167</v>
      </c>
      <c r="B528" s="4" t="s">
        <v>705</v>
      </c>
      <c r="C528" s="4" t="s">
        <v>705</v>
      </c>
      <c r="D528" s="12" t="n">
        <v>2020</v>
      </c>
      <c r="E528" s="4"/>
      <c r="F528" s="4" t="s">
        <v>169</v>
      </c>
      <c r="G528" s="4" t="s">
        <v>170</v>
      </c>
      <c r="H528" s="4" t="s">
        <v>171</v>
      </c>
      <c r="I528" s="4" t="s">
        <v>172</v>
      </c>
      <c r="J528" s="4" t="s">
        <v>705</v>
      </c>
      <c r="K528" s="4" t="s">
        <v>76</v>
      </c>
      <c r="L528" s="4" t="s">
        <v>77</v>
      </c>
      <c r="M528" s="4"/>
      <c r="N528" s="4"/>
      <c r="O528" s="4"/>
      <c r="P528" s="4"/>
      <c r="Q528" s="4"/>
      <c r="R528" s="4"/>
      <c r="S528" s="13" t="n">
        <v>0</v>
      </c>
      <c r="T528" s="4" t="s">
        <v>173</v>
      </c>
      <c r="U528" s="14" t="n">
        <f aca="false">IF(OR($S528="",PARAMETROS!$B$4=""),"",$S528*PARAMETROS!$B$4)</f>
        <v>0</v>
      </c>
      <c r="V528" s="13" t="n">
        <v>0</v>
      </c>
      <c r="W528" s="4"/>
      <c r="X528" s="4"/>
      <c r="Y528" s="4"/>
      <c r="Z528" s="4"/>
      <c r="AA528" s="4"/>
      <c r="AB528" s="4"/>
      <c r="AC528" s="4"/>
      <c r="AD528" s="4"/>
      <c r="AE528" s="4"/>
      <c r="AF528" s="4"/>
      <c r="AG528" s="4"/>
      <c r="AH528" s="4"/>
      <c r="AI528" s="4"/>
      <c r="AJ528" s="4"/>
      <c r="AK528" s="4"/>
      <c r="AL528" s="4" t="s">
        <v>174</v>
      </c>
      <c r="AM528" s="4" t="s">
        <v>205</v>
      </c>
    </row>
    <row r="529" customFormat="false" ht="23.85" hidden="false" customHeight="false" outlineLevel="0" collapsed="false">
      <c r="A529" s="4" t="s">
        <v>167</v>
      </c>
      <c r="B529" s="4" t="s">
        <v>706</v>
      </c>
      <c r="C529" s="4" t="s">
        <v>706</v>
      </c>
      <c r="D529" s="12" t="n">
        <v>2020</v>
      </c>
      <c r="E529" s="4"/>
      <c r="F529" s="4" t="s">
        <v>169</v>
      </c>
      <c r="G529" s="4" t="s">
        <v>170</v>
      </c>
      <c r="H529" s="4" t="s">
        <v>171</v>
      </c>
      <c r="I529" s="4" t="s">
        <v>172</v>
      </c>
      <c r="J529" s="4" t="s">
        <v>706</v>
      </c>
      <c r="K529" s="4" t="s">
        <v>76</v>
      </c>
      <c r="L529" s="4" t="s">
        <v>77</v>
      </c>
      <c r="M529" s="4"/>
      <c r="N529" s="4"/>
      <c r="O529" s="4"/>
      <c r="P529" s="4"/>
      <c r="Q529" s="4"/>
      <c r="R529" s="4"/>
      <c r="S529" s="13" t="n">
        <v>0</v>
      </c>
      <c r="T529" s="4" t="s">
        <v>173</v>
      </c>
      <c r="U529" s="14" t="n">
        <f aca="false">IF(OR($S529="",PARAMETROS!$B$4=""),"",$S529*PARAMETROS!$B$4)</f>
        <v>0</v>
      </c>
      <c r="V529" s="13" t="n">
        <v>0</v>
      </c>
      <c r="W529" s="4"/>
      <c r="X529" s="4"/>
      <c r="Y529" s="4"/>
      <c r="Z529" s="4"/>
      <c r="AA529" s="4"/>
      <c r="AB529" s="4"/>
      <c r="AC529" s="4"/>
      <c r="AD529" s="4"/>
      <c r="AE529" s="4"/>
      <c r="AF529" s="4"/>
      <c r="AG529" s="4"/>
      <c r="AH529" s="4"/>
      <c r="AI529" s="4"/>
      <c r="AJ529" s="4"/>
      <c r="AK529" s="4"/>
      <c r="AL529" s="4" t="s">
        <v>174</v>
      </c>
      <c r="AM529" s="4" t="s">
        <v>205</v>
      </c>
    </row>
    <row r="530" customFormat="false" ht="23.85" hidden="false" customHeight="false" outlineLevel="0" collapsed="false">
      <c r="A530" s="4" t="s">
        <v>167</v>
      </c>
      <c r="B530" s="4" t="s">
        <v>707</v>
      </c>
      <c r="C530" s="4" t="s">
        <v>707</v>
      </c>
      <c r="D530" s="12" t="n">
        <v>2020</v>
      </c>
      <c r="E530" s="4"/>
      <c r="F530" s="4" t="s">
        <v>169</v>
      </c>
      <c r="G530" s="4" t="s">
        <v>170</v>
      </c>
      <c r="H530" s="4" t="s">
        <v>171</v>
      </c>
      <c r="I530" s="4" t="s">
        <v>172</v>
      </c>
      <c r="J530" s="4" t="s">
        <v>707</v>
      </c>
      <c r="K530" s="4" t="s">
        <v>76</v>
      </c>
      <c r="L530" s="4" t="s">
        <v>77</v>
      </c>
      <c r="M530" s="4"/>
      <c r="N530" s="4"/>
      <c r="O530" s="4"/>
      <c r="P530" s="4"/>
      <c r="Q530" s="4"/>
      <c r="R530" s="4"/>
      <c r="S530" s="13" t="n">
        <v>0</v>
      </c>
      <c r="T530" s="4" t="s">
        <v>173</v>
      </c>
      <c r="U530" s="14" t="n">
        <f aca="false">IF(OR($S530="",PARAMETROS!$B$4=""),"",$S530*PARAMETROS!$B$4)</f>
        <v>0</v>
      </c>
      <c r="V530" s="13" t="n">
        <v>0</v>
      </c>
      <c r="W530" s="4"/>
      <c r="X530" s="4"/>
      <c r="Y530" s="4"/>
      <c r="Z530" s="4"/>
      <c r="AA530" s="4"/>
      <c r="AB530" s="4"/>
      <c r="AC530" s="4"/>
      <c r="AD530" s="4"/>
      <c r="AE530" s="4"/>
      <c r="AF530" s="4"/>
      <c r="AG530" s="4"/>
      <c r="AH530" s="4"/>
      <c r="AI530" s="4"/>
      <c r="AJ530" s="4"/>
      <c r="AK530" s="4"/>
      <c r="AL530" s="4" t="s">
        <v>174</v>
      </c>
      <c r="AM530" s="4" t="s">
        <v>205</v>
      </c>
    </row>
    <row r="531" customFormat="false" ht="23.85" hidden="false" customHeight="false" outlineLevel="0" collapsed="false">
      <c r="A531" s="4" t="s">
        <v>167</v>
      </c>
      <c r="B531" s="4" t="s">
        <v>708</v>
      </c>
      <c r="C531" s="4" t="s">
        <v>708</v>
      </c>
      <c r="D531" s="12" t="n">
        <v>2020</v>
      </c>
      <c r="E531" s="4"/>
      <c r="F531" s="4" t="s">
        <v>169</v>
      </c>
      <c r="G531" s="4" t="s">
        <v>170</v>
      </c>
      <c r="H531" s="4" t="s">
        <v>171</v>
      </c>
      <c r="I531" s="4" t="s">
        <v>172</v>
      </c>
      <c r="J531" s="4" t="s">
        <v>708</v>
      </c>
      <c r="K531" s="4" t="s">
        <v>76</v>
      </c>
      <c r="L531" s="4" t="s">
        <v>77</v>
      </c>
      <c r="M531" s="4"/>
      <c r="N531" s="4"/>
      <c r="O531" s="4"/>
      <c r="P531" s="4"/>
      <c r="Q531" s="4"/>
      <c r="R531" s="4"/>
      <c r="S531" s="13" t="n">
        <v>0</v>
      </c>
      <c r="T531" s="4" t="s">
        <v>173</v>
      </c>
      <c r="U531" s="14" t="n">
        <f aca="false">IF(OR($S531="",PARAMETROS!$B$4=""),"",$S531*PARAMETROS!$B$4)</f>
        <v>0</v>
      </c>
      <c r="V531" s="13" t="n">
        <v>0</v>
      </c>
      <c r="W531" s="4"/>
      <c r="X531" s="4"/>
      <c r="Y531" s="4"/>
      <c r="Z531" s="4"/>
      <c r="AA531" s="4"/>
      <c r="AB531" s="4"/>
      <c r="AC531" s="4"/>
      <c r="AD531" s="4"/>
      <c r="AE531" s="4"/>
      <c r="AF531" s="4"/>
      <c r="AG531" s="4"/>
      <c r="AH531" s="4"/>
      <c r="AI531" s="4"/>
      <c r="AJ531" s="4"/>
      <c r="AK531" s="4"/>
      <c r="AL531" s="4" t="s">
        <v>174</v>
      </c>
      <c r="AM531" s="4" t="s">
        <v>205</v>
      </c>
    </row>
    <row r="532" customFormat="false" ht="23.85" hidden="false" customHeight="false" outlineLevel="0" collapsed="false">
      <c r="A532" s="4" t="s">
        <v>167</v>
      </c>
      <c r="B532" s="4" t="s">
        <v>709</v>
      </c>
      <c r="C532" s="4" t="s">
        <v>709</v>
      </c>
      <c r="D532" s="12" t="n">
        <v>2020</v>
      </c>
      <c r="E532" s="4"/>
      <c r="F532" s="4" t="s">
        <v>169</v>
      </c>
      <c r="G532" s="4" t="s">
        <v>170</v>
      </c>
      <c r="H532" s="4" t="s">
        <v>171</v>
      </c>
      <c r="I532" s="4" t="s">
        <v>172</v>
      </c>
      <c r="J532" s="4" t="s">
        <v>709</v>
      </c>
      <c r="K532" s="4" t="s">
        <v>76</v>
      </c>
      <c r="L532" s="4" t="s">
        <v>77</v>
      </c>
      <c r="M532" s="4"/>
      <c r="N532" s="4"/>
      <c r="O532" s="4"/>
      <c r="P532" s="4"/>
      <c r="Q532" s="4"/>
      <c r="R532" s="4"/>
      <c r="S532" s="13" t="n">
        <v>0</v>
      </c>
      <c r="T532" s="4" t="s">
        <v>173</v>
      </c>
      <c r="U532" s="14" t="n">
        <f aca="false">IF(OR($S532="",PARAMETROS!$B$4=""),"",$S532*PARAMETROS!$B$4)</f>
        <v>0</v>
      </c>
      <c r="V532" s="13" t="n">
        <v>0</v>
      </c>
      <c r="W532" s="4"/>
      <c r="X532" s="4"/>
      <c r="Y532" s="4"/>
      <c r="Z532" s="4"/>
      <c r="AA532" s="4"/>
      <c r="AB532" s="4"/>
      <c r="AC532" s="4"/>
      <c r="AD532" s="4"/>
      <c r="AE532" s="4"/>
      <c r="AF532" s="4"/>
      <c r="AG532" s="4"/>
      <c r="AH532" s="4"/>
      <c r="AI532" s="4"/>
      <c r="AJ532" s="4"/>
      <c r="AK532" s="4"/>
      <c r="AL532" s="4" t="s">
        <v>174</v>
      </c>
      <c r="AM532" s="4" t="s">
        <v>205</v>
      </c>
    </row>
    <row r="533" customFormat="false" ht="23.85" hidden="false" customHeight="false" outlineLevel="0" collapsed="false">
      <c r="A533" s="4" t="s">
        <v>167</v>
      </c>
      <c r="B533" s="4" t="s">
        <v>710</v>
      </c>
      <c r="C533" s="4" t="s">
        <v>710</v>
      </c>
      <c r="D533" s="12" t="n">
        <v>2020</v>
      </c>
      <c r="E533" s="4"/>
      <c r="F533" s="4" t="s">
        <v>169</v>
      </c>
      <c r="G533" s="4" t="s">
        <v>170</v>
      </c>
      <c r="H533" s="4" t="s">
        <v>171</v>
      </c>
      <c r="I533" s="4" t="s">
        <v>172</v>
      </c>
      <c r="J533" s="4" t="s">
        <v>710</v>
      </c>
      <c r="K533" s="4" t="s">
        <v>76</v>
      </c>
      <c r="L533" s="4" t="s">
        <v>77</v>
      </c>
      <c r="M533" s="4"/>
      <c r="N533" s="4"/>
      <c r="O533" s="4"/>
      <c r="P533" s="4"/>
      <c r="Q533" s="4"/>
      <c r="R533" s="4"/>
      <c r="S533" s="13" t="n">
        <v>0</v>
      </c>
      <c r="T533" s="4" t="s">
        <v>173</v>
      </c>
      <c r="U533" s="14" t="n">
        <f aca="false">IF(OR($S533="",PARAMETROS!$B$4=""),"",$S533*PARAMETROS!$B$4)</f>
        <v>0</v>
      </c>
      <c r="V533" s="13" t="n">
        <v>0</v>
      </c>
      <c r="W533" s="4"/>
      <c r="X533" s="4"/>
      <c r="Y533" s="4"/>
      <c r="Z533" s="4"/>
      <c r="AA533" s="4"/>
      <c r="AB533" s="4"/>
      <c r="AC533" s="4"/>
      <c r="AD533" s="4"/>
      <c r="AE533" s="4"/>
      <c r="AF533" s="4"/>
      <c r="AG533" s="4"/>
      <c r="AH533" s="4"/>
      <c r="AI533" s="4"/>
      <c r="AJ533" s="4"/>
      <c r="AK533" s="4"/>
      <c r="AL533" s="4" t="s">
        <v>174</v>
      </c>
      <c r="AM533" s="4" t="s">
        <v>205</v>
      </c>
    </row>
    <row r="534" customFormat="false" ht="23.85" hidden="false" customHeight="false" outlineLevel="0" collapsed="false">
      <c r="A534" s="4" t="s">
        <v>167</v>
      </c>
      <c r="B534" s="4" t="s">
        <v>711</v>
      </c>
      <c r="C534" s="4" t="s">
        <v>711</v>
      </c>
      <c r="D534" s="12" t="n">
        <v>2020</v>
      </c>
      <c r="E534" s="4"/>
      <c r="F534" s="4" t="s">
        <v>169</v>
      </c>
      <c r="G534" s="4" t="s">
        <v>170</v>
      </c>
      <c r="H534" s="4" t="s">
        <v>171</v>
      </c>
      <c r="I534" s="4" t="s">
        <v>172</v>
      </c>
      <c r="J534" s="4" t="s">
        <v>711</v>
      </c>
      <c r="K534" s="4" t="s">
        <v>78</v>
      </c>
      <c r="L534" s="4" t="s">
        <v>79</v>
      </c>
      <c r="M534" s="4"/>
      <c r="N534" s="4"/>
      <c r="O534" s="4"/>
      <c r="P534" s="4"/>
      <c r="Q534" s="4"/>
      <c r="R534" s="4"/>
      <c r="S534" s="13" t="n">
        <v>196.42</v>
      </c>
      <c r="T534" s="4" t="s">
        <v>173</v>
      </c>
      <c r="U534" s="14" t="n">
        <f aca="false">IF(OR($S534="",PARAMETROS!$B$4=""),"",$S534*PARAMETROS!$B$4)</f>
        <v>1141.2002</v>
      </c>
      <c r="V534" s="13" t="n">
        <v>0</v>
      </c>
      <c r="W534" s="4"/>
      <c r="X534" s="4"/>
      <c r="Y534" s="4"/>
      <c r="Z534" s="4"/>
      <c r="AA534" s="4"/>
      <c r="AB534" s="4"/>
      <c r="AC534" s="4"/>
      <c r="AD534" s="4"/>
      <c r="AE534" s="4"/>
      <c r="AF534" s="4"/>
      <c r="AG534" s="4"/>
      <c r="AH534" s="4"/>
      <c r="AI534" s="4"/>
      <c r="AJ534" s="4"/>
      <c r="AK534" s="4"/>
      <c r="AL534" s="4" t="s">
        <v>174</v>
      </c>
      <c r="AM534" s="4" t="s">
        <v>175</v>
      </c>
    </row>
    <row r="535" customFormat="false" ht="23.85" hidden="false" customHeight="false" outlineLevel="0" collapsed="false">
      <c r="A535" s="4" t="s">
        <v>167</v>
      </c>
      <c r="B535" s="4" t="s">
        <v>712</v>
      </c>
      <c r="C535" s="4" t="s">
        <v>712</v>
      </c>
      <c r="D535" s="12" t="n">
        <v>2020</v>
      </c>
      <c r="E535" s="4"/>
      <c r="F535" s="4" t="s">
        <v>169</v>
      </c>
      <c r="G535" s="4" t="s">
        <v>170</v>
      </c>
      <c r="H535" s="4" t="s">
        <v>171</v>
      </c>
      <c r="I535" s="4" t="s">
        <v>172</v>
      </c>
      <c r="J535" s="4" t="s">
        <v>712</v>
      </c>
      <c r="K535" s="4" t="s">
        <v>78</v>
      </c>
      <c r="L535" s="4" t="s">
        <v>79</v>
      </c>
      <c r="M535" s="4"/>
      <c r="N535" s="4"/>
      <c r="O535" s="4"/>
      <c r="P535" s="4"/>
      <c r="Q535" s="4"/>
      <c r="R535" s="4"/>
      <c r="S535" s="13" t="n">
        <v>0</v>
      </c>
      <c r="T535" s="4" t="s">
        <v>173</v>
      </c>
      <c r="U535" s="14" t="n">
        <f aca="false">IF(OR($S535="",PARAMETROS!$B$4=""),"",$S535*PARAMETROS!$B$4)</f>
        <v>0</v>
      </c>
      <c r="V535" s="13" t="n">
        <v>0</v>
      </c>
      <c r="W535" s="4"/>
      <c r="X535" s="4"/>
      <c r="Y535" s="4"/>
      <c r="Z535" s="4"/>
      <c r="AA535" s="4"/>
      <c r="AB535" s="4"/>
      <c r="AC535" s="4"/>
      <c r="AD535" s="4"/>
      <c r="AE535" s="4"/>
      <c r="AF535" s="4"/>
      <c r="AG535" s="4"/>
      <c r="AH535" s="4"/>
      <c r="AI535" s="4"/>
      <c r="AJ535" s="4"/>
      <c r="AK535" s="4"/>
      <c r="AL535" s="4" t="s">
        <v>174</v>
      </c>
      <c r="AM535" s="4" t="s">
        <v>175</v>
      </c>
    </row>
    <row r="536" customFormat="false" ht="23.85" hidden="false" customHeight="false" outlineLevel="0" collapsed="false">
      <c r="A536" s="4" t="s">
        <v>167</v>
      </c>
      <c r="B536" s="4" t="s">
        <v>713</v>
      </c>
      <c r="C536" s="4" t="s">
        <v>713</v>
      </c>
      <c r="D536" s="12" t="n">
        <v>2020</v>
      </c>
      <c r="E536" s="4"/>
      <c r="F536" s="4" t="s">
        <v>169</v>
      </c>
      <c r="G536" s="4" t="s">
        <v>170</v>
      </c>
      <c r="H536" s="4" t="s">
        <v>171</v>
      </c>
      <c r="I536" s="4" t="s">
        <v>172</v>
      </c>
      <c r="J536" s="4" t="s">
        <v>713</v>
      </c>
      <c r="K536" s="4" t="s">
        <v>78</v>
      </c>
      <c r="L536" s="4" t="s">
        <v>79</v>
      </c>
      <c r="M536" s="4"/>
      <c r="N536" s="4"/>
      <c r="O536" s="4"/>
      <c r="P536" s="4"/>
      <c r="Q536" s="4"/>
      <c r="R536" s="4"/>
      <c r="S536" s="13" t="n">
        <v>0</v>
      </c>
      <c r="T536" s="4" t="s">
        <v>173</v>
      </c>
      <c r="U536" s="14" t="n">
        <f aca="false">IF(OR($S536="",PARAMETROS!$B$4=""),"",$S536*PARAMETROS!$B$4)</f>
        <v>0</v>
      </c>
      <c r="V536" s="13" t="n">
        <v>0</v>
      </c>
      <c r="W536" s="4"/>
      <c r="X536" s="4"/>
      <c r="Y536" s="4"/>
      <c r="Z536" s="4"/>
      <c r="AA536" s="4"/>
      <c r="AB536" s="4"/>
      <c r="AC536" s="4"/>
      <c r="AD536" s="4"/>
      <c r="AE536" s="4"/>
      <c r="AF536" s="4"/>
      <c r="AG536" s="4"/>
      <c r="AH536" s="4"/>
      <c r="AI536" s="4"/>
      <c r="AJ536" s="4"/>
      <c r="AK536" s="4"/>
      <c r="AL536" s="4" t="s">
        <v>174</v>
      </c>
      <c r="AM536" s="4" t="s">
        <v>175</v>
      </c>
    </row>
    <row r="537" customFormat="false" ht="23.85" hidden="false" customHeight="false" outlineLevel="0" collapsed="false">
      <c r="A537" s="4" t="s">
        <v>167</v>
      </c>
      <c r="B537" s="4" t="s">
        <v>714</v>
      </c>
      <c r="C537" s="4" t="s">
        <v>714</v>
      </c>
      <c r="D537" s="12" t="n">
        <v>2020</v>
      </c>
      <c r="E537" s="4"/>
      <c r="F537" s="4" t="s">
        <v>169</v>
      </c>
      <c r="G537" s="4" t="s">
        <v>170</v>
      </c>
      <c r="H537" s="4" t="s">
        <v>171</v>
      </c>
      <c r="I537" s="4" t="s">
        <v>172</v>
      </c>
      <c r="J537" s="4" t="s">
        <v>714</v>
      </c>
      <c r="K537" s="4" t="s">
        <v>78</v>
      </c>
      <c r="L537" s="4" t="s">
        <v>79</v>
      </c>
      <c r="M537" s="4"/>
      <c r="N537" s="4"/>
      <c r="O537" s="4"/>
      <c r="P537" s="4"/>
      <c r="Q537" s="4"/>
      <c r="R537" s="4"/>
      <c r="S537" s="13" t="n">
        <v>0</v>
      </c>
      <c r="T537" s="4" t="s">
        <v>173</v>
      </c>
      <c r="U537" s="14" t="n">
        <f aca="false">IF(OR($S537="",PARAMETROS!$B$4=""),"",$S537*PARAMETROS!$B$4)</f>
        <v>0</v>
      </c>
      <c r="V537" s="13" t="n">
        <v>0</v>
      </c>
      <c r="W537" s="4"/>
      <c r="X537" s="4"/>
      <c r="Y537" s="4"/>
      <c r="Z537" s="4"/>
      <c r="AA537" s="4"/>
      <c r="AB537" s="4"/>
      <c r="AC537" s="4"/>
      <c r="AD537" s="4"/>
      <c r="AE537" s="4"/>
      <c r="AF537" s="4"/>
      <c r="AG537" s="4"/>
      <c r="AH537" s="4"/>
      <c r="AI537" s="4"/>
      <c r="AJ537" s="4"/>
      <c r="AK537" s="4"/>
      <c r="AL537" s="4" t="s">
        <v>174</v>
      </c>
      <c r="AM537" s="4" t="s">
        <v>175</v>
      </c>
    </row>
    <row r="538" customFormat="false" ht="23.85" hidden="false" customHeight="false" outlineLevel="0" collapsed="false">
      <c r="A538" s="4" t="s">
        <v>167</v>
      </c>
      <c r="B538" s="4" t="s">
        <v>715</v>
      </c>
      <c r="C538" s="4" t="s">
        <v>715</v>
      </c>
      <c r="D538" s="12" t="n">
        <v>2020</v>
      </c>
      <c r="E538" s="4"/>
      <c r="F538" s="4" t="s">
        <v>169</v>
      </c>
      <c r="G538" s="4" t="s">
        <v>170</v>
      </c>
      <c r="H538" s="4" t="s">
        <v>171</v>
      </c>
      <c r="I538" s="4" t="s">
        <v>172</v>
      </c>
      <c r="J538" s="4" t="s">
        <v>715</v>
      </c>
      <c r="K538" s="4" t="s">
        <v>78</v>
      </c>
      <c r="L538" s="4" t="s">
        <v>79</v>
      </c>
      <c r="M538" s="4"/>
      <c r="N538" s="4"/>
      <c r="O538" s="4"/>
      <c r="P538" s="4"/>
      <c r="Q538" s="4"/>
      <c r="R538" s="4"/>
      <c r="S538" s="13" t="n">
        <v>0</v>
      </c>
      <c r="T538" s="4" t="s">
        <v>173</v>
      </c>
      <c r="U538" s="14" t="n">
        <f aca="false">IF(OR($S538="",PARAMETROS!$B$4=""),"",$S538*PARAMETROS!$B$4)</f>
        <v>0</v>
      </c>
      <c r="V538" s="13" t="n">
        <v>0</v>
      </c>
      <c r="W538" s="4"/>
      <c r="X538" s="4"/>
      <c r="Y538" s="4"/>
      <c r="Z538" s="4"/>
      <c r="AA538" s="4"/>
      <c r="AB538" s="4"/>
      <c r="AC538" s="4"/>
      <c r="AD538" s="4"/>
      <c r="AE538" s="4"/>
      <c r="AF538" s="4"/>
      <c r="AG538" s="4"/>
      <c r="AH538" s="4"/>
      <c r="AI538" s="4"/>
      <c r="AJ538" s="4"/>
      <c r="AK538" s="4"/>
      <c r="AL538" s="4" t="s">
        <v>174</v>
      </c>
      <c r="AM538" s="4" t="s">
        <v>175</v>
      </c>
    </row>
    <row r="539" customFormat="false" ht="23.85" hidden="false" customHeight="false" outlineLevel="0" collapsed="false">
      <c r="A539" s="4" t="s">
        <v>167</v>
      </c>
      <c r="B539" s="4" t="s">
        <v>716</v>
      </c>
      <c r="C539" s="4" t="s">
        <v>716</v>
      </c>
      <c r="D539" s="12" t="n">
        <v>2020</v>
      </c>
      <c r="E539" s="4"/>
      <c r="F539" s="4" t="s">
        <v>169</v>
      </c>
      <c r="G539" s="4" t="s">
        <v>170</v>
      </c>
      <c r="H539" s="4" t="s">
        <v>171</v>
      </c>
      <c r="I539" s="4" t="s">
        <v>172</v>
      </c>
      <c r="J539" s="4" t="s">
        <v>716</v>
      </c>
      <c r="K539" s="4" t="s">
        <v>78</v>
      </c>
      <c r="L539" s="4" t="s">
        <v>79</v>
      </c>
      <c r="M539" s="4"/>
      <c r="N539" s="4"/>
      <c r="O539" s="4"/>
      <c r="P539" s="4"/>
      <c r="Q539" s="4"/>
      <c r="R539" s="4"/>
      <c r="S539" s="13" t="n">
        <v>-196.42</v>
      </c>
      <c r="T539" s="4" t="s">
        <v>173</v>
      </c>
      <c r="U539" s="14" t="n">
        <f aca="false">IF(OR($S539="",PARAMETROS!$B$4=""),"",$S539*PARAMETROS!$B$4)</f>
        <v>-1141.2002</v>
      </c>
      <c r="V539" s="13" t="n">
        <v>0</v>
      </c>
      <c r="W539" s="4"/>
      <c r="X539" s="4"/>
      <c r="Y539" s="4"/>
      <c r="Z539" s="4"/>
      <c r="AA539" s="4"/>
      <c r="AB539" s="4"/>
      <c r="AC539" s="4"/>
      <c r="AD539" s="4"/>
      <c r="AE539" s="4"/>
      <c r="AF539" s="4"/>
      <c r="AG539" s="4"/>
      <c r="AH539" s="4"/>
      <c r="AI539" s="4"/>
      <c r="AJ539" s="4"/>
      <c r="AK539" s="4"/>
      <c r="AL539" s="4" t="s">
        <v>174</v>
      </c>
      <c r="AM539" s="4" t="s">
        <v>175</v>
      </c>
    </row>
    <row r="540" customFormat="false" ht="23.85" hidden="false" customHeight="false" outlineLevel="0" collapsed="false">
      <c r="A540" s="4" t="s">
        <v>167</v>
      </c>
      <c r="B540" s="4" t="s">
        <v>717</v>
      </c>
      <c r="C540" s="4" t="s">
        <v>717</v>
      </c>
      <c r="D540" s="12" t="n">
        <v>2020</v>
      </c>
      <c r="E540" s="4"/>
      <c r="F540" s="4" t="s">
        <v>169</v>
      </c>
      <c r="G540" s="4" t="s">
        <v>170</v>
      </c>
      <c r="H540" s="4" t="s">
        <v>171</v>
      </c>
      <c r="I540" s="4" t="s">
        <v>172</v>
      </c>
      <c r="J540" s="4" t="s">
        <v>717</v>
      </c>
      <c r="K540" s="4" t="s">
        <v>78</v>
      </c>
      <c r="L540" s="4" t="s">
        <v>79</v>
      </c>
      <c r="M540" s="4"/>
      <c r="N540" s="4"/>
      <c r="O540" s="4"/>
      <c r="P540" s="4"/>
      <c r="Q540" s="4"/>
      <c r="R540" s="4"/>
      <c r="S540" s="13" t="n">
        <v>0</v>
      </c>
      <c r="T540" s="4" t="s">
        <v>173</v>
      </c>
      <c r="U540" s="14" t="n">
        <f aca="false">IF(OR($S540="",PARAMETROS!$B$4=""),"",$S540*PARAMETROS!$B$4)</f>
        <v>0</v>
      </c>
      <c r="V540" s="13" t="n">
        <v>0</v>
      </c>
      <c r="W540" s="4"/>
      <c r="X540" s="4"/>
      <c r="Y540" s="4"/>
      <c r="Z540" s="4"/>
      <c r="AA540" s="4"/>
      <c r="AB540" s="4"/>
      <c r="AC540" s="4"/>
      <c r="AD540" s="4"/>
      <c r="AE540" s="4"/>
      <c r="AF540" s="4"/>
      <c r="AG540" s="4"/>
      <c r="AH540" s="4"/>
      <c r="AI540" s="4"/>
      <c r="AJ540" s="4"/>
      <c r="AK540" s="4"/>
      <c r="AL540" s="4" t="s">
        <v>174</v>
      </c>
      <c r="AM540" s="4" t="s">
        <v>175</v>
      </c>
    </row>
    <row r="541" customFormat="false" ht="23.85" hidden="false" customHeight="false" outlineLevel="0" collapsed="false">
      <c r="A541" s="4" t="s">
        <v>167</v>
      </c>
      <c r="B541" s="4" t="s">
        <v>718</v>
      </c>
      <c r="C541" s="4" t="s">
        <v>718</v>
      </c>
      <c r="D541" s="12" t="n">
        <v>2020</v>
      </c>
      <c r="E541" s="4"/>
      <c r="F541" s="4" t="s">
        <v>169</v>
      </c>
      <c r="G541" s="4" t="s">
        <v>170</v>
      </c>
      <c r="H541" s="4" t="s">
        <v>171</v>
      </c>
      <c r="I541" s="4" t="s">
        <v>172</v>
      </c>
      <c r="J541" s="4" t="s">
        <v>718</v>
      </c>
      <c r="K541" s="4" t="s">
        <v>78</v>
      </c>
      <c r="L541" s="4" t="s">
        <v>79</v>
      </c>
      <c r="M541" s="4"/>
      <c r="N541" s="4"/>
      <c r="O541" s="4"/>
      <c r="P541" s="4"/>
      <c r="Q541" s="4"/>
      <c r="R541" s="4"/>
      <c r="S541" s="13" t="n">
        <v>0</v>
      </c>
      <c r="T541" s="4" t="s">
        <v>173</v>
      </c>
      <c r="U541" s="14" t="n">
        <f aca="false">IF(OR($S541="",PARAMETROS!$B$4=""),"",$S541*PARAMETROS!$B$4)</f>
        <v>0</v>
      </c>
      <c r="V541" s="13" t="n">
        <v>0</v>
      </c>
      <c r="W541" s="4"/>
      <c r="X541" s="4"/>
      <c r="Y541" s="4"/>
      <c r="Z541" s="4"/>
      <c r="AA541" s="4"/>
      <c r="AB541" s="4"/>
      <c r="AC541" s="4"/>
      <c r="AD541" s="4"/>
      <c r="AE541" s="4"/>
      <c r="AF541" s="4"/>
      <c r="AG541" s="4"/>
      <c r="AH541" s="4"/>
      <c r="AI541" s="4"/>
      <c r="AJ541" s="4"/>
      <c r="AK541" s="4"/>
      <c r="AL541" s="4" t="s">
        <v>174</v>
      </c>
      <c r="AM541" s="4" t="s">
        <v>175</v>
      </c>
    </row>
    <row r="542" customFormat="false" ht="23.85" hidden="false" customHeight="false" outlineLevel="0" collapsed="false">
      <c r="A542" s="4" t="s">
        <v>167</v>
      </c>
      <c r="B542" s="4" t="s">
        <v>719</v>
      </c>
      <c r="C542" s="4" t="s">
        <v>719</v>
      </c>
      <c r="D542" s="12" t="n">
        <v>2020</v>
      </c>
      <c r="E542" s="4"/>
      <c r="F542" s="4" t="s">
        <v>169</v>
      </c>
      <c r="G542" s="4" t="s">
        <v>170</v>
      </c>
      <c r="H542" s="4" t="s">
        <v>171</v>
      </c>
      <c r="I542" s="4" t="s">
        <v>172</v>
      </c>
      <c r="J542" s="4" t="s">
        <v>719</v>
      </c>
      <c r="K542" s="4" t="s">
        <v>78</v>
      </c>
      <c r="L542" s="4" t="s">
        <v>79</v>
      </c>
      <c r="M542" s="4"/>
      <c r="N542" s="4"/>
      <c r="O542" s="4"/>
      <c r="P542" s="4"/>
      <c r="Q542" s="4"/>
      <c r="R542" s="4"/>
      <c r="S542" s="13" t="n">
        <v>0</v>
      </c>
      <c r="T542" s="4" t="s">
        <v>173</v>
      </c>
      <c r="U542" s="14" t="n">
        <f aca="false">IF(OR($S542="",PARAMETROS!$B$4=""),"",$S542*PARAMETROS!$B$4)</f>
        <v>0</v>
      </c>
      <c r="V542" s="13" t="n">
        <v>0</v>
      </c>
      <c r="W542" s="4"/>
      <c r="X542" s="4"/>
      <c r="Y542" s="4"/>
      <c r="Z542" s="4"/>
      <c r="AA542" s="4"/>
      <c r="AB542" s="4"/>
      <c r="AC542" s="4"/>
      <c r="AD542" s="4"/>
      <c r="AE542" s="4"/>
      <c r="AF542" s="4"/>
      <c r="AG542" s="4"/>
      <c r="AH542" s="4"/>
      <c r="AI542" s="4"/>
      <c r="AJ542" s="4"/>
      <c r="AK542" s="4"/>
      <c r="AL542" s="4" t="s">
        <v>174</v>
      </c>
      <c r="AM542" s="4" t="s">
        <v>175</v>
      </c>
    </row>
    <row r="543" customFormat="false" ht="23.85" hidden="false" customHeight="false" outlineLevel="0" collapsed="false">
      <c r="A543" s="4" t="s">
        <v>167</v>
      </c>
      <c r="B543" s="4" t="s">
        <v>720</v>
      </c>
      <c r="C543" s="4" t="s">
        <v>720</v>
      </c>
      <c r="D543" s="12" t="n">
        <v>2020</v>
      </c>
      <c r="E543" s="4"/>
      <c r="F543" s="4" t="s">
        <v>169</v>
      </c>
      <c r="G543" s="4" t="s">
        <v>170</v>
      </c>
      <c r="H543" s="4" t="s">
        <v>171</v>
      </c>
      <c r="I543" s="4" t="s">
        <v>172</v>
      </c>
      <c r="J543" s="4" t="s">
        <v>720</v>
      </c>
      <c r="K543" s="4" t="s">
        <v>78</v>
      </c>
      <c r="L543" s="4" t="s">
        <v>79</v>
      </c>
      <c r="M543" s="4"/>
      <c r="N543" s="4"/>
      <c r="O543" s="4"/>
      <c r="P543" s="4"/>
      <c r="Q543" s="4"/>
      <c r="R543" s="4"/>
      <c r="S543" s="13" t="n">
        <v>0</v>
      </c>
      <c r="T543" s="4" t="s">
        <v>173</v>
      </c>
      <c r="U543" s="14" t="n">
        <f aca="false">IF(OR($S543="",PARAMETROS!$B$4=""),"",$S543*PARAMETROS!$B$4)</f>
        <v>0</v>
      </c>
      <c r="V543" s="13" t="n">
        <v>0</v>
      </c>
      <c r="W543" s="4"/>
      <c r="X543" s="4"/>
      <c r="Y543" s="4"/>
      <c r="Z543" s="4"/>
      <c r="AA543" s="4"/>
      <c r="AB543" s="4"/>
      <c r="AC543" s="4"/>
      <c r="AD543" s="4"/>
      <c r="AE543" s="4"/>
      <c r="AF543" s="4"/>
      <c r="AG543" s="4"/>
      <c r="AH543" s="4"/>
      <c r="AI543" s="4"/>
      <c r="AJ543" s="4"/>
      <c r="AK543" s="4"/>
      <c r="AL543" s="4" t="s">
        <v>174</v>
      </c>
      <c r="AM543" s="4" t="s">
        <v>175</v>
      </c>
    </row>
    <row r="544" customFormat="false" ht="23.85" hidden="false" customHeight="false" outlineLevel="0" collapsed="false">
      <c r="A544" s="4" t="s">
        <v>167</v>
      </c>
      <c r="B544" s="4" t="s">
        <v>721</v>
      </c>
      <c r="C544" s="4" t="s">
        <v>721</v>
      </c>
      <c r="D544" s="12" t="n">
        <v>2020</v>
      </c>
      <c r="E544" s="4"/>
      <c r="F544" s="4" t="s">
        <v>169</v>
      </c>
      <c r="G544" s="4" t="s">
        <v>170</v>
      </c>
      <c r="H544" s="4" t="s">
        <v>171</v>
      </c>
      <c r="I544" s="4" t="s">
        <v>172</v>
      </c>
      <c r="J544" s="4" t="s">
        <v>721</v>
      </c>
      <c r="K544" s="4" t="s">
        <v>78</v>
      </c>
      <c r="L544" s="4" t="s">
        <v>79</v>
      </c>
      <c r="M544" s="4"/>
      <c r="N544" s="4"/>
      <c r="O544" s="4"/>
      <c r="P544" s="4"/>
      <c r="Q544" s="4"/>
      <c r="R544" s="4"/>
      <c r="S544" s="13" t="n">
        <v>0</v>
      </c>
      <c r="T544" s="4" t="s">
        <v>173</v>
      </c>
      <c r="U544" s="14" t="n">
        <f aca="false">IF(OR($S544="",PARAMETROS!$B$4=""),"",$S544*PARAMETROS!$B$4)</f>
        <v>0</v>
      </c>
      <c r="V544" s="13" t="n">
        <v>0</v>
      </c>
      <c r="W544" s="4"/>
      <c r="X544" s="4"/>
      <c r="Y544" s="4"/>
      <c r="Z544" s="4"/>
      <c r="AA544" s="4"/>
      <c r="AB544" s="4"/>
      <c r="AC544" s="4"/>
      <c r="AD544" s="4"/>
      <c r="AE544" s="4"/>
      <c r="AF544" s="4"/>
      <c r="AG544" s="4"/>
      <c r="AH544" s="4"/>
      <c r="AI544" s="4"/>
      <c r="AJ544" s="4"/>
      <c r="AK544" s="4"/>
      <c r="AL544" s="4" t="s">
        <v>174</v>
      </c>
      <c r="AM544" s="4" t="s">
        <v>175</v>
      </c>
    </row>
    <row r="545" customFormat="false" ht="23.85" hidden="false" customHeight="false" outlineLevel="0" collapsed="false">
      <c r="A545" s="4" t="s">
        <v>167</v>
      </c>
      <c r="B545" s="4" t="s">
        <v>722</v>
      </c>
      <c r="C545" s="4" t="s">
        <v>722</v>
      </c>
      <c r="D545" s="12" t="n">
        <v>2020</v>
      </c>
      <c r="E545" s="4"/>
      <c r="F545" s="4" t="s">
        <v>169</v>
      </c>
      <c r="G545" s="4" t="s">
        <v>170</v>
      </c>
      <c r="H545" s="4" t="s">
        <v>171</v>
      </c>
      <c r="I545" s="4" t="s">
        <v>172</v>
      </c>
      <c r="J545" s="4" t="s">
        <v>722</v>
      </c>
      <c r="K545" s="4" t="s">
        <v>78</v>
      </c>
      <c r="L545" s="4" t="s">
        <v>79</v>
      </c>
      <c r="M545" s="4"/>
      <c r="N545" s="4"/>
      <c r="O545" s="4"/>
      <c r="P545" s="4"/>
      <c r="Q545" s="4"/>
      <c r="R545" s="4"/>
      <c r="S545" s="13" t="n">
        <v>0</v>
      </c>
      <c r="T545" s="4" t="s">
        <v>173</v>
      </c>
      <c r="U545" s="14" t="n">
        <f aca="false">IF(OR($S545="",PARAMETROS!$B$4=""),"",$S545*PARAMETROS!$B$4)</f>
        <v>0</v>
      </c>
      <c r="V545" s="13" t="n">
        <v>0</v>
      </c>
      <c r="W545" s="4"/>
      <c r="X545" s="4"/>
      <c r="Y545" s="4"/>
      <c r="Z545" s="4"/>
      <c r="AA545" s="4"/>
      <c r="AB545" s="4"/>
      <c r="AC545" s="4"/>
      <c r="AD545" s="4"/>
      <c r="AE545" s="4"/>
      <c r="AF545" s="4"/>
      <c r="AG545" s="4"/>
      <c r="AH545" s="4"/>
      <c r="AI545" s="4"/>
      <c r="AJ545" s="4"/>
      <c r="AK545" s="4"/>
      <c r="AL545" s="4" t="s">
        <v>174</v>
      </c>
      <c r="AM545" s="4" t="s">
        <v>175</v>
      </c>
    </row>
    <row r="546" customFormat="false" ht="23.85" hidden="false" customHeight="false" outlineLevel="0" collapsed="false">
      <c r="A546" s="4" t="s">
        <v>167</v>
      </c>
      <c r="B546" s="4" t="s">
        <v>723</v>
      </c>
      <c r="C546" s="4" t="s">
        <v>723</v>
      </c>
      <c r="D546" s="12" t="n">
        <v>2020</v>
      </c>
      <c r="E546" s="4"/>
      <c r="F546" s="4" t="s">
        <v>169</v>
      </c>
      <c r="G546" s="4" t="s">
        <v>170</v>
      </c>
      <c r="H546" s="4" t="s">
        <v>171</v>
      </c>
      <c r="I546" s="4" t="s">
        <v>172</v>
      </c>
      <c r="J546" s="4" t="s">
        <v>723</v>
      </c>
      <c r="K546" s="4" t="s">
        <v>78</v>
      </c>
      <c r="L546" s="4" t="s">
        <v>79</v>
      </c>
      <c r="M546" s="4"/>
      <c r="N546" s="4"/>
      <c r="O546" s="4"/>
      <c r="P546" s="4"/>
      <c r="Q546" s="4"/>
      <c r="R546" s="4"/>
      <c r="S546" s="13" t="n">
        <v>0</v>
      </c>
      <c r="T546" s="4" t="s">
        <v>173</v>
      </c>
      <c r="U546" s="14" t="n">
        <f aca="false">IF(OR($S546="",PARAMETROS!$B$4=""),"",$S546*PARAMETROS!$B$4)</f>
        <v>0</v>
      </c>
      <c r="V546" s="13" t="n">
        <v>0</v>
      </c>
      <c r="W546" s="4"/>
      <c r="X546" s="4"/>
      <c r="Y546" s="4"/>
      <c r="Z546" s="4"/>
      <c r="AA546" s="4"/>
      <c r="AB546" s="4"/>
      <c r="AC546" s="4"/>
      <c r="AD546" s="4"/>
      <c r="AE546" s="4"/>
      <c r="AF546" s="4"/>
      <c r="AG546" s="4"/>
      <c r="AH546" s="4"/>
      <c r="AI546" s="4"/>
      <c r="AJ546" s="4"/>
      <c r="AK546" s="4"/>
      <c r="AL546" s="4" t="s">
        <v>174</v>
      </c>
      <c r="AM546" s="4" t="s">
        <v>175</v>
      </c>
    </row>
    <row r="547" customFormat="false" ht="23.85" hidden="false" customHeight="false" outlineLevel="0" collapsed="false">
      <c r="A547" s="4" t="s">
        <v>167</v>
      </c>
      <c r="B547" s="4" t="s">
        <v>724</v>
      </c>
      <c r="C547" s="4" t="s">
        <v>724</v>
      </c>
      <c r="D547" s="12" t="n">
        <v>2020</v>
      </c>
      <c r="E547" s="4"/>
      <c r="F547" s="4" t="s">
        <v>169</v>
      </c>
      <c r="G547" s="4" t="s">
        <v>170</v>
      </c>
      <c r="H547" s="4" t="s">
        <v>171</v>
      </c>
      <c r="I547" s="4" t="s">
        <v>172</v>
      </c>
      <c r="J547" s="4" t="s">
        <v>724</v>
      </c>
      <c r="K547" s="4" t="s">
        <v>78</v>
      </c>
      <c r="L547" s="4" t="s">
        <v>79</v>
      </c>
      <c r="M547" s="4"/>
      <c r="N547" s="4"/>
      <c r="O547" s="4"/>
      <c r="P547" s="4"/>
      <c r="Q547" s="4"/>
      <c r="R547" s="4"/>
      <c r="S547" s="13" t="n">
        <v>0</v>
      </c>
      <c r="T547" s="4" t="s">
        <v>173</v>
      </c>
      <c r="U547" s="14" t="n">
        <f aca="false">IF(OR($S547="",PARAMETROS!$B$4=""),"",$S547*PARAMETROS!$B$4)</f>
        <v>0</v>
      </c>
      <c r="V547" s="13" t="n">
        <v>0</v>
      </c>
      <c r="W547" s="4"/>
      <c r="X547" s="4"/>
      <c r="Y547" s="4"/>
      <c r="Z547" s="4"/>
      <c r="AA547" s="4"/>
      <c r="AB547" s="4"/>
      <c r="AC547" s="4"/>
      <c r="AD547" s="4"/>
      <c r="AE547" s="4"/>
      <c r="AF547" s="4"/>
      <c r="AG547" s="4"/>
      <c r="AH547" s="4"/>
      <c r="AI547" s="4"/>
      <c r="AJ547" s="4"/>
      <c r="AK547" s="4"/>
      <c r="AL547" s="4" t="s">
        <v>174</v>
      </c>
      <c r="AM547" s="4" t="s">
        <v>175</v>
      </c>
    </row>
    <row r="548" customFormat="false" ht="23.85" hidden="false" customHeight="false" outlineLevel="0" collapsed="false">
      <c r="A548" s="4" t="s">
        <v>167</v>
      </c>
      <c r="B548" s="4" t="s">
        <v>725</v>
      </c>
      <c r="C548" s="4" t="s">
        <v>725</v>
      </c>
      <c r="D548" s="12" t="n">
        <v>2020</v>
      </c>
      <c r="E548" s="4"/>
      <c r="F548" s="4" t="s">
        <v>169</v>
      </c>
      <c r="G548" s="4" t="s">
        <v>170</v>
      </c>
      <c r="H548" s="4" t="s">
        <v>171</v>
      </c>
      <c r="I548" s="4" t="s">
        <v>172</v>
      </c>
      <c r="J548" s="4" t="s">
        <v>725</v>
      </c>
      <c r="K548" s="4" t="s">
        <v>80</v>
      </c>
      <c r="L548" s="4" t="s">
        <v>81</v>
      </c>
      <c r="M548" s="4"/>
      <c r="N548" s="4"/>
      <c r="O548" s="4"/>
      <c r="P548" s="4"/>
      <c r="Q548" s="4"/>
      <c r="R548" s="4"/>
      <c r="S548" s="13" t="n">
        <v>2019.3</v>
      </c>
      <c r="T548" s="4" t="s">
        <v>173</v>
      </c>
      <c r="U548" s="14" t="n">
        <f aca="false">IF(OR($S548="",PARAMETROS!$B$4=""),"",$S548*PARAMETROS!$B$4)</f>
        <v>11732.133</v>
      </c>
      <c r="V548" s="13" t="n">
        <v>0</v>
      </c>
      <c r="W548" s="4"/>
      <c r="X548" s="4"/>
      <c r="Y548" s="4"/>
      <c r="Z548" s="4"/>
      <c r="AA548" s="4"/>
      <c r="AB548" s="4"/>
      <c r="AC548" s="4"/>
      <c r="AD548" s="4"/>
      <c r="AE548" s="4"/>
      <c r="AF548" s="4"/>
      <c r="AG548" s="4"/>
      <c r="AH548" s="4"/>
      <c r="AI548" s="4"/>
      <c r="AJ548" s="4"/>
      <c r="AK548" s="4"/>
      <c r="AL548" s="4" t="s">
        <v>174</v>
      </c>
      <c r="AM548" s="4" t="s">
        <v>190</v>
      </c>
    </row>
    <row r="549" customFormat="false" ht="23.85" hidden="false" customHeight="false" outlineLevel="0" collapsed="false">
      <c r="A549" s="4" t="s">
        <v>167</v>
      </c>
      <c r="B549" s="4" t="s">
        <v>726</v>
      </c>
      <c r="C549" s="4" t="s">
        <v>726</v>
      </c>
      <c r="D549" s="12" t="n">
        <v>2020</v>
      </c>
      <c r="E549" s="4"/>
      <c r="F549" s="4" t="s">
        <v>169</v>
      </c>
      <c r="G549" s="4" t="s">
        <v>170</v>
      </c>
      <c r="H549" s="4" t="s">
        <v>171</v>
      </c>
      <c r="I549" s="4" t="s">
        <v>172</v>
      </c>
      <c r="J549" s="4" t="s">
        <v>726</v>
      </c>
      <c r="K549" s="4" t="s">
        <v>80</v>
      </c>
      <c r="L549" s="4" t="s">
        <v>81</v>
      </c>
      <c r="M549" s="4"/>
      <c r="N549" s="4"/>
      <c r="O549" s="4"/>
      <c r="P549" s="4"/>
      <c r="Q549" s="4"/>
      <c r="R549" s="4"/>
      <c r="S549" s="13" t="n">
        <v>0</v>
      </c>
      <c r="T549" s="4" t="s">
        <v>173</v>
      </c>
      <c r="U549" s="14" t="n">
        <f aca="false">IF(OR($S549="",PARAMETROS!$B$4=""),"",$S549*PARAMETROS!$B$4)</f>
        <v>0</v>
      </c>
      <c r="V549" s="13" t="n">
        <v>0</v>
      </c>
      <c r="W549" s="4"/>
      <c r="X549" s="4"/>
      <c r="Y549" s="4"/>
      <c r="Z549" s="4"/>
      <c r="AA549" s="4"/>
      <c r="AB549" s="4"/>
      <c r="AC549" s="4"/>
      <c r="AD549" s="4"/>
      <c r="AE549" s="4"/>
      <c r="AF549" s="4"/>
      <c r="AG549" s="4"/>
      <c r="AH549" s="4"/>
      <c r="AI549" s="4"/>
      <c r="AJ549" s="4"/>
      <c r="AK549" s="4"/>
      <c r="AL549" s="4" t="s">
        <v>174</v>
      </c>
      <c r="AM549" s="4" t="s">
        <v>190</v>
      </c>
    </row>
    <row r="550" customFormat="false" ht="23.85" hidden="false" customHeight="false" outlineLevel="0" collapsed="false">
      <c r="A550" s="4" t="s">
        <v>167</v>
      </c>
      <c r="B550" s="4" t="s">
        <v>727</v>
      </c>
      <c r="C550" s="4" t="s">
        <v>727</v>
      </c>
      <c r="D550" s="12" t="n">
        <v>2020</v>
      </c>
      <c r="E550" s="4"/>
      <c r="F550" s="4" t="s">
        <v>169</v>
      </c>
      <c r="G550" s="4" t="s">
        <v>170</v>
      </c>
      <c r="H550" s="4" t="s">
        <v>171</v>
      </c>
      <c r="I550" s="4" t="s">
        <v>172</v>
      </c>
      <c r="J550" s="4" t="s">
        <v>727</v>
      </c>
      <c r="K550" s="4" t="s">
        <v>80</v>
      </c>
      <c r="L550" s="4" t="s">
        <v>81</v>
      </c>
      <c r="M550" s="4"/>
      <c r="N550" s="4"/>
      <c r="O550" s="4"/>
      <c r="P550" s="4"/>
      <c r="Q550" s="4"/>
      <c r="R550" s="4"/>
      <c r="S550" s="13" t="n">
        <v>0</v>
      </c>
      <c r="T550" s="4" t="s">
        <v>173</v>
      </c>
      <c r="U550" s="14" t="n">
        <f aca="false">IF(OR($S550="",PARAMETROS!$B$4=""),"",$S550*PARAMETROS!$B$4)</f>
        <v>0</v>
      </c>
      <c r="V550" s="13" t="n">
        <v>0</v>
      </c>
      <c r="W550" s="4"/>
      <c r="X550" s="4"/>
      <c r="Y550" s="4"/>
      <c r="Z550" s="4"/>
      <c r="AA550" s="4"/>
      <c r="AB550" s="4"/>
      <c r="AC550" s="4"/>
      <c r="AD550" s="4"/>
      <c r="AE550" s="4"/>
      <c r="AF550" s="4"/>
      <c r="AG550" s="4"/>
      <c r="AH550" s="4"/>
      <c r="AI550" s="4"/>
      <c r="AJ550" s="4"/>
      <c r="AK550" s="4"/>
      <c r="AL550" s="4" t="s">
        <v>174</v>
      </c>
      <c r="AM550" s="4" t="s">
        <v>190</v>
      </c>
    </row>
    <row r="551" customFormat="false" ht="23.85" hidden="false" customHeight="false" outlineLevel="0" collapsed="false">
      <c r="A551" s="4" t="s">
        <v>167</v>
      </c>
      <c r="B551" s="4" t="s">
        <v>728</v>
      </c>
      <c r="C551" s="4" t="s">
        <v>728</v>
      </c>
      <c r="D551" s="12" t="n">
        <v>2020</v>
      </c>
      <c r="E551" s="4"/>
      <c r="F551" s="4" t="s">
        <v>169</v>
      </c>
      <c r="G551" s="4" t="s">
        <v>170</v>
      </c>
      <c r="H551" s="4" t="s">
        <v>171</v>
      </c>
      <c r="I551" s="4" t="s">
        <v>172</v>
      </c>
      <c r="J551" s="4" t="s">
        <v>728</v>
      </c>
      <c r="K551" s="4" t="s">
        <v>80</v>
      </c>
      <c r="L551" s="4" t="s">
        <v>81</v>
      </c>
      <c r="M551" s="4"/>
      <c r="N551" s="4"/>
      <c r="O551" s="4"/>
      <c r="P551" s="4"/>
      <c r="Q551" s="4"/>
      <c r="R551" s="4"/>
      <c r="S551" s="13" t="n">
        <v>0</v>
      </c>
      <c r="T551" s="4" t="s">
        <v>173</v>
      </c>
      <c r="U551" s="14" t="n">
        <f aca="false">IF(OR($S551="",PARAMETROS!$B$4=""),"",$S551*PARAMETROS!$B$4)</f>
        <v>0</v>
      </c>
      <c r="V551" s="13" t="n">
        <v>0</v>
      </c>
      <c r="W551" s="4"/>
      <c r="X551" s="4"/>
      <c r="Y551" s="4"/>
      <c r="Z551" s="4"/>
      <c r="AA551" s="4"/>
      <c r="AB551" s="4"/>
      <c r="AC551" s="4"/>
      <c r="AD551" s="4"/>
      <c r="AE551" s="4"/>
      <c r="AF551" s="4"/>
      <c r="AG551" s="4"/>
      <c r="AH551" s="4"/>
      <c r="AI551" s="4"/>
      <c r="AJ551" s="4"/>
      <c r="AK551" s="4"/>
      <c r="AL551" s="4" t="s">
        <v>174</v>
      </c>
      <c r="AM551" s="4" t="s">
        <v>190</v>
      </c>
    </row>
    <row r="552" customFormat="false" ht="23.85" hidden="false" customHeight="false" outlineLevel="0" collapsed="false">
      <c r="A552" s="4" t="s">
        <v>167</v>
      </c>
      <c r="B552" s="4" t="s">
        <v>729</v>
      </c>
      <c r="C552" s="4" t="s">
        <v>729</v>
      </c>
      <c r="D552" s="12" t="n">
        <v>2020</v>
      </c>
      <c r="E552" s="4"/>
      <c r="F552" s="4" t="s">
        <v>169</v>
      </c>
      <c r="G552" s="4" t="s">
        <v>170</v>
      </c>
      <c r="H552" s="4" t="s">
        <v>171</v>
      </c>
      <c r="I552" s="4" t="s">
        <v>172</v>
      </c>
      <c r="J552" s="4" t="s">
        <v>729</v>
      </c>
      <c r="K552" s="4" t="s">
        <v>80</v>
      </c>
      <c r="L552" s="4" t="s">
        <v>81</v>
      </c>
      <c r="M552" s="4"/>
      <c r="N552" s="4"/>
      <c r="O552" s="4"/>
      <c r="P552" s="4"/>
      <c r="Q552" s="4"/>
      <c r="R552" s="4"/>
      <c r="S552" s="13" t="n">
        <v>0</v>
      </c>
      <c r="T552" s="4" t="s">
        <v>173</v>
      </c>
      <c r="U552" s="14" t="n">
        <f aca="false">IF(OR($S552="",PARAMETROS!$B$4=""),"",$S552*PARAMETROS!$B$4)</f>
        <v>0</v>
      </c>
      <c r="V552" s="13" t="n">
        <v>0</v>
      </c>
      <c r="W552" s="4"/>
      <c r="X552" s="4"/>
      <c r="Y552" s="4"/>
      <c r="Z552" s="4"/>
      <c r="AA552" s="4"/>
      <c r="AB552" s="4"/>
      <c r="AC552" s="4"/>
      <c r="AD552" s="4"/>
      <c r="AE552" s="4"/>
      <c r="AF552" s="4"/>
      <c r="AG552" s="4"/>
      <c r="AH552" s="4"/>
      <c r="AI552" s="4"/>
      <c r="AJ552" s="4"/>
      <c r="AK552" s="4"/>
      <c r="AL552" s="4" t="s">
        <v>174</v>
      </c>
      <c r="AM552" s="4" t="s">
        <v>190</v>
      </c>
    </row>
    <row r="553" customFormat="false" ht="23.85" hidden="false" customHeight="false" outlineLevel="0" collapsed="false">
      <c r="A553" s="4" t="s">
        <v>167</v>
      </c>
      <c r="B553" s="4" t="s">
        <v>730</v>
      </c>
      <c r="C553" s="4" t="s">
        <v>730</v>
      </c>
      <c r="D553" s="12" t="n">
        <v>2020</v>
      </c>
      <c r="E553" s="4"/>
      <c r="F553" s="4" t="s">
        <v>169</v>
      </c>
      <c r="G553" s="4" t="s">
        <v>170</v>
      </c>
      <c r="H553" s="4" t="s">
        <v>171</v>
      </c>
      <c r="I553" s="4" t="s">
        <v>172</v>
      </c>
      <c r="J553" s="4" t="s">
        <v>730</v>
      </c>
      <c r="K553" s="4" t="s">
        <v>80</v>
      </c>
      <c r="L553" s="4" t="s">
        <v>81</v>
      </c>
      <c r="M553" s="4"/>
      <c r="N553" s="4"/>
      <c r="O553" s="4"/>
      <c r="P553" s="4"/>
      <c r="Q553" s="4"/>
      <c r="R553" s="4"/>
      <c r="S553" s="13" t="n">
        <v>-2019.3</v>
      </c>
      <c r="T553" s="4" t="s">
        <v>173</v>
      </c>
      <c r="U553" s="14" t="n">
        <f aca="false">IF(OR($S553="",PARAMETROS!$B$4=""),"",$S553*PARAMETROS!$B$4)</f>
        <v>-11732.133</v>
      </c>
      <c r="V553" s="13" t="n">
        <v>0</v>
      </c>
      <c r="W553" s="4"/>
      <c r="X553" s="4"/>
      <c r="Y553" s="4"/>
      <c r="Z553" s="4"/>
      <c r="AA553" s="4"/>
      <c r="AB553" s="4"/>
      <c r="AC553" s="4"/>
      <c r="AD553" s="4"/>
      <c r="AE553" s="4"/>
      <c r="AF553" s="4"/>
      <c r="AG553" s="4"/>
      <c r="AH553" s="4"/>
      <c r="AI553" s="4"/>
      <c r="AJ553" s="4"/>
      <c r="AK553" s="4"/>
      <c r="AL553" s="4" t="s">
        <v>174</v>
      </c>
      <c r="AM553" s="4" t="s">
        <v>190</v>
      </c>
    </row>
    <row r="554" customFormat="false" ht="23.85" hidden="false" customHeight="false" outlineLevel="0" collapsed="false">
      <c r="A554" s="4" t="s">
        <v>167</v>
      </c>
      <c r="B554" s="4" t="s">
        <v>731</v>
      </c>
      <c r="C554" s="4" t="s">
        <v>731</v>
      </c>
      <c r="D554" s="12" t="n">
        <v>2020</v>
      </c>
      <c r="E554" s="4"/>
      <c r="F554" s="4" t="s">
        <v>169</v>
      </c>
      <c r="G554" s="4" t="s">
        <v>170</v>
      </c>
      <c r="H554" s="4" t="s">
        <v>171</v>
      </c>
      <c r="I554" s="4" t="s">
        <v>172</v>
      </c>
      <c r="J554" s="4" t="s">
        <v>731</v>
      </c>
      <c r="K554" s="4" t="s">
        <v>80</v>
      </c>
      <c r="L554" s="4" t="s">
        <v>81</v>
      </c>
      <c r="M554" s="4"/>
      <c r="N554" s="4"/>
      <c r="O554" s="4"/>
      <c r="P554" s="4"/>
      <c r="Q554" s="4"/>
      <c r="R554" s="4"/>
      <c r="S554" s="13" t="n">
        <v>0</v>
      </c>
      <c r="T554" s="4" t="s">
        <v>173</v>
      </c>
      <c r="U554" s="14" t="n">
        <f aca="false">IF(OR($S554="",PARAMETROS!$B$4=""),"",$S554*PARAMETROS!$B$4)</f>
        <v>0</v>
      </c>
      <c r="V554" s="13" t="n">
        <v>0</v>
      </c>
      <c r="W554" s="4"/>
      <c r="X554" s="4"/>
      <c r="Y554" s="4"/>
      <c r="Z554" s="4"/>
      <c r="AA554" s="4"/>
      <c r="AB554" s="4"/>
      <c r="AC554" s="4"/>
      <c r="AD554" s="4"/>
      <c r="AE554" s="4"/>
      <c r="AF554" s="4"/>
      <c r="AG554" s="4"/>
      <c r="AH554" s="4"/>
      <c r="AI554" s="4"/>
      <c r="AJ554" s="4"/>
      <c r="AK554" s="4"/>
      <c r="AL554" s="4" t="s">
        <v>174</v>
      </c>
      <c r="AM554" s="4" t="s">
        <v>190</v>
      </c>
    </row>
    <row r="555" customFormat="false" ht="23.85" hidden="false" customHeight="false" outlineLevel="0" collapsed="false">
      <c r="A555" s="4" t="s">
        <v>167</v>
      </c>
      <c r="B555" s="4" t="s">
        <v>732</v>
      </c>
      <c r="C555" s="4" t="s">
        <v>732</v>
      </c>
      <c r="D555" s="12" t="n">
        <v>2020</v>
      </c>
      <c r="E555" s="4"/>
      <c r="F555" s="4" t="s">
        <v>169</v>
      </c>
      <c r="G555" s="4" t="s">
        <v>170</v>
      </c>
      <c r="H555" s="4" t="s">
        <v>171</v>
      </c>
      <c r="I555" s="4" t="s">
        <v>172</v>
      </c>
      <c r="J555" s="4" t="s">
        <v>732</v>
      </c>
      <c r="K555" s="4" t="s">
        <v>80</v>
      </c>
      <c r="L555" s="4" t="s">
        <v>81</v>
      </c>
      <c r="M555" s="4"/>
      <c r="N555" s="4"/>
      <c r="O555" s="4"/>
      <c r="P555" s="4"/>
      <c r="Q555" s="4"/>
      <c r="R555" s="4"/>
      <c r="S555" s="13" t="n">
        <v>0</v>
      </c>
      <c r="T555" s="4" t="s">
        <v>173</v>
      </c>
      <c r="U555" s="14" t="n">
        <f aca="false">IF(OR($S555="",PARAMETROS!$B$4=""),"",$S555*PARAMETROS!$B$4)</f>
        <v>0</v>
      </c>
      <c r="V555" s="13" t="n">
        <v>0</v>
      </c>
      <c r="W555" s="4"/>
      <c r="X555" s="4"/>
      <c r="Y555" s="4"/>
      <c r="Z555" s="4"/>
      <c r="AA555" s="4"/>
      <c r="AB555" s="4"/>
      <c r="AC555" s="4"/>
      <c r="AD555" s="4"/>
      <c r="AE555" s="4"/>
      <c r="AF555" s="4"/>
      <c r="AG555" s="4"/>
      <c r="AH555" s="4"/>
      <c r="AI555" s="4"/>
      <c r="AJ555" s="4"/>
      <c r="AK555" s="4"/>
      <c r="AL555" s="4" t="s">
        <v>174</v>
      </c>
      <c r="AM555" s="4" t="s">
        <v>190</v>
      </c>
    </row>
    <row r="556" customFormat="false" ht="23.85" hidden="false" customHeight="false" outlineLevel="0" collapsed="false">
      <c r="A556" s="4" t="s">
        <v>167</v>
      </c>
      <c r="B556" s="4" t="s">
        <v>733</v>
      </c>
      <c r="C556" s="4" t="s">
        <v>733</v>
      </c>
      <c r="D556" s="12" t="n">
        <v>2020</v>
      </c>
      <c r="E556" s="4"/>
      <c r="F556" s="4" t="s">
        <v>169</v>
      </c>
      <c r="G556" s="4" t="s">
        <v>170</v>
      </c>
      <c r="H556" s="4" t="s">
        <v>171</v>
      </c>
      <c r="I556" s="4" t="s">
        <v>172</v>
      </c>
      <c r="J556" s="4" t="s">
        <v>733</v>
      </c>
      <c r="K556" s="4" t="s">
        <v>80</v>
      </c>
      <c r="L556" s="4" t="s">
        <v>81</v>
      </c>
      <c r="M556" s="4"/>
      <c r="N556" s="4"/>
      <c r="O556" s="4"/>
      <c r="P556" s="4"/>
      <c r="Q556" s="4"/>
      <c r="R556" s="4"/>
      <c r="S556" s="13" t="n">
        <v>0</v>
      </c>
      <c r="T556" s="4" t="s">
        <v>173</v>
      </c>
      <c r="U556" s="14" t="n">
        <f aca="false">IF(OR($S556="",PARAMETROS!$B$4=""),"",$S556*PARAMETROS!$B$4)</f>
        <v>0</v>
      </c>
      <c r="V556" s="13" t="n">
        <v>0</v>
      </c>
      <c r="W556" s="4"/>
      <c r="X556" s="4"/>
      <c r="Y556" s="4"/>
      <c r="Z556" s="4"/>
      <c r="AA556" s="4"/>
      <c r="AB556" s="4"/>
      <c r="AC556" s="4"/>
      <c r="AD556" s="4"/>
      <c r="AE556" s="4"/>
      <c r="AF556" s="4"/>
      <c r="AG556" s="4"/>
      <c r="AH556" s="4"/>
      <c r="AI556" s="4"/>
      <c r="AJ556" s="4"/>
      <c r="AK556" s="4"/>
      <c r="AL556" s="4" t="s">
        <v>174</v>
      </c>
      <c r="AM556" s="4" t="s">
        <v>190</v>
      </c>
    </row>
    <row r="557" customFormat="false" ht="23.85" hidden="false" customHeight="false" outlineLevel="0" collapsed="false">
      <c r="A557" s="4" t="s">
        <v>167</v>
      </c>
      <c r="B557" s="4" t="s">
        <v>734</v>
      </c>
      <c r="C557" s="4" t="s">
        <v>734</v>
      </c>
      <c r="D557" s="12" t="n">
        <v>2020</v>
      </c>
      <c r="E557" s="4"/>
      <c r="F557" s="4" t="s">
        <v>169</v>
      </c>
      <c r="G557" s="4" t="s">
        <v>170</v>
      </c>
      <c r="H557" s="4" t="s">
        <v>171</v>
      </c>
      <c r="I557" s="4" t="s">
        <v>172</v>
      </c>
      <c r="J557" s="4" t="s">
        <v>734</v>
      </c>
      <c r="K557" s="4" t="s">
        <v>80</v>
      </c>
      <c r="L557" s="4" t="s">
        <v>81</v>
      </c>
      <c r="M557" s="4"/>
      <c r="N557" s="4"/>
      <c r="O557" s="4"/>
      <c r="P557" s="4"/>
      <c r="Q557" s="4"/>
      <c r="R557" s="4"/>
      <c r="S557" s="13" t="n">
        <v>0</v>
      </c>
      <c r="T557" s="4" t="s">
        <v>173</v>
      </c>
      <c r="U557" s="14" t="n">
        <f aca="false">IF(OR($S557="",PARAMETROS!$B$4=""),"",$S557*PARAMETROS!$B$4)</f>
        <v>0</v>
      </c>
      <c r="V557" s="13" t="n">
        <v>0</v>
      </c>
      <c r="W557" s="4"/>
      <c r="X557" s="4"/>
      <c r="Y557" s="4"/>
      <c r="Z557" s="4"/>
      <c r="AA557" s="4"/>
      <c r="AB557" s="4"/>
      <c r="AC557" s="4"/>
      <c r="AD557" s="4"/>
      <c r="AE557" s="4"/>
      <c r="AF557" s="4"/>
      <c r="AG557" s="4"/>
      <c r="AH557" s="4"/>
      <c r="AI557" s="4"/>
      <c r="AJ557" s="4"/>
      <c r="AK557" s="4"/>
      <c r="AL557" s="4" t="s">
        <v>174</v>
      </c>
      <c r="AM557" s="4" t="s">
        <v>190</v>
      </c>
    </row>
    <row r="558" customFormat="false" ht="23.85" hidden="false" customHeight="false" outlineLevel="0" collapsed="false">
      <c r="A558" s="4" t="s">
        <v>167</v>
      </c>
      <c r="B558" s="4" t="s">
        <v>735</v>
      </c>
      <c r="C558" s="4" t="s">
        <v>735</v>
      </c>
      <c r="D558" s="12" t="n">
        <v>2020</v>
      </c>
      <c r="E558" s="4"/>
      <c r="F558" s="4" t="s">
        <v>169</v>
      </c>
      <c r="G558" s="4" t="s">
        <v>170</v>
      </c>
      <c r="H558" s="4" t="s">
        <v>171</v>
      </c>
      <c r="I558" s="4" t="s">
        <v>172</v>
      </c>
      <c r="J558" s="4" t="s">
        <v>735</v>
      </c>
      <c r="K558" s="4" t="s">
        <v>80</v>
      </c>
      <c r="L558" s="4" t="s">
        <v>81</v>
      </c>
      <c r="M558" s="4"/>
      <c r="N558" s="4"/>
      <c r="O558" s="4"/>
      <c r="P558" s="4"/>
      <c r="Q558" s="4"/>
      <c r="R558" s="4"/>
      <c r="S558" s="13" t="n">
        <v>0</v>
      </c>
      <c r="T558" s="4" t="s">
        <v>173</v>
      </c>
      <c r="U558" s="14" t="n">
        <f aca="false">IF(OR($S558="",PARAMETROS!$B$4=""),"",$S558*PARAMETROS!$B$4)</f>
        <v>0</v>
      </c>
      <c r="V558" s="13" t="n">
        <v>0</v>
      </c>
      <c r="W558" s="4"/>
      <c r="X558" s="4"/>
      <c r="Y558" s="4"/>
      <c r="Z558" s="4"/>
      <c r="AA558" s="4"/>
      <c r="AB558" s="4"/>
      <c r="AC558" s="4"/>
      <c r="AD558" s="4"/>
      <c r="AE558" s="4"/>
      <c r="AF558" s="4"/>
      <c r="AG558" s="4"/>
      <c r="AH558" s="4"/>
      <c r="AI558" s="4"/>
      <c r="AJ558" s="4"/>
      <c r="AK558" s="4"/>
      <c r="AL558" s="4" t="s">
        <v>174</v>
      </c>
      <c r="AM558" s="4" t="s">
        <v>190</v>
      </c>
    </row>
    <row r="559" customFormat="false" ht="23.85" hidden="false" customHeight="false" outlineLevel="0" collapsed="false">
      <c r="A559" s="4" t="s">
        <v>167</v>
      </c>
      <c r="B559" s="4" t="s">
        <v>736</v>
      </c>
      <c r="C559" s="4" t="s">
        <v>736</v>
      </c>
      <c r="D559" s="12" t="n">
        <v>2020</v>
      </c>
      <c r="E559" s="4"/>
      <c r="F559" s="4" t="s">
        <v>169</v>
      </c>
      <c r="G559" s="4" t="s">
        <v>170</v>
      </c>
      <c r="H559" s="4" t="s">
        <v>171</v>
      </c>
      <c r="I559" s="4" t="s">
        <v>172</v>
      </c>
      <c r="J559" s="4" t="s">
        <v>736</v>
      </c>
      <c r="K559" s="4" t="s">
        <v>80</v>
      </c>
      <c r="L559" s="4" t="s">
        <v>81</v>
      </c>
      <c r="M559" s="4"/>
      <c r="N559" s="4"/>
      <c r="O559" s="4"/>
      <c r="P559" s="4"/>
      <c r="Q559" s="4"/>
      <c r="R559" s="4"/>
      <c r="S559" s="13" t="n">
        <v>0</v>
      </c>
      <c r="T559" s="4" t="s">
        <v>173</v>
      </c>
      <c r="U559" s="14" t="n">
        <f aca="false">IF(OR($S559="",PARAMETROS!$B$4=""),"",$S559*PARAMETROS!$B$4)</f>
        <v>0</v>
      </c>
      <c r="V559" s="13" t="n">
        <v>0</v>
      </c>
      <c r="W559" s="4"/>
      <c r="X559" s="4"/>
      <c r="Y559" s="4"/>
      <c r="Z559" s="4"/>
      <c r="AA559" s="4"/>
      <c r="AB559" s="4"/>
      <c r="AC559" s="4"/>
      <c r="AD559" s="4"/>
      <c r="AE559" s="4"/>
      <c r="AF559" s="4"/>
      <c r="AG559" s="4"/>
      <c r="AH559" s="4"/>
      <c r="AI559" s="4"/>
      <c r="AJ559" s="4"/>
      <c r="AK559" s="4"/>
      <c r="AL559" s="4" t="s">
        <v>174</v>
      </c>
      <c r="AM559" s="4" t="s">
        <v>190</v>
      </c>
    </row>
    <row r="560" customFormat="false" ht="23.85" hidden="false" customHeight="false" outlineLevel="0" collapsed="false">
      <c r="A560" s="4" t="s">
        <v>167</v>
      </c>
      <c r="B560" s="4" t="s">
        <v>737</v>
      </c>
      <c r="C560" s="4" t="s">
        <v>737</v>
      </c>
      <c r="D560" s="12" t="n">
        <v>2020</v>
      </c>
      <c r="E560" s="4"/>
      <c r="F560" s="4" t="s">
        <v>169</v>
      </c>
      <c r="G560" s="4" t="s">
        <v>170</v>
      </c>
      <c r="H560" s="4" t="s">
        <v>171</v>
      </c>
      <c r="I560" s="4" t="s">
        <v>172</v>
      </c>
      <c r="J560" s="4" t="s">
        <v>737</v>
      </c>
      <c r="K560" s="4" t="s">
        <v>80</v>
      </c>
      <c r="L560" s="4" t="s">
        <v>81</v>
      </c>
      <c r="M560" s="4"/>
      <c r="N560" s="4"/>
      <c r="O560" s="4"/>
      <c r="P560" s="4"/>
      <c r="Q560" s="4"/>
      <c r="R560" s="4"/>
      <c r="S560" s="13" t="n">
        <v>0</v>
      </c>
      <c r="T560" s="4" t="s">
        <v>173</v>
      </c>
      <c r="U560" s="14" t="n">
        <f aca="false">IF(OR($S560="",PARAMETROS!$B$4=""),"",$S560*PARAMETROS!$B$4)</f>
        <v>0</v>
      </c>
      <c r="V560" s="13" t="n">
        <v>0</v>
      </c>
      <c r="W560" s="4"/>
      <c r="X560" s="4"/>
      <c r="Y560" s="4"/>
      <c r="Z560" s="4"/>
      <c r="AA560" s="4"/>
      <c r="AB560" s="4"/>
      <c r="AC560" s="4"/>
      <c r="AD560" s="4"/>
      <c r="AE560" s="4"/>
      <c r="AF560" s="4"/>
      <c r="AG560" s="4"/>
      <c r="AH560" s="4"/>
      <c r="AI560" s="4"/>
      <c r="AJ560" s="4"/>
      <c r="AK560" s="4"/>
      <c r="AL560" s="4" t="s">
        <v>174</v>
      </c>
      <c r="AM560" s="4" t="s">
        <v>190</v>
      </c>
    </row>
    <row r="561" customFormat="false" ht="23.85" hidden="false" customHeight="false" outlineLevel="0" collapsed="false">
      <c r="A561" s="4" t="s">
        <v>167</v>
      </c>
      <c r="B561" s="4" t="s">
        <v>738</v>
      </c>
      <c r="C561" s="4" t="s">
        <v>738</v>
      </c>
      <c r="D561" s="12" t="n">
        <v>2020</v>
      </c>
      <c r="E561" s="4"/>
      <c r="F561" s="4" t="s">
        <v>169</v>
      </c>
      <c r="G561" s="4" t="s">
        <v>170</v>
      </c>
      <c r="H561" s="4" t="s">
        <v>171</v>
      </c>
      <c r="I561" s="4" t="s">
        <v>172</v>
      </c>
      <c r="J561" s="4" t="s">
        <v>738</v>
      </c>
      <c r="K561" s="4" t="s">
        <v>80</v>
      </c>
      <c r="L561" s="4" t="s">
        <v>81</v>
      </c>
      <c r="M561" s="4"/>
      <c r="N561" s="4"/>
      <c r="O561" s="4"/>
      <c r="P561" s="4"/>
      <c r="Q561" s="4"/>
      <c r="R561" s="4"/>
      <c r="S561" s="13" t="n">
        <v>0</v>
      </c>
      <c r="T561" s="4" t="s">
        <v>173</v>
      </c>
      <c r="U561" s="14" t="n">
        <f aca="false">IF(OR($S561="",PARAMETROS!$B$4=""),"",$S561*PARAMETROS!$B$4)</f>
        <v>0</v>
      </c>
      <c r="V561" s="13" t="n">
        <v>0</v>
      </c>
      <c r="W561" s="4"/>
      <c r="X561" s="4"/>
      <c r="Y561" s="4"/>
      <c r="Z561" s="4"/>
      <c r="AA561" s="4"/>
      <c r="AB561" s="4"/>
      <c r="AC561" s="4"/>
      <c r="AD561" s="4"/>
      <c r="AE561" s="4"/>
      <c r="AF561" s="4"/>
      <c r="AG561" s="4"/>
      <c r="AH561" s="4"/>
      <c r="AI561" s="4"/>
      <c r="AJ561" s="4"/>
      <c r="AK561" s="4"/>
      <c r="AL561" s="4" t="s">
        <v>174</v>
      </c>
      <c r="AM561" s="4" t="s">
        <v>190</v>
      </c>
    </row>
    <row r="562" customFormat="false" ht="23.85" hidden="false" customHeight="false" outlineLevel="0" collapsed="false">
      <c r="A562" s="4" t="s">
        <v>167</v>
      </c>
      <c r="B562" s="4" t="s">
        <v>739</v>
      </c>
      <c r="C562" s="4" t="s">
        <v>739</v>
      </c>
      <c r="D562" s="12" t="n">
        <v>2020</v>
      </c>
      <c r="E562" s="4"/>
      <c r="F562" s="4" t="s">
        <v>169</v>
      </c>
      <c r="G562" s="4" t="s">
        <v>170</v>
      </c>
      <c r="H562" s="4" t="s">
        <v>171</v>
      </c>
      <c r="I562" s="4" t="s">
        <v>172</v>
      </c>
      <c r="J562" s="4" t="s">
        <v>739</v>
      </c>
      <c r="K562" s="4" t="s">
        <v>84</v>
      </c>
      <c r="L562" s="4" t="s">
        <v>85</v>
      </c>
      <c r="M562" s="4"/>
      <c r="N562" s="4"/>
      <c r="O562" s="4"/>
      <c r="P562" s="4"/>
      <c r="Q562" s="4"/>
      <c r="R562" s="4"/>
      <c r="S562" s="13" t="n">
        <v>4590.21</v>
      </c>
      <c r="T562" s="4" t="s">
        <v>173</v>
      </c>
      <c r="U562" s="14" t="n">
        <f aca="false">IF(OR($S562="",PARAMETROS!$B$4=""),"",$S562*PARAMETROS!$B$4)</f>
        <v>26669.1201</v>
      </c>
      <c r="V562" s="13" t="n">
        <v>0</v>
      </c>
      <c r="W562" s="4"/>
      <c r="X562" s="4"/>
      <c r="Y562" s="4"/>
      <c r="Z562" s="4"/>
      <c r="AA562" s="4"/>
      <c r="AB562" s="4"/>
      <c r="AC562" s="4"/>
      <c r="AD562" s="4"/>
      <c r="AE562" s="4"/>
      <c r="AF562" s="4"/>
      <c r="AG562" s="4"/>
      <c r="AH562" s="4"/>
      <c r="AI562" s="4"/>
      <c r="AJ562" s="4"/>
      <c r="AK562" s="4"/>
      <c r="AL562" s="4" t="s">
        <v>174</v>
      </c>
      <c r="AM562" s="4" t="s">
        <v>190</v>
      </c>
    </row>
    <row r="563" customFormat="false" ht="23.85" hidden="false" customHeight="false" outlineLevel="0" collapsed="false">
      <c r="A563" s="4" t="s">
        <v>167</v>
      </c>
      <c r="B563" s="4" t="s">
        <v>740</v>
      </c>
      <c r="C563" s="4" t="s">
        <v>740</v>
      </c>
      <c r="D563" s="12" t="n">
        <v>2020</v>
      </c>
      <c r="E563" s="4"/>
      <c r="F563" s="4" t="s">
        <v>169</v>
      </c>
      <c r="G563" s="4" t="s">
        <v>170</v>
      </c>
      <c r="H563" s="4" t="s">
        <v>171</v>
      </c>
      <c r="I563" s="4" t="s">
        <v>172</v>
      </c>
      <c r="J563" s="4" t="s">
        <v>740</v>
      </c>
      <c r="K563" s="4" t="s">
        <v>84</v>
      </c>
      <c r="L563" s="4" t="s">
        <v>85</v>
      </c>
      <c r="M563" s="4"/>
      <c r="N563" s="4"/>
      <c r="O563" s="4"/>
      <c r="P563" s="4"/>
      <c r="Q563" s="4"/>
      <c r="R563" s="4"/>
      <c r="S563" s="13" t="n">
        <v>0</v>
      </c>
      <c r="T563" s="4" t="s">
        <v>173</v>
      </c>
      <c r="U563" s="14" t="n">
        <f aca="false">IF(OR($S563="",PARAMETROS!$B$4=""),"",$S563*PARAMETROS!$B$4)</f>
        <v>0</v>
      </c>
      <c r="V563" s="13" t="n">
        <v>0</v>
      </c>
      <c r="W563" s="4"/>
      <c r="X563" s="4"/>
      <c r="Y563" s="4"/>
      <c r="Z563" s="4"/>
      <c r="AA563" s="4"/>
      <c r="AB563" s="4"/>
      <c r="AC563" s="4"/>
      <c r="AD563" s="4"/>
      <c r="AE563" s="4"/>
      <c r="AF563" s="4"/>
      <c r="AG563" s="4"/>
      <c r="AH563" s="4"/>
      <c r="AI563" s="4"/>
      <c r="AJ563" s="4"/>
      <c r="AK563" s="4"/>
      <c r="AL563" s="4" t="s">
        <v>174</v>
      </c>
      <c r="AM563" s="4" t="s">
        <v>190</v>
      </c>
    </row>
    <row r="564" customFormat="false" ht="23.85" hidden="false" customHeight="false" outlineLevel="0" collapsed="false">
      <c r="A564" s="4" t="s">
        <v>167</v>
      </c>
      <c r="B564" s="4" t="s">
        <v>741</v>
      </c>
      <c r="C564" s="4" t="s">
        <v>741</v>
      </c>
      <c r="D564" s="12" t="n">
        <v>2020</v>
      </c>
      <c r="E564" s="4"/>
      <c r="F564" s="4" t="s">
        <v>169</v>
      </c>
      <c r="G564" s="4" t="s">
        <v>170</v>
      </c>
      <c r="H564" s="4" t="s">
        <v>171</v>
      </c>
      <c r="I564" s="4" t="s">
        <v>172</v>
      </c>
      <c r="J564" s="4" t="s">
        <v>741</v>
      </c>
      <c r="K564" s="4" t="s">
        <v>84</v>
      </c>
      <c r="L564" s="4" t="s">
        <v>85</v>
      </c>
      <c r="M564" s="4"/>
      <c r="N564" s="4"/>
      <c r="O564" s="4"/>
      <c r="P564" s="4"/>
      <c r="Q564" s="4"/>
      <c r="R564" s="4"/>
      <c r="S564" s="13" t="n">
        <v>0</v>
      </c>
      <c r="T564" s="4" t="s">
        <v>173</v>
      </c>
      <c r="U564" s="14" t="n">
        <f aca="false">IF(OR($S564="",PARAMETROS!$B$4=""),"",$S564*PARAMETROS!$B$4)</f>
        <v>0</v>
      </c>
      <c r="V564" s="13" t="n">
        <v>0</v>
      </c>
      <c r="W564" s="4"/>
      <c r="X564" s="4"/>
      <c r="Y564" s="4"/>
      <c r="Z564" s="4"/>
      <c r="AA564" s="4"/>
      <c r="AB564" s="4"/>
      <c r="AC564" s="4"/>
      <c r="AD564" s="4"/>
      <c r="AE564" s="4"/>
      <c r="AF564" s="4"/>
      <c r="AG564" s="4"/>
      <c r="AH564" s="4"/>
      <c r="AI564" s="4"/>
      <c r="AJ564" s="4"/>
      <c r="AK564" s="4"/>
      <c r="AL564" s="4" t="s">
        <v>174</v>
      </c>
      <c r="AM564" s="4" t="s">
        <v>190</v>
      </c>
    </row>
    <row r="565" customFormat="false" ht="23.85" hidden="false" customHeight="false" outlineLevel="0" collapsed="false">
      <c r="A565" s="4" t="s">
        <v>167</v>
      </c>
      <c r="B565" s="4" t="s">
        <v>742</v>
      </c>
      <c r="C565" s="4" t="s">
        <v>742</v>
      </c>
      <c r="D565" s="12" t="n">
        <v>2020</v>
      </c>
      <c r="E565" s="4"/>
      <c r="F565" s="4" t="s">
        <v>169</v>
      </c>
      <c r="G565" s="4" t="s">
        <v>170</v>
      </c>
      <c r="H565" s="4" t="s">
        <v>171</v>
      </c>
      <c r="I565" s="4" t="s">
        <v>172</v>
      </c>
      <c r="J565" s="4" t="s">
        <v>742</v>
      </c>
      <c r="K565" s="4" t="s">
        <v>84</v>
      </c>
      <c r="L565" s="4" t="s">
        <v>85</v>
      </c>
      <c r="M565" s="4"/>
      <c r="N565" s="4"/>
      <c r="O565" s="4"/>
      <c r="P565" s="4"/>
      <c r="Q565" s="4"/>
      <c r="R565" s="4"/>
      <c r="S565" s="13" t="n">
        <v>0</v>
      </c>
      <c r="T565" s="4" t="s">
        <v>173</v>
      </c>
      <c r="U565" s="14" t="n">
        <f aca="false">IF(OR($S565="",PARAMETROS!$B$4=""),"",$S565*PARAMETROS!$B$4)</f>
        <v>0</v>
      </c>
      <c r="V565" s="13" t="n">
        <v>0</v>
      </c>
      <c r="W565" s="4"/>
      <c r="X565" s="4"/>
      <c r="Y565" s="4"/>
      <c r="Z565" s="4"/>
      <c r="AA565" s="4"/>
      <c r="AB565" s="4"/>
      <c r="AC565" s="4"/>
      <c r="AD565" s="4"/>
      <c r="AE565" s="4"/>
      <c r="AF565" s="4"/>
      <c r="AG565" s="4"/>
      <c r="AH565" s="4"/>
      <c r="AI565" s="4"/>
      <c r="AJ565" s="4"/>
      <c r="AK565" s="4"/>
      <c r="AL565" s="4" t="s">
        <v>174</v>
      </c>
      <c r="AM565" s="4" t="s">
        <v>190</v>
      </c>
    </row>
    <row r="566" customFormat="false" ht="23.85" hidden="false" customHeight="false" outlineLevel="0" collapsed="false">
      <c r="A566" s="4" t="s">
        <v>167</v>
      </c>
      <c r="B566" s="4" t="s">
        <v>743</v>
      </c>
      <c r="C566" s="4" t="s">
        <v>743</v>
      </c>
      <c r="D566" s="12" t="n">
        <v>2020</v>
      </c>
      <c r="E566" s="4"/>
      <c r="F566" s="4" t="s">
        <v>169</v>
      </c>
      <c r="G566" s="4" t="s">
        <v>170</v>
      </c>
      <c r="H566" s="4" t="s">
        <v>171</v>
      </c>
      <c r="I566" s="4" t="s">
        <v>172</v>
      </c>
      <c r="J566" s="4" t="s">
        <v>743</v>
      </c>
      <c r="K566" s="4" t="s">
        <v>84</v>
      </c>
      <c r="L566" s="4" t="s">
        <v>85</v>
      </c>
      <c r="M566" s="4"/>
      <c r="N566" s="4"/>
      <c r="O566" s="4"/>
      <c r="P566" s="4"/>
      <c r="Q566" s="4"/>
      <c r="R566" s="4"/>
      <c r="S566" s="13" t="n">
        <v>0</v>
      </c>
      <c r="T566" s="4" t="s">
        <v>173</v>
      </c>
      <c r="U566" s="14" t="n">
        <f aca="false">IF(OR($S566="",PARAMETROS!$B$4=""),"",$S566*PARAMETROS!$B$4)</f>
        <v>0</v>
      </c>
      <c r="V566" s="13" t="n">
        <v>0</v>
      </c>
      <c r="W566" s="4"/>
      <c r="X566" s="4"/>
      <c r="Y566" s="4"/>
      <c r="Z566" s="4"/>
      <c r="AA566" s="4"/>
      <c r="AB566" s="4"/>
      <c r="AC566" s="4"/>
      <c r="AD566" s="4"/>
      <c r="AE566" s="4"/>
      <c r="AF566" s="4"/>
      <c r="AG566" s="4"/>
      <c r="AH566" s="4"/>
      <c r="AI566" s="4"/>
      <c r="AJ566" s="4"/>
      <c r="AK566" s="4"/>
      <c r="AL566" s="4" t="s">
        <v>174</v>
      </c>
      <c r="AM566" s="4" t="s">
        <v>190</v>
      </c>
    </row>
    <row r="567" customFormat="false" ht="23.85" hidden="false" customHeight="false" outlineLevel="0" collapsed="false">
      <c r="A567" s="4" t="s">
        <v>167</v>
      </c>
      <c r="B567" s="4" t="s">
        <v>744</v>
      </c>
      <c r="C567" s="4" t="s">
        <v>744</v>
      </c>
      <c r="D567" s="12" t="n">
        <v>2020</v>
      </c>
      <c r="E567" s="4"/>
      <c r="F567" s="4" t="s">
        <v>169</v>
      </c>
      <c r="G567" s="4" t="s">
        <v>170</v>
      </c>
      <c r="H567" s="4" t="s">
        <v>171</v>
      </c>
      <c r="I567" s="4" t="s">
        <v>172</v>
      </c>
      <c r="J567" s="4" t="s">
        <v>744</v>
      </c>
      <c r="K567" s="4" t="s">
        <v>84</v>
      </c>
      <c r="L567" s="4" t="s">
        <v>85</v>
      </c>
      <c r="M567" s="4"/>
      <c r="N567" s="4"/>
      <c r="O567" s="4"/>
      <c r="P567" s="4"/>
      <c r="Q567" s="4"/>
      <c r="R567" s="4"/>
      <c r="S567" s="13" t="n">
        <v>-4570.22</v>
      </c>
      <c r="T567" s="4" t="s">
        <v>173</v>
      </c>
      <c r="U567" s="14" t="n">
        <f aca="false">IF(OR($S567="",PARAMETROS!$B$4=""),"",$S567*PARAMETROS!$B$4)</f>
        <v>-26552.9782</v>
      </c>
      <c r="V567" s="13" t="n">
        <v>0</v>
      </c>
      <c r="W567" s="4"/>
      <c r="X567" s="4"/>
      <c r="Y567" s="4"/>
      <c r="Z567" s="4"/>
      <c r="AA567" s="4"/>
      <c r="AB567" s="4"/>
      <c r="AC567" s="4"/>
      <c r="AD567" s="4"/>
      <c r="AE567" s="4"/>
      <c r="AF567" s="4"/>
      <c r="AG567" s="4"/>
      <c r="AH567" s="4"/>
      <c r="AI567" s="4"/>
      <c r="AJ567" s="4"/>
      <c r="AK567" s="4"/>
      <c r="AL567" s="4" t="s">
        <v>174</v>
      </c>
      <c r="AM567" s="4" t="s">
        <v>190</v>
      </c>
    </row>
    <row r="568" customFormat="false" ht="23.85" hidden="false" customHeight="false" outlineLevel="0" collapsed="false">
      <c r="A568" s="4" t="s">
        <v>167</v>
      </c>
      <c r="B568" s="4" t="s">
        <v>745</v>
      </c>
      <c r="C568" s="4" t="s">
        <v>745</v>
      </c>
      <c r="D568" s="12" t="n">
        <v>2020</v>
      </c>
      <c r="E568" s="4"/>
      <c r="F568" s="4" t="s">
        <v>169</v>
      </c>
      <c r="G568" s="4" t="s">
        <v>170</v>
      </c>
      <c r="H568" s="4" t="s">
        <v>171</v>
      </c>
      <c r="I568" s="4" t="s">
        <v>172</v>
      </c>
      <c r="J568" s="4" t="s">
        <v>745</v>
      </c>
      <c r="K568" s="4" t="s">
        <v>84</v>
      </c>
      <c r="L568" s="4" t="s">
        <v>85</v>
      </c>
      <c r="M568" s="4"/>
      <c r="N568" s="4"/>
      <c r="O568" s="4"/>
      <c r="P568" s="4"/>
      <c r="Q568" s="4"/>
      <c r="R568" s="4"/>
      <c r="S568" s="13" t="n">
        <v>-19.99</v>
      </c>
      <c r="T568" s="4" t="s">
        <v>173</v>
      </c>
      <c r="U568" s="14" t="n">
        <f aca="false">IF(OR($S568="",PARAMETROS!$B$4=""),"",$S568*PARAMETROS!$B$4)</f>
        <v>-116.1419</v>
      </c>
      <c r="V568" s="13" t="n">
        <v>0</v>
      </c>
      <c r="W568" s="4"/>
      <c r="X568" s="4"/>
      <c r="Y568" s="4"/>
      <c r="Z568" s="4"/>
      <c r="AA568" s="4"/>
      <c r="AB568" s="4"/>
      <c r="AC568" s="4"/>
      <c r="AD568" s="4"/>
      <c r="AE568" s="4"/>
      <c r="AF568" s="4"/>
      <c r="AG568" s="4"/>
      <c r="AH568" s="4"/>
      <c r="AI568" s="4"/>
      <c r="AJ568" s="4"/>
      <c r="AK568" s="4"/>
      <c r="AL568" s="4" t="s">
        <v>174</v>
      </c>
      <c r="AM568" s="4" t="s">
        <v>190</v>
      </c>
    </row>
    <row r="569" customFormat="false" ht="23.85" hidden="false" customHeight="false" outlineLevel="0" collapsed="false">
      <c r="A569" s="4" t="s">
        <v>167</v>
      </c>
      <c r="B569" s="4" t="s">
        <v>746</v>
      </c>
      <c r="C569" s="4" t="s">
        <v>746</v>
      </c>
      <c r="D569" s="12" t="n">
        <v>2020</v>
      </c>
      <c r="E569" s="4"/>
      <c r="F569" s="4" t="s">
        <v>169</v>
      </c>
      <c r="G569" s="4" t="s">
        <v>170</v>
      </c>
      <c r="H569" s="4" t="s">
        <v>171</v>
      </c>
      <c r="I569" s="4" t="s">
        <v>172</v>
      </c>
      <c r="J569" s="4" t="s">
        <v>746</v>
      </c>
      <c r="K569" s="4" t="s">
        <v>84</v>
      </c>
      <c r="L569" s="4" t="s">
        <v>85</v>
      </c>
      <c r="M569" s="4"/>
      <c r="N569" s="4"/>
      <c r="O569" s="4"/>
      <c r="P569" s="4"/>
      <c r="Q569" s="4"/>
      <c r="R569" s="4"/>
      <c r="S569" s="13" t="n">
        <v>0</v>
      </c>
      <c r="T569" s="4" t="s">
        <v>173</v>
      </c>
      <c r="U569" s="14" t="n">
        <f aca="false">IF(OR($S569="",PARAMETROS!$B$4=""),"",$S569*PARAMETROS!$B$4)</f>
        <v>0</v>
      </c>
      <c r="V569" s="13" t="n">
        <v>0</v>
      </c>
      <c r="W569" s="4"/>
      <c r="X569" s="4"/>
      <c r="Y569" s="4"/>
      <c r="Z569" s="4"/>
      <c r="AA569" s="4"/>
      <c r="AB569" s="4"/>
      <c r="AC569" s="4"/>
      <c r="AD569" s="4"/>
      <c r="AE569" s="4"/>
      <c r="AF569" s="4"/>
      <c r="AG569" s="4"/>
      <c r="AH569" s="4"/>
      <c r="AI569" s="4"/>
      <c r="AJ569" s="4"/>
      <c r="AK569" s="4"/>
      <c r="AL569" s="4" t="s">
        <v>174</v>
      </c>
      <c r="AM569" s="4" t="s">
        <v>190</v>
      </c>
    </row>
    <row r="570" customFormat="false" ht="23.85" hidden="false" customHeight="false" outlineLevel="0" collapsed="false">
      <c r="A570" s="4" t="s">
        <v>167</v>
      </c>
      <c r="B570" s="4" t="s">
        <v>747</v>
      </c>
      <c r="C570" s="4" t="s">
        <v>747</v>
      </c>
      <c r="D570" s="12" t="n">
        <v>2020</v>
      </c>
      <c r="E570" s="4"/>
      <c r="F570" s="4" t="s">
        <v>169</v>
      </c>
      <c r="G570" s="4" t="s">
        <v>170</v>
      </c>
      <c r="H570" s="4" t="s">
        <v>171</v>
      </c>
      <c r="I570" s="4" t="s">
        <v>172</v>
      </c>
      <c r="J570" s="4" t="s">
        <v>747</v>
      </c>
      <c r="K570" s="4" t="s">
        <v>84</v>
      </c>
      <c r="L570" s="4" t="s">
        <v>85</v>
      </c>
      <c r="M570" s="4"/>
      <c r="N570" s="4"/>
      <c r="O570" s="4"/>
      <c r="P570" s="4"/>
      <c r="Q570" s="4"/>
      <c r="R570" s="4"/>
      <c r="S570" s="13" t="n">
        <v>0</v>
      </c>
      <c r="T570" s="4" t="s">
        <v>173</v>
      </c>
      <c r="U570" s="14" t="n">
        <f aca="false">IF(OR($S570="",PARAMETROS!$B$4=""),"",$S570*PARAMETROS!$B$4)</f>
        <v>0</v>
      </c>
      <c r="V570" s="13" t="n">
        <v>0</v>
      </c>
      <c r="W570" s="4"/>
      <c r="X570" s="4"/>
      <c r="Y570" s="4"/>
      <c r="Z570" s="4"/>
      <c r="AA570" s="4"/>
      <c r="AB570" s="4"/>
      <c r="AC570" s="4"/>
      <c r="AD570" s="4"/>
      <c r="AE570" s="4"/>
      <c r="AF570" s="4"/>
      <c r="AG570" s="4"/>
      <c r="AH570" s="4"/>
      <c r="AI570" s="4"/>
      <c r="AJ570" s="4"/>
      <c r="AK570" s="4"/>
      <c r="AL570" s="4" t="s">
        <v>174</v>
      </c>
      <c r="AM570" s="4" t="s">
        <v>190</v>
      </c>
    </row>
    <row r="571" customFormat="false" ht="23.85" hidden="false" customHeight="false" outlineLevel="0" collapsed="false">
      <c r="A571" s="4" t="s">
        <v>167</v>
      </c>
      <c r="B571" s="4" t="s">
        <v>748</v>
      </c>
      <c r="C571" s="4" t="s">
        <v>748</v>
      </c>
      <c r="D571" s="12" t="n">
        <v>2020</v>
      </c>
      <c r="E571" s="4"/>
      <c r="F571" s="4" t="s">
        <v>169</v>
      </c>
      <c r="G571" s="4" t="s">
        <v>170</v>
      </c>
      <c r="H571" s="4" t="s">
        <v>171</v>
      </c>
      <c r="I571" s="4" t="s">
        <v>172</v>
      </c>
      <c r="J571" s="4" t="s">
        <v>748</v>
      </c>
      <c r="K571" s="4" t="s">
        <v>84</v>
      </c>
      <c r="L571" s="4" t="s">
        <v>85</v>
      </c>
      <c r="M571" s="4"/>
      <c r="N571" s="4"/>
      <c r="O571" s="4"/>
      <c r="P571" s="4"/>
      <c r="Q571" s="4"/>
      <c r="R571" s="4"/>
      <c r="S571" s="13" t="n">
        <v>0</v>
      </c>
      <c r="T571" s="4" t="s">
        <v>173</v>
      </c>
      <c r="U571" s="14" t="n">
        <f aca="false">IF(OR($S571="",PARAMETROS!$B$4=""),"",$S571*PARAMETROS!$B$4)</f>
        <v>0</v>
      </c>
      <c r="V571" s="13" t="n">
        <v>0</v>
      </c>
      <c r="W571" s="4"/>
      <c r="X571" s="4"/>
      <c r="Y571" s="4"/>
      <c r="Z571" s="4"/>
      <c r="AA571" s="4"/>
      <c r="AB571" s="4"/>
      <c r="AC571" s="4"/>
      <c r="AD571" s="4"/>
      <c r="AE571" s="4"/>
      <c r="AF571" s="4"/>
      <c r="AG571" s="4"/>
      <c r="AH571" s="4"/>
      <c r="AI571" s="4"/>
      <c r="AJ571" s="4"/>
      <c r="AK571" s="4"/>
      <c r="AL571" s="4" t="s">
        <v>174</v>
      </c>
      <c r="AM571" s="4" t="s">
        <v>190</v>
      </c>
    </row>
    <row r="572" customFormat="false" ht="23.85" hidden="false" customHeight="false" outlineLevel="0" collapsed="false">
      <c r="A572" s="4" t="s">
        <v>167</v>
      </c>
      <c r="B572" s="4" t="s">
        <v>749</v>
      </c>
      <c r="C572" s="4" t="s">
        <v>749</v>
      </c>
      <c r="D572" s="12" t="n">
        <v>2020</v>
      </c>
      <c r="E572" s="4"/>
      <c r="F572" s="4" t="s">
        <v>169</v>
      </c>
      <c r="G572" s="4" t="s">
        <v>170</v>
      </c>
      <c r="H572" s="4" t="s">
        <v>171</v>
      </c>
      <c r="I572" s="4" t="s">
        <v>172</v>
      </c>
      <c r="J572" s="4" t="s">
        <v>749</v>
      </c>
      <c r="K572" s="4" t="s">
        <v>84</v>
      </c>
      <c r="L572" s="4" t="s">
        <v>85</v>
      </c>
      <c r="M572" s="4"/>
      <c r="N572" s="4"/>
      <c r="O572" s="4"/>
      <c r="P572" s="4"/>
      <c r="Q572" s="4"/>
      <c r="R572" s="4"/>
      <c r="S572" s="13" t="n">
        <v>0</v>
      </c>
      <c r="T572" s="4" t="s">
        <v>173</v>
      </c>
      <c r="U572" s="14" t="n">
        <f aca="false">IF(OR($S572="",PARAMETROS!$B$4=""),"",$S572*PARAMETROS!$B$4)</f>
        <v>0</v>
      </c>
      <c r="V572" s="13" t="n">
        <v>0</v>
      </c>
      <c r="W572" s="4"/>
      <c r="X572" s="4"/>
      <c r="Y572" s="4"/>
      <c r="Z572" s="4"/>
      <c r="AA572" s="4"/>
      <c r="AB572" s="4"/>
      <c r="AC572" s="4"/>
      <c r="AD572" s="4"/>
      <c r="AE572" s="4"/>
      <c r="AF572" s="4"/>
      <c r="AG572" s="4"/>
      <c r="AH572" s="4"/>
      <c r="AI572" s="4"/>
      <c r="AJ572" s="4"/>
      <c r="AK572" s="4"/>
      <c r="AL572" s="4" t="s">
        <v>174</v>
      </c>
      <c r="AM572" s="4" t="s">
        <v>190</v>
      </c>
    </row>
    <row r="573" customFormat="false" ht="23.85" hidden="false" customHeight="false" outlineLevel="0" collapsed="false">
      <c r="A573" s="4" t="s">
        <v>167</v>
      </c>
      <c r="B573" s="4" t="s">
        <v>750</v>
      </c>
      <c r="C573" s="4" t="s">
        <v>750</v>
      </c>
      <c r="D573" s="12" t="n">
        <v>2020</v>
      </c>
      <c r="E573" s="4"/>
      <c r="F573" s="4" t="s">
        <v>169</v>
      </c>
      <c r="G573" s="4" t="s">
        <v>170</v>
      </c>
      <c r="H573" s="4" t="s">
        <v>171</v>
      </c>
      <c r="I573" s="4" t="s">
        <v>172</v>
      </c>
      <c r="J573" s="4" t="s">
        <v>750</v>
      </c>
      <c r="K573" s="4" t="s">
        <v>84</v>
      </c>
      <c r="L573" s="4" t="s">
        <v>85</v>
      </c>
      <c r="M573" s="4"/>
      <c r="N573" s="4"/>
      <c r="O573" s="4"/>
      <c r="P573" s="4"/>
      <c r="Q573" s="4"/>
      <c r="R573" s="4"/>
      <c r="S573" s="13" t="n">
        <v>0</v>
      </c>
      <c r="T573" s="4" t="s">
        <v>173</v>
      </c>
      <c r="U573" s="14" t="n">
        <f aca="false">IF(OR($S573="",PARAMETROS!$B$4=""),"",$S573*PARAMETROS!$B$4)</f>
        <v>0</v>
      </c>
      <c r="V573" s="13" t="n">
        <v>0</v>
      </c>
      <c r="W573" s="4"/>
      <c r="X573" s="4"/>
      <c r="Y573" s="4"/>
      <c r="Z573" s="4"/>
      <c r="AA573" s="4"/>
      <c r="AB573" s="4"/>
      <c r="AC573" s="4"/>
      <c r="AD573" s="4"/>
      <c r="AE573" s="4"/>
      <c r="AF573" s="4"/>
      <c r="AG573" s="4"/>
      <c r="AH573" s="4"/>
      <c r="AI573" s="4"/>
      <c r="AJ573" s="4"/>
      <c r="AK573" s="4"/>
      <c r="AL573" s="4" t="s">
        <v>174</v>
      </c>
      <c r="AM573" s="4" t="s">
        <v>190</v>
      </c>
    </row>
    <row r="574" customFormat="false" ht="23.85" hidden="false" customHeight="false" outlineLevel="0" collapsed="false">
      <c r="A574" s="4" t="s">
        <v>167</v>
      </c>
      <c r="B574" s="4" t="s">
        <v>751</v>
      </c>
      <c r="C574" s="4" t="s">
        <v>751</v>
      </c>
      <c r="D574" s="12" t="n">
        <v>2020</v>
      </c>
      <c r="E574" s="4"/>
      <c r="F574" s="4" t="s">
        <v>169</v>
      </c>
      <c r="G574" s="4" t="s">
        <v>170</v>
      </c>
      <c r="H574" s="4" t="s">
        <v>171</v>
      </c>
      <c r="I574" s="4" t="s">
        <v>172</v>
      </c>
      <c r="J574" s="4" t="s">
        <v>751</v>
      </c>
      <c r="K574" s="4" t="s">
        <v>84</v>
      </c>
      <c r="L574" s="4" t="s">
        <v>85</v>
      </c>
      <c r="M574" s="4"/>
      <c r="N574" s="4"/>
      <c r="O574" s="4"/>
      <c r="P574" s="4"/>
      <c r="Q574" s="4"/>
      <c r="R574" s="4"/>
      <c r="S574" s="13" t="n">
        <v>0</v>
      </c>
      <c r="T574" s="4" t="s">
        <v>173</v>
      </c>
      <c r="U574" s="14" t="n">
        <f aca="false">IF(OR($S574="",PARAMETROS!$B$4=""),"",$S574*PARAMETROS!$B$4)</f>
        <v>0</v>
      </c>
      <c r="V574" s="13" t="n">
        <v>0</v>
      </c>
      <c r="W574" s="4"/>
      <c r="X574" s="4"/>
      <c r="Y574" s="4"/>
      <c r="Z574" s="4"/>
      <c r="AA574" s="4"/>
      <c r="AB574" s="4"/>
      <c r="AC574" s="4"/>
      <c r="AD574" s="4"/>
      <c r="AE574" s="4"/>
      <c r="AF574" s="4"/>
      <c r="AG574" s="4"/>
      <c r="AH574" s="4"/>
      <c r="AI574" s="4"/>
      <c r="AJ574" s="4"/>
      <c r="AK574" s="4"/>
      <c r="AL574" s="4" t="s">
        <v>174</v>
      </c>
      <c r="AM574" s="4" t="s">
        <v>190</v>
      </c>
    </row>
    <row r="575" customFormat="false" ht="23.85" hidden="false" customHeight="false" outlineLevel="0" collapsed="false">
      <c r="A575" s="4" t="s">
        <v>167</v>
      </c>
      <c r="B575" s="4" t="s">
        <v>752</v>
      </c>
      <c r="C575" s="4" t="s">
        <v>752</v>
      </c>
      <c r="D575" s="12" t="n">
        <v>2020</v>
      </c>
      <c r="E575" s="4"/>
      <c r="F575" s="4" t="s">
        <v>169</v>
      </c>
      <c r="G575" s="4" t="s">
        <v>170</v>
      </c>
      <c r="H575" s="4" t="s">
        <v>171</v>
      </c>
      <c r="I575" s="4" t="s">
        <v>172</v>
      </c>
      <c r="J575" s="4" t="s">
        <v>752</v>
      </c>
      <c r="K575" s="4" t="s">
        <v>84</v>
      </c>
      <c r="L575" s="4" t="s">
        <v>85</v>
      </c>
      <c r="M575" s="4"/>
      <c r="N575" s="4"/>
      <c r="O575" s="4"/>
      <c r="P575" s="4"/>
      <c r="Q575" s="4"/>
      <c r="R575" s="4"/>
      <c r="S575" s="13" t="n">
        <v>0</v>
      </c>
      <c r="T575" s="4" t="s">
        <v>173</v>
      </c>
      <c r="U575" s="14" t="n">
        <f aca="false">IF(OR($S575="",PARAMETROS!$B$4=""),"",$S575*PARAMETROS!$B$4)</f>
        <v>0</v>
      </c>
      <c r="V575" s="13" t="n">
        <v>0</v>
      </c>
      <c r="W575" s="4"/>
      <c r="X575" s="4"/>
      <c r="Y575" s="4"/>
      <c r="Z575" s="4"/>
      <c r="AA575" s="4"/>
      <c r="AB575" s="4"/>
      <c r="AC575" s="4"/>
      <c r="AD575" s="4"/>
      <c r="AE575" s="4"/>
      <c r="AF575" s="4"/>
      <c r="AG575" s="4"/>
      <c r="AH575" s="4"/>
      <c r="AI575" s="4"/>
      <c r="AJ575" s="4"/>
      <c r="AK575" s="4"/>
      <c r="AL575" s="4" t="s">
        <v>174</v>
      </c>
      <c r="AM575" s="4" t="s">
        <v>190</v>
      </c>
    </row>
    <row r="576" customFormat="false" ht="23.85" hidden="false" customHeight="false" outlineLevel="0" collapsed="false">
      <c r="A576" s="4" t="s">
        <v>167</v>
      </c>
      <c r="B576" s="4" t="s">
        <v>753</v>
      </c>
      <c r="C576" s="4" t="s">
        <v>753</v>
      </c>
      <c r="D576" s="12" t="n">
        <v>2020</v>
      </c>
      <c r="E576" s="4"/>
      <c r="F576" s="4" t="s">
        <v>169</v>
      </c>
      <c r="G576" s="4" t="s">
        <v>170</v>
      </c>
      <c r="H576" s="4" t="s">
        <v>171</v>
      </c>
      <c r="I576" s="4" t="s">
        <v>172</v>
      </c>
      <c r="J576" s="4" t="s">
        <v>753</v>
      </c>
      <c r="K576" s="4" t="s">
        <v>109</v>
      </c>
      <c r="L576" s="4" t="s">
        <v>110</v>
      </c>
      <c r="M576" s="4"/>
      <c r="N576" s="4"/>
      <c r="O576" s="4"/>
      <c r="P576" s="4"/>
      <c r="Q576" s="4"/>
      <c r="R576" s="4"/>
      <c r="S576" s="13" t="n">
        <v>52362.7</v>
      </c>
      <c r="T576" s="4" t="s">
        <v>173</v>
      </c>
      <c r="U576" s="14" t="n">
        <f aca="false">IF(OR($S576="",PARAMETROS!$B$4=""),"",$S576*PARAMETROS!$B$4)</f>
        <v>304227.287</v>
      </c>
      <c r="V576" s="13" t="n">
        <v>0</v>
      </c>
      <c r="W576" s="4"/>
      <c r="X576" s="4"/>
      <c r="Y576" s="4"/>
      <c r="Z576" s="4"/>
      <c r="AA576" s="4"/>
      <c r="AB576" s="4"/>
      <c r="AC576" s="4"/>
      <c r="AD576" s="4"/>
      <c r="AE576" s="4"/>
      <c r="AF576" s="4"/>
      <c r="AG576" s="4"/>
      <c r="AH576" s="4"/>
      <c r="AI576" s="4"/>
      <c r="AJ576" s="4"/>
      <c r="AK576" s="4"/>
      <c r="AL576" s="4" t="s">
        <v>174</v>
      </c>
      <c r="AM576" s="4" t="s">
        <v>175</v>
      </c>
    </row>
    <row r="577" customFormat="false" ht="23.85" hidden="false" customHeight="false" outlineLevel="0" collapsed="false">
      <c r="A577" s="4" t="s">
        <v>167</v>
      </c>
      <c r="B577" s="4" t="s">
        <v>754</v>
      </c>
      <c r="C577" s="4" t="s">
        <v>754</v>
      </c>
      <c r="D577" s="12" t="n">
        <v>2020</v>
      </c>
      <c r="E577" s="4"/>
      <c r="F577" s="4" t="s">
        <v>169</v>
      </c>
      <c r="G577" s="4" t="s">
        <v>170</v>
      </c>
      <c r="H577" s="4" t="s">
        <v>171</v>
      </c>
      <c r="I577" s="4" t="s">
        <v>172</v>
      </c>
      <c r="J577" s="4" t="s">
        <v>754</v>
      </c>
      <c r="K577" s="4" t="s">
        <v>109</v>
      </c>
      <c r="L577" s="4" t="s">
        <v>110</v>
      </c>
      <c r="M577" s="4"/>
      <c r="N577" s="4"/>
      <c r="O577" s="4"/>
      <c r="P577" s="4"/>
      <c r="Q577" s="4"/>
      <c r="R577" s="4"/>
      <c r="S577" s="13" t="n">
        <v>0</v>
      </c>
      <c r="T577" s="4" t="s">
        <v>173</v>
      </c>
      <c r="U577" s="14" t="n">
        <f aca="false">IF(OR($S577="",PARAMETROS!$B$4=""),"",$S577*PARAMETROS!$B$4)</f>
        <v>0</v>
      </c>
      <c r="V577" s="13" t="n">
        <v>0</v>
      </c>
      <c r="W577" s="4"/>
      <c r="X577" s="4"/>
      <c r="Y577" s="4"/>
      <c r="Z577" s="4"/>
      <c r="AA577" s="4"/>
      <c r="AB577" s="4"/>
      <c r="AC577" s="4"/>
      <c r="AD577" s="4"/>
      <c r="AE577" s="4"/>
      <c r="AF577" s="4"/>
      <c r="AG577" s="4"/>
      <c r="AH577" s="4"/>
      <c r="AI577" s="4"/>
      <c r="AJ577" s="4"/>
      <c r="AK577" s="4"/>
      <c r="AL577" s="4" t="s">
        <v>174</v>
      </c>
      <c r="AM577" s="4" t="s">
        <v>175</v>
      </c>
    </row>
    <row r="578" customFormat="false" ht="23.85" hidden="false" customHeight="false" outlineLevel="0" collapsed="false">
      <c r="A578" s="4" t="s">
        <v>167</v>
      </c>
      <c r="B578" s="4" t="s">
        <v>755</v>
      </c>
      <c r="C578" s="4" t="s">
        <v>755</v>
      </c>
      <c r="D578" s="12" t="n">
        <v>2020</v>
      </c>
      <c r="E578" s="4"/>
      <c r="F578" s="4" t="s">
        <v>169</v>
      </c>
      <c r="G578" s="4" t="s">
        <v>170</v>
      </c>
      <c r="H578" s="4" t="s">
        <v>171</v>
      </c>
      <c r="I578" s="4" t="s">
        <v>172</v>
      </c>
      <c r="J578" s="4" t="s">
        <v>755</v>
      </c>
      <c r="K578" s="4" t="s">
        <v>109</v>
      </c>
      <c r="L578" s="4" t="s">
        <v>110</v>
      </c>
      <c r="M578" s="4"/>
      <c r="N578" s="4"/>
      <c r="O578" s="4"/>
      <c r="P578" s="4"/>
      <c r="Q578" s="4"/>
      <c r="R578" s="4"/>
      <c r="S578" s="13" t="n">
        <v>0</v>
      </c>
      <c r="T578" s="4" t="s">
        <v>173</v>
      </c>
      <c r="U578" s="14" t="n">
        <f aca="false">IF(OR($S578="",PARAMETROS!$B$4=""),"",$S578*PARAMETROS!$B$4)</f>
        <v>0</v>
      </c>
      <c r="V578" s="13" t="n">
        <v>0</v>
      </c>
      <c r="W578" s="4"/>
      <c r="X578" s="4"/>
      <c r="Y578" s="4"/>
      <c r="Z578" s="4"/>
      <c r="AA578" s="4"/>
      <c r="AB578" s="4"/>
      <c r="AC578" s="4"/>
      <c r="AD578" s="4"/>
      <c r="AE578" s="4"/>
      <c r="AF578" s="4"/>
      <c r="AG578" s="4"/>
      <c r="AH578" s="4"/>
      <c r="AI578" s="4"/>
      <c r="AJ578" s="4"/>
      <c r="AK578" s="4"/>
      <c r="AL578" s="4" t="s">
        <v>174</v>
      </c>
      <c r="AM578" s="4" t="s">
        <v>175</v>
      </c>
    </row>
    <row r="579" customFormat="false" ht="23.85" hidden="false" customHeight="false" outlineLevel="0" collapsed="false">
      <c r="A579" s="4" t="s">
        <v>167</v>
      </c>
      <c r="B579" s="4" t="s">
        <v>756</v>
      </c>
      <c r="C579" s="4" t="s">
        <v>756</v>
      </c>
      <c r="D579" s="12" t="n">
        <v>2020</v>
      </c>
      <c r="E579" s="4"/>
      <c r="F579" s="4" t="s">
        <v>169</v>
      </c>
      <c r="G579" s="4" t="s">
        <v>170</v>
      </c>
      <c r="H579" s="4" t="s">
        <v>171</v>
      </c>
      <c r="I579" s="4" t="s">
        <v>172</v>
      </c>
      <c r="J579" s="4" t="s">
        <v>756</v>
      </c>
      <c r="K579" s="4" t="s">
        <v>109</v>
      </c>
      <c r="L579" s="4" t="s">
        <v>110</v>
      </c>
      <c r="M579" s="4"/>
      <c r="N579" s="4"/>
      <c r="O579" s="4"/>
      <c r="P579" s="4"/>
      <c r="Q579" s="4"/>
      <c r="R579" s="4"/>
      <c r="S579" s="13" t="n">
        <v>0</v>
      </c>
      <c r="T579" s="4" t="s">
        <v>173</v>
      </c>
      <c r="U579" s="14" t="n">
        <f aca="false">IF(OR($S579="",PARAMETROS!$B$4=""),"",$S579*PARAMETROS!$B$4)</f>
        <v>0</v>
      </c>
      <c r="V579" s="13" t="n">
        <v>0</v>
      </c>
      <c r="W579" s="4"/>
      <c r="X579" s="4"/>
      <c r="Y579" s="4"/>
      <c r="Z579" s="4"/>
      <c r="AA579" s="4"/>
      <c r="AB579" s="4"/>
      <c r="AC579" s="4"/>
      <c r="AD579" s="4"/>
      <c r="AE579" s="4"/>
      <c r="AF579" s="4"/>
      <c r="AG579" s="4"/>
      <c r="AH579" s="4"/>
      <c r="AI579" s="4"/>
      <c r="AJ579" s="4"/>
      <c r="AK579" s="4"/>
      <c r="AL579" s="4" t="s">
        <v>174</v>
      </c>
      <c r="AM579" s="4" t="s">
        <v>175</v>
      </c>
    </row>
    <row r="580" customFormat="false" ht="23.85" hidden="false" customHeight="false" outlineLevel="0" collapsed="false">
      <c r="A580" s="4" t="s">
        <v>167</v>
      </c>
      <c r="B580" s="4" t="s">
        <v>757</v>
      </c>
      <c r="C580" s="4" t="s">
        <v>757</v>
      </c>
      <c r="D580" s="12" t="n">
        <v>2020</v>
      </c>
      <c r="E580" s="4"/>
      <c r="F580" s="4" t="s">
        <v>169</v>
      </c>
      <c r="G580" s="4" t="s">
        <v>170</v>
      </c>
      <c r="H580" s="4" t="s">
        <v>171</v>
      </c>
      <c r="I580" s="4" t="s">
        <v>172</v>
      </c>
      <c r="J580" s="4" t="s">
        <v>757</v>
      </c>
      <c r="K580" s="4" t="s">
        <v>109</v>
      </c>
      <c r="L580" s="4" t="s">
        <v>110</v>
      </c>
      <c r="M580" s="4"/>
      <c r="N580" s="4"/>
      <c r="O580" s="4"/>
      <c r="P580" s="4"/>
      <c r="Q580" s="4"/>
      <c r="R580" s="4"/>
      <c r="S580" s="13" t="n">
        <v>0</v>
      </c>
      <c r="T580" s="4" t="s">
        <v>173</v>
      </c>
      <c r="U580" s="14" t="n">
        <f aca="false">IF(OR($S580="",PARAMETROS!$B$4=""),"",$S580*PARAMETROS!$B$4)</f>
        <v>0</v>
      </c>
      <c r="V580" s="13" t="n">
        <v>0</v>
      </c>
      <c r="W580" s="4"/>
      <c r="X580" s="4"/>
      <c r="Y580" s="4"/>
      <c r="Z580" s="4"/>
      <c r="AA580" s="4"/>
      <c r="AB580" s="4"/>
      <c r="AC580" s="4"/>
      <c r="AD580" s="4"/>
      <c r="AE580" s="4"/>
      <c r="AF580" s="4"/>
      <c r="AG580" s="4"/>
      <c r="AH580" s="4"/>
      <c r="AI580" s="4"/>
      <c r="AJ580" s="4"/>
      <c r="AK580" s="4"/>
      <c r="AL580" s="4" t="s">
        <v>174</v>
      </c>
      <c r="AM580" s="4" t="s">
        <v>175</v>
      </c>
    </row>
    <row r="581" customFormat="false" ht="23.85" hidden="false" customHeight="false" outlineLevel="0" collapsed="false">
      <c r="A581" s="4" t="s">
        <v>167</v>
      </c>
      <c r="B581" s="4" t="s">
        <v>758</v>
      </c>
      <c r="C581" s="4" t="s">
        <v>758</v>
      </c>
      <c r="D581" s="12" t="n">
        <v>2020</v>
      </c>
      <c r="E581" s="4"/>
      <c r="F581" s="4" t="s">
        <v>169</v>
      </c>
      <c r="G581" s="4" t="s">
        <v>170</v>
      </c>
      <c r="H581" s="4" t="s">
        <v>171</v>
      </c>
      <c r="I581" s="4" t="s">
        <v>172</v>
      </c>
      <c r="J581" s="4" t="s">
        <v>758</v>
      </c>
      <c r="K581" s="4" t="s">
        <v>109</v>
      </c>
      <c r="L581" s="4" t="s">
        <v>110</v>
      </c>
      <c r="M581" s="4"/>
      <c r="N581" s="4"/>
      <c r="O581" s="4"/>
      <c r="P581" s="4"/>
      <c r="Q581" s="4"/>
      <c r="R581" s="4"/>
      <c r="S581" s="13" t="n">
        <v>0</v>
      </c>
      <c r="T581" s="4" t="s">
        <v>173</v>
      </c>
      <c r="U581" s="14" t="n">
        <f aca="false">IF(OR($S581="",PARAMETROS!$B$4=""),"",$S581*PARAMETROS!$B$4)</f>
        <v>0</v>
      </c>
      <c r="V581" s="13" t="n">
        <v>0</v>
      </c>
      <c r="W581" s="4"/>
      <c r="X581" s="4"/>
      <c r="Y581" s="4"/>
      <c r="Z581" s="4"/>
      <c r="AA581" s="4"/>
      <c r="AB581" s="4"/>
      <c r="AC581" s="4"/>
      <c r="AD581" s="4"/>
      <c r="AE581" s="4"/>
      <c r="AF581" s="4"/>
      <c r="AG581" s="4"/>
      <c r="AH581" s="4"/>
      <c r="AI581" s="4"/>
      <c r="AJ581" s="4"/>
      <c r="AK581" s="4"/>
      <c r="AL581" s="4" t="s">
        <v>174</v>
      </c>
      <c r="AM581" s="4" t="s">
        <v>175</v>
      </c>
    </row>
    <row r="582" customFormat="false" ht="23.85" hidden="false" customHeight="false" outlineLevel="0" collapsed="false">
      <c r="A582" s="4" t="s">
        <v>167</v>
      </c>
      <c r="B582" s="4" t="s">
        <v>759</v>
      </c>
      <c r="C582" s="4" t="s">
        <v>759</v>
      </c>
      <c r="D582" s="12" t="n">
        <v>2020</v>
      </c>
      <c r="E582" s="4"/>
      <c r="F582" s="4" t="s">
        <v>169</v>
      </c>
      <c r="G582" s="4" t="s">
        <v>170</v>
      </c>
      <c r="H582" s="4" t="s">
        <v>171</v>
      </c>
      <c r="I582" s="4" t="s">
        <v>172</v>
      </c>
      <c r="J582" s="4" t="s">
        <v>759</v>
      </c>
      <c r="K582" s="4" t="s">
        <v>109</v>
      </c>
      <c r="L582" s="4" t="s">
        <v>110</v>
      </c>
      <c r="M582" s="4"/>
      <c r="N582" s="4"/>
      <c r="O582" s="4"/>
      <c r="P582" s="4"/>
      <c r="Q582" s="4"/>
      <c r="R582" s="4"/>
      <c r="S582" s="13" t="n">
        <v>0</v>
      </c>
      <c r="T582" s="4" t="s">
        <v>173</v>
      </c>
      <c r="U582" s="14" t="n">
        <f aca="false">IF(OR($S582="",PARAMETROS!$B$4=""),"",$S582*PARAMETROS!$B$4)</f>
        <v>0</v>
      </c>
      <c r="V582" s="13" t="n">
        <v>0</v>
      </c>
      <c r="W582" s="4"/>
      <c r="X582" s="4"/>
      <c r="Y582" s="4"/>
      <c r="Z582" s="4"/>
      <c r="AA582" s="4"/>
      <c r="AB582" s="4"/>
      <c r="AC582" s="4"/>
      <c r="AD582" s="4"/>
      <c r="AE582" s="4"/>
      <c r="AF582" s="4"/>
      <c r="AG582" s="4"/>
      <c r="AH582" s="4"/>
      <c r="AI582" s="4"/>
      <c r="AJ582" s="4"/>
      <c r="AK582" s="4"/>
      <c r="AL582" s="4" t="s">
        <v>174</v>
      </c>
      <c r="AM582" s="4" t="s">
        <v>175</v>
      </c>
    </row>
    <row r="583" customFormat="false" ht="23.85" hidden="false" customHeight="false" outlineLevel="0" collapsed="false">
      <c r="A583" s="4" t="s">
        <v>167</v>
      </c>
      <c r="B583" s="4" t="s">
        <v>760</v>
      </c>
      <c r="C583" s="4" t="s">
        <v>760</v>
      </c>
      <c r="D583" s="12" t="n">
        <v>2020</v>
      </c>
      <c r="E583" s="4"/>
      <c r="F583" s="4" t="s">
        <v>169</v>
      </c>
      <c r="G583" s="4" t="s">
        <v>170</v>
      </c>
      <c r="H583" s="4" t="s">
        <v>171</v>
      </c>
      <c r="I583" s="4" t="s">
        <v>172</v>
      </c>
      <c r="J583" s="4" t="s">
        <v>760</v>
      </c>
      <c r="K583" s="4" t="s">
        <v>109</v>
      </c>
      <c r="L583" s="4" t="s">
        <v>110</v>
      </c>
      <c r="M583" s="4"/>
      <c r="N583" s="4"/>
      <c r="O583" s="4"/>
      <c r="P583" s="4"/>
      <c r="Q583" s="4"/>
      <c r="R583" s="4"/>
      <c r="S583" s="13" t="n">
        <v>0</v>
      </c>
      <c r="T583" s="4" t="s">
        <v>173</v>
      </c>
      <c r="U583" s="14" t="n">
        <f aca="false">IF(OR($S583="",PARAMETROS!$B$4=""),"",$S583*PARAMETROS!$B$4)</f>
        <v>0</v>
      </c>
      <c r="V583" s="13" t="n">
        <v>0</v>
      </c>
      <c r="W583" s="4"/>
      <c r="X583" s="4"/>
      <c r="Y583" s="4"/>
      <c r="Z583" s="4"/>
      <c r="AA583" s="4"/>
      <c r="AB583" s="4"/>
      <c r="AC583" s="4"/>
      <c r="AD583" s="4"/>
      <c r="AE583" s="4"/>
      <c r="AF583" s="4"/>
      <c r="AG583" s="4"/>
      <c r="AH583" s="4"/>
      <c r="AI583" s="4"/>
      <c r="AJ583" s="4"/>
      <c r="AK583" s="4"/>
      <c r="AL583" s="4" t="s">
        <v>174</v>
      </c>
      <c r="AM583" s="4" t="s">
        <v>175</v>
      </c>
    </row>
    <row r="584" customFormat="false" ht="23.85" hidden="false" customHeight="false" outlineLevel="0" collapsed="false">
      <c r="A584" s="4" t="s">
        <v>167</v>
      </c>
      <c r="B584" s="4" t="s">
        <v>761</v>
      </c>
      <c r="C584" s="4" t="s">
        <v>761</v>
      </c>
      <c r="D584" s="12" t="n">
        <v>2020</v>
      </c>
      <c r="E584" s="4"/>
      <c r="F584" s="4" t="s">
        <v>169</v>
      </c>
      <c r="G584" s="4" t="s">
        <v>170</v>
      </c>
      <c r="H584" s="4" t="s">
        <v>171</v>
      </c>
      <c r="I584" s="4" t="s">
        <v>172</v>
      </c>
      <c r="J584" s="4" t="s">
        <v>761</v>
      </c>
      <c r="K584" s="4" t="s">
        <v>109</v>
      </c>
      <c r="L584" s="4" t="s">
        <v>110</v>
      </c>
      <c r="M584" s="4"/>
      <c r="N584" s="4"/>
      <c r="O584" s="4"/>
      <c r="P584" s="4"/>
      <c r="Q584" s="4"/>
      <c r="R584" s="4"/>
      <c r="S584" s="13" t="n">
        <v>0</v>
      </c>
      <c r="T584" s="4" t="s">
        <v>173</v>
      </c>
      <c r="U584" s="14" t="n">
        <f aca="false">IF(OR($S584="",PARAMETROS!$B$4=""),"",$S584*PARAMETROS!$B$4)</f>
        <v>0</v>
      </c>
      <c r="V584" s="13" t="n">
        <v>0</v>
      </c>
      <c r="W584" s="4"/>
      <c r="X584" s="4"/>
      <c r="Y584" s="4"/>
      <c r="Z584" s="4"/>
      <c r="AA584" s="4"/>
      <c r="AB584" s="4"/>
      <c r="AC584" s="4"/>
      <c r="AD584" s="4"/>
      <c r="AE584" s="4"/>
      <c r="AF584" s="4"/>
      <c r="AG584" s="4"/>
      <c r="AH584" s="4"/>
      <c r="AI584" s="4"/>
      <c r="AJ584" s="4"/>
      <c r="AK584" s="4"/>
      <c r="AL584" s="4" t="s">
        <v>174</v>
      </c>
      <c r="AM584" s="4" t="s">
        <v>175</v>
      </c>
    </row>
    <row r="585" customFormat="false" ht="23.85" hidden="false" customHeight="false" outlineLevel="0" collapsed="false">
      <c r="A585" s="4" t="s">
        <v>167</v>
      </c>
      <c r="B585" s="4" t="s">
        <v>762</v>
      </c>
      <c r="C585" s="4" t="s">
        <v>762</v>
      </c>
      <c r="D585" s="12" t="n">
        <v>2020</v>
      </c>
      <c r="E585" s="4"/>
      <c r="F585" s="4" t="s">
        <v>169</v>
      </c>
      <c r="G585" s="4" t="s">
        <v>170</v>
      </c>
      <c r="H585" s="4" t="s">
        <v>171</v>
      </c>
      <c r="I585" s="4" t="s">
        <v>172</v>
      </c>
      <c r="J585" s="4" t="s">
        <v>762</v>
      </c>
      <c r="K585" s="4" t="s">
        <v>109</v>
      </c>
      <c r="L585" s="4" t="s">
        <v>110</v>
      </c>
      <c r="M585" s="4"/>
      <c r="N585" s="4"/>
      <c r="O585" s="4"/>
      <c r="P585" s="4"/>
      <c r="Q585" s="4"/>
      <c r="R585" s="4"/>
      <c r="S585" s="13" t="n">
        <v>50791.82</v>
      </c>
      <c r="T585" s="4" t="s">
        <v>173</v>
      </c>
      <c r="U585" s="14" t="n">
        <f aca="false">IF(OR($S585="",PARAMETROS!$B$4=""),"",$S585*PARAMETROS!$B$4)</f>
        <v>295100.4742</v>
      </c>
      <c r="V585" s="13" t="n">
        <v>0</v>
      </c>
      <c r="W585" s="4"/>
      <c r="X585" s="4"/>
      <c r="Y585" s="4"/>
      <c r="Z585" s="4"/>
      <c r="AA585" s="4"/>
      <c r="AB585" s="4"/>
      <c r="AC585" s="4"/>
      <c r="AD585" s="4"/>
      <c r="AE585" s="4"/>
      <c r="AF585" s="4"/>
      <c r="AG585" s="4"/>
      <c r="AH585" s="4"/>
      <c r="AI585" s="4"/>
      <c r="AJ585" s="4"/>
      <c r="AK585" s="4"/>
      <c r="AL585" s="4" t="s">
        <v>174</v>
      </c>
      <c r="AM585" s="4" t="s">
        <v>175</v>
      </c>
    </row>
    <row r="586" customFormat="false" ht="23.85" hidden="false" customHeight="false" outlineLevel="0" collapsed="false">
      <c r="A586" s="4" t="s">
        <v>167</v>
      </c>
      <c r="B586" s="4" t="s">
        <v>763</v>
      </c>
      <c r="C586" s="4" t="s">
        <v>763</v>
      </c>
      <c r="D586" s="12" t="n">
        <v>2020</v>
      </c>
      <c r="E586" s="4"/>
      <c r="F586" s="4" t="s">
        <v>169</v>
      </c>
      <c r="G586" s="4" t="s">
        <v>170</v>
      </c>
      <c r="H586" s="4" t="s">
        <v>171</v>
      </c>
      <c r="I586" s="4" t="s">
        <v>172</v>
      </c>
      <c r="J586" s="4" t="s">
        <v>763</v>
      </c>
      <c r="K586" s="4" t="s">
        <v>109</v>
      </c>
      <c r="L586" s="4" t="s">
        <v>110</v>
      </c>
      <c r="M586" s="4"/>
      <c r="N586" s="4"/>
      <c r="O586" s="4"/>
      <c r="P586" s="4"/>
      <c r="Q586" s="4"/>
      <c r="R586" s="4"/>
      <c r="S586" s="13" t="n">
        <v>1570.88</v>
      </c>
      <c r="T586" s="4" t="s">
        <v>173</v>
      </c>
      <c r="U586" s="14" t="n">
        <f aca="false">IF(OR($S586="",PARAMETROS!$B$4=""),"",$S586*PARAMETROS!$B$4)</f>
        <v>9126.8128</v>
      </c>
      <c r="V586" s="13" t="n">
        <v>0</v>
      </c>
      <c r="W586" s="4"/>
      <c r="X586" s="4"/>
      <c r="Y586" s="4"/>
      <c r="Z586" s="4"/>
      <c r="AA586" s="4"/>
      <c r="AB586" s="4"/>
      <c r="AC586" s="4"/>
      <c r="AD586" s="4"/>
      <c r="AE586" s="4"/>
      <c r="AF586" s="4"/>
      <c r="AG586" s="4"/>
      <c r="AH586" s="4"/>
      <c r="AI586" s="4"/>
      <c r="AJ586" s="4"/>
      <c r="AK586" s="4"/>
      <c r="AL586" s="4" t="s">
        <v>174</v>
      </c>
      <c r="AM586" s="4" t="s">
        <v>175</v>
      </c>
    </row>
    <row r="587" customFormat="false" ht="23.85" hidden="false" customHeight="false" outlineLevel="0" collapsed="false">
      <c r="A587" s="4" t="s">
        <v>167</v>
      </c>
      <c r="B587" s="4" t="s">
        <v>764</v>
      </c>
      <c r="C587" s="4" t="s">
        <v>764</v>
      </c>
      <c r="D587" s="12" t="n">
        <v>2020</v>
      </c>
      <c r="E587" s="4"/>
      <c r="F587" s="4" t="s">
        <v>169</v>
      </c>
      <c r="G587" s="4" t="s">
        <v>170</v>
      </c>
      <c r="H587" s="4" t="s">
        <v>171</v>
      </c>
      <c r="I587" s="4" t="s">
        <v>172</v>
      </c>
      <c r="J587" s="4" t="s">
        <v>764</v>
      </c>
      <c r="K587" s="4" t="s">
        <v>109</v>
      </c>
      <c r="L587" s="4" t="s">
        <v>110</v>
      </c>
      <c r="M587" s="4"/>
      <c r="N587" s="4"/>
      <c r="O587" s="4"/>
      <c r="P587" s="4"/>
      <c r="Q587" s="4"/>
      <c r="R587" s="4"/>
      <c r="S587" s="13" t="n">
        <v>0</v>
      </c>
      <c r="T587" s="4" t="s">
        <v>173</v>
      </c>
      <c r="U587" s="14" t="n">
        <f aca="false">IF(OR($S587="",PARAMETROS!$B$4=""),"",$S587*PARAMETROS!$B$4)</f>
        <v>0</v>
      </c>
      <c r="V587" s="13" t="n">
        <v>0</v>
      </c>
      <c r="W587" s="4"/>
      <c r="X587" s="4"/>
      <c r="Y587" s="4"/>
      <c r="Z587" s="4"/>
      <c r="AA587" s="4"/>
      <c r="AB587" s="4"/>
      <c r="AC587" s="4"/>
      <c r="AD587" s="4"/>
      <c r="AE587" s="4"/>
      <c r="AF587" s="4"/>
      <c r="AG587" s="4"/>
      <c r="AH587" s="4"/>
      <c r="AI587" s="4"/>
      <c r="AJ587" s="4"/>
      <c r="AK587" s="4"/>
      <c r="AL587" s="4" t="s">
        <v>174</v>
      </c>
      <c r="AM587" s="4" t="s">
        <v>175</v>
      </c>
    </row>
    <row r="588" customFormat="false" ht="23.85" hidden="false" customHeight="false" outlineLevel="0" collapsed="false">
      <c r="A588" s="4" t="s">
        <v>167</v>
      </c>
      <c r="B588" s="4" t="s">
        <v>765</v>
      </c>
      <c r="C588" s="4" t="s">
        <v>765</v>
      </c>
      <c r="D588" s="12" t="n">
        <v>2020</v>
      </c>
      <c r="E588" s="4"/>
      <c r="F588" s="4" t="s">
        <v>169</v>
      </c>
      <c r="G588" s="4" t="s">
        <v>170</v>
      </c>
      <c r="H588" s="4" t="s">
        <v>171</v>
      </c>
      <c r="I588" s="4" t="s">
        <v>172</v>
      </c>
      <c r="J588" s="4" t="s">
        <v>765</v>
      </c>
      <c r="K588" s="4" t="s">
        <v>109</v>
      </c>
      <c r="L588" s="4" t="s">
        <v>110</v>
      </c>
      <c r="M588" s="4"/>
      <c r="N588" s="4"/>
      <c r="O588" s="4"/>
      <c r="P588" s="4"/>
      <c r="Q588" s="4"/>
      <c r="R588" s="4"/>
      <c r="S588" s="13" t="n">
        <v>0</v>
      </c>
      <c r="T588" s="4" t="s">
        <v>173</v>
      </c>
      <c r="U588" s="14" t="n">
        <f aca="false">IF(OR($S588="",PARAMETROS!$B$4=""),"",$S588*PARAMETROS!$B$4)</f>
        <v>0</v>
      </c>
      <c r="V588" s="13" t="n">
        <v>0</v>
      </c>
      <c r="W588" s="4"/>
      <c r="X588" s="4"/>
      <c r="Y588" s="4"/>
      <c r="Z588" s="4"/>
      <c r="AA588" s="4"/>
      <c r="AB588" s="4"/>
      <c r="AC588" s="4"/>
      <c r="AD588" s="4"/>
      <c r="AE588" s="4"/>
      <c r="AF588" s="4"/>
      <c r="AG588" s="4"/>
      <c r="AH588" s="4"/>
      <c r="AI588" s="4"/>
      <c r="AJ588" s="4"/>
      <c r="AK588" s="4"/>
      <c r="AL588" s="4" t="s">
        <v>174</v>
      </c>
      <c r="AM588" s="4" t="s">
        <v>175</v>
      </c>
    </row>
    <row r="589" customFormat="false" ht="23.85" hidden="false" customHeight="false" outlineLevel="0" collapsed="false">
      <c r="A589" s="4" t="s">
        <v>167</v>
      </c>
      <c r="B589" s="4" t="s">
        <v>766</v>
      </c>
      <c r="C589" s="4" t="s">
        <v>766</v>
      </c>
      <c r="D589" s="12" t="n">
        <v>2020</v>
      </c>
      <c r="E589" s="4"/>
      <c r="F589" s="4" t="s">
        <v>169</v>
      </c>
      <c r="G589" s="4" t="s">
        <v>170</v>
      </c>
      <c r="H589" s="4" t="s">
        <v>171</v>
      </c>
      <c r="I589" s="4" t="s">
        <v>172</v>
      </c>
      <c r="J589" s="4" t="s">
        <v>766</v>
      </c>
      <c r="K589" s="4" t="s">
        <v>109</v>
      </c>
      <c r="L589" s="4" t="s">
        <v>110</v>
      </c>
      <c r="M589" s="4"/>
      <c r="N589" s="4"/>
      <c r="O589" s="4"/>
      <c r="P589" s="4"/>
      <c r="Q589" s="4"/>
      <c r="R589" s="4"/>
      <c r="S589" s="13" t="n">
        <v>0</v>
      </c>
      <c r="T589" s="4" t="s">
        <v>173</v>
      </c>
      <c r="U589" s="14" t="n">
        <f aca="false">IF(OR($S589="",PARAMETROS!$B$4=""),"",$S589*PARAMETROS!$B$4)</f>
        <v>0</v>
      </c>
      <c r="V589" s="13" t="n">
        <v>0</v>
      </c>
      <c r="W589" s="4"/>
      <c r="X589" s="4"/>
      <c r="Y589" s="4"/>
      <c r="Z589" s="4"/>
      <c r="AA589" s="4"/>
      <c r="AB589" s="4"/>
      <c r="AC589" s="4"/>
      <c r="AD589" s="4"/>
      <c r="AE589" s="4"/>
      <c r="AF589" s="4"/>
      <c r="AG589" s="4"/>
      <c r="AH589" s="4"/>
      <c r="AI589" s="4"/>
      <c r="AJ589" s="4"/>
      <c r="AK589" s="4"/>
      <c r="AL589" s="4" t="s">
        <v>174</v>
      </c>
      <c r="AM589" s="4" t="s">
        <v>175</v>
      </c>
    </row>
    <row r="590" customFormat="false" ht="23.85" hidden="false" customHeight="false" outlineLevel="0" collapsed="false">
      <c r="A590" s="4" t="s">
        <v>167</v>
      </c>
      <c r="B590" s="4" t="s">
        <v>767</v>
      </c>
      <c r="C590" s="4" t="s">
        <v>767</v>
      </c>
      <c r="D590" s="12" t="n">
        <v>2020</v>
      </c>
      <c r="E590" s="4"/>
      <c r="F590" s="4" t="s">
        <v>169</v>
      </c>
      <c r="G590" s="4" t="s">
        <v>170</v>
      </c>
      <c r="H590" s="4" t="s">
        <v>171</v>
      </c>
      <c r="I590" s="4" t="s">
        <v>172</v>
      </c>
      <c r="J590" s="4" t="s">
        <v>767</v>
      </c>
      <c r="K590" s="4" t="s">
        <v>86</v>
      </c>
      <c r="L590" s="4" t="s">
        <v>87</v>
      </c>
      <c r="M590" s="4"/>
      <c r="N590" s="4"/>
      <c r="O590" s="4"/>
      <c r="P590" s="4"/>
      <c r="Q590" s="4"/>
      <c r="R590" s="4"/>
      <c r="S590" s="13" t="n">
        <v>2831.96</v>
      </c>
      <c r="T590" s="4" t="s">
        <v>173</v>
      </c>
      <c r="U590" s="14" t="n">
        <f aca="false">IF(OR($S590="",PARAMETROS!$B$4=""),"",$S590*PARAMETROS!$B$4)</f>
        <v>16453.6876</v>
      </c>
      <c r="V590" s="13" t="n">
        <v>0</v>
      </c>
      <c r="W590" s="4"/>
      <c r="X590" s="4"/>
      <c r="Y590" s="4"/>
      <c r="Z590" s="4"/>
      <c r="AA590" s="4"/>
      <c r="AB590" s="4"/>
      <c r="AC590" s="4"/>
      <c r="AD590" s="4"/>
      <c r="AE590" s="4"/>
      <c r="AF590" s="4"/>
      <c r="AG590" s="4"/>
      <c r="AH590" s="4"/>
      <c r="AI590" s="4"/>
      <c r="AJ590" s="4"/>
      <c r="AK590" s="4"/>
      <c r="AL590" s="4" t="s">
        <v>174</v>
      </c>
      <c r="AM590" s="4" t="s">
        <v>205</v>
      </c>
    </row>
    <row r="591" customFormat="false" ht="23.85" hidden="false" customHeight="false" outlineLevel="0" collapsed="false">
      <c r="A591" s="4" t="s">
        <v>167</v>
      </c>
      <c r="B591" s="4" t="s">
        <v>768</v>
      </c>
      <c r="C591" s="4" t="s">
        <v>768</v>
      </c>
      <c r="D591" s="12" t="n">
        <v>2020</v>
      </c>
      <c r="E591" s="4"/>
      <c r="F591" s="4" t="s">
        <v>169</v>
      </c>
      <c r="G591" s="4" t="s">
        <v>170</v>
      </c>
      <c r="H591" s="4" t="s">
        <v>171</v>
      </c>
      <c r="I591" s="4" t="s">
        <v>172</v>
      </c>
      <c r="J591" s="4" t="s">
        <v>768</v>
      </c>
      <c r="K591" s="4" t="s">
        <v>86</v>
      </c>
      <c r="L591" s="4" t="s">
        <v>87</v>
      </c>
      <c r="M591" s="4"/>
      <c r="N591" s="4"/>
      <c r="O591" s="4"/>
      <c r="P591" s="4"/>
      <c r="Q591" s="4"/>
      <c r="R591" s="4"/>
      <c r="S591" s="13" t="n">
        <v>0</v>
      </c>
      <c r="T591" s="4" t="s">
        <v>173</v>
      </c>
      <c r="U591" s="14" t="n">
        <f aca="false">IF(OR($S591="",PARAMETROS!$B$4=""),"",$S591*PARAMETROS!$B$4)</f>
        <v>0</v>
      </c>
      <c r="V591" s="13" t="n">
        <v>0</v>
      </c>
      <c r="W591" s="4"/>
      <c r="X591" s="4"/>
      <c r="Y591" s="4"/>
      <c r="Z591" s="4"/>
      <c r="AA591" s="4"/>
      <c r="AB591" s="4"/>
      <c r="AC591" s="4"/>
      <c r="AD591" s="4"/>
      <c r="AE591" s="4"/>
      <c r="AF591" s="4"/>
      <c r="AG591" s="4"/>
      <c r="AH591" s="4"/>
      <c r="AI591" s="4"/>
      <c r="AJ591" s="4"/>
      <c r="AK591" s="4"/>
      <c r="AL591" s="4" t="s">
        <v>174</v>
      </c>
      <c r="AM591" s="4" t="s">
        <v>205</v>
      </c>
    </row>
    <row r="592" customFormat="false" ht="23.85" hidden="false" customHeight="false" outlineLevel="0" collapsed="false">
      <c r="A592" s="4" t="s">
        <v>167</v>
      </c>
      <c r="B592" s="4" t="s">
        <v>769</v>
      </c>
      <c r="C592" s="4" t="s">
        <v>769</v>
      </c>
      <c r="D592" s="12" t="n">
        <v>2020</v>
      </c>
      <c r="E592" s="4"/>
      <c r="F592" s="4" t="s">
        <v>169</v>
      </c>
      <c r="G592" s="4" t="s">
        <v>170</v>
      </c>
      <c r="H592" s="4" t="s">
        <v>171</v>
      </c>
      <c r="I592" s="4" t="s">
        <v>172</v>
      </c>
      <c r="J592" s="4" t="s">
        <v>769</v>
      </c>
      <c r="K592" s="4" t="s">
        <v>86</v>
      </c>
      <c r="L592" s="4" t="s">
        <v>87</v>
      </c>
      <c r="M592" s="4"/>
      <c r="N592" s="4"/>
      <c r="O592" s="4"/>
      <c r="P592" s="4"/>
      <c r="Q592" s="4"/>
      <c r="R592" s="4"/>
      <c r="S592" s="13" t="n">
        <v>1389.77</v>
      </c>
      <c r="T592" s="4" t="s">
        <v>173</v>
      </c>
      <c r="U592" s="14" t="n">
        <f aca="false">IF(OR($S592="",PARAMETROS!$B$4=""),"",$S592*PARAMETROS!$B$4)</f>
        <v>8074.5637</v>
      </c>
      <c r="V592" s="13" t="n">
        <v>0</v>
      </c>
      <c r="W592" s="4"/>
      <c r="X592" s="4"/>
      <c r="Y592" s="4"/>
      <c r="Z592" s="4"/>
      <c r="AA592" s="4"/>
      <c r="AB592" s="4"/>
      <c r="AC592" s="4"/>
      <c r="AD592" s="4"/>
      <c r="AE592" s="4"/>
      <c r="AF592" s="4"/>
      <c r="AG592" s="4"/>
      <c r="AH592" s="4"/>
      <c r="AI592" s="4"/>
      <c r="AJ592" s="4"/>
      <c r="AK592" s="4"/>
      <c r="AL592" s="4" t="s">
        <v>174</v>
      </c>
      <c r="AM592" s="4" t="s">
        <v>205</v>
      </c>
    </row>
    <row r="593" customFormat="false" ht="23.85" hidden="false" customHeight="false" outlineLevel="0" collapsed="false">
      <c r="A593" s="4" t="s">
        <v>167</v>
      </c>
      <c r="B593" s="4" t="s">
        <v>770</v>
      </c>
      <c r="C593" s="4" t="s">
        <v>770</v>
      </c>
      <c r="D593" s="12" t="n">
        <v>2020</v>
      </c>
      <c r="E593" s="4"/>
      <c r="F593" s="4" t="s">
        <v>169</v>
      </c>
      <c r="G593" s="4" t="s">
        <v>170</v>
      </c>
      <c r="H593" s="4" t="s">
        <v>171</v>
      </c>
      <c r="I593" s="4" t="s">
        <v>172</v>
      </c>
      <c r="J593" s="4" t="s">
        <v>770</v>
      </c>
      <c r="K593" s="4" t="s">
        <v>86</v>
      </c>
      <c r="L593" s="4" t="s">
        <v>87</v>
      </c>
      <c r="M593" s="4"/>
      <c r="N593" s="4"/>
      <c r="O593" s="4"/>
      <c r="P593" s="4"/>
      <c r="Q593" s="4"/>
      <c r="R593" s="4"/>
      <c r="S593" s="13" t="n">
        <v>-742.61</v>
      </c>
      <c r="T593" s="4" t="s">
        <v>173</v>
      </c>
      <c r="U593" s="14" t="n">
        <f aca="false">IF(OR($S593="",PARAMETROS!$B$4=""),"",$S593*PARAMETROS!$B$4)</f>
        <v>-4314.5641</v>
      </c>
      <c r="V593" s="13" t="n">
        <v>0</v>
      </c>
      <c r="W593" s="4"/>
      <c r="X593" s="4"/>
      <c r="Y593" s="4"/>
      <c r="Z593" s="4"/>
      <c r="AA593" s="4"/>
      <c r="AB593" s="4"/>
      <c r="AC593" s="4"/>
      <c r="AD593" s="4"/>
      <c r="AE593" s="4"/>
      <c r="AF593" s="4"/>
      <c r="AG593" s="4"/>
      <c r="AH593" s="4"/>
      <c r="AI593" s="4"/>
      <c r="AJ593" s="4"/>
      <c r="AK593" s="4"/>
      <c r="AL593" s="4" t="s">
        <v>174</v>
      </c>
      <c r="AM593" s="4" t="s">
        <v>205</v>
      </c>
    </row>
    <row r="594" customFormat="false" ht="23.85" hidden="false" customHeight="false" outlineLevel="0" collapsed="false">
      <c r="A594" s="4" t="s">
        <v>167</v>
      </c>
      <c r="B594" s="4" t="s">
        <v>771</v>
      </c>
      <c r="C594" s="4" t="s">
        <v>771</v>
      </c>
      <c r="D594" s="12" t="n">
        <v>2020</v>
      </c>
      <c r="E594" s="4"/>
      <c r="F594" s="4" t="s">
        <v>169</v>
      </c>
      <c r="G594" s="4" t="s">
        <v>170</v>
      </c>
      <c r="H594" s="4" t="s">
        <v>171</v>
      </c>
      <c r="I594" s="4" t="s">
        <v>172</v>
      </c>
      <c r="J594" s="4" t="s">
        <v>771</v>
      </c>
      <c r="K594" s="4" t="s">
        <v>86</v>
      </c>
      <c r="L594" s="4" t="s">
        <v>87</v>
      </c>
      <c r="M594" s="4"/>
      <c r="N594" s="4"/>
      <c r="O594" s="4"/>
      <c r="P594" s="4"/>
      <c r="Q594" s="4"/>
      <c r="R594" s="4"/>
      <c r="S594" s="13" t="n">
        <v>-699.58</v>
      </c>
      <c r="T594" s="4" t="s">
        <v>173</v>
      </c>
      <c r="U594" s="14" t="n">
        <f aca="false">IF(OR($S594="",PARAMETROS!$B$4=""),"",$S594*PARAMETROS!$B$4)</f>
        <v>-4064.5598</v>
      </c>
      <c r="V594" s="13" t="n">
        <v>0</v>
      </c>
      <c r="W594" s="4"/>
      <c r="X594" s="4"/>
      <c r="Y594" s="4"/>
      <c r="Z594" s="4"/>
      <c r="AA594" s="4"/>
      <c r="AB594" s="4"/>
      <c r="AC594" s="4"/>
      <c r="AD594" s="4"/>
      <c r="AE594" s="4"/>
      <c r="AF594" s="4"/>
      <c r="AG594" s="4"/>
      <c r="AH594" s="4"/>
      <c r="AI594" s="4"/>
      <c r="AJ594" s="4"/>
      <c r="AK594" s="4"/>
      <c r="AL594" s="4" t="s">
        <v>174</v>
      </c>
      <c r="AM594" s="4" t="s">
        <v>205</v>
      </c>
    </row>
    <row r="595" customFormat="false" ht="23.85" hidden="false" customHeight="false" outlineLevel="0" collapsed="false">
      <c r="A595" s="4" t="s">
        <v>167</v>
      </c>
      <c r="B595" s="4" t="s">
        <v>772</v>
      </c>
      <c r="C595" s="4" t="s">
        <v>772</v>
      </c>
      <c r="D595" s="12" t="n">
        <v>2020</v>
      </c>
      <c r="E595" s="4"/>
      <c r="F595" s="4" t="s">
        <v>169</v>
      </c>
      <c r="G595" s="4" t="s">
        <v>170</v>
      </c>
      <c r="H595" s="4" t="s">
        <v>171</v>
      </c>
      <c r="I595" s="4" t="s">
        <v>172</v>
      </c>
      <c r="J595" s="4" t="s">
        <v>772</v>
      </c>
      <c r="K595" s="4" t="s">
        <v>86</v>
      </c>
      <c r="L595" s="4" t="s">
        <v>87</v>
      </c>
      <c r="M595" s="4"/>
      <c r="N595" s="4"/>
      <c r="O595" s="4"/>
      <c r="P595" s="4"/>
      <c r="Q595" s="4"/>
      <c r="R595" s="4"/>
      <c r="S595" s="13" t="n">
        <v>0</v>
      </c>
      <c r="T595" s="4" t="s">
        <v>173</v>
      </c>
      <c r="U595" s="14" t="n">
        <f aca="false">IF(OR($S595="",PARAMETROS!$B$4=""),"",$S595*PARAMETROS!$B$4)</f>
        <v>0</v>
      </c>
      <c r="V595" s="13" t="n">
        <v>0</v>
      </c>
      <c r="W595" s="4"/>
      <c r="X595" s="4"/>
      <c r="Y595" s="4"/>
      <c r="Z595" s="4"/>
      <c r="AA595" s="4"/>
      <c r="AB595" s="4"/>
      <c r="AC595" s="4"/>
      <c r="AD595" s="4"/>
      <c r="AE595" s="4"/>
      <c r="AF595" s="4"/>
      <c r="AG595" s="4"/>
      <c r="AH595" s="4"/>
      <c r="AI595" s="4"/>
      <c r="AJ595" s="4"/>
      <c r="AK595" s="4"/>
      <c r="AL595" s="4" t="s">
        <v>174</v>
      </c>
      <c r="AM595" s="4" t="s">
        <v>205</v>
      </c>
    </row>
    <row r="596" customFormat="false" ht="23.85" hidden="false" customHeight="false" outlineLevel="0" collapsed="false">
      <c r="A596" s="4" t="s">
        <v>167</v>
      </c>
      <c r="B596" s="4" t="s">
        <v>773</v>
      </c>
      <c r="C596" s="4" t="s">
        <v>773</v>
      </c>
      <c r="D596" s="12" t="n">
        <v>2020</v>
      </c>
      <c r="E596" s="4"/>
      <c r="F596" s="4" t="s">
        <v>169</v>
      </c>
      <c r="G596" s="4" t="s">
        <v>170</v>
      </c>
      <c r="H596" s="4" t="s">
        <v>171</v>
      </c>
      <c r="I596" s="4" t="s">
        <v>172</v>
      </c>
      <c r="J596" s="4" t="s">
        <v>773</v>
      </c>
      <c r="K596" s="4" t="s">
        <v>86</v>
      </c>
      <c r="L596" s="4" t="s">
        <v>87</v>
      </c>
      <c r="M596" s="4"/>
      <c r="N596" s="4"/>
      <c r="O596" s="4"/>
      <c r="P596" s="4"/>
      <c r="Q596" s="4"/>
      <c r="R596" s="4"/>
      <c r="S596" s="13" t="n">
        <v>0</v>
      </c>
      <c r="T596" s="4" t="s">
        <v>173</v>
      </c>
      <c r="U596" s="14" t="n">
        <f aca="false">IF(OR($S596="",PARAMETROS!$B$4=""),"",$S596*PARAMETROS!$B$4)</f>
        <v>0</v>
      </c>
      <c r="V596" s="13" t="n">
        <v>0</v>
      </c>
      <c r="W596" s="4"/>
      <c r="X596" s="4"/>
      <c r="Y596" s="4"/>
      <c r="Z596" s="4"/>
      <c r="AA596" s="4"/>
      <c r="AB596" s="4"/>
      <c r="AC596" s="4"/>
      <c r="AD596" s="4"/>
      <c r="AE596" s="4"/>
      <c r="AF596" s="4"/>
      <c r="AG596" s="4"/>
      <c r="AH596" s="4"/>
      <c r="AI596" s="4"/>
      <c r="AJ596" s="4"/>
      <c r="AK596" s="4"/>
      <c r="AL596" s="4" t="s">
        <v>174</v>
      </c>
      <c r="AM596" s="4" t="s">
        <v>205</v>
      </c>
    </row>
    <row r="597" customFormat="false" ht="23.85" hidden="false" customHeight="false" outlineLevel="0" collapsed="false">
      <c r="A597" s="4" t="s">
        <v>167</v>
      </c>
      <c r="B597" s="4" t="s">
        <v>774</v>
      </c>
      <c r="C597" s="4" t="s">
        <v>774</v>
      </c>
      <c r="D597" s="12" t="n">
        <v>2020</v>
      </c>
      <c r="E597" s="4"/>
      <c r="F597" s="4" t="s">
        <v>169</v>
      </c>
      <c r="G597" s="4" t="s">
        <v>170</v>
      </c>
      <c r="H597" s="4" t="s">
        <v>171</v>
      </c>
      <c r="I597" s="4" t="s">
        <v>172</v>
      </c>
      <c r="J597" s="4" t="s">
        <v>774</v>
      </c>
      <c r="K597" s="4" t="s">
        <v>86</v>
      </c>
      <c r="L597" s="4" t="s">
        <v>87</v>
      </c>
      <c r="M597" s="4"/>
      <c r="N597" s="4"/>
      <c r="O597" s="4"/>
      <c r="P597" s="4"/>
      <c r="Q597" s="4"/>
      <c r="R597" s="4"/>
      <c r="S597" s="13" t="n">
        <v>0</v>
      </c>
      <c r="T597" s="4" t="s">
        <v>173</v>
      </c>
      <c r="U597" s="14" t="n">
        <f aca="false">IF(OR($S597="",PARAMETROS!$B$4=""),"",$S597*PARAMETROS!$B$4)</f>
        <v>0</v>
      </c>
      <c r="V597" s="13" t="n">
        <v>0</v>
      </c>
      <c r="W597" s="4"/>
      <c r="X597" s="4"/>
      <c r="Y597" s="4"/>
      <c r="Z597" s="4"/>
      <c r="AA597" s="4"/>
      <c r="AB597" s="4"/>
      <c r="AC597" s="4"/>
      <c r="AD597" s="4"/>
      <c r="AE597" s="4"/>
      <c r="AF597" s="4"/>
      <c r="AG597" s="4"/>
      <c r="AH597" s="4"/>
      <c r="AI597" s="4"/>
      <c r="AJ597" s="4"/>
      <c r="AK597" s="4"/>
      <c r="AL597" s="4" t="s">
        <v>174</v>
      </c>
      <c r="AM597" s="4" t="s">
        <v>205</v>
      </c>
    </row>
    <row r="598" customFormat="false" ht="23.85" hidden="false" customHeight="false" outlineLevel="0" collapsed="false">
      <c r="A598" s="4" t="s">
        <v>167</v>
      </c>
      <c r="B598" s="4" t="s">
        <v>775</v>
      </c>
      <c r="C598" s="4" t="s">
        <v>775</v>
      </c>
      <c r="D598" s="12" t="n">
        <v>2020</v>
      </c>
      <c r="E598" s="4"/>
      <c r="F598" s="4" t="s">
        <v>169</v>
      </c>
      <c r="G598" s="4" t="s">
        <v>170</v>
      </c>
      <c r="H598" s="4" t="s">
        <v>171</v>
      </c>
      <c r="I598" s="4" t="s">
        <v>172</v>
      </c>
      <c r="J598" s="4" t="s">
        <v>775</v>
      </c>
      <c r="K598" s="4" t="s">
        <v>86</v>
      </c>
      <c r="L598" s="4" t="s">
        <v>87</v>
      </c>
      <c r="M598" s="4"/>
      <c r="N598" s="4"/>
      <c r="O598" s="4"/>
      <c r="P598" s="4"/>
      <c r="Q598" s="4"/>
      <c r="R598" s="4"/>
      <c r="S598" s="13" t="n">
        <v>0</v>
      </c>
      <c r="T598" s="4" t="s">
        <v>173</v>
      </c>
      <c r="U598" s="14" t="n">
        <f aca="false">IF(OR($S598="",PARAMETROS!$B$4=""),"",$S598*PARAMETROS!$B$4)</f>
        <v>0</v>
      </c>
      <c r="V598" s="13" t="n">
        <v>0</v>
      </c>
      <c r="W598" s="4"/>
      <c r="X598" s="4"/>
      <c r="Y598" s="4"/>
      <c r="Z598" s="4"/>
      <c r="AA598" s="4"/>
      <c r="AB598" s="4"/>
      <c r="AC598" s="4"/>
      <c r="AD598" s="4"/>
      <c r="AE598" s="4"/>
      <c r="AF598" s="4"/>
      <c r="AG598" s="4"/>
      <c r="AH598" s="4"/>
      <c r="AI598" s="4"/>
      <c r="AJ598" s="4"/>
      <c r="AK598" s="4"/>
      <c r="AL598" s="4" t="s">
        <v>174</v>
      </c>
      <c r="AM598" s="4" t="s">
        <v>205</v>
      </c>
    </row>
    <row r="599" customFormat="false" ht="23.85" hidden="false" customHeight="false" outlineLevel="0" collapsed="false">
      <c r="A599" s="4" t="s">
        <v>167</v>
      </c>
      <c r="B599" s="4" t="s">
        <v>776</v>
      </c>
      <c r="C599" s="4" t="s">
        <v>776</v>
      </c>
      <c r="D599" s="12" t="n">
        <v>2020</v>
      </c>
      <c r="E599" s="4"/>
      <c r="F599" s="4" t="s">
        <v>169</v>
      </c>
      <c r="G599" s="4" t="s">
        <v>170</v>
      </c>
      <c r="H599" s="4" t="s">
        <v>171</v>
      </c>
      <c r="I599" s="4" t="s">
        <v>172</v>
      </c>
      <c r="J599" s="4" t="s">
        <v>776</v>
      </c>
      <c r="K599" s="4" t="s">
        <v>86</v>
      </c>
      <c r="L599" s="4" t="s">
        <v>87</v>
      </c>
      <c r="M599" s="4"/>
      <c r="N599" s="4"/>
      <c r="O599" s="4"/>
      <c r="P599" s="4"/>
      <c r="Q599" s="4"/>
      <c r="R599" s="4"/>
      <c r="S599" s="13" t="n">
        <v>0</v>
      </c>
      <c r="T599" s="4" t="s">
        <v>173</v>
      </c>
      <c r="U599" s="14" t="n">
        <f aca="false">IF(OR($S599="",PARAMETROS!$B$4=""),"",$S599*PARAMETROS!$B$4)</f>
        <v>0</v>
      </c>
      <c r="V599" s="13" t="n">
        <v>0</v>
      </c>
      <c r="W599" s="4"/>
      <c r="X599" s="4"/>
      <c r="Y599" s="4"/>
      <c r="Z599" s="4"/>
      <c r="AA599" s="4"/>
      <c r="AB599" s="4"/>
      <c r="AC599" s="4"/>
      <c r="AD599" s="4"/>
      <c r="AE599" s="4"/>
      <c r="AF599" s="4"/>
      <c r="AG599" s="4"/>
      <c r="AH599" s="4"/>
      <c r="AI599" s="4"/>
      <c r="AJ599" s="4"/>
      <c r="AK599" s="4"/>
      <c r="AL599" s="4" t="s">
        <v>174</v>
      </c>
      <c r="AM599" s="4" t="s">
        <v>205</v>
      </c>
    </row>
    <row r="600" customFormat="false" ht="23.85" hidden="false" customHeight="false" outlineLevel="0" collapsed="false">
      <c r="A600" s="4" t="s">
        <v>167</v>
      </c>
      <c r="B600" s="4" t="s">
        <v>777</v>
      </c>
      <c r="C600" s="4" t="s">
        <v>777</v>
      </c>
      <c r="D600" s="12" t="n">
        <v>2020</v>
      </c>
      <c r="E600" s="4"/>
      <c r="F600" s="4" t="s">
        <v>169</v>
      </c>
      <c r="G600" s="4" t="s">
        <v>170</v>
      </c>
      <c r="H600" s="4" t="s">
        <v>171</v>
      </c>
      <c r="I600" s="4" t="s">
        <v>172</v>
      </c>
      <c r="J600" s="4" t="s">
        <v>777</v>
      </c>
      <c r="K600" s="4" t="s">
        <v>86</v>
      </c>
      <c r="L600" s="4" t="s">
        <v>87</v>
      </c>
      <c r="M600" s="4"/>
      <c r="N600" s="4"/>
      <c r="O600" s="4"/>
      <c r="P600" s="4"/>
      <c r="Q600" s="4"/>
      <c r="R600" s="4"/>
      <c r="S600" s="13" t="n">
        <v>0</v>
      </c>
      <c r="T600" s="4" t="s">
        <v>173</v>
      </c>
      <c r="U600" s="14" t="n">
        <f aca="false">IF(OR($S600="",PARAMETROS!$B$4=""),"",$S600*PARAMETROS!$B$4)</f>
        <v>0</v>
      </c>
      <c r="V600" s="13" t="n">
        <v>0</v>
      </c>
      <c r="W600" s="4"/>
      <c r="X600" s="4"/>
      <c r="Y600" s="4"/>
      <c r="Z600" s="4"/>
      <c r="AA600" s="4"/>
      <c r="AB600" s="4"/>
      <c r="AC600" s="4"/>
      <c r="AD600" s="4"/>
      <c r="AE600" s="4"/>
      <c r="AF600" s="4"/>
      <c r="AG600" s="4"/>
      <c r="AH600" s="4"/>
      <c r="AI600" s="4"/>
      <c r="AJ600" s="4"/>
      <c r="AK600" s="4"/>
      <c r="AL600" s="4" t="s">
        <v>174</v>
      </c>
      <c r="AM600" s="4" t="s">
        <v>205</v>
      </c>
    </row>
    <row r="601" customFormat="false" ht="23.85" hidden="false" customHeight="false" outlineLevel="0" collapsed="false">
      <c r="A601" s="4" t="s">
        <v>167</v>
      </c>
      <c r="B601" s="4" t="s">
        <v>778</v>
      </c>
      <c r="C601" s="4" t="s">
        <v>778</v>
      </c>
      <c r="D601" s="12" t="n">
        <v>2020</v>
      </c>
      <c r="E601" s="4"/>
      <c r="F601" s="4" t="s">
        <v>169</v>
      </c>
      <c r="G601" s="4" t="s">
        <v>170</v>
      </c>
      <c r="H601" s="4" t="s">
        <v>171</v>
      </c>
      <c r="I601" s="4" t="s">
        <v>172</v>
      </c>
      <c r="J601" s="4" t="s">
        <v>778</v>
      </c>
      <c r="K601" s="4" t="s">
        <v>86</v>
      </c>
      <c r="L601" s="4" t="s">
        <v>87</v>
      </c>
      <c r="M601" s="4"/>
      <c r="N601" s="4"/>
      <c r="O601" s="4"/>
      <c r="P601" s="4"/>
      <c r="Q601" s="4"/>
      <c r="R601" s="4"/>
      <c r="S601" s="13" t="n">
        <v>0</v>
      </c>
      <c r="T601" s="4" t="s">
        <v>173</v>
      </c>
      <c r="U601" s="14" t="n">
        <f aca="false">IF(OR($S601="",PARAMETROS!$B$4=""),"",$S601*PARAMETROS!$B$4)</f>
        <v>0</v>
      </c>
      <c r="V601" s="13" t="n">
        <v>0</v>
      </c>
      <c r="W601" s="4"/>
      <c r="X601" s="4"/>
      <c r="Y601" s="4"/>
      <c r="Z601" s="4"/>
      <c r="AA601" s="4"/>
      <c r="AB601" s="4"/>
      <c r="AC601" s="4"/>
      <c r="AD601" s="4"/>
      <c r="AE601" s="4"/>
      <c r="AF601" s="4"/>
      <c r="AG601" s="4"/>
      <c r="AH601" s="4"/>
      <c r="AI601" s="4"/>
      <c r="AJ601" s="4"/>
      <c r="AK601" s="4"/>
      <c r="AL601" s="4" t="s">
        <v>174</v>
      </c>
      <c r="AM601" s="4" t="s">
        <v>205</v>
      </c>
    </row>
    <row r="602" customFormat="false" ht="23.85" hidden="false" customHeight="false" outlineLevel="0" collapsed="false">
      <c r="A602" s="4" t="s">
        <v>167</v>
      </c>
      <c r="B602" s="4" t="s">
        <v>779</v>
      </c>
      <c r="C602" s="4" t="s">
        <v>779</v>
      </c>
      <c r="D602" s="12" t="n">
        <v>2020</v>
      </c>
      <c r="E602" s="4"/>
      <c r="F602" s="4" t="s">
        <v>169</v>
      </c>
      <c r="G602" s="4" t="s">
        <v>170</v>
      </c>
      <c r="H602" s="4" t="s">
        <v>171</v>
      </c>
      <c r="I602" s="4" t="s">
        <v>172</v>
      </c>
      <c r="J602" s="4" t="s">
        <v>779</v>
      </c>
      <c r="K602" s="4" t="s">
        <v>86</v>
      </c>
      <c r="L602" s="4" t="s">
        <v>87</v>
      </c>
      <c r="M602" s="4"/>
      <c r="N602" s="4"/>
      <c r="O602" s="4"/>
      <c r="P602" s="4"/>
      <c r="Q602" s="4"/>
      <c r="R602" s="4"/>
      <c r="S602" s="13" t="n">
        <v>0</v>
      </c>
      <c r="T602" s="4" t="s">
        <v>173</v>
      </c>
      <c r="U602" s="14" t="n">
        <f aca="false">IF(OR($S602="",PARAMETROS!$B$4=""),"",$S602*PARAMETROS!$B$4)</f>
        <v>0</v>
      </c>
      <c r="V602" s="13" t="n">
        <v>0</v>
      </c>
      <c r="W602" s="4"/>
      <c r="X602" s="4"/>
      <c r="Y602" s="4"/>
      <c r="Z602" s="4"/>
      <c r="AA602" s="4"/>
      <c r="AB602" s="4"/>
      <c r="AC602" s="4"/>
      <c r="AD602" s="4"/>
      <c r="AE602" s="4"/>
      <c r="AF602" s="4"/>
      <c r="AG602" s="4"/>
      <c r="AH602" s="4"/>
      <c r="AI602" s="4"/>
      <c r="AJ602" s="4"/>
      <c r="AK602" s="4"/>
      <c r="AL602" s="4" t="s">
        <v>174</v>
      </c>
      <c r="AM602" s="4" t="s">
        <v>205</v>
      </c>
    </row>
    <row r="603" customFormat="false" ht="23.85" hidden="false" customHeight="false" outlineLevel="0" collapsed="false">
      <c r="A603" s="4" t="s">
        <v>167</v>
      </c>
      <c r="B603" s="4" t="s">
        <v>780</v>
      </c>
      <c r="C603" s="4" t="s">
        <v>780</v>
      </c>
      <c r="D603" s="12" t="n">
        <v>2020</v>
      </c>
      <c r="E603" s="4"/>
      <c r="F603" s="4" t="s">
        <v>169</v>
      </c>
      <c r="G603" s="4" t="s">
        <v>170</v>
      </c>
      <c r="H603" s="4" t="s">
        <v>171</v>
      </c>
      <c r="I603" s="4" t="s">
        <v>172</v>
      </c>
      <c r="J603" s="4" t="s">
        <v>780</v>
      </c>
      <c r="K603" s="4" t="s">
        <v>86</v>
      </c>
      <c r="L603" s="4" t="s">
        <v>87</v>
      </c>
      <c r="M603" s="4"/>
      <c r="N603" s="4"/>
      <c r="O603" s="4"/>
      <c r="P603" s="4"/>
      <c r="Q603" s="4"/>
      <c r="R603" s="4"/>
      <c r="S603" s="13" t="n">
        <v>0</v>
      </c>
      <c r="T603" s="4" t="s">
        <v>173</v>
      </c>
      <c r="U603" s="14" t="n">
        <f aca="false">IF(OR($S603="",PARAMETROS!$B$4=""),"",$S603*PARAMETROS!$B$4)</f>
        <v>0</v>
      </c>
      <c r="V603" s="13" t="n">
        <v>0</v>
      </c>
      <c r="W603" s="4"/>
      <c r="X603" s="4"/>
      <c r="Y603" s="4"/>
      <c r="Z603" s="4"/>
      <c r="AA603" s="4"/>
      <c r="AB603" s="4"/>
      <c r="AC603" s="4"/>
      <c r="AD603" s="4"/>
      <c r="AE603" s="4"/>
      <c r="AF603" s="4"/>
      <c r="AG603" s="4"/>
      <c r="AH603" s="4"/>
      <c r="AI603" s="4"/>
      <c r="AJ603" s="4"/>
      <c r="AK603" s="4"/>
      <c r="AL603" s="4" t="s">
        <v>174</v>
      </c>
      <c r="AM603" s="4" t="s">
        <v>205</v>
      </c>
    </row>
    <row r="604" customFormat="false" ht="23.85" hidden="false" customHeight="false" outlineLevel="0" collapsed="false">
      <c r="A604" s="4" t="s">
        <v>167</v>
      </c>
      <c r="B604" s="4" t="s">
        <v>781</v>
      </c>
      <c r="C604" s="4" t="s">
        <v>781</v>
      </c>
      <c r="D604" s="12" t="n">
        <v>2020</v>
      </c>
      <c r="E604" s="4"/>
      <c r="F604" s="4" t="s">
        <v>169</v>
      </c>
      <c r="G604" s="4" t="s">
        <v>170</v>
      </c>
      <c r="H604" s="4" t="s">
        <v>171</v>
      </c>
      <c r="I604" s="4" t="s">
        <v>172</v>
      </c>
      <c r="J604" s="4" t="s">
        <v>781</v>
      </c>
      <c r="K604" s="4" t="s">
        <v>88</v>
      </c>
      <c r="L604" s="4" t="s">
        <v>89</v>
      </c>
      <c r="M604" s="4"/>
      <c r="N604" s="4"/>
      <c r="O604" s="4"/>
      <c r="P604" s="4"/>
      <c r="Q604" s="4"/>
      <c r="R604" s="4"/>
      <c r="S604" s="13" t="n">
        <v>137.61</v>
      </c>
      <c r="T604" s="4" t="s">
        <v>173</v>
      </c>
      <c r="U604" s="14" t="n">
        <f aca="false">IF(OR($S604="",PARAMETROS!$B$4=""),"",$S604*PARAMETROS!$B$4)</f>
        <v>799.5141</v>
      </c>
      <c r="V604" s="13" t="n">
        <v>0</v>
      </c>
      <c r="W604" s="4"/>
      <c r="X604" s="4"/>
      <c r="Y604" s="4"/>
      <c r="Z604" s="4"/>
      <c r="AA604" s="4"/>
      <c r="AB604" s="4"/>
      <c r="AC604" s="4"/>
      <c r="AD604" s="4"/>
      <c r="AE604" s="4"/>
      <c r="AF604" s="4"/>
      <c r="AG604" s="4"/>
      <c r="AH604" s="4"/>
      <c r="AI604" s="4"/>
      <c r="AJ604" s="4"/>
      <c r="AK604" s="4"/>
      <c r="AL604" s="4" t="s">
        <v>174</v>
      </c>
      <c r="AM604" s="4" t="s">
        <v>190</v>
      </c>
    </row>
    <row r="605" customFormat="false" ht="23.85" hidden="false" customHeight="false" outlineLevel="0" collapsed="false">
      <c r="A605" s="4" t="s">
        <v>167</v>
      </c>
      <c r="B605" s="4" t="s">
        <v>782</v>
      </c>
      <c r="C605" s="4" t="s">
        <v>782</v>
      </c>
      <c r="D605" s="12" t="n">
        <v>2020</v>
      </c>
      <c r="E605" s="4"/>
      <c r="F605" s="4" t="s">
        <v>169</v>
      </c>
      <c r="G605" s="4" t="s">
        <v>170</v>
      </c>
      <c r="H605" s="4" t="s">
        <v>171</v>
      </c>
      <c r="I605" s="4" t="s">
        <v>172</v>
      </c>
      <c r="J605" s="4" t="s">
        <v>782</v>
      </c>
      <c r="K605" s="4" t="s">
        <v>88</v>
      </c>
      <c r="L605" s="4" t="s">
        <v>89</v>
      </c>
      <c r="M605" s="4"/>
      <c r="N605" s="4"/>
      <c r="O605" s="4"/>
      <c r="P605" s="4"/>
      <c r="Q605" s="4"/>
      <c r="R605" s="4"/>
      <c r="S605" s="13" t="n">
        <v>0</v>
      </c>
      <c r="T605" s="4" t="s">
        <v>173</v>
      </c>
      <c r="U605" s="14" t="n">
        <f aca="false">IF(OR($S605="",PARAMETROS!$B$4=""),"",$S605*PARAMETROS!$B$4)</f>
        <v>0</v>
      </c>
      <c r="V605" s="13" t="n">
        <v>0</v>
      </c>
      <c r="W605" s="4"/>
      <c r="X605" s="4"/>
      <c r="Y605" s="4"/>
      <c r="Z605" s="4"/>
      <c r="AA605" s="4"/>
      <c r="AB605" s="4"/>
      <c r="AC605" s="4"/>
      <c r="AD605" s="4"/>
      <c r="AE605" s="4"/>
      <c r="AF605" s="4"/>
      <c r="AG605" s="4"/>
      <c r="AH605" s="4"/>
      <c r="AI605" s="4"/>
      <c r="AJ605" s="4"/>
      <c r="AK605" s="4"/>
      <c r="AL605" s="4" t="s">
        <v>174</v>
      </c>
      <c r="AM605" s="4" t="s">
        <v>190</v>
      </c>
    </row>
    <row r="606" customFormat="false" ht="23.85" hidden="false" customHeight="false" outlineLevel="0" collapsed="false">
      <c r="A606" s="4" t="s">
        <v>167</v>
      </c>
      <c r="B606" s="4" t="s">
        <v>783</v>
      </c>
      <c r="C606" s="4" t="s">
        <v>783</v>
      </c>
      <c r="D606" s="12" t="n">
        <v>2020</v>
      </c>
      <c r="E606" s="4"/>
      <c r="F606" s="4" t="s">
        <v>169</v>
      </c>
      <c r="G606" s="4" t="s">
        <v>170</v>
      </c>
      <c r="H606" s="4" t="s">
        <v>171</v>
      </c>
      <c r="I606" s="4" t="s">
        <v>172</v>
      </c>
      <c r="J606" s="4" t="s">
        <v>783</v>
      </c>
      <c r="K606" s="4" t="s">
        <v>88</v>
      </c>
      <c r="L606" s="4" t="s">
        <v>89</v>
      </c>
      <c r="M606" s="4"/>
      <c r="N606" s="4"/>
      <c r="O606" s="4"/>
      <c r="P606" s="4"/>
      <c r="Q606" s="4"/>
      <c r="R606" s="4"/>
      <c r="S606" s="13" t="n">
        <v>0</v>
      </c>
      <c r="T606" s="4" t="s">
        <v>173</v>
      </c>
      <c r="U606" s="14" t="n">
        <f aca="false">IF(OR($S606="",PARAMETROS!$B$4=""),"",$S606*PARAMETROS!$B$4)</f>
        <v>0</v>
      </c>
      <c r="V606" s="13" t="n">
        <v>0</v>
      </c>
      <c r="W606" s="4"/>
      <c r="X606" s="4"/>
      <c r="Y606" s="4"/>
      <c r="Z606" s="4"/>
      <c r="AA606" s="4"/>
      <c r="AB606" s="4"/>
      <c r="AC606" s="4"/>
      <c r="AD606" s="4"/>
      <c r="AE606" s="4"/>
      <c r="AF606" s="4"/>
      <c r="AG606" s="4"/>
      <c r="AH606" s="4"/>
      <c r="AI606" s="4"/>
      <c r="AJ606" s="4"/>
      <c r="AK606" s="4"/>
      <c r="AL606" s="4" t="s">
        <v>174</v>
      </c>
      <c r="AM606" s="4" t="s">
        <v>190</v>
      </c>
    </row>
    <row r="607" customFormat="false" ht="23.85" hidden="false" customHeight="false" outlineLevel="0" collapsed="false">
      <c r="A607" s="4" t="s">
        <v>167</v>
      </c>
      <c r="B607" s="4" t="s">
        <v>784</v>
      </c>
      <c r="C607" s="4" t="s">
        <v>784</v>
      </c>
      <c r="D607" s="12" t="n">
        <v>2020</v>
      </c>
      <c r="E607" s="4"/>
      <c r="F607" s="4" t="s">
        <v>169</v>
      </c>
      <c r="G607" s="4" t="s">
        <v>170</v>
      </c>
      <c r="H607" s="4" t="s">
        <v>171</v>
      </c>
      <c r="I607" s="4" t="s">
        <v>172</v>
      </c>
      <c r="J607" s="4" t="s">
        <v>784</v>
      </c>
      <c r="K607" s="4" t="s">
        <v>88</v>
      </c>
      <c r="L607" s="4" t="s">
        <v>89</v>
      </c>
      <c r="M607" s="4"/>
      <c r="N607" s="4"/>
      <c r="O607" s="4"/>
      <c r="P607" s="4"/>
      <c r="Q607" s="4"/>
      <c r="R607" s="4"/>
      <c r="S607" s="13" t="n">
        <v>0</v>
      </c>
      <c r="T607" s="4" t="s">
        <v>173</v>
      </c>
      <c r="U607" s="14" t="n">
        <f aca="false">IF(OR($S607="",PARAMETROS!$B$4=""),"",$S607*PARAMETROS!$B$4)</f>
        <v>0</v>
      </c>
      <c r="V607" s="13" t="n">
        <v>0</v>
      </c>
      <c r="W607" s="4"/>
      <c r="X607" s="4"/>
      <c r="Y607" s="4"/>
      <c r="Z607" s="4"/>
      <c r="AA607" s="4"/>
      <c r="AB607" s="4"/>
      <c r="AC607" s="4"/>
      <c r="AD607" s="4"/>
      <c r="AE607" s="4"/>
      <c r="AF607" s="4"/>
      <c r="AG607" s="4"/>
      <c r="AH607" s="4"/>
      <c r="AI607" s="4"/>
      <c r="AJ607" s="4"/>
      <c r="AK607" s="4"/>
      <c r="AL607" s="4" t="s">
        <v>174</v>
      </c>
      <c r="AM607" s="4" t="s">
        <v>190</v>
      </c>
    </row>
    <row r="608" customFormat="false" ht="23.85" hidden="false" customHeight="false" outlineLevel="0" collapsed="false">
      <c r="A608" s="4" t="s">
        <v>167</v>
      </c>
      <c r="B608" s="4" t="s">
        <v>785</v>
      </c>
      <c r="C608" s="4" t="s">
        <v>785</v>
      </c>
      <c r="D608" s="12" t="n">
        <v>2020</v>
      </c>
      <c r="E608" s="4"/>
      <c r="F608" s="4" t="s">
        <v>169</v>
      </c>
      <c r="G608" s="4" t="s">
        <v>170</v>
      </c>
      <c r="H608" s="4" t="s">
        <v>171</v>
      </c>
      <c r="I608" s="4" t="s">
        <v>172</v>
      </c>
      <c r="J608" s="4" t="s">
        <v>785</v>
      </c>
      <c r="K608" s="4" t="s">
        <v>88</v>
      </c>
      <c r="L608" s="4" t="s">
        <v>89</v>
      </c>
      <c r="M608" s="4"/>
      <c r="N608" s="4"/>
      <c r="O608" s="4"/>
      <c r="P608" s="4"/>
      <c r="Q608" s="4"/>
      <c r="R608" s="4"/>
      <c r="S608" s="13" t="n">
        <v>0</v>
      </c>
      <c r="T608" s="4" t="s">
        <v>173</v>
      </c>
      <c r="U608" s="14" t="n">
        <f aca="false">IF(OR($S608="",PARAMETROS!$B$4=""),"",$S608*PARAMETROS!$B$4)</f>
        <v>0</v>
      </c>
      <c r="V608" s="13" t="n">
        <v>0</v>
      </c>
      <c r="W608" s="4"/>
      <c r="X608" s="4"/>
      <c r="Y608" s="4"/>
      <c r="Z608" s="4"/>
      <c r="AA608" s="4"/>
      <c r="AB608" s="4"/>
      <c r="AC608" s="4"/>
      <c r="AD608" s="4"/>
      <c r="AE608" s="4"/>
      <c r="AF608" s="4"/>
      <c r="AG608" s="4"/>
      <c r="AH608" s="4"/>
      <c r="AI608" s="4"/>
      <c r="AJ608" s="4"/>
      <c r="AK608" s="4"/>
      <c r="AL608" s="4" t="s">
        <v>174</v>
      </c>
      <c r="AM608" s="4" t="s">
        <v>190</v>
      </c>
    </row>
    <row r="609" customFormat="false" ht="23.85" hidden="false" customHeight="false" outlineLevel="0" collapsed="false">
      <c r="A609" s="4" t="s">
        <v>167</v>
      </c>
      <c r="B609" s="4" t="s">
        <v>786</v>
      </c>
      <c r="C609" s="4" t="s">
        <v>786</v>
      </c>
      <c r="D609" s="12" t="n">
        <v>2020</v>
      </c>
      <c r="E609" s="4"/>
      <c r="F609" s="4" t="s">
        <v>169</v>
      </c>
      <c r="G609" s="4" t="s">
        <v>170</v>
      </c>
      <c r="H609" s="4" t="s">
        <v>171</v>
      </c>
      <c r="I609" s="4" t="s">
        <v>172</v>
      </c>
      <c r="J609" s="4" t="s">
        <v>786</v>
      </c>
      <c r="K609" s="4" t="s">
        <v>88</v>
      </c>
      <c r="L609" s="4" t="s">
        <v>89</v>
      </c>
      <c r="M609" s="4"/>
      <c r="N609" s="4"/>
      <c r="O609" s="4"/>
      <c r="P609" s="4"/>
      <c r="Q609" s="4"/>
      <c r="R609" s="4"/>
      <c r="S609" s="13" t="n">
        <v>-137.61</v>
      </c>
      <c r="T609" s="4" t="s">
        <v>173</v>
      </c>
      <c r="U609" s="14" t="n">
        <f aca="false">IF(OR($S609="",PARAMETROS!$B$4=""),"",$S609*PARAMETROS!$B$4)</f>
        <v>-799.5141</v>
      </c>
      <c r="V609" s="13" t="n">
        <v>0</v>
      </c>
      <c r="W609" s="4"/>
      <c r="X609" s="4"/>
      <c r="Y609" s="4"/>
      <c r="Z609" s="4"/>
      <c r="AA609" s="4"/>
      <c r="AB609" s="4"/>
      <c r="AC609" s="4"/>
      <c r="AD609" s="4"/>
      <c r="AE609" s="4"/>
      <c r="AF609" s="4"/>
      <c r="AG609" s="4"/>
      <c r="AH609" s="4"/>
      <c r="AI609" s="4"/>
      <c r="AJ609" s="4"/>
      <c r="AK609" s="4"/>
      <c r="AL609" s="4" t="s">
        <v>174</v>
      </c>
      <c r="AM609" s="4" t="s">
        <v>190</v>
      </c>
    </row>
    <row r="610" customFormat="false" ht="23.85" hidden="false" customHeight="false" outlineLevel="0" collapsed="false">
      <c r="A610" s="4" t="s">
        <v>167</v>
      </c>
      <c r="B610" s="4" t="s">
        <v>787</v>
      </c>
      <c r="C610" s="4" t="s">
        <v>787</v>
      </c>
      <c r="D610" s="12" t="n">
        <v>2020</v>
      </c>
      <c r="E610" s="4"/>
      <c r="F610" s="4" t="s">
        <v>169</v>
      </c>
      <c r="G610" s="4" t="s">
        <v>170</v>
      </c>
      <c r="H610" s="4" t="s">
        <v>171</v>
      </c>
      <c r="I610" s="4" t="s">
        <v>172</v>
      </c>
      <c r="J610" s="4" t="s">
        <v>787</v>
      </c>
      <c r="K610" s="4" t="s">
        <v>88</v>
      </c>
      <c r="L610" s="4" t="s">
        <v>89</v>
      </c>
      <c r="M610" s="4"/>
      <c r="N610" s="4"/>
      <c r="O610" s="4"/>
      <c r="P610" s="4"/>
      <c r="Q610" s="4"/>
      <c r="R610" s="4"/>
      <c r="S610" s="13" t="n">
        <v>0</v>
      </c>
      <c r="T610" s="4" t="s">
        <v>173</v>
      </c>
      <c r="U610" s="14" t="n">
        <f aca="false">IF(OR($S610="",PARAMETROS!$B$4=""),"",$S610*PARAMETROS!$B$4)</f>
        <v>0</v>
      </c>
      <c r="V610" s="13" t="n">
        <v>0</v>
      </c>
      <c r="W610" s="4"/>
      <c r="X610" s="4"/>
      <c r="Y610" s="4"/>
      <c r="Z610" s="4"/>
      <c r="AA610" s="4"/>
      <c r="AB610" s="4"/>
      <c r="AC610" s="4"/>
      <c r="AD610" s="4"/>
      <c r="AE610" s="4"/>
      <c r="AF610" s="4"/>
      <c r="AG610" s="4"/>
      <c r="AH610" s="4"/>
      <c r="AI610" s="4"/>
      <c r="AJ610" s="4"/>
      <c r="AK610" s="4"/>
      <c r="AL610" s="4" t="s">
        <v>174</v>
      </c>
      <c r="AM610" s="4" t="s">
        <v>190</v>
      </c>
    </row>
    <row r="611" customFormat="false" ht="23.85" hidden="false" customHeight="false" outlineLevel="0" collapsed="false">
      <c r="A611" s="4" t="s">
        <v>167</v>
      </c>
      <c r="B611" s="4" t="s">
        <v>788</v>
      </c>
      <c r="C611" s="4" t="s">
        <v>788</v>
      </c>
      <c r="D611" s="12" t="n">
        <v>2020</v>
      </c>
      <c r="E611" s="4"/>
      <c r="F611" s="4" t="s">
        <v>169</v>
      </c>
      <c r="G611" s="4" t="s">
        <v>170</v>
      </c>
      <c r="H611" s="4" t="s">
        <v>171</v>
      </c>
      <c r="I611" s="4" t="s">
        <v>172</v>
      </c>
      <c r="J611" s="4" t="s">
        <v>788</v>
      </c>
      <c r="K611" s="4" t="s">
        <v>88</v>
      </c>
      <c r="L611" s="4" t="s">
        <v>89</v>
      </c>
      <c r="M611" s="4"/>
      <c r="N611" s="4"/>
      <c r="O611" s="4"/>
      <c r="P611" s="4"/>
      <c r="Q611" s="4"/>
      <c r="R611" s="4"/>
      <c r="S611" s="13" t="n">
        <v>0</v>
      </c>
      <c r="T611" s="4" t="s">
        <v>173</v>
      </c>
      <c r="U611" s="14" t="n">
        <f aca="false">IF(OR($S611="",PARAMETROS!$B$4=""),"",$S611*PARAMETROS!$B$4)</f>
        <v>0</v>
      </c>
      <c r="V611" s="13" t="n">
        <v>0</v>
      </c>
      <c r="W611" s="4"/>
      <c r="X611" s="4"/>
      <c r="Y611" s="4"/>
      <c r="Z611" s="4"/>
      <c r="AA611" s="4"/>
      <c r="AB611" s="4"/>
      <c r="AC611" s="4"/>
      <c r="AD611" s="4"/>
      <c r="AE611" s="4"/>
      <c r="AF611" s="4"/>
      <c r="AG611" s="4"/>
      <c r="AH611" s="4"/>
      <c r="AI611" s="4"/>
      <c r="AJ611" s="4"/>
      <c r="AK611" s="4"/>
      <c r="AL611" s="4" t="s">
        <v>174</v>
      </c>
      <c r="AM611" s="4" t="s">
        <v>190</v>
      </c>
    </row>
    <row r="612" customFormat="false" ht="23.85" hidden="false" customHeight="false" outlineLevel="0" collapsed="false">
      <c r="A612" s="4" t="s">
        <v>167</v>
      </c>
      <c r="B612" s="4" t="s">
        <v>789</v>
      </c>
      <c r="C612" s="4" t="s">
        <v>789</v>
      </c>
      <c r="D612" s="12" t="n">
        <v>2020</v>
      </c>
      <c r="E612" s="4"/>
      <c r="F612" s="4" t="s">
        <v>169</v>
      </c>
      <c r="G612" s="4" t="s">
        <v>170</v>
      </c>
      <c r="H612" s="4" t="s">
        <v>171</v>
      </c>
      <c r="I612" s="4" t="s">
        <v>172</v>
      </c>
      <c r="J612" s="4" t="s">
        <v>789</v>
      </c>
      <c r="K612" s="4" t="s">
        <v>88</v>
      </c>
      <c r="L612" s="4" t="s">
        <v>89</v>
      </c>
      <c r="M612" s="4"/>
      <c r="N612" s="4"/>
      <c r="O612" s="4"/>
      <c r="P612" s="4"/>
      <c r="Q612" s="4"/>
      <c r="R612" s="4"/>
      <c r="S612" s="13" t="n">
        <v>0</v>
      </c>
      <c r="T612" s="4" t="s">
        <v>173</v>
      </c>
      <c r="U612" s="14" t="n">
        <f aca="false">IF(OR($S612="",PARAMETROS!$B$4=""),"",$S612*PARAMETROS!$B$4)</f>
        <v>0</v>
      </c>
      <c r="V612" s="13" t="n">
        <v>0</v>
      </c>
      <c r="W612" s="4"/>
      <c r="X612" s="4"/>
      <c r="Y612" s="4"/>
      <c r="Z612" s="4"/>
      <c r="AA612" s="4"/>
      <c r="AB612" s="4"/>
      <c r="AC612" s="4"/>
      <c r="AD612" s="4"/>
      <c r="AE612" s="4"/>
      <c r="AF612" s="4"/>
      <c r="AG612" s="4"/>
      <c r="AH612" s="4"/>
      <c r="AI612" s="4"/>
      <c r="AJ612" s="4"/>
      <c r="AK612" s="4"/>
      <c r="AL612" s="4" t="s">
        <v>174</v>
      </c>
      <c r="AM612" s="4" t="s">
        <v>190</v>
      </c>
    </row>
    <row r="613" customFormat="false" ht="23.85" hidden="false" customHeight="false" outlineLevel="0" collapsed="false">
      <c r="A613" s="4" t="s">
        <v>167</v>
      </c>
      <c r="B613" s="4" t="s">
        <v>790</v>
      </c>
      <c r="C613" s="4" t="s">
        <v>790</v>
      </c>
      <c r="D613" s="12" t="n">
        <v>2020</v>
      </c>
      <c r="E613" s="4"/>
      <c r="F613" s="4" t="s">
        <v>169</v>
      </c>
      <c r="G613" s="4" t="s">
        <v>170</v>
      </c>
      <c r="H613" s="4" t="s">
        <v>171</v>
      </c>
      <c r="I613" s="4" t="s">
        <v>172</v>
      </c>
      <c r="J613" s="4" t="s">
        <v>790</v>
      </c>
      <c r="K613" s="4" t="s">
        <v>88</v>
      </c>
      <c r="L613" s="4" t="s">
        <v>89</v>
      </c>
      <c r="M613" s="4"/>
      <c r="N613" s="4"/>
      <c r="O613" s="4"/>
      <c r="P613" s="4"/>
      <c r="Q613" s="4"/>
      <c r="R613" s="4"/>
      <c r="S613" s="13" t="n">
        <v>0</v>
      </c>
      <c r="T613" s="4" t="s">
        <v>173</v>
      </c>
      <c r="U613" s="14" t="n">
        <f aca="false">IF(OR($S613="",PARAMETROS!$B$4=""),"",$S613*PARAMETROS!$B$4)</f>
        <v>0</v>
      </c>
      <c r="V613" s="13" t="n">
        <v>0</v>
      </c>
      <c r="W613" s="4"/>
      <c r="X613" s="4"/>
      <c r="Y613" s="4"/>
      <c r="Z613" s="4"/>
      <c r="AA613" s="4"/>
      <c r="AB613" s="4"/>
      <c r="AC613" s="4"/>
      <c r="AD613" s="4"/>
      <c r="AE613" s="4"/>
      <c r="AF613" s="4"/>
      <c r="AG613" s="4"/>
      <c r="AH613" s="4"/>
      <c r="AI613" s="4"/>
      <c r="AJ613" s="4"/>
      <c r="AK613" s="4"/>
      <c r="AL613" s="4" t="s">
        <v>174</v>
      </c>
      <c r="AM613" s="4" t="s">
        <v>190</v>
      </c>
    </row>
    <row r="614" customFormat="false" ht="23.85" hidden="false" customHeight="false" outlineLevel="0" collapsed="false">
      <c r="A614" s="4" t="s">
        <v>167</v>
      </c>
      <c r="B614" s="4" t="s">
        <v>791</v>
      </c>
      <c r="C614" s="4" t="s">
        <v>791</v>
      </c>
      <c r="D614" s="12" t="n">
        <v>2020</v>
      </c>
      <c r="E614" s="4"/>
      <c r="F614" s="4" t="s">
        <v>169</v>
      </c>
      <c r="G614" s="4" t="s">
        <v>170</v>
      </c>
      <c r="H614" s="4" t="s">
        <v>171</v>
      </c>
      <c r="I614" s="4" t="s">
        <v>172</v>
      </c>
      <c r="J614" s="4" t="s">
        <v>791</v>
      </c>
      <c r="K614" s="4" t="s">
        <v>88</v>
      </c>
      <c r="L614" s="4" t="s">
        <v>89</v>
      </c>
      <c r="M614" s="4"/>
      <c r="N614" s="4"/>
      <c r="O614" s="4"/>
      <c r="P614" s="4"/>
      <c r="Q614" s="4"/>
      <c r="R614" s="4"/>
      <c r="S614" s="13" t="n">
        <v>0</v>
      </c>
      <c r="T614" s="4" t="s">
        <v>173</v>
      </c>
      <c r="U614" s="14" t="n">
        <f aca="false">IF(OR($S614="",PARAMETROS!$B$4=""),"",$S614*PARAMETROS!$B$4)</f>
        <v>0</v>
      </c>
      <c r="V614" s="13" t="n">
        <v>0</v>
      </c>
      <c r="W614" s="4"/>
      <c r="X614" s="4"/>
      <c r="Y614" s="4"/>
      <c r="Z614" s="4"/>
      <c r="AA614" s="4"/>
      <c r="AB614" s="4"/>
      <c r="AC614" s="4"/>
      <c r="AD614" s="4"/>
      <c r="AE614" s="4"/>
      <c r="AF614" s="4"/>
      <c r="AG614" s="4"/>
      <c r="AH614" s="4"/>
      <c r="AI614" s="4"/>
      <c r="AJ614" s="4"/>
      <c r="AK614" s="4"/>
      <c r="AL614" s="4" t="s">
        <v>174</v>
      </c>
      <c r="AM614" s="4" t="s">
        <v>190</v>
      </c>
    </row>
    <row r="615" customFormat="false" ht="23.85" hidden="false" customHeight="false" outlineLevel="0" collapsed="false">
      <c r="A615" s="4" t="s">
        <v>167</v>
      </c>
      <c r="B615" s="4" t="s">
        <v>792</v>
      </c>
      <c r="C615" s="4" t="s">
        <v>792</v>
      </c>
      <c r="D615" s="12" t="n">
        <v>2020</v>
      </c>
      <c r="E615" s="4"/>
      <c r="F615" s="4" t="s">
        <v>169</v>
      </c>
      <c r="G615" s="4" t="s">
        <v>170</v>
      </c>
      <c r="H615" s="4" t="s">
        <v>171</v>
      </c>
      <c r="I615" s="4" t="s">
        <v>172</v>
      </c>
      <c r="J615" s="4" t="s">
        <v>792</v>
      </c>
      <c r="K615" s="4" t="s">
        <v>88</v>
      </c>
      <c r="L615" s="4" t="s">
        <v>89</v>
      </c>
      <c r="M615" s="4"/>
      <c r="N615" s="4"/>
      <c r="O615" s="4"/>
      <c r="P615" s="4"/>
      <c r="Q615" s="4"/>
      <c r="R615" s="4"/>
      <c r="S615" s="13" t="n">
        <v>0</v>
      </c>
      <c r="T615" s="4" t="s">
        <v>173</v>
      </c>
      <c r="U615" s="14" t="n">
        <f aca="false">IF(OR($S615="",PARAMETROS!$B$4=""),"",$S615*PARAMETROS!$B$4)</f>
        <v>0</v>
      </c>
      <c r="V615" s="13" t="n">
        <v>0</v>
      </c>
      <c r="W615" s="4"/>
      <c r="X615" s="4"/>
      <c r="Y615" s="4"/>
      <c r="Z615" s="4"/>
      <c r="AA615" s="4"/>
      <c r="AB615" s="4"/>
      <c r="AC615" s="4"/>
      <c r="AD615" s="4"/>
      <c r="AE615" s="4"/>
      <c r="AF615" s="4"/>
      <c r="AG615" s="4"/>
      <c r="AH615" s="4"/>
      <c r="AI615" s="4"/>
      <c r="AJ615" s="4"/>
      <c r="AK615" s="4"/>
      <c r="AL615" s="4" t="s">
        <v>174</v>
      </c>
      <c r="AM615" s="4" t="s">
        <v>190</v>
      </c>
    </row>
    <row r="616" customFormat="false" ht="23.85" hidden="false" customHeight="false" outlineLevel="0" collapsed="false">
      <c r="A616" s="4" t="s">
        <v>167</v>
      </c>
      <c r="B616" s="4" t="s">
        <v>793</v>
      </c>
      <c r="C616" s="4" t="s">
        <v>793</v>
      </c>
      <c r="D616" s="12" t="n">
        <v>2020</v>
      </c>
      <c r="E616" s="4"/>
      <c r="F616" s="4" t="s">
        <v>169</v>
      </c>
      <c r="G616" s="4" t="s">
        <v>170</v>
      </c>
      <c r="H616" s="4" t="s">
        <v>171</v>
      </c>
      <c r="I616" s="4" t="s">
        <v>172</v>
      </c>
      <c r="J616" s="4" t="s">
        <v>793</v>
      </c>
      <c r="K616" s="4" t="s">
        <v>88</v>
      </c>
      <c r="L616" s="4" t="s">
        <v>89</v>
      </c>
      <c r="M616" s="4"/>
      <c r="N616" s="4"/>
      <c r="O616" s="4"/>
      <c r="P616" s="4"/>
      <c r="Q616" s="4"/>
      <c r="R616" s="4"/>
      <c r="S616" s="13" t="n">
        <v>0</v>
      </c>
      <c r="T616" s="4" t="s">
        <v>173</v>
      </c>
      <c r="U616" s="14" t="n">
        <f aca="false">IF(OR($S616="",PARAMETROS!$B$4=""),"",$S616*PARAMETROS!$B$4)</f>
        <v>0</v>
      </c>
      <c r="V616" s="13" t="n">
        <v>0</v>
      </c>
      <c r="W616" s="4"/>
      <c r="X616" s="4"/>
      <c r="Y616" s="4"/>
      <c r="Z616" s="4"/>
      <c r="AA616" s="4"/>
      <c r="AB616" s="4"/>
      <c r="AC616" s="4"/>
      <c r="AD616" s="4"/>
      <c r="AE616" s="4"/>
      <c r="AF616" s="4"/>
      <c r="AG616" s="4"/>
      <c r="AH616" s="4"/>
      <c r="AI616" s="4"/>
      <c r="AJ616" s="4"/>
      <c r="AK616" s="4"/>
      <c r="AL616" s="4" t="s">
        <v>174</v>
      </c>
      <c r="AM616" s="4" t="s">
        <v>190</v>
      </c>
    </row>
    <row r="617" customFormat="false" ht="23.85" hidden="false" customHeight="false" outlineLevel="0" collapsed="false">
      <c r="A617" s="4" t="s">
        <v>167</v>
      </c>
      <c r="B617" s="4" t="s">
        <v>794</v>
      </c>
      <c r="C617" s="4" t="s">
        <v>794</v>
      </c>
      <c r="D617" s="12" t="n">
        <v>2020</v>
      </c>
      <c r="E617" s="4"/>
      <c r="F617" s="4" t="s">
        <v>169</v>
      </c>
      <c r="G617" s="4" t="s">
        <v>170</v>
      </c>
      <c r="H617" s="4" t="s">
        <v>171</v>
      </c>
      <c r="I617" s="4" t="s">
        <v>172</v>
      </c>
      <c r="J617" s="4" t="s">
        <v>794</v>
      </c>
      <c r="K617" s="4" t="s">
        <v>88</v>
      </c>
      <c r="L617" s="4" t="s">
        <v>89</v>
      </c>
      <c r="M617" s="4"/>
      <c r="N617" s="4"/>
      <c r="O617" s="4"/>
      <c r="P617" s="4"/>
      <c r="Q617" s="4"/>
      <c r="R617" s="4"/>
      <c r="S617" s="13" t="n">
        <v>0</v>
      </c>
      <c r="T617" s="4" t="s">
        <v>173</v>
      </c>
      <c r="U617" s="14" t="n">
        <f aca="false">IF(OR($S617="",PARAMETROS!$B$4=""),"",$S617*PARAMETROS!$B$4)</f>
        <v>0</v>
      </c>
      <c r="V617" s="13" t="n">
        <v>0</v>
      </c>
      <c r="W617" s="4"/>
      <c r="X617" s="4"/>
      <c r="Y617" s="4"/>
      <c r="Z617" s="4"/>
      <c r="AA617" s="4"/>
      <c r="AB617" s="4"/>
      <c r="AC617" s="4"/>
      <c r="AD617" s="4"/>
      <c r="AE617" s="4"/>
      <c r="AF617" s="4"/>
      <c r="AG617" s="4"/>
      <c r="AH617" s="4"/>
      <c r="AI617" s="4"/>
      <c r="AJ617" s="4"/>
      <c r="AK617" s="4"/>
      <c r="AL617" s="4" t="s">
        <v>174</v>
      </c>
      <c r="AM617" s="4" t="s">
        <v>190</v>
      </c>
    </row>
    <row r="618" customFormat="false" ht="23.85" hidden="false" customHeight="false" outlineLevel="0" collapsed="false">
      <c r="A618" s="4" t="s">
        <v>167</v>
      </c>
      <c r="B618" s="4" t="s">
        <v>795</v>
      </c>
      <c r="C618" s="4" t="s">
        <v>795</v>
      </c>
      <c r="D618" s="12" t="n">
        <v>2020</v>
      </c>
      <c r="E618" s="4"/>
      <c r="F618" s="4" t="s">
        <v>169</v>
      </c>
      <c r="G618" s="4" t="s">
        <v>170</v>
      </c>
      <c r="H618" s="4" t="s">
        <v>171</v>
      </c>
      <c r="I618" s="4" t="s">
        <v>172</v>
      </c>
      <c r="J618" s="4" t="s">
        <v>795</v>
      </c>
      <c r="K618" s="4" t="s">
        <v>95</v>
      </c>
      <c r="L618" s="4" t="s">
        <v>96</v>
      </c>
      <c r="M618" s="4"/>
      <c r="N618" s="4"/>
      <c r="O618" s="4"/>
      <c r="P618" s="4"/>
      <c r="Q618" s="4"/>
      <c r="R618" s="4"/>
      <c r="S618" s="13" t="n">
        <v>0</v>
      </c>
      <c r="T618" s="4" t="s">
        <v>173</v>
      </c>
      <c r="U618" s="14" t="n">
        <f aca="false">IF(OR($S618="",PARAMETROS!$B$4=""),"",$S618*PARAMETROS!$B$4)</f>
        <v>0</v>
      </c>
      <c r="V618" s="13" t="n">
        <v>0</v>
      </c>
      <c r="W618" s="4"/>
      <c r="X618" s="4"/>
      <c r="Y618" s="4"/>
      <c r="Z618" s="4"/>
      <c r="AA618" s="4"/>
      <c r="AB618" s="4"/>
      <c r="AC618" s="4"/>
      <c r="AD618" s="4"/>
      <c r="AE618" s="4"/>
      <c r="AF618" s="4"/>
      <c r="AG618" s="4"/>
      <c r="AH618" s="4"/>
      <c r="AI618" s="4"/>
      <c r="AJ618" s="4"/>
      <c r="AK618" s="4"/>
      <c r="AL618" s="4" t="s">
        <v>174</v>
      </c>
      <c r="AM618" s="4" t="s">
        <v>175</v>
      </c>
    </row>
    <row r="619" customFormat="false" ht="23.85" hidden="false" customHeight="false" outlineLevel="0" collapsed="false">
      <c r="A619" s="4" t="s">
        <v>167</v>
      </c>
      <c r="B619" s="4" t="s">
        <v>796</v>
      </c>
      <c r="C619" s="4" t="s">
        <v>796</v>
      </c>
      <c r="D619" s="12" t="n">
        <v>2020</v>
      </c>
      <c r="E619" s="4"/>
      <c r="F619" s="4" t="s">
        <v>169</v>
      </c>
      <c r="G619" s="4" t="s">
        <v>170</v>
      </c>
      <c r="H619" s="4" t="s">
        <v>171</v>
      </c>
      <c r="I619" s="4" t="s">
        <v>172</v>
      </c>
      <c r="J619" s="4" t="s">
        <v>796</v>
      </c>
      <c r="K619" s="4" t="s">
        <v>95</v>
      </c>
      <c r="L619" s="4" t="s">
        <v>96</v>
      </c>
      <c r="M619" s="4"/>
      <c r="N619" s="4"/>
      <c r="O619" s="4"/>
      <c r="P619" s="4"/>
      <c r="Q619" s="4"/>
      <c r="R619" s="4"/>
      <c r="S619" s="13" t="n">
        <v>2820.12</v>
      </c>
      <c r="T619" s="4" t="s">
        <v>173</v>
      </c>
      <c r="U619" s="14" t="n">
        <f aca="false">IF(OR($S619="",PARAMETROS!$B$4=""),"",$S619*PARAMETROS!$B$4)</f>
        <v>16384.8972</v>
      </c>
      <c r="V619" s="13" t="n">
        <v>0</v>
      </c>
      <c r="W619" s="4"/>
      <c r="X619" s="4"/>
      <c r="Y619" s="4"/>
      <c r="Z619" s="4"/>
      <c r="AA619" s="4"/>
      <c r="AB619" s="4"/>
      <c r="AC619" s="4"/>
      <c r="AD619" s="4"/>
      <c r="AE619" s="4"/>
      <c r="AF619" s="4"/>
      <c r="AG619" s="4"/>
      <c r="AH619" s="4"/>
      <c r="AI619" s="4"/>
      <c r="AJ619" s="4"/>
      <c r="AK619" s="4"/>
      <c r="AL619" s="4" t="s">
        <v>174</v>
      </c>
      <c r="AM619" s="4" t="s">
        <v>175</v>
      </c>
    </row>
    <row r="620" customFormat="false" ht="23.85" hidden="false" customHeight="false" outlineLevel="0" collapsed="false">
      <c r="A620" s="4" t="s">
        <v>167</v>
      </c>
      <c r="B620" s="4" t="s">
        <v>797</v>
      </c>
      <c r="C620" s="4" t="s">
        <v>797</v>
      </c>
      <c r="D620" s="12" t="n">
        <v>2020</v>
      </c>
      <c r="E620" s="4"/>
      <c r="F620" s="4" t="s">
        <v>169</v>
      </c>
      <c r="G620" s="4" t="s">
        <v>170</v>
      </c>
      <c r="H620" s="4" t="s">
        <v>171</v>
      </c>
      <c r="I620" s="4" t="s">
        <v>172</v>
      </c>
      <c r="J620" s="4" t="s">
        <v>797</v>
      </c>
      <c r="K620" s="4" t="s">
        <v>95</v>
      </c>
      <c r="L620" s="4" t="s">
        <v>96</v>
      </c>
      <c r="M620" s="4"/>
      <c r="N620" s="4"/>
      <c r="O620" s="4"/>
      <c r="P620" s="4"/>
      <c r="Q620" s="4"/>
      <c r="R620" s="4"/>
      <c r="S620" s="13" t="n">
        <v>0</v>
      </c>
      <c r="T620" s="4" t="s">
        <v>173</v>
      </c>
      <c r="U620" s="14" t="n">
        <f aca="false">IF(OR($S620="",PARAMETROS!$B$4=""),"",$S620*PARAMETROS!$B$4)</f>
        <v>0</v>
      </c>
      <c r="V620" s="13" t="n">
        <v>0</v>
      </c>
      <c r="W620" s="4"/>
      <c r="X620" s="4"/>
      <c r="Y620" s="4"/>
      <c r="Z620" s="4"/>
      <c r="AA620" s="4"/>
      <c r="AB620" s="4"/>
      <c r="AC620" s="4"/>
      <c r="AD620" s="4"/>
      <c r="AE620" s="4"/>
      <c r="AF620" s="4"/>
      <c r="AG620" s="4"/>
      <c r="AH620" s="4"/>
      <c r="AI620" s="4"/>
      <c r="AJ620" s="4"/>
      <c r="AK620" s="4"/>
      <c r="AL620" s="4" t="s">
        <v>174</v>
      </c>
      <c r="AM620" s="4" t="s">
        <v>175</v>
      </c>
    </row>
    <row r="621" customFormat="false" ht="23.85" hidden="false" customHeight="false" outlineLevel="0" collapsed="false">
      <c r="A621" s="4" t="s">
        <v>167</v>
      </c>
      <c r="B621" s="4" t="s">
        <v>798</v>
      </c>
      <c r="C621" s="4" t="s">
        <v>798</v>
      </c>
      <c r="D621" s="12" t="n">
        <v>2020</v>
      </c>
      <c r="E621" s="4"/>
      <c r="F621" s="4" t="s">
        <v>169</v>
      </c>
      <c r="G621" s="4" t="s">
        <v>170</v>
      </c>
      <c r="H621" s="4" t="s">
        <v>171</v>
      </c>
      <c r="I621" s="4" t="s">
        <v>172</v>
      </c>
      <c r="J621" s="4" t="s">
        <v>798</v>
      </c>
      <c r="K621" s="4" t="s">
        <v>95</v>
      </c>
      <c r="L621" s="4" t="s">
        <v>96</v>
      </c>
      <c r="M621" s="4"/>
      <c r="N621" s="4"/>
      <c r="O621" s="4"/>
      <c r="P621" s="4"/>
      <c r="Q621" s="4"/>
      <c r="R621" s="4"/>
      <c r="S621" s="13" t="n">
        <v>111.5</v>
      </c>
      <c r="T621" s="4" t="s">
        <v>173</v>
      </c>
      <c r="U621" s="14" t="n">
        <f aca="false">IF(OR($S621="",PARAMETROS!$B$4=""),"",$S621*PARAMETROS!$B$4)</f>
        <v>647.815</v>
      </c>
      <c r="V621" s="13" t="n">
        <v>0</v>
      </c>
      <c r="W621" s="4"/>
      <c r="X621" s="4"/>
      <c r="Y621" s="4"/>
      <c r="Z621" s="4"/>
      <c r="AA621" s="4"/>
      <c r="AB621" s="4"/>
      <c r="AC621" s="4"/>
      <c r="AD621" s="4"/>
      <c r="AE621" s="4"/>
      <c r="AF621" s="4"/>
      <c r="AG621" s="4"/>
      <c r="AH621" s="4"/>
      <c r="AI621" s="4"/>
      <c r="AJ621" s="4"/>
      <c r="AK621" s="4"/>
      <c r="AL621" s="4" t="s">
        <v>174</v>
      </c>
      <c r="AM621" s="4" t="s">
        <v>175</v>
      </c>
    </row>
    <row r="622" customFormat="false" ht="23.85" hidden="false" customHeight="false" outlineLevel="0" collapsed="false">
      <c r="A622" s="4" t="s">
        <v>167</v>
      </c>
      <c r="B622" s="4" t="s">
        <v>799</v>
      </c>
      <c r="C622" s="4" t="s">
        <v>799</v>
      </c>
      <c r="D622" s="12" t="n">
        <v>2020</v>
      </c>
      <c r="E622" s="4"/>
      <c r="F622" s="4" t="s">
        <v>169</v>
      </c>
      <c r="G622" s="4" t="s">
        <v>170</v>
      </c>
      <c r="H622" s="4" t="s">
        <v>171</v>
      </c>
      <c r="I622" s="4" t="s">
        <v>172</v>
      </c>
      <c r="J622" s="4" t="s">
        <v>799</v>
      </c>
      <c r="K622" s="4" t="s">
        <v>95</v>
      </c>
      <c r="L622" s="4" t="s">
        <v>96</v>
      </c>
      <c r="M622" s="4"/>
      <c r="N622" s="4"/>
      <c r="O622" s="4"/>
      <c r="P622" s="4"/>
      <c r="Q622" s="4"/>
      <c r="R622" s="4"/>
      <c r="S622" s="13" t="n">
        <v>0</v>
      </c>
      <c r="T622" s="4" t="s">
        <v>173</v>
      </c>
      <c r="U622" s="14" t="n">
        <f aca="false">IF(OR($S622="",PARAMETROS!$B$4=""),"",$S622*PARAMETROS!$B$4)</f>
        <v>0</v>
      </c>
      <c r="V622" s="13" t="n">
        <v>0</v>
      </c>
      <c r="W622" s="4"/>
      <c r="X622" s="4"/>
      <c r="Y622" s="4"/>
      <c r="Z622" s="4"/>
      <c r="AA622" s="4"/>
      <c r="AB622" s="4"/>
      <c r="AC622" s="4"/>
      <c r="AD622" s="4"/>
      <c r="AE622" s="4"/>
      <c r="AF622" s="4"/>
      <c r="AG622" s="4"/>
      <c r="AH622" s="4"/>
      <c r="AI622" s="4"/>
      <c r="AJ622" s="4"/>
      <c r="AK622" s="4"/>
      <c r="AL622" s="4" t="s">
        <v>174</v>
      </c>
      <c r="AM622" s="4" t="s">
        <v>175</v>
      </c>
    </row>
    <row r="623" customFormat="false" ht="23.85" hidden="false" customHeight="false" outlineLevel="0" collapsed="false">
      <c r="A623" s="4" t="s">
        <v>167</v>
      </c>
      <c r="B623" s="4" t="s">
        <v>800</v>
      </c>
      <c r="C623" s="4" t="s">
        <v>800</v>
      </c>
      <c r="D623" s="12" t="n">
        <v>2020</v>
      </c>
      <c r="E623" s="4"/>
      <c r="F623" s="4" t="s">
        <v>169</v>
      </c>
      <c r="G623" s="4" t="s">
        <v>170</v>
      </c>
      <c r="H623" s="4" t="s">
        <v>171</v>
      </c>
      <c r="I623" s="4" t="s">
        <v>172</v>
      </c>
      <c r="J623" s="4" t="s">
        <v>800</v>
      </c>
      <c r="K623" s="4" t="s">
        <v>95</v>
      </c>
      <c r="L623" s="4" t="s">
        <v>96</v>
      </c>
      <c r="M623" s="4"/>
      <c r="N623" s="4"/>
      <c r="O623" s="4"/>
      <c r="P623" s="4"/>
      <c r="Q623" s="4"/>
      <c r="R623" s="4"/>
      <c r="S623" s="13" t="n">
        <v>0</v>
      </c>
      <c r="T623" s="4" t="s">
        <v>173</v>
      </c>
      <c r="U623" s="14" t="n">
        <f aca="false">IF(OR($S623="",PARAMETROS!$B$4=""),"",$S623*PARAMETROS!$B$4)</f>
        <v>0</v>
      </c>
      <c r="V623" s="13" t="n">
        <v>0</v>
      </c>
      <c r="W623" s="4"/>
      <c r="X623" s="4"/>
      <c r="Y623" s="4"/>
      <c r="Z623" s="4"/>
      <c r="AA623" s="4"/>
      <c r="AB623" s="4"/>
      <c r="AC623" s="4"/>
      <c r="AD623" s="4"/>
      <c r="AE623" s="4"/>
      <c r="AF623" s="4"/>
      <c r="AG623" s="4"/>
      <c r="AH623" s="4"/>
      <c r="AI623" s="4"/>
      <c r="AJ623" s="4"/>
      <c r="AK623" s="4"/>
      <c r="AL623" s="4" t="s">
        <v>174</v>
      </c>
      <c r="AM623" s="4" t="s">
        <v>175</v>
      </c>
    </row>
    <row r="624" customFormat="false" ht="23.85" hidden="false" customHeight="false" outlineLevel="0" collapsed="false">
      <c r="A624" s="4" t="s">
        <v>167</v>
      </c>
      <c r="B624" s="4" t="s">
        <v>801</v>
      </c>
      <c r="C624" s="4" t="s">
        <v>801</v>
      </c>
      <c r="D624" s="12" t="n">
        <v>2020</v>
      </c>
      <c r="E624" s="4"/>
      <c r="F624" s="4" t="s">
        <v>169</v>
      </c>
      <c r="G624" s="4" t="s">
        <v>170</v>
      </c>
      <c r="H624" s="4" t="s">
        <v>171</v>
      </c>
      <c r="I624" s="4" t="s">
        <v>172</v>
      </c>
      <c r="J624" s="4" t="s">
        <v>801</v>
      </c>
      <c r="K624" s="4" t="s">
        <v>95</v>
      </c>
      <c r="L624" s="4" t="s">
        <v>96</v>
      </c>
      <c r="M624" s="4"/>
      <c r="N624" s="4"/>
      <c r="O624" s="4"/>
      <c r="P624" s="4"/>
      <c r="Q624" s="4"/>
      <c r="R624" s="4"/>
      <c r="S624" s="13" t="n">
        <v>0</v>
      </c>
      <c r="T624" s="4" t="s">
        <v>173</v>
      </c>
      <c r="U624" s="14" t="n">
        <f aca="false">IF(OR($S624="",PARAMETROS!$B$4=""),"",$S624*PARAMETROS!$B$4)</f>
        <v>0</v>
      </c>
      <c r="V624" s="13" t="n">
        <v>0</v>
      </c>
      <c r="W624" s="4"/>
      <c r="X624" s="4"/>
      <c r="Y624" s="4"/>
      <c r="Z624" s="4"/>
      <c r="AA624" s="4"/>
      <c r="AB624" s="4"/>
      <c r="AC624" s="4"/>
      <c r="AD624" s="4"/>
      <c r="AE624" s="4"/>
      <c r="AF624" s="4"/>
      <c r="AG624" s="4"/>
      <c r="AH624" s="4"/>
      <c r="AI624" s="4"/>
      <c r="AJ624" s="4"/>
      <c r="AK624" s="4"/>
      <c r="AL624" s="4" t="s">
        <v>174</v>
      </c>
      <c r="AM624" s="4" t="s">
        <v>175</v>
      </c>
    </row>
    <row r="625" customFormat="false" ht="23.85" hidden="false" customHeight="false" outlineLevel="0" collapsed="false">
      <c r="A625" s="4" t="s">
        <v>167</v>
      </c>
      <c r="B625" s="4" t="s">
        <v>802</v>
      </c>
      <c r="C625" s="4" t="s">
        <v>802</v>
      </c>
      <c r="D625" s="12" t="n">
        <v>2020</v>
      </c>
      <c r="E625" s="4"/>
      <c r="F625" s="4" t="s">
        <v>169</v>
      </c>
      <c r="G625" s="4" t="s">
        <v>170</v>
      </c>
      <c r="H625" s="4" t="s">
        <v>171</v>
      </c>
      <c r="I625" s="4" t="s">
        <v>172</v>
      </c>
      <c r="J625" s="4" t="s">
        <v>802</v>
      </c>
      <c r="K625" s="4" t="s">
        <v>95</v>
      </c>
      <c r="L625" s="4" t="s">
        <v>96</v>
      </c>
      <c r="M625" s="4"/>
      <c r="N625" s="4"/>
      <c r="O625" s="4"/>
      <c r="P625" s="4"/>
      <c r="Q625" s="4"/>
      <c r="R625" s="4"/>
      <c r="S625" s="13" t="n">
        <v>0</v>
      </c>
      <c r="T625" s="4" t="s">
        <v>173</v>
      </c>
      <c r="U625" s="14" t="n">
        <f aca="false">IF(OR($S625="",PARAMETROS!$B$4=""),"",$S625*PARAMETROS!$B$4)</f>
        <v>0</v>
      </c>
      <c r="V625" s="13" t="n">
        <v>0</v>
      </c>
      <c r="W625" s="4"/>
      <c r="X625" s="4"/>
      <c r="Y625" s="4"/>
      <c r="Z625" s="4"/>
      <c r="AA625" s="4"/>
      <c r="AB625" s="4"/>
      <c r="AC625" s="4"/>
      <c r="AD625" s="4"/>
      <c r="AE625" s="4"/>
      <c r="AF625" s="4"/>
      <c r="AG625" s="4"/>
      <c r="AH625" s="4"/>
      <c r="AI625" s="4"/>
      <c r="AJ625" s="4"/>
      <c r="AK625" s="4"/>
      <c r="AL625" s="4" t="s">
        <v>174</v>
      </c>
      <c r="AM625" s="4" t="s">
        <v>175</v>
      </c>
    </row>
    <row r="626" customFormat="false" ht="23.85" hidden="false" customHeight="false" outlineLevel="0" collapsed="false">
      <c r="A626" s="4" t="s">
        <v>167</v>
      </c>
      <c r="B626" s="4" t="s">
        <v>803</v>
      </c>
      <c r="C626" s="4" t="s">
        <v>803</v>
      </c>
      <c r="D626" s="12" t="n">
        <v>2020</v>
      </c>
      <c r="E626" s="4"/>
      <c r="F626" s="4" t="s">
        <v>169</v>
      </c>
      <c r="G626" s="4" t="s">
        <v>170</v>
      </c>
      <c r="H626" s="4" t="s">
        <v>171</v>
      </c>
      <c r="I626" s="4" t="s">
        <v>172</v>
      </c>
      <c r="J626" s="4" t="s">
        <v>803</v>
      </c>
      <c r="K626" s="4" t="s">
        <v>95</v>
      </c>
      <c r="L626" s="4" t="s">
        <v>96</v>
      </c>
      <c r="M626" s="4"/>
      <c r="N626" s="4"/>
      <c r="O626" s="4"/>
      <c r="P626" s="4"/>
      <c r="Q626" s="4"/>
      <c r="R626" s="4"/>
      <c r="S626" s="13" t="n">
        <v>0</v>
      </c>
      <c r="T626" s="4" t="s">
        <v>173</v>
      </c>
      <c r="U626" s="14" t="n">
        <f aca="false">IF(OR($S626="",PARAMETROS!$B$4=""),"",$S626*PARAMETROS!$B$4)</f>
        <v>0</v>
      </c>
      <c r="V626" s="13" t="n">
        <v>0</v>
      </c>
      <c r="W626" s="4"/>
      <c r="X626" s="4"/>
      <c r="Y626" s="4"/>
      <c r="Z626" s="4"/>
      <c r="AA626" s="4"/>
      <c r="AB626" s="4"/>
      <c r="AC626" s="4"/>
      <c r="AD626" s="4"/>
      <c r="AE626" s="4"/>
      <c r="AF626" s="4"/>
      <c r="AG626" s="4"/>
      <c r="AH626" s="4"/>
      <c r="AI626" s="4"/>
      <c r="AJ626" s="4"/>
      <c r="AK626" s="4"/>
      <c r="AL626" s="4" t="s">
        <v>174</v>
      </c>
      <c r="AM626" s="4" t="s">
        <v>175</v>
      </c>
    </row>
    <row r="627" customFormat="false" ht="23.85" hidden="false" customHeight="false" outlineLevel="0" collapsed="false">
      <c r="A627" s="4" t="s">
        <v>167</v>
      </c>
      <c r="B627" s="4" t="s">
        <v>804</v>
      </c>
      <c r="C627" s="4" t="s">
        <v>804</v>
      </c>
      <c r="D627" s="12" t="n">
        <v>2020</v>
      </c>
      <c r="E627" s="4"/>
      <c r="F627" s="4" t="s">
        <v>169</v>
      </c>
      <c r="G627" s="4" t="s">
        <v>170</v>
      </c>
      <c r="H627" s="4" t="s">
        <v>171</v>
      </c>
      <c r="I627" s="4" t="s">
        <v>172</v>
      </c>
      <c r="J627" s="4" t="s">
        <v>804</v>
      </c>
      <c r="K627" s="4" t="s">
        <v>95</v>
      </c>
      <c r="L627" s="4" t="s">
        <v>96</v>
      </c>
      <c r="M627" s="4"/>
      <c r="N627" s="4"/>
      <c r="O627" s="4"/>
      <c r="P627" s="4"/>
      <c r="Q627" s="4"/>
      <c r="R627" s="4"/>
      <c r="S627" s="13" t="n">
        <v>0</v>
      </c>
      <c r="T627" s="4" t="s">
        <v>173</v>
      </c>
      <c r="U627" s="14" t="n">
        <f aca="false">IF(OR($S627="",PARAMETROS!$B$4=""),"",$S627*PARAMETROS!$B$4)</f>
        <v>0</v>
      </c>
      <c r="V627" s="13" t="n">
        <v>0</v>
      </c>
      <c r="W627" s="4"/>
      <c r="X627" s="4"/>
      <c r="Y627" s="4"/>
      <c r="Z627" s="4"/>
      <c r="AA627" s="4"/>
      <c r="AB627" s="4"/>
      <c r="AC627" s="4"/>
      <c r="AD627" s="4"/>
      <c r="AE627" s="4"/>
      <c r="AF627" s="4"/>
      <c r="AG627" s="4"/>
      <c r="AH627" s="4"/>
      <c r="AI627" s="4"/>
      <c r="AJ627" s="4"/>
      <c r="AK627" s="4"/>
      <c r="AL627" s="4" t="s">
        <v>174</v>
      </c>
      <c r="AM627" s="4" t="s">
        <v>175</v>
      </c>
    </row>
    <row r="628" customFormat="false" ht="23.85" hidden="false" customHeight="false" outlineLevel="0" collapsed="false">
      <c r="A628" s="4" t="s">
        <v>167</v>
      </c>
      <c r="B628" s="4" t="s">
        <v>805</v>
      </c>
      <c r="C628" s="4" t="s">
        <v>805</v>
      </c>
      <c r="D628" s="12" t="n">
        <v>2020</v>
      </c>
      <c r="E628" s="4"/>
      <c r="F628" s="4" t="s">
        <v>169</v>
      </c>
      <c r="G628" s="4" t="s">
        <v>170</v>
      </c>
      <c r="H628" s="4" t="s">
        <v>171</v>
      </c>
      <c r="I628" s="4" t="s">
        <v>172</v>
      </c>
      <c r="J628" s="4" t="s">
        <v>805</v>
      </c>
      <c r="K628" s="4" t="s">
        <v>95</v>
      </c>
      <c r="L628" s="4" t="s">
        <v>96</v>
      </c>
      <c r="M628" s="4"/>
      <c r="N628" s="4"/>
      <c r="O628" s="4"/>
      <c r="P628" s="4"/>
      <c r="Q628" s="4"/>
      <c r="R628" s="4"/>
      <c r="S628" s="13" t="n">
        <v>0</v>
      </c>
      <c r="T628" s="4" t="s">
        <v>173</v>
      </c>
      <c r="U628" s="14" t="n">
        <f aca="false">IF(OR($S628="",PARAMETROS!$B$4=""),"",$S628*PARAMETROS!$B$4)</f>
        <v>0</v>
      </c>
      <c r="V628" s="13" t="n">
        <v>0</v>
      </c>
      <c r="W628" s="4"/>
      <c r="X628" s="4"/>
      <c r="Y628" s="4"/>
      <c r="Z628" s="4"/>
      <c r="AA628" s="4"/>
      <c r="AB628" s="4"/>
      <c r="AC628" s="4"/>
      <c r="AD628" s="4"/>
      <c r="AE628" s="4"/>
      <c r="AF628" s="4"/>
      <c r="AG628" s="4"/>
      <c r="AH628" s="4"/>
      <c r="AI628" s="4"/>
      <c r="AJ628" s="4"/>
      <c r="AK628" s="4"/>
      <c r="AL628" s="4" t="s">
        <v>174</v>
      </c>
      <c r="AM628" s="4" t="s">
        <v>175</v>
      </c>
    </row>
    <row r="629" customFormat="false" ht="23.85" hidden="false" customHeight="false" outlineLevel="0" collapsed="false">
      <c r="A629" s="4" t="s">
        <v>167</v>
      </c>
      <c r="B629" s="4" t="s">
        <v>806</v>
      </c>
      <c r="C629" s="4" t="s">
        <v>806</v>
      </c>
      <c r="D629" s="12" t="n">
        <v>2020</v>
      </c>
      <c r="E629" s="4"/>
      <c r="F629" s="4" t="s">
        <v>169</v>
      </c>
      <c r="G629" s="4" t="s">
        <v>170</v>
      </c>
      <c r="H629" s="4" t="s">
        <v>171</v>
      </c>
      <c r="I629" s="4" t="s">
        <v>172</v>
      </c>
      <c r="J629" s="4" t="s">
        <v>806</v>
      </c>
      <c r="K629" s="4" t="s">
        <v>95</v>
      </c>
      <c r="L629" s="4" t="s">
        <v>96</v>
      </c>
      <c r="M629" s="4"/>
      <c r="N629" s="4"/>
      <c r="O629" s="4"/>
      <c r="P629" s="4"/>
      <c r="Q629" s="4"/>
      <c r="R629" s="4"/>
      <c r="S629" s="13" t="n">
        <v>2931.63</v>
      </c>
      <c r="T629" s="4" t="s">
        <v>173</v>
      </c>
      <c r="U629" s="14" t="n">
        <f aca="false">IF(OR($S629="",PARAMETROS!$B$4=""),"",$S629*PARAMETROS!$B$4)</f>
        <v>17032.7703</v>
      </c>
      <c r="V629" s="13" t="n">
        <v>0</v>
      </c>
      <c r="W629" s="4"/>
      <c r="X629" s="4"/>
      <c r="Y629" s="4"/>
      <c r="Z629" s="4"/>
      <c r="AA629" s="4"/>
      <c r="AB629" s="4"/>
      <c r="AC629" s="4"/>
      <c r="AD629" s="4"/>
      <c r="AE629" s="4"/>
      <c r="AF629" s="4"/>
      <c r="AG629" s="4"/>
      <c r="AH629" s="4"/>
      <c r="AI629" s="4"/>
      <c r="AJ629" s="4"/>
      <c r="AK629" s="4"/>
      <c r="AL629" s="4" t="s">
        <v>174</v>
      </c>
      <c r="AM629" s="4" t="s">
        <v>175</v>
      </c>
    </row>
    <row r="630" customFormat="false" ht="23.85" hidden="false" customHeight="false" outlineLevel="0" collapsed="false">
      <c r="A630" s="4" t="s">
        <v>167</v>
      </c>
      <c r="B630" s="4" t="s">
        <v>807</v>
      </c>
      <c r="C630" s="4" t="s">
        <v>807</v>
      </c>
      <c r="D630" s="12" t="n">
        <v>2020</v>
      </c>
      <c r="E630" s="4"/>
      <c r="F630" s="4" t="s">
        <v>169</v>
      </c>
      <c r="G630" s="4" t="s">
        <v>170</v>
      </c>
      <c r="H630" s="4" t="s">
        <v>171</v>
      </c>
      <c r="I630" s="4" t="s">
        <v>172</v>
      </c>
      <c r="J630" s="4" t="s">
        <v>807</v>
      </c>
      <c r="K630" s="4" t="s">
        <v>95</v>
      </c>
      <c r="L630" s="4" t="s">
        <v>96</v>
      </c>
      <c r="M630" s="4"/>
      <c r="N630" s="4"/>
      <c r="O630" s="4"/>
      <c r="P630" s="4"/>
      <c r="Q630" s="4"/>
      <c r="R630" s="4"/>
      <c r="S630" s="13" t="n">
        <v>0</v>
      </c>
      <c r="T630" s="4" t="s">
        <v>173</v>
      </c>
      <c r="U630" s="14" t="n">
        <f aca="false">IF(OR($S630="",PARAMETROS!$B$4=""),"",$S630*PARAMETROS!$B$4)</f>
        <v>0</v>
      </c>
      <c r="V630" s="13" t="n">
        <v>1</v>
      </c>
      <c r="W630" s="4"/>
      <c r="X630" s="4"/>
      <c r="Y630" s="4"/>
      <c r="Z630" s="4"/>
      <c r="AA630" s="4"/>
      <c r="AB630" s="4"/>
      <c r="AC630" s="4"/>
      <c r="AD630" s="4"/>
      <c r="AE630" s="4"/>
      <c r="AF630" s="4"/>
      <c r="AG630" s="4"/>
      <c r="AH630" s="4"/>
      <c r="AI630" s="4"/>
      <c r="AJ630" s="4"/>
      <c r="AK630" s="4"/>
      <c r="AL630" s="4" t="s">
        <v>174</v>
      </c>
      <c r="AM630" s="4" t="s">
        <v>175</v>
      </c>
    </row>
    <row r="631" customFormat="false" ht="23.85" hidden="false" customHeight="false" outlineLevel="0" collapsed="false">
      <c r="A631" s="4" t="s">
        <v>167</v>
      </c>
      <c r="B631" s="4" t="s">
        <v>808</v>
      </c>
      <c r="C631" s="4" t="s">
        <v>808</v>
      </c>
      <c r="D631" s="12" t="n">
        <v>2020</v>
      </c>
      <c r="E631" s="4"/>
      <c r="F631" s="4" t="s">
        <v>169</v>
      </c>
      <c r="G631" s="4" t="s">
        <v>170</v>
      </c>
      <c r="H631" s="4" t="s">
        <v>171</v>
      </c>
      <c r="I631" s="4" t="s">
        <v>172</v>
      </c>
      <c r="J631" s="4" t="s">
        <v>808</v>
      </c>
      <c r="K631" s="4" t="s">
        <v>95</v>
      </c>
      <c r="L631" s="4" t="s">
        <v>96</v>
      </c>
      <c r="M631" s="4"/>
      <c r="N631" s="4"/>
      <c r="O631" s="4"/>
      <c r="P631" s="4"/>
      <c r="Q631" s="4"/>
      <c r="R631" s="4"/>
      <c r="S631" s="13" t="n">
        <v>0</v>
      </c>
      <c r="T631" s="4" t="s">
        <v>173</v>
      </c>
      <c r="U631" s="14" t="n">
        <f aca="false">IF(OR($S631="",PARAMETROS!$B$4=""),"",$S631*PARAMETROS!$B$4)</f>
        <v>0</v>
      </c>
      <c r="V631" s="13" t="n">
        <v>0</v>
      </c>
      <c r="W631" s="4"/>
      <c r="X631" s="4"/>
      <c r="Y631" s="4"/>
      <c r="Z631" s="4"/>
      <c r="AA631" s="4"/>
      <c r="AB631" s="4"/>
      <c r="AC631" s="4"/>
      <c r="AD631" s="4"/>
      <c r="AE631" s="4"/>
      <c r="AF631" s="4"/>
      <c r="AG631" s="4"/>
      <c r="AH631" s="4"/>
      <c r="AI631" s="4"/>
      <c r="AJ631" s="4"/>
      <c r="AK631" s="4"/>
      <c r="AL631" s="4" t="s">
        <v>174</v>
      </c>
      <c r="AM631" s="4" t="s">
        <v>175</v>
      </c>
    </row>
    <row r="632" customFormat="false" ht="23.85" hidden="false" customHeight="false" outlineLevel="0" collapsed="false">
      <c r="A632" s="4" t="s">
        <v>167</v>
      </c>
      <c r="B632" s="4" t="s">
        <v>809</v>
      </c>
      <c r="C632" s="4" t="s">
        <v>809</v>
      </c>
      <c r="D632" s="12" t="n">
        <v>2020</v>
      </c>
      <c r="E632" s="4"/>
      <c r="F632" s="4" t="s">
        <v>169</v>
      </c>
      <c r="G632" s="4" t="s">
        <v>170</v>
      </c>
      <c r="H632" s="4" t="s">
        <v>171</v>
      </c>
      <c r="I632" s="4" t="s">
        <v>172</v>
      </c>
      <c r="J632" s="4" t="s">
        <v>809</v>
      </c>
      <c r="K632" s="4" t="s">
        <v>97</v>
      </c>
      <c r="L632" s="4" t="s">
        <v>98</v>
      </c>
      <c r="M632" s="4"/>
      <c r="N632" s="4"/>
      <c r="O632" s="4"/>
      <c r="P632" s="4"/>
      <c r="Q632" s="4"/>
      <c r="R632" s="4"/>
      <c r="S632" s="13" t="n">
        <v>0</v>
      </c>
      <c r="T632" s="4" t="s">
        <v>173</v>
      </c>
      <c r="U632" s="14" t="n">
        <f aca="false">IF(OR($S632="",PARAMETROS!$B$4=""),"",$S632*PARAMETROS!$B$4)</f>
        <v>0</v>
      </c>
      <c r="V632" s="13" t="n">
        <v>0</v>
      </c>
      <c r="W632" s="4"/>
      <c r="X632" s="4"/>
      <c r="Y632" s="4"/>
      <c r="Z632" s="4"/>
      <c r="AA632" s="4"/>
      <c r="AB632" s="4"/>
      <c r="AC632" s="4"/>
      <c r="AD632" s="4"/>
      <c r="AE632" s="4"/>
      <c r="AF632" s="4"/>
      <c r="AG632" s="4"/>
      <c r="AH632" s="4"/>
      <c r="AI632" s="4"/>
      <c r="AJ632" s="4"/>
      <c r="AK632" s="4"/>
      <c r="AL632" s="4" t="s">
        <v>174</v>
      </c>
      <c r="AM632" s="4" t="s">
        <v>205</v>
      </c>
    </row>
    <row r="633" customFormat="false" ht="23.85" hidden="false" customHeight="false" outlineLevel="0" collapsed="false">
      <c r="A633" s="4" t="s">
        <v>167</v>
      </c>
      <c r="B633" s="4" t="s">
        <v>810</v>
      </c>
      <c r="C633" s="4" t="s">
        <v>810</v>
      </c>
      <c r="D633" s="12" t="n">
        <v>2020</v>
      </c>
      <c r="E633" s="4"/>
      <c r="F633" s="4" t="s">
        <v>169</v>
      </c>
      <c r="G633" s="4" t="s">
        <v>170</v>
      </c>
      <c r="H633" s="4" t="s">
        <v>171</v>
      </c>
      <c r="I633" s="4" t="s">
        <v>172</v>
      </c>
      <c r="J633" s="4" t="s">
        <v>810</v>
      </c>
      <c r="K633" s="4" t="s">
        <v>97</v>
      </c>
      <c r="L633" s="4" t="s">
        <v>98</v>
      </c>
      <c r="M633" s="4"/>
      <c r="N633" s="4"/>
      <c r="O633" s="4"/>
      <c r="P633" s="4"/>
      <c r="Q633" s="4"/>
      <c r="R633" s="4"/>
      <c r="S633" s="13" t="n">
        <v>11949.87</v>
      </c>
      <c r="T633" s="4" t="s">
        <v>173</v>
      </c>
      <c r="U633" s="14" t="n">
        <f aca="false">IF(OR($S633="",PARAMETROS!$B$4=""),"",$S633*PARAMETROS!$B$4)</f>
        <v>69428.7447</v>
      </c>
      <c r="V633" s="13" t="n">
        <v>0</v>
      </c>
      <c r="W633" s="4"/>
      <c r="X633" s="4"/>
      <c r="Y633" s="4"/>
      <c r="Z633" s="4"/>
      <c r="AA633" s="4"/>
      <c r="AB633" s="4"/>
      <c r="AC633" s="4"/>
      <c r="AD633" s="4"/>
      <c r="AE633" s="4"/>
      <c r="AF633" s="4"/>
      <c r="AG633" s="4"/>
      <c r="AH633" s="4"/>
      <c r="AI633" s="4"/>
      <c r="AJ633" s="4"/>
      <c r="AK633" s="4"/>
      <c r="AL633" s="4" t="s">
        <v>174</v>
      </c>
      <c r="AM633" s="4" t="s">
        <v>205</v>
      </c>
    </row>
    <row r="634" customFormat="false" ht="23.85" hidden="false" customHeight="false" outlineLevel="0" collapsed="false">
      <c r="A634" s="4" t="s">
        <v>167</v>
      </c>
      <c r="B634" s="4" t="s">
        <v>811</v>
      </c>
      <c r="C634" s="4" t="s">
        <v>811</v>
      </c>
      <c r="D634" s="12" t="n">
        <v>2020</v>
      </c>
      <c r="E634" s="4"/>
      <c r="F634" s="4" t="s">
        <v>169</v>
      </c>
      <c r="G634" s="4" t="s">
        <v>170</v>
      </c>
      <c r="H634" s="4" t="s">
        <v>171</v>
      </c>
      <c r="I634" s="4" t="s">
        <v>172</v>
      </c>
      <c r="J634" s="4" t="s">
        <v>811</v>
      </c>
      <c r="K634" s="4" t="s">
        <v>97</v>
      </c>
      <c r="L634" s="4" t="s">
        <v>98</v>
      </c>
      <c r="M634" s="4"/>
      <c r="N634" s="4"/>
      <c r="O634" s="4"/>
      <c r="P634" s="4"/>
      <c r="Q634" s="4"/>
      <c r="R634" s="4"/>
      <c r="S634" s="13" t="n">
        <v>48.34</v>
      </c>
      <c r="T634" s="4" t="s">
        <v>173</v>
      </c>
      <c r="U634" s="14" t="n">
        <f aca="false">IF(OR($S634="",PARAMETROS!$B$4=""),"",$S634*PARAMETROS!$B$4)</f>
        <v>280.8554</v>
      </c>
      <c r="V634" s="13" t="n">
        <v>0</v>
      </c>
      <c r="W634" s="4"/>
      <c r="X634" s="4"/>
      <c r="Y634" s="4"/>
      <c r="Z634" s="4"/>
      <c r="AA634" s="4"/>
      <c r="AB634" s="4"/>
      <c r="AC634" s="4"/>
      <c r="AD634" s="4"/>
      <c r="AE634" s="4"/>
      <c r="AF634" s="4"/>
      <c r="AG634" s="4"/>
      <c r="AH634" s="4"/>
      <c r="AI634" s="4"/>
      <c r="AJ634" s="4"/>
      <c r="AK634" s="4"/>
      <c r="AL634" s="4" t="s">
        <v>174</v>
      </c>
      <c r="AM634" s="4" t="s">
        <v>205</v>
      </c>
    </row>
    <row r="635" customFormat="false" ht="23.85" hidden="false" customHeight="false" outlineLevel="0" collapsed="false">
      <c r="A635" s="4" t="s">
        <v>167</v>
      </c>
      <c r="B635" s="4" t="s">
        <v>812</v>
      </c>
      <c r="C635" s="4" t="s">
        <v>812</v>
      </c>
      <c r="D635" s="12" t="n">
        <v>2020</v>
      </c>
      <c r="E635" s="4"/>
      <c r="F635" s="4" t="s">
        <v>169</v>
      </c>
      <c r="G635" s="4" t="s">
        <v>170</v>
      </c>
      <c r="H635" s="4" t="s">
        <v>171</v>
      </c>
      <c r="I635" s="4" t="s">
        <v>172</v>
      </c>
      <c r="J635" s="4" t="s">
        <v>812</v>
      </c>
      <c r="K635" s="4" t="s">
        <v>97</v>
      </c>
      <c r="L635" s="4" t="s">
        <v>98</v>
      </c>
      <c r="M635" s="4"/>
      <c r="N635" s="4"/>
      <c r="O635" s="4"/>
      <c r="P635" s="4"/>
      <c r="Q635" s="4"/>
      <c r="R635" s="4"/>
      <c r="S635" s="13" t="n">
        <v>247.96</v>
      </c>
      <c r="T635" s="4" t="s">
        <v>173</v>
      </c>
      <c r="U635" s="14" t="n">
        <f aca="false">IF(OR($S635="",PARAMETROS!$B$4=""),"",$S635*PARAMETROS!$B$4)</f>
        <v>1440.6476</v>
      </c>
      <c r="V635" s="13" t="n">
        <v>0</v>
      </c>
      <c r="W635" s="4"/>
      <c r="X635" s="4"/>
      <c r="Y635" s="4"/>
      <c r="Z635" s="4"/>
      <c r="AA635" s="4"/>
      <c r="AB635" s="4"/>
      <c r="AC635" s="4"/>
      <c r="AD635" s="4"/>
      <c r="AE635" s="4"/>
      <c r="AF635" s="4"/>
      <c r="AG635" s="4"/>
      <c r="AH635" s="4"/>
      <c r="AI635" s="4"/>
      <c r="AJ635" s="4"/>
      <c r="AK635" s="4"/>
      <c r="AL635" s="4" t="s">
        <v>174</v>
      </c>
      <c r="AM635" s="4" t="s">
        <v>205</v>
      </c>
    </row>
    <row r="636" customFormat="false" ht="23.85" hidden="false" customHeight="false" outlineLevel="0" collapsed="false">
      <c r="A636" s="4" t="s">
        <v>167</v>
      </c>
      <c r="B636" s="4" t="s">
        <v>813</v>
      </c>
      <c r="C636" s="4" t="s">
        <v>813</v>
      </c>
      <c r="D636" s="12" t="n">
        <v>2020</v>
      </c>
      <c r="E636" s="4"/>
      <c r="F636" s="4" t="s">
        <v>169</v>
      </c>
      <c r="G636" s="4" t="s">
        <v>170</v>
      </c>
      <c r="H636" s="4" t="s">
        <v>171</v>
      </c>
      <c r="I636" s="4" t="s">
        <v>172</v>
      </c>
      <c r="J636" s="4" t="s">
        <v>813</v>
      </c>
      <c r="K636" s="4" t="s">
        <v>97</v>
      </c>
      <c r="L636" s="4" t="s">
        <v>98</v>
      </c>
      <c r="M636" s="4"/>
      <c r="N636" s="4"/>
      <c r="O636" s="4"/>
      <c r="P636" s="4"/>
      <c r="Q636" s="4"/>
      <c r="R636" s="4"/>
      <c r="S636" s="13" t="n">
        <v>0</v>
      </c>
      <c r="T636" s="4" t="s">
        <v>173</v>
      </c>
      <c r="U636" s="14" t="n">
        <f aca="false">IF(OR($S636="",PARAMETROS!$B$4=""),"",$S636*PARAMETROS!$B$4)</f>
        <v>0</v>
      </c>
      <c r="V636" s="13" t="n">
        <v>0</v>
      </c>
      <c r="W636" s="4"/>
      <c r="X636" s="4"/>
      <c r="Y636" s="4"/>
      <c r="Z636" s="4"/>
      <c r="AA636" s="4"/>
      <c r="AB636" s="4"/>
      <c r="AC636" s="4"/>
      <c r="AD636" s="4"/>
      <c r="AE636" s="4"/>
      <c r="AF636" s="4"/>
      <c r="AG636" s="4"/>
      <c r="AH636" s="4"/>
      <c r="AI636" s="4"/>
      <c r="AJ636" s="4"/>
      <c r="AK636" s="4"/>
      <c r="AL636" s="4" t="s">
        <v>174</v>
      </c>
      <c r="AM636" s="4" t="s">
        <v>205</v>
      </c>
    </row>
    <row r="637" customFormat="false" ht="23.85" hidden="false" customHeight="false" outlineLevel="0" collapsed="false">
      <c r="A637" s="4" t="s">
        <v>167</v>
      </c>
      <c r="B637" s="4" t="s">
        <v>814</v>
      </c>
      <c r="C637" s="4" t="s">
        <v>814</v>
      </c>
      <c r="D637" s="12" t="n">
        <v>2020</v>
      </c>
      <c r="E637" s="4"/>
      <c r="F637" s="4" t="s">
        <v>169</v>
      </c>
      <c r="G637" s="4" t="s">
        <v>170</v>
      </c>
      <c r="H637" s="4" t="s">
        <v>171</v>
      </c>
      <c r="I637" s="4" t="s">
        <v>172</v>
      </c>
      <c r="J637" s="4" t="s">
        <v>814</v>
      </c>
      <c r="K637" s="4" t="s">
        <v>97</v>
      </c>
      <c r="L637" s="4" t="s">
        <v>98</v>
      </c>
      <c r="M637" s="4"/>
      <c r="N637" s="4"/>
      <c r="O637" s="4"/>
      <c r="P637" s="4"/>
      <c r="Q637" s="4"/>
      <c r="R637" s="4"/>
      <c r="S637" s="13" t="n">
        <v>-21.15</v>
      </c>
      <c r="T637" s="4" t="s">
        <v>173</v>
      </c>
      <c r="U637" s="14" t="n">
        <f aca="false">IF(OR($S637="",PARAMETROS!$B$4=""),"",$S637*PARAMETROS!$B$4)</f>
        <v>-122.8815</v>
      </c>
      <c r="V637" s="13" t="n">
        <v>0</v>
      </c>
      <c r="W637" s="4"/>
      <c r="X637" s="4"/>
      <c r="Y637" s="4"/>
      <c r="Z637" s="4"/>
      <c r="AA637" s="4"/>
      <c r="AB637" s="4"/>
      <c r="AC637" s="4"/>
      <c r="AD637" s="4"/>
      <c r="AE637" s="4"/>
      <c r="AF637" s="4"/>
      <c r="AG637" s="4"/>
      <c r="AH637" s="4"/>
      <c r="AI637" s="4"/>
      <c r="AJ637" s="4"/>
      <c r="AK637" s="4"/>
      <c r="AL637" s="4" t="s">
        <v>174</v>
      </c>
      <c r="AM637" s="4" t="s">
        <v>205</v>
      </c>
    </row>
    <row r="638" customFormat="false" ht="23.85" hidden="false" customHeight="false" outlineLevel="0" collapsed="false">
      <c r="A638" s="4" t="s">
        <v>167</v>
      </c>
      <c r="B638" s="4" t="s">
        <v>815</v>
      </c>
      <c r="C638" s="4" t="s">
        <v>815</v>
      </c>
      <c r="D638" s="12" t="n">
        <v>2020</v>
      </c>
      <c r="E638" s="4"/>
      <c r="F638" s="4" t="s">
        <v>169</v>
      </c>
      <c r="G638" s="4" t="s">
        <v>170</v>
      </c>
      <c r="H638" s="4" t="s">
        <v>171</v>
      </c>
      <c r="I638" s="4" t="s">
        <v>172</v>
      </c>
      <c r="J638" s="4" t="s">
        <v>815</v>
      </c>
      <c r="K638" s="4" t="s">
        <v>97</v>
      </c>
      <c r="L638" s="4" t="s">
        <v>98</v>
      </c>
      <c r="M638" s="4"/>
      <c r="N638" s="4"/>
      <c r="O638" s="4"/>
      <c r="P638" s="4"/>
      <c r="Q638" s="4"/>
      <c r="R638" s="4"/>
      <c r="S638" s="13" t="n">
        <v>0</v>
      </c>
      <c r="T638" s="4" t="s">
        <v>173</v>
      </c>
      <c r="U638" s="14" t="n">
        <f aca="false">IF(OR($S638="",PARAMETROS!$B$4=""),"",$S638*PARAMETROS!$B$4)</f>
        <v>0</v>
      </c>
      <c r="V638" s="13" t="n">
        <v>0</v>
      </c>
      <c r="W638" s="4"/>
      <c r="X638" s="4"/>
      <c r="Y638" s="4"/>
      <c r="Z638" s="4"/>
      <c r="AA638" s="4"/>
      <c r="AB638" s="4"/>
      <c r="AC638" s="4"/>
      <c r="AD638" s="4"/>
      <c r="AE638" s="4"/>
      <c r="AF638" s="4"/>
      <c r="AG638" s="4"/>
      <c r="AH638" s="4"/>
      <c r="AI638" s="4"/>
      <c r="AJ638" s="4"/>
      <c r="AK638" s="4"/>
      <c r="AL638" s="4" t="s">
        <v>174</v>
      </c>
      <c r="AM638" s="4" t="s">
        <v>205</v>
      </c>
    </row>
    <row r="639" customFormat="false" ht="23.85" hidden="false" customHeight="false" outlineLevel="0" collapsed="false">
      <c r="A639" s="4" t="s">
        <v>167</v>
      </c>
      <c r="B639" s="4" t="s">
        <v>816</v>
      </c>
      <c r="C639" s="4" t="s">
        <v>816</v>
      </c>
      <c r="D639" s="12" t="n">
        <v>2020</v>
      </c>
      <c r="E639" s="4"/>
      <c r="F639" s="4" t="s">
        <v>169</v>
      </c>
      <c r="G639" s="4" t="s">
        <v>170</v>
      </c>
      <c r="H639" s="4" t="s">
        <v>171</v>
      </c>
      <c r="I639" s="4" t="s">
        <v>172</v>
      </c>
      <c r="J639" s="4" t="s">
        <v>816</v>
      </c>
      <c r="K639" s="4" t="s">
        <v>97</v>
      </c>
      <c r="L639" s="4" t="s">
        <v>98</v>
      </c>
      <c r="M639" s="4"/>
      <c r="N639" s="4"/>
      <c r="O639" s="4"/>
      <c r="P639" s="4"/>
      <c r="Q639" s="4"/>
      <c r="R639" s="4"/>
      <c r="S639" s="13" t="n">
        <v>0</v>
      </c>
      <c r="T639" s="4" t="s">
        <v>173</v>
      </c>
      <c r="U639" s="14" t="n">
        <f aca="false">IF(OR($S639="",PARAMETROS!$B$4=""),"",$S639*PARAMETROS!$B$4)</f>
        <v>0</v>
      </c>
      <c r="V639" s="13" t="n">
        <v>0</v>
      </c>
      <c r="W639" s="4"/>
      <c r="X639" s="4"/>
      <c r="Y639" s="4"/>
      <c r="Z639" s="4"/>
      <c r="AA639" s="4"/>
      <c r="AB639" s="4"/>
      <c r="AC639" s="4"/>
      <c r="AD639" s="4"/>
      <c r="AE639" s="4"/>
      <c r="AF639" s="4"/>
      <c r="AG639" s="4"/>
      <c r="AH639" s="4"/>
      <c r="AI639" s="4"/>
      <c r="AJ639" s="4"/>
      <c r="AK639" s="4"/>
      <c r="AL639" s="4" t="s">
        <v>174</v>
      </c>
      <c r="AM639" s="4" t="s">
        <v>205</v>
      </c>
    </row>
    <row r="640" customFormat="false" ht="23.85" hidden="false" customHeight="false" outlineLevel="0" collapsed="false">
      <c r="A640" s="4" t="s">
        <v>167</v>
      </c>
      <c r="B640" s="4" t="s">
        <v>817</v>
      </c>
      <c r="C640" s="4" t="s">
        <v>817</v>
      </c>
      <c r="D640" s="12" t="n">
        <v>2020</v>
      </c>
      <c r="E640" s="4"/>
      <c r="F640" s="4" t="s">
        <v>169</v>
      </c>
      <c r="G640" s="4" t="s">
        <v>170</v>
      </c>
      <c r="H640" s="4" t="s">
        <v>171</v>
      </c>
      <c r="I640" s="4" t="s">
        <v>172</v>
      </c>
      <c r="J640" s="4" t="s">
        <v>817</v>
      </c>
      <c r="K640" s="4" t="s">
        <v>97</v>
      </c>
      <c r="L640" s="4" t="s">
        <v>98</v>
      </c>
      <c r="M640" s="4"/>
      <c r="N640" s="4"/>
      <c r="O640" s="4"/>
      <c r="P640" s="4"/>
      <c r="Q640" s="4"/>
      <c r="R640" s="4"/>
      <c r="S640" s="13" t="n">
        <v>11158.08</v>
      </c>
      <c r="T640" s="4" t="s">
        <v>173</v>
      </c>
      <c r="U640" s="14" t="n">
        <f aca="false">IF(OR($S640="",PARAMETROS!$B$4=""),"",$S640*PARAMETROS!$B$4)</f>
        <v>64828.4448</v>
      </c>
      <c r="V640" s="13" t="n">
        <v>0</v>
      </c>
      <c r="W640" s="4"/>
      <c r="X640" s="4"/>
      <c r="Y640" s="4"/>
      <c r="Z640" s="4"/>
      <c r="AA640" s="4"/>
      <c r="AB640" s="4"/>
      <c r="AC640" s="4"/>
      <c r="AD640" s="4"/>
      <c r="AE640" s="4"/>
      <c r="AF640" s="4"/>
      <c r="AG640" s="4"/>
      <c r="AH640" s="4"/>
      <c r="AI640" s="4"/>
      <c r="AJ640" s="4"/>
      <c r="AK640" s="4"/>
      <c r="AL640" s="4" t="s">
        <v>174</v>
      </c>
      <c r="AM640" s="4" t="s">
        <v>205</v>
      </c>
    </row>
    <row r="641" customFormat="false" ht="23.85" hidden="false" customHeight="false" outlineLevel="0" collapsed="false">
      <c r="A641" s="4" t="s">
        <v>167</v>
      </c>
      <c r="B641" s="4" t="s">
        <v>818</v>
      </c>
      <c r="C641" s="4" t="s">
        <v>818</v>
      </c>
      <c r="D641" s="12" t="n">
        <v>2020</v>
      </c>
      <c r="E641" s="4"/>
      <c r="F641" s="4" t="s">
        <v>169</v>
      </c>
      <c r="G641" s="4" t="s">
        <v>170</v>
      </c>
      <c r="H641" s="4" t="s">
        <v>171</v>
      </c>
      <c r="I641" s="4" t="s">
        <v>172</v>
      </c>
      <c r="J641" s="4" t="s">
        <v>818</v>
      </c>
      <c r="K641" s="4" t="s">
        <v>97</v>
      </c>
      <c r="L641" s="4" t="s">
        <v>98</v>
      </c>
      <c r="M641" s="4"/>
      <c r="N641" s="4"/>
      <c r="O641" s="4"/>
      <c r="P641" s="4"/>
      <c r="Q641" s="4"/>
      <c r="R641" s="4"/>
      <c r="S641" s="13" t="n">
        <v>0</v>
      </c>
      <c r="T641" s="4" t="s">
        <v>173</v>
      </c>
      <c r="U641" s="14" t="n">
        <f aca="false">IF(OR($S641="",PARAMETROS!$B$4=""),"",$S641*PARAMETROS!$B$4)</f>
        <v>0</v>
      </c>
      <c r="V641" s="13" t="n">
        <v>0</v>
      </c>
      <c r="W641" s="4"/>
      <c r="X641" s="4"/>
      <c r="Y641" s="4"/>
      <c r="Z641" s="4"/>
      <c r="AA641" s="4"/>
      <c r="AB641" s="4"/>
      <c r="AC641" s="4"/>
      <c r="AD641" s="4"/>
      <c r="AE641" s="4"/>
      <c r="AF641" s="4"/>
      <c r="AG641" s="4"/>
      <c r="AH641" s="4"/>
      <c r="AI641" s="4"/>
      <c r="AJ641" s="4"/>
      <c r="AK641" s="4"/>
      <c r="AL641" s="4" t="s">
        <v>174</v>
      </c>
      <c r="AM641" s="4" t="s">
        <v>205</v>
      </c>
    </row>
    <row r="642" customFormat="false" ht="23.85" hidden="false" customHeight="false" outlineLevel="0" collapsed="false">
      <c r="A642" s="4" t="s">
        <v>167</v>
      </c>
      <c r="B642" s="4" t="s">
        <v>819</v>
      </c>
      <c r="C642" s="4" t="s">
        <v>819</v>
      </c>
      <c r="D642" s="12" t="n">
        <v>2020</v>
      </c>
      <c r="E642" s="4"/>
      <c r="F642" s="4" t="s">
        <v>169</v>
      </c>
      <c r="G642" s="4" t="s">
        <v>170</v>
      </c>
      <c r="H642" s="4" t="s">
        <v>171</v>
      </c>
      <c r="I642" s="4" t="s">
        <v>172</v>
      </c>
      <c r="J642" s="4" t="s">
        <v>819</v>
      </c>
      <c r="K642" s="4" t="s">
        <v>97</v>
      </c>
      <c r="L642" s="4" t="s">
        <v>98</v>
      </c>
      <c r="M642" s="4"/>
      <c r="N642" s="4"/>
      <c r="O642" s="4"/>
      <c r="P642" s="4"/>
      <c r="Q642" s="4"/>
      <c r="R642" s="4"/>
      <c r="S642" s="13" t="n">
        <v>0</v>
      </c>
      <c r="T642" s="4" t="s">
        <v>173</v>
      </c>
      <c r="U642" s="14" t="n">
        <f aca="false">IF(OR($S642="",PARAMETROS!$B$4=""),"",$S642*PARAMETROS!$B$4)</f>
        <v>0</v>
      </c>
      <c r="V642" s="13" t="n">
        <v>0</v>
      </c>
      <c r="W642" s="4"/>
      <c r="X642" s="4"/>
      <c r="Y642" s="4"/>
      <c r="Z642" s="4"/>
      <c r="AA642" s="4"/>
      <c r="AB642" s="4"/>
      <c r="AC642" s="4"/>
      <c r="AD642" s="4"/>
      <c r="AE642" s="4"/>
      <c r="AF642" s="4"/>
      <c r="AG642" s="4"/>
      <c r="AH642" s="4"/>
      <c r="AI642" s="4"/>
      <c r="AJ642" s="4"/>
      <c r="AK642" s="4"/>
      <c r="AL642" s="4" t="s">
        <v>174</v>
      </c>
      <c r="AM642" s="4" t="s">
        <v>205</v>
      </c>
    </row>
    <row r="643" customFormat="false" ht="23.85" hidden="false" customHeight="false" outlineLevel="0" collapsed="false">
      <c r="A643" s="4" t="s">
        <v>167</v>
      </c>
      <c r="B643" s="4" t="s">
        <v>820</v>
      </c>
      <c r="C643" s="4" t="s">
        <v>820</v>
      </c>
      <c r="D643" s="12" t="n">
        <v>2020</v>
      </c>
      <c r="E643" s="4"/>
      <c r="F643" s="4" t="s">
        <v>169</v>
      </c>
      <c r="G643" s="4" t="s">
        <v>170</v>
      </c>
      <c r="H643" s="4" t="s">
        <v>171</v>
      </c>
      <c r="I643" s="4" t="s">
        <v>172</v>
      </c>
      <c r="J643" s="4" t="s">
        <v>820</v>
      </c>
      <c r="K643" s="4" t="s">
        <v>97</v>
      </c>
      <c r="L643" s="4" t="s">
        <v>98</v>
      </c>
      <c r="M643" s="4"/>
      <c r="N643" s="4"/>
      <c r="O643" s="4"/>
      <c r="P643" s="4"/>
      <c r="Q643" s="4"/>
      <c r="R643" s="4"/>
      <c r="S643" s="13" t="n">
        <v>970.27</v>
      </c>
      <c r="T643" s="4" t="s">
        <v>173</v>
      </c>
      <c r="U643" s="14" t="n">
        <f aca="false">IF(OR($S643="",PARAMETROS!$B$4=""),"",$S643*PARAMETROS!$B$4)</f>
        <v>5637.2687</v>
      </c>
      <c r="V643" s="13" t="n">
        <v>0</v>
      </c>
      <c r="W643" s="4"/>
      <c r="X643" s="4"/>
      <c r="Y643" s="4"/>
      <c r="Z643" s="4"/>
      <c r="AA643" s="4"/>
      <c r="AB643" s="4"/>
      <c r="AC643" s="4"/>
      <c r="AD643" s="4"/>
      <c r="AE643" s="4"/>
      <c r="AF643" s="4"/>
      <c r="AG643" s="4"/>
      <c r="AH643" s="4"/>
      <c r="AI643" s="4"/>
      <c r="AJ643" s="4"/>
      <c r="AK643" s="4"/>
      <c r="AL643" s="4" t="s">
        <v>174</v>
      </c>
      <c r="AM643" s="4" t="s">
        <v>205</v>
      </c>
    </row>
    <row r="644" customFormat="false" ht="23.85" hidden="false" customHeight="false" outlineLevel="0" collapsed="false">
      <c r="A644" s="4" t="s">
        <v>167</v>
      </c>
      <c r="B644" s="4" t="s">
        <v>821</v>
      </c>
      <c r="C644" s="4" t="s">
        <v>821</v>
      </c>
      <c r="D644" s="12" t="n">
        <v>2020</v>
      </c>
      <c r="E644" s="4"/>
      <c r="F644" s="4" t="s">
        <v>169</v>
      </c>
      <c r="G644" s="4" t="s">
        <v>170</v>
      </c>
      <c r="H644" s="4" t="s">
        <v>171</v>
      </c>
      <c r="I644" s="4" t="s">
        <v>172</v>
      </c>
      <c r="J644" s="4" t="s">
        <v>821</v>
      </c>
      <c r="K644" s="4" t="s">
        <v>97</v>
      </c>
      <c r="L644" s="4" t="s">
        <v>98</v>
      </c>
      <c r="M644" s="4"/>
      <c r="N644" s="4"/>
      <c r="O644" s="4"/>
      <c r="P644" s="4"/>
      <c r="Q644" s="4"/>
      <c r="R644" s="4"/>
      <c r="S644" s="13" t="n">
        <v>0</v>
      </c>
      <c r="T644" s="4" t="s">
        <v>173</v>
      </c>
      <c r="U644" s="14" t="n">
        <f aca="false">IF(OR($S644="",PARAMETROS!$B$4=""),"",$S644*PARAMETROS!$B$4)</f>
        <v>0</v>
      </c>
      <c r="V644" s="13" t="n">
        <v>1</v>
      </c>
      <c r="W644" s="4"/>
      <c r="X644" s="4"/>
      <c r="Y644" s="4"/>
      <c r="Z644" s="4"/>
      <c r="AA644" s="4"/>
      <c r="AB644" s="4"/>
      <c r="AC644" s="4"/>
      <c r="AD644" s="4"/>
      <c r="AE644" s="4"/>
      <c r="AF644" s="4"/>
      <c r="AG644" s="4"/>
      <c r="AH644" s="4"/>
      <c r="AI644" s="4"/>
      <c r="AJ644" s="4"/>
      <c r="AK644" s="4"/>
      <c r="AL644" s="4" t="s">
        <v>174</v>
      </c>
      <c r="AM644" s="4" t="s">
        <v>205</v>
      </c>
    </row>
    <row r="645" customFormat="false" ht="23.85" hidden="false" customHeight="false" outlineLevel="0" collapsed="false">
      <c r="A645" s="4" t="s">
        <v>167</v>
      </c>
      <c r="B645" s="4" t="s">
        <v>822</v>
      </c>
      <c r="C645" s="4" t="s">
        <v>822</v>
      </c>
      <c r="D645" s="12" t="n">
        <v>2020</v>
      </c>
      <c r="E645" s="4"/>
      <c r="F645" s="4" t="s">
        <v>169</v>
      </c>
      <c r="G645" s="4" t="s">
        <v>170</v>
      </c>
      <c r="H645" s="4" t="s">
        <v>171</v>
      </c>
      <c r="I645" s="4" t="s">
        <v>172</v>
      </c>
      <c r="J645" s="4" t="s">
        <v>822</v>
      </c>
      <c r="K645" s="4" t="s">
        <v>97</v>
      </c>
      <c r="L645" s="4" t="s">
        <v>98</v>
      </c>
      <c r="M645" s="4"/>
      <c r="N645" s="4"/>
      <c r="O645" s="4"/>
      <c r="P645" s="4"/>
      <c r="Q645" s="4"/>
      <c r="R645" s="4"/>
      <c r="S645" s="13" t="n">
        <v>0</v>
      </c>
      <c r="T645" s="4" t="s">
        <v>173</v>
      </c>
      <c r="U645" s="14" t="n">
        <f aca="false">IF(OR($S645="",PARAMETROS!$B$4=""),"",$S645*PARAMETROS!$B$4)</f>
        <v>0</v>
      </c>
      <c r="V645" s="13" t="n">
        <v>0</v>
      </c>
      <c r="W645" s="4"/>
      <c r="X645" s="4"/>
      <c r="Y645" s="4"/>
      <c r="Z645" s="4"/>
      <c r="AA645" s="4"/>
      <c r="AB645" s="4"/>
      <c r="AC645" s="4"/>
      <c r="AD645" s="4"/>
      <c r="AE645" s="4"/>
      <c r="AF645" s="4"/>
      <c r="AG645" s="4"/>
      <c r="AH645" s="4"/>
      <c r="AI645" s="4"/>
      <c r="AJ645" s="4"/>
      <c r="AK645" s="4"/>
      <c r="AL645" s="4" t="s">
        <v>174</v>
      </c>
      <c r="AM645" s="4" t="s">
        <v>205</v>
      </c>
    </row>
    <row r="646" customFormat="false" ht="23.85" hidden="false" customHeight="false" outlineLevel="0" collapsed="false">
      <c r="A646" s="4" t="s">
        <v>167</v>
      </c>
      <c r="B646" s="4" t="s">
        <v>823</v>
      </c>
      <c r="C646" s="4" t="s">
        <v>823</v>
      </c>
      <c r="D646" s="12" t="n">
        <v>2020</v>
      </c>
      <c r="E646" s="4"/>
      <c r="F646" s="4" t="s">
        <v>169</v>
      </c>
      <c r="G646" s="4" t="s">
        <v>170</v>
      </c>
      <c r="H646" s="4" t="s">
        <v>171</v>
      </c>
      <c r="I646" s="4" t="s">
        <v>172</v>
      </c>
      <c r="J646" s="4" t="s">
        <v>823</v>
      </c>
      <c r="K646" s="4" t="s">
        <v>99</v>
      </c>
      <c r="L646" s="4" t="s">
        <v>100</v>
      </c>
      <c r="M646" s="4"/>
      <c r="N646" s="4"/>
      <c r="O646" s="4"/>
      <c r="P646" s="4"/>
      <c r="Q646" s="4"/>
      <c r="R646" s="4"/>
      <c r="S646" s="13" t="n">
        <v>0</v>
      </c>
      <c r="T646" s="4" t="s">
        <v>173</v>
      </c>
      <c r="U646" s="14" t="n">
        <f aca="false">IF(OR($S646="",PARAMETROS!$B$4=""),"",$S646*PARAMETROS!$B$4)</f>
        <v>0</v>
      </c>
      <c r="V646" s="13" t="n">
        <v>0</v>
      </c>
      <c r="W646" s="4"/>
      <c r="X646" s="4"/>
      <c r="Y646" s="4"/>
      <c r="Z646" s="4"/>
      <c r="AA646" s="4"/>
      <c r="AB646" s="4"/>
      <c r="AC646" s="4"/>
      <c r="AD646" s="4"/>
      <c r="AE646" s="4"/>
      <c r="AF646" s="4"/>
      <c r="AG646" s="4"/>
      <c r="AH646" s="4"/>
      <c r="AI646" s="4"/>
      <c r="AJ646" s="4"/>
      <c r="AK646" s="4"/>
      <c r="AL646" s="4" t="s">
        <v>174</v>
      </c>
      <c r="AM646" s="4" t="s">
        <v>205</v>
      </c>
    </row>
    <row r="647" customFormat="false" ht="23.85" hidden="false" customHeight="false" outlineLevel="0" collapsed="false">
      <c r="A647" s="4" t="s">
        <v>167</v>
      </c>
      <c r="B647" s="4" t="s">
        <v>824</v>
      </c>
      <c r="C647" s="4" t="s">
        <v>824</v>
      </c>
      <c r="D647" s="12" t="n">
        <v>2020</v>
      </c>
      <c r="E647" s="4"/>
      <c r="F647" s="4" t="s">
        <v>169</v>
      </c>
      <c r="G647" s="4" t="s">
        <v>170</v>
      </c>
      <c r="H647" s="4" t="s">
        <v>171</v>
      </c>
      <c r="I647" s="4" t="s">
        <v>172</v>
      </c>
      <c r="J647" s="4" t="s">
        <v>824</v>
      </c>
      <c r="K647" s="4" t="s">
        <v>99</v>
      </c>
      <c r="L647" s="4" t="s">
        <v>100</v>
      </c>
      <c r="M647" s="4"/>
      <c r="N647" s="4"/>
      <c r="O647" s="4"/>
      <c r="P647" s="4"/>
      <c r="Q647" s="4"/>
      <c r="R647" s="4"/>
      <c r="S647" s="13" t="n">
        <v>672.02</v>
      </c>
      <c r="T647" s="4" t="s">
        <v>173</v>
      </c>
      <c r="U647" s="14" t="n">
        <f aca="false">IF(OR($S647="",PARAMETROS!$B$4=""),"",$S647*PARAMETROS!$B$4)</f>
        <v>3904.4362</v>
      </c>
      <c r="V647" s="13" t="n">
        <v>0</v>
      </c>
      <c r="W647" s="4"/>
      <c r="X647" s="4"/>
      <c r="Y647" s="4"/>
      <c r="Z647" s="4"/>
      <c r="AA647" s="4"/>
      <c r="AB647" s="4"/>
      <c r="AC647" s="4"/>
      <c r="AD647" s="4"/>
      <c r="AE647" s="4"/>
      <c r="AF647" s="4"/>
      <c r="AG647" s="4"/>
      <c r="AH647" s="4"/>
      <c r="AI647" s="4"/>
      <c r="AJ647" s="4"/>
      <c r="AK647" s="4"/>
      <c r="AL647" s="4" t="s">
        <v>174</v>
      </c>
      <c r="AM647" s="4" t="s">
        <v>205</v>
      </c>
    </row>
    <row r="648" customFormat="false" ht="23.85" hidden="false" customHeight="false" outlineLevel="0" collapsed="false">
      <c r="A648" s="4" t="s">
        <v>167</v>
      </c>
      <c r="B648" s="4" t="s">
        <v>825</v>
      </c>
      <c r="C648" s="4" t="s">
        <v>825</v>
      </c>
      <c r="D648" s="12" t="n">
        <v>2020</v>
      </c>
      <c r="E648" s="4"/>
      <c r="F648" s="4" t="s">
        <v>169</v>
      </c>
      <c r="G648" s="4" t="s">
        <v>170</v>
      </c>
      <c r="H648" s="4" t="s">
        <v>171</v>
      </c>
      <c r="I648" s="4" t="s">
        <v>172</v>
      </c>
      <c r="J648" s="4" t="s">
        <v>825</v>
      </c>
      <c r="K648" s="4" t="s">
        <v>99</v>
      </c>
      <c r="L648" s="4" t="s">
        <v>100</v>
      </c>
      <c r="M648" s="4"/>
      <c r="N648" s="4"/>
      <c r="O648" s="4"/>
      <c r="P648" s="4"/>
      <c r="Q648" s="4"/>
      <c r="R648" s="4"/>
      <c r="S648" s="13" t="n">
        <v>716.28</v>
      </c>
      <c r="T648" s="4" t="s">
        <v>173</v>
      </c>
      <c r="U648" s="14" t="n">
        <f aca="false">IF(OR($S648="",PARAMETROS!$B$4=""),"",$S648*PARAMETROS!$B$4)</f>
        <v>4161.5868</v>
      </c>
      <c r="V648" s="13" t="n">
        <v>0</v>
      </c>
      <c r="W648" s="4"/>
      <c r="X648" s="4"/>
      <c r="Y648" s="4"/>
      <c r="Z648" s="4"/>
      <c r="AA648" s="4"/>
      <c r="AB648" s="4"/>
      <c r="AC648" s="4"/>
      <c r="AD648" s="4"/>
      <c r="AE648" s="4"/>
      <c r="AF648" s="4"/>
      <c r="AG648" s="4"/>
      <c r="AH648" s="4"/>
      <c r="AI648" s="4"/>
      <c r="AJ648" s="4"/>
      <c r="AK648" s="4"/>
      <c r="AL648" s="4" t="s">
        <v>174</v>
      </c>
      <c r="AM648" s="4" t="s">
        <v>205</v>
      </c>
    </row>
    <row r="649" customFormat="false" ht="23.85" hidden="false" customHeight="false" outlineLevel="0" collapsed="false">
      <c r="A649" s="4" t="s">
        <v>167</v>
      </c>
      <c r="B649" s="4" t="s">
        <v>826</v>
      </c>
      <c r="C649" s="4" t="s">
        <v>826</v>
      </c>
      <c r="D649" s="12" t="n">
        <v>2020</v>
      </c>
      <c r="E649" s="4"/>
      <c r="F649" s="4" t="s">
        <v>169</v>
      </c>
      <c r="G649" s="4" t="s">
        <v>170</v>
      </c>
      <c r="H649" s="4" t="s">
        <v>171</v>
      </c>
      <c r="I649" s="4" t="s">
        <v>172</v>
      </c>
      <c r="J649" s="4" t="s">
        <v>826</v>
      </c>
      <c r="K649" s="4" t="s">
        <v>99</v>
      </c>
      <c r="L649" s="4" t="s">
        <v>100</v>
      </c>
      <c r="M649" s="4"/>
      <c r="N649" s="4"/>
      <c r="O649" s="4"/>
      <c r="P649" s="4"/>
      <c r="Q649" s="4"/>
      <c r="R649" s="4"/>
      <c r="S649" s="13" t="n">
        <v>0</v>
      </c>
      <c r="T649" s="4" t="s">
        <v>173</v>
      </c>
      <c r="U649" s="14" t="n">
        <f aca="false">IF(OR($S649="",PARAMETROS!$B$4=""),"",$S649*PARAMETROS!$B$4)</f>
        <v>0</v>
      </c>
      <c r="V649" s="13" t="n">
        <v>0</v>
      </c>
      <c r="W649" s="4"/>
      <c r="X649" s="4"/>
      <c r="Y649" s="4"/>
      <c r="Z649" s="4"/>
      <c r="AA649" s="4"/>
      <c r="AB649" s="4"/>
      <c r="AC649" s="4"/>
      <c r="AD649" s="4"/>
      <c r="AE649" s="4"/>
      <c r="AF649" s="4"/>
      <c r="AG649" s="4"/>
      <c r="AH649" s="4"/>
      <c r="AI649" s="4"/>
      <c r="AJ649" s="4"/>
      <c r="AK649" s="4"/>
      <c r="AL649" s="4" t="s">
        <v>174</v>
      </c>
      <c r="AM649" s="4" t="s">
        <v>205</v>
      </c>
    </row>
    <row r="650" customFormat="false" ht="23.85" hidden="false" customHeight="false" outlineLevel="0" collapsed="false">
      <c r="A650" s="4" t="s">
        <v>167</v>
      </c>
      <c r="B650" s="4" t="s">
        <v>827</v>
      </c>
      <c r="C650" s="4" t="s">
        <v>827</v>
      </c>
      <c r="D650" s="12" t="n">
        <v>2020</v>
      </c>
      <c r="E650" s="4"/>
      <c r="F650" s="4" t="s">
        <v>169</v>
      </c>
      <c r="G650" s="4" t="s">
        <v>170</v>
      </c>
      <c r="H650" s="4" t="s">
        <v>171</v>
      </c>
      <c r="I650" s="4" t="s">
        <v>172</v>
      </c>
      <c r="J650" s="4" t="s">
        <v>827</v>
      </c>
      <c r="K650" s="4" t="s">
        <v>99</v>
      </c>
      <c r="L650" s="4" t="s">
        <v>100</v>
      </c>
      <c r="M650" s="4"/>
      <c r="N650" s="4"/>
      <c r="O650" s="4"/>
      <c r="P650" s="4"/>
      <c r="Q650" s="4"/>
      <c r="R650" s="4"/>
      <c r="S650" s="13" t="n">
        <v>0</v>
      </c>
      <c r="T650" s="4" t="s">
        <v>173</v>
      </c>
      <c r="U650" s="14" t="n">
        <f aca="false">IF(OR($S650="",PARAMETROS!$B$4=""),"",$S650*PARAMETROS!$B$4)</f>
        <v>0</v>
      </c>
      <c r="V650" s="13" t="n">
        <v>0</v>
      </c>
      <c r="W650" s="4"/>
      <c r="X650" s="4"/>
      <c r="Y650" s="4"/>
      <c r="Z650" s="4"/>
      <c r="AA650" s="4"/>
      <c r="AB650" s="4"/>
      <c r="AC650" s="4"/>
      <c r="AD650" s="4"/>
      <c r="AE650" s="4"/>
      <c r="AF650" s="4"/>
      <c r="AG650" s="4"/>
      <c r="AH650" s="4"/>
      <c r="AI650" s="4"/>
      <c r="AJ650" s="4"/>
      <c r="AK650" s="4"/>
      <c r="AL650" s="4" t="s">
        <v>174</v>
      </c>
      <c r="AM650" s="4" t="s">
        <v>205</v>
      </c>
    </row>
    <row r="651" customFormat="false" ht="23.85" hidden="false" customHeight="false" outlineLevel="0" collapsed="false">
      <c r="A651" s="4" t="s">
        <v>167</v>
      </c>
      <c r="B651" s="4" t="s">
        <v>828</v>
      </c>
      <c r="C651" s="4" t="s">
        <v>828</v>
      </c>
      <c r="D651" s="12" t="n">
        <v>2020</v>
      </c>
      <c r="E651" s="4"/>
      <c r="F651" s="4" t="s">
        <v>169</v>
      </c>
      <c r="G651" s="4" t="s">
        <v>170</v>
      </c>
      <c r="H651" s="4" t="s">
        <v>171</v>
      </c>
      <c r="I651" s="4" t="s">
        <v>172</v>
      </c>
      <c r="J651" s="4" t="s">
        <v>828</v>
      </c>
      <c r="K651" s="4" t="s">
        <v>99</v>
      </c>
      <c r="L651" s="4" t="s">
        <v>100</v>
      </c>
      <c r="M651" s="4"/>
      <c r="N651" s="4"/>
      <c r="O651" s="4"/>
      <c r="P651" s="4"/>
      <c r="Q651" s="4"/>
      <c r="R651" s="4"/>
      <c r="S651" s="13" t="n">
        <v>7400.48</v>
      </c>
      <c r="T651" s="4" t="s">
        <v>173</v>
      </c>
      <c r="U651" s="14" t="n">
        <f aca="false">IF(OR($S651="",PARAMETROS!$B$4=""),"",$S651*PARAMETROS!$B$4)</f>
        <v>42996.7888</v>
      </c>
      <c r="V651" s="13" t="n">
        <v>0</v>
      </c>
      <c r="W651" s="4"/>
      <c r="X651" s="4"/>
      <c r="Y651" s="4"/>
      <c r="Z651" s="4"/>
      <c r="AA651" s="4"/>
      <c r="AB651" s="4"/>
      <c r="AC651" s="4"/>
      <c r="AD651" s="4"/>
      <c r="AE651" s="4"/>
      <c r="AF651" s="4"/>
      <c r="AG651" s="4"/>
      <c r="AH651" s="4"/>
      <c r="AI651" s="4"/>
      <c r="AJ651" s="4"/>
      <c r="AK651" s="4"/>
      <c r="AL651" s="4" t="s">
        <v>174</v>
      </c>
      <c r="AM651" s="4" t="s">
        <v>205</v>
      </c>
    </row>
    <row r="652" customFormat="false" ht="23.85" hidden="false" customHeight="false" outlineLevel="0" collapsed="false">
      <c r="A652" s="4" t="s">
        <v>167</v>
      </c>
      <c r="B652" s="4" t="s">
        <v>829</v>
      </c>
      <c r="C652" s="4" t="s">
        <v>829</v>
      </c>
      <c r="D652" s="12" t="n">
        <v>2020</v>
      </c>
      <c r="E652" s="4"/>
      <c r="F652" s="4" t="s">
        <v>169</v>
      </c>
      <c r="G652" s="4" t="s">
        <v>170</v>
      </c>
      <c r="H652" s="4" t="s">
        <v>171</v>
      </c>
      <c r="I652" s="4" t="s">
        <v>172</v>
      </c>
      <c r="J652" s="4" t="s">
        <v>829</v>
      </c>
      <c r="K652" s="4" t="s">
        <v>99</v>
      </c>
      <c r="L652" s="4" t="s">
        <v>100</v>
      </c>
      <c r="M652" s="4"/>
      <c r="N652" s="4"/>
      <c r="O652" s="4"/>
      <c r="P652" s="4"/>
      <c r="Q652" s="4"/>
      <c r="R652" s="4"/>
      <c r="S652" s="13" t="n">
        <v>532.14</v>
      </c>
      <c r="T652" s="4" t="s">
        <v>173</v>
      </c>
      <c r="U652" s="14" t="n">
        <f aca="false">IF(OR($S652="",PARAMETROS!$B$4=""),"",$S652*PARAMETROS!$B$4)</f>
        <v>3091.7334</v>
      </c>
      <c r="V652" s="13" t="n">
        <v>0</v>
      </c>
      <c r="W652" s="4"/>
      <c r="X652" s="4"/>
      <c r="Y652" s="4"/>
      <c r="Z652" s="4"/>
      <c r="AA652" s="4"/>
      <c r="AB652" s="4"/>
      <c r="AC652" s="4"/>
      <c r="AD652" s="4"/>
      <c r="AE652" s="4"/>
      <c r="AF652" s="4"/>
      <c r="AG652" s="4"/>
      <c r="AH652" s="4"/>
      <c r="AI652" s="4"/>
      <c r="AJ652" s="4"/>
      <c r="AK652" s="4"/>
      <c r="AL652" s="4" t="s">
        <v>174</v>
      </c>
      <c r="AM652" s="4" t="s">
        <v>205</v>
      </c>
    </row>
    <row r="653" customFormat="false" ht="23.85" hidden="false" customHeight="false" outlineLevel="0" collapsed="false">
      <c r="A653" s="4" t="s">
        <v>167</v>
      </c>
      <c r="B653" s="4" t="s">
        <v>830</v>
      </c>
      <c r="C653" s="4" t="s">
        <v>830</v>
      </c>
      <c r="D653" s="12" t="n">
        <v>2020</v>
      </c>
      <c r="E653" s="4"/>
      <c r="F653" s="4" t="s">
        <v>169</v>
      </c>
      <c r="G653" s="4" t="s">
        <v>170</v>
      </c>
      <c r="H653" s="4" t="s">
        <v>171</v>
      </c>
      <c r="I653" s="4" t="s">
        <v>172</v>
      </c>
      <c r="J653" s="4" t="s">
        <v>830</v>
      </c>
      <c r="K653" s="4" t="s">
        <v>99</v>
      </c>
      <c r="L653" s="4" t="s">
        <v>100</v>
      </c>
      <c r="M653" s="4"/>
      <c r="N653" s="4"/>
      <c r="O653" s="4"/>
      <c r="P653" s="4"/>
      <c r="Q653" s="4"/>
      <c r="R653" s="4"/>
      <c r="S653" s="13" t="n">
        <v>492.39</v>
      </c>
      <c r="T653" s="4" t="s">
        <v>173</v>
      </c>
      <c r="U653" s="14" t="n">
        <f aca="false">IF(OR($S653="",PARAMETROS!$B$4=""),"",$S653*PARAMETROS!$B$4)</f>
        <v>2860.7859</v>
      </c>
      <c r="V653" s="13" t="n">
        <v>0</v>
      </c>
      <c r="W653" s="4"/>
      <c r="X653" s="4"/>
      <c r="Y653" s="4"/>
      <c r="Z653" s="4"/>
      <c r="AA653" s="4"/>
      <c r="AB653" s="4"/>
      <c r="AC653" s="4"/>
      <c r="AD653" s="4"/>
      <c r="AE653" s="4"/>
      <c r="AF653" s="4"/>
      <c r="AG653" s="4"/>
      <c r="AH653" s="4"/>
      <c r="AI653" s="4"/>
      <c r="AJ653" s="4"/>
      <c r="AK653" s="4"/>
      <c r="AL653" s="4" t="s">
        <v>174</v>
      </c>
      <c r="AM653" s="4" t="s">
        <v>205</v>
      </c>
    </row>
    <row r="654" customFormat="false" ht="23.85" hidden="false" customHeight="false" outlineLevel="0" collapsed="false">
      <c r="A654" s="4" t="s">
        <v>167</v>
      </c>
      <c r="B654" s="4" t="s">
        <v>831</v>
      </c>
      <c r="C654" s="4" t="s">
        <v>831</v>
      </c>
      <c r="D654" s="12" t="n">
        <v>2020</v>
      </c>
      <c r="E654" s="4"/>
      <c r="F654" s="4" t="s">
        <v>169</v>
      </c>
      <c r="G654" s="4" t="s">
        <v>170</v>
      </c>
      <c r="H654" s="4" t="s">
        <v>171</v>
      </c>
      <c r="I654" s="4" t="s">
        <v>172</v>
      </c>
      <c r="J654" s="4" t="s">
        <v>831</v>
      </c>
      <c r="K654" s="4" t="s">
        <v>99</v>
      </c>
      <c r="L654" s="4" t="s">
        <v>100</v>
      </c>
      <c r="M654" s="4"/>
      <c r="N654" s="4"/>
      <c r="O654" s="4"/>
      <c r="P654" s="4"/>
      <c r="Q654" s="4"/>
      <c r="R654" s="4"/>
      <c r="S654" s="13" t="n">
        <v>0</v>
      </c>
      <c r="T654" s="4" t="s">
        <v>173</v>
      </c>
      <c r="U654" s="14" t="n">
        <f aca="false">IF(OR($S654="",PARAMETROS!$B$4=""),"",$S654*PARAMETROS!$B$4)</f>
        <v>0</v>
      </c>
      <c r="V654" s="13" t="n">
        <v>0</v>
      </c>
      <c r="W654" s="4"/>
      <c r="X654" s="4"/>
      <c r="Y654" s="4"/>
      <c r="Z654" s="4"/>
      <c r="AA654" s="4"/>
      <c r="AB654" s="4"/>
      <c r="AC654" s="4"/>
      <c r="AD654" s="4"/>
      <c r="AE654" s="4"/>
      <c r="AF654" s="4"/>
      <c r="AG654" s="4"/>
      <c r="AH654" s="4"/>
      <c r="AI654" s="4"/>
      <c r="AJ654" s="4"/>
      <c r="AK654" s="4"/>
      <c r="AL654" s="4" t="s">
        <v>174</v>
      </c>
      <c r="AM654" s="4" t="s">
        <v>205</v>
      </c>
    </row>
    <row r="655" customFormat="false" ht="23.85" hidden="false" customHeight="false" outlineLevel="0" collapsed="false">
      <c r="A655" s="4" t="s">
        <v>167</v>
      </c>
      <c r="B655" s="4" t="s">
        <v>832</v>
      </c>
      <c r="C655" s="4" t="s">
        <v>832</v>
      </c>
      <c r="D655" s="12" t="n">
        <v>2020</v>
      </c>
      <c r="E655" s="4"/>
      <c r="F655" s="4" t="s">
        <v>169</v>
      </c>
      <c r="G655" s="4" t="s">
        <v>170</v>
      </c>
      <c r="H655" s="4" t="s">
        <v>171</v>
      </c>
      <c r="I655" s="4" t="s">
        <v>172</v>
      </c>
      <c r="J655" s="4" t="s">
        <v>832</v>
      </c>
      <c r="K655" s="4" t="s">
        <v>99</v>
      </c>
      <c r="L655" s="4" t="s">
        <v>100</v>
      </c>
      <c r="M655" s="4"/>
      <c r="N655" s="4"/>
      <c r="O655" s="4"/>
      <c r="P655" s="4"/>
      <c r="Q655" s="4"/>
      <c r="R655" s="4"/>
      <c r="S655" s="13" t="n">
        <v>2362.77</v>
      </c>
      <c r="T655" s="4" t="s">
        <v>173</v>
      </c>
      <c r="U655" s="14" t="n">
        <f aca="false">IF(OR($S655="",PARAMETROS!$B$4=""),"",$S655*PARAMETROS!$B$4)</f>
        <v>13727.6937</v>
      </c>
      <c r="V655" s="13" t="n">
        <v>0</v>
      </c>
      <c r="W655" s="4"/>
      <c r="X655" s="4"/>
      <c r="Y655" s="4"/>
      <c r="Z655" s="4"/>
      <c r="AA655" s="4"/>
      <c r="AB655" s="4"/>
      <c r="AC655" s="4"/>
      <c r="AD655" s="4"/>
      <c r="AE655" s="4"/>
      <c r="AF655" s="4"/>
      <c r="AG655" s="4"/>
      <c r="AH655" s="4"/>
      <c r="AI655" s="4"/>
      <c r="AJ655" s="4"/>
      <c r="AK655" s="4"/>
      <c r="AL655" s="4" t="s">
        <v>174</v>
      </c>
      <c r="AM655" s="4" t="s">
        <v>205</v>
      </c>
    </row>
    <row r="656" customFormat="false" ht="23.85" hidden="false" customHeight="false" outlineLevel="0" collapsed="false">
      <c r="A656" s="4" t="s">
        <v>167</v>
      </c>
      <c r="B656" s="4" t="s">
        <v>833</v>
      </c>
      <c r="C656" s="4" t="s">
        <v>833</v>
      </c>
      <c r="D656" s="12" t="n">
        <v>2020</v>
      </c>
      <c r="E656" s="4"/>
      <c r="F656" s="4" t="s">
        <v>169</v>
      </c>
      <c r="G656" s="4" t="s">
        <v>170</v>
      </c>
      <c r="H656" s="4" t="s">
        <v>171</v>
      </c>
      <c r="I656" s="4" t="s">
        <v>172</v>
      </c>
      <c r="J656" s="4" t="s">
        <v>833</v>
      </c>
      <c r="K656" s="4" t="s">
        <v>99</v>
      </c>
      <c r="L656" s="4" t="s">
        <v>100</v>
      </c>
      <c r="M656" s="4"/>
      <c r="N656" s="4"/>
      <c r="O656" s="4"/>
      <c r="P656" s="4"/>
      <c r="Q656" s="4"/>
      <c r="R656" s="4"/>
      <c r="S656" s="13" t="n">
        <v>1840.92</v>
      </c>
      <c r="T656" s="4" t="s">
        <v>173</v>
      </c>
      <c r="U656" s="14" t="n">
        <f aca="false">IF(OR($S656="",PARAMETROS!$B$4=""),"",$S656*PARAMETROS!$B$4)</f>
        <v>10695.7452</v>
      </c>
      <c r="V656" s="13" t="n">
        <v>0</v>
      </c>
      <c r="W656" s="4"/>
      <c r="X656" s="4"/>
      <c r="Y656" s="4"/>
      <c r="Z656" s="4"/>
      <c r="AA656" s="4"/>
      <c r="AB656" s="4"/>
      <c r="AC656" s="4"/>
      <c r="AD656" s="4"/>
      <c r="AE656" s="4"/>
      <c r="AF656" s="4"/>
      <c r="AG656" s="4"/>
      <c r="AH656" s="4"/>
      <c r="AI656" s="4"/>
      <c r="AJ656" s="4"/>
      <c r="AK656" s="4"/>
      <c r="AL656" s="4" t="s">
        <v>174</v>
      </c>
      <c r="AM656" s="4" t="s">
        <v>205</v>
      </c>
    </row>
    <row r="657" customFormat="false" ht="23.85" hidden="false" customHeight="false" outlineLevel="0" collapsed="false">
      <c r="A657" s="4" t="s">
        <v>167</v>
      </c>
      <c r="B657" s="4" t="s">
        <v>834</v>
      </c>
      <c r="C657" s="4" t="s">
        <v>834</v>
      </c>
      <c r="D657" s="12" t="n">
        <v>2020</v>
      </c>
      <c r="E657" s="4"/>
      <c r="F657" s="4" t="s">
        <v>169</v>
      </c>
      <c r="G657" s="4" t="s">
        <v>170</v>
      </c>
      <c r="H657" s="4" t="s">
        <v>171</v>
      </c>
      <c r="I657" s="4" t="s">
        <v>172</v>
      </c>
      <c r="J657" s="4" t="s">
        <v>834</v>
      </c>
      <c r="K657" s="4" t="s">
        <v>99</v>
      </c>
      <c r="L657" s="4" t="s">
        <v>100</v>
      </c>
      <c r="M657" s="4"/>
      <c r="N657" s="4"/>
      <c r="O657" s="4"/>
      <c r="P657" s="4"/>
      <c r="Q657" s="4"/>
      <c r="R657" s="4"/>
      <c r="S657" s="13" t="n">
        <v>2228.57</v>
      </c>
      <c r="T657" s="4" t="s">
        <v>173</v>
      </c>
      <c r="U657" s="14" t="n">
        <f aca="false">IF(OR($S657="",PARAMETROS!$B$4=""),"",$S657*PARAMETROS!$B$4)</f>
        <v>12947.9917</v>
      </c>
      <c r="V657" s="13" t="n">
        <v>0</v>
      </c>
      <c r="W657" s="4"/>
      <c r="X657" s="4"/>
      <c r="Y657" s="4"/>
      <c r="Z657" s="4"/>
      <c r="AA657" s="4"/>
      <c r="AB657" s="4"/>
      <c r="AC657" s="4"/>
      <c r="AD657" s="4"/>
      <c r="AE657" s="4"/>
      <c r="AF657" s="4"/>
      <c r="AG657" s="4"/>
      <c r="AH657" s="4"/>
      <c r="AI657" s="4"/>
      <c r="AJ657" s="4"/>
      <c r="AK657" s="4"/>
      <c r="AL657" s="4" t="s">
        <v>174</v>
      </c>
      <c r="AM657" s="4" t="s">
        <v>205</v>
      </c>
    </row>
    <row r="658" customFormat="false" ht="23.85" hidden="false" customHeight="false" outlineLevel="0" collapsed="false">
      <c r="A658" s="4" t="s">
        <v>167</v>
      </c>
      <c r="B658" s="4" t="s">
        <v>835</v>
      </c>
      <c r="C658" s="4" t="s">
        <v>835</v>
      </c>
      <c r="D658" s="12" t="n">
        <v>2020</v>
      </c>
      <c r="E658" s="4"/>
      <c r="F658" s="4" t="s">
        <v>169</v>
      </c>
      <c r="G658" s="4" t="s">
        <v>170</v>
      </c>
      <c r="H658" s="4" t="s">
        <v>171</v>
      </c>
      <c r="I658" s="4" t="s">
        <v>172</v>
      </c>
      <c r="J658" s="4" t="s">
        <v>835</v>
      </c>
      <c r="K658" s="4" t="s">
        <v>99</v>
      </c>
      <c r="L658" s="4" t="s">
        <v>100</v>
      </c>
      <c r="M658" s="4"/>
      <c r="N658" s="4"/>
      <c r="O658" s="4"/>
      <c r="P658" s="4"/>
      <c r="Q658" s="4"/>
      <c r="R658" s="4"/>
      <c r="S658" s="13" t="n">
        <v>0</v>
      </c>
      <c r="T658" s="4" t="s">
        <v>173</v>
      </c>
      <c r="U658" s="14" t="n">
        <f aca="false">IF(OR($S658="",PARAMETROS!$B$4=""),"",$S658*PARAMETROS!$B$4)</f>
        <v>0</v>
      </c>
      <c r="V658" s="13" t="n">
        <v>1</v>
      </c>
      <c r="W658" s="4"/>
      <c r="X658" s="4"/>
      <c r="Y658" s="4"/>
      <c r="Z658" s="4"/>
      <c r="AA658" s="4"/>
      <c r="AB658" s="4"/>
      <c r="AC658" s="4"/>
      <c r="AD658" s="4"/>
      <c r="AE658" s="4"/>
      <c r="AF658" s="4"/>
      <c r="AG658" s="4"/>
      <c r="AH658" s="4"/>
      <c r="AI658" s="4"/>
      <c r="AJ658" s="4"/>
      <c r="AK658" s="4"/>
      <c r="AL658" s="4" t="s">
        <v>174</v>
      </c>
      <c r="AM658" s="4" t="s">
        <v>205</v>
      </c>
    </row>
    <row r="659" customFormat="false" ht="23.85" hidden="false" customHeight="false" outlineLevel="0" collapsed="false">
      <c r="A659" s="4" t="s">
        <v>167</v>
      </c>
      <c r="B659" s="4" t="s">
        <v>836</v>
      </c>
      <c r="C659" s="4" t="s">
        <v>836</v>
      </c>
      <c r="D659" s="12" t="n">
        <v>2020</v>
      </c>
      <c r="E659" s="4"/>
      <c r="F659" s="4" t="s">
        <v>169</v>
      </c>
      <c r="G659" s="4" t="s">
        <v>170</v>
      </c>
      <c r="H659" s="4" t="s">
        <v>171</v>
      </c>
      <c r="I659" s="4" t="s">
        <v>172</v>
      </c>
      <c r="J659" s="4" t="s">
        <v>836</v>
      </c>
      <c r="K659" s="4" t="s">
        <v>99</v>
      </c>
      <c r="L659" s="4" t="s">
        <v>100</v>
      </c>
      <c r="M659" s="4"/>
      <c r="N659" s="4"/>
      <c r="O659" s="4"/>
      <c r="P659" s="4"/>
      <c r="Q659" s="4"/>
      <c r="R659" s="4"/>
      <c r="S659" s="13" t="n">
        <v>963.71</v>
      </c>
      <c r="T659" s="4" t="s">
        <v>173</v>
      </c>
      <c r="U659" s="14" t="n">
        <f aca="false">IF(OR($S659="",PARAMETROS!$B$4=""),"",$S659*PARAMETROS!$B$4)</f>
        <v>5599.1551</v>
      </c>
      <c r="V659" s="13" t="n">
        <v>0</v>
      </c>
      <c r="W659" s="4"/>
      <c r="X659" s="4"/>
      <c r="Y659" s="4"/>
      <c r="Z659" s="4"/>
      <c r="AA659" s="4"/>
      <c r="AB659" s="4"/>
      <c r="AC659" s="4"/>
      <c r="AD659" s="4"/>
      <c r="AE659" s="4"/>
      <c r="AF659" s="4"/>
      <c r="AG659" s="4"/>
      <c r="AH659" s="4"/>
      <c r="AI659" s="4"/>
      <c r="AJ659" s="4"/>
      <c r="AK659" s="4"/>
      <c r="AL659" s="4" t="s">
        <v>174</v>
      </c>
      <c r="AM659" s="4" t="s">
        <v>205</v>
      </c>
    </row>
    <row r="660" customFormat="false" ht="23.85" hidden="false" customHeight="false" outlineLevel="0" collapsed="false">
      <c r="A660" s="4" t="s">
        <v>167</v>
      </c>
      <c r="B660" s="4" t="s">
        <v>837</v>
      </c>
      <c r="C660" s="4" t="s">
        <v>837</v>
      </c>
      <c r="D660" s="12" t="n">
        <v>2020</v>
      </c>
      <c r="E660" s="4"/>
      <c r="F660" s="4" t="s">
        <v>169</v>
      </c>
      <c r="G660" s="4" t="s">
        <v>170</v>
      </c>
      <c r="H660" s="4" t="s">
        <v>171</v>
      </c>
      <c r="I660" s="4" t="s">
        <v>172</v>
      </c>
      <c r="J660" s="4" t="s">
        <v>837</v>
      </c>
      <c r="K660" s="4" t="s">
        <v>101</v>
      </c>
      <c r="L660" s="4" t="s">
        <v>102</v>
      </c>
      <c r="M660" s="4"/>
      <c r="N660" s="4"/>
      <c r="O660" s="4"/>
      <c r="P660" s="4"/>
      <c r="Q660" s="4"/>
      <c r="R660" s="4"/>
      <c r="S660" s="13" t="n">
        <v>0</v>
      </c>
      <c r="T660" s="4" t="s">
        <v>173</v>
      </c>
      <c r="U660" s="14" t="n">
        <f aca="false">IF(OR($S660="",PARAMETROS!$B$4=""),"",$S660*PARAMETROS!$B$4)</f>
        <v>0</v>
      </c>
      <c r="V660" s="13" t="n">
        <v>0</v>
      </c>
      <c r="W660" s="4"/>
      <c r="X660" s="4"/>
      <c r="Y660" s="4"/>
      <c r="Z660" s="4"/>
      <c r="AA660" s="4"/>
      <c r="AB660" s="4"/>
      <c r="AC660" s="4"/>
      <c r="AD660" s="4"/>
      <c r="AE660" s="4"/>
      <c r="AF660" s="4"/>
      <c r="AG660" s="4"/>
      <c r="AH660" s="4"/>
      <c r="AI660" s="4"/>
      <c r="AJ660" s="4"/>
      <c r="AK660" s="4"/>
      <c r="AL660" s="4" t="s">
        <v>174</v>
      </c>
      <c r="AM660" s="4" t="s">
        <v>205</v>
      </c>
    </row>
    <row r="661" customFormat="false" ht="23.85" hidden="false" customHeight="false" outlineLevel="0" collapsed="false">
      <c r="A661" s="4" t="s">
        <v>167</v>
      </c>
      <c r="B661" s="4" t="s">
        <v>838</v>
      </c>
      <c r="C661" s="4" t="s">
        <v>838</v>
      </c>
      <c r="D661" s="12" t="n">
        <v>2020</v>
      </c>
      <c r="E661" s="4"/>
      <c r="F661" s="4" t="s">
        <v>169</v>
      </c>
      <c r="G661" s="4" t="s">
        <v>170</v>
      </c>
      <c r="H661" s="4" t="s">
        <v>171</v>
      </c>
      <c r="I661" s="4" t="s">
        <v>172</v>
      </c>
      <c r="J661" s="4" t="s">
        <v>838</v>
      </c>
      <c r="K661" s="4" t="s">
        <v>101</v>
      </c>
      <c r="L661" s="4" t="s">
        <v>102</v>
      </c>
      <c r="M661" s="4"/>
      <c r="N661" s="4"/>
      <c r="O661" s="4"/>
      <c r="P661" s="4"/>
      <c r="Q661" s="4"/>
      <c r="R661" s="4"/>
      <c r="S661" s="13" t="n">
        <v>1549.57</v>
      </c>
      <c r="T661" s="4" t="s">
        <v>173</v>
      </c>
      <c r="U661" s="14" t="n">
        <f aca="false">IF(OR($S661="",PARAMETROS!$B$4=""),"",$S661*PARAMETROS!$B$4)</f>
        <v>9003.0017</v>
      </c>
      <c r="V661" s="13" t="n">
        <v>0</v>
      </c>
      <c r="W661" s="4"/>
      <c r="X661" s="4"/>
      <c r="Y661" s="4"/>
      <c r="Z661" s="4"/>
      <c r="AA661" s="4"/>
      <c r="AB661" s="4"/>
      <c r="AC661" s="4"/>
      <c r="AD661" s="4"/>
      <c r="AE661" s="4"/>
      <c r="AF661" s="4"/>
      <c r="AG661" s="4"/>
      <c r="AH661" s="4"/>
      <c r="AI661" s="4"/>
      <c r="AJ661" s="4"/>
      <c r="AK661" s="4"/>
      <c r="AL661" s="4" t="s">
        <v>174</v>
      </c>
      <c r="AM661" s="4" t="s">
        <v>205</v>
      </c>
    </row>
    <row r="662" customFormat="false" ht="23.85" hidden="false" customHeight="false" outlineLevel="0" collapsed="false">
      <c r="A662" s="4" t="s">
        <v>167</v>
      </c>
      <c r="B662" s="4" t="s">
        <v>839</v>
      </c>
      <c r="C662" s="4" t="s">
        <v>839</v>
      </c>
      <c r="D662" s="12" t="n">
        <v>2020</v>
      </c>
      <c r="E662" s="4"/>
      <c r="F662" s="4" t="s">
        <v>169</v>
      </c>
      <c r="G662" s="4" t="s">
        <v>170</v>
      </c>
      <c r="H662" s="4" t="s">
        <v>171</v>
      </c>
      <c r="I662" s="4" t="s">
        <v>172</v>
      </c>
      <c r="J662" s="4" t="s">
        <v>839</v>
      </c>
      <c r="K662" s="4" t="s">
        <v>101</v>
      </c>
      <c r="L662" s="4" t="s">
        <v>102</v>
      </c>
      <c r="M662" s="4"/>
      <c r="N662" s="4"/>
      <c r="O662" s="4"/>
      <c r="P662" s="4"/>
      <c r="Q662" s="4"/>
      <c r="R662" s="4"/>
      <c r="S662" s="13" t="n">
        <v>11.9</v>
      </c>
      <c r="T662" s="4" t="s">
        <v>173</v>
      </c>
      <c r="U662" s="14" t="n">
        <f aca="false">IF(OR($S662="",PARAMETROS!$B$4=""),"",$S662*PARAMETROS!$B$4)</f>
        <v>69.139</v>
      </c>
      <c r="V662" s="13" t="n">
        <v>0</v>
      </c>
      <c r="W662" s="4"/>
      <c r="X662" s="4"/>
      <c r="Y662" s="4"/>
      <c r="Z662" s="4"/>
      <c r="AA662" s="4"/>
      <c r="AB662" s="4"/>
      <c r="AC662" s="4"/>
      <c r="AD662" s="4"/>
      <c r="AE662" s="4"/>
      <c r="AF662" s="4"/>
      <c r="AG662" s="4"/>
      <c r="AH662" s="4"/>
      <c r="AI662" s="4"/>
      <c r="AJ662" s="4"/>
      <c r="AK662" s="4"/>
      <c r="AL662" s="4" t="s">
        <v>174</v>
      </c>
      <c r="AM662" s="4" t="s">
        <v>205</v>
      </c>
    </row>
    <row r="663" customFormat="false" ht="23.85" hidden="false" customHeight="false" outlineLevel="0" collapsed="false">
      <c r="A663" s="4" t="s">
        <v>167</v>
      </c>
      <c r="B663" s="4" t="s">
        <v>840</v>
      </c>
      <c r="C663" s="4" t="s">
        <v>840</v>
      </c>
      <c r="D663" s="12" t="n">
        <v>2020</v>
      </c>
      <c r="E663" s="4"/>
      <c r="F663" s="4" t="s">
        <v>169</v>
      </c>
      <c r="G663" s="4" t="s">
        <v>170</v>
      </c>
      <c r="H663" s="4" t="s">
        <v>171</v>
      </c>
      <c r="I663" s="4" t="s">
        <v>172</v>
      </c>
      <c r="J663" s="4" t="s">
        <v>840</v>
      </c>
      <c r="K663" s="4" t="s">
        <v>101</v>
      </c>
      <c r="L663" s="4" t="s">
        <v>102</v>
      </c>
      <c r="M663" s="4"/>
      <c r="N663" s="4"/>
      <c r="O663" s="4"/>
      <c r="P663" s="4"/>
      <c r="Q663" s="4"/>
      <c r="R663" s="4"/>
      <c r="S663" s="13" t="n">
        <v>14.63</v>
      </c>
      <c r="T663" s="4" t="s">
        <v>173</v>
      </c>
      <c r="U663" s="14" t="n">
        <f aca="false">IF(OR($S663="",PARAMETROS!$B$4=""),"",$S663*PARAMETROS!$B$4)</f>
        <v>85.0003</v>
      </c>
      <c r="V663" s="13" t="n">
        <v>0</v>
      </c>
      <c r="W663" s="4"/>
      <c r="X663" s="4"/>
      <c r="Y663" s="4"/>
      <c r="Z663" s="4"/>
      <c r="AA663" s="4"/>
      <c r="AB663" s="4"/>
      <c r="AC663" s="4"/>
      <c r="AD663" s="4"/>
      <c r="AE663" s="4"/>
      <c r="AF663" s="4"/>
      <c r="AG663" s="4"/>
      <c r="AH663" s="4"/>
      <c r="AI663" s="4"/>
      <c r="AJ663" s="4"/>
      <c r="AK663" s="4"/>
      <c r="AL663" s="4" t="s">
        <v>174</v>
      </c>
      <c r="AM663" s="4" t="s">
        <v>205</v>
      </c>
    </row>
    <row r="664" customFormat="false" ht="23.85" hidden="false" customHeight="false" outlineLevel="0" collapsed="false">
      <c r="A664" s="4" t="s">
        <v>167</v>
      </c>
      <c r="B664" s="4" t="s">
        <v>841</v>
      </c>
      <c r="C664" s="4" t="s">
        <v>841</v>
      </c>
      <c r="D664" s="12" t="n">
        <v>2020</v>
      </c>
      <c r="E664" s="4"/>
      <c r="F664" s="4" t="s">
        <v>169</v>
      </c>
      <c r="G664" s="4" t="s">
        <v>170</v>
      </c>
      <c r="H664" s="4" t="s">
        <v>171</v>
      </c>
      <c r="I664" s="4" t="s">
        <v>172</v>
      </c>
      <c r="J664" s="4" t="s">
        <v>841</v>
      </c>
      <c r="K664" s="4" t="s">
        <v>101</v>
      </c>
      <c r="L664" s="4" t="s">
        <v>102</v>
      </c>
      <c r="M664" s="4"/>
      <c r="N664" s="4"/>
      <c r="O664" s="4"/>
      <c r="P664" s="4"/>
      <c r="Q664" s="4"/>
      <c r="R664" s="4"/>
      <c r="S664" s="13" t="n">
        <v>0</v>
      </c>
      <c r="T664" s="4" t="s">
        <v>173</v>
      </c>
      <c r="U664" s="14" t="n">
        <f aca="false">IF(OR($S664="",PARAMETROS!$B$4=""),"",$S664*PARAMETROS!$B$4)</f>
        <v>0</v>
      </c>
      <c r="V664" s="13" t="n">
        <v>0</v>
      </c>
      <c r="W664" s="4"/>
      <c r="X664" s="4"/>
      <c r="Y664" s="4"/>
      <c r="Z664" s="4"/>
      <c r="AA664" s="4"/>
      <c r="AB664" s="4"/>
      <c r="AC664" s="4"/>
      <c r="AD664" s="4"/>
      <c r="AE664" s="4"/>
      <c r="AF664" s="4"/>
      <c r="AG664" s="4"/>
      <c r="AH664" s="4"/>
      <c r="AI664" s="4"/>
      <c r="AJ664" s="4"/>
      <c r="AK664" s="4"/>
      <c r="AL664" s="4" t="s">
        <v>174</v>
      </c>
      <c r="AM664" s="4" t="s">
        <v>205</v>
      </c>
    </row>
    <row r="665" customFormat="false" ht="23.85" hidden="false" customHeight="false" outlineLevel="0" collapsed="false">
      <c r="A665" s="4" t="s">
        <v>167</v>
      </c>
      <c r="B665" s="4" t="s">
        <v>842</v>
      </c>
      <c r="C665" s="4" t="s">
        <v>842</v>
      </c>
      <c r="D665" s="12" t="n">
        <v>2020</v>
      </c>
      <c r="E665" s="4"/>
      <c r="F665" s="4" t="s">
        <v>169</v>
      </c>
      <c r="G665" s="4" t="s">
        <v>170</v>
      </c>
      <c r="H665" s="4" t="s">
        <v>171</v>
      </c>
      <c r="I665" s="4" t="s">
        <v>172</v>
      </c>
      <c r="J665" s="4" t="s">
        <v>842</v>
      </c>
      <c r="K665" s="4" t="s">
        <v>101</v>
      </c>
      <c r="L665" s="4" t="s">
        <v>102</v>
      </c>
      <c r="M665" s="4"/>
      <c r="N665" s="4"/>
      <c r="O665" s="4"/>
      <c r="P665" s="4"/>
      <c r="Q665" s="4"/>
      <c r="R665" s="4"/>
      <c r="S665" s="13" t="n">
        <v>-504.05</v>
      </c>
      <c r="T665" s="4" t="s">
        <v>173</v>
      </c>
      <c r="U665" s="14" t="n">
        <f aca="false">IF(OR($S665="",PARAMETROS!$B$4=""),"",$S665*PARAMETROS!$B$4)</f>
        <v>-2928.5305</v>
      </c>
      <c r="V665" s="13" t="n">
        <v>0</v>
      </c>
      <c r="W665" s="4"/>
      <c r="X665" s="4"/>
      <c r="Y665" s="4"/>
      <c r="Z665" s="4"/>
      <c r="AA665" s="4"/>
      <c r="AB665" s="4"/>
      <c r="AC665" s="4"/>
      <c r="AD665" s="4"/>
      <c r="AE665" s="4"/>
      <c r="AF665" s="4"/>
      <c r="AG665" s="4"/>
      <c r="AH665" s="4"/>
      <c r="AI665" s="4"/>
      <c r="AJ665" s="4"/>
      <c r="AK665" s="4"/>
      <c r="AL665" s="4" t="s">
        <v>174</v>
      </c>
      <c r="AM665" s="4" t="s">
        <v>205</v>
      </c>
    </row>
    <row r="666" customFormat="false" ht="23.85" hidden="false" customHeight="false" outlineLevel="0" collapsed="false">
      <c r="A666" s="4" t="s">
        <v>167</v>
      </c>
      <c r="B666" s="4" t="s">
        <v>843</v>
      </c>
      <c r="C666" s="4" t="s">
        <v>843</v>
      </c>
      <c r="D666" s="12" t="n">
        <v>2020</v>
      </c>
      <c r="E666" s="4"/>
      <c r="F666" s="4" t="s">
        <v>169</v>
      </c>
      <c r="G666" s="4" t="s">
        <v>170</v>
      </c>
      <c r="H666" s="4" t="s">
        <v>171</v>
      </c>
      <c r="I666" s="4" t="s">
        <v>172</v>
      </c>
      <c r="J666" s="4" t="s">
        <v>843</v>
      </c>
      <c r="K666" s="4" t="s">
        <v>101</v>
      </c>
      <c r="L666" s="4" t="s">
        <v>102</v>
      </c>
      <c r="M666" s="4"/>
      <c r="N666" s="4"/>
      <c r="O666" s="4"/>
      <c r="P666" s="4"/>
      <c r="Q666" s="4"/>
      <c r="R666" s="4"/>
      <c r="S666" s="13" t="n">
        <v>-71.82</v>
      </c>
      <c r="T666" s="4" t="s">
        <v>173</v>
      </c>
      <c r="U666" s="14" t="n">
        <f aca="false">IF(OR($S666="",PARAMETROS!$B$4=""),"",$S666*PARAMETROS!$B$4)</f>
        <v>-417.2742</v>
      </c>
      <c r="V666" s="13" t="n">
        <v>0</v>
      </c>
      <c r="W666" s="4"/>
      <c r="X666" s="4"/>
      <c r="Y666" s="4"/>
      <c r="Z666" s="4"/>
      <c r="AA666" s="4"/>
      <c r="AB666" s="4"/>
      <c r="AC666" s="4"/>
      <c r="AD666" s="4"/>
      <c r="AE666" s="4"/>
      <c r="AF666" s="4"/>
      <c r="AG666" s="4"/>
      <c r="AH666" s="4"/>
      <c r="AI666" s="4"/>
      <c r="AJ666" s="4"/>
      <c r="AK666" s="4"/>
      <c r="AL666" s="4" t="s">
        <v>174</v>
      </c>
      <c r="AM666" s="4" t="s">
        <v>205</v>
      </c>
    </row>
    <row r="667" customFormat="false" ht="23.85" hidden="false" customHeight="false" outlineLevel="0" collapsed="false">
      <c r="A667" s="4" t="s">
        <v>167</v>
      </c>
      <c r="B667" s="4" t="s">
        <v>844</v>
      </c>
      <c r="C667" s="4" t="s">
        <v>844</v>
      </c>
      <c r="D667" s="12" t="n">
        <v>2020</v>
      </c>
      <c r="E667" s="4"/>
      <c r="F667" s="4" t="s">
        <v>169</v>
      </c>
      <c r="G667" s="4" t="s">
        <v>170</v>
      </c>
      <c r="H667" s="4" t="s">
        <v>171</v>
      </c>
      <c r="I667" s="4" t="s">
        <v>172</v>
      </c>
      <c r="J667" s="4" t="s">
        <v>844</v>
      </c>
      <c r="K667" s="4" t="s">
        <v>101</v>
      </c>
      <c r="L667" s="4" t="s">
        <v>102</v>
      </c>
      <c r="M667" s="4"/>
      <c r="N667" s="4"/>
      <c r="O667" s="4"/>
      <c r="P667" s="4"/>
      <c r="Q667" s="4"/>
      <c r="R667" s="4"/>
      <c r="S667" s="13" t="n">
        <v>0</v>
      </c>
      <c r="T667" s="4" t="s">
        <v>173</v>
      </c>
      <c r="U667" s="14" t="n">
        <f aca="false">IF(OR($S667="",PARAMETROS!$B$4=""),"",$S667*PARAMETROS!$B$4)</f>
        <v>0</v>
      </c>
      <c r="V667" s="13" t="n">
        <v>0</v>
      </c>
      <c r="W667" s="4"/>
      <c r="X667" s="4"/>
      <c r="Y667" s="4"/>
      <c r="Z667" s="4"/>
      <c r="AA667" s="4"/>
      <c r="AB667" s="4"/>
      <c r="AC667" s="4"/>
      <c r="AD667" s="4"/>
      <c r="AE667" s="4"/>
      <c r="AF667" s="4"/>
      <c r="AG667" s="4"/>
      <c r="AH667" s="4"/>
      <c r="AI667" s="4"/>
      <c r="AJ667" s="4"/>
      <c r="AK667" s="4"/>
      <c r="AL667" s="4" t="s">
        <v>174</v>
      </c>
      <c r="AM667" s="4" t="s">
        <v>205</v>
      </c>
    </row>
    <row r="668" customFormat="false" ht="23.85" hidden="false" customHeight="false" outlineLevel="0" collapsed="false">
      <c r="A668" s="4" t="s">
        <v>167</v>
      </c>
      <c r="B668" s="4" t="s">
        <v>845</v>
      </c>
      <c r="C668" s="4" t="s">
        <v>845</v>
      </c>
      <c r="D668" s="12" t="n">
        <v>2020</v>
      </c>
      <c r="E668" s="4"/>
      <c r="F668" s="4" t="s">
        <v>169</v>
      </c>
      <c r="G668" s="4" t="s">
        <v>170</v>
      </c>
      <c r="H668" s="4" t="s">
        <v>171</v>
      </c>
      <c r="I668" s="4" t="s">
        <v>172</v>
      </c>
      <c r="J668" s="4" t="s">
        <v>845</v>
      </c>
      <c r="K668" s="4" t="s">
        <v>101</v>
      </c>
      <c r="L668" s="4" t="s">
        <v>102</v>
      </c>
      <c r="M668" s="4"/>
      <c r="N668" s="4"/>
      <c r="O668" s="4"/>
      <c r="P668" s="4"/>
      <c r="Q668" s="4"/>
      <c r="R668" s="4"/>
      <c r="S668" s="13" t="n">
        <v>0</v>
      </c>
      <c r="T668" s="4" t="s">
        <v>173</v>
      </c>
      <c r="U668" s="14" t="n">
        <f aca="false">IF(OR($S668="",PARAMETROS!$B$4=""),"",$S668*PARAMETROS!$B$4)</f>
        <v>0</v>
      </c>
      <c r="V668" s="13" t="n">
        <v>0</v>
      </c>
      <c r="W668" s="4"/>
      <c r="X668" s="4"/>
      <c r="Y668" s="4"/>
      <c r="Z668" s="4"/>
      <c r="AA668" s="4"/>
      <c r="AB668" s="4"/>
      <c r="AC668" s="4"/>
      <c r="AD668" s="4"/>
      <c r="AE668" s="4"/>
      <c r="AF668" s="4"/>
      <c r="AG668" s="4"/>
      <c r="AH668" s="4"/>
      <c r="AI668" s="4"/>
      <c r="AJ668" s="4"/>
      <c r="AK668" s="4"/>
      <c r="AL668" s="4" t="s">
        <v>174</v>
      </c>
      <c r="AM668" s="4" t="s">
        <v>205</v>
      </c>
    </row>
    <row r="669" customFormat="false" ht="23.85" hidden="false" customHeight="false" outlineLevel="0" collapsed="false">
      <c r="A669" s="4" t="s">
        <v>167</v>
      </c>
      <c r="B669" s="4" t="s">
        <v>846</v>
      </c>
      <c r="C669" s="4" t="s">
        <v>846</v>
      </c>
      <c r="D669" s="12" t="n">
        <v>2020</v>
      </c>
      <c r="E669" s="4"/>
      <c r="F669" s="4" t="s">
        <v>169</v>
      </c>
      <c r="G669" s="4" t="s">
        <v>170</v>
      </c>
      <c r="H669" s="4" t="s">
        <v>171</v>
      </c>
      <c r="I669" s="4" t="s">
        <v>172</v>
      </c>
      <c r="J669" s="4" t="s">
        <v>846</v>
      </c>
      <c r="K669" s="4" t="s">
        <v>101</v>
      </c>
      <c r="L669" s="4" t="s">
        <v>102</v>
      </c>
      <c r="M669" s="4"/>
      <c r="N669" s="4"/>
      <c r="O669" s="4"/>
      <c r="P669" s="4"/>
      <c r="Q669" s="4"/>
      <c r="R669" s="4"/>
      <c r="S669" s="13" t="n">
        <v>0</v>
      </c>
      <c r="T669" s="4" t="s">
        <v>173</v>
      </c>
      <c r="U669" s="14" t="n">
        <f aca="false">IF(OR($S669="",PARAMETROS!$B$4=""),"",$S669*PARAMETROS!$B$4)</f>
        <v>0</v>
      </c>
      <c r="V669" s="13" t="n">
        <v>0</v>
      </c>
      <c r="W669" s="4"/>
      <c r="X669" s="4"/>
      <c r="Y669" s="4"/>
      <c r="Z669" s="4"/>
      <c r="AA669" s="4"/>
      <c r="AB669" s="4"/>
      <c r="AC669" s="4"/>
      <c r="AD669" s="4"/>
      <c r="AE669" s="4"/>
      <c r="AF669" s="4"/>
      <c r="AG669" s="4"/>
      <c r="AH669" s="4"/>
      <c r="AI669" s="4"/>
      <c r="AJ669" s="4"/>
      <c r="AK669" s="4"/>
      <c r="AL669" s="4" t="s">
        <v>174</v>
      </c>
      <c r="AM669" s="4" t="s">
        <v>205</v>
      </c>
    </row>
    <row r="670" customFormat="false" ht="23.85" hidden="false" customHeight="false" outlineLevel="0" collapsed="false">
      <c r="A670" s="4" t="s">
        <v>167</v>
      </c>
      <c r="B670" s="4" t="s">
        <v>847</v>
      </c>
      <c r="C670" s="4" t="s">
        <v>847</v>
      </c>
      <c r="D670" s="12" t="n">
        <v>2020</v>
      </c>
      <c r="E670" s="4"/>
      <c r="F670" s="4" t="s">
        <v>169</v>
      </c>
      <c r="G670" s="4" t="s">
        <v>170</v>
      </c>
      <c r="H670" s="4" t="s">
        <v>171</v>
      </c>
      <c r="I670" s="4" t="s">
        <v>172</v>
      </c>
      <c r="J670" s="4" t="s">
        <v>847</v>
      </c>
      <c r="K670" s="4" t="s">
        <v>101</v>
      </c>
      <c r="L670" s="4" t="s">
        <v>102</v>
      </c>
      <c r="M670" s="4"/>
      <c r="N670" s="4"/>
      <c r="O670" s="4"/>
      <c r="P670" s="4"/>
      <c r="Q670" s="4"/>
      <c r="R670" s="4"/>
      <c r="S670" s="13" t="n">
        <v>0</v>
      </c>
      <c r="T670" s="4" t="s">
        <v>173</v>
      </c>
      <c r="U670" s="14" t="n">
        <f aca="false">IF(OR($S670="",PARAMETROS!$B$4=""),"",$S670*PARAMETROS!$B$4)</f>
        <v>0</v>
      </c>
      <c r="V670" s="13" t="n">
        <v>0</v>
      </c>
      <c r="W670" s="4"/>
      <c r="X670" s="4"/>
      <c r="Y670" s="4"/>
      <c r="Z670" s="4"/>
      <c r="AA670" s="4"/>
      <c r="AB670" s="4"/>
      <c r="AC670" s="4"/>
      <c r="AD670" s="4"/>
      <c r="AE670" s="4"/>
      <c r="AF670" s="4"/>
      <c r="AG670" s="4"/>
      <c r="AH670" s="4"/>
      <c r="AI670" s="4"/>
      <c r="AJ670" s="4"/>
      <c r="AK670" s="4"/>
      <c r="AL670" s="4" t="s">
        <v>174</v>
      </c>
      <c r="AM670" s="4" t="s">
        <v>205</v>
      </c>
    </row>
    <row r="671" customFormat="false" ht="23.85" hidden="false" customHeight="false" outlineLevel="0" collapsed="false">
      <c r="A671" s="4" t="s">
        <v>167</v>
      </c>
      <c r="B671" s="4" t="s">
        <v>848</v>
      </c>
      <c r="C671" s="4" t="s">
        <v>848</v>
      </c>
      <c r="D671" s="12" t="n">
        <v>2020</v>
      </c>
      <c r="E671" s="4"/>
      <c r="F671" s="4" t="s">
        <v>169</v>
      </c>
      <c r="G671" s="4" t="s">
        <v>170</v>
      </c>
      <c r="H671" s="4" t="s">
        <v>171</v>
      </c>
      <c r="I671" s="4" t="s">
        <v>172</v>
      </c>
      <c r="J671" s="4" t="s">
        <v>848</v>
      </c>
      <c r="K671" s="4" t="s">
        <v>101</v>
      </c>
      <c r="L671" s="4" t="s">
        <v>102</v>
      </c>
      <c r="M671" s="4"/>
      <c r="N671" s="4"/>
      <c r="O671" s="4"/>
      <c r="P671" s="4"/>
      <c r="Q671" s="4"/>
      <c r="R671" s="4"/>
      <c r="S671" s="13" t="n">
        <v>976.43</v>
      </c>
      <c r="T671" s="4" t="s">
        <v>173</v>
      </c>
      <c r="U671" s="14" t="n">
        <f aca="false">IF(OR($S671="",PARAMETROS!$B$4=""),"",$S671*PARAMETROS!$B$4)</f>
        <v>5673.0583</v>
      </c>
      <c r="V671" s="13" t="n">
        <v>0</v>
      </c>
      <c r="W671" s="4"/>
      <c r="X671" s="4"/>
      <c r="Y671" s="4"/>
      <c r="Z671" s="4"/>
      <c r="AA671" s="4"/>
      <c r="AB671" s="4"/>
      <c r="AC671" s="4"/>
      <c r="AD671" s="4"/>
      <c r="AE671" s="4"/>
      <c r="AF671" s="4"/>
      <c r="AG671" s="4"/>
      <c r="AH671" s="4"/>
      <c r="AI671" s="4"/>
      <c r="AJ671" s="4"/>
      <c r="AK671" s="4"/>
      <c r="AL671" s="4" t="s">
        <v>174</v>
      </c>
      <c r="AM671" s="4" t="s">
        <v>205</v>
      </c>
    </row>
    <row r="672" customFormat="false" ht="23.85" hidden="false" customHeight="false" outlineLevel="0" collapsed="false">
      <c r="A672" s="4" t="s">
        <v>167</v>
      </c>
      <c r="B672" s="4" t="s">
        <v>849</v>
      </c>
      <c r="C672" s="4" t="s">
        <v>849</v>
      </c>
      <c r="D672" s="12" t="n">
        <v>2020</v>
      </c>
      <c r="E672" s="4"/>
      <c r="F672" s="4" t="s">
        <v>169</v>
      </c>
      <c r="G672" s="4" t="s">
        <v>170</v>
      </c>
      <c r="H672" s="4" t="s">
        <v>171</v>
      </c>
      <c r="I672" s="4" t="s">
        <v>172</v>
      </c>
      <c r="J672" s="4" t="s">
        <v>849</v>
      </c>
      <c r="K672" s="4" t="s">
        <v>101</v>
      </c>
      <c r="L672" s="4" t="s">
        <v>102</v>
      </c>
      <c r="M672" s="4"/>
      <c r="N672" s="4"/>
      <c r="O672" s="4"/>
      <c r="P672" s="4"/>
      <c r="Q672" s="4"/>
      <c r="R672" s="4"/>
      <c r="S672" s="13" t="n">
        <v>0</v>
      </c>
      <c r="T672" s="4" t="s">
        <v>173</v>
      </c>
      <c r="U672" s="14" t="n">
        <f aca="false">IF(OR($S672="",PARAMETROS!$B$4=""),"",$S672*PARAMETROS!$B$4)</f>
        <v>0</v>
      </c>
      <c r="V672" s="13" t="n">
        <v>1</v>
      </c>
      <c r="W672" s="4"/>
      <c r="X672" s="4"/>
      <c r="Y672" s="4"/>
      <c r="Z672" s="4"/>
      <c r="AA672" s="4"/>
      <c r="AB672" s="4"/>
      <c r="AC672" s="4"/>
      <c r="AD672" s="4"/>
      <c r="AE672" s="4"/>
      <c r="AF672" s="4"/>
      <c r="AG672" s="4"/>
      <c r="AH672" s="4"/>
      <c r="AI672" s="4"/>
      <c r="AJ672" s="4"/>
      <c r="AK672" s="4"/>
      <c r="AL672" s="4" t="s">
        <v>174</v>
      </c>
      <c r="AM672" s="4" t="s">
        <v>205</v>
      </c>
    </row>
    <row r="673" customFormat="false" ht="23.85" hidden="false" customHeight="false" outlineLevel="0" collapsed="false">
      <c r="A673" s="4" t="s">
        <v>167</v>
      </c>
      <c r="B673" s="4" t="s">
        <v>850</v>
      </c>
      <c r="C673" s="4" t="s">
        <v>850</v>
      </c>
      <c r="D673" s="12" t="n">
        <v>2020</v>
      </c>
      <c r="E673" s="4"/>
      <c r="F673" s="4" t="s">
        <v>169</v>
      </c>
      <c r="G673" s="4" t="s">
        <v>170</v>
      </c>
      <c r="H673" s="4" t="s">
        <v>171</v>
      </c>
      <c r="I673" s="4" t="s">
        <v>172</v>
      </c>
      <c r="J673" s="4" t="s">
        <v>850</v>
      </c>
      <c r="K673" s="4" t="s">
        <v>101</v>
      </c>
      <c r="L673" s="4" t="s">
        <v>102</v>
      </c>
      <c r="M673" s="4"/>
      <c r="N673" s="4"/>
      <c r="O673" s="4"/>
      <c r="P673" s="4"/>
      <c r="Q673" s="4"/>
      <c r="R673" s="4"/>
      <c r="S673" s="13" t="n">
        <v>0</v>
      </c>
      <c r="T673" s="4" t="s">
        <v>173</v>
      </c>
      <c r="U673" s="14" t="n">
        <f aca="false">IF(OR($S673="",PARAMETROS!$B$4=""),"",$S673*PARAMETROS!$B$4)</f>
        <v>0</v>
      </c>
      <c r="V673" s="13" t="n">
        <v>0</v>
      </c>
      <c r="W673" s="4"/>
      <c r="X673" s="4"/>
      <c r="Y673" s="4"/>
      <c r="Z673" s="4"/>
      <c r="AA673" s="4"/>
      <c r="AB673" s="4"/>
      <c r="AC673" s="4"/>
      <c r="AD673" s="4"/>
      <c r="AE673" s="4"/>
      <c r="AF673" s="4"/>
      <c r="AG673" s="4"/>
      <c r="AH673" s="4"/>
      <c r="AI673" s="4"/>
      <c r="AJ673" s="4"/>
      <c r="AK673" s="4"/>
      <c r="AL673" s="4" t="s">
        <v>174</v>
      </c>
      <c r="AM673" s="4" t="s">
        <v>205</v>
      </c>
    </row>
    <row r="674" customFormat="false" ht="23.85" hidden="false" customHeight="false" outlineLevel="0" collapsed="false">
      <c r="A674" s="4" t="s">
        <v>167</v>
      </c>
      <c r="B674" s="4" t="s">
        <v>851</v>
      </c>
      <c r="C674" s="4" t="s">
        <v>851</v>
      </c>
      <c r="D674" s="12" t="n">
        <v>2020</v>
      </c>
      <c r="E674" s="4"/>
      <c r="F674" s="4" t="s">
        <v>169</v>
      </c>
      <c r="G674" s="4" t="s">
        <v>170</v>
      </c>
      <c r="H674" s="4" t="s">
        <v>171</v>
      </c>
      <c r="I674" s="4" t="s">
        <v>172</v>
      </c>
      <c r="J674" s="4" t="s">
        <v>851</v>
      </c>
      <c r="K674" s="4" t="s">
        <v>103</v>
      </c>
      <c r="L674" s="4" t="s">
        <v>104</v>
      </c>
      <c r="M674" s="4"/>
      <c r="N674" s="4"/>
      <c r="O674" s="4"/>
      <c r="P674" s="4"/>
      <c r="Q674" s="4"/>
      <c r="R674" s="4"/>
      <c r="S674" s="13" t="n">
        <v>0</v>
      </c>
      <c r="T674" s="4" t="s">
        <v>173</v>
      </c>
      <c r="U674" s="14" t="n">
        <f aca="false">IF(OR($S674="",PARAMETROS!$B$4=""),"",$S674*PARAMETROS!$B$4)</f>
        <v>0</v>
      </c>
      <c r="V674" s="13" t="n">
        <v>0</v>
      </c>
      <c r="W674" s="4"/>
      <c r="X674" s="4"/>
      <c r="Y674" s="4"/>
      <c r="Z674" s="4"/>
      <c r="AA674" s="4"/>
      <c r="AB674" s="4"/>
      <c r="AC674" s="4"/>
      <c r="AD674" s="4"/>
      <c r="AE674" s="4"/>
      <c r="AF674" s="4"/>
      <c r="AG674" s="4"/>
      <c r="AH674" s="4"/>
      <c r="AI674" s="4"/>
      <c r="AJ674" s="4"/>
      <c r="AK674" s="4"/>
      <c r="AL674" s="4" t="s">
        <v>174</v>
      </c>
      <c r="AM674" s="4" t="s">
        <v>205</v>
      </c>
    </row>
    <row r="675" customFormat="false" ht="23.85" hidden="false" customHeight="false" outlineLevel="0" collapsed="false">
      <c r="A675" s="4" t="s">
        <v>167</v>
      </c>
      <c r="B675" s="4" t="s">
        <v>852</v>
      </c>
      <c r="C675" s="4" t="s">
        <v>852</v>
      </c>
      <c r="D675" s="12" t="n">
        <v>2020</v>
      </c>
      <c r="E675" s="4"/>
      <c r="F675" s="4" t="s">
        <v>169</v>
      </c>
      <c r="G675" s="4" t="s">
        <v>170</v>
      </c>
      <c r="H675" s="4" t="s">
        <v>171</v>
      </c>
      <c r="I675" s="4" t="s">
        <v>172</v>
      </c>
      <c r="J675" s="4" t="s">
        <v>852</v>
      </c>
      <c r="K675" s="4" t="s">
        <v>103</v>
      </c>
      <c r="L675" s="4" t="s">
        <v>104</v>
      </c>
      <c r="M675" s="4"/>
      <c r="N675" s="4"/>
      <c r="O675" s="4"/>
      <c r="P675" s="4"/>
      <c r="Q675" s="4"/>
      <c r="R675" s="4"/>
      <c r="S675" s="13" t="n">
        <v>12417.95</v>
      </c>
      <c r="T675" s="4" t="s">
        <v>173</v>
      </c>
      <c r="U675" s="14" t="n">
        <f aca="false">IF(OR($S675="",PARAMETROS!$B$4=""),"",$S675*PARAMETROS!$B$4)</f>
        <v>72148.2895</v>
      </c>
      <c r="V675" s="13" t="n">
        <v>0</v>
      </c>
      <c r="W675" s="4"/>
      <c r="X675" s="4"/>
      <c r="Y675" s="4"/>
      <c r="Z675" s="4"/>
      <c r="AA675" s="4"/>
      <c r="AB675" s="4"/>
      <c r="AC675" s="4"/>
      <c r="AD675" s="4"/>
      <c r="AE675" s="4"/>
      <c r="AF675" s="4"/>
      <c r="AG675" s="4"/>
      <c r="AH675" s="4"/>
      <c r="AI675" s="4"/>
      <c r="AJ675" s="4"/>
      <c r="AK675" s="4"/>
      <c r="AL675" s="4" t="s">
        <v>174</v>
      </c>
      <c r="AM675" s="4" t="s">
        <v>205</v>
      </c>
    </row>
    <row r="676" customFormat="false" ht="23.85" hidden="false" customHeight="false" outlineLevel="0" collapsed="false">
      <c r="A676" s="4" t="s">
        <v>167</v>
      </c>
      <c r="B676" s="4" t="s">
        <v>853</v>
      </c>
      <c r="C676" s="4" t="s">
        <v>853</v>
      </c>
      <c r="D676" s="12" t="n">
        <v>2020</v>
      </c>
      <c r="E676" s="4"/>
      <c r="F676" s="4" t="s">
        <v>169</v>
      </c>
      <c r="G676" s="4" t="s">
        <v>170</v>
      </c>
      <c r="H676" s="4" t="s">
        <v>171</v>
      </c>
      <c r="I676" s="4" t="s">
        <v>172</v>
      </c>
      <c r="J676" s="4" t="s">
        <v>853</v>
      </c>
      <c r="K676" s="4" t="s">
        <v>103</v>
      </c>
      <c r="L676" s="4" t="s">
        <v>104</v>
      </c>
      <c r="M676" s="4"/>
      <c r="N676" s="4"/>
      <c r="O676" s="4"/>
      <c r="P676" s="4"/>
      <c r="Q676" s="4"/>
      <c r="R676" s="4"/>
      <c r="S676" s="13" t="n">
        <v>146.52</v>
      </c>
      <c r="T676" s="4" t="s">
        <v>173</v>
      </c>
      <c r="U676" s="14" t="n">
        <f aca="false">IF(OR($S676="",PARAMETROS!$B$4=""),"",$S676*PARAMETROS!$B$4)</f>
        <v>851.2812</v>
      </c>
      <c r="V676" s="13" t="n">
        <v>0</v>
      </c>
      <c r="W676" s="4"/>
      <c r="X676" s="4"/>
      <c r="Y676" s="4"/>
      <c r="Z676" s="4"/>
      <c r="AA676" s="4"/>
      <c r="AB676" s="4"/>
      <c r="AC676" s="4"/>
      <c r="AD676" s="4"/>
      <c r="AE676" s="4"/>
      <c r="AF676" s="4"/>
      <c r="AG676" s="4"/>
      <c r="AH676" s="4"/>
      <c r="AI676" s="4"/>
      <c r="AJ676" s="4"/>
      <c r="AK676" s="4"/>
      <c r="AL676" s="4" t="s">
        <v>174</v>
      </c>
      <c r="AM676" s="4" t="s">
        <v>205</v>
      </c>
    </row>
    <row r="677" customFormat="false" ht="23.85" hidden="false" customHeight="false" outlineLevel="0" collapsed="false">
      <c r="A677" s="4" t="s">
        <v>167</v>
      </c>
      <c r="B677" s="4" t="s">
        <v>854</v>
      </c>
      <c r="C677" s="4" t="s">
        <v>854</v>
      </c>
      <c r="D677" s="12" t="n">
        <v>2020</v>
      </c>
      <c r="E677" s="4"/>
      <c r="F677" s="4" t="s">
        <v>169</v>
      </c>
      <c r="G677" s="4" t="s">
        <v>170</v>
      </c>
      <c r="H677" s="4" t="s">
        <v>171</v>
      </c>
      <c r="I677" s="4" t="s">
        <v>172</v>
      </c>
      <c r="J677" s="4" t="s">
        <v>854</v>
      </c>
      <c r="K677" s="4" t="s">
        <v>103</v>
      </c>
      <c r="L677" s="4" t="s">
        <v>104</v>
      </c>
      <c r="M677" s="4"/>
      <c r="N677" s="4"/>
      <c r="O677" s="4"/>
      <c r="P677" s="4"/>
      <c r="Q677" s="4"/>
      <c r="R677" s="4"/>
      <c r="S677" s="13" t="n">
        <v>168.65</v>
      </c>
      <c r="T677" s="4" t="s">
        <v>173</v>
      </c>
      <c r="U677" s="14" t="n">
        <f aca="false">IF(OR($S677="",PARAMETROS!$B$4=""),"",$S677*PARAMETROS!$B$4)</f>
        <v>979.8565</v>
      </c>
      <c r="V677" s="13" t="n">
        <v>0</v>
      </c>
      <c r="W677" s="4"/>
      <c r="X677" s="4"/>
      <c r="Y677" s="4"/>
      <c r="Z677" s="4"/>
      <c r="AA677" s="4"/>
      <c r="AB677" s="4"/>
      <c r="AC677" s="4"/>
      <c r="AD677" s="4"/>
      <c r="AE677" s="4"/>
      <c r="AF677" s="4"/>
      <c r="AG677" s="4"/>
      <c r="AH677" s="4"/>
      <c r="AI677" s="4"/>
      <c r="AJ677" s="4"/>
      <c r="AK677" s="4"/>
      <c r="AL677" s="4" t="s">
        <v>174</v>
      </c>
      <c r="AM677" s="4" t="s">
        <v>205</v>
      </c>
    </row>
    <row r="678" customFormat="false" ht="23.85" hidden="false" customHeight="false" outlineLevel="0" collapsed="false">
      <c r="A678" s="4" t="s">
        <v>167</v>
      </c>
      <c r="B678" s="4" t="s">
        <v>855</v>
      </c>
      <c r="C678" s="4" t="s">
        <v>855</v>
      </c>
      <c r="D678" s="12" t="n">
        <v>2020</v>
      </c>
      <c r="E678" s="4"/>
      <c r="F678" s="4" t="s">
        <v>169</v>
      </c>
      <c r="G678" s="4" t="s">
        <v>170</v>
      </c>
      <c r="H678" s="4" t="s">
        <v>171</v>
      </c>
      <c r="I678" s="4" t="s">
        <v>172</v>
      </c>
      <c r="J678" s="4" t="s">
        <v>855</v>
      </c>
      <c r="K678" s="4" t="s">
        <v>103</v>
      </c>
      <c r="L678" s="4" t="s">
        <v>104</v>
      </c>
      <c r="M678" s="4"/>
      <c r="N678" s="4"/>
      <c r="O678" s="4"/>
      <c r="P678" s="4"/>
      <c r="Q678" s="4"/>
      <c r="R678" s="4"/>
      <c r="S678" s="13" t="n">
        <v>0</v>
      </c>
      <c r="T678" s="4" t="s">
        <v>173</v>
      </c>
      <c r="U678" s="14" t="n">
        <f aca="false">IF(OR($S678="",PARAMETROS!$B$4=""),"",$S678*PARAMETROS!$B$4)</f>
        <v>0</v>
      </c>
      <c r="V678" s="13" t="n">
        <v>0</v>
      </c>
      <c r="W678" s="4"/>
      <c r="X678" s="4"/>
      <c r="Y678" s="4"/>
      <c r="Z678" s="4"/>
      <c r="AA678" s="4"/>
      <c r="AB678" s="4"/>
      <c r="AC678" s="4"/>
      <c r="AD678" s="4"/>
      <c r="AE678" s="4"/>
      <c r="AF678" s="4"/>
      <c r="AG678" s="4"/>
      <c r="AH678" s="4"/>
      <c r="AI678" s="4"/>
      <c r="AJ678" s="4"/>
      <c r="AK678" s="4"/>
      <c r="AL678" s="4" t="s">
        <v>174</v>
      </c>
      <c r="AM678" s="4" t="s">
        <v>205</v>
      </c>
    </row>
    <row r="679" customFormat="false" ht="23.85" hidden="false" customHeight="false" outlineLevel="0" collapsed="false">
      <c r="A679" s="4" t="s">
        <v>167</v>
      </c>
      <c r="B679" s="4" t="s">
        <v>856</v>
      </c>
      <c r="C679" s="4" t="s">
        <v>856</v>
      </c>
      <c r="D679" s="12" t="n">
        <v>2020</v>
      </c>
      <c r="E679" s="4"/>
      <c r="F679" s="4" t="s">
        <v>169</v>
      </c>
      <c r="G679" s="4" t="s">
        <v>170</v>
      </c>
      <c r="H679" s="4" t="s">
        <v>171</v>
      </c>
      <c r="I679" s="4" t="s">
        <v>172</v>
      </c>
      <c r="J679" s="4" t="s">
        <v>856</v>
      </c>
      <c r="K679" s="4" t="s">
        <v>103</v>
      </c>
      <c r="L679" s="4" t="s">
        <v>104</v>
      </c>
      <c r="M679" s="4"/>
      <c r="N679" s="4"/>
      <c r="O679" s="4"/>
      <c r="P679" s="4"/>
      <c r="Q679" s="4"/>
      <c r="R679" s="4"/>
      <c r="S679" s="13" t="n">
        <v>0</v>
      </c>
      <c r="T679" s="4" t="s">
        <v>173</v>
      </c>
      <c r="U679" s="14" t="n">
        <f aca="false">IF(OR($S679="",PARAMETROS!$B$4=""),"",$S679*PARAMETROS!$B$4)</f>
        <v>0</v>
      </c>
      <c r="V679" s="13" t="n">
        <v>0</v>
      </c>
      <c r="W679" s="4"/>
      <c r="X679" s="4"/>
      <c r="Y679" s="4"/>
      <c r="Z679" s="4"/>
      <c r="AA679" s="4"/>
      <c r="AB679" s="4"/>
      <c r="AC679" s="4"/>
      <c r="AD679" s="4"/>
      <c r="AE679" s="4"/>
      <c r="AF679" s="4"/>
      <c r="AG679" s="4"/>
      <c r="AH679" s="4"/>
      <c r="AI679" s="4"/>
      <c r="AJ679" s="4"/>
      <c r="AK679" s="4"/>
      <c r="AL679" s="4" t="s">
        <v>174</v>
      </c>
      <c r="AM679" s="4" t="s">
        <v>205</v>
      </c>
    </row>
    <row r="680" customFormat="false" ht="23.85" hidden="false" customHeight="false" outlineLevel="0" collapsed="false">
      <c r="A680" s="4" t="s">
        <v>167</v>
      </c>
      <c r="B680" s="4" t="s">
        <v>857</v>
      </c>
      <c r="C680" s="4" t="s">
        <v>857</v>
      </c>
      <c r="D680" s="12" t="n">
        <v>2020</v>
      </c>
      <c r="E680" s="4"/>
      <c r="F680" s="4" t="s">
        <v>169</v>
      </c>
      <c r="G680" s="4" t="s">
        <v>170</v>
      </c>
      <c r="H680" s="4" t="s">
        <v>171</v>
      </c>
      <c r="I680" s="4" t="s">
        <v>172</v>
      </c>
      <c r="J680" s="4" t="s">
        <v>857</v>
      </c>
      <c r="K680" s="4" t="s">
        <v>103</v>
      </c>
      <c r="L680" s="4" t="s">
        <v>104</v>
      </c>
      <c r="M680" s="4"/>
      <c r="N680" s="4"/>
      <c r="O680" s="4"/>
      <c r="P680" s="4"/>
      <c r="Q680" s="4"/>
      <c r="R680" s="4"/>
      <c r="S680" s="13" t="n">
        <v>0</v>
      </c>
      <c r="T680" s="4" t="s">
        <v>173</v>
      </c>
      <c r="U680" s="14" t="n">
        <f aca="false">IF(OR($S680="",PARAMETROS!$B$4=""),"",$S680*PARAMETROS!$B$4)</f>
        <v>0</v>
      </c>
      <c r="V680" s="13" t="n">
        <v>0</v>
      </c>
      <c r="W680" s="4"/>
      <c r="X680" s="4"/>
      <c r="Y680" s="4"/>
      <c r="Z680" s="4"/>
      <c r="AA680" s="4"/>
      <c r="AB680" s="4"/>
      <c r="AC680" s="4"/>
      <c r="AD680" s="4"/>
      <c r="AE680" s="4"/>
      <c r="AF680" s="4"/>
      <c r="AG680" s="4"/>
      <c r="AH680" s="4"/>
      <c r="AI680" s="4"/>
      <c r="AJ680" s="4"/>
      <c r="AK680" s="4"/>
      <c r="AL680" s="4" t="s">
        <v>174</v>
      </c>
      <c r="AM680" s="4" t="s">
        <v>205</v>
      </c>
    </row>
    <row r="681" customFormat="false" ht="23.85" hidden="false" customHeight="false" outlineLevel="0" collapsed="false">
      <c r="A681" s="4" t="s">
        <v>167</v>
      </c>
      <c r="B681" s="4" t="s">
        <v>858</v>
      </c>
      <c r="C681" s="4" t="s">
        <v>858</v>
      </c>
      <c r="D681" s="12" t="n">
        <v>2020</v>
      </c>
      <c r="E681" s="4"/>
      <c r="F681" s="4" t="s">
        <v>169</v>
      </c>
      <c r="G681" s="4" t="s">
        <v>170</v>
      </c>
      <c r="H681" s="4" t="s">
        <v>171</v>
      </c>
      <c r="I681" s="4" t="s">
        <v>172</v>
      </c>
      <c r="J681" s="4" t="s">
        <v>858</v>
      </c>
      <c r="K681" s="4" t="s">
        <v>103</v>
      </c>
      <c r="L681" s="4" t="s">
        <v>104</v>
      </c>
      <c r="M681" s="4"/>
      <c r="N681" s="4"/>
      <c r="O681" s="4"/>
      <c r="P681" s="4"/>
      <c r="Q681" s="4"/>
      <c r="R681" s="4"/>
      <c r="S681" s="13" t="n">
        <v>0</v>
      </c>
      <c r="T681" s="4" t="s">
        <v>173</v>
      </c>
      <c r="U681" s="14" t="n">
        <f aca="false">IF(OR($S681="",PARAMETROS!$B$4=""),"",$S681*PARAMETROS!$B$4)</f>
        <v>0</v>
      </c>
      <c r="V681" s="13" t="n">
        <v>0</v>
      </c>
      <c r="W681" s="4"/>
      <c r="X681" s="4"/>
      <c r="Y681" s="4"/>
      <c r="Z681" s="4"/>
      <c r="AA681" s="4"/>
      <c r="AB681" s="4"/>
      <c r="AC681" s="4"/>
      <c r="AD681" s="4"/>
      <c r="AE681" s="4"/>
      <c r="AF681" s="4"/>
      <c r="AG681" s="4"/>
      <c r="AH681" s="4"/>
      <c r="AI681" s="4"/>
      <c r="AJ681" s="4"/>
      <c r="AK681" s="4"/>
      <c r="AL681" s="4" t="s">
        <v>174</v>
      </c>
      <c r="AM681" s="4" t="s">
        <v>205</v>
      </c>
    </row>
    <row r="682" customFormat="false" ht="23.85" hidden="false" customHeight="false" outlineLevel="0" collapsed="false">
      <c r="A682" s="4" t="s">
        <v>167</v>
      </c>
      <c r="B682" s="4" t="s">
        <v>859</v>
      </c>
      <c r="C682" s="4" t="s">
        <v>859</v>
      </c>
      <c r="D682" s="12" t="n">
        <v>2020</v>
      </c>
      <c r="E682" s="4"/>
      <c r="F682" s="4" t="s">
        <v>169</v>
      </c>
      <c r="G682" s="4" t="s">
        <v>170</v>
      </c>
      <c r="H682" s="4" t="s">
        <v>171</v>
      </c>
      <c r="I682" s="4" t="s">
        <v>172</v>
      </c>
      <c r="J682" s="4" t="s">
        <v>859</v>
      </c>
      <c r="K682" s="4" t="s">
        <v>103</v>
      </c>
      <c r="L682" s="4" t="s">
        <v>104</v>
      </c>
      <c r="M682" s="4"/>
      <c r="N682" s="4"/>
      <c r="O682" s="4"/>
      <c r="P682" s="4"/>
      <c r="Q682" s="4"/>
      <c r="R682" s="4"/>
      <c r="S682" s="13" t="n">
        <v>12129.31</v>
      </c>
      <c r="T682" s="4" t="s">
        <v>173</v>
      </c>
      <c r="U682" s="14" t="n">
        <f aca="false">IF(OR($S682="",PARAMETROS!$B$4=""),"",$S682*PARAMETROS!$B$4)</f>
        <v>70471.2911</v>
      </c>
      <c r="V682" s="13" t="n">
        <v>0</v>
      </c>
      <c r="W682" s="4"/>
      <c r="X682" s="4"/>
      <c r="Y682" s="4"/>
      <c r="Z682" s="4"/>
      <c r="AA682" s="4"/>
      <c r="AB682" s="4"/>
      <c r="AC682" s="4"/>
      <c r="AD682" s="4"/>
      <c r="AE682" s="4"/>
      <c r="AF682" s="4"/>
      <c r="AG682" s="4"/>
      <c r="AH682" s="4"/>
      <c r="AI682" s="4"/>
      <c r="AJ682" s="4"/>
      <c r="AK682" s="4"/>
      <c r="AL682" s="4" t="s">
        <v>174</v>
      </c>
      <c r="AM682" s="4" t="s">
        <v>205</v>
      </c>
    </row>
    <row r="683" customFormat="false" ht="23.85" hidden="false" customHeight="false" outlineLevel="0" collapsed="false">
      <c r="A683" s="4" t="s">
        <v>167</v>
      </c>
      <c r="B683" s="4" t="s">
        <v>860</v>
      </c>
      <c r="C683" s="4" t="s">
        <v>860</v>
      </c>
      <c r="D683" s="12" t="n">
        <v>2020</v>
      </c>
      <c r="E683" s="4"/>
      <c r="F683" s="4" t="s">
        <v>169</v>
      </c>
      <c r="G683" s="4" t="s">
        <v>170</v>
      </c>
      <c r="H683" s="4" t="s">
        <v>171</v>
      </c>
      <c r="I683" s="4" t="s">
        <v>172</v>
      </c>
      <c r="J683" s="4" t="s">
        <v>860</v>
      </c>
      <c r="K683" s="4" t="s">
        <v>103</v>
      </c>
      <c r="L683" s="4" t="s">
        <v>104</v>
      </c>
      <c r="M683" s="4"/>
      <c r="N683" s="4"/>
      <c r="O683" s="4"/>
      <c r="P683" s="4"/>
      <c r="Q683" s="4"/>
      <c r="R683" s="4"/>
      <c r="S683" s="13" t="n">
        <v>0</v>
      </c>
      <c r="T683" s="4" t="s">
        <v>173</v>
      </c>
      <c r="U683" s="14" t="n">
        <f aca="false">IF(OR($S683="",PARAMETROS!$B$4=""),"",$S683*PARAMETROS!$B$4)</f>
        <v>0</v>
      </c>
      <c r="V683" s="13" t="n">
        <v>0</v>
      </c>
      <c r="W683" s="4"/>
      <c r="X683" s="4"/>
      <c r="Y683" s="4"/>
      <c r="Z683" s="4"/>
      <c r="AA683" s="4"/>
      <c r="AB683" s="4"/>
      <c r="AC683" s="4"/>
      <c r="AD683" s="4"/>
      <c r="AE683" s="4"/>
      <c r="AF683" s="4"/>
      <c r="AG683" s="4"/>
      <c r="AH683" s="4"/>
      <c r="AI683" s="4"/>
      <c r="AJ683" s="4"/>
      <c r="AK683" s="4"/>
      <c r="AL683" s="4" t="s">
        <v>174</v>
      </c>
      <c r="AM683" s="4" t="s">
        <v>205</v>
      </c>
    </row>
    <row r="684" customFormat="false" ht="23.85" hidden="false" customHeight="false" outlineLevel="0" collapsed="false">
      <c r="A684" s="4" t="s">
        <v>167</v>
      </c>
      <c r="B684" s="4" t="s">
        <v>861</v>
      </c>
      <c r="C684" s="4" t="s">
        <v>861</v>
      </c>
      <c r="D684" s="12" t="n">
        <v>2020</v>
      </c>
      <c r="E684" s="4"/>
      <c r="F684" s="4" t="s">
        <v>169</v>
      </c>
      <c r="G684" s="4" t="s">
        <v>170</v>
      </c>
      <c r="H684" s="4" t="s">
        <v>171</v>
      </c>
      <c r="I684" s="4" t="s">
        <v>172</v>
      </c>
      <c r="J684" s="4" t="s">
        <v>861</v>
      </c>
      <c r="K684" s="4" t="s">
        <v>103</v>
      </c>
      <c r="L684" s="4" t="s">
        <v>104</v>
      </c>
      <c r="M684" s="4"/>
      <c r="N684" s="4"/>
      <c r="O684" s="4"/>
      <c r="P684" s="4"/>
      <c r="Q684" s="4"/>
      <c r="R684" s="4"/>
      <c r="S684" s="13" t="n">
        <v>62.15</v>
      </c>
      <c r="T684" s="4" t="s">
        <v>173</v>
      </c>
      <c r="U684" s="14" t="n">
        <f aca="false">IF(OR($S684="",PARAMETROS!$B$4=""),"",$S684*PARAMETROS!$B$4)</f>
        <v>361.0915</v>
      </c>
      <c r="V684" s="13" t="n">
        <v>0</v>
      </c>
      <c r="W684" s="4"/>
      <c r="X684" s="4"/>
      <c r="Y684" s="4"/>
      <c r="Z684" s="4"/>
      <c r="AA684" s="4"/>
      <c r="AB684" s="4"/>
      <c r="AC684" s="4"/>
      <c r="AD684" s="4"/>
      <c r="AE684" s="4"/>
      <c r="AF684" s="4"/>
      <c r="AG684" s="4"/>
      <c r="AH684" s="4"/>
      <c r="AI684" s="4"/>
      <c r="AJ684" s="4"/>
      <c r="AK684" s="4"/>
      <c r="AL684" s="4" t="s">
        <v>174</v>
      </c>
      <c r="AM684" s="4" t="s">
        <v>205</v>
      </c>
    </row>
    <row r="685" customFormat="false" ht="23.85" hidden="false" customHeight="false" outlineLevel="0" collapsed="false">
      <c r="A685" s="4" t="s">
        <v>167</v>
      </c>
      <c r="B685" s="4" t="s">
        <v>862</v>
      </c>
      <c r="C685" s="4" t="s">
        <v>862</v>
      </c>
      <c r="D685" s="12" t="n">
        <v>2020</v>
      </c>
      <c r="E685" s="4"/>
      <c r="F685" s="4" t="s">
        <v>169</v>
      </c>
      <c r="G685" s="4" t="s">
        <v>170</v>
      </c>
      <c r="H685" s="4" t="s">
        <v>171</v>
      </c>
      <c r="I685" s="4" t="s">
        <v>172</v>
      </c>
      <c r="J685" s="4" t="s">
        <v>862</v>
      </c>
      <c r="K685" s="4" t="s">
        <v>103</v>
      </c>
      <c r="L685" s="4" t="s">
        <v>104</v>
      </c>
      <c r="M685" s="4"/>
      <c r="N685" s="4"/>
      <c r="O685" s="4"/>
      <c r="P685" s="4"/>
      <c r="Q685" s="4"/>
      <c r="R685" s="4"/>
      <c r="S685" s="13" t="n">
        <v>248.61</v>
      </c>
      <c r="T685" s="4" t="s">
        <v>173</v>
      </c>
      <c r="U685" s="14" t="n">
        <f aca="false">IF(OR($S685="",PARAMETROS!$B$4=""),"",$S685*PARAMETROS!$B$4)</f>
        <v>1444.4241</v>
      </c>
      <c r="V685" s="13" t="n">
        <v>0</v>
      </c>
      <c r="W685" s="4"/>
      <c r="X685" s="4"/>
      <c r="Y685" s="4"/>
      <c r="Z685" s="4"/>
      <c r="AA685" s="4"/>
      <c r="AB685" s="4"/>
      <c r="AC685" s="4"/>
      <c r="AD685" s="4"/>
      <c r="AE685" s="4"/>
      <c r="AF685" s="4"/>
      <c r="AG685" s="4"/>
      <c r="AH685" s="4"/>
      <c r="AI685" s="4"/>
      <c r="AJ685" s="4"/>
      <c r="AK685" s="4"/>
      <c r="AL685" s="4" t="s">
        <v>174</v>
      </c>
      <c r="AM685" s="4" t="s">
        <v>205</v>
      </c>
    </row>
    <row r="686" customFormat="false" ht="23.85" hidden="false" customHeight="false" outlineLevel="0" collapsed="false">
      <c r="A686" s="4" t="s">
        <v>167</v>
      </c>
      <c r="B686" s="4" t="s">
        <v>863</v>
      </c>
      <c r="C686" s="4" t="s">
        <v>863</v>
      </c>
      <c r="D686" s="12" t="n">
        <v>2020</v>
      </c>
      <c r="E686" s="4"/>
      <c r="F686" s="4" t="s">
        <v>169</v>
      </c>
      <c r="G686" s="4" t="s">
        <v>170</v>
      </c>
      <c r="H686" s="4" t="s">
        <v>171</v>
      </c>
      <c r="I686" s="4" t="s">
        <v>172</v>
      </c>
      <c r="J686" s="4" t="s">
        <v>863</v>
      </c>
      <c r="K686" s="4" t="s">
        <v>103</v>
      </c>
      <c r="L686" s="4" t="s">
        <v>104</v>
      </c>
      <c r="M686" s="4"/>
      <c r="N686" s="4"/>
      <c r="O686" s="4"/>
      <c r="P686" s="4"/>
      <c r="Q686" s="4"/>
      <c r="R686" s="4"/>
      <c r="S686" s="13" t="n">
        <v>0</v>
      </c>
      <c r="T686" s="4" t="s">
        <v>173</v>
      </c>
      <c r="U686" s="14" t="n">
        <f aca="false">IF(OR($S686="",PARAMETROS!$B$4=""),"",$S686*PARAMETROS!$B$4)</f>
        <v>0</v>
      </c>
      <c r="V686" s="13" t="n">
        <v>1</v>
      </c>
      <c r="W686" s="4"/>
      <c r="X686" s="4"/>
      <c r="Y686" s="4"/>
      <c r="Z686" s="4"/>
      <c r="AA686" s="4"/>
      <c r="AB686" s="4"/>
      <c r="AC686" s="4"/>
      <c r="AD686" s="4"/>
      <c r="AE686" s="4"/>
      <c r="AF686" s="4"/>
      <c r="AG686" s="4"/>
      <c r="AH686" s="4"/>
      <c r="AI686" s="4"/>
      <c r="AJ686" s="4"/>
      <c r="AK686" s="4"/>
      <c r="AL686" s="4" t="s">
        <v>174</v>
      </c>
      <c r="AM686" s="4" t="s">
        <v>205</v>
      </c>
    </row>
    <row r="687" customFormat="false" ht="23.85" hidden="false" customHeight="false" outlineLevel="0" collapsed="false">
      <c r="A687" s="4" t="s">
        <v>167</v>
      </c>
      <c r="B687" s="4" t="s">
        <v>864</v>
      </c>
      <c r="C687" s="4" t="s">
        <v>864</v>
      </c>
      <c r="D687" s="12" t="n">
        <v>2020</v>
      </c>
      <c r="E687" s="4"/>
      <c r="F687" s="4" t="s">
        <v>169</v>
      </c>
      <c r="G687" s="4" t="s">
        <v>170</v>
      </c>
      <c r="H687" s="4" t="s">
        <v>171</v>
      </c>
      <c r="I687" s="4" t="s">
        <v>172</v>
      </c>
      <c r="J687" s="4" t="s">
        <v>864</v>
      </c>
      <c r="K687" s="4" t="s">
        <v>103</v>
      </c>
      <c r="L687" s="4" t="s">
        <v>104</v>
      </c>
      <c r="M687" s="4"/>
      <c r="N687" s="4"/>
      <c r="O687" s="4"/>
      <c r="P687" s="4"/>
      <c r="Q687" s="4"/>
      <c r="R687" s="4"/>
      <c r="S687" s="13" t="n">
        <v>0</v>
      </c>
      <c r="T687" s="4" t="s">
        <v>173</v>
      </c>
      <c r="U687" s="14" t="n">
        <f aca="false">IF(OR($S687="",PARAMETROS!$B$4=""),"",$S687*PARAMETROS!$B$4)</f>
        <v>0</v>
      </c>
      <c r="V687" s="13" t="n">
        <v>0</v>
      </c>
      <c r="W687" s="4"/>
      <c r="X687" s="4"/>
      <c r="Y687" s="4"/>
      <c r="Z687" s="4"/>
      <c r="AA687" s="4"/>
      <c r="AB687" s="4"/>
      <c r="AC687" s="4"/>
      <c r="AD687" s="4"/>
      <c r="AE687" s="4"/>
      <c r="AF687" s="4"/>
      <c r="AG687" s="4"/>
      <c r="AH687" s="4"/>
      <c r="AI687" s="4"/>
      <c r="AJ687" s="4"/>
      <c r="AK687" s="4"/>
      <c r="AL687" s="4" t="s">
        <v>174</v>
      </c>
      <c r="AM687" s="4" t="s">
        <v>205</v>
      </c>
    </row>
    <row r="688" customFormat="false" ht="23.85" hidden="false" customHeight="false" outlineLevel="0" collapsed="false">
      <c r="A688" s="4" t="s">
        <v>167</v>
      </c>
      <c r="B688" s="4" t="s">
        <v>865</v>
      </c>
      <c r="C688" s="4" t="s">
        <v>865</v>
      </c>
      <c r="D688" s="12" t="n">
        <v>2020</v>
      </c>
      <c r="E688" s="4"/>
      <c r="F688" s="4" t="s">
        <v>169</v>
      </c>
      <c r="G688" s="4" t="s">
        <v>170</v>
      </c>
      <c r="H688" s="4" t="s">
        <v>171</v>
      </c>
      <c r="I688" s="4" t="s">
        <v>172</v>
      </c>
      <c r="J688" s="4" t="s">
        <v>865</v>
      </c>
      <c r="K688" s="4" t="s">
        <v>105</v>
      </c>
      <c r="L688" s="4" t="s">
        <v>106</v>
      </c>
      <c r="M688" s="4"/>
      <c r="N688" s="4"/>
      <c r="O688" s="4"/>
      <c r="P688" s="4"/>
      <c r="Q688" s="4"/>
      <c r="R688" s="4"/>
      <c r="S688" s="13" t="n">
        <v>0</v>
      </c>
      <c r="T688" s="4" t="s">
        <v>173</v>
      </c>
      <c r="U688" s="14" t="n">
        <f aca="false">IF(OR($S688="",PARAMETROS!$B$4=""),"",$S688*PARAMETROS!$B$4)</f>
        <v>0</v>
      </c>
      <c r="V688" s="13" t="n">
        <v>0</v>
      </c>
      <c r="W688" s="4"/>
      <c r="X688" s="4"/>
      <c r="Y688" s="4"/>
      <c r="Z688" s="4"/>
      <c r="AA688" s="4"/>
      <c r="AB688" s="4"/>
      <c r="AC688" s="4"/>
      <c r="AD688" s="4"/>
      <c r="AE688" s="4"/>
      <c r="AF688" s="4"/>
      <c r="AG688" s="4"/>
      <c r="AH688" s="4"/>
      <c r="AI688" s="4"/>
      <c r="AJ688" s="4"/>
      <c r="AK688" s="4"/>
      <c r="AL688" s="4" t="s">
        <v>174</v>
      </c>
      <c r="AM688" s="4" t="s">
        <v>205</v>
      </c>
    </row>
    <row r="689" customFormat="false" ht="23.85" hidden="false" customHeight="false" outlineLevel="0" collapsed="false">
      <c r="A689" s="4" t="s">
        <v>167</v>
      </c>
      <c r="B689" s="4" t="s">
        <v>866</v>
      </c>
      <c r="C689" s="4" t="s">
        <v>866</v>
      </c>
      <c r="D689" s="12" t="n">
        <v>2020</v>
      </c>
      <c r="E689" s="4"/>
      <c r="F689" s="4" t="s">
        <v>169</v>
      </c>
      <c r="G689" s="4" t="s">
        <v>170</v>
      </c>
      <c r="H689" s="4" t="s">
        <v>171</v>
      </c>
      <c r="I689" s="4" t="s">
        <v>172</v>
      </c>
      <c r="J689" s="4" t="s">
        <v>866</v>
      </c>
      <c r="K689" s="4" t="s">
        <v>105</v>
      </c>
      <c r="L689" s="4" t="s">
        <v>106</v>
      </c>
      <c r="M689" s="4"/>
      <c r="N689" s="4"/>
      <c r="O689" s="4"/>
      <c r="P689" s="4"/>
      <c r="Q689" s="4"/>
      <c r="R689" s="4"/>
      <c r="S689" s="13" t="n">
        <v>4693.51</v>
      </c>
      <c r="T689" s="4" t="s">
        <v>173</v>
      </c>
      <c r="U689" s="14" t="n">
        <f aca="false">IF(OR($S689="",PARAMETROS!$B$4=""),"",$S689*PARAMETROS!$B$4)</f>
        <v>27269.2931</v>
      </c>
      <c r="V689" s="13" t="n">
        <v>0</v>
      </c>
      <c r="W689" s="4"/>
      <c r="X689" s="4"/>
      <c r="Y689" s="4"/>
      <c r="Z689" s="4"/>
      <c r="AA689" s="4"/>
      <c r="AB689" s="4"/>
      <c r="AC689" s="4"/>
      <c r="AD689" s="4"/>
      <c r="AE689" s="4"/>
      <c r="AF689" s="4"/>
      <c r="AG689" s="4"/>
      <c r="AH689" s="4"/>
      <c r="AI689" s="4"/>
      <c r="AJ689" s="4"/>
      <c r="AK689" s="4"/>
      <c r="AL689" s="4" t="s">
        <v>174</v>
      </c>
      <c r="AM689" s="4" t="s">
        <v>205</v>
      </c>
    </row>
    <row r="690" customFormat="false" ht="23.85" hidden="false" customHeight="false" outlineLevel="0" collapsed="false">
      <c r="A690" s="4" t="s">
        <v>167</v>
      </c>
      <c r="B690" s="4" t="s">
        <v>867</v>
      </c>
      <c r="C690" s="4" t="s">
        <v>867</v>
      </c>
      <c r="D690" s="12" t="n">
        <v>2020</v>
      </c>
      <c r="E690" s="4"/>
      <c r="F690" s="4" t="s">
        <v>169</v>
      </c>
      <c r="G690" s="4" t="s">
        <v>170</v>
      </c>
      <c r="H690" s="4" t="s">
        <v>171</v>
      </c>
      <c r="I690" s="4" t="s">
        <v>172</v>
      </c>
      <c r="J690" s="4" t="s">
        <v>867</v>
      </c>
      <c r="K690" s="4" t="s">
        <v>105</v>
      </c>
      <c r="L690" s="4" t="s">
        <v>106</v>
      </c>
      <c r="M690" s="4"/>
      <c r="N690" s="4"/>
      <c r="O690" s="4"/>
      <c r="P690" s="4"/>
      <c r="Q690" s="4"/>
      <c r="R690" s="4"/>
      <c r="S690" s="13" t="n">
        <v>988.31</v>
      </c>
      <c r="T690" s="4" t="s">
        <v>173</v>
      </c>
      <c r="U690" s="14" t="n">
        <f aca="false">IF(OR($S690="",PARAMETROS!$B$4=""),"",$S690*PARAMETROS!$B$4)</f>
        <v>5742.0811</v>
      </c>
      <c r="V690" s="13" t="n">
        <v>0</v>
      </c>
      <c r="W690" s="4"/>
      <c r="X690" s="4"/>
      <c r="Y690" s="4"/>
      <c r="Z690" s="4"/>
      <c r="AA690" s="4"/>
      <c r="AB690" s="4"/>
      <c r="AC690" s="4"/>
      <c r="AD690" s="4"/>
      <c r="AE690" s="4"/>
      <c r="AF690" s="4"/>
      <c r="AG690" s="4"/>
      <c r="AH690" s="4"/>
      <c r="AI690" s="4"/>
      <c r="AJ690" s="4"/>
      <c r="AK690" s="4"/>
      <c r="AL690" s="4" t="s">
        <v>174</v>
      </c>
      <c r="AM690" s="4" t="s">
        <v>205</v>
      </c>
    </row>
    <row r="691" customFormat="false" ht="23.85" hidden="false" customHeight="false" outlineLevel="0" collapsed="false">
      <c r="A691" s="4" t="s">
        <v>167</v>
      </c>
      <c r="B691" s="4" t="s">
        <v>868</v>
      </c>
      <c r="C691" s="4" t="s">
        <v>868</v>
      </c>
      <c r="D691" s="12" t="n">
        <v>2020</v>
      </c>
      <c r="E691" s="4"/>
      <c r="F691" s="4" t="s">
        <v>169</v>
      </c>
      <c r="G691" s="4" t="s">
        <v>170</v>
      </c>
      <c r="H691" s="4" t="s">
        <v>171</v>
      </c>
      <c r="I691" s="4" t="s">
        <v>172</v>
      </c>
      <c r="J691" s="4" t="s">
        <v>868</v>
      </c>
      <c r="K691" s="4" t="s">
        <v>105</v>
      </c>
      <c r="L691" s="4" t="s">
        <v>106</v>
      </c>
      <c r="M691" s="4"/>
      <c r="N691" s="4"/>
      <c r="O691" s="4"/>
      <c r="P691" s="4"/>
      <c r="Q691" s="4"/>
      <c r="R691" s="4"/>
      <c r="S691" s="13" t="n">
        <v>-294.69</v>
      </c>
      <c r="T691" s="4" t="s">
        <v>173</v>
      </c>
      <c r="U691" s="14" t="n">
        <f aca="false">IF(OR($S691="",PARAMETROS!$B$4=""),"",$S691*PARAMETROS!$B$4)</f>
        <v>-1712.1489</v>
      </c>
      <c r="V691" s="13" t="n">
        <v>0</v>
      </c>
      <c r="W691" s="4"/>
      <c r="X691" s="4"/>
      <c r="Y691" s="4"/>
      <c r="Z691" s="4"/>
      <c r="AA691" s="4"/>
      <c r="AB691" s="4"/>
      <c r="AC691" s="4"/>
      <c r="AD691" s="4"/>
      <c r="AE691" s="4"/>
      <c r="AF691" s="4"/>
      <c r="AG691" s="4"/>
      <c r="AH691" s="4"/>
      <c r="AI691" s="4"/>
      <c r="AJ691" s="4"/>
      <c r="AK691" s="4"/>
      <c r="AL691" s="4" t="s">
        <v>174</v>
      </c>
      <c r="AM691" s="4" t="s">
        <v>205</v>
      </c>
    </row>
    <row r="692" customFormat="false" ht="23.85" hidden="false" customHeight="false" outlineLevel="0" collapsed="false">
      <c r="A692" s="4" t="s">
        <v>167</v>
      </c>
      <c r="B692" s="4" t="s">
        <v>869</v>
      </c>
      <c r="C692" s="4" t="s">
        <v>869</v>
      </c>
      <c r="D692" s="12" t="n">
        <v>2020</v>
      </c>
      <c r="E692" s="4"/>
      <c r="F692" s="4" t="s">
        <v>169</v>
      </c>
      <c r="G692" s="4" t="s">
        <v>170</v>
      </c>
      <c r="H692" s="4" t="s">
        <v>171</v>
      </c>
      <c r="I692" s="4" t="s">
        <v>172</v>
      </c>
      <c r="J692" s="4" t="s">
        <v>869</v>
      </c>
      <c r="K692" s="4" t="s">
        <v>105</v>
      </c>
      <c r="L692" s="4" t="s">
        <v>106</v>
      </c>
      <c r="M692" s="4"/>
      <c r="N692" s="4"/>
      <c r="O692" s="4"/>
      <c r="P692" s="4"/>
      <c r="Q692" s="4"/>
      <c r="R692" s="4"/>
      <c r="S692" s="13" t="n">
        <v>0</v>
      </c>
      <c r="T692" s="4" t="s">
        <v>173</v>
      </c>
      <c r="U692" s="14" t="n">
        <f aca="false">IF(OR($S692="",PARAMETROS!$B$4=""),"",$S692*PARAMETROS!$B$4)</f>
        <v>0</v>
      </c>
      <c r="V692" s="13" t="n">
        <v>0</v>
      </c>
      <c r="W692" s="4"/>
      <c r="X692" s="4"/>
      <c r="Y692" s="4"/>
      <c r="Z692" s="4"/>
      <c r="AA692" s="4"/>
      <c r="AB692" s="4"/>
      <c r="AC692" s="4"/>
      <c r="AD692" s="4"/>
      <c r="AE692" s="4"/>
      <c r="AF692" s="4"/>
      <c r="AG692" s="4"/>
      <c r="AH692" s="4"/>
      <c r="AI692" s="4"/>
      <c r="AJ692" s="4"/>
      <c r="AK692" s="4"/>
      <c r="AL692" s="4" t="s">
        <v>174</v>
      </c>
      <c r="AM692" s="4" t="s">
        <v>205</v>
      </c>
    </row>
    <row r="693" customFormat="false" ht="23.85" hidden="false" customHeight="false" outlineLevel="0" collapsed="false">
      <c r="A693" s="4" t="s">
        <v>167</v>
      </c>
      <c r="B693" s="4" t="s">
        <v>870</v>
      </c>
      <c r="C693" s="4" t="s">
        <v>870</v>
      </c>
      <c r="D693" s="12" t="n">
        <v>2020</v>
      </c>
      <c r="E693" s="4"/>
      <c r="F693" s="4" t="s">
        <v>169</v>
      </c>
      <c r="G693" s="4" t="s">
        <v>170</v>
      </c>
      <c r="H693" s="4" t="s">
        <v>171</v>
      </c>
      <c r="I693" s="4" t="s">
        <v>172</v>
      </c>
      <c r="J693" s="4" t="s">
        <v>870</v>
      </c>
      <c r="K693" s="4" t="s">
        <v>105</v>
      </c>
      <c r="L693" s="4" t="s">
        <v>106</v>
      </c>
      <c r="M693" s="4"/>
      <c r="N693" s="4"/>
      <c r="O693" s="4"/>
      <c r="P693" s="4"/>
      <c r="Q693" s="4"/>
      <c r="R693" s="4"/>
      <c r="S693" s="13" t="n">
        <v>0</v>
      </c>
      <c r="T693" s="4" t="s">
        <v>173</v>
      </c>
      <c r="U693" s="14" t="n">
        <f aca="false">IF(OR($S693="",PARAMETROS!$B$4=""),"",$S693*PARAMETROS!$B$4)</f>
        <v>0</v>
      </c>
      <c r="V693" s="13" t="n">
        <v>0</v>
      </c>
      <c r="W693" s="4"/>
      <c r="X693" s="4"/>
      <c r="Y693" s="4"/>
      <c r="Z693" s="4"/>
      <c r="AA693" s="4"/>
      <c r="AB693" s="4"/>
      <c r="AC693" s="4"/>
      <c r="AD693" s="4"/>
      <c r="AE693" s="4"/>
      <c r="AF693" s="4"/>
      <c r="AG693" s="4"/>
      <c r="AH693" s="4"/>
      <c r="AI693" s="4"/>
      <c r="AJ693" s="4"/>
      <c r="AK693" s="4"/>
      <c r="AL693" s="4" t="s">
        <v>174</v>
      </c>
      <c r="AM693" s="4" t="s">
        <v>205</v>
      </c>
    </row>
    <row r="694" customFormat="false" ht="23.85" hidden="false" customHeight="false" outlineLevel="0" collapsed="false">
      <c r="A694" s="4" t="s">
        <v>167</v>
      </c>
      <c r="B694" s="4" t="s">
        <v>871</v>
      </c>
      <c r="C694" s="4" t="s">
        <v>871</v>
      </c>
      <c r="D694" s="12" t="n">
        <v>2020</v>
      </c>
      <c r="E694" s="4"/>
      <c r="F694" s="4" t="s">
        <v>169</v>
      </c>
      <c r="G694" s="4" t="s">
        <v>170</v>
      </c>
      <c r="H694" s="4" t="s">
        <v>171</v>
      </c>
      <c r="I694" s="4" t="s">
        <v>172</v>
      </c>
      <c r="J694" s="4" t="s">
        <v>871</v>
      </c>
      <c r="K694" s="4" t="s">
        <v>105</v>
      </c>
      <c r="L694" s="4" t="s">
        <v>106</v>
      </c>
      <c r="M694" s="4"/>
      <c r="N694" s="4"/>
      <c r="O694" s="4"/>
      <c r="P694" s="4"/>
      <c r="Q694" s="4"/>
      <c r="R694" s="4"/>
      <c r="S694" s="13" t="n">
        <v>0</v>
      </c>
      <c r="T694" s="4" t="s">
        <v>173</v>
      </c>
      <c r="U694" s="14" t="n">
        <f aca="false">IF(OR($S694="",PARAMETROS!$B$4=""),"",$S694*PARAMETROS!$B$4)</f>
        <v>0</v>
      </c>
      <c r="V694" s="13" t="n">
        <v>0</v>
      </c>
      <c r="W694" s="4"/>
      <c r="X694" s="4"/>
      <c r="Y694" s="4"/>
      <c r="Z694" s="4"/>
      <c r="AA694" s="4"/>
      <c r="AB694" s="4"/>
      <c r="AC694" s="4"/>
      <c r="AD694" s="4"/>
      <c r="AE694" s="4"/>
      <c r="AF694" s="4"/>
      <c r="AG694" s="4"/>
      <c r="AH694" s="4"/>
      <c r="AI694" s="4"/>
      <c r="AJ694" s="4"/>
      <c r="AK694" s="4"/>
      <c r="AL694" s="4" t="s">
        <v>174</v>
      </c>
      <c r="AM694" s="4" t="s">
        <v>205</v>
      </c>
    </row>
    <row r="695" customFormat="false" ht="23.85" hidden="false" customHeight="false" outlineLevel="0" collapsed="false">
      <c r="A695" s="4" t="s">
        <v>167</v>
      </c>
      <c r="B695" s="4" t="s">
        <v>872</v>
      </c>
      <c r="C695" s="4" t="s">
        <v>872</v>
      </c>
      <c r="D695" s="12" t="n">
        <v>2020</v>
      </c>
      <c r="E695" s="4"/>
      <c r="F695" s="4" t="s">
        <v>169</v>
      </c>
      <c r="G695" s="4" t="s">
        <v>170</v>
      </c>
      <c r="H695" s="4" t="s">
        <v>171</v>
      </c>
      <c r="I695" s="4" t="s">
        <v>172</v>
      </c>
      <c r="J695" s="4" t="s">
        <v>872</v>
      </c>
      <c r="K695" s="4" t="s">
        <v>105</v>
      </c>
      <c r="L695" s="4" t="s">
        <v>106</v>
      </c>
      <c r="M695" s="4"/>
      <c r="N695" s="4"/>
      <c r="O695" s="4"/>
      <c r="P695" s="4"/>
      <c r="Q695" s="4"/>
      <c r="R695" s="4"/>
      <c r="S695" s="13" t="n">
        <v>0</v>
      </c>
      <c r="T695" s="4" t="s">
        <v>173</v>
      </c>
      <c r="U695" s="14" t="n">
        <f aca="false">IF(OR($S695="",PARAMETROS!$B$4=""),"",$S695*PARAMETROS!$B$4)</f>
        <v>0</v>
      </c>
      <c r="V695" s="13" t="n">
        <v>0</v>
      </c>
      <c r="W695" s="4"/>
      <c r="X695" s="4"/>
      <c r="Y695" s="4"/>
      <c r="Z695" s="4"/>
      <c r="AA695" s="4"/>
      <c r="AB695" s="4"/>
      <c r="AC695" s="4"/>
      <c r="AD695" s="4"/>
      <c r="AE695" s="4"/>
      <c r="AF695" s="4"/>
      <c r="AG695" s="4"/>
      <c r="AH695" s="4"/>
      <c r="AI695" s="4"/>
      <c r="AJ695" s="4"/>
      <c r="AK695" s="4"/>
      <c r="AL695" s="4" t="s">
        <v>174</v>
      </c>
      <c r="AM695" s="4" t="s">
        <v>205</v>
      </c>
    </row>
    <row r="696" customFormat="false" ht="23.85" hidden="false" customHeight="false" outlineLevel="0" collapsed="false">
      <c r="A696" s="4" t="s">
        <v>167</v>
      </c>
      <c r="B696" s="4" t="s">
        <v>873</v>
      </c>
      <c r="C696" s="4" t="s">
        <v>873</v>
      </c>
      <c r="D696" s="12" t="n">
        <v>2020</v>
      </c>
      <c r="E696" s="4"/>
      <c r="F696" s="4" t="s">
        <v>169</v>
      </c>
      <c r="G696" s="4" t="s">
        <v>170</v>
      </c>
      <c r="H696" s="4" t="s">
        <v>171</v>
      </c>
      <c r="I696" s="4" t="s">
        <v>172</v>
      </c>
      <c r="J696" s="4" t="s">
        <v>873</v>
      </c>
      <c r="K696" s="4" t="s">
        <v>105</v>
      </c>
      <c r="L696" s="4" t="s">
        <v>106</v>
      </c>
      <c r="M696" s="4"/>
      <c r="N696" s="4"/>
      <c r="O696" s="4"/>
      <c r="P696" s="4"/>
      <c r="Q696" s="4"/>
      <c r="R696" s="4"/>
      <c r="S696" s="13" t="n">
        <v>34.11</v>
      </c>
      <c r="T696" s="4" t="s">
        <v>173</v>
      </c>
      <c r="U696" s="14" t="n">
        <f aca="false">IF(OR($S696="",PARAMETROS!$B$4=""),"",$S696*PARAMETROS!$B$4)</f>
        <v>198.1791</v>
      </c>
      <c r="V696" s="13" t="n">
        <v>0</v>
      </c>
      <c r="W696" s="4"/>
      <c r="X696" s="4"/>
      <c r="Y696" s="4"/>
      <c r="Z696" s="4"/>
      <c r="AA696" s="4"/>
      <c r="AB696" s="4"/>
      <c r="AC696" s="4"/>
      <c r="AD696" s="4"/>
      <c r="AE696" s="4"/>
      <c r="AF696" s="4"/>
      <c r="AG696" s="4"/>
      <c r="AH696" s="4"/>
      <c r="AI696" s="4"/>
      <c r="AJ696" s="4"/>
      <c r="AK696" s="4"/>
      <c r="AL696" s="4" t="s">
        <v>174</v>
      </c>
      <c r="AM696" s="4" t="s">
        <v>205</v>
      </c>
    </row>
    <row r="697" customFormat="false" ht="23.85" hidden="false" customHeight="false" outlineLevel="0" collapsed="false">
      <c r="A697" s="4" t="s">
        <v>167</v>
      </c>
      <c r="B697" s="4" t="s">
        <v>874</v>
      </c>
      <c r="C697" s="4" t="s">
        <v>874</v>
      </c>
      <c r="D697" s="12" t="n">
        <v>2020</v>
      </c>
      <c r="E697" s="4"/>
      <c r="F697" s="4" t="s">
        <v>169</v>
      </c>
      <c r="G697" s="4" t="s">
        <v>170</v>
      </c>
      <c r="H697" s="4" t="s">
        <v>171</v>
      </c>
      <c r="I697" s="4" t="s">
        <v>172</v>
      </c>
      <c r="J697" s="4" t="s">
        <v>874</v>
      </c>
      <c r="K697" s="4" t="s">
        <v>105</v>
      </c>
      <c r="L697" s="4" t="s">
        <v>106</v>
      </c>
      <c r="M697" s="4"/>
      <c r="N697" s="4"/>
      <c r="O697" s="4"/>
      <c r="P697" s="4"/>
      <c r="Q697" s="4"/>
      <c r="R697" s="4"/>
      <c r="S697" s="13" t="n">
        <v>2626.1</v>
      </c>
      <c r="T697" s="4" t="s">
        <v>173</v>
      </c>
      <c r="U697" s="14" t="n">
        <f aca="false">IF(OR($S697="",PARAMETROS!$B$4=""),"",$S697*PARAMETROS!$B$4)</f>
        <v>15257.641</v>
      </c>
      <c r="V697" s="13" t="n">
        <v>0</v>
      </c>
      <c r="W697" s="4"/>
      <c r="X697" s="4"/>
      <c r="Y697" s="4"/>
      <c r="Z697" s="4"/>
      <c r="AA697" s="4"/>
      <c r="AB697" s="4"/>
      <c r="AC697" s="4"/>
      <c r="AD697" s="4"/>
      <c r="AE697" s="4"/>
      <c r="AF697" s="4"/>
      <c r="AG697" s="4"/>
      <c r="AH697" s="4"/>
      <c r="AI697" s="4"/>
      <c r="AJ697" s="4"/>
      <c r="AK697" s="4"/>
      <c r="AL697" s="4" t="s">
        <v>174</v>
      </c>
      <c r="AM697" s="4" t="s">
        <v>205</v>
      </c>
    </row>
    <row r="698" customFormat="false" ht="23.85" hidden="false" customHeight="false" outlineLevel="0" collapsed="false">
      <c r="A698" s="4" t="s">
        <v>167</v>
      </c>
      <c r="B698" s="4" t="s">
        <v>875</v>
      </c>
      <c r="C698" s="4" t="s">
        <v>875</v>
      </c>
      <c r="D698" s="12" t="n">
        <v>2020</v>
      </c>
      <c r="E698" s="4"/>
      <c r="F698" s="4" t="s">
        <v>169</v>
      </c>
      <c r="G698" s="4" t="s">
        <v>170</v>
      </c>
      <c r="H698" s="4" t="s">
        <v>171</v>
      </c>
      <c r="I698" s="4" t="s">
        <v>172</v>
      </c>
      <c r="J698" s="4" t="s">
        <v>875</v>
      </c>
      <c r="K698" s="4" t="s">
        <v>105</v>
      </c>
      <c r="L698" s="4" t="s">
        <v>106</v>
      </c>
      <c r="M698" s="4"/>
      <c r="N698" s="4"/>
      <c r="O698" s="4"/>
      <c r="P698" s="4"/>
      <c r="Q698" s="4"/>
      <c r="R698" s="4"/>
      <c r="S698" s="13" t="n">
        <v>68.21</v>
      </c>
      <c r="T698" s="4" t="s">
        <v>173</v>
      </c>
      <c r="U698" s="14" t="n">
        <f aca="false">IF(OR($S698="",PARAMETROS!$B$4=""),"",$S698*PARAMETROS!$B$4)</f>
        <v>396.3001</v>
      </c>
      <c r="V698" s="13" t="n">
        <v>0</v>
      </c>
      <c r="W698" s="4"/>
      <c r="X698" s="4"/>
      <c r="Y698" s="4"/>
      <c r="Z698" s="4"/>
      <c r="AA698" s="4"/>
      <c r="AB698" s="4"/>
      <c r="AC698" s="4"/>
      <c r="AD698" s="4"/>
      <c r="AE698" s="4"/>
      <c r="AF698" s="4"/>
      <c r="AG698" s="4"/>
      <c r="AH698" s="4"/>
      <c r="AI698" s="4"/>
      <c r="AJ698" s="4"/>
      <c r="AK698" s="4"/>
      <c r="AL698" s="4" t="s">
        <v>174</v>
      </c>
      <c r="AM698" s="4" t="s">
        <v>205</v>
      </c>
    </row>
    <row r="699" customFormat="false" ht="23.85" hidden="false" customHeight="false" outlineLevel="0" collapsed="false">
      <c r="A699" s="4" t="s">
        <v>167</v>
      </c>
      <c r="B699" s="4" t="s">
        <v>876</v>
      </c>
      <c r="C699" s="4" t="s">
        <v>876</v>
      </c>
      <c r="D699" s="12" t="n">
        <v>2020</v>
      </c>
      <c r="E699" s="4"/>
      <c r="F699" s="4" t="s">
        <v>169</v>
      </c>
      <c r="G699" s="4" t="s">
        <v>170</v>
      </c>
      <c r="H699" s="4" t="s">
        <v>171</v>
      </c>
      <c r="I699" s="4" t="s">
        <v>172</v>
      </c>
      <c r="J699" s="4" t="s">
        <v>876</v>
      </c>
      <c r="K699" s="4" t="s">
        <v>105</v>
      </c>
      <c r="L699" s="4" t="s">
        <v>106</v>
      </c>
      <c r="M699" s="4"/>
      <c r="N699" s="4"/>
      <c r="O699" s="4"/>
      <c r="P699" s="4"/>
      <c r="Q699" s="4"/>
      <c r="R699" s="4"/>
      <c r="S699" s="13" t="n">
        <v>682.1</v>
      </c>
      <c r="T699" s="4" t="s">
        <v>173</v>
      </c>
      <c r="U699" s="14" t="n">
        <f aca="false">IF(OR($S699="",PARAMETROS!$B$4=""),"",$S699*PARAMETROS!$B$4)</f>
        <v>3963.001</v>
      </c>
      <c r="V699" s="13" t="n">
        <v>0</v>
      </c>
      <c r="W699" s="4"/>
      <c r="X699" s="4"/>
      <c r="Y699" s="4"/>
      <c r="Z699" s="4"/>
      <c r="AA699" s="4"/>
      <c r="AB699" s="4"/>
      <c r="AC699" s="4"/>
      <c r="AD699" s="4"/>
      <c r="AE699" s="4"/>
      <c r="AF699" s="4"/>
      <c r="AG699" s="4"/>
      <c r="AH699" s="4"/>
      <c r="AI699" s="4"/>
      <c r="AJ699" s="4"/>
      <c r="AK699" s="4"/>
      <c r="AL699" s="4" t="s">
        <v>174</v>
      </c>
      <c r="AM699" s="4" t="s">
        <v>205</v>
      </c>
    </row>
    <row r="700" customFormat="false" ht="23.85" hidden="false" customHeight="false" outlineLevel="0" collapsed="false">
      <c r="A700" s="4" t="s">
        <v>167</v>
      </c>
      <c r="B700" s="4" t="s">
        <v>877</v>
      </c>
      <c r="C700" s="4" t="s">
        <v>877</v>
      </c>
      <c r="D700" s="12" t="n">
        <v>2020</v>
      </c>
      <c r="E700" s="4"/>
      <c r="F700" s="4" t="s">
        <v>169</v>
      </c>
      <c r="G700" s="4" t="s">
        <v>170</v>
      </c>
      <c r="H700" s="4" t="s">
        <v>171</v>
      </c>
      <c r="I700" s="4" t="s">
        <v>172</v>
      </c>
      <c r="J700" s="4" t="s">
        <v>877</v>
      </c>
      <c r="K700" s="4" t="s">
        <v>105</v>
      </c>
      <c r="L700" s="4" t="s">
        <v>106</v>
      </c>
      <c r="M700" s="4"/>
      <c r="N700" s="4"/>
      <c r="O700" s="4"/>
      <c r="P700" s="4"/>
      <c r="Q700" s="4"/>
      <c r="R700" s="4"/>
      <c r="S700" s="13" t="n">
        <v>0</v>
      </c>
      <c r="T700" s="4" t="s">
        <v>173</v>
      </c>
      <c r="U700" s="14" t="n">
        <f aca="false">IF(OR($S700="",PARAMETROS!$B$4=""),"",$S700*PARAMETROS!$B$4)</f>
        <v>0</v>
      </c>
      <c r="V700" s="13" t="n">
        <v>1</v>
      </c>
      <c r="W700" s="4"/>
      <c r="X700" s="4"/>
      <c r="Y700" s="4"/>
      <c r="Z700" s="4"/>
      <c r="AA700" s="4"/>
      <c r="AB700" s="4"/>
      <c r="AC700" s="4"/>
      <c r="AD700" s="4"/>
      <c r="AE700" s="4"/>
      <c r="AF700" s="4"/>
      <c r="AG700" s="4"/>
      <c r="AH700" s="4"/>
      <c r="AI700" s="4"/>
      <c r="AJ700" s="4"/>
      <c r="AK700" s="4"/>
      <c r="AL700" s="4" t="s">
        <v>174</v>
      </c>
      <c r="AM700" s="4" t="s">
        <v>205</v>
      </c>
    </row>
    <row r="701" customFormat="false" ht="23.85" hidden="false" customHeight="false" outlineLevel="0" collapsed="false">
      <c r="A701" s="4" t="s">
        <v>167</v>
      </c>
      <c r="B701" s="4" t="s">
        <v>878</v>
      </c>
      <c r="C701" s="4" t="s">
        <v>878</v>
      </c>
      <c r="D701" s="12" t="n">
        <v>2020</v>
      </c>
      <c r="E701" s="4"/>
      <c r="F701" s="4" t="s">
        <v>169</v>
      </c>
      <c r="G701" s="4" t="s">
        <v>170</v>
      </c>
      <c r="H701" s="4" t="s">
        <v>171</v>
      </c>
      <c r="I701" s="4" t="s">
        <v>172</v>
      </c>
      <c r="J701" s="4" t="s">
        <v>878</v>
      </c>
      <c r="K701" s="4" t="s">
        <v>105</v>
      </c>
      <c r="L701" s="4" t="s">
        <v>106</v>
      </c>
      <c r="M701" s="4"/>
      <c r="N701" s="4"/>
      <c r="O701" s="4"/>
      <c r="P701" s="4"/>
      <c r="Q701" s="4"/>
      <c r="R701" s="4"/>
      <c r="S701" s="13" t="n">
        <v>0</v>
      </c>
      <c r="T701" s="4" t="s">
        <v>173</v>
      </c>
      <c r="U701" s="14" t="n">
        <f aca="false">IF(OR($S701="",PARAMETROS!$B$4=""),"",$S701*PARAMETROS!$B$4)</f>
        <v>0</v>
      </c>
      <c r="V701" s="13" t="n">
        <v>0</v>
      </c>
      <c r="W701" s="4"/>
      <c r="X701" s="4"/>
      <c r="Y701" s="4"/>
      <c r="Z701" s="4"/>
      <c r="AA701" s="4"/>
      <c r="AB701" s="4"/>
      <c r="AC701" s="4"/>
      <c r="AD701" s="4"/>
      <c r="AE701" s="4"/>
      <c r="AF701" s="4"/>
      <c r="AG701" s="4"/>
      <c r="AH701" s="4"/>
      <c r="AI701" s="4"/>
      <c r="AJ701" s="4"/>
      <c r="AK701" s="4"/>
      <c r="AL701" s="4" t="s">
        <v>174</v>
      </c>
      <c r="AM701" s="4" t="s">
        <v>205</v>
      </c>
    </row>
    <row r="702" customFormat="false" ht="23.85" hidden="false" customHeight="false" outlineLevel="0" collapsed="false">
      <c r="A702" s="4" t="s">
        <v>167</v>
      </c>
      <c r="B702" s="4" t="s">
        <v>879</v>
      </c>
      <c r="C702" s="4" t="s">
        <v>879</v>
      </c>
      <c r="D702" s="12" t="n">
        <v>2020</v>
      </c>
      <c r="E702" s="4"/>
      <c r="F702" s="4" t="s">
        <v>169</v>
      </c>
      <c r="G702" s="4" t="s">
        <v>170</v>
      </c>
      <c r="H702" s="4" t="s">
        <v>171</v>
      </c>
      <c r="I702" s="4" t="s">
        <v>172</v>
      </c>
      <c r="J702" s="4" t="s">
        <v>879</v>
      </c>
      <c r="K702" s="4" t="s">
        <v>107</v>
      </c>
      <c r="L702" s="4" t="s">
        <v>108</v>
      </c>
      <c r="M702" s="4"/>
      <c r="N702" s="4"/>
      <c r="O702" s="4"/>
      <c r="P702" s="4"/>
      <c r="Q702" s="4"/>
      <c r="R702" s="4"/>
      <c r="S702" s="13" t="n">
        <v>0</v>
      </c>
      <c r="T702" s="4" t="s">
        <v>173</v>
      </c>
      <c r="U702" s="14" t="n">
        <f aca="false">IF(OR($S702="",PARAMETROS!$B$4=""),"",$S702*PARAMETROS!$B$4)</f>
        <v>0</v>
      </c>
      <c r="V702" s="13" t="n">
        <v>0</v>
      </c>
      <c r="W702" s="4"/>
      <c r="X702" s="4"/>
      <c r="Y702" s="4"/>
      <c r="Z702" s="4"/>
      <c r="AA702" s="4"/>
      <c r="AB702" s="4"/>
      <c r="AC702" s="4"/>
      <c r="AD702" s="4"/>
      <c r="AE702" s="4"/>
      <c r="AF702" s="4"/>
      <c r="AG702" s="4"/>
      <c r="AH702" s="4"/>
      <c r="AI702" s="4"/>
      <c r="AJ702" s="4"/>
      <c r="AK702" s="4"/>
      <c r="AL702" s="4" t="s">
        <v>174</v>
      </c>
      <c r="AM702" s="4" t="s">
        <v>205</v>
      </c>
    </row>
    <row r="703" customFormat="false" ht="23.85" hidden="false" customHeight="false" outlineLevel="0" collapsed="false">
      <c r="A703" s="4" t="s">
        <v>167</v>
      </c>
      <c r="B703" s="4" t="s">
        <v>880</v>
      </c>
      <c r="C703" s="4" t="s">
        <v>880</v>
      </c>
      <c r="D703" s="12" t="n">
        <v>2020</v>
      </c>
      <c r="E703" s="4"/>
      <c r="F703" s="4" t="s">
        <v>169</v>
      </c>
      <c r="G703" s="4" t="s">
        <v>170</v>
      </c>
      <c r="H703" s="4" t="s">
        <v>171</v>
      </c>
      <c r="I703" s="4" t="s">
        <v>172</v>
      </c>
      <c r="J703" s="4" t="s">
        <v>880</v>
      </c>
      <c r="K703" s="4" t="s">
        <v>107</v>
      </c>
      <c r="L703" s="4" t="s">
        <v>108</v>
      </c>
      <c r="M703" s="4"/>
      <c r="N703" s="4"/>
      <c r="O703" s="4"/>
      <c r="P703" s="4"/>
      <c r="Q703" s="4"/>
      <c r="R703" s="4"/>
      <c r="S703" s="13" t="n">
        <v>407.87</v>
      </c>
      <c r="T703" s="4" t="s">
        <v>173</v>
      </c>
      <c r="U703" s="14" t="n">
        <f aca="false">IF(OR($S703="",PARAMETROS!$B$4=""),"",$S703*PARAMETROS!$B$4)</f>
        <v>2369.7247</v>
      </c>
      <c r="V703" s="13" t="n">
        <v>0</v>
      </c>
      <c r="W703" s="4"/>
      <c r="X703" s="4"/>
      <c r="Y703" s="4"/>
      <c r="Z703" s="4"/>
      <c r="AA703" s="4"/>
      <c r="AB703" s="4"/>
      <c r="AC703" s="4"/>
      <c r="AD703" s="4"/>
      <c r="AE703" s="4"/>
      <c r="AF703" s="4"/>
      <c r="AG703" s="4"/>
      <c r="AH703" s="4"/>
      <c r="AI703" s="4"/>
      <c r="AJ703" s="4"/>
      <c r="AK703" s="4"/>
      <c r="AL703" s="4" t="s">
        <v>174</v>
      </c>
      <c r="AM703" s="4" t="s">
        <v>205</v>
      </c>
    </row>
    <row r="704" customFormat="false" ht="23.85" hidden="false" customHeight="false" outlineLevel="0" collapsed="false">
      <c r="A704" s="4" t="s">
        <v>167</v>
      </c>
      <c r="B704" s="4" t="s">
        <v>881</v>
      </c>
      <c r="C704" s="4" t="s">
        <v>881</v>
      </c>
      <c r="D704" s="12" t="n">
        <v>2020</v>
      </c>
      <c r="E704" s="4"/>
      <c r="F704" s="4" t="s">
        <v>169</v>
      </c>
      <c r="G704" s="4" t="s">
        <v>170</v>
      </c>
      <c r="H704" s="4" t="s">
        <v>171</v>
      </c>
      <c r="I704" s="4" t="s">
        <v>172</v>
      </c>
      <c r="J704" s="4" t="s">
        <v>881</v>
      </c>
      <c r="K704" s="4" t="s">
        <v>107</v>
      </c>
      <c r="L704" s="4" t="s">
        <v>108</v>
      </c>
      <c r="M704" s="4"/>
      <c r="N704" s="4"/>
      <c r="O704" s="4"/>
      <c r="P704" s="4"/>
      <c r="Q704" s="4"/>
      <c r="R704" s="4"/>
      <c r="S704" s="13" t="n">
        <v>21.42</v>
      </c>
      <c r="T704" s="4" t="s">
        <v>173</v>
      </c>
      <c r="U704" s="14" t="n">
        <f aca="false">IF(OR($S704="",PARAMETROS!$B$4=""),"",$S704*PARAMETROS!$B$4)</f>
        <v>124.4502</v>
      </c>
      <c r="V704" s="13" t="n">
        <v>0</v>
      </c>
      <c r="W704" s="4"/>
      <c r="X704" s="4"/>
      <c r="Y704" s="4"/>
      <c r="Z704" s="4"/>
      <c r="AA704" s="4"/>
      <c r="AB704" s="4"/>
      <c r="AC704" s="4"/>
      <c r="AD704" s="4"/>
      <c r="AE704" s="4"/>
      <c r="AF704" s="4"/>
      <c r="AG704" s="4"/>
      <c r="AH704" s="4"/>
      <c r="AI704" s="4"/>
      <c r="AJ704" s="4"/>
      <c r="AK704" s="4"/>
      <c r="AL704" s="4" t="s">
        <v>174</v>
      </c>
      <c r="AM704" s="4" t="s">
        <v>205</v>
      </c>
    </row>
    <row r="705" customFormat="false" ht="23.85" hidden="false" customHeight="false" outlineLevel="0" collapsed="false">
      <c r="A705" s="4" t="s">
        <v>167</v>
      </c>
      <c r="B705" s="4" t="s">
        <v>882</v>
      </c>
      <c r="C705" s="4" t="s">
        <v>882</v>
      </c>
      <c r="D705" s="12" t="n">
        <v>2020</v>
      </c>
      <c r="E705" s="4"/>
      <c r="F705" s="4" t="s">
        <v>169</v>
      </c>
      <c r="G705" s="4" t="s">
        <v>170</v>
      </c>
      <c r="H705" s="4" t="s">
        <v>171</v>
      </c>
      <c r="I705" s="4" t="s">
        <v>172</v>
      </c>
      <c r="J705" s="4" t="s">
        <v>882</v>
      </c>
      <c r="K705" s="4" t="s">
        <v>107</v>
      </c>
      <c r="L705" s="4" t="s">
        <v>108</v>
      </c>
      <c r="M705" s="4"/>
      <c r="N705" s="4"/>
      <c r="O705" s="4"/>
      <c r="P705" s="4"/>
      <c r="Q705" s="4"/>
      <c r="R705" s="4"/>
      <c r="S705" s="13" t="n">
        <v>-30.74</v>
      </c>
      <c r="T705" s="4" t="s">
        <v>173</v>
      </c>
      <c r="U705" s="14" t="n">
        <f aca="false">IF(OR($S705="",PARAMETROS!$B$4=""),"",$S705*PARAMETROS!$B$4)</f>
        <v>-178.5994</v>
      </c>
      <c r="V705" s="13" t="n">
        <v>0</v>
      </c>
      <c r="W705" s="4"/>
      <c r="X705" s="4"/>
      <c r="Y705" s="4"/>
      <c r="Z705" s="4"/>
      <c r="AA705" s="4"/>
      <c r="AB705" s="4"/>
      <c r="AC705" s="4"/>
      <c r="AD705" s="4"/>
      <c r="AE705" s="4"/>
      <c r="AF705" s="4"/>
      <c r="AG705" s="4"/>
      <c r="AH705" s="4"/>
      <c r="AI705" s="4"/>
      <c r="AJ705" s="4"/>
      <c r="AK705" s="4"/>
      <c r="AL705" s="4" t="s">
        <v>174</v>
      </c>
      <c r="AM705" s="4" t="s">
        <v>205</v>
      </c>
    </row>
    <row r="706" customFormat="false" ht="23.85" hidden="false" customHeight="false" outlineLevel="0" collapsed="false">
      <c r="A706" s="4" t="s">
        <v>167</v>
      </c>
      <c r="B706" s="4" t="s">
        <v>883</v>
      </c>
      <c r="C706" s="4" t="s">
        <v>883</v>
      </c>
      <c r="D706" s="12" t="n">
        <v>2020</v>
      </c>
      <c r="E706" s="4"/>
      <c r="F706" s="4" t="s">
        <v>169</v>
      </c>
      <c r="G706" s="4" t="s">
        <v>170</v>
      </c>
      <c r="H706" s="4" t="s">
        <v>171</v>
      </c>
      <c r="I706" s="4" t="s">
        <v>172</v>
      </c>
      <c r="J706" s="4" t="s">
        <v>883</v>
      </c>
      <c r="K706" s="4" t="s">
        <v>107</v>
      </c>
      <c r="L706" s="4" t="s">
        <v>108</v>
      </c>
      <c r="M706" s="4"/>
      <c r="N706" s="4"/>
      <c r="O706" s="4"/>
      <c r="P706" s="4"/>
      <c r="Q706" s="4"/>
      <c r="R706" s="4"/>
      <c r="S706" s="13" t="n">
        <v>0</v>
      </c>
      <c r="T706" s="4" t="s">
        <v>173</v>
      </c>
      <c r="U706" s="14" t="n">
        <f aca="false">IF(OR($S706="",PARAMETROS!$B$4=""),"",$S706*PARAMETROS!$B$4)</f>
        <v>0</v>
      </c>
      <c r="V706" s="13" t="n">
        <v>0</v>
      </c>
      <c r="W706" s="4"/>
      <c r="X706" s="4"/>
      <c r="Y706" s="4"/>
      <c r="Z706" s="4"/>
      <c r="AA706" s="4"/>
      <c r="AB706" s="4"/>
      <c r="AC706" s="4"/>
      <c r="AD706" s="4"/>
      <c r="AE706" s="4"/>
      <c r="AF706" s="4"/>
      <c r="AG706" s="4"/>
      <c r="AH706" s="4"/>
      <c r="AI706" s="4"/>
      <c r="AJ706" s="4"/>
      <c r="AK706" s="4"/>
      <c r="AL706" s="4" t="s">
        <v>174</v>
      </c>
      <c r="AM706" s="4" t="s">
        <v>205</v>
      </c>
    </row>
    <row r="707" customFormat="false" ht="23.85" hidden="false" customHeight="false" outlineLevel="0" collapsed="false">
      <c r="A707" s="4" t="s">
        <v>167</v>
      </c>
      <c r="B707" s="4" t="s">
        <v>884</v>
      </c>
      <c r="C707" s="4" t="s">
        <v>884</v>
      </c>
      <c r="D707" s="12" t="n">
        <v>2020</v>
      </c>
      <c r="E707" s="4"/>
      <c r="F707" s="4" t="s">
        <v>169</v>
      </c>
      <c r="G707" s="4" t="s">
        <v>170</v>
      </c>
      <c r="H707" s="4" t="s">
        <v>171</v>
      </c>
      <c r="I707" s="4" t="s">
        <v>172</v>
      </c>
      <c r="J707" s="4" t="s">
        <v>884</v>
      </c>
      <c r="K707" s="4" t="s">
        <v>107</v>
      </c>
      <c r="L707" s="4" t="s">
        <v>108</v>
      </c>
      <c r="M707" s="4"/>
      <c r="N707" s="4"/>
      <c r="O707" s="4"/>
      <c r="P707" s="4"/>
      <c r="Q707" s="4"/>
      <c r="R707" s="4"/>
      <c r="S707" s="13" t="n">
        <v>0</v>
      </c>
      <c r="T707" s="4" t="s">
        <v>173</v>
      </c>
      <c r="U707" s="14" t="n">
        <f aca="false">IF(OR($S707="",PARAMETROS!$B$4=""),"",$S707*PARAMETROS!$B$4)</f>
        <v>0</v>
      </c>
      <c r="V707" s="13" t="n">
        <v>0</v>
      </c>
      <c r="W707" s="4"/>
      <c r="X707" s="4"/>
      <c r="Y707" s="4"/>
      <c r="Z707" s="4"/>
      <c r="AA707" s="4"/>
      <c r="AB707" s="4"/>
      <c r="AC707" s="4"/>
      <c r="AD707" s="4"/>
      <c r="AE707" s="4"/>
      <c r="AF707" s="4"/>
      <c r="AG707" s="4"/>
      <c r="AH707" s="4"/>
      <c r="AI707" s="4"/>
      <c r="AJ707" s="4"/>
      <c r="AK707" s="4"/>
      <c r="AL707" s="4" t="s">
        <v>174</v>
      </c>
      <c r="AM707" s="4" t="s">
        <v>205</v>
      </c>
    </row>
    <row r="708" customFormat="false" ht="23.85" hidden="false" customHeight="false" outlineLevel="0" collapsed="false">
      <c r="A708" s="4" t="s">
        <v>167</v>
      </c>
      <c r="B708" s="4" t="s">
        <v>885</v>
      </c>
      <c r="C708" s="4" t="s">
        <v>885</v>
      </c>
      <c r="D708" s="12" t="n">
        <v>2020</v>
      </c>
      <c r="E708" s="4"/>
      <c r="F708" s="4" t="s">
        <v>169</v>
      </c>
      <c r="G708" s="4" t="s">
        <v>170</v>
      </c>
      <c r="H708" s="4" t="s">
        <v>171</v>
      </c>
      <c r="I708" s="4" t="s">
        <v>172</v>
      </c>
      <c r="J708" s="4" t="s">
        <v>885</v>
      </c>
      <c r="K708" s="4" t="s">
        <v>107</v>
      </c>
      <c r="L708" s="4" t="s">
        <v>108</v>
      </c>
      <c r="M708" s="4"/>
      <c r="N708" s="4"/>
      <c r="O708" s="4"/>
      <c r="P708" s="4"/>
      <c r="Q708" s="4"/>
      <c r="R708" s="4"/>
      <c r="S708" s="13" t="n">
        <v>0</v>
      </c>
      <c r="T708" s="4" t="s">
        <v>173</v>
      </c>
      <c r="U708" s="14" t="n">
        <f aca="false">IF(OR($S708="",PARAMETROS!$B$4=""),"",$S708*PARAMETROS!$B$4)</f>
        <v>0</v>
      </c>
      <c r="V708" s="13" t="n">
        <v>0</v>
      </c>
      <c r="W708" s="4"/>
      <c r="X708" s="4"/>
      <c r="Y708" s="4"/>
      <c r="Z708" s="4"/>
      <c r="AA708" s="4"/>
      <c r="AB708" s="4"/>
      <c r="AC708" s="4"/>
      <c r="AD708" s="4"/>
      <c r="AE708" s="4"/>
      <c r="AF708" s="4"/>
      <c r="AG708" s="4"/>
      <c r="AH708" s="4"/>
      <c r="AI708" s="4"/>
      <c r="AJ708" s="4"/>
      <c r="AK708" s="4"/>
      <c r="AL708" s="4" t="s">
        <v>174</v>
      </c>
      <c r="AM708" s="4" t="s">
        <v>205</v>
      </c>
    </row>
    <row r="709" customFormat="false" ht="23.85" hidden="false" customHeight="false" outlineLevel="0" collapsed="false">
      <c r="A709" s="4" t="s">
        <v>167</v>
      </c>
      <c r="B709" s="4" t="s">
        <v>886</v>
      </c>
      <c r="C709" s="4" t="s">
        <v>886</v>
      </c>
      <c r="D709" s="12" t="n">
        <v>2020</v>
      </c>
      <c r="E709" s="4"/>
      <c r="F709" s="4" t="s">
        <v>169</v>
      </c>
      <c r="G709" s="4" t="s">
        <v>170</v>
      </c>
      <c r="H709" s="4" t="s">
        <v>171</v>
      </c>
      <c r="I709" s="4" t="s">
        <v>172</v>
      </c>
      <c r="J709" s="4" t="s">
        <v>886</v>
      </c>
      <c r="K709" s="4" t="s">
        <v>107</v>
      </c>
      <c r="L709" s="4" t="s">
        <v>108</v>
      </c>
      <c r="M709" s="4"/>
      <c r="N709" s="4"/>
      <c r="O709" s="4"/>
      <c r="P709" s="4"/>
      <c r="Q709" s="4"/>
      <c r="R709" s="4"/>
      <c r="S709" s="13" t="n">
        <v>0</v>
      </c>
      <c r="T709" s="4" t="s">
        <v>173</v>
      </c>
      <c r="U709" s="14" t="n">
        <f aca="false">IF(OR($S709="",PARAMETROS!$B$4=""),"",$S709*PARAMETROS!$B$4)</f>
        <v>0</v>
      </c>
      <c r="V709" s="13" t="n">
        <v>0</v>
      </c>
      <c r="W709" s="4"/>
      <c r="X709" s="4"/>
      <c r="Y709" s="4"/>
      <c r="Z709" s="4"/>
      <c r="AA709" s="4"/>
      <c r="AB709" s="4"/>
      <c r="AC709" s="4"/>
      <c r="AD709" s="4"/>
      <c r="AE709" s="4"/>
      <c r="AF709" s="4"/>
      <c r="AG709" s="4"/>
      <c r="AH709" s="4"/>
      <c r="AI709" s="4"/>
      <c r="AJ709" s="4"/>
      <c r="AK709" s="4"/>
      <c r="AL709" s="4" t="s">
        <v>174</v>
      </c>
      <c r="AM709" s="4" t="s">
        <v>205</v>
      </c>
    </row>
    <row r="710" customFormat="false" ht="23.85" hidden="false" customHeight="false" outlineLevel="0" collapsed="false">
      <c r="A710" s="4" t="s">
        <v>167</v>
      </c>
      <c r="B710" s="4" t="s">
        <v>887</v>
      </c>
      <c r="C710" s="4" t="s">
        <v>887</v>
      </c>
      <c r="D710" s="12" t="n">
        <v>2020</v>
      </c>
      <c r="E710" s="4"/>
      <c r="F710" s="4" t="s">
        <v>169</v>
      </c>
      <c r="G710" s="4" t="s">
        <v>170</v>
      </c>
      <c r="H710" s="4" t="s">
        <v>171</v>
      </c>
      <c r="I710" s="4" t="s">
        <v>172</v>
      </c>
      <c r="J710" s="4" t="s">
        <v>887</v>
      </c>
      <c r="K710" s="4" t="s">
        <v>107</v>
      </c>
      <c r="L710" s="4" t="s">
        <v>108</v>
      </c>
      <c r="M710" s="4"/>
      <c r="N710" s="4"/>
      <c r="O710" s="4"/>
      <c r="P710" s="4"/>
      <c r="Q710" s="4"/>
      <c r="R710" s="4"/>
      <c r="S710" s="13" t="n">
        <v>352.6</v>
      </c>
      <c r="T710" s="4" t="s">
        <v>173</v>
      </c>
      <c r="U710" s="14" t="n">
        <f aca="false">IF(OR($S710="",PARAMETROS!$B$4=""),"",$S710*PARAMETROS!$B$4)</f>
        <v>2048.606</v>
      </c>
      <c r="V710" s="13" t="n">
        <v>0</v>
      </c>
      <c r="W710" s="4"/>
      <c r="X710" s="4"/>
      <c r="Y710" s="4"/>
      <c r="Z710" s="4"/>
      <c r="AA710" s="4"/>
      <c r="AB710" s="4"/>
      <c r="AC710" s="4"/>
      <c r="AD710" s="4"/>
      <c r="AE710" s="4"/>
      <c r="AF710" s="4"/>
      <c r="AG710" s="4"/>
      <c r="AH710" s="4"/>
      <c r="AI710" s="4"/>
      <c r="AJ710" s="4"/>
      <c r="AK710" s="4"/>
      <c r="AL710" s="4" t="s">
        <v>174</v>
      </c>
      <c r="AM710" s="4" t="s">
        <v>205</v>
      </c>
    </row>
    <row r="711" customFormat="false" ht="23.85" hidden="false" customHeight="false" outlineLevel="0" collapsed="false">
      <c r="A711" s="4" t="s">
        <v>167</v>
      </c>
      <c r="B711" s="4" t="s">
        <v>888</v>
      </c>
      <c r="C711" s="4" t="s">
        <v>888</v>
      </c>
      <c r="D711" s="12" t="n">
        <v>2020</v>
      </c>
      <c r="E711" s="4"/>
      <c r="F711" s="4" t="s">
        <v>169</v>
      </c>
      <c r="G711" s="4" t="s">
        <v>170</v>
      </c>
      <c r="H711" s="4" t="s">
        <v>171</v>
      </c>
      <c r="I711" s="4" t="s">
        <v>172</v>
      </c>
      <c r="J711" s="4" t="s">
        <v>888</v>
      </c>
      <c r="K711" s="4" t="s">
        <v>107</v>
      </c>
      <c r="L711" s="4" t="s">
        <v>108</v>
      </c>
      <c r="M711" s="4"/>
      <c r="N711" s="4"/>
      <c r="O711" s="4"/>
      <c r="P711" s="4"/>
      <c r="Q711" s="4"/>
      <c r="R711" s="4"/>
      <c r="S711" s="13" t="n">
        <v>2.61</v>
      </c>
      <c r="T711" s="4" t="s">
        <v>173</v>
      </c>
      <c r="U711" s="14" t="n">
        <f aca="false">IF(OR($S711="",PARAMETROS!$B$4=""),"",$S711*PARAMETROS!$B$4)</f>
        <v>15.1641</v>
      </c>
      <c r="V711" s="13" t="n">
        <v>0</v>
      </c>
      <c r="W711" s="4"/>
      <c r="X711" s="4"/>
      <c r="Y711" s="4"/>
      <c r="Z711" s="4"/>
      <c r="AA711" s="4"/>
      <c r="AB711" s="4"/>
      <c r="AC711" s="4"/>
      <c r="AD711" s="4"/>
      <c r="AE711" s="4"/>
      <c r="AF711" s="4"/>
      <c r="AG711" s="4"/>
      <c r="AH711" s="4"/>
      <c r="AI711" s="4"/>
      <c r="AJ711" s="4"/>
      <c r="AK711" s="4"/>
      <c r="AL711" s="4" t="s">
        <v>174</v>
      </c>
      <c r="AM711" s="4" t="s">
        <v>205</v>
      </c>
    </row>
    <row r="712" customFormat="false" ht="23.85" hidden="false" customHeight="false" outlineLevel="0" collapsed="false">
      <c r="A712" s="4" t="s">
        <v>167</v>
      </c>
      <c r="B712" s="4" t="s">
        <v>889</v>
      </c>
      <c r="C712" s="4" t="s">
        <v>889</v>
      </c>
      <c r="D712" s="12" t="n">
        <v>2020</v>
      </c>
      <c r="E712" s="4"/>
      <c r="F712" s="4" t="s">
        <v>169</v>
      </c>
      <c r="G712" s="4" t="s">
        <v>170</v>
      </c>
      <c r="H712" s="4" t="s">
        <v>171</v>
      </c>
      <c r="I712" s="4" t="s">
        <v>172</v>
      </c>
      <c r="J712" s="4" t="s">
        <v>889</v>
      </c>
      <c r="K712" s="4" t="s">
        <v>107</v>
      </c>
      <c r="L712" s="4" t="s">
        <v>108</v>
      </c>
      <c r="M712" s="4"/>
      <c r="N712" s="4"/>
      <c r="O712" s="4"/>
      <c r="P712" s="4"/>
      <c r="Q712" s="4"/>
      <c r="R712" s="4"/>
      <c r="S712" s="13" t="n">
        <v>0.12</v>
      </c>
      <c r="T712" s="4" t="s">
        <v>173</v>
      </c>
      <c r="U712" s="14" t="n">
        <f aca="false">IF(OR($S712="",PARAMETROS!$B$4=""),"",$S712*PARAMETROS!$B$4)</f>
        <v>0.6972</v>
      </c>
      <c r="V712" s="13" t="n">
        <v>0</v>
      </c>
      <c r="W712" s="4"/>
      <c r="X712" s="4"/>
      <c r="Y712" s="4"/>
      <c r="Z712" s="4"/>
      <c r="AA712" s="4"/>
      <c r="AB712" s="4"/>
      <c r="AC712" s="4"/>
      <c r="AD712" s="4"/>
      <c r="AE712" s="4"/>
      <c r="AF712" s="4"/>
      <c r="AG712" s="4"/>
      <c r="AH712" s="4"/>
      <c r="AI712" s="4"/>
      <c r="AJ712" s="4"/>
      <c r="AK712" s="4"/>
      <c r="AL712" s="4" t="s">
        <v>174</v>
      </c>
      <c r="AM712" s="4" t="s">
        <v>205</v>
      </c>
    </row>
    <row r="713" customFormat="false" ht="23.85" hidden="false" customHeight="false" outlineLevel="0" collapsed="false">
      <c r="A713" s="4" t="s">
        <v>167</v>
      </c>
      <c r="B713" s="4" t="s">
        <v>890</v>
      </c>
      <c r="C713" s="4" t="s">
        <v>890</v>
      </c>
      <c r="D713" s="12" t="n">
        <v>2020</v>
      </c>
      <c r="E713" s="4"/>
      <c r="F713" s="4" t="s">
        <v>169</v>
      </c>
      <c r="G713" s="4" t="s">
        <v>170</v>
      </c>
      <c r="H713" s="4" t="s">
        <v>171</v>
      </c>
      <c r="I713" s="4" t="s">
        <v>172</v>
      </c>
      <c r="J713" s="4" t="s">
        <v>890</v>
      </c>
      <c r="K713" s="4" t="s">
        <v>107</v>
      </c>
      <c r="L713" s="4" t="s">
        <v>108</v>
      </c>
      <c r="M713" s="4"/>
      <c r="N713" s="4"/>
      <c r="O713" s="4"/>
      <c r="P713" s="4"/>
      <c r="Q713" s="4"/>
      <c r="R713" s="4"/>
      <c r="S713" s="13" t="n">
        <v>0.37</v>
      </c>
      <c r="T713" s="4" t="s">
        <v>173</v>
      </c>
      <c r="U713" s="14" t="n">
        <f aca="false">IF(OR($S713="",PARAMETROS!$B$4=""),"",$S713*PARAMETROS!$B$4)</f>
        <v>2.1497</v>
      </c>
      <c r="V713" s="13" t="n">
        <v>0</v>
      </c>
      <c r="W713" s="4"/>
      <c r="X713" s="4"/>
      <c r="Y713" s="4"/>
      <c r="Z713" s="4"/>
      <c r="AA713" s="4"/>
      <c r="AB713" s="4"/>
      <c r="AC713" s="4"/>
      <c r="AD713" s="4"/>
      <c r="AE713" s="4"/>
      <c r="AF713" s="4"/>
      <c r="AG713" s="4"/>
      <c r="AH713" s="4"/>
      <c r="AI713" s="4"/>
      <c r="AJ713" s="4"/>
      <c r="AK713" s="4"/>
      <c r="AL713" s="4" t="s">
        <v>174</v>
      </c>
      <c r="AM713" s="4" t="s">
        <v>205</v>
      </c>
    </row>
    <row r="714" customFormat="false" ht="23.85" hidden="false" customHeight="false" outlineLevel="0" collapsed="false">
      <c r="A714" s="4" t="s">
        <v>167</v>
      </c>
      <c r="B714" s="4" t="s">
        <v>891</v>
      </c>
      <c r="C714" s="4" t="s">
        <v>891</v>
      </c>
      <c r="D714" s="12" t="n">
        <v>2020</v>
      </c>
      <c r="E714" s="4"/>
      <c r="F714" s="4" t="s">
        <v>169</v>
      </c>
      <c r="G714" s="4" t="s">
        <v>170</v>
      </c>
      <c r="H714" s="4" t="s">
        <v>171</v>
      </c>
      <c r="I714" s="4" t="s">
        <v>172</v>
      </c>
      <c r="J714" s="4" t="s">
        <v>891</v>
      </c>
      <c r="K714" s="4" t="s">
        <v>107</v>
      </c>
      <c r="L714" s="4" t="s">
        <v>108</v>
      </c>
      <c r="M714" s="4"/>
      <c r="N714" s="4"/>
      <c r="O714" s="4"/>
      <c r="P714" s="4"/>
      <c r="Q714" s="4"/>
      <c r="R714" s="4"/>
      <c r="S714" s="13" t="n">
        <v>0</v>
      </c>
      <c r="T714" s="4" t="s">
        <v>173</v>
      </c>
      <c r="U714" s="14" t="n">
        <f aca="false">IF(OR($S714="",PARAMETROS!$B$4=""),"",$S714*PARAMETROS!$B$4)</f>
        <v>0</v>
      </c>
      <c r="V714" s="13" t="n">
        <v>1</v>
      </c>
      <c r="W714" s="4"/>
      <c r="X714" s="4"/>
      <c r="Y714" s="4"/>
      <c r="Z714" s="4"/>
      <c r="AA714" s="4"/>
      <c r="AB714" s="4"/>
      <c r="AC714" s="4"/>
      <c r="AD714" s="4"/>
      <c r="AE714" s="4"/>
      <c r="AF714" s="4"/>
      <c r="AG714" s="4"/>
      <c r="AH714" s="4"/>
      <c r="AI714" s="4"/>
      <c r="AJ714" s="4"/>
      <c r="AK714" s="4"/>
      <c r="AL714" s="4" t="s">
        <v>174</v>
      </c>
      <c r="AM714" s="4" t="s">
        <v>205</v>
      </c>
    </row>
    <row r="715" customFormat="false" ht="23.85" hidden="false" customHeight="false" outlineLevel="0" collapsed="false">
      <c r="A715" s="4" t="s">
        <v>167</v>
      </c>
      <c r="B715" s="4" t="s">
        <v>892</v>
      </c>
      <c r="C715" s="4" t="s">
        <v>892</v>
      </c>
      <c r="D715" s="12" t="n">
        <v>2020</v>
      </c>
      <c r="E715" s="4"/>
      <c r="F715" s="4" t="s">
        <v>169</v>
      </c>
      <c r="G715" s="4" t="s">
        <v>170</v>
      </c>
      <c r="H715" s="4" t="s">
        <v>171</v>
      </c>
      <c r="I715" s="4" t="s">
        <v>172</v>
      </c>
      <c r="J715" s="4" t="s">
        <v>892</v>
      </c>
      <c r="K715" s="4" t="s">
        <v>107</v>
      </c>
      <c r="L715" s="4" t="s">
        <v>108</v>
      </c>
      <c r="M715" s="4"/>
      <c r="N715" s="4"/>
      <c r="O715" s="4"/>
      <c r="P715" s="4"/>
      <c r="Q715" s="4"/>
      <c r="R715" s="4"/>
      <c r="S715" s="13" t="n">
        <v>0</v>
      </c>
      <c r="T715" s="4" t="s">
        <v>173</v>
      </c>
      <c r="U715" s="14" t="n">
        <f aca="false">IF(OR($S715="",PARAMETROS!$B$4=""),"",$S715*PARAMETROS!$B$4)</f>
        <v>0</v>
      </c>
      <c r="V715" s="13" t="n">
        <v>0</v>
      </c>
      <c r="W715" s="4"/>
      <c r="X715" s="4"/>
      <c r="Y715" s="4"/>
      <c r="Z715" s="4"/>
      <c r="AA715" s="4"/>
      <c r="AB715" s="4"/>
      <c r="AC715" s="4"/>
      <c r="AD715" s="4"/>
      <c r="AE715" s="4"/>
      <c r="AF715" s="4"/>
      <c r="AG715" s="4"/>
      <c r="AH715" s="4"/>
      <c r="AI715" s="4"/>
      <c r="AJ715" s="4"/>
      <c r="AK715" s="4"/>
      <c r="AL715" s="4" t="s">
        <v>174</v>
      </c>
      <c r="AM715" s="4" t="s">
        <v>205</v>
      </c>
    </row>
    <row r="716" customFormat="false" ht="23.85" hidden="false" customHeight="false" outlineLevel="0" collapsed="false">
      <c r="A716" s="4" t="s">
        <v>167</v>
      </c>
      <c r="B716" s="4" t="s">
        <v>893</v>
      </c>
      <c r="C716" s="4" t="s">
        <v>893</v>
      </c>
      <c r="D716" s="12" t="n">
        <v>2020</v>
      </c>
      <c r="E716" s="4"/>
      <c r="F716" s="4" t="s">
        <v>169</v>
      </c>
      <c r="G716" s="4" t="s">
        <v>170</v>
      </c>
      <c r="H716" s="4" t="s">
        <v>171</v>
      </c>
      <c r="I716" s="4" t="s">
        <v>172</v>
      </c>
      <c r="J716" s="4" t="s">
        <v>893</v>
      </c>
      <c r="K716" s="4" t="s">
        <v>111</v>
      </c>
      <c r="L716" s="4" t="s">
        <v>112</v>
      </c>
      <c r="M716" s="4"/>
      <c r="N716" s="4"/>
      <c r="O716" s="4"/>
      <c r="P716" s="4"/>
      <c r="Q716" s="4"/>
      <c r="R716" s="4"/>
      <c r="S716" s="13" t="n">
        <v>0</v>
      </c>
      <c r="T716" s="4" t="s">
        <v>173</v>
      </c>
      <c r="U716" s="14" t="n">
        <f aca="false">IF(OR($S716="",PARAMETROS!$B$4=""),"",$S716*PARAMETROS!$B$4)</f>
        <v>0</v>
      </c>
      <c r="V716" s="13" t="n">
        <v>0</v>
      </c>
      <c r="W716" s="4"/>
      <c r="X716" s="4"/>
      <c r="Y716" s="4"/>
      <c r="Z716" s="4"/>
      <c r="AA716" s="4"/>
      <c r="AB716" s="4"/>
      <c r="AC716" s="4"/>
      <c r="AD716" s="4"/>
      <c r="AE716" s="4"/>
      <c r="AF716" s="4"/>
      <c r="AG716" s="4"/>
      <c r="AH716" s="4"/>
      <c r="AI716" s="4"/>
      <c r="AJ716" s="4"/>
      <c r="AK716" s="4"/>
      <c r="AL716" s="4" t="s">
        <v>174</v>
      </c>
      <c r="AM716" s="4" t="s">
        <v>190</v>
      </c>
    </row>
    <row r="717" customFormat="false" ht="23.85" hidden="false" customHeight="false" outlineLevel="0" collapsed="false">
      <c r="A717" s="4" t="s">
        <v>167</v>
      </c>
      <c r="B717" s="4" t="s">
        <v>894</v>
      </c>
      <c r="C717" s="4" t="s">
        <v>894</v>
      </c>
      <c r="D717" s="12" t="n">
        <v>2020</v>
      </c>
      <c r="E717" s="4"/>
      <c r="F717" s="4" t="s">
        <v>169</v>
      </c>
      <c r="G717" s="4" t="s">
        <v>170</v>
      </c>
      <c r="H717" s="4" t="s">
        <v>171</v>
      </c>
      <c r="I717" s="4" t="s">
        <v>172</v>
      </c>
      <c r="J717" s="4" t="s">
        <v>894</v>
      </c>
      <c r="K717" s="4" t="s">
        <v>111</v>
      </c>
      <c r="L717" s="4" t="s">
        <v>112</v>
      </c>
      <c r="M717" s="4"/>
      <c r="N717" s="4"/>
      <c r="O717" s="4"/>
      <c r="P717" s="4"/>
      <c r="Q717" s="4"/>
      <c r="R717" s="4"/>
      <c r="S717" s="13" t="n">
        <v>46.4</v>
      </c>
      <c r="T717" s="4" t="s">
        <v>173</v>
      </c>
      <c r="U717" s="14" t="n">
        <f aca="false">IF(OR($S717="",PARAMETROS!$B$4=""),"",$S717*PARAMETROS!$B$4)</f>
        <v>269.584</v>
      </c>
      <c r="V717" s="13" t="n">
        <v>0</v>
      </c>
      <c r="W717" s="4"/>
      <c r="X717" s="4"/>
      <c r="Y717" s="4"/>
      <c r="Z717" s="4"/>
      <c r="AA717" s="4"/>
      <c r="AB717" s="4"/>
      <c r="AC717" s="4"/>
      <c r="AD717" s="4"/>
      <c r="AE717" s="4"/>
      <c r="AF717" s="4"/>
      <c r="AG717" s="4"/>
      <c r="AH717" s="4"/>
      <c r="AI717" s="4"/>
      <c r="AJ717" s="4"/>
      <c r="AK717" s="4"/>
      <c r="AL717" s="4" t="s">
        <v>174</v>
      </c>
      <c r="AM717" s="4" t="s">
        <v>190</v>
      </c>
    </row>
    <row r="718" customFormat="false" ht="23.85" hidden="false" customHeight="false" outlineLevel="0" collapsed="false">
      <c r="A718" s="4" t="s">
        <v>167</v>
      </c>
      <c r="B718" s="4" t="s">
        <v>895</v>
      </c>
      <c r="C718" s="4" t="s">
        <v>895</v>
      </c>
      <c r="D718" s="12" t="n">
        <v>2020</v>
      </c>
      <c r="E718" s="4"/>
      <c r="F718" s="4" t="s">
        <v>169</v>
      </c>
      <c r="G718" s="4" t="s">
        <v>170</v>
      </c>
      <c r="H718" s="4" t="s">
        <v>171</v>
      </c>
      <c r="I718" s="4" t="s">
        <v>172</v>
      </c>
      <c r="J718" s="4" t="s">
        <v>895</v>
      </c>
      <c r="K718" s="4" t="s">
        <v>111</v>
      </c>
      <c r="L718" s="4" t="s">
        <v>112</v>
      </c>
      <c r="M718" s="4"/>
      <c r="N718" s="4"/>
      <c r="O718" s="4"/>
      <c r="P718" s="4"/>
      <c r="Q718" s="4"/>
      <c r="R718" s="4"/>
      <c r="S718" s="13" t="n">
        <v>375.87</v>
      </c>
      <c r="T718" s="4" t="s">
        <v>173</v>
      </c>
      <c r="U718" s="14" t="n">
        <f aca="false">IF(OR($S718="",PARAMETROS!$B$4=""),"",$S718*PARAMETROS!$B$4)</f>
        <v>2183.8047</v>
      </c>
      <c r="V718" s="13" t="n">
        <v>0</v>
      </c>
      <c r="W718" s="4"/>
      <c r="X718" s="4"/>
      <c r="Y718" s="4"/>
      <c r="Z718" s="4"/>
      <c r="AA718" s="4"/>
      <c r="AB718" s="4"/>
      <c r="AC718" s="4"/>
      <c r="AD718" s="4"/>
      <c r="AE718" s="4"/>
      <c r="AF718" s="4"/>
      <c r="AG718" s="4"/>
      <c r="AH718" s="4"/>
      <c r="AI718" s="4"/>
      <c r="AJ718" s="4"/>
      <c r="AK718" s="4"/>
      <c r="AL718" s="4" t="s">
        <v>174</v>
      </c>
      <c r="AM718" s="4" t="s">
        <v>190</v>
      </c>
    </row>
    <row r="719" customFormat="false" ht="23.85" hidden="false" customHeight="false" outlineLevel="0" collapsed="false">
      <c r="A719" s="4" t="s">
        <v>167</v>
      </c>
      <c r="B719" s="4" t="s">
        <v>896</v>
      </c>
      <c r="C719" s="4" t="s">
        <v>896</v>
      </c>
      <c r="D719" s="12" t="n">
        <v>2020</v>
      </c>
      <c r="E719" s="4"/>
      <c r="F719" s="4" t="s">
        <v>169</v>
      </c>
      <c r="G719" s="4" t="s">
        <v>170</v>
      </c>
      <c r="H719" s="4" t="s">
        <v>171</v>
      </c>
      <c r="I719" s="4" t="s">
        <v>172</v>
      </c>
      <c r="J719" s="4" t="s">
        <v>896</v>
      </c>
      <c r="K719" s="4" t="s">
        <v>111</v>
      </c>
      <c r="L719" s="4" t="s">
        <v>112</v>
      </c>
      <c r="M719" s="4"/>
      <c r="N719" s="4"/>
      <c r="O719" s="4"/>
      <c r="P719" s="4"/>
      <c r="Q719" s="4"/>
      <c r="R719" s="4"/>
      <c r="S719" s="13" t="n">
        <v>2.54</v>
      </c>
      <c r="T719" s="4" t="s">
        <v>173</v>
      </c>
      <c r="U719" s="14" t="n">
        <f aca="false">IF(OR($S719="",PARAMETROS!$B$4=""),"",$S719*PARAMETROS!$B$4)</f>
        <v>14.7574</v>
      </c>
      <c r="V719" s="13" t="n">
        <v>0</v>
      </c>
      <c r="W719" s="4"/>
      <c r="X719" s="4"/>
      <c r="Y719" s="4"/>
      <c r="Z719" s="4"/>
      <c r="AA719" s="4"/>
      <c r="AB719" s="4"/>
      <c r="AC719" s="4"/>
      <c r="AD719" s="4"/>
      <c r="AE719" s="4"/>
      <c r="AF719" s="4"/>
      <c r="AG719" s="4"/>
      <c r="AH719" s="4"/>
      <c r="AI719" s="4"/>
      <c r="AJ719" s="4"/>
      <c r="AK719" s="4"/>
      <c r="AL719" s="4" t="s">
        <v>174</v>
      </c>
      <c r="AM719" s="4" t="s">
        <v>190</v>
      </c>
    </row>
    <row r="720" customFormat="false" ht="23.85" hidden="false" customHeight="false" outlineLevel="0" collapsed="false">
      <c r="A720" s="4" t="s">
        <v>167</v>
      </c>
      <c r="B720" s="4" t="s">
        <v>897</v>
      </c>
      <c r="C720" s="4" t="s">
        <v>897</v>
      </c>
      <c r="D720" s="12" t="n">
        <v>2020</v>
      </c>
      <c r="E720" s="4"/>
      <c r="F720" s="4" t="s">
        <v>169</v>
      </c>
      <c r="G720" s="4" t="s">
        <v>170</v>
      </c>
      <c r="H720" s="4" t="s">
        <v>171</v>
      </c>
      <c r="I720" s="4" t="s">
        <v>172</v>
      </c>
      <c r="J720" s="4" t="s">
        <v>897</v>
      </c>
      <c r="K720" s="4" t="s">
        <v>111</v>
      </c>
      <c r="L720" s="4" t="s">
        <v>112</v>
      </c>
      <c r="M720" s="4"/>
      <c r="N720" s="4"/>
      <c r="O720" s="4"/>
      <c r="P720" s="4"/>
      <c r="Q720" s="4"/>
      <c r="R720" s="4"/>
      <c r="S720" s="13" t="n">
        <v>664.6</v>
      </c>
      <c r="T720" s="4" t="s">
        <v>173</v>
      </c>
      <c r="U720" s="14" t="n">
        <f aca="false">IF(OR($S720="",PARAMETROS!$B$4=""),"",$S720*PARAMETROS!$B$4)</f>
        <v>3861.326</v>
      </c>
      <c r="V720" s="13" t="n">
        <v>0</v>
      </c>
      <c r="W720" s="4"/>
      <c r="X720" s="4"/>
      <c r="Y720" s="4"/>
      <c r="Z720" s="4"/>
      <c r="AA720" s="4"/>
      <c r="AB720" s="4"/>
      <c r="AC720" s="4"/>
      <c r="AD720" s="4"/>
      <c r="AE720" s="4"/>
      <c r="AF720" s="4"/>
      <c r="AG720" s="4"/>
      <c r="AH720" s="4"/>
      <c r="AI720" s="4"/>
      <c r="AJ720" s="4"/>
      <c r="AK720" s="4"/>
      <c r="AL720" s="4" t="s">
        <v>174</v>
      </c>
      <c r="AM720" s="4" t="s">
        <v>190</v>
      </c>
    </row>
    <row r="721" customFormat="false" ht="23.85" hidden="false" customHeight="false" outlineLevel="0" collapsed="false">
      <c r="A721" s="4" t="s">
        <v>167</v>
      </c>
      <c r="B721" s="4" t="s">
        <v>898</v>
      </c>
      <c r="C721" s="4" t="s">
        <v>898</v>
      </c>
      <c r="D721" s="12" t="n">
        <v>2020</v>
      </c>
      <c r="E721" s="4"/>
      <c r="F721" s="4" t="s">
        <v>169</v>
      </c>
      <c r="G721" s="4" t="s">
        <v>170</v>
      </c>
      <c r="H721" s="4" t="s">
        <v>171</v>
      </c>
      <c r="I721" s="4" t="s">
        <v>172</v>
      </c>
      <c r="J721" s="4" t="s">
        <v>898</v>
      </c>
      <c r="K721" s="4" t="s">
        <v>111</v>
      </c>
      <c r="L721" s="4" t="s">
        <v>112</v>
      </c>
      <c r="M721" s="4"/>
      <c r="N721" s="4"/>
      <c r="O721" s="4"/>
      <c r="P721" s="4"/>
      <c r="Q721" s="4"/>
      <c r="R721" s="4"/>
      <c r="S721" s="13" t="n">
        <v>0</v>
      </c>
      <c r="T721" s="4" t="s">
        <v>173</v>
      </c>
      <c r="U721" s="14" t="n">
        <f aca="false">IF(OR($S721="",PARAMETROS!$B$4=""),"",$S721*PARAMETROS!$B$4)</f>
        <v>0</v>
      </c>
      <c r="V721" s="13" t="n">
        <v>0</v>
      </c>
      <c r="W721" s="4"/>
      <c r="X721" s="4"/>
      <c r="Y721" s="4"/>
      <c r="Z721" s="4"/>
      <c r="AA721" s="4"/>
      <c r="AB721" s="4"/>
      <c r="AC721" s="4"/>
      <c r="AD721" s="4"/>
      <c r="AE721" s="4"/>
      <c r="AF721" s="4"/>
      <c r="AG721" s="4"/>
      <c r="AH721" s="4"/>
      <c r="AI721" s="4"/>
      <c r="AJ721" s="4"/>
      <c r="AK721" s="4"/>
      <c r="AL721" s="4" t="s">
        <v>174</v>
      </c>
      <c r="AM721" s="4" t="s">
        <v>190</v>
      </c>
    </row>
    <row r="722" customFormat="false" ht="23.85" hidden="false" customHeight="false" outlineLevel="0" collapsed="false">
      <c r="A722" s="4" t="s">
        <v>167</v>
      </c>
      <c r="B722" s="4" t="s">
        <v>899</v>
      </c>
      <c r="C722" s="4" t="s">
        <v>899</v>
      </c>
      <c r="D722" s="12" t="n">
        <v>2020</v>
      </c>
      <c r="E722" s="4"/>
      <c r="F722" s="4" t="s">
        <v>169</v>
      </c>
      <c r="G722" s="4" t="s">
        <v>170</v>
      </c>
      <c r="H722" s="4" t="s">
        <v>171</v>
      </c>
      <c r="I722" s="4" t="s">
        <v>172</v>
      </c>
      <c r="J722" s="4" t="s">
        <v>899</v>
      </c>
      <c r="K722" s="4" t="s">
        <v>111</v>
      </c>
      <c r="L722" s="4" t="s">
        <v>112</v>
      </c>
      <c r="M722" s="4"/>
      <c r="N722" s="4"/>
      <c r="O722" s="4"/>
      <c r="P722" s="4"/>
      <c r="Q722" s="4"/>
      <c r="R722" s="4"/>
      <c r="S722" s="13" t="n">
        <v>0</v>
      </c>
      <c r="T722" s="4" t="s">
        <v>173</v>
      </c>
      <c r="U722" s="14" t="n">
        <f aca="false">IF(OR($S722="",PARAMETROS!$B$4=""),"",$S722*PARAMETROS!$B$4)</f>
        <v>0</v>
      </c>
      <c r="V722" s="13" t="n">
        <v>0</v>
      </c>
      <c r="W722" s="4"/>
      <c r="X722" s="4"/>
      <c r="Y722" s="4"/>
      <c r="Z722" s="4"/>
      <c r="AA722" s="4"/>
      <c r="AB722" s="4"/>
      <c r="AC722" s="4"/>
      <c r="AD722" s="4"/>
      <c r="AE722" s="4"/>
      <c r="AF722" s="4"/>
      <c r="AG722" s="4"/>
      <c r="AH722" s="4"/>
      <c r="AI722" s="4"/>
      <c r="AJ722" s="4"/>
      <c r="AK722" s="4"/>
      <c r="AL722" s="4" t="s">
        <v>174</v>
      </c>
      <c r="AM722" s="4" t="s">
        <v>190</v>
      </c>
    </row>
    <row r="723" customFormat="false" ht="23.85" hidden="false" customHeight="false" outlineLevel="0" collapsed="false">
      <c r="A723" s="4" t="s">
        <v>167</v>
      </c>
      <c r="B723" s="4" t="s">
        <v>900</v>
      </c>
      <c r="C723" s="4" t="s">
        <v>900</v>
      </c>
      <c r="D723" s="12" t="n">
        <v>2020</v>
      </c>
      <c r="E723" s="4"/>
      <c r="F723" s="4" t="s">
        <v>169</v>
      </c>
      <c r="G723" s="4" t="s">
        <v>170</v>
      </c>
      <c r="H723" s="4" t="s">
        <v>171</v>
      </c>
      <c r="I723" s="4" t="s">
        <v>172</v>
      </c>
      <c r="J723" s="4" t="s">
        <v>900</v>
      </c>
      <c r="K723" s="4" t="s">
        <v>111</v>
      </c>
      <c r="L723" s="4" t="s">
        <v>112</v>
      </c>
      <c r="M723" s="4"/>
      <c r="N723" s="4"/>
      <c r="O723" s="4"/>
      <c r="P723" s="4"/>
      <c r="Q723" s="4"/>
      <c r="R723" s="4"/>
      <c r="S723" s="13" t="n">
        <v>0</v>
      </c>
      <c r="T723" s="4" t="s">
        <v>173</v>
      </c>
      <c r="U723" s="14" t="n">
        <f aca="false">IF(OR($S723="",PARAMETROS!$B$4=""),"",$S723*PARAMETROS!$B$4)</f>
        <v>0</v>
      </c>
      <c r="V723" s="13" t="n">
        <v>0</v>
      </c>
      <c r="W723" s="4"/>
      <c r="X723" s="4"/>
      <c r="Y723" s="4"/>
      <c r="Z723" s="4"/>
      <c r="AA723" s="4"/>
      <c r="AB723" s="4"/>
      <c r="AC723" s="4"/>
      <c r="AD723" s="4"/>
      <c r="AE723" s="4"/>
      <c r="AF723" s="4"/>
      <c r="AG723" s="4"/>
      <c r="AH723" s="4"/>
      <c r="AI723" s="4"/>
      <c r="AJ723" s="4"/>
      <c r="AK723" s="4"/>
      <c r="AL723" s="4" t="s">
        <v>174</v>
      </c>
      <c r="AM723" s="4" t="s">
        <v>190</v>
      </c>
    </row>
    <row r="724" customFormat="false" ht="23.85" hidden="false" customHeight="false" outlineLevel="0" collapsed="false">
      <c r="A724" s="4" t="s">
        <v>167</v>
      </c>
      <c r="B724" s="4" t="s">
        <v>901</v>
      </c>
      <c r="C724" s="4" t="s">
        <v>901</v>
      </c>
      <c r="D724" s="12" t="n">
        <v>2020</v>
      </c>
      <c r="E724" s="4"/>
      <c r="F724" s="4" t="s">
        <v>169</v>
      </c>
      <c r="G724" s="4" t="s">
        <v>170</v>
      </c>
      <c r="H724" s="4" t="s">
        <v>171</v>
      </c>
      <c r="I724" s="4" t="s">
        <v>172</v>
      </c>
      <c r="J724" s="4" t="s">
        <v>901</v>
      </c>
      <c r="K724" s="4" t="s">
        <v>111</v>
      </c>
      <c r="L724" s="4" t="s">
        <v>112</v>
      </c>
      <c r="M724" s="4"/>
      <c r="N724" s="4"/>
      <c r="O724" s="4"/>
      <c r="P724" s="4"/>
      <c r="Q724" s="4"/>
      <c r="R724" s="4"/>
      <c r="S724" s="13" t="n">
        <v>0</v>
      </c>
      <c r="T724" s="4" t="s">
        <v>173</v>
      </c>
      <c r="U724" s="14" t="n">
        <f aca="false">IF(OR($S724="",PARAMETROS!$B$4=""),"",$S724*PARAMETROS!$B$4)</f>
        <v>0</v>
      </c>
      <c r="V724" s="13" t="n">
        <v>0</v>
      </c>
      <c r="W724" s="4"/>
      <c r="X724" s="4"/>
      <c r="Y724" s="4"/>
      <c r="Z724" s="4"/>
      <c r="AA724" s="4"/>
      <c r="AB724" s="4"/>
      <c r="AC724" s="4"/>
      <c r="AD724" s="4"/>
      <c r="AE724" s="4"/>
      <c r="AF724" s="4"/>
      <c r="AG724" s="4"/>
      <c r="AH724" s="4"/>
      <c r="AI724" s="4"/>
      <c r="AJ724" s="4"/>
      <c r="AK724" s="4"/>
      <c r="AL724" s="4" t="s">
        <v>174</v>
      </c>
      <c r="AM724" s="4" t="s">
        <v>190</v>
      </c>
    </row>
    <row r="725" customFormat="false" ht="23.85" hidden="false" customHeight="false" outlineLevel="0" collapsed="false">
      <c r="A725" s="4" t="s">
        <v>167</v>
      </c>
      <c r="B725" s="4" t="s">
        <v>902</v>
      </c>
      <c r="C725" s="4" t="s">
        <v>902</v>
      </c>
      <c r="D725" s="12" t="n">
        <v>2020</v>
      </c>
      <c r="E725" s="4"/>
      <c r="F725" s="4" t="s">
        <v>169</v>
      </c>
      <c r="G725" s="4" t="s">
        <v>170</v>
      </c>
      <c r="H725" s="4" t="s">
        <v>171</v>
      </c>
      <c r="I725" s="4" t="s">
        <v>172</v>
      </c>
      <c r="J725" s="4" t="s">
        <v>902</v>
      </c>
      <c r="K725" s="4" t="s">
        <v>111</v>
      </c>
      <c r="L725" s="4" t="s">
        <v>112</v>
      </c>
      <c r="M725" s="4"/>
      <c r="N725" s="4"/>
      <c r="O725" s="4"/>
      <c r="P725" s="4"/>
      <c r="Q725" s="4"/>
      <c r="R725" s="4"/>
      <c r="S725" s="13" t="n">
        <v>0</v>
      </c>
      <c r="T725" s="4" t="s">
        <v>173</v>
      </c>
      <c r="U725" s="14" t="n">
        <f aca="false">IF(OR($S725="",PARAMETROS!$B$4=""),"",$S725*PARAMETROS!$B$4)</f>
        <v>0</v>
      </c>
      <c r="V725" s="13" t="n">
        <v>0</v>
      </c>
      <c r="W725" s="4"/>
      <c r="X725" s="4"/>
      <c r="Y725" s="4"/>
      <c r="Z725" s="4"/>
      <c r="AA725" s="4"/>
      <c r="AB725" s="4"/>
      <c r="AC725" s="4"/>
      <c r="AD725" s="4"/>
      <c r="AE725" s="4"/>
      <c r="AF725" s="4"/>
      <c r="AG725" s="4"/>
      <c r="AH725" s="4"/>
      <c r="AI725" s="4"/>
      <c r="AJ725" s="4"/>
      <c r="AK725" s="4"/>
      <c r="AL725" s="4" t="s">
        <v>174</v>
      </c>
      <c r="AM725" s="4" t="s">
        <v>190</v>
      </c>
    </row>
    <row r="726" customFormat="false" ht="23.85" hidden="false" customHeight="false" outlineLevel="0" collapsed="false">
      <c r="A726" s="4" t="s">
        <v>167</v>
      </c>
      <c r="B726" s="4" t="s">
        <v>903</v>
      </c>
      <c r="C726" s="4" t="s">
        <v>903</v>
      </c>
      <c r="D726" s="12" t="n">
        <v>2020</v>
      </c>
      <c r="E726" s="4"/>
      <c r="F726" s="4" t="s">
        <v>169</v>
      </c>
      <c r="G726" s="4" t="s">
        <v>170</v>
      </c>
      <c r="H726" s="4" t="s">
        <v>171</v>
      </c>
      <c r="I726" s="4" t="s">
        <v>172</v>
      </c>
      <c r="J726" s="4" t="s">
        <v>903</v>
      </c>
      <c r="K726" s="4" t="s">
        <v>111</v>
      </c>
      <c r="L726" s="4" t="s">
        <v>112</v>
      </c>
      <c r="M726" s="4"/>
      <c r="N726" s="4"/>
      <c r="O726" s="4"/>
      <c r="P726" s="4"/>
      <c r="Q726" s="4"/>
      <c r="R726" s="4"/>
      <c r="S726" s="13" t="n">
        <v>0</v>
      </c>
      <c r="T726" s="4" t="s">
        <v>173</v>
      </c>
      <c r="U726" s="14" t="n">
        <f aca="false">IF(OR($S726="",PARAMETROS!$B$4=""),"",$S726*PARAMETROS!$B$4)</f>
        <v>0</v>
      </c>
      <c r="V726" s="13" t="n">
        <v>0</v>
      </c>
      <c r="W726" s="4"/>
      <c r="X726" s="4"/>
      <c r="Y726" s="4"/>
      <c r="Z726" s="4"/>
      <c r="AA726" s="4"/>
      <c r="AB726" s="4"/>
      <c r="AC726" s="4"/>
      <c r="AD726" s="4"/>
      <c r="AE726" s="4"/>
      <c r="AF726" s="4"/>
      <c r="AG726" s="4"/>
      <c r="AH726" s="4"/>
      <c r="AI726" s="4"/>
      <c r="AJ726" s="4"/>
      <c r="AK726" s="4"/>
      <c r="AL726" s="4" t="s">
        <v>174</v>
      </c>
      <c r="AM726" s="4" t="s">
        <v>190</v>
      </c>
    </row>
    <row r="727" customFormat="false" ht="23.85" hidden="false" customHeight="false" outlineLevel="0" collapsed="false">
      <c r="A727" s="4" t="s">
        <v>167</v>
      </c>
      <c r="B727" s="4" t="s">
        <v>904</v>
      </c>
      <c r="C727" s="4" t="s">
        <v>904</v>
      </c>
      <c r="D727" s="12" t="n">
        <v>2020</v>
      </c>
      <c r="E727" s="4"/>
      <c r="F727" s="4" t="s">
        <v>169</v>
      </c>
      <c r="G727" s="4" t="s">
        <v>170</v>
      </c>
      <c r="H727" s="4" t="s">
        <v>171</v>
      </c>
      <c r="I727" s="4" t="s">
        <v>172</v>
      </c>
      <c r="J727" s="4" t="s">
        <v>904</v>
      </c>
      <c r="K727" s="4" t="s">
        <v>111</v>
      </c>
      <c r="L727" s="4" t="s">
        <v>112</v>
      </c>
      <c r="M727" s="4"/>
      <c r="N727" s="4"/>
      <c r="O727" s="4"/>
      <c r="P727" s="4"/>
      <c r="Q727" s="4"/>
      <c r="R727" s="4"/>
      <c r="S727" s="13" t="n">
        <v>0</v>
      </c>
      <c r="T727" s="4" t="s">
        <v>173</v>
      </c>
      <c r="U727" s="14" t="n">
        <f aca="false">IF(OR($S727="",PARAMETROS!$B$4=""),"",$S727*PARAMETROS!$B$4)</f>
        <v>0</v>
      </c>
      <c r="V727" s="13" t="n">
        <v>0</v>
      </c>
      <c r="W727" s="4"/>
      <c r="X727" s="4"/>
      <c r="Y727" s="4"/>
      <c r="Z727" s="4"/>
      <c r="AA727" s="4"/>
      <c r="AB727" s="4"/>
      <c r="AC727" s="4"/>
      <c r="AD727" s="4"/>
      <c r="AE727" s="4"/>
      <c r="AF727" s="4"/>
      <c r="AG727" s="4"/>
      <c r="AH727" s="4"/>
      <c r="AI727" s="4"/>
      <c r="AJ727" s="4"/>
      <c r="AK727" s="4"/>
      <c r="AL727" s="4" t="s">
        <v>174</v>
      </c>
      <c r="AM727" s="4" t="s">
        <v>190</v>
      </c>
    </row>
    <row r="728" customFormat="false" ht="23.85" hidden="false" customHeight="false" outlineLevel="0" collapsed="false">
      <c r="A728" s="4" t="s">
        <v>167</v>
      </c>
      <c r="B728" s="4" t="s">
        <v>905</v>
      </c>
      <c r="C728" s="4" t="s">
        <v>905</v>
      </c>
      <c r="D728" s="12" t="n">
        <v>2020</v>
      </c>
      <c r="E728" s="4"/>
      <c r="F728" s="4" t="s">
        <v>169</v>
      </c>
      <c r="G728" s="4" t="s">
        <v>170</v>
      </c>
      <c r="H728" s="4" t="s">
        <v>171</v>
      </c>
      <c r="I728" s="4" t="s">
        <v>172</v>
      </c>
      <c r="J728" s="4" t="s">
        <v>905</v>
      </c>
      <c r="K728" s="4" t="s">
        <v>111</v>
      </c>
      <c r="L728" s="4" t="s">
        <v>112</v>
      </c>
      <c r="M728" s="4"/>
      <c r="N728" s="4"/>
      <c r="O728" s="4"/>
      <c r="P728" s="4"/>
      <c r="Q728" s="4"/>
      <c r="R728" s="4"/>
      <c r="S728" s="13" t="n">
        <v>0</v>
      </c>
      <c r="T728" s="4" t="s">
        <v>173</v>
      </c>
      <c r="U728" s="14" t="n">
        <f aca="false">IF(OR($S728="",PARAMETROS!$B$4=""),"",$S728*PARAMETROS!$B$4)</f>
        <v>0</v>
      </c>
      <c r="V728" s="13" t="n">
        <v>1</v>
      </c>
      <c r="W728" s="4"/>
      <c r="X728" s="4"/>
      <c r="Y728" s="4"/>
      <c r="Z728" s="4"/>
      <c r="AA728" s="4"/>
      <c r="AB728" s="4"/>
      <c r="AC728" s="4"/>
      <c r="AD728" s="4"/>
      <c r="AE728" s="4"/>
      <c r="AF728" s="4"/>
      <c r="AG728" s="4"/>
      <c r="AH728" s="4"/>
      <c r="AI728" s="4"/>
      <c r="AJ728" s="4"/>
      <c r="AK728" s="4"/>
      <c r="AL728" s="4" t="s">
        <v>174</v>
      </c>
      <c r="AM728" s="4" t="s">
        <v>190</v>
      </c>
    </row>
    <row r="729" customFormat="false" ht="23.85" hidden="false" customHeight="false" outlineLevel="0" collapsed="false">
      <c r="A729" s="4" t="s">
        <v>167</v>
      </c>
      <c r="B729" s="4" t="s">
        <v>906</v>
      </c>
      <c r="C729" s="4" t="s">
        <v>906</v>
      </c>
      <c r="D729" s="12" t="n">
        <v>2020</v>
      </c>
      <c r="E729" s="4"/>
      <c r="F729" s="4" t="s">
        <v>169</v>
      </c>
      <c r="G729" s="4" t="s">
        <v>170</v>
      </c>
      <c r="H729" s="4" t="s">
        <v>171</v>
      </c>
      <c r="I729" s="4" t="s">
        <v>172</v>
      </c>
      <c r="J729" s="4" t="s">
        <v>906</v>
      </c>
      <c r="K729" s="4" t="s">
        <v>111</v>
      </c>
      <c r="L729" s="4" t="s">
        <v>112</v>
      </c>
      <c r="M729" s="4"/>
      <c r="N729" s="4"/>
      <c r="O729" s="4"/>
      <c r="P729" s="4"/>
      <c r="Q729" s="4"/>
      <c r="R729" s="4"/>
      <c r="S729" s="13" t="n">
        <v>0</v>
      </c>
      <c r="T729" s="4" t="s">
        <v>173</v>
      </c>
      <c r="U729" s="14" t="n">
        <f aca="false">IF(OR($S729="",PARAMETROS!$B$4=""),"",$S729*PARAMETROS!$B$4)</f>
        <v>0</v>
      </c>
      <c r="V729" s="13" t="n">
        <v>0</v>
      </c>
      <c r="W729" s="4"/>
      <c r="X729" s="4"/>
      <c r="Y729" s="4"/>
      <c r="Z729" s="4"/>
      <c r="AA729" s="4"/>
      <c r="AB729" s="4"/>
      <c r="AC729" s="4"/>
      <c r="AD729" s="4"/>
      <c r="AE729" s="4"/>
      <c r="AF729" s="4"/>
      <c r="AG729" s="4"/>
      <c r="AH729" s="4"/>
      <c r="AI729" s="4"/>
      <c r="AJ729" s="4"/>
      <c r="AK729" s="4"/>
      <c r="AL729" s="4" t="s">
        <v>174</v>
      </c>
      <c r="AM729" s="4" t="s">
        <v>190</v>
      </c>
    </row>
    <row r="730" customFormat="false" ht="23.85" hidden="false" customHeight="false" outlineLevel="0" collapsed="false">
      <c r="A730" s="4" t="s">
        <v>167</v>
      </c>
      <c r="B730" s="4" t="s">
        <v>907</v>
      </c>
      <c r="C730" s="4" t="s">
        <v>907</v>
      </c>
      <c r="D730" s="12" t="n">
        <v>2021</v>
      </c>
      <c r="E730" s="4"/>
      <c r="F730" s="4" t="s">
        <v>169</v>
      </c>
      <c r="G730" s="4" t="s">
        <v>170</v>
      </c>
      <c r="H730" s="4" t="s">
        <v>171</v>
      </c>
      <c r="I730" s="4" t="s">
        <v>172</v>
      </c>
      <c r="J730" s="4" t="s">
        <v>907</v>
      </c>
      <c r="K730" s="4" t="s">
        <v>91</v>
      </c>
      <c r="L730" s="4" t="s">
        <v>92</v>
      </c>
      <c r="M730" s="4"/>
      <c r="N730" s="4"/>
      <c r="O730" s="4"/>
      <c r="P730" s="4"/>
      <c r="Q730" s="4"/>
      <c r="R730" s="4"/>
      <c r="S730" s="13" t="n">
        <v>14966.8</v>
      </c>
      <c r="T730" s="4" t="s">
        <v>173</v>
      </c>
      <c r="U730" s="14" t="n">
        <f aca="false">IF(OR($S730="",PARAMETROS!$B$4=""),"",$S730*PARAMETROS!$B$4)</f>
        <v>86957.108</v>
      </c>
      <c r="V730" s="13" t="n">
        <v>0</v>
      </c>
      <c r="W730" s="4"/>
      <c r="X730" s="4"/>
      <c r="Y730" s="4"/>
      <c r="Z730" s="4"/>
      <c r="AA730" s="4"/>
      <c r="AB730" s="4"/>
      <c r="AC730" s="4"/>
      <c r="AD730" s="4"/>
      <c r="AE730" s="4"/>
      <c r="AF730" s="4"/>
      <c r="AG730" s="4"/>
      <c r="AH730" s="4"/>
      <c r="AI730" s="4"/>
      <c r="AJ730" s="4"/>
      <c r="AK730" s="4"/>
      <c r="AL730" s="4" t="s">
        <v>174</v>
      </c>
      <c r="AM730" s="4" t="s">
        <v>175</v>
      </c>
    </row>
    <row r="731" customFormat="false" ht="23.85" hidden="false" customHeight="false" outlineLevel="0" collapsed="false">
      <c r="A731" s="4" t="s">
        <v>167</v>
      </c>
      <c r="B731" s="4" t="s">
        <v>908</v>
      </c>
      <c r="C731" s="4" t="s">
        <v>908</v>
      </c>
      <c r="D731" s="12" t="n">
        <v>2021</v>
      </c>
      <c r="E731" s="4"/>
      <c r="F731" s="4" t="s">
        <v>169</v>
      </c>
      <c r="G731" s="4" t="s">
        <v>170</v>
      </c>
      <c r="H731" s="4" t="s">
        <v>171</v>
      </c>
      <c r="I731" s="4" t="s">
        <v>172</v>
      </c>
      <c r="J731" s="4" t="s">
        <v>908</v>
      </c>
      <c r="K731" s="4" t="s">
        <v>91</v>
      </c>
      <c r="L731" s="4" t="s">
        <v>92</v>
      </c>
      <c r="M731" s="4"/>
      <c r="N731" s="4"/>
      <c r="O731" s="4"/>
      <c r="P731" s="4"/>
      <c r="Q731" s="4"/>
      <c r="R731" s="4"/>
      <c r="S731" s="13" t="n">
        <v>0</v>
      </c>
      <c r="T731" s="4" t="s">
        <v>173</v>
      </c>
      <c r="U731" s="14" t="n">
        <f aca="false">IF(OR($S731="",PARAMETROS!$B$4=""),"",$S731*PARAMETROS!$B$4)</f>
        <v>0</v>
      </c>
      <c r="V731" s="13" t="n">
        <v>0</v>
      </c>
      <c r="W731" s="4"/>
      <c r="X731" s="4"/>
      <c r="Y731" s="4"/>
      <c r="Z731" s="4"/>
      <c r="AA731" s="4"/>
      <c r="AB731" s="4"/>
      <c r="AC731" s="4"/>
      <c r="AD731" s="4"/>
      <c r="AE731" s="4"/>
      <c r="AF731" s="4"/>
      <c r="AG731" s="4"/>
      <c r="AH731" s="4"/>
      <c r="AI731" s="4"/>
      <c r="AJ731" s="4"/>
      <c r="AK731" s="4"/>
      <c r="AL731" s="4" t="s">
        <v>174</v>
      </c>
      <c r="AM731" s="4" t="s">
        <v>175</v>
      </c>
    </row>
    <row r="732" customFormat="false" ht="23.85" hidden="false" customHeight="false" outlineLevel="0" collapsed="false">
      <c r="A732" s="4" t="s">
        <v>167</v>
      </c>
      <c r="B732" s="4" t="s">
        <v>909</v>
      </c>
      <c r="C732" s="4" t="s">
        <v>909</v>
      </c>
      <c r="D732" s="12" t="n">
        <v>2021</v>
      </c>
      <c r="E732" s="4"/>
      <c r="F732" s="4" t="s">
        <v>169</v>
      </c>
      <c r="G732" s="4" t="s">
        <v>170</v>
      </c>
      <c r="H732" s="4" t="s">
        <v>171</v>
      </c>
      <c r="I732" s="4" t="s">
        <v>172</v>
      </c>
      <c r="J732" s="4" t="s">
        <v>909</v>
      </c>
      <c r="K732" s="4" t="s">
        <v>91</v>
      </c>
      <c r="L732" s="4" t="s">
        <v>92</v>
      </c>
      <c r="M732" s="4"/>
      <c r="N732" s="4"/>
      <c r="O732" s="4"/>
      <c r="P732" s="4"/>
      <c r="Q732" s="4"/>
      <c r="R732" s="4"/>
      <c r="S732" s="13" t="n">
        <v>0</v>
      </c>
      <c r="T732" s="4" t="s">
        <v>173</v>
      </c>
      <c r="U732" s="14" t="n">
        <f aca="false">IF(OR($S732="",PARAMETROS!$B$4=""),"",$S732*PARAMETROS!$B$4)</f>
        <v>0</v>
      </c>
      <c r="V732" s="13" t="n">
        <v>0</v>
      </c>
      <c r="W732" s="4"/>
      <c r="X732" s="4"/>
      <c r="Y732" s="4"/>
      <c r="Z732" s="4"/>
      <c r="AA732" s="4"/>
      <c r="AB732" s="4"/>
      <c r="AC732" s="4"/>
      <c r="AD732" s="4"/>
      <c r="AE732" s="4"/>
      <c r="AF732" s="4"/>
      <c r="AG732" s="4"/>
      <c r="AH732" s="4"/>
      <c r="AI732" s="4"/>
      <c r="AJ732" s="4"/>
      <c r="AK732" s="4"/>
      <c r="AL732" s="4" t="s">
        <v>174</v>
      </c>
      <c r="AM732" s="4" t="s">
        <v>175</v>
      </c>
    </row>
    <row r="733" customFormat="false" ht="23.85" hidden="false" customHeight="false" outlineLevel="0" collapsed="false">
      <c r="A733" s="4" t="s">
        <v>167</v>
      </c>
      <c r="B733" s="4" t="s">
        <v>910</v>
      </c>
      <c r="C733" s="4" t="s">
        <v>910</v>
      </c>
      <c r="D733" s="12" t="n">
        <v>2021</v>
      </c>
      <c r="E733" s="4"/>
      <c r="F733" s="4" t="s">
        <v>169</v>
      </c>
      <c r="G733" s="4" t="s">
        <v>170</v>
      </c>
      <c r="H733" s="4" t="s">
        <v>171</v>
      </c>
      <c r="I733" s="4" t="s">
        <v>172</v>
      </c>
      <c r="J733" s="4" t="s">
        <v>910</v>
      </c>
      <c r="K733" s="4" t="s">
        <v>91</v>
      </c>
      <c r="L733" s="4" t="s">
        <v>92</v>
      </c>
      <c r="M733" s="4"/>
      <c r="N733" s="4"/>
      <c r="O733" s="4"/>
      <c r="P733" s="4"/>
      <c r="Q733" s="4"/>
      <c r="R733" s="4"/>
      <c r="S733" s="13" t="n">
        <v>0</v>
      </c>
      <c r="T733" s="4" t="s">
        <v>173</v>
      </c>
      <c r="U733" s="14" t="n">
        <f aca="false">IF(OR($S733="",PARAMETROS!$B$4=""),"",$S733*PARAMETROS!$B$4)</f>
        <v>0</v>
      </c>
      <c r="V733" s="13" t="n">
        <v>0</v>
      </c>
      <c r="W733" s="4"/>
      <c r="X733" s="4"/>
      <c r="Y733" s="4"/>
      <c r="Z733" s="4"/>
      <c r="AA733" s="4"/>
      <c r="AB733" s="4"/>
      <c r="AC733" s="4"/>
      <c r="AD733" s="4"/>
      <c r="AE733" s="4"/>
      <c r="AF733" s="4"/>
      <c r="AG733" s="4"/>
      <c r="AH733" s="4"/>
      <c r="AI733" s="4"/>
      <c r="AJ733" s="4"/>
      <c r="AK733" s="4"/>
      <c r="AL733" s="4" t="s">
        <v>174</v>
      </c>
      <c r="AM733" s="4" t="s">
        <v>175</v>
      </c>
    </row>
    <row r="734" customFormat="false" ht="23.85" hidden="false" customHeight="false" outlineLevel="0" collapsed="false">
      <c r="A734" s="4" t="s">
        <v>167</v>
      </c>
      <c r="B734" s="4" t="s">
        <v>911</v>
      </c>
      <c r="C734" s="4" t="s">
        <v>911</v>
      </c>
      <c r="D734" s="12" t="n">
        <v>2021</v>
      </c>
      <c r="E734" s="4"/>
      <c r="F734" s="4" t="s">
        <v>169</v>
      </c>
      <c r="G734" s="4" t="s">
        <v>170</v>
      </c>
      <c r="H734" s="4" t="s">
        <v>171</v>
      </c>
      <c r="I734" s="4" t="s">
        <v>172</v>
      </c>
      <c r="J734" s="4" t="s">
        <v>911</v>
      </c>
      <c r="K734" s="4" t="s">
        <v>91</v>
      </c>
      <c r="L734" s="4" t="s">
        <v>92</v>
      </c>
      <c r="M734" s="4"/>
      <c r="N734" s="4"/>
      <c r="O734" s="4"/>
      <c r="P734" s="4"/>
      <c r="Q734" s="4"/>
      <c r="R734" s="4"/>
      <c r="S734" s="13" t="n">
        <v>0</v>
      </c>
      <c r="T734" s="4" t="s">
        <v>173</v>
      </c>
      <c r="U734" s="14" t="n">
        <f aca="false">IF(OR($S734="",PARAMETROS!$B$4=""),"",$S734*PARAMETROS!$B$4)</f>
        <v>0</v>
      </c>
      <c r="V734" s="13" t="n">
        <v>0</v>
      </c>
      <c r="W734" s="4"/>
      <c r="X734" s="4"/>
      <c r="Y734" s="4"/>
      <c r="Z734" s="4"/>
      <c r="AA734" s="4"/>
      <c r="AB734" s="4"/>
      <c r="AC734" s="4"/>
      <c r="AD734" s="4"/>
      <c r="AE734" s="4"/>
      <c r="AF734" s="4"/>
      <c r="AG734" s="4"/>
      <c r="AH734" s="4"/>
      <c r="AI734" s="4"/>
      <c r="AJ734" s="4"/>
      <c r="AK734" s="4"/>
      <c r="AL734" s="4" t="s">
        <v>174</v>
      </c>
      <c r="AM734" s="4" t="s">
        <v>175</v>
      </c>
    </row>
    <row r="735" customFormat="false" ht="23.85" hidden="false" customHeight="false" outlineLevel="0" collapsed="false">
      <c r="A735" s="4" t="s">
        <v>167</v>
      </c>
      <c r="B735" s="4" t="s">
        <v>912</v>
      </c>
      <c r="C735" s="4" t="s">
        <v>912</v>
      </c>
      <c r="D735" s="12" t="n">
        <v>2021</v>
      </c>
      <c r="E735" s="4"/>
      <c r="F735" s="4" t="s">
        <v>169</v>
      </c>
      <c r="G735" s="4" t="s">
        <v>170</v>
      </c>
      <c r="H735" s="4" t="s">
        <v>171</v>
      </c>
      <c r="I735" s="4" t="s">
        <v>172</v>
      </c>
      <c r="J735" s="4" t="s">
        <v>912</v>
      </c>
      <c r="K735" s="4" t="s">
        <v>91</v>
      </c>
      <c r="L735" s="4" t="s">
        <v>92</v>
      </c>
      <c r="M735" s="4"/>
      <c r="N735" s="4"/>
      <c r="O735" s="4"/>
      <c r="P735" s="4"/>
      <c r="Q735" s="4"/>
      <c r="R735" s="4"/>
      <c r="S735" s="13" t="n">
        <v>-9410.45</v>
      </c>
      <c r="T735" s="4" t="s">
        <v>173</v>
      </c>
      <c r="U735" s="14" t="n">
        <f aca="false">IF(OR($S735="",PARAMETROS!$B$4=""),"",$S735*PARAMETROS!$B$4)</f>
        <v>-54674.7145</v>
      </c>
      <c r="V735" s="13" t="n">
        <v>0</v>
      </c>
      <c r="W735" s="4"/>
      <c r="X735" s="4"/>
      <c r="Y735" s="4"/>
      <c r="Z735" s="4"/>
      <c r="AA735" s="4"/>
      <c r="AB735" s="4"/>
      <c r="AC735" s="4"/>
      <c r="AD735" s="4"/>
      <c r="AE735" s="4"/>
      <c r="AF735" s="4"/>
      <c r="AG735" s="4"/>
      <c r="AH735" s="4"/>
      <c r="AI735" s="4"/>
      <c r="AJ735" s="4"/>
      <c r="AK735" s="4"/>
      <c r="AL735" s="4" t="s">
        <v>174</v>
      </c>
      <c r="AM735" s="4" t="s">
        <v>175</v>
      </c>
    </row>
    <row r="736" customFormat="false" ht="23.85" hidden="false" customHeight="false" outlineLevel="0" collapsed="false">
      <c r="A736" s="4" t="s">
        <v>167</v>
      </c>
      <c r="B736" s="4" t="s">
        <v>913</v>
      </c>
      <c r="C736" s="4" t="s">
        <v>913</v>
      </c>
      <c r="D736" s="12" t="n">
        <v>2021</v>
      </c>
      <c r="E736" s="4"/>
      <c r="F736" s="4" t="s">
        <v>169</v>
      </c>
      <c r="G736" s="4" t="s">
        <v>170</v>
      </c>
      <c r="H736" s="4" t="s">
        <v>171</v>
      </c>
      <c r="I736" s="4" t="s">
        <v>172</v>
      </c>
      <c r="J736" s="4" t="s">
        <v>913</v>
      </c>
      <c r="K736" s="4" t="s">
        <v>91</v>
      </c>
      <c r="L736" s="4" t="s">
        <v>92</v>
      </c>
      <c r="M736" s="4"/>
      <c r="N736" s="4"/>
      <c r="O736" s="4"/>
      <c r="P736" s="4"/>
      <c r="Q736" s="4"/>
      <c r="R736" s="4"/>
      <c r="S736" s="13" t="n">
        <v>-5556.35</v>
      </c>
      <c r="T736" s="4" t="s">
        <v>173</v>
      </c>
      <c r="U736" s="14" t="n">
        <f aca="false">IF(OR($S736="",PARAMETROS!$B$4=""),"",$S736*PARAMETROS!$B$4)</f>
        <v>-32282.3935</v>
      </c>
      <c r="V736" s="13" t="n">
        <v>0</v>
      </c>
      <c r="W736" s="4"/>
      <c r="X736" s="4"/>
      <c r="Y736" s="4"/>
      <c r="Z736" s="4"/>
      <c r="AA736" s="4"/>
      <c r="AB736" s="4"/>
      <c r="AC736" s="4"/>
      <c r="AD736" s="4"/>
      <c r="AE736" s="4"/>
      <c r="AF736" s="4"/>
      <c r="AG736" s="4"/>
      <c r="AH736" s="4"/>
      <c r="AI736" s="4"/>
      <c r="AJ736" s="4"/>
      <c r="AK736" s="4"/>
      <c r="AL736" s="4" t="s">
        <v>174</v>
      </c>
      <c r="AM736" s="4" t="s">
        <v>175</v>
      </c>
    </row>
    <row r="737" customFormat="false" ht="23.85" hidden="false" customHeight="false" outlineLevel="0" collapsed="false">
      <c r="A737" s="4" t="s">
        <v>167</v>
      </c>
      <c r="B737" s="4" t="s">
        <v>914</v>
      </c>
      <c r="C737" s="4" t="s">
        <v>914</v>
      </c>
      <c r="D737" s="12" t="n">
        <v>2021</v>
      </c>
      <c r="E737" s="4"/>
      <c r="F737" s="4" t="s">
        <v>169</v>
      </c>
      <c r="G737" s="4" t="s">
        <v>170</v>
      </c>
      <c r="H737" s="4" t="s">
        <v>171</v>
      </c>
      <c r="I737" s="4" t="s">
        <v>172</v>
      </c>
      <c r="J737" s="4" t="s">
        <v>914</v>
      </c>
      <c r="K737" s="4" t="s">
        <v>91</v>
      </c>
      <c r="L737" s="4" t="s">
        <v>92</v>
      </c>
      <c r="M737" s="4"/>
      <c r="N737" s="4"/>
      <c r="O737" s="4"/>
      <c r="P737" s="4"/>
      <c r="Q737" s="4"/>
      <c r="R737" s="4"/>
      <c r="S737" s="13" t="n">
        <v>0</v>
      </c>
      <c r="T737" s="4" t="s">
        <v>173</v>
      </c>
      <c r="U737" s="14" t="n">
        <f aca="false">IF(OR($S737="",PARAMETROS!$B$4=""),"",$S737*PARAMETROS!$B$4)</f>
        <v>0</v>
      </c>
      <c r="V737" s="13" t="n">
        <v>0</v>
      </c>
      <c r="W737" s="4"/>
      <c r="X737" s="4"/>
      <c r="Y737" s="4"/>
      <c r="Z737" s="4"/>
      <c r="AA737" s="4"/>
      <c r="AB737" s="4"/>
      <c r="AC737" s="4"/>
      <c r="AD737" s="4"/>
      <c r="AE737" s="4"/>
      <c r="AF737" s="4"/>
      <c r="AG737" s="4"/>
      <c r="AH737" s="4"/>
      <c r="AI737" s="4"/>
      <c r="AJ737" s="4"/>
      <c r="AK737" s="4"/>
      <c r="AL737" s="4" t="s">
        <v>174</v>
      </c>
      <c r="AM737" s="4" t="s">
        <v>175</v>
      </c>
    </row>
    <row r="738" customFormat="false" ht="23.85" hidden="false" customHeight="false" outlineLevel="0" collapsed="false">
      <c r="A738" s="4" t="s">
        <v>167</v>
      </c>
      <c r="B738" s="4" t="s">
        <v>915</v>
      </c>
      <c r="C738" s="4" t="s">
        <v>915</v>
      </c>
      <c r="D738" s="12" t="n">
        <v>2021</v>
      </c>
      <c r="E738" s="4"/>
      <c r="F738" s="4" t="s">
        <v>169</v>
      </c>
      <c r="G738" s="4" t="s">
        <v>170</v>
      </c>
      <c r="H738" s="4" t="s">
        <v>171</v>
      </c>
      <c r="I738" s="4" t="s">
        <v>172</v>
      </c>
      <c r="J738" s="4" t="s">
        <v>915</v>
      </c>
      <c r="K738" s="4" t="s">
        <v>91</v>
      </c>
      <c r="L738" s="4" t="s">
        <v>92</v>
      </c>
      <c r="M738" s="4"/>
      <c r="N738" s="4"/>
      <c r="O738" s="4"/>
      <c r="P738" s="4"/>
      <c r="Q738" s="4"/>
      <c r="R738" s="4"/>
      <c r="S738" s="13" t="n">
        <v>0</v>
      </c>
      <c r="T738" s="4" t="s">
        <v>173</v>
      </c>
      <c r="U738" s="14" t="n">
        <f aca="false">IF(OR($S738="",PARAMETROS!$B$4=""),"",$S738*PARAMETROS!$B$4)</f>
        <v>0</v>
      </c>
      <c r="V738" s="13" t="n">
        <v>0</v>
      </c>
      <c r="W738" s="4"/>
      <c r="X738" s="4"/>
      <c r="Y738" s="4"/>
      <c r="Z738" s="4"/>
      <c r="AA738" s="4"/>
      <c r="AB738" s="4"/>
      <c r="AC738" s="4"/>
      <c r="AD738" s="4"/>
      <c r="AE738" s="4"/>
      <c r="AF738" s="4"/>
      <c r="AG738" s="4"/>
      <c r="AH738" s="4"/>
      <c r="AI738" s="4"/>
      <c r="AJ738" s="4"/>
      <c r="AK738" s="4"/>
      <c r="AL738" s="4" t="s">
        <v>174</v>
      </c>
      <c r="AM738" s="4" t="s">
        <v>175</v>
      </c>
    </row>
    <row r="739" customFormat="false" ht="23.85" hidden="false" customHeight="false" outlineLevel="0" collapsed="false">
      <c r="A739" s="4" t="s">
        <v>167</v>
      </c>
      <c r="B739" s="4" t="s">
        <v>916</v>
      </c>
      <c r="C739" s="4" t="s">
        <v>916</v>
      </c>
      <c r="D739" s="12" t="n">
        <v>2021</v>
      </c>
      <c r="E739" s="4"/>
      <c r="F739" s="4" t="s">
        <v>169</v>
      </c>
      <c r="G739" s="4" t="s">
        <v>170</v>
      </c>
      <c r="H739" s="4" t="s">
        <v>171</v>
      </c>
      <c r="I739" s="4" t="s">
        <v>172</v>
      </c>
      <c r="J739" s="4" t="s">
        <v>916</v>
      </c>
      <c r="K739" s="4" t="s">
        <v>91</v>
      </c>
      <c r="L739" s="4" t="s">
        <v>92</v>
      </c>
      <c r="M739" s="4"/>
      <c r="N739" s="4"/>
      <c r="O739" s="4"/>
      <c r="P739" s="4"/>
      <c r="Q739" s="4"/>
      <c r="R739" s="4"/>
      <c r="S739" s="13" t="n">
        <v>0</v>
      </c>
      <c r="T739" s="4" t="s">
        <v>173</v>
      </c>
      <c r="U739" s="14" t="n">
        <f aca="false">IF(OR($S739="",PARAMETROS!$B$4=""),"",$S739*PARAMETROS!$B$4)</f>
        <v>0</v>
      </c>
      <c r="V739" s="13" t="n">
        <v>0</v>
      </c>
      <c r="W739" s="4"/>
      <c r="X739" s="4"/>
      <c r="Y739" s="4"/>
      <c r="Z739" s="4"/>
      <c r="AA739" s="4"/>
      <c r="AB739" s="4"/>
      <c r="AC739" s="4"/>
      <c r="AD739" s="4"/>
      <c r="AE739" s="4"/>
      <c r="AF739" s="4"/>
      <c r="AG739" s="4"/>
      <c r="AH739" s="4"/>
      <c r="AI739" s="4"/>
      <c r="AJ739" s="4"/>
      <c r="AK739" s="4"/>
      <c r="AL739" s="4" t="s">
        <v>174</v>
      </c>
      <c r="AM739" s="4" t="s">
        <v>175</v>
      </c>
    </row>
    <row r="740" customFormat="false" ht="23.85" hidden="false" customHeight="false" outlineLevel="0" collapsed="false">
      <c r="A740" s="4" t="s">
        <v>167</v>
      </c>
      <c r="B740" s="4" t="s">
        <v>917</v>
      </c>
      <c r="C740" s="4" t="s">
        <v>917</v>
      </c>
      <c r="D740" s="12" t="n">
        <v>2021</v>
      </c>
      <c r="E740" s="4"/>
      <c r="F740" s="4" t="s">
        <v>169</v>
      </c>
      <c r="G740" s="4" t="s">
        <v>170</v>
      </c>
      <c r="H740" s="4" t="s">
        <v>171</v>
      </c>
      <c r="I740" s="4" t="s">
        <v>172</v>
      </c>
      <c r="J740" s="4" t="s">
        <v>917</v>
      </c>
      <c r="K740" s="4" t="s">
        <v>91</v>
      </c>
      <c r="L740" s="4" t="s">
        <v>92</v>
      </c>
      <c r="M740" s="4"/>
      <c r="N740" s="4"/>
      <c r="O740" s="4"/>
      <c r="P740" s="4"/>
      <c r="Q740" s="4"/>
      <c r="R740" s="4"/>
      <c r="S740" s="13" t="n">
        <v>0</v>
      </c>
      <c r="T740" s="4" t="s">
        <v>173</v>
      </c>
      <c r="U740" s="14" t="n">
        <f aca="false">IF(OR($S740="",PARAMETROS!$B$4=""),"",$S740*PARAMETROS!$B$4)</f>
        <v>0</v>
      </c>
      <c r="V740" s="13" t="n">
        <v>0</v>
      </c>
      <c r="W740" s="4"/>
      <c r="X740" s="4"/>
      <c r="Y740" s="4"/>
      <c r="Z740" s="4"/>
      <c r="AA740" s="4"/>
      <c r="AB740" s="4"/>
      <c r="AC740" s="4"/>
      <c r="AD740" s="4"/>
      <c r="AE740" s="4"/>
      <c r="AF740" s="4"/>
      <c r="AG740" s="4"/>
      <c r="AH740" s="4"/>
      <c r="AI740" s="4"/>
      <c r="AJ740" s="4"/>
      <c r="AK740" s="4"/>
      <c r="AL740" s="4" t="s">
        <v>174</v>
      </c>
      <c r="AM740" s="4" t="s">
        <v>175</v>
      </c>
    </row>
    <row r="741" customFormat="false" ht="23.85" hidden="false" customHeight="false" outlineLevel="0" collapsed="false">
      <c r="A741" s="4" t="s">
        <v>167</v>
      </c>
      <c r="B741" s="4" t="s">
        <v>918</v>
      </c>
      <c r="C741" s="4" t="s">
        <v>918</v>
      </c>
      <c r="D741" s="12" t="n">
        <v>2021</v>
      </c>
      <c r="E741" s="4"/>
      <c r="F741" s="4" t="s">
        <v>169</v>
      </c>
      <c r="G741" s="4" t="s">
        <v>170</v>
      </c>
      <c r="H741" s="4" t="s">
        <v>171</v>
      </c>
      <c r="I741" s="4" t="s">
        <v>172</v>
      </c>
      <c r="J741" s="4" t="s">
        <v>918</v>
      </c>
      <c r="K741" s="4" t="s">
        <v>91</v>
      </c>
      <c r="L741" s="4" t="s">
        <v>92</v>
      </c>
      <c r="M741" s="4"/>
      <c r="N741" s="4"/>
      <c r="O741" s="4"/>
      <c r="P741" s="4"/>
      <c r="Q741" s="4"/>
      <c r="R741" s="4"/>
      <c r="S741" s="13" t="n">
        <v>0</v>
      </c>
      <c r="T741" s="4" t="s">
        <v>173</v>
      </c>
      <c r="U741" s="14" t="n">
        <f aca="false">IF(OR($S741="",PARAMETROS!$B$4=""),"",$S741*PARAMETROS!$B$4)</f>
        <v>0</v>
      </c>
      <c r="V741" s="13" t="n">
        <v>0</v>
      </c>
      <c r="W741" s="4"/>
      <c r="X741" s="4"/>
      <c r="Y741" s="4"/>
      <c r="Z741" s="4"/>
      <c r="AA741" s="4"/>
      <c r="AB741" s="4"/>
      <c r="AC741" s="4"/>
      <c r="AD741" s="4"/>
      <c r="AE741" s="4"/>
      <c r="AF741" s="4"/>
      <c r="AG741" s="4"/>
      <c r="AH741" s="4"/>
      <c r="AI741" s="4"/>
      <c r="AJ741" s="4"/>
      <c r="AK741" s="4"/>
      <c r="AL741" s="4" t="s">
        <v>174</v>
      </c>
      <c r="AM741" s="4" t="s">
        <v>175</v>
      </c>
    </row>
    <row r="742" customFormat="false" ht="23.85" hidden="false" customHeight="false" outlineLevel="0" collapsed="false">
      <c r="A742" s="4" t="s">
        <v>167</v>
      </c>
      <c r="B742" s="4" t="s">
        <v>919</v>
      </c>
      <c r="C742" s="4" t="s">
        <v>919</v>
      </c>
      <c r="D742" s="12" t="n">
        <v>2021</v>
      </c>
      <c r="E742" s="4"/>
      <c r="F742" s="4" t="s">
        <v>169</v>
      </c>
      <c r="G742" s="4" t="s">
        <v>170</v>
      </c>
      <c r="H742" s="4" t="s">
        <v>171</v>
      </c>
      <c r="I742" s="4" t="s">
        <v>172</v>
      </c>
      <c r="J742" s="4" t="s">
        <v>919</v>
      </c>
      <c r="K742" s="4" t="s">
        <v>91</v>
      </c>
      <c r="L742" s="4" t="s">
        <v>92</v>
      </c>
      <c r="M742" s="4"/>
      <c r="N742" s="4"/>
      <c r="O742" s="4"/>
      <c r="P742" s="4"/>
      <c r="Q742" s="4"/>
      <c r="R742" s="4"/>
      <c r="S742" s="13" t="n">
        <v>0</v>
      </c>
      <c r="T742" s="4" t="s">
        <v>173</v>
      </c>
      <c r="U742" s="14" t="n">
        <f aca="false">IF(OR($S742="",PARAMETROS!$B$4=""),"",$S742*PARAMETROS!$B$4)</f>
        <v>0</v>
      </c>
      <c r="V742" s="13" t="n">
        <v>0</v>
      </c>
      <c r="W742" s="4"/>
      <c r="X742" s="4"/>
      <c r="Y742" s="4"/>
      <c r="Z742" s="4"/>
      <c r="AA742" s="4"/>
      <c r="AB742" s="4"/>
      <c r="AC742" s="4"/>
      <c r="AD742" s="4"/>
      <c r="AE742" s="4"/>
      <c r="AF742" s="4"/>
      <c r="AG742" s="4"/>
      <c r="AH742" s="4"/>
      <c r="AI742" s="4"/>
      <c r="AJ742" s="4"/>
      <c r="AK742" s="4"/>
      <c r="AL742" s="4" t="s">
        <v>174</v>
      </c>
      <c r="AM742" s="4" t="s">
        <v>175</v>
      </c>
    </row>
    <row r="743" customFormat="false" ht="23.85" hidden="false" customHeight="false" outlineLevel="0" collapsed="false">
      <c r="A743" s="4" t="s">
        <v>167</v>
      </c>
      <c r="B743" s="4" t="s">
        <v>920</v>
      </c>
      <c r="C743" s="4" t="s">
        <v>920</v>
      </c>
      <c r="D743" s="12" t="n">
        <v>2021</v>
      </c>
      <c r="E743" s="4"/>
      <c r="F743" s="4" t="s">
        <v>169</v>
      </c>
      <c r="G743" s="4" t="s">
        <v>170</v>
      </c>
      <c r="H743" s="4" t="s">
        <v>171</v>
      </c>
      <c r="I743" s="4" t="s">
        <v>172</v>
      </c>
      <c r="J743" s="4" t="s">
        <v>920</v>
      </c>
      <c r="K743" s="4" t="s">
        <v>91</v>
      </c>
      <c r="L743" s="4" t="s">
        <v>92</v>
      </c>
      <c r="M743" s="4"/>
      <c r="N743" s="4"/>
      <c r="O743" s="4"/>
      <c r="P743" s="4"/>
      <c r="Q743" s="4"/>
      <c r="R743" s="4"/>
      <c r="S743" s="13" t="n">
        <v>0</v>
      </c>
      <c r="T743" s="4" t="s">
        <v>173</v>
      </c>
      <c r="U743" s="14" t="n">
        <f aca="false">IF(OR($S743="",PARAMETROS!$B$4=""),"",$S743*PARAMETROS!$B$4)</f>
        <v>0</v>
      </c>
      <c r="V743" s="13" t="n">
        <v>0</v>
      </c>
      <c r="W743" s="4"/>
      <c r="X743" s="4"/>
      <c r="Y743" s="4"/>
      <c r="Z743" s="4"/>
      <c r="AA743" s="4"/>
      <c r="AB743" s="4"/>
      <c r="AC743" s="4"/>
      <c r="AD743" s="4"/>
      <c r="AE743" s="4"/>
      <c r="AF743" s="4"/>
      <c r="AG743" s="4"/>
      <c r="AH743" s="4"/>
      <c r="AI743" s="4"/>
      <c r="AJ743" s="4"/>
      <c r="AK743" s="4"/>
      <c r="AL743" s="4" t="s">
        <v>174</v>
      </c>
      <c r="AM743" s="4" t="s">
        <v>175</v>
      </c>
    </row>
    <row r="744" customFormat="false" ht="23.85" hidden="false" customHeight="false" outlineLevel="0" collapsed="false">
      <c r="A744" s="4" t="s">
        <v>167</v>
      </c>
      <c r="B744" s="4" t="s">
        <v>921</v>
      </c>
      <c r="C744" s="4" t="s">
        <v>921</v>
      </c>
      <c r="D744" s="12" t="n">
        <v>2021</v>
      </c>
      <c r="E744" s="4"/>
      <c r="F744" s="4" t="s">
        <v>169</v>
      </c>
      <c r="G744" s="4" t="s">
        <v>170</v>
      </c>
      <c r="H744" s="4" t="s">
        <v>171</v>
      </c>
      <c r="I744" s="4" t="s">
        <v>172</v>
      </c>
      <c r="J744" s="4" t="s">
        <v>921</v>
      </c>
      <c r="K744" s="4" t="s">
        <v>93</v>
      </c>
      <c r="L744" s="4" t="s">
        <v>94</v>
      </c>
      <c r="M744" s="4"/>
      <c r="N744" s="4"/>
      <c r="O744" s="4"/>
      <c r="P744" s="4"/>
      <c r="Q744" s="4"/>
      <c r="R744" s="4"/>
      <c r="S744" s="13" t="n">
        <v>82.39</v>
      </c>
      <c r="T744" s="4" t="s">
        <v>173</v>
      </c>
      <c r="U744" s="14" t="n">
        <f aca="false">IF(OR($S744="",PARAMETROS!$B$4=""),"",$S744*PARAMETROS!$B$4)</f>
        <v>478.6859</v>
      </c>
      <c r="V744" s="13" t="n">
        <v>0</v>
      </c>
      <c r="W744" s="4"/>
      <c r="X744" s="4"/>
      <c r="Y744" s="4"/>
      <c r="Z744" s="4"/>
      <c r="AA744" s="4"/>
      <c r="AB744" s="4"/>
      <c r="AC744" s="4"/>
      <c r="AD744" s="4"/>
      <c r="AE744" s="4"/>
      <c r="AF744" s="4"/>
      <c r="AG744" s="4"/>
      <c r="AH744" s="4"/>
      <c r="AI744" s="4"/>
      <c r="AJ744" s="4"/>
      <c r="AK744" s="4"/>
      <c r="AL744" s="4" t="s">
        <v>174</v>
      </c>
      <c r="AM744" s="4" t="s">
        <v>190</v>
      </c>
    </row>
    <row r="745" customFormat="false" ht="23.85" hidden="false" customHeight="false" outlineLevel="0" collapsed="false">
      <c r="A745" s="4" t="s">
        <v>167</v>
      </c>
      <c r="B745" s="4" t="s">
        <v>922</v>
      </c>
      <c r="C745" s="4" t="s">
        <v>922</v>
      </c>
      <c r="D745" s="12" t="n">
        <v>2021</v>
      </c>
      <c r="E745" s="4"/>
      <c r="F745" s="4" t="s">
        <v>169</v>
      </c>
      <c r="G745" s="4" t="s">
        <v>170</v>
      </c>
      <c r="H745" s="4" t="s">
        <v>171</v>
      </c>
      <c r="I745" s="4" t="s">
        <v>172</v>
      </c>
      <c r="J745" s="4" t="s">
        <v>922</v>
      </c>
      <c r="K745" s="4" t="s">
        <v>93</v>
      </c>
      <c r="L745" s="4" t="s">
        <v>94</v>
      </c>
      <c r="M745" s="4"/>
      <c r="N745" s="4"/>
      <c r="O745" s="4"/>
      <c r="P745" s="4"/>
      <c r="Q745" s="4"/>
      <c r="R745" s="4"/>
      <c r="S745" s="13" t="n">
        <v>0</v>
      </c>
      <c r="T745" s="4" t="s">
        <v>173</v>
      </c>
      <c r="U745" s="14" t="n">
        <f aca="false">IF(OR($S745="",PARAMETROS!$B$4=""),"",$S745*PARAMETROS!$B$4)</f>
        <v>0</v>
      </c>
      <c r="V745" s="13" t="n">
        <v>0</v>
      </c>
      <c r="W745" s="4"/>
      <c r="X745" s="4"/>
      <c r="Y745" s="4"/>
      <c r="Z745" s="4"/>
      <c r="AA745" s="4"/>
      <c r="AB745" s="4"/>
      <c r="AC745" s="4"/>
      <c r="AD745" s="4"/>
      <c r="AE745" s="4"/>
      <c r="AF745" s="4"/>
      <c r="AG745" s="4"/>
      <c r="AH745" s="4"/>
      <c r="AI745" s="4"/>
      <c r="AJ745" s="4"/>
      <c r="AK745" s="4"/>
      <c r="AL745" s="4" t="s">
        <v>174</v>
      </c>
      <c r="AM745" s="4" t="s">
        <v>190</v>
      </c>
    </row>
    <row r="746" customFormat="false" ht="23.85" hidden="false" customHeight="false" outlineLevel="0" collapsed="false">
      <c r="A746" s="4" t="s">
        <v>167</v>
      </c>
      <c r="B746" s="4" t="s">
        <v>923</v>
      </c>
      <c r="C746" s="4" t="s">
        <v>923</v>
      </c>
      <c r="D746" s="12" t="n">
        <v>2021</v>
      </c>
      <c r="E746" s="4"/>
      <c r="F746" s="4" t="s">
        <v>169</v>
      </c>
      <c r="G746" s="4" t="s">
        <v>170</v>
      </c>
      <c r="H746" s="4" t="s">
        <v>171</v>
      </c>
      <c r="I746" s="4" t="s">
        <v>172</v>
      </c>
      <c r="J746" s="4" t="s">
        <v>923</v>
      </c>
      <c r="K746" s="4" t="s">
        <v>93</v>
      </c>
      <c r="L746" s="4" t="s">
        <v>94</v>
      </c>
      <c r="M746" s="4"/>
      <c r="N746" s="4"/>
      <c r="O746" s="4"/>
      <c r="P746" s="4"/>
      <c r="Q746" s="4"/>
      <c r="R746" s="4"/>
      <c r="S746" s="13" t="n">
        <v>0</v>
      </c>
      <c r="T746" s="4" t="s">
        <v>173</v>
      </c>
      <c r="U746" s="14" t="n">
        <f aca="false">IF(OR($S746="",PARAMETROS!$B$4=""),"",$S746*PARAMETROS!$B$4)</f>
        <v>0</v>
      </c>
      <c r="V746" s="13" t="n">
        <v>0</v>
      </c>
      <c r="W746" s="4"/>
      <c r="X746" s="4"/>
      <c r="Y746" s="4"/>
      <c r="Z746" s="4"/>
      <c r="AA746" s="4"/>
      <c r="AB746" s="4"/>
      <c r="AC746" s="4"/>
      <c r="AD746" s="4"/>
      <c r="AE746" s="4"/>
      <c r="AF746" s="4"/>
      <c r="AG746" s="4"/>
      <c r="AH746" s="4"/>
      <c r="AI746" s="4"/>
      <c r="AJ746" s="4"/>
      <c r="AK746" s="4"/>
      <c r="AL746" s="4" t="s">
        <v>174</v>
      </c>
      <c r="AM746" s="4" t="s">
        <v>190</v>
      </c>
    </row>
    <row r="747" customFormat="false" ht="23.85" hidden="false" customHeight="false" outlineLevel="0" collapsed="false">
      <c r="A747" s="4" t="s">
        <v>167</v>
      </c>
      <c r="B747" s="4" t="s">
        <v>924</v>
      </c>
      <c r="C747" s="4" t="s">
        <v>924</v>
      </c>
      <c r="D747" s="12" t="n">
        <v>2021</v>
      </c>
      <c r="E747" s="4"/>
      <c r="F747" s="4" t="s">
        <v>169</v>
      </c>
      <c r="G747" s="4" t="s">
        <v>170</v>
      </c>
      <c r="H747" s="4" t="s">
        <v>171</v>
      </c>
      <c r="I747" s="4" t="s">
        <v>172</v>
      </c>
      <c r="J747" s="4" t="s">
        <v>924</v>
      </c>
      <c r="K747" s="4" t="s">
        <v>93</v>
      </c>
      <c r="L747" s="4" t="s">
        <v>94</v>
      </c>
      <c r="M747" s="4"/>
      <c r="N747" s="4"/>
      <c r="O747" s="4"/>
      <c r="P747" s="4"/>
      <c r="Q747" s="4"/>
      <c r="R747" s="4"/>
      <c r="S747" s="13" t="n">
        <v>0</v>
      </c>
      <c r="T747" s="4" t="s">
        <v>173</v>
      </c>
      <c r="U747" s="14" t="n">
        <f aca="false">IF(OR($S747="",PARAMETROS!$B$4=""),"",$S747*PARAMETROS!$B$4)</f>
        <v>0</v>
      </c>
      <c r="V747" s="13" t="n">
        <v>0</v>
      </c>
      <c r="W747" s="4"/>
      <c r="X747" s="4"/>
      <c r="Y747" s="4"/>
      <c r="Z747" s="4"/>
      <c r="AA747" s="4"/>
      <c r="AB747" s="4"/>
      <c r="AC747" s="4"/>
      <c r="AD747" s="4"/>
      <c r="AE747" s="4"/>
      <c r="AF747" s="4"/>
      <c r="AG747" s="4"/>
      <c r="AH747" s="4"/>
      <c r="AI747" s="4"/>
      <c r="AJ747" s="4"/>
      <c r="AK747" s="4"/>
      <c r="AL747" s="4" t="s">
        <v>174</v>
      </c>
      <c r="AM747" s="4" t="s">
        <v>190</v>
      </c>
    </row>
    <row r="748" customFormat="false" ht="23.85" hidden="false" customHeight="false" outlineLevel="0" collapsed="false">
      <c r="A748" s="4" t="s">
        <v>167</v>
      </c>
      <c r="B748" s="4" t="s">
        <v>925</v>
      </c>
      <c r="C748" s="4" t="s">
        <v>925</v>
      </c>
      <c r="D748" s="12" t="n">
        <v>2021</v>
      </c>
      <c r="E748" s="4"/>
      <c r="F748" s="4" t="s">
        <v>169</v>
      </c>
      <c r="G748" s="4" t="s">
        <v>170</v>
      </c>
      <c r="H748" s="4" t="s">
        <v>171</v>
      </c>
      <c r="I748" s="4" t="s">
        <v>172</v>
      </c>
      <c r="J748" s="4" t="s">
        <v>925</v>
      </c>
      <c r="K748" s="4" t="s">
        <v>93</v>
      </c>
      <c r="L748" s="4" t="s">
        <v>94</v>
      </c>
      <c r="M748" s="4"/>
      <c r="N748" s="4"/>
      <c r="O748" s="4"/>
      <c r="P748" s="4"/>
      <c r="Q748" s="4"/>
      <c r="R748" s="4"/>
      <c r="S748" s="13" t="n">
        <v>0</v>
      </c>
      <c r="T748" s="4" t="s">
        <v>173</v>
      </c>
      <c r="U748" s="14" t="n">
        <f aca="false">IF(OR($S748="",PARAMETROS!$B$4=""),"",$S748*PARAMETROS!$B$4)</f>
        <v>0</v>
      </c>
      <c r="V748" s="13" t="n">
        <v>0</v>
      </c>
      <c r="W748" s="4"/>
      <c r="X748" s="4"/>
      <c r="Y748" s="4"/>
      <c r="Z748" s="4"/>
      <c r="AA748" s="4"/>
      <c r="AB748" s="4"/>
      <c r="AC748" s="4"/>
      <c r="AD748" s="4"/>
      <c r="AE748" s="4"/>
      <c r="AF748" s="4"/>
      <c r="AG748" s="4"/>
      <c r="AH748" s="4"/>
      <c r="AI748" s="4"/>
      <c r="AJ748" s="4"/>
      <c r="AK748" s="4"/>
      <c r="AL748" s="4" t="s">
        <v>174</v>
      </c>
      <c r="AM748" s="4" t="s">
        <v>190</v>
      </c>
    </row>
    <row r="749" customFormat="false" ht="23.85" hidden="false" customHeight="false" outlineLevel="0" collapsed="false">
      <c r="A749" s="4" t="s">
        <v>167</v>
      </c>
      <c r="B749" s="4" t="s">
        <v>926</v>
      </c>
      <c r="C749" s="4" t="s">
        <v>926</v>
      </c>
      <c r="D749" s="12" t="n">
        <v>2021</v>
      </c>
      <c r="E749" s="4"/>
      <c r="F749" s="4" t="s">
        <v>169</v>
      </c>
      <c r="G749" s="4" t="s">
        <v>170</v>
      </c>
      <c r="H749" s="4" t="s">
        <v>171</v>
      </c>
      <c r="I749" s="4" t="s">
        <v>172</v>
      </c>
      <c r="J749" s="4" t="s">
        <v>926</v>
      </c>
      <c r="K749" s="4" t="s">
        <v>93</v>
      </c>
      <c r="L749" s="4" t="s">
        <v>94</v>
      </c>
      <c r="M749" s="4"/>
      <c r="N749" s="4"/>
      <c r="O749" s="4"/>
      <c r="P749" s="4"/>
      <c r="Q749" s="4"/>
      <c r="R749" s="4"/>
      <c r="S749" s="13" t="n">
        <v>-82.39</v>
      </c>
      <c r="T749" s="4" t="s">
        <v>173</v>
      </c>
      <c r="U749" s="14" t="n">
        <f aca="false">IF(OR($S749="",PARAMETROS!$B$4=""),"",$S749*PARAMETROS!$B$4)</f>
        <v>-478.6859</v>
      </c>
      <c r="V749" s="13" t="n">
        <v>0</v>
      </c>
      <c r="W749" s="4"/>
      <c r="X749" s="4"/>
      <c r="Y749" s="4"/>
      <c r="Z749" s="4"/>
      <c r="AA749" s="4"/>
      <c r="AB749" s="4"/>
      <c r="AC749" s="4"/>
      <c r="AD749" s="4"/>
      <c r="AE749" s="4"/>
      <c r="AF749" s="4"/>
      <c r="AG749" s="4"/>
      <c r="AH749" s="4"/>
      <c r="AI749" s="4"/>
      <c r="AJ749" s="4"/>
      <c r="AK749" s="4"/>
      <c r="AL749" s="4" t="s">
        <v>174</v>
      </c>
      <c r="AM749" s="4" t="s">
        <v>190</v>
      </c>
    </row>
    <row r="750" customFormat="false" ht="23.85" hidden="false" customHeight="false" outlineLevel="0" collapsed="false">
      <c r="A750" s="4" t="s">
        <v>167</v>
      </c>
      <c r="B750" s="4" t="s">
        <v>927</v>
      </c>
      <c r="C750" s="4" t="s">
        <v>927</v>
      </c>
      <c r="D750" s="12" t="n">
        <v>2021</v>
      </c>
      <c r="E750" s="4"/>
      <c r="F750" s="4" t="s">
        <v>169</v>
      </c>
      <c r="G750" s="4" t="s">
        <v>170</v>
      </c>
      <c r="H750" s="4" t="s">
        <v>171</v>
      </c>
      <c r="I750" s="4" t="s">
        <v>172</v>
      </c>
      <c r="J750" s="4" t="s">
        <v>927</v>
      </c>
      <c r="K750" s="4" t="s">
        <v>93</v>
      </c>
      <c r="L750" s="4" t="s">
        <v>94</v>
      </c>
      <c r="M750" s="4"/>
      <c r="N750" s="4"/>
      <c r="O750" s="4"/>
      <c r="P750" s="4"/>
      <c r="Q750" s="4"/>
      <c r="R750" s="4"/>
      <c r="S750" s="13" t="n">
        <v>0</v>
      </c>
      <c r="T750" s="4" t="s">
        <v>173</v>
      </c>
      <c r="U750" s="14" t="n">
        <f aca="false">IF(OR($S750="",PARAMETROS!$B$4=""),"",$S750*PARAMETROS!$B$4)</f>
        <v>0</v>
      </c>
      <c r="V750" s="13" t="n">
        <v>0</v>
      </c>
      <c r="W750" s="4"/>
      <c r="X750" s="4"/>
      <c r="Y750" s="4"/>
      <c r="Z750" s="4"/>
      <c r="AA750" s="4"/>
      <c r="AB750" s="4"/>
      <c r="AC750" s="4"/>
      <c r="AD750" s="4"/>
      <c r="AE750" s="4"/>
      <c r="AF750" s="4"/>
      <c r="AG750" s="4"/>
      <c r="AH750" s="4"/>
      <c r="AI750" s="4"/>
      <c r="AJ750" s="4"/>
      <c r="AK750" s="4"/>
      <c r="AL750" s="4" t="s">
        <v>174</v>
      </c>
      <c r="AM750" s="4" t="s">
        <v>190</v>
      </c>
    </row>
    <row r="751" customFormat="false" ht="23.85" hidden="false" customHeight="false" outlineLevel="0" collapsed="false">
      <c r="A751" s="4" t="s">
        <v>167</v>
      </c>
      <c r="B751" s="4" t="s">
        <v>928</v>
      </c>
      <c r="C751" s="4" t="s">
        <v>928</v>
      </c>
      <c r="D751" s="12" t="n">
        <v>2021</v>
      </c>
      <c r="E751" s="4"/>
      <c r="F751" s="4" t="s">
        <v>169</v>
      </c>
      <c r="G751" s="4" t="s">
        <v>170</v>
      </c>
      <c r="H751" s="4" t="s">
        <v>171</v>
      </c>
      <c r="I751" s="4" t="s">
        <v>172</v>
      </c>
      <c r="J751" s="4" t="s">
        <v>928</v>
      </c>
      <c r="K751" s="4" t="s">
        <v>93</v>
      </c>
      <c r="L751" s="4" t="s">
        <v>94</v>
      </c>
      <c r="M751" s="4"/>
      <c r="N751" s="4"/>
      <c r="O751" s="4"/>
      <c r="P751" s="4"/>
      <c r="Q751" s="4"/>
      <c r="R751" s="4"/>
      <c r="S751" s="13" t="n">
        <v>0</v>
      </c>
      <c r="T751" s="4" t="s">
        <v>173</v>
      </c>
      <c r="U751" s="14" t="n">
        <f aca="false">IF(OR($S751="",PARAMETROS!$B$4=""),"",$S751*PARAMETROS!$B$4)</f>
        <v>0</v>
      </c>
      <c r="V751" s="13" t="n">
        <v>0</v>
      </c>
      <c r="W751" s="4"/>
      <c r="X751" s="4"/>
      <c r="Y751" s="4"/>
      <c r="Z751" s="4"/>
      <c r="AA751" s="4"/>
      <c r="AB751" s="4"/>
      <c r="AC751" s="4"/>
      <c r="AD751" s="4"/>
      <c r="AE751" s="4"/>
      <c r="AF751" s="4"/>
      <c r="AG751" s="4"/>
      <c r="AH751" s="4"/>
      <c r="AI751" s="4"/>
      <c r="AJ751" s="4"/>
      <c r="AK751" s="4"/>
      <c r="AL751" s="4" t="s">
        <v>174</v>
      </c>
      <c r="AM751" s="4" t="s">
        <v>190</v>
      </c>
    </row>
    <row r="752" customFormat="false" ht="23.85" hidden="false" customHeight="false" outlineLevel="0" collapsed="false">
      <c r="A752" s="4" t="s">
        <v>167</v>
      </c>
      <c r="B752" s="4" t="s">
        <v>929</v>
      </c>
      <c r="C752" s="4" t="s">
        <v>929</v>
      </c>
      <c r="D752" s="12" t="n">
        <v>2021</v>
      </c>
      <c r="E752" s="4"/>
      <c r="F752" s="4" t="s">
        <v>169</v>
      </c>
      <c r="G752" s="4" t="s">
        <v>170</v>
      </c>
      <c r="H752" s="4" t="s">
        <v>171</v>
      </c>
      <c r="I752" s="4" t="s">
        <v>172</v>
      </c>
      <c r="J752" s="4" t="s">
        <v>929</v>
      </c>
      <c r="K752" s="4" t="s">
        <v>93</v>
      </c>
      <c r="L752" s="4" t="s">
        <v>94</v>
      </c>
      <c r="M752" s="4"/>
      <c r="N752" s="4"/>
      <c r="O752" s="4"/>
      <c r="P752" s="4"/>
      <c r="Q752" s="4"/>
      <c r="R752" s="4"/>
      <c r="S752" s="13" t="n">
        <v>0</v>
      </c>
      <c r="T752" s="4" t="s">
        <v>173</v>
      </c>
      <c r="U752" s="14" t="n">
        <f aca="false">IF(OR($S752="",PARAMETROS!$B$4=""),"",$S752*PARAMETROS!$B$4)</f>
        <v>0</v>
      </c>
      <c r="V752" s="13" t="n">
        <v>0</v>
      </c>
      <c r="W752" s="4"/>
      <c r="X752" s="4"/>
      <c r="Y752" s="4"/>
      <c r="Z752" s="4"/>
      <c r="AA752" s="4"/>
      <c r="AB752" s="4"/>
      <c r="AC752" s="4"/>
      <c r="AD752" s="4"/>
      <c r="AE752" s="4"/>
      <c r="AF752" s="4"/>
      <c r="AG752" s="4"/>
      <c r="AH752" s="4"/>
      <c r="AI752" s="4"/>
      <c r="AJ752" s="4"/>
      <c r="AK752" s="4"/>
      <c r="AL752" s="4" t="s">
        <v>174</v>
      </c>
      <c r="AM752" s="4" t="s">
        <v>190</v>
      </c>
    </row>
    <row r="753" customFormat="false" ht="23.85" hidden="false" customHeight="false" outlineLevel="0" collapsed="false">
      <c r="A753" s="4" t="s">
        <v>167</v>
      </c>
      <c r="B753" s="4" t="s">
        <v>930</v>
      </c>
      <c r="C753" s="4" t="s">
        <v>930</v>
      </c>
      <c r="D753" s="12" t="n">
        <v>2021</v>
      </c>
      <c r="E753" s="4"/>
      <c r="F753" s="4" t="s">
        <v>169</v>
      </c>
      <c r="G753" s="4" t="s">
        <v>170</v>
      </c>
      <c r="H753" s="4" t="s">
        <v>171</v>
      </c>
      <c r="I753" s="4" t="s">
        <v>172</v>
      </c>
      <c r="J753" s="4" t="s">
        <v>930</v>
      </c>
      <c r="K753" s="4" t="s">
        <v>93</v>
      </c>
      <c r="L753" s="4" t="s">
        <v>94</v>
      </c>
      <c r="M753" s="4"/>
      <c r="N753" s="4"/>
      <c r="O753" s="4"/>
      <c r="P753" s="4"/>
      <c r="Q753" s="4"/>
      <c r="R753" s="4"/>
      <c r="S753" s="13" t="n">
        <v>0</v>
      </c>
      <c r="T753" s="4" t="s">
        <v>173</v>
      </c>
      <c r="U753" s="14" t="n">
        <f aca="false">IF(OR($S753="",PARAMETROS!$B$4=""),"",$S753*PARAMETROS!$B$4)</f>
        <v>0</v>
      </c>
      <c r="V753" s="13" t="n">
        <v>0</v>
      </c>
      <c r="W753" s="4"/>
      <c r="X753" s="4"/>
      <c r="Y753" s="4"/>
      <c r="Z753" s="4"/>
      <c r="AA753" s="4"/>
      <c r="AB753" s="4"/>
      <c r="AC753" s="4"/>
      <c r="AD753" s="4"/>
      <c r="AE753" s="4"/>
      <c r="AF753" s="4"/>
      <c r="AG753" s="4"/>
      <c r="AH753" s="4"/>
      <c r="AI753" s="4"/>
      <c r="AJ753" s="4"/>
      <c r="AK753" s="4"/>
      <c r="AL753" s="4" t="s">
        <v>174</v>
      </c>
      <c r="AM753" s="4" t="s">
        <v>190</v>
      </c>
    </row>
    <row r="754" customFormat="false" ht="23.85" hidden="false" customHeight="false" outlineLevel="0" collapsed="false">
      <c r="A754" s="4" t="s">
        <v>167</v>
      </c>
      <c r="B754" s="4" t="s">
        <v>931</v>
      </c>
      <c r="C754" s="4" t="s">
        <v>931</v>
      </c>
      <c r="D754" s="12" t="n">
        <v>2021</v>
      </c>
      <c r="E754" s="4"/>
      <c r="F754" s="4" t="s">
        <v>169</v>
      </c>
      <c r="G754" s="4" t="s">
        <v>170</v>
      </c>
      <c r="H754" s="4" t="s">
        <v>171</v>
      </c>
      <c r="I754" s="4" t="s">
        <v>172</v>
      </c>
      <c r="J754" s="4" t="s">
        <v>931</v>
      </c>
      <c r="K754" s="4" t="s">
        <v>93</v>
      </c>
      <c r="L754" s="4" t="s">
        <v>94</v>
      </c>
      <c r="M754" s="4"/>
      <c r="N754" s="4"/>
      <c r="O754" s="4"/>
      <c r="P754" s="4"/>
      <c r="Q754" s="4"/>
      <c r="R754" s="4"/>
      <c r="S754" s="13" t="n">
        <v>0</v>
      </c>
      <c r="T754" s="4" t="s">
        <v>173</v>
      </c>
      <c r="U754" s="14" t="n">
        <f aca="false">IF(OR($S754="",PARAMETROS!$B$4=""),"",$S754*PARAMETROS!$B$4)</f>
        <v>0</v>
      </c>
      <c r="V754" s="13" t="n">
        <v>0</v>
      </c>
      <c r="W754" s="4"/>
      <c r="X754" s="4"/>
      <c r="Y754" s="4"/>
      <c r="Z754" s="4"/>
      <c r="AA754" s="4"/>
      <c r="AB754" s="4"/>
      <c r="AC754" s="4"/>
      <c r="AD754" s="4"/>
      <c r="AE754" s="4"/>
      <c r="AF754" s="4"/>
      <c r="AG754" s="4"/>
      <c r="AH754" s="4"/>
      <c r="AI754" s="4"/>
      <c r="AJ754" s="4"/>
      <c r="AK754" s="4"/>
      <c r="AL754" s="4" t="s">
        <v>174</v>
      </c>
      <c r="AM754" s="4" t="s">
        <v>190</v>
      </c>
    </row>
    <row r="755" customFormat="false" ht="23.85" hidden="false" customHeight="false" outlineLevel="0" collapsed="false">
      <c r="A755" s="4" t="s">
        <v>167</v>
      </c>
      <c r="B755" s="4" t="s">
        <v>932</v>
      </c>
      <c r="C755" s="4" t="s">
        <v>932</v>
      </c>
      <c r="D755" s="12" t="n">
        <v>2021</v>
      </c>
      <c r="E755" s="4"/>
      <c r="F755" s="4" t="s">
        <v>169</v>
      </c>
      <c r="G755" s="4" t="s">
        <v>170</v>
      </c>
      <c r="H755" s="4" t="s">
        <v>171</v>
      </c>
      <c r="I755" s="4" t="s">
        <v>172</v>
      </c>
      <c r="J755" s="4" t="s">
        <v>932</v>
      </c>
      <c r="K755" s="4" t="s">
        <v>93</v>
      </c>
      <c r="L755" s="4" t="s">
        <v>94</v>
      </c>
      <c r="M755" s="4"/>
      <c r="N755" s="4"/>
      <c r="O755" s="4"/>
      <c r="P755" s="4"/>
      <c r="Q755" s="4"/>
      <c r="R755" s="4"/>
      <c r="S755" s="13" t="n">
        <v>0</v>
      </c>
      <c r="T755" s="4" t="s">
        <v>173</v>
      </c>
      <c r="U755" s="14" t="n">
        <f aca="false">IF(OR($S755="",PARAMETROS!$B$4=""),"",$S755*PARAMETROS!$B$4)</f>
        <v>0</v>
      </c>
      <c r="V755" s="13" t="n">
        <v>0</v>
      </c>
      <c r="W755" s="4"/>
      <c r="X755" s="4"/>
      <c r="Y755" s="4"/>
      <c r="Z755" s="4"/>
      <c r="AA755" s="4"/>
      <c r="AB755" s="4"/>
      <c r="AC755" s="4"/>
      <c r="AD755" s="4"/>
      <c r="AE755" s="4"/>
      <c r="AF755" s="4"/>
      <c r="AG755" s="4"/>
      <c r="AH755" s="4"/>
      <c r="AI755" s="4"/>
      <c r="AJ755" s="4"/>
      <c r="AK755" s="4"/>
      <c r="AL755" s="4" t="s">
        <v>174</v>
      </c>
      <c r="AM755" s="4" t="s">
        <v>190</v>
      </c>
    </row>
    <row r="756" customFormat="false" ht="23.85" hidden="false" customHeight="false" outlineLevel="0" collapsed="false">
      <c r="A756" s="4" t="s">
        <v>167</v>
      </c>
      <c r="B756" s="4" t="s">
        <v>933</v>
      </c>
      <c r="C756" s="4" t="s">
        <v>933</v>
      </c>
      <c r="D756" s="12" t="n">
        <v>2021</v>
      </c>
      <c r="E756" s="4"/>
      <c r="F756" s="4" t="s">
        <v>169</v>
      </c>
      <c r="G756" s="4" t="s">
        <v>170</v>
      </c>
      <c r="H756" s="4" t="s">
        <v>171</v>
      </c>
      <c r="I756" s="4" t="s">
        <v>172</v>
      </c>
      <c r="J756" s="4" t="s">
        <v>933</v>
      </c>
      <c r="K756" s="4" t="s">
        <v>93</v>
      </c>
      <c r="L756" s="4" t="s">
        <v>94</v>
      </c>
      <c r="M756" s="4"/>
      <c r="N756" s="4"/>
      <c r="O756" s="4"/>
      <c r="P756" s="4"/>
      <c r="Q756" s="4"/>
      <c r="R756" s="4"/>
      <c r="S756" s="13" t="n">
        <v>0</v>
      </c>
      <c r="T756" s="4" t="s">
        <v>173</v>
      </c>
      <c r="U756" s="14" t="n">
        <f aca="false">IF(OR($S756="",PARAMETROS!$B$4=""),"",$S756*PARAMETROS!$B$4)</f>
        <v>0</v>
      </c>
      <c r="V756" s="13" t="n">
        <v>0</v>
      </c>
      <c r="W756" s="4"/>
      <c r="X756" s="4"/>
      <c r="Y756" s="4"/>
      <c r="Z756" s="4"/>
      <c r="AA756" s="4"/>
      <c r="AB756" s="4"/>
      <c r="AC756" s="4"/>
      <c r="AD756" s="4"/>
      <c r="AE756" s="4"/>
      <c r="AF756" s="4"/>
      <c r="AG756" s="4"/>
      <c r="AH756" s="4"/>
      <c r="AI756" s="4"/>
      <c r="AJ756" s="4"/>
      <c r="AK756" s="4"/>
      <c r="AL756" s="4" t="s">
        <v>174</v>
      </c>
      <c r="AM756" s="4" t="s">
        <v>190</v>
      </c>
    </row>
    <row r="757" customFormat="false" ht="23.85" hidden="false" customHeight="false" outlineLevel="0" collapsed="false">
      <c r="A757" s="4" t="s">
        <v>167</v>
      </c>
      <c r="B757" s="4" t="s">
        <v>934</v>
      </c>
      <c r="C757" s="4" t="s">
        <v>934</v>
      </c>
      <c r="D757" s="12" t="n">
        <v>2021</v>
      </c>
      <c r="E757" s="4"/>
      <c r="F757" s="4" t="s">
        <v>169</v>
      </c>
      <c r="G757" s="4" t="s">
        <v>170</v>
      </c>
      <c r="H757" s="4" t="s">
        <v>171</v>
      </c>
      <c r="I757" s="4" t="s">
        <v>172</v>
      </c>
      <c r="J757" s="4" t="s">
        <v>934</v>
      </c>
      <c r="K757" s="4" t="s">
        <v>93</v>
      </c>
      <c r="L757" s="4" t="s">
        <v>94</v>
      </c>
      <c r="M757" s="4"/>
      <c r="N757" s="4"/>
      <c r="O757" s="4"/>
      <c r="P757" s="4"/>
      <c r="Q757" s="4"/>
      <c r="R757" s="4"/>
      <c r="S757" s="13" t="n">
        <v>0</v>
      </c>
      <c r="T757" s="4" t="s">
        <v>173</v>
      </c>
      <c r="U757" s="14" t="n">
        <f aca="false">IF(OR($S757="",PARAMETROS!$B$4=""),"",$S757*PARAMETROS!$B$4)</f>
        <v>0</v>
      </c>
      <c r="V757" s="13" t="n">
        <v>0</v>
      </c>
      <c r="W757" s="4"/>
      <c r="X757" s="4"/>
      <c r="Y757" s="4"/>
      <c r="Z757" s="4"/>
      <c r="AA757" s="4"/>
      <c r="AB757" s="4"/>
      <c r="AC757" s="4"/>
      <c r="AD757" s="4"/>
      <c r="AE757" s="4"/>
      <c r="AF757" s="4"/>
      <c r="AG757" s="4"/>
      <c r="AH757" s="4"/>
      <c r="AI757" s="4"/>
      <c r="AJ757" s="4"/>
      <c r="AK757" s="4"/>
      <c r="AL757" s="4" t="s">
        <v>174</v>
      </c>
      <c r="AM757" s="4" t="s">
        <v>190</v>
      </c>
    </row>
    <row r="758" customFormat="false" ht="23.85" hidden="false" customHeight="false" outlineLevel="0" collapsed="false">
      <c r="A758" s="4" t="s">
        <v>167</v>
      </c>
      <c r="B758" s="4" t="s">
        <v>935</v>
      </c>
      <c r="C758" s="4" t="s">
        <v>935</v>
      </c>
      <c r="D758" s="12" t="n">
        <v>2021</v>
      </c>
      <c r="E758" s="4"/>
      <c r="F758" s="4" t="s">
        <v>169</v>
      </c>
      <c r="G758" s="4" t="s">
        <v>170</v>
      </c>
      <c r="H758" s="4" t="s">
        <v>171</v>
      </c>
      <c r="I758" s="4" t="s">
        <v>172</v>
      </c>
      <c r="J758" s="4" t="s">
        <v>935</v>
      </c>
      <c r="K758" s="4" t="s">
        <v>76</v>
      </c>
      <c r="L758" s="4" t="s">
        <v>77</v>
      </c>
      <c r="M758" s="4"/>
      <c r="N758" s="4"/>
      <c r="O758" s="4"/>
      <c r="P758" s="4"/>
      <c r="Q758" s="4"/>
      <c r="R758" s="4"/>
      <c r="S758" s="13" t="n">
        <v>0</v>
      </c>
      <c r="T758" s="4" t="s">
        <v>173</v>
      </c>
      <c r="U758" s="14" t="n">
        <f aca="false">IF(OR($S758="",PARAMETROS!$B$4=""),"",$S758*PARAMETROS!$B$4)</f>
        <v>0</v>
      </c>
      <c r="V758" s="13" t="n">
        <v>0</v>
      </c>
      <c r="W758" s="4"/>
      <c r="X758" s="4"/>
      <c r="Y758" s="4"/>
      <c r="Z758" s="4"/>
      <c r="AA758" s="4"/>
      <c r="AB758" s="4"/>
      <c r="AC758" s="4"/>
      <c r="AD758" s="4"/>
      <c r="AE758" s="4"/>
      <c r="AF758" s="4"/>
      <c r="AG758" s="4"/>
      <c r="AH758" s="4"/>
      <c r="AI758" s="4"/>
      <c r="AJ758" s="4"/>
      <c r="AK758" s="4"/>
      <c r="AL758" s="4" t="s">
        <v>174</v>
      </c>
      <c r="AM758" s="4" t="s">
        <v>205</v>
      </c>
    </row>
    <row r="759" customFormat="false" ht="23.85" hidden="false" customHeight="false" outlineLevel="0" collapsed="false">
      <c r="A759" s="4" t="s">
        <v>167</v>
      </c>
      <c r="B759" s="4" t="s">
        <v>936</v>
      </c>
      <c r="C759" s="4" t="s">
        <v>936</v>
      </c>
      <c r="D759" s="12" t="n">
        <v>2021</v>
      </c>
      <c r="E759" s="4"/>
      <c r="F759" s="4" t="s">
        <v>169</v>
      </c>
      <c r="G759" s="4" t="s">
        <v>170</v>
      </c>
      <c r="H759" s="4" t="s">
        <v>171</v>
      </c>
      <c r="I759" s="4" t="s">
        <v>172</v>
      </c>
      <c r="J759" s="4" t="s">
        <v>936</v>
      </c>
      <c r="K759" s="4" t="s">
        <v>76</v>
      </c>
      <c r="L759" s="4" t="s">
        <v>77</v>
      </c>
      <c r="M759" s="4"/>
      <c r="N759" s="4"/>
      <c r="O759" s="4"/>
      <c r="P759" s="4"/>
      <c r="Q759" s="4"/>
      <c r="R759" s="4"/>
      <c r="S759" s="13" t="n">
        <v>11277.95</v>
      </c>
      <c r="T759" s="4" t="s">
        <v>173</v>
      </c>
      <c r="U759" s="14" t="n">
        <f aca="false">IF(OR($S759="",PARAMETROS!$B$4=""),"",$S759*PARAMETROS!$B$4)</f>
        <v>65524.8895</v>
      </c>
      <c r="V759" s="13" t="n">
        <v>0</v>
      </c>
      <c r="W759" s="4"/>
      <c r="X759" s="4"/>
      <c r="Y759" s="4"/>
      <c r="Z759" s="4"/>
      <c r="AA759" s="4"/>
      <c r="AB759" s="4"/>
      <c r="AC759" s="4"/>
      <c r="AD759" s="4"/>
      <c r="AE759" s="4"/>
      <c r="AF759" s="4"/>
      <c r="AG759" s="4"/>
      <c r="AH759" s="4"/>
      <c r="AI759" s="4"/>
      <c r="AJ759" s="4"/>
      <c r="AK759" s="4"/>
      <c r="AL759" s="4" t="s">
        <v>174</v>
      </c>
      <c r="AM759" s="4" t="s">
        <v>205</v>
      </c>
    </row>
    <row r="760" customFormat="false" ht="23.85" hidden="false" customHeight="false" outlineLevel="0" collapsed="false">
      <c r="A760" s="4" t="s">
        <v>167</v>
      </c>
      <c r="B760" s="4" t="s">
        <v>937</v>
      </c>
      <c r="C760" s="4" t="s">
        <v>937</v>
      </c>
      <c r="D760" s="12" t="n">
        <v>2021</v>
      </c>
      <c r="E760" s="4"/>
      <c r="F760" s="4" t="s">
        <v>169</v>
      </c>
      <c r="G760" s="4" t="s">
        <v>170</v>
      </c>
      <c r="H760" s="4" t="s">
        <v>171</v>
      </c>
      <c r="I760" s="4" t="s">
        <v>172</v>
      </c>
      <c r="J760" s="4" t="s">
        <v>937</v>
      </c>
      <c r="K760" s="4" t="s">
        <v>76</v>
      </c>
      <c r="L760" s="4" t="s">
        <v>77</v>
      </c>
      <c r="M760" s="4"/>
      <c r="N760" s="4"/>
      <c r="O760" s="4"/>
      <c r="P760" s="4"/>
      <c r="Q760" s="4"/>
      <c r="R760" s="4"/>
      <c r="S760" s="13" t="n">
        <v>0</v>
      </c>
      <c r="T760" s="4" t="s">
        <v>173</v>
      </c>
      <c r="U760" s="14" t="n">
        <f aca="false">IF(OR($S760="",PARAMETROS!$B$4=""),"",$S760*PARAMETROS!$B$4)</f>
        <v>0</v>
      </c>
      <c r="V760" s="13" t="n">
        <v>0</v>
      </c>
      <c r="W760" s="4"/>
      <c r="X760" s="4"/>
      <c r="Y760" s="4"/>
      <c r="Z760" s="4"/>
      <c r="AA760" s="4"/>
      <c r="AB760" s="4"/>
      <c r="AC760" s="4"/>
      <c r="AD760" s="4"/>
      <c r="AE760" s="4"/>
      <c r="AF760" s="4"/>
      <c r="AG760" s="4"/>
      <c r="AH760" s="4"/>
      <c r="AI760" s="4"/>
      <c r="AJ760" s="4"/>
      <c r="AK760" s="4"/>
      <c r="AL760" s="4" t="s">
        <v>174</v>
      </c>
      <c r="AM760" s="4" t="s">
        <v>205</v>
      </c>
    </row>
    <row r="761" customFormat="false" ht="23.85" hidden="false" customHeight="false" outlineLevel="0" collapsed="false">
      <c r="A761" s="4" t="s">
        <v>167</v>
      </c>
      <c r="B761" s="4" t="s">
        <v>938</v>
      </c>
      <c r="C761" s="4" t="s">
        <v>938</v>
      </c>
      <c r="D761" s="12" t="n">
        <v>2021</v>
      </c>
      <c r="E761" s="4"/>
      <c r="F761" s="4" t="s">
        <v>169</v>
      </c>
      <c r="G761" s="4" t="s">
        <v>170</v>
      </c>
      <c r="H761" s="4" t="s">
        <v>171</v>
      </c>
      <c r="I761" s="4" t="s">
        <v>172</v>
      </c>
      <c r="J761" s="4" t="s">
        <v>938</v>
      </c>
      <c r="K761" s="4" t="s">
        <v>76</v>
      </c>
      <c r="L761" s="4" t="s">
        <v>77</v>
      </c>
      <c r="M761" s="4"/>
      <c r="N761" s="4"/>
      <c r="O761" s="4"/>
      <c r="P761" s="4"/>
      <c r="Q761" s="4"/>
      <c r="R761" s="4"/>
      <c r="S761" s="13" t="n">
        <v>-4087.23</v>
      </c>
      <c r="T761" s="4" t="s">
        <v>173</v>
      </c>
      <c r="U761" s="14" t="n">
        <f aca="false">IF(OR($S761="",PARAMETROS!$B$4=""),"",$S761*PARAMETROS!$B$4)</f>
        <v>-23746.8063</v>
      </c>
      <c r="V761" s="13" t="n">
        <v>0</v>
      </c>
      <c r="W761" s="4"/>
      <c r="X761" s="4"/>
      <c r="Y761" s="4"/>
      <c r="Z761" s="4"/>
      <c r="AA761" s="4"/>
      <c r="AB761" s="4"/>
      <c r="AC761" s="4"/>
      <c r="AD761" s="4"/>
      <c r="AE761" s="4"/>
      <c r="AF761" s="4"/>
      <c r="AG761" s="4"/>
      <c r="AH761" s="4"/>
      <c r="AI761" s="4"/>
      <c r="AJ761" s="4"/>
      <c r="AK761" s="4"/>
      <c r="AL761" s="4" t="s">
        <v>174</v>
      </c>
      <c r="AM761" s="4" t="s">
        <v>205</v>
      </c>
    </row>
    <row r="762" customFormat="false" ht="23.85" hidden="false" customHeight="false" outlineLevel="0" collapsed="false">
      <c r="A762" s="4" t="s">
        <v>167</v>
      </c>
      <c r="B762" s="4" t="s">
        <v>939</v>
      </c>
      <c r="C762" s="4" t="s">
        <v>939</v>
      </c>
      <c r="D762" s="12" t="n">
        <v>2021</v>
      </c>
      <c r="E762" s="4"/>
      <c r="F762" s="4" t="s">
        <v>169</v>
      </c>
      <c r="G762" s="4" t="s">
        <v>170</v>
      </c>
      <c r="H762" s="4" t="s">
        <v>171</v>
      </c>
      <c r="I762" s="4" t="s">
        <v>172</v>
      </c>
      <c r="J762" s="4" t="s">
        <v>939</v>
      </c>
      <c r="K762" s="4" t="s">
        <v>76</v>
      </c>
      <c r="L762" s="4" t="s">
        <v>77</v>
      </c>
      <c r="M762" s="4"/>
      <c r="N762" s="4"/>
      <c r="O762" s="4"/>
      <c r="P762" s="4"/>
      <c r="Q762" s="4"/>
      <c r="R762" s="4"/>
      <c r="S762" s="13" t="n">
        <v>0</v>
      </c>
      <c r="T762" s="4" t="s">
        <v>173</v>
      </c>
      <c r="U762" s="14" t="n">
        <f aca="false">IF(OR($S762="",PARAMETROS!$B$4=""),"",$S762*PARAMETROS!$B$4)</f>
        <v>0</v>
      </c>
      <c r="V762" s="13" t="n">
        <v>0</v>
      </c>
      <c r="W762" s="4"/>
      <c r="X762" s="4"/>
      <c r="Y762" s="4"/>
      <c r="Z762" s="4"/>
      <c r="AA762" s="4"/>
      <c r="AB762" s="4"/>
      <c r="AC762" s="4"/>
      <c r="AD762" s="4"/>
      <c r="AE762" s="4"/>
      <c r="AF762" s="4"/>
      <c r="AG762" s="4"/>
      <c r="AH762" s="4"/>
      <c r="AI762" s="4"/>
      <c r="AJ762" s="4"/>
      <c r="AK762" s="4"/>
      <c r="AL762" s="4" t="s">
        <v>174</v>
      </c>
      <c r="AM762" s="4" t="s">
        <v>205</v>
      </c>
    </row>
    <row r="763" customFormat="false" ht="23.85" hidden="false" customHeight="false" outlineLevel="0" collapsed="false">
      <c r="A763" s="4" t="s">
        <v>167</v>
      </c>
      <c r="B763" s="4" t="s">
        <v>940</v>
      </c>
      <c r="C763" s="4" t="s">
        <v>940</v>
      </c>
      <c r="D763" s="12" t="n">
        <v>2021</v>
      </c>
      <c r="E763" s="4"/>
      <c r="F763" s="4" t="s">
        <v>169</v>
      </c>
      <c r="G763" s="4" t="s">
        <v>170</v>
      </c>
      <c r="H763" s="4" t="s">
        <v>171</v>
      </c>
      <c r="I763" s="4" t="s">
        <v>172</v>
      </c>
      <c r="J763" s="4" t="s">
        <v>940</v>
      </c>
      <c r="K763" s="4" t="s">
        <v>76</v>
      </c>
      <c r="L763" s="4" t="s">
        <v>77</v>
      </c>
      <c r="M763" s="4"/>
      <c r="N763" s="4"/>
      <c r="O763" s="4"/>
      <c r="P763" s="4"/>
      <c r="Q763" s="4"/>
      <c r="R763" s="4"/>
      <c r="S763" s="13" t="n">
        <v>-6978.41</v>
      </c>
      <c r="T763" s="4" t="s">
        <v>173</v>
      </c>
      <c r="U763" s="14" t="n">
        <f aca="false">IF(OR($S763="",PARAMETROS!$B$4=""),"",$S763*PARAMETROS!$B$4)</f>
        <v>-40544.5621</v>
      </c>
      <c r="V763" s="13" t="n">
        <v>0</v>
      </c>
      <c r="W763" s="4"/>
      <c r="X763" s="4"/>
      <c r="Y763" s="4"/>
      <c r="Z763" s="4"/>
      <c r="AA763" s="4"/>
      <c r="AB763" s="4"/>
      <c r="AC763" s="4"/>
      <c r="AD763" s="4"/>
      <c r="AE763" s="4"/>
      <c r="AF763" s="4"/>
      <c r="AG763" s="4"/>
      <c r="AH763" s="4"/>
      <c r="AI763" s="4"/>
      <c r="AJ763" s="4"/>
      <c r="AK763" s="4"/>
      <c r="AL763" s="4" t="s">
        <v>174</v>
      </c>
      <c r="AM763" s="4" t="s">
        <v>205</v>
      </c>
    </row>
    <row r="764" customFormat="false" ht="23.85" hidden="false" customHeight="false" outlineLevel="0" collapsed="false">
      <c r="A764" s="4" t="s">
        <v>167</v>
      </c>
      <c r="B764" s="4" t="s">
        <v>941</v>
      </c>
      <c r="C764" s="4" t="s">
        <v>941</v>
      </c>
      <c r="D764" s="12" t="n">
        <v>2021</v>
      </c>
      <c r="E764" s="4"/>
      <c r="F764" s="4" t="s">
        <v>169</v>
      </c>
      <c r="G764" s="4" t="s">
        <v>170</v>
      </c>
      <c r="H764" s="4" t="s">
        <v>171</v>
      </c>
      <c r="I764" s="4" t="s">
        <v>172</v>
      </c>
      <c r="J764" s="4" t="s">
        <v>941</v>
      </c>
      <c r="K764" s="4" t="s">
        <v>76</v>
      </c>
      <c r="L764" s="4" t="s">
        <v>77</v>
      </c>
      <c r="M764" s="4"/>
      <c r="N764" s="4"/>
      <c r="O764" s="4"/>
      <c r="P764" s="4"/>
      <c r="Q764" s="4"/>
      <c r="R764" s="4"/>
      <c r="S764" s="13" t="n">
        <v>-212.31</v>
      </c>
      <c r="T764" s="4" t="s">
        <v>173</v>
      </c>
      <c r="U764" s="14" t="n">
        <f aca="false">IF(OR($S764="",PARAMETROS!$B$4=""),"",$S764*PARAMETROS!$B$4)</f>
        <v>-1233.5211</v>
      </c>
      <c r="V764" s="13" t="n">
        <v>0</v>
      </c>
      <c r="W764" s="4"/>
      <c r="X764" s="4"/>
      <c r="Y764" s="4"/>
      <c r="Z764" s="4"/>
      <c r="AA764" s="4"/>
      <c r="AB764" s="4"/>
      <c r="AC764" s="4"/>
      <c r="AD764" s="4"/>
      <c r="AE764" s="4"/>
      <c r="AF764" s="4"/>
      <c r="AG764" s="4"/>
      <c r="AH764" s="4"/>
      <c r="AI764" s="4"/>
      <c r="AJ764" s="4"/>
      <c r="AK764" s="4"/>
      <c r="AL764" s="4" t="s">
        <v>174</v>
      </c>
      <c r="AM764" s="4" t="s">
        <v>205</v>
      </c>
    </row>
    <row r="765" customFormat="false" ht="23.85" hidden="false" customHeight="false" outlineLevel="0" collapsed="false">
      <c r="A765" s="4" t="s">
        <v>167</v>
      </c>
      <c r="B765" s="4" t="s">
        <v>942</v>
      </c>
      <c r="C765" s="4" t="s">
        <v>942</v>
      </c>
      <c r="D765" s="12" t="n">
        <v>2021</v>
      </c>
      <c r="E765" s="4"/>
      <c r="F765" s="4" t="s">
        <v>169</v>
      </c>
      <c r="G765" s="4" t="s">
        <v>170</v>
      </c>
      <c r="H765" s="4" t="s">
        <v>171</v>
      </c>
      <c r="I765" s="4" t="s">
        <v>172</v>
      </c>
      <c r="J765" s="4" t="s">
        <v>942</v>
      </c>
      <c r="K765" s="4" t="s">
        <v>76</v>
      </c>
      <c r="L765" s="4" t="s">
        <v>77</v>
      </c>
      <c r="M765" s="4"/>
      <c r="N765" s="4"/>
      <c r="O765" s="4"/>
      <c r="P765" s="4"/>
      <c r="Q765" s="4"/>
      <c r="R765" s="4"/>
      <c r="S765" s="13" t="n">
        <v>0</v>
      </c>
      <c r="T765" s="4" t="s">
        <v>173</v>
      </c>
      <c r="U765" s="14" t="n">
        <f aca="false">IF(OR($S765="",PARAMETROS!$B$4=""),"",$S765*PARAMETROS!$B$4)</f>
        <v>0</v>
      </c>
      <c r="V765" s="13" t="n">
        <v>0</v>
      </c>
      <c r="W765" s="4"/>
      <c r="X765" s="4"/>
      <c r="Y765" s="4"/>
      <c r="Z765" s="4"/>
      <c r="AA765" s="4"/>
      <c r="AB765" s="4"/>
      <c r="AC765" s="4"/>
      <c r="AD765" s="4"/>
      <c r="AE765" s="4"/>
      <c r="AF765" s="4"/>
      <c r="AG765" s="4"/>
      <c r="AH765" s="4"/>
      <c r="AI765" s="4"/>
      <c r="AJ765" s="4"/>
      <c r="AK765" s="4"/>
      <c r="AL765" s="4" t="s">
        <v>174</v>
      </c>
      <c r="AM765" s="4" t="s">
        <v>205</v>
      </c>
    </row>
    <row r="766" customFormat="false" ht="23.85" hidden="false" customHeight="false" outlineLevel="0" collapsed="false">
      <c r="A766" s="4" t="s">
        <v>167</v>
      </c>
      <c r="B766" s="4" t="s">
        <v>943</v>
      </c>
      <c r="C766" s="4" t="s">
        <v>943</v>
      </c>
      <c r="D766" s="12" t="n">
        <v>2021</v>
      </c>
      <c r="E766" s="4"/>
      <c r="F766" s="4" t="s">
        <v>169</v>
      </c>
      <c r="G766" s="4" t="s">
        <v>170</v>
      </c>
      <c r="H766" s="4" t="s">
        <v>171</v>
      </c>
      <c r="I766" s="4" t="s">
        <v>172</v>
      </c>
      <c r="J766" s="4" t="s">
        <v>943</v>
      </c>
      <c r="K766" s="4" t="s">
        <v>76</v>
      </c>
      <c r="L766" s="4" t="s">
        <v>77</v>
      </c>
      <c r="M766" s="4"/>
      <c r="N766" s="4"/>
      <c r="O766" s="4"/>
      <c r="P766" s="4"/>
      <c r="Q766" s="4"/>
      <c r="R766" s="4"/>
      <c r="S766" s="13" t="n">
        <v>0</v>
      </c>
      <c r="T766" s="4" t="s">
        <v>173</v>
      </c>
      <c r="U766" s="14" t="n">
        <f aca="false">IF(OR($S766="",PARAMETROS!$B$4=""),"",$S766*PARAMETROS!$B$4)</f>
        <v>0</v>
      </c>
      <c r="V766" s="13" t="n">
        <v>0</v>
      </c>
      <c r="W766" s="4"/>
      <c r="X766" s="4"/>
      <c r="Y766" s="4"/>
      <c r="Z766" s="4"/>
      <c r="AA766" s="4"/>
      <c r="AB766" s="4"/>
      <c r="AC766" s="4"/>
      <c r="AD766" s="4"/>
      <c r="AE766" s="4"/>
      <c r="AF766" s="4"/>
      <c r="AG766" s="4"/>
      <c r="AH766" s="4"/>
      <c r="AI766" s="4"/>
      <c r="AJ766" s="4"/>
      <c r="AK766" s="4"/>
      <c r="AL766" s="4" t="s">
        <v>174</v>
      </c>
      <c r="AM766" s="4" t="s">
        <v>205</v>
      </c>
    </row>
    <row r="767" customFormat="false" ht="23.85" hidden="false" customHeight="false" outlineLevel="0" collapsed="false">
      <c r="A767" s="4" t="s">
        <v>167</v>
      </c>
      <c r="B767" s="4" t="s">
        <v>944</v>
      </c>
      <c r="C767" s="4" t="s">
        <v>944</v>
      </c>
      <c r="D767" s="12" t="n">
        <v>2021</v>
      </c>
      <c r="E767" s="4"/>
      <c r="F767" s="4" t="s">
        <v>169</v>
      </c>
      <c r="G767" s="4" t="s">
        <v>170</v>
      </c>
      <c r="H767" s="4" t="s">
        <v>171</v>
      </c>
      <c r="I767" s="4" t="s">
        <v>172</v>
      </c>
      <c r="J767" s="4" t="s">
        <v>944</v>
      </c>
      <c r="K767" s="4" t="s">
        <v>76</v>
      </c>
      <c r="L767" s="4" t="s">
        <v>77</v>
      </c>
      <c r="M767" s="4"/>
      <c r="N767" s="4"/>
      <c r="O767" s="4"/>
      <c r="P767" s="4"/>
      <c r="Q767" s="4"/>
      <c r="R767" s="4"/>
      <c r="S767" s="13" t="n">
        <v>0</v>
      </c>
      <c r="T767" s="4" t="s">
        <v>173</v>
      </c>
      <c r="U767" s="14" t="n">
        <f aca="false">IF(OR($S767="",PARAMETROS!$B$4=""),"",$S767*PARAMETROS!$B$4)</f>
        <v>0</v>
      </c>
      <c r="V767" s="13" t="n">
        <v>0</v>
      </c>
      <c r="W767" s="4"/>
      <c r="X767" s="4"/>
      <c r="Y767" s="4"/>
      <c r="Z767" s="4"/>
      <c r="AA767" s="4"/>
      <c r="AB767" s="4"/>
      <c r="AC767" s="4"/>
      <c r="AD767" s="4"/>
      <c r="AE767" s="4"/>
      <c r="AF767" s="4"/>
      <c r="AG767" s="4"/>
      <c r="AH767" s="4"/>
      <c r="AI767" s="4"/>
      <c r="AJ767" s="4"/>
      <c r="AK767" s="4"/>
      <c r="AL767" s="4" t="s">
        <v>174</v>
      </c>
      <c r="AM767" s="4" t="s">
        <v>205</v>
      </c>
    </row>
    <row r="768" customFormat="false" ht="23.85" hidden="false" customHeight="false" outlineLevel="0" collapsed="false">
      <c r="A768" s="4" t="s">
        <v>167</v>
      </c>
      <c r="B768" s="4" t="s">
        <v>945</v>
      </c>
      <c r="C768" s="4" t="s">
        <v>945</v>
      </c>
      <c r="D768" s="12" t="n">
        <v>2021</v>
      </c>
      <c r="E768" s="4"/>
      <c r="F768" s="4" t="s">
        <v>169</v>
      </c>
      <c r="G768" s="4" t="s">
        <v>170</v>
      </c>
      <c r="H768" s="4" t="s">
        <v>171</v>
      </c>
      <c r="I768" s="4" t="s">
        <v>172</v>
      </c>
      <c r="J768" s="4" t="s">
        <v>945</v>
      </c>
      <c r="K768" s="4" t="s">
        <v>76</v>
      </c>
      <c r="L768" s="4" t="s">
        <v>77</v>
      </c>
      <c r="M768" s="4"/>
      <c r="N768" s="4"/>
      <c r="O768" s="4"/>
      <c r="P768" s="4"/>
      <c r="Q768" s="4"/>
      <c r="R768" s="4"/>
      <c r="S768" s="13" t="n">
        <v>0</v>
      </c>
      <c r="T768" s="4" t="s">
        <v>173</v>
      </c>
      <c r="U768" s="14" t="n">
        <f aca="false">IF(OR($S768="",PARAMETROS!$B$4=""),"",$S768*PARAMETROS!$B$4)</f>
        <v>0</v>
      </c>
      <c r="V768" s="13" t="n">
        <v>0</v>
      </c>
      <c r="W768" s="4"/>
      <c r="X768" s="4"/>
      <c r="Y768" s="4"/>
      <c r="Z768" s="4"/>
      <c r="AA768" s="4"/>
      <c r="AB768" s="4"/>
      <c r="AC768" s="4"/>
      <c r="AD768" s="4"/>
      <c r="AE768" s="4"/>
      <c r="AF768" s="4"/>
      <c r="AG768" s="4"/>
      <c r="AH768" s="4"/>
      <c r="AI768" s="4"/>
      <c r="AJ768" s="4"/>
      <c r="AK768" s="4"/>
      <c r="AL768" s="4" t="s">
        <v>174</v>
      </c>
      <c r="AM768" s="4" t="s">
        <v>205</v>
      </c>
    </row>
    <row r="769" customFormat="false" ht="23.85" hidden="false" customHeight="false" outlineLevel="0" collapsed="false">
      <c r="A769" s="4" t="s">
        <v>167</v>
      </c>
      <c r="B769" s="4" t="s">
        <v>946</v>
      </c>
      <c r="C769" s="4" t="s">
        <v>946</v>
      </c>
      <c r="D769" s="12" t="n">
        <v>2021</v>
      </c>
      <c r="E769" s="4"/>
      <c r="F769" s="4" t="s">
        <v>169</v>
      </c>
      <c r="G769" s="4" t="s">
        <v>170</v>
      </c>
      <c r="H769" s="4" t="s">
        <v>171</v>
      </c>
      <c r="I769" s="4" t="s">
        <v>172</v>
      </c>
      <c r="J769" s="4" t="s">
        <v>946</v>
      </c>
      <c r="K769" s="4" t="s">
        <v>76</v>
      </c>
      <c r="L769" s="4" t="s">
        <v>77</v>
      </c>
      <c r="M769" s="4"/>
      <c r="N769" s="4"/>
      <c r="O769" s="4"/>
      <c r="P769" s="4"/>
      <c r="Q769" s="4"/>
      <c r="R769" s="4"/>
      <c r="S769" s="13" t="n">
        <v>0</v>
      </c>
      <c r="T769" s="4" t="s">
        <v>173</v>
      </c>
      <c r="U769" s="14" t="n">
        <f aca="false">IF(OR($S769="",PARAMETROS!$B$4=""),"",$S769*PARAMETROS!$B$4)</f>
        <v>0</v>
      </c>
      <c r="V769" s="13" t="n">
        <v>0</v>
      </c>
      <c r="W769" s="4"/>
      <c r="X769" s="4"/>
      <c r="Y769" s="4"/>
      <c r="Z769" s="4"/>
      <c r="AA769" s="4"/>
      <c r="AB769" s="4"/>
      <c r="AC769" s="4"/>
      <c r="AD769" s="4"/>
      <c r="AE769" s="4"/>
      <c r="AF769" s="4"/>
      <c r="AG769" s="4"/>
      <c r="AH769" s="4"/>
      <c r="AI769" s="4"/>
      <c r="AJ769" s="4"/>
      <c r="AK769" s="4"/>
      <c r="AL769" s="4" t="s">
        <v>174</v>
      </c>
      <c r="AM769" s="4" t="s">
        <v>205</v>
      </c>
    </row>
    <row r="770" customFormat="false" ht="23.85" hidden="false" customHeight="false" outlineLevel="0" collapsed="false">
      <c r="A770" s="4" t="s">
        <v>167</v>
      </c>
      <c r="B770" s="4" t="s">
        <v>947</v>
      </c>
      <c r="C770" s="4" t="s">
        <v>947</v>
      </c>
      <c r="D770" s="12" t="n">
        <v>2021</v>
      </c>
      <c r="E770" s="4"/>
      <c r="F770" s="4" t="s">
        <v>169</v>
      </c>
      <c r="G770" s="4" t="s">
        <v>170</v>
      </c>
      <c r="H770" s="4" t="s">
        <v>171</v>
      </c>
      <c r="I770" s="4" t="s">
        <v>172</v>
      </c>
      <c r="J770" s="4" t="s">
        <v>947</v>
      </c>
      <c r="K770" s="4" t="s">
        <v>76</v>
      </c>
      <c r="L770" s="4" t="s">
        <v>77</v>
      </c>
      <c r="M770" s="4"/>
      <c r="N770" s="4"/>
      <c r="O770" s="4"/>
      <c r="P770" s="4"/>
      <c r="Q770" s="4"/>
      <c r="R770" s="4"/>
      <c r="S770" s="13" t="n">
        <v>0</v>
      </c>
      <c r="T770" s="4" t="s">
        <v>173</v>
      </c>
      <c r="U770" s="14" t="n">
        <f aca="false">IF(OR($S770="",PARAMETROS!$B$4=""),"",$S770*PARAMETROS!$B$4)</f>
        <v>0</v>
      </c>
      <c r="V770" s="13" t="n">
        <v>0</v>
      </c>
      <c r="W770" s="4"/>
      <c r="X770" s="4"/>
      <c r="Y770" s="4"/>
      <c r="Z770" s="4"/>
      <c r="AA770" s="4"/>
      <c r="AB770" s="4"/>
      <c r="AC770" s="4"/>
      <c r="AD770" s="4"/>
      <c r="AE770" s="4"/>
      <c r="AF770" s="4"/>
      <c r="AG770" s="4"/>
      <c r="AH770" s="4"/>
      <c r="AI770" s="4"/>
      <c r="AJ770" s="4"/>
      <c r="AK770" s="4"/>
      <c r="AL770" s="4" t="s">
        <v>174</v>
      </c>
      <c r="AM770" s="4" t="s">
        <v>205</v>
      </c>
    </row>
    <row r="771" customFormat="false" ht="23.85" hidden="false" customHeight="false" outlineLevel="0" collapsed="false">
      <c r="A771" s="4" t="s">
        <v>167</v>
      </c>
      <c r="B771" s="4" t="s">
        <v>948</v>
      </c>
      <c r="C771" s="4" t="s">
        <v>948</v>
      </c>
      <c r="D771" s="12" t="n">
        <v>2021</v>
      </c>
      <c r="E771" s="4"/>
      <c r="F771" s="4" t="s">
        <v>169</v>
      </c>
      <c r="G771" s="4" t="s">
        <v>170</v>
      </c>
      <c r="H771" s="4" t="s">
        <v>171</v>
      </c>
      <c r="I771" s="4" t="s">
        <v>172</v>
      </c>
      <c r="J771" s="4" t="s">
        <v>948</v>
      </c>
      <c r="K771" s="4" t="s">
        <v>76</v>
      </c>
      <c r="L771" s="4" t="s">
        <v>77</v>
      </c>
      <c r="M771" s="4"/>
      <c r="N771" s="4"/>
      <c r="O771" s="4"/>
      <c r="P771" s="4"/>
      <c r="Q771" s="4"/>
      <c r="R771" s="4"/>
      <c r="S771" s="13" t="n">
        <v>0</v>
      </c>
      <c r="T771" s="4" t="s">
        <v>173</v>
      </c>
      <c r="U771" s="14" t="n">
        <f aca="false">IF(OR($S771="",PARAMETROS!$B$4=""),"",$S771*PARAMETROS!$B$4)</f>
        <v>0</v>
      </c>
      <c r="V771" s="13" t="n">
        <v>0</v>
      </c>
      <c r="W771" s="4"/>
      <c r="X771" s="4"/>
      <c r="Y771" s="4"/>
      <c r="Z771" s="4"/>
      <c r="AA771" s="4"/>
      <c r="AB771" s="4"/>
      <c r="AC771" s="4"/>
      <c r="AD771" s="4"/>
      <c r="AE771" s="4"/>
      <c r="AF771" s="4"/>
      <c r="AG771" s="4"/>
      <c r="AH771" s="4"/>
      <c r="AI771" s="4"/>
      <c r="AJ771" s="4"/>
      <c r="AK771" s="4"/>
      <c r="AL771" s="4" t="s">
        <v>174</v>
      </c>
      <c r="AM771" s="4" t="s">
        <v>205</v>
      </c>
    </row>
    <row r="772" customFormat="false" ht="23.85" hidden="false" customHeight="false" outlineLevel="0" collapsed="false">
      <c r="A772" s="4" t="s">
        <v>167</v>
      </c>
      <c r="B772" s="4" t="s">
        <v>949</v>
      </c>
      <c r="C772" s="4" t="s">
        <v>949</v>
      </c>
      <c r="D772" s="12" t="n">
        <v>2021</v>
      </c>
      <c r="E772" s="4"/>
      <c r="F772" s="4" t="s">
        <v>169</v>
      </c>
      <c r="G772" s="4" t="s">
        <v>170</v>
      </c>
      <c r="H772" s="4" t="s">
        <v>171</v>
      </c>
      <c r="I772" s="4" t="s">
        <v>172</v>
      </c>
      <c r="J772" s="4" t="s">
        <v>949</v>
      </c>
      <c r="K772" s="4" t="s">
        <v>78</v>
      </c>
      <c r="L772" s="4" t="s">
        <v>79</v>
      </c>
      <c r="M772" s="4"/>
      <c r="N772" s="4"/>
      <c r="O772" s="4"/>
      <c r="P772" s="4"/>
      <c r="Q772" s="4"/>
      <c r="R772" s="4"/>
      <c r="S772" s="13" t="n">
        <v>201.55</v>
      </c>
      <c r="T772" s="4" t="s">
        <v>173</v>
      </c>
      <c r="U772" s="14" t="n">
        <f aca="false">IF(OR($S772="",PARAMETROS!$B$4=""),"",$S772*PARAMETROS!$B$4)</f>
        <v>1171.0055</v>
      </c>
      <c r="V772" s="13" t="n">
        <v>0</v>
      </c>
      <c r="W772" s="4"/>
      <c r="X772" s="4"/>
      <c r="Y772" s="4"/>
      <c r="Z772" s="4"/>
      <c r="AA772" s="4"/>
      <c r="AB772" s="4"/>
      <c r="AC772" s="4"/>
      <c r="AD772" s="4"/>
      <c r="AE772" s="4"/>
      <c r="AF772" s="4"/>
      <c r="AG772" s="4"/>
      <c r="AH772" s="4"/>
      <c r="AI772" s="4"/>
      <c r="AJ772" s="4"/>
      <c r="AK772" s="4"/>
      <c r="AL772" s="4" t="s">
        <v>174</v>
      </c>
      <c r="AM772" s="4" t="s">
        <v>175</v>
      </c>
    </row>
    <row r="773" customFormat="false" ht="23.85" hidden="false" customHeight="false" outlineLevel="0" collapsed="false">
      <c r="A773" s="4" t="s">
        <v>167</v>
      </c>
      <c r="B773" s="4" t="s">
        <v>950</v>
      </c>
      <c r="C773" s="4" t="s">
        <v>950</v>
      </c>
      <c r="D773" s="12" t="n">
        <v>2021</v>
      </c>
      <c r="E773" s="4"/>
      <c r="F773" s="4" t="s">
        <v>169</v>
      </c>
      <c r="G773" s="4" t="s">
        <v>170</v>
      </c>
      <c r="H773" s="4" t="s">
        <v>171</v>
      </c>
      <c r="I773" s="4" t="s">
        <v>172</v>
      </c>
      <c r="J773" s="4" t="s">
        <v>950</v>
      </c>
      <c r="K773" s="4" t="s">
        <v>78</v>
      </c>
      <c r="L773" s="4" t="s">
        <v>79</v>
      </c>
      <c r="M773" s="4"/>
      <c r="N773" s="4"/>
      <c r="O773" s="4"/>
      <c r="P773" s="4"/>
      <c r="Q773" s="4"/>
      <c r="R773" s="4"/>
      <c r="S773" s="13" t="n">
        <v>0</v>
      </c>
      <c r="T773" s="4" t="s">
        <v>173</v>
      </c>
      <c r="U773" s="14" t="n">
        <f aca="false">IF(OR($S773="",PARAMETROS!$B$4=""),"",$S773*PARAMETROS!$B$4)</f>
        <v>0</v>
      </c>
      <c r="V773" s="13" t="n">
        <v>0</v>
      </c>
      <c r="W773" s="4"/>
      <c r="X773" s="4"/>
      <c r="Y773" s="4"/>
      <c r="Z773" s="4"/>
      <c r="AA773" s="4"/>
      <c r="AB773" s="4"/>
      <c r="AC773" s="4"/>
      <c r="AD773" s="4"/>
      <c r="AE773" s="4"/>
      <c r="AF773" s="4"/>
      <c r="AG773" s="4"/>
      <c r="AH773" s="4"/>
      <c r="AI773" s="4"/>
      <c r="AJ773" s="4"/>
      <c r="AK773" s="4"/>
      <c r="AL773" s="4" t="s">
        <v>174</v>
      </c>
      <c r="AM773" s="4" t="s">
        <v>175</v>
      </c>
    </row>
    <row r="774" customFormat="false" ht="23.85" hidden="false" customHeight="false" outlineLevel="0" collapsed="false">
      <c r="A774" s="4" t="s">
        <v>167</v>
      </c>
      <c r="B774" s="4" t="s">
        <v>951</v>
      </c>
      <c r="C774" s="4" t="s">
        <v>951</v>
      </c>
      <c r="D774" s="12" t="n">
        <v>2021</v>
      </c>
      <c r="E774" s="4"/>
      <c r="F774" s="4" t="s">
        <v>169</v>
      </c>
      <c r="G774" s="4" t="s">
        <v>170</v>
      </c>
      <c r="H774" s="4" t="s">
        <v>171</v>
      </c>
      <c r="I774" s="4" t="s">
        <v>172</v>
      </c>
      <c r="J774" s="4" t="s">
        <v>951</v>
      </c>
      <c r="K774" s="4" t="s">
        <v>78</v>
      </c>
      <c r="L774" s="4" t="s">
        <v>79</v>
      </c>
      <c r="M774" s="4"/>
      <c r="N774" s="4"/>
      <c r="O774" s="4"/>
      <c r="P774" s="4"/>
      <c r="Q774" s="4"/>
      <c r="R774" s="4"/>
      <c r="S774" s="13" t="n">
        <v>0</v>
      </c>
      <c r="T774" s="4" t="s">
        <v>173</v>
      </c>
      <c r="U774" s="14" t="n">
        <f aca="false">IF(OR($S774="",PARAMETROS!$B$4=""),"",$S774*PARAMETROS!$B$4)</f>
        <v>0</v>
      </c>
      <c r="V774" s="13" t="n">
        <v>0</v>
      </c>
      <c r="W774" s="4"/>
      <c r="X774" s="4"/>
      <c r="Y774" s="4"/>
      <c r="Z774" s="4"/>
      <c r="AA774" s="4"/>
      <c r="AB774" s="4"/>
      <c r="AC774" s="4"/>
      <c r="AD774" s="4"/>
      <c r="AE774" s="4"/>
      <c r="AF774" s="4"/>
      <c r="AG774" s="4"/>
      <c r="AH774" s="4"/>
      <c r="AI774" s="4"/>
      <c r="AJ774" s="4"/>
      <c r="AK774" s="4"/>
      <c r="AL774" s="4" t="s">
        <v>174</v>
      </c>
      <c r="AM774" s="4" t="s">
        <v>175</v>
      </c>
    </row>
    <row r="775" customFormat="false" ht="23.85" hidden="false" customHeight="false" outlineLevel="0" collapsed="false">
      <c r="A775" s="4" t="s">
        <v>167</v>
      </c>
      <c r="B775" s="4" t="s">
        <v>952</v>
      </c>
      <c r="C775" s="4" t="s">
        <v>952</v>
      </c>
      <c r="D775" s="12" t="n">
        <v>2021</v>
      </c>
      <c r="E775" s="4"/>
      <c r="F775" s="4" t="s">
        <v>169</v>
      </c>
      <c r="G775" s="4" t="s">
        <v>170</v>
      </c>
      <c r="H775" s="4" t="s">
        <v>171</v>
      </c>
      <c r="I775" s="4" t="s">
        <v>172</v>
      </c>
      <c r="J775" s="4" t="s">
        <v>952</v>
      </c>
      <c r="K775" s="4" t="s">
        <v>78</v>
      </c>
      <c r="L775" s="4" t="s">
        <v>79</v>
      </c>
      <c r="M775" s="4"/>
      <c r="N775" s="4"/>
      <c r="O775" s="4"/>
      <c r="P775" s="4"/>
      <c r="Q775" s="4"/>
      <c r="R775" s="4"/>
      <c r="S775" s="13" t="n">
        <v>0</v>
      </c>
      <c r="T775" s="4" t="s">
        <v>173</v>
      </c>
      <c r="U775" s="14" t="n">
        <f aca="false">IF(OR($S775="",PARAMETROS!$B$4=""),"",$S775*PARAMETROS!$B$4)</f>
        <v>0</v>
      </c>
      <c r="V775" s="13" t="n">
        <v>0</v>
      </c>
      <c r="W775" s="4"/>
      <c r="X775" s="4"/>
      <c r="Y775" s="4"/>
      <c r="Z775" s="4"/>
      <c r="AA775" s="4"/>
      <c r="AB775" s="4"/>
      <c r="AC775" s="4"/>
      <c r="AD775" s="4"/>
      <c r="AE775" s="4"/>
      <c r="AF775" s="4"/>
      <c r="AG775" s="4"/>
      <c r="AH775" s="4"/>
      <c r="AI775" s="4"/>
      <c r="AJ775" s="4"/>
      <c r="AK775" s="4"/>
      <c r="AL775" s="4" t="s">
        <v>174</v>
      </c>
      <c r="AM775" s="4" t="s">
        <v>175</v>
      </c>
    </row>
    <row r="776" customFormat="false" ht="23.85" hidden="false" customHeight="false" outlineLevel="0" collapsed="false">
      <c r="A776" s="4" t="s">
        <v>167</v>
      </c>
      <c r="B776" s="4" t="s">
        <v>953</v>
      </c>
      <c r="C776" s="4" t="s">
        <v>953</v>
      </c>
      <c r="D776" s="12" t="n">
        <v>2021</v>
      </c>
      <c r="E776" s="4"/>
      <c r="F776" s="4" t="s">
        <v>169</v>
      </c>
      <c r="G776" s="4" t="s">
        <v>170</v>
      </c>
      <c r="H776" s="4" t="s">
        <v>171</v>
      </c>
      <c r="I776" s="4" t="s">
        <v>172</v>
      </c>
      <c r="J776" s="4" t="s">
        <v>953</v>
      </c>
      <c r="K776" s="4" t="s">
        <v>78</v>
      </c>
      <c r="L776" s="4" t="s">
        <v>79</v>
      </c>
      <c r="M776" s="4"/>
      <c r="N776" s="4"/>
      <c r="O776" s="4"/>
      <c r="P776" s="4"/>
      <c r="Q776" s="4"/>
      <c r="R776" s="4"/>
      <c r="S776" s="13" t="n">
        <v>0</v>
      </c>
      <c r="T776" s="4" t="s">
        <v>173</v>
      </c>
      <c r="U776" s="14" t="n">
        <f aca="false">IF(OR($S776="",PARAMETROS!$B$4=""),"",$S776*PARAMETROS!$B$4)</f>
        <v>0</v>
      </c>
      <c r="V776" s="13" t="n">
        <v>0</v>
      </c>
      <c r="W776" s="4"/>
      <c r="X776" s="4"/>
      <c r="Y776" s="4"/>
      <c r="Z776" s="4"/>
      <c r="AA776" s="4"/>
      <c r="AB776" s="4"/>
      <c r="AC776" s="4"/>
      <c r="AD776" s="4"/>
      <c r="AE776" s="4"/>
      <c r="AF776" s="4"/>
      <c r="AG776" s="4"/>
      <c r="AH776" s="4"/>
      <c r="AI776" s="4"/>
      <c r="AJ776" s="4"/>
      <c r="AK776" s="4"/>
      <c r="AL776" s="4" t="s">
        <v>174</v>
      </c>
      <c r="AM776" s="4" t="s">
        <v>175</v>
      </c>
    </row>
    <row r="777" customFormat="false" ht="23.85" hidden="false" customHeight="false" outlineLevel="0" collapsed="false">
      <c r="A777" s="4" t="s">
        <v>167</v>
      </c>
      <c r="B777" s="4" t="s">
        <v>954</v>
      </c>
      <c r="C777" s="4" t="s">
        <v>954</v>
      </c>
      <c r="D777" s="12" t="n">
        <v>2021</v>
      </c>
      <c r="E777" s="4"/>
      <c r="F777" s="4" t="s">
        <v>169</v>
      </c>
      <c r="G777" s="4" t="s">
        <v>170</v>
      </c>
      <c r="H777" s="4" t="s">
        <v>171</v>
      </c>
      <c r="I777" s="4" t="s">
        <v>172</v>
      </c>
      <c r="J777" s="4" t="s">
        <v>954</v>
      </c>
      <c r="K777" s="4" t="s">
        <v>78</v>
      </c>
      <c r="L777" s="4" t="s">
        <v>79</v>
      </c>
      <c r="M777" s="4"/>
      <c r="N777" s="4"/>
      <c r="O777" s="4"/>
      <c r="P777" s="4"/>
      <c r="Q777" s="4"/>
      <c r="R777" s="4"/>
      <c r="S777" s="13" t="n">
        <v>-201.55</v>
      </c>
      <c r="T777" s="4" t="s">
        <v>173</v>
      </c>
      <c r="U777" s="14" t="n">
        <f aca="false">IF(OR($S777="",PARAMETROS!$B$4=""),"",$S777*PARAMETROS!$B$4)</f>
        <v>-1171.0055</v>
      </c>
      <c r="V777" s="13" t="n">
        <v>0</v>
      </c>
      <c r="W777" s="4"/>
      <c r="X777" s="4"/>
      <c r="Y777" s="4"/>
      <c r="Z777" s="4"/>
      <c r="AA777" s="4"/>
      <c r="AB777" s="4"/>
      <c r="AC777" s="4"/>
      <c r="AD777" s="4"/>
      <c r="AE777" s="4"/>
      <c r="AF777" s="4"/>
      <c r="AG777" s="4"/>
      <c r="AH777" s="4"/>
      <c r="AI777" s="4"/>
      <c r="AJ777" s="4"/>
      <c r="AK777" s="4"/>
      <c r="AL777" s="4" t="s">
        <v>174</v>
      </c>
      <c r="AM777" s="4" t="s">
        <v>175</v>
      </c>
    </row>
    <row r="778" customFormat="false" ht="23.85" hidden="false" customHeight="false" outlineLevel="0" collapsed="false">
      <c r="A778" s="4" t="s">
        <v>167</v>
      </c>
      <c r="B778" s="4" t="s">
        <v>955</v>
      </c>
      <c r="C778" s="4" t="s">
        <v>955</v>
      </c>
      <c r="D778" s="12" t="n">
        <v>2021</v>
      </c>
      <c r="E778" s="4"/>
      <c r="F778" s="4" t="s">
        <v>169</v>
      </c>
      <c r="G778" s="4" t="s">
        <v>170</v>
      </c>
      <c r="H778" s="4" t="s">
        <v>171</v>
      </c>
      <c r="I778" s="4" t="s">
        <v>172</v>
      </c>
      <c r="J778" s="4" t="s">
        <v>955</v>
      </c>
      <c r="K778" s="4" t="s">
        <v>78</v>
      </c>
      <c r="L778" s="4" t="s">
        <v>79</v>
      </c>
      <c r="M778" s="4"/>
      <c r="N778" s="4"/>
      <c r="O778" s="4"/>
      <c r="P778" s="4"/>
      <c r="Q778" s="4"/>
      <c r="R778" s="4"/>
      <c r="S778" s="13" t="n">
        <v>0</v>
      </c>
      <c r="T778" s="4" t="s">
        <v>173</v>
      </c>
      <c r="U778" s="14" t="n">
        <f aca="false">IF(OR($S778="",PARAMETROS!$B$4=""),"",$S778*PARAMETROS!$B$4)</f>
        <v>0</v>
      </c>
      <c r="V778" s="13" t="n">
        <v>0</v>
      </c>
      <c r="W778" s="4"/>
      <c r="X778" s="4"/>
      <c r="Y778" s="4"/>
      <c r="Z778" s="4"/>
      <c r="AA778" s="4"/>
      <c r="AB778" s="4"/>
      <c r="AC778" s="4"/>
      <c r="AD778" s="4"/>
      <c r="AE778" s="4"/>
      <c r="AF778" s="4"/>
      <c r="AG778" s="4"/>
      <c r="AH778" s="4"/>
      <c r="AI778" s="4"/>
      <c r="AJ778" s="4"/>
      <c r="AK778" s="4"/>
      <c r="AL778" s="4" t="s">
        <v>174</v>
      </c>
      <c r="AM778" s="4" t="s">
        <v>175</v>
      </c>
    </row>
    <row r="779" customFormat="false" ht="23.85" hidden="false" customHeight="false" outlineLevel="0" collapsed="false">
      <c r="A779" s="4" t="s">
        <v>167</v>
      </c>
      <c r="B779" s="4" t="s">
        <v>956</v>
      </c>
      <c r="C779" s="4" t="s">
        <v>956</v>
      </c>
      <c r="D779" s="12" t="n">
        <v>2021</v>
      </c>
      <c r="E779" s="4"/>
      <c r="F779" s="4" t="s">
        <v>169</v>
      </c>
      <c r="G779" s="4" t="s">
        <v>170</v>
      </c>
      <c r="H779" s="4" t="s">
        <v>171</v>
      </c>
      <c r="I779" s="4" t="s">
        <v>172</v>
      </c>
      <c r="J779" s="4" t="s">
        <v>956</v>
      </c>
      <c r="K779" s="4" t="s">
        <v>78</v>
      </c>
      <c r="L779" s="4" t="s">
        <v>79</v>
      </c>
      <c r="M779" s="4"/>
      <c r="N779" s="4"/>
      <c r="O779" s="4"/>
      <c r="P779" s="4"/>
      <c r="Q779" s="4"/>
      <c r="R779" s="4"/>
      <c r="S779" s="13" t="n">
        <v>0</v>
      </c>
      <c r="T779" s="4" t="s">
        <v>173</v>
      </c>
      <c r="U779" s="14" t="n">
        <f aca="false">IF(OR($S779="",PARAMETROS!$B$4=""),"",$S779*PARAMETROS!$B$4)</f>
        <v>0</v>
      </c>
      <c r="V779" s="13" t="n">
        <v>0</v>
      </c>
      <c r="W779" s="4"/>
      <c r="X779" s="4"/>
      <c r="Y779" s="4"/>
      <c r="Z779" s="4"/>
      <c r="AA779" s="4"/>
      <c r="AB779" s="4"/>
      <c r="AC779" s="4"/>
      <c r="AD779" s="4"/>
      <c r="AE779" s="4"/>
      <c r="AF779" s="4"/>
      <c r="AG779" s="4"/>
      <c r="AH779" s="4"/>
      <c r="AI779" s="4"/>
      <c r="AJ779" s="4"/>
      <c r="AK779" s="4"/>
      <c r="AL779" s="4" t="s">
        <v>174</v>
      </c>
      <c r="AM779" s="4" t="s">
        <v>175</v>
      </c>
    </row>
    <row r="780" customFormat="false" ht="23.85" hidden="false" customHeight="false" outlineLevel="0" collapsed="false">
      <c r="A780" s="4" t="s">
        <v>167</v>
      </c>
      <c r="B780" s="4" t="s">
        <v>957</v>
      </c>
      <c r="C780" s="4" t="s">
        <v>957</v>
      </c>
      <c r="D780" s="12" t="n">
        <v>2021</v>
      </c>
      <c r="E780" s="4"/>
      <c r="F780" s="4" t="s">
        <v>169</v>
      </c>
      <c r="G780" s="4" t="s">
        <v>170</v>
      </c>
      <c r="H780" s="4" t="s">
        <v>171</v>
      </c>
      <c r="I780" s="4" t="s">
        <v>172</v>
      </c>
      <c r="J780" s="4" t="s">
        <v>957</v>
      </c>
      <c r="K780" s="4" t="s">
        <v>78</v>
      </c>
      <c r="L780" s="4" t="s">
        <v>79</v>
      </c>
      <c r="M780" s="4"/>
      <c r="N780" s="4"/>
      <c r="O780" s="4"/>
      <c r="P780" s="4"/>
      <c r="Q780" s="4"/>
      <c r="R780" s="4"/>
      <c r="S780" s="13" t="n">
        <v>0</v>
      </c>
      <c r="T780" s="4" t="s">
        <v>173</v>
      </c>
      <c r="U780" s="14" t="n">
        <f aca="false">IF(OR($S780="",PARAMETROS!$B$4=""),"",$S780*PARAMETROS!$B$4)</f>
        <v>0</v>
      </c>
      <c r="V780" s="13" t="n">
        <v>0</v>
      </c>
      <c r="W780" s="4"/>
      <c r="X780" s="4"/>
      <c r="Y780" s="4"/>
      <c r="Z780" s="4"/>
      <c r="AA780" s="4"/>
      <c r="AB780" s="4"/>
      <c r="AC780" s="4"/>
      <c r="AD780" s="4"/>
      <c r="AE780" s="4"/>
      <c r="AF780" s="4"/>
      <c r="AG780" s="4"/>
      <c r="AH780" s="4"/>
      <c r="AI780" s="4"/>
      <c r="AJ780" s="4"/>
      <c r="AK780" s="4"/>
      <c r="AL780" s="4" t="s">
        <v>174</v>
      </c>
      <c r="AM780" s="4" t="s">
        <v>175</v>
      </c>
    </row>
    <row r="781" customFormat="false" ht="23.85" hidden="false" customHeight="false" outlineLevel="0" collapsed="false">
      <c r="A781" s="4" t="s">
        <v>167</v>
      </c>
      <c r="B781" s="4" t="s">
        <v>958</v>
      </c>
      <c r="C781" s="4" t="s">
        <v>958</v>
      </c>
      <c r="D781" s="12" t="n">
        <v>2021</v>
      </c>
      <c r="E781" s="4"/>
      <c r="F781" s="4" t="s">
        <v>169</v>
      </c>
      <c r="G781" s="4" t="s">
        <v>170</v>
      </c>
      <c r="H781" s="4" t="s">
        <v>171</v>
      </c>
      <c r="I781" s="4" t="s">
        <v>172</v>
      </c>
      <c r="J781" s="4" t="s">
        <v>958</v>
      </c>
      <c r="K781" s="4" t="s">
        <v>78</v>
      </c>
      <c r="L781" s="4" t="s">
        <v>79</v>
      </c>
      <c r="M781" s="4"/>
      <c r="N781" s="4"/>
      <c r="O781" s="4"/>
      <c r="P781" s="4"/>
      <c r="Q781" s="4"/>
      <c r="R781" s="4"/>
      <c r="S781" s="13" t="n">
        <v>0</v>
      </c>
      <c r="T781" s="4" t="s">
        <v>173</v>
      </c>
      <c r="U781" s="14" t="n">
        <f aca="false">IF(OR($S781="",PARAMETROS!$B$4=""),"",$S781*PARAMETROS!$B$4)</f>
        <v>0</v>
      </c>
      <c r="V781" s="13" t="n">
        <v>0</v>
      </c>
      <c r="W781" s="4"/>
      <c r="X781" s="4"/>
      <c r="Y781" s="4"/>
      <c r="Z781" s="4"/>
      <c r="AA781" s="4"/>
      <c r="AB781" s="4"/>
      <c r="AC781" s="4"/>
      <c r="AD781" s="4"/>
      <c r="AE781" s="4"/>
      <c r="AF781" s="4"/>
      <c r="AG781" s="4"/>
      <c r="AH781" s="4"/>
      <c r="AI781" s="4"/>
      <c r="AJ781" s="4"/>
      <c r="AK781" s="4"/>
      <c r="AL781" s="4" t="s">
        <v>174</v>
      </c>
      <c r="AM781" s="4" t="s">
        <v>175</v>
      </c>
    </row>
    <row r="782" customFormat="false" ht="23.85" hidden="false" customHeight="false" outlineLevel="0" collapsed="false">
      <c r="A782" s="4" t="s">
        <v>167</v>
      </c>
      <c r="B782" s="4" t="s">
        <v>959</v>
      </c>
      <c r="C782" s="4" t="s">
        <v>959</v>
      </c>
      <c r="D782" s="12" t="n">
        <v>2021</v>
      </c>
      <c r="E782" s="4"/>
      <c r="F782" s="4" t="s">
        <v>169</v>
      </c>
      <c r="G782" s="4" t="s">
        <v>170</v>
      </c>
      <c r="H782" s="4" t="s">
        <v>171</v>
      </c>
      <c r="I782" s="4" t="s">
        <v>172</v>
      </c>
      <c r="J782" s="4" t="s">
        <v>959</v>
      </c>
      <c r="K782" s="4" t="s">
        <v>78</v>
      </c>
      <c r="L782" s="4" t="s">
        <v>79</v>
      </c>
      <c r="M782" s="4"/>
      <c r="N782" s="4"/>
      <c r="O782" s="4"/>
      <c r="P782" s="4"/>
      <c r="Q782" s="4"/>
      <c r="R782" s="4"/>
      <c r="S782" s="13" t="n">
        <v>0</v>
      </c>
      <c r="T782" s="4" t="s">
        <v>173</v>
      </c>
      <c r="U782" s="14" t="n">
        <f aca="false">IF(OR($S782="",PARAMETROS!$B$4=""),"",$S782*PARAMETROS!$B$4)</f>
        <v>0</v>
      </c>
      <c r="V782" s="13" t="n">
        <v>0</v>
      </c>
      <c r="W782" s="4"/>
      <c r="X782" s="4"/>
      <c r="Y782" s="4"/>
      <c r="Z782" s="4"/>
      <c r="AA782" s="4"/>
      <c r="AB782" s="4"/>
      <c r="AC782" s="4"/>
      <c r="AD782" s="4"/>
      <c r="AE782" s="4"/>
      <c r="AF782" s="4"/>
      <c r="AG782" s="4"/>
      <c r="AH782" s="4"/>
      <c r="AI782" s="4"/>
      <c r="AJ782" s="4"/>
      <c r="AK782" s="4"/>
      <c r="AL782" s="4" t="s">
        <v>174</v>
      </c>
      <c r="AM782" s="4" t="s">
        <v>175</v>
      </c>
    </row>
    <row r="783" customFormat="false" ht="23.85" hidden="false" customHeight="false" outlineLevel="0" collapsed="false">
      <c r="A783" s="4" t="s">
        <v>167</v>
      </c>
      <c r="B783" s="4" t="s">
        <v>960</v>
      </c>
      <c r="C783" s="4" t="s">
        <v>960</v>
      </c>
      <c r="D783" s="12" t="n">
        <v>2021</v>
      </c>
      <c r="E783" s="4"/>
      <c r="F783" s="4" t="s">
        <v>169</v>
      </c>
      <c r="G783" s="4" t="s">
        <v>170</v>
      </c>
      <c r="H783" s="4" t="s">
        <v>171</v>
      </c>
      <c r="I783" s="4" t="s">
        <v>172</v>
      </c>
      <c r="J783" s="4" t="s">
        <v>960</v>
      </c>
      <c r="K783" s="4" t="s">
        <v>78</v>
      </c>
      <c r="L783" s="4" t="s">
        <v>79</v>
      </c>
      <c r="M783" s="4"/>
      <c r="N783" s="4"/>
      <c r="O783" s="4"/>
      <c r="P783" s="4"/>
      <c r="Q783" s="4"/>
      <c r="R783" s="4"/>
      <c r="S783" s="13" t="n">
        <v>0</v>
      </c>
      <c r="T783" s="4" t="s">
        <v>173</v>
      </c>
      <c r="U783" s="14" t="n">
        <f aca="false">IF(OR($S783="",PARAMETROS!$B$4=""),"",$S783*PARAMETROS!$B$4)</f>
        <v>0</v>
      </c>
      <c r="V783" s="13" t="n">
        <v>0</v>
      </c>
      <c r="W783" s="4"/>
      <c r="X783" s="4"/>
      <c r="Y783" s="4"/>
      <c r="Z783" s="4"/>
      <c r="AA783" s="4"/>
      <c r="AB783" s="4"/>
      <c r="AC783" s="4"/>
      <c r="AD783" s="4"/>
      <c r="AE783" s="4"/>
      <c r="AF783" s="4"/>
      <c r="AG783" s="4"/>
      <c r="AH783" s="4"/>
      <c r="AI783" s="4"/>
      <c r="AJ783" s="4"/>
      <c r="AK783" s="4"/>
      <c r="AL783" s="4" t="s">
        <v>174</v>
      </c>
      <c r="AM783" s="4" t="s">
        <v>175</v>
      </c>
    </row>
    <row r="784" customFormat="false" ht="23.85" hidden="false" customHeight="false" outlineLevel="0" collapsed="false">
      <c r="A784" s="4" t="s">
        <v>167</v>
      </c>
      <c r="B784" s="4" t="s">
        <v>961</v>
      </c>
      <c r="C784" s="4" t="s">
        <v>961</v>
      </c>
      <c r="D784" s="12" t="n">
        <v>2021</v>
      </c>
      <c r="E784" s="4"/>
      <c r="F784" s="4" t="s">
        <v>169</v>
      </c>
      <c r="G784" s="4" t="s">
        <v>170</v>
      </c>
      <c r="H784" s="4" t="s">
        <v>171</v>
      </c>
      <c r="I784" s="4" t="s">
        <v>172</v>
      </c>
      <c r="J784" s="4" t="s">
        <v>961</v>
      </c>
      <c r="K784" s="4" t="s">
        <v>78</v>
      </c>
      <c r="L784" s="4" t="s">
        <v>79</v>
      </c>
      <c r="M784" s="4"/>
      <c r="N784" s="4"/>
      <c r="O784" s="4"/>
      <c r="P784" s="4"/>
      <c r="Q784" s="4"/>
      <c r="R784" s="4"/>
      <c r="S784" s="13" t="n">
        <v>0</v>
      </c>
      <c r="T784" s="4" t="s">
        <v>173</v>
      </c>
      <c r="U784" s="14" t="n">
        <f aca="false">IF(OR($S784="",PARAMETROS!$B$4=""),"",$S784*PARAMETROS!$B$4)</f>
        <v>0</v>
      </c>
      <c r="V784" s="13" t="n">
        <v>0</v>
      </c>
      <c r="W784" s="4"/>
      <c r="X784" s="4"/>
      <c r="Y784" s="4"/>
      <c r="Z784" s="4"/>
      <c r="AA784" s="4"/>
      <c r="AB784" s="4"/>
      <c r="AC784" s="4"/>
      <c r="AD784" s="4"/>
      <c r="AE784" s="4"/>
      <c r="AF784" s="4"/>
      <c r="AG784" s="4"/>
      <c r="AH784" s="4"/>
      <c r="AI784" s="4"/>
      <c r="AJ784" s="4"/>
      <c r="AK784" s="4"/>
      <c r="AL784" s="4" t="s">
        <v>174</v>
      </c>
      <c r="AM784" s="4" t="s">
        <v>175</v>
      </c>
    </row>
    <row r="785" customFormat="false" ht="23.85" hidden="false" customHeight="false" outlineLevel="0" collapsed="false">
      <c r="A785" s="4" t="s">
        <v>167</v>
      </c>
      <c r="B785" s="4" t="s">
        <v>962</v>
      </c>
      <c r="C785" s="4" t="s">
        <v>962</v>
      </c>
      <c r="D785" s="12" t="n">
        <v>2021</v>
      </c>
      <c r="E785" s="4"/>
      <c r="F785" s="4" t="s">
        <v>169</v>
      </c>
      <c r="G785" s="4" t="s">
        <v>170</v>
      </c>
      <c r="H785" s="4" t="s">
        <v>171</v>
      </c>
      <c r="I785" s="4" t="s">
        <v>172</v>
      </c>
      <c r="J785" s="4" t="s">
        <v>962</v>
      </c>
      <c r="K785" s="4" t="s">
        <v>78</v>
      </c>
      <c r="L785" s="4" t="s">
        <v>79</v>
      </c>
      <c r="M785" s="4"/>
      <c r="N785" s="4"/>
      <c r="O785" s="4"/>
      <c r="P785" s="4"/>
      <c r="Q785" s="4"/>
      <c r="R785" s="4"/>
      <c r="S785" s="13" t="n">
        <v>0</v>
      </c>
      <c r="T785" s="4" t="s">
        <v>173</v>
      </c>
      <c r="U785" s="14" t="n">
        <f aca="false">IF(OR($S785="",PARAMETROS!$B$4=""),"",$S785*PARAMETROS!$B$4)</f>
        <v>0</v>
      </c>
      <c r="V785" s="13" t="n">
        <v>0</v>
      </c>
      <c r="W785" s="4"/>
      <c r="X785" s="4"/>
      <c r="Y785" s="4"/>
      <c r="Z785" s="4"/>
      <c r="AA785" s="4"/>
      <c r="AB785" s="4"/>
      <c r="AC785" s="4"/>
      <c r="AD785" s="4"/>
      <c r="AE785" s="4"/>
      <c r="AF785" s="4"/>
      <c r="AG785" s="4"/>
      <c r="AH785" s="4"/>
      <c r="AI785" s="4"/>
      <c r="AJ785" s="4"/>
      <c r="AK785" s="4"/>
      <c r="AL785" s="4" t="s">
        <v>174</v>
      </c>
      <c r="AM785" s="4" t="s">
        <v>175</v>
      </c>
    </row>
    <row r="786" customFormat="false" ht="23.85" hidden="false" customHeight="false" outlineLevel="0" collapsed="false">
      <c r="A786" s="4" t="s">
        <v>167</v>
      </c>
      <c r="B786" s="4" t="s">
        <v>963</v>
      </c>
      <c r="C786" s="4" t="s">
        <v>963</v>
      </c>
      <c r="D786" s="12" t="n">
        <v>2021</v>
      </c>
      <c r="E786" s="4"/>
      <c r="F786" s="4" t="s">
        <v>169</v>
      </c>
      <c r="G786" s="4" t="s">
        <v>170</v>
      </c>
      <c r="H786" s="4" t="s">
        <v>171</v>
      </c>
      <c r="I786" s="4" t="s">
        <v>172</v>
      </c>
      <c r="J786" s="4" t="s">
        <v>963</v>
      </c>
      <c r="K786" s="4" t="s">
        <v>80</v>
      </c>
      <c r="L786" s="4" t="s">
        <v>81</v>
      </c>
      <c r="M786" s="4"/>
      <c r="N786" s="4"/>
      <c r="O786" s="4"/>
      <c r="P786" s="4"/>
      <c r="Q786" s="4"/>
      <c r="R786" s="4"/>
      <c r="S786" s="13" t="n">
        <v>1943.02</v>
      </c>
      <c r="T786" s="4" t="s">
        <v>173</v>
      </c>
      <c r="U786" s="14" t="n">
        <f aca="false">IF(OR($S786="",PARAMETROS!$B$4=""),"",$S786*PARAMETROS!$B$4)</f>
        <v>11288.9462</v>
      </c>
      <c r="V786" s="13" t="n">
        <v>0</v>
      </c>
      <c r="W786" s="4"/>
      <c r="X786" s="4"/>
      <c r="Y786" s="4"/>
      <c r="Z786" s="4"/>
      <c r="AA786" s="4"/>
      <c r="AB786" s="4"/>
      <c r="AC786" s="4"/>
      <c r="AD786" s="4"/>
      <c r="AE786" s="4"/>
      <c r="AF786" s="4"/>
      <c r="AG786" s="4"/>
      <c r="AH786" s="4"/>
      <c r="AI786" s="4"/>
      <c r="AJ786" s="4"/>
      <c r="AK786" s="4"/>
      <c r="AL786" s="4" t="s">
        <v>174</v>
      </c>
      <c r="AM786" s="4" t="s">
        <v>190</v>
      </c>
    </row>
    <row r="787" customFormat="false" ht="23.85" hidden="false" customHeight="false" outlineLevel="0" collapsed="false">
      <c r="A787" s="4" t="s">
        <v>167</v>
      </c>
      <c r="B787" s="4" t="s">
        <v>964</v>
      </c>
      <c r="C787" s="4" t="s">
        <v>964</v>
      </c>
      <c r="D787" s="12" t="n">
        <v>2021</v>
      </c>
      <c r="E787" s="4"/>
      <c r="F787" s="4" t="s">
        <v>169</v>
      </c>
      <c r="G787" s="4" t="s">
        <v>170</v>
      </c>
      <c r="H787" s="4" t="s">
        <v>171</v>
      </c>
      <c r="I787" s="4" t="s">
        <v>172</v>
      </c>
      <c r="J787" s="4" t="s">
        <v>964</v>
      </c>
      <c r="K787" s="4" t="s">
        <v>80</v>
      </c>
      <c r="L787" s="4" t="s">
        <v>81</v>
      </c>
      <c r="M787" s="4"/>
      <c r="N787" s="4"/>
      <c r="O787" s="4"/>
      <c r="P787" s="4"/>
      <c r="Q787" s="4"/>
      <c r="R787" s="4"/>
      <c r="S787" s="13" t="n">
        <v>0</v>
      </c>
      <c r="T787" s="4" t="s">
        <v>173</v>
      </c>
      <c r="U787" s="14" t="n">
        <f aca="false">IF(OR($S787="",PARAMETROS!$B$4=""),"",$S787*PARAMETROS!$B$4)</f>
        <v>0</v>
      </c>
      <c r="V787" s="13" t="n">
        <v>0</v>
      </c>
      <c r="W787" s="4"/>
      <c r="X787" s="4"/>
      <c r="Y787" s="4"/>
      <c r="Z787" s="4"/>
      <c r="AA787" s="4"/>
      <c r="AB787" s="4"/>
      <c r="AC787" s="4"/>
      <c r="AD787" s="4"/>
      <c r="AE787" s="4"/>
      <c r="AF787" s="4"/>
      <c r="AG787" s="4"/>
      <c r="AH787" s="4"/>
      <c r="AI787" s="4"/>
      <c r="AJ787" s="4"/>
      <c r="AK787" s="4"/>
      <c r="AL787" s="4" t="s">
        <v>174</v>
      </c>
      <c r="AM787" s="4" t="s">
        <v>190</v>
      </c>
    </row>
    <row r="788" customFormat="false" ht="23.85" hidden="false" customHeight="false" outlineLevel="0" collapsed="false">
      <c r="A788" s="4" t="s">
        <v>167</v>
      </c>
      <c r="B788" s="4" t="s">
        <v>965</v>
      </c>
      <c r="C788" s="4" t="s">
        <v>965</v>
      </c>
      <c r="D788" s="12" t="n">
        <v>2021</v>
      </c>
      <c r="E788" s="4"/>
      <c r="F788" s="4" t="s">
        <v>169</v>
      </c>
      <c r="G788" s="4" t="s">
        <v>170</v>
      </c>
      <c r="H788" s="4" t="s">
        <v>171</v>
      </c>
      <c r="I788" s="4" t="s">
        <v>172</v>
      </c>
      <c r="J788" s="4" t="s">
        <v>965</v>
      </c>
      <c r="K788" s="4" t="s">
        <v>80</v>
      </c>
      <c r="L788" s="4" t="s">
        <v>81</v>
      </c>
      <c r="M788" s="4"/>
      <c r="N788" s="4"/>
      <c r="O788" s="4"/>
      <c r="P788" s="4"/>
      <c r="Q788" s="4"/>
      <c r="R788" s="4"/>
      <c r="S788" s="13" t="n">
        <v>0</v>
      </c>
      <c r="T788" s="4" t="s">
        <v>173</v>
      </c>
      <c r="U788" s="14" t="n">
        <f aca="false">IF(OR($S788="",PARAMETROS!$B$4=""),"",$S788*PARAMETROS!$B$4)</f>
        <v>0</v>
      </c>
      <c r="V788" s="13" t="n">
        <v>0</v>
      </c>
      <c r="W788" s="4"/>
      <c r="X788" s="4"/>
      <c r="Y788" s="4"/>
      <c r="Z788" s="4"/>
      <c r="AA788" s="4"/>
      <c r="AB788" s="4"/>
      <c r="AC788" s="4"/>
      <c r="AD788" s="4"/>
      <c r="AE788" s="4"/>
      <c r="AF788" s="4"/>
      <c r="AG788" s="4"/>
      <c r="AH788" s="4"/>
      <c r="AI788" s="4"/>
      <c r="AJ788" s="4"/>
      <c r="AK788" s="4"/>
      <c r="AL788" s="4" t="s">
        <v>174</v>
      </c>
      <c r="AM788" s="4" t="s">
        <v>190</v>
      </c>
    </row>
    <row r="789" customFormat="false" ht="23.85" hidden="false" customHeight="false" outlineLevel="0" collapsed="false">
      <c r="A789" s="4" t="s">
        <v>167</v>
      </c>
      <c r="B789" s="4" t="s">
        <v>966</v>
      </c>
      <c r="C789" s="4" t="s">
        <v>966</v>
      </c>
      <c r="D789" s="12" t="n">
        <v>2021</v>
      </c>
      <c r="E789" s="4"/>
      <c r="F789" s="4" t="s">
        <v>169</v>
      </c>
      <c r="G789" s="4" t="s">
        <v>170</v>
      </c>
      <c r="H789" s="4" t="s">
        <v>171</v>
      </c>
      <c r="I789" s="4" t="s">
        <v>172</v>
      </c>
      <c r="J789" s="4" t="s">
        <v>966</v>
      </c>
      <c r="K789" s="4" t="s">
        <v>80</v>
      </c>
      <c r="L789" s="4" t="s">
        <v>81</v>
      </c>
      <c r="M789" s="4"/>
      <c r="N789" s="4"/>
      <c r="O789" s="4"/>
      <c r="P789" s="4"/>
      <c r="Q789" s="4"/>
      <c r="R789" s="4"/>
      <c r="S789" s="13" t="n">
        <v>0</v>
      </c>
      <c r="T789" s="4" t="s">
        <v>173</v>
      </c>
      <c r="U789" s="14" t="n">
        <f aca="false">IF(OR($S789="",PARAMETROS!$B$4=""),"",$S789*PARAMETROS!$B$4)</f>
        <v>0</v>
      </c>
      <c r="V789" s="13" t="n">
        <v>0</v>
      </c>
      <c r="W789" s="4"/>
      <c r="X789" s="4"/>
      <c r="Y789" s="4"/>
      <c r="Z789" s="4"/>
      <c r="AA789" s="4"/>
      <c r="AB789" s="4"/>
      <c r="AC789" s="4"/>
      <c r="AD789" s="4"/>
      <c r="AE789" s="4"/>
      <c r="AF789" s="4"/>
      <c r="AG789" s="4"/>
      <c r="AH789" s="4"/>
      <c r="AI789" s="4"/>
      <c r="AJ789" s="4"/>
      <c r="AK789" s="4"/>
      <c r="AL789" s="4" t="s">
        <v>174</v>
      </c>
      <c r="AM789" s="4" t="s">
        <v>190</v>
      </c>
    </row>
    <row r="790" customFormat="false" ht="23.85" hidden="false" customHeight="false" outlineLevel="0" collapsed="false">
      <c r="A790" s="4" t="s">
        <v>167</v>
      </c>
      <c r="B790" s="4" t="s">
        <v>967</v>
      </c>
      <c r="C790" s="4" t="s">
        <v>967</v>
      </c>
      <c r="D790" s="12" t="n">
        <v>2021</v>
      </c>
      <c r="E790" s="4"/>
      <c r="F790" s="4" t="s">
        <v>169</v>
      </c>
      <c r="G790" s="4" t="s">
        <v>170</v>
      </c>
      <c r="H790" s="4" t="s">
        <v>171</v>
      </c>
      <c r="I790" s="4" t="s">
        <v>172</v>
      </c>
      <c r="J790" s="4" t="s">
        <v>967</v>
      </c>
      <c r="K790" s="4" t="s">
        <v>80</v>
      </c>
      <c r="L790" s="4" t="s">
        <v>81</v>
      </c>
      <c r="M790" s="4"/>
      <c r="N790" s="4"/>
      <c r="O790" s="4"/>
      <c r="P790" s="4"/>
      <c r="Q790" s="4"/>
      <c r="R790" s="4"/>
      <c r="S790" s="13" t="n">
        <v>0</v>
      </c>
      <c r="T790" s="4" t="s">
        <v>173</v>
      </c>
      <c r="U790" s="14" t="n">
        <f aca="false">IF(OR($S790="",PARAMETROS!$B$4=""),"",$S790*PARAMETROS!$B$4)</f>
        <v>0</v>
      </c>
      <c r="V790" s="13" t="n">
        <v>0</v>
      </c>
      <c r="W790" s="4"/>
      <c r="X790" s="4"/>
      <c r="Y790" s="4"/>
      <c r="Z790" s="4"/>
      <c r="AA790" s="4"/>
      <c r="AB790" s="4"/>
      <c r="AC790" s="4"/>
      <c r="AD790" s="4"/>
      <c r="AE790" s="4"/>
      <c r="AF790" s="4"/>
      <c r="AG790" s="4"/>
      <c r="AH790" s="4"/>
      <c r="AI790" s="4"/>
      <c r="AJ790" s="4"/>
      <c r="AK790" s="4"/>
      <c r="AL790" s="4" t="s">
        <v>174</v>
      </c>
      <c r="AM790" s="4" t="s">
        <v>190</v>
      </c>
    </row>
    <row r="791" customFormat="false" ht="23.85" hidden="false" customHeight="false" outlineLevel="0" collapsed="false">
      <c r="A791" s="4" t="s">
        <v>167</v>
      </c>
      <c r="B791" s="4" t="s">
        <v>968</v>
      </c>
      <c r="C791" s="4" t="s">
        <v>968</v>
      </c>
      <c r="D791" s="12" t="n">
        <v>2021</v>
      </c>
      <c r="E791" s="4"/>
      <c r="F791" s="4" t="s">
        <v>169</v>
      </c>
      <c r="G791" s="4" t="s">
        <v>170</v>
      </c>
      <c r="H791" s="4" t="s">
        <v>171</v>
      </c>
      <c r="I791" s="4" t="s">
        <v>172</v>
      </c>
      <c r="J791" s="4" t="s">
        <v>968</v>
      </c>
      <c r="K791" s="4" t="s">
        <v>80</v>
      </c>
      <c r="L791" s="4" t="s">
        <v>81</v>
      </c>
      <c r="M791" s="4"/>
      <c r="N791" s="4"/>
      <c r="O791" s="4"/>
      <c r="P791" s="4"/>
      <c r="Q791" s="4"/>
      <c r="R791" s="4"/>
      <c r="S791" s="13" t="n">
        <v>-1943.02</v>
      </c>
      <c r="T791" s="4" t="s">
        <v>173</v>
      </c>
      <c r="U791" s="14" t="n">
        <f aca="false">IF(OR($S791="",PARAMETROS!$B$4=""),"",$S791*PARAMETROS!$B$4)</f>
        <v>-11288.9462</v>
      </c>
      <c r="V791" s="13" t="n">
        <v>0</v>
      </c>
      <c r="W791" s="4"/>
      <c r="X791" s="4"/>
      <c r="Y791" s="4"/>
      <c r="Z791" s="4"/>
      <c r="AA791" s="4"/>
      <c r="AB791" s="4"/>
      <c r="AC791" s="4"/>
      <c r="AD791" s="4"/>
      <c r="AE791" s="4"/>
      <c r="AF791" s="4"/>
      <c r="AG791" s="4"/>
      <c r="AH791" s="4"/>
      <c r="AI791" s="4"/>
      <c r="AJ791" s="4"/>
      <c r="AK791" s="4"/>
      <c r="AL791" s="4" t="s">
        <v>174</v>
      </c>
      <c r="AM791" s="4" t="s">
        <v>190</v>
      </c>
    </row>
    <row r="792" customFormat="false" ht="23.85" hidden="false" customHeight="false" outlineLevel="0" collapsed="false">
      <c r="A792" s="4" t="s">
        <v>167</v>
      </c>
      <c r="B792" s="4" t="s">
        <v>969</v>
      </c>
      <c r="C792" s="4" t="s">
        <v>969</v>
      </c>
      <c r="D792" s="12" t="n">
        <v>2021</v>
      </c>
      <c r="E792" s="4"/>
      <c r="F792" s="4" t="s">
        <v>169</v>
      </c>
      <c r="G792" s="4" t="s">
        <v>170</v>
      </c>
      <c r="H792" s="4" t="s">
        <v>171</v>
      </c>
      <c r="I792" s="4" t="s">
        <v>172</v>
      </c>
      <c r="J792" s="4" t="s">
        <v>969</v>
      </c>
      <c r="K792" s="4" t="s">
        <v>80</v>
      </c>
      <c r="L792" s="4" t="s">
        <v>81</v>
      </c>
      <c r="M792" s="4"/>
      <c r="N792" s="4"/>
      <c r="O792" s="4"/>
      <c r="P792" s="4"/>
      <c r="Q792" s="4"/>
      <c r="R792" s="4"/>
      <c r="S792" s="13" t="n">
        <v>0</v>
      </c>
      <c r="T792" s="4" t="s">
        <v>173</v>
      </c>
      <c r="U792" s="14" t="n">
        <f aca="false">IF(OR($S792="",PARAMETROS!$B$4=""),"",$S792*PARAMETROS!$B$4)</f>
        <v>0</v>
      </c>
      <c r="V792" s="13" t="n">
        <v>0</v>
      </c>
      <c r="W792" s="4"/>
      <c r="X792" s="4"/>
      <c r="Y792" s="4"/>
      <c r="Z792" s="4"/>
      <c r="AA792" s="4"/>
      <c r="AB792" s="4"/>
      <c r="AC792" s="4"/>
      <c r="AD792" s="4"/>
      <c r="AE792" s="4"/>
      <c r="AF792" s="4"/>
      <c r="AG792" s="4"/>
      <c r="AH792" s="4"/>
      <c r="AI792" s="4"/>
      <c r="AJ792" s="4"/>
      <c r="AK792" s="4"/>
      <c r="AL792" s="4" t="s">
        <v>174</v>
      </c>
      <c r="AM792" s="4" t="s">
        <v>190</v>
      </c>
    </row>
    <row r="793" customFormat="false" ht="23.85" hidden="false" customHeight="false" outlineLevel="0" collapsed="false">
      <c r="A793" s="4" t="s">
        <v>167</v>
      </c>
      <c r="B793" s="4" t="s">
        <v>970</v>
      </c>
      <c r="C793" s="4" t="s">
        <v>970</v>
      </c>
      <c r="D793" s="12" t="n">
        <v>2021</v>
      </c>
      <c r="E793" s="4"/>
      <c r="F793" s="4" t="s">
        <v>169</v>
      </c>
      <c r="G793" s="4" t="s">
        <v>170</v>
      </c>
      <c r="H793" s="4" t="s">
        <v>171</v>
      </c>
      <c r="I793" s="4" t="s">
        <v>172</v>
      </c>
      <c r="J793" s="4" t="s">
        <v>970</v>
      </c>
      <c r="K793" s="4" t="s">
        <v>80</v>
      </c>
      <c r="L793" s="4" t="s">
        <v>81</v>
      </c>
      <c r="M793" s="4"/>
      <c r="N793" s="4"/>
      <c r="O793" s="4"/>
      <c r="P793" s="4"/>
      <c r="Q793" s="4"/>
      <c r="R793" s="4"/>
      <c r="S793" s="13" t="n">
        <v>0</v>
      </c>
      <c r="T793" s="4" t="s">
        <v>173</v>
      </c>
      <c r="U793" s="14" t="n">
        <f aca="false">IF(OR($S793="",PARAMETROS!$B$4=""),"",$S793*PARAMETROS!$B$4)</f>
        <v>0</v>
      </c>
      <c r="V793" s="13" t="n">
        <v>0</v>
      </c>
      <c r="W793" s="4"/>
      <c r="X793" s="4"/>
      <c r="Y793" s="4"/>
      <c r="Z793" s="4"/>
      <c r="AA793" s="4"/>
      <c r="AB793" s="4"/>
      <c r="AC793" s="4"/>
      <c r="AD793" s="4"/>
      <c r="AE793" s="4"/>
      <c r="AF793" s="4"/>
      <c r="AG793" s="4"/>
      <c r="AH793" s="4"/>
      <c r="AI793" s="4"/>
      <c r="AJ793" s="4"/>
      <c r="AK793" s="4"/>
      <c r="AL793" s="4" t="s">
        <v>174</v>
      </c>
      <c r="AM793" s="4" t="s">
        <v>190</v>
      </c>
    </row>
    <row r="794" customFormat="false" ht="23.85" hidden="false" customHeight="false" outlineLevel="0" collapsed="false">
      <c r="A794" s="4" t="s">
        <v>167</v>
      </c>
      <c r="B794" s="4" t="s">
        <v>971</v>
      </c>
      <c r="C794" s="4" t="s">
        <v>971</v>
      </c>
      <c r="D794" s="12" t="n">
        <v>2021</v>
      </c>
      <c r="E794" s="4"/>
      <c r="F794" s="4" t="s">
        <v>169</v>
      </c>
      <c r="G794" s="4" t="s">
        <v>170</v>
      </c>
      <c r="H794" s="4" t="s">
        <v>171</v>
      </c>
      <c r="I794" s="4" t="s">
        <v>172</v>
      </c>
      <c r="J794" s="4" t="s">
        <v>971</v>
      </c>
      <c r="K794" s="4" t="s">
        <v>80</v>
      </c>
      <c r="L794" s="4" t="s">
        <v>81</v>
      </c>
      <c r="M794" s="4"/>
      <c r="N794" s="4"/>
      <c r="O794" s="4"/>
      <c r="P794" s="4"/>
      <c r="Q794" s="4"/>
      <c r="R794" s="4"/>
      <c r="S794" s="13" t="n">
        <v>0</v>
      </c>
      <c r="T794" s="4" t="s">
        <v>173</v>
      </c>
      <c r="U794" s="14" t="n">
        <f aca="false">IF(OR($S794="",PARAMETROS!$B$4=""),"",$S794*PARAMETROS!$B$4)</f>
        <v>0</v>
      </c>
      <c r="V794" s="13" t="n">
        <v>0</v>
      </c>
      <c r="W794" s="4"/>
      <c r="X794" s="4"/>
      <c r="Y794" s="4"/>
      <c r="Z794" s="4"/>
      <c r="AA794" s="4"/>
      <c r="AB794" s="4"/>
      <c r="AC794" s="4"/>
      <c r="AD794" s="4"/>
      <c r="AE794" s="4"/>
      <c r="AF794" s="4"/>
      <c r="AG794" s="4"/>
      <c r="AH794" s="4"/>
      <c r="AI794" s="4"/>
      <c r="AJ794" s="4"/>
      <c r="AK794" s="4"/>
      <c r="AL794" s="4" t="s">
        <v>174</v>
      </c>
      <c r="AM794" s="4" t="s">
        <v>190</v>
      </c>
    </row>
    <row r="795" customFormat="false" ht="23.85" hidden="false" customHeight="false" outlineLevel="0" collapsed="false">
      <c r="A795" s="4" t="s">
        <v>167</v>
      </c>
      <c r="B795" s="4" t="s">
        <v>972</v>
      </c>
      <c r="C795" s="4" t="s">
        <v>972</v>
      </c>
      <c r="D795" s="12" t="n">
        <v>2021</v>
      </c>
      <c r="E795" s="4"/>
      <c r="F795" s="4" t="s">
        <v>169</v>
      </c>
      <c r="G795" s="4" t="s">
        <v>170</v>
      </c>
      <c r="H795" s="4" t="s">
        <v>171</v>
      </c>
      <c r="I795" s="4" t="s">
        <v>172</v>
      </c>
      <c r="J795" s="4" t="s">
        <v>972</v>
      </c>
      <c r="K795" s="4" t="s">
        <v>80</v>
      </c>
      <c r="L795" s="4" t="s">
        <v>81</v>
      </c>
      <c r="M795" s="4"/>
      <c r="N795" s="4"/>
      <c r="O795" s="4"/>
      <c r="P795" s="4"/>
      <c r="Q795" s="4"/>
      <c r="R795" s="4"/>
      <c r="S795" s="13" t="n">
        <v>0</v>
      </c>
      <c r="T795" s="4" t="s">
        <v>173</v>
      </c>
      <c r="U795" s="14" t="n">
        <f aca="false">IF(OR($S795="",PARAMETROS!$B$4=""),"",$S795*PARAMETROS!$B$4)</f>
        <v>0</v>
      </c>
      <c r="V795" s="13" t="n">
        <v>0</v>
      </c>
      <c r="W795" s="4"/>
      <c r="X795" s="4"/>
      <c r="Y795" s="4"/>
      <c r="Z795" s="4"/>
      <c r="AA795" s="4"/>
      <c r="AB795" s="4"/>
      <c r="AC795" s="4"/>
      <c r="AD795" s="4"/>
      <c r="AE795" s="4"/>
      <c r="AF795" s="4"/>
      <c r="AG795" s="4"/>
      <c r="AH795" s="4"/>
      <c r="AI795" s="4"/>
      <c r="AJ795" s="4"/>
      <c r="AK795" s="4"/>
      <c r="AL795" s="4" t="s">
        <v>174</v>
      </c>
      <c r="AM795" s="4" t="s">
        <v>190</v>
      </c>
    </row>
    <row r="796" customFormat="false" ht="23.85" hidden="false" customHeight="false" outlineLevel="0" collapsed="false">
      <c r="A796" s="4" t="s">
        <v>167</v>
      </c>
      <c r="B796" s="4" t="s">
        <v>973</v>
      </c>
      <c r="C796" s="4" t="s">
        <v>973</v>
      </c>
      <c r="D796" s="12" t="n">
        <v>2021</v>
      </c>
      <c r="E796" s="4"/>
      <c r="F796" s="4" t="s">
        <v>169</v>
      </c>
      <c r="G796" s="4" t="s">
        <v>170</v>
      </c>
      <c r="H796" s="4" t="s">
        <v>171</v>
      </c>
      <c r="I796" s="4" t="s">
        <v>172</v>
      </c>
      <c r="J796" s="4" t="s">
        <v>973</v>
      </c>
      <c r="K796" s="4" t="s">
        <v>80</v>
      </c>
      <c r="L796" s="4" t="s">
        <v>81</v>
      </c>
      <c r="M796" s="4"/>
      <c r="N796" s="4"/>
      <c r="O796" s="4"/>
      <c r="P796" s="4"/>
      <c r="Q796" s="4"/>
      <c r="R796" s="4"/>
      <c r="S796" s="13" t="n">
        <v>0</v>
      </c>
      <c r="T796" s="4" t="s">
        <v>173</v>
      </c>
      <c r="U796" s="14" t="n">
        <f aca="false">IF(OR($S796="",PARAMETROS!$B$4=""),"",$S796*PARAMETROS!$B$4)</f>
        <v>0</v>
      </c>
      <c r="V796" s="13" t="n">
        <v>0</v>
      </c>
      <c r="W796" s="4"/>
      <c r="X796" s="4"/>
      <c r="Y796" s="4"/>
      <c r="Z796" s="4"/>
      <c r="AA796" s="4"/>
      <c r="AB796" s="4"/>
      <c r="AC796" s="4"/>
      <c r="AD796" s="4"/>
      <c r="AE796" s="4"/>
      <c r="AF796" s="4"/>
      <c r="AG796" s="4"/>
      <c r="AH796" s="4"/>
      <c r="AI796" s="4"/>
      <c r="AJ796" s="4"/>
      <c r="AK796" s="4"/>
      <c r="AL796" s="4" t="s">
        <v>174</v>
      </c>
      <c r="AM796" s="4" t="s">
        <v>190</v>
      </c>
    </row>
    <row r="797" customFormat="false" ht="23.85" hidden="false" customHeight="false" outlineLevel="0" collapsed="false">
      <c r="A797" s="4" t="s">
        <v>167</v>
      </c>
      <c r="B797" s="4" t="s">
        <v>974</v>
      </c>
      <c r="C797" s="4" t="s">
        <v>974</v>
      </c>
      <c r="D797" s="12" t="n">
        <v>2021</v>
      </c>
      <c r="E797" s="4"/>
      <c r="F797" s="4" t="s">
        <v>169</v>
      </c>
      <c r="G797" s="4" t="s">
        <v>170</v>
      </c>
      <c r="H797" s="4" t="s">
        <v>171</v>
      </c>
      <c r="I797" s="4" t="s">
        <v>172</v>
      </c>
      <c r="J797" s="4" t="s">
        <v>974</v>
      </c>
      <c r="K797" s="4" t="s">
        <v>80</v>
      </c>
      <c r="L797" s="4" t="s">
        <v>81</v>
      </c>
      <c r="M797" s="4"/>
      <c r="N797" s="4"/>
      <c r="O797" s="4"/>
      <c r="P797" s="4"/>
      <c r="Q797" s="4"/>
      <c r="R797" s="4"/>
      <c r="S797" s="13" t="n">
        <v>0</v>
      </c>
      <c r="T797" s="4" t="s">
        <v>173</v>
      </c>
      <c r="U797" s="14" t="n">
        <f aca="false">IF(OR($S797="",PARAMETROS!$B$4=""),"",$S797*PARAMETROS!$B$4)</f>
        <v>0</v>
      </c>
      <c r="V797" s="13" t="n">
        <v>0</v>
      </c>
      <c r="W797" s="4"/>
      <c r="X797" s="4"/>
      <c r="Y797" s="4"/>
      <c r="Z797" s="4"/>
      <c r="AA797" s="4"/>
      <c r="AB797" s="4"/>
      <c r="AC797" s="4"/>
      <c r="AD797" s="4"/>
      <c r="AE797" s="4"/>
      <c r="AF797" s="4"/>
      <c r="AG797" s="4"/>
      <c r="AH797" s="4"/>
      <c r="AI797" s="4"/>
      <c r="AJ797" s="4"/>
      <c r="AK797" s="4"/>
      <c r="AL797" s="4" t="s">
        <v>174</v>
      </c>
      <c r="AM797" s="4" t="s">
        <v>190</v>
      </c>
    </row>
    <row r="798" customFormat="false" ht="23.85" hidden="false" customHeight="false" outlineLevel="0" collapsed="false">
      <c r="A798" s="4" t="s">
        <v>167</v>
      </c>
      <c r="B798" s="4" t="s">
        <v>975</v>
      </c>
      <c r="C798" s="4" t="s">
        <v>975</v>
      </c>
      <c r="D798" s="12" t="n">
        <v>2021</v>
      </c>
      <c r="E798" s="4"/>
      <c r="F798" s="4" t="s">
        <v>169</v>
      </c>
      <c r="G798" s="4" t="s">
        <v>170</v>
      </c>
      <c r="H798" s="4" t="s">
        <v>171</v>
      </c>
      <c r="I798" s="4" t="s">
        <v>172</v>
      </c>
      <c r="J798" s="4" t="s">
        <v>975</v>
      </c>
      <c r="K798" s="4" t="s">
        <v>80</v>
      </c>
      <c r="L798" s="4" t="s">
        <v>81</v>
      </c>
      <c r="M798" s="4"/>
      <c r="N798" s="4"/>
      <c r="O798" s="4"/>
      <c r="P798" s="4"/>
      <c r="Q798" s="4"/>
      <c r="R798" s="4"/>
      <c r="S798" s="13" t="n">
        <v>0</v>
      </c>
      <c r="T798" s="4" t="s">
        <v>173</v>
      </c>
      <c r="U798" s="14" t="n">
        <f aca="false">IF(OR($S798="",PARAMETROS!$B$4=""),"",$S798*PARAMETROS!$B$4)</f>
        <v>0</v>
      </c>
      <c r="V798" s="13" t="n">
        <v>0</v>
      </c>
      <c r="W798" s="4"/>
      <c r="X798" s="4"/>
      <c r="Y798" s="4"/>
      <c r="Z798" s="4"/>
      <c r="AA798" s="4"/>
      <c r="AB798" s="4"/>
      <c r="AC798" s="4"/>
      <c r="AD798" s="4"/>
      <c r="AE798" s="4"/>
      <c r="AF798" s="4"/>
      <c r="AG798" s="4"/>
      <c r="AH798" s="4"/>
      <c r="AI798" s="4"/>
      <c r="AJ798" s="4"/>
      <c r="AK798" s="4"/>
      <c r="AL798" s="4" t="s">
        <v>174</v>
      </c>
      <c r="AM798" s="4" t="s">
        <v>190</v>
      </c>
    </row>
    <row r="799" customFormat="false" ht="23.85" hidden="false" customHeight="false" outlineLevel="0" collapsed="false">
      <c r="A799" s="4" t="s">
        <v>167</v>
      </c>
      <c r="B799" s="4" t="s">
        <v>976</v>
      </c>
      <c r="C799" s="4" t="s">
        <v>976</v>
      </c>
      <c r="D799" s="12" t="n">
        <v>2021</v>
      </c>
      <c r="E799" s="4"/>
      <c r="F799" s="4" t="s">
        <v>169</v>
      </c>
      <c r="G799" s="4" t="s">
        <v>170</v>
      </c>
      <c r="H799" s="4" t="s">
        <v>171</v>
      </c>
      <c r="I799" s="4" t="s">
        <v>172</v>
      </c>
      <c r="J799" s="4" t="s">
        <v>976</v>
      </c>
      <c r="K799" s="4" t="s">
        <v>80</v>
      </c>
      <c r="L799" s="4" t="s">
        <v>81</v>
      </c>
      <c r="M799" s="4"/>
      <c r="N799" s="4"/>
      <c r="O799" s="4"/>
      <c r="P799" s="4"/>
      <c r="Q799" s="4"/>
      <c r="R799" s="4"/>
      <c r="S799" s="13" t="n">
        <v>0</v>
      </c>
      <c r="T799" s="4" t="s">
        <v>173</v>
      </c>
      <c r="U799" s="14" t="n">
        <f aca="false">IF(OR($S799="",PARAMETROS!$B$4=""),"",$S799*PARAMETROS!$B$4)</f>
        <v>0</v>
      </c>
      <c r="V799" s="13" t="n">
        <v>0</v>
      </c>
      <c r="W799" s="4"/>
      <c r="X799" s="4"/>
      <c r="Y799" s="4"/>
      <c r="Z799" s="4"/>
      <c r="AA799" s="4"/>
      <c r="AB799" s="4"/>
      <c r="AC799" s="4"/>
      <c r="AD799" s="4"/>
      <c r="AE799" s="4"/>
      <c r="AF799" s="4"/>
      <c r="AG799" s="4"/>
      <c r="AH799" s="4"/>
      <c r="AI799" s="4"/>
      <c r="AJ799" s="4"/>
      <c r="AK799" s="4"/>
      <c r="AL799" s="4" t="s">
        <v>174</v>
      </c>
      <c r="AM799" s="4" t="s">
        <v>190</v>
      </c>
    </row>
    <row r="800" customFormat="false" ht="23.85" hidden="false" customHeight="false" outlineLevel="0" collapsed="false">
      <c r="A800" s="4" t="s">
        <v>167</v>
      </c>
      <c r="B800" s="4" t="s">
        <v>977</v>
      </c>
      <c r="C800" s="4" t="s">
        <v>977</v>
      </c>
      <c r="D800" s="12" t="n">
        <v>2021</v>
      </c>
      <c r="E800" s="4"/>
      <c r="F800" s="4" t="s">
        <v>169</v>
      </c>
      <c r="G800" s="4" t="s">
        <v>170</v>
      </c>
      <c r="H800" s="4" t="s">
        <v>171</v>
      </c>
      <c r="I800" s="4" t="s">
        <v>172</v>
      </c>
      <c r="J800" s="4" t="s">
        <v>977</v>
      </c>
      <c r="K800" s="4" t="s">
        <v>82</v>
      </c>
      <c r="L800" s="4" t="s">
        <v>83</v>
      </c>
      <c r="M800" s="4"/>
      <c r="N800" s="4"/>
      <c r="O800" s="4"/>
      <c r="P800" s="4"/>
      <c r="Q800" s="4"/>
      <c r="R800" s="4"/>
      <c r="S800" s="13" t="n">
        <v>8.61</v>
      </c>
      <c r="T800" s="4" t="s">
        <v>173</v>
      </c>
      <c r="U800" s="14" t="n">
        <f aca="false">IF(OR($S800="",PARAMETROS!$B$4=""),"",$S800*PARAMETROS!$B$4)</f>
        <v>50.0241</v>
      </c>
      <c r="V800" s="13" t="n">
        <v>0</v>
      </c>
      <c r="W800" s="4"/>
      <c r="X800" s="4"/>
      <c r="Y800" s="4"/>
      <c r="Z800" s="4"/>
      <c r="AA800" s="4"/>
      <c r="AB800" s="4"/>
      <c r="AC800" s="4"/>
      <c r="AD800" s="4"/>
      <c r="AE800" s="4"/>
      <c r="AF800" s="4"/>
      <c r="AG800" s="4"/>
      <c r="AH800" s="4"/>
      <c r="AI800" s="4"/>
      <c r="AJ800" s="4"/>
      <c r="AK800" s="4"/>
      <c r="AL800" s="4" t="s">
        <v>174</v>
      </c>
      <c r="AM800" s="4" t="s">
        <v>205</v>
      </c>
    </row>
    <row r="801" customFormat="false" ht="23.85" hidden="false" customHeight="false" outlineLevel="0" collapsed="false">
      <c r="A801" s="4" t="s">
        <v>167</v>
      </c>
      <c r="B801" s="4" t="s">
        <v>978</v>
      </c>
      <c r="C801" s="4" t="s">
        <v>978</v>
      </c>
      <c r="D801" s="12" t="n">
        <v>2021</v>
      </c>
      <c r="E801" s="4"/>
      <c r="F801" s="4" t="s">
        <v>169</v>
      </c>
      <c r="G801" s="4" t="s">
        <v>170</v>
      </c>
      <c r="H801" s="4" t="s">
        <v>171</v>
      </c>
      <c r="I801" s="4" t="s">
        <v>172</v>
      </c>
      <c r="J801" s="4" t="s">
        <v>978</v>
      </c>
      <c r="K801" s="4" t="s">
        <v>82</v>
      </c>
      <c r="L801" s="4" t="s">
        <v>83</v>
      </c>
      <c r="M801" s="4"/>
      <c r="N801" s="4"/>
      <c r="O801" s="4"/>
      <c r="P801" s="4"/>
      <c r="Q801" s="4"/>
      <c r="R801" s="4"/>
      <c r="S801" s="13" t="n">
        <v>0</v>
      </c>
      <c r="T801" s="4" t="s">
        <v>173</v>
      </c>
      <c r="U801" s="14" t="n">
        <f aca="false">IF(OR($S801="",PARAMETROS!$B$4=""),"",$S801*PARAMETROS!$B$4)</f>
        <v>0</v>
      </c>
      <c r="V801" s="13" t="n">
        <v>0</v>
      </c>
      <c r="W801" s="4"/>
      <c r="X801" s="4"/>
      <c r="Y801" s="4"/>
      <c r="Z801" s="4"/>
      <c r="AA801" s="4"/>
      <c r="AB801" s="4"/>
      <c r="AC801" s="4"/>
      <c r="AD801" s="4"/>
      <c r="AE801" s="4"/>
      <c r="AF801" s="4"/>
      <c r="AG801" s="4"/>
      <c r="AH801" s="4"/>
      <c r="AI801" s="4"/>
      <c r="AJ801" s="4"/>
      <c r="AK801" s="4"/>
      <c r="AL801" s="4" t="s">
        <v>174</v>
      </c>
      <c r="AM801" s="4" t="s">
        <v>205</v>
      </c>
    </row>
    <row r="802" customFormat="false" ht="23.85" hidden="false" customHeight="false" outlineLevel="0" collapsed="false">
      <c r="A802" s="4" t="s">
        <v>167</v>
      </c>
      <c r="B802" s="4" t="s">
        <v>979</v>
      </c>
      <c r="C802" s="4" t="s">
        <v>979</v>
      </c>
      <c r="D802" s="12" t="n">
        <v>2021</v>
      </c>
      <c r="E802" s="4"/>
      <c r="F802" s="4" t="s">
        <v>169</v>
      </c>
      <c r="G802" s="4" t="s">
        <v>170</v>
      </c>
      <c r="H802" s="4" t="s">
        <v>171</v>
      </c>
      <c r="I802" s="4" t="s">
        <v>172</v>
      </c>
      <c r="J802" s="4" t="s">
        <v>979</v>
      </c>
      <c r="K802" s="4" t="s">
        <v>82</v>
      </c>
      <c r="L802" s="4" t="s">
        <v>83</v>
      </c>
      <c r="M802" s="4"/>
      <c r="N802" s="4"/>
      <c r="O802" s="4"/>
      <c r="P802" s="4"/>
      <c r="Q802" s="4"/>
      <c r="R802" s="4"/>
      <c r="S802" s="13" t="n">
        <v>0</v>
      </c>
      <c r="T802" s="4" t="s">
        <v>173</v>
      </c>
      <c r="U802" s="14" t="n">
        <f aca="false">IF(OR($S802="",PARAMETROS!$B$4=""),"",$S802*PARAMETROS!$B$4)</f>
        <v>0</v>
      </c>
      <c r="V802" s="13" t="n">
        <v>0</v>
      </c>
      <c r="W802" s="4"/>
      <c r="X802" s="4"/>
      <c r="Y802" s="4"/>
      <c r="Z802" s="4"/>
      <c r="AA802" s="4"/>
      <c r="AB802" s="4"/>
      <c r="AC802" s="4"/>
      <c r="AD802" s="4"/>
      <c r="AE802" s="4"/>
      <c r="AF802" s="4"/>
      <c r="AG802" s="4"/>
      <c r="AH802" s="4"/>
      <c r="AI802" s="4"/>
      <c r="AJ802" s="4"/>
      <c r="AK802" s="4"/>
      <c r="AL802" s="4" t="s">
        <v>174</v>
      </c>
      <c r="AM802" s="4" t="s">
        <v>205</v>
      </c>
    </row>
    <row r="803" customFormat="false" ht="23.85" hidden="false" customHeight="false" outlineLevel="0" collapsed="false">
      <c r="A803" s="4" t="s">
        <v>167</v>
      </c>
      <c r="B803" s="4" t="s">
        <v>980</v>
      </c>
      <c r="C803" s="4" t="s">
        <v>980</v>
      </c>
      <c r="D803" s="12" t="n">
        <v>2021</v>
      </c>
      <c r="E803" s="4"/>
      <c r="F803" s="4" t="s">
        <v>169</v>
      </c>
      <c r="G803" s="4" t="s">
        <v>170</v>
      </c>
      <c r="H803" s="4" t="s">
        <v>171</v>
      </c>
      <c r="I803" s="4" t="s">
        <v>172</v>
      </c>
      <c r="J803" s="4" t="s">
        <v>980</v>
      </c>
      <c r="K803" s="4" t="s">
        <v>82</v>
      </c>
      <c r="L803" s="4" t="s">
        <v>83</v>
      </c>
      <c r="M803" s="4"/>
      <c r="N803" s="4"/>
      <c r="O803" s="4"/>
      <c r="P803" s="4"/>
      <c r="Q803" s="4"/>
      <c r="R803" s="4"/>
      <c r="S803" s="13" t="n">
        <v>0</v>
      </c>
      <c r="T803" s="4" t="s">
        <v>173</v>
      </c>
      <c r="U803" s="14" t="n">
        <f aca="false">IF(OR($S803="",PARAMETROS!$B$4=""),"",$S803*PARAMETROS!$B$4)</f>
        <v>0</v>
      </c>
      <c r="V803" s="13" t="n">
        <v>0</v>
      </c>
      <c r="W803" s="4"/>
      <c r="X803" s="4"/>
      <c r="Y803" s="4"/>
      <c r="Z803" s="4"/>
      <c r="AA803" s="4"/>
      <c r="AB803" s="4"/>
      <c r="AC803" s="4"/>
      <c r="AD803" s="4"/>
      <c r="AE803" s="4"/>
      <c r="AF803" s="4"/>
      <c r="AG803" s="4"/>
      <c r="AH803" s="4"/>
      <c r="AI803" s="4"/>
      <c r="AJ803" s="4"/>
      <c r="AK803" s="4"/>
      <c r="AL803" s="4" t="s">
        <v>174</v>
      </c>
      <c r="AM803" s="4" t="s">
        <v>205</v>
      </c>
    </row>
    <row r="804" customFormat="false" ht="23.85" hidden="false" customHeight="false" outlineLevel="0" collapsed="false">
      <c r="A804" s="4" t="s">
        <v>167</v>
      </c>
      <c r="B804" s="4" t="s">
        <v>981</v>
      </c>
      <c r="C804" s="4" t="s">
        <v>981</v>
      </c>
      <c r="D804" s="12" t="n">
        <v>2021</v>
      </c>
      <c r="E804" s="4"/>
      <c r="F804" s="4" t="s">
        <v>169</v>
      </c>
      <c r="G804" s="4" t="s">
        <v>170</v>
      </c>
      <c r="H804" s="4" t="s">
        <v>171</v>
      </c>
      <c r="I804" s="4" t="s">
        <v>172</v>
      </c>
      <c r="J804" s="4" t="s">
        <v>981</v>
      </c>
      <c r="K804" s="4" t="s">
        <v>82</v>
      </c>
      <c r="L804" s="4" t="s">
        <v>83</v>
      </c>
      <c r="M804" s="4"/>
      <c r="N804" s="4"/>
      <c r="O804" s="4"/>
      <c r="P804" s="4"/>
      <c r="Q804" s="4"/>
      <c r="R804" s="4"/>
      <c r="S804" s="13" t="n">
        <v>0</v>
      </c>
      <c r="T804" s="4" t="s">
        <v>173</v>
      </c>
      <c r="U804" s="14" t="n">
        <f aca="false">IF(OR($S804="",PARAMETROS!$B$4=""),"",$S804*PARAMETROS!$B$4)</f>
        <v>0</v>
      </c>
      <c r="V804" s="13" t="n">
        <v>0</v>
      </c>
      <c r="W804" s="4"/>
      <c r="X804" s="4"/>
      <c r="Y804" s="4"/>
      <c r="Z804" s="4"/>
      <c r="AA804" s="4"/>
      <c r="AB804" s="4"/>
      <c r="AC804" s="4"/>
      <c r="AD804" s="4"/>
      <c r="AE804" s="4"/>
      <c r="AF804" s="4"/>
      <c r="AG804" s="4"/>
      <c r="AH804" s="4"/>
      <c r="AI804" s="4"/>
      <c r="AJ804" s="4"/>
      <c r="AK804" s="4"/>
      <c r="AL804" s="4" t="s">
        <v>174</v>
      </c>
      <c r="AM804" s="4" t="s">
        <v>205</v>
      </c>
    </row>
    <row r="805" customFormat="false" ht="23.85" hidden="false" customHeight="false" outlineLevel="0" collapsed="false">
      <c r="A805" s="4" t="s">
        <v>167</v>
      </c>
      <c r="B805" s="4" t="s">
        <v>982</v>
      </c>
      <c r="C805" s="4" t="s">
        <v>982</v>
      </c>
      <c r="D805" s="12" t="n">
        <v>2021</v>
      </c>
      <c r="E805" s="4"/>
      <c r="F805" s="4" t="s">
        <v>169</v>
      </c>
      <c r="G805" s="4" t="s">
        <v>170</v>
      </c>
      <c r="H805" s="4" t="s">
        <v>171</v>
      </c>
      <c r="I805" s="4" t="s">
        <v>172</v>
      </c>
      <c r="J805" s="4" t="s">
        <v>982</v>
      </c>
      <c r="K805" s="4" t="s">
        <v>82</v>
      </c>
      <c r="L805" s="4" t="s">
        <v>83</v>
      </c>
      <c r="M805" s="4"/>
      <c r="N805" s="4"/>
      <c r="O805" s="4"/>
      <c r="P805" s="4"/>
      <c r="Q805" s="4"/>
      <c r="R805" s="4"/>
      <c r="S805" s="13" t="n">
        <v>-8.61</v>
      </c>
      <c r="T805" s="4" t="s">
        <v>173</v>
      </c>
      <c r="U805" s="14" t="n">
        <f aca="false">IF(OR($S805="",PARAMETROS!$B$4=""),"",$S805*PARAMETROS!$B$4)</f>
        <v>-50.0241</v>
      </c>
      <c r="V805" s="13" t="n">
        <v>0</v>
      </c>
      <c r="W805" s="4"/>
      <c r="X805" s="4"/>
      <c r="Y805" s="4"/>
      <c r="Z805" s="4"/>
      <c r="AA805" s="4"/>
      <c r="AB805" s="4"/>
      <c r="AC805" s="4"/>
      <c r="AD805" s="4"/>
      <c r="AE805" s="4"/>
      <c r="AF805" s="4"/>
      <c r="AG805" s="4"/>
      <c r="AH805" s="4"/>
      <c r="AI805" s="4"/>
      <c r="AJ805" s="4"/>
      <c r="AK805" s="4"/>
      <c r="AL805" s="4" t="s">
        <v>174</v>
      </c>
      <c r="AM805" s="4" t="s">
        <v>205</v>
      </c>
    </row>
    <row r="806" customFormat="false" ht="23.85" hidden="false" customHeight="false" outlineLevel="0" collapsed="false">
      <c r="A806" s="4" t="s">
        <v>167</v>
      </c>
      <c r="B806" s="4" t="s">
        <v>983</v>
      </c>
      <c r="C806" s="4" t="s">
        <v>983</v>
      </c>
      <c r="D806" s="12" t="n">
        <v>2021</v>
      </c>
      <c r="E806" s="4"/>
      <c r="F806" s="4" t="s">
        <v>169</v>
      </c>
      <c r="G806" s="4" t="s">
        <v>170</v>
      </c>
      <c r="H806" s="4" t="s">
        <v>171</v>
      </c>
      <c r="I806" s="4" t="s">
        <v>172</v>
      </c>
      <c r="J806" s="4" t="s">
        <v>983</v>
      </c>
      <c r="K806" s="4" t="s">
        <v>82</v>
      </c>
      <c r="L806" s="4" t="s">
        <v>83</v>
      </c>
      <c r="M806" s="4"/>
      <c r="N806" s="4"/>
      <c r="O806" s="4"/>
      <c r="P806" s="4"/>
      <c r="Q806" s="4"/>
      <c r="R806" s="4"/>
      <c r="S806" s="13" t="n">
        <v>0</v>
      </c>
      <c r="T806" s="4" t="s">
        <v>173</v>
      </c>
      <c r="U806" s="14" t="n">
        <f aca="false">IF(OR($S806="",PARAMETROS!$B$4=""),"",$S806*PARAMETROS!$B$4)</f>
        <v>0</v>
      </c>
      <c r="V806" s="13" t="n">
        <v>0</v>
      </c>
      <c r="W806" s="4"/>
      <c r="X806" s="4"/>
      <c r="Y806" s="4"/>
      <c r="Z806" s="4"/>
      <c r="AA806" s="4"/>
      <c r="AB806" s="4"/>
      <c r="AC806" s="4"/>
      <c r="AD806" s="4"/>
      <c r="AE806" s="4"/>
      <c r="AF806" s="4"/>
      <c r="AG806" s="4"/>
      <c r="AH806" s="4"/>
      <c r="AI806" s="4"/>
      <c r="AJ806" s="4"/>
      <c r="AK806" s="4"/>
      <c r="AL806" s="4" t="s">
        <v>174</v>
      </c>
      <c r="AM806" s="4" t="s">
        <v>205</v>
      </c>
    </row>
    <row r="807" customFormat="false" ht="23.85" hidden="false" customHeight="false" outlineLevel="0" collapsed="false">
      <c r="A807" s="4" t="s">
        <v>167</v>
      </c>
      <c r="B807" s="4" t="s">
        <v>984</v>
      </c>
      <c r="C807" s="4" t="s">
        <v>984</v>
      </c>
      <c r="D807" s="12" t="n">
        <v>2021</v>
      </c>
      <c r="E807" s="4"/>
      <c r="F807" s="4" t="s">
        <v>169</v>
      </c>
      <c r="G807" s="4" t="s">
        <v>170</v>
      </c>
      <c r="H807" s="4" t="s">
        <v>171</v>
      </c>
      <c r="I807" s="4" t="s">
        <v>172</v>
      </c>
      <c r="J807" s="4" t="s">
        <v>984</v>
      </c>
      <c r="K807" s="4" t="s">
        <v>82</v>
      </c>
      <c r="L807" s="4" t="s">
        <v>83</v>
      </c>
      <c r="M807" s="4"/>
      <c r="N807" s="4"/>
      <c r="O807" s="4"/>
      <c r="P807" s="4"/>
      <c r="Q807" s="4"/>
      <c r="R807" s="4"/>
      <c r="S807" s="13" t="n">
        <v>0</v>
      </c>
      <c r="T807" s="4" t="s">
        <v>173</v>
      </c>
      <c r="U807" s="14" t="n">
        <f aca="false">IF(OR($S807="",PARAMETROS!$B$4=""),"",$S807*PARAMETROS!$B$4)</f>
        <v>0</v>
      </c>
      <c r="V807" s="13" t="n">
        <v>0</v>
      </c>
      <c r="W807" s="4"/>
      <c r="X807" s="4"/>
      <c r="Y807" s="4"/>
      <c r="Z807" s="4"/>
      <c r="AA807" s="4"/>
      <c r="AB807" s="4"/>
      <c r="AC807" s="4"/>
      <c r="AD807" s="4"/>
      <c r="AE807" s="4"/>
      <c r="AF807" s="4"/>
      <c r="AG807" s="4"/>
      <c r="AH807" s="4"/>
      <c r="AI807" s="4"/>
      <c r="AJ807" s="4"/>
      <c r="AK807" s="4"/>
      <c r="AL807" s="4" t="s">
        <v>174</v>
      </c>
      <c r="AM807" s="4" t="s">
        <v>205</v>
      </c>
    </row>
    <row r="808" customFormat="false" ht="23.85" hidden="false" customHeight="false" outlineLevel="0" collapsed="false">
      <c r="A808" s="4" t="s">
        <v>167</v>
      </c>
      <c r="B808" s="4" t="s">
        <v>985</v>
      </c>
      <c r="C808" s="4" t="s">
        <v>985</v>
      </c>
      <c r="D808" s="12" t="n">
        <v>2021</v>
      </c>
      <c r="E808" s="4"/>
      <c r="F808" s="4" t="s">
        <v>169</v>
      </c>
      <c r="G808" s="4" t="s">
        <v>170</v>
      </c>
      <c r="H808" s="4" t="s">
        <v>171</v>
      </c>
      <c r="I808" s="4" t="s">
        <v>172</v>
      </c>
      <c r="J808" s="4" t="s">
        <v>985</v>
      </c>
      <c r="K808" s="4" t="s">
        <v>82</v>
      </c>
      <c r="L808" s="4" t="s">
        <v>83</v>
      </c>
      <c r="M808" s="4"/>
      <c r="N808" s="4"/>
      <c r="O808" s="4"/>
      <c r="P808" s="4"/>
      <c r="Q808" s="4"/>
      <c r="R808" s="4"/>
      <c r="S808" s="13" t="n">
        <v>0</v>
      </c>
      <c r="T808" s="4" t="s">
        <v>173</v>
      </c>
      <c r="U808" s="14" t="n">
        <f aca="false">IF(OR($S808="",PARAMETROS!$B$4=""),"",$S808*PARAMETROS!$B$4)</f>
        <v>0</v>
      </c>
      <c r="V808" s="13" t="n">
        <v>0</v>
      </c>
      <c r="W808" s="4"/>
      <c r="X808" s="4"/>
      <c r="Y808" s="4"/>
      <c r="Z808" s="4"/>
      <c r="AA808" s="4"/>
      <c r="AB808" s="4"/>
      <c r="AC808" s="4"/>
      <c r="AD808" s="4"/>
      <c r="AE808" s="4"/>
      <c r="AF808" s="4"/>
      <c r="AG808" s="4"/>
      <c r="AH808" s="4"/>
      <c r="AI808" s="4"/>
      <c r="AJ808" s="4"/>
      <c r="AK808" s="4"/>
      <c r="AL808" s="4" t="s">
        <v>174</v>
      </c>
      <c r="AM808" s="4" t="s">
        <v>205</v>
      </c>
    </row>
    <row r="809" customFormat="false" ht="23.85" hidden="false" customHeight="false" outlineLevel="0" collapsed="false">
      <c r="A809" s="4" t="s">
        <v>167</v>
      </c>
      <c r="B809" s="4" t="s">
        <v>986</v>
      </c>
      <c r="C809" s="4" t="s">
        <v>986</v>
      </c>
      <c r="D809" s="12" t="n">
        <v>2021</v>
      </c>
      <c r="E809" s="4"/>
      <c r="F809" s="4" t="s">
        <v>169</v>
      </c>
      <c r="G809" s="4" t="s">
        <v>170</v>
      </c>
      <c r="H809" s="4" t="s">
        <v>171</v>
      </c>
      <c r="I809" s="4" t="s">
        <v>172</v>
      </c>
      <c r="J809" s="4" t="s">
        <v>986</v>
      </c>
      <c r="K809" s="4" t="s">
        <v>82</v>
      </c>
      <c r="L809" s="4" t="s">
        <v>83</v>
      </c>
      <c r="M809" s="4"/>
      <c r="N809" s="4"/>
      <c r="O809" s="4"/>
      <c r="P809" s="4"/>
      <c r="Q809" s="4"/>
      <c r="R809" s="4"/>
      <c r="S809" s="13" t="n">
        <v>0</v>
      </c>
      <c r="T809" s="4" t="s">
        <v>173</v>
      </c>
      <c r="U809" s="14" t="n">
        <f aca="false">IF(OR($S809="",PARAMETROS!$B$4=""),"",$S809*PARAMETROS!$B$4)</f>
        <v>0</v>
      </c>
      <c r="V809" s="13" t="n">
        <v>0</v>
      </c>
      <c r="W809" s="4"/>
      <c r="X809" s="4"/>
      <c r="Y809" s="4"/>
      <c r="Z809" s="4"/>
      <c r="AA809" s="4"/>
      <c r="AB809" s="4"/>
      <c r="AC809" s="4"/>
      <c r="AD809" s="4"/>
      <c r="AE809" s="4"/>
      <c r="AF809" s="4"/>
      <c r="AG809" s="4"/>
      <c r="AH809" s="4"/>
      <c r="AI809" s="4"/>
      <c r="AJ809" s="4"/>
      <c r="AK809" s="4"/>
      <c r="AL809" s="4" t="s">
        <v>174</v>
      </c>
      <c r="AM809" s="4" t="s">
        <v>205</v>
      </c>
    </row>
    <row r="810" customFormat="false" ht="23.85" hidden="false" customHeight="false" outlineLevel="0" collapsed="false">
      <c r="A810" s="4" t="s">
        <v>167</v>
      </c>
      <c r="B810" s="4" t="s">
        <v>987</v>
      </c>
      <c r="C810" s="4" t="s">
        <v>987</v>
      </c>
      <c r="D810" s="12" t="n">
        <v>2021</v>
      </c>
      <c r="E810" s="4"/>
      <c r="F810" s="4" t="s">
        <v>169</v>
      </c>
      <c r="G810" s="4" t="s">
        <v>170</v>
      </c>
      <c r="H810" s="4" t="s">
        <v>171</v>
      </c>
      <c r="I810" s="4" t="s">
        <v>172</v>
      </c>
      <c r="J810" s="4" t="s">
        <v>987</v>
      </c>
      <c r="K810" s="4" t="s">
        <v>82</v>
      </c>
      <c r="L810" s="4" t="s">
        <v>83</v>
      </c>
      <c r="M810" s="4"/>
      <c r="N810" s="4"/>
      <c r="O810" s="4"/>
      <c r="P810" s="4"/>
      <c r="Q810" s="4"/>
      <c r="R810" s="4"/>
      <c r="S810" s="13" t="n">
        <v>0</v>
      </c>
      <c r="T810" s="4" t="s">
        <v>173</v>
      </c>
      <c r="U810" s="14" t="n">
        <f aca="false">IF(OR($S810="",PARAMETROS!$B$4=""),"",$S810*PARAMETROS!$B$4)</f>
        <v>0</v>
      </c>
      <c r="V810" s="13" t="n">
        <v>0</v>
      </c>
      <c r="W810" s="4"/>
      <c r="X810" s="4"/>
      <c r="Y810" s="4"/>
      <c r="Z810" s="4"/>
      <c r="AA810" s="4"/>
      <c r="AB810" s="4"/>
      <c r="AC810" s="4"/>
      <c r="AD810" s="4"/>
      <c r="AE810" s="4"/>
      <c r="AF810" s="4"/>
      <c r="AG810" s="4"/>
      <c r="AH810" s="4"/>
      <c r="AI810" s="4"/>
      <c r="AJ810" s="4"/>
      <c r="AK810" s="4"/>
      <c r="AL810" s="4" t="s">
        <v>174</v>
      </c>
      <c r="AM810" s="4" t="s">
        <v>205</v>
      </c>
    </row>
    <row r="811" customFormat="false" ht="23.85" hidden="false" customHeight="false" outlineLevel="0" collapsed="false">
      <c r="A811" s="4" t="s">
        <v>167</v>
      </c>
      <c r="B811" s="4" t="s">
        <v>988</v>
      </c>
      <c r="C811" s="4" t="s">
        <v>988</v>
      </c>
      <c r="D811" s="12" t="n">
        <v>2021</v>
      </c>
      <c r="E811" s="4"/>
      <c r="F811" s="4" t="s">
        <v>169</v>
      </c>
      <c r="G811" s="4" t="s">
        <v>170</v>
      </c>
      <c r="H811" s="4" t="s">
        <v>171</v>
      </c>
      <c r="I811" s="4" t="s">
        <v>172</v>
      </c>
      <c r="J811" s="4" t="s">
        <v>988</v>
      </c>
      <c r="K811" s="4" t="s">
        <v>82</v>
      </c>
      <c r="L811" s="4" t="s">
        <v>83</v>
      </c>
      <c r="M811" s="4"/>
      <c r="N811" s="4"/>
      <c r="O811" s="4"/>
      <c r="P811" s="4"/>
      <c r="Q811" s="4"/>
      <c r="R811" s="4"/>
      <c r="S811" s="13" t="n">
        <v>0</v>
      </c>
      <c r="T811" s="4" t="s">
        <v>173</v>
      </c>
      <c r="U811" s="14" t="n">
        <f aca="false">IF(OR($S811="",PARAMETROS!$B$4=""),"",$S811*PARAMETROS!$B$4)</f>
        <v>0</v>
      </c>
      <c r="V811" s="13" t="n">
        <v>0</v>
      </c>
      <c r="W811" s="4"/>
      <c r="X811" s="4"/>
      <c r="Y811" s="4"/>
      <c r="Z811" s="4"/>
      <c r="AA811" s="4"/>
      <c r="AB811" s="4"/>
      <c r="AC811" s="4"/>
      <c r="AD811" s="4"/>
      <c r="AE811" s="4"/>
      <c r="AF811" s="4"/>
      <c r="AG811" s="4"/>
      <c r="AH811" s="4"/>
      <c r="AI811" s="4"/>
      <c r="AJ811" s="4"/>
      <c r="AK811" s="4"/>
      <c r="AL811" s="4" t="s">
        <v>174</v>
      </c>
      <c r="AM811" s="4" t="s">
        <v>205</v>
      </c>
    </row>
    <row r="812" customFormat="false" ht="23.85" hidden="false" customHeight="false" outlineLevel="0" collapsed="false">
      <c r="A812" s="4" t="s">
        <v>167</v>
      </c>
      <c r="B812" s="4" t="s">
        <v>989</v>
      </c>
      <c r="C812" s="4" t="s">
        <v>989</v>
      </c>
      <c r="D812" s="12" t="n">
        <v>2021</v>
      </c>
      <c r="E812" s="4"/>
      <c r="F812" s="4" t="s">
        <v>169</v>
      </c>
      <c r="G812" s="4" t="s">
        <v>170</v>
      </c>
      <c r="H812" s="4" t="s">
        <v>171</v>
      </c>
      <c r="I812" s="4" t="s">
        <v>172</v>
      </c>
      <c r="J812" s="4" t="s">
        <v>989</v>
      </c>
      <c r="K812" s="4" t="s">
        <v>82</v>
      </c>
      <c r="L812" s="4" t="s">
        <v>83</v>
      </c>
      <c r="M812" s="4"/>
      <c r="N812" s="4"/>
      <c r="O812" s="4"/>
      <c r="P812" s="4"/>
      <c r="Q812" s="4"/>
      <c r="R812" s="4"/>
      <c r="S812" s="13" t="n">
        <v>0</v>
      </c>
      <c r="T812" s="4" t="s">
        <v>173</v>
      </c>
      <c r="U812" s="14" t="n">
        <f aca="false">IF(OR($S812="",PARAMETROS!$B$4=""),"",$S812*PARAMETROS!$B$4)</f>
        <v>0</v>
      </c>
      <c r="V812" s="13" t="n">
        <v>0</v>
      </c>
      <c r="W812" s="4"/>
      <c r="X812" s="4"/>
      <c r="Y812" s="4"/>
      <c r="Z812" s="4"/>
      <c r="AA812" s="4"/>
      <c r="AB812" s="4"/>
      <c r="AC812" s="4"/>
      <c r="AD812" s="4"/>
      <c r="AE812" s="4"/>
      <c r="AF812" s="4"/>
      <c r="AG812" s="4"/>
      <c r="AH812" s="4"/>
      <c r="AI812" s="4"/>
      <c r="AJ812" s="4"/>
      <c r="AK812" s="4"/>
      <c r="AL812" s="4" t="s">
        <v>174</v>
      </c>
      <c r="AM812" s="4" t="s">
        <v>205</v>
      </c>
    </row>
    <row r="813" customFormat="false" ht="23.85" hidden="false" customHeight="false" outlineLevel="0" collapsed="false">
      <c r="A813" s="4" t="s">
        <v>167</v>
      </c>
      <c r="B813" s="4" t="s">
        <v>990</v>
      </c>
      <c r="C813" s="4" t="s">
        <v>990</v>
      </c>
      <c r="D813" s="12" t="n">
        <v>2021</v>
      </c>
      <c r="E813" s="4"/>
      <c r="F813" s="4" t="s">
        <v>169</v>
      </c>
      <c r="G813" s="4" t="s">
        <v>170</v>
      </c>
      <c r="H813" s="4" t="s">
        <v>171</v>
      </c>
      <c r="I813" s="4" t="s">
        <v>172</v>
      </c>
      <c r="J813" s="4" t="s">
        <v>990</v>
      </c>
      <c r="K813" s="4" t="s">
        <v>82</v>
      </c>
      <c r="L813" s="4" t="s">
        <v>83</v>
      </c>
      <c r="M813" s="4"/>
      <c r="N813" s="4"/>
      <c r="O813" s="4"/>
      <c r="P813" s="4"/>
      <c r="Q813" s="4"/>
      <c r="R813" s="4"/>
      <c r="S813" s="13" t="n">
        <v>0</v>
      </c>
      <c r="T813" s="4" t="s">
        <v>173</v>
      </c>
      <c r="U813" s="14" t="n">
        <f aca="false">IF(OR($S813="",PARAMETROS!$B$4=""),"",$S813*PARAMETROS!$B$4)</f>
        <v>0</v>
      </c>
      <c r="V813" s="13" t="n">
        <v>0</v>
      </c>
      <c r="W813" s="4"/>
      <c r="X813" s="4"/>
      <c r="Y813" s="4"/>
      <c r="Z813" s="4"/>
      <c r="AA813" s="4"/>
      <c r="AB813" s="4"/>
      <c r="AC813" s="4"/>
      <c r="AD813" s="4"/>
      <c r="AE813" s="4"/>
      <c r="AF813" s="4"/>
      <c r="AG813" s="4"/>
      <c r="AH813" s="4"/>
      <c r="AI813" s="4"/>
      <c r="AJ813" s="4"/>
      <c r="AK813" s="4"/>
      <c r="AL813" s="4" t="s">
        <v>174</v>
      </c>
      <c r="AM813" s="4" t="s">
        <v>205</v>
      </c>
    </row>
    <row r="814" customFormat="false" ht="23.85" hidden="false" customHeight="false" outlineLevel="0" collapsed="false">
      <c r="A814" s="4" t="s">
        <v>167</v>
      </c>
      <c r="B814" s="4" t="s">
        <v>991</v>
      </c>
      <c r="C814" s="4" t="s">
        <v>991</v>
      </c>
      <c r="D814" s="12" t="n">
        <v>2021</v>
      </c>
      <c r="E814" s="4"/>
      <c r="F814" s="4" t="s">
        <v>169</v>
      </c>
      <c r="G814" s="4" t="s">
        <v>170</v>
      </c>
      <c r="H814" s="4" t="s">
        <v>171</v>
      </c>
      <c r="I814" s="4" t="s">
        <v>172</v>
      </c>
      <c r="J814" s="4" t="s">
        <v>991</v>
      </c>
      <c r="K814" s="4" t="s">
        <v>84</v>
      </c>
      <c r="L814" s="4" t="s">
        <v>85</v>
      </c>
      <c r="M814" s="4"/>
      <c r="N814" s="4"/>
      <c r="O814" s="4"/>
      <c r="P814" s="4"/>
      <c r="Q814" s="4"/>
      <c r="R814" s="4"/>
      <c r="S814" s="13" t="n">
        <v>5243.84</v>
      </c>
      <c r="T814" s="4" t="s">
        <v>173</v>
      </c>
      <c r="U814" s="14" t="n">
        <f aca="false">IF(OR($S814="",PARAMETROS!$B$4=""),"",$S814*PARAMETROS!$B$4)</f>
        <v>30466.7104</v>
      </c>
      <c r="V814" s="13" t="n">
        <v>0</v>
      </c>
      <c r="W814" s="4"/>
      <c r="X814" s="4"/>
      <c r="Y814" s="4"/>
      <c r="Z814" s="4"/>
      <c r="AA814" s="4"/>
      <c r="AB814" s="4"/>
      <c r="AC814" s="4"/>
      <c r="AD814" s="4"/>
      <c r="AE814" s="4"/>
      <c r="AF814" s="4"/>
      <c r="AG814" s="4"/>
      <c r="AH814" s="4"/>
      <c r="AI814" s="4"/>
      <c r="AJ814" s="4"/>
      <c r="AK814" s="4"/>
      <c r="AL814" s="4" t="s">
        <v>174</v>
      </c>
      <c r="AM814" s="4" t="s">
        <v>190</v>
      </c>
    </row>
    <row r="815" customFormat="false" ht="23.85" hidden="false" customHeight="false" outlineLevel="0" collapsed="false">
      <c r="A815" s="4" t="s">
        <v>167</v>
      </c>
      <c r="B815" s="4" t="s">
        <v>992</v>
      </c>
      <c r="C815" s="4" t="s">
        <v>992</v>
      </c>
      <c r="D815" s="12" t="n">
        <v>2021</v>
      </c>
      <c r="E815" s="4"/>
      <c r="F815" s="4" t="s">
        <v>169</v>
      </c>
      <c r="G815" s="4" t="s">
        <v>170</v>
      </c>
      <c r="H815" s="4" t="s">
        <v>171</v>
      </c>
      <c r="I815" s="4" t="s">
        <v>172</v>
      </c>
      <c r="J815" s="4" t="s">
        <v>992</v>
      </c>
      <c r="K815" s="4" t="s">
        <v>84</v>
      </c>
      <c r="L815" s="4" t="s">
        <v>85</v>
      </c>
      <c r="M815" s="4"/>
      <c r="N815" s="4"/>
      <c r="O815" s="4"/>
      <c r="P815" s="4"/>
      <c r="Q815" s="4"/>
      <c r="R815" s="4"/>
      <c r="S815" s="13" t="n">
        <v>0</v>
      </c>
      <c r="T815" s="4" t="s">
        <v>173</v>
      </c>
      <c r="U815" s="14" t="n">
        <f aca="false">IF(OR($S815="",PARAMETROS!$B$4=""),"",$S815*PARAMETROS!$B$4)</f>
        <v>0</v>
      </c>
      <c r="V815" s="13" t="n">
        <v>0</v>
      </c>
      <c r="W815" s="4"/>
      <c r="X815" s="4"/>
      <c r="Y815" s="4"/>
      <c r="Z815" s="4"/>
      <c r="AA815" s="4"/>
      <c r="AB815" s="4"/>
      <c r="AC815" s="4"/>
      <c r="AD815" s="4"/>
      <c r="AE815" s="4"/>
      <c r="AF815" s="4"/>
      <c r="AG815" s="4"/>
      <c r="AH815" s="4"/>
      <c r="AI815" s="4"/>
      <c r="AJ815" s="4"/>
      <c r="AK815" s="4"/>
      <c r="AL815" s="4" t="s">
        <v>174</v>
      </c>
      <c r="AM815" s="4" t="s">
        <v>190</v>
      </c>
    </row>
    <row r="816" customFormat="false" ht="23.85" hidden="false" customHeight="false" outlineLevel="0" collapsed="false">
      <c r="A816" s="4" t="s">
        <v>167</v>
      </c>
      <c r="B816" s="4" t="s">
        <v>993</v>
      </c>
      <c r="C816" s="4" t="s">
        <v>993</v>
      </c>
      <c r="D816" s="12" t="n">
        <v>2021</v>
      </c>
      <c r="E816" s="4"/>
      <c r="F816" s="4" t="s">
        <v>169</v>
      </c>
      <c r="G816" s="4" t="s">
        <v>170</v>
      </c>
      <c r="H816" s="4" t="s">
        <v>171</v>
      </c>
      <c r="I816" s="4" t="s">
        <v>172</v>
      </c>
      <c r="J816" s="4" t="s">
        <v>993</v>
      </c>
      <c r="K816" s="4" t="s">
        <v>84</v>
      </c>
      <c r="L816" s="4" t="s">
        <v>85</v>
      </c>
      <c r="M816" s="4"/>
      <c r="N816" s="4"/>
      <c r="O816" s="4"/>
      <c r="P816" s="4"/>
      <c r="Q816" s="4"/>
      <c r="R816" s="4"/>
      <c r="S816" s="13" t="n">
        <v>0</v>
      </c>
      <c r="T816" s="4" t="s">
        <v>173</v>
      </c>
      <c r="U816" s="14" t="n">
        <f aca="false">IF(OR($S816="",PARAMETROS!$B$4=""),"",$S816*PARAMETROS!$B$4)</f>
        <v>0</v>
      </c>
      <c r="V816" s="13" t="n">
        <v>0</v>
      </c>
      <c r="W816" s="4"/>
      <c r="X816" s="4"/>
      <c r="Y816" s="4"/>
      <c r="Z816" s="4"/>
      <c r="AA816" s="4"/>
      <c r="AB816" s="4"/>
      <c r="AC816" s="4"/>
      <c r="AD816" s="4"/>
      <c r="AE816" s="4"/>
      <c r="AF816" s="4"/>
      <c r="AG816" s="4"/>
      <c r="AH816" s="4"/>
      <c r="AI816" s="4"/>
      <c r="AJ816" s="4"/>
      <c r="AK816" s="4"/>
      <c r="AL816" s="4" t="s">
        <v>174</v>
      </c>
      <c r="AM816" s="4" t="s">
        <v>190</v>
      </c>
    </row>
    <row r="817" customFormat="false" ht="23.85" hidden="false" customHeight="false" outlineLevel="0" collapsed="false">
      <c r="A817" s="4" t="s">
        <v>167</v>
      </c>
      <c r="B817" s="4" t="s">
        <v>994</v>
      </c>
      <c r="C817" s="4" t="s">
        <v>994</v>
      </c>
      <c r="D817" s="12" t="n">
        <v>2021</v>
      </c>
      <c r="E817" s="4"/>
      <c r="F817" s="4" t="s">
        <v>169</v>
      </c>
      <c r="G817" s="4" t="s">
        <v>170</v>
      </c>
      <c r="H817" s="4" t="s">
        <v>171</v>
      </c>
      <c r="I817" s="4" t="s">
        <v>172</v>
      </c>
      <c r="J817" s="4" t="s">
        <v>994</v>
      </c>
      <c r="K817" s="4" t="s">
        <v>84</v>
      </c>
      <c r="L817" s="4" t="s">
        <v>85</v>
      </c>
      <c r="M817" s="4"/>
      <c r="N817" s="4"/>
      <c r="O817" s="4"/>
      <c r="P817" s="4"/>
      <c r="Q817" s="4"/>
      <c r="R817" s="4"/>
      <c r="S817" s="13" t="n">
        <v>0</v>
      </c>
      <c r="T817" s="4" t="s">
        <v>173</v>
      </c>
      <c r="U817" s="14" t="n">
        <f aca="false">IF(OR($S817="",PARAMETROS!$B$4=""),"",$S817*PARAMETROS!$B$4)</f>
        <v>0</v>
      </c>
      <c r="V817" s="13" t="n">
        <v>0</v>
      </c>
      <c r="W817" s="4"/>
      <c r="X817" s="4"/>
      <c r="Y817" s="4"/>
      <c r="Z817" s="4"/>
      <c r="AA817" s="4"/>
      <c r="AB817" s="4"/>
      <c r="AC817" s="4"/>
      <c r="AD817" s="4"/>
      <c r="AE817" s="4"/>
      <c r="AF817" s="4"/>
      <c r="AG817" s="4"/>
      <c r="AH817" s="4"/>
      <c r="AI817" s="4"/>
      <c r="AJ817" s="4"/>
      <c r="AK817" s="4"/>
      <c r="AL817" s="4" t="s">
        <v>174</v>
      </c>
      <c r="AM817" s="4" t="s">
        <v>190</v>
      </c>
    </row>
    <row r="818" customFormat="false" ht="23.85" hidden="false" customHeight="false" outlineLevel="0" collapsed="false">
      <c r="A818" s="4" t="s">
        <v>167</v>
      </c>
      <c r="B818" s="4" t="s">
        <v>995</v>
      </c>
      <c r="C818" s="4" t="s">
        <v>995</v>
      </c>
      <c r="D818" s="12" t="n">
        <v>2021</v>
      </c>
      <c r="E818" s="4"/>
      <c r="F818" s="4" t="s">
        <v>169</v>
      </c>
      <c r="G818" s="4" t="s">
        <v>170</v>
      </c>
      <c r="H818" s="4" t="s">
        <v>171</v>
      </c>
      <c r="I818" s="4" t="s">
        <v>172</v>
      </c>
      <c r="J818" s="4" t="s">
        <v>995</v>
      </c>
      <c r="K818" s="4" t="s">
        <v>84</v>
      </c>
      <c r="L818" s="4" t="s">
        <v>85</v>
      </c>
      <c r="M818" s="4"/>
      <c r="N818" s="4"/>
      <c r="O818" s="4"/>
      <c r="P818" s="4"/>
      <c r="Q818" s="4"/>
      <c r="R818" s="4"/>
      <c r="S818" s="13" t="n">
        <v>0</v>
      </c>
      <c r="T818" s="4" t="s">
        <v>173</v>
      </c>
      <c r="U818" s="14" t="n">
        <f aca="false">IF(OR($S818="",PARAMETROS!$B$4=""),"",$S818*PARAMETROS!$B$4)</f>
        <v>0</v>
      </c>
      <c r="V818" s="13" t="n">
        <v>0</v>
      </c>
      <c r="W818" s="4"/>
      <c r="X818" s="4"/>
      <c r="Y818" s="4"/>
      <c r="Z818" s="4"/>
      <c r="AA818" s="4"/>
      <c r="AB818" s="4"/>
      <c r="AC818" s="4"/>
      <c r="AD818" s="4"/>
      <c r="AE818" s="4"/>
      <c r="AF818" s="4"/>
      <c r="AG818" s="4"/>
      <c r="AH818" s="4"/>
      <c r="AI818" s="4"/>
      <c r="AJ818" s="4"/>
      <c r="AK818" s="4"/>
      <c r="AL818" s="4" t="s">
        <v>174</v>
      </c>
      <c r="AM818" s="4" t="s">
        <v>190</v>
      </c>
    </row>
    <row r="819" customFormat="false" ht="23.85" hidden="false" customHeight="false" outlineLevel="0" collapsed="false">
      <c r="A819" s="4" t="s">
        <v>167</v>
      </c>
      <c r="B819" s="4" t="s">
        <v>996</v>
      </c>
      <c r="C819" s="4" t="s">
        <v>996</v>
      </c>
      <c r="D819" s="12" t="n">
        <v>2021</v>
      </c>
      <c r="E819" s="4"/>
      <c r="F819" s="4" t="s">
        <v>169</v>
      </c>
      <c r="G819" s="4" t="s">
        <v>170</v>
      </c>
      <c r="H819" s="4" t="s">
        <v>171</v>
      </c>
      <c r="I819" s="4" t="s">
        <v>172</v>
      </c>
      <c r="J819" s="4" t="s">
        <v>996</v>
      </c>
      <c r="K819" s="4" t="s">
        <v>84</v>
      </c>
      <c r="L819" s="4" t="s">
        <v>85</v>
      </c>
      <c r="M819" s="4"/>
      <c r="N819" s="4"/>
      <c r="O819" s="4"/>
      <c r="P819" s="4"/>
      <c r="Q819" s="4"/>
      <c r="R819" s="4"/>
      <c r="S819" s="13" t="n">
        <v>-5223.85</v>
      </c>
      <c r="T819" s="4" t="s">
        <v>173</v>
      </c>
      <c r="U819" s="14" t="n">
        <f aca="false">IF(OR($S819="",PARAMETROS!$B$4=""),"",$S819*PARAMETROS!$B$4)</f>
        <v>-30350.5685</v>
      </c>
      <c r="V819" s="13" t="n">
        <v>0</v>
      </c>
      <c r="W819" s="4"/>
      <c r="X819" s="4"/>
      <c r="Y819" s="4"/>
      <c r="Z819" s="4"/>
      <c r="AA819" s="4"/>
      <c r="AB819" s="4"/>
      <c r="AC819" s="4"/>
      <c r="AD819" s="4"/>
      <c r="AE819" s="4"/>
      <c r="AF819" s="4"/>
      <c r="AG819" s="4"/>
      <c r="AH819" s="4"/>
      <c r="AI819" s="4"/>
      <c r="AJ819" s="4"/>
      <c r="AK819" s="4"/>
      <c r="AL819" s="4" t="s">
        <v>174</v>
      </c>
      <c r="AM819" s="4" t="s">
        <v>190</v>
      </c>
    </row>
    <row r="820" customFormat="false" ht="23.85" hidden="false" customHeight="false" outlineLevel="0" collapsed="false">
      <c r="A820" s="4" t="s">
        <v>167</v>
      </c>
      <c r="B820" s="4" t="s">
        <v>997</v>
      </c>
      <c r="C820" s="4" t="s">
        <v>997</v>
      </c>
      <c r="D820" s="12" t="n">
        <v>2021</v>
      </c>
      <c r="E820" s="4"/>
      <c r="F820" s="4" t="s">
        <v>169</v>
      </c>
      <c r="G820" s="4" t="s">
        <v>170</v>
      </c>
      <c r="H820" s="4" t="s">
        <v>171</v>
      </c>
      <c r="I820" s="4" t="s">
        <v>172</v>
      </c>
      <c r="J820" s="4" t="s">
        <v>997</v>
      </c>
      <c r="K820" s="4" t="s">
        <v>84</v>
      </c>
      <c r="L820" s="4" t="s">
        <v>85</v>
      </c>
      <c r="M820" s="4"/>
      <c r="N820" s="4"/>
      <c r="O820" s="4"/>
      <c r="P820" s="4"/>
      <c r="Q820" s="4"/>
      <c r="R820" s="4"/>
      <c r="S820" s="13" t="n">
        <v>-19.99</v>
      </c>
      <c r="T820" s="4" t="s">
        <v>173</v>
      </c>
      <c r="U820" s="14" t="n">
        <f aca="false">IF(OR($S820="",PARAMETROS!$B$4=""),"",$S820*PARAMETROS!$B$4)</f>
        <v>-116.1419</v>
      </c>
      <c r="V820" s="13" t="n">
        <v>0</v>
      </c>
      <c r="W820" s="4"/>
      <c r="X820" s="4"/>
      <c r="Y820" s="4"/>
      <c r="Z820" s="4"/>
      <c r="AA820" s="4"/>
      <c r="AB820" s="4"/>
      <c r="AC820" s="4"/>
      <c r="AD820" s="4"/>
      <c r="AE820" s="4"/>
      <c r="AF820" s="4"/>
      <c r="AG820" s="4"/>
      <c r="AH820" s="4"/>
      <c r="AI820" s="4"/>
      <c r="AJ820" s="4"/>
      <c r="AK820" s="4"/>
      <c r="AL820" s="4" t="s">
        <v>174</v>
      </c>
      <c r="AM820" s="4" t="s">
        <v>190</v>
      </c>
    </row>
    <row r="821" customFormat="false" ht="23.85" hidden="false" customHeight="false" outlineLevel="0" collapsed="false">
      <c r="A821" s="4" t="s">
        <v>167</v>
      </c>
      <c r="B821" s="4" t="s">
        <v>998</v>
      </c>
      <c r="C821" s="4" t="s">
        <v>998</v>
      </c>
      <c r="D821" s="12" t="n">
        <v>2021</v>
      </c>
      <c r="E821" s="4"/>
      <c r="F821" s="4" t="s">
        <v>169</v>
      </c>
      <c r="G821" s="4" t="s">
        <v>170</v>
      </c>
      <c r="H821" s="4" t="s">
        <v>171</v>
      </c>
      <c r="I821" s="4" t="s">
        <v>172</v>
      </c>
      <c r="J821" s="4" t="s">
        <v>998</v>
      </c>
      <c r="K821" s="4" t="s">
        <v>84</v>
      </c>
      <c r="L821" s="4" t="s">
        <v>85</v>
      </c>
      <c r="M821" s="4"/>
      <c r="N821" s="4"/>
      <c r="O821" s="4"/>
      <c r="P821" s="4"/>
      <c r="Q821" s="4"/>
      <c r="R821" s="4"/>
      <c r="S821" s="13" t="n">
        <v>0</v>
      </c>
      <c r="T821" s="4" t="s">
        <v>173</v>
      </c>
      <c r="U821" s="14" t="n">
        <f aca="false">IF(OR($S821="",PARAMETROS!$B$4=""),"",$S821*PARAMETROS!$B$4)</f>
        <v>0</v>
      </c>
      <c r="V821" s="13" t="n">
        <v>0</v>
      </c>
      <c r="W821" s="4"/>
      <c r="X821" s="4"/>
      <c r="Y821" s="4"/>
      <c r="Z821" s="4"/>
      <c r="AA821" s="4"/>
      <c r="AB821" s="4"/>
      <c r="AC821" s="4"/>
      <c r="AD821" s="4"/>
      <c r="AE821" s="4"/>
      <c r="AF821" s="4"/>
      <c r="AG821" s="4"/>
      <c r="AH821" s="4"/>
      <c r="AI821" s="4"/>
      <c r="AJ821" s="4"/>
      <c r="AK821" s="4"/>
      <c r="AL821" s="4" t="s">
        <v>174</v>
      </c>
      <c r="AM821" s="4" t="s">
        <v>190</v>
      </c>
    </row>
    <row r="822" customFormat="false" ht="23.85" hidden="false" customHeight="false" outlineLevel="0" collapsed="false">
      <c r="A822" s="4" t="s">
        <v>167</v>
      </c>
      <c r="B822" s="4" t="s">
        <v>999</v>
      </c>
      <c r="C822" s="4" t="s">
        <v>999</v>
      </c>
      <c r="D822" s="12" t="n">
        <v>2021</v>
      </c>
      <c r="E822" s="4"/>
      <c r="F822" s="4" t="s">
        <v>169</v>
      </c>
      <c r="G822" s="4" t="s">
        <v>170</v>
      </c>
      <c r="H822" s="4" t="s">
        <v>171</v>
      </c>
      <c r="I822" s="4" t="s">
        <v>172</v>
      </c>
      <c r="J822" s="4" t="s">
        <v>999</v>
      </c>
      <c r="K822" s="4" t="s">
        <v>84</v>
      </c>
      <c r="L822" s="4" t="s">
        <v>85</v>
      </c>
      <c r="M822" s="4"/>
      <c r="N822" s="4"/>
      <c r="O822" s="4"/>
      <c r="P822" s="4"/>
      <c r="Q822" s="4"/>
      <c r="R822" s="4"/>
      <c r="S822" s="13" t="n">
        <v>0</v>
      </c>
      <c r="T822" s="4" t="s">
        <v>173</v>
      </c>
      <c r="U822" s="14" t="n">
        <f aca="false">IF(OR($S822="",PARAMETROS!$B$4=""),"",$S822*PARAMETROS!$B$4)</f>
        <v>0</v>
      </c>
      <c r="V822" s="13" t="n">
        <v>0</v>
      </c>
      <c r="W822" s="4"/>
      <c r="X822" s="4"/>
      <c r="Y822" s="4"/>
      <c r="Z822" s="4"/>
      <c r="AA822" s="4"/>
      <c r="AB822" s="4"/>
      <c r="AC822" s="4"/>
      <c r="AD822" s="4"/>
      <c r="AE822" s="4"/>
      <c r="AF822" s="4"/>
      <c r="AG822" s="4"/>
      <c r="AH822" s="4"/>
      <c r="AI822" s="4"/>
      <c r="AJ822" s="4"/>
      <c r="AK822" s="4"/>
      <c r="AL822" s="4" t="s">
        <v>174</v>
      </c>
      <c r="AM822" s="4" t="s">
        <v>190</v>
      </c>
    </row>
    <row r="823" customFormat="false" ht="23.85" hidden="false" customHeight="false" outlineLevel="0" collapsed="false">
      <c r="A823" s="4" t="s">
        <v>167</v>
      </c>
      <c r="B823" s="4" t="s">
        <v>1000</v>
      </c>
      <c r="C823" s="4" t="s">
        <v>1000</v>
      </c>
      <c r="D823" s="12" t="n">
        <v>2021</v>
      </c>
      <c r="E823" s="4"/>
      <c r="F823" s="4" t="s">
        <v>169</v>
      </c>
      <c r="G823" s="4" t="s">
        <v>170</v>
      </c>
      <c r="H823" s="4" t="s">
        <v>171</v>
      </c>
      <c r="I823" s="4" t="s">
        <v>172</v>
      </c>
      <c r="J823" s="4" t="s">
        <v>1000</v>
      </c>
      <c r="K823" s="4" t="s">
        <v>84</v>
      </c>
      <c r="L823" s="4" t="s">
        <v>85</v>
      </c>
      <c r="M823" s="4"/>
      <c r="N823" s="4"/>
      <c r="O823" s="4"/>
      <c r="P823" s="4"/>
      <c r="Q823" s="4"/>
      <c r="R823" s="4"/>
      <c r="S823" s="13" t="n">
        <v>0</v>
      </c>
      <c r="T823" s="4" t="s">
        <v>173</v>
      </c>
      <c r="U823" s="14" t="n">
        <f aca="false">IF(OR($S823="",PARAMETROS!$B$4=""),"",$S823*PARAMETROS!$B$4)</f>
        <v>0</v>
      </c>
      <c r="V823" s="13" t="n">
        <v>0</v>
      </c>
      <c r="W823" s="4"/>
      <c r="X823" s="4"/>
      <c r="Y823" s="4"/>
      <c r="Z823" s="4"/>
      <c r="AA823" s="4"/>
      <c r="AB823" s="4"/>
      <c r="AC823" s="4"/>
      <c r="AD823" s="4"/>
      <c r="AE823" s="4"/>
      <c r="AF823" s="4"/>
      <c r="AG823" s="4"/>
      <c r="AH823" s="4"/>
      <c r="AI823" s="4"/>
      <c r="AJ823" s="4"/>
      <c r="AK823" s="4"/>
      <c r="AL823" s="4" t="s">
        <v>174</v>
      </c>
      <c r="AM823" s="4" t="s">
        <v>190</v>
      </c>
    </row>
    <row r="824" customFormat="false" ht="23.85" hidden="false" customHeight="false" outlineLevel="0" collapsed="false">
      <c r="A824" s="4" t="s">
        <v>167</v>
      </c>
      <c r="B824" s="4" t="s">
        <v>1001</v>
      </c>
      <c r="C824" s="4" t="s">
        <v>1001</v>
      </c>
      <c r="D824" s="12" t="n">
        <v>2021</v>
      </c>
      <c r="E824" s="4"/>
      <c r="F824" s="4" t="s">
        <v>169</v>
      </c>
      <c r="G824" s="4" t="s">
        <v>170</v>
      </c>
      <c r="H824" s="4" t="s">
        <v>171</v>
      </c>
      <c r="I824" s="4" t="s">
        <v>172</v>
      </c>
      <c r="J824" s="4" t="s">
        <v>1001</v>
      </c>
      <c r="K824" s="4" t="s">
        <v>84</v>
      </c>
      <c r="L824" s="4" t="s">
        <v>85</v>
      </c>
      <c r="M824" s="4"/>
      <c r="N824" s="4"/>
      <c r="O824" s="4"/>
      <c r="P824" s="4"/>
      <c r="Q824" s="4"/>
      <c r="R824" s="4"/>
      <c r="S824" s="13" t="n">
        <v>0</v>
      </c>
      <c r="T824" s="4" t="s">
        <v>173</v>
      </c>
      <c r="U824" s="14" t="n">
        <f aca="false">IF(OR($S824="",PARAMETROS!$B$4=""),"",$S824*PARAMETROS!$B$4)</f>
        <v>0</v>
      </c>
      <c r="V824" s="13" t="n">
        <v>0</v>
      </c>
      <c r="W824" s="4"/>
      <c r="X824" s="4"/>
      <c r="Y824" s="4"/>
      <c r="Z824" s="4"/>
      <c r="AA824" s="4"/>
      <c r="AB824" s="4"/>
      <c r="AC824" s="4"/>
      <c r="AD824" s="4"/>
      <c r="AE824" s="4"/>
      <c r="AF824" s="4"/>
      <c r="AG824" s="4"/>
      <c r="AH824" s="4"/>
      <c r="AI824" s="4"/>
      <c r="AJ824" s="4"/>
      <c r="AK824" s="4"/>
      <c r="AL824" s="4" t="s">
        <v>174</v>
      </c>
      <c r="AM824" s="4" t="s">
        <v>190</v>
      </c>
    </row>
    <row r="825" customFormat="false" ht="23.85" hidden="false" customHeight="false" outlineLevel="0" collapsed="false">
      <c r="A825" s="4" t="s">
        <v>167</v>
      </c>
      <c r="B825" s="4" t="s">
        <v>1002</v>
      </c>
      <c r="C825" s="4" t="s">
        <v>1002</v>
      </c>
      <c r="D825" s="12" t="n">
        <v>2021</v>
      </c>
      <c r="E825" s="4"/>
      <c r="F825" s="4" t="s">
        <v>169</v>
      </c>
      <c r="G825" s="4" t="s">
        <v>170</v>
      </c>
      <c r="H825" s="4" t="s">
        <v>171</v>
      </c>
      <c r="I825" s="4" t="s">
        <v>172</v>
      </c>
      <c r="J825" s="4" t="s">
        <v>1002</v>
      </c>
      <c r="K825" s="4" t="s">
        <v>84</v>
      </c>
      <c r="L825" s="4" t="s">
        <v>85</v>
      </c>
      <c r="M825" s="4"/>
      <c r="N825" s="4"/>
      <c r="O825" s="4"/>
      <c r="P825" s="4"/>
      <c r="Q825" s="4"/>
      <c r="R825" s="4"/>
      <c r="S825" s="13" t="n">
        <v>0</v>
      </c>
      <c r="T825" s="4" t="s">
        <v>173</v>
      </c>
      <c r="U825" s="14" t="n">
        <f aca="false">IF(OR($S825="",PARAMETROS!$B$4=""),"",$S825*PARAMETROS!$B$4)</f>
        <v>0</v>
      </c>
      <c r="V825" s="13" t="n">
        <v>0</v>
      </c>
      <c r="W825" s="4"/>
      <c r="X825" s="4"/>
      <c r="Y825" s="4"/>
      <c r="Z825" s="4"/>
      <c r="AA825" s="4"/>
      <c r="AB825" s="4"/>
      <c r="AC825" s="4"/>
      <c r="AD825" s="4"/>
      <c r="AE825" s="4"/>
      <c r="AF825" s="4"/>
      <c r="AG825" s="4"/>
      <c r="AH825" s="4"/>
      <c r="AI825" s="4"/>
      <c r="AJ825" s="4"/>
      <c r="AK825" s="4"/>
      <c r="AL825" s="4" t="s">
        <v>174</v>
      </c>
      <c r="AM825" s="4" t="s">
        <v>190</v>
      </c>
    </row>
    <row r="826" customFormat="false" ht="23.85" hidden="false" customHeight="false" outlineLevel="0" collapsed="false">
      <c r="A826" s="4" t="s">
        <v>167</v>
      </c>
      <c r="B826" s="4" t="s">
        <v>1003</v>
      </c>
      <c r="C826" s="4" t="s">
        <v>1003</v>
      </c>
      <c r="D826" s="12" t="n">
        <v>2021</v>
      </c>
      <c r="E826" s="4"/>
      <c r="F826" s="4" t="s">
        <v>169</v>
      </c>
      <c r="G826" s="4" t="s">
        <v>170</v>
      </c>
      <c r="H826" s="4" t="s">
        <v>171</v>
      </c>
      <c r="I826" s="4" t="s">
        <v>172</v>
      </c>
      <c r="J826" s="4" t="s">
        <v>1003</v>
      </c>
      <c r="K826" s="4" t="s">
        <v>84</v>
      </c>
      <c r="L826" s="4" t="s">
        <v>85</v>
      </c>
      <c r="M826" s="4"/>
      <c r="N826" s="4"/>
      <c r="O826" s="4"/>
      <c r="P826" s="4"/>
      <c r="Q826" s="4"/>
      <c r="R826" s="4"/>
      <c r="S826" s="13" t="n">
        <v>0</v>
      </c>
      <c r="T826" s="4" t="s">
        <v>173</v>
      </c>
      <c r="U826" s="14" t="n">
        <f aca="false">IF(OR($S826="",PARAMETROS!$B$4=""),"",$S826*PARAMETROS!$B$4)</f>
        <v>0</v>
      </c>
      <c r="V826" s="13" t="n">
        <v>0</v>
      </c>
      <c r="W826" s="4"/>
      <c r="X826" s="4"/>
      <c r="Y826" s="4"/>
      <c r="Z826" s="4"/>
      <c r="AA826" s="4"/>
      <c r="AB826" s="4"/>
      <c r="AC826" s="4"/>
      <c r="AD826" s="4"/>
      <c r="AE826" s="4"/>
      <c r="AF826" s="4"/>
      <c r="AG826" s="4"/>
      <c r="AH826" s="4"/>
      <c r="AI826" s="4"/>
      <c r="AJ826" s="4"/>
      <c r="AK826" s="4"/>
      <c r="AL826" s="4" t="s">
        <v>174</v>
      </c>
      <c r="AM826" s="4" t="s">
        <v>190</v>
      </c>
    </row>
    <row r="827" customFormat="false" ht="23.85" hidden="false" customHeight="false" outlineLevel="0" collapsed="false">
      <c r="A827" s="4" t="s">
        <v>167</v>
      </c>
      <c r="B827" s="4" t="s">
        <v>1004</v>
      </c>
      <c r="C827" s="4" t="s">
        <v>1004</v>
      </c>
      <c r="D827" s="12" t="n">
        <v>2021</v>
      </c>
      <c r="E827" s="4"/>
      <c r="F827" s="4" t="s">
        <v>169</v>
      </c>
      <c r="G827" s="4" t="s">
        <v>170</v>
      </c>
      <c r="H827" s="4" t="s">
        <v>171</v>
      </c>
      <c r="I827" s="4" t="s">
        <v>172</v>
      </c>
      <c r="J827" s="4" t="s">
        <v>1004</v>
      </c>
      <c r="K827" s="4" t="s">
        <v>84</v>
      </c>
      <c r="L827" s="4" t="s">
        <v>85</v>
      </c>
      <c r="M827" s="4"/>
      <c r="N827" s="4"/>
      <c r="O827" s="4"/>
      <c r="P827" s="4"/>
      <c r="Q827" s="4"/>
      <c r="R827" s="4"/>
      <c r="S827" s="13" t="n">
        <v>0</v>
      </c>
      <c r="T827" s="4" t="s">
        <v>173</v>
      </c>
      <c r="U827" s="14" t="n">
        <f aca="false">IF(OR($S827="",PARAMETROS!$B$4=""),"",$S827*PARAMETROS!$B$4)</f>
        <v>0</v>
      </c>
      <c r="V827" s="13" t="n">
        <v>0</v>
      </c>
      <c r="W827" s="4"/>
      <c r="X827" s="4"/>
      <c r="Y827" s="4"/>
      <c r="Z827" s="4"/>
      <c r="AA827" s="4"/>
      <c r="AB827" s="4"/>
      <c r="AC827" s="4"/>
      <c r="AD827" s="4"/>
      <c r="AE827" s="4"/>
      <c r="AF827" s="4"/>
      <c r="AG827" s="4"/>
      <c r="AH827" s="4"/>
      <c r="AI827" s="4"/>
      <c r="AJ827" s="4"/>
      <c r="AK827" s="4"/>
      <c r="AL827" s="4" t="s">
        <v>174</v>
      </c>
      <c r="AM827" s="4" t="s">
        <v>190</v>
      </c>
    </row>
    <row r="828" customFormat="false" ht="23.85" hidden="false" customHeight="false" outlineLevel="0" collapsed="false">
      <c r="A828" s="4" t="s">
        <v>167</v>
      </c>
      <c r="B828" s="4" t="s">
        <v>1005</v>
      </c>
      <c r="C828" s="4" t="s">
        <v>1005</v>
      </c>
      <c r="D828" s="12" t="n">
        <v>2021</v>
      </c>
      <c r="E828" s="4"/>
      <c r="F828" s="4" t="s">
        <v>169</v>
      </c>
      <c r="G828" s="4" t="s">
        <v>170</v>
      </c>
      <c r="H828" s="4" t="s">
        <v>171</v>
      </c>
      <c r="I828" s="4" t="s">
        <v>172</v>
      </c>
      <c r="J828" s="4" t="s">
        <v>1005</v>
      </c>
      <c r="K828" s="4" t="s">
        <v>109</v>
      </c>
      <c r="L828" s="4" t="s">
        <v>110</v>
      </c>
      <c r="M828" s="4"/>
      <c r="N828" s="4"/>
      <c r="O828" s="4"/>
      <c r="P828" s="4"/>
      <c r="Q828" s="4"/>
      <c r="R828" s="4"/>
      <c r="S828" s="13" t="n">
        <v>53941.2</v>
      </c>
      <c r="T828" s="4" t="s">
        <v>173</v>
      </c>
      <c r="U828" s="14" t="n">
        <f aca="false">IF(OR($S828="",PARAMETROS!$B$4=""),"",$S828*PARAMETROS!$B$4)</f>
        <v>313398.372</v>
      </c>
      <c r="V828" s="13" t="n">
        <v>0</v>
      </c>
      <c r="W828" s="4"/>
      <c r="X828" s="4"/>
      <c r="Y828" s="4"/>
      <c r="Z828" s="4"/>
      <c r="AA828" s="4"/>
      <c r="AB828" s="4"/>
      <c r="AC828" s="4"/>
      <c r="AD828" s="4"/>
      <c r="AE828" s="4"/>
      <c r="AF828" s="4"/>
      <c r="AG828" s="4"/>
      <c r="AH828" s="4"/>
      <c r="AI828" s="4"/>
      <c r="AJ828" s="4"/>
      <c r="AK828" s="4"/>
      <c r="AL828" s="4" t="s">
        <v>174</v>
      </c>
      <c r="AM828" s="4" t="s">
        <v>175</v>
      </c>
    </row>
    <row r="829" customFormat="false" ht="23.85" hidden="false" customHeight="false" outlineLevel="0" collapsed="false">
      <c r="A829" s="4" t="s">
        <v>167</v>
      </c>
      <c r="B829" s="4" t="s">
        <v>1006</v>
      </c>
      <c r="C829" s="4" t="s">
        <v>1006</v>
      </c>
      <c r="D829" s="12" t="n">
        <v>2021</v>
      </c>
      <c r="E829" s="4"/>
      <c r="F829" s="4" t="s">
        <v>169</v>
      </c>
      <c r="G829" s="4" t="s">
        <v>170</v>
      </c>
      <c r="H829" s="4" t="s">
        <v>171</v>
      </c>
      <c r="I829" s="4" t="s">
        <v>172</v>
      </c>
      <c r="J829" s="4" t="s">
        <v>1006</v>
      </c>
      <c r="K829" s="4" t="s">
        <v>109</v>
      </c>
      <c r="L829" s="4" t="s">
        <v>110</v>
      </c>
      <c r="M829" s="4"/>
      <c r="N829" s="4"/>
      <c r="O829" s="4"/>
      <c r="P829" s="4"/>
      <c r="Q829" s="4"/>
      <c r="R829" s="4"/>
      <c r="S829" s="13" t="n">
        <v>0</v>
      </c>
      <c r="T829" s="4" t="s">
        <v>173</v>
      </c>
      <c r="U829" s="14" t="n">
        <f aca="false">IF(OR($S829="",PARAMETROS!$B$4=""),"",$S829*PARAMETROS!$B$4)</f>
        <v>0</v>
      </c>
      <c r="V829" s="13" t="n">
        <v>0</v>
      </c>
      <c r="W829" s="4"/>
      <c r="X829" s="4"/>
      <c r="Y829" s="4"/>
      <c r="Z829" s="4"/>
      <c r="AA829" s="4"/>
      <c r="AB829" s="4"/>
      <c r="AC829" s="4"/>
      <c r="AD829" s="4"/>
      <c r="AE829" s="4"/>
      <c r="AF829" s="4"/>
      <c r="AG829" s="4"/>
      <c r="AH829" s="4"/>
      <c r="AI829" s="4"/>
      <c r="AJ829" s="4"/>
      <c r="AK829" s="4"/>
      <c r="AL829" s="4" t="s">
        <v>174</v>
      </c>
      <c r="AM829" s="4" t="s">
        <v>175</v>
      </c>
    </row>
    <row r="830" customFormat="false" ht="23.85" hidden="false" customHeight="false" outlineLevel="0" collapsed="false">
      <c r="A830" s="4" t="s">
        <v>167</v>
      </c>
      <c r="B830" s="4" t="s">
        <v>1007</v>
      </c>
      <c r="C830" s="4" t="s">
        <v>1007</v>
      </c>
      <c r="D830" s="12" t="n">
        <v>2021</v>
      </c>
      <c r="E830" s="4"/>
      <c r="F830" s="4" t="s">
        <v>169</v>
      </c>
      <c r="G830" s="4" t="s">
        <v>170</v>
      </c>
      <c r="H830" s="4" t="s">
        <v>171</v>
      </c>
      <c r="I830" s="4" t="s">
        <v>172</v>
      </c>
      <c r="J830" s="4" t="s">
        <v>1007</v>
      </c>
      <c r="K830" s="4" t="s">
        <v>109</v>
      </c>
      <c r="L830" s="4" t="s">
        <v>110</v>
      </c>
      <c r="M830" s="4"/>
      <c r="N830" s="4"/>
      <c r="O830" s="4"/>
      <c r="P830" s="4"/>
      <c r="Q830" s="4"/>
      <c r="R830" s="4"/>
      <c r="S830" s="13" t="n">
        <v>0</v>
      </c>
      <c r="T830" s="4" t="s">
        <v>173</v>
      </c>
      <c r="U830" s="14" t="n">
        <f aca="false">IF(OR($S830="",PARAMETROS!$B$4=""),"",$S830*PARAMETROS!$B$4)</f>
        <v>0</v>
      </c>
      <c r="V830" s="13" t="n">
        <v>0</v>
      </c>
      <c r="W830" s="4"/>
      <c r="X830" s="4"/>
      <c r="Y830" s="4"/>
      <c r="Z830" s="4"/>
      <c r="AA830" s="4"/>
      <c r="AB830" s="4"/>
      <c r="AC830" s="4"/>
      <c r="AD830" s="4"/>
      <c r="AE830" s="4"/>
      <c r="AF830" s="4"/>
      <c r="AG830" s="4"/>
      <c r="AH830" s="4"/>
      <c r="AI830" s="4"/>
      <c r="AJ830" s="4"/>
      <c r="AK830" s="4"/>
      <c r="AL830" s="4" t="s">
        <v>174</v>
      </c>
      <c r="AM830" s="4" t="s">
        <v>175</v>
      </c>
    </row>
    <row r="831" customFormat="false" ht="23.85" hidden="false" customHeight="false" outlineLevel="0" collapsed="false">
      <c r="A831" s="4" t="s">
        <v>167</v>
      </c>
      <c r="B831" s="4" t="s">
        <v>1008</v>
      </c>
      <c r="C831" s="4" t="s">
        <v>1008</v>
      </c>
      <c r="D831" s="12" t="n">
        <v>2021</v>
      </c>
      <c r="E831" s="4"/>
      <c r="F831" s="4" t="s">
        <v>169</v>
      </c>
      <c r="G831" s="4" t="s">
        <v>170</v>
      </c>
      <c r="H831" s="4" t="s">
        <v>171</v>
      </c>
      <c r="I831" s="4" t="s">
        <v>172</v>
      </c>
      <c r="J831" s="4" t="s">
        <v>1008</v>
      </c>
      <c r="K831" s="4" t="s">
        <v>109</v>
      </c>
      <c r="L831" s="4" t="s">
        <v>110</v>
      </c>
      <c r="M831" s="4"/>
      <c r="N831" s="4"/>
      <c r="O831" s="4"/>
      <c r="P831" s="4"/>
      <c r="Q831" s="4"/>
      <c r="R831" s="4"/>
      <c r="S831" s="13" t="n">
        <v>0</v>
      </c>
      <c r="T831" s="4" t="s">
        <v>173</v>
      </c>
      <c r="U831" s="14" t="n">
        <f aca="false">IF(OR($S831="",PARAMETROS!$B$4=""),"",$S831*PARAMETROS!$B$4)</f>
        <v>0</v>
      </c>
      <c r="V831" s="13" t="n">
        <v>0</v>
      </c>
      <c r="W831" s="4"/>
      <c r="X831" s="4"/>
      <c r="Y831" s="4"/>
      <c r="Z831" s="4"/>
      <c r="AA831" s="4"/>
      <c r="AB831" s="4"/>
      <c r="AC831" s="4"/>
      <c r="AD831" s="4"/>
      <c r="AE831" s="4"/>
      <c r="AF831" s="4"/>
      <c r="AG831" s="4"/>
      <c r="AH831" s="4"/>
      <c r="AI831" s="4"/>
      <c r="AJ831" s="4"/>
      <c r="AK831" s="4"/>
      <c r="AL831" s="4" t="s">
        <v>174</v>
      </c>
      <c r="AM831" s="4" t="s">
        <v>175</v>
      </c>
    </row>
    <row r="832" customFormat="false" ht="23.85" hidden="false" customHeight="false" outlineLevel="0" collapsed="false">
      <c r="A832" s="4" t="s">
        <v>167</v>
      </c>
      <c r="B832" s="4" t="s">
        <v>1009</v>
      </c>
      <c r="C832" s="4" t="s">
        <v>1009</v>
      </c>
      <c r="D832" s="12" t="n">
        <v>2021</v>
      </c>
      <c r="E832" s="4"/>
      <c r="F832" s="4" t="s">
        <v>169</v>
      </c>
      <c r="G832" s="4" t="s">
        <v>170</v>
      </c>
      <c r="H832" s="4" t="s">
        <v>171</v>
      </c>
      <c r="I832" s="4" t="s">
        <v>172</v>
      </c>
      <c r="J832" s="4" t="s">
        <v>1009</v>
      </c>
      <c r="K832" s="4" t="s">
        <v>109</v>
      </c>
      <c r="L832" s="4" t="s">
        <v>110</v>
      </c>
      <c r="M832" s="4"/>
      <c r="N832" s="4"/>
      <c r="O832" s="4"/>
      <c r="P832" s="4"/>
      <c r="Q832" s="4"/>
      <c r="R832" s="4"/>
      <c r="S832" s="13" t="n">
        <v>0</v>
      </c>
      <c r="T832" s="4" t="s">
        <v>173</v>
      </c>
      <c r="U832" s="14" t="n">
        <f aca="false">IF(OR($S832="",PARAMETROS!$B$4=""),"",$S832*PARAMETROS!$B$4)</f>
        <v>0</v>
      </c>
      <c r="V832" s="13" t="n">
        <v>0</v>
      </c>
      <c r="W832" s="4"/>
      <c r="X832" s="4"/>
      <c r="Y832" s="4"/>
      <c r="Z832" s="4"/>
      <c r="AA832" s="4"/>
      <c r="AB832" s="4"/>
      <c r="AC832" s="4"/>
      <c r="AD832" s="4"/>
      <c r="AE832" s="4"/>
      <c r="AF832" s="4"/>
      <c r="AG832" s="4"/>
      <c r="AH832" s="4"/>
      <c r="AI832" s="4"/>
      <c r="AJ832" s="4"/>
      <c r="AK832" s="4"/>
      <c r="AL832" s="4" t="s">
        <v>174</v>
      </c>
      <c r="AM832" s="4" t="s">
        <v>175</v>
      </c>
    </row>
    <row r="833" customFormat="false" ht="23.85" hidden="false" customHeight="false" outlineLevel="0" collapsed="false">
      <c r="A833" s="4" t="s">
        <v>167</v>
      </c>
      <c r="B833" s="4" t="s">
        <v>1010</v>
      </c>
      <c r="C833" s="4" t="s">
        <v>1010</v>
      </c>
      <c r="D833" s="12" t="n">
        <v>2021</v>
      </c>
      <c r="E833" s="4"/>
      <c r="F833" s="4" t="s">
        <v>169</v>
      </c>
      <c r="G833" s="4" t="s">
        <v>170</v>
      </c>
      <c r="H833" s="4" t="s">
        <v>171</v>
      </c>
      <c r="I833" s="4" t="s">
        <v>172</v>
      </c>
      <c r="J833" s="4" t="s">
        <v>1010</v>
      </c>
      <c r="K833" s="4" t="s">
        <v>109</v>
      </c>
      <c r="L833" s="4" t="s">
        <v>110</v>
      </c>
      <c r="M833" s="4"/>
      <c r="N833" s="4"/>
      <c r="O833" s="4"/>
      <c r="P833" s="4"/>
      <c r="Q833" s="4"/>
      <c r="R833" s="4"/>
      <c r="S833" s="13" t="n">
        <v>0</v>
      </c>
      <c r="T833" s="4" t="s">
        <v>173</v>
      </c>
      <c r="U833" s="14" t="n">
        <f aca="false">IF(OR($S833="",PARAMETROS!$B$4=""),"",$S833*PARAMETROS!$B$4)</f>
        <v>0</v>
      </c>
      <c r="V833" s="13" t="n">
        <v>0</v>
      </c>
      <c r="W833" s="4"/>
      <c r="X833" s="4"/>
      <c r="Y833" s="4"/>
      <c r="Z833" s="4"/>
      <c r="AA833" s="4"/>
      <c r="AB833" s="4"/>
      <c r="AC833" s="4"/>
      <c r="AD833" s="4"/>
      <c r="AE833" s="4"/>
      <c r="AF833" s="4"/>
      <c r="AG833" s="4"/>
      <c r="AH833" s="4"/>
      <c r="AI833" s="4"/>
      <c r="AJ833" s="4"/>
      <c r="AK833" s="4"/>
      <c r="AL833" s="4" t="s">
        <v>174</v>
      </c>
      <c r="AM833" s="4" t="s">
        <v>175</v>
      </c>
    </row>
    <row r="834" customFormat="false" ht="23.85" hidden="false" customHeight="false" outlineLevel="0" collapsed="false">
      <c r="A834" s="4" t="s">
        <v>167</v>
      </c>
      <c r="B834" s="4" t="s">
        <v>1011</v>
      </c>
      <c r="C834" s="4" t="s">
        <v>1011</v>
      </c>
      <c r="D834" s="12" t="n">
        <v>2021</v>
      </c>
      <c r="E834" s="4"/>
      <c r="F834" s="4" t="s">
        <v>169</v>
      </c>
      <c r="G834" s="4" t="s">
        <v>170</v>
      </c>
      <c r="H834" s="4" t="s">
        <v>171</v>
      </c>
      <c r="I834" s="4" t="s">
        <v>172</v>
      </c>
      <c r="J834" s="4" t="s">
        <v>1011</v>
      </c>
      <c r="K834" s="4" t="s">
        <v>109</v>
      </c>
      <c r="L834" s="4" t="s">
        <v>110</v>
      </c>
      <c r="M834" s="4"/>
      <c r="N834" s="4"/>
      <c r="O834" s="4"/>
      <c r="P834" s="4"/>
      <c r="Q834" s="4"/>
      <c r="R834" s="4"/>
      <c r="S834" s="13" t="n">
        <v>0</v>
      </c>
      <c r="T834" s="4" t="s">
        <v>173</v>
      </c>
      <c r="U834" s="14" t="n">
        <f aca="false">IF(OR($S834="",PARAMETROS!$B$4=""),"",$S834*PARAMETROS!$B$4)</f>
        <v>0</v>
      </c>
      <c r="V834" s="13" t="n">
        <v>0</v>
      </c>
      <c r="W834" s="4"/>
      <c r="X834" s="4"/>
      <c r="Y834" s="4"/>
      <c r="Z834" s="4"/>
      <c r="AA834" s="4"/>
      <c r="AB834" s="4"/>
      <c r="AC834" s="4"/>
      <c r="AD834" s="4"/>
      <c r="AE834" s="4"/>
      <c r="AF834" s="4"/>
      <c r="AG834" s="4"/>
      <c r="AH834" s="4"/>
      <c r="AI834" s="4"/>
      <c r="AJ834" s="4"/>
      <c r="AK834" s="4"/>
      <c r="AL834" s="4" t="s">
        <v>174</v>
      </c>
      <c r="AM834" s="4" t="s">
        <v>175</v>
      </c>
    </row>
    <row r="835" customFormat="false" ht="23.85" hidden="false" customHeight="false" outlineLevel="0" collapsed="false">
      <c r="A835" s="4" t="s">
        <v>167</v>
      </c>
      <c r="B835" s="4" t="s">
        <v>1012</v>
      </c>
      <c r="C835" s="4" t="s">
        <v>1012</v>
      </c>
      <c r="D835" s="12" t="n">
        <v>2021</v>
      </c>
      <c r="E835" s="4"/>
      <c r="F835" s="4" t="s">
        <v>169</v>
      </c>
      <c r="G835" s="4" t="s">
        <v>170</v>
      </c>
      <c r="H835" s="4" t="s">
        <v>171</v>
      </c>
      <c r="I835" s="4" t="s">
        <v>172</v>
      </c>
      <c r="J835" s="4" t="s">
        <v>1012</v>
      </c>
      <c r="K835" s="4" t="s">
        <v>109</v>
      </c>
      <c r="L835" s="4" t="s">
        <v>110</v>
      </c>
      <c r="M835" s="4"/>
      <c r="N835" s="4"/>
      <c r="O835" s="4"/>
      <c r="P835" s="4"/>
      <c r="Q835" s="4"/>
      <c r="R835" s="4"/>
      <c r="S835" s="13" t="n">
        <v>0</v>
      </c>
      <c r="T835" s="4" t="s">
        <v>173</v>
      </c>
      <c r="U835" s="14" t="n">
        <f aca="false">IF(OR($S835="",PARAMETROS!$B$4=""),"",$S835*PARAMETROS!$B$4)</f>
        <v>0</v>
      </c>
      <c r="V835" s="13" t="n">
        <v>0</v>
      </c>
      <c r="W835" s="4"/>
      <c r="X835" s="4"/>
      <c r="Y835" s="4"/>
      <c r="Z835" s="4"/>
      <c r="AA835" s="4"/>
      <c r="AB835" s="4"/>
      <c r="AC835" s="4"/>
      <c r="AD835" s="4"/>
      <c r="AE835" s="4"/>
      <c r="AF835" s="4"/>
      <c r="AG835" s="4"/>
      <c r="AH835" s="4"/>
      <c r="AI835" s="4"/>
      <c r="AJ835" s="4"/>
      <c r="AK835" s="4"/>
      <c r="AL835" s="4" t="s">
        <v>174</v>
      </c>
      <c r="AM835" s="4" t="s">
        <v>175</v>
      </c>
    </row>
    <row r="836" customFormat="false" ht="23.85" hidden="false" customHeight="false" outlineLevel="0" collapsed="false">
      <c r="A836" s="4" t="s">
        <v>167</v>
      </c>
      <c r="B836" s="4" t="s">
        <v>1013</v>
      </c>
      <c r="C836" s="4" t="s">
        <v>1013</v>
      </c>
      <c r="D836" s="12" t="n">
        <v>2021</v>
      </c>
      <c r="E836" s="4"/>
      <c r="F836" s="4" t="s">
        <v>169</v>
      </c>
      <c r="G836" s="4" t="s">
        <v>170</v>
      </c>
      <c r="H836" s="4" t="s">
        <v>171</v>
      </c>
      <c r="I836" s="4" t="s">
        <v>172</v>
      </c>
      <c r="J836" s="4" t="s">
        <v>1013</v>
      </c>
      <c r="K836" s="4" t="s">
        <v>109</v>
      </c>
      <c r="L836" s="4" t="s">
        <v>110</v>
      </c>
      <c r="M836" s="4"/>
      <c r="N836" s="4"/>
      <c r="O836" s="4"/>
      <c r="P836" s="4"/>
      <c r="Q836" s="4"/>
      <c r="R836" s="4"/>
      <c r="S836" s="13" t="n">
        <v>0</v>
      </c>
      <c r="T836" s="4" t="s">
        <v>173</v>
      </c>
      <c r="U836" s="14" t="n">
        <f aca="false">IF(OR($S836="",PARAMETROS!$B$4=""),"",$S836*PARAMETROS!$B$4)</f>
        <v>0</v>
      </c>
      <c r="V836" s="13" t="n">
        <v>0</v>
      </c>
      <c r="W836" s="4"/>
      <c r="X836" s="4"/>
      <c r="Y836" s="4"/>
      <c r="Z836" s="4"/>
      <c r="AA836" s="4"/>
      <c r="AB836" s="4"/>
      <c r="AC836" s="4"/>
      <c r="AD836" s="4"/>
      <c r="AE836" s="4"/>
      <c r="AF836" s="4"/>
      <c r="AG836" s="4"/>
      <c r="AH836" s="4"/>
      <c r="AI836" s="4"/>
      <c r="AJ836" s="4"/>
      <c r="AK836" s="4"/>
      <c r="AL836" s="4" t="s">
        <v>174</v>
      </c>
      <c r="AM836" s="4" t="s">
        <v>175</v>
      </c>
    </row>
    <row r="837" customFormat="false" ht="23.85" hidden="false" customHeight="false" outlineLevel="0" collapsed="false">
      <c r="A837" s="4" t="s">
        <v>167</v>
      </c>
      <c r="B837" s="4" t="s">
        <v>1014</v>
      </c>
      <c r="C837" s="4" t="s">
        <v>1014</v>
      </c>
      <c r="D837" s="12" t="n">
        <v>2021</v>
      </c>
      <c r="E837" s="4"/>
      <c r="F837" s="4" t="s">
        <v>169</v>
      </c>
      <c r="G837" s="4" t="s">
        <v>170</v>
      </c>
      <c r="H837" s="4" t="s">
        <v>171</v>
      </c>
      <c r="I837" s="4" t="s">
        <v>172</v>
      </c>
      <c r="J837" s="4" t="s">
        <v>1014</v>
      </c>
      <c r="K837" s="4" t="s">
        <v>109</v>
      </c>
      <c r="L837" s="4" t="s">
        <v>110</v>
      </c>
      <c r="M837" s="4"/>
      <c r="N837" s="4"/>
      <c r="O837" s="4"/>
      <c r="P837" s="4"/>
      <c r="Q837" s="4"/>
      <c r="R837" s="4"/>
      <c r="S837" s="13" t="n">
        <v>52322.96</v>
      </c>
      <c r="T837" s="4" t="s">
        <v>173</v>
      </c>
      <c r="U837" s="14" t="n">
        <f aca="false">IF(OR($S837="",PARAMETROS!$B$4=""),"",$S837*PARAMETROS!$B$4)</f>
        <v>303996.3976</v>
      </c>
      <c r="V837" s="13" t="n">
        <v>0</v>
      </c>
      <c r="W837" s="4"/>
      <c r="X837" s="4"/>
      <c r="Y837" s="4"/>
      <c r="Z837" s="4"/>
      <c r="AA837" s="4"/>
      <c r="AB837" s="4"/>
      <c r="AC837" s="4"/>
      <c r="AD837" s="4"/>
      <c r="AE837" s="4"/>
      <c r="AF837" s="4"/>
      <c r="AG837" s="4"/>
      <c r="AH837" s="4"/>
      <c r="AI837" s="4"/>
      <c r="AJ837" s="4"/>
      <c r="AK837" s="4"/>
      <c r="AL837" s="4" t="s">
        <v>174</v>
      </c>
      <c r="AM837" s="4" t="s">
        <v>175</v>
      </c>
    </row>
    <row r="838" customFormat="false" ht="23.85" hidden="false" customHeight="false" outlineLevel="0" collapsed="false">
      <c r="A838" s="4" t="s">
        <v>167</v>
      </c>
      <c r="B838" s="4" t="s">
        <v>1015</v>
      </c>
      <c r="C838" s="4" t="s">
        <v>1015</v>
      </c>
      <c r="D838" s="12" t="n">
        <v>2021</v>
      </c>
      <c r="E838" s="4"/>
      <c r="F838" s="4" t="s">
        <v>169</v>
      </c>
      <c r="G838" s="4" t="s">
        <v>170</v>
      </c>
      <c r="H838" s="4" t="s">
        <v>171</v>
      </c>
      <c r="I838" s="4" t="s">
        <v>172</v>
      </c>
      <c r="J838" s="4" t="s">
        <v>1015</v>
      </c>
      <c r="K838" s="4" t="s">
        <v>109</v>
      </c>
      <c r="L838" s="4" t="s">
        <v>110</v>
      </c>
      <c r="M838" s="4"/>
      <c r="N838" s="4"/>
      <c r="O838" s="4"/>
      <c r="P838" s="4"/>
      <c r="Q838" s="4"/>
      <c r="R838" s="4"/>
      <c r="S838" s="13" t="n">
        <v>1618.24</v>
      </c>
      <c r="T838" s="4" t="s">
        <v>173</v>
      </c>
      <c r="U838" s="14" t="n">
        <f aca="false">IF(OR($S838="",PARAMETROS!$B$4=""),"",$S838*PARAMETROS!$B$4)</f>
        <v>9401.9744</v>
      </c>
      <c r="V838" s="13" t="n">
        <v>0</v>
      </c>
      <c r="W838" s="4"/>
      <c r="X838" s="4"/>
      <c r="Y838" s="4"/>
      <c r="Z838" s="4"/>
      <c r="AA838" s="4"/>
      <c r="AB838" s="4"/>
      <c r="AC838" s="4"/>
      <c r="AD838" s="4"/>
      <c r="AE838" s="4"/>
      <c r="AF838" s="4"/>
      <c r="AG838" s="4"/>
      <c r="AH838" s="4"/>
      <c r="AI838" s="4"/>
      <c r="AJ838" s="4"/>
      <c r="AK838" s="4"/>
      <c r="AL838" s="4" t="s">
        <v>174</v>
      </c>
      <c r="AM838" s="4" t="s">
        <v>175</v>
      </c>
    </row>
    <row r="839" customFormat="false" ht="23.85" hidden="false" customHeight="false" outlineLevel="0" collapsed="false">
      <c r="A839" s="4" t="s">
        <v>167</v>
      </c>
      <c r="B839" s="4" t="s">
        <v>1016</v>
      </c>
      <c r="C839" s="4" t="s">
        <v>1016</v>
      </c>
      <c r="D839" s="12" t="n">
        <v>2021</v>
      </c>
      <c r="E839" s="4"/>
      <c r="F839" s="4" t="s">
        <v>169</v>
      </c>
      <c r="G839" s="4" t="s">
        <v>170</v>
      </c>
      <c r="H839" s="4" t="s">
        <v>171</v>
      </c>
      <c r="I839" s="4" t="s">
        <v>172</v>
      </c>
      <c r="J839" s="4" t="s">
        <v>1016</v>
      </c>
      <c r="K839" s="4" t="s">
        <v>109</v>
      </c>
      <c r="L839" s="4" t="s">
        <v>110</v>
      </c>
      <c r="M839" s="4"/>
      <c r="N839" s="4"/>
      <c r="O839" s="4"/>
      <c r="P839" s="4"/>
      <c r="Q839" s="4"/>
      <c r="R839" s="4"/>
      <c r="S839" s="13" t="n">
        <v>0</v>
      </c>
      <c r="T839" s="4" t="s">
        <v>173</v>
      </c>
      <c r="U839" s="14" t="n">
        <f aca="false">IF(OR($S839="",PARAMETROS!$B$4=""),"",$S839*PARAMETROS!$B$4)</f>
        <v>0</v>
      </c>
      <c r="V839" s="13" t="n">
        <v>0</v>
      </c>
      <c r="W839" s="4"/>
      <c r="X839" s="4"/>
      <c r="Y839" s="4"/>
      <c r="Z839" s="4"/>
      <c r="AA839" s="4"/>
      <c r="AB839" s="4"/>
      <c r="AC839" s="4"/>
      <c r="AD839" s="4"/>
      <c r="AE839" s="4"/>
      <c r="AF839" s="4"/>
      <c r="AG839" s="4"/>
      <c r="AH839" s="4"/>
      <c r="AI839" s="4"/>
      <c r="AJ839" s="4"/>
      <c r="AK839" s="4"/>
      <c r="AL839" s="4" t="s">
        <v>174</v>
      </c>
      <c r="AM839" s="4" t="s">
        <v>175</v>
      </c>
    </row>
    <row r="840" customFormat="false" ht="23.85" hidden="false" customHeight="false" outlineLevel="0" collapsed="false">
      <c r="A840" s="4" t="s">
        <v>167</v>
      </c>
      <c r="B840" s="4" t="s">
        <v>1017</v>
      </c>
      <c r="C840" s="4" t="s">
        <v>1017</v>
      </c>
      <c r="D840" s="12" t="n">
        <v>2021</v>
      </c>
      <c r="E840" s="4"/>
      <c r="F840" s="4" t="s">
        <v>169</v>
      </c>
      <c r="G840" s="4" t="s">
        <v>170</v>
      </c>
      <c r="H840" s="4" t="s">
        <v>171</v>
      </c>
      <c r="I840" s="4" t="s">
        <v>172</v>
      </c>
      <c r="J840" s="4" t="s">
        <v>1017</v>
      </c>
      <c r="K840" s="4" t="s">
        <v>109</v>
      </c>
      <c r="L840" s="4" t="s">
        <v>110</v>
      </c>
      <c r="M840" s="4"/>
      <c r="N840" s="4"/>
      <c r="O840" s="4"/>
      <c r="P840" s="4"/>
      <c r="Q840" s="4"/>
      <c r="R840" s="4"/>
      <c r="S840" s="13" t="n">
        <v>0</v>
      </c>
      <c r="T840" s="4" t="s">
        <v>173</v>
      </c>
      <c r="U840" s="14" t="n">
        <f aca="false">IF(OR($S840="",PARAMETROS!$B$4=""),"",$S840*PARAMETROS!$B$4)</f>
        <v>0</v>
      </c>
      <c r="V840" s="13" t="n">
        <v>0</v>
      </c>
      <c r="W840" s="4"/>
      <c r="X840" s="4"/>
      <c r="Y840" s="4"/>
      <c r="Z840" s="4"/>
      <c r="AA840" s="4"/>
      <c r="AB840" s="4"/>
      <c r="AC840" s="4"/>
      <c r="AD840" s="4"/>
      <c r="AE840" s="4"/>
      <c r="AF840" s="4"/>
      <c r="AG840" s="4"/>
      <c r="AH840" s="4"/>
      <c r="AI840" s="4"/>
      <c r="AJ840" s="4"/>
      <c r="AK840" s="4"/>
      <c r="AL840" s="4" t="s">
        <v>174</v>
      </c>
      <c r="AM840" s="4" t="s">
        <v>175</v>
      </c>
    </row>
    <row r="841" customFormat="false" ht="23.85" hidden="false" customHeight="false" outlineLevel="0" collapsed="false">
      <c r="A841" s="4" t="s">
        <v>167</v>
      </c>
      <c r="B841" s="4" t="s">
        <v>1018</v>
      </c>
      <c r="C841" s="4" t="s">
        <v>1018</v>
      </c>
      <c r="D841" s="12" t="n">
        <v>2021</v>
      </c>
      <c r="E841" s="4"/>
      <c r="F841" s="4" t="s">
        <v>169</v>
      </c>
      <c r="G841" s="4" t="s">
        <v>170</v>
      </c>
      <c r="H841" s="4" t="s">
        <v>171</v>
      </c>
      <c r="I841" s="4" t="s">
        <v>172</v>
      </c>
      <c r="J841" s="4" t="s">
        <v>1018</v>
      </c>
      <c r="K841" s="4" t="s">
        <v>109</v>
      </c>
      <c r="L841" s="4" t="s">
        <v>110</v>
      </c>
      <c r="M841" s="4"/>
      <c r="N841" s="4"/>
      <c r="O841" s="4"/>
      <c r="P841" s="4"/>
      <c r="Q841" s="4"/>
      <c r="R841" s="4"/>
      <c r="S841" s="13" t="n">
        <v>0</v>
      </c>
      <c r="T841" s="4" t="s">
        <v>173</v>
      </c>
      <c r="U841" s="14" t="n">
        <f aca="false">IF(OR($S841="",PARAMETROS!$B$4=""),"",$S841*PARAMETROS!$B$4)</f>
        <v>0</v>
      </c>
      <c r="V841" s="13" t="n">
        <v>0</v>
      </c>
      <c r="W841" s="4"/>
      <c r="X841" s="4"/>
      <c r="Y841" s="4"/>
      <c r="Z841" s="4"/>
      <c r="AA841" s="4"/>
      <c r="AB841" s="4"/>
      <c r="AC841" s="4"/>
      <c r="AD841" s="4"/>
      <c r="AE841" s="4"/>
      <c r="AF841" s="4"/>
      <c r="AG841" s="4"/>
      <c r="AH841" s="4"/>
      <c r="AI841" s="4"/>
      <c r="AJ841" s="4"/>
      <c r="AK841" s="4"/>
      <c r="AL841" s="4" t="s">
        <v>174</v>
      </c>
      <c r="AM841" s="4" t="s">
        <v>175</v>
      </c>
    </row>
    <row r="842" customFormat="false" ht="23.85" hidden="false" customHeight="false" outlineLevel="0" collapsed="false">
      <c r="A842" s="4" t="s">
        <v>167</v>
      </c>
      <c r="B842" s="4" t="s">
        <v>1019</v>
      </c>
      <c r="C842" s="4" t="s">
        <v>1019</v>
      </c>
      <c r="D842" s="12" t="n">
        <v>2021</v>
      </c>
      <c r="E842" s="4"/>
      <c r="F842" s="4" t="s">
        <v>169</v>
      </c>
      <c r="G842" s="4" t="s">
        <v>170</v>
      </c>
      <c r="H842" s="4" t="s">
        <v>171</v>
      </c>
      <c r="I842" s="4" t="s">
        <v>172</v>
      </c>
      <c r="J842" s="4" t="s">
        <v>1019</v>
      </c>
      <c r="K842" s="4" t="s">
        <v>86</v>
      </c>
      <c r="L842" s="4" t="s">
        <v>87</v>
      </c>
      <c r="M842" s="4"/>
      <c r="N842" s="4"/>
      <c r="O842" s="4"/>
      <c r="P842" s="4"/>
      <c r="Q842" s="4"/>
      <c r="R842" s="4"/>
      <c r="S842" s="13" t="n">
        <v>2285.74</v>
      </c>
      <c r="T842" s="4" t="s">
        <v>173</v>
      </c>
      <c r="U842" s="14" t="n">
        <f aca="false">IF(OR($S842="",PARAMETROS!$B$4=""),"",$S842*PARAMETROS!$B$4)</f>
        <v>13280.1494</v>
      </c>
      <c r="V842" s="13" t="n">
        <v>0</v>
      </c>
      <c r="W842" s="4"/>
      <c r="X842" s="4"/>
      <c r="Y842" s="4"/>
      <c r="Z842" s="4"/>
      <c r="AA842" s="4"/>
      <c r="AB842" s="4"/>
      <c r="AC842" s="4"/>
      <c r="AD842" s="4"/>
      <c r="AE842" s="4"/>
      <c r="AF842" s="4"/>
      <c r="AG842" s="4"/>
      <c r="AH842" s="4"/>
      <c r="AI842" s="4"/>
      <c r="AJ842" s="4"/>
      <c r="AK842" s="4"/>
      <c r="AL842" s="4" t="s">
        <v>174</v>
      </c>
      <c r="AM842" s="4" t="s">
        <v>205</v>
      </c>
    </row>
    <row r="843" customFormat="false" ht="23.85" hidden="false" customHeight="false" outlineLevel="0" collapsed="false">
      <c r="A843" s="4" t="s">
        <v>167</v>
      </c>
      <c r="B843" s="4" t="s">
        <v>1020</v>
      </c>
      <c r="C843" s="4" t="s">
        <v>1020</v>
      </c>
      <c r="D843" s="12" t="n">
        <v>2021</v>
      </c>
      <c r="E843" s="4"/>
      <c r="F843" s="4" t="s">
        <v>169</v>
      </c>
      <c r="G843" s="4" t="s">
        <v>170</v>
      </c>
      <c r="H843" s="4" t="s">
        <v>171</v>
      </c>
      <c r="I843" s="4" t="s">
        <v>172</v>
      </c>
      <c r="J843" s="4" t="s">
        <v>1020</v>
      </c>
      <c r="K843" s="4" t="s">
        <v>86</v>
      </c>
      <c r="L843" s="4" t="s">
        <v>87</v>
      </c>
      <c r="M843" s="4"/>
      <c r="N843" s="4"/>
      <c r="O843" s="4"/>
      <c r="P843" s="4"/>
      <c r="Q843" s="4"/>
      <c r="R843" s="4"/>
      <c r="S843" s="13" t="n">
        <v>0</v>
      </c>
      <c r="T843" s="4" t="s">
        <v>173</v>
      </c>
      <c r="U843" s="14" t="n">
        <f aca="false">IF(OR($S843="",PARAMETROS!$B$4=""),"",$S843*PARAMETROS!$B$4)</f>
        <v>0</v>
      </c>
      <c r="V843" s="13" t="n">
        <v>0</v>
      </c>
      <c r="W843" s="4"/>
      <c r="X843" s="4"/>
      <c r="Y843" s="4"/>
      <c r="Z843" s="4"/>
      <c r="AA843" s="4"/>
      <c r="AB843" s="4"/>
      <c r="AC843" s="4"/>
      <c r="AD843" s="4"/>
      <c r="AE843" s="4"/>
      <c r="AF843" s="4"/>
      <c r="AG843" s="4"/>
      <c r="AH843" s="4"/>
      <c r="AI843" s="4"/>
      <c r="AJ843" s="4"/>
      <c r="AK843" s="4"/>
      <c r="AL843" s="4" t="s">
        <v>174</v>
      </c>
      <c r="AM843" s="4" t="s">
        <v>205</v>
      </c>
    </row>
    <row r="844" customFormat="false" ht="23.85" hidden="false" customHeight="false" outlineLevel="0" collapsed="false">
      <c r="A844" s="4" t="s">
        <v>167</v>
      </c>
      <c r="B844" s="4" t="s">
        <v>1021</v>
      </c>
      <c r="C844" s="4" t="s">
        <v>1021</v>
      </c>
      <c r="D844" s="12" t="n">
        <v>2021</v>
      </c>
      <c r="E844" s="4"/>
      <c r="F844" s="4" t="s">
        <v>169</v>
      </c>
      <c r="G844" s="4" t="s">
        <v>170</v>
      </c>
      <c r="H844" s="4" t="s">
        <v>171</v>
      </c>
      <c r="I844" s="4" t="s">
        <v>172</v>
      </c>
      <c r="J844" s="4" t="s">
        <v>1021</v>
      </c>
      <c r="K844" s="4" t="s">
        <v>86</v>
      </c>
      <c r="L844" s="4" t="s">
        <v>87</v>
      </c>
      <c r="M844" s="4"/>
      <c r="N844" s="4"/>
      <c r="O844" s="4"/>
      <c r="P844" s="4"/>
      <c r="Q844" s="4"/>
      <c r="R844" s="4"/>
      <c r="S844" s="13" t="n">
        <v>1113.78</v>
      </c>
      <c r="T844" s="4" t="s">
        <v>173</v>
      </c>
      <c r="U844" s="14" t="n">
        <f aca="false">IF(OR($S844="",PARAMETROS!$B$4=""),"",$S844*PARAMETROS!$B$4)</f>
        <v>6471.0618</v>
      </c>
      <c r="V844" s="13" t="n">
        <v>0</v>
      </c>
      <c r="W844" s="4"/>
      <c r="X844" s="4"/>
      <c r="Y844" s="4"/>
      <c r="Z844" s="4"/>
      <c r="AA844" s="4"/>
      <c r="AB844" s="4"/>
      <c r="AC844" s="4"/>
      <c r="AD844" s="4"/>
      <c r="AE844" s="4"/>
      <c r="AF844" s="4"/>
      <c r="AG844" s="4"/>
      <c r="AH844" s="4"/>
      <c r="AI844" s="4"/>
      <c r="AJ844" s="4"/>
      <c r="AK844" s="4"/>
      <c r="AL844" s="4" t="s">
        <v>174</v>
      </c>
      <c r="AM844" s="4" t="s">
        <v>205</v>
      </c>
    </row>
    <row r="845" customFormat="false" ht="23.85" hidden="false" customHeight="false" outlineLevel="0" collapsed="false">
      <c r="A845" s="4" t="s">
        <v>167</v>
      </c>
      <c r="B845" s="4" t="s">
        <v>1022</v>
      </c>
      <c r="C845" s="4" t="s">
        <v>1022</v>
      </c>
      <c r="D845" s="12" t="n">
        <v>2021</v>
      </c>
      <c r="E845" s="4"/>
      <c r="F845" s="4" t="s">
        <v>169</v>
      </c>
      <c r="G845" s="4" t="s">
        <v>170</v>
      </c>
      <c r="H845" s="4" t="s">
        <v>171</v>
      </c>
      <c r="I845" s="4" t="s">
        <v>172</v>
      </c>
      <c r="J845" s="4" t="s">
        <v>1022</v>
      </c>
      <c r="K845" s="4" t="s">
        <v>86</v>
      </c>
      <c r="L845" s="4" t="s">
        <v>87</v>
      </c>
      <c r="M845" s="4"/>
      <c r="N845" s="4"/>
      <c r="O845" s="4"/>
      <c r="P845" s="4"/>
      <c r="Q845" s="4"/>
      <c r="R845" s="4"/>
      <c r="S845" s="13" t="n">
        <v>-334.35</v>
      </c>
      <c r="T845" s="4" t="s">
        <v>173</v>
      </c>
      <c r="U845" s="14" t="n">
        <f aca="false">IF(OR($S845="",PARAMETROS!$B$4=""),"",$S845*PARAMETROS!$B$4)</f>
        <v>-1942.5735</v>
      </c>
      <c r="V845" s="13" t="n">
        <v>0</v>
      </c>
      <c r="W845" s="4"/>
      <c r="X845" s="4"/>
      <c r="Y845" s="4"/>
      <c r="Z845" s="4"/>
      <c r="AA845" s="4"/>
      <c r="AB845" s="4"/>
      <c r="AC845" s="4"/>
      <c r="AD845" s="4"/>
      <c r="AE845" s="4"/>
      <c r="AF845" s="4"/>
      <c r="AG845" s="4"/>
      <c r="AH845" s="4"/>
      <c r="AI845" s="4"/>
      <c r="AJ845" s="4"/>
      <c r="AK845" s="4"/>
      <c r="AL845" s="4" t="s">
        <v>174</v>
      </c>
      <c r="AM845" s="4" t="s">
        <v>205</v>
      </c>
    </row>
    <row r="846" customFormat="false" ht="23.85" hidden="false" customHeight="false" outlineLevel="0" collapsed="false">
      <c r="A846" s="4" t="s">
        <v>167</v>
      </c>
      <c r="B846" s="4" t="s">
        <v>1023</v>
      </c>
      <c r="C846" s="4" t="s">
        <v>1023</v>
      </c>
      <c r="D846" s="12" t="n">
        <v>2021</v>
      </c>
      <c r="E846" s="4"/>
      <c r="F846" s="4" t="s">
        <v>169</v>
      </c>
      <c r="G846" s="4" t="s">
        <v>170</v>
      </c>
      <c r="H846" s="4" t="s">
        <v>171</v>
      </c>
      <c r="I846" s="4" t="s">
        <v>172</v>
      </c>
      <c r="J846" s="4" t="s">
        <v>1023</v>
      </c>
      <c r="K846" s="4" t="s">
        <v>86</v>
      </c>
      <c r="L846" s="4" t="s">
        <v>87</v>
      </c>
      <c r="M846" s="4"/>
      <c r="N846" s="4"/>
      <c r="O846" s="4"/>
      <c r="P846" s="4"/>
      <c r="Q846" s="4"/>
      <c r="R846" s="4"/>
      <c r="S846" s="13" t="n">
        <v>-837.62</v>
      </c>
      <c r="T846" s="4" t="s">
        <v>173</v>
      </c>
      <c r="U846" s="14" t="n">
        <f aca="false">IF(OR($S846="",PARAMETROS!$B$4=""),"",$S846*PARAMETROS!$B$4)</f>
        <v>-4866.5722</v>
      </c>
      <c r="V846" s="13" t="n">
        <v>0</v>
      </c>
      <c r="W846" s="4"/>
      <c r="X846" s="4"/>
      <c r="Y846" s="4"/>
      <c r="Z846" s="4"/>
      <c r="AA846" s="4"/>
      <c r="AB846" s="4"/>
      <c r="AC846" s="4"/>
      <c r="AD846" s="4"/>
      <c r="AE846" s="4"/>
      <c r="AF846" s="4"/>
      <c r="AG846" s="4"/>
      <c r="AH846" s="4"/>
      <c r="AI846" s="4"/>
      <c r="AJ846" s="4"/>
      <c r="AK846" s="4"/>
      <c r="AL846" s="4" t="s">
        <v>174</v>
      </c>
      <c r="AM846" s="4" t="s">
        <v>205</v>
      </c>
    </row>
    <row r="847" customFormat="false" ht="23.85" hidden="false" customHeight="false" outlineLevel="0" collapsed="false">
      <c r="A847" s="4" t="s">
        <v>167</v>
      </c>
      <c r="B847" s="4" t="s">
        <v>1024</v>
      </c>
      <c r="C847" s="4" t="s">
        <v>1024</v>
      </c>
      <c r="D847" s="12" t="n">
        <v>2021</v>
      </c>
      <c r="E847" s="4"/>
      <c r="F847" s="4" t="s">
        <v>169</v>
      </c>
      <c r="G847" s="4" t="s">
        <v>170</v>
      </c>
      <c r="H847" s="4" t="s">
        <v>171</v>
      </c>
      <c r="I847" s="4" t="s">
        <v>172</v>
      </c>
      <c r="J847" s="4" t="s">
        <v>1024</v>
      </c>
      <c r="K847" s="4" t="s">
        <v>86</v>
      </c>
      <c r="L847" s="4" t="s">
        <v>87</v>
      </c>
      <c r="M847" s="4"/>
      <c r="N847" s="4"/>
      <c r="O847" s="4"/>
      <c r="P847" s="4"/>
      <c r="Q847" s="4"/>
      <c r="R847" s="4"/>
      <c r="S847" s="13" t="n">
        <v>0</v>
      </c>
      <c r="T847" s="4" t="s">
        <v>173</v>
      </c>
      <c r="U847" s="14" t="n">
        <f aca="false">IF(OR($S847="",PARAMETROS!$B$4=""),"",$S847*PARAMETROS!$B$4)</f>
        <v>0</v>
      </c>
      <c r="V847" s="13" t="n">
        <v>0</v>
      </c>
      <c r="W847" s="4"/>
      <c r="X847" s="4"/>
      <c r="Y847" s="4"/>
      <c r="Z847" s="4"/>
      <c r="AA847" s="4"/>
      <c r="AB847" s="4"/>
      <c r="AC847" s="4"/>
      <c r="AD847" s="4"/>
      <c r="AE847" s="4"/>
      <c r="AF847" s="4"/>
      <c r="AG847" s="4"/>
      <c r="AH847" s="4"/>
      <c r="AI847" s="4"/>
      <c r="AJ847" s="4"/>
      <c r="AK847" s="4"/>
      <c r="AL847" s="4" t="s">
        <v>174</v>
      </c>
      <c r="AM847" s="4" t="s">
        <v>205</v>
      </c>
    </row>
    <row r="848" customFormat="false" ht="23.85" hidden="false" customHeight="false" outlineLevel="0" collapsed="false">
      <c r="A848" s="4" t="s">
        <v>167</v>
      </c>
      <c r="B848" s="4" t="s">
        <v>1025</v>
      </c>
      <c r="C848" s="4" t="s">
        <v>1025</v>
      </c>
      <c r="D848" s="12" t="n">
        <v>2021</v>
      </c>
      <c r="E848" s="4"/>
      <c r="F848" s="4" t="s">
        <v>169</v>
      </c>
      <c r="G848" s="4" t="s">
        <v>170</v>
      </c>
      <c r="H848" s="4" t="s">
        <v>171</v>
      </c>
      <c r="I848" s="4" t="s">
        <v>172</v>
      </c>
      <c r="J848" s="4" t="s">
        <v>1025</v>
      </c>
      <c r="K848" s="4" t="s">
        <v>86</v>
      </c>
      <c r="L848" s="4" t="s">
        <v>87</v>
      </c>
      <c r="M848" s="4"/>
      <c r="N848" s="4"/>
      <c r="O848" s="4"/>
      <c r="P848" s="4"/>
      <c r="Q848" s="4"/>
      <c r="R848" s="4"/>
      <c r="S848" s="13" t="n">
        <v>0</v>
      </c>
      <c r="T848" s="4" t="s">
        <v>173</v>
      </c>
      <c r="U848" s="14" t="n">
        <f aca="false">IF(OR($S848="",PARAMETROS!$B$4=""),"",$S848*PARAMETROS!$B$4)</f>
        <v>0</v>
      </c>
      <c r="V848" s="13" t="n">
        <v>0</v>
      </c>
      <c r="W848" s="4"/>
      <c r="X848" s="4"/>
      <c r="Y848" s="4"/>
      <c r="Z848" s="4"/>
      <c r="AA848" s="4"/>
      <c r="AB848" s="4"/>
      <c r="AC848" s="4"/>
      <c r="AD848" s="4"/>
      <c r="AE848" s="4"/>
      <c r="AF848" s="4"/>
      <c r="AG848" s="4"/>
      <c r="AH848" s="4"/>
      <c r="AI848" s="4"/>
      <c r="AJ848" s="4"/>
      <c r="AK848" s="4"/>
      <c r="AL848" s="4" t="s">
        <v>174</v>
      </c>
      <c r="AM848" s="4" t="s">
        <v>205</v>
      </c>
    </row>
    <row r="849" customFormat="false" ht="23.85" hidden="false" customHeight="false" outlineLevel="0" collapsed="false">
      <c r="A849" s="4" t="s">
        <v>167</v>
      </c>
      <c r="B849" s="4" t="s">
        <v>1026</v>
      </c>
      <c r="C849" s="4" t="s">
        <v>1026</v>
      </c>
      <c r="D849" s="12" t="n">
        <v>2021</v>
      </c>
      <c r="E849" s="4"/>
      <c r="F849" s="4" t="s">
        <v>169</v>
      </c>
      <c r="G849" s="4" t="s">
        <v>170</v>
      </c>
      <c r="H849" s="4" t="s">
        <v>171</v>
      </c>
      <c r="I849" s="4" t="s">
        <v>172</v>
      </c>
      <c r="J849" s="4" t="s">
        <v>1026</v>
      </c>
      <c r="K849" s="4" t="s">
        <v>86</v>
      </c>
      <c r="L849" s="4" t="s">
        <v>87</v>
      </c>
      <c r="M849" s="4"/>
      <c r="N849" s="4"/>
      <c r="O849" s="4"/>
      <c r="P849" s="4"/>
      <c r="Q849" s="4"/>
      <c r="R849" s="4"/>
      <c r="S849" s="13" t="n">
        <v>0</v>
      </c>
      <c r="T849" s="4" t="s">
        <v>173</v>
      </c>
      <c r="U849" s="14" t="n">
        <f aca="false">IF(OR($S849="",PARAMETROS!$B$4=""),"",$S849*PARAMETROS!$B$4)</f>
        <v>0</v>
      </c>
      <c r="V849" s="13" t="n">
        <v>0</v>
      </c>
      <c r="W849" s="4"/>
      <c r="X849" s="4"/>
      <c r="Y849" s="4"/>
      <c r="Z849" s="4"/>
      <c r="AA849" s="4"/>
      <c r="AB849" s="4"/>
      <c r="AC849" s="4"/>
      <c r="AD849" s="4"/>
      <c r="AE849" s="4"/>
      <c r="AF849" s="4"/>
      <c r="AG849" s="4"/>
      <c r="AH849" s="4"/>
      <c r="AI849" s="4"/>
      <c r="AJ849" s="4"/>
      <c r="AK849" s="4"/>
      <c r="AL849" s="4" t="s">
        <v>174</v>
      </c>
      <c r="AM849" s="4" t="s">
        <v>205</v>
      </c>
    </row>
    <row r="850" customFormat="false" ht="23.85" hidden="false" customHeight="false" outlineLevel="0" collapsed="false">
      <c r="A850" s="4" t="s">
        <v>167</v>
      </c>
      <c r="B850" s="4" t="s">
        <v>1027</v>
      </c>
      <c r="C850" s="4" t="s">
        <v>1027</v>
      </c>
      <c r="D850" s="12" t="n">
        <v>2021</v>
      </c>
      <c r="E850" s="4"/>
      <c r="F850" s="4" t="s">
        <v>169</v>
      </c>
      <c r="G850" s="4" t="s">
        <v>170</v>
      </c>
      <c r="H850" s="4" t="s">
        <v>171</v>
      </c>
      <c r="I850" s="4" t="s">
        <v>172</v>
      </c>
      <c r="J850" s="4" t="s">
        <v>1027</v>
      </c>
      <c r="K850" s="4" t="s">
        <v>86</v>
      </c>
      <c r="L850" s="4" t="s">
        <v>87</v>
      </c>
      <c r="M850" s="4"/>
      <c r="N850" s="4"/>
      <c r="O850" s="4"/>
      <c r="P850" s="4"/>
      <c r="Q850" s="4"/>
      <c r="R850" s="4"/>
      <c r="S850" s="13" t="n">
        <v>0</v>
      </c>
      <c r="T850" s="4" t="s">
        <v>173</v>
      </c>
      <c r="U850" s="14" t="n">
        <f aca="false">IF(OR($S850="",PARAMETROS!$B$4=""),"",$S850*PARAMETROS!$B$4)</f>
        <v>0</v>
      </c>
      <c r="V850" s="13" t="n">
        <v>0</v>
      </c>
      <c r="W850" s="4"/>
      <c r="X850" s="4"/>
      <c r="Y850" s="4"/>
      <c r="Z850" s="4"/>
      <c r="AA850" s="4"/>
      <c r="AB850" s="4"/>
      <c r="AC850" s="4"/>
      <c r="AD850" s="4"/>
      <c r="AE850" s="4"/>
      <c r="AF850" s="4"/>
      <c r="AG850" s="4"/>
      <c r="AH850" s="4"/>
      <c r="AI850" s="4"/>
      <c r="AJ850" s="4"/>
      <c r="AK850" s="4"/>
      <c r="AL850" s="4" t="s">
        <v>174</v>
      </c>
      <c r="AM850" s="4" t="s">
        <v>205</v>
      </c>
    </row>
    <row r="851" customFormat="false" ht="23.85" hidden="false" customHeight="false" outlineLevel="0" collapsed="false">
      <c r="A851" s="4" t="s">
        <v>167</v>
      </c>
      <c r="B851" s="4" t="s">
        <v>1028</v>
      </c>
      <c r="C851" s="4" t="s">
        <v>1028</v>
      </c>
      <c r="D851" s="12" t="n">
        <v>2021</v>
      </c>
      <c r="E851" s="4"/>
      <c r="F851" s="4" t="s">
        <v>169</v>
      </c>
      <c r="G851" s="4" t="s">
        <v>170</v>
      </c>
      <c r="H851" s="4" t="s">
        <v>171</v>
      </c>
      <c r="I851" s="4" t="s">
        <v>172</v>
      </c>
      <c r="J851" s="4" t="s">
        <v>1028</v>
      </c>
      <c r="K851" s="4" t="s">
        <v>86</v>
      </c>
      <c r="L851" s="4" t="s">
        <v>87</v>
      </c>
      <c r="M851" s="4"/>
      <c r="N851" s="4"/>
      <c r="O851" s="4"/>
      <c r="P851" s="4"/>
      <c r="Q851" s="4"/>
      <c r="R851" s="4"/>
      <c r="S851" s="13" t="n">
        <v>0</v>
      </c>
      <c r="T851" s="4" t="s">
        <v>173</v>
      </c>
      <c r="U851" s="14" t="n">
        <f aca="false">IF(OR($S851="",PARAMETROS!$B$4=""),"",$S851*PARAMETROS!$B$4)</f>
        <v>0</v>
      </c>
      <c r="V851" s="13" t="n">
        <v>0</v>
      </c>
      <c r="W851" s="4"/>
      <c r="X851" s="4"/>
      <c r="Y851" s="4"/>
      <c r="Z851" s="4"/>
      <c r="AA851" s="4"/>
      <c r="AB851" s="4"/>
      <c r="AC851" s="4"/>
      <c r="AD851" s="4"/>
      <c r="AE851" s="4"/>
      <c r="AF851" s="4"/>
      <c r="AG851" s="4"/>
      <c r="AH851" s="4"/>
      <c r="AI851" s="4"/>
      <c r="AJ851" s="4"/>
      <c r="AK851" s="4"/>
      <c r="AL851" s="4" t="s">
        <v>174</v>
      </c>
      <c r="AM851" s="4" t="s">
        <v>205</v>
      </c>
    </row>
    <row r="852" customFormat="false" ht="23.85" hidden="false" customHeight="false" outlineLevel="0" collapsed="false">
      <c r="A852" s="4" t="s">
        <v>167</v>
      </c>
      <c r="B852" s="4" t="s">
        <v>1029</v>
      </c>
      <c r="C852" s="4" t="s">
        <v>1029</v>
      </c>
      <c r="D852" s="12" t="n">
        <v>2021</v>
      </c>
      <c r="E852" s="4"/>
      <c r="F852" s="4" t="s">
        <v>169</v>
      </c>
      <c r="G852" s="4" t="s">
        <v>170</v>
      </c>
      <c r="H852" s="4" t="s">
        <v>171</v>
      </c>
      <c r="I852" s="4" t="s">
        <v>172</v>
      </c>
      <c r="J852" s="4" t="s">
        <v>1029</v>
      </c>
      <c r="K852" s="4" t="s">
        <v>86</v>
      </c>
      <c r="L852" s="4" t="s">
        <v>87</v>
      </c>
      <c r="M852" s="4"/>
      <c r="N852" s="4"/>
      <c r="O852" s="4"/>
      <c r="P852" s="4"/>
      <c r="Q852" s="4"/>
      <c r="R852" s="4"/>
      <c r="S852" s="13" t="n">
        <v>0</v>
      </c>
      <c r="T852" s="4" t="s">
        <v>173</v>
      </c>
      <c r="U852" s="14" t="n">
        <f aca="false">IF(OR($S852="",PARAMETROS!$B$4=""),"",$S852*PARAMETROS!$B$4)</f>
        <v>0</v>
      </c>
      <c r="V852" s="13" t="n">
        <v>0</v>
      </c>
      <c r="W852" s="4"/>
      <c r="X852" s="4"/>
      <c r="Y852" s="4"/>
      <c r="Z852" s="4"/>
      <c r="AA852" s="4"/>
      <c r="AB852" s="4"/>
      <c r="AC852" s="4"/>
      <c r="AD852" s="4"/>
      <c r="AE852" s="4"/>
      <c r="AF852" s="4"/>
      <c r="AG852" s="4"/>
      <c r="AH852" s="4"/>
      <c r="AI852" s="4"/>
      <c r="AJ852" s="4"/>
      <c r="AK852" s="4"/>
      <c r="AL852" s="4" t="s">
        <v>174</v>
      </c>
      <c r="AM852" s="4" t="s">
        <v>205</v>
      </c>
    </row>
    <row r="853" customFormat="false" ht="23.85" hidden="false" customHeight="false" outlineLevel="0" collapsed="false">
      <c r="A853" s="4" t="s">
        <v>167</v>
      </c>
      <c r="B853" s="4" t="s">
        <v>1030</v>
      </c>
      <c r="C853" s="4" t="s">
        <v>1030</v>
      </c>
      <c r="D853" s="12" t="n">
        <v>2021</v>
      </c>
      <c r="E853" s="4"/>
      <c r="F853" s="4" t="s">
        <v>169</v>
      </c>
      <c r="G853" s="4" t="s">
        <v>170</v>
      </c>
      <c r="H853" s="4" t="s">
        <v>171</v>
      </c>
      <c r="I853" s="4" t="s">
        <v>172</v>
      </c>
      <c r="J853" s="4" t="s">
        <v>1030</v>
      </c>
      <c r="K853" s="4" t="s">
        <v>86</v>
      </c>
      <c r="L853" s="4" t="s">
        <v>87</v>
      </c>
      <c r="M853" s="4"/>
      <c r="N853" s="4"/>
      <c r="O853" s="4"/>
      <c r="P853" s="4"/>
      <c r="Q853" s="4"/>
      <c r="R853" s="4"/>
      <c r="S853" s="13" t="n">
        <v>0</v>
      </c>
      <c r="T853" s="4" t="s">
        <v>173</v>
      </c>
      <c r="U853" s="14" t="n">
        <f aca="false">IF(OR($S853="",PARAMETROS!$B$4=""),"",$S853*PARAMETROS!$B$4)</f>
        <v>0</v>
      </c>
      <c r="V853" s="13" t="n">
        <v>0</v>
      </c>
      <c r="W853" s="4"/>
      <c r="X853" s="4"/>
      <c r="Y853" s="4"/>
      <c r="Z853" s="4"/>
      <c r="AA853" s="4"/>
      <c r="AB853" s="4"/>
      <c r="AC853" s="4"/>
      <c r="AD853" s="4"/>
      <c r="AE853" s="4"/>
      <c r="AF853" s="4"/>
      <c r="AG853" s="4"/>
      <c r="AH853" s="4"/>
      <c r="AI853" s="4"/>
      <c r="AJ853" s="4"/>
      <c r="AK853" s="4"/>
      <c r="AL853" s="4" t="s">
        <v>174</v>
      </c>
      <c r="AM853" s="4" t="s">
        <v>205</v>
      </c>
    </row>
    <row r="854" customFormat="false" ht="23.85" hidden="false" customHeight="false" outlineLevel="0" collapsed="false">
      <c r="A854" s="4" t="s">
        <v>167</v>
      </c>
      <c r="B854" s="4" t="s">
        <v>1031</v>
      </c>
      <c r="C854" s="4" t="s">
        <v>1031</v>
      </c>
      <c r="D854" s="12" t="n">
        <v>2021</v>
      </c>
      <c r="E854" s="4"/>
      <c r="F854" s="4" t="s">
        <v>169</v>
      </c>
      <c r="G854" s="4" t="s">
        <v>170</v>
      </c>
      <c r="H854" s="4" t="s">
        <v>171</v>
      </c>
      <c r="I854" s="4" t="s">
        <v>172</v>
      </c>
      <c r="J854" s="4" t="s">
        <v>1031</v>
      </c>
      <c r="K854" s="4" t="s">
        <v>86</v>
      </c>
      <c r="L854" s="4" t="s">
        <v>87</v>
      </c>
      <c r="M854" s="4"/>
      <c r="N854" s="4"/>
      <c r="O854" s="4"/>
      <c r="P854" s="4"/>
      <c r="Q854" s="4"/>
      <c r="R854" s="4"/>
      <c r="S854" s="13" t="n">
        <v>0</v>
      </c>
      <c r="T854" s="4" t="s">
        <v>173</v>
      </c>
      <c r="U854" s="14" t="n">
        <f aca="false">IF(OR($S854="",PARAMETROS!$B$4=""),"",$S854*PARAMETROS!$B$4)</f>
        <v>0</v>
      </c>
      <c r="V854" s="13" t="n">
        <v>0</v>
      </c>
      <c r="W854" s="4"/>
      <c r="X854" s="4"/>
      <c r="Y854" s="4"/>
      <c r="Z854" s="4"/>
      <c r="AA854" s="4"/>
      <c r="AB854" s="4"/>
      <c r="AC854" s="4"/>
      <c r="AD854" s="4"/>
      <c r="AE854" s="4"/>
      <c r="AF854" s="4"/>
      <c r="AG854" s="4"/>
      <c r="AH854" s="4"/>
      <c r="AI854" s="4"/>
      <c r="AJ854" s="4"/>
      <c r="AK854" s="4"/>
      <c r="AL854" s="4" t="s">
        <v>174</v>
      </c>
      <c r="AM854" s="4" t="s">
        <v>205</v>
      </c>
    </row>
    <row r="855" customFormat="false" ht="23.85" hidden="false" customHeight="false" outlineLevel="0" collapsed="false">
      <c r="A855" s="4" t="s">
        <v>167</v>
      </c>
      <c r="B855" s="4" t="s">
        <v>1032</v>
      </c>
      <c r="C855" s="4" t="s">
        <v>1032</v>
      </c>
      <c r="D855" s="12" t="n">
        <v>2021</v>
      </c>
      <c r="E855" s="4"/>
      <c r="F855" s="4" t="s">
        <v>169</v>
      </c>
      <c r="G855" s="4" t="s">
        <v>170</v>
      </c>
      <c r="H855" s="4" t="s">
        <v>171</v>
      </c>
      <c r="I855" s="4" t="s">
        <v>172</v>
      </c>
      <c r="J855" s="4" t="s">
        <v>1032</v>
      </c>
      <c r="K855" s="4" t="s">
        <v>86</v>
      </c>
      <c r="L855" s="4" t="s">
        <v>87</v>
      </c>
      <c r="M855" s="4"/>
      <c r="N855" s="4"/>
      <c r="O855" s="4"/>
      <c r="P855" s="4"/>
      <c r="Q855" s="4"/>
      <c r="R855" s="4"/>
      <c r="S855" s="13" t="n">
        <v>0</v>
      </c>
      <c r="T855" s="4" t="s">
        <v>173</v>
      </c>
      <c r="U855" s="14" t="n">
        <f aca="false">IF(OR($S855="",PARAMETROS!$B$4=""),"",$S855*PARAMETROS!$B$4)</f>
        <v>0</v>
      </c>
      <c r="V855" s="13" t="n">
        <v>0</v>
      </c>
      <c r="W855" s="4"/>
      <c r="X855" s="4"/>
      <c r="Y855" s="4"/>
      <c r="Z855" s="4"/>
      <c r="AA855" s="4"/>
      <c r="AB855" s="4"/>
      <c r="AC855" s="4"/>
      <c r="AD855" s="4"/>
      <c r="AE855" s="4"/>
      <c r="AF855" s="4"/>
      <c r="AG855" s="4"/>
      <c r="AH855" s="4"/>
      <c r="AI855" s="4"/>
      <c r="AJ855" s="4"/>
      <c r="AK855" s="4"/>
      <c r="AL855" s="4" t="s">
        <v>174</v>
      </c>
      <c r="AM855" s="4" t="s">
        <v>205</v>
      </c>
    </row>
    <row r="856" customFormat="false" ht="23.85" hidden="false" customHeight="false" outlineLevel="0" collapsed="false">
      <c r="A856" s="4" t="s">
        <v>167</v>
      </c>
      <c r="B856" s="4" t="s">
        <v>1033</v>
      </c>
      <c r="C856" s="4" t="s">
        <v>1033</v>
      </c>
      <c r="D856" s="12" t="n">
        <v>2021</v>
      </c>
      <c r="E856" s="4"/>
      <c r="F856" s="4" t="s">
        <v>169</v>
      </c>
      <c r="G856" s="4" t="s">
        <v>170</v>
      </c>
      <c r="H856" s="4" t="s">
        <v>171</v>
      </c>
      <c r="I856" s="4" t="s">
        <v>172</v>
      </c>
      <c r="J856" s="4" t="s">
        <v>1033</v>
      </c>
      <c r="K856" s="4" t="s">
        <v>88</v>
      </c>
      <c r="L856" s="4" t="s">
        <v>89</v>
      </c>
      <c r="M856" s="4"/>
      <c r="N856" s="4"/>
      <c r="O856" s="4"/>
      <c r="P856" s="4"/>
      <c r="Q856" s="4"/>
      <c r="R856" s="4"/>
      <c r="S856" s="13" t="n">
        <v>134.67</v>
      </c>
      <c r="T856" s="4" t="s">
        <v>173</v>
      </c>
      <c r="U856" s="14" t="n">
        <f aca="false">IF(OR($S856="",PARAMETROS!$B$4=""),"",$S856*PARAMETROS!$B$4)</f>
        <v>782.4327</v>
      </c>
      <c r="V856" s="13" t="n">
        <v>0</v>
      </c>
      <c r="W856" s="4"/>
      <c r="X856" s="4"/>
      <c r="Y856" s="4"/>
      <c r="Z856" s="4"/>
      <c r="AA856" s="4"/>
      <c r="AB856" s="4"/>
      <c r="AC856" s="4"/>
      <c r="AD856" s="4"/>
      <c r="AE856" s="4"/>
      <c r="AF856" s="4"/>
      <c r="AG856" s="4"/>
      <c r="AH856" s="4"/>
      <c r="AI856" s="4"/>
      <c r="AJ856" s="4"/>
      <c r="AK856" s="4"/>
      <c r="AL856" s="4" t="s">
        <v>174</v>
      </c>
      <c r="AM856" s="4" t="s">
        <v>190</v>
      </c>
    </row>
    <row r="857" customFormat="false" ht="23.85" hidden="false" customHeight="false" outlineLevel="0" collapsed="false">
      <c r="A857" s="4" t="s">
        <v>167</v>
      </c>
      <c r="B857" s="4" t="s">
        <v>1034</v>
      </c>
      <c r="C857" s="4" t="s">
        <v>1034</v>
      </c>
      <c r="D857" s="12" t="n">
        <v>2021</v>
      </c>
      <c r="E857" s="4"/>
      <c r="F857" s="4" t="s">
        <v>169</v>
      </c>
      <c r="G857" s="4" t="s">
        <v>170</v>
      </c>
      <c r="H857" s="4" t="s">
        <v>171</v>
      </c>
      <c r="I857" s="4" t="s">
        <v>172</v>
      </c>
      <c r="J857" s="4" t="s">
        <v>1034</v>
      </c>
      <c r="K857" s="4" t="s">
        <v>88</v>
      </c>
      <c r="L857" s="4" t="s">
        <v>89</v>
      </c>
      <c r="M857" s="4"/>
      <c r="N857" s="4"/>
      <c r="O857" s="4"/>
      <c r="P857" s="4"/>
      <c r="Q857" s="4"/>
      <c r="R857" s="4"/>
      <c r="S857" s="13" t="n">
        <v>0</v>
      </c>
      <c r="T857" s="4" t="s">
        <v>173</v>
      </c>
      <c r="U857" s="14" t="n">
        <f aca="false">IF(OR($S857="",PARAMETROS!$B$4=""),"",$S857*PARAMETROS!$B$4)</f>
        <v>0</v>
      </c>
      <c r="V857" s="13" t="n">
        <v>0</v>
      </c>
      <c r="W857" s="4"/>
      <c r="X857" s="4"/>
      <c r="Y857" s="4"/>
      <c r="Z857" s="4"/>
      <c r="AA857" s="4"/>
      <c r="AB857" s="4"/>
      <c r="AC857" s="4"/>
      <c r="AD857" s="4"/>
      <c r="AE857" s="4"/>
      <c r="AF857" s="4"/>
      <c r="AG857" s="4"/>
      <c r="AH857" s="4"/>
      <c r="AI857" s="4"/>
      <c r="AJ857" s="4"/>
      <c r="AK857" s="4"/>
      <c r="AL857" s="4" t="s">
        <v>174</v>
      </c>
      <c r="AM857" s="4" t="s">
        <v>190</v>
      </c>
    </row>
    <row r="858" customFormat="false" ht="23.85" hidden="false" customHeight="false" outlineLevel="0" collapsed="false">
      <c r="A858" s="4" t="s">
        <v>167</v>
      </c>
      <c r="B858" s="4" t="s">
        <v>1035</v>
      </c>
      <c r="C858" s="4" t="s">
        <v>1035</v>
      </c>
      <c r="D858" s="12" t="n">
        <v>2021</v>
      </c>
      <c r="E858" s="4"/>
      <c r="F858" s="4" t="s">
        <v>169</v>
      </c>
      <c r="G858" s="4" t="s">
        <v>170</v>
      </c>
      <c r="H858" s="4" t="s">
        <v>171</v>
      </c>
      <c r="I858" s="4" t="s">
        <v>172</v>
      </c>
      <c r="J858" s="4" t="s">
        <v>1035</v>
      </c>
      <c r="K858" s="4" t="s">
        <v>88</v>
      </c>
      <c r="L858" s="4" t="s">
        <v>89</v>
      </c>
      <c r="M858" s="4"/>
      <c r="N858" s="4"/>
      <c r="O858" s="4"/>
      <c r="P858" s="4"/>
      <c r="Q858" s="4"/>
      <c r="R858" s="4"/>
      <c r="S858" s="13" t="n">
        <v>0</v>
      </c>
      <c r="T858" s="4" t="s">
        <v>173</v>
      </c>
      <c r="U858" s="14" t="n">
        <f aca="false">IF(OR($S858="",PARAMETROS!$B$4=""),"",$S858*PARAMETROS!$B$4)</f>
        <v>0</v>
      </c>
      <c r="V858" s="13" t="n">
        <v>0</v>
      </c>
      <c r="W858" s="4"/>
      <c r="X858" s="4"/>
      <c r="Y858" s="4"/>
      <c r="Z858" s="4"/>
      <c r="AA858" s="4"/>
      <c r="AB858" s="4"/>
      <c r="AC858" s="4"/>
      <c r="AD858" s="4"/>
      <c r="AE858" s="4"/>
      <c r="AF858" s="4"/>
      <c r="AG858" s="4"/>
      <c r="AH858" s="4"/>
      <c r="AI858" s="4"/>
      <c r="AJ858" s="4"/>
      <c r="AK858" s="4"/>
      <c r="AL858" s="4" t="s">
        <v>174</v>
      </c>
      <c r="AM858" s="4" t="s">
        <v>190</v>
      </c>
    </row>
    <row r="859" customFormat="false" ht="23.85" hidden="false" customHeight="false" outlineLevel="0" collapsed="false">
      <c r="A859" s="4" t="s">
        <v>167</v>
      </c>
      <c r="B859" s="4" t="s">
        <v>1036</v>
      </c>
      <c r="C859" s="4" t="s">
        <v>1036</v>
      </c>
      <c r="D859" s="12" t="n">
        <v>2021</v>
      </c>
      <c r="E859" s="4"/>
      <c r="F859" s="4" t="s">
        <v>169</v>
      </c>
      <c r="G859" s="4" t="s">
        <v>170</v>
      </c>
      <c r="H859" s="4" t="s">
        <v>171</v>
      </c>
      <c r="I859" s="4" t="s">
        <v>172</v>
      </c>
      <c r="J859" s="4" t="s">
        <v>1036</v>
      </c>
      <c r="K859" s="4" t="s">
        <v>88</v>
      </c>
      <c r="L859" s="4" t="s">
        <v>89</v>
      </c>
      <c r="M859" s="4"/>
      <c r="N859" s="4"/>
      <c r="O859" s="4"/>
      <c r="P859" s="4"/>
      <c r="Q859" s="4"/>
      <c r="R859" s="4"/>
      <c r="S859" s="13" t="n">
        <v>0</v>
      </c>
      <c r="T859" s="4" t="s">
        <v>173</v>
      </c>
      <c r="U859" s="14" t="n">
        <f aca="false">IF(OR($S859="",PARAMETROS!$B$4=""),"",$S859*PARAMETROS!$B$4)</f>
        <v>0</v>
      </c>
      <c r="V859" s="13" t="n">
        <v>0</v>
      </c>
      <c r="W859" s="4"/>
      <c r="X859" s="4"/>
      <c r="Y859" s="4"/>
      <c r="Z859" s="4"/>
      <c r="AA859" s="4"/>
      <c r="AB859" s="4"/>
      <c r="AC859" s="4"/>
      <c r="AD859" s="4"/>
      <c r="AE859" s="4"/>
      <c r="AF859" s="4"/>
      <c r="AG859" s="4"/>
      <c r="AH859" s="4"/>
      <c r="AI859" s="4"/>
      <c r="AJ859" s="4"/>
      <c r="AK859" s="4"/>
      <c r="AL859" s="4" t="s">
        <v>174</v>
      </c>
      <c r="AM859" s="4" t="s">
        <v>190</v>
      </c>
    </row>
    <row r="860" customFormat="false" ht="23.85" hidden="false" customHeight="false" outlineLevel="0" collapsed="false">
      <c r="A860" s="4" t="s">
        <v>167</v>
      </c>
      <c r="B860" s="4" t="s">
        <v>1037</v>
      </c>
      <c r="C860" s="4" t="s">
        <v>1037</v>
      </c>
      <c r="D860" s="12" t="n">
        <v>2021</v>
      </c>
      <c r="E860" s="4"/>
      <c r="F860" s="4" t="s">
        <v>169</v>
      </c>
      <c r="G860" s="4" t="s">
        <v>170</v>
      </c>
      <c r="H860" s="4" t="s">
        <v>171</v>
      </c>
      <c r="I860" s="4" t="s">
        <v>172</v>
      </c>
      <c r="J860" s="4" t="s">
        <v>1037</v>
      </c>
      <c r="K860" s="4" t="s">
        <v>88</v>
      </c>
      <c r="L860" s="4" t="s">
        <v>89</v>
      </c>
      <c r="M860" s="4"/>
      <c r="N860" s="4"/>
      <c r="O860" s="4"/>
      <c r="P860" s="4"/>
      <c r="Q860" s="4"/>
      <c r="R860" s="4"/>
      <c r="S860" s="13" t="n">
        <v>0</v>
      </c>
      <c r="T860" s="4" t="s">
        <v>173</v>
      </c>
      <c r="U860" s="14" t="n">
        <f aca="false">IF(OR($S860="",PARAMETROS!$B$4=""),"",$S860*PARAMETROS!$B$4)</f>
        <v>0</v>
      </c>
      <c r="V860" s="13" t="n">
        <v>0</v>
      </c>
      <c r="W860" s="4"/>
      <c r="X860" s="4"/>
      <c r="Y860" s="4"/>
      <c r="Z860" s="4"/>
      <c r="AA860" s="4"/>
      <c r="AB860" s="4"/>
      <c r="AC860" s="4"/>
      <c r="AD860" s="4"/>
      <c r="AE860" s="4"/>
      <c r="AF860" s="4"/>
      <c r="AG860" s="4"/>
      <c r="AH860" s="4"/>
      <c r="AI860" s="4"/>
      <c r="AJ860" s="4"/>
      <c r="AK860" s="4"/>
      <c r="AL860" s="4" t="s">
        <v>174</v>
      </c>
      <c r="AM860" s="4" t="s">
        <v>190</v>
      </c>
    </row>
    <row r="861" customFormat="false" ht="23.85" hidden="false" customHeight="false" outlineLevel="0" collapsed="false">
      <c r="A861" s="4" t="s">
        <v>167</v>
      </c>
      <c r="B861" s="4" t="s">
        <v>1038</v>
      </c>
      <c r="C861" s="4" t="s">
        <v>1038</v>
      </c>
      <c r="D861" s="12" t="n">
        <v>2021</v>
      </c>
      <c r="E861" s="4"/>
      <c r="F861" s="4" t="s">
        <v>169</v>
      </c>
      <c r="G861" s="4" t="s">
        <v>170</v>
      </c>
      <c r="H861" s="4" t="s">
        <v>171</v>
      </c>
      <c r="I861" s="4" t="s">
        <v>172</v>
      </c>
      <c r="J861" s="4" t="s">
        <v>1038</v>
      </c>
      <c r="K861" s="4" t="s">
        <v>88</v>
      </c>
      <c r="L861" s="4" t="s">
        <v>89</v>
      </c>
      <c r="M861" s="4"/>
      <c r="N861" s="4"/>
      <c r="O861" s="4"/>
      <c r="P861" s="4"/>
      <c r="Q861" s="4"/>
      <c r="R861" s="4"/>
      <c r="S861" s="13" t="n">
        <v>-134.67</v>
      </c>
      <c r="T861" s="4" t="s">
        <v>173</v>
      </c>
      <c r="U861" s="14" t="n">
        <f aca="false">IF(OR($S861="",PARAMETROS!$B$4=""),"",$S861*PARAMETROS!$B$4)</f>
        <v>-782.4327</v>
      </c>
      <c r="V861" s="13" t="n">
        <v>0</v>
      </c>
      <c r="W861" s="4"/>
      <c r="X861" s="4"/>
      <c r="Y861" s="4"/>
      <c r="Z861" s="4"/>
      <c r="AA861" s="4"/>
      <c r="AB861" s="4"/>
      <c r="AC861" s="4"/>
      <c r="AD861" s="4"/>
      <c r="AE861" s="4"/>
      <c r="AF861" s="4"/>
      <c r="AG861" s="4"/>
      <c r="AH861" s="4"/>
      <c r="AI861" s="4"/>
      <c r="AJ861" s="4"/>
      <c r="AK861" s="4"/>
      <c r="AL861" s="4" t="s">
        <v>174</v>
      </c>
      <c r="AM861" s="4" t="s">
        <v>190</v>
      </c>
    </row>
    <row r="862" customFormat="false" ht="23.85" hidden="false" customHeight="false" outlineLevel="0" collapsed="false">
      <c r="A862" s="4" t="s">
        <v>167</v>
      </c>
      <c r="B862" s="4" t="s">
        <v>1039</v>
      </c>
      <c r="C862" s="4" t="s">
        <v>1039</v>
      </c>
      <c r="D862" s="12" t="n">
        <v>2021</v>
      </c>
      <c r="E862" s="4"/>
      <c r="F862" s="4" t="s">
        <v>169</v>
      </c>
      <c r="G862" s="4" t="s">
        <v>170</v>
      </c>
      <c r="H862" s="4" t="s">
        <v>171</v>
      </c>
      <c r="I862" s="4" t="s">
        <v>172</v>
      </c>
      <c r="J862" s="4" t="s">
        <v>1039</v>
      </c>
      <c r="K862" s="4" t="s">
        <v>88</v>
      </c>
      <c r="L862" s="4" t="s">
        <v>89</v>
      </c>
      <c r="M862" s="4"/>
      <c r="N862" s="4"/>
      <c r="O862" s="4"/>
      <c r="P862" s="4"/>
      <c r="Q862" s="4"/>
      <c r="R862" s="4"/>
      <c r="S862" s="13" t="n">
        <v>0</v>
      </c>
      <c r="T862" s="4" t="s">
        <v>173</v>
      </c>
      <c r="U862" s="14" t="n">
        <f aca="false">IF(OR($S862="",PARAMETROS!$B$4=""),"",$S862*PARAMETROS!$B$4)</f>
        <v>0</v>
      </c>
      <c r="V862" s="13" t="n">
        <v>0</v>
      </c>
      <c r="W862" s="4"/>
      <c r="X862" s="4"/>
      <c r="Y862" s="4"/>
      <c r="Z862" s="4"/>
      <c r="AA862" s="4"/>
      <c r="AB862" s="4"/>
      <c r="AC862" s="4"/>
      <c r="AD862" s="4"/>
      <c r="AE862" s="4"/>
      <c r="AF862" s="4"/>
      <c r="AG862" s="4"/>
      <c r="AH862" s="4"/>
      <c r="AI862" s="4"/>
      <c r="AJ862" s="4"/>
      <c r="AK862" s="4"/>
      <c r="AL862" s="4" t="s">
        <v>174</v>
      </c>
      <c r="AM862" s="4" t="s">
        <v>190</v>
      </c>
    </row>
    <row r="863" customFormat="false" ht="23.85" hidden="false" customHeight="false" outlineLevel="0" collapsed="false">
      <c r="A863" s="4" t="s">
        <v>167</v>
      </c>
      <c r="B863" s="4" t="s">
        <v>1040</v>
      </c>
      <c r="C863" s="4" t="s">
        <v>1040</v>
      </c>
      <c r="D863" s="12" t="n">
        <v>2021</v>
      </c>
      <c r="E863" s="4"/>
      <c r="F863" s="4" t="s">
        <v>169</v>
      </c>
      <c r="G863" s="4" t="s">
        <v>170</v>
      </c>
      <c r="H863" s="4" t="s">
        <v>171</v>
      </c>
      <c r="I863" s="4" t="s">
        <v>172</v>
      </c>
      <c r="J863" s="4" t="s">
        <v>1040</v>
      </c>
      <c r="K863" s="4" t="s">
        <v>88</v>
      </c>
      <c r="L863" s="4" t="s">
        <v>89</v>
      </c>
      <c r="M863" s="4"/>
      <c r="N863" s="4"/>
      <c r="O863" s="4"/>
      <c r="P863" s="4"/>
      <c r="Q863" s="4"/>
      <c r="R863" s="4"/>
      <c r="S863" s="13" t="n">
        <v>0</v>
      </c>
      <c r="T863" s="4" t="s">
        <v>173</v>
      </c>
      <c r="U863" s="14" t="n">
        <f aca="false">IF(OR($S863="",PARAMETROS!$B$4=""),"",$S863*PARAMETROS!$B$4)</f>
        <v>0</v>
      </c>
      <c r="V863" s="13" t="n">
        <v>0</v>
      </c>
      <c r="W863" s="4"/>
      <c r="X863" s="4"/>
      <c r="Y863" s="4"/>
      <c r="Z863" s="4"/>
      <c r="AA863" s="4"/>
      <c r="AB863" s="4"/>
      <c r="AC863" s="4"/>
      <c r="AD863" s="4"/>
      <c r="AE863" s="4"/>
      <c r="AF863" s="4"/>
      <c r="AG863" s="4"/>
      <c r="AH863" s="4"/>
      <c r="AI863" s="4"/>
      <c r="AJ863" s="4"/>
      <c r="AK863" s="4"/>
      <c r="AL863" s="4" t="s">
        <v>174</v>
      </c>
      <c r="AM863" s="4" t="s">
        <v>190</v>
      </c>
    </row>
    <row r="864" customFormat="false" ht="23.85" hidden="false" customHeight="false" outlineLevel="0" collapsed="false">
      <c r="A864" s="4" t="s">
        <v>167</v>
      </c>
      <c r="B864" s="4" t="s">
        <v>1041</v>
      </c>
      <c r="C864" s="4" t="s">
        <v>1041</v>
      </c>
      <c r="D864" s="12" t="n">
        <v>2021</v>
      </c>
      <c r="E864" s="4"/>
      <c r="F864" s="4" t="s">
        <v>169</v>
      </c>
      <c r="G864" s="4" t="s">
        <v>170</v>
      </c>
      <c r="H864" s="4" t="s">
        <v>171</v>
      </c>
      <c r="I864" s="4" t="s">
        <v>172</v>
      </c>
      <c r="J864" s="4" t="s">
        <v>1041</v>
      </c>
      <c r="K864" s="4" t="s">
        <v>88</v>
      </c>
      <c r="L864" s="4" t="s">
        <v>89</v>
      </c>
      <c r="M864" s="4"/>
      <c r="N864" s="4"/>
      <c r="O864" s="4"/>
      <c r="P864" s="4"/>
      <c r="Q864" s="4"/>
      <c r="R864" s="4"/>
      <c r="S864" s="13" t="n">
        <v>0</v>
      </c>
      <c r="T864" s="4" t="s">
        <v>173</v>
      </c>
      <c r="U864" s="14" t="n">
        <f aca="false">IF(OR($S864="",PARAMETROS!$B$4=""),"",$S864*PARAMETROS!$B$4)</f>
        <v>0</v>
      </c>
      <c r="V864" s="13" t="n">
        <v>0</v>
      </c>
      <c r="W864" s="4"/>
      <c r="X864" s="4"/>
      <c r="Y864" s="4"/>
      <c r="Z864" s="4"/>
      <c r="AA864" s="4"/>
      <c r="AB864" s="4"/>
      <c r="AC864" s="4"/>
      <c r="AD864" s="4"/>
      <c r="AE864" s="4"/>
      <c r="AF864" s="4"/>
      <c r="AG864" s="4"/>
      <c r="AH864" s="4"/>
      <c r="AI864" s="4"/>
      <c r="AJ864" s="4"/>
      <c r="AK864" s="4"/>
      <c r="AL864" s="4" t="s">
        <v>174</v>
      </c>
      <c r="AM864" s="4" t="s">
        <v>190</v>
      </c>
    </row>
    <row r="865" customFormat="false" ht="23.85" hidden="false" customHeight="false" outlineLevel="0" collapsed="false">
      <c r="A865" s="4" t="s">
        <v>167</v>
      </c>
      <c r="B865" s="4" t="s">
        <v>1042</v>
      </c>
      <c r="C865" s="4" t="s">
        <v>1042</v>
      </c>
      <c r="D865" s="12" t="n">
        <v>2021</v>
      </c>
      <c r="E865" s="4"/>
      <c r="F865" s="4" t="s">
        <v>169</v>
      </c>
      <c r="G865" s="4" t="s">
        <v>170</v>
      </c>
      <c r="H865" s="4" t="s">
        <v>171</v>
      </c>
      <c r="I865" s="4" t="s">
        <v>172</v>
      </c>
      <c r="J865" s="4" t="s">
        <v>1042</v>
      </c>
      <c r="K865" s="4" t="s">
        <v>88</v>
      </c>
      <c r="L865" s="4" t="s">
        <v>89</v>
      </c>
      <c r="M865" s="4"/>
      <c r="N865" s="4"/>
      <c r="O865" s="4"/>
      <c r="P865" s="4"/>
      <c r="Q865" s="4"/>
      <c r="R865" s="4"/>
      <c r="S865" s="13" t="n">
        <v>0</v>
      </c>
      <c r="T865" s="4" t="s">
        <v>173</v>
      </c>
      <c r="U865" s="14" t="n">
        <f aca="false">IF(OR($S865="",PARAMETROS!$B$4=""),"",$S865*PARAMETROS!$B$4)</f>
        <v>0</v>
      </c>
      <c r="V865" s="13" t="n">
        <v>0</v>
      </c>
      <c r="W865" s="4"/>
      <c r="X865" s="4"/>
      <c r="Y865" s="4"/>
      <c r="Z865" s="4"/>
      <c r="AA865" s="4"/>
      <c r="AB865" s="4"/>
      <c r="AC865" s="4"/>
      <c r="AD865" s="4"/>
      <c r="AE865" s="4"/>
      <c r="AF865" s="4"/>
      <c r="AG865" s="4"/>
      <c r="AH865" s="4"/>
      <c r="AI865" s="4"/>
      <c r="AJ865" s="4"/>
      <c r="AK865" s="4"/>
      <c r="AL865" s="4" t="s">
        <v>174</v>
      </c>
      <c r="AM865" s="4" t="s">
        <v>190</v>
      </c>
    </row>
    <row r="866" customFormat="false" ht="23.85" hidden="false" customHeight="false" outlineLevel="0" collapsed="false">
      <c r="A866" s="4" t="s">
        <v>167</v>
      </c>
      <c r="B866" s="4" t="s">
        <v>1043</v>
      </c>
      <c r="C866" s="4" t="s">
        <v>1043</v>
      </c>
      <c r="D866" s="12" t="n">
        <v>2021</v>
      </c>
      <c r="E866" s="4"/>
      <c r="F866" s="4" t="s">
        <v>169</v>
      </c>
      <c r="G866" s="4" t="s">
        <v>170</v>
      </c>
      <c r="H866" s="4" t="s">
        <v>171</v>
      </c>
      <c r="I866" s="4" t="s">
        <v>172</v>
      </c>
      <c r="J866" s="4" t="s">
        <v>1043</v>
      </c>
      <c r="K866" s="4" t="s">
        <v>88</v>
      </c>
      <c r="L866" s="4" t="s">
        <v>89</v>
      </c>
      <c r="M866" s="4"/>
      <c r="N866" s="4"/>
      <c r="O866" s="4"/>
      <c r="P866" s="4"/>
      <c r="Q866" s="4"/>
      <c r="R866" s="4"/>
      <c r="S866" s="13" t="n">
        <v>0</v>
      </c>
      <c r="T866" s="4" t="s">
        <v>173</v>
      </c>
      <c r="U866" s="14" t="n">
        <f aca="false">IF(OR($S866="",PARAMETROS!$B$4=""),"",$S866*PARAMETROS!$B$4)</f>
        <v>0</v>
      </c>
      <c r="V866" s="13" t="n">
        <v>0</v>
      </c>
      <c r="W866" s="4"/>
      <c r="X866" s="4"/>
      <c r="Y866" s="4"/>
      <c r="Z866" s="4"/>
      <c r="AA866" s="4"/>
      <c r="AB866" s="4"/>
      <c r="AC866" s="4"/>
      <c r="AD866" s="4"/>
      <c r="AE866" s="4"/>
      <c r="AF866" s="4"/>
      <c r="AG866" s="4"/>
      <c r="AH866" s="4"/>
      <c r="AI866" s="4"/>
      <c r="AJ866" s="4"/>
      <c r="AK866" s="4"/>
      <c r="AL866" s="4" t="s">
        <v>174</v>
      </c>
      <c r="AM866" s="4" t="s">
        <v>190</v>
      </c>
    </row>
    <row r="867" customFormat="false" ht="23.85" hidden="false" customHeight="false" outlineLevel="0" collapsed="false">
      <c r="A867" s="4" t="s">
        <v>167</v>
      </c>
      <c r="B867" s="4" t="s">
        <v>1044</v>
      </c>
      <c r="C867" s="4" t="s">
        <v>1044</v>
      </c>
      <c r="D867" s="12" t="n">
        <v>2021</v>
      </c>
      <c r="E867" s="4"/>
      <c r="F867" s="4" t="s">
        <v>169</v>
      </c>
      <c r="G867" s="4" t="s">
        <v>170</v>
      </c>
      <c r="H867" s="4" t="s">
        <v>171</v>
      </c>
      <c r="I867" s="4" t="s">
        <v>172</v>
      </c>
      <c r="J867" s="4" t="s">
        <v>1044</v>
      </c>
      <c r="K867" s="4" t="s">
        <v>88</v>
      </c>
      <c r="L867" s="4" t="s">
        <v>89</v>
      </c>
      <c r="M867" s="4"/>
      <c r="N867" s="4"/>
      <c r="O867" s="4"/>
      <c r="P867" s="4"/>
      <c r="Q867" s="4"/>
      <c r="R867" s="4"/>
      <c r="S867" s="13" t="n">
        <v>0</v>
      </c>
      <c r="T867" s="4" t="s">
        <v>173</v>
      </c>
      <c r="U867" s="14" t="n">
        <f aca="false">IF(OR($S867="",PARAMETROS!$B$4=""),"",$S867*PARAMETROS!$B$4)</f>
        <v>0</v>
      </c>
      <c r="V867" s="13" t="n">
        <v>0</v>
      </c>
      <c r="W867" s="4"/>
      <c r="X867" s="4"/>
      <c r="Y867" s="4"/>
      <c r="Z867" s="4"/>
      <c r="AA867" s="4"/>
      <c r="AB867" s="4"/>
      <c r="AC867" s="4"/>
      <c r="AD867" s="4"/>
      <c r="AE867" s="4"/>
      <c r="AF867" s="4"/>
      <c r="AG867" s="4"/>
      <c r="AH867" s="4"/>
      <c r="AI867" s="4"/>
      <c r="AJ867" s="4"/>
      <c r="AK867" s="4"/>
      <c r="AL867" s="4" t="s">
        <v>174</v>
      </c>
      <c r="AM867" s="4" t="s">
        <v>190</v>
      </c>
    </row>
    <row r="868" customFormat="false" ht="23.85" hidden="false" customHeight="false" outlineLevel="0" collapsed="false">
      <c r="A868" s="4" t="s">
        <v>167</v>
      </c>
      <c r="B868" s="4" t="s">
        <v>1045</v>
      </c>
      <c r="C868" s="4" t="s">
        <v>1045</v>
      </c>
      <c r="D868" s="12" t="n">
        <v>2021</v>
      </c>
      <c r="E868" s="4"/>
      <c r="F868" s="4" t="s">
        <v>169</v>
      </c>
      <c r="G868" s="4" t="s">
        <v>170</v>
      </c>
      <c r="H868" s="4" t="s">
        <v>171</v>
      </c>
      <c r="I868" s="4" t="s">
        <v>172</v>
      </c>
      <c r="J868" s="4" t="s">
        <v>1045</v>
      </c>
      <c r="K868" s="4" t="s">
        <v>88</v>
      </c>
      <c r="L868" s="4" t="s">
        <v>89</v>
      </c>
      <c r="M868" s="4"/>
      <c r="N868" s="4"/>
      <c r="O868" s="4"/>
      <c r="P868" s="4"/>
      <c r="Q868" s="4"/>
      <c r="R868" s="4"/>
      <c r="S868" s="13" t="n">
        <v>0</v>
      </c>
      <c r="T868" s="4" t="s">
        <v>173</v>
      </c>
      <c r="U868" s="14" t="n">
        <f aca="false">IF(OR($S868="",PARAMETROS!$B$4=""),"",$S868*PARAMETROS!$B$4)</f>
        <v>0</v>
      </c>
      <c r="V868" s="13" t="n">
        <v>0</v>
      </c>
      <c r="W868" s="4"/>
      <c r="X868" s="4"/>
      <c r="Y868" s="4"/>
      <c r="Z868" s="4"/>
      <c r="AA868" s="4"/>
      <c r="AB868" s="4"/>
      <c r="AC868" s="4"/>
      <c r="AD868" s="4"/>
      <c r="AE868" s="4"/>
      <c r="AF868" s="4"/>
      <c r="AG868" s="4"/>
      <c r="AH868" s="4"/>
      <c r="AI868" s="4"/>
      <c r="AJ868" s="4"/>
      <c r="AK868" s="4"/>
      <c r="AL868" s="4" t="s">
        <v>174</v>
      </c>
      <c r="AM868" s="4" t="s">
        <v>190</v>
      </c>
    </row>
    <row r="869" customFormat="false" ht="23.85" hidden="false" customHeight="false" outlineLevel="0" collapsed="false">
      <c r="A869" s="4" t="s">
        <v>167</v>
      </c>
      <c r="B869" s="4" t="s">
        <v>1046</v>
      </c>
      <c r="C869" s="4" t="s">
        <v>1046</v>
      </c>
      <c r="D869" s="12" t="n">
        <v>2021</v>
      </c>
      <c r="E869" s="4"/>
      <c r="F869" s="4" t="s">
        <v>169</v>
      </c>
      <c r="G869" s="4" t="s">
        <v>170</v>
      </c>
      <c r="H869" s="4" t="s">
        <v>171</v>
      </c>
      <c r="I869" s="4" t="s">
        <v>172</v>
      </c>
      <c r="J869" s="4" t="s">
        <v>1046</v>
      </c>
      <c r="K869" s="4" t="s">
        <v>88</v>
      </c>
      <c r="L869" s="4" t="s">
        <v>89</v>
      </c>
      <c r="M869" s="4"/>
      <c r="N869" s="4"/>
      <c r="O869" s="4"/>
      <c r="P869" s="4"/>
      <c r="Q869" s="4"/>
      <c r="R869" s="4"/>
      <c r="S869" s="13" t="n">
        <v>0</v>
      </c>
      <c r="T869" s="4" t="s">
        <v>173</v>
      </c>
      <c r="U869" s="14" t="n">
        <f aca="false">IF(OR($S869="",PARAMETROS!$B$4=""),"",$S869*PARAMETROS!$B$4)</f>
        <v>0</v>
      </c>
      <c r="V869" s="13" t="n">
        <v>0</v>
      </c>
      <c r="W869" s="4"/>
      <c r="X869" s="4"/>
      <c r="Y869" s="4"/>
      <c r="Z869" s="4"/>
      <c r="AA869" s="4"/>
      <c r="AB869" s="4"/>
      <c r="AC869" s="4"/>
      <c r="AD869" s="4"/>
      <c r="AE869" s="4"/>
      <c r="AF869" s="4"/>
      <c r="AG869" s="4"/>
      <c r="AH869" s="4"/>
      <c r="AI869" s="4"/>
      <c r="AJ869" s="4"/>
      <c r="AK869" s="4"/>
      <c r="AL869" s="4" t="s">
        <v>174</v>
      </c>
      <c r="AM869" s="4" t="s">
        <v>190</v>
      </c>
    </row>
    <row r="870" customFormat="false" ht="23.85" hidden="false" customHeight="false" outlineLevel="0" collapsed="false">
      <c r="A870" s="4" t="s">
        <v>167</v>
      </c>
      <c r="B870" s="4" t="s">
        <v>1047</v>
      </c>
      <c r="C870" s="4" t="s">
        <v>1047</v>
      </c>
      <c r="D870" s="12" t="n">
        <v>2021</v>
      </c>
      <c r="E870" s="4"/>
      <c r="F870" s="4" t="s">
        <v>169</v>
      </c>
      <c r="G870" s="4" t="s">
        <v>170</v>
      </c>
      <c r="H870" s="4" t="s">
        <v>171</v>
      </c>
      <c r="I870" s="4" t="s">
        <v>172</v>
      </c>
      <c r="J870" s="4" t="s">
        <v>1047</v>
      </c>
      <c r="K870" s="4" t="s">
        <v>95</v>
      </c>
      <c r="L870" s="4" t="s">
        <v>96</v>
      </c>
      <c r="M870" s="4"/>
      <c r="N870" s="4"/>
      <c r="O870" s="4"/>
      <c r="P870" s="4"/>
      <c r="Q870" s="4"/>
      <c r="R870" s="4"/>
      <c r="S870" s="13" t="n">
        <v>0</v>
      </c>
      <c r="T870" s="4" t="s">
        <v>173</v>
      </c>
      <c r="U870" s="14" t="n">
        <f aca="false">IF(OR($S870="",PARAMETROS!$B$4=""),"",$S870*PARAMETROS!$B$4)</f>
        <v>0</v>
      </c>
      <c r="V870" s="13" t="n">
        <v>0</v>
      </c>
      <c r="W870" s="4"/>
      <c r="X870" s="4"/>
      <c r="Y870" s="4"/>
      <c r="Z870" s="4"/>
      <c r="AA870" s="4"/>
      <c r="AB870" s="4"/>
      <c r="AC870" s="4"/>
      <c r="AD870" s="4"/>
      <c r="AE870" s="4"/>
      <c r="AF870" s="4"/>
      <c r="AG870" s="4"/>
      <c r="AH870" s="4"/>
      <c r="AI870" s="4"/>
      <c r="AJ870" s="4"/>
      <c r="AK870" s="4"/>
      <c r="AL870" s="4" t="s">
        <v>174</v>
      </c>
      <c r="AM870" s="4" t="s">
        <v>175</v>
      </c>
    </row>
    <row r="871" customFormat="false" ht="23.85" hidden="false" customHeight="false" outlineLevel="0" collapsed="false">
      <c r="A871" s="4" t="s">
        <v>167</v>
      </c>
      <c r="B871" s="4" t="s">
        <v>1048</v>
      </c>
      <c r="C871" s="4" t="s">
        <v>1048</v>
      </c>
      <c r="D871" s="12" t="n">
        <v>2021</v>
      </c>
      <c r="E871" s="4"/>
      <c r="F871" s="4" t="s">
        <v>169</v>
      </c>
      <c r="G871" s="4" t="s">
        <v>170</v>
      </c>
      <c r="H871" s="4" t="s">
        <v>171</v>
      </c>
      <c r="I871" s="4" t="s">
        <v>172</v>
      </c>
      <c r="J871" s="4" t="s">
        <v>1048</v>
      </c>
      <c r="K871" s="4" t="s">
        <v>95</v>
      </c>
      <c r="L871" s="4" t="s">
        <v>96</v>
      </c>
      <c r="M871" s="4"/>
      <c r="N871" s="4"/>
      <c r="O871" s="4"/>
      <c r="P871" s="4"/>
      <c r="Q871" s="4"/>
      <c r="R871" s="4"/>
      <c r="S871" s="13" t="n">
        <v>2681.9</v>
      </c>
      <c r="T871" s="4" t="s">
        <v>173</v>
      </c>
      <c r="U871" s="14" t="n">
        <f aca="false">IF(OR($S871="",PARAMETROS!$B$4=""),"",$S871*PARAMETROS!$B$4)</f>
        <v>15581.839</v>
      </c>
      <c r="V871" s="13" t="n">
        <v>0</v>
      </c>
      <c r="W871" s="4"/>
      <c r="X871" s="4"/>
      <c r="Y871" s="4"/>
      <c r="Z871" s="4"/>
      <c r="AA871" s="4"/>
      <c r="AB871" s="4"/>
      <c r="AC871" s="4"/>
      <c r="AD871" s="4"/>
      <c r="AE871" s="4"/>
      <c r="AF871" s="4"/>
      <c r="AG871" s="4"/>
      <c r="AH871" s="4"/>
      <c r="AI871" s="4"/>
      <c r="AJ871" s="4"/>
      <c r="AK871" s="4"/>
      <c r="AL871" s="4" t="s">
        <v>174</v>
      </c>
      <c r="AM871" s="4" t="s">
        <v>175</v>
      </c>
    </row>
    <row r="872" customFormat="false" ht="23.85" hidden="false" customHeight="false" outlineLevel="0" collapsed="false">
      <c r="A872" s="4" t="s">
        <v>167</v>
      </c>
      <c r="B872" s="4" t="s">
        <v>1049</v>
      </c>
      <c r="C872" s="4" t="s">
        <v>1049</v>
      </c>
      <c r="D872" s="12" t="n">
        <v>2021</v>
      </c>
      <c r="E872" s="4"/>
      <c r="F872" s="4" t="s">
        <v>169</v>
      </c>
      <c r="G872" s="4" t="s">
        <v>170</v>
      </c>
      <c r="H872" s="4" t="s">
        <v>171</v>
      </c>
      <c r="I872" s="4" t="s">
        <v>172</v>
      </c>
      <c r="J872" s="4" t="s">
        <v>1049</v>
      </c>
      <c r="K872" s="4" t="s">
        <v>95</v>
      </c>
      <c r="L872" s="4" t="s">
        <v>96</v>
      </c>
      <c r="M872" s="4"/>
      <c r="N872" s="4"/>
      <c r="O872" s="4"/>
      <c r="P872" s="4"/>
      <c r="Q872" s="4"/>
      <c r="R872" s="4"/>
      <c r="S872" s="13" t="n">
        <v>0</v>
      </c>
      <c r="T872" s="4" t="s">
        <v>173</v>
      </c>
      <c r="U872" s="14" t="n">
        <f aca="false">IF(OR($S872="",PARAMETROS!$B$4=""),"",$S872*PARAMETROS!$B$4)</f>
        <v>0</v>
      </c>
      <c r="V872" s="13" t="n">
        <v>0</v>
      </c>
      <c r="W872" s="4"/>
      <c r="X872" s="4"/>
      <c r="Y872" s="4"/>
      <c r="Z872" s="4"/>
      <c r="AA872" s="4"/>
      <c r="AB872" s="4"/>
      <c r="AC872" s="4"/>
      <c r="AD872" s="4"/>
      <c r="AE872" s="4"/>
      <c r="AF872" s="4"/>
      <c r="AG872" s="4"/>
      <c r="AH872" s="4"/>
      <c r="AI872" s="4"/>
      <c r="AJ872" s="4"/>
      <c r="AK872" s="4"/>
      <c r="AL872" s="4" t="s">
        <v>174</v>
      </c>
      <c r="AM872" s="4" t="s">
        <v>175</v>
      </c>
    </row>
    <row r="873" customFormat="false" ht="23.85" hidden="false" customHeight="false" outlineLevel="0" collapsed="false">
      <c r="A873" s="4" t="s">
        <v>167</v>
      </c>
      <c r="B873" s="4" t="s">
        <v>1050</v>
      </c>
      <c r="C873" s="4" t="s">
        <v>1050</v>
      </c>
      <c r="D873" s="12" t="n">
        <v>2021</v>
      </c>
      <c r="E873" s="4"/>
      <c r="F873" s="4" t="s">
        <v>169</v>
      </c>
      <c r="G873" s="4" t="s">
        <v>170</v>
      </c>
      <c r="H873" s="4" t="s">
        <v>171</v>
      </c>
      <c r="I873" s="4" t="s">
        <v>172</v>
      </c>
      <c r="J873" s="4" t="s">
        <v>1050</v>
      </c>
      <c r="K873" s="4" t="s">
        <v>95</v>
      </c>
      <c r="L873" s="4" t="s">
        <v>96</v>
      </c>
      <c r="M873" s="4"/>
      <c r="N873" s="4"/>
      <c r="O873" s="4"/>
      <c r="P873" s="4"/>
      <c r="Q873" s="4"/>
      <c r="R873" s="4"/>
      <c r="S873" s="13" t="n">
        <v>1.9</v>
      </c>
      <c r="T873" s="4" t="s">
        <v>173</v>
      </c>
      <c r="U873" s="14" t="n">
        <f aca="false">IF(OR($S873="",PARAMETROS!$B$4=""),"",$S873*PARAMETROS!$B$4)</f>
        <v>11.039</v>
      </c>
      <c r="V873" s="13" t="n">
        <v>0</v>
      </c>
      <c r="W873" s="4"/>
      <c r="X873" s="4"/>
      <c r="Y873" s="4"/>
      <c r="Z873" s="4"/>
      <c r="AA873" s="4"/>
      <c r="AB873" s="4"/>
      <c r="AC873" s="4"/>
      <c r="AD873" s="4"/>
      <c r="AE873" s="4"/>
      <c r="AF873" s="4"/>
      <c r="AG873" s="4"/>
      <c r="AH873" s="4"/>
      <c r="AI873" s="4"/>
      <c r="AJ873" s="4"/>
      <c r="AK873" s="4"/>
      <c r="AL873" s="4" t="s">
        <v>174</v>
      </c>
      <c r="AM873" s="4" t="s">
        <v>175</v>
      </c>
    </row>
    <row r="874" customFormat="false" ht="23.85" hidden="false" customHeight="false" outlineLevel="0" collapsed="false">
      <c r="A874" s="4" t="s">
        <v>167</v>
      </c>
      <c r="B874" s="4" t="s">
        <v>1051</v>
      </c>
      <c r="C874" s="4" t="s">
        <v>1051</v>
      </c>
      <c r="D874" s="12" t="n">
        <v>2021</v>
      </c>
      <c r="E874" s="4"/>
      <c r="F874" s="4" t="s">
        <v>169</v>
      </c>
      <c r="G874" s="4" t="s">
        <v>170</v>
      </c>
      <c r="H874" s="4" t="s">
        <v>171</v>
      </c>
      <c r="I874" s="4" t="s">
        <v>172</v>
      </c>
      <c r="J874" s="4" t="s">
        <v>1051</v>
      </c>
      <c r="K874" s="4" t="s">
        <v>95</v>
      </c>
      <c r="L874" s="4" t="s">
        <v>96</v>
      </c>
      <c r="M874" s="4"/>
      <c r="N874" s="4"/>
      <c r="O874" s="4"/>
      <c r="P874" s="4"/>
      <c r="Q874" s="4"/>
      <c r="R874" s="4"/>
      <c r="S874" s="13" t="n">
        <v>0</v>
      </c>
      <c r="T874" s="4" t="s">
        <v>173</v>
      </c>
      <c r="U874" s="14" t="n">
        <f aca="false">IF(OR($S874="",PARAMETROS!$B$4=""),"",$S874*PARAMETROS!$B$4)</f>
        <v>0</v>
      </c>
      <c r="V874" s="13" t="n">
        <v>0</v>
      </c>
      <c r="W874" s="4"/>
      <c r="X874" s="4"/>
      <c r="Y874" s="4"/>
      <c r="Z874" s="4"/>
      <c r="AA874" s="4"/>
      <c r="AB874" s="4"/>
      <c r="AC874" s="4"/>
      <c r="AD874" s="4"/>
      <c r="AE874" s="4"/>
      <c r="AF874" s="4"/>
      <c r="AG874" s="4"/>
      <c r="AH874" s="4"/>
      <c r="AI874" s="4"/>
      <c r="AJ874" s="4"/>
      <c r="AK874" s="4"/>
      <c r="AL874" s="4" t="s">
        <v>174</v>
      </c>
      <c r="AM874" s="4" t="s">
        <v>175</v>
      </c>
    </row>
    <row r="875" customFormat="false" ht="23.85" hidden="false" customHeight="false" outlineLevel="0" collapsed="false">
      <c r="A875" s="4" t="s">
        <v>167</v>
      </c>
      <c r="B875" s="4" t="s">
        <v>1052</v>
      </c>
      <c r="C875" s="4" t="s">
        <v>1052</v>
      </c>
      <c r="D875" s="12" t="n">
        <v>2021</v>
      </c>
      <c r="E875" s="4"/>
      <c r="F875" s="4" t="s">
        <v>169</v>
      </c>
      <c r="G875" s="4" t="s">
        <v>170</v>
      </c>
      <c r="H875" s="4" t="s">
        <v>171</v>
      </c>
      <c r="I875" s="4" t="s">
        <v>172</v>
      </c>
      <c r="J875" s="4" t="s">
        <v>1052</v>
      </c>
      <c r="K875" s="4" t="s">
        <v>95</v>
      </c>
      <c r="L875" s="4" t="s">
        <v>96</v>
      </c>
      <c r="M875" s="4"/>
      <c r="N875" s="4"/>
      <c r="O875" s="4"/>
      <c r="P875" s="4"/>
      <c r="Q875" s="4"/>
      <c r="R875" s="4"/>
      <c r="S875" s="13" t="n">
        <v>0</v>
      </c>
      <c r="T875" s="4" t="s">
        <v>173</v>
      </c>
      <c r="U875" s="14" t="n">
        <f aca="false">IF(OR($S875="",PARAMETROS!$B$4=""),"",$S875*PARAMETROS!$B$4)</f>
        <v>0</v>
      </c>
      <c r="V875" s="13" t="n">
        <v>0</v>
      </c>
      <c r="W875" s="4"/>
      <c r="X875" s="4"/>
      <c r="Y875" s="4"/>
      <c r="Z875" s="4"/>
      <c r="AA875" s="4"/>
      <c r="AB875" s="4"/>
      <c r="AC875" s="4"/>
      <c r="AD875" s="4"/>
      <c r="AE875" s="4"/>
      <c r="AF875" s="4"/>
      <c r="AG875" s="4"/>
      <c r="AH875" s="4"/>
      <c r="AI875" s="4"/>
      <c r="AJ875" s="4"/>
      <c r="AK875" s="4"/>
      <c r="AL875" s="4" t="s">
        <v>174</v>
      </c>
      <c r="AM875" s="4" t="s">
        <v>175</v>
      </c>
    </row>
    <row r="876" customFormat="false" ht="23.85" hidden="false" customHeight="false" outlineLevel="0" collapsed="false">
      <c r="A876" s="4" t="s">
        <v>167</v>
      </c>
      <c r="B876" s="4" t="s">
        <v>1053</v>
      </c>
      <c r="C876" s="4" t="s">
        <v>1053</v>
      </c>
      <c r="D876" s="12" t="n">
        <v>2021</v>
      </c>
      <c r="E876" s="4"/>
      <c r="F876" s="4" t="s">
        <v>169</v>
      </c>
      <c r="G876" s="4" t="s">
        <v>170</v>
      </c>
      <c r="H876" s="4" t="s">
        <v>171</v>
      </c>
      <c r="I876" s="4" t="s">
        <v>172</v>
      </c>
      <c r="J876" s="4" t="s">
        <v>1053</v>
      </c>
      <c r="K876" s="4" t="s">
        <v>95</v>
      </c>
      <c r="L876" s="4" t="s">
        <v>96</v>
      </c>
      <c r="M876" s="4"/>
      <c r="N876" s="4"/>
      <c r="O876" s="4"/>
      <c r="P876" s="4"/>
      <c r="Q876" s="4"/>
      <c r="R876" s="4"/>
      <c r="S876" s="13" t="n">
        <v>0</v>
      </c>
      <c r="T876" s="4" t="s">
        <v>173</v>
      </c>
      <c r="U876" s="14" t="n">
        <f aca="false">IF(OR($S876="",PARAMETROS!$B$4=""),"",$S876*PARAMETROS!$B$4)</f>
        <v>0</v>
      </c>
      <c r="V876" s="13" t="n">
        <v>0</v>
      </c>
      <c r="W876" s="4"/>
      <c r="X876" s="4"/>
      <c r="Y876" s="4"/>
      <c r="Z876" s="4"/>
      <c r="AA876" s="4"/>
      <c r="AB876" s="4"/>
      <c r="AC876" s="4"/>
      <c r="AD876" s="4"/>
      <c r="AE876" s="4"/>
      <c r="AF876" s="4"/>
      <c r="AG876" s="4"/>
      <c r="AH876" s="4"/>
      <c r="AI876" s="4"/>
      <c r="AJ876" s="4"/>
      <c r="AK876" s="4"/>
      <c r="AL876" s="4" t="s">
        <v>174</v>
      </c>
      <c r="AM876" s="4" t="s">
        <v>175</v>
      </c>
    </row>
    <row r="877" customFormat="false" ht="23.85" hidden="false" customHeight="false" outlineLevel="0" collapsed="false">
      <c r="A877" s="4" t="s">
        <v>167</v>
      </c>
      <c r="B877" s="4" t="s">
        <v>1054</v>
      </c>
      <c r="C877" s="4" t="s">
        <v>1054</v>
      </c>
      <c r="D877" s="12" t="n">
        <v>2021</v>
      </c>
      <c r="E877" s="4"/>
      <c r="F877" s="4" t="s">
        <v>169</v>
      </c>
      <c r="G877" s="4" t="s">
        <v>170</v>
      </c>
      <c r="H877" s="4" t="s">
        <v>171</v>
      </c>
      <c r="I877" s="4" t="s">
        <v>172</v>
      </c>
      <c r="J877" s="4" t="s">
        <v>1054</v>
      </c>
      <c r="K877" s="4" t="s">
        <v>95</v>
      </c>
      <c r="L877" s="4" t="s">
        <v>96</v>
      </c>
      <c r="M877" s="4"/>
      <c r="N877" s="4"/>
      <c r="O877" s="4"/>
      <c r="P877" s="4"/>
      <c r="Q877" s="4"/>
      <c r="R877" s="4"/>
      <c r="S877" s="13" t="n">
        <v>0</v>
      </c>
      <c r="T877" s="4" t="s">
        <v>173</v>
      </c>
      <c r="U877" s="14" t="n">
        <f aca="false">IF(OR($S877="",PARAMETROS!$B$4=""),"",$S877*PARAMETROS!$B$4)</f>
        <v>0</v>
      </c>
      <c r="V877" s="13" t="n">
        <v>0</v>
      </c>
      <c r="W877" s="4"/>
      <c r="X877" s="4"/>
      <c r="Y877" s="4"/>
      <c r="Z877" s="4"/>
      <c r="AA877" s="4"/>
      <c r="AB877" s="4"/>
      <c r="AC877" s="4"/>
      <c r="AD877" s="4"/>
      <c r="AE877" s="4"/>
      <c r="AF877" s="4"/>
      <c r="AG877" s="4"/>
      <c r="AH877" s="4"/>
      <c r="AI877" s="4"/>
      <c r="AJ877" s="4"/>
      <c r="AK877" s="4"/>
      <c r="AL877" s="4" t="s">
        <v>174</v>
      </c>
      <c r="AM877" s="4" t="s">
        <v>175</v>
      </c>
    </row>
    <row r="878" customFormat="false" ht="23.85" hidden="false" customHeight="false" outlineLevel="0" collapsed="false">
      <c r="A878" s="4" t="s">
        <v>167</v>
      </c>
      <c r="B878" s="4" t="s">
        <v>1055</v>
      </c>
      <c r="C878" s="4" t="s">
        <v>1055</v>
      </c>
      <c r="D878" s="12" t="n">
        <v>2021</v>
      </c>
      <c r="E878" s="4"/>
      <c r="F878" s="4" t="s">
        <v>169</v>
      </c>
      <c r="G878" s="4" t="s">
        <v>170</v>
      </c>
      <c r="H878" s="4" t="s">
        <v>171</v>
      </c>
      <c r="I878" s="4" t="s">
        <v>172</v>
      </c>
      <c r="J878" s="4" t="s">
        <v>1055</v>
      </c>
      <c r="K878" s="4" t="s">
        <v>95</v>
      </c>
      <c r="L878" s="4" t="s">
        <v>96</v>
      </c>
      <c r="M878" s="4"/>
      <c r="N878" s="4"/>
      <c r="O878" s="4"/>
      <c r="P878" s="4"/>
      <c r="Q878" s="4"/>
      <c r="R878" s="4"/>
      <c r="S878" s="13" t="n">
        <v>0</v>
      </c>
      <c r="T878" s="4" t="s">
        <v>173</v>
      </c>
      <c r="U878" s="14" t="n">
        <f aca="false">IF(OR($S878="",PARAMETROS!$B$4=""),"",$S878*PARAMETROS!$B$4)</f>
        <v>0</v>
      </c>
      <c r="V878" s="13" t="n">
        <v>0</v>
      </c>
      <c r="W878" s="4"/>
      <c r="X878" s="4"/>
      <c r="Y878" s="4"/>
      <c r="Z878" s="4"/>
      <c r="AA878" s="4"/>
      <c r="AB878" s="4"/>
      <c r="AC878" s="4"/>
      <c r="AD878" s="4"/>
      <c r="AE878" s="4"/>
      <c r="AF878" s="4"/>
      <c r="AG878" s="4"/>
      <c r="AH878" s="4"/>
      <c r="AI878" s="4"/>
      <c r="AJ878" s="4"/>
      <c r="AK878" s="4"/>
      <c r="AL878" s="4" t="s">
        <v>174</v>
      </c>
      <c r="AM878" s="4" t="s">
        <v>175</v>
      </c>
    </row>
    <row r="879" customFormat="false" ht="23.85" hidden="false" customHeight="false" outlineLevel="0" collapsed="false">
      <c r="A879" s="4" t="s">
        <v>167</v>
      </c>
      <c r="B879" s="4" t="s">
        <v>1056</v>
      </c>
      <c r="C879" s="4" t="s">
        <v>1056</v>
      </c>
      <c r="D879" s="12" t="n">
        <v>2021</v>
      </c>
      <c r="E879" s="4"/>
      <c r="F879" s="4" t="s">
        <v>169</v>
      </c>
      <c r="G879" s="4" t="s">
        <v>170</v>
      </c>
      <c r="H879" s="4" t="s">
        <v>171</v>
      </c>
      <c r="I879" s="4" t="s">
        <v>172</v>
      </c>
      <c r="J879" s="4" t="s">
        <v>1056</v>
      </c>
      <c r="K879" s="4" t="s">
        <v>95</v>
      </c>
      <c r="L879" s="4" t="s">
        <v>96</v>
      </c>
      <c r="M879" s="4"/>
      <c r="N879" s="4"/>
      <c r="O879" s="4"/>
      <c r="P879" s="4"/>
      <c r="Q879" s="4"/>
      <c r="R879" s="4"/>
      <c r="S879" s="13" t="n">
        <v>0</v>
      </c>
      <c r="T879" s="4" t="s">
        <v>173</v>
      </c>
      <c r="U879" s="14" t="n">
        <f aca="false">IF(OR($S879="",PARAMETROS!$B$4=""),"",$S879*PARAMETROS!$B$4)</f>
        <v>0</v>
      </c>
      <c r="V879" s="13" t="n">
        <v>0</v>
      </c>
      <c r="W879" s="4"/>
      <c r="X879" s="4"/>
      <c r="Y879" s="4"/>
      <c r="Z879" s="4"/>
      <c r="AA879" s="4"/>
      <c r="AB879" s="4"/>
      <c r="AC879" s="4"/>
      <c r="AD879" s="4"/>
      <c r="AE879" s="4"/>
      <c r="AF879" s="4"/>
      <c r="AG879" s="4"/>
      <c r="AH879" s="4"/>
      <c r="AI879" s="4"/>
      <c r="AJ879" s="4"/>
      <c r="AK879" s="4"/>
      <c r="AL879" s="4" t="s">
        <v>174</v>
      </c>
      <c r="AM879" s="4" t="s">
        <v>175</v>
      </c>
    </row>
    <row r="880" customFormat="false" ht="23.85" hidden="false" customHeight="false" outlineLevel="0" collapsed="false">
      <c r="A880" s="4" t="s">
        <v>167</v>
      </c>
      <c r="B880" s="4" t="s">
        <v>1057</v>
      </c>
      <c r="C880" s="4" t="s">
        <v>1057</v>
      </c>
      <c r="D880" s="12" t="n">
        <v>2021</v>
      </c>
      <c r="E880" s="4"/>
      <c r="F880" s="4" t="s">
        <v>169</v>
      </c>
      <c r="G880" s="4" t="s">
        <v>170</v>
      </c>
      <c r="H880" s="4" t="s">
        <v>171</v>
      </c>
      <c r="I880" s="4" t="s">
        <v>172</v>
      </c>
      <c r="J880" s="4" t="s">
        <v>1057</v>
      </c>
      <c r="K880" s="4" t="s">
        <v>95</v>
      </c>
      <c r="L880" s="4" t="s">
        <v>96</v>
      </c>
      <c r="M880" s="4"/>
      <c r="N880" s="4"/>
      <c r="O880" s="4"/>
      <c r="P880" s="4"/>
      <c r="Q880" s="4"/>
      <c r="R880" s="4"/>
      <c r="S880" s="13" t="n">
        <v>0</v>
      </c>
      <c r="T880" s="4" t="s">
        <v>173</v>
      </c>
      <c r="U880" s="14" t="n">
        <f aca="false">IF(OR($S880="",PARAMETROS!$B$4=""),"",$S880*PARAMETROS!$B$4)</f>
        <v>0</v>
      </c>
      <c r="V880" s="13" t="n">
        <v>0</v>
      </c>
      <c r="W880" s="4"/>
      <c r="X880" s="4"/>
      <c r="Y880" s="4"/>
      <c r="Z880" s="4"/>
      <c r="AA880" s="4"/>
      <c r="AB880" s="4"/>
      <c r="AC880" s="4"/>
      <c r="AD880" s="4"/>
      <c r="AE880" s="4"/>
      <c r="AF880" s="4"/>
      <c r="AG880" s="4"/>
      <c r="AH880" s="4"/>
      <c r="AI880" s="4"/>
      <c r="AJ880" s="4"/>
      <c r="AK880" s="4"/>
      <c r="AL880" s="4" t="s">
        <v>174</v>
      </c>
      <c r="AM880" s="4" t="s">
        <v>175</v>
      </c>
    </row>
    <row r="881" customFormat="false" ht="23.85" hidden="false" customHeight="false" outlineLevel="0" collapsed="false">
      <c r="A881" s="4" t="s">
        <v>167</v>
      </c>
      <c r="B881" s="4" t="s">
        <v>1058</v>
      </c>
      <c r="C881" s="4" t="s">
        <v>1058</v>
      </c>
      <c r="D881" s="12" t="n">
        <v>2021</v>
      </c>
      <c r="E881" s="4"/>
      <c r="F881" s="4" t="s">
        <v>169</v>
      </c>
      <c r="G881" s="4" t="s">
        <v>170</v>
      </c>
      <c r="H881" s="4" t="s">
        <v>171</v>
      </c>
      <c r="I881" s="4" t="s">
        <v>172</v>
      </c>
      <c r="J881" s="4" t="s">
        <v>1058</v>
      </c>
      <c r="K881" s="4" t="s">
        <v>95</v>
      </c>
      <c r="L881" s="4" t="s">
        <v>96</v>
      </c>
      <c r="M881" s="4"/>
      <c r="N881" s="4"/>
      <c r="O881" s="4"/>
      <c r="P881" s="4"/>
      <c r="Q881" s="4"/>
      <c r="R881" s="4"/>
      <c r="S881" s="13" t="n">
        <v>2683.8</v>
      </c>
      <c r="T881" s="4" t="s">
        <v>173</v>
      </c>
      <c r="U881" s="14" t="n">
        <f aca="false">IF(OR($S881="",PARAMETROS!$B$4=""),"",$S881*PARAMETROS!$B$4)</f>
        <v>15592.878</v>
      </c>
      <c r="V881" s="13" t="n">
        <v>0</v>
      </c>
      <c r="W881" s="4"/>
      <c r="X881" s="4"/>
      <c r="Y881" s="4"/>
      <c r="Z881" s="4"/>
      <c r="AA881" s="4"/>
      <c r="AB881" s="4"/>
      <c r="AC881" s="4"/>
      <c r="AD881" s="4"/>
      <c r="AE881" s="4"/>
      <c r="AF881" s="4"/>
      <c r="AG881" s="4"/>
      <c r="AH881" s="4"/>
      <c r="AI881" s="4"/>
      <c r="AJ881" s="4"/>
      <c r="AK881" s="4"/>
      <c r="AL881" s="4" t="s">
        <v>174</v>
      </c>
      <c r="AM881" s="4" t="s">
        <v>175</v>
      </c>
    </row>
    <row r="882" customFormat="false" ht="23.85" hidden="false" customHeight="false" outlineLevel="0" collapsed="false">
      <c r="A882" s="4" t="s">
        <v>167</v>
      </c>
      <c r="B882" s="4" t="s">
        <v>1059</v>
      </c>
      <c r="C882" s="4" t="s">
        <v>1059</v>
      </c>
      <c r="D882" s="12" t="n">
        <v>2021</v>
      </c>
      <c r="E882" s="4"/>
      <c r="F882" s="4" t="s">
        <v>169</v>
      </c>
      <c r="G882" s="4" t="s">
        <v>170</v>
      </c>
      <c r="H882" s="4" t="s">
        <v>171</v>
      </c>
      <c r="I882" s="4" t="s">
        <v>172</v>
      </c>
      <c r="J882" s="4" t="s">
        <v>1059</v>
      </c>
      <c r="K882" s="4" t="s">
        <v>95</v>
      </c>
      <c r="L882" s="4" t="s">
        <v>96</v>
      </c>
      <c r="M882" s="4"/>
      <c r="N882" s="4"/>
      <c r="O882" s="4"/>
      <c r="P882" s="4"/>
      <c r="Q882" s="4"/>
      <c r="R882" s="4"/>
      <c r="S882" s="13" t="n">
        <v>0</v>
      </c>
      <c r="T882" s="4" t="s">
        <v>173</v>
      </c>
      <c r="U882" s="14" t="n">
        <f aca="false">IF(OR($S882="",PARAMETROS!$B$4=""),"",$S882*PARAMETROS!$B$4)</f>
        <v>0</v>
      </c>
      <c r="V882" s="13" t="n">
        <v>1</v>
      </c>
      <c r="W882" s="4"/>
      <c r="X882" s="4"/>
      <c r="Y882" s="4"/>
      <c r="Z882" s="4"/>
      <c r="AA882" s="4"/>
      <c r="AB882" s="4"/>
      <c r="AC882" s="4"/>
      <c r="AD882" s="4"/>
      <c r="AE882" s="4"/>
      <c r="AF882" s="4"/>
      <c r="AG882" s="4"/>
      <c r="AH882" s="4"/>
      <c r="AI882" s="4"/>
      <c r="AJ882" s="4"/>
      <c r="AK882" s="4"/>
      <c r="AL882" s="4" t="s">
        <v>174</v>
      </c>
      <c r="AM882" s="4" t="s">
        <v>175</v>
      </c>
    </row>
    <row r="883" customFormat="false" ht="23.85" hidden="false" customHeight="false" outlineLevel="0" collapsed="false">
      <c r="A883" s="4" t="s">
        <v>167</v>
      </c>
      <c r="B883" s="4" t="s">
        <v>1060</v>
      </c>
      <c r="C883" s="4" t="s">
        <v>1060</v>
      </c>
      <c r="D883" s="12" t="n">
        <v>2021</v>
      </c>
      <c r="E883" s="4"/>
      <c r="F883" s="4" t="s">
        <v>169</v>
      </c>
      <c r="G883" s="4" t="s">
        <v>170</v>
      </c>
      <c r="H883" s="4" t="s">
        <v>171</v>
      </c>
      <c r="I883" s="4" t="s">
        <v>172</v>
      </c>
      <c r="J883" s="4" t="s">
        <v>1060</v>
      </c>
      <c r="K883" s="4" t="s">
        <v>95</v>
      </c>
      <c r="L883" s="4" t="s">
        <v>96</v>
      </c>
      <c r="M883" s="4"/>
      <c r="N883" s="4"/>
      <c r="O883" s="4"/>
      <c r="P883" s="4"/>
      <c r="Q883" s="4"/>
      <c r="R883" s="4"/>
      <c r="S883" s="13" t="n">
        <v>0</v>
      </c>
      <c r="T883" s="4" t="s">
        <v>173</v>
      </c>
      <c r="U883" s="14" t="n">
        <f aca="false">IF(OR($S883="",PARAMETROS!$B$4=""),"",$S883*PARAMETROS!$B$4)</f>
        <v>0</v>
      </c>
      <c r="V883" s="13" t="n">
        <v>0</v>
      </c>
      <c r="W883" s="4"/>
      <c r="X883" s="4"/>
      <c r="Y883" s="4"/>
      <c r="Z883" s="4"/>
      <c r="AA883" s="4"/>
      <c r="AB883" s="4"/>
      <c r="AC883" s="4"/>
      <c r="AD883" s="4"/>
      <c r="AE883" s="4"/>
      <c r="AF883" s="4"/>
      <c r="AG883" s="4"/>
      <c r="AH883" s="4"/>
      <c r="AI883" s="4"/>
      <c r="AJ883" s="4"/>
      <c r="AK883" s="4"/>
      <c r="AL883" s="4" t="s">
        <v>174</v>
      </c>
      <c r="AM883" s="4" t="s">
        <v>175</v>
      </c>
    </row>
    <row r="884" customFormat="false" ht="23.85" hidden="false" customHeight="false" outlineLevel="0" collapsed="false">
      <c r="A884" s="4" t="s">
        <v>167</v>
      </c>
      <c r="B884" s="4" t="s">
        <v>1061</v>
      </c>
      <c r="C884" s="4" t="s">
        <v>1061</v>
      </c>
      <c r="D884" s="12" t="n">
        <v>2021</v>
      </c>
      <c r="E884" s="4"/>
      <c r="F884" s="4" t="s">
        <v>169</v>
      </c>
      <c r="G884" s="4" t="s">
        <v>170</v>
      </c>
      <c r="H884" s="4" t="s">
        <v>171</v>
      </c>
      <c r="I884" s="4" t="s">
        <v>172</v>
      </c>
      <c r="J884" s="4" t="s">
        <v>1061</v>
      </c>
      <c r="K884" s="4" t="s">
        <v>97</v>
      </c>
      <c r="L884" s="4" t="s">
        <v>98</v>
      </c>
      <c r="M884" s="4"/>
      <c r="N884" s="4"/>
      <c r="O884" s="4"/>
      <c r="P884" s="4"/>
      <c r="Q884" s="4"/>
      <c r="R884" s="4"/>
      <c r="S884" s="13" t="n">
        <v>0</v>
      </c>
      <c r="T884" s="4" t="s">
        <v>173</v>
      </c>
      <c r="U884" s="14" t="n">
        <f aca="false">IF(OR($S884="",PARAMETROS!$B$4=""),"",$S884*PARAMETROS!$B$4)</f>
        <v>0</v>
      </c>
      <c r="V884" s="13" t="n">
        <v>0</v>
      </c>
      <c r="W884" s="4"/>
      <c r="X884" s="4"/>
      <c r="Y884" s="4"/>
      <c r="Z884" s="4"/>
      <c r="AA884" s="4"/>
      <c r="AB884" s="4"/>
      <c r="AC884" s="4"/>
      <c r="AD884" s="4"/>
      <c r="AE884" s="4"/>
      <c r="AF884" s="4"/>
      <c r="AG884" s="4"/>
      <c r="AH884" s="4"/>
      <c r="AI884" s="4"/>
      <c r="AJ884" s="4"/>
      <c r="AK884" s="4"/>
      <c r="AL884" s="4" t="s">
        <v>174</v>
      </c>
      <c r="AM884" s="4" t="s">
        <v>205</v>
      </c>
    </row>
    <row r="885" customFormat="false" ht="23.85" hidden="false" customHeight="false" outlineLevel="0" collapsed="false">
      <c r="A885" s="4" t="s">
        <v>167</v>
      </c>
      <c r="B885" s="4" t="s">
        <v>1062</v>
      </c>
      <c r="C885" s="4" t="s">
        <v>1062</v>
      </c>
      <c r="D885" s="12" t="n">
        <v>2021</v>
      </c>
      <c r="E885" s="4"/>
      <c r="F885" s="4" t="s">
        <v>169</v>
      </c>
      <c r="G885" s="4" t="s">
        <v>170</v>
      </c>
      <c r="H885" s="4" t="s">
        <v>171</v>
      </c>
      <c r="I885" s="4" t="s">
        <v>172</v>
      </c>
      <c r="J885" s="4" t="s">
        <v>1062</v>
      </c>
      <c r="K885" s="4" t="s">
        <v>97</v>
      </c>
      <c r="L885" s="4" t="s">
        <v>98</v>
      </c>
      <c r="M885" s="4"/>
      <c r="N885" s="4"/>
      <c r="O885" s="4"/>
      <c r="P885" s="4"/>
      <c r="Q885" s="4"/>
      <c r="R885" s="4"/>
      <c r="S885" s="13" t="n">
        <v>14645.03</v>
      </c>
      <c r="T885" s="4" t="s">
        <v>173</v>
      </c>
      <c r="U885" s="14" t="n">
        <f aca="false">IF(OR($S885="",PARAMETROS!$B$4=""),"",$S885*PARAMETROS!$B$4)</f>
        <v>85087.6243</v>
      </c>
      <c r="V885" s="13" t="n">
        <v>0</v>
      </c>
      <c r="W885" s="4"/>
      <c r="X885" s="4"/>
      <c r="Y885" s="4"/>
      <c r="Z885" s="4"/>
      <c r="AA885" s="4"/>
      <c r="AB885" s="4"/>
      <c r="AC885" s="4"/>
      <c r="AD885" s="4"/>
      <c r="AE885" s="4"/>
      <c r="AF885" s="4"/>
      <c r="AG885" s="4"/>
      <c r="AH885" s="4"/>
      <c r="AI885" s="4"/>
      <c r="AJ885" s="4"/>
      <c r="AK885" s="4"/>
      <c r="AL885" s="4" t="s">
        <v>174</v>
      </c>
      <c r="AM885" s="4" t="s">
        <v>205</v>
      </c>
    </row>
    <row r="886" customFormat="false" ht="23.85" hidden="false" customHeight="false" outlineLevel="0" collapsed="false">
      <c r="A886" s="4" t="s">
        <v>167</v>
      </c>
      <c r="B886" s="4" t="s">
        <v>1063</v>
      </c>
      <c r="C886" s="4" t="s">
        <v>1063</v>
      </c>
      <c r="D886" s="12" t="n">
        <v>2021</v>
      </c>
      <c r="E886" s="4"/>
      <c r="F886" s="4" t="s">
        <v>169</v>
      </c>
      <c r="G886" s="4" t="s">
        <v>170</v>
      </c>
      <c r="H886" s="4" t="s">
        <v>171</v>
      </c>
      <c r="I886" s="4" t="s">
        <v>172</v>
      </c>
      <c r="J886" s="4" t="s">
        <v>1063</v>
      </c>
      <c r="K886" s="4" t="s">
        <v>97</v>
      </c>
      <c r="L886" s="4" t="s">
        <v>98</v>
      </c>
      <c r="M886" s="4"/>
      <c r="N886" s="4"/>
      <c r="O886" s="4"/>
      <c r="P886" s="4"/>
      <c r="Q886" s="4"/>
      <c r="R886" s="4"/>
      <c r="S886" s="13" t="n">
        <v>142.66</v>
      </c>
      <c r="T886" s="4" t="s">
        <v>173</v>
      </c>
      <c r="U886" s="14" t="n">
        <f aca="false">IF(OR($S886="",PARAMETROS!$B$4=""),"",$S886*PARAMETROS!$B$4)</f>
        <v>828.8546</v>
      </c>
      <c r="V886" s="13" t="n">
        <v>0</v>
      </c>
      <c r="W886" s="4"/>
      <c r="X886" s="4"/>
      <c r="Y886" s="4"/>
      <c r="Z886" s="4"/>
      <c r="AA886" s="4"/>
      <c r="AB886" s="4"/>
      <c r="AC886" s="4"/>
      <c r="AD886" s="4"/>
      <c r="AE886" s="4"/>
      <c r="AF886" s="4"/>
      <c r="AG886" s="4"/>
      <c r="AH886" s="4"/>
      <c r="AI886" s="4"/>
      <c r="AJ886" s="4"/>
      <c r="AK886" s="4"/>
      <c r="AL886" s="4" t="s">
        <v>174</v>
      </c>
      <c r="AM886" s="4" t="s">
        <v>205</v>
      </c>
    </row>
    <row r="887" customFormat="false" ht="23.85" hidden="false" customHeight="false" outlineLevel="0" collapsed="false">
      <c r="A887" s="4" t="s">
        <v>167</v>
      </c>
      <c r="B887" s="4" t="s">
        <v>1064</v>
      </c>
      <c r="C887" s="4" t="s">
        <v>1064</v>
      </c>
      <c r="D887" s="12" t="n">
        <v>2021</v>
      </c>
      <c r="E887" s="4"/>
      <c r="F887" s="4" t="s">
        <v>169</v>
      </c>
      <c r="G887" s="4" t="s">
        <v>170</v>
      </c>
      <c r="H887" s="4" t="s">
        <v>171</v>
      </c>
      <c r="I887" s="4" t="s">
        <v>172</v>
      </c>
      <c r="J887" s="4" t="s">
        <v>1064</v>
      </c>
      <c r="K887" s="4" t="s">
        <v>97</v>
      </c>
      <c r="L887" s="4" t="s">
        <v>98</v>
      </c>
      <c r="M887" s="4"/>
      <c r="N887" s="4"/>
      <c r="O887" s="4"/>
      <c r="P887" s="4"/>
      <c r="Q887" s="4"/>
      <c r="R887" s="4"/>
      <c r="S887" s="13" t="n">
        <v>198.15</v>
      </c>
      <c r="T887" s="4" t="s">
        <v>173</v>
      </c>
      <c r="U887" s="14" t="n">
        <f aca="false">IF(OR($S887="",PARAMETROS!$B$4=""),"",$S887*PARAMETROS!$B$4)</f>
        <v>1151.2515</v>
      </c>
      <c r="V887" s="13" t="n">
        <v>0</v>
      </c>
      <c r="W887" s="4"/>
      <c r="X887" s="4"/>
      <c r="Y887" s="4"/>
      <c r="Z887" s="4"/>
      <c r="AA887" s="4"/>
      <c r="AB887" s="4"/>
      <c r="AC887" s="4"/>
      <c r="AD887" s="4"/>
      <c r="AE887" s="4"/>
      <c r="AF887" s="4"/>
      <c r="AG887" s="4"/>
      <c r="AH887" s="4"/>
      <c r="AI887" s="4"/>
      <c r="AJ887" s="4"/>
      <c r="AK887" s="4"/>
      <c r="AL887" s="4" t="s">
        <v>174</v>
      </c>
      <c r="AM887" s="4" t="s">
        <v>205</v>
      </c>
    </row>
    <row r="888" customFormat="false" ht="23.85" hidden="false" customHeight="false" outlineLevel="0" collapsed="false">
      <c r="A888" s="4" t="s">
        <v>167</v>
      </c>
      <c r="B888" s="4" t="s">
        <v>1065</v>
      </c>
      <c r="C888" s="4" t="s">
        <v>1065</v>
      </c>
      <c r="D888" s="12" t="n">
        <v>2021</v>
      </c>
      <c r="E888" s="4"/>
      <c r="F888" s="4" t="s">
        <v>169</v>
      </c>
      <c r="G888" s="4" t="s">
        <v>170</v>
      </c>
      <c r="H888" s="4" t="s">
        <v>171</v>
      </c>
      <c r="I888" s="4" t="s">
        <v>172</v>
      </c>
      <c r="J888" s="4" t="s">
        <v>1065</v>
      </c>
      <c r="K888" s="4" t="s">
        <v>97</v>
      </c>
      <c r="L888" s="4" t="s">
        <v>98</v>
      </c>
      <c r="M888" s="4"/>
      <c r="N888" s="4"/>
      <c r="O888" s="4"/>
      <c r="P888" s="4"/>
      <c r="Q888" s="4"/>
      <c r="R888" s="4"/>
      <c r="S888" s="13" t="n">
        <v>0</v>
      </c>
      <c r="T888" s="4" t="s">
        <v>173</v>
      </c>
      <c r="U888" s="14" t="n">
        <f aca="false">IF(OR($S888="",PARAMETROS!$B$4=""),"",$S888*PARAMETROS!$B$4)</f>
        <v>0</v>
      </c>
      <c r="V888" s="13" t="n">
        <v>0</v>
      </c>
      <c r="W888" s="4"/>
      <c r="X888" s="4"/>
      <c r="Y888" s="4"/>
      <c r="Z888" s="4"/>
      <c r="AA888" s="4"/>
      <c r="AB888" s="4"/>
      <c r="AC888" s="4"/>
      <c r="AD888" s="4"/>
      <c r="AE888" s="4"/>
      <c r="AF888" s="4"/>
      <c r="AG888" s="4"/>
      <c r="AH888" s="4"/>
      <c r="AI888" s="4"/>
      <c r="AJ888" s="4"/>
      <c r="AK888" s="4"/>
      <c r="AL888" s="4" t="s">
        <v>174</v>
      </c>
      <c r="AM888" s="4" t="s">
        <v>205</v>
      </c>
    </row>
    <row r="889" customFormat="false" ht="23.85" hidden="false" customHeight="false" outlineLevel="0" collapsed="false">
      <c r="A889" s="4" t="s">
        <v>167</v>
      </c>
      <c r="B889" s="4" t="s">
        <v>1066</v>
      </c>
      <c r="C889" s="4" t="s">
        <v>1066</v>
      </c>
      <c r="D889" s="12" t="n">
        <v>2021</v>
      </c>
      <c r="E889" s="4"/>
      <c r="F889" s="4" t="s">
        <v>169</v>
      </c>
      <c r="G889" s="4" t="s">
        <v>170</v>
      </c>
      <c r="H889" s="4" t="s">
        <v>171</v>
      </c>
      <c r="I889" s="4" t="s">
        <v>172</v>
      </c>
      <c r="J889" s="4" t="s">
        <v>1066</v>
      </c>
      <c r="K889" s="4" t="s">
        <v>97</v>
      </c>
      <c r="L889" s="4" t="s">
        <v>98</v>
      </c>
      <c r="M889" s="4"/>
      <c r="N889" s="4"/>
      <c r="O889" s="4"/>
      <c r="P889" s="4"/>
      <c r="Q889" s="4"/>
      <c r="R889" s="4"/>
      <c r="S889" s="13" t="n">
        <v>-8.22</v>
      </c>
      <c r="T889" s="4" t="s">
        <v>173</v>
      </c>
      <c r="U889" s="14" t="n">
        <f aca="false">IF(OR($S889="",PARAMETROS!$B$4=""),"",$S889*PARAMETROS!$B$4)</f>
        <v>-47.7582</v>
      </c>
      <c r="V889" s="13" t="n">
        <v>0</v>
      </c>
      <c r="W889" s="4"/>
      <c r="X889" s="4"/>
      <c r="Y889" s="4"/>
      <c r="Z889" s="4"/>
      <c r="AA889" s="4"/>
      <c r="AB889" s="4"/>
      <c r="AC889" s="4"/>
      <c r="AD889" s="4"/>
      <c r="AE889" s="4"/>
      <c r="AF889" s="4"/>
      <c r="AG889" s="4"/>
      <c r="AH889" s="4"/>
      <c r="AI889" s="4"/>
      <c r="AJ889" s="4"/>
      <c r="AK889" s="4"/>
      <c r="AL889" s="4" t="s">
        <v>174</v>
      </c>
      <c r="AM889" s="4" t="s">
        <v>205</v>
      </c>
    </row>
    <row r="890" customFormat="false" ht="23.85" hidden="false" customHeight="false" outlineLevel="0" collapsed="false">
      <c r="A890" s="4" t="s">
        <v>167</v>
      </c>
      <c r="B890" s="4" t="s">
        <v>1067</v>
      </c>
      <c r="C890" s="4" t="s">
        <v>1067</v>
      </c>
      <c r="D890" s="12" t="n">
        <v>2021</v>
      </c>
      <c r="E890" s="4"/>
      <c r="F890" s="4" t="s">
        <v>169</v>
      </c>
      <c r="G890" s="4" t="s">
        <v>170</v>
      </c>
      <c r="H890" s="4" t="s">
        <v>171</v>
      </c>
      <c r="I890" s="4" t="s">
        <v>172</v>
      </c>
      <c r="J890" s="4" t="s">
        <v>1067</v>
      </c>
      <c r="K890" s="4" t="s">
        <v>97</v>
      </c>
      <c r="L890" s="4" t="s">
        <v>98</v>
      </c>
      <c r="M890" s="4"/>
      <c r="N890" s="4"/>
      <c r="O890" s="4"/>
      <c r="P890" s="4"/>
      <c r="Q890" s="4"/>
      <c r="R890" s="4"/>
      <c r="S890" s="13" t="n">
        <v>0</v>
      </c>
      <c r="T890" s="4" t="s">
        <v>173</v>
      </c>
      <c r="U890" s="14" t="n">
        <f aca="false">IF(OR($S890="",PARAMETROS!$B$4=""),"",$S890*PARAMETROS!$B$4)</f>
        <v>0</v>
      </c>
      <c r="V890" s="13" t="n">
        <v>0</v>
      </c>
      <c r="W890" s="4"/>
      <c r="X890" s="4"/>
      <c r="Y890" s="4"/>
      <c r="Z890" s="4"/>
      <c r="AA890" s="4"/>
      <c r="AB890" s="4"/>
      <c r="AC890" s="4"/>
      <c r="AD890" s="4"/>
      <c r="AE890" s="4"/>
      <c r="AF890" s="4"/>
      <c r="AG890" s="4"/>
      <c r="AH890" s="4"/>
      <c r="AI890" s="4"/>
      <c r="AJ890" s="4"/>
      <c r="AK890" s="4"/>
      <c r="AL890" s="4" t="s">
        <v>174</v>
      </c>
      <c r="AM890" s="4" t="s">
        <v>205</v>
      </c>
    </row>
    <row r="891" customFormat="false" ht="23.85" hidden="false" customHeight="false" outlineLevel="0" collapsed="false">
      <c r="A891" s="4" t="s">
        <v>167</v>
      </c>
      <c r="B891" s="4" t="s">
        <v>1068</v>
      </c>
      <c r="C891" s="4" t="s">
        <v>1068</v>
      </c>
      <c r="D891" s="12" t="n">
        <v>2021</v>
      </c>
      <c r="E891" s="4"/>
      <c r="F891" s="4" t="s">
        <v>169</v>
      </c>
      <c r="G891" s="4" t="s">
        <v>170</v>
      </c>
      <c r="H891" s="4" t="s">
        <v>171</v>
      </c>
      <c r="I891" s="4" t="s">
        <v>172</v>
      </c>
      <c r="J891" s="4" t="s">
        <v>1068</v>
      </c>
      <c r="K891" s="4" t="s">
        <v>97</v>
      </c>
      <c r="L891" s="4" t="s">
        <v>98</v>
      </c>
      <c r="M891" s="4"/>
      <c r="N891" s="4"/>
      <c r="O891" s="4"/>
      <c r="P891" s="4"/>
      <c r="Q891" s="4"/>
      <c r="R891" s="4"/>
      <c r="S891" s="13" t="n">
        <v>0</v>
      </c>
      <c r="T891" s="4" t="s">
        <v>173</v>
      </c>
      <c r="U891" s="14" t="n">
        <f aca="false">IF(OR($S891="",PARAMETROS!$B$4=""),"",$S891*PARAMETROS!$B$4)</f>
        <v>0</v>
      </c>
      <c r="V891" s="13" t="n">
        <v>0</v>
      </c>
      <c r="W891" s="4"/>
      <c r="X891" s="4"/>
      <c r="Y891" s="4"/>
      <c r="Z891" s="4"/>
      <c r="AA891" s="4"/>
      <c r="AB891" s="4"/>
      <c r="AC891" s="4"/>
      <c r="AD891" s="4"/>
      <c r="AE891" s="4"/>
      <c r="AF891" s="4"/>
      <c r="AG891" s="4"/>
      <c r="AH891" s="4"/>
      <c r="AI891" s="4"/>
      <c r="AJ891" s="4"/>
      <c r="AK891" s="4"/>
      <c r="AL891" s="4" t="s">
        <v>174</v>
      </c>
      <c r="AM891" s="4" t="s">
        <v>205</v>
      </c>
    </row>
    <row r="892" customFormat="false" ht="23.85" hidden="false" customHeight="false" outlineLevel="0" collapsed="false">
      <c r="A892" s="4" t="s">
        <v>167</v>
      </c>
      <c r="B892" s="4" t="s">
        <v>1069</v>
      </c>
      <c r="C892" s="4" t="s">
        <v>1069</v>
      </c>
      <c r="D892" s="12" t="n">
        <v>2021</v>
      </c>
      <c r="E892" s="4"/>
      <c r="F892" s="4" t="s">
        <v>169</v>
      </c>
      <c r="G892" s="4" t="s">
        <v>170</v>
      </c>
      <c r="H892" s="4" t="s">
        <v>171</v>
      </c>
      <c r="I892" s="4" t="s">
        <v>172</v>
      </c>
      <c r="J892" s="4" t="s">
        <v>1069</v>
      </c>
      <c r="K892" s="4" t="s">
        <v>97</v>
      </c>
      <c r="L892" s="4" t="s">
        <v>98</v>
      </c>
      <c r="M892" s="4"/>
      <c r="N892" s="4"/>
      <c r="O892" s="4"/>
      <c r="P892" s="4"/>
      <c r="Q892" s="4"/>
      <c r="R892" s="4"/>
      <c r="S892" s="13" t="n">
        <v>13516.91</v>
      </c>
      <c r="T892" s="4" t="s">
        <v>173</v>
      </c>
      <c r="U892" s="14" t="n">
        <f aca="false">IF(OR($S892="",PARAMETROS!$B$4=""),"",$S892*PARAMETROS!$B$4)</f>
        <v>78533.2471</v>
      </c>
      <c r="V892" s="13" t="n">
        <v>0</v>
      </c>
      <c r="W892" s="4"/>
      <c r="X892" s="4"/>
      <c r="Y892" s="4"/>
      <c r="Z892" s="4"/>
      <c r="AA892" s="4"/>
      <c r="AB892" s="4"/>
      <c r="AC892" s="4"/>
      <c r="AD892" s="4"/>
      <c r="AE892" s="4"/>
      <c r="AF892" s="4"/>
      <c r="AG892" s="4"/>
      <c r="AH892" s="4"/>
      <c r="AI892" s="4"/>
      <c r="AJ892" s="4"/>
      <c r="AK892" s="4"/>
      <c r="AL892" s="4" t="s">
        <v>174</v>
      </c>
      <c r="AM892" s="4" t="s">
        <v>205</v>
      </c>
    </row>
    <row r="893" customFormat="false" ht="23.85" hidden="false" customHeight="false" outlineLevel="0" collapsed="false">
      <c r="A893" s="4" t="s">
        <v>167</v>
      </c>
      <c r="B893" s="4" t="s">
        <v>1070</v>
      </c>
      <c r="C893" s="4" t="s">
        <v>1070</v>
      </c>
      <c r="D893" s="12" t="n">
        <v>2021</v>
      </c>
      <c r="E893" s="4"/>
      <c r="F893" s="4" t="s">
        <v>169</v>
      </c>
      <c r="G893" s="4" t="s">
        <v>170</v>
      </c>
      <c r="H893" s="4" t="s">
        <v>171</v>
      </c>
      <c r="I893" s="4" t="s">
        <v>172</v>
      </c>
      <c r="J893" s="4" t="s">
        <v>1070</v>
      </c>
      <c r="K893" s="4" t="s">
        <v>97</v>
      </c>
      <c r="L893" s="4" t="s">
        <v>98</v>
      </c>
      <c r="M893" s="4"/>
      <c r="N893" s="4"/>
      <c r="O893" s="4"/>
      <c r="P893" s="4"/>
      <c r="Q893" s="4"/>
      <c r="R893" s="4"/>
      <c r="S893" s="13" t="n">
        <v>0</v>
      </c>
      <c r="T893" s="4" t="s">
        <v>173</v>
      </c>
      <c r="U893" s="14" t="n">
        <f aca="false">IF(OR($S893="",PARAMETROS!$B$4=""),"",$S893*PARAMETROS!$B$4)</f>
        <v>0</v>
      </c>
      <c r="V893" s="13" t="n">
        <v>0</v>
      </c>
      <c r="W893" s="4"/>
      <c r="X893" s="4"/>
      <c r="Y893" s="4"/>
      <c r="Z893" s="4"/>
      <c r="AA893" s="4"/>
      <c r="AB893" s="4"/>
      <c r="AC893" s="4"/>
      <c r="AD893" s="4"/>
      <c r="AE893" s="4"/>
      <c r="AF893" s="4"/>
      <c r="AG893" s="4"/>
      <c r="AH893" s="4"/>
      <c r="AI893" s="4"/>
      <c r="AJ893" s="4"/>
      <c r="AK893" s="4"/>
      <c r="AL893" s="4" t="s">
        <v>174</v>
      </c>
      <c r="AM893" s="4" t="s">
        <v>205</v>
      </c>
    </row>
    <row r="894" customFormat="false" ht="23.85" hidden="false" customHeight="false" outlineLevel="0" collapsed="false">
      <c r="A894" s="4" t="s">
        <v>167</v>
      </c>
      <c r="B894" s="4" t="s">
        <v>1071</v>
      </c>
      <c r="C894" s="4" t="s">
        <v>1071</v>
      </c>
      <c r="D894" s="12" t="n">
        <v>2021</v>
      </c>
      <c r="E894" s="4"/>
      <c r="F894" s="4" t="s">
        <v>169</v>
      </c>
      <c r="G894" s="4" t="s">
        <v>170</v>
      </c>
      <c r="H894" s="4" t="s">
        <v>171</v>
      </c>
      <c r="I894" s="4" t="s">
        <v>172</v>
      </c>
      <c r="J894" s="4" t="s">
        <v>1071</v>
      </c>
      <c r="K894" s="4" t="s">
        <v>97</v>
      </c>
      <c r="L894" s="4" t="s">
        <v>98</v>
      </c>
      <c r="M894" s="4"/>
      <c r="N894" s="4"/>
      <c r="O894" s="4"/>
      <c r="P894" s="4"/>
      <c r="Q894" s="4"/>
      <c r="R894" s="4"/>
      <c r="S894" s="13" t="n">
        <v>0</v>
      </c>
      <c r="T894" s="4" t="s">
        <v>173</v>
      </c>
      <c r="U894" s="14" t="n">
        <f aca="false">IF(OR($S894="",PARAMETROS!$B$4=""),"",$S894*PARAMETROS!$B$4)</f>
        <v>0</v>
      </c>
      <c r="V894" s="13" t="n">
        <v>0</v>
      </c>
      <c r="W894" s="4"/>
      <c r="X894" s="4"/>
      <c r="Y894" s="4"/>
      <c r="Z894" s="4"/>
      <c r="AA894" s="4"/>
      <c r="AB894" s="4"/>
      <c r="AC894" s="4"/>
      <c r="AD894" s="4"/>
      <c r="AE894" s="4"/>
      <c r="AF894" s="4"/>
      <c r="AG894" s="4"/>
      <c r="AH894" s="4"/>
      <c r="AI894" s="4"/>
      <c r="AJ894" s="4"/>
      <c r="AK894" s="4"/>
      <c r="AL894" s="4" t="s">
        <v>174</v>
      </c>
      <c r="AM894" s="4" t="s">
        <v>205</v>
      </c>
    </row>
    <row r="895" customFormat="false" ht="23.85" hidden="false" customHeight="false" outlineLevel="0" collapsed="false">
      <c r="A895" s="4" t="s">
        <v>167</v>
      </c>
      <c r="B895" s="4" t="s">
        <v>1072</v>
      </c>
      <c r="C895" s="4" t="s">
        <v>1072</v>
      </c>
      <c r="D895" s="12" t="n">
        <v>2021</v>
      </c>
      <c r="E895" s="4"/>
      <c r="F895" s="4" t="s">
        <v>169</v>
      </c>
      <c r="G895" s="4" t="s">
        <v>170</v>
      </c>
      <c r="H895" s="4" t="s">
        <v>171</v>
      </c>
      <c r="I895" s="4" t="s">
        <v>172</v>
      </c>
      <c r="J895" s="4" t="s">
        <v>1072</v>
      </c>
      <c r="K895" s="4" t="s">
        <v>97</v>
      </c>
      <c r="L895" s="4" t="s">
        <v>98</v>
      </c>
      <c r="M895" s="4"/>
      <c r="N895" s="4"/>
      <c r="O895" s="4"/>
      <c r="P895" s="4"/>
      <c r="Q895" s="4"/>
      <c r="R895" s="4"/>
      <c r="S895" s="13" t="n">
        <v>1175.38</v>
      </c>
      <c r="T895" s="4" t="s">
        <v>173</v>
      </c>
      <c r="U895" s="14" t="n">
        <f aca="false">IF(OR($S895="",PARAMETROS!$B$4=""),"",$S895*PARAMETROS!$B$4)</f>
        <v>6828.9578</v>
      </c>
      <c r="V895" s="13" t="n">
        <v>0</v>
      </c>
      <c r="W895" s="4"/>
      <c r="X895" s="4"/>
      <c r="Y895" s="4"/>
      <c r="Z895" s="4"/>
      <c r="AA895" s="4"/>
      <c r="AB895" s="4"/>
      <c r="AC895" s="4"/>
      <c r="AD895" s="4"/>
      <c r="AE895" s="4"/>
      <c r="AF895" s="4"/>
      <c r="AG895" s="4"/>
      <c r="AH895" s="4"/>
      <c r="AI895" s="4"/>
      <c r="AJ895" s="4"/>
      <c r="AK895" s="4"/>
      <c r="AL895" s="4" t="s">
        <v>174</v>
      </c>
      <c r="AM895" s="4" t="s">
        <v>205</v>
      </c>
    </row>
    <row r="896" customFormat="false" ht="23.85" hidden="false" customHeight="false" outlineLevel="0" collapsed="false">
      <c r="A896" s="4" t="s">
        <v>167</v>
      </c>
      <c r="B896" s="4" t="s">
        <v>1073</v>
      </c>
      <c r="C896" s="4" t="s">
        <v>1073</v>
      </c>
      <c r="D896" s="12" t="n">
        <v>2021</v>
      </c>
      <c r="E896" s="4"/>
      <c r="F896" s="4" t="s">
        <v>169</v>
      </c>
      <c r="G896" s="4" t="s">
        <v>170</v>
      </c>
      <c r="H896" s="4" t="s">
        <v>171</v>
      </c>
      <c r="I896" s="4" t="s">
        <v>172</v>
      </c>
      <c r="J896" s="4" t="s">
        <v>1073</v>
      </c>
      <c r="K896" s="4" t="s">
        <v>97</v>
      </c>
      <c r="L896" s="4" t="s">
        <v>98</v>
      </c>
      <c r="M896" s="4"/>
      <c r="N896" s="4"/>
      <c r="O896" s="4"/>
      <c r="P896" s="4"/>
      <c r="Q896" s="4"/>
      <c r="R896" s="4"/>
      <c r="S896" s="13" t="n">
        <v>0</v>
      </c>
      <c r="T896" s="4" t="s">
        <v>173</v>
      </c>
      <c r="U896" s="14" t="n">
        <f aca="false">IF(OR($S896="",PARAMETROS!$B$4=""),"",$S896*PARAMETROS!$B$4)</f>
        <v>0</v>
      </c>
      <c r="V896" s="13" t="n">
        <v>1</v>
      </c>
      <c r="W896" s="4"/>
      <c r="X896" s="4"/>
      <c r="Y896" s="4"/>
      <c r="Z896" s="4"/>
      <c r="AA896" s="4"/>
      <c r="AB896" s="4"/>
      <c r="AC896" s="4"/>
      <c r="AD896" s="4"/>
      <c r="AE896" s="4"/>
      <c r="AF896" s="4"/>
      <c r="AG896" s="4"/>
      <c r="AH896" s="4"/>
      <c r="AI896" s="4"/>
      <c r="AJ896" s="4"/>
      <c r="AK896" s="4"/>
      <c r="AL896" s="4" t="s">
        <v>174</v>
      </c>
      <c r="AM896" s="4" t="s">
        <v>205</v>
      </c>
    </row>
    <row r="897" customFormat="false" ht="23.85" hidden="false" customHeight="false" outlineLevel="0" collapsed="false">
      <c r="A897" s="4" t="s">
        <v>167</v>
      </c>
      <c r="B897" s="4" t="s">
        <v>1074</v>
      </c>
      <c r="C897" s="4" t="s">
        <v>1074</v>
      </c>
      <c r="D897" s="12" t="n">
        <v>2021</v>
      </c>
      <c r="E897" s="4"/>
      <c r="F897" s="4" t="s">
        <v>169</v>
      </c>
      <c r="G897" s="4" t="s">
        <v>170</v>
      </c>
      <c r="H897" s="4" t="s">
        <v>171</v>
      </c>
      <c r="I897" s="4" t="s">
        <v>172</v>
      </c>
      <c r="J897" s="4" t="s">
        <v>1074</v>
      </c>
      <c r="K897" s="4" t="s">
        <v>97</v>
      </c>
      <c r="L897" s="4" t="s">
        <v>98</v>
      </c>
      <c r="M897" s="4"/>
      <c r="N897" s="4"/>
      <c r="O897" s="4"/>
      <c r="P897" s="4"/>
      <c r="Q897" s="4"/>
      <c r="R897" s="4"/>
      <c r="S897" s="13" t="n">
        <v>0</v>
      </c>
      <c r="T897" s="4" t="s">
        <v>173</v>
      </c>
      <c r="U897" s="14" t="n">
        <f aca="false">IF(OR($S897="",PARAMETROS!$B$4=""),"",$S897*PARAMETROS!$B$4)</f>
        <v>0</v>
      </c>
      <c r="V897" s="13" t="n">
        <v>0</v>
      </c>
      <c r="W897" s="4"/>
      <c r="X897" s="4"/>
      <c r="Y897" s="4"/>
      <c r="Z897" s="4"/>
      <c r="AA897" s="4"/>
      <c r="AB897" s="4"/>
      <c r="AC897" s="4"/>
      <c r="AD897" s="4"/>
      <c r="AE897" s="4"/>
      <c r="AF897" s="4"/>
      <c r="AG897" s="4"/>
      <c r="AH897" s="4"/>
      <c r="AI897" s="4"/>
      <c r="AJ897" s="4"/>
      <c r="AK897" s="4"/>
      <c r="AL897" s="4" t="s">
        <v>174</v>
      </c>
      <c r="AM897" s="4" t="s">
        <v>205</v>
      </c>
    </row>
    <row r="898" customFormat="false" ht="23.85" hidden="false" customHeight="false" outlineLevel="0" collapsed="false">
      <c r="A898" s="4" t="s">
        <v>167</v>
      </c>
      <c r="B898" s="4" t="s">
        <v>1075</v>
      </c>
      <c r="C898" s="4" t="s">
        <v>1075</v>
      </c>
      <c r="D898" s="12" t="n">
        <v>2021</v>
      </c>
      <c r="E898" s="4"/>
      <c r="F898" s="4" t="s">
        <v>169</v>
      </c>
      <c r="G898" s="4" t="s">
        <v>170</v>
      </c>
      <c r="H898" s="4" t="s">
        <v>171</v>
      </c>
      <c r="I898" s="4" t="s">
        <v>172</v>
      </c>
      <c r="J898" s="4" t="s">
        <v>1075</v>
      </c>
      <c r="K898" s="4" t="s">
        <v>99</v>
      </c>
      <c r="L898" s="4" t="s">
        <v>100</v>
      </c>
      <c r="M898" s="4"/>
      <c r="N898" s="4"/>
      <c r="O898" s="4"/>
      <c r="P898" s="4"/>
      <c r="Q898" s="4"/>
      <c r="R898" s="4"/>
      <c r="S898" s="13" t="n">
        <v>0</v>
      </c>
      <c r="T898" s="4" t="s">
        <v>173</v>
      </c>
      <c r="U898" s="14" t="n">
        <f aca="false">IF(OR($S898="",PARAMETROS!$B$4=""),"",$S898*PARAMETROS!$B$4)</f>
        <v>0</v>
      </c>
      <c r="V898" s="13" t="n">
        <v>0</v>
      </c>
      <c r="W898" s="4"/>
      <c r="X898" s="4"/>
      <c r="Y898" s="4"/>
      <c r="Z898" s="4"/>
      <c r="AA898" s="4"/>
      <c r="AB898" s="4"/>
      <c r="AC898" s="4"/>
      <c r="AD898" s="4"/>
      <c r="AE898" s="4"/>
      <c r="AF898" s="4"/>
      <c r="AG898" s="4"/>
      <c r="AH898" s="4"/>
      <c r="AI898" s="4"/>
      <c r="AJ898" s="4"/>
      <c r="AK898" s="4"/>
      <c r="AL898" s="4" t="s">
        <v>174</v>
      </c>
      <c r="AM898" s="4" t="s">
        <v>205</v>
      </c>
    </row>
    <row r="899" customFormat="false" ht="23.85" hidden="false" customHeight="false" outlineLevel="0" collapsed="false">
      <c r="A899" s="4" t="s">
        <v>167</v>
      </c>
      <c r="B899" s="4" t="s">
        <v>1076</v>
      </c>
      <c r="C899" s="4" t="s">
        <v>1076</v>
      </c>
      <c r="D899" s="12" t="n">
        <v>2021</v>
      </c>
      <c r="E899" s="4"/>
      <c r="F899" s="4" t="s">
        <v>169</v>
      </c>
      <c r="G899" s="4" t="s">
        <v>170</v>
      </c>
      <c r="H899" s="4" t="s">
        <v>171</v>
      </c>
      <c r="I899" s="4" t="s">
        <v>172</v>
      </c>
      <c r="J899" s="4" t="s">
        <v>1076</v>
      </c>
      <c r="K899" s="4" t="s">
        <v>99</v>
      </c>
      <c r="L899" s="4" t="s">
        <v>100</v>
      </c>
      <c r="M899" s="4"/>
      <c r="N899" s="4"/>
      <c r="O899" s="4"/>
      <c r="P899" s="4"/>
      <c r="Q899" s="4"/>
      <c r="R899" s="4"/>
      <c r="S899" s="13" t="n">
        <v>706.93</v>
      </c>
      <c r="T899" s="4" t="s">
        <v>173</v>
      </c>
      <c r="U899" s="14" t="n">
        <f aca="false">IF(OR($S899="",PARAMETROS!$B$4=""),"",$S899*PARAMETROS!$B$4)</f>
        <v>4107.2633</v>
      </c>
      <c r="V899" s="13" t="n">
        <v>0</v>
      </c>
      <c r="W899" s="4"/>
      <c r="X899" s="4"/>
      <c r="Y899" s="4"/>
      <c r="Z899" s="4"/>
      <c r="AA899" s="4"/>
      <c r="AB899" s="4"/>
      <c r="AC899" s="4"/>
      <c r="AD899" s="4"/>
      <c r="AE899" s="4"/>
      <c r="AF899" s="4"/>
      <c r="AG899" s="4"/>
      <c r="AH899" s="4"/>
      <c r="AI899" s="4"/>
      <c r="AJ899" s="4"/>
      <c r="AK899" s="4"/>
      <c r="AL899" s="4" t="s">
        <v>174</v>
      </c>
      <c r="AM899" s="4" t="s">
        <v>205</v>
      </c>
    </row>
    <row r="900" customFormat="false" ht="23.85" hidden="false" customHeight="false" outlineLevel="0" collapsed="false">
      <c r="A900" s="4" t="s">
        <v>167</v>
      </c>
      <c r="B900" s="4" t="s">
        <v>1077</v>
      </c>
      <c r="C900" s="4" t="s">
        <v>1077</v>
      </c>
      <c r="D900" s="12" t="n">
        <v>2021</v>
      </c>
      <c r="E900" s="4"/>
      <c r="F900" s="4" t="s">
        <v>169</v>
      </c>
      <c r="G900" s="4" t="s">
        <v>170</v>
      </c>
      <c r="H900" s="4" t="s">
        <v>171</v>
      </c>
      <c r="I900" s="4" t="s">
        <v>172</v>
      </c>
      <c r="J900" s="4" t="s">
        <v>1077</v>
      </c>
      <c r="K900" s="4" t="s">
        <v>99</v>
      </c>
      <c r="L900" s="4" t="s">
        <v>100</v>
      </c>
      <c r="M900" s="4"/>
      <c r="N900" s="4"/>
      <c r="O900" s="4"/>
      <c r="P900" s="4"/>
      <c r="Q900" s="4"/>
      <c r="R900" s="4"/>
      <c r="S900" s="13" t="n">
        <v>691.32</v>
      </c>
      <c r="T900" s="4" t="s">
        <v>173</v>
      </c>
      <c r="U900" s="14" t="n">
        <f aca="false">IF(OR($S900="",PARAMETROS!$B$4=""),"",$S900*PARAMETROS!$B$4)</f>
        <v>4016.5692</v>
      </c>
      <c r="V900" s="13" t="n">
        <v>0</v>
      </c>
      <c r="W900" s="4"/>
      <c r="X900" s="4"/>
      <c r="Y900" s="4"/>
      <c r="Z900" s="4"/>
      <c r="AA900" s="4"/>
      <c r="AB900" s="4"/>
      <c r="AC900" s="4"/>
      <c r="AD900" s="4"/>
      <c r="AE900" s="4"/>
      <c r="AF900" s="4"/>
      <c r="AG900" s="4"/>
      <c r="AH900" s="4"/>
      <c r="AI900" s="4"/>
      <c r="AJ900" s="4"/>
      <c r="AK900" s="4"/>
      <c r="AL900" s="4" t="s">
        <v>174</v>
      </c>
      <c r="AM900" s="4" t="s">
        <v>205</v>
      </c>
    </row>
    <row r="901" customFormat="false" ht="23.85" hidden="false" customHeight="false" outlineLevel="0" collapsed="false">
      <c r="A901" s="4" t="s">
        <v>167</v>
      </c>
      <c r="B901" s="4" t="s">
        <v>1078</v>
      </c>
      <c r="C901" s="4" t="s">
        <v>1078</v>
      </c>
      <c r="D901" s="12" t="n">
        <v>2021</v>
      </c>
      <c r="E901" s="4"/>
      <c r="F901" s="4" t="s">
        <v>169</v>
      </c>
      <c r="G901" s="4" t="s">
        <v>170</v>
      </c>
      <c r="H901" s="4" t="s">
        <v>171</v>
      </c>
      <c r="I901" s="4" t="s">
        <v>172</v>
      </c>
      <c r="J901" s="4" t="s">
        <v>1078</v>
      </c>
      <c r="K901" s="4" t="s">
        <v>99</v>
      </c>
      <c r="L901" s="4" t="s">
        <v>100</v>
      </c>
      <c r="M901" s="4"/>
      <c r="N901" s="4"/>
      <c r="O901" s="4"/>
      <c r="P901" s="4"/>
      <c r="Q901" s="4"/>
      <c r="R901" s="4"/>
      <c r="S901" s="13" t="n">
        <v>0</v>
      </c>
      <c r="T901" s="4" t="s">
        <v>173</v>
      </c>
      <c r="U901" s="14" t="n">
        <f aca="false">IF(OR($S901="",PARAMETROS!$B$4=""),"",$S901*PARAMETROS!$B$4)</f>
        <v>0</v>
      </c>
      <c r="V901" s="13" t="n">
        <v>0</v>
      </c>
      <c r="W901" s="4"/>
      <c r="X901" s="4"/>
      <c r="Y901" s="4"/>
      <c r="Z901" s="4"/>
      <c r="AA901" s="4"/>
      <c r="AB901" s="4"/>
      <c r="AC901" s="4"/>
      <c r="AD901" s="4"/>
      <c r="AE901" s="4"/>
      <c r="AF901" s="4"/>
      <c r="AG901" s="4"/>
      <c r="AH901" s="4"/>
      <c r="AI901" s="4"/>
      <c r="AJ901" s="4"/>
      <c r="AK901" s="4"/>
      <c r="AL901" s="4" t="s">
        <v>174</v>
      </c>
      <c r="AM901" s="4" t="s">
        <v>205</v>
      </c>
    </row>
    <row r="902" customFormat="false" ht="23.85" hidden="false" customHeight="false" outlineLevel="0" collapsed="false">
      <c r="A902" s="4" t="s">
        <v>167</v>
      </c>
      <c r="B902" s="4" t="s">
        <v>1079</v>
      </c>
      <c r="C902" s="4" t="s">
        <v>1079</v>
      </c>
      <c r="D902" s="12" t="n">
        <v>2021</v>
      </c>
      <c r="E902" s="4"/>
      <c r="F902" s="4" t="s">
        <v>169</v>
      </c>
      <c r="G902" s="4" t="s">
        <v>170</v>
      </c>
      <c r="H902" s="4" t="s">
        <v>171</v>
      </c>
      <c r="I902" s="4" t="s">
        <v>172</v>
      </c>
      <c r="J902" s="4" t="s">
        <v>1079</v>
      </c>
      <c r="K902" s="4" t="s">
        <v>99</v>
      </c>
      <c r="L902" s="4" t="s">
        <v>100</v>
      </c>
      <c r="M902" s="4"/>
      <c r="N902" s="4"/>
      <c r="O902" s="4"/>
      <c r="P902" s="4"/>
      <c r="Q902" s="4"/>
      <c r="R902" s="4"/>
      <c r="S902" s="13" t="n">
        <v>0</v>
      </c>
      <c r="T902" s="4" t="s">
        <v>173</v>
      </c>
      <c r="U902" s="14" t="n">
        <f aca="false">IF(OR($S902="",PARAMETROS!$B$4=""),"",$S902*PARAMETROS!$B$4)</f>
        <v>0</v>
      </c>
      <c r="V902" s="13" t="n">
        <v>0</v>
      </c>
      <c r="W902" s="4"/>
      <c r="X902" s="4"/>
      <c r="Y902" s="4"/>
      <c r="Z902" s="4"/>
      <c r="AA902" s="4"/>
      <c r="AB902" s="4"/>
      <c r="AC902" s="4"/>
      <c r="AD902" s="4"/>
      <c r="AE902" s="4"/>
      <c r="AF902" s="4"/>
      <c r="AG902" s="4"/>
      <c r="AH902" s="4"/>
      <c r="AI902" s="4"/>
      <c r="AJ902" s="4"/>
      <c r="AK902" s="4"/>
      <c r="AL902" s="4" t="s">
        <v>174</v>
      </c>
      <c r="AM902" s="4" t="s">
        <v>205</v>
      </c>
    </row>
    <row r="903" customFormat="false" ht="23.85" hidden="false" customHeight="false" outlineLevel="0" collapsed="false">
      <c r="A903" s="4" t="s">
        <v>167</v>
      </c>
      <c r="B903" s="4" t="s">
        <v>1080</v>
      </c>
      <c r="C903" s="4" t="s">
        <v>1080</v>
      </c>
      <c r="D903" s="12" t="n">
        <v>2021</v>
      </c>
      <c r="E903" s="4"/>
      <c r="F903" s="4" t="s">
        <v>169</v>
      </c>
      <c r="G903" s="4" t="s">
        <v>170</v>
      </c>
      <c r="H903" s="4" t="s">
        <v>171</v>
      </c>
      <c r="I903" s="4" t="s">
        <v>172</v>
      </c>
      <c r="J903" s="4" t="s">
        <v>1080</v>
      </c>
      <c r="K903" s="4" t="s">
        <v>99</v>
      </c>
      <c r="L903" s="4" t="s">
        <v>100</v>
      </c>
      <c r="M903" s="4"/>
      <c r="N903" s="4"/>
      <c r="O903" s="4"/>
      <c r="P903" s="4"/>
      <c r="Q903" s="4"/>
      <c r="R903" s="4"/>
      <c r="S903" s="13" t="n">
        <v>8242.4</v>
      </c>
      <c r="T903" s="4" t="s">
        <v>173</v>
      </c>
      <c r="U903" s="14" t="n">
        <f aca="false">IF(OR($S903="",PARAMETROS!$B$4=""),"",$S903*PARAMETROS!$B$4)</f>
        <v>47888.344</v>
      </c>
      <c r="V903" s="13" t="n">
        <v>0</v>
      </c>
      <c r="W903" s="4"/>
      <c r="X903" s="4"/>
      <c r="Y903" s="4"/>
      <c r="Z903" s="4"/>
      <c r="AA903" s="4"/>
      <c r="AB903" s="4"/>
      <c r="AC903" s="4"/>
      <c r="AD903" s="4"/>
      <c r="AE903" s="4"/>
      <c r="AF903" s="4"/>
      <c r="AG903" s="4"/>
      <c r="AH903" s="4"/>
      <c r="AI903" s="4"/>
      <c r="AJ903" s="4"/>
      <c r="AK903" s="4"/>
      <c r="AL903" s="4" t="s">
        <v>174</v>
      </c>
      <c r="AM903" s="4" t="s">
        <v>205</v>
      </c>
    </row>
    <row r="904" customFormat="false" ht="23.85" hidden="false" customHeight="false" outlineLevel="0" collapsed="false">
      <c r="A904" s="4" t="s">
        <v>167</v>
      </c>
      <c r="B904" s="4" t="s">
        <v>1081</v>
      </c>
      <c r="C904" s="4" t="s">
        <v>1081</v>
      </c>
      <c r="D904" s="12" t="n">
        <v>2021</v>
      </c>
      <c r="E904" s="4"/>
      <c r="F904" s="4" t="s">
        <v>169</v>
      </c>
      <c r="G904" s="4" t="s">
        <v>170</v>
      </c>
      <c r="H904" s="4" t="s">
        <v>171</v>
      </c>
      <c r="I904" s="4" t="s">
        <v>172</v>
      </c>
      <c r="J904" s="4" t="s">
        <v>1081</v>
      </c>
      <c r="K904" s="4" t="s">
        <v>99</v>
      </c>
      <c r="L904" s="4" t="s">
        <v>100</v>
      </c>
      <c r="M904" s="4"/>
      <c r="N904" s="4"/>
      <c r="O904" s="4"/>
      <c r="P904" s="4"/>
      <c r="Q904" s="4"/>
      <c r="R904" s="4"/>
      <c r="S904" s="13" t="n">
        <v>672.37</v>
      </c>
      <c r="T904" s="4" t="s">
        <v>173</v>
      </c>
      <c r="U904" s="14" t="n">
        <f aca="false">IF(OR($S904="",PARAMETROS!$B$4=""),"",$S904*PARAMETROS!$B$4)</f>
        <v>3906.4697</v>
      </c>
      <c r="V904" s="13" t="n">
        <v>0</v>
      </c>
      <c r="W904" s="4"/>
      <c r="X904" s="4"/>
      <c r="Y904" s="4"/>
      <c r="Z904" s="4"/>
      <c r="AA904" s="4"/>
      <c r="AB904" s="4"/>
      <c r="AC904" s="4"/>
      <c r="AD904" s="4"/>
      <c r="AE904" s="4"/>
      <c r="AF904" s="4"/>
      <c r="AG904" s="4"/>
      <c r="AH904" s="4"/>
      <c r="AI904" s="4"/>
      <c r="AJ904" s="4"/>
      <c r="AK904" s="4"/>
      <c r="AL904" s="4" t="s">
        <v>174</v>
      </c>
      <c r="AM904" s="4" t="s">
        <v>205</v>
      </c>
    </row>
    <row r="905" customFormat="false" ht="23.85" hidden="false" customHeight="false" outlineLevel="0" collapsed="false">
      <c r="A905" s="4" t="s">
        <v>167</v>
      </c>
      <c r="B905" s="4" t="s">
        <v>1082</v>
      </c>
      <c r="C905" s="4" t="s">
        <v>1082</v>
      </c>
      <c r="D905" s="12" t="n">
        <v>2021</v>
      </c>
      <c r="E905" s="4"/>
      <c r="F905" s="4" t="s">
        <v>169</v>
      </c>
      <c r="G905" s="4" t="s">
        <v>170</v>
      </c>
      <c r="H905" s="4" t="s">
        <v>171</v>
      </c>
      <c r="I905" s="4" t="s">
        <v>172</v>
      </c>
      <c r="J905" s="4" t="s">
        <v>1082</v>
      </c>
      <c r="K905" s="4" t="s">
        <v>99</v>
      </c>
      <c r="L905" s="4" t="s">
        <v>100</v>
      </c>
      <c r="M905" s="4"/>
      <c r="N905" s="4"/>
      <c r="O905" s="4"/>
      <c r="P905" s="4"/>
      <c r="Q905" s="4"/>
      <c r="R905" s="4"/>
      <c r="S905" s="13" t="n">
        <v>583.4</v>
      </c>
      <c r="T905" s="4" t="s">
        <v>173</v>
      </c>
      <c r="U905" s="14" t="n">
        <f aca="false">IF(OR($S905="",PARAMETROS!$B$4=""),"",$S905*PARAMETROS!$B$4)</f>
        <v>3389.554</v>
      </c>
      <c r="V905" s="13" t="n">
        <v>0</v>
      </c>
      <c r="W905" s="4"/>
      <c r="X905" s="4"/>
      <c r="Y905" s="4"/>
      <c r="Z905" s="4"/>
      <c r="AA905" s="4"/>
      <c r="AB905" s="4"/>
      <c r="AC905" s="4"/>
      <c r="AD905" s="4"/>
      <c r="AE905" s="4"/>
      <c r="AF905" s="4"/>
      <c r="AG905" s="4"/>
      <c r="AH905" s="4"/>
      <c r="AI905" s="4"/>
      <c r="AJ905" s="4"/>
      <c r="AK905" s="4"/>
      <c r="AL905" s="4" t="s">
        <v>174</v>
      </c>
      <c r="AM905" s="4" t="s">
        <v>205</v>
      </c>
    </row>
    <row r="906" customFormat="false" ht="23.85" hidden="false" customHeight="false" outlineLevel="0" collapsed="false">
      <c r="A906" s="4" t="s">
        <v>167</v>
      </c>
      <c r="B906" s="4" t="s">
        <v>1083</v>
      </c>
      <c r="C906" s="4" t="s">
        <v>1083</v>
      </c>
      <c r="D906" s="12" t="n">
        <v>2021</v>
      </c>
      <c r="E906" s="4"/>
      <c r="F906" s="4" t="s">
        <v>169</v>
      </c>
      <c r="G906" s="4" t="s">
        <v>170</v>
      </c>
      <c r="H906" s="4" t="s">
        <v>171</v>
      </c>
      <c r="I906" s="4" t="s">
        <v>172</v>
      </c>
      <c r="J906" s="4" t="s">
        <v>1083</v>
      </c>
      <c r="K906" s="4" t="s">
        <v>99</v>
      </c>
      <c r="L906" s="4" t="s">
        <v>100</v>
      </c>
      <c r="M906" s="4"/>
      <c r="N906" s="4"/>
      <c r="O906" s="4"/>
      <c r="P906" s="4"/>
      <c r="Q906" s="4"/>
      <c r="R906" s="4"/>
      <c r="S906" s="13" t="n">
        <v>0</v>
      </c>
      <c r="T906" s="4" t="s">
        <v>173</v>
      </c>
      <c r="U906" s="14" t="n">
        <f aca="false">IF(OR($S906="",PARAMETROS!$B$4=""),"",$S906*PARAMETROS!$B$4)</f>
        <v>0</v>
      </c>
      <c r="V906" s="13" t="n">
        <v>0</v>
      </c>
      <c r="W906" s="4"/>
      <c r="X906" s="4"/>
      <c r="Y906" s="4"/>
      <c r="Z906" s="4"/>
      <c r="AA906" s="4"/>
      <c r="AB906" s="4"/>
      <c r="AC906" s="4"/>
      <c r="AD906" s="4"/>
      <c r="AE906" s="4"/>
      <c r="AF906" s="4"/>
      <c r="AG906" s="4"/>
      <c r="AH906" s="4"/>
      <c r="AI906" s="4"/>
      <c r="AJ906" s="4"/>
      <c r="AK906" s="4"/>
      <c r="AL906" s="4" t="s">
        <v>174</v>
      </c>
      <c r="AM906" s="4" t="s">
        <v>205</v>
      </c>
    </row>
    <row r="907" customFormat="false" ht="23.85" hidden="false" customHeight="false" outlineLevel="0" collapsed="false">
      <c r="A907" s="4" t="s">
        <v>167</v>
      </c>
      <c r="B907" s="4" t="s">
        <v>1084</v>
      </c>
      <c r="C907" s="4" t="s">
        <v>1084</v>
      </c>
      <c r="D907" s="12" t="n">
        <v>2021</v>
      </c>
      <c r="E907" s="4"/>
      <c r="F907" s="4" t="s">
        <v>169</v>
      </c>
      <c r="G907" s="4" t="s">
        <v>170</v>
      </c>
      <c r="H907" s="4" t="s">
        <v>171</v>
      </c>
      <c r="I907" s="4" t="s">
        <v>172</v>
      </c>
      <c r="J907" s="4" t="s">
        <v>1084</v>
      </c>
      <c r="K907" s="4" t="s">
        <v>99</v>
      </c>
      <c r="L907" s="4" t="s">
        <v>100</v>
      </c>
      <c r="M907" s="4"/>
      <c r="N907" s="4"/>
      <c r="O907" s="4"/>
      <c r="P907" s="4"/>
      <c r="Q907" s="4"/>
      <c r="R907" s="4"/>
      <c r="S907" s="13" t="n">
        <v>2639.72</v>
      </c>
      <c r="T907" s="4" t="s">
        <v>173</v>
      </c>
      <c r="U907" s="14" t="n">
        <f aca="false">IF(OR($S907="",PARAMETROS!$B$4=""),"",$S907*PARAMETROS!$B$4)</f>
        <v>15336.7732</v>
      </c>
      <c r="V907" s="13" t="n">
        <v>0</v>
      </c>
      <c r="W907" s="4"/>
      <c r="X907" s="4"/>
      <c r="Y907" s="4"/>
      <c r="Z907" s="4"/>
      <c r="AA907" s="4"/>
      <c r="AB907" s="4"/>
      <c r="AC907" s="4"/>
      <c r="AD907" s="4"/>
      <c r="AE907" s="4"/>
      <c r="AF907" s="4"/>
      <c r="AG907" s="4"/>
      <c r="AH907" s="4"/>
      <c r="AI907" s="4"/>
      <c r="AJ907" s="4"/>
      <c r="AK907" s="4"/>
      <c r="AL907" s="4" t="s">
        <v>174</v>
      </c>
      <c r="AM907" s="4" t="s">
        <v>205</v>
      </c>
    </row>
    <row r="908" customFormat="false" ht="23.85" hidden="false" customHeight="false" outlineLevel="0" collapsed="false">
      <c r="A908" s="4" t="s">
        <v>167</v>
      </c>
      <c r="B908" s="4" t="s">
        <v>1085</v>
      </c>
      <c r="C908" s="4" t="s">
        <v>1085</v>
      </c>
      <c r="D908" s="12" t="n">
        <v>2021</v>
      </c>
      <c r="E908" s="4"/>
      <c r="F908" s="4" t="s">
        <v>169</v>
      </c>
      <c r="G908" s="4" t="s">
        <v>170</v>
      </c>
      <c r="H908" s="4" t="s">
        <v>171</v>
      </c>
      <c r="I908" s="4" t="s">
        <v>172</v>
      </c>
      <c r="J908" s="4" t="s">
        <v>1085</v>
      </c>
      <c r="K908" s="4" t="s">
        <v>99</v>
      </c>
      <c r="L908" s="4" t="s">
        <v>100</v>
      </c>
      <c r="M908" s="4"/>
      <c r="N908" s="4"/>
      <c r="O908" s="4"/>
      <c r="P908" s="4"/>
      <c r="Q908" s="4"/>
      <c r="R908" s="4"/>
      <c r="S908" s="13" t="n">
        <v>1862.04</v>
      </c>
      <c r="T908" s="4" t="s">
        <v>173</v>
      </c>
      <c r="U908" s="14" t="n">
        <f aca="false">IF(OR($S908="",PARAMETROS!$B$4=""),"",$S908*PARAMETROS!$B$4)</f>
        <v>10818.4524</v>
      </c>
      <c r="V908" s="13" t="n">
        <v>0</v>
      </c>
      <c r="W908" s="4"/>
      <c r="X908" s="4"/>
      <c r="Y908" s="4"/>
      <c r="Z908" s="4"/>
      <c r="AA908" s="4"/>
      <c r="AB908" s="4"/>
      <c r="AC908" s="4"/>
      <c r="AD908" s="4"/>
      <c r="AE908" s="4"/>
      <c r="AF908" s="4"/>
      <c r="AG908" s="4"/>
      <c r="AH908" s="4"/>
      <c r="AI908" s="4"/>
      <c r="AJ908" s="4"/>
      <c r="AK908" s="4"/>
      <c r="AL908" s="4" t="s">
        <v>174</v>
      </c>
      <c r="AM908" s="4" t="s">
        <v>205</v>
      </c>
    </row>
    <row r="909" customFormat="false" ht="23.85" hidden="false" customHeight="false" outlineLevel="0" collapsed="false">
      <c r="A909" s="4" t="s">
        <v>167</v>
      </c>
      <c r="B909" s="4" t="s">
        <v>1086</v>
      </c>
      <c r="C909" s="4" t="s">
        <v>1086</v>
      </c>
      <c r="D909" s="12" t="n">
        <v>2021</v>
      </c>
      <c r="E909" s="4"/>
      <c r="F909" s="4" t="s">
        <v>169</v>
      </c>
      <c r="G909" s="4" t="s">
        <v>170</v>
      </c>
      <c r="H909" s="4" t="s">
        <v>171</v>
      </c>
      <c r="I909" s="4" t="s">
        <v>172</v>
      </c>
      <c r="J909" s="4" t="s">
        <v>1086</v>
      </c>
      <c r="K909" s="4" t="s">
        <v>99</v>
      </c>
      <c r="L909" s="4" t="s">
        <v>100</v>
      </c>
      <c r="M909" s="4"/>
      <c r="N909" s="4"/>
      <c r="O909" s="4"/>
      <c r="P909" s="4"/>
      <c r="Q909" s="4"/>
      <c r="R909" s="4"/>
      <c r="S909" s="13" t="n">
        <v>2784.9</v>
      </c>
      <c r="T909" s="4" t="s">
        <v>173</v>
      </c>
      <c r="U909" s="14" t="n">
        <f aca="false">IF(OR($S909="",PARAMETROS!$B$4=""),"",$S909*PARAMETROS!$B$4)</f>
        <v>16180.269</v>
      </c>
      <c r="V909" s="13" t="n">
        <v>0</v>
      </c>
      <c r="W909" s="4"/>
      <c r="X909" s="4"/>
      <c r="Y909" s="4"/>
      <c r="Z909" s="4"/>
      <c r="AA909" s="4"/>
      <c r="AB909" s="4"/>
      <c r="AC909" s="4"/>
      <c r="AD909" s="4"/>
      <c r="AE909" s="4"/>
      <c r="AF909" s="4"/>
      <c r="AG909" s="4"/>
      <c r="AH909" s="4"/>
      <c r="AI909" s="4"/>
      <c r="AJ909" s="4"/>
      <c r="AK909" s="4"/>
      <c r="AL909" s="4" t="s">
        <v>174</v>
      </c>
      <c r="AM909" s="4" t="s">
        <v>205</v>
      </c>
    </row>
    <row r="910" customFormat="false" ht="23.85" hidden="false" customHeight="false" outlineLevel="0" collapsed="false">
      <c r="A910" s="4" t="s">
        <v>167</v>
      </c>
      <c r="B910" s="4" t="s">
        <v>1087</v>
      </c>
      <c r="C910" s="4" t="s">
        <v>1087</v>
      </c>
      <c r="D910" s="12" t="n">
        <v>2021</v>
      </c>
      <c r="E910" s="4"/>
      <c r="F910" s="4" t="s">
        <v>169</v>
      </c>
      <c r="G910" s="4" t="s">
        <v>170</v>
      </c>
      <c r="H910" s="4" t="s">
        <v>171</v>
      </c>
      <c r="I910" s="4" t="s">
        <v>172</v>
      </c>
      <c r="J910" s="4" t="s">
        <v>1087</v>
      </c>
      <c r="K910" s="4" t="s">
        <v>99</v>
      </c>
      <c r="L910" s="4" t="s">
        <v>100</v>
      </c>
      <c r="M910" s="4"/>
      <c r="N910" s="4"/>
      <c r="O910" s="4"/>
      <c r="P910" s="4"/>
      <c r="Q910" s="4"/>
      <c r="R910" s="4"/>
      <c r="S910" s="13" t="n">
        <v>0</v>
      </c>
      <c r="T910" s="4" t="s">
        <v>173</v>
      </c>
      <c r="U910" s="14" t="n">
        <f aca="false">IF(OR($S910="",PARAMETROS!$B$4=""),"",$S910*PARAMETROS!$B$4)</f>
        <v>0</v>
      </c>
      <c r="V910" s="13" t="n">
        <v>1</v>
      </c>
      <c r="W910" s="4"/>
      <c r="X910" s="4"/>
      <c r="Y910" s="4"/>
      <c r="Z910" s="4"/>
      <c r="AA910" s="4"/>
      <c r="AB910" s="4"/>
      <c r="AC910" s="4"/>
      <c r="AD910" s="4"/>
      <c r="AE910" s="4"/>
      <c r="AF910" s="4"/>
      <c r="AG910" s="4"/>
      <c r="AH910" s="4"/>
      <c r="AI910" s="4"/>
      <c r="AJ910" s="4"/>
      <c r="AK910" s="4"/>
      <c r="AL910" s="4" t="s">
        <v>174</v>
      </c>
      <c r="AM910" s="4" t="s">
        <v>205</v>
      </c>
    </row>
    <row r="911" customFormat="false" ht="23.85" hidden="false" customHeight="false" outlineLevel="0" collapsed="false">
      <c r="A911" s="4" t="s">
        <v>167</v>
      </c>
      <c r="B911" s="4" t="s">
        <v>1088</v>
      </c>
      <c r="C911" s="4" t="s">
        <v>1088</v>
      </c>
      <c r="D911" s="12" t="n">
        <v>2021</v>
      </c>
      <c r="E911" s="4"/>
      <c r="F911" s="4" t="s">
        <v>169</v>
      </c>
      <c r="G911" s="4" t="s">
        <v>170</v>
      </c>
      <c r="H911" s="4" t="s">
        <v>171</v>
      </c>
      <c r="I911" s="4" t="s">
        <v>172</v>
      </c>
      <c r="J911" s="4" t="s">
        <v>1088</v>
      </c>
      <c r="K911" s="4" t="s">
        <v>99</v>
      </c>
      <c r="L911" s="4" t="s">
        <v>100</v>
      </c>
      <c r="M911" s="4"/>
      <c r="N911" s="4"/>
      <c r="O911" s="4"/>
      <c r="P911" s="4"/>
      <c r="Q911" s="4"/>
      <c r="R911" s="4"/>
      <c r="S911" s="13" t="n">
        <v>1060.3</v>
      </c>
      <c r="T911" s="4" t="s">
        <v>173</v>
      </c>
      <c r="U911" s="14" t="n">
        <f aca="false">IF(OR($S911="",PARAMETROS!$B$4=""),"",$S911*PARAMETROS!$B$4)</f>
        <v>6160.343</v>
      </c>
      <c r="V911" s="13" t="n">
        <v>0</v>
      </c>
      <c r="W911" s="4"/>
      <c r="X911" s="4"/>
      <c r="Y911" s="4"/>
      <c r="Z911" s="4"/>
      <c r="AA911" s="4"/>
      <c r="AB911" s="4"/>
      <c r="AC911" s="4"/>
      <c r="AD911" s="4"/>
      <c r="AE911" s="4"/>
      <c r="AF911" s="4"/>
      <c r="AG911" s="4"/>
      <c r="AH911" s="4"/>
      <c r="AI911" s="4"/>
      <c r="AJ911" s="4"/>
      <c r="AK911" s="4"/>
      <c r="AL911" s="4" t="s">
        <v>174</v>
      </c>
      <c r="AM911" s="4" t="s">
        <v>205</v>
      </c>
    </row>
    <row r="912" customFormat="false" ht="23.85" hidden="false" customHeight="false" outlineLevel="0" collapsed="false">
      <c r="A912" s="4" t="s">
        <v>167</v>
      </c>
      <c r="B912" s="4" t="s">
        <v>1089</v>
      </c>
      <c r="C912" s="4" t="s">
        <v>1089</v>
      </c>
      <c r="D912" s="12" t="n">
        <v>2021</v>
      </c>
      <c r="E912" s="4"/>
      <c r="F912" s="4" t="s">
        <v>169</v>
      </c>
      <c r="G912" s="4" t="s">
        <v>170</v>
      </c>
      <c r="H912" s="4" t="s">
        <v>171</v>
      </c>
      <c r="I912" s="4" t="s">
        <v>172</v>
      </c>
      <c r="J912" s="4" t="s">
        <v>1089</v>
      </c>
      <c r="K912" s="4" t="s">
        <v>101</v>
      </c>
      <c r="L912" s="4" t="s">
        <v>102</v>
      </c>
      <c r="M912" s="4"/>
      <c r="N912" s="4"/>
      <c r="O912" s="4"/>
      <c r="P912" s="4"/>
      <c r="Q912" s="4"/>
      <c r="R912" s="4"/>
      <c r="S912" s="13" t="n">
        <v>0</v>
      </c>
      <c r="T912" s="4" t="s">
        <v>173</v>
      </c>
      <c r="U912" s="14" t="n">
        <f aca="false">IF(OR($S912="",PARAMETROS!$B$4=""),"",$S912*PARAMETROS!$B$4)</f>
        <v>0</v>
      </c>
      <c r="V912" s="13" t="n">
        <v>0</v>
      </c>
      <c r="W912" s="4"/>
      <c r="X912" s="4"/>
      <c r="Y912" s="4"/>
      <c r="Z912" s="4"/>
      <c r="AA912" s="4"/>
      <c r="AB912" s="4"/>
      <c r="AC912" s="4"/>
      <c r="AD912" s="4"/>
      <c r="AE912" s="4"/>
      <c r="AF912" s="4"/>
      <c r="AG912" s="4"/>
      <c r="AH912" s="4"/>
      <c r="AI912" s="4"/>
      <c r="AJ912" s="4"/>
      <c r="AK912" s="4"/>
      <c r="AL912" s="4" t="s">
        <v>174</v>
      </c>
      <c r="AM912" s="4" t="s">
        <v>205</v>
      </c>
    </row>
    <row r="913" customFormat="false" ht="23.85" hidden="false" customHeight="false" outlineLevel="0" collapsed="false">
      <c r="A913" s="4" t="s">
        <v>167</v>
      </c>
      <c r="B913" s="4" t="s">
        <v>1090</v>
      </c>
      <c r="C913" s="4" t="s">
        <v>1090</v>
      </c>
      <c r="D913" s="12" t="n">
        <v>2021</v>
      </c>
      <c r="E913" s="4"/>
      <c r="F913" s="4" t="s">
        <v>169</v>
      </c>
      <c r="G913" s="4" t="s">
        <v>170</v>
      </c>
      <c r="H913" s="4" t="s">
        <v>171</v>
      </c>
      <c r="I913" s="4" t="s">
        <v>172</v>
      </c>
      <c r="J913" s="4" t="s">
        <v>1090</v>
      </c>
      <c r="K913" s="4" t="s">
        <v>101</v>
      </c>
      <c r="L913" s="4" t="s">
        <v>102</v>
      </c>
      <c r="M913" s="4"/>
      <c r="N913" s="4"/>
      <c r="O913" s="4"/>
      <c r="P913" s="4"/>
      <c r="Q913" s="4"/>
      <c r="R913" s="4"/>
      <c r="S913" s="13" t="n">
        <v>1602.58</v>
      </c>
      <c r="T913" s="4" t="s">
        <v>173</v>
      </c>
      <c r="U913" s="14" t="n">
        <f aca="false">IF(OR($S913="",PARAMETROS!$B$4=""),"",$S913*PARAMETROS!$B$4)</f>
        <v>9310.9898</v>
      </c>
      <c r="V913" s="13" t="n">
        <v>0</v>
      </c>
      <c r="W913" s="4"/>
      <c r="X913" s="4"/>
      <c r="Y913" s="4"/>
      <c r="Z913" s="4"/>
      <c r="AA913" s="4"/>
      <c r="AB913" s="4"/>
      <c r="AC913" s="4"/>
      <c r="AD913" s="4"/>
      <c r="AE913" s="4"/>
      <c r="AF913" s="4"/>
      <c r="AG913" s="4"/>
      <c r="AH913" s="4"/>
      <c r="AI913" s="4"/>
      <c r="AJ913" s="4"/>
      <c r="AK913" s="4"/>
      <c r="AL913" s="4" t="s">
        <v>174</v>
      </c>
      <c r="AM913" s="4" t="s">
        <v>205</v>
      </c>
    </row>
    <row r="914" customFormat="false" ht="23.85" hidden="false" customHeight="false" outlineLevel="0" collapsed="false">
      <c r="A914" s="4" t="s">
        <v>167</v>
      </c>
      <c r="B914" s="4" t="s">
        <v>1091</v>
      </c>
      <c r="C914" s="4" t="s">
        <v>1091</v>
      </c>
      <c r="D914" s="12" t="n">
        <v>2021</v>
      </c>
      <c r="E914" s="4"/>
      <c r="F914" s="4" t="s">
        <v>169</v>
      </c>
      <c r="G914" s="4" t="s">
        <v>170</v>
      </c>
      <c r="H914" s="4" t="s">
        <v>171</v>
      </c>
      <c r="I914" s="4" t="s">
        <v>172</v>
      </c>
      <c r="J914" s="4" t="s">
        <v>1091</v>
      </c>
      <c r="K914" s="4" t="s">
        <v>101</v>
      </c>
      <c r="L914" s="4" t="s">
        <v>102</v>
      </c>
      <c r="M914" s="4"/>
      <c r="N914" s="4"/>
      <c r="O914" s="4"/>
      <c r="P914" s="4"/>
      <c r="Q914" s="4"/>
      <c r="R914" s="4"/>
      <c r="S914" s="13" t="n">
        <v>0</v>
      </c>
      <c r="T914" s="4" t="s">
        <v>173</v>
      </c>
      <c r="U914" s="14" t="n">
        <f aca="false">IF(OR($S914="",PARAMETROS!$B$4=""),"",$S914*PARAMETROS!$B$4)</f>
        <v>0</v>
      </c>
      <c r="V914" s="13" t="n">
        <v>0</v>
      </c>
      <c r="W914" s="4"/>
      <c r="X914" s="4"/>
      <c r="Y914" s="4"/>
      <c r="Z914" s="4"/>
      <c r="AA914" s="4"/>
      <c r="AB914" s="4"/>
      <c r="AC914" s="4"/>
      <c r="AD914" s="4"/>
      <c r="AE914" s="4"/>
      <c r="AF914" s="4"/>
      <c r="AG914" s="4"/>
      <c r="AH914" s="4"/>
      <c r="AI914" s="4"/>
      <c r="AJ914" s="4"/>
      <c r="AK914" s="4"/>
      <c r="AL914" s="4" t="s">
        <v>174</v>
      </c>
      <c r="AM914" s="4" t="s">
        <v>205</v>
      </c>
    </row>
    <row r="915" customFormat="false" ht="23.85" hidden="false" customHeight="false" outlineLevel="0" collapsed="false">
      <c r="A915" s="4" t="s">
        <v>167</v>
      </c>
      <c r="B915" s="4" t="s">
        <v>1092</v>
      </c>
      <c r="C915" s="4" t="s">
        <v>1092</v>
      </c>
      <c r="D915" s="12" t="n">
        <v>2021</v>
      </c>
      <c r="E915" s="4"/>
      <c r="F915" s="4" t="s">
        <v>169</v>
      </c>
      <c r="G915" s="4" t="s">
        <v>170</v>
      </c>
      <c r="H915" s="4" t="s">
        <v>171</v>
      </c>
      <c r="I915" s="4" t="s">
        <v>172</v>
      </c>
      <c r="J915" s="4" t="s">
        <v>1092</v>
      </c>
      <c r="K915" s="4" t="s">
        <v>101</v>
      </c>
      <c r="L915" s="4" t="s">
        <v>102</v>
      </c>
      <c r="M915" s="4"/>
      <c r="N915" s="4"/>
      <c r="O915" s="4"/>
      <c r="P915" s="4"/>
      <c r="Q915" s="4"/>
      <c r="R915" s="4"/>
      <c r="S915" s="13" t="n">
        <v>50.16</v>
      </c>
      <c r="T915" s="4" t="s">
        <v>173</v>
      </c>
      <c r="U915" s="14" t="n">
        <f aca="false">IF(OR($S915="",PARAMETROS!$B$4=""),"",$S915*PARAMETROS!$B$4)</f>
        <v>291.4296</v>
      </c>
      <c r="V915" s="13" t="n">
        <v>0</v>
      </c>
      <c r="W915" s="4"/>
      <c r="X915" s="4"/>
      <c r="Y915" s="4"/>
      <c r="Z915" s="4"/>
      <c r="AA915" s="4"/>
      <c r="AB915" s="4"/>
      <c r="AC915" s="4"/>
      <c r="AD915" s="4"/>
      <c r="AE915" s="4"/>
      <c r="AF915" s="4"/>
      <c r="AG915" s="4"/>
      <c r="AH915" s="4"/>
      <c r="AI915" s="4"/>
      <c r="AJ915" s="4"/>
      <c r="AK915" s="4"/>
      <c r="AL915" s="4" t="s">
        <v>174</v>
      </c>
      <c r="AM915" s="4" t="s">
        <v>205</v>
      </c>
    </row>
    <row r="916" customFormat="false" ht="23.85" hidden="false" customHeight="false" outlineLevel="0" collapsed="false">
      <c r="A916" s="4" t="s">
        <v>167</v>
      </c>
      <c r="B916" s="4" t="s">
        <v>1093</v>
      </c>
      <c r="C916" s="4" t="s">
        <v>1093</v>
      </c>
      <c r="D916" s="12" t="n">
        <v>2021</v>
      </c>
      <c r="E916" s="4"/>
      <c r="F916" s="4" t="s">
        <v>169</v>
      </c>
      <c r="G916" s="4" t="s">
        <v>170</v>
      </c>
      <c r="H916" s="4" t="s">
        <v>171</v>
      </c>
      <c r="I916" s="4" t="s">
        <v>172</v>
      </c>
      <c r="J916" s="4" t="s">
        <v>1093</v>
      </c>
      <c r="K916" s="4" t="s">
        <v>101</v>
      </c>
      <c r="L916" s="4" t="s">
        <v>102</v>
      </c>
      <c r="M916" s="4"/>
      <c r="N916" s="4"/>
      <c r="O916" s="4"/>
      <c r="P916" s="4"/>
      <c r="Q916" s="4"/>
      <c r="R916" s="4"/>
      <c r="S916" s="13" t="n">
        <v>0</v>
      </c>
      <c r="T916" s="4" t="s">
        <v>173</v>
      </c>
      <c r="U916" s="14" t="n">
        <f aca="false">IF(OR($S916="",PARAMETROS!$B$4=""),"",$S916*PARAMETROS!$B$4)</f>
        <v>0</v>
      </c>
      <c r="V916" s="13" t="n">
        <v>0</v>
      </c>
      <c r="W916" s="4"/>
      <c r="X916" s="4"/>
      <c r="Y916" s="4"/>
      <c r="Z916" s="4"/>
      <c r="AA916" s="4"/>
      <c r="AB916" s="4"/>
      <c r="AC916" s="4"/>
      <c r="AD916" s="4"/>
      <c r="AE916" s="4"/>
      <c r="AF916" s="4"/>
      <c r="AG916" s="4"/>
      <c r="AH916" s="4"/>
      <c r="AI916" s="4"/>
      <c r="AJ916" s="4"/>
      <c r="AK916" s="4"/>
      <c r="AL916" s="4" t="s">
        <v>174</v>
      </c>
      <c r="AM916" s="4" t="s">
        <v>205</v>
      </c>
    </row>
    <row r="917" customFormat="false" ht="23.85" hidden="false" customHeight="false" outlineLevel="0" collapsed="false">
      <c r="A917" s="4" t="s">
        <v>167</v>
      </c>
      <c r="B917" s="4" t="s">
        <v>1094</v>
      </c>
      <c r="C917" s="4" t="s">
        <v>1094</v>
      </c>
      <c r="D917" s="12" t="n">
        <v>2021</v>
      </c>
      <c r="E917" s="4"/>
      <c r="F917" s="4" t="s">
        <v>169</v>
      </c>
      <c r="G917" s="4" t="s">
        <v>170</v>
      </c>
      <c r="H917" s="4" t="s">
        <v>171</v>
      </c>
      <c r="I917" s="4" t="s">
        <v>172</v>
      </c>
      <c r="J917" s="4" t="s">
        <v>1094</v>
      </c>
      <c r="K917" s="4" t="s">
        <v>101</v>
      </c>
      <c r="L917" s="4" t="s">
        <v>102</v>
      </c>
      <c r="M917" s="4"/>
      <c r="N917" s="4"/>
      <c r="O917" s="4"/>
      <c r="P917" s="4"/>
      <c r="Q917" s="4"/>
      <c r="R917" s="4"/>
      <c r="S917" s="13" t="n">
        <v>-403.52</v>
      </c>
      <c r="T917" s="4" t="s">
        <v>173</v>
      </c>
      <c r="U917" s="14" t="n">
        <f aca="false">IF(OR($S917="",PARAMETROS!$B$4=""),"",$S917*PARAMETROS!$B$4)</f>
        <v>-2344.4512</v>
      </c>
      <c r="V917" s="13" t="n">
        <v>0</v>
      </c>
      <c r="W917" s="4"/>
      <c r="X917" s="4"/>
      <c r="Y917" s="4"/>
      <c r="Z917" s="4"/>
      <c r="AA917" s="4"/>
      <c r="AB917" s="4"/>
      <c r="AC917" s="4"/>
      <c r="AD917" s="4"/>
      <c r="AE917" s="4"/>
      <c r="AF917" s="4"/>
      <c r="AG917" s="4"/>
      <c r="AH917" s="4"/>
      <c r="AI917" s="4"/>
      <c r="AJ917" s="4"/>
      <c r="AK917" s="4"/>
      <c r="AL917" s="4" t="s">
        <v>174</v>
      </c>
      <c r="AM917" s="4" t="s">
        <v>205</v>
      </c>
    </row>
    <row r="918" customFormat="false" ht="23.85" hidden="false" customHeight="false" outlineLevel="0" collapsed="false">
      <c r="A918" s="4" t="s">
        <v>167</v>
      </c>
      <c r="B918" s="4" t="s">
        <v>1095</v>
      </c>
      <c r="C918" s="4" t="s">
        <v>1095</v>
      </c>
      <c r="D918" s="12" t="n">
        <v>2021</v>
      </c>
      <c r="E918" s="4"/>
      <c r="F918" s="4" t="s">
        <v>169</v>
      </c>
      <c r="G918" s="4" t="s">
        <v>170</v>
      </c>
      <c r="H918" s="4" t="s">
        <v>171</v>
      </c>
      <c r="I918" s="4" t="s">
        <v>172</v>
      </c>
      <c r="J918" s="4" t="s">
        <v>1095</v>
      </c>
      <c r="K918" s="4" t="s">
        <v>101</v>
      </c>
      <c r="L918" s="4" t="s">
        <v>102</v>
      </c>
      <c r="M918" s="4"/>
      <c r="N918" s="4"/>
      <c r="O918" s="4"/>
      <c r="P918" s="4"/>
      <c r="Q918" s="4"/>
      <c r="R918" s="4"/>
      <c r="S918" s="13" t="n">
        <v>-11.54</v>
      </c>
      <c r="T918" s="4" t="s">
        <v>173</v>
      </c>
      <c r="U918" s="14" t="n">
        <f aca="false">IF(OR($S918="",PARAMETROS!$B$4=""),"",$S918*PARAMETROS!$B$4)</f>
        <v>-67.0474</v>
      </c>
      <c r="V918" s="13" t="n">
        <v>0</v>
      </c>
      <c r="W918" s="4"/>
      <c r="X918" s="4"/>
      <c r="Y918" s="4"/>
      <c r="Z918" s="4"/>
      <c r="AA918" s="4"/>
      <c r="AB918" s="4"/>
      <c r="AC918" s="4"/>
      <c r="AD918" s="4"/>
      <c r="AE918" s="4"/>
      <c r="AF918" s="4"/>
      <c r="AG918" s="4"/>
      <c r="AH918" s="4"/>
      <c r="AI918" s="4"/>
      <c r="AJ918" s="4"/>
      <c r="AK918" s="4"/>
      <c r="AL918" s="4" t="s">
        <v>174</v>
      </c>
      <c r="AM918" s="4" t="s">
        <v>205</v>
      </c>
    </row>
    <row r="919" customFormat="false" ht="23.85" hidden="false" customHeight="false" outlineLevel="0" collapsed="false">
      <c r="A919" s="4" t="s">
        <v>167</v>
      </c>
      <c r="B919" s="4" t="s">
        <v>1096</v>
      </c>
      <c r="C919" s="4" t="s">
        <v>1096</v>
      </c>
      <c r="D919" s="12" t="n">
        <v>2021</v>
      </c>
      <c r="E919" s="4"/>
      <c r="F919" s="4" t="s">
        <v>169</v>
      </c>
      <c r="G919" s="4" t="s">
        <v>170</v>
      </c>
      <c r="H919" s="4" t="s">
        <v>171</v>
      </c>
      <c r="I919" s="4" t="s">
        <v>172</v>
      </c>
      <c r="J919" s="4" t="s">
        <v>1096</v>
      </c>
      <c r="K919" s="4" t="s">
        <v>101</v>
      </c>
      <c r="L919" s="4" t="s">
        <v>102</v>
      </c>
      <c r="M919" s="4"/>
      <c r="N919" s="4"/>
      <c r="O919" s="4"/>
      <c r="P919" s="4"/>
      <c r="Q919" s="4"/>
      <c r="R919" s="4"/>
      <c r="S919" s="13" t="n">
        <v>0</v>
      </c>
      <c r="T919" s="4" t="s">
        <v>173</v>
      </c>
      <c r="U919" s="14" t="n">
        <f aca="false">IF(OR($S919="",PARAMETROS!$B$4=""),"",$S919*PARAMETROS!$B$4)</f>
        <v>0</v>
      </c>
      <c r="V919" s="13" t="n">
        <v>0</v>
      </c>
      <c r="W919" s="4"/>
      <c r="X919" s="4"/>
      <c r="Y919" s="4"/>
      <c r="Z919" s="4"/>
      <c r="AA919" s="4"/>
      <c r="AB919" s="4"/>
      <c r="AC919" s="4"/>
      <c r="AD919" s="4"/>
      <c r="AE919" s="4"/>
      <c r="AF919" s="4"/>
      <c r="AG919" s="4"/>
      <c r="AH919" s="4"/>
      <c r="AI919" s="4"/>
      <c r="AJ919" s="4"/>
      <c r="AK919" s="4"/>
      <c r="AL919" s="4" t="s">
        <v>174</v>
      </c>
      <c r="AM919" s="4" t="s">
        <v>205</v>
      </c>
    </row>
    <row r="920" customFormat="false" ht="23.85" hidden="false" customHeight="false" outlineLevel="0" collapsed="false">
      <c r="A920" s="4" t="s">
        <v>167</v>
      </c>
      <c r="B920" s="4" t="s">
        <v>1097</v>
      </c>
      <c r="C920" s="4" t="s">
        <v>1097</v>
      </c>
      <c r="D920" s="12" t="n">
        <v>2021</v>
      </c>
      <c r="E920" s="4"/>
      <c r="F920" s="4" t="s">
        <v>169</v>
      </c>
      <c r="G920" s="4" t="s">
        <v>170</v>
      </c>
      <c r="H920" s="4" t="s">
        <v>171</v>
      </c>
      <c r="I920" s="4" t="s">
        <v>172</v>
      </c>
      <c r="J920" s="4" t="s">
        <v>1097</v>
      </c>
      <c r="K920" s="4" t="s">
        <v>101</v>
      </c>
      <c r="L920" s="4" t="s">
        <v>102</v>
      </c>
      <c r="M920" s="4"/>
      <c r="N920" s="4"/>
      <c r="O920" s="4"/>
      <c r="P920" s="4"/>
      <c r="Q920" s="4"/>
      <c r="R920" s="4"/>
      <c r="S920" s="13" t="n">
        <v>0</v>
      </c>
      <c r="T920" s="4" t="s">
        <v>173</v>
      </c>
      <c r="U920" s="14" t="n">
        <f aca="false">IF(OR($S920="",PARAMETROS!$B$4=""),"",$S920*PARAMETROS!$B$4)</f>
        <v>0</v>
      </c>
      <c r="V920" s="13" t="n">
        <v>0</v>
      </c>
      <c r="W920" s="4"/>
      <c r="X920" s="4"/>
      <c r="Y920" s="4"/>
      <c r="Z920" s="4"/>
      <c r="AA920" s="4"/>
      <c r="AB920" s="4"/>
      <c r="AC920" s="4"/>
      <c r="AD920" s="4"/>
      <c r="AE920" s="4"/>
      <c r="AF920" s="4"/>
      <c r="AG920" s="4"/>
      <c r="AH920" s="4"/>
      <c r="AI920" s="4"/>
      <c r="AJ920" s="4"/>
      <c r="AK920" s="4"/>
      <c r="AL920" s="4" t="s">
        <v>174</v>
      </c>
      <c r="AM920" s="4" t="s">
        <v>205</v>
      </c>
    </row>
    <row r="921" customFormat="false" ht="23.85" hidden="false" customHeight="false" outlineLevel="0" collapsed="false">
      <c r="A921" s="4" t="s">
        <v>167</v>
      </c>
      <c r="B921" s="4" t="s">
        <v>1098</v>
      </c>
      <c r="C921" s="4" t="s">
        <v>1098</v>
      </c>
      <c r="D921" s="12" t="n">
        <v>2021</v>
      </c>
      <c r="E921" s="4"/>
      <c r="F921" s="4" t="s">
        <v>169</v>
      </c>
      <c r="G921" s="4" t="s">
        <v>170</v>
      </c>
      <c r="H921" s="4" t="s">
        <v>171</v>
      </c>
      <c r="I921" s="4" t="s">
        <v>172</v>
      </c>
      <c r="J921" s="4" t="s">
        <v>1098</v>
      </c>
      <c r="K921" s="4" t="s">
        <v>101</v>
      </c>
      <c r="L921" s="4" t="s">
        <v>102</v>
      </c>
      <c r="M921" s="4"/>
      <c r="N921" s="4"/>
      <c r="O921" s="4"/>
      <c r="P921" s="4"/>
      <c r="Q921" s="4"/>
      <c r="R921" s="4"/>
      <c r="S921" s="13" t="n">
        <v>0</v>
      </c>
      <c r="T921" s="4" t="s">
        <v>173</v>
      </c>
      <c r="U921" s="14" t="n">
        <f aca="false">IF(OR($S921="",PARAMETROS!$B$4=""),"",$S921*PARAMETROS!$B$4)</f>
        <v>0</v>
      </c>
      <c r="V921" s="13" t="n">
        <v>0</v>
      </c>
      <c r="W921" s="4"/>
      <c r="X921" s="4"/>
      <c r="Y921" s="4"/>
      <c r="Z921" s="4"/>
      <c r="AA921" s="4"/>
      <c r="AB921" s="4"/>
      <c r="AC921" s="4"/>
      <c r="AD921" s="4"/>
      <c r="AE921" s="4"/>
      <c r="AF921" s="4"/>
      <c r="AG921" s="4"/>
      <c r="AH921" s="4"/>
      <c r="AI921" s="4"/>
      <c r="AJ921" s="4"/>
      <c r="AK921" s="4"/>
      <c r="AL921" s="4" t="s">
        <v>174</v>
      </c>
      <c r="AM921" s="4" t="s">
        <v>205</v>
      </c>
    </row>
    <row r="922" customFormat="false" ht="23.85" hidden="false" customHeight="false" outlineLevel="0" collapsed="false">
      <c r="A922" s="4" t="s">
        <v>167</v>
      </c>
      <c r="B922" s="4" t="s">
        <v>1099</v>
      </c>
      <c r="C922" s="4" t="s">
        <v>1099</v>
      </c>
      <c r="D922" s="12" t="n">
        <v>2021</v>
      </c>
      <c r="E922" s="4"/>
      <c r="F922" s="4" t="s">
        <v>169</v>
      </c>
      <c r="G922" s="4" t="s">
        <v>170</v>
      </c>
      <c r="H922" s="4" t="s">
        <v>171</v>
      </c>
      <c r="I922" s="4" t="s">
        <v>172</v>
      </c>
      <c r="J922" s="4" t="s">
        <v>1099</v>
      </c>
      <c r="K922" s="4" t="s">
        <v>101</v>
      </c>
      <c r="L922" s="4" t="s">
        <v>102</v>
      </c>
      <c r="M922" s="4"/>
      <c r="N922" s="4"/>
      <c r="O922" s="4"/>
      <c r="P922" s="4"/>
      <c r="Q922" s="4"/>
      <c r="R922" s="4"/>
      <c r="S922" s="13" t="n">
        <v>0</v>
      </c>
      <c r="T922" s="4" t="s">
        <v>173</v>
      </c>
      <c r="U922" s="14" t="n">
        <f aca="false">IF(OR($S922="",PARAMETROS!$B$4=""),"",$S922*PARAMETROS!$B$4)</f>
        <v>0</v>
      </c>
      <c r="V922" s="13" t="n">
        <v>0</v>
      </c>
      <c r="W922" s="4"/>
      <c r="X922" s="4"/>
      <c r="Y922" s="4"/>
      <c r="Z922" s="4"/>
      <c r="AA922" s="4"/>
      <c r="AB922" s="4"/>
      <c r="AC922" s="4"/>
      <c r="AD922" s="4"/>
      <c r="AE922" s="4"/>
      <c r="AF922" s="4"/>
      <c r="AG922" s="4"/>
      <c r="AH922" s="4"/>
      <c r="AI922" s="4"/>
      <c r="AJ922" s="4"/>
      <c r="AK922" s="4"/>
      <c r="AL922" s="4" t="s">
        <v>174</v>
      </c>
      <c r="AM922" s="4" t="s">
        <v>205</v>
      </c>
    </row>
    <row r="923" customFormat="false" ht="23.85" hidden="false" customHeight="false" outlineLevel="0" collapsed="false">
      <c r="A923" s="4" t="s">
        <v>167</v>
      </c>
      <c r="B923" s="4" t="s">
        <v>1100</v>
      </c>
      <c r="C923" s="4" t="s">
        <v>1100</v>
      </c>
      <c r="D923" s="12" t="n">
        <v>2021</v>
      </c>
      <c r="E923" s="4"/>
      <c r="F923" s="4" t="s">
        <v>169</v>
      </c>
      <c r="G923" s="4" t="s">
        <v>170</v>
      </c>
      <c r="H923" s="4" t="s">
        <v>171</v>
      </c>
      <c r="I923" s="4" t="s">
        <v>172</v>
      </c>
      <c r="J923" s="4" t="s">
        <v>1100</v>
      </c>
      <c r="K923" s="4" t="s">
        <v>101</v>
      </c>
      <c r="L923" s="4" t="s">
        <v>102</v>
      </c>
      <c r="M923" s="4"/>
      <c r="N923" s="4"/>
      <c r="O923" s="4"/>
      <c r="P923" s="4"/>
      <c r="Q923" s="4"/>
      <c r="R923" s="4"/>
      <c r="S923" s="13" t="n">
        <v>1237.67</v>
      </c>
      <c r="T923" s="4" t="s">
        <v>173</v>
      </c>
      <c r="U923" s="14" t="n">
        <f aca="false">IF(OR($S923="",PARAMETROS!$B$4=""),"",$S923*PARAMETROS!$B$4)</f>
        <v>7190.8627</v>
      </c>
      <c r="V923" s="13" t="n">
        <v>0</v>
      </c>
      <c r="W923" s="4"/>
      <c r="X923" s="4"/>
      <c r="Y923" s="4"/>
      <c r="Z923" s="4"/>
      <c r="AA923" s="4"/>
      <c r="AB923" s="4"/>
      <c r="AC923" s="4"/>
      <c r="AD923" s="4"/>
      <c r="AE923" s="4"/>
      <c r="AF923" s="4"/>
      <c r="AG923" s="4"/>
      <c r="AH923" s="4"/>
      <c r="AI923" s="4"/>
      <c r="AJ923" s="4"/>
      <c r="AK923" s="4"/>
      <c r="AL923" s="4" t="s">
        <v>174</v>
      </c>
      <c r="AM923" s="4" t="s">
        <v>205</v>
      </c>
    </row>
    <row r="924" customFormat="false" ht="23.85" hidden="false" customHeight="false" outlineLevel="0" collapsed="false">
      <c r="A924" s="4" t="s">
        <v>167</v>
      </c>
      <c r="B924" s="4" t="s">
        <v>1101</v>
      </c>
      <c r="C924" s="4" t="s">
        <v>1101</v>
      </c>
      <c r="D924" s="12" t="n">
        <v>2021</v>
      </c>
      <c r="E924" s="4"/>
      <c r="F924" s="4" t="s">
        <v>169</v>
      </c>
      <c r="G924" s="4" t="s">
        <v>170</v>
      </c>
      <c r="H924" s="4" t="s">
        <v>171</v>
      </c>
      <c r="I924" s="4" t="s">
        <v>172</v>
      </c>
      <c r="J924" s="4" t="s">
        <v>1101</v>
      </c>
      <c r="K924" s="4" t="s">
        <v>101</v>
      </c>
      <c r="L924" s="4" t="s">
        <v>102</v>
      </c>
      <c r="M924" s="4"/>
      <c r="N924" s="4"/>
      <c r="O924" s="4"/>
      <c r="P924" s="4"/>
      <c r="Q924" s="4"/>
      <c r="R924" s="4"/>
      <c r="S924" s="13" t="n">
        <v>0</v>
      </c>
      <c r="T924" s="4" t="s">
        <v>173</v>
      </c>
      <c r="U924" s="14" t="n">
        <f aca="false">IF(OR($S924="",PARAMETROS!$B$4=""),"",$S924*PARAMETROS!$B$4)</f>
        <v>0</v>
      </c>
      <c r="V924" s="13" t="n">
        <v>1</v>
      </c>
      <c r="W924" s="4"/>
      <c r="X924" s="4"/>
      <c r="Y924" s="4"/>
      <c r="Z924" s="4"/>
      <c r="AA924" s="4"/>
      <c r="AB924" s="4"/>
      <c r="AC924" s="4"/>
      <c r="AD924" s="4"/>
      <c r="AE924" s="4"/>
      <c r="AF924" s="4"/>
      <c r="AG924" s="4"/>
      <c r="AH924" s="4"/>
      <c r="AI924" s="4"/>
      <c r="AJ924" s="4"/>
      <c r="AK924" s="4"/>
      <c r="AL924" s="4" t="s">
        <v>174</v>
      </c>
      <c r="AM924" s="4" t="s">
        <v>205</v>
      </c>
    </row>
    <row r="925" customFormat="false" ht="23.85" hidden="false" customHeight="false" outlineLevel="0" collapsed="false">
      <c r="A925" s="4" t="s">
        <v>167</v>
      </c>
      <c r="B925" s="4" t="s">
        <v>1102</v>
      </c>
      <c r="C925" s="4" t="s">
        <v>1102</v>
      </c>
      <c r="D925" s="12" t="n">
        <v>2021</v>
      </c>
      <c r="E925" s="4"/>
      <c r="F925" s="4" t="s">
        <v>169</v>
      </c>
      <c r="G925" s="4" t="s">
        <v>170</v>
      </c>
      <c r="H925" s="4" t="s">
        <v>171</v>
      </c>
      <c r="I925" s="4" t="s">
        <v>172</v>
      </c>
      <c r="J925" s="4" t="s">
        <v>1102</v>
      </c>
      <c r="K925" s="4" t="s">
        <v>101</v>
      </c>
      <c r="L925" s="4" t="s">
        <v>102</v>
      </c>
      <c r="M925" s="4"/>
      <c r="N925" s="4"/>
      <c r="O925" s="4"/>
      <c r="P925" s="4"/>
      <c r="Q925" s="4"/>
      <c r="R925" s="4"/>
      <c r="S925" s="13" t="n">
        <v>0</v>
      </c>
      <c r="T925" s="4" t="s">
        <v>173</v>
      </c>
      <c r="U925" s="14" t="n">
        <f aca="false">IF(OR($S925="",PARAMETROS!$B$4=""),"",$S925*PARAMETROS!$B$4)</f>
        <v>0</v>
      </c>
      <c r="V925" s="13" t="n">
        <v>0</v>
      </c>
      <c r="W925" s="4"/>
      <c r="X925" s="4"/>
      <c r="Y925" s="4"/>
      <c r="Z925" s="4"/>
      <c r="AA925" s="4"/>
      <c r="AB925" s="4"/>
      <c r="AC925" s="4"/>
      <c r="AD925" s="4"/>
      <c r="AE925" s="4"/>
      <c r="AF925" s="4"/>
      <c r="AG925" s="4"/>
      <c r="AH925" s="4"/>
      <c r="AI925" s="4"/>
      <c r="AJ925" s="4"/>
      <c r="AK925" s="4"/>
      <c r="AL925" s="4" t="s">
        <v>174</v>
      </c>
      <c r="AM925" s="4" t="s">
        <v>205</v>
      </c>
    </row>
    <row r="926" customFormat="false" ht="23.85" hidden="false" customHeight="false" outlineLevel="0" collapsed="false">
      <c r="A926" s="4" t="s">
        <v>167</v>
      </c>
      <c r="B926" s="4" t="s">
        <v>1103</v>
      </c>
      <c r="C926" s="4" t="s">
        <v>1103</v>
      </c>
      <c r="D926" s="12" t="n">
        <v>2021</v>
      </c>
      <c r="E926" s="4"/>
      <c r="F926" s="4" t="s">
        <v>169</v>
      </c>
      <c r="G926" s="4" t="s">
        <v>170</v>
      </c>
      <c r="H926" s="4" t="s">
        <v>171</v>
      </c>
      <c r="I926" s="4" t="s">
        <v>172</v>
      </c>
      <c r="J926" s="4" t="s">
        <v>1103</v>
      </c>
      <c r="K926" s="4" t="s">
        <v>103</v>
      </c>
      <c r="L926" s="4" t="s">
        <v>104</v>
      </c>
      <c r="M926" s="4"/>
      <c r="N926" s="4"/>
      <c r="O926" s="4"/>
      <c r="P926" s="4"/>
      <c r="Q926" s="4"/>
      <c r="R926" s="4"/>
      <c r="S926" s="13" t="n">
        <v>0</v>
      </c>
      <c r="T926" s="4" t="s">
        <v>173</v>
      </c>
      <c r="U926" s="14" t="n">
        <f aca="false">IF(OR($S926="",PARAMETROS!$B$4=""),"",$S926*PARAMETROS!$B$4)</f>
        <v>0</v>
      </c>
      <c r="V926" s="13" t="n">
        <v>0</v>
      </c>
      <c r="W926" s="4"/>
      <c r="X926" s="4"/>
      <c r="Y926" s="4"/>
      <c r="Z926" s="4"/>
      <c r="AA926" s="4"/>
      <c r="AB926" s="4"/>
      <c r="AC926" s="4"/>
      <c r="AD926" s="4"/>
      <c r="AE926" s="4"/>
      <c r="AF926" s="4"/>
      <c r="AG926" s="4"/>
      <c r="AH926" s="4"/>
      <c r="AI926" s="4"/>
      <c r="AJ926" s="4"/>
      <c r="AK926" s="4"/>
      <c r="AL926" s="4" t="s">
        <v>174</v>
      </c>
      <c r="AM926" s="4" t="s">
        <v>205</v>
      </c>
    </row>
    <row r="927" customFormat="false" ht="23.85" hidden="false" customHeight="false" outlineLevel="0" collapsed="false">
      <c r="A927" s="4" t="s">
        <v>167</v>
      </c>
      <c r="B927" s="4" t="s">
        <v>1104</v>
      </c>
      <c r="C927" s="4" t="s">
        <v>1104</v>
      </c>
      <c r="D927" s="12" t="n">
        <v>2021</v>
      </c>
      <c r="E927" s="4"/>
      <c r="F927" s="4" t="s">
        <v>169</v>
      </c>
      <c r="G927" s="4" t="s">
        <v>170</v>
      </c>
      <c r="H927" s="4" t="s">
        <v>171</v>
      </c>
      <c r="I927" s="4" t="s">
        <v>172</v>
      </c>
      <c r="J927" s="4" t="s">
        <v>1104</v>
      </c>
      <c r="K927" s="4" t="s">
        <v>103</v>
      </c>
      <c r="L927" s="4" t="s">
        <v>104</v>
      </c>
      <c r="M927" s="4"/>
      <c r="N927" s="4"/>
      <c r="O927" s="4"/>
      <c r="P927" s="4"/>
      <c r="Q927" s="4"/>
      <c r="R927" s="4"/>
      <c r="S927" s="13" t="n">
        <v>15346.16</v>
      </c>
      <c r="T927" s="4" t="s">
        <v>173</v>
      </c>
      <c r="U927" s="14" t="n">
        <f aca="false">IF(OR($S927="",PARAMETROS!$B$4=""),"",$S927*PARAMETROS!$B$4)</f>
        <v>89161.1896</v>
      </c>
      <c r="V927" s="13" t="n">
        <v>0</v>
      </c>
      <c r="W927" s="4"/>
      <c r="X927" s="4"/>
      <c r="Y927" s="4"/>
      <c r="Z927" s="4"/>
      <c r="AA927" s="4"/>
      <c r="AB927" s="4"/>
      <c r="AC927" s="4"/>
      <c r="AD927" s="4"/>
      <c r="AE927" s="4"/>
      <c r="AF927" s="4"/>
      <c r="AG927" s="4"/>
      <c r="AH927" s="4"/>
      <c r="AI927" s="4"/>
      <c r="AJ927" s="4"/>
      <c r="AK927" s="4"/>
      <c r="AL927" s="4" t="s">
        <v>174</v>
      </c>
      <c r="AM927" s="4" t="s">
        <v>205</v>
      </c>
    </row>
    <row r="928" customFormat="false" ht="23.85" hidden="false" customHeight="false" outlineLevel="0" collapsed="false">
      <c r="A928" s="4" t="s">
        <v>167</v>
      </c>
      <c r="B928" s="4" t="s">
        <v>1105</v>
      </c>
      <c r="C928" s="4" t="s">
        <v>1105</v>
      </c>
      <c r="D928" s="12" t="n">
        <v>2021</v>
      </c>
      <c r="E928" s="4"/>
      <c r="F928" s="4" t="s">
        <v>169</v>
      </c>
      <c r="G928" s="4" t="s">
        <v>170</v>
      </c>
      <c r="H928" s="4" t="s">
        <v>171</v>
      </c>
      <c r="I928" s="4" t="s">
        <v>172</v>
      </c>
      <c r="J928" s="4" t="s">
        <v>1105</v>
      </c>
      <c r="K928" s="4" t="s">
        <v>103</v>
      </c>
      <c r="L928" s="4" t="s">
        <v>104</v>
      </c>
      <c r="M928" s="4"/>
      <c r="N928" s="4"/>
      <c r="O928" s="4"/>
      <c r="P928" s="4"/>
      <c r="Q928" s="4"/>
      <c r="R928" s="4"/>
      <c r="S928" s="13" t="n">
        <v>524.21</v>
      </c>
      <c r="T928" s="4" t="s">
        <v>173</v>
      </c>
      <c r="U928" s="14" t="n">
        <f aca="false">IF(OR($S928="",PARAMETROS!$B$4=""),"",$S928*PARAMETROS!$B$4)</f>
        <v>3045.6601</v>
      </c>
      <c r="V928" s="13" t="n">
        <v>0</v>
      </c>
      <c r="W928" s="4"/>
      <c r="X928" s="4"/>
      <c r="Y928" s="4"/>
      <c r="Z928" s="4"/>
      <c r="AA928" s="4"/>
      <c r="AB928" s="4"/>
      <c r="AC928" s="4"/>
      <c r="AD928" s="4"/>
      <c r="AE928" s="4"/>
      <c r="AF928" s="4"/>
      <c r="AG928" s="4"/>
      <c r="AH928" s="4"/>
      <c r="AI928" s="4"/>
      <c r="AJ928" s="4"/>
      <c r="AK928" s="4"/>
      <c r="AL928" s="4" t="s">
        <v>174</v>
      </c>
      <c r="AM928" s="4" t="s">
        <v>205</v>
      </c>
    </row>
    <row r="929" customFormat="false" ht="23.85" hidden="false" customHeight="false" outlineLevel="0" collapsed="false">
      <c r="A929" s="4" t="s">
        <v>167</v>
      </c>
      <c r="B929" s="4" t="s">
        <v>1106</v>
      </c>
      <c r="C929" s="4" t="s">
        <v>1106</v>
      </c>
      <c r="D929" s="12" t="n">
        <v>2021</v>
      </c>
      <c r="E929" s="4"/>
      <c r="F929" s="4" t="s">
        <v>169</v>
      </c>
      <c r="G929" s="4" t="s">
        <v>170</v>
      </c>
      <c r="H929" s="4" t="s">
        <v>171</v>
      </c>
      <c r="I929" s="4" t="s">
        <v>172</v>
      </c>
      <c r="J929" s="4" t="s">
        <v>1106</v>
      </c>
      <c r="K929" s="4" t="s">
        <v>103</v>
      </c>
      <c r="L929" s="4" t="s">
        <v>104</v>
      </c>
      <c r="M929" s="4"/>
      <c r="N929" s="4"/>
      <c r="O929" s="4"/>
      <c r="P929" s="4"/>
      <c r="Q929" s="4"/>
      <c r="R929" s="4"/>
      <c r="S929" s="13" t="n">
        <v>-278.71</v>
      </c>
      <c r="T929" s="4" t="s">
        <v>173</v>
      </c>
      <c r="U929" s="14" t="n">
        <f aca="false">IF(OR($S929="",PARAMETROS!$B$4=""),"",$S929*PARAMETROS!$B$4)</f>
        <v>-1619.3051</v>
      </c>
      <c r="V929" s="13" t="n">
        <v>0</v>
      </c>
      <c r="W929" s="4"/>
      <c r="X929" s="4"/>
      <c r="Y929" s="4"/>
      <c r="Z929" s="4"/>
      <c r="AA929" s="4"/>
      <c r="AB929" s="4"/>
      <c r="AC929" s="4"/>
      <c r="AD929" s="4"/>
      <c r="AE929" s="4"/>
      <c r="AF929" s="4"/>
      <c r="AG929" s="4"/>
      <c r="AH929" s="4"/>
      <c r="AI929" s="4"/>
      <c r="AJ929" s="4"/>
      <c r="AK929" s="4"/>
      <c r="AL929" s="4" t="s">
        <v>174</v>
      </c>
      <c r="AM929" s="4" t="s">
        <v>205</v>
      </c>
    </row>
    <row r="930" customFormat="false" ht="23.85" hidden="false" customHeight="false" outlineLevel="0" collapsed="false">
      <c r="A930" s="4" t="s">
        <v>167</v>
      </c>
      <c r="B930" s="4" t="s">
        <v>1107</v>
      </c>
      <c r="C930" s="4" t="s">
        <v>1107</v>
      </c>
      <c r="D930" s="12" t="n">
        <v>2021</v>
      </c>
      <c r="E930" s="4"/>
      <c r="F930" s="4" t="s">
        <v>169</v>
      </c>
      <c r="G930" s="4" t="s">
        <v>170</v>
      </c>
      <c r="H930" s="4" t="s">
        <v>171</v>
      </c>
      <c r="I930" s="4" t="s">
        <v>172</v>
      </c>
      <c r="J930" s="4" t="s">
        <v>1107</v>
      </c>
      <c r="K930" s="4" t="s">
        <v>103</v>
      </c>
      <c r="L930" s="4" t="s">
        <v>104</v>
      </c>
      <c r="M930" s="4"/>
      <c r="N930" s="4"/>
      <c r="O930" s="4"/>
      <c r="P930" s="4"/>
      <c r="Q930" s="4"/>
      <c r="R930" s="4"/>
      <c r="S930" s="13" t="n">
        <v>0</v>
      </c>
      <c r="T930" s="4" t="s">
        <v>173</v>
      </c>
      <c r="U930" s="14" t="n">
        <f aca="false">IF(OR($S930="",PARAMETROS!$B$4=""),"",$S930*PARAMETROS!$B$4)</f>
        <v>0</v>
      </c>
      <c r="V930" s="13" t="n">
        <v>0</v>
      </c>
      <c r="W930" s="4"/>
      <c r="X930" s="4"/>
      <c r="Y930" s="4"/>
      <c r="Z930" s="4"/>
      <c r="AA930" s="4"/>
      <c r="AB930" s="4"/>
      <c r="AC930" s="4"/>
      <c r="AD930" s="4"/>
      <c r="AE930" s="4"/>
      <c r="AF930" s="4"/>
      <c r="AG930" s="4"/>
      <c r="AH930" s="4"/>
      <c r="AI930" s="4"/>
      <c r="AJ930" s="4"/>
      <c r="AK930" s="4"/>
      <c r="AL930" s="4" t="s">
        <v>174</v>
      </c>
      <c r="AM930" s="4" t="s">
        <v>205</v>
      </c>
    </row>
    <row r="931" customFormat="false" ht="23.85" hidden="false" customHeight="false" outlineLevel="0" collapsed="false">
      <c r="A931" s="4" t="s">
        <v>167</v>
      </c>
      <c r="B931" s="4" t="s">
        <v>1108</v>
      </c>
      <c r="C931" s="4" t="s">
        <v>1108</v>
      </c>
      <c r="D931" s="12" t="n">
        <v>2021</v>
      </c>
      <c r="E931" s="4"/>
      <c r="F931" s="4" t="s">
        <v>169</v>
      </c>
      <c r="G931" s="4" t="s">
        <v>170</v>
      </c>
      <c r="H931" s="4" t="s">
        <v>171</v>
      </c>
      <c r="I931" s="4" t="s">
        <v>172</v>
      </c>
      <c r="J931" s="4" t="s">
        <v>1108</v>
      </c>
      <c r="K931" s="4" t="s">
        <v>103</v>
      </c>
      <c r="L931" s="4" t="s">
        <v>104</v>
      </c>
      <c r="M931" s="4"/>
      <c r="N931" s="4"/>
      <c r="O931" s="4"/>
      <c r="P931" s="4"/>
      <c r="Q931" s="4"/>
      <c r="R931" s="4"/>
      <c r="S931" s="13" t="n">
        <v>0</v>
      </c>
      <c r="T931" s="4" t="s">
        <v>173</v>
      </c>
      <c r="U931" s="14" t="n">
        <f aca="false">IF(OR($S931="",PARAMETROS!$B$4=""),"",$S931*PARAMETROS!$B$4)</f>
        <v>0</v>
      </c>
      <c r="V931" s="13" t="n">
        <v>0</v>
      </c>
      <c r="W931" s="4"/>
      <c r="X931" s="4"/>
      <c r="Y931" s="4"/>
      <c r="Z931" s="4"/>
      <c r="AA931" s="4"/>
      <c r="AB931" s="4"/>
      <c r="AC931" s="4"/>
      <c r="AD931" s="4"/>
      <c r="AE931" s="4"/>
      <c r="AF931" s="4"/>
      <c r="AG931" s="4"/>
      <c r="AH931" s="4"/>
      <c r="AI931" s="4"/>
      <c r="AJ931" s="4"/>
      <c r="AK931" s="4"/>
      <c r="AL931" s="4" t="s">
        <v>174</v>
      </c>
      <c r="AM931" s="4" t="s">
        <v>205</v>
      </c>
    </row>
    <row r="932" customFormat="false" ht="23.85" hidden="false" customHeight="false" outlineLevel="0" collapsed="false">
      <c r="A932" s="4" t="s">
        <v>167</v>
      </c>
      <c r="B932" s="4" t="s">
        <v>1109</v>
      </c>
      <c r="C932" s="4" t="s">
        <v>1109</v>
      </c>
      <c r="D932" s="12" t="n">
        <v>2021</v>
      </c>
      <c r="E932" s="4"/>
      <c r="F932" s="4" t="s">
        <v>169</v>
      </c>
      <c r="G932" s="4" t="s">
        <v>170</v>
      </c>
      <c r="H932" s="4" t="s">
        <v>171</v>
      </c>
      <c r="I932" s="4" t="s">
        <v>172</v>
      </c>
      <c r="J932" s="4" t="s">
        <v>1109</v>
      </c>
      <c r="K932" s="4" t="s">
        <v>103</v>
      </c>
      <c r="L932" s="4" t="s">
        <v>104</v>
      </c>
      <c r="M932" s="4"/>
      <c r="N932" s="4"/>
      <c r="O932" s="4"/>
      <c r="P932" s="4"/>
      <c r="Q932" s="4"/>
      <c r="R932" s="4"/>
      <c r="S932" s="13" t="n">
        <v>0</v>
      </c>
      <c r="T932" s="4" t="s">
        <v>173</v>
      </c>
      <c r="U932" s="14" t="n">
        <f aca="false">IF(OR($S932="",PARAMETROS!$B$4=""),"",$S932*PARAMETROS!$B$4)</f>
        <v>0</v>
      </c>
      <c r="V932" s="13" t="n">
        <v>0</v>
      </c>
      <c r="W932" s="4"/>
      <c r="X932" s="4"/>
      <c r="Y932" s="4"/>
      <c r="Z932" s="4"/>
      <c r="AA932" s="4"/>
      <c r="AB932" s="4"/>
      <c r="AC932" s="4"/>
      <c r="AD932" s="4"/>
      <c r="AE932" s="4"/>
      <c r="AF932" s="4"/>
      <c r="AG932" s="4"/>
      <c r="AH932" s="4"/>
      <c r="AI932" s="4"/>
      <c r="AJ932" s="4"/>
      <c r="AK932" s="4"/>
      <c r="AL932" s="4" t="s">
        <v>174</v>
      </c>
      <c r="AM932" s="4" t="s">
        <v>205</v>
      </c>
    </row>
    <row r="933" customFormat="false" ht="23.85" hidden="false" customHeight="false" outlineLevel="0" collapsed="false">
      <c r="A933" s="4" t="s">
        <v>167</v>
      </c>
      <c r="B933" s="4" t="s">
        <v>1110</v>
      </c>
      <c r="C933" s="4" t="s">
        <v>1110</v>
      </c>
      <c r="D933" s="12" t="n">
        <v>2021</v>
      </c>
      <c r="E933" s="4"/>
      <c r="F933" s="4" t="s">
        <v>169</v>
      </c>
      <c r="G933" s="4" t="s">
        <v>170</v>
      </c>
      <c r="H933" s="4" t="s">
        <v>171</v>
      </c>
      <c r="I933" s="4" t="s">
        <v>172</v>
      </c>
      <c r="J933" s="4" t="s">
        <v>1110</v>
      </c>
      <c r="K933" s="4" t="s">
        <v>103</v>
      </c>
      <c r="L933" s="4" t="s">
        <v>104</v>
      </c>
      <c r="M933" s="4"/>
      <c r="N933" s="4"/>
      <c r="O933" s="4"/>
      <c r="P933" s="4"/>
      <c r="Q933" s="4"/>
      <c r="R933" s="4"/>
      <c r="S933" s="13" t="n">
        <v>0</v>
      </c>
      <c r="T933" s="4" t="s">
        <v>173</v>
      </c>
      <c r="U933" s="14" t="n">
        <f aca="false">IF(OR($S933="",PARAMETROS!$B$4=""),"",$S933*PARAMETROS!$B$4)</f>
        <v>0</v>
      </c>
      <c r="V933" s="13" t="n">
        <v>0</v>
      </c>
      <c r="W933" s="4"/>
      <c r="X933" s="4"/>
      <c r="Y933" s="4"/>
      <c r="Z933" s="4"/>
      <c r="AA933" s="4"/>
      <c r="AB933" s="4"/>
      <c r="AC933" s="4"/>
      <c r="AD933" s="4"/>
      <c r="AE933" s="4"/>
      <c r="AF933" s="4"/>
      <c r="AG933" s="4"/>
      <c r="AH933" s="4"/>
      <c r="AI933" s="4"/>
      <c r="AJ933" s="4"/>
      <c r="AK933" s="4"/>
      <c r="AL933" s="4" t="s">
        <v>174</v>
      </c>
      <c r="AM933" s="4" t="s">
        <v>205</v>
      </c>
    </row>
    <row r="934" customFormat="false" ht="23.85" hidden="false" customHeight="false" outlineLevel="0" collapsed="false">
      <c r="A934" s="4" t="s">
        <v>167</v>
      </c>
      <c r="B934" s="4" t="s">
        <v>1111</v>
      </c>
      <c r="C934" s="4" t="s">
        <v>1111</v>
      </c>
      <c r="D934" s="12" t="n">
        <v>2021</v>
      </c>
      <c r="E934" s="4"/>
      <c r="F934" s="4" t="s">
        <v>169</v>
      </c>
      <c r="G934" s="4" t="s">
        <v>170</v>
      </c>
      <c r="H934" s="4" t="s">
        <v>171</v>
      </c>
      <c r="I934" s="4" t="s">
        <v>172</v>
      </c>
      <c r="J934" s="4" t="s">
        <v>1111</v>
      </c>
      <c r="K934" s="4" t="s">
        <v>103</v>
      </c>
      <c r="L934" s="4" t="s">
        <v>104</v>
      </c>
      <c r="M934" s="4"/>
      <c r="N934" s="4"/>
      <c r="O934" s="4"/>
      <c r="P934" s="4"/>
      <c r="Q934" s="4"/>
      <c r="R934" s="4"/>
      <c r="S934" s="13" t="n">
        <v>14179.93</v>
      </c>
      <c r="T934" s="4" t="s">
        <v>173</v>
      </c>
      <c r="U934" s="14" t="n">
        <f aca="false">IF(OR($S934="",PARAMETROS!$B$4=""),"",$S934*PARAMETROS!$B$4)</f>
        <v>82385.3933</v>
      </c>
      <c r="V934" s="13" t="n">
        <v>0</v>
      </c>
      <c r="W934" s="4"/>
      <c r="X934" s="4"/>
      <c r="Y934" s="4"/>
      <c r="Z934" s="4"/>
      <c r="AA934" s="4"/>
      <c r="AB934" s="4"/>
      <c r="AC934" s="4"/>
      <c r="AD934" s="4"/>
      <c r="AE934" s="4"/>
      <c r="AF934" s="4"/>
      <c r="AG934" s="4"/>
      <c r="AH934" s="4"/>
      <c r="AI934" s="4"/>
      <c r="AJ934" s="4"/>
      <c r="AK934" s="4"/>
      <c r="AL934" s="4" t="s">
        <v>174</v>
      </c>
      <c r="AM934" s="4" t="s">
        <v>205</v>
      </c>
    </row>
    <row r="935" customFormat="false" ht="23.85" hidden="false" customHeight="false" outlineLevel="0" collapsed="false">
      <c r="A935" s="4" t="s">
        <v>167</v>
      </c>
      <c r="B935" s="4" t="s">
        <v>1112</v>
      </c>
      <c r="C935" s="4" t="s">
        <v>1112</v>
      </c>
      <c r="D935" s="12" t="n">
        <v>2021</v>
      </c>
      <c r="E935" s="4"/>
      <c r="F935" s="4" t="s">
        <v>169</v>
      </c>
      <c r="G935" s="4" t="s">
        <v>170</v>
      </c>
      <c r="H935" s="4" t="s">
        <v>171</v>
      </c>
      <c r="I935" s="4" t="s">
        <v>172</v>
      </c>
      <c r="J935" s="4" t="s">
        <v>1112</v>
      </c>
      <c r="K935" s="4" t="s">
        <v>103</v>
      </c>
      <c r="L935" s="4" t="s">
        <v>104</v>
      </c>
      <c r="M935" s="4"/>
      <c r="N935" s="4"/>
      <c r="O935" s="4"/>
      <c r="P935" s="4"/>
      <c r="Q935" s="4"/>
      <c r="R935" s="4"/>
      <c r="S935" s="13" t="n">
        <v>0</v>
      </c>
      <c r="T935" s="4" t="s">
        <v>173</v>
      </c>
      <c r="U935" s="14" t="n">
        <f aca="false">IF(OR($S935="",PARAMETROS!$B$4=""),"",$S935*PARAMETROS!$B$4)</f>
        <v>0</v>
      </c>
      <c r="V935" s="13" t="n">
        <v>0</v>
      </c>
      <c r="W935" s="4"/>
      <c r="X935" s="4"/>
      <c r="Y935" s="4"/>
      <c r="Z935" s="4"/>
      <c r="AA935" s="4"/>
      <c r="AB935" s="4"/>
      <c r="AC935" s="4"/>
      <c r="AD935" s="4"/>
      <c r="AE935" s="4"/>
      <c r="AF935" s="4"/>
      <c r="AG935" s="4"/>
      <c r="AH935" s="4"/>
      <c r="AI935" s="4"/>
      <c r="AJ935" s="4"/>
      <c r="AK935" s="4"/>
      <c r="AL935" s="4" t="s">
        <v>174</v>
      </c>
      <c r="AM935" s="4" t="s">
        <v>205</v>
      </c>
    </row>
    <row r="936" customFormat="false" ht="23.85" hidden="false" customHeight="false" outlineLevel="0" collapsed="false">
      <c r="A936" s="4" t="s">
        <v>167</v>
      </c>
      <c r="B936" s="4" t="s">
        <v>1113</v>
      </c>
      <c r="C936" s="4" t="s">
        <v>1113</v>
      </c>
      <c r="D936" s="12" t="n">
        <v>2021</v>
      </c>
      <c r="E936" s="4"/>
      <c r="F936" s="4" t="s">
        <v>169</v>
      </c>
      <c r="G936" s="4" t="s">
        <v>170</v>
      </c>
      <c r="H936" s="4" t="s">
        <v>171</v>
      </c>
      <c r="I936" s="4" t="s">
        <v>172</v>
      </c>
      <c r="J936" s="4" t="s">
        <v>1113</v>
      </c>
      <c r="K936" s="4" t="s">
        <v>103</v>
      </c>
      <c r="L936" s="4" t="s">
        <v>104</v>
      </c>
      <c r="M936" s="4"/>
      <c r="N936" s="4"/>
      <c r="O936" s="4"/>
      <c r="P936" s="4"/>
      <c r="Q936" s="4"/>
      <c r="R936" s="4"/>
      <c r="S936" s="13" t="n">
        <v>72.66</v>
      </c>
      <c r="T936" s="4" t="s">
        <v>173</v>
      </c>
      <c r="U936" s="14" t="n">
        <f aca="false">IF(OR($S936="",PARAMETROS!$B$4=""),"",$S936*PARAMETROS!$B$4)</f>
        <v>422.1546</v>
      </c>
      <c r="V936" s="13" t="n">
        <v>0</v>
      </c>
      <c r="W936" s="4"/>
      <c r="X936" s="4"/>
      <c r="Y936" s="4"/>
      <c r="Z936" s="4"/>
      <c r="AA936" s="4"/>
      <c r="AB936" s="4"/>
      <c r="AC936" s="4"/>
      <c r="AD936" s="4"/>
      <c r="AE936" s="4"/>
      <c r="AF936" s="4"/>
      <c r="AG936" s="4"/>
      <c r="AH936" s="4"/>
      <c r="AI936" s="4"/>
      <c r="AJ936" s="4"/>
      <c r="AK936" s="4"/>
      <c r="AL936" s="4" t="s">
        <v>174</v>
      </c>
      <c r="AM936" s="4" t="s">
        <v>205</v>
      </c>
    </row>
    <row r="937" customFormat="false" ht="23.85" hidden="false" customHeight="false" outlineLevel="0" collapsed="false">
      <c r="A937" s="4" t="s">
        <v>167</v>
      </c>
      <c r="B937" s="4" t="s">
        <v>1114</v>
      </c>
      <c r="C937" s="4" t="s">
        <v>1114</v>
      </c>
      <c r="D937" s="12" t="n">
        <v>2021</v>
      </c>
      <c r="E937" s="4"/>
      <c r="F937" s="4" t="s">
        <v>169</v>
      </c>
      <c r="G937" s="4" t="s">
        <v>170</v>
      </c>
      <c r="H937" s="4" t="s">
        <v>171</v>
      </c>
      <c r="I937" s="4" t="s">
        <v>172</v>
      </c>
      <c r="J937" s="4" t="s">
        <v>1114</v>
      </c>
      <c r="K937" s="4" t="s">
        <v>103</v>
      </c>
      <c r="L937" s="4" t="s">
        <v>104</v>
      </c>
      <c r="M937" s="4"/>
      <c r="N937" s="4"/>
      <c r="O937" s="4"/>
      <c r="P937" s="4"/>
      <c r="Q937" s="4"/>
      <c r="R937" s="4"/>
      <c r="S937" s="13" t="n">
        <v>290.64</v>
      </c>
      <c r="T937" s="4" t="s">
        <v>173</v>
      </c>
      <c r="U937" s="14" t="n">
        <f aca="false">IF(OR($S937="",PARAMETROS!$B$4=""),"",$S937*PARAMETROS!$B$4)</f>
        <v>1688.6184</v>
      </c>
      <c r="V937" s="13" t="n">
        <v>0</v>
      </c>
      <c r="W937" s="4"/>
      <c r="X937" s="4"/>
      <c r="Y937" s="4"/>
      <c r="Z937" s="4"/>
      <c r="AA937" s="4"/>
      <c r="AB937" s="4"/>
      <c r="AC937" s="4"/>
      <c r="AD937" s="4"/>
      <c r="AE937" s="4"/>
      <c r="AF937" s="4"/>
      <c r="AG937" s="4"/>
      <c r="AH937" s="4"/>
      <c r="AI937" s="4"/>
      <c r="AJ937" s="4"/>
      <c r="AK937" s="4"/>
      <c r="AL937" s="4" t="s">
        <v>174</v>
      </c>
      <c r="AM937" s="4" t="s">
        <v>205</v>
      </c>
    </row>
    <row r="938" customFormat="false" ht="23.85" hidden="false" customHeight="false" outlineLevel="0" collapsed="false">
      <c r="A938" s="4" t="s">
        <v>167</v>
      </c>
      <c r="B938" s="4" t="s">
        <v>1115</v>
      </c>
      <c r="C938" s="4" t="s">
        <v>1115</v>
      </c>
      <c r="D938" s="12" t="n">
        <v>2021</v>
      </c>
      <c r="E938" s="4"/>
      <c r="F938" s="4" t="s">
        <v>169</v>
      </c>
      <c r="G938" s="4" t="s">
        <v>170</v>
      </c>
      <c r="H938" s="4" t="s">
        <v>171</v>
      </c>
      <c r="I938" s="4" t="s">
        <v>172</v>
      </c>
      <c r="J938" s="4" t="s">
        <v>1115</v>
      </c>
      <c r="K938" s="4" t="s">
        <v>103</v>
      </c>
      <c r="L938" s="4" t="s">
        <v>104</v>
      </c>
      <c r="M938" s="4"/>
      <c r="N938" s="4"/>
      <c r="O938" s="4"/>
      <c r="P938" s="4"/>
      <c r="Q938" s="4"/>
      <c r="R938" s="4"/>
      <c r="S938" s="13" t="n">
        <v>0</v>
      </c>
      <c r="T938" s="4" t="s">
        <v>173</v>
      </c>
      <c r="U938" s="14" t="n">
        <f aca="false">IF(OR($S938="",PARAMETROS!$B$4=""),"",$S938*PARAMETROS!$B$4)</f>
        <v>0</v>
      </c>
      <c r="V938" s="13" t="n">
        <v>1</v>
      </c>
      <c r="W938" s="4"/>
      <c r="X938" s="4"/>
      <c r="Y938" s="4"/>
      <c r="Z938" s="4"/>
      <c r="AA938" s="4"/>
      <c r="AB938" s="4"/>
      <c r="AC938" s="4"/>
      <c r="AD938" s="4"/>
      <c r="AE938" s="4"/>
      <c r="AF938" s="4"/>
      <c r="AG938" s="4"/>
      <c r="AH938" s="4"/>
      <c r="AI938" s="4"/>
      <c r="AJ938" s="4"/>
      <c r="AK938" s="4"/>
      <c r="AL938" s="4" t="s">
        <v>174</v>
      </c>
      <c r="AM938" s="4" t="s">
        <v>205</v>
      </c>
    </row>
    <row r="939" customFormat="false" ht="23.85" hidden="false" customHeight="false" outlineLevel="0" collapsed="false">
      <c r="A939" s="4" t="s">
        <v>167</v>
      </c>
      <c r="B939" s="4" t="s">
        <v>1116</v>
      </c>
      <c r="C939" s="4" t="s">
        <v>1116</v>
      </c>
      <c r="D939" s="12" t="n">
        <v>2021</v>
      </c>
      <c r="E939" s="4"/>
      <c r="F939" s="4" t="s">
        <v>169</v>
      </c>
      <c r="G939" s="4" t="s">
        <v>170</v>
      </c>
      <c r="H939" s="4" t="s">
        <v>171</v>
      </c>
      <c r="I939" s="4" t="s">
        <v>172</v>
      </c>
      <c r="J939" s="4" t="s">
        <v>1116</v>
      </c>
      <c r="K939" s="4" t="s">
        <v>103</v>
      </c>
      <c r="L939" s="4" t="s">
        <v>104</v>
      </c>
      <c r="M939" s="4"/>
      <c r="N939" s="4"/>
      <c r="O939" s="4"/>
      <c r="P939" s="4"/>
      <c r="Q939" s="4"/>
      <c r="R939" s="4"/>
      <c r="S939" s="13" t="n">
        <v>0</v>
      </c>
      <c r="T939" s="4" t="s">
        <v>173</v>
      </c>
      <c r="U939" s="14" t="n">
        <f aca="false">IF(OR($S939="",PARAMETROS!$B$4=""),"",$S939*PARAMETROS!$B$4)</f>
        <v>0</v>
      </c>
      <c r="V939" s="13" t="n">
        <v>0</v>
      </c>
      <c r="W939" s="4"/>
      <c r="X939" s="4"/>
      <c r="Y939" s="4"/>
      <c r="Z939" s="4"/>
      <c r="AA939" s="4"/>
      <c r="AB939" s="4"/>
      <c r="AC939" s="4"/>
      <c r="AD939" s="4"/>
      <c r="AE939" s="4"/>
      <c r="AF939" s="4"/>
      <c r="AG939" s="4"/>
      <c r="AH939" s="4"/>
      <c r="AI939" s="4"/>
      <c r="AJ939" s="4"/>
      <c r="AK939" s="4"/>
      <c r="AL939" s="4" t="s">
        <v>174</v>
      </c>
      <c r="AM939" s="4" t="s">
        <v>205</v>
      </c>
    </row>
    <row r="940" customFormat="false" ht="23.85" hidden="false" customHeight="false" outlineLevel="0" collapsed="false">
      <c r="A940" s="4" t="s">
        <v>167</v>
      </c>
      <c r="B940" s="4" t="s">
        <v>1117</v>
      </c>
      <c r="C940" s="4" t="s">
        <v>1117</v>
      </c>
      <c r="D940" s="12" t="n">
        <v>2021</v>
      </c>
      <c r="E940" s="4"/>
      <c r="F940" s="4" t="s">
        <v>169</v>
      </c>
      <c r="G940" s="4" t="s">
        <v>170</v>
      </c>
      <c r="H940" s="4" t="s">
        <v>171</v>
      </c>
      <c r="I940" s="4" t="s">
        <v>172</v>
      </c>
      <c r="J940" s="4" t="s">
        <v>1117</v>
      </c>
      <c r="K940" s="4" t="s">
        <v>105</v>
      </c>
      <c r="L940" s="4" t="s">
        <v>106</v>
      </c>
      <c r="M940" s="4"/>
      <c r="N940" s="4"/>
      <c r="O940" s="4"/>
      <c r="P940" s="4"/>
      <c r="Q940" s="4"/>
      <c r="R940" s="4"/>
      <c r="S940" s="13" t="n">
        <v>0</v>
      </c>
      <c r="T940" s="4" t="s">
        <v>173</v>
      </c>
      <c r="U940" s="14" t="n">
        <f aca="false">IF(OR($S940="",PARAMETROS!$B$4=""),"",$S940*PARAMETROS!$B$4)</f>
        <v>0</v>
      </c>
      <c r="V940" s="13" t="n">
        <v>0</v>
      </c>
      <c r="W940" s="4"/>
      <c r="X940" s="4"/>
      <c r="Y940" s="4"/>
      <c r="Z940" s="4"/>
      <c r="AA940" s="4"/>
      <c r="AB940" s="4"/>
      <c r="AC940" s="4"/>
      <c r="AD940" s="4"/>
      <c r="AE940" s="4"/>
      <c r="AF940" s="4"/>
      <c r="AG940" s="4"/>
      <c r="AH940" s="4"/>
      <c r="AI940" s="4"/>
      <c r="AJ940" s="4"/>
      <c r="AK940" s="4"/>
      <c r="AL940" s="4" t="s">
        <v>174</v>
      </c>
      <c r="AM940" s="4" t="s">
        <v>205</v>
      </c>
    </row>
    <row r="941" customFormat="false" ht="23.85" hidden="false" customHeight="false" outlineLevel="0" collapsed="false">
      <c r="A941" s="4" t="s">
        <v>167</v>
      </c>
      <c r="B941" s="4" t="s">
        <v>1118</v>
      </c>
      <c r="C941" s="4" t="s">
        <v>1118</v>
      </c>
      <c r="D941" s="12" t="n">
        <v>2021</v>
      </c>
      <c r="E941" s="4"/>
      <c r="F941" s="4" t="s">
        <v>169</v>
      </c>
      <c r="G941" s="4" t="s">
        <v>170</v>
      </c>
      <c r="H941" s="4" t="s">
        <v>171</v>
      </c>
      <c r="I941" s="4" t="s">
        <v>172</v>
      </c>
      <c r="J941" s="4" t="s">
        <v>1118</v>
      </c>
      <c r="K941" s="4" t="s">
        <v>105</v>
      </c>
      <c r="L941" s="4" t="s">
        <v>106</v>
      </c>
      <c r="M941" s="4"/>
      <c r="N941" s="4"/>
      <c r="O941" s="4"/>
      <c r="P941" s="4"/>
      <c r="Q941" s="4"/>
      <c r="R941" s="4"/>
      <c r="S941" s="13" t="n">
        <v>4994.83</v>
      </c>
      <c r="T941" s="4" t="s">
        <v>173</v>
      </c>
      <c r="U941" s="14" t="n">
        <f aca="false">IF(OR($S941="",PARAMETROS!$B$4=""),"",$S941*PARAMETROS!$B$4)</f>
        <v>29019.9623</v>
      </c>
      <c r="V941" s="13" t="n">
        <v>0</v>
      </c>
      <c r="W941" s="4"/>
      <c r="X941" s="4"/>
      <c r="Y941" s="4"/>
      <c r="Z941" s="4"/>
      <c r="AA941" s="4"/>
      <c r="AB941" s="4"/>
      <c r="AC941" s="4"/>
      <c r="AD941" s="4"/>
      <c r="AE941" s="4"/>
      <c r="AF941" s="4"/>
      <c r="AG941" s="4"/>
      <c r="AH941" s="4"/>
      <c r="AI941" s="4"/>
      <c r="AJ941" s="4"/>
      <c r="AK941" s="4"/>
      <c r="AL941" s="4" t="s">
        <v>174</v>
      </c>
      <c r="AM941" s="4" t="s">
        <v>205</v>
      </c>
    </row>
    <row r="942" customFormat="false" ht="23.85" hidden="false" customHeight="false" outlineLevel="0" collapsed="false">
      <c r="A942" s="4" t="s">
        <v>167</v>
      </c>
      <c r="B942" s="4" t="s">
        <v>1119</v>
      </c>
      <c r="C942" s="4" t="s">
        <v>1119</v>
      </c>
      <c r="D942" s="12" t="n">
        <v>2021</v>
      </c>
      <c r="E942" s="4"/>
      <c r="F942" s="4" t="s">
        <v>169</v>
      </c>
      <c r="G942" s="4" t="s">
        <v>170</v>
      </c>
      <c r="H942" s="4" t="s">
        <v>171</v>
      </c>
      <c r="I942" s="4" t="s">
        <v>172</v>
      </c>
      <c r="J942" s="4" t="s">
        <v>1119</v>
      </c>
      <c r="K942" s="4" t="s">
        <v>105</v>
      </c>
      <c r="L942" s="4" t="s">
        <v>106</v>
      </c>
      <c r="M942" s="4"/>
      <c r="N942" s="4"/>
      <c r="O942" s="4"/>
      <c r="P942" s="4"/>
      <c r="Q942" s="4"/>
      <c r="R942" s="4"/>
      <c r="S942" s="13" t="n">
        <v>1003.28</v>
      </c>
      <c r="T942" s="4" t="s">
        <v>173</v>
      </c>
      <c r="U942" s="14" t="n">
        <f aca="false">IF(OR($S942="",PARAMETROS!$B$4=""),"",$S942*PARAMETROS!$B$4)</f>
        <v>5829.0568</v>
      </c>
      <c r="V942" s="13" t="n">
        <v>0</v>
      </c>
      <c r="W942" s="4"/>
      <c r="X942" s="4"/>
      <c r="Y942" s="4"/>
      <c r="Z942" s="4"/>
      <c r="AA942" s="4"/>
      <c r="AB942" s="4"/>
      <c r="AC942" s="4"/>
      <c r="AD942" s="4"/>
      <c r="AE942" s="4"/>
      <c r="AF942" s="4"/>
      <c r="AG942" s="4"/>
      <c r="AH942" s="4"/>
      <c r="AI942" s="4"/>
      <c r="AJ942" s="4"/>
      <c r="AK942" s="4"/>
      <c r="AL942" s="4" t="s">
        <v>174</v>
      </c>
      <c r="AM942" s="4" t="s">
        <v>205</v>
      </c>
    </row>
    <row r="943" customFormat="false" ht="23.85" hidden="false" customHeight="false" outlineLevel="0" collapsed="false">
      <c r="A943" s="4" t="s">
        <v>167</v>
      </c>
      <c r="B943" s="4" t="s">
        <v>1120</v>
      </c>
      <c r="C943" s="4" t="s">
        <v>1120</v>
      </c>
      <c r="D943" s="12" t="n">
        <v>2021</v>
      </c>
      <c r="E943" s="4"/>
      <c r="F943" s="4" t="s">
        <v>169</v>
      </c>
      <c r="G943" s="4" t="s">
        <v>170</v>
      </c>
      <c r="H943" s="4" t="s">
        <v>171</v>
      </c>
      <c r="I943" s="4" t="s">
        <v>172</v>
      </c>
      <c r="J943" s="4" t="s">
        <v>1120</v>
      </c>
      <c r="K943" s="4" t="s">
        <v>105</v>
      </c>
      <c r="L943" s="4" t="s">
        <v>106</v>
      </c>
      <c r="M943" s="4"/>
      <c r="N943" s="4"/>
      <c r="O943" s="4"/>
      <c r="P943" s="4"/>
      <c r="Q943" s="4"/>
      <c r="R943" s="4"/>
      <c r="S943" s="13" t="n">
        <v>-64.78</v>
      </c>
      <c r="T943" s="4" t="s">
        <v>173</v>
      </c>
      <c r="U943" s="14" t="n">
        <f aca="false">IF(OR($S943="",PARAMETROS!$B$4=""),"",$S943*PARAMETROS!$B$4)</f>
        <v>-376.3718</v>
      </c>
      <c r="V943" s="13" t="n">
        <v>0</v>
      </c>
      <c r="W943" s="4"/>
      <c r="X943" s="4"/>
      <c r="Y943" s="4"/>
      <c r="Z943" s="4"/>
      <c r="AA943" s="4"/>
      <c r="AB943" s="4"/>
      <c r="AC943" s="4"/>
      <c r="AD943" s="4"/>
      <c r="AE943" s="4"/>
      <c r="AF943" s="4"/>
      <c r="AG943" s="4"/>
      <c r="AH943" s="4"/>
      <c r="AI943" s="4"/>
      <c r="AJ943" s="4"/>
      <c r="AK943" s="4"/>
      <c r="AL943" s="4" t="s">
        <v>174</v>
      </c>
      <c r="AM943" s="4" t="s">
        <v>205</v>
      </c>
    </row>
    <row r="944" customFormat="false" ht="23.85" hidden="false" customHeight="false" outlineLevel="0" collapsed="false">
      <c r="A944" s="4" t="s">
        <v>167</v>
      </c>
      <c r="B944" s="4" t="s">
        <v>1121</v>
      </c>
      <c r="C944" s="4" t="s">
        <v>1121</v>
      </c>
      <c r="D944" s="12" t="n">
        <v>2021</v>
      </c>
      <c r="E944" s="4"/>
      <c r="F944" s="4" t="s">
        <v>169</v>
      </c>
      <c r="G944" s="4" t="s">
        <v>170</v>
      </c>
      <c r="H944" s="4" t="s">
        <v>171</v>
      </c>
      <c r="I944" s="4" t="s">
        <v>172</v>
      </c>
      <c r="J944" s="4" t="s">
        <v>1121</v>
      </c>
      <c r="K944" s="4" t="s">
        <v>105</v>
      </c>
      <c r="L944" s="4" t="s">
        <v>106</v>
      </c>
      <c r="M944" s="4"/>
      <c r="N944" s="4"/>
      <c r="O944" s="4"/>
      <c r="P944" s="4"/>
      <c r="Q944" s="4"/>
      <c r="R944" s="4"/>
      <c r="S944" s="13" t="n">
        <v>0</v>
      </c>
      <c r="T944" s="4" t="s">
        <v>173</v>
      </c>
      <c r="U944" s="14" t="n">
        <f aca="false">IF(OR($S944="",PARAMETROS!$B$4=""),"",$S944*PARAMETROS!$B$4)</f>
        <v>0</v>
      </c>
      <c r="V944" s="13" t="n">
        <v>0</v>
      </c>
      <c r="W944" s="4"/>
      <c r="X944" s="4"/>
      <c r="Y944" s="4"/>
      <c r="Z944" s="4"/>
      <c r="AA944" s="4"/>
      <c r="AB944" s="4"/>
      <c r="AC944" s="4"/>
      <c r="AD944" s="4"/>
      <c r="AE944" s="4"/>
      <c r="AF944" s="4"/>
      <c r="AG944" s="4"/>
      <c r="AH944" s="4"/>
      <c r="AI944" s="4"/>
      <c r="AJ944" s="4"/>
      <c r="AK944" s="4"/>
      <c r="AL944" s="4" t="s">
        <v>174</v>
      </c>
      <c r="AM944" s="4" t="s">
        <v>205</v>
      </c>
    </row>
    <row r="945" customFormat="false" ht="23.85" hidden="false" customHeight="false" outlineLevel="0" collapsed="false">
      <c r="A945" s="4" t="s">
        <v>167</v>
      </c>
      <c r="B945" s="4" t="s">
        <v>1122</v>
      </c>
      <c r="C945" s="4" t="s">
        <v>1122</v>
      </c>
      <c r="D945" s="12" t="n">
        <v>2021</v>
      </c>
      <c r="E945" s="4"/>
      <c r="F945" s="4" t="s">
        <v>169</v>
      </c>
      <c r="G945" s="4" t="s">
        <v>170</v>
      </c>
      <c r="H945" s="4" t="s">
        <v>171</v>
      </c>
      <c r="I945" s="4" t="s">
        <v>172</v>
      </c>
      <c r="J945" s="4" t="s">
        <v>1122</v>
      </c>
      <c r="K945" s="4" t="s">
        <v>105</v>
      </c>
      <c r="L945" s="4" t="s">
        <v>106</v>
      </c>
      <c r="M945" s="4"/>
      <c r="N945" s="4"/>
      <c r="O945" s="4"/>
      <c r="P945" s="4"/>
      <c r="Q945" s="4"/>
      <c r="R945" s="4"/>
      <c r="S945" s="13" t="n">
        <v>0</v>
      </c>
      <c r="T945" s="4" t="s">
        <v>173</v>
      </c>
      <c r="U945" s="14" t="n">
        <f aca="false">IF(OR($S945="",PARAMETROS!$B$4=""),"",$S945*PARAMETROS!$B$4)</f>
        <v>0</v>
      </c>
      <c r="V945" s="13" t="n">
        <v>0</v>
      </c>
      <c r="W945" s="4"/>
      <c r="X945" s="4"/>
      <c r="Y945" s="4"/>
      <c r="Z945" s="4"/>
      <c r="AA945" s="4"/>
      <c r="AB945" s="4"/>
      <c r="AC945" s="4"/>
      <c r="AD945" s="4"/>
      <c r="AE945" s="4"/>
      <c r="AF945" s="4"/>
      <c r="AG945" s="4"/>
      <c r="AH945" s="4"/>
      <c r="AI945" s="4"/>
      <c r="AJ945" s="4"/>
      <c r="AK945" s="4"/>
      <c r="AL945" s="4" t="s">
        <v>174</v>
      </c>
      <c r="AM945" s="4" t="s">
        <v>205</v>
      </c>
    </row>
    <row r="946" customFormat="false" ht="23.85" hidden="false" customHeight="false" outlineLevel="0" collapsed="false">
      <c r="A946" s="4" t="s">
        <v>167</v>
      </c>
      <c r="B946" s="4" t="s">
        <v>1123</v>
      </c>
      <c r="C946" s="4" t="s">
        <v>1123</v>
      </c>
      <c r="D946" s="12" t="n">
        <v>2021</v>
      </c>
      <c r="E946" s="4"/>
      <c r="F946" s="4" t="s">
        <v>169</v>
      </c>
      <c r="G946" s="4" t="s">
        <v>170</v>
      </c>
      <c r="H946" s="4" t="s">
        <v>171</v>
      </c>
      <c r="I946" s="4" t="s">
        <v>172</v>
      </c>
      <c r="J946" s="4" t="s">
        <v>1123</v>
      </c>
      <c r="K946" s="4" t="s">
        <v>105</v>
      </c>
      <c r="L946" s="4" t="s">
        <v>106</v>
      </c>
      <c r="M946" s="4"/>
      <c r="N946" s="4"/>
      <c r="O946" s="4"/>
      <c r="P946" s="4"/>
      <c r="Q946" s="4"/>
      <c r="R946" s="4"/>
      <c r="S946" s="13" t="n">
        <v>0</v>
      </c>
      <c r="T946" s="4" t="s">
        <v>173</v>
      </c>
      <c r="U946" s="14" t="n">
        <f aca="false">IF(OR($S946="",PARAMETROS!$B$4=""),"",$S946*PARAMETROS!$B$4)</f>
        <v>0</v>
      </c>
      <c r="V946" s="13" t="n">
        <v>0</v>
      </c>
      <c r="W946" s="4"/>
      <c r="X946" s="4"/>
      <c r="Y946" s="4"/>
      <c r="Z946" s="4"/>
      <c r="AA946" s="4"/>
      <c r="AB946" s="4"/>
      <c r="AC946" s="4"/>
      <c r="AD946" s="4"/>
      <c r="AE946" s="4"/>
      <c r="AF946" s="4"/>
      <c r="AG946" s="4"/>
      <c r="AH946" s="4"/>
      <c r="AI946" s="4"/>
      <c r="AJ946" s="4"/>
      <c r="AK946" s="4"/>
      <c r="AL946" s="4" t="s">
        <v>174</v>
      </c>
      <c r="AM946" s="4" t="s">
        <v>205</v>
      </c>
    </row>
    <row r="947" customFormat="false" ht="23.85" hidden="false" customHeight="false" outlineLevel="0" collapsed="false">
      <c r="A947" s="4" t="s">
        <v>167</v>
      </c>
      <c r="B947" s="4" t="s">
        <v>1124</v>
      </c>
      <c r="C947" s="4" t="s">
        <v>1124</v>
      </c>
      <c r="D947" s="12" t="n">
        <v>2021</v>
      </c>
      <c r="E947" s="4"/>
      <c r="F947" s="4" t="s">
        <v>169</v>
      </c>
      <c r="G947" s="4" t="s">
        <v>170</v>
      </c>
      <c r="H947" s="4" t="s">
        <v>171</v>
      </c>
      <c r="I947" s="4" t="s">
        <v>172</v>
      </c>
      <c r="J947" s="4" t="s">
        <v>1124</v>
      </c>
      <c r="K947" s="4" t="s">
        <v>105</v>
      </c>
      <c r="L947" s="4" t="s">
        <v>106</v>
      </c>
      <c r="M947" s="4"/>
      <c r="N947" s="4"/>
      <c r="O947" s="4"/>
      <c r="P947" s="4"/>
      <c r="Q947" s="4"/>
      <c r="R947" s="4"/>
      <c r="S947" s="13" t="n">
        <v>0</v>
      </c>
      <c r="T947" s="4" t="s">
        <v>173</v>
      </c>
      <c r="U947" s="14" t="n">
        <f aca="false">IF(OR($S947="",PARAMETROS!$B$4=""),"",$S947*PARAMETROS!$B$4)</f>
        <v>0</v>
      </c>
      <c r="V947" s="13" t="n">
        <v>0</v>
      </c>
      <c r="W947" s="4"/>
      <c r="X947" s="4"/>
      <c r="Y947" s="4"/>
      <c r="Z947" s="4"/>
      <c r="AA947" s="4"/>
      <c r="AB947" s="4"/>
      <c r="AC947" s="4"/>
      <c r="AD947" s="4"/>
      <c r="AE947" s="4"/>
      <c r="AF947" s="4"/>
      <c r="AG947" s="4"/>
      <c r="AH947" s="4"/>
      <c r="AI947" s="4"/>
      <c r="AJ947" s="4"/>
      <c r="AK947" s="4"/>
      <c r="AL947" s="4" t="s">
        <v>174</v>
      </c>
      <c r="AM947" s="4" t="s">
        <v>205</v>
      </c>
    </row>
    <row r="948" customFormat="false" ht="23.85" hidden="false" customHeight="false" outlineLevel="0" collapsed="false">
      <c r="A948" s="4" t="s">
        <v>167</v>
      </c>
      <c r="B948" s="4" t="s">
        <v>1125</v>
      </c>
      <c r="C948" s="4" t="s">
        <v>1125</v>
      </c>
      <c r="D948" s="12" t="n">
        <v>2021</v>
      </c>
      <c r="E948" s="4"/>
      <c r="F948" s="4" t="s">
        <v>169</v>
      </c>
      <c r="G948" s="4" t="s">
        <v>170</v>
      </c>
      <c r="H948" s="4" t="s">
        <v>171</v>
      </c>
      <c r="I948" s="4" t="s">
        <v>172</v>
      </c>
      <c r="J948" s="4" t="s">
        <v>1125</v>
      </c>
      <c r="K948" s="4" t="s">
        <v>105</v>
      </c>
      <c r="L948" s="4" t="s">
        <v>106</v>
      </c>
      <c r="M948" s="4"/>
      <c r="N948" s="4"/>
      <c r="O948" s="4"/>
      <c r="P948" s="4"/>
      <c r="Q948" s="4"/>
      <c r="R948" s="4"/>
      <c r="S948" s="13" t="n">
        <v>39.27</v>
      </c>
      <c r="T948" s="4" t="s">
        <v>173</v>
      </c>
      <c r="U948" s="14" t="n">
        <f aca="false">IF(OR($S948="",PARAMETROS!$B$4=""),"",$S948*PARAMETROS!$B$4)</f>
        <v>228.1587</v>
      </c>
      <c r="V948" s="13" t="n">
        <v>0</v>
      </c>
      <c r="W948" s="4"/>
      <c r="X948" s="4"/>
      <c r="Y948" s="4"/>
      <c r="Z948" s="4"/>
      <c r="AA948" s="4"/>
      <c r="AB948" s="4"/>
      <c r="AC948" s="4"/>
      <c r="AD948" s="4"/>
      <c r="AE948" s="4"/>
      <c r="AF948" s="4"/>
      <c r="AG948" s="4"/>
      <c r="AH948" s="4"/>
      <c r="AI948" s="4"/>
      <c r="AJ948" s="4"/>
      <c r="AK948" s="4"/>
      <c r="AL948" s="4" t="s">
        <v>174</v>
      </c>
      <c r="AM948" s="4" t="s">
        <v>205</v>
      </c>
    </row>
    <row r="949" customFormat="false" ht="23.85" hidden="false" customHeight="false" outlineLevel="0" collapsed="false">
      <c r="A949" s="4" t="s">
        <v>167</v>
      </c>
      <c r="B949" s="4" t="s">
        <v>1126</v>
      </c>
      <c r="C949" s="4" t="s">
        <v>1126</v>
      </c>
      <c r="D949" s="12" t="n">
        <v>2021</v>
      </c>
      <c r="E949" s="4"/>
      <c r="F949" s="4" t="s">
        <v>169</v>
      </c>
      <c r="G949" s="4" t="s">
        <v>170</v>
      </c>
      <c r="H949" s="4" t="s">
        <v>171</v>
      </c>
      <c r="I949" s="4" t="s">
        <v>172</v>
      </c>
      <c r="J949" s="4" t="s">
        <v>1126</v>
      </c>
      <c r="K949" s="4" t="s">
        <v>105</v>
      </c>
      <c r="L949" s="4" t="s">
        <v>106</v>
      </c>
      <c r="M949" s="4"/>
      <c r="N949" s="4"/>
      <c r="O949" s="4"/>
      <c r="P949" s="4"/>
      <c r="Q949" s="4"/>
      <c r="R949" s="4"/>
      <c r="S949" s="13" t="n">
        <v>3023.62</v>
      </c>
      <c r="T949" s="4" t="s">
        <v>173</v>
      </c>
      <c r="U949" s="14" t="n">
        <f aca="false">IF(OR($S949="",PARAMETROS!$B$4=""),"",$S949*PARAMETROS!$B$4)</f>
        <v>17567.2322</v>
      </c>
      <c r="V949" s="13" t="n">
        <v>0</v>
      </c>
      <c r="W949" s="4"/>
      <c r="X949" s="4"/>
      <c r="Y949" s="4"/>
      <c r="Z949" s="4"/>
      <c r="AA949" s="4"/>
      <c r="AB949" s="4"/>
      <c r="AC949" s="4"/>
      <c r="AD949" s="4"/>
      <c r="AE949" s="4"/>
      <c r="AF949" s="4"/>
      <c r="AG949" s="4"/>
      <c r="AH949" s="4"/>
      <c r="AI949" s="4"/>
      <c r="AJ949" s="4"/>
      <c r="AK949" s="4"/>
      <c r="AL949" s="4" t="s">
        <v>174</v>
      </c>
      <c r="AM949" s="4" t="s">
        <v>205</v>
      </c>
    </row>
    <row r="950" customFormat="false" ht="23.85" hidden="false" customHeight="false" outlineLevel="0" collapsed="false">
      <c r="A950" s="4" t="s">
        <v>167</v>
      </c>
      <c r="B950" s="4" t="s">
        <v>1127</v>
      </c>
      <c r="C950" s="4" t="s">
        <v>1127</v>
      </c>
      <c r="D950" s="12" t="n">
        <v>2021</v>
      </c>
      <c r="E950" s="4"/>
      <c r="F950" s="4" t="s">
        <v>169</v>
      </c>
      <c r="G950" s="4" t="s">
        <v>170</v>
      </c>
      <c r="H950" s="4" t="s">
        <v>171</v>
      </c>
      <c r="I950" s="4" t="s">
        <v>172</v>
      </c>
      <c r="J950" s="4" t="s">
        <v>1127</v>
      </c>
      <c r="K950" s="4" t="s">
        <v>105</v>
      </c>
      <c r="L950" s="4" t="s">
        <v>106</v>
      </c>
      <c r="M950" s="4"/>
      <c r="N950" s="4"/>
      <c r="O950" s="4"/>
      <c r="P950" s="4"/>
      <c r="Q950" s="4"/>
      <c r="R950" s="4"/>
      <c r="S950" s="13" t="n">
        <v>78.54</v>
      </c>
      <c r="T950" s="4" t="s">
        <v>173</v>
      </c>
      <c r="U950" s="14" t="n">
        <f aca="false">IF(OR($S950="",PARAMETROS!$B$4=""),"",$S950*PARAMETROS!$B$4)</f>
        <v>456.3174</v>
      </c>
      <c r="V950" s="13" t="n">
        <v>0</v>
      </c>
      <c r="W950" s="4"/>
      <c r="X950" s="4"/>
      <c r="Y950" s="4"/>
      <c r="Z950" s="4"/>
      <c r="AA950" s="4"/>
      <c r="AB950" s="4"/>
      <c r="AC950" s="4"/>
      <c r="AD950" s="4"/>
      <c r="AE950" s="4"/>
      <c r="AF950" s="4"/>
      <c r="AG950" s="4"/>
      <c r="AH950" s="4"/>
      <c r="AI950" s="4"/>
      <c r="AJ950" s="4"/>
      <c r="AK950" s="4"/>
      <c r="AL950" s="4" t="s">
        <v>174</v>
      </c>
      <c r="AM950" s="4" t="s">
        <v>205</v>
      </c>
    </row>
    <row r="951" customFormat="false" ht="23.85" hidden="false" customHeight="false" outlineLevel="0" collapsed="false">
      <c r="A951" s="4" t="s">
        <v>167</v>
      </c>
      <c r="B951" s="4" t="s">
        <v>1128</v>
      </c>
      <c r="C951" s="4" t="s">
        <v>1128</v>
      </c>
      <c r="D951" s="12" t="n">
        <v>2021</v>
      </c>
      <c r="E951" s="4"/>
      <c r="F951" s="4" t="s">
        <v>169</v>
      </c>
      <c r="G951" s="4" t="s">
        <v>170</v>
      </c>
      <c r="H951" s="4" t="s">
        <v>171</v>
      </c>
      <c r="I951" s="4" t="s">
        <v>172</v>
      </c>
      <c r="J951" s="4" t="s">
        <v>1128</v>
      </c>
      <c r="K951" s="4" t="s">
        <v>105</v>
      </c>
      <c r="L951" s="4" t="s">
        <v>106</v>
      </c>
      <c r="M951" s="4"/>
      <c r="N951" s="4"/>
      <c r="O951" s="4"/>
      <c r="P951" s="4"/>
      <c r="Q951" s="4"/>
      <c r="R951" s="4"/>
      <c r="S951" s="13" t="n">
        <v>785.36</v>
      </c>
      <c r="T951" s="4" t="s">
        <v>173</v>
      </c>
      <c r="U951" s="14" t="n">
        <f aca="false">IF(OR($S951="",PARAMETROS!$B$4=""),"",$S951*PARAMETROS!$B$4)</f>
        <v>4562.9416</v>
      </c>
      <c r="V951" s="13" t="n">
        <v>0</v>
      </c>
      <c r="W951" s="4"/>
      <c r="X951" s="4"/>
      <c r="Y951" s="4"/>
      <c r="Z951" s="4"/>
      <c r="AA951" s="4"/>
      <c r="AB951" s="4"/>
      <c r="AC951" s="4"/>
      <c r="AD951" s="4"/>
      <c r="AE951" s="4"/>
      <c r="AF951" s="4"/>
      <c r="AG951" s="4"/>
      <c r="AH951" s="4"/>
      <c r="AI951" s="4"/>
      <c r="AJ951" s="4"/>
      <c r="AK951" s="4"/>
      <c r="AL951" s="4" t="s">
        <v>174</v>
      </c>
      <c r="AM951" s="4" t="s">
        <v>205</v>
      </c>
    </row>
    <row r="952" customFormat="false" ht="23.85" hidden="false" customHeight="false" outlineLevel="0" collapsed="false">
      <c r="A952" s="4" t="s">
        <v>167</v>
      </c>
      <c r="B952" s="4" t="s">
        <v>1129</v>
      </c>
      <c r="C952" s="4" t="s">
        <v>1129</v>
      </c>
      <c r="D952" s="12" t="n">
        <v>2021</v>
      </c>
      <c r="E952" s="4"/>
      <c r="F952" s="4" t="s">
        <v>169</v>
      </c>
      <c r="G952" s="4" t="s">
        <v>170</v>
      </c>
      <c r="H952" s="4" t="s">
        <v>171</v>
      </c>
      <c r="I952" s="4" t="s">
        <v>172</v>
      </c>
      <c r="J952" s="4" t="s">
        <v>1129</v>
      </c>
      <c r="K952" s="4" t="s">
        <v>105</v>
      </c>
      <c r="L952" s="4" t="s">
        <v>106</v>
      </c>
      <c r="M952" s="4"/>
      <c r="N952" s="4"/>
      <c r="O952" s="4"/>
      <c r="P952" s="4"/>
      <c r="Q952" s="4"/>
      <c r="R952" s="4"/>
      <c r="S952" s="13" t="n">
        <v>0</v>
      </c>
      <c r="T952" s="4" t="s">
        <v>173</v>
      </c>
      <c r="U952" s="14" t="n">
        <f aca="false">IF(OR($S952="",PARAMETROS!$B$4=""),"",$S952*PARAMETROS!$B$4)</f>
        <v>0</v>
      </c>
      <c r="V952" s="13" t="n">
        <v>1</v>
      </c>
      <c r="W952" s="4"/>
      <c r="X952" s="4"/>
      <c r="Y952" s="4"/>
      <c r="Z952" s="4"/>
      <c r="AA952" s="4"/>
      <c r="AB952" s="4"/>
      <c r="AC952" s="4"/>
      <c r="AD952" s="4"/>
      <c r="AE952" s="4"/>
      <c r="AF952" s="4"/>
      <c r="AG952" s="4"/>
      <c r="AH952" s="4"/>
      <c r="AI952" s="4"/>
      <c r="AJ952" s="4"/>
      <c r="AK952" s="4"/>
      <c r="AL952" s="4" t="s">
        <v>174</v>
      </c>
      <c r="AM952" s="4" t="s">
        <v>205</v>
      </c>
    </row>
    <row r="953" customFormat="false" ht="23.85" hidden="false" customHeight="false" outlineLevel="0" collapsed="false">
      <c r="A953" s="4" t="s">
        <v>167</v>
      </c>
      <c r="B953" s="4" t="s">
        <v>1130</v>
      </c>
      <c r="C953" s="4" t="s">
        <v>1130</v>
      </c>
      <c r="D953" s="12" t="n">
        <v>2021</v>
      </c>
      <c r="E953" s="4"/>
      <c r="F953" s="4" t="s">
        <v>169</v>
      </c>
      <c r="G953" s="4" t="s">
        <v>170</v>
      </c>
      <c r="H953" s="4" t="s">
        <v>171</v>
      </c>
      <c r="I953" s="4" t="s">
        <v>172</v>
      </c>
      <c r="J953" s="4" t="s">
        <v>1130</v>
      </c>
      <c r="K953" s="4" t="s">
        <v>105</v>
      </c>
      <c r="L953" s="4" t="s">
        <v>106</v>
      </c>
      <c r="M953" s="4"/>
      <c r="N953" s="4"/>
      <c r="O953" s="4"/>
      <c r="P953" s="4"/>
      <c r="Q953" s="4"/>
      <c r="R953" s="4"/>
      <c r="S953" s="13" t="n">
        <v>0</v>
      </c>
      <c r="T953" s="4" t="s">
        <v>173</v>
      </c>
      <c r="U953" s="14" t="n">
        <f aca="false">IF(OR($S953="",PARAMETROS!$B$4=""),"",$S953*PARAMETROS!$B$4)</f>
        <v>0</v>
      </c>
      <c r="V953" s="13" t="n">
        <v>0</v>
      </c>
      <c r="W953" s="4"/>
      <c r="X953" s="4"/>
      <c r="Y953" s="4"/>
      <c r="Z953" s="4"/>
      <c r="AA953" s="4"/>
      <c r="AB953" s="4"/>
      <c r="AC953" s="4"/>
      <c r="AD953" s="4"/>
      <c r="AE953" s="4"/>
      <c r="AF953" s="4"/>
      <c r="AG953" s="4"/>
      <c r="AH953" s="4"/>
      <c r="AI953" s="4"/>
      <c r="AJ953" s="4"/>
      <c r="AK953" s="4"/>
      <c r="AL953" s="4" t="s">
        <v>174</v>
      </c>
      <c r="AM953" s="4" t="s">
        <v>205</v>
      </c>
    </row>
    <row r="954" customFormat="false" ht="23.85" hidden="false" customHeight="false" outlineLevel="0" collapsed="false">
      <c r="A954" s="4" t="s">
        <v>167</v>
      </c>
      <c r="B954" s="4" t="s">
        <v>1131</v>
      </c>
      <c r="C954" s="4" t="s">
        <v>1131</v>
      </c>
      <c r="D954" s="12" t="n">
        <v>2021</v>
      </c>
      <c r="E954" s="4"/>
      <c r="F954" s="4" t="s">
        <v>169</v>
      </c>
      <c r="G954" s="4" t="s">
        <v>170</v>
      </c>
      <c r="H954" s="4" t="s">
        <v>171</v>
      </c>
      <c r="I954" s="4" t="s">
        <v>172</v>
      </c>
      <c r="J954" s="4" t="s">
        <v>1131</v>
      </c>
      <c r="K954" s="4" t="s">
        <v>107</v>
      </c>
      <c r="L954" s="4" t="s">
        <v>108</v>
      </c>
      <c r="M954" s="4"/>
      <c r="N954" s="4"/>
      <c r="O954" s="4"/>
      <c r="P954" s="4"/>
      <c r="Q954" s="4"/>
      <c r="R954" s="4"/>
      <c r="S954" s="13" t="n">
        <v>0</v>
      </c>
      <c r="T954" s="4" t="s">
        <v>173</v>
      </c>
      <c r="U954" s="14" t="n">
        <f aca="false">IF(OR($S954="",PARAMETROS!$B$4=""),"",$S954*PARAMETROS!$B$4)</f>
        <v>0</v>
      </c>
      <c r="V954" s="13" t="n">
        <v>0</v>
      </c>
      <c r="W954" s="4"/>
      <c r="X954" s="4"/>
      <c r="Y954" s="4"/>
      <c r="Z954" s="4"/>
      <c r="AA954" s="4"/>
      <c r="AB954" s="4"/>
      <c r="AC954" s="4"/>
      <c r="AD954" s="4"/>
      <c r="AE954" s="4"/>
      <c r="AF954" s="4"/>
      <c r="AG954" s="4"/>
      <c r="AH954" s="4"/>
      <c r="AI954" s="4"/>
      <c r="AJ954" s="4"/>
      <c r="AK954" s="4"/>
      <c r="AL954" s="4" t="s">
        <v>174</v>
      </c>
      <c r="AM954" s="4" t="s">
        <v>205</v>
      </c>
    </row>
    <row r="955" customFormat="false" ht="23.85" hidden="false" customHeight="false" outlineLevel="0" collapsed="false">
      <c r="A955" s="4" t="s">
        <v>167</v>
      </c>
      <c r="B955" s="4" t="s">
        <v>1132</v>
      </c>
      <c r="C955" s="4" t="s">
        <v>1132</v>
      </c>
      <c r="D955" s="12" t="n">
        <v>2021</v>
      </c>
      <c r="E955" s="4"/>
      <c r="F955" s="4" t="s">
        <v>169</v>
      </c>
      <c r="G955" s="4" t="s">
        <v>170</v>
      </c>
      <c r="H955" s="4" t="s">
        <v>171</v>
      </c>
      <c r="I955" s="4" t="s">
        <v>172</v>
      </c>
      <c r="J955" s="4" t="s">
        <v>1132</v>
      </c>
      <c r="K955" s="4" t="s">
        <v>107</v>
      </c>
      <c r="L955" s="4" t="s">
        <v>108</v>
      </c>
      <c r="M955" s="4"/>
      <c r="N955" s="4"/>
      <c r="O955" s="4"/>
      <c r="P955" s="4"/>
      <c r="Q955" s="4"/>
      <c r="R955" s="4"/>
      <c r="S955" s="13" t="n">
        <v>599.48</v>
      </c>
      <c r="T955" s="4" t="s">
        <v>173</v>
      </c>
      <c r="U955" s="14" t="n">
        <f aca="false">IF(OR($S955="",PARAMETROS!$B$4=""),"",$S955*PARAMETROS!$B$4)</f>
        <v>3482.9788</v>
      </c>
      <c r="V955" s="13" t="n">
        <v>0</v>
      </c>
      <c r="W955" s="4"/>
      <c r="X955" s="4"/>
      <c r="Y955" s="4"/>
      <c r="Z955" s="4"/>
      <c r="AA955" s="4"/>
      <c r="AB955" s="4"/>
      <c r="AC955" s="4"/>
      <c r="AD955" s="4"/>
      <c r="AE955" s="4"/>
      <c r="AF955" s="4"/>
      <c r="AG955" s="4"/>
      <c r="AH955" s="4"/>
      <c r="AI955" s="4"/>
      <c r="AJ955" s="4"/>
      <c r="AK955" s="4"/>
      <c r="AL955" s="4" t="s">
        <v>174</v>
      </c>
      <c r="AM955" s="4" t="s">
        <v>205</v>
      </c>
    </row>
    <row r="956" customFormat="false" ht="23.85" hidden="false" customHeight="false" outlineLevel="0" collapsed="false">
      <c r="A956" s="4" t="s">
        <v>167</v>
      </c>
      <c r="B956" s="4" t="s">
        <v>1133</v>
      </c>
      <c r="C956" s="4" t="s">
        <v>1133</v>
      </c>
      <c r="D956" s="12" t="n">
        <v>2021</v>
      </c>
      <c r="E956" s="4"/>
      <c r="F956" s="4" t="s">
        <v>169</v>
      </c>
      <c r="G956" s="4" t="s">
        <v>170</v>
      </c>
      <c r="H956" s="4" t="s">
        <v>171</v>
      </c>
      <c r="I956" s="4" t="s">
        <v>172</v>
      </c>
      <c r="J956" s="4" t="s">
        <v>1133</v>
      </c>
      <c r="K956" s="4" t="s">
        <v>107</v>
      </c>
      <c r="L956" s="4" t="s">
        <v>108</v>
      </c>
      <c r="M956" s="4"/>
      <c r="N956" s="4"/>
      <c r="O956" s="4"/>
      <c r="P956" s="4"/>
      <c r="Q956" s="4"/>
      <c r="R956" s="4"/>
      <c r="S956" s="13" t="n">
        <v>16.86</v>
      </c>
      <c r="T956" s="4" t="s">
        <v>173</v>
      </c>
      <c r="U956" s="14" t="n">
        <f aca="false">IF(OR($S956="",PARAMETROS!$B$4=""),"",$S956*PARAMETROS!$B$4)</f>
        <v>97.9566</v>
      </c>
      <c r="V956" s="13" t="n">
        <v>0</v>
      </c>
      <c r="W956" s="4"/>
      <c r="X956" s="4"/>
      <c r="Y956" s="4"/>
      <c r="Z956" s="4"/>
      <c r="AA956" s="4"/>
      <c r="AB956" s="4"/>
      <c r="AC956" s="4"/>
      <c r="AD956" s="4"/>
      <c r="AE956" s="4"/>
      <c r="AF956" s="4"/>
      <c r="AG956" s="4"/>
      <c r="AH956" s="4"/>
      <c r="AI956" s="4"/>
      <c r="AJ956" s="4"/>
      <c r="AK956" s="4"/>
      <c r="AL956" s="4" t="s">
        <v>174</v>
      </c>
      <c r="AM956" s="4" t="s">
        <v>205</v>
      </c>
    </row>
    <row r="957" customFormat="false" ht="23.85" hidden="false" customHeight="false" outlineLevel="0" collapsed="false">
      <c r="A957" s="4" t="s">
        <v>167</v>
      </c>
      <c r="B957" s="4" t="s">
        <v>1134</v>
      </c>
      <c r="C957" s="4" t="s">
        <v>1134</v>
      </c>
      <c r="D957" s="12" t="n">
        <v>2021</v>
      </c>
      <c r="E957" s="4"/>
      <c r="F957" s="4" t="s">
        <v>169</v>
      </c>
      <c r="G957" s="4" t="s">
        <v>170</v>
      </c>
      <c r="H957" s="4" t="s">
        <v>171</v>
      </c>
      <c r="I957" s="4" t="s">
        <v>172</v>
      </c>
      <c r="J957" s="4" t="s">
        <v>1134</v>
      </c>
      <c r="K957" s="4" t="s">
        <v>107</v>
      </c>
      <c r="L957" s="4" t="s">
        <v>108</v>
      </c>
      <c r="M957" s="4"/>
      <c r="N957" s="4"/>
      <c r="O957" s="4"/>
      <c r="P957" s="4"/>
      <c r="Q957" s="4"/>
      <c r="R957" s="4"/>
      <c r="S957" s="13" t="n">
        <v>12.28</v>
      </c>
      <c r="T957" s="4" t="s">
        <v>173</v>
      </c>
      <c r="U957" s="14" t="n">
        <f aca="false">IF(OR($S957="",PARAMETROS!$B$4=""),"",$S957*PARAMETROS!$B$4)</f>
        <v>71.3468</v>
      </c>
      <c r="V957" s="13" t="n">
        <v>0</v>
      </c>
      <c r="W957" s="4"/>
      <c r="X957" s="4"/>
      <c r="Y957" s="4"/>
      <c r="Z957" s="4"/>
      <c r="AA957" s="4"/>
      <c r="AB957" s="4"/>
      <c r="AC957" s="4"/>
      <c r="AD957" s="4"/>
      <c r="AE957" s="4"/>
      <c r="AF957" s="4"/>
      <c r="AG957" s="4"/>
      <c r="AH957" s="4"/>
      <c r="AI957" s="4"/>
      <c r="AJ957" s="4"/>
      <c r="AK957" s="4"/>
      <c r="AL957" s="4" t="s">
        <v>174</v>
      </c>
      <c r="AM957" s="4" t="s">
        <v>205</v>
      </c>
    </row>
    <row r="958" customFormat="false" ht="23.85" hidden="false" customHeight="false" outlineLevel="0" collapsed="false">
      <c r="A958" s="4" t="s">
        <v>167</v>
      </c>
      <c r="B958" s="4" t="s">
        <v>1135</v>
      </c>
      <c r="C958" s="4" t="s">
        <v>1135</v>
      </c>
      <c r="D958" s="12" t="n">
        <v>2021</v>
      </c>
      <c r="E958" s="4"/>
      <c r="F958" s="4" t="s">
        <v>169</v>
      </c>
      <c r="G958" s="4" t="s">
        <v>170</v>
      </c>
      <c r="H958" s="4" t="s">
        <v>171</v>
      </c>
      <c r="I958" s="4" t="s">
        <v>172</v>
      </c>
      <c r="J958" s="4" t="s">
        <v>1135</v>
      </c>
      <c r="K958" s="4" t="s">
        <v>107</v>
      </c>
      <c r="L958" s="4" t="s">
        <v>108</v>
      </c>
      <c r="M958" s="4"/>
      <c r="N958" s="4"/>
      <c r="O958" s="4"/>
      <c r="P958" s="4"/>
      <c r="Q958" s="4"/>
      <c r="R958" s="4"/>
      <c r="S958" s="13" t="n">
        <v>0</v>
      </c>
      <c r="T958" s="4" t="s">
        <v>173</v>
      </c>
      <c r="U958" s="14" t="n">
        <f aca="false">IF(OR($S958="",PARAMETROS!$B$4=""),"",$S958*PARAMETROS!$B$4)</f>
        <v>0</v>
      </c>
      <c r="V958" s="13" t="n">
        <v>0</v>
      </c>
      <c r="W958" s="4"/>
      <c r="X958" s="4"/>
      <c r="Y958" s="4"/>
      <c r="Z958" s="4"/>
      <c r="AA958" s="4"/>
      <c r="AB958" s="4"/>
      <c r="AC958" s="4"/>
      <c r="AD958" s="4"/>
      <c r="AE958" s="4"/>
      <c r="AF958" s="4"/>
      <c r="AG958" s="4"/>
      <c r="AH958" s="4"/>
      <c r="AI958" s="4"/>
      <c r="AJ958" s="4"/>
      <c r="AK958" s="4"/>
      <c r="AL958" s="4" t="s">
        <v>174</v>
      </c>
      <c r="AM958" s="4" t="s">
        <v>205</v>
      </c>
    </row>
    <row r="959" customFormat="false" ht="23.85" hidden="false" customHeight="false" outlineLevel="0" collapsed="false">
      <c r="A959" s="4" t="s">
        <v>167</v>
      </c>
      <c r="B959" s="4" t="s">
        <v>1136</v>
      </c>
      <c r="C959" s="4" t="s">
        <v>1136</v>
      </c>
      <c r="D959" s="12" t="n">
        <v>2021</v>
      </c>
      <c r="E959" s="4"/>
      <c r="F959" s="4" t="s">
        <v>169</v>
      </c>
      <c r="G959" s="4" t="s">
        <v>170</v>
      </c>
      <c r="H959" s="4" t="s">
        <v>171</v>
      </c>
      <c r="I959" s="4" t="s">
        <v>172</v>
      </c>
      <c r="J959" s="4" t="s">
        <v>1136</v>
      </c>
      <c r="K959" s="4" t="s">
        <v>107</v>
      </c>
      <c r="L959" s="4" t="s">
        <v>108</v>
      </c>
      <c r="M959" s="4"/>
      <c r="N959" s="4"/>
      <c r="O959" s="4"/>
      <c r="P959" s="4"/>
      <c r="Q959" s="4"/>
      <c r="R959" s="4"/>
      <c r="S959" s="13" t="n">
        <v>0</v>
      </c>
      <c r="T959" s="4" t="s">
        <v>173</v>
      </c>
      <c r="U959" s="14" t="n">
        <f aca="false">IF(OR($S959="",PARAMETROS!$B$4=""),"",$S959*PARAMETROS!$B$4)</f>
        <v>0</v>
      </c>
      <c r="V959" s="13" t="n">
        <v>0</v>
      </c>
      <c r="W959" s="4"/>
      <c r="X959" s="4"/>
      <c r="Y959" s="4"/>
      <c r="Z959" s="4"/>
      <c r="AA959" s="4"/>
      <c r="AB959" s="4"/>
      <c r="AC959" s="4"/>
      <c r="AD959" s="4"/>
      <c r="AE959" s="4"/>
      <c r="AF959" s="4"/>
      <c r="AG959" s="4"/>
      <c r="AH959" s="4"/>
      <c r="AI959" s="4"/>
      <c r="AJ959" s="4"/>
      <c r="AK959" s="4"/>
      <c r="AL959" s="4" t="s">
        <v>174</v>
      </c>
      <c r="AM959" s="4" t="s">
        <v>205</v>
      </c>
    </row>
    <row r="960" customFormat="false" ht="23.85" hidden="false" customHeight="false" outlineLevel="0" collapsed="false">
      <c r="A960" s="4" t="s">
        <v>167</v>
      </c>
      <c r="B960" s="4" t="s">
        <v>1137</v>
      </c>
      <c r="C960" s="4" t="s">
        <v>1137</v>
      </c>
      <c r="D960" s="12" t="n">
        <v>2021</v>
      </c>
      <c r="E960" s="4"/>
      <c r="F960" s="4" t="s">
        <v>169</v>
      </c>
      <c r="G960" s="4" t="s">
        <v>170</v>
      </c>
      <c r="H960" s="4" t="s">
        <v>171</v>
      </c>
      <c r="I960" s="4" t="s">
        <v>172</v>
      </c>
      <c r="J960" s="4" t="s">
        <v>1137</v>
      </c>
      <c r="K960" s="4" t="s">
        <v>107</v>
      </c>
      <c r="L960" s="4" t="s">
        <v>108</v>
      </c>
      <c r="M960" s="4"/>
      <c r="N960" s="4"/>
      <c r="O960" s="4"/>
      <c r="P960" s="4"/>
      <c r="Q960" s="4"/>
      <c r="R960" s="4"/>
      <c r="S960" s="13" t="n">
        <v>0</v>
      </c>
      <c r="T960" s="4" t="s">
        <v>173</v>
      </c>
      <c r="U960" s="14" t="n">
        <f aca="false">IF(OR($S960="",PARAMETROS!$B$4=""),"",$S960*PARAMETROS!$B$4)</f>
        <v>0</v>
      </c>
      <c r="V960" s="13" t="n">
        <v>0</v>
      </c>
      <c r="W960" s="4"/>
      <c r="X960" s="4"/>
      <c r="Y960" s="4"/>
      <c r="Z960" s="4"/>
      <c r="AA960" s="4"/>
      <c r="AB960" s="4"/>
      <c r="AC960" s="4"/>
      <c r="AD960" s="4"/>
      <c r="AE960" s="4"/>
      <c r="AF960" s="4"/>
      <c r="AG960" s="4"/>
      <c r="AH960" s="4"/>
      <c r="AI960" s="4"/>
      <c r="AJ960" s="4"/>
      <c r="AK960" s="4"/>
      <c r="AL960" s="4" t="s">
        <v>174</v>
      </c>
      <c r="AM960" s="4" t="s">
        <v>205</v>
      </c>
    </row>
    <row r="961" customFormat="false" ht="23.85" hidden="false" customHeight="false" outlineLevel="0" collapsed="false">
      <c r="A961" s="4" t="s">
        <v>167</v>
      </c>
      <c r="B961" s="4" t="s">
        <v>1138</v>
      </c>
      <c r="C961" s="4" t="s">
        <v>1138</v>
      </c>
      <c r="D961" s="12" t="n">
        <v>2021</v>
      </c>
      <c r="E961" s="4"/>
      <c r="F961" s="4" t="s">
        <v>169</v>
      </c>
      <c r="G961" s="4" t="s">
        <v>170</v>
      </c>
      <c r="H961" s="4" t="s">
        <v>171</v>
      </c>
      <c r="I961" s="4" t="s">
        <v>172</v>
      </c>
      <c r="J961" s="4" t="s">
        <v>1138</v>
      </c>
      <c r="K961" s="4" t="s">
        <v>107</v>
      </c>
      <c r="L961" s="4" t="s">
        <v>108</v>
      </c>
      <c r="M961" s="4"/>
      <c r="N961" s="4"/>
      <c r="O961" s="4"/>
      <c r="P961" s="4"/>
      <c r="Q961" s="4"/>
      <c r="R961" s="4"/>
      <c r="S961" s="13" t="n">
        <v>0</v>
      </c>
      <c r="T961" s="4" t="s">
        <v>173</v>
      </c>
      <c r="U961" s="14" t="n">
        <f aca="false">IF(OR($S961="",PARAMETROS!$B$4=""),"",$S961*PARAMETROS!$B$4)</f>
        <v>0</v>
      </c>
      <c r="V961" s="13" t="n">
        <v>0</v>
      </c>
      <c r="W961" s="4"/>
      <c r="X961" s="4"/>
      <c r="Y961" s="4"/>
      <c r="Z961" s="4"/>
      <c r="AA961" s="4"/>
      <c r="AB961" s="4"/>
      <c r="AC961" s="4"/>
      <c r="AD961" s="4"/>
      <c r="AE961" s="4"/>
      <c r="AF961" s="4"/>
      <c r="AG961" s="4"/>
      <c r="AH961" s="4"/>
      <c r="AI961" s="4"/>
      <c r="AJ961" s="4"/>
      <c r="AK961" s="4"/>
      <c r="AL961" s="4" t="s">
        <v>174</v>
      </c>
      <c r="AM961" s="4" t="s">
        <v>205</v>
      </c>
    </row>
    <row r="962" customFormat="false" ht="23.85" hidden="false" customHeight="false" outlineLevel="0" collapsed="false">
      <c r="A962" s="4" t="s">
        <v>167</v>
      </c>
      <c r="B962" s="4" t="s">
        <v>1139</v>
      </c>
      <c r="C962" s="4" t="s">
        <v>1139</v>
      </c>
      <c r="D962" s="12" t="n">
        <v>2021</v>
      </c>
      <c r="E962" s="4"/>
      <c r="F962" s="4" t="s">
        <v>169</v>
      </c>
      <c r="G962" s="4" t="s">
        <v>170</v>
      </c>
      <c r="H962" s="4" t="s">
        <v>171</v>
      </c>
      <c r="I962" s="4" t="s">
        <v>172</v>
      </c>
      <c r="J962" s="4" t="s">
        <v>1139</v>
      </c>
      <c r="K962" s="4" t="s">
        <v>107</v>
      </c>
      <c r="L962" s="4" t="s">
        <v>108</v>
      </c>
      <c r="M962" s="4"/>
      <c r="N962" s="4"/>
      <c r="O962" s="4"/>
      <c r="P962" s="4"/>
      <c r="Q962" s="4"/>
      <c r="R962" s="4"/>
      <c r="S962" s="13" t="n">
        <v>594.91</v>
      </c>
      <c r="T962" s="4" t="s">
        <v>173</v>
      </c>
      <c r="U962" s="14" t="n">
        <f aca="false">IF(OR($S962="",PARAMETROS!$B$4=""),"",$S962*PARAMETROS!$B$4)</f>
        <v>3456.4271</v>
      </c>
      <c r="V962" s="13" t="n">
        <v>0</v>
      </c>
      <c r="W962" s="4"/>
      <c r="X962" s="4"/>
      <c r="Y962" s="4"/>
      <c r="Z962" s="4"/>
      <c r="AA962" s="4"/>
      <c r="AB962" s="4"/>
      <c r="AC962" s="4"/>
      <c r="AD962" s="4"/>
      <c r="AE962" s="4"/>
      <c r="AF962" s="4"/>
      <c r="AG962" s="4"/>
      <c r="AH962" s="4"/>
      <c r="AI962" s="4"/>
      <c r="AJ962" s="4"/>
      <c r="AK962" s="4"/>
      <c r="AL962" s="4" t="s">
        <v>174</v>
      </c>
      <c r="AM962" s="4" t="s">
        <v>205</v>
      </c>
    </row>
    <row r="963" customFormat="false" ht="23.85" hidden="false" customHeight="false" outlineLevel="0" collapsed="false">
      <c r="A963" s="4" t="s">
        <v>167</v>
      </c>
      <c r="B963" s="4" t="s">
        <v>1140</v>
      </c>
      <c r="C963" s="4" t="s">
        <v>1140</v>
      </c>
      <c r="D963" s="12" t="n">
        <v>2021</v>
      </c>
      <c r="E963" s="4"/>
      <c r="F963" s="4" t="s">
        <v>169</v>
      </c>
      <c r="G963" s="4" t="s">
        <v>170</v>
      </c>
      <c r="H963" s="4" t="s">
        <v>171</v>
      </c>
      <c r="I963" s="4" t="s">
        <v>172</v>
      </c>
      <c r="J963" s="4" t="s">
        <v>1140</v>
      </c>
      <c r="K963" s="4" t="s">
        <v>107</v>
      </c>
      <c r="L963" s="4" t="s">
        <v>108</v>
      </c>
      <c r="M963" s="4"/>
      <c r="N963" s="4"/>
      <c r="O963" s="4"/>
      <c r="P963" s="4"/>
      <c r="Q963" s="4"/>
      <c r="R963" s="4"/>
      <c r="S963" s="13" t="n">
        <v>0</v>
      </c>
      <c r="T963" s="4" t="s">
        <v>173</v>
      </c>
      <c r="U963" s="14" t="n">
        <f aca="false">IF(OR($S963="",PARAMETROS!$B$4=""),"",$S963*PARAMETROS!$B$4)</f>
        <v>0</v>
      </c>
      <c r="V963" s="13" t="n">
        <v>0</v>
      </c>
      <c r="W963" s="4"/>
      <c r="X963" s="4"/>
      <c r="Y963" s="4"/>
      <c r="Z963" s="4"/>
      <c r="AA963" s="4"/>
      <c r="AB963" s="4"/>
      <c r="AC963" s="4"/>
      <c r="AD963" s="4"/>
      <c r="AE963" s="4"/>
      <c r="AF963" s="4"/>
      <c r="AG963" s="4"/>
      <c r="AH963" s="4"/>
      <c r="AI963" s="4"/>
      <c r="AJ963" s="4"/>
      <c r="AK963" s="4"/>
      <c r="AL963" s="4" t="s">
        <v>174</v>
      </c>
      <c r="AM963" s="4" t="s">
        <v>205</v>
      </c>
    </row>
    <row r="964" customFormat="false" ht="23.85" hidden="false" customHeight="false" outlineLevel="0" collapsed="false">
      <c r="A964" s="4" t="s">
        <v>167</v>
      </c>
      <c r="B964" s="4" t="s">
        <v>1141</v>
      </c>
      <c r="C964" s="4" t="s">
        <v>1141</v>
      </c>
      <c r="D964" s="12" t="n">
        <v>2021</v>
      </c>
      <c r="E964" s="4"/>
      <c r="F964" s="4" t="s">
        <v>169</v>
      </c>
      <c r="G964" s="4" t="s">
        <v>170</v>
      </c>
      <c r="H964" s="4" t="s">
        <v>171</v>
      </c>
      <c r="I964" s="4" t="s">
        <v>172</v>
      </c>
      <c r="J964" s="4" t="s">
        <v>1141</v>
      </c>
      <c r="K964" s="4" t="s">
        <v>107</v>
      </c>
      <c r="L964" s="4" t="s">
        <v>108</v>
      </c>
      <c r="M964" s="4"/>
      <c r="N964" s="4"/>
      <c r="O964" s="4"/>
      <c r="P964" s="4"/>
      <c r="Q964" s="4"/>
      <c r="R964" s="4"/>
      <c r="S964" s="13" t="n">
        <v>0</v>
      </c>
      <c r="T964" s="4" t="s">
        <v>173</v>
      </c>
      <c r="U964" s="14" t="n">
        <f aca="false">IF(OR($S964="",PARAMETROS!$B$4=""),"",$S964*PARAMETROS!$B$4)</f>
        <v>0</v>
      </c>
      <c r="V964" s="13" t="n">
        <v>0</v>
      </c>
      <c r="W964" s="4"/>
      <c r="X964" s="4"/>
      <c r="Y964" s="4"/>
      <c r="Z964" s="4"/>
      <c r="AA964" s="4"/>
      <c r="AB964" s="4"/>
      <c r="AC964" s="4"/>
      <c r="AD964" s="4"/>
      <c r="AE964" s="4"/>
      <c r="AF964" s="4"/>
      <c r="AG964" s="4"/>
      <c r="AH964" s="4"/>
      <c r="AI964" s="4"/>
      <c r="AJ964" s="4"/>
      <c r="AK964" s="4"/>
      <c r="AL964" s="4" t="s">
        <v>174</v>
      </c>
      <c r="AM964" s="4" t="s">
        <v>205</v>
      </c>
    </row>
    <row r="965" customFormat="false" ht="23.85" hidden="false" customHeight="false" outlineLevel="0" collapsed="false">
      <c r="A965" s="4" t="s">
        <v>167</v>
      </c>
      <c r="B965" s="4" t="s">
        <v>1142</v>
      </c>
      <c r="C965" s="4" t="s">
        <v>1142</v>
      </c>
      <c r="D965" s="12" t="n">
        <v>2021</v>
      </c>
      <c r="E965" s="4"/>
      <c r="F965" s="4" t="s">
        <v>169</v>
      </c>
      <c r="G965" s="4" t="s">
        <v>170</v>
      </c>
      <c r="H965" s="4" t="s">
        <v>171</v>
      </c>
      <c r="I965" s="4" t="s">
        <v>172</v>
      </c>
      <c r="J965" s="4" t="s">
        <v>1142</v>
      </c>
      <c r="K965" s="4" t="s">
        <v>107</v>
      </c>
      <c r="L965" s="4" t="s">
        <v>108</v>
      </c>
      <c r="M965" s="4"/>
      <c r="N965" s="4"/>
      <c r="O965" s="4"/>
      <c r="P965" s="4"/>
      <c r="Q965" s="4"/>
      <c r="R965" s="4"/>
      <c r="S965" s="13" t="n">
        <v>0</v>
      </c>
      <c r="T965" s="4" t="s">
        <v>173</v>
      </c>
      <c r="U965" s="14" t="n">
        <f aca="false">IF(OR($S965="",PARAMETROS!$B$4=""),"",$S965*PARAMETROS!$B$4)</f>
        <v>0</v>
      </c>
      <c r="V965" s="13" t="n">
        <v>0</v>
      </c>
      <c r="W965" s="4"/>
      <c r="X965" s="4"/>
      <c r="Y965" s="4"/>
      <c r="Z965" s="4"/>
      <c r="AA965" s="4"/>
      <c r="AB965" s="4"/>
      <c r="AC965" s="4"/>
      <c r="AD965" s="4"/>
      <c r="AE965" s="4"/>
      <c r="AF965" s="4"/>
      <c r="AG965" s="4"/>
      <c r="AH965" s="4"/>
      <c r="AI965" s="4"/>
      <c r="AJ965" s="4"/>
      <c r="AK965" s="4"/>
      <c r="AL965" s="4" t="s">
        <v>174</v>
      </c>
      <c r="AM965" s="4" t="s">
        <v>205</v>
      </c>
    </row>
    <row r="966" customFormat="false" ht="23.85" hidden="false" customHeight="false" outlineLevel="0" collapsed="false">
      <c r="A966" s="4" t="s">
        <v>167</v>
      </c>
      <c r="B966" s="4" t="s">
        <v>1143</v>
      </c>
      <c r="C966" s="4" t="s">
        <v>1143</v>
      </c>
      <c r="D966" s="12" t="n">
        <v>2021</v>
      </c>
      <c r="E966" s="4"/>
      <c r="F966" s="4" t="s">
        <v>169</v>
      </c>
      <c r="G966" s="4" t="s">
        <v>170</v>
      </c>
      <c r="H966" s="4" t="s">
        <v>171</v>
      </c>
      <c r="I966" s="4" t="s">
        <v>172</v>
      </c>
      <c r="J966" s="4" t="s">
        <v>1143</v>
      </c>
      <c r="K966" s="4" t="s">
        <v>107</v>
      </c>
      <c r="L966" s="4" t="s">
        <v>108</v>
      </c>
      <c r="M966" s="4"/>
      <c r="N966" s="4"/>
      <c r="O966" s="4"/>
      <c r="P966" s="4"/>
      <c r="Q966" s="4"/>
      <c r="R966" s="4"/>
      <c r="S966" s="13" t="n">
        <v>0</v>
      </c>
      <c r="T966" s="4" t="s">
        <v>173</v>
      </c>
      <c r="U966" s="14" t="n">
        <f aca="false">IF(OR($S966="",PARAMETROS!$B$4=""),"",$S966*PARAMETROS!$B$4)</f>
        <v>0</v>
      </c>
      <c r="V966" s="13" t="n">
        <v>1</v>
      </c>
      <c r="W966" s="4"/>
      <c r="X966" s="4"/>
      <c r="Y966" s="4"/>
      <c r="Z966" s="4"/>
      <c r="AA966" s="4"/>
      <c r="AB966" s="4"/>
      <c r="AC966" s="4"/>
      <c r="AD966" s="4"/>
      <c r="AE966" s="4"/>
      <c r="AF966" s="4"/>
      <c r="AG966" s="4"/>
      <c r="AH966" s="4"/>
      <c r="AI966" s="4"/>
      <c r="AJ966" s="4"/>
      <c r="AK966" s="4"/>
      <c r="AL966" s="4" t="s">
        <v>174</v>
      </c>
      <c r="AM966" s="4" t="s">
        <v>205</v>
      </c>
    </row>
    <row r="967" customFormat="false" ht="23.85" hidden="false" customHeight="false" outlineLevel="0" collapsed="false">
      <c r="A967" s="4" t="s">
        <v>167</v>
      </c>
      <c r="B967" s="4" t="s">
        <v>1144</v>
      </c>
      <c r="C967" s="4" t="s">
        <v>1144</v>
      </c>
      <c r="D967" s="12" t="n">
        <v>2021</v>
      </c>
      <c r="E967" s="4"/>
      <c r="F967" s="4" t="s">
        <v>169</v>
      </c>
      <c r="G967" s="4" t="s">
        <v>170</v>
      </c>
      <c r="H967" s="4" t="s">
        <v>171</v>
      </c>
      <c r="I967" s="4" t="s">
        <v>172</v>
      </c>
      <c r="J967" s="4" t="s">
        <v>1144</v>
      </c>
      <c r="K967" s="4" t="s">
        <v>107</v>
      </c>
      <c r="L967" s="4" t="s">
        <v>108</v>
      </c>
      <c r="M967" s="4"/>
      <c r="N967" s="4"/>
      <c r="O967" s="4"/>
      <c r="P967" s="4"/>
      <c r="Q967" s="4"/>
      <c r="R967" s="4"/>
      <c r="S967" s="13" t="n">
        <v>0</v>
      </c>
      <c r="T967" s="4" t="s">
        <v>173</v>
      </c>
      <c r="U967" s="14" t="n">
        <f aca="false">IF(OR($S967="",PARAMETROS!$B$4=""),"",$S967*PARAMETROS!$B$4)</f>
        <v>0</v>
      </c>
      <c r="V967" s="13" t="n">
        <v>0</v>
      </c>
      <c r="W967" s="4"/>
      <c r="X967" s="4"/>
      <c r="Y967" s="4"/>
      <c r="Z967" s="4"/>
      <c r="AA967" s="4"/>
      <c r="AB967" s="4"/>
      <c r="AC967" s="4"/>
      <c r="AD967" s="4"/>
      <c r="AE967" s="4"/>
      <c r="AF967" s="4"/>
      <c r="AG967" s="4"/>
      <c r="AH967" s="4"/>
      <c r="AI967" s="4"/>
      <c r="AJ967" s="4"/>
      <c r="AK967" s="4"/>
      <c r="AL967" s="4" t="s">
        <v>174</v>
      </c>
      <c r="AM967" s="4" t="s">
        <v>205</v>
      </c>
    </row>
    <row r="968" customFormat="false" ht="23.85" hidden="false" customHeight="false" outlineLevel="0" collapsed="false">
      <c r="A968" s="4" t="s">
        <v>167</v>
      </c>
      <c r="B968" s="4" t="s">
        <v>1145</v>
      </c>
      <c r="C968" s="4" t="s">
        <v>1145</v>
      </c>
      <c r="D968" s="12" t="n">
        <v>2021</v>
      </c>
      <c r="E968" s="4"/>
      <c r="F968" s="4" t="s">
        <v>169</v>
      </c>
      <c r="G968" s="4" t="s">
        <v>170</v>
      </c>
      <c r="H968" s="4" t="s">
        <v>171</v>
      </c>
      <c r="I968" s="4" t="s">
        <v>172</v>
      </c>
      <c r="J968" s="4" t="s">
        <v>1145</v>
      </c>
      <c r="K968" s="4" t="s">
        <v>111</v>
      </c>
      <c r="L968" s="4" t="s">
        <v>112</v>
      </c>
      <c r="M968" s="4"/>
      <c r="N968" s="4"/>
      <c r="O968" s="4"/>
      <c r="P968" s="4"/>
      <c r="Q968" s="4"/>
      <c r="R968" s="4"/>
      <c r="S968" s="13" t="n">
        <v>0</v>
      </c>
      <c r="T968" s="4" t="s">
        <v>173</v>
      </c>
      <c r="U968" s="14" t="n">
        <f aca="false">IF(OR($S968="",PARAMETROS!$B$4=""),"",$S968*PARAMETROS!$B$4)</f>
        <v>0</v>
      </c>
      <c r="V968" s="13" t="n">
        <v>0</v>
      </c>
      <c r="W968" s="4"/>
      <c r="X968" s="4"/>
      <c r="Y968" s="4"/>
      <c r="Z968" s="4"/>
      <c r="AA968" s="4"/>
      <c r="AB968" s="4"/>
      <c r="AC968" s="4"/>
      <c r="AD968" s="4"/>
      <c r="AE968" s="4"/>
      <c r="AF968" s="4"/>
      <c r="AG968" s="4"/>
      <c r="AH968" s="4"/>
      <c r="AI968" s="4"/>
      <c r="AJ968" s="4"/>
      <c r="AK968" s="4"/>
      <c r="AL968" s="4" t="s">
        <v>174</v>
      </c>
      <c r="AM968" s="4" t="s">
        <v>190</v>
      </c>
    </row>
    <row r="969" customFormat="false" ht="23.85" hidden="false" customHeight="false" outlineLevel="0" collapsed="false">
      <c r="A969" s="4" t="s">
        <v>167</v>
      </c>
      <c r="B969" s="4" t="s">
        <v>1146</v>
      </c>
      <c r="C969" s="4" t="s">
        <v>1146</v>
      </c>
      <c r="D969" s="12" t="n">
        <v>2021</v>
      </c>
      <c r="E969" s="4"/>
      <c r="F969" s="4" t="s">
        <v>169</v>
      </c>
      <c r="G969" s="4" t="s">
        <v>170</v>
      </c>
      <c r="H969" s="4" t="s">
        <v>171</v>
      </c>
      <c r="I969" s="4" t="s">
        <v>172</v>
      </c>
      <c r="J969" s="4" t="s">
        <v>1146</v>
      </c>
      <c r="K969" s="4" t="s">
        <v>111</v>
      </c>
      <c r="L969" s="4" t="s">
        <v>112</v>
      </c>
      <c r="M969" s="4"/>
      <c r="N969" s="4"/>
      <c r="O969" s="4"/>
      <c r="P969" s="4"/>
      <c r="Q969" s="4"/>
      <c r="R969" s="4"/>
      <c r="S969" s="13" t="n">
        <v>41.24</v>
      </c>
      <c r="T969" s="4" t="s">
        <v>173</v>
      </c>
      <c r="U969" s="14" t="n">
        <f aca="false">IF(OR($S969="",PARAMETROS!$B$4=""),"",$S969*PARAMETROS!$B$4)</f>
        <v>239.6044</v>
      </c>
      <c r="V969" s="13" t="n">
        <v>0</v>
      </c>
      <c r="W969" s="4"/>
      <c r="X969" s="4"/>
      <c r="Y969" s="4"/>
      <c r="Z969" s="4"/>
      <c r="AA969" s="4"/>
      <c r="AB969" s="4"/>
      <c r="AC969" s="4"/>
      <c r="AD969" s="4"/>
      <c r="AE969" s="4"/>
      <c r="AF969" s="4"/>
      <c r="AG969" s="4"/>
      <c r="AH969" s="4"/>
      <c r="AI969" s="4"/>
      <c r="AJ969" s="4"/>
      <c r="AK969" s="4"/>
      <c r="AL969" s="4" t="s">
        <v>174</v>
      </c>
      <c r="AM969" s="4" t="s">
        <v>190</v>
      </c>
    </row>
    <row r="970" customFormat="false" ht="23.85" hidden="false" customHeight="false" outlineLevel="0" collapsed="false">
      <c r="A970" s="4" t="s">
        <v>167</v>
      </c>
      <c r="B970" s="4" t="s">
        <v>1147</v>
      </c>
      <c r="C970" s="4" t="s">
        <v>1147</v>
      </c>
      <c r="D970" s="12" t="n">
        <v>2021</v>
      </c>
      <c r="E970" s="4"/>
      <c r="F970" s="4" t="s">
        <v>169</v>
      </c>
      <c r="G970" s="4" t="s">
        <v>170</v>
      </c>
      <c r="H970" s="4" t="s">
        <v>171</v>
      </c>
      <c r="I970" s="4" t="s">
        <v>172</v>
      </c>
      <c r="J970" s="4" t="s">
        <v>1147</v>
      </c>
      <c r="K970" s="4" t="s">
        <v>111</v>
      </c>
      <c r="L970" s="4" t="s">
        <v>112</v>
      </c>
      <c r="M970" s="4"/>
      <c r="N970" s="4"/>
      <c r="O970" s="4"/>
      <c r="P970" s="4"/>
      <c r="Q970" s="4"/>
      <c r="R970" s="4"/>
      <c r="S970" s="13" t="n">
        <v>495.71</v>
      </c>
      <c r="T970" s="4" t="s">
        <v>173</v>
      </c>
      <c r="U970" s="14" t="n">
        <f aca="false">IF(OR($S970="",PARAMETROS!$B$4=""),"",$S970*PARAMETROS!$B$4)</f>
        <v>2880.0751</v>
      </c>
      <c r="V970" s="13" t="n">
        <v>0</v>
      </c>
      <c r="W970" s="4"/>
      <c r="X970" s="4"/>
      <c r="Y970" s="4"/>
      <c r="Z970" s="4"/>
      <c r="AA970" s="4"/>
      <c r="AB970" s="4"/>
      <c r="AC970" s="4"/>
      <c r="AD970" s="4"/>
      <c r="AE970" s="4"/>
      <c r="AF970" s="4"/>
      <c r="AG970" s="4"/>
      <c r="AH970" s="4"/>
      <c r="AI970" s="4"/>
      <c r="AJ970" s="4"/>
      <c r="AK970" s="4"/>
      <c r="AL970" s="4" t="s">
        <v>174</v>
      </c>
      <c r="AM970" s="4" t="s">
        <v>190</v>
      </c>
    </row>
    <row r="971" customFormat="false" ht="23.85" hidden="false" customHeight="false" outlineLevel="0" collapsed="false">
      <c r="A971" s="4" t="s">
        <v>167</v>
      </c>
      <c r="B971" s="4" t="s">
        <v>1148</v>
      </c>
      <c r="C971" s="4" t="s">
        <v>1148</v>
      </c>
      <c r="D971" s="12" t="n">
        <v>2021</v>
      </c>
      <c r="E971" s="4"/>
      <c r="F971" s="4" t="s">
        <v>169</v>
      </c>
      <c r="G971" s="4" t="s">
        <v>170</v>
      </c>
      <c r="H971" s="4" t="s">
        <v>171</v>
      </c>
      <c r="I971" s="4" t="s">
        <v>172</v>
      </c>
      <c r="J971" s="4" t="s">
        <v>1148</v>
      </c>
      <c r="K971" s="4" t="s">
        <v>111</v>
      </c>
      <c r="L971" s="4" t="s">
        <v>112</v>
      </c>
      <c r="M971" s="4"/>
      <c r="N971" s="4"/>
      <c r="O971" s="4"/>
      <c r="P971" s="4"/>
      <c r="Q971" s="4"/>
      <c r="R971" s="4"/>
      <c r="S971" s="13" t="n">
        <v>1.68</v>
      </c>
      <c r="T971" s="4" t="s">
        <v>173</v>
      </c>
      <c r="U971" s="14" t="n">
        <f aca="false">IF(OR($S971="",PARAMETROS!$B$4=""),"",$S971*PARAMETROS!$B$4)</f>
        <v>9.7608</v>
      </c>
      <c r="V971" s="13" t="n">
        <v>0</v>
      </c>
      <c r="W971" s="4"/>
      <c r="X971" s="4"/>
      <c r="Y971" s="4"/>
      <c r="Z971" s="4"/>
      <c r="AA971" s="4"/>
      <c r="AB971" s="4"/>
      <c r="AC971" s="4"/>
      <c r="AD971" s="4"/>
      <c r="AE971" s="4"/>
      <c r="AF971" s="4"/>
      <c r="AG971" s="4"/>
      <c r="AH971" s="4"/>
      <c r="AI971" s="4"/>
      <c r="AJ971" s="4"/>
      <c r="AK971" s="4"/>
      <c r="AL971" s="4" t="s">
        <v>174</v>
      </c>
      <c r="AM971" s="4" t="s">
        <v>190</v>
      </c>
    </row>
    <row r="972" customFormat="false" ht="23.85" hidden="false" customHeight="false" outlineLevel="0" collapsed="false">
      <c r="A972" s="4" t="s">
        <v>167</v>
      </c>
      <c r="B972" s="4" t="s">
        <v>1149</v>
      </c>
      <c r="C972" s="4" t="s">
        <v>1149</v>
      </c>
      <c r="D972" s="12" t="n">
        <v>2021</v>
      </c>
      <c r="E972" s="4"/>
      <c r="F972" s="4" t="s">
        <v>169</v>
      </c>
      <c r="G972" s="4" t="s">
        <v>170</v>
      </c>
      <c r="H972" s="4" t="s">
        <v>171</v>
      </c>
      <c r="I972" s="4" t="s">
        <v>172</v>
      </c>
      <c r="J972" s="4" t="s">
        <v>1149</v>
      </c>
      <c r="K972" s="4" t="s">
        <v>111</v>
      </c>
      <c r="L972" s="4" t="s">
        <v>112</v>
      </c>
      <c r="M972" s="4"/>
      <c r="N972" s="4"/>
      <c r="O972" s="4"/>
      <c r="P972" s="4"/>
      <c r="Q972" s="4"/>
      <c r="R972" s="4"/>
      <c r="S972" s="13" t="n">
        <v>795.73</v>
      </c>
      <c r="T972" s="4" t="s">
        <v>173</v>
      </c>
      <c r="U972" s="14" t="n">
        <f aca="false">IF(OR($S972="",PARAMETROS!$B$4=""),"",$S972*PARAMETROS!$B$4)</f>
        <v>4623.1913</v>
      </c>
      <c r="V972" s="13" t="n">
        <v>0</v>
      </c>
      <c r="W972" s="4"/>
      <c r="X972" s="4"/>
      <c r="Y972" s="4"/>
      <c r="Z972" s="4"/>
      <c r="AA972" s="4"/>
      <c r="AB972" s="4"/>
      <c r="AC972" s="4"/>
      <c r="AD972" s="4"/>
      <c r="AE972" s="4"/>
      <c r="AF972" s="4"/>
      <c r="AG972" s="4"/>
      <c r="AH972" s="4"/>
      <c r="AI972" s="4"/>
      <c r="AJ972" s="4"/>
      <c r="AK972" s="4"/>
      <c r="AL972" s="4" t="s">
        <v>174</v>
      </c>
      <c r="AM972" s="4" t="s">
        <v>190</v>
      </c>
    </row>
    <row r="973" customFormat="false" ht="23.85" hidden="false" customHeight="false" outlineLevel="0" collapsed="false">
      <c r="A973" s="4" t="s">
        <v>167</v>
      </c>
      <c r="B973" s="4" t="s">
        <v>1150</v>
      </c>
      <c r="C973" s="4" t="s">
        <v>1150</v>
      </c>
      <c r="D973" s="12" t="n">
        <v>2021</v>
      </c>
      <c r="E973" s="4"/>
      <c r="F973" s="4" t="s">
        <v>169</v>
      </c>
      <c r="G973" s="4" t="s">
        <v>170</v>
      </c>
      <c r="H973" s="4" t="s">
        <v>171</v>
      </c>
      <c r="I973" s="4" t="s">
        <v>172</v>
      </c>
      <c r="J973" s="4" t="s">
        <v>1150</v>
      </c>
      <c r="K973" s="4" t="s">
        <v>111</v>
      </c>
      <c r="L973" s="4" t="s">
        <v>112</v>
      </c>
      <c r="M973" s="4"/>
      <c r="N973" s="4"/>
      <c r="O973" s="4"/>
      <c r="P973" s="4"/>
      <c r="Q973" s="4"/>
      <c r="R973" s="4"/>
      <c r="S973" s="13" t="n">
        <v>0</v>
      </c>
      <c r="T973" s="4" t="s">
        <v>173</v>
      </c>
      <c r="U973" s="14" t="n">
        <f aca="false">IF(OR($S973="",PARAMETROS!$B$4=""),"",$S973*PARAMETROS!$B$4)</f>
        <v>0</v>
      </c>
      <c r="V973" s="13" t="n">
        <v>0</v>
      </c>
      <c r="W973" s="4"/>
      <c r="X973" s="4"/>
      <c r="Y973" s="4"/>
      <c r="Z973" s="4"/>
      <c r="AA973" s="4"/>
      <c r="AB973" s="4"/>
      <c r="AC973" s="4"/>
      <c r="AD973" s="4"/>
      <c r="AE973" s="4"/>
      <c r="AF973" s="4"/>
      <c r="AG973" s="4"/>
      <c r="AH973" s="4"/>
      <c r="AI973" s="4"/>
      <c r="AJ973" s="4"/>
      <c r="AK973" s="4"/>
      <c r="AL973" s="4" t="s">
        <v>174</v>
      </c>
      <c r="AM973" s="4" t="s">
        <v>190</v>
      </c>
    </row>
    <row r="974" customFormat="false" ht="23.85" hidden="false" customHeight="false" outlineLevel="0" collapsed="false">
      <c r="A974" s="4" t="s">
        <v>167</v>
      </c>
      <c r="B974" s="4" t="s">
        <v>1151</v>
      </c>
      <c r="C974" s="4" t="s">
        <v>1151</v>
      </c>
      <c r="D974" s="12" t="n">
        <v>2021</v>
      </c>
      <c r="E974" s="4"/>
      <c r="F974" s="4" t="s">
        <v>169</v>
      </c>
      <c r="G974" s="4" t="s">
        <v>170</v>
      </c>
      <c r="H974" s="4" t="s">
        <v>171</v>
      </c>
      <c r="I974" s="4" t="s">
        <v>172</v>
      </c>
      <c r="J974" s="4" t="s">
        <v>1151</v>
      </c>
      <c r="K974" s="4" t="s">
        <v>111</v>
      </c>
      <c r="L974" s="4" t="s">
        <v>112</v>
      </c>
      <c r="M974" s="4"/>
      <c r="N974" s="4"/>
      <c r="O974" s="4"/>
      <c r="P974" s="4"/>
      <c r="Q974" s="4"/>
      <c r="R974" s="4"/>
      <c r="S974" s="13" t="n">
        <v>0</v>
      </c>
      <c r="T974" s="4" t="s">
        <v>173</v>
      </c>
      <c r="U974" s="14" t="n">
        <f aca="false">IF(OR($S974="",PARAMETROS!$B$4=""),"",$S974*PARAMETROS!$B$4)</f>
        <v>0</v>
      </c>
      <c r="V974" s="13" t="n">
        <v>0</v>
      </c>
      <c r="W974" s="4"/>
      <c r="X974" s="4"/>
      <c r="Y974" s="4"/>
      <c r="Z974" s="4"/>
      <c r="AA974" s="4"/>
      <c r="AB974" s="4"/>
      <c r="AC974" s="4"/>
      <c r="AD974" s="4"/>
      <c r="AE974" s="4"/>
      <c r="AF974" s="4"/>
      <c r="AG974" s="4"/>
      <c r="AH974" s="4"/>
      <c r="AI974" s="4"/>
      <c r="AJ974" s="4"/>
      <c r="AK974" s="4"/>
      <c r="AL974" s="4" t="s">
        <v>174</v>
      </c>
      <c r="AM974" s="4" t="s">
        <v>190</v>
      </c>
    </row>
    <row r="975" customFormat="false" ht="23.85" hidden="false" customHeight="false" outlineLevel="0" collapsed="false">
      <c r="A975" s="4" t="s">
        <v>167</v>
      </c>
      <c r="B975" s="4" t="s">
        <v>1152</v>
      </c>
      <c r="C975" s="4" t="s">
        <v>1152</v>
      </c>
      <c r="D975" s="12" t="n">
        <v>2021</v>
      </c>
      <c r="E975" s="4"/>
      <c r="F975" s="4" t="s">
        <v>169</v>
      </c>
      <c r="G975" s="4" t="s">
        <v>170</v>
      </c>
      <c r="H975" s="4" t="s">
        <v>171</v>
      </c>
      <c r="I975" s="4" t="s">
        <v>172</v>
      </c>
      <c r="J975" s="4" t="s">
        <v>1152</v>
      </c>
      <c r="K975" s="4" t="s">
        <v>111</v>
      </c>
      <c r="L975" s="4" t="s">
        <v>112</v>
      </c>
      <c r="M975" s="4"/>
      <c r="N975" s="4"/>
      <c r="O975" s="4"/>
      <c r="P975" s="4"/>
      <c r="Q975" s="4"/>
      <c r="R975" s="4"/>
      <c r="S975" s="13" t="n">
        <v>0</v>
      </c>
      <c r="T975" s="4" t="s">
        <v>173</v>
      </c>
      <c r="U975" s="14" t="n">
        <f aca="false">IF(OR($S975="",PARAMETROS!$B$4=""),"",$S975*PARAMETROS!$B$4)</f>
        <v>0</v>
      </c>
      <c r="V975" s="13" t="n">
        <v>0</v>
      </c>
      <c r="W975" s="4"/>
      <c r="X975" s="4"/>
      <c r="Y975" s="4"/>
      <c r="Z975" s="4"/>
      <c r="AA975" s="4"/>
      <c r="AB975" s="4"/>
      <c r="AC975" s="4"/>
      <c r="AD975" s="4"/>
      <c r="AE975" s="4"/>
      <c r="AF975" s="4"/>
      <c r="AG975" s="4"/>
      <c r="AH975" s="4"/>
      <c r="AI975" s="4"/>
      <c r="AJ975" s="4"/>
      <c r="AK975" s="4"/>
      <c r="AL975" s="4" t="s">
        <v>174</v>
      </c>
      <c r="AM975" s="4" t="s">
        <v>190</v>
      </c>
    </row>
    <row r="976" customFormat="false" ht="23.85" hidden="false" customHeight="false" outlineLevel="0" collapsed="false">
      <c r="A976" s="4" t="s">
        <v>167</v>
      </c>
      <c r="B976" s="4" t="s">
        <v>1153</v>
      </c>
      <c r="C976" s="4" t="s">
        <v>1153</v>
      </c>
      <c r="D976" s="12" t="n">
        <v>2021</v>
      </c>
      <c r="E976" s="4"/>
      <c r="F976" s="4" t="s">
        <v>169</v>
      </c>
      <c r="G976" s="4" t="s">
        <v>170</v>
      </c>
      <c r="H976" s="4" t="s">
        <v>171</v>
      </c>
      <c r="I976" s="4" t="s">
        <v>172</v>
      </c>
      <c r="J976" s="4" t="s">
        <v>1153</v>
      </c>
      <c r="K976" s="4" t="s">
        <v>111</v>
      </c>
      <c r="L976" s="4" t="s">
        <v>112</v>
      </c>
      <c r="M976" s="4"/>
      <c r="N976" s="4"/>
      <c r="O976" s="4"/>
      <c r="P976" s="4"/>
      <c r="Q976" s="4"/>
      <c r="R976" s="4"/>
      <c r="S976" s="13" t="n">
        <v>0</v>
      </c>
      <c r="T976" s="4" t="s">
        <v>173</v>
      </c>
      <c r="U976" s="14" t="n">
        <f aca="false">IF(OR($S976="",PARAMETROS!$B$4=""),"",$S976*PARAMETROS!$B$4)</f>
        <v>0</v>
      </c>
      <c r="V976" s="13" t="n">
        <v>0</v>
      </c>
      <c r="W976" s="4"/>
      <c r="X976" s="4"/>
      <c r="Y976" s="4"/>
      <c r="Z976" s="4"/>
      <c r="AA976" s="4"/>
      <c r="AB976" s="4"/>
      <c r="AC976" s="4"/>
      <c r="AD976" s="4"/>
      <c r="AE976" s="4"/>
      <c r="AF976" s="4"/>
      <c r="AG976" s="4"/>
      <c r="AH976" s="4"/>
      <c r="AI976" s="4"/>
      <c r="AJ976" s="4"/>
      <c r="AK976" s="4"/>
      <c r="AL976" s="4" t="s">
        <v>174</v>
      </c>
      <c r="AM976" s="4" t="s">
        <v>190</v>
      </c>
    </row>
    <row r="977" customFormat="false" ht="23.85" hidden="false" customHeight="false" outlineLevel="0" collapsed="false">
      <c r="A977" s="4" t="s">
        <v>167</v>
      </c>
      <c r="B977" s="4" t="s">
        <v>1154</v>
      </c>
      <c r="C977" s="4" t="s">
        <v>1154</v>
      </c>
      <c r="D977" s="12" t="n">
        <v>2021</v>
      </c>
      <c r="E977" s="4"/>
      <c r="F977" s="4" t="s">
        <v>169</v>
      </c>
      <c r="G977" s="4" t="s">
        <v>170</v>
      </c>
      <c r="H977" s="4" t="s">
        <v>171</v>
      </c>
      <c r="I977" s="4" t="s">
        <v>172</v>
      </c>
      <c r="J977" s="4" t="s">
        <v>1154</v>
      </c>
      <c r="K977" s="4" t="s">
        <v>111</v>
      </c>
      <c r="L977" s="4" t="s">
        <v>112</v>
      </c>
      <c r="M977" s="4"/>
      <c r="N977" s="4"/>
      <c r="O977" s="4"/>
      <c r="P977" s="4"/>
      <c r="Q977" s="4"/>
      <c r="R977" s="4"/>
      <c r="S977" s="13" t="n">
        <v>0</v>
      </c>
      <c r="T977" s="4" t="s">
        <v>173</v>
      </c>
      <c r="U977" s="14" t="n">
        <f aca="false">IF(OR($S977="",PARAMETROS!$B$4=""),"",$S977*PARAMETROS!$B$4)</f>
        <v>0</v>
      </c>
      <c r="V977" s="13" t="n">
        <v>0</v>
      </c>
      <c r="W977" s="4"/>
      <c r="X977" s="4"/>
      <c r="Y977" s="4"/>
      <c r="Z977" s="4"/>
      <c r="AA977" s="4"/>
      <c r="AB977" s="4"/>
      <c r="AC977" s="4"/>
      <c r="AD977" s="4"/>
      <c r="AE977" s="4"/>
      <c r="AF977" s="4"/>
      <c r="AG977" s="4"/>
      <c r="AH977" s="4"/>
      <c r="AI977" s="4"/>
      <c r="AJ977" s="4"/>
      <c r="AK977" s="4"/>
      <c r="AL977" s="4" t="s">
        <v>174</v>
      </c>
      <c r="AM977" s="4" t="s">
        <v>190</v>
      </c>
    </row>
    <row r="978" customFormat="false" ht="23.85" hidden="false" customHeight="false" outlineLevel="0" collapsed="false">
      <c r="A978" s="4" t="s">
        <v>167</v>
      </c>
      <c r="B978" s="4" t="s">
        <v>1155</v>
      </c>
      <c r="C978" s="4" t="s">
        <v>1155</v>
      </c>
      <c r="D978" s="12" t="n">
        <v>2021</v>
      </c>
      <c r="E978" s="4"/>
      <c r="F978" s="4" t="s">
        <v>169</v>
      </c>
      <c r="G978" s="4" t="s">
        <v>170</v>
      </c>
      <c r="H978" s="4" t="s">
        <v>171</v>
      </c>
      <c r="I978" s="4" t="s">
        <v>172</v>
      </c>
      <c r="J978" s="4" t="s">
        <v>1155</v>
      </c>
      <c r="K978" s="4" t="s">
        <v>111</v>
      </c>
      <c r="L978" s="4" t="s">
        <v>112</v>
      </c>
      <c r="M978" s="4"/>
      <c r="N978" s="4"/>
      <c r="O978" s="4"/>
      <c r="P978" s="4"/>
      <c r="Q978" s="4"/>
      <c r="R978" s="4"/>
      <c r="S978" s="13" t="n">
        <v>0</v>
      </c>
      <c r="T978" s="4" t="s">
        <v>173</v>
      </c>
      <c r="U978" s="14" t="n">
        <f aca="false">IF(OR($S978="",PARAMETROS!$B$4=""),"",$S978*PARAMETROS!$B$4)</f>
        <v>0</v>
      </c>
      <c r="V978" s="13" t="n">
        <v>0</v>
      </c>
      <c r="W978" s="4"/>
      <c r="X978" s="4"/>
      <c r="Y978" s="4"/>
      <c r="Z978" s="4"/>
      <c r="AA978" s="4"/>
      <c r="AB978" s="4"/>
      <c r="AC978" s="4"/>
      <c r="AD978" s="4"/>
      <c r="AE978" s="4"/>
      <c r="AF978" s="4"/>
      <c r="AG978" s="4"/>
      <c r="AH978" s="4"/>
      <c r="AI978" s="4"/>
      <c r="AJ978" s="4"/>
      <c r="AK978" s="4"/>
      <c r="AL978" s="4" t="s">
        <v>174</v>
      </c>
      <c r="AM978" s="4" t="s">
        <v>190</v>
      </c>
    </row>
    <row r="979" customFormat="false" ht="23.85" hidden="false" customHeight="false" outlineLevel="0" collapsed="false">
      <c r="A979" s="4" t="s">
        <v>167</v>
      </c>
      <c r="B979" s="4" t="s">
        <v>1156</v>
      </c>
      <c r="C979" s="4" t="s">
        <v>1156</v>
      </c>
      <c r="D979" s="12" t="n">
        <v>2021</v>
      </c>
      <c r="E979" s="4"/>
      <c r="F979" s="4" t="s">
        <v>169</v>
      </c>
      <c r="G979" s="4" t="s">
        <v>170</v>
      </c>
      <c r="H979" s="4" t="s">
        <v>171</v>
      </c>
      <c r="I979" s="4" t="s">
        <v>172</v>
      </c>
      <c r="J979" s="4" t="s">
        <v>1156</v>
      </c>
      <c r="K979" s="4" t="s">
        <v>111</v>
      </c>
      <c r="L979" s="4" t="s">
        <v>112</v>
      </c>
      <c r="M979" s="4"/>
      <c r="N979" s="4"/>
      <c r="O979" s="4"/>
      <c r="P979" s="4"/>
      <c r="Q979" s="4"/>
      <c r="R979" s="4"/>
      <c r="S979" s="13" t="n">
        <v>0</v>
      </c>
      <c r="T979" s="4" t="s">
        <v>173</v>
      </c>
      <c r="U979" s="14" t="n">
        <f aca="false">IF(OR($S979="",PARAMETROS!$B$4=""),"",$S979*PARAMETROS!$B$4)</f>
        <v>0</v>
      </c>
      <c r="V979" s="13" t="n">
        <v>0</v>
      </c>
      <c r="W979" s="4"/>
      <c r="X979" s="4"/>
      <c r="Y979" s="4"/>
      <c r="Z979" s="4"/>
      <c r="AA979" s="4"/>
      <c r="AB979" s="4"/>
      <c r="AC979" s="4"/>
      <c r="AD979" s="4"/>
      <c r="AE979" s="4"/>
      <c r="AF979" s="4"/>
      <c r="AG979" s="4"/>
      <c r="AH979" s="4"/>
      <c r="AI979" s="4"/>
      <c r="AJ979" s="4"/>
      <c r="AK979" s="4"/>
      <c r="AL979" s="4" t="s">
        <v>174</v>
      </c>
      <c r="AM979" s="4" t="s">
        <v>190</v>
      </c>
    </row>
    <row r="980" customFormat="false" ht="23.85" hidden="false" customHeight="false" outlineLevel="0" collapsed="false">
      <c r="A980" s="4" t="s">
        <v>167</v>
      </c>
      <c r="B980" s="4" t="s">
        <v>1157</v>
      </c>
      <c r="C980" s="4" t="s">
        <v>1157</v>
      </c>
      <c r="D980" s="12" t="n">
        <v>2021</v>
      </c>
      <c r="E980" s="4"/>
      <c r="F980" s="4" t="s">
        <v>169</v>
      </c>
      <c r="G980" s="4" t="s">
        <v>170</v>
      </c>
      <c r="H980" s="4" t="s">
        <v>171</v>
      </c>
      <c r="I980" s="4" t="s">
        <v>172</v>
      </c>
      <c r="J980" s="4" t="s">
        <v>1157</v>
      </c>
      <c r="K980" s="4" t="s">
        <v>111</v>
      </c>
      <c r="L980" s="4" t="s">
        <v>112</v>
      </c>
      <c r="M980" s="4"/>
      <c r="N980" s="4"/>
      <c r="O980" s="4"/>
      <c r="P980" s="4"/>
      <c r="Q980" s="4"/>
      <c r="R980" s="4"/>
      <c r="S980" s="13" t="n">
        <v>0</v>
      </c>
      <c r="T980" s="4" t="s">
        <v>173</v>
      </c>
      <c r="U980" s="14" t="n">
        <f aca="false">IF(OR($S980="",PARAMETROS!$B$4=""),"",$S980*PARAMETROS!$B$4)</f>
        <v>0</v>
      </c>
      <c r="V980" s="13" t="n">
        <v>1</v>
      </c>
      <c r="W980" s="4"/>
      <c r="X980" s="4"/>
      <c r="Y980" s="4"/>
      <c r="Z980" s="4"/>
      <c r="AA980" s="4"/>
      <c r="AB980" s="4"/>
      <c r="AC980" s="4"/>
      <c r="AD980" s="4"/>
      <c r="AE980" s="4"/>
      <c r="AF980" s="4"/>
      <c r="AG980" s="4"/>
      <c r="AH980" s="4"/>
      <c r="AI980" s="4"/>
      <c r="AJ980" s="4"/>
      <c r="AK980" s="4"/>
      <c r="AL980" s="4" t="s">
        <v>174</v>
      </c>
      <c r="AM980" s="4" t="s">
        <v>190</v>
      </c>
    </row>
    <row r="981" customFormat="false" ht="23.85" hidden="false" customHeight="false" outlineLevel="0" collapsed="false">
      <c r="A981" s="4" t="s">
        <v>167</v>
      </c>
      <c r="B981" s="4" t="s">
        <v>1158</v>
      </c>
      <c r="C981" s="4" t="s">
        <v>1158</v>
      </c>
      <c r="D981" s="12" t="n">
        <v>2021</v>
      </c>
      <c r="E981" s="4"/>
      <c r="F981" s="4" t="s">
        <v>169</v>
      </c>
      <c r="G981" s="4" t="s">
        <v>170</v>
      </c>
      <c r="H981" s="4" t="s">
        <v>171</v>
      </c>
      <c r="I981" s="4" t="s">
        <v>172</v>
      </c>
      <c r="J981" s="4" t="s">
        <v>1158</v>
      </c>
      <c r="K981" s="4" t="s">
        <v>111</v>
      </c>
      <c r="L981" s="4" t="s">
        <v>112</v>
      </c>
      <c r="M981" s="4"/>
      <c r="N981" s="4"/>
      <c r="O981" s="4"/>
      <c r="P981" s="4"/>
      <c r="Q981" s="4"/>
      <c r="R981" s="4"/>
      <c r="S981" s="13" t="n">
        <v>0</v>
      </c>
      <c r="T981" s="4" t="s">
        <v>173</v>
      </c>
      <c r="U981" s="14" t="n">
        <f aca="false">IF(OR($S981="",PARAMETROS!$B$4=""),"",$S981*PARAMETROS!$B$4)</f>
        <v>0</v>
      </c>
      <c r="V981" s="13" t="n">
        <v>0</v>
      </c>
      <c r="W981" s="4"/>
      <c r="X981" s="4"/>
      <c r="Y981" s="4"/>
      <c r="Z981" s="4"/>
      <c r="AA981" s="4"/>
      <c r="AB981" s="4"/>
      <c r="AC981" s="4"/>
      <c r="AD981" s="4"/>
      <c r="AE981" s="4"/>
      <c r="AF981" s="4"/>
      <c r="AG981" s="4"/>
      <c r="AH981" s="4"/>
      <c r="AI981" s="4"/>
      <c r="AJ981" s="4"/>
      <c r="AK981" s="4"/>
      <c r="AL981" s="4" t="s">
        <v>174</v>
      </c>
      <c r="AM981" s="4" t="s">
        <v>190</v>
      </c>
    </row>
    <row r="982" customFormat="false" ht="23.85" hidden="false" customHeight="false" outlineLevel="0" collapsed="false">
      <c r="A982" s="4" t="s">
        <v>167</v>
      </c>
      <c r="B982" s="4" t="s">
        <v>1159</v>
      </c>
      <c r="C982" s="4" t="s">
        <v>1159</v>
      </c>
      <c r="D982" s="12" t="n">
        <v>2022</v>
      </c>
      <c r="E982" s="4"/>
      <c r="F982" s="4" t="s">
        <v>169</v>
      </c>
      <c r="G982" s="4" t="s">
        <v>170</v>
      </c>
      <c r="H982" s="4" t="s">
        <v>171</v>
      </c>
      <c r="I982" s="4" t="s">
        <v>172</v>
      </c>
      <c r="J982" s="4" t="s">
        <v>1159</v>
      </c>
      <c r="K982" s="4" t="s">
        <v>91</v>
      </c>
      <c r="L982" s="4" t="s">
        <v>92</v>
      </c>
      <c r="M982" s="4"/>
      <c r="N982" s="4"/>
      <c r="O982" s="4"/>
      <c r="P982" s="4"/>
      <c r="Q982" s="4"/>
      <c r="R982" s="4"/>
      <c r="S982" s="13" t="n">
        <v>12846.82</v>
      </c>
      <c r="T982" s="4" t="s">
        <v>173</v>
      </c>
      <c r="U982" s="14" t="n">
        <f aca="false">IF(OR($S982="",PARAMETROS!$B$4=""),"",$S982*PARAMETROS!$B$4)</f>
        <v>74640.0242</v>
      </c>
      <c r="V982" s="13" t="n">
        <v>0</v>
      </c>
      <c r="W982" s="4"/>
      <c r="X982" s="4"/>
      <c r="Y982" s="4"/>
      <c r="Z982" s="4"/>
      <c r="AA982" s="4"/>
      <c r="AB982" s="4"/>
      <c r="AC982" s="4"/>
      <c r="AD982" s="4"/>
      <c r="AE982" s="4"/>
      <c r="AF982" s="4"/>
      <c r="AG982" s="4"/>
      <c r="AH982" s="4"/>
      <c r="AI982" s="4"/>
      <c r="AJ982" s="4"/>
      <c r="AK982" s="4"/>
      <c r="AL982" s="4" t="s">
        <v>174</v>
      </c>
      <c r="AM982" s="4" t="s">
        <v>175</v>
      </c>
    </row>
    <row r="983" customFormat="false" ht="23.85" hidden="false" customHeight="false" outlineLevel="0" collapsed="false">
      <c r="A983" s="4" t="s">
        <v>167</v>
      </c>
      <c r="B983" s="4" t="s">
        <v>1160</v>
      </c>
      <c r="C983" s="4" t="s">
        <v>1160</v>
      </c>
      <c r="D983" s="12" t="n">
        <v>2022</v>
      </c>
      <c r="E983" s="4"/>
      <c r="F983" s="4" t="s">
        <v>169</v>
      </c>
      <c r="G983" s="4" t="s">
        <v>170</v>
      </c>
      <c r="H983" s="4" t="s">
        <v>171</v>
      </c>
      <c r="I983" s="4" t="s">
        <v>172</v>
      </c>
      <c r="J983" s="4" t="s">
        <v>1160</v>
      </c>
      <c r="K983" s="4" t="s">
        <v>91</v>
      </c>
      <c r="L983" s="4" t="s">
        <v>92</v>
      </c>
      <c r="M983" s="4"/>
      <c r="N983" s="4"/>
      <c r="O983" s="4"/>
      <c r="P983" s="4"/>
      <c r="Q983" s="4"/>
      <c r="R983" s="4"/>
      <c r="S983" s="13" t="n">
        <v>0</v>
      </c>
      <c r="T983" s="4" t="s">
        <v>173</v>
      </c>
      <c r="U983" s="14" t="n">
        <f aca="false">IF(OR($S983="",PARAMETROS!$B$4=""),"",$S983*PARAMETROS!$B$4)</f>
        <v>0</v>
      </c>
      <c r="V983" s="13" t="n">
        <v>0</v>
      </c>
      <c r="W983" s="4"/>
      <c r="X983" s="4"/>
      <c r="Y983" s="4"/>
      <c r="Z983" s="4"/>
      <c r="AA983" s="4"/>
      <c r="AB983" s="4"/>
      <c r="AC983" s="4"/>
      <c r="AD983" s="4"/>
      <c r="AE983" s="4"/>
      <c r="AF983" s="4"/>
      <c r="AG983" s="4"/>
      <c r="AH983" s="4"/>
      <c r="AI983" s="4"/>
      <c r="AJ983" s="4"/>
      <c r="AK983" s="4"/>
      <c r="AL983" s="4" t="s">
        <v>174</v>
      </c>
      <c r="AM983" s="4" t="s">
        <v>175</v>
      </c>
    </row>
    <row r="984" customFormat="false" ht="23.85" hidden="false" customHeight="false" outlineLevel="0" collapsed="false">
      <c r="A984" s="4" t="s">
        <v>167</v>
      </c>
      <c r="B984" s="4" t="s">
        <v>1161</v>
      </c>
      <c r="C984" s="4" t="s">
        <v>1161</v>
      </c>
      <c r="D984" s="12" t="n">
        <v>2022</v>
      </c>
      <c r="E984" s="4"/>
      <c r="F984" s="4" t="s">
        <v>169</v>
      </c>
      <c r="G984" s="4" t="s">
        <v>170</v>
      </c>
      <c r="H984" s="4" t="s">
        <v>171</v>
      </c>
      <c r="I984" s="4" t="s">
        <v>172</v>
      </c>
      <c r="J984" s="4" t="s">
        <v>1161</v>
      </c>
      <c r="K984" s="4" t="s">
        <v>91</v>
      </c>
      <c r="L984" s="4" t="s">
        <v>92</v>
      </c>
      <c r="M984" s="4"/>
      <c r="N984" s="4"/>
      <c r="O984" s="4"/>
      <c r="P984" s="4"/>
      <c r="Q984" s="4"/>
      <c r="R984" s="4"/>
      <c r="S984" s="13" t="n">
        <v>0</v>
      </c>
      <c r="T984" s="4" t="s">
        <v>173</v>
      </c>
      <c r="U984" s="14" t="n">
        <f aca="false">IF(OR($S984="",PARAMETROS!$B$4=""),"",$S984*PARAMETROS!$B$4)</f>
        <v>0</v>
      </c>
      <c r="V984" s="13" t="n">
        <v>0</v>
      </c>
      <c r="W984" s="4"/>
      <c r="X984" s="4"/>
      <c r="Y984" s="4"/>
      <c r="Z984" s="4"/>
      <c r="AA984" s="4"/>
      <c r="AB984" s="4"/>
      <c r="AC984" s="4"/>
      <c r="AD984" s="4"/>
      <c r="AE984" s="4"/>
      <c r="AF984" s="4"/>
      <c r="AG984" s="4"/>
      <c r="AH984" s="4"/>
      <c r="AI984" s="4"/>
      <c r="AJ984" s="4"/>
      <c r="AK984" s="4"/>
      <c r="AL984" s="4" t="s">
        <v>174</v>
      </c>
      <c r="AM984" s="4" t="s">
        <v>175</v>
      </c>
    </row>
    <row r="985" customFormat="false" ht="23.85" hidden="false" customHeight="false" outlineLevel="0" collapsed="false">
      <c r="A985" s="4" t="s">
        <v>167</v>
      </c>
      <c r="B985" s="4" t="s">
        <v>1162</v>
      </c>
      <c r="C985" s="4" t="s">
        <v>1162</v>
      </c>
      <c r="D985" s="12" t="n">
        <v>2022</v>
      </c>
      <c r="E985" s="4"/>
      <c r="F985" s="4" t="s">
        <v>169</v>
      </c>
      <c r="G985" s="4" t="s">
        <v>170</v>
      </c>
      <c r="H985" s="4" t="s">
        <v>171</v>
      </c>
      <c r="I985" s="4" t="s">
        <v>172</v>
      </c>
      <c r="J985" s="4" t="s">
        <v>1162</v>
      </c>
      <c r="K985" s="4" t="s">
        <v>91</v>
      </c>
      <c r="L985" s="4" t="s">
        <v>92</v>
      </c>
      <c r="M985" s="4"/>
      <c r="N985" s="4"/>
      <c r="O985" s="4"/>
      <c r="P985" s="4"/>
      <c r="Q985" s="4"/>
      <c r="R985" s="4"/>
      <c r="S985" s="13" t="n">
        <v>0</v>
      </c>
      <c r="T985" s="4" t="s">
        <v>173</v>
      </c>
      <c r="U985" s="14" t="n">
        <f aca="false">IF(OR($S985="",PARAMETROS!$B$4=""),"",$S985*PARAMETROS!$B$4)</f>
        <v>0</v>
      </c>
      <c r="V985" s="13" t="n">
        <v>0</v>
      </c>
      <c r="W985" s="4"/>
      <c r="X985" s="4"/>
      <c r="Y985" s="4"/>
      <c r="Z985" s="4"/>
      <c r="AA985" s="4"/>
      <c r="AB985" s="4"/>
      <c r="AC985" s="4"/>
      <c r="AD985" s="4"/>
      <c r="AE985" s="4"/>
      <c r="AF985" s="4"/>
      <c r="AG985" s="4"/>
      <c r="AH985" s="4"/>
      <c r="AI985" s="4"/>
      <c r="AJ985" s="4"/>
      <c r="AK985" s="4"/>
      <c r="AL985" s="4" t="s">
        <v>174</v>
      </c>
      <c r="AM985" s="4" t="s">
        <v>175</v>
      </c>
    </row>
    <row r="986" customFormat="false" ht="23.85" hidden="false" customHeight="false" outlineLevel="0" collapsed="false">
      <c r="A986" s="4" t="s">
        <v>167</v>
      </c>
      <c r="B986" s="4" t="s">
        <v>1163</v>
      </c>
      <c r="C986" s="4" t="s">
        <v>1163</v>
      </c>
      <c r="D986" s="12" t="n">
        <v>2022</v>
      </c>
      <c r="E986" s="4"/>
      <c r="F986" s="4" t="s">
        <v>169</v>
      </c>
      <c r="G986" s="4" t="s">
        <v>170</v>
      </c>
      <c r="H986" s="4" t="s">
        <v>171</v>
      </c>
      <c r="I986" s="4" t="s">
        <v>172</v>
      </c>
      <c r="J986" s="4" t="s">
        <v>1163</v>
      </c>
      <c r="K986" s="4" t="s">
        <v>91</v>
      </c>
      <c r="L986" s="4" t="s">
        <v>92</v>
      </c>
      <c r="M986" s="4"/>
      <c r="N986" s="4"/>
      <c r="O986" s="4"/>
      <c r="P986" s="4"/>
      <c r="Q986" s="4"/>
      <c r="R986" s="4"/>
      <c r="S986" s="13" t="n">
        <v>0</v>
      </c>
      <c r="T986" s="4" t="s">
        <v>173</v>
      </c>
      <c r="U986" s="14" t="n">
        <f aca="false">IF(OR($S986="",PARAMETROS!$B$4=""),"",$S986*PARAMETROS!$B$4)</f>
        <v>0</v>
      </c>
      <c r="V986" s="13" t="n">
        <v>0</v>
      </c>
      <c r="W986" s="4"/>
      <c r="X986" s="4"/>
      <c r="Y986" s="4"/>
      <c r="Z986" s="4"/>
      <c r="AA986" s="4"/>
      <c r="AB986" s="4"/>
      <c r="AC986" s="4"/>
      <c r="AD986" s="4"/>
      <c r="AE986" s="4"/>
      <c r="AF986" s="4"/>
      <c r="AG986" s="4"/>
      <c r="AH986" s="4"/>
      <c r="AI986" s="4"/>
      <c r="AJ986" s="4"/>
      <c r="AK986" s="4"/>
      <c r="AL986" s="4" t="s">
        <v>174</v>
      </c>
      <c r="AM986" s="4" t="s">
        <v>175</v>
      </c>
    </row>
    <row r="987" customFormat="false" ht="23.85" hidden="false" customHeight="false" outlineLevel="0" collapsed="false">
      <c r="A987" s="4" t="s">
        <v>167</v>
      </c>
      <c r="B987" s="4" t="s">
        <v>1164</v>
      </c>
      <c r="C987" s="4" t="s">
        <v>1164</v>
      </c>
      <c r="D987" s="12" t="n">
        <v>2022</v>
      </c>
      <c r="E987" s="4"/>
      <c r="F987" s="4" t="s">
        <v>169</v>
      </c>
      <c r="G987" s="4" t="s">
        <v>170</v>
      </c>
      <c r="H987" s="4" t="s">
        <v>171</v>
      </c>
      <c r="I987" s="4" t="s">
        <v>172</v>
      </c>
      <c r="J987" s="4" t="s">
        <v>1164</v>
      </c>
      <c r="K987" s="4" t="s">
        <v>91</v>
      </c>
      <c r="L987" s="4" t="s">
        <v>92</v>
      </c>
      <c r="M987" s="4"/>
      <c r="N987" s="4"/>
      <c r="O987" s="4"/>
      <c r="P987" s="4"/>
      <c r="Q987" s="4"/>
      <c r="R987" s="4"/>
      <c r="S987" s="13" t="n">
        <v>-9078.41</v>
      </c>
      <c r="T987" s="4" t="s">
        <v>173</v>
      </c>
      <c r="U987" s="14" t="n">
        <f aca="false">IF(OR($S987="",PARAMETROS!$B$4=""),"",$S987*PARAMETROS!$B$4)</f>
        <v>-52745.5621</v>
      </c>
      <c r="V987" s="13" t="n">
        <v>0</v>
      </c>
      <c r="W987" s="4"/>
      <c r="X987" s="4"/>
      <c r="Y987" s="4"/>
      <c r="Z987" s="4"/>
      <c r="AA987" s="4"/>
      <c r="AB987" s="4"/>
      <c r="AC987" s="4"/>
      <c r="AD987" s="4"/>
      <c r="AE987" s="4"/>
      <c r="AF987" s="4"/>
      <c r="AG987" s="4"/>
      <c r="AH987" s="4"/>
      <c r="AI987" s="4"/>
      <c r="AJ987" s="4"/>
      <c r="AK987" s="4"/>
      <c r="AL987" s="4" t="s">
        <v>174</v>
      </c>
      <c r="AM987" s="4" t="s">
        <v>175</v>
      </c>
    </row>
    <row r="988" customFormat="false" ht="23.85" hidden="false" customHeight="false" outlineLevel="0" collapsed="false">
      <c r="A988" s="4" t="s">
        <v>167</v>
      </c>
      <c r="B988" s="4" t="s">
        <v>1165</v>
      </c>
      <c r="C988" s="4" t="s">
        <v>1165</v>
      </c>
      <c r="D988" s="12" t="n">
        <v>2022</v>
      </c>
      <c r="E988" s="4"/>
      <c r="F988" s="4" t="s">
        <v>169</v>
      </c>
      <c r="G988" s="4" t="s">
        <v>170</v>
      </c>
      <c r="H988" s="4" t="s">
        <v>171</v>
      </c>
      <c r="I988" s="4" t="s">
        <v>172</v>
      </c>
      <c r="J988" s="4" t="s">
        <v>1165</v>
      </c>
      <c r="K988" s="4" t="s">
        <v>91</v>
      </c>
      <c r="L988" s="4" t="s">
        <v>92</v>
      </c>
      <c r="M988" s="4"/>
      <c r="N988" s="4"/>
      <c r="O988" s="4"/>
      <c r="P988" s="4"/>
      <c r="Q988" s="4"/>
      <c r="R988" s="4"/>
      <c r="S988" s="13" t="n">
        <v>-3768.4</v>
      </c>
      <c r="T988" s="4" t="s">
        <v>173</v>
      </c>
      <c r="U988" s="14" t="n">
        <f aca="false">IF(OR($S988="",PARAMETROS!$B$4=""),"",$S988*PARAMETROS!$B$4)</f>
        <v>-21894.404</v>
      </c>
      <c r="V988" s="13" t="n">
        <v>0</v>
      </c>
      <c r="W988" s="4"/>
      <c r="X988" s="4"/>
      <c r="Y988" s="4"/>
      <c r="Z988" s="4"/>
      <c r="AA988" s="4"/>
      <c r="AB988" s="4"/>
      <c r="AC988" s="4"/>
      <c r="AD988" s="4"/>
      <c r="AE988" s="4"/>
      <c r="AF988" s="4"/>
      <c r="AG988" s="4"/>
      <c r="AH988" s="4"/>
      <c r="AI988" s="4"/>
      <c r="AJ988" s="4"/>
      <c r="AK988" s="4"/>
      <c r="AL988" s="4" t="s">
        <v>174</v>
      </c>
      <c r="AM988" s="4" t="s">
        <v>175</v>
      </c>
    </row>
    <row r="989" customFormat="false" ht="23.85" hidden="false" customHeight="false" outlineLevel="0" collapsed="false">
      <c r="A989" s="4" t="s">
        <v>167</v>
      </c>
      <c r="B989" s="4" t="s">
        <v>1166</v>
      </c>
      <c r="C989" s="4" t="s">
        <v>1166</v>
      </c>
      <c r="D989" s="12" t="n">
        <v>2022</v>
      </c>
      <c r="E989" s="4"/>
      <c r="F989" s="4" t="s">
        <v>169</v>
      </c>
      <c r="G989" s="4" t="s">
        <v>170</v>
      </c>
      <c r="H989" s="4" t="s">
        <v>171</v>
      </c>
      <c r="I989" s="4" t="s">
        <v>172</v>
      </c>
      <c r="J989" s="4" t="s">
        <v>1166</v>
      </c>
      <c r="K989" s="4" t="s">
        <v>91</v>
      </c>
      <c r="L989" s="4" t="s">
        <v>92</v>
      </c>
      <c r="M989" s="4"/>
      <c r="N989" s="4"/>
      <c r="O989" s="4"/>
      <c r="P989" s="4"/>
      <c r="Q989" s="4"/>
      <c r="R989" s="4"/>
      <c r="S989" s="13" t="n">
        <v>0</v>
      </c>
      <c r="T989" s="4" t="s">
        <v>173</v>
      </c>
      <c r="U989" s="14" t="n">
        <f aca="false">IF(OR($S989="",PARAMETROS!$B$4=""),"",$S989*PARAMETROS!$B$4)</f>
        <v>0</v>
      </c>
      <c r="V989" s="13" t="n">
        <v>0</v>
      </c>
      <c r="W989" s="4"/>
      <c r="X989" s="4"/>
      <c r="Y989" s="4"/>
      <c r="Z989" s="4"/>
      <c r="AA989" s="4"/>
      <c r="AB989" s="4"/>
      <c r="AC989" s="4"/>
      <c r="AD989" s="4"/>
      <c r="AE989" s="4"/>
      <c r="AF989" s="4"/>
      <c r="AG989" s="4"/>
      <c r="AH989" s="4"/>
      <c r="AI989" s="4"/>
      <c r="AJ989" s="4"/>
      <c r="AK989" s="4"/>
      <c r="AL989" s="4" t="s">
        <v>174</v>
      </c>
      <c r="AM989" s="4" t="s">
        <v>175</v>
      </c>
    </row>
    <row r="990" customFormat="false" ht="23.85" hidden="false" customHeight="false" outlineLevel="0" collapsed="false">
      <c r="A990" s="4" t="s">
        <v>167</v>
      </c>
      <c r="B990" s="4" t="s">
        <v>1167</v>
      </c>
      <c r="C990" s="4" t="s">
        <v>1167</v>
      </c>
      <c r="D990" s="12" t="n">
        <v>2022</v>
      </c>
      <c r="E990" s="4"/>
      <c r="F990" s="4" t="s">
        <v>169</v>
      </c>
      <c r="G990" s="4" t="s">
        <v>170</v>
      </c>
      <c r="H990" s="4" t="s">
        <v>171</v>
      </c>
      <c r="I990" s="4" t="s">
        <v>172</v>
      </c>
      <c r="J990" s="4" t="s">
        <v>1167</v>
      </c>
      <c r="K990" s="4" t="s">
        <v>91</v>
      </c>
      <c r="L990" s="4" t="s">
        <v>92</v>
      </c>
      <c r="M990" s="4"/>
      <c r="N990" s="4"/>
      <c r="O990" s="4"/>
      <c r="P990" s="4"/>
      <c r="Q990" s="4"/>
      <c r="R990" s="4"/>
      <c r="S990" s="13" t="n">
        <v>0</v>
      </c>
      <c r="T990" s="4" t="s">
        <v>173</v>
      </c>
      <c r="U990" s="14" t="n">
        <f aca="false">IF(OR($S990="",PARAMETROS!$B$4=""),"",$S990*PARAMETROS!$B$4)</f>
        <v>0</v>
      </c>
      <c r="V990" s="13" t="n">
        <v>0</v>
      </c>
      <c r="W990" s="4"/>
      <c r="X990" s="4"/>
      <c r="Y990" s="4"/>
      <c r="Z990" s="4"/>
      <c r="AA990" s="4"/>
      <c r="AB990" s="4"/>
      <c r="AC990" s="4"/>
      <c r="AD990" s="4"/>
      <c r="AE990" s="4"/>
      <c r="AF990" s="4"/>
      <c r="AG990" s="4"/>
      <c r="AH990" s="4"/>
      <c r="AI990" s="4"/>
      <c r="AJ990" s="4"/>
      <c r="AK990" s="4"/>
      <c r="AL990" s="4" t="s">
        <v>174</v>
      </c>
      <c r="AM990" s="4" t="s">
        <v>175</v>
      </c>
    </row>
    <row r="991" customFormat="false" ht="23.85" hidden="false" customHeight="false" outlineLevel="0" collapsed="false">
      <c r="A991" s="4" t="s">
        <v>167</v>
      </c>
      <c r="B991" s="4" t="s">
        <v>1168</v>
      </c>
      <c r="C991" s="4" t="s">
        <v>1168</v>
      </c>
      <c r="D991" s="12" t="n">
        <v>2022</v>
      </c>
      <c r="E991" s="4"/>
      <c r="F991" s="4" t="s">
        <v>169</v>
      </c>
      <c r="G991" s="4" t="s">
        <v>170</v>
      </c>
      <c r="H991" s="4" t="s">
        <v>171</v>
      </c>
      <c r="I991" s="4" t="s">
        <v>172</v>
      </c>
      <c r="J991" s="4" t="s">
        <v>1168</v>
      </c>
      <c r="K991" s="4" t="s">
        <v>91</v>
      </c>
      <c r="L991" s="4" t="s">
        <v>92</v>
      </c>
      <c r="M991" s="4"/>
      <c r="N991" s="4"/>
      <c r="O991" s="4"/>
      <c r="P991" s="4"/>
      <c r="Q991" s="4"/>
      <c r="R991" s="4"/>
      <c r="S991" s="13" t="n">
        <v>0</v>
      </c>
      <c r="T991" s="4" t="s">
        <v>173</v>
      </c>
      <c r="U991" s="14" t="n">
        <f aca="false">IF(OR($S991="",PARAMETROS!$B$4=""),"",$S991*PARAMETROS!$B$4)</f>
        <v>0</v>
      </c>
      <c r="V991" s="13" t="n">
        <v>0</v>
      </c>
      <c r="W991" s="4"/>
      <c r="X991" s="4"/>
      <c r="Y991" s="4"/>
      <c r="Z991" s="4"/>
      <c r="AA991" s="4"/>
      <c r="AB991" s="4"/>
      <c r="AC991" s="4"/>
      <c r="AD991" s="4"/>
      <c r="AE991" s="4"/>
      <c r="AF991" s="4"/>
      <c r="AG991" s="4"/>
      <c r="AH991" s="4"/>
      <c r="AI991" s="4"/>
      <c r="AJ991" s="4"/>
      <c r="AK991" s="4"/>
      <c r="AL991" s="4" t="s">
        <v>174</v>
      </c>
      <c r="AM991" s="4" t="s">
        <v>175</v>
      </c>
    </row>
    <row r="992" customFormat="false" ht="23.85" hidden="false" customHeight="false" outlineLevel="0" collapsed="false">
      <c r="A992" s="4" t="s">
        <v>167</v>
      </c>
      <c r="B992" s="4" t="s">
        <v>1169</v>
      </c>
      <c r="C992" s="4" t="s">
        <v>1169</v>
      </c>
      <c r="D992" s="12" t="n">
        <v>2022</v>
      </c>
      <c r="E992" s="4"/>
      <c r="F992" s="4" t="s">
        <v>169</v>
      </c>
      <c r="G992" s="4" t="s">
        <v>170</v>
      </c>
      <c r="H992" s="4" t="s">
        <v>171</v>
      </c>
      <c r="I992" s="4" t="s">
        <v>172</v>
      </c>
      <c r="J992" s="4" t="s">
        <v>1169</v>
      </c>
      <c r="K992" s="4" t="s">
        <v>91</v>
      </c>
      <c r="L992" s="4" t="s">
        <v>92</v>
      </c>
      <c r="M992" s="4"/>
      <c r="N992" s="4"/>
      <c r="O992" s="4"/>
      <c r="P992" s="4"/>
      <c r="Q992" s="4"/>
      <c r="R992" s="4"/>
      <c r="S992" s="13" t="n">
        <v>0</v>
      </c>
      <c r="T992" s="4" t="s">
        <v>173</v>
      </c>
      <c r="U992" s="14" t="n">
        <f aca="false">IF(OR($S992="",PARAMETROS!$B$4=""),"",$S992*PARAMETROS!$B$4)</f>
        <v>0</v>
      </c>
      <c r="V992" s="13" t="n">
        <v>0</v>
      </c>
      <c r="W992" s="4"/>
      <c r="X992" s="4"/>
      <c r="Y992" s="4"/>
      <c r="Z992" s="4"/>
      <c r="AA992" s="4"/>
      <c r="AB992" s="4"/>
      <c r="AC992" s="4"/>
      <c r="AD992" s="4"/>
      <c r="AE992" s="4"/>
      <c r="AF992" s="4"/>
      <c r="AG992" s="4"/>
      <c r="AH992" s="4"/>
      <c r="AI992" s="4"/>
      <c r="AJ992" s="4"/>
      <c r="AK992" s="4"/>
      <c r="AL992" s="4" t="s">
        <v>174</v>
      </c>
      <c r="AM992" s="4" t="s">
        <v>175</v>
      </c>
    </row>
    <row r="993" customFormat="false" ht="23.85" hidden="false" customHeight="false" outlineLevel="0" collapsed="false">
      <c r="A993" s="4" t="s">
        <v>167</v>
      </c>
      <c r="B993" s="4" t="s">
        <v>1170</v>
      </c>
      <c r="C993" s="4" t="s">
        <v>1170</v>
      </c>
      <c r="D993" s="12" t="n">
        <v>2022</v>
      </c>
      <c r="E993" s="4"/>
      <c r="F993" s="4" t="s">
        <v>169</v>
      </c>
      <c r="G993" s="4" t="s">
        <v>170</v>
      </c>
      <c r="H993" s="4" t="s">
        <v>171</v>
      </c>
      <c r="I993" s="4" t="s">
        <v>172</v>
      </c>
      <c r="J993" s="4" t="s">
        <v>1170</v>
      </c>
      <c r="K993" s="4" t="s">
        <v>91</v>
      </c>
      <c r="L993" s="4" t="s">
        <v>92</v>
      </c>
      <c r="M993" s="4"/>
      <c r="N993" s="4"/>
      <c r="O993" s="4"/>
      <c r="P993" s="4"/>
      <c r="Q993" s="4"/>
      <c r="R993" s="4"/>
      <c r="S993" s="13" t="n">
        <v>0</v>
      </c>
      <c r="T993" s="4" t="s">
        <v>173</v>
      </c>
      <c r="U993" s="14" t="n">
        <f aca="false">IF(OR($S993="",PARAMETROS!$B$4=""),"",$S993*PARAMETROS!$B$4)</f>
        <v>0</v>
      </c>
      <c r="V993" s="13" t="n">
        <v>0</v>
      </c>
      <c r="W993" s="4"/>
      <c r="X993" s="4"/>
      <c r="Y993" s="4"/>
      <c r="Z993" s="4"/>
      <c r="AA993" s="4"/>
      <c r="AB993" s="4"/>
      <c r="AC993" s="4"/>
      <c r="AD993" s="4"/>
      <c r="AE993" s="4"/>
      <c r="AF993" s="4"/>
      <c r="AG993" s="4"/>
      <c r="AH993" s="4"/>
      <c r="AI993" s="4"/>
      <c r="AJ993" s="4"/>
      <c r="AK993" s="4"/>
      <c r="AL993" s="4" t="s">
        <v>174</v>
      </c>
      <c r="AM993" s="4" t="s">
        <v>175</v>
      </c>
    </row>
    <row r="994" customFormat="false" ht="23.85" hidden="false" customHeight="false" outlineLevel="0" collapsed="false">
      <c r="A994" s="4" t="s">
        <v>167</v>
      </c>
      <c r="B994" s="4" t="s">
        <v>1171</v>
      </c>
      <c r="C994" s="4" t="s">
        <v>1171</v>
      </c>
      <c r="D994" s="12" t="n">
        <v>2022</v>
      </c>
      <c r="E994" s="4"/>
      <c r="F994" s="4" t="s">
        <v>169</v>
      </c>
      <c r="G994" s="4" t="s">
        <v>170</v>
      </c>
      <c r="H994" s="4" t="s">
        <v>171</v>
      </c>
      <c r="I994" s="4" t="s">
        <v>172</v>
      </c>
      <c r="J994" s="4" t="s">
        <v>1171</v>
      </c>
      <c r="K994" s="4" t="s">
        <v>91</v>
      </c>
      <c r="L994" s="4" t="s">
        <v>92</v>
      </c>
      <c r="M994" s="4"/>
      <c r="N994" s="4"/>
      <c r="O994" s="4"/>
      <c r="P994" s="4"/>
      <c r="Q994" s="4"/>
      <c r="R994" s="4"/>
      <c r="S994" s="13" t="n">
        <v>0</v>
      </c>
      <c r="T994" s="4" t="s">
        <v>173</v>
      </c>
      <c r="U994" s="14" t="n">
        <f aca="false">IF(OR($S994="",PARAMETROS!$B$4=""),"",$S994*PARAMETROS!$B$4)</f>
        <v>0</v>
      </c>
      <c r="V994" s="13" t="n">
        <v>0</v>
      </c>
      <c r="W994" s="4"/>
      <c r="X994" s="4"/>
      <c r="Y994" s="4"/>
      <c r="Z994" s="4"/>
      <c r="AA994" s="4"/>
      <c r="AB994" s="4"/>
      <c r="AC994" s="4"/>
      <c r="AD994" s="4"/>
      <c r="AE994" s="4"/>
      <c r="AF994" s="4"/>
      <c r="AG994" s="4"/>
      <c r="AH994" s="4"/>
      <c r="AI994" s="4"/>
      <c r="AJ994" s="4"/>
      <c r="AK994" s="4"/>
      <c r="AL994" s="4" t="s">
        <v>174</v>
      </c>
      <c r="AM994" s="4" t="s">
        <v>175</v>
      </c>
    </row>
    <row r="995" customFormat="false" ht="23.85" hidden="false" customHeight="false" outlineLevel="0" collapsed="false">
      <c r="A995" s="4" t="s">
        <v>167</v>
      </c>
      <c r="B995" s="4" t="s">
        <v>1172</v>
      </c>
      <c r="C995" s="4" t="s">
        <v>1172</v>
      </c>
      <c r="D995" s="12" t="n">
        <v>2022</v>
      </c>
      <c r="E995" s="4"/>
      <c r="F995" s="4" t="s">
        <v>169</v>
      </c>
      <c r="G995" s="4" t="s">
        <v>170</v>
      </c>
      <c r="H995" s="4" t="s">
        <v>171</v>
      </c>
      <c r="I995" s="4" t="s">
        <v>172</v>
      </c>
      <c r="J995" s="4" t="s">
        <v>1172</v>
      </c>
      <c r="K995" s="4" t="s">
        <v>91</v>
      </c>
      <c r="L995" s="4" t="s">
        <v>92</v>
      </c>
      <c r="M995" s="4"/>
      <c r="N995" s="4"/>
      <c r="O995" s="4"/>
      <c r="P995" s="4"/>
      <c r="Q995" s="4"/>
      <c r="R995" s="4"/>
      <c r="S995" s="13" t="n">
        <v>0</v>
      </c>
      <c r="T995" s="4" t="s">
        <v>173</v>
      </c>
      <c r="U995" s="14" t="n">
        <f aca="false">IF(OR($S995="",PARAMETROS!$B$4=""),"",$S995*PARAMETROS!$B$4)</f>
        <v>0</v>
      </c>
      <c r="V995" s="13" t="n">
        <v>0</v>
      </c>
      <c r="W995" s="4"/>
      <c r="X995" s="4"/>
      <c r="Y995" s="4"/>
      <c r="Z995" s="4"/>
      <c r="AA995" s="4"/>
      <c r="AB995" s="4"/>
      <c r="AC995" s="4"/>
      <c r="AD995" s="4"/>
      <c r="AE995" s="4"/>
      <c r="AF995" s="4"/>
      <c r="AG995" s="4"/>
      <c r="AH995" s="4"/>
      <c r="AI995" s="4"/>
      <c r="AJ995" s="4"/>
      <c r="AK995" s="4"/>
      <c r="AL995" s="4" t="s">
        <v>174</v>
      </c>
      <c r="AM995" s="4" t="s">
        <v>175</v>
      </c>
    </row>
    <row r="996" customFormat="false" ht="23.85" hidden="false" customHeight="false" outlineLevel="0" collapsed="false">
      <c r="A996" s="4" t="s">
        <v>167</v>
      </c>
      <c r="B996" s="4" t="s">
        <v>1173</v>
      </c>
      <c r="C996" s="4" t="s">
        <v>1173</v>
      </c>
      <c r="D996" s="12" t="n">
        <v>2022</v>
      </c>
      <c r="E996" s="4"/>
      <c r="F996" s="4" t="s">
        <v>169</v>
      </c>
      <c r="G996" s="4" t="s">
        <v>170</v>
      </c>
      <c r="H996" s="4" t="s">
        <v>171</v>
      </c>
      <c r="I996" s="4" t="s">
        <v>172</v>
      </c>
      <c r="J996" s="4" t="s">
        <v>1173</v>
      </c>
      <c r="K996" s="4" t="s">
        <v>93</v>
      </c>
      <c r="L996" s="4" t="s">
        <v>94</v>
      </c>
      <c r="M996" s="4"/>
      <c r="N996" s="4"/>
      <c r="O996" s="4"/>
      <c r="P996" s="4"/>
      <c r="Q996" s="4"/>
      <c r="R996" s="4"/>
      <c r="S996" s="13" t="n">
        <v>50.61</v>
      </c>
      <c r="T996" s="4" t="s">
        <v>173</v>
      </c>
      <c r="U996" s="14" t="n">
        <f aca="false">IF(OR($S996="",PARAMETROS!$B$4=""),"",$S996*PARAMETROS!$B$4)</f>
        <v>294.0441</v>
      </c>
      <c r="V996" s="13" t="n">
        <v>0</v>
      </c>
      <c r="W996" s="4"/>
      <c r="X996" s="4"/>
      <c r="Y996" s="4"/>
      <c r="Z996" s="4"/>
      <c r="AA996" s="4"/>
      <c r="AB996" s="4"/>
      <c r="AC996" s="4"/>
      <c r="AD996" s="4"/>
      <c r="AE996" s="4"/>
      <c r="AF996" s="4"/>
      <c r="AG996" s="4"/>
      <c r="AH996" s="4"/>
      <c r="AI996" s="4"/>
      <c r="AJ996" s="4"/>
      <c r="AK996" s="4"/>
      <c r="AL996" s="4" t="s">
        <v>174</v>
      </c>
      <c r="AM996" s="4" t="s">
        <v>190</v>
      </c>
    </row>
    <row r="997" customFormat="false" ht="23.85" hidden="false" customHeight="false" outlineLevel="0" collapsed="false">
      <c r="A997" s="4" t="s">
        <v>167</v>
      </c>
      <c r="B997" s="4" t="s">
        <v>1174</v>
      </c>
      <c r="C997" s="4" t="s">
        <v>1174</v>
      </c>
      <c r="D997" s="12" t="n">
        <v>2022</v>
      </c>
      <c r="E997" s="4"/>
      <c r="F997" s="4" t="s">
        <v>169</v>
      </c>
      <c r="G997" s="4" t="s">
        <v>170</v>
      </c>
      <c r="H997" s="4" t="s">
        <v>171</v>
      </c>
      <c r="I997" s="4" t="s">
        <v>172</v>
      </c>
      <c r="J997" s="4" t="s">
        <v>1174</v>
      </c>
      <c r="K997" s="4" t="s">
        <v>93</v>
      </c>
      <c r="L997" s="4" t="s">
        <v>94</v>
      </c>
      <c r="M997" s="4"/>
      <c r="N997" s="4"/>
      <c r="O997" s="4"/>
      <c r="P997" s="4"/>
      <c r="Q997" s="4"/>
      <c r="R997" s="4"/>
      <c r="S997" s="13" t="n">
        <v>0</v>
      </c>
      <c r="T997" s="4" t="s">
        <v>173</v>
      </c>
      <c r="U997" s="14" t="n">
        <f aca="false">IF(OR($S997="",PARAMETROS!$B$4=""),"",$S997*PARAMETROS!$B$4)</f>
        <v>0</v>
      </c>
      <c r="V997" s="13" t="n">
        <v>0</v>
      </c>
      <c r="W997" s="4"/>
      <c r="X997" s="4"/>
      <c r="Y997" s="4"/>
      <c r="Z997" s="4"/>
      <c r="AA997" s="4"/>
      <c r="AB997" s="4"/>
      <c r="AC997" s="4"/>
      <c r="AD997" s="4"/>
      <c r="AE997" s="4"/>
      <c r="AF997" s="4"/>
      <c r="AG997" s="4"/>
      <c r="AH997" s="4"/>
      <c r="AI997" s="4"/>
      <c r="AJ997" s="4"/>
      <c r="AK997" s="4"/>
      <c r="AL997" s="4" t="s">
        <v>174</v>
      </c>
      <c r="AM997" s="4" t="s">
        <v>190</v>
      </c>
    </row>
    <row r="998" customFormat="false" ht="23.85" hidden="false" customHeight="false" outlineLevel="0" collapsed="false">
      <c r="A998" s="4" t="s">
        <v>167</v>
      </c>
      <c r="B998" s="4" t="s">
        <v>1175</v>
      </c>
      <c r="C998" s="4" t="s">
        <v>1175</v>
      </c>
      <c r="D998" s="12" t="n">
        <v>2022</v>
      </c>
      <c r="E998" s="4"/>
      <c r="F998" s="4" t="s">
        <v>169</v>
      </c>
      <c r="G998" s="4" t="s">
        <v>170</v>
      </c>
      <c r="H998" s="4" t="s">
        <v>171</v>
      </c>
      <c r="I998" s="4" t="s">
        <v>172</v>
      </c>
      <c r="J998" s="4" t="s">
        <v>1175</v>
      </c>
      <c r="K998" s="4" t="s">
        <v>93</v>
      </c>
      <c r="L998" s="4" t="s">
        <v>94</v>
      </c>
      <c r="M998" s="4"/>
      <c r="N998" s="4"/>
      <c r="O998" s="4"/>
      <c r="P998" s="4"/>
      <c r="Q998" s="4"/>
      <c r="R998" s="4"/>
      <c r="S998" s="13" t="n">
        <v>0</v>
      </c>
      <c r="T998" s="4" t="s">
        <v>173</v>
      </c>
      <c r="U998" s="14" t="n">
        <f aca="false">IF(OR($S998="",PARAMETROS!$B$4=""),"",$S998*PARAMETROS!$B$4)</f>
        <v>0</v>
      </c>
      <c r="V998" s="13" t="n">
        <v>0</v>
      </c>
      <c r="W998" s="4"/>
      <c r="X998" s="4"/>
      <c r="Y998" s="4"/>
      <c r="Z998" s="4"/>
      <c r="AA998" s="4"/>
      <c r="AB998" s="4"/>
      <c r="AC998" s="4"/>
      <c r="AD998" s="4"/>
      <c r="AE998" s="4"/>
      <c r="AF998" s="4"/>
      <c r="AG998" s="4"/>
      <c r="AH998" s="4"/>
      <c r="AI998" s="4"/>
      <c r="AJ998" s="4"/>
      <c r="AK998" s="4"/>
      <c r="AL998" s="4" t="s">
        <v>174</v>
      </c>
      <c r="AM998" s="4" t="s">
        <v>190</v>
      </c>
    </row>
    <row r="999" customFormat="false" ht="23.85" hidden="false" customHeight="false" outlineLevel="0" collapsed="false">
      <c r="A999" s="4" t="s">
        <v>167</v>
      </c>
      <c r="B999" s="4" t="s">
        <v>1176</v>
      </c>
      <c r="C999" s="4" t="s">
        <v>1176</v>
      </c>
      <c r="D999" s="12" t="n">
        <v>2022</v>
      </c>
      <c r="E999" s="4"/>
      <c r="F999" s="4" t="s">
        <v>169</v>
      </c>
      <c r="G999" s="4" t="s">
        <v>170</v>
      </c>
      <c r="H999" s="4" t="s">
        <v>171</v>
      </c>
      <c r="I999" s="4" t="s">
        <v>172</v>
      </c>
      <c r="J999" s="4" t="s">
        <v>1176</v>
      </c>
      <c r="K999" s="4" t="s">
        <v>93</v>
      </c>
      <c r="L999" s="4" t="s">
        <v>94</v>
      </c>
      <c r="M999" s="4"/>
      <c r="N999" s="4"/>
      <c r="O999" s="4"/>
      <c r="P999" s="4"/>
      <c r="Q999" s="4"/>
      <c r="R999" s="4"/>
      <c r="S999" s="13" t="n">
        <v>0</v>
      </c>
      <c r="T999" s="4" t="s">
        <v>173</v>
      </c>
      <c r="U999" s="14" t="n">
        <f aca="false">IF(OR($S999="",PARAMETROS!$B$4=""),"",$S999*PARAMETROS!$B$4)</f>
        <v>0</v>
      </c>
      <c r="V999" s="13" t="n">
        <v>0</v>
      </c>
      <c r="W999" s="4"/>
      <c r="X999" s="4"/>
      <c r="Y999" s="4"/>
      <c r="Z999" s="4"/>
      <c r="AA999" s="4"/>
      <c r="AB999" s="4"/>
      <c r="AC999" s="4"/>
      <c r="AD999" s="4"/>
      <c r="AE999" s="4"/>
      <c r="AF999" s="4"/>
      <c r="AG999" s="4"/>
      <c r="AH999" s="4"/>
      <c r="AI999" s="4"/>
      <c r="AJ999" s="4"/>
      <c r="AK999" s="4"/>
      <c r="AL999" s="4" t="s">
        <v>174</v>
      </c>
      <c r="AM999" s="4" t="s">
        <v>190</v>
      </c>
    </row>
    <row r="1000" customFormat="false" ht="23.85" hidden="false" customHeight="false" outlineLevel="0" collapsed="false">
      <c r="A1000" s="4" t="s">
        <v>167</v>
      </c>
      <c r="B1000" s="4" t="s">
        <v>1177</v>
      </c>
      <c r="C1000" s="4" t="s">
        <v>1177</v>
      </c>
      <c r="D1000" s="12" t="n">
        <v>2022</v>
      </c>
      <c r="E1000" s="4"/>
      <c r="F1000" s="4" t="s">
        <v>169</v>
      </c>
      <c r="G1000" s="4" t="s">
        <v>170</v>
      </c>
      <c r="H1000" s="4" t="s">
        <v>171</v>
      </c>
      <c r="I1000" s="4" t="s">
        <v>172</v>
      </c>
      <c r="J1000" s="4" t="s">
        <v>1177</v>
      </c>
      <c r="K1000" s="4" t="s">
        <v>93</v>
      </c>
      <c r="L1000" s="4" t="s">
        <v>94</v>
      </c>
      <c r="M1000" s="4"/>
      <c r="N1000" s="4"/>
      <c r="O1000" s="4"/>
      <c r="P1000" s="4"/>
      <c r="Q1000" s="4"/>
      <c r="R1000" s="4"/>
      <c r="S1000" s="13" t="n">
        <v>0</v>
      </c>
      <c r="T1000" s="4" t="s">
        <v>173</v>
      </c>
      <c r="U1000" s="14" t="n">
        <f aca="false">IF(OR($S1000="",PARAMETROS!$B$4=""),"",$S1000*PARAMETROS!$B$4)</f>
        <v>0</v>
      </c>
      <c r="V1000" s="13" t="n">
        <v>0</v>
      </c>
      <c r="W1000" s="4"/>
      <c r="X1000" s="4"/>
      <c r="Y1000" s="4"/>
      <c r="Z1000" s="4"/>
      <c r="AA1000" s="4"/>
      <c r="AB1000" s="4"/>
      <c r="AC1000" s="4"/>
      <c r="AD1000" s="4"/>
      <c r="AE1000" s="4"/>
      <c r="AF1000" s="4"/>
      <c r="AG1000" s="4"/>
      <c r="AH1000" s="4"/>
      <c r="AI1000" s="4"/>
      <c r="AJ1000" s="4"/>
      <c r="AK1000" s="4"/>
      <c r="AL1000" s="4" t="s">
        <v>174</v>
      </c>
      <c r="AM1000" s="4" t="s">
        <v>190</v>
      </c>
    </row>
    <row r="1001" customFormat="false" ht="23.85" hidden="false" customHeight="false" outlineLevel="0" collapsed="false">
      <c r="A1001" s="4" t="s">
        <v>167</v>
      </c>
      <c r="B1001" s="4" t="s">
        <v>1178</v>
      </c>
      <c r="C1001" s="4" t="s">
        <v>1178</v>
      </c>
      <c r="D1001" s="12" t="n">
        <v>2022</v>
      </c>
      <c r="E1001" s="4"/>
      <c r="F1001" s="4" t="s">
        <v>169</v>
      </c>
      <c r="G1001" s="4" t="s">
        <v>170</v>
      </c>
      <c r="H1001" s="4" t="s">
        <v>171</v>
      </c>
      <c r="I1001" s="4" t="s">
        <v>172</v>
      </c>
      <c r="J1001" s="4" t="s">
        <v>1178</v>
      </c>
      <c r="K1001" s="4" t="s">
        <v>93</v>
      </c>
      <c r="L1001" s="4" t="s">
        <v>94</v>
      </c>
      <c r="M1001" s="4"/>
      <c r="N1001" s="4"/>
      <c r="O1001" s="4"/>
      <c r="P1001" s="4"/>
      <c r="Q1001" s="4"/>
      <c r="R1001" s="4"/>
      <c r="S1001" s="13" t="n">
        <v>-50.61</v>
      </c>
      <c r="T1001" s="4" t="s">
        <v>173</v>
      </c>
      <c r="U1001" s="14" t="n">
        <f aca="false">IF(OR($S1001="",PARAMETROS!$B$4=""),"",$S1001*PARAMETROS!$B$4)</f>
        <v>-294.0441</v>
      </c>
      <c r="V1001" s="13" t="n">
        <v>0</v>
      </c>
      <c r="W1001" s="4"/>
      <c r="X1001" s="4"/>
      <c r="Y1001" s="4"/>
      <c r="Z1001" s="4"/>
      <c r="AA1001" s="4"/>
      <c r="AB1001" s="4"/>
      <c r="AC1001" s="4"/>
      <c r="AD1001" s="4"/>
      <c r="AE1001" s="4"/>
      <c r="AF1001" s="4"/>
      <c r="AG1001" s="4"/>
      <c r="AH1001" s="4"/>
      <c r="AI1001" s="4"/>
      <c r="AJ1001" s="4"/>
      <c r="AK1001" s="4"/>
      <c r="AL1001" s="4" t="s">
        <v>174</v>
      </c>
      <c r="AM1001" s="4" t="s">
        <v>190</v>
      </c>
    </row>
    <row r="1002" customFormat="false" ht="23.85" hidden="false" customHeight="false" outlineLevel="0" collapsed="false">
      <c r="A1002" s="4" t="s">
        <v>167</v>
      </c>
      <c r="B1002" s="4" t="s">
        <v>1179</v>
      </c>
      <c r="C1002" s="4" t="s">
        <v>1179</v>
      </c>
      <c r="D1002" s="12" t="n">
        <v>2022</v>
      </c>
      <c r="E1002" s="4"/>
      <c r="F1002" s="4" t="s">
        <v>169</v>
      </c>
      <c r="G1002" s="4" t="s">
        <v>170</v>
      </c>
      <c r="H1002" s="4" t="s">
        <v>171</v>
      </c>
      <c r="I1002" s="4" t="s">
        <v>172</v>
      </c>
      <c r="J1002" s="4" t="s">
        <v>1179</v>
      </c>
      <c r="K1002" s="4" t="s">
        <v>93</v>
      </c>
      <c r="L1002" s="4" t="s">
        <v>94</v>
      </c>
      <c r="M1002" s="4"/>
      <c r="N1002" s="4"/>
      <c r="O1002" s="4"/>
      <c r="P1002" s="4"/>
      <c r="Q1002" s="4"/>
      <c r="R1002" s="4"/>
      <c r="S1002" s="13" t="n">
        <v>0</v>
      </c>
      <c r="T1002" s="4" t="s">
        <v>173</v>
      </c>
      <c r="U1002" s="14" t="n">
        <f aca="false">IF(OR($S1002="",PARAMETROS!$B$4=""),"",$S1002*PARAMETROS!$B$4)</f>
        <v>0</v>
      </c>
      <c r="V1002" s="13" t="n">
        <v>0</v>
      </c>
      <c r="W1002" s="4"/>
      <c r="X1002" s="4"/>
      <c r="Y1002" s="4"/>
      <c r="Z1002" s="4"/>
      <c r="AA1002" s="4"/>
      <c r="AB1002" s="4"/>
      <c r="AC1002" s="4"/>
      <c r="AD1002" s="4"/>
      <c r="AE1002" s="4"/>
      <c r="AF1002" s="4"/>
      <c r="AG1002" s="4"/>
      <c r="AH1002" s="4"/>
      <c r="AI1002" s="4"/>
      <c r="AJ1002" s="4"/>
      <c r="AK1002" s="4"/>
      <c r="AL1002" s="4" t="s">
        <v>174</v>
      </c>
      <c r="AM1002" s="4" t="s">
        <v>190</v>
      </c>
    </row>
    <row r="1003" customFormat="false" ht="23.85" hidden="false" customHeight="false" outlineLevel="0" collapsed="false">
      <c r="A1003" s="4" t="s">
        <v>167</v>
      </c>
      <c r="B1003" s="4" t="s">
        <v>1180</v>
      </c>
      <c r="C1003" s="4" t="s">
        <v>1180</v>
      </c>
      <c r="D1003" s="12" t="n">
        <v>2022</v>
      </c>
      <c r="E1003" s="4"/>
      <c r="F1003" s="4" t="s">
        <v>169</v>
      </c>
      <c r="G1003" s="4" t="s">
        <v>170</v>
      </c>
      <c r="H1003" s="4" t="s">
        <v>171</v>
      </c>
      <c r="I1003" s="4" t="s">
        <v>172</v>
      </c>
      <c r="J1003" s="4" t="s">
        <v>1180</v>
      </c>
      <c r="K1003" s="4" t="s">
        <v>93</v>
      </c>
      <c r="L1003" s="4" t="s">
        <v>94</v>
      </c>
      <c r="M1003" s="4"/>
      <c r="N1003" s="4"/>
      <c r="O1003" s="4"/>
      <c r="P1003" s="4"/>
      <c r="Q1003" s="4"/>
      <c r="R1003" s="4"/>
      <c r="S1003" s="13" t="n">
        <v>0</v>
      </c>
      <c r="T1003" s="4" t="s">
        <v>173</v>
      </c>
      <c r="U1003" s="14" t="n">
        <f aca="false">IF(OR($S1003="",PARAMETROS!$B$4=""),"",$S1003*PARAMETROS!$B$4)</f>
        <v>0</v>
      </c>
      <c r="V1003" s="13" t="n">
        <v>0</v>
      </c>
      <c r="W1003" s="4"/>
      <c r="X1003" s="4"/>
      <c r="Y1003" s="4"/>
      <c r="Z1003" s="4"/>
      <c r="AA1003" s="4"/>
      <c r="AB1003" s="4"/>
      <c r="AC1003" s="4"/>
      <c r="AD1003" s="4"/>
      <c r="AE1003" s="4"/>
      <c r="AF1003" s="4"/>
      <c r="AG1003" s="4"/>
      <c r="AH1003" s="4"/>
      <c r="AI1003" s="4"/>
      <c r="AJ1003" s="4"/>
      <c r="AK1003" s="4"/>
      <c r="AL1003" s="4" t="s">
        <v>174</v>
      </c>
      <c r="AM1003" s="4" t="s">
        <v>190</v>
      </c>
    </row>
    <row r="1004" customFormat="false" ht="23.85" hidden="false" customHeight="false" outlineLevel="0" collapsed="false">
      <c r="A1004" s="4" t="s">
        <v>167</v>
      </c>
      <c r="B1004" s="4" t="s">
        <v>1181</v>
      </c>
      <c r="C1004" s="4" t="s">
        <v>1181</v>
      </c>
      <c r="D1004" s="12" t="n">
        <v>2022</v>
      </c>
      <c r="E1004" s="4"/>
      <c r="F1004" s="4" t="s">
        <v>169</v>
      </c>
      <c r="G1004" s="4" t="s">
        <v>170</v>
      </c>
      <c r="H1004" s="4" t="s">
        <v>171</v>
      </c>
      <c r="I1004" s="4" t="s">
        <v>172</v>
      </c>
      <c r="J1004" s="4" t="s">
        <v>1181</v>
      </c>
      <c r="K1004" s="4" t="s">
        <v>93</v>
      </c>
      <c r="L1004" s="4" t="s">
        <v>94</v>
      </c>
      <c r="M1004" s="4"/>
      <c r="N1004" s="4"/>
      <c r="O1004" s="4"/>
      <c r="P1004" s="4"/>
      <c r="Q1004" s="4"/>
      <c r="R1004" s="4"/>
      <c r="S1004" s="13" t="n">
        <v>0</v>
      </c>
      <c r="T1004" s="4" t="s">
        <v>173</v>
      </c>
      <c r="U1004" s="14" t="n">
        <f aca="false">IF(OR($S1004="",PARAMETROS!$B$4=""),"",$S1004*PARAMETROS!$B$4)</f>
        <v>0</v>
      </c>
      <c r="V1004" s="13" t="n">
        <v>0</v>
      </c>
      <c r="W1004" s="4"/>
      <c r="X1004" s="4"/>
      <c r="Y1004" s="4"/>
      <c r="Z1004" s="4"/>
      <c r="AA1004" s="4"/>
      <c r="AB1004" s="4"/>
      <c r="AC1004" s="4"/>
      <c r="AD1004" s="4"/>
      <c r="AE1004" s="4"/>
      <c r="AF1004" s="4"/>
      <c r="AG1004" s="4"/>
      <c r="AH1004" s="4"/>
      <c r="AI1004" s="4"/>
      <c r="AJ1004" s="4"/>
      <c r="AK1004" s="4"/>
      <c r="AL1004" s="4" t="s">
        <v>174</v>
      </c>
      <c r="AM1004" s="4" t="s">
        <v>190</v>
      </c>
    </row>
    <row r="1005" customFormat="false" ht="23.85" hidden="false" customHeight="false" outlineLevel="0" collapsed="false">
      <c r="A1005" s="4" t="s">
        <v>167</v>
      </c>
      <c r="B1005" s="4" t="s">
        <v>1182</v>
      </c>
      <c r="C1005" s="4" t="s">
        <v>1182</v>
      </c>
      <c r="D1005" s="12" t="n">
        <v>2022</v>
      </c>
      <c r="E1005" s="4"/>
      <c r="F1005" s="4" t="s">
        <v>169</v>
      </c>
      <c r="G1005" s="4" t="s">
        <v>170</v>
      </c>
      <c r="H1005" s="4" t="s">
        <v>171</v>
      </c>
      <c r="I1005" s="4" t="s">
        <v>172</v>
      </c>
      <c r="J1005" s="4" t="s">
        <v>1182</v>
      </c>
      <c r="K1005" s="4" t="s">
        <v>93</v>
      </c>
      <c r="L1005" s="4" t="s">
        <v>94</v>
      </c>
      <c r="M1005" s="4"/>
      <c r="N1005" s="4"/>
      <c r="O1005" s="4"/>
      <c r="P1005" s="4"/>
      <c r="Q1005" s="4"/>
      <c r="R1005" s="4"/>
      <c r="S1005" s="13" t="n">
        <v>0</v>
      </c>
      <c r="T1005" s="4" t="s">
        <v>173</v>
      </c>
      <c r="U1005" s="14" t="n">
        <f aca="false">IF(OR($S1005="",PARAMETROS!$B$4=""),"",$S1005*PARAMETROS!$B$4)</f>
        <v>0</v>
      </c>
      <c r="V1005" s="13" t="n">
        <v>0</v>
      </c>
      <c r="W1005" s="4"/>
      <c r="X1005" s="4"/>
      <c r="Y1005" s="4"/>
      <c r="Z1005" s="4"/>
      <c r="AA1005" s="4"/>
      <c r="AB1005" s="4"/>
      <c r="AC1005" s="4"/>
      <c r="AD1005" s="4"/>
      <c r="AE1005" s="4"/>
      <c r="AF1005" s="4"/>
      <c r="AG1005" s="4"/>
      <c r="AH1005" s="4"/>
      <c r="AI1005" s="4"/>
      <c r="AJ1005" s="4"/>
      <c r="AK1005" s="4"/>
      <c r="AL1005" s="4" t="s">
        <v>174</v>
      </c>
      <c r="AM1005" s="4" t="s">
        <v>190</v>
      </c>
    </row>
    <row r="1006" customFormat="false" ht="23.85" hidden="false" customHeight="false" outlineLevel="0" collapsed="false">
      <c r="A1006" s="4" t="s">
        <v>167</v>
      </c>
      <c r="B1006" s="4" t="s">
        <v>1183</v>
      </c>
      <c r="C1006" s="4" t="s">
        <v>1183</v>
      </c>
      <c r="D1006" s="12" t="n">
        <v>2022</v>
      </c>
      <c r="E1006" s="4"/>
      <c r="F1006" s="4" t="s">
        <v>169</v>
      </c>
      <c r="G1006" s="4" t="s">
        <v>170</v>
      </c>
      <c r="H1006" s="4" t="s">
        <v>171</v>
      </c>
      <c r="I1006" s="4" t="s">
        <v>172</v>
      </c>
      <c r="J1006" s="4" t="s">
        <v>1183</v>
      </c>
      <c r="K1006" s="4" t="s">
        <v>93</v>
      </c>
      <c r="L1006" s="4" t="s">
        <v>94</v>
      </c>
      <c r="M1006" s="4"/>
      <c r="N1006" s="4"/>
      <c r="O1006" s="4"/>
      <c r="P1006" s="4"/>
      <c r="Q1006" s="4"/>
      <c r="R1006" s="4"/>
      <c r="S1006" s="13" t="n">
        <v>0</v>
      </c>
      <c r="T1006" s="4" t="s">
        <v>173</v>
      </c>
      <c r="U1006" s="14" t="n">
        <f aca="false">IF(OR($S1006="",PARAMETROS!$B$4=""),"",$S1006*PARAMETROS!$B$4)</f>
        <v>0</v>
      </c>
      <c r="V1006" s="13" t="n">
        <v>0</v>
      </c>
      <c r="W1006" s="4"/>
      <c r="X1006" s="4"/>
      <c r="Y1006" s="4"/>
      <c r="Z1006" s="4"/>
      <c r="AA1006" s="4"/>
      <c r="AB1006" s="4"/>
      <c r="AC1006" s="4"/>
      <c r="AD1006" s="4"/>
      <c r="AE1006" s="4"/>
      <c r="AF1006" s="4"/>
      <c r="AG1006" s="4"/>
      <c r="AH1006" s="4"/>
      <c r="AI1006" s="4"/>
      <c r="AJ1006" s="4"/>
      <c r="AK1006" s="4"/>
      <c r="AL1006" s="4" t="s">
        <v>174</v>
      </c>
      <c r="AM1006" s="4" t="s">
        <v>190</v>
      </c>
    </row>
    <row r="1007" customFormat="false" ht="23.85" hidden="false" customHeight="false" outlineLevel="0" collapsed="false">
      <c r="A1007" s="4" t="s">
        <v>167</v>
      </c>
      <c r="B1007" s="4" t="s">
        <v>1184</v>
      </c>
      <c r="C1007" s="4" t="s">
        <v>1184</v>
      </c>
      <c r="D1007" s="12" t="n">
        <v>2022</v>
      </c>
      <c r="E1007" s="4"/>
      <c r="F1007" s="4" t="s">
        <v>169</v>
      </c>
      <c r="G1007" s="4" t="s">
        <v>170</v>
      </c>
      <c r="H1007" s="4" t="s">
        <v>171</v>
      </c>
      <c r="I1007" s="4" t="s">
        <v>172</v>
      </c>
      <c r="J1007" s="4" t="s">
        <v>1184</v>
      </c>
      <c r="K1007" s="4" t="s">
        <v>93</v>
      </c>
      <c r="L1007" s="4" t="s">
        <v>94</v>
      </c>
      <c r="M1007" s="4"/>
      <c r="N1007" s="4"/>
      <c r="O1007" s="4"/>
      <c r="P1007" s="4"/>
      <c r="Q1007" s="4"/>
      <c r="R1007" s="4"/>
      <c r="S1007" s="13" t="n">
        <v>0</v>
      </c>
      <c r="T1007" s="4" t="s">
        <v>173</v>
      </c>
      <c r="U1007" s="14" t="n">
        <f aca="false">IF(OR($S1007="",PARAMETROS!$B$4=""),"",$S1007*PARAMETROS!$B$4)</f>
        <v>0</v>
      </c>
      <c r="V1007" s="13" t="n">
        <v>0</v>
      </c>
      <c r="W1007" s="4"/>
      <c r="X1007" s="4"/>
      <c r="Y1007" s="4"/>
      <c r="Z1007" s="4"/>
      <c r="AA1007" s="4"/>
      <c r="AB1007" s="4"/>
      <c r="AC1007" s="4"/>
      <c r="AD1007" s="4"/>
      <c r="AE1007" s="4"/>
      <c r="AF1007" s="4"/>
      <c r="AG1007" s="4"/>
      <c r="AH1007" s="4"/>
      <c r="AI1007" s="4"/>
      <c r="AJ1007" s="4"/>
      <c r="AK1007" s="4"/>
      <c r="AL1007" s="4" t="s">
        <v>174</v>
      </c>
      <c r="AM1007" s="4" t="s">
        <v>190</v>
      </c>
    </row>
    <row r="1008" customFormat="false" ht="23.85" hidden="false" customHeight="false" outlineLevel="0" collapsed="false">
      <c r="A1008" s="4" t="s">
        <v>167</v>
      </c>
      <c r="B1008" s="4" t="s">
        <v>1185</v>
      </c>
      <c r="C1008" s="4" t="s">
        <v>1185</v>
      </c>
      <c r="D1008" s="12" t="n">
        <v>2022</v>
      </c>
      <c r="E1008" s="4"/>
      <c r="F1008" s="4" t="s">
        <v>169</v>
      </c>
      <c r="G1008" s="4" t="s">
        <v>170</v>
      </c>
      <c r="H1008" s="4" t="s">
        <v>171</v>
      </c>
      <c r="I1008" s="4" t="s">
        <v>172</v>
      </c>
      <c r="J1008" s="4" t="s">
        <v>1185</v>
      </c>
      <c r="K1008" s="4" t="s">
        <v>93</v>
      </c>
      <c r="L1008" s="4" t="s">
        <v>94</v>
      </c>
      <c r="M1008" s="4"/>
      <c r="N1008" s="4"/>
      <c r="O1008" s="4"/>
      <c r="P1008" s="4"/>
      <c r="Q1008" s="4"/>
      <c r="R1008" s="4"/>
      <c r="S1008" s="13" t="n">
        <v>0</v>
      </c>
      <c r="T1008" s="4" t="s">
        <v>173</v>
      </c>
      <c r="U1008" s="14" t="n">
        <f aca="false">IF(OR($S1008="",PARAMETROS!$B$4=""),"",$S1008*PARAMETROS!$B$4)</f>
        <v>0</v>
      </c>
      <c r="V1008" s="13" t="n">
        <v>0</v>
      </c>
      <c r="W1008" s="4"/>
      <c r="X1008" s="4"/>
      <c r="Y1008" s="4"/>
      <c r="Z1008" s="4"/>
      <c r="AA1008" s="4"/>
      <c r="AB1008" s="4"/>
      <c r="AC1008" s="4"/>
      <c r="AD1008" s="4"/>
      <c r="AE1008" s="4"/>
      <c r="AF1008" s="4"/>
      <c r="AG1008" s="4"/>
      <c r="AH1008" s="4"/>
      <c r="AI1008" s="4"/>
      <c r="AJ1008" s="4"/>
      <c r="AK1008" s="4"/>
      <c r="AL1008" s="4" t="s">
        <v>174</v>
      </c>
      <c r="AM1008" s="4" t="s">
        <v>190</v>
      </c>
    </row>
    <row r="1009" customFormat="false" ht="23.85" hidden="false" customHeight="false" outlineLevel="0" collapsed="false">
      <c r="A1009" s="4" t="s">
        <v>167</v>
      </c>
      <c r="B1009" s="4" t="s">
        <v>1186</v>
      </c>
      <c r="C1009" s="4" t="s">
        <v>1186</v>
      </c>
      <c r="D1009" s="12" t="n">
        <v>2022</v>
      </c>
      <c r="E1009" s="4"/>
      <c r="F1009" s="4" t="s">
        <v>169</v>
      </c>
      <c r="G1009" s="4" t="s">
        <v>170</v>
      </c>
      <c r="H1009" s="4" t="s">
        <v>171</v>
      </c>
      <c r="I1009" s="4" t="s">
        <v>172</v>
      </c>
      <c r="J1009" s="4" t="s">
        <v>1186</v>
      </c>
      <c r="K1009" s="4" t="s">
        <v>93</v>
      </c>
      <c r="L1009" s="4" t="s">
        <v>94</v>
      </c>
      <c r="M1009" s="4"/>
      <c r="N1009" s="4"/>
      <c r="O1009" s="4"/>
      <c r="P1009" s="4"/>
      <c r="Q1009" s="4"/>
      <c r="R1009" s="4"/>
      <c r="S1009" s="13" t="n">
        <v>0</v>
      </c>
      <c r="T1009" s="4" t="s">
        <v>173</v>
      </c>
      <c r="U1009" s="14" t="n">
        <f aca="false">IF(OR($S1009="",PARAMETROS!$B$4=""),"",$S1009*PARAMETROS!$B$4)</f>
        <v>0</v>
      </c>
      <c r="V1009" s="13" t="n">
        <v>0</v>
      </c>
      <c r="W1009" s="4"/>
      <c r="X1009" s="4"/>
      <c r="Y1009" s="4"/>
      <c r="Z1009" s="4"/>
      <c r="AA1009" s="4"/>
      <c r="AB1009" s="4"/>
      <c r="AC1009" s="4"/>
      <c r="AD1009" s="4"/>
      <c r="AE1009" s="4"/>
      <c r="AF1009" s="4"/>
      <c r="AG1009" s="4"/>
      <c r="AH1009" s="4"/>
      <c r="AI1009" s="4"/>
      <c r="AJ1009" s="4"/>
      <c r="AK1009" s="4"/>
      <c r="AL1009" s="4" t="s">
        <v>174</v>
      </c>
      <c r="AM1009" s="4" t="s">
        <v>190</v>
      </c>
    </row>
    <row r="1010" customFormat="false" ht="23.85" hidden="false" customHeight="false" outlineLevel="0" collapsed="false">
      <c r="A1010" s="4" t="s">
        <v>167</v>
      </c>
      <c r="B1010" s="4" t="s">
        <v>1187</v>
      </c>
      <c r="C1010" s="4" t="s">
        <v>1187</v>
      </c>
      <c r="D1010" s="12" t="n">
        <v>2022</v>
      </c>
      <c r="E1010" s="4"/>
      <c r="F1010" s="4" t="s">
        <v>169</v>
      </c>
      <c r="G1010" s="4" t="s">
        <v>170</v>
      </c>
      <c r="H1010" s="4" t="s">
        <v>171</v>
      </c>
      <c r="I1010" s="4" t="s">
        <v>172</v>
      </c>
      <c r="J1010" s="4" t="s">
        <v>1187</v>
      </c>
      <c r="K1010" s="4" t="s">
        <v>76</v>
      </c>
      <c r="L1010" s="4" t="s">
        <v>77</v>
      </c>
      <c r="M1010" s="4"/>
      <c r="N1010" s="4"/>
      <c r="O1010" s="4"/>
      <c r="P1010" s="4"/>
      <c r="Q1010" s="4"/>
      <c r="R1010" s="4"/>
      <c r="S1010" s="13" t="n">
        <v>0</v>
      </c>
      <c r="T1010" s="4" t="s">
        <v>173</v>
      </c>
      <c r="U1010" s="14" t="n">
        <f aca="false">IF(OR($S1010="",PARAMETROS!$B$4=""),"",$S1010*PARAMETROS!$B$4)</f>
        <v>0</v>
      </c>
      <c r="V1010" s="13" t="n">
        <v>0</v>
      </c>
      <c r="W1010" s="4"/>
      <c r="X1010" s="4"/>
      <c r="Y1010" s="4"/>
      <c r="Z1010" s="4"/>
      <c r="AA1010" s="4"/>
      <c r="AB1010" s="4"/>
      <c r="AC1010" s="4"/>
      <c r="AD1010" s="4"/>
      <c r="AE1010" s="4"/>
      <c r="AF1010" s="4"/>
      <c r="AG1010" s="4"/>
      <c r="AH1010" s="4"/>
      <c r="AI1010" s="4"/>
      <c r="AJ1010" s="4"/>
      <c r="AK1010" s="4"/>
      <c r="AL1010" s="4" t="s">
        <v>174</v>
      </c>
      <c r="AM1010" s="4" t="s">
        <v>205</v>
      </c>
    </row>
    <row r="1011" customFormat="false" ht="23.85" hidden="false" customHeight="false" outlineLevel="0" collapsed="false">
      <c r="A1011" s="4" t="s">
        <v>167</v>
      </c>
      <c r="B1011" s="4" t="s">
        <v>1188</v>
      </c>
      <c r="C1011" s="4" t="s">
        <v>1188</v>
      </c>
      <c r="D1011" s="12" t="n">
        <v>2022</v>
      </c>
      <c r="E1011" s="4"/>
      <c r="F1011" s="4" t="s">
        <v>169</v>
      </c>
      <c r="G1011" s="4" t="s">
        <v>170</v>
      </c>
      <c r="H1011" s="4" t="s">
        <v>171</v>
      </c>
      <c r="I1011" s="4" t="s">
        <v>172</v>
      </c>
      <c r="J1011" s="4" t="s">
        <v>1188</v>
      </c>
      <c r="K1011" s="4" t="s">
        <v>76</v>
      </c>
      <c r="L1011" s="4" t="s">
        <v>77</v>
      </c>
      <c r="M1011" s="4"/>
      <c r="N1011" s="4"/>
      <c r="O1011" s="4"/>
      <c r="P1011" s="4"/>
      <c r="Q1011" s="4"/>
      <c r="R1011" s="4"/>
      <c r="S1011" s="13" t="n">
        <v>4546.34</v>
      </c>
      <c r="T1011" s="4" t="s">
        <v>173</v>
      </c>
      <c r="U1011" s="14" t="n">
        <f aca="false">IF(OR($S1011="",PARAMETROS!$B$4=""),"",$S1011*PARAMETROS!$B$4)</f>
        <v>26414.2354</v>
      </c>
      <c r="V1011" s="13" t="n">
        <v>0</v>
      </c>
      <c r="W1011" s="4"/>
      <c r="X1011" s="4"/>
      <c r="Y1011" s="4"/>
      <c r="Z1011" s="4"/>
      <c r="AA1011" s="4"/>
      <c r="AB1011" s="4"/>
      <c r="AC1011" s="4"/>
      <c r="AD1011" s="4"/>
      <c r="AE1011" s="4"/>
      <c r="AF1011" s="4"/>
      <c r="AG1011" s="4"/>
      <c r="AH1011" s="4"/>
      <c r="AI1011" s="4"/>
      <c r="AJ1011" s="4"/>
      <c r="AK1011" s="4"/>
      <c r="AL1011" s="4" t="s">
        <v>174</v>
      </c>
      <c r="AM1011" s="4" t="s">
        <v>205</v>
      </c>
    </row>
    <row r="1012" customFormat="false" ht="23.85" hidden="false" customHeight="false" outlineLevel="0" collapsed="false">
      <c r="A1012" s="4" t="s">
        <v>167</v>
      </c>
      <c r="B1012" s="4" t="s">
        <v>1189</v>
      </c>
      <c r="C1012" s="4" t="s">
        <v>1189</v>
      </c>
      <c r="D1012" s="12" t="n">
        <v>2022</v>
      </c>
      <c r="E1012" s="4"/>
      <c r="F1012" s="4" t="s">
        <v>169</v>
      </c>
      <c r="G1012" s="4" t="s">
        <v>170</v>
      </c>
      <c r="H1012" s="4" t="s">
        <v>171</v>
      </c>
      <c r="I1012" s="4" t="s">
        <v>172</v>
      </c>
      <c r="J1012" s="4" t="s">
        <v>1189</v>
      </c>
      <c r="K1012" s="4" t="s">
        <v>76</v>
      </c>
      <c r="L1012" s="4" t="s">
        <v>77</v>
      </c>
      <c r="M1012" s="4"/>
      <c r="N1012" s="4"/>
      <c r="O1012" s="4"/>
      <c r="P1012" s="4"/>
      <c r="Q1012" s="4"/>
      <c r="R1012" s="4"/>
      <c r="S1012" s="13" t="n">
        <v>0</v>
      </c>
      <c r="T1012" s="4" t="s">
        <v>173</v>
      </c>
      <c r="U1012" s="14" t="n">
        <f aca="false">IF(OR($S1012="",PARAMETROS!$B$4=""),"",$S1012*PARAMETROS!$B$4)</f>
        <v>0</v>
      </c>
      <c r="V1012" s="13" t="n">
        <v>0</v>
      </c>
      <c r="W1012" s="4"/>
      <c r="X1012" s="4"/>
      <c r="Y1012" s="4"/>
      <c r="Z1012" s="4"/>
      <c r="AA1012" s="4"/>
      <c r="AB1012" s="4"/>
      <c r="AC1012" s="4"/>
      <c r="AD1012" s="4"/>
      <c r="AE1012" s="4"/>
      <c r="AF1012" s="4"/>
      <c r="AG1012" s="4"/>
      <c r="AH1012" s="4"/>
      <c r="AI1012" s="4"/>
      <c r="AJ1012" s="4"/>
      <c r="AK1012" s="4"/>
      <c r="AL1012" s="4" t="s">
        <v>174</v>
      </c>
      <c r="AM1012" s="4" t="s">
        <v>205</v>
      </c>
    </row>
    <row r="1013" customFormat="false" ht="23.85" hidden="false" customHeight="false" outlineLevel="0" collapsed="false">
      <c r="A1013" s="4" t="s">
        <v>167</v>
      </c>
      <c r="B1013" s="4" t="s">
        <v>1190</v>
      </c>
      <c r="C1013" s="4" t="s">
        <v>1190</v>
      </c>
      <c r="D1013" s="12" t="n">
        <v>2022</v>
      </c>
      <c r="E1013" s="4"/>
      <c r="F1013" s="4" t="s">
        <v>169</v>
      </c>
      <c r="G1013" s="4" t="s">
        <v>170</v>
      </c>
      <c r="H1013" s="4" t="s">
        <v>171</v>
      </c>
      <c r="I1013" s="4" t="s">
        <v>172</v>
      </c>
      <c r="J1013" s="4" t="s">
        <v>1190</v>
      </c>
      <c r="K1013" s="4" t="s">
        <v>76</v>
      </c>
      <c r="L1013" s="4" t="s">
        <v>77</v>
      </c>
      <c r="M1013" s="4"/>
      <c r="N1013" s="4"/>
      <c r="O1013" s="4"/>
      <c r="P1013" s="4"/>
      <c r="Q1013" s="4"/>
      <c r="R1013" s="4"/>
      <c r="S1013" s="13" t="n">
        <v>-1801.22</v>
      </c>
      <c r="T1013" s="4" t="s">
        <v>173</v>
      </c>
      <c r="U1013" s="14" t="n">
        <f aca="false">IF(OR($S1013="",PARAMETROS!$B$4=""),"",$S1013*PARAMETROS!$B$4)</f>
        <v>-10465.0882</v>
      </c>
      <c r="V1013" s="13" t="n">
        <v>0</v>
      </c>
      <c r="W1013" s="4"/>
      <c r="X1013" s="4"/>
      <c r="Y1013" s="4"/>
      <c r="Z1013" s="4"/>
      <c r="AA1013" s="4"/>
      <c r="AB1013" s="4"/>
      <c r="AC1013" s="4"/>
      <c r="AD1013" s="4"/>
      <c r="AE1013" s="4"/>
      <c r="AF1013" s="4"/>
      <c r="AG1013" s="4"/>
      <c r="AH1013" s="4"/>
      <c r="AI1013" s="4"/>
      <c r="AJ1013" s="4"/>
      <c r="AK1013" s="4"/>
      <c r="AL1013" s="4" t="s">
        <v>174</v>
      </c>
      <c r="AM1013" s="4" t="s">
        <v>205</v>
      </c>
    </row>
    <row r="1014" customFormat="false" ht="23.85" hidden="false" customHeight="false" outlineLevel="0" collapsed="false">
      <c r="A1014" s="4" t="s">
        <v>167</v>
      </c>
      <c r="B1014" s="4" t="s">
        <v>1191</v>
      </c>
      <c r="C1014" s="4" t="s">
        <v>1191</v>
      </c>
      <c r="D1014" s="12" t="n">
        <v>2022</v>
      </c>
      <c r="E1014" s="4"/>
      <c r="F1014" s="4" t="s">
        <v>169</v>
      </c>
      <c r="G1014" s="4" t="s">
        <v>170</v>
      </c>
      <c r="H1014" s="4" t="s">
        <v>171</v>
      </c>
      <c r="I1014" s="4" t="s">
        <v>172</v>
      </c>
      <c r="J1014" s="4" t="s">
        <v>1191</v>
      </c>
      <c r="K1014" s="4" t="s">
        <v>76</v>
      </c>
      <c r="L1014" s="4" t="s">
        <v>77</v>
      </c>
      <c r="M1014" s="4"/>
      <c r="N1014" s="4"/>
      <c r="O1014" s="4"/>
      <c r="P1014" s="4"/>
      <c r="Q1014" s="4"/>
      <c r="R1014" s="4"/>
      <c r="S1014" s="13" t="n">
        <v>0</v>
      </c>
      <c r="T1014" s="4" t="s">
        <v>173</v>
      </c>
      <c r="U1014" s="14" t="n">
        <f aca="false">IF(OR($S1014="",PARAMETROS!$B$4=""),"",$S1014*PARAMETROS!$B$4)</f>
        <v>0</v>
      </c>
      <c r="V1014" s="13" t="n">
        <v>0</v>
      </c>
      <c r="W1014" s="4"/>
      <c r="X1014" s="4"/>
      <c r="Y1014" s="4"/>
      <c r="Z1014" s="4"/>
      <c r="AA1014" s="4"/>
      <c r="AB1014" s="4"/>
      <c r="AC1014" s="4"/>
      <c r="AD1014" s="4"/>
      <c r="AE1014" s="4"/>
      <c r="AF1014" s="4"/>
      <c r="AG1014" s="4"/>
      <c r="AH1014" s="4"/>
      <c r="AI1014" s="4"/>
      <c r="AJ1014" s="4"/>
      <c r="AK1014" s="4"/>
      <c r="AL1014" s="4" t="s">
        <v>174</v>
      </c>
      <c r="AM1014" s="4" t="s">
        <v>205</v>
      </c>
    </row>
    <row r="1015" customFormat="false" ht="23.85" hidden="false" customHeight="false" outlineLevel="0" collapsed="false">
      <c r="A1015" s="4" t="s">
        <v>167</v>
      </c>
      <c r="B1015" s="4" t="s">
        <v>1192</v>
      </c>
      <c r="C1015" s="4" t="s">
        <v>1192</v>
      </c>
      <c r="D1015" s="12" t="n">
        <v>2022</v>
      </c>
      <c r="E1015" s="4"/>
      <c r="F1015" s="4" t="s">
        <v>169</v>
      </c>
      <c r="G1015" s="4" t="s">
        <v>170</v>
      </c>
      <c r="H1015" s="4" t="s">
        <v>171</v>
      </c>
      <c r="I1015" s="4" t="s">
        <v>172</v>
      </c>
      <c r="J1015" s="4" t="s">
        <v>1192</v>
      </c>
      <c r="K1015" s="4" t="s">
        <v>76</v>
      </c>
      <c r="L1015" s="4" t="s">
        <v>77</v>
      </c>
      <c r="M1015" s="4"/>
      <c r="N1015" s="4"/>
      <c r="O1015" s="4"/>
      <c r="P1015" s="4"/>
      <c r="Q1015" s="4"/>
      <c r="R1015" s="4"/>
      <c r="S1015" s="13" t="n">
        <v>-2640.81</v>
      </c>
      <c r="T1015" s="4" t="s">
        <v>173</v>
      </c>
      <c r="U1015" s="14" t="n">
        <f aca="false">IF(OR($S1015="",PARAMETROS!$B$4=""),"",$S1015*PARAMETROS!$B$4)</f>
        <v>-15343.1061</v>
      </c>
      <c r="V1015" s="13" t="n">
        <v>0</v>
      </c>
      <c r="W1015" s="4"/>
      <c r="X1015" s="4"/>
      <c r="Y1015" s="4"/>
      <c r="Z1015" s="4"/>
      <c r="AA1015" s="4"/>
      <c r="AB1015" s="4"/>
      <c r="AC1015" s="4"/>
      <c r="AD1015" s="4"/>
      <c r="AE1015" s="4"/>
      <c r="AF1015" s="4"/>
      <c r="AG1015" s="4"/>
      <c r="AH1015" s="4"/>
      <c r="AI1015" s="4"/>
      <c r="AJ1015" s="4"/>
      <c r="AK1015" s="4"/>
      <c r="AL1015" s="4" t="s">
        <v>174</v>
      </c>
      <c r="AM1015" s="4" t="s">
        <v>205</v>
      </c>
    </row>
    <row r="1016" customFormat="false" ht="23.85" hidden="false" customHeight="false" outlineLevel="0" collapsed="false">
      <c r="A1016" s="4" t="s">
        <v>167</v>
      </c>
      <c r="B1016" s="4" t="s">
        <v>1193</v>
      </c>
      <c r="C1016" s="4" t="s">
        <v>1193</v>
      </c>
      <c r="D1016" s="12" t="n">
        <v>2022</v>
      </c>
      <c r="E1016" s="4"/>
      <c r="F1016" s="4" t="s">
        <v>169</v>
      </c>
      <c r="G1016" s="4" t="s">
        <v>170</v>
      </c>
      <c r="H1016" s="4" t="s">
        <v>171</v>
      </c>
      <c r="I1016" s="4" t="s">
        <v>172</v>
      </c>
      <c r="J1016" s="4" t="s">
        <v>1193</v>
      </c>
      <c r="K1016" s="4" t="s">
        <v>76</v>
      </c>
      <c r="L1016" s="4" t="s">
        <v>77</v>
      </c>
      <c r="M1016" s="4"/>
      <c r="N1016" s="4"/>
      <c r="O1016" s="4"/>
      <c r="P1016" s="4"/>
      <c r="Q1016" s="4"/>
      <c r="R1016" s="4"/>
      <c r="S1016" s="13" t="n">
        <v>-104.3</v>
      </c>
      <c r="T1016" s="4" t="s">
        <v>173</v>
      </c>
      <c r="U1016" s="14" t="n">
        <f aca="false">IF(OR($S1016="",PARAMETROS!$B$4=""),"",$S1016*PARAMETROS!$B$4)</f>
        <v>-605.983</v>
      </c>
      <c r="V1016" s="13" t="n">
        <v>0</v>
      </c>
      <c r="W1016" s="4"/>
      <c r="X1016" s="4"/>
      <c r="Y1016" s="4"/>
      <c r="Z1016" s="4"/>
      <c r="AA1016" s="4"/>
      <c r="AB1016" s="4"/>
      <c r="AC1016" s="4"/>
      <c r="AD1016" s="4"/>
      <c r="AE1016" s="4"/>
      <c r="AF1016" s="4"/>
      <c r="AG1016" s="4"/>
      <c r="AH1016" s="4"/>
      <c r="AI1016" s="4"/>
      <c r="AJ1016" s="4"/>
      <c r="AK1016" s="4"/>
      <c r="AL1016" s="4" t="s">
        <v>174</v>
      </c>
      <c r="AM1016" s="4" t="s">
        <v>205</v>
      </c>
    </row>
    <row r="1017" customFormat="false" ht="23.85" hidden="false" customHeight="false" outlineLevel="0" collapsed="false">
      <c r="A1017" s="4" t="s">
        <v>167</v>
      </c>
      <c r="B1017" s="4" t="s">
        <v>1194</v>
      </c>
      <c r="C1017" s="4" t="s">
        <v>1194</v>
      </c>
      <c r="D1017" s="12" t="n">
        <v>2022</v>
      </c>
      <c r="E1017" s="4"/>
      <c r="F1017" s="4" t="s">
        <v>169</v>
      </c>
      <c r="G1017" s="4" t="s">
        <v>170</v>
      </c>
      <c r="H1017" s="4" t="s">
        <v>171</v>
      </c>
      <c r="I1017" s="4" t="s">
        <v>172</v>
      </c>
      <c r="J1017" s="4" t="s">
        <v>1194</v>
      </c>
      <c r="K1017" s="4" t="s">
        <v>76</v>
      </c>
      <c r="L1017" s="4" t="s">
        <v>77</v>
      </c>
      <c r="M1017" s="4"/>
      <c r="N1017" s="4"/>
      <c r="O1017" s="4"/>
      <c r="P1017" s="4"/>
      <c r="Q1017" s="4"/>
      <c r="R1017" s="4"/>
      <c r="S1017" s="13" t="n">
        <v>0</v>
      </c>
      <c r="T1017" s="4" t="s">
        <v>173</v>
      </c>
      <c r="U1017" s="14" t="n">
        <f aca="false">IF(OR($S1017="",PARAMETROS!$B$4=""),"",$S1017*PARAMETROS!$B$4)</f>
        <v>0</v>
      </c>
      <c r="V1017" s="13" t="n">
        <v>0</v>
      </c>
      <c r="W1017" s="4"/>
      <c r="X1017" s="4"/>
      <c r="Y1017" s="4"/>
      <c r="Z1017" s="4"/>
      <c r="AA1017" s="4"/>
      <c r="AB1017" s="4"/>
      <c r="AC1017" s="4"/>
      <c r="AD1017" s="4"/>
      <c r="AE1017" s="4"/>
      <c r="AF1017" s="4"/>
      <c r="AG1017" s="4"/>
      <c r="AH1017" s="4"/>
      <c r="AI1017" s="4"/>
      <c r="AJ1017" s="4"/>
      <c r="AK1017" s="4"/>
      <c r="AL1017" s="4" t="s">
        <v>174</v>
      </c>
      <c r="AM1017" s="4" t="s">
        <v>205</v>
      </c>
    </row>
    <row r="1018" customFormat="false" ht="23.85" hidden="false" customHeight="false" outlineLevel="0" collapsed="false">
      <c r="A1018" s="4" t="s">
        <v>167</v>
      </c>
      <c r="B1018" s="4" t="s">
        <v>1195</v>
      </c>
      <c r="C1018" s="4" t="s">
        <v>1195</v>
      </c>
      <c r="D1018" s="12" t="n">
        <v>2022</v>
      </c>
      <c r="E1018" s="4"/>
      <c r="F1018" s="4" t="s">
        <v>169</v>
      </c>
      <c r="G1018" s="4" t="s">
        <v>170</v>
      </c>
      <c r="H1018" s="4" t="s">
        <v>171</v>
      </c>
      <c r="I1018" s="4" t="s">
        <v>172</v>
      </c>
      <c r="J1018" s="4" t="s">
        <v>1195</v>
      </c>
      <c r="K1018" s="4" t="s">
        <v>76</v>
      </c>
      <c r="L1018" s="4" t="s">
        <v>77</v>
      </c>
      <c r="M1018" s="4"/>
      <c r="N1018" s="4"/>
      <c r="O1018" s="4"/>
      <c r="P1018" s="4"/>
      <c r="Q1018" s="4"/>
      <c r="R1018" s="4"/>
      <c r="S1018" s="13" t="n">
        <v>0</v>
      </c>
      <c r="T1018" s="4" t="s">
        <v>173</v>
      </c>
      <c r="U1018" s="14" t="n">
        <f aca="false">IF(OR($S1018="",PARAMETROS!$B$4=""),"",$S1018*PARAMETROS!$B$4)</f>
        <v>0</v>
      </c>
      <c r="V1018" s="13" t="n">
        <v>0</v>
      </c>
      <c r="W1018" s="4"/>
      <c r="X1018" s="4"/>
      <c r="Y1018" s="4"/>
      <c r="Z1018" s="4"/>
      <c r="AA1018" s="4"/>
      <c r="AB1018" s="4"/>
      <c r="AC1018" s="4"/>
      <c r="AD1018" s="4"/>
      <c r="AE1018" s="4"/>
      <c r="AF1018" s="4"/>
      <c r="AG1018" s="4"/>
      <c r="AH1018" s="4"/>
      <c r="AI1018" s="4"/>
      <c r="AJ1018" s="4"/>
      <c r="AK1018" s="4"/>
      <c r="AL1018" s="4" t="s">
        <v>174</v>
      </c>
      <c r="AM1018" s="4" t="s">
        <v>205</v>
      </c>
    </row>
    <row r="1019" customFormat="false" ht="23.85" hidden="false" customHeight="false" outlineLevel="0" collapsed="false">
      <c r="A1019" s="4" t="s">
        <v>167</v>
      </c>
      <c r="B1019" s="4" t="s">
        <v>1196</v>
      </c>
      <c r="C1019" s="4" t="s">
        <v>1196</v>
      </c>
      <c r="D1019" s="12" t="n">
        <v>2022</v>
      </c>
      <c r="E1019" s="4"/>
      <c r="F1019" s="4" t="s">
        <v>169</v>
      </c>
      <c r="G1019" s="4" t="s">
        <v>170</v>
      </c>
      <c r="H1019" s="4" t="s">
        <v>171</v>
      </c>
      <c r="I1019" s="4" t="s">
        <v>172</v>
      </c>
      <c r="J1019" s="4" t="s">
        <v>1196</v>
      </c>
      <c r="K1019" s="4" t="s">
        <v>76</v>
      </c>
      <c r="L1019" s="4" t="s">
        <v>77</v>
      </c>
      <c r="M1019" s="4"/>
      <c r="N1019" s="4"/>
      <c r="O1019" s="4"/>
      <c r="P1019" s="4"/>
      <c r="Q1019" s="4"/>
      <c r="R1019" s="4"/>
      <c r="S1019" s="13" t="n">
        <v>0</v>
      </c>
      <c r="T1019" s="4" t="s">
        <v>173</v>
      </c>
      <c r="U1019" s="14" t="n">
        <f aca="false">IF(OR($S1019="",PARAMETROS!$B$4=""),"",$S1019*PARAMETROS!$B$4)</f>
        <v>0</v>
      </c>
      <c r="V1019" s="13" t="n">
        <v>0</v>
      </c>
      <c r="W1019" s="4"/>
      <c r="X1019" s="4"/>
      <c r="Y1019" s="4"/>
      <c r="Z1019" s="4"/>
      <c r="AA1019" s="4"/>
      <c r="AB1019" s="4"/>
      <c r="AC1019" s="4"/>
      <c r="AD1019" s="4"/>
      <c r="AE1019" s="4"/>
      <c r="AF1019" s="4"/>
      <c r="AG1019" s="4"/>
      <c r="AH1019" s="4"/>
      <c r="AI1019" s="4"/>
      <c r="AJ1019" s="4"/>
      <c r="AK1019" s="4"/>
      <c r="AL1019" s="4" t="s">
        <v>174</v>
      </c>
      <c r="AM1019" s="4" t="s">
        <v>205</v>
      </c>
    </row>
    <row r="1020" customFormat="false" ht="23.85" hidden="false" customHeight="false" outlineLevel="0" collapsed="false">
      <c r="A1020" s="4" t="s">
        <v>167</v>
      </c>
      <c r="B1020" s="4" t="s">
        <v>1197</v>
      </c>
      <c r="C1020" s="4" t="s">
        <v>1197</v>
      </c>
      <c r="D1020" s="12" t="n">
        <v>2022</v>
      </c>
      <c r="E1020" s="4"/>
      <c r="F1020" s="4" t="s">
        <v>169</v>
      </c>
      <c r="G1020" s="4" t="s">
        <v>170</v>
      </c>
      <c r="H1020" s="4" t="s">
        <v>171</v>
      </c>
      <c r="I1020" s="4" t="s">
        <v>172</v>
      </c>
      <c r="J1020" s="4" t="s">
        <v>1197</v>
      </c>
      <c r="K1020" s="4" t="s">
        <v>76</v>
      </c>
      <c r="L1020" s="4" t="s">
        <v>77</v>
      </c>
      <c r="M1020" s="4"/>
      <c r="N1020" s="4"/>
      <c r="O1020" s="4"/>
      <c r="P1020" s="4"/>
      <c r="Q1020" s="4"/>
      <c r="R1020" s="4"/>
      <c r="S1020" s="13" t="n">
        <v>0</v>
      </c>
      <c r="T1020" s="4" t="s">
        <v>173</v>
      </c>
      <c r="U1020" s="14" t="n">
        <f aca="false">IF(OR($S1020="",PARAMETROS!$B$4=""),"",$S1020*PARAMETROS!$B$4)</f>
        <v>0</v>
      </c>
      <c r="V1020" s="13" t="n">
        <v>0</v>
      </c>
      <c r="W1020" s="4"/>
      <c r="X1020" s="4"/>
      <c r="Y1020" s="4"/>
      <c r="Z1020" s="4"/>
      <c r="AA1020" s="4"/>
      <c r="AB1020" s="4"/>
      <c r="AC1020" s="4"/>
      <c r="AD1020" s="4"/>
      <c r="AE1020" s="4"/>
      <c r="AF1020" s="4"/>
      <c r="AG1020" s="4"/>
      <c r="AH1020" s="4"/>
      <c r="AI1020" s="4"/>
      <c r="AJ1020" s="4"/>
      <c r="AK1020" s="4"/>
      <c r="AL1020" s="4" t="s">
        <v>174</v>
      </c>
      <c r="AM1020" s="4" t="s">
        <v>205</v>
      </c>
    </row>
    <row r="1021" customFormat="false" ht="23.85" hidden="false" customHeight="false" outlineLevel="0" collapsed="false">
      <c r="A1021" s="4" t="s">
        <v>167</v>
      </c>
      <c r="B1021" s="4" t="s">
        <v>1198</v>
      </c>
      <c r="C1021" s="4" t="s">
        <v>1198</v>
      </c>
      <c r="D1021" s="12" t="n">
        <v>2022</v>
      </c>
      <c r="E1021" s="4"/>
      <c r="F1021" s="4" t="s">
        <v>169</v>
      </c>
      <c r="G1021" s="4" t="s">
        <v>170</v>
      </c>
      <c r="H1021" s="4" t="s">
        <v>171</v>
      </c>
      <c r="I1021" s="4" t="s">
        <v>172</v>
      </c>
      <c r="J1021" s="4" t="s">
        <v>1198</v>
      </c>
      <c r="K1021" s="4" t="s">
        <v>76</v>
      </c>
      <c r="L1021" s="4" t="s">
        <v>77</v>
      </c>
      <c r="M1021" s="4"/>
      <c r="N1021" s="4"/>
      <c r="O1021" s="4"/>
      <c r="P1021" s="4"/>
      <c r="Q1021" s="4"/>
      <c r="R1021" s="4"/>
      <c r="S1021" s="13" t="n">
        <v>0</v>
      </c>
      <c r="T1021" s="4" t="s">
        <v>173</v>
      </c>
      <c r="U1021" s="14" t="n">
        <f aca="false">IF(OR($S1021="",PARAMETROS!$B$4=""),"",$S1021*PARAMETROS!$B$4)</f>
        <v>0</v>
      </c>
      <c r="V1021" s="13" t="n">
        <v>0</v>
      </c>
      <c r="W1021" s="4"/>
      <c r="X1021" s="4"/>
      <c r="Y1021" s="4"/>
      <c r="Z1021" s="4"/>
      <c r="AA1021" s="4"/>
      <c r="AB1021" s="4"/>
      <c r="AC1021" s="4"/>
      <c r="AD1021" s="4"/>
      <c r="AE1021" s="4"/>
      <c r="AF1021" s="4"/>
      <c r="AG1021" s="4"/>
      <c r="AH1021" s="4"/>
      <c r="AI1021" s="4"/>
      <c r="AJ1021" s="4"/>
      <c r="AK1021" s="4"/>
      <c r="AL1021" s="4" t="s">
        <v>174</v>
      </c>
      <c r="AM1021" s="4" t="s">
        <v>205</v>
      </c>
    </row>
    <row r="1022" customFormat="false" ht="23.85" hidden="false" customHeight="false" outlineLevel="0" collapsed="false">
      <c r="A1022" s="4" t="s">
        <v>167</v>
      </c>
      <c r="B1022" s="4" t="s">
        <v>1199</v>
      </c>
      <c r="C1022" s="4" t="s">
        <v>1199</v>
      </c>
      <c r="D1022" s="12" t="n">
        <v>2022</v>
      </c>
      <c r="E1022" s="4"/>
      <c r="F1022" s="4" t="s">
        <v>169</v>
      </c>
      <c r="G1022" s="4" t="s">
        <v>170</v>
      </c>
      <c r="H1022" s="4" t="s">
        <v>171</v>
      </c>
      <c r="I1022" s="4" t="s">
        <v>172</v>
      </c>
      <c r="J1022" s="4" t="s">
        <v>1199</v>
      </c>
      <c r="K1022" s="4" t="s">
        <v>76</v>
      </c>
      <c r="L1022" s="4" t="s">
        <v>77</v>
      </c>
      <c r="M1022" s="4"/>
      <c r="N1022" s="4"/>
      <c r="O1022" s="4"/>
      <c r="P1022" s="4"/>
      <c r="Q1022" s="4"/>
      <c r="R1022" s="4"/>
      <c r="S1022" s="13" t="n">
        <v>0</v>
      </c>
      <c r="T1022" s="4" t="s">
        <v>173</v>
      </c>
      <c r="U1022" s="14" t="n">
        <f aca="false">IF(OR($S1022="",PARAMETROS!$B$4=""),"",$S1022*PARAMETROS!$B$4)</f>
        <v>0</v>
      </c>
      <c r="V1022" s="13" t="n">
        <v>0</v>
      </c>
      <c r="W1022" s="4"/>
      <c r="X1022" s="4"/>
      <c r="Y1022" s="4"/>
      <c r="Z1022" s="4"/>
      <c r="AA1022" s="4"/>
      <c r="AB1022" s="4"/>
      <c r="AC1022" s="4"/>
      <c r="AD1022" s="4"/>
      <c r="AE1022" s="4"/>
      <c r="AF1022" s="4"/>
      <c r="AG1022" s="4"/>
      <c r="AH1022" s="4"/>
      <c r="AI1022" s="4"/>
      <c r="AJ1022" s="4"/>
      <c r="AK1022" s="4"/>
      <c r="AL1022" s="4" t="s">
        <v>174</v>
      </c>
      <c r="AM1022" s="4" t="s">
        <v>205</v>
      </c>
    </row>
    <row r="1023" customFormat="false" ht="23.85" hidden="false" customHeight="false" outlineLevel="0" collapsed="false">
      <c r="A1023" s="4" t="s">
        <v>167</v>
      </c>
      <c r="B1023" s="4" t="s">
        <v>1200</v>
      </c>
      <c r="C1023" s="4" t="s">
        <v>1200</v>
      </c>
      <c r="D1023" s="12" t="n">
        <v>2022</v>
      </c>
      <c r="E1023" s="4"/>
      <c r="F1023" s="4" t="s">
        <v>169</v>
      </c>
      <c r="G1023" s="4" t="s">
        <v>170</v>
      </c>
      <c r="H1023" s="4" t="s">
        <v>171</v>
      </c>
      <c r="I1023" s="4" t="s">
        <v>172</v>
      </c>
      <c r="J1023" s="4" t="s">
        <v>1200</v>
      </c>
      <c r="K1023" s="4" t="s">
        <v>76</v>
      </c>
      <c r="L1023" s="4" t="s">
        <v>77</v>
      </c>
      <c r="M1023" s="4"/>
      <c r="N1023" s="4"/>
      <c r="O1023" s="4"/>
      <c r="P1023" s="4"/>
      <c r="Q1023" s="4"/>
      <c r="R1023" s="4"/>
      <c r="S1023" s="13" t="n">
        <v>0</v>
      </c>
      <c r="T1023" s="4" t="s">
        <v>173</v>
      </c>
      <c r="U1023" s="14" t="n">
        <f aca="false">IF(OR($S1023="",PARAMETROS!$B$4=""),"",$S1023*PARAMETROS!$B$4)</f>
        <v>0</v>
      </c>
      <c r="V1023" s="13" t="n">
        <v>0</v>
      </c>
      <c r="W1023" s="4"/>
      <c r="X1023" s="4"/>
      <c r="Y1023" s="4"/>
      <c r="Z1023" s="4"/>
      <c r="AA1023" s="4"/>
      <c r="AB1023" s="4"/>
      <c r="AC1023" s="4"/>
      <c r="AD1023" s="4"/>
      <c r="AE1023" s="4"/>
      <c r="AF1023" s="4"/>
      <c r="AG1023" s="4"/>
      <c r="AH1023" s="4"/>
      <c r="AI1023" s="4"/>
      <c r="AJ1023" s="4"/>
      <c r="AK1023" s="4"/>
      <c r="AL1023" s="4" t="s">
        <v>174</v>
      </c>
      <c r="AM1023" s="4" t="s">
        <v>205</v>
      </c>
    </row>
    <row r="1024" customFormat="false" ht="23.85" hidden="false" customHeight="false" outlineLevel="0" collapsed="false">
      <c r="A1024" s="4" t="s">
        <v>167</v>
      </c>
      <c r="B1024" s="4" t="s">
        <v>1201</v>
      </c>
      <c r="C1024" s="4" t="s">
        <v>1201</v>
      </c>
      <c r="D1024" s="12" t="n">
        <v>2022</v>
      </c>
      <c r="E1024" s="4"/>
      <c r="F1024" s="4" t="s">
        <v>169</v>
      </c>
      <c r="G1024" s="4" t="s">
        <v>170</v>
      </c>
      <c r="H1024" s="4" t="s">
        <v>171</v>
      </c>
      <c r="I1024" s="4" t="s">
        <v>172</v>
      </c>
      <c r="J1024" s="4" t="s">
        <v>1201</v>
      </c>
      <c r="K1024" s="4" t="s">
        <v>78</v>
      </c>
      <c r="L1024" s="4" t="s">
        <v>79</v>
      </c>
      <c r="M1024" s="4"/>
      <c r="N1024" s="4"/>
      <c r="O1024" s="4"/>
      <c r="P1024" s="4"/>
      <c r="Q1024" s="4"/>
      <c r="R1024" s="4"/>
      <c r="S1024" s="13" t="n">
        <v>195.39</v>
      </c>
      <c r="T1024" s="4" t="s">
        <v>173</v>
      </c>
      <c r="U1024" s="14" t="n">
        <f aca="false">IF(OR($S1024="",PARAMETROS!$B$4=""),"",$S1024*PARAMETROS!$B$4)</f>
        <v>1135.2159</v>
      </c>
      <c r="V1024" s="13" t="n">
        <v>0</v>
      </c>
      <c r="W1024" s="4"/>
      <c r="X1024" s="4"/>
      <c r="Y1024" s="4"/>
      <c r="Z1024" s="4"/>
      <c r="AA1024" s="4"/>
      <c r="AB1024" s="4"/>
      <c r="AC1024" s="4"/>
      <c r="AD1024" s="4"/>
      <c r="AE1024" s="4"/>
      <c r="AF1024" s="4"/>
      <c r="AG1024" s="4"/>
      <c r="AH1024" s="4"/>
      <c r="AI1024" s="4"/>
      <c r="AJ1024" s="4"/>
      <c r="AK1024" s="4"/>
      <c r="AL1024" s="4" t="s">
        <v>174</v>
      </c>
      <c r="AM1024" s="4" t="s">
        <v>175</v>
      </c>
    </row>
    <row r="1025" customFormat="false" ht="23.85" hidden="false" customHeight="false" outlineLevel="0" collapsed="false">
      <c r="A1025" s="4" t="s">
        <v>167</v>
      </c>
      <c r="B1025" s="4" t="s">
        <v>1202</v>
      </c>
      <c r="C1025" s="4" t="s">
        <v>1202</v>
      </c>
      <c r="D1025" s="12" t="n">
        <v>2022</v>
      </c>
      <c r="E1025" s="4"/>
      <c r="F1025" s="4" t="s">
        <v>169</v>
      </c>
      <c r="G1025" s="4" t="s">
        <v>170</v>
      </c>
      <c r="H1025" s="4" t="s">
        <v>171</v>
      </c>
      <c r="I1025" s="4" t="s">
        <v>172</v>
      </c>
      <c r="J1025" s="4" t="s">
        <v>1202</v>
      </c>
      <c r="K1025" s="4" t="s">
        <v>78</v>
      </c>
      <c r="L1025" s="4" t="s">
        <v>79</v>
      </c>
      <c r="M1025" s="4"/>
      <c r="N1025" s="4"/>
      <c r="O1025" s="4"/>
      <c r="P1025" s="4"/>
      <c r="Q1025" s="4"/>
      <c r="R1025" s="4"/>
      <c r="S1025" s="13" t="n">
        <v>0</v>
      </c>
      <c r="T1025" s="4" t="s">
        <v>173</v>
      </c>
      <c r="U1025" s="14" t="n">
        <f aca="false">IF(OR($S1025="",PARAMETROS!$B$4=""),"",$S1025*PARAMETROS!$B$4)</f>
        <v>0</v>
      </c>
      <c r="V1025" s="13" t="n">
        <v>0</v>
      </c>
      <c r="W1025" s="4"/>
      <c r="X1025" s="4"/>
      <c r="Y1025" s="4"/>
      <c r="Z1025" s="4"/>
      <c r="AA1025" s="4"/>
      <c r="AB1025" s="4"/>
      <c r="AC1025" s="4"/>
      <c r="AD1025" s="4"/>
      <c r="AE1025" s="4"/>
      <c r="AF1025" s="4"/>
      <c r="AG1025" s="4"/>
      <c r="AH1025" s="4"/>
      <c r="AI1025" s="4"/>
      <c r="AJ1025" s="4"/>
      <c r="AK1025" s="4"/>
      <c r="AL1025" s="4" t="s">
        <v>174</v>
      </c>
      <c r="AM1025" s="4" t="s">
        <v>175</v>
      </c>
    </row>
    <row r="1026" customFormat="false" ht="23.85" hidden="false" customHeight="false" outlineLevel="0" collapsed="false">
      <c r="A1026" s="4" t="s">
        <v>167</v>
      </c>
      <c r="B1026" s="4" t="s">
        <v>1203</v>
      </c>
      <c r="C1026" s="4" t="s">
        <v>1203</v>
      </c>
      <c r="D1026" s="12" t="n">
        <v>2022</v>
      </c>
      <c r="E1026" s="4"/>
      <c r="F1026" s="4" t="s">
        <v>169</v>
      </c>
      <c r="G1026" s="4" t="s">
        <v>170</v>
      </c>
      <c r="H1026" s="4" t="s">
        <v>171</v>
      </c>
      <c r="I1026" s="4" t="s">
        <v>172</v>
      </c>
      <c r="J1026" s="4" t="s">
        <v>1203</v>
      </c>
      <c r="K1026" s="4" t="s">
        <v>78</v>
      </c>
      <c r="L1026" s="4" t="s">
        <v>79</v>
      </c>
      <c r="M1026" s="4"/>
      <c r="N1026" s="4"/>
      <c r="O1026" s="4"/>
      <c r="P1026" s="4"/>
      <c r="Q1026" s="4"/>
      <c r="R1026" s="4"/>
      <c r="S1026" s="13" t="n">
        <v>0</v>
      </c>
      <c r="T1026" s="4" t="s">
        <v>173</v>
      </c>
      <c r="U1026" s="14" t="n">
        <f aca="false">IF(OR($S1026="",PARAMETROS!$B$4=""),"",$S1026*PARAMETROS!$B$4)</f>
        <v>0</v>
      </c>
      <c r="V1026" s="13" t="n">
        <v>0</v>
      </c>
      <c r="W1026" s="4"/>
      <c r="X1026" s="4"/>
      <c r="Y1026" s="4"/>
      <c r="Z1026" s="4"/>
      <c r="AA1026" s="4"/>
      <c r="AB1026" s="4"/>
      <c r="AC1026" s="4"/>
      <c r="AD1026" s="4"/>
      <c r="AE1026" s="4"/>
      <c r="AF1026" s="4"/>
      <c r="AG1026" s="4"/>
      <c r="AH1026" s="4"/>
      <c r="AI1026" s="4"/>
      <c r="AJ1026" s="4"/>
      <c r="AK1026" s="4"/>
      <c r="AL1026" s="4" t="s">
        <v>174</v>
      </c>
      <c r="AM1026" s="4" t="s">
        <v>175</v>
      </c>
    </row>
    <row r="1027" customFormat="false" ht="23.85" hidden="false" customHeight="false" outlineLevel="0" collapsed="false">
      <c r="A1027" s="4" t="s">
        <v>167</v>
      </c>
      <c r="B1027" s="4" t="s">
        <v>1204</v>
      </c>
      <c r="C1027" s="4" t="s">
        <v>1204</v>
      </c>
      <c r="D1027" s="12" t="n">
        <v>2022</v>
      </c>
      <c r="E1027" s="4"/>
      <c r="F1027" s="4" t="s">
        <v>169</v>
      </c>
      <c r="G1027" s="4" t="s">
        <v>170</v>
      </c>
      <c r="H1027" s="4" t="s">
        <v>171</v>
      </c>
      <c r="I1027" s="4" t="s">
        <v>172</v>
      </c>
      <c r="J1027" s="4" t="s">
        <v>1204</v>
      </c>
      <c r="K1027" s="4" t="s">
        <v>78</v>
      </c>
      <c r="L1027" s="4" t="s">
        <v>79</v>
      </c>
      <c r="M1027" s="4"/>
      <c r="N1027" s="4"/>
      <c r="O1027" s="4"/>
      <c r="P1027" s="4"/>
      <c r="Q1027" s="4"/>
      <c r="R1027" s="4"/>
      <c r="S1027" s="13" t="n">
        <v>0</v>
      </c>
      <c r="T1027" s="4" t="s">
        <v>173</v>
      </c>
      <c r="U1027" s="14" t="n">
        <f aca="false">IF(OR($S1027="",PARAMETROS!$B$4=""),"",$S1027*PARAMETROS!$B$4)</f>
        <v>0</v>
      </c>
      <c r="V1027" s="13" t="n">
        <v>0</v>
      </c>
      <c r="W1027" s="4"/>
      <c r="X1027" s="4"/>
      <c r="Y1027" s="4"/>
      <c r="Z1027" s="4"/>
      <c r="AA1027" s="4"/>
      <c r="AB1027" s="4"/>
      <c r="AC1027" s="4"/>
      <c r="AD1027" s="4"/>
      <c r="AE1027" s="4"/>
      <c r="AF1027" s="4"/>
      <c r="AG1027" s="4"/>
      <c r="AH1027" s="4"/>
      <c r="AI1027" s="4"/>
      <c r="AJ1027" s="4"/>
      <c r="AK1027" s="4"/>
      <c r="AL1027" s="4" t="s">
        <v>174</v>
      </c>
      <c r="AM1027" s="4" t="s">
        <v>175</v>
      </c>
    </row>
    <row r="1028" customFormat="false" ht="23.85" hidden="false" customHeight="false" outlineLevel="0" collapsed="false">
      <c r="A1028" s="4" t="s">
        <v>167</v>
      </c>
      <c r="B1028" s="4" t="s">
        <v>1205</v>
      </c>
      <c r="C1028" s="4" t="s">
        <v>1205</v>
      </c>
      <c r="D1028" s="12" t="n">
        <v>2022</v>
      </c>
      <c r="E1028" s="4"/>
      <c r="F1028" s="4" t="s">
        <v>169</v>
      </c>
      <c r="G1028" s="4" t="s">
        <v>170</v>
      </c>
      <c r="H1028" s="4" t="s">
        <v>171</v>
      </c>
      <c r="I1028" s="4" t="s">
        <v>172</v>
      </c>
      <c r="J1028" s="4" t="s">
        <v>1205</v>
      </c>
      <c r="K1028" s="4" t="s">
        <v>78</v>
      </c>
      <c r="L1028" s="4" t="s">
        <v>79</v>
      </c>
      <c r="M1028" s="4"/>
      <c r="N1028" s="4"/>
      <c r="O1028" s="4"/>
      <c r="P1028" s="4"/>
      <c r="Q1028" s="4"/>
      <c r="R1028" s="4"/>
      <c r="S1028" s="13" t="n">
        <v>0</v>
      </c>
      <c r="T1028" s="4" t="s">
        <v>173</v>
      </c>
      <c r="U1028" s="14" t="n">
        <f aca="false">IF(OR($S1028="",PARAMETROS!$B$4=""),"",$S1028*PARAMETROS!$B$4)</f>
        <v>0</v>
      </c>
      <c r="V1028" s="13" t="n">
        <v>0</v>
      </c>
      <c r="W1028" s="4"/>
      <c r="X1028" s="4"/>
      <c r="Y1028" s="4"/>
      <c r="Z1028" s="4"/>
      <c r="AA1028" s="4"/>
      <c r="AB1028" s="4"/>
      <c r="AC1028" s="4"/>
      <c r="AD1028" s="4"/>
      <c r="AE1028" s="4"/>
      <c r="AF1028" s="4"/>
      <c r="AG1028" s="4"/>
      <c r="AH1028" s="4"/>
      <c r="AI1028" s="4"/>
      <c r="AJ1028" s="4"/>
      <c r="AK1028" s="4"/>
      <c r="AL1028" s="4" t="s">
        <v>174</v>
      </c>
      <c r="AM1028" s="4" t="s">
        <v>175</v>
      </c>
    </row>
    <row r="1029" customFormat="false" ht="23.85" hidden="false" customHeight="false" outlineLevel="0" collapsed="false">
      <c r="A1029" s="4" t="s">
        <v>167</v>
      </c>
      <c r="B1029" s="4" t="s">
        <v>1206</v>
      </c>
      <c r="C1029" s="4" t="s">
        <v>1206</v>
      </c>
      <c r="D1029" s="12" t="n">
        <v>2022</v>
      </c>
      <c r="E1029" s="4"/>
      <c r="F1029" s="4" t="s">
        <v>169</v>
      </c>
      <c r="G1029" s="4" t="s">
        <v>170</v>
      </c>
      <c r="H1029" s="4" t="s">
        <v>171</v>
      </c>
      <c r="I1029" s="4" t="s">
        <v>172</v>
      </c>
      <c r="J1029" s="4" t="s">
        <v>1206</v>
      </c>
      <c r="K1029" s="4" t="s">
        <v>78</v>
      </c>
      <c r="L1029" s="4" t="s">
        <v>79</v>
      </c>
      <c r="M1029" s="4"/>
      <c r="N1029" s="4"/>
      <c r="O1029" s="4"/>
      <c r="P1029" s="4"/>
      <c r="Q1029" s="4"/>
      <c r="R1029" s="4"/>
      <c r="S1029" s="13" t="n">
        <v>-195.39</v>
      </c>
      <c r="T1029" s="4" t="s">
        <v>173</v>
      </c>
      <c r="U1029" s="14" t="n">
        <f aca="false">IF(OR($S1029="",PARAMETROS!$B$4=""),"",$S1029*PARAMETROS!$B$4)</f>
        <v>-1135.2159</v>
      </c>
      <c r="V1029" s="13" t="n">
        <v>0</v>
      </c>
      <c r="W1029" s="4"/>
      <c r="X1029" s="4"/>
      <c r="Y1029" s="4"/>
      <c r="Z1029" s="4"/>
      <c r="AA1029" s="4"/>
      <c r="AB1029" s="4"/>
      <c r="AC1029" s="4"/>
      <c r="AD1029" s="4"/>
      <c r="AE1029" s="4"/>
      <c r="AF1029" s="4"/>
      <c r="AG1029" s="4"/>
      <c r="AH1029" s="4"/>
      <c r="AI1029" s="4"/>
      <c r="AJ1029" s="4"/>
      <c r="AK1029" s="4"/>
      <c r="AL1029" s="4" t="s">
        <v>174</v>
      </c>
      <c r="AM1029" s="4" t="s">
        <v>175</v>
      </c>
    </row>
    <row r="1030" customFormat="false" ht="23.85" hidden="false" customHeight="false" outlineLevel="0" collapsed="false">
      <c r="A1030" s="4" t="s">
        <v>167</v>
      </c>
      <c r="B1030" s="4" t="s">
        <v>1207</v>
      </c>
      <c r="C1030" s="4" t="s">
        <v>1207</v>
      </c>
      <c r="D1030" s="12" t="n">
        <v>2022</v>
      </c>
      <c r="E1030" s="4"/>
      <c r="F1030" s="4" t="s">
        <v>169</v>
      </c>
      <c r="G1030" s="4" t="s">
        <v>170</v>
      </c>
      <c r="H1030" s="4" t="s">
        <v>171</v>
      </c>
      <c r="I1030" s="4" t="s">
        <v>172</v>
      </c>
      <c r="J1030" s="4" t="s">
        <v>1207</v>
      </c>
      <c r="K1030" s="4" t="s">
        <v>78</v>
      </c>
      <c r="L1030" s="4" t="s">
        <v>79</v>
      </c>
      <c r="M1030" s="4"/>
      <c r="N1030" s="4"/>
      <c r="O1030" s="4"/>
      <c r="P1030" s="4"/>
      <c r="Q1030" s="4"/>
      <c r="R1030" s="4"/>
      <c r="S1030" s="13" t="n">
        <v>0</v>
      </c>
      <c r="T1030" s="4" t="s">
        <v>173</v>
      </c>
      <c r="U1030" s="14" t="n">
        <f aca="false">IF(OR($S1030="",PARAMETROS!$B$4=""),"",$S1030*PARAMETROS!$B$4)</f>
        <v>0</v>
      </c>
      <c r="V1030" s="13" t="n">
        <v>0</v>
      </c>
      <c r="W1030" s="4"/>
      <c r="X1030" s="4"/>
      <c r="Y1030" s="4"/>
      <c r="Z1030" s="4"/>
      <c r="AA1030" s="4"/>
      <c r="AB1030" s="4"/>
      <c r="AC1030" s="4"/>
      <c r="AD1030" s="4"/>
      <c r="AE1030" s="4"/>
      <c r="AF1030" s="4"/>
      <c r="AG1030" s="4"/>
      <c r="AH1030" s="4"/>
      <c r="AI1030" s="4"/>
      <c r="AJ1030" s="4"/>
      <c r="AK1030" s="4"/>
      <c r="AL1030" s="4" t="s">
        <v>174</v>
      </c>
      <c r="AM1030" s="4" t="s">
        <v>175</v>
      </c>
    </row>
    <row r="1031" customFormat="false" ht="23.85" hidden="false" customHeight="false" outlineLevel="0" collapsed="false">
      <c r="A1031" s="4" t="s">
        <v>167</v>
      </c>
      <c r="B1031" s="4" t="s">
        <v>1208</v>
      </c>
      <c r="C1031" s="4" t="s">
        <v>1208</v>
      </c>
      <c r="D1031" s="12" t="n">
        <v>2022</v>
      </c>
      <c r="E1031" s="4"/>
      <c r="F1031" s="4" t="s">
        <v>169</v>
      </c>
      <c r="G1031" s="4" t="s">
        <v>170</v>
      </c>
      <c r="H1031" s="4" t="s">
        <v>171</v>
      </c>
      <c r="I1031" s="4" t="s">
        <v>172</v>
      </c>
      <c r="J1031" s="4" t="s">
        <v>1208</v>
      </c>
      <c r="K1031" s="4" t="s">
        <v>78</v>
      </c>
      <c r="L1031" s="4" t="s">
        <v>79</v>
      </c>
      <c r="M1031" s="4"/>
      <c r="N1031" s="4"/>
      <c r="O1031" s="4"/>
      <c r="P1031" s="4"/>
      <c r="Q1031" s="4"/>
      <c r="R1031" s="4"/>
      <c r="S1031" s="13" t="n">
        <v>0</v>
      </c>
      <c r="T1031" s="4" t="s">
        <v>173</v>
      </c>
      <c r="U1031" s="14" t="n">
        <f aca="false">IF(OR($S1031="",PARAMETROS!$B$4=""),"",$S1031*PARAMETROS!$B$4)</f>
        <v>0</v>
      </c>
      <c r="V1031" s="13" t="n">
        <v>0</v>
      </c>
      <c r="W1031" s="4"/>
      <c r="X1031" s="4"/>
      <c r="Y1031" s="4"/>
      <c r="Z1031" s="4"/>
      <c r="AA1031" s="4"/>
      <c r="AB1031" s="4"/>
      <c r="AC1031" s="4"/>
      <c r="AD1031" s="4"/>
      <c r="AE1031" s="4"/>
      <c r="AF1031" s="4"/>
      <c r="AG1031" s="4"/>
      <c r="AH1031" s="4"/>
      <c r="AI1031" s="4"/>
      <c r="AJ1031" s="4"/>
      <c r="AK1031" s="4"/>
      <c r="AL1031" s="4" t="s">
        <v>174</v>
      </c>
      <c r="AM1031" s="4" t="s">
        <v>175</v>
      </c>
    </row>
    <row r="1032" customFormat="false" ht="23.85" hidden="false" customHeight="false" outlineLevel="0" collapsed="false">
      <c r="A1032" s="4" t="s">
        <v>167</v>
      </c>
      <c r="B1032" s="4" t="s">
        <v>1209</v>
      </c>
      <c r="C1032" s="4" t="s">
        <v>1209</v>
      </c>
      <c r="D1032" s="12" t="n">
        <v>2022</v>
      </c>
      <c r="E1032" s="4"/>
      <c r="F1032" s="4" t="s">
        <v>169</v>
      </c>
      <c r="G1032" s="4" t="s">
        <v>170</v>
      </c>
      <c r="H1032" s="4" t="s">
        <v>171</v>
      </c>
      <c r="I1032" s="4" t="s">
        <v>172</v>
      </c>
      <c r="J1032" s="4" t="s">
        <v>1209</v>
      </c>
      <c r="K1032" s="4" t="s">
        <v>78</v>
      </c>
      <c r="L1032" s="4" t="s">
        <v>79</v>
      </c>
      <c r="M1032" s="4"/>
      <c r="N1032" s="4"/>
      <c r="O1032" s="4"/>
      <c r="P1032" s="4"/>
      <c r="Q1032" s="4"/>
      <c r="R1032" s="4"/>
      <c r="S1032" s="13" t="n">
        <v>0</v>
      </c>
      <c r="T1032" s="4" t="s">
        <v>173</v>
      </c>
      <c r="U1032" s="14" t="n">
        <f aca="false">IF(OR($S1032="",PARAMETROS!$B$4=""),"",$S1032*PARAMETROS!$B$4)</f>
        <v>0</v>
      </c>
      <c r="V1032" s="13" t="n">
        <v>0</v>
      </c>
      <c r="W1032" s="4"/>
      <c r="X1032" s="4"/>
      <c r="Y1032" s="4"/>
      <c r="Z1032" s="4"/>
      <c r="AA1032" s="4"/>
      <c r="AB1032" s="4"/>
      <c r="AC1032" s="4"/>
      <c r="AD1032" s="4"/>
      <c r="AE1032" s="4"/>
      <c r="AF1032" s="4"/>
      <c r="AG1032" s="4"/>
      <c r="AH1032" s="4"/>
      <c r="AI1032" s="4"/>
      <c r="AJ1032" s="4"/>
      <c r="AK1032" s="4"/>
      <c r="AL1032" s="4" t="s">
        <v>174</v>
      </c>
      <c r="AM1032" s="4" t="s">
        <v>175</v>
      </c>
    </row>
    <row r="1033" customFormat="false" ht="23.85" hidden="false" customHeight="false" outlineLevel="0" collapsed="false">
      <c r="A1033" s="4" t="s">
        <v>167</v>
      </c>
      <c r="B1033" s="4" t="s">
        <v>1210</v>
      </c>
      <c r="C1033" s="4" t="s">
        <v>1210</v>
      </c>
      <c r="D1033" s="12" t="n">
        <v>2022</v>
      </c>
      <c r="E1033" s="4"/>
      <c r="F1033" s="4" t="s">
        <v>169</v>
      </c>
      <c r="G1033" s="4" t="s">
        <v>170</v>
      </c>
      <c r="H1033" s="4" t="s">
        <v>171</v>
      </c>
      <c r="I1033" s="4" t="s">
        <v>172</v>
      </c>
      <c r="J1033" s="4" t="s">
        <v>1210</v>
      </c>
      <c r="K1033" s="4" t="s">
        <v>78</v>
      </c>
      <c r="L1033" s="4" t="s">
        <v>79</v>
      </c>
      <c r="M1033" s="4"/>
      <c r="N1033" s="4"/>
      <c r="O1033" s="4"/>
      <c r="P1033" s="4"/>
      <c r="Q1033" s="4"/>
      <c r="R1033" s="4"/>
      <c r="S1033" s="13" t="n">
        <v>0</v>
      </c>
      <c r="T1033" s="4" t="s">
        <v>173</v>
      </c>
      <c r="U1033" s="14" t="n">
        <f aca="false">IF(OR($S1033="",PARAMETROS!$B$4=""),"",$S1033*PARAMETROS!$B$4)</f>
        <v>0</v>
      </c>
      <c r="V1033" s="13" t="n">
        <v>0</v>
      </c>
      <c r="W1033" s="4"/>
      <c r="X1033" s="4"/>
      <c r="Y1033" s="4"/>
      <c r="Z1033" s="4"/>
      <c r="AA1033" s="4"/>
      <c r="AB1033" s="4"/>
      <c r="AC1033" s="4"/>
      <c r="AD1033" s="4"/>
      <c r="AE1033" s="4"/>
      <c r="AF1033" s="4"/>
      <c r="AG1033" s="4"/>
      <c r="AH1033" s="4"/>
      <c r="AI1033" s="4"/>
      <c r="AJ1033" s="4"/>
      <c r="AK1033" s="4"/>
      <c r="AL1033" s="4" t="s">
        <v>174</v>
      </c>
      <c r="AM1033" s="4" t="s">
        <v>175</v>
      </c>
    </row>
    <row r="1034" customFormat="false" ht="23.85" hidden="false" customHeight="false" outlineLevel="0" collapsed="false">
      <c r="A1034" s="4" t="s">
        <v>167</v>
      </c>
      <c r="B1034" s="4" t="s">
        <v>1211</v>
      </c>
      <c r="C1034" s="4" t="s">
        <v>1211</v>
      </c>
      <c r="D1034" s="12" t="n">
        <v>2022</v>
      </c>
      <c r="E1034" s="4"/>
      <c r="F1034" s="4" t="s">
        <v>169</v>
      </c>
      <c r="G1034" s="4" t="s">
        <v>170</v>
      </c>
      <c r="H1034" s="4" t="s">
        <v>171</v>
      </c>
      <c r="I1034" s="4" t="s">
        <v>172</v>
      </c>
      <c r="J1034" s="4" t="s">
        <v>1211</v>
      </c>
      <c r="K1034" s="4" t="s">
        <v>78</v>
      </c>
      <c r="L1034" s="4" t="s">
        <v>79</v>
      </c>
      <c r="M1034" s="4"/>
      <c r="N1034" s="4"/>
      <c r="O1034" s="4"/>
      <c r="P1034" s="4"/>
      <c r="Q1034" s="4"/>
      <c r="R1034" s="4"/>
      <c r="S1034" s="13" t="n">
        <v>0</v>
      </c>
      <c r="T1034" s="4" t="s">
        <v>173</v>
      </c>
      <c r="U1034" s="14" t="n">
        <f aca="false">IF(OR($S1034="",PARAMETROS!$B$4=""),"",$S1034*PARAMETROS!$B$4)</f>
        <v>0</v>
      </c>
      <c r="V1034" s="13" t="n">
        <v>0</v>
      </c>
      <c r="W1034" s="4"/>
      <c r="X1034" s="4"/>
      <c r="Y1034" s="4"/>
      <c r="Z1034" s="4"/>
      <c r="AA1034" s="4"/>
      <c r="AB1034" s="4"/>
      <c r="AC1034" s="4"/>
      <c r="AD1034" s="4"/>
      <c r="AE1034" s="4"/>
      <c r="AF1034" s="4"/>
      <c r="AG1034" s="4"/>
      <c r="AH1034" s="4"/>
      <c r="AI1034" s="4"/>
      <c r="AJ1034" s="4"/>
      <c r="AK1034" s="4"/>
      <c r="AL1034" s="4" t="s">
        <v>174</v>
      </c>
      <c r="AM1034" s="4" t="s">
        <v>175</v>
      </c>
    </row>
    <row r="1035" customFormat="false" ht="23.85" hidden="false" customHeight="false" outlineLevel="0" collapsed="false">
      <c r="A1035" s="4" t="s">
        <v>167</v>
      </c>
      <c r="B1035" s="4" t="s">
        <v>1212</v>
      </c>
      <c r="C1035" s="4" t="s">
        <v>1212</v>
      </c>
      <c r="D1035" s="12" t="n">
        <v>2022</v>
      </c>
      <c r="E1035" s="4"/>
      <c r="F1035" s="4" t="s">
        <v>169</v>
      </c>
      <c r="G1035" s="4" t="s">
        <v>170</v>
      </c>
      <c r="H1035" s="4" t="s">
        <v>171</v>
      </c>
      <c r="I1035" s="4" t="s">
        <v>172</v>
      </c>
      <c r="J1035" s="4" t="s">
        <v>1212</v>
      </c>
      <c r="K1035" s="4" t="s">
        <v>78</v>
      </c>
      <c r="L1035" s="4" t="s">
        <v>79</v>
      </c>
      <c r="M1035" s="4"/>
      <c r="N1035" s="4"/>
      <c r="O1035" s="4"/>
      <c r="P1035" s="4"/>
      <c r="Q1035" s="4"/>
      <c r="R1035" s="4"/>
      <c r="S1035" s="13" t="n">
        <v>0</v>
      </c>
      <c r="T1035" s="4" t="s">
        <v>173</v>
      </c>
      <c r="U1035" s="14" t="n">
        <f aca="false">IF(OR($S1035="",PARAMETROS!$B$4=""),"",$S1035*PARAMETROS!$B$4)</f>
        <v>0</v>
      </c>
      <c r="V1035" s="13" t="n">
        <v>0</v>
      </c>
      <c r="W1035" s="4"/>
      <c r="X1035" s="4"/>
      <c r="Y1035" s="4"/>
      <c r="Z1035" s="4"/>
      <c r="AA1035" s="4"/>
      <c r="AB1035" s="4"/>
      <c r="AC1035" s="4"/>
      <c r="AD1035" s="4"/>
      <c r="AE1035" s="4"/>
      <c r="AF1035" s="4"/>
      <c r="AG1035" s="4"/>
      <c r="AH1035" s="4"/>
      <c r="AI1035" s="4"/>
      <c r="AJ1035" s="4"/>
      <c r="AK1035" s="4"/>
      <c r="AL1035" s="4" t="s">
        <v>174</v>
      </c>
      <c r="AM1035" s="4" t="s">
        <v>175</v>
      </c>
    </row>
    <row r="1036" customFormat="false" ht="23.85" hidden="false" customHeight="false" outlineLevel="0" collapsed="false">
      <c r="A1036" s="4" t="s">
        <v>167</v>
      </c>
      <c r="B1036" s="4" t="s">
        <v>1213</v>
      </c>
      <c r="C1036" s="4" t="s">
        <v>1213</v>
      </c>
      <c r="D1036" s="12" t="n">
        <v>2022</v>
      </c>
      <c r="E1036" s="4"/>
      <c r="F1036" s="4" t="s">
        <v>169</v>
      </c>
      <c r="G1036" s="4" t="s">
        <v>170</v>
      </c>
      <c r="H1036" s="4" t="s">
        <v>171</v>
      </c>
      <c r="I1036" s="4" t="s">
        <v>172</v>
      </c>
      <c r="J1036" s="4" t="s">
        <v>1213</v>
      </c>
      <c r="K1036" s="4" t="s">
        <v>78</v>
      </c>
      <c r="L1036" s="4" t="s">
        <v>79</v>
      </c>
      <c r="M1036" s="4"/>
      <c r="N1036" s="4"/>
      <c r="O1036" s="4"/>
      <c r="P1036" s="4"/>
      <c r="Q1036" s="4"/>
      <c r="R1036" s="4"/>
      <c r="S1036" s="13" t="n">
        <v>0</v>
      </c>
      <c r="T1036" s="4" t="s">
        <v>173</v>
      </c>
      <c r="U1036" s="14" t="n">
        <f aca="false">IF(OR($S1036="",PARAMETROS!$B$4=""),"",$S1036*PARAMETROS!$B$4)</f>
        <v>0</v>
      </c>
      <c r="V1036" s="13" t="n">
        <v>0</v>
      </c>
      <c r="W1036" s="4"/>
      <c r="X1036" s="4"/>
      <c r="Y1036" s="4"/>
      <c r="Z1036" s="4"/>
      <c r="AA1036" s="4"/>
      <c r="AB1036" s="4"/>
      <c r="AC1036" s="4"/>
      <c r="AD1036" s="4"/>
      <c r="AE1036" s="4"/>
      <c r="AF1036" s="4"/>
      <c r="AG1036" s="4"/>
      <c r="AH1036" s="4"/>
      <c r="AI1036" s="4"/>
      <c r="AJ1036" s="4"/>
      <c r="AK1036" s="4"/>
      <c r="AL1036" s="4" t="s">
        <v>174</v>
      </c>
      <c r="AM1036" s="4" t="s">
        <v>175</v>
      </c>
    </row>
    <row r="1037" customFormat="false" ht="23.85" hidden="false" customHeight="false" outlineLevel="0" collapsed="false">
      <c r="A1037" s="4" t="s">
        <v>167</v>
      </c>
      <c r="B1037" s="4" t="s">
        <v>1214</v>
      </c>
      <c r="C1037" s="4" t="s">
        <v>1214</v>
      </c>
      <c r="D1037" s="12" t="n">
        <v>2022</v>
      </c>
      <c r="E1037" s="4"/>
      <c r="F1037" s="4" t="s">
        <v>169</v>
      </c>
      <c r="G1037" s="4" t="s">
        <v>170</v>
      </c>
      <c r="H1037" s="4" t="s">
        <v>171</v>
      </c>
      <c r="I1037" s="4" t="s">
        <v>172</v>
      </c>
      <c r="J1037" s="4" t="s">
        <v>1214</v>
      </c>
      <c r="K1037" s="4" t="s">
        <v>78</v>
      </c>
      <c r="L1037" s="4" t="s">
        <v>79</v>
      </c>
      <c r="M1037" s="4"/>
      <c r="N1037" s="4"/>
      <c r="O1037" s="4"/>
      <c r="P1037" s="4"/>
      <c r="Q1037" s="4"/>
      <c r="R1037" s="4"/>
      <c r="S1037" s="13" t="n">
        <v>0</v>
      </c>
      <c r="T1037" s="4" t="s">
        <v>173</v>
      </c>
      <c r="U1037" s="14" t="n">
        <f aca="false">IF(OR($S1037="",PARAMETROS!$B$4=""),"",$S1037*PARAMETROS!$B$4)</f>
        <v>0</v>
      </c>
      <c r="V1037" s="13" t="n">
        <v>0</v>
      </c>
      <c r="W1037" s="4"/>
      <c r="X1037" s="4"/>
      <c r="Y1037" s="4"/>
      <c r="Z1037" s="4"/>
      <c r="AA1037" s="4"/>
      <c r="AB1037" s="4"/>
      <c r="AC1037" s="4"/>
      <c r="AD1037" s="4"/>
      <c r="AE1037" s="4"/>
      <c r="AF1037" s="4"/>
      <c r="AG1037" s="4"/>
      <c r="AH1037" s="4"/>
      <c r="AI1037" s="4"/>
      <c r="AJ1037" s="4"/>
      <c r="AK1037" s="4"/>
      <c r="AL1037" s="4" t="s">
        <v>174</v>
      </c>
      <c r="AM1037" s="4" t="s">
        <v>175</v>
      </c>
    </row>
    <row r="1038" customFormat="false" ht="23.85" hidden="false" customHeight="false" outlineLevel="0" collapsed="false">
      <c r="A1038" s="4" t="s">
        <v>167</v>
      </c>
      <c r="B1038" s="4" t="s">
        <v>1215</v>
      </c>
      <c r="C1038" s="4" t="s">
        <v>1215</v>
      </c>
      <c r="D1038" s="12" t="n">
        <v>2022</v>
      </c>
      <c r="E1038" s="4"/>
      <c r="F1038" s="4" t="s">
        <v>169</v>
      </c>
      <c r="G1038" s="4" t="s">
        <v>170</v>
      </c>
      <c r="H1038" s="4" t="s">
        <v>171</v>
      </c>
      <c r="I1038" s="4" t="s">
        <v>172</v>
      </c>
      <c r="J1038" s="4" t="s">
        <v>1215</v>
      </c>
      <c r="K1038" s="4" t="s">
        <v>80</v>
      </c>
      <c r="L1038" s="4" t="s">
        <v>81</v>
      </c>
      <c r="M1038" s="4"/>
      <c r="N1038" s="4"/>
      <c r="O1038" s="4"/>
      <c r="P1038" s="4"/>
      <c r="Q1038" s="4"/>
      <c r="R1038" s="4"/>
      <c r="S1038" s="13" t="n">
        <v>2042.42</v>
      </c>
      <c r="T1038" s="4" t="s">
        <v>173</v>
      </c>
      <c r="U1038" s="14" t="n">
        <f aca="false">IF(OR($S1038="",PARAMETROS!$B$4=""),"",$S1038*PARAMETROS!$B$4)</f>
        <v>11866.4602</v>
      </c>
      <c r="V1038" s="13" t="n">
        <v>0</v>
      </c>
      <c r="W1038" s="4"/>
      <c r="X1038" s="4"/>
      <c r="Y1038" s="4"/>
      <c r="Z1038" s="4"/>
      <c r="AA1038" s="4"/>
      <c r="AB1038" s="4"/>
      <c r="AC1038" s="4"/>
      <c r="AD1038" s="4"/>
      <c r="AE1038" s="4"/>
      <c r="AF1038" s="4"/>
      <c r="AG1038" s="4"/>
      <c r="AH1038" s="4"/>
      <c r="AI1038" s="4"/>
      <c r="AJ1038" s="4"/>
      <c r="AK1038" s="4"/>
      <c r="AL1038" s="4" t="s">
        <v>174</v>
      </c>
      <c r="AM1038" s="4" t="s">
        <v>190</v>
      </c>
    </row>
    <row r="1039" customFormat="false" ht="23.85" hidden="false" customHeight="false" outlineLevel="0" collapsed="false">
      <c r="A1039" s="4" t="s">
        <v>167</v>
      </c>
      <c r="B1039" s="4" t="s">
        <v>1216</v>
      </c>
      <c r="C1039" s="4" t="s">
        <v>1216</v>
      </c>
      <c r="D1039" s="12" t="n">
        <v>2022</v>
      </c>
      <c r="E1039" s="4"/>
      <c r="F1039" s="4" t="s">
        <v>169</v>
      </c>
      <c r="G1039" s="4" t="s">
        <v>170</v>
      </c>
      <c r="H1039" s="4" t="s">
        <v>171</v>
      </c>
      <c r="I1039" s="4" t="s">
        <v>172</v>
      </c>
      <c r="J1039" s="4" t="s">
        <v>1216</v>
      </c>
      <c r="K1039" s="4" t="s">
        <v>80</v>
      </c>
      <c r="L1039" s="4" t="s">
        <v>81</v>
      </c>
      <c r="M1039" s="4"/>
      <c r="N1039" s="4"/>
      <c r="O1039" s="4"/>
      <c r="P1039" s="4"/>
      <c r="Q1039" s="4"/>
      <c r="R1039" s="4"/>
      <c r="S1039" s="13" t="n">
        <v>0</v>
      </c>
      <c r="T1039" s="4" t="s">
        <v>173</v>
      </c>
      <c r="U1039" s="14" t="n">
        <f aca="false">IF(OR($S1039="",PARAMETROS!$B$4=""),"",$S1039*PARAMETROS!$B$4)</f>
        <v>0</v>
      </c>
      <c r="V1039" s="13" t="n">
        <v>0</v>
      </c>
      <c r="W1039" s="4"/>
      <c r="X1039" s="4"/>
      <c r="Y1039" s="4"/>
      <c r="Z1039" s="4"/>
      <c r="AA1039" s="4"/>
      <c r="AB1039" s="4"/>
      <c r="AC1039" s="4"/>
      <c r="AD1039" s="4"/>
      <c r="AE1039" s="4"/>
      <c r="AF1039" s="4"/>
      <c r="AG1039" s="4"/>
      <c r="AH1039" s="4"/>
      <c r="AI1039" s="4"/>
      <c r="AJ1039" s="4"/>
      <c r="AK1039" s="4"/>
      <c r="AL1039" s="4" t="s">
        <v>174</v>
      </c>
      <c r="AM1039" s="4" t="s">
        <v>190</v>
      </c>
    </row>
    <row r="1040" customFormat="false" ht="23.85" hidden="false" customHeight="false" outlineLevel="0" collapsed="false">
      <c r="A1040" s="4" t="s">
        <v>167</v>
      </c>
      <c r="B1040" s="4" t="s">
        <v>1217</v>
      </c>
      <c r="C1040" s="4" t="s">
        <v>1217</v>
      </c>
      <c r="D1040" s="12" t="n">
        <v>2022</v>
      </c>
      <c r="E1040" s="4"/>
      <c r="F1040" s="4" t="s">
        <v>169</v>
      </c>
      <c r="G1040" s="4" t="s">
        <v>170</v>
      </c>
      <c r="H1040" s="4" t="s">
        <v>171</v>
      </c>
      <c r="I1040" s="4" t="s">
        <v>172</v>
      </c>
      <c r="J1040" s="4" t="s">
        <v>1217</v>
      </c>
      <c r="K1040" s="4" t="s">
        <v>80</v>
      </c>
      <c r="L1040" s="4" t="s">
        <v>81</v>
      </c>
      <c r="M1040" s="4"/>
      <c r="N1040" s="4"/>
      <c r="O1040" s="4"/>
      <c r="P1040" s="4"/>
      <c r="Q1040" s="4"/>
      <c r="R1040" s="4"/>
      <c r="S1040" s="13" t="n">
        <v>0</v>
      </c>
      <c r="T1040" s="4" t="s">
        <v>173</v>
      </c>
      <c r="U1040" s="14" t="n">
        <f aca="false">IF(OR($S1040="",PARAMETROS!$B$4=""),"",$S1040*PARAMETROS!$B$4)</f>
        <v>0</v>
      </c>
      <c r="V1040" s="13" t="n">
        <v>0</v>
      </c>
      <c r="W1040" s="4"/>
      <c r="X1040" s="4"/>
      <c r="Y1040" s="4"/>
      <c r="Z1040" s="4"/>
      <c r="AA1040" s="4"/>
      <c r="AB1040" s="4"/>
      <c r="AC1040" s="4"/>
      <c r="AD1040" s="4"/>
      <c r="AE1040" s="4"/>
      <c r="AF1040" s="4"/>
      <c r="AG1040" s="4"/>
      <c r="AH1040" s="4"/>
      <c r="AI1040" s="4"/>
      <c r="AJ1040" s="4"/>
      <c r="AK1040" s="4"/>
      <c r="AL1040" s="4" t="s">
        <v>174</v>
      </c>
      <c r="AM1040" s="4" t="s">
        <v>190</v>
      </c>
    </row>
    <row r="1041" customFormat="false" ht="23.85" hidden="false" customHeight="false" outlineLevel="0" collapsed="false">
      <c r="A1041" s="4" t="s">
        <v>167</v>
      </c>
      <c r="B1041" s="4" t="s">
        <v>1218</v>
      </c>
      <c r="C1041" s="4" t="s">
        <v>1218</v>
      </c>
      <c r="D1041" s="12" t="n">
        <v>2022</v>
      </c>
      <c r="E1041" s="4"/>
      <c r="F1041" s="4" t="s">
        <v>169</v>
      </c>
      <c r="G1041" s="4" t="s">
        <v>170</v>
      </c>
      <c r="H1041" s="4" t="s">
        <v>171</v>
      </c>
      <c r="I1041" s="4" t="s">
        <v>172</v>
      </c>
      <c r="J1041" s="4" t="s">
        <v>1218</v>
      </c>
      <c r="K1041" s="4" t="s">
        <v>80</v>
      </c>
      <c r="L1041" s="4" t="s">
        <v>81</v>
      </c>
      <c r="M1041" s="4"/>
      <c r="N1041" s="4"/>
      <c r="O1041" s="4"/>
      <c r="P1041" s="4"/>
      <c r="Q1041" s="4"/>
      <c r="R1041" s="4"/>
      <c r="S1041" s="13" t="n">
        <v>0</v>
      </c>
      <c r="T1041" s="4" t="s">
        <v>173</v>
      </c>
      <c r="U1041" s="14" t="n">
        <f aca="false">IF(OR($S1041="",PARAMETROS!$B$4=""),"",$S1041*PARAMETROS!$B$4)</f>
        <v>0</v>
      </c>
      <c r="V1041" s="13" t="n">
        <v>0</v>
      </c>
      <c r="W1041" s="4"/>
      <c r="X1041" s="4"/>
      <c r="Y1041" s="4"/>
      <c r="Z1041" s="4"/>
      <c r="AA1041" s="4"/>
      <c r="AB1041" s="4"/>
      <c r="AC1041" s="4"/>
      <c r="AD1041" s="4"/>
      <c r="AE1041" s="4"/>
      <c r="AF1041" s="4"/>
      <c r="AG1041" s="4"/>
      <c r="AH1041" s="4"/>
      <c r="AI1041" s="4"/>
      <c r="AJ1041" s="4"/>
      <c r="AK1041" s="4"/>
      <c r="AL1041" s="4" t="s">
        <v>174</v>
      </c>
      <c r="AM1041" s="4" t="s">
        <v>190</v>
      </c>
    </row>
    <row r="1042" customFormat="false" ht="23.85" hidden="false" customHeight="false" outlineLevel="0" collapsed="false">
      <c r="A1042" s="4" t="s">
        <v>167</v>
      </c>
      <c r="B1042" s="4" t="s">
        <v>1219</v>
      </c>
      <c r="C1042" s="4" t="s">
        <v>1219</v>
      </c>
      <c r="D1042" s="12" t="n">
        <v>2022</v>
      </c>
      <c r="E1042" s="4"/>
      <c r="F1042" s="4" t="s">
        <v>169</v>
      </c>
      <c r="G1042" s="4" t="s">
        <v>170</v>
      </c>
      <c r="H1042" s="4" t="s">
        <v>171</v>
      </c>
      <c r="I1042" s="4" t="s">
        <v>172</v>
      </c>
      <c r="J1042" s="4" t="s">
        <v>1219</v>
      </c>
      <c r="K1042" s="4" t="s">
        <v>80</v>
      </c>
      <c r="L1042" s="4" t="s">
        <v>81</v>
      </c>
      <c r="M1042" s="4"/>
      <c r="N1042" s="4"/>
      <c r="O1042" s="4"/>
      <c r="P1042" s="4"/>
      <c r="Q1042" s="4"/>
      <c r="R1042" s="4"/>
      <c r="S1042" s="13" t="n">
        <v>0</v>
      </c>
      <c r="T1042" s="4" t="s">
        <v>173</v>
      </c>
      <c r="U1042" s="14" t="n">
        <f aca="false">IF(OR($S1042="",PARAMETROS!$B$4=""),"",$S1042*PARAMETROS!$B$4)</f>
        <v>0</v>
      </c>
      <c r="V1042" s="13" t="n">
        <v>0</v>
      </c>
      <c r="W1042" s="4"/>
      <c r="X1042" s="4"/>
      <c r="Y1042" s="4"/>
      <c r="Z1042" s="4"/>
      <c r="AA1042" s="4"/>
      <c r="AB1042" s="4"/>
      <c r="AC1042" s="4"/>
      <c r="AD1042" s="4"/>
      <c r="AE1042" s="4"/>
      <c r="AF1042" s="4"/>
      <c r="AG1042" s="4"/>
      <c r="AH1042" s="4"/>
      <c r="AI1042" s="4"/>
      <c r="AJ1042" s="4"/>
      <c r="AK1042" s="4"/>
      <c r="AL1042" s="4" t="s">
        <v>174</v>
      </c>
      <c r="AM1042" s="4" t="s">
        <v>190</v>
      </c>
    </row>
    <row r="1043" customFormat="false" ht="23.85" hidden="false" customHeight="false" outlineLevel="0" collapsed="false">
      <c r="A1043" s="4" t="s">
        <v>167</v>
      </c>
      <c r="B1043" s="4" t="s">
        <v>1220</v>
      </c>
      <c r="C1043" s="4" t="s">
        <v>1220</v>
      </c>
      <c r="D1043" s="12" t="n">
        <v>2022</v>
      </c>
      <c r="E1043" s="4"/>
      <c r="F1043" s="4" t="s">
        <v>169</v>
      </c>
      <c r="G1043" s="4" t="s">
        <v>170</v>
      </c>
      <c r="H1043" s="4" t="s">
        <v>171</v>
      </c>
      <c r="I1043" s="4" t="s">
        <v>172</v>
      </c>
      <c r="J1043" s="4" t="s">
        <v>1220</v>
      </c>
      <c r="K1043" s="4" t="s">
        <v>80</v>
      </c>
      <c r="L1043" s="4" t="s">
        <v>81</v>
      </c>
      <c r="M1043" s="4"/>
      <c r="N1043" s="4"/>
      <c r="O1043" s="4"/>
      <c r="P1043" s="4"/>
      <c r="Q1043" s="4"/>
      <c r="R1043" s="4"/>
      <c r="S1043" s="13" t="n">
        <v>-2042.42</v>
      </c>
      <c r="T1043" s="4" t="s">
        <v>173</v>
      </c>
      <c r="U1043" s="14" t="n">
        <f aca="false">IF(OR($S1043="",PARAMETROS!$B$4=""),"",$S1043*PARAMETROS!$B$4)</f>
        <v>-11866.4602</v>
      </c>
      <c r="V1043" s="13" t="n">
        <v>0</v>
      </c>
      <c r="W1043" s="4"/>
      <c r="X1043" s="4"/>
      <c r="Y1043" s="4"/>
      <c r="Z1043" s="4"/>
      <c r="AA1043" s="4"/>
      <c r="AB1043" s="4"/>
      <c r="AC1043" s="4"/>
      <c r="AD1043" s="4"/>
      <c r="AE1043" s="4"/>
      <c r="AF1043" s="4"/>
      <c r="AG1043" s="4"/>
      <c r="AH1043" s="4"/>
      <c r="AI1043" s="4"/>
      <c r="AJ1043" s="4"/>
      <c r="AK1043" s="4"/>
      <c r="AL1043" s="4" t="s">
        <v>174</v>
      </c>
      <c r="AM1043" s="4" t="s">
        <v>190</v>
      </c>
    </row>
    <row r="1044" customFormat="false" ht="23.85" hidden="false" customHeight="false" outlineLevel="0" collapsed="false">
      <c r="A1044" s="4" t="s">
        <v>167</v>
      </c>
      <c r="B1044" s="4" t="s">
        <v>1221</v>
      </c>
      <c r="C1044" s="4" t="s">
        <v>1221</v>
      </c>
      <c r="D1044" s="12" t="n">
        <v>2022</v>
      </c>
      <c r="E1044" s="4"/>
      <c r="F1044" s="4" t="s">
        <v>169</v>
      </c>
      <c r="G1044" s="4" t="s">
        <v>170</v>
      </c>
      <c r="H1044" s="4" t="s">
        <v>171</v>
      </c>
      <c r="I1044" s="4" t="s">
        <v>172</v>
      </c>
      <c r="J1044" s="4" t="s">
        <v>1221</v>
      </c>
      <c r="K1044" s="4" t="s">
        <v>80</v>
      </c>
      <c r="L1044" s="4" t="s">
        <v>81</v>
      </c>
      <c r="M1044" s="4"/>
      <c r="N1044" s="4"/>
      <c r="O1044" s="4"/>
      <c r="P1044" s="4"/>
      <c r="Q1044" s="4"/>
      <c r="R1044" s="4"/>
      <c r="S1044" s="13" t="n">
        <v>0</v>
      </c>
      <c r="T1044" s="4" t="s">
        <v>173</v>
      </c>
      <c r="U1044" s="14" t="n">
        <f aca="false">IF(OR($S1044="",PARAMETROS!$B$4=""),"",$S1044*PARAMETROS!$B$4)</f>
        <v>0</v>
      </c>
      <c r="V1044" s="13" t="n">
        <v>0</v>
      </c>
      <c r="W1044" s="4"/>
      <c r="X1044" s="4"/>
      <c r="Y1044" s="4"/>
      <c r="Z1044" s="4"/>
      <c r="AA1044" s="4"/>
      <c r="AB1044" s="4"/>
      <c r="AC1044" s="4"/>
      <c r="AD1044" s="4"/>
      <c r="AE1044" s="4"/>
      <c r="AF1044" s="4"/>
      <c r="AG1044" s="4"/>
      <c r="AH1044" s="4"/>
      <c r="AI1044" s="4"/>
      <c r="AJ1044" s="4"/>
      <c r="AK1044" s="4"/>
      <c r="AL1044" s="4" t="s">
        <v>174</v>
      </c>
      <c r="AM1044" s="4" t="s">
        <v>190</v>
      </c>
    </row>
    <row r="1045" customFormat="false" ht="23.85" hidden="false" customHeight="false" outlineLevel="0" collapsed="false">
      <c r="A1045" s="4" t="s">
        <v>167</v>
      </c>
      <c r="B1045" s="4" t="s">
        <v>1222</v>
      </c>
      <c r="C1045" s="4" t="s">
        <v>1222</v>
      </c>
      <c r="D1045" s="12" t="n">
        <v>2022</v>
      </c>
      <c r="E1045" s="4"/>
      <c r="F1045" s="4" t="s">
        <v>169</v>
      </c>
      <c r="G1045" s="4" t="s">
        <v>170</v>
      </c>
      <c r="H1045" s="4" t="s">
        <v>171</v>
      </c>
      <c r="I1045" s="4" t="s">
        <v>172</v>
      </c>
      <c r="J1045" s="4" t="s">
        <v>1222</v>
      </c>
      <c r="K1045" s="4" t="s">
        <v>80</v>
      </c>
      <c r="L1045" s="4" t="s">
        <v>81</v>
      </c>
      <c r="M1045" s="4"/>
      <c r="N1045" s="4"/>
      <c r="O1045" s="4"/>
      <c r="P1045" s="4"/>
      <c r="Q1045" s="4"/>
      <c r="R1045" s="4"/>
      <c r="S1045" s="13" t="n">
        <v>0</v>
      </c>
      <c r="T1045" s="4" t="s">
        <v>173</v>
      </c>
      <c r="U1045" s="14" t="n">
        <f aca="false">IF(OR($S1045="",PARAMETROS!$B$4=""),"",$S1045*PARAMETROS!$B$4)</f>
        <v>0</v>
      </c>
      <c r="V1045" s="13" t="n">
        <v>0</v>
      </c>
      <c r="W1045" s="4"/>
      <c r="X1045" s="4"/>
      <c r="Y1045" s="4"/>
      <c r="Z1045" s="4"/>
      <c r="AA1045" s="4"/>
      <c r="AB1045" s="4"/>
      <c r="AC1045" s="4"/>
      <c r="AD1045" s="4"/>
      <c r="AE1045" s="4"/>
      <c r="AF1045" s="4"/>
      <c r="AG1045" s="4"/>
      <c r="AH1045" s="4"/>
      <c r="AI1045" s="4"/>
      <c r="AJ1045" s="4"/>
      <c r="AK1045" s="4"/>
      <c r="AL1045" s="4" t="s">
        <v>174</v>
      </c>
      <c r="AM1045" s="4" t="s">
        <v>190</v>
      </c>
    </row>
    <row r="1046" customFormat="false" ht="23.85" hidden="false" customHeight="false" outlineLevel="0" collapsed="false">
      <c r="A1046" s="4" t="s">
        <v>167</v>
      </c>
      <c r="B1046" s="4" t="s">
        <v>1223</v>
      </c>
      <c r="C1046" s="4" t="s">
        <v>1223</v>
      </c>
      <c r="D1046" s="12" t="n">
        <v>2022</v>
      </c>
      <c r="E1046" s="4"/>
      <c r="F1046" s="4" t="s">
        <v>169</v>
      </c>
      <c r="G1046" s="4" t="s">
        <v>170</v>
      </c>
      <c r="H1046" s="4" t="s">
        <v>171</v>
      </c>
      <c r="I1046" s="4" t="s">
        <v>172</v>
      </c>
      <c r="J1046" s="4" t="s">
        <v>1223</v>
      </c>
      <c r="K1046" s="4" t="s">
        <v>80</v>
      </c>
      <c r="L1046" s="4" t="s">
        <v>81</v>
      </c>
      <c r="M1046" s="4"/>
      <c r="N1046" s="4"/>
      <c r="O1046" s="4"/>
      <c r="P1046" s="4"/>
      <c r="Q1046" s="4"/>
      <c r="R1046" s="4"/>
      <c r="S1046" s="13" t="n">
        <v>0</v>
      </c>
      <c r="T1046" s="4" t="s">
        <v>173</v>
      </c>
      <c r="U1046" s="14" t="n">
        <f aca="false">IF(OR($S1046="",PARAMETROS!$B$4=""),"",$S1046*PARAMETROS!$B$4)</f>
        <v>0</v>
      </c>
      <c r="V1046" s="13" t="n">
        <v>0</v>
      </c>
      <c r="W1046" s="4"/>
      <c r="X1046" s="4"/>
      <c r="Y1046" s="4"/>
      <c r="Z1046" s="4"/>
      <c r="AA1046" s="4"/>
      <c r="AB1046" s="4"/>
      <c r="AC1046" s="4"/>
      <c r="AD1046" s="4"/>
      <c r="AE1046" s="4"/>
      <c r="AF1046" s="4"/>
      <c r="AG1046" s="4"/>
      <c r="AH1046" s="4"/>
      <c r="AI1046" s="4"/>
      <c r="AJ1046" s="4"/>
      <c r="AK1046" s="4"/>
      <c r="AL1046" s="4" t="s">
        <v>174</v>
      </c>
      <c r="AM1046" s="4" t="s">
        <v>190</v>
      </c>
    </row>
    <row r="1047" customFormat="false" ht="23.85" hidden="false" customHeight="false" outlineLevel="0" collapsed="false">
      <c r="A1047" s="4" t="s">
        <v>167</v>
      </c>
      <c r="B1047" s="4" t="s">
        <v>1224</v>
      </c>
      <c r="C1047" s="4" t="s">
        <v>1224</v>
      </c>
      <c r="D1047" s="12" t="n">
        <v>2022</v>
      </c>
      <c r="E1047" s="4"/>
      <c r="F1047" s="4" t="s">
        <v>169</v>
      </c>
      <c r="G1047" s="4" t="s">
        <v>170</v>
      </c>
      <c r="H1047" s="4" t="s">
        <v>171</v>
      </c>
      <c r="I1047" s="4" t="s">
        <v>172</v>
      </c>
      <c r="J1047" s="4" t="s">
        <v>1224</v>
      </c>
      <c r="K1047" s="4" t="s">
        <v>80</v>
      </c>
      <c r="L1047" s="4" t="s">
        <v>81</v>
      </c>
      <c r="M1047" s="4"/>
      <c r="N1047" s="4"/>
      <c r="O1047" s="4"/>
      <c r="P1047" s="4"/>
      <c r="Q1047" s="4"/>
      <c r="R1047" s="4"/>
      <c r="S1047" s="13" t="n">
        <v>0</v>
      </c>
      <c r="T1047" s="4" t="s">
        <v>173</v>
      </c>
      <c r="U1047" s="14" t="n">
        <f aca="false">IF(OR($S1047="",PARAMETROS!$B$4=""),"",$S1047*PARAMETROS!$B$4)</f>
        <v>0</v>
      </c>
      <c r="V1047" s="13" t="n">
        <v>0</v>
      </c>
      <c r="W1047" s="4"/>
      <c r="X1047" s="4"/>
      <c r="Y1047" s="4"/>
      <c r="Z1047" s="4"/>
      <c r="AA1047" s="4"/>
      <c r="AB1047" s="4"/>
      <c r="AC1047" s="4"/>
      <c r="AD1047" s="4"/>
      <c r="AE1047" s="4"/>
      <c r="AF1047" s="4"/>
      <c r="AG1047" s="4"/>
      <c r="AH1047" s="4"/>
      <c r="AI1047" s="4"/>
      <c r="AJ1047" s="4"/>
      <c r="AK1047" s="4"/>
      <c r="AL1047" s="4" t="s">
        <v>174</v>
      </c>
      <c r="AM1047" s="4" t="s">
        <v>190</v>
      </c>
    </row>
    <row r="1048" customFormat="false" ht="23.85" hidden="false" customHeight="false" outlineLevel="0" collapsed="false">
      <c r="A1048" s="4" t="s">
        <v>167</v>
      </c>
      <c r="B1048" s="4" t="s">
        <v>1225</v>
      </c>
      <c r="C1048" s="4" t="s">
        <v>1225</v>
      </c>
      <c r="D1048" s="12" t="n">
        <v>2022</v>
      </c>
      <c r="E1048" s="4"/>
      <c r="F1048" s="4" t="s">
        <v>169</v>
      </c>
      <c r="G1048" s="4" t="s">
        <v>170</v>
      </c>
      <c r="H1048" s="4" t="s">
        <v>171</v>
      </c>
      <c r="I1048" s="4" t="s">
        <v>172</v>
      </c>
      <c r="J1048" s="4" t="s">
        <v>1225</v>
      </c>
      <c r="K1048" s="4" t="s">
        <v>80</v>
      </c>
      <c r="L1048" s="4" t="s">
        <v>81</v>
      </c>
      <c r="M1048" s="4"/>
      <c r="N1048" s="4"/>
      <c r="O1048" s="4"/>
      <c r="P1048" s="4"/>
      <c r="Q1048" s="4"/>
      <c r="R1048" s="4"/>
      <c r="S1048" s="13" t="n">
        <v>0</v>
      </c>
      <c r="T1048" s="4" t="s">
        <v>173</v>
      </c>
      <c r="U1048" s="14" t="n">
        <f aca="false">IF(OR($S1048="",PARAMETROS!$B$4=""),"",$S1048*PARAMETROS!$B$4)</f>
        <v>0</v>
      </c>
      <c r="V1048" s="13" t="n">
        <v>0</v>
      </c>
      <c r="W1048" s="4"/>
      <c r="X1048" s="4"/>
      <c r="Y1048" s="4"/>
      <c r="Z1048" s="4"/>
      <c r="AA1048" s="4"/>
      <c r="AB1048" s="4"/>
      <c r="AC1048" s="4"/>
      <c r="AD1048" s="4"/>
      <c r="AE1048" s="4"/>
      <c r="AF1048" s="4"/>
      <c r="AG1048" s="4"/>
      <c r="AH1048" s="4"/>
      <c r="AI1048" s="4"/>
      <c r="AJ1048" s="4"/>
      <c r="AK1048" s="4"/>
      <c r="AL1048" s="4" t="s">
        <v>174</v>
      </c>
      <c r="AM1048" s="4" t="s">
        <v>190</v>
      </c>
    </row>
    <row r="1049" customFormat="false" ht="23.85" hidden="false" customHeight="false" outlineLevel="0" collapsed="false">
      <c r="A1049" s="4" t="s">
        <v>167</v>
      </c>
      <c r="B1049" s="4" t="s">
        <v>1226</v>
      </c>
      <c r="C1049" s="4" t="s">
        <v>1226</v>
      </c>
      <c r="D1049" s="12" t="n">
        <v>2022</v>
      </c>
      <c r="E1049" s="4"/>
      <c r="F1049" s="4" t="s">
        <v>169</v>
      </c>
      <c r="G1049" s="4" t="s">
        <v>170</v>
      </c>
      <c r="H1049" s="4" t="s">
        <v>171</v>
      </c>
      <c r="I1049" s="4" t="s">
        <v>172</v>
      </c>
      <c r="J1049" s="4" t="s">
        <v>1226</v>
      </c>
      <c r="K1049" s="4" t="s">
        <v>80</v>
      </c>
      <c r="L1049" s="4" t="s">
        <v>81</v>
      </c>
      <c r="M1049" s="4"/>
      <c r="N1049" s="4"/>
      <c r="O1049" s="4"/>
      <c r="P1049" s="4"/>
      <c r="Q1049" s="4"/>
      <c r="R1049" s="4"/>
      <c r="S1049" s="13" t="n">
        <v>0</v>
      </c>
      <c r="T1049" s="4" t="s">
        <v>173</v>
      </c>
      <c r="U1049" s="14" t="n">
        <f aca="false">IF(OR($S1049="",PARAMETROS!$B$4=""),"",$S1049*PARAMETROS!$B$4)</f>
        <v>0</v>
      </c>
      <c r="V1049" s="13" t="n">
        <v>0</v>
      </c>
      <c r="W1049" s="4"/>
      <c r="X1049" s="4"/>
      <c r="Y1049" s="4"/>
      <c r="Z1049" s="4"/>
      <c r="AA1049" s="4"/>
      <c r="AB1049" s="4"/>
      <c r="AC1049" s="4"/>
      <c r="AD1049" s="4"/>
      <c r="AE1049" s="4"/>
      <c r="AF1049" s="4"/>
      <c r="AG1049" s="4"/>
      <c r="AH1049" s="4"/>
      <c r="AI1049" s="4"/>
      <c r="AJ1049" s="4"/>
      <c r="AK1049" s="4"/>
      <c r="AL1049" s="4" t="s">
        <v>174</v>
      </c>
      <c r="AM1049" s="4" t="s">
        <v>190</v>
      </c>
    </row>
    <row r="1050" customFormat="false" ht="23.85" hidden="false" customHeight="false" outlineLevel="0" collapsed="false">
      <c r="A1050" s="4" t="s">
        <v>167</v>
      </c>
      <c r="B1050" s="4" t="s">
        <v>1227</v>
      </c>
      <c r="C1050" s="4" t="s">
        <v>1227</v>
      </c>
      <c r="D1050" s="12" t="n">
        <v>2022</v>
      </c>
      <c r="E1050" s="4"/>
      <c r="F1050" s="4" t="s">
        <v>169</v>
      </c>
      <c r="G1050" s="4" t="s">
        <v>170</v>
      </c>
      <c r="H1050" s="4" t="s">
        <v>171</v>
      </c>
      <c r="I1050" s="4" t="s">
        <v>172</v>
      </c>
      <c r="J1050" s="4" t="s">
        <v>1227</v>
      </c>
      <c r="K1050" s="4" t="s">
        <v>80</v>
      </c>
      <c r="L1050" s="4" t="s">
        <v>81</v>
      </c>
      <c r="M1050" s="4"/>
      <c r="N1050" s="4"/>
      <c r="O1050" s="4"/>
      <c r="P1050" s="4"/>
      <c r="Q1050" s="4"/>
      <c r="R1050" s="4"/>
      <c r="S1050" s="13" t="n">
        <v>0</v>
      </c>
      <c r="T1050" s="4" t="s">
        <v>173</v>
      </c>
      <c r="U1050" s="14" t="n">
        <f aca="false">IF(OR($S1050="",PARAMETROS!$B$4=""),"",$S1050*PARAMETROS!$B$4)</f>
        <v>0</v>
      </c>
      <c r="V1050" s="13" t="n">
        <v>0</v>
      </c>
      <c r="W1050" s="4"/>
      <c r="X1050" s="4"/>
      <c r="Y1050" s="4"/>
      <c r="Z1050" s="4"/>
      <c r="AA1050" s="4"/>
      <c r="AB1050" s="4"/>
      <c r="AC1050" s="4"/>
      <c r="AD1050" s="4"/>
      <c r="AE1050" s="4"/>
      <c r="AF1050" s="4"/>
      <c r="AG1050" s="4"/>
      <c r="AH1050" s="4"/>
      <c r="AI1050" s="4"/>
      <c r="AJ1050" s="4"/>
      <c r="AK1050" s="4"/>
      <c r="AL1050" s="4" t="s">
        <v>174</v>
      </c>
      <c r="AM1050" s="4" t="s">
        <v>190</v>
      </c>
    </row>
    <row r="1051" customFormat="false" ht="23.85" hidden="false" customHeight="false" outlineLevel="0" collapsed="false">
      <c r="A1051" s="4" t="s">
        <v>167</v>
      </c>
      <c r="B1051" s="4" t="s">
        <v>1228</v>
      </c>
      <c r="C1051" s="4" t="s">
        <v>1228</v>
      </c>
      <c r="D1051" s="12" t="n">
        <v>2022</v>
      </c>
      <c r="E1051" s="4"/>
      <c r="F1051" s="4" t="s">
        <v>169</v>
      </c>
      <c r="G1051" s="4" t="s">
        <v>170</v>
      </c>
      <c r="H1051" s="4" t="s">
        <v>171</v>
      </c>
      <c r="I1051" s="4" t="s">
        <v>172</v>
      </c>
      <c r="J1051" s="4" t="s">
        <v>1228</v>
      </c>
      <c r="K1051" s="4" t="s">
        <v>80</v>
      </c>
      <c r="L1051" s="4" t="s">
        <v>81</v>
      </c>
      <c r="M1051" s="4"/>
      <c r="N1051" s="4"/>
      <c r="O1051" s="4"/>
      <c r="P1051" s="4"/>
      <c r="Q1051" s="4"/>
      <c r="R1051" s="4"/>
      <c r="S1051" s="13" t="n">
        <v>0</v>
      </c>
      <c r="T1051" s="4" t="s">
        <v>173</v>
      </c>
      <c r="U1051" s="14" t="n">
        <f aca="false">IF(OR($S1051="",PARAMETROS!$B$4=""),"",$S1051*PARAMETROS!$B$4)</f>
        <v>0</v>
      </c>
      <c r="V1051" s="13" t="n">
        <v>0</v>
      </c>
      <c r="W1051" s="4"/>
      <c r="X1051" s="4"/>
      <c r="Y1051" s="4"/>
      <c r="Z1051" s="4"/>
      <c r="AA1051" s="4"/>
      <c r="AB1051" s="4"/>
      <c r="AC1051" s="4"/>
      <c r="AD1051" s="4"/>
      <c r="AE1051" s="4"/>
      <c r="AF1051" s="4"/>
      <c r="AG1051" s="4"/>
      <c r="AH1051" s="4"/>
      <c r="AI1051" s="4"/>
      <c r="AJ1051" s="4"/>
      <c r="AK1051" s="4"/>
      <c r="AL1051" s="4" t="s">
        <v>174</v>
      </c>
      <c r="AM1051" s="4" t="s">
        <v>190</v>
      </c>
    </row>
    <row r="1052" customFormat="false" ht="23.85" hidden="false" customHeight="false" outlineLevel="0" collapsed="false">
      <c r="A1052" s="4" t="s">
        <v>167</v>
      </c>
      <c r="B1052" s="4" t="s">
        <v>1229</v>
      </c>
      <c r="C1052" s="4" t="s">
        <v>1229</v>
      </c>
      <c r="D1052" s="12" t="n">
        <v>2022</v>
      </c>
      <c r="E1052" s="4"/>
      <c r="F1052" s="4" t="s">
        <v>169</v>
      </c>
      <c r="G1052" s="4" t="s">
        <v>170</v>
      </c>
      <c r="H1052" s="4" t="s">
        <v>171</v>
      </c>
      <c r="I1052" s="4" t="s">
        <v>172</v>
      </c>
      <c r="J1052" s="4" t="s">
        <v>1229</v>
      </c>
      <c r="K1052" s="4" t="s">
        <v>82</v>
      </c>
      <c r="L1052" s="4" t="s">
        <v>83</v>
      </c>
      <c r="M1052" s="4"/>
      <c r="N1052" s="4"/>
      <c r="O1052" s="4"/>
      <c r="P1052" s="4"/>
      <c r="Q1052" s="4"/>
      <c r="R1052" s="4"/>
      <c r="S1052" s="13" t="n">
        <v>7.44</v>
      </c>
      <c r="T1052" s="4" t="s">
        <v>173</v>
      </c>
      <c r="U1052" s="14" t="n">
        <f aca="false">IF(OR($S1052="",PARAMETROS!$B$4=""),"",$S1052*PARAMETROS!$B$4)</f>
        <v>43.2264</v>
      </c>
      <c r="V1052" s="13" t="n">
        <v>0</v>
      </c>
      <c r="W1052" s="4"/>
      <c r="X1052" s="4"/>
      <c r="Y1052" s="4"/>
      <c r="Z1052" s="4"/>
      <c r="AA1052" s="4"/>
      <c r="AB1052" s="4"/>
      <c r="AC1052" s="4"/>
      <c r="AD1052" s="4"/>
      <c r="AE1052" s="4"/>
      <c r="AF1052" s="4"/>
      <c r="AG1052" s="4"/>
      <c r="AH1052" s="4"/>
      <c r="AI1052" s="4"/>
      <c r="AJ1052" s="4"/>
      <c r="AK1052" s="4"/>
      <c r="AL1052" s="4" t="s">
        <v>174</v>
      </c>
      <c r="AM1052" s="4" t="s">
        <v>205</v>
      </c>
    </row>
    <row r="1053" customFormat="false" ht="23.85" hidden="false" customHeight="false" outlineLevel="0" collapsed="false">
      <c r="A1053" s="4" t="s">
        <v>167</v>
      </c>
      <c r="B1053" s="4" t="s">
        <v>1230</v>
      </c>
      <c r="C1053" s="4" t="s">
        <v>1230</v>
      </c>
      <c r="D1053" s="12" t="n">
        <v>2022</v>
      </c>
      <c r="E1053" s="4"/>
      <c r="F1053" s="4" t="s">
        <v>169</v>
      </c>
      <c r="G1053" s="4" t="s">
        <v>170</v>
      </c>
      <c r="H1053" s="4" t="s">
        <v>171</v>
      </c>
      <c r="I1053" s="4" t="s">
        <v>172</v>
      </c>
      <c r="J1053" s="4" t="s">
        <v>1230</v>
      </c>
      <c r="K1053" s="4" t="s">
        <v>82</v>
      </c>
      <c r="L1053" s="4" t="s">
        <v>83</v>
      </c>
      <c r="M1053" s="4"/>
      <c r="N1053" s="4"/>
      <c r="O1053" s="4"/>
      <c r="P1053" s="4"/>
      <c r="Q1053" s="4"/>
      <c r="R1053" s="4"/>
      <c r="S1053" s="13" t="n">
        <v>0</v>
      </c>
      <c r="T1053" s="4" t="s">
        <v>173</v>
      </c>
      <c r="U1053" s="14" t="n">
        <f aca="false">IF(OR($S1053="",PARAMETROS!$B$4=""),"",$S1053*PARAMETROS!$B$4)</f>
        <v>0</v>
      </c>
      <c r="V1053" s="13" t="n">
        <v>0</v>
      </c>
      <c r="W1053" s="4"/>
      <c r="X1053" s="4"/>
      <c r="Y1053" s="4"/>
      <c r="Z1053" s="4"/>
      <c r="AA1053" s="4"/>
      <c r="AB1053" s="4"/>
      <c r="AC1053" s="4"/>
      <c r="AD1053" s="4"/>
      <c r="AE1053" s="4"/>
      <c r="AF1053" s="4"/>
      <c r="AG1053" s="4"/>
      <c r="AH1053" s="4"/>
      <c r="AI1053" s="4"/>
      <c r="AJ1053" s="4"/>
      <c r="AK1053" s="4"/>
      <c r="AL1053" s="4" t="s">
        <v>174</v>
      </c>
      <c r="AM1053" s="4" t="s">
        <v>205</v>
      </c>
    </row>
    <row r="1054" customFormat="false" ht="23.85" hidden="false" customHeight="false" outlineLevel="0" collapsed="false">
      <c r="A1054" s="4" t="s">
        <v>167</v>
      </c>
      <c r="B1054" s="4" t="s">
        <v>1231</v>
      </c>
      <c r="C1054" s="4" t="s">
        <v>1231</v>
      </c>
      <c r="D1054" s="12" t="n">
        <v>2022</v>
      </c>
      <c r="E1054" s="4"/>
      <c r="F1054" s="4" t="s">
        <v>169</v>
      </c>
      <c r="G1054" s="4" t="s">
        <v>170</v>
      </c>
      <c r="H1054" s="4" t="s">
        <v>171</v>
      </c>
      <c r="I1054" s="4" t="s">
        <v>172</v>
      </c>
      <c r="J1054" s="4" t="s">
        <v>1231</v>
      </c>
      <c r="K1054" s="4" t="s">
        <v>82</v>
      </c>
      <c r="L1054" s="4" t="s">
        <v>83</v>
      </c>
      <c r="M1054" s="4"/>
      <c r="N1054" s="4"/>
      <c r="O1054" s="4"/>
      <c r="P1054" s="4"/>
      <c r="Q1054" s="4"/>
      <c r="R1054" s="4"/>
      <c r="S1054" s="13" t="n">
        <v>0</v>
      </c>
      <c r="T1054" s="4" t="s">
        <v>173</v>
      </c>
      <c r="U1054" s="14" t="n">
        <f aca="false">IF(OR($S1054="",PARAMETROS!$B$4=""),"",$S1054*PARAMETROS!$B$4)</f>
        <v>0</v>
      </c>
      <c r="V1054" s="13" t="n">
        <v>0</v>
      </c>
      <c r="W1054" s="4"/>
      <c r="X1054" s="4"/>
      <c r="Y1054" s="4"/>
      <c r="Z1054" s="4"/>
      <c r="AA1054" s="4"/>
      <c r="AB1054" s="4"/>
      <c r="AC1054" s="4"/>
      <c r="AD1054" s="4"/>
      <c r="AE1054" s="4"/>
      <c r="AF1054" s="4"/>
      <c r="AG1054" s="4"/>
      <c r="AH1054" s="4"/>
      <c r="AI1054" s="4"/>
      <c r="AJ1054" s="4"/>
      <c r="AK1054" s="4"/>
      <c r="AL1054" s="4" t="s">
        <v>174</v>
      </c>
      <c r="AM1054" s="4" t="s">
        <v>205</v>
      </c>
    </row>
    <row r="1055" customFormat="false" ht="23.85" hidden="false" customHeight="false" outlineLevel="0" collapsed="false">
      <c r="A1055" s="4" t="s">
        <v>167</v>
      </c>
      <c r="B1055" s="4" t="s">
        <v>1232</v>
      </c>
      <c r="C1055" s="4" t="s">
        <v>1232</v>
      </c>
      <c r="D1055" s="12" t="n">
        <v>2022</v>
      </c>
      <c r="E1055" s="4"/>
      <c r="F1055" s="4" t="s">
        <v>169</v>
      </c>
      <c r="G1055" s="4" t="s">
        <v>170</v>
      </c>
      <c r="H1055" s="4" t="s">
        <v>171</v>
      </c>
      <c r="I1055" s="4" t="s">
        <v>172</v>
      </c>
      <c r="J1055" s="4" t="s">
        <v>1232</v>
      </c>
      <c r="K1055" s="4" t="s">
        <v>82</v>
      </c>
      <c r="L1055" s="4" t="s">
        <v>83</v>
      </c>
      <c r="M1055" s="4"/>
      <c r="N1055" s="4"/>
      <c r="O1055" s="4"/>
      <c r="P1055" s="4"/>
      <c r="Q1055" s="4"/>
      <c r="R1055" s="4"/>
      <c r="S1055" s="13" t="n">
        <v>0</v>
      </c>
      <c r="T1055" s="4" t="s">
        <v>173</v>
      </c>
      <c r="U1055" s="14" t="n">
        <f aca="false">IF(OR($S1055="",PARAMETROS!$B$4=""),"",$S1055*PARAMETROS!$B$4)</f>
        <v>0</v>
      </c>
      <c r="V1055" s="13" t="n">
        <v>0</v>
      </c>
      <c r="W1055" s="4"/>
      <c r="X1055" s="4"/>
      <c r="Y1055" s="4"/>
      <c r="Z1055" s="4"/>
      <c r="AA1055" s="4"/>
      <c r="AB1055" s="4"/>
      <c r="AC1055" s="4"/>
      <c r="AD1055" s="4"/>
      <c r="AE1055" s="4"/>
      <c r="AF1055" s="4"/>
      <c r="AG1055" s="4"/>
      <c r="AH1055" s="4"/>
      <c r="AI1055" s="4"/>
      <c r="AJ1055" s="4"/>
      <c r="AK1055" s="4"/>
      <c r="AL1055" s="4" t="s">
        <v>174</v>
      </c>
      <c r="AM1055" s="4" t="s">
        <v>205</v>
      </c>
    </row>
    <row r="1056" customFormat="false" ht="23.85" hidden="false" customHeight="false" outlineLevel="0" collapsed="false">
      <c r="A1056" s="4" t="s">
        <v>167</v>
      </c>
      <c r="B1056" s="4" t="s">
        <v>1233</v>
      </c>
      <c r="C1056" s="4" t="s">
        <v>1233</v>
      </c>
      <c r="D1056" s="12" t="n">
        <v>2022</v>
      </c>
      <c r="E1056" s="4"/>
      <c r="F1056" s="4" t="s">
        <v>169</v>
      </c>
      <c r="G1056" s="4" t="s">
        <v>170</v>
      </c>
      <c r="H1056" s="4" t="s">
        <v>171</v>
      </c>
      <c r="I1056" s="4" t="s">
        <v>172</v>
      </c>
      <c r="J1056" s="4" t="s">
        <v>1233</v>
      </c>
      <c r="K1056" s="4" t="s">
        <v>82</v>
      </c>
      <c r="L1056" s="4" t="s">
        <v>83</v>
      </c>
      <c r="M1056" s="4"/>
      <c r="N1056" s="4"/>
      <c r="O1056" s="4"/>
      <c r="P1056" s="4"/>
      <c r="Q1056" s="4"/>
      <c r="R1056" s="4"/>
      <c r="S1056" s="13" t="n">
        <v>0</v>
      </c>
      <c r="T1056" s="4" t="s">
        <v>173</v>
      </c>
      <c r="U1056" s="14" t="n">
        <f aca="false">IF(OR($S1056="",PARAMETROS!$B$4=""),"",$S1056*PARAMETROS!$B$4)</f>
        <v>0</v>
      </c>
      <c r="V1056" s="13" t="n">
        <v>0</v>
      </c>
      <c r="W1056" s="4"/>
      <c r="X1056" s="4"/>
      <c r="Y1056" s="4"/>
      <c r="Z1056" s="4"/>
      <c r="AA1056" s="4"/>
      <c r="AB1056" s="4"/>
      <c r="AC1056" s="4"/>
      <c r="AD1056" s="4"/>
      <c r="AE1056" s="4"/>
      <c r="AF1056" s="4"/>
      <c r="AG1056" s="4"/>
      <c r="AH1056" s="4"/>
      <c r="AI1056" s="4"/>
      <c r="AJ1056" s="4"/>
      <c r="AK1056" s="4"/>
      <c r="AL1056" s="4" t="s">
        <v>174</v>
      </c>
      <c r="AM1056" s="4" t="s">
        <v>205</v>
      </c>
    </row>
    <row r="1057" customFormat="false" ht="23.85" hidden="false" customHeight="false" outlineLevel="0" collapsed="false">
      <c r="A1057" s="4" t="s">
        <v>167</v>
      </c>
      <c r="B1057" s="4" t="s">
        <v>1234</v>
      </c>
      <c r="C1057" s="4" t="s">
        <v>1234</v>
      </c>
      <c r="D1057" s="12" t="n">
        <v>2022</v>
      </c>
      <c r="E1057" s="4"/>
      <c r="F1057" s="4" t="s">
        <v>169</v>
      </c>
      <c r="G1057" s="4" t="s">
        <v>170</v>
      </c>
      <c r="H1057" s="4" t="s">
        <v>171</v>
      </c>
      <c r="I1057" s="4" t="s">
        <v>172</v>
      </c>
      <c r="J1057" s="4" t="s">
        <v>1234</v>
      </c>
      <c r="K1057" s="4" t="s">
        <v>82</v>
      </c>
      <c r="L1057" s="4" t="s">
        <v>83</v>
      </c>
      <c r="M1057" s="4"/>
      <c r="N1057" s="4"/>
      <c r="O1057" s="4"/>
      <c r="P1057" s="4"/>
      <c r="Q1057" s="4"/>
      <c r="R1057" s="4"/>
      <c r="S1057" s="13" t="n">
        <v>-7.44</v>
      </c>
      <c r="T1057" s="4" t="s">
        <v>173</v>
      </c>
      <c r="U1057" s="14" t="n">
        <f aca="false">IF(OR($S1057="",PARAMETROS!$B$4=""),"",$S1057*PARAMETROS!$B$4)</f>
        <v>-43.2264</v>
      </c>
      <c r="V1057" s="13" t="n">
        <v>0</v>
      </c>
      <c r="W1057" s="4"/>
      <c r="X1057" s="4"/>
      <c r="Y1057" s="4"/>
      <c r="Z1057" s="4"/>
      <c r="AA1057" s="4"/>
      <c r="AB1057" s="4"/>
      <c r="AC1057" s="4"/>
      <c r="AD1057" s="4"/>
      <c r="AE1057" s="4"/>
      <c r="AF1057" s="4"/>
      <c r="AG1057" s="4"/>
      <c r="AH1057" s="4"/>
      <c r="AI1057" s="4"/>
      <c r="AJ1057" s="4"/>
      <c r="AK1057" s="4"/>
      <c r="AL1057" s="4" t="s">
        <v>174</v>
      </c>
      <c r="AM1057" s="4" t="s">
        <v>205</v>
      </c>
    </row>
    <row r="1058" customFormat="false" ht="23.85" hidden="false" customHeight="false" outlineLevel="0" collapsed="false">
      <c r="A1058" s="4" t="s">
        <v>167</v>
      </c>
      <c r="B1058" s="4" t="s">
        <v>1235</v>
      </c>
      <c r="C1058" s="4" t="s">
        <v>1235</v>
      </c>
      <c r="D1058" s="12" t="n">
        <v>2022</v>
      </c>
      <c r="E1058" s="4"/>
      <c r="F1058" s="4" t="s">
        <v>169</v>
      </c>
      <c r="G1058" s="4" t="s">
        <v>170</v>
      </c>
      <c r="H1058" s="4" t="s">
        <v>171</v>
      </c>
      <c r="I1058" s="4" t="s">
        <v>172</v>
      </c>
      <c r="J1058" s="4" t="s">
        <v>1235</v>
      </c>
      <c r="K1058" s="4" t="s">
        <v>82</v>
      </c>
      <c r="L1058" s="4" t="s">
        <v>83</v>
      </c>
      <c r="M1058" s="4"/>
      <c r="N1058" s="4"/>
      <c r="O1058" s="4"/>
      <c r="P1058" s="4"/>
      <c r="Q1058" s="4"/>
      <c r="R1058" s="4"/>
      <c r="S1058" s="13" t="n">
        <v>0</v>
      </c>
      <c r="T1058" s="4" t="s">
        <v>173</v>
      </c>
      <c r="U1058" s="14" t="n">
        <f aca="false">IF(OR($S1058="",PARAMETROS!$B$4=""),"",$S1058*PARAMETROS!$B$4)</f>
        <v>0</v>
      </c>
      <c r="V1058" s="13" t="n">
        <v>0</v>
      </c>
      <c r="W1058" s="4"/>
      <c r="X1058" s="4"/>
      <c r="Y1058" s="4"/>
      <c r="Z1058" s="4"/>
      <c r="AA1058" s="4"/>
      <c r="AB1058" s="4"/>
      <c r="AC1058" s="4"/>
      <c r="AD1058" s="4"/>
      <c r="AE1058" s="4"/>
      <c r="AF1058" s="4"/>
      <c r="AG1058" s="4"/>
      <c r="AH1058" s="4"/>
      <c r="AI1058" s="4"/>
      <c r="AJ1058" s="4"/>
      <c r="AK1058" s="4"/>
      <c r="AL1058" s="4" t="s">
        <v>174</v>
      </c>
      <c r="AM1058" s="4" t="s">
        <v>205</v>
      </c>
    </row>
    <row r="1059" customFormat="false" ht="23.85" hidden="false" customHeight="false" outlineLevel="0" collapsed="false">
      <c r="A1059" s="4" t="s">
        <v>167</v>
      </c>
      <c r="B1059" s="4" t="s">
        <v>1236</v>
      </c>
      <c r="C1059" s="4" t="s">
        <v>1236</v>
      </c>
      <c r="D1059" s="12" t="n">
        <v>2022</v>
      </c>
      <c r="E1059" s="4"/>
      <c r="F1059" s="4" t="s">
        <v>169</v>
      </c>
      <c r="G1059" s="4" t="s">
        <v>170</v>
      </c>
      <c r="H1059" s="4" t="s">
        <v>171</v>
      </c>
      <c r="I1059" s="4" t="s">
        <v>172</v>
      </c>
      <c r="J1059" s="4" t="s">
        <v>1236</v>
      </c>
      <c r="K1059" s="4" t="s">
        <v>82</v>
      </c>
      <c r="L1059" s="4" t="s">
        <v>83</v>
      </c>
      <c r="M1059" s="4"/>
      <c r="N1059" s="4"/>
      <c r="O1059" s="4"/>
      <c r="P1059" s="4"/>
      <c r="Q1059" s="4"/>
      <c r="R1059" s="4"/>
      <c r="S1059" s="13" t="n">
        <v>0</v>
      </c>
      <c r="T1059" s="4" t="s">
        <v>173</v>
      </c>
      <c r="U1059" s="14" t="n">
        <f aca="false">IF(OR($S1059="",PARAMETROS!$B$4=""),"",$S1059*PARAMETROS!$B$4)</f>
        <v>0</v>
      </c>
      <c r="V1059" s="13" t="n">
        <v>0</v>
      </c>
      <c r="W1059" s="4"/>
      <c r="X1059" s="4"/>
      <c r="Y1059" s="4"/>
      <c r="Z1059" s="4"/>
      <c r="AA1059" s="4"/>
      <c r="AB1059" s="4"/>
      <c r="AC1059" s="4"/>
      <c r="AD1059" s="4"/>
      <c r="AE1059" s="4"/>
      <c r="AF1059" s="4"/>
      <c r="AG1059" s="4"/>
      <c r="AH1059" s="4"/>
      <c r="AI1059" s="4"/>
      <c r="AJ1059" s="4"/>
      <c r="AK1059" s="4"/>
      <c r="AL1059" s="4" t="s">
        <v>174</v>
      </c>
      <c r="AM1059" s="4" t="s">
        <v>205</v>
      </c>
    </row>
    <row r="1060" customFormat="false" ht="23.85" hidden="false" customHeight="false" outlineLevel="0" collapsed="false">
      <c r="A1060" s="4" t="s">
        <v>167</v>
      </c>
      <c r="B1060" s="4" t="s">
        <v>1237</v>
      </c>
      <c r="C1060" s="4" t="s">
        <v>1237</v>
      </c>
      <c r="D1060" s="12" t="n">
        <v>2022</v>
      </c>
      <c r="E1060" s="4"/>
      <c r="F1060" s="4" t="s">
        <v>169</v>
      </c>
      <c r="G1060" s="4" t="s">
        <v>170</v>
      </c>
      <c r="H1060" s="4" t="s">
        <v>171</v>
      </c>
      <c r="I1060" s="4" t="s">
        <v>172</v>
      </c>
      <c r="J1060" s="4" t="s">
        <v>1237</v>
      </c>
      <c r="K1060" s="4" t="s">
        <v>82</v>
      </c>
      <c r="L1060" s="4" t="s">
        <v>83</v>
      </c>
      <c r="M1060" s="4"/>
      <c r="N1060" s="4"/>
      <c r="O1060" s="4"/>
      <c r="P1060" s="4"/>
      <c r="Q1060" s="4"/>
      <c r="R1060" s="4"/>
      <c r="S1060" s="13" t="n">
        <v>0</v>
      </c>
      <c r="T1060" s="4" t="s">
        <v>173</v>
      </c>
      <c r="U1060" s="14" t="n">
        <f aca="false">IF(OR($S1060="",PARAMETROS!$B$4=""),"",$S1060*PARAMETROS!$B$4)</f>
        <v>0</v>
      </c>
      <c r="V1060" s="13" t="n">
        <v>0</v>
      </c>
      <c r="W1060" s="4"/>
      <c r="X1060" s="4"/>
      <c r="Y1060" s="4"/>
      <c r="Z1060" s="4"/>
      <c r="AA1060" s="4"/>
      <c r="AB1060" s="4"/>
      <c r="AC1060" s="4"/>
      <c r="AD1060" s="4"/>
      <c r="AE1060" s="4"/>
      <c r="AF1060" s="4"/>
      <c r="AG1060" s="4"/>
      <c r="AH1060" s="4"/>
      <c r="AI1060" s="4"/>
      <c r="AJ1060" s="4"/>
      <c r="AK1060" s="4"/>
      <c r="AL1060" s="4" t="s">
        <v>174</v>
      </c>
      <c r="AM1060" s="4" t="s">
        <v>205</v>
      </c>
    </row>
    <row r="1061" customFormat="false" ht="23.85" hidden="false" customHeight="false" outlineLevel="0" collapsed="false">
      <c r="A1061" s="4" t="s">
        <v>167</v>
      </c>
      <c r="B1061" s="4" t="s">
        <v>1238</v>
      </c>
      <c r="C1061" s="4" t="s">
        <v>1238</v>
      </c>
      <c r="D1061" s="12" t="n">
        <v>2022</v>
      </c>
      <c r="E1061" s="4"/>
      <c r="F1061" s="4" t="s">
        <v>169</v>
      </c>
      <c r="G1061" s="4" t="s">
        <v>170</v>
      </c>
      <c r="H1061" s="4" t="s">
        <v>171</v>
      </c>
      <c r="I1061" s="4" t="s">
        <v>172</v>
      </c>
      <c r="J1061" s="4" t="s">
        <v>1238</v>
      </c>
      <c r="K1061" s="4" t="s">
        <v>82</v>
      </c>
      <c r="L1061" s="4" t="s">
        <v>83</v>
      </c>
      <c r="M1061" s="4"/>
      <c r="N1061" s="4"/>
      <c r="O1061" s="4"/>
      <c r="P1061" s="4"/>
      <c r="Q1061" s="4"/>
      <c r="R1061" s="4"/>
      <c r="S1061" s="13" t="n">
        <v>0</v>
      </c>
      <c r="T1061" s="4" t="s">
        <v>173</v>
      </c>
      <c r="U1061" s="14" t="n">
        <f aca="false">IF(OR($S1061="",PARAMETROS!$B$4=""),"",$S1061*PARAMETROS!$B$4)</f>
        <v>0</v>
      </c>
      <c r="V1061" s="13" t="n">
        <v>0</v>
      </c>
      <c r="W1061" s="4"/>
      <c r="X1061" s="4"/>
      <c r="Y1061" s="4"/>
      <c r="Z1061" s="4"/>
      <c r="AA1061" s="4"/>
      <c r="AB1061" s="4"/>
      <c r="AC1061" s="4"/>
      <c r="AD1061" s="4"/>
      <c r="AE1061" s="4"/>
      <c r="AF1061" s="4"/>
      <c r="AG1061" s="4"/>
      <c r="AH1061" s="4"/>
      <c r="AI1061" s="4"/>
      <c r="AJ1061" s="4"/>
      <c r="AK1061" s="4"/>
      <c r="AL1061" s="4" t="s">
        <v>174</v>
      </c>
      <c r="AM1061" s="4" t="s">
        <v>205</v>
      </c>
    </row>
    <row r="1062" customFormat="false" ht="23.85" hidden="false" customHeight="false" outlineLevel="0" collapsed="false">
      <c r="A1062" s="4" t="s">
        <v>167</v>
      </c>
      <c r="B1062" s="4" t="s">
        <v>1239</v>
      </c>
      <c r="C1062" s="4" t="s">
        <v>1239</v>
      </c>
      <c r="D1062" s="12" t="n">
        <v>2022</v>
      </c>
      <c r="E1062" s="4"/>
      <c r="F1062" s="4" t="s">
        <v>169</v>
      </c>
      <c r="G1062" s="4" t="s">
        <v>170</v>
      </c>
      <c r="H1062" s="4" t="s">
        <v>171</v>
      </c>
      <c r="I1062" s="4" t="s">
        <v>172</v>
      </c>
      <c r="J1062" s="4" t="s">
        <v>1239</v>
      </c>
      <c r="K1062" s="4" t="s">
        <v>82</v>
      </c>
      <c r="L1062" s="4" t="s">
        <v>83</v>
      </c>
      <c r="M1062" s="4"/>
      <c r="N1062" s="4"/>
      <c r="O1062" s="4"/>
      <c r="P1062" s="4"/>
      <c r="Q1062" s="4"/>
      <c r="R1062" s="4"/>
      <c r="S1062" s="13" t="n">
        <v>0</v>
      </c>
      <c r="T1062" s="4" t="s">
        <v>173</v>
      </c>
      <c r="U1062" s="14" t="n">
        <f aca="false">IF(OR($S1062="",PARAMETROS!$B$4=""),"",$S1062*PARAMETROS!$B$4)</f>
        <v>0</v>
      </c>
      <c r="V1062" s="13" t="n">
        <v>0</v>
      </c>
      <c r="W1062" s="4"/>
      <c r="X1062" s="4"/>
      <c r="Y1062" s="4"/>
      <c r="Z1062" s="4"/>
      <c r="AA1062" s="4"/>
      <c r="AB1062" s="4"/>
      <c r="AC1062" s="4"/>
      <c r="AD1062" s="4"/>
      <c r="AE1062" s="4"/>
      <c r="AF1062" s="4"/>
      <c r="AG1062" s="4"/>
      <c r="AH1062" s="4"/>
      <c r="AI1062" s="4"/>
      <c r="AJ1062" s="4"/>
      <c r="AK1062" s="4"/>
      <c r="AL1062" s="4" t="s">
        <v>174</v>
      </c>
      <c r="AM1062" s="4" t="s">
        <v>205</v>
      </c>
    </row>
    <row r="1063" customFormat="false" ht="23.85" hidden="false" customHeight="false" outlineLevel="0" collapsed="false">
      <c r="A1063" s="4" t="s">
        <v>167</v>
      </c>
      <c r="B1063" s="4" t="s">
        <v>1240</v>
      </c>
      <c r="C1063" s="4" t="s">
        <v>1240</v>
      </c>
      <c r="D1063" s="12" t="n">
        <v>2022</v>
      </c>
      <c r="E1063" s="4"/>
      <c r="F1063" s="4" t="s">
        <v>169</v>
      </c>
      <c r="G1063" s="4" t="s">
        <v>170</v>
      </c>
      <c r="H1063" s="4" t="s">
        <v>171</v>
      </c>
      <c r="I1063" s="4" t="s">
        <v>172</v>
      </c>
      <c r="J1063" s="4" t="s">
        <v>1240</v>
      </c>
      <c r="K1063" s="4" t="s">
        <v>82</v>
      </c>
      <c r="L1063" s="4" t="s">
        <v>83</v>
      </c>
      <c r="M1063" s="4"/>
      <c r="N1063" s="4"/>
      <c r="O1063" s="4"/>
      <c r="P1063" s="4"/>
      <c r="Q1063" s="4"/>
      <c r="R1063" s="4"/>
      <c r="S1063" s="13" t="n">
        <v>0</v>
      </c>
      <c r="T1063" s="4" t="s">
        <v>173</v>
      </c>
      <c r="U1063" s="14" t="n">
        <f aca="false">IF(OR($S1063="",PARAMETROS!$B$4=""),"",$S1063*PARAMETROS!$B$4)</f>
        <v>0</v>
      </c>
      <c r="V1063" s="13" t="n">
        <v>0</v>
      </c>
      <c r="W1063" s="4"/>
      <c r="X1063" s="4"/>
      <c r="Y1063" s="4"/>
      <c r="Z1063" s="4"/>
      <c r="AA1063" s="4"/>
      <c r="AB1063" s="4"/>
      <c r="AC1063" s="4"/>
      <c r="AD1063" s="4"/>
      <c r="AE1063" s="4"/>
      <c r="AF1063" s="4"/>
      <c r="AG1063" s="4"/>
      <c r="AH1063" s="4"/>
      <c r="AI1063" s="4"/>
      <c r="AJ1063" s="4"/>
      <c r="AK1063" s="4"/>
      <c r="AL1063" s="4" t="s">
        <v>174</v>
      </c>
      <c r="AM1063" s="4" t="s">
        <v>205</v>
      </c>
    </row>
    <row r="1064" customFormat="false" ht="23.85" hidden="false" customHeight="false" outlineLevel="0" collapsed="false">
      <c r="A1064" s="4" t="s">
        <v>167</v>
      </c>
      <c r="B1064" s="4" t="s">
        <v>1241</v>
      </c>
      <c r="C1064" s="4" t="s">
        <v>1241</v>
      </c>
      <c r="D1064" s="12" t="n">
        <v>2022</v>
      </c>
      <c r="E1064" s="4"/>
      <c r="F1064" s="4" t="s">
        <v>169</v>
      </c>
      <c r="G1064" s="4" t="s">
        <v>170</v>
      </c>
      <c r="H1064" s="4" t="s">
        <v>171</v>
      </c>
      <c r="I1064" s="4" t="s">
        <v>172</v>
      </c>
      <c r="J1064" s="4" t="s">
        <v>1241</v>
      </c>
      <c r="K1064" s="4" t="s">
        <v>82</v>
      </c>
      <c r="L1064" s="4" t="s">
        <v>83</v>
      </c>
      <c r="M1064" s="4"/>
      <c r="N1064" s="4"/>
      <c r="O1064" s="4"/>
      <c r="P1064" s="4"/>
      <c r="Q1064" s="4"/>
      <c r="R1064" s="4"/>
      <c r="S1064" s="13" t="n">
        <v>0</v>
      </c>
      <c r="T1064" s="4" t="s">
        <v>173</v>
      </c>
      <c r="U1064" s="14" t="n">
        <f aca="false">IF(OR($S1064="",PARAMETROS!$B$4=""),"",$S1064*PARAMETROS!$B$4)</f>
        <v>0</v>
      </c>
      <c r="V1064" s="13" t="n">
        <v>0</v>
      </c>
      <c r="W1064" s="4"/>
      <c r="X1064" s="4"/>
      <c r="Y1064" s="4"/>
      <c r="Z1064" s="4"/>
      <c r="AA1064" s="4"/>
      <c r="AB1064" s="4"/>
      <c r="AC1064" s="4"/>
      <c r="AD1064" s="4"/>
      <c r="AE1064" s="4"/>
      <c r="AF1064" s="4"/>
      <c r="AG1064" s="4"/>
      <c r="AH1064" s="4"/>
      <c r="AI1064" s="4"/>
      <c r="AJ1064" s="4"/>
      <c r="AK1064" s="4"/>
      <c r="AL1064" s="4" t="s">
        <v>174</v>
      </c>
      <c r="AM1064" s="4" t="s">
        <v>205</v>
      </c>
    </row>
    <row r="1065" customFormat="false" ht="23.85" hidden="false" customHeight="false" outlineLevel="0" collapsed="false">
      <c r="A1065" s="4" t="s">
        <v>167</v>
      </c>
      <c r="B1065" s="4" t="s">
        <v>1242</v>
      </c>
      <c r="C1065" s="4" t="s">
        <v>1242</v>
      </c>
      <c r="D1065" s="12" t="n">
        <v>2022</v>
      </c>
      <c r="E1065" s="4"/>
      <c r="F1065" s="4" t="s">
        <v>169</v>
      </c>
      <c r="G1065" s="4" t="s">
        <v>170</v>
      </c>
      <c r="H1065" s="4" t="s">
        <v>171</v>
      </c>
      <c r="I1065" s="4" t="s">
        <v>172</v>
      </c>
      <c r="J1065" s="4" t="s">
        <v>1242</v>
      </c>
      <c r="K1065" s="4" t="s">
        <v>82</v>
      </c>
      <c r="L1065" s="4" t="s">
        <v>83</v>
      </c>
      <c r="M1065" s="4"/>
      <c r="N1065" s="4"/>
      <c r="O1065" s="4"/>
      <c r="P1065" s="4"/>
      <c r="Q1065" s="4"/>
      <c r="R1065" s="4"/>
      <c r="S1065" s="13" t="n">
        <v>0</v>
      </c>
      <c r="T1065" s="4" t="s">
        <v>173</v>
      </c>
      <c r="U1065" s="14" t="n">
        <f aca="false">IF(OR($S1065="",PARAMETROS!$B$4=""),"",$S1065*PARAMETROS!$B$4)</f>
        <v>0</v>
      </c>
      <c r="V1065" s="13" t="n">
        <v>0</v>
      </c>
      <c r="W1065" s="4"/>
      <c r="X1065" s="4"/>
      <c r="Y1065" s="4"/>
      <c r="Z1065" s="4"/>
      <c r="AA1065" s="4"/>
      <c r="AB1065" s="4"/>
      <c r="AC1065" s="4"/>
      <c r="AD1065" s="4"/>
      <c r="AE1065" s="4"/>
      <c r="AF1065" s="4"/>
      <c r="AG1065" s="4"/>
      <c r="AH1065" s="4"/>
      <c r="AI1065" s="4"/>
      <c r="AJ1065" s="4"/>
      <c r="AK1065" s="4"/>
      <c r="AL1065" s="4" t="s">
        <v>174</v>
      </c>
      <c r="AM1065" s="4" t="s">
        <v>205</v>
      </c>
    </row>
    <row r="1066" customFormat="false" ht="23.85" hidden="false" customHeight="false" outlineLevel="0" collapsed="false">
      <c r="A1066" s="4" t="s">
        <v>167</v>
      </c>
      <c r="B1066" s="4" t="s">
        <v>1243</v>
      </c>
      <c r="C1066" s="4" t="s">
        <v>1243</v>
      </c>
      <c r="D1066" s="12" t="n">
        <v>2022</v>
      </c>
      <c r="E1066" s="4"/>
      <c r="F1066" s="4" t="s">
        <v>169</v>
      </c>
      <c r="G1066" s="4" t="s">
        <v>170</v>
      </c>
      <c r="H1066" s="4" t="s">
        <v>171</v>
      </c>
      <c r="I1066" s="4" t="s">
        <v>172</v>
      </c>
      <c r="J1066" s="4" t="s">
        <v>1243</v>
      </c>
      <c r="K1066" s="4" t="s">
        <v>84</v>
      </c>
      <c r="L1066" s="4" t="s">
        <v>85</v>
      </c>
      <c r="M1066" s="4"/>
      <c r="N1066" s="4"/>
      <c r="O1066" s="4"/>
      <c r="P1066" s="4"/>
      <c r="Q1066" s="4"/>
      <c r="R1066" s="4"/>
      <c r="S1066" s="13" t="n">
        <v>5501.23</v>
      </c>
      <c r="T1066" s="4" t="s">
        <v>173</v>
      </c>
      <c r="U1066" s="14" t="n">
        <f aca="false">IF(OR($S1066="",PARAMETROS!$B$4=""),"",$S1066*PARAMETROS!$B$4)</f>
        <v>31962.1463</v>
      </c>
      <c r="V1066" s="13" t="n">
        <v>0</v>
      </c>
      <c r="W1066" s="4"/>
      <c r="X1066" s="4"/>
      <c r="Y1066" s="4"/>
      <c r="Z1066" s="4"/>
      <c r="AA1066" s="4"/>
      <c r="AB1066" s="4"/>
      <c r="AC1066" s="4"/>
      <c r="AD1066" s="4"/>
      <c r="AE1066" s="4"/>
      <c r="AF1066" s="4"/>
      <c r="AG1066" s="4"/>
      <c r="AH1066" s="4"/>
      <c r="AI1066" s="4"/>
      <c r="AJ1066" s="4"/>
      <c r="AK1066" s="4"/>
      <c r="AL1066" s="4" t="s">
        <v>174</v>
      </c>
      <c r="AM1066" s="4" t="s">
        <v>190</v>
      </c>
    </row>
    <row r="1067" customFormat="false" ht="23.85" hidden="false" customHeight="false" outlineLevel="0" collapsed="false">
      <c r="A1067" s="4" t="s">
        <v>167</v>
      </c>
      <c r="B1067" s="4" t="s">
        <v>1244</v>
      </c>
      <c r="C1067" s="4" t="s">
        <v>1244</v>
      </c>
      <c r="D1067" s="12" t="n">
        <v>2022</v>
      </c>
      <c r="E1067" s="4"/>
      <c r="F1067" s="4" t="s">
        <v>169</v>
      </c>
      <c r="G1067" s="4" t="s">
        <v>170</v>
      </c>
      <c r="H1067" s="4" t="s">
        <v>171</v>
      </c>
      <c r="I1067" s="4" t="s">
        <v>172</v>
      </c>
      <c r="J1067" s="4" t="s">
        <v>1244</v>
      </c>
      <c r="K1067" s="4" t="s">
        <v>84</v>
      </c>
      <c r="L1067" s="4" t="s">
        <v>85</v>
      </c>
      <c r="M1067" s="4"/>
      <c r="N1067" s="4"/>
      <c r="O1067" s="4"/>
      <c r="P1067" s="4"/>
      <c r="Q1067" s="4"/>
      <c r="R1067" s="4"/>
      <c r="S1067" s="13" t="n">
        <v>0</v>
      </c>
      <c r="T1067" s="4" t="s">
        <v>173</v>
      </c>
      <c r="U1067" s="14" t="n">
        <f aca="false">IF(OR($S1067="",PARAMETROS!$B$4=""),"",$S1067*PARAMETROS!$B$4)</f>
        <v>0</v>
      </c>
      <c r="V1067" s="13" t="n">
        <v>0</v>
      </c>
      <c r="W1067" s="4"/>
      <c r="X1067" s="4"/>
      <c r="Y1067" s="4"/>
      <c r="Z1067" s="4"/>
      <c r="AA1067" s="4"/>
      <c r="AB1067" s="4"/>
      <c r="AC1067" s="4"/>
      <c r="AD1067" s="4"/>
      <c r="AE1067" s="4"/>
      <c r="AF1067" s="4"/>
      <c r="AG1067" s="4"/>
      <c r="AH1067" s="4"/>
      <c r="AI1067" s="4"/>
      <c r="AJ1067" s="4"/>
      <c r="AK1067" s="4"/>
      <c r="AL1067" s="4" t="s">
        <v>174</v>
      </c>
      <c r="AM1067" s="4" t="s">
        <v>190</v>
      </c>
    </row>
    <row r="1068" customFormat="false" ht="23.85" hidden="false" customHeight="false" outlineLevel="0" collapsed="false">
      <c r="A1068" s="4" t="s">
        <v>167</v>
      </c>
      <c r="B1068" s="4" t="s">
        <v>1245</v>
      </c>
      <c r="C1068" s="4" t="s">
        <v>1245</v>
      </c>
      <c r="D1068" s="12" t="n">
        <v>2022</v>
      </c>
      <c r="E1068" s="4"/>
      <c r="F1068" s="4" t="s">
        <v>169</v>
      </c>
      <c r="G1068" s="4" t="s">
        <v>170</v>
      </c>
      <c r="H1068" s="4" t="s">
        <v>171</v>
      </c>
      <c r="I1068" s="4" t="s">
        <v>172</v>
      </c>
      <c r="J1068" s="4" t="s">
        <v>1245</v>
      </c>
      <c r="K1068" s="4" t="s">
        <v>84</v>
      </c>
      <c r="L1068" s="4" t="s">
        <v>85</v>
      </c>
      <c r="M1068" s="4"/>
      <c r="N1068" s="4"/>
      <c r="O1068" s="4"/>
      <c r="P1068" s="4"/>
      <c r="Q1068" s="4"/>
      <c r="R1068" s="4"/>
      <c r="S1068" s="13" t="n">
        <v>0</v>
      </c>
      <c r="T1068" s="4" t="s">
        <v>173</v>
      </c>
      <c r="U1068" s="14" t="n">
        <f aca="false">IF(OR($S1068="",PARAMETROS!$B$4=""),"",$S1068*PARAMETROS!$B$4)</f>
        <v>0</v>
      </c>
      <c r="V1068" s="13" t="n">
        <v>0</v>
      </c>
      <c r="W1068" s="4"/>
      <c r="X1068" s="4"/>
      <c r="Y1068" s="4"/>
      <c r="Z1068" s="4"/>
      <c r="AA1068" s="4"/>
      <c r="AB1068" s="4"/>
      <c r="AC1068" s="4"/>
      <c r="AD1068" s="4"/>
      <c r="AE1068" s="4"/>
      <c r="AF1068" s="4"/>
      <c r="AG1068" s="4"/>
      <c r="AH1068" s="4"/>
      <c r="AI1068" s="4"/>
      <c r="AJ1068" s="4"/>
      <c r="AK1068" s="4"/>
      <c r="AL1068" s="4" t="s">
        <v>174</v>
      </c>
      <c r="AM1068" s="4" t="s">
        <v>190</v>
      </c>
    </row>
    <row r="1069" customFormat="false" ht="23.85" hidden="false" customHeight="false" outlineLevel="0" collapsed="false">
      <c r="A1069" s="4" t="s">
        <v>167</v>
      </c>
      <c r="B1069" s="4" t="s">
        <v>1246</v>
      </c>
      <c r="C1069" s="4" t="s">
        <v>1246</v>
      </c>
      <c r="D1069" s="12" t="n">
        <v>2022</v>
      </c>
      <c r="E1069" s="4"/>
      <c r="F1069" s="4" t="s">
        <v>169</v>
      </c>
      <c r="G1069" s="4" t="s">
        <v>170</v>
      </c>
      <c r="H1069" s="4" t="s">
        <v>171</v>
      </c>
      <c r="I1069" s="4" t="s">
        <v>172</v>
      </c>
      <c r="J1069" s="4" t="s">
        <v>1246</v>
      </c>
      <c r="K1069" s="4" t="s">
        <v>84</v>
      </c>
      <c r="L1069" s="4" t="s">
        <v>85</v>
      </c>
      <c r="M1069" s="4"/>
      <c r="N1069" s="4"/>
      <c r="O1069" s="4"/>
      <c r="P1069" s="4"/>
      <c r="Q1069" s="4"/>
      <c r="R1069" s="4"/>
      <c r="S1069" s="13" t="n">
        <v>0</v>
      </c>
      <c r="T1069" s="4" t="s">
        <v>173</v>
      </c>
      <c r="U1069" s="14" t="n">
        <f aca="false">IF(OR($S1069="",PARAMETROS!$B$4=""),"",$S1069*PARAMETROS!$B$4)</f>
        <v>0</v>
      </c>
      <c r="V1069" s="13" t="n">
        <v>0</v>
      </c>
      <c r="W1069" s="4"/>
      <c r="X1069" s="4"/>
      <c r="Y1069" s="4"/>
      <c r="Z1069" s="4"/>
      <c r="AA1069" s="4"/>
      <c r="AB1069" s="4"/>
      <c r="AC1069" s="4"/>
      <c r="AD1069" s="4"/>
      <c r="AE1069" s="4"/>
      <c r="AF1069" s="4"/>
      <c r="AG1069" s="4"/>
      <c r="AH1069" s="4"/>
      <c r="AI1069" s="4"/>
      <c r="AJ1069" s="4"/>
      <c r="AK1069" s="4"/>
      <c r="AL1069" s="4" t="s">
        <v>174</v>
      </c>
      <c r="AM1069" s="4" t="s">
        <v>190</v>
      </c>
    </row>
    <row r="1070" customFormat="false" ht="23.85" hidden="false" customHeight="false" outlineLevel="0" collapsed="false">
      <c r="A1070" s="4" t="s">
        <v>167</v>
      </c>
      <c r="B1070" s="4" t="s">
        <v>1247</v>
      </c>
      <c r="C1070" s="4" t="s">
        <v>1247</v>
      </c>
      <c r="D1070" s="12" t="n">
        <v>2022</v>
      </c>
      <c r="E1070" s="4"/>
      <c r="F1070" s="4" t="s">
        <v>169</v>
      </c>
      <c r="G1070" s="4" t="s">
        <v>170</v>
      </c>
      <c r="H1070" s="4" t="s">
        <v>171</v>
      </c>
      <c r="I1070" s="4" t="s">
        <v>172</v>
      </c>
      <c r="J1070" s="4" t="s">
        <v>1247</v>
      </c>
      <c r="K1070" s="4" t="s">
        <v>84</v>
      </c>
      <c r="L1070" s="4" t="s">
        <v>85</v>
      </c>
      <c r="M1070" s="4"/>
      <c r="N1070" s="4"/>
      <c r="O1070" s="4"/>
      <c r="P1070" s="4"/>
      <c r="Q1070" s="4"/>
      <c r="R1070" s="4"/>
      <c r="S1070" s="13" t="n">
        <v>0</v>
      </c>
      <c r="T1070" s="4" t="s">
        <v>173</v>
      </c>
      <c r="U1070" s="14" t="n">
        <f aca="false">IF(OR($S1070="",PARAMETROS!$B$4=""),"",$S1070*PARAMETROS!$B$4)</f>
        <v>0</v>
      </c>
      <c r="V1070" s="13" t="n">
        <v>0</v>
      </c>
      <c r="W1070" s="4"/>
      <c r="X1070" s="4"/>
      <c r="Y1070" s="4"/>
      <c r="Z1070" s="4"/>
      <c r="AA1070" s="4"/>
      <c r="AB1070" s="4"/>
      <c r="AC1070" s="4"/>
      <c r="AD1070" s="4"/>
      <c r="AE1070" s="4"/>
      <c r="AF1070" s="4"/>
      <c r="AG1070" s="4"/>
      <c r="AH1070" s="4"/>
      <c r="AI1070" s="4"/>
      <c r="AJ1070" s="4"/>
      <c r="AK1070" s="4"/>
      <c r="AL1070" s="4" t="s">
        <v>174</v>
      </c>
      <c r="AM1070" s="4" t="s">
        <v>190</v>
      </c>
    </row>
    <row r="1071" customFormat="false" ht="23.85" hidden="false" customHeight="false" outlineLevel="0" collapsed="false">
      <c r="A1071" s="4" t="s">
        <v>167</v>
      </c>
      <c r="B1071" s="4" t="s">
        <v>1248</v>
      </c>
      <c r="C1071" s="4" t="s">
        <v>1248</v>
      </c>
      <c r="D1071" s="12" t="n">
        <v>2022</v>
      </c>
      <c r="E1071" s="4"/>
      <c r="F1071" s="4" t="s">
        <v>169</v>
      </c>
      <c r="G1071" s="4" t="s">
        <v>170</v>
      </c>
      <c r="H1071" s="4" t="s">
        <v>171</v>
      </c>
      <c r="I1071" s="4" t="s">
        <v>172</v>
      </c>
      <c r="J1071" s="4" t="s">
        <v>1248</v>
      </c>
      <c r="K1071" s="4" t="s">
        <v>84</v>
      </c>
      <c r="L1071" s="4" t="s">
        <v>85</v>
      </c>
      <c r="M1071" s="4"/>
      <c r="N1071" s="4"/>
      <c r="O1071" s="4"/>
      <c r="P1071" s="4"/>
      <c r="Q1071" s="4"/>
      <c r="R1071" s="4"/>
      <c r="S1071" s="13" t="n">
        <v>-5481.24</v>
      </c>
      <c r="T1071" s="4" t="s">
        <v>173</v>
      </c>
      <c r="U1071" s="14" t="n">
        <f aca="false">IF(OR($S1071="",PARAMETROS!$B$4=""),"",$S1071*PARAMETROS!$B$4)</f>
        <v>-31846.0044</v>
      </c>
      <c r="V1071" s="13" t="n">
        <v>0</v>
      </c>
      <c r="W1071" s="4"/>
      <c r="X1071" s="4"/>
      <c r="Y1071" s="4"/>
      <c r="Z1071" s="4"/>
      <c r="AA1071" s="4"/>
      <c r="AB1071" s="4"/>
      <c r="AC1071" s="4"/>
      <c r="AD1071" s="4"/>
      <c r="AE1071" s="4"/>
      <c r="AF1071" s="4"/>
      <c r="AG1071" s="4"/>
      <c r="AH1071" s="4"/>
      <c r="AI1071" s="4"/>
      <c r="AJ1071" s="4"/>
      <c r="AK1071" s="4"/>
      <c r="AL1071" s="4" t="s">
        <v>174</v>
      </c>
      <c r="AM1071" s="4" t="s">
        <v>190</v>
      </c>
    </row>
    <row r="1072" customFormat="false" ht="23.85" hidden="false" customHeight="false" outlineLevel="0" collapsed="false">
      <c r="A1072" s="4" t="s">
        <v>167</v>
      </c>
      <c r="B1072" s="4" t="s">
        <v>1249</v>
      </c>
      <c r="C1072" s="4" t="s">
        <v>1249</v>
      </c>
      <c r="D1072" s="12" t="n">
        <v>2022</v>
      </c>
      <c r="E1072" s="4"/>
      <c r="F1072" s="4" t="s">
        <v>169</v>
      </c>
      <c r="G1072" s="4" t="s">
        <v>170</v>
      </c>
      <c r="H1072" s="4" t="s">
        <v>171</v>
      </c>
      <c r="I1072" s="4" t="s">
        <v>172</v>
      </c>
      <c r="J1072" s="4" t="s">
        <v>1249</v>
      </c>
      <c r="K1072" s="4" t="s">
        <v>84</v>
      </c>
      <c r="L1072" s="4" t="s">
        <v>85</v>
      </c>
      <c r="M1072" s="4"/>
      <c r="N1072" s="4"/>
      <c r="O1072" s="4"/>
      <c r="P1072" s="4"/>
      <c r="Q1072" s="4"/>
      <c r="R1072" s="4"/>
      <c r="S1072" s="13" t="n">
        <v>-19.99</v>
      </c>
      <c r="T1072" s="4" t="s">
        <v>173</v>
      </c>
      <c r="U1072" s="14" t="n">
        <f aca="false">IF(OR($S1072="",PARAMETROS!$B$4=""),"",$S1072*PARAMETROS!$B$4)</f>
        <v>-116.1419</v>
      </c>
      <c r="V1072" s="13" t="n">
        <v>0</v>
      </c>
      <c r="W1072" s="4"/>
      <c r="X1072" s="4"/>
      <c r="Y1072" s="4"/>
      <c r="Z1072" s="4"/>
      <c r="AA1072" s="4"/>
      <c r="AB1072" s="4"/>
      <c r="AC1072" s="4"/>
      <c r="AD1072" s="4"/>
      <c r="AE1072" s="4"/>
      <c r="AF1072" s="4"/>
      <c r="AG1072" s="4"/>
      <c r="AH1072" s="4"/>
      <c r="AI1072" s="4"/>
      <c r="AJ1072" s="4"/>
      <c r="AK1072" s="4"/>
      <c r="AL1072" s="4" t="s">
        <v>174</v>
      </c>
      <c r="AM1072" s="4" t="s">
        <v>190</v>
      </c>
    </row>
    <row r="1073" customFormat="false" ht="23.85" hidden="false" customHeight="false" outlineLevel="0" collapsed="false">
      <c r="A1073" s="4" t="s">
        <v>167</v>
      </c>
      <c r="B1073" s="4" t="s">
        <v>1250</v>
      </c>
      <c r="C1073" s="4" t="s">
        <v>1250</v>
      </c>
      <c r="D1073" s="12" t="n">
        <v>2022</v>
      </c>
      <c r="E1073" s="4"/>
      <c r="F1073" s="4" t="s">
        <v>169</v>
      </c>
      <c r="G1073" s="4" t="s">
        <v>170</v>
      </c>
      <c r="H1073" s="4" t="s">
        <v>171</v>
      </c>
      <c r="I1073" s="4" t="s">
        <v>172</v>
      </c>
      <c r="J1073" s="4" t="s">
        <v>1250</v>
      </c>
      <c r="K1073" s="4" t="s">
        <v>84</v>
      </c>
      <c r="L1073" s="4" t="s">
        <v>85</v>
      </c>
      <c r="M1073" s="4"/>
      <c r="N1073" s="4"/>
      <c r="O1073" s="4"/>
      <c r="P1073" s="4"/>
      <c r="Q1073" s="4"/>
      <c r="R1073" s="4"/>
      <c r="S1073" s="13" t="n">
        <v>0</v>
      </c>
      <c r="T1073" s="4" t="s">
        <v>173</v>
      </c>
      <c r="U1073" s="14" t="n">
        <f aca="false">IF(OR($S1073="",PARAMETROS!$B$4=""),"",$S1073*PARAMETROS!$B$4)</f>
        <v>0</v>
      </c>
      <c r="V1073" s="13" t="n">
        <v>0</v>
      </c>
      <c r="W1073" s="4"/>
      <c r="X1073" s="4"/>
      <c r="Y1073" s="4"/>
      <c r="Z1073" s="4"/>
      <c r="AA1073" s="4"/>
      <c r="AB1073" s="4"/>
      <c r="AC1073" s="4"/>
      <c r="AD1073" s="4"/>
      <c r="AE1073" s="4"/>
      <c r="AF1073" s="4"/>
      <c r="AG1073" s="4"/>
      <c r="AH1073" s="4"/>
      <c r="AI1073" s="4"/>
      <c r="AJ1073" s="4"/>
      <c r="AK1073" s="4"/>
      <c r="AL1073" s="4" t="s">
        <v>174</v>
      </c>
      <c r="AM1073" s="4" t="s">
        <v>190</v>
      </c>
    </row>
    <row r="1074" customFormat="false" ht="23.85" hidden="false" customHeight="false" outlineLevel="0" collapsed="false">
      <c r="A1074" s="4" t="s">
        <v>167</v>
      </c>
      <c r="B1074" s="4" t="s">
        <v>1251</v>
      </c>
      <c r="C1074" s="4" t="s">
        <v>1251</v>
      </c>
      <c r="D1074" s="12" t="n">
        <v>2022</v>
      </c>
      <c r="E1074" s="4"/>
      <c r="F1074" s="4" t="s">
        <v>169</v>
      </c>
      <c r="G1074" s="4" t="s">
        <v>170</v>
      </c>
      <c r="H1074" s="4" t="s">
        <v>171</v>
      </c>
      <c r="I1074" s="4" t="s">
        <v>172</v>
      </c>
      <c r="J1074" s="4" t="s">
        <v>1251</v>
      </c>
      <c r="K1074" s="4" t="s">
        <v>84</v>
      </c>
      <c r="L1074" s="4" t="s">
        <v>85</v>
      </c>
      <c r="M1074" s="4"/>
      <c r="N1074" s="4"/>
      <c r="O1074" s="4"/>
      <c r="P1074" s="4"/>
      <c r="Q1074" s="4"/>
      <c r="R1074" s="4"/>
      <c r="S1074" s="13" t="n">
        <v>0</v>
      </c>
      <c r="T1074" s="4" t="s">
        <v>173</v>
      </c>
      <c r="U1074" s="14" t="n">
        <f aca="false">IF(OR($S1074="",PARAMETROS!$B$4=""),"",$S1074*PARAMETROS!$B$4)</f>
        <v>0</v>
      </c>
      <c r="V1074" s="13" t="n">
        <v>0</v>
      </c>
      <c r="W1074" s="4"/>
      <c r="X1074" s="4"/>
      <c r="Y1074" s="4"/>
      <c r="Z1074" s="4"/>
      <c r="AA1074" s="4"/>
      <c r="AB1074" s="4"/>
      <c r="AC1074" s="4"/>
      <c r="AD1074" s="4"/>
      <c r="AE1074" s="4"/>
      <c r="AF1074" s="4"/>
      <c r="AG1074" s="4"/>
      <c r="AH1074" s="4"/>
      <c r="AI1074" s="4"/>
      <c r="AJ1074" s="4"/>
      <c r="AK1074" s="4"/>
      <c r="AL1074" s="4" t="s">
        <v>174</v>
      </c>
      <c r="AM1074" s="4" t="s">
        <v>190</v>
      </c>
    </row>
    <row r="1075" customFormat="false" ht="23.85" hidden="false" customHeight="false" outlineLevel="0" collapsed="false">
      <c r="A1075" s="4" t="s">
        <v>167</v>
      </c>
      <c r="B1075" s="4" t="s">
        <v>1252</v>
      </c>
      <c r="C1075" s="4" t="s">
        <v>1252</v>
      </c>
      <c r="D1075" s="12" t="n">
        <v>2022</v>
      </c>
      <c r="E1075" s="4"/>
      <c r="F1075" s="4" t="s">
        <v>169</v>
      </c>
      <c r="G1075" s="4" t="s">
        <v>170</v>
      </c>
      <c r="H1075" s="4" t="s">
        <v>171</v>
      </c>
      <c r="I1075" s="4" t="s">
        <v>172</v>
      </c>
      <c r="J1075" s="4" t="s">
        <v>1252</v>
      </c>
      <c r="K1075" s="4" t="s">
        <v>84</v>
      </c>
      <c r="L1075" s="4" t="s">
        <v>85</v>
      </c>
      <c r="M1075" s="4"/>
      <c r="N1075" s="4"/>
      <c r="O1075" s="4"/>
      <c r="P1075" s="4"/>
      <c r="Q1075" s="4"/>
      <c r="R1075" s="4"/>
      <c r="S1075" s="13" t="n">
        <v>0</v>
      </c>
      <c r="T1075" s="4" t="s">
        <v>173</v>
      </c>
      <c r="U1075" s="14" t="n">
        <f aca="false">IF(OR($S1075="",PARAMETROS!$B$4=""),"",$S1075*PARAMETROS!$B$4)</f>
        <v>0</v>
      </c>
      <c r="V1075" s="13" t="n">
        <v>0</v>
      </c>
      <c r="W1075" s="4"/>
      <c r="X1075" s="4"/>
      <c r="Y1075" s="4"/>
      <c r="Z1075" s="4"/>
      <c r="AA1075" s="4"/>
      <c r="AB1075" s="4"/>
      <c r="AC1075" s="4"/>
      <c r="AD1075" s="4"/>
      <c r="AE1075" s="4"/>
      <c r="AF1075" s="4"/>
      <c r="AG1075" s="4"/>
      <c r="AH1075" s="4"/>
      <c r="AI1075" s="4"/>
      <c r="AJ1075" s="4"/>
      <c r="AK1075" s="4"/>
      <c r="AL1075" s="4" t="s">
        <v>174</v>
      </c>
      <c r="AM1075" s="4" t="s">
        <v>190</v>
      </c>
    </row>
    <row r="1076" customFormat="false" ht="23.85" hidden="false" customHeight="false" outlineLevel="0" collapsed="false">
      <c r="A1076" s="4" t="s">
        <v>167</v>
      </c>
      <c r="B1076" s="4" t="s">
        <v>1253</v>
      </c>
      <c r="C1076" s="4" t="s">
        <v>1253</v>
      </c>
      <c r="D1076" s="12" t="n">
        <v>2022</v>
      </c>
      <c r="E1076" s="4"/>
      <c r="F1076" s="4" t="s">
        <v>169</v>
      </c>
      <c r="G1076" s="4" t="s">
        <v>170</v>
      </c>
      <c r="H1076" s="4" t="s">
        <v>171</v>
      </c>
      <c r="I1076" s="4" t="s">
        <v>172</v>
      </c>
      <c r="J1076" s="4" t="s">
        <v>1253</v>
      </c>
      <c r="K1076" s="4" t="s">
        <v>84</v>
      </c>
      <c r="L1076" s="4" t="s">
        <v>85</v>
      </c>
      <c r="M1076" s="4"/>
      <c r="N1076" s="4"/>
      <c r="O1076" s="4"/>
      <c r="P1076" s="4"/>
      <c r="Q1076" s="4"/>
      <c r="R1076" s="4"/>
      <c r="S1076" s="13" t="n">
        <v>0</v>
      </c>
      <c r="T1076" s="4" t="s">
        <v>173</v>
      </c>
      <c r="U1076" s="14" t="n">
        <f aca="false">IF(OR($S1076="",PARAMETROS!$B$4=""),"",$S1076*PARAMETROS!$B$4)</f>
        <v>0</v>
      </c>
      <c r="V1076" s="13" t="n">
        <v>0</v>
      </c>
      <c r="W1076" s="4"/>
      <c r="X1076" s="4"/>
      <c r="Y1076" s="4"/>
      <c r="Z1076" s="4"/>
      <c r="AA1076" s="4"/>
      <c r="AB1076" s="4"/>
      <c r="AC1076" s="4"/>
      <c r="AD1076" s="4"/>
      <c r="AE1076" s="4"/>
      <c r="AF1076" s="4"/>
      <c r="AG1076" s="4"/>
      <c r="AH1076" s="4"/>
      <c r="AI1076" s="4"/>
      <c r="AJ1076" s="4"/>
      <c r="AK1076" s="4"/>
      <c r="AL1076" s="4" t="s">
        <v>174</v>
      </c>
      <c r="AM1076" s="4" t="s">
        <v>190</v>
      </c>
    </row>
    <row r="1077" customFormat="false" ht="23.85" hidden="false" customHeight="false" outlineLevel="0" collapsed="false">
      <c r="A1077" s="4" t="s">
        <v>167</v>
      </c>
      <c r="B1077" s="4" t="s">
        <v>1254</v>
      </c>
      <c r="C1077" s="4" t="s">
        <v>1254</v>
      </c>
      <c r="D1077" s="12" t="n">
        <v>2022</v>
      </c>
      <c r="E1077" s="4"/>
      <c r="F1077" s="4" t="s">
        <v>169</v>
      </c>
      <c r="G1077" s="4" t="s">
        <v>170</v>
      </c>
      <c r="H1077" s="4" t="s">
        <v>171</v>
      </c>
      <c r="I1077" s="4" t="s">
        <v>172</v>
      </c>
      <c r="J1077" s="4" t="s">
        <v>1254</v>
      </c>
      <c r="K1077" s="4" t="s">
        <v>84</v>
      </c>
      <c r="L1077" s="4" t="s">
        <v>85</v>
      </c>
      <c r="M1077" s="4"/>
      <c r="N1077" s="4"/>
      <c r="O1077" s="4"/>
      <c r="P1077" s="4"/>
      <c r="Q1077" s="4"/>
      <c r="R1077" s="4"/>
      <c r="S1077" s="13" t="n">
        <v>0</v>
      </c>
      <c r="T1077" s="4" t="s">
        <v>173</v>
      </c>
      <c r="U1077" s="14" t="n">
        <f aca="false">IF(OR($S1077="",PARAMETROS!$B$4=""),"",$S1077*PARAMETROS!$B$4)</f>
        <v>0</v>
      </c>
      <c r="V1077" s="13" t="n">
        <v>0</v>
      </c>
      <c r="W1077" s="4"/>
      <c r="X1077" s="4"/>
      <c r="Y1077" s="4"/>
      <c r="Z1077" s="4"/>
      <c r="AA1077" s="4"/>
      <c r="AB1077" s="4"/>
      <c r="AC1077" s="4"/>
      <c r="AD1077" s="4"/>
      <c r="AE1077" s="4"/>
      <c r="AF1077" s="4"/>
      <c r="AG1077" s="4"/>
      <c r="AH1077" s="4"/>
      <c r="AI1077" s="4"/>
      <c r="AJ1077" s="4"/>
      <c r="AK1077" s="4"/>
      <c r="AL1077" s="4" t="s">
        <v>174</v>
      </c>
      <c r="AM1077" s="4" t="s">
        <v>190</v>
      </c>
    </row>
    <row r="1078" customFormat="false" ht="23.85" hidden="false" customHeight="false" outlineLevel="0" collapsed="false">
      <c r="A1078" s="4" t="s">
        <v>167</v>
      </c>
      <c r="B1078" s="4" t="s">
        <v>1255</v>
      </c>
      <c r="C1078" s="4" t="s">
        <v>1255</v>
      </c>
      <c r="D1078" s="12" t="n">
        <v>2022</v>
      </c>
      <c r="E1078" s="4"/>
      <c r="F1078" s="4" t="s">
        <v>169</v>
      </c>
      <c r="G1078" s="4" t="s">
        <v>170</v>
      </c>
      <c r="H1078" s="4" t="s">
        <v>171</v>
      </c>
      <c r="I1078" s="4" t="s">
        <v>172</v>
      </c>
      <c r="J1078" s="4" t="s">
        <v>1255</v>
      </c>
      <c r="K1078" s="4" t="s">
        <v>84</v>
      </c>
      <c r="L1078" s="4" t="s">
        <v>85</v>
      </c>
      <c r="M1078" s="4"/>
      <c r="N1078" s="4"/>
      <c r="O1078" s="4"/>
      <c r="P1078" s="4"/>
      <c r="Q1078" s="4"/>
      <c r="R1078" s="4"/>
      <c r="S1078" s="13" t="n">
        <v>0</v>
      </c>
      <c r="T1078" s="4" t="s">
        <v>173</v>
      </c>
      <c r="U1078" s="14" t="n">
        <f aca="false">IF(OR($S1078="",PARAMETROS!$B$4=""),"",$S1078*PARAMETROS!$B$4)</f>
        <v>0</v>
      </c>
      <c r="V1078" s="13" t="n">
        <v>0</v>
      </c>
      <c r="W1078" s="4"/>
      <c r="X1078" s="4"/>
      <c r="Y1078" s="4"/>
      <c r="Z1078" s="4"/>
      <c r="AA1078" s="4"/>
      <c r="AB1078" s="4"/>
      <c r="AC1078" s="4"/>
      <c r="AD1078" s="4"/>
      <c r="AE1078" s="4"/>
      <c r="AF1078" s="4"/>
      <c r="AG1078" s="4"/>
      <c r="AH1078" s="4"/>
      <c r="AI1078" s="4"/>
      <c r="AJ1078" s="4"/>
      <c r="AK1078" s="4"/>
      <c r="AL1078" s="4" t="s">
        <v>174</v>
      </c>
      <c r="AM1078" s="4" t="s">
        <v>190</v>
      </c>
    </row>
    <row r="1079" customFormat="false" ht="23.85" hidden="false" customHeight="false" outlineLevel="0" collapsed="false">
      <c r="A1079" s="4" t="s">
        <v>167</v>
      </c>
      <c r="B1079" s="4" t="s">
        <v>1256</v>
      </c>
      <c r="C1079" s="4" t="s">
        <v>1256</v>
      </c>
      <c r="D1079" s="12" t="n">
        <v>2022</v>
      </c>
      <c r="E1079" s="4"/>
      <c r="F1079" s="4" t="s">
        <v>169</v>
      </c>
      <c r="G1079" s="4" t="s">
        <v>170</v>
      </c>
      <c r="H1079" s="4" t="s">
        <v>171</v>
      </c>
      <c r="I1079" s="4" t="s">
        <v>172</v>
      </c>
      <c r="J1079" s="4" t="s">
        <v>1256</v>
      </c>
      <c r="K1079" s="4" t="s">
        <v>84</v>
      </c>
      <c r="L1079" s="4" t="s">
        <v>85</v>
      </c>
      <c r="M1079" s="4"/>
      <c r="N1079" s="4"/>
      <c r="O1079" s="4"/>
      <c r="P1079" s="4"/>
      <c r="Q1079" s="4"/>
      <c r="R1079" s="4"/>
      <c r="S1079" s="13" t="n">
        <v>0</v>
      </c>
      <c r="T1079" s="4" t="s">
        <v>173</v>
      </c>
      <c r="U1079" s="14" t="n">
        <f aca="false">IF(OR($S1079="",PARAMETROS!$B$4=""),"",$S1079*PARAMETROS!$B$4)</f>
        <v>0</v>
      </c>
      <c r="V1079" s="13" t="n">
        <v>0</v>
      </c>
      <c r="W1079" s="4"/>
      <c r="X1079" s="4"/>
      <c r="Y1079" s="4"/>
      <c r="Z1079" s="4"/>
      <c r="AA1079" s="4"/>
      <c r="AB1079" s="4"/>
      <c r="AC1079" s="4"/>
      <c r="AD1079" s="4"/>
      <c r="AE1079" s="4"/>
      <c r="AF1079" s="4"/>
      <c r="AG1079" s="4"/>
      <c r="AH1079" s="4"/>
      <c r="AI1079" s="4"/>
      <c r="AJ1079" s="4"/>
      <c r="AK1079" s="4"/>
      <c r="AL1079" s="4" t="s">
        <v>174</v>
      </c>
      <c r="AM1079" s="4" t="s">
        <v>190</v>
      </c>
    </row>
    <row r="1080" customFormat="false" ht="23.85" hidden="false" customHeight="false" outlineLevel="0" collapsed="false">
      <c r="A1080" s="4" t="s">
        <v>167</v>
      </c>
      <c r="B1080" s="4" t="s">
        <v>1257</v>
      </c>
      <c r="C1080" s="4" t="s">
        <v>1257</v>
      </c>
      <c r="D1080" s="12" t="n">
        <v>2022</v>
      </c>
      <c r="E1080" s="4"/>
      <c r="F1080" s="4" t="s">
        <v>169</v>
      </c>
      <c r="G1080" s="4" t="s">
        <v>170</v>
      </c>
      <c r="H1080" s="4" t="s">
        <v>171</v>
      </c>
      <c r="I1080" s="4" t="s">
        <v>172</v>
      </c>
      <c r="J1080" s="4" t="s">
        <v>1257</v>
      </c>
      <c r="K1080" s="4" t="s">
        <v>109</v>
      </c>
      <c r="L1080" s="4" t="s">
        <v>110</v>
      </c>
      <c r="M1080" s="4"/>
      <c r="N1080" s="4"/>
      <c r="O1080" s="4"/>
      <c r="P1080" s="4"/>
      <c r="Q1080" s="4"/>
      <c r="R1080" s="4"/>
      <c r="S1080" s="13" t="n">
        <v>55567.28</v>
      </c>
      <c r="T1080" s="4" t="s">
        <v>173</v>
      </c>
      <c r="U1080" s="14" t="n">
        <f aca="false">IF(OR($S1080="",PARAMETROS!$B$4=""),"",$S1080*PARAMETROS!$B$4)</f>
        <v>322845.8968</v>
      </c>
      <c r="V1080" s="13" t="n">
        <v>0</v>
      </c>
      <c r="W1080" s="4"/>
      <c r="X1080" s="4"/>
      <c r="Y1080" s="4"/>
      <c r="Z1080" s="4"/>
      <c r="AA1080" s="4"/>
      <c r="AB1080" s="4"/>
      <c r="AC1080" s="4"/>
      <c r="AD1080" s="4"/>
      <c r="AE1080" s="4"/>
      <c r="AF1080" s="4"/>
      <c r="AG1080" s="4"/>
      <c r="AH1080" s="4"/>
      <c r="AI1080" s="4"/>
      <c r="AJ1080" s="4"/>
      <c r="AK1080" s="4"/>
      <c r="AL1080" s="4" t="s">
        <v>174</v>
      </c>
      <c r="AM1080" s="4" t="s">
        <v>175</v>
      </c>
    </row>
    <row r="1081" customFormat="false" ht="23.85" hidden="false" customHeight="false" outlineLevel="0" collapsed="false">
      <c r="A1081" s="4" t="s">
        <v>167</v>
      </c>
      <c r="B1081" s="4" t="s">
        <v>1258</v>
      </c>
      <c r="C1081" s="4" t="s">
        <v>1258</v>
      </c>
      <c r="D1081" s="12" t="n">
        <v>2022</v>
      </c>
      <c r="E1081" s="4"/>
      <c r="F1081" s="4" t="s">
        <v>169</v>
      </c>
      <c r="G1081" s="4" t="s">
        <v>170</v>
      </c>
      <c r="H1081" s="4" t="s">
        <v>171</v>
      </c>
      <c r="I1081" s="4" t="s">
        <v>172</v>
      </c>
      <c r="J1081" s="4" t="s">
        <v>1258</v>
      </c>
      <c r="K1081" s="4" t="s">
        <v>109</v>
      </c>
      <c r="L1081" s="4" t="s">
        <v>110</v>
      </c>
      <c r="M1081" s="4"/>
      <c r="N1081" s="4"/>
      <c r="O1081" s="4"/>
      <c r="P1081" s="4"/>
      <c r="Q1081" s="4"/>
      <c r="R1081" s="4"/>
      <c r="S1081" s="13" t="n">
        <v>0</v>
      </c>
      <c r="T1081" s="4" t="s">
        <v>173</v>
      </c>
      <c r="U1081" s="14" t="n">
        <f aca="false">IF(OR($S1081="",PARAMETROS!$B$4=""),"",$S1081*PARAMETROS!$B$4)</f>
        <v>0</v>
      </c>
      <c r="V1081" s="13" t="n">
        <v>0</v>
      </c>
      <c r="W1081" s="4"/>
      <c r="X1081" s="4"/>
      <c r="Y1081" s="4"/>
      <c r="Z1081" s="4"/>
      <c r="AA1081" s="4"/>
      <c r="AB1081" s="4"/>
      <c r="AC1081" s="4"/>
      <c r="AD1081" s="4"/>
      <c r="AE1081" s="4"/>
      <c r="AF1081" s="4"/>
      <c r="AG1081" s="4"/>
      <c r="AH1081" s="4"/>
      <c r="AI1081" s="4"/>
      <c r="AJ1081" s="4"/>
      <c r="AK1081" s="4"/>
      <c r="AL1081" s="4" t="s">
        <v>174</v>
      </c>
      <c r="AM1081" s="4" t="s">
        <v>175</v>
      </c>
    </row>
    <row r="1082" customFormat="false" ht="23.85" hidden="false" customHeight="false" outlineLevel="0" collapsed="false">
      <c r="A1082" s="4" t="s">
        <v>167</v>
      </c>
      <c r="B1082" s="4" t="s">
        <v>1259</v>
      </c>
      <c r="C1082" s="4" t="s">
        <v>1259</v>
      </c>
      <c r="D1082" s="12" t="n">
        <v>2022</v>
      </c>
      <c r="E1082" s="4"/>
      <c r="F1082" s="4" t="s">
        <v>169</v>
      </c>
      <c r="G1082" s="4" t="s">
        <v>170</v>
      </c>
      <c r="H1082" s="4" t="s">
        <v>171</v>
      </c>
      <c r="I1082" s="4" t="s">
        <v>172</v>
      </c>
      <c r="J1082" s="4" t="s">
        <v>1259</v>
      </c>
      <c r="K1082" s="4" t="s">
        <v>109</v>
      </c>
      <c r="L1082" s="4" t="s">
        <v>110</v>
      </c>
      <c r="M1082" s="4"/>
      <c r="N1082" s="4"/>
      <c r="O1082" s="4"/>
      <c r="P1082" s="4"/>
      <c r="Q1082" s="4"/>
      <c r="R1082" s="4"/>
      <c r="S1082" s="13" t="n">
        <v>0</v>
      </c>
      <c r="T1082" s="4" t="s">
        <v>173</v>
      </c>
      <c r="U1082" s="14" t="n">
        <f aca="false">IF(OR($S1082="",PARAMETROS!$B$4=""),"",$S1082*PARAMETROS!$B$4)</f>
        <v>0</v>
      </c>
      <c r="V1082" s="13" t="n">
        <v>0</v>
      </c>
      <c r="W1082" s="4"/>
      <c r="X1082" s="4"/>
      <c r="Y1082" s="4"/>
      <c r="Z1082" s="4"/>
      <c r="AA1082" s="4"/>
      <c r="AB1082" s="4"/>
      <c r="AC1082" s="4"/>
      <c r="AD1082" s="4"/>
      <c r="AE1082" s="4"/>
      <c r="AF1082" s="4"/>
      <c r="AG1082" s="4"/>
      <c r="AH1082" s="4"/>
      <c r="AI1082" s="4"/>
      <c r="AJ1082" s="4"/>
      <c r="AK1082" s="4"/>
      <c r="AL1082" s="4" t="s">
        <v>174</v>
      </c>
      <c r="AM1082" s="4" t="s">
        <v>175</v>
      </c>
    </row>
    <row r="1083" customFormat="false" ht="23.85" hidden="false" customHeight="false" outlineLevel="0" collapsed="false">
      <c r="A1083" s="4" t="s">
        <v>167</v>
      </c>
      <c r="B1083" s="4" t="s">
        <v>1260</v>
      </c>
      <c r="C1083" s="4" t="s">
        <v>1260</v>
      </c>
      <c r="D1083" s="12" t="n">
        <v>2022</v>
      </c>
      <c r="E1083" s="4"/>
      <c r="F1083" s="4" t="s">
        <v>169</v>
      </c>
      <c r="G1083" s="4" t="s">
        <v>170</v>
      </c>
      <c r="H1083" s="4" t="s">
        <v>171</v>
      </c>
      <c r="I1083" s="4" t="s">
        <v>172</v>
      </c>
      <c r="J1083" s="4" t="s">
        <v>1260</v>
      </c>
      <c r="K1083" s="4" t="s">
        <v>109</v>
      </c>
      <c r="L1083" s="4" t="s">
        <v>110</v>
      </c>
      <c r="M1083" s="4"/>
      <c r="N1083" s="4"/>
      <c r="O1083" s="4"/>
      <c r="P1083" s="4"/>
      <c r="Q1083" s="4"/>
      <c r="R1083" s="4"/>
      <c r="S1083" s="13" t="n">
        <v>0</v>
      </c>
      <c r="T1083" s="4" t="s">
        <v>173</v>
      </c>
      <c r="U1083" s="14" t="n">
        <f aca="false">IF(OR($S1083="",PARAMETROS!$B$4=""),"",$S1083*PARAMETROS!$B$4)</f>
        <v>0</v>
      </c>
      <c r="V1083" s="13" t="n">
        <v>0</v>
      </c>
      <c r="W1083" s="4"/>
      <c r="X1083" s="4"/>
      <c r="Y1083" s="4"/>
      <c r="Z1083" s="4"/>
      <c r="AA1083" s="4"/>
      <c r="AB1083" s="4"/>
      <c r="AC1083" s="4"/>
      <c r="AD1083" s="4"/>
      <c r="AE1083" s="4"/>
      <c r="AF1083" s="4"/>
      <c r="AG1083" s="4"/>
      <c r="AH1083" s="4"/>
      <c r="AI1083" s="4"/>
      <c r="AJ1083" s="4"/>
      <c r="AK1083" s="4"/>
      <c r="AL1083" s="4" t="s">
        <v>174</v>
      </c>
      <c r="AM1083" s="4" t="s">
        <v>175</v>
      </c>
    </row>
    <row r="1084" customFormat="false" ht="23.85" hidden="false" customHeight="false" outlineLevel="0" collapsed="false">
      <c r="A1084" s="4" t="s">
        <v>167</v>
      </c>
      <c r="B1084" s="4" t="s">
        <v>1261</v>
      </c>
      <c r="C1084" s="4" t="s">
        <v>1261</v>
      </c>
      <c r="D1084" s="12" t="n">
        <v>2022</v>
      </c>
      <c r="E1084" s="4"/>
      <c r="F1084" s="4" t="s">
        <v>169</v>
      </c>
      <c r="G1084" s="4" t="s">
        <v>170</v>
      </c>
      <c r="H1084" s="4" t="s">
        <v>171</v>
      </c>
      <c r="I1084" s="4" t="s">
        <v>172</v>
      </c>
      <c r="J1084" s="4" t="s">
        <v>1261</v>
      </c>
      <c r="K1084" s="4" t="s">
        <v>109</v>
      </c>
      <c r="L1084" s="4" t="s">
        <v>110</v>
      </c>
      <c r="M1084" s="4"/>
      <c r="N1084" s="4"/>
      <c r="O1084" s="4"/>
      <c r="P1084" s="4"/>
      <c r="Q1084" s="4"/>
      <c r="R1084" s="4"/>
      <c r="S1084" s="13" t="n">
        <v>0</v>
      </c>
      <c r="T1084" s="4" t="s">
        <v>173</v>
      </c>
      <c r="U1084" s="14" t="n">
        <f aca="false">IF(OR($S1084="",PARAMETROS!$B$4=""),"",$S1084*PARAMETROS!$B$4)</f>
        <v>0</v>
      </c>
      <c r="V1084" s="13" t="n">
        <v>0</v>
      </c>
      <c r="W1084" s="4"/>
      <c r="X1084" s="4"/>
      <c r="Y1084" s="4"/>
      <c r="Z1084" s="4"/>
      <c r="AA1084" s="4"/>
      <c r="AB1084" s="4"/>
      <c r="AC1084" s="4"/>
      <c r="AD1084" s="4"/>
      <c r="AE1084" s="4"/>
      <c r="AF1084" s="4"/>
      <c r="AG1084" s="4"/>
      <c r="AH1084" s="4"/>
      <c r="AI1084" s="4"/>
      <c r="AJ1084" s="4"/>
      <c r="AK1084" s="4"/>
      <c r="AL1084" s="4" t="s">
        <v>174</v>
      </c>
      <c r="AM1084" s="4" t="s">
        <v>175</v>
      </c>
    </row>
    <row r="1085" customFormat="false" ht="23.85" hidden="false" customHeight="false" outlineLevel="0" collapsed="false">
      <c r="A1085" s="4" t="s">
        <v>167</v>
      </c>
      <c r="B1085" s="4" t="s">
        <v>1262</v>
      </c>
      <c r="C1085" s="4" t="s">
        <v>1262</v>
      </c>
      <c r="D1085" s="12" t="n">
        <v>2022</v>
      </c>
      <c r="E1085" s="4"/>
      <c r="F1085" s="4" t="s">
        <v>169</v>
      </c>
      <c r="G1085" s="4" t="s">
        <v>170</v>
      </c>
      <c r="H1085" s="4" t="s">
        <v>171</v>
      </c>
      <c r="I1085" s="4" t="s">
        <v>172</v>
      </c>
      <c r="J1085" s="4" t="s">
        <v>1262</v>
      </c>
      <c r="K1085" s="4" t="s">
        <v>109</v>
      </c>
      <c r="L1085" s="4" t="s">
        <v>110</v>
      </c>
      <c r="M1085" s="4"/>
      <c r="N1085" s="4"/>
      <c r="O1085" s="4"/>
      <c r="P1085" s="4"/>
      <c r="Q1085" s="4"/>
      <c r="R1085" s="4"/>
      <c r="S1085" s="13" t="n">
        <v>0</v>
      </c>
      <c r="T1085" s="4" t="s">
        <v>173</v>
      </c>
      <c r="U1085" s="14" t="n">
        <f aca="false">IF(OR($S1085="",PARAMETROS!$B$4=""),"",$S1085*PARAMETROS!$B$4)</f>
        <v>0</v>
      </c>
      <c r="V1085" s="13" t="n">
        <v>0</v>
      </c>
      <c r="W1085" s="4"/>
      <c r="X1085" s="4"/>
      <c r="Y1085" s="4"/>
      <c r="Z1085" s="4"/>
      <c r="AA1085" s="4"/>
      <c r="AB1085" s="4"/>
      <c r="AC1085" s="4"/>
      <c r="AD1085" s="4"/>
      <c r="AE1085" s="4"/>
      <c r="AF1085" s="4"/>
      <c r="AG1085" s="4"/>
      <c r="AH1085" s="4"/>
      <c r="AI1085" s="4"/>
      <c r="AJ1085" s="4"/>
      <c r="AK1085" s="4"/>
      <c r="AL1085" s="4" t="s">
        <v>174</v>
      </c>
      <c r="AM1085" s="4" t="s">
        <v>175</v>
      </c>
    </row>
    <row r="1086" customFormat="false" ht="23.85" hidden="false" customHeight="false" outlineLevel="0" collapsed="false">
      <c r="A1086" s="4" t="s">
        <v>167</v>
      </c>
      <c r="B1086" s="4" t="s">
        <v>1263</v>
      </c>
      <c r="C1086" s="4" t="s">
        <v>1263</v>
      </c>
      <c r="D1086" s="12" t="n">
        <v>2022</v>
      </c>
      <c r="E1086" s="4"/>
      <c r="F1086" s="4" t="s">
        <v>169</v>
      </c>
      <c r="G1086" s="4" t="s">
        <v>170</v>
      </c>
      <c r="H1086" s="4" t="s">
        <v>171</v>
      </c>
      <c r="I1086" s="4" t="s">
        <v>172</v>
      </c>
      <c r="J1086" s="4" t="s">
        <v>1263</v>
      </c>
      <c r="K1086" s="4" t="s">
        <v>109</v>
      </c>
      <c r="L1086" s="4" t="s">
        <v>110</v>
      </c>
      <c r="M1086" s="4"/>
      <c r="N1086" s="4"/>
      <c r="O1086" s="4"/>
      <c r="P1086" s="4"/>
      <c r="Q1086" s="4"/>
      <c r="R1086" s="4"/>
      <c r="S1086" s="13" t="n">
        <v>0</v>
      </c>
      <c r="T1086" s="4" t="s">
        <v>173</v>
      </c>
      <c r="U1086" s="14" t="n">
        <f aca="false">IF(OR($S1086="",PARAMETROS!$B$4=""),"",$S1086*PARAMETROS!$B$4)</f>
        <v>0</v>
      </c>
      <c r="V1086" s="13" t="n">
        <v>0</v>
      </c>
      <c r="W1086" s="4"/>
      <c r="X1086" s="4"/>
      <c r="Y1086" s="4"/>
      <c r="Z1086" s="4"/>
      <c r="AA1086" s="4"/>
      <c r="AB1086" s="4"/>
      <c r="AC1086" s="4"/>
      <c r="AD1086" s="4"/>
      <c r="AE1086" s="4"/>
      <c r="AF1086" s="4"/>
      <c r="AG1086" s="4"/>
      <c r="AH1086" s="4"/>
      <c r="AI1086" s="4"/>
      <c r="AJ1086" s="4"/>
      <c r="AK1086" s="4"/>
      <c r="AL1086" s="4" t="s">
        <v>174</v>
      </c>
      <c r="AM1086" s="4" t="s">
        <v>175</v>
      </c>
    </row>
    <row r="1087" customFormat="false" ht="23.85" hidden="false" customHeight="false" outlineLevel="0" collapsed="false">
      <c r="A1087" s="4" t="s">
        <v>167</v>
      </c>
      <c r="B1087" s="4" t="s">
        <v>1264</v>
      </c>
      <c r="C1087" s="4" t="s">
        <v>1264</v>
      </c>
      <c r="D1087" s="12" t="n">
        <v>2022</v>
      </c>
      <c r="E1087" s="4"/>
      <c r="F1087" s="4" t="s">
        <v>169</v>
      </c>
      <c r="G1087" s="4" t="s">
        <v>170</v>
      </c>
      <c r="H1087" s="4" t="s">
        <v>171</v>
      </c>
      <c r="I1087" s="4" t="s">
        <v>172</v>
      </c>
      <c r="J1087" s="4" t="s">
        <v>1264</v>
      </c>
      <c r="K1087" s="4" t="s">
        <v>109</v>
      </c>
      <c r="L1087" s="4" t="s">
        <v>110</v>
      </c>
      <c r="M1087" s="4"/>
      <c r="N1087" s="4"/>
      <c r="O1087" s="4"/>
      <c r="P1087" s="4"/>
      <c r="Q1087" s="4"/>
      <c r="R1087" s="4"/>
      <c r="S1087" s="13" t="n">
        <v>0</v>
      </c>
      <c r="T1087" s="4" t="s">
        <v>173</v>
      </c>
      <c r="U1087" s="14" t="n">
        <f aca="false">IF(OR($S1087="",PARAMETROS!$B$4=""),"",$S1087*PARAMETROS!$B$4)</f>
        <v>0</v>
      </c>
      <c r="V1087" s="13" t="n">
        <v>0</v>
      </c>
      <c r="W1087" s="4"/>
      <c r="X1087" s="4"/>
      <c r="Y1087" s="4"/>
      <c r="Z1087" s="4"/>
      <c r="AA1087" s="4"/>
      <c r="AB1087" s="4"/>
      <c r="AC1087" s="4"/>
      <c r="AD1087" s="4"/>
      <c r="AE1087" s="4"/>
      <c r="AF1087" s="4"/>
      <c r="AG1087" s="4"/>
      <c r="AH1087" s="4"/>
      <c r="AI1087" s="4"/>
      <c r="AJ1087" s="4"/>
      <c r="AK1087" s="4"/>
      <c r="AL1087" s="4" t="s">
        <v>174</v>
      </c>
      <c r="AM1087" s="4" t="s">
        <v>175</v>
      </c>
    </row>
    <row r="1088" customFormat="false" ht="23.85" hidden="false" customHeight="false" outlineLevel="0" collapsed="false">
      <c r="A1088" s="4" t="s">
        <v>167</v>
      </c>
      <c r="B1088" s="4" t="s">
        <v>1265</v>
      </c>
      <c r="C1088" s="4" t="s">
        <v>1265</v>
      </c>
      <c r="D1088" s="12" t="n">
        <v>2022</v>
      </c>
      <c r="E1088" s="4"/>
      <c r="F1088" s="4" t="s">
        <v>169</v>
      </c>
      <c r="G1088" s="4" t="s">
        <v>170</v>
      </c>
      <c r="H1088" s="4" t="s">
        <v>171</v>
      </c>
      <c r="I1088" s="4" t="s">
        <v>172</v>
      </c>
      <c r="J1088" s="4" t="s">
        <v>1265</v>
      </c>
      <c r="K1088" s="4" t="s">
        <v>109</v>
      </c>
      <c r="L1088" s="4" t="s">
        <v>110</v>
      </c>
      <c r="M1088" s="4"/>
      <c r="N1088" s="4"/>
      <c r="O1088" s="4"/>
      <c r="P1088" s="4"/>
      <c r="Q1088" s="4"/>
      <c r="R1088" s="4"/>
      <c r="S1088" s="13" t="n">
        <v>0</v>
      </c>
      <c r="T1088" s="4" t="s">
        <v>173</v>
      </c>
      <c r="U1088" s="14" t="n">
        <f aca="false">IF(OR($S1088="",PARAMETROS!$B$4=""),"",$S1088*PARAMETROS!$B$4)</f>
        <v>0</v>
      </c>
      <c r="V1088" s="13" t="n">
        <v>0</v>
      </c>
      <c r="W1088" s="4"/>
      <c r="X1088" s="4"/>
      <c r="Y1088" s="4"/>
      <c r="Z1088" s="4"/>
      <c r="AA1088" s="4"/>
      <c r="AB1088" s="4"/>
      <c r="AC1088" s="4"/>
      <c r="AD1088" s="4"/>
      <c r="AE1088" s="4"/>
      <c r="AF1088" s="4"/>
      <c r="AG1088" s="4"/>
      <c r="AH1088" s="4"/>
      <c r="AI1088" s="4"/>
      <c r="AJ1088" s="4"/>
      <c r="AK1088" s="4"/>
      <c r="AL1088" s="4" t="s">
        <v>174</v>
      </c>
      <c r="AM1088" s="4" t="s">
        <v>175</v>
      </c>
    </row>
    <row r="1089" customFormat="false" ht="23.85" hidden="false" customHeight="false" outlineLevel="0" collapsed="false">
      <c r="A1089" s="4" t="s">
        <v>167</v>
      </c>
      <c r="B1089" s="4" t="s">
        <v>1266</v>
      </c>
      <c r="C1089" s="4" t="s">
        <v>1266</v>
      </c>
      <c r="D1089" s="12" t="n">
        <v>2022</v>
      </c>
      <c r="E1089" s="4"/>
      <c r="F1089" s="4" t="s">
        <v>169</v>
      </c>
      <c r="G1089" s="4" t="s">
        <v>170</v>
      </c>
      <c r="H1089" s="4" t="s">
        <v>171</v>
      </c>
      <c r="I1089" s="4" t="s">
        <v>172</v>
      </c>
      <c r="J1089" s="4" t="s">
        <v>1266</v>
      </c>
      <c r="K1089" s="4" t="s">
        <v>109</v>
      </c>
      <c r="L1089" s="4" t="s">
        <v>110</v>
      </c>
      <c r="M1089" s="4"/>
      <c r="N1089" s="4"/>
      <c r="O1089" s="4"/>
      <c r="P1089" s="4"/>
      <c r="Q1089" s="4"/>
      <c r="R1089" s="4"/>
      <c r="S1089" s="13" t="n">
        <v>53900.26</v>
      </c>
      <c r="T1089" s="4" t="s">
        <v>173</v>
      </c>
      <c r="U1089" s="14" t="n">
        <f aca="false">IF(OR($S1089="",PARAMETROS!$B$4=""),"",$S1089*PARAMETROS!$B$4)</f>
        <v>313160.5106</v>
      </c>
      <c r="V1089" s="13" t="n">
        <v>0</v>
      </c>
      <c r="W1089" s="4"/>
      <c r="X1089" s="4"/>
      <c r="Y1089" s="4"/>
      <c r="Z1089" s="4"/>
      <c r="AA1089" s="4"/>
      <c r="AB1089" s="4"/>
      <c r="AC1089" s="4"/>
      <c r="AD1089" s="4"/>
      <c r="AE1089" s="4"/>
      <c r="AF1089" s="4"/>
      <c r="AG1089" s="4"/>
      <c r="AH1089" s="4"/>
      <c r="AI1089" s="4"/>
      <c r="AJ1089" s="4"/>
      <c r="AK1089" s="4"/>
      <c r="AL1089" s="4" t="s">
        <v>174</v>
      </c>
      <c r="AM1089" s="4" t="s">
        <v>175</v>
      </c>
    </row>
    <row r="1090" customFormat="false" ht="23.85" hidden="false" customHeight="false" outlineLevel="0" collapsed="false">
      <c r="A1090" s="4" t="s">
        <v>167</v>
      </c>
      <c r="B1090" s="4" t="s">
        <v>1267</v>
      </c>
      <c r="C1090" s="4" t="s">
        <v>1267</v>
      </c>
      <c r="D1090" s="12" t="n">
        <v>2022</v>
      </c>
      <c r="E1090" s="4"/>
      <c r="F1090" s="4" t="s">
        <v>169</v>
      </c>
      <c r="G1090" s="4" t="s">
        <v>170</v>
      </c>
      <c r="H1090" s="4" t="s">
        <v>171</v>
      </c>
      <c r="I1090" s="4" t="s">
        <v>172</v>
      </c>
      <c r="J1090" s="4" t="s">
        <v>1267</v>
      </c>
      <c r="K1090" s="4" t="s">
        <v>109</v>
      </c>
      <c r="L1090" s="4" t="s">
        <v>110</v>
      </c>
      <c r="M1090" s="4"/>
      <c r="N1090" s="4"/>
      <c r="O1090" s="4"/>
      <c r="P1090" s="4"/>
      <c r="Q1090" s="4"/>
      <c r="R1090" s="4"/>
      <c r="S1090" s="13" t="n">
        <v>1667.02</v>
      </c>
      <c r="T1090" s="4" t="s">
        <v>173</v>
      </c>
      <c r="U1090" s="14" t="n">
        <f aca="false">IF(OR($S1090="",PARAMETROS!$B$4=""),"",$S1090*PARAMETROS!$B$4)</f>
        <v>9685.3862</v>
      </c>
      <c r="V1090" s="13" t="n">
        <v>0</v>
      </c>
      <c r="W1090" s="4"/>
      <c r="X1090" s="4"/>
      <c r="Y1090" s="4"/>
      <c r="Z1090" s="4"/>
      <c r="AA1090" s="4"/>
      <c r="AB1090" s="4"/>
      <c r="AC1090" s="4"/>
      <c r="AD1090" s="4"/>
      <c r="AE1090" s="4"/>
      <c r="AF1090" s="4"/>
      <c r="AG1090" s="4"/>
      <c r="AH1090" s="4"/>
      <c r="AI1090" s="4"/>
      <c r="AJ1090" s="4"/>
      <c r="AK1090" s="4"/>
      <c r="AL1090" s="4" t="s">
        <v>174</v>
      </c>
      <c r="AM1090" s="4" t="s">
        <v>175</v>
      </c>
    </row>
    <row r="1091" customFormat="false" ht="23.85" hidden="false" customHeight="false" outlineLevel="0" collapsed="false">
      <c r="A1091" s="4" t="s">
        <v>167</v>
      </c>
      <c r="B1091" s="4" t="s">
        <v>1268</v>
      </c>
      <c r="C1091" s="4" t="s">
        <v>1268</v>
      </c>
      <c r="D1091" s="12" t="n">
        <v>2022</v>
      </c>
      <c r="E1091" s="4"/>
      <c r="F1091" s="4" t="s">
        <v>169</v>
      </c>
      <c r="G1091" s="4" t="s">
        <v>170</v>
      </c>
      <c r="H1091" s="4" t="s">
        <v>171</v>
      </c>
      <c r="I1091" s="4" t="s">
        <v>172</v>
      </c>
      <c r="J1091" s="4" t="s">
        <v>1268</v>
      </c>
      <c r="K1091" s="4" t="s">
        <v>109</v>
      </c>
      <c r="L1091" s="4" t="s">
        <v>110</v>
      </c>
      <c r="M1091" s="4"/>
      <c r="N1091" s="4"/>
      <c r="O1091" s="4"/>
      <c r="P1091" s="4"/>
      <c r="Q1091" s="4"/>
      <c r="R1091" s="4"/>
      <c r="S1091" s="13" t="n">
        <v>0</v>
      </c>
      <c r="T1091" s="4" t="s">
        <v>173</v>
      </c>
      <c r="U1091" s="14" t="n">
        <f aca="false">IF(OR($S1091="",PARAMETROS!$B$4=""),"",$S1091*PARAMETROS!$B$4)</f>
        <v>0</v>
      </c>
      <c r="V1091" s="13" t="n">
        <v>0</v>
      </c>
      <c r="W1091" s="4"/>
      <c r="X1091" s="4"/>
      <c r="Y1091" s="4"/>
      <c r="Z1091" s="4"/>
      <c r="AA1091" s="4"/>
      <c r="AB1091" s="4"/>
      <c r="AC1091" s="4"/>
      <c r="AD1091" s="4"/>
      <c r="AE1091" s="4"/>
      <c r="AF1091" s="4"/>
      <c r="AG1091" s="4"/>
      <c r="AH1091" s="4"/>
      <c r="AI1091" s="4"/>
      <c r="AJ1091" s="4"/>
      <c r="AK1091" s="4"/>
      <c r="AL1091" s="4" t="s">
        <v>174</v>
      </c>
      <c r="AM1091" s="4" t="s">
        <v>175</v>
      </c>
    </row>
    <row r="1092" customFormat="false" ht="23.85" hidden="false" customHeight="false" outlineLevel="0" collapsed="false">
      <c r="A1092" s="4" t="s">
        <v>167</v>
      </c>
      <c r="B1092" s="4" t="s">
        <v>1269</v>
      </c>
      <c r="C1092" s="4" t="s">
        <v>1269</v>
      </c>
      <c r="D1092" s="12" t="n">
        <v>2022</v>
      </c>
      <c r="E1092" s="4"/>
      <c r="F1092" s="4" t="s">
        <v>169</v>
      </c>
      <c r="G1092" s="4" t="s">
        <v>170</v>
      </c>
      <c r="H1092" s="4" t="s">
        <v>171</v>
      </c>
      <c r="I1092" s="4" t="s">
        <v>172</v>
      </c>
      <c r="J1092" s="4" t="s">
        <v>1269</v>
      </c>
      <c r="K1092" s="4" t="s">
        <v>109</v>
      </c>
      <c r="L1092" s="4" t="s">
        <v>110</v>
      </c>
      <c r="M1092" s="4"/>
      <c r="N1092" s="4"/>
      <c r="O1092" s="4"/>
      <c r="P1092" s="4"/>
      <c r="Q1092" s="4"/>
      <c r="R1092" s="4"/>
      <c r="S1092" s="13" t="n">
        <v>0</v>
      </c>
      <c r="T1092" s="4" t="s">
        <v>173</v>
      </c>
      <c r="U1092" s="14" t="n">
        <f aca="false">IF(OR($S1092="",PARAMETROS!$B$4=""),"",$S1092*PARAMETROS!$B$4)</f>
        <v>0</v>
      </c>
      <c r="V1092" s="13" t="n">
        <v>0</v>
      </c>
      <c r="W1092" s="4"/>
      <c r="X1092" s="4"/>
      <c r="Y1092" s="4"/>
      <c r="Z1092" s="4"/>
      <c r="AA1092" s="4"/>
      <c r="AB1092" s="4"/>
      <c r="AC1092" s="4"/>
      <c r="AD1092" s="4"/>
      <c r="AE1092" s="4"/>
      <c r="AF1092" s="4"/>
      <c r="AG1092" s="4"/>
      <c r="AH1092" s="4"/>
      <c r="AI1092" s="4"/>
      <c r="AJ1092" s="4"/>
      <c r="AK1092" s="4"/>
      <c r="AL1092" s="4" t="s">
        <v>174</v>
      </c>
      <c r="AM1092" s="4" t="s">
        <v>175</v>
      </c>
    </row>
    <row r="1093" customFormat="false" ht="23.85" hidden="false" customHeight="false" outlineLevel="0" collapsed="false">
      <c r="A1093" s="4" t="s">
        <v>167</v>
      </c>
      <c r="B1093" s="4" t="s">
        <v>1270</v>
      </c>
      <c r="C1093" s="4" t="s">
        <v>1270</v>
      </c>
      <c r="D1093" s="12" t="n">
        <v>2022</v>
      </c>
      <c r="E1093" s="4"/>
      <c r="F1093" s="4" t="s">
        <v>169</v>
      </c>
      <c r="G1093" s="4" t="s">
        <v>170</v>
      </c>
      <c r="H1093" s="4" t="s">
        <v>171</v>
      </c>
      <c r="I1093" s="4" t="s">
        <v>172</v>
      </c>
      <c r="J1093" s="4" t="s">
        <v>1270</v>
      </c>
      <c r="K1093" s="4" t="s">
        <v>109</v>
      </c>
      <c r="L1093" s="4" t="s">
        <v>110</v>
      </c>
      <c r="M1093" s="4"/>
      <c r="N1093" s="4"/>
      <c r="O1093" s="4"/>
      <c r="P1093" s="4"/>
      <c r="Q1093" s="4"/>
      <c r="R1093" s="4"/>
      <c r="S1093" s="13" t="n">
        <v>0</v>
      </c>
      <c r="T1093" s="4" t="s">
        <v>173</v>
      </c>
      <c r="U1093" s="14" t="n">
        <f aca="false">IF(OR($S1093="",PARAMETROS!$B$4=""),"",$S1093*PARAMETROS!$B$4)</f>
        <v>0</v>
      </c>
      <c r="V1093" s="13" t="n">
        <v>0</v>
      </c>
      <c r="W1093" s="4"/>
      <c r="X1093" s="4"/>
      <c r="Y1093" s="4"/>
      <c r="Z1093" s="4"/>
      <c r="AA1093" s="4"/>
      <c r="AB1093" s="4"/>
      <c r="AC1093" s="4"/>
      <c r="AD1093" s="4"/>
      <c r="AE1093" s="4"/>
      <c r="AF1093" s="4"/>
      <c r="AG1093" s="4"/>
      <c r="AH1093" s="4"/>
      <c r="AI1093" s="4"/>
      <c r="AJ1093" s="4"/>
      <c r="AK1093" s="4"/>
      <c r="AL1093" s="4" t="s">
        <v>174</v>
      </c>
      <c r="AM1093" s="4" t="s">
        <v>175</v>
      </c>
    </row>
    <row r="1094" customFormat="false" ht="23.85" hidden="false" customHeight="false" outlineLevel="0" collapsed="false">
      <c r="A1094" s="4" t="s">
        <v>167</v>
      </c>
      <c r="B1094" s="4" t="s">
        <v>1271</v>
      </c>
      <c r="C1094" s="4" t="s">
        <v>1271</v>
      </c>
      <c r="D1094" s="12" t="n">
        <v>2022</v>
      </c>
      <c r="E1094" s="4"/>
      <c r="F1094" s="4" t="s">
        <v>169</v>
      </c>
      <c r="G1094" s="4" t="s">
        <v>170</v>
      </c>
      <c r="H1094" s="4" t="s">
        <v>171</v>
      </c>
      <c r="I1094" s="4" t="s">
        <v>172</v>
      </c>
      <c r="J1094" s="4" t="s">
        <v>1271</v>
      </c>
      <c r="K1094" s="4" t="s">
        <v>86</v>
      </c>
      <c r="L1094" s="4" t="s">
        <v>87</v>
      </c>
      <c r="M1094" s="4"/>
      <c r="N1094" s="4"/>
      <c r="O1094" s="4"/>
      <c r="P1094" s="4"/>
      <c r="Q1094" s="4"/>
      <c r="R1094" s="4"/>
      <c r="S1094" s="13" t="n">
        <v>1310.07</v>
      </c>
      <c r="T1094" s="4" t="s">
        <v>173</v>
      </c>
      <c r="U1094" s="14" t="n">
        <f aca="false">IF(OR($S1094="",PARAMETROS!$B$4=""),"",$S1094*PARAMETROS!$B$4)</f>
        <v>7611.5067</v>
      </c>
      <c r="V1094" s="13" t="n">
        <v>0</v>
      </c>
      <c r="W1094" s="4"/>
      <c r="X1094" s="4"/>
      <c r="Y1094" s="4"/>
      <c r="Z1094" s="4"/>
      <c r="AA1094" s="4"/>
      <c r="AB1094" s="4"/>
      <c r="AC1094" s="4"/>
      <c r="AD1094" s="4"/>
      <c r="AE1094" s="4"/>
      <c r="AF1094" s="4"/>
      <c r="AG1094" s="4"/>
      <c r="AH1094" s="4"/>
      <c r="AI1094" s="4"/>
      <c r="AJ1094" s="4"/>
      <c r="AK1094" s="4"/>
      <c r="AL1094" s="4" t="s">
        <v>174</v>
      </c>
      <c r="AM1094" s="4" t="s">
        <v>205</v>
      </c>
    </row>
    <row r="1095" customFormat="false" ht="23.85" hidden="false" customHeight="false" outlineLevel="0" collapsed="false">
      <c r="A1095" s="4" t="s">
        <v>167</v>
      </c>
      <c r="B1095" s="4" t="s">
        <v>1272</v>
      </c>
      <c r="C1095" s="4" t="s">
        <v>1272</v>
      </c>
      <c r="D1095" s="12" t="n">
        <v>2022</v>
      </c>
      <c r="E1095" s="4"/>
      <c r="F1095" s="4" t="s">
        <v>169</v>
      </c>
      <c r="G1095" s="4" t="s">
        <v>170</v>
      </c>
      <c r="H1095" s="4" t="s">
        <v>171</v>
      </c>
      <c r="I1095" s="4" t="s">
        <v>172</v>
      </c>
      <c r="J1095" s="4" t="s">
        <v>1272</v>
      </c>
      <c r="K1095" s="4" t="s">
        <v>86</v>
      </c>
      <c r="L1095" s="4" t="s">
        <v>87</v>
      </c>
      <c r="M1095" s="4"/>
      <c r="N1095" s="4"/>
      <c r="O1095" s="4"/>
      <c r="P1095" s="4"/>
      <c r="Q1095" s="4"/>
      <c r="R1095" s="4"/>
      <c r="S1095" s="13" t="n">
        <v>15.5</v>
      </c>
      <c r="T1095" s="4" t="s">
        <v>173</v>
      </c>
      <c r="U1095" s="14" t="n">
        <f aca="false">IF(OR($S1095="",PARAMETROS!$B$4=""),"",$S1095*PARAMETROS!$B$4)</f>
        <v>90.055</v>
      </c>
      <c r="V1095" s="13" t="n">
        <v>0</v>
      </c>
      <c r="W1095" s="4"/>
      <c r="X1095" s="4"/>
      <c r="Y1095" s="4"/>
      <c r="Z1095" s="4"/>
      <c r="AA1095" s="4"/>
      <c r="AB1095" s="4"/>
      <c r="AC1095" s="4"/>
      <c r="AD1095" s="4"/>
      <c r="AE1095" s="4"/>
      <c r="AF1095" s="4"/>
      <c r="AG1095" s="4"/>
      <c r="AH1095" s="4"/>
      <c r="AI1095" s="4"/>
      <c r="AJ1095" s="4"/>
      <c r="AK1095" s="4"/>
      <c r="AL1095" s="4" t="s">
        <v>174</v>
      </c>
      <c r="AM1095" s="4" t="s">
        <v>205</v>
      </c>
    </row>
    <row r="1096" customFormat="false" ht="23.85" hidden="false" customHeight="false" outlineLevel="0" collapsed="false">
      <c r="A1096" s="4" t="s">
        <v>167</v>
      </c>
      <c r="B1096" s="4" t="s">
        <v>1273</v>
      </c>
      <c r="C1096" s="4" t="s">
        <v>1273</v>
      </c>
      <c r="D1096" s="12" t="n">
        <v>2022</v>
      </c>
      <c r="E1096" s="4"/>
      <c r="F1096" s="4" t="s">
        <v>169</v>
      </c>
      <c r="G1096" s="4" t="s">
        <v>170</v>
      </c>
      <c r="H1096" s="4" t="s">
        <v>171</v>
      </c>
      <c r="I1096" s="4" t="s">
        <v>172</v>
      </c>
      <c r="J1096" s="4" t="s">
        <v>1273</v>
      </c>
      <c r="K1096" s="4" t="s">
        <v>86</v>
      </c>
      <c r="L1096" s="4" t="s">
        <v>87</v>
      </c>
      <c r="M1096" s="4"/>
      <c r="N1096" s="4"/>
      <c r="O1096" s="4"/>
      <c r="P1096" s="4"/>
      <c r="Q1096" s="4"/>
      <c r="R1096" s="4"/>
      <c r="S1096" s="13" t="n">
        <v>862.9</v>
      </c>
      <c r="T1096" s="4" t="s">
        <v>173</v>
      </c>
      <c r="U1096" s="14" t="n">
        <f aca="false">IF(OR($S1096="",PARAMETROS!$B$4=""),"",$S1096*PARAMETROS!$B$4)</f>
        <v>5013.449</v>
      </c>
      <c r="V1096" s="13" t="n">
        <v>0</v>
      </c>
      <c r="W1096" s="4"/>
      <c r="X1096" s="4"/>
      <c r="Y1096" s="4"/>
      <c r="Z1096" s="4"/>
      <c r="AA1096" s="4"/>
      <c r="AB1096" s="4"/>
      <c r="AC1096" s="4"/>
      <c r="AD1096" s="4"/>
      <c r="AE1096" s="4"/>
      <c r="AF1096" s="4"/>
      <c r="AG1096" s="4"/>
      <c r="AH1096" s="4"/>
      <c r="AI1096" s="4"/>
      <c r="AJ1096" s="4"/>
      <c r="AK1096" s="4"/>
      <c r="AL1096" s="4" t="s">
        <v>174</v>
      </c>
      <c r="AM1096" s="4" t="s">
        <v>205</v>
      </c>
    </row>
    <row r="1097" customFormat="false" ht="23.85" hidden="false" customHeight="false" outlineLevel="0" collapsed="false">
      <c r="A1097" s="4" t="s">
        <v>167</v>
      </c>
      <c r="B1097" s="4" t="s">
        <v>1274</v>
      </c>
      <c r="C1097" s="4" t="s">
        <v>1274</v>
      </c>
      <c r="D1097" s="12" t="n">
        <v>2022</v>
      </c>
      <c r="E1097" s="4"/>
      <c r="F1097" s="4" t="s">
        <v>169</v>
      </c>
      <c r="G1097" s="4" t="s">
        <v>170</v>
      </c>
      <c r="H1097" s="4" t="s">
        <v>171</v>
      </c>
      <c r="I1097" s="4" t="s">
        <v>172</v>
      </c>
      <c r="J1097" s="4" t="s">
        <v>1274</v>
      </c>
      <c r="K1097" s="4" t="s">
        <v>86</v>
      </c>
      <c r="L1097" s="4" t="s">
        <v>87</v>
      </c>
      <c r="M1097" s="4"/>
      <c r="N1097" s="4"/>
      <c r="O1097" s="4"/>
      <c r="P1097" s="4"/>
      <c r="Q1097" s="4"/>
      <c r="R1097" s="4"/>
      <c r="S1097" s="13" t="n">
        <v>402.96</v>
      </c>
      <c r="T1097" s="4" t="s">
        <v>173</v>
      </c>
      <c r="U1097" s="14" t="n">
        <f aca="false">IF(OR($S1097="",PARAMETROS!$B$4=""),"",$S1097*PARAMETROS!$B$4)</f>
        <v>2341.1976</v>
      </c>
      <c r="V1097" s="13" t="n">
        <v>0</v>
      </c>
      <c r="W1097" s="4"/>
      <c r="X1097" s="4"/>
      <c r="Y1097" s="4"/>
      <c r="Z1097" s="4"/>
      <c r="AA1097" s="4"/>
      <c r="AB1097" s="4"/>
      <c r="AC1097" s="4"/>
      <c r="AD1097" s="4"/>
      <c r="AE1097" s="4"/>
      <c r="AF1097" s="4"/>
      <c r="AG1097" s="4"/>
      <c r="AH1097" s="4"/>
      <c r="AI1097" s="4"/>
      <c r="AJ1097" s="4"/>
      <c r="AK1097" s="4"/>
      <c r="AL1097" s="4" t="s">
        <v>174</v>
      </c>
      <c r="AM1097" s="4" t="s">
        <v>205</v>
      </c>
    </row>
    <row r="1098" customFormat="false" ht="23.85" hidden="false" customHeight="false" outlineLevel="0" collapsed="false">
      <c r="A1098" s="4" t="s">
        <v>167</v>
      </c>
      <c r="B1098" s="4" t="s">
        <v>1275</v>
      </c>
      <c r="C1098" s="4" t="s">
        <v>1275</v>
      </c>
      <c r="D1098" s="12" t="n">
        <v>2022</v>
      </c>
      <c r="E1098" s="4"/>
      <c r="F1098" s="4" t="s">
        <v>169</v>
      </c>
      <c r="G1098" s="4" t="s">
        <v>170</v>
      </c>
      <c r="H1098" s="4" t="s">
        <v>171</v>
      </c>
      <c r="I1098" s="4" t="s">
        <v>172</v>
      </c>
      <c r="J1098" s="4" t="s">
        <v>1275</v>
      </c>
      <c r="K1098" s="4" t="s">
        <v>86</v>
      </c>
      <c r="L1098" s="4" t="s">
        <v>87</v>
      </c>
      <c r="M1098" s="4"/>
      <c r="N1098" s="4"/>
      <c r="O1098" s="4"/>
      <c r="P1098" s="4"/>
      <c r="Q1098" s="4"/>
      <c r="R1098" s="4"/>
      <c r="S1098" s="13" t="n">
        <v>-865.62</v>
      </c>
      <c r="T1098" s="4" t="s">
        <v>173</v>
      </c>
      <c r="U1098" s="14" t="n">
        <f aca="false">IF(OR($S1098="",PARAMETROS!$B$4=""),"",$S1098*PARAMETROS!$B$4)</f>
        <v>-5029.2522</v>
      </c>
      <c r="V1098" s="13" t="n">
        <v>0</v>
      </c>
      <c r="W1098" s="4"/>
      <c r="X1098" s="4"/>
      <c r="Y1098" s="4"/>
      <c r="Z1098" s="4"/>
      <c r="AA1098" s="4"/>
      <c r="AB1098" s="4"/>
      <c r="AC1098" s="4"/>
      <c r="AD1098" s="4"/>
      <c r="AE1098" s="4"/>
      <c r="AF1098" s="4"/>
      <c r="AG1098" s="4"/>
      <c r="AH1098" s="4"/>
      <c r="AI1098" s="4"/>
      <c r="AJ1098" s="4"/>
      <c r="AK1098" s="4"/>
      <c r="AL1098" s="4" t="s">
        <v>174</v>
      </c>
      <c r="AM1098" s="4" t="s">
        <v>205</v>
      </c>
    </row>
    <row r="1099" customFormat="false" ht="23.85" hidden="false" customHeight="false" outlineLevel="0" collapsed="false">
      <c r="A1099" s="4" t="s">
        <v>167</v>
      </c>
      <c r="B1099" s="4" t="s">
        <v>1276</v>
      </c>
      <c r="C1099" s="4" t="s">
        <v>1276</v>
      </c>
      <c r="D1099" s="12" t="n">
        <v>2022</v>
      </c>
      <c r="E1099" s="4"/>
      <c r="F1099" s="4" t="s">
        <v>169</v>
      </c>
      <c r="G1099" s="4" t="s">
        <v>170</v>
      </c>
      <c r="H1099" s="4" t="s">
        <v>171</v>
      </c>
      <c r="I1099" s="4" t="s">
        <v>172</v>
      </c>
      <c r="J1099" s="4" t="s">
        <v>1276</v>
      </c>
      <c r="K1099" s="4" t="s">
        <v>86</v>
      </c>
      <c r="L1099" s="4" t="s">
        <v>87</v>
      </c>
      <c r="M1099" s="4"/>
      <c r="N1099" s="4"/>
      <c r="O1099" s="4"/>
      <c r="P1099" s="4"/>
      <c r="Q1099" s="4"/>
      <c r="R1099" s="4"/>
      <c r="S1099" s="13" t="n">
        <v>0</v>
      </c>
      <c r="T1099" s="4" t="s">
        <v>173</v>
      </c>
      <c r="U1099" s="14" t="n">
        <f aca="false">IF(OR($S1099="",PARAMETROS!$B$4=""),"",$S1099*PARAMETROS!$B$4)</f>
        <v>0</v>
      </c>
      <c r="V1099" s="13" t="n">
        <v>0</v>
      </c>
      <c r="W1099" s="4"/>
      <c r="X1099" s="4"/>
      <c r="Y1099" s="4"/>
      <c r="Z1099" s="4"/>
      <c r="AA1099" s="4"/>
      <c r="AB1099" s="4"/>
      <c r="AC1099" s="4"/>
      <c r="AD1099" s="4"/>
      <c r="AE1099" s="4"/>
      <c r="AF1099" s="4"/>
      <c r="AG1099" s="4"/>
      <c r="AH1099" s="4"/>
      <c r="AI1099" s="4"/>
      <c r="AJ1099" s="4"/>
      <c r="AK1099" s="4"/>
      <c r="AL1099" s="4" t="s">
        <v>174</v>
      </c>
      <c r="AM1099" s="4" t="s">
        <v>205</v>
      </c>
    </row>
    <row r="1100" customFormat="false" ht="23.85" hidden="false" customHeight="false" outlineLevel="0" collapsed="false">
      <c r="A1100" s="4" t="s">
        <v>167</v>
      </c>
      <c r="B1100" s="4" t="s">
        <v>1277</v>
      </c>
      <c r="C1100" s="4" t="s">
        <v>1277</v>
      </c>
      <c r="D1100" s="12" t="n">
        <v>2022</v>
      </c>
      <c r="E1100" s="4"/>
      <c r="F1100" s="4" t="s">
        <v>169</v>
      </c>
      <c r="G1100" s="4" t="s">
        <v>170</v>
      </c>
      <c r="H1100" s="4" t="s">
        <v>171</v>
      </c>
      <c r="I1100" s="4" t="s">
        <v>172</v>
      </c>
      <c r="J1100" s="4" t="s">
        <v>1277</v>
      </c>
      <c r="K1100" s="4" t="s">
        <v>86</v>
      </c>
      <c r="L1100" s="4" t="s">
        <v>87</v>
      </c>
      <c r="M1100" s="4"/>
      <c r="N1100" s="4"/>
      <c r="O1100" s="4"/>
      <c r="P1100" s="4"/>
      <c r="Q1100" s="4"/>
      <c r="R1100" s="4"/>
      <c r="S1100" s="13" t="n">
        <v>0</v>
      </c>
      <c r="T1100" s="4" t="s">
        <v>173</v>
      </c>
      <c r="U1100" s="14" t="n">
        <f aca="false">IF(OR($S1100="",PARAMETROS!$B$4=""),"",$S1100*PARAMETROS!$B$4)</f>
        <v>0</v>
      </c>
      <c r="V1100" s="13" t="n">
        <v>0</v>
      </c>
      <c r="W1100" s="4"/>
      <c r="X1100" s="4"/>
      <c r="Y1100" s="4"/>
      <c r="Z1100" s="4"/>
      <c r="AA1100" s="4"/>
      <c r="AB1100" s="4"/>
      <c r="AC1100" s="4"/>
      <c r="AD1100" s="4"/>
      <c r="AE1100" s="4"/>
      <c r="AF1100" s="4"/>
      <c r="AG1100" s="4"/>
      <c r="AH1100" s="4"/>
      <c r="AI1100" s="4"/>
      <c r="AJ1100" s="4"/>
      <c r="AK1100" s="4"/>
      <c r="AL1100" s="4" t="s">
        <v>174</v>
      </c>
      <c r="AM1100" s="4" t="s">
        <v>205</v>
      </c>
    </row>
    <row r="1101" customFormat="false" ht="23.85" hidden="false" customHeight="false" outlineLevel="0" collapsed="false">
      <c r="A1101" s="4" t="s">
        <v>167</v>
      </c>
      <c r="B1101" s="4" t="s">
        <v>1278</v>
      </c>
      <c r="C1101" s="4" t="s">
        <v>1278</v>
      </c>
      <c r="D1101" s="12" t="n">
        <v>2022</v>
      </c>
      <c r="E1101" s="4"/>
      <c r="F1101" s="4" t="s">
        <v>169</v>
      </c>
      <c r="G1101" s="4" t="s">
        <v>170</v>
      </c>
      <c r="H1101" s="4" t="s">
        <v>171</v>
      </c>
      <c r="I1101" s="4" t="s">
        <v>172</v>
      </c>
      <c r="J1101" s="4" t="s">
        <v>1278</v>
      </c>
      <c r="K1101" s="4" t="s">
        <v>86</v>
      </c>
      <c r="L1101" s="4" t="s">
        <v>87</v>
      </c>
      <c r="M1101" s="4"/>
      <c r="N1101" s="4"/>
      <c r="O1101" s="4"/>
      <c r="P1101" s="4"/>
      <c r="Q1101" s="4"/>
      <c r="R1101" s="4"/>
      <c r="S1101" s="13" t="n">
        <v>0</v>
      </c>
      <c r="T1101" s="4" t="s">
        <v>173</v>
      </c>
      <c r="U1101" s="14" t="n">
        <f aca="false">IF(OR($S1101="",PARAMETROS!$B$4=""),"",$S1101*PARAMETROS!$B$4)</f>
        <v>0</v>
      </c>
      <c r="V1101" s="13" t="n">
        <v>0</v>
      </c>
      <c r="W1101" s="4"/>
      <c r="X1101" s="4"/>
      <c r="Y1101" s="4"/>
      <c r="Z1101" s="4"/>
      <c r="AA1101" s="4"/>
      <c r="AB1101" s="4"/>
      <c r="AC1101" s="4"/>
      <c r="AD1101" s="4"/>
      <c r="AE1101" s="4"/>
      <c r="AF1101" s="4"/>
      <c r="AG1101" s="4"/>
      <c r="AH1101" s="4"/>
      <c r="AI1101" s="4"/>
      <c r="AJ1101" s="4"/>
      <c r="AK1101" s="4"/>
      <c r="AL1101" s="4" t="s">
        <v>174</v>
      </c>
      <c r="AM1101" s="4" t="s">
        <v>205</v>
      </c>
    </row>
    <row r="1102" customFormat="false" ht="23.85" hidden="false" customHeight="false" outlineLevel="0" collapsed="false">
      <c r="A1102" s="4" t="s">
        <v>167</v>
      </c>
      <c r="B1102" s="4" t="s">
        <v>1279</v>
      </c>
      <c r="C1102" s="4" t="s">
        <v>1279</v>
      </c>
      <c r="D1102" s="12" t="n">
        <v>2022</v>
      </c>
      <c r="E1102" s="4"/>
      <c r="F1102" s="4" t="s">
        <v>169</v>
      </c>
      <c r="G1102" s="4" t="s">
        <v>170</v>
      </c>
      <c r="H1102" s="4" t="s">
        <v>171</v>
      </c>
      <c r="I1102" s="4" t="s">
        <v>172</v>
      </c>
      <c r="J1102" s="4" t="s">
        <v>1279</v>
      </c>
      <c r="K1102" s="4" t="s">
        <v>86</v>
      </c>
      <c r="L1102" s="4" t="s">
        <v>87</v>
      </c>
      <c r="M1102" s="4"/>
      <c r="N1102" s="4"/>
      <c r="O1102" s="4"/>
      <c r="P1102" s="4"/>
      <c r="Q1102" s="4"/>
      <c r="R1102" s="4"/>
      <c r="S1102" s="13" t="n">
        <v>0</v>
      </c>
      <c r="T1102" s="4" t="s">
        <v>173</v>
      </c>
      <c r="U1102" s="14" t="n">
        <f aca="false">IF(OR($S1102="",PARAMETROS!$B$4=""),"",$S1102*PARAMETROS!$B$4)</f>
        <v>0</v>
      </c>
      <c r="V1102" s="13" t="n">
        <v>0</v>
      </c>
      <c r="W1102" s="4"/>
      <c r="X1102" s="4"/>
      <c r="Y1102" s="4"/>
      <c r="Z1102" s="4"/>
      <c r="AA1102" s="4"/>
      <c r="AB1102" s="4"/>
      <c r="AC1102" s="4"/>
      <c r="AD1102" s="4"/>
      <c r="AE1102" s="4"/>
      <c r="AF1102" s="4"/>
      <c r="AG1102" s="4"/>
      <c r="AH1102" s="4"/>
      <c r="AI1102" s="4"/>
      <c r="AJ1102" s="4"/>
      <c r="AK1102" s="4"/>
      <c r="AL1102" s="4" t="s">
        <v>174</v>
      </c>
      <c r="AM1102" s="4" t="s">
        <v>205</v>
      </c>
    </row>
    <row r="1103" customFormat="false" ht="23.85" hidden="false" customHeight="false" outlineLevel="0" collapsed="false">
      <c r="A1103" s="4" t="s">
        <v>167</v>
      </c>
      <c r="B1103" s="4" t="s">
        <v>1280</v>
      </c>
      <c r="C1103" s="4" t="s">
        <v>1280</v>
      </c>
      <c r="D1103" s="12" t="n">
        <v>2022</v>
      </c>
      <c r="E1103" s="4"/>
      <c r="F1103" s="4" t="s">
        <v>169</v>
      </c>
      <c r="G1103" s="4" t="s">
        <v>170</v>
      </c>
      <c r="H1103" s="4" t="s">
        <v>171</v>
      </c>
      <c r="I1103" s="4" t="s">
        <v>172</v>
      </c>
      <c r="J1103" s="4" t="s">
        <v>1280</v>
      </c>
      <c r="K1103" s="4" t="s">
        <v>86</v>
      </c>
      <c r="L1103" s="4" t="s">
        <v>87</v>
      </c>
      <c r="M1103" s="4"/>
      <c r="N1103" s="4"/>
      <c r="O1103" s="4"/>
      <c r="P1103" s="4"/>
      <c r="Q1103" s="4"/>
      <c r="R1103" s="4"/>
      <c r="S1103" s="13" t="n">
        <v>0</v>
      </c>
      <c r="T1103" s="4" t="s">
        <v>173</v>
      </c>
      <c r="U1103" s="14" t="n">
        <f aca="false">IF(OR($S1103="",PARAMETROS!$B$4=""),"",$S1103*PARAMETROS!$B$4)</f>
        <v>0</v>
      </c>
      <c r="V1103" s="13" t="n">
        <v>0</v>
      </c>
      <c r="W1103" s="4"/>
      <c r="X1103" s="4"/>
      <c r="Y1103" s="4"/>
      <c r="Z1103" s="4"/>
      <c r="AA1103" s="4"/>
      <c r="AB1103" s="4"/>
      <c r="AC1103" s="4"/>
      <c r="AD1103" s="4"/>
      <c r="AE1103" s="4"/>
      <c r="AF1103" s="4"/>
      <c r="AG1103" s="4"/>
      <c r="AH1103" s="4"/>
      <c r="AI1103" s="4"/>
      <c r="AJ1103" s="4"/>
      <c r="AK1103" s="4"/>
      <c r="AL1103" s="4" t="s">
        <v>174</v>
      </c>
      <c r="AM1103" s="4" t="s">
        <v>205</v>
      </c>
    </row>
    <row r="1104" customFormat="false" ht="23.85" hidden="false" customHeight="false" outlineLevel="0" collapsed="false">
      <c r="A1104" s="4" t="s">
        <v>167</v>
      </c>
      <c r="B1104" s="4" t="s">
        <v>1281</v>
      </c>
      <c r="C1104" s="4" t="s">
        <v>1281</v>
      </c>
      <c r="D1104" s="12" t="n">
        <v>2022</v>
      </c>
      <c r="E1104" s="4"/>
      <c r="F1104" s="4" t="s">
        <v>169</v>
      </c>
      <c r="G1104" s="4" t="s">
        <v>170</v>
      </c>
      <c r="H1104" s="4" t="s">
        <v>171</v>
      </c>
      <c r="I1104" s="4" t="s">
        <v>172</v>
      </c>
      <c r="J1104" s="4" t="s">
        <v>1281</v>
      </c>
      <c r="K1104" s="4" t="s">
        <v>86</v>
      </c>
      <c r="L1104" s="4" t="s">
        <v>87</v>
      </c>
      <c r="M1104" s="4"/>
      <c r="N1104" s="4"/>
      <c r="O1104" s="4"/>
      <c r="P1104" s="4"/>
      <c r="Q1104" s="4"/>
      <c r="R1104" s="4"/>
      <c r="S1104" s="13" t="n">
        <v>0</v>
      </c>
      <c r="T1104" s="4" t="s">
        <v>173</v>
      </c>
      <c r="U1104" s="14" t="n">
        <f aca="false">IF(OR($S1104="",PARAMETROS!$B$4=""),"",$S1104*PARAMETROS!$B$4)</f>
        <v>0</v>
      </c>
      <c r="V1104" s="13" t="n">
        <v>0</v>
      </c>
      <c r="W1104" s="4"/>
      <c r="X1104" s="4"/>
      <c r="Y1104" s="4"/>
      <c r="Z1104" s="4"/>
      <c r="AA1104" s="4"/>
      <c r="AB1104" s="4"/>
      <c r="AC1104" s="4"/>
      <c r="AD1104" s="4"/>
      <c r="AE1104" s="4"/>
      <c r="AF1104" s="4"/>
      <c r="AG1104" s="4"/>
      <c r="AH1104" s="4"/>
      <c r="AI1104" s="4"/>
      <c r="AJ1104" s="4"/>
      <c r="AK1104" s="4"/>
      <c r="AL1104" s="4" t="s">
        <v>174</v>
      </c>
      <c r="AM1104" s="4" t="s">
        <v>205</v>
      </c>
    </row>
    <row r="1105" customFormat="false" ht="23.85" hidden="false" customHeight="false" outlineLevel="0" collapsed="false">
      <c r="A1105" s="4" t="s">
        <v>167</v>
      </c>
      <c r="B1105" s="4" t="s">
        <v>1282</v>
      </c>
      <c r="C1105" s="4" t="s">
        <v>1282</v>
      </c>
      <c r="D1105" s="12" t="n">
        <v>2022</v>
      </c>
      <c r="E1105" s="4"/>
      <c r="F1105" s="4" t="s">
        <v>169</v>
      </c>
      <c r="G1105" s="4" t="s">
        <v>170</v>
      </c>
      <c r="H1105" s="4" t="s">
        <v>171</v>
      </c>
      <c r="I1105" s="4" t="s">
        <v>172</v>
      </c>
      <c r="J1105" s="4" t="s">
        <v>1282</v>
      </c>
      <c r="K1105" s="4" t="s">
        <v>86</v>
      </c>
      <c r="L1105" s="4" t="s">
        <v>87</v>
      </c>
      <c r="M1105" s="4"/>
      <c r="N1105" s="4"/>
      <c r="O1105" s="4"/>
      <c r="P1105" s="4"/>
      <c r="Q1105" s="4"/>
      <c r="R1105" s="4"/>
      <c r="S1105" s="13" t="n">
        <v>0</v>
      </c>
      <c r="T1105" s="4" t="s">
        <v>173</v>
      </c>
      <c r="U1105" s="14" t="n">
        <f aca="false">IF(OR($S1105="",PARAMETROS!$B$4=""),"",$S1105*PARAMETROS!$B$4)</f>
        <v>0</v>
      </c>
      <c r="V1105" s="13" t="n">
        <v>0</v>
      </c>
      <c r="W1105" s="4"/>
      <c r="X1105" s="4"/>
      <c r="Y1105" s="4"/>
      <c r="Z1105" s="4"/>
      <c r="AA1105" s="4"/>
      <c r="AB1105" s="4"/>
      <c r="AC1105" s="4"/>
      <c r="AD1105" s="4"/>
      <c r="AE1105" s="4"/>
      <c r="AF1105" s="4"/>
      <c r="AG1105" s="4"/>
      <c r="AH1105" s="4"/>
      <c r="AI1105" s="4"/>
      <c r="AJ1105" s="4"/>
      <c r="AK1105" s="4"/>
      <c r="AL1105" s="4" t="s">
        <v>174</v>
      </c>
      <c r="AM1105" s="4" t="s">
        <v>205</v>
      </c>
    </row>
    <row r="1106" customFormat="false" ht="23.85" hidden="false" customHeight="false" outlineLevel="0" collapsed="false">
      <c r="A1106" s="4" t="s">
        <v>167</v>
      </c>
      <c r="B1106" s="4" t="s">
        <v>1283</v>
      </c>
      <c r="C1106" s="4" t="s">
        <v>1283</v>
      </c>
      <c r="D1106" s="12" t="n">
        <v>2022</v>
      </c>
      <c r="E1106" s="4"/>
      <c r="F1106" s="4" t="s">
        <v>169</v>
      </c>
      <c r="G1106" s="4" t="s">
        <v>170</v>
      </c>
      <c r="H1106" s="4" t="s">
        <v>171</v>
      </c>
      <c r="I1106" s="4" t="s">
        <v>172</v>
      </c>
      <c r="J1106" s="4" t="s">
        <v>1283</v>
      </c>
      <c r="K1106" s="4" t="s">
        <v>86</v>
      </c>
      <c r="L1106" s="4" t="s">
        <v>87</v>
      </c>
      <c r="M1106" s="4"/>
      <c r="N1106" s="4"/>
      <c r="O1106" s="4"/>
      <c r="P1106" s="4"/>
      <c r="Q1106" s="4"/>
      <c r="R1106" s="4"/>
      <c r="S1106" s="13" t="n">
        <v>0</v>
      </c>
      <c r="T1106" s="4" t="s">
        <v>173</v>
      </c>
      <c r="U1106" s="14" t="n">
        <f aca="false">IF(OR($S1106="",PARAMETROS!$B$4=""),"",$S1106*PARAMETROS!$B$4)</f>
        <v>0</v>
      </c>
      <c r="V1106" s="13" t="n">
        <v>0</v>
      </c>
      <c r="W1106" s="4"/>
      <c r="X1106" s="4"/>
      <c r="Y1106" s="4"/>
      <c r="Z1106" s="4"/>
      <c r="AA1106" s="4"/>
      <c r="AB1106" s="4"/>
      <c r="AC1106" s="4"/>
      <c r="AD1106" s="4"/>
      <c r="AE1106" s="4"/>
      <c r="AF1106" s="4"/>
      <c r="AG1106" s="4"/>
      <c r="AH1106" s="4"/>
      <c r="AI1106" s="4"/>
      <c r="AJ1106" s="4"/>
      <c r="AK1106" s="4"/>
      <c r="AL1106" s="4" t="s">
        <v>174</v>
      </c>
      <c r="AM1106" s="4" t="s">
        <v>205</v>
      </c>
    </row>
    <row r="1107" customFormat="false" ht="23.85" hidden="false" customHeight="false" outlineLevel="0" collapsed="false">
      <c r="A1107" s="4" t="s">
        <v>167</v>
      </c>
      <c r="B1107" s="4" t="s">
        <v>1284</v>
      </c>
      <c r="C1107" s="4" t="s">
        <v>1284</v>
      </c>
      <c r="D1107" s="12" t="n">
        <v>2022</v>
      </c>
      <c r="E1107" s="4"/>
      <c r="F1107" s="4" t="s">
        <v>169</v>
      </c>
      <c r="G1107" s="4" t="s">
        <v>170</v>
      </c>
      <c r="H1107" s="4" t="s">
        <v>171</v>
      </c>
      <c r="I1107" s="4" t="s">
        <v>172</v>
      </c>
      <c r="J1107" s="4" t="s">
        <v>1284</v>
      </c>
      <c r="K1107" s="4" t="s">
        <v>86</v>
      </c>
      <c r="L1107" s="4" t="s">
        <v>87</v>
      </c>
      <c r="M1107" s="4"/>
      <c r="N1107" s="4"/>
      <c r="O1107" s="4"/>
      <c r="P1107" s="4"/>
      <c r="Q1107" s="4"/>
      <c r="R1107" s="4"/>
      <c r="S1107" s="13" t="n">
        <v>0</v>
      </c>
      <c r="T1107" s="4" t="s">
        <v>173</v>
      </c>
      <c r="U1107" s="14" t="n">
        <f aca="false">IF(OR($S1107="",PARAMETROS!$B$4=""),"",$S1107*PARAMETROS!$B$4)</f>
        <v>0</v>
      </c>
      <c r="V1107" s="13" t="n">
        <v>0</v>
      </c>
      <c r="W1107" s="4"/>
      <c r="X1107" s="4"/>
      <c r="Y1107" s="4"/>
      <c r="Z1107" s="4"/>
      <c r="AA1107" s="4"/>
      <c r="AB1107" s="4"/>
      <c r="AC1107" s="4"/>
      <c r="AD1107" s="4"/>
      <c r="AE1107" s="4"/>
      <c r="AF1107" s="4"/>
      <c r="AG1107" s="4"/>
      <c r="AH1107" s="4"/>
      <c r="AI1107" s="4"/>
      <c r="AJ1107" s="4"/>
      <c r="AK1107" s="4"/>
      <c r="AL1107" s="4" t="s">
        <v>174</v>
      </c>
      <c r="AM1107" s="4" t="s">
        <v>205</v>
      </c>
    </row>
    <row r="1108" customFormat="false" ht="23.85" hidden="false" customHeight="false" outlineLevel="0" collapsed="false">
      <c r="A1108" s="4" t="s">
        <v>167</v>
      </c>
      <c r="B1108" s="4" t="s">
        <v>1285</v>
      </c>
      <c r="C1108" s="4" t="s">
        <v>1285</v>
      </c>
      <c r="D1108" s="12" t="n">
        <v>2022</v>
      </c>
      <c r="E1108" s="4"/>
      <c r="F1108" s="4" t="s">
        <v>169</v>
      </c>
      <c r="G1108" s="4" t="s">
        <v>170</v>
      </c>
      <c r="H1108" s="4" t="s">
        <v>171</v>
      </c>
      <c r="I1108" s="4" t="s">
        <v>172</v>
      </c>
      <c r="J1108" s="4" t="s">
        <v>1285</v>
      </c>
      <c r="K1108" s="4" t="s">
        <v>88</v>
      </c>
      <c r="L1108" s="4" t="s">
        <v>89</v>
      </c>
      <c r="M1108" s="4"/>
      <c r="N1108" s="4"/>
      <c r="O1108" s="4"/>
      <c r="P1108" s="4"/>
      <c r="Q1108" s="4"/>
      <c r="R1108" s="4"/>
      <c r="S1108" s="13" t="n">
        <v>136.6</v>
      </c>
      <c r="T1108" s="4" t="s">
        <v>173</v>
      </c>
      <c r="U1108" s="14" t="n">
        <f aca="false">IF(OR($S1108="",PARAMETROS!$B$4=""),"",$S1108*PARAMETROS!$B$4)</f>
        <v>793.646</v>
      </c>
      <c r="V1108" s="13" t="n">
        <v>0</v>
      </c>
      <c r="W1108" s="4"/>
      <c r="X1108" s="4"/>
      <c r="Y1108" s="4"/>
      <c r="Z1108" s="4"/>
      <c r="AA1108" s="4"/>
      <c r="AB1108" s="4"/>
      <c r="AC1108" s="4"/>
      <c r="AD1108" s="4"/>
      <c r="AE1108" s="4"/>
      <c r="AF1108" s="4"/>
      <c r="AG1108" s="4"/>
      <c r="AH1108" s="4"/>
      <c r="AI1108" s="4"/>
      <c r="AJ1108" s="4"/>
      <c r="AK1108" s="4"/>
      <c r="AL1108" s="4" t="s">
        <v>174</v>
      </c>
      <c r="AM1108" s="4" t="s">
        <v>190</v>
      </c>
    </row>
    <row r="1109" customFormat="false" ht="23.85" hidden="false" customHeight="false" outlineLevel="0" collapsed="false">
      <c r="A1109" s="4" t="s">
        <v>167</v>
      </c>
      <c r="B1109" s="4" t="s">
        <v>1286</v>
      </c>
      <c r="C1109" s="4" t="s">
        <v>1286</v>
      </c>
      <c r="D1109" s="12" t="n">
        <v>2022</v>
      </c>
      <c r="E1109" s="4"/>
      <c r="F1109" s="4" t="s">
        <v>169</v>
      </c>
      <c r="G1109" s="4" t="s">
        <v>170</v>
      </c>
      <c r="H1109" s="4" t="s">
        <v>171</v>
      </c>
      <c r="I1109" s="4" t="s">
        <v>172</v>
      </c>
      <c r="J1109" s="4" t="s">
        <v>1286</v>
      </c>
      <c r="K1109" s="4" t="s">
        <v>88</v>
      </c>
      <c r="L1109" s="4" t="s">
        <v>89</v>
      </c>
      <c r="M1109" s="4"/>
      <c r="N1109" s="4"/>
      <c r="O1109" s="4"/>
      <c r="P1109" s="4"/>
      <c r="Q1109" s="4"/>
      <c r="R1109" s="4"/>
      <c r="S1109" s="13" t="n">
        <v>0</v>
      </c>
      <c r="T1109" s="4" t="s">
        <v>173</v>
      </c>
      <c r="U1109" s="14" t="n">
        <f aca="false">IF(OR($S1109="",PARAMETROS!$B$4=""),"",$S1109*PARAMETROS!$B$4)</f>
        <v>0</v>
      </c>
      <c r="V1109" s="13" t="n">
        <v>0</v>
      </c>
      <c r="W1109" s="4"/>
      <c r="X1109" s="4"/>
      <c r="Y1109" s="4"/>
      <c r="Z1109" s="4"/>
      <c r="AA1109" s="4"/>
      <c r="AB1109" s="4"/>
      <c r="AC1109" s="4"/>
      <c r="AD1109" s="4"/>
      <c r="AE1109" s="4"/>
      <c r="AF1109" s="4"/>
      <c r="AG1109" s="4"/>
      <c r="AH1109" s="4"/>
      <c r="AI1109" s="4"/>
      <c r="AJ1109" s="4"/>
      <c r="AK1109" s="4"/>
      <c r="AL1109" s="4" t="s">
        <v>174</v>
      </c>
      <c r="AM1109" s="4" t="s">
        <v>190</v>
      </c>
    </row>
    <row r="1110" customFormat="false" ht="23.85" hidden="false" customHeight="false" outlineLevel="0" collapsed="false">
      <c r="A1110" s="4" t="s">
        <v>167</v>
      </c>
      <c r="B1110" s="4" t="s">
        <v>1287</v>
      </c>
      <c r="C1110" s="4" t="s">
        <v>1287</v>
      </c>
      <c r="D1110" s="12" t="n">
        <v>2022</v>
      </c>
      <c r="E1110" s="4"/>
      <c r="F1110" s="4" t="s">
        <v>169</v>
      </c>
      <c r="G1110" s="4" t="s">
        <v>170</v>
      </c>
      <c r="H1110" s="4" t="s">
        <v>171</v>
      </c>
      <c r="I1110" s="4" t="s">
        <v>172</v>
      </c>
      <c r="J1110" s="4" t="s">
        <v>1287</v>
      </c>
      <c r="K1110" s="4" t="s">
        <v>88</v>
      </c>
      <c r="L1110" s="4" t="s">
        <v>89</v>
      </c>
      <c r="M1110" s="4"/>
      <c r="N1110" s="4"/>
      <c r="O1110" s="4"/>
      <c r="P1110" s="4"/>
      <c r="Q1110" s="4"/>
      <c r="R1110" s="4"/>
      <c r="S1110" s="13" t="n">
        <v>0</v>
      </c>
      <c r="T1110" s="4" t="s">
        <v>173</v>
      </c>
      <c r="U1110" s="14" t="n">
        <f aca="false">IF(OR($S1110="",PARAMETROS!$B$4=""),"",$S1110*PARAMETROS!$B$4)</f>
        <v>0</v>
      </c>
      <c r="V1110" s="13" t="n">
        <v>0</v>
      </c>
      <c r="W1110" s="4"/>
      <c r="X1110" s="4"/>
      <c r="Y1110" s="4"/>
      <c r="Z1110" s="4"/>
      <c r="AA1110" s="4"/>
      <c r="AB1110" s="4"/>
      <c r="AC1110" s="4"/>
      <c r="AD1110" s="4"/>
      <c r="AE1110" s="4"/>
      <c r="AF1110" s="4"/>
      <c r="AG1110" s="4"/>
      <c r="AH1110" s="4"/>
      <c r="AI1110" s="4"/>
      <c r="AJ1110" s="4"/>
      <c r="AK1110" s="4"/>
      <c r="AL1110" s="4" t="s">
        <v>174</v>
      </c>
      <c r="AM1110" s="4" t="s">
        <v>190</v>
      </c>
    </row>
    <row r="1111" customFormat="false" ht="23.85" hidden="false" customHeight="false" outlineLevel="0" collapsed="false">
      <c r="A1111" s="4" t="s">
        <v>167</v>
      </c>
      <c r="B1111" s="4" t="s">
        <v>1288</v>
      </c>
      <c r="C1111" s="4" t="s">
        <v>1288</v>
      </c>
      <c r="D1111" s="12" t="n">
        <v>2022</v>
      </c>
      <c r="E1111" s="4"/>
      <c r="F1111" s="4" t="s">
        <v>169</v>
      </c>
      <c r="G1111" s="4" t="s">
        <v>170</v>
      </c>
      <c r="H1111" s="4" t="s">
        <v>171</v>
      </c>
      <c r="I1111" s="4" t="s">
        <v>172</v>
      </c>
      <c r="J1111" s="4" t="s">
        <v>1288</v>
      </c>
      <c r="K1111" s="4" t="s">
        <v>88</v>
      </c>
      <c r="L1111" s="4" t="s">
        <v>89</v>
      </c>
      <c r="M1111" s="4"/>
      <c r="N1111" s="4"/>
      <c r="O1111" s="4"/>
      <c r="P1111" s="4"/>
      <c r="Q1111" s="4"/>
      <c r="R1111" s="4"/>
      <c r="S1111" s="13" t="n">
        <v>0</v>
      </c>
      <c r="T1111" s="4" t="s">
        <v>173</v>
      </c>
      <c r="U1111" s="14" t="n">
        <f aca="false">IF(OR($S1111="",PARAMETROS!$B$4=""),"",$S1111*PARAMETROS!$B$4)</f>
        <v>0</v>
      </c>
      <c r="V1111" s="13" t="n">
        <v>0</v>
      </c>
      <c r="W1111" s="4"/>
      <c r="X1111" s="4"/>
      <c r="Y1111" s="4"/>
      <c r="Z1111" s="4"/>
      <c r="AA1111" s="4"/>
      <c r="AB1111" s="4"/>
      <c r="AC1111" s="4"/>
      <c r="AD1111" s="4"/>
      <c r="AE1111" s="4"/>
      <c r="AF1111" s="4"/>
      <c r="AG1111" s="4"/>
      <c r="AH1111" s="4"/>
      <c r="AI1111" s="4"/>
      <c r="AJ1111" s="4"/>
      <c r="AK1111" s="4"/>
      <c r="AL1111" s="4" t="s">
        <v>174</v>
      </c>
      <c r="AM1111" s="4" t="s">
        <v>190</v>
      </c>
    </row>
    <row r="1112" customFormat="false" ht="23.85" hidden="false" customHeight="false" outlineLevel="0" collapsed="false">
      <c r="A1112" s="4" t="s">
        <v>167</v>
      </c>
      <c r="B1112" s="4" t="s">
        <v>1289</v>
      </c>
      <c r="C1112" s="4" t="s">
        <v>1289</v>
      </c>
      <c r="D1112" s="12" t="n">
        <v>2022</v>
      </c>
      <c r="E1112" s="4"/>
      <c r="F1112" s="4" t="s">
        <v>169</v>
      </c>
      <c r="G1112" s="4" t="s">
        <v>170</v>
      </c>
      <c r="H1112" s="4" t="s">
        <v>171</v>
      </c>
      <c r="I1112" s="4" t="s">
        <v>172</v>
      </c>
      <c r="J1112" s="4" t="s">
        <v>1289</v>
      </c>
      <c r="K1112" s="4" t="s">
        <v>88</v>
      </c>
      <c r="L1112" s="4" t="s">
        <v>89</v>
      </c>
      <c r="M1112" s="4"/>
      <c r="N1112" s="4"/>
      <c r="O1112" s="4"/>
      <c r="P1112" s="4"/>
      <c r="Q1112" s="4"/>
      <c r="R1112" s="4"/>
      <c r="S1112" s="13" t="n">
        <v>0</v>
      </c>
      <c r="T1112" s="4" t="s">
        <v>173</v>
      </c>
      <c r="U1112" s="14" t="n">
        <f aca="false">IF(OR($S1112="",PARAMETROS!$B$4=""),"",$S1112*PARAMETROS!$B$4)</f>
        <v>0</v>
      </c>
      <c r="V1112" s="13" t="n">
        <v>0</v>
      </c>
      <c r="W1112" s="4"/>
      <c r="X1112" s="4"/>
      <c r="Y1112" s="4"/>
      <c r="Z1112" s="4"/>
      <c r="AA1112" s="4"/>
      <c r="AB1112" s="4"/>
      <c r="AC1112" s="4"/>
      <c r="AD1112" s="4"/>
      <c r="AE1112" s="4"/>
      <c r="AF1112" s="4"/>
      <c r="AG1112" s="4"/>
      <c r="AH1112" s="4"/>
      <c r="AI1112" s="4"/>
      <c r="AJ1112" s="4"/>
      <c r="AK1112" s="4"/>
      <c r="AL1112" s="4" t="s">
        <v>174</v>
      </c>
      <c r="AM1112" s="4" t="s">
        <v>190</v>
      </c>
    </row>
    <row r="1113" customFormat="false" ht="23.85" hidden="false" customHeight="false" outlineLevel="0" collapsed="false">
      <c r="A1113" s="4" t="s">
        <v>167</v>
      </c>
      <c r="B1113" s="4" t="s">
        <v>1290</v>
      </c>
      <c r="C1113" s="4" t="s">
        <v>1290</v>
      </c>
      <c r="D1113" s="12" t="n">
        <v>2022</v>
      </c>
      <c r="E1113" s="4"/>
      <c r="F1113" s="4" t="s">
        <v>169</v>
      </c>
      <c r="G1113" s="4" t="s">
        <v>170</v>
      </c>
      <c r="H1113" s="4" t="s">
        <v>171</v>
      </c>
      <c r="I1113" s="4" t="s">
        <v>172</v>
      </c>
      <c r="J1113" s="4" t="s">
        <v>1290</v>
      </c>
      <c r="K1113" s="4" t="s">
        <v>88</v>
      </c>
      <c r="L1113" s="4" t="s">
        <v>89</v>
      </c>
      <c r="M1113" s="4"/>
      <c r="N1113" s="4"/>
      <c r="O1113" s="4"/>
      <c r="P1113" s="4"/>
      <c r="Q1113" s="4"/>
      <c r="R1113" s="4"/>
      <c r="S1113" s="13" t="n">
        <v>-136.6</v>
      </c>
      <c r="T1113" s="4" t="s">
        <v>173</v>
      </c>
      <c r="U1113" s="14" t="n">
        <f aca="false">IF(OR($S1113="",PARAMETROS!$B$4=""),"",$S1113*PARAMETROS!$B$4)</f>
        <v>-793.646</v>
      </c>
      <c r="V1113" s="13" t="n">
        <v>0</v>
      </c>
      <c r="W1113" s="4"/>
      <c r="X1113" s="4"/>
      <c r="Y1113" s="4"/>
      <c r="Z1113" s="4"/>
      <c r="AA1113" s="4"/>
      <c r="AB1113" s="4"/>
      <c r="AC1113" s="4"/>
      <c r="AD1113" s="4"/>
      <c r="AE1113" s="4"/>
      <c r="AF1113" s="4"/>
      <c r="AG1113" s="4"/>
      <c r="AH1113" s="4"/>
      <c r="AI1113" s="4"/>
      <c r="AJ1113" s="4"/>
      <c r="AK1113" s="4"/>
      <c r="AL1113" s="4" t="s">
        <v>174</v>
      </c>
      <c r="AM1113" s="4" t="s">
        <v>190</v>
      </c>
    </row>
    <row r="1114" customFormat="false" ht="23.85" hidden="false" customHeight="false" outlineLevel="0" collapsed="false">
      <c r="A1114" s="4" t="s">
        <v>167</v>
      </c>
      <c r="B1114" s="4" t="s">
        <v>1291</v>
      </c>
      <c r="C1114" s="4" t="s">
        <v>1291</v>
      </c>
      <c r="D1114" s="12" t="n">
        <v>2022</v>
      </c>
      <c r="E1114" s="4"/>
      <c r="F1114" s="4" t="s">
        <v>169</v>
      </c>
      <c r="G1114" s="4" t="s">
        <v>170</v>
      </c>
      <c r="H1114" s="4" t="s">
        <v>171</v>
      </c>
      <c r="I1114" s="4" t="s">
        <v>172</v>
      </c>
      <c r="J1114" s="4" t="s">
        <v>1291</v>
      </c>
      <c r="K1114" s="4" t="s">
        <v>88</v>
      </c>
      <c r="L1114" s="4" t="s">
        <v>89</v>
      </c>
      <c r="M1114" s="4"/>
      <c r="N1114" s="4"/>
      <c r="O1114" s="4"/>
      <c r="P1114" s="4"/>
      <c r="Q1114" s="4"/>
      <c r="R1114" s="4"/>
      <c r="S1114" s="13" t="n">
        <v>0</v>
      </c>
      <c r="T1114" s="4" t="s">
        <v>173</v>
      </c>
      <c r="U1114" s="14" t="n">
        <f aca="false">IF(OR($S1114="",PARAMETROS!$B$4=""),"",$S1114*PARAMETROS!$B$4)</f>
        <v>0</v>
      </c>
      <c r="V1114" s="13" t="n">
        <v>0</v>
      </c>
      <c r="W1114" s="4"/>
      <c r="X1114" s="4"/>
      <c r="Y1114" s="4"/>
      <c r="Z1114" s="4"/>
      <c r="AA1114" s="4"/>
      <c r="AB1114" s="4"/>
      <c r="AC1114" s="4"/>
      <c r="AD1114" s="4"/>
      <c r="AE1114" s="4"/>
      <c r="AF1114" s="4"/>
      <c r="AG1114" s="4"/>
      <c r="AH1114" s="4"/>
      <c r="AI1114" s="4"/>
      <c r="AJ1114" s="4"/>
      <c r="AK1114" s="4"/>
      <c r="AL1114" s="4" t="s">
        <v>174</v>
      </c>
      <c r="AM1114" s="4" t="s">
        <v>190</v>
      </c>
    </row>
    <row r="1115" customFormat="false" ht="23.85" hidden="false" customHeight="false" outlineLevel="0" collapsed="false">
      <c r="A1115" s="4" t="s">
        <v>167</v>
      </c>
      <c r="B1115" s="4" t="s">
        <v>1292</v>
      </c>
      <c r="C1115" s="4" t="s">
        <v>1292</v>
      </c>
      <c r="D1115" s="12" t="n">
        <v>2022</v>
      </c>
      <c r="E1115" s="4"/>
      <c r="F1115" s="4" t="s">
        <v>169</v>
      </c>
      <c r="G1115" s="4" t="s">
        <v>170</v>
      </c>
      <c r="H1115" s="4" t="s">
        <v>171</v>
      </c>
      <c r="I1115" s="4" t="s">
        <v>172</v>
      </c>
      <c r="J1115" s="4" t="s">
        <v>1292</v>
      </c>
      <c r="K1115" s="4" t="s">
        <v>88</v>
      </c>
      <c r="L1115" s="4" t="s">
        <v>89</v>
      </c>
      <c r="M1115" s="4"/>
      <c r="N1115" s="4"/>
      <c r="O1115" s="4"/>
      <c r="P1115" s="4"/>
      <c r="Q1115" s="4"/>
      <c r="R1115" s="4"/>
      <c r="S1115" s="13" t="n">
        <v>0</v>
      </c>
      <c r="T1115" s="4" t="s">
        <v>173</v>
      </c>
      <c r="U1115" s="14" t="n">
        <f aca="false">IF(OR($S1115="",PARAMETROS!$B$4=""),"",$S1115*PARAMETROS!$B$4)</f>
        <v>0</v>
      </c>
      <c r="V1115" s="13" t="n">
        <v>0</v>
      </c>
      <c r="W1115" s="4"/>
      <c r="X1115" s="4"/>
      <c r="Y1115" s="4"/>
      <c r="Z1115" s="4"/>
      <c r="AA1115" s="4"/>
      <c r="AB1115" s="4"/>
      <c r="AC1115" s="4"/>
      <c r="AD1115" s="4"/>
      <c r="AE1115" s="4"/>
      <c r="AF1115" s="4"/>
      <c r="AG1115" s="4"/>
      <c r="AH1115" s="4"/>
      <c r="AI1115" s="4"/>
      <c r="AJ1115" s="4"/>
      <c r="AK1115" s="4"/>
      <c r="AL1115" s="4" t="s">
        <v>174</v>
      </c>
      <c r="AM1115" s="4" t="s">
        <v>190</v>
      </c>
    </row>
    <row r="1116" customFormat="false" ht="23.85" hidden="false" customHeight="false" outlineLevel="0" collapsed="false">
      <c r="A1116" s="4" t="s">
        <v>167</v>
      </c>
      <c r="B1116" s="4" t="s">
        <v>1293</v>
      </c>
      <c r="C1116" s="4" t="s">
        <v>1293</v>
      </c>
      <c r="D1116" s="12" t="n">
        <v>2022</v>
      </c>
      <c r="E1116" s="4"/>
      <c r="F1116" s="4" t="s">
        <v>169</v>
      </c>
      <c r="G1116" s="4" t="s">
        <v>170</v>
      </c>
      <c r="H1116" s="4" t="s">
        <v>171</v>
      </c>
      <c r="I1116" s="4" t="s">
        <v>172</v>
      </c>
      <c r="J1116" s="4" t="s">
        <v>1293</v>
      </c>
      <c r="K1116" s="4" t="s">
        <v>88</v>
      </c>
      <c r="L1116" s="4" t="s">
        <v>89</v>
      </c>
      <c r="M1116" s="4"/>
      <c r="N1116" s="4"/>
      <c r="O1116" s="4"/>
      <c r="P1116" s="4"/>
      <c r="Q1116" s="4"/>
      <c r="R1116" s="4"/>
      <c r="S1116" s="13" t="n">
        <v>0</v>
      </c>
      <c r="T1116" s="4" t="s">
        <v>173</v>
      </c>
      <c r="U1116" s="14" t="n">
        <f aca="false">IF(OR($S1116="",PARAMETROS!$B$4=""),"",$S1116*PARAMETROS!$B$4)</f>
        <v>0</v>
      </c>
      <c r="V1116" s="13" t="n">
        <v>0</v>
      </c>
      <c r="W1116" s="4"/>
      <c r="X1116" s="4"/>
      <c r="Y1116" s="4"/>
      <c r="Z1116" s="4"/>
      <c r="AA1116" s="4"/>
      <c r="AB1116" s="4"/>
      <c r="AC1116" s="4"/>
      <c r="AD1116" s="4"/>
      <c r="AE1116" s="4"/>
      <c r="AF1116" s="4"/>
      <c r="AG1116" s="4"/>
      <c r="AH1116" s="4"/>
      <c r="AI1116" s="4"/>
      <c r="AJ1116" s="4"/>
      <c r="AK1116" s="4"/>
      <c r="AL1116" s="4" t="s">
        <v>174</v>
      </c>
      <c r="AM1116" s="4" t="s">
        <v>190</v>
      </c>
    </row>
    <row r="1117" customFormat="false" ht="23.85" hidden="false" customHeight="false" outlineLevel="0" collapsed="false">
      <c r="A1117" s="4" t="s">
        <v>167</v>
      </c>
      <c r="B1117" s="4" t="s">
        <v>1294</v>
      </c>
      <c r="C1117" s="4" t="s">
        <v>1294</v>
      </c>
      <c r="D1117" s="12" t="n">
        <v>2022</v>
      </c>
      <c r="E1117" s="4"/>
      <c r="F1117" s="4" t="s">
        <v>169</v>
      </c>
      <c r="G1117" s="4" t="s">
        <v>170</v>
      </c>
      <c r="H1117" s="4" t="s">
        <v>171</v>
      </c>
      <c r="I1117" s="4" t="s">
        <v>172</v>
      </c>
      <c r="J1117" s="4" t="s">
        <v>1294</v>
      </c>
      <c r="K1117" s="4" t="s">
        <v>88</v>
      </c>
      <c r="L1117" s="4" t="s">
        <v>89</v>
      </c>
      <c r="M1117" s="4"/>
      <c r="N1117" s="4"/>
      <c r="O1117" s="4"/>
      <c r="P1117" s="4"/>
      <c r="Q1117" s="4"/>
      <c r="R1117" s="4"/>
      <c r="S1117" s="13" t="n">
        <v>0</v>
      </c>
      <c r="T1117" s="4" t="s">
        <v>173</v>
      </c>
      <c r="U1117" s="14" t="n">
        <f aca="false">IF(OR($S1117="",PARAMETROS!$B$4=""),"",$S1117*PARAMETROS!$B$4)</f>
        <v>0</v>
      </c>
      <c r="V1117" s="13" t="n">
        <v>0</v>
      </c>
      <c r="W1117" s="4"/>
      <c r="X1117" s="4"/>
      <c r="Y1117" s="4"/>
      <c r="Z1117" s="4"/>
      <c r="AA1117" s="4"/>
      <c r="AB1117" s="4"/>
      <c r="AC1117" s="4"/>
      <c r="AD1117" s="4"/>
      <c r="AE1117" s="4"/>
      <c r="AF1117" s="4"/>
      <c r="AG1117" s="4"/>
      <c r="AH1117" s="4"/>
      <c r="AI1117" s="4"/>
      <c r="AJ1117" s="4"/>
      <c r="AK1117" s="4"/>
      <c r="AL1117" s="4" t="s">
        <v>174</v>
      </c>
      <c r="AM1117" s="4" t="s">
        <v>190</v>
      </c>
    </row>
    <row r="1118" customFormat="false" ht="23.85" hidden="false" customHeight="false" outlineLevel="0" collapsed="false">
      <c r="A1118" s="4" t="s">
        <v>167</v>
      </c>
      <c r="B1118" s="4" t="s">
        <v>1295</v>
      </c>
      <c r="C1118" s="4" t="s">
        <v>1295</v>
      </c>
      <c r="D1118" s="12" t="n">
        <v>2022</v>
      </c>
      <c r="E1118" s="4"/>
      <c r="F1118" s="4" t="s">
        <v>169</v>
      </c>
      <c r="G1118" s="4" t="s">
        <v>170</v>
      </c>
      <c r="H1118" s="4" t="s">
        <v>171</v>
      </c>
      <c r="I1118" s="4" t="s">
        <v>172</v>
      </c>
      <c r="J1118" s="4" t="s">
        <v>1295</v>
      </c>
      <c r="K1118" s="4" t="s">
        <v>88</v>
      </c>
      <c r="L1118" s="4" t="s">
        <v>89</v>
      </c>
      <c r="M1118" s="4"/>
      <c r="N1118" s="4"/>
      <c r="O1118" s="4"/>
      <c r="P1118" s="4"/>
      <c r="Q1118" s="4"/>
      <c r="R1118" s="4"/>
      <c r="S1118" s="13" t="n">
        <v>0</v>
      </c>
      <c r="T1118" s="4" t="s">
        <v>173</v>
      </c>
      <c r="U1118" s="14" t="n">
        <f aca="false">IF(OR($S1118="",PARAMETROS!$B$4=""),"",$S1118*PARAMETROS!$B$4)</f>
        <v>0</v>
      </c>
      <c r="V1118" s="13" t="n">
        <v>0</v>
      </c>
      <c r="W1118" s="4"/>
      <c r="X1118" s="4"/>
      <c r="Y1118" s="4"/>
      <c r="Z1118" s="4"/>
      <c r="AA1118" s="4"/>
      <c r="AB1118" s="4"/>
      <c r="AC1118" s="4"/>
      <c r="AD1118" s="4"/>
      <c r="AE1118" s="4"/>
      <c r="AF1118" s="4"/>
      <c r="AG1118" s="4"/>
      <c r="AH1118" s="4"/>
      <c r="AI1118" s="4"/>
      <c r="AJ1118" s="4"/>
      <c r="AK1118" s="4"/>
      <c r="AL1118" s="4" t="s">
        <v>174</v>
      </c>
      <c r="AM1118" s="4" t="s">
        <v>190</v>
      </c>
    </row>
    <row r="1119" customFormat="false" ht="23.85" hidden="false" customHeight="false" outlineLevel="0" collapsed="false">
      <c r="A1119" s="4" t="s">
        <v>167</v>
      </c>
      <c r="B1119" s="4" t="s">
        <v>1296</v>
      </c>
      <c r="C1119" s="4" t="s">
        <v>1296</v>
      </c>
      <c r="D1119" s="12" t="n">
        <v>2022</v>
      </c>
      <c r="E1119" s="4"/>
      <c r="F1119" s="4" t="s">
        <v>169</v>
      </c>
      <c r="G1119" s="4" t="s">
        <v>170</v>
      </c>
      <c r="H1119" s="4" t="s">
        <v>171</v>
      </c>
      <c r="I1119" s="4" t="s">
        <v>172</v>
      </c>
      <c r="J1119" s="4" t="s">
        <v>1296</v>
      </c>
      <c r="K1119" s="4" t="s">
        <v>88</v>
      </c>
      <c r="L1119" s="4" t="s">
        <v>89</v>
      </c>
      <c r="M1119" s="4"/>
      <c r="N1119" s="4"/>
      <c r="O1119" s="4"/>
      <c r="P1119" s="4"/>
      <c r="Q1119" s="4"/>
      <c r="R1119" s="4"/>
      <c r="S1119" s="13" t="n">
        <v>0</v>
      </c>
      <c r="T1119" s="4" t="s">
        <v>173</v>
      </c>
      <c r="U1119" s="14" t="n">
        <f aca="false">IF(OR($S1119="",PARAMETROS!$B$4=""),"",$S1119*PARAMETROS!$B$4)</f>
        <v>0</v>
      </c>
      <c r="V1119" s="13" t="n">
        <v>0</v>
      </c>
      <c r="W1119" s="4"/>
      <c r="X1119" s="4"/>
      <c r="Y1119" s="4"/>
      <c r="Z1119" s="4"/>
      <c r="AA1119" s="4"/>
      <c r="AB1119" s="4"/>
      <c r="AC1119" s="4"/>
      <c r="AD1119" s="4"/>
      <c r="AE1119" s="4"/>
      <c r="AF1119" s="4"/>
      <c r="AG1119" s="4"/>
      <c r="AH1119" s="4"/>
      <c r="AI1119" s="4"/>
      <c r="AJ1119" s="4"/>
      <c r="AK1119" s="4"/>
      <c r="AL1119" s="4" t="s">
        <v>174</v>
      </c>
      <c r="AM1119" s="4" t="s">
        <v>190</v>
      </c>
    </row>
    <row r="1120" customFormat="false" ht="23.85" hidden="false" customHeight="false" outlineLevel="0" collapsed="false">
      <c r="A1120" s="4" t="s">
        <v>167</v>
      </c>
      <c r="B1120" s="4" t="s">
        <v>1297</v>
      </c>
      <c r="C1120" s="4" t="s">
        <v>1297</v>
      </c>
      <c r="D1120" s="12" t="n">
        <v>2022</v>
      </c>
      <c r="E1120" s="4"/>
      <c r="F1120" s="4" t="s">
        <v>169</v>
      </c>
      <c r="G1120" s="4" t="s">
        <v>170</v>
      </c>
      <c r="H1120" s="4" t="s">
        <v>171</v>
      </c>
      <c r="I1120" s="4" t="s">
        <v>172</v>
      </c>
      <c r="J1120" s="4" t="s">
        <v>1297</v>
      </c>
      <c r="K1120" s="4" t="s">
        <v>88</v>
      </c>
      <c r="L1120" s="4" t="s">
        <v>89</v>
      </c>
      <c r="M1120" s="4"/>
      <c r="N1120" s="4"/>
      <c r="O1120" s="4"/>
      <c r="P1120" s="4"/>
      <c r="Q1120" s="4"/>
      <c r="R1120" s="4"/>
      <c r="S1120" s="13" t="n">
        <v>0</v>
      </c>
      <c r="T1120" s="4" t="s">
        <v>173</v>
      </c>
      <c r="U1120" s="14" t="n">
        <f aca="false">IF(OR($S1120="",PARAMETROS!$B$4=""),"",$S1120*PARAMETROS!$B$4)</f>
        <v>0</v>
      </c>
      <c r="V1120" s="13" t="n">
        <v>0</v>
      </c>
      <c r="W1120" s="4"/>
      <c r="X1120" s="4"/>
      <c r="Y1120" s="4"/>
      <c r="Z1120" s="4"/>
      <c r="AA1120" s="4"/>
      <c r="AB1120" s="4"/>
      <c r="AC1120" s="4"/>
      <c r="AD1120" s="4"/>
      <c r="AE1120" s="4"/>
      <c r="AF1120" s="4"/>
      <c r="AG1120" s="4"/>
      <c r="AH1120" s="4"/>
      <c r="AI1120" s="4"/>
      <c r="AJ1120" s="4"/>
      <c r="AK1120" s="4"/>
      <c r="AL1120" s="4" t="s">
        <v>174</v>
      </c>
      <c r="AM1120" s="4" t="s">
        <v>190</v>
      </c>
    </row>
    <row r="1121" customFormat="false" ht="23.85" hidden="false" customHeight="false" outlineLevel="0" collapsed="false">
      <c r="A1121" s="4" t="s">
        <v>167</v>
      </c>
      <c r="B1121" s="4" t="s">
        <v>1298</v>
      </c>
      <c r="C1121" s="4" t="s">
        <v>1298</v>
      </c>
      <c r="D1121" s="12" t="n">
        <v>2022</v>
      </c>
      <c r="E1121" s="4"/>
      <c r="F1121" s="4" t="s">
        <v>169</v>
      </c>
      <c r="G1121" s="4" t="s">
        <v>170</v>
      </c>
      <c r="H1121" s="4" t="s">
        <v>171</v>
      </c>
      <c r="I1121" s="4" t="s">
        <v>172</v>
      </c>
      <c r="J1121" s="4" t="s">
        <v>1298</v>
      </c>
      <c r="K1121" s="4" t="s">
        <v>88</v>
      </c>
      <c r="L1121" s="4" t="s">
        <v>89</v>
      </c>
      <c r="M1121" s="4"/>
      <c r="N1121" s="4"/>
      <c r="O1121" s="4"/>
      <c r="P1121" s="4"/>
      <c r="Q1121" s="4"/>
      <c r="R1121" s="4"/>
      <c r="S1121" s="13" t="n">
        <v>0</v>
      </c>
      <c r="T1121" s="4" t="s">
        <v>173</v>
      </c>
      <c r="U1121" s="14" t="n">
        <f aca="false">IF(OR($S1121="",PARAMETROS!$B$4=""),"",$S1121*PARAMETROS!$B$4)</f>
        <v>0</v>
      </c>
      <c r="V1121" s="13" t="n">
        <v>0</v>
      </c>
      <c r="W1121" s="4"/>
      <c r="X1121" s="4"/>
      <c r="Y1121" s="4"/>
      <c r="Z1121" s="4"/>
      <c r="AA1121" s="4"/>
      <c r="AB1121" s="4"/>
      <c r="AC1121" s="4"/>
      <c r="AD1121" s="4"/>
      <c r="AE1121" s="4"/>
      <c r="AF1121" s="4"/>
      <c r="AG1121" s="4"/>
      <c r="AH1121" s="4"/>
      <c r="AI1121" s="4"/>
      <c r="AJ1121" s="4"/>
      <c r="AK1121" s="4"/>
      <c r="AL1121" s="4" t="s">
        <v>174</v>
      </c>
      <c r="AM1121" s="4" t="s">
        <v>190</v>
      </c>
    </row>
    <row r="1122" customFormat="false" ht="23.85" hidden="false" customHeight="false" outlineLevel="0" collapsed="false">
      <c r="A1122" s="4" t="s">
        <v>167</v>
      </c>
      <c r="B1122" s="4" t="s">
        <v>1299</v>
      </c>
      <c r="C1122" s="4" t="s">
        <v>1299</v>
      </c>
      <c r="D1122" s="12" t="n">
        <v>2022</v>
      </c>
      <c r="E1122" s="4"/>
      <c r="F1122" s="4" t="s">
        <v>169</v>
      </c>
      <c r="G1122" s="4" t="s">
        <v>170</v>
      </c>
      <c r="H1122" s="4" t="s">
        <v>171</v>
      </c>
      <c r="I1122" s="4" t="s">
        <v>172</v>
      </c>
      <c r="J1122" s="4" t="s">
        <v>1299</v>
      </c>
      <c r="K1122" s="4" t="s">
        <v>95</v>
      </c>
      <c r="L1122" s="4" t="s">
        <v>96</v>
      </c>
      <c r="M1122" s="4"/>
      <c r="N1122" s="4"/>
      <c r="O1122" s="4"/>
      <c r="P1122" s="4"/>
      <c r="Q1122" s="4"/>
      <c r="R1122" s="4"/>
      <c r="S1122" s="13" t="n">
        <v>0</v>
      </c>
      <c r="T1122" s="4" t="s">
        <v>173</v>
      </c>
      <c r="U1122" s="14" t="n">
        <f aca="false">IF(OR($S1122="",PARAMETROS!$B$4=""),"",$S1122*PARAMETROS!$B$4)</f>
        <v>0</v>
      </c>
      <c r="V1122" s="13" t="n">
        <v>0</v>
      </c>
      <c r="W1122" s="4"/>
      <c r="X1122" s="4"/>
      <c r="Y1122" s="4"/>
      <c r="Z1122" s="4"/>
      <c r="AA1122" s="4"/>
      <c r="AB1122" s="4"/>
      <c r="AC1122" s="4"/>
      <c r="AD1122" s="4"/>
      <c r="AE1122" s="4"/>
      <c r="AF1122" s="4"/>
      <c r="AG1122" s="4"/>
      <c r="AH1122" s="4"/>
      <c r="AI1122" s="4"/>
      <c r="AJ1122" s="4"/>
      <c r="AK1122" s="4"/>
      <c r="AL1122" s="4" t="s">
        <v>174</v>
      </c>
      <c r="AM1122" s="4" t="s">
        <v>175</v>
      </c>
    </row>
    <row r="1123" customFormat="false" ht="23.85" hidden="false" customHeight="false" outlineLevel="0" collapsed="false">
      <c r="A1123" s="4" t="s">
        <v>167</v>
      </c>
      <c r="B1123" s="4" t="s">
        <v>1300</v>
      </c>
      <c r="C1123" s="4" t="s">
        <v>1300</v>
      </c>
      <c r="D1123" s="12" t="n">
        <v>2022</v>
      </c>
      <c r="E1123" s="4"/>
      <c r="F1123" s="4" t="s">
        <v>169</v>
      </c>
      <c r="G1123" s="4" t="s">
        <v>170</v>
      </c>
      <c r="H1123" s="4" t="s">
        <v>171</v>
      </c>
      <c r="I1123" s="4" t="s">
        <v>172</v>
      </c>
      <c r="J1123" s="4" t="s">
        <v>1300</v>
      </c>
      <c r="K1123" s="4" t="s">
        <v>95</v>
      </c>
      <c r="L1123" s="4" t="s">
        <v>96</v>
      </c>
      <c r="M1123" s="4"/>
      <c r="N1123" s="4"/>
      <c r="O1123" s="4"/>
      <c r="P1123" s="4"/>
      <c r="Q1123" s="4"/>
      <c r="R1123" s="4"/>
      <c r="S1123" s="13" t="n">
        <v>5248.32</v>
      </c>
      <c r="T1123" s="4" t="s">
        <v>173</v>
      </c>
      <c r="U1123" s="14" t="n">
        <f aca="false">IF(OR($S1123="",PARAMETROS!$B$4=""),"",$S1123*PARAMETROS!$B$4)</f>
        <v>30492.7392</v>
      </c>
      <c r="V1123" s="13" t="n">
        <v>0</v>
      </c>
      <c r="W1123" s="4"/>
      <c r="X1123" s="4"/>
      <c r="Y1123" s="4"/>
      <c r="Z1123" s="4"/>
      <c r="AA1123" s="4"/>
      <c r="AB1123" s="4"/>
      <c r="AC1123" s="4"/>
      <c r="AD1123" s="4"/>
      <c r="AE1123" s="4"/>
      <c r="AF1123" s="4"/>
      <c r="AG1123" s="4"/>
      <c r="AH1123" s="4"/>
      <c r="AI1123" s="4"/>
      <c r="AJ1123" s="4"/>
      <c r="AK1123" s="4"/>
      <c r="AL1123" s="4" t="s">
        <v>174</v>
      </c>
      <c r="AM1123" s="4" t="s">
        <v>175</v>
      </c>
    </row>
    <row r="1124" customFormat="false" ht="23.85" hidden="false" customHeight="false" outlineLevel="0" collapsed="false">
      <c r="A1124" s="4" t="s">
        <v>167</v>
      </c>
      <c r="B1124" s="4" t="s">
        <v>1301</v>
      </c>
      <c r="C1124" s="4" t="s">
        <v>1301</v>
      </c>
      <c r="D1124" s="12" t="n">
        <v>2022</v>
      </c>
      <c r="E1124" s="4"/>
      <c r="F1124" s="4" t="s">
        <v>169</v>
      </c>
      <c r="G1124" s="4" t="s">
        <v>170</v>
      </c>
      <c r="H1124" s="4" t="s">
        <v>171</v>
      </c>
      <c r="I1124" s="4" t="s">
        <v>172</v>
      </c>
      <c r="J1124" s="4" t="s">
        <v>1301</v>
      </c>
      <c r="K1124" s="4" t="s">
        <v>95</v>
      </c>
      <c r="L1124" s="4" t="s">
        <v>96</v>
      </c>
      <c r="M1124" s="4"/>
      <c r="N1124" s="4"/>
      <c r="O1124" s="4"/>
      <c r="P1124" s="4"/>
      <c r="Q1124" s="4"/>
      <c r="R1124" s="4"/>
      <c r="S1124" s="13" t="n">
        <v>0</v>
      </c>
      <c r="T1124" s="4" t="s">
        <v>173</v>
      </c>
      <c r="U1124" s="14" t="n">
        <f aca="false">IF(OR($S1124="",PARAMETROS!$B$4=""),"",$S1124*PARAMETROS!$B$4)</f>
        <v>0</v>
      </c>
      <c r="V1124" s="13" t="n">
        <v>0</v>
      </c>
      <c r="W1124" s="4"/>
      <c r="X1124" s="4"/>
      <c r="Y1124" s="4"/>
      <c r="Z1124" s="4"/>
      <c r="AA1124" s="4"/>
      <c r="AB1124" s="4"/>
      <c r="AC1124" s="4"/>
      <c r="AD1124" s="4"/>
      <c r="AE1124" s="4"/>
      <c r="AF1124" s="4"/>
      <c r="AG1124" s="4"/>
      <c r="AH1124" s="4"/>
      <c r="AI1124" s="4"/>
      <c r="AJ1124" s="4"/>
      <c r="AK1124" s="4"/>
      <c r="AL1124" s="4" t="s">
        <v>174</v>
      </c>
      <c r="AM1124" s="4" t="s">
        <v>175</v>
      </c>
    </row>
    <row r="1125" customFormat="false" ht="23.85" hidden="false" customHeight="false" outlineLevel="0" collapsed="false">
      <c r="A1125" s="4" t="s">
        <v>167</v>
      </c>
      <c r="B1125" s="4" t="s">
        <v>1302</v>
      </c>
      <c r="C1125" s="4" t="s">
        <v>1302</v>
      </c>
      <c r="D1125" s="12" t="n">
        <v>2022</v>
      </c>
      <c r="E1125" s="4"/>
      <c r="F1125" s="4" t="s">
        <v>169</v>
      </c>
      <c r="G1125" s="4" t="s">
        <v>170</v>
      </c>
      <c r="H1125" s="4" t="s">
        <v>171</v>
      </c>
      <c r="I1125" s="4" t="s">
        <v>172</v>
      </c>
      <c r="J1125" s="4" t="s">
        <v>1302</v>
      </c>
      <c r="K1125" s="4" t="s">
        <v>95</v>
      </c>
      <c r="L1125" s="4" t="s">
        <v>96</v>
      </c>
      <c r="M1125" s="4"/>
      <c r="N1125" s="4"/>
      <c r="O1125" s="4"/>
      <c r="P1125" s="4"/>
      <c r="Q1125" s="4"/>
      <c r="R1125" s="4"/>
      <c r="S1125" s="13" t="n">
        <v>-699.49</v>
      </c>
      <c r="T1125" s="4" t="s">
        <v>173</v>
      </c>
      <c r="U1125" s="14" t="n">
        <f aca="false">IF(OR($S1125="",PARAMETROS!$B$4=""),"",$S1125*PARAMETROS!$B$4)</f>
        <v>-4064.0369</v>
      </c>
      <c r="V1125" s="13" t="n">
        <v>0</v>
      </c>
      <c r="W1125" s="4"/>
      <c r="X1125" s="4"/>
      <c r="Y1125" s="4"/>
      <c r="Z1125" s="4"/>
      <c r="AA1125" s="4"/>
      <c r="AB1125" s="4"/>
      <c r="AC1125" s="4"/>
      <c r="AD1125" s="4"/>
      <c r="AE1125" s="4"/>
      <c r="AF1125" s="4"/>
      <c r="AG1125" s="4"/>
      <c r="AH1125" s="4"/>
      <c r="AI1125" s="4"/>
      <c r="AJ1125" s="4"/>
      <c r="AK1125" s="4"/>
      <c r="AL1125" s="4" t="s">
        <v>174</v>
      </c>
      <c r="AM1125" s="4" t="s">
        <v>175</v>
      </c>
    </row>
    <row r="1126" customFormat="false" ht="23.85" hidden="false" customHeight="false" outlineLevel="0" collapsed="false">
      <c r="A1126" s="4" t="s">
        <v>167</v>
      </c>
      <c r="B1126" s="4" t="s">
        <v>1303</v>
      </c>
      <c r="C1126" s="4" t="s">
        <v>1303</v>
      </c>
      <c r="D1126" s="12" t="n">
        <v>2022</v>
      </c>
      <c r="E1126" s="4"/>
      <c r="F1126" s="4" t="s">
        <v>169</v>
      </c>
      <c r="G1126" s="4" t="s">
        <v>170</v>
      </c>
      <c r="H1126" s="4" t="s">
        <v>171</v>
      </c>
      <c r="I1126" s="4" t="s">
        <v>172</v>
      </c>
      <c r="J1126" s="4" t="s">
        <v>1303</v>
      </c>
      <c r="K1126" s="4" t="s">
        <v>95</v>
      </c>
      <c r="L1126" s="4" t="s">
        <v>96</v>
      </c>
      <c r="M1126" s="4"/>
      <c r="N1126" s="4"/>
      <c r="O1126" s="4"/>
      <c r="P1126" s="4"/>
      <c r="Q1126" s="4"/>
      <c r="R1126" s="4"/>
      <c r="S1126" s="13" t="n">
        <v>0</v>
      </c>
      <c r="T1126" s="4" t="s">
        <v>173</v>
      </c>
      <c r="U1126" s="14" t="n">
        <f aca="false">IF(OR($S1126="",PARAMETROS!$B$4=""),"",$S1126*PARAMETROS!$B$4)</f>
        <v>0</v>
      </c>
      <c r="V1126" s="13" t="n">
        <v>0</v>
      </c>
      <c r="W1126" s="4"/>
      <c r="X1126" s="4"/>
      <c r="Y1126" s="4"/>
      <c r="Z1126" s="4"/>
      <c r="AA1126" s="4"/>
      <c r="AB1126" s="4"/>
      <c r="AC1126" s="4"/>
      <c r="AD1126" s="4"/>
      <c r="AE1126" s="4"/>
      <c r="AF1126" s="4"/>
      <c r="AG1126" s="4"/>
      <c r="AH1126" s="4"/>
      <c r="AI1126" s="4"/>
      <c r="AJ1126" s="4"/>
      <c r="AK1126" s="4"/>
      <c r="AL1126" s="4" t="s">
        <v>174</v>
      </c>
      <c r="AM1126" s="4" t="s">
        <v>175</v>
      </c>
    </row>
    <row r="1127" customFormat="false" ht="23.85" hidden="false" customHeight="false" outlineLevel="0" collapsed="false">
      <c r="A1127" s="4" t="s">
        <v>167</v>
      </c>
      <c r="B1127" s="4" t="s">
        <v>1304</v>
      </c>
      <c r="C1127" s="4" t="s">
        <v>1304</v>
      </c>
      <c r="D1127" s="12" t="n">
        <v>2022</v>
      </c>
      <c r="E1127" s="4"/>
      <c r="F1127" s="4" t="s">
        <v>169</v>
      </c>
      <c r="G1127" s="4" t="s">
        <v>170</v>
      </c>
      <c r="H1127" s="4" t="s">
        <v>171</v>
      </c>
      <c r="I1127" s="4" t="s">
        <v>172</v>
      </c>
      <c r="J1127" s="4" t="s">
        <v>1304</v>
      </c>
      <c r="K1127" s="4" t="s">
        <v>95</v>
      </c>
      <c r="L1127" s="4" t="s">
        <v>96</v>
      </c>
      <c r="M1127" s="4"/>
      <c r="N1127" s="4"/>
      <c r="O1127" s="4"/>
      <c r="P1127" s="4"/>
      <c r="Q1127" s="4"/>
      <c r="R1127" s="4"/>
      <c r="S1127" s="13" t="n">
        <v>0</v>
      </c>
      <c r="T1127" s="4" t="s">
        <v>173</v>
      </c>
      <c r="U1127" s="14" t="n">
        <f aca="false">IF(OR($S1127="",PARAMETROS!$B$4=""),"",$S1127*PARAMETROS!$B$4)</f>
        <v>0</v>
      </c>
      <c r="V1127" s="13" t="n">
        <v>0</v>
      </c>
      <c r="W1127" s="4"/>
      <c r="X1127" s="4"/>
      <c r="Y1127" s="4"/>
      <c r="Z1127" s="4"/>
      <c r="AA1127" s="4"/>
      <c r="AB1127" s="4"/>
      <c r="AC1127" s="4"/>
      <c r="AD1127" s="4"/>
      <c r="AE1127" s="4"/>
      <c r="AF1127" s="4"/>
      <c r="AG1127" s="4"/>
      <c r="AH1127" s="4"/>
      <c r="AI1127" s="4"/>
      <c r="AJ1127" s="4"/>
      <c r="AK1127" s="4"/>
      <c r="AL1127" s="4" t="s">
        <v>174</v>
      </c>
      <c r="AM1127" s="4" t="s">
        <v>175</v>
      </c>
    </row>
    <row r="1128" customFormat="false" ht="23.85" hidden="false" customHeight="false" outlineLevel="0" collapsed="false">
      <c r="A1128" s="4" t="s">
        <v>167</v>
      </c>
      <c r="B1128" s="4" t="s">
        <v>1305</v>
      </c>
      <c r="C1128" s="4" t="s">
        <v>1305</v>
      </c>
      <c r="D1128" s="12" t="n">
        <v>2022</v>
      </c>
      <c r="E1128" s="4"/>
      <c r="F1128" s="4" t="s">
        <v>169</v>
      </c>
      <c r="G1128" s="4" t="s">
        <v>170</v>
      </c>
      <c r="H1128" s="4" t="s">
        <v>171</v>
      </c>
      <c r="I1128" s="4" t="s">
        <v>172</v>
      </c>
      <c r="J1128" s="4" t="s">
        <v>1305</v>
      </c>
      <c r="K1128" s="4" t="s">
        <v>95</v>
      </c>
      <c r="L1128" s="4" t="s">
        <v>96</v>
      </c>
      <c r="M1128" s="4"/>
      <c r="N1128" s="4"/>
      <c r="O1128" s="4"/>
      <c r="P1128" s="4"/>
      <c r="Q1128" s="4"/>
      <c r="R1128" s="4"/>
      <c r="S1128" s="13" t="n">
        <v>0</v>
      </c>
      <c r="T1128" s="4" t="s">
        <v>173</v>
      </c>
      <c r="U1128" s="14" t="n">
        <f aca="false">IF(OR($S1128="",PARAMETROS!$B$4=""),"",$S1128*PARAMETROS!$B$4)</f>
        <v>0</v>
      </c>
      <c r="V1128" s="13" t="n">
        <v>0</v>
      </c>
      <c r="W1128" s="4"/>
      <c r="X1128" s="4"/>
      <c r="Y1128" s="4"/>
      <c r="Z1128" s="4"/>
      <c r="AA1128" s="4"/>
      <c r="AB1128" s="4"/>
      <c r="AC1128" s="4"/>
      <c r="AD1128" s="4"/>
      <c r="AE1128" s="4"/>
      <c r="AF1128" s="4"/>
      <c r="AG1128" s="4"/>
      <c r="AH1128" s="4"/>
      <c r="AI1128" s="4"/>
      <c r="AJ1128" s="4"/>
      <c r="AK1128" s="4"/>
      <c r="AL1128" s="4" t="s">
        <v>174</v>
      </c>
      <c r="AM1128" s="4" t="s">
        <v>175</v>
      </c>
    </row>
    <row r="1129" customFormat="false" ht="23.85" hidden="false" customHeight="false" outlineLevel="0" collapsed="false">
      <c r="A1129" s="4" t="s">
        <v>167</v>
      </c>
      <c r="B1129" s="4" t="s">
        <v>1306</v>
      </c>
      <c r="C1129" s="4" t="s">
        <v>1306</v>
      </c>
      <c r="D1129" s="12" t="n">
        <v>2022</v>
      </c>
      <c r="E1129" s="4"/>
      <c r="F1129" s="4" t="s">
        <v>169</v>
      </c>
      <c r="G1129" s="4" t="s">
        <v>170</v>
      </c>
      <c r="H1129" s="4" t="s">
        <v>171</v>
      </c>
      <c r="I1129" s="4" t="s">
        <v>172</v>
      </c>
      <c r="J1129" s="4" t="s">
        <v>1306</v>
      </c>
      <c r="K1129" s="4" t="s">
        <v>95</v>
      </c>
      <c r="L1129" s="4" t="s">
        <v>96</v>
      </c>
      <c r="M1129" s="4"/>
      <c r="N1129" s="4"/>
      <c r="O1129" s="4"/>
      <c r="P1129" s="4"/>
      <c r="Q1129" s="4"/>
      <c r="R1129" s="4"/>
      <c r="S1129" s="13" t="n">
        <v>0</v>
      </c>
      <c r="T1129" s="4" t="s">
        <v>173</v>
      </c>
      <c r="U1129" s="14" t="n">
        <f aca="false">IF(OR($S1129="",PARAMETROS!$B$4=""),"",$S1129*PARAMETROS!$B$4)</f>
        <v>0</v>
      </c>
      <c r="V1129" s="13" t="n">
        <v>0</v>
      </c>
      <c r="W1129" s="4"/>
      <c r="X1129" s="4"/>
      <c r="Y1129" s="4"/>
      <c r="Z1129" s="4"/>
      <c r="AA1129" s="4"/>
      <c r="AB1129" s="4"/>
      <c r="AC1129" s="4"/>
      <c r="AD1129" s="4"/>
      <c r="AE1129" s="4"/>
      <c r="AF1129" s="4"/>
      <c r="AG1129" s="4"/>
      <c r="AH1129" s="4"/>
      <c r="AI1129" s="4"/>
      <c r="AJ1129" s="4"/>
      <c r="AK1129" s="4"/>
      <c r="AL1129" s="4" t="s">
        <v>174</v>
      </c>
      <c r="AM1129" s="4" t="s">
        <v>175</v>
      </c>
    </row>
    <row r="1130" customFormat="false" ht="23.85" hidden="false" customHeight="false" outlineLevel="0" collapsed="false">
      <c r="A1130" s="4" t="s">
        <v>167</v>
      </c>
      <c r="B1130" s="4" t="s">
        <v>1307</v>
      </c>
      <c r="C1130" s="4" t="s">
        <v>1307</v>
      </c>
      <c r="D1130" s="12" t="n">
        <v>2022</v>
      </c>
      <c r="E1130" s="4"/>
      <c r="F1130" s="4" t="s">
        <v>169</v>
      </c>
      <c r="G1130" s="4" t="s">
        <v>170</v>
      </c>
      <c r="H1130" s="4" t="s">
        <v>171</v>
      </c>
      <c r="I1130" s="4" t="s">
        <v>172</v>
      </c>
      <c r="J1130" s="4" t="s">
        <v>1307</v>
      </c>
      <c r="K1130" s="4" t="s">
        <v>95</v>
      </c>
      <c r="L1130" s="4" t="s">
        <v>96</v>
      </c>
      <c r="M1130" s="4"/>
      <c r="N1130" s="4"/>
      <c r="O1130" s="4"/>
      <c r="P1130" s="4"/>
      <c r="Q1130" s="4"/>
      <c r="R1130" s="4"/>
      <c r="S1130" s="13" t="n">
        <v>0</v>
      </c>
      <c r="T1130" s="4" t="s">
        <v>173</v>
      </c>
      <c r="U1130" s="14" t="n">
        <f aca="false">IF(OR($S1130="",PARAMETROS!$B$4=""),"",$S1130*PARAMETROS!$B$4)</f>
        <v>0</v>
      </c>
      <c r="V1130" s="13" t="n">
        <v>0</v>
      </c>
      <c r="W1130" s="4"/>
      <c r="X1130" s="4"/>
      <c r="Y1130" s="4"/>
      <c r="Z1130" s="4"/>
      <c r="AA1130" s="4"/>
      <c r="AB1130" s="4"/>
      <c r="AC1130" s="4"/>
      <c r="AD1130" s="4"/>
      <c r="AE1130" s="4"/>
      <c r="AF1130" s="4"/>
      <c r="AG1130" s="4"/>
      <c r="AH1130" s="4"/>
      <c r="AI1130" s="4"/>
      <c r="AJ1130" s="4"/>
      <c r="AK1130" s="4"/>
      <c r="AL1130" s="4" t="s">
        <v>174</v>
      </c>
      <c r="AM1130" s="4" t="s">
        <v>175</v>
      </c>
    </row>
    <row r="1131" customFormat="false" ht="23.85" hidden="false" customHeight="false" outlineLevel="0" collapsed="false">
      <c r="A1131" s="4" t="s">
        <v>167</v>
      </c>
      <c r="B1131" s="4" t="s">
        <v>1308</v>
      </c>
      <c r="C1131" s="4" t="s">
        <v>1308</v>
      </c>
      <c r="D1131" s="12" t="n">
        <v>2022</v>
      </c>
      <c r="E1131" s="4"/>
      <c r="F1131" s="4" t="s">
        <v>169</v>
      </c>
      <c r="G1131" s="4" t="s">
        <v>170</v>
      </c>
      <c r="H1131" s="4" t="s">
        <v>171</v>
      </c>
      <c r="I1131" s="4" t="s">
        <v>172</v>
      </c>
      <c r="J1131" s="4" t="s">
        <v>1308</v>
      </c>
      <c r="K1131" s="4" t="s">
        <v>95</v>
      </c>
      <c r="L1131" s="4" t="s">
        <v>96</v>
      </c>
      <c r="M1131" s="4"/>
      <c r="N1131" s="4"/>
      <c r="O1131" s="4"/>
      <c r="P1131" s="4"/>
      <c r="Q1131" s="4"/>
      <c r="R1131" s="4"/>
      <c r="S1131" s="13" t="n">
        <v>0</v>
      </c>
      <c r="T1131" s="4" t="s">
        <v>173</v>
      </c>
      <c r="U1131" s="14" t="n">
        <f aca="false">IF(OR($S1131="",PARAMETROS!$B$4=""),"",$S1131*PARAMETROS!$B$4)</f>
        <v>0</v>
      </c>
      <c r="V1131" s="13" t="n">
        <v>0</v>
      </c>
      <c r="W1131" s="4"/>
      <c r="X1131" s="4"/>
      <c r="Y1131" s="4"/>
      <c r="Z1131" s="4"/>
      <c r="AA1131" s="4"/>
      <c r="AB1131" s="4"/>
      <c r="AC1131" s="4"/>
      <c r="AD1131" s="4"/>
      <c r="AE1131" s="4"/>
      <c r="AF1131" s="4"/>
      <c r="AG1131" s="4"/>
      <c r="AH1131" s="4"/>
      <c r="AI1131" s="4"/>
      <c r="AJ1131" s="4"/>
      <c r="AK1131" s="4"/>
      <c r="AL1131" s="4" t="s">
        <v>174</v>
      </c>
      <c r="AM1131" s="4" t="s">
        <v>175</v>
      </c>
    </row>
    <row r="1132" customFormat="false" ht="23.85" hidden="false" customHeight="false" outlineLevel="0" collapsed="false">
      <c r="A1132" s="4" t="s">
        <v>167</v>
      </c>
      <c r="B1132" s="4" t="s">
        <v>1309</v>
      </c>
      <c r="C1132" s="4" t="s">
        <v>1309</v>
      </c>
      <c r="D1132" s="12" t="n">
        <v>2022</v>
      </c>
      <c r="E1132" s="4"/>
      <c r="F1132" s="4" t="s">
        <v>169</v>
      </c>
      <c r="G1132" s="4" t="s">
        <v>170</v>
      </c>
      <c r="H1132" s="4" t="s">
        <v>171</v>
      </c>
      <c r="I1132" s="4" t="s">
        <v>172</v>
      </c>
      <c r="J1132" s="4" t="s">
        <v>1309</v>
      </c>
      <c r="K1132" s="4" t="s">
        <v>95</v>
      </c>
      <c r="L1132" s="4" t="s">
        <v>96</v>
      </c>
      <c r="M1132" s="4"/>
      <c r="N1132" s="4"/>
      <c r="O1132" s="4"/>
      <c r="P1132" s="4"/>
      <c r="Q1132" s="4"/>
      <c r="R1132" s="4"/>
      <c r="S1132" s="13" t="n">
        <v>0</v>
      </c>
      <c r="T1132" s="4" t="s">
        <v>173</v>
      </c>
      <c r="U1132" s="14" t="n">
        <f aca="false">IF(OR($S1132="",PARAMETROS!$B$4=""),"",$S1132*PARAMETROS!$B$4)</f>
        <v>0</v>
      </c>
      <c r="V1132" s="13" t="n">
        <v>0</v>
      </c>
      <c r="W1132" s="4"/>
      <c r="X1132" s="4"/>
      <c r="Y1132" s="4"/>
      <c r="Z1132" s="4"/>
      <c r="AA1132" s="4"/>
      <c r="AB1132" s="4"/>
      <c r="AC1132" s="4"/>
      <c r="AD1132" s="4"/>
      <c r="AE1132" s="4"/>
      <c r="AF1132" s="4"/>
      <c r="AG1132" s="4"/>
      <c r="AH1132" s="4"/>
      <c r="AI1132" s="4"/>
      <c r="AJ1132" s="4"/>
      <c r="AK1132" s="4"/>
      <c r="AL1132" s="4" t="s">
        <v>174</v>
      </c>
      <c r="AM1132" s="4" t="s">
        <v>175</v>
      </c>
    </row>
    <row r="1133" customFormat="false" ht="23.85" hidden="false" customHeight="false" outlineLevel="0" collapsed="false">
      <c r="A1133" s="4" t="s">
        <v>167</v>
      </c>
      <c r="B1133" s="4" t="s">
        <v>1310</v>
      </c>
      <c r="C1133" s="4" t="s">
        <v>1310</v>
      </c>
      <c r="D1133" s="12" t="n">
        <v>2022</v>
      </c>
      <c r="E1133" s="4"/>
      <c r="F1133" s="4" t="s">
        <v>169</v>
      </c>
      <c r="G1133" s="4" t="s">
        <v>170</v>
      </c>
      <c r="H1133" s="4" t="s">
        <v>171</v>
      </c>
      <c r="I1133" s="4" t="s">
        <v>172</v>
      </c>
      <c r="J1133" s="4" t="s">
        <v>1310</v>
      </c>
      <c r="K1133" s="4" t="s">
        <v>95</v>
      </c>
      <c r="L1133" s="4" t="s">
        <v>96</v>
      </c>
      <c r="M1133" s="4"/>
      <c r="N1133" s="4"/>
      <c r="O1133" s="4"/>
      <c r="P1133" s="4"/>
      <c r="Q1133" s="4"/>
      <c r="R1133" s="4"/>
      <c r="S1133" s="13" t="n">
        <v>4548.83</v>
      </c>
      <c r="T1133" s="4" t="s">
        <v>173</v>
      </c>
      <c r="U1133" s="14" t="n">
        <f aca="false">IF(OR($S1133="",PARAMETROS!$B$4=""),"",$S1133*PARAMETROS!$B$4)</f>
        <v>26428.7023</v>
      </c>
      <c r="V1133" s="13" t="n">
        <v>0</v>
      </c>
      <c r="W1133" s="4"/>
      <c r="X1133" s="4"/>
      <c r="Y1133" s="4"/>
      <c r="Z1133" s="4"/>
      <c r="AA1133" s="4"/>
      <c r="AB1133" s="4"/>
      <c r="AC1133" s="4"/>
      <c r="AD1133" s="4"/>
      <c r="AE1133" s="4"/>
      <c r="AF1133" s="4"/>
      <c r="AG1133" s="4"/>
      <c r="AH1133" s="4"/>
      <c r="AI1133" s="4"/>
      <c r="AJ1133" s="4"/>
      <c r="AK1133" s="4"/>
      <c r="AL1133" s="4" t="s">
        <v>174</v>
      </c>
      <c r="AM1133" s="4" t="s">
        <v>175</v>
      </c>
    </row>
    <row r="1134" customFormat="false" ht="23.85" hidden="false" customHeight="false" outlineLevel="0" collapsed="false">
      <c r="A1134" s="4" t="s">
        <v>167</v>
      </c>
      <c r="B1134" s="4" t="s">
        <v>1311</v>
      </c>
      <c r="C1134" s="4" t="s">
        <v>1311</v>
      </c>
      <c r="D1134" s="12" t="n">
        <v>2022</v>
      </c>
      <c r="E1134" s="4"/>
      <c r="F1134" s="4" t="s">
        <v>169</v>
      </c>
      <c r="G1134" s="4" t="s">
        <v>170</v>
      </c>
      <c r="H1134" s="4" t="s">
        <v>171</v>
      </c>
      <c r="I1134" s="4" t="s">
        <v>172</v>
      </c>
      <c r="J1134" s="4" t="s">
        <v>1311</v>
      </c>
      <c r="K1134" s="4" t="s">
        <v>95</v>
      </c>
      <c r="L1134" s="4" t="s">
        <v>96</v>
      </c>
      <c r="M1134" s="4"/>
      <c r="N1134" s="4"/>
      <c r="O1134" s="4"/>
      <c r="P1134" s="4"/>
      <c r="Q1134" s="4"/>
      <c r="R1134" s="4"/>
      <c r="S1134" s="13" t="n">
        <v>0</v>
      </c>
      <c r="T1134" s="4" t="s">
        <v>173</v>
      </c>
      <c r="U1134" s="14" t="n">
        <f aca="false">IF(OR($S1134="",PARAMETROS!$B$4=""),"",$S1134*PARAMETROS!$B$4)</f>
        <v>0</v>
      </c>
      <c r="V1134" s="13" t="n">
        <v>0</v>
      </c>
      <c r="W1134" s="4"/>
      <c r="X1134" s="4"/>
      <c r="Y1134" s="4"/>
      <c r="Z1134" s="4"/>
      <c r="AA1134" s="4"/>
      <c r="AB1134" s="4"/>
      <c r="AC1134" s="4"/>
      <c r="AD1134" s="4"/>
      <c r="AE1134" s="4"/>
      <c r="AF1134" s="4"/>
      <c r="AG1134" s="4"/>
      <c r="AH1134" s="4"/>
      <c r="AI1134" s="4"/>
      <c r="AJ1134" s="4"/>
      <c r="AK1134" s="4"/>
      <c r="AL1134" s="4" t="s">
        <v>174</v>
      </c>
      <c r="AM1134" s="4" t="s">
        <v>175</v>
      </c>
    </row>
    <row r="1135" customFormat="false" ht="23.85" hidden="false" customHeight="false" outlineLevel="0" collapsed="false">
      <c r="A1135" s="4" t="s">
        <v>167</v>
      </c>
      <c r="B1135" s="4" t="s">
        <v>1312</v>
      </c>
      <c r="C1135" s="4" t="s">
        <v>1312</v>
      </c>
      <c r="D1135" s="12" t="n">
        <v>2022</v>
      </c>
      <c r="E1135" s="4"/>
      <c r="F1135" s="4" t="s">
        <v>169</v>
      </c>
      <c r="G1135" s="4" t="s">
        <v>170</v>
      </c>
      <c r="H1135" s="4" t="s">
        <v>171</v>
      </c>
      <c r="I1135" s="4" t="s">
        <v>172</v>
      </c>
      <c r="J1135" s="4" t="s">
        <v>1312</v>
      </c>
      <c r="K1135" s="4" t="s">
        <v>95</v>
      </c>
      <c r="L1135" s="4" t="s">
        <v>96</v>
      </c>
      <c r="M1135" s="4"/>
      <c r="N1135" s="4"/>
      <c r="O1135" s="4"/>
      <c r="P1135" s="4"/>
      <c r="Q1135" s="4"/>
      <c r="R1135" s="4"/>
      <c r="S1135" s="13" t="n">
        <v>0</v>
      </c>
      <c r="T1135" s="4" t="s">
        <v>173</v>
      </c>
      <c r="U1135" s="14" t="n">
        <f aca="false">IF(OR($S1135="",PARAMETROS!$B$4=""),"",$S1135*PARAMETROS!$B$4)</f>
        <v>0</v>
      </c>
      <c r="V1135" s="13" t="n">
        <v>0</v>
      </c>
      <c r="W1135" s="4"/>
      <c r="X1135" s="4"/>
      <c r="Y1135" s="4"/>
      <c r="Z1135" s="4"/>
      <c r="AA1135" s="4"/>
      <c r="AB1135" s="4"/>
      <c r="AC1135" s="4"/>
      <c r="AD1135" s="4"/>
      <c r="AE1135" s="4"/>
      <c r="AF1135" s="4"/>
      <c r="AG1135" s="4"/>
      <c r="AH1135" s="4"/>
      <c r="AI1135" s="4"/>
      <c r="AJ1135" s="4"/>
      <c r="AK1135" s="4"/>
      <c r="AL1135" s="4" t="s">
        <v>174</v>
      </c>
      <c r="AM1135" s="4" t="s">
        <v>175</v>
      </c>
    </row>
    <row r="1136" customFormat="false" ht="23.85" hidden="false" customHeight="false" outlineLevel="0" collapsed="false">
      <c r="A1136" s="4" t="s">
        <v>167</v>
      </c>
      <c r="B1136" s="4" t="s">
        <v>1313</v>
      </c>
      <c r="C1136" s="4" t="s">
        <v>1313</v>
      </c>
      <c r="D1136" s="12" t="n">
        <v>2022</v>
      </c>
      <c r="E1136" s="4"/>
      <c r="F1136" s="4" t="s">
        <v>169</v>
      </c>
      <c r="G1136" s="4" t="s">
        <v>170</v>
      </c>
      <c r="H1136" s="4" t="s">
        <v>171</v>
      </c>
      <c r="I1136" s="4" t="s">
        <v>172</v>
      </c>
      <c r="J1136" s="4" t="s">
        <v>1313</v>
      </c>
      <c r="K1136" s="4" t="s">
        <v>97</v>
      </c>
      <c r="L1136" s="4" t="s">
        <v>98</v>
      </c>
      <c r="M1136" s="4"/>
      <c r="N1136" s="4"/>
      <c r="O1136" s="4"/>
      <c r="P1136" s="4"/>
      <c r="Q1136" s="4"/>
      <c r="R1136" s="4"/>
      <c r="S1136" s="13" t="n">
        <v>0</v>
      </c>
      <c r="T1136" s="4" t="s">
        <v>173</v>
      </c>
      <c r="U1136" s="14" t="n">
        <f aca="false">IF(OR($S1136="",PARAMETROS!$B$4=""),"",$S1136*PARAMETROS!$B$4)</f>
        <v>0</v>
      </c>
      <c r="V1136" s="13" t="n">
        <v>0</v>
      </c>
      <c r="W1136" s="4"/>
      <c r="X1136" s="4"/>
      <c r="Y1136" s="4"/>
      <c r="Z1136" s="4"/>
      <c r="AA1136" s="4"/>
      <c r="AB1136" s="4"/>
      <c r="AC1136" s="4"/>
      <c r="AD1136" s="4"/>
      <c r="AE1136" s="4"/>
      <c r="AF1136" s="4"/>
      <c r="AG1136" s="4"/>
      <c r="AH1136" s="4"/>
      <c r="AI1136" s="4"/>
      <c r="AJ1136" s="4"/>
      <c r="AK1136" s="4"/>
      <c r="AL1136" s="4" t="s">
        <v>174</v>
      </c>
      <c r="AM1136" s="4" t="s">
        <v>205</v>
      </c>
    </row>
    <row r="1137" customFormat="false" ht="23.85" hidden="false" customHeight="false" outlineLevel="0" collapsed="false">
      <c r="A1137" s="4" t="s">
        <v>167</v>
      </c>
      <c r="B1137" s="4" t="s">
        <v>1314</v>
      </c>
      <c r="C1137" s="4" t="s">
        <v>1314</v>
      </c>
      <c r="D1137" s="12" t="n">
        <v>2022</v>
      </c>
      <c r="E1137" s="4"/>
      <c r="F1137" s="4" t="s">
        <v>169</v>
      </c>
      <c r="G1137" s="4" t="s">
        <v>170</v>
      </c>
      <c r="H1137" s="4" t="s">
        <v>171</v>
      </c>
      <c r="I1137" s="4" t="s">
        <v>172</v>
      </c>
      <c r="J1137" s="4" t="s">
        <v>1314</v>
      </c>
      <c r="K1137" s="4" t="s">
        <v>97</v>
      </c>
      <c r="L1137" s="4" t="s">
        <v>98</v>
      </c>
      <c r="M1137" s="4"/>
      <c r="N1137" s="4"/>
      <c r="O1137" s="4"/>
      <c r="P1137" s="4"/>
      <c r="Q1137" s="4"/>
      <c r="R1137" s="4"/>
      <c r="S1137" s="13" t="n">
        <v>14236.55</v>
      </c>
      <c r="T1137" s="4" t="s">
        <v>173</v>
      </c>
      <c r="U1137" s="14" t="n">
        <f aca="false">IF(OR($S1137="",PARAMETROS!$B$4=""),"",$S1137*PARAMETROS!$B$4)</f>
        <v>82714.3555</v>
      </c>
      <c r="V1137" s="13" t="n">
        <v>0</v>
      </c>
      <c r="W1137" s="4"/>
      <c r="X1137" s="4"/>
      <c r="Y1137" s="4"/>
      <c r="Z1137" s="4"/>
      <c r="AA1137" s="4"/>
      <c r="AB1137" s="4"/>
      <c r="AC1137" s="4"/>
      <c r="AD1137" s="4"/>
      <c r="AE1137" s="4"/>
      <c r="AF1137" s="4"/>
      <c r="AG1137" s="4"/>
      <c r="AH1137" s="4"/>
      <c r="AI1137" s="4"/>
      <c r="AJ1137" s="4"/>
      <c r="AK1137" s="4"/>
      <c r="AL1137" s="4" t="s">
        <v>174</v>
      </c>
      <c r="AM1137" s="4" t="s">
        <v>205</v>
      </c>
    </row>
    <row r="1138" customFormat="false" ht="23.85" hidden="false" customHeight="false" outlineLevel="0" collapsed="false">
      <c r="A1138" s="4" t="s">
        <v>167</v>
      </c>
      <c r="B1138" s="4" t="s">
        <v>1315</v>
      </c>
      <c r="C1138" s="4" t="s">
        <v>1315</v>
      </c>
      <c r="D1138" s="12" t="n">
        <v>2022</v>
      </c>
      <c r="E1138" s="4"/>
      <c r="F1138" s="4" t="s">
        <v>169</v>
      </c>
      <c r="G1138" s="4" t="s">
        <v>170</v>
      </c>
      <c r="H1138" s="4" t="s">
        <v>171</v>
      </c>
      <c r="I1138" s="4" t="s">
        <v>172</v>
      </c>
      <c r="J1138" s="4" t="s">
        <v>1315</v>
      </c>
      <c r="K1138" s="4" t="s">
        <v>97</v>
      </c>
      <c r="L1138" s="4" t="s">
        <v>98</v>
      </c>
      <c r="M1138" s="4"/>
      <c r="N1138" s="4"/>
      <c r="O1138" s="4"/>
      <c r="P1138" s="4"/>
      <c r="Q1138" s="4"/>
      <c r="R1138" s="4"/>
      <c r="S1138" s="13" t="n">
        <v>81.94</v>
      </c>
      <c r="T1138" s="4" t="s">
        <v>173</v>
      </c>
      <c r="U1138" s="14" t="n">
        <f aca="false">IF(OR($S1138="",PARAMETROS!$B$4=""),"",$S1138*PARAMETROS!$B$4)</f>
        <v>476.0714</v>
      </c>
      <c r="V1138" s="13" t="n">
        <v>0</v>
      </c>
      <c r="W1138" s="4"/>
      <c r="X1138" s="4"/>
      <c r="Y1138" s="4"/>
      <c r="Z1138" s="4"/>
      <c r="AA1138" s="4"/>
      <c r="AB1138" s="4"/>
      <c r="AC1138" s="4"/>
      <c r="AD1138" s="4"/>
      <c r="AE1138" s="4"/>
      <c r="AF1138" s="4"/>
      <c r="AG1138" s="4"/>
      <c r="AH1138" s="4"/>
      <c r="AI1138" s="4"/>
      <c r="AJ1138" s="4"/>
      <c r="AK1138" s="4"/>
      <c r="AL1138" s="4" t="s">
        <v>174</v>
      </c>
      <c r="AM1138" s="4" t="s">
        <v>205</v>
      </c>
    </row>
    <row r="1139" customFormat="false" ht="23.85" hidden="false" customHeight="false" outlineLevel="0" collapsed="false">
      <c r="A1139" s="4" t="s">
        <v>167</v>
      </c>
      <c r="B1139" s="4" t="s">
        <v>1316</v>
      </c>
      <c r="C1139" s="4" t="s">
        <v>1316</v>
      </c>
      <c r="D1139" s="12" t="n">
        <v>2022</v>
      </c>
      <c r="E1139" s="4"/>
      <c r="F1139" s="4" t="s">
        <v>169</v>
      </c>
      <c r="G1139" s="4" t="s">
        <v>170</v>
      </c>
      <c r="H1139" s="4" t="s">
        <v>171</v>
      </c>
      <c r="I1139" s="4" t="s">
        <v>172</v>
      </c>
      <c r="J1139" s="4" t="s">
        <v>1316</v>
      </c>
      <c r="K1139" s="4" t="s">
        <v>97</v>
      </c>
      <c r="L1139" s="4" t="s">
        <v>98</v>
      </c>
      <c r="M1139" s="4"/>
      <c r="N1139" s="4"/>
      <c r="O1139" s="4"/>
      <c r="P1139" s="4"/>
      <c r="Q1139" s="4"/>
      <c r="R1139" s="4"/>
      <c r="S1139" s="13" t="n">
        <v>68.61</v>
      </c>
      <c r="T1139" s="4" t="s">
        <v>173</v>
      </c>
      <c r="U1139" s="14" t="n">
        <f aca="false">IF(OR($S1139="",PARAMETROS!$B$4=""),"",$S1139*PARAMETROS!$B$4)</f>
        <v>398.6241</v>
      </c>
      <c r="V1139" s="13" t="n">
        <v>0</v>
      </c>
      <c r="W1139" s="4"/>
      <c r="X1139" s="4"/>
      <c r="Y1139" s="4"/>
      <c r="Z1139" s="4"/>
      <c r="AA1139" s="4"/>
      <c r="AB1139" s="4"/>
      <c r="AC1139" s="4"/>
      <c r="AD1139" s="4"/>
      <c r="AE1139" s="4"/>
      <c r="AF1139" s="4"/>
      <c r="AG1139" s="4"/>
      <c r="AH1139" s="4"/>
      <c r="AI1139" s="4"/>
      <c r="AJ1139" s="4"/>
      <c r="AK1139" s="4"/>
      <c r="AL1139" s="4" t="s">
        <v>174</v>
      </c>
      <c r="AM1139" s="4" t="s">
        <v>205</v>
      </c>
    </row>
    <row r="1140" customFormat="false" ht="23.85" hidden="false" customHeight="false" outlineLevel="0" collapsed="false">
      <c r="A1140" s="4" t="s">
        <v>167</v>
      </c>
      <c r="B1140" s="4" t="s">
        <v>1317</v>
      </c>
      <c r="C1140" s="4" t="s">
        <v>1317</v>
      </c>
      <c r="D1140" s="12" t="n">
        <v>2022</v>
      </c>
      <c r="E1140" s="4"/>
      <c r="F1140" s="4" t="s">
        <v>169</v>
      </c>
      <c r="G1140" s="4" t="s">
        <v>170</v>
      </c>
      <c r="H1140" s="4" t="s">
        <v>171</v>
      </c>
      <c r="I1140" s="4" t="s">
        <v>172</v>
      </c>
      <c r="J1140" s="4" t="s">
        <v>1317</v>
      </c>
      <c r="K1140" s="4" t="s">
        <v>97</v>
      </c>
      <c r="L1140" s="4" t="s">
        <v>98</v>
      </c>
      <c r="M1140" s="4"/>
      <c r="N1140" s="4"/>
      <c r="O1140" s="4"/>
      <c r="P1140" s="4"/>
      <c r="Q1140" s="4"/>
      <c r="R1140" s="4"/>
      <c r="S1140" s="13" t="n">
        <v>0</v>
      </c>
      <c r="T1140" s="4" t="s">
        <v>173</v>
      </c>
      <c r="U1140" s="14" t="n">
        <f aca="false">IF(OR($S1140="",PARAMETROS!$B$4=""),"",$S1140*PARAMETROS!$B$4)</f>
        <v>0</v>
      </c>
      <c r="V1140" s="13" t="n">
        <v>0</v>
      </c>
      <c r="W1140" s="4"/>
      <c r="X1140" s="4"/>
      <c r="Y1140" s="4"/>
      <c r="Z1140" s="4"/>
      <c r="AA1140" s="4"/>
      <c r="AB1140" s="4"/>
      <c r="AC1140" s="4"/>
      <c r="AD1140" s="4"/>
      <c r="AE1140" s="4"/>
      <c r="AF1140" s="4"/>
      <c r="AG1140" s="4"/>
      <c r="AH1140" s="4"/>
      <c r="AI1140" s="4"/>
      <c r="AJ1140" s="4"/>
      <c r="AK1140" s="4"/>
      <c r="AL1140" s="4" t="s">
        <v>174</v>
      </c>
      <c r="AM1140" s="4" t="s">
        <v>205</v>
      </c>
    </row>
    <row r="1141" customFormat="false" ht="23.85" hidden="false" customHeight="false" outlineLevel="0" collapsed="false">
      <c r="A1141" s="4" t="s">
        <v>167</v>
      </c>
      <c r="B1141" s="4" t="s">
        <v>1318</v>
      </c>
      <c r="C1141" s="4" t="s">
        <v>1318</v>
      </c>
      <c r="D1141" s="12" t="n">
        <v>2022</v>
      </c>
      <c r="E1141" s="4"/>
      <c r="F1141" s="4" t="s">
        <v>169</v>
      </c>
      <c r="G1141" s="4" t="s">
        <v>170</v>
      </c>
      <c r="H1141" s="4" t="s">
        <v>171</v>
      </c>
      <c r="I1141" s="4" t="s">
        <v>172</v>
      </c>
      <c r="J1141" s="4" t="s">
        <v>1318</v>
      </c>
      <c r="K1141" s="4" t="s">
        <v>97</v>
      </c>
      <c r="L1141" s="4" t="s">
        <v>98</v>
      </c>
      <c r="M1141" s="4"/>
      <c r="N1141" s="4"/>
      <c r="O1141" s="4"/>
      <c r="P1141" s="4"/>
      <c r="Q1141" s="4"/>
      <c r="R1141" s="4"/>
      <c r="S1141" s="13" t="n">
        <v>-17.5</v>
      </c>
      <c r="T1141" s="4" t="s">
        <v>173</v>
      </c>
      <c r="U1141" s="14" t="n">
        <f aca="false">IF(OR($S1141="",PARAMETROS!$B$4=""),"",$S1141*PARAMETROS!$B$4)</f>
        <v>-101.675</v>
      </c>
      <c r="V1141" s="13" t="n">
        <v>0</v>
      </c>
      <c r="W1141" s="4"/>
      <c r="X1141" s="4"/>
      <c r="Y1141" s="4"/>
      <c r="Z1141" s="4"/>
      <c r="AA1141" s="4"/>
      <c r="AB1141" s="4"/>
      <c r="AC1141" s="4"/>
      <c r="AD1141" s="4"/>
      <c r="AE1141" s="4"/>
      <c r="AF1141" s="4"/>
      <c r="AG1141" s="4"/>
      <c r="AH1141" s="4"/>
      <c r="AI1141" s="4"/>
      <c r="AJ1141" s="4"/>
      <c r="AK1141" s="4"/>
      <c r="AL1141" s="4" t="s">
        <v>174</v>
      </c>
      <c r="AM1141" s="4" t="s">
        <v>205</v>
      </c>
    </row>
    <row r="1142" customFormat="false" ht="23.85" hidden="false" customHeight="false" outlineLevel="0" collapsed="false">
      <c r="A1142" s="4" t="s">
        <v>167</v>
      </c>
      <c r="B1142" s="4" t="s">
        <v>1319</v>
      </c>
      <c r="C1142" s="4" t="s">
        <v>1319</v>
      </c>
      <c r="D1142" s="12" t="n">
        <v>2022</v>
      </c>
      <c r="E1142" s="4"/>
      <c r="F1142" s="4" t="s">
        <v>169</v>
      </c>
      <c r="G1142" s="4" t="s">
        <v>170</v>
      </c>
      <c r="H1142" s="4" t="s">
        <v>171</v>
      </c>
      <c r="I1142" s="4" t="s">
        <v>172</v>
      </c>
      <c r="J1142" s="4" t="s">
        <v>1319</v>
      </c>
      <c r="K1142" s="4" t="s">
        <v>97</v>
      </c>
      <c r="L1142" s="4" t="s">
        <v>98</v>
      </c>
      <c r="M1142" s="4"/>
      <c r="N1142" s="4"/>
      <c r="O1142" s="4"/>
      <c r="P1142" s="4"/>
      <c r="Q1142" s="4"/>
      <c r="R1142" s="4"/>
      <c r="S1142" s="13" t="n">
        <v>0</v>
      </c>
      <c r="T1142" s="4" t="s">
        <v>173</v>
      </c>
      <c r="U1142" s="14" t="n">
        <f aca="false">IF(OR($S1142="",PARAMETROS!$B$4=""),"",$S1142*PARAMETROS!$B$4)</f>
        <v>0</v>
      </c>
      <c r="V1142" s="13" t="n">
        <v>0</v>
      </c>
      <c r="W1142" s="4"/>
      <c r="X1142" s="4"/>
      <c r="Y1142" s="4"/>
      <c r="Z1142" s="4"/>
      <c r="AA1142" s="4"/>
      <c r="AB1142" s="4"/>
      <c r="AC1142" s="4"/>
      <c r="AD1142" s="4"/>
      <c r="AE1142" s="4"/>
      <c r="AF1142" s="4"/>
      <c r="AG1142" s="4"/>
      <c r="AH1142" s="4"/>
      <c r="AI1142" s="4"/>
      <c r="AJ1142" s="4"/>
      <c r="AK1142" s="4"/>
      <c r="AL1142" s="4" t="s">
        <v>174</v>
      </c>
      <c r="AM1142" s="4" t="s">
        <v>205</v>
      </c>
    </row>
    <row r="1143" customFormat="false" ht="23.85" hidden="false" customHeight="false" outlineLevel="0" collapsed="false">
      <c r="A1143" s="4" t="s">
        <v>167</v>
      </c>
      <c r="B1143" s="4" t="s">
        <v>1320</v>
      </c>
      <c r="C1143" s="4" t="s">
        <v>1320</v>
      </c>
      <c r="D1143" s="12" t="n">
        <v>2022</v>
      </c>
      <c r="E1143" s="4"/>
      <c r="F1143" s="4" t="s">
        <v>169</v>
      </c>
      <c r="G1143" s="4" t="s">
        <v>170</v>
      </c>
      <c r="H1143" s="4" t="s">
        <v>171</v>
      </c>
      <c r="I1143" s="4" t="s">
        <v>172</v>
      </c>
      <c r="J1143" s="4" t="s">
        <v>1320</v>
      </c>
      <c r="K1143" s="4" t="s">
        <v>97</v>
      </c>
      <c r="L1143" s="4" t="s">
        <v>98</v>
      </c>
      <c r="M1143" s="4"/>
      <c r="N1143" s="4"/>
      <c r="O1143" s="4"/>
      <c r="P1143" s="4"/>
      <c r="Q1143" s="4"/>
      <c r="R1143" s="4"/>
      <c r="S1143" s="13" t="n">
        <v>0</v>
      </c>
      <c r="T1143" s="4" t="s">
        <v>173</v>
      </c>
      <c r="U1143" s="14" t="n">
        <f aca="false">IF(OR($S1143="",PARAMETROS!$B$4=""),"",$S1143*PARAMETROS!$B$4)</f>
        <v>0</v>
      </c>
      <c r="V1143" s="13" t="n">
        <v>0</v>
      </c>
      <c r="W1143" s="4"/>
      <c r="X1143" s="4"/>
      <c r="Y1143" s="4"/>
      <c r="Z1143" s="4"/>
      <c r="AA1143" s="4"/>
      <c r="AB1143" s="4"/>
      <c r="AC1143" s="4"/>
      <c r="AD1143" s="4"/>
      <c r="AE1143" s="4"/>
      <c r="AF1143" s="4"/>
      <c r="AG1143" s="4"/>
      <c r="AH1143" s="4"/>
      <c r="AI1143" s="4"/>
      <c r="AJ1143" s="4"/>
      <c r="AK1143" s="4"/>
      <c r="AL1143" s="4" t="s">
        <v>174</v>
      </c>
      <c r="AM1143" s="4" t="s">
        <v>205</v>
      </c>
    </row>
    <row r="1144" customFormat="false" ht="23.85" hidden="false" customHeight="false" outlineLevel="0" collapsed="false">
      <c r="A1144" s="4" t="s">
        <v>167</v>
      </c>
      <c r="B1144" s="4" t="s">
        <v>1321</v>
      </c>
      <c r="C1144" s="4" t="s">
        <v>1321</v>
      </c>
      <c r="D1144" s="12" t="n">
        <v>2022</v>
      </c>
      <c r="E1144" s="4"/>
      <c r="F1144" s="4" t="s">
        <v>169</v>
      </c>
      <c r="G1144" s="4" t="s">
        <v>170</v>
      </c>
      <c r="H1144" s="4" t="s">
        <v>171</v>
      </c>
      <c r="I1144" s="4" t="s">
        <v>172</v>
      </c>
      <c r="J1144" s="4" t="s">
        <v>1321</v>
      </c>
      <c r="K1144" s="4" t="s">
        <v>97</v>
      </c>
      <c r="L1144" s="4" t="s">
        <v>98</v>
      </c>
      <c r="M1144" s="4"/>
      <c r="N1144" s="4"/>
      <c r="O1144" s="4"/>
      <c r="P1144" s="4"/>
      <c r="Q1144" s="4"/>
      <c r="R1144" s="4"/>
      <c r="S1144" s="13" t="n">
        <v>13069.26</v>
      </c>
      <c r="T1144" s="4" t="s">
        <v>173</v>
      </c>
      <c r="U1144" s="14" t="n">
        <f aca="false">IF(OR($S1144="",PARAMETROS!$B$4=""),"",$S1144*PARAMETROS!$B$4)</f>
        <v>75932.4006</v>
      </c>
      <c r="V1144" s="13" t="n">
        <v>0</v>
      </c>
      <c r="W1144" s="4"/>
      <c r="X1144" s="4"/>
      <c r="Y1144" s="4"/>
      <c r="Z1144" s="4"/>
      <c r="AA1144" s="4"/>
      <c r="AB1144" s="4"/>
      <c r="AC1144" s="4"/>
      <c r="AD1144" s="4"/>
      <c r="AE1144" s="4"/>
      <c r="AF1144" s="4"/>
      <c r="AG1144" s="4"/>
      <c r="AH1144" s="4"/>
      <c r="AI1144" s="4"/>
      <c r="AJ1144" s="4"/>
      <c r="AK1144" s="4"/>
      <c r="AL1144" s="4" t="s">
        <v>174</v>
      </c>
      <c r="AM1144" s="4" t="s">
        <v>205</v>
      </c>
    </row>
    <row r="1145" customFormat="false" ht="23.85" hidden="false" customHeight="false" outlineLevel="0" collapsed="false">
      <c r="A1145" s="4" t="s">
        <v>167</v>
      </c>
      <c r="B1145" s="4" t="s">
        <v>1322</v>
      </c>
      <c r="C1145" s="4" t="s">
        <v>1322</v>
      </c>
      <c r="D1145" s="12" t="n">
        <v>2022</v>
      </c>
      <c r="E1145" s="4"/>
      <c r="F1145" s="4" t="s">
        <v>169</v>
      </c>
      <c r="G1145" s="4" t="s">
        <v>170</v>
      </c>
      <c r="H1145" s="4" t="s">
        <v>171</v>
      </c>
      <c r="I1145" s="4" t="s">
        <v>172</v>
      </c>
      <c r="J1145" s="4" t="s">
        <v>1322</v>
      </c>
      <c r="K1145" s="4" t="s">
        <v>97</v>
      </c>
      <c r="L1145" s="4" t="s">
        <v>98</v>
      </c>
      <c r="M1145" s="4"/>
      <c r="N1145" s="4"/>
      <c r="O1145" s="4"/>
      <c r="P1145" s="4"/>
      <c r="Q1145" s="4"/>
      <c r="R1145" s="4"/>
      <c r="S1145" s="13" t="n">
        <v>0</v>
      </c>
      <c r="T1145" s="4" t="s">
        <v>173</v>
      </c>
      <c r="U1145" s="14" t="n">
        <f aca="false">IF(OR($S1145="",PARAMETROS!$B$4=""),"",$S1145*PARAMETROS!$B$4)</f>
        <v>0</v>
      </c>
      <c r="V1145" s="13" t="n">
        <v>0</v>
      </c>
      <c r="W1145" s="4"/>
      <c r="X1145" s="4"/>
      <c r="Y1145" s="4"/>
      <c r="Z1145" s="4"/>
      <c r="AA1145" s="4"/>
      <c r="AB1145" s="4"/>
      <c r="AC1145" s="4"/>
      <c r="AD1145" s="4"/>
      <c r="AE1145" s="4"/>
      <c r="AF1145" s="4"/>
      <c r="AG1145" s="4"/>
      <c r="AH1145" s="4"/>
      <c r="AI1145" s="4"/>
      <c r="AJ1145" s="4"/>
      <c r="AK1145" s="4"/>
      <c r="AL1145" s="4" t="s">
        <v>174</v>
      </c>
      <c r="AM1145" s="4" t="s">
        <v>205</v>
      </c>
    </row>
    <row r="1146" customFormat="false" ht="23.85" hidden="false" customHeight="false" outlineLevel="0" collapsed="false">
      <c r="A1146" s="4" t="s">
        <v>167</v>
      </c>
      <c r="B1146" s="4" t="s">
        <v>1323</v>
      </c>
      <c r="C1146" s="4" t="s">
        <v>1323</v>
      </c>
      <c r="D1146" s="12" t="n">
        <v>2022</v>
      </c>
      <c r="E1146" s="4"/>
      <c r="F1146" s="4" t="s">
        <v>169</v>
      </c>
      <c r="G1146" s="4" t="s">
        <v>170</v>
      </c>
      <c r="H1146" s="4" t="s">
        <v>171</v>
      </c>
      <c r="I1146" s="4" t="s">
        <v>172</v>
      </c>
      <c r="J1146" s="4" t="s">
        <v>1323</v>
      </c>
      <c r="K1146" s="4" t="s">
        <v>97</v>
      </c>
      <c r="L1146" s="4" t="s">
        <v>98</v>
      </c>
      <c r="M1146" s="4"/>
      <c r="N1146" s="4"/>
      <c r="O1146" s="4"/>
      <c r="P1146" s="4"/>
      <c r="Q1146" s="4"/>
      <c r="R1146" s="4"/>
      <c r="S1146" s="13" t="n">
        <v>0</v>
      </c>
      <c r="T1146" s="4" t="s">
        <v>173</v>
      </c>
      <c r="U1146" s="14" t="n">
        <f aca="false">IF(OR($S1146="",PARAMETROS!$B$4=""),"",$S1146*PARAMETROS!$B$4)</f>
        <v>0</v>
      </c>
      <c r="V1146" s="13" t="n">
        <v>0</v>
      </c>
      <c r="W1146" s="4"/>
      <c r="X1146" s="4"/>
      <c r="Y1146" s="4"/>
      <c r="Z1146" s="4"/>
      <c r="AA1146" s="4"/>
      <c r="AB1146" s="4"/>
      <c r="AC1146" s="4"/>
      <c r="AD1146" s="4"/>
      <c r="AE1146" s="4"/>
      <c r="AF1146" s="4"/>
      <c r="AG1146" s="4"/>
      <c r="AH1146" s="4"/>
      <c r="AI1146" s="4"/>
      <c r="AJ1146" s="4"/>
      <c r="AK1146" s="4"/>
      <c r="AL1146" s="4" t="s">
        <v>174</v>
      </c>
      <c r="AM1146" s="4" t="s">
        <v>205</v>
      </c>
    </row>
    <row r="1147" customFormat="false" ht="23.85" hidden="false" customHeight="false" outlineLevel="0" collapsed="false">
      <c r="A1147" s="4" t="s">
        <v>167</v>
      </c>
      <c r="B1147" s="4" t="s">
        <v>1324</v>
      </c>
      <c r="C1147" s="4" t="s">
        <v>1324</v>
      </c>
      <c r="D1147" s="12" t="n">
        <v>2022</v>
      </c>
      <c r="E1147" s="4"/>
      <c r="F1147" s="4" t="s">
        <v>169</v>
      </c>
      <c r="G1147" s="4" t="s">
        <v>170</v>
      </c>
      <c r="H1147" s="4" t="s">
        <v>171</v>
      </c>
      <c r="I1147" s="4" t="s">
        <v>172</v>
      </c>
      <c r="J1147" s="4" t="s">
        <v>1324</v>
      </c>
      <c r="K1147" s="4" t="s">
        <v>97</v>
      </c>
      <c r="L1147" s="4" t="s">
        <v>98</v>
      </c>
      <c r="M1147" s="4"/>
      <c r="N1147" s="4"/>
      <c r="O1147" s="4"/>
      <c r="P1147" s="4"/>
      <c r="Q1147" s="4"/>
      <c r="R1147" s="4"/>
      <c r="S1147" s="13" t="n">
        <v>1136.46</v>
      </c>
      <c r="T1147" s="4" t="s">
        <v>173</v>
      </c>
      <c r="U1147" s="14" t="n">
        <f aca="false">IF(OR($S1147="",PARAMETROS!$B$4=""),"",$S1147*PARAMETROS!$B$4)</f>
        <v>6602.8326</v>
      </c>
      <c r="V1147" s="13" t="n">
        <v>0</v>
      </c>
      <c r="W1147" s="4"/>
      <c r="X1147" s="4"/>
      <c r="Y1147" s="4"/>
      <c r="Z1147" s="4"/>
      <c r="AA1147" s="4"/>
      <c r="AB1147" s="4"/>
      <c r="AC1147" s="4"/>
      <c r="AD1147" s="4"/>
      <c r="AE1147" s="4"/>
      <c r="AF1147" s="4"/>
      <c r="AG1147" s="4"/>
      <c r="AH1147" s="4"/>
      <c r="AI1147" s="4"/>
      <c r="AJ1147" s="4"/>
      <c r="AK1147" s="4"/>
      <c r="AL1147" s="4" t="s">
        <v>174</v>
      </c>
      <c r="AM1147" s="4" t="s">
        <v>205</v>
      </c>
    </row>
    <row r="1148" customFormat="false" ht="23.85" hidden="false" customHeight="false" outlineLevel="0" collapsed="false">
      <c r="A1148" s="4" t="s">
        <v>167</v>
      </c>
      <c r="B1148" s="4" t="s">
        <v>1325</v>
      </c>
      <c r="C1148" s="4" t="s">
        <v>1325</v>
      </c>
      <c r="D1148" s="12" t="n">
        <v>2022</v>
      </c>
      <c r="E1148" s="4"/>
      <c r="F1148" s="4" t="s">
        <v>169</v>
      </c>
      <c r="G1148" s="4" t="s">
        <v>170</v>
      </c>
      <c r="H1148" s="4" t="s">
        <v>171</v>
      </c>
      <c r="I1148" s="4" t="s">
        <v>172</v>
      </c>
      <c r="J1148" s="4" t="s">
        <v>1325</v>
      </c>
      <c r="K1148" s="4" t="s">
        <v>97</v>
      </c>
      <c r="L1148" s="4" t="s">
        <v>98</v>
      </c>
      <c r="M1148" s="4"/>
      <c r="N1148" s="4"/>
      <c r="O1148" s="4"/>
      <c r="P1148" s="4"/>
      <c r="Q1148" s="4"/>
      <c r="R1148" s="4"/>
      <c r="S1148" s="13" t="n">
        <v>0</v>
      </c>
      <c r="T1148" s="4" t="s">
        <v>173</v>
      </c>
      <c r="U1148" s="14" t="n">
        <f aca="false">IF(OR($S1148="",PARAMETROS!$B$4=""),"",$S1148*PARAMETROS!$B$4)</f>
        <v>0</v>
      </c>
      <c r="V1148" s="13" t="n">
        <v>0</v>
      </c>
      <c r="W1148" s="4"/>
      <c r="X1148" s="4"/>
      <c r="Y1148" s="4"/>
      <c r="Z1148" s="4"/>
      <c r="AA1148" s="4"/>
      <c r="AB1148" s="4"/>
      <c r="AC1148" s="4"/>
      <c r="AD1148" s="4"/>
      <c r="AE1148" s="4"/>
      <c r="AF1148" s="4"/>
      <c r="AG1148" s="4"/>
      <c r="AH1148" s="4"/>
      <c r="AI1148" s="4"/>
      <c r="AJ1148" s="4"/>
      <c r="AK1148" s="4"/>
      <c r="AL1148" s="4" t="s">
        <v>174</v>
      </c>
      <c r="AM1148" s="4" t="s">
        <v>205</v>
      </c>
    </row>
    <row r="1149" customFormat="false" ht="23.85" hidden="false" customHeight="false" outlineLevel="0" collapsed="false">
      <c r="A1149" s="4" t="s">
        <v>167</v>
      </c>
      <c r="B1149" s="4" t="s">
        <v>1326</v>
      </c>
      <c r="C1149" s="4" t="s">
        <v>1326</v>
      </c>
      <c r="D1149" s="12" t="n">
        <v>2022</v>
      </c>
      <c r="E1149" s="4"/>
      <c r="F1149" s="4" t="s">
        <v>169</v>
      </c>
      <c r="G1149" s="4" t="s">
        <v>170</v>
      </c>
      <c r="H1149" s="4" t="s">
        <v>171</v>
      </c>
      <c r="I1149" s="4" t="s">
        <v>172</v>
      </c>
      <c r="J1149" s="4" t="s">
        <v>1326</v>
      </c>
      <c r="K1149" s="4" t="s">
        <v>97</v>
      </c>
      <c r="L1149" s="4" t="s">
        <v>98</v>
      </c>
      <c r="M1149" s="4"/>
      <c r="N1149" s="4"/>
      <c r="O1149" s="4"/>
      <c r="P1149" s="4"/>
      <c r="Q1149" s="4"/>
      <c r="R1149" s="4"/>
      <c r="S1149" s="13" t="n">
        <v>0</v>
      </c>
      <c r="T1149" s="4" t="s">
        <v>173</v>
      </c>
      <c r="U1149" s="14" t="n">
        <f aca="false">IF(OR($S1149="",PARAMETROS!$B$4=""),"",$S1149*PARAMETROS!$B$4)</f>
        <v>0</v>
      </c>
      <c r="V1149" s="13" t="n">
        <v>0</v>
      </c>
      <c r="W1149" s="4"/>
      <c r="X1149" s="4"/>
      <c r="Y1149" s="4"/>
      <c r="Z1149" s="4"/>
      <c r="AA1149" s="4"/>
      <c r="AB1149" s="4"/>
      <c r="AC1149" s="4"/>
      <c r="AD1149" s="4"/>
      <c r="AE1149" s="4"/>
      <c r="AF1149" s="4"/>
      <c r="AG1149" s="4"/>
      <c r="AH1149" s="4"/>
      <c r="AI1149" s="4"/>
      <c r="AJ1149" s="4"/>
      <c r="AK1149" s="4"/>
      <c r="AL1149" s="4" t="s">
        <v>174</v>
      </c>
      <c r="AM1149" s="4" t="s">
        <v>205</v>
      </c>
    </row>
    <row r="1150" customFormat="false" ht="23.85" hidden="false" customHeight="false" outlineLevel="0" collapsed="false">
      <c r="A1150" s="4" t="s">
        <v>167</v>
      </c>
      <c r="B1150" s="4" t="s">
        <v>1327</v>
      </c>
      <c r="C1150" s="4" t="s">
        <v>1327</v>
      </c>
      <c r="D1150" s="12" t="n">
        <v>2022</v>
      </c>
      <c r="E1150" s="4"/>
      <c r="F1150" s="4" t="s">
        <v>169</v>
      </c>
      <c r="G1150" s="4" t="s">
        <v>170</v>
      </c>
      <c r="H1150" s="4" t="s">
        <v>171</v>
      </c>
      <c r="I1150" s="4" t="s">
        <v>172</v>
      </c>
      <c r="J1150" s="4" t="s">
        <v>1327</v>
      </c>
      <c r="K1150" s="4" t="s">
        <v>99</v>
      </c>
      <c r="L1150" s="4" t="s">
        <v>100</v>
      </c>
      <c r="M1150" s="4"/>
      <c r="N1150" s="4"/>
      <c r="O1150" s="4"/>
      <c r="P1150" s="4"/>
      <c r="Q1150" s="4"/>
      <c r="R1150" s="4"/>
      <c r="S1150" s="13" t="n">
        <v>0</v>
      </c>
      <c r="T1150" s="4" t="s">
        <v>173</v>
      </c>
      <c r="U1150" s="14" t="n">
        <f aca="false">IF(OR($S1150="",PARAMETROS!$B$4=""),"",$S1150*PARAMETROS!$B$4)</f>
        <v>0</v>
      </c>
      <c r="V1150" s="13" t="n">
        <v>0</v>
      </c>
      <c r="W1150" s="4"/>
      <c r="X1150" s="4"/>
      <c r="Y1150" s="4"/>
      <c r="Z1150" s="4"/>
      <c r="AA1150" s="4"/>
      <c r="AB1150" s="4"/>
      <c r="AC1150" s="4"/>
      <c r="AD1150" s="4"/>
      <c r="AE1150" s="4"/>
      <c r="AF1150" s="4"/>
      <c r="AG1150" s="4"/>
      <c r="AH1150" s="4"/>
      <c r="AI1150" s="4"/>
      <c r="AJ1150" s="4"/>
      <c r="AK1150" s="4"/>
      <c r="AL1150" s="4" t="s">
        <v>174</v>
      </c>
      <c r="AM1150" s="4" t="s">
        <v>205</v>
      </c>
    </row>
    <row r="1151" customFormat="false" ht="23.85" hidden="false" customHeight="false" outlineLevel="0" collapsed="false">
      <c r="A1151" s="4" t="s">
        <v>167</v>
      </c>
      <c r="B1151" s="4" t="s">
        <v>1328</v>
      </c>
      <c r="C1151" s="4" t="s">
        <v>1328</v>
      </c>
      <c r="D1151" s="12" t="n">
        <v>2022</v>
      </c>
      <c r="E1151" s="4"/>
      <c r="F1151" s="4" t="s">
        <v>169</v>
      </c>
      <c r="G1151" s="4" t="s">
        <v>170</v>
      </c>
      <c r="H1151" s="4" t="s">
        <v>171</v>
      </c>
      <c r="I1151" s="4" t="s">
        <v>172</v>
      </c>
      <c r="J1151" s="4" t="s">
        <v>1328</v>
      </c>
      <c r="K1151" s="4" t="s">
        <v>99</v>
      </c>
      <c r="L1151" s="4" t="s">
        <v>100</v>
      </c>
      <c r="M1151" s="4"/>
      <c r="N1151" s="4"/>
      <c r="O1151" s="4"/>
      <c r="P1151" s="4"/>
      <c r="Q1151" s="4"/>
      <c r="R1151" s="4"/>
      <c r="S1151" s="13" t="n">
        <v>917.5</v>
      </c>
      <c r="T1151" s="4" t="s">
        <v>173</v>
      </c>
      <c r="U1151" s="14" t="n">
        <f aca="false">IF(OR($S1151="",PARAMETROS!$B$4=""),"",$S1151*PARAMETROS!$B$4)</f>
        <v>5330.675</v>
      </c>
      <c r="V1151" s="13" t="n">
        <v>0</v>
      </c>
      <c r="W1151" s="4"/>
      <c r="X1151" s="4"/>
      <c r="Y1151" s="4"/>
      <c r="Z1151" s="4"/>
      <c r="AA1151" s="4"/>
      <c r="AB1151" s="4"/>
      <c r="AC1151" s="4"/>
      <c r="AD1151" s="4"/>
      <c r="AE1151" s="4"/>
      <c r="AF1151" s="4"/>
      <c r="AG1151" s="4"/>
      <c r="AH1151" s="4"/>
      <c r="AI1151" s="4"/>
      <c r="AJ1151" s="4"/>
      <c r="AK1151" s="4"/>
      <c r="AL1151" s="4" t="s">
        <v>174</v>
      </c>
      <c r="AM1151" s="4" t="s">
        <v>205</v>
      </c>
    </row>
    <row r="1152" customFormat="false" ht="23.85" hidden="false" customHeight="false" outlineLevel="0" collapsed="false">
      <c r="A1152" s="4" t="s">
        <v>167</v>
      </c>
      <c r="B1152" s="4" t="s">
        <v>1329</v>
      </c>
      <c r="C1152" s="4" t="s">
        <v>1329</v>
      </c>
      <c r="D1152" s="12" t="n">
        <v>2022</v>
      </c>
      <c r="E1152" s="4"/>
      <c r="F1152" s="4" t="s">
        <v>169</v>
      </c>
      <c r="G1152" s="4" t="s">
        <v>170</v>
      </c>
      <c r="H1152" s="4" t="s">
        <v>171</v>
      </c>
      <c r="I1152" s="4" t="s">
        <v>172</v>
      </c>
      <c r="J1152" s="4" t="s">
        <v>1329</v>
      </c>
      <c r="K1152" s="4" t="s">
        <v>99</v>
      </c>
      <c r="L1152" s="4" t="s">
        <v>100</v>
      </c>
      <c r="M1152" s="4"/>
      <c r="N1152" s="4"/>
      <c r="O1152" s="4"/>
      <c r="P1152" s="4"/>
      <c r="Q1152" s="4"/>
      <c r="R1152" s="4"/>
      <c r="S1152" s="13" t="n">
        <v>684.01</v>
      </c>
      <c r="T1152" s="4" t="s">
        <v>173</v>
      </c>
      <c r="U1152" s="14" t="n">
        <f aca="false">IF(OR($S1152="",PARAMETROS!$B$4=""),"",$S1152*PARAMETROS!$B$4)</f>
        <v>3974.0981</v>
      </c>
      <c r="V1152" s="13" t="n">
        <v>0</v>
      </c>
      <c r="W1152" s="4"/>
      <c r="X1152" s="4"/>
      <c r="Y1152" s="4"/>
      <c r="Z1152" s="4"/>
      <c r="AA1152" s="4"/>
      <c r="AB1152" s="4"/>
      <c r="AC1152" s="4"/>
      <c r="AD1152" s="4"/>
      <c r="AE1152" s="4"/>
      <c r="AF1152" s="4"/>
      <c r="AG1152" s="4"/>
      <c r="AH1152" s="4"/>
      <c r="AI1152" s="4"/>
      <c r="AJ1152" s="4"/>
      <c r="AK1152" s="4"/>
      <c r="AL1152" s="4" t="s">
        <v>174</v>
      </c>
      <c r="AM1152" s="4" t="s">
        <v>205</v>
      </c>
    </row>
    <row r="1153" customFormat="false" ht="23.85" hidden="false" customHeight="false" outlineLevel="0" collapsed="false">
      <c r="A1153" s="4" t="s">
        <v>167</v>
      </c>
      <c r="B1153" s="4" t="s">
        <v>1330</v>
      </c>
      <c r="C1153" s="4" t="s">
        <v>1330</v>
      </c>
      <c r="D1153" s="12" t="n">
        <v>2022</v>
      </c>
      <c r="E1153" s="4"/>
      <c r="F1153" s="4" t="s">
        <v>169</v>
      </c>
      <c r="G1153" s="4" t="s">
        <v>170</v>
      </c>
      <c r="H1153" s="4" t="s">
        <v>171</v>
      </c>
      <c r="I1153" s="4" t="s">
        <v>172</v>
      </c>
      <c r="J1153" s="4" t="s">
        <v>1330</v>
      </c>
      <c r="K1153" s="4" t="s">
        <v>99</v>
      </c>
      <c r="L1153" s="4" t="s">
        <v>100</v>
      </c>
      <c r="M1153" s="4"/>
      <c r="N1153" s="4"/>
      <c r="O1153" s="4"/>
      <c r="P1153" s="4"/>
      <c r="Q1153" s="4"/>
      <c r="R1153" s="4"/>
      <c r="S1153" s="13" t="n">
        <v>0</v>
      </c>
      <c r="T1153" s="4" t="s">
        <v>173</v>
      </c>
      <c r="U1153" s="14" t="n">
        <f aca="false">IF(OR($S1153="",PARAMETROS!$B$4=""),"",$S1153*PARAMETROS!$B$4)</f>
        <v>0</v>
      </c>
      <c r="V1153" s="13" t="n">
        <v>0</v>
      </c>
      <c r="W1153" s="4"/>
      <c r="X1153" s="4"/>
      <c r="Y1153" s="4"/>
      <c r="Z1153" s="4"/>
      <c r="AA1153" s="4"/>
      <c r="AB1153" s="4"/>
      <c r="AC1153" s="4"/>
      <c r="AD1153" s="4"/>
      <c r="AE1153" s="4"/>
      <c r="AF1153" s="4"/>
      <c r="AG1153" s="4"/>
      <c r="AH1153" s="4"/>
      <c r="AI1153" s="4"/>
      <c r="AJ1153" s="4"/>
      <c r="AK1153" s="4"/>
      <c r="AL1153" s="4" t="s">
        <v>174</v>
      </c>
      <c r="AM1153" s="4" t="s">
        <v>205</v>
      </c>
    </row>
    <row r="1154" customFormat="false" ht="23.85" hidden="false" customHeight="false" outlineLevel="0" collapsed="false">
      <c r="A1154" s="4" t="s">
        <v>167</v>
      </c>
      <c r="B1154" s="4" t="s">
        <v>1331</v>
      </c>
      <c r="C1154" s="4" t="s">
        <v>1331</v>
      </c>
      <c r="D1154" s="12" t="n">
        <v>2022</v>
      </c>
      <c r="E1154" s="4"/>
      <c r="F1154" s="4" t="s">
        <v>169</v>
      </c>
      <c r="G1154" s="4" t="s">
        <v>170</v>
      </c>
      <c r="H1154" s="4" t="s">
        <v>171</v>
      </c>
      <c r="I1154" s="4" t="s">
        <v>172</v>
      </c>
      <c r="J1154" s="4" t="s">
        <v>1331</v>
      </c>
      <c r="K1154" s="4" t="s">
        <v>99</v>
      </c>
      <c r="L1154" s="4" t="s">
        <v>100</v>
      </c>
      <c r="M1154" s="4"/>
      <c r="N1154" s="4"/>
      <c r="O1154" s="4"/>
      <c r="P1154" s="4"/>
      <c r="Q1154" s="4"/>
      <c r="R1154" s="4"/>
      <c r="S1154" s="13" t="n">
        <v>0</v>
      </c>
      <c r="T1154" s="4" t="s">
        <v>173</v>
      </c>
      <c r="U1154" s="14" t="n">
        <f aca="false">IF(OR($S1154="",PARAMETROS!$B$4=""),"",$S1154*PARAMETROS!$B$4)</f>
        <v>0</v>
      </c>
      <c r="V1154" s="13" t="n">
        <v>0</v>
      </c>
      <c r="W1154" s="4"/>
      <c r="X1154" s="4"/>
      <c r="Y1154" s="4"/>
      <c r="Z1154" s="4"/>
      <c r="AA1154" s="4"/>
      <c r="AB1154" s="4"/>
      <c r="AC1154" s="4"/>
      <c r="AD1154" s="4"/>
      <c r="AE1154" s="4"/>
      <c r="AF1154" s="4"/>
      <c r="AG1154" s="4"/>
      <c r="AH1154" s="4"/>
      <c r="AI1154" s="4"/>
      <c r="AJ1154" s="4"/>
      <c r="AK1154" s="4"/>
      <c r="AL1154" s="4" t="s">
        <v>174</v>
      </c>
      <c r="AM1154" s="4" t="s">
        <v>205</v>
      </c>
    </row>
    <row r="1155" customFormat="false" ht="23.85" hidden="false" customHeight="false" outlineLevel="0" collapsed="false">
      <c r="A1155" s="4" t="s">
        <v>167</v>
      </c>
      <c r="B1155" s="4" t="s">
        <v>1332</v>
      </c>
      <c r="C1155" s="4" t="s">
        <v>1332</v>
      </c>
      <c r="D1155" s="12" t="n">
        <v>2022</v>
      </c>
      <c r="E1155" s="4"/>
      <c r="F1155" s="4" t="s">
        <v>169</v>
      </c>
      <c r="G1155" s="4" t="s">
        <v>170</v>
      </c>
      <c r="H1155" s="4" t="s">
        <v>171</v>
      </c>
      <c r="I1155" s="4" t="s">
        <v>172</v>
      </c>
      <c r="J1155" s="4" t="s">
        <v>1332</v>
      </c>
      <c r="K1155" s="4" t="s">
        <v>99</v>
      </c>
      <c r="L1155" s="4" t="s">
        <v>100</v>
      </c>
      <c r="M1155" s="4"/>
      <c r="N1155" s="4"/>
      <c r="O1155" s="4"/>
      <c r="P1155" s="4"/>
      <c r="Q1155" s="4"/>
      <c r="R1155" s="4"/>
      <c r="S1155" s="13" t="n">
        <v>7654.11</v>
      </c>
      <c r="T1155" s="4" t="s">
        <v>173</v>
      </c>
      <c r="U1155" s="14" t="n">
        <f aca="false">IF(OR($S1155="",PARAMETROS!$B$4=""),"",$S1155*PARAMETROS!$B$4)</f>
        <v>44470.3791</v>
      </c>
      <c r="V1155" s="13" t="n">
        <v>0</v>
      </c>
      <c r="W1155" s="4"/>
      <c r="X1155" s="4"/>
      <c r="Y1155" s="4"/>
      <c r="Z1155" s="4"/>
      <c r="AA1155" s="4"/>
      <c r="AB1155" s="4"/>
      <c r="AC1155" s="4"/>
      <c r="AD1155" s="4"/>
      <c r="AE1155" s="4"/>
      <c r="AF1155" s="4"/>
      <c r="AG1155" s="4"/>
      <c r="AH1155" s="4"/>
      <c r="AI1155" s="4"/>
      <c r="AJ1155" s="4"/>
      <c r="AK1155" s="4"/>
      <c r="AL1155" s="4" t="s">
        <v>174</v>
      </c>
      <c r="AM1155" s="4" t="s">
        <v>205</v>
      </c>
    </row>
    <row r="1156" customFormat="false" ht="23.85" hidden="false" customHeight="false" outlineLevel="0" collapsed="false">
      <c r="A1156" s="4" t="s">
        <v>167</v>
      </c>
      <c r="B1156" s="4" t="s">
        <v>1333</v>
      </c>
      <c r="C1156" s="4" t="s">
        <v>1333</v>
      </c>
      <c r="D1156" s="12" t="n">
        <v>2022</v>
      </c>
      <c r="E1156" s="4"/>
      <c r="F1156" s="4" t="s">
        <v>169</v>
      </c>
      <c r="G1156" s="4" t="s">
        <v>170</v>
      </c>
      <c r="H1156" s="4" t="s">
        <v>171</v>
      </c>
      <c r="I1156" s="4" t="s">
        <v>172</v>
      </c>
      <c r="J1156" s="4" t="s">
        <v>1333</v>
      </c>
      <c r="K1156" s="4" t="s">
        <v>99</v>
      </c>
      <c r="L1156" s="4" t="s">
        <v>100</v>
      </c>
      <c r="M1156" s="4"/>
      <c r="N1156" s="4"/>
      <c r="O1156" s="4"/>
      <c r="P1156" s="4"/>
      <c r="Q1156" s="4"/>
      <c r="R1156" s="4"/>
      <c r="S1156" s="13" t="n">
        <v>492.41</v>
      </c>
      <c r="T1156" s="4" t="s">
        <v>173</v>
      </c>
      <c r="U1156" s="14" t="n">
        <f aca="false">IF(OR($S1156="",PARAMETROS!$B$4=""),"",$S1156*PARAMETROS!$B$4)</f>
        <v>2860.9021</v>
      </c>
      <c r="V1156" s="13" t="n">
        <v>0</v>
      </c>
      <c r="W1156" s="4"/>
      <c r="X1156" s="4"/>
      <c r="Y1156" s="4"/>
      <c r="Z1156" s="4"/>
      <c r="AA1156" s="4"/>
      <c r="AB1156" s="4"/>
      <c r="AC1156" s="4"/>
      <c r="AD1156" s="4"/>
      <c r="AE1156" s="4"/>
      <c r="AF1156" s="4"/>
      <c r="AG1156" s="4"/>
      <c r="AH1156" s="4"/>
      <c r="AI1156" s="4"/>
      <c r="AJ1156" s="4"/>
      <c r="AK1156" s="4"/>
      <c r="AL1156" s="4" t="s">
        <v>174</v>
      </c>
      <c r="AM1156" s="4" t="s">
        <v>205</v>
      </c>
    </row>
    <row r="1157" customFormat="false" ht="23.85" hidden="false" customHeight="false" outlineLevel="0" collapsed="false">
      <c r="A1157" s="4" t="s">
        <v>167</v>
      </c>
      <c r="B1157" s="4" t="s">
        <v>1334</v>
      </c>
      <c r="C1157" s="4" t="s">
        <v>1334</v>
      </c>
      <c r="D1157" s="12" t="n">
        <v>2022</v>
      </c>
      <c r="E1157" s="4"/>
      <c r="F1157" s="4" t="s">
        <v>169</v>
      </c>
      <c r="G1157" s="4" t="s">
        <v>170</v>
      </c>
      <c r="H1157" s="4" t="s">
        <v>171</v>
      </c>
      <c r="I1157" s="4" t="s">
        <v>172</v>
      </c>
      <c r="J1157" s="4" t="s">
        <v>1334</v>
      </c>
      <c r="K1157" s="4" t="s">
        <v>99</v>
      </c>
      <c r="L1157" s="4" t="s">
        <v>100</v>
      </c>
      <c r="M1157" s="4"/>
      <c r="N1157" s="4"/>
      <c r="O1157" s="4"/>
      <c r="P1157" s="4"/>
      <c r="Q1157" s="4"/>
      <c r="R1157" s="4"/>
      <c r="S1157" s="13" t="n">
        <v>344.26</v>
      </c>
      <c r="T1157" s="4" t="s">
        <v>173</v>
      </c>
      <c r="U1157" s="14" t="n">
        <f aca="false">IF(OR($S1157="",PARAMETROS!$B$4=""),"",$S1157*PARAMETROS!$B$4)</f>
        <v>2000.1506</v>
      </c>
      <c r="V1157" s="13" t="n">
        <v>0</v>
      </c>
      <c r="W1157" s="4"/>
      <c r="X1157" s="4"/>
      <c r="Y1157" s="4"/>
      <c r="Z1157" s="4"/>
      <c r="AA1157" s="4"/>
      <c r="AB1157" s="4"/>
      <c r="AC1157" s="4"/>
      <c r="AD1157" s="4"/>
      <c r="AE1157" s="4"/>
      <c r="AF1157" s="4"/>
      <c r="AG1157" s="4"/>
      <c r="AH1157" s="4"/>
      <c r="AI1157" s="4"/>
      <c r="AJ1157" s="4"/>
      <c r="AK1157" s="4"/>
      <c r="AL1157" s="4" t="s">
        <v>174</v>
      </c>
      <c r="AM1157" s="4" t="s">
        <v>205</v>
      </c>
    </row>
    <row r="1158" customFormat="false" ht="23.85" hidden="false" customHeight="false" outlineLevel="0" collapsed="false">
      <c r="A1158" s="4" t="s">
        <v>167</v>
      </c>
      <c r="B1158" s="4" t="s">
        <v>1335</v>
      </c>
      <c r="C1158" s="4" t="s">
        <v>1335</v>
      </c>
      <c r="D1158" s="12" t="n">
        <v>2022</v>
      </c>
      <c r="E1158" s="4"/>
      <c r="F1158" s="4" t="s">
        <v>169</v>
      </c>
      <c r="G1158" s="4" t="s">
        <v>170</v>
      </c>
      <c r="H1158" s="4" t="s">
        <v>171</v>
      </c>
      <c r="I1158" s="4" t="s">
        <v>172</v>
      </c>
      <c r="J1158" s="4" t="s">
        <v>1335</v>
      </c>
      <c r="K1158" s="4" t="s">
        <v>99</v>
      </c>
      <c r="L1158" s="4" t="s">
        <v>100</v>
      </c>
      <c r="M1158" s="4"/>
      <c r="N1158" s="4"/>
      <c r="O1158" s="4"/>
      <c r="P1158" s="4"/>
      <c r="Q1158" s="4"/>
      <c r="R1158" s="4"/>
      <c r="S1158" s="13" t="n">
        <v>0</v>
      </c>
      <c r="T1158" s="4" t="s">
        <v>173</v>
      </c>
      <c r="U1158" s="14" t="n">
        <f aca="false">IF(OR($S1158="",PARAMETROS!$B$4=""),"",$S1158*PARAMETROS!$B$4)</f>
        <v>0</v>
      </c>
      <c r="V1158" s="13" t="n">
        <v>0</v>
      </c>
      <c r="W1158" s="4"/>
      <c r="X1158" s="4"/>
      <c r="Y1158" s="4"/>
      <c r="Z1158" s="4"/>
      <c r="AA1158" s="4"/>
      <c r="AB1158" s="4"/>
      <c r="AC1158" s="4"/>
      <c r="AD1158" s="4"/>
      <c r="AE1158" s="4"/>
      <c r="AF1158" s="4"/>
      <c r="AG1158" s="4"/>
      <c r="AH1158" s="4"/>
      <c r="AI1158" s="4"/>
      <c r="AJ1158" s="4"/>
      <c r="AK1158" s="4"/>
      <c r="AL1158" s="4" t="s">
        <v>174</v>
      </c>
      <c r="AM1158" s="4" t="s">
        <v>205</v>
      </c>
    </row>
    <row r="1159" customFormat="false" ht="23.85" hidden="false" customHeight="false" outlineLevel="0" collapsed="false">
      <c r="A1159" s="4" t="s">
        <v>167</v>
      </c>
      <c r="B1159" s="4" t="s">
        <v>1336</v>
      </c>
      <c r="C1159" s="4" t="s">
        <v>1336</v>
      </c>
      <c r="D1159" s="12" t="n">
        <v>2022</v>
      </c>
      <c r="E1159" s="4"/>
      <c r="F1159" s="4" t="s">
        <v>169</v>
      </c>
      <c r="G1159" s="4" t="s">
        <v>170</v>
      </c>
      <c r="H1159" s="4" t="s">
        <v>171</v>
      </c>
      <c r="I1159" s="4" t="s">
        <v>172</v>
      </c>
      <c r="J1159" s="4" t="s">
        <v>1336</v>
      </c>
      <c r="K1159" s="4" t="s">
        <v>99</v>
      </c>
      <c r="L1159" s="4" t="s">
        <v>100</v>
      </c>
      <c r="M1159" s="4"/>
      <c r="N1159" s="4"/>
      <c r="O1159" s="4"/>
      <c r="P1159" s="4"/>
      <c r="Q1159" s="4"/>
      <c r="R1159" s="4"/>
      <c r="S1159" s="13" t="n">
        <v>2533.08</v>
      </c>
      <c r="T1159" s="4" t="s">
        <v>173</v>
      </c>
      <c r="U1159" s="14" t="n">
        <f aca="false">IF(OR($S1159="",PARAMETROS!$B$4=""),"",$S1159*PARAMETROS!$B$4)</f>
        <v>14717.1948</v>
      </c>
      <c r="V1159" s="13" t="n">
        <v>0</v>
      </c>
      <c r="W1159" s="4"/>
      <c r="X1159" s="4"/>
      <c r="Y1159" s="4"/>
      <c r="Z1159" s="4"/>
      <c r="AA1159" s="4"/>
      <c r="AB1159" s="4"/>
      <c r="AC1159" s="4"/>
      <c r="AD1159" s="4"/>
      <c r="AE1159" s="4"/>
      <c r="AF1159" s="4"/>
      <c r="AG1159" s="4"/>
      <c r="AH1159" s="4"/>
      <c r="AI1159" s="4"/>
      <c r="AJ1159" s="4"/>
      <c r="AK1159" s="4"/>
      <c r="AL1159" s="4" t="s">
        <v>174</v>
      </c>
      <c r="AM1159" s="4" t="s">
        <v>205</v>
      </c>
    </row>
    <row r="1160" customFormat="false" ht="23.85" hidden="false" customHeight="false" outlineLevel="0" collapsed="false">
      <c r="A1160" s="4" t="s">
        <v>167</v>
      </c>
      <c r="B1160" s="4" t="s">
        <v>1337</v>
      </c>
      <c r="C1160" s="4" t="s">
        <v>1337</v>
      </c>
      <c r="D1160" s="12" t="n">
        <v>2022</v>
      </c>
      <c r="E1160" s="4"/>
      <c r="F1160" s="4" t="s">
        <v>169</v>
      </c>
      <c r="G1160" s="4" t="s">
        <v>170</v>
      </c>
      <c r="H1160" s="4" t="s">
        <v>171</v>
      </c>
      <c r="I1160" s="4" t="s">
        <v>172</v>
      </c>
      <c r="J1160" s="4" t="s">
        <v>1337</v>
      </c>
      <c r="K1160" s="4" t="s">
        <v>99</v>
      </c>
      <c r="L1160" s="4" t="s">
        <v>100</v>
      </c>
      <c r="M1160" s="4"/>
      <c r="N1160" s="4"/>
      <c r="O1160" s="4"/>
      <c r="P1160" s="4"/>
      <c r="Q1160" s="4"/>
      <c r="R1160" s="4"/>
      <c r="S1160" s="13" t="n">
        <v>1798.97</v>
      </c>
      <c r="T1160" s="4" t="s">
        <v>173</v>
      </c>
      <c r="U1160" s="14" t="n">
        <f aca="false">IF(OR($S1160="",PARAMETROS!$B$4=""),"",$S1160*PARAMETROS!$B$4)</f>
        <v>10452.0157</v>
      </c>
      <c r="V1160" s="13" t="n">
        <v>0</v>
      </c>
      <c r="W1160" s="4"/>
      <c r="X1160" s="4"/>
      <c r="Y1160" s="4"/>
      <c r="Z1160" s="4"/>
      <c r="AA1160" s="4"/>
      <c r="AB1160" s="4"/>
      <c r="AC1160" s="4"/>
      <c r="AD1160" s="4"/>
      <c r="AE1160" s="4"/>
      <c r="AF1160" s="4"/>
      <c r="AG1160" s="4"/>
      <c r="AH1160" s="4"/>
      <c r="AI1160" s="4"/>
      <c r="AJ1160" s="4"/>
      <c r="AK1160" s="4"/>
      <c r="AL1160" s="4" t="s">
        <v>174</v>
      </c>
      <c r="AM1160" s="4" t="s">
        <v>205</v>
      </c>
    </row>
    <row r="1161" customFormat="false" ht="23.85" hidden="false" customHeight="false" outlineLevel="0" collapsed="false">
      <c r="A1161" s="4" t="s">
        <v>167</v>
      </c>
      <c r="B1161" s="4" t="s">
        <v>1338</v>
      </c>
      <c r="C1161" s="4" t="s">
        <v>1338</v>
      </c>
      <c r="D1161" s="12" t="n">
        <v>2022</v>
      </c>
      <c r="E1161" s="4"/>
      <c r="F1161" s="4" t="s">
        <v>169</v>
      </c>
      <c r="G1161" s="4" t="s">
        <v>170</v>
      </c>
      <c r="H1161" s="4" t="s">
        <v>171</v>
      </c>
      <c r="I1161" s="4" t="s">
        <v>172</v>
      </c>
      <c r="J1161" s="4" t="s">
        <v>1338</v>
      </c>
      <c r="K1161" s="4" t="s">
        <v>99</v>
      </c>
      <c r="L1161" s="4" t="s">
        <v>100</v>
      </c>
      <c r="M1161" s="4"/>
      <c r="N1161" s="4"/>
      <c r="O1161" s="4"/>
      <c r="P1161" s="4"/>
      <c r="Q1161" s="4"/>
      <c r="R1161" s="4"/>
      <c r="S1161" s="13" t="n">
        <v>2639.5</v>
      </c>
      <c r="T1161" s="4" t="s">
        <v>173</v>
      </c>
      <c r="U1161" s="14" t="n">
        <f aca="false">IF(OR($S1161="",PARAMETROS!$B$4=""),"",$S1161*PARAMETROS!$B$4)</f>
        <v>15335.495</v>
      </c>
      <c r="V1161" s="13" t="n">
        <v>0</v>
      </c>
      <c r="W1161" s="4"/>
      <c r="X1161" s="4"/>
      <c r="Y1161" s="4"/>
      <c r="Z1161" s="4"/>
      <c r="AA1161" s="4"/>
      <c r="AB1161" s="4"/>
      <c r="AC1161" s="4"/>
      <c r="AD1161" s="4"/>
      <c r="AE1161" s="4"/>
      <c r="AF1161" s="4"/>
      <c r="AG1161" s="4"/>
      <c r="AH1161" s="4"/>
      <c r="AI1161" s="4"/>
      <c r="AJ1161" s="4"/>
      <c r="AK1161" s="4"/>
      <c r="AL1161" s="4" t="s">
        <v>174</v>
      </c>
      <c r="AM1161" s="4" t="s">
        <v>205</v>
      </c>
    </row>
    <row r="1162" customFormat="false" ht="23.85" hidden="false" customHeight="false" outlineLevel="0" collapsed="false">
      <c r="A1162" s="4" t="s">
        <v>167</v>
      </c>
      <c r="B1162" s="4" t="s">
        <v>1339</v>
      </c>
      <c r="C1162" s="4" t="s">
        <v>1339</v>
      </c>
      <c r="D1162" s="12" t="n">
        <v>2022</v>
      </c>
      <c r="E1162" s="4"/>
      <c r="F1162" s="4" t="s">
        <v>169</v>
      </c>
      <c r="G1162" s="4" t="s">
        <v>170</v>
      </c>
      <c r="H1162" s="4" t="s">
        <v>171</v>
      </c>
      <c r="I1162" s="4" t="s">
        <v>172</v>
      </c>
      <c r="J1162" s="4" t="s">
        <v>1339</v>
      </c>
      <c r="K1162" s="4" t="s">
        <v>99</v>
      </c>
      <c r="L1162" s="4" t="s">
        <v>100</v>
      </c>
      <c r="M1162" s="4"/>
      <c r="N1162" s="4"/>
      <c r="O1162" s="4"/>
      <c r="P1162" s="4"/>
      <c r="Q1162" s="4"/>
      <c r="R1162" s="4"/>
      <c r="S1162" s="13" t="n">
        <v>0</v>
      </c>
      <c r="T1162" s="4" t="s">
        <v>173</v>
      </c>
      <c r="U1162" s="14" t="n">
        <f aca="false">IF(OR($S1162="",PARAMETROS!$B$4=""),"",$S1162*PARAMETROS!$B$4)</f>
        <v>0</v>
      </c>
      <c r="V1162" s="13" t="n">
        <v>0</v>
      </c>
      <c r="W1162" s="4"/>
      <c r="X1162" s="4"/>
      <c r="Y1162" s="4"/>
      <c r="Z1162" s="4"/>
      <c r="AA1162" s="4"/>
      <c r="AB1162" s="4"/>
      <c r="AC1162" s="4"/>
      <c r="AD1162" s="4"/>
      <c r="AE1162" s="4"/>
      <c r="AF1162" s="4"/>
      <c r="AG1162" s="4"/>
      <c r="AH1162" s="4"/>
      <c r="AI1162" s="4"/>
      <c r="AJ1162" s="4"/>
      <c r="AK1162" s="4"/>
      <c r="AL1162" s="4" t="s">
        <v>174</v>
      </c>
      <c r="AM1162" s="4" t="s">
        <v>205</v>
      </c>
    </row>
    <row r="1163" customFormat="false" ht="23.85" hidden="false" customHeight="false" outlineLevel="0" collapsed="false">
      <c r="A1163" s="4" t="s">
        <v>167</v>
      </c>
      <c r="B1163" s="4" t="s">
        <v>1340</v>
      </c>
      <c r="C1163" s="4" t="s">
        <v>1340</v>
      </c>
      <c r="D1163" s="12" t="n">
        <v>2022</v>
      </c>
      <c r="E1163" s="4"/>
      <c r="F1163" s="4" t="s">
        <v>169</v>
      </c>
      <c r="G1163" s="4" t="s">
        <v>170</v>
      </c>
      <c r="H1163" s="4" t="s">
        <v>171</v>
      </c>
      <c r="I1163" s="4" t="s">
        <v>172</v>
      </c>
      <c r="J1163" s="4" t="s">
        <v>1340</v>
      </c>
      <c r="K1163" s="4" t="s">
        <v>99</v>
      </c>
      <c r="L1163" s="4" t="s">
        <v>100</v>
      </c>
      <c r="M1163" s="4"/>
      <c r="N1163" s="4"/>
      <c r="O1163" s="4"/>
      <c r="P1163" s="4"/>
      <c r="Q1163" s="4"/>
      <c r="R1163" s="4"/>
      <c r="S1163" s="13" t="n">
        <v>1064.21</v>
      </c>
      <c r="T1163" s="4" t="s">
        <v>173</v>
      </c>
      <c r="U1163" s="14" t="n">
        <f aca="false">IF(OR($S1163="",PARAMETROS!$B$4=""),"",$S1163*PARAMETROS!$B$4)</f>
        <v>6183.0601</v>
      </c>
      <c r="V1163" s="13" t="n">
        <v>0</v>
      </c>
      <c r="W1163" s="4"/>
      <c r="X1163" s="4"/>
      <c r="Y1163" s="4"/>
      <c r="Z1163" s="4"/>
      <c r="AA1163" s="4"/>
      <c r="AB1163" s="4"/>
      <c r="AC1163" s="4"/>
      <c r="AD1163" s="4"/>
      <c r="AE1163" s="4"/>
      <c r="AF1163" s="4"/>
      <c r="AG1163" s="4"/>
      <c r="AH1163" s="4"/>
      <c r="AI1163" s="4"/>
      <c r="AJ1163" s="4"/>
      <c r="AK1163" s="4"/>
      <c r="AL1163" s="4" t="s">
        <v>174</v>
      </c>
      <c r="AM1163" s="4" t="s">
        <v>205</v>
      </c>
    </row>
    <row r="1164" customFormat="false" ht="23.85" hidden="false" customHeight="false" outlineLevel="0" collapsed="false">
      <c r="A1164" s="4" t="s">
        <v>167</v>
      </c>
      <c r="B1164" s="4" t="s">
        <v>1341</v>
      </c>
      <c r="C1164" s="4" t="s">
        <v>1341</v>
      </c>
      <c r="D1164" s="12" t="n">
        <v>2022</v>
      </c>
      <c r="E1164" s="4"/>
      <c r="F1164" s="4" t="s">
        <v>169</v>
      </c>
      <c r="G1164" s="4" t="s">
        <v>170</v>
      </c>
      <c r="H1164" s="4" t="s">
        <v>171</v>
      </c>
      <c r="I1164" s="4" t="s">
        <v>172</v>
      </c>
      <c r="J1164" s="4" t="s">
        <v>1341</v>
      </c>
      <c r="K1164" s="4" t="s">
        <v>101</v>
      </c>
      <c r="L1164" s="4" t="s">
        <v>102</v>
      </c>
      <c r="M1164" s="4"/>
      <c r="N1164" s="4"/>
      <c r="O1164" s="4"/>
      <c r="P1164" s="4"/>
      <c r="Q1164" s="4"/>
      <c r="R1164" s="4"/>
      <c r="S1164" s="13" t="n">
        <v>0</v>
      </c>
      <c r="T1164" s="4" t="s">
        <v>173</v>
      </c>
      <c r="U1164" s="14" t="n">
        <f aca="false">IF(OR($S1164="",PARAMETROS!$B$4=""),"",$S1164*PARAMETROS!$B$4)</f>
        <v>0</v>
      </c>
      <c r="V1164" s="13" t="n">
        <v>0</v>
      </c>
      <c r="W1164" s="4"/>
      <c r="X1164" s="4"/>
      <c r="Y1164" s="4"/>
      <c r="Z1164" s="4"/>
      <c r="AA1164" s="4"/>
      <c r="AB1164" s="4"/>
      <c r="AC1164" s="4"/>
      <c r="AD1164" s="4"/>
      <c r="AE1164" s="4"/>
      <c r="AF1164" s="4"/>
      <c r="AG1164" s="4"/>
      <c r="AH1164" s="4"/>
      <c r="AI1164" s="4"/>
      <c r="AJ1164" s="4"/>
      <c r="AK1164" s="4"/>
      <c r="AL1164" s="4" t="s">
        <v>174</v>
      </c>
      <c r="AM1164" s="4" t="s">
        <v>205</v>
      </c>
    </row>
    <row r="1165" customFormat="false" ht="23.85" hidden="false" customHeight="false" outlineLevel="0" collapsed="false">
      <c r="A1165" s="4" t="s">
        <v>167</v>
      </c>
      <c r="B1165" s="4" t="s">
        <v>1342</v>
      </c>
      <c r="C1165" s="4" t="s">
        <v>1342</v>
      </c>
      <c r="D1165" s="12" t="n">
        <v>2022</v>
      </c>
      <c r="E1165" s="4"/>
      <c r="F1165" s="4" t="s">
        <v>169</v>
      </c>
      <c r="G1165" s="4" t="s">
        <v>170</v>
      </c>
      <c r="H1165" s="4" t="s">
        <v>171</v>
      </c>
      <c r="I1165" s="4" t="s">
        <v>172</v>
      </c>
      <c r="J1165" s="4" t="s">
        <v>1342</v>
      </c>
      <c r="K1165" s="4" t="s">
        <v>101</v>
      </c>
      <c r="L1165" s="4" t="s">
        <v>102</v>
      </c>
      <c r="M1165" s="4"/>
      <c r="N1165" s="4"/>
      <c r="O1165" s="4"/>
      <c r="P1165" s="4"/>
      <c r="Q1165" s="4"/>
      <c r="R1165" s="4"/>
      <c r="S1165" s="13" t="n">
        <v>1785.46</v>
      </c>
      <c r="T1165" s="4" t="s">
        <v>173</v>
      </c>
      <c r="U1165" s="14" t="n">
        <f aca="false">IF(OR($S1165="",PARAMETROS!$B$4=""),"",$S1165*PARAMETROS!$B$4)</f>
        <v>10373.5226</v>
      </c>
      <c r="V1165" s="13" t="n">
        <v>0</v>
      </c>
      <c r="W1165" s="4"/>
      <c r="X1165" s="4"/>
      <c r="Y1165" s="4"/>
      <c r="Z1165" s="4"/>
      <c r="AA1165" s="4"/>
      <c r="AB1165" s="4"/>
      <c r="AC1165" s="4"/>
      <c r="AD1165" s="4"/>
      <c r="AE1165" s="4"/>
      <c r="AF1165" s="4"/>
      <c r="AG1165" s="4"/>
      <c r="AH1165" s="4"/>
      <c r="AI1165" s="4"/>
      <c r="AJ1165" s="4"/>
      <c r="AK1165" s="4"/>
      <c r="AL1165" s="4" t="s">
        <v>174</v>
      </c>
      <c r="AM1165" s="4" t="s">
        <v>205</v>
      </c>
    </row>
    <row r="1166" customFormat="false" ht="23.85" hidden="false" customHeight="false" outlineLevel="0" collapsed="false">
      <c r="A1166" s="4" t="s">
        <v>167</v>
      </c>
      <c r="B1166" s="4" t="s">
        <v>1343</v>
      </c>
      <c r="C1166" s="4" t="s">
        <v>1343</v>
      </c>
      <c r="D1166" s="12" t="n">
        <v>2022</v>
      </c>
      <c r="E1166" s="4"/>
      <c r="F1166" s="4" t="s">
        <v>169</v>
      </c>
      <c r="G1166" s="4" t="s">
        <v>170</v>
      </c>
      <c r="H1166" s="4" t="s">
        <v>171</v>
      </c>
      <c r="I1166" s="4" t="s">
        <v>172</v>
      </c>
      <c r="J1166" s="4" t="s">
        <v>1343</v>
      </c>
      <c r="K1166" s="4" t="s">
        <v>101</v>
      </c>
      <c r="L1166" s="4" t="s">
        <v>102</v>
      </c>
      <c r="M1166" s="4"/>
      <c r="N1166" s="4"/>
      <c r="O1166" s="4"/>
      <c r="P1166" s="4"/>
      <c r="Q1166" s="4"/>
      <c r="R1166" s="4"/>
      <c r="S1166" s="13" t="n">
        <v>0</v>
      </c>
      <c r="T1166" s="4" t="s">
        <v>173</v>
      </c>
      <c r="U1166" s="14" t="n">
        <f aca="false">IF(OR($S1166="",PARAMETROS!$B$4=""),"",$S1166*PARAMETROS!$B$4)</f>
        <v>0</v>
      </c>
      <c r="V1166" s="13" t="n">
        <v>0</v>
      </c>
      <c r="W1166" s="4"/>
      <c r="X1166" s="4"/>
      <c r="Y1166" s="4"/>
      <c r="Z1166" s="4"/>
      <c r="AA1166" s="4"/>
      <c r="AB1166" s="4"/>
      <c r="AC1166" s="4"/>
      <c r="AD1166" s="4"/>
      <c r="AE1166" s="4"/>
      <c r="AF1166" s="4"/>
      <c r="AG1166" s="4"/>
      <c r="AH1166" s="4"/>
      <c r="AI1166" s="4"/>
      <c r="AJ1166" s="4"/>
      <c r="AK1166" s="4"/>
      <c r="AL1166" s="4" t="s">
        <v>174</v>
      </c>
      <c r="AM1166" s="4" t="s">
        <v>205</v>
      </c>
    </row>
    <row r="1167" customFormat="false" ht="23.85" hidden="false" customHeight="false" outlineLevel="0" collapsed="false">
      <c r="A1167" s="4" t="s">
        <v>167</v>
      </c>
      <c r="B1167" s="4" t="s">
        <v>1344</v>
      </c>
      <c r="C1167" s="4" t="s">
        <v>1344</v>
      </c>
      <c r="D1167" s="12" t="n">
        <v>2022</v>
      </c>
      <c r="E1167" s="4"/>
      <c r="F1167" s="4" t="s">
        <v>169</v>
      </c>
      <c r="G1167" s="4" t="s">
        <v>170</v>
      </c>
      <c r="H1167" s="4" t="s">
        <v>171</v>
      </c>
      <c r="I1167" s="4" t="s">
        <v>172</v>
      </c>
      <c r="J1167" s="4" t="s">
        <v>1344</v>
      </c>
      <c r="K1167" s="4" t="s">
        <v>101</v>
      </c>
      <c r="L1167" s="4" t="s">
        <v>102</v>
      </c>
      <c r="M1167" s="4"/>
      <c r="N1167" s="4"/>
      <c r="O1167" s="4"/>
      <c r="P1167" s="4"/>
      <c r="Q1167" s="4"/>
      <c r="R1167" s="4"/>
      <c r="S1167" s="13" t="n">
        <v>-122.55</v>
      </c>
      <c r="T1167" s="4" t="s">
        <v>173</v>
      </c>
      <c r="U1167" s="14" t="n">
        <f aca="false">IF(OR($S1167="",PARAMETROS!$B$4=""),"",$S1167*PARAMETROS!$B$4)</f>
        <v>-712.0155</v>
      </c>
      <c r="V1167" s="13" t="n">
        <v>0</v>
      </c>
      <c r="W1167" s="4"/>
      <c r="X1167" s="4"/>
      <c r="Y1167" s="4"/>
      <c r="Z1167" s="4"/>
      <c r="AA1167" s="4"/>
      <c r="AB1167" s="4"/>
      <c r="AC1167" s="4"/>
      <c r="AD1167" s="4"/>
      <c r="AE1167" s="4"/>
      <c r="AF1167" s="4"/>
      <c r="AG1167" s="4"/>
      <c r="AH1167" s="4"/>
      <c r="AI1167" s="4"/>
      <c r="AJ1167" s="4"/>
      <c r="AK1167" s="4"/>
      <c r="AL1167" s="4" t="s">
        <v>174</v>
      </c>
      <c r="AM1167" s="4" t="s">
        <v>205</v>
      </c>
    </row>
    <row r="1168" customFormat="false" ht="23.85" hidden="false" customHeight="false" outlineLevel="0" collapsed="false">
      <c r="A1168" s="4" t="s">
        <v>167</v>
      </c>
      <c r="B1168" s="4" t="s">
        <v>1345</v>
      </c>
      <c r="C1168" s="4" t="s">
        <v>1345</v>
      </c>
      <c r="D1168" s="12" t="n">
        <v>2022</v>
      </c>
      <c r="E1168" s="4"/>
      <c r="F1168" s="4" t="s">
        <v>169</v>
      </c>
      <c r="G1168" s="4" t="s">
        <v>170</v>
      </c>
      <c r="H1168" s="4" t="s">
        <v>171</v>
      </c>
      <c r="I1168" s="4" t="s">
        <v>172</v>
      </c>
      <c r="J1168" s="4" t="s">
        <v>1345</v>
      </c>
      <c r="K1168" s="4" t="s">
        <v>101</v>
      </c>
      <c r="L1168" s="4" t="s">
        <v>102</v>
      </c>
      <c r="M1168" s="4"/>
      <c r="N1168" s="4"/>
      <c r="O1168" s="4"/>
      <c r="P1168" s="4"/>
      <c r="Q1168" s="4"/>
      <c r="R1168" s="4"/>
      <c r="S1168" s="13" t="n">
        <v>0</v>
      </c>
      <c r="T1168" s="4" t="s">
        <v>173</v>
      </c>
      <c r="U1168" s="14" t="n">
        <f aca="false">IF(OR($S1168="",PARAMETROS!$B$4=""),"",$S1168*PARAMETROS!$B$4)</f>
        <v>0</v>
      </c>
      <c r="V1168" s="13" t="n">
        <v>0</v>
      </c>
      <c r="W1168" s="4"/>
      <c r="X1168" s="4"/>
      <c r="Y1168" s="4"/>
      <c r="Z1168" s="4"/>
      <c r="AA1168" s="4"/>
      <c r="AB1168" s="4"/>
      <c r="AC1168" s="4"/>
      <c r="AD1168" s="4"/>
      <c r="AE1168" s="4"/>
      <c r="AF1168" s="4"/>
      <c r="AG1168" s="4"/>
      <c r="AH1168" s="4"/>
      <c r="AI1168" s="4"/>
      <c r="AJ1168" s="4"/>
      <c r="AK1168" s="4"/>
      <c r="AL1168" s="4" t="s">
        <v>174</v>
      </c>
      <c r="AM1168" s="4" t="s">
        <v>205</v>
      </c>
    </row>
    <row r="1169" customFormat="false" ht="23.85" hidden="false" customHeight="false" outlineLevel="0" collapsed="false">
      <c r="A1169" s="4" t="s">
        <v>167</v>
      </c>
      <c r="B1169" s="4" t="s">
        <v>1346</v>
      </c>
      <c r="C1169" s="4" t="s">
        <v>1346</v>
      </c>
      <c r="D1169" s="12" t="n">
        <v>2022</v>
      </c>
      <c r="E1169" s="4"/>
      <c r="F1169" s="4" t="s">
        <v>169</v>
      </c>
      <c r="G1169" s="4" t="s">
        <v>170</v>
      </c>
      <c r="H1169" s="4" t="s">
        <v>171</v>
      </c>
      <c r="I1169" s="4" t="s">
        <v>172</v>
      </c>
      <c r="J1169" s="4" t="s">
        <v>1346</v>
      </c>
      <c r="K1169" s="4" t="s">
        <v>101</v>
      </c>
      <c r="L1169" s="4" t="s">
        <v>102</v>
      </c>
      <c r="M1169" s="4"/>
      <c r="N1169" s="4"/>
      <c r="O1169" s="4"/>
      <c r="P1169" s="4"/>
      <c r="Q1169" s="4"/>
      <c r="R1169" s="4"/>
      <c r="S1169" s="13" t="n">
        <v>-245.86</v>
      </c>
      <c r="T1169" s="4" t="s">
        <v>173</v>
      </c>
      <c r="U1169" s="14" t="n">
        <f aca="false">IF(OR($S1169="",PARAMETROS!$B$4=""),"",$S1169*PARAMETROS!$B$4)</f>
        <v>-1428.4466</v>
      </c>
      <c r="V1169" s="13" t="n">
        <v>0</v>
      </c>
      <c r="W1169" s="4"/>
      <c r="X1169" s="4"/>
      <c r="Y1169" s="4"/>
      <c r="Z1169" s="4"/>
      <c r="AA1169" s="4"/>
      <c r="AB1169" s="4"/>
      <c r="AC1169" s="4"/>
      <c r="AD1169" s="4"/>
      <c r="AE1169" s="4"/>
      <c r="AF1169" s="4"/>
      <c r="AG1169" s="4"/>
      <c r="AH1169" s="4"/>
      <c r="AI1169" s="4"/>
      <c r="AJ1169" s="4"/>
      <c r="AK1169" s="4"/>
      <c r="AL1169" s="4" t="s">
        <v>174</v>
      </c>
      <c r="AM1169" s="4" t="s">
        <v>205</v>
      </c>
    </row>
    <row r="1170" customFormat="false" ht="23.85" hidden="false" customHeight="false" outlineLevel="0" collapsed="false">
      <c r="A1170" s="4" t="s">
        <v>167</v>
      </c>
      <c r="B1170" s="4" t="s">
        <v>1347</v>
      </c>
      <c r="C1170" s="4" t="s">
        <v>1347</v>
      </c>
      <c r="D1170" s="12" t="n">
        <v>2022</v>
      </c>
      <c r="E1170" s="4"/>
      <c r="F1170" s="4" t="s">
        <v>169</v>
      </c>
      <c r="G1170" s="4" t="s">
        <v>170</v>
      </c>
      <c r="H1170" s="4" t="s">
        <v>171</v>
      </c>
      <c r="I1170" s="4" t="s">
        <v>172</v>
      </c>
      <c r="J1170" s="4" t="s">
        <v>1347</v>
      </c>
      <c r="K1170" s="4" t="s">
        <v>101</v>
      </c>
      <c r="L1170" s="4" t="s">
        <v>102</v>
      </c>
      <c r="M1170" s="4"/>
      <c r="N1170" s="4"/>
      <c r="O1170" s="4"/>
      <c r="P1170" s="4"/>
      <c r="Q1170" s="4"/>
      <c r="R1170" s="4"/>
      <c r="S1170" s="13" t="n">
        <v>-10.57</v>
      </c>
      <c r="T1170" s="4" t="s">
        <v>173</v>
      </c>
      <c r="U1170" s="14" t="n">
        <f aca="false">IF(OR($S1170="",PARAMETROS!$B$4=""),"",$S1170*PARAMETROS!$B$4)</f>
        <v>-61.4117</v>
      </c>
      <c r="V1170" s="13" t="n">
        <v>0</v>
      </c>
      <c r="W1170" s="4"/>
      <c r="X1170" s="4"/>
      <c r="Y1170" s="4"/>
      <c r="Z1170" s="4"/>
      <c r="AA1170" s="4"/>
      <c r="AB1170" s="4"/>
      <c r="AC1170" s="4"/>
      <c r="AD1170" s="4"/>
      <c r="AE1170" s="4"/>
      <c r="AF1170" s="4"/>
      <c r="AG1170" s="4"/>
      <c r="AH1170" s="4"/>
      <c r="AI1170" s="4"/>
      <c r="AJ1170" s="4"/>
      <c r="AK1170" s="4"/>
      <c r="AL1170" s="4" t="s">
        <v>174</v>
      </c>
      <c r="AM1170" s="4" t="s">
        <v>205</v>
      </c>
    </row>
    <row r="1171" customFormat="false" ht="23.85" hidden="false" customHeight="false" outlineLevel="0" collapsed="false">
      <c r="A1171" s="4" t="s">
        <v>167</v>
      </c>
      <c r="B1171" s="4" t="s">
        <v>1348</v>
      </c>
      <c r="C1171" s="4" t="s">
        <v>1348</v>
      </c>
      <c r="D1171" s="12" t="n">
        <v>2022</v>
      </c>
      <c r="E1171" s="4"/>
      <c r="F1171" s="4" t="s">
        <v>169</v>
      </c>
      <c r="G1171" s="4" t="s">
        <v>170</v>
      </c>
      <c r="H1171" s="4" t="s">
        <v>171</v>
      </c>
      <c r="I1171" s="4" t="s">
        <v>172</v>
      </c>
      <c r="J1171" s="4" t="s">
        <v>1348</v>
      </c>
      <c r="K1171" s="4" t="s">
        <v>101</v>
      </c>
      <c r="L1171" s="4" t="s">
        <v>102</v>
      </c>
      <c r="M1171" s="4"/>
      <c r="N1171" s="4"/>
      <c r="O1171" s="4"/>
      <c r="P1171" s="4"/>
      <c r="Q1171" s="4"/>
      <c r="R1171" s="4"/>
      <c r="S1171" s="13" t="n">
        <v>0</v>
      </c>
      <c r="T1171" s="4" t="s">
        <v>173</v>
      </c>
      <c r="U1171" s="14" t="n">
        <f aca="false">IF(OR($S1171="",PARAMETROS!$B$4=""),"",$S1171*PARAMETROS!$B$4)</f>
        <v>0</v>
      </c>
      <c r="V1171" s="13" t="n">
        <v>0</v>
      </c>
      <c r="W1171" s="4"/>
      <c r="X1171" s="4"/>
      <c r="Y1171" s="4"/>
      <c r="Z1171" s="4"/>
      <c r="AA1171" s="4"/>
      <c r="AB1171" s="4"/>
      <c r="AC1171" s="4"/>
      <c r="AD1171" s="4"/>
      <c r="AE1171" s="4"/>
      <c r="AF1171" s="4"/>
      <c r="AG1171" s="4"/>
      <c r="AH1171" s="4"/>
      <c r="AI1171" s="4"/>
      <c r="AJ1171" s="4"/>
      <c r="AK1171" s="4"/>
      <c r="AL1171" s="4" t="s">
        <v>174</v>
      </c>
      <c r="AM1171" s="4" t="s">
        <v>205</v>
      </c>
    </row>
    <row r="1172" customFormat="false" ht="23.85" hidden="false" customHeight="false" outlineLevel="0" collapsed="false">
      <c r="A1172" s="4" t="s">
        <v>167</v>
      </c>
      <c r="B1172" s="4" t="s">
        <v>1349</v>
      </c>
      <c r="C1172" s="4" t="s">
        <v>1349</v>
      </c>
      <c r="D1172" s="12" t="n">
        <v>2022</v>
      </c>
      <c r="E1172" s="4"/>
      <c r="F1172" s="4" t="s">
        <v>169</v>
      </c>
      <c r="G1172" s="4" t="s">
        <v>170</v>
      </c>
      <c r="H1172" s="4" t="s">
        <v>171</v>
      </c>
      <c r="I1172" s="4" t="s">
        <v>172</v>
      </c>
      <c r="J1172" s="4" t="s">
        <v>1349</v>
      </c>
      <c r="K1172" s="4" t="s">
        <v>101</v>
      </c>
      <c r="L1172" s="4" t="s">
        <v>102</v>
      </c>
      <c r="M1172" s="4"/>
      <c r="N1172" s="4"/>
      <c r="O1172" s="4"/>
      <c r="P1172" s="4"/>
      <c r="Q1172" s="4"/>
      <c r="R1172" s="4"/>
      <c r="S1172" s="13" t="n">
        <v>0</v>
      </c>
      <c r="T1172" s="4" t="s">
        <v>173</v>
      </c>
      <c r="U1172" s="14" t="n">
        <f aca="false">IF(OR($S1172="",PARAMETROS!$B$4=""),"",$S1172*PARAMETROS!$B$4)</f>
        <v>0</v>
      </c>
      <c r="V1172" s="13" t="n">
        <v>0</v>
      </c>
      <c r="W1172" s="4"/>
      <c r="X1172" s="4"/>
      <c r="Y1172" s="4"/>
      <c r="Z1172" s="4"/>
      <c r="AA1172" s="4"/>
      <c r="AB1172" s="4"/>
      <c r="AC1172" s="4"/>
      <c r="AD1172" s="4"/>
      <c r="AE1172" s="4"/>
      <c r="AF1172" s="4"/>
      <c r="AG1172" s="4"/>
      <c r="AH1172" s="4"/>
      <c r="AI1172" s="4"/>
      <c r="AJ1172" s="4"/>
      <c r="AK1172" s="4"/>
      <c r="AL1172" s="4" t="s">
        <v>174</v>
      </c>
      <c r="AM1172" s="4" t="s">
        <v>205</v>
      </c>
    </row>
    <row r="1173" customFormat="false" ht="23.85" hidden="false" customHeight="false" outlineLevel="0" collapsed="false">
      <c r="A1173" s="4" t="s">
        <v>167</v>
      </c>
      <c r="B1173" s="4" t="s">
        <v>1350</v>
      </c>
      <c r="C1173" s="4" t="s">
        <v>1350</v>
      </c>
      <c r="D1173" s="12" t="n">
        <v>2022</v>
      </c>
      <c r="E1173" s="4"/>
      <c r="F1173" s="4" t="s">
        <v>169</v>
      </c>
      <c r="G1173" s="4" t="s">
        <v>170</v>
      </c>
      <c r="H1173" s="4" t="s">
        <v>171</v>
      </c>
      <c r="I1173" s="4" t="s">
        <v>172</v>
      </c>
      <c r="J1173" s="4" t="s">
        <v>1350</v>
      </c>
      <c r="K1173" s="4" t="s">
        <v>101</v>
      </c>
      <c r="L1173" s="4" t="s">
        <v>102</v>
      </c>
      <c r="M1173" s="4"/>
      <c r="N1173" s="4"/>
      <c r="O1173" s="4"/>
      <c r="P1173" s="4"/>
      <c r="Q1173" s="4"/>
      <c r="R1173" s="4"/>
      <c r="S1173" s="13" t="n">
        <v>0</v>
      </c>
      <c r="T1173" s="4" t="s">
        <v>173</v>
      </c>
      <c r="U1173" s="14" t="n">
        <f aca="false">IF(OR($S1173="",PARAMETROS!$B$4=""),"",$S1173*PARAMETROS!$B$4)</f>
        <v>0</v>
      </c>
      <c r="V1173" s="13" t="n">
        <v>0</v>
      </c>
      <c r="W1173" s="4"/>
      <c r="X1173" s="4"/>
      <c r="Y1173" s="4"/>
      <c r="Z1173" s="4"/>
      <c r="AA1173" s="4"/>
      <c r="AB1173" s="4"/>
      <c r="AC1173" s="4"/>
      <c r="AD1173" s="4"/>
      <c r="AE1173" s="4"/>
      <c r="AF1173" s="4"/>
      <c r="AG1173" s="4"/>
      <c r="AH1173" s="4"/>
      <c r="AI1173" s="4"/>
      <c r="AJ1173" s="4"/>
      <c r="AK1173" s="4"/>
      <c r="AL1173" s="4" t="s">
        <v>174</v>
      </c>
      <c r="AM1173" s="4" t="s">
        <v>205</v>
      </c>
    </row>
    <row r="1174" customFormat="false" ht="23.85" hidden="false" customHeight="false" outlineLevel="0" collapsed="false">
      <c r="A1174" s="4" t="s">
        <v>167</v>
      </c>
      <c r="B1174" s="4" t="s">
        <v>1351</v>
      </c>
      <c r="C1174" s="4" t="s">
        <v>1351</v>
      </c>
      <c r="D1174" s="12" t="n">
        <v>2022</v>
      </c>
      <c r="E1174" s="4"/>
      <c r="F1174" s="4" t="s">
        <v>169</v>
      </c>
      <c r="G1174" s="4" t="s">
        <v>170</v>
      </c>
      <c r="H1174" s="4" t="s">
        <v>171</v>
      </c>
      <c r="I1174" s="4" t="s">
        <v>172</v>
      </c>
      <c r="J1174" s="4" t="s">
        <v>1351</v>
      </c>
      <c r="K1174" s="4" t="s">
        <v>101</v>
      </c>
      <c r="L1174" s="4" t="s">
        <v>102</v>
      </c>
      <c r="M1174" s="4"/>
      <c r="N1174" s="4"/>
      <c r="O1174" s="4"/>
      <c r="P1174" s="4"/>
      <c r="Q1174" s="4"/>
      <c r="R1174" s="4"/>
      <c r="S1174" s="13" t="n">
        <v>0</v>
      </c>
      <c r="T1174" s="4" t="s">
        <v>173</v>
      </c>
      <c r="U1174" s="14" t="n">
        <f aca="false">IF(OR($S1174="",PARAMETROS!$B$4=""),"",$S1174*PARAMETROS!$B$4)</f>
        <v>0</v>
      </c>
      <c r="V1174" s="13" t="n">
        <v>0</v>
      </c>
      <c r="W1174" s="4"/>
      <c r="X1174" s="4"/>
      <c r="Y1174" s="4"/>
      <c r="Z1174" s="4"/>
      <c r="AA1174" s="4"/>
      <c r="AB1174" s="4"/>
      <c r="AC1174" s="4"/>
      <c r="AD1174" s="4"/>
      <c r="AE1174" s="4"/>
      <c r="AF1174" s="4"/>
      <c r="AG1174" s="4"/>
      <c r="AH1174" s="4"/>
      <c r="AI1174" s="4"/>
      <c r="AJ1174" s="4"/>
      <c r="AK1174" s="4"/>
      <c r="AL1174" s="4" t="s">
        <v>174</v>
      </c>
      <c r="AM1174" s="4" t="s">
        <v>205</v>
      </c>
    </row>
    <row r="1175" customFormat="false" ht="23.85" hidden="false" customHeight="false" outlineLevel="0" collapsed="false">
      <c r="A1175" s="4" t="s">
        <v>167</v>
      </c>
      <c r="B1175" s="4" t="s">
        <v>1352</v>
      </c>
      <c r="C1175" s="4" t="s">
        <v>1352</v>
      </c>
      <c r="D1175" s="12" t="n">
        <v>2022</v>
      </c>
      <c r="E1175" s="4"/>
      <c r="F1175" s="4" t="s">
        <v>169</v>
      </c>
      <c r="G1175" s="4" t="s">
        <v>170</v>
      </c>
      <c r="H1175" s="4" t="s">
        <v>171</v>
      </c>
      <c r="I1175" s="4" t="s">
        <v>172</v>
      </c>
      <c r="J1175" s="4" t="s">
        <v>1352</v>
      </c>
      <c r="K1175" s="4" t="s">
        <v>101</v>
      </c>
      <c r="L1175" s="4" t="s">
        <v>102</v>
      </c>
      <c r="M1175" s="4"/>
      <c r="N1175" s="4"/>
      <c r="O1175" s="4"/>
      <c r="P1175" s="4"/>
      <c r="Q1175" s="4"/>
      <c r="R1175" s="4"/>
      <c r="S1175" s="13" t="n">
        <v>1406.47</v>
      </c>
      <c r="T1175" s="4" t="s">
        <v>173</v>
      </c>
      <c r="U1175" s="14" t="n">
        <f aca="false">IF(OR($S1175="",PARAMETROS!$B$4=""),"",$S1175*PARAMETROS!$B$4)</f>
        <v>8171.5907</v>
      </c>
      <c r="V1175" s="13" t="n">
        <v>0</v>
      </c>
      <c r="W1175" s="4"/>
      <c r="X1175" s="4"/>
      <c r="Y1175" s="4"/>
      <c r="Z1175" s="4"/>
      <c r="AA1175" s="4"/>
      <c r="AB1175" s="4"/>
      <c r="AC1175" s="4"/>
      <c r="AD1175" s="4"/>
      <c r="AE1175" s="4"/>
      <c r="AF1175" s="4"/>
      <c r="AG1175" s="4"/>
      <c r="AH1175" s="4"/>
      <c r="AI1175" s="4"/>
      <c r="AJ1175" s="4"/>
      <c r="AK1175" s="4"/>
      <c r="AL1175" s="4" t="s">
        <v>174</v>
      </c>
      <c r="AM1175" s="4" t="s">
        <v>205</v>
      </c>
    </row>
    <row r="1176" customFormat="false" ht="23.85" hidden="false" customHeight="false" outlineLevel="0" collapsed="false">
      <c r="A1176" s="4" t="s">
        <v>167</v>
      </c>
      <c r="B1176" s="4" t="s">
        <v>1353</v>
      </c>
      <c r="C1176" s="4" t="s">
        <v>1353</v>
      </c>
      <c r="D1176" s="12" t="n">
        <v>2022</v>
      </c>
      <c r="E1176" s="4"/>
      <c r="F1176" s="4" t="s">
        <v>169</v>
      </c>
      <c r="G1176" s="4" t="s">
        <v>170</v>
      </c>
      <c r="H1176" s="4" t="s">
        <v>171</v>
      </c>
      <c r="I1176" s="4" t="s">
        <v>172</v>
      </c>
      <c r="J1176" s="4" t="s">
        <v>1353</v>
      </c>
      <c r="K1176" s="4" t="s">
        <v>101</v>
      </c>
      <c r="L1176" s="4" t="s">
        <v>102</v>
      </c>
      <c r="M1176" s="4"/>
      <c r="N1176" s="4"/>
      <c r="O1176" s="4"/>
      <c r="P1176" s="4"/>
      <c r="Q1176" s="4"/>
      <c r="R1176" s="4"/>
      <c r="S1176" s="13" t="n">
        <v>0</v>
      </c>
      <c r="T1176" s="4" t="s">
        <v>173</v>
      </c>
      <c r="U1176" s="14" t="n">
        <f aca="false">IF(OR($S1176="",PARAMETROS!$B$4=""),"",$S1176*PARAMETROS!$B$4)</f>
        <v>0</v>
      </c>
      <c r="V1176" s="13" t="n">
        <v>0</v>
      </c>
      <c r="W1176" s="4"/>
      <c r="X1176" s="4"/>
      <c r="Y1176" s="4"/>
      <c r="Z1176" s="4"/>
      <c r="AA1176" s="4"/>
      <c r="AB1176" s="4"/>
      <c r="AC1176" s="4"/>
      <c r="AD1176" s="4"/>
      <c r="AE1176" s="4"/>
      <c r="AF1176" s="4"/>
      <c r="AG1176" s="4"/>
      <c r="AH1176" s="4"/>
      <c r="AI1176" s="4"/>
      <c r="AJ1176" s="4"/>
      <c r="AK1176" s="4"/>
      <c r="AL1176" s="4" t="s">
        <v>174</v>
      </c>
      <c r="AM1176" s="4" t="s">
        <v>205</v>
      </c>
    </row>
    <row r="1177" customFormat="false" ht="23.85" hidden="false" customHeight="false" outlineLevel="0" collapsed="false">
      <c r="A1177" s="4" t="s">
        <v>167</v>
      </c>
      <c r="B1177" s="4" t="s">
        <v>1354</v>
      </c>
      <c r="C1177" s="4" t="s">
        <v>1354</v>
      </c>
      <c r="D1177" s="12" t="n">
        <v>2022</v>
      </c>
      <c r="E1177" s="4"/>
      <c r="F1177" s="4" t="s">
        <v>169</v>
      </c>
      <c r="G1177" s="4" t="s">
        <v>170</v>
      </c>
      <c r="H1177" s="4" t="s">
        <v>171</v>
      </c>
      <c r="I1177" s="4" t="s">
        <v>172</v>
      </c>
      <c r="J1177" s="4" t="s">
        <v>1354</v>
      </c>
      <c r="K1177" s="4" t="s">
        <v>101</v>
      </c>
      <c r="L1177" s="4" t="s">
        <v>102</v>
      </c>
      <c r="M1177" s="4"/>
      <c r="N1177" s="4"/>
      <c r="O1177" s="4"/>
      <c r="P1177" s="4"/>
      <c r="Q1177" s="4"/>
      <c r="R1177" s="4"/>
      <c r="S1177" s="13" t="n">
        <v>0</v>
      </c>
      <c r="T1177" s="4" t="s">
        <v>173</v>
      </c>
      <c r="U1177" s="14" t="n">
        <f aca="false">IF(OR($S1177="",PARAMETROS!$B$4=""),"",$S1177*PARAMETROS!$B$4)</f>
        <v>0</v>
      </c>
      <c r="V1177" s="13" t="n">
        <v>0</v>
      </c>
      <c r="W1177" s="4"/>
      <c r="X1177" s="4"/>
      <c r="Y1177" s="4"/>
      <c r="Z1177" s="4"/>
      <c r="AA1177" s="4"/>
      <c r="AB1177" s="4"/>
      <c r="AC1177" s="4"/>
      <c r="AD1177" s="4"/>
      <c r="AE1177" s="4"/>
      <c r="AF1177" s="4"/>
      <c r="AG1177" s="4"/>
      <c r="AH1177" s="4"/>
      <c r="AI1177" s="4"/>
      <c r="AJ1177" s="4"/>
      <c r="AK1177" s="4"/>
      <c r="AL1177" s="4" t="s">
        <v>174</v>
      </c>
      <c r="AM1177" s="4" t="s">
        <v>205</v>
      </c>
    </row>
    <row r="1178" customFormat="false" ht="23.85" hidden="false" customHeight="false" outlineLevel="0" collapsed="false">
      <c r="A1178" s="4" t="s">
        <v>167</v>
      </c>
      <c r="B1178" s="4" t="s">
        <v>1355</v>
      </c>
      <c r="C1178" s="4" t="s">
        <v>1355</v>
      </c>
      <c r="D1178" s="12" t="n">
        <v>2022</v>
      </c>
      <c r="E1178" s="4"/>
      <c r="F1178" s="4" t="s">
        <v>169</v>
      </c>
      <c r="G1178" s="4" t="s">
        <v>170</v>
      </c>
      <c r="H1178" s="4" t="s">
        <v>171</v>
      </c>
      <c r="I1178" s="4" t="s">
        <v>172</v>
      </c>
      <c r="J1178" s="4" t="s">
        <v>1355</v>
      </c>
      <c r="K1178" s="4" t="s">
        <v>103</v>
      </c>
      <c r="L1178" s="4" t="s">
        <v>104</v>
      </c>
      <c r="M1178" s="4"/>
      <c r="N1178" s="4"/>
      <c r="O1178" s="4"/>
      <c r="P1178" s="4"/>
      <c r="Q1178" s="4"/>
      <c r="R1178" s="4"/>
      <c r="S1178" s="13" t="n">
        <v>0</v>
      </c>
      <c r="T1178" s="4" t="s">
        <v>173</v>
      </c>
      <c r="U1178" s="14" t="n">
        <f aca="false">IF(OR($S1178="",PARAMETROS!$B$4=""),"",$S1178*PARAMETROS!$B$4)</f>
        <v>0</v>
      </c>
      <c r="V1178" s="13" t="n">
        <v>0</v>
      </c>
      <c r="W1178" s="4"/>
      <c r="X1178" s="4"/>
      <c r="Y1178" s="4"/>
      <c r="Z1178" s="4"/>
      <c r="AA1178" s="4"/>
      <c r="AB1178" s="4"/>
      <c r="AC1178" s="4"/>
      <c r="AD1178" s="4"/>
      <c r="AE1178" s="4"/>
      <c r="AF1178" s="4"/>
      <c r="AG1178" s="4"/>
      <c r="AH1178" s="4"/>
      <c r="AI1178" s="4"/>
      <c r="AJ1178" s="4"/>
      <c r="AK1178" s="4"/>
      <c r="AL1178" s="4" t="s">
        <v>174</v>
      </c>
      <c r="AM1178" s="4" t="s">
        <v>205</v>
      </c>
    </row>
    <row r="1179" customFormat="false" ht="23.85" hidden="false" customHeight="false" outlineLevel="0" collapsed="false">
      <c r="A1179" s="4" t="s">
        <v>167</v>
      </c>
      <c r="B1179" s="4" t="s">
        <v>1356</v>
      </c>
      <c r="C1179" s="4" t="s">
        <v>1356</v>
      </c>
      <c r="D1179" s="12" t="n">
        <v>2022</v>
      </c>
      <c r="E1179" s="4"/>
      <c r="F1179" s="4" t="s">
        <v>169</v>
      </c>
      <c r="G1179" s="4" t="s">
        <v>170</v>
      </c>
      <c r="H1179" s="4" t="s">
        <v>171</v>
      </c>
      <c r="I1179" s="4" t="s">
        <v>172</v>
      </c>
      <c r="J1179" s="4" t="s">
        <v>1356</v>
      </c>
      <c r="K1179" s="4" t="s">
        <v>103</v>
      </c>
      <c r="L1179" s="4" t="s">
        <v>104</v>
      </c>
      <c r="M1179" s="4"/>
      <c r="N1179" s="4"/>
      <c r="O1179" s="4"/>
      <c r="P1179" s="4"/>
      <c r="Q1179" s="4"/>
      <c r="R1179" s="4"/>
      <c r="S1179" s="13" t="n">
        <v>14907.38</v>
      </c>
      <c r="T1179" s="4" t="s">
        <v>173</v>
      </c>
      <c r="U1179" s="14" t="n">
        <f aca="false">IF(OR($S1179="",PARAMETROS!$B$4=""),"",$S1179*PARAMETROS!$B$4)</f>
        <v>86611.8778</v>
      </c>
      <c r="V1179" s="13" t="n">
        <v>0</v>
      </c>
      <c r="W1179" s="4"/>
      <c r="X1179" s="4"/>
      <c r="Y1179" s="4"/>
      <c r="Z1179" s="4"/>
      <c r="AA1179" s="4"/>
      <c r="AB1179" s="4"/>
      <c r="AC1179" s="4"/>
      <c r="AD1179" s="4"/>
      <c r="AE1179" s="4"/>
      <c r="AF1179" s="4"/>
      <c r="AG1179" s="4"/>
      <c r="AH1179" s="4"/>
      <c r="AI1179" s="4"/>
      <c r="AJ1179" s="4"/>
      <c r="AK1179" s="4"/>
      <c r="AL1179" s="4" t="s">
        <v>174</v>
      </c>
      <c r="AM1179" s="4" t="s">
        <v>205</v>
      </c>
    </row>
    <row r="1180" customFormat="false" ht="23.85" hidden="false" customHeight="false" outlineLevel="0" collapsed="false">
      <c r="A1180" s="4" t="s">
        <v>167</v>
      </c>
      <c r="B1180" s="4" t="s">
        <v>1357</v>
      </c>
      <c r="C1180" s="4" t="s">
        <v>1357</v>
      </c>
      <c r="D1180" s="12" t="n">
        <v>2022</v>
      </c>
      <c r="E1180" s="4"/>
      <c r="F1180" s="4" t="s">
        <v>169</v>
      </c>
      <c r="G1180" s="4" t="s">
        <v>170</v>
      </c>
      <c r="H1180" s="4" t="s">
        <v>171</v>
      </c>
      <c r="I1180" s="4" t="s">
        <v>172</v>
      </c>
      <c r="J1180" s="4" t="s">
        <v>1357</v>
      </c>
      <c r="K1180" s="4" t="s">
        <v>103</v>
      </c>
      <c r="L1180" s="4" t="s">
        <v>104</v>
      </c>
      <c r="M1180" s="4"/>
      <c r="N1180" s="4"/>
      <c r="O1180" s="4"/>
      <c r="P1180" s="4"/>
      <c r="Q1180" s="4"/>
      <c r="R1180" s="4"/>
      <c r="S1180" s="13" t="n">
        <v>442.78</v>
      </c>
      <c r="T1180" s="4" t="s">
        <v>173</v>
      </c>
      <c r="U1180" s="14" t="n">
        <f aca="false">IF(OR($S1180="",PARAMETROS!$B$4=""),"",$S1180*PARAMETROS!$B$4)</f>
        <v>2572.5518</v>
      </c>
      <c r="V1180" s="13" t="n">
        <v>0</v>
      </c>
      <c r="W1180" s="4"/>
      <c r="X1180" s="4"/>
      <c r="Y1180" s="4"/>
      <c r="Z1180" s="4"/>
      <c r="AA1180" s="4"/>
      <c r="AB1180" s="4"/>
      <c r="AC1180" s="4"/>
      <c r="AD1180" s="4"/>
      <c r="AE1180" s="4"/>
      <c r="AF1180" s="4"/>
      <c r="AG1180" s="4"/>
      <c r="AH1180" s="4"/>
      <c r="AI1180" s="4"/>
      <c r="AJ1180" s="4"/>
      <c r="AK1180" s="4"/>
      <c r="AL1180" s="4" t="s">
        <v>174</v>
      </c>
      <c r="AM1180" s="4" t="s">
        <v>205</v>
      </c>
    </row>
    <row r="1181" customFormat="false" ht="23.85" hidden="false" customHeight="false" outlineLevel="0" collapsed="false">
      <c r="A1181" s="4" t="s">
        <v>167</v>
      </c>
      <c r="B1181" s="4" t="s">
        <v>1358</v>
      </c>
      <c r="C1181" s="4" t="s">
        <v>1358</v>
      </c>
      <c r="D1181" s="12" t="n">
        <v>2022</v>
      </c>
      <c r="E1181" s="4"/>
      <c r="F1181" s="4" t="s">
        <v>169</v>
      </c>
      <c r="G1181" s="4" t="s">
        <v>170</v>
      </c>
      <c r="H1181" s="4" t="s">
        <v>171</v>
      </c>
      <c r="I1181" s="4" t="s">
        <v>172</v>
      </c>
      <c r="J1181" s="4" t="s">
        <v>1358</v>
      </c>
      <c r="K1181" s="4" t="s">
        <v>103</v>
      </c>
      <c r="L1181" s="4" t="s">
        <v>104</v>
      </c>
      <c r="M1181" s="4"/>
      <c r="N1181" s="4"/>
      <c r="O1181" s="4"/>
      <c r="P1181" s="4"/>
      <c r="Q1181" s="4"/>
      <c r="R1181" s="4"/>
      <c r="S1181" s="13" t="n">
        <v>-161.81</v>
      </c>
      <c r="T1181" s="4" t="s">
        <v>173</v>
      </c>
      <c r="U1181" s="14" t="n">
        <f aca="false">IF(OR($S1181="",PARAMETROS!$B$4=""),"",$S1181*PARAMETROS!$B$4)</f>
        <v>-940.1161</v>
      </c>
      <c r="V1181" s="13" t="n">
        <v>0</v>
      </c>
      <c r="W1181" s="4"/>
      <c r="X1181" s="4"/>
      <c r="Y1181" s="4"/>
      <c r="Z1181" s="4"/>
      <c r="AA1181" s="4"/>
      <c r="AB1181" s="4"/>
      <c r="AC1181" s="4"/>
      <c r="AD1181" s="4"/>
      <c r="AE1181" s="4"/>
      <c r="AF1181" s="4"/>
      <c r="AG1181" s="4"/>
      <c r="AH1181" s="4"/>
      <c r="AI1181" s="4"/>
      <c r="AJ1181" s="4"/>
      <c r="AK1181" s="4"/>
      <c r="AL1181" s="4" t="s">
        <v>174</v>
      </c>
      <c r="AM1181" s="4" t="s">
        <v>205</v>
      </c>
    </row>
    <row r="1182" customFormat="false" ht="23.85" hidden="false" customHeight="false" outlineLevel="0" collapsed="false">
      <c r="A1182" s="4" t="s">
        <v>167</v>
      </c>
      <c r="B1182" s="4" t="s">
        <v>1359</v>
      </c>
      <c r="C1182" s="4" t="s">
        <v>1359</v>
      </c>
      <c r="D1182" s="12" t="n">
        <v>2022</v>
      </c>
      <c r="E1182" s="4"/>
      <c r="F1182" s="4" t="s">
        <v>169</v>
      </c>
      <c r="G1182" s="4" t="s">
        <v>170</v>
      </c>
      <c r="H1182" s="4" t="s">
        <v>171</v>
      </c>
      <c r="I1182" s="4" t="s">
        <v>172</v>
      </c>
      <c r="J1182" s="4" t="s">
        <v>1359</v>
      </c>
      <c r="K1182" s="4" t="s">
        <v>103</v>
      </c>
      <c r="L1182" s="4" t="s">
        <v>104</v>
      </c>
      <c r="M1182" s="4"/>
      <c r="N1182" s="4"/>
      <c r="O1182" s="4"/>
      <c r="P1182" s="4"/>
      <c r="Q1182" s="4"/>
      <c r="R1182" s="4"/>
      <c r="S1182" s="13" t="n">
        <v>0</v>
      </c>
      <c r="T1182" s="4" t="s">
        <v>173</v>
      </c>
      <c r="U1182" s="14" t="n">
        <f aca="false">IF(OR($S1182="",PARAMETROS!$B$4=""),"",$S1182*PARAMETROS!$B$4)</f>
        <v>0</v>
      </c>
      <c r="V1182" s="13" t="n">
        <v>0</v>
      </c>
      <c r="W1182" s="4"/>
      <c r="X1182" s="4"/>
      <c r="Y1182" s="4"/>
      <c r="Z1182" s="4"/>
      <c r="AA1182" s="4"/>
      <c r="AB1182" s="4"/>
      <c r="AC1182" s="4"/>
      <c r="AD1182" s="4"/>
      <c r="AE1182" s="4"/>
      <c r="AF1182" s="4"/>
      <c r="AG1182" s="4"/>
      <c r="AH1182" s="4"/>
      <c r="AI1182" s="4"/>
      <c r="AJ1182" s="4"/>
      <c r="AK1182" s="4"/>
      <c r="AL1182" s="4" t="s">
        <v>174</v>
      </c>
      <c r="AM1182" s="4" t="s">
        <v>205</v>
      </c>
    </row>
    <row r="1183" customFormat="false" ht="23.85" hidden="false" customHeight="false" outlineLevel="0" collapsed="false">
      <c r="A1183" s="4" t="s">
        <v>167</v>
      </c>
      <c r="B1183" s="4" t="s">
        <v>1360</v>
      </c>
      <c r="C1183" s="4" t="s">
        <v>1360</v>
      </c>
      <c r="D1183" s="12" t="n">
        <v>2022</v>
      </c>
      <c r="E1183" s="4"/>
      <c r="F1183" s="4" t="s">
        <v>169</v>
      </c>
      <c r="G1183" s="4" t="s">
        <v>170</v>
      </c>
      <c r="H1183" s="4" t="s">
        <v>171</v>
      </c>
      <c r="I1183" s="4" t="s">
        <v>172</v>
      </c>
      <c r="J1183" s="4" t="s">
        <v>1360</v>
      </c>
      <c r="K1183" s="4" t="s">
        <v>103</v>
      </c>
      <c r="L1183" s="4" t="s">
        <v>104</v>
      </c>
      <c r="M1183" s="4"/>
      <c r="N1183" s="4"/>
      <c r="O1183" s="4"/>
      <c r="P1183" s="4"/>
      <c r="Q1183" s="4"/>
      <c r="R1183" s="4"/>
      <c r="S1183" s="13" t="n">
        <v>0</v>
      </c>
      <c r="T1183" s="4" t="s">
        <v>173</v>
      </c>
      <c r="U1183" s="14" t="n">
        <f aca="false">IF(OR($S1183="",PARAMETROS!$B$4=""),"",$S1183*PARAMETROS!$B$4)</f>
        <v>0</v>
      </c>
      <c r="V1183" s="13" t="n">
        <v>0</v>
      </c>
      <c r="W1183" s="4"/>
      <c r="X1183" s="4"/>
      <c r="Y1183" s="4"/>
      <c r="Z1183" s="4"/>
      <c r="AA1183" s="4"/>
      <c r="AB1183" s="4"/>
      <c r="AC1183" s="4"/>
      <c r="AD1183" s="4"/>
      <c r="AE1183" s="4"/>
      <c r="AF1183" s="4"/>
      <c r="AG1183" s="4"/>
      <c r="AH1183" s="4"/>
      <c r="AI1183" s="4"/>
      <c r="AJ1183" s="4"/>
      <c r="AK1183" s="4"/>
      <c r="AL1183" s="4" t="s">
        <v>174</v>
      </c>
      <c r="AM1183" s="4" t="s">
        <v>205</v>
      </c>
    </row>
    <row r="1184" customFormat="false" ht="23.85" hidden="false" customHeight="false" outlineLevel="0" collapsed="false">
      <c r="A1184" s="4" t="s">
        <v>167</v>
      </c>
      <c r="B1184" s="4" t="s">
        <v>1361</v>
      </c>
      <c r="C1184" s="4" t="s">
        <v>1361</v>
      </c>
      <c r="D1184" s="12" t="n">
        <v>2022</v>
      </c>
      <c r="E1184" s="4"/>
      <c r="F1184" s="4" t="s">
        <v>169</v>
      </c>
      <c r="G1184" s="4" t="s">
        <v>170</v>
      </c>
      <c r="H1184" s="4" t="s">
        <v>171</v>
      </c>
      <c r="I1184" s="4" t="s">
        <v>172</v>
      </c>
      <c r="J1184" s="4" t="s">
        <v>1361</v>
      </c>
      <c r="K1184" s="4" t="s">
        <v>103</v>
      </c>
      <c r="L1184" s="4" t="s">
        <v>104</v>
      </c>
      <c r="M1184" s="4"/>
      <c r="N1184" s="4"/>
      <c r="O1184" s="4"/>
      <c r="P1184" s="4"/>
      <c r="Q1184" s="4"/>
      <c r="R1184" s="4"/>
      <c r="S1184" s="13" t="n">
        <v>0</v>
      </c>
      <c r="T1184" s="4" t="s">
        <v>173</v>
      </c>
      <c r="U1184" s="14" t="n">
        <f aca="false">IF(OR($S1184="",PARAMETROS!$B$4=""),"",$S1184*PARAMETROS!$B$4)</f>
        <v>0</v>
      </c>
      <c r="V1184" s="13" t="n">
        <v>0</v>
      </c>
      <c r="W1184" s="4"/>
      <c r="X1184" s="4"/>
      <c r="Y1184" s="4"/>
      <c r="Z1184" s="4"/>
      <c r="AA1184" s="4"/>
      <c r="AB1184" s="4"/>
      <c r="AC1184" s="4"/>
      <c r="AD1184" s="4"/>
      <c r="AE1184" s="4"/>
      <c r="AF1184" s="4"/>
      <c r="AG1184" s="4"/>
      <c r="AH1184" s="4"/>
      <c r="AI1184" s="4"/>
      <c r="AJ1184" s="4"/>
      <c r="AK1184" s="4"/>
      <c r="AL1184" s="4" t="s">
        <v>174</v>
      </c>
      <c r="AM1184" s="4" t="s">
        <v>205</v>
      </c>
    </row>
    <row r="1185" customFormat="false" ht="23.85" hidden="false" customHeight="false" outlineLevel="0" collapsed="false">
      <c r="A1185" s="4" t="s">
        <v>167</v>
      </c>
      <c r="B1185" s="4" t="s">
        <v>1362</v>
      </c>
      <c r="C1185" s="4" t="s">
        <v>1362</v>
      </c>
      <c r="D1185" s="12" t="n">
        <v>2022</v>
      </c>
      <c r="E1185" s="4"/>
      <c r="F1185" s="4" t="s">
        <v>169</v>
      </c>
      <c r="G1185" s="4" t="s">
        <v>170</v>
      </c>
      <c r="H1185" s="4" t="s">
        <v>171</v>
      </c>
      <c r="I1185" s="4" t="s">
        <v>172</v>
      </c>
      <c r="J1185" s="4" t="s">
        <v>1362</v>
      </c>
      <c r="K1185" s="4" t="s">
        <v>103</v>
      </c>
      <c r="L1185" s="4" t="s">
        <v>104</v>
      </c>
      <c r="M1185" s="4"/>
      <c r="N1185" s="4"/>
      <c r="O1185" s="4"/>
      <c r="P1185" s="4"/>
      <c r="Q1185" s="4"/>
      <c r="R1185" s="4"/>
      <c r="S1185" s="13" t="n">
        <v>0</v>
      </c>
      <c r="T1185" s="4" t="s">
        <v>173</v>
      </c>
      <c r="U1185" s="14" t="n">
        <f aca="false">IF(OR($S1185="",PARAMETROS!$B$4=""),"",$S1185*PARAMETROS!$B$4)</f>
        <v>0</v>
      </c>
      <c r="V1185" s="13" t="n">
        <v>0</v>
      </c>
      <c r="W1185" s="4"/>
      <c r="X1185" s="4"/>
      <c r="Y1185" s="4"/>
      <c r="Z1185" s="4"/>
      <c r="AA1185" s="4"/>
      <c r="AB1185" s="4"/>
      <c r="AC1185" s="4"/>
      <c r="AD1185" s="4"/>
      <c r="AE1185" s="4"/>
      <c r="AF1185" s="4"/>
      <c r="AG1185" s="4"/>
      <c r="AH1185" s="4"/>
      <c r="AI1185" s="4"/>
      <c r="AJ1185" s="4"/>
      <c r="AK1185" s="4"/>
      <c r="AL1185" s="4" t="s">
        <v>174</v>
      </c>
      <c r="AM1185" s="4" t="s">
        <v>205</v>
      </c>
    </row>
    <row r="1186" customFormat="false" ht="23.85" hidden="false" customHeight="false" outlineLevel="0" collapsed="false">
      <c r="A1186" s="4" t="s">
        <v>167</v>
      </c>
      <c r="B1186" s="4" t="s">
        <v>1363</v>
      </c>
      <c r="C1186" s="4" t="s">
        <v>1363</v>
      </c>
      <c r="D1186" s="12" t="n">
        <v>2022</v>
      </c>
      <c r="E1186" s="4"/>
      <c r="F1186" s="4" t="s">
        <v>169</v>
      </c>
      <c r="G1186" s="4" t="s">
        <v>170</v>
      </c>
      <c r="H1186" s="4" t="s">
        <v>171</v>
      </c>
      <c r="I1186" s="4" t="s">
        <v>172</v>
      </c>
      <c r="J1186" s="4" t="s">
        <v>1363</v>
      </c>
      <c r="K1186" s="4" t="s">
        <v>103</v>
      </c>
      <c r="L1186" s="4" t="s">
        <v>104</v>
      </c>
      <c r="M1186" s="4"/>
      <c r="N1186" s="4"/>
      <c r="O1186" s="4"/>
      <c r="P1186" s="4"/>
      <c r="Q1186" s="4"/>
      <c r="R1186" s="4"/>
      <c r="S1186" s="13" t="n">
        <v>13945.56</v>
      </c>
      <c r="T1186" s="4" t="s">
        <v>173</v>
      </c>
      <c r="U1186" s="14" t="n">
        <f aca="false">IF(OR($S1186="",PARAMETROS!$B$4=""),"",$S1186*PARAMETROS!$B$4)</f>
        <v>81023.7036</v>
      </c>
      <c r="V1186" s="13" t="n">
        <v>0</v>
      </c>
      <c r="W1186" s="4"/>
      <c r="X1186" s="4"/>
      <c r="Y1186" s="4"/>
      <c r="Z1186" s="4"/>
      <c r="AA1186" s="4"/>
      <c r="AB1186" s="4"/>
      <c r="AC1186" s="4"/>
      <c r="AD1186" s="4"/>
      <c r="AE1186" s="4"/>
      <c r="AF1186" s="4"/>
      <c r="AG1186" s="4"/>
      <c r="AH1186" s="4"/>
      <c r="AI1186" s="4"/>
      <c r="AJ1186" s="4"/>
      <c r="AK1186" s="4"/>
      <c r="AL1186" s="4" t="s">
        <v>174</v>
      </c>
      <c r="AM1186" s="4" t="s">
        <v>205</v>
      </c>
    </row>
    <row r="1187" customFormat="false" ht="23.85" hidden="false" customHeight="false" outlineLevel="0" collapsed="false">
      <c r="A1187" s="4" t="s">
        <v>167</v>
      </c>
      <c r="B1187" s="4" t="s">
        <v>1364</v>
      </c>
      <c r="C1187" s="4" t="s">
        <v>1364</v>
      </c>
      <c r="D1187" s="12" t="n">
        <v>2022</v>
      </c>
      <c r="E1187" s="4"/>
      <c r="F1187" s="4" t="s">
        <v>169</v>
      </c>
      <c r="G1187" s="4" t="s">
        <v>170</v>
      </c>
      <c r="H1187" s="4" t="s">
        <v>171</v>
      </c>
      <c r="I1187" s="4" t="s">
        <v>172</v>
      </c>
      <c r="J1187" s="4" t="s">
        <v>1364</v>
      </c>
      <c r="K1187" s="4" t="s">
        <v>103</v>
      </c>
      <c r="L1187" s="4" t="s">
        <v>104</v>
      </c>
      <c r="M1187" s="4"/>
      <c r="N1187" s="4"/>
      <c r="O1187" s="4"/>
      <c r="P1187" s="4"/>
      <c r="Q1187" s="4"/>
      <c r="R1187" s="4"/>
      <c r="S1187" s="13" t="n">
        <v>0</v>
      </c>
      <c r="T1187" s="4" t="s">
        <v>173</v>
      </c>
      <c r="U1187" s="14" t="n">
        <f aca="false">IF(OR($S1187="",PARAMETROS!$B$4=""),"",$S1187*PARAMETROS!$B$4)</f>
        <v>0</v>
      </c>
      <c r="V1187" s="13" t="n">
        <v>0</v>
      </c>
      <c r="W1187" s="4"/>
      <c r="X1187" s="4"/>
      <c r="Y1187" s="4"/>
      <c r="Z1187" s="4"/>
      <c r="AA1187" s="4"/>
      <c r="AB1187" s="4"/>
      <c r="AC1187" s="4"/>
      <c r="AD1187" s="4"/>
      <c r="AE1187" s="4"/>
      <c r="AF1187" s="4"/>
      <c r="AG1187" s="4"/>
      <c r="AH1187" s="4"/>
      <c r="AI1187" s="4"/>
      <c r="AJ1187" s="4"/>
      <c r="AK1187" s="4"/>
      <c r="AL1187" s="4" t="s">
        <v>174</v>
      </c>
      <c r="AM1187" s="4" t="s">
        <v>205</v>
      </c>
    </row>
    <row r="1188" customFormat="false" ht="23.85" hidden="false" customHeight="false" outlineLevel="0" collapsed="false">
      <c r="A1188" s="4" t="s">
        <v>167</v>
      </c>
      <c r="B1188" s="4" t="s">
        <v>1365</v>
      </c>
      <c r="C1188" s="4" t="s">
        <v>1365</v>
      </c>
      <c r="D1188" s="12" t="n">
        <v>2022</v>
      </c>
      <c r="E1188" s="4"/>
      <c r="F1188" s="4" t="s">
        <v>169</v>
      </c>
      <c r="G1188" s="4" t="s">
        <v>170</v>
      </c>
      <c r="H1188" s="4" t="s">
        <v>171</v>
      </c>
      <c r="I1188" s="4" t="s">
        <v>172</v>
      </c>
      <c r="J1188" s="4" t="s">
        <v>1365</v>
      </c>
      <c r="K1188" s="4" t="s">
        <v>103</v>
      </c>
      <c r="L1188" s="4" t="s">
        <v>104</v>
      </c>
      <c r="M1188" s="4"/>
      <c r="N1188" s="4"/>
      <c r="O1188" s="4"/>
      <c r="P1188" s="4"/>
      <c r="Q1188" s="4"/>
      <c r="R1188" s="4"/>
      <c r="S1188" s="13" t="n">
        <v>71.45</v>
      </c>
      <c r="T1188" s="4" t="s">
        <v>173</v>
      </c>
      <c r="U1188" s="14" t="n">
        <f aca="false">IF(OR($S1188="",PARAMETROS!$B$4=""),"",$S1188*PARAMETROS!$B$4)</f>
        <v>415.1245</v>
      </c>
      <c r="V1188" s="13" t="n">
        <v>0</v>
      </c>
      <c r="W1188" s="4"/>
      <c r="X1188" s="4"/>
      <c r="Y1188" s="4"/>
      <c r="Z1188" s="4"/>
      <c r="AA1188" s="4"/>
      <c r="AB1188" s="4"/>
      <c r="AC1188" s="4"/>
      <c r="AD1188" s="4"/>
      <c r="AE1188" s="4"/>
      <c r="AF1188" s="4"/>
      <c r="AG1188" s="4"/>
      <c r="AH1188" s="4"/>
      <c r="AI1188" s="4"/>
      <c r="AJ1188" s="4"/>
      <c r="AK1188" s="4"/>
      <c r="AL1188" s="4" t="s">
        <v>174</v>
      </c>
      <c r="AM1188" s="4" t="s">
        <v>205</v>
      </c>
    </row>
    <row r="1189" customFormat="false" ht="23.85" hidden="false" customHeight="false" outlineLevel="0" collapsed="false">
      <c r="A1189" s="4" t="s">
        <v>167</v>
      </c>
      <c r="B1189" s="4" t="s">
        <v>1366</v>
      </c>
      <c r="C1189" s="4" t="s">
        <v>1366</v>
      </c>
      <c r="D1189" s="12" t="n">
        <v>2022</v>
      </c>
      <c r="E1189" s="4"/>
      <c r="F1189" s="4" t="s">
        <v>169</v>
      </c>
      <c r="G1189" s="4" t="s">
        <v>170</v>
      </c>
      <c r="H1189" s="4" t="s">
        <v>171</v>
      </c>
      <c r="I1189" s="4" t="s">
        <v>172</v>
      </c>
      <c r="J1189" s="4" t="s">
        <v>1366</v>
      </c>
      <c r="K1189" s="4" t="s">
        <v>103</v>
      </c>
      <c r="L1189" s="4" t="s">
        <v>104</v>
      </c>
      <c r="M1189" s="4"/>
      <c r="N1189" s="4"/>
      <c r="O1189" s="4"/>
      <c r="P1189" s="4"/>
      <c r="Q1189" s="4"/>
      <c r="R1189" s="4"/>
      <c r="S1189" s="13" t="n">
        <v>285.79</v>
      </c>
      <c r="T1189" s="4" t="s">
        <v>173</v>
      </c>
      <c r="U1189" s="14" t="n">
        <f aca="false">IF(OR($S1189="",PARAMETROS!$B$4=""),"",$S1189*PARAMETROS!$B$4)</f>
        <v>1660.4399</v>
      </c>
      <c r="V1189" s="13" t="n">
        <v>0</v>
      </c>
      <c r="W1189" s="4"/>
      <c r="X1189" s="4"/>
      <c r="Y1189" s="4"/>
      <c r="Z1189" s="4"/>
      <c r="AA1189" s="4"/>
      <c r="AB1189" s="4"/>
      <c r="AC1189" s="4"/>
      <c r="AD1189" s="4"/>
      <c r="AE1189" s="4"/>
      <c r="AF1189" s="4"/>
      <c r="AG1189" s="4"/>
      <c r="AH1189" s="4"/>
      <c r="AI1189" s="4"/>
      <c r="AJ1189" s="4"/>
      <c r="AK1189" s="4"/>
      <c r="AL1189" s="4" t="s">
        <v>174</v>
      </c>
      <c r="AM1189" s="4" t="s">
        <v>205</v>
      </c>
    </row>
    <row r="1190" customFormat="false" ht="23.85" hidden="false" customHeight="false" outlineLevel="0" collapsed="false">
      <c r="A1190" s="4" t="s">
        <v>167</v>
      </c>
      <c r="B1190" s="4" t="s">
        <v>1367</v>
      </c>
      <c r="C1190" s="4" t="s">
        <v>1367</v>
      </c>
      <c r="D1190" s="12" t="n">
        <v>2022</v>
      </c>
      <c r="E1190" s="4"/>
      <c r="F1190" s="4" t="s">
        <v>169</v>
      </c>
      <c r="G1190" s="4" t="s">
        <v>170</v>
      </c>
      <c r="H1190" s="4" t="s">
        <v>171</v>
      </c>
      <c r="I1190" s="4" t="s">
        <v>172</v>
      </c>
      <c r="J1190" s="4" t="s">
        <v>1367</v>
      </c>
      <c r="K1190" s="4" t="s">
        <v>103</v>
      </c>
      <c r="L1190" s="4" t="s">
        <v>104</v>
      </c>
      <c r="M1190" s="4"/>
      <c r="N1190" s="4"/>
      <c r="O1190" s="4"/>
      <c r="P1190" s="4"/>
      <c r="Q1190" s="4"/>
      <c r="R1190" s="4"/>
      <c r="S1190" s="13" t="n">
        <v>0</v>
      </c>
      <c r="T1190" s="4" t="s">
        <v>173</v>
      </c>
      <c r="U1190" s="14" t="n">
        <f aca="false">IF(OR($S1190="",PARAMETROS!$B$4=""),"",$S1190*PARAMETROS!$B$4)</f>
        <v>0</v>
      </c>
      <c r="V1190" s="13" t="n">
        <v>0</v>
      </c>
      <c r="W1190" s="4"/>
      <c r="X1190" s="4"/>
      <c r="Y1190" s="4"/>
      <c r="Z1190" s="4"/>
      <c r="AA1190" s="4"/>
      <c r="AB1190" s="4"/>
      <c r="AC1190" s="4"/>
      <c r="AD1190" s="4"/>
      <c r="AE1190" s="4"/>
      <c r="AF1190" s="4"/>
      <c r="AG1190" s="4"/>
      <c r="AH1190" s="4"/>
      <c r="AI1190" s="4"/>
      <c r="AJ1190" s="4"/>
      <c r="AK1190" s="4"/>
      <c r="AL1190" s="4" t="s">
        <v>174</v>
      </c>
      <c r="AM1190" s="4" t="s">
        <v>205</v>
      </c>
    </row>
    <row r="1191" customFormat="false" ht="23.85" hidden="false" customHeight="false" outlineLevel="0" collapsed="false">
      <c r="A1191" s="4" t="s">
        <v>167</v>
      </c>
      <c r="B1191" s="4" t="s">
        <v>1368</v>
      </c>
      <c r="C1191" s="4" t="s">
        <v>1368</v>
      </c>
      <c r="D1191" s="12" t="n">
        <v>2022</v>
      </c>
      <c r="E1191" s="4"/>
      <c r="F1191" s="4" t="s">
        <v>169</v>
      </c>
      <c r="G1191" s="4" t="s">
        <v>170</v>
      </c>
      <c r="H1191" s="4" t="s">
        <v>171</v>
      </c>
      <c r="I1191" s="4" t="s">
        <v>172</v>
      </c>
      <c r="J1191" s="4" t="s">
        <v>1368</v>
      </c>
      <c r="K1191" s="4" t="s">
        <v>103</v>
      </c>
      <c r="L1191" s="4" t="s">
        <v>104</v>
      </c>
      <c r="M1191" s="4"/>
      <c r="N1191" s="4"/>
      <c r="O1191" s="4"/>
      <c r="P1191" s="4"/>
      <c r="Q1191" s="4"/>
      <c r="R1191" s="4"/>
      <c r="S1191" s="13" t="n">
        <v>0</v>
      </c>
      <c r="T1191" s="4" t="s">
        <v>173</v>
      </c>
      <c r="U1191" s="14" t="n">
        <f aca="false">IF(OR($S1191="",PARAMETROS!$B$4=""),"",$S1191*PARAMETROS!$B$4)</f>
        <v>0</v>
      </c>
      <c r="V1191" s="13" t="n">
        <v>0</v>
      </c>
      <c r="W1191" s="4"/>
      <c r="X1191" s="4"/>
      <c r="Y1191" s="4"/>
      <c r="Z1191" s="4"/>
      <c r="AA1191" s="4"/>
      <c r="AB1191" s="4"/>
      <c r="AC1191" s="4"/>
      <c r="AD1191" s="4"/>
      <c r="AE1191" s="4"/>
      <c r="AF1191" s="4"/>
      <c r="AG1191" s="4"/>
      <c r="AH1191" s="4"/>
      <c r="AI1191" s="4"/>
      <c r="AJ1191" s="4"/>
      <c r="AK1191" s="4"/>
      <c r="AL1191" s="4" t="s">
        <v>174</v>
      </c>
      <c r="AM1191" s="4" t="s">
        <v>205</v>
      </c>
    </row>
    <row r="1192" customFormat="false" ht="23.85" hidden="false" customHeight="false" outlineLevel="0" collapsed="false">
      <c r="A1192" s="4" t="s">
        <v>167</v>
      </c>
      <c r="B1192" s="4" t="s">
        <v>1369</v>
      </c>
      <c r="C1192" s="4" t="s">
        <v>1369</v>
      </c>
      <c r="D1192" s="12" t="n">
        <v>2022</v>
      </c>
      <c r="E1192" s="4"/>
      <c r="F1192" s="4" t="s">
        <v>169</v>
      </c>
      <c r="G1192" s="4" t="s">
        <v>170</v>
      </c>
      <c r="H1192" s="4" t="s">
        <v>171</v>
      </c>
      <c r="I1192" s="4" t="s">
        <v>172</v>
      </c>
      <c r="J1192" s="4" t="s">
        <v>1369</v>
      </c>
      <c r="K1192" s="4" t="s">
        <v>105</v>
      </c>
      <c r="L1192" s="4" t="s">
        <v>106</v>
      </c>
      <c r="M1192" s="4"/>
      <c r="N1192" s="4"/>
      <c r="O1192" s="4"/>
      <c r="P1192" s="4"/>
      <c r="Q1192" s="4"/>
      <c r="R1192" s="4"/>
      <c r="S1192" s="13" t="n">
        <v>0</v>
      </c>
      <c r="T1192" s="4" t="s">
        <v>173</v>
      </c>
      <c r="U1192" s="14" t="n">
        <f aca="false">IF(OR($S1192="",PARAMETROS!$B$4=""),"",$S1192*PARAMETROS!$B$4)</f>
        <v>0</v>
      </c>
      <c r="V1192" s="13" t="n">
        <v>0</v>
      </c>
      <c r="W1192" s="4"/>
      <c r="X1192" s="4"/>
      <c r="Y1192" s="4"/>
      <c r="Z1192" s="4"/>
      <c r="AA1192" s="4"/>
      <c r="AB1192" s="4"/>
      <c r="AC1192" s="4"/>
      <c r="AD1192" s="4"/>
      <c r="AE1192" s="4"/>
      <c r="AF1192" s="4"/>
      <c r="AG1192" s="4"/>
      <c r="AH1192" s="4"/>
      <c r="AI1192" s="4"/>
      <c r="AJ1192" s="4"/>
      <c r="AK1192" s="4"/>
      <c r="AL1192" s="4" t="s">
        <v>174</v>
      </c>
      <c r="AM1192" s="4" t="s">
        <v>205</v>
      </c>
    </row>
    <row r="1193" customFormat="false" ht="23.85" hidden="false" customHeight="false" outlineLevel="0" collapsed="false">
      <c r="A1193" s="4" t="s">
        <v>167</v>
      </c>
      <c r="B1193" s="4" t="s">
        <v>1370</v>
      </c>
      <c r="C1193" s="4" t="s">
        <v>1370</v>
      </c>
      <c r="D1193" s="12" t="n">
        <v>2022</v>
      </c>
      <c r="E1193" s="4"/>
      <c r="F1193" s="4" t="s">
        <v>169</v>
      </c>
      <c r="G1193" s="4" t="s">
        <v>170</v>
      </c>
      <c r="H1193" s="4" t="s">
        <v>171</v>
      </c>
      <c r="I1193" s="4" t="s">
        <v>172</v>
      </c>
      <c r="J1193" s="4" t="s">
        <v>1370</v>
      </c>
      <c r="K1193" s="4" t="s">
        <v>105</v>
      </c>
      <c r="L1193" s="4" t="s">
        <v>106</v>
      </c>
      <c r="M1193" s="4"/>
      <c r="N1193" s="4"/>
      <c r="O1193" s="4"/>
      <c r="P1193" s="4"/>
      <c r="Q1193" s="4"/>
      <c r="R1193" s="4"/>
      <c r="S1193" s="13" t="n">
        <v>5109.99</v>
      </c>
      <c r="T1193" s="4" t="s">
        <v>173</v>
      </c>
      <c r="U1193" s="14" t="n">
        <f aca="false">IF(OR($S1193="",PARAMETROS!$B$4=""),"",$S1193*PARAMETROS!$B$4)</f>
        <v>29689.0419</v>
      </c>
      <c r="V1193" s="13" t="n">
        <v>0</v>
      </c>
      <c r="W1193" s="4"/>
      <c r="X1193" s="4"/>
      <c r="Y1193" s="4"/>
      <c r="Z1193" s="4"/>
      <c r="AA1193" s="4"/>
      <c r="AB1193" s="4"/>
      <c r="AC1193" s="4"/>
      <c r="AD1193" s="4"/>
      <c r="AE1193" s="4"/>
      <c r="AF1193" s="4"/>
      <c r="AG1193" s="4"/>
      <c r="AH1193" s="4"/>
      <c r="AI1193" s="4"/>
      <c r="AJ1193" s="4"/>
      <c r="AK1193" s="4"/>
      <c r="AL1193" s="4" t="s">
        <v>174</v>
      </c>
      <c r="AM1193" s="4" t="s">
        <v>205</v>
      </c>
    </row>
    <row r="1194" customFormat="false" ht="23.85" hidden="false" customHeight="false" outlineLevel="0" collapsed="false">
      <c r="A1194" s="4" t="s">
        <v>167</v>
      </c>
      <c r="B1194" s="4" t="s">
        <v>1371</v>
      </c>
      <c r="C1194" s="4" t="s">
        <v>1371</v>
      </c>
      <c r="D1194" s="12" t="n">
        <v>2022</v>
      </c>
      <c r="E1194" s="4"/>
      <c r="F1194" s="4" t="s">
        <v>169</v>
      </c>
      <c r="G1194" s="4" t="s">
        <v>170</v>
      </c>
      <c r="H1194" s="4" t="s">
        <v>171</v>
      </c>
      <c r="I1194" s="4" t="s">
        <v>172</v>
      </c>
      <c r="J1194" s="4" t="s">
        <v>1371</v>
      </c>
      <c r="K1194" s="4" t="s">
        <v>105</v>
      </c>
      <c r="L1194" s="4" t="s">
        <v>106</v>
      </c>
      <c r="M1194" s="4"/>
      <c r="N1194" s="4"/>
      <c r="O1194" s="4"/>
      <c r="P1194" s="4"/>
      <c r="Q1194" s="4"/>
      <c r="R1194" s="4"/>
      <c r="S1194" s="13" t="n">
        <v>959.06</v>
      </c>
      <c r="T1194" s="4" t="s">
        <v>173</v>
      </c>
      <c r="U1194" s="14" t="n">
        <f aca="false">IF(OR($S1194="",PARAMETROS!$B$4=""),"",$S1194*PARAMETROS!$B$4)</f>
        <v>5572.1386</v>
      </c>
      <c r="V1194" s="13" t="n">
        <v>0</v>
      </c>
      <c r="W1194" s="4"/>
      <c r="X1194" s="4"/>
      <c r="Y1194" s="4"/>
      <c r="Z1194" s="4"/>
      <c r="AA1194" s="4"/>
      <c r="AB1194" s="4"/>
      <c r="AC1194" s="4"/>
      <c r="AD1194" s="4"/>
      <c r="AE1194" s="4"/>
      <c r="AF1194" s="4"/>
      <c r="AG1194" s="4"/>
      <c r="AH1194" s="4"/>
      <c r="AI1194" s="4"/>
      <c r="AJ1194" s="4"/>
      <c r="AK1194" s="4"/>
      <c r="AL1194" s="4" t="s">
        <v>174</v>
      </c>
      <c r="AM1194" s="4" t="s">
        <v>205</v>
      </c>
    </row>
    <row r="1195" customFormat="false" ht="23.85" hidden="false" customHeight="false" outlineLevel="0" collapsed="false">
      <c r="A1195" s="4" t="s">
        <v>167</v>
      </c>
      <c r="B1195" s="4" t="s">
        <v>1372</v>
      </c>
      <c r="C1195" s="4" t="s">
        <v>1372</v>
      </c>
      <c r="D1195" s="12" t="n">
        <v>2022</v>
      </c>
      <c r="E1195" s="4"/>
      <c r="F1195" s="4" t="s">
        <v>169</v>
      </c>
      <c r="G1195" s="4" t="s">
        <v>170</v>
      </c>
      <c r="H1195" s="4" t="s">
        <v>171</v>
      </c>
      <c r="I1195" s="4" t="s">
        <v>172</v>
      </c>
      <c r="J1195" s="4" t="s">
        <v>1372</v>
      </c>
      <c r="K1195" s="4" t="s">
        <v>105</v>
      </c>
      <c r="L1195" s="4" t="s">
        <v>106</v>
      </c>
      <c r="M1195" s="4"/>
      <c r="N1195" s="4"/>
      <c r="O1195" s="4"/>
      <c r="P1195" s="4"/>
      <c r="Q1195" s="4"/>
      <c r="R1195" s="4"/>
      <c r="S1195" s="13" t="n">
        <v>-1.25</v>
      </c>
      <c r="T1195" s="4" t="s">
        <v>173</v>
      </c>
      <c r="U1195" s="14" t="n">
        <f aca="false">IF(OR($S1195="",PARAMETROS!$B$4=""),"",$S1195*PARAMETROS!$B$4)</f>
        <v>-7.2625</v>
      </c>
      <c r="V1195" s="13" t="n">
        <v>0</v>
      </c>
      <c r="W1195" s="4"/>
      <c r="X1195" s="4"/>
      <c r="Y1195" s="4"/>
      <c r="Z1195" s="4"/>
      <c r="AA1195" s="4"/>
      <c r="AB1195" s="4"/>
      <c r="AC1195" s="4"/>
      <c r="AD1195" s="4"/>
      <c r="AE1195" s="4"/>
      <c r="AF1195" s="4"/>
      <c r="AG1195" s="4"/>
      <c r="AH1195" s="4"/>
      <c r="AI1195" s="4"/>
      <c r="AJ1195" s="4"/>
      <c r="AK1195" s="4"/>
      <c r="AL1195" s="4" t="s">
        <v>174</v>
      </c>
      <c r="AM1195" s="4" t="s">
        <v>205</v>
      </c>
    </row>
    <row r="1196" customFormat="false" ht="23.85" hidden="false" customHeight="false" outlineLevel="0" collapsed="false">
      <c r="A1196" s="4" t="s">
        <v>167</v>
      </c>
      <c r="B1196" s="4" t="s">
        <v>1373</v>
      </c>
      <c r="C1196" s="4" t="s">
        <v>1373</v>
      </c>
      <c r="D1196" s="12" t="n">
        <v>2022</v>
      </c>
      <c r="E1196" s="4"/>
      <c r="F1196" s="4" t="s">
        <v>169</v>
      </c>
      <c r="G1196" s="4" t="s">
        <v>170</v>
      </c>
      <c r="H1196" s="4" t="s">
        <v>171</v>
      </c>
      <c r="I1196" s="4" t="s">
        <v>172</v>
      </c>
      <c r="J1196" s="4" t="s">
        <v>1373</v>
      </c>
      <c r="K1196" s="4" t="s">
        <v>105</v>
      </c>
      <c r="L1196" s="4" t="s">
        <v>106</v>
      </c>
      <c r="M1196" s="4"/>
      <c r="N1196" s="4"/>
      <c r="O1196" s="4"/>
      <c r="P1196" s="4"/>
      <c r="Q1196" s="4"/>
      <c r="R1196" s="4"/>
      <c r="S1196" s="13" t="n">
        <v>0</v>
      </c>
      <c r="T1196" s="4" t="s">
        <v>173</v>
      </c>
      <c r="U1196" s="14" t="n">
        <f aca="false">IF(OR($S1196="",PARAMETROS!$B$4=""),"",$S1196*PARAMETROS!$B$4)</f>
        <v>0</v>
      </c>
      <c r="V1196" s="13" t="n">
        <v>0</v>
      </c>
      <c r="W1196" s="4"/>
      <c r="X1196" s="4"/>
      <c r="Y1196" s="4"/>
      <c r="Z1196" s="4"/>
      <c r="AA1196" s="4"/>
      <c r="AB1196" s="4"/>
      <c r="AC1196" s="4"/>
      <c r="AD1196" s="4"/>
      <c r="AE1196" s="4"/>
      <c r="AF1196" s="4"/>
      <c r="AG1196" s="4"/>
      <c r="AH1196" s="4"/>
      <c r="AI1196" s="4"/>
      <c r="AJ1196" s="4"/>
      <c r="AK1196" s="4"/>
      <c r="AL1196" s="4" t="s">
        <v>174</v>
      </c>
      <c r="AM1196" s="4" t="s">
        <v>205</v>
      </c>
    </row>
    <row r="1197" customFormat="false" ht="23.85" hidden="false" customHeight="false" outlineLevel="0" collapsed="false">
      <c r="A1197" s="4" t="s">
        <v>167</v>
      </c>
      <c r="B1197" s="4" t="s">
        <v>1374</v>
      </c>
      <c r="C1197" s="4" t="s">
        <v>1374</v>
      </c>
      <c r="D1197" s="12" t="n">
        <v>2022</v>
      </c>
      <c r="E1197" s="4"/>
      <c r="F1197" s="4" t="s">
        <v>169</v>
      </c>
      <c r="G1197" s="4" t="s">
        <v>170</v>
      </c>
      <c r="H1197" s="4" t="s">
        <v>171</v>
      </c>
      <c r="I1197" s="4" t="s">
        <v>172</v>
      </c>
      <c r="J1197" s="4" t="s">
        <v>1374</v>
      </c>
      <c r="K1197" s="4" t="s">
        <v>105</v>
      </c>
      <c r="L1197" s="4" t="s">
        <v>106</v>
      </c>
      <c r="M1197" s="4"/>
      <c r="N1197" s="4"/>
      <c r="O1197" s="4"/>
      <c r="P1197" s="4"/>
      <c r="Q1197" s="4"/>
      <c r="R1197" s="4"/>
      <c r="S1197" s="13" t="n">
        <v>0</v>
      </c>
      <c r="T1197" s="4" t="s">
        <v>173</v>
      </c>
      <c r="U1197" s="14" t="n">
        <f aca="false">IF(OR($S1197="",PARAMETROS!$B$4=""),"",$S1197*PARAMETROS!$B$4)</f>
        <v>0</v>
      </c>
      <c r="V1197" s="13" t="n">
        <v>0</v>
      </c>
      <c r="W1197" s="4"/>
      <c r="X1197" s="4"/>
      <c r="Y1197" s="4"/>
      <c r="Z1197" s="4"/>
      <c r="AA1197" s="4"/>
      <c r="AB1197" s="4"/>
      <c r="AC1197" s="4"/>
      <c r="AD1197" s="4"/>
      <c r="AE1197" s="4"/>
      <c r="AF1197" s="4"/>
      <c r="AG1197" s="4"/>
      <c r="AH1197" s="4"/>
      <c r="AI1197" s="4"/>
      <c r="AJ1197" s="4"/>
      <c r="AK1197" s="4"/>
      <c r="AL1197" s="4" t="s">
        <v>174</v>
      </c>
      <c r="AM1197" s="4" t="s">
        <v>205</v>
      </c>
    </row>
    <row r="1198" customFormat="false" ht="23.85" hidden="false" customHeight="false" outlineLevel="0" collapsed="false">
      <c r="A1198" s="4" t="s">
        <v>167</v>
      </c>
      <c r="B1198" s="4" t="s">
        <v>1375</v>
      </c>
      <c r="C1198" s="4" t="s">
        <v>1375</v>
      </c>
      <c r="D1198" s="12" t="n">
        <v>2022</v>
      </c>
      <c r="E1198" s="4"/>
      <c r="F1198" s="4" t="s">
        <v>169</v>
      </c>
      <c r="G1198" s="4" t="s">
        <v>170</v>
      </c>
      <c r="H1198" s="4" t="s">
        <v>171</v>
      </c>
      <c r="I1198" s="4" t="s">
        <v>172</v>
      </c>
      <c r="J1198" s="4" t="s">
        <v>1375</v>
      </c>
      <c r="K1198" s="4" t="s">
        <v>105</v>
      </c>
      <c r="L1198" s="4" t="s">
        <v>106</v>
      </c>
      <c r="M1198" s="4"/>
      <c r="N1198" s="4"/>
      <c r="O1198" s="4"/>
      <c r="P1198" s="4"/>
      <c r="Q1198" s="4"/>
      <c r="R1198" s="4"/>
      <c r="S1198" s="13" t="n">
        <v>0</v>
      </c>
      <c r="T1198" s="4" t="s">
        <v>173</v>
      </c>
      <c r="U1198" s="14" t="n">
        <f aca="false">IF(OR($S1198="",PARAMETROS!$B$4=""),"",$S1198*PARAMETROS!$B$4)</f>
        <v>0</v>
      </c>
      <c r="V1198" s="13" t="n">
        <v>0</v>
      </c>
      <c r="W1198" s="4"/>
      <c r="X1198" s="4"/>
      <c r="Y1198" s="4"/>
      <c r="Z1198" s="4"/>
      <c r="AA1198" s="4"/>
      <c r="AB1198" s="4"/>
      <c r="AC1198" s="4"/>
      <c r="AD1198" s="4"/>
      <c r="AE1198" s="4"/>
      <c r="AF1198" s="4"/>
      <c r="AG1198" s="4"/>
      <c r="AH1198" s="4"/>
      <c r="AI1198" s="4"/>
      <c r="AJ1198" s="4"/>
      <c r="AK1198" s="4"/>
      <c r="AL1198" s="4" t="s">
        <v>174</v>
      </c>
      <c r="AM1198" s="4" t="s">
        <v>205</v>
      </c>
    </row>
    <row r="1199" customFormat="false" ht="23.85" hidden="false" customHeight="false" outlineLevel="0" collapsed="false">
      <c r="A1199" s="4" t="s">
        <v>167</v>
      </c>
      <c r="B1199" s="4" t="s">
        <v>1376</v>
      </c>
      <c r="C1199" s="4" t="s">
        <v>1376</v>
      </c>
      <c r="D1199" s="12" t="n">
        <v>2022</v>
      </c>
      <c r="E1199" s="4"/>
      <c r="F1199" s="4" t="s">
        <v>169</v>
      </c>
      <c r="G1199" s="4" t="s">
        <v>170</v>
      </c>
      <c r="H1199" s="4" t="s">
        <v>171</v>
      </c>
      <c r="I1199" s="4" t="s">
        <v>172</v>
      </c>
      <c r="J1199" s="4" t="s">
        <v>1376</v>
      </c>
      <c r="K1199" s="4" t="s">
        <v>105</v>
      </c>
      <c r="L1199" s="4" t="s">
        <v>106</v>
      </c>
      <c r="M1199" s="4"/>
      <c r="N1199" s="4"/>
      <c r="O1199" s="4"/>
      <c r="P1199" s="4"/>
      <c r="Q1199" s="4"/>
      <c r="R1199" s="4"/>
      <c r="S1199" s="13" t="n">
        <v>0</v>
      </c>
      <c r="T1199" s="4" t="s">
        <v>173</v>
      </c>
      <c r="U1199" s="14" t="n">
        <f aca="false">IF(OR($S1199="",PARAMETROS!$B$4=""),"",$S1199*PARAMETROS!$B$4)</f>
        <v>0</v>
      </c>
      <c r="V1199" s="13" t="n">
        <v>0</v>
      </c>
      <c r="W1199" s="4"/>
      <c r="X1199" s="4"/>
      <c r="Y1199" s="4"/>
      <c r="Z1199" s="4"/>
      <c r="AA1199" s="4"/>
      <c r="AB1199" s="4"/>
      <c r="AC1199" s="4"/>
      <c r="AD1199" s="4"/>
      <c r="AE1199" s="4"/>
      <c r="AF1199" s="4"/>
      <c r="AG1199" s="4"/>
      <c r="AH1199" s="4"/>
      <c r="AI1199" s="4"/>
      <c r="AJ1199" s="4"/>
      <c r="AK1199" s="4"/>
      <c r="AL1199" s="4" t="s">
        <v>174</v>
      </c>
      <c r="AM1199" s="4" t="s">
        <v>205</v>
      </c>
    </row>
    <row r="1200" customFormat="false" ht="23.85" hidden="false" customHeight="false" outlineLevel="0" collapsed="false">
      <c r="A1200" s="4" t="s">
        <v>167</v>
      </c>
      <c r="B1200" s="4" t="s">
        <v>1377</v>
      </c>
      <c r="C1200" s="4" t="s">
        <v>1377</v>
      </c>
      <c r="D1200" s="12" t="n">
        <v>2022</v>
      </c>
      <c r="E1200" s="4"/>
      <c r="F1200" s="4" t="s">
        <v>169</v>
      </c>
      <c r="G1200" s="4" t="s">
        <v>170</v>
      </c>
      <c r="H1200" s="4" t="s">
        <v>171</v>
      </c>
      <c r="I1200" s="4" t="s">
        <v>172</v>
      </c>
      <c r="J1200" s="4" t="s">
        <v>1377</v>
      </c>
      <c r="K1200" s="4" t="s">
        <v>105</v>
      </c>
      <c r="L1200" s="4" t="s">
        <v>106</v>
      </c>
      <c r="M1200" s="4"/>
      <c r="N1200" s="4"/>
      <c r="O1200" s="4"/>
      <c r="P1200" s="4"/>
      <c r="Q1200" s="4"/>
      <c r="R1200" s="4"/>
      <c r="S1200" s="13" t="n">
        <v>41.5</v>
      </c>
      <c r="T1200" s="4" t="s">
        <v>173</v>
      </c>
      <c r="U1200" s="14" t="n">
        <f aca="false">IF(OR($S1200="",PARAMETROS!$B$4=""),"",$S1200*PARAMETROS!$B$4)</f>
        <v>241.115</v>
      </c>
      <c r="V1200" s="13" t="n">
        <v>0</v>
      </c>
      <c r="W1200" s="4"/>
      <c r="X1200" s="4"/>
      <c r="Y1200" s="4"/>
      <c r="Z1200" s="4"/>
      <c r="AA1200" s="4"/>
      <c r="AB1200" s="4"/>
      <c r="AC1200" s="4"/>
      <c r="AD1200" s="4"/>
      <c r="AE1200" s="4"/>
      <c r="AF1200" s="4"/>
      <c r="AG1200" s="4"/>
      <c r="AH1200" s="4"/>
      <c r="AI1200" s="4"/>
      <c r="AJ1200" s="4"/>
      <c r="AK1200" s="4"/>
      <c r="AL1200" s="4" t="s">
        <v>174</v>
      </c>
      <c r="AM1200" s="4" t="s">
        <v>205</v>
      </c>
    </row>
    <row r="1201" customFormat="false" ht="23.85" hidden="false" customHeight="false" outlineLevel="0" collapsed="false">
      <c r="A1201" s="4" t="s">
        <v>167</v>
      </c>
      <c r="B1201" s="4" t="s">
        <v>1378</v>
      </c>
      <c r="C1201" s="4" t="s">
        <v>1378</v>
      </c>
      <c r="D1201" s="12" t="n">
        <v>2022</v>
      </c>
      <c r="E1201" s="4"/>
      <c r="F1201" s="4" t="s">
        <v>169</v>
      </c>
      <c r="G1201" s="4" t="s">
        <v>170</v>
      </c>
      <c r="H1201" s="4" t="s">
        <v>171</v>
      </c>
      <c r="I1201" s="4" t="s">
        <v>172</v>
      </c>
      <c r="J1201" s="4" t="s">
        <v>1378</v>
      </c>
      <c r="K1201" s="4" t="s">
        <v>105</v>
      </c>
      <c r="L1201" s="4" t="s">
        <v>106</v>
      </c>
      <c r="M1201" s="4"/>
      <c r="N1201" s="4"/>
      <c r="O1201" s="4"/>
      <c r="P1201" s="4"/>
      <c r="Q1201" s="4"/>
      <c r="R1201" s="4"/>
      <c r="S1201" s="13" t="n">
        <v>3195.25</v>
      </c>
      <c r="T1201" s="4" t="s">
        <v>173</v>
      </c>
      <c r="U1201" s="14" t="n">
        <f aca="false">IF(OR($S1201="",PARAMETROS!$B$4=""),"",$S1201*PARAMETROS!$B$4)</f>
        <v>18564.4025</v>
      </c>
      <c r="V1201" s="13" t="n">
        <v>0</v>
      </c>
      <c r="W1201" s="4"/>
      <c r="X1201" s="4"/>
      <c r="Y1201" s="4"/>
      <c r="Z1201" s="4"/>
      <c r="AA1201" s="4"/>
      <c r="AB1201" s="4"/>
      <c r="AC1201" s="4"/>
      <c r="AD1201" s="4"/>
      <c r="AE1201" s="4"/>
      <c r="AF1201" s="4"/>
      <c r="AG1201" s="4"/>
      <c r="AH1201" s="4"/>
      <c r="AI1201" s="4"/>
      <c r="AJ1201" s="4"/>
      <c r="AK1201" s="4"/>
      <c r="AL1201" s="4" t="s">
        <v>174</v>
      </c>
      <c r="AM1201" s="4" t="s">
        <v>205</v>
      </c>
    </row>
    <row r="1202" customFormat="false" ht="23.85" hidden="false" customHeight="false" outlineLevel="0" collapsed="false">
      <c r="A1202" s="4" t="s">
        <v>167</v>
      </c>
      <c r="B1202" s="4" t="s">
        <v>1379</v>
      </c>
      <c r="C1202" s="4" t="s">
        <v>1379</v>
      </c>
      <c r="D1202" s="12" t="n">
        <v>2022</v>
      </c>
      <c r="E1202" s="4"/>
      <c r="F1202" s="4" t="s">
        <v>169</v>
      </c>
      <c r="G1202" s="4" t="s">
        <v>170</v>
      </c>
      <c r="H1202" s="4" t="s">
        <v>171</v>
      </c>
      <c r="I1202" s="4" t="s">
        <v>172</v>
      </c>
      <c r="J1202" s="4" t="s">
        <v>1379</v>
      </c>
      <c r="K1202" s="4" t="s">
        <v>105</v>
      </c>
      <c r="L1202" s="4" t="s">
        <v>106</v>
      </c>
      <c r="M1202" s="4"/>
      <c r="N1202" s="4"/>
      <c r="O1202" s="4"/>
      <c r="P1202" s="4"/>
      <c r="Q1202" s="4"/>
      <c r="R1202" s="4"/>
      <c r="S1202" s="13" t="n">
        <v>82.99</v>
      </c>
      <c r="T1202" s="4" t="s">
        <v>173</v>
      </c>
      <c r="U1202" s="14" t="n">
        <f aca="false">IF(OR($S1202="",PARAMETROS!$B$4=""),"",$S1202*PARAMETROS!$B$4)</f>
        <v>482.1719</v>
      </c>
      <c r="V1202" s="13" t="n">
        <v>0</v>
      </c>
      <c r="W1202" s="4"/>
      <c r="X1202" s="4"/>
      <c r="Y1202" s="4"/>
      <c r="Z1202" s="4"/>
      <c r="AA1202" s="4"/>
      <c r="AB1202" s="4"/>
      <c r="AC1202" s="4"/>
      <c r="AD1202" s="4"/>
      <c r="AE1202" s="4"/>
      <c r="AF1202" s="4"/>
      <c r="AG1202" s="4"/>
      <c r="AH1202" s="4"/>
      <c r="AI1202" s="4"/>
      <c r="AJ1202" s="4"/>
      <c r="AK1202" s="4"/>
      <c r="AL1202" s="4" t="s">
        <v>174</v>
      </c>
      <c r="AM1202" s="4" t="s">
        <v>205</v>
      </c>
    </row>
    <row r="1203" customFormat="false" ht="23.85" hidden="false" customHeight="false" outlineLevel="0" collapsed="false">
      <c r="A1203" s="4" t="s">
        <v>167</v>
      </c>
      <c r="B1203" s="4" t="s">
        <v>1380</v>
      </c>
      <c r="C1203" s="4" t="s">
        <v>1380</v>
      </c>
      <c r="D1203" s="12" t="n">
        <v>2022</v>
      </c>
      <c r="E1203" s="4"/>
      <c r="F1203" s="4" t="s">
        <v>169</v>
      </c>
      <c r="G1203" s="4" t="s">
        <v>170</v>
      </c>
      <c r="H1203" s="4" t="s">
        <v>171</v>
      </c>
      <c r="I1203" s="4" t="s">
        <v>172</v>
      </c>
      <c r="J1203" s="4" t="s">
        <v>1380</v>
      </c>
      <c r="K1203" s="4" t="s">
        <v>105</v>
      </c>
      <c r="L1203" s="4" t="s">
        <v>106</v>
      </c>
      <c r="M1203" s="4"/>
      <c r="N1203" s="4"/>
      <c r="O1203" s="4"/>
      <c r="P1203" s="4"/>
      <c r="Q1203" s="4"/>
      <c r="R1203" s="4"/>
      <c r="S1203" s="13" t="n">
        <v>829.93</v>
      </c>
      <c r="T1203" s="4" t="s">
        <v>173</v>
      </c>
      <c r="U1203" s="14" t="n">
        <f aca="false">IF(OR($S1203="",PARAMETROS!$B$4=""),"",$S1203*PARAMETROS!$B$4)</f>
        <v>4821.8933</v>
      </c>
      <c r="V1203" s="13" t="n">
        <v>0</v>
      </c>
      <c r="W1203" s="4"/>
      <c r="X1203" s="4"/>
      <c r="Y1203" s="4"/>
      <c r="Z1203" s="4"/>
      <c r="AA1203" s="4"/>
      <c r="AB1203" s="4"/>
      <c r="AC1203" s="4"/>
      <c r="AD1203" s="4"/>
      <c r="AE1203" s="4"/>
      <c r="AF1203" s="4"/>
      <c r="AG1203" s="4"/>
      <c r="AH1203" s="4"/>
      <c r="AI1203" s="4"/>
      <c r="AJ1203" s="4"/>
      <c r="AK1203" s="4"/>
      <c r="AL1203" s="4" t="s">
        <v>174</v>
      </c>
      <c r="AM1203" s="4" t="s">
        <v>205</v>
      </c>
    </row>
    <row r="1204" customFormat="false" ht="23.85" hidden="false" customHeight="false" outlineLevel="0" collapsed="false">
      <c r="A1204" s="4" t="s">
        <v>167</v>
      </c>
      <c r="B1204" s="4" t="s">
        <v>1381</v>
      </c>
      <c r="C1204" s="4" t="s">
        <v>1381</v>
      </c>
      <c r="D1204" s="12" t="n">
        <v>2022</v>
      </c>
      <c r="E1204" s="4"/>
      <c r="F1204" s="4" t="s">
        <v>169</v>
      </c>
      <c r="G1204" s="4" t="s">
        <v>170</v>
      </c>
      <c r="H1204" s="4" t="s">
        <v>171</v>
      </c>
      <c r="I1204" s="4" t="s">
        <v>172</v>
      </c>
      <c r="J1204" s="4" t="s">
        <v>1381</v>
      </c>
      <c r="K1204" s="4" t="s">
        <v>105</v>
      </c>
      <c r="L1204" s="4" t="s">
        <v>106</v>
      </c>
      <c r="M1204" s="4"/>
      <c r="N1204" s="4"/>
      <c r="O1204" s="4"/>
      <c r="P1204" s="4"/>
      <c r="Q1204" s="4"/>
      <c r="R1204" s="4"/>
      <c r="S1204" s="13" t="n">
        <v>0</v>
      </c>
      <c r="T1204" s="4" t="s">
        <v>173</v>
      </c>
      <c r="U1204" s="14" t="n">
        <f aca="false">IF(OR($S1204="",PARAMETROS!$B$4=""),"",$S1204*PARAMETROS!$B$4)</f>
        <v>0</v>
      </c>
      <c r="V1204" s="13" t="n">
        <v>0</v>
      </c>
      <c r="W1204" s="4"/>
      <c r="X1204" s="4"/>
      <c r="Y1204" s="4"/>
      <c r="Z1204" s="4"/>
      <c r="AA1204" s="4"/>
      <c r="AB1204" s="4"/>
      <c r="AC1204" s="4"/>
      <c r="AD1204" s="4"/>
      <c r="AE1204" s="4"/>
      <c r="AF1204" s="4"/>
      <c r="AG1204" s="4"/>
      <c r="AH1204" s="4"/>
      <c r="AI1204" s="4"/>
      <c r="AJ1204" s="4"/>
      <c r="AK1204" s="4"/>
      <c r="AL1204" s="4" t="s">
        <v>174</v>
      </c>
      <c r="AM1204" s="4" t="s">
        <v>205</v>
      </c>
    </row>
    <row r="1205" customFormat="false" ht="23.85" hidden="false" customHeight="false" outlineLevel="0" collapsed="false">
      <c r="A1205" s="4" t="s">
        <v>167</v>
      </c>
      <c r="B1205" s="4" t="s">
        <v>1382</v>
      </c>
      <c r="C1205" s="4" t="s">
        <v>1382</v>
      </c>
      <c r="D1205" s="12" t="n">
        <v>2022</v>
      </c>
      <c r="E1205" s="4"/>
      <c r="F1205" s="4" t="s">
        <v>169</v>
      </c>
      <c r="G1205" s="4" t="s">
        <v>170</v>
      </c>
      <c r="H1205" s="4" t="s">
        <v>171</v>
      </c>
      <c r="I1205" s="4" t="s">
        <v>172</v>
      </c>
      <c r="J1205" s="4" t="s">
        <v>1382</v>
      </c>
      <c r="K1205" s="4" t="s">
        <v>105</v>
      </c>
      <c r="L1205" s="4" t="s">
        <v>106</v>
      </c>
      <c r="M1205" s="4"/>
      <c r="N1205" s="4"/>
      <c r="O1205" s="4"/>
      <c r="P1205" s="4"/>
      <c r="Q1205" s="4"/>
      <c r="R1205" s="4"/>
      <c r="S1205" s="13" t="n">
        <v>0</v>
      </c>
      <c r="T1205" s="4" t="s">
        <v>173</v>
      </c>
      <c r="U1205" s="14" t="n">
        <f aca="false">IF(OR($S1205="",PARAMETROS!$B$4=""),"",$S1205*PARAMETROS!$B$4)</f>
        <v>0</v>
      </c>
      <c r="V1205" s="13" t="n">
        <v>0</v>
      </c>
      <c r="W1205" s="4"/>
      <c r="X1205" s="4"/>
      <c r="Y1205" s="4"/>
      <c r="Z1205" s="4"/>
      <c r="AA1205" s="4"/>
      <c r="AB1205" s="4"/>
      <c r="AC1205" s="4"/>
      <c r="AD1205" s="4"/>
      <c r="AE1205" s="4"/>
      <c r="AF1205" s="4"/>
      <c r="AG1205" s="4"/>
      <c r="AH1205" s="4"/>
      <c r="AI1205" s="4"/>
      <c r="AJ1205" s="4"/>
      <c r="AK1205" s="4"/>
      <c r="AL1205" s="4" t="s">
        <v>174</v>
      </c>
      <c r="AM1205" s="4" t="s">
        <v>205</v>
      </c>
    </row>
    <row r="1206" customFormat="false" ht="23.85" hidden="false" customHeight="false" outlineLevel="0" collapsed="false">
      <c r="A1206" s="4" t="s">
        <v>167</v>
      </c>
      <c r="B1206" s="4" t="s">
        <v>1383</v>
      </c>
      <c r="C1206" s="4" t="s">
        <v>1383</v>
      </c>
      <c r="D1206" s="12" t="n">
        <v>2022</v>
      </c>
      <c r="E1206" s="4"/>
      <c r="F1206" s="4" t="s">
        <v>169</v>
      </c>
      <c r="G1206" s="4" t="s">
        <v>170</v>
      </c>
      <c r="H1206" s="4" t="s">
        <v>171</v>
      </c>
      <c r="I1206" s="4" t="s">
        <v>172</v>
      </c>
      <c r="J1206" s="4" t="s">
        <v>1383</v>
      </c>
      <c r="K1206" s="4" t="s">
        <v>107</v>
      </c>
      <c r="L1206" s="4" t="s">
        <v>108</v>
      </c>
      <c r="M1206" s="4"/>
      <c r="N1206" s="4"/>
      <c r="O1206" s="4"/>
      <c r="P1206" s="4"/>
      <c r="Q1206" s="4"/>
      <c r="R1206" s="4"/>
      <c r="S1206" s="13" t="n">
        <v>0</v>
      </c>
      <c r="T1206" s="4" t="s">
        <v>173</v>
      </c>
      <c r="U1206" s="14" t="n">
        <f aca="false">IF(OR($S1206="",PARAMETROS!$B$4=""),"",$S1206*PARAMETROS!$B$4)</f>
        <v>0</v>
      </c>
      <c r="V1206" s="13" t="n">
        <v>0</v>
      </c>
      <c r="W1206" s="4"/>
      <c r="X1206" s="4"/>
      <c r="Y1206" s="4"/>
      <c r="Z1206" s="4"/>
      <c r="AA1206" s="4"/>
      <c r="AB1206" s="4"/>
      <c r="AC1206" s="4"/>
      <c r="AD1206" s="4"/>
      <c r="AE1206" s="4"/>
      <c r="AF1206" s="4"/>
      <c r="AG1206" s="4"/>
      <c r="AH1206" s="4"/>
      <c r="AI1206" s="4"/>
      <c r="AJ1206" s="4"/>
      <c r="AK1206" s="4"/>
      <c r="AL1206" s="4" t="s">
        <v>174</v>
      </c>
      <c r="AM1206" s="4" t="s">
        <v>205</v>
      </c>
    </row>
    <row r="1207" customFormat="false" ht="23.85" hidden="false" customHeight="false" outlineLevel="0" collapsed="false">
      <c r="A1207" s="4" t="s">
        <v>167</v>
      </c>
      <c r="B1207" s="4" t="s">
        <v>1384</v>
      </c>
      <c r="C1207" s="4" t="s">
        <v>1384</v>
      </c>
      <c r="D1207" s="12" t="n">
        <v>2022</v>
      </c>
      <c r="E1207" s="4"/>
      <c r="F1207" s="4" t="s">
        <v>169</v>
      </c>
      <c r="G1207" s="4" t="s">
        <v>170</v>
      </c>
      <c r="H1207" s="4" t="s">
        <v>171</v>
      </c>
      <c r="I1207" s="4" t="s">
        <v>172</v>
      </c>
      <c r="J1207" s="4" t="s">
        <v>1384</v>
      </c>
      <c r="K1207" s="4" t="s">
        <v>107</v>
      </c>
      <c r="L1207" s="4" t="s">
        <v>108</v>
      </c>
      <c r="M1207" s="4"/>
      <c r="N1207" s="4"/>
      <c r="O1207" s="4"/>
      <c r="P1207" s="4"/>
      <c r="Q1207" s="4"/>
      <c r="R1207" s="4"/>
      <c r="S1207" s="13" t="n">
        <v>762.96</v>
      </c>
      <c r="T1207" s="4" t="s">
        <v>173</v>
      </c>
      <c r="U1207" s="14" t="n">
        <f aca="false">IF(OR($S1207="",PARAMETROS!$B$4=""),"",$S1207*PARAMETROS!$B$4)</f>
        <v>4432.7976</v>
      </c>
      <c r="V1207" s="13" t="n">
        <v>0</v>
      </c>
      <c r="W1207" s="4"/>
      <c r="X1207" s="4"/>
      <c r="Y1207" s="4"/>
      <c r="Z1207" s="4"/>
      <c r="AA1207" s="4"/>
      <c r="AB1207" s="4"/>
      <c r="AC1207" s="4"/>
      <c r="AD1207" s="4"/>
      <c r="AE1207" s="4"/>
      <c r="AF1207" s="4"/>
      <c r="AG1207" s="4"/>
      <c r="AH1207" s="4"/>
      <c r="AI1207" s="4"/>
      <c r="AJ1207" s="4"/>
      <c r="AK1207" s="4"/>
      <c r="AL1207" s="4" t="s">
        <v>174</v>
      </c>
      <c r="AM1207" s="4" t="s">
        <v>205</v>
      </c>
    </row>
    <row r="1208" customFormat="false" ht="23.85" hidden="false" customHeight="false" outlineLevel="0" collapsed="false">
      <c r="A1208" s="4" t="s">
        <v>167</v>
      </c>
      <c r="B1208" s="4" t="s">
        <v>1385</v>
      </c>
      <c r="C1208" s="4" t="s">
        <v>1385</v>
      </c>
      <c r="D1208" s="12" t="n">
        <v>2022</v>
      </c>
      <c r="E1208" s="4"/>
      <c r="F1208" s="4" t="s">
        <v>169</v>
      </c>
      <c r="G1208" s="4" t="s">
        <v>170</v>
      </c>
      <c r="H1208" s="4" t="s">
        <v>171</v>
      </c>
      <c r="I1208" s="4" t="s">
        <v>172</v>
      </c>
      <c r="J1208" s="4" t="s">
        <v>1385</v>
      </c>
      <c r="K1208" s="4" t="s">
        <v>107</v>
      </c>
      <c r="L1208" s="4" t="s">
        <v>108</v>
      </c>
      <c r="M1208" s="4"/>
      <c r="N1208" s="4"/>
      <c r="O1208" s="4"/>
      <c r="P1208" s="4"/>
      <c r="Q1208" s="4"/>
      <c r="R1208" s="4"/>
      <c r="S1208" s="13" t="n">
        <v>20.22</v>
      </c>
      <c r="T1208" s="4" t="s">
        <v>173</v>
      </c>
      <c r="U1208" s="14" t="n">
        <f aca="false">IF(OR($S1208="",PARAMETROS!$B$4=""),"",$S1208*PARAMETROS!$B$4)</f>
        <v>117.4782</v>
      </c>
      <c r="V1208" s="13" t="n">
        <v>0</v>
      </c>
      <c r="W1208" s="4"/>
      <c r="X1208" s="4"/>
      <c r="Y1208" s="4"/>
      <c r="Z1208" s="4"/>
      <c r="AA1208" s="4"/>
      <c r="AB1208" s="4"/>
      <c r="AC1208" s="4"/>
      <c r="AD1208" s="4"/>
      <c r="AE1208" s="4"/>
      <c r="AF1208" s="4"/>
      <c r="AG1208" s="4"/>
      <c r="AH1208" s="4"/>
      <c r="AI1208" s="4"/>
      <c r="AJ1208" s="4"/>
      <c r="AK1208" s="4"/>
      <c r="AL1208" s="4" t="s">
        <v>174</v>
      </c>
      <c r="AM1208" s="4" t="s">
        <v>205</v>
      </c>
    </row>
    <row r="1209" customFormat="false" ht="23.85" hidden="false" customHeight="false" outlineLevel="0" collapsed="false">
      <c r="A1209" s="4" t="s">
        <v>167</v>
      </c>
      <c r="B1209" s="4" t="s">
        <v>1386</v>
      </c>
      <c r="C1209" s="4" t="s">
        <v>1386</v>
      </c>
      <c r="D1209" s="12" t="n">
        <v>2022</v>
      </c>
      <c r="E1209" s="4"/>
      <c r="F1209" s="4" t="s">
        <v>169</v>
      </c>
      <c r="G1209" s="4" t="s">
        <v>170</v>
      </c>
      <c r="H1209" s="4" t="s">
        <v>171</v>
      </c>
      <c r="I1209" s="4" t="s">
        <v>172</v>
      </c>
      <c r="J1209" s="4" t="s">
        <v>1386</v>
      </c>
      <c r="K1209" s="4" t="s">
        <v>107</v>
      </c>
      <c r="L1209" s="4" t="s">
        <v>108</v>
      </c>
      <c r="M1209" s="4"/>
      <c r="N1209" s="4"/>
      <c r="O1209" s="4"/>
      <c r="P1209" s="4"/>
      <c r="Q1209" s="4"/>
      <c r="R1209" s="4"/>
      <c r="S1209" s="13" t="n">
        <v>29.39</v>
      </c>
      <c r="T1209" s="4" t="s">
        <v>173</v>
      </c>
      <c r="U1209" s="14" t="n">
        <f aca="false">IF(OR($S1209="",PARAMETROS!$B$4=""),"",$S1209*PARAMETROS!$B$4)</f>
        <v>170.7559</v>
      </c>
      <c r="V1209" s="13" t="n">
        <v>0</v>
      </c>
      <c r="W1209" s="4"/>
      <c r="X1209" s="4"/>
      <c r="Y1209" s="4"/>
      <c r="Z1209" s="4"/>
      <c r="AA1209" s="4"/>
      <c r="AB1209" s="4"/>
      <c r="AC1209" s="4"/>
      <c r="AD1209" s="4"/>
      <c r="AE1209" s="4"/>
      <c r="AF1209" s="4"/>
      <c r="AG1209" s="4"/>
      <c r="AH1209" s="4"/>
      <c r="AI1209" s="4"/>
      <c r="AJ1209" s="4"/>
      <c r="AK1209" s="4"/>
      <c r="AL1209" s="4" t="s">
        <v>174</v>
      </c>
      <c r="AM1209" s="4" t="s">
        <v>205</v>
      </c>
    </row>
    <row r="1210" customFormat="false" ht="23.85" hidden="false" customHeight="false" outlineLevel="0" collapsed="false">
      <c r="A1210" s="4" t="s">
        <v>167</v>
      </c>
      <c r="B1210" s="4" t="s">
        <v>1387</v>
      </c>
      <c r="C1210" s="4" t="s">
        <v>1387</v>
      </c>
      <c r="D1210" s="12" t="n">
        <v>2022</v>
      </c>
      <c r="E1210" s="4"/>
      <c r="F1210" s="4" t="s">
        <v>169</v>
      </c>
      <c r="G1210" s="4" t="s">
        <v>170</v>
      </c>
      <c r="H1210" s="4" t="s">
        <v>171</v>
      </c>
      <c r="I1210" s="4" t="s">
        <v>172</v>
      </c>
      <c r="J1210" s="4" t="s">
        <v>1387</v>
      </c>
      <c r="K1210" s="4" t="s">
        <v>107</v>
      </c>
      <c r="L1210" s="4" t="s">
        <v>108</v>
      </c>
      <c r="M1210" s="4"/>
      <c r="N1210" s="4"/>
      <c r="O1210" s="4"/>
      <c r="P1210" s="4"/>
      <c r="Q1210" s="4"/>
      <c r="R1210" s="4"/>
      <c r="S1210" s="13" t="n">
        <v>0</v>
      </c>
      <c r="T1210" s="4" t="s">
        <v>173</v>
      </c>
      <c r="U1210" s="14" t="n">
        <f aca="false">IF(OR($S1210="",PARAMETROS!$B$4=""),"",$S1210*PARAMETROS!$B$4)</f>
        <v>0</v>
      </c>
      <c r="V1210" s="13" t="n">
        <v>0</v>
      </c>
      <c r="W1210" s="4"/>
      <c r="X1210" s="4"/>
      <c r="Y1210" s="4"/>
      <c r="Z1210" s="4"/>
      <c r="AA1210" s="4"/>
      <c r="AB1210" s="4"/>
      <c r="AC1210" s="4"/>
      <c r="AD1210" s="4"/>
      <c r="AE1210" s="4"/>
      <c r="AF1210" s="4"/>
      <c r="AG1210" s="4"/>
      <c r="AH1210" s="4"/>
      <c r="AI1210" s="4"/>
      <c r="AJ1210" s="4"/>
      <c r="AK1210" s="4"/>
      <c r="AL1210" s="4" t="s">
        <v>174</v>
      </c>
      <c r="AM1210" s="4" t="s">
        <v>205</v>
      </c>
    </row>
    <row r="1211" customFormat="false" ht="23.85" hidden="false" customHeight="false" outlineLevel="0" collapsed="false">
      <c r="A1211" s="4" t="s">
        <v>167</v>
      </c>
      <c r="B1211" s="4" t="s">
        <v>1388</v>
      </c>
      <c r="C1211" s="4" t="s">
        <v>1388</v>
      </c>
      <c r="D1211" s="12" t="n">
        <v>2022</v>
      </c>
      <c r="E1211" s="4"/>
      <c r="F1211" s="4" t="s">
        <v>169</v>
      </c>
      <c r="G1211" s="4" t="s">
        <v>170</v>
      </c>
      <c r="H1211" s="4" t="s">
        <v>171</v>
      </c>
      <c r="I1211" s="4" t="s">
        <v>172</v>
      </c>
      <c r="J1211" s="4" t="s">
        <v>1388</v>
      </c>
      <c r="K1211" s="4" t="s">
        <v>107</v>
      </c>
      <c r="L1211" s="4" t="s">
        <v>108</v>
      </c>
      <c r="M1211" s="4"/>
      <c r="N1211" s="4"/>
      <c r="O1211" s="4"/>
      <c r="P1211" s="4"/>
      <c r="Q1211" s="4"/>
      <c r="R1211" s="4"/>
      <c r="S1211" s="13" t="n">
        <v>0</v>
      </c>
      <c r="T1211" s="4" t="s">
        <v>173</v>
      </c>
      <c r="U1211" s="14" t="n">
        <f aca="false">IF(OR($S1211="",PARAMETROS!$B$4=""),"",$S1211*PARAMETROS!$B$4)</f>
        <v>0</v>
      </c>
      <c r="V1211" s="13" t="n">
        <v>0</v>
      </c>
      <c r="W1211" s="4"/>
      <c r="X1211" s="4"/>
      <c r="Y1211" s="4"/>
      <c r="Z1211" s="4"/>
      <c r="AA1211" s="4"/>
      <c r="AB1211" s="4"/>
      <c r="AC1211" s="4"/>
      <c r="AD1211" s="4"/>
      <c r="AE1211" s="4"/>
      <c r="AF1211" s="4"/>
      <c r="AG1211" s="4"/>
      <c r="AH1211" s="4"/>
      <c r="AI1211" s="4"/>
      <c r="AJ1211" s="4"/>
      <c r="AK1211" s="4"/>
      <c r="AL1211" s="4" t="s">
        <v>174</v>
      </c>
      <c r="AM1211" s="4" t="s">
        <v>205</v>
      </c>
    </row>
    <row r="1212" customFormat="false" ht="23.85" hidden="false" customHeight="false" outlineLevel="0" collapsed="false">
      <c r="A1212" s="4" t="s">
        <v>167</v>
      </c>
      <c r="B1212" s="4" t="s">
        <v>1389</v>
      </c>
      <c r="C1212" s="4" t="s">
        <v>1389</v>
      </c>
      <c r="D1212" s="12" t="n">
        <v>2022</v>
      </c>
      <c r="E1212" s="4"/>
      <c r="F1212" s="4" t="s">
        <v>169</v>
      </c>
      <c r="G1212" s="4" t="s">
        <v>170</v>
      </c>
      <c r="H1212" s="4" t="s">
        <v>171</v>
      </c>
      <c r="I1212" s="4" t="s">
        <v>172</v>
      </c>
      <c r="J1212" s="4" t="s">
        <v>1389</v>
      </c>
      <c r="K1212" s="4" t="s">
        <v>107</v>
      </c>
      <c r="L1212" s="4" t="s">
        <v>108</v>
      </c>
      <c r="M1212" s="4"/>
      <c r="N1212" s="4"/>
      <c r="O1212" s="4"/>
      <c r="P1212" s="4"/>
      <c r="Q1212" s="4"/>
      <c r="R1212" s="4"/>
      <c r="S1212" s="13" t="n">
        <v>0</v>
      </c>
      <c r="T1212" s="4" t="s">
        <v>173</v>
      </c>
      <c r="U1212" s="14" t="n">
        <f aca="false">IF(OR($S1212="",PARAMETROS!$B$4=""),"",$S1212*PARAMETROS!$B$4)</f>
        <v>0</v>
      </c>
      <c r="V1212" s="13" t="n">
        <v>0</v>
      </c>
      <c r="W1212" s="4"/>
      <c r="X1212" s="4"/>
      <c r="Y1212" s="4"/>
      <c r="Z1212" s="4"/>
      <c r="AA1212" s="4"/>
      <c r="AB1212" s="4"/>
      <c r="AC1212" s="4"/>
      <c r="AD1212" s="4"/>
      <c r="AE1212" s="4"/>
      <c r="AF1212" s="4"/>
      <c r="AG1212" s="4"/>
      <c r="AH1212" s="4"/>
      <c r="AI1212" s="4"/>
      <c r="AJ1212" s="4"/>
      <c r="AK1212" s="4"/>
      <c r="AL1212" s="4" t="s">
        <v>174</v>
      </c>
      <c r="AM1212" s="4" t="s">
        <v>205</v>
      </c>
    </row>
    <row r="1213" customFormat="false" ht="23.85" hidden="false" customHeight="false" outlineLevel="0" collapsed="false">
      <c r="A1213" s="4" t="s">
        <v>167</v>
      </c>
      <c r="B1213" s="4" t="s">
        <v>1390</v>
      </c>
      <c r="C1213" s="4" t="s">
        <v>1390</v>
      </c>
      <c r="D1213" s="12" t="n">
        <v>2022</v>
      </c>
      <c r="E1213" s="4"/>
      <c r="F1213" s="4" t="s">
        <v>169</v>
      </c>
      <c r="G1213" s="4" t="s">
        <v>170</v>
      </c>
      <c r="H1213" s="4" t="s">
        <v>171</v>
      </c>
      <c r="I1213" s="4" t="s">
        <v>172</v>
      </c>
      <c r="J1213" s="4" t="s">
        <v>1390</v>
      </c>
      <c r="K1213" s="4" t="s">
        <v>107</v>
      </c>
      <c r="L1213" s="4" t="s">
        <v>108</v>
      </c>
      <c r="M1213" s="4"/>
      <c r="N1213" s="4"/>
      <c r="O1213" s="4"/>
      <c r="P1213" s="4"/>
      <c r="Q1213" s="4"/>
      <c r="R1213" s="4"/>
      <c r="S1213" s="13" t="n">
        <v>0</v>
      </c>
      <c r="T1213" s="4" t="s">
        <v>173</v>
      </c>
      <c r="U1213" s="14" t="n">
        <f aca="false">IF(OR($S1213="",PARAMETROS!$B$4=""),"",$S1213*PARAMETROS!$B$4)</f>
        <v>0</v>
      </c>
      <c r="V1213" s="13" t="n">
        <v>0</v>
      </c>
      <c r="W1213" s="4"/>
      <c r="X1213" s="4"/>
      <c r="Y1213" s="4"/>
      <c r="Z1213" s="4"/>
      <c r="AA1213" s="4"/>
      <c r="AB1213" s="4"/>
      <c r="AC1213" s="4"/>
      <c r="AD1213" s="4"/>
      <c r="AE1213" s="4"/>
      <c r="AF1213" s="4"/>
      <c r="AG1213" s="4"/>
      <c r="AH1213" s="4"/>
      <c r="AI1213" s="4"/>
      <c r="AJ1213" s="4"/>
      <c r="AK1213" s="4"/>
      <c r="AL1213" s="4" t="s">
        <v>174</v>
      </c>
      <c r="AM1213" s="4" t="s">
        <v>205</v>
      </c>
    </row>
    <row r="1214" customFormat="false" ht="23.85" hidden="false" customHeight="false" outlineLevel="0" collapsed="false">
      <c r="A1214" s="4" t="s">
        <v>167</v>
      </c>
      <c r="B1214" s="4" t="s">
        <v>1391</v>
      </c>
      <c r="C1214" s="4" t="s">
        <v>1391</v>
      </c>
      <c r="D1214" s="12" t="n">
        <v>2022</v>
      </c>
      <c r="E1214" s="4"/>
      <c r="F1214" s="4" t="s">
        <v>169</v>
      </c>
      <c r="G1214" s="4" t="s">
        <v>170</v>
      </c>
      <c r="H1214" s="4" t="s">
        <v>171</v>
      </c>
      <c r="I1214" s="4" t="s">
        <v>172</v>
      </c>
      <c r="J1214" s="4" t="s">
        <v>1391</v>
      </c>
      <c r="K1214" s="4" t="s">
        <v>107</v>
      </c>
      <c r="L1214" s="4" t="s">
        <v>108</v>
      </c>
      <c r="M1214" s="4"/>
      <c r="N1214" s="4"/>
      <c r="O1214" s="4"/>
      <c r="P1214" s="4"/>
      <c r="Q1214" s="4"/>
      <c r="R1214" s="4"/>
      <c r="S1214" s="13" t="n">
        <v>772.14</v>
      </c>
      <c r="T1214" s="4" t="s">
        <v>173</v>
      </c>
      <c r="U1214" s="14" t="n">
        <f aca="false">IF(OR($S1214="",PARAMETROS!$B$4=""),"",$S1214*PARAMETROS!$B$4)</f>
        <v>4486.1334</v>
      </c>
      <c r="V1214" s="13" t="n">
        <v>0</v>
      </c>
      <c r="W1214" s="4"/>
      <c r="X1214" s="4"/>
      <c r="Y1214" s="4"/>
      <c r="Z1214" s="4"/>
      <c r="AA1214" s="4"/>
      <c r="AB1214" s="4"/>
      <c r="AC1214" s="4"/>
      <c r="AD1214" s="4"/>
      <c r="AE1214" s="4"/>
      <c r="AF1214" s="4"/>
      <c r="AG1214" s="4"/>
      <c r="AH1214" s="4"/>
      <c r="AI1214" s="4"/>
      <c r="AJ1214" s="4"/>
      <c r="AK1214" s="4"/>
      <c r="AL1214" s="4" t="s">
        <v>174</v>
      </c>
      <c r="AM1214" s="4" t="s">
        <v>205</v>
      </c>
    </row>
    <row r="1215" customFormat="false" ht="23.85" hidden="false" customHeight="false" outlineLevel="0" collapsed="false">
      <c r="A1215" s="4" t="s">
        <v>167</v>
      </c>
      <c r="B1215" s="4" t="s">
        <v>1392</v>
      </c>
      <c r="C1215" s="4" t="s">
        <v>1392</v>
      </c>
      <c r="D1215" s="12" t="n">
        <v>2022</v>
      </c>
      <c r="E1215" s="4"/>
      <c r="F1215" s="4" t="s">
        <v>169</v>
      </c>
      <c r="G1215" s="4" t="s">
        <v>170</v>
      </c>
      <c r="H1215" s="4" t="s">
        <v>171</v>
      </c>
      <c r="I1215" s="4" t="s">
        <v>172</v>
      </c>
      <c r="J1215" s="4" t="s">
        <v>1392</v>
      </c>
      <c r="K1215" s="4" t="s">
        <v>107</v>
      </c>
      <c r="L1215" s="4" t="s">
        <v>108</v>
      </c>
      <c r="M1215" s="4"/>
      <c r="N1215" s="4"/>
      <c r="O1215" s="4"/>
      <c r="P1215" s="4"/>
      <c r="Q1215" s="4"/>
      <c r="R1215" s="4"/>
      <c r="S1215" s="13" t="n">
        <v>0</v>
      </c>
      <c r="T1215" s="4" t="s">
        <v>173</v>
      </c>
      <c r="U1215" s="14" t="n">
        <f aca="false">IF(OR($S1215="",PARAMETROS!$B$4=""),"",$S1215*PARAMETROS!$B$4)</f>
        <v>0</v>
      </c>
      <c r="V1215" s="13" t="n">
        <v>0</v>
      </c>
      <c r="W1215" s="4"/>
      <c r="X1215" s="4"/>
      <c r="Y1215" s="4"/>
      <c r="Z1215" s="4"/>
      <c r="AA1215" s="4"/>
      <c r="AB1215" s="4"/>
      <c r="AC1215" s="4"/>
      <c r="AD1215" s="4"/>
      <c r="AE1215" s="4"/>
      <c r="AF1215" s="4"/>
      <c r="AG1215" s="4"/>
      <c r="AH1215" s="4"/>
      <c r="AI1215" s="4"/>
      <c r="AJ1215" s="4"/>
      <c r="AK1215" s="4"/>
      <c r="AL1215" s="4" t="s">
        <v>174</v>
      </c>
      <c r="AM1215" s="4" t="s">
        <v>205</v>
      </c>
    </row>
    <row r="1216" customFormat="false" ht="23.85" hidden="false" customHeight="false" outlineLevel="0" collapsed="false">
      <c r="A1216" s="4" t="s">
        <v>167</v>
      </c>
      <c r="B1216" s="4" t="s">
        <v>1393</v>
      </c>
      <c r="C1216" s="4" t="s">
        <v>1393</v>
      </c>
      <c r="D1216" s="12" t="n">
        <v>2022</v>
      </c>
      <c r="E1216" s="4"/>
      <c r="F1216" s="4" t="s">
        <v>169</v>
      </c>
      <c r="G1216" s="4" t="s">
        <v>170</v>
      </c>
      <c r="H1216" s="4" t="s">
        <v>171</v>
      </c>
      <c r="I1216" s="4" t="s">
        <v>172</v>
      </c>
      <c r="J1216" s="4" t="s">
        <v>1393</v>
      </c>
      <c r="K1216" s="4" t="s">
        <v>107</v>
      </c>
      <c r="L1216" s="4" t="s">
        <v>108</v>
      </c>
      <c r="M1216" s="4"/>
      <c r="N1216" s="4"/>
      <c r="O1216" s="4"/>
      <c r="P1216" s="4"/>
      <c r="Q1216" s="4"/>
      <c r="R1216" s="4"/>
      <c r="S1216" s="13" t="n">
        <v>0</v>
      </c>
      <c r="T1216" s="4" t="s">
        <v>173</v>
      </c>
      <c r="U1216" s="14" t="n">
        <f aca="false">IF(OR($S1216="",PARAMETROS!$B$4=""),"",$S1216*PARAMETROS!$B$4)</f>
        <v>0</v>
      </c>
      <c r="V1216" s="13" t="n">
        <v>0</v>
      </c>
      <c r="W1216" s="4"/>
      <c r="X1216" s="4"/>
      <c r="Y1216" s="4"/>
      <c r="Z1216" s="4"/>
      <c r="AA1216" s="4"/>
      <c r="AB1216" s="4"/>
      <c r="AC1216" s="4"/>
      <c r="AD1216" s="4"/>
      <c r="AE1216" s="4"/>
      <c r="AF1216" s="4"/>
      <c r="AG1216" s="4"/>
      <c r="AH1216" s="4"/>
      <c r="AI1216" s="4"/>
      <c r="AJ1216" s="4"/>
      <c r="AK1216" s="4"/>
      <c r="AL1216" s="4" t="s">
        <v>174</v>
      </c>
      <c r="AM1216" s="4" t="s">
        <v>205</v>
      </c>
    </row>
    <row r="1217" customFormat="false" ht="23.85" hidden="false" customHeight="false" outlineLevel="0" collapsed="false">
      <c r="A1217" s="4" t="s">
        <v>167</v>
      </c>
      <c r="B1217" s="4" t="s">
        <v>1394</v>
      </c>
      <c r="C1217" s="4" t="s">
        <v>1394</v>
      </c>
      <c r="D1217" s="12" t="n">
        <v>2022</v>
      </c>
      <c r="E1217" s="4"/>
      <c r="F1217" s="4" t="s">
        <v>169</v>
      </c>
      <c r="G1217" s="4" t="s">
        <v>170</v>
      </c>
      <c r="H1217" s="4" t="s">
        <v>171</v>
      </c>
      <c r="I1217" s="4" t="s">
        <v>172</v>
      </c>
      <c r="J1217" s="4" t="s">
        <v>1394</v>
      </c>
      <c r="K1217" s="4" t="s">
        <v>107</v>
      </c>
      <c r="L1217" s="4" t="s">
        <v>108</v>
      </c>
      <c r="M1217" s="4"/>
      <c r="N1217" s="4"/>
      <c r="O1217" s="4"/>
      <c r="P1217" s="4"/>
      <c r="Q1217" s="4"/>
      <c r="R1217" s="4"/>
      <c r="S1217" s="13" t="n">
        <v>0</v>
      </c>
      <c r="T1217" s="4" t="s">
        <v>173</v>
      </c>
      <c r="U1217" s="14" t="n">
        <f aca="false">IF(OR($S1217="",PARAMETROS!$B$4=""),"",$S1217*PARAMETROS!$B$4)</f>
        <v>0</v>
      </c>
      <c r="V1217" s="13" t="n">
        <v>0</v>
      </c>
      <c r="W1217" s="4"/>
      <c r="X1217" s="4"/>
      <c r="Y1217" s="4"/>
      <c r="Z1217" s="4"/>
      <c r="AA1217" s="4"/>
      <c r="AB1217" s="4"/>
      <c r="AC1217" s="4"/>
      <c r="AD1217" s="4"/>
      <c r="AE1217" s="4"/>
      <c r="AF1217" s="4"/>
      <c r="AG1217" s="4"/>
      <c r="AH1217" s="4"/>
      <c r="AI1217" s="4"/>
      <c r="AJ1217" s="4"/>
      <c r="AK1217" s="4"/>
      <c r="AL1217" s="4" t="s">
        <v>174</v>
      </c>
      <c r="AM1217" s="4" t="s">
        <v>205</v>
      </c>
    </row>
    <row r="1218" customFormat="false" ht="23.85" hidden="false" customHeight="false" outlineLevel="0" collapsed="false">
      <c r="A1218" s="4" t="s">
        <v>167</v>
      </c>
      <c r="B1218" s="4" t="s">
        <v>1395</v>
      </c>
      <c r="C1218" s="4" t="s">
        <v>1395</v>
      </c>
      <c r="D1218" s="12" t="n">
        <v>2022</v>
      </c>
      <c r="E1218" s="4"/>
      <c r="F1218" s="4" t="s">
        <v>169</v>
      </c>
      <c r="G1218" s="4" t="s">
        <v>170</v>
      </c>
      <c r="H1218" s="4" t="s">
        <v>171</v>
      </c>
      <c r="I1218" s="4" t="s">
        <v>172</v>
      </c>
      <c r="J1218" s="4" t="s">
        <v>1395</v>
      </c>
      <c r="K1218" s="4" t="s">
        <v>107</v>
      </c>
      <c r="L1218" s="4" t="s">
        <v>108</v>
      </c>
      <c r="M1218" s="4"/>
      <c r="N1218" s="4"/>
      <c r="O1218" s="4"/>
      <c r="P1218" s="4"/>
      <c r="Q1218" s="4"/>
      <c r="R1218" s="4"/>
      <c r="S1218" s="13" t="n">
        <v>0</v>
      </c>
      <c r="T1218" s="4" t="s">
        <v>173</v>
      </c>
      <c r="U1218" s="14" t="n">
        <f aca="false">IF(OR($S1218="",PARAMETROS!$B$4=""),"",$S1218*PARAMETROS!$B$4)</f>
        <v>0</v>
      </c>
      <c r="V1218" s="13" t="n">
        <v>0</v>
      </c>
      <c r="W1218" s="4"/>
      <c r="X1218" s="4"/>
      <c r="Y1218" s="4"/>
      <c r="Z1218" s="4"/>
      <c r="AA1218" s="4"/>
      <c r="AB1218" s="4"/>
      <c r="AC1218" s="4"/>
      <c r="AD1218" s="4"/>
      <c r="AE1218" s="4"/>
      <c r="AF1218" s="4"/>
      <c r="AG1218" s="4"/>
      <c r="AH1218" s="4"/>
      <c r="AI1218" s="4"/>
      <c r="AJ1218" s="4"/>
      <c r="AK1218" s="4"/>
      <c r="AL1218" s="4" t="s">
        <v>174</v>
      </c>
      <c r="AM1218" s="4" t="s">
        <v>205</v>
      </c>
    </row>
    <row r="1219" customFormat="false" ht="23.85" hidden="false" customHeight="false" outlineLevel="0" collapsed="false">
      <c r="A1219" s="4" t="s">
        <v>167</v>
      </c>
      <c r="B1219" s="4" t="s">
        <v>1396</v>
      </c>
      <c r="C1219" s="4" t="s">
        <v>1396</v>
      </c>
      <c r="D1219" s="12" t="n">
        <v>2022</v>
      </c>
      <c r="E1219" s="4"/>
      <c r="F1219" s="4" t="s">
        <v>169</v>
      </c>
      <c r="G1219" s="4" t="s">
        <v>170</v>
      </c>
      <c r="H1219" s="4" t="s">
        <v>171</v>
      </c>
      <c r="I1219" s="4" t="s">
        <v>172</v>
      </c>
      <c r="J1219" s="4" t="s">
        <v>1396</v>
      </c>
      <c r="K1219" s="4" t="s">
        <v>107</v>
      </c>
      <c r="L1219" s="4" t="s">
        <v>108</v>
      </c>
      <c r="M1219" s="4"/>
      <c r="N1219" s="4"/>
      <c r="O1219" s="4"/>
      <c r="P1219" s="4"/>
      <c r="Q1219" s="4"/>
      <c r="R1219" s="4"/>
      <c r="S1219" s="13" t="n">
        <v>0</v>
      </c>
      <c r="T1219" s="4" t="s">
        <v>173</v>
      </c>
      <c r="U1219" s="14" t="n">
        <f aca="false">IF(OR($S1219="",PARAMETROS!$B$4=""),"",$S1219*PARAMETROS!$B$4)</f>
        <v>0</v>
      </c>
      <c r="V1219" s="13" t="n">
        <v>0</v>
      </c>
      <c r="W1219" s="4"/>
      <c r="X1219" s="4"/>
      <c r="Y1219" s="4"/>
      <c r="Z1219" s="4"/>
      <c r="AA1219" s="4"/>
      <c r="AB1219" s="4"/>
      <c r="AC1219" s="4"/>
      <c r="AD1219" s="4"/>
      <c r="AE1219" s="4"/>
      <c r="AF1219" s="4"/>
      <c r="AG1219" s="4"/>
      <c r="AH1219" s="4"/>
      <c r="AI1219" s="4"/>
      <c r="AJ1219" s="4"/>
      <c r="AK1219" s="4"/>
      <c r="AL1219" s="4" t="s">
        <v>174</v>
      </c>
      <c r="AM1219" s="4" t="s">
        <v>205</v>
      </c>
    </row>
    <row r="1220" customFormat="false" ht="23.85" hidden="false" customHeight="false" outlineLevel="0" collapsed="false">
      <c r="A1220" s="4" t="s">
        <v>167</v>
      </c>
      <c r="B1220" s="4" t="s">
        <v>1397</v>
      </c>
      <c r="C1220" s="4" t="s">
        <v>1397</v>
      </c>
      <c r="D1220" s="12" t="n">
        <v>2022</v>
      </c>
      <c r="E1220" s="4"/>
      <c r="F1220" s="4" t="s">
        <v>169</v>
      </c>
      <c r="G1220" s="4" t="s">
        <v>170</v>
      </c>
      <c r="H1220" s="4" t="s">
        <v>171</v>
      </c>
      <c r="I1220" s="4" t="s">
        <v>172</v>
      </c>
      <c r="J1220" s="4" t="s">
        <v>1397</v>
      </c>
      <c r="K1220" s="4" t="s">
        <v>111</v>
      </c>
      <c r="L1220" s="4" t="s">
        <v>112</v>
      </c>
      <c r="M1220" s="4"/>
      <c r="N1220" s="4"/>
      <c r="O1220" s="4"/>
      <c r="P1220" s="4"/>
      <c r="Q1220" s="4"/>
      <c r="R1220" s="4"/>
      <c r="S1220" s="13" t="n">
        <v>0</v>
      </c>
      <c r="T1220" s="4" t="s">
        <v>173</v>
      </c>
      <c r="U1220" s="14" t="n">
        <f aca="false">IF(OR($S1220="",PARAMETROS!$B$4=""),"",$S1220*PARAMETROS!$B$4)</f>
        <v>0</v>
      </c>
      <c r="V1220" s="13" t="n">
        <v>0</v>
      </c>
      <c r="W1220" s="4"/>
      <c r="X1220" s="4"/>
      <c r="Y1220" s="4"/>
      <c r="Z1220" s="4"/>
      <c r="AA1220" s="4"/>
      <c r="AB1220" s="4"/>
      <c r="AC1220" s="4"/>
      <c r="AD1220" s="4"/>
      <c r="AE1220" s="4"/>
      <c r="AF1220" s="4"/>
      <c r="AG1220" s="4"/>
      <c r="AH1220" s="4"/>
      <c r="AI1220" s="4"/>
      <c r="AJ1220" s="4"/>
      <c r="AK1220" s="4"/>
      <c r="AL1220" s="4" t="s">
        <v>174</v>
      </c>
      <c r="AM1220" s="4" t="s">
        <v>190</v>
      </c>
    </row>
    <row r="1221" customFormat="false" ht="23.85" hidden="false" customHeight="false" outlineLevel="0" collapsed="false">
      <c r="A1221" s="4" t="s">
        <v>167</v>
      </c>
      <c r="B1221" s="4" t="s">
        <v>1398</v>
      </c>
      <c r="C1221" s="4" t="s">
        <v>1398</v>
      </c>
      <c r="D1221" s="12" t="n">
        <v>2022</v>
      </c>
      <c r="E1221" s="4"/>
      <c r="F1221" s="4" t="s">
        <v>169</v>
      </c>
      <c r="G1221" s="4" t="s">
        <v>170</v>
      </c>
      <c r="H1221" s="4" t="s">
        <v>171</v>
      </c>
      <c r="I1221" s="4" t="s">
        <v>172</v>
      </c>
      <c r="J1221" s="4" t="s">
        <v>1398</v>
      </c>
      <c r="K1221" s="4" t="s">
        <v>111</v>
      </c>
      <c r="L1221" s="4" t="s">
        <v>112</v>
      </c>
      <c r="M1221" s="4"/>
      <c r="N1221" s="4"/>
      <c r="O1221" s="4"/>
      <c r="P1221" s="4"/>
      <c r="Q1221" s="4"/>
      <c r="R1221" s="4"/>
      <c r="S1221" s="13" t="n">
        <v>69.63</v>
      </c>
      <c r="T1221" s="4" t="s">
        <v>173</v>
      </c>
      <c r="U1221" s="14" t="n">
        <f aca="false">IF(OR($S1221="",PARAMETROS!$B$4=""),"",$S1221*PARAMETROS!$B$4)</f>
        <v>404.5503</v>
      </c>
      <c r="V1221" s="13" t="n">
        <v>0</v>
      </c>
      <c r="W1221" s="4"/>
      <c r="X1221" s="4"/>
      <c r="Y1221" s="4"/>
      <c r="Z1221" s="4"/>
      <c r="AA1221" s="4"/>
      <c r="AB1221" s="4"/>
      <c r="AC1221" s="4"/>
      <c r="AD1221" s="4"/>
      <c r="AE1221" s="4"/>
      <c r="AF1221" s="4"/>
      <c r="AG1221" s="4"/>
      <c r="AH1221" s="4"/>
      <c r="AI1221" s="4"/>
      <c r="AJ1221" s="4"/>
      <c r="AK1221" s="4"/>
      <c r="AL1221" s="4" t="s">
        <v>174</v>
      </c>
      <c r="AM1221" s="4" t="s">
        <v>190</v>
      </c>
    </row>
    <row r="1222" customFormat="false" ht="23.85" hidden="false" customHeight="false" outlineLevel="0" collapsed="false">
      <c r="A1222" s="4" t="s">
        <v>167</v>
      </c>
      <c r="B1222" s="4" t="s">
        <v>1399</v>
      </c>
      <c r="C1222" s="4" t="s">
        <v>1399</v>
      </c>
      <c r="D1222" s="12" t="n">
        <v>2022</v>
      </c>
      <c r="E1222" s="4"/>
      <c r="F1222" s="4" t="s">
        <v>169</v>
      </c>
      <c r="G1222" s="4" t="s">
        <v>170</v>
      </c>
      <c r="H1222" s="4" t="s">
        <v>171</v>
      </c>
      <c r="I1222" s="4" t="s">
        <v>172</v>
      </c>
      <c r="J1222" s="4" t="s">
        <v>1399</v>
      </c>
      <c r="K1222" s="4" t="s">
        <v>111</v>
      </c>
      <c r="L1222" s="4" t="s">
        <v>112</v>
      </c>
      <c r="M1222" s="4"/>
      <c r="N1222" s="4"/>
      <c r="O1222" s="4"/>
      <c r="P1222" s="4"/>
      <c r="Q1222" s="4"/>
      <c r="R1222" s="4"/>
      <c r="S1222" s="13" t="n">
        <v>496.52</v>
      </c>
      <c r="T1222" s="4" t="s">
        <v>173</v>
      </c>
      <c r="U1222" s="14" t="n">
        <f aca="false">IF(OR($S1222="",PARAMETROS!$B$4=""),"",$S1222*PARAMETROS!$B$4)</f>
        <v>2884.7812</v>
      </c>
      <c r="V1222" s="13" t="n">
        <v>0</v>
      </c>
      <c r="W1222" s="4"/>
      <c r="X1222" s="4"/>
      <c r="Y1222" s="4"/>
      <c r="Z1222" s="4"/>
      <c r="AA1222" s="4"/>
      <c r="AB1222" s="4"/>
      <c r="AC1222" s="4"/>
      <c r="AD1222" s="4"/>
      <c r="AE1222" s="4"/>
      <c r="AF1222" s="4"/>
      <c r="AG1222" s="4"/>
      <c r="AH1222" s="4"/>
      <c r="AI1222" s="4"/>
      <c r="AJ1222" s="4"/>
      <c r="AK1222" s="4"/>
      <c r="AL1222" s="4" t="s">
        <v>174</v>
      </c>
      <c r="AM1222" s="4" t="s">
        <v>190</v>
      </c>
    </row>
    <row r="1223" customFormat="false" ht="23.85" hidden="false" customHeight="false" outlineLevel="0" collapsed="false">
      <c r="A1223" s="4" t="s">
        <v>167</v>
      </c>
      <c r="B1223" s="4" t="s">
        <v>1400</v>
      </c>
      <c r="C1223" s="4" t="s">
        <v>1400</v>
      </c>
      <c r="D1223" s="12" t="n">
        <v>2022</v>
      </c>
      <c r="E1223" s="4"/>
      <c r="F1223" s="4" t="s">
        <v>169</v>
      </c>
      <c r="G1223" s="4" t="s">
        <v>170</v>
      </c>
      <c r="H1223" s="4" t="s">
        <v>171</v>
      </c>
      <c r="I1223" s="4" t="s">
        <v>172</v>
      </c>
      <c r="J1223" s="4" t="s">
        <v>1400</v>
      </c>
      <c r="K1223" s="4" t="s">
        <v>111</v>
      </c>
      <c r="L1223" s="4" t="s">
        <v>112</v>
      </c>
      <c r="M1223" s="4"/>
      <c r="N1223" s="4"/>
      <c r="O1223" s="4"/>
      <c r="P1223" s="4"/>
      <c r="Q1223" s="4"/>
      <c r="R1223" s="4"/>
      <c r="S1223" s="13" t="n">
        <v>24.68</v>
      </c>
      <c r="T1223" s="4" t="s">
        <v>173</v>
      </c>
      <c r="U1223" s="14" t="n">
        <f aca="false">IF(OR($S1223="",PARAMETROS!$B$4=""),"",$S1223*PARAMETROS!$B$4)</f>
        <v>143.3908</v>
      </c>
      <c r="V1223" s="13" t="n">
        <v>0</v>
      </c>
      <c r="W1223" s="4"/>
      <c r="X1223" s="4"/>
      <c r="Y1223" s="4"/>
      <c r="Z1223" s="4"/>
      <c r="AA1223" s="4"/>
      <c r="AB1223" s="4"/>
      <c r="AC1223" s="4"/>
      <c r="AD1223" s="4"/>
      <c r="AE1223" s="4"/>
      <c r="AF1223" s="4"/>
      <c r="AG1223" s="4"/>
      <c r="AH1223" s="4"/>
      <c r="AI1223" s="4"/>
      <c r="AJ1223" s="4"/>
      <c r="AK1223" s="4"/>
      <c r="AL1223" s="4" t="s">
        <v>174</v>
      </c>
      <c r="AM1223" s="4" t="s">
        <v>190</v>
      </c>
    </row>
    <row r="1224" customFormat="false" ht="23.85" hidden="false" customHeight="false" outlineLevel="0" collapsed="false">
      <c r="A1224" s="4" t="s">
        <v>167</v>
      </c>
      <c r="B1224" s="4" t="s">
        <v>1401</v>
      </c>
      <c r="C1224" s="4" t="s">
        <v>1401</v>
      </c>
      <c r="D1224" s="12" t="n">
        <v>2022</v>
      </c>
      <c r="E1224" s="4"/>
      <c r="F1224" s="4" t="s">
        <v>169</v>
      </c>
      <c r="G1224" s="4" t="s">
        <v>170</v>
      </c>
      <c r="H1224" s="4" t="s">
        <v>171</v>
      </c>
      <c r="I1224" s="4" t="s">
        <v>172</v>
      </c>
      <c r="J1224" s="4" t="s">
        <v>1401</v>
      </c>
      <c r="K1224" s="4" t="s">
        <v>111</v>
      </c>
      <c r="L1224" s="4" t="s">
        <v>112</v>
      </c>
      <c r="M1224" s="4"/>
      <c r="N1224" s="4"/>
      <c r="O1224" s="4"/>
      <c r="P1224" s="4"/>
      <c r="Q1224" s="4"/>
      <c r="R1224" s="4"/>
      <c r="S1224" s="13" t="n">
        <v>822.34</v>
      </c>
      <c r="T1224" s="4" t="s">
        <v>173</v>
      </c>
      <c r="U1224" s="14" t="n">
        <f aca="false">IF(OR($S1224="",PARAMETROS!$B$4=""),"",$S1224*PARAMETROS!$B$4)</f>
        <v>4777.7954</v>
      </c>
      <c r="V1224" s="13" t="n">
        <v>0</v>
      </c>
      <c r="W1224" s="4"/>
      <c r="X1224" s="4"/>
      <c r="Y1224" s="4"/>
      <c r="Z1224" s="4"/>
      <c r="AA1224" s="4"/>
      <c r="AB1224" s="4"/>
      <c r="AC1224" s="4"/>
      <c r="AD1224" s="4"/>
      <c r="AE1224" s="4"/>
      <c r="AF1224" s="4"/>
      <c r="AG1224" s="4"/>
      <c r="AH1224" s="4"/>
      <c r="AI1224" s="4"/>
      <c r="AJ1224" s="4"/>
      <c r="AK1224" s="4"/>
      <c r="AL1224" s="4" t="s">
        <v>174</v>
      </c>
      <c r="AM1224" s="4" t="s">
        <v>190</v>
      </c>
    </row>
    <row r="1225" customFormat="false" ht="23.85" hidden="false" customHeight="false" outlineLevel="0" collapsed="false">
      <c r="A1225" s="4" t="s">
        <v>167</v>
      </c>
      <c r="B1225" s="4" t="s">
        <v>1402</v>
      </c>
      <c r="C1225" s="4" t="s">
        <v>1402</v>
      </c>
      <c r="D1225" s="12" t="n">
        <v>2022</v>
      </c>
      <c r="E1225" s="4"/>
      <c r="F1225" s="4" t="s">
        <v>169</v>
      </c>
      <c r="G1225" s="4" t="s">
        <v>170</v>
      </c>
      <c r="H1225" s="4" t="s">
        <v>171</v>
      </c>
      <c r="I1225" s="4" t="s">
        <v>172</v>
      </c>
      <c r="J1225" s="4" t="s">
        <v>1402</v>
      </c>
      <c r="K1225" s="4" t="s">
        <v>111</v>
      </c>
      <c r="L1225" s="4" t="s">
        <v>112</v>
      </c>
      <c r="M1225" s="4"/>
      <c r="N1225" s="4"/>
      <c r="O1225" s="4"/>
      <c r="P1225" s="4"/>
      <c r="Q1225" s="4"/>
      <c r="R1225" s="4"/>
      <c r="S1225" s="13" t="n">
        <v>0</v>
      </c>
      <c r="T1225" s="4" t="s">
        <v>173</v>
      </c>
      <c r="U1225" s="14" t="n">
        <f aca="false">IF(OR($S1225="",PARAMETROS!$B$4=""),"",$S1225*PARAMETROS!$B$4)</f>
        <v>0</v>
      </c>
      <c r="V1225" s="13" t="n">
        <v>0</v>
      </c>
      <c r="W1225" s="4"/>
      <c r="X1225" s="4"/>
      <c r="Y1225" s="4"/>
      <c r="Z1225" s="4"/>
      <c r="AA1225" s="4"/>
      <c r="AB1225" s="4"/>
      <c r="AC1225" s="4"/>
      <c r="AD1225" s="4"/>
      <c r="AE1225" s="4"/>
      <c r="AF1225" s="4"/>
      <c r="AG1225" s="4"/>
      <c r="AH1225" s="4"/>
      <c r="AI1225" s="4"/>
      <c r="AJ1225" s="4"/>
      <c r="AK1225" s="4"/>
      <c r="AL1225" s="4" t="s">
        <v>174</v>
      </c>
      <c r="AM1225" s="4" t="s">
        <v>190</v>
      </c>
    </row>
    <row r="1226" customFormat="false" ht="23.85" hidden="false" customHeight="false" outlineLevel="0" collapsed="false">
      <c r="A1226" s="4" t="s">
        <v>167</v>
      </c>
      <c r="B1226" s="4" t="s">
        <v>1403</v>
      </c>
      <c r="C1226" s="4" t="s">
        <v>1403</v>
      </c>
      <c r="D1226" s="12" t="n">
        <v>2022</v>
      </c>
      <c r="E1226" s="4"/>
      <c r="F1226" s="4" t="s">
        <v>169</v>
      </c>
      <c r="G1226" s="4" t="s">
        <v>170</v>
      </c>
      <c r="H1226" s="4" t="s">
        <v>171</v>
      </c>
      <c r="I1226" s="4" t="s">
        <v>172</v>
      </c>
      <c r="J1226" s="4" t="s">
        <v>1403</v>
      </c>
      <c r="K1226" s="4" t="s">
        <v>111</v>
      </c>
      <c r="L1226" s="4" t="s">
        <v>112</v>
      </c>
      <c r="M1226" s="4"/>
      <c r="N1226" s="4"/>
      <c r="O1226" s="4"/>
      <c r="P1226" s="4"/>
      <c r="Q1226" s="4"/>
      <c r="R1226" s="4"/>
      <c r="S1226" s="13" t="n">
        <v>0</v>
      </c>
      <c r="T1226" s="4" t="s">
        <v>173</v>
      </c>
      <c r="U1226" s="14" t="n">
        <f aca="false">IF(OR($S1226="",PARAMETROS!$B$4=""),"",$S1226*PARAMETROS!$B$4)</f>
        <v>0</v>
      </c>
      <c r="V1226" s="13" t="n">
        <v>0</v>
      </c>
      <c r="W1226" s="4"/>
      <c r="X1226" s="4"/>
      <c r="Y1226" s="4"/>
      <c r="Z1226" s="4"/>
      <c r="AA1226" s="4"/>
      <c r="AB1226" s="4"/>
      <c r="AC1226" s="4"/>
      <c r="AD1226" s="4"/>
      <c r="AE1226" s="4"/>
      <c r="AF1226" s="4"/>
      <c r="AG1226" s="4"/>
      <c r="AH1226" s="4"/>
      <c r="AI1226" s="4"/>
      <c r="AJ1226" s="4"/>
      <c r="AK1226" s="4"/>
      <c r="AL1226" s="4" t="s">
        <v>174</v>
      </c>
      <c r="AM1226" s="4" t="s">
        <v>190</v>
      </c>
    </row>
    <row r="1227" customFormat="false" ht="23.85" hidden="false" customHeight="false" outlineLevel="0" collapsed="false">
      <c r="A1227" s="4" t="s">
        <v>167</v>
      </c>
      <c r="B1227" s="4" t="s">
        <v>1404</v>
      </c>
      <c r="C1227" s="4" t="s">
        <v>1404</v>
      </c>
      <c r="D1227" s="12" t="n">
        <v>2022</v>
      </c>
      <c r="E1227" s="4"/>
      <c r="F1227" s="4" t="s">
        <v>169</v>
      </c>
      <c r="G1227" s="4" t="s">
        <v>170</v>
      </c>
      <c r="H1227" s="4" t="s">
        <v>171</v>
      </c>
      <c r="I1227" s="4" t="s">
        <v>172</v>
      </c>
      <c r="J1227" s="4" t="s">
        <v>1404</v>
      </c>
      <c r="K1227" s="4" t="s">
        <v>111</v>
      </c>
      <c r="L1227" s="4" t="s">
        <v>112</v>
      </c>
      <c r="M1227" s="4"/>
      <c r="N1227" s="4"/>
      <c r="O1227" s="4"/>
      <c r="P1227" s="4"/>
      <c r="Q1227" s="4"/>
      <c r="R1227" s="4"/>
      <c r="S1227" s="13" t="n">
        <v>0</v>
      </c>
      <c r="T1227" s="4" t="s">
        <v>173</v>
      </c>
      <c r="U1227" s="14" t="n">
        <f aca="false">IF(OR($S1227="",PARAMETROS!$B$4=""),"",$S1227*PARAMETROS!$B$4)</f>
        <v>0</v>
      </c>
      <c r="V1227" s="13" t="n">
        <v>0</v>
      </c>
      <c r="W1227" s="4"/>
      <c r="X1227" s="4"/>
      <c r="Y1227" s="4"/>
      <c r="Z1227" s="4"/>
      <c r="AA1227" s="4"/>
      <c r="AB1227" s="4"/>
      <c r="AC1227" s="4"/>
      <c r="AD1227" s="4"/>
      <c r="AE1227" s="4"/>
      <c r="AF1227" s="4"/>
      <c r="AG1227" s="4"/>
      <c r="AH1227" s="4"/>
      <c r="AI1227" s="4"/>
      <c r="AJ1227" s="4"/>
      <c r="AK1227" s="4"/>
      <c r="AL1227" s="4" t="s">
        <v>174</v>
      </c>
      <c r="AM1227" s="4" t="s">
        <v>190</v>
      </c>
    </row>
    <row r="1228" customFormat="false" ht="23.85" hidden="false" customHeight="false" outlineLevel="0" collapsed="false">
      <c r="A1228" s="4" t="s">
        <v>167</v>
      </c>
      <c r="B1228" s="4" t="s">
        <v>1405</v>
      </c>
      <c r="C1228" s="4" t="s">
        <v>1405</v>
      </c>
      <c r="D1228" s="12" t="n">
        <v>2022</v>
      </c>
      <c r="E1228" s="4"/>
      <c r="F1228" s="4" t="s">
        <v>169</v>
      </c>
      <c r="G1228" s="4" t="s">
        <v>170</v>
      </c>
      <c r="H1228" s="4" t="s">
        <v>171</v>
      </c>
      <c r="I1228" s="4" t="s">
        <v>172</v>
      </c>
      <c r="J1228" s="4" t="s">
        <v>1405</v>
      </c>
      <c r="K1228" s="4" t="s">
        <v>111</v>
      </c>
      <c r="L1228" s="4" t="s">
        <v>112</v>
      </c>
      <c r="M1228" s="4"/>
      <c r="N1228" s="4"/>
      <c r="O1228" s="4"/>
      <c r="P1228" s="4"/>
      <c r="Q1228" s="4"/>
      <c r="R1228" s="4"/>
      <c r="S1228" s="13" t="n">
        <v>0</v>
      </c>
      <c r="T1228" s="4" t="s">
        <v>173</v>
      </c>
      <c r="U1228" s="14" t="n">
        <f aca="false">IF(OR($S1228="",PARAMETROS!$B$4=""),"",$S1228*PARAMETROS!$B$4)</f>
        <v>0</v>
      </c>
      <c r="V1228" s="13" t="n">
        <v>0</v>
      </c>
      <c r="W1228" s="4"/>
      <c r="X1228" s="4"/>
      <c r="Y1228" s="4"/>
      <c r="Z1228" s="4"/>
      <c r="AA1228" s="4"/>
      <c r="AB1228" s="4"/>
      <c r="AC1228" s="4"/>
      <c r="AD1228" s="4"/>
      <c r="AE1228" s="4"/>
      <c r="AF1228" s="4"/>
      <c r="AG1228" s="4"/>
      <c r="AH1228" s="4"/>
      <c r="AI1228" s="4"/>
      <c r="AJ1228" s="4"/>
      <c r="AK1228" s="4"/>
      <c r="AL1228" s="4" t="s">
        <v>174</v>
      </c>
      <c r="AM1228" s="4" t="s">
        <v>190</v>
      </c>
    </row>
    <row r="1229" customFormat="false" ht="23.85" hidden="false" customHeight="false" outlineLevel="0" collapsed="false">
      <c r="A1229" s="4" t="s">
        <v>167</v>
      </c>
      <c r="B1229" s="4" t="s">
        <v>1406</v>
      </c>
      <c r="C1229" s="4" t="s">
        <v>1406</v>
      </c>
      <c r="D1229" s="12" t="n">
        <v>2022</v>
      </c>
      <c r="E1229" s="4"/>
      <c r="F1229" s="4" t="s">
        <v>169</v>
      </c>
      <c r="G1229" s="4" t="s">
        <v>170</v>
      </c>
      <c r="H1229" s="4" t="s">
        <v>171</v>
      </c>
      <c r="I1229" s="4" t="s">
        <v>172</v>
      </c>
      <c r="J1229" s="4" t="s">
        <v>1406</v>
      </c>
      <c r="K1229" s="4" t="s">
        <v>111</v>
      </c>
      <c r="L1229" s="4" t="s">
        <v>112</v>
      </c>
      <c r="M1229" s="4"/>
      <c r="N1229" s="4"/>
      <c r="O1229" s="4"/>
      <c r="P1229" s="4"/>
      <c r="Q1229" s="4"/>
      <c r="R1229" s="4"/>
      <c r="S1229" s="13" t="n">
        <v>0</v>
      </c>
      <c r="T1229" s="4" t="s">
        <v>173</v>
      </c>
      <c r="U1229" s="14" t="n">
        <f aca="false">IF(OR($S1229="",PARAMETROS!$B$4=""),"",$S1229*PARAMETROS!$B$4)</f>
        <v>0</v>
      </c>
      <c r="V1229" s="13" t="n">
        <v>0</v>
      </c>
      <c r="W1229" s="4"/>
      <c r="X1229" s="4"/>
      <c r="Y1229" s="4"/>
      <c r="Z1229" s="4"/>
      <c r="AA1229" s="4"/>
      <c r="AB1229" s="4"/>
      <c r="AC1229" s="4"/>
      <c r="AD1229" s="4"/>
      <c r="AE1229" s="4"/>
      <c r="AF1229" s="4"/>
      <c r="AG1229" s="4"/>
      <c r="AH1229" s="4"/>
      <c r="AI1229" s="4"/>
      <c r="AJ1229" s="4"/>
      <c r="AK1229" s="4"/>
      <c r="AL1229" s="4" t="s">
        <v>174</v>
      </c>
      <c r="AM1229" s="4" t="s">
        <v>190</v>
      </c>
    </row>
    <row r="1230" customFormat="false" ht="23.85" hidden="false" customHeight="false" outlineLevel="0" collapsed="false">
      <c r="A1230" s="4" t="s">
        <v>167</v>
      </c>
      <c r="B1230" s="4" t="s">
        <v>1407</v>
      </c>
      <c r="C1230" s="4" t="s">
        <v>1407</v>
      </c>
      <c r="D1230" s="12" t="n">
        <v>2022</v>
      </c>
      <c r="E1230" s="4"/>
      <c r="F1230" s="4" t="s">
        <v>169</v>
      </c>
      <c r="G1230" s="4" t="s">
        <v>170</v>
      </c>
      <c r="H1230" s="4" t="s">
        <v>171</v>
      </c>
      <c r="I1230" s="4" t="s">
        <v>172</v>
      </c>
      <c r="J1230" s="4" t="s">
        <v>1407</v>
      </c>
      <c r="K1230" s="4" t="s">
        <v>111</v>
      </c>
      <c r="L1230" s="4" t="s">
        <v>112</v>
      </c>
      <c r="M1230" s="4"/>
      <c r="N1230" s="4"/>
      <c r="O1230" s="4"/>
      <c r="P1230" s="4"/>
      <c r="Q1230" s="4"/>
      <c r="R1230" s="4"/>
      <c r="S1230" s="13" t="n">
        <v>0</v>
      </c>
      <c r="T1230" s="4" t="s">
        <v>173</v>
      </c>
      <c r="U1230" s="14" t="n">
        <f aca="false">IF(OR($S1230="",PARAMETROS!$B$4=""),"",$S1230*PARAMETROS!$B$4)</f>
        <v>0</v>
      </c>
      <c r="V1230" s="13" t="n">
        <v>0</v>
      </c>
      <c r="W1230" s="4"/>
      <c r="X1230" s="4"/>
      <c r="Y1230" s="4"/>
      <c r="Z1230" s="4"/>
      <c r="AA1230" s="4"/>
      <c r="AB1230" s="4"/>
      <c r="AC1230" s="4"/>
      <c r="AD1230" s="4"/>
      <c r="AE1230" s="4"/>
      <c r="AF1230" s="4"/>
      <c r="AG1230" s="4"/>
      <c r="AH1230" s="4"/>
      <c r="AI1230" s="4"/>
      <c r="AJ1230" s="4"/>
      <c r="AK1230" s="4"/>
      <c r="AL1230" s="4" t="s">
        <v>174</v>
      </c>
      <c r="AM1230" s="4" t="s">
        <v>190</v>
      </c>
    </row>
    <row r="1231" customFormat="false" ht="23.85" hidden="false" customHeight="false" outlineLevel="0" collapsed="false">
      <c r="A1231" s="4" t="s">
        <v>167</v>
      </c>
      <c r="B1231" s="4" t="s">
        <v>1408</v>
      </c>
      <c r="C1231" s="4" t="s">
        <v>1408</v>
      </c>
      <c r="D1231" s="12" t="n">
        <v>2022</v>
      </c>
      <c r="E1231" s="4"/>
      <c r="F1231" s="4" t="s">
        <v>169</v>
      </c>
      <c r="G1231" s="4" t="s">
        <v>170</v>
      </c>
      <c r="H1231" s="4" t="s">
        <v>171</v>
      </c>
      <c r="I1231" s="4" t="s">
        <v>172</v>
      </c>
      <c r="J1231" s="4" t="s">
        <v>1408</v>
      </c>
      <c r="K1231" s="4" t="s">
        <v>111</v>
      </c>
      <c r="L1231" s="4" t="s">
        <v>112</v>
      </c>
      <c r="M1231" s="4"/>
      <c r="N1231" s="4"/>
      <c r="O1231" s="4"/>
      <c r="P1231" s="4"/>
      <c r="Q1231" s="4"/>
      <c r="R1231" s="4"/>
      <c r="S1231" s="13" t="n">
        <v>0</v>
      </c>
      <c r="T1231" s="4" t="s">
        <v>173</v>
      </c>
      <c r="U1231" s="14" t="n">
        <f aca="false">IF(OR($S1231="",PARAMETROS!$B$4=""),"",$S1231*PARAMETROS!$B$4)</f>
        <v>0</v>
      </c>
      <c r="V1231" s="13" t="n">
        <v>0</v>
      </c>
      <c r="W1231" s="4"/>
      <c r="X1231" s="4"/>
      <c r="Y1231" s="4"/>
      <c r="Z1231" s="4"/>
      <c r="AA1231" s="4"/>
      <c r="AB1231" s="4"/>
      <c r="AC1231" s="4"/>
      <c r="AD1231" s="4"/>
      <c r="AE1231" s="4"/>
      <c r="AF1231" s="4"/>
      <c r="AG1231" s="4"/>
      <c r="AH1231" s="4"/>
      <c r="AI1231" s="4"/>
      <c r="AJ1231" s="4"/>
      <c r="AK1231" s="4"/>
      <c r="AL1231" s="4" t="s">
        <v>174</v>
      </c>
      <c r="AM1231" s="4" t="s">
        <v>190</v>
      </c>
    </row>
    <row r="1232" customFormat="false" ht="23.85" hidden="false" customHeight="false" outlineLevel="0" collapsed="false">
      <c r="A1232" s="4" t="s">
        <v>167</v>
      </c>
      <c r="B1232" s="4" t="s">
        <v>1409</v>
      </c>
      <c r="C1232" s="4" t="s">
        <v>1409</v>
      </c>
      <c r="D1232" s="12" t="n">
        <v>2022</v>
      </c>
      <c r="E1232" s="4"/>
      <c r="F1232" s="4" t="s">
        <v>169</v>
      </c>
      <c r="G1232" s="4" t="s">
        <v>170</v>
      </c>
      <c r="H1232" s="4" t="s">
        <v>171</v>
      </c>
      <c r="I1232" s="4" t="s">
        <v>172</v>
      </c>
      <c r="J1232" s="4" t="s">
        <v>1409</v>
      </c>
      <c r="K1232" s="4" t="s">
        <v>111</v>
      </c>
      <c r="L1232" s="4" t="s">
        <v>112</v>
      </c>
      <c r="M1232" s="4"/>
      <c r="N1232" s="4"/>
      <c r="O1232" s="4"/>
      <c r="P1232" s="4"/>
      <c r="Q1232" s="4"/>
      <c r="R1232" s="4"/>
      <c r="S1232" s="13" t="n">
        <v>0</v>
      </c>
      <c r="T1232" s="4" t="s">
        <v>173</v>
      </c>
      <c r="U1232" s="14" t="n">
        <f aca="false">IF(OR($S1232="",PARAMETROS!$B$4=""),"",$S1232*PARAMETROS!$B$4)</f>
        <v>0</v>
      </c>
      <c r="V1232" s="13" t="n">
        <v>0</v>
      </c>
      <c r="W1232" s="4"/>
      <c r="X1232" s="4"/>
      <c r="Y1232" s="4"/>
      <c r="Z1232" s="4"/>
      <c r="AA1232" s="4"/>
      <c r="AB1232" s="4"/>
      <c r="AC1232" s="4"/>
      <c r="AD1232" s="4"/>
      <c r="AE1232" s="4"/>
      <c r="AF1232" s="4"/>
      <c r="AG1232" s="4"/>
      <c r="AH1232" s="4"/>
      <c r="AI1232" s="4"/>
      <c r="AJ1232" s="4"/>
      <c r="AK1232" s="4"/>
      <c r="AL1232" s="4" t="s">
        <v>174</v>
      </c>
      <c r="AM1232" s="4" t="s">
        <v>190</v>
      </c>
    </row>
    <row r="1233" customFormat="false" ht="23.85" hidden="false" customHeight="false" outlineLevel="0" collapsed="false">
      <c r="A1233" s="4" t="s">
        <v>167</v>
      </c>
      <c r="B1233" s="4" t="s">
        <v>1410</v>
      </c>
      <c r="C1233" s="4" t="s">
        <v>1410</v>
      </c>
      <c r="D1233" s="12" t="n">
        <v>2022</v>
      </c>
      <c r="E1233" s="4"/>
      <c r="F1233" s="4" t="s">
        <v>169</v>
      </c>
      <c r="G1233" s="4" t="s">
        <v>170</v>
      </c>
      <c r="H1233" s="4" t="s">
        <v>171</v>
      </c>
      <c r="I1233" s="4" t="s">
        <v>172</v>
      </c>
      <c r="J1233" s="4" t="s">
        <v>1410</v>
      </c>
      <c r="K1233" s="4" t="s">
        <v>111</v>
      </c>
      <c r="L1233" s="4" t="s">
        <v>112</v>
      </c>
      <c r="M1233" s="4"/>
      <c r="N1233" s="4"/>
      <c r="O1233" s="4"/>
      <c r="P1233" s="4"/>
      <c r="Q1233" s="4"/>
      <c r="R1233" s="4"/>
      <c r="S1233" s="13" t="n">
        <v>0</v>
      </c>
      <c r="T1233" s="4" t="s">
        <v>173</v>
      </c>
      <c r="U1233" s="14" t="n">
        <f aca="false">IF(OR($S1233="",PARAMETROS!$B$4=""),"",$S1233*PARAMETROS!$B$4)</f>
        <v>0</v>
      </c>
      <c r="V1233" s="13" t="n">
        <v>0</v>
      </c>
      <c r="W1233" s="4"/>
      <c r="X1233" s="4"/>
      <c r="Y1233" s="4"/>
      <c r="Z1233" s="4"/>
      <c r="AA1233" s="4"/>
      <c r="AB1233" s="4"/>
      <c r="AC1233" s="4"/>
      <c r="AD1233" s="4"/>
      <c r="AE1233" s="4"/>
      <c r="AF1233" s="4"/>
      <c r="AG1233" s="4"/>
      <c r="AH1233" s="4"/>
      <c r="AI1233" s="4"/>
      <c r="AJ1233" s="4"/>
      <c r="AK1233" s="4"/>
      <c r="AL1233" s="4" t="s">
        <v>174</v>
      </c>
      <c r="AM1233" s="4" t="s">
        <v>190</v>
      </c>
    </row>
    <row r="1234" customFormat="false" ht="23.85" hidden="false" customHeight="false" outlineLevel="0" collapsed="false">
      <c r="A1234" s="4" t="s">
        <v>167</v>
      </c>
      <c r="B1234" s="4" t="s">
        <v>1411</v>
      </c>
      <c r="C1234" s="4" t="s">
        <v>1411</v>
      </c>
      <c r="D1234" s="12" t="n">
        <v>2022</v>
      </c>
      <c r="E1234" s="4"/>
      <c r="F1234" s="4" t="s">
        <v>169</v>
      </c>
      <c r="G1234" s="4" t="s">
        <v>170</v>
      </c>
      <c r="H1234" s="4" t="s">
        <v>171</v>
      </c>
      <c r="I1234" s="4" t="s">
        <v>172</v>
      </c>
      <c r="J1234" s="4" t="s">
        <v>1411</v>
      </c>
      <c r="K1234" s="4" t="s">
        <v>654</v>
      </c>
      <c r="L1234" s="4" t="s">
        <v>655</v>
      </c>
      <c r="M1234" s="4"/>
      <c r="N1234" s="4"/>
      <c r="O1234" s="4"/>
      <c r="P1234" s="4"/>
      <c r="Q1234" s="4"/>
      <c r="R1234" s="4"/>
      <c r="S1234" s="13" t="n">
        <v>0</v>
      </c>
      <c r="T1234" s="4" t="s">
        <v>173</v>
      </c>
      <c r="U1234" s="14" t="n">
        <f aca="false">IF(OR($S1234="",PARAMETROS!$B$4=""),"",$S1234*PARAMETROS!$B$4)</f>
        <v>0</v>
      </c>
      <c r="V1234" s="13" t="n">
        <v>0</v>
      </c>
      <c r="W1234" s="4"/>
      <c r="X1234" s="4"/>
      <c r="Y1234" s="4"/>
      <c r="Z1234" s="4"/>
      <c r="AA1234" s="4"/>
      <c r="AB1234" s="4"/>
      <c r="AC1234" s="4"/>
      <c r="AD1234" s="4"/>
      <c r="AE1234" s="4"/>
      <c r="AF1234" s="4"/>
      <c r="AG1234" s="4"/>
      <c r="AH1234" s="4"/>
      <c r="AI1234" s="4"/>
      <c r="AJ1234" s="4"/>
      <c r="AK1234" s="4"/>
      <c r="AL1234" s="4" t="s">
        <v>174</v>
      </c>
      <c r="AM1234" s="4" t="s">
        <v>190</v>
      </c>
    </row>
    <row r="1235" customFormat="false" ht="23.85" hidden="false" customHeight="false" outlineLevel="0" collapsed="false">
      <c r="A1235" s="4" t="s">
        <v>167</v>
      </c>
      <c r="B1235" s="4" t="s">
        <v>1412</v>
      </c>
      <c r="C1235" s="4" t="s">
        <v>1412</v>
      </c>
      <c r="D1235" s="12" t="n">
        <v>2022</v>
      </c>
      <c r="E1235" s="4"/>
      <c r="F1235" s="4" t="s">
        <v>169</v>
      </c>
      <c r="G1235" s="4" t="s">
        <v>170</v>
      </c>
      <c r="H1235" s="4" t="s">
        <v>171</v>
      </c>
      <c r="I1235" s="4" t="s">
        <v>172</v>
      </c>
      <c r="J1235" s="4" t="s">
        <v>1412</v>
      </c>
      <c r="K1235" s="4" t="s">
        <v>654</v>
      </c>
      <c r="L1235" s="4" t="s">
        <v>655</v>
      </c>
      <c r="M1235" s="4"/>
      <c r="N1235" s="4"/>
      <c r="O1235" s="4"/>
      <c r="P1235" s="4"/>
      <c r="Q1235" s="4"/>
      <c r="R1235" s="4"/>
      <c r="S1235" s="13" t="n">
        <v>0</v>
      </c>
      <c r="T1235" s="4" t="s">
        <v>173</v>
      </c>
      <c r="U1235" s="14" t="n">
        <f aca="false">IF(OR($S1235="",PARAMETROS!$B$4=""),"",$S1235*PARAMETROS!$B$4)</f>
        <v>0</v>
      </c>
      <c r="V1235" s="13" t="n">
        <v>0</v>
      </c>
      <c r="W1235" s="4"/>
      <c r="X1235" s="4"/>
      <c r="Y1235" s="4"/>
      <c r="Z1235" s="4"/>
      <c r="AA1235" s="4"/>
      <c r="AB1235" s="4"/>
      <c r="AC1235" s="4"/>
      <c r="AD1235" s="4"/>
      <c r="AE1235" s="4"/>
      <c r="AF1235" s="4"/>
      <c r="AG1235" s="4"/>
      <c r="AH1235" s="4"/>
      <c r="AI1235" s="4"/>
      <c r="AJ1235" s="4"/>
      <c r="AK1235" s="4"/>
      <c r="AL1235" s="4" t="s">
        <v>174</v>
      </c>
      <c r="AM1235" s="4" t="s">
        <v>190</v>
      </c>
    </row>
    <row r="1236" customFormat="false" ht="23.85" hidden="false" customHeight="false" outlineLevel="0" collapsed="false">
      <c r="A1236" s="4" t="s">
        <v>167</v>
      </c>
      <c r="B1236" s="4" t="s">
        <v>1413</v>
      </c>
      <c r="C1236" s="4" t="s">
        <v>1413</v>
      </c>
      <c r="D1236" s="12" t="n">
        <v>2022</v>
      </c>
      <c r="E1236" s="4"/>
      <c r="F1236" s="4" t="s">
        <v>169</v>
      </c>
      <c r="G1236" s="4" t="s">
        <v>170</v>
      </c>
      <c r="H1236" s="4" t="s">
        <v>171</v>
      </c>
      <c r="I1236" s="4" t="s">
        <v>172</v>
      </c>
      <c r="J1236" s="4" t="s">
        <v>1413</v>
      </c>
      <c r="K1236" s="4" t="s">
        <v>654</v>
      </c>
      <c r="L1236" s="4" t="s">
        <v>655</v>
      </c>
      <c r="M1236" s="4"/>
      <c r="N1236" s="4"/>
      <c r="O1236" s="4"/>
      <c r="P1236" s="4"/>
      <c r="Q1236" s="4"/>
      <c r="R1236" s="4"/>
      <c r="S1236" s="13" t="n">
        <v>0</v>
      </c>
      <c r="T1236" s="4" t="s">
        <v>173</v>
      </c>
      <c r="U1236" s="14" t="n">
        <f aca="false">IF(OR($S1236="",PARAMETROS!$B$4=""),"",$S1236*PARAMETROS!$B$4)</f>
        <v>0</v>
      </c>
      <c r="V1236" s="13" t="n">
        <v>0</v>
      </c>
      <c r="W1236" s="4"/>
      <c r="X1236" s="4"/>
      <c r="Y1236" s="4"/>
      <c r="Z1236" s="4"/>
      <c r="AA1236" s="4"/>
      <c r="AB1236" s="4"/>
      <c r="AC1236" s="4"/>
      <c r="AD1236" s="4"/>
      <c r="AE1236" s="4"/>
      <c r="AF1236" s="4"/>
      <c r="AG1236" s="4"/>
      <c r="AH1236" s="4"/>
      <c r="AI1236" s="4"/>
      <c r="AJ1236" s="4"/>
      <c r="AK1236" s="4"/>
      <c r="AL1236" s="4" t="s">
        <v>174</v>
      </c>
      <c r="AM1236" s="4" t="s">
        <v>190</v>
      </c>
    </row>
    <row r="1237" customFormat="false" ht="23.85" hidden="false" customHeight="false" outlineLevel="0" collapsed="false">
      <c r="A1237" s="4" t="s">
        <v>167</v>
      </c>
      <c r="B1237" s="4" t="s">
        <v>1414</v>
      </c>
      <c r="C1237" s="4" t="s">
        <v>1414</v>
      </c>
      <c r="D1237" s="12" t="n">
        <v>2022</v>
      </c>
      <c r="E1237" s="4"/>
      <c r="F1237" s="4" t="s">
        <v>169</v>
      </c>
      <c r="G1237" s="4" t="s">
        <v>170</v>
      </c>
      <c r="H1237" s="4" t="s">
        <v>171</v>
      </c>
      <c r="I1237" s="4" t="s">
        <v>172</v>
      </c>
      <c r="J1237" s="4" t="s">
        <v>1414</v>
      </c>
      <c r="K1237" s="4" t="s">
        <v>654</v>
      </c>
      <c r="L1237" s="4" t="s">
        <v>655</v>
      </c>
      <c r="M1237" s="4"/>
      <c r="N1237" s="4"/>
      <c r="O1237" s="4"/>
      <c r="P1237" s="4"/>
      <c r="Q1237" s="4"/>
      <c r="R1237" s="4"/>
      <c r="S1237" s="13" t="n">
        <v>0</v>
      </c>
      <c r="T1237" s="4" t="s">
        <v>173</v>
      </c>
      <c r="U1237" s="14" t="n">
        <f aca="false">IF(OR($S1237="",PARAMETROS!$B$4=""),"",$S1237*PARAMETROS!$B$4)</f>
        <v>0</v>
      </c>
      <c r="V1237" s="13" t="n">
        <v>0</v>
      </c>
      <c r="W1237" s="4"/>
      <c r="X1237" s="4"/>
      <c r="Y1237" s="4"/>
      <c r="Z1237" s="4"/>
      <c r="AA1237" s="4"/>
      <c r="AB1237" s="4"/>
      <c r="AC1237" s="4"/>
      <c r="AD1237" s="4"/>
      <c r="AE1237" s="4"/>
      <c r="AF1237" s="4"/>
      <c r="AG1237" s="4"/>
      <c r="AH1237" s="4"/>
      <c r="AI1237" s="4"/>
      <c r="AJ1237" s="4"/>
      <c r="AK1237" s="4"/>
      <c r="AL1237" s="4" t="s">
        <v>174</v>
      </c>
      <c r="AM1237" s="4" t="s">
        <v>190</v>
      </c>
    </row>
    <row r="1238" customFormat="false" ht="23.85" hidden="false" customHeight="false" outlineLevel="0" collapsed="false">
      <c r="A1238" s="4" t="s">
        <v>167</v>
      </c>
      <c r="B1238" s="4" t="s">
        <v>1415</v>
      </c>
      <c r="C1238" s="4" t="s">
        <v>1415</v>
      </c>
      <c r="D1238" s="12" t="n">
        <v>2022</v>
      </c>
      <c r="E1238" s="4"/>
      <c r="F1238" s="4" t="s">
        <v>169</v>
      </c>
      <c r="G1238" s="4" t="s">
        <v>170</v>
      </c>
      <c r="H1238" s="4" t="s">
        <v>171</v>
      </c>
      <c r="I1238" s="4" t="s">
        <v>172</v>
      </c>
      <c r="J1238" s="4" t="s">
        <v>1415</v>
      </c>
      <c r="K1238" s="4" t="s">
        <v>654</v>
      </c>
      <c r="L1238" s="4" t="s">
        <v>655</v>
      </c>
      <c r="M1238" s="4"/>
      <c r="N1238" s="4"/>
      <c r="O1238" s="4"/>
      <c r="P1238" s="4"/>
      <c r="Q1238" s="4"/>
      <c r="R1238" s="4"/>
      <c r="S1238" s="13" t="n">
        <v>0</v>
      </c>
      <c r="T1238" s="4" t="s">
        <v>173</v>
      </c>
      <c r="U1238" s="14" t="n">
        <f aca="false">IF(OR($S1238="",PARAMETROS!$B$4=""),"",$S1238*PARAMETROS!$B$4)</f>
        <v>0</v>
      </c>
      <c r="V1238" s="13" t="n">
        <v>0</v>
      </c>
      <c r="W1238" s="4"/>
      <c r="X1238" s="4"/>
      <c r="Y1238" s="4"/>
      <c r="Z1238" s="4"/>
      <c r="AA1238" s="4"/>
      <c r="AB1238" s="4"/>
      <c r="AC1238" s="4"/>
      <c r="AD1238" s="4"/>
      <c r="AE1238" s="4"/>
      <c r="AF1238" s="4"/>
      <c r="AG1238" s="4"/>
      <c r="AH1238" s="4"/>
      <c r="AI1238" s="4"/>
      <c r="AJ1238" s="4"/>
      <c r="AK1238" s="4"/>
      <c r="AL1238" s="4" t="s">
        <v>174</v>
      </c>
      <c r="AM1238" s="4" t="s">
        <v>190</v>
      </c>
    </row>
    <row r="1239" customFormat="false" ht="23.85" hidden="false" customHeight="false" outlineLevel="0" collapsed="false">
      <c r="A1239" s="4" t="s">
        <v>167</v>
      </c>
      <c r="B1239" s="4" t="s">
        <v>1416</v>
      </c>
      <c r="C1239" s="4" t="s">
        <v>1416</v>
      </c>
      <c r="D1239" s="12" t="n">
        <v>2022</v>
      </c>
      <c r="E1239" s="4"/>
      <c r="F1239" s="4" t="s">
        <v>169</v>
      </c>
      <c r="G1239" s="4" t="s">
        <v>170</v>
      </c>
      <c r="H1239" s="4" t="s">
        <v>171</v>
      </c>
      <c r="I1239" s="4" t="s">
        <v>172</v>
      </c>
      <c r="J1239" s="4" t="s">
        <v>1416</v>
      </c>
      <c r="K1239" s="4" t="s">
        <v>654</v>
      </c>
      <c r="L1239" s="4" t="s">
        <v>655</v>
      </c>
      <c r="M1239" s="4"/>
      <c r="N1239" s="4"/>
      <c r="O1239" s="4"/>
      <c r="P1239" s="4"/>
      <c r="Q1239" s="4"/>
      <c r="R1239" s="4"/>
      <c r="S1239" s="13" t="n">
        <v>0</v>
      </c>
      <c r="T1239" s="4" t="s">
        <v>173</v>
      </c>
      <c r="U1239" s="14" t="n">
        <f aca="false">IF(OR($S1239="",PARAMETROS!$B$4=""),"",$S1239*PARAMETROS!$B$4)</f>
        <v>0</v>
      </c>
      <c r="V1239" s="13" t="n">
        <v>0</v>
      </c>
      <c r="W1239" s="4"/>
      <c r="X1239" s="4"/>
      <c r="Y1239" s="4"/>
      <c r="Z1239" s="4"/>
      <c r="AA1239" s="4"/>
      <c r="AB1239" s="4"/>
      <c r="AC1239" s="4"/>
      <c r="AD1239" s="4"/>
      <c r="AE1239" s="4"/>
      <c r="AF1239" s="4"/>
      <c r="AG1239" s="4"/>
      <c r="AH1239" s="4"/>
      <c r="AI1239" s="4"/>
      <c r="AJ1239" s="4"/>
      <c r="AK1239" s="4"/>
      <c r="AL1239" s="4" t="s">
        <v>174</v>
      </c>
      <c r="AM1239" s="4" t="s">
        <v>190</v>
      </c>
    </row>
    <row r="1240" customFormat="false" ht="23.85" hidden="false" customHeight="false" outlineLevel="0" collapsed="false">
      <c r="A1240" s="4" t="s">
        <v>167</v>
      </c>
      <c r="B1240" s="4" t="s">
        <v>1417</v>
      </c>
      <c r="C1240" s="4" t="s">
        <v>1417</v>
      </c>
      <c r="D1240" s="12" t="n">
        <v>2022</v>
      </c>
      <c r="E1240" s="4"/>
      <c r="F1240" s="4" t="s">
        <v>169</v>
      </c>
      <c r="G1240" s="4" t="s">
        <v>170</v>
      </c>
      <c r="H1240" s="4" t="s">
        <v>171</v>
      </c>
      <c r="I1240" s="4" t="s">
        <v>172</v>
      </c>
      <c r="J1240" s="4" t="s">
        <v>1417</v>
      </c>
      <c r="K1240" s="4" t="s">
        <v>654</v>
      </c>
      <c r="L1240" s="4" t="s">
        <v>655</v>
      </c>
      <c r="M1240" s="4"/>
      <c r="N1240" s="4"/>
      <c r="O1240" s="4"/>
      <c r="P1240" s="4"/>
      <c r="Q1240" s="4"/>
      <c r="R1240" s="4"/>
      <c r="S1240" s="13" t="n">
        <v>0</v>
      </c>
      <c r="T1240" s="4" t="s">
        <v>173</v>
      </c>
      <c r="U1240" s="14" t="n">
        <f aca="false">IF(OR($S1240="",PARAMETROS!$B$4=""),"",$S1240*PARAMETROS!$B$4)</f>
        <v>0</v>
      </c>
      <c r="V1240" s="13" t="n">
        <v>0</v>
      </c>
      <c r="W1240" s="4"/>
      <c r="X1240" s="4"/>
      <c r="Y1240" s="4"/>
      <c r="Z1240" s="4"/>
      <c r="AA1240" s="4"/>
      <c r="AB1240" s="4"/>
      <c r="AC1240" s="4"/>
      <c r="AD1240" s="4"/>
      <c r="AE1240" s="4"/>
      <c r="AF1240" s="4"/>
      <c r="AG1240" s="4"/>
      <c r="AH1240" s="4"/>
      <c r="AI1240" s="4"/>
      <c r="AJ1240" s="4"/>
      <c r="AK1240" s="4"/>
      <c r="AL1240" s="4" t="s">
        <v>174</v>
      </c>
      <c r="AM1240" s="4" t="s">
        <v>190</v>
      </c>
    </row>
    <row r="1241" customFormat="false" ht="23.85" hidden="false" customHeight="false" outlineLevel="0" collapsed="false">
      <c r="A1241" s="4" t="s">
        <v>167</v>
      </c>
      <c r="B1241" s="4" t="s">
        <v>1418</v>
      </c>
      <c r="C1241" s="4" t="s">
        <v>1418</v>
      </c>
      <c r="D1241" s="12" t="n">
        <v>2022</v>
      </c>
      <c r="E1241" s="4"/>
      <c r="F1241" s="4" t="s">
        <v>169</v>
      </c>
      <c r="G1241" s="4" t="s">
        <v>170</v>
      </c>
      <c r="H1241" s="4" t="s">
        <v>171</v>
      </c>
      <c r="I1241" s="4" t="s">
        <v>172</v>
      </c>
      <c r="J1241" s="4" t="s">
        <v>1418</v>
      </c>
      <c r="K1241" s="4" t="s">
        <v>654</v>
      </c>
      <c r="L1241" s="4" t="s">
        <v>655</v>
      </c>
      <c r="M1241" s="4"/>
      <c r="N1241" s="4"/>
      <c r="O1241" s="4"/>
      <c r="P1241" s="4"/>
      <c r="Q1241" s="4"/>
      <c r="R1241" s="4"/>
      <c r="S1241" s="13" t="n">
        <v>0</v>
      </c>
      <c r="T1241" s="4" t="s">
        <v>173</v>
      </c>
      <c r="U1241" s="14" t="n">
        <f aca="false">IF(OR($S1241="",PARAMETROS!$B$4=""),"",$S1241*PARAMETROS!$B$4)</f>
        <v>0</v>
      </c>
      <c r="V1241" s="13" t="n">
        <v>0</v>
      </c>
      <c r="W1241" s="4"/>
      <c r="X1241" s="4"/>
      <c r="Y1241" s="4"/>
      <c r="Z1241" s="4"/>
      <c r="AA1241" s="4"/>
      <c r="AB1241" s="4"/>
      <c r="AC1241" s="4"/>
      <c r="AD1241" s="4"/>
      <c r="AE1241" s="4"/>
      <c r="AF1241" s="4"/>
      <c r="AG1241" s="4"/>
      <c r="AH1241" s="4"/>
      <c r="AI1241" s="4"/>
      <c r="AJ1241" s="4"/>
      <c r="AK1241" s="4"/>
      <c r="AL1241" s="4" t="s">
        <v>174</v>
      </c>
      <c r="AM1241" s="4" t="s">
        <v>190</v>
      </c>
    </row>
    <row r="1242" customFormat="false" ht="23.85" hidden="false" customHeight="false" outlineLevel="0" collapsed="false">
      <c r="A1242" s="4" t="s">
        <v>167</v>
      </c>
      <c r="B1242" s="4" t="s">
        <v>1419</v>
      </c>
      <c r="C1242" s="4" t="s">
        <v>1419</v>
      </c>
      <c r="D1242" s="12" t="n">
        <v>2022</v>
      </c>
      <c r="E1242" s="4"/>
      <c r="F1242" s="4" t="s">
        <v>169</v>
      </c>
      <c r="G1242" s="4" t="s">
        <v>170</v>
      </c>
      <c r="H1242" s="4" t="s">
        <v>171</v>
      </c>
      <c r="I1242" s="4" t="s">
        <v>172</v>
      </c>
      <c r="J1242" s="4" t="s">
        <v>1419</v>
      </c>
      <c r="K1242" s="4" t="s">
        <v>654</v>
      </c>
      <c r="L1242" s="4" t="s">
        <v>655</v>
      </c>
      <c r="M1242" s="4"/>
      <c r="N1242" s="4"/>
      <c r="O1242" s="4"/>
      <c r="P1242" s="4"/>
      <c r="Q1242" s="4"/>
      <c r="R1242" s="4"/>
      <c r="S1242" s="13" t="n">
        <v>0</v>
      </c>
      <c r="T1242" s="4" t="s">
        <v>173</v>
      </c>
      <c r="U1242" s="14" t="n">
        <f aca="false">IF(OR($S1242="",PARAMETROS!$B$4=""),"",$S1242*PARAMETROS!$B$4)</f>
        <v>0</v>
      </c>
      <c r="V1242" s="13" t="n">
        <v>0</v>
      </c>
      <c r="W1242" s="4"/>
      <c r="X1242" s="4"/>
      <c r="Y1242" s="4"/>
      <c r="Z1242" s="4"/>
      <c r="AA1242" s="4"/>
      <c r="AB1242" s="4"/>
      <c r="AC1242" s="4"/>
      <c r="AD1242" s="4"/>
      <c r="AE1242" s="4"/>
      <c r="AF1242" s="4"/>
      <c r="AG1242" s="4"/>
      <c r="AH1242" s="4"/>
      <c r="AI1242" s="4"/>
      <c r="AJ1242" s="4"/>
      <c r="AK1242" s="4"/>
      <c r="AL1242" s="4" t="s">
        <v>174</v>
      </c>
      <c r="AM1242" s="4" t="s">
        <v>190</v>
      </c>
    </row>
    <row r="1243" customFormat="false" ht="23.85" hidden="false" customHeight="false" outlineLevel="0" collapsed="false">
      <c r="A1243" s="4" t="s">
        <v>167</v>
      </c>
      <c r="B1243" s="4" t="s">
        <v>1420</v>
      </c>
      <c r="C1243" s="4" t="s">
        <v>1420</v>
      </c>
      <c r="D1243" s="12" t="n">
        <v>2022</v>
      </c>
      <c r="E1243" s="4"/>
      <c r="F1243" s="4" t="s">
        <v>169</v>
      </c>
      <c r="G1243" s="4" t="s">
        <v>170</v>
      </c>
      <c r="H1243" s="4" t="s">
        <v>171</v>
      </c>
      <c r="I1243" s="4" t="s">
        <v>172</v>
      </c>
      <c r="J1243" s="4" t="s">
        <v>1420</v>
      </c>
      <c r="K1243" s="4" t="s">
        <v>654</v>
      </c>
      <c r="L1243" s="4" t="s">
        <v>655</v>
      </c>
      <c r="M1243" s="4"/>
      <c r="N1243" s="4"/>
      <c r="O1243" s="4"/>
      <c r="P1243" s="4"/>
      <c r="Q1243" s="4"/>
      <c r="R1243" s="4"/>
      <c r="S1243" s="13" t="n">
        <v>0</v>
      </c>
      <c r="T1243" s="4" t="s">
        <v>173</v>
      </c>
      <c r="U1243" s="14" t="n">
        <f aca="false">IF(OR($S1243="",PARAMETROS!$B$4=""),"",$S1243*PARAMETROS!$B$4)</f>
        <v>0</v>
      </c>
      <c r="V1243" s="13" t="n">
        <v>0</v>
      </c>
      <c r="W1243" s="4"/>
      <c r="X1243" s="4"/>
      <c r="Y1243" s="4"/>
      <c r="Z1243" s="4"/>
      <c r="AA1243" s="4"/>
      <c r="AB1243" s="4"/>
      <c r="AC1243" s="4"/>
      <c r="AD1243" s="4"/>
      <c r="AE1243" s="4"/>
      <c r="AF1243" s="4"/>
      <c r="AG1243" s="4"/>
      <c r="AH1243" s="4"/>
      <c r="AI1243" s="4"/>
      <c r="AJ1243" s="4"/>
      <c r="AK1243" s="4"/>
      <c r="AL1243" s="4" t="s">
        <v>174</v>
      </c>
      <c r="AM1243" s="4" t="s">
        <v>190</v>
      </c>
    </row>
    <row r="1244" customFormat="false" ht="23.85" hidden="false" customHeight="false" outlineLevel="0" collapsed="false">
      <c r="A1244" s="4" t="s">
        <v>167</v>
      </c>
      <c r="B1244" s="4" t="s">
        <v>1421</v>
      </c>
      <c r="C1244" s="4" t="s">
        <v>1421</v>
      </c>
      <c r="D1244" s="12" t="n">
        <v>2022</v>
      </c>
      <c r="E1244" s="4"/>
      <c r="F1244" s="4" t="s">
        <v>169</v>
      </c>
      <c r="G1244" s="4" t="s">
        <v>170</v>
      </c>
      <c r="H1244" s="4" t="s">
        <v>171</v>
      </c>
      <c r="I1244" s="4" t="s">
        <v>172</v>
      </c>
      <c r="J1244" s="4" t="s">
        <v>1421</v>
      </c>
      <c r="K1244" s="4" t="s">
        <v>654</v>
      </c>
      <c r="L1244" s="4" t="s">
        <v>655</v>
      </c>
      <c r="M1244" s="4"/>
      <c r="N1244" s="4"/>
      <c r="O1244" s="4"/>
      <c r="P1244" s="4"/>
      <c r="Q1244" s="4"/>
      <c r="R1244" s="4"/>
      <c r="S1244" s="13" t="n">
        <v>0</v>
      </c>
      <c r="T1244" s="4" t="s">
        <v>173</v>
      </c>
      <c r="U1244" s="14" t="n">
        <f aca="false">IF(OR($S1244="",PARAMETROS!$B$4=""),"",$S1244*PARAMETROS!$B$4)</f>
        <v>0</v>
      </c>
      <c r="V1244" s="13" t="n">
        <v>0</v>
      </c>
      <c r="W1244" s="4"/>
      <c r="X1244" s="4"/>
      <c r="Y1244" s="4"/>
      <c r="Z1244" s="4"/>
      <c r="AA1244" s="4"/>
      <c r="AB1244" s="4"/>
      <c r="AC1244" s="4"/>
      <c r="AD1244" s="4"/>
      <c r="AE1244" s="4"/>
      <c r="AF1244" s="4"/>
      <c r="AG1244" s="4"/>
      <c r="AH1244" s="4"/>
      <c r="AI1244" s="4"/>
      <c r="AJ1244" s="4"/>
      <c r="AK1244" s="4"/>
      <c r="AL1244" s="4" t="s">
        <v>174</v>
      </c>
      <c r="AM1244" s="4" t="s">
        <v>190</v>
      </c>
    </row>
    <row r="1245" customFormat="false" ht="23.85" hidden="false" customHeight="false" outlineLevel="0" collapsed="false">
      <c r="A1245" s="4" t="s">
        <v>167</v>
      </c>
      <c r="B1245" s="4" t="s">
        <v>1422</v>
      </c>
      <c r="C1245" s="4" t="s">
        <v>1422</v>
      </c>
      <c r="D1245" s="12" t="n">
        <v>2022</v>
      </c>
      <c r="E1245" s="4"/>
      <c r="F1245" s="4" t="s">
        <v>169</v>
      </c>
      <c r="G1245" s="4" t="s">
        <v>170</v>
      </c>
      <c r="H1245" s="4" t="s">
        <v>171</v>
      </c>
      <c r="I1245" s="4" t="s">
        <v>172</v>
      </c>
      <c r="J1245" s="4" t="s">
        <v>1422</v>
      </c>
      <c r="K1245" s="4" t="s">
        <v>654</v>
      </c>
      <c r="L1245" s="4" t="s">
        <v>655</v>
      </c>
      <c r="M1245" s="4"/>
      <c r="N1245" s="4"/>
      <c r="O1245" s="4"/>
      <c r="P1245" s="4"/>
      <c r="Q1245" s="4"/>
      <c r="R1245" s="4"/>
      <c r="S1245" s="13" t="n">
        <v>0</v>
      </c>
      <c r="T1245" s="4" t="s">
        <v>173</v>
      </c>
      <c r="U1245" s="14" t="n">
        <f aca="false">IF(OR($S1245="",PARAMETROS!$B$4=""),"",$S1245*PARAMETROS!$B$4)</f>
        <v>0</v>
      </c>
      <c r="V1245" s="13" t="n">
        <v>0</v>
      </c>
      <c r="W1245" s="4"/>
      <c r="X1245" s="4"/>
      <c r="Y1245" s="4"/>
      <c r="Z1245" s="4"/>
      <c r="AA1245" s="4"/>
      <c r="AB1245" s="4"/>
      <c r="AC1245" s="4"/>
      <c r="AD1245" s="4"/>
      <c r="AE1245" s="4"/>
      <c r="AF1245" s="4"/>
      <c r="AG1245" s="4"/>
      <c r="AH1245" s="4"/>
      <c r="AI1245" s="4"/>
      <c r="AJ1245" s="4"/>
      <c r="AK1245" s="4"/>
      <c r="AL1245" s="4" t="s">
        <v>174</v>
      </c>
      <c r="AM1245" s="4" t="s">
        <v>190</v>
      </c>
    </row>
    <row r="1246" customFormat="false" ht="23.85" hidden="false" customHeight="false" outlineLevel="0" collapsed="false">
      <c r="A1246" s="4" t="s">
        <v>167</v>
      </c>
      <c r="B1246" s="4" t="s">
        <v>1423</v>
      </c>
      <c r="C1246" s="4" t="s">
        <v>1423</v>
      </c>
      <c r="D1246" s="12" t="n">
        <v>2022</v>
      </c>
      <c r="E1246" s="4"/>
      <c r="F1246" s="4" t="s">
        <v>169</v>
      </c>
      <c r="G1246" s="4" t="s">
        <v>170</v>
      </c>
      <c r="H1246" s="4" t="s">
        <v>171</v>
      </c>
      <c r="I1246" s="4" t="s">
        <v>172</v>
      </c>
      <c r="J1246" s="4" t="s">
        <v>1423</v>
      </c>
      <c r="K1246" s="4" t="s">
        <v>654</v>
      </c>
      <c r="L1246" s="4" t="s">
        <v>655</v>
      </c>
      <c r="M1246" s="4"/>
      <c r="N1246" s="4"/>
      <c r="O1246" s="4"/>
      <c r="P1246" s="4"/>
      <c r="Q1246" s="4"/>
      <c r="R1246" s="4"/>
      <c r="S1246" s="13" t="n">
        <v>0</v>
      </c>
      <c r="T1246" s="4" t="s">
        <v>173</v>
      </c>
      <c r="U1246" s="14" t="n">
        <f aca="false">IF(OR($S1246="",PARAMETROS!$B$4=""),"",$S1246*PARAMETROS!$B$4)</f>
        <v>0</v>
      </c>
      <c r="V1246" s="13" t="n">
        <v>0</v>
      </c>
      <c r="W1246" s="4"/>
      <c r="X1246" s="4"/>
      <c r="Y1246" s="4"/>
      <c r="Z1246" s="4"/>
      <c r="AA1246" s="4"/>
      <c r="AB1246" s="4"/>
      <c r="AC1246" s="4"/>
      <c r="AD1246" s="4"/>
      <c r="AE1246" s="4"/>
      <c r="AF1246" s="4"/>
      <c r="AG1246" s="4"/>
      <c r="AH1246" s="4"/>
      <c r="AI1246" s="4"/>
      <c r="AJ1246" s="4"/>
      <c r="AK1246" s="4"/>
      <c r="AL1246" s="4" t="s">
        <v>174</v>
      </c>
      <c r="AM1246" s="4" t="s">
        <v>190</v>
      </c>
    </row>
    <row r="1247" customFormat="false" ht="23.85" hidden="false" customHeight="false" outlineLevel="0" collapsed="false">
      <c r="A1247" s="4" t="s">
        <v>167</v>
      </c>
      <c r="B1247" s="4" t="s">
        <v>1424</v>
      </c>
      <c r="C1247" s="4" t="s">
        <v>1424</v>
      </c>
      <c r="D1247" s="12" t="n">
        <v>2022</v>
      </c>
      <c r="E1247" s="4"/>
      <c r="F1247" s="4" t="s">
        <v>169</v>
      </c>
      <c r="G1247" s="4" t="s">
        <v>170</v>
      </c>
      <c r="H1247" s="4" t="s">
        <v>171</v>
      </c>
      <c r="I1247" s="4" t="s">
        <v>172</v>
      </c>
      <c r="J1247" s="4" t="s">
        <v>1424</v>
      </c>
      <c r="K1247" s="4" t="s">
        <v>654</v>
      </c>
      <c r="L1247" s="4" t="s">
        <v>655</v>
      </c>
      <c r="M1247" s="4"/>
      <c r="N1247" s="4"/>
      <c r="O1247" s="4"/>
      <c r="P1247" s="4"/>
      <c r="Q1247" s="4"/>
      <c r="R1247" s="4"/>
      <c r="S1247" s="13" t="n">
        <v>0</v>
      </c>
      <c r="T1247" s="4" t="s">
        <v>173</v>
      </c>
      <c r="U1247" s="14" t="n">
        <f aca="false">IF(OR($S1247="",PARAMETROS!$B$4=""),"",$S1247*PARAMETROS!$B$4)</f>
        <v>0</v>
      </c>
      <c r="V1247" s="13" t="n">
        <v>0</v>
      </c>
      <c r="W1247" s="4"/>
      <c r="X1247" s="4"/>
      <c r="Y1247" s="4"/>
      <c r="Z1247" s="4"/>
      <c r="AA1247" s="4"/>
      <c r="AB1247" s="4"/>
      <c r="AC1247" s="4"/>
      <c r="AD1247" s="4"/>
      <c r="AE1247" s="4"/>
      <c r="AF1247" s="4"/>
      <c r="AG1247" s="4"/>
      <c r="AH1247" s="4"/>
      <c r="AI1247" s="4"/>
      <c r="AJ1247" s="4"/>
      <c r="AK1247" s="4"/>
      <c r="AL1247" s="4" t="s">
        <v>174</v>
      </c>
      <c r="AM1247" s="4" t="s">
        <v>190</v>
      </c>
    </row>
    <row r="1248" customFormat="false" ht="23.85" hidden="false" customHeight="false" outlineLevel="0" collapsed="false">
      <c r="A1248" s="4" t="s">
        <v>167</v>
      </c>
      <c r="B1248" s="4" t="s">
        <v>1425</v>
      </c>
      <c r="C1248" s="4" t="s">
        <v>1425</v>
      </c>
      <c r="D1248" s="12" t="n">
        <v>2023</v>
      </c>
      <c r="E1248" s="4"/>
      <c r="F1248" s="4" t="s">
        <v>169</v>
      </c>
      <c r="G1248" s="4" t="s">
        <v>170</v>
      </c>
      <c r="H1248" s="4" t="s">
        <v>171</v>
      </c>
      <c r="I1248" s="4" t="s">
        <v>172</v>
      </c>
      <c r="J1248" s="4" t="s">
        <v>1425</v>
      </c>
      <c r="K1248" s="4" t="s">
        <v>91</v>
      </c>
      <c r="L1248" s="4" t="s">
        <v>92</v>
      </c>
      <c r="M1248" s="4"/>
      <c r="N1248" s="4"/>
      <c r="O1248" s="4"/>
      <c r="P1248" s="4"/>
      <c r="Q1248" s="4"/>
      <c r="R1248" s="4"/>
      <c r="S1248" s="13" t="n">
        <v>15330.21</v>
      </c>
      <c r="T1248" s="4" t="s">
        <v>173</v>
      </c>
      <c r="U1248" s="14" t="n">
        <f aca="false">IF(OR($S1248="",PARAMETROS!$B$4=""),"",$S1248*PARAMETROS!$B$4)</f>
        <v>89068.5201</v>
      </c>
      <c r="V1248" s="13" t="n">
        <v>0</v>
      </c>
      <c r="W1248" s="4"/>
      <c r="X1248" s="4"/>
      <c r="Y1248" s="4"/>
      <c r="Z1248" s="4"/>
      <c r="AA1248" s="4"/>
      <c r="AB1248" s="4"/>
      <c r="AC1248" s="4"/>
      <c r="AD1248" s="4"/>
      <c r="AE1248" s="4"/>
      <c r="AF1248" s="4"/>
      <c r="AG1248" s="4"/>
      <c r="AH1248" s="4"/>
      <c r="AI1248" s="4"/>
      <c r="AJ1248" s="4"/>
      <c r="AK1248" s="4"/>
      <c r="AL1248" s="4" t="s">
        <v>174</v>
      </c>
      <c r="AM1248" s="4" t="s">
        <v>175</v>
      </c>
    </row>
    <row r="1249" customFormat="false" ht="23.85" hidden="false" customHeight="false" outlineLevel="0" collapsed="false">
      <c r="A1249" s="4" t="s">
        <v>167</v>
      </c>
      <c r="B1249" s="4" t="s">
        <v>1426</v>
      </c>
      <c r="C1249" s="4" t="s">
        <v>1426</v>
      </c>
      <c r="D1249" s="12" t="n">
        <v>2023</v>
      </c>
      <c r="E1249" s="4"/>
      <c r="F1249" s="4" t="s">
        <v>169</v>
      </c>
      <c r="G1249" s="4" t="s">
        <v>170</v>
      </c>
      <c r="H1249" s="4" t="s">
        <v>171</v>
      </c>
      <c r="I1249" s="4" t="s">
        <v>172</v>
      </c>
      <c r="J1249" s="4" t="s">
        <v>1426</v>
      </c>
      <c r="K1249" s="4" t="s">
        <v>91</v>
      </c>
      <c r="L1249" s="4" t="s">
        <v>92</v>
      </c>
      <c r="M1249" s="4"/>
      <c r="N1249" s="4"/>
      <c r="O1249" s="4"/>
      <c r="P1249" s="4"/>
      <c r="Q1249" s="4"/>
      <c r="R1249" s="4"/>
      <c r="S1249" s="13" t="n">
        <v>0</v>
      </c>
      <c r="T1249" s="4" t="s">
        <v>173</v>
      </c>
      <c r="U1249" s="14" t="n">
        <f aca="false">IF(OR($S1249="",PARAMETROS!$B$4=""),"",$S1249*PARAMETROS!$B$4)</f>
        <v>0</v>
      </c>
      <c r="V1249" s="13" t="n">
        <v>0</v>
      </c>
      <c r="W1249" s="4"/>
      <c r="X1249" s="4"/>
      <c r="Y1249" s="4"/>
      <c r="Z1249" s="4"/>
      <c r="AA1249" s="4"/>
      <c r="AB1249" s="4"/>
      <c r="AC1249" s="4"/>
      <c r="AD1249" s="4"/>
      <c r="AE1249" s="4"/>
      <c r="AF1249" s="4"/>
      <c r="AG1249" s="4"/>
      <c r="AH1249" s="4"/>
      <c r="AI1249" s="4"/>
      <c r="AJ1249" s="4"/>
      <c r="AK1249" s="4"/>
      <c r="AL1249" s="4" t="s">
        <v>174</v>
      </c>
      <c r="AM1249" s="4" t="s">
        <v>175</v>
      </c>
    </row>
    <row r="1250" customFormat="false" ht="23.85" hidden="false" customHeight="false" outlineLevel="0" collapsed="false">
      <c r="A1250" s="4" t="s">
        <v>167</v>
      </c>
      <c r="B1250" s="4" t="s">
        <v>1427</v>
      </c>
      <c r="C1250" s="4" t="s">
        <v>1427</v>
      </c>
      <c r="D1250" s="12" t="n">
        <v>2023</v>
      </c>
      <c r="E1250" s="4"/>
      <c r="F1250" s="4" t="s">
        <v>169</v>
      </c>
      <c r="G1250" s="4" t="s">
        <v>170</v>
      </c>
      <c r="H1250" s="4" t="s">
        <v>171</v>
      </c>
      <c r="I1250" s="4" t="s">
        <v>172</v>
      </c>
      <c r="J1250" s="4" t="s">
        <v>1427</v>
      </c>
      <c r="K1250" s="4" t="s">
        <v>91</v>
      </c>
      <c r="L1250" s="4" t="s">
        <v>92</v>
      </c>
      <c r="M1250" s="4"/>
      <c r="N1250" s="4"/>
      <c r="O1250" s="4"/>
      <c r="P1250" s="4"/>
      <c r="Q1250" s="4"/>
      <c r="R1250" s="4"/>
      <c r="S1250" s="13" t="n">
        <v>0</v>
      </c>
      <c r="T1250" s="4" t="s">
        <v>173</v>
      </c>
      <c r="U1250" s="14" t="n">
        <f aca="false">IF(OR($S1250="",PARAMETROS!$B$4=""),"",$S1250*PARAMETROS!$B$4)</f>
        <v>0</v>
      </c>
      <c r="V1250" s="13" t="n">
        <v>0</v>
      </c>
      <c r="W1250" s="4"/>
      <c r="X1250" s="4"/>
      <c r="Y1250" s="4"/>
      <c r="Z1250" s="4"/>
      <c r="AA1250" s="4"/>
      <c r="AB1250" s="4"/>
      <c r="AC1250" s="4"/>
      <c r="AD1250" s="4"/>
      <c r="AE1250" s="4"/>
      <c r="AF1250" s="4"/>
      <c r="AG1250" s="4"/>
      <c r="AH1250" s="4"/>
      <c r="AI1250" s="4"/>
      <c r="AJ1250" s="4"/>
      <c r="AK1250" s="4"/>
      <c r="AL1250" s="4" t="s">
        <v>174</v>
      </c>
      <c r="AM1250" s="4" t="s">
        <v>175</v>
      </c>
    </row>
    <row r="1251" customFormat="false" ht="23.85" hidden="false" customHeight="false" outlineLevel="0" collapsed="false">
      <c r="A1251" s="4" t="s">
        <v>167</v>
      </c>
      <c r="B1251" s="4" t="s">
        <v>1428</v>
      </c>
      <c r="C1251" s="4" t="s">
        <v>1428</v>
      </c>
      <c r="D1251" s="12" t="n">
        <v>2023</v>
      </c>
      <c r="E1251" s="4"/>
      <c r="F1251" s="4" t="s">
        <v>169</v>
      </c>
      <c r="G1251" s="4" t="s">
        <v>170</v>
      </c>
      <c r="H1251" s="4" t="s">
        <v>171</v>
      </c>
      <c r="I1251" s="4" t="s">
        <v>172</v>
      </c>
      <c r="J1251" s="4" t="s">
        <v>1428</v>
      </c>
      <c r="K1251" s="4" t="s">
        <v>91</v>
      </c>
      <c r="L1251" s="4" t="s">
        <v>92</v>
      </c>
      <c r="M1251" s="4"/>
      <c r="N1251" s="4"/>
      <c r="O1251" s="4"/>
      <c r="P1251" s="4"/>
      <c r="Q1251" s="4"/>
      <c r="R1251" s="4"/>
      <c r="S1251" s="13" t="n">
        <v>0</v>
      </c>
      <c r="T1251" s="4" t="s">
        <v>173</v>
      </c>
      <c r="U1251" s="14" t="n">
        <f aca="false">IF(OR($S1251="",PARAMETROS!$B$4=""),"",$S1251*PARAMETROS!$B$4)</f>
        <v>0</v>
      </c>
      <c r="V1251" s="13" t="n">
        <v>0</v>
      </c>
      <c r="W1251" s="4"/>
      <c r="X1251" s="4"/>
      <c r="Y1251" s="4"/>
      <c r="Z1251" s="4"/>
      <c r="AA1251" s="4"/>
      <c r="AB1251" s="4"/>
      <c r="AC1251" s="4"/>
      <c r="AD1251" s="4"/>
      <c r="AE1251" s="4"/>
      <c r="AF1251" s="4"/>
      <c r="AG1251" s="4"/>
      <c r="AH1251" s="4"/>
      <c r="AI1251" s="4"/>
      <c r="AJ1251" s="4"/>
      <c r="AK1251" s="4"/>
      <c r="AL1251" s="4" t="s">
        <v>174</v>
      </c>
      <c r="AM1251" s="4" t="s">
        <v>175</v>
      </c>
    </row>
    <row r="1252" customFormat="false" ht="23.85" hidden="false" customHeight="false" outlineLevel="0" collapsed="false">
      <c r="A1252" s="4" t="s">
        <v>167</v>
      </c>
      <c r="B1252" s="4" t="s">
        <v>1429</v>
      </c>
      <c r="C1252" s="4" t="s">
        <v>1429</v>
      </c>
      <c r="D1252" s="12" t="n">
        <v>2023</v>
      </c>
      <c r="E1252" s="4"/>
      <c r="F1252" s="4" t="s">
        <v>169</v>
      </c>
      <c r="G1252" s="4" t="s">
        <v>170</v>
      </c>
      <c r="H1252" s="4" t="s">
        <v>171</v>
      </c>
      <c r="I1252" s="4" t="s">
        <v>172</v>
      </c>
      <c r="J1252" s="4" t="s">
        <v>1429</v>
      </c>
      <c r="K1252" s="4" t="s">
        <v>91</v>
      </c>
      <c r="L1252" s="4" t="s">
        <v>92</v>
      </c>
      <c r="M1252" s="4"/>
      <c r="N1252" s="4"/>
      <c r="O1252" s="4"/>
      <c r="P1252" s="4"/>
      <c r="Q1252" s="4"/>
      <c r="R1252" s="4"/>
      <c r="S1252" s="13" t="n">
        <v>0</v>
      </c>
      <c r="T1252" s="4" t="s">
        <v>173</v>
      </c>
      <c r="U1252" s="14" t="n">
        <f aca="false">IF(OR($S1252="",PARAMETROS!$B$4=""),"",$S1252*PARAMETROS!$B$4)</f>
        <v>0</v>
      </c>
      <c r="V1252" s="13" t="n">
        <v>0</v>
      </c>
      <c r="W1252" s="4"/>
      <c r="X1252" s="4"/>
      <c r="Y1252" s="4"/>
      <c r="Z1252" s="4"/>
      <c r="AA1252" s="4"/>
      <c r="AB1252" s="4"/>
      <c r="AC1252" s="4"/>
      <c r="AD1252" s="4"/>
      <c r="AE1252" s="4"/>
      <c r="AF1252" s="4"/>
      <c r="AG1252" s="4"/>
      <c r="AH1252" s="4"/>
      <c r="AI1252" s="4"/>
      <c r="AJ1252" s="4"/>
      <c r="AK1252" s="4"/>
      <c r="AL1252" s="4" t="s">
        <v>174</v>
      </c>
      <c r="AM1252" s="4" t="s">
        <v>175</v>
      </c>
    </row>
    <row r="1253" customFormat="false" ht="23.85" hidden="false" customHeight="false" outlineLevel="0" collapsed="false">
      <c r="A1253" s="4" t="s">
        <v>167</v>
      </c>
      <c r="B1253" s="4" t="s">
        <v>1430</v>
      </c>
      <c r="C1253" s="4" t="s">
        <v>1430</v>
      </c>
      <c r="D1253" s="12" t="n">
        <v>2023</v>
      </c>
      <c r="E1253" s="4"/>
      <c r="F1253" s="4" t="s">
        <v>169</v>
      </c>
      <c r="G1253" s="4" t="s">
        <v>170</v>
      </c>
      <c r="H1253" s="4" t="s">
        <v>171</v>
      </c>
      <c r="I1253" s="4" t="s">
        <v>172</v>
      </c>
      <c r="J1253" s="4" t="s">
        <v>1430</v>
      </c>
      <c r="K1253" s="4" t="s">
        <v>91</v>
      </c>
      <c r="L1253" s="4" t="s">
        <v>92</v>
      </c>
      <c r="M1253" s="4"/>
      <c r="N1253" s="4"/>
      <c r="O1253" s="4"/>
      <c r="P1253" s="4"/>
      <c r="Q1253" s="4"/>
      <c r="R1253" s="4"/>
      <c r="S1253" s="13" t="n">
        <v>-9992.55</v>
      </c>
      <c r="T1253" s="4" t="s">
        <v>173</v>
      </c>
      <c r="U1253" s="14" t="n">
        <f aca="false">IF(OR($S1253="",PARAMETROS!$B$4=""),"",$S1253*PARAMETROS!$B$4)</f>
        <v>-58056.7155</v>
      </c>
      <c r="V1253" s="13" t="n">
        <v>0</v>
      </c>
      <c r="W1253" s="4"/>
      <c r="X1253" s="4"/>
      <c r="Y1253" s="4"/>
      <c r="Z1253" s="4"/>
      <c r="AA1253" s="4"/>
      <c r="AB1253" s="4"/>
      <c r="AC1253" s="4"/>
      <c r="AD1253" s="4"/>
      <c r="AE1253" s="4"/>
      <c r="AF1253" s="4"/>
      <c r="AG1253" s="4"/>
      <c r="AH1253" s="4"/>
      <c r="AI1253" s="4"/>
      <c r="AJ1253" s="4"/>
      <c r="AK1253" s="4"/>
      <c r="AL1253" s="4" t="s">
        <v>174</v>
      </c>
      <c r="AM1253" s="4" t="s">
        <v>175</v>
      </c>
    </row>
    <row r="1254" customFormat="false" ht="23.85" hidden="false" customHeight="false" outlineLevel="0" collapsed="false">
      <c r="A1254" s="4" t="s">
        <v>167</v>
      </c>
      <c r="B1254" s="4" t="s">
        <v>1431</v>
      </c>
      <c r="C1254" s="4" t="s">
        <v>1431</v>
      </c>
      <c r="D1254" s="12" t="n">
        <v>2023</v>
      </c>
      <c r="E1254" s="4"/>
      <c r="F1254" s="4" t="s">
        <v>169</v>
      </c>
      <c r="G1254" s="4" t="s">
        <v>170</v>
      </c>
      <c r="H1254" s="4" t="s">
        <v>171</v>
      </c>
      <c r="I1254" s="4" t="s">
        <v>172</v>
      </c>
      <c r="J1254" s="4" t="s">
        <v>1431</v>
      </c>
      <c r="K1254" s="4" t="s">
        <v>91</v>
      </c>
      <c r="L1254" s="4" t="s">
        <v>92</v>
      </c>
      <c r="M1254" s="4"/>
      <c r="N1254" s="4"/>
      <c r="O1254" s="4"/>
      <c r="P1254" s="4"/>
      <c r="Q1254" s="4"/>
      <c r="R1254" s="4"/>
      <c r="S1254" s="13" t="n">
        <v>-5337.66</v>
      </c>
      <c r="T1254" s="4" t="s">
        <v>173</v>
      </c>
      <c r="U1254" s="14" t="n">
        <f aca="false">IF(OR($S1254="",PARAMETROS!$B$4=""),"",$S1254*PARAMETROS!$B$4)</f>
        <v>-31011.8046</v>
      </c>
      <c r="V1254" s="13" t="n">
        <v>0</v>
      </c>
      <c r="W1254" s="4"/>
      <c r="X1254" s="4"/>
      <c r="Y1254" s="4"/>
      <c r="Z1254" s="4"/>
      <c r="AA1254" s="4"/>
      <c r="AB1254" s="4"/>
      <c r="AC1254" s="4"/>
      <c r="AD1254" s="4"/>
      <c r="AE1254" s="4"/>
      <c r="AF1254" s="4"/>
      <c r="AG1254" s="4"/>
      <c r="AH1254" s="4"/>
      <c r="AI1254" s="4"/>
      <c r="AJ1254" s="4"/>
      <c r="AK1254" s="4"/>
      <c r="AL1254" s="4" t="s">
        <v>174</v>
      </c>
      <c r="AM1254" s="4" t="s">
        <v>175</v>
      </c>
    </row>
    <row r="1255" customFormat="false" ht="23.85" hidden="false" customHeight="false" outlineLevel="0" collapsed="false">
      <c r="A1255" s="4" t="s">
        <v>167</v>
      </c>
      <c r="B1255" s="4" t="s">
        <v>1432</v>
      </c>
      <c r="C1255" s="4" t="s">
        <v>1432</v>
      </c>
      <c r="D1255" s="12" t="n">
        <v>2023</v>
      </c>
      <c r="E1255" s="4"/>
      <c r="F1255" s="4" t="s">
        <v>169</v>
      </c>
      <c r="G1255" s="4" t="s">
        <v>170</v>
      </c>
      <c r="H1255" s="4" t="s">
        <v>171</v>
      </c>
      <c r="I1255" s="4" t="s">
        <v>172</v>
      </c>
      <c r="J1255" s="4" t="s">
        <v>1432</v>
      </c>
      <c r="K1255" s="4" t="s">
        <v>91</v>
      </c>
      <c r="L1255" s="4" t="s">
        <v>92</v>
      </c>
      <c r="M1255" s="4"/>
      <c r="N1255" s="4"/>
      <c r="O1255" s="4"/>
      <c r="P1255" s="4"/>
      <c r="Q1255" s="4"/>
      <c r="R1255" s="4"/>
      <c r="S1255" s="13" t="n">
        <v>0</v>
      </c>
      <c r="T1255" s="4" t="s">
        <v>173</v>
      </c>
      <c r="U1255" s="14" t="n">
        <f aca="false">IF(OR($S1255="",PARAMETROS!$B$4=""),"",$S1255*PARAMETROS!$B$4)</f>
        <v>0</v>
      </c>
      <c r="V1255" s="13" t="n">
        <v>0</v>
      </c>
      <c r="W1255" s="4"/>
      <c r="X1255" s="4"/>
      <c r="Y1255" s="4"/>
      <c r="Z1255" s="4"/>
      <c r="AA1255" s="4"/>
      <c r="AB1255" s="4"/>
      <c r="AC1255" s="4"/>
      <c r="AD1255" s="4"/>
      <c r="AE1255" s="4"/>
      <c r="AF1255" s="4"/>
      <c r="AG1255" s="4"/>
      <c r="AH1255" s="4"/>
      <c r="AI1255" s="4"/>
      <c r="AJ1255" s="4"/>
      <c r="AK1255" s="4"/>
      <c r="AL1255" s="4" t="s">
        <v>174</v>
      </c>
      <c r="AM1255" s="4" t="s">
        <v>175</v>
      </c>
    </row>
    <row r="1256" customFormat="false" ht="23.85" hidden="false" customHeight="false" outlineLevel="0" collapsed="false">
      <c r="A1256" s="4" t="s">
        <v>167</v>
      </c>
      <c r="B1256" s="4" t="s">
        <v>1433</v>
      </c>
      <c r="C1256" s="4" t="s">
        <v>1433</v>
      </c>
      <c r="D1256" s="12" t="n">
        <v>2023</v>
      </c>
      <c r="E1256" s="4"/>
      <c r="F1256" s="4" t="s">
        <v>169</v>
      </c>
      <c r="G1256" s="4" t="s">
        <v>170</v>
      </c>
      <c r="H1256" s="4" t="s">
        <v>171</v>
      </c>
      <c r="I1256" s="4" t="s">
        <v>172</v>
      </c>
      <c r="J1256" s="4" t="s">
        <v>1433</v>
      </c>
      <c r="K1256" s="4" t="s">
        <v>91</v>
      </c>
      <c r="L1256" s="4" t="s">
        <v>92</v>
      </c>
      <c r="M1256" s="4"/>
      <c r="N1256" s="4"/>
      <c r="O1256" s="4"/>
      <c r="P1256" s="4"/>
      <c r="Q1256" s="4"/>
      <c r="R1256" s="4"/>
      <c r="S1256" s="13" t="n">
        <v>0</v>
      </c>
      <c r="T1256" s="4" t="s">
        <v>173</v>
      </c>
      <c r="U1256" s="14" t="n">
        <f aca="false">IF(OR($S1256="",PARAMETROS!$B$4=""),"",$S1256*PARAMETROS!$B$4)</f>
        <v>0</v>
      </c>
      <c r="V1256" s="13" t="n">
        <v>0</v>
      </c>
      <c r="W1256" s="4"/>
      <c r="X1256" s="4"/>
      <c r="Y1256" s="4"/>
      <c r="Z1256" s="4"/>
      <c r="AA1256" s="4"/>
      <c r="AB1256" s="4"/>
      <c r="AC1256" s="4"/>
      <c r="AD1256" s="4"/>
      <c r="AE1256" s="4"/>
      <c r="AF1256" s="4"/>
      <c r="AG1256" s="4"/>
      <c r="AH1256" s="4"/>
      <c r="AI1256" s="4"/>
      <c r="AJ1256" s="4"/>
      <c r="AK1256" s="4"/>
      <c r="AL1256" s="4" t="s">
        <v>174</v>
      </c>
      <c r="AM1256" s="4" t="s">
        <v>175</v>
      </c>
    </row>
    <row r="1257" customFormat="false" ht="23.85" hidden="false" customHeight="false" outlineLevel="0" collapsed="false">
      <c r="A1257" s="4" t="s">
        <v>167</v>
      </c>
      <c r="B1257" s="4" t="s">
        <v>1434</v>
      </c>
      <c r="C1257" s="4" t="s">
        <v>1434</v>
      </c>
      <c r="D1257" s="12" t="n">
        <v>2023</v>
      </c>
      <c r="E1257" s="4"/>
      <c r="F1257" s="4" t="s">
        <v>169</v>
      </c>
      <c r="G1257" s="4" t="s">
        <v>170</v>
      </c>
      <c r="H1257" s="4" t="s">
        <v>171</v>
      </c>
      <c r="I1257" s="4" t="s">
        <v>172</v>
      </c>
      <c r="J1257" s="4" t="s">
        <v>1434</v>
      </c>
      <c r="K1257" s="4" t="s">
        <v>91</v>
      </c>
      <c r="L1257" s="4" t="s">
        <v>92</v>
      </c>
      <c r="M1257" s="4"/>
      <c r="N1257" s="4"/>
      <c r="O1257" s="4"/>
      <c r="P1257" s="4"/>
      <c r="Q1257" s="4"/>
      <c r="R1257" s="4"/>
      <c r="S1257" s="13" t="n">
        <v>0</v>
      </c>
      <c r="T1257" s="4" t="s">
        <v>173</v>
      </c>
      <c r="U1257" s="14" t="n">
        <f aca="false">IF(OR($S1257="",PARAMETROS!$B$4=""),"",$S1257*PARAMETROS!$B$4)</f>
        <v>0</v>
      </c>
      <c r="V1257" s="13" t="n">
        <v>0</v>
      </c>
      <c r="W1257" s="4"/>
      <c r="X1257" s="4"/>
      <c r="Y1257" s="4"/>
      <c r="Z1257" s="4"/>
      <c r="AA1257" s="4"/>
      <c r="AB1257" s="4"/>
      <c r="AC1257" s="4"/>
      <c r="AD1257" s="4"/>
      <c r="AE1257" s="4"/>
      <c r="AF1257" s="4"/>
      <c r="AG1257" s="4"/>
      <c r="AH1257" s="4"/>
      <c r="AI1257" s="4"/>
      <c r="AJ1257" s="4"/>
      <c r="AK1257" s="4"/>
      <c r="AL1257" s="4" t="s">
        <v>174</v>
      </c>
      <c r="AM1257" s="4" t="s">
        <v>175</v>
      </c>
    </row>
    <row r="1258" customFormat="false" ht="23.85" hidden="false" customHeight="false" outlineLevel="0" collapsed="false">
      <c r="A1258" s="4" t="s">
        <v>167</v>
      </c>
      <c r="B1258" s="4" t="s">
        <v>1435</v>
      </c>
      <c r="C1258" s="4" t="s">
        <v>1435</v>
      </c>
      <c r="D1258" s="12" t="n">
        <v>2023</v>
      </c>
      <c r="E1258" s="4"/>
      <c r="F1258" s="4" t="s">
        <v>169</v>
      </c>
      <c r="G1258" s="4" t="s">
        <v>170</v>
      </c>
      <c r="H1258" s="4" t="s">
        <v>171</v>
      </c>
      <c r="I1258" s="4" t="s">
        <v>172</v>
      </c>
      <c r="J1258" s="4" t="s">
        <v>1435</v>
      </c>
      <c r="K1258" s="4" t="s">
        <v>91</v>
      </c>
      <c r="L1258" s="4" t="s">
        <v>92</v>
      </c>
      <c r="M1258" s="4"/>
      <c r="N1258" s="4"/>
      <c r="O1258" s="4"/>
      <c r="P1258" s="4"/>
      <c r="Q1258" s="4"/>
      <c r="R1258" s="4"/>
      <c r="S1258" s="13" t="n">
        <v>0</v>
      </c>
      <c r="T1258" s="4" t="s">
        <v>173</v>
      </c>
      <c r="U1258" s="14" t="n">
        <f aca="false">IF(OR($S1258="",PARAMETROS!$B$4=""),"",$S1258*PARAMETROS!$B$4)</f>
        <v>0</v>
      </c>
      <c r="V1258" s="13" t="n">
        <v>0</v>
      </c>
      <c r="W1258" s="4"/>
      <c r="X1258" s="4"/>
      <c r="Y1258" s="4"/>
      <c r="Z1258" s="4"/>
      <c r="AA1258" s="4"/>
      <c r="AB1258" s="4"/>
      <c r="AC1258" s="4"/>
      <c r="AD1258" s="4"/>
      <c r="AE1258" s="4"/>
      <c r="AF1258" s="4"/>
      <c r="AG1258" s="4"/>
      <c r="AH1258" s="4"/>
      <c r="AI1258" s="4"/>
      <c r="AJ1258" s="4"/>
      <c r="AK1258" s="4"/>
      <c r="AL1258" s="4" t="s">
        <v>174</v>
      </c>
      <c r="AM1258" s="4" t="s">
        <v>175</v>
      </c>
    </row>
    <row r="1259" customFormat="false" ht="23.85" hidden="false" customHeight="false" outlineLevel="0" collapsed="false">
      <c r="A1259" s="4" t="s">
        <v>167</v>
      </c>
      <c r="B1259" s="4" t="s">
        <v>1436</v>
      </c>
      <c r="C1259" s="4" t="s">
        <v>1436</v>
      </c>
      <c r="D1259" s="12" t="n">
        <v>2023</v>
      </c>
      <c r="E1259" s="4"/>
      <c r="F1259" s="4" t="s">
        <v>169</v>
      </c>
      <c r="G1259" s="4" t="s">
        <v>170</v>
      </c>
      <c r="H1259" s="4" t="s">
        <v>171</v>
      </c>
      <c r="I1259" s="4" t="s">
        <v>172</v>
      </c>
      <c r="J1259" s="4" t="s">
        <v>1436</v>
      </c>
      <c r="K1259" s="4" t="s">
        <v>91</v>
      </c>
      <c r="L1259" s="4" t="s">
        <v>92</v>
      </c>
      <c r="M1259" s="4"/>
      <c r="N1259" s="4"/>
      <c r="O1259" s="4"/>
      <c r="P1259" s="4"/>
      <c r="Q1259" s="4"/>
      <c r="R1259" s="4"/>
      <c r="S1259" s="13" t="n">
        <v>0</v>
      </c>
      <c r="T1259" s="4" t="s">
        <v>173</v>
      </c>
      <c r="U1259" s="14" t="n">
        <f aca="false">IF(OR($S1259="",PARAMETROS!$B$4=""),"",$S1259*PARAMETROS!$B$4)</f>
        <v>0</v>
      </c>
      <c r="V1259" s="13" t="n">
        <v>0</v>
      </c>
      <c r="W1259" s="4"/>
      <c r="X1259" s="4"/>
      <c r="Y1259" s="4"/>
      <c r="Z1259" s="4"/>
      <c r="AA1259" s="4"/>
      <c r="AB1259" s="4"/>
      <c r="AC1259" s="4"/>
      <c r="AD1259" s="4"/>
      <c r="AE1259" s="4"/>
      <c r="AF1259" s="4"/>
      <c r="AG1259" s="4"/>
      <c r="AH1259" s="4"/>
      <c r="AI1259" s="4"/>
      <c r="AJ1259" s="4"/>
      <c r="AK1259" s="4"/>
      <c r="AL1259" s="4" t="s">
        <v>174</v>
      </c>
      <c r="AM1259" s="4" t="s">
        <v>175</v>
      </c>
    </row>
    <row r="1260" customFormat="false" ht="23.85" hidden="false" customHeight="false" outlineLevel="0" collapsed="false">
      <c r="A1260" s="4" t="s">
        <v>167</v>
      </c>
      <c r="B1260" s="4" t="s">
        <v>1437</v>
      </c>
      <c r="C1260" s="4" t="s">
        <v>1437</v>
      </c>
      <c r="D1260" s="12" t="n">
        <v>2023</v>
      </c>
      <c r="E1260" s="4"/>
      <c r="F1260" s="4" t="s">
        <v>169</v>
      </c>
      <c r="G1260" s="4" t="s">
        <v>170</v>
      </c>
      <c r="H1260" s="4" t="s">
        <v>171</v>
      </c>
      <c r="I1260" s="4" t="s">
        <v>172</v>
      </c>
      <c r="J1260" s="4" t="s">
        <v>1437</v>
      </c>
      <c r="K1260" s="4" t="s">
        <v>91</v>
      </c>
      <c r="L1260" s="4" t="s">
        <v>92</v>
      </c>
      <c r="M1260" s="4"/>
      <c r="N1260" s="4"/>
      <c r="O1260" s="4"/>
      <c r="P1260" s="4"/>
      <c r="Q1260" s="4"/>
      <c r="R1260" s="4"/>
      <c r="S1260" s="13" t="n">
        <v>0</v>
      </c>
      <c r="T1260" s="4" t="s">
        <v>173</v>
      </c>
      <c r="U1260" s="14" t="n">
        <f aca="false">IF(OR($S1260="",PARAMETROS!$B$4=""),"",$S1260*PARAMETROS!$B$4)</f>
        <v>0</v>
      </c>
      <c r="V1260" s="13" t="n">
        <v>0</v>
      </c>
      <c r="W1260" s="4"/>
      <c r="X1260" s="4"/>
      <c r="Y1260" s="4"/>
      <c r="Z1260" s="4"/>
      <c r="AA1260" s="4"/>
      <c r="AB1260" s="4"/>
      <c r="AC1260" s="4"/>
      <c r="AD1260" s="4"/>
      <c r="AE1260" s="4"/>
      <c r="AF1260" s="4"/>
      <c r="AG1260" s="4"/>
      <c r="AH1260" s="4"/>
      <c r="AI1260" s="4"/>
      <c r="AJ1260" s="4"/>
      <c r="AK1260" s="4"/>
      <c r="AL1260" s="4" t="s">
        <v>174</v>
      </c>
      <c r="AM1260" s="4" t="s">
        <v>175</v>
      </c>
    </row>
    <row r="1261" customFormat="false" ht="23.85" hidden="false" customHeight="false" outlineLevel="0" collapsed="false">
      <c r="A1261" s="4" t="s">
        <v>167</v>
      </c>
      <c r="B1261" s="4" t="s">
        <v>1438</v>
      </c>
      <c r="C1261" s="4" t="s">
        <v>1438</v>
      </c>
      <c r="D1261" s="12" t="n">
        <v>2023</v>
      </c>
      <c r="E1261" s="4"/>
      <c r="F1261" s="4" t="s">
        <v>169</v>
      </c>
      <c r="G1261" s="4" t="s">
        <v>170</v>
      </c>
      <c r="H1261" s="4" t="s">
        <v>171</v>
      </c>
      <c r="I1261" s="4" t="s">
        <v>172</v>
      </c>
      <c r="J1261" s="4" t="s">
        <v>1438</v>
      </c>
      <c r="K1261" s="4" t="s">
        <v>91</v>
      </c>
      <c r="L1261" s="4" t="s">
        <v>92</v>
      </c>
      <c r="M1261" s="4"/>
      <c r="N1261" s="4"/>
      <c r="O1261" s="4"/>
      <c r="P1261" s="4"/>
      <c r="Q1261" s="4"/>
      <c r="R1261" s="4"/>
      <c r="S1261" s="13" t="n">
        <v>0</v>
      </c>
      <c r="T1261" s="4" t="s">
        <v>173</v>
      </c>
      <c r="U1261" s="14" t="n">
        <f aca="false">IF(OR($S1261="",PARAMETROS!$B$4=""),"",$S1261*PARAMETROS!$B$4)</f>
        <v>0</v>
      </c>
      <c r="V1261" s="13" t="n">
        <v>0</v>
      </c>
      <c r="W1261" s="4"/>
      <c r="X1261" s="4"/>
      <c r="Y1261" s="4"/>
      <c r="Z1261" s="4"/>
      <c r="AA1261" s="4"/>
      <c r="AB1261" s="4"/>
      <c r="AC1261" s="4"/>
      <c r="AD1261" s="4"/>
      <c r="AE1261" s="4"/>
      <c r="AF1261" s="4"/>
      <c r="AG1261" s="4"/>
      <c r="AH1261" s="4"/>
      <c r="AI1261" s="4"/>
      <c r="AJ1261" s="4"/>
      <c r="AK1261" s="4"/>
      <c r="AL1261" s="4" t="s">
        <v>174</v>
      </c>
      <c r="AM1261" s="4" t="s">
        <v>175</v>
      </c>
    </row>
    <row r="1262" customFormat="false" ht="23.85" hidden="false" customHeight="false" outlineLevel="0" collapsed="false">
      <c r="A1262" s="4" t="s">
        <v>167</v>
      </c>
      <c r="B1262" s="4" t="s">
        <v>1439</v>
      </c>
      <c r="C1262" s="4" t="s">
        <v>1439</v>
      </c>
      <c r="D1262" s="12" t="n">
        <v>2023</v>
      </c>
      <c r="E1262" s="4"/>
      <c r="F1262" s="4" t="s">
        <v>169</v>
      </c>
      <c r="G1262" s="4" t="s">
        <v>170</v>
      </c>
      <c r="H1262" s="4" t="s">
        <v>171</v>
      </c>
      <c r="I1262" s="4" t="s">
        <v>172</v>
      </c>
      <c r="J1262" s="4" t="s">
        <v>1439</v>
      </c>
      <c r="K1262" s="4" t="s">
        <v>93</v>
      </c>
      <c r="L1262" s="4" t="s">
        <v>94</v>
      </c>
      <c r="M1262" s="4"/>
      <c r="N1262" s="4"/>
      <c r="O1262" s="4"/>
      <c r="P1262" s="4"/>
      <c r="Q1262" s="4"/>
      <c r="R1262" s="4"/>
      <c r="S1262" s="13" t="n">
        <v>62.38</v>
      </c>
      <c r="T1262" s="4" t="s">
        <v>173</v>
      </c>
      <c r="U1262" s="14" t="n">
        <f aca="false">IF(OR($S1262="",PARAMETROS!$B$4=""),"",$S1262*PARAMETROS!$B$4)</f>
        <v>362.4278</v>
      </c>
      <c r="V1262" s="13" t="n">
        <v>0</v>
      </c>
      <c r="W1262" s="4"/>
      <c r="X1262" s="4"/>
      <c r="Y1262" s="4"/>
      <c r="Z1262" s="4"/>
      <c r="AA1262" s="4"/>
      <c r="AB1262" s="4"/>
      <c r="AC1262" s="4"/>
      <c r="AD1262" s="4"/>
      <c r="AE1262" s="4"/>
      <c r="AF1262" s="4"/>
      <c r="AG1262" s="4"/>
      <c r="AH1262" s="4"/>
      <c r="AI1262" s="4"/>
      <c r="AJ1262" s="4"/>
      <c r="AK1262" s="4"/>
      <c r="AL1262" s="4" t="s">
        <v>174</v>
      </c>
      <c r="AM1262" s="4" t="s">
        <v>190</v>
      </c>
    </row>
    <row r="1263" customFormat="false" ht="23.85" hidden="false" customHeight="false" outlineLevel="0" collapsed="false">
      <c r="A1263" s="4" t="s">
        <v>167</v>
      </c>
      <c r="B1263" s="4" t="s">
        <v>1440</v>
      </c>
      <c r="C1263" s="4" t="s">
        <v>1440</v>
      </c>
      <c r="D1263" s="12" t="n">
        <v>2023</v>
      </c>
      <c r="E1263" s="4"/>
      <c r="F1263" s="4" t="s">
        <v>169</v>
      </c>
      <c r="G1263" s="4" t="s">
        <v>170</v>
      </c>
      <c r="H1263" s="4" t="s">
        <v>171</v>
      </c>
      <c r="I1263" s="4" t="s">
        <v>172</v>
      </c>
      <c r="J1263" s="4" t="s">
        <v>1440</v>
      </c>
      <c r="K1263" s="4" t="s">
        <v>93</v>
      </c>
      <c r="L1263" s="4" t="s">
        <v>94</v>
      </c>
      <c r="M1263" s="4"/>
      <c r="N1263" s="4"/>
      <c r="O1263" s="4"/>
      <c r="P1263" s="4"/>
      <c r="Q1263" s="4"/>
      <c r="R1263" s="4"/>
      <c r="S1263" s="13" t="n">
        <v>0</v>
      </c>
      <c r="T1263" s="4" t="s">
        <v>173</v>
      </c>
      <c r="U1263" s="14" t="n">
        <f aca="false">IF(OR($S1263="",PARAMETROS!$B$4=""),"",$S1263*PARAMETROS!$B$4)</f>
        <v>0</v>
      </c>
      <c r="V1263" s="13" t="n">
        <v>0</v>
      </c>
      <c r="W1263" s="4"/>
      <c r="X1263" s="4"/>
      <c r="Y1263" s="4"/>
      <c r="Z1263" s="4"/>
      <c r="AA1263" s="4"/>
      <c r="AB1263" s="4"/>
      <c r="AC1263" s="4"/>
      <c r="AD1263" s="4"/>
      <c r="AE1263" s="4"/>
      <c r="AF1263" s="4"/>
      <c r="AG1263" s="4"/>
      <c r="AH1263" s="4"/>
      <c r="AI1263" s="4"/>
      <c r="AJ1263" s="4"/>
      <c r="AK1263" s="4"/>
      <c r="AL1263" s="4" t="s">
        <v>174</v>
      </c>
      <c r="AM1263" s="4" t="s">
        <v>190</v>
      </c>
    </row>
    <row r="1264" customFormat="false" ht="23.85" hidden="false" customHeight="false" outlineLevel="0" collapsed="false">
      <c r="A1264" s="4" t="s">
        <v>167</v>
      </c>
      <c r="B1264" s="4" t="s">
        <v>1441</v>
      </c>
      <c r="C1264" s="4" t="s">
        <v>1441</v>
      </c>
      <c r="D1264" s="12" t="n">
        <v>2023</v>
      </c>
      <c r="E1264" s="4"/>
      <c r="F1264" s="4" t="s">
        <v>169</v>
      </c>
      <c r="G1264" s="4" t="s">
        <v>170</v>
      </c>
      <c r="H1264" s="4" t="s">
        <v>171</v>
      </c>
      <c r="I1264" s="4" t="s">
        <v>172</v>
      </c>
      <c r="J1264" s="4" t="s">
        <v>1441</v>
      </c>
      <c r="K1264" s="4" t="s">
        <v>93</v>
      </c>
      <c r="L1264" s="4" t="s">
        <v>94</v>
      </c>
      <c r="M1264" s="4"/>
      <c r="N1264" s="4"/>
      <c r="O1264" s="4"/>
      <c r="P1264" s="4"/>
      <c r="Q1264" s="4"/>
      <c r="R1264" s="4"/>
      <c r="S1264" s="13" t="n">
        <v>0</v>
      </c>
      <c r="T1264" s="4" t="s">
        <v>173</v>
      </c>
      <c r="U1264" s="14" t="n">
        <f aca="false">IF(OR($S1264="",PARAMETROS!$B$4=""),"",$S1264*PARAMETROS!$B$4)</f>
        <v>0</v>
      </c>
      <c r="V1264" s="13" t="n">
        <v>0</v>
      </c>
      <c r="W1264" s="4"/>
      <c r="X1264" s="4"/>
      <c r="Y1264" s="4"/>
      <c r="Z1264" s="4"/>
      <c r="AA1264" s="4"/>
      <c r="AB1264" s="4"/>
      <c r="AC1264" s="4"/>
      <c r="AD1264" s="4"/>
      <c r="AE1264" s="4"/>
      <c r="AF1264" s="4"/>
      <c r="AG1264" s="4"/>
      <c r="AH1264" s="4"/>
      <c r="AI1264" s="4"/>
      <c r="AJ1264" s="4"/>
      <c r="AK1264" s="4"/>
      <c r="AL1264" s="4" t="s">
        <v>174</v>
      </c>
      <c r="AM1264" s="4" t="s">
        <v>190</v>
      </c>
    </row>
    <row r="1265" customFormat="false" ht="23.85" hidden="false" customHeight="false" outlineLevel="0" collapsed="false">
      <c r="A1265" s="4" t="s">
        <v>167</v>
      </c>
      <c r="B1265" s="4" t="s">
        <v>1442</v>
      </c>
      <c r="C1265" s="4" t="s">
        <v>1442</v>
      </c>
      <c r="D1265" s="12" t="n">
        <v>2023</v>
      </c>
      <c r="E1265" s="4"/>
      <c r="F1265" s="4" t="s">
        <v>169</v>
      </c>
      <c r="G1265" s="4" t="s">
        <v>170</v>
      </c>
      <c r="H1265" s="4" t="s">
        <v>171</v>
      </c>
      <c r="I1265" s="4" t="s">
        <v>172</v>
      </c>
      <c r="J1265" s="4" t="s">
        <v>1442</v>
      </c>
      <c r="K1265" s="4" t="s">
        <v>93</v>
      </c>
      <c r="L1265" s="4" t="s">
        <v>94</v>
      </c>
      <c r="M1265" s="4"/>
      <c r="N1265" s="4"/>
      <c r="O1265" s="4"/>
      <c r="P1265" s="4"/>
      <c r="Q1265" s="4"/>
      <c r="R1265" s="4"/>
      <c r="S1265" s="13" t="n">
        <v>0</v>
      </c>
      <c r="T1265" s="4" t="s">
        <v>173</v>
      </c>
      <c r="U1265" s="14" t="n">
        <f aca="false">IF(OR($S1265="",PARAMETROS!$B$4=""),"",$S1265*PARAMETROS!$B$4)</f>
        <v>0</v>
      </c>
      <c r="V1265" s="13" t="n">
        <v>0</v>
      </c>
      <c r="W1265" s="4"/>
      <c r="X1265" s="4"/>
      <c r="Y1265" s="4"/>
      <c r="Z1265" s="4"/>
      <c r="AA1265" s="4"/>
      <c r="AB1265" s="4"/>
      <c r="AC1265" s="4"/>
      <c r="AD1265" s="4"/>
      <c r="AE1265" s="4"/>
      <c r="AF1265" s="4"/>
      <c r="AG1265" s="4"/>
      <c r="AH1265" s="4"/>
      <c r="AI1265" s="4"/>
      <c r="AJ1265" s="4"/>
      <c r="AK1265" s="4"/>
      <c r="AL1265" s="4" t="s">
        <v>174</v>
      </c>
      <c r="AM1265" s="4" t="s">
        <v>190</v>
      </c>
    </row>
    <row r="1266" customFormat="false" ht="23.85" hidden="false" customHeight="false" outlineLevel="0" collapsed="false">
      <c r="A1266" s="4" t="s">
        <v>167</v>
      </c>
      <c r="B1266" s="4" t="s">
        <v>1443</v>
      </c>
      <c r="C1266" s="4" t="s">
        <v>1443</v>
      </c>
      <c r="D1266" s="12" t="n">
        <v>2023</v>
      </c>
      <c r="E1266" s="4"/>
      <c r="F1266" s="4" t="s">
        <v>169</v>
      </c>
      <c r="G1266" s="4" t="s">
        <v>170</v>
      </c>
      <c r="H1266" s="4" t="s">
        <v>171</v>
      </c>
      <c r="I1266" s="4" t="s">
        <v>172</v>
      </c>
      <c r="J1266" s="4" t="s">
        <v>1443</v>
      </c>
      <c r="K1266" s="4" t="s">
        <v>93</v>
      </c>
      <c r="L1266" s="4" t="s">
        <v>94</v>
      </c>
      <c r="M1266" s="4"/>
      <c r="N1266" s="4"/>
      <c r="O1266" s="4"/>
      <c r="P1266" s="4"/>
      <c r="Q1266" s="4"/>
      <c r="R1266" s="4"/>
      <c r="S1266" s="13" t="n">
        <v>0</v>
      </c>
      <c r="T1266" s="4" t="s">
        <v>173</v>
      </c>
      <c r="U1266" s="14" t="n">
        <f aca="false">IF(OR($S1266="",PARAMETROS!$B$4=""),"",$S1266*PARAMETROS!$B$4)</f>
        <v>0</v>
      </c>
      <c r="V1266" s="13" t="n">
        <v>0</v>
      </c>
      <c r="W1266" s="4"/>
      <c r="X1266" s="4"/>
      <c r="Y1266" s="4"/>
      <c r="Z1266" s="4"/>
      <c r="AA1266" s="4"/>
      <c r="AB1266" s="4"/>
      <c r="AC1266" s="4"/>
      <c r="AD1266" s="4"/>
      <c r="AE1266" s="4"/>
      <c r="AF1266" s="4"/>
      <c r="AG1266" s="4"/>
      <c r="AH1266" s="4"/>
      <c r="AI1266" s="4"/>
      <c r="AJ1266" s="4"/>
      <c r="AK1266" s="4"/>
      <c r="AL1266" s="4" t="s">
        <v>174</v>
      </c>
      <c r="AM1266" s="4" t="s">
        <v>190</v>
      </c>
    </row>
    <row r="1267" customFormat="false" ht="23.85" hidden="false" customHeight="false" outlineLevel="0" collapsed="false">
      <c r="A1267" s="4" t="s">
        <v>167</v>
      </c>
      <c r="B1267" s="4" t="s">
        <v>1444</v>
      </c>
      <c r="C1267" s="4" t="s">
        <v>1444</v>
      </c>
      <c r="D1267" s="12" t="n">
        <v>2023</v>
      </c>
      <c r="E1267" s="4"/>
      <c r="F1267" s="4" t="s">
        <v>169</v>
      </c>
      <c r="G1267" s="4" t="s">
        <v>170</v>
      </c>
      <c r="H1267" s="4" t="s">
        <v>171</v>
      </c>
      <c r="I1267" s="4" t="s">
        <v>172</v>
      </c>
      <c r="J1267" s="4" t="s">
        <v>1444</v>
      </c>
      <c r="K1267" s="4" t="s">
        <v>93</v>
      </c>
      <c r="L1267" s="4" t="s">
        <v>94</v>
      </c>
      <c r="M1267" s="4"/>
      <c r="N1267" s="4"/>
      <c r="O1267" s="4"/>
      <c r="P1267" s="4"/>
      <c r="Q1267" s="4"/>
      <c r="R1267" s="4"/>
      <c r="S1267" s="13" t="n">
        <v>-62.38</v>
      </c>
      <c r="T1267" s="4" t="s">
        <v>173</v>
      </c>
      <c r="U1267" s="14" t="n">
        <f aca="false">IF(OR($S1267="",PARAMETROS!$B$4=""),"",$S1267*PARAMETROS!$B$4)</f>
        <v>-362.4278</v>
      </c>
      <c r="V1267" s="13" t="n">
        <v>0</v>
      </c>
      <c r="W1267" s="4"/>
      <c r="X1267" s="4"/>
      <c r="Y1267" s="4"/>
      <c r="Z1267" s="4"/>
      <c r="AA1267" s="4"/>
      <c r="AB1267" s="4"/>
      <c r="AC1267" s="4"/>
      <c r="AD1267" s="4"/>
      <c r="AE1267" s="4"/>
      <c r="AF1267" s="4"/>
      <c r="AG1267" s="4"/>
      <c r="AH1267" s="4"/>
      <c r="AI1267" s="4"/>
      <c r="AJ1267" s="4"/>
      <c r="AK1267" s="4"/>
      <c r="AL1267" s="4" t="s">
        <v>174</v>
      </c>
      <c r="AM1267" s="4" t="s">
        <v>190</v>
      </c>
    </row>
    <row r="1268" customFormat="false" ht="23.85" hidden="false" customHeight="false" outlineLevel="0" collapsed="false">
      <c r="A1268" s="4" t="s">
        <v>167</v>
      </c>
      <c r="B1268" s="4" t="s">
        <v>1445</v>
      </c>
      <c r="C1268" s="4" t="s">
        <v>1445</v>
      </c>
      <c r="D1268" s="12" t="n">
        <v>2023</v>
      </c>
      <c r="E1268" s="4"/>
      <c r="F1268" s="4" t="s">
        <v>169</v>
      </c>
      <c r="G1268" s="4" t="s">
        <v>170</v>
      </c>
      <c r="H1268" s="4" t="s">
        <v>171</v>
      </c>
      <c r="I1268" s="4" t="s">
        <v>172</v>
      </c>
      <c r="J1268" s="4" t="s">
        <v>1445</v>
      </c>
      <c r="K1268" s="4" t="s">
        <v>93</v>
      </c>
      <c r="L1268" s="4" t="s">
        <v>94</v>
      </c>
      <c r="M1268" s="4"/>
      <c r="N1268" s="4"/>
      <c r="O1268" s="4"/>
      <c r="P1268" s="4"/>
      <c r="Q1268" s="4"/>
      <c r="R1268" s="4"/>
      <c r="S1268" s="13" t="n">
        <v>0</v>
      </c>
      <c r="T1268" s="4" t="s">
        <v>173</v>
      </c>
      <c r="U1268" s="14" t="n">
        <f aca="false">IF(OR($S1268="",PARAMETROS!$B$4=""),"",$S1268*PARAMETROS!$B$4)</f>
        <v>0</v>
      </c>
      <c r="V1268" s="13" t="n">
        <v>0</v>
      </c>
      <c r="W1268" s="4"/>
      <c r="X1268" s="4"/>
      <c r="Y1268" s="4"/>
      <c r="Z1268" s="4"/>
      <c r="AA1268" s="4"/>
      <c r="AB1268" s="4"/>
      <c r="AC1268" s="4"/>
      <c r="AD1268" s="4"/>
      <c r="AE1268" s="4"/>
      <c r="AF1268" s="4"/>
      <c r="AG1268" s="4"/>
      <c r="AH1268" s="4"/>
      <c r="AI1268" s="4"/>
      <c r="AJ1268" s="4"/>
      <c r="AK1268" s="4"/>
      <c r="AL1268" s="4" t="s">
        <v>174</v>
      </c>
      <c r="AM1268" s="4" t="s">
        <v>190</v>
      </c>
    </row>
    <row r="1269" customFormat="false" ht="23.85" hidden="false" customHeight="false" outlineLevel="0" collapsed="false">
      <c r="A1269" s="4" t="s">
        <v>167</v>
      </c>
      <c r="B1269" s="4" t="s">
        <v>1446</v>
      </c>
      <c r="C1269" s="4" t="s">
        <v>1446</v>
      </c>
      <c r="D1269" s="12" t="n">
        <v>2023</v>
      </c>
      <c r="E1269" s="4"/>
      <c r="F1269" s="4" t="s">
        <v>169</v>
      </c>
      <c r="G1269" s="4" t="s">
        <v>170</v>
      </c>
      <c r="H1269" s="4" t="s">
        <v>171</v>
      </c>
      <c r="I1269" s="4" t="s">
        <v>172</v>
      </c>
      <c r="J1269" s="4" t="s">
        <v>1446</v>
      </c>
      <c r="K1269" s="4" t="s">
        <v>93</v>
      </c>
      <c r="L1269" s="4" t="s">
        <v>94</v>
      </c>
      <c r="M1269" s="4"/>
      <c r="N1269" s="4"/>
      <c r="O1269" s="4"/>
      <c r="P1269" s="4"/>
      <c r="Q1269" s="4"/>
      <c r="R1269" s="4"/>
      <c r="S1269" s="13" t="n">
        <v>0</v>
      </c>
      <c r="T1269" s="4" t="s">
        <v>173</v>
      </c>
      <c r="U1269" s="14" t="n">
        <f aca="false">IF(OR($S1269="",PARAMETROS!$B$4=""),"",$S1269*PARAMETROS!$B$4)</f>
        <v>0</v>
      </c>
      <c r="V1269" s="13" t="n">
        <v>0</v>
      </c>
      <c r="W1269" s="4"/>
      <c r="X1269" s="4"/>
      <c r="Y1269" s="4"/>
      <c r="Z1269" s="4"/>
      <c r="AA1269" s="4"/>
      <c r="AB1269" s="4"/>
      <c r="AC1269" s="4"/>
      <c r="AD1269" s="4"/>
      <c r="AE1269" s="4"/>
      <c r="AF1269" s="4"/>
      <c r="AG1269" s="4"/>
      <c r="AH1269" s="4"/>
      <c r="AI1269" s="4"/>
      <c r="AJ1269" s="4"/>
      <c r="AK1269" s="4"/>
      <c r="AL1269" s="4" t="s">
        <v>174</v>
      </c>
      <c r="AM1269" s="4" t="s">
        <v>190</v>
      </c>
    </row>
    <row r="1270" customFormat="false" ht="23.85" hidden="false" customHeight="false" outlineLevel="0" collapsed="false">
      <c r="A1270" s="4" t="s">
        <v>167</v>
      </c>
      <c r="B1270" s="4" t="s">
        <v>1447</v>
      </c>
      <c r="C1270" s="4" t="s">
        <v>1447</v>
      </c>
      <c r="D1270" s="12" t="n">
        <v>2023</v>
      </c>
      <c r="E1270" s="4"/>
      <c r="F1270" s="4" t="s">
        <v>169</v>
      </c>
      <c r="G1270" s="4" t="s">
        <v>170</v>
      </c>
      <c r="H1270" s="4" t="s">
        <v>171</v>
      </c>
      <c r="I1270" s="4" t="s">
        <v>172</v>
      </c>
      <c r="J1270" s="4" t="s">
        <v>1447</v>
      </c>
      <c r="K1270" s="4" t="s">
        <v>93</v>
      </c>
      <c r="L1270" s="4" t="s">
        <v>94</v>
      </c>
      <c r="M1270" s="4"/>
      <c r="N1270" s="4"/>
      <c r="O1270" s="4"/>
      <c r="P1270" s="4"/>
      <c r="Q1270" s="4"/>
      <c r="R1270" s="4"/>
      <c r="S1270" s="13" t="n">
        <v>0</v>
      </c>
      <c r="T1270" s="4" t="s">
        <v>173</v>
      </c>
      <c r="U1270" s="14" t="n">
        <f aca="false">IF(OR($S1270="",PARAMETROS!$B$4=""),"",$S1270*PARAMETROS!$B$4)</f>
        <v>0</v>
      </c>
      <c r="V1270" s="13" t="n">
        <v>0</v>
      </c>
      <c r="W1270" s="4"/>
      <c r="X1270" s="4"/>
      <c r="Y1270" s="4"/>
      <c r="Z1270" s="4"/>
      <c r="AA1270" s="4"/>
      <c r="AB1270" s="4"/>
      <c r="AC1270" s="4"/>
      <c r="AD1270" s="4"/>
      <c r="AE1270" s="4"/>
      <c r="AF1270" s="4"/>
      <c r="AG1270" s="4"/>
      <c r="AH1270" s="4"/>
      <c r="AI1270" s="4"/>
      <c r="AJ1270" s="4"/>
      <c r="AK1270" s="4"/>
      <c r="AL1270" s="4" t="s">
        <v>174</v>
      </c>
      <c r="AM1270" s="4" t="s">
        <v>190</v>
      </c>
    </row>
    <row r="1271" customFormat="false" ht="23.85" hidden="false" customHeight="false" outlineLevel="0" collapsed="false">
      <c r="A1271" s="4" t="s">
        <v>167</v>
      </c>
      <c r="B1271" s="4" t="s">
        <v>1448</v>
      </c>
      <c r="C1271" s="4" t="s">
        <v>1448</v>
      </c>
      <c r="D1271" s="12" t="n">
        <v>2023</v>
      </c>
      <c r="E1271" s="4"/>
      <c r="F1271" s="4" t="s">
        <v>169</v>
      </c>
      <c r="G1271" s="4" t="s">
        <v>170</v>
      </c>
      <c r="H1271" s="4" t="s">
        <v>171</v>
      </c>
      <c r="I1271" s="4" t="s">
        <v>172</v>
      </c>
      <c r="J1271" s="4" t="s">
        <v>1448</v>
      </c>
      <c r="K1271" s="4" t="s">
        <v>93</v>
      </c>
      <c r="L1271" s="4" t="s">
        <v>94</v>
      </c>
      <c r="M1271" s="4"/>
      <c r="N1271" s="4"/>
      <c r="O1271" s="4"/>
      <c r="P1271" s="4"/>
      <c r="Q1271" s="4"/>
      <c r="R1271" s="4"/>
      <c r="S1271" s="13" t="n">
        <v>0</v>
      </c>
      <c r="T1271" s="4" t="s">
        <v>173</v>
      </c>
      <c r="U1271" s="14" t="n">
        <f aca="false">IF(OR($S1271="",PARAMETROS!$B$4=""),"",$S1271*PARAMETROS!$B$4)</f>
        <v>0</v>
      </c>
      <c r="V1271" s="13" t="n">
        <v>0</v>
      </c>
      <c r="W1271" s="4"/>
      <c r="X1271" s="4"/>
      <c r="Y1271" s="4"/>
      <c r="Z1271" s="4"/>
      <c r="AA1271" s="4"/>
      <c r="AB1271" s="4"/>
      <c r="AC1271" s="4"/>
      <c r="AD1271" s="4"/>
      <c r="AE1271" s="4"/>
      <c r="AF1271" s="4"/>
      <c r="AG1271" s="4"/>
      <c r="AH1271" s="4"/>
      <c r="AI1271" s="4"/>
      <c r="AJ1271" s="4"/>
      <c r="AK1271" s="4"/>
      <c r="AL1271" s="4" t="s">
        <v>174</v>
      </c>
      <c r="AM1271" s="4" t="s">
        <v>190</v>
      </c>
    </row>
    <row r="1272" customFormat="false" ht="23.85" hidden="false" customHeight="false" outlineLevel="0" collapsed="false">
      <c r="A1272" s="4" t="s">
        <v>167</v>
      </c>
      <c r="B1272" s="4" t="s">
        <v>1449</v>
      </c>
      <c r="C1272" s="4" t="s">
        <v>1449</v>
      </c>
      <c r="D1272" s="12" t="n">
        <v>2023</v>
      </c>
      <c r="E1272" s="4"/>
      <c r="F1272" s="4" t="s">
        <v>169</v>
      </c>
      <c r="G1272" s="4" t="s">
        <v>170</v>
      </c>
      <c r="H1272" s="4" t="s">
        <v>171</v>
      </c>
      <c r="I1272" s="4" t="s">
        <v>172</v>
      </c>
      <c r="J1272" s="4" t="s">
        <v>1449</v>
      </c>
      <c r="K1272" s="4" t="s">
        <v>93</v>
      </c>
      <c r="L1272" s="4" t="s">
        <v>94</v>
      </c>
      <c r="M1272" s="4"/>
      <c r="N1272" s="4"/>
      <c r="O1272" s="4"/>
      <c r="P1272" s="4"/>
      <c r="Q1272" s="4"/>
      <c r="R1272" s="4"/>
      <c r="S1272" s="13" t="n">
        <v>0</v>
      </c>
      <c r="T1272" s="4" t="s">
        <v>173</v>
      </c>
      <c r="U1272" s="14" t="n">
        <f aca="false">IF(OR($S1272="",PARAMETROS!$B$4=""),"",$S1272*PARAMETROS!$B$4)</f>
        <v>0</v>
      </c>
      <c r="V1272" s="13" t="n">
        <v>0</v>
      </c>
      <c r="W1272" s="4"/>
      <c r="X1272" s="4"/>
      <c r="Y1272" s="4"/>
      <c r="Z1272" s="4"/>
      <c r="AA1272" s="4"/>
      <c r="AB1272" s="4"/>
      <c r="AC1272" s="4"/>
      <c r="AD1272" s="4"/>
      <c r="AE1272" s="4"/>
      <c r="AF1272" s="4"/>
      <c r="AG1272" s="4"/>
      <c r="AH1272" s="4"/>
      <c r="AI1272" s="4"/>
      <c r="AJ1272" s="4"/>
      <c r="AK1272" s="4"/>
      <c r="AL1272" s="4" t="s">
        <v>174</v>
      </c>
      <c r="AM1272" s="4" t="s">
        <v>190</v>
      </c>
    </row>
    <row r="1273" customFormat="false" ht="23.85" hidden="false" customHeight="false" outlineLevel="0" collapsed="false">
      <c r="A1273" s="4" t="s">
        <v>167</v>
      </c>
      <c r="B1273" s="4" t="s">
        <v>1450</v>
      </c>
      <c r="C1273" s="4" t="s">
        <v>1450</v>
      </c>
      <c r="D1273" s="12" t="n">
        <v>2023</v>
      </c>
      <c r="E1273" s="4"/>
      <c r="F1273" s="4" t="s">
        <v>169</v>
      </c>
      <c r="G1273" s="4" t="s">
        <v>170</v>
      </c>
      <c r="H1273" s="4" t="s">
        <v>171</v>
      </c>
      <c r="I1273" s="4" t="s">
        <v>172</v>
      </c>
      <c r="J1273" s="4" t="s">
        <v>1450</v>
      </c>
      <c r="K1273" s="4" t="s">
        <v>93</v>
      </c>
      <c r="L1273" s="4" t="s">
        <v>94</v>
      </c>
      <c r="M1273" s="4"/>
      <c r="N1273" s="4"/>
      <c r="O1273" s="4"/>
      <c r="P1273" s="4"/>
      <c r="Q1273" s="4"/>
      <c r="R1273" s="4"/>
      <c r="S1273" s="13" t="n">
        <v>0</v>
      </c>
      <c r="T1273" s="4" t="s">
        <v>173</v>
      </c>
      <c r="U1273" s="14" t="n">
        <f aca="false">IF(OR($S1273="",PARAMETROS!$B$4=""),"",$S1273*PARAMETROS!$B$4)</f>
        <v>0</v>
      </c>
      <c r="V1273" s="13" t="n">
        <v>0</v>
      </c>
      <c r="W1273" s="4"/>
      <c r="X1273" s="4"/>
      <c r="Y1273" s="4"/>
      <c r="Z1273" s="4"/>
      <c r="AA1273" s="4"/>
      <c r="AB1273" s="4"/>
      <c r="AC1273" s="4"/>
      <c r="AD1273" s="4"/>
      <c r="AE1273" s="4"/>
      <c r="AF1273" s="4"/>
      <c r="AG1273" s="4"/>
      <c r="AH1273" s="4"/>
      <c r="AI1273" s="4"/>
      <c r="AJ1273" s="4"/>
      <c r="AK1273" s="4"/>
      <c r="AL1273" s="4" t="s">
        <v>174</v>
      </c>
      <c r="AM1273" s="4" t="s">
        <v>190</v>
      </c>
    </row>
    <row r="1274" customFormat="false" ht="23.85" hidden="false" customHeight="false" outlineLevel="0" collapsed="false">
      <c r="A1274" s="4" t="s">
        <v>167</v>
      </c>
      <c r="B1274" s="4" t="s">
        <v>1451</v>
      </c>
      <c r="C1274" s="4" t="s">
        <v>1451</v>
      </c>
      <c r="D1274" s="12" t="n">
        <v>2023</v>
      </c>
      <c r="E1274" s="4"/>
      <c r="F1274" s="4" t="s">
        <v>169</v>
      </c>
      <c r="G1274" s="4" t="s">
        <v>170</v>
      </c>
      <c r="H1274" s="4" t="s">
        <v>171</v>
      </c>
      <c r="I1274" s="4" t="s">
        <v>172</v>
      </c>
      <c r="J1274" s="4" t="s">
        <v>1451</v>
      </c>
      <c r="K1274" s="4" t="s">
        <v>93</v>
      </c>
      <c r="L1274" s="4" t="s">
        <v>94</v>
      </c>
      <c r="M1274" s="4"/>
      <c r="N1274" s="4"/>
      <c r="O1274" s="4"/>
      <c r="P1274" s="4"/>
      <c r="Q1274" s="4"/>
      <c r="R1274" s="4"/>
      <c r="S1274" s="13" t="n">
        <v>0</v>
      </c>
      <c r="T1274" s="4" t="s">
        <v>173</v>
      </c>
      <c r="U1274" s="14" t="n">
        <f aca="false">IF(OR($S1274="",PARAMETROS!$B$4=""),"",$S1274*PARAMETROS!$B$4)</f>
        <v>0</v>
      </c>
      <c r="V1274" s="13" t="n">
        <v>0</v>
      </c>
      <c r="W1274" s="4"/>
      <c r="X1274" s="4"/>
      <c r="Y1274" s="4"/>
      <c r="Z1274" s="4"/>
      <c r="AA1274" s="4"/>
      <c r="AB1274" s="4"/>
      <c r="AC1274" s="4"/>
      <c r="AD1274" s="4"/>
      <c r="AE1274" s="4"/>
      <c r="AF1274" s="4"/>
      <c r="AG1274" s="4"/>
      <c r="AH1274" s="4"/>
      <c r="AI1274" s="4"/>
      <c r="AJ1274" s="4"/>
      <c r="AK1274" s="4"/>
      <c r="AL1274" s="4" t="s">
        <v>174</v>
      </c>
      <c r="AM1274" s="4" t="s">
        <v>190</v>
      </c>
    </row>
    <row r="1275" customFormat="false" ht="23.85" hidden="false" customHeight="false" outlineLevel="0" collapsed="false">
      <c r="A1275" s="4" t="s">
        <v>167</v>
      </c>
      <c r="B1275" s="4" t="s">
        <v>1452</v>
      </c>
      <c r="C1275" s="4" t="s">
        <v>1452</v>
      </c>
      <c r="D1275" s="12" t="n">
        <v>2023</v>
      </c>
      <c r="E1275" s="4"/>
      <c r="F1275" s="4" t="s">
        <v>169</v>
      </c>
      <c r="G1275" s="4" t="s">
        <v>170</v>
      </c>
      <c r="H1275" s="4" t="s">
        <v>171</v>
      </c>
      <c r="I1275" s="4" t="s">
        <v>172</v>
      </c>
      <c r="J1275" s="4" t="s">
        <v>1452</v>
      </c>
      <c r="K1275" s="4" t="s">
        <v>93</v>
      </c>
      <c r="L1275" s="4" t="s">
        <v>94</v>
      </c>
      <c r="M1275" s="4"/>
      <c r="N1275" s="4"/>
      <c r="O1275" s="4"/>
      <c r="P1275" s="4"/>
      <c r="Q1275" s="4"/>
      <c r="R1275" s="4"/>
      <c r="S1275" s="13" t="n">
        <v>0</v>
      </c>
      <c r="T1275" s="4" t="s">
        <v>173</v>
      </c>
      <c r="U1275" s="14" t="n">
        <f aca="false">IF(OR($S1275="",PARAMETROS!$B$4=""),"",$S1275*PARAMETROS!$B$4)</f>
        <v>0</v>
      </c>
      <c r="V1275" s="13" t="n">
        <v>0</v>
      </c>
      <c r="W1275" s="4"/>
      <c r="X1275" s="4"/>
      <c r="Y1275" s="4"/>
      <c r="Z1275" s="4"/>
      <c r="AA1275" s="4"/>
      <c r="AB1275" s="4"/>
      <c r="AC1275" s="4"/>
      <c r="AD1275" s="4"/>
      <c r="AE1275" s="4"/>
      <c r="AF1275" s="4"/>
      <c r="AG1275" s="4"/>
      <c r="AH1275" s="4"/>
      <c r="AI1275" s="4"/>
      <c r="AJ1275" s="4"/>
      <c r="AK1275" s="4"/>
      <c r="AL1275" s="4" t="s">
        <v>174</v>
      </c>
      <c r="AM1275" s="4" t="s">
        <v>190</v>
      </c>
    </row>
    <row r="1276" customFormat="false" ht="23.85" hidden="false" customHeight="false" outlineLevel="0" collapsed="false">
      <c r="A1276" s="4" t="s">
        <v>167</v>
      </c>
      <c r="B1276" s="4" t="s">
        <v>1453</v>
      </c>
      <c r="C1276" s="4" t="s">
        <v>1453</v>
      </c>
      <c r="D1276" s="12" t="n">
        <v>2023</v>
      </c>
      <c r="E1276" s="4"/>
      <c r="F1276" s="4" t="s">
        <v>169</v>
      </c>
      <c r="G1276" s="4" t="s">
        <v>170</v>
      </c>
      <c r="H1276" s="4" t="s">
        <v>171</v>
      </c>
      <c r="I1276" s="4" t="s">
        <v>172</v>
      </c>
      <c r="J1276" s="4" t="s">
        <v>1453</v>
      </c>
      <c r="K1276" s="4" t="s">
        <v>76</v>
      </c>
      <c r="L1276" s="4" t="s">
        <v>77</v>
      </c>
      <c r="M1276" s="4"/>
      <c r="N1276" s="4"/>
      <c r="O1276" s="4"/>
      <c r="P1276" s="4"/>
      <c r="Q1276" s="4"/>
      <c r="R1276" s="4"/>
      <c r="S1276" s="13" t="n">
        <v>0</v>
      </c>
      <c r="T1276" s="4" t="s">
        <v>173</v>
      </c>
      <c r="U1276" s="14" t="n">
        <f aca="false">IF(OR($S1276="",PARAMETROS!$B$4=""),"",$S1276*PARAMETROS!$B$4)</f>
        <v>0</v>
      </c>
      <c r="V1276" s="13" t="n">
        <v>0</v>
      </c>
      <c r="W1276" s="4"/>
      <c r="X1276" s="4"/>
      <c r="Y1276" s="4"/>
      <c r="Z1276" s="4"/>
      <c r="AA1276" s="4"/>
      <c r="AB1276" s="4"/>
      <c r="AC1276" s="4"/>
      <c r="AD1276" s="4"/>
      <c r="AE1276" s="4"/>
      <c r="AF1276" s="4"/>
      <c r="AG1276" s="4"/>
      <c r="AH1276" s="4"/>
      <c r="AI1276" s="4"/>
      <c r="AJ1276" s="4"/>
      <c r="AK1276" s="4"/>
      <c r="AL1276" s="4" t="s">
        <v>174</v>
      </c>
      <c r="AM1276" s="4" t="s">
        <v>205</v>
      </c>
    </row>
    <row r="1277" customFormat="false" ht="23.85" hidden="false" customHeight="false" outlineLevel="0" collapsed="false">
      <c r="A1277" s="4" t="s">
        <v>167</v>
      </c>
      <c r="B1277" s="4" t="s">
        <v>1454</v>
      </c>
      <c r="C1277" s="4" t="s">
        <v>1454</v>
      </c>
      <c r="D1277" s="12" t="n">
        <v>2023</v>
      </c>
      <c r="E1277" s="4"/>
      <c r="F1277" s="4" t="s">
        <v>169</v>
      </c>
      <c r="G1277" s="4" t="s">
        <v>170</v>
      </c>
      <c r="H1277" s="4" t="s">
        <v>171</v>
      </c>
      <c r="I1277" s="4" t="s">
        <v>172</v>
      </c>
      <c r="J1277" s="4" t="s">
        <v>1454</v>
      </c>
      <c r="K1277" s="4" t="s">
        <v>76</v>
      </c>
      <c r="L1277" s="4" t="s">
        <v>77</v>
      </c>
      <c r="M1277" s="4"/>
      <c r="N1277" s="4"/>
      <c r="O1277" s="4"/>
      <c r="P1277" s="4"/>
      <c r="Q1277" s="4"/>
      <c r="R1277" s="4"/>
      <c r="S1277" s="13" t="n">
        <v>6783.06</v>
      </c>
      <c r="T1277" s="4" t="s">
        <v>173</v>
      </c>
      <c r="U1277" s="14" t="n">
        <f aca="false">IF(OR($S1277="",PARAMETROS!$B$4=""),"",$S1277*PARAMETROS!$B$4)</f>
        <v>39409.5786</v>
      </c>
      <c r="V1277" s="13" t="n">
        <v>0</v>
      </c>
      <c r="W1277" s="4"/>
      <c r="X1277" s="4"/>
      <c r="Y1277" s="4"/>
      <c r="Z1277" s="4"/>
      <c r="AA1277" s="4"/>
      <c r="AB1277" s="4"/>
      <c r="AC1277" s="4"/>
      <c r="AD1277" s="4"/>
      <c r="AE1277" s="4"/>
      <c r="AF1277" s="4"/>
      <c r="AG1277" s="4"/>
      <c r="AH1277" s="4"/>
      <c r="AI1277" s="4"/>
      <c r="AJ1277" s="4"/>
      <c r="AK1277" s="4"/>
      <c r="AL1277" s="4" t="s">
        <v>174</v>
      </c>
      <c r="AM1277" s="4" t="s">
        <v>205</v>
      </c>
    </row>
    <row r="1278" customFormat="false" ht="23.85" hidden="false" customHeight="false" outlineLevel="0" collapsed="false">
      <c r="A1278" s="4" t="s">
        <v>167</v>
      </c>
      <c r="B1278" s="4" t="s">
        <v>1455</v>
      </c>
      <c r="C1278" s="4" t="s">
        <v>1455</v>
      </c>
      <c r="D1278" s="12" t="n">
        <v>2023</v>
      </c>
      <c r="E1278" s="4"/>
      <c r="F1278" s="4" t="s">
        <v>169</v>
      </c>
      <c r="G1278" s="4" t="s">
        <v>170</v>
      </c>
      <c r="H1278" s="4" t="s">
        <v>171</v>
      </c>
      <c r="I1278" s="4" t="s">
        <v>172</v>
      </c>
      <c r="J1278" s="4" t="s">
        <v>1455</v>
      </c>
      <c r="K1278" s="4" t="s">
        <v>76</v>
      </c>
      <c r="L1278" s="4" t="s">
        <v>77</v>
      </c>
      <c r="M1278" s="4"/>
      <c r="N1278" s="4"/>
      <c r="O1278" s="4"/>
      <c r="P1278" s="4"/>
      <c r="Q1278" s="4"/>
      <c r="R1278" s="4"/>
      <c r="S1278" s="13" t="n">
        <v>0</v>
      </c>
      <c r="T1278" s="4" t="s">
        <v>173</v>
      </c>
      <c r="U1278" s="14" t="n">
        <f aca="false">IF(OR($S1278="",PARAMETROS!$B$4=""),"",$S1278*PARAMETROS!$B$4)</f>
        <v>0</v>
      </c>
      <c r="V1278" s="13" t="n">
        <v>0</v>
      </c>
      <c r="W1278" s="4"/>
      <c r="X1278" s="4"/>
      <c r="Y1278" s="4"/>
      <c r="Z1278" s="4"/>
      <c r="AA1278" s="4"/>
      <c r="AB1278" s="4"/>
      <c r="AC1278" s="4"/>
      <c r="AD1278" s="4"/>
      <c r="AE1278" s="4"/>
      <c r="AF1278" s="4"/>
      <c r="AG1278" s="4"/>
      <c r="AH1278" s="4"/>
      <c r="AI1278" s="4"/>
      <c r="AJ1278" s="4"/>
      <c r="AK1278" s="4"/>
      <c r="AL1278" s="4" t="s">
        <v>174</v>
      </c>
      <c r="AM1278" s="4" t="s">
        <v>205</v>
      </c>
    </row>
    <row r="1279" customFormat="false" ht="23.85" hidden="false" customHeight="false" outlineLevel="0" collapsed="false">
      <c r="A1279" s="4" t="s">
        <v>167</v>
      </c>
      <c r="B1279" s="4" t="s">
        <v>1456</v>
      </c>
      <c r="C1279" s="4" t="s">
        <v>1456</v>
      </c>
      <c r="D1279" s="12" t="n">
        <v>2023</v>
      </c>
      <c r="E1279" s="4"/>
      <c r="F1279" s="4" t="s">
        <v>169</v>
      </c>
      <c r="G1279" s="4" t="s">
        <v>170</v>
      </c>
      <c r="H1279" s="4" t="s">
        <v>171</v>
      </c>
      <c r="I1279" s="4" t="s">
        <v>172</v>
      </c>
      <c r="J1279" s="4" t="s">
        <v>1456</v>
      </c>
      <c r="K1279" s="4" t="s">
        <v>76</v>
      </c>
      <c r="L1279" s="4" t="s">
        <v>77</v>
      </c>
      <c r="M1279" s="4"/>
      <c r="N1279" s="4"/>
      <c r="O1279" s="4"/>
      <c r="P1279" s="4"/>
      <c r="Q1279" s="4"/>
      <c r="R1279" s="4"/>
      <c r="S1279" s="13" t="n">
        <v>-1549.88</v>
      </c>
      <c r="T1279" s="4" t="s">
        <v>173</v>
      </c>
      <c r="U1279" s="14" t="n">
        <f aca="false">IF(OR($S1279="",PARAMETROS!$B$4=""),"",$S1279*PARAMETROS!$B$4)</f>
        <v>-9004.8028</v>
      </c>
      <c r="V1279" s="13" t="n">
        <v>0</v>
      </c>
      <c r="W1279" s="4"/>
      <c r="X1279" s="4"/>
      <c r="Y1279" s="4"/>
      <c r="Z1279" s="4"/>
      <c r="AA1279" s="4"/>
      <c r="AB1279" s="4"/>
      <c r="AC1279" s="4"/>
      <c r="AD1279" s="4"/>
      <c r="AE1279" s="4"/>
      <c r="AF1279" s="4"/>
      <c r="AG1279" s="4"/>
      <c r="AH1279" s="4"/>
      <c r="AI1279" s="4"/>
      <c r="AJ1279" s="4"/>
      <c r="AK1279" s="4"/>
      <c r="AL1279" s="4" t="s">
        <v>174</v>
      </c>
      <c r="AM1279" s="4" t="s">
        <v>205</v>
      </c>
    </row>
    <row r="1280" customFormat="false" ht="23.85" hidden="false" customHeight="false" outlineLevel="0" collapsed="false">
      <c r="A1280" s="4" t="s">
        <v>167</v>
      </c>
      <c r="B1280" s="4" t="s">
        <v>1457</v>
      </c>
      <c r="C1280" s="4" t="s">
        <v>1457</v>
      </c>
      <c r="D1280" s="12" t="n">
        <v>2023</v>
      </c>
      <c r="E1280" s="4"/>
      <c r="F1280" s="4" t="s">
        <v>169</v>
      </c>
      <c r="G1280" s="4" t="s">
        <v>170</v>
      </c>
      <c r="H1280" s="4" t="s">
        <v>171</v>
      </c>
      <c r="I1280" s="4" t="s">
        <v>172</v>
      </c>
      <c r="J1280" s="4" t="s">
        <v>1457</v>
      </c>
      <c r="K1280" s="4" t="s">
        <v>76</v>
      </c>
      <c r="L1280" s="4" t="s">
        <v>77</v>
      </c>
      <c r="M1280" s="4"/>
      <c r="N1280" s="4"/>
      <c r="O1280" s="4"/>
      <c r="P1280" s="4"/>
      <c r="Q1280" s="4"/>
      <c r="R1280" s="4"/>
      <c r="S1280" s="13" t="n">
        <v>0</v>
      </c>
      <c r="T1280" s="4" t="s">
        <v>173</v>
      </c>
      <c r="U1280" s="14" t="n">
        <f aca="false">IF(OR($S1280="",PARAMETROS!$B$4=""),"",$S1280*PARAMETROS!$B$4)</f>
        <v>0</v>
      </c>
      <c r="V1280" s="13" t="n">
        <v>0</v>
      </c>
      <c r="W1280" s="4"/>
      <c r="X1280" s="4"/>
      <c r="Y1280" s="4"/>
      <c r="Z1280" s="4"/>
      <c r="AA1280" s="4"/>
      <c r="AB1280" s="4"/>
      <c r="AC1280" s="4"/>
      <c r="AD1280" s="4"/>
      <c r="AE1280" s="4"/>
      <c r="AF1280" s="4"/>
      <c r="AG1280" s="4"/>
      <c r="AH1280" s="4"/>
      <c r="AI1280" s="4"/>
      <c r="AJ1280" s="4"/>
      <c r="AK1280" s="4"/>
      <c r="AL1280" s="4" t="s">
        <v>174</v>
      </c>
      <c r="AM1280" s="4" t="s">
        <v>205</v>
      </c>
    </row>
    <row r="1281" customFormat="false" ht="23.85" hidden="false" customHeight="false" outlineLevel="0" collapsed="false">
      <c r="A1281" s="4" t="s">
        <v>167</v>
      </c>
      <c r="B1281" s="4" t="s">
        <v>1458</v>
      </c>
      <c r="C1281" s="4" t="s">
        <v>1458</v>
      </c>
      <c r="D1281" s="12" t="n">
        <v>2023</v>
      </c>
      <c r="E1281" s="4"/>
      <c r="F1281" s="4" t="s">
        <v>169</v>
      </c>
      <c r="G1281" s="4" t="s">
        <v>170</v>
      </c>
      <c r="H1281" s="4" t="s">
        <v>171</v>
      </c>
      <c r="I1281" s="4" t="s">
        <v>172</v>
      </c>
      <c r="J1281" s="4" t="s">
        <v>1458</v>
      </c>
      <c r="K1281" s="4" t="s">
        <v>76</v>
      </c>
      <c r="L1281" s="4" t="s">
        <v>77</v>
      </c>
      <c r="M1281" s="4"/>
      <c r="N1281" s="4"/>
      <c r="O1281" s="4"/>
      <c r="P1281" s="4"/>
      <c r="Q1281" s="4"/>
      <c r="R1281" s="4"/>
      <c r="S1281" s="13" t="n">
        <v>-4348.52</v>
      </c>
      <c r="T1281" s="4" t="s">
        <v>173</v>
      </c>
      <c r="U1281" s="14" t="n">
        <f aca="false">IF(OR($S1281="",PARAMETROS!$B$4=""),"",$S1281*PARAMETROS!$B$4)</f>
        <v>-25264.9012</v>
      </c>
      <c r="V1281" s="13" t="n">
        <v>0</v>
      </c>
      <c r="W1281" s="4"/>
      <c r="X1281" s="4"/>
      <c r="Y1281" s="4"/>
      <c r="Z1281" s="4"/>
      <c r="AA1281" s="4"/>
      <c r="AB1281" s="4"/>
      <c r="AC1281" s="4"/>
      <c r="AD1281" s="4"/>
      <c r="AE1281" s="4"/>
      <c r="AF1281" s="4"/>
      <c r="AG1281" s="4"/>
      <c r="AH1281" s="4"/>
      <c r="AI1281" s="4"/>
      <c r="AJ1281" s="4"/>
      <c r="AK1281" s="4"/>
      <c r="AL1281" s="4" t="s">
        <v>174</v>
      </c>
      <c r="AM1281" s="4" t="s">
        <v>205</v>
      </c>
    </row>
    <row r="1282" customFormat="false" ht="23.85" hidden="false" customHeight="false" outlineLevel="0" collapsed="false">
      <c r="A1282" s="4" t="s">
        <v>167</v>
      </c>
      <c r="B1282" s="4" t="s">
        <v>1459</v>
      </c>
      <c r="C1282" s="4" t="s">
        <v>1459</v>
      </c>
      <c r="D1282" s="12" t="n">
        <v>2023</v>
      </c>
      <c r="E1282" s="4"/>
      <c r="F1282" s="4" t="s">
        <v>169</v>
      </c>
      <c r="G1282" s="4" t="s">
        <v>170</v>
      </c>
      <c r="H1282" s="4" t="s">
        <v>171</v>
      </c>
      <c r="I1282" s="4" t="s">
        <v>172</v>
      </c>
      <c r="J1282" s="4" t="s">
        <v>1459</v>
      </c>
      <c r="K1282" s="4" t="s">
        <v>76</v>
      </c>
      <c r="L1282" s="4" t="s">
        <v>77</v>
      </c>
      <c r="M1282" s="4"/>
      <c r="N1282" s="4"/>
      <c r="O1282" s="4"/>
      <c r="P1282" s="4"/>
      <c r="Q1282" s="4"/>
      <c r="R1282" s="4"/>
      <c r="S1282" s="13" t="n">
        <v>-884.65</v>
      </c>
      <c r="T1282" s="4" t="s">
        <v>173</v>
      </c>
      <c r="U1282" s="14" t="n">
        <f aca="false">IF(OR($S1282="",PARAMETROS!$B$4=""),"",$S1282*PARAMETROS!$B$4)</f>
        <v>-5139.8165</v>
      </c>
      <c r="V1282" s="13" t="n">
        <v>0</v>
      </c>
      <c r="W1282" s="4"/>
      <c r="X1282" s="4"/>
      <c r="Y1282" s="4"/>
      <c r="Z1282" s="4"/>
      <c r="AA1282" s="4"/>
      <c r="AB1282" s="4"/>
      <c r="AC1282" s="4"/>
      <c r="AD1282" s="4"/>
      <c r="AE1282" s="4"/>
      <c r="AF1282" s="4"/>
      <c r="AG1282" s="4"/>
      <c r="AH1282" s="4"/>
      <c r="AI1282" s="4"/>
      <c r="AJ1282" s="4"/>
      <c r="AK1282" s="4"/>
      <c r="AL1282" s="4" t="s">
        <v>174</v>
      </c>
      <c r="AM1282" s="4" t="s">
        <v>205</v>
      </c>
    </row>
    <row r="1283" customFormat="false" ht="23.85" hidden="false" customHeight="false" outlineLevel="0" collapsed="false">
      <c r="A1283" s="4" t="s">
        <v>167</v>
      </c>
      <c r="B1283" s="4" t="s">
        <v>1460</v>
      </c>
      <c r="C1283" s="4" t="s">
        <v>1460</v>
      </c>
      <c r="D1283" s="12" t="n">
        <v>2023</v>
      </c>
      <c r="E1283" s="4"/>
      <c r="F1283" s="4" t="s">
        <v>169</v>
      </c>
      <c r="G1283" s="4" t="s">
        <v>170</v>
      </c>
      <c r="H1283" s="4" t="s">
        <v>171</v>
      </c>
      <c r="I1283" s="4" t="s">
        <v>172</v>
      </c>
      <c r="J1283" s="4" t="s">
        <v>1460</v>
      </c>
      <c r="K1283" s="4" t="s">
        <v>76</v>
      </c>
      <c r="L1283" s="4" t="s">
        <v>77</v>
      </c>
      <c r="M1283" s="4"/>
      <c r="N1283" s="4"/>
      <c r="O1283" s="4"/>
      <c r="P1283" s="4"/>
      <c r="Q1283" s="4"/>
      <c r="R1283" s="4"/>
      <c r="S1283" s="13" t="n">
        <v>0</v>
      </c>
      <c r="T1283" s="4" t="s">
        <v>173</v>
      </c>
      <c r="U1283" s="14" t="n">
        <f aca="false">IF(OR($S1283="",PARAMETROS!$B$4=""),"",$S1283*PARAMETROS!$B$4)</f>
        <v>0</v>
      </c>
      <c r="V1283" s="13" t="n">
        <v>0</v>
      </c>
      <c r="W1283" s="4"/>
      <c r="X1283" s="4"/>
      <c r="Y1283" s="4"/>
      <c r="Z1283" s="4"/>
      <c r="AA1283" s="4"/>
      <c r="AB1283" s="4"/>
      <c r="AC1283" s="4"/>
      <c r="AD1283" s="4"/>
      <c r="AE1283" s="4"/>
      <c r="AF1283" s="4"/>
      <c r="AG1283" s="4"/>
      <c r="AH1283" s="4"/>
      <c r="AI1283" s="4"/>
      <c r="AJ1283" s="4"/>
      <c r="AK1283" s="4"/>
      <c r="AL1283" s="4" t="s">
        <v>174</v>
      </c>
      <c r="AM1283" s="4" t="s">
        <v>205</v>
      </c>
    </row>
    <row r="1284" customFormat="false" ht="23.85" hidden="false" customHeight="false" outlineLevel="0" collapsed="false">
      <c r="A1284" s="4" t="s">
        <v>167</v>
      </c>
      <c r="B1284" s="4" t="s">
        <v>1461</v>
      </c>
      <c r="C1284" s="4" t="s">
        <v>1461</v>
      </c>
      <c r="D1284" s="12" t="n">
        <v>2023</v>
      </c>
      <c r="E1284" s="4"/>
      <c r="F1284" s="4" t="s">
        <v>169</v>
      </c>
      <c r="G1284" s="4" t="s">
        <v>170</v>
      </c>
      <c r="H1284" s="4" t="s">
        <v>171</v>
      </c>
      <c r="I1284" s="4" t="s">
        <v>172</v>
      </c>
      <c r="J1284" s="4" t="s">
        <v>1461</v>
      </c>
      <c r="K1284" s="4" t="s">
        <v>76</v>
      </c>
      <c r="L1284" s="4" t="s">
        <v>77</v>
      </c>
      <c r="M1284" s="4"/>
      <c r="N1284" s="4"/>
      <c r="O1284" s="4"/>
      <c r="P1284" s="4"/>
      <c r="Q1284" s="4"/>
      <c r="R1284" s="4"/>
      <c r="S1284" s="13" t="n">
        <v>0</v>
      </c>
      <c r="T1284" s="4" t="s">
        <v>173</v>
      </c>
      <c r="U1284" s="14" t="n">
        <f aca="false">IF(OR($S1284="",PARAMETROS!$B$4=""),"",$S1284*PARAMETROS!$B$4)</f>
        <v>0</v>
      </c>
      <c r="V1284" s="13" t="n">
        <v>0</v>
      </c>
      <c r="W1284" s="4"/>
      <c r="X1284" s="4"/>
      <c r="Y1284" s="4"/>
      <c r="Z1284" s="4"/>
      <c r="AA1284" s="4"/>
      <c r="AB1284" s="4"/>
      <c r="AC1284" s="4"/>
      <c r="AD1284" s="4"/>
      <c r="AE1284" s="4"/>
      <c r="AF1284" s="4"/>
      <c r="AG1284" s="4"/>
      <c r="AH1284" s="4"/>
      <c r="AI1284" s="4"/>
      <c r="AJ1284" s="4"/>
      <c r="AK1284" s="4"/>
      <c r="AL1284" s="4" t="s">
        <v>174</v>
      </c>
      <c r="AM1284" s="4" t="s">
        <v>205</v>
      </c>
    </row>
    <row r="1285" customFormat="false" ht="23.85" hidden="false" customHeight="false" outlineLevel="0" collapsed="false">
      <c r="A1285" s="4" t="s">
        <v>167</v>
      </c>
      <c r="B1285" s="4" t="s">
        <v>1462</v>
      </c>
      <c r="C1285" s="4" t="s">
        <v>1462</v>
      </c>
      <c r="D1285" s="12" t="n">
        <v>2023</v>
      </c>
      <c r="E1285" s="4"/>
      <c r="F1285" s="4" t="s">
        <v>169</v>
      </c>
      <c r="G1285" s="4" t="s">
        <v>170</v>
      </c>
      <c r="H1285" s="4" t="s">
        <v>171</v>
      </c>
      <c r="I1285" s="4" t="s">
        <v>172</v>
      </c>
      <c r="J1285" s="4" t="s">
        <v>1462</v>
      </c>
      <c r="K1285" s="4" t="s">
        <v>76</v>
      </c>
      <c r="L1285" s="4" t="s">
        <v>77</v>
      </c>
      <c r="M1285" s="4"/>
      <c r="N1285" s="4"/>
      <c r="O1285" s="4"/>
      <c r="P1285" s="4"/>
      <c r="Q1285" s="4"/>
      <c r="R1285" s="4"/>
      <c r="S1285" s="13" t="n">
        <v>0</v>
      </c>
      <c r="T1285" s="4" t="s">
        <v>173</v>
      </c>
      <c r="U1285" s="14" t="n">
        <f aca="false">IF(OR($S1285="",PARAMETROS!$B$4=""),"",$S1285*PARAMETROS!$B$4)</f>
        <v>0</v>
      </c>
      <c r="V1285" s="13" t="n">
        <v>0</v>
      </c>
      <c r="W1285" s="4"/>
      <c r="X1285" s="4"/>
      <c r="Y1285" s="4"/>
      <c r="Z1285" s="4"/>
      <c r="AA1285" s="4"/>
      <c r="AB1285" s="4"/>
      <c r="AC1285" s="4"/>
      <c r="AD1285" s="4"/>
      <c r="AE1285" s="4"/>
      <c r="AF1285" s="4"/>
      <c r="AG1285" s="4"/>
      <c r="AH1285" s="4"/>
      <c r="AI1285" s="4"/>
      <c r="AJ1285" s="4"/>
      <c r="AK1285" s="4"/>
      <c r="AL1285" s="4" t="s">
        <v>174</v>
      </c>
      <c r="AM1285" s="4" t="s">
        <v>205</v>
      </c>
    </row>
    <row r="1286" customFormat="false" ht="23.85" hidden="false" customHeight="false" outlineLevel="0" collapsed="false">
      <c r="A1286" s="4" t="s">
        <v>167</v>
      </c>
      <c r="B1286" s="4" t="s">
        <v>1463</v>
      </c>
      <c r="C1286" s="4" t="s">
        <v>1463</v>
      </c>
      <c r="D1286" s="12" t="n">
        <v>2023</v>
      </c>
      <c r="E1286" s="4"/>
      <c r="F1286" s="4" t="s">
        <v>169</v>
      </c>
      <c r="G1286" s="4" t="s">
        <v>170</v>
      </c>
      <c r="H1286" s="4" t="s">
        <v>171</v>
      </c>
      <c r="I1286" s="4" t="s">
        <v>172</v>
      </c>
      <c r="J1286" s="4" t="s">
        <v>1463</v>
      </c>
      <c r="K1286" s="4" t="s">
        <v>76</v>
      </c>
      <c r="L1286" s="4" t="s">
        <v>77</v>
      </c>
      <c r="M1286" s="4"/>
      <c r="N1286" s="4"/>
      <c r="O1286" s="4"/>
      <c r="P1286" s="4"/>
      <c r="Q1286" s="4"/>
      <c r="R1286" s="4"/>
      <c r="S1286" s="13" t="n">
        <v>0</v>
      </c>
      <c r="T1286" s="4" t="s">
        <v>173</v>
      </c>
      <c r="U1286" s="14" t="n">
        <f aca="false">IF(OR($S1286="",PARAMETROS!$B$4=""),"",$S1286*PARAMETROS!$B$4)</f>
        <v>0</v>
      </c>
      <c r="V1286" s="13" t="n">
        <v>0</v>
      </c>
      <c r="W1286" s="4"/>
      <c r="X1286" s="4"/>
      <c r="Y1286" s="4"/>
      <c r="Z1286" s="4"/>
      <c r="AA1286" s="4"/>
      <c r="AB1286" s="4"/>
      <c r="AC1286" s="4"/>
      <c r="AD1286" s="4"/>
      <c r="AE1286" s="4"/>
      <c r="AF1286" s="4"/>
      <c r="AG1286" s="4"/>
      <c r="AH1286" s="4"/>
      <c r="AI1286" s="4"/>
      <c r="AJ1286" s="4"/>
      <c r="AK1286" s="4"/>
      <c r="AL1286" s="4" t="s">
        <v>174</v>
      </c>
      <c r="AM1286" s="4" t="s">
        <v>205</v>
      </c>
    </row>
    <row r="1287" customFormat="false" ht="23.85" hidden="false" customHeight="false" outlineLevel="0" collapsed="false">
      <c r="A1287" s="4" t="s">
        <v>167</v>
      </c>
      <c r="B1287" s="4" t="s">
        <v>1464</v>
      </c>
      <c r="C1287" s="4" t="s">
        <v>1464</v>
      </c>
      <c r="D1287" s="12" t="n">
        <v>2023</v>
      </c>
      <c r="E1287" s="4"/>
      <c r="F1287" s="4" t="s">
        <v>169</v>
      </c>
      <c r="G1287" s="4" t="s">
        <v>170</v>
      </c>
      <c r="H1287" s="4" t="s">
        <v>171</v>
      </c>
      <c r="I1287" s="4" t="s">
        <v>172</v>
      </c>
      <c r="J1287" s="4" t="s">
        <v>1464</v>
      </c>
      <c r="K1287" s="4" t="s">
        <v>76</v>
      </c>
      <c r="L1287" s="4" t="s">
        <v>77</v>
      </c>
      <c r="M1287" s="4"/>
      <c r="N1287" s="4"/>
      <c r="O1287" s="4"/>
      <c r="P1287" s="4"/>
      <c r="Q1287" s="4"/>
      <c r="R1287" s="4"/>
      <c r="S1287" s="13" t="n">
        <v>0</v>
      </c>
      <c r="T1287" s="4" t="s">
        <v>173</v>
      </c>
      <c r="U1287" s="14" t="n">
        <f aca="false">IF(OR($S1287="",PARAMETROS!$B$4=""),"",$S1287*PARAMETROS!$B$4)</f>
        <v>0</v>
      </c>
      <c r="V1287" s="13" t="n">
        <v>0</v>
      </c>
      <c r="W1287" s="4"/>
      <c r="X1287" s="4"/>
      <c r="Y1287" s="4"/>
      <c r="Z1287" s="4"/>
      <c r="AA1287" s="4"/>
      <c r="AB1287" s="4"/>
      <c r="AC1287" s="4"/>
      <c r="AD1287" s="4"/>
      <c r="AE1287" s="4"/>
      <c r="AF1287" s="4"/>
      <c r="AG1287" s="4"/>
      <c r="AH1287" s="4"/>
      <c r="AI1287" s="4"/>
      <c r="AJ1287" s="4"/>
      <c r="AK1287" s="4"/>
      <c r="AL1287" s="4" t="s">
        <v>174</v>
      </c>
      <c r="AM1287" s="4" t="s">
        <v>205</v>
      </c>
    </row>
    <row r="1288" customFormat="false" ht="23.85" hidden="false" customHeight="false" outlineLevel="0" collapsed="false">
      <c r="A1288" s="4" t="s">
        <v>167</v>
      </c>
      <c r="B1288" s="4" t="s">
        <v>1465</v>
      </c>
      <c r="C1288" s="4" t="s">
        <v>1465</v>
      </c>
      <c r="D1288" s="12" t="n">
        <v>2023</v>
      </c>
      <c r="E1288" s="4"/>
      <c r="F1288" s="4" t="s">
        <v>169</v>
      </c>
      <c r="G1288" s="4" t="s">
        <v>170</v>
      </c>
      <c r="H1288" s="4" t="s">
        <v>171</v>
      </c>
      <c r="I1288" s="4" t="s">
        <v>172</v>
      </c>
      <c r="J1288" s="4" t="s">
        <v>1465</v>
      </c>
      <c r="K1288" s="4" t="s">
        <v>76</v>
      </c>
      <c r="L1288" s="4" t="s">
        <v>77</v>
      </c>
      <c r="M1288" s="4"/>
      <c r="N1288" s="4"/>
      <c r="O1288" s="4"/>
      <c r="P1288" s="4"/>
      <c r="Q1288" s="4"/>
      <c r="R1288" s="4"/>
      <c r="S1288" s="13" t="n">
        <v>0</v>
      </c>
      <c r="T1288" s="4" t="s">
        <v>173</v>
      </c>
      <c r="U1288" s="14" t="n">
        <f aca="false">IF(OR($S1288="",PARAMETROS!$B$4=""),"",$S1288*PARAMETROS!$B$4)</f>
        <v>0</v>
      </c>
      <c r="V1288" s="13" t="n">
        <v>0</v>
      </c>
      <c r="W1288" s="4"/>
      <c r="X1288" s="4"/>
      <c r="Y1288" s="4"/>
      <c r="Z1288" s="4"/>
      <c r="AA1288" s="4"/>
      <c r="AB1288" s="4"/>
      <c r="AC1288" s="4"/>
      <c r="AD1288" s="4"/>
      <c r="AE1288" s="4"/>
      <c r="AF1288" s="4"/>
      <c r="AG1288" s="4"/>
      <c r="AH1288" s="4"/>
      <c r="AI1288" s="4"/>
      <c r="AJ1288" s="4"/>
      <c r="AK1288" s="4"/>
      <c r="AL1288" s="4" t="s">
        <v>174</v>
      </c>
      <c r="AM1288" s="4" t="s">
        <v>205</v>
      </c>
    </row>
    <row r="1289" customFormat="false" ht="23.85" hidden="false" customHeight="false" outlineLevel="0" collapsed="false">
      <c r="A1289" s="4" t="s">
        <v>167</v>
      </c>
      <c r="B1289" s="4" t="s">
        <v>1466</v>
      </c>
      <c r="C1289" s="4" t="s">
        <v>1466</v>
      </c>
      <c r="D1289" s="12" t="n">
        <v>2023</v>
      </c>
      <c r="E1289" s="4"/>
      <c r="F1289" s="4" t="s">
        <v>169</v>
      </c>
      <c r="G1289" s="4" t="s">
        <v>170</v>
      </c>
      <c r="H1289" s="4" t="s">
        <v>171</v>
      </c>
      <c r="I1289" s="4" t="s">
        <v>172</v>
      </c>
      <c r="J1289" s="4" t="s">
        <v>1466</v>
      </c>
      <c r="K1289" s="4" t="s">
        <v>76</v>
      </c>
      <c r="L1289" s="4" t="s">
        <v>77</v>
      </c>
      <c r="M1289" s="4"/>
      <c r="N1289" s="4"/>
      <c r="O1289" s="4"/>
      <c r="P1289" s="4"/>
      <c r="Q1289" s="4"/>
      <c r="R1289" s="4"/>
      <c r="S1289" s="13" t="n">
        <v>0</v>
      </c>
      <c r="T1289" s="4" t="s">
        <v>173</v>
      </c>
      <c r="U1289" s="14" t="n">
        <f aca="false">IF(OR($S1289="",PARAMETROS!$B$4=""),"",$S1289*PARAMETROS!$B$4)</f>
        <v>0</v>
      </c>
      <c r="V1289" s="13" t="n">
        <v>0</v>
      </c>
      <c r="W1289" s="4"/>
      <c r="X1289" s="4"/>
      <c r="Y1289" s="4"/>
      <c r="Z1289" s="4"/>
      <c r="AA1289" s="4"/>
      <c r="AB1289" s="4"/>
      <c r="AC1289" s="4"/>
      <c r="AD1289" s="4"/>
      <c r="AE1289" s="4"/>
      <c r="AF1289" s="4"/>
      <c r="AG1289" s="4"/>
      <c r="AH1289" s="4"/>
      <c r="AI1289" s="4"/>
      <c r="AJ1289" s="4"/>
      <c r="AK1289" s="4"/>
      <c r="AL1289" s="4" t="s">
        <v>174</v>
      </c>
      <c r="AM1289" s="4" t="s">
        <v>205</v>
      </c>
    </row>
    <row r="1290" customFormat="false" ht="23.85" hidden="false" customHeight="false" outlineLevel="0" collapsed="false">
      <c r="A1290" s="4" t="s">
        <v>167</v>
      </c>
      <c r="B1290" s="4" t="s">
        <v>1467</v>
      </c>
      <c r="C1290" s="4" t="s">
        <v>1467</v>
      </c>
      <c r="D1290" s="12" t="n">
        <v>2023</v>
      </c>
      <c r="E1290" s="4"/>
      <c r="F1290" s="4" t="s">
        <v>169</v>
      </c>
      <c r="G1290" s="4" t="s">
        <v>170</v>
      </c>
      <c r="H1290" s="4" t="s">
        <v>171</v>
      </c>
      <c r="I1290" s="4" t="s">
        <v>172</v>
      </c>
      <c r="J1290" s="4" t="s">
        <v>1467</v>
      </c>
      <c r="K1290" s="4" t="s">
        <v>78</v>
      </c>
      <c r="L1290" s="4" t="s">
        <v>79</v>
      </c>
      <c r="M1290" s="4"/>
      <c r="N1290" s="4"/>
      <c r="O1290" s="4"/>
      <c r="P1290" s="4"/>
      <c r="Q1290" s="4"/>
      <c r="R1290" s="4"/>
      <c r="S1290" s="13" t="n">
        <v>214.89</v>
      </c>
      <c r="T1290" s="4" t="s">
        <v>173</v>
      </c>
      <c r="U1290" s="14" t="n">
        <f aca="false">IF(OR($S1290="",PARAMETROS!$B$4=""),"",$S1290*PARAMETROS!$B$4)</f>
        <v>1248.5109</v>
      </c>
      <c r="V1290" s="13" t="n">
        <v>0</v>
      </c>
      <c r="W1290" s="4"/>
      <c r="X1290" s="4"/>
      <c r="Y1290" s="4"/>
      <c r="Z1290" s="4"/>
      <c r="AA1290" s="4"/>
      <c r="AB1290" s="4"/>
      <c r="AC1290" s="4"/>
      <c r="AD1290" s="4"/>
      <c r="AE1290" s="4"/>
      <c r="AF1290" s="4"/>
      <c r="AG1290" s="4"/>
      <c r="AH1290" s="4"/>
      <c r="AI1290" s="4"/>
      <c r="AJ1290" s="4"/>
      <c r="AK1290" s="4"/>
      <c r="AL1290" s="4" t="s">
        <v>174</v>
      </c>
      <c r="AM1290" s="4" t="s">
        <v>175</v>
      </c>
    </row>
    <row r="1291" customFormat="false" ht="23.85" hidden="false" customHeight="false" outlineLevel="0" collapsed="false">
      <c r="A1291" s="4" t="s">
        <v>167</v>
      </c>
      <c r="B1291" s="4" t="s">
        <v>1468</v>
      </c>
      <c r="C1291" s="4" t="s">
        <v>1468</v>
      </c>
      <c r="D1291" s="12" t="n">
        <v>2023</v>
      </c>
      <c r="E1291" s="4"/>
      <c r="F1291" s="4" t="s">
        <v>169</v>
      </c>
      <c r="G1291" s="4" t="s">
        <v>170</v>
      </c>
      <c r="H1291" s="4" t="s">
        <v>171</v>
      </c>
      <c r="I1291" s="4" t="s">
        <v>172</v>
      </c>
      <c r="J1291" s="4" t="s">
        <v>1468</v>
      </c>
      <c r="K1291" s="4" t="s">
        <v>78</v>
      </c>
      <c r="L1291" s="4" t="s">
        <v>79</v>
      </c>
      <c r="M1291" s="4"/>
      <c r="N1291" s="4"/>
      <c r="O1291" s="4"/>
      <c r="P1291" s="4"/>
      <c r="Q1291" s="4"/>
      <c r="R1291" s="4"/>
      <c r="S1291" s="13" t="n">
        <v>0</v>
      </c>
      <c r="T1291" s="4" t="s">
        <v>173</v>
      </c>
      <c r="U1291" s="14" t="n">
        <f aca="false">IF(OR($S1291="",PARAMETROS!$B$4=""),"",$S1291*PARAMETROS!$B$4)</f>
        <v>0</v>
      </c>
      <c r="V1291" s="13" t="n">
        <v>0</v>
      </c>
      <c r="W1291" s="4"/>
      <c r="X1291" s="4"/>
      <c r="Y1291" s="4"/>
      <c r="Z1291" s="4"/>
      <c r="AA1291" s="4"/>
      <c r="AB1291" s="4"/>
      <c r="AC1291" s="4"/>
      <c r="AD1291" s="4"/>
      <c r="AE1291" s="4"/>
      <c r="AF1291" s="4"/>
      <c r="AG1291" s="4"/>
      <c r="AH1291" s="4"/>
      <c r="AI1291" s="4"/>
      <c r="AJ1291" s="4"/>
      <c r="AK1291" s="4"/>
      <c r="AL1291" s="4" t="s">
        <v>174</v>
      </c>
      <c r="AM1291" s="4" t="s">
        <v>175</v>
      </c>
    </row>
    <row r="1292" customFormat="false" ht="23.85" hidden="false" customHeight="false" outlineLevel="0" collapsed="false">
      <c r="A1292" s="4" t="s">
        <v>167</v>
      </c>
      <c r="B1292" s="4" t="s">
        <v>1469</v>
      </c>
      <c r="C1292" s="4" t="s">
        <v>1469</v>
      </c>
      <c r="D1292" s="12" t="n">
        <v>2023</v>
      </c>
      <c r="E1292" s="4"/>
      <c r="F1292" s="4" t="s">
        <v>169</v>
      </c>
      <c r="G1292" s="4" t="s">
        <v>170</v>
      </c>
      <c r="H1292" s="4" t="s">
        <v>171</v>
      </c>
      <c r="I1292" s="4" t="s">
        <v>172</v>
      </c>
      <c r="J1292" s="4" t="s">
        <v>1469</v>
      </c>
      <c r="K1292" s="4" t="s">
        <v>78</v>
      </c>
      <c r="L1292" s="4" t="s">
        <v>79</v>
      </c>
      <c r="M1292" s="4"/>
      <c r="N1292" s="4"/>
      <c r="O1292" s="4"/>
      <c r="P1292" s="4"/>
      <c r="Q1292" s="4"/>
      <c r="R1292" s="4"/>
      <c r="S1292" s="13" t="n">
        <v>0</v>
      </c>
      <c r="T1292" s="4" t="s">
        <v>173</v>
      </c>
      <c r="U1292" s="14" t="n">
        <f aca="false">IF(OR($S1292="",PARAMETROS!$B$4=""),"",$S1292*PARAMETROS!$B$4)</f>
        <v>0</v>
      </c>
      <c r="V1292" s="13" t="n">
        <v>0</v>
      </c>
      <c r="W1292" s="4"/>
      <c r="X1292" s="4"/>
      <c r="Y1292" s="4"/>
      <c r="Z1292" s="4"/>
      <c r="AA1292" s="4"/>
      <c r="AB1292" s="4"/>
      <c r="AC1292" s="4"/>
      <c r="AD1292" s="4"/>
      <c r="AE1292" s="4"/>
      <c r="AF1292" s="4"/>
      <c r="AG1292" s="4"/>
      <c r="AH1292" s="4"/>
      <c r="AI1292" s="4"/>
      <c r="AJ1292" s="4"/>
      <c r="AK1292" s="4"/>
      <c r="AL1292" s="4" t="s">
        <v>174</v>
      </c>
      <c r="AM1292" s="4" t="s">
        <v>175</v>
      </c>
    </row>
    <row r="1293" customFormat="false" ht="23.85" hidden="false" customHeight="false" outlineLevel="0" collapsed="false">
      <c r="A1293" s="4" t="s">
        <v>167</v>
      </c>
      <c r="B1293" s="4" t="s">
        <v>1470</v>
      </c>
      <c r="C1293" s="4" t="s">
        <v>1470</v>
      </c>
      <c r="D1293" s="12" t="n">
        <v>2023</v>
      </c>
      <c r="E1293" s="4"/>
      <c r="F1293" s="4" t="s">
        <v>169</v>
      </c>
      <c r="G1293" s="4" t="s">
        <v>170</v>
      </c>
      <c r="H1293" s="4" t="s">
        <v>171</v>
      </c>
      <c r="I1293" s="4" t="s">
        <v>172</v>
      </c>
      <c r="J1293" s="4" t="s">
        <v>1470</v>
      </c>
      <c r="K1293" s="4" t="s">
        <v>78</v>
      </c>
      <c r="L1293" s="4" t="s">
        <v>79</v>
      </c>
      <c r="M1293" s="4"/>
      <c r="N1293" s="4"/>
      <c r="O1293" s="4"/>
      <c r="P1293" s="4"/>
      <c r="Q1293" s="4"/>
      <c r="R1293" s="4"/>
      <c r="S1293" s="13" t="n">
        <v>0</v>
      </c>
      <c r="T1293" s="4" t="s">
        <v>173</v>
      </c>
      <c r="U1293" s="14" t="n">
        <f aca="false">IF(OR($S1293="",PARAMETROS!$B$4=""),"",$S1293*PARAMETROS!$B$4)</f>
        <v>0</v>
      </c>
      <c r="V1293" s="13" t="n">
        <v>0</v>
      </c>
      <c r="W1293" s="4"/>
      <c r="X1293" s="4"/>
      <c r="Y1293" s="4"/>
      <c r="Z1293" s="4"/>
      <c r="AA1293" s="4"/>
      <c r="AB1293" s="4"/>
      <c r="AC1293" s="4"/>
      <c r="AD1293" s="4"/>
      <c r="AE1293" s="4"/>
      <c r="AF1293" s="4"/>
      <c r="AG1293" s="4"/>
      <c r="AH1293" s="4"/>
      <c r="AI1293" s="4"/>
      <c r="AJ1293" s="4"/>
      <c r="AK1293" s="4"/>
      <c r="AL1293" s="4" t="s">
        <v>174</v>
      </c>
      <c r="AM1293" s="4" t="s">
        <v>175</v>
      </c>
    </row>
    <row r="1294" customFormat="false" ht="23.85" hidden="false" customHeight="false" outlineLevel="0" collapsed="false">
      <c r="A1294" s="4" t="s">
        <v>167</v>
      </c>
      <c r="B1294" s="4" t="s">
        <v>1471</v>
      </c>
      <c r="C1294" s="4" t="s">
        <v>1471</v>
      </c>
      <c r="D1294" s="12" t="n">
        <v>2023</v>
      </c>
      <c r="E1294" s="4"/>
      <c r="F1294" s="4" t="s">
        <v>169</v>
      </c>
      <c r="G1294" s="4" t="s">
        <v>170</v>
      </c>
      <c r="H1294" s="4" t="s">
        <v>171</v>
      </c>
      <c r="I1294" s="4" t="s">
        <v>172</v>
      </c>
      <c r="J1294" s="4" t="s">
        <v>1471</v>
      </c>
      <c r="K1294" s="4" t="s">
        <v>78</v>
      </c>
      <c r="L1294" s="4" t="s">
        <v>79</v>
      </c>
      <c r="M1294" s="4"/>
      <c r="N1294" s="4"/>
      <c r="O1294" s="4"/>
      <c r="P1294" s="4"/>
      <c r="Q1294" s="4"/>
      <c r="R1294" s="4"/>
      <c r="S1294" s="13" t="n">
        <v>0</v>
      </c>
      <c r="T1294" s="4" t="s">
        <v>173</v>
      </c>
      <c r="U1294" s="14" t="n">
        <f aca="false">IF(OR($S1294="",PARAMETROS!$B$4=""),"",$S1294*PARAMETROS!$B$4)</f>
        <v>0</v>
      </c>
      <c r="V1294" s="13" t="n">
        <v>0</v>
      </c>
      <c r="W1294" s="4"/>
      <c r="X1294" s="4"/>
      <c r="Y1294" s="4"/>
      <c r="Z1294" s="4"/>
      <c r="AA1294" s="4"/>
      <c r="AB1294" s="4"/>
      <c r="AC1294" s="4"/>
      <c r="AD1294" s="4"/>
      <c r="AE1294" s="4"/>
      <c r="AF1294" s="4"/>
      <c r="AG1294" s="4"/>
      <c r="AH1294" s="4"/>
      <c r="AI1294" s="4"/>
      <c r="AJ1294" s="4"/>
      <c r="AK1294" s="4"/>
      <c r="AL1294" s="4" t="s">
        <v>174</v>
      </c>
      <c r="AM1294" s="4" t="s">
        <v>175</v>
      </c>
    </row>
    <row r="1295" customFormat="false" ht="23.85" hidden="false" customHeight="false" outlineLevel="0" collapsed="false">
      <c r="A1295" s="4" t="s">
        <v>167</v>
      </c>
      <c r="B1295" s="4" t="s">
        <v>1472</v>
      </c>
      <c r="C1295" s="4" t="s">
        <v>1472</v>
      </c>
      <c r="D1295" s="12" t="n">
        <v>2023</v>
      </c>
      <c r="E1295" s="4"/>
      <c r="F1295" s="4" t="s">
        <v>169</v>
      </c>
      <c r="G1295" s="4" t="s">
        <v>170</v>
      </c>
      <c r="H1295" s="4" t="s">
        <v>171</v>
      </c>
      <c r="I1295" s="4" t="s">
        <v>172</v>
      </c>
      <c r="J1295" s="4" t="s">
        <v>1472</v>
      </c>
      <c r="K1295" s="4" t="s">
        <v>78</v>
      </c>
      <c r="L1295" s="4" t="s">
        <v>79</v>
      </c>
      <c r="M1295" s="4"/>
      <c r="N1295" s="4"/>
      <c r="O1295" s="4"/>
      <c r="P1295" s="4"/>
      <c r="Q1295" s="4"/>
      <c r="R1295" s="4"/>
      <c r="S1295" s="13" t="n">
        <v>-214.89</v>
      </c>
      <c r="T1295" s="4" t="s">
        <v>173</v>
      </c>
      <c r="U1295" s="14" t="n">
        <f aca="false">IF(OR($S1295="",PARAMETROS!$B$4=""),"",$S1295*PARAMETROS!$B$4)</f>
        <v>-1248.5109</v>
      </c>
      <c r="V1295" s="13" t="n">
        <v>0</v>
      </c>
      <c r="W1295" s="4"/>
      <c r="X1295" s="4"/>
      <c r="Y1295" s="4"/>
      <c r="Z1295" s="4"/>
      <c r="AA1295" s="4"/>
      <c r="AB1295" s="4"/>
      <c r="AC1295" s="4"/>
      <c r="AD1295" s="4"/>
      <c r="AE1295" s="4"/>
      <c r="AF1295" s="4"/>
      <c r="AG1295" s="4"/>
      <c r="AH1295" s="4"/>
      <c r="AI1295" s="4"/>
      <c r="AJ1295" s="4"/>
      <c r="AK1295" s="4"/>
      <c r="AL1295" s="4" t="s">
        <v>174</v>
      </c>
      <c r="AM1295" s="4" t="s">
        <v>175</v>
      </c>
    </row>
    <row r="1296" customFormat="false" ht="23.85" hidden="false" customHeight="false" outlineLevel="0" collapsed="false">
      <c r="A1296" s="4" t="s">
        <v>167</v>
      </c>
      <c r="B1296" s="4" t="s">
        <v>1473</v>
      </c>
      <c r="C1296" s="4" t="s">
        <v>1473</v>
      </c>
      <c r="D1296" s="12" t="n">
        <v>2023</v>
      </c>
      <c r="E1296" s="4"/>
      <c r="F1296" s="4" t="s">
        <v>169</v>
      </c>
      <c r="G1296" s="4" t="s">
        <v>170</v>
      </c>
      <c r="H1296" s="4" t="s">
        <v>171</v>
      </c>
      <c r="I1296" s="4" t="s">
        <v>172</v>
      </c>
      <c r="J1296" s="4" t="s">
        <v>1473</v>
      </c>
      <c r="K1296" s="4" t="s">
        <v>78</v>
      </c>
      <c r="L1296" s="4" t="s">
        <v>79</v>
      </c>
      <c r="M1296" s="4"/>
      <c r="N1296" s="4"/>
      <c r="O1296" s="4"/>
      <c r="P1296" s="4"/>
      <c r="Q1296" s="4"/>
      <c r="R1296" s="4"/>
      <c r="S1296" s="13" t="n">
        <v>0</v>
      </c>
      <c r="T1296" s="4" t="s">
        <v>173</v>
      </c>
      <c r="U1296" s="14" t="n">
        <f aca="false">IF(OR($S1296="",PARAMETROS!$B$4=""),"",$S1296*PARAMETROS!$B$4)</f>
        <v>0</v>
      </c>
      <c r="V1296" s="13" t="n">
        <v>0</v>
      </c>
      <c r="W1296" s="4"/>
      <c r="X1296" s="4"/>
      <c r="Y1296" s="4"/>
      <c r="Z1296" s="4"/>
      <c r="AA1296" s="4"/>
      <c r="AB1296" s="4"/>
      <c r="AC1296" s="4"/>
      <c r="AD1296" s="4"/>
      <c r="AE1296" s="4"/>
      <c r="AF1296" s="4"/>
      <c r="AG1296" s="4"/>
      <c r="AH1296" s="4"/>
      <c r="AI1296" s="4"/>
      <c r="AJ1296" s="4"/>
      <c r="AK1296" s="4"/>
      <c r="AL1296" s="4" t="s">
        <v>174</v>
      </c>
      <c r="AM1296" s="4" t="s">
        <v>175</v>
      </c>
    </row>
    <row r="1297" customFormat="false" ht="23.85" hidden="false" customHeight="false" outlineLevel="0" collapsed="false">
      <c r="A1297" s="4" t="s">
        <v>167</v>
      </c>
      <c r="B1297" s="4" t="s">
        <v>1474</v>
      </c>
      <c r="C1297" s="4" t="s">
        <v>1474</v>
      </c>
      <c r="D1297" s="12" t="n">
        <v>2023</v>
      </c>
      <c r="E1297" s="4"/>
      <c r="F1297" s="4" t="s">
        <v>169</v>
      </c>
      <c r="G1297" s="4" t="s">
        <v>170</v>
      </c>
      <c r="H1297" s="4" t="s">
        <v>171</v>
      </c>
      <c r="I1297" s="4" t="s">
        <v>172</v>
      </c>
      <c r="J1297" s="4" t="s">
        <v>1474</v>
      </c>
      <c r="K1297" s="4" t="s">
        <v>78</v>
      </c>
      <c r="L1297" s="4" t="s">
        <v>79</v>
      </c>
      <c r="M1297" s="4"/>
      <c r="N1297" s="4"/>
      <c r="O1297" s="4"/>
      <c r="P1297" s="4"/>
      <c r="Q1297" s="4"/>
      <c r="R1297" s="4"/>
      <c r="S1297" s="13" t="n">
        <v>0</v>
      </c>
      <c r="T1297" s="4" t="s">
        <v>173</v>
      </c>
      <c r="U1297" s="14" t="n">
        <f aca="false">IF(OR($S1297="",PARAMETROS!$B$4=""),"",$S1297*PARAMETROS!$B$4)</f>
        <v>0</v>
      </c>
      <c r="V1297" s="13" t="n">
        <v>0</v>
      </c>
      <c r="W1297" s="4"/>
      <c r="X1297" s="4"/>
      <c r="Y1297" s="4"/>
      <c r="Z1297" s="4"/>
      <c r="AA1297" s="4"/>
      <c r="AB1297" s="4"/>
      <c r="AC1297" s="4"/>
      <c r="AD1297" s="4"/>
      <c r="AE1297" s="4"/>
      <c r="AF1297" s="4"/>
      <c r="AG1297" s="4"/>
      <c r="AH1297" s="4"/>
      <c r="AI1297" s="4"/>
      <c r="AJ1297" s="4"/>
      <c r="AK1297" s="4"/>
      <c r="AL1297" s="4" t="s">
        <v>174</v>
      </c>
      <c r="AM1297" s="4" t="s">
        <v>175</v>
      </c>
    </row>
    <row r="1298" customFormat="false" ht="23.85" hidden="false" customHeight="false" outlineLevel="0" collapsed="false">
      <c r="A1298" s="4" t="s">
        <v>167</v>
      </c>
      <c r="B1298" s="4" t="s">
        <v>1475</v>
      </c>
      <c r="C1298" s="4" t="s">
        <v>1475</v>
      </c>
      <c r="D1298" s="12" t="n">
        <v>2023</v>
      </c>
      <c r="E1298" s="4"/>
      <c r="F1298" s="4" t="s">
        <v>169</v>
      </c>
      <c r="G1298" s="4" t="s">
        <v>170</v>
      </c>
      <c r="H1298" s="4" t="s">
        <v>171</v>
      </c>
      <c r="I1298" s="4" t="s">
        <v>172</v>
      </c>
      <c r="J1298" s="4" t="s">
        <v>1475</v>
      </c>
      <c r="K1298" s="4" t="s">
        <v>78</v>
      </c>
      <c r="L1298" s="4" t="s">
        <v>79</v>
      </c>
      <c r="M1298" s="4"/>
      <c r="N1298" s="4"/>
      <c r="O1298" s="4"/>
      <c r="P1298" s="4"/>
      <c r="Q1298" s="4"/>
      <c r="R1298" s="4"/>
      <c r="S1298" s="13" t="n">
        <v>0</v>
      </c>
      <c r="T1298" s="4" t="s">
        <v>173</v>
      </c>
      <c r="U1298" s="14" t="n">
        <f aca="false">IF(OR($S1298="",PARAMETROS!$B$4=""),"",$S1298*PARAMETROS!$B$4)</f>
        <v>0</v>
      </c>
      <c r="V1298" s="13" t="n">
        <v>0</v>
      </c>
      <c r="W1298" s="4"/>
      <c r="X1298" s="4"/>
      <c r="Y1298" s="4"/>
      <c r="Z1298" s="4"/>
      <c r="AA1298" s="4"/>
      <c r="AB1298" s="4"/>
      <c r="AC1298" s="4"/>
      <c r="AD1298" s="4"/>
      <c r="AE1298" s="4"/>
      <c r="AF1298" s="4"/>
      <c r="AG1298" s="4"/>
      <c r="AH1298" s="4"/>
      <c r="AI1298" s="4"/>
      <c r="AJ1298" s="4"/>
      <c r="AK1298" s="4"/>
      <c r="AL1298" s="4" t="s">
        <v>174</v>
      </c>
      <c r="AM1298" s="4" t="s">
        <v>175</v>
      </c>
    </row>
    <row r="1299" customFormat="false" ht="23.85" hidden="false" customHeight="false" outlineLevel="0" collapsed="false">
      <c r="A1299" s="4" t="s">
        <v>167</v>
      </c>
      <c r="B1299" s="4" t="s">
        <v>1476</v>
      </c>
      <c r="C1299" s="4" t="s">
        <v>1476</v>
      </c>
      <c r="D1299" s="12" t="n">
        <v>2023</v>
      </c>
      <c r="E1299" s="4"/>
      <c r="F1299" s="4" t="s">
        <v>169</v>
      </c>
      <c r="G1299" s="4" t="s">
        <v>170</v>
      </c>
      <c r="H1299" s="4" t="s">
        <v>171</v>
      </c>
      <c r="I1299" s="4" t="s">
        <v>172</v>
      </c>
      <c r="J1299" s="4" t="s">
        <v>1476</v>
      </c>
      <c r="K1299" s="4" t="s">
        <v>78</v>
      </c>
      <c r="L1299" s="4" t="s">
        <v>79</v>
      </c>
      <c r="M1299" s="4"/>
      <c r="N1299" s="4"/>
      <c r="O1299" s="4"/>
      <c r="P1299" s="4"/>
      <c r="Q1299" s="4"/>
      <c r="R1299" s="4"/>
      <c r="S1299" s="13" t="n">
        <v>0</v>
      </c>
      <c r="T1299" s="4" t="s">
        <v>173</v>
      </c>
      <c r="U1299" s="14" t="n">
        <f aca="false">IF(OR($S1299="",PARAMETROS!$B$4=""),"",$S1299*PARAMETROS!$B$4)</f>
        <v>0</v>
      </c>
      <c r="V1299" s="13" t="n">
        <v>0</v>
      </c>
      <c r="W1299" s="4"/>
      <c r="X1299" s="4"/>
      <c r="Y1299" s="4"/>
      <c r="Z1299" s="4"/>
      <c r="AA1299" s="4"/>
      <c r="AB1299" s="4"/>
      <c r="AC1299" s="4"/>
      <c r="AD1299" s="4"/>
      <c r="AE1299" s="4"/>
      <c r="AF1299" s="4"/>
      <c r="AG1299" s="4"/>
      <c r="AH1299" s="4"/>
      <c r="AI1299" s="4"/>
      <c r="AJ1299" s="4"/>
      <c r="AK1299" s="4"/>
      <c r="AL1299" s="4" t="s">
        <v>174</v>
      </c>
      <c r="AM1299" s="4" t="s">
        <v>175</v>
      </c>
    </row>
    <row r="1300" customFormat="false" ht="23.85" hidden="false" customHeight="false" outlineLevel="0" collapsed="false">
      <c r="A1300" s="4" t="s">
        <v>167</v>
      </c>
      <c r="B1300" s="4" t="s">
        <v>1477</v>
      </c>
      <c r="C1300" s="4" t="s">
        <v>1477</v>
      </c>
      <c r="D1300" s="12" t="n">
        <v>2023</v>
      </c>
      <c r="E1300" s="4"/>
      <c r="F1300" s="4" t="s">
        <v>169</v>
      </c>
      <c r="G1300" s="4" t="s">
        <v>170</v>
      </c>
      <c r="H1300" s="4" t="s">
        <v>171</v>
      </c>
      <c r="I1300" s="4" t="s">
        <v>172</v>
      </c>
      <c r="J1300" s="4" t="s">
        <v>1477</v>
      </c>
      <c r="K1300" s="4" t="s">
        <v>78</v>
      </c>
      <c r="L1300" s="4" t="s">
        <v>79</v>
      </c>
      <c r="M1300" s="4"/>
      <c r="N1300" s="4"/>
      <c r="O1300" s="4"/>
      <c r="P1300" s="4"/>
      <c r="Q1300" s="4"/>
      <c r="R1300" s="4"/>
      <c r="S1300" s="13" t="n">
        <v>0</v>
      </c>
      <c r="T1300" s="4" t="s">
        <v>173</v>
      </c>
      <c r="U1300" s="14" t="n">
        <f aca="false">IF(OR($S1300="",PARAMETROS!$B$4=""),"",$S1300*PARAMETROS!$B$4)</f>
        <v>0</v>
      </c>
      <c r="V1300" s="13" t="n">
        <v>0</v>
      </c>
      <c r="W1300" s="4"/>
      <c r="X1300" s="4"/>
      <c r="Y1300" s="4"/>
      <c r="Z1300" s="4"/>
      <c r="AA1300" s="4"/>
      <c r="AB1300" s="4"/>
      <c r="AC1300" s="4"/>
      <c r="AD1300" s="4"/>
      <c r="AE1300" s="4"/>
      <c r="AF1300" s="4"/>
      <c r="AG1300" s="4"/>
      <c r="AH1300" s="4"/>
      <c r="AI1300" s="4"/>
      <c r="AJ1300" s="4"/>
      <c r="AK1300" s="4"/>
      <c r="AL1300" s="4" t="s">
        <v>174</v>
      </c>
      <c r="AM1300" s="4" t="s">
        <v>175</v>
      </c>
    </row>
    <row r="1301" customFormat="false" ht="23.85" hidden="false" customHeight="false" outlineLevel="0" collapsed="false">
      <c r="A1301" s="4" t="s">
        <v>167</v>
      </c>
      <c r="B1301" s="4" t="s">
        <v>1478</v>
      </c>
      <c r="C1301" s="4" t="s">
        <v>1478</v>
      </c>
      <c r="D1301" s="12" t="n">
        <v>2023</v>
      </c>
      <c r="E1301" s="4"/>
      <c r="F1301" s="4" t="s">
        <v>169</v>
      </c>
      <c r="G1301" s="4" t="s">
        <v>170</v>
      </c>
      <c r="H1301" s="4" t="s">
        <v>171</v>
      </c>
      <c r="I1301" s="4" t="s">
        <v>172</v>
      </c>
      <c r="J1301" s="4" t="s">
        <v>1478</v>
      </c>
      <c r="K1301" s="4" t="s">
        <v>78</v>
      </c>
      <c r="L1301" s="4" t="s">
        <v>79</v>
      </c>
      <c r="M1301" s="4"/>
      <c r="N1301" s="4"/>
      <c r="O1301" s="4"/>
      <c r="P1301" s="4"/>
      <c r="Q1301" s="4"/>
      <c r="R1301" s="4"/>
      <c r="S1301" s="13" t="n">
        <v>0</v>
      </c>
      <c r="T1301" s="4" t="s">
        <v>173</v>
      </c>
      <c r="U1301" s="14" t="n">
        <f aca="false">IF(OR($S1301="",PARAMETROS!$B$4=""),"",$S1301*PARAMETROS!$B$4)</f>
        <v>0</v>
      </c>
      <c r="V1301" s="13" t="n">
        <v>0</v>
      </c>
      <c r="W1301" s="4"/>
      <c r="X1301" s="4"/>
      <c r="Y1301" s="4"/>
      <c r="Z1301" s="4"/>
      <c r="AA1301" s="4"/>
      <c r="AB1301" s="4"/>
      <c r="AC1301" s="4"/>
      <c r="AD1301" s="4"/>
      <c r="AE1301" s="4"/>
      <c r="AF1301" s="4"/>
      <c r="AG1301" s="4"/>
      <c r="AH1301" s="4"/>
      <c r="AI1301" s="4"/>
      <c r="AJ1301" s="4"/>
      <c r="AK1301" s="4"/>
      <c r="AL1301" s="4" t="s">
        <v>174</v>
      </c>
      <c r="AM1301" s="4" t="s">
        <v>175</v>
      </c>
    </row>
    <row r="1302" customFormat="false" ht="23.85" hidden="false" customHeight="false" outlineLevel="0" collapsed="false">
      <c r="A1302" s="4" t="s">
        <v>167</v>
      </c>
      <c r="B1302" s="4" t="s">
        <v>1479</v>
      </c>
      <c r="C1302" s="4" t="s">
        <v>1479</v>
      </c>
      <c r="D1302" s="12" t="n">
        <v>2023</v>
      </c>
      <c r="E1302" s="4"/>
      <c r="F1302" s="4" t="s">
        <v>169</v>
      </c>
      <c r="G1302" s="4" t="s">
        <v>170</v>
      </c>
      <c r="H1302" s="4" t="s">
        <v>171</v>
      </c>
      <c r="I1302" s="4" t="s">
        <v>172</v>
      </c>
      <c r="J1302" s="4" t="s">
        <v>1479</v>
      </c>
      <c r="K1302" s="4" t="s">
        <v>78</v>
      </c>
      <c r="L1302" s="4" t="s">
        <v>79</v>
      </c>
      <c r="M1302" s="4"/>
      <c r="N1302" s="4"/>
      <c r="O1302" s="4"/>
      <c r="P1302" s="4"/>
      <c r="Q1302" s="4"/>
      <c r="R1302" s="4"/>
      <c r="S1302" s="13" t="n">
        <v>0</v>
      </c>
      <c r="T1302" s="4" t="s">
        <v>173</v>
      </c>
      <c r="U1302" s="14" t="n">
        <f aca="false">IF(OR($S1302="",PARAMETROS!$B$4=""),"",$S1302*PARAMETROS!$B$4)</f>
        <v>0</v>
      </c>
      <c r="V1302" s="13" t="n">
        <v>0</v>
      </c>
      <c r="W1302" s="4"/>
      <c r="X1302" s="4"/>
      <c r="Y1302" s="4"/>
      <c r="Z1302" s="4"/>
      <c r="AA1302" s="4"/>
      <c r="AB1302" s="4"/>
      <c r="AC1302" s="4"/>
      <c r="AD1302" s="4"/>
      <c r="AE1302" s="4"/>
      <c r="AF1302" s="4"/>
      <c r="AG1302" s="4"/>
      <c r="AH1302" s="4"/>
      <c r="AI1302" s="4"/>
      <c r="AJ1302" s="4"/>
      <c r="AK1302" s="4"/>
      <c r="AL1302" s="4" t="s">
        <v>174</v>
      </c>
      <c r="AM1302" s="4" t="s">
        <v>175</v>
      </c>
    </row>
    <row r="1303" customFormat="false" ht="23.85" hidden="false" customHeight="false" outlineLevel="0" collapsed="false">
      <c r="A1303" s="4" t="s">
        <v>167</v>
      </c>
      <c r="B1303" s="4" t="s">
        <v>1480</v>
      </c>
      <c r="C1303" s="4" t="s">
        <v>1480</v>
      </c>
      <c r="D1303" s="12" t="n">
        <v>2023</v>
      </c>
      <c r="E1303" s="4"/>
      <c r="F1303" s="4" t="s">
        <v>169</v>
      </c>
      <c r="G1303" s="4" t="s">
        <v>170</v>
      </c>
      <c r="H1303" s="4" t="s">
        <v>171</v>
      </c>
      <c r="I1303" s="4" t="s">
        <v>172</v>
      </c>
      <c r="J1303" s="4" t="s">
        <v>1480</v>
      </c>
      <c r="K1303" s="4" t="s">
        <v>78</v>
      </c>
      <c r="L1303" s="4" t="s">
        <v>79</v>
      </c>
      <c r="M1303" s="4"/>
      <c r="N1303" s="4"/>
      <c r="O1303" s="4"/>
      <c r="P1303" s="4"/>
      <c r="Q1303" s="4"/>
      <c r="R1303" s="4"/>
      <c r="S1303" s="13" t="n">
        <v>0</v>
      </c>
      <c r="T1303" s="4" t="s">
        <v>173</v>
      </c>
      <c r="U1303" s="14" t="n">
        <f aca="false">IF(OR($S1303="",PARAMETROS!$B$4=""),"",$S1303*PARAMETROS!$B$4)</f>
        <v>0</v>
      </c>
      <c r="V1303" s="13" t="n">
        <v>0</v>
      </c>
      <c r="W1303" s="4"/>
      <c r="X1303" s="4"/>
      <c r="Y1303" s="4"/>
      <c r="Z1303" s="4"/>
      <c r="AA1303" s="4"/>
      <c r="AB1303" s="4"/>
      <c r="AC1303" s="4"/>
      <c r="AD1303" s="4"/>
      <c r="AE1303" s="4"/>
      <c r="AF1303" s="4"/>
      <c r="AG1303" s="4"/>
      <c r="AH1303" s="4"/>
      <c r="AI1303" s="4"/>
      <c r="AJ1303" s="4"/>
      <c r="AK1303" s="4"/>
      <c r="AL1303" s="4" t="s">
        <v>174</v>
      </c>
      <c r="AM1303" s="4" t="s">
        <v>175</v>
      </c>
    </row>
    <row r="1304" customFormat="false" ht="23.85" hidden="false" customHeight="false" outlineLevel="0" collapsed="false">
      <c r="A1304" s="4" t="s">
        <v>167</v>
      </c>
      <c r="B1304" s="4" t="s">
        <v>1481</v>
      </c>
      <c r="C1304" s="4" t="s">
        <v>1481</v>
      </c>
      <c r="D1304" s="12" t="n">
        <v>2023</v>
      </c>
      <c r="E1304" s="4"/>
      <c r="F1304" s="4" t="s">
        <v>169</v>
      </c>
      <c r="G1304" s="4" t="s">
        <v>170</v>
      </c>
      <c r="H1304" s="4" t="s">
        <v>171</v>
      </c>
      <c r="I1304" s="4" t="s">
        <v>172</v>
      </c>
      <c r="J1304" s="4" t="s">
        <v>1481</v>
      </c>
      <c r="K1304" s="4" t="s">
        <v>80</v>
      </c>
      <c r="L1304" s="4" t="s">
        <v>81</v>
      </c>
      <c r="M1304" s="4"/>
      <c r="N1304" s="4"/>
      <c r="O1304" s="4"/>
      <c r="P1304" s="4"/>
      <c r="Q1304" s="4"/>
      <c r="R1304" s="4"/>
      <c r="S1304" s="13" t="n">
        <v>2044.9</v>
      </c>
      <c r="T1304" s="4" t="s">
        <v>173</v>
      </c>
      <c r="U1304" s="14" t="n">
        <f aca="false">IF(OR($S1304="",PARAMETROS!$B$4=""),"",$S1304*PARAMETROS!$B$4)</f>
        <v>11880.869</v>
      </c>
      <c r="V1304" s="13" t="n">
        <v>0</v>
      </c>
      <c r="W1304" s="4"/>
      <c r="X1304" s="4"/>
      <c r="Y1304" s="4"/>
      <c r="Z1304" s="4"/>
      <c r="AA1304" s="4"/>
      <c r="AB1304" s="4"/>
      <c r="AC1304" s="4"/>
      <c r="AD1304" s="4"/>
      <c r="AE1304" s="4"/>
      <c r="AF1304" s="4"/>
      <c r="AG1304" s="4"/>
      <c r="AH1304" s="4"/>
      <c r="AI1304" s="4"/>
      <c r="AJ1304" s="4"/>
      <c r="AK1304" s="4"/>
      <c r="AL1304" s="4" t="s">
        <v>174</v>
      </c>
      <c r="AM1304" s="4" t="s">
        <v>190</v>
      </c>
    </row>
    <row r="1305" customFormat="false" ht="23.85" hidden="false" customHeight="false" outlineLevel="0" collapsed="false">
      <c r="A1305" s="4" t="s">
        <v>167</v>
      </c>
      <c r="B1305" s="4" t="s">
        <v>1482</v>
      </c>
      <c r="C1305" s="4" t="s">
        <v>1482</v>
      </c>
      <c r="D1305" s="12" t="n">
        <v>2023</v>
      </c>
      <c r="E1305" s="4"/>
      <c r="F1305" s="4" t="s">
        <v>169</v>
      </c>
      <c r="G1305" s="4" t="s">
        <v>170</v>
      </c>
      <c r="H1305" s="4" t="s">
        <v>171</v>
      </c>
      <c r="I1305" s="4" t="s">
        <v>172</v>
      </c>
      <c r="J1305" s="4" t="s">
        <v>1482</v>
      </c>
      <c r="K1305" s="4" t="s">
        <v>80</v>
      </c>
      <c r="L1305" s="4" t="s">
        <v>81</v>
      </c>
      <c r="M1305" s="4"/>
      <c r="N1305" s="4"/>
      <c r="O1305" s="4"/>
      <c r="P1305" s="4"/>
      <c r="Q1305" s="4"/>
      <c r="R1305" s="4"/>
      <c r="S1305" s="13" t="n">
        <v>0</v>
      </c>
      <c r="T1305" s="4" t="s">
        <v>173</v>
      </c>
      <c r="U1305" s="14" t="n">
        <f aca="false">IF(OR($S1305="",PARAMETROS!$B$4=""),"",$S1305*PARAMETROS!$B$4)</f>
        <v>0</v>
      </c>
      <c r="V1305" s="13" t="n">
        <v>0</v>
      </c>
      <c r="W1305" s="4"/>
      <c r="X1305" s="4"/>
      <c r="Y1305" s="4"/>
      <c r="Z1305" s="4"/>
      <c r="AA1305" s="4"/>
      <c r="AB1305" s="4"/>
      <c r="AC1305" s="4"/>
      <c r="AD1305" s="4"/>
      <c r="AE1305" s="4"/>
      <c r="AF1305" s="4"/>
      <c r="AG1305" s="4"/>
      <c r="AH1305" s="4"/>
      <c r="AI1305" s="4"/>
      <c r="AJ1305" s="4"/>
      <c r="AK1305" s="4"/>
      <c r="AL1305" s="4" t="s">
        <v>174</v>
      </c>
      <c r="AM1305" s="4" t="s">
        <v>190</v>
      </c>
    </row>
    <row r="1306" customFormat="false" ht="23.85" hidden="false" customHeight="false" outlineLevel="0" collapsed="false">
      <c r="A1306" s="4" t="s">
        <v>167</v>
      </c>
      <c r="B1306" s="4" t="s">
        <v>1483</v>
      </c>
      <c r="C1306" s="4" t="s">
        <v>1483</v>
      </c>
      <c r="D1306" s="12" t="n">
        <v>2023</v>
      </c>
      <c r="E1306" s="4"/>
      <c r="F1306" s="4" t="s">
        <v>169</v>
      </c>
      <c r="G1306" s="4" t="s">
        <v>170</v>
      </c>
      <c r="H1306" s="4" t="s">
        <v>171</v>
      </c>
      <c r="I1306" s="4" t="s">
        <v>172</v>
      </c>
      <c r="J1306" s="4" t="s">
        <v>1483</v>
      </c>
      <c r="K1306" s="4" t="s">
        <v>80</v>
      </c>
      <c r="L1306" s="4" t="s">
        <v>81</v>
      </c>
      <c r="M1306" s="4"/>
      <c r="N1306" s="4"/>
      <c r="O1306" s="4"/>
      <c r="P1306" s="4"/>
      <c r="Q1306" s="4"/>
      <c r="R1306" s="4"/>
      <c r="S1306" s="13" t="n">
        <v>0</v>
      </c>
      <c r="T1306" s="4" t="s">
        <v>173</v>
      </c>
      <c r="U1306" s="14" t="n">
        <f aca="false">IF(OR($S1306="",PARAMETROS!$B$4=""),"",$S1306*PARAMETROS!$B$4)</f>
        <v>0</v>
      </c>
      <c r="V1306" s="13" t="n">
        <v>0</v>
      </c>
      <c r="W1306" s="4"/>
      <c r="X1306" s="4"/>
      <c r="Y1306" s="4"/>
      <c r="Z1306" s="4"/>
      <c r="AA1306" s="4"/>
      <c r="AB1306" s="4"/>
      <c r="AC1306" s="4"/>
      <c r="AD1306" s="4"/>
      <c r="AE1306" s="4"/>
      <c r="AF1306" s="4"/>
      <c r="AG1306" s="4"/>
      <c r="AH1306" s="4"/>
      <c r="AI1306" s="4"/>
      <c r="AJ1306" s="4"/>
      <c r="AK1306" s="4"/>
      <c r="AL1306" s="4" t="s">
        <v>174</v>
      </c>
      <c r="AM1306" s="4" t="s">
        <v>190</v>
      </c>
    </row>
    <row r="1307" customFormat="false" ht="23.85" hidden="false" customHeight="false" outlineLevel="0" collapsed="false">
      <c r="A1307" s="4" t="s">
        <v>167</v>
      </c>
      <c r="B1307" s="4" t="s">
        <v>1484</v>
      </c>
      <c r="C1307" s="4" t="s">
        <v>1484</v>
      </c>
      <c r="D1307" s="12" t="n">
        <v>2023</v>
      </c>
      <c r="E1307" s="4"/>
      <c r="F1307" s="4" t="s">
        <v>169</v>
      </c>
      <c r="G1307" s="4" t="s">
        <v>170</v>
      </c>
      <c r="H1307" s="4" t="s">
        <v>171</v>
      </c>
      <c r="I1307" s="4" t="s">
        <v>172</v>
      </c>
      <c r="J1307" s="4" t="s">
        <v>1484</v>
      </c>
      <c r="K1307" s="4" t="s">
        <v>80</v>
      </c>
      <c r="L1307" s="4" t="s">
        <v>81</v>
      </c>
      <c r="M1307" s="4"/>
      <c r="N1307" s="4"/>
      <c r="O1307" s="4"/>
      <c r="P1307" s="4"/>
      <c r="Q1307" s="4"/>
      <c r="R1307" s="4"/>
      <c r="S1307" s="13" t="n">
        <v>0</v>
      </c>
      <c r="T1307" s="4" t="s">
        <v>173</v>
      </c>
      <c r="U1307" s="14" t="n">
        <f aca="false">IF(OR($S1307="",PARAMETROS!$B$4=""),"",$S1307*PARAMETROS!$B$4)</f>
        <v>0</v>
      </c>
      <c r="V1307" s="13" t="n">
        <v>0</v>
      </c>
      <c r="W1307" s="4"/>
      <c r="X1307" s="4"/>
      <c r="Y1307" s="4"/>
      <c r="Z1307" s="4"/>
      <c r="AA1307" s="4"/>
      <c r="AB1307" s="4"/>
      <c r="AC1307" s="4"/>
      <c r="AD1307" s="4"/>
      <c r="AE1307" s="4"/>
      <c r="AF1307" s="4"/>
      <c r="AG1307" s="4"/>
      <c r="AH1307" s="4"/>
      <c r="AI1307" s="4"/>
      <c r="AJ1307" s="4"/>
      <c r="AK1307" s="4"/>
      <c r="AL1307" s="4" t="s">
        <v>174</v>
      </c>
      <c r="AM1307" s="4" t="s">
        <v>190</v>
      </c>
    </row>
    <row r="1308" customFormat="false" ht="23.85" hidden="false" customHeight="false" outlineLevel="0" collapsed="false">
      <c r="A1308" s="4" t="s">
        <v>167</v>
      </c>
      <c r="B1308" s="4" t="s">
        <v>1485</v>
      </c>
      <c r="C1308" s="4" t="s">
        <v>1485</v>
      </c>
      <c r="D1308" s="12" t="n">
        <v>2023</v>
      </c>
      <c r="E1308" s="4"/>
      <c r="F1308" s="4" t="s">
        <v>169</v>
      </c>
      <c r="G1308" s="4" t="s">
        <v>170</v>
      </c>
      <c r="H1308" s="4" t="s">
        <v>171</v>
      </c>
      <c r="I1308" s="4" t="s">
        <v>172</v>
      </c>
      <c r="J1308" s="4" t="s">
        <v>1485</v>
      </c>
      <c r="K1308" s="4" t="s">
        <v>80</v>
      </c>
      <c r="L1308" s="4" t="s">
        <v>81</v>
      </c>
      <c r="M1308" s="4"/>
      <c r="N1308" s="4"/>
      <c r="O1308" s="4"/>
      <c r="P1308" s="4"/>
      <c r="Q1308" s="4"/>
      <c r="R1308" s="4"/>
      <c r="S1308" s="13" t="n">
        <v>0</v>
      </c>
      <c r="T1308" s="4" t="s">
        <v>173</v>
      </c>
      <c r="U1308" s="14" t="n">
        <f aca="false">IF(OR($S1308="",PARAMETROS!$B$4=""),"",$S1308*PARAMETROS!$B$4)</f>
        <v>0</v>
      </c>
      <c r="V1308" s="13" t="n">
        <v>0</v>
      </c>
      <c r="W1308" s="4"/>
      <c r="X1308" s="4"/>
      <c r="Y1308" s="4"/>
      <c r="Z1308" s="4"/>
      <c r="AA1308" s="4"/>
      <c r="AB1308" s="4"/>
      <c r="AC1308" s="4"/>
      <c r="AD1308" s="4"/>
      <c r="AE1308" s="4"/>
      <c r="AF1308" s="4"/>
      <c r="AG1308" s="4"/>
      <c r="AH1308" s="4"/>
      <c r="AI1308" s="4"/>
      <c r="AJ1308" s="4"/>
      <c r="AK1308" s="4"/>
      <c r="AL1308" s="4" t="s">
        <v>174</v>
      </c>
      <c r="AM1308" s="4" t="s">
        <v>190</v>
      </c>
    </row>
    <row r="1309" customFormat="false" ht="23.85" hidden="false" customHeight="false" outlineLevel="0" collapsed="false">
      <c r="A1309" s="4" t="s">
        <v>167</v>
      </c>
      <c r="B1309" s="4" t="s">
        <v>1486</v>
      </c>
      <c r="C1309" s="4" t="s">
        <v>1486</v>
      </c>
      <c r="D1309" s="12" t="n">
        <v>2023</v>
      </c>
      <c r="E1309" s="4"/>
      <c r="F1309" s="4" t="s">
        <v>169</v>
      </c>
      <c r="G1309" s="4" t="s">
        <v>170</v>
      </c>
      <c r="H1309" s="4" t="s">
        <v>171</v>
      </c>
      <c r="I1309" s="4" t="s">
        <v>172</v>
      </c>
      <c r="J1309" s="4" t="s">
        <v>1486</v>
      </c>
      <c r="K1309" s="4" t="s">
        <v>80</v>
      </c>
      <c r="L1309" s="4" t="s">
        <v>81</v>
      </c>
      <c r="M1309" s="4"/>
      <c r="N1309" s="4"/>
      <c r="O1309" s="4"/>
      <c r="P1309" s="4"/>
      <c r="Q1309" s="4"/>
      <c r="R1309" s="4"/>
      <c r="S1309" s="13" t="n">
        <v>-2044.9</v>
      </c>
      <c r="T1309" s="4" t="s">
        <v>173</v>
      </c>
      <c r="U1309" s="14" t="n">
        <f aca="false">IF(OR($S1309="",PARAMETROS!$B$4=""),"",$S1309*PARAMETROS!$B$4)</f>
        <v>-11880.869</v>
      </c>
      <c r="V1309" s="13" t="n">
        <v>0</v>
      </c>
      <c r="W1309" s="4"/>
      <c r="X1309" s="4"/>
      <c r="Y1309" s="4"/>
      <c r="Z1309" s="4"/>
      <c r="AA1309" s="4"/>
      <c r="AB1309" s="4"/>
      <c r="AC1309" s="4"/>
      <c r="AD1309" s="4"/>
      <c r="AE1309" s="4"/>
      <c r="AF1309" s="4"/>
      <c r="AG1309" s="4"/>
      <c r="AH1309" s="4"/>
      <c r="AI1309" s="4"/>
      <c r="AJ1309" s="4"/>
      <c r="AK1309" s="4"/>
      <c r="AL1309" s="4" t="s">
        <v>174</v>
      </c>
      <c r="AM1309" s="4" t="s">
        <v>190</v>
      </c>
    </row>
    <row r="1310" customFormat="false" ht="23.85" hidden="false" customHeight="false" outlineLevel="0" collapsed="false">
      <c r="A1310" s="4" t="s">
        <v>167</v>
      </c>
      <c r="B1310" s="4" t="s">
        <v>1487</v>
      </c>
      <c r="C1310" s="4" t="s">
        <v>1487</v>
      </c>
      <c r="D1310" s="12" t="n">
        <v>2023</v>
      </c>
      <c r="E1310" s="4"/>
      <c r="F1310" s="4" t="s">
        <v>169</v>
      </c>
      <c r="G1310" s="4" t="s">
        <v>170</v>
      </c>
      <c r="H1310" s="4" t="s">
        <v>171</v>
      </c>
      <c r="I1310" s="4" t="s">
        <v>172</v>
      </c>
      <c r="J1310" s="4" t="s">
        <v>1487</v>
      </c>
      <c r="K1310" s="4" t="s">
        <v>80</v>
      </c>
      <c r="L1310" s="4" t="s">
        <v>81</v>
      </c>
      <c r="M1310" s="4"/>
      <c r="N1310" s="4"/>
      <c r="O1310" s="4"/>
      <c r="P1310" s="4"/>
      <c r="Q1310" s="4"/>
      <c r="R1310" s="4"/>
      <c r="S1310" s="13" t="n">
        <v>0</v>
      </c>
      <c r="T1310" s="4" t="s">
        <v>173</v>
      </c>
      <c r="U1310" s="14" t="n">
        <f aca="false">IF(OR($S1310="",PARAMETROS!$B$4=""),"",$S1310*PARAMETROS!$B$4)</f>
        <v>0</v>
      </c>
      <c r="V1310" s="13" t="n">
        <v>0</v>
      </c>
      <c r="W1310" s="4"/>
      <c r="X1310" s="4"/>
      <c r="Y1310" s="4"/>
      <c r="Z1310" s="4"/>
      <c r="AA1310" s="4"/>
      <c r="AB1310" s="4"/>
      <c r="AC1310" s="4"/>
      <c r="AD1310" s="4"/>
      <c r="AE1310" s="4"/>
      <c r="AF1310" s="4"/>
      <c r="AG1310" s="4"/>
      <c r="AH1310" s="4"/>
      <c r="AI1310" s="4"/>
      <c r="AJ1310" s="4"/>
      <c r="AK1310" s="4"/>
      <c r="AL1310" s="4" t="s">
        <v>174</v>
      </c>
      <c r="AM1310" s="4" t="s">
        <v>190</v>
      </c>
    </row>
    <row r="1311" customFormat="false" ht="23.85" hidden="false" customHeight="false" outlineLevel="0" collapsed="false">
      <c r="A1311" s="4" t="s">
        <v>167</v>
      </c>
      <c r="B1311" s="4" t="s">
        <v>1488</v>
      </c>
      <c r="C1311" s="4" t="s">
        <v>1488</v>
      </c>
      <c r="D1311" s="12" t="n">
        <v>2023</v>
      </c>
      <c r="E1311" s="4"/>
      <c r="F1311" s="4" t="s">
        <v>169</v>
      </c>
      <c r="G1311" s="4" t="s">
        <v>170</v>
      </c>
      <c r="H1311" s="4" t="s">
        <v>171</v>
      </c>
      <c r="I1311" s="4" t="s">
        <v>172</v>
      </c>
      <c r="J1311" s="4" t="s">
        <v>1488</v>
      </c>
      <c r="K1311" s="4" t="s">
        <v>80</v>
      </c>
      <c r="L1311" s="4" t="s">
        <v>81</v>
      </c>
      <c r="M1311" s="4"/>
      <c r="N1311" s="4"/>
      <c r="O1311" s="4"/>
      <c r="P1311" s="4"/>
      <c r="Q1311" s="4"/>
      <c r="R1311" s="4"/>
      <c r="S1311" s="13" t="n">
        <v>0</v>
      </c>
      <c r="T1311" s="4" t="s">
        <v>173</v>
      </c>
      <c r="U1311" s="14" t="n">
        <f aca="false">IF(OR($S1311="",PARAMETROS!$B$4=""),"",$S1311*PARAMETROS!$B$4)</f>
        <v>0</v>
      </c>
      <c r="V1311" s="13" t="n">
        <v>0</v>
      </c>
      <c r="W1311" s="4"/>
      <c r="X1311" s="4"/>
      <c r="Y1311" s="4"/>
      <c r="Z1311" s="4"/>
      <c r="AA1311" s="4"/>
      <c r="AB1311" s="4"/>
      <c r="AC1311" s="4"/>
      <c r="AD1311" s="4"/>
      <c r="AE1311" s="4"/>
      <c r="AF1311" s="4"/>
      <c r="AG1311" s="4"/>
      <c r="AH1311" s="4"/>
      <c r="AI1311" s="4"/>
      <c r="AJ1311" s="4"/>
      <c r="AK1311" s="4"/>
      <c r="AL1311" s="4" t="s">
        <v>174</v>
      </c>
      <c r="AM1311" s="4" t="s">
        <v>190</v>
      </c>
    </row>
    <row r="1312" customFormat="false" ht="23.85" hidden="false" customHeight="false" outlineLevel="0" collapsed="false">
      <c r="A1312" s="4" t="s">
        <v>167</v>
      </c>
      <c r="B1312" s="4" t="s">
        <v>1489</v>
      </c>
      <c r="C1312" s="4" t="s">
        <v>1489</v>
      </c>
      <c r="D1312" s="12" t="n">
        <v>2023</v>
      </c>
      <c r="E1312" s="4"/>
      <c r="F1312" s="4" t="s">
        <v>169</v>
      </c>
      <c r="G1312" s="4" t="s">
        <v>170</v>
      </c>
      <c r="H1312" s="4" t="s">
        <v>171</v>
      </c>
      <c r="I1312" s="4" t="s">
        <v>172</v>
      </c>
      <c r="J1312" s="4" t="s">
        <v>1489</v>
      </c>
      <c r="K1312" s="4" t="s">
        <v>80</v>
      </c>
      <c r="L1312" s="4" t="s">
        <v>81</v>
      </c>
      <c r="M1312" s="4"/>
      <c r="N1312" s="4"/>
      <c r="O1312" s="4"/>
      <c r="P1312" s="4"/>
      <c r="Q1312" s="4"/>
      <c r="R1312" s="4"/>
      <c r="S1312" s="13" t="n">
        <v>0</v>
      </c>
      <c r="T1312" s="4" t="s">
        <v>173</v>
      </c>
      <c r="U1312" s="14" t="n">
        <f aca="false">IF(OR($S1312="",PARAMETROS!$B$4=""),"",$S1312*PARAMETROS!$B$4)</f>
        <v>0</v>
      </c>
      <c r="V1312" s="13" t="n">
        <v>0</v>
      </c>
      <c r="W1312" s="4"/>
      <c r="X1312" s="4"/>
      <c r="Y1312" s="4"/>
      <c r="Z1312" s="4"/>
      <c r="AA1312" s="4"/>
      <c r="AB1312" s="4"/>
      <c r="AC1312" s="4"/>
      <c r="AD1312" s="4"/>
      <c r="AE1312" s="4"/>
      <c r="AF1312" s="4"/>
      <c r="AG1312" s="4"/>
      <c r="AH1312" s="4"/>
      <c r="AI1312" s="4"/>
      <c r="AJ1312" s="4"/>
      <c r="AK1312" s="4"/>
      <c r="AL1312" s="4" t="s">
        <v>174</v>
      </c>
      <c r="AM1312" s="4" t="s">
        <v>190</v>
      </c>
    </row>
    <row r="1313" customFormat="false" ht="23.85" hidden="false" customHeight="false" outlineLevel="0" collapsed="false">
      <c r="A1313" s="4" t="s">
        <v>167</v>
      </c>
      <c r="B1313" s="4" t="s">
        <v>1490</v>
      </c>
      <c r="C1313" s="4" t="s">
        <v>1490</v>
      </c>
      <c r="D1313" s="12" t="n">
        <v>2023</v>
      </c>
      <c r="E1313" s="4"/>
      <c r="F1313" s="4" t="s">
        <v>169</v>
      </c>
      <c r="G1313" s="4" t="s">
        <v>170</v>
      </c>
      <c r="H1313" s="4" t="s">
        <v>171</v>
      </c>
      <c r="I1313" s="4" t="s">
        <v>172</v>
      </c>
      <c r="J1313" s="4" t="s">
        <v>1490</v>
      </c>
      <c r="K1313" s="4" t="s">
        <v>80</v>
      </c>
      <c r="L1313" s="4" t="s">
        <v>81</v>
      </c>
      <c r="M1313" s="4"/>
      <c r="N1313" s="4"/>
      <c r="O1313" s="4"/>
      <c r="P1313" s="4"/>
      <c r="Q1313" s="4"/>
      <c r="R1313" s="4"/>
      <c r="S1313" s="13" t="n">
        <v>0</v>
      </c>
      <c r="T1313" s="4" t="s">
        <v>173</v>
      </c>
      <c r="U1313" s="14" t="n">
        <f aca="false">IF(OR($S1313="",PARAMETROS!$B$4=""),"",$S1313*PARAMETROS!$B$4)</f>
        <v>0</v>
      </c>
      <c r="V1313" s="13" t="n">
        <v>0</v>
      </c>
      <c r="W1313" s="4"/>
      <c r="X1313" s="4"/>
      <c r="Y1313" s="4"/>
      <c r="Z1313" s="4"/>
      <c r="AA1313" s="4"/>
      <c r="AB1313" s="4"/>
      <c r="AC1313" s="4"/>
      <c r="AD1313" s="4"/>
      <c r="AE1313" s="4"/>
      <c r="AF1313" s="4"/>
      <c r="AG1313" s="4"/>
      <c r="AH1313" s="4"/>
      <c r="AI1313" s="4"/>
      <c r="AJ1313" s="4"/>
      <c r="AK1313" s="4"/>
      <c r="AL1313" s="4" t="s">
        <v>174</v>
      </c>
      <c r="AM1313" s="4" t="s">
        <v>190</v>
      </c>
    </row>
    <row r="1314" customFormat="false" ht="23.85" hidden="false" customHeight="false" outlineLevel="0" collapsed="false">
      <c r="A1314" s="4" t="s">
        <v>167</v>
      </c>
      <c r="B1314" s="4" t="s">
        <v>1491</v>
      </c>
      <c r="C1314" s="4" t="s">
        <v>1491</v>
      </c>
      <c r="D1314" s="12" t="n">
        <v>2023</v>
      </c>
      <c r="E1314" s="4"/>
      <c r="F1314" s="4" t="s">
        <v>169</v>
      </c>
      <c r="G1314" s="4" t="s">
        <v>170</v>
      </c>
      <c r="H1314" s="4" t="s">
        <v>171</v>
      </c>
      <c r="I1314" s="4" t="s">
        <v>172</v>
      </c>
      <c r="J1314" s="4" t="s">
        <v>1491</v>
      </c>
      <c r="K1314" s="4" t="s">
        <v>80</v>
      </c>
      <c r="L1314" s="4" t="s">
        <v>81</v>
      </c>
      <c r="M1314" s="4"/>
      <c r="N1314" s="4"/>
      <c r="O1314" s="4"/>
      <c r="P1314" s="4"/>
      <c r="Q1314" s="4"/>
      <c r="R1314" s="4"/>
      <c r="S1314" s="13" t="n">
        <v>0</v>
      </c>
      <c r="T1314" s="4" t="s">
        <v>173</v>
      </c>
      <c r="U1314" s="14" t="n">
        <f aca="false">IF(OR($S1314="",PARAMETROS!$B$4=""),"",$S1314*PARAMETROS!$B$4)</f>
        <v>0</v>
      </c>
      <c r="V1314" s="13" t="n">
        <v>0</v>
      </c>
      <c r="W1314" s="4"/>
      <c r="X1314" s="4"/>
      <c r="Y1314" s="4"/>
      <c r="Z1314" s="4"/>
      <c r="AA1314" s="4"/>
      <c r="AB1314" s="4"/>
      <c r="AC1314" s="4"/>
      <c r="AD1314" s="4"/>
      <c r="AE1314" s="4"/>
      <c r="AF1314" s="4"/>
      <c r="AG1314" s="4"/>
      <c r="AH1314" s="4"/>
      <c r="AI1314" s="4"/>
      <c r="AJ1314" s="4"/>
      <c r="AK1314" s="4"/>
      <c r="AL1314" s="4" t="s">
        <v>174</v>
      </c>
      <c r="AM1314" s="4" t="s">
        <v>190</v>
      </c>
    </row>
    <row r="1315" customFormat="false" ht="23.85" hidden="false" customHeight="false" outlineLevel="0" collapsed="false">
      <c r="A1315" s="4" t="s">
        <v>167</v>
      </c>
      <c r="B1315" s="4" t="s">
        <v>1492</v>
      </c>
      <c r="C1315" s="4" t="s">
        <v>1492</v>
      </c>
      <c r="D1315" s="12" t="n">
        <v>2023</v>
      </c>
      <c r="E1315" s="4"/>
      <c r="F1315" s="4" t="s">
        <v>169</v>
      </c>
      <c r="G1315" s="4" t="s">
        <v>170</v>
      </c>
      <c r="H1315" s="4" t="s">
        <v>171</v>
      </c>
      <c r="I1315" s="4" t="s">
        <v>172</v>
      </c>
      <c r="J1315" s="4" t="s">
        <v>1492</v>
      </c>
      <c r="K1315" s="4" t="s">
        <v>80</v>
      </c>
      <c r="L1315" s="4" t="s">
        <v>81</v>
      </c>
      <c r="M1315" s="4"/>
      <c r="N1315" s="4"/>
      <c r="O1315" s="4"/>
      <c r="P1315" s="4"/>
      <c r="Q1315" s="4"/>
      <c r="R1315" s="4"/>
      <c r="S1315" s="13" t="n">
        <v>0</v>
      </c>
      <c r="T1315" s="4" t="s">
        <v>173</v>
      </c>
      <c r="U1315" s="14" t="n">
        <f aca="false">IF(OR($S1315="",PARAMETROS!$B$4=""),"",$S1315*PARAMETROS!$B$4)</f>
        <v>0</v>
      </c>
      <c r="V1315" s="13" t="n">
        <v>0</v>
      </c>
      <c r="W1315" s="4"/>
      <c r="X1315" s="4"/>
      <c r="Y1315" s="4"/>
      <c r="Z1315" s="4"/>
      <c r="AA1315" s="4"/>
      <c r="AB1315" s="4"/>
      <c r="AC1315" s="4"/>
      <c r="AD1315" s="4"/>
      <c r="AE1315" s="4"/>
      <c r="AF1315" s="4"/>
      <c r="AG1315" s="4"/>
      <c r="AH1315" s="4"/>
      <c r="AI1315" s="4"/>
      <c r="AJ1315" s="4"/>
      <c r="AK1315" s="4"/>
      <c r="AL1315" s="4" t="s">
        <v>174</v>
      </c>
      <c r="AM1315" s="4" t="s">
        <v>190</v>
      </c>
    </row>
    <row r="1316" customFormat="false" ht="23.85" hidden="false" customHeight="false" outlineLevel="0" collapsed="false">
      <c r="A1316" s="4" t="s">
        <v>167</v>
      </c>
      <c r="B1316" s="4" t="s">
        <v>1493</v>
      </c>
      <c r="C1316" s="4" t="s">
        <v>1493</v>
      </c>
      <c r="D1316" s="12" t="n">
        <v>2023</v>
      </c>
      <c r="E1316" s="4"/>
      <c r="F1316" s="4" t="s">
        <v>169</v>
      </c>
      <c r="G1316" s="4" t="s">
        <v>170</v>
      </c>
      <c r="H1316" s="4" t="s">
        <v>171</v>
      </c>
      <c r="I1316" s="4" t="s">
        <v>172</v>
      </c>
      <c r="J1316" s="4" t="s">
        <v>1493</v>
      </c>
      <c r="K1316" s="4" t="s">
        <v>80</v>
      </c>
      <c r="L1316" s="4" t="s">
        <v>81</v>
      </c>
      <c r="M1316" s="4"/>
      <c r="N1316" s="4"/>
      <c r="O1316" s="4"/>
      <c r="P1316" s="4"/>
      <c r="Q1316" s="4"/>
      <c r="R1316" s="4"/>
      <c r="S1316" s="13" t="n">
        <v>0</v>
      </c>
      <c r="T1316" s="4" t="s">
        <v>173</v>
      </c>
      <c r="U1316" s="14" t="n">
        <f aca="false">IF(OR($S1316="",PARAMETROS!$B$4=""),"",$S1316*PARAMETROS!$B$4)</f>
        <v>0</v>
      </c>
      <c r="V1316" s="13" t="n">
        <v>0</v>
      </c>
      <c r="W1316" s="4"/>
      <c r="X1316" s="4"/>
      <c r="Y1316" s="4"/>
      <c r="Z1316" s="4"/>
      <c r="AA1316" s="4"/>
      <c r="AB1316" s="4"/>
      <c r="AC1316" s="4"/>
      <c r="AD1316" s="4"/>
      <c r="AE1316" s="4"/>
      <c r="AF1316" s="4"/>
      <c r="AG1316" s="4"/>
      <c r="AH1316" s="4"/>
      <c r="AI1316" s="4"/>
      <c r="AJ1316" s="4"/>
      <c r="AK1316" s="4"/>
      <c r="AL1316" s="4" t="s">
        <v>174</v>
      </c>
      <c r="AM1316" s="4" t="s">
        <v>190</v>
      </c>
    </row>
    <row r="1317" customFormat="false" ht="23.85" hidden="false" customHeight="false" outlineLevel="0" collapsed="false">
      <c r="A1317" s="4" t="s">
        <v>167</v>
      </c>
      <c r="B1317" s="4" t="s">
        <v>1494</v>
      </c>
      <c r="C1317" s="4" t="s">
        <v>1494</v>
      </c>
      <c r="D1317" s="12" t="n">
        <v>2023</v>
      </c>
      <c r="E1317" s="4"/>
      <c r="F1317" s="4" t="s">
        <v>169</v>
      </c>
      <c r="G1317" s="4" t="s">
        <v>170</v>
      </c>
      <c r="H1317" s="4" t="s">
        <v>171</v>
      </c>
      <c r="I1317" s="4" t="s">
        <v>172</v>
      </c>
      <c r="J1317" s="4" t="s">
        <v>1494</v>
      </c>
      <c r="K1317" s="4" t="s">
        <v>80</v>
      </c>
      <c r="L1317" s="4" t="s">
        <v>81</v>
      </c>
      <c r="M1317" s="4"/>
      <c r="N1317" s="4"/>
      <c r="O1317" s="4"/>
      <c r="P1317" s="4"/>
      <c r="Q1317" s="4"/>
      <c r="R1317" s="4"/>
      <c r="S1317" s="13" t="n">
        <v>0</v>
      </c>
      <c r="T1317" s="4" t="s">
        <v>173</v>
      </c>
      <c r="U1317" s="14" t="n">
        <f aca="false">IF(OR($S1317="",PARAMETROS!$B$4=""),"",$S1317*PARAMETROS!$B$4)</f>
        <v>0</v>
      </c>
      <c r="V1317" s="13" t="n">
        <v>0</v>
      </c>
      <c r="W1317" s="4"/>
      <c r="X1317" s="4"/>
      <c r="Y1317" s="4"/>
      <c r="Z1317" s="4"/>
      <c r="AA1317" s="4"/>
      <c r="AB1317" s="4"/>
      <c r="AC1317" s="4"/>
      <c r="AD1317" s="4"/>
      <c r="AE1317" s="4"/>
      <c r="AF1317" s="4"/>
      <c r="AG1317" s="4"/>
      <c r="AH1317" s="4"/>
      <c r="AI1317" s="4"/>
      <c r="AJ1317" s="4"/>
      <c r="AK1317" s="4"/>
      <c r="AL1317" s="4" t="s">
        <v>174</v>
      </c>
      <c r="AM1317" s="4" t="s">
        <v>190</v>
      </c>
    </row>
    <row r="1318" customFormat="false" ht="23.85" hidden="false" customHeight="false" outlineLevel="0" collapsed="false">
      <c r="A1318" s="4" t="s">
        <v>167</v>
      </c>
      <c r="B1318" s="4" t="s">
        <v>1495</v>
      </c>
      <c r="C1318" s="4" t="s">
        <v>1495</v>
      </c>
      <c r="D1318" s="12" t="n">
        <v>2023</v>
      </c>
      <c r="E1318" s="4"/>
      <c r="F1318" s="4" t="s">
        <v>169</v>
      </c>
      <c r="G1318" s="4" t="s">
        <v>170</v>
      </c>
      <c r="H1318" s="4" t="s">
        <v>171</v>
      </c>
      <c r="I1318" s="4" t="s">
        <v>172</v>
      </c>
      <c r="J1318" s="4" t="s">
        <v>1495</v>
      </c>
      <c r="K1318" s="4" t="s">
        <v>82</v>
      </c>
      <c r="L1318" s="4" t="s">
        <v>83</v>
      </c>
      <c r="M1318" s="4"/>
      <c r="N1318" s="4"/>
      <c r="O1318" s="4"/>
      <c r="P1318" s="4"/>
      <c r="Q1318" s="4"/>
      <c r="R1318" s="4"/>
      <c r="S1318" s="13" t="n">
        <v>0</v>
      </c>
      <c r="T1318" s="4" t="s">
        <v>173</v>
      </c>
      <c r="U1318" s="14" t="n">
        <f aca="false">IF(OR($S1318="",PARAMETROS!$B$4=""),"",$S1318*PARAMETROS!$B$4)</f>
        <v>0</v>
      </c>
      <c r="V1318" s="13" t="n">
        <v>0</v>
      </c>
      <c r="W1318" s="4"/>
      <c r="X1318" s="4"/>
      <c r="Y1318" s="4"/>
      <c r="Z1318" s="4"/>
      <c r="AA1318" s="4"/>
      <c r="AB1318" s="4"/>
      <c r="AC1318" s="4"/>
      <c r="AD1318" s="4"/>
      <c r="AE1318" s="4"/>
      <c r="AF1318" s="4"/>
      <c r="AG1318" s="4"/>
      <c r="AH1318" s="4"/>
      <c r="AI1318" s="4"/>
      <c r="AJ1318" s="4"/>
      <c r="AK1318" s="4"/>
      <c r="AL1318" s="4" t="s">
        <v>174</v>
      </c>
      <c r="AM1318" s="4" t="s">
        <v>205</v>
      </c>
    </row>
    <row r="1319" customFormat="false" ht="23.85" hidden="false" customHeight="false" outlineLevel="0" collapsed="false">
      <c r="A1319" s="4" t="s">
        <v>167</v>
      </c>
      <c r="B1319" s="4" t="s">
        <v>1496</v>
      </c>
      <c r="C1319" s="4" t="s">
        <v>1496</v>
      </c>
      <c r="D1319" s="12" t="n">
        <v>2023</v>
      </c>
      <c r="E1319" s="4"/>
      <c r="F1319" s="4" t="s">
        <v>169</v>
      </c>
      <c r="G1319" s="4" t="s">
        <v>170</v>
      </c>
      <c r="H1319" s="4" t="s">
        <v>171</v>
      </c>
      <c r="I1319" s="4" t="s">
        <v>172</v>
      </c>
      <c r="J1319" s="4" t="s">
        <v>1496</v>
      </c>
      <c r="K1319" s="4" t="s">
        <v>82</v>
      </c>
      <c r="L1319" s="4" t="s">
        <v>83</v>
      </c>
      <c r="M1319" s="4"/>
      <c r="N1319" s="4"/>
      <c r="O1319" s="4"/>
      <c r="P1319" s="4"/>
      <c r="Q1319" s="4"/>
      <c r="R1319" s="4"/>
      <c r="S1319" s="13" t="n">
        <v>0</v>
      </c>
      <c r="T1319" s="4" t="s">
        <v>173</v>
      </c>
      <c r="U1319" s="14" t="n">
        <f aca="false">IF(OR($S1319="",PARAMETROS!$B$4=""),"",$S1319*PARAMETROS!$B$4)</f>
        <v>0</v>
      </c>
      <c r="V1319" s="13" t="n">
        <v>0</v>
      </c>
      <c r="W1319" s="4"/>
      <c r="X1319" s="4"/>
      <c r="Y1319" s="4"/>
      <c r="Z1319" s="4"/>
      <c r="AA1319" s="4"/>
      <c r="AB1319" s="4"/>
      <c r="AC1319" s="4"/>
      <c r="AD1319" s="4"/>
      <c r="AE1319" s="4"/>
      <c r="AF1319" s="4"/>
      <c r="AG1319" s="4"/>
      <c r="AH1319" s="4"/>
      <c r="AI1319" s="4"/>
      <c r="AJ1319" s="4"/>
      <c r="AK1319" s="4"/>
      <c r="AL1319" s="4" t="s">
        <v>174</v>
      </c>
      <c r="AM1319" s="4" t="s">
        <v>205</v>
      </c>
    </row>
    <row r="1320" customFormat="false" ht="23.85" hidden="false" customHeight="false" outlineLevel="0" collapsed="false">
      <c r="A1320" s="4" t="s">
        <v>167</v>
      </c>
      <c r="B1320" s="4" t="s">
        <v>1497</v>
      </c>
      <c r="C1320" s="4" t="s">
        <v>1497</v>
      </c>
      <c r="D1320" s="12" t="n">
        <v>2023</v>
      </c>
      <c r="E1320" s="4"/>
      <c r="F1320" s="4" t="s">
        <v>169</v>
      </c>
      <c r="G1320" s="4" t="s">
        <v>170</v>
      </c>
      <c r="H1320" s="4" t="s">
        <v>171</v>
      </c>
      <c r="I1320" s="4" t="s">
        <v>172</v>
      </c>
      <c r="J1320" s="4" t="s">
        <v>1497</v>
      </c>
      <c r="K1320" s="4" t="s">
        <v>82</v>
      </c>
      <c r="L1320" s="4" t="s">
        <v>83</v>
      </c>
      <c r="M1320" s="4"/>
      <c r="N1320" s="4"/>
      <c r="O1320" s="4"/>
      <c r="P1320" s="4"/>
      <c r="Q1320" s="4"/>
      <c r="R1320" s="4"/>
      <c r="S1320" s="13" t="n">
        <v>0</v>
      </c>
      <c r="T1320" s="4" t="s">
        <v>173</v>
      </c>
      <c r="U1320" s="14" t="n">
        <f aca="false">IF(OR($S1320="",PARAMETROS!$B$4=""),"",$S1320*PARAMETROS!$B$4)</f>
        <v>0</v>
      </c>
      <c r="V1320" s="13" t="n">
        <v>0</v>
      </c>
      <c r="W1320" s="4"/>
      <c r="X1320" s="4"/>
      <c r="Y1320" s="4"/>
      <c r="Z1320" s="4"/>
      <c r="AA1320" s="4"/>
      <c r="AB1320" s="4"/>
      <c r="AC1320" s="4"/>
      <c r="AD1320" s="4"/>
      <c r="AE1320" s="4"/>
      <c r="AF1320" s="4"/>
      <c r="AG1320" s="4"/>
      <c r="AH1320" s="4"/>
      <c r="AI1320" s="4"/>
      <c r="AJ1320" s="4"/>
      <c r="AK1320" s="4"/>
      <c r="AL1320" s="4" t="s">
        <v>174</v>
      </c>
      <c r="AM1320" s="4" t="s">
        <v>205</v>
      </c>
    </row>
    <row r="1321" customFormat="false" ht="23.85" hidden="false" customHeight="false" outlineLevel="0" collapsed="false">
      <c r="A1321" s="4" t="s">
        <v>167</v>
      </c>
      <c r="B1321" s="4" t="s">
        <v>1498</v>
      </c>
      <c r="C1321" s="4" t="s">
        <v>1498</v>
      </c>
      <c r="D1321" s="12" t="n">
        <v>2023</v>
      </c>
      <c r="E1321" s="4"/>
      <c r="F1321" s="4" t="s">
        <v>169</v>
      </c>
      <c r="G1321" s="4" t="s">
        <v>170</v>
      </c>
      <c r="H1321" s="4" t="s">
        <v>171</v>
      </c>
      <c r="I1321" s="4" t="s">
        <v>172</v>
      </c>
      <c r="J1321" s="4" t="s">
        <v>1498</v>
      </c>
      <c r="K1321" s="4" t="s">
        <v>82</v>
      </c>
      <c r="L1321" s="4" t="s">
        <v>83</v>
      </c>
      <c r="M1321" s="4"/>
      <c r="N1321" s="4"/>
      <c r="O1321" s="4"/>
      <c r="P1321" s="4"/>
      <c r="Q1321" s="4"/>
      <c r="R1321" s="4"/>
      <c r="S1321" s="13" t="n">
        <v>0</v>
      </c>
      <c r="T1321" s="4" t="s">
        <v>173</v>
      </c>
      <c r="U1321" s="14" t="n">
        <f aca="false">IF(OR($S1321="",PARAMETROS!$B$4=""),"",$S1321*PARAMETROS!$B$4)</f>
        <v>0</v>
      </c>
      <c r="V1321" s="13" t="n">
        <v>0</v>
      </c>
      <c r="W1321" s="4"/>
      <c r="X1321" s="4"/>
      <c r="Y1321" s="4"/>
      <c r="Z1321" s="4"/>
      <c r="AA1321" s="4"/>
      <c r="AB1321" s="4"/>
      <c r="AC1321" s="4"/>
      <c r="AD1321" s="4"/>
      <c r="AE1321" s="4"/>
      <c r="AF1321" s="4"/>
      <c r="AG1321" s="4"/>
      <c r="AH1321" s="4"/>
      <c r="AI1321" s="4"/>
      <c r="AJ1321" s="4"/>
      <c r="AK1321" s="4"/>
      <c r="AL1321" s="4" t="s">
        <v>174</v>
      </c>
      <c r="AM1321" s="4" t="s">
        <v>205</v>
      </c>
    </row>
    <row r="1322" customFormat="false" ht="23.85" hidden="false" customHeight="false" outlineLevel="0" collapsed="false">
      <c r="A1322" s="4" t="s">
        <v>167</v>
      </c>
      <c r="B1322" s="4" t="s">
        <v>1499</v>
      </c>
      <c r="C1322" s="4" t="s">
        <v>1499</v>
      </c>
      <c r="D1322" s="12" t="n">
        <v>2023</v>
      </c>
      <c r="E1322" s="4"/>
      <c r="F1322" s="4" t="s">
        <v>169</v>
      </c>
      <c r="G1322" s="4" t="s">
        <v>170</v>
      </c>
      <c r="H1322" s="4" t="s">
        <v>171</v>
      </c>
      <c r="I1322" s="4" t="s">
        <v>172</v>
      </c>
      <c r="J1322" s="4" t="s">
        <v>1499</v>
      </c>
      <c r="K1322" s="4" t="s">
        <v>82</v>
      </c>
      <c r="L1322" s="4" t="s">
        <v>83</v>
      </c>
      <c r="M1322" s="4"/>
      <c r="N1322" s="4"/>
      <c r="O1322" s="4"/>
      <c r="P1322" s="4"/>
      <c r="Q1322" s="4"/>
      <c r="R1322" s="4"/>
      <c r="S1322" s="13" t="n">
        <v>0</v>
      </c>
      <c r="T1322" s="4" t="s">
        <v>173</v>
      </c>
      <c r="U1322" s="14" t="n">
        <f aca="false">IF(OR($S1322="",PARAMETROS!$B$4=""),"",$S1322*PARAMETROS!$B$4)</f>
        <v>0</v>
      </c>
      <c r="V1322" s="13" t="n">
        <v>0</v>
      </c>
      <c r="W1322" s="4"/>
      <c r="X1322" s="4"/>
      <c r="Y1322" s="4"/>
      <c r="Z1322" s="4"/>
      <c r="AA1322" s="4"/>
      <c r="AB1322" s="4"/>
      <c r="AC1322" s="4"/>
      <c r="AD1322" s="4"/>
      <c r="AE1322" s="4"/>
      <c r="AF1322" s="4"/>
      <c r="AG1322" s="4"/>
      <c r="AH1322" s="4"/>
      <c r="AI1322" s="4"/>
      <c r="AJ1322" s="4"/>
      <c r="AK1322" s="4"/>
      <c r="AL1322" s="4" t="s">
        <v>174</v>
      </c>
      <c r="AM1322" s="4" t="s">
        <v>205</v>
      </c>
    </row>
    <row r="1323" customFormat="false" ht="23.85" hidden="false" customHeight="false" outlineLevel="0" collapsed="false">
      <c r="A1323" s="4" t="s">
        <v>167</v>
      </c>
      <c r="B1323" s="4" t="s">
        <v>1500</v>
      </c>
      <c r="C1323" s="4" t="s">
        <v>1500</v>
      </c>
      <c r="D1323" s="12" t="n">
        <v>2023</v>
      </c>
      <c r="E1323" s="4"/>
      <c r="F1323" s="4" t="s">
        <v>169</v>
      </c>
      <c r="G1323" s="4" t="s">
        <v>170</v>
      </c>
      <c r="H1323" s="4" t="s">
        <v>171</v>
      </c>
      <c r="I1323" s="4" t="s">
        <v>172</v>
      </c>
      <c r="J1323" s="4" t="s">
        <v>1500</v>
      </c>
      <c r="K1323" s="4" t="s">
        <v>82</v>
      </c>
      <c r="L1323" s="4" t="s">
        <v>83</v>
      </c>
      <c r="M1323" s="4"/>
      <c r="N1323" s="4"/>
      <c r="O1323" s="4"/>
      <c r="P1323" s="4"/>
      <c r="Q1323" s="4"/>
      <c r="R1323" s="4"/>
      <c r="S1323" s="13" t="n">
        <v>0</v>
      </c>
      <c r="T1323" s="4" t="s">
        <v>173</v>
      </c>
      <c r="U1323" s="14" t="n">
        <f aca="false">IF(OR($S1323="",PARAMETROS!$B$4=""),"",$S1323*PARAMETROS!$B$4)</f>
        <v>0</v>
      </c>
      <c r="V1323" s="13" t="n">
        <v>0</v>
      </c>
      <c r="W1323" s="4"/>
      <c r="X1323" s="4"/>
      <c r="Y1323" s="4"/>
      <c r="Z1323" s="4"/>
      <c r="AA1323" s="4"/>
      <c r="AB1323" s="4"/>
      <c r="AC1323" s="4"/>
      <c r="AD1323" s="4"/>
      <c r="AE1323" s="4"/>
      <c r="AF1323" s="4"/>
      <c r="AG1323" s="4"/>
      <c r="AH1323" s="4"/>
      <c r="AI1323" s="4"/>
      <c r="AJ1323" s="4"/>
      <c r="AK1323" s="4"/>
      <c r="AL1323" s="4" t="s">
        <v>174</v>
      </c>
      <c r="AM1323" s="4" t="s">
        <v>205</v>
      </c>
    </row>
    <row r="1324" customFormat="false" ht="23.85" hidden="false" customHeight="false" outlineLevel="0" collapsed="false">
      <c r="A1324" s="4" t="s">
        <v>167</v>
      </c>
      <c r="B1324" s="4" t="s">
        <v>1501</v>
      </c>
      <c r="C1324" s="4" t="s">
        <v>1501</v>
      </c>
      <c r="D1324" s="12" t="n">
        <v>2023</v>
      </c>
      <c r="E1324" s="4"/>
      <c r="F1324" s="4" t="s">
        <v>169</v>
      </c>
      <c r="G1324" s="4" t="s">
        <v>170</v>
      </c>
      <c r="H1324" s="4" t="s">
        <v>171</v>
      </c>
      <c r="I1324" s="4" t="s">
        <v>172</v>
      </c>
      <c r="J1324" s="4" t="s">
        <v>1501</v>
      </c>
      <c r="K1324" s="4" t="s">
        <v>82</v>
      </c>
      <c r="L1324" s="4" t="s">
        <v>83</v>
      </c>
      <c r="M1324" s="4"/>
      <c r="N1324" s="4"/>
      <c r="O1324" s="4"/>
      <c r="P1324" s="4"/>
      <c r="Q1324" s="4"/>
      <c r="R1324" s="4"/>
      <c r="S1324" s="13" t="n">
        <v>0</v>
      </c>
      <c r="T1324" s="4" t="s">
        <v>173</v>
      </c>
      <c r="U1324" s="14" t="n">
        <f aca="false">IF(OR($S1324="",PARAMETROS!$B$4=""),"",$S1324*PARAMETROS!$B$4)</f>
        <v>0</v>
      </c>
      <c r="V1324" s="13" t="n">
        <v>0</v>
      </c>
      <c r="W1324" s="4"/>
      <c r="X1324" s="4"/>
      <c r="Y1324" s="4"/>
      <c r="Z1324" s="4"/>
      <c r="AA1324" s="4"/>
      <c r="AB1324" s="4"/>
      <c r="AC1324" s="4"/>
      <c r="AD1324" s="4"/>
      <c r="AE1324" s="4"/>
      <c r="AF1324" s="4"/>
      <c r="AG1324" s="4"/>
      <c r="AH1324" s="4"/>
      <c r="AI1324" s="4"/>
      <c r="AJ1324" s="4"/>
      <c r="AK1324" s="4"/>
      <c r="AL1324" s="4" t="s">
        <v>174</v>
      </c>
      <c r="AM1324" s="4" t="s">
        <v>205</v>
      </c>
    </row>
    <row r="1325" customFormat="false" ht="23.85" hidden="false" customHeight="false" outlineLevel="0" collapsed="false">
      <c r="A1325" s="4" t="s">
        <v>167</v>
      </c>
      <c r="B1325" s="4" t="s">
        <v>1502</v>
      </c>
      <c r="C1325" s="4" t="s">
        <v>1502</v>
      </c>
      <c r="D1325" s="12" t="n">
        <v>2023</v>
      </c>
      <c r="E1325" s="4"/>
      <c r="F1325" s="4" t="s">
        <v>169</v>
      </c>
      <c r="G1325" s="4" t="s">
        <v>170</v>
      </c>
      <c r="H1325" s="4" t="s">
        <v>171</v>
      </c>
      <c r="I1325" s="4" t="s">
        <v>172</v>
      </c>
      <c r="J1325" s="4" t="s">
        <v>1502</v>
      </c>
      <c r="K1325" s="4" t="s">
        <v>82</v>
      </c>
      <c r="L1325" s="4" t="s">
        <v>83</v>
      </c>
      <c r="M1325" s="4"/>
      <c r="N1325" s="4"/>
      <c r="O1325" s="4"/>
      <c r="P1325" s="4"/>
      <c r="Q1325" s="4"/>
      <c r="R1325" s="4"/>
      <c r="S1325" s="13" t="n">
        <v>0</v>
      </c>
      <c r="T1325" s="4" t="s">
        <v>173</v>
      </c>
      <c r="U1325" s="14" t="n">
        <f aca="false">IF(OR($S1325="",PARAMETROS!$B$4=""),"",$S1325*PARAMETROS!$B$4)</f>
        <v>0</v>
      </c>
      <c r="V1325" s="13" t="n">
        <v>0</v>
      </c>
      <c r="W1325" s="4"/>
      <c r="X1325" s="4"/>
      <c r="Y1325" s="4"/>
      <c r="Z1325" s="4"/>
      <c r="AA1325" s="4"/>
      <c r="AB1325" s="4"/>
      <c r="AC1325" s="4"/>
      <c r="AD1325" s="4"/>
      <c r="AE1325" s="4"/>
      <c r="AF1325" s="4"/>
      <c r="AG1325" s="4"/>
      <c r="AH1325" s="4"/>
      <c r="AI1325" s="4"/>
      <c r="AJ1325" s="4"/>
      <c r="AK1325" s="4"/>
      <c r="AL1325" s="4" t="s">
        <v>174</v>
      </c>
      <c r="AM1325" s="4" t="s">
        <v>205</v>
      </c>
    </row>
    <row r="1326" customFormat="false" ht="23.85" hidden="false" customHeight="false" outlineLevel="0" collapsed="false">
      <c r="A1326" s="4" t="s">
        <v>167</v>
      </c>
      <c r="B1326" s="4" t="s">
        <v>1503</v>
      </c>
      <c r="C1326" s="4" t="s">
        <v>1503</v>
      </c>
      <c r="D1326" s="12" t="n">
        <v>2023</v>
      </c>
      <c r="E1326" s="4"/>
      <c r="F1326" s="4" t="s">
        <v>169</v>
      </c>
      <c r="G1326" s="4" t="s">
        <v>170</v>
      </c>
      <c r="H1326" s="4" t="s">
        <v>171</v>
      </c>
      <c r="I1326" s="4" t="s">
        <v>172</v>
      </c>
      <c r="J1326" s="4" t="s">
        <v>1503</v>
      </c>
      <c r="K1326" s="4" t="s">
        <v>82</v>
      </c>
      <c r="L1326" s="4" t="s">
        <v>83</v>
      </c>
      <c r="M1326" s="4"/>
      <c r="N1326" s="4"/>
      <c r="O1326" s="4"/>
      <c r="P1326" s="4"/>
      <c r="Q1326" s="4"/>
      <c r="R1326" s="4"/>
      <c r="S1326" s="13" t="n">
        <v>0</v>
      </c>
      <c r="T1326" s="4" t="s">
        <v>173</v>
      </c>
      <c r="U1326" s="14" t="n">
        <f aca="false">IF(OR($S1326="",PARAMETROS!$B$4=""),"",$S1326*PARAMETROS!$B$4)</f>
        <v>0</v>
      </c>
      <c r="V1326" s="13" t="n">
        <v>0</v>
      </c>
      <c r="W1326" s="4"/>
      <c r="X1326" s="4"/>
      <c r="Y1326" s="4"/>
      <c r="Z1326" s="4"/>
      <c r="AA1326" s="4"/>
      <c r="AB1326" s="4"/>
      <c r="AC1326" s="4"/>
      <c r="AD1326" s="4"/>
      <c r="AE1326" s="4"/>
      <c r="AF1326" s="4"/>
      <c r="AG1326" s="4"/>
      <c r="AH1326" s="4"/>
      <c r="AI1326" s="4"/>
      <c r="AJ1326" s="4"/>
      <c r="AK1326" s="4"/>
      <c r="AL1326" s="4" t="s">
        <v>174</v>
      </c>
      <c r="AM1326" s="4" t="s">
        <v>205</v>
      </c>
    </row>
    <row r="1327" customFormat="false" ht="23.85" hidden="false" customHeight="false" outlineLevel="0" collapsed="false">
      <c r="A1327" s="4" t="s">
        <v>167</v>
      </c>
      <c r="B1327" s="4" t="s">
        <v>1504</v>
      </c>
      <c r="C1327" s="4" t="s">
        <v>1504</v>
      </c>
      <c r="D1327" s="12" t="n">
        <v>2023</v>
      </c>
      <c r="E1327" s="4"/>
      <c r="F1327" s="4" t="s">
        <v>169</v>
      </c>
      <c r="G1327" s="4" t="s">
        <v>170</v>
      </c>
      <c r="H1327" s="4" t="s">
        <v>171</v>
      </c>
      <c r="I1327" s="4" t="s">
        <v>172</v>
      </c>
      <c r="J1327" s="4" t="s">
        <v>1504</v>
      </c>
      <c r="K1327" s="4" t="s">
        <v>82</v>
      </c>
      <c r="L1327" s="4" t="s">
        <v>83</v>
      </c>
      <c r="M1327" s="4"/>
      <c r="N1327" s="4"/>
      <c r="O1327" s="4"/>
      <c r="P1327" s="4"/>
      <c r="Q1327" s="4"/>
      <c r="R1327" s="4"/>
      <c r="S1327" s="13" t="n">
        <v>0</v>
      </c>
      <c r="T1327" s="4" t="s">
        <v>173</v>
      </c>
      <c r="U1327" s="14" t="n">
        <f aca="false">IF(OR($S1327="",PARAMETROS!$B$4=""),"",$S1327*PARAMETROS!$B$4)</f>
        <v>0</v>
      </c>
      <c r="V1327" s="13" t="n">
        <v>0</v>
      </c>
      <c r="W1327" s="4"/>
      <c r="X1327" s="4"/>
      <c r="Y1327" s="4"/>
      <c r="Z1327" s="4"/>
      <c r="AA1327" s="4"/>
      <c r="AB1327" s="4"/>
      <c r="AC1327" s="4"/>
      <c r="AD1327" s="4"/>
      <c r="AE1327" s="4"/>
      <c r="AF1327" s="4"/>
      <c r="AG1327" s="4"/>
      <c r="AH1327" s="4"/>
      <c r="AI1327" s="4"/>
      <c r="AJ1327" s="4"/>
      <c r="AK1327" s="4"/>
      <c r="AL1327" s="4" t="s">
        <v>174</v>
      </c>
      <c r="AM1327" s="4" t="s">
        <v>205</v>
      </c>
    </row>
    <row r="1328" customFormat="false" ht="23.85" hidden="false" customHeight="false" outlineLevel="0" collapsed="false">
      <c r="A1328" s="4" t="s">
        <v>167</v>
      </c>
      <c r="B1328" s="4" t="s">
        <v>1505</v>
      </c>
      <c r="C1328" s="4" t="s">
        <v>1505</v>
      </c>
      <c r="D1328" s="12" t="n">
        <v>2023</v>
      </c>
      <c r="E1328" s="4"/>
      <c r="F1328" s="4" t="s">
        <v>169</v>
      </c>
      <c r="G1328" s="4" t="s">
        <v>170</v>
      </c>
      <c r="H1328" s="4" t="s">
        <v>171</v>
      </c>
      <c r="I1328" s="4" t="s">
        <v>172</v>
      </c>
      <c r="J1328" s="4" t="s">
        <v>1505</v>
      </c>
      <c r="K1328" s="4" t="s">
        <v>82</v>
      </c>
      <c r="L1328" s="4" t="s">
        <v>83</v>
      </c>
      <c r="M1328" s="4"/>
      <c r="N1328" s="4"/>
      <c r="O1328" s="4"/>
      <c r="P1328" s="4"/>
      <c r="Q1328" s="4"/>
      <c r="R1328" s="4"/>
      <c r="S1328" s="13" t="n">
        <v>0</v>
      </c>
      <c r="T1328" s="4" t="s">
        <v>173</v>
      </c>
      <c r="U1328" s="14" t="n">
        <f aca="false">IF(OR($S1328="",PARAMETROS!$B$4=""),"",$S1328*PARAMETROS!$B$4)</f>
        <v>0</v>
      </c>
      <c r="V1328" s="13" t="n">
        <v>0</v>
      </c>
      <c r="W1328" s="4"/>
      <c r="X1328" s="4"/>
      <c r="Y1328" s="4"/>
      <c r="Z1328" s="4"/>
      <c r="AA1328" s="4"/>
      <c r="AB1328" s="4"/>
      <c r="AC1328" s="4"/>
      <c r="AD1328" s="4"/>
      <c r="AE1328" s="4"/>
      <c r="AF1328" s="4"/>
      <c r="AG1328" s="4"/>
      <c r="AH1328" s="4"/>
      <c r="AI1328" s="4"/>
      <c r="AJ1328" s="4"/>
      <c r="AK1328" s="4"/>
      <c r="AL1328" s="4" t="s">
        <v>174</v>
      </c>
      <c r="AM1328" s="4" t="s">
        <v>205</v>
      </c>
    </row>
    <row r="1329" customFormat="false" ht="23.85" hidden="false" customHeight="false" outlineLevel="0" collapsed="false">
      <c r="A1329" s="4" t="s">
        <v>167</v>
      </c>
      <c r="B1329" s="4" t="s">
        <v>1506</v>
      </c>
      <c r="C1329" s="4" t="s">
        <v>1506</v>
      </c>
      <c r="D1329" s="12" t="n">
        <v>2023</v>
      </c>
      <c r="E1329" s="4"/>
      <c r="F1329" s="4" t="s">
        <v>169</v>
      </c>
      <c r="G1329" s="4" t="s">
        <v>170</v>
      </c>
      <c r="H1329" s="4" t="s">
        <v>171</v>
      </c>
      <c r="I1329" s="4" t="s">
        <v>172</v>
      </c>
      <c r="J1329" s="4" t="s">
        <v>1506</v>
      </c>
      <c r="K1329" s="4" t="s">
        <v>82</v>
      </c>
      <c r="L1329" s="4" t="s">
        <v>83</v>
      </c>
      <c r="M1329" s="4"/>
      <c r="N1329" s="4"/>
      <c r="O1329" s="4"/>
      <c r="P1329" s="4"/>
      <c r="Q1329" s="4"/>
      <c r="R1329" s="4"/>
      <c r="S1329" s="13" t="n">
        <v>0</v>
      </c>
      <c r="T1329" s="4" t="s">
        <v>173</v>
      </c>
      <c r="U1329" s="14" t="n">
        <f aca="false">IF(OR($S1329="",PARAMETROS!$B$4=""),"",$S1329*PARAMETROS!$B$4)</f>
        <v>0</v>
      </c>
      <c r="V1329" s="13" t="n">
        <v>0</v>
      </c>
      <c r="W1329" s="4"/>
      <c r="X1329" s="4"/>
      <c r="Y1329" s="4"/>
      <c r="Z1329" s="4"/>
      <c r="AA1329" s="4"/>
      <c r="AB1329" s="4"/>
      <c r="AC1329" s="4"/>
      <c r="AD1329" s="4"/>
      <c r="AE1329" s="4"/>
      <c r="AF1329" s="4"/>
      <c r="AG1329" s="4"/>
      <c r="AH1329" s="4"/>
      <c r="AI1329" s="4"/>
      <c r="AJ1329" s="4"/>
      <c r="AK1329" s="4"/>
      <c r="AL1329" s="4" t="s">
        <v>174</v>
      </c>
      <c r="AM1329" s="4" t="s">
        <v>205</v>
      </c>
    </row>
    <row r="1330" customFormat="false" ht="23.85" hidden="false" customHeight="false" outlineLevel="0" collapsed="false">
      <c r="A1330" s="4" t="s">
        <v>167</v>
      </c>
      <c r="B1330" s="4" t="s">
        <v>1507</v>
      </c>
      <c r="C1330" s="4" t="s">
        <v>1507</v>
      </c>
      <c r="D1330" s="12" t="n">
        <v>2023</v>
      </c>
      <c r="E1330" s="4"/>
      <c r="F1330" s="4" t="s">
        <v>169</v>
      </c>
      <c r="G1330" s="4" t="s">
        <v>170</v>
      </c>
      <c r="H1330" s="4" t="s">
        <v>171</v>
      </c>
      <c r="I1330" s="4" t="s">
        <v>172</v>
      </c>
      <c r="J1330" s="4" t="s">
        <v>1507</v>
      </c>
      <c r="K1330" s="4" t="s">
        <v>82</v>
      </c>
      <c r="L1330" s="4" t="s">
        <v>83</v>
      </c>
      <c r="M1330" s="4"/>
      <c r="N1330" s="4"/>
      <c r="O1330" s="4"/>
      <c r="P1330" s="4"/>
      <c r="Q1330" s="4"/>
      <c r="R1330" s="4"/>
      <c r="S1330" s="13" t="n">
        <v>0</v>
      </c>
      <c r="T1330" s="4" t="s">
        <v>173</v>
      </c>
      <c r="U1330" s="14" t="n">
        <f aca="false">IF(OR($S1330="",PARAMETROS!$B$4=""),"",$S1330*PARAMETROS!$B$4)</f>
        <v>0</v>
      </c>
      <c r="V1330" s="13" t="n">
        <v>0</v>
      </c>
      <c r="W1330" s="4"/>
      <c r="X1330" s="4"/>
      <c r="Y1330" s="4"/>
      <c r="Z1330" s="4"/>
      <c r="AA1330" s="4"/>
      <c r="AB1330" s="4"/>
      <c r="AC1330" s="4"/>
      <c r="AD1330" s="4"/>
      <c r="AE1330" s="4"/>
      <c r="AF1330" s="4"/>
      <c r="AG1330" s="4"/>
      <c r="AH1330" s="4"/>
      <c r="AI1330" s="4"/>
      <c r="AJ1330" s="4"/>
      <c r="AK1330" s="4"/>
      <c r="AL1330" s="4" t="s">
        <v>174</v>
      </c>
      <c r="AM1330" s="4" t="s">
        <v>205</v>
      </c>
    </row>
    <row r="1331" customFormat="false" ht="23.85" hidden="false" customHeight="false" outlineLevel="0" collapsed="false">
      <c r="A1331" s="4" t="s">
        <v>167</v>
      </c>
      <c r="B1331" s="4" t="s">
        <v>1508</v>
      </c>
      <c r="C1331" s="4" t="s">
        <v>1508</v>
      </c>
      <c r="D1331" s="12" t="n">
        <v>2023</v>
      </c>
      <c r="E1331" s="4"/>
      <c r="F1331" s="4" t="s">
        <v>169</v>
      </c>
      <c r="G1331" s="4" t="s">
        <v>170</v>
      </c>
      <c r="H1331" s="4" t="s">
        <v>171</v>
      </c>
      <c r="I1331" s="4" t="s">
        <v>172</v>
      </c>
      <c r="J1331" s="4" t="s">
        <v>1508</v>
      </c>
      <c r="K1331" s="4" t="s">
        <v>82</v>
      </c>
      <c r="L1331" s="4" t="s">
        <v>83</v>
      </c>
      <c r="M1331" s="4"/>
      <c r="N1331" s="4"/>
      <c r="O1331" s="4"/>
      <c r="P1331" s="4"/>
      <c r="Q1331" s="4"/>
      <c r="R1331" s="4"/>
      <c r="S1331" s="13" t="n">
        <v>0</v>
      </c>
      <c r="T1331" s="4" t="s">
        <v>173</v>
      </c>
      <c r="U1331" s="14" t="n">
        <f aca="false">IF(OR($S1331="",PARAMETROS!$B$4=""),"",$S1331*PARAMETROS!$B$4)</f>
        <v>0</v>
      </c>
      <c r="V1331" s="13" t="n">
        <v>0</v>
      </c>
      <c r="W1331" s="4"/>
      <c r="X1331" s="4"/>
      <c r="Y1331" s="4"/>
      <c r="Z1331" s="4"/>
      <c r="AA1331" s="4"/>
      <c r="AB1331" s="4"/>
      <c r="AC1331" s="4"/>
      <c r="AD1331" s="4"/>
      <c r="AE1331" s="4"/>
      <c r="AF1331" s="4"/>
      <c r="AG1331" s="4"/>
      <c r="AH1331" s="4"/>
      <c r="AI1331" s="4"/>
      <c r="AJ1331" s="4"/>
      <c r="AK1331" s="4"/>
      <c r="AL1331" s="4" t="s">
        <v>174</v>
      </c>
      <c r="AM1331" s="4" t="s">
        <v>205</v>
      </c>
    </row>
    <row r="1332" customFormat="false" ht="23.85" hidden="false" customHeight="false" outlineLevel="0" collapsed="false">
      <c r="A1332" s="4" t="s">
        <v>167</v>
      </c>
      <c r="B1332" s="4" t="s">
        <v>1509</v>
      </c>
      <c r="C1332" s="4" t="s">
        <v>1509</v>
      </c>
      <c r="D1332" s="12" t="n">
        <v>2023</v>
      </c>
      <c r="E1332" s="4"/>
      <c r="F1332" s="4" t="s">
        <v>169</v>
      </c>
      <c r="G1332" s="4" t="s">
        <v>170</v>
      </c>
      <c r="H1332" s="4" t="s">
        <v>171</v>
      </c>
      <c r="I1332" s="4" t="s">
        <v>172</v>
      </c>
      <c r="J1332" s="4" t="s">
        <v>1509</v>
      </c>
      <c r="K1332" s="4" t="s">
        <v>84</v>
      </c>
      <c r="L1332" s="4" t="s">
        <v>85</v>
      </c>
      <c r="M1332" s="4"/>
      <c r="N1332" s="4"/>
      <c r="O1332" s="4"/>
      <c r="P1332" s="4"/>
      <c r="Q1332" s="4"/>
      <c r="R1332" s="4"/>
      <c r="S1332" s="13" t="n">
        <v>4434.43</v>
      </c>
      <c r="T1332" s="4" t="s">
        <v>173</v>
      </c>
      <c r="U1332" s="14" t="n">
        <f aca="false">IF(OR($S1332="",PARAMETROS!$B$4=""),"",$S1332*PARAMETROS!$B$4)</f>
        <v>25764.0383</v>
      </c>
      <c r="V1332" s="13" t="n">
        <v>0</v>
      </c>
      <c r="W1332" s="4"/>
      <c r="X1332" s="4"/>
      <c r="Y1332" s="4"/>
      <c r="Z1332" s="4"/>
      <c r="AA1332" s="4"/>
      <c r="AB1332" s="4"/>
      <c r="AC1332" s="4"/>
      <c r="AD1332" s="4"/>
      <c r="AE1332" s="4"/>
      <c r="AF1332" s="4"/>
      <c r="AG1332" s="4"/>
      <c r="AH1332" s="4"/>
      <c r="AI1332" s="4"/>
      <c r="AJ1332" s="4"/>
      <c r="AK1332" s="4"/>
      <c r="AL1332" s="4" t="s">
        <v>174</v>
      </c>
      <c r="AM1332" s="4" t="s">
        <v>190</v>
      </c>
    </row>
    <row r="1333" customFormat="false" ht="23.85" hidden="false" customHeight="false" outlineLevel="0" collapsed="false">
      <c r="A1333" s="4" t="s">
        <v>167</v>
      </c>
      <c r="B1333" s="4" t="s">
        <v>1510</v>
      </c>
      <c r="C1333" s="4" t="s">
        <v>1510</v>
      </c>
      <c r="D1333" s="12" t="n">
        <v>2023</v>
      </c>
      <c r="E1333" s="4"/>
      <c r="F1333" s="4" t="s">
        <v>169</v>
      </c>
      <c r="G1333" s="4" t="s">
        <v>170</v>
      </c>
      <c r="H1333" s="4" t="s">
        <v>171</v>
      </c>
      <c r="I1333" s="4" t="s">
        <v>172</v>
      </c>
      <c r="J1333" s="4" t="s">
        <v>1510</v>
      </c>
      <c r="K1333" s="4" t="s">
        <v>84</v>
      </c>
      <c r="L1333" s="4" t="s">
        <v>85</v>
      </c>
      <c r="M1333" s="4"/>
      <c r="N1333" s="4"/>
      <c r="O1333" s="4"/>
      <c r="P1333" s="4"/>
      <c r="Q1333" s="4"/>
      <c r="R1333" s="4"/>
      <c r="S1333" s="13" t="n">
        <v>0</v>
      </c>
      <c r="T1333" s="4" t="s">
        <v>173</v>
      </c>
      <c r="U1333" s="14" t="n">
        <f aca="false">IF(OR($S1333="",PARAMETROS!$B$4=""),"",$S1333*PARAMETROS!$B$4)</f>
        <v>0</v>
      </c>
      <c r="V1333" s="13" t="n">
        <v>0</v>
      </c>
      <c r="W1333" s="4"/>
      <c r="X1333" s="4"/>
      <c r="Y1333" s="4"/>
      <c r="Z1333" s="4"/>
      <c r="AA1333" s="4"/>
      <c r="AB1333" s="4"/>
      <c r="AC1333" s="4"/>
      <c r="AD1333" s="4"/>
      <c r="AE1333" s="4"/>
      <c r="AF1333" s="4"/>
      <c r="AG1333" s="4"/>
      <c r="AH1333" s="4"/>
      <c r="AI1333" s="4"/>
      <c r="AJ1333" s="4"/>
      <c r="AK1333" s="4"/>
      <c r="AL1333" s="4" t="s">
        <v>174</v>
      </c>
      <c r="AM1333" s="4" t="s">
        <v>190</v>
      </c>
    </row>
    <row r="1334" customFormat="false" ht="23.85" hidden="false" customHeight="false" outlineLevel="0" collapsed="false">
      <c r="A1334" s="4" t="s">
        <v>167</v>
      </c>
      <c r="B1334" s="4" t="s">
        <v>1511</v>
      </c>
      <c r="C1334" s="4" t="s">
        <v>1511</v>
      </c>
      <c r="D1334" s="12" t="n">
        <v>2023</v>
      </c>
      <c r="E1334" s="4"/>
      <c r="F1334" s="4" t="s">
        <v>169</v>
      </c>
      <c r="G1334" s="4" t="s">
        <v>170</v>
      </c>
      <c r="H1334" s="4" t="s">
        <v>171</v>
      </c>
      <c r="I1334" s="4" t="s">
        <v>172</v>
      </c>
      <c r="J1334" s="4" t="s">
        <v>1511</v>
      </c>
      <c r="K1334" s="4" t="s">
        <v>84</v>
      </c>
      <c r="L1334" s="4" t="s">
        <v>85</v>
      </c>
      <c r="M1334" s="4"/>
      <c r="N1334" s="4"/>
      <c r="O1334" s="4"/>
      <c r="P1334" s="4"/>
      <c r="Q1334" s="4"/>
      <c r="R1334" s="4"/>
      <c r="S1334" s="13" t="n">
        <v>0</v>
      </c>
      <c r="T1334" s="4" t="s">
        <v>173</v>
      </c>
      <c r="U1334" s="14" t="n">
        <f aca="false">IF(OR($S1334="",PARAMETROS!$B$4=""),"",$S1334*PARAMETROS!$B$4)</f>
        <v>0</v>
      </c>
      <c r="V1334" s="13" t="n">
        <v>0</v>
      </c>
      <c r="W1334" s="4"/>
      <c r="X1334" s="4"/>
      <c r="Y1334" s="4"/>
      <c r="Z1334" s="4"/>
      <c r="AA1334" s="4"/>
      <c r="AB1334" s="4"/>
      <c r="AC1334" s="4"/>
      <c r="AD1334" s="4"/>
      <c r="AE1334" s="4"/>
      <c r="AF1334" s="4"/>
      <c r="AG1334" s="4"/>
      <c r="AH1334" s="4"/>
      <c r="AI1334" s="4"/>
      <c r="AJ1334" s="4"/>
      <c r="AK1334" s="4"/>
      <c r="AL1334" s="4" t="s">
        <v>174</v>
      </c>
      <c r="AM1334" s="4" t="s">
        <v>190</v>
      </c>
    </row>
    <row r="1335" customFormat="false" ht="23.85" hidden="false" customHeight="false" outlineLevel="0" collapsed="false">
      <c r="A1335" s="4" t="s">
        <v>167</v>
      </c>
      <c r="B1335" s="4" t="s">
        <v>1512</v>
      </c>
      <c r="C1335" s="4" t="s">
        <v>1512</v>
      </c>
      <c r="D1335" s="12" t="n">
        <v>2023</v>
      </c>
      <c r="E1335" s="4"/>
      <c r="F1335" s="4" t="s">
        <v>169</v>
      </c>
      <c r="G1335" s="4" t="s">
        <v>170</v>
      </c>
      <c r="H1335" s="4" t="s">
        <v>171</v>
      </c>
      <c r="I1335" s="4" t="s">
        <v>172</v>
      </c>
      <c r="J1335" s="4" t="s">
        <v>1512</v>
      </c>
      <c r="K1335" s="4" t="s">
        <v>84</v>
      </c>
      <c r="L1335" s="4" t="s">
        <v>85</v>
      </c>
      <c r="M1335" s="4"/>
      <c r="N1335" s="4"/>
      <c r="O1335" s="4"/>
      <c r="P1335" s="4"/>
      <c r="Q1335" s="4"/>
      <c r="R1335" s="4"/>
      <c r="S1335" s="13" t="n">
        <v>0</v>
      </c>
      <c r="T1335" s="4" t="s">
        <v>173</v>
      </c>
      <c r="U1335" s="14" t="n">
        <f aca="false">IF(OR($S1335="",PARAMETROS!$B$4=""),"",$S1335*PARAMETROS!$B$4)</f>
        <v>0</v>
      </c>
      <c r="V1335" s="13" t="n">
        <v>0</v>
      </c>
      <c r="W1335" s="4"/>
      <c r="X1335" s="4"/>
      <c r="Y1335" s="4"/>
      <c r="Z1335" s="4"/>
      <c r="AA1335" s="4"/>
      <c r="AB1335" s="4"/>
      <c r="AC1335" s="4"/>
      <c r="AD1335" s="4"/>
      <c r="AE1335" s="4"/>
      <c r="AF1335" s="4"/>
      <c r="AG1335" s="4"/>
      <c r="AH1335" s="4"/>
      <c r="AI1335" s="4"/>
      <c r="AJ1335" s="4"/>
      <c r="AK1335" s="4"/>
      <c r="AL1335" s="4" t="s">
        <v>174</v>
      </c>
      <c r="AM1335" s="4" t="s">
        <v>190</v>
      </c>
    </row>
    <row r="1336" customFormat="false" ht="23.85" hidden="false" customHeight="false" outlineLevel="0" collapsed="false">
      <c r="A1336" s="4" t="s">
        <v>167</v>
      </c>
      <c r="B1336" s="4" t="s">
        <v>1513</v>
      </c>
      <c r="C1336" s="4" t="s">
        <v>1513</v>
      </c>
      <c r="D1336" s="12" t="n">
        <v>2023</v>
      </c>
      <c r="E1336" s="4"/>
      <c r="F1336" s="4" t="s">
        <v>169</v>
      </c>
      <c r="G1336" s="4" t="s">
        <v>170</v>
      </c>
      <c r="H1336" s="4" t="s">
        <v>171</v>
      </c>
      <c r="I1336" s="4" t="s">
        <v>172</v>
      </c>
      <c r="J1336" s="4" t="s">
        <v>1513</v>
      </c>
      <c r="K1336" s="4" t="s">
        <v>84</v>
      </c>
      <c r="L1336" s="4" t="s">
        <v>85</v>
      </c>
      <c r="M1336" s="4"/>
      <c r="N1336" s="4"/>
      <c r="O1336" s="4"/>
      <c r="P1336" s="4"/>
      <c r="Q1336" s="4"/>
      <c r="R1336" s="4"/>
      <c r="S1336" s="13" t="n">
        <v>0</v>
      </c>
      <c r="T1336" s="4" t="s">
        <v>173</v>
      </c>
      <c r="U1336" s="14" t="n">
        <f aca="false">IF(OR($S1336="",PARAMETROS!$B$4=""),"",$S1336*PARAMETROS!$B$4)</f>
        <v>0</v>
      </c>
      <c r="V1336" s="13" t="n">
        <v>0</v>
      </c>
      <c r="W1336" s="4"/>
      <c r="X1336" s="4"/>
      <c r="Y1336" s="4"/>
      <c r="Z1336" s="4"/>
      <c r="AA1336" s="4"/>
      <c r="AB1336" s="4"/>
      <c r="AC1336" s="4"/>
      <c r="AD1336" s="4"/>
      <c r="AE1336" s="4"/>
      <c r="AF1336" s="4"/>
      <c r="AG1336" s="4"/>
      <c r="AH1336" s="4"/>
      <c r="AI1336" s="4"/>
      <c r="AJ1336" s="4"/>
      <c r="AK1336" s="4"/>
      <c r="AL1336" s="4" t="s">
        <v>174</v>
      </c>
      <c r="AM1336" s="4" t="s">
        <v>190</v>
      </c>
    </row>
    <row r="1337" customFormat="false" ht="23.85" hidden="false" customHeight="false" outlineLevel="0" collapsed="false">
      <c r="A1337" s="4" t="s">
        <v>167</v>
      </c>
      <c r="B1337" s="4" t="s">
        <v>1514</v>
      </c>
      <c r="C1337" s="4" t="s">
        <v>1514</v>
      </c>
      <c r="D1337" s="12" t="n">
        <v>2023</v>
      </c>
      <c r="E1337" s="4"/>
      <c r="F1337" s="4" t="s">
        <v>169</v>
      </c>
      <c r="G1337" s="4" t="s">
        <v>170</v>
      </c>
      <c r="H1337" s="4" t="s">
        <v>171</v>
      </c>
      <c r="I1337" s="4" t="s">
        <v>172</v>
      </c>
      <c r="J1337" s="4" t="s">
        <v>1514</v>
      </c>
      <c r="K1337" s="4" t="s">
        <v>84</v>
      </c>
      <c r="L1337" s="4" t="s">
        <v>85</v>
      </c>
      <c r="M1337" s="4"/>
      <c r="N1337" s="4"/>
      <c r="O1337" s="4"/>
      <c r="P1337" s="4"/>
      <c r="Q1337" s="4"/>
      <c r="R1337" s="4"/>
      <c r="S1337" s="13" t="n">
        <v>-4416.31</v>
      </c>
      <c r="T1337" s="4" t="s">
        <v>173</v>
      </c>
      <c r="U1337" s="14" t="n">
        <f aca="false">IF(OR($S1337="",PARAMETROS!$B$4=""),"",$S1337*PARAMETROS!$B$4)</f>
        <v>-25658.7611</v>
      </c>
      <c r="V1337" s="13" t="n">
        <v>0</v>
      </c>
      <c r="W1337" s="4"/>
      <c r="X1337" s="4"/>
      <c r="Y1337" s="4"/>
      <c r="Z1337" s="4"/>
      <c r="AA1337" s="4"/>
      <c r="AB1337" s="4"/>
      <c r="AC1337" s="4"/>
      <c r="AD1337" s="4"/>
      <c r="AE1337" s="4"/>
      <c r="AF1337" s="4"/>
      <c r="AG1337" s="4"/>
      <c r="AH1337" s="4"/>
      <c r="AI1337" s="4"/>
      <c r="AJ1337" s="4"/>
      <c r="AK1337" s="4"/>
      <c r="AL1337" s="4" t="s">
        <v>174</v>
      </c>
      <c r="AM1337" s="4" t="s">
        <v>190</v>
      </c>
    </row>
    <row r="1338" customFormat="false" ht="23.85" hidden="false" customHeight="false" outlineLevel="0" collapsed="false">
      <c r="A1338" s="4" t="s">
        <v>167</v>
      </c>
      <c r="B1338" s="4" t="s">
        <v>1515</v>
      </c>
      <c r="C1338" s="4" t="s">
        <v>1515</v>
      </c>
      <c r="D1338" s="12" t="n">
        <v>2023</v>
      </c>
      <c r="E1338" s="4"/>
      <c r="F1338" s="4" t="s">
        <v>169</v>
      </c>
      <c r="G1338" s="4" t="s">
        <v>170</v>
      </c>
      <c r="H1338" s="4" t="s">
        <v>171</v>
      </c>
      <c r="I1338" s="4" t="s">
        <v>172</v>
      </c>
      <c r="J1338" s="4" t="s">
        <v>1515</v>
      </c>
      <c r="K1338" s="4" t="s">
        <v>84</v>
      </c>
      <c r="L1338" s="4" t="s">
        <v>85</v>
      </c>
      <c r="M1338" s="4"/>
      <c r="N1338" s="4"/>
      <c r="O1338" s="4"/>
      <c r="P1338" s="4"/>
      <c r="Q1338" s="4"/>
      <c r="R1338" s="4"/>
      <c r="S1338" s="13" t="n">
        <v>-18.12</v>
      </c>
      <c r="T1338" s="4" t="s">
        <v>173</v>
      </c>
      <c r="U1338" s="14" t="n">
        <f aca="false">IF(OR($S1338="",PARAMETROS!$B$4=""),"",$S1338*PARAMETROS!$B$4)</f>
        <v>-105.2772</v>
      </c>
      <c r="V1338" s="13" t="n">
        <v>0</v>
      </c>
      <c r="W1338" s="4"/>
      <c r="X1338" s="4"/>
      <c r="Y1338" s="4"/>
      <c r="Z1338" s="4"/>
      <c r="AA1338" s="4"/>
      <c r="AB1338" s="4"/>
      <c r="AC1338" s="4"/>
      <c r="AD1338" s="4"/>
      <c r="AE1338" s="4"/>
      <c r="AF1338" s="4"/>
      <c r="AG1338" s="4"/>
      <c r="AH1338" s="4"/>
      <c r="AI1338" s="4"/>
      <c r="AJ1338" s="4"/>
      <c r="AK1338" s="4"/>
      <c r="AL1338" s="4" t="s">
        <v>174</v>
      </c>
      <c r="AM1338" s="4" t="s">
        <v>190</v>
      </c>
    </row>
    <row r="1339" customFormat="false" ht="23.85" hidden="false" customHeight="false" outlineLevel="0" collapsed="false">
      <c r="A1339" s="4" t="s">
        <v>167</v>
      </c>
      <c r="B1339" s="4" t="s">
        <v>1516</v>
      </c>
      <c r="C1339" s="4" t="s">
        <v>1516</v>
      </c>
      <c r="D1339" s="12" t="n">
        <v>2023</v>
      </c>
      <c r="E1339" s="4"/>
      <c r="F1339" s="4" t="s">
        <v>169</v>
      </c>
      <c r="G1339" s="4" t="s">
        <v>170</v>
      </c>
      <c r="H1339" s="4" t="s">
        <v>171</v>
      </c>
      <c r="I1339" s="4" t="s">
        <v>172</v>
      </c>
      <c r="J1339" s="4" t="s">
        <v>1516</v>
      </c>
      <c r="K1339" s="4" t="s">
        <v>84</v>
      </c>
      <c r="L1339" s="4" t="s">
        <v>85</v>
      </c>
      <c r="M1339" s="4"/>
      <c r="N1339" s="4"/>
      <c r="O1339" s="4"/>
      <c r="P1339" s="4"/>
      <c r="Q1339" s="4"/>
      <c r="R1339" s="4"/>
      <c r="S1339" s="13" t="n">
        <v>0</v>
      </c>
      <c r="T1339" s="4" t="s">
        <v>173</v>
      </c>
      <c r="U1339" s="14" t="n">
        <f aca="false">IF(OR($S1339="",PARAMETROS!$B$4=""),"",$S1339*PARAMETROS!$B$4)</f>
        <v>0</v>
      </c>
      <c r="V1339" s="13" t="n">
        <v>0</v>
      </c>
      <c r="W1339" s="4"/>
      <c r="X1339" s="4"/>
      <c r="Y1339" s="4"/>
      <c r="Z1339" s="4"/>
      <c r="AA1339" s="4"/>
      <c r="AB1339" s="4"/>
      <c r="AC1339" s="4"/>
      <c r="AD1339" s="4"/>
      <c r="AE1339" s="4"/>
      <c r="AF1339" s="4"/>
      <c r="AG1339" s="4"/>
      <c r="AH1339" s="4"/>
      <c r="AI1339" s="4"/>
      <c r="AJ1339" s="4"/>
      <c r="AK1339" s="4"/>
      <c r="AL1339" s="4" t="s">
        <v>174</v>
      </c>
      <c r="AM1339" s="4" t="s">
        <v>190</v>
      </c>
    </row>
    <row r="1340" customFormat="false" ht="23.85" hidden="false" customHeight="false" outlineLevel="0" collapsed="false">
      <c r="A1340" s="4" t="s">
        <v>167</v>
      </c>
      <c r="B1340" s="4" t="s">
        <v>1517</v>
      </c>
      <c r="C1340" s="4" t="s">
        <v>1517</v>
      </c>
      <c r="D1340" s="12" t="n">
        <v>2023</v>
      </c>
      <c r="E1340" s="4"/>
      <c r="F1340" s="4" t="s">
        <v>169</v>
      </c>
      <c r="G1340" s="4" t="s">
        <v>170</v>
      </c>
      <c r="H1340" s="4" t="s">
        <v>171</v>
      </c>
      <c r="I1340" s="4" t="s">
        <v>172</v>
      </c>
      <c r="J1340" s="4" t="s">
        <v>1517</v>
      </c>
      <c r="K1340" s="4" t="s">
        <v>84</v>
      </c>
      <c r="L1340" s="4" t="s">
        <v>85</v>
      </c>
      <c r="M1340" s="4"/>
      <c r="N1340" s="4"/>
      <c r="O1340" s="4"/>
      <c r="P1340" s="4"/>
      <c r="Q1340" s="4"/>
      <c r="R1340" s="4"/>
      <c r="S1340" s="13" t="n">
        <v>0</v>
      </c>
      <c r="T1340" s="4" t="s">
        <v>173</v>
      </c>
      <c r="U1340" s="14" t="n">
        <f aca="false">IF(OR($S1340="",PARAMETROS!$B$4=""),"",$S1340*PARAMETROS!$B$4)</f>
        <v>0</v>
      </c>
      <c r="V1340" s="13" t="n">
        <v>0</v>
      </c>
      <c r="W1340" s="4"/>
      <c r="X1340" s="4"/>
      <c r="Y1340" s="4"/>
      <c r="Z1340" s="4"/>
      <c r="AA1340" s="4"/>
      <c r="AB1340" s="4"/>
      <c r="AC1340" s="4"/>
      <c r="AD1340" s="4"/>
      <c r="AE1340" s="4"/>
      <c r="AF1340" s="4"/>
      <c r="AG1340" s="4"/>
      <c r="AH1340" s="4"/>
      <c r="AI1340" s="4"/>
      <c r="AJ1340" s="4"/>
      <c r="AK1340" s="4"/>
      <c r="AL1340" s="4" t="s">
        <v>174</v>
      </c>
      <c r="AM1340" s="4" t="s">
        <v>190</v>
      </c>
    </row>
    <row r="1341" customFormat="false" ht="23.85" hidden="false" customHeight="false" outlineLevel="0" collapsed="false">
      <c r="A1341" s="4" t="s">
        <v>167</v>
      </c>
      <c r="B1341" s="4" t="s">
        <v>1518</v>
      </c>
      <c r="C1341" s="4" t="s">
        <v>1518</v>
      </c>
      <c r="D1341" s="12" t="n">
        <v>2023</v>
      </c>
      <c r="E1341" s="4"/>
      <c r="F1341" s="4" t="s">
        <v>169</v>
      </c>
      <c r="G1341" s="4" t="s">
        <v>170</v>
      </c>
      <c r="H1341" s="4" t="s">
        <v>171</v>
      </c>
      <c r="I1341" s="4" t="s">
        <v>172</v>
      </c>
      <c r="J1341" s="4" t="s">
        <v>1518</v>
      </c>
      <c r="K1341" s="4" t="s">
        <v>84</v>
      </c>
      <c r="L1341" s="4" t="s">
        <v>85</v>
      </c>
      <c r="M1341" s="4"/>
      <c r="N1341" s="4"/>
      <c r="O1341" s="4"/>
      <c r="P1341" s="4"/>
      <c r="Q1341" s="4"/>
      <c r="R1341" s="4"/>
      <c r="S1341" s="13" t="n">
        <v>0</v>
      </c>
      <c r="T1341" s="4" t="s">
        <v>173</v>
      </c>
      <c r="U1341" s="14" t="n">
        <f aca="false">IF(OR($S1341="",PARAMETROS!$B$4=""),"",$S1341*PARAMETROS!$B$4)</f>
        <v>0</v>
      </c>
      <c r="V1341" s="13" t="n">
        <v>0</v>
      </c>
      <c r="W1341" s="4"/>
      <c r="X1341" s="4"/>
      <c r="Y1341" s="4"/>
      <c r="Z1341" s="4"/>
      <c r="AA1341" s="4"/>
      <c r="AB1341" s="4"/>
      <c r="AC1341" s="4"/>
      <c r="AD1341" s="4"/>
      <c r="AE1341" s="4"/>
      <c r="AF1341" s="4"/>
      <c r="AG1341" s="4"/>
      <c r="AH1341" s="4"/>
      <c r="AI1341" s="4"/>
      <c r="AJ1341" s="4"/>
      <c r="AK1341" s="4"/>
      <c r="AL1341" s="4" t="s">
        <v>174</v>
      </c>
      <c r="AM1341" s="4" t="s">
        <v>190</v>
      </c>
    </row>
    <row r="1342" customFormat="false" ht="23.85" hidden="false" customHeight="false" outlineLevel="0" collapsed="false">
      <c r="A1342" s="4" t="s">
        <v>167</v>
      </c>
      <c r="B1342" s="4" t="s">
        <v>1519</v>
      </c>
      <c r="C1342" s="4" t="s">
        <v>1519</v>
      </c>
      <c r="D1342" s="12" t="n">
        <v>2023</v>
      </c>
      <c r="E1342" s="4"/>
      <c r="F1342" s="4" t="s">
        <v>169</v>
      </c>
      <c r="G1342" s="4" t="s">
        <v>170</v>
      </c>
      <c r="H1342" s="4" t="s">
        <v>171</v>
      </c>
      <c r="I1342" s="4" t="s">
        <v>172</v>
      </c>
      <c r="J1342" s="4" t="s">
        <v>1519</v>
      </c>
      <c r="K1342" s="4" t="s">
        <v>84</v>
      </c>
      <c r="L1342" s="4" t="s">
        <v>85</v>
      </c>
      <c r="M1342" s="4"/>
      <c r="N1342" s="4"/>
      <c r="O1342" s="4"/>
      <c r="P1342" s="4"/>
      <c r="Q1342" s="4"/>
      <c r="R1342" s="4"/>
      <c r="S1342" s="13" t="n">
        <v>0</v>
      </c>
      <c r="T1342" s="4" t="s">
        <v>173</v>
      </c>
      <c r="U1342" s="14" t="n">
        <f aca="false">IF(OR($S1342="",PARAMETROS!$B$4=""),"",$S1342*PARAMETROS!$B$4)</f>
        <v>0</v>
      </c>
      <c r="V1342" s="13" t="n">
        <v>0</v>
      </c>
      <c r="W1342" s="4"/>
      <c r="X1342" s="4"/>
      <c r="Y1342" s="4"/>
      <c r="Z1342" s="4"/>
      <c r="AA1342" s="4"/>
      <c r="AB1342" s="4"/>
      <c r="AC1342" s="4"/>
      <c r="AD1342" s="4"/>
      <c r="AE1342" s="4"/>
      <c r="AF1342" s="4"/>
      <c r="AG1342" s="4"/>
      <c r="AH1342" s="4"/>
      <c r="AI1342" s="4"/>
      <c r="AJ1342" s="4"/>
      <c r="AK1342" s="4"/>
      <c r="AL1342" s="4" t="s">
        <v>174</v>
      </c>
      <c r="AM1342" s="4" t="s">
        <v>190</v>
      </c>
    </row>
    <row r="1343" customFormat="false" ht="23.85" hidden="false" customHeight="false" outlineLevel="0" collapsed="false">
      <c r="A1343" s="4" t="s">
        <v>167</v>
      </c>
      <c r="B1343" s="4" t="s">
        <v>1520</v>
      </c>
      <c r="C1343" s="4" t="s">
        <v>1520</v>
      </c>
      <c r="D1343" s="12" t="n">
        <v>2023</v>
      </c>
      <c r="E1343" s="4"/>
      <c r="F1343" s="4" t="s">
        <v>169</v>
      </c>
      <c r="G1343" s="4" t="s">
        <v>170</v>
      </c>
      <c r="H1343" s="4" t="s">
        <v>171</v>
      </c>
      <c r="I1343" s="4" t="s">
        <v>172</v>
      </c>
      <c r="J1343" s="4" t="s">
        <v>1520</v>
      </c>
      <c r="K1343" s="4" t="s">
        <v>84</v>
      </c>
      <c r="L1343" s="4" t="s">
        <v>85</v>
      </c>
      <c r="M1343" s="4"/>
      <c r="N1343" s="4"/>
      <c r="O1343" s="4"/>
      <c r="P1343" s="4"/>
      <c r="Q1343" s="4"/>
      <c r="R1343" s="4"/>
      <c r="S1343" s="13" t="n">
        <v>0</v>
      </c>
      <c r="T1343" s="4" t="s">
        <v>173</v>
      </c>
      <c r="U1343" s="14" t="n">
        <f aca="false">IF(OR($S1343="",PARAMETROS!$B$4=""),"",$S1343*PARAMETROS!$B$4)</f>
        <v>0</v>
      </c>
      <c r="V1343" s="13" t="n">
        <v>0</v>
      </c>
      <c r="W1343" s="4"/>
      <c r="X1343" s="4"/>
      <c r="Y1343" s="4"/>
      <c r="Z1343" s="4"/>
      <c r="AA1343" s="4"/>
      <c r="AB1343" s="4"/>
      <c r="AC1343" s="4"/>
      <c r="AD1343" s="4"/>
      <c r="AE1343" s="4"/>
      <c r="AF1343" s="4"/>
      <c r="AG1343" s="4"/>
      <c r="AH1343" s="4"/>
      <c r="AI1343" s="4"/>
      <c r="AJ1343" s="4"/>
      <c r="AK1343" s="4"/>
      <c r="AL1343" s="4" t="s">
        <v>174</v>
      </c>
      <c r="AM1343" s="4" t="s">
        <v>190</v>
      </c>
    </row>
    <row r="1344" customFormat="false" ht="23.85" hidden="false" customHeight="false" outlineLevel="0" collapsed="false">
      <c r="A1344" s="4" t="s">
        <v>167</v>
      </c>
      <c r="B1344" s="4" t="s">
        <v>1521</v>
      </c>
      <c r="C1344" s="4" t="s">
        <v>1521</v>
      </c>
      <c r="D1344" s="12" t="n">
        <v>2023</v>
      </c>
      <c r="E1344" s="4"/>
      <c r="F1344" s="4" t="s">
        <v>169</v>
      </c>
      <c r="G1344" s="4" t="s">
        <v>170</v>
      </c>
      <c r="H1344" s="4" t="s">
        <v>171</v>
      </c>
      <c r="I1344" s="4" t="s">
        <v>172</v>
      </c>
      <c r="J1344" s="4" t="s">
        <v>1521</v>
      </c>
      <c r="K1344" s="4" t="s">
        <v>84</v>
      </c>
      <c r="L1344" s="4" t="s">
        <v>85</v>
      </c>
      <c r="M1344" s="4"/>
      <c r="N1344" s="4"/>
      <c r="O1344" s="4"/>
      <c r="P1344" s="4"/>
      <c r="Q1344" s="4"/>
      <c r="R1344" s="4"/>
      <c r="S1344" s="13" t="n">
        <v>0</v>
      </c>
      <c r="T1344" s="4" t="s">
        <v>173</v>
      </c>
      <c r="U1344" s="14" t="n">
        <f aca="false">IF(OR($S1344="",PARAMETROS!$B$4=""),"",$S1344*PARAMETROS!$B$4)</f>
        <v>0</v>
      </c>
      <c r="V1344" s="13" t="n">
        <v>0</v>
      </c>
      <c r="W1344" s="4"/>
      <c r="X1344" s="4"/>
      <c r="Y1344" s="4"/>
      <c r="Z1344" s="4"/>
      <c r="AA1344" s="4"/>
      <c r="AB1344" s="4"/>
      <c r="AC1344" s="4"/>
      <c r="AD1344" s="4"/>
      <c r="AE1344" s="4"/>
      <c r="AF1344" s="4"/>
      <c r="AG1344" s="4"/>
      <c r="AH1344" s="4"/>
      <c r="AI1344" s="4"/>
      <c r="AJ1344" s="4"/>
      <c r="AK1344" s="4"/>
      <c r="AL1344" s="4" t="s">
        <v>174</v>
      </c>
      <c r="AM1344" s="4" t="s">
        <v>190</v>
      </c>
    </row>
    <row r="1345" customFormat="false" ht="23.85" hidden="false" customHeight="false" outlineLevel="0" collapsed="false">
      <c r="A1345" s="4" t="s">
        <v>167</v>
      </c>
      <c r="B1345" s="4" t="s">
        <v>1522</v>
      </c>
      <c r="C1345" s="4" t="s">
        <v>1522</v>
      </c>
      <c r="D1345" s="12" t="n">
        <v>2023</v>
      </c>
      <c r="E1345" s="4"/>
      <c r="F1345" s="4" t="s">
        <v>169</v>
      </c>
      <c r="G1345" s="4" t="s">
        <v>170</v>
      </c>
      <c r="H1345" s="4" t="s">
        <v>171</v>
      </c>
      <c r="I1345" s="4" t="s">
        <v>172</v>
      </c>
      <c r="J1345" s="4" t="s">
        <v>1522</v>
      </c>
      <c r="K1345" s="4" t="s">
        <v>84</v>
      </c>
      <c r="L1345" s="4" t="s">
        <v>85</v>
      </c>
      <c r="M1345" s="4"/>
      <c r="N1345" s="4"/>
      <c r="O1345" s="4"/>
      <c r="P1345" s="4"/>
      <c r="Q1345" s="4"/>
      <c r="R1345" s="4"/>
      <c r="S1345" s="13" t="n">
        <v>0</v>
      </c>
      <c r="T1345" s="4" t="s">
        <v>173</v>
      </c>
      <c r="U1345" s="14" t="n">
        <f aca="false">IF(OR($S1345="",PARAMETROS!$B$4=""),"",$S1345*PARAMETROS!$B$4)</f>
        <v>0</v>
      </c>
      <c r="V1345" s="13" t="n">
        <v>0</v>
      </c>
      <c r="W1345" s="4"/>
      <c r="X1345" s="4"/>
      <c r="Y1345" s="4"/>
      <c r="Z1345" s="4"/>
      <c r="AA1345" s="4"/>
      <c r="AB1345" s="4"/>
      <c r="AC1345" s="4"/>
      <c r="AD1345" s="4"/>
      <c r="AE1345" s="4"/>
      <c r="AF1345" s="4"/>
      <c r="AG1345" s="4"/>
      <c r="AH1345" s="4"/>
      <c r="AI1345" s="4"/>
      <c r="AJ1345" s="4"/>
      <c r="AK1345" s="4"/>
      <c r="AL1345" s="4" t="s">
        <v>174</v>
      </c>
      <c r="AM1345" s="4" t="s">
        <v>190</v>
      </c>
    </row>
    <row r="1346" customFormat="false" ht="23.85" hidden="false" customHeight="false" outlineLevel="0" collapsed="false">
      <c r="A1346" s="4" t="s">
        <v>167</v>
      </c>
      <c r="B1346" s="4" t="s">
        <v>1523</v>
      </c>
      <c r="C1346" s="4" t="s">
        <v>1523</v>
      </c>
      <c r="D1346" s="12" t="n">
        <v>2023</v>
      </c>
      <c r="E1346" s="4"/>
      <c r="F1346" s="4" t="s">
        <v>169</v>
      </c>
      <c r="G1346" s="4" t="s">
        <v>170</v>
      </c>
      <c r="H1346" s="4" t="s">
        <v>171</v>
      </c>
      <c r="I1346" s="4" t="s">
        <v>172</v>
      </c>
      <c r="J1346" s="4" t="s">
        <v>1523</v>
      </c>
      <c r="K1346" s="4" t="s">
        <v>109</v>
      </c>
      <c r="L1346" s="4" t="s">
        <v>110</v>
      </c>
      <c r="M1346" s="4"/>
      <c r="N1346" s="4"/>
      <c r="O1346" s="4"/>
      <c r="P1346" s="4"/>
      <c r="Q1346" s="4"/>
      <c r="R1346" s="4"/>
      <c r="S1346" s="13" t="n">
        <v>57242.38</v>
      </c>
      <c r="T1346" s="4" t="s">
        <v>173</v>
      </c>
      <c r="U1346" s="14" t="n">
        <f aca="false">IF(OR($S1346="",PARAMETROS!$B$4=""),"",$S1346*PARAMETROS!$B$4)</f>
        <v>332578.2278</v>
      </c>
      <c r="V1346" s="13" t="n">
        <v>0</v>
      </c>
      <c r="W1346" s="4"/>
      <c r="X1346" s="4"/>
      <c r="Y1346" s="4"/>
      <c r="Z1346" s="4"/>
      <c r="AA1346" s="4"/>
      <c r="AB1346" s="4"/>
      <c r="AC1346" s="4"/>
      <c r="AD1346" s="4"/>
      <c r="AE1346" s="4"/>
      <c r="AF1346" s="4"/>
      <c r="AG1346" s="4"/>
      <c r="AH1346" s="4"/>
      <c r="AI1346" s="4"/>
      <c r="AJ1346" s="4"/>
      <c r="AK1346" s="4"/>
      <c r="AL1346" s="4" t="s">
        <v>174</v>
      </c>
      <c r="AM1346" s="4" t="s">
        <v>175</v>
      </c>
    </row>
    <row r="1347" customFormat="false" ht="23.85" hidden="false" customHeight="false" outlineLevel="0" collapsed="false">
      <c r="A1347" s="4" t="s">
        <v>167</v>
      </c>
      <c r="B1347" s="4" t="s">
        <v>1524</v>
      </c>
      <c r="C1347" s="4" t="s">
        <v>1524</v>
      </c>
      <c r="D1347" s="12" t="n">
        <v>2023</v>
      </c>
      <c r="E1347" s="4"/>
      <c r="F1347" s="4" t="s">
        <v>169</v>
      </c>
      <c r="G1347" s="4" t="s">
        <v>170</v>
      </c>
      <c r="H1347" s="4" t="s">
        <v>171</v>
      </c>
      <c r="I1347" s="4" t="s">
        <v>172</v>
      </c>
      <c r="J1347" s="4" t="s">
        <v>1524</v>
      </c>
      <c r="K1347" s="4" t="s">
        <v>109</v>
      </c>
      <c r="L1347" s="4" t="s">
        <v>110</v>
      </c>
      <c r="M1347" s="4"/>
      <c r="N1347" s="4"/>
      <c r="O1347" s="4"/>
      <c r="P1347" s="4"/>
      <c r="Q1347" s="4"/>
      <c r="R1347" s="4"/>
      <c r="S1347" s="13" t="n">
        <v>0</v>
      </c>
      <c r="T1347" s="4" t="s">
        <v>173</v>
      </c>
      <c r="U1347" s="14" t="n">
        <f aca="false">IF(OR($S1347="",PARAMETROS!$B$4=""),"",$S1347*PARAMETROS!$B$4)</f>
        <v>0</v>
      </c>
      <c r="V1347" s="13" t="n">
        <v>0</v>
      </c>
      <c r="W1347" s="4"/>
      <c r="X1347" s="4"/>
      <c r="Y1347" s="4"/>
      <c r="Z1347" s="4"/>
      <c r="AA1347" s="4"/>
      <c r="AB1347" s="4"/>
      <c r="AC1347" s="4"/>
      <c r="AD1347" s="4"/>
      <c r="AE1347" s="4"/>
      <c r="AF1347" s="4"/>
      <c r="AG1347" s="4"/>
      <c r="AH1347" s="4"/>
      <c r="AI1347" s="4"/>
      <c r="AJ1347" s="4"/>
      <c r="AK1347" s="4"/>
      <c r="AL1347" s="4" t="s">
        <v>174</v>
      </c>
      <c r="AM1347" s="4" t="s">
        <v>175</v>
      </c>
    </row>
    <row r="1348" customFormat="false" ht="23.85" hidden="false" customHeight="false" outlineLevel="0" collapsed="false">
      <c r="A1348" s="4" t="s">
        <v>167</v>
      </c>
      <c r="B1348" s="4" t="s">
        <v>1525</v>
      </c>
      <c r="C1348" s="4" t="s">
        <v>1525</v>
      </c>
      <c r="D1348" s="12" t="n">
        <v>2023</v>
      </c>
      <c r="E1348" s="4"/>
      <c r="F1348" s="4" t="s">
        <v>169</v>
      </c>
      <c r="G1348" s="4" t="s">
        <v>170</v>
      </c>
      <c r="H1348" s="4" t="s">
        <v>171</v>
      </c>
      <c r="I1348" s="4" t="s">
        <v>172</v>
      </c>
      <c r="J1348" s="4" t="s">
        <v>1525</v>
      </c>
      <c r="K1348" s="4" t="s">
        <v>109</v>
      </c>
      <c r="L1348" s="4" t="s">
        <v>110</v>
      </c>
      <c r="M1348" s="4"/>
      <c r="N1348" s="4"/>
      <c r="O1348" s="4"/>
      <c r="P1348" s="4"/>
      <c r="Q1348" s="4"/>
      <c r="R1348" s="4"/>
      <c r="S1348" s="13" t="n">
        <v>0</v>
      </c>
      <c r="T1348" s="4" t="s">
        <v>173</v>
      </c>
      <c r="U1348" s="14" t="n">
        <f aca="false">IF(OR($S1348="",PARAMETROS!$B$4=""),"",$S1348*PARAMETROS!$B$4)</f>
        <v>0</v>
      </c>
      <c r="V1348" s="13" t="n">
        <v>0</v>
      </c>
      <c r="W1348" s="4"/>
      <c r="X1348" s="4"/>
      <c r="Y1348" s="4"/>
      <c r="Z1348" s="4"/>
      <c r="AA1348" s="4"/>
      <c r="AB1348" s="4"/>
      <c r="AC1348" s="4"/>
      <c r="AD1348" s="4"/>
      <c r="AE1348" s="4"/>
      <c r="AF1348" s="4"/>
      <c r="AG1348" s="4"/>
      <c r="AH1348" s="4"/>
      <c r="AI1348" s="4"/>
      <c r="AJ1348" s="4"/>
      <c r="AK1348" s="4"/>
      <c r="AL1348" s="4" t="s">
        <v>174</v>
      </c>
      <c r="AM1348" s="4" t="s">
        <v>175</v>
      </c>
    </row>
    <row r="1349" customFormat="false" ht="23.85" hidden="false" customHeight="false" outlineLevel="0" collapsed="false">
      <c r="A1349" s="4" t="s">
        <v>167</v>
      </c>
      <c r="B1349" s="4" t="s">
        <v>1526</v>
      </c>
      <c r="C1349" s="4" t="s">
        <v>1526</v>
      </c>
      <c r="D1349" s="12" t="n">
        <v>2023</v>
      </c>
      <c r="E1349" s="4"/>
      <c r="F1349" s="4" t="s">
        <v>169</v>
      </c>
      <c r="G1349" s="4" t="s">
        <v>170</v>
      </c>
      <c r="H1349" s="4" t="s">
        <v>171</v>
      </c>
      <c r="I1349" s="4" t="s">
        <v>172</v>
      </c>
      <c r="J1349" s="4" t="s">
        <v>1526</v>
      </c>
      <c r="K1349" s="4" t="s">
        <v>109</v>
      </c>
      <c r="L1349" s="4" t="s">
        <v>110</v>
      </c>
      <c r="M1349" s="4"/>
      <c r="N1349" s="4"/>
      <c r="O1349" s="4"/>
      <c r="P1349" s="4"/>
      <c r="Q1349" s="4"/>
      <c r="R1349" s="4"/>
      <c r="S1349" s="13" t="n">
        <v>0</v>
      </c>
      <c r="T1349" s="4" t="s">
        <v>173</v>
      </c>
      <c r="U1349" s="14" t="n">
        <f aca="false">IF(OR($S1349="",PARAMETROS!$B$4=""),"",$S1349*PARAMETROS!$B$4)</f>
        <v>0</v>
      </c>
      <c r="V1349" s="13" t="n">
        <v>0</v>
      </c>
      <c r="W1349" s="4"/>
      <c r="X1349" s="4"/>
      <c r="Y1349" s="4"/>
      <c r="Z1349" s="4"/>
      <c r="AA1349" s="4"/>
      <c r="AB1349" s="4"/>
      <c r="AC1349" s="4"/>
      <c r="AD1349" s="4"/>
      <c r="AE1349" s="4"/>
      <c r="AF1349" s="4"/>
      <c r="AG1349" s="4"/>
      <c r="AH1349" s="4"/>
      <c r="AI1349" s="4"/>
      <c r="AJ1349" s="4"/>
      <c r="AK1349" s="4"/>
      <c r="AL1349" s="4" t="s">
        <v>174</v>
      </c>
      <c r="AM1349" s="4" t="s">
        <v>175</v>
      </c>
    </row>
    <row r="1350" customFormat="false" ht="23.85" hidden="false" customHeight="false" outlineLevel="0" collapsed="false">
      <c r="A1350" s="4" t="s">
        <v>167</v>
      </c>
      <c r="B1350" s="4" t="s">
        <v>1527</v>
      </c>
      <c r="C1350" s="4" t="s">
        <v>1527</v>
      </c>
      <c r="D1350" s="12" t="n">
        <v>2023</v>
      </c>
      <c r="E1350" s="4"/>
      <c r="F1350" s="4" t="s">
        <v>169</v>
      </c>
      <c r="G1350" s="4" t="s">
        <v>170</v>
      </c>
      <c r="H1350" s="4" t="s">
        <v>171</v>
      </c>
      <c r="I1350" s="4" t="s">
        <v>172</v>
      </c>
      <c r="J1350" s="4" t="s">
        <v>1527</v>
      </c>
      <c r="K1350" s="4" t="s">
        <v>109</v>
      </c>
      <c r="L1350" s="4" t="s">
        <v>110</v>
      </c>
      <c r="M1350" s="4"/>
      <c r="N1350" s="4"/>
      <c r="O1350" s="4"/>
      <c r="P1350" s="4"/>
      <c r="Q1350" s="4"/>
      <c r="R1350" s="4"/>
      <c r="S1350" s="13" t="n">
        <v>0</v>
      </c>
      <c r="T1350" s="4" t="s">
        <v>173</v>
      </c>
      <c r="U1350" s="14" t="n">
        <f aca="false">IF(OR($S1350="",PARAMETROS!$B$4=""),"",$S1350*PARAMETROS!$B$4)</f>
        <v>0</v>
      </c>
      <c r="V1350" s="13" t="n">
        <v>0</v>
      </c>
      <c r="W1350" s="4"/>
      <c r="X1350" s="4"/>
      <c r="Y1350" s="4"/>
      <c r="Z1350" s="4"/>
      <c r="AA1350" s="4"/>
      <c r="AB1350" s="4"/>
      <c r="AC1350" s="4"/>
      <c r="AD1350" s="4"/>
      <c r="AE1350" s="4"/>
      <c r="AF1350" s="4"/>
      <c r="AG1350" s="4"/>
      <c r="AH1350" s="4"/>
      <c r="AI1350" s="4"/>
      <c r="AJ1350" s="4"/>
      <c r="AK1350" s="4"/>
      <c r="AL1350" s="4" t="s">
        <v>174</v>
      </c>
      <c r="AM1350" s="4" t="s">
        <v>175</v>
      </c>
    </row>
    <row r="1351" customFormat="false" ht="23.85" hidden="false" customHeight="false" outlineLevel="0" collapsed="false">
      <c r="A1351" s="4" t="s">
        <v>167</v>
      </c>
      <c r="B1351" s="4" t="s">
        <v>1528</v>
      </c>
      <c r="C1351" s="4" t="s">
        <v>1528</v>
      </c>
      <c r="D1351" s="12" t="n">
        <v>2023</v>
      </c>
      <c r="E1351" s="4"/>
      <c r="F1351" s="4" t="s">
        <v>169</v>
      </c>
      <c r="G1351" s="4" t="s">
        <v>170</v>
      </c>
      <c r="H1351" s="4" t="s">
        <v>171</v>
      </c>
      <c r="I1351" s="4" t="s">
        <v>172</v>
      </c>
      <c r="J1351" s="4" t="s">
        <v>1528</v>
      </c>
      <c r="K1351" s="4" t="s">
        <v>109</v>
      </c>
      <c r="L1351" s="4" t="s">
        <v>110</v>
      </c>
      <c r="M1351" s="4"/>
      <c r="N1351" s="4"/>
      <c r="O1351" s="4"/>
      <c r="P1351" s="4"/>
      <c r="Q1351" s="4"/>
      <c r="R1351" s="4"/>
      <c r="S1351" s="13" t="n">
        <v>0</v>
      </c>
      <c r="T1351" s="4" t="s">
        <v>173</v>
      </c>
      <c r="U1351" s="14" t="n">
        <f aca="false">IF(OR($S1351="",PARAMETROS!$B$4=""),"",$S1351*PARAMETROS!$B$4)</f>
        <v>0</v>
      </c>
      <c r="V1351" s="13" t="n">
        <v>0</v>
      </c>
      <c r="W1351" s="4"/>
      <c r="X1351" s="4"/>
      <c r="Y1351" s="4"/>
      <c r="Z1351" s="4"/>
      <c r="AA1351" s="4"/>
      <c r="AB1351" s="4"/>
      <c r="AC1351" s="4"/>
      <c r="AD1351" s="4"/>
      <c r="AE1351" s="4"/>
      <c r="AF1351" s="4"/>
      <c r="AG1351" s="4"/>
      <c r="AH1351" s="4"/>
      <c r="AI1351" s="4"/>
      <c r="AJ1351" s="4"/>
      <c r="AK1351" s="4"/>
      <c r="AL1351" s="4" t="s">
        <v>174</v>
      </c>
      <c r="AM1351" s="4" t="s">
        <v>175</v>
      </c>
    </row>
    <row r="1352" customFormat="false" ht="23.85" hidden="false" customHeight="false" outlineLevel="0" collapsed="false">
      <c r="A1352" s="4" t="s">
        <v>167</v>
      </c>
      <c r="B1352" s="4" t="s">
        <v>1529</v>
      </c>
      <c r="C1352" s="4" t="s">
        <v>1529</v>
      </c>
      <c r="D1352" s="12" t="n">
        <v>2023</v>
      </c>
      <c r="E1352" s="4"/>
      <c r="F1352" s="4" t="s">
        <v>169</v>
      </c>
      <c r="G1352" s="4" t="s">
        <v>170</v>
      </c>
      <c r="H1352" s="4" t="s">
        <v>171</v>
      </c>
      <c r="I1352" s="4" t="s">
        <v>172</v>
      </c>
      <c r="J1352" s="4" t="s">
        <v>1529</v>
      </c>
      <c r="K1352" s="4" t="s">
        <v>109</v>
      </c>
      <c r="L1352" s="4" t="s">
        <v>110</v>
      </c>
      <c r="M1352" s="4"/>
      <c r="N1352" s="4"/>
      <c r="O1352" s="4"/>
      <c r="P1352" s="4"/>
      <c r="Q1352" s="4"/>
      <c r="R1352" s="4"/>
      <c r="S1352" s="13" t="n">
        <v>0</v>
      </c>
      <c r="T1352" s="4" t="s">
        <v>173</v>
      </c>
      <c r="U1352" s="14" t="n">
        <f aca="false">IF(OR($S1352="",PARAMETROS!$B$4=""),"",$S1352*PARAMETROS!$B$4)</f>
        <v>0</v>
      </c>
      <c r="V1352" s="13" t="n">
        <v>0</v>
      </c>
      <c r="W1352" s="4"/>
      <c r="X1352" s="4"/>
      <c r="Y1352" s="4"/>
      <c r="Z1352" s="4"/>
      <c r="AA1352" s="4"/>
      <c r="AB1352" s="4"/>
      <c r="AC1352" s="4"/>
      <c r="AD1352" s="4"/>
      <c r="AE1352" s="4"/>
      <c r="AF1352" s="4"/>
      <c r="AG1352" s="4"/>
      <c r="AH1352" s="4"/>
      <c r="AI1352" s="4"/>
      <c r="AJ1352" s="4"/>
      <c r="AK1352" s="4"/>
      <c r="AL1352" s="4" t="s">
        <v>174</v>
      </c>
      <c r="AM1352" s="4" t="s">
        <v>175</v>
      </c>
    </row>
    <row r="1353" customFormat="false" ht="23.85" hidden="false" customHeight="false" outlineLevel="0" collapsed="false">
      <c r="A1353" s="4" t="s">
        <v>167</v>
      </c>
      <c r="B1353" s="4" t="s">
        <v>1530</v>
      </c>
      <c r="C1353" s="4" t="s">
        <v>1530</v>
      </c>
      <c r="D1353" s="12" t="n">
        <v>2023</v>
      </c>
      <c r="E1353" s="4"/>
      <c r="F1353" s="4" t="s">
        <v>169</v>
      </c>
      <c r="G1353" s="4" t="s">
        <v>170</v>
      </c>
      <c r="H1353" s="4" t="s">
        <v>171</v>
      </c>
      <c r="I1353" s="4" t="s">
        <v>172</v>
      </c>
      <c r="J1353" s="4" t="s">
        <v>1530</v>
      </c>
      <c r="K1353" s="4" t="s">
        <v>109</v>
      </c>
      <c r="L1353" s="4" t="s">
        <v>110</v>
      </c>
      <c r="M1353" s="4"/>
      <c r="N1353" s="4"/>
      <c r="O1353" s="4"/>
      <c r="P1353" s="4"/>
      <c r="Q1353" s="4"/>
      <c r="R1353" s="4"/>
      <c r="S1353" s="13" t="n">
        <v>0</v>
      </c>
      <c r="T1353" s="4" t="s">
        <v>173</v>
      </c>
      <c r="U1353" s="14" t="n">
        <f aca="false">IF(OR($S1353="",PARAMETROS!$B$4=""),"",$S1353*PARAMETROS!$B$4)</f>
        <v>0</v>
      </c>
      <c r="V1353" s="13" t="n">
        <v>0</v>
      </c>
      <c r="W1353" s="4"/>
      <c r="X1353" s="4"/>
      <c r="Y1353" s="4"/>
      <c r="Z1353" s="4"/>
      <c r="AA1353" s="4"/>
      <c r="AB1353" s="4"/>
      <c r="AC1353" s="4"/>
      <c r="AD1353" s="4"/>
      <c r="AE1353" s="4"/>
      <c r="AF1353" s="4"/>
      <c r="AG1353" s="4"/>
      <c r="AH1353" s="4"/>
      <c r="AI1353" s="4"/>
      <c r="AJ1353" s="4"/>
      <c r="AK1353" s="4"/>
      <c r="AL1353" s="4" t="s">
        <v>174</v>
      </c>
      <c r="AM1353" s="4" t="s">
        <v>175</v>
      </c>
    </row>
    <row r="1354" customFormat="false" ht="23.85" hidden="false" customHeight="false" outlineLevel="0" collapsed="false">
      <c r="A1354" s="4" t="s">
        <v>167</v>
      </c>
      <c r="B1354" s="4" t="s">
        <v>1531</v>
      </c>
      <c r="C1354" s="4" t="s">
        <v>1531</v>
      </c>
      <c r="D1354" s="12" t="n">
        <v>2023</v>
      </c>
      <c r="E1354" s="4"/>
      <c r="F1354" s="4" t="s">
        <v>169</v>
      </c>
      <c r="G1354" s="4" t="s">
        <v>170</v>
      </c>
      <c r="H1354" s="4" t="s">
        <v>171</v>
      </c>
      <c r="I1354" s="4" t="s">
        <v>172</v>
      </c>
      <c r="J1354" s="4" t="s">
        <v>1531</v>
      </c>
      <c r="K1354" s="4" t="s">
        <v>109</v>
      </c>
      <c r="L1354" s="4" t="s">
        <v>110</v>
      </c>
      <c r="M1354" s="4"/>
      <c r="N1354" s="4"/>
      <c r="O1354" s="4"/>
      <c r="P1354" s="4"/>
      <c r="Q1354" s="4"/>
      <c r="R1354" s="4"/>
      <c r="S1354" s="13" t="n">
        <v>0</v>
      </c>
      <c r="T1354" s="4" t="s">
        <v>173</v>
      </c>
      <c r="U1354" s="14" t="n">
        <f aca="false">IF(OR($S1354="",PARAMETROS!$B$4=""),"",$S1354*PARAMETROS!$B$4)</f>
        <v>0</v>
      </c>
      <c r="V1354" s="13" t="n">
        <v>0</v>
      </c>
      <c r="W1354" s="4"/>
      <c r="X1354" s="4"/>
      <c r="Y1354" s="4"/>
      <c r="Z1354" s="4"/>
      <c r="AA1354" s="4"/>
      <c r="AB1354" s="4"/>
      <c r="AC1354" s="4"/>
      <c r="AD1354" s="4"/>
      <c r="AE1354" s="4"/>
      <c r="AF1354" s="4"/>
      <c r="AG1354" s="4"/>
      <c r="AH1354" s="4"/>
      <c r="AI1354" s="4"/>
      <c r="AJ1354" s="4"/>
      <c r="AK1354" s="4"/>
      <c r="AL1354" s="4" t="s">
        <v>174</v>
      </c>
      <c r="AM1354" s="4" t="s">
        <v>175</v>
      </c>
    </row>
    <row r="1355" customFormat="false" ht="23.85" hidden="false" customHeight="false" outlineLevel="0" collapsed="false">
      <c r="A1355" s="4" t="s">
        <v>167</v>
      </c>
      <c r="B1355" s="4" t="s">
        <v>1532</v>
      </c>
      <c r="C1355" s="4" t="s">
        <v>1532</v>
      </c>
      <c r="D1355" s="12" t="n">
        <v>2023</v>
      </c>
      <c r="E1355" s="4"/>
      <c r="F1355" s="4" t="s">
        <v>169</v>
      </c>
      <c r="G1355" s="4" t="s">
        <v>170</v>
      </c>
      <c r="H1355" s="4" t="s">
        <v>171</v>
      </c>
      <c r="I1355" s="4" t="s">
        <v>172</v>
      </c>
      <c r="J1355" s="4" t="s">
        <v>1532</v>
      </c>
      <c r="K1355" s="4" t="s">
        <v>109</v>
      </c>
      <c r="L1355" s="4" t="s">
        <v>110</v>
      </c>
      <c r="M1355" s="4"/>
      <c r="N1355" s="4"/>
      <c r="O1355" s="4"/>
      <c r="P1355" s="4"/>
      <c r="Q1355" s="4"/>
      <c r="R1355" s="4"/>
      <c r="S1355" s="13" t="n">
        <v>55525.11</v>
      </c>
      <c r="T1355" s="4" t="s">
        <v>173</v>
      </c>
      <c r="U1355" s="14" t="n">
        <f aca="false">IF(OR($S1355="",PARAMETROS!$B$4=""),"",$S1355*PARAMETROS!$B$4)</f>
        <v>322600.8891</v>
      </c>
      <c r="V1355" s="13" t="n">
        <v>0</v>
      </c>
      <c r="W1355" s="4"/>
      <c r="X1355" s="4"/>
      <c r="Y1355" s="4"/>
      <c r="Z1355" s="4"/>
      <c r="AA1355" s="4"/>
      <c r="AB1355" s="4"/>
      <c r="AC1355" s="4"/>
      <c r="AD1355" s="4"/>
      <c r="AE1355" s="4"/>
      <c r="AF1355" s="4"/>
      <c r="AG1355" s="4"/>
      <c r="AH1355" s="4"/>
      <c r="AI1355" s="4"/>
      <c r="AJ1355" s="4"/>
      <c r="AK1355" s="4"/>
      <c r="AL1355" s="4" t="s">
        <v>174</v>
      </c>
      <c r="AM1355" s="4" t="s">
        <v>175</v>
      </c>
    </row>
    <row r="1356" customFormat="false" ht="23.85" hidden="false" customHeight="false" outlineLevel="0" collapsed="false">
      <c r="A1356" s="4" t="s">
        <v>167</v>
      </c>
      <c r="B1356" s="4" t="s">
        <v>1533</v>
      </c>
      <c r="C1356" s="4" t="s">
        <v>1533</v>
      </c>
      <c r="D1356" s="12" t="n">
        <v>2023</v>
      </c>
      <c r="E1356" s="4"/>
      <c r="F1356" s="4" t="s">
        <v>169</v>
      </c>
      <c r="G1356" s="4" t="s">
        <v>170</v>
      </c>
      <c r="H1356" s="4" t="s">
        <v>171</v>
      </c>
      <c r="I1356" s="4" t="s">
        <v>172</v>
      </c>
      <c r="J1356" s="4" t="s">
        <v>1533</v>
      </c>
      <c r="K1356" s="4" t="s">
        <v>109</v>
      </c>
      <c r="L1356" s="4" t="s">
        <v>110</v>
      </c>
      <c r="M1356" s="4"/>
      <c r="N1356" s="4"/>
      <c r="O1356" s="4"/>
      <c r="P1356" s="4"/>
      <c r="Q1356" s="4"/>
      <c r="R1356" s="4"/>
      <c r="S1356" s="13" t="n">
        <v>1717.27</v>
      </c>
      <c r="T1356" s="4" t="s">
        <v>173</v>
      </c>
      <c r="U1356" s="14" t="n">
        <f aca="false">IF(OR($S1356="",PARAMETROS!$B$4=""),"",$S1356*PARAMETROS!$B$4)</f>
        <v>9977.3387</v>
      </c>
      <c r="V1356" s="13" t="n">
        <v>0</v>
      </c>
      <c r="W1356" s="4"/>
      <c r="X1356" s="4"/>
      <c r="Y1356" s="4"/>
      <c r="Z1356" s="4"/>
      <c r="AA1356" s="4"/>
      <c r="AB1356" s="4"/>
      <c r="AC1356" s="4"/>
      <c r="AD1356" s="4"/>
      <c r="AE1356" s="4"/>
      <c r="AF1356" s="4"/>
      <c r="AG1356" s="4"/>
      <c r="AH1356" s="4"/>
      <c r="AI1356" s="4"/>
      <c r="AJ1356" s="4"/>
      <c r="AK1356" s="4"/>
      <c r="AL1356" s="4" t="s">
        <v>174</v>
      </c>
      <c r="AM1356" s="4" t="s">
        <v>175</v>
      </c>
    </row>
    <row r="1357" customFormat="false" ht="23.85" hidden="false" customHeight="false" outlineLevel="0" collapsed="false">
      <c r="A1357" s="4" t="s">
        <v>167</v>
      </c>
      <c r="B1357" s="4" t="s">
        <v>1534</v>
      </c>
      <c r="C1357" s="4" t="s">
        <v>1534</v>
      </c>
      <c r="D1357" s="12" t="n">
        <v>2023</v>
      </c>
      <c r="E1357" s="4"/>
      <c r="F1357" s="4" t="s">
        <v>169</v>
      </c>
      <c r="G1357" s="4" t="s">
        <v>170</v>
      </c>
      <c r="H1357" s="4" t="s">
        <v>171</v>
      </c>
      <c r="I1357" s="4" t="s">
        <v>172</v>
      </c>
      <c r="J1357" s="4" t="s">
        <v>1534</v>
      </c>
      <c r="K1357" s="4" t="s">
        <v>109</v>
      </c>
      <c r="L1357" s="4" t="s">
        <v>110</v>
      </c>
      <c r="M1357" s="4"/>
      <c r="N1357" s="4"/>
      <c r="O1357" s="4"/>
      <c r="P1357" s="4"/>
      <c r="Q1357" s="4"/>
      <c r="R1357" s="4"/>
      <c r="S1357" s="13" t="n">
        <v>0</v>
      </c>
      <c r="T1357" s="4" t="s">
        <v>173</v>
      </c>
      <c r="U1357" s="14" t="n">
        <f aca="false">IF(OR($S1357="",PARAMETROS!$B$4=""),"",$S1357*PARAMETROS!$B$4)</f>
        <v>0</v>
      </c>
      <c r="V1357" s="13" t="n">
        <v>0</v>
      </c>
      <c r="W1357" s="4"/>
      <c r="X1357" s="4"/>
      <c r="Y1357" s="4"/>
      <c r="Z1357" s="4"/>
      <c r="AA1357" s="4"/>
      <c r="AB1357" s="4"/>
      <c r="AC1357" s="4"/>
      <c r="AD1357" s="4"/>
      <c r="AE1357" s="4"/>
      <c r="AF1357" s="4"/>
      <c r="AG1357" s="4"/>
      <c r="AH1357" s="4"/>
      <c r="AI1357" s="4"/>
      <c r="AJ1357" s="4"/>
      <c r="AK1357" s="4"/>
      <c r="AL1357" s="4" t="s">
        <v>174</v>
      </c>
      <c r="AM1357" s="4" t="s">
        <v>175</v>
      </c>
    </row>
    <row r="1358" customFormat="false" ht="23.85" hidden="false" customHeight="false" outlineLevel="0" collapsed="false">
      <c r="A1358" s="4" t="s">
        <v>167</v>
      </c>
      <c r="B1358" s="4" t="s">
        <v>1535</v>
      </c>
      <c r="C1358" s="4" t="s">
        <v>1535</v>
      </c>
      <c r="D1358" s="12" t="n">
        <v>2023</v>
      </c>
      <c r="E1358" s="4"/>
      <c r="F1358" s="4" t="s">
        <v>169</v>
      </c>
      <c r="G1358" s="4" t="s">
        <v>170</v>
      </c>
      <c r="H1358" s="4" t="s">
        <v>171</v>
      </c>
      <c r="I1358" s="4" t="s">
        <v>172</v>
      </c>
      <c r="J1358" s="4" t="s">
        <v>1535</v>
      </c>
      <c r="K1358" s="4" t="s">
        <v>109</v>
      </c>
      <c r="L1358" s="4" t="s">
        <v>110</v>
      </c>
      <c r="M1358" s="4"/>
      <c r="N1358" s="4"/>
      <c r="O1358" s="4"/>
      <c r="P1358" s="4"/>
      <c r="Q1358" s="4"/>
      <c r="R1358" s="4"/>
      <c r="S1358" s="13" t="n">
        <v>0</v>
      </c>
      <c r="T1358" s="4" t="s">
        <v>173</v>
      </c>
      <c r="U1358" s="14" t="n">
        <f aca="false">IF(OR($S1358="",PARAMETROS!$B$4=""),"",$S1358*PARAMETROS!$B$4)</f>
        <v>0</v>
      </c>
      <c r="V1358" s="13" t="n">
        <v>0</v>
      </c>
      <c r="W1358" s="4"/>
      <c r="X1358" s="4"/>
      <c r="Y1358" s="4"/>
      <c r="Z1358" s="4"/>
      <c r="AA1358" s="4"/>
      <c r="AB1358" s="4"/>
      <c r="AC1358" s="4"/>
      <c r="AD1358" s="4"/>
      <c r="AE1358" s="4"/>
      <c r="AF1358" s="4"/>
      <c r="AG1358" s="4"/>
      <c r="AH1358" s="4"/>
      <c r="AI1358" s="4"/>
      <c r="AJ1358" s="4"/>
      <c r="AK1358" s="4"/>
      <c r="AL1358" s="4" t="s">
        <v>174</v>
      </c>
      <c r="AM1358" s="4" t="s">
        <v>175</v>
      </c>
    </row>
    <row r="1359" customFormat="false" ht="23.85" hidden="false" customHeight="false" outlineLevel="0" collapsed="false">
      <c r="A1359" s="4" t="s">
        <v>167</v>
      </c>
      <c r="B1359" s="4" t="s">
        <v>1536</v>
      </c>
      <c r="C1359" s="4" t="s">
        <v>1536</v>
      </c>
      <c r="D1359" s="12" t="n">
        <v>2023</v>
      </c>
      <c r="E1359" s="4"/>
      <c r="F1359" s="4" t="s">
        <v>169</v>
      </c>
      <c r="G1359" s="4" t="s">
        <v>170</v>
      </c>
      <c r="H1359" s="4" t="s">
        <v>171</v>
      </c>
      <c r="I1359" s="4" t="s">
        <v>172</v>
      </c>
      <c r="J1359" s="4" t="s">
        <v>1536</v>
      </c>
      <c r="K1359" s="4" t="s">
        <v>109</v>
      </c>
      <c r="L1359" s="4" t="s">
        <v>110</v>
      </c>
      <c r="M1359" s="4"/>
      <c r="N1359" s="4"/>
      <c r="O1359" s="4"/>
      <c r="P1359" s="4"/>
      <c r="Q1359" s="4"/>
      <c r="R1359" s="4"/>
      <c r="S1359" s="13" t="n">
        <v>0</v>
      </c>
      <c r="T1359" s="4" t="s">
        <v>173</v>
      </c>
      <c r="U1359" s="14" t="n">
        <f aca="false">IF(OR($S1359="",PARAMETROS!$B$4=""),"",$S1359*PARAMETROS!$B$4)</f>
        <v>0</v>
      </c>
      <c r="V1359" s="13" t="n">
        <v>0</v>
      </c>
      <c r="W1359" s="4"/>
      <c r="X1359" s="4"/>
      <c r="Y1359" s="4"/>
      <c r="Z1359" s="4"/>
      <c r="AA1359" s="4"/>
      <c r="AB1359" s="4"/>
      <c r="AC1359" s="4"/>
      <c r="AD1359" s="4"/>
      <c r="AE1359" s="4"/>
      <c r="AF1359" s="4"/>
      <c r="AG1359" s="4"/>
      <c r="AH1359" s="4"/>
      <c r="AI1359" s="4"/>
      <c r="AJ1359" s="4"/>
      <c r="AK1359" s="4"/>
      <c r="AL1359" s="4" t="s">
        <v>174</v>
      </c>
      <c r="AM1359" s="4" t="s">
        <v>175</v>
      </c>
    </row>
    <row r="1360" customFormat="false" ht="23.85" hidden="false" customHeight="false" outlineLevel="0" collapsed="false">
      <c r="A1360" s="4" t="s">
        <v>167</v>
      </c>
      <c r="B1360" s="4" t="s">
        <v>1537</v>
      </c>
      <c r="C1360" s="4" t="s">
        <v>1537</v>
      </c>
      <c r="D1360" s="12" t="n">
        <v>2023</v>
      </c>
      <c r="E1360" s="4"/>
      <c r="F1360" s="4" t="s">
        <v>169</v>
      </c>
      <c r="G1360" s="4" t="s">
        <v>170</v>
      </c>
      <c r="H1360" s="4" t="s">
        <v>171</v>
      </c>
      <c r="I1360" s="4" t="s">
        <v>172</v>
      </c>
      <c r="J1360" s="4" t="s">
        <v>1537</v>
      </c>
      <c r="K1360" s="4" t="s">
        <v>86</v>
      </c>
      <c r="L1360" s="4" t="s">
        <v>87</v>
      </c>
      <c r="M1360" s="4"/>
      <c r="N1360" s="4"/>
      <c r="O1360" s="4"/>
      <c r="P1360" s="4"/>
      <c r="Q1360" s="4"/>
      <c r="R1360" s="4"/>
      <c r="S1360" s="13" t="n">
        <v>1808.99</v>
      </c>
      <c r="T1360" s="4" t="s">
        <v>173</v>
      </c>
      <c r="U1360" s="14" t="n">
        <f aca="false">IF(OR($S1360="",PARAMETROS!$B$4=""),"",$S1360*PARAMETROS!$B$4)</f>
        <v>10510.2319</v>
      </c>
      <c r="V1360" s="13" t="n">
        <v>0</v>
      </c>
      <c r="W1360" s="4"/>
      <c r="X1360" s="4"/>
      <c r="Y1360" s="4"/>
      <c r="Z1360" s="4"/>
      <c r="AA1360" s="4"/>
      <c r="AB1360" s="4"/>
      <c r="AC1360" s="4"/>
      <c r="AD1360" s="4"/>
      <c r="AE1360" s="4"/>
      <c r="AF1360" s="4"/>
      <c r="AG1360" s="4"/>
      <c r="AH1360" s="4"/>
      <c r="AI1360" s="4"/>
      <c r="AJ1360" s="4"/>
      <c r="AK1360" s="4"/>
      <c r="AL1360" s="4" t="s">
        <v>174</v>
      </c>
      <c r="AM1360" s="4" t="s">
        <v>205</v>
      </c>
    </row>
    <row r="1361" customFormat="false" ht="23.85" hidden="false" customHeight="false" outlineLevel="0" collapsed="false">
      <c r="A1361" s="4" t="s">
        <v>167</v>
      </c>
      <c r="B1361" s="4" t="s">
        <v>1538</v>
      </c>
      <c r="C1361" s="4" t="s">
        <v>1538</v>
      </c>
      <c r="D1361" s="12" t="n">
        <v>2023</v>
      </c>
      <c r="E1361" s="4"/>
      <c r="F1361" s="4" t="s">
        <v>169</v>
      </c>
      <c r="G1361" s="4" t="s">
        <v>170</v>
      </c>
      <c r="H1361" s="4" t="s">
        <v>171</v>
      </c>
      <c r="I1361" s="4" t="s">
        <v>172</v>
      </c>
      <c r="J1361" s="4" t="s">
        <v>1538</v>
      </c>
      <c r="K1361" s="4" t="s">
        <v>86</v>
      </c>
      <c r="L1361" s="4" t="s">
        <v>87</v>
      </c>
      <c r="M1361" s="4"/>
      <c r="N1361" s="4"/>
      <c r="O1361" s="4"/>
      <c r="P1361" s="4"/>
      <c r="Q1361" s="4"/>
      <c r="R1361" s="4"/>
      <c r="S1361" s="13" t="n">
        <v>17.39</v>
      </c>
      <c r="T1361" s="4" t="s">
        <v>173</v>
      </c>
      <c r="U1361" s="14" t="n">
        <f aca="false">IF(OR($S1361="",PARAMETROS!$B$4=""),"",$S1361*PARAMETROS!$B$4)</f>
        <v>101.0359</v>
      </c>
      <c r="V1361" s="13" t="n">
        <v>0</v>
      </c>
      <c r="W1361" s="4"/>
      <c r="X1361" s="4"/>
      <c r="Y1361" s="4"/>
      <c r="Z1361" s="4"/>
      <c r="AA1361" s="4"/>
      <c r="AB1361" s="4"/>
      <c r="AC1361" s="4"/>
      <c r="AD1361" s="4"/>
      <c r="AE1361" s="4"/>
      <c r="AF1361" s="4"/>
      <c r="AG1361" s="4"/>
      <c r="AH1361" s="4"/>
      <c r="AI1361" s="4"/>
      <c r="AJ1361" s="4"/>
      <c r="AK1361" s="4"/>
      <c r="AL1361" s="4" t="s">
        <v>174</v>
      </c>
      <c r="AM1361" s="4" t="s">
        <v>205</v>
      </c>
    </row>
    <row r="1362" customFormat="false" ht="23.85" hidden="false" customHeight="false" outlineLevel="0" collapsed="false">
      <c r="A1362" s="4" t="s">
        <v>167</v>
      </c>
      <c r="B1362" s="4" t="s">
        <v>1539</v>
      </c>
      <c r="C1362" s="4" t="s">
        <v>1539</v>
      </c>
      <c r="D1362" s="12" t="n">
        <v>2023</v>
      </c>
      <c r="E1362" s="4"/>
      <c r="F1362" s="4" t="s">
        <v>169</v>
      </c>
      <c r="G1362" s="4" t="s">
        <v>170</v>
      </c>
      <c r="H1362" s="4" t="s">
        <v>171</v>
      </c>
      <c r="I1362" s="4" t="s">
        <v>172</v>
      </c>
      <c r="J1362" s="4" t="s">
        <v>1539</v>
      </c>
      <c r="K1362" s="4" t="s">
        <v>86</v>
      </c>
      <c r="L1362" s="4" t="s">
        <v>87</v>
      </c>
      <c r="M1362" s="4"/>
      <c r="N1362" s="4"/>
      <c r="O1362" s="4"/>
      <c r="P1362" s="4"/>
      <c r="Q1362" s="4"/>
      <c r="R1362" s="4"/>
      <c r="S1362" s="13" t="n">
        <v>556.92</v>
      </c>
      <c r="T1362" s="4" t="s">
        <v>173</v>
      </c>
      <c r="U1362" s="14" t="n">
        <f aca="false">IF(OR($S1362="",PARAMETROS!$B$4=""),"",$S1362*PARAMETROS!$B$4)</f>
        <v>3235.7052</v>
      </c>
      <c r="V1362" s="13" t="n">
        <v>0</v>
      </c>
      <c r="W1362" s="4"/>
      <c r="X1362" s="4"/>
      <c r="Y1362" s="4"/>
      <c r="Z1362" s="4"/>
      <c r="AA1362" s="4"/>
      <c r="AB1362" s="4"/>
      <c r="AC1362" s="4"/>
      <c r="AD1362" s="4"/>
      <c r="AE1362" s="4"/>
      <c r="AF1362" s="4"/>
      <c r="AG1362" s="4"/>
      <c r="AH1362" s="4"/>
      <c r="AI1362" s="4"/>
      <c r="AJ1362" s="4"/>
      <c r="AK1362" s="4"/>
      <c r="AL1362" s="4" t="s">
        <v>174</v>
      </c>
      <c r="AM1362" s="4" t="s">
        <v>205</v>
      </c>
    </row>
    <row r="1363" customFormat="false" ht="23.85" hidden="false" customHeight="false" outlineLevel="0" collapsed="false">
      <c r="A1363" s="4" t="s">
        <v>167</v>
      </c>
      <c r="B1363" s="4" t="s">
        <v>1540</v>
      </c>
      <c r="C1363" s="4" t="s">
        <v>1540</v>
      </c>
      <c r="D1363" s="12" t="n">
        <v>2023</v>
      </c>
      <c r="E1363" s="4"/>
      <c r="F1363" s="4" t="s">
        <v>169</v>
      </c>
      <c r="G1363" s="4" t="s">
        <v>170</v>
      </c>
      <c r="H1363" s="4" t="s">
        <v>171</v>
      </c>
      <c r="I1363" s="4" t="s">
        <v>172</v>
      </c>
      <c r="J1363" s="4" t="s">
        <v>1540</v>
      </c>
      <c r="K1363" s="4" t="s">
        <v>86</v>
      </c>
      <c r="L1363" s="4" t="s">
        <v>87</v>
      </c>
      <c r="M1363" s="4"/>
      <c r="N1363" s="4"/>
      <c r="O1363" s="4"/>
      <c r="P1363" s="4"/>
      <c r="Q1363" s="4"/>
      <c r="R1363" s="4"/>
      <c r="S1363" s="13" t="n">
        <v>-528.44</v>
      </c>
      <c r="T1363" s="4" t="s">
        <v>173</v>
      </c>
      <c r="U1363" s="14" t="n">
        <f aca="false">IF(OR($S1363="",PARAMETROS!$B$4=""),"",$S1363*PARAMETROS!$B$4)</f>
        <v>-3070.2364</v>
      </c>
      <c r="V1363" s="13" t="n">
        <v>0</v>
      </c>
      <c r="W1363" s="4"/>
      <c r="X1363" s="4"/>
      <c r="Y1363" s="4"/>
      <c r="Z1363" s="4"/>
      <c r="AA1363" s="4"/>
      <c r="AB1363" s="4"/>
      <c r="AC1363" s="4"/>
      <c r="AD1363" s="4"/>
      <c r="AE1363" s="4"/>
      <c r="AF1363" s="4"/>
      <c r="AG1363" s="4"/>
      <c r="AH1363" s="4"/>
      <c r="AI1363" s="4"/>
      <c r="AJ1363" s="4"/>
      <c r="AK1363" s="4"/>
      <c r="AL1363" s="4" t="s">
        <v>174</v>
      </c>
      <c r="AM1363" s="4" t="s">
        <v>205</v>
      </c>
    </row>
    <row r="1364" customFormat="false" ht="23.85" hidden="false" customHeight="false" outlineLevel="0" collapsed="false">
      <c r="A1364" s="4" t="s">
        <v>167</v>
      </c>
      <c r="B1364" s="4" t="s">
        <v>1541</v>
      </c>
      <c r="C1364" s="4" t="s">
        <v>1541</v>
      </c>
      <c r="D1364" s="12" t="n">
        <v>2023</v>
      </c>
      <c r="E1364" s="4"/>
      <c r="F1364" s="4" t="s">
        <v>169</v>
      </c>
      <c r="G1364" s="4" t="s">
        <v>170</v>
      </c>
      <c r="H1364" s="4" t="s">
        <v>171</v>
      </c>
      <c r="I1364" s="4" t="s">
        <v>172</v>
      </c>
      <c r="J1364" s="4" t="s">
        <v>1541</v>
      </c>
      <c r="K1364" s="4" t="s">
        <v>86</v>
      </c>
      <c r="L1364" s="4" t="s">
        <v>87</v>
      </c>
      <c r="M1364" s="4"/>
      <c r="N1364" s="4"/>
      <c r="O1364" s="4"/>
      <c r="P1364" s="4"/>
      <c r="Q1364" s="4"/>
      <c r="R1364" s="4"/>
      <c r="S1364" s="13" t="n">
        <v>-741.01</v>
      </c>
      <c r="T1364" s="4" t="s">
        <v>173</v>
      </c>
      <c r="U1364" s="14" t="n">
        <f aca="false">IF(OR($S1364="",PARAMETROS!$B$4=""),"",$S1364*PARAMETROS!$B$4)</f>
        <v>-4305.2681</v>
      </c>
      <c r="V1364" s="13" t="n">
        <v>0</v>
      </c>
      <c r="W1364" s="4"/>
      <c r="X1364" s="4"/>
      <c r="Y1364" s="4"/>
      <c r="Z1364" s="4"/>
      <c r="AA1364" s="4"/>
      <c r="AB1364" s="4"/>
      <c r="AC1364" s="4"/>
      <c r="AD1364" s="4"/>
      <c r="AE1364" s="4"/>
      <c r="AF1364" s="4"/>
      <c r="AG1364" s="4"/>
      <c r="AH1364" s="4"/>
      <c r="AI1364" s="4"/>
      <c r="AJ1364" s="4"/>
      <c r="AK1364" s="4"/>
      <c r="AL1364" s="4" t="s">
        <v>174</v>
      </c>
      <c r="AM1364" s="4" t="s">
        <v>205</v>
      </c>
    </row>
    <row r="1365" customFormat="false" ht="23.85" hidden="false" customHeight="false" outlineLevel="0" collapsed="false">
      <c r="A1365" s="4" t="s">
        <v>167</v>
      </c>
      <c r="B1365" s="4" t="s">
        <v>1542</v>
      </c>
      <c r="C1365" s="4" t="s">
        <v>1542</v>
      </c>
      <c r="D1365" s="12" t="n">
        <v>2023</v>
      </c>
      <c r="E1365" s="4"/>
      <c r="F1365" s="4" t="s">
        <v>169</v>
      </c>
      <c r="G1365" s="4" t="s">
        <v>170</v>
      </c>
      <c r="H1365" s="4" t="s">
        <v>171</v>
      </c>
      <c r="I1365" s="4" t="s">
        <v>172</v>
      </c>
      <c r="J1365" s="4" t="s">
        <v>1542</v>
      </c>
      <c r="K1365" s="4" t="s">
        <v>86</v>
      </c>
      <c r="L1365" s="4" t="s">
        <v>87</v>
      </c>
      <c r="M1365" s="4"/>
      <c r="N1365" s="4"/>
      <c r="O1365" s="4"/>
      <c r="P1365" s="4"/>
      <c r="Q1365" s="4"/>
      <c r="R1365" s="4"/>
      <c r="S1365" s="13" t="n">
        <v>0</v>
      </c>
      <c r="T1365" s="4" t="s">
        <v>173</v>
      </c>
      <c r="U1365" s="14" t="n">
        <f aca="false">IF(OR($S1365="",PARAMETROS!$B$4=""),"",$S1365*PARAMETROS!$B$4)</f>
        <v>0</v>
      </c>
      <c r="V1365" s="13" t="n">
        <v>0</v>
      </c>
      <c r="W1365" s="4"/>
      <c r="X1365" s="4"/>
      <c r="Y1365" s="4"/>
      <c r="Z1365" s="4"/>
      <c r="AA1365" s="4"/>
      <c r="AB1365" s="4"/>
      <c r="AC1365" s="4"/>
      <c r="AD1365" s="4"/>
      <c r="AE1365" s="4"/>
      <c r="AF1365" s="4"/>
      <c r="AG1365" s="4"/>
      <c r="AH1365" s="4"/>
      <c r="AI1365" s="4"/>
      <c r="AJ1365" s="4"/>
      <c r="AK1365" s="4"/>
      <c r="AL1365" s="4" t="s">
        <v>174</v>
      </c>
      <c r="AM1365" s="4" t="s">
        <v>205</v>
      </c>
    </row>
    <row r="1366" customFormat="false" ht="23.85" hidden="false" customHeight="false" outlineLevel="0" collapsed="false">
      <c r="A1366" s="4" t="s">
        <v>167</v>
      </c>
      <c r="B1366" s="4" t="s">
        <v>1543</v>
      </c>
      <c r="C1366" s="4" t="s">
        <v>1543</v>
      </c>
      <c r="D1366" s="12" t="n">
        <v>2023</v>
      </c>
      <c r="E1366" s="4"/>
      <c r="F1366" s="4" t="s">
        <v>169</v>
      </c>
      <c r="G1366" s="4" t="s">
        <v>170</v>
      </c>
      <c r="H1366" s="4" t="s">
        <v>171</v>
      </c>
      <c r="I1366" s="4" t="s">
        <v>172</v>
      </c>
      <c r="J1366" s="4" t="s">
        <v>1543</v>
      </c>
      <c r="K1366" s="4" t="s">
        <v>86</v>
      </c>
      <c r="L1366" s="4" t="s">
        <v>87</v>
      </c>
      <c r="M1366" s="4"/>
      <c r="N1366" s="4"/>
      <c r="O1366" s="4"/>
      <c r="P1366" s="4"/>
      <c r="Q1366" s="4"/>
      <c r="R1366" s="4"/>
      <c r="S1366" s="13" t="n">
        <v>0</v>
      </c>
      <c r="T1366" s="4" t="s">
        <v>173</v>
      </c>
      <c r="U1366" s="14" t="n">
        <f aca="false">IF(OR($S1366="",PARAMETROS!$B$4=""),"",$S1366*PARAMETROS!$B$4)</f>
        <v>0</v>
      </c>
      <c r="V1366" s="13" t="n">
        <v>0</v>
      </c>
      <c r="W1366" s="4"/>
      <c r="X1366" s="4"/>
      <c r="Y1366" s="4"/>
      <c r="Z1366" s="4"/>
      <c r="AA1366" s="4"/>
      <c r="AB1366" s="4"/>
      <c r="AC1366" s="4"/>
      <c r="AD1366" s="4"/>
      <c r="AE1366" s="4"/>
      <c r="AF1366" s="4"/>
      <c r="AG1366" s="4"/>
      <c r="AH1366" s="4"/>
      <c r="AI1366" s="4"/>
      <c r="AJ1366" s="4"/>
      <c r="AK1366" s="4"/>
      <c r="AL1366" s="4" t="s">
        <v>174</v>
      </c>
      <c r="AM1366" s="4" t="s">
        <v>205</v>
      </c>
    </row>
    <row r="1367" customFormat="false" ht="23.85" hidden="false" customHeight="false" outlineLevel="0" collapsed="false">
      <c r="A1367" s="4" t="s">
        <v>167</v>
      </c>
      <c r="B1367" s="4" t="s">
        <v>1544</v>
      </c>
      <c r="C1367" s="4" t="s">
        <v>1544</v>
      </c>
      <c r="D1367" s="12" t="n">
        <v>2023</v>
      </c>
      <c r="E1367" s="4"/>
      <c r="F1367" s="4" t="s">
        <v>169</v>
      </c>
      <c r="G1367" s="4" t="s">
        <v>170</v>
      </c>
      <c r="H1367" s="4" t="s">
        <v>171</v>
      </c>
      <c r="I1367" s="4" t="s">
        <v>172</v>
      </c>
      <c r="J1367" s="4" t="s">
        <v>1544</v>
      </c>
      <c r="K1367" s="4" t="s">
        <v>86</v>
      </c>
      <c r="L1367" s="4" t="s">
        <v>87</v>
      </c>
      <c r="M1367" s="4"/>
      <c r="N1367" s="4"/>
      <c r="O1367" s="4"/>
      <c r="P1367" s="4"/>
      <c r="Q1367" s="4"/>
      <c r="R1367" s="4"/>
      <c r="S1367" s="13" t="n">
        <v>0</v>
      </c>
      <c r="T1367" s="4" t="s">
        <v>173</v>
      </c>
      <c r="U1367" s="14" t="n">
        <f aca="false">IF(OR($S1367="",PARAMETROS!$B$4=""),"",$S1367*PARAMETROS!$B$4)</f>
        <v>0</v>
      </c>
      <c r="V1367" s="13" t="n">
        <v>0</v>
      </c>
      <c r="W1367" s="4"/>
      <c r="X1367" s="4"/>
      <c r="Y1367" s="4"/>
      <c r="Z1367" s="4"/>
      <c r="AA1367" s="4"/>
      <c r="AB1367" s="4"/>
      <c r="AC1367" s="4"/>
      <c r="AD1367" s="4"/>
      <c r="AE1367" s="4"/>
      <c r="AF1367" s="4"/>
      <c r="AG1367" s="4"/>
      <c r="AH1367" s="4"/>
      <c r="AI1367" s="4"/>
      <c r="AJ1367" s="4"/>
      <c r="AK1367" s="4"/>
      <c r="AL1367" s="4" t="s">
        <v>174</v>
      </c>
      <c r="AM1367" s="4" t="s">
        <v>205</v>
      </c>
    </row>
    <row r="1368" customFormat="false" ht="23.85" hidden="false" customHeight="false" outlineLevel="0" collapsed="false">
      <c r="A1368" s="4" t="s">
        <v>167</v>
      </c>
      <c r="B1368" s="4" t="s">
        <v>1545</v>
      </c>
      <c r="C1368" s="4" t="s">
        <v>1545</v>
      </c>
      <c r="D1368" s="12" t="n">
        <v>2023</v>
      </c>
      <c r="E1368" s="4"/>
      <c r="F1368" s="4" t="s">
        <v>169</v>
      </c>
      <c r="G1368" s="4" t="s">
        <v>170</v>
      </c>
      <c r="H1368" s="4" t="s">
        <v>171</v>
      </c>
      <c r="I1368" s="4" t="s">
        <v>172</v>
      </c>
      <c r="J1368" s="4" t="s">
        <v>1545</v>
      </c>
      <c r="K1368" s="4" t="s">
        <v>86</v>
      </c>
      <c r="L1368" s="4" t="s">
        <v>87</v>
      </c>
      <c r="M1368" s="4"/>
      <c r="N1368" s="4"/>
      <c r="O1368" s="4"/>
      <c r="P1368" s="4"/>
      <c r="Q1368" s="4"/>
      <c r="R1368" s="4"/>
      <c r="S1368" s="13" t="n">
        <v>0</v>
      </c>
      <c r="T1368" s="4" t="s">
        <v>173</v>
      </c>
      <c r="U1368" s="14" t="n">
        <f aca="false">IF(OR($S1368="",PARAMETROS!$B$4=""),"",$S1368*PARAMETROS!$B$4)</f>
        <v>0</v>
      </c>
      <c r="V1368" s="13" t="n">
        <v>0</v>
      </c>
      <c r="W1368" s="4"/>
      <c r="X1368" s="4"/>
      <c r="Y1368" s="4"/>
      <c r="Z1368" s="4"/>
      <c r="AA1368" s="4"/>
      <c r="AB1368" s="4"/>
      <c r="AC1368" s="4"/>
      <c r="AD1368" s="4"/>
      <c r="AE1368" s="4"/>
      <c r="AF1368" s="4"/>
      <c r="AG1368" s="4"/>
      <c r="AH1368" s="4"/>
      <c r="AI1368" s="4"/>
      <c r="AJ1368" s="4"/>
      <c r="AK1368" s="4"/>
      <c r="AL1368" s="4" t="s">
        <v>174</v>
      </c>
      <c r="AM1368" s="4" t="s">
        <v>205</v>
      </c>
    </row>
    <row r="1369" customFormat="false" ht="23.85" hidden="false" customHeight="false" outlineLevel="0" collapsed="false">
      <c r="A1369" s="4" t="s">
        <v>167</v>
      </c>
      <c r="B1369" s="4" t="s">
        <v>1546</v>
      </c>
      <c r="C1369" s="4" t="s">
        <v>1546</v>
      </c>
      <c r="D1369" s="12" t="n">
        <v>2023</v>
      </c>
      <c r="E1369" s="4"/>
      <c r="F1369" s="4" t="s">
        <v>169</v>
      </c>
      <c r="G1369" s="4" t="s">
        <v>170</v>
      </c>
      <c r="H1369" s="4" t="s">
        <v>171</v>
      </c>
      <c r="I1369" s="4" t="s">
        <v>172</v>
      </c>
      <c r="J1369" s="4" t="s">
        <v>1546</v>
      </c>
      <c r="K1369" s="4" t="s">
        <v>86</v>
      </c>
      <c r="L1369" s="4" t="s">
        <v>87</v>
      </c>
      <c r="M1369" s="4"/>
      <c r="N1369" s="4"/>
      <c r="O1369" s="4"/>
      <c r="P1369" s="4"/>
      <c r="Q1369" s="4"/>
      <c r="R1369" s="4"/>
      <c r="S1369" s="13" t="n">
        <v>0</v>
      </c>
      <c r="T1369" s="4" t="s">
        <v>173</v>
      </c>
      <c r="U1369" s="14" t="n">
        <f aca="false">IF(OR($S1369="",PARAMETROS!$B$4=""),"",$S1369*PARAMETROS!$B$4)</f>
        <v>0</v>
      </c>
      <c r="V1369" s="13" t="n">
        <v>0</v>
      </c>
      <c r="W1369" s="4"/>
      <c r="X1369" s="4"/>
      <c r="Y1369" s="4"/>
      <c r="Z1369" s="4"/>
      <c r="AA1369" s="4"/>
      <c r="AB1369" s="4"/>
      <c r="AC1369" s="4"/>
      <c r="AD1369" s="4"/>
      <c r="AE1369" s="4"/>
      <c r="AF1369" s="4"/>
      <c r="AG1369" s="4"/>
      <c r="AH1369" s="4"/>
      <c r="AI1369" s="4"/>
      <c r="AJ1369" s="4"/>
      <c r="AK1369" s="4"/>
      <c r="AL1369" s="4" t="s">
        <v>174</v>
      </c>
      <c r="AM1369" s="4" t="s">
        <v>205</v>
      </c>
    </row>
    <row r="1370" customFormat="false" ht="23.85" hidden="false" customHeight="false" outlineLevel="0" collapsed="false">
      <c r="A1370" s="4" t="s">
        <v>167</v>
      </c>
      <c r="B1370" s="4" t="s">
        <v>1547</v>
      </c>
      <c r="C1370" s="4" t="s">
        <v>1547</v>
      </c>
      <c r="D1370" s="12" t="n">
        <v>2023</v>
      </c>
      <c r="E1370" s="4"/>
      <c r="F1370" s="4" t="s">
        <v>169</v>
      </c>
      <c r="G1370" s="4" t="s">
        <v>170</v>
      </c>
      <c r="H1370" s="4" t="s">
        <v>171</v>
      </c>
      <c r="I1370" s="4" t="s">
        <v>172</v>
      </c>
      <c r="J1370" s="4" t="s">
        <v>1547</v>
      </c>
      <c r="K1370" s="4" t="s">
        <v>86</v>
      </c>
      <c r="L1370" s="4" t="s">
        <v>87</v>
      </c>
      <c r="M1370" s="4"/>
      <c r="N1370" s="4"/>
      <c r="O1370" s="4"/>
      <c r="P1370" s="4"/>
      <c r="Q1370" s="4"/>
      <c r="R1370" s="4"/>
      <c r="S1370" s="13" t="n">
        <v>0</v>
      </c>
      <c r="T1370" s="4" t="s">
        <v>173</v>
      </c>
      <c r="U1370" s="14" t="n">
        <f aca="false">IF(OR($S1370="",PARAMETROS!$B$4=""),"",$S1370*PARAMETROS!$B$4)</f>
        <v>0</v>
      </c>
      <c r="V1370" s="13" t="n">
        <v>0</v>
      </c>
      <c r="W1370" s="4"/>
      <c r="X1370" s="4"/>
      <c r="Y1370" s="4"/>
      <c r="Z1370" s="4"/>
      <c r="AA1370" s="4"/>
      <c r="AB1370" s="4"/>
      <c r="AC1370" s="4"/>
      <c r="AD1370" s="4"/>
      <c r="AE1370" s="4"/>
      <c r="AF1370" s="4"/>
      <c r="AG1370" s="4"/>
      <c r="AH1370" s="4"/>
      <c r="AI1370" s="4"/>
      <c r="AJ1370" s="4"/>
      <c r="AK1370" s="4"/>
      <c r="AL1370" s="4" t="s">
        <v>174</v>
      </c>
      <c r="AM1370" s="4" t="s">
        <v>205</v>
      </c>
    </row>
    <row r="1371" customFormat="false" ht="23.85" hidden="false" customHeight="false" outlineLevel="0" collapsed="false">
      <c r="A1371" s="4" t="s">
        <v>167</v>
      </c>
      <c r="B1371" s="4" t="s">
        <v>1548</v>
      </c>
      <c r="C1371" s="4" t="s">
        <v>1548</v>
      </c>
      <c r="D1371" s="12" t="n">
        <v>2023</v>
      </c>
      <c r="E1371" s="4"/>
      <c r="F1371" s="4" t="s">
        <v>169</v>
      </c>
      <c r="G1371" s="4" t="s">
        <v>170</v>
      </c>
      <c r="H1371" s="4" t="s">
        <v>171</v>
      </c>
      <c r="I1371" s="4" t="s">
        <v>172</v>
      </c>
      <c r="J1371" s="4" t="s">
        <v>1548</v>
      </c>
      <c r="K1371" s="4" t="s">
        <v>86</v>
      </c>
      <c r="L1371" s="4" t="s">
        <v>87</v>
      </c>
      <c r="M1371" s="4"/>
      <c r="N1371" s="4"/>
      <c r="O1371" s="4"/>
      <c r="P1371" s="4"/>
      <c r="Q1371" s="4"/>
      <c r="R1371" s="4"/>
      <c r="S1371" s="13" t="n">
        <v>0</v>
      </c>
      <c r="T1371" s="4" t="s">
        <v>173</v>
      </c>
      <c r="U1371" s="14" t="n">
        <f aca="false">IF(OR($S1371="",PARAMETROS!$B$4=""),"",$S1371*PARAMETROS!$B$4)</f>
        <v>0</v>
      </c>
      <c r="V1371" s="13" t="n">
        <v>0</v>
      </c>
      <c r="W1371" s="4"/>
      <c r="X1371" s="4"/>
      <c r="Y1371" s="4"/>
      <c r="Z1371" s="4"/>
      <c r="AA1371" s="4"/>
      <c r="AB1371" s="4"/>
      <c r="AC1371" s="4"/>
      <c r="AD1371" s="4"/>
      <c r="AE1371" s="4"/>
      <c r="AF1371" s="4"/>
      <c r="AG1371" s="4"/>
      <c r="AH1371" s="4"/>
      <c r="AI1371" s="4"/>
      <c r="AJ1371" s="4"/>
      <c r="AK1371" s="4"/>
      <c r="AL1371" s="4" t="s">
        <v>174</v>
      </c>
      <c r="AM1371" s="4" t="s">
        <v>205</v>
      </c>
    </row>
    <row r="1372" customFormat="false" ht="23.85" hidden="false" customHeight="false" outlineLevel="0" collapsed="false">
      <c r="A1372" s="4" t="s">
        <v>167</v>
      </c>
      <c r="B1372" s="4" t="s">
        <v>1549</v>
      </c>
      <c r="C1372" s="4" t="s">
        <v>1549</v>
      </c>
      <c r="D1372" s="12" t="n">
        <v>2023</v>
      </c>
      <c r="E1372" s="4"/>
      <c r="F1372" s="4" t="s">
        <v>169</v>
      </c>
      <c r="G1372" s="4" t="s">
        <v>170</v>
      </c>
      <c r="H1372" s="4" t="s">
        <v>171</v>
      </c>
      <c r="I1372" s="4" t="s">
        <v>172</v>
      </c>
      <c r="J1372" s="4" t="s">
        <v>1549</v>
      </c>
      <c r="K1372" s="4" t="s">
        <v>86</v>
      </c>
      <c r="L1372" s="4" t="s">
        <v>87</v>
      </c>
      <c r="M1372" s="4"/>
      <c r="N1372" s="4"/>
      <c r="O1372" s="4"/>
      <c r="P1372" s="4"/>
      <c r="Q1372" s="4"/>
      <c r="R1372" s="4"/>
      <c r="S1372" s="13" t="n">
        <v>0</v>
      </c>
      <c r="T1372" s="4" t="s">
        <v>173</v>
      </c>
      <c r="U1372" s="14" t="n">
        <f aca="false">IF(OR($S1372="",PARAMETROS!$B$4=""),"",$S1372*PARAMETROS!$B$4)</f>
        <v>0</v>
      </c>
      <c r="V1372" s="13" t="n">
        <v>0</v>
      </c>
      <c r="W1372" s="4"/>
      <c r="X1372" s="4"/>
      <c r="Y1372" s="4"/>
      <c r="Z1372" s="4"/>
      <c r="AA1372" s="4"/>
      <c r="AB1372" s="4"/>
      <c r="AC1372" s="4"/>
      <c r="AD1372" s="4"/>
      <c r="AE1372" s="4"/>
      <c r="AF1372" s="4"/>
      <c r="AG1372" s="4"/>
      <c r="AH1372" s="4"/>
      <c r="AI1372" s="4"/>
      <c r="AJ1372" s="4"/>
      <c r="AK1372" s="4"/>
      <c r="AL1372" s="4" t="s">
        <v>174</v>
      </c>
      <c r="AM1372" s="4" t="s">
        <v>205</v>
      </c>
    </row>
    <row r="1373" customFormat="false" ht="23.85" hidden="false" customHeight="false" outlineLevel="0" collapsed="false">
      <c r="A1373" s="4" t="s">
        <v>167</v>
      </c>
      <c r="B1373" s="4" t="s">
        <v>1550</v>
      </c>
      <c r="C1373" s="4" t="s">
        <v>1550</v>
      </c>
      <c r="D1373" s="12" t="n">
        <v>2023</v>
      </c>
      <c r="E1373" s="4"/>
      <c r="F1373" s="4" t="s">
        <v>169</v>
      </c>
      <c r="G1373" s="4" t="s">
        <v>170</v>
      </c>
      <c r="H1373" s="4" t="s">
        <v>171</v>
      </c>
      <c r="I1373" s="4" t="s">
        <v>172</v>
      </c>
      <c r="J1373" s="4" t="s">
        <v>1550</v>
      </c>
      <c r="K1373" s="4" t="s">
        <v>86</v>
      </c>
      <c r="L1373" s="4" t="s">
        <v>87</v>
      </c>
      <c r="M1373" s="4"/>
      <c r="N1373" s="4"/>
      <c r="O1373" s="4"/>
      <c r="P1373" s="4"/>
      <c r="Q1373" s="4"/>
      <c r="R1373" s="4"/>
      <c r="S1373" s="13" t="n">
        <v>0</v>
      </c>
      <c r="T1373" s="4" t="s">
        <v>173</v>
      </c>
      <c r="U1373" s="14" t="n">
        <f aca="false">IF(OR($S1373="",PARAMETROS!$B$4=""),"",$S1373*PARAMETROS!$B$4)</f>
        <v>0</v>
      </c>
      <c r="V1373" s="13" t="n">
        <v>0</v>
      </c>
      <c r="W1373" s="4"/>
      <c r="X1373" s="4"/>
      <c r="Y1373" s="4"/>
      <c r="Z1373" s="4"/>
      <c r="AA1373" s="4"/>
      <c r="AB1373" s="4"/>
      <c r="AC1373" s="4"/>
      <c r="AD1373" s="4"/>
      <c r="AE1373" s="4"/>
      <c r="AF1373" s="4"/>
      <c r="AG1373" s="4"/>
      <c r="AH1373" s="4"/>
      <c r="AI1373" s="4"/>
      <c r="AJ1373" s="4"/>
      <c r="AK1373" s="4"/>
      <c r="AL1373" s="4" t="s">
        <v>174</v>
      </c>
      <c r="AM1373" s="4" t="s">
        <v>205</v>
      </c>
    </row>
    <row r="1374" customFormat="false" ht="23.85" hidden="false" customHeight="false" outlineLevel="0" collapsed="false">
      <c r="A1374" s="4" t="s">
        <v>167</v>
      </c>
      <c r="B1374" s="4" t="s">
        <v>1551</v>
      </c>
      <c r="C1374" s="4" t="s">
        <v>1551</v>
      </c>
      <c r="D1374" s="12" t="n">
        <v>2023</v>
      </c>
      <c r="E1374" s="4"/>
      <c r="F1374" s="4" t="s">
        <v>169</v>
      </c>
      <c r="G1374" s="4" t="s">
        <v>170</v>
      </c>
      <c r="H1374" s="4" t="s">
        <v>171</v>
      </c>
      <c r="I1374" s="4" t="s">
        <v>172</v>
      </c>
      <c r="J1374" s="4" t="s">
        <v>1551</v>
      </c>
      <c r="K1374" s="4" t="s">
        <v>88</v>
      </c>
      <c r="L1374" s="4" t="s">
        <v>89</v>
      </c>
      <c r="M1374" s="4"/>
      <c r="N1374" s="4"/>
      <c r="O1374" s="4"/>
      <c r="P1374" s="4"/>
      <c r="Q1374" s="4"/>
      <c r="R1374" s="4"/>
      <c r="S1374" s="13" t="n">
        <v>152.7</v>
      </c>
      <c r="T1374" s="4" t="s">
        <v>173</v>
      </c>
      <c r="U1374" s="14" t="n">
        <f aca="false">IF(OR($S1374="",PARAMETROS!$B$4=""),"",$S1374*PARAMETROS!$B$4)</f>
        <v>887.187</v>
      </c>
      <c r="V1374" s="13" t="n">
        <v>0</v>
      </c>
      <c r="W1374" s="4"/>
      <c r="X1374" s="4"/>
      <c r="Y1374" s="4"/>
      <c r="Z1374" s="4"/>
      <c r="AA1374" s="4"/>
      <c r="AB1374" s="4"/>
      <c r="AC1374" s="4"/>
      <c r="AD1374" s="4"/>
      <c r="AE1374" s="4"/>
      <c r="AF1374" s="4"/>
      <c r="AG1374" s="4"/>
      <c r="AH1374" s="4"/>
      <c r="AI1374" s="4"/>
      <c r="AJ1374" s="4"/>
      <c r="AK1374" s="4"/>
      <c r="AL1374" s="4" t="s">
        <v>174</v>
      </c>
      <c r="AM1374" s="4" t="s">
        <v>190</v>
      </c>
    </row>
    <row r="1375" customFormat="false" ht="23.85" hidden="false" customHeight="false" outlineLevel="0" collapsed="false">
      <c r="A1375" s="4" t="s">
        <v>167</v>
      </c>
      <c r="B1375" s="4" t="s">
        <v>1552</v>
      </c>
      <c r="C1375" s="4" t="s">
        <v>1552</v>
      </c>
      <c r="D1375" s="12" t="n">
        <v>2023</v>
      </c>
      <c r="E1375" s="4"/>
      <c r="F1375" s="4" t="s">
        <v>169</v>
      </c>
      <c r="G1375" s="4" t="s">
        <v>170</v>
      </c>
      <c r="H1375" s="4" t="s">
        <v>171</v>
      </c>
      <c r="I1375" s="4" t="s">
        <v>172</v>
      </c>
      <c r="J1375" s="4" t="s">
        <v>1552</v>
      </c>
      <c r="K1375" s="4" t="s">
        <v>88</v>
      </c>
      <c r="L1375" s="4" t="s">
        <v>89</v>
      </c>
      <c r="M1375" s="4"/>
      <c r="N1375" s="4"/>
      <c r="O1375" s="4"/>
      <c r="P1375" s="4"/>
      <c r="Q1375" s="4"/>
      <c r="R1375" s="4"/>
      <c r="S1375" s="13" t="n">
        <v>0</v>
      </c>
      <c r="T1375" s="4" t="s">
        <v>173</v>
      </c>
      <c r="U1375" s="14" t="n">
        <f aca="false">IF(OR($S1375="",PARAMETROS!$B$4=""),"",$S1375*PARAMETROS!$B$4)</f>
        <v>0</v>
      </c>
      <c r="V1375" s="13" t="n">
        <v>0</v>
      </c>
      <c r="W1375" s="4"/>
      <c r="X1375" s="4"/>
      <c r="Y1375" s="4"/>
      <c r="Z1375" s="4"/>
      <c r="AA1375" s="4"/>
      <c r="AB1375" s="4"/>
      <c r="AC1375" s="4"/>
      <c r="AD1375" s="4"/>
      <c r="AE1375" s="4"/>
      <c r="AF1375" s="4"/>
      <c r="AG1375" s="4"/>
      <c r="AH1375" s="4"/>
      <c r="AI1375" s="4"/>
      <c r="AJ1375" s="4"/>
      <c r="AK1375" s="4"/>
      <c r="AL1375" s="4" t="s">
        <v>174</v>
      </c>
      <c r="AM1375" s="4" t="s">
        <v>190</v>
      </c>
    </row>
    <row r="1376" customFormat="false" ht="23.85" hidden="false" customHeight="false" outlineLevel="0" collapsed="false">
      <c r="A1376" s="4" t="s">
        <v>167</v>
      </c>
      <c r="B1376" s="4" t="s">
        <v>1553</v>
      </c>
      <c r="C1376" s="4" t="s">
        <v>1553</v>
      </c>
      <c r="D1376" s="12" t="n">
        <v>2023</v>
      </c>
      <c r="E1376" s="4"/>
      <c r="F1376" s="4" t="s">
        <v>169</v>
      </c>
      <c r="G1376" s="4" t="s">
        <v>170</v>
      </c>
      <c r="H1376" s="4" t="s">
        <v>171</v>
      </c>
      <c r="I1376" s="4" t="s">
        <v>172</v>
      </c>
      <c r="J1376" s="4" t="s">
        <v>1553</v>
      </c>
      <c r="K1376" s="4" t="s">
        <v>88</v>
      </c>
      <c r="L1376" s="4" t="s">
        <v>89</v>
      </c>
      <c r="M1376" s="4"/>
      <c r="N1376" s="4"/>
      <c r="O1376" s="4"/>
      <c r="P1376" s="4"/>
      <c r="Q1376" s="4"/>
      <c r="R1376" s="4"/>
      <c r="S1376" s="13" t="n">
        <v>0</v>
      </c>
      <c r="T1376" s="4" t="s">
        <v>173</v>
      </c>
      <c r="U1376" s="14" t="n">
        <f aca="false">IF(OR($S1376="",PARAMETROS!$B$4=""),"",$S1376*PARAMETROS!$B$4)</f>
        <v>0</v>
      </c>
      <c r="V1376" s="13" t="n">
        <v>0</v>
      </c>
      <c r="W1376" s="4"/>
      <c r="X1376" s="4"/>
      <c r="Y1376" s="4"/>
      <c r="Z1376" s="4"/>
      <c r="AA1376" s="4"/>
      <c r="AB1376" s="4"/>
      <c r="AC1376" s="4"/>
      <c r="AD1376" s="4"/>
      <c r="AE1376" s="4"/>
      <c r="AF1376" s="4"/>
      <c r="AG1376" s="4"/>
      <c r="AH1376" s="4"/>
      <c r="AI1376" s="4"/>
      <c r="AJ1376" s="4"/>
      <c r="AK1376" s="4"/>
      <c r="AL1376" s="4" t="s">
        <v>174</v>
      </c>
      <c r="AM1376" s="4" t="s">
        <v>190</v>
      </c>
    </row>
    <row r="1377" customFormat="false" ht="23.85" hidden="false" customHeight="false" outlineLevel="0" collapsed="false">
      <c r="A1377" s="4" t="s">
        <v>167</v>
      </c>
      <c r="B1377" s="4" t="s">
        <v>1554</v>
      </c>
      <c r="C1377" s="4" t="s">
        <v>1554</v>
      </c>
      <c r="D1377" s="12" t="n">
        <v>2023</v>
      </c>
      <c r="E1377" s="4"/>
      <c r="F1377" s="4" t="s">
        <v>169</v>
      </c>
      <c r="G1377" s="4" t="s">
        <v>170</v>
      </c>
      <c r="H1377" s="4" t="s">
        <v>171</v>
      </c>
      <c r="I1377" s="4" t="s">
        <v>172</v>
      </c>
      <c r="J1377" s="4" t="s">
        <v>1554</v>
      </c>
      <c r="K1377" s="4" t="s">
        <v>88</v>
      </c>
      <c r="L1377" s="4" t="s">
        <v>89</v>
      </c>
      <c r="M1377" s="4"/>
      <c r="N1377" s="4"/>
      <c r="O1377" s="4"/>
      <c r="P1377" s="4"/>
      <c r="Q1377" s="4"/>
      <c r="R1377" s="4"/>
      <c r="S1377" s="13" t="n">
        <v>0</v>
      </c>
      <c r="T1377" s="4" t="s">
        <v>173</v>
      </c>
      <c r="U1377" s="14" t="n">
        <f aca="false">IF(OR($S1377="",PARAMETROS!$B$4=""),"",$S1377*PARAMETROS!$B$4)</f>
        <v>0</v>
      </c>
      <c r="V1377" s="13" t="n">
        <v>0</v>
      </c>
      <c r="W1377" s="4"/>
      <c r="X1377" s="4"/>
      <c r="Y1377" s="4"/>
      <c r="Z1377" s="4"/>
      <c r="AA1377" s="4"/>
      <c r="AB1377" s="4"/>
      <c r="AC1377" s="4"/>
      <c r="AD1377" s="4"/>
      <c r="AE1377" s="4"/>
      <c r="AF1377" s="4"/>
      <c r="AG1377" s="4"/>
      <c r="AH1377" s="4"/>
      <c r="AI1377" s="4"/>
      <c r="AJ1377" s="4"/>
      <c r="AK1377" s="4"/>
      <c r="AL1377" s="4" t="s">
        <v>174</v>
      </c>
      <c r="AM1377" s="4" t="s">
        <v>190</v>
      </c>
    </row>
    <row r="1378" customFormat="false" ht="23.85" hidden="false" customHeight="false" outlineLevel="0" collapsed="false">
      <c r="A1378" s="4" t="s">
        <v>167</v>
      </c>
      <c r="B1378" s="4" t="s">
        <v>1555</v>
      </c>
      <c r="C1378" s="4" t="s">
        <v>1555</v>
      </c>
      <c r="D1378" s="12" t="n">
        <v>2023</v>
      </c>
      <c r="E1378" s="4"/>
      <c r="F1378" s="4" t="s">
        <v>169</v>
      </c>
      <c r="G1378" s="4" t="s">
        <v>170</v>
      </c>
      <c r="H1378" s="4" t="s">
        <v>171</v>
      </c>
      <c r="I1378" s="4" t="s">
        <v>172</v>
      </c>
      <c r="J1378" s="4" t="s">
        <v>1555</v>
      </c>
      <c r="K1378" s="4" t="s">
        <v>88</v>
      </c>
      <c r="L1378" s="4" t="s">
        <v>89</v>
      </c>
      <c r="M1378" s="4"/>
      <c r="N1378" s="4"/>
      <c r="O1378" s="4"/>
      <c r="P1378" s="4"/>
      <c r="Q1378" s="4"/>
      <c r="R1378" s="4"/>
      <c r="S1378" s="13" t="n">
        <v>0</v>
      </c>
      <c r="T1378" s="4" t="s">
        <v>173</v>
      </c>
      <c r="U1378" s="14" t="n">
        <f aca="false">IF(OR($S1378="",PARAMETROS!$B$4=""),"",$S1378*PARAMETROS!$B$4)</f>
        <v>0</v>
      </c>
      <c r="V1378" s="13" t="n">
        <v>0</v>
      </c>
      <c r="W1378" s="4"/>
      <c r="X1378" s="4"/>
      <c r="Y1378" s="4"/>
      <c r="Z1378" s="4"/>
      <c r="AA1378" s="4"/>
      <c r="AB1378" s="4"/>
      <c r="AC1378" s="4"/>
      <c r="AD1378" s="4"/>
      <c r="AE1378" s="4"/>
      <c r="AF1378" s="4"/>
      <c r="AG1378" s="4"/>
      <c r="AH1378" s="4"/>
      <c r="AI1378" s="4"/>
      <c r="AJ1378" s="4"/>
      <c r="AK1378" s="4"/>
      <c r="AL1378" s="4" t="s">
        <v>174</v>
      </c>
      <c r="AM1378" s="4" t="s">
        <v>190</v>
      </c>
    </row>
    <row r="1379" customFormat="false" ht="23.85" hidden="false" customHeight="false" outlineLevel="0" collapsed="false">
      <c r="A1379" s="4" t="s">
        <v>167</v>
      </c>
      <c r="B1379" s="4" t="s">
        <v>1556</v>
      </c>
      <c r="C1379" s="4" t="s">
        <v>1556</v>
      </c>
      <c r="D1379" s="12" t="n">
        <v>2023</v>
      </c>
      <c r="E1379" s="4"/>
      <c r="F1379" s="4" t="s">
        <v>169</v>
      </c>
      <c r="G1379" s="4" t="s">
        <v>170</v>
      </c>
      <c r="H1379" s="4" t="s">
        <v>171</v>
      </c>
      <c r="I1379" s="4" t="s">
        <v>172</v>
      </c>
      <c r="J1379" s="4" t="s">
        <v>1556</v>
      </c>
      <c r="K1379" s="4" t="s">
        <v>88</v>
      </c>
      <c r="L1379" s="4" t="s">
        <v>89</v>
      </c>
      <c r="M1379" s="4"/>
      <c r="N1379" s="4"/>
      <c r="O1379" s="4"/>
      <c r="P1379" s="4"/>
      <c r="Q1379" s="4"/>
      <c r="R1379" s="4"/>
      <c r="S1379" s="13" t="n">
        <v>-152.7</v>
      </c>
      <c r="T1379" s="4" t="s">
        <v>173</v>
      </c>
      <c r="U1379" s="14" t="n">
        <f aca="false">IF(OR($S1379="",PARAMETROS!$B$4=""),"",$S1379*PARAMETROS!$B$4)</f>
        <v>-887.187</v>
      </c>
      <c r="V1379" s="13" t="n">
        <v>0</v>
      </c>
      <c r="W1379" s="4"/>
      <c r="X1379" s="4"/>
      <c r="Y1379" s="4"/>
      <c r="Z1379" s="4"/>
      <c r="AA1379" s="4"/>
      <c r="AB1379" s="4"/>
      <c r="AC1379" s="4"/>
      <c r="AD1379" s="4"/>
      <c r="AE1379" s="4"/>
      <c r="AF1379" s="4"/>
      <c r="AG1379" s="4"/>
      <c r="AH1379" s="4"/>
      <c r="AI1379" s="4"/>
      <c r="AJ1379" s="4"/>
      <c r="AK1379" s="4"/>
      <c r="AL1379" s="4" t="s">
        <v>174</v>
      </c>
      <c r="AM1379" s="4" t="s">
        <v>190</v>
      </c>
    </row>
    <row r="1380" customFormat="false" ht="23.85" hidden="false" customHeight="false" outlineLevel="0" collapsed="false">
      <c r="A1380" s="4" t="s">
        <v>167</v>
      </c>
      <c r="B1380" s="4" t="s">
        <v>1557</v>
      </c>
      <c r="C1380" s="4" t="s">
        <v>1557</v>
      </c>
      <c r="D1380" s="12" t="n">
        <v>2023</v>
      </c>
      <c r="E1380" s="4"/>
      <c r="F1380" s="4" t="s">
        <v>169</v>
      </c>
      <c r="G1380" s="4" t="s">
        <v>170</v>
      </c>
      <c r="H1380" s="4" t="s">
        <v>171</v>
      </c>
      <c r="I1380" s="4" t="s">
        <v>172</v>
      </c>
      <c r="J1380" s="4" t="s">
        <v>1557</v>
      </c>
      <c r="K1380" s="4" t="s">
        <v>88</v>
      </c>
      <c r="L1380" s="4" t="s">
        <v>89</v>
      </c>
      <c r="M1380" s="4"/>
      <c r="N1380" s="4"/>
      <c r="O1380" s="4"/>
      <c r="P1380" s="4"/>
      <c r="Q1380" s="4"/>
      <c r="R1380" s="4"/>
      <c r="S1380" s="13" t="n">
        <v>0</v>
      </c>
      <c r="T1380" s="4" t="s">
        <v>173</v>
      </c>
      <c r="U1380" s="14" t="n">
        <f aca="false">IF(OR($S1380="",PARAMETROS!$B$4=""),"",$S1380*PARAMETROS!$B$4)</f>
        <v>0</v>
      </c>
      <c r="V1380" s="13" t="n">
        <v>0</v>
      </c>
      <c r="W1380" s="4"/>
      <c r="X1380" s="4"/>
      <c r="Y1380" s="4"/>
      <c r="Z1380" s="4"/>
      <c r="AA1380" s="4"/>
      <c r="AB1380" s="4"/>
      <c r="AC1380" s="4"/>
      <c r="AD1380" s="4"/>
      <c r="AE1380" s="4"/>
      <c r="AF1380" s="4"/>
      <c r="AG1380" s="4"/>
      <c r="AH1380" s="4"/>
      <c r="AI1380" s="4"/>
      <c r="AJ1380" s="4"/>
      <c r="AK1380" s="4"/>
      <c r="AL1380" s="4" t="s">
        <v>174</v>
      </c>
      <c r="AM1380" s="4" t="s">
        <v>190</v>
      </c>
    </row>
    <row r="1381" customFormat="false" ht="23.85" hidden="false" customHeight="false" outlineLevel="0" collapsed="false">
      <c r="A1381" s="4" t="s">
        <v>167</v>
      </c>
      <c r="B1381" s="4" t="s">
        <v>1558</v>
      </c>
      <c r="C1381" s="4" t="s">
        <v>1558</v>
      </c>
      <c r="D1381" s="12" t="n">
        <v>2023</v>
      </c>
      <c r="E1381" s="4"/>
      <c r="F1381" s="4" t="s">
        <v>169</v>
      </c>
      <c r="G1381" s="4" t="s">
        <v>170</v>
      </c>
      <c r="H1381" s="4" t="s">
        <v>171</v>
      </c>
      <c r="I1381" s="4" t="s">
        <v>172</v>
      </c>
      <c r="J1381" s="4" t="s">
        <v>1558</v>
      </c>
      <c r="K1381" s="4" t="s">
        <v>88</v>
      </c>
      <c r="L1381" s="4" t="s">
        <v>89</v>
      </c>
      <c r="M1381" s="4"/>
      <c r="N1381" s="4"/>
      <c r="O1381" s="4"/>
      <c r="P1381" s="4"/>
      <c r="Q1381" s="4"/>
      <c r="R1381" s="4"/>
      <c r="S1381" s="13" t="n">
        <v>0</v>
      </c>
      <c r="T1381" s="4" t="s">
        <v>173</v>
      </c>
      <c r="U1381" s="14" t="n">
        <f aca="false">IF(OR($S1381="",PARAMETROS!$B$4=""),"",$S1381*PARAMETROS!$B$4)</f>
        <v>0</v>
      </c>
      <c r="V1381" s="13" t="n">
        <v>0</v>
      </c>
      <c r="W1381" s="4"/>
      <c r="X1381" s="4"/>
      <c r="Y1381" s="4"/>
      <c r="Z1381" s="4"/>
      <c r="AA1381" s="4"/>
      <c r="AB1381" s="4"/>
      <c r="AC1381" s="4"/>
      <c r="AD1381" s="4"/>
      <c r="AE1381" s="4"/>
      <c r="AF1381" s="4"/>
      <c r="AG1381" s="4"/>
      <c r="AH1381" s="4"/>
      <c r="AI1381" s="4"/>
      <c r="AJ1381" s="4"/>
      <c r="AK1381" s="4"/>
      <c r="AL1381" s="4" t="s">
        <v>174</v>
      </c>
      <c r="AM1381" s="4" t="s">
        <v>190</v>
      </c>
    </row>
    <row r="1382" customFormat="false" ht="23.85" hidden="false" customHeight="false" outlineLevel="0" collapsed="false">
      <c r="A1382" s="4" t="s">
        <v>167</v>
      </c>
      <c r="B1382" s="4" t="s">
        <v>1559</v>
      </c>
      <c r="C1382" s="4" t="s">
        <v>1559</v>
      </c>
      <c r="D1382" s="12" t="n">
        <v>2023</v>
      </c>
      <c r="E1382" s="4"/>
      <c r="F1382" s="4" t="s">
        <v>169</v>
      </c>
      <c r="G1382" s="4" t="s">
        <v>170</v>
      </c>
      <c r="H1382" s="4" t="s">
        <v>171</v>
      </c>
      <c r="I1382" s="4" t="s">
        <v>172</v>
      </c>
      <c r="J1382" s="4" t="s">
        <v>1559</v>
      </c>
      <c r="K1382" s="4" t="s">
        <v>88</v>
      </c>
      <c r="L1382" s="4" t="s">
        <v>89</v>
      </c>
      <c r="M1382" s="4"/>
      <c r="N1382" s="4"/>
      <c r="O1382" s="4"/>
      <c r="P1382" s="4"/>
      <c r="Q1382" s="4"/>
      <c r="R1382" s="4"/>
      <c r="S1382" s="13" t="n">
        <v>0</v>
      </c>
      <c r="T1382" s="4" t="s">
        <v>173</v>
      </c>
      <c r="U1382" s="14" t="n">
        <f aca="false">IF(OR($S1382="",PARAMETROS!$B$4=""),"",$S1382*PARAMETROS!$B$4)</f>
        <v>0</v>
      </c>
      <c r="V1382" s="13" t="n">
        <v>0</v>
      </c>
      <c r="W1382" s="4"/>
      <c r="X1382" s="4"/>
      <c r="Y1382" s="4"/>
      <c r="Z1382" s="4"/>
      <c r="AA1382" s="4"/>
      <c r="AB1382" s="4"/>
      <c r="AC1382" s="4"/>
      <c r="AD1382" s="4"/>
      <c r="AE1382" s="4"/>
      <c r="AF1382" s="4"/>
      <c r="AG1382" s="4"/>
      <c r="AH1382" s="4"/>
      <c r="AI1382" s="4"/>
      <c r="AJ1382" s="4"/>
      <c r="AK1382" s="4"/>
      <c r="AL1382" s="4" t="s">
        <v>174</v>
      </c>
      <c r="AM1382" s="4" t="s">
        <v>190</v>
      </c>
    </row>
    <row r="1383" customFormat="false" ht="23.85" hidden="false" customHeight="false" outlineLevel="0" collapsed="false">
      <c r="A1383" s="4" t="s">
        <v>167</v>
      </c>
      <c r="B1383" s="4" t="s">
        <v>1560</v>
      </c>
      <c r="C1383" s="4" t="s">
        <v>1560</v>
      </c>
      <c r="D1383" s="12" t="n">
        <v>2023</v>
      </c>
      <c r="E1383" s="4"/>
      <c r="F1383" s="4" t="s">
        <v>169</v>
      </c>
      <c r="G1383" s="4" t="s">
        <v>170</v>
      </c>
      <c r="H1383" s="4" t="s">
        <v>171</v>
      </c>
      <c r="I1383" s="4" t="s">
        <v>172</v>
      </c>
      <c r="J1383" s="4" t="s">
        <v>1560</v>
      </c>
      <c r="K1383" s="4" t="s">
        <v>88</v>
      </c>
      <c r="L1383" s="4" t="s">
        <v>89</v>
      </c>
      <c r="M1383" s="4"/>
      <c r="N1383" s="4"/>
      <c r="O1383" s="4"/>
      <c r="P1383" s="4"/>
      <c r="Q1383" s="4"/>
      <c r="R1383" s="4"/>
      <c r="S1383" s="13" t="n">
        <v>0</v>
      </c>
      <c r="T1383" s="4" t="s">
        <v>173</v>
      </c>
      <c r="U1383" s="14" t="n">
        <f aca="false">IF(OR($S1383="",PARAMETROS!$B$4=""),"",$S1383*PARAMETROS!$B$4)</f>
        <v>0</v>
      </c>
      <c r="V1383" s="13" t="n">
        <v>0</v>
      </c>
      <c r="W1383" s="4"/>
      <c r="X1383" s="4"/>
      <c r="Y1383" s="4"/>
      <c r="Z1383" s="4"/>
      <c r="AA1383" s="4"/>
      <c r="AB1383" s="4"/>
      <c r="AC1383" s="4"/>
      <c r="AD1383" s="4"/>
      <c r="AE1383" s="4"/>
      <c r="AF1383" s="4"/>
      <c r="AG1383" s="4"/>
      <c r="AH1383" s="4"/>
      <c r="AI1383" s="4"/>
      <c r="AJ1383" s="4"/>
      <c r="AK1383" s="4"/>
      <c r="AL1383" s="4" t="s">
        <v>174</v>
      </c>
      <c r="AM1383" s="4" t="s">
        <v>190</v>
      </c>
    </row>
    <row r="1384" customFormat="false" ht="23.85" hidden="false" customHeight="false" outlineLevel="0" collapsed="false">
      <c r="A1384" s="4" t="s">
        <v>167</v>
      </c>
      <c r="B1384" s="4" t="s">
        <v>1561</v>
      </c>
      <c r="C1384" s="4" t="s">
        <v>1561</v>
      </c>
      <c r="D1384" s="12" t="n">
        <v>2023</v>
      </c>
      <c r="E1384" s="4"/>
      <c r="F1384" s="4" t="s">
        <v>169</v>
      </c>
      <c r="G1384" s="4" t="s">
        <v>170</v>
      </c>
      <c r="H1384" s="4" t="s">
        <v>171</v>
      </c>
      <c r="I1384" s="4" t="s">
        <v>172</v>
      </c>
      <c r="J1384" s="4" t="s">
        <v>1561</v>
      </c>
      <c r="K1384" s="4" t="s">
        <v>88</v>
      </c>
      <c r="L1384" s="4" t="s">
        <v>89</v>
      </c>
      <c r="M1384" s="4"/>
      <c r="N1384" s="4"/>
      <c r="O1384" s="4"/>
      <c r="P1384" s="4"/>
      <c r="Q1384" s="4"/>
      <c r="R1384" s="4"/>
      <c r="S1384" s="13" t="n">
        <v>0</v>
      </c>
      <c r="T1384" s="4" t="s">
        <v>173</v>
      </c>
      <c r="U1384" s="14" t="n">
        <f aca="false">IF(OR($S1384="",PARAMETROS!$B$4=""),"",$S1384*PARAMETROS!$B$4)</f>
        <v>0</v>
      </c>
      <c r="V1384" s="13" t="n">
        <v>0</v>
      </c>
      <c r="W1384" s="4"/>
      <c r="X1384" s="4"/>
      <c r="Y1384" s="4"/>
      <c r="Z1384" s="4"/>
      <c r="AA1384" s="4"/>
      <c r="AB1384" s="4"/>
      <c r="AC1384" s="4"/>
      <c r="AD1384" s="4"/>
      <c r="AE1384" s="4"/>
      <c r="AF1384" s="4"/>
      <c r="AG1384" s="4"/>
      <c r="AH1384" s="4"/>
      <c r="AI1384" s="4"/>
      <c r="AJ1384" s="4"/>
      <c r="AK1384" s="4"/>
      <c r="AL1384" s="4" t="s">
        <v>174</v>
      </c>
      <c r="AM1384" s="4" t="s">
        <v>190</v>
      </c>
    </row>
    <row r="1385" customFormat="false" ht="23.85" hidden="false" customHeight="false" outlineLevel="0" collapsed="false">
      <c r="A1385" s="4" t="s">
        <v>167</v>
      </c>
      <c r="B1385" s="4" t="s">
        <v>1562</v>
      </c>
      <c r="C1385" s="4" t="s">
        <v>1562</v>
      </c>
      <c r="D1385" s="12" t="n">
        <v>2023</v>
      </c>
      <c r="E1385" s="4"/>
      <c r="F1385" s="4" t="s">
        <v>169</v>
      </c>
      <c r="G1385" s="4" t="s">
        <v>170</v>
      </c>
      <c r="H1385" s="4" t="s">
        <v>171</v>
      </c>
      <c r="I1385" s="4" t="s">
        <v>172</v>
      </c>
      <c r="J1385" s="4" t="s">
        <v>1562</v>
      </c>
      <c r="K1385" s="4" t="s">
        <v>88</v>
      </c>
      <c r="L1385" s="4" t="s">
        <v>89</v>
      </c>
      <c r="M1385" s="4"/>
      <c r="N1385" s="4"/>
      <c r="O1385" s="4"/>
      <c r="P1385" s="4"/>
      <c r="Q1385" s="4"/>
      <c r="R1385" s="4"/>
      <c r="S1385" s="13" t="n">
        <v>0</v>
      </c>
      <c r="T1385" s="4" t="s">
        <v>173</v>
      </c>
      <c r="U1385" s="14" t="n">
        <f aca="false">IF(OR($S1385="",PARAMETROS!$B$4=""),"",$S1385*PARAMETROS!$B$4)</f>
        <v>0</v>
      </c>
      <c r="V1385" s="13" t="n">
        <v>0</v>
      </c>
      <c r="W1385" s="4"/>
      <c r="X1385" s="4"/>
      <c r="Y1385" s="4"/>
      <c r="Z1385" s="4"/>
      <c r="AA1385" s="4"/>
      <c r="AB1385" s="4"/>
      <c r="AC1385" s="4"/>
      <c r="AD1385" s="4"/>
      <c r="AE1385" s="4"/>
      <c r="AF1385" s="4"/>
      <c r="AG1385" s="4"/>
      <c r="AH1385" s="4"/>
      <c r="AI1385" s="4"/>
      <c r="AJ1385" s="4"/>
      <c r="AK1385" s="4"/>
      <c r="AL1385" s="4" t="s">
        <v>174</v>
      </c>
      <c r="AM1385" s="4" t="s">
        <v>190</v>
      </c>
    </row>
    <row r="1386" customFormat="false" ht="23.85" hidden="false" customHeight="false" outlineLevel="0" collapsed="false">
      <c r="A1386" s="4" t="s">
        <v>167</v>
      </c>
      <c r="B1386" s="4" t="s">
        <v>1563</v>
      </c>
      <c r="C1386" s="4" t="s">
        <v>1563</v>
      </c>
      <c r="D1386" s="12" t="n">
        <v>2023</v>
      </c>
      <c r="E1386" s="4"/>
      <c r="F1386" s="4" t="s">
        <v>169</v>
      </c>
      <c r="G1386" s="4" t="s">
        <v>170</v>
      </c>
      <c r="H1386" s="4" t="s">
        <v>171</v>
      </c>
      <c r="I1386" s="4" t="s">
        <v>172</v>
      </c>
      <c r="J1386" s="4" t="s">
        <v>1563</v>
      </c>
      <c r="K1386" s="4" t="s">
        <v>88</v>
      </c>
      <c r="L1386" s="4" t="s">
        <v>89</v>
      </c>
      <c r="M1386" s="4"/>
      <c r="N1386" s="4"/>
      <c r="O1386" s="4"/>
      <c r="P1386" s="4"/>
      <c r="Q1386" s="4"/>
      <c r="R1386" s="4"/>
      <c r="S1386" s="13" t="n">
        <v>0</v>
      </c>
      <c r="T1386" s="4" t="s">
        <v>173</v>
      </c>
      <c r="U1386" s="14" t="n">
        <f aca="false">IF(OR($S1386="",PARAMETROS!$B$4=""),"",$S1386*PARAMETROS!$B$4)</f>
        <v>0</v>
      </c>
      <c r="V1386" s="13" t="n">
        <v>0</v>
      </c>
      <c r="W1386" s="4"/>
      <c r="X1386" s="4"/>
      <c r="Y1386" s="4"/>
      <c r="Z1386" s="4"/>
      <c r="AA1386" s="4"/>
      <c r="AB1386" s="4"/>
      <c r="AC1386" s="4"/>
      <c r="AD1386" s="4"/>
      <c r="AE1386" s="4"/>
      <c r="AF1386" s="4"/>
      <c r="AG1386" s="4"/>
      <c r="AH1386" s="4"/>
      <c r="AI1386" s="4"/>
      <c r="AJ1386" s="4"/>
      <c r="AK1386" s="4"/>
      <c r="AL1386" s="4" t="s">
        <v>174</v>
      </c>
      <c r="AM1386" s="4" t="s">
        <v>190</v>
      </c>
    </row>
    <row r="1387" customFormat="false" ht="23.85" hidden="false" customHeight="false" outlineLevel="0" collapsed="false">
      <c r="A1387" s="4" t="s">
        <v>167</v>
      </c>
      <c r="B1387" s="4" t="s">
        <v>1564</v>
      </c>
      <c r="C1387" s="4" t="s">
        <v>1564</v>
      </c>
      <c r="D1387" s="12" t="n">
        <v>2023</v>
      </c>
      <c r="E1387" s="4"/>
      <c r="F1387" s="4" t="s">
        <v>169</v>
      </c>
      <c r="G1387" s="4" t="s">
        <v>170</v>
      </c>
      <c r="H1387" s="4" t="s">
        <v>171</v>
      </c>
      <c r="I1387" s="4" t="s">
        <v>172</v>
      </c>
      <c r="J1387" s="4" t="s">
        <v>1564</v>
      </c>
      <c r="K1387" s="4" t="s">
        <v>88</v>
      </c>
      <c r="L1387" s="4" t="s">
        <v>89</v>
      </c>
      <c r="M1387" s="4"/>
      <c r="N1387" s="4"/>
      <c r="O1387" s="4"/>
      <c r="P1387" s="4"/>
      <c r="Q1387" s="4"/>
      <c r="R1387" s="4"/>
      <c r="S1387" s="13" t="n">
        <v>0</v>
      </c>
      <c r="T1387" s="4" t="s">
        <v>173</v>
      </c>
      <c r="U1387" s="14" t="n">
        <f aca="false">IF(OR($S1387="",PARAMETROS!$B$4=""),"",$S1387*PARAMETROS!$B$4)</f>
        <v>0</v>
      </c>
      <c r="V1387" s="13" t="n">
        <v>0</v>
      </c>
      <c r="W1387" s="4"/>
      <c r="X1387" s="4"/>
      <c r="Y1387" s="4"/>
      <c r="Z1387" s="4"/>
      <c r="AA1387" s="4"/>
      <c r="AB1387" s="4"/>
      <c r="AC1387" s="4"/>
      <c r="AD1387" s="4"/>
      <c r="AE1387" s="4"/>
      <c r="AF1387" s="4"/>
      <c r="AG1387" s="4"/>
      <c r="AH1387" s="4"/>
      <c r="AI1387" s="4"/>
      <c r="AJ1387" s="4"/>
      <c r="AK1387" s="4"/>
      <c r="AL1387" s="4" t="s">
        <v>174</v>
      </c>
      <c r="AM1387" s="4" t="s">
        <v>190</v>
      </c>
    </row>
    <row r="1388" customFormat="false" ht="23.85" hidden="false" customHeight="false" outlineLevel="0" collapsed="false">
      <c r="A1388" s="4" t="s">
        <v>167</v>
      </c>
      <c r="B1388" s="4" t="s">
        <v>1565</v>
      </c>
      <c r="C1388" s="4" t="s">
        <v>1565</v>
      </c>
      <c r="D1388" s="12" t="n">
        <v>2023</v>
      </c>
      <c r="E1388" s="4"/>
      <c r="F1388" s="4" t="s">
        <v>169</v>
      </c>
      <c r="G1388" s="4" t="s">
        <v>170</v>
      </c>
      <c r="H1388" s="4" t="s">
        <v>171</v>
      </c>
      <c r="I1388" s="4" t="s">
        <v>172</v>
      </c>
      <c r="J1388" s="4" t="s">
        <v>1565</v>
      </c>
      <c r="K1388" s="4" t="s">
        <v>95</v>
      </c>
      <c r="L1388" s="4" t="s">
        <v>96</v>
      </c>
      <c r="M1388" s="4"/>
      <c r="N1388" s="4"/>
      <c r="O1388" s="4"/>
      <c r="P1388" s="4"/>
      <c r="Q1388" s="4"/>
      <c r="R1388" s="4"/>
      <c r="S1388" s="13" t="n">
        <v>0</v>
      </c>
      <c r="T1388" s="4" t="s">
        <v>173</v>
      </c>
      <c r="U1388" s="14" t="n">
        <f aca="false">IF(OR($S1388="",PARAMETROS!$B$4=""),"",$S1388*PARAMETROS!$B$4)</f>
        <v>0</v>
      </c>
      <c r="V1388" s="13" t="n">
        <v>0</v>
      </c>
      <c r="W1388" s="4"/>
      <c r="X1388" s="4"/>
      <c r="Y1388" s="4"/>
      <c r="Z1388" s="4"/>
      <c r="AA1388" s="4"/>
      <c r="AB1388" s="4"/>
      <c r="AC1388" s="4"/>
      <c r="AD1388" s="4"/>
      <c r="AE1388" s="4"/>
      <c r="AF1388" s="4"/>
      <c r="AG1388" s="4"/>
      <c r="AH1388" s="4"/>
      <c r="AI1388" s="4"/>
      <c r="AJ1388" s="4"/>
      <c r="AK1388" s="4"/>
      <c r="AL1388" s="4" t="s">
        <v>174</v>
      </c>
      <c r="AM1388" s="4" t="s">
        <v>175</v>
      </c>
    </row>
    <row r="1389" customFormat="false" ht="23.85" hidden="false" customHeight="false" outlineLevel="0" collapsed="false">
      <c r="A1389" s="4" t="s">
        <v>167</v>
      </c>
      <c r="B1389" s="4" t="s">
        <v>1566</v>
      </c>
      <c r="C1389" s="4" t="s">
        <v>1566</v>
      </c>
      <c r="D1389" s="12" t="n">
        <v>2023</v>
      </c>
      <c r="E1389" s="4"/>
      <c r="F1389" s="4" t="s">
        <v>169</v>
      </c>
      <c r="G1389" s="4" t="s">
        <v>170</v>
      </c>
      <c r="H1389" s="4" t="s">
        <v>171</v>
      </c>
      <c r="I1389" s="4" t="s">
        <v>172</v>
      </c>
      <c r="J1389" s="4" t="s">
        <v>1566</v>
      </c>
      <c r="K1389" s="4" t="s">
        <v>95</v>
      </c>
      <c r="L1389" s="4" t="s">
        <v>96</v>
      </c>
      <c r="M1389" s="4"/>
      <c r="N1389" s="4"/>
      <c r="O1389" s="4"/>
      <c r="P1389" s="4"/>
      <c r="Q1389" s="4"/>
      <c r="R1389" s="4"/>
      <c r="S1389" s="13" t="n">
        <v>4287.02</v>
      </c>
      <c r="T1389" s="4" t="s">
        <v>173</v>
      </c>
      <c r="U1389" s="14" t="n">
        <f aca="false">IF(OR($S1389="",PARAMETROS!$B$4=""),"",$S1389*PARAMETROS!$B$4)</f>
        <v>24907.5862</v>
      </c>
      <c r="V1389" s="13" t="n">
        <v>0</v>
      </c>
      <c r="W1389" s="4"/>
      <c r="X1389" s="4"/>
      <c r="Y1389" s="4"/>
      <c r="Z1389" s="4"/>
      <c r="AA1389" s="4"/>
      <c r="AB1389" s="4"/>
      <c r="AC1389" s="4"/>
      <c r="AD1389" s="4"/>
      <c r="AE1389" s="4"/>
      <c r="AF1389" s="4"/>
      <c r="AG1389" s="4"/>
      <c r="AH1389" s="4"/>
      <c r="AI1389" s="4"/>
      <c r="AJ1389" s="4"/>
      <c r="AK1389" s="4"/>
      <c r="AL1389" s="4" t="s">
        <v>174</v>
      </c>
      <c r="AM1389" s="4" t="s">
        <v>175</v>
      </c>
    </row>
    <row r="1390" customFormat="false" ht="23.85" hidden="false" customHeight="false" outlineLevel="0" collapsed="false">
      <c r="A1390" s="4" t="s">
        <v>167</v>
      </c>
      <c r="B1390" s="4" t="s">
        <v>1567</v>
      </c>
      <c r="C1390" s="4" t="s">
        <v>1567</v>
      </c>
      <c r="D1390" s="12" t="n">
        <v>2023</v>
      </c>
      <c r="E1390" s="4"/>
      <c r="F1390" s="4" t="s">
        <v>169</v>
      </c>
      <c r="G1390" s="4" t="s">
        <v>170</v>
      </c>
      <c r="H1390" s="4" t="s">
        <v>171</v>
      </c>
      <c r="I1390" s="4" t="s">
        <v>172</v>
      </c>
      <c r="J1390" s="4" t="s">
        <v>1567</v>
      </c>
      <c r="K1390" s="4" t="s">
        <v>95</v>
      </c>
      <c r="L1390" s="4" t="s">
        <v>96</v>
      </c>
      <c r="M1390" s="4"/>
      <c r="N1390" s="4"/>
      <c r="O1390" s="4"/>
      <c r="P1390" s="4"/>
      <c r="Q1390" s="4"/>
      <c r="R1390" s="4"/>
      <c r="S1390" s="13" t="n">
        <v>0</v>
      </c>
      <c r="T1390" s="4" t="s">
        <v>173</v>
      </c>
      <c r="U1390" s="14" t="n">
        <f aca="false">IF(OR($S1390="",PARAMETROS!$B$4=""),"",$S1390*PARAMETROS!$B$4)</f>
        <v>0</v>
      </c>
      <c r="V1390" s="13" t="n">
        <v>0</v>
      </c>
      <c r="W1390" s="4"/>
      <c r="X1390" s="4"/>
      <c r="Y1390" s="4"/>
      <c r="Z1390" s="4"/>
      <c r="AA1390" s="4"/>
      <c r="AB1390" s="4"/>
      <c r="AC1390" s="4"/>
      <c r="AD1390" s="4"/>
      <c r="AE1390" s="4"/>
      <c r="AF1390" s="4"/>
      <c r="AG1390" s="4"/>
      <c r="AH1390" s="4"/>
      <c r="AI1390" s="4"/>
      <c r="AJ1390" s="4"/>
      <c r="AK1390" s="4"/>
      <c r="AL1390" s="4" t="s">
        <v>174</v>
      </c>
      <c r="AM1390" s="4" t="s">
        <v>175</v>
      </c>
    </row>
    <row r="1391" customFormat="false" ht="23.85" hidden="false" customHeight="false" outlineLevel="0" collapsed="false">
      <c r="A1391" s="4" t="s">
        <v>167</v>
      </c>
      <c r="B1391" s="4" t="s">
        <v>1568</v>
      </c>
      <c r="C1391" s="4" t="s">
        <v>1568</v>
      </c>
      <c r="D1391" s="12" t="n">
        <v>2023</v>
      </c>
      <c r="E1391" s="4"/>
      <c r="F1391" s="4" t="s">
        <v>169</v>
      </c>
      <c r="G1391" s="4" t="s">
        <v>170</v>
      </c>
      <c r="H1391" s="4" t="s">
        <v>171</v>
      </c>
      <c r="I1391" s="4" t="s">
        <v>172</v>
      </c>
      <c r="J1391" s="4" t="s">
        <v>1568</v>
      </c>
      <c r="K1391" s="4" t="s">
        <v>95</v>
      </c>
      <c r="L1391" s="4" t="s">
        <v>96</v>
      </c>
      <c r="M1391" s="4"/>
      <c r="N1391" s="4"/>
      <c r="O1391" s="4"/>
      <c r="P1391" s="4"/>
      <c r="Q1391" s="4"/>
      <c r="R1391" s="4"/>
      <c r="S1391" s="13" t="n">
        <v>22.58</v>
      </c>
      <c r="T1391" s="4" t="s">
        <v>173</v>
      </c>
      <c r="U1391" s="14" t="n">
        <f aca="false">IF(OR($S1391="",PARAMETROS!$B$4=""),"",$S1391*PARAMETROS!$B$4)</f>
        <v>131.1898</v>
      </c>
      <c r="V1391" s="13" t="n">
        <v>0</v>
      </c>
      <c r="W1391" s="4"/>
      <c r="X1391" s="4"/>
      <c r="Y1391" s="4"/>
      <c r="Z1391" s="4"/>
      <c r="AA1391" s="4"/>
      <c r="AB1391" s="4"/>
      <c r="AC1391" s="4"/>
      <c r="AD1391" s="4"/>
      <c r="AE1391" s="4"/>
      <c r="AF1391" s="4"/>
      <c r="AG1391" s="4"/>
      <c r="AH1391" s="4"/>
      <c r="AI1391" s="4"/>
      <c r="AJ1391" s="4"/>
      <c r="AK1391" s="4"/>
      <c r="AL1391" s="4" t="s">
        <v>174</v>
      </c>
      <c r="AM1391" s="4" t="s">
        <v>175</v>
      </c>
    </row>
    <row r="1392" customFormat="false" ht="23.85" hidden="false" customHeight="false" outlineLevel="0" collapsed="false">
      <c r="A1392" s="4" t="s">
        <v>167</v>
      </c>
      <c r="B1392" s="4" t="s">
        <v>1569</v>
      </c>
      <c r="C1392" s="4" t="s">
        <v>1569</v>
      </c>
      <c r="D1392" s="12" t="n">
        <v>2023</v>
      </c>
      <c r="E1392" s="4"/>
      <c r="F1392" s="4" t="s">
        <v>169</v>
      </c>
      <c r="G1392" s="4" t="s">
        <v>170</v>
      </c>
      <c r="H1392" s="4" t="s">
        <v>171</v>
      </c>
      <c r="I1392" s="4" t="s">
        <v>172</v>
      </c>
      <c r="J1392" s="4" t="s">
        <v>1569</v>
      </c>
      <c r="K1392" s="4" t="s">
        <v>95</v>
      </c>
      <c r="L1392" s="4" t="s">
        <v>96</v>
      </c>
      <c r="M1392" s="4"/>
      <c r="N1392" s="4"/>
      <c r="O1392" s="4"/>
      <c r="P1392" s="4"/>
      <c r="Q1392" s="4"/>
      <c r="R1392" s="4"/>
      <c r="S1392" s="13" t="n">
        <v>0</v>
      </c>
      <c r="T1392" s="4" t="s">
        <v>173</v>
      </c>
      <c r="U1392" s="14" t="n">
        <f aca="false">IF(OR($S1392="",PARAMETROS!$B$4=""),"",$S1392*PARAMETROS!$B$4)</f>
        <v>0</v>
      </c>
      <c r="V1392" s="13" t="n">
        <v>0</v>
      </c>
      <c r="W1392" s="4"/>
      <c r="X1392" s="4"/>
      <c r="Y1392" s="4"/>
      <c r="Z1392" s="4"/>
      <c r="AA1392" s="4"/>
      <c r="AB1392" s="4"/>
      <c r="AC1392" s="4"/>
      <c r="AD1392" s="4"/>
      <c r="AE1392" s="4"/>
      <c r="AF1392" s="4"/>
      <c r="AG1392" s="4"/>
      <c r="AH1392" s="4"/>
      <c r="AI1392" s="4"/>
      <c r="AJ1392" s="4"/>
      <c r="AK1392" s="4"/>
      <c r="AL1392" s="4" t="s">
        <v>174</v>
      </c>
      <c r="AM1392" s="4" t="s">
        <v>175</v>
      </c>
    </row>
    <row r="1393" customFormat="false" ht="23.85" hidden="false" customHeight="false" outlineLevel="0" collapsed="false">
      <c r="A1393" s="4" t="s">
        <v>167</v>
      </c>
      <c r="B1393" s="4" t="s">
        <v>1570</v>
      </c>
      <c r="C1393" s="4" t="s">
        <v>1570</v>
      </c>
      <c r="D1393" s="12" t="n">
        <v>2023</v>
      </c>
      <c r="E1393" s="4"/>
      <c r="F1393" s="4" t="s">
        <v>169</v>
      </c>
      <c r="G1393" s="4" t="s">
        <v>170</v>
      </c>
      <c r="H1393" s="4" t="s">
        <v>171</v>
      </c>
      <c r="I1393" s="4" t="s">
        <v>172</v>
      </c>
      <c r="J1393" s="4" t="s">
        <v>1570</v>
      </c>
      <c r="K1393" s="4" t="s">
        <v>95</v>
      </c>
      <c r="L1393" s="4" t="s">
        <v>96</v>
      </c>
      <c r="M1393" s="4"/>
      <c r="N1393" s="4"/>
      <c r="O1393" s="4"/>
      <c r="P1393" s="4"/>
      <c r="Q1393" s="4"/>
      <c r="R1393" s="4"/>
      <c r="S1393" s="13" t="n">
        <v>0</v>
      </c>
      <c r="T1393" s="4" t="s">
        <v>173</v>
      </c>
      <c r="U1393" s="14" t="n">
        <f aca="false">IF(OR($S1393="",PARAMETROS!$B$4=""),"",$S1393*PARAMETROS!$B$4)</f>
        <v>0</v>
      </c>
      <c r="V1393" s="13" t="n">
        <v>0</v>
      </c>
      <c r="W1393" s="4"/>
      <c r="X1393" s="4"/>
      <c r="Y1393" s="4"/>
      <c r="Z1393" s="4"/>
      <c r="AA1393" s="4"/>
      <c r="AB1393" s="4"/>
      <c r="AC1393" s="4"/>
      <c r="AD1393" s="4"/>
      <c r="AE1393" s="4"/>
      <c r="AF1393" s="4"/>
      <c r="AG1393" s="4"/>
      <c r="AH1393" s="4"/>
      <c r="AI1393" s="4"/>
      <c r="AJ1393" s="4"/>
      <c r="AK1393" s="4"/>
      <c r="AL1393" s="4" t="s">
        <v>174</v>
      </c>
      <c r="AM1393" s="4" t="s">
        <v>175</v>
      </c>
    </row>
    <row r="1394" customFormat="false" ht="23.85" hidden="false" customHeight="false" outlineLevel="0" collapsed="false">
      <c r="A1394" s="4" t="s">
        <v>167</v>
      </c>
      <c r="B1394" s="4" t="s">
        <v>1571</v>
      </c>
      <c r="C1394" s="4" t="s">
        <v>1571</v>
      </c>
      <c r="D1394" s="12" t="n">
        <v>2023</v>
      </c>
      <c r="E1394" s="4"/>
      <c r="F1394" s="4" t="s">
        <v>169</v>
      </c>
      <c r="G1394" s="4" t="s">
        <v>170</v>
      </c>
      <c r="H1394" s="4" t="s">
        <v>171</v>
      </c>
      <c r="I1394" s="4" t="s">
        <v>172</v>
      </c>
      <c r="J1394" s="4" t="s">
        <v>1571</v>
      </c>
      <c r="K1394" s="4" t="s">
        <v>95</v>
      </c>
      <c r="L1394" s="4" t="s">
        <v>96</v>
      </c>
      <c r="M1394" s="4"/>
      <c r="N1394" s="4"/>
      <c r="O1394" s="4"/>
      <c r="P1394" s="4"/>
      <c r="Q1394" s="4"/>
      <c r="R1394" s="4"/>
      <c r="S1394" s="13" t="n">
        <v>0</v>
      </c>
      <c r="T1394" s="4" t="s">
        <v>173</v>
      </c>
      <c r="U1394" s="14" t="n">
        <f aca="false">IF(OR($S1394="",PARAMETROS!$B$4=""),"",$S1394*PARAMETROS!$B$4)</f>
        <v>0</v>
      </c>
      <c r="V1394" s="13" t="n">
        <v>0</v>
      </c>
      <c r="W1394" s="4"/>
      <c r="X1394" s="4"/>
      <c r="Y1394" s="4"/>
      <c r="Z1394" s="4"/>
      <c r="AA1394" s="4"/>
      <c r="AB1394" s="4"/>
      <c r="AC1394" s="4"/>
      <c r="AD1394" s="4"/>
      <c r="AE1394" s="4"/>
      <c r="AF1394" s="4"/>
      <c r="AG1394" s="4"/>
      <c r="AH1394" s="4"/>
      <c r="AI1394" s="4"/>
      <c r="AJ1394" s="4"/>
      <c r="AK1394" s="4"/>
      <c r="AL1394" s="4" t="s">
        <v>174</v>
      </c>
      <c r="AM1394" s="4" t="s">
        <v>175</v>
      </c>
    </row>
    <row r="1395" customFormat="false" ht="23.85" hidden="false" customHeight="false" outlineLevel="0" collapsed="false">
      <c r="A1395" s="4" t="s">
        <v>167</v>
      </c>
      <c r="B1395" s="4" t="s">
        <v>1572</v>
      </c>
      <c r="C1395" s="4" t="s">
        <v>1572</v>
      </c>
      <c r="D1395" s="12" t="n">
        <v>2023</v>
      </c>
      <c r="E1395" s="4"/>
      <c r="F1395" s="4" t="s">
        <v>169</v>
      </c>
      <c r="G1395" s="4" t="s">
        <v>170</v>
      </c>
      <c r="H1395" s="4" t="s">
        <v>171</v>
      </c>
      <c r="I1395" s="4" t="s">
        <v>172</v>
      </c>
      <c r="J1395" s="4" t="s">
        <v>1572</v>
      </c>
      <c r="K1395" s="4" t="s">
        <v>95</v>
      </c>
      <c r="L1395" s="4" t="s">
        <v>96</v>
      </c>
      <c r="M1395" s="4"/>
      <c r="N1395" s="4"/>
      <c r="O1395" s="4"/>
      <c r="P1395" s="4"/>
      <c r="Q1395" s="4"/>
      <c r="R1395" s="4"/>
      <c r="S1395" s="13" t="n">
        <v>0</v>
      </c>
      <c r="T1395" s="4" t="s">
        <v>173</v>
      </c>
      <c r="U1395" s="14" t="n">
        <f aca="false">IF(OR($S1395="",PARAMETROS!$B$4=""),"",$S1395*PARAMETROS!$B$4)</f>
        <v>0</v>
      </c>
      <c r="V1395" s="13" t="n">
        <v>0</v>
      </c>
      <c r="W1395" s="4"/>
      <c r="X1395" s="4"/>
      <c r="Y1395" s="4"/>
      <c r="Z1395" s="4"/>
      <c r="AA1395" s="4"/>
      <c r="AB1395" s="4"/>
      <c r="AC1395" s="4"/>
      <c r="AD1395" s="4"/>
      <c r="AE1395" s="4"/>
      <c r="AF1395" s="4"/>
      <c r="AG1395" s="4"/>
      <c r="AH1395" s="4"/>
      <c r="AI1395" s="4"/>
      <c r="AJ1395" s="4"/>
      <c r="AK1395" s="4"/>
      <c r="AL1395" s="4" t="s">
        <v>174</v>
      </c>
      <c r="AM1395" s="4" t="s">
        <v>175</v>
      </c>
    </row>
    <row r="1396" customFormat="false" ht="23.85" hidden="false" customHeight="false" outlineLevel="0" collapsed="false">
      <c r="A1396" s="4" t="s">
        <v>167</v>
      </c>
      <c r="B1396" s="4" t="s">
        <v>1573</v>
      </c>
      <c r="C1396" s="4" t="s">
        <v>1573</v>
      </c>
      <c r="D1396" s="12" t="n">
        <v>2023</v>
      </c>
      <c r="E1396" s="4"/>
      <c r="F1396" s="4" t="s">
        <v>169</v>
      </c>
      <c r="G1396" s="4" t="s">
        <v>170</v>
      </c>
      <c r="H1396" s="4" t="s">
        <v>171</v>
      </c>
      <c r="I1396" s="4" t="s">
        <v>172</v>
      </c>
      <c r="J1396" s="4" t="s">
        <v>1573</v>
      </c>
      <c r="K1396" s="4" t="s">
        <v>95</v>
      </c>
      <c r="L1396" s="4" t="s">
        <v>96</v>
      </c>
      <c r="M1396" s="4"/>
      <c r="N1396" s="4"/>
      <c r="O1396" s="4"/>
      <c r="P1396" s="4"/>
      <c r="Q1396" s="4"/>
      <c r="R1396" s="4"/>
      <c r="S1396" s="13" t="n">
        <v>0</v>
      </c>
      <c r="T1396" s="4" t="s">
        <v>173</v>
      </c>
      <c r="U1396" s="14" t="n">
        <f aca="false">IF(OR($S1396="",PARAMETROS!$B$4=""),"",$S1396*PARAMETROS!$B$4)</f>
        <v>0</v>
      </c>
      <c r="V1396" s="13" t="n">
        <v>0</v>
      </c>
      <c r="W1396" s="4"/>
      <c r="X1396" s="4"/>
      <c r="Y1396" s="4"/>
      <c r="Z1396" s="4"/>
      <c r="AA1396" s="4"/>
      <c r="AB1396" s="4"/>
      <c r="AC1396" s="4"/>
      <c r="AD1396" s="4"/>
      <c r="AE1396" s="4"/>
      <c r="AF1396" s="4"/>
      <c r="AG1396" s="4"/>
      <c r="AH1396" s="4"/>
      <c r="AI1396" s="4"/>
      <c r="AJ1396" s="4"/>
      <c r="AK1396" s="4"/>
      <c r="AL1396" s="4" t="s">
        <v>174</v>
      </c>
      <c r="AM1396" s="4" t="s">
        <v>175</v>
      </c>
    </row>
    <row r="1397" customFormat="false" ht="23.85" hidden="false" customHeight="false" outlineLevel="0" collapsed="false">
      <c r="A1397" s="4" t="s">
        <v>167</v>
      </c>
      <c r="B1397" s="4" t="s">
        <v>1574</v>
      </c>
      <c r="C1397" s="4" t="s">
        <v>1574</v>
      </c>
      <c r="D1397" s="12" t="n">
        <v>2023</v>
      </c>
      <c r="E1397" s="4"/>
      <c r="F1397" s="4" t="s">
        <v>169</v>
      </c>
      <c r="G1397" s="4" t="s">
        <v>170</v>
      </c>
      <c r="H1397" s="4" t="s">
        <v>171</v>
      </c>
      <c r="I1397" s="4" t="s">
        <v>172</v>
      </c>
      <c r="J1397" s="4" t="s">
        <v>1574</v>
      </c>
      <c r="K1397" s="4" t="s">
        <v>95</v>
      </c>
      <c r="L1397" s="4" t="s">
        <v>96</v>
      </c>
      <c r="M1397" s="4"/>
      <c r="N1397" s="4"/>
      <c r="O1397" s="4"/>
      <c r="P1397" s="4"/>
      <c r="Q1397" s="4"/>
      <c r="R1397" s="4"/>
      <c r="S1397" s="13" t="n">
        <v>0</v>
      </c>
      <c r="T1397" s="4" t="s">
        <v>173</v>
      </c>
      <c r="U1397" s="14" t="n">
        <f aca="false">IF(OR($S1397="",PARAMETROS!$B$4=""),"",$S1397*PARAMETROS!$B$4)</f>
        <v>0</v>
      </c>
      <c r="V1397" s="13" t="n">
        <v>0</v>
      </c>
      <c r="W1397" s="4"/>
      <c r="X1397" s="4"/>
      <c r="Y1397" s="4"/>
      <c r="Z1397" s="4"/>
      <c r="AA1397" s="4"/>
      <c r="AB1397" s="4"/>
      <c r="AC1397" s="4"/>
      <c r="AD1397" s="4"/>
      <c r="AE1397" s="4"/>
      <c r="AF1397" s="4"/>
      <c r="AG1397" s="4"/>
      <c r="AH1397" s="4"/>
      <c r="AI1397" s="4"/>
      <c r="AJ1397" s="4"/>
      <c r="AK1397" s="4"/>
      <c r="AL1397" s="4" t="s">
        <v>174</v>
      </c>
      <c r="AM1397" s="4" t="s">
        <v>175</v>
      </c>
    </row>
    <row r="1398" customFormat="false" ht="23.85" hidden="false" customHeight="false" outlineLevel="0" collapsed="false">
      <c r="A1398" s="4" t="s">
        <v>167</v>
      </c>
      <c r="B1398" s="4" t="s">
        <v>1575</v>
      </c>
      <c r="C1398" s="4" t="s">
        <v>1575</v>
      </c>
      <c r="D1398" s="12" t="n">
        <v>2023</v>
      </c>
      <c r="E1398" s="4"/>
      <c r="F1398" s="4" t="s">
        <v>169</v>
      </c>
      <c r="G1398" s="4" t="s">
        <v>170</v>
      </c>
      <c r="H1398" s="4" t="s">
        <v>171</v>
      </c>
      <c r="I1398" s="4" t="s">
        <v>172</v>
      </c>
      <c r="J1398" s="4" t="s">
        <v>1575</v>
      </c>
      <c r="K1398" s="4" t="s">
        <v>95</v>
      </c>
      <c r="L1398" s="4" t="s">
        <v>96</v>
      </c>
      <c r="M1398" s="4"/>
      <c r="N1398" s="4"/>
      <c r="O1398" s="4"/>
      <c r="P1398" s="4"/>
      <c r="Q1398" s="4"/>
      <c r="R1398" s="4"/>
      <c r="S1398" s="13" t="n">
        <v>0</v>
      </c>
      <c r="T1398" s="4" t="s">
        <v>173</v>
      </c>
      <c r="U1398" s="14" t="n">
        <f aca="false">IF(OR($S1398="",PARAMETROS!$B$4=""),"",$S1398*PARAMETROS!$B$4)</f>
        <v>0</v>
      </c>
      <c r="V1398" s="13" t="n">
        <v>0</v>
      </c>
      <c r="W1398" s="4"/>
      <c r="X1398" s="4"/>
      <c r="Y1398" s="4"/>
      <c r="Z1398" s="4"/>
      <c r="AA1398" s="4"/>
      <c r="AB1398" s="4"/>
      <c r="AC1398" s="4"/>
      <c r="AD1398" s="4"/>
      <c r="AE1398" s="4"/>
      <c r="AF1398" s="4"/>
      <c r="AG1398" s="4"/>
      <c r="AH1398" s="4"/>
      <c r="AI1398" s="4"/>
      <c r="AJ1398" s="4"/>
      <c r="AK1398" s="4"/>
      <c r="AL1398" s="4" t="s">
        <v>174</v>
      </c>
      <c r="AM1398" s="4" t="s">
        <v>175</v>
      </c>
    </row>
    <row r="1399" customFormat="false" ht="23.85" hidden="false" customHeight="false" outlineLevel="0" collapsed="false">
      <c r="A1399" s="4" t="s">
        <v>167</v>
      </c>
      <c r="B1399" s="4" t="s">
        <v>1576</v>
      </c>
      <c r="C1399" s="4" t="s">
        <v>1576</v>
      </c>
      <c r="D1399" s="12" t="n">
        <v>2023</v>
      </c>
      <c r="E1399" s="4"/>
      <c r="F1399" s="4" t="s">
        <v>169</v>
      </c>
      <c r="G1399" s="4" t="s">
        <v>170</v>
      </c>
      <c r="H1399" s="4" t="s">
        <v>171</v>
      </c>
      <c r="I1399" s="4" t="s">
        <v>172</v>
      </c>
      <c r="J1399" s="4" t="s">
        <v>1576</v>
      </c>
      <c r="K1399" s="4" t="s">
        <v>95</v>
      </c>
      <c r="L1399" s="4" t="s">
        <v>96</v>
      </c>
      <c r="M1399" s="4"/>
      <c r="N1399" s="4"/>
      <c r="O1399" s="4"/>
      <c r="P1399" s="4"/>
      <c r="Q1399" s="4"/>
      <c r="R1399" s="4"/>
      <c r="S1399" s="13" t="n">
        <v>4309.59</v>
      </c>
      <c r="T1399" s="4" t="s">
        <v>173</v>
      </c>
      <c r="U1399" s="14" t="n">
        <f aca="false">IF(OR($S1399="",PARAMETROS!$B$4=""),"",$S1399*PARAMETROS!$B$4)</f>
        <v>25038.7179</v>
      </c>
      <c r="V1399" s="13" t="n">
        <v>0</v>
      </c>
      <c r="W1399" s="4"/>
      <c r="X1399" s="4"/>
      <c r="Y1399" s="4"/>
      <c r="Z1399" s="4"/>
      <c r="AA1399" s="4"/>
      <c r="AB1399" s="4"/>
      <c r="AC1399" s="4"/>
      <c r="AD1399" s="4"/>
      <c r="AE1399" s="4"/>
      <c r="AF1399" s="4"/>
      <c r="AG1399" s="4"/>
      <c r="AH1399" s="4"/>
      <c r="AI1399" s="4"/>
      <c r="AJ1399" s="4"/>
      <c r="AK1399" s="4"/>
      <c r="AL1399" s="4" t="s">
        <v>174</v>
      </c>
      <c r="AM1399" s="4" t="s">
        <v>175</v>
      </c>
    </row>
    <row r="1400" customFormat="false" ht="23.85" hidden="false" customHeight="false" outlineLevel="0" collapsed="false">
      <c r="A1400" s="4" t="s">
        <v>167</v>
      </c>
      <c r="B1400" s="4" t="s">
        <v>1577</v>
      </c>
      <c r="C1400" s="4" t="s">
        <v>1577</v>
      </c>
      <c r="D1400" s="12" t="n">
        <v>2023</v>
      </c>
      <c r="E1400" s="4"/>
      <c r="F1400" s="4" t="s">
        <v>169</v>
      </c>
      <c r="G1400" s="4" t="s">
        <v>170</v>
      </c>
      <c r="H1400" s="4" t="s">
        <v>171</v>
      </c>
      <c r="I1400" s="4" t="s">
        <v>172</v>
      </c>
      <c r="J1400" s="4" t="s">
        <v>1577</v>
      </c>
      <c r="K1400" s="4" t="s">
        <v>95</v>
      </c>
      <c r="L1400" s="4" t="s">
        <v>96</v>
      </c>
      <c r="M1400" s="4"/>
      <c r="N1400" s="4"/>
      <c r="O1400" s="4"/>
      <c r="P1400" s="4"/>
      <c r="Q1400" s="4"/>
      <c r="R1400" s="4"/>
      <c r="S1400" s="13" t="n">
        <v>0</v>
      </c>
      <c r="T1400" s="4" t="s">
        <v>173</v>
      </c>
      <c r="U1400" s="14" t="n">
        <f aca="false">IF(OR($S1400="",PARAMETROS!$B$4=""),"",$S1400*PARAMETROS!$B$4)</f>
        <v>0</v>
      </c>
      <c r="V1400" s="13" t="n">
        <v>0</v>
      </c>
      <c r="W1400" s="4"/>
      <c r="X1400" s="4"/>
      <c r="Y1400" s="4"/>
      <c r="Z1400" s="4"/>
      <c r="AA1400" s="4"/>
      <c r="AB1400" s="4"/>
      <c r="AC1400" s="4"/>
      <c r="AD1400" s="4"/>
      <c r="AE1400" s="4"/>
      <c r="AF1400" s="4"/>
      <c r="AG1400" s="4"/>
      <c r="AH1400" s="4"/>
      <c r="AI1400" s="4"/>
      <c r="AJ1400" s="4"/>
      <c r="AK1400" s="4"/>
      <c r="AL1400" s="4" t="s">
        <v>174</v>
      </c>
      <c r="AM1400" s="4" t="s">
        <v>175</v>
      </c>
    </row>
    <row r="1401" customFormat="false" ht="23.85" hidden="false" customHeight="false" outlineLevel="0" collapsed="false">
      <c r="A1401" s="4" t="s">
        <v>167</v>
      </c>
      <c r="B1401" s="4" t="s">
        <v>1578</v>
      </c>
      <c r="C1401" s="4" t="s">
        <v>1578</v>
      </c>
      <c r="D1401" s="12" t="n">
        <v>2023</v>
      </c>
      <c r="E1401" s="4"/>
      <c r="F1401" s="4" t="s">
        <v>169</v>
      </c>
      <c r="G1401" s="4" t="s">
        <v>170</v>
      </c>
      <c r="H1401" s="4" t="s">
        <v>171</v>
      </c>
      <c r="I1401" s="4" t="s">
        <v>172</v>
      </c>
      <c r="J1401" s="4" t="s">
        <v>1578</v>
      </c>
      <c r="K1401" s="4" t="s">
        <v>95</v>
      </c>
      <c r="L1401" s="4" t="s">
        <v>96</v>
      </c>
      <c r="M1401" s="4"/>
      <c r="N1401" s="4"/>
      <c r="O1401" s="4"/>
      <c r="P1401" s="4"/>
      <c r="Q1401" s="4"/>
      <c r="R1401" s="4"/>
      <c r="S1401" s="13" t="n">
        <v>0</v>
      </c>
      <c r="T1401" s="4" t="s">
        <v>173</v>
      </c>
      <c r="U1401" s="14" t="n">
        <f aca="false">IF(OR($S1401="",PARAMETROS!$B$4=""),"",$S1401*PARAMETROS!$B$4)</f>
        <v>0</v>
      </c>
      <c r="V1401" s="13" t="n">
        <v>0</v>
      </c>
      <c r="W1401" s="4"/>
      <c r="X1401" s="4"/>
      <c r="Y1401" s="4"/>
      <c r="Z1401" s="4"/>
      <c r="AA1401" s="4"/>
      <c r="AB1401" s="4"/>
      <c r="AC1401" s="4"/>
      <c r="AD1401" s="4"/>
      <c r="AE1401" s="4"/>
      <c r="AF1401" s="4"/>
      <c r="AG1401" s="4"/>
      <c r="AH1401" s="4"/>
      <c r="AI1401" s="4"/>
      <c r="AJ1401" s="4"/>
      <c r="AK1401" s="4"/>
      <c r="AL1401" s="4" t="s">
        <v>174</v>
      </c>
      <c r="AM1401" s="4" t="s">
        <v>175</v>
      </c>
    </row>
    <row r="1402" customFormat="false" ht="23.85" hidden="false" customHeight="false" outlineLevel="0" collapsed="false">
      <c r="A1402" s="4" t="s">
        <v>167</v>
      </c>
      <c r="B1402" s="4" t="s">
        <v>1579</v>
      </c>
      <c r="C1402" s="4" t="s">
        <v>1579</v>
      </c>
      <c r="D1402" s="12" t="n">
        <v>2023</v>
      </c>
      <c r="E1402" s="4"/>
      <c r="F1402" s="4" t="s">
        <v>169</v>
      </c>
      <c r="G1402" s="4" t="s">
        <v>170</v>
      </c>
      <c r="H1402" s="4" t="s">
        <v>171</v>
      </c>
      <c r="I1402" s="4" t="s">
        <v>172</v>
      </c>
      <c r="J1402" s="4" t="s">
        <v>1579</v>
      </c>
      <c r="K1402" s="4" t="s">
        <v>97</v>
      </c>
      <c r="L1402" s="4" t="s">
        <v>98</v>
      </c>
      <c r="M1402" s="4"/>
      <c r="N1402" s="4"/>
      <c r="O1402" s="4"/>
      <c r="P1402" s="4"/>
      <c r="Q1402" s="4"/>
      <c r="R1402" s="4"/>
      <c r="S1402" s="13" t="n">
        <v>0</v>
      </c>
      <c r="T1402" s="4" t="s">
        <v>173</v>
      </c>
      <c r="U1402" s="14" t="n">
        <f aca="false">IF(OR($S1402="",PARAMETROS!$B$4=""),"",$S1402*PARAMETROS!$B$4)</f>
        <v>0</v>
      </c>
      <c r="V1402" s="13" t="n">
        <v>0</v>
      </c>
      <c r="W1402" s="4"/>
      <c r="X1402" s="4"/>
      <c r="Y1402" s="4"/>
      <c r="Z1402" s="4"/>
      <c r="AA1402" s="4"/>
      <c r="AB1402" s="4"/>
      <c r="AC1402" s="4"/>
      <c r="AD1402" s="4"/>
      <c r="AE1402" s="4"/>
      <c r="AF1402" s="4"/>
      <c r="AG1402" s="4"/>
      <c r="AH1402" s="4"/>
      <c r="AI1402" s="4"/>
      <c r="AJ1402" s="4"/>
      <c r="AK1402" s="4"/>
      <c r="AL1402" s="4" t="s">
        <v>174</v>
      </c>
      <c r="AM1402" s="4" t="s">
        <v>205</v>
      </c>
    </row>
    <row r="1403" customFormat="false" ht="23.85" hidden="false" customHeight="false" outlineLevel="0" collapsed="false">
      <c r="A1403" s="4" t="s">
        <v>167</v>
      </c>
      <c r="B1403" s="4" t="s">
        <v>1580</v>
      </c>
      <c r="C1403" s="4" t="s">
        <v>1580</v>
      </c>
      <c r="D1403" s="12" t="n">
        <v>2023</v>
      </c>
      <c r="E1403" s="4"/>
      <c r="F1403" s="4" t="s">
        <v>169</v>
      </c>
      <c r="G1403" s="4" t="s">
        <v>170</v>
      </c>
      <c r="H1403" s="4" t="s">
        <v>171</v>
      </c>
      <c r="I1403" s="4" t="s">
        <v>172</v>
      </c>
      <c r="J1403" s="4" t="s">
        <v>1580</v>
      </c>
      <c r="K1403" s="4" t="s">
        <v>97</v>
      </c>
      <c r="L1403" s="4" t="s">
        <v>98</v>
      </c>
      <c r="M1403" s="4"/>
      <c r="N1403" s="4"/>
      <c r="O1403" s="4"/>
      <c r="P1403" s="4"/>
      <c r="Q1403" s="4"/>
      <c r="R1403" s="4"/>
      <c r="S1403" s="13" t="n">
        <v>15330.97</v>
      </c>
      <c r="T1403" s="4" t="s">
        <v>173</v>
      </c>
      <c r="U1403" s="14" t="n">
        <f aca="false">IF(OR($S1403="",PARAMETROS!$B$4=""),"",$S1403*PARAMETROS!$B$4)</f>
        <v>89072.9357</v>
      </c>
      <c r="V1403" s="13" t="n">
        <v>0</v>
      </c>
      <c r="W1403" s="4"/>
      <c r="X1403" s="4"/>
      <c r="Y1403" s="4"/>
      <c r="Z1403" s="4"/>
      <c r="AA1403" s="4"/>
      <c r="AB1403" s="4"/>
      <c r="AC1403" s="4"/>
      <c r="AD1403" s="4"/>
      <c r="AE1403" s="4"/>
      <c r="AF1403" s="4"/>
      <c r="AG1403" s="4"/>
      <c r="AH1403" s="4"/>
      <c r="AI1403" s="4"/>
      <c r="AJ1403" s="4"/>
      <c r="AK1403" s="4"/>
      <c r="AL1403" s="4" t="s">
        <v>174</v>
      </c>
      <c r="AM1403" s="4" t="s">
        <v>205</v>
      </c>
    </row>
    <row r="1404" customFormat="false" ht="23.85" hidden="false" customHeight="false" outlineLevel="0" collapsed="false">
      <c r="A1404" s="4" t="s">
        <v>167</v>
      </c>
      <c r="B1404" s="4" t="s">
        <v>1581</v>
      </c>
      <c r="C1404" s="4" t="s">
        <v>1581</v>
      </c>
      <c r="D1404" s="12" t="n">
        <v>2023</v>
      </c>
      <c r="E1404" s="4"/>
      <c r="F1404" s="4" t="s">
        <v>169</v>
      </c>
      <c r="G1404" s="4" t="s">
        <v>170</v>
      </c>
      <c r="H1404" s="4" t="s">
        <v>171</v>
      </c>
      <c r="I1404" s="4" t="s">
        <v>172</v>
      </c>
      <c r="J1404" s="4" t="s">
        <v>1581</v>
      </c>
      <c r="K1404" s="4" t="s">
        <v>97</v>
      </c>
      <c r="L1404" s="4" t="s">
        <v>98</v>
      </c>
      <c r="M1404" s="4"/>
      <c r="N1404" s="4"/>
      <c r="O1404" s="4"/>
      <c r="P1404" s="4"/>
      <c r="Q1404" s="4"/>
      <c r="R1404" s="4"/>
      <c r="S1404" s="13" t="n">
        <v>215.8</v>
      </c>
      <c r="T1404" s="4" t="s">
        <v>173</v>
      </c>
      <c r="U1404" s="14" t="n">
        <f aca="false">IF(OR($S1404="",PARAMETROS!$B$4=""),"",$S1404*PARAMETROS!$B$4)</f>
        <v>1253.798</v>
      </c>
      <c r="V1404" s="13" t="n">
        <v>0</v>
      </c>
      <c r="W1404" s="4"/>
      <c r="X1404" s="4"/>
      <c r="Y1404" s="4"/>
      <c r="Z1404" s="4"/>
      <c r="AA1404" s="4"/>
      <c r="AB1404" s="4"/>
      <c r="AC1404" s="4"/>
      <c r="AD1404" s="4"/>
      <c r="AE1404" s="4"/>
      <c r="AF1404" s="4"/>
      <c r="AG1404" s="4"/>
      <c r="AH1404" s="4"/>
      <c r="AI1404" s="4"/>
      <c r="AJ1404" s="4"/>
      <c r="AK1404" s="4"/>
      <c r="AL1404" s="4" t="s">
        <v>174</v>
      </c>
      <c r="AM1404" s="4" t="s">
        <v>205</v>
      </c>
    </row>
    <row r="1405" customFormat="false" ht="23.85" hidden="false" customHeight="false" outlineLevel="0" collapsed="false">
      <c r="A1405" s="4" t="s">
        <v>167</v>
      </c>
      <c r="B1405" s="4" t="s">
        <v>1582</v>
      </c>
      <c r="C1405" s="4" t="s">
        <v>1582</v>
      </c>
      <c r="D1405" s="12" t="n">
        <v>2023</v>
      </c>
      <c r="E1405" s="4"/>
      <c r="F1405" s="4" t="s">
        <v>169</v>
      </c>
      <c r="G1405" s="4" t="s">
        <v>170</v>
      </c>
      <c r="H1405" s="4" t="s">
        <v>171</v>
      </c>
      <c r="I1405" s="4" t="s">
        <v>172</v>
      </c>
      <c r="J1405" s="4" t="s">
        <v>1582</v>
      </c>
      <c r="K1405" s="4" t="s">
        <v>97</v>
      </c>
      <c r="L1405" s="4" t="s">
        <v>98</v>
      </c>
      <c r="M1405" s="4"/>
      <c r="N1405" s="4"/>
      <c r="O1405" s="4"/>
      <c r="P1405" s="4"/>
      <c r="Q1405" s="4"/>
      <c r="R1405" s="4"/>
      <c r="S1405" s="13" t="n">
        <v>-279.58</v>
      </c>
      <c r="T1405" s="4" t="s">
        <v>173</v>
      </c>
      <c r="U1405" s="14" t="n">
        <f aca="false">IF(OR($S1405="",PARAMETROS!$B$4=""),"",$S1405*PARAMETROS!$B$4)</f>
        <v>-1624.3598</v>
      </c>
      <c r="V1405" s="13" t="n">
        <v>0</v>
      </c>
      <c r="W1405" s="4"/>
      <c r="X1405" s="4"/>
      <c r="Y1405" s="4"/>
      <c r="Z1405" s="4"/>
      <c r="AA1405" s="4"/>
      <c r="AB1405" s="4"/>
      <c r="AC1405" s="4"/>
      <c r="AD1405" s="4"/>
      <c r="AE1405" s="4"/>
      <c r="AF1405" s="4"/>
      <c r="AG1405" s="4"/>
      <c r="AH1405" s="4"/>
      <c r="AI1405" s="4"/>
      <c r="AJ1405" s="4"/>
      <c r="AK1405" s="4"/>
      <c r="AL1405" s="4" t="s">
        <v>174</v>
      </c>
      <c r="AM1405" s="4" t="s">
        <v>205</v>
      </c>
    </row>
    <row r="1406" customFormat="false" ht="23.85" hidden="false" customHeight="false" outlineLevel="0" collapsed="false">
      <c r="A1406" s="4" t="s">
        <v>167</v>
      </c>
      <c r="B1406" s="4" t="s">
        <v>1583</v>
      </c>
      <c r="C1406" s="4" t="s">
        <v>1583</v>
      </c>
      <c r="D1406" s="12" t="n">
        <v>2023</v>
      </c>
      <c r="E1406" s="4"/>
      <c r="F1406" s="4" t="s">
        <v>169</v>
      </c>
      <c r="G1406" s="4" t="s">
        <v>170</v>
      </c>
      <c r="H1406" s="4" t="s">
        <v>171</v>
      </c>
      <c r="I1406" s="4" t="s">
        <v>172</v>
      </c>
      <c r="J1406" s="4" t="s">
        <v>1583</v>
      </c>
      <c r="K1406" s="4" t="s">
        <v>97</v>
      </c>
      <c r="L1406" s="4" t="s">
        <v>98</v>
      </c>
      <c r="M1406" s="4"/>
      <c r="N1406" s="4"/>
      <c r="O1406" s="4"/>
      <c r="P1406" s="4"/>
      <c r="Q1406" s="4"/>
      <c r="R1406" s="4"/>
      <c r="S1406" s="13" t="n">
        <v>0</v>
      </c>
      <c r="T1406" s="4" t="s">
        <v>173</v>
      </c>
      <c r="U1406" s="14" t="n">
        <f aca="false">IF(OR($S1406="",PARAMETROS!$B$4=""),"",$S1406*PARAMETROS!$B$4)</f>
        <v>0</v>
      </c>
      <c r="V1406" s="13" t="n">
        <v>0</v>
      </c>
      <c r="W1406" s="4"/>
      <c r="X1406" s="4"/>
      <c r="Y1406" s="4"/>
      <c r="Z1406" s="4"/>
      <c r="AA1406" s="4"/>
      <c r="AB1406" s="4"/>
      <c r="AC1406" s="4"/>
      <c r="AD1406" s="4"/>
      <c r="AE1406" s="4"/>
      <c r="AF1406" s="4"/>
      <c r="AG1406" s="4"/>
      <c r="AH1406" s="4"/>
      <c r="AI1406" s="4"/>
      <c r="AJ1406" s="4"/>
      <c r="AK1406" s="4"/>
      <c r="AL1406" s="4" t="s">
        <v>174</v>
      </c>
      <c r="AM1406" s="4" t="s">
        <v>205</v>
      </c>
    </row>
    <row r="1407" customFormat="false" ht="23.85" hidden="false" customHeight="false" outlineLevel="0" collapsed="false">
      <c r="A1407" s="4" t="s">
        <v>167</v>
      </c>
      <c r="B1407" s="4" t="s">
        <v>1584</v>
      </c>
      <c r="C1407" s="4" t="s">
        <v>1584</v>
      </c>
      <c r="D1407" s="12" t="n">
        <v>2023</v>
      </c>
      <c r="E1407" s="4"/>
      <c r="F1407" s="4" t="s">
        <v>169</v>
      </c>
      <c r="G1407" s="4" t="s">
        <v>170</v>
      </c>
      <c r="H1407" s="4" t="s">
        <v>171</v>
      </c>
      <c r="I1407" s="4" t="s">
        <v>172</v>
      </c>
      <c r="J1407" s="4" t="s">
        <v>1584</v>
      </c>
      <c r="K1407" s="4" t="s">
        <v>97</v>
      </c>
      <c r="L1407" s="4" t="s">
        <v>98</v>
      </c>
      <c r="M1407" s="4"/>
      <c r="N1407" s="4"/>
      <c r="O1407" s="4"/>
      <c r="P1407" s="4"/>
      <c r="Q1407" s="4"/>
      <c r="R1407" s="4"/>
      <c r="S1407" s="13" t="n">
        <v>-16.9</v>
      </c>
      <c r="T1407" s="4" t="s">
        <v>173</v>
      </c>
      <c r="U1407" s="14" t="n">
        <f aca="false">IF(OR($S1407="",PARAMETROS!$B$4=""),"",$S1407*PARAMETROS!$B$4)</f>
        <v>-98.189</v>
      </c>
      <c r="V1407" s="13" t="n">
        <v>0</v>
      </c>
      <c r="W1407" s="4"/>
      <c r="X1407" s="4"/>
      <c r="Y1407" s="4"/>
      <c r="Z1407" s="4"/>
      <c r="AA1407" s="4"/>
      <c r="AB1407" s="4"/>
      <c r="AC1407" s="4"/>
      <c r="AD1407" s="4"/>
      <c r="AE1407" s="4"/>
      <c r="AF1407" s="4"/>
      <c r="AG1407" s="4"/>
      <c r="AH1407" s="4"/>
      <c r="AI1407" s="4"/>
      <c r="AJ1407" s="4"/>
      <c r="AK1407" s="4"/>
      <c r="AL1407" s="4" t="s">
        <v>174</v>
      </c>
      <c r="AM1407" s="4" t="s">
        <v>205</v>
      </c>
    </row>
    <row r="1408" customFormat="false" ht="23.85" hidden="false" customHeight="false" outlineLevel="0" collapsed="false">
      <c r="A1408" s="4" t="s">
        <v>167</v>
      </c>
      <c r="B1408" s="4" t="s">
        <v>1585</v>
      </c>
      <c r="C1408" s="4" t="s">
        <v>1585</v>
      </c>
      <c r="D1408" s="12" t="n">
        <v>2023</v>
      </c>
      <c r="E1408" s="4"/>
      <c r="F1408" s="4" t="s">
        <v>169</v>
      </c>
      <c r="G1408" s="4" t="s">
        <v>170</v>
      </c>
      <c r="H1408" s="4" t="s">
        <v>171</v>
      </c>
      <c r="I1408" s="4" t="s">
        <v>172</v>
      </c>
      <c r="J1408" s="4" t="s">
        <v>1585</v>
      </c>
      <c r="K1408" s="4" t="s">
        <v>97</v>
      </c>
      <c r="L1408" s="4" t="s">
        <v>98</v>
      </c>
      <c r="M1408" s="4"/>
      <c r="N1408" s="4"/>
      <c r="O1408" s="4"/>
      <c r="P1408" s="4"/>
      <c r="Q1408" s="4"/>
      <c r="R1408" s="4"/>
      <c r="S1408" s="13" t="n">
        <v>0</v>
      </c>
      <c r="T1408" s="4" t="s">
        <v>173</v>
      </c>
      <c r="U1408" s="14" t="n">
        <f aca="false">IF(OR($S1408="",PARAMETROS!$B$4=""),"",$S1408*PARAMETROS!$B$4)</f>
        <v>0</v>
      </c>
      <c r="V1408" s="13" t="n">
        <v>0</v>
      </c>
      <c r="W1408" s="4"/>
      <c r="X1408" s="4"/>
      <c r="Y1408" s="4"/>
      <c r="Z1408" s="4"/>
      <c r="AA1408" s="4"/>
      <c r="AB1408" s="4"/>
      <c r="AC1408" s="4"/>
      <c r="AD1408" s="4"/>
      <c r="AE1408" s="4"/>
      <c r="AF1408" s="4"/>
      <c r="AG1408" s="4"/>
      <c r="AH1408" s="4"/>
      <c r="AI1408" s="4"/>
      <c r="AJ1408" s="4"/>
      <c r="AK1408" s="4"/>
      <c r="AL1408" s="4" t="s">
        <v>174</v>
      </c>
      <c r="AM1408" s="4" t="s">
        <v>205</v>
      </c>
    </row>
    <row r="1409" customFormat="false" ht="23.85" hidden="false" customHeight="false" outlineLevel="0" collapsed="false">
      <c r="A1409" s="4" t="s">
        <v>167</v>
      </c>
      <c r="B1409" s="4" t="s">
        <v>1586</v>
      </c>
      <c r="C1409" s="4" t="s">
        <v>1586</v>
      </c>
      <c r="D1409" s="12" t="n">
        <v>2023</v>
      </c>
      <c r="E1409" s="4"/>
      <c r="F1409" s="4" t="s">
        <v>169</v>
      </c>
      <c r="G1409" s="4" t="s">
        <v>170</v>
      </c>
      <c r="H1409" s="4" t="s">
        <v>171</v>
      </c>
      <c r="I1409" s="4" t="s">
        <v>172</v>
      </c>
      <c r="J1409" s="4" t="s">
        <v>1586</v>
      </c>
      <c r="K1409" s="4" t="s">
        <v>97</v>
      </c>
      <c r="L1409" s="4" t="s">
        <v>98</v>
      </c>
      <c r="M1409" s="4"/>
      <c r="N1409" s="4"/>
      <c r="O1409" s="4"/>
      <c r="P1409" s="4"/>
      <c r="Q1409" s="4"/>
      <c r="R1409" s="4"/>
      <c r="S1409" s="13" t="n">
        <v>0</v>
      </c>
      <c r="T1409" s="4" t="s">
        <v>173</v>
      </c>
      <c r="U1409" s="14" t="n">
        <f aca="false">IF(OR($S1409="",PARAMETROS!$B$4=""),"",$S1409*PARAMETROS!$B$4)</f>
        <v>0</v>
      </c>
      <c r="V1409" s="13" t="n">
        <v>0</v>
      </c>
      <c r="W1409" s="4"/>
      <c r="X1409" s="4"/>
      <c r="Y1409" s="4"/>
      <c r="Z1409" s="4"/>
      <c r="AA1409" s="4"/>
      <c r="AB1409" s="4"/>
      <c r="AC1409" s="4"/>
      <c r="AD1409" s="4"/>
      <c r="AE1409" s="4"/>
      <c r="AF1409" s="4"/>
      <c r="AG1409" s="4"/>
      <c r="AH1409" s="4"/>
      <c r="AI1409" s="4"/>
      <c r="AJ1409" s="4"/>
      <c r="AK1409" s="4"/>
      <c r="AL1409" s="4" t="s">
        <v>174</v>
      </c>
      <c r="AM1409" s="4" t="s">
        <v>205</v>
      </c>
    </row>
    <row r="1410" customFormat="false" ht="23.85" hidden="false" customHeight="false" outlineLevel="0" collapsed="false">
      <c r="A1410" s="4" t="s">
        <v>167</v>
      </c>
      <c r="B1410" s="4" t="s">
        <v>1587</v>
      </c>
      <c r="C1410" s="4" t="s">
        <v>1587</v>
      </c>
      <c r="D1410" s="12" t="n">
        <v>2023</v>
      </c>
      <c r="E1410" s="4"/>
      <c r="F1410" s="4" t="s">
        <v>169</v>
      </c>
      <c r="G1410" s="4" t="s">
        <v>170</v>
      </c>
      <c r="H1410" s="4" t="s">
        <v>171</v>
      </c>
      <c r="I1410" s="4" t="s">
        <v>172</v>
      </c>
      <c r="J1410" s="4" t="s">
        <v>1587</v>
      </c>
      <c r="K1410" s="4" t="s">
        <v>97</v>
      </c>
      <c r="L1410" s="4" t="s">
        <v>98</v>
      </c>
      <c r="M1410" s="4"/>
      <c r="N1410" s="4"/>
      <c r="O1410" s="4"/>
      <c r="P1410" s="4"/>
      <c r="Q1410" s="4"/>
      <c r="R1410" s="4"/>
      <c r="S1410" s="13" t="n">
        <v>13633.2</v>
      </c>
      <c r="T1410" s="4" t="s">
        <v>173</v>
      </c>
      <c r="U1410" s="14" t="n">
        <f aca="false">IF(OR($S1410="",PARAMETROS!$B$4=""),"",$S1410*PARAMETROS!$B$4)</f>
        <v>79208.892</v>
      </c>
      <c r="V1410" s="13" t="n">
        <v>0</v>
      </c>
      <c r="W1410" s="4"/>
      <c r="X1410" s="4"/>
      <c r="Y1410" s="4"/>
      <c r="Z1410" s="4"/>
      <c r="AA1410" s="4"/>
      <c r="AB1410" s="4"/>
      <c r="AC1410" s="4"/>
      <c r="AD1410" s="4"/>
      <c r="AE1410" s="4"/>
      <c r="AF1410" s="4"/>
      <c r="AG1410" s="4"/>
      <c r="AH1410" s="4"/>
      <c r="AI1410" s="4"/>
      <c r="AJ1410" s="4"/>
      <c r="AK1410" s="4"/>
      <c r="AL1410" s="4" t="s">
        <v>174</v>
      </c>
      <c r="AM1410" s="4" t="s">
        <v>205</v>
      </c>
    </row>
    <row r="1411" customFormat="false" ht="23.85" hidden="false" customHeight="false" outlineLevel="0" collapsed="false">
      <c r="A1411" s="4" t="s">
        <v>167</v>
      </c>
      <c r="B1411" s="4" t="s">
        <v>1588</v>
      </c>
      <c r="C1411" s="4" t="s">
        <v>1588</v>
      </c>
      <c r="D1411" s="12" t="n">
        <v>2023</v>
      </c>
      <c r="E1411" s="4"/>
      <c r="F1411" s="4" t="s">
        <v>169</v>
      </c>
      <c r="G1411" s="4" t="s">
        <v>170</v>
      </c>
      <c r="H1411" s="4" t="s">
        <v>171</v>
      </c>
      <c r="I1411" s="4" t="s">
        <v>172</v>
      </c>
      <c r="J1411" s="4" t="s">
        <v>1588</v>
      </c>
      <c r="K1411" s="4" t="s">
        <v>97</v>
      </c>
      <c r="L1411" s="4" t="s">
        <v>98</v>
      </c>
      <c r="M1411" s="4"/>
      <c r="N1411" s="4"/>
      <c r="O1411" s="4"/>
      <c r="P1411" s="4"/>
      <c r="Q1411" s="4"/>
      <c r="R1411" s="4"/>
      <c r="S1411" s="13" t="n">
        <v>0</v>
      </c>
      <c r="T1411" s="4" t="s">
        <v>173</v>
      </c>
      <c r="U1411" s="14" t="n">
        <f aca="false">IF(OR($S1411="",PARAMETROS!$B$4=""),"",$S1411*PARAMETROS!$B$4)</f>
        <v>0</v>
      </c>
      <c r="V1411" s="13" t="n">
        <v>0</v>
      </c>
      <c r="W1411" s="4"/>
      <c r="X1411" s="4"/>
      <c r="Y1411" s="4"/>
      <c r="Z1411" s="4"/>
      <c r="AA1411" s="4"/>
      <c r="AB1411" s="4"/>
      <c r="AC1411" s="4"/>
      <c r="AD1411" s="4"/>
      <c r="AE1411" s="4"/>
      <c r="AF1411" s="4"/>
      <c r="AG1411" s="4"/>
      <c r="AH1411" s="4"/>
      <c r="AI1411" s="4"/>
      <c r="AJ1411" s="4"/>
      <c r="AK1411" s="4"/>
      <c r="AL1411" s="4" t="s">
        <v>174</v>
      </c>
      <c r="AM1411" s="4" t="s">
        <v>205</v>
      </c>
    </row>
    <row r="1412" customFormat="false" ht="23.85" hidden="false" customHeight="false" outlineLevel="0" collapsed="false">
      <c r="A1412" s="4" t="s">
        <v>167</v>
      </c>
      <c r="B1412" s="4" t="s">
        <v>1589</v>
      </c>
      <c r="C1412" s="4" t="s">
        <v>1589</v>
      </c>
      <c r="D1412" s="12" t="n">
        <v>2023</v>
      </c>
      <c r="E1412" s="4"/>
      <c r="F1412" s="4" t="s">
        <v>169</v>
      </c>
      <c r="G1412" s="4" t="s">
        <v>170</v>
      </c>
      <c r="H1412" s="4" t="s">
        <v>171</v>
      </c>
      <c r="I1412" s="4" t="s">
        <v>172</v>
      </c>
      <c r="J1412" s="4" t="s">
        <v>1589</v>
      </c>
      <c r="K1412" s="4" t="s">
        <v>97</v>
      </c>
      <c r="L1412" s="4" t="s">
        <v>98</v>
      </c>
      <c r="M1412" s="4"/>
      <c r="N1412" s="4"/>
      <c r="O1412" s="4"/>
      <c r="P1412" s="4"/>
      <c r="Q1412" s="4"/>
      <c r="R1412" s="4"/>
      <c r="S1412" s="13" t="n">
        <v>0</v>
      </c>
      <c r="T1412" s="4" t="s">
        <v>173</v>
      </c>
      <c r="U1412" s="14" t="n">
        <f aca="false">IF(OR($S1412="",PARAMETROS!$B$4=""),"",$S1412*PARAMETROS!$B$4)</f>
        <v>0</v>
      </c>
      <c r="V1412" s="13" t="n">
        <v>0</v>
      </c>
      <c r="W1412" s="4"/>
      <c r="X1412" s="4"/>
      <c r="Y1412" s="4"/>
      <c r="Z1412" s="4"/>
      <c r="AA1412" s="4"/>
      <c r="AB1412" s="4"/>
      <c r="AC1412" s="4"/>
      <c r="AD1412" s="4"/>
      <c r="AE1412" s="4"/>
      <c r="AF1412" s="4"/>
      <c r="AG1412" s="4"/>
      <c r="AH1412" s="4"/>
      <c r="AI1412" s="4"/>
      <c r="AJ1412" s="4"/>
      <c r="AK1412" s="4"/>
      <c r="AL1412" s="4" t="s">
        <v>174</v>
      </c>
      <c r="AM1412" s="4" t="s">
        <v>205</v>
      </c>
    </row>
    <row r="1413" customFormat="false" ht="23.85" hidden="false" customHeight="false" outlineLevel="0" collapsed="false">
      <c r="A1413" s="4" t="s">
        <v>167</v>
      </c>
      <c r="B1413" s="4" t="s">
        <v>1590</v>
      </c>
      <c r="C1413" s="4" t="s">
        <v>1590</v>
      </c>
      <c r="D1413" s="12" t="n">
        <v>2023</v>
      </c>
      <c r="E1413" s="4"/>
      <c r="F1413" s="4" t="s">
        <v>169</v>
      </c>
      <c r="G1413" s="4" t="s">
        <v>170</v>
      </c>
      <c r="H1413" s="4" t="s">
        <v>171</v>
      </c>
      <c r="I1413" s="4" t="s">
        <v>172</v>
      </c>
      <c r="J1413" s="4" t="s">
        <v>1590</v>
      </c>
      <c r="K1413" s="4" t="s">
        <v>97</v>
      </c>
      <c r="L1413" s="4" t="s">
        <v>98</v>
      </c>
      <c r="M1413" s="4"/>
      <c r="N1413" s="4"/>
      <c r="O1413" s="4"/>
      <c r="P1413" s="4"/>
      <c r="Q1413" s="4"/>
      <c r="R1413" s="4"/>
      <c r="S1413" s="13" t="n">
        <v>1185.5</v>
      </c>
      <c r="T1413" s="4" t="s">
        <v>173</v>
      </c>
      <c r="U1413" s="14" t="n">
        <f aca="false">IF(OR($S1413="",PARAMETROS!$B$4=""),"",$S1413*PARAMETROS!$B$4)</f>
        <v>6887.755</v>
      </c>
      <c r="V1413" s="13" t="n">
        <v>0</v>
      </c>
      <c r="W1413" s="4"/>
      <c r="X1413" s="4"/>
      <c r="Y1413" s="4"/>
      <c r="Z1413" s="4"/>
      <c r="AA1413" s="4"/>
      <c r="AB1413" s="4"/>
      <c r="AC1413" s="4"/>
      <c r="AD1413" s="4"/>
      <c r="AE1413" s="4"/>
      <c r="AF1413" s="4"/>
      <c r="AG1413" s="4"/>
      <c r="AH1413" s="4"/>
      <c r="AI1413" s="4"/>
      <c r="AJ1413" s="4"/>
      <c r="AK1413" s="4"/>
      <c r="AL1413" s="4" t="s">
        <v>174</v>
      </c>
      <c r="AM1413" s="4" t="s">
        <v>205</v>
      </c>
    </row>
    <row r="1414" customFormat="false" ht="23.85" hidden="false" customHeight="false" outlineLevel="0" collapsed="false">
      <c r="A1414" s="4" t="s">
        <v>167</v>
      </c>
      <c r="B1414" s="4" t="s">
        <v>1591</v>
      </c>
      <c r="C1414" s="4" t="s">
        <v>1591</v>
      </c>
      <c r="D1414" s="12" t="n">
        <v>2023</v>
      </c>
      <c r="E1414" s="4"/>
      <c r="F1414" s="4" t="s">
        <v>169</v>
      </c>
      <c r="G1414" s="4" t="s">
        <v>170</v>
      </c>
      <c r="H1414" s="4" t="s">
        <v>171</v>
      </c>
      <c r="I1414" s="4" t="s">
        <v>172</v>
      </c>
      <c r="J1414" s="4" t="s">
        <v>1591</v>
      </c>
      <c r="K1414" s="4" t="s">
        <v>97</v>
      </c>
      <c r="L1414" s="4" t="s">
        <v>98</v>
      </c>
      <c r="M1414" s="4"/>
      <c r="N1414" s="4"/>
      <c r="O1414" s="4"/>
      <c r="P1414" s="4"/>
      <c r="Q1414" s="4"/>
      <c r="R1414" s="4"/>
      <c r="S1414" s="13" t="n">
        <v>0</v>
      </c>
      <c r="T1414" s="4" t="s">
        <v>173</v>
      </c>
      <c r="U1414" s="14" t="n">
        <f aca="false">IF(OR($S1414="",PARAMETROS!$B$4=""),"",$S1414*PARAMETROS!$B$4)</f>
        <v>0</v>
      </c>
      <c r="V1414" s="13" t="n">
        <v>0</v>
      </c>
      <c r="W1414" s="4"/>
      <c r="X1414" s="4"/>
      <c r="Y1414" s="4"/>
      <c r="Z1414" s="4"/>
      <c r="AA1414" s="4"/>
      <c r="AB1414" s="4"/>
      <c r="AC1414" s="4"/>
      <c r="AD1414" s="4"/>
      <c r="AE1414" s="4"/>
      <c r="AF1414" s="4"/>
      <c r="AG1414" s="4"/>
      <c r="AH1414" s="4"/>
      <c r="AI1414" s="4"/>
      <c r="AJ1414" s="4"/>
      <c r="AK1414" s="4"/>
      <c r="AL1414" s="4" t="s">
        <v>174</v>
      </c>
      <c r="AM1414" s="4" t="s">
        <v>205</v>
      </c>
    </row>
    <row r="1415" customFormat="false" ht="23.85" hidden="false" customHeight="false" outlineLevel="0" collapsed="false">
      <c r="A1415" s="4" t="s">
        <v>167</v>
      </c>
      <c r="B1415" s="4" t="s">
        <v>1592</v>
      </c>
      <c r="C1415" s="4" t="s">
        <v>1592</v>
      </c>
      <c r="D1415" s="12" t="n">
        <v>2023</v>
      </c>
      <c r="E1415" s="4"/>
      <c r="F1415" s="4" t="s">
        <v>169</v>
      </c>
      <c r="G1415" s="4" t="s">
        <v>170</v>
      </c>
      <c r="H1415" s="4" t="s">
        <v>171</v>
      </c>
      <c r="I1415" s="4" t="s">
        <v>172</v>
      </c>
      <c r="J1415" s="4" t="s">
        <v>1592</v>
      </c>
      <c r="K1415" s="4" t="s">
        <v>97</v>
      </c>
      <c r="L1415" s="4" t="s">
        <v>98</v>
      </c>
      <c r="M1415" s="4"/>
      <c r="N1415" s="4"/>
      <c r="O1415" s="4"/>
      <c r="P1415" s="4"/>
      <c r="Q1415" s="4"/>
      <c r="R1415" s="4"/>
      <c r="S1415" s="13" t="n">
        <v>0</v>
      </c>
      <c r="T1415" s="4" t="s">
        <v>173</v>
      </c>
      <c r="U1415" s="14" t="n">
        <f aca="false">IF(OR($S1415="",PARAMETROS!$B$4=""),"",$S1415*PARAMETROS!$B$4)</f>
        <v>0</v>
      </c>
      <c r="V1415" s="13" t="n">
        <v>0</v>
      </c>
      <c r="W1415" s="4"/>
      <c r="X1415" s="4"/>
      <c r="Y1415" s="4"/>
      <c r="Z1415" s="4"/>
      <c r="AA1415" s="4"/>
      <c r="AB1415" s="4"/>
      <c r="AC1415" s="4"/>
      <c r="AD1415" s="4"/>
      <c r="AE1415" s="4"/>
      <c r="AF1415" s="4"/>
      <c r="AG1415" s="4"/>
      <c r="AH1415" s="4"/>
      <c r="AI1415" s="4"/>
      <c r="AJ1415" s="4"/>
      <c r="AK1415" s="4"/>
      <c r="AL1415" s="4" t="s">
        <v>174</v>
      </c>
      <c r="AM1415" s="4" t="s">
        <v>205</v>
      </c>
    </row>
    <row r="1416" customFormat="false" ht="23.85" hidden="false" customHeight="false" outlineLevel="0" collapsed="false">
      <c r="A1416" s="4" t="s">
        <v>167</v>
      </c>
      <c r="B1416" s="4" t="s">
        <v>1593</v>
      </c>
      <c r="C1416" s="4" t="s">
        <v>1593</v>
      </c>
      <c r="D1416" s="12" t="n">
        <v>2023</v>
      </c>
      <c r="E1416" s="4"/>
      <c r="F1416" s="4" t="s">
        <v>169</v>
      </c>
      <c r="G1416" s="4" t="s">
        <v>170</v>
      </c>
      <c r="H1416" s="4" t="s">
        <v>171</v>
      </c>
      <c r="I1416" s="4" t="s">
        <v>172</v>
      </c>
      <c r="J1416" s="4" t="s">
        <v>1593</v>
      </c>
      <c r="K1416" s="4" t="s">
        <v>99</v>
      </c>
      <c r="L1416" s="4" t="s">
        <v>100</v>
      </c>
      <c r="M1416" s="4"/>
      <c r="N1416" s="4"/>
      <c r="O1416" s="4"/>
      <c r="P1416" s="4"/>
      <c r="Q1416" s="4"/>
      <c r="R1416" s="4"/>
      <c r="S1416" s="13" t="n">
        <v>0</v>
      </c>
      <c r="T1416" s="4" t="s">
        <v>173</v>
      </c>
      <c r="U1416" s="14" t="n">
        <f aca="false">IF(OR($S1416="",PARAMETROS!$B$4=""),"",$S1416*PARAMETROS!$B$4)</f>
        <v>0</v>
      </c>
      <c r="V1416" s="13" t="n">
        <v>0</v>
      </c>
      <c r="W1416" s="4"/>
      <c r="X1416" s="4"/>
      <c r="Y1416" s="4"/>
      <c r="Z1416" s="4"/>
      <c r="AA1416" s="4"/>
      <c r="AB1416" s="4"/>
      <c r="AC1416" s="4"/>
      <c r="AD1416" s="4"/>
      <c r="AE1416" s="4"/>
      <c r="AF1416" s="4"/>
      <c r="AG1416" s="4"/>
      <c r="AH1416" s="4"/>
      <c r="AI1416" s="4"/>
      <c r="AJ1416" s="4"/>
      <c r="AK1416" s="4"/>
      <c r="AL1416" s="4" t="s">
        <v>174</v>
      </c>
      <c r="AM1416" s="4" t="s">
        <v>205</v>
      </c>
    </row>
    <row r="1417" customFormat="false" ht="23.85" hidden="false" customHeight="false" outlineLevel="0" collapsed="false">
      <c r="A1417" s="4" t="s">
        <v>167</v>
      </c>
      <c r="B1417" s="4" t="s">
        <v>1594</v>
      </c>
      <c r="C1417" s="4" t="s">
        <v>1594</v>
      </c>
      <c r="D1417" s="12" t="n">
        <v>2023</v>
      </c>
      <c r="E1417" s="4"/>
      <c r="F1417" s="4" t="s">
        <v>169</v>
      </c>
      <c r="G1417" s="4" t="s">
        <v>170</v>
      </c>
      <c r="H1417" s="4" t="s">
        <v>171</v>
      </c>
      <c r="I1417" s="4" t="s">
        <v>172</v>
      </c>
      <c r="J1417" s="4" t="s">
        <v>1594</v>
      </c>
      <c r="K1417" s="4" t="s">
        <v>99</v>
      </c>
      <c r="L1417" s="4" t="s">
        <v>100</v>
      </c>
      <c r="M1417" s="4"/>
      <c r="N1417" s="4"/>
      <c r="O1417" s="4"/>
      <c r="P1417" s="4"/>
      <c r="Q1417" s="4"/>
      <c r="R1417" s="4"/>
      <c r="S1417" s="13" t="n">
        <v>1204.66</v>
      </c>
      <c r="T1417" s="4" t="s">
        <v>173</v>
      </c>
      <c r="U1417" s="14" t="n">
        <f aca="false">IF(OR($S1417="",PARAMETROS!$B$4=""),"",$S1417*PARAMETROS!$B$4)</f>
        <v>6999.0746</v>
      </c>
      <c r="V1417" s="13" t="n">
        <v>0</v>
      </c>
      <c r="W1417" s="4"/>
      <c r="X1417" s="4"/>
      <c r="Y1417" s="4"/>
      <c r="Z1417" s="4"/>
      <c r="AA1417" s="4"/>
      <c r="AB1417" s="4"/>
      <c r="AC1417" s="4"/>
      <c r="AD1417" s="4"/>
      <c r="AE1417" s="4"/>
      <c r="AF1417" s="4"/>
      <c r="AG1417" s="4"/>
      <c r="AH1417" s="4"/>
      <c r="AI1417" s="4"/>
      <c r="AJ1417" s="4"/>
      <c r="AK1417" s="4"/>
      <c r="AL1417" s="4" t="s">
        <v>174</v>
      </c>
      <c r="AM1417" s="4" t="s">
        <v>205</v>
      </c>
    </row>
    <row r="1418" customFormat="false" ht="23.85" hidden="false" customHeight="false" outlineLevel="0" collapsed="false">
      <c r="A1418" s="4" t="s">
        <v>167</v>
      </c>
      <c r="B1418" s="4" t="s">
        <v>1595</v>
      </c>
      <c r="C1418" s="4" t="s">
        <v>1595</v>
      </c>
      <c r="D1418" s="12" t="n">
        <v>2023</v>
      </c>
      <c r="E1418" s="4"/>
      <c r="F1418" s="4" t="s">
        <v>169</v>
      </c>
      <c r="G1418" s="4" t="s">
        <v>170</v>
      </c>
      <c r="H1418" s="4" t="s">
        <v>171</v>
      </c>
      <c r="I1418" s="4" t="s">
        <v>172</v>
      </c>
      <c r="J1418" s="4" t="s">
        <v>1595</v>
      </c>
      <c r="K1418" s="4" t="s">
        <v>99</v>
      </c>
      <c r="L1418" s="4" t="s">
        <v>100</v>
      </c>
      <c r="M1418" s="4"/>
      <c r="N1418" s="4"/>
      <c r="O1418" s="4"/>
      <c r="P1418" s="4"/>
      <c r="Q1418" s="4"/>
      <c r="R1418" s="4"/>
      <c r="S1418" s="13" t="n">
        <v>659.41</v>
      </c>
      <c r="T1418" s="4" t="s">
        <v>173</v>
      </c>
      <c r="U1418" s="14" t="n">
        <f aca="false">IF(OR($S1418="",PARAMETROS!$B$4=""),"",$S1418*PARAMETROS!$B$4)</f>
        <v>3831.1721</v>
      </c>
      <c r="V1418" s="13" t="n">
        <v>0</v>
      </c>
      <c r="W1418" s="4"/>
      <c r="X1418" s="4"/>
      <c r="Y1418" s="4"/>
      <c r="Z1418" s="4"/>
      <c r="AA1418" s="4"/>
      <c r="AB1418" s="4"/>
      <c r="AC1418" s="4"/>
      <c r="AD1418" s="4"/>
      <c r="AE1418" s="4"/>
      <c r="AF1418" s="4"/>
      <c r="AG1418" s="4"/>
      <c r="AH1418" s="4"/>
      <c r="AI1418" s="4"/>
      <c r="AJ1418" s="4"/>
      <c r="AK1418" s="4"/>
      <c r="AL1418" s="4" t="s">
        <v>174</v>
      </c>
      <c r="AM1418" s="4" t="s">
        <v>205</v>
      </c>
    </row>
    <row r="1419" customFormat="false" ht="23.85" hidden="false" customHeight="false" outlineLevel="0" collapsed="false">
      <c r="A1419" s="4" t="s">
        <v>167</v>
      </c>
      <c r="B1419" s="4" t="s">
        <v>1596</v>
      </c>
      <c r="C1419" s="4" t="s">
        <v>1596</v>
      </c>
      <c r="D1419" s="12" t="n">
        <v>2023</v>
      </c>
      <c r="E1419" s="4"/>
      <c r="F1419" s="4" t="s">
        <v>169</v>
      </c>
      <c r="G1419" s="4" t="s">
        <v>170</v>
      </c>
      <c r="H1419" s="4" t="s">
        <v>171</v>
      </c>
      <c r="I1419" s="4" t="s">
        <v>172</v>
      </c>
      <c r="J1419" s="4" t="s">
        <v>1596</v>
      </c>
      <c r="K1419" s="4" t="s">
        <v>99</v>
      </c>
      <c r="L1419" s="4" t="s">
        <v>100</v>
      </c>
      <c r="M1419" s="4"/>
      <c r="N1419" s="4"/>
      <c r="O1419" s="4"/>
      <c r="P1419" s="4"/>
      <c r="Q1419" s="4"/>
      <c r="R1419" s="4"/>
      <c r="S1419" s="13" t="n">
        <v>0</v>
      </c>
      <c r="T1419" s="4" t="s">
        <v>173</v>
      </c>
      <c r="U1419" s="14" t="n">
        <f aca="false">IF(OR($S1419="",PARAMETROS!$B$4=""),"",$S1419*PARAMETROS!$B$4)</f>
        <v>0</v>
      </c>
      <c r="V1419" s="13" t="n">
        <v>0</v>
      </c>
      <c r="W1419" s="4"/>
      <c r="X1419" s="4"/>
      <c r="Y1419" s="4"/>
      <c r="Z1419" s="4"/>
      <c r="AA1419" s="4"/>
      <c r="AB1419" s="4"/>
      <c r="AC1419" s="4"/>
      <c r="AD1419" s="4"/>
      <c r="AE1419" s="4"/>
      <c r="AF1419" s="4"/>
      <c r="AG1419" s="4"/>
      <c r="AH1419" s="4"/>
      <c r="AI1419" s="4"/>
      <c r="AJ1419" s="4"/>
      <c r="AK1419" s="4"/>
      <c r="AL1419" s="4" t="s">
        <v>174</v>
      </c>
      <c r="AM1419" s="4" t="s">
        <v>205</v>
      </c>
    </row>
    <row r="1420" customFormat="false" ht="23.85" hidden="false" customHeight="false" outlineLevel="0" collapsed="false">
      <c r="A1420" s="4" t="s">
        <v>167</v>
      </c>
      <c r="B1420" s="4" t="s">
        <v>1597</v>
      </c>
      <c r="C1420" s="4" t="s">
        <v>1597</v>
      </c>
      <c r="D1420" s="12" t="n">
        <v>2023</v>
      </c>
      <c r="E1420" s="4"/>
      <c r="F1420" s="4" t="s">
        <v>169</v>
      </c>
      <c r="G1420" s="4" t="s">
        <v>170</v>
      </c>
      <c r="H1420" s="4" t="s">
        <v>171</v>
      </c>
      <c r="I1420" s="4" t="s">
        <v>172</v>
      </c>
      <c r="J1420" s="4" t="s">
        <v>1597</v>
      </c>
      <c r="K1420" s="4" t="s">
        <v>99</v>
      </c>
      <c r="L1420" s="4" t="s">
        <v>100</v>
      </c>
      <c r="M1420" s="4"/>
      <c r="N1420" s="4"/>
      <c r="O1420" s="4"/>
      <c r="P1420" s="4"/>
      <c r="Q1420" s="4"/>
      <c r="R1420" s="4"/>
      <c r="S1420" s="13" t="n">
        <v>0</v>
      </c>
      <c r="T1420" s="4" t="s">
        <v>173</v>
      </c>
      <c r="U1420" s="14" t="n">
        <f aca="false">IF(OR($S1420="",PARAMETROS!$B$4=""),"",$S1420*PARAMETROS!$B$4)</f>
        <v>0</v>
      </c>
      <c r="V1420" s="13" t="n">
        <v>0</v>
      </c>
      <c r="W1420" s="4"/>
      <c r="X1420" s="4"/>
      <c r="Y1420" s="4"/>
      <c r="Z1420" s="4"/>
      <c r="AA1420" s="4"/>
      <c r="AB1420" s="4"/>
      <c r="AC1420" s="4"/>
      <c r="AD1420" s="4"/>
      <c r="AE1420" s="4"/>
      <c r="AF1420" s="4"/>
      <c r="AG1420" s="4"/>
      <c r="AH1420" s="4"/>
      <c r="AI1420" s="4"/>
      <c r="AJ1420" s="4"/>
      <c r="AK1420" s="4"/>
      <c r="AL1420" s="4" t="s">
        <v>174</v>
      </c>
      <c r="AM1420" s="4" t="s">
        <v>205</v>
      </c>
    </row>
    <row r="1421" customFormat="false" ht="23.85" hidden="false" customHeight="false" outlineLevel="0" collapsed="false">
      <c r="A1421" s="4" t="s">
        <v>167</v>
      </c>
      <c r="B1421" s="4" t="s">
        <v>1598</v>
      </c>
      <c r="C1421" s="4" t="s">
        <v>1598</v>
      </c>
      <c r="D1421" s="12" t="n">
        <v>2023</v>
      </c>
      <c r="E1421" s="4"/>
      <c r="F1421" s="4" t="s">
        <v>169</v>
      </c>
      <c r="G1421" s="4" t="s">
        <v>170</v>
      </c>
      <c r="H1421" s="4" t="s">
        <v>171</v>
      </c>
      <c r="I1421" s="4" t="s">
        <v>172</v>
      </c>
      <c r="J1421" s="4" t="s">
        <v>1598</v>
      </c>
      <c r="K1421" s="4" t="s">
        <v>99</v>
      </c>
      <c r="L1421" s="4" t="s">
        <v>100</v>
      </c>
      <c r="M1421" s="4"/>
      <c r="N1421" s="4"/>
      <c r="O1421" s="4"/>
      <c r="P1421" s="4"/>
      <c r="Q1421" s="4"/>
      <c r="R1421" s="4"/>
      <c r="S1421" s="13" t="n">
        <v>7797.22</v>
      </c>
      <c r="T1421" s="4" t="s">
        <v>173</v>
      </c>
      <c r="U1421" s="14" t="n">
        <f aca="false">IF(OR($S1421="",PARAMETROS!$B$4=""),"",$S1421*PARAMETROS!$B$4)</f>
        <v>45301.8482</v>
      </c>
      <c r="V1421" s="13" t="n">
        <v>0</v>
      </c>
      <c r="W1421" s="4"/>
      <c r="X1421" s="4"/>
      <c r="Y1421" s="4"/>
      <c r="Z1421" s="4"/>
      <c r="AA1421" s="4"/>
      <c r="AB1421" s="4"/>
      <c r="AC1421" s="4"/>
      <c r="AD1421" s="4"/>
      <c r="AE1421" s="4"/>
      <c r="AF1421" s="4"/>
      <c r="AG1421" s="4"/>
      <c r="AH1421" s="4"/>
      <c r="AI1421" s="4"/>
      <c r="AJ1421" s="4"/>
      <c r="AK1421" s="4"/>
      <c r="AL1421" s="4" t="s">
        <v>174</v>
      </c>
      <c r="AM1421" s="4" t="s">
        <v>205</v>
      </c>
    </row>
    <row r="1422" customFormat="false" ht="23.85" hidden="false" customHeight="false" outlineLevel="0" collapsed="false">
      <c r="A1422" s="4" t="s">
        <v>167</v>
      </c>
      <c r="B1422" s="4" t="s">
        <v>1599</v>
      </c>
      <c r="C1422" s="4" t="s">
        <v>1599</v>
      </c>
      <c r="D1422" s="12" t="n">
        <v>2023</v>
      </c>
      <c r="E1422" s="4"/>
      <c r="F1422" s="4" t="s">
        <v>169</v>
      </c>
      <c r="G1422" s="4" t="s">
        <v>170</v>
      </c>
      <c r="H1422" s="4" t="s">
        <v>171</v>
      </c>
      <c r="I1422" s="4" t="s">
        <v>172</v>
      </c>
      <c r="J1422" s="4" t="s">
        <v>1599</v>
      </c>
      <c r="K1422" s="4" t="s">
        <v>99</v>
      </c>
      <c r="L1422" s="4" t="s">
        <v>100</v>
      </c>
      <c r="M1422" s="4"/>
      <c r="N1422" s="4"/>
      <c r="O1422" s="4"/>
      <c r="P1422" s="4"/>
      <c r="Q1422" s="4"/>
      <c r="R1422" s="4"/>
      <c r="S1422" s="13" t="n">
        <v>642.49</v>
      </c>
      <c r="T1422" s="4" t="s">
        <v>173</v>
      </c>
      <c r="U1422" s="14" t="n">
        <f aca="false">IF(OR($S1422="",PARAMETROS!$B$4=""),"",$S1422*PARAMETROS!$B$4)</f>
        <v>3732.8669</v>
      </c>
      <c r="V1422" s="13" t="n">
        <v>0</v>
      </c>
      <c r="W1422" s="4"/>
      <c r="X1422" s="4"/>
      <c r="Y1422" s="4"/>
      <c r="Z1422" s="4"/>
      <c r="AA1422" s="4"/>
      <c r="AB1422" s="4"/>
      <c r="AC1422" s="4"/>
      <c r="AD1422" s="4"/>
      <c r="AE1422" s="4"/>
      <c r="AF1422" s="4"/>
      <c r="AG1422" s="4"/>
      <c r="AH1422" s="4"/>
      <c r="AI1422" s="4"/>
      <c r="AJ1422" s="4"/>
      <c r="AK1422" s="4"/>
      <c r="AL1422" s="4" t="s">
        <v>174</v>
      </c>
      <c r="AM1422" s="4" t="s">
        <v>205</v>
      </c>
    </row>
    <row r="1423" customFormat="false" ht="23.85" hidden="false" customHeight="false" outlineLevel="0" collapsed="false">
      <c r="A1423" s="4" t="s">
        <v>167</v>
      </c>
      <c r="B1423" s="4" t="s">
        <v>1600</v>
      </c>
      <c r="C1423" s="4" t="s">
        <v>1600</v>
      </c>
      <c r="D1423" s="12" t="n">
        <v>2023</v>
      </c>
      <c r="E1423" s="4"/>
      <c r="F1423" s="4" t="s">
        <v>169</v>
      </c>
      <c r="G1423" s="4" t="s">
        <v>170</v>
      </c>
      <c r="H1423" s="4" t="s">
        <v>171</v>
      </c>
      <c r="I1423" s="4" t="s">
        <v>172</v>
      </c>
      <c r="J1423" s="4" t="s">
        <v>1600</v>
      </c>
      <c r="K1423" s="4" t="s">
        <v>99</v>
      </c>
      <c r="L1423" s="4" t="s">
        <v>100</v>
      </c>
      <c r="M1423" s="4"/>
      <c r="N1423" s="4"/>
      <c r="O1423" s="4"/>
      <c r="P1423" s="4"/>
      <c r="Q1423" s="4"/>
      <c r="R1423" s="4"/>
      <c r="S1423" s="13" t="n">
        <v>315.75</v>
      </c>
      <c r="T1423" s="4" t="s">
        <v>173</v>
      </c>
      <c r="U1423" s="14" t="n">
        <f aca="false">IF(OR($S1423="",PARAMETROS!$B$4=""),"",$S1423*PARAMETROS!$B$4)</f>
        <v>1834.5075</v>
      </c>
      <c r="V1423" s="13" t="n">
        <v>0</v>
      </c>
      <c r="W1423" s="4"/>
      <c r="X1423" s="4"/>
      <c r="Y1423" s="4"/>
      <c r="Z1423" s="4"/>
      <c r="AA1423" s="4"/>
      <c r="AB1423" s="4"/>
      <c r="AC1423" s="4"/>
      <c r="AD1423" s="4"/>
      <c r="AE1423" s="4"/>
      <c r="AF1423" s="4"/>
      <c r="AG1423" s="4"/>
      <c r="AH1423" s="4"/>
      <c r="AI1423" s="4"/>
      <c r="AJ1423" s="4"/>
      <c r="AK1423" s="4"/>
      <c r="AL1423" s="4" t="s">
        <v>174</v>
      </c>
      <c r="AM1423" s="4" t="s">
        <v>205</v>
      </c>
    </row>
    <row r="1424" customFormat="false" ht="23.85" hidden="false" customHeight="false" outlineLevel="0" collapsed="false">
      <c r="A1424" s="4" t="s">
        <v>167</v>
      </c>
      <c r="B1424" s="4" t="s">
        <v>1601</v>
      </c>
      <c r="C1424" s="4" t="s">
        <v>1601</v>
      </c>
      <c r="D1424" s="12" t="n">
        <v>2023</v>
      </c>
      <c r="E1424" s="4"/>
      <c r="F1424" s="4" t="s">
        <v>169</v>
      </c>
      <c r="G1424" s="4" t="s">
        <v>170</v>
      </c>
      <c r="H1424" s="4" t="s">
        <v>171</v>
      </c>
      <c r="I1424" s="4" t="s">
        <v>172</v>
      </c>
      <c r="J1424" s="4" t="s">
        <v>1601</v>
      </c>
      <c r="K1424" s="4" t="s">
        <v>99</v>
      </c>
      <c r="L1424" s="4" t="s">
        <v>100</v>
      </c>
      <c r="M1424" s="4"/>
      <c r="N1424" s="4"/>
      <c r="O1424" s="4"/>
      <c r="P1424" s="4"/>
      <c r="Q1424" s="4"/>
      <c r="R1424" s="4"/>
      <c r="S1424" s="13" t="n">
        <v>1.99</v>
      </c>
      <c r="T1424" s="4" t="s">
        <v>173</v>
      </c>
      <c r="U1424" s="14" t="n">
        <f aca="false">IF(OR($S1424="",PARAMETROS!$B$4=""),"",$S1424*PARAMETROS!$B$4)</f>
        <v>11.5619</v>
      </c>
      <c r="V1424" s="13" t="n">
        <v>0</v>
      </c>
      <c r="W1424" s="4"/>
      <c r="X1424" s="4"/>
      <c r="Y1424" s="4"/>
      <c r="Z1424" s="4"/>
      <c r="AA1424" s="4"/>
      <c r="AB1424" s="4"/>
      <c r="AC1424" s="4"/>
      <c r="AD1424" s="4"/>
      <c r="AE1424" s="4"/>
      <c r="AF1424" s="4"/>
      <c r="AG1424" s="4"/>
      <c r="AH1424" s="4"/>
      <c r="AI1424" s="4"/>
      <c r="AJ1424" s="4"/>
      <c r="AK1424" s="4"/>
      <c r="AL1424" s="4" t="s">
        <v>174</v>
      </c>
      <c r="AM1424" s="4" t="s">
        <v>205</v>
      </c>
    </row>
    <row r="1425" customFormat="false" ht="23.85" hidden="false" customHeight="false" outlineLevel="0" collapsed="false">
      <c r="A1425" s="4" t="s">
        <v>167</v>
      </c>
      <c r="B1425" s="4" t="s">
        <v>1602</v>
      </c>
      <c r="C1425" s="4" t="s">
        <v>1602</v>
      </c>
      <c r="D1425" s="12" t="n">
        <v>2023</v>
      </c>
      <c r="E1425" s="4"/>
      <c r="F1425" s="4" t="s">
        <v>169</v>
      </c>
      <c r="G1425" s="4" t="s">
        <v>170</v>
      </c>
      <c r="H1425" s="4" t="s">
        <v>171</v>
      </c>
      <c r="I1425" s="4" t="s">
        <v>172</v>
      </c>
      <c r="J1425" s="4" t="s">
        <v>1602</v>
      </c>
      <c r="K1425" s="4" t="s">
        <v>99</v>
      </c>
      <c r="L1425" s="4" t="s">
        <v>100</v>
      </c>
      <c r="M1425" s="4"/>
      <c r="N1425" s="4"/>
      <c r="O1425" s="4"/>
      <c r="P1425" s="4"/>
      <c r="Q1425" s="4"/>
      <c r="R1425" s="4"/>
      <c r="S1425" s="13" t="n">
        <v>2680.76</v>
      </c>
      <c r="T1425" s="4" t="s">
        <v>173</v>
      </c>
      <c r="U1425" s="14" t="n">
        <f aca="false">IF(OR($S1425="",PARAMETROS!$B$4=""),"",$S1425*PARAMETROS!$B$4)</f>
        <v>15575.2156</v>
      </c>
      <c r="V1425" s="13" t="n">
        <v>0</v>
      </c>
      <c r="W1425" s="4"/>
      <c r="X1425" s="4"/>
      <c r="Y1425" s="4"/>
      <c r="Z1425" s="4"/>
      <c r="AA1425" s="4"/>
      <c r="AB1425" s="4"/>
      <c r="AC1425" s="4"/>
      <c r="AD1425" s="4"/>
      <c r="AE1425" s="4"/>
      <c r="AF1425" s="4"/>
      <c r="AG1425" s="4"/>
      <c r="AH1425" s="4"/>
      <c r="AI1425" s="4"/>
      <c r="AJ1425" s="4"/>
      <c r="AK1425" s="4"/>
      <c r="AL1425" s="4" t="s">
        <v>174</v>
      </c>
      <c r="AM1425" s="4" t="s">
        <v>205</v>
      </c>
    </row>
    <row r="1426" customFormat="false" ht="23.85" hidden="false" customHeight="false" outlineLevel="0" collapsed="false">
      <c r="A1426" s="4" t="s">
        <v>167</v>
      </c>
      <c r="B1426" s="4" t="s">
        <v>1603</v>
      </c>
      <c r="C1426" s="4" t="s">
        <v>1603</v>
      </c>
      <c r="D1426" s="12" t="n">
        <v>2023</v>
      </c>
      <c r="E1426" s="4"/>
      <c r="F1426" s="4" t="s">
        <v>169</v>
      </c>
      <c r="G1426" s="4" t="s">
        <v>170</v>
      </c>
      <c r="H1426" s="4" t="s">
        <v>171</v>
      </c>
      <c r="I1426" s="4" t="s">
        <v>172</v>
      </c>
      <c r="J1426" s="4" t="s">
        <v>1603</v>
      </c>
      <c r="K1426" s="4" t="s">
        <v>99</v>
      </c>
      <c r="L1426" s="4" t="s">
        <v>100</v>
      </c>
      <c r="M1426" s="4"/>
      <c r="N1426" s="4"/>
      <c r="O1426" s="4"/>
      <c r="P1426" s="4"/>
      <c r="Q1426" s="4"/>
      <c r="R1426" s="4"/>
      <c r="S1426" s="13" t="n">
        <v>1972.29</v>
      </c>
      <c r="T1426" s="4" t="s">
        <v>173</v>
      </c>
      <c r="U1426" s="14" t="n">
        <f aca="false">IF(OR($S1426="",PARAMETROS!$B$4=""),"",$S1426*PARAMETROS!$B$4)</f>
        <v>11459.0049</v>
      </c>
      <c r="V1426" s="13" t="n">
        <v>0</v>
      </c>
      <c r="W1426" s="4"/>
      <c r="X1426" s="4"/>
      <c r="Y1426" s="4"/>
      <c r="Z1426" s="4"/>
      <c r="AA1426" s="4"/>
      <c r="AB1426" s="4"/>
      <c r="AC1426" s="4"/>
      <c r="AD1426" s="4"/>
      <c r="AE1426" s="4"/>
      <c r="AF1426" s="4"/>
      <c r="AG1426" s="4"/>
      <c r="AH1426" s="4"/>
      <c r="AI1426" s="4"/>
      <c r="AJ1426" s="4"/>
      <c r="AK1426" s="4"/>
      <c r="AL1426" s="4" t="s">
        <v>174</v>
      </c>
      <c r="AM1426" s="4" t="s">
        <v>205</v>
      </c>
    </row>
    <row r="1427" customFormat="false" ht="23.85" hidden="false" customHeight="false" outlineLevel="0" collapsed="false">
      <c r="A1427" s="4" t="s">
        <v>167</v>
      </c>
      <c r="B1427" s="4" t="s">
        <v>1604</v>
      </c>
      <c r="C1427" s="4" t="s">
        <v>1604</v>
      </c>
      <c r="D1427" s="12" t="n">
        <v>2023</v>
      </c>
      <c r="E1427" s="4"/>
      <c r="F1427" s="4" t="s">
        <v>169</v>
      </c>
      <c r="G1427" s="4" t="s">
        <v>170</v>
      </c>
      <c r="H1427" s="4" t="s">
        <v>171</v>
      </c>
      <c r="I1427" s="4" t="s">
        <v>172</v>
      </c>
      <c r="J1427" s="4" t="s">
        <v>1604</v>
      </c>
      <c r="K1427" s="4" t="s">
        <v>99</v>
      </c>
      <c r="L1427" s="4" t="s">
        <v>100</v>
      </c>
      <c r="M1427" s="4"/>
      <c r="N1427" s="4"/>
      <c r="O1427" s="4"/>
      <c r="P1427" s="4"/>
      <c r="Q1427" s="4"/>
      <c r="R1427" s="4"/>
      <c r="S1427" s="13" t="n">
        <v>2921.45</v>
      </c>
      <c r="T1427" s="4" t="s">
        <v>173</v>
      </c>
      <c r="U1427" s="14" t="n">
        <f aca="false">IF(OR($S1427="",PARAMETROS!$B$4=""),"",$S1427*PARAMETROS!$B$4)</f>
        <v>16973.6245</v>
      </c>
      <c r="V1427" s="13" t="n">
        <v>0</v>
      </c>
      <c r="W1427" s="4"/>
      <c r="X1427" s="4"/>
      <c r="Y1427" s="4"/>
      <c r="Z1427" s="4"/>
      <c r="AA1427" s="4"/>
      <c r="AB1427" s="4"/>
      <c r="AC1427" s="4"/>
      <c r="AD1427" s="4"/>
      <c r="AE1427" s="4"/>
      <c r="AF1427" s="4"/>
      <c r="AG1427" s="4"/>
      <c r="AH1427" s="4"/>
      <c r="AI1427" s="4"/>
      <c r="AJ1427" s="4"/>
      <c r="AK1427" s="4"/>
      <c r="AL1427" s="4" t="s">
        <v>174</v>
      </c>
      <c r="AM1427" s="4" t="s">
        <v>205</v>
      </c>
    </row>
    <row r="1428" customFormat="false" ht="23.85" hidden="false" customHeight="false" outlineLevel="0" collapsed="false">
      <c r="A1428" s="4" t="s">
        <v>167</v>
      </c>
      <c r="B1428" s="4" t="s">
        <v>1605</v>
      </c>
      <c r="C1428" s="4" t="s">
        <v>1605</v>
      </c>
      <c r="D1428" s="12" t="n">
        <v>2023</v>
      </c>
      <c r="E1428" s="4"/>
      <c r="F1428" s="4" t="s">
        <v>169</v>
      </c>
      <c r="G1428" s="4" t="s">
        <v>170</v>
      </c>
      <c r="H1428" s="4" t="s">
        <v>171</v>
      </c>
      <c r="I1428" s="4" t="s">
        <v>172</v>
      </c>
      <c r="J1428" s="4" t="s">
        <v>1605</v>
      </c>
      <c r="K1428" s="4" t="s">
        <v>99</v>
      </c>
      <c r="L1428" s="4" t="s">
        <v>100</v>
      </c>
      <c r="M1428" s="4"/>
      <c r="N1428" s="4"/>
      <c r="O1428" s="4"/>
      <c r="P1428" s="4"/>
      <c r="Q1428" s="4"/>
      <c r="R1428" s="4"/>
      <c r="S1428" s="13" t="n">
        <v>0</v>
      </c>
      <c r="T1428" s="4" t="s">
        <v>173</v>
      </c>
      <c r="U1428" s="14" t="n">
        <f aca="false">IF(OR($S1428="",PARAMETROS!$B$4=""),"",$S1428*PARAMETROS!$B$4)</f>
        <v>0</v>
      </c>
      <c r="V1428" s="13" t="n">
        <v>0</v>
      </c>
      <c r="W1428" s="4"/>
      <c r="X1428" s="4"/>
      <c r="Y1428" s="4"/>
      <c r="Z1428" s="4"/>
      <c r="AA1428" s="4"/>
      <c r="AB1428" s="4"/>
      <c r="AC1428" s="4"/>
      <c r="AD1428" s="4"/>
      <c r="AE1428" s="4"/>
      <c r="AF1428" s="4"/>
      <c r="AG1428" s="4"/>
      <c r="AH1428" s="4"/>
      <c r="AI1428" s="4"/>
      <c r="AJ1428" s="4"/>
      <c r="AK1428" s="4"/>
      <c r="AL1428" s="4" t="s">
        <v>174</v>
      </c>
      <c r="AM1428" s="4" t="s">
        <v>205</v>
      </c>
    </row>
    <row r="1429" customFormat="false" ht="23.85" hidden="false" customHeight="false" outlineLevel="0" collapsed="false">
      <c r="A1429" s="4" t="s">
        <v>167</v>
      </c>
      <c r="B1429" s="4" t="s">
        <v>1606</v>
      </c>
      <c r="C1429" s="4" t="s">
        <v>1606</v>
      </c>
      <c r="D1429" s="12" t="n">
        <v>2023</v>
      </c>
      <c r="E1429" s="4"/>
      <c r="F1429" s="4" t="s">
        <v>169</v>
      </c>
      <c r="G1429" s="4" t="s">
        <v>170</v>
      </c>
      <c r="H1429" s="4" t="s">
        <v>171</v>
      </c>
      <c r="I1429" s="4" t="s">
        <v>172</v>
      </c>
      <c r="J1429" s="4" t="s">
        <v>1606</v>
      </c>
      <c r="K1429" s="4" t="s">
        <v>99</v>
      </c>
      <c r="L1429" s="4" t="s">
        <v>100</v>
      </c>
      <c r="M1429" s="4"/>
      <c r="N1429" s="4"/>
      <c r="O1429" s="4"/>
      <c r="P1429" s="4"/>
      <c r="Q1429" s="4"/>
      <c r="R1429" s="4"/>
      <c r="S1429" s="13" t="n">
        <v>1092.72</v>
      </c>
      <c r="T1429" s="4" t="s">
        <v>173</v>
      </c>
      <c r="U1429" s="14" t="n">
        <f aca="false">IF(OR($S1429="",PARAMETROS!$B$4=""),"",$S1429*PARAMETROS!$B$4)</f>
        <v>6348.7032</v>
      </c>
      <c r="V1429" s="13" t="n">
        <v>0</v>
      </c>
      <c r="W1429" s="4"/>
      <c r="X1429" s="4"/>
      <c r="Y1429" s="4"/>
      <c r="Z1429" s="4"/>
      <c r="AA1429" s="4"/>
      <c r="AB1429" s="4"/>
      <c r="AC1429" s="4"/>
      <c r="AD1429" s="4"/>
      <c r="AE1429" s="4"/>
      <c r="AF1429" s="4"/>
      <c r="AG1429" s="4"/>
      <c r="AH1429" s="4"/>
      <c r="AI1429" s="4"/>
      <c r="AJ1429" s="4"/>
      <c r="AK1429" s="4"/>
      <c r="AL1429" s="4" t="s">
        <v>174</v>
      </c>
      <c r="AM1429" s="4" t="s">
        <v>205</v>
      </c>
    </row>
    <row r="1430" customFormat="false" ht="23.85" hidden="false" customHeight="false" outlineLevel="0" collapsed="false">
      <c r="A1430" s="4" t="s">
        <v>167</v>
      </c>
      <c r="B1430" s="4" t="s">
        <v>1607</v>
      </c>
      <c r="C1430" s="4" t="s">
        <v>1607</v>
      </c>
      <c r="D1430" s="12" t="n">
        <v>2023</v>
      </c>
      <c r="E1430" s="4"/>
      <c r="F1430" s="4" t="s">
        <v>169</v>
      </c>
      <c r="G1430" s="4" t="s">
        <v>170</v>
      </c>
      <c r="H1430" s="4" t="s">
        <v>171</v>
      </c>
      <c r="I1430" s="4" t="s">
        <v>172</v>
      </c>
      <c r="J1430" s="4" t="s">
        <v>1607</v>
      </c>
      <c r="K1430" s="4" t="s">
        <v>101</v>
      </c>
      <c r="L1430" s="4" t="s">
        <v>102</v>
      </c>
      <c r="M1430" s="4"/>
      <c r="N1430" s="4"/>
      <c r="O1430" s="4"/>
      <c r="P1430" s="4"/>
      <c r="Q1430" s="4"/>
      <c r="R1430" s="4"/>
      <c r="S1430" s="13" t="n">
        <v>0</v>
      </c>
      <c r="T1430" s="4" t="s">
        <v>173</v>
      </c>
      <c r="U1430" s="14" t="n">
        <f aca="false">IF(OR($S1430="",PARAMETROS!$B$4=""),"",$S1430*PARAMETROS!$B$4)</f>
        <v>0</v>
      </c>
      <c r="V1430" s="13" t="n">
        <v>0</v>
      </c>
      <c r="W1430" s="4"/>
      <c r="X1430" s="4"/>
      <c r="Y1430" s="4"/>
      <c r="Z1430" s="4"/>
      <c r="AA1430" s="4"/>
      <c r="AB1430" s="4"/>
      <c r="AC1430" s="4"/>
      <c r="AD1430" s="4"/>
      <c r="AE1430" s="4"/>
      <c r="AF1430" s="4"/>
      <c r="AG1430" s="4"/>
      <c r="AH1430" s="4"/>
      <c r="AI1430" s="4"/>
      <c r="AJ1430" s="4"/>
      <c r="AK1430" s="4"/>
      <c r="AL1430" s="4" t="s">
        <v>174</v>
      </c>
      <c r="AM1430" s="4" t="s">
        <v>205</v>
      </c>
    </row>
    <row r="1431" customFormat="false" ht="23.85" hidden="false" customHeight="false" outlineLevel="0" collapsed="false">
      <c r="A1431" s="4" t="s">
        <v>167</v>
      </c>
      <c r="B1431" s="4" t="s">
        <v>1608</v>
      </c>
      <c r="C1431" s="4" t="s">
        <v>1608</v>
      </c>
      <c r="D1431" s="12" t="n">
        <v>2023</v>
      </c>
      <c r="E1431" s="4"/>
      <c r="F1431" s="4" t="s">
        <v>169</v>
      </c>
      <c r="G1431" s="4" t="s">
        <v>170</v>
      </c>
      <c r="H1431" s="4" t="s">
        <v>171</v>
      </c>
      <c r="I1431" s="4" t="s">
        <v>172</v>
      </c>
      <c r="J1431" s="4" t="s">
        <v>1608</v>
      </c>
      <c r="K1431" s="4" t="s">
        <v>101</v>
      </c>
      <c r="L1431" s="4" t="s">
        <v>102</v>
      </c>
      <c r="M1431" s="4"/>
      <c r="N1431" s="4"/>
      <c r="O1431" s="4"/>
      <c r="P1431" s="4"/>
      <c r="Q1431" s="4"/>
      <c r="R1431" s="4"/>
      <c r="S1431" s="13" t="n">
        <v>2378.41</v>
      </c>
      <c r="T1431" s="4" t="s">
        <v>173</v>
      </c>
      <c r="U1431" s="14" t="n">
        <f aca="false">IF(OR($S1431="",PARAMETROS!$B$4=""),"",$S1431*PARAMETROS!$B$4)</f>
        <v>13818.5621</v>
      </c>
      <c r="V1431" s="13" t="n">
        <v>0</v>
      </c>
      <c r="W1431" s="4"/>
      <c r="X1431" s="4"/>
      <c r="Y1431" s="4"/>
      <c r="Z1431" s="4"/>
      <c r="AA1431" s="4"/>
      <c r="AB1431" s="4"/>
      <c r="AC1431" s="4"/>
      <c r="AD1431" s="4"/>
      <c r="AE1431" s="4"/>
      <c r="AF1431" s="4"/>
      <c r="AG1431" s="4"/>
      <c r="AH1431" s="4"/>
      <c r="AI1431" s="4"/>
      <c r="AJ1431" s="4"/>
      <c r="AK1431" s="4"/>
      <c r="AL1431" s="4" t="s">
        <v>174</v>
      </c>
      <c r="AM1431" s="4" t="s">
        <v>205</v>
      </c>
    </row>
    <row r="1432" customFormat="false" ht="23.85" hidden="false" customHeight="false" outlineLevel="0" collapsed="false">
      <c r="A1432" s="4" t="s">
        <v>167</v>
      </c>
      <c r="B1432" s="4" t="s">
        <v>1609</v>
      </c>
      <c r="C1432" s="4" t="s">
        <v>1609</v>
      </c>
      <c r="D1432" s="12" t="n">
        <v>2023</v>
      </c>
      <c r="E1432" s="4"/>
      <c r="F1432" s="4" t="s">
        <v>169</v>
      </c>
      <c r="G1432" s="4" t="s">
        <v>170</v>
      </c>
      <c r="H1432" s="4" t="s">
        <v>171</v>
      </c>
      <c r="I1432" s="4" t="s">
        <v>172</v>
      </c>
      <c r="J1432" s="4" t="s">
        <v>1609</v>
      </c>
      <c r="K1432" s="4" t="s">
        <v>101</v>
      </c>
      <c r="L1432" s="4" t="s">
        <v>102</v>
      </c>
      <c r="M1432" s="4"/>
      <c r="N1432" s="4"/>
      <c r="O1432" s="4"/>
      <c r="P1432" s="4"/>
      <c r="Q1432" s="4"/>
      <c r="R1432" s="4"/>
      <c r="S1432" s="13" t="n">
        <v>0</v>
      </c>
      <c r="T1432" s="4" t="s">
        <v>173</v>
      </c>
      <c r="U1432" s="14" t="n">
        <f aca="false">IF(OR($S1432="",PARAMETROS!$B$4=""),"",$S1432*PARAMETROS!$B$4)</f>
        <v>0</v>
      </c>
      <c r="V1432" s="13" t="n">
        <v>0</v>
      </c>
      <c r="W1432" s="4"/>
      <c r="X1432" s="4"/>
      <c r="Y1432" s="4"/>
      <c r="Z1432" s="4"/>
      <c r="AA1432" s="4"/>
      <c r="AB1432" s="4"/>
      <c r="AC1432" s="4"/>
      <c r="AD1432" s="4"/>
      <c r="AE1432" s="4"/>
      <c r="AF1432" s="4"/>
      <c r="AG1432" s="4"/>
      <c r="AH1432" s="4"/>
      <c r="AI1432" s="4"/>
      <c r="AJ1432" s="4"/>
      <c r="AK1432" s="4"/>
      <c r="AL1432" s="4" t="s">
        <v>174</v>
      </c>
      <c r="AM1432" s="4" t="s">
        <v>205</v>
      </c>
    </row>
    <row r="1433" customFormat="false" ht="23.85" hidden="false" customHeight="false" outlineLevel="0" collapsed="false">
      <c r="A1433" s="4" t="s">
        <v>167</v>
      </c>
      <c r="B1433" s="4" t="s">
        <v>1610</v>
      </c>
      <c r="C1433" s="4" t="s">
        <v>1610</v>
      </c>
      <c r="D1433" s="12" t="n">
        <v>2023</v>
      </c>
      <c r="E1433" s="4"/>
      <c r="F1433" s="4" t="s">
        <v>169</v>
      </c>
      <c r="G1433" s="4" t="s">
        <v>170</v>
      </c>
      <c r="H1433" s="4" t="s">
        <v>171</v>
      </c>
      <c r="I1433" s="4" t="s">
        <v>172</v>
      </c>
      <c r="J1433" s="4" t="s">
        <v>1610</v>
      </c>
      <c r="K1433" s="4" t="s">
        <v>101</v>
      </c>
      <c r="L1433" s="4" t="s">
        <v>102</v>
      </c>
      <c r="M1433" s="4"/>
      <c r="N1433" s="4"/>
      <c r="O1433" s="4"/>
      <c r="P1433" s="4"/>
      <c r="Q1433" s="4"/>
      <c r="R1433" s="4"/>
      <c r="S1433" s="13" t="n">
        <v>-190.77</v>
      </c>
      <c r="T1433" s="4" t="s">
        <v>173</v>
      </c>
      <c r="U1433" s="14" t="n">
        <f aca="false">IF(OR($S1433="",PARAMETROS!$B$4=""),"",$S1433*PARAMETROS!$B$4)</f>
        <v>-1108.3737</v>
      </c>
      <c r="V1433" s="13" t="n">
        <v>0</v>
      </c>
      <c r="W1433" s="4"/>
      <c r="X1433" s="4"/>
      <c r="Y1433" s="4"/>
      <c r="Z1433" s="4"/>
      <c r="AA1433" s="4"/>
      <c r="AB1433" s="4"/>
      <c r="AC1433" s="4"/>
      <c r="AD1433" s="4"/>
      <c r="AE1433" s="4"/>
      <c r="AF1433" s="4"/>
      <c r="AG1433" s="4"/>
      <c r="AH1433" s="4"/>
      <c r="AI1433" s="4"/>
      <c r="AJ1433" s="4"/>
      <c r="AK1433" s="4"/>
      <c r="AL1433" s="4" t="s">
        <v>174</v>
      </c>
      <c r="AM1433" s="4" t="s">
        <v>205</v>
      </c>
    </row>
    <row r="1434" customFormat="false" ht="23.85" hidden="false" customHeight="false" outlineLevel="0" collapsed="false">
      <c r="A1434" s="4" t="s">
        <v>167</v>
      </c>
      <c r="B1434" s="4" t="s">
        <v>1611</v>
      </c>
      <c r="C1434" s="4" t="s">
        <v>1611</v>
      </c>
      <c r="D1434" s="12" t="n">
        <v>2023</v>
      </c>
      <c r="E1434" s="4"/>
      <c r="F1434" s="4" t="s">
        <v>169</v>
      </c>
      <c r="G1434" s="4" t="s">
        <v>170</v>
      </c>
      <c r="H1434" s="4" t="s">
        <v>171</v>
      </c>
      <c r="I1434" s="4" t="s">
        <v>172</v>
      </c>
      <c r="J1434" s="4" t="s">
        <v>1611</v>
      </c>
      <c r="K1434" s="4" t="s">
        <v>101</v>
      </c>
      <c r="L1434" s="4" t="s">
        <v>102</v>
      </c>
      <c r="M1434" s="4"/>
      <c r="N1434" s="4"/>
      <c r="O1434" s="4"/>
      <c r="P1434" s="4"/>
      <c r="Q1434" s="4"/>
      <c r="R1434" s="4"/>
      <c r="S1434" s="13" t="n">
        <v>0</v>
      </c>
      <c r="T1434" s="4" t="s">
        <v>173</v>
      </c>
      <c r="U1434" s="14" t="n">
        <f aca="false">IF(OR($S1434="",PARAMETROS!$B$4=""),"",$S1434*PARAMETROS!$B$4)</f>
        <v>0</v>
      </c>
      <c r="V1434" s="13" t="n">
        <v>0</v>
      </c>
      <c r="W1434" s="4"/>
      <c r="X1434" s="4"/>
      <c r="Y1434" s="4"/>
      <c r="Z1434" s="4"/>
      <c r="AA1434" s="4"/>
      <c r="AB1434" s="4"/>
      <c r="AC1434" s="4"/>
      <c r="AD1434" s="4"/>
      <c r="AE1434" s="4"/>
      <c r="AF1434" s="4"/>
      <c r="AG1434" s="4"/>
      <c r="AH1434" s="4"/>
      <c r="AI1434" s="4"/>
      <c r="AJ1434" s="4"/>
      <c r="AK1434" s="4"/>
      <c r="AL1434" s="4" t="s">
        <v>174</v>
      </c>
      <c r="AM1434" s="4" t="s">
        <v>205</v>
      </c>
    </row>
    <row r="1435" customFormat="false" ht="23.85" hidden="false" customHeight="false" outlineLevel="0" collapsed="false">
      <c r="A1435" s="4" t="s">
        <v>167</v>
      </c>
      <c r="B1435" s="4" t="s">
        <v>1612</v>
      </c>
      <c r="C1435" s="4" t="s">
        <v>1612</v>
      </c>
      <c r="D1435" s="12" t="n">
        <v>2023</v>
      </c>
      <c r="E1435" s="4"/>
      <c r="F1435" s="4" t="s">
        <v>169</v>
      </c>
      <c r="G1435" s="4" t="s">
        <v>170</v>
      </c>
      <c r="H1435" s="4" t="s">
        <v>171</v>
      </c>
      <c r="I1435" s="4" t="s">
        <v>172</v>
      </c>
      <c r="J1435" s="4" t="s">
        <v>1612</v>
      </c>
      <c r="K1435" s="4" t="s">
        <v>101</v>
      </c>
      <c r="L1435" s="4" t="s">
        <v>102</v>
      </c>
      <c r="M1435" s="4"/>
      <c r="N1435" s="4"/>
      <c r="O1435" s="4"/>
      <c r="P1435" s="4"/>
      <c r="Q1435" s="4"/>
      <c r="R1435" s="4"/>
      <c r="S1435" s="13" t="n">
        <v>-771.06</v>
      </c>
      <c r="T1435" s="4" t="s">
        <v>173</v>
      </c>
      <c r="U1435" s="14" t="n">
        <f aca="false">IF(OR($S1435="",PARAMETROS!$B$4=""),"",$S1435*PARAMETROS!$B$4)</f>
        <v>-4479.8586</v>
      </c>
      <c r="V1435" s="13" t="n">
        <v>0</v>
      </c>
      <c r="W1435" s="4"/>
      <c r="X1435" s="4"/>
      <c r="Y1435" s="4"/>
      <c r="Z1435" s="4"/>
      <c r="AA1435" s="4"/>
      <c r="AB1435" s="4"/>
      <c r="AC1435" s="4"/>
      <c r="AD1435" s="4"/>
      <c r="AE1435" s="4"/>
      <c r="AF1435" s="4"/>
      <c r="AG1435" s="4"/>
      <c r="AH1435" s="4"/>
      <c r="AI1435" s="4"/>
      <c r="AJ1435" s="4"/>
      <c r="AK1435" s="4"/>
      <c r="AL1435" s="4" t="s">
        <v>174</v>
      </c>
      <c r="AM1435" s="4" t="s">
        <v>205</v>
      </c>
    </row>
    <row r="1436" customFormat="false" ht="23.85" hidden="false" customHeight="false" outlineLevel="0" collapsed="false">
      <c r="A1436" s="4" t="s">
        <v>167</v>
      </c>
      <c r="B1436" s="4" t="s">
        <v>1613</v>
      </c>
      <c r="C1436" s="4" t="s">
        <v>1613</v>
      </c>
      <c r="D1436" s="12" t="n">
        <v>2023</v>
      </c>
      <c r="E1436" s="4"/>
      <c r="F1436" s="4" t="s">
        <v>169</v>
      </c>
      <c r="G1436" s="4" t="s">
        <v>170</v>
      </c>
      <c r="H1436" s="4" t="s">
        <v>171</v>
      </c>
      <c r="I1436" s="4" t="s">
        <v>172</v>
      </c>
      <c r="J1436" s="4" t="s">
        <v>1613</v>
      </c>
      <c r="K1436" s="4" t="s">
        <v>101</v>
      </c>
      <c r="L1436" s="4" t="s">
        <v>102</v>
      </c>
      <c r="M1436" s="4"/>
      <c r="N1436" s="4"/>
      <c r="O1436" s="4"/>
      <c r="P1436" s="4"/>
      <c r="Q1436" s="4"/>
      <c r="R1436" s="4"/>
      <c r="S1436" s="13" t="n">
        <v>-11.61</v>
      </c>
      <c r="T1436" s="4" t="s">
        <v>173</v>
      </c>
      <c r="U1436" s="14" t="n">
        <f aca="false">IF(OR($S1436="",PARAMETROS!$B$4=""),"",$S1436*PARAMETROS!$B$4)</f>
        <v>-67.4541</v>
      </c>
      <c r="V1436" s="13" t="n">
        <v>0</v>
      </c>
      <c r="W1436" s="4"/>
      <c r="X1436" s="4"/>
      <c r="Y1436" s="4"/>
      <c r="Z1436" s="4"/>
      <c r="AA1436" s="4"/>
      <c r="AB1436" s="4"/>
      <c r="AC1436" s="4"/>
      <c r="AD1436" s="4"/>
      <c r="AE1436" s="4"/>
      <c r="AF1436" s="4"/>
      <c r="AG1436" s="4"/>
      <c r="AH1436" s="4"/>
      <c r="AI1436" s="4"/>
      <c r="AJ1436" s="4"/>
      <c r="AK1436" s="4"/>
      <c r="AL1436" s="4" t="s">
        <v>174</v>
      </c>
      <c r="AM1436" s="4" t="s">
        <v>205</v>
      </c>
    </row>
    <row r="1437" customFormat="false" ht="23.85" hidden="false" customHeight="false" outlineLevel="0" collapsed="false">
      <c r="A1437" s="4" t="s">
        <v>167</v>
      </c>
      <c r="B1437" s="4" t="s">
        <v>1614</v>
      </c>
      <c r="C1437" s="4" t="s">
        <v>1614</v>
      </c>
      <c r="D1437" s="12" t="n">
        <v>2023</v>
      </c>
      <c r="E1437" s="4"/>
      <c r="F1437" s="4" t="s">
        <v>169</v>
      </c>
      <c r="G1437" s="4" t="s">
        <v>170</v>
      </c>
      <c r="H1437" s="4" t="s">
        <v>171</v>
      </c>
      <c r="I1437" s="4" t="s">
        <v>172</v>
      </c>
      <c r="J1437" s="4" t="s">
        <v>1614</v>
      </c>
      <c r="K1437" s="4" t="s">
        <v>101</v>
      </c>
      <c r="L1437" s="4" t="s">
        <v>102</v>
      </c>
      <c r="M1437" s="4"/>
      <c r="N1437" s="4"/>
      <c r="O1437" s="4"/>
      <c r="P1437" s="4"/>
      <c r="Q1437" s="4"/>
      <c r="R1437" s="4"/>
      <c r="S1437" s="13" t="n">
        <v>0</v>
      </c>
      <c r="T1437" s="4" t="s">
        <v>173</v>
      </c>
      <c r="U1437" s="14" t="n">
        <f aca="false">IF(OR($S1437="",PARAMETROS!$B$4=""),"",$S1437*PARAMETROS!$B$4)</f>
        <v>0</v>
      </c>
      <c r="V1437" s="13" t="n">
        <v>0</v>
      </c>
      <c r="W1437" s="4"/>
      <c r="X1437" s="4"/>
      <c r="Y1437" s="4"/>
      <c r="Z1437" s="4"/>
      <c r="AA1437" s="4"/>
      <c r="AB1437" s="4"/>
      <c r="AC1437" s="4"/>
      <c r="AD1437" s="4"/>
      <c r="AE1437" s="4"/>
      <c r="AF1437" s="4"/>
      <c r="AG1437" s="4"/>
      <c r="AH1437" s="4"/>
      <c r="AI1437" s="4"/>
      <c r="AJ1437" s="4"/>
      <c r="AK1437" s="4"/>
      <c r="AL1437" s="4" t="s">
        <v>174</v>
      </c>
      <c r="AM1437" s="4" t="s">
        <v>205</v>
      </c>
    </row>
    <row r="1438" customFormat="false" ht="23.85" hidden="false" customHeight="false" outlineLevel="0" collapsed="false">
      <c r="A1438" s="4" t="s">
        <v>167</v>
      </c>
      <c r="B1438" s="4" t="s">
        <v>1615</v>
      </c>
      <c r="C1438" s="4" t="s">
        <v>1615</v>
      </c>
      <c r="D1438" s="12" t="n">
        <v>2023</v>
      </c>
      <c r="E1438" s="4"/>
      <c r="F1438" s="4" t="s">
        <v>169</v>
      </c>
      <c r="G1438" s="4" t="s">
        <v>170</v>
      </c>
      <c r="H1438" s="4" t="s">
        <v>171</v>
      </c>
      <c r="I1438" s="4" t="s">
        <v>172</v>
      </c>
      <c r="J1438" s="4" t="s">
        <v>1615</v>
      </c>
      <c r="K1438" s="4" t="s">
        <v>101</v>
      </c>
      <c r="L1438" s="4" t="s">
        <v>102</v>
      </c>
      <c r="M1438" s="4"/>
      <c r="N1438" s="4"/>
      <c r="O1438" s="4"/>
      <c r="P1438" s="4"/>
      <c r="Q1438" s="4"/>
      <c r="R1438" s="4"/>
      <c r="S1438" s="13" t="n">
        <v>0</v>
      </c>
      <c r="T1438" s="4" t="s">
        <v>173</v>
      </c>
      <c r="U1438" s="14" t="n">
        <f aca="false">IF(OR($S1438="",PARAMETROS!$B$4=""),"",$S1438*PARAMETROS!$B$4)</f>
        <v>0</v>
      </c>
      <c r="V1438" s="13" t="n">
        <v>0</v>
      </c>
      <c r="W1438" s="4"/>
      <c r="X1438" s="4"/>
      <c r="Y1438" s="4"/>
      <c r="Z1438" s="4"/>
      <c r="AA1438" s="4"/>
      <c r="AB1438" s="4"/>
      <c r="AC1438" s="4"/>
      <c r="AD1438" s="4"/>
      <c r="AE1438" s="4"/>
      <c r="AF1438" s="4"/>
      <c r="AG1438" s="4"/>
      <c r="AH1438" s="4"/>
      <c r="AI1438" s="4"/>
      <c r="AJ1438" s="4"/>
      <c r="AK1438" s="4"/>
      <c r="AL1438" s="4" t="s">
        <v>174</v>
      </c>
      <c r="AM1438" s="4" t="s">
        <v>205</v>
      </c>
    </row>
    <row r="1439" customFormat="false" ht="23.85" hidden="false" customHeight="false" outlineLevel="0" collapsed="false">
      <c r="A1439" s="4" t="s">
        <v>167</v>
      </c>
      <c r="B1439" s="4" t="s">
        <v>1616</v>
      </c>
      <c r="C1439" s="4" t="s">
        <v>1616</v>
      </c>
      <c r="D1439" s="12" t="n">
        <v>2023</v>
      </c>
      <c r="E1439" s="4"/>
      <c r="F1439" s="4" t="s">
        <v>169</v>
      </c>
      <c r="G1439" s="4" t="s">
        <v>170</v>
      </c>
      <c r="H1439" s="4" t="s">
        <v>171</v>
      </c>
      <c r="I1439" s="4" t="s">
        <v>172</v>
      </c>
      <c r="J1439" s="4" t="s">
        <v>1616</v>
      </c>
      <c r="K1439" s="4" t="s">
        <v>101</v>
      </c>
      <c r="L1439" s="4" t="s">
        <v>102</v>
      </c>
      <c r="M1439" s="4"/>
      <c r="N1439" s="4"/>
      <c r="O1439" s="4"/>
      <c r="P1439" s="4"/>
      <c r="Q1439" s="4"/>
      <c r="R1439" s="4"/>
      <c r="S1439" s="13" t="n">
        <v>0</v>
      </c>
      <c r="T1439" s="4" t="s">
        <v>173</v>
      </c>
      <c r="U1439" s="14" t="n">
        <f aca="false">IF(OR($S1439="",PARAMETROS!$B$4=""),"",$S1439*PARAMETROS!$B$4)</f>
        <v>0</v>
      </c>
      <c r="V1439" s="13" t="n">
        <v>0</v>
      </c>
      <c r="W1439" s="4"/>
      <c r="X1439" s="4"/>
      <c r="Y1439" s="4"/>
      <c r="Z1439" s="4"/>
      <c r="AA1439" s="4"/>
      <c r="AB1439" s="4"/>
      <c r="AC1439" s="4"/>
      <c r="AD1439" s="4"/>
      <c r="AE1439" s="4"/>
      <c r="AF1439" s="4"/>
      <c r="AG1439" s="4"/>
      <c r="AH1439" s="4"/>
      <c r="AI1439" s="4"/>
      <c r="AJ1439" s="4"/>
      <c r="AK1439" s="4"/>
      <c r="AL1439" s="4" t="s">
        <v>174</v>
      </c>
      <c r="AM1439" s="4" t="s">
        <v>205</v>
      </c>
    </row>
    <row r="1440" customFormat="false" ht="23.85" hidden="false" customHeight="false" outlineLevel="0" collapsed="false">
      <c r="A1440" s="4" t="s">
        <v>167</v>
      </c>
      <c r="B1440" s="4" t="s">
        <v>1617</v>
      </c>
      <c r="C1440" s="4" t="s">
        <v>1617</v>
      </c>
      <c r="D1440" s="12" t="n">
        <v>2023</v>
      </c>
      <c r="E1440" s="4"/>
      <c r="F1440" s="4" t="s">
        <v>169</v>
      </c>
      <c r="G1440" s="4" t="s">
        <v>170</v>
      </c>
      <c r="H1440" s="4" t="s">
        <v>171</v>
      </c>
      <c r="I1440" s="4" t="s">
        <v>172</v>
      </c>
      <c r="J1440" s="4" t="s">
        <v>1617</v>
      </c>
      <c r="K1440" s="4" t="s">
        <v>101</v>
      </c>
      <c r="L1440" s="4" t="s">
        <v>102</v>
      </c>
      <c r="M1440" s="4"/>
      <c r="N1440" s="4"/>
      <c r="O1440" s="4"/>
      <c r="P1440" s="4"/>
      <c r="Q1440" s="4"/>
      <c r="R1440" s="4"/>
      <c r="S1440" s="13" t="n">
        <v>0</v>
      </c>
      <c r="T1440" s="4" t="s">
        <v>173</v>
      </c>
      <c r="U1440" s="14" t="n">
        <f aca="false">IF(OR($S1440="",PARAMETROS!$B$4=""),"",$S1440*PARAMETROS!$B$4)</f>
        <v>0</v>
      </c>
      <c r="V1440" s="13" t="n">
        <v>0</v>
      </c>
      <c r="W1440" s="4"/>
      <c r="X1440" s="4"/>
      <c r="Y1440" s="4"/>
      <c r="Z1440" s="4"/>
      <c r="AA1440" s="4"/>
      <c r="AB1440" s="4"/>
      <c r="AC1440" s="4"/>
      <c r="AD1440" s="4"/>
      <c r="AE1440" s="4"/>
      <c r="AF1440" s="4"/>
      <c r="AG1440" s="4"/>
      <c r="AH1440" s="4"/>
      <c r="AI1440" s="4"/>
      <c r="AJ1440" s="4"/>
      <c r="AK1440" s="4"/>
      <c r="AL1440" s="4" t="s">
        <v>174</v>
      </c>
      <c r="AM1440" s="4" t="s">
        <v>205</v>
      </c>
    </row>
    <row r="1441" customFormat="false" ht="23.85" hidden="false" customHeight="false" outlineLevel="0" collapsed="false">
      <c r="A1441" s="4" t="s">
        <v>167</v>
      </c>
      <c r="B1441" s="4" t="s">
        <v>1618</v>
      </c>
      <c r="C1441" s="4" t="s">
        <v>1618</v>
      </c>
      <c r="D1441" s="12" t="n">
        <v>2023</v>
      </c>
      <c r="E1441" s="4"/>
      <c r="F1441" s="4" t="s">
        <v>169</v>
      </c>
      <c r="G1441" s="4" t="s">
        <v>170</v>
      </c>
      <c r="H1441" s="4" t="s">
        <v>171</v>
      </c>
      <c r="I1441" s="4" t="s">
        <v>172</v>
      </c>
      <c r="J1441" s="4" t="s">
        <v>1618</v>
      </c>
      <c r="K1441" s="4" t="s">
        <v>101</v>
      </c>
      <c r="L1441" s="4" t="s">
        <v>102</v>
      </c>
      <c r="M1441" s="4"/>
      <c r="N1441" s="4"/>
      <c r="O1441" s="4"/>
      <c r="P1441" s="4"/>
      <c r="Q1441" s="4"/>
      <c r="R1441" s="4"/>
      <c r="S1441" s="13" t="n">
        <v>1404.97</v>
      </c>
      <c r="T1441" s="4" t="s">
        <v>173</v>
      </c>
      <c r="U1441" s="14" t="n">
        <f aca="false">IF(OR($S1441="",PARAMETROS!$B$4=""),"",$S1441*PARAMETROS!$B$4)</f>
        <v>8162.8757</v>
      </c>
      <c r="V1441" s="13" t="n">
        <v>0</v>
      </c>
      <c r="W1441" s="4"/>
      <c r="X1441" s="4"/>
      <c r="Y1441" s="4"/>
      <c r="Z1441" s="4"/>
      <c r="AA1441" s="4"/>
      <c r="AB1441" s="4"/>
      <c r="AC1441" s="4"/>
      <c r="AD1441" s="4"/>
      <c r="AE1441" s="4"/>
      <c r="AF1441" s="4"/>
      <c r="AG1441" s="4"/>
      <c r="AH1441" s="4"/>
      <c r="AI1441" s="4"/>
      <c r="AJ1441" s="4"/>
      <c r="AK1441" s="4"/>
      <c r="AL1441" s="4" t="s">
        <v>174</v>
      </c>
      <c r="AM1441" s="4" t="s">
        <v>205</v>
      </c>
    </row>
    <row r="1442" customFormat="false" ht="23.85" hidden="false" customHeight="false" outlineLevel="0" collapsed="false">
      <c r="A1442" s="4" t="s">
        <v>167</v>
      </c>
      <c r="B1442" s="4" t="s">
        <v>1619</v>
      </c>
      <c r="C1442" s="4" t="s">
        <v>1619</v>
      </c>
      <c r="D1442" s="12" t="n">
        <v>2023</v>
      </c>
      <c r="E1442" s="4"/>
      <c r="F1442" s="4" t="s">
        <v>169</v>
      </c>
      <c r="G1442" s="4" t="s">
        <v>170</v>
      </c>
      <c r="H1442" s="4" t="s">
        <v>171</v>
      </c>
      <c r="I1442" s="4" t="s">
        <v>172</v>
      </c>
      <c r="J1442" s="4" t="s">
        <v>1619</v>
      </c>
      <c r="K1442" s="4" t="s">
        <v>101</v>
      </c>
      <c r="L1442" s="4" t="s">
        <v>102</v>
      </c>
      <c r="M1442" s="4"/>
      <c r="N1442" s="4"/>
      <c r="O1442" s="4"/>
      <c r="P1442" s="4"/>
      <c r="Q1442" s="4"/>
      <c r="R1442" s="4"/>
      <c r="S1442" s="13" t="n">
        <v>0</v>
      </c>
      <c r="T1442" s="4" t="s">
        <v>173</v>
      </c>
      <c r="U1442" s="14" t="n">
        <f aca="false">IF(OR($S1442="",PARAMETROS!$B$4=""),"",$S1442*PARAMETROS!$B$4)</f>
        <v>0</v>
      </c>
      <c r="V1442" s="13" t="n">
        <v>0</v>
      </c>
      <c r="W1442" s="4"/>
      <c r="X1442" s="4"/>
      <c r="Y1442" s="4"/>
      <c r="Z1442" s="4"/>
      <c r="AA1442" s="4"/>
      <c r="AB1442" s="4"/>
      <c r="AC1442" s="4"/>
      <c r="AD1442" s="4"/>
      <c r="AE1442" s="4"/>
      <c r="AF1442" s="4"/>
      <c r="AG1442" s="4"/>
      <c r="AH1442" s="4"/>
      <c r="AI1442" s="4"/>
      <c r="AJ1442" s="4"/>
      <c r="AK1442" s="4"/>
      <c r="AL1442" s="4" t="s">
        <v>174</v>
      </c>
      <c r="AM1442" s="4" t="s">
        <v>205</v>
      </c>
    </row>
    <row r="1443" customFormat="false" ht="23.85" hidden="false" customHeight="false" outlineLevel="0" collapsed="false">
      <c r="A1443" s="4" t="s">
        <v>167</v>
      </c>
      <c r="B1443" s="4" t="s">
        <v>1620</v>
      </c>
      <c r="C1443" s="4" t="s">
        <v>1620</v>
      </c>
      <c r="D1443" s="12" t="n">
        <v>2023</v>
      </c>
      <c r="E1443" s="4"/>
      <c r="F1443" s="4" t="s">
        <v>169</v>
      </c>
      <c r="G1443" s="4" t="s">
        <v>170</v>
      </c>
      <c r="H1443" s="4" t="s">
        <v>171</v>
      </c>
      <c r="I1443" s="4" t="s">
        <v>172</v>
      </c>
      <c r="J1443" s="4" t="s">
        <v>1620</v>
      </c>
      <c r="K1443" s="4" t="s">
        <v>101</v>
      </c>
      <c r="L1443" s="4" t="s">
        <v>102</v>
      </c>
      <c r="M1443" s="4"/>
      <c r="N1443" s="4"/>
      <c r="O1443" s="4"/>
      <c r="P1443" s="4"/>
      <c r="Q1443" s="4"/>
      <c r="R1443" s="4"/>
      <c r="S1443" s="13" t="n">
        <v>0</v>
      </c>
      <c r="T1443" s="4" t="s">
        <v>173</v>
      </c>
      <c r="U1443" s="14" t="n">
        <f aca="false">IF(OR($S1443="",PARAMETROS!$B$4=""),"",$S1443*PARAMETROS!$B$4)</f>
        <v>0</v>
      </c>
      <c r="V1443" s="13" t="n">
        <v>0</v>
      </c>
      <c r="W1443" s="4"/>
      <c r="X1443" s="4"/>
      <c r="Y1443" s="4"/>
      <c r="Z1443" s="4"/>
      <c r="AA1443" s="4"/>
      <c r="AB1443" s="4"/>
      <c r="AC1443" s="4"/>
      <c r="AD1443" s="4"/>
      <c r="AE1443" s="4"/>
      <c r="AF1443" s="4"/>
      <c r="AG1443" s="4"/>
      <c r="AH1443" s="4"/>
      <c r="AI1443" s="4"/>
      <c r="AJ1443" s="4"/>
      <c r="AK1443" s="4"/>
      <c r="AL1443" s="4" t="s">
        <v>174</v>
      </c>
      <c r="AM1443" s="4" t="s">
        <v>205</v>
      </c>
    </row>
    <row r="1444" customFormat="false" ht="23.85" hidden="false" customHeight="false" outlineLevel="0" collapsed="false">
      <c r="A1444" s="4" t="s">
        <v>167</v>
      </c>
      <c r="B1444" s="4" t="s">
        <v>1621</v>
      </c>
      <c r="C1444" s="4" t="s">
        <v>1621</v>
      </c>
      <c r="D1444" s="12" t="n">
        <v>2023</v>
      </c>
      <c r="E1444" s="4"/>
      <c r="F1444" s="4" t="s">
        <v>169</v>
      </c>
      <c r="G1444" s="4" t="s">
        <v>170</v>
      </c>
      <c r="H1444" s="4" t="s">
        <v>171</v>
      </c>
      <c r="I1444" s="4" t="s">
        <v>172</v>
      </c>
      <c r="J1444" s="4" t="s">
        <v>1621</v>
      </c>
      <c r="K1444" s="4" t="s">
        <v>103</v>
      </c>
      <c r="L1444" s="4" t="s">
        <v>104</v>
      </c>
      <c r="M1444" s="4"/>
      <c r="N1444" s="4"/>
      <c r="O1444" s="4"/>
      <c r="P1444" s="4"/>
      <c r="Q1444" s="4"/>
      <c r="R1444" s="4"/>
      <c r="S1444" s="13" t="n">
        <v>0</v>
      </c>
      <c r="T1444" s="4" t="s">
        <v>173</v>
      </c>
      <c r="U1444" s="14" t="n">
        <f aca="false">IF(OR($S1444="",PARAMETROS!$B$4=""),"",$S1444*PARAMETROS!$B$4)</f>
        <v>0</v>
      </c>
      <c r="V1444" s="13" t="n">
        <v>0</v>
      </c>
      <c r="W1444" s="4"/>
      <c r="X1444" s="4"/>
      <c r="Y1444" s="4"/>
      <c r="Z1444" s="4"/>
      <c r="AA1444" s="4"/>
      <c r="AB1444" s="4"/>
      <c r="AC1444" s="4"/>
      <c r="AD1444" s="4"/>
      <c r="AE1444" s="4"/>
      <c r="AF1444" s="4"/>
      <c r="AG1444" s="4"/>
      <c r="AH1444" s="4"/>
      <c r="AI1444" s="4"/>
      <c r="AJ1444" s="4"/>
      <c r="AK1444" s="4"/>
      <c r="AL1444" s="4" t="s">
        <v>174</v>
      </c>
      <c r="AM1444" s="4" t="s">
        <v>205</v>
      </c>
    </row>
    <row r="1445" customFormat="false" ht="23.85" hidden="false" customHeight="false" outlineLevel="0" collapsed="false">
      <c r="A1445" s="4" t="s">
        <v>167</v>
      </c>
      <c r="B1445" s="4" t="s">
        <v>1622</v>
      </c>
      <c r="C1445" s="4" t="s">
        <v>1622</v>
      </c>
      <c r="D1445" s="12" t="n">
        <v>2023</v>
      </c>
      <c r="E1445" s="4"/>
      <c r="F1445" s="4" t="s">
        <v>169</v>
      </c>
      <c r="G1445" s="4" t="s">
        <v>170</v>
      </c>
      <c r="H1445" s="4" t="s">
        <v>171</v>
      </c>
      <c r="I1445" s="4" t="s">
        <v>172</v>
      </c>
      <c r="J1445" s="4" t="s">
        <v>1622</v>
      </c>
      <c r="K1445" s="4" t="s">
        <v>103</v>
      </c>
      <c r="L1445" s="4" t="s">
        <v>104</v>
      </c>
      <c r="M1445" s="4"/>
      <c r="N1445" s="4"/>
      <c r="O1445" s="4"/>
      <c r="P1445" s="4"/>
      <c r="Q1445" s="4"/>
      <c r="R1445" s="4"/>
      <c r="S1445" s="13" t="n">
        <v>15692.78</v>
      </c>
      <c r="T1445" s="4" t="s">
        <v>173</v>
      </c>
      <c r="U1445" s="14" t="n">
        <f aca="false">IF(OR($S1445="",PARAMETROS!$B$4=""),"",$S1445*PARAMETROS!$B$4)</f>
        <v>91175.0518</v>
      </c>
      <c r="V1445" s="13" t="n">
        <v>0</v>
      </c>
      <c r="W1445" s="4"/>
      <c r="X1445" s="4"/>
      <c r="Y1445" s="4"/>
      <c r="Z1445" s="4"/>
      <c r="AA1445" s="4"/>
      <c r="AB1445" s="4"/>
      <c r="AC1445" s="4"/>
      <c r="AD1445" s="4"/>
      <c r="AE1445" s="4"/>
      <c r="AF1445" s="4"/>
      <c r="AG1445" s="4"/>
      <c r="AH1445" s="4"/>
      <c r="AI1445" s="4"/>
      <c r="AJ1445" s="4"/>
      <c r="AK1445" s="4"/>
      <c r="AL1445" s="4" t="s">
        <v>174</v>
      </c>
      <c r="AM1445" s="4" t="s">
        <v>205</v>
      </c>
    </row>
    <row r="1446" customFormat="false" ht="23.85" hidden="false" customHeight="false" outlineLevel="0" collapsed="false">
      <c r="A1446" s="4" t="s">
        <v>167</v>
      </c>
      <c r="B1446" s="4" t="s">
        <v>1623</v>
      </c>
      <c r="C1446" s="4" t="s">
        <v>1623</v>
      </c>
      <c r="D1446" s="12" t="n">
        <v>2023</v>
      </c>
      <c r="E1446" s="4"/>
      <c r="F1446" s="4" t="s">
        <v>169</v>
      </c>
      <c r="G1446" s="4" t="s">
        <v>170</v>
      </c>
      <c r="H1446" s="4" t="s">
        <v>171</v>
      </c>
      <c r="I1446" s="4" t="s">
        <v>172</v>
      </c>
      <c r="J1446" s="4" t="s">
        <v>1623</v>
      </c>
      <c r="K1446" s="4" t="s">
        <v>103</v>
      </c>
      <c r="L1446" s="4" t="s">
        <v>104</v>
      </c>
      <c r="M1446" s="4"/>
      <c r="N1446" s="4"/>
      <c r="O1446" s="4"/>
      <c r="P1446" s="4"/>
      <c r="Q1446" s="4"/>
      <c r="R1446" s="4"/>
      <c r="S1446" s="13" t="n">
        <v>285.79</v>
      </c>
      <c r="T1446" s="4" t="s">
        <v>173</v>
      </c>
      <c r="U1446" s="14" t="n">
        <f aca="false">IF(OR($S1446="",PARAMETROS!$B$4=""),"",$S1446*PARAMETROS!$B$4)</f>
        <v>1660.4399</v>
      </c>
      <c r="V1446" s="13" t="n">
        <v>0</v>
      </c>
      <c r="W1446" s="4"/>
      <c r="X1446" s="4"/>
      <c r="Y1446" s="4"/>
      <c r="Z1446" s="4"/>
      <c r="AA1446" s="4"/>
      <c r="AB1446" s="4"/>
      <c r="AC1446" s="4"/>
      <c r="AD1446" s="4"/>
      <c r="AE1446" s="4"/>
      <c r="AF1446" s="4"/>
      <c r="AG1446" s="4"/>
      <c r="AH1446" s="4"/>
      <c r="AI1446" s="4"/>
      <c r="AJ1446" s="4"/>
      <c r="AK1446" s="4"/>
      <c r="AL1446" s="4" t="s">
        <v>174</v>
      </c>
      <c r="AM1446" s="4" t="s">
        <v>205</v>
      </c>
    </row>
    <row r="1447" customFormat="false" ht="23.85" hidden="false" customHeight="false" outlineLevel="0" collapsed="false">
      <c r="A1447" s="4" t="s">
        <v>167</v>
      </c>
      <c r="B1447" s="4" t="s">
        <v>1624</v>
      </c>
      <c r="C1447" s="4" t="s">
        <v>1624</v>
      </c>
      <c r="D1447" s="12" t="n">
        <v>2023</v>
      </c>
      <c r="E1447" s="4"/>
      <c r="F1447" s="4" t="s">
        <v>169</v>
      </c>
      <c r="G1447" s="4" t="s">
        <v>170</v>
      </c>
      <c r="H1447" s="4" t="s">
        <v>171</v>
      </c>
      <c r="I1447" s="4" t="s">
        <v>172</v>
      </c>
      <c r="J1447" s="4" t="s">
        <v>1624</v>
      </c>
      <c r="K1447" s="4" t="s">
        <v>103</v>
      </c>
      <c r="L1447" s="4" t="s">
        <v>104</v>
      </c>
      <c r="M1447" s="4"/>
      <c r="N1447" s="4"/>
      <c r="O1447" s="4"/>
      <c r="P1447" s="4"/>
      <c r="Q1447" s="4"/>
      <c r="R1447" s="4"/>
      <c r="S1447" s="13" t="n">
        <v>-118.44</v>
      </c>
      <c r="T1447" s="4" t="s">
        <v>173</v>
      </c>
      <c r="U1447" s="14" t="n">
        <f aca="false">IF(OR($S1447="",PARAMETROS!$B$4=""),"",$S1447*PARAMETROS!$B$4)</f>
        <v>-688.1364</v>
      </c>
      <c r="V1447" s="13" t="n">
        <v>0</v>
      </c>
      <c r="W1447" s="4"/>
      <c r="X1447" s="4"/>
      <c r="Y1447" s="4"/>
      <c r="Z1447" s="4"/>
      <c r="AA1447" s="4"/>
      <c r="AB1447" s="4"/>
      <c r="AC1447" s="4"/>
      <c r="AD1447" s="4"/>
      <c r="AE1447" s="4"/>
      <c r="AF1447" s="4"/>
      <c r="AG1447" s="4"/>
      <c r="AH1447" s="4"/>
      <c r="AI1447" s="4"/>
      <c r="AJ1447" s="4"/>
      <c r="AK1447" s="4"/>
      <c r="AL1447" s="4" t="s">
        <v>174</v>
      </c>
      <c r="AM1447" s="4" t="s">
        <v>205</v>
      </c>
    </row>
    <row r="1448" customFormat="false" ht="23.85" hidden="false" customHeight="false" outlineLevel="0" collapsed="false">
      <c r="A1448" s="4" t="s">
        <v>167</v>
      </c>
      <c r="B1448" s="4" t="s">
        <v>1625</v>
      </c>
      <c r="C1448" s="4" t="s">
        <v>1625</v>
      </c>
      <c r="D1448" s="12" t="n">
        <v>2023</v>
      </c>
      <c r="E1448" s="4"/>
      <c r="F1448" s="4" t="s">
        <v>169</v>
      </c>
      <c r="G1448" s="4" t="s">
        <v>170</v>
      </c>
      <c r="H1448" s="4" t="s">
        <v>171</v>
      </c>
      <c r="I1448" s="4" t="s">
        <v>172</v>
      </c>
      <c r="J1448" s="4" t="s">
        <v>1625</v>
      </c>
      <c r="K1448" s="4" t="s">
        <v>103</v>
      </c>
      <c r="L1448" s="4" t="s">
        <v>104</v>
      </c>
      <c r="M1448" s="4"/>
      <c r="N1448" s="4"/>
      <c r="O1448" s="4"/>
      <c r="P1448" s="4"/>
      <c r="Q1448" s="4"/>
      <c r="R1448" s="4"/>
      <c r="S1448" s="13" t="n">
        <v>0</v>
      </c>
      <c r="T1448" s="4" t="s">
        <v>173</v>
      </c>
      <c r="U1448" s="14" t="n">
        <f aca="false">IF(OR($S1448="",PARAMETROS!$B$4=""),"",$S1448*PARAMETROS!$B$4)</f>
        <v>0</v>
      </c>
      <c r="V1448" s="13" t="n">
        <v>0</v>
      </c>
      <c r="W1448" s="4"/>
      <c r="X1448" s="4"/>
      <c r="Y1448" s="4"/>
      <c r="Z1448" s="4"/>
      <c r="AA1448" s="4"/>
      <c r="AB1448" s="4"/>
      <c r="AC1448" s="4"/>
      <c r="AD1448" s="4"/>
      <c r="AE1448" s="4"/>
      <c r="AF1448" s="4"/>
      <c r="AG1448" s="4"/>
      <c r="AH1448" s="4"/>
      <c r="AI1448" s="4"/>
      <c r="AJ1448" s="4"/>
      <c r="AK1448" s="4"/>
      <c r="AL1448" s="4" t="s">
        <v>174</v>
      </c>
      <c r="AM1448" s="4" t="s">
        <v>205</v>
      </c>
    </row>
    <row r="1449" customFormat="false" ht="23.85" hidden="false" customHeight="false" outlineLevel="0" collapsed="false">
      <c r="A1449" s="4" t="s">
        <v>167</v>
      </c>
      <c r="B1449" s="4" t="s">
        <v>1626</v>
      </c>
      <c r="C1449" s="4" t="s">
        <v>1626</v>
      </c>
      <c r="D1449" s="12" t="n">
        <v>2023</v>
      </c>
      <c r="E1449" s="4"/>
      <c r="F1449" s="4" t="s">
        <v>169</v>
      </c>
      <c r="G1449" s="4" t="s">
        <v>170</v>
      </c>
      <c r="H1449" s="4" t="s">
        <v>171</v>
      </c>
      <c r="I1449" s="4" t="s">
        <v>172</v>
      </c>
      <c r="J1449" s="4" t="s">
        <v>1626</v>
      </c>
      <c r="K1449" s="4" t="s">
        <v>103</v>
      </c>
      <c r="L1449" s="4" t="s">
        <v>104</v>
      </c>
      <c r="M1449" s="4"/>
      <c r="N1449" s="4"/>
      <c r="O1449" s="4"/>
      <c r="P1449" s="4"/>
      <c r="Q1449" s="4"/>
      <c r="R1449" s="4"/>
      <c r="S1449" s="13" t="n">
        <v>0</v>
      </c>
      <c r="T1449" s="4" t="s">
        <v>173</v>
      </c>
      <c r="U1449" s="14" t="n">
        <f aca="false">IF(OR($S1449="",PARAMETROS!$B$4=""),"",$S1449*PARAMETROS!$B$4)</f>
        <v>0</v>
      </c>
      <c r="V1449" s="13" t="n">
        <v>0</v>
      </c>
      <c r="W1449" s="4"/>
      <c r="X1449" s="4"/>
      <c r="Y1449" s="4"/>
      <c r="Z1449" s="4"/>
      <c r="AA1449" s="4"/>
      <c r="AB1449" s="4"/>
      <c r="AC1449" s="4"/>
      <c r="AD1449" s="4"/>
      <c r="AE1449" s="4"/>
      <c r="AF1449" s="4"/>
      <c r="AG1449" s="4"/>
      <c r="AH1449" s="4"/>
      <c r="AI1449" s="4"/>
      <c r="AJ1449" s="4"/>
      <c r="AK1449" s="4"/>
      <c r="AL1449" s="4" t="s">
        <v>174</v>
      </c>
      <c r="AM1449" s="4" t="s">
        <v>205</v>
      </c>
    </row>
    <row r="1450" customFormat="false" ht="23.85" hidden="false" customHeight="false" outlineLevel="0" collapsed="false">
      <c r="A1450" s="4" t="s">
        <v>167</v>
      </c>
      <c r="B1450" s="4" t="s">
        <v>1627</v>
      </c>
      <c r="C1450" s="4" t="s">
        <v>1627</v>
      </c>
      <c r="D1450" s="12" t="n">
        <v>2023</v>
      </c>
      <c r="E1450" s="4"/>
      <c r="F1450" s="4" t="s">
        <v>169</v>
      </c>
      <c r="G1450" s="4" t="s">
        <v>170</v>
      </c>
      <c r="H1450" s="4" t="s">
        <v>171</v>
      </c>
      <c r="I1450" s="4" t="s">
        <v>172</v>
      </c>
      <c r="J1450" s="4" t="s">
        <v>1627</v>
      </c>
      <c r="K1450" s="4" t="s">
        <v>103</v>
      </c>
      <c r="L1450" s="4" t="s">
        <v>104</v>
      </c>
      <c r="M1450" s="4"/>
      <c r="N1450" s="4"/>
      <c r="O1450" s="4"/>
      <c r="P1450" s="4"/>
      <c r="Q1450" s="4"/>
      <c r="R1450" s="4"/>
      <c r="S1450" s="13" t="n">
        <v>0</v>
      </c>
      <c r="T1450" s="4" t="s">
        <v>173</v>
      </c>
      <c r="U1450" s="14" t="n">
        <f aca="false">IF(OR($S1450="",PARAMETROS!$B$4=""),"",$S1450*PARAMETROS!$B$4)</f>
        <v>0</v>
      </c>
      <c r="V1450" s="13" t="n">
        <v>0</v>
      </c>
      <c r="W1450" s="4"/>
      <c r="X1450" s="4"/>
      <c r="Y1450" s="4"/>
      <c r="Z1450" s="4"/>
      <c r="AA1450" s="4"/>
      <c r="AB1450" s="4"/>
      <c r="AC1450" s="4"/>
      <c r="AD1450" s="4"/>
      <c r="AE1450" s="4"/>
      <c r="AF1450" s="4"/>
      <c r="AG1450" s="4"/>
      <c r="AH1450" s="4"/>
      <c r="AI1450" s="4"/>
      <c r="AJ1450" s="4"/>
      <c r="AK1450" s="4"/>
      <c r="AL1450" s="4" t="s">
        <v>174</v>
      </c>
      <c r="AM1450" s="4" t="s">
        <v>205</v>
      </c>
    </row>
    <row r="1451" customFormat="false" ht="23.85" hidden="false" customHeight="false" outlineLevel="0" collapsed="false">
      <c r="A1451" s="4" t="s">
        <v>167</v>
      </c>
      <c r="B1451" s="4" t="s">
        <v>1628</v>
      </c>
      <c r="C1451" s="4" t="s">
        <v>1628</v>
      </c>
      <c r="D1451" s="12" t="n">
        <v>2023</v>
      </c>
      <c r="E1451" s="4"/>
      <c r="F1451" s="4" t="s">
        <v>169</v>
      </c>
      <c r="G1451" s="4" t="s">
        <v>170</v>
      </c>
      <c r="H1451" s="4" t="s">
        <v>171</v>
      </c>
      <c r="I1451" s="4" t="s">
        <v>172</v>
      </c>
      <c r="J1451" s="4" t="s">
        <v>1628</v>
      </c>
      <c r="K1451" s="4" t="s">
        <v>103</v>
      </c>
      <c r="L1451" s="4" t="s">
        <v>104</v>
      </c>
      <c r="M1451" s="4"/>
      <c r="N1451" s="4"/>
      <c r="O1451" s="4"/>
      <c r="P1451" s="4"/>
      <c r="Q1451" s="4"/>
      <c r="R1451" s="4"/>
      <c r="S1451" s="13" t="n">
        <v>0</v>
      </c>
      <c r="T1451" s="4" t="s">
        <v>173</v>
      </c>
      <c r="U1451" s="14" t="n">
        <f aca="false">IF(OR($S1451="",PARAMETROS!$B$4=""),"",$S1451*PARAMETROS!$B$4)</f>
        <v>0</v>
      </c>
      <c r="V1451" s="13" t="n">
        <v>0</v>
      </c>
      <c r="W1451" s="4"/>
      <c r="X1451" s="4"/>
      <c r="Y1451" s="4"/>
      <c r="Z1451" s="4"/>
      <c r="AA1451" s="4"/>
      <c r="AB1451" s="4"/>
      <c r="AC1451" s="4"/>
      <c r="AD1451" s="4"/>
      <c r="AE1451" s="4"/>
      <c r="AF1451" s="4"/>
      <c r="AG1451" s="4"/>
      <c r="AH1451" s="4"/>
      <c r="AI1451" s="4"/>
      <c r="AJ1451" s="4"/>
      <c r="AK1451" s="4"/>
      <c r="AL1451" s="4" t="s">
        <v>174</v>
      </c>
      <c r="AM1451" s="4" t="s">
        <v>205</v>
      </c>
    </row>
    <row r="1452" customFormat="false" ht="23.85" hidden="false" customHeight="false" outlineLevel="0" collapsed="false">
      <c r="A1452" s="4" t="s">
        <v>167</v>
      </c>
      <c r="B1452" s="4" t="s">
        <v>1629</v>
      </c>
      <c r="C1452" s="4" t="s">
        <v>1629</v>
      </c>
      <c r="D1452" s="12" t="n">
        <v>2023</v>
      </c>
      <c r="E1452" s="4"/>
      <c r="F1452" s="4" t="s">
        <v>169</v>
      </c>
      <c r="G1452" s="4" t="s">
        <v>170</v>
      </c>
      <c r="H1452" s="4" t="s">
        <v>171</v>
      </c>
      <c r="I1452" s="4" t="s">
        <v>172</v>
      </c>
      <c r="J1452" s="4" t="s">
        <v>1629</v>
      </c>
      <c r="K1452" s="4" t="s">
        <v>103</v>
      </c>
      <c r="L1452" s="4" t="s">
        <v>104</v>
      </c>
      <c r="M1452" s="4"/>
      <c r="N1452" s="4"/>
      <c r="O1452" s="4"/>
      <c r="P1452" s="4"/>
      <c r="Q1452" s="4"/>
      <c r="R1452" s="4"/>
      <c r="S1452" s="13" t="n">
        <v>14906.74</v>
      </c>
      <c r="T1452" s="4" t="s">
        <v>173</v>
      </c>
      <c r="U1452" s="14" t="n">
        <f aca="false">IF(OR($S1452="",PARAMETROS!$B$4=""),"",$S1452*PARAMETROS!$B$4)</f>
        <v>86608.1594</v>
      </c>
      <c r="V1452" s="13" t="n">
        <v>0</v>
      </c>
      <c r="W1452" s="4"/>
      <c r="X1452" s="4"/>
      <c r="Y1452" s="4"/>
      <c r="Z1452" s="4"/>
      <c r="AA1452" s="4"/>
      <c r="AB1452" s="4"/>
      <c r="AC1452" s="4"/>
      <c r="AD1452" s="4"/>
      <c r="AE1452" s="4"/>
      <c r="AF1452" s="4"/>
      <c r="AG1452" s="4"/>
      <c r="AH1452" s="4"/>
      <c r="AI1452" s="4"/>
      <c r="AJ1452" s="4"/>
      <c r="AK1452" s="4"/>
      <c r="AL1452" s="4" t="s">
        <v>174</v>
      </c>
      <c r="AM1452" s="4" t="s">
        <v>205</v>
      </c>
    </row>
    <row r="1453" customFormat="false" ht="23.85" hidden="false" customHeight="false" outlineLevel="0" collapsed="false">
      <c r="A1453" s="4" t="s">
        <v>167</v>
      </c>
      <c r="B1453" s="4" t="s">
        <v>1630</v>
      </c>
      <c r="C1453" s="4" t="s">
        <v>1630</v>
      </c>
      <c r="D1453" s="12" t="n">
        <v>2023</v>
      </c>
      <c r="E1453" s="4"/>
      <c r="F1453" s="4" t="s">
        <v>169</v>
      </c>
      <c r="G1453" s="4" t="s">
        <v>170</v>
      </c>
      <c r="H1453" s="4" t="s">
        <v>171</v>
      </c>
      <c r="I1453" s="4" t="s">
        <v>172</v>
      </c>
      <c r="J1453" s="4" t="s">
        <v>1630</v>
      </c>
      <c r="K1453" s="4" t="s">
        <v>103</v>
      </c>
      <c r="L1453" s="4" t="s">
        <v>104</v>
      </c>
      <c r="M1453" s="4"/>
      <c r="N1453" s="4"/>
      <c r="O1453" s="4"/>
      <c r="P1453" s="4"/>
      <c r="Q1453" s="4"/>
      <c r="R1453" s="4"/>
      <c r="S1453" s="13" t="n">
        <v>0</v>
      </c>
      <c r="T1453" s="4" t="s">
        <v>173</v>
      </c>
      <c r="U1453" s="14" t="n">
        <f aca="false">IF(OR($S1453="",PARAMETROS!$B$4=""),"",$S1453*PARAMETROS!$B$4)</f>
        <v>0</v>
      </c>
      <c r="V1453" s="13" t="n">
        <v>0</v>
      </c>
      <c r="W1453" s="4"/>
      <c r="X1453" s="4"/>
      <c r="Y1453" s="4"/>
      <c r="Z1453" s="4"/>
      <c r="AA1453" s="4"/>
      <c r="AB1453" s="4"/>
      <c r="AC1453" s="4"/>
      <c r="AD1453" s="4"/>
      <c r="AE1453" s="4"/>
      <c r="AF1453" s="4"/>
      <c r="AG1453" s="4"/>
      <c r="AH1453" s="4"/>
      <c r="AI1453" s="4"/>
      <c r="AJ1453" s="4"/>
      <c r="AK1453" s="4"/>
      <c r="AL1453" s="4" t="s">
        <v>174</v>
      </c>
      <c r="AM1453" s="4" t="s">
        <v>205</v>
      </c>
    </row>
    <row r="1454" customFormat="false" ht="23.85" hidden="false" customHeight="false" outlineLevel="0" collapsed="false">
      <c r="A1454" s="4" t="s">
        <v>167</v>
      </c>
      <c r="B1454" s="4" t="s">
        <v>1631</v>
      </c>
      <c r="C1454" s="4" t="s">
        <v>1631</v>
      </c>
      <c r="D1454" s="12" t="n">
        <v>2023</v>
      </c>
      <c r="E1454" s="4"/>
      <c r="F1454" s="4" t="s">
        <v>169</v>
      </c>
      <c r="G1454" s="4" t="s">
        <v>170</v>
      </c>
      <c r="H1454" s="4" t="s">
        <v>171</v>
      </c>
      <c r="I1454" s="4" t="s">
        <v>172</v>
      </c>
      <c r="J1454" s="4" t="s">
        <v>1631</v>
      </c>
      <c r="K1454" s="4" t="s">
        <v>103</v>
      </c>
      <c r="L1454" s="4" t="s">
        <v>104</v>
      </c>
      <c r="M1454" s="4"/>
      <c r="N1454" s="4"/>
      <c r="O1454" s="4"/>
      <c r="P1454" s="4"/>
      <c r="Q1454" s="4"/>
      <c r="R1454" s="4"/>
      <c r="S1454" s="13" t="n">
        <v>76.36</v>
      </c>
      <c r="T1454" s="4" t="s">
        <v>173</v>
      </c>
      <c r="U1454" s="14" t="n">
        <f aca="false">IF(OR($S1454="",PARAMETROS!$B$4=""),"",$S1454*PARAMETROS!$B$4)</f>
        <v>443.6516</v>
      </c>
      <c r="V1454" s="13" t="n">
        <v>0</v>
      </c>
      <c r="W1454" s="4"/>
      <c r="X1454" s="4"/>
      <c r="Y1454" s="4"/>
      <c r="Z1454" s="4"/>
      <c r="AA1454" s="4"/>
      <c r="AB1454" s="4"/>
      <c r="AC1454" s="4"/>
      <c r="AD1454" s="4"/>
      <c r="AE1454" s="4"/>
      <c r="AF1454" s="4"/>
      <c r="AG1454" s="4"/>
      <c r="AH1454" s="4"/>
      <c r="AI1454" s="4"/>
      <c r="AJ1454" s="4"/>
      <c r="AK1454" s="4"/>
      <c r="AL1454" s="4" t="s">
        <v>174</v>
      </c>
      <c r="AM1454" s="4" t="s">
        <v>205</v>
      </c>
    </row>
    <row r="1455" customFormat="false" ht="23.85" hidden="false" customHeight="false" outlineLevel="0" collapsed="false">
      <c r="A1455" s="4" t="s">
        <v>167</v>
      </c>
      <c r="B1455" s="4" t="s">
        <v>1632</v>
      </c>
      <c r="C1455" s="4" t="s">
        <v>1632</v>
      </c>
      <c r="D1455" s="12" t="n">
        <v>2023</v>
      </c>
      <c r="E1455" s="4"/>
      <c r="F1455" s="4" t="s">
        <v>169</v>
      </c>
      <c r="G1455" s="4" t="s">
        <v>170</v>
      </c>
      <c r="H1455" s="4" t="s">
        <v>171</v>
      </c>
      <c r="I1455" s="4" t="s">
        <v>172</v>
      </c>
      <c r="J1455" s="4" t="s">
        <v>1632</v>
      </c>
      <c r="K1455" s="4" t="s">
        <v>103</v>
      </c>
      <c r="L1455" s="4" t="s">
        <v>104</v>
      </c>
      <c r="M1455" s="4"/>
      <c r="N1455" s="4"/>
      <c r="O1455" s="4"/>
      <c r="P1455" s="4"/>
      <c r="Q1455" s="4"/>
      <c r="R1455" s="4"/>
      <c r="S1455" s="13" t="n">
        <v>305.45</v>
      </c>
      <c r="T1455" s="4" t="s">
        <v>173</v>
      </c>
      <c r="U1455" s="14" t="n">
        <f aca="false">IF(OR($S1455="",PARAMETROS!$B$4=""),"",$S1455*PARAMETROS!$B$4)</f>
        <v>1774.6645</v>
      </c>
      <c r="V1455" s="13" t="n">
        <v>0</v>
      </c>
      <c r="W1455" s="4"/>
      <c r="X1455" s="4"/>
      <c r="Y1455" s="4"/>
      <c r="Z1455" s="4"/>
      <c r="AA1455" s="4"/>
      <c r="AB1455" s="4"/>
      <c r="AC1455" s="4"/>
      <c r="AD1455" s="4"/>
      <c r="AE1455" s="4"/>
      <c r="AF1455" s="4"/>
      <c r="AG1455" s="4"/>
      <c r="AH1455" s="4"/>
      <c r="AI1455" s="4"/>
      <c r="AJ1455" s="4"/>
      <c r="AK1455" s="4"/>
      <c r="AL1455" s="4" t="s">
        <v>174</v>
      </c>
      <c r="AM1455" s="4" t="s">
        <v>205</v>
      </c>
    </row>
    <row r="1456" customFormat="false" ht="23.85" hidden="false" customHeight="false" outlineLevel="0" collapsed="false">
      <c r="A1456" s="4" t="s">
        <v>167</v>
      </c>
      <c r="B1456" s="4" t="s">
        <v>1633</v>
      </c>
      <c r="C1456" s="4" t="s">
        <v>1633</v>
      </c>
      <c r="D1456" s="12" t="n">
        <v>2023</v>
      </c>
      <c r="E1456" s="4"/>
      <c r="F1456" s="4" t="s">
        <v>169</v>
      </c>
      <c r="G1456" s="4" t="s">
        <v>170</v>
      </c>
      <c r="H1456" s="4" t="s">
        <v>171</v>
      </c>
      <c r="I1456" s="4" t="s">
        <v>172</v>
      </c>
      <c r="J1456" s="4" t="s">
        <v>1633</v>
      </c>
      <c r="K1456" s="4" t="s">
        <v>103</v>
      </c>
      <c r="L1456" s="4" t="s">
        <v>104</v>
      </c>
      <c r="M1456" s="4"/>
      <c r="N1456" s="4"/>
      <c r="O1456" s="4"/>
      <c r="P1456" s="4"/>
      <c r="Q1456" s="4"/>
      <c r="R1456" s="4"/>
      <c r="S1456" s="13" t="n">
        <v>0</v>
      </c>
      <c r="T1456" s="4" t="s">
        <v>173</v>
      </c>
      <c r="U1456" s="14" t="n">
        <f aca="false">IF(OR($S1456="",PARAMETROS!$B$4=""),"",$S1456*PARAMETROS!$B$4)</f>
        <v>0</v>
      </c>
      <c r="V1456" s="13" t="n">
        <v>0</v>
      </c>
      <c r="W1456" s="4"/>
      <c r="X1456" s="4"/>
      <c r="Y1456" s="4"/>
      <c r="Z1456" s="4"/>
      <c r="AA1456" s="4"/>
      <c r="AB1456" s="4"/>
      <c r="AC1456" s="4"/>
      <c r="AD1456" s="4"/>
      <c r="AE1456" s="4"/>
      <c r="AF1456" s="4"/>
      <c r="AG1456" s="4"/>
      <c r="AH1456" s="4"/>
      <c r="AI1456" s="4"/>
      <c r="AJ1456" s="4"/>
      <c r="AK1456" s="4"/>
      <c r="AL1456" s="4" t="s">
        <v>174</v>
      </c>
      <c r="AM1456" s="4" t="s">
        <v>205</v>
      </c>
    </row>
    <row r="1457" customFormat="false" ht="23.85" hidden="false" customHeight="false" outlineLevel="0" collapsed="false">
      <c r="A1457" s="4" t="s">
        <v>167</v>
      </c>
      <c r="B1457" s="4" t="s">
        <v>1634</v>
      </c>
      <c r="C1457" s="4" t="s">
        <v>1634</v>
      </c>
      <c r="D1457" s="12" t="n">
        <v>2023</v>
      </c>
      <c r="E1457" s="4"/>
      <c r="F1457" s="4" t="s">
        <v>169</v>
      </c>
      <c r="G1457" s="4" t="s">
        <v>170</v>
      </c>
      <c r="H1457" s="4" t="s">
        <v>171</v>
      </c>
      <c r="I1457" s="4" t="s">
        <v>172</v>
      </c>
      <c r="J1457" s="4" t="s">
        <v>1634</v>
      </c>
      <c r="K1457" s="4" t="s">
        <v>103</v>
      </c>
      <c r="L1457" s="4" t="s">
        <v>104</v>
      </c>
      <c r="M1457" s="4"/>
      <c r="N1457" s="4"/>
      <c r="O1457" s="4"/>
      <c r="P1457" s="4"/>
      <c r="Q1457" s="4"/>
      <c r="R1457" s="4"/>
      <c r="S1457" s="13" t="n">
        <v>0</v>
      </c>
      <c r="T1457" s="4" t="s">
        <v>173</v>
      </c>
      <c r="U1457" s="14" t="n">
        <f aca="false">IF(OR($S1457="",PARAMETROS!$B$4=""),"",$S1457*PARAMETROS!$B$4)</f>
        <v>0</v>
      </c>
      <c r="V1457" s="13" t="n">
        <v>0</v>
      </c>
      <c r="W1457" s="4"/>
      <c r="X1457" s="4"/>
      <c r="Y1457" s="4"/>
      <c r="Z1457" s="4"/>
      <c r="AA1457" s="4"/>
      <c r="AB1457" s="4"/>
      <c r="AC1457" s="4"/>
      <c r="AD1457" s="4"/>
      <c r="AE1457" s="4"/>
      <c r="AF1457" s="4"/>
      <c r="AG1457" s="4"/>
      <c r="AH1457" s="4"/>
      <c r="AI1457" s="4"/>
      <c r="AJ1457" s="4"/>
      <c r="AK1457" s="4"/>
      <c r="AL1457" s="4" t="s">
        <v>174</v>
      </c>
      <c r="AM1457" s="4" t="s">
        <v>205</v>
      </c>
    </row>
    <row r="1458" customFormat="false" ht="23.85" hidden="false" customHeight="false" outlineLevel="0" collapsed="false">
      <c r="A1458" s="4" t="s">
        <v>167</v>
      </c>
      <c r="B1458" s="4" t="s">
        <v>1635</v>
      </c>
      <c r="C1458" s="4" t="s">
        <v>1635</v>
      </c>
      <c r="D1458" s="12" t="n">
        <v>2023</v>
      </c>
      <c r="E1458" s="4"/>
      <c r="F1458" s="4" t="s">
        <v>169</v>
      </c>
      <c r="G1458" s="4" t="s">
        <v>170</v>
      </c>
      <c r="H1458" s="4" t="s">
        <v>171</v>
      </c>
      <c r="I1458" s="4" t="s">
        <v>172</v>
      </c>
      <c r="J1458" s="4" t="s">
        <v>1635</v>
      </c>
      <c r="K1458" s="4" t="s">
        <v>105</v>
      </c>
      <c r="L1458" s="4" t="s">
        <v>106</v>
      </c>
      <c r="M1458" s="4"/>
      <c r="N1458" s="4"/>
      <c r="O1458" s="4"/>
      <c r="P1458" s="4"/>
      <c r="Q1458" s="4"/>
      <c r="R1458" s="4"/>
      <c r="S1458" s="13" t="n">
        <v>0</v>
      </c>
      <c r="T1458" s="4" t="s">
        <v>173</v>
      </c>
      <c r="U1458" s="14" t="n">
        <f aca="false">IF(OR($S1458="",PARAMETROS!$B$4=""),"",$S1458*PARAMETROS!$B$4)</f>
        <v>0</v>
      </c>
      <c r="V1458" s="13" t="n">
        <v>0</v>
      </c>
      <c r="W1458" s="4"/>
      <c r="X1458" s="4"/>
      <c r="Y1458" s="4"/>
      <c r="Z1458" s="4"/>
      <c r="AA1458" s="4"/>
      <c r="AB1458" s="4"/>
      <c r="AC1458" s="4"/>
      <c r="AD1458" s="4"/>
      <c r="AE1458" s="4"/>
      <c r="AF1458" s="4"/>
      <c r="AG1458" s="4"/>
      <c r="AH1458" s="4"/>
      <c r="AI1458" s="4"/>
      <c r="AJ1458" s="4"/>
      <c r="AK1458" s="4"/>
      <c r="AL1458" s="4" t="s">
        <v>174</v>
      </c>
      <c r="AM1458" s="4" t="s">
        <v>205</v>
      </c>
    </row>
    <row r="1459" customFormat="false" ht="23.85" hidden="false" customHeight="false" outlineLevel="0" collapsed="false">
      <c r="A1459" s="4" t="s">
        <v>167</v>
      </c>
      <c r="B1459" s="4" t="s">
        <v>1636</v>
      </c>
      <c r="C1459" s="4" t="s">
        <v>1636</v>
      </c>
      <c r="D1459" s="12" t="n">
        <v>2023</v>
      </c>
      <c r="E1459" s="4"/>
      <c r="F1459" s="4" t="s">
        <v>169</v>
      </c>
      <c r="G1459" s="4" t="s">
        <v>170</v>
      </c>
      <c r="H1459" s="4" t="s">
        <v>171</v>
      </c>
      <c r="I1459" s="4" t="s">
        <v>172</v>
      </c>
      <c r="J1459" s="4" t="s">
        <v>1636</v>
      </c>
      <c r="K1459" s="4" t="s">
        <v>105</v>
      </c>
      <c r="L1459" s="4" t="s">
        <v>106</v>
      </c>
      <c r="M1459" s="4"/>
      <c r="N1459" s="4"/>
      <c r="O1459" s="4"/>
      <c r="P1459" s="4"/>
      <c r="Q1459" s="4"/>
      <c r="R1459" s="4"/>
      <c r="S1459" s="13" t="n">
        <v>4957.36</v>
      </c>
      <c r="T1459" s="4" t="s">
        <v>173</v>
      </c>
      <c r="U1459" s="14" t="n">
        <f aca="false">IF(OR($S1459="",PARAMETROS!$B$4=""),"",$S1459*PARAMETROS!$B$4)</f>
        <v>28802.2616</v>
      </c>
      <c r="V1459" s="13" t="n">
        <v>0</v>
      </c>
      <c r="W1459" s="4"/>
      <c r="X1459" s="4"/>
      <c r="Y1459" s="4"/>
      <c r="Z1459" s="4"/>
      <c r="AA1459" s="4"/>
      <c r="AB1459" s="4"/>
      <c r="AC1459" s="4"/>
      <c r="AD1459" s="4"/>
      <c r="AE1459" s="4"/>
      <c r="AF1459" s="4"/>
      <c r="AG1459" s="4"/>
      <c r="AH1459" s="4"/>
      <c r="AI1459" s="4"/>
      <c r="AJ1459" s="4"/>
      <c r="AK1459" s="4"/>
      <c r="AL1459" s="4" t="s">
        <v>174</v>
      </c>
      <c r="AM1459" s="4" t="s">
        <v>205</v>
      </c>
    </row>
    <row r="1460" customFormat="false" ht="23.85" hidden="false" customHeight="false" outlineLevel="0" collapsed="false">
      <c r="A1460" s="4" t="s">
        <v>167</v>
      </c>
      <c r="B1460" s="4" t="s">
        <v>1637</v>
      </c>
      <c r="C1460" s="4" t="s">
        <v>1637</v>
      </c>
      <c r="D1460" s="12" t="n">
        <v>2023</v>
      </c>
      <c r="E1460" s="4"/>
      <c r="F1460" s="4" t="s">
        <v>169</v>
      </c>
      <c r="G1460" s="4" t="s">
        <v>170</v>
      </c>
      <c r="H1460" s="4" t="s">
        <v>171</v>
      </c>
      <c r="I1460" s="4" t="s">
        <v>172</v>
      </c>
      <c r="J1460" s="4" t="s">
        <v>1637</v>
      </c>
      <c r="K1460" s="4" t="s">
        <v>105</v>
      </c>
      <c r="L1460" s="4" t="s">
        <v>106</v>
      </c>
      <c r="M1460" s="4"/>
      <c r="N1460" s="4"/>
      <c r="O1460" s="4"/>
      <c r="P1460" s="4"/>
      <c r="Q1460" s="4"/>
      <c r="R1460" s="4"/>
      <c r="S1460" s="13" t="n">
        <v>876.79</v>
      </c>
      <c r="T1460" s="4" t="s">
        <v>173</v>
      </c>
      <c r="U1460" s="14" t="n">
        <f aca="false">IF(OR($S1460="",PARAMETROS!$B$4=""),"",$S1460*PARAMETROS!$B$4)</f>
        <v>5094.1499</v>
      </c>
      <c r="V1460" s="13" t="n">
        <v>0</v>
      </c>
      <c r="W1460" s="4"/>
      <c r="X1460" s="4"/>
      <c r="Y1460" s="4"/>
      <c r="Z1460" s="4"/>
      <c r="AA1460" s="4"/>
      <c r="AB1460" s="4"/>
      <c r="AC1460" s="4"/>
      <c r="AD1460" s="4"/>
      <c r="AE1460" s="4"/>
      <c r="AF1460" s="4"/>
      <c r="AG1460" s="4"/>
      <c r="AH1460" s="4"/>
      <c r="AI1460" s="4"/>
      <c r="AJ1460" s="4"/>
      <c r="AK1460" s="4"/>
      <c r="AL1460" s="4" t="s">
        <v>174</v>
      </c>
      <c r="AM1460" s="4" t="s">
        <v>205</v>
      </c>
    </row>
    <row r="1461" customFormat="false" ht="23.85" hidden="false" customHeight="false" outlineLevel="0" collapsed="false">
      <c r="A1461" s="4" t="s">
        <v>167</v>
      </c>
      <c r="B1461" s="4" t="s">
        <v>1638</v>
      </c>
      <c r="C1461" s="4" t="s">
        <v>1638</v>
      </c>
      <c r="D1461" s="12" t="n">
        <v>2023</v>
      </c>
      <c r="E1461" s="4"/>
      <c r="F1461" s="4" t="s">
        <v>169</v>
      </c>
      <c r="G1461" s="4" t="s">
        <v>170</v>
      </c>
      <c r="H1461" s="4" t="s">
        <v>171</v>
      </c>
      <c r="I1461" s="4" t="s">
        <v>172</v>
      </c>
      <c r="J1461" s="4" t="s">
        <v>1638</v>
      </c>
      <c r="K1461" s="4" t="s">
        <v>105</v>
      </c>
      <c r="L1461" s="4" t="s">
        <v>106</v>
      </c>
      <c r="M1461" s="4"/>
      <c r="N1461" s="4"/>
      <c r="O1461" s="4"/>
      <c r="P1461" s="4"/>
      <c r="Q1461" s="4"/>
      <c r="R1461" s="4"/>
      <c r="S1461" s="13" t="n">
        <v>220.51</v>
      </c>
      <c r="T1461" s="4" t="s">
        <v>173</v>
      </c>
      <c r="U1461" s="14" t="n">
        <f aca="false">IF(OR($S1461="",PARAMETROS!$B$4=""),"",$S1461*PARAMETROS!$B$4)</f>
        <v>1281.1631</v>
      </c>
      <c r="V1461" s="13" t="n">
        <v>0</v>
      </c>
      <c r="W1461" s="4"/>
      <c r="X1461" s="4"/>
      <c r="Y1461" s="4"/>
      <c r="Z1461" s="4"/>
      <c r="AA1461" s="4"/>
      <c r="AB1461" s="4"/>
      <c r="AC1461" s="4"/>
      <c r="AD1461" s="4"/>
      <c r="AE1461" s="4"/>
      <c r="AF1461" s="4"/>
      <c r="AG1461" s="4"/>
      <c r="AH1461" s="4"/>
      <c r="AI1461" s="4"/>
      <c r="AJ1461" s="4"/>
      <c r="AK1461" s="4"/>
      <c r="AL1461" s="4" t="s">
        <v>174</v>
      </c>
      <c r="AM1461" s="4" t="s">
        <v>205</v>
      </c>
    </row>
    <row r="1462" customFormat="false" ht="23.85" hidden="false" customHeight="false" outlineLevel="0" collapsed="false">
      <c r="A1462" s="4" t="s">
        <v>167</v>
      </c>
      <c r="B1462" s="4" t="s">
        <v>1639</v>
      </c>
      <c r="C1462" s="4" t="s">
        <v>1639</v>
      </c>
      <c r="D1462" s="12" t="n">
        <v>2023</v>
      </c>
      <c r="E1462" s="4"/>
      <c r="F1462" s="4" t="s">
        <v>169</v>
      </c>
      <c r="G1462" s="4" t="s">
        <v>170</v>
      </c>
      <c r="H1462" s="4" t="s">
        <v>171</v>
      </c>
      <c r="I1462" s="4" t="s">
        <v>172</v>
      </c>
      <c r="J1462" s="4" t="s">
        <v>1639</v>
      </c>
      <c r="K1462" s="4" t="s">
        <v>105</v>
      </c>
      <c r="L1462" s="4" t="s">
        <v>106</v>
      </c>
      <c r="M1462" s="4"/>
      <c r="N1462" s="4"/>
      <c r="O1462" s="4"/>
      <c r="P1462" s="4"/>
      <c r="Q1462" s="4"/>
      <c r="R1462" s="4"/>
      <c r="S1462" s="13" t="n">
        <v>0</v>
      </c>
      <c r="T1462" s="4" t="s">
        <v>173</v>
      </c>
      <c r="U1462" s="14" t="n">
        <f aca="false">IF(OR($S1462="",PARAMETROS!$B$4=""),"",$S1462*PARAMETROS!$B$4)</f>
        <v>0</v>
      </c>
      <c r="V1462" s="13" t="n">
        <v>0</v>
      </c>
      <c r="W1462" s="4"/>
      <c r="X1462" s="4"/>
      <c r="Y1462" s="4"/>
      <c r="Z1462" s="4"/>
      <c r="AA1462" s="4"/>
      <c r="AB1462" s="4"/>
      <c r="AC1462" s="4"/>
      <c r="AD1462" s="4"/>
      <c r="AE1462" s="4"/>
      <c r="AF1462" s="4"/>
      <c r="AG1462" s="4"/>
      <c r="AH1462" s="4"/>
      <c r="AI1462" s="4"/>
      <c r="AJ1462" s="4"/>
      <c r="AK1462" s="4"/>
      <c r="AL1462" s="4" t="s">
        <v>174</v>
      </c>
      <c r="AM1462" s="4" t="s">
        <v>205</v>
      </c>
    </row>
    <row r="1463" customFormat="false" ht="23.85" hidden="false" customHeight="false" outlineLevel="0" collapsed="false">
      <c r="A1463" s="4" t="s">
        <v>167</v>
      </c>
      <c r="B1463" s="4" t="s">
        <v>1640</v>
      </c>
      <c r="C1463" s="4" t="s">
        <v>1640</v>
      </c>
      <c r="D1463" s="12" t="n">
        <v>2023</v>
      </c>
      <c r="E1463" s="4"/>
      <c r="F1463" s="4" t="s">
        <v>169</v>
      </c>
      <c r="G1463" s="4" t="s">
        <v>170</v>
      </c>
      <c r="H1463" s="4" t="s">
        <v>171</v>
      </c>
      <c r="I1463" s="4" t="s">
        <v>172</v>
      </c>
      <c r="J1463" s="4" t="s">
        <v>1640</v>
      </c>
      <c r="K1463" s="4" t="s">
        <v>105</v>
      </c>
      <c r="L1463" s="4" t="s">
        <v>106</v>
      </c>
      <c r="M1463" s="4"/>
      <c r="N1463" s="4"/>
      <c r="O1463" s="4"/>
      <c r="P1463" s="4"/>
      <c r="Q1463" s="4"/>
      <c r="R1463" s="4"/>
      <c r="S1463" s="13" t="n">
        <v>0</v>
      </c>
      <c r="T1463" s="4" t="s">
        <v>173</v>
      </c>
      <c r="U1463" s="14" t="n">
        <f aca="false">IF(OR($S1463="",PARAMETROS!$B$4=""),"",$S1463*PARAMETROS!$B$4)</f>
        <v>0</v>
      </c>
      <c r="V1463" s="13" t="n">
        <v>0</v>
      </c>
      <c r="W1463" s="4"/>
      <c r="X1463" s="4"/>
      <c r="Y1463" s="4"/>
      <c r="Z1463" s="4"/>
      <c r="AA1463" s="4"/>
      <c r="AB1463" s="4"/>
      <c r="AC1463" s="4"/>
      <c r="AD1463" s="4"/>
      <c r="AE1463" s="4"/>
      <c r="AF1463" s="4"/>
      <c r="AG1463" s="4"/>
      <c r="AH1463" s="4"/>
      <c r="AI1463" s="4"/>
      <c r="AJ1463" s="4"/>
      <c r="AK1463" s="4"/>
      <c r="AL1463" s="4" t="s">
        <v>174</v>
      </c>
      <c r="AM1463" s="4" t="s">
        <v>205</v>
      </c>
    </row>
    <row r="1464" customFormat="false" ht="23.85" hidden="false" customHeight="false" outlineLevel="0" collapsed="false">
      <c r="A1464" s="4" t="s">
        <v>167</v>
      </c>
      <c r="B1464" s="4" t="s">
        <v>1641</v>
      </c>
      <c r="C1464" s="4" t="s">
        <v>1641</v>
      </c>
      <c r="D1464" s="12" t="n">
        <v>2023</v>
      </c>
      <c r="E1464" s="4"/>
      <c r="F1464" s="4" t="s">
        <v>169</v>
      </c>
      <c r="G1464" s="4" t="s">
        <v>170</v>
      </c>
      <c r="H1464" s="4" t="s">
        <v>171</v>
      </c>
      <c r="I1464" s="4" t="s">
        <v>172</v>
      </c>
      <c r="J1464" s="4" t="s">
        <v>1641</v>
      </c>
      <c r="K1464" s="4" t="s">
        <v>105</v>
      </c>
      <c r="L1464" s="4" t="s">
        <v>106</v>
      </c>
      <c r="M1464" s="4"/>
      <c r="N1464" s="4"/>
      <c r="O1464" s="4"/>
      <c r="P1464" s="4"/>
      <c r="Q1464" s="4"/>
      <c r="R1464" s="4"/>
      <c r="S1464" s="13" t="n">
        <v>0</v>
      </c>
      <c r="T1464" s="4" t="s">
        <v>173</v>
      </c>
      <c r="U1464" s="14" t="n">
        <f aca="false">IF(OR($S1464="",PARAMETROS!$B$4=""),"",$S1464*PARAMETROS!$B$4)</f>
        <v>0</v>
      </c>
      <c r="V1464" s="13" t="n">
        <v>0</v>
      </c>
      <c r="W1464" s="4"/>
      <c r="X1464" s="4"/>
      <c r="Y1464" s="4"/>
      <c r="Z1464" s="4"/>
      <c r="AA1464" s="4"/>
      <c r="AB1464" s="4"/>
      <c r="AC1464" s="4"/>
      <c r="AD1464" s="4"/>
      <c r="AE1464" s="4"/>
      <c r="AF1464" s="4"/>
      <c r="AG1464" s="4"/>
      <c r="AH1464" s="4"/>
      <c r="AI1464" s="4"/>
      <c r="AJ1464" s="4"/>
      <c r="AK1464" s="4"/>
      <c r="AL1464" s="4" t="s">
        <v>174</v>
      </c>
      <c r="AM1464" s="4" t="s">
        <v>205</v>
      </c>
    </row>
    <row r="1465" customFormat="false" ht="23.85" hidden="false" customHeight="false" outlineLevel="0" collapsed="false">
      <c r="A1465" s="4" t="s">
        <v>167</v>
      </c>
      <c r="B1465" s="4" t="s">
        <v>1642</v>
      </c>
      <c r="C1465" s="4" t="s">
        <v>1642</v>
      </c>
      <c r="D1465" s="12" t="n">
        <v>2023</v>
      </c>
      <c r="E1465" s="4"/>
      <c r="F1465" s="4" t="s">
        <v>169</v>
      </c>
      <c r="G1465" s="4" t="s">
        <v>170</v>
      </c>
      <c r="H1465" s="4" t="s">
        <v>171</v>
      </c>
      <c r="I1465" s="4" t="s">
        <v>172</v>
      </c>
      <c r="J1465" s="4" t="s">
        <v>1642</v>
      </c>
      <c r="K1465" s="4" t="s">
        <v>105</v>
      </c>
      <c r="L1465" s="4" t="s">
        <v>106</v>
      </c>
      <c r="M1465" s="4"/>
      <c r="N1465" s="4"/>
      <c r="O1465" s="4"/>
      <c r="P1465" s="4"/>
      <c r="Q1465" s="4"/>
      <c r="R1465" s="4"/>
      <c r="S1465" s="13" t="n">
        <v>0</v>
      </c>
      <c r="T1465" s="4" t="s">
        <v>173</v>
      </c>
      <c r="U1465" s="14" t="n">
        <f aca="false">IF(OR($S1465="",PARAMETROS!$B$4=""),"",$S1465*PARAMETROS!$B$4)</f>
        <v>0</v>
      </c>
      <c r="V1465" s="13" t="n">
        <v>0</v>
      </c>
      <c r="W1465" s="4"/>
      <c r="X1465" s="4"/>
      <c r="Y1465" s="4"/>
      <c r="Z1465" s="4"/>
      <c r="AA1465" s="4"/>
      <c r="AB1465" s="4"/>
      <c r="AC1465" s="4"/>
      <c r="AD1465" s="4"/>
      <c r="AE1465" s="4"/>
      <c r="AF1465" s="4"/>
      <c r="AG1465" s="4"/>
      <c r="AH1465" s="4"/>
      <c r="AI1465" s="4"/>
      <c r="AJ1465" s="4"/>
      <c r="AK1465" s="4"/>
      <c r="AL1465" s="4" t="s">
        <v>174</v>
      </c>
      <c r="AM1465" s="4" t="s">
        <v>205</v>
      </c>
    </row>
    <row r="1466" customFormat="false" ht="23.85" hidden="false" customHeight="false" outlineLevel="0" collapsed="false">
      <c r="A1466" s="4" t="s">
        <v>167</v>
      </c>
      <c r="B1466" s="4" t="s">
        <v>1643</v>
      </c>
      <c r="C1466" s="4" t="s">
        <v>1643</v>
      </c>
      <c r="D1466" s="12" t="n">
        <v>2023</v>
      </c>
      <c r="E1466" s="4"/>
      <c r="F1466" s="4" t="s">
        <v>169</v>
      </c>
      <c r="G1466" s="4" t="s">
        <v>170</v>
      </c>
      <c r="H1466" s="4" t="s">
        <v>171</v>
      </c>
      <c r="I1466" s="4" t="s">
        <v>172</v>
      </c>
      <c r="J1466" s="4" t="s">
        <v>1643</v>
      </c>
      <c r="K1466" s="4" t="s">
        <v>105</v>
      </c>
      <c r="L1466" s="4" t="s">
        <v>106</v>
      </c>
      <c r="M1466" s="4"/>
      <c r="N1466" s="4"/>
      <c r="O1466" s="4"/>
      <c r="P1466" s="4"/>
      <c r="Q1466" s="4"/>
      <c r="R1466" s="4"/>
      <c r="S1466" s="13" t="n">
        <v>43.01</v>
      </c>
      <c r="T1466" s="4" t="s">
        <v>173</v>
      </c>
      <c r="U1466" s="14" t="n">
        <f aca="false">IF(OR($S1466="",PARAMETROS!$B$4=""),"",$S1466*PARAMETROS!$B$4)</f>
        <v>249.8881</v>
      </c>
      <c r="V1466" s="13" t="n">
        <v>0</v>
      </c>
      <c r="W1466" s="4"/>
      <c r="X1466" s="4"/>
      <c r="Y1466" s="4"/>
      <c r="Z1466" s="4"/>
      <c r="AA1466" s="4"/>
      <c r="AB1466" s="4"/>
      <c r="AC1466" s="4"/>
      <c r="AD1466" s="4"/>
      <c r="AE1466" s="4"/>
      <c r="AF1466" s="4"/>
      <c r="AG1466" s="4"/>
      <c r="AH1466" s="4"/>
      <c r="AI1466" s="4"/>
      <c r="AJ1466" s="4"/>
      <c r="AK1466" s="4"/>
      <c r="AL1466" s="4" t="s">
        <v>174</v>
      </c>
      <c r="AM1466" s="4" t="s">
        <v>205</v>
      </c>
    </row>
    <row r="1467" customFormat="false" ht="23.85" hidden="false" customHeight="false" outlineLevel="0" collapsed="false">
      <c r="A1467" s="4" t="s">
        <v>167</v>
      </c>
      <c r="B1467" s="4" t="s">
        <v>1644</v>
      </c>
      <c r="C1467" s="4" t="s">
        <v>1644</v>
      </c>
      <c r="D1467" s="12" t="n">
        <v>2023</v>
      </c>
      <c r="E1467" s="4"/>
      <c r="F1467" s="4" t="s">
        <v>169</v>
      </c>
      <c r="G1467" s="4" t="s">
        <v>170</v>
      </c>
      <c r="H1467" s="4" t="s">
        <v>171</v>
      </c>
      <c r="I1467" s="4" t="s">
        <v>172</v>
      </c>
      <c r="J1467" s="4" t="s">
        <v>1644</v>
      </c>
      <c r="K1467" s="4" t="s">
        <v>105</v>
      </c>
      <c r="L1467" s="4" t="s">
        <v>106</v>
      </c>
      <c r="M1467" s="4"/>
      <c r="N1467" s="4"/>
      <c r="O1467" s="4"/>
      <c r="P1467" s="4"/>
      <c r="Q1467" s="4"/>
      <c r="R1467" s="4"/>
      <c r="S1467" s="13" t="n">
        <v>3311.83</v>
      </c>
      <c r="T1467" s="4" t="s">
        <v>173</v>
      </c>
      <c r="U1467" s="14" t="n">
        <f aca="false">IF(OR($S1467="",PARAMETROS!$B$4=""),"",$S1467*PARAMETROS!$B$4)</f>
        <v>19241.7323</v>
      </c>
      <c r="V1467" s="13" t="n">
        <v>0</v>
      </c>
      <c r="W1467" s="4"/>
      <c r="X1467" s="4"/>
      <c r="Y1467" s="4"/>
      <c r="Z1467" s="4"/>
      <c r="AA1467" s="4"/>
      <c r="AB1467" s="4"/>
      <c r="AC1467" s="4"/>
      <c r="AD1467" s="4"/>
      <c r="AE1467" s="4"/>
      <c r="AF1467" s="4"/>
      <c r="AG1467" s="4"/>
      <c r="AH1467" s="4"/>
      <c r="AI1467" s="4"/>
      <c r="AJ1467" s="4"/>
      <c r="AK1467" s="4"/>
      <c r="AL1467" s="4" t="s">
        <v>174</v>
      </c>
      <c r="AM1467" s="4" t="s">
        <v>205</v>
      </c>
    </row>
    <row r="1468" customFormat="false" ht="23.85" hidden="false" customHeight="false" outlineLevel="0" collapsed="false">
      <c r="A1468" s="4" t="s">
        <v>167</v>
      </c>
      <c r="B1468" s="4" t="s">
        <v>1645</v>
      </c>
      <c r="C1468" s="4" t="s">
        <v>1645</v>
      </c>
      <c r="D1468" s="12" t="n">
        <v>2023</v>
      </c>
      <c r="E1468" s="4"/>
      <c r="F1468" s="4" t="s">
        <v>169</v>
      </c>
      <c r="G1468" s="4" t="s">
        <v>170</v>
      </c>
      <c r="H1468" s="4" t="s">
        <v>171</v>
      </c>
      <c r="I1468" s="4" t="s">
        <v>172</v>
      </c>
      <c r="J1468" s="4" t="s">
        <v>1645</v>
      </c>
      <c r="K1468" s="4" t="s">
        <v>105</v>
      </c>
      <c r="L1468" s="4" t="s">
        <v>106</v>
      </c>
      <c r="M1468" s="4"/>
      <c r="N1468" s="4"/>
      <c r="O1468" s="4"/>
      <c r="P1468" s="4"/>
      <c r="Q1468" s="4"/>
      <c r="R1468" s="4"/>
      <c r="S1468" s="13" t="n">
        <v>86.02</v>
      </c>
      <c r="T1468" s="4" t="s">
        <v>173</v>
      </c>
      <c r="U1468" s="14" t="n">
        <f aca="false">IF(OR($S1468="",PARAMETROS!$B$4=""),"",$S1468*PARAMETROS!$B$4)</f>
        <v>499.7762</v>
      </c>
      <c r="V1468" s="13" t="n">
        <v>0</v>
      </c>
      <c r="W1468" s="4"/>
      <c r="X1468" s="4"/>
      <c r="Y1468" s="4"/>
      <c r="Z1468" s="4"/>
      <c r="AA1468" s="4"/>
      <c r="AB1468" s="4"/>
      <c r="AC1468" s="4"/>
      <c r="AD1468" s="4"/>
      <c r="AE1468" s="4"/>
      <c r="AF1468" s="4"/>
      <c r="AG1468" s="4"/>
      <c r="AH1468" s="4"/>
      <c r="AI1468" s="4"/>
      <c r="AJ1468" s="4"/>
      <c r="AK1468" s="4"/>
      <c r="AL1468" s="4" t="s">
        <v>174</v>
      </c>
      <c r="AM1468" s="4" t="s">
        <v>205</v>
      </c>
    </row>
    <row r="1469" customFormat="false" ht="23.85" hidden="false" customHeight="false" outlineLevel="0" collapsed="false">
      <c r="A1469" s="4" t="s">
        <v>167</v>
      </c>
      <c r="B1469" s="4" t="s">
        <v>1646</v>
      </c>
      <c r="C1469" s="4" t="s">
        <v>1646</v>
      </c>
      <c r="D1469" s="12" t="n">
        <v>2023</v>
      </c>
      <c r="E1469" s="4"/>
      <c r="F1469" s="4" t="s">
        <v>169</v>
      </c>
      <c r="G1469" s="4" t="s">
        <v>170</v>
      </c>
      <c r="H1469" s="4" t="s">
        <v>171</v>
      </c>
      <c r="I1469" s="4" t="s">
        <v>172</v>
      </c>
      <c r="J1469" s="4" t="s">
        <v>1646</v>
      </c>
      <c r="K1469" s="4" t="s">
        <v>105</v>
      </c>
      <c r="L1469" s="4" t="s">
        <v>106</v>
      </c>
      <c r="M1469" s="4"/>
      <c r="N1469" s="4"/>
      <c r="O1469" s="4"/>
      <c r="P1469" s="4"/>
      <c r="Q1469" s="4"/>
      <c r="R1469" s="4"/>
      <c r="S1469" s="13" t="n">
        <v>860.22</v>
      </c>
      <c r="T1469" s="4" t="s">
        <v>173</v>
      </c>
      <c r="U1469" s="14" t="n">
        <f aca="false">IF(OR($S1469="",PARAMETROS!$B$4=""),"",$S1469*PARAMETROS!$B$4)</f>
        <v>4997.8782</v>
      </c>
      <c r="V1469" s="13" t="n">
        <v>0</v>
      </c>
      <c r="W1469" s="4"/>
      <c r="X1469" s="4"/>
      <c r="Y1469" s="4"/>
      <c r="Z1469" s="4"/>
      <c r="AA1469" s="4"/>
      <c r="AB1469" s="4"/>
      <c r="AC1469" s="4"/>
      <c r="AD1469" s="4"/>
      <c r="AE1469" s="4"/>
      <c r="AF1469" s="4"/>
      <c r="AG1469" s="4"/>
      <c r="AH1469" s="4"/>
      <c r="AI1469" s="4"/>
      <c r="AJ1469" s="4"/>
      <c r="AK1469" s="4"/>
      <c r="AL1469" s="4" t="s">
        <v>174</v>
      </c>
      <c r="AM1469" s="4" t="s">
        <v>205</v>
      </c>
    </row>
    <row r="1470" customFormat="false" ht="23.85" hidden="false" customHeight="false" outlineLevel="0" collapsed="false">
      <c r="A1470" s="4" t="s">
        <v>167</v>
      </c>
      <c r="B1470" s="4" t="s">
        <v>1647</v>
      </c>
      <c r="C1470" s="4" t="s">
        <v>1647</v>
      </c>
      <c r="D1470" s="12" t="n">
        <v>2023</v>
      </c>
      <c r="E1470" s="4"/>
      <c r="F1470" s="4" t="s">
        <v>169</v>
      </c>
      <c r="G1470" s="4" t="s">
        <v>170</v>
      </c>
      <c r="H1470" s="4" t="s">
        <v>171</v>
      </c>
      <c r="I1470" s="4" t="s">
        <v>172</v>
      </c>
      <c r="J1470" s="4" t="s">
        <v>1647</v>
      </c>
      <c r="K1470" s="4" t="s">
        <v>105</v>
      </c>
      <c r="L1470" s="4" t="s">
        <v>106</v>
      </c>
      <c r="M1470" s="4"/>
      <c r="N1470" s="4"/>
      <c r="O1470" s="4"/>
      <c r="P1470" s="4"/>
      <c r="Q1470" s="4"/>
      <c r="R1470" s="4"/>
      <c r="S1470" s="13" t="n">
        <v>0</v>
      </c>
      <c r="T1470" s="4" t="s">
        <v>173</v>
      </c>
      <c r="U1470" s="14" t="n">
        <f aca="false">IF(OR($S1470="",PARAMETROS!$B$4=""),"",$S1470*PARAMETROS!$B$4)</f>
        <v>0</v>
      </c>
      <c r="V1470" s="13" t="n">
        <v>0</v>
      </c>
      <c r="W1470" s="4"/>
      <c r="X1470" s="4"/>
      <c r="Y1470" s="4"/>
      <c r="Z1470" s="4"/>
      <c r="AA1470" s="4"/>
      <c r="AB1470" s="4"/>
      <c r="AC1470" s="4"/>
      <c r="AD1470" s="4"/>
      <c r="AE1470" s="4"/>
      <c r="AF1470" s="4"/>
      <c r="AG1470" s="4"/>
      <c r="AH1470" s="4"/>
      <c r="AI1470" s="4"/>
      <c r="AJ1470" s="4"/>
      <c r="AK1470" s="4"/>
      <c r="AL1470" s="4" t="s">
        <v>174</v>
      </c>
      <c r="AM1470" s="4" t="s">
        <v>205</v>
      </c>
    </row>
    <row r="1471" customFormat="false" ht="23.85" hidden="false" customHeight="false" outlineLevel="0" collapsed="false">
      <c r="A1471" s="4" t="s">
        <v>167</v>
      </c>
      <c r="B1471" s="4" t="s">
        <v>1648</v>
      </c>
      <c r="C1471" s="4" t="s">
        <v>1648</v>
      </c>
      <c r="D1471" s="12" t="n">
        <v>2023</v>
      </c>
      <c r="E1471" s="4"/>
      <c r="F1471" s="4" t="s">
        <v>169</v>
      </c>
      <c r="G1471" s="4" t="s">
        <v>170</v>
      </c>
      <c r="H1471" s="4" t="s">
        <v>171</v>
      </c>
      <c r="I1471" s="4" t="s">
        <v>172</v>
      </c>
      <c r="J1471" s="4" t="s">
        <v>1648</v>
      </c>
      <c r="K1471" s="4" t="s">
        <v>105</v>
      </c>
      <c r="L1471" s="4" t="s">
        <v>106</v>
      </c>
      <c r="M1471" s="4"/>
      <c r="N1471" s="4"/>
      <c r="O1471" s="4"/>
      <c r="P1471" s="4"/>
      <c r="Q1471" s="4"/>
      <c r="R1471" s="4"/>
      <c r="S1471" s="13" t="n">
        <v>0</v>
      </c>
      <c r="T1471" s="4" t="s">
        <v>173</v>
      </c>
      <c r="U1471" s="14" t="n">
        <f aca="false">IF(OR($S1471="",PARAMETROS!$B$4=""),"",$S1471*PARAMETROS!$B$4)</f>
        <v>0</v>
      </c>
      <c r="V1471" s="13" t="n">
        <v>0</v>
      </c>
      <c r="W1471" s="4"/>
      <c r="X1471" s="4"/>
      <c r="Y1471" s="4"/>
      <c r="Z1471" s="4"/>
      <c r="AA1471" s="4"/>
      <c r="AB1471" s="4"/>
      <c r="AC1471" s="4"/>
      <c r="AD1471" s="4"/>
      <c r="AE1471" s="4"/>
      <c r="AF1471" s="4"/>
      <c r="AG1471" s="4"/>
      <c r="AH1471" s="4"/>
      <c r="AI1471" s="4"/>
      <c r="AJ1471" s="4"/>
      <c r="AK1471" s="4"/>
      <c r="AL1471" s="4" t="s">
        <v>174</v>
      </c>
      <c r="AM1471" s="4" t="s">
        <v>205</v>
      </c>
    </row>
    <row r="1472" customFormat="false" ht="23.85" hidden="false" customHeight="false" outlineLevel="0" collapsed="false">
      <c r="A1472" s="4" t="s">
        <v>167</v>
      </c>
      <c r="B1472" s="4" t="s">
        <v>1649</v>
      </c>
      <c r="C1472" s="4" t="s">
        <v>1649</v>
      </c>
      <c r="D1472" s="12" t="n">
        <v>2023</v>
      </c>
      <c r="E1472" s="4"/>
      <c r="F1472" s="4" t="s">
        <v>169</v>
      </c>
      <c r="G1472" s="4" t="s">
        <v>170</v>
      </c>
      <c r="H1472" s="4" t="s">
        <v>171</v>
      </c>
      <c r="I1472" s="4" t="s">
        <v>172</v>
      </c>
      <c r="J1472" s="4" t="s">
        <v>1649</v>
      </c>
      <c r="K1472" s="4" t="s">
        <v>107</v>
      </c>
      <c r="L1472" s="4" t="s">
        <v>108</v>
      </c>
      <c r="M1472" s="4"/>
      <c r="N1472" s="4"/>
      <c r="O1472" s="4"/>
      <c r="P1472" s="4"/>
      <c r="Q1472" s="4"/>
      <c r="R1472" s="4"/>
      <c r="S1472" s="13" t="n">
        <v>0</v>
      </c>
      <c r="T1472" s="4" t="s">
        <v>173</v>
      </c>
      <c r="U1472" s="14" t="n">
        <f aca="false">IF(OR($S1472="",PARAMETROS!$B$4=""),"",$S1472*PARAMETROS!$B$4)</f>
        <v>0</v>
      </c>
      <c r="V1472" s="13" t="n">
        <v>0</v>
      </c>
      <c r="W1472" s="4"/>
      <c r="X1472" s="4"/>
      <c r="Y1472" s="4"/>
      <c r="Z1472" s="4"/>
      <c r="AA1472" s="4"/>
      <c r="AB1472" s="4"/>
      <c r="AC1472" s="4"/>
      <c r="AD1472" s="4"/>
      <c r="AE1472" s="4"/>
      <c r="AF1472" s="4"/>
      <c r="AG1472" s="4"/>
      <c r="AH1472" s="4"/>
      <c r="AI1472" s="4"/>
      <c r="AJ1472" s="4"/>
      <c r="AK1472" s="4"/>
      <c r="AL1472" s="4" t="s">
        <v>174</v>
      </c>
      <c r="AM1472" s="4" t="s">
        <v>205</v>
      </c>
    </row>
    <row r="1473" customFormat="false" ht="23.85" hidden="false" customHeight="false" outlineLevel="0" collapsed="false">
      <c r="A1473" s="4" t="s">
        <v>167</v>
      </c>
      <c r="B1473" s="4" t="s">
        <v>1650</v>
      </c>
      <c r="C1473" s="4" t="s">
        <v>1650</v>
      </c>
      <c r="D1473" s="12" t="n">
        <v>2023</v>
      </c>
      <c r="E1473" s="4"/>
      <c r="F1473" s="4" t="s">
        <v>169</v>
      </c>
      <c r="G1473" s="4" t="s">
        <v>170</v>
      </c>
      <c r="H1473" s="4" t="s">
        <v>171</v>
      </c>
      <c r="I1473" s="4" t="s">
        <v>172</v>
      </c>
      <c r="J1473" s="4" t="s">
        <v>1650</v>
      </c>
      <c r="K1473" s="4" t="s">
        <v>107</v>
      </c>
      <c r="L1473" s="4" t="s">
        <v>108</v>
      </c>
      <c r="M1473" s="4"/>
      <c r="N1473" s="4"/>
      <c r="O1473" s="4"/>
      <c r="P1473" s="4"/>
      <c r="Q1473" s="4"/>
      <c r="R1473" s="4"/>
      <c r="S1473" s="13" t="n">
        <v>1002.07</v>
      </c>
      <c r="T1473" s="4" t="s">
        <v>173</v>
      </c>
      <c r="U1473" s="14" t="n">
        <f aca="false">IF(OR($S1473="",PARAMETROS!$B$4=""),"",$S1473*PARAMETROS!$B$4)</f>
        <v>5822.0267</v>
      </c>
      <c r="V1473" s="13" t="n">
        <v>0</v>
      </c>
      <c r="W1473" s="4"/>
      <c r="X1473" s="4"/>
      <c r="Y1473" s="4"/>
      <c r="Z1473" s="4"/>
      <c r="AA1473" s="4"/>
      <c r="AB1473" s="4"/>
      <c r="AC1473" s="4"/>
      <c r="AD1473" s="4"/>
      <c r="AE1473" s="4"/>
      <c r="AF1473" s="4"/>
      <c r="AG1473" s="4"/>
      <c r="AH1473" s="4"/>
      <c r="AI1473" s="4"/>
      <c r="AJ1473" s="4"/>
      <c r="AK1473" s="4"/>
      <c r="AL1473" s="4" t="s">
        <v>174</v>
      </c>
      <c r="AM1473" s="4" t="s">
        <v>205</v>
      </c>
    </row>
    <row r="1474" customFormat="false" ht="23.85" hidden="false" customHeight="false" outlineLevel="0" collapsed="false">
      <c r="A1474" s="4" t="s">
        <v>167</v>
      </c>
      <c r="B1474" s="4" t="s">
        <v>1651</v>
      </c>
      <c r="C1474" s="4" t="s">
        <v>1651</v>
      </c>
      <c r="D1474" s="12" t="n">
        <v>2023</v>
      </c>
      <c r="E1474" s="4"/>
      <c r="F1474" s="4" t="s">
        <v>169</v>
      </c>
      <c r="G1474" s="4" t="s">
        <v>170</v>
      </c>
      <c r="H1474" s="4" t="s">
        <v>171</v>
      </c>
      <c r="I1474" s="4" t="s">
        <v>172</v>
      </c>
      <c r="J1474" s="4" t="s">
        <v>1651</v>
      </c>
      <c r="K1474" s="4" t="s">
        <v>107</v>
      </c>
      <c r="L1474" s="4" t="s">
        <v>108</v>
      </c>
      <c r="M1474" s="4"/>
      <c r="N1474" s="4"/>
      <c r="O1474" s="4"/>
      <c r="P1474" s="4"/>
      <c r="Q1474" s="4"/>
      <c r="R1474" s="4"/>
      <c r="S1474" s="13" t="n">
        <v>91.67</v>
      </c>
      <c r="T1474" s="4" t="s">
        <v>173</v>
      </c>
      <c r="U1474" s="14" t="n">
        <f aca="false">IF(OR($S1474="",PARAMETROS!$B$4=""),"",$S1474*PARAMETROS!$B$4)</f>
        <v>532.6027</v>
      </c>
      <c r="V1474" s="13" t="n">
        <v>0</v>
      </c>
      <c r="W1474" s="4"/>
      <c r="X1474" s="4"/>
      <c r="Y1474" s="4"/>
      <c r="Z1474" s="4"/>
      <c r="AA1474" s="4"/>
      <c r="AB1474" s="4"/>
      <c r="AC1474" s="4"/>
      <c r="AD1474" s="4"/>
      <c r="AE1474" s="4"/>
      <c r="AF1474" s="4"/>
      <c r="AG1474" s="4"/>
      <c r="AH1474" s="4"/>
      <c r="AI1474" s="4"/>
      <c r="AJ1474" s="4"/>
      <c r="AK1474" s="4"/>
      <c r="AL1474" s="4" t="s">
        <v>174</v>
      </c>
      <c r="AM1474" s="4" t="s">
        <v>205</v>
      </c>
    </row>
    <row r="1475" customFormat="false" ht="23.85" hidden="false" customHeight="false" outlineLevel="0" collapsed="false">
      <c r="A1475" s="4" t="s">
        <v>167</v>
      </c>
      <c r="B1475" s="4" t="s">
        <v>1652</v>
      </c>
      <c r="C1475" s="4" t="s">
        <v>1652</v>
      </c>
      <c r="D1475" s="12" t="n">
        <v>2023</v>
      </c>
      <c r="E1475" s="4"/>
      <c r="F1475" s="4" t="s">
        <v>169</v>
      </c>
      <c r="G1475" s="4" t="s">
        <v>170</v>
      </c>
      <c r="H1475" s="4" t="s">
        <v>171</v>
      </c>
      <c r="I1475" s="4" t="s">
        <v>172</v>
      </c>
      <c r="J1475" s="4" t="s">
        <v>1652</v>
      </c>
      <c r="K1475" s="4" t="s">
        <v>107</v>
      </c>
      <c r="L1475" s="4" t="s">
        <v>108</v>
      </c>
      <c r="M1475" s="4"/>
      <c r="N1475" s="4"/>
      <c r="O1475" s="4"/>
      <c r="P1475" s="4"/>
      <c r="Q1475" s="4"/>
      <c r="R1475" s="4"/>
      <c r="S1475" s="13" t="n">
        <v>-4.58</v>
      </c>
      <c r="T1475" s="4" t="s">
        <v>173</v>
      </c>
      <c r="U1475" s="14" t="n">
        <f aca="false">IF(OR($S1475="",PARAMETROS!$B$4=""),"",$S1475*PARAMETROS!$B$4)</f>
        <v>-26.6098</v>
      </c>
      <c r="V1475" s="13" t="n">
        <v>0</v>
      </c>
      <c r="W1475" s="4"/>
      <c r="X1475" s="4"/>
      <c r="Y1475" s="4"/>
      <c r="Z1475" s="4"/>
      <c r="AA1475" s="4"/>
      <c r="AB1475" s="4"/>
      <c r="AC1475" s="4"/>
      <c r="AD1475" s="4"/>
      <c r="AE1475" s="4"/>
      <c r="AF1475" s="4"/>
      <c r="AG1475" s="4"/>
      <c r="AH1475" s="4"/>
      <c r="AI1475" s="4"/>
      <c r="AJ1475" s="4"/>
      <c r="AK1475" s="4"/>
      <c r="AL1475" s="4" t="s">
        <v>174</v>
      </c>
      <c r="AM1475" s="4" t="s">
        <v>205</v>
      </c>
    </row>
    <row r="1476" customFormat="false" ht="23.85" hidden="false" customHeight="false" outlineLevel="0" collapsed="false">
      <c r="A1476" s="4" t="s">
        <v>167</v>
      </c>
      <c r="B1476" s="4" t="s">
        <v>1653</v>
      </c>
      <c r="C1476" s="4" t="s">
        <v>1653</v>
      </c>
      <c r="D1476" s="12" t="n">
        <v>2023</v>
      </c>
      <c r="E1476" s="4"/>
      <c r="F1476" s="4" t="s">
        <v>169</v>
      </c>
      <c r="G1476" s="4" t="s">
        <v>170</v>
      </c>
      <c r="H1476" s="4" t="s">
        <v>171</v>
      </c>
      <c r="I1476" s="4" t="s">
        <v>172</v>
      </c>
      <c r="J1476" s="4" t="s">
        <v>1653</v>
      </c>
      <c r="K1476" s="4" t="s">
        <v>107</v>
      </c>
      <c r="L1476" s="4" t="s">
        <v>108</v>
      </c>
      <c r="M1476" s="4"/>
      <c r="N1476" s="4"/>
      <c r="O1476" s="4"/>
      <c r="P1476" s="4"/>
      <c r="Q1476" s="4"/>
      <c r="R1476" s="4"/>
      <c r="S1476" s="13" t="n">
        <v>0</v>
      </c>
      <c r="T1476" s="4" t="s">
        <v>173</v>
      </c>
      <c r="U1476" s="14" t="n">
        <f aca="false">IF(OR($S1476="",PARAMETROS!$B$4=""),"",$S1476*PARAMETROS!$B$4)</f>
        <v>0</v>
      </c>
      <c r="V1476" s="13" t="n">
        <v>0</v>
      </c>
      <c r="W1476" s="4"/>
      <c r="X1476" s="4"/>
      <c r="Y1476" s="4"/>
      <c r="Z1476" s="4"/>
      <c r="AA1476" s="4"/>
      <c r="AB1476" s="4"/>
      <c r="AC1476" s="4"/>
      <c r="AD1476" s="4"/>
      <c r="AE1476" s="4"/>
      <c r="AF1476" s="4"/>
      <c r="AG1476" s="4"/>
      <c r="AH1476" s="4"/>
      <c r="AI1476" s="4"/>
      <c r="AJ1476" s="4"/>
      <c r="AK1476" s="4"/>
      <c r="AL1476" s="4" t="s">
        <v>174</v>
      </c>
      <c r="AM1476" s="4" t="s">
        <v>205</v>
      </c>
    </row>
    <row r="1477" customFormat="false" ht="23.85" hidden="false" customHeight="false" outlineLevel="0" collapsed="false">
      <c r="A1477" s="4" t="s">
        <v>167</v>
      </c>
      <c r="B1477" s="4" t="s">
        <v>1654</v>
      </c>
      <c r="C1477" s="4" t="s">
        <v>1654</v>
      </c>
      <c r="D1477" s="12" t="n">
        <v>2023</v>
      </c>
      <c r="E1477" s="4"/>
      <c r="F1477" s="4" t="s">
        <v>169</v>
      </c>
      <c r="G1477" s="4" t="s">
        <v>170</v>
      </c>
      <c r="H1477" s="4" t="s">
        <v>171</v>
      </c>
      <c r="I1477" s="4" t="s">
        <v>172</v>
      </c>
      <c r="J1477" s="4" t="s">
        <v>1654</v>
      </c>
      <c r="K1477" s="4" t="s">
        <v>107</v>
      </c>
      <c r="L1477" s="4" t="s">
        <v>108</v>
      </c>
      <c r="M1477" s="4"/>
      <c r="N1477" s="4"/>
      <c r="O1477" s="4"/>
      <c r="P1477" s="4"/>
      <c r="Q1477" s="4"/>
      <c r="R1477" s="4"/>
      <c r="S1477" s="13" t="n">
        <v>0</v>
      </c>
      <c r="T1477" s="4" t="s">
        <v>173</v>
      </c>
      <c r="U1477" s="14" t="n">
        <f aca="false">IF(OR($S1477="",PARAMETROS!$B$4=""),"",$S1477*PARAMETROS!$B$4)</f>
        <v>0</v>
      </c>
      <c r="V1477" s="13" t="n">
        <v>0</v>
      </c>
      <c r="W1477" s="4"/>
      <c r="X1477" s="4"/>
      <c r="Y1477" s="4"/>
      <c r="Z1477" s="4"/>
      <c r="AA1477" s="4"/>
      <c r="AB1477" s="4"/>
      <c r="AC1477" s="4"/>
      <c r="AD1477" s="4"/>
      <c r="AE1477" s="4"/>
      <c r="AF1477" s="4"/>
      <c r="AG1477" s="4"/>
      <c r="AH1477" s="4"/>
      <c r="AI1477" s="4"/>
      <c r="AJ1477" s="4"/>
      <c r="AK1477" s="4"/>
      <c r="AL1477" s="4" t="s">
        <v>174</v>
      </c>
      <c r="AM1477" s="4" t="s">
        <v>205</v>
      </c>
    </row>
    <row r="1478" customFormat="false" ht="23.85" hidden="false" customHeight="false" outlineLevel="0" collapsed="false">
      <c r="A1478" s="4" t="s">
        <v>167</v>
      </c>
      <c r="B1478" s="4" t="s">
        <v>1655</v>
      </c>
      <c r="C1478" s="4" t="s">
        <v>1655</v>
      </c>
      <c r="D1478" s="12" t="n">
        <v>2023</v>
      </c>
      <c r="E1478" s="4"/>
      <c r="F1478" s="4" t="s">
        <v>169</v>
      </c>
      <c r="G1478" s="4" t="s">
        <v>170</v>
      </c>
      <c r="H1478" s="4" t="s">
        <v>171</v>
      </c>
      <c r="I1478" s="4" t="s">
        <v>172</v>
      </c>
      <c r="J1478" s="4" t="s">
        <v>1655</v>
      </c>
      <c r="K1478" s="4" t="s">
        <v>107</v>
      </c>
      <c r="L1478" s="4" t="s">
        <v>108</v>
      </c>
      <c r="M1478" s="4"/>
      <c r="N1478" s="4"/>
      <c r="O1478" s="4"/>
      <c r="P1478" s="4"/>
      <c r="Q1478" s="4"/>
      <c r="R1478" s="4"/>
      <c r="S1478" s="13" t="n">
        <v>0</v>
      </c>
      <c r="T1478" s="4" t="s">
        <v>173</v>
      </c>
      <c r="U1478" s="14" t="n">
        <f aca="false">IF(OR($S1478="",PARAMETROS!$B$4=""),"",$S1478*PARAMETROS!$B$4)</f>
        <v>0</v>
      </c>
      <c r="V1478" s="13" t="n">
        <v>0</v>
      </c>
      <c r="W1478" s="4"/>
      <c r="X1478" s="4"/>
      <c r="Y1478" s="4"/>
      <c r="Z1478" s="4"/>
      <c r="AA1478" s="4"/>
      <c r="AB1478" s="4"/>
      <c r="AC1478" s="4"/>
      <c r="AD1478" s="4"/>
      <c r="AE1478" s="4"/>
      <c r="AF1478" s="4"/>
      <c r="AG1478" s="4"/>
      <c r="AH1478" s="4"/>
      <c r="AI1478" s="4"/>
      <c r="AJ1478" s="4"/>
      <c r="AK1478" s="4"/>
      <c r="AL1478" s="4" t="s">
        <v>174</v>
      </c>
      <c r="AM1478" s="4" t="s">
        <v>205</v>
      </c>
    </row>
    <row r="1479" customFormat="false" ht="23.85" hidden="false" customHeight="false" outlineLevel="0" collapsed="false">
      <c r="A1479" s="4" t="s">
        <v>167</v>
      </c>
      <c r="B1479" s="4" t="s">
        <v>1656</v>
      </c>
      <c r="C1479" s="4" t="s">
        <v>1656</v>
      </c>
      <c r="D1479" s="12" t="n">
        <v>2023</v>
      </c>
      <c r="E1479" s="4"/>
      <c r="F1479" s="4" t="s">
        <v>169</v>
      </c>
      <c r="G1479" s="4" t="s">
        <v>170</v>
      </c>
      <c r="H1479" s="4" t="s">
        <v>171</v>
      </c>
      <c r="I1479" s="4" t="s">
        <v>172</v>
      </c>
      <c r="J1479" s="4" t="s">
        <v>1656</v>
      </c>
      <c r="K1479" s="4" t="s">
        <v>107</v>
      </c>
      <c r="L1479" s="4" t="s">
        <v>108</v>
      </c>
      <c r="M1479" s="4"/>
      <c r="N1479" s="4"/>
      <c r="O1479" s="4"/>
      <c r="P1479" s="4"/>
      <c r="Q1479" s="4"/>
      <c r="R1479" s="4"/>
      <c r="S1479" s="13" t="n">
        <v>0</v>
      </c>
      <c r="T1479" s="4" t="s">
        <v>173</v>
      </c>
      <c r="U1479" s="14" t="n">
        <f aca="false">IF(OR($S1479="",PARAMETROS!$B$4=""),"",$S1479*PARAMETROS!$B$4)</f>
        <v>0</v>
      </c>
      <c r="V1479" s="13" t="n">
        <v>0</v>
      </c>
      <c r="W1479" s="4"/>
      <c r="X1479" s="4"/>
      <c r="Y1479" s="4"/>
      <c r="Z1479" s="4"/>
      <c r="AA1479" s="4"/>
      <c r="AB1479" s="4"/>
      <c r="AC1479" s="4"/>
      <c r="AD1479" s="4"/>
      <c r="AE1479" s="4"/>
      <c r="AF1479" s="4"/>
      <c r="AG1479" s="4"/>
      <c r="AH1479" s="4"/>
      <c r="AI1479" s="4"/>
      <c r="AJ1479" s="4"/>
      <c r="AK1479" s="4"/>
      <c r="AL1479" s="4" t="s">
        <v>174</v>
      </c>
      <c r="AM1479" s="4" t="s">
        <v>205</v>
      </c>
    </row>
    <row r="1480" customFormat="false" ht="23.85" hidden="false" customHeight="false" outlineLevel="0" collapsed="false">
      <c r="A1480" s="4" t="s">
        <v>167</v>
      </c>
      <c r="B1480" s="4" t="s">
        <v>1657</v>
      </c>
      <c r="C1480" s="4" t="s">
        <v>1657</v>
      </c>
      <c r="D1480" s="12" t="n">
        <v>2023</v>
      </c>
      <c r="E1480" s="4"/>
      <c r="F1480" s="4" t="s">
        <v>169</v>
      </c>
      <c r="G1480" s="4" t="s">
        <v>170</v>
      </c>
      <c r="H1480" s="4" t="s">
        <v>171</v>
      </c>
      <c r="I1480" s="4" t="s">
        <v>172</v>
      </c>
      <c r="J1480" s="4" t="s">
        <v>1657</v>
      </c>
      <c r="K1480" s="4" t="s">
        <v>107</v>
      </c>
      <c r="L1480" s="4" t="s">
        <v>108</v>
      </c>
      <c r="M1480" s="4"/>
      <c r="N1480" s="4"/>
      <c r="O1480" s="4"/>
      <c r="P1480" s="4"/>
      <c r="Q1480" s="4"/>
      <c r="R1480" s="4"/>
      <c r="S1480" s="13" t="n">
        <v>905.81</v>
      </c>
      <c r="T1480" s="4" t="s">
        <v>173</v>
      </c>
      <c r="U1480" s="14" t="n">
        <f aca="false">IF(OR($S1480="",PARAMETROS!$B$4=""),"",$S1480*PARAMETROS!$B$4)</f>
        <v>5262.7561</v>
      </c>
      <c r="V1480" s="13" t="n">
        <v>0</v>
      </c>
      <c r="W1480" s="4"/>
      <c r="X1480" s="4"/>
      <c r="Y1480" s="4"/>
      <c r="Z1480" s="4"/>
      <c r="AA1480" s="4"/>
      <c r="AB1480" s="4"/>
      <c r="AC1480" s="4"/>
      <c r="AD1480" s="4"/>
      <c r="AE1480" s="4"/>
      <c r="AF1480" s="4"/>
      <c r="AG1480" s="4"/>
      <c r="AH1480" s="4"/>
      <c r="AI1480" s="4"/>
      <c r="AJ1480" s="4"/>
      <c r="AK1480" s="4"/>
      <c r="AL1480" s="4" t="s">
        <v>174</v>
      </c>
      <c r="AM1480" s="4" t="s">
        <v>205</v>
      </c>
    </row>
    <row r="1481" customFormat="false" ht="23.85" hidden="false" customHeight="false" outlineLevel="0" collapsed="false">
      <c r="A1481" s="4" t="s">
        <v>167</v>
      </c>
      <c r="B1481" s="4" t="s">
        <v>1658</v>
      </c>
      <c r="C1481" s="4" t="s">
        <v>1658</v>
      </c>
      <c r="D1481" s="12" t="n">
        <v>2023</v>
      </c>
      <c r="E1481" s="4"/>
      <c r="F1481" s="4" t="s">
        <v>169</v>
      </c>
      <c r="G1481" s="4" t="s">
        <v>170</v>
      </c>
      <c r="H1481" s="4" t="s">
        <v>171</v>
      </c>
      <c r="I1481" s="4" t="s">
        <v>172</v>
      </c>
      <c r="J1481" s="4" t="s">
        <v>1658</v>
      </c>
      <c r="K1481" s="4" t="s">
        <v>107</v>
      </c>
      <c r="L1481" s="4" t="s">
        <v>108</v>
      </c>
      <c r="M1481" s="4"/>
      <c r="N1481" s="4"/>
      <c r="O1481" s="4"/>
      <c r="P1481" s="4"/>
      <c r="Q1481" s="4"/>
      <c r="R1481" s="4"/>
      <c r="S1481" s="13" t="n">
        <v>0</v>
      </c>
      <c r="T1481" s="4" t="s">
        <v>173</v>
      </c>
      <c r="U1481" s="14" t="n">
        <f aca="false">IF(OR($S1481="",PARAMETROS!$B$4=""),"",$S1481*PARAMETROS!$B$4)</f>
        <v>0</v>
      </c>
      <c r="V1481" s="13" t="n">
        <v>0</v>
      </c>
      <c r="W1481" s="4"/>
      <c r="X1481" s="4"/>
      <c r="Y1481" s="4"/>
      <c r="Z1481" s="4"/>
      <c r="AA1481" s="4"/>
      <c r="AB1481" s="4"/>
      <c r="AC1481" s="4"/>
      <c r="AD1481" s="4"/>
      <c r="AE1481" s="4"/>
      <c r="AF1481" s="4"/>
      <c r="AG1481" s="4"/>
      <c r="AH1481" s="4"/>
      <c r="AI1481" s="4"/>
      <c r="AJ1481" s="4"/>
      <c r="AK1481" s="4"/>
      <c r="AL1481" s="4" t="s">
        <v>174</v>
      </c>
      <c r="AM1481" s="4" t="s">
        <v>205</v>
      </c>
    </row>
    <row r="1482" customFormat="false" ht="23.85" hidden="false" customHeight="false" outlineLevel="0" collapsed="false">
      <c r="A1482" s="4" t="s">
        <v>167</v>
      </c>
      <c r="B1482" s="4" t="s">
        <v>1659</v>
      </c>
      <c r="C1482" s="4" t="s">
        <v>1659</v>
      </c>
      <c r="D1482" s="12" t="n">
        <v>2023</v>
      </c>
      <c r="E1482" s="4"/>
      <c r="F1482" s="4" t="s">
        <v>169</v>
      </c>
      <c r="G1482" s="4" t="s">
        <v>170</v>
      </c>
      <c r="H1482" s="4" t="s">
        <v>171</v>
      </c>
      <c r="I1482" s="4" t="s">
        <v>172</v>
      </c>
      <c r="J1482" s="4" t="s">
        <v>1659</v>
      </c>
      <c r="K1482" s="4" t="s">
        <v>107</v>
      </c>
      <c r="L1482" s="4" t="s">
        <v>108</v>
      </c>
      <c r="M1482" s="4"/>
      <c r="N1482" s="4"/>
      <c r="O1482" s="4"/>
      <c r="P1482" s="4"/>
      <c r="Q1482" s="4"/>
      <c r="R1482" s="4"/>
      <c r="S1482" s="13" t="n">
        <v>0</v>
      </c>
      <c r="T1482" s="4" t="s">
        <v>173</v>
      </c>
      <c r="U1482" s="14" t="n">
        <f aca="false">IF(OR($S1482="",PARAMETROS!$B$4=""),"",$S1482*PARAMETROS!$B$4)</f>
        <v>0</v>
      </c>
      <c r="V1482" s="13" t="n">
        <v>0</v>
      </c>
      <c r="W1482" s="4"/>
      <c r="X1482" s="4"/>
      <c r="Y1482" s="4"/>
      <c r="Z1482" s="4"/>
      <c r="AA1482" s="4"/>
      <c r="AB1482" s="4"/>
      <c r="AC1482" s="4"/>
      <c r="AD1482" s="4"/>
      <c r="AE1482" s="4"/>
      <c r="AF1482" s="4"/>
      <c r="AG1482" s="4"/>
      <c r="AH1482" s="4"/>
      <c r="AI1482" s="4"/>
      <c r="AJ1482" s="4"/>
      <c r="AK1482" s="4"/>
      <c r="AL1482" s="4" t="s">
        <v>174</v>
      </c>
      <c r="AM1482" s="4" t="s">
        <v>205</v>
      </c>
    </row>
    <row r="1483" customFormat="false" ht="23.85" hidden="false" customHeight="false" outlineLevel="0" collapsed="false">
      <c r="A1483" s="4" t="s">
        <v>167</v>
      </c>
      <c r="B1483" s="4" t="s">
        <v>1660</v>
      </c>
      <c r="C1483" s="4" t="s">
        <v>1660</v>
      </c>
      <c r="D1483" s="12" t="n">
        <v>2023</v>
      </c>
      <c r="E1483" s="4"/>
      <c r="F1483" s="4" t="s">
        <v>169</v>
      </c>
      <c r="G1483" s="4" t="s">
        <v>170</v>
      </c>
      <c r="H1483" s="4" t="s">
        <v>171</v>
      </c>
      <c r="I1483" s="4" t="s">
        <v>172</v>
      </c>
      <c r="J1483" s="4" t="s">
        <v>1660</v>
      </c>
      <c r="K1483" s="4" t="s">
        <v>107</v>
      </c>
      <c r="L1483" s="4" t="s">
        <v>108</v>
      </c>
      <c r="M1483" s="4"/>
      <c r="N1483" s="4"/>
      <c r="O1483" s="4"/>
      <c r="P1483" s="4"/>
      <c r="Q1483" s="4"/>
      <c r="R1483" s="4"/>
      <c r="S1483" s="13" t="n">
        <v>0</v>
      </c>
      <c r="T1483" s="4" t="s">
        <v>173</v>
      </c>
      <c r="U1483" s="14" t="n">
        <f aca="false">IF(OR($S1483="",PARAMETROS!$B$4=""),"",$S1483*PARAMETROS!$B$4)</f>
        <v>0</v>
      </c>
      <c r="V1483" s="13" t="n">
        <v>0</v>
      </c>
      <c r="W1483" s="4"/>
      <c r="X1483" s="4"/>
      <c r="Y1483" s="4"/>
      <c r="Z1483" s="4"/>
      <c r="AA1483" s="4"/>
      <c r="AB1483" s="4"/>
      <c r="AC1483" s="4"/>
      <c r="AD1483" s="4"/>
      <c r="AE1483" s="4"/>
      <c r="AF1483" s="4"/>
      <c r="AG1483" s="4"/>
      <c r="AH1483" s="4"/>
      <c r="AI1483" s="4"/>
      <c r="AJ1483" s="4"/>
      <c r="AK1483" s="4"/>
      <c r="AL1483" s="4" t="s">
        <v>174</v>
      </c>
      <c r="AM1483" s="4" t="s">
        <v>205</v>
      </c>
    </row>
    <row r="1484" customFormat="false" ht="23.85" hidden="false" customHeight="false" outlineLevel="0" collapsed="false">
      <c r="A1484" s="4" t="s">
        <v>167</v>
      </c>
      <c r="B1484" s="4" t="s">
        <v>1661</v>
      </c>
      <c r="C1484" s="4" t="s">
        <v>1661</v>
      </c>
      <c r="D1484" s="12" t="n">
        <v>2023</v>
      </c>
      <c r="E1484" s="4"/>
      <c r="F1484" s="4" t="s">
        <v>169</v>
      </c>
      <c r="G1484" s="4" t="s">
        <v>170</v>
      </c>
      <c r="H1484" s="4" t="s">
        <v>171</v>
      </c>
      <c r="I1484" s="4" t="s">
        <v>172</v>
      </c>
      <c r="J1484" s="4" t="s">
        <v>1661</v>
      </c>
      <c r="K1484" s="4" t="s">
        <v>107</v>
      </c>
      <c r="L1484" s="4" t="s">
        <v>108</v>
      </c>
      <c r="M1484" s="4"/>
      <c r="N1484" s="4"/>
      <c r="O1484" s="4"/>
      <c r="P1484" s="4"/>
      <c r="Q1484" s="4"/>
      <c r="R1484" s="4"/>
      <c r="S1484" s="13" t="n">
        <v>0</v>
      </c>
      <c r="T1484" s="4" t="s">
        <v>173</v>
      </c>
      <c r="U1484" s="14" t="n">
        <f aca="false">IF(OR($S1484="",PARAMETROS!$B$4=""),"",$S1484*PARAMETROS!$B$4)</f>
        <v>0</v>
      </c>
      <c r="V1484" s="13" t="n">
        <v>0</v>
      </c>
      <c r="W1484" s="4"/>
      <c r="X1484" s="4"/>
      <c r="Y1484" s="4"/>
      <c r="Z1484" s="4"/>
      <c r="AA1484" s="4"/>
      <c r="AB1484" s="4"/>
      <c r="AC1484" s="4"/>
      <c r="AD1484" s="4"/>
      <c r="AE1484" s="4"/>
      <c r="AF1484" s="4"/>
      <c r="AG1484" s="4"/>
      <c r="AH1484" s="4"/>
      <c r="AI1484" s="4"/>
      <c r="AJ1484" s="4"/>
      <c r="AK1484" s="4"/>
      <c r="AL1484" s="4" t="s">
        <v>174</v>
      </c>
      <c r="AM1484" s="4" t="s">
        <v>205</v>
      </c>
    </row>
    <row r="1485" customFormat="false" ht="23.85" hidden="false" customHeight="false" outlineLevel="0" collapsed="false">
      <c r="A1485" s="4" t="s">
        <v>167</v>
      </c>
      <c r="B1485" s="4" t="s">
        <v>1662</v>
      </c>
      <c r="C1485" s="4" t="s">
        <v>1662</v>
      </c>
      <c r="D1485" s="12" t="n">
        <v>2023</v>
      </c>
      <c r="E1485" s="4"/>
      <c r="F1485" s="4" t="s">
        <v>169</v>
      </c>
      <c r="G1485" s="4" t="s">
        <v>170</v>
      </c>
      <c r="H1485" s="4" t="s">
        <v>171</v>
      </c>
      <c r="I1485" s="4" t="s">
        <v>172</v>
      </c>
      <c r="J1485" s="4" t="s">
        <v>1662</v>
      </c>
      <c r="K1485" s="4" t="s">
        <v>107</v>
      </c>
      <c r="L1485" s="4" t="s">
        <v>108</v>
      </c>
      <c r="M1485" s="4"/>
      <c r="N1485" s="4"/>
      <c r="O1485" s="4"/>
      <c r="P1485" s="4"/>
      <c r="Q1485" s="4"/>
      <c r="R1485" s="4"/>
      <c r="S1485" s="13" t="n">
        <v>0</v>
      </c>
      <c r="T1485" s="4" t="s">
        <v>173</v>
      </c>
      <c r="U1485" s="14" t="n">
        <f aca="false">IF(OR($S1485="",PARAMETROS!$B$4=""),"",$S1485*PARAMETROS!$B$4)</f>
        <v>0</v>
      </c>
      <c r="V1485" s="13" t="n">
        <v>0</v>
      </c>
      <c r="W1485" s="4"/>
      <c r="X1485" s="4"/>
      <c r="Y1485" s="4"/>
      <c r="Z1485" s="4"/>
      <c r="AA1485" s="4"/>
      <c r="AB1485" s="4"/>
      <c r="AC1485" s="4"/>
      <c r="AD1485" s="4"/>
      <c r="AE1485" s="4"/>
      <c r="AF1485" s="4"/>
      <c r="AG1485" s="4"/>
      <c r="AH1485" s="4"/>
      <c r="AI1485" s="4"/>
      <c r="AJ1485" s="4"/>
      <c r="AK1485" s="4"/>
      <c r="AL1485" s="4" t="s">
        <v>174</v>
      </c>
      <c r="AM1485" s="4" t="s">
        <v>205</v>
      </c>
    </row>
    <row r="1486" customFormat="false" ht="23.85" hidden="false" customHeight="false" outlineLevel="0" collapsed="false">
      <c r="A1486" s="4" t="s">
        <v>167</v>
      </c>
      <c r="B1486" s="4" t="s">
        <v>1663</v>
      </c>
      <c r="C1486" s="4" t="s">
        <v>1663</v>
      </c>
      <c r="D1486" s="12" t="n">
        <v>2023</v>
      </c>
      <c r="E1486" s="4"/>
      <c r="F1486" s="4" t="s">
        <v>169</v>
      </c>
      <c r="G1486" s="4" t="s">
        <v>170</v>
      </c>
      <c r="H1486" s="4" t="s">
        <v>171</v>
      </c>
      <c r="I1486" s="4" t="s">
        <v>172</v>
      </c>
      <c r="J1486" s="4" t="s">
        <v>1663</v>
      </c>
      <c r="K1486" s="4" t="s">
        <v>111</v>
      </c>
      <c r="L1486" s="4" t="s">
        <v>112</v>
      </c>
      <c r="M1486" s="4"/>
      <c r="N1486" s="4"/>
      <c r="O1486" s="4"/>
      <c r="P1486" s="4"/>
      <c r="Q1486" s="4"/>
      <c r="R1486" s="4"/>
      <c r="S1486" s="13" t="n">
        <v>0</v>
      </c>
      <c r="T1486" s="4" t="s">
        <v>173</v>
      </c>
      <c r="U1486" s="14" t="n">
        <f aca="false">IF(OR($S1486="",PARAMETROS!$B$4=""),"",$S1486*PARAMETROS!$B$4)</f>
        <v>0</v>
      </c>
      <c r="V1486" s="13" t="n">
        <v>0</v>
      </c>
      <c r="W1486" s="4"/>
      <c r="X1486" s="4"/>
      <c r="Y1486" s="4"/>
      <c r="Z1486" s="4"/>
      <c r="AA1486" s="4"/>
      <c r="AB1486" s="4"/>
      <c r="AC1486" s="4"/>
      <c r="AD1486" s="4"/>
      <c r="AE1486" s="4"/>
      <c r="AF1486" s="4"/>
      <c r="AG1486" s="4"/>
      <c r="AH1486" s="4"/>
      <c r="AI1486" s="4"/>
      <c r="AJ1486" s="4"/>
      <c r="AK1486" s="4"/>
      <c r="AL1486" s="4" t="s">
        <v>174</v>
      </c>
      <c r="AM1486" s="4" t="s">
        <v>190</v>
      </c>
    </row>
    <row r="1487" customFormat="false" ht="23.85" hidden="false" customHeight="false" outlineLevel="0" collapsed="false">
      <c r="A1487" s="4" t="s">
        <v>167</v>
      </c>
      <c r="B1487" s="4" t="s">
        <v>1664</v>
      </c>
      <c r="C1487" s="4" t="s">
        <v>1664</v>
      </c>
      <c r="D1487" s="12" t="n">
        <v>2023</v>
      </c>
      <c r="E1487" s="4"/>
      <c r="F1487" s="4" t="s">
        <v>169</v>
      </c>
      <c r="G1487" s="4" t="s">
        <v>170</v>
      </c>
      <c r="H1487" s="4" t="s">
        <v>171</v>
      </c>
      <c r="I1487" s="4" t="s">
        <v>172</v>
      </c>
      <c r="J1487" s="4" t="s">
        <v>1664</v>
      </c>
      <c r="K1487" s="4" t="s">
        <v>111</v>
      </c>
      <c r="L1487" s="4" t="s">
        <v>112</v>
      </c>
      <c r="M1487" s="4"/>
      <c r="N1487" s="4"/>
      <c r="O1487" s="4"/>
      <c r="P1487" s="4"/>
      <c r="Q1487" s="4"/>
      <c r="R1487" s="4"/>
      <c r="S1487" s="13" t="n">
        <v>1811.38</v>
      </c>
      <c r="T1487" s="4" t="s">
        <v>173</v>
      </c>
      <c r="U1487" s="14" t="n">
        <f aca="false">IF(OR($S1487="",PARAMETROS!$B$4=""),"",$S1487*PARAMETROS!$B$4)</f>
        <v>10524.1178</v>
      </c>
      <c r="V1487" s="13" t="n">
        <v>0</v>
      </c>
      <c r="W1487" s="4"/>
      <c r="X1487" s="4"/>
      <c r="Y1487" s="4"/>
      <c r="Z1487" s="4"/>
      <c r="AA1487" s="4"/>
      <c r="AB1487" s="4"/>
      <c r="AC1487" s="4"/>
      <c r="AD1487" s="4"/>
      <c r="AE1487" s="4"/>
      <c r="AF1487" s="4"/>
      <c r="AG1487" s="4"/>
      <c r="AH1487" s="4"/>
      <c r="AI1487" s="4"/>
      <c r="AJ1487" s="4"/>
      <c r="AK1487" s="4"/>
      <c r="AL1487" s="4" t="s">
        <v>174</v>
      </c>
      <c r="AM1487" s="4" t="s">
        <v>190</v>
      </c>
    </row>
    <row r="1488" customFormat="false" ht="23.85" hidden="false" customHeight="false" outlineLevel="0" collapsed="false">
      <c r="A1488" s="4" t="s">
        <v>167</v>
      </c>
      <c r="B1488" s="4" t="s">
        <v>1665</v>
      </c>
      <c r="C1488" s="4" t="s">
        <v>1665</v>
      </c>
      <c r="D1488" s="12" t="n">
        <v>2023</v>
      </c>
      <c r="E1488" s="4"/>
      <c r="F1488" s="4" t="s">
        <v>169</v>
      </c>
      <c r="G1488" s="4" t="s">
        <v>170</v>
      </c>
      <c r="H1488" s="4" t="s">
        <v>171</v>
      </c>
      <c r="I1488" s="4" t="s">
        <v>172</v>
      </c>
      <c r="J1488" s="4" t="s">
        <v>1665</v>
      </c>
      <c r="K1488" s="4" t="s">
        <v>111</v>
      </c>
      <c r="L1488" s="4" t="s">
        <v>112</v>
      </c>
      <c r="M1488" s="4"/>
      <c r="N1488" s="4"/>
      <c r="O1488" s="4"/>
      <c r="P1488" s="4"/>
      <c r="Q1488" s="4"/>
      <c r="R1488" s="4"/>
      <c r="S1488" s="13" t="n">
        <v>236.15</v>
      </c>
      <c r="T1488" s="4" t="s">
        <v>173</v>
      </c>
      <c r="U1488" s="14" t="n">
        <f aca="false">IF(OR($S1488="",PARAMETROS!$B$4=""),"",$S1488*PARAMETROS!$B$4)</f>
        <v>1372.0315</v>
      </c>
      <c r="V1488" s="13" t="n">
        <v>0</v>
      </c>
      <c r="W1488" s="4"/>
      <c r="X1488" s="4"/>
      <c r="Y1488" s="4"/>
      <c r="Z1488" s="4"/>
      <c r="AA1488" s="4"/>
      <c r="AB1488" s="4"/>
      <c r="AC1488" s="4"/>
      <c r="AD1488" s="4"/>
      <c r="AE1488" s="4"/>
      <c r="AF1488" s="4"/>
      <c r="AG1488" s="4"/>
      <c r="AH1488" s="4"/>
      <c r="AI1488" s="4"/>
      <c r="AJ1488" s="4"/>
      <c r="AK1488" s="4"/>
      <c r="AL1488" s="4" t="s">
        <v>174</v>
      </c>
      <c r="AM1488" s="4" t="s">
        <v>190</v>
      </c>
    </row>
    <row r="1489" customFormat="false" ht="23.85" hidden="false" customHeight="false" outlineLevel="0" collapsed="false">
      <c r="A1489" s="4" t="s">
        <v>167</v>
      </c>
      <c r="B1489" s="4" t="s">
        <v>1666</v>
      </c>
      <c r="C1489" s="4" t="s">
        <v>1666</v>
      </c>
      <c r="D1489" s="12" t="n">
        <v>2023</v>
      </c>
      <c r="E1489" s="4"/>
      <c r="F1489" s="4" t="s">
        <v>169</v>
      </c>
      <c r="G1489" s="4" t="s">
        <v>170</v>
      </c>
      <c r="H1489" s="4" t="s">
        <v>171</v>
      </c>
      <c r="I1489" s="4" t="s">
        <v>172</v>
      </c>
      <c r="J1489" s="4" t="s">
        <v>1666</v>
      </c>
      <c r="K1489" s="4" t="s">
        <v>111</v>
      </c>
      <c r="L1489" s="4" t="s">
        <v>112</v>
      </c>
      <c r="M1489" s="4"/>
      <c r="N1489" s="4"/>
      <c r="O1489" s="4"/>
      <c r="P1489" s="4"/>
      <c r="Q1489" s="4"/>
      <c r="R1489" s="4"/>
      <c r="S1489" s="13" t="n">
        <v>-1679.23</v>
      </c>
      <c r="T1489" s="4" t="s">
        <v>173</v>
      </c>
      <c r="U1489" s="14" t="n">
        <f aca="false">IF(OR($S1489="",PARAMETROS!$B$4=""),"",$S1489*PARAMETROS!$B$4)</f>
        <v>-9756.3263</v>
      </c>
      <c r="V1489" s="13" t="n">
        <v>0</v>
      </c>
      <c r="W1489" s="4"/>
      <c r="X1489" s="4"/>
      <c r="Y1489" s="4"/>
      <c r="Z1489" s="4"/>
      <c r="AA1489" s="4"/>
      <c r="AB1489" s="4"/>
      <c r="AC1489" s="4"/>
      <c r="AD1489" s="4"/>
      <c r="AE1489" s="4"/>
      <c r="AF1489" s="4"/>
      <c r="AG1489" s="4"/>
      <c r="AH1489" s="4"/>
      <c r="AI1489" s="4"/>
      <c r="AJ1489" s="4"/>
      <c r="AK1489" s="4"/>
      <c r="AL1489" s="4" t="s">
        <v>174</v>
      </c>
      <c r="AM1489" s="4" t="s">
        <v>190</v>
      </c>
    </row>
    <row r="1490" customFormat="false" ht="23.85" hidden="false" customHeight="false" outlineLevel="0" collapsed="false">
      <c r="A1490" s="4" t="s">
        <v>167</v>
      </c>
      <c r="B1490" s="4" t="s">
        <v>1667</v>
      </c>
      <c r="C1490" s="4" t="s">
        <v>1667</v>
      </c>
      <c r="D1490" s="12" t="n">
        <v>2023</v>
      </c>
      <c r="E1490" s="4"/>
      <c r="F1490" s="4" t="s">
        <v>169</v>
      </c>
      <c r="G1490" s="4" t="s">
        <v>170</v>
      </c>
      <c r="H1490" s="4" t="s">
        <v>171</v>
      </c>
      <c r="I1490" s="4" t="s">
        <v>172</v>
      </c>
      <c r="J1490" s="4" t="s">
        <v>1667</v>
      </c>
      <c r="K1490" s="4" t="s">
        <v>111</v>
      </c>
      <c r="L1490" s="4" t="s">
        <v>112</v>
      </c>
      <c r="M1490" s="4"/>
      <c r="N1490" s="4"/>
      <c r="O1490" s="4"/>
      <c r="P1490" s="4"/>
      <c r="Q1490" s="4"/>
      <c r="R1490" s="4"/>
      <c r="S1490" s="13" t="n">
        <v>703.96</v>
      </c>
      <c r="T1490" s="4" t="s">
        <v>173</v>
      </c>
      <c r="U1490" s="14" t="n">
        <f aca="false">IF(OR($S1490="",PARAMETROS!$B$4=""),"",$S1490*PARAMETROS!$B$4)</f>
        <v>4090.0076</v>
      </c>
      <c r="V1490" s="13" t="n">
        <v>0</v>
      </c>
      <c r="W1490" s="4"/>
      <c r="X1490" s="4"/>
      <c r="Y1490" s="4"/>
      <c r="Z1490" s="4"/>
      <c r="AA1490" s="4"/>
      <c r="AB1490" s="4"/>
      <c r="AC1490" s="4"/>
      <c r="AD1490" s="4"/>
      <c r="AE1490" s="4"/>
      <c r="AF1490" s="4"/>
      <c r="AG1490" s="4"/>
      <c r="AH1490" s="4"/>
      <c r="AI1490" s="4"/>
      <c r="AJ1490" s="4"/>
      <c r="AK1490" s="4"/>
      <c r="AL1490" s="4" t="s">
        <v>174</v>
      </c>
      <c r="AM1490" s="4" t="s">
        <v>190</v>
      </c>
    </row>
    <row r="1491" customFormat="false" ht="23.85" hidden="false" customHeight="false" outlineLevel="0" collapsed="false">
      <c r="A1491" s="4" t="s">
        <v>167</v>
      </c>
      <c r="B1491" s="4" t="s">
        <v>1668</v>
      </c>
      <c r="C1491" s="4" t="s">
        <v>1668</v>
      </c>
      <c r="D1491" s="12" t="n">
        <v>2023</v>
      </c>
      <c r="E1491" s="4"/>
      <c r="F1491" s="4" t="s">
        <v>169</v>
      </c>
      <c r="G1491" s="4" t="s">
        <v>170</v>
      </c>
      <c r="H1491" s="4" t="s">
        <v>171</v>
      </c>
      <c r="I1491" s="4" t="s">
        <v>172</v>
      </c>
      <c r="J1491" s="4" t="s">
        <v>1668</v>
      </c>
      <c r="K1491" s="4" t="s">
        <v>111</v>
      </c>
      <c r="L1491" s="4" t="s">
        <v>112</v>
      </c>
      <c r="M1491" s="4"/>
      <c r="N1491" s="4"/>
      <c r="O1491" s="4"/>
      <c r="P1491" s="4"/>
      <c r="Q1491" s="4"/>
      <c r="R1491" s="4"/>
      <c r="S1491" s="13" t="n">
        <v>0</v>
      </c>
      <c r="T1491" s="4" t="s">
        <v>173</v>
      </c>
      <c r="U1491" s="14" t="n">
        <f aca="false">IF(OR($S1491="",PARAMETROS!$B$4=""),"",$S1491*PARAMETROS!$B$4)</f>
        <v>0</v>
      </c>
      <c r="V1491" s="13" t="n">
        <v>0</v>
      </c>
      <c r="W1491" s="4"/>
      <c r="X1491" s="4"/>
      <c r="Y1491" s="4"/>
      <c r="Z1491" s="4"/>
      <c r="AA1491" s="4"/>
      <c r="AB1491" s="4"/>
      <c r="AC1491" s="4"/>
      <c r="AD1491" s="4"/>
      <c r="AE1491" s="4"/>
      <c r="AF1491" s="4"/>
      <c r="AG1491" s="4"/>
      <c r="AH1491" s="4"/>
      <c r="AI1491" s="4"/>
      <c r="AJ1491" s="4"/>
      <c r="AK1491" s="4"/>
      <c r="AL1491" s="4" t="s">
        <v>174</v>
      </c>
      <c r="AM1491" s="4" t="s">
        <v>190</v>
      </c>
    </row>
    <row r="1492" customFormat="false" ht="23.85" hidden="false" customHeight="false" outlineLevel="0" collapsed="false">
      <c r="A1492" s="4" t="s">
        <v>167</v>
      </c>
      <c r="B1492" s="4" t="s">
        <v>1669</v>
      </c>
      <c r="C1492" s="4" t="s">
        <v>1669</v>
      </c>
      <c r="D1492" s="12" t="n">
        <v>2023</v>
      </c>
      <c r="E1492" s="4"/>
      <c r="F1492" s="4" t="s">
        <v>169</v>
      </c>
      <c r="G1492" s="4" t="s">
        <v>170</v>
      </c>
      <c r="H1492" s="4" t="s">
        <v>171</v>
      </c>
      <c r="I1492" s="4" t="s">
        <v>172</v>
      </c>
      <c r="J1492" s="4" t="s">
        <v>1669</v>
      </c>
      <c r="K1492" s="4" t="s">
        <v>111</v>
      </c>
      <c r="L1492" s="4" t="s">
        <v>112</v>
      </c>
      <c r="M1492" s="4"/>
      <c r="N1492" s="4"/>
      <c r="O1492" s="4"/>
      <c r="P1492" s="4"/>
      <c r="Q1492" s="4"/>
      <c r="R1492" s="4"/>
      <c r="S1492" s="13" t="n">
        <v>0</v>
      </c>
      <c r="T1492" s="4" t="s">
        <v>173</v>
      </c>
      <c r="U1492" s="14" t="n">
        <f aca="false">IF(OR($S1492="",PARAMETROS!$B$4=""),"",$S1492*PARAMETROS!$B$4)</f>
        <v>0</v>
      </c>
      <c r="V1492" s="13" t="n">
        <v>0</v>
      </c>
      <c r="W1492" s="4"/>
      <c r="X1492" s="4"/>
      <c r="Y1492" s="4"/>
      <c r="Z1492" s="4"/>
      <c r="AA1492" s="4"/>
      <c r="AB1492" s="4"/>
      <c r="AC1492" s="4"/>
      <c r="AD1492" s="4"/>
      <c r="AE1492" s="4"/>
      <c r="AF1492" s="4"/>
      <c r="AG1492" s="4"/>
      <c r="AH1492" s="4"/>
      <c r="AI1492" s="4"/>
      <c r="AJ1492" s="4"/>
      <c r="AK1492" s="4"/>
      <c r="AL1492" s="4" t="s">
        <v>174</v>
      </c>
      <c r="AM1492" s="4" t="s">
        <v>190</v>
      </c>
    </row>
    <row r="1493" customFormat="false" ht="23.85" hidden="false" customHeight="false" outlineLevel="0" collapsed="false">
      <c r="A1493" s="4" t="s">
        <v>167</v>
      </c>
      <c r="B1493" s="4" t="s">
        <v>1670</v>
      </c>
      <c r="C1493" s="4" t="s">
        <v>1670</v>
      </c>
      <c r="D1493" s="12" t="n">
        <v>2023</v>
      </c>
      <c r="E1493" s="4"/>
      <c r="F1493" s="4" t="s">
        <v>169</v>
      </c>
      <c r="G1493" s="4" t="s">
        <v>170</v>
      </c>
      <c r="H1493" s="4" t="s">
        <v>171</v>
      </c>
      <c r="I1493" s="4" t="s">
        <v>172</v>
      </c>
      <c r="J1493" s="4" t="s">
        <v>1670</v>
      </c>
      <c r="K1493" s="4" t="s">
        <v>111</v>
      </c>
      <c r="L1493" s="4" t="s">
        <v>112</v>
      </c>
      <c r="M1493" s="4"/>
      <c r="N1493" s="4"/>
      <c r="O1493" s="4"/>
      <c r="P1493" s="4"/>
      <c r="Q1493" s="4"/>
      <c r="R1493" s="4"/>
      <c r="S1493" s="13" t="n">
        <v>0</v>
      </c>
      <c r="T1493" s="4" t="s">
        <v>173</v>
      </c>
      <c r="U1493" s="14" t="n">
        <f aca="false">IF(OR($S1493="",PARAMETROS!$B$4=""),"",$S1493*PARAMETROS!$B$4)</f>
        <v>0</v>
      </c>
      <c r="V1493" s="13" t="n">
        <v>0</v>
      </c>
      <c r="W1493" s="4"/>
      <c r="X1493" s="4"/>
      <c r="Y1493" s="4"/>
      <c r="Z1493" s="4"/>
      <c r="AA1493" s="4"/>
      <c r="AB1493" s="4"/>
      <c r="AC1493" s="4"/>
      <c r="AD1493" s="4"/>
      <c r="AE1493" s="4"/>
      <c r="AF1493" s="4"/>
      <c r="AG1493" s="4"/>
      <c r="AH1493" s="4"/>
      <c r="AI1493" s="4"/>
      <c r="AJ1493" s="4"/>
      <c r="AK1493" s="4"/>
      <c r="AL1493" s="4" t="s">
        <v>174</v>
      </c>
      <c r="AM1493" s="4" t="s">
        <v>190</v>
      </c>
    </row>
    <row r="1494" customFormat="false" ht="23.85" hidden="false" customHeight="false" outlineLevel="0" collapsed="false">
      <c r="A1494" s="4" t="s">
        <v>167</v>
      </c>
      <c r="B1494" s="4" t="s">
        <v>1671</v>
      </c>
      <c r="C1494" s="4" t="s">
        <v>1671</v>
      </c>
      <c r="D1494" s="12" t="n">
        <v>2023</v>
      </c>
      <c r="E1494" s="4"/>
      <c r="F1494" s="4" t="s">
        <v>169</v>
      </c>
      <c r="G1494" s="4" t="s">
        <v>170</v>
      </c>
      <c r="H1494" s="4" t="s">
        <v>171</v>
      </c>
      <c r="I1494" s="4" t="s">
        <v>172</v>
      </c>
      <c r="J1494" s="4" t="s">
        <v>1671</v>
      </c>
      <c r="K1494" s="4" t="s">
        <v>111</v>
      </c>
      <c r="L1494" s="4" t="s">
        <v>112</v>
      </c>
      <c r="M1494" s="4"/>
      <c r="N1494" s="4"/>
      <c r="O1494" s="4"/>
      <c r="P1494" s="4"/>
      <c r="Q1494" s="4"/>
      <c r="R1494" s="4"/>
      <c r="S1494" s="13" t="n">
        <v>0</v>
      </c>
      <c r="T1494" s="4" t="s">
        <v>173</v>
      </c>
      <c r="U1494" s="14" t="n">
        <f aca="false">IF(OR($S1494="",PARAMETROS!$B$4=""),"",$S1494*PARAMETROS!$B$4)</f>
        <v>0</v>
      </c>
      <c r="V1494" s="13" t="n">
        <v>0</v>
      </c>
      <c r="W1494" s="4"/>
      <c r="X1494" s="4"/>
      <c r="Y1494" s="4"/>
      <c r="Z1494" s="4"/>
      <c r="AA1494" s="4"/>
      <c r="AB1494" s="4"/>
      <c r="AC1494" s="4"/>
      <c r="AD1494" s="4"/>
      <c r="AE1494" s="4"/>
      <c r="AF1494" s="4"/>
      <c r="AG1494" s="4"/>
      <c r="AH1494" s="4"/>
      <c r="AI1494" s="4"/>
      <c r="AJ1494" s="4"/>
      <c r="AK1494" s="4"/>
      <c r="AL1494" s="4" t="s">
        <v>174</v>
      </c>
      <c r="AM1494" s="4" t="s">
        <v>190</v>
      </c>
    </row>
    <row r="1495" customFormat="false" ht="23.85" hidden="false" customHeight="false" outlineLevel="0" collapsed="false">
      <c r="A1495" s="4" t="s">
        <v>167</v>
      </c>
      <c r="B1495" s="4" t="s">
        <v>1672</v>
      </c>
      <c r="C1495" s="4" t="s">
        <v>1672</v>
      </c>
      <c r="D1495" s="12" t="n">
        <v>2023</v>
      </c>
      <c r="E1495" s="4"/>
      <c r="F1495" s="4" t="s">
        <v>169</v>
      </c>
      <c r="G1495" s="4" t="s">
        <v>170</v>
      </c>
      <c r="H1495" s="4" t="s">
        <v>171</v>
      </c>
      <c r="I1495" s="4" t="s">
        <v>172</v>
      </c>
      <c r="J1495" s="4" t="s">
        <v>1672</v>
      </c>
      <c r="K1495" s="4" t="s">
        <v>111</v>
      </c>
      <c r="L1495" s="4" t="s">
        <v>112</v>
      </c>
      <c r="M1495" s="4"/>
      <c r="N1495" s="4"/>
      <c r="O1495" s="4"/>
      <c r="P1495" s="4"/>
      <c r="Q1495" s="4"/>
      <c r="R1495" s="4"/>
      <c r="S1495" s="13" t="n">
        <v>0</v>
      </c>
      <c r="T1495" s="4" t="s">
        <v>173</v>
      </c>
      <c r="U1495" s="14" t="n">
        <f aca="false">IF(OR($S1495="",PARAMETROS!$B$4=""),"",$S1495*PARAMETROS!$B$4)</f>
        <v>0</v>
      </c>
      <c r="V1495" s="13" t="n">
        <v>0</v>
      </c>
      <c r="W1495" s="4"/>
      <c r="X1495" s="4"/>
      <c r="Y1495" s="4"/>
      <c r="Z1495" s="4"/>
      <c r="AA1495" s="4"/>
      <c r="AB1495" s="4"/>
      <c r="AC1495" s="4"/>
      <c r="AD1495" s="4"/>
      <c r="AE1495" s="4"/>
      <c r="AF1495" s="4"/>
      <c r="AG1495" s="4"/>
      <c r="AH1495" s="4"/>
      <c r="AI1495" s="4"/>
      <c r="AJ1495" s="4"/>
      <c r="AK1495" s="4"/>
      <c r="AL1495" s="4" t="s">
        <v>174</v>
      </c>
      <c r="AM1495" s="4" t="s">
        <v>190</v>
      </c>
    </row>
    <row r="1496" customFormat="false" ht="23.85" hidden="false" customHeight="false" outlineLevel="0" collapsed="false">
      <c r="A1496" s="4" t="s">
        <v>167</v>
      </c>
      <c r="B1496" s="4" t="s">
        <v>1673</v>
      </c>
      <c r="C1496" s="4" t="s">
        <v>1673</v>
      </c>
      <c r="D1496" s="12" t="n">
        <v>2023</v>
      </c>
      <c r="E1496" s="4"/>
      <c r="F1496" s="4" t="s">
        <v>169</v>
      </c>
      <c r="G1496" s="4" t="s">
        <v>170</v>
      </c>
      <c r="H1496" s="4" t="s">
        <v>171</v>
      </c>
      <c r="I1496" s="4" t="s">
        <v>172</v>
      </c>
      <c r="J1496" s="4" t="s">
        <v>1673</v>
      </c>
      <c r="K1496" s="4" t="s">
        <v>111</v>
      </c>
      <c r="L1496" s="4" t="s">
        <v>112</v>
      </c>
      <c r="M1496" s="4"/>
      <c r="N1496" s="4"/>
      <c r="O1496" s="4"/>
      <c r="P1496" s="4"/>
      <c r="Q1496" s="4"/>
      <c r="R1496" s="4"/>
      <c r="S1496" s="13" t="n">
        <v>0</v>
      </c>
      <c r="T1496" s="4" t="s">
        <v>173</v>
      </c>
      <c r="U1496" s="14" t="n">
        <f aca="false">IF(OR($S1496="",PARAMETROS!$B$4=""),"",$S1496*PARAMETROS!$B$4)</f>
        <v>0</v>
      </c>
      <c r="V1496" s="13" t="n">
        <v>0</v>
      </c>
      <c r="W1496" s="4"/>
      <c r="X1496" s="4"/>
      <c r="Y1496" s="4"/>
      <c r="Z1496" s="4"/>
      <c r="AA1496" s="4"/>
      <c r="AB1496" s="4"/>
      <c r="AC1496" s="4"/>
      <c r="AD1496" s="4"/>
      <c r="AE1496" s="4"/>
      <c r="AF1496" s="4"/>
      <c r="AG1496" s="4"/>
      <c r="AH1496" s="4"/>
      <c r="AI1496" s="4"/>
      <c r="AJ1496" s="4"/>
      <c r="AK1496" s="4"/>
      <c r="AL1496" s="4" t="s">
        <v>174</v>
      </c>
      <c r="AM1496" s="4" t="s">
        <v>190</v>
      </c>
    </row>
    <row r="1497" customFormat="false" ht="23.85" hidden="false" customHeight="false" outlineLevel="0" collapsed="false">
      <c r="A1497" s="4" t="s">
        <v>167</v>
      </c>
      <c r="B1497" s="4" t="s">
        <v>1674</v>
      </c>
      <c r="C1497" s="4" t="s">
        <v>1674</v>
      </c>
      <c r="D1497" s="12" t="n">
        <v>2023</v>
      </c>
      <c r="E1497" s="4"/>
      <c r="F1497" s="4" t="s">
        <v>169</v>
      </c>
      <c r="G1497" s="4" t="s">
        <v>170</v>
      </c>
      <c r="H1497" s="4" t="s">
        <v>171</v>
      </c>
      <c r="I1497" s="4" t="s">
        <v>172</v>
      </c>
      <c r="J1497" s="4" t="s">
        <v>1674</v>
      </c>
      <c r="K1497" s="4" t="s">
        <v>111</v>
      </c>
      <c r="L1497" s="4" t="s">
        <v>112</v>
      </c>
      <c r="M1497" s="4"/>
      <c r="N1497" s="4"/>
      <c r="O1497" s="4"/>
      <c r="P1497" s="4"/>
      <c r="Q1497" s="4"/>
      <c r="R1497" s="4"/>
      <c r="S1497" s="13" t="n">
        <v>0</v>
      </c>
      <c r="T1497" s="4" t="s">
        <v>173</v>
      </c>
      <c r="U1497" s="14" t="n">
        <f aca="false">IF(OR($S1497="",PARAMETROS!$B$4=""),"",$S1497*PARAMETROS!$B$4)</f>
        <v>0</v>
      </c>
      <c r="V1497" s="13" t="n">
        <v>0</v>
      </c>
      <c r="W1497" s="4"/>
      <c r="X1497" s="4"/>
      <c r="Y1497" s="4"/>
      <c r="Z1497" s="4"/>
      <c r="AA1497" s="4"/>
      <c r="AB1497" s="4"/>
      <c r="AC1497" s="4"/>
      <c r="AD1497" s="4"/>
      <c r="AE1497" s="4"/>
      <c r="AF1497" s="4"/>
      <c r="AG1497" s="4"/>
      <c r="AH1497" s="4"/>
      <c r="AI1497" s="4"/>
      <c r="AJ1497" s="4"/>
      <c r="AK1497" s="4"/>
      <c r="AL1497" s="4" t="s">
        <v>174</v>
      </c>
      <c r="AM1497" s="4" t="s">
        <v>190</v>
      </c>
    </row>
    <row r="1498" customFormat="false" ht="23.85" hidden="false" customHeight="false" outlineLevel="0" collapsed="false">
      <c r="A1498" s="4" t="s">
        <v>167</v>
      </c>
      <c r="B1498" s="4" t="s">
        <v>1675</v>
      </c>
      <c r="C1498" s="4" t="s">
        <v>1675</v>
      </c>
      <c r="D1498" s="12" t="n">
        <v>2023</v>
      </c>
      <c r="E1498" s="4"/>
      <c r="F1498" s="4" t="s">
        <v>169</v>
      </c>
      <c r="G1498" s="4" t="s">
        <v>170</v>
      </c>
      <c r="H1498" s="4" t="s">
        <v>171</v>
      </c>
      <c r="I1498" s="4" t="s">
        <v>172</v>
      </c>
      <c r="J1498" s="4" t="s">
        <v>1675</v>
      </c>
      <c r="K1498" s="4" t="s">
        <v>111</v>
      </c>
      <c r="L1498" s="4" t="s">
        <v>112</v>
      </c>
      <c r="M1498" s="4"/>
      <c r="N1498" s="4"/>
      <c r="O1498" s="4"/>
      <c r="P1498" s="4"/>
      <c r="Q1498" s="4"/>
      <c r="R1498" s="4"/>
      <c r="S1498" s="13" t="n">
        <v>0</v>
      </c>
      <c r="T1498" s="4" t="s">
        <v>173</v>
      </c>
      <c r="U1498" s="14" t="n">
        <f aca="false">IF(OR($S1498="",PARAMETROS!$B$4=""),"",$S1498*PARAMETROS!$B$4)</f>
        <v>0</v>
      </c>
      <c r="V1498" s="13" t="n">
        <v>0</v>
      </c>
      <c r="W1498" s="4"/>
      <c r="X1498" s="4"/>
      <c r="Y1498" s="4"/>
      <c r="Z1498" s="4"/>
      <c r="AA1498" s="4"/>
      <c r="AB1498" s="4"/>
      <c r="AC1498" s="4"/>
      <c r="AD1498" s="4"/>
      <c r="AE1498" s="4"/>
      <c r="AF1498" s="4"/>
      <c r="AG1498" s="4"/>
      <c r="AH1498" s="4"/>
      <c r="AI1498" s="4"/>
      <c r="AJ1498" s="4"/>
      <c r="AK1498" s="4"/>
      <c r="AL1498" s="4" t="s">
        <v>174</v>
      </c>
      <c r="AM1498" s="4" t="s">
        <v>190</v>
      </c>
    </row>
    <row r="1499" customFormat="false" ht="23.85" hidden="false" customHeight="false" outlineLevel="0" collapsed="false">
      <c r="A1499" s="4" t="s">
        <v>167</v>
      </c>
      <c r="B1499" s="4" t="s">
        <v>1676</v>
      </c>
      <c r="C1499" s="4" t="s">
        <v>1676</v>
      </c>
      <c r="D1499" s="12" t="n">
        <v>2023</v>
      </c>
      <c r="E1499" s="4"/>
      <c r="F1499" s="4" t="s">
        <v>169</v>
      </c>
      <c r="G1499" s="4" t="s">
        <v>170</v>
      </c>
      <c r="H1499" s="4" t="s">
        <v>171</v>
      </c>
      <c r="I1499" s="4" t="s">
        <v>172</v>
      </c>
      <c r="J1499" s="4" t="s">
        <v>1676</v>
      </c>
      <c r="K1499" s="4" t="s">
        <v>111</v>
      </c>
      <c r="L1499" s="4" t="s">
        <v>112</v>
      </c>
      <c r="M1499" s="4"/>
      <c r="N1499" s="4"/>
      <c r="O1499" s="4"/>
      <c r="P1499" s="4"/>
      <c r="Q1499" s="4"/>
      <c r="R1499" s="4"/>
      <c r="S1499" s="13" t="n">
        <v>0</v>
      </c>
      <c r="T1499" s="4" t="s">
        <v>173</v>
      </c>
      <c r="U1499" s="14" t="n">
        <f aca="false">IF(OR($S1499="",PARAMETROS!$B$4=""),"",$S1499*PARAMETROS!$B$4)</f>
        <v>0</v>
      </c>
      <c r="V1499" s="13" t="n">
        <v>0</v>
      </c>
      <c r="W1499" s="4"/>
      <c r="X1499" s="4"/>
      <c r="Y1499" s="4"/>
      <c r="Z1499" s="4"/>
      <c r="AA1499" s="4"/>
      <c r="AB1499" s="4"/>
      <c r="AC1499" s="4"/>
      <c r="AD1499" s="4"/>
      <c r="AE1499" s="4"/>
      <c r="AF1499" s="4"/>
      <c r="AG1499" s="4"/>
      <c r="AH1499" s="4"/>
      <c r="AI1499" s="4"/>
      <c r="AJ1499" s="4"/>
      <c r="AK1499" s="4"/>
      <c r="AL1499" s="4" t="s">
        <v>174</v>
      </c>
      <c r="AM1499" s="4" t="s">
        <v>190</v>
      </c>
    </row>
    <row r="1500" customFormat="false" ht="23.85" hidden="false" customHeight="false" outlineLevel="0" collapsed="false">
      <c r="A1500" s="4" t="s">
        <v>167</v>
      </c>
      <c r="B1500" s="4" t="s">
        <v>1677</v>
      </c>
      <c r="C1500" s="4" t="s">
        <v>1677</v>
      </c>
      <c r="D1500" s="12" t="n">
        <v>2023</v>
      </c>
      <c r="E1500" s="4"/>
      <c r="F1500" s="4" t="s">
        <v>169</v>
      </c>
      <c r="G1500" s="4" t="s">
        <v>170</v>
      </c>
      <c r="H1500" s="4" t="s">
        <v>171</v>
      </c>
      <c r="I1500" s="4" t="s">
        <v>172</v>
      </c>
      <c r="J1500" s="4" t="s">
        <v>1677</v>
      </c>
      <c r="K1500" s="4" t="s">
        <v>654</v>
      </c>
      <c r="L1500" s="4" t="s">
        <v>655</v>
      </c>
      <c r="M1500" s="4"/>
      <c r="N1500" s="4"/>
      <c r="O1500" s="4"/>
      <c r="P1500" s="4"/>
      <c r="Q1500" s="4"/>
      <c r="R1500" s="4"/>
      <c r="S1500" s="13" t="n">
        <v>0</v>
      </c>
      <c r="T1500" s="4" t="s">
        <v>173</v>
      </c>
      <c r="U1500" s="14" t="n">
        <f aca="false">IF(OR($S1500="",PARAMETROS!$B$4=""),"",$S1500*PARAMETROS!$B$4)</f>
        <v>0</v>
      </c>
      <c r="V1500" s="13" t="n">
        <v>0</v>
      </c>
      <c r="W1500" s="4"/>
      <c r="X1500" s="4"/>
      <c r="Y1500" s="4"/>
      <c r="Z1500" s="4"/>
      <c r="AA1500" s="4"/>
      <c r="AB1500" s="4"/>
      <c r="AC1500" s="4"/>
      <c r="AD1500" s="4"/>
      <c r="AE1500" s="4"/>
      <c r="AF1500" s="4"/>
      <c r="AG1500" s="4"/>
      <c r="AH1500" s="4"/>
      <c r="AI1500" s="4"/>
      <c r="AJ1500" s="4"/>
      <c r="AK1500" s="4"/>
      <c r="AL1500" s="4" t="s">
        <v>174</v>
      </c>
      <c r="AM1500" s="4" t="s">
        <v>190</v>
      </c>
    </row>
    <row r="1501" customFormat="false" ht="23.85" hidden="false" customHeight="false" outlineLevel="0" collapsed="false">
      <c r="A1501" s="4" t="s">
        <v>167</v>
      </c>
      <c r="B1501" s="4" t="s">
        <v>1678</v>
      </c>
      <c r="C1501" s="4" t="s">
        <v>1678</v>
      </c>
      <c r="D1501" s="12" t="n">
        <v>2023</v>
      </c>
      <c r="E1501" s="4"/>
      <c r="F1501" s="4" t="s">
        <v>169</v>
      </c>
      <c r="G1501" s="4" t="s">
        <v>170</v>
      </c>
      <c r="H1501" s="4" t="s">
        <v>171</v>
      </c>
      <c r="I1501" s="4" t="s">
        <v>172</v>
      </c>
      <c r="J1501" s="4" t="s">
        <v>1678</v>
      </c>
      <c r="K1501" s="4" t="s">
        <v>654</v>
      </c>
      <c r="L1501" s="4" t="s">
        <v>655</v>
      </c>
      <c r="M1501" s="4"/>
      <c r="N1501" s="4"/>
      <c r="O1501" s="4"/>
      <c r="P1501" s="4"/>
      <c r="Q1501" s="4"/>
      <c r="R1501" s="4"/>
      <c r="S1501" s="13" t="n">
        <v>0</v>
      </c>
      <c r="T1501" s="4" t="s">
        <v>173</v>
      </c>
      <c r="U1501" s="14" t="n">
        <f aca="false">IF(OR($S1501="",PARAMETROS!$B$4=""),"",$S1501*PARAMETROS!$B$4)</f>
        <v>0</v>
      </c>
      <c r="V1501" s="13" t="n">
        <v>0</v>
      </c>
      <c r="W1501" s="4"/>
      <c r="X1501" s="4"/>
      <c r="Y1501" s="4"/>
      <c r="Z1501" s="4"/>
      <c r="AA1501" s="4"/>
      <c r="AB1501" s="4"/>
      <c r="AC1501" s="4"/>
      <c r="AD1501" s="4"/>
      <c r="AE1501" s="4"/>
      <c r="AF1501" s="4"/>
      <c r="AG1501" s="4"/>
      <c r="AH1501" s="4"/>
      <c r="AI1501" s="4"/>
      <c r="AJ1501" s="4"/>
      <c r="AK1501" s="4"/>
      <c r="AL1501" s="4" t="s">
        <v>174</v>
      </c>
      <c r="AM1501" s="4" t="s">
        <v>190</v>
      </c>
    </row>
    <row r="1502" customFormat="false" ht="23.85" hidden="false" customHeight="false" outlineLevel="0" collapsed="false">
      <c r="A1502" s="4" t="s">
        <v>167</v>
      </c>
      <c r="B1502" s="4" t="s">
        <v>1679</v>
      </c>
      <c r="C1502" s="4" t="s">
        <v>1679</v>
      </c>
      <c r="D1502" s="12" t="n">
        <v>2023</v>
      </c>
      <c r="E1502" s="4"/>
      <c r="F1502" s="4" t="s">
        <v>169</v>
      </c>
      <c r="G1502" s="4" t="s">
        <v>170</v>
      </c>
      <c r="H1502" s="4" t="s">
        <v>171</v>
      </c>
      <c r="I1502" s="4" t="s">
        <v>172</v>
      </c>
      <c r="J1502" s="4" t="s">
        <v>1679</v>
      </c>
      <c r="K1502" s="4" t="s">
        <v>654</v>
      </c>
      <c r="L1502" s="4" t="s">
        <v>655</v>
      </c>
      <c r="M1502" s="4"/>
      <c r="N1502" s="4"/>
      <c r="O1502" s="4"/>
      <c r="P1502" s="4"/>
      <c r="Q1502" s="4"/>
      <c r="R1502" s="4"/>
      <c r="S1502" s="13" t="n">
        <v>0</v>
      </c>
      <c r="T1502" s="4" t="s">
        <v>173</v>
      </c>
      <c r="U1502" s="14" t="n">
        <f aca="false">IF(OR($S1502="",PARAMETROS!$B$4=""),"",$S1502*PARAMETROS!$B$4)</f>
        <v>0</v>
      </c>
      <c r="V1502" s="13" t="n">
        <v>0</v>
      </c>
      <c r="W1502" s="4"/>
      <c r="X1502" s="4"/>
      <c r="Y1502" s="4"/>
      <c r="Z1502" s="4"/>
      <c r="AA1502" s="4"/>
      <c r="AB1502" s="4"/>
      <c r="AC1502" s="4"/>
      <c r="AD1502" s="4"/>
      <c r="AE1502" s="4"/>
      <c r="AF1502" s="4"/>
      <c r="AG1502" s="4"/>
      <c r="AH1502" s="4"/>
      <c r="AI1502" s="4"/>
      <c r="AJ1502" s="4"/>
      <c r="AK1502" s="4"/>
      <c r="AL1502" s="4" t="s">
        <v>174</v>
      </c>
      <c r="AM1502" s="4" t="s">
        <v>190</v>
      </c>
    </row>
    <row r="1503" customFormat="false" ht="23.85" hidden="false" customHeight="false" outlineLevel="0" collapsed="false">
      <c r="A1503" s="4" t="s">
        <v>167</v>
      </c>
      <c r="B1503" s="4" t="s">
        <v>1680</v>
      </c>
      <c r="C1503" s="4" t="s">
        <v>1680</v>
      </c>
      <c r="D1503" s="12" t="n">
        <v>2023</v>
      </c>
      <c r="E1503" s="4"/>
      <c r="F1503" s="4" t="s">
        <v>169</v>
      </c>
      <c r="G1503" s="4" t="s">
        <v>170</v>
      </c>
      <c r="H1503" s="4" t="s">
        <v>171</v>
      </c>
      <c r="I1503" s="4" t="s">
        <v>172</v>
      </c>
      <c r="J1503" s="4" t="s">
        <v>1680</v>
      </c>
      <c r="K1503" s="4" t="s">
        <v>654</v>
      </c>
      <c r="L1503" s="4" t="s">
        <v>655</v>
      </c>
      <c r="M1503" s="4"/>
      <c r="N1503" s="4"/>
      <c r="O1503" s="4"/>
      <c r="P1503" s="4"/>
      <c r="Q1503" s="4"/>
      <c r="R1503" s="4"/>
      <c r="S1503" s="13" t="n">
        <v>0</v>
      </c>
      <c r="T1503" s="4" t="s">
        <v>173</v>
      </c>
      <c r="U1503" s="14" t="n">
        <f aca="false">IF(OR($S1503="",PARAMETROS!$B$4=""),"",$S1503*PARAMETROS!$B$4)</f>
        <v>0</v>
      </c>
      <c r="V1503" s="13" t="n">
        <v>0</v>
      </c>
      <c r="W1503" s="4"/>
      <c r="X1503" s="4"/>
      <c r="Y1503" s="4"/>
      <c r="Z1503" s="4"/>
      <c r="AA1503" s="4"/>
      <c r="AB1503" s="4"/>
      <c r="AC1503" s="4"/>
      <c r="AD1503" s="4"/>
      <c r="AE1503" s="4"/>
      <c r="AF1503" s="4"/>
      <c r="AG1503" s="4"/>
      <c r="AH1503" s="4"/>
      <c r="AI1503" s="4"/>
      <c r="AJ1503" s="4"/>
      <c r="AK1503" s="4"/>
      <c r="AL1503" s="4" t="s">
        <v>174</v>
      </c>
      <c r="AM1503" s="4" t="s">
        <v>190</v>
      </c>
    </row>
    <row r="1504" customFormat="false" ht="23.85" hidden="false" customHeight="false" outlineLevel="0" collapsed="false">
      <c r="A1504" s="4" t="s">
        <v>167</v>
      </c>
      <c r="B1504" s="4" t="s">
        <v>1681</v>
      </c>
      <c r="C1504" s="4" t="s">
        <v>1681</v>
      </c>
      <c r="D1504" s="12" t="n">
        <v>2023</v>
      </c>
      <c r="E1504" s="4"/>
      <c r="F1504" s="4" t="s">
        <v>169</v>
      </c>
      <c r="G1504" s="4" t="s">
        <v>170</v>
      </c>
      <c r="H1504" s="4" t="s">
        <v>171</v>
      </c>
      <c r="I1504" s="4" t="s">
        <v>172</v>
      </c>
      <c r="J1504" s="4" t="s">
        <v>1681</v>
      </c>
      <c r="K1504" s="4" t="s">
        <v>654</v>
      </c>
      <c r="L1504" s="4" t="s">
        <v>655</v>
      </c>
      <c r="M1504" s="4"/>
      <c r="N1504" s="4"/>
      <c r="O1504" s="4"/>
      <c r="P1504" s="4"/>
      <c r="Q1504" s="4"/>
      <c r="R1504" s="4"/>
      <c r="S1504" s="13" t="n">
        <v>0</v>
      </c>
      <c r="T1504" s="4" t="s">
        <v>173</v>
      </c>
      <c r="U1504" s="14" t="n">
        <f aca="false">IF(OR($S1504="",PARAMETROS!$B$4=""),"",$S1504*PARAMETROS!$B$4)</f>
        <v>0</v>
      </c>
      <c r="V1504" s="13" t="n">
        <v>0</v>
      </c>
      <c r="W1504" s="4"/>
      <c r="X1504" s="4"/>
      <c r="Y1504" s="4"/>
      <c r="Z1504" s="4"/>
      <c r="AA1504" s="4"/>
      <c r="AB1504" s="4"/>
      <c r="AC1504" s="4"/>
      <c r="AD1504" s="4"/>
      <c r="AE1504" s="4"/>
      <c r="AF1504" s="4"/>
      <c r="AG1504" s="4"/>
      <c r="AH1504" s="4"/>
      <c r="AI1504" s="4"/>
      <c r="AJ1504" s="4"/>
      <c r="AK1504" s="4"/>
      <c r="AL1504" s="4" t="s">
        <v>174</v>
      </c>
      <c r="AM1504" s="4" t="s">
        <v>190</v>
      </c>
    </row>
    <row r="1505" customFormat="false" ht="23.85" hidden="false" customHeight="false" outlineLevel="0" collapsed="false">
      <c r="A1505" s="4" t="s">
        <v>167</v>
      </c>
      <c r="B1505" s="4" t="s">
        <v>1682</v>
      </c>
      <c r="C1505" s="4" t="s">
        <v>1682</v>
      </c>
      <c r="D1505" s="12" t="n">
        <v>2023</v>
      </c>
      <c r="E1505" s="4"/>
      <c r="F1505" s="4" t="s">
        <v>169</v>
      </c>
      <c r="G1505" s="4" t="s">
        <v>170</v>
      </c>
      <c r="H1505" s="4" t="s">
        <v>171</v>
      </c>
      <c r="I1505" s="4" t="s">
        <v>172</v>
      </c>
      <c r="J1505" s="4" t="s">
        <v>1682</v>
      </c>
      <c r="K1505" s="4" t="s">
        <v>654</v>
      </c>
      <c r="L1505" s="4" t="s">
        <v>655</v>
      </c>
      <c r="M1505" s="4"/>
      <c r="N1505" s="4"/>
      <c r="O1505" s="4"/>
      <c r="P1505" s="4"/>
      <c r="Q1505" s="4"/>
      <c r="R1505" s="4"/>
      <c r="S1505" s="13" t="n">
        <v>0</v>
      </c>
      <c r="T1505" s="4" t="s">
        <v>173</v>
      </c>
      <c r="U1505" s="14" t="n">
        <f aca="false">IF(OR($S1505="",PARAMETROS!$B$4=""),"",$S1505*PARAMETROS!$B$4)</f>
        <v>0</v>
      </c>
      <c r="V1505" s="13" t="n">
        <v>0</v>
      </c>
      <c r="W1505" s="4"/>
      <c r="X1505" s="4"/>
      <c r="Y1505" s="4"/>
      <c r="Z1505" s="4"/>
      <c r="AA1505" s="4"/>
      <c r="AB1505" s="4"/>
      <c r="AC1505" s="4"/>
      <c r="AD1505" s="4"/>
      <c r="AE1505" s="4"/>
      <c r="AF1505" s="4"/>
      <c r="AG1505" s="4"/>
      <c r="AH1505" s="4"/>
      <c r="AI1505" s="4"/>
      <c r="AJ1505" s="4"/>
      <c r="AK1505" s="4"/>
      <c r="AL1505" s="4" t="s">
        <v>174</v>
      </c>
      <c r="AM1505" s="4" t="s">
        <v>190</v>
      </c>
    </row>
    <row r="1506" customFormat="false" ht="23.85" hidden="false" customHeight="false" outlineLevel="0" collapsed="false">
      <c r="A1506" s="4" t="s">
        <v>167</v>
      </c>
      <c r="B1506" s="4" t="s">
        <v>1683</v>
      </c>
      <c r="C1506" s="4" t="s">
        <v>1683</v>
      </c>
      <c r="D1506" s="12" t="n">
        <v>2023</v>
      </c>
      <c r="E1506" s="4"/>
      <c r="F1506" s="4" t="s">
        <v>169</v>
      </c>
      <c r="G1506" s="4" t="s">
        <v>170</v>
      </c>
      <c r="H1506" s="4" t="s">
        <v>171</v>
      </c>
      <c r="I1506" s="4" t="s">
        <v>172</v>
      </c>
      <c r="J1506" s="4" t="s">
        <v>1683</v>
      </c>
      <c r="K1506" s="4" t="s">
        <v>654</v>
      </c>
      <c r="L1506" s="4" t="s">
        <v>655</v>
      </c>
      <c r="M1506" s="4"/>
      <c r="N1506" s="4"/>
      <c r="O1506" s="4"/>
      <c r="P1506" s="4"/>
      <c r="Q1506" s="4"/>
      <c r="R1506" s="4"/>
      <c r="S1506" s="13" t="n">
        <v>0</v>
      </c>
      <c r="T1506" s="4" t="s">
        <v>173</v>
      </c>
      <c r="U1506" s="14" t="n">
        <f aca="false">IF(OR($S1506="",PARAMETROS!$B$4=""),"",$S1506*PARAMETROS!$B$4)</f>
        <v>0</v>
      </c>
      <c r="V1506" s="13" t="n">
        <v>0</v>
      </c>
      <c r="W1506" s="4"/>
      <c r="X1506" s="4"/>
      <c r="Y1506" s="4"/>
      <c r="Z1506" s="4"/>
      <c r="AA1506" s="4"/>
      <c r="AB1506" s="4"/>
      <c r="AC1506" s="4"/>
      <c r="AD1506" s="4"/>
      <c r="AE1506" s="4"/>
      <c r="AF1506" s="4"/>
      <c r="AG1506" s="4"/>
      <c r="AH1506" s="4"/>
      <c r="AI1506" s="4"/>
      <c r="AJ1506" s="4"/>
      <c r="AK1506" s="4"/>
      <c r="AL1506" s="4" t="s">
        <v>174</v>
      </c>
      <c r="AM1506" s="4" t="s">
        <v>190</v>
      </c>
    </row>
    <row r="1507" customFormat="false" ht="23.85" hidden="false" customHeight="false" outlineLevel="0" collapsed="false">
      <c r="A1507" s="4" t="s">
        <v>167</v>
      </c>
      <c r="B1507" s="4" t="s">
        <v>1684</v>
      </c>
      <c r="C1507" s="4" t="s">
        <v>1684</v>
      </c>
      <c r="D1507" s="12" t="n">
        <v>2023</v>
      </c>
      <c r="E1507" s="4"/>
      <c r="F1507" s="4" t="s">
        <v>169</v>
      </c>
      <c r="G1507" s="4" t="s">
        <v>170</v>
      </c>
      <c r="H1507" s="4" t="s">
        <v>171</v>
      </c>
      <c r="I1507" s="4" t="s">
        <v>172</v>
      </c>
      <c r="J1507" s="4" t="s">
        <v>1684</v>
      </c>
      <c r="K1507" s="4" t="s">
        <v>654</v>
      </c>
      <c r="L1507" s="4" t="s">
        <v>655</v>
      </c>
      <c r="M1507" s="4"/>
      <c r="N1507" s="4"/>
      <c r="O1507" s="4"/>
      <c r="P1507" s="4"/>
      <c r="Q1507" s="4"/>
      <c r="R1507" s="4"/>
      <c r="S1507" s="13" t="n">
        <v>0</v>
      </c>
      <c r="T1507" s="4" t="s">
        <v>173</v>
      </c>
      <c r="U1507" s="14" t="n">
        <f aca="false">IF(OR($S1507="",PARAMETROS!$B$4=""),"",$S1507*PARAMETROS!$B$4)</f>
        <v>0</v>
      </c>
      <c r="V1507" s="13" t="n">
        <v>0</v>
      </c>
      <c r="W1507" s="4"/>
      <c r="X1507" s="4"/>
      <c r="Y1507" s="4"/>
      <c r="Z1507" s="4"/>
      <c r="AA1507" s="4"/>
      <c r="AB1507" s="4"/>
      <c r="AC1507" s="4"/>
      <c r="AD1507" s="4"/>
      <c r="AE1507" s="4"/>
      <c r="AF1507" s="4"/>
      <c r="AG1507" s="4"/>
      <c r="AH1507" s="4"/>
      <c r="AI1507" s="4"/>
      <c r="AJ1507" s="4"/>
      <c r="AK1507" s="4"/>
      <c r="AL1507" s="4" t="s">
        <v>174</v>
      </c>
      <c r="AM1507" s="4" t="s">
        <v>190</v>
      </c>
    </row>
    <row r="1508" customFormat="false" ht="23.85" hidden="false" customHeight="false" outlineLevel="0" collapsed="false">
      <c r="A1508" s="4" t="s">
        <v>167</v>
      </c>
      <c r="B1508" s="4" t="s">
        <v>1685</v>
      </c>
      <c r="C1508" s="4" t="s">
        <v>1685</v>
      </c>
      <c r="D1508" s="12" t="n">
        <v>2023</v>
      </c>
      <c r="E1508" s="4"/>
      <c r="F1508" s="4" t="s">
        <v>169</v>
      </c>
      <c r="G1508" s="4" t="s">
        <v>170</v>
      </c>
      <c r="H1508" s="4" t="s">
        <v>171</v>
      </c>
      <c r="I1508" s="4" t="s">
        <v>172</v>
      </c>
      <c r="J1508" s="4" t="s">
        <v>1685</v>
      </c>
      <c r="K1508" s="4" t="s">
        <v>654</v>
      </c>
      <c r="L1508" s="4" t="s">
        <v>655</v>
      </c>
      <c r="M1508" s="4"/>
      <c r="N1508" s="4"/>
      <c r="O1508" s="4"/>
      <c r="P1508" s="4"/>
      <c r="Q1508" s="4"/>
      <c r="R1508" s="4"/>
      <c r="S1508" s="13" t="n">
        <v>0</v>
      </c>
      <c r="T1508" s="4" t="s">
        <v>173</v>
      </c>
      <c r="U1508" s="14" t="n">
        <f aca="false">IF(OR($S1508="",PARAMETROS!$B$4=""),"",$S1508*PARAMETROS!$B$4)</f>
        <v>0</v>
      </c>
      <c r="V1508" s="13" t="n">
        <v>0</v>
      </c>
      <c r="W1508" s="4"/>
      <c r="X1508" s="4"/>
      <c r="Y1508" s="4"/>
      <c r="Z1508" s="4"/>
      <c r="AA1508" s="4"/>
      <c r="AB1508" s="4"/>
      <c r="AC1508" s="4"/>
      <c r="AD1508" s="4"/>
      <c r="AE1508" s="4"/>
      <c r="AF1508" s="4"/>
      <c r="AG1508" s="4"/>
      <c r="AH1508" s="4"/>
      <c r="AI1508" s="4"/>
      <c r="AJ1508" s="4"/>
      <c r="AK1508" s="4"/>
      <c r="AL1508" s="4" t="s">
        <v>174</v>
      </c>
      <c r="AM1508" s="4" t="s">
        <v>190</v>
      </c>
    </row>
    <row r="1509" customFormat="false" ht="23.85" hidden="false" customHeight="false" outlineLevel="0" collapsed="false">
      <c r="A1509" s="4" t="s">
        <v>167</v>
      </c>
      <c r="B1509" s="4" t="s">
        <v>1686</v>
      </c>
      <c r="C1509" s="4" t="s">
        <v>1686</v>
      </c>
      <c r="D1509" s="12" t="n">
        <v>2023</v>
      </c>
      <c r="E1509" s="4"/>
      <c r="F1509" s="4" t="s">
        <v>169</v>
      </c>
      <c r="G1509" s="4" t="s">
        <v>170</v>
      </c>
      <c r="H1509" s="4" t="s">
        <v>171</v>
      </c>
      <c r="I1509" s="4" t="s">
        <v>172</v>
      </c>
      <c r="J1509" s="4" t="s">
        <v>1686</v>
      </c>
      <c r="K1509" s="4" t="s">
        <v>654</v>
      </c>
      <c r="L1509" s="4" t="s">
        <v>655</v>
      </c>
      <c r="M1509" s="4"/>
      <c r="N1509" s="4"/>
      <c r="O1509" s="4"/>
      <c r="P1509" s="4"/>
      <c r="Q1509" s="4"/>
      <c r="R1509" s="4"/>
      <c r="S1509" s="13" t="n">
        <v>0</v>
      </c>
      <c r="T1509" s="4" t="s">
        <v>173</v>
      </c>
      <c r="U1509" s="14" t="n">
        <f aca="false">IF(OR($S1509="",PARAMETROS!$B$4=""),"",$S1509*PARAMETROS!$B$4)</f>
        <v>0</v>
      </c>
      <c r="V1509" s="13" t="n">
        <v>0</v>
      </c>
      <c r="W1509" s="4"/>
      <c r="X1509" s="4"/>
      <c r="Y1509" s="4"/>
      <c r="Z1509" s="4"/>
      <c r="AA1509" s="4"/>
      <c r="AB1509" s="4"/>
      <c r="AC1509" s="4"/>
      <c r="AD1509" s="4"/>
      <c r="AE1509" s="4"/>
      <c r="AF1509" s="4"/>
      <c r="AG1509" s="4"/>
      <c r="AH1509" s="4"/>
      <c r="AI1509" s="4"/>
      <c r="AJ1509" s="4"/>
      <c r="AK1509" s="4"/>
      <c r="AL1509" s="4" t="s">
        <v>174</v>
      </c>
      <c r="AM1509" s="4" t="s">
        <v>190</v>
      </c>
    </row>
    <row r="1510" customFormat="false" ht="23.85" hidden="false" customHeight="false" outlineLevel="0" collapsed="false">
      <c r="A1510" s="4" t="s">
        <v>167</v>
      </c>
      <c r="B1510" s="4" t="s">
        <v>1687</v>
      </c>
      <c r="C1510" s="4" t="s">
        <v>1687</v>
      </c>
      <c r="D1510" s="12" t="n">
        <v>2023</v>
      </c>
      <c r="E1510" s="4"/>
      <c r="F1510" s="4" t="s">
        <v>169</v>
      </c>
      <c r="G1510" s="4" t="s">
        <v>170</v>
      </c>
      <c r="H1510" s="4" t="s">
        <v>171</v>
      </c>
      <c r="I1510" s="4" t="s">
        <v>172</v>
      </c>
      <c r="J1510" s="4" t="s">
        <v>1687</v>
      </c>
      <c r="K1510" s="4" t="s">
        <v>654</v>
      </c>
      <c r="L1510" s="4" t="s">
        <v>655</v>
      </c>
      <c r="M1510" s="4"/>
      <c r="N1510" s="4"/>
      <c r="O1510" s="4"/>
      <c r="P1510" s="4"/>
      <c r="Q1510" s="4"/>
      <c r="R1510" s="4"/>
      <c r="S1510" s="13" t="n">
        <v>0</v>
      </c>
      <c r="T1510" s="4" t="s">
        <v>173</v>
      </c>
      <c r="U1510" s="14" t="n">
        <f aca="false">IF(OR($S1510="",PARAMETROS!$B$4=""),"",$S1510*PARAMETROS!$B$4)</f>
        <v>0</v>
      </c>
      <c r="V1510" s="13" t="n">
        <v>0</v>
      </c>
      <c r="W1510" s="4"/>
      <c r="X1510" s="4"/>
      <c r="Y1510" s="4"/>
      <c r="Z1510" s="4"/>
      <c r="AA1510" s="4"/>
      <c r="AB1510" s="4"/>
      <c r="AC1510" s="4"/>
      <c r="AD1510" s="4"/>
      <c r="AE1510" s="4"/>
      <c r="AF1510" s="4"/>
      <c r="AG1510" s="4"/>
      <c r="AH1510" s="4"/>
      <c r="AI1510" s="4"/>
      <c r="AJ1510" s="4"/>
      <c r="AK1510" s="4"/>
      <c r="AL1510" s="4" t="s">
        <v>174</v>
      </c>
      <c r="AM1510" s="4" t="s">
        <v>190</v>
      </c>
    </row>
    <row r="1511" customFormat="false" ht="23.85" hidden="false" customHeight="false" outlineLevel="0" collapsed="false">
      <c r="A1511" s="4" t="s">
        <v>167</v>
      </c>
      <c r="B1511" s="4" t="s">
        <v>1688</v>
      </c>
      <c r="C1511" s="4" t="s">
        <v>1688</v>
      </c>
      <c r="D1511" s="12" t="n">
        <v>2023</v>
      </c>
      <c r="E1511" s="4"/>
      <c r="F1511" s="4" t="s">
        <v>169</v>
      </c>
      <c r="G1511" s="4" t="s">
        <v>170</v>
      </c>
      <c r="H1511" s="4" t="s">
        <v>171</v>
      </c>
      <c r="I1511" s="4" t="s">
        <v>172</v>
      </c>
      <c r="J1511" s="4" t="s">
        <v>1688</v>
      </c>
      <c r="K1511" s="4" t="s">
        <v>654</v>
      </c>
      <c r="L1511" s="4" t="s">
        <v>655</v>
      </c>
      <c r="M1511" s="4"/>
      <c r="N1511" s="4"/>
      <c r="O1511" s="4"/>
      <c r="P1511" s="4"/>
      <c r="Q1511" s="4"/>
      <c r="R1511" s="4"/>
      <c r="S1511" s="13" t="n">
        <v>0</v>
      </c>
      <c r="T1511" s="4" t="s">
        <v>173</v>
      </c>
      <c r="U1511" s="14" t="n">
        <f aca="false">IF(OR($S1511="",PARAMETROS!$B$4=""),"",$S1511*PARAMETROS!$B$4)</f>
        <v>0</v>
      </c>
      <c r="V1511" s="13" t="n">
        <v>0</v>
      </c>
      <c r="W1511" s="4"/>
      <c r="X1511" s="4"/>
      <c r="Y1511" s="4"/>
      <c r="Z1511" s="4"/>
      <c r="AA1511" s="4"/>
      <c r="AB1511" s="4"/>
      <c r="AC1511" s="4"/>
      <c r="AD1511" s="4"/>
      <c r="AE1511" s="4"/>
      <c r="AF1511" s="4"/>
      <c r="AG1511" s="4"/>
      <c r="AH1511" s="4"/>
      <c r="AI1511" s="4"/>
      <c r="AJ1511" s="4"/>
      <c r="AK1511" s="4"/>
      <c r="AL1511" s="4" t="s">
        <v>174</v>
      </c>
      <c r="AM1511" s="4" t="s">
        <v>190</v>
      </c>
    </row>
    <row r="1512" customFormat="false" ht="23.85" hidden="false" customHeight="false" outlineLevel="0" collapsed="false">
      <c r="A1512" s="4" t="s">
        <v>167</v>
      </c>
      <c r="B1512" s="4" t="s">
        <v>1689</v>
      </c>
      <c r="C1512" s="4" t="s">
        <v>1689</v>
      </c>
      <c r="D1512" s="12" t="n">
        <v>2023</v>
      </c>
      <c r="E1512" s="4"/>
      <c r="F1512" s="4" t="s">
        <v>169</v>
      </c>
      <c r="G1512" s="4" t="s">
        <v>170</v>
      </c>
      <c r="H1512" s="4" t="s">
        <v>171</v>
      </c>
      <c r="I1512" s="4" t="s">
        <v>172</v>
      </c>
      <c r="J1512" s="4" t="s">
        <v>1689</v>
      </c>
      <c r="K1512" s="4" t="s">
        <v>654</v>
      </c>
      <c r="L1512" s="4" t="s">
        <v>655</v>
      </c>
      <c r="M1512" s="4"/>
      <c r="N1512" s="4"/>
      <c r="O1512" s="4"/>
      <c r="P1512" s="4"/>
      <c r="Q1512" s="4"/>
      <c r="R1512" s="4"/>
      <c r="S1512" s="13" t="n">
        <v>0</v>
      </c>
      <c r="T1512" s="4" t="s">
        <v>173</v>
      </c>
      <c r="U1512" s="14" t="n">
        <f aca="false">IF(OR($S1512="",PARAMETROS!$B$4=""),"",$S1512*PARAMETROS!$B$4)</f>
        <v>0</v>
      </c>
      <c r="V1512" s="13" t="n">
        <v>0</v>
      </c>
      <c r="W1512" s="4"/>
      <c r="X1512" s="4"/>
      <c r="Y1512" s="4"/>
      <c r="Z1512" s="4"/>
      <c r="AA1512" s="4"/>
      <c r="AB1512" s="4"/>
      <c r="AC1512" s="4"/>
      <c r="AD1512" s="4"/>
      <c r="AE1512" s="4"/>
      <c r="AF1512" s="4"/>
      <c r="AG1512" s="4"/>
      <c r="AH1512" s="4"/>
      <c r="AI1512" s="4"/>
      <c r="AJ1512" s="4"/>
      <c r="AK1512" s="4"/>
      <c r="AL1512" s="4" t="s">
        <v>174</v>
      </c>
      <c r="AM1512" s="4" t="s">
        <v>190</v>
      </c>
    </row>
    <row r="1513" customFormat="false" ht="23.85" hidden="false" customHeight="false" outlineLevel="0" collapsed="false">
      <c r="A1513" s="4" t="s">
        <v>167</v>
      </c>
      <c r="B1513" s="4" t="s">
        <v>1690</v>
      </c>
      <c r="C1513" s="4" t="s">
        <v>1690</v>
      </c>
      <c r="D1513" s="12" t="n">
        <v>2023</v>
      </c>
      <c r="E1513" s="4"/>
      <c r="F1513" s="4" t="s">
        <v>169</v>
      </c>
      <c r="G1513" s="4" t="s">
        <v>170</v>
      </c>
      <c r="H1513" s="4" t="s">
        <v>171</v>
      </c>
      <c r="I1513" s="4" t="s">
        <v>172</v>
      </c>
      <c r="J1513" s="4" t="s">
        <v>1690</v>
      </c>
      <c r="K1513" s="4" t="s">
        <v>654</v>
      </c>
      <c r="L1513" s="4" t="s">
        <v>655</v>
      </c>
      <c r="M1513" s="4"/>
      <c r="N1513" s="4"/>
      <c r="O1513" s="4"/>
      <c r="P1513" s="4"/>
      <c r="Q1513" s="4"/>
      <c r="R1513" s="4"/>
      <c r="S1513" s="13" t="n">
        <v>0</v>
      </c>
      <c r="T1513" s="4" t="s">
        <v>173</v>
      </c>
      <c r="U1513" s="14" t="n">
        <f aca="false">IF(OR($S1513="",PARAMETROS!$B$4=""),"",$S1513*PARAMETROS!$B$4)</f>
        <v>0</v>
      </c>
      <c r="V1513" s="13" t="n">
        <v>0</v>
      </c>
      <c r="W1513" s="4"/>
      <c r="X1513" s="4"/>
      <c r="Y1513" s="4"/>
      <c r="Z1513" s="4"/>
      <c r="AA1513" s="4"/>
      <c r="AB1513" s="4"/>
      <c r="AC1513" s="4"/>
      <c r="AD1513" s="4"/>
      <c r="AE1513" s="4"/>
      <c r="AF1513" s="4"/>
      <c r="AG1513" s="4"/>
      <c r="AH1513" s="4"/>
      <c r="AI1513" s="4"/>
      <c r="AJ1513" s="4"/>
      <c r="AK1513" s="4"/>
      <c r="AL1513" s="4" t="s">
        <v>174</v>
      </c>
      <c r="AM1513" s="4" t="s">
        <v>190</v>
      </c>
    </row>
    <row r="1514" customFormat="false" ht="23.85" hidden="false" customHeight="false" outlineLevel="0" collapsed="false">
      <c r="A1514" s="4" t="s">
        <v>167</v>
      </c>
      <c r="B1514" s="4" t="s">
        <v>1691</v>
      </c>
      <c r="C1514" s="4" t="s">
        <v>1691</v>
      </c>
      <c r="D1514" s="12" t="n">
        <v>2024</v>
      </c>
      <c r="E1514" s="4"/>
      <c r="F1514" s="4" t="s">
        <v>169</v>
      </c>
      <c r="G1514" s="4" t="s">
        <v>170</v>
      </c>
      <c r="H1514" s="4" t="s">
        <v>171</v>
      </c>
      <c r="I1514" s="4" t="s">
        <v>172</v>
      </c>
      <c r="J1514" s="4" t="s">
        <v>1691</v>
      </c>
      <c r="K1514" s="4" t="s">
        <v>91</v>
      </c>
      <c r="L1514" s="4" t="s">
        <v>92</v>
      </c>
      <c r="M1514" s="4"/>
      <c r="N1514" s="4"/>
      <c r="O1514" s="4"/>
      <c r="P1514" s="4"/>
      <c r="Q1514" s="4"/>
      <c r="R1514" s="4"/>
      <c r="S1514" s="13" t="n">
        <v>13276.9</v>
      </c>
      <c r="T1514" s="4" t="s">
        <v>173</v>
      </c>
      <c r="U1514" s="14" t="n">
        <f aca="false">IF(OR($S1514="",PARAMETROS!$B$4=""),"",$S1514*PARAMETROS!$B$4)</f>
        <v>77138.789</v>
      </c>
      <c r="V1514" s="13" t="n">
        <v>0</v>
      </c>
      <c r="W1514" s="4"/>
      <c r="X1514" s="4"/>
      <c r="Y1514" s="4"/>
      <c r="Z1514" s="4"/>
      <c r="AA1514" s="4"/>
      <c r="AB1514" s="4"/>
      <c r="AC1514" s="4"/>
      <c r="AD1514" s="4"/>
      <c r="AE1514" s="4"/>
      <c r="AF1514" s="4"/>
      <c r="AG1514" s="4"/>
      <c r="AH1514" s="4"/>
      <c r="AI1514" s="4"/>
      <c r="AJ1514" s="4"/>
      <c r="AK1514" s="4"/>
      <c r="AL1514" s="4" t="s">
        <v>1692</v>
      </c>
      <c r="AM1514" s="4" t="s">
        <v>1693</v>
      </c>
    </row>
    <row r="1515" customFormat="false" ht="23.85" hidden="false" customHeight="false" outlineLevel="0" collapsed="false">
      <c r="A1515" s="4" t="s">
        <v>167</v>
      </c>
      <c r="B1515" s="4" t="s">
        <v>1694</v>
      </c>
      <c r="C1515" s="4" t="s">
        <v>1694</v>
      </c>
      <c r="D1515" s="12" t="n">
        <v>2024</v>
      </c>
      <c r="E1515" s="4"/>
      <c r="F1515" s="4" t="s">
        <v>169</v>
      </c>
      <c r="G1515" s="4" t="s">
        <v>170</v>
      </c>
      <c r="H1515" s="4" t="s">
        <v>171</v>
      </c>
      <c r="I1515" s="4" t="s">
        <v>172</v>
      </c>
      <c r="J1515" s="4" t="s">
        <v>1694</v>
      </c>
      <c r="K1515" s="4" t="s">
        <v>91</v>
      </c>
      <c r="L1515" s="4" t="s">
        <v>92</v>
      </c>
      <c r="M1515" s="4"/>
      <c r="N1515" s="4"/>
      <c r="O1515" s="4"/>
      <c r="P1515" s="4"/>
      <c r="Q1515" s="4"/>
      <c r="R1515" s="4"/>
      <c r="S1515" s="13" t="n">
        <v>0</v>
      </c>
      <c r="T1515" s="4" t="s">
        <v>173</v>
      </c>
      <c r="U1515" s="14" t="n">
        <f aca="false">IF(OR($S1515="",PARAMETROS!$B$4=""),"",$S1515*PARAMETROS!$B$4)</f>
        <v>0</v>
      </c>
      <c r="V1515" s="13" t="n">
        <v>0</v>
      </c>
      <c r="W1515" s="4"/>
      <c r="X1515" s="4"/>
      <c r="Y1515" s="4"/>
      <c r="Z1515" s="4"/>
      <c r="AA1515" s="4"/>
      <c r="AB1515" s="4"/>
      <c r="AC1515" s="4"/>
      <c r="AD1515" s="4"/>
      <c r="AE1515" s="4"/>
      <c r="AF1515" s="4"/>
      <c r="AG1515" s="4"/>
      <c r="AH1515" s="4"/>
      <c r="AI1515" s="4"/>
      <c r="AJ1515" s="4"/>
      <c r="AK1515" s="4"/>
      <c r="AL1515" s="4" t="s">
        <v>1692</v>
      </c>
      <c r="AM1515" s="4" t="s">
        <v>1693</v>
      </c>
    </row>
    <row r="1516" customFormat="false" ht="23.85" hidden="false" customHeight="false" outlineLevel="0" collapsed="false">
      <c r="A1516" s="4" t="s">
        <v>167</v>
      </c>
      <c r="B1516" s="4" t="s">
        <v>1695</v>
      </c>
      <c r="C1516" s="4" t="s">
        <v>1695</v>
      </c>
      <c r="D1516" s="12" t="n">
        <v>2024</v>
      </c>
      <c r="E1516" s="4"/>
      <c r="F1516" s="4" t="s">
        <v>169</v>
      </c>
      <c r="G1516" s="4" t="s">
        <v>170</v>
      </c>
      <c r="H1516" s="4" t="s">
        <v>171</v>
      </c>
      <c r="I1516" s="4" t="s">
        <v>172</v>
      </c>
      <c r="J1516" s="4" t="s">
        <v>1695</v>
      </c>
      <c r="K1516" s="4" t="s">
        <v>91</v>
      </c>
      <c r="L1516" s="4" t="s">
        <v>92</v>
      </c>
      <c r="M1516" s="4"/>
      <c r="N1516" s="4"/>
      <c r="O1516" s="4"/>
      <c r="P1516" s="4"/>
      <c r="Q1516" s="4"/>
      <c r="R1516" s="4"/>
      <c r="S1516" s="13" t="n">
        <v>0</v>
      </c>
      <c r="T1516" s="4" t="s">
        <v>173</v>
      </c>
      <c r="U1516" s="14" t="n">
        <f aca="false">IF(OR($S1516="",PARAMETROS!$B$4=""),"",$S1516*PARAMETROS!$B$4)</f>
        <v>0</v>
      </c>
      <c r="V1516" s="13" t="n">
        <v>0</v>
      </c>
      <c r="W1516" s="4"/>
      <c r="X1516" s="4"/>
      <c r="Y1516" s="4"/>
      <c r="Z1516" s="4"/>
      <c r="AA1516" s="4"/>
      <c r="AB1516" s="4"/>
      <c r="AC1516" s="4"/>
      <c r="AD1516" s="4"/>
      <c r="AE1516" s="4"/>
      <c r="AF1516" s="4"/>
      <c r="AG1516" s="4"/>
      <c r="AH1516" s="4"/>
      <c r="AI1516" s="4"/>
      <c r="AJ1516" s="4"/>
      <c r="AK1516" s="4"/>
      <c r="AL1516" s="4" t="s">
        <v>1692</v>
      </c>
      <c r="AM1516" s="4" t="s">
        <v>1693</v>
      </c>
    </row>
    <row r="1517" customFormat="false" ht="23.85" hidden="false" customHeight="false" outlineLevel="0" collapsed="false">
      <c r="A1517" s="4" t="s">
        <v>167</v>
      </c>
      <c r="B1517" s="4" t="s">
        <v>1696</v>
      </c>
      <c r="C1517" s="4" t="s">
        <v>1696</v>
      </c>
      <c r="D1517" s="12" t="n">
        <v>2024</v>
      </c>
      <c r="E1517" s="4"/>
      <c r="F1517" s="4" t="s">
        <v>169</v>
      </c>
      <c r="G1517" s="4" t="s">
        <v>170</v>
      </c>
      <c r="H1517" s="4" t="s">
        <v>171</v>
      </c>
      <c r="I1517" s="4" t="s">
        <v>172</v>
      </c>
      <c r="J1517" s="4" t="s">
        <v>1696</v>
      </c>
      <c r="K1517" s="4" t="s">
        <v>91</v>
      </c>
      <c r="L1517" s="4" t="s">
        <v>92</v>
      </c>
      <c r="M1517" s="4"/>
      <c r="N1517" s="4"/>
      <c r="O1517" s="4"/>
      <c r="P1517" s="4"/>
      <c r="Q1517" s="4"/>
      <c r="R1517" s="4"/>
      <c r="S1517" s="13" t="n">
        <v>0</v>
      </c>
      <c r="T1517" s="4" t="s">
        <v>173</v>
      </c>
      <c r="U1517" s="14" t="n">
        <f aca="false">IF(OR($S1517="",PARAMETROS!$B$4=""),"",$S1517*PARAMETROS!$B$4)</f>
        <v>0</v>
      </c>
      <c r="V1517" s="13" t="n">
        <v>0</v>
      </c>
      <c r="W1517" s="4"/>
      <c r="X1517" s="4"/>
      <c r="Y1517" s="4"/>
      <c r="Z1517" s="4"/>
      <c r="AA1517" s="4"/>
      <c r="AB1517" s="4"/>
      <c r="AC1517" s="4"/>
      <c r="AD1517" s="4"/>
      <c r="AE1517" s="4"/>
      <c r="AF1517" s="4"/>
      <c r="AG1517" s="4"/>
      <c r="AH1517" s="4"/>
      <c r="AI1517" s="4"/>
      <c r="AJ1517" s="4"/>
      <c r="AK1517" s="4"/>
      <c r="AL1517" s="4" t="s">
        <v>1692</v>
      </c>
      <c r="AM1517" s="4" t="s">
        <v>1693</v>
      </c>
    </row>
    <row r="1518" customFormat="false" ht="23.85" hidden="false" customHeight="false" outlineLevel="0" collapsed="false">
      <c r="A1518" s="4" t="s">
        <v>167</v>
      </c>
      <c r="B1518" s="4" t="s">
        <v>1697</v>
      </c>
      <c r="C1518" s="4" t="s">
        <v>1697</v>
      </c>
      <c r="D1518" s="12" t="n">
        <v>2024</v>
      </c>
      <c r="E1518" s="4"/>
      <c r="F1518" s="4" t="s">
        <v>169</v>
      </c>
      <c r="G1518" s="4" t="s">
        <v>170</v>
      </c>
      <c r="H1518" s="4" t="s">
        <v>171</v>
      </c>
      <c r="I1518" s="4" t="s">
        <v>172</v>
      </c>
      <c r="J1518" s="4" t="s">
        <v>1697</v>
      </c>
      <c r="K1518" s="4" t="s">
        <v>91</v>
      </c>
      <c r="L1518" s="4" t="s">
        <v>92</v>
      </c>
      <c r="M1518" s="4"/>
      <c r="N1518" s="4"/>
      <c r="O1518" s="4"/>
      <c r="P1518" s="4"/>
      <c r="Q1518" s="4"/>
      <c r="R1518" s="4"/>
      <c r="S1518" s="13" t="n">
        <v>0</v>
      </c>
      <c r="T1518" s="4" t="s">
        <v>173</v>
      </c>
      <c r="U1518" s="14" t="n">
        <f aca="false">IF(OR($S1518="",PARAMETROS!$B$4=""),"",$S1518*PARAMETROS!$B$4)</f>
        <v>0</v>
      </c>
      <c r="V1518" s="13" t="n">
        <v>0</v>
      </c>
      <c r="W1518" s="4"/>
      <c r="X1518" s="4"/>
      <c r="Y1518" s="4"/>
      <c r="Z1518" s="4"/>
      <c r="AA1518" s="4"/>
      <c r="AB1518" s="4"/>
      <c r="AC1518" s="4"/>
      <c r="AD1518" s="4"/>
      <c r="AE1518" s="4"/>
      <c r="AF1518" s="4"/>
      <c r="AG1518" s="4"/>
      <c r="AH1518" s="4"/>
      <c r="AI1518" s="4"/>
      <c r="AJ1518" s="4"/>
      <c r="AK1518" s="4"/>
      <c r="AL1518" s="4" t="s">
        <v>1692</v>
      </c>
      <c r="AM1518" s="4" t="s">
        <v>1698</v>
      </c>
    </row>
    <row r="1519" customFormat="false" ht="23.85" hidden="false" customHeight="false" outlineLevel="0" collapsed="false">
      <c r="A1519" s="4" t="s">
        <v>167</v>
      </c>
      <c r="B1519" s="4" t="s">
        <v>1699</v>
      </c>
      <c r="C1519" s="4" t="s">
        <v>1699</v>
      </c>
      <c r="D1519" s="12" t="n">
        <v>2024</v>
      </c>
      <c r="E1519" s="4"/>
      <c r="F1519" s="4" t="s">
        <v>169</v>
      </c>
      <c r="G1519" s="4" t="s">
        <v>170</v>
      </c>
      <c r="H1519" s="4" t="s">
        <v>171</v>
      </c>
      <c r="I1519" s="4" t="s">
        <v>172</v>
      </c>
      <c r="J1519" s="4" t="s">
        <v>1699</v>
      </c>
      <c r="K1519" s="4" t="s">
        <v>91</v>
      </c>
      <c r="L1519" s="4" t="s">
        <v>92</v>
      </c>
      <c r="M1519" s="4"/>
      <c r="N1519" s="4"/>
      <c r="O1519" s="4"/>
      <c r="P1519" s="4"/>
      <c r="Q1519" s="4"/>
      <c r="R1519" s="4"/>
      <c r="S1519" s="13" t="n">
        <v>-8568.16</v>
      </c>
      <c r="T1519" s="4" t="s">
        <v>173</v>
      </c>
      <c r="U1519" s="14" t="n">
        <f aca="false">IF(OR($S1519="",PARAMETROS!$B$4=""),"",$S1519*PARAMETROS!$B$4)</f>
        <v>-49781.0096</v>
      </c>
      <c r="V1519" s="13" t="n">
        <v>0</v>
      </c>
      <c r="W1519" s="4"/>
      <c r="X1519" s="4"/>
      <c r="Y1519" s="4"/>
      <c r="Z1519" s="4"/>
      <c r="AA1519" s="4"/>
      <c r="AB1519" s="4"/>
      <c r="AC1519" s="4"/>
      <c r="AD1519" s="4"/>
      <c r="AE1519" s="4"/>
      <c r="AF1519" s="4"/>
      <c r="AG1519" s="4"/>
      <c r="AH1519" s="4"/>
      <c r="AI1519" s="4"/>
      <c r="AJ1519" s="4"/>
      <c r="AK1519" s="4"/>
      <c r="AL1519" s="4" t="s">
        <v>1692</v>
      </c>
      <c r="AM1519" s="4" t="s">
        <v>1700</v>
      </c>
    </row>
    <row r="1520" customFormat="false" ht="23.85" hidden="false" customHeight="false" outlineLevel="0" collapsed="false">
      <c r="A1520" s="4" t="s">
        <v>167</v>
      </c>
      <c r="B1520" s="4" t="s">
        <v>1701</v>
      </c>
      <c r="C1520" s="4" t="s">
        <v>1701</v>
      </c>
      <c r="D1520" s="12" t="n">
        <v>2024</v>
      </c>
      <c r="E1520" s="4"/>
      <c r="F1520" s="4" t="s">
        <v>169</v>
      </c>
      <c r="G1520" s="4" t="s">
        <v>170</v>
      </c>
      <c r="H1520" s="4" t="s">
        <v>171</v>
      </c>
      <c r="I1520" s="4" t="s">
        <v>172</v>
      </c>
      <c r="J1520" s="4" t="s">
        <v>1701</v>
      </c>
      <c r="K1520" s="4" t="s">
        <v>91</v>
      </c>
      <c r="L1520" s="4" t="s">
        <v>92</v>
      </c>
      <c r="M1520" s="4"/>
      <c r="N1520" s="4"/>
      <c r="O1520" s="4"/>
      <c r="P1520" s="4"/>
      <c r="Q1520" s="4"/>
      <c r="R1520" s="4"/>
      <c r="S1520" s="13" t="n">
        <v>-4708.74</v>
      </c>
      <c r="T1520" s="4" t="s">
        <v>173</v>
      </c>
      <c r="U1520" s="14" t="n">
        <f aca="false">IF(OR($S1520="",PARAMETROS!$B$4=""),"",$S1520*PARAMETROS!$B$4)</f>
        <v>-27357.7794</v>
      </c>
      <c r="V1520" s="13" t="n">
        <v>0</v>
      </c>
      <c r="W1520" s="4"/>
      <c r="X1520" s="4"/>
      <c r="Y1520" s="4"/>
      <c r="Z1520" s="4"/>
      <c r="AA1520" s="4"/>
      <c r="AB1520" s="4"/>
      <c r="AC1520" s="4"/>
      <c r="AD1520" s="4"/>
      <c r="AE1520" s="4"/>
      <c r="AF1520" s="4"/>
      <c r="AG1520" s="4"/>
      <c r="AH1520" s="4"/>
      <c r="AI1520" s="4"/>
      <c r="AJ1520" s="4"/>
      <c r="AK1520" s="4"/>
      <c r="AL1520" s="4" t="s">
        <v>1692</v>
      </c>
      <c r="AM1520" s="4" t="s">
        <v>1702</v>
      </c>
    </row>
    <row r="1521" customFormat="false" ht="23.85" hidden="false" customHeight="false" outlineLevel="0" collapsed="false">
      <c r="A1521" s="4" t="s">
        <v>167</v>
      </c>
      <c r="B1521" s="4" t="s">
        <v>1703</v>
      </c>
      <c r="C1521" s="4" t="s">
        <v>1703</v>
      </c>
      <c r="D1521" s="12" t="n">
        <v>2024</v>
      </c>
      <c r="E1521" s="4"/>
      <c r="F1521" s="4" t="s">
        <v>169</v>
      </c>
      <c r="G1521" s="4" t="s">
        <v>170</v>
      </c>
      <c r="H1521" s="4" t="s">
        <v>171</v>
      </c>
      <c r="I1521" s="4" t="s">
        <v>172</v>
      </c>
      <c r="J1521" s="4" t="s">
        <v>1703</v>
      </c>
      <c r="K1521" s="4" t="s">
        <v>91</v>
      </c>
      <c r="L1521" s="4" t="s">
        <v>92</v>
      </c>
      <c r="M1521" s="4"/>
      <c r="N1521" s="4"/>
      <c r="O1521" s="4"/>
      <c r="P1521" s="4"/>
      <c r="Q1521" s="4"/>
      <c r="R1521" s="4"/>
      <c r="S1521" s="13" t="n">
        <v>0</v>
      </c>
      <c r="T1521" s="4" t="s">
        <v>173</v>
      </c>
      <c r="U1521" s="14" t="n">
        <f aca="false">IF(OR($S1521="",PARAMETROS!$B$4=""),"",$S1521*PARAMETROS!$B$4)</f>
        <v>0</v>
      </c>
      <c r="V1521" s="13" t="n">
        <v>0</v>
      </c>
      <c r="W1521" s="4"/>
      <c r="X1521" s="4"/>
      <c r="Y1521" s="4"/>
      <c r="Z1521" s="4"/>
      <c r="AA1521" s="4"/>
      <c r="AB1521" s="4"/>
      <c r="AC1521" s="4"/>
      <c r="AD1521" s="4"/>
      <c r="AE1521" s="4"/>
      <c r="AF1521" s="4"/>
      <c r="AG1521" s="4"/>
      <c r="AH1521" s="4"/>
      <c r="AI1521" s="4"/>
      <c r="AJ1521" s="4"/>
      <c r="AK1521" s="4"/>
      <c r="AL1521" s="4" t="s">
        <v>1692</v>
      </c>
      <c r="AM1521" s="4" t="s">
        <v>1704</v>
      </c>
    </row>
    <row r="1522" customFormat="false" ht="23.85" hidden="false" customHeight="false" outlineLevel="0" collapsed="false">
      <c r="A1522" s="4" t="s">
        <v>167</v>
      </c>
      <c r="B1522" s="4" t="s">
        <v>1705</v>
      </c>
      <c r="C1522" s="4" t="s">
        <v>1705</v>
      </c>
      <c r="D1522" s="12" t="n">
        <v>2024</v>
      </c>
      <c r="E1522" s="4"/>
      <c r="F1522" s="4" t="s">
        <v>169</v>
      </c>
      <c r="G1522" s="4" t="s">
        <v>170</v>
      </c>
      <c r="H1522" s="4" t="s">
        <v>171</v>
      </c>
      <c r="I1522" s="4" t="s">
        <v>172</v>
      </c>
      <c r="J1522" s="4" t="s">
        <v>1705</v>
      </c>
      <c r="K1522" s="4" t="s">
        <v>91</v>
      </c>
      <c r="L1522" s="4" t="s">
        <v>92</v>
      </c>
      <c r="M1522" s="4"/>
      <c r="N1522" s="4"/>
      <c r="O1522" s="4"/>
      <c r="P1522" s="4"/>
      <c r="Q1522" s="4"/>
      <c r="R1522" s="4"/>
      <c r="S1522" s="13" t="n">
        <v>0</v>
      </c>
      <c r="T1522" s="4" t="s">
        <v>173</v>
      </c>
      <c r="U1522" s="14" t="n">
        <f aca="false">IF(OR($S1522="",PARAMETROS!$B$4=""),"",$S1522*PARAMETROS!$B$4)</f>
        <v>0</v>
      </c>
      <c r="V1522" s="13" t="n">
        <v>0</v>
      </c>
      <c r="W1522" s="4"/>
      <c r="X1522" s="4"/>
      <c r="Y1522" s="4"/>
      <c r="Z1522" s="4"/>
      <c r="AA1522" s="4"/>
      <c r="AB1522" s="4"/>
      <c r="AC1522" s="4"/>
      <c r="AD1522" s="4"/>
      <c r="AE1522" s="4"/>
      <c r="AF1522" s="4"/>
      <c r="AG1522" s="4"/>
      <c r="AH1522" s="4"/>
      <c r="AI1522" s="4"/>
      <c r="AJ1522" s="4"/>
      <c r="AK1522" s="4"/>
      <c r="AL1522" s="4" t="s">
        <v>1692</v>
      </c>
      <c r="AM1522" s="4" t="s">
        <v>1693</v>
      </c>
    </row>
    <row r="1523" customFormat="false" ht="23.85" hidden="false" customHeight="false" outlineLevel="0" collapsed="false">
      <c r="A1523" s="4" t="s">
        <v>167</v>
      </c>
      <c r="B1523" s="4" t="s">
        <v>1706</v>
      </c>
      <c r="C1523" s="4" t="s">
        <v>1706</v>
      </c>
      <c r="D1523" s="12" t="n">
        <v>2024</v>
      </c>
      <c r="E1523" s="4"/>
      <c r="F1523" s="4" t="s">
        <v>169</v>
      </c>
      <c r="G1523" s="4" t="s">
        <v>170</v>
      </c>
      <c r="H1523" s="4" t="s">
        <v>171</v>
      </c>
      <c r="I1523" s="4" t="s">
        <v>172</v>
      </c>
      <c r="J1523" s="4" t="s">
        <v>1706</v>
      </c>
      <c r="K1523" s="4" t="s">
        <v>91</v>
      </c>
      <c r="L1523" s="4" t="s">
        <v>92</v>
      </c>
      <c r="M1523" s="4"/>
      <c r="N1523" s="4"/>
      <c r="O1523" s="4"/>
      <c r="P1523" s="4"/>
      <c r="Q1523" s="4"/>
      <c r="R1523" s="4"/>
      <c r="S1523" s="13" t="n">
        <v>0</v>
      </c>
      <c r="T1523" s="4" t="s">
        <v>173</v>
      </c>
      <c r="U1523" s="14" t="n">
        <f aca="false">IF(OR($S1523="",PARAMETROS!$B$4=""),"",$S1523*PARAMETROS!$B$4)</f>
        <v>0</v>
      </c>
      <c r="V1523" s="13" t="n">
        <v>0</v>
      </c>
      <c r="W1523" s="4"/>
      <c r="X1523" s="4"/>
      <c r="Y1523" s="4"/>
      <c r="Z1523" s="4"/>
      <c r="AA1523" s="4"/>
      <c r="AB1523" s="4"/>
      <c r="AC1523" s="4"/>
      <c r="AD1523" s="4"/>
      <c r="AE1523" s="4"/>
      <c r="AF1523" s="4"/>
      <c r="AG1523" s="4"/>
      <c r="AH1523" s="4"/>
      <c r="AI1523" s="4"/>
      <c r="AJ1523" s="4"/>
      <c r="AK1523" s="4"/>
      <c r="AL1523" s="4" t="s">
        <v>1692</v>
      </c>
      <c r="AM1523" s="4" t="s">
        <v>1707</v>
      </c>
    </row>
    <row r="1524" customFormat="false" ht="23.85" hidden="false" customHeight="false" outlineLevel="0" collapsed="false">
      <c r="A1524" s="4" t="s">
        <v>167</v>
      </c>
      <c r="B1524" s="4" t="s">
        <v>1708</v>
      </c>
      <c r="C1524" s="4" t="s">
        <v>1708</v>
      </c>
      <c r="D1524" s="12" t="n">
        <v>2024</v>
      </c>
      <c r="E1524" s="4"/>
      <c r="F1524" s="4" t="s">
        <v>169</v>
      </c>
      <c r="G1524" s="4" t="s">
        <v>170</v>
      </c>
      <c r="H1524" s="4" t="s">
        <v>171</v>
      </c>
      <c r="I1524" s="4" t="s">
        <v>172</v>
      </c>
      <c r="J1524" s="4" t="s">
        <v>1708</v>
      </c>
      <c r="K1524" s="4" t="s">
        <v>91</v>
      </c>
      <c r="L1524" s="4" t="s">
        <v>92</v>
      </c>
      <c r="M1524" s="4"/>
      <c r="N1524" s="4"/>
      <c r="O1524" s="4"/>
      <c r="P1524" s="4"/>
      <c r="Q1524" s="4"/>
      <c r="R1524" s="4"/>
      <c r="S1524" s="13" t="n">
        <v>0</v>
      </c>
      <c r="T1524" s="4" t="s">
        <v>173</v>
      </c>
      <c r="U1524" s="14" t="n">
        <f aca="false">IF(OR($S1524="",PARAMETROS!$B$4=""),"",$S1524*PARAMETROS!$B$4)</f>
        <v>0</v>
      </c>
      <c r="V1524" s="13" t="n">
        <v>0</v>
      </c>
      <c r="W1524" s="4"/>
      <c r="X1524" s="4"/>
      <c r="Y1524" s="4"/>
      <c r="Z1524" s="4"/>
      <c r="AA1524" s="4"/>
      <c r="AB1524" s="4"/>
      <c r="AC1524" s="4"/>
      <c r="AD1524" s="4"/>
      <c r="AE1524" s="4"/>
      <c r="AF1524" s="4"/>
      <c r="AG1524" s="4"/>
      <c r="AH1524" s="4"/>
      <c r="AI1524" s="4"/>
      <c r="AJ1524" s="4"/>
      <c r="AK1524" s="4"/>
      <c r="AL1524" s="4" t="s">
        <v>1692</v>
      </c>
      <c r="AM1524" s="4" t="s">
        <v>1709</v>
      </c>
    </row>
    <row r="1525" customFormat="false" ht="23.85" hidden="false" customHeight="false" outlineLevel="0" collapsed="false">
      <c r="A1525" s="4" t="s">
        <v>167</v>
      </c>
      <c r="B1525" s="4" t="s">
        <v>1710</v>
      </c>
      <c r="C1525" s="4" t="s">
        <v>1710</v>
      </c>
      <c r="D1525" s="12" t="n">
        <v>2024</v>
      </c>
      <c r="E1525" s="4"/>
      <c r="F1525" s="4" t="s">
        <v>169</v>
      </c>
      <c r="G1525" s="4" t="s">
        <v>170</v>
      </c>
      <c r="H1525" s="4" t="s">
        <v>171</v>
      </c>
      <c r="I1525" s="4" t="s">
        <v>172</v>
      </c>
      <c r="J1525" s="4" t="s">
        <v>1710</v>
      </c>
      <c r="K1525" s="4" t="s">
        <v>91</v>
      </c>
      <c r="L1525" s="4" t="s">
        <v>92</v>
      </c>
      <c r="M1525" s="4"/>
      <c r="N1525" s="4"/>
      <c r="O1525" s="4"/>
      <c r="P1525" s="4"/>
      <c r="Q1525" s="4"/>
      <c r="R1525" s="4"/>
      <c r="S1525" s="13" t="n">
        <v>0</v>
      </c>
      <c r="T1525" s="4" t="s">
        <v>173</v>
      </c>
      <c r="U1525" s="14" t="n">
        <f aca="false">IF(OR($S1525="",PARAMETROS!$B$4=""),"",$S1525*PARAMETROS!$B$4)</f>
        <v>0</v>
      </c>
      <c r="V1525" s="13" t="n">
        <v>0</v>
      </c>
      <c r="W1525" s="4"/>
      <c r="X1525" s="4"/>
      <c r="Y1525" s="4"/>
      <c r="Z1525" s="4"/>
      <c r="AA1525" s="4"/>
      <c r="AB1525" s="4"/>
      <c r="AC1525" s="4"/>
      <c r="AD1525" s="4"/>
      <c r="AE1525" s="4"/>
      <c r="AF1525" s="4"/>
      <c r="AG1525" s="4"/>
      <c r="AH1525" s="4"/>
      <c r="AI1525" s="4"/>
      <c r="AJ1525" s="4"/>
      <c r="AK1525" s="4"/>
      <c r="AL1525" s="4" t="s">
        <v>1692</v>
      </c>
      <c r="AM1525" s="4" t="s">
        <v>1711</v>
      </c>
    </row>
    <row r="1526" customFormat="false" ht="23.85" hidden="false" customHeight="false" outlineLevel="0" collapsed="false">
      <c r="A1526" s="4" t="s">
        <v>167</v>
      </c>
      <c r="B1526" s="4" t="s">
        <v>1712</v>
      </c>
      <c r="C1526" s="4" t="s">
        <v>1712</v>
      </c>
      <c r="D1526" s="12" t="n">
        <v>2024</v>
      </c>
      <c r="E1526" s="4"/>
      <c r="F1526" s="4" t="s">
        <v>169</v>
      </c>
      <c r="G1526" s="4" t="s">
        <v>170</v>
      </c>
      <c r="H1526" s="4" t="s">
        <v>171</v>
      </c>
      <c r="I1526" s="4" t="s">
        <v>172</v>
      </c>
      <c r="J1526" s="4" t="s">
        <v>1712</v>
      </c>
      <c r="K1526" s="4" t="s">
        <v>91</v>
      </c>
      <c r="L1526" s="4" t="s">
        <v>92</v>
      </c>
      <c r="M1526" s="4"/>
      <c r="N1526" s="4"/>
      <c r="O1526" s="4"/>
      <c r="P1526" s="4"/>
      <c r="Q1526" s="4"/>
      <c r="R1526" s="4"/>
      <c r="S1526" s="13" t="n">
        <v>0</v>
      </c>
      <c r="T1526" s="4" t="s">
        <v>173</v>
      </c>
      <c r="U1526" s="14" t="n">
        <f aca="false">IF(OR($S1526="",PARAMETROS!$B$4=""),"",$S1526*PARAMETROS!$B$4)</f>
        <v>0</v>
      </c>
      <c r="V1526" s="13" t="n">
        <v>0</v>
      </c>
      <c r="W1526" s="4"/>
      <c r="X1526" s="4"/>
      <c r="Y1526" s="4"/>
      <c r="Z1526" s="4"/>
      <c r="AA1526" s="4"/>
      <c r="AB1526" s="4"/>
      <c r="AC1526" s="4"/>
      <c r="AD1526" s="4"/>
      <c r="AE1526" s="4"/>
      <c r="AF1526" s="4"/>
      <c r="AG1526" s="4"/>
      <c r="AH1526" s="4"/>
      <c r="AI1526" s="4"/>
      <c r="AJ1526" s="4"/>
      <c r="AK1526" s="4"/>
      <c r="AL1526" s="4" t="s">
        <v>1692</v>
      </c>
      <c r="AM1526" s="4" t="s">
        <v>1693</v>
      </c>
    </row>
    <row r="1527" customFormat="false" ht="23.85" hidden="false" customHeight="false" outlineLevel="0" collapsed="false">
      <c r="A1527" s="4" t="s">
        <v>167</v>
      </c>
      <c r="B1527" s="4" t="s">
        <v>1713</v>
      </c>
      <c r="C1527" s="4" t="s">
        <v>1713</v>
      </c>
      <c r="D1527" s="12" t="n">
        <v>2024</v>
      </c>
      <c r="E1527" s="4"/>
      <c r="F1527" s="4" t="s">
        <v>169</v>
      </c>
      <c r="G1527" s="4" t="s">
        <v>170</v>
      </c>
      <c r="H1527" s="4" t="s">
        <v>171</v>
      </c>
      <c r="I1527" s="4" t="s">
        <v>172</v>
      </c>
      <c r="J1527" s="4" t="s">
        <v>1713</v>
      </c>
      <c r="K1527" s="4" t="s">
        <v>91</v>
      </c>
      <c r="L1527" s="4" t="s">
        <v>92</v>
      </c>
      <c r="M1527" s="4"/>
      <c r="N1527" s="4"/>
      <c r="O1527" s="4"/>
      <c r="P1527" s="4"/>
      <c r="Q1527" s="4"/>
      <c r="R1527" s="4"/>
      <c r="S1527" s="13" t="n">
        <v>0</v>
      </c>
      <c r="T1527" s="4" t="s">
        <v>173</v>
      </c>
      <c r="U1527" s="14" t="n">
        <f aca="false">IF(OR($S1527="",PARAMETROS!$B$4=""),"",$S1527*PARAMETROS!$B$4)</f>
        <v>0</v>
      </c>
      <c r="V1527" s="13" t="n">
        <v>0</v>
      </c>
      <c r="W1527" s="4"/>
      <c r="X1527" s="4"/>
      <c r="Y1527" s="4"/>
      <c r="Z1527" s="4"/>
      <c r="AA1527" s="4"/>
      <c r="AB1527" s="4"/>
      <c r="AC1527" s="4"/>
      <c r="AD1527" s="4"/>
      <c r="AE1527" s="4"/>
      <c r="AF1527" s="4"/>
      <c r="AG1527" s="4"/>
      <c r="AH1527" s="4"/>
      <c r="AI1527" s="4"/>
      <c r="AJ1527" s="4"/>
      <c r="AK1527" s="4"/>
      <c r="AL1527" s="4" t="s">
        <v>1692</v>
      </c>
      <c r="AM1527" s="4" t="s">
        <v>1714</v>
      </c>
    </row>
    <row r="1528" customFormat="false" ht="23.85" hidden="false" customHeight="false" outlineLevel="0" collapsed="false">
      <c r="A1528" s="4" t="s">
        <v>167</v>
      </c>
      <c r="B1528" s="4" t="s">
        <v>1715</v>
      </c>
      <c r="C1528" s="4" t="s">
        <v>1715</v>
      </c>
      <c r="D1528" s="12" t="n">
        <v>2024</v>
      </c>
      <c r="E1528" s="4"/>
      <c r="F1528" s="4" t="s">
        <v>169</v>
      </c>
      <c r="G1528" s="4" t="s">
        <v>170</v>
      </c>
      <c r="H1528" s="4" t="s">
        <v>171</v>
      </c>
      <c r="I1528" s="4" t="s">
        <v>172</v>
      </c>
      <c r="J1528" s="4" t="s">
        <v>1715</v>
      </c>
      <c r="K1528" s="4" t="s">
        <v>93</v>
      </c>
      <c r="L1528" s="4" t="s">
        <v>94</v>
      </c>
      <c r="M1528" s="4"/>
      <c r="N1528" s="4"/>
      <c r="O1528" s="4"/>
      <c r="P1528" s="4"/>
      <c r="Q1528" s="4"/>
      <c r="R1528" s="4"/>
      <c r="S1528" s="13" t="n">
        <v>61.26</v>
      </c>
      <c r="T1528" s="4" t="s">
        <v>173</v>
      </c>
      <c r="U1528" s="14" t="n">
        <f aca="false">IF(OR($S1528="",PARAMETROS!$B$4=""),"",$S1528*PARAMETROS!$B$4)</f>
        <v>355.9206</v>
      </c>
      <c r="V1528" s="13" t="n">
        <v>0</v>
      </c>
      <c r="W1528" s="4"/>
      <c r="X1528" s="4"/>
      <c r="Y1528" s="4"/>
      <c r="Z1528" s="4"/>
      <c r="AA1528" s="4"/>
      <c r="AB1528" s="4"/>
      <c r="AC1528" s="4"/>
      <c r="AD1528" s="4"/>
      <c r="AE1528" s="4"/>
      <c r="AF1528" s="4"/>
      <c r="AG1528" s="4"/>
      <c r="AH1528" s="4"/>
      <c r="AI1528" s="4"/>
      <c r="AJ1528" s="4"/>
      <c r="AK1528" s="4"/>
      <c r="AL1528" s="4" t="s">
        <v>1692</v>
      </c>
      <c r="AM1528" s="4" t="s">
        <v>1716</v>
      </c>
    </row>
    <row r="1529" customFormat="false" ht="23.85" hidden="false" customHeight="false" outlineLevel="0" collapsed="false">
      <c r="A1529" s="4" t="s">
        <v>167</v>
      </c>
      <c r="B1529" s="4" t="s">
        <v>1717</v>
      </c>
      <c r="C1529" s="4" t="s">
        <v>1717</v>
      </c>
      <c r="D1529" s="12" t="n">
        <v>2024</v>
      </c>
      <c r="E1529" s="4"/>
      <c r="F1529" s="4" t="s">
        <v>169</v>
      </c>
      <c r="G1529" s="4" t="s">
        <v>170</v>
      </c>
      <c r="H1529" s="4" t="s">
        <v>171</v>
      </c>
      <c r="I1529" s="4" t="s">
        <v>172</v>
      </c>
      <c r="J1529" s="4" t="s">
        <v>1717</v>
      </c>
      <c r="K1529" s="4" t="s">
        <v>93</v>
      </c>
      <c r="L1529" s="4" t="s">
        <v>94</v>
      </c>
      <c r="M1529" s="4"/>
      <c r="N1529" s="4"/>
      <c r="O1529" s="4"/>
      <c r="P1529" s="4"/>
      <c r="Q1529" s="4"/>
      <c r="R1529" s="4"/>
      <c r="S1529" s="13" t="n">
        <v>0</v>
      </c>
      <c r="T1529" s="4" t="s">
        <v>173</v>
      </c>
      <c r="U1529" s="14" t="n">
        <f aca="false">IF(OR($S1529="",PARAMETROS!$B$4=""),"",$S1529*PARAMETROS!$B$4)</f>
        <v>0</v>
      </c>
      <c r="V1529" s="13" t="n">
        <v>0</v>
      </c>
      <c r="W1529" s="4"/>
      <c r="X1529" s="4"/>
      <c r="Y1529" s="4"/>
      <c r="Z1529" s="4"/>
      <c r="AA1529" s="4"/>
      <c r="AB1529" s="4"/>
      <c r="AC1529" s="4"/>
      <c r="AD1529" s="4"/>
      <c r="AE1529" s="4"/>
      <c r="AF1529" s="4"/>
      <c r="AG1529" s="4"/>
      <c r="AH1529" s="4"/>
      <c r="AI1529" s="4"/>
      <c r="AJ1529" s="4"/>
      <c r="AK1529" s="4"/>
      <c r="AL1529" s="4" t="s">
        <v>1692</v>
      </c>
      <c r="AM1529" s="4" t="s">
        <v>1716</v>
      </c>
    </row>
    <row r="1530" customFormat="false" ht="23.85" hidden="false" customHeight="false" outlineLevel="0" collapsed="false">
      <c r="A1530" s="4" t="s">
        <v>167</v>
      </c>
      <c r="B1530" s="4" t="s">
        <v>1718</v>
      </c>
      <c r="C1530" s="4" t="s">
        <v>1718</v>
      </c>
      <c r="D1530" s="12" t="n">
        <v>2024</v>
      </c>
      <c r="E1530" s="4"/>
      <c r="F1530" s="4" t="s">
        <v>169</v>
      </c>
      <c r="G1530" s="4" t="s">
        <v>170</v>
      </c>
      <c r="H1530" s="4" t="s">
        <v>171</v>
      </c>
      <c r="I1530" s="4" t="s">
        <v>172</v>
      </c>
      <c r="J1530" s="4" t="s">
        <v>1718</v>
      </c>
      <c r="K1530" s="4" t="s">
        <v>93</v>
      </c>
      <c r="L1530" s="4" t="s">
        <v>94</v>
      </c>
      <c r="M1530" s="4"/>
      <c r="N1530" s="4"/>
      <c r="O1530" s="4"/>
      <c r="P1530" s="4"/>
      <c r="Q1530" s="4"/>
      <c r="R1530" s="4"/>
      <c r="S1530" s="13" t="n">
        <v>0</v>
      </c>
      <c r="T1530" s="4" t="s">
        <v>173</v>
      </c>
      <c r="U1530" s="14" t="n">
        <f aca="false">IF(OR($S1530="",PARAMETROS!$B$4=""),"",$S1530*PARAMETROS!$B$4)</f>
        <v>0</v>
      </c>
      <c r="V1530" s="13" t="n">
        <v>0</v>
      </c>
      <c r="W1530" s="4"/>
      <c r="X1530" s="4"/>
      <c r="Y1530" s="4"/>
      <c r="Z1530" s="4"/>
      <c r="AA1530" s="4"/>
      <c r="AB1530" s="4"/>
      <c r="AC1530" s="4"/>
      <c r="AD1530" s="4"/>
      <c r="AE1530" s="4"/>
      <c r="AF1530" s="4"/>
      <c r="AG1530" s="4"/>
      <c r="AH1530" s="4"/>
      <c r="AI1530" s="4"/>
      <c r="AJ1530" s="4"/>
      <c r="AK1530" s="4"/>
      <c r="AL1530" s="4" t="s">
        <v>1692</v>
      </c>
      <c r="AM1530" s="4" t="s">
        <v>1716</v>
      </c>
    </row>
    <row r="1531" customFormat="false" ht="23.85" hidden="false" customHeight="false" outlineLevel="0" collapsed="false">
      <c r="A1531" s="4" t="s">
        <v>167</v>
      </c>
      <c r="B1531" s="4" t="s">
        <v>1719</v>
      </c>
      <c r="C1531" s="4" t="s">
        <v>1719</v>
      </c>
      <c r="D1531" s="12" t="n">
        <v>2024</v>
      </c>
      <c r="E1531" s="4"/>
      <c r="F1531" s="4" t="s">
        <v>169</v>
      </c>
      <c r="G1531" s="4" t="s">
        <v>170</v>
      </c>
      <c r="H1531" s="4" t="s">
        <v>171</v>
      </c>
      <c r="I1531" s="4" t="s">
        <v>172</v>
      </c>
      <c r="J1531" s="4" t="s">
        <v>1719</v>
      </c>
      <c r="K1531" s="4" t="s">
        <v>93</v>
      </c>
      <c r="L1531" s="4" t="s">
        <v>94</v>
      </c>
      <c r="M1531" s="4"/>
      <c r="N1531" s="4"/>
      <c r="O1531" s="4"/>
      <c r="P1531" s="4"/>
      <c r="Q1531" s="4"/>
      <c r="R1531" s="4"/>
      <c r="S1531" s="13" t="n">
        <v>0</v>
      </c>
      <c r="T1531" s="4" t="s">
        <v>173</v>
      </c>
      <c r="U1531" s="14" t="n">
        <f aca="false">IF(OR($S1531="",PARAMETROS!$B$4=""),"",$S1531*PARAMETROS!$B$4)</f>
        <v>0</v>
      </c>
      <c r="V1531" s="13" t="n">
        <v>0</v>
      </c>
      <c r="W1531" s="4"/>
      <c r="X1531" s="4"/>
      <c r="Y1531" s="4"/>
      <c r="Z1531" s="4"/>
      <c r="AA1531" s="4"/>
      <c r="AB1531" s="4"/>
      <c r="AC1531" s="4"/>
      <c r="AD1531" s="4"/>
      <c r="AE1531" s="4"/>
      <c r="AF1531" s="4"/>
      <c r="AG1531" s="4"/>
      <c r="AH1531" s="4"/>
      <c r="AI1531" s="4"/>
      <c r="AJ1531" s="4"/>
      <c r="AK1531" s="4"/>
      <c r="AL1531" s="4" t="s">
        <v>1692</v>
      </c>
      <c r="AM1531" s="4" t="s">
        <v>1716</v>
      </c>
    </row>
    <row r="1532" customFormat="false" ht="23.85" hidden="false" customHeight="false" outlineLevel="0" collapsed="false">
      <c r="A1532" s="4" t="s">
        <v>167</v>
      </c>
      <c r="B1532" s="4" t="s">
        <v>1720</v>
      </c>
      <c r="C1532" s="4" t="s">
        <v>1720</v>
      </c>
      <c r="D1532" s="12" t="n">
        <v>2024</v>
      </c>
      <c r="E1532" s="4"/>
      <c r="F1532" s="4" t="s">
        <v>169</v>
      </c>
      <c r="G1532" s="4" t="s">
        <v>170</v>
      </c>
      <c r="H1532" s="4" t="s">
        <v>171</v>
      </c>
      <c r="I1532" s="4" t="s">
        <v>172</v>
      </c>
      <c r="J1532" s="4" t="s">
        <v>1720</v>
      </c>
      <c r="K1532" s="4" t="s">
        <v>93</v>
      </c>
      <c r="L1532" s="4" t="s">
        <v>94</v>
      </c>
      <c r="M1532" s="4"/>
      <c r="N1532" s="4"/>
      <c r="O1532" s="4"/>
      <c r="P1532" s="4"/>
      <c r="Q1532" s="4"/>
      <c r="R1532" s="4"/>
      <c r="S1532" s="13" t="n">
        <v>0</v>
      </c>
      <c r="T1532" s="4" t="s">
        <v>173</v>
      </c>
      <c r="U1532" s="14" t="n">
        <f aca="false">IF(OR($S1532="",PARAMETROS!$B$4=""),"",$S1532*PARAMETROS!$B$4)</f>
        <v>0</v>
      </c>
      <c r="V1532" s="13" t="n">
        <v>0</v>
      </c>
      <c r="W1532" s="4"/>
      <c r="X1532" s="4"/>
      <c r="Y1532" s="4"/>
      <c r="Z1532" s="4"/>
      <c r="AA1532" s="4"/>
      <c r="AB1532" s="4"/>
      <c r="AC1532" s="4"/>
      <c r="AD1532" s="4"/>
      <c r="AE1532" s="4"/>
      <c r="AF1532" s="4"/>
      <c r="AG1532" s="4"/>
      <c r="AH1532" s="4"/>
      <c r="AI1532" s="4"/>
      <c r="AJ1532" s="4"/>
      <c r="AK1532" s="4"/>
      <c r="AL1532" s="4" t="s">
        <v>1692</v>
      </c>
      <c r="AM1532" s="4" t="s">
        <v>1698</v>
      </c>
    </row>
    <row r="1533" customFormat="false" ht="23.85" hidden="false" customHeight="false" outlineLevel="0" collapsed="false">
      <c r="A1533" s="4" t="s">
        <v>167</v>
      </c>
      <c r="B1533" s="4" t="s">
        <v>1721</v>
      </c>
      <c r="C1533" s="4" t="s">
        <v>1721</v>
      </c>
      <c r="D1533" s="12" t="n">
        <v>2024</v>
      </c>
      <c r="E1533" s="4"/>
      <c r="F1533" s="4" t="s">
        <v>169</v>
      </c>
      <c r="G1533" s="4" t="s">
        <v>170</v>
      </c>
      <c r="H1533" s="4" t="s">
        <v>171</v>
      </c>
      <c r="I1533" s="4" t="s">
        <v>172</v>
      </c>
      <c r="J1533" s="4" t="s">
        <v>1721</v>
      </c>
      <c r="K1533" s="4" t="s">
        <v>93</v>
      </c>
      <c r="L1533" s="4" t="s">
        <v>94</v>
      </c>
      <c r="M1533" s="4"/>
      <c r="N1533" s="4"/>
      <c r="O1533" s="4"/>
      <c r="P1533" s="4"/>
      <c r="Q1533" s="4"/>
      <c r="R1533" s="4"/>
      <c r="S1533" s="13" t="n">
        <v>-61.26</v>
      </c>
      <c r="T1533" s="4" t="s">
        <v>173</v>
      </c>
      <c r="U1533" s="14" t="n">
        <f aca="false">IF(OR($S1533="",PARAMETROS!$B$4=""),"",$S1533*PARAMETROS!$B$4)</f>
        <v>-355.9206</v>
      </c>
      <c r="V1533" s="13" t="n">
        <v>0</v>
      </c>
      <c r="W1533" s="4"/>
      <c r="X1533" s="4"/>
      <c r="Y1533" s="4"/>
      <c r="Z1533" s="4"/>
      <c r="AA1533" s="4"/>
      <c r="AB1533" s="4"/>
      <c r="AC1533" s="4"/>
      <c r="AD1533" s="4"/>
      <c r="AE1533" s="4"/>
      <c r="AF1533" s="4"/>
      <c r="AG1533" s="4"/>
      <c r="AH1533" s="4"/>
      <c r="AI1533" s="4"/>
      <c r="AJ1533" s="4"/>
      <c r="AK1533" s="4"/>
      <c r="AL1533" s="4" t="s">
        <v>1692</v>
      </c>
      <c r="AM1533" s="4" t="s">
        <v>1700</v>
      </c>
    </row>
    <row r="1534" customFormat="false" ht="23.85" hidden="false" customHeight="false" outlineLevel="0" collapsed="false">
      <c r="A1534" s="4" t="s">
        <v>167</v>
      </c>
      <c r="B1534" s="4" t="s">
        <v>1722</v>
      </c>
      <c r="C1534" s="4" t="s">
        <v>1722</v>
      </c>
      <c r="D1534" s="12" t="n">
        <v>2024</v>
      </c>
      <c r="E1534" s="4"/>
      <c r="F1534" s="4" t="s">
        <v>169</v>
      </c>
      <c r="G1534" s="4" t="s">
        <v>170</v>
      </c>
      <c r="H1534" s="4" t="s">
        <v>171</v>
      </c>
      <c r="I1534" s="4" t="s">
        <v>172</v>
      </c>
      <c r="J1534" s="4" t="s">
        <v>1722</v>
      </c>
      <c r="K1534" s="4" t="s">
        <v>93</v>
      </c>
      <c r="L1534" s="4" t="s">
        <v>94</v>
      </c>
      <c r="M1534" s="4"/>
      <c r="N1534" s="4"/>
      <c r="O1534" s="4"/>
      <c r="P1534" s="4"/>
      <c r="Q1534" s="4"/>
      <c r="R1534" s="4"/>
      <c r="S1534" s="13" t="n">
        <v>0</v>
      </c>
      <c r="T1534" s="4" t="s">
        <v>173</v>
      </c>
      <c r="U1534" s="14" t="n">
        <f aca="false">IF(OR($S1534="",PARAMETROS!$B$4=""),"",$S1534*PARAMETROS!$B$4)</f>
        <v>0</v>
      </c>
      <c r="V1534" s="13" t="n">
        <v>0</v>
      </c>
      <c r="W1534" s="4"/>
      <c r="X1534" s="4"/>
      <c r="Y1534" s="4"/>
      <c r="Z1534" s="4"/>
      <c r="AA1534" s="4"/>
      <c r="AB1534" s="4"/>
      <c r="AC1534" s="4"/>
      <c r="AD1534" s="4"/>
      <c r="AE1534" s="4"/>
      <c r="AF1534" s="4"/>
      <c r="AG1534" s="4"/>
      <c r="AH1534" s="4"/>
      <c r="AI1534" s="4"/>
      <c r="AJ1534" s="4"/>
      <c r="AK1534" s="4"/>
      <c r="AL1534" s="4" t="s">
        <v>1692</v>
      </c>
      <c r="AM1534" s="4" t="s">
        <v>1723</v>
      </c>
    </row>
    <row r="1535" customFormat="false" ht="23.85" hidden="false" customHeight="false" outlineLevel="0" collapsed="false">
      <c r="A1535" s="4" t="s">
        <v>167</v>
      </c>
      <c r="B1535" s="4" t="s">
        <v>1724</v>
      </c>
      <c r="C1535" s="4" t="s">
        <v>1724</v>
      </c>
      <c r="D1535" s="12" t="n">
        <v>2024</v>
      </c>
      <c r="E1535" s="4"/>
      <c r="F1535" s="4" t="s">
        <v>169</v>
      </c>
      <c r="G1535" s="4" t="s">
        <v>170</v>
      </c>
      <c r="H1535" s="4" t="s">
        <v>171</v>
      </c>
      <c r="I1535" s="4" t="s">
        <v>172</v>
      </c>
      <c r="J1535" s="4" t="s">
        <v>1724</v>
      </c>
      <c r="K1535" s="4" t="s">
        <v>93</v>
      </c>
      <c r="L1535" s="4" t="s">
        <v>94</v>
      </c>
      <c r="M1535" s="4"/>
      <c r="N1535" s="4"/>
      <c r="O1535" s="4"/>
      <c r="P1535" s="4"/>
      <c r="Q1535" s="4"/>
      <c r="R1535" s="4"/>
      <c r="S1535" s="13" t="n">
        <v>0</v>
      </c>
      <c r="T1535" s="4" t="s">
        <v>173</v>
      </c>
      <c r="U1535" s="14" t="n">
        <f aca="false">IF(OR($S1535="",PARAMETROS!$B$4=""),"",$S1535*PARAMETROS!$B$4)</f>
        <v>0</v>
      </c>
      <c r="V1535" s="13" t="n">
        <v>0</v>
      </c>
      <c r="W1535" s="4"/>
      <c r="X1535" s="4"/>
      <c r="Y1535" s="4"/>
      <c r="Z1535" s="4"/>
      <c r="AA1535" s="4"/>
      <c r="AB1535" s="4"/>
      <c r="AC1535" s="4"/>
      <c r="AD1535" s="4"/>
      <c r="AE1535" s="4"/>
      <c r="AF1535" s="4"/>
      <c r="AG1535" s="4"/>
      <c r="AH1535" s="4"/>
      <c r="AI1535" s="4"/>
      <c r="AJ1535" s="4"/>
      <c r="AK1535" s="4"/>
      <c r="AL1535" s="4" t="s">
        <v>1692</v>
      </c>
      <c r="AM1535" s="4" t="s">
        <v>1704</v>
      </c>
    </row>
    <row r="1536" customFormat="false" ht="23.85" hidden="false" customHeight="false" outlineLevel="0" collapsed="false">
      <c r="A1536" s="4" t="s">
        <v>167</v>
      </c>
      <c r="B1536" s="4" t="s">
        <v>1725</v>
      </c>
      <c r="C1536" s="4" t="s">
        <v>1725</v>
      </c>
      <c r="D1536" s="12" t="n">
        <v>2024</v>
      </c>
      <c r="E1536" s="4"/>
      <c r="F1536" s="4" t="s">
        <v>169</v>
      </c>
      <c r="G1536" s="4" t="s">
        <v>170</v>
      </c>
      <c r="H1536" s="4" t="s">
        <v>171</v>
      </c>
      <c r="I1536" s="4" t="s">
        <v>172</v>
      </c>
      <c r="J1536" s="4" t="s">
        <v>1725</v>
      </c>
      <c r="K1536" s="4" t="s">
        <v>93</v>
      </c>
      <c r="L1536" s="4" t="s">
        <v>94</v>
      </c>
      <c r="M1536" s="4"/>
      <c r="N1536" s="4"/>
      <c r="O1536" s="4"/>
      <c r="P1536" s="4"/>
      <c r="Q1536" s="4"/>
      <c r="R1536" s="4"/>
      <c r="S1536" s="13" t="n">
        <v>0</v>
      </c>
      <c r="T1536" s="4" t="s">
        <v>173</v>
      </c>
      <c r="U1536" s="14" t="n">
        <f aca="false">IF(OR($S1536="",PARAMETROS!$B$4=""),"",$S1536*PARAMETROS!$B$4)</f>
        <v>0</v>
      </c>
      <c r="V1536" s="13" t="n">
        <v>0</v>
      </c>
      <c r="W1536" s="4"/>
      <c r="X1536" s="4"/>
      <c r="Y1536" s="4"/>
      <c r="Z1536" s="4"/>
      <c r="AA1536" s="4"/>
      <c r="AB1536" s="4"/>
      <c r="AC1536" s="4"/>
      <c r="AD1536" s="4"/>
      <c r="AE1536" s="4"/>
      <c r="AF1536" s="4"/>
      <c r="AG1536" s="4"/>
      <c r="AH1536" s="4"/>
      <c r="AI1536" s="4"/>
      <c r="AJ1536" s="4"/>
      <c r="AK1536" s="4"/>
      <c r="AL1536" s="4" t="s">
        <v>1692</v>
      </c>
      <c r="AM1536" s="4" t="s">
        <v>1716</v>
      </c>
    </row>
    <row r="1537" customFormat="false" ht="23.85" hidden="false" customHeight="false" outlineLevel="0" collapsed="false">
      <c r="A1537" s="4" t="s">
        <v>167</v>
      </c>
      <c r="B1537" s="4" t="s">
        <v>1726</v>
      </c>
      <c r="C1537" s="4" t="s">
        <v>1726</v>
      </c>
      <c r="D1537" s="12" t="n">
        <v>2024</v>
      </c>
      <c r="E1537" s="4"/>
      <c r="F1537" s="4" t="s">
        <v>169</v>
      </c>
      <c r="G1537" s="4" t="s">
        <v>170</v>
      </c>
      <c r="H1537" s="4" t="s">
        <v>171</v>
      </c>
      <c r="I1537" s="4" t="s">
        <v>172</v>
      </c>
      <c r="J1537" s="4" t="s">
        <v>1726</v>
      </c>
      <c r="K1537" s="4" t="s">
        <v>93</v>
      </c>
      <c r="L1537" s="4" t="s">
        <v>94</v>
      </c>
      <c r="M1537" s="4"/>
      <c r="N1537" s="4"/>
      <c r="O1537" s="4"/>
      <c r="P1537" s="4"/>
      <c r="Q1537" s="4"/>
      <c r="R1537" s="4"/>
      <c r="S1537" s="13" t="n">
        <v>0</v>
      </c>
      <c r="T1537" s="4" t="s">
        <v>173</v>
      </c>
      <c r="U1537" s="14" t="n">
        <f aca="false">IF(OR($S1537="",PARAMETROS!$B$4=""),"",$S1537*PARAMETROS!$B$4)</f>
        <v>0</v>
      </c>
      <c r="V1537" s="13" t="n">
        <v>0</v>
      </c>
      <c r="W1537" s="4"/>
      <c r="X1537" s="4"/>
      <c r="Y1537" s="4"/>
      <c r="Z1537" s="4"/>
      <c r="AA1537" s="4"/>
      <c r="AB1537" s="4"/>
      <c r="AC1537" s="4"/>
      <c r="AD1537" s="4"/>
      <c r="AE1537" s="4"/>
      <c r="AF1537" s="4"/>
      <c r="AG1537" s="4"/>
      <c r="AH1537" s="4"/>
      <c r="AI1537" s="4"/>
      <c r="AJ1537" s="4"/>
      <c r="AK1537" s="4"/>
      <c r="AL1537" s="4" t="s">
        <v>1692</v>
      </c>
      <c r="AM1537" s="4" t="s">
        <v>1707</v>
      </c>
    </row>
    <row r="1538" customFormat="false" ht="23.85" hidden="false" customHeight="false" outlineLevel="0" collapsed="false">
      <c r="A1538" s="4" t="s">
        <v>167</v>
      </c>
      <c r="B1538" s="4" t="s">
        <v>1727</v>
      </c>
      <c r="C1538" s="4" t="s">
        <v>1727</v>
      </c>
      <c r="D1538" s="12" t="n">
        <v>2024</v>
      </c>
      <c r="E1538" s="4"/>
      <c r="F1538" s="4" t="s">
        <v>169</v>
      </c>
      <c r="G1538" s="4" t="s">
        <v>170</v>
      </c>
      <c r="H1538" s="4" t="s">
        <v>171</v>
      </c>
      <c r="I1538" s="4" t="s">
        <v>172</v>
      </c>
      <c r="J1538" s="4" t="s">
        <v>1727</v>
      </c>
      <c r="K1538" s="4" t="s">
        <v>93</v>
      </c>
      <c r="L1538" s="4" t="s">
        <v>94</v>
      </c>
      <c r="M1538" s="4"/>
      <c r="N1538" s="4"/>
      <c r="O1538" s="4"/>
      <c r="P1538" s="4"/>
      <c r="Q1538" s="4"/>
      <c r="R1538" s="4"/>
      <c r="S1538" s="13" t="n">
        <v>0</v>
      </c>
      <c r="T1538" s="4" t="s">
        <v>173</v>
      </c>
      <c r="U1538" s="14" t="n">
        <f aca="false">IF(OR($S1538="",PARAMETROS!$B$4=""),"",$S1538*PARAMETROS!$B$4)</f>
        <v>0</v>
      </c>
      <c r="V1538" s="13" t="n">
        <v>0</v>
      </c>
      <c r="W1538" s="4"/>
      <c r="X1538" s="4"/>
      <c r="Y1538" s="4"/>
      <c r="Z1538" s="4"/>
      <c r="AA1538" s="4"/>
      <c r="AB1538" s="4"/>
      <c r="AC1538" s="4"/>
      <c r="AD1538" s="4"/>
      <c r="AE1538" s="4"/>
      <c r="AF1538" s="4"/>
      <c r="AG1538" s="4"/>
      <c r="AH1538" s="4"/>
      <c r="AI1538" s="4"/>
      <c r="AJ1538" s="4"/>
      <c r="AK1538" s="4"/>
      <c r="AL1538" s="4" t="s">
        <v>1692</v>
      </c>
      <c r="AM1538" s="4" t="s">
        <v>1709</v>
      </c>
    </row>
    <row r="1539" customFormat="false" ht="23.85" hidden="false" customHeight="false" outlineLevel="0" collapsed="false">
      <c r="A1539" s="4" t="s">
        <v>167</v>
      </c>
      <c r="B1539" s="4" t="s">
        <v>1728</v>
      </c>
      <c r="C1539" s="4" t="s">
        <v>1728</v>
      </c>
      <c r="D1539" s="12" t="n">
        <v>2024</v>
      </c>
      <c r="E1539" s="4"/>
      <c r="F1539" s="4" t="s">
        <v>169</v>
      </c>
      <c r="G1539" s="4" t="s">
        <v>170</v>
      </c>
      <c r="H1539" s="4" t="s">
        <v>171</v>
      </c>
      <c r="I1539" s="4" t="s">
        <v>172</v>
      </c>
      <c r="J1539" s="4" t="s">
        <v>1728</v>
      </c>
      <c r="K1539" s="4" t="s">
        <v>93</v>
      </c>
      <c r="L1539" s="4" t="s">
        <v>94</v>
      </c>
      <c r="M1539" s="4"/>
      <c r="N1539" s="4"/>
      <c r="O1539" s="4"/>
      <c r="P1539" s="4"/>
      <c r="Q1539" s="4"/>
      <c r="R1539" s="4"/>
      <c r="S1539" s="13" t="n">
        <v>0</v>
      </c>
      <c r="T1539" s="4" t="s">
        <v>173</v>
      </c>
      <c r="U1539" s="14" t="n">
        <f aca="false">IF(OR($S1539="",PARAMETROS!$B$4=""),"",$S1539*PARAMETROS!$B$4)</f>
        <v>0</v>
      </c>
      <c r="V1539" s="13" t="n">
        <v>0</v>
      </c>
      <c r="W1539" s="4"/>
      <c r="X1539" s="4"/>
      <c r="Y1539" s="4"/>
      <c r="Z1539" s="4"/>
      <c r="AA1539" s="4"/>
      <c r="AB1539" s="4"/>
      <c r="AC1539" s="4"/>
      <c r="AD1539" s="4"/>
      <c r="AE1539" s="4"/>
      <c r="AF1539" s="4"/>
      <c r="AG1539" s="4"/>
      <c r="AH1539" s="4"/>
      <c r="AI1539" s="4"/>
      <c r="AJ1539" s="4"/>
      <c r="AK1539" s="4"/>
      <c r="AL1539" s="4" t="s">
        <v>1692</v>
      </c>
      <c r="AM1539" s="4" t="s">
        <v>1711</v>
      </c>
    </row>
    <row r="1540" customFormat="false" ht="23.85" hidden="false" customHeight="false" outlineLevel="0" collapsed="false">
      <c r="A1540" s="4" t="s">
        <v>167</v>
      </c>
      <c r="B1540" s="4" t="s">
        <v>1729</v>
      </c>
      <c r="C1540" s="4" t="s">
        <v>1729</v>
      </c>
      <c r="D1540" s="12" t="n">
        <v>2024</v>
      </c>
      <c r="E1540" s="4"/>
      <c r="F1540" s="4" t="s">
        <v>169</v>
      </c>
      <c r="G1540" s="4" t="s">
        <v>170</v>
      </c>
      <c r="H1540" s="4" t="s">
        <v>171</v>
      </c>
      <c r="I1540" s="4" t="s">
        <v>172</v>
      </c>
      <c r="J1540" s="4" t="s">
        <v>1729</v>
      </c>
      <c r="K1540" s="4" t="s">
        <v>93</v>
      </c>
      <c r="L1540" s="4" t="s">
        <v>94</v>
      </c>
      <c r="M1540" s="4"/>
      <c r="N1540" s="4"/>
      <c r="O1540" s="4"/>
      <c r="P1540" s="4"/>
      <c r="Q1540" s="4"/>
      <c r="R1540" s="4"/>
      <c r="S1540" s="13" t="n">
        <v>0</v>
      </c>
      <c r="T1540" s="4" t="s">
        <v>173</v>
      </c>
      <c r="U1540" s="14" t="n">
        <f aca="false">IF(OR($S1540="",PARAMETROS!$B$4=""),"",$S1540*PARAMETROS!$B$4)</f>
        <v>0</v>
      </c>
      <c r="V1540" s="13" t="n">
        <v>0</v>
      </c>
      <c r="W1540" s="4"/>
      <c r="X1540" s="4"/>
      <c r="Y1540" s="4"/>
      <c r="Z1540" s="4"/>
      <c r="AA1540" s="4"/>
      <c r="AB1540" s="4"/>
      <c r="AC1540" s="4"/>
      <c r="AD1540" s="4"/>
      <c r="AE1540" s="4"/>
      <c r="AF1540" s="4"/>
      <c r="AG1540" s="4"/>
      <c r="AH1540" s="4"/>
      <c r="AI1540" s="4"/>
      <c r="AJ1540" s="4"/>
      <c r="AK1540" s="4"/>
      <c r="AL1540" s="4" t="s">
        <v>1692</v>
      </c>
      <c r="AM1540" s="4" t="s">
        <v>1716</v>
      </c>
    </row>
    <row r="1541" customFormat="false" ht="23.85" hidden="false" customHeight="false" outlineLevel="0" collapsed="false">
      <c r="A1541" s="4" t="s">
        <v>167</v>
      </c>
      <c r="B1541" s="4" t="s">
        <v>1730</v>
      </c>
      <c r="C1541" s="4" t="s">
        <v>1730</v>
      </c>
      <c r="D1541" s="12" t="n">
        <v>2024</v>
      </c>
      <c r="E1541" s="4"/>
      <c r="F1541" s="4" t="s">
        <v>169</v>
      </c>
      <c r="G1541" s="4" t="s">
        <v>170</v>
      </c>
      <c r="H1541" s="4" t="s">
        <v>171</v>
      </c>
      <c r="I1541" s="4" t="s">
        <v>172</v>
      </c>
      <c r="J1541" s="4" t="s">
        <v>1730</v>
      </c>
      <c r="K1541" s="4" t="s">
        <v>93</v>
      </c>
      <c r="L1541" s="4" t="s">
        <v>94</v>
      </c>
      <c r="M1541" s="4"/>
      <c r="N1541" s="4"/>
      <c r="O1541" s="4"/>
      <c r="P1541" s="4"/>
      <c r="Q1541" s="4"/>
      <c r="R1541" s="4"/>
      <c r="S1541" s="13" t="n">
        <v>0</v>
      </c>
      <c r="T1541" s="4" t="s">
        <v>173</v>
      </c>
      <c r="U1541" s="14" t="n">
        <f aca="false">IF(OR($S1541="",PARAMETROS!$B$4=""),"",$S1541*PARAMETROS!$B$4)</f>
        <v>0</v>
      </c>
      <c r="V1541" s="13" t="n">
        <v>0</v>
      </c>
      <c r="W1541" s="4"/>
      <c r="X1541" s="4"/>
      <c r="Y1541" s="4"/>
      <c r="Z1541" s="4"/>
      <c r="AA1541" s="4"/>
      <c r="AB1541" s="4"/>
      <c r="AC1541" s="4"/>
      <c r="AD1541" s="4"/>
      <c r="AE1541" s="4"/>
      <c r="AF1541" s="4"/>
      <c r="AG1541" s="4"/>
      <c r="AH1541" s="4"/>
      <c r="AI1541" s="4"/>
      <c r="AJ1541" s="4"/>
      <c r="AK1541" s="4"/>
      <c r="AL1541" s="4" t="s">
        <v>1692</v>
      </c>
      <c r="AM1541" s="4" t="s">
        <v>1714</v>
      </c>
    </row>
    <row r="1542" customFormat="false" ht="23.85" hidden="false" customHeight="false" outlineLevel="0" collapsed="false">
      <c r="A1542" s="4" t="s">
        <v>167</v>
      </c>
      <c r="B1542" s="4" t="s">
        <v>1731</v>
      </c>
      <c r="C1542" s="4" t="s">
        <v>1731</v>
      </c>
      <c r="D1542" s="12" t="n">
        <v>2024</v>
      </c>
      <c r="E1542" s="4"/>
      <c r="F1542" s="4" t="s">
        <v>169</v>
      </c>
      <c r="G1542" s="4" t="s">
        <v>170</v>
      </c>
      <c r="H1542" s="4" t="s">
        <v>171</v>
      </c>
      <c r="I1542" s="4" t="s">
        <v>172</v>
      </c>
      <c r="J1542" s="4" t="s">
        <v>1731</v>
      </c>
      <c r="K1542" s="4" t="s">
        <v>76</v>
      </c>
      <c r="L1542" s="4" t="s">
        <v>77</v>
      </c>
      <c r="M1542" s="4"/>
      <c r="N1542" s="4"/>
      <c r="O1542" s="4"/>
      <c r="P1542" s="4"/>
      <c r="Q1542" s="4"/>
      <c r="R1542" s="4"/>
      <c r="S1542" s="13" t="n">
        <v>0</v>
      </c>
      <c r="T1542" s="4" t="s">
        <v>173</v>
      </c>
      <c r="U1542" s="14" t="n">
        <f aca="false">IF(OR($S1542="",PARAMETROS!$B$4=""),"",$S1542*PARAMETROS!$B$4)</f>
        <v>0</v>
      </c>
      <c r="V1542" s="13" t="n">
        <v>0</v>
      </c>
      <c r="W1542" s="4"/>
      <c r="X1542" s="4"/>
      <c r="Y1542" s="4"/>
      <c r="Z1542" s="4"/>
      <c r="AA1542" s="4"/>
      <c r="AB1542" s="4"/>
      <c r="AC1542" s="4"/>
      <c r="AD1542" s="4"/>
      <c r="AE1542" s="4"/>
      <c r="AF1542" s="4"/>
      <c r="AG1542" s="4"/>
      <c r="AH1542" s="4"/>
      <c r="AI1542" s="4"/>
      <c r="AJ1542" s="4"/>
      <c r="AK1542" s="4"/>
      <c r="AL1542" s="4" t="s">
        <v>1692</v>
      </c>
      <c r="AM1542" s="4" t="s">
        <v>1732</v>
      </c>
    </row>
    <row r="1543" customFormat="false" ht="23.85" hidden="false" customHeight="false" outlineLevel="0" collapsed="false">
      <c r="A1543" s="4" t="s">
        <v>167</v>
      </c>
      <c r="B1543" s="4" t="s">
        <v>1733</v>
      </c>
      <c r="C1543" s="4" t="s">
        <v>1733</v>
      </c>
      <c r="D1543" s="12" t="n">
        <v>2024</v>
      </c>
      <c r="E1543" s="4"/>
      <c r="F1543" s="4" t="s">
        <v>169</v>
      </c>
      <c r="G1543" s="4" t="s">
        <v>170</v>
      </c>
      <c r="H1543" s="4" t="s">
        <v>171</v>
      </c>
      <c r="I1543" s="4" t="s">
        <v>172</v>
      </c>
      <c r="J1543" s="4" t="s">
        <v>1733</v>
      </c>
      <c r="K1543" s="4" t="s">
        <v>76</v>
      </c>
      <c r="L1543" s="4" t="s">
        <v>77</v>
      </c>
      <c r="M1543" s="4"/>
      <c r="N1543" s="4"/>
      <c r="O1543" s="4"/>
      <c r="P1543" s="4"/>
      <c r="Q1543" s="4"/>
      <c r="R1543" s="4"/>
      <c r="S1543" s="13" t="n">
        <v>7358.61</v>
      </c>
      <c r="T1543" s="4" t="s">
        <v>173</v>
      </c>
      <c r="U1543" s="14" t="n">
        <f aca="false">IF(OR($S1543="",PARAMETROS!$B$4=""),"",$S1543*PARAMETROS!$B$4)</f>
        <v>42753.5241</v>
      </c>
      <c r="V1543" s="13" t="n">
        <v>0</v>
      </c>
      <c r="W1543" s="4"/>
      <c r="X1543" s="4"/>
      <c r="Y1543" s="4"/>
      <c r="Z1543" s="4"/>
      <c r="AA1543" s="4"/>
      <c r="AB1543" s="4"/>
      <c r="AC1543" s="4"/>
      <c r="AD1543" s="4"/>
      <c r="AE1543" s="4"/>
      <c r="AF1543" s="4"/>
      <c r="AG1543" s="4"/>
      <c r="AH1543" s="4"/>
      <c r="AI1543" s="4"/>
      <c r="AJ1543" s="4"/>
      <c r="AK1543" s="4"/>
      <c r="AL1543" s="4" t="s">
        <v>1692</v>
      </c>
      <c r="AM1543" s="4" t="s">
        <v>205</v>
      </c>
    </row>
    <row r="1544" customFormat="false" ht="23.85" hidden="false" customHeight="false" outlineLevel="0" collapsed="false">
      <c r="A1544" s="4" t="s">
        <v>167</v>
      </c>
      <c r="B1544" s="4" t="s">
        <v>1734</v>
      </c>
      <c r="C1544" s="4" t="s">
        <v>1734</v>
      </c>
      <c r="D1544" s="12" t="n">
        <v>2024</v>
      </c>
      <c r="E1544" s="4"/>
      <c r="F1544" s="4" t="s">
        <v>169</v>
      </c>
      <c r="G1544" s="4" t="s">
        <v>170</v>
      </c>
      <c r="H1544" s="4" t="s">
        <v>171</v>
      </c>
      <c r="I1544" s="4" t="s">
        <v>172</v>
      </c>
      <c r="J1544" s="4" t="s">
        <v>1734</v>
      </c>
      <c r="K1544" s="4" t="s">
        <v>76</v>
      </c>
      <c r="L1544" s="4" t="s">
        <v>77</v>
      </c>
      <c r="M1544" s="4"/>
      <c r="N1544" s="4"/>
      <c r="O1544" s="4"/>
      <c r="P1544" s="4"/>
      <c r="Q1544" s="4"/>
      <c r="R1544" s="4"/>
      <c r="S1544" s="13" t="n">
        <v>0</v>
      </c>
      <c r="T1544" s="4" t="s">
        <v>173</v>
      </c>
      <c r="U1544" s="14" t="n">
        <f aca="false">IF(OR($S1544="",PARAMETROS!$B$4=""),"",$S1544*PARAMETROS!$B$4)</f>
        <v>0</v>
      </c>
      <c r="V1544" s="13" t="n">
        <v>0</v>
      </c>
      <c r="W1544" s="4"/>
      <c r="X1544" s="4"/>
      <c r="Y1544" s="4"/>
      <c r="Z1544" s="4"/>
      <c r="AA1544" s="4"/>
      <c r="AB1544" s="4"/>
      <c r="AC1544" s="4"/>
      <c r="AD1544" s="4"/>
      <c r="AE1544" s="4"/>
      <c r="AF1544" s="4"/>
      <c r="AG1544" s="4"/>
      <c r="AH1544" s="4"/>
      <c r="AI1544" s="4"/>
      <c r="AJ1544" s="4"/>
      <c r="AK1544" s="4"/>
      <c r="AL1544" s="4" t="s">
        <v>1692</v>
      </c>
      <c r="AM1544" s="4" t="s">
        <v>205</v>
      </c>
    </row>
    <row r="1545" customFormat="false" ht="23.85" hidden="false" customHeight="false" outlineLevel="0" collapsed="false">
      <c r="A1545" s="4" t="s">
        <v>167</v>
      </c>
      <c r="B1545" s="4" t="s">
        <v>1735</v>
      </c>
      <c r="C1545" s="4" t="s">
        <v>1735</v>
      </c>
      <c r="D1545" s="12" t="n">
        <v>2024</v>
      </c>
      <c r="E1545" s="4"/>
      <c r="F1545" s="4" t="s">
        <v>169</v>
      </c>
      <c r="G1545" s="4" t="s">
        <v>170</v>
      </c>
      <c r="H1545" s="4" t="s">
        <v>171</v>
      </c>
      <c r="I1545" s="4" t="s">
        <v>172</v>
      </c>
      <c r="J1545" s="4" t="s">
        <v>1735</v>
      </c>
      <c r="K1545" s="4" t="s">
        <v>76</v>
      </c>
      <c r="L1545" s="4" t="s">
        <v>77</v>
      </c>
      <c r="M1545" s="4"/>
      <c r="N1545" s="4"/>
      <c r="O1545" s="4"/>
      <c r="P1545" s="4"/>
      <c r="Q1545" s="4"/>
      <c r="R1545" s="4"/>
      <c r="S1545" s="13" t="n">
        <v>-1140.67</v>
      </c>
      <c r="T1545" s="4" t="s">
        <v>173</v>
      </c>
      <c r="U1545" s="14" t="n">
        <f aca="false">IF(OR($S1545="",PARAMETROS!$B$4=""),"",$S1545*PARAMETROS!$B$4)</f>
        <v>-6627.2927</v>
      </c>
      <c r="V1545" s="13" t="n">
        <v>0</v>
      </c>
      <c r="W1545" s="4"/>
      <c r="X1545" s="4"/>
      <c r="Y1545" s="4"/>
      <c r="Z1545" s="4"/>
      <c r="AA1545" s="4"/>
      <c r="AB1545" s="4"/>
      <c r="AC1545" s="4"/>
      <c r="AD1545" s="4"/>
      <c r="AE1545" s="4"/>
      <c r="AF1545" s="4"/>
      <c r="AG1545" s="4"/>
      <c r="AH1545" s="4"/>
      <c r="AI1545" s="4"/>
      <c r="AJ1545" s="4"/>
      <c r="AK1545" s="4"/>
      <c r="AL1545" s="4" t="s">
        <v>1692</v>
      </c>
      <c r="AM1545" s="4" t="s">
        <v>205</v>
      </c>
    </row>
    <row r="1546" customFormat="false" ht="23.85" hidden="false" customHeight="false" outlineLevel="0" collapsed="false">
      <c r="A1546" s="4" t="s">
        <v>167</v>
      </c>
      <c r="B1546" s="4" t="s">
        <v>1736</v>
      </c>
      <c r="C1546" s="4" t="s">
        <v>1736</v>
      </c>
      <c r="D1546" s="12" t="n">
        <v>2024</v>
      </c>
      <c r="E1546" s="4"/>
      <c r="F1546" s="4" t="s">
        <v>169</v>
      </c>
      <c r="G1546" s="4" t="s">
        <v>170</v>
      </c>
      <c r="H1546" s="4" t="s">
        <v>171</v>
      </c>
      <c r="I1546" s="4" t="s">
        <v>172</v>
      </c>
      <c r="J1546" s="4" t="s">
        <v>1736</v>
      </c>
      <c r="K1546" s="4" t="s">
        <v>76</v>
      </c>
      <c r="L1546" s="4" t="s">
        <v>77</v>
      </c>
      <c r="M1546" s="4"/>
      <c r="N1546" s="4"/>
      <c r="O1546" s="4"/>
      <c r="P1546" s="4"/>
      <c r="Q1546" s="4"/>
      <c r="R1546" s="4"/>
      <c r="S1546" s="13" t="n">
        <v>0</v>
      </c>
      <c r="T1546" s="4" t="s">
        <v>173</v>
      </c>
      <c r="U1546" s="14" t="n">
        <f aca="false">IF(OR($S1546="",PARAMETROS!$B$4=""),"",$S1546*PARAMETROS!$B$4)</f>
        <v>0</v>
      </c>
      <c r="V1546" s="13" t="n">
        <v>0</v>
      </c>
      <c r="W1546" s="4"/>
      <c r="X1546" s="4"/>
      <c r="Y1546" s="4"/>
      <c r="Z1546" s="4"/>
      <c r="AA1546" s="4"/>
      <c r="AB1546" s="4"/>
      <c r="AC1546" s="4"/>
      <c r="AD1546" s="4"/>
      <c r="AE1546" s="4"/>
      <c r="AF1546" s="4"/>
      <c r="AG1546" s="4"/>
      <c r="AH1546" s="4"/>
      <c r="AI1546" s="4"/>
      <c r="AJ1546" s="4"/>
      <c r="AK1546" s="4"/>
      <c r="AL1546" s="4" t="s">
        <v>1692</v>
      </c>
      <c r="AM1546" s="4" t="s">
        <v>1698</v>
      </c>
    </row>
    <row r="1547" customFormat="false" ht="23.85" hidden="false" customHeight="false" outlineLevel="0" collapsed="false">
      <c r="A1547" s="4" t="s">
        <v>167</v>
      </c>
      <c r="B1547" s="4" t="s">
        <v>1737</v>
      </c>
      <c r="C1547" s="4" t="s">
        <v>1737</v>
      </c>
      <c r="D1547" s="12" t="n">
        <v>2024</v>
      </c>
      <c r="E1547" s="4"/>
      <c r="F1547" s="4" t="s">
        <v>169</v>
      </c>
      <c r="G1547" s="4" t="s">
        <v>170</v>
      </c>
      <c r="H1547" s="4" t="s">
        <v>171</v>
      </c>
      <c r="I1547" s="4" t="s">
        <v>172</v>
      </c>
      <c r="J1547" s="4" t="s">
        <v>1737</v>
      </c>
      <c r="K1547" s="4" t="s">
        <v>76</v>
      </c>
      <c r="L1547" s="4" t="s">
        <v>77</v>
      </c>
      <c r="M1547" s="4"/>
      <c r="N1547" s="4"/>
      <c r="O1547" s="4"/>
      <c r="P1547" s="4"/>
      <c r="Q1547" s="4"/>
      <c r="R1547" s="4"/>
      <c r="S1547" s="13" t="n">
        <v>-5927.25</v>
      </c>
      <c r="T1547" s="4" t="s">
        <v>173</v>
      </c>
      <c r="U1547" s="14" t="n">
        <f aca="false">IF(OR($S1547="",PARAMETROS!$B$4=""),"",$S1547*PARAMETROS!$B$4)</f>
        <v>-34437.3225</v>
      </c>
      <c r="V1547" s="13" t="n">
        <v>0</v>
      </c>
      <c r="W1547" s="4"/>
      <c r="X1547" s="4"/>
      <c r="Y1547" s="4"/>
      <c r="Z1547" s="4"/>
      <c r="AA1547" s="4"/>
      <c r="AB1547" s="4"/>
      <c r="AC1547" s="4"/>
      <c r="AD1547" s="4"/>
      <c r="AE1547" s="4"/>
      <c r="AF1547" s="4"/>
      <c r="AG1547" s="4"/>
      <c r="AH1547" s="4"/>
      <c r="AI1547" s="4"/>
      <c r="AJ1547" s="4"/>
      <c r="AK1547" s="4"/>
      <c r="AL1547" s="4" t="s">
        <v>1692</v>
      </c>
      <c r="AM1547" s="4" t="s">
        <v>1700</v>
      </c>
    </row>
    <row r="1548" customFormat="false" ht="23.85" hidden="false" customHeight="false" outlineLevel="0" collapsed="false">
      <c r="A1548" s="4" t="s">
        <v>167</v>
      </c>
      <c r="B1548" s="4" t="s">
        <v>1738</v>
      </c>
      <c r="C1548" s="4" t="s">
        <v>1738</v>
      </c>
      <c r="D1548" s="12" t="n">
        <v>2024</v>
      </c>
      <c r="E1548" s="4"/>
      <c r="F1548" s="4" t="s">
        <v>169</v>
      </c>
      <c r="G1548" s="4" t="s">
        <v>170</v>
      </c>
      <c r="H1548" s="4" t="s">
        <v>171</v>
      </c>
      <c r="I1548" s="4" t="s">
        <v>172</v>
      </c>
      <c r="J1548" s="4" t="s">
        <v>1738</v>
      </c>
      <c r="K1548" s="4" t="s">
        <v>76</v>
      </c>
      <c r="L1548" s="4" t="s">
        <v>77</v>
      </c>
      <c r="M1548" s="4"/>
      <c r="N1548" s="4"/>
      <c r="O1548" s="4"/>
      <c r="P1548" s="4"/>
      <c r="Q1548" s="4"/>
      <c r="R1548" s="4"/>
      <c r="S1548" s="13" t="n">
        <v>-290.69</v>
      </c>
      <c r="T1548" s="4" t="s">
        <v>173</v>
      </c>
      <c r="U1548" s="14" t="n">
        <f aca="false">IF(OR($S1548="",PARAMETROS!$B$4=""),"",$S1548*PARAMETROS!$B$4)</f>
        <v>-1688.9089</v>
      </c>
      <c r="V1548" s="13" t="n">
        <v>0</v>
      </c>
      <c r="W1548" s="4"/>
      <c r="X1548" s="4"/>
      <c r="Y1548" s="4"/>
      <c r="Z1548" s="4"/>
      <c r="AA1548" s="4"/>
      <c r="AB1548" s="4"/>
      <c r="AC1548" s="4"/>
      <c r="AD1548" s="4"/>
      <c r="AE1548" s="4"/>
      <c r="AF1548" s="4"/>
      <c r="AG1548" s="4"/>
      <c r="AH1548" s="4"/>
      <c r="AI1548" s="4"/>
      <c r="AJ1548" s="4"/>
      <c r="AK1548" s="4"/>
      <c r="AL1548" s="4" t="s">
        <v>1692</v>
      </c>
      <c r="AM1548" s="4" t="s">
        <v>1702</v>
      </c>
    </row>
    <row r="1549" customFormat="false" ht="23.85" hidden="false" customHeight="false" outlineLevel="0" collapsed="false">
      <c r="A1549" s="4" t="s">
        <v>167</v>
      </c>
      <c r="B1549" s="4" t="s">
        <v>1739</v>
      </c>
      <c r="C1549" s="4" t="s">
        <v>1739</v>
      </c>
      <c r="D1549" s="12" t="n">
        <v>2024</v>
      </c>
      <c r="E1549" s="4"/>
      <c r="F1549" s="4" t="s">
        <v>169</v>
      </c>
      <c r="G1549" s="4" t="s">
        <v>170</v>
      </c>
      <c r="H1549" s="4" t="s">
        <v>171</v>
      </c>
      <c r="I1549" s="4" t="s">
        <v>172</v>
      </c>
      <c r="J1549" s="4" t="s">
        <v>1739</v>
      </c>
      <c r="K1549" s="4" t="s">
        <v>76</v>
      </c>
      <c r="L1549" s="4" t="s">
        <v>77</v>
      </c>
      <c r="M1549" s="4"/>
      <c r="N1549" s="4"/>
      <c r="O1549" s="4"/>
      <c r="P1549" s="4"/>
      <c r="Q1549" s="4"/>
      <c r="R1549" s="4"/>
      <c r="S1549" s="13" t="n">
        <v>0</v>
      </c>
      <c r="T1549" s="4" t="s">
        <v>173</v>
      </c>
      <c r="U1549" s="14" t="n">
        <f aca="false">IF(OR($S1549="",PARAMETROS!$B$4=""),"",$S1549*PARAMETROS!$B$4)</f>
        <v>0</v>
      </c>
      <c r="V1549" s="13" t="n">
        <v>0</v>
      </c>
      <c r="W1549" s="4"/>
      <c r="X1549" s="4"/>
      <c r="Y1549" s="4"/>
      <c r="Z1549" s="4"/>
      <c r="AA1549" s="4"/>
      <c r="AB1549" s="4"/>
      <c r="AC1549" s="4"/>
      <c r="AD1549" s="4"/>
      <c r="AE1549" s="4"/>
      <c r="AF1549" s="4"/>
      <c r="AG1549" s="4"/>
      <c r="AH1549" s="4"/>
      <c r="AI1549" s="4"/>
      <c r="AJ1549" s="4"/>
      <c r="AK1549" s="4"/>
      <c r="AL1549" s="4" t="s">
        <v>1692</v>
      </c>
      <c r="AM1549" s="4" t="s">
        <v>1704</v>
      </c>
    </row>
    <row r="1550" customFormat="false" ht="23.85" hidden="false" customHeight="false" outlineLevel="0" collapsed="false">
      <c r="A1550" s="4" t="s">
        <v>167</v>
      </c>
      <c r="B1550" s="4" t="s">
        <v>1740</v>
      </c>
      <c r="C1550" s="4" t="s">
        <v>1740</v>
      </c>
      <c r="D1550" s="12" t="n">
        <v>2024</v>
      </c>
      <c r="E1550" s="4"/>
      <c r="F1550" s="4" t="s">
        <v>169</v>
      </c>
      <c r="G1550" s="4" t="s">
        <v>170</v>
      </c>
      <c r="H1550" s="4" t="s">
        <v>171</v>
      </c>
      <c r="I1550" s="4" t="s">
        <v>172</v>
      </c>
      <c r="J1550" s="4" t="s">
        <v>1740</v>
      </c>
      <c r="K1550" s="4" t="s">
        <v>76</v>
      </c>
      <c r="L1550" s="4" t="s">
        <v>77</v>
      </c>
      <c r="M1550" s="4"/>
      <c r="N1550" s="4"/>
      <c r="O1550" s="4"/>
      <c r="P1550" s="4"/>
      <c r="Q1550" s="4"/>
      <c r="R1550" s="4"/>
      <c r="S1550" s="13" t="n">
        <v>0</v>
      </c>
      <c r="T1550" s="4" t="s">
        <v>173</v>
      </c>
      <c r="U1550" s="14" t="n">
        <f aca="false">IF(OR($S1550="",PARAMETROS!$B$4=""),"",$S1550*PARAMETROS!$B$4)</f>
        <v>0</v>
      </c>
      <c r="V1550" s="13" t="n">
        <v>0</v>
      </c>
      <c r="W1550" s="4"/>
      <c r="X1550" s="4"/>
      <c r="Y1550" s="4"/>
      <c r="Z1550" s="4"/>
      <c r="AA1550" s="4"/>
      <c r="AB1550" s="4"/>
      <c r="AC1550" s="4"/>
      <c r="AD1550" s="4"/>
      <c r="AE1550" s="4"/>
      <c r="AF1550" s="4"/>
      <c r="AG1550" s="4"/>
      <c r="AH1550" s="4"/>
      <c r="AI1550" s="4"/>
      <c r="AJ1550" s="4"/>
      <c r="AK1550" s="4"/>
      <c r="AL1550" s="4" t="s">
        <v>1692</v>
      </c>
      <c r="AM1550" s="4" t="s">
        <v>205</v>
      </c>
    </row>
    <row r="1551" customFormat="false" ht="23.85" hidden="false" customHeight="false" outlineLevel="0" collapsed="false">
      <c r="A1551" s="4" t="s">
        <v>167</v>
      </c>
      <c r="B1551" s="4" t="s">
        <v>1741</v>
      </c>
      <c r="C1551" s="4" t="s">
        <v>1741</v>
      </c>
      <c r="D1551" s="12" t="n">
        <v>2024</v>
      </c>
      <c r="E1551" s="4"/>
      <c r="F1551" s="4" t="s">
        <v>169</v>
      </c>
      <c r="G1551" s="4" t="s">
        <v>170</v>
      </c>
      <c r="H1551" s="4" t="s">
        <v>171</v>
      </c>
      <c r="I1551" s="4" t="s">
        <v>172</v>
      </c>
      <c r="J1551" s="4" t="s">
        <v>1741</v>
      </c>
      <c r="K1551" s="4" t="s">
        <v>76</v>
      </c>
      <c r="L1551" s="4" t="s">
        <v>77</v>
      </c>
      <c r="M1551" s="4"/>
      <c r="N1551" s="4"/>
      <c r="O1551" s="4"/>
      <c r="P1551" s="4"/>
      <c r="Q1551" s="4"/>
      <c r="R1551" s="4"/>
      <c r="S1551" s="13" t="n">
        <v>0</v>
      </c>
      <c r="T1551" s="4" t="s">
        <v>173</v>
      </c>
      <c r="U1551" s="14" t="n">
        <f aca="false">IF(OR($S1551="",PARAMETROS!$B$4=""),"",$S1551*PARAMETROS!$B$4)</f>
        <v>0</v>
      </c>
      <c r="V1551" s="13" t="n">
        <v>0</v>
      </c>
      <c r="W1551" s="4"/>
      <c r="X1551" s="4"/>
      <c r="Y1551" s="4"/>
      <c r="Z1551" s="4"/>
      <c r="AA1551" s="4"/>
      <c r="AB1551" s="4"/>
      <c r="AC1551" s="4"/>
      <c r="AD1551" s="4"/>
      <c r="AE1551" s="4"/>
      <c r="AF1551" s="4"/>
      <c r="AG1551" s="4"/>
      <c r="AH1551" s="4"/>
      <c r="AI1551" s="4"/>
      <c r="AJ1551" s="4"/>
      <c r="AK1551" s="4"/>
      <c r="AL1551" s="4" t="s">
        <v>1692</v>
      </c>
      <c r="AM1551" s="4" t="s">
        <v>1707</v>
      </c>
    </row>
    <row r="1552" customFormat="false" ht="23.85" hidden="false" customHeight="false" outlineLevel="0" collapsed="false">
      <c r="A1552" s="4" t="s">
        <v>167</v>
      </c>
      <c r="B1552" s="4" t="s">
        <v>1742</v>
      </c>
      <c r="C1552" s="4" t="s">
        <v>1742</v>
      </c>
      <c r="D1552" s="12" t="n">
        <v>2024</v>
      </c>
      <c r="E1552" s="4"/>
      <c r="F1552" s="4" t="s">
        <v>169</v>
      </c>
      <c r="G1552" s="4" t="s">
        <v>170</v>
      </c>
      <c r="H1552" s="4" t="s">
        <v>171</v>
      </c>
      <c r="I1552" s="4" t="s">
        <v>172</v>
      </c>
      <c r="J1552" s="4" t="s">
        <v>1742</v>
      </c>
      <c r="K1552" s="4" t="s">
        <v>76</v>
      </c>
      <c r="L1552" s="4" t="s">
        <v>77</v>
      </c>
      <c r="M1552" s="4"/>
      <c r="N1552" s="4"/>
      <c r="O1552" s="4"/>
      <c r="P1552" s="4"/>
      <c r="Q1552" s="4"/>
      <c r="R1552" s="4"/>
      <c r="S1552" s="13" t="n">
        <v>0</v>
      </c>
      <c r="T1552" s="4" t="s">
        <v>173</v>
      </c>
      <c r="U1552" s="14" t="n">
        <f aca="false">IF(OR($S1552="",PARAMETROS!$B$4=""),"",$S1552*PARAMETROS!$B$4)</f>
        <v>0</v>
      </c>
      <c r="V1552" s="13" t="n">
        <v>0</v>
      </c>
      <c r="W1552" s="4"/>
      <c r="X1552" s="4"/>
      <c r="Y1552" s="4"/>
      <c r="Z1552" s="4"/>
      <c r="AA1552" s="4"/>
      <c r="AB1552" s="4"/>
      <c r="AC1552" s="4"/>
      <c r="AD1552" s="4"/>
      <c r="AE1552" s="4"/>
      <c r="AF1552" s="4"/>
      <c r="AG1552" s="4"/>
      <c r="AH1552" s="4"/>
      <c r="AI1552" s="4"/>
      <c r="AJ1552" s="4"/>
      <c r="AK1552" s="4"/>
      <c r="AL1552" s="4" t="s">
        <v>1692</v>
      </c>
      <c r="AM1552" s="4" t="s">
        <v>1709</v>
      </c>
    </row>
    <row r="1553" customFormat="false" ht="23.85" hidden="false" customHeight="false" outlineLevel="0" collapsed="false">
      <c r="A1553" s="4" t="s">
        <v>167</v>
      </c>
      <c r="B1553" s="4" t="s">
        <v>1743</v>
      </c>
      <c r="C1553" s="4" t="s">
        <v>1743</v>
      </c>
      <c r="D1553" s="12" t="n">
        <v>2024</v>
      </c>
      <c r="E1553" s="4"/>
      <c r="F1553" s="4" t="s">
        <v>169</v>
      </c>
      <c r="G1553" s="4" t="s">
        <v>170</v>
      </c>
      <c r="H1553" s="4" t="s">
        <v>171</v>
      </c>
      <c r="I1553" s="4" t="s">
        <v>172</v>
      </c>
      <c r="J1553" s="4" t="s">
        <v>1743</v>
      </c>
      <c r="K1553" s="4" t="s">
        <v>76</v>
      </c>
      <c r="L1553" s="4" t="s">
        <v>77</v>
      </c>
      <c r="M1553" s="4"/>
      <c r="N1553" s="4"/>
      <c r="O1553" s="4"/>
      <c r="P1553" s="4"/>
      <c r="Q1553" s="4"/>
      <c r="R1553" s="4"/>
      <c r="S1553" s="13" t="n">
        <v>0</v>
      </c>
      <c r="T1553" s="4" t="s">
        <v>173</v>
      </c>
      <c r="U1553" s="14" t="n">
        <f aca="false">IF(OR($S1553="",PARAMETROS!$B$4=""),"",$S1553*PARAMETROS!$B$4)</f>
        <v>0</v>
      </c>
      <c r="V1553" s="13" t="n">
        <v>0</v>
      </c>
      <c r="W1553" s="4"/>
      <c r="X1553" s="4"/>
      <c r="Y1553" s="4"/>
      <c r="Z1553" s="4"/>
      <c r="AA1553" s="4"/>
      <c r="AB1553" s="4"/>
      <c r="AC1553" s="4"/>
      <c r="AD1553" s="4"/>
      <c r="AE1553" s="4"/>
      <c r="AF1553" s="4"/>
      <c r="AG1553" s="4"/>
      <c r="AH1553" s="4"/>
      <c r="AI1553" s="4"/>
      <c r="AJ1553" s="4"/>
      <c r="AK1553" s="4"/>
      <c r="AL1553" s="4" t="s">
        <v>1692</v>
      </c>
      <c r="AM1553" s="4" t="s">
        <v>1711</v>
      </c>
    </row>
    <row r="1554" customFormat="false" ht="23.85" hidden="false" customHeight="false" outlineLevel="0" collapsed="false">
      <c r="A1554" s="4" t="s">
        <v>167</v>
      </c>
      <c r="B1554" s="4" t="s">
        <v>1744</v>
      </c>
      <c r="C1554" s="4" t="s">
        <v>1744</v>
      </c>
      <c r="D1554" s="12" t="n">
        <v>2024</v>
      </c>
      <c r="E1554" s="4"/>
      <c r="F1554" s="4" t="s">
        <v>169</v>
      </c>
      <c r="G1554" s="4" t="s">
        <v>170</v>
      </c>
      <c r="H1554" s="4" t="s">
        <v>171</v>
      </c>
      <c r="I1554" s="4" t="s">
        <v>172</v>
      </c>
      <c r="J1554" s="4" t="s">
        <v>1744</v>
      </c>
      <c r="K1554" s="4" t="s">
        <v>76</v>
      </c>
      <c r="L1554" s="4" t="s">
        <v>77</v>
      </c>
      <c r="M1554" s="4"/>
      <c r="N1554" s="4"/>
      <c r="O1554" s="4"/>
      <c r="P1554" s="4"/>
      <c r="Q1554" s="4"/>
      <c r="R1554" s="4"/>
      <c r="S1554" s="13" t="n">
        <v>0</v>
      </c>
      <c r="T1554" s="4" t="s">
        <v>173</v>
      </c>
      <c r="U1554" s="14" t="n">
        <f aca="false">IF(OR($S1554="",PARAMETROS!$B$4=""),"",$S1554*PARAMETROS!$B$4)</f>
        <v>0</v>
      </c>
      <c r="V1554" s="13" t="n">
        <v>0</v>
      </c>
      <c r="W1554" s="4"/>
      <c r="X1554" s="4"/>
      <c r="Y1554" s="4"/>
      <c r="Z1554" s="4"/>
      <c r="AA1554" s="4"/>
      <c r="AB1554" s="4"/>
      <c r="AC1554" s="4"/>
      <c r="AD1554" s="4"/>
      <c r="AE1554" s="4"/>
      <c r="AF1554" s="4"/>
      <c r="AG1554" s="4"/>
      <c r="AH1554" s="4"/>
      <c r="AI1554" s="4"/>
      <c r="AJ1554" s="4"/>
      <c r="AK1554" s="4"/>
      <c r="AL1554" s="4" t="s">
        <v>1692</v>
      </c>
      <c r="AM1554" s="4" t="s">
        <v>205</v>
      </c>
    </row>
    <row r="1555" customFormat="false" ht="23.85" hidden="false" customHeight="false" outlineLevel="0" collapsed="false">
      <c r="A1555" s="4" t="s">
        <v>167</v>
      </c>
      <c r="B1555" s="4" t="s">
        <v>1745</v>
      </c>
      <c r="C1555" s="4" t="s">
        <v>1745</v>
      </c>
      <c r="D1555" s="12" t="n">
        <v>2024</v>
      </c>
      <c r="E1555" s="4"/>
      <c r="F1555" s="4" t="s">
        <v>169</v>
      </c>
      <c r="G1555" s="4" t="s">
        <v>170</v>
      </c>
      <c r="H1555" s="4" t="s">
        <v>171</v>
      </c>
      <c r="I1555" s="4" t="s">
        <v>172</v>
      </c>
      <c r="J1555" s="4" t="s">
        <v>1745</v>
      </c>
      <c r="K1555" s="4" t="s">
        <v>76</v>
      </c>
      <c r="L1555" s="4" t="s">
        <v>77</v>
      </c>
      <c r="M1555" s="4"/>
      <c r="N1555" s="4"/>
      <c r="O1555" s="4"/>
      <c r="P1555" s="4"/>
      <c r="Q1555" s="4"/>
      <c r="R1555" s="4"/>
      <c r="S1555" s="13" t="n">
        <v>0</v>
      </c>
      <c r="T1555" s="4" t="s">
        <v>173</v>
      </c>
      <c r="U1555" s="14" t="n">
        <f aca="false">IF(OR($S1555="",PARAMETROS!$B$4=""),"",$S1555*PARAMETROS!$B$4)</f>
        <v>0</v>
      </c>
      <c r="V1555" s="13" t="n">
        <v>0</v>
      </c>
      <c r="W1555" s="4"/>
      <c r="X1555" s="4"/>
      <c r="Y1555" s="4"/>
      <c r="Z1555" s="4"/>
      <c r="AA1555" s="4"/>
      <c r="AB1555" s="4"/>
      <c r="AC1555" s="4"/>
      <c r="AD1555" s="4"/>
      <c r="AE1555" s="4"/>
      <c r="AF1555" s="4"/>
      <c r="AG1555" s="4"/>
      <c r="AH1555" s="4"/>
      <c r="AI1555" s="4"/>
      <c r="AJ1555" s="4"/>
      <c r="AK1555" s="4"/>
      <c r="AL1555" s="4" t="s">
        <v>1692</v>
      </c>
      <c r="AM1555" s="4" t="s">
        <v>1714</v>
      </c>
    </row>
    <row r="1556" customFormat="false" ht="23.85" hidden="false" customHeight="false" outlineLevel="0" collapsed="false">
      <c r="A1556" s="4" t="s">
        <v>167</v>
      </c>
      <c r="B1556" s="4" t="s">
        <v>1746</v>
      </c>
      <c r="C1556" s="4" t="s">
        <v>1746</v>
      </c>
      <c r="D1556" s="12" t="n">
        <v>2024</v>
      </c>
      <c r="E1556" s="4"/>
      <c r="F1556" s="4" t="s">
        <v>169</v>
      </c>
      <c r="G1556" s="4" t="s">
        <v>170</v>
      </c>
      <c r="H1556" s="4" t="s">
        <v>171</v>
      </c>
      <c r="I1556" s="4" t="s">
        <v>172</v>
      </c>
      <c r="J1556" s="4" t="s">
        <v>1746</v>
      </c>
      <c r="K1556" s="4" t="s">
        <v>78</v>
      </c>
      <c r="L1556" s="4" t="s">
        <v>79</v>
      </c>
      <c r="M1556" s="4"/>
      <c r="N1556" s="4"/>
      <c r="O1556" s="4"/>
      <c r="P1556" s="4"/>
      <c r="Q1556" s="4"/>
      <c r="R1556" s="4"/>
      <c r="S1556" s="13" t="n">
        <v>179.86</v>
      </c>
      <c r="T1556" s="4" t="s">
        <v>173</v>
      </c>
      <c r="U1556" s="14" t="n">
        <f aca="false">IF(OR($S1556="",PARAMETROS!$B$4=""),"",$S1556*PARAMETROS!$B$4)</f>
        <v>1044.9866</v>
      </c>
      <c r="V1556" s="13" t="n">
        <v>0</v>
      </c>
      <c r="W1556" s="4"/>
      <c r="X1556" s="4"/>
      <c r="Y1556" s="4"/>
      <c r="Z1556" s="4"/>
      <c r="AA1556" s="4"/>
      <c r="AB1556" s="4"/>
      <c r="AC1556" s="4"/>
      <c r="AD1556" s="4"/>
      <c r="AE1556" s="4"/>
      <c r="AF1556" s="4"/>
      <c r="AG1556" s="4"/>
      <c r="AH1556" s="4"/>
      <c r="AI1556" s="4"/>
      <c r="AJ1556" s="4"/>
      <c r="AK1556" s="4"/>
      <c r="AL1556" s="4" t="s">
        <v>1692</v>
      </c>
      <c r="AM1556" s="4" t="s">
        <v>1747</v>
      </c>
    </row>
    <row r="1557" customFormat="false" ht="23.85" hidden="false" customHeight="false" outlineLevel="0" collapsed="false">
      <c r="A1557" s="4" t="s">
        <v>167</v>
      </c>
      <c r="B1557" s="4" t="s">
        <v>1748</v>
      </c>
      <c r="C1557" s="4" t="s">
        <v>1748</v>
      </c>
      <c r="D1557" s="12" t="n">
        <v>2024</v>
      </c>
      <c r="E1557" s="4"/>
      <c r="F1557" s="4" t="s">
        <v>169</v>
      </c>
      <c r="G1557" s="4" t="s">
        <v>170</v>
      </c>
      <c r="H1557" s="4" t="s">
        <v>171</v>
      </c>
      <c r="I1557" s="4" t="s">
        <v>172</v>
      </c>
      <c r="J1557" s="4" t="s">
        <v>1748</v>
      </c>
      <c r="K1557" s="4" t="s">
        <v>78</v>
      </c>
      <c r="L1557" s="4" t="s">
        <v>79</v>
      </c>
      <c r="M1557" s="4"/>
      <c r="N1557" s="4"/>
      <c r="O1557" s="4"/>
      <c r="P1557" s="4"/>
      <c r="Q1557" s="4"/>
      <c r="R1557" s="4"/>
      <c r="S1557" s="13" t="n">
        <v>0</v>
      </c>
      <c r="T1557" s="4" t="s">
        <v>173</v>
      </c>
      <c r="U1557" s="14" t="n">
        <f aca="false">IF(OR($S1557="",PARAMETROS!$B$4=""),"",$S1557*PARAMETROS!$B$4)</f>
        <v>0</v>
      </c>
      <c r="V1557" s="13" t="n">
        <v>0</v>
      </c>
      <c r="W1557" s="4"/>
      <c r="X1557" s="4"/>
      <c r="Y1557" s="4"/>
      <c r="Z1557" s="4"/>
      <c r="AA1557" s="4"/>
      <c r="AB1557" s="4"/>
      <c r="AC1557" s="4"/>
      <c r="AD1557" s="4"/>
      <c r="AE1557" s="4"/>
      <c r="AF1557" s="4"/>
      <c r="AG1557" s="4"/>
      <c r="AH1557" s="4"/>
      <c r="AI1557" s="4"/>
      <c r="AJ1557" s="4"/>
      <c r="AK1557" s="4"/>
      <c r="AL1557" s="4" t="s">
        <v>1692</v>
      </c>
      <c r="AM1557" s="4" t="s">
        <v>1747</v>
      </c>
    </row>
    <row r="1558" customFormat="false" ht="23.85" hidden="false" customHeight="false" outlineLevel="0" collapsed="false">
      <c r="A1558" s="4" t="s">
        <v>167</v>
      </c>
      <c r="B1558" s="4" t="s">
        <v>1749</v>
      </c>
      <c r="C1558" s="4" t="s">
        <v>1749</v>
      </c>
      <c r="D1558" s="12" t="n">
        <v>2024</v>
      </c>
      <c r="E1558" s="4"/>
      <c r="F1558" s="4" t="s">
        <v>169</v>
      </c>
      <c r="G1558" s="4" t="s">
        <v>170</v>
      </c>
      <c r="H1558" s="4" t="s">
        <v>171</v>
      </c>
      <c r="I1558" s="4" t="s">
        <v>172</v>
      </c>
      <c r="J1558" s="4" t="s">
        <v>1749</v>
      </c>
      <c r="K1558" s="4" t="s">
        <v>78</v>
      </c>
      <c r="L1558" s="4" t="s">
        <v>79</v>
      </c>
      <c r="M1558" s="4"/>
      <c r="N1558" s="4"/>
      <c r="O1558" s="4"/>
      <c r="P1558" s="4"/>
      <c r="Q1558" s="4"/>
      <c r="R1558" s="4"/>
      <c r="S1558" s="13" t="n">
        <v>0</v>
      </c>
      <c r="T1558" s="4" t="s">
        <v>173</v>
      </c>
      <c r="U1558" s="14" t="n">
        <f aca="false">IF(OR($S1558="",PARAMETROS!$B$4=""),"",$S1558*PARAMETROS!$B$4)</f>
        <v>0</v>
      </c>
      <c r="V1558" s="13" t="n">
        <v>0</v>
      </c>
      <c r="W1558" s="4"/>
      <c r="X1558" s="4"/>
      <c r="Y1558" s="4"/>
      <c r="Z1558" s="4"/>
      <c r="AA1558" s="4"/>
      <c r="AB1558" s="4"/>
      <c r="AC1558" s="4"/>
      <c r="AD1558" s="4"/>
      <c r="AE1558" s="4"/>
      <c r="AF1558" s="4"/>
      <c r="AG1558" s="4"/>
      <c r="AH1558" s="4"/>
      <c r="AI1558" s="4"/>
      <c r="AJ1558" s="4"/>
      <c r="AK1558" s="4"/>
      <c r="AL1558" s="4" t="s">
        <v>1692</v>
      </c>
      <c r="AM1558" s="4" t="s">
        <v>1747</v>
      </c>
    </row>
    <row r="1559" customFormat="false" ht="23.85" hidden="false" customHeight="false" outlineLevel="0" collapsed="false">
      <c r="A1559" s="4" t="s">
        <v>167</v>
      </c>
      <c r="B1559" s="4" t="s">
        <v>1750</v>
      </c>
      <c r="C1559" s="4" t="s">
        <v>1750</v>
      </c>
      <c r="D1559" s="12" t="n">
        <v>2024</v>
      </c>
      <c r="E1559" s="4"/>
      <c r="F1559" s="4" t="s">
        <v>169</v>
      </c>
      <c r="G1559" s="4" t="s">
        <v>170</v>
      </c>
      <c r="H1559" s="4" t="s">
        <v>171</v>
      </c>
      <c r="I1559" s="4" t="s">
        <v>172</v>
      </c>
      <c r="J1559" s="4" t="s">
        <v>1750</v>
      </c>
      <c r="K1559" s="4" t="s">
        <v>78</v>
      </c>
      <c r="L1559" s="4" t="s">
        <v>79</v>
      </c>
      <c r="M1559" s="4"/>
      <c r="N1559" s="4"/>
      <c r="O1559" s="4"/>
      <c r="P1559" s="4"/>
      <c r="Q1559" s="4"/>
      <c r="R1559" s="4"/>
      <c r="S1559" s="13" t="n">
        <v>0</v>
      </c>
      <c r="T1559" s="4" t="s">
        <v>173</v>
      </c>
      <c r="U1559" s="14" t="n">
        <f aca="false">IF(OR($S1559="",PARAMETROS!$B$4=""),"",$S1559*PARAMETROS!$B$4)</f>
        <v>0</v>
      </c>
      <c r="V1559" s="13" t="n">
        <v>0</v>
      </c>
      <c r="W1559" s="4"/>
      <c r="X1559" s="4"/>
      <c r="Y1559" s="4"/>
      <c r="Z1559" s="4"/>
      <c r="AA1559" s="4"/>
      <c r="AB1559" s="4"/>
      <c r="AC1559" s="4"/>
      <c r="AD1559" s="4"/>
      <c r="AE1559" s="4"/>
      <c r="AF1559" s="4"/>
      <c r="AG1559" s="4"/>
      <c r="AH1559" s="4"/>
      <c r="AI1559" s="4"/>
      <c r="AJ1559" s="4"/>
      <c r="AK1559" s="4"/>
      <c r="AL1559" s="4" t="s">
        <v>1692</v>
      </c>
      <c r="AM1559" s="4" t="s">
        <v>1747</v>
      </c>
    </row>
    <row r="1560" customFormat="false" ht="23.85" hidden="false" customHeight="false" outlineLevel="0" collapsed="false">
      <c r="A1560" s="4" t="s">
        <v>167</v>
      </c>
      <c r="B1560" s="4" t="s">
        <v>1751</v>
      </c>
      <c r="C1560" s="4" t="s">
        <v>1751</v>
      </c>
      <c r="D1560" s="12" t="n">
        <v>2024</v>
      </c>
      <c r="E1560" s="4"/>
      <c r="F1560" s="4" t="s">
        <v>169</v>
      </c>
      <c r="G1560" s="4" t="s">
        <v>170</v>
      </c>
      <c r="H1560" s="4" t="s">
        <v>171</v>
      </c>
      <c r="I1560" s="4" t="s">
        <v>172</v>
      </c>
      <c r="J1560" s="4" t="s">
        <v>1751</v>
      </c>
      <c r="K1560" s="4" t="s">
        <v>78</v>
      </c>
      <c r="L1560" s="4" t="s">
        <v>79</v>
      </c>
      <c r="M1560" s="4"/>
      <c r="N1560" s="4"/>
      <c r="O1560" s="4"/>
      <c r="P1560" s="4"/>
      <c r="Q1560" s="4"/>
      <c r="R1560" s="4"/>
      <c r="S1560" s="13" t="n">
        <v>0</v>
      </c>
      <c r="T1560" s="4" t="s">
        <v>173</v>
      </c>
      <c r="U1560" s="14" t="n">
        <f aca="false">IF(OR($S1560="",PARAMETROS!$B$4=""),"",$S1560*PARAMETROS!$B$4)</f>
        <v>0</v>
      </c>
      <c r="V1560" s="13" t="n">
        <v>0</v>
      </c>
      <c r="W1560" s="4"/>
      <c r="X1560" s="4"/>
      <c r="Y1560" s="4"/>
      <c r="Z1560" s="4"/>
      <c r="AA1560" s="4"/>
      <c r="AB1560" s="4"/>
      <c r="AC1560" s="4"/>
      <c r="AD1560" s="4"/>
      <c r="AE1560" s="4"/>
      <c r="AF1560" s="4"/>
      <c r="AG1560" s="4"/>
      <c r="AH1560" s="4"/>
      <c r="AI1560" s="4"/>
      <c r="AJ1560" s="4"/>
      <c r="AK1560" s="4"/>
      <c r="AL1560" s="4" t="s">
        <v>1692</v>
      </c>
      <c r="AM1560" s="4" t="s">
        <v>1698</v>
      </c>
    </row>
    <row r="1561" customFormat="false" ht="23.85" hidden="false" customHeight="false" outlineLevel="0" collapsed="false">
      <c r="A1561" s="4" t="s">
        <v>167</v>
      </c>
      <c r="B1561" s="4" t="s">
        <v>1752</v>
      </c>
      <c r="C1561" s="4" t="s">
        <v>1752</v>
      </c>
      <c r="D1561" s="12" t="n">
        <v>2024</v>
      </c>
      <c r="E1561" s="4"/>
      <c r="F1561" s="4" t="s">
        <v>169</v>
      </c>
      <c r="G1561" s="4" t="s">
        <v>170</v>
      </c>
      <c r="H1561" s="4" t="s">
        <v>171</v>
      </c>
      <c r="I1561" s="4" t="s">
        <v>172</v>
      </c>
      <c r="J1561" s="4" t="s">
        <v>1752</v>
      </c>
      <c r="K1561" s="4" t="s">
        <v>78</v>
      </c>
      <c r="L1561" s="4" t="s">
        <v>79</v>
      </c>
      <c r="M1561" s="4"/>
      <c r="N1561" s="4"/>
      <c r="O1561" s="4"/>
      <c r="P1561" s="4"/>
      <c r="Q1561" s="4"/>
      <c r="R1561" s="4"/>
      <c r="S1561" s="13" t="n">
        <v>-179.86</v>
      </c>
      <c r="T1561" s="4" t="s">
        <v>173</v>
      </c>
      <c r="U1561" s="14" t="n">
        <f aca="false">IF(OR($S1561="",PARAMETROS!$B$4=""),"",$S1561*PARAMETROS!$B$4)</f>
        <v>-1044.9866</v>
      </c>
      <c r="V1561" s="13" t="n">
        <v>0</v>
      </c>
      <c r="W1561" s="4"/>
      <c r="X1561" s="4"/>
      <c r="Y1561" s="4"/>
      <c r="Z1561" s="4"/>
      <c r="AA1561" s="4"/>
      <c r="AB1561" s="4"/>
      <c r="AC1561" s="4"/>
      <c r="AD1561" s="4"/>
      <c r="AE1561" s="4"/>
      <c r="AF1561" s="4"/>
      <c r="AG1561" s="4"/>
      <c r="AH1561" s="4"/>
      <c r="AI1561" s="4"/>
      <c r="AJ1561" s="4"/>
      <c r="AK1561" s="4"/>
      <c r="AL1561" s="4" t="s">
        <v>1692</v>
      </c>
      <c r="AM1561" s="4" t="s">
        <v>1700</v>
      </c>
    </row>
    <row r="1562" customFormat="false" ht="23.85" hidden="false" customHeight="false" outlineLevel="0" collapsed="false">
      <c r="A1562" s="4" t="s">
        <v>167</v>
      </c>
      <c r="B1562" s="4" t="s">
        <v>1753</v>
      </c>
      <c r="C1562" s="4" t="s">
        <v>1753</v>
      </c>
      <c r="D1562" s="12" t="n">
        <v>2024</v>
      </c>
      <c r="E1562" s="4"/>
      <c r="F1562" s="4" t="s">
        <v>169</v>
      </c>
      <c r="G1562" s="4" t="s">
        <v>170</v>
      </c>
      <c r="H1562" s="4" t="s">
        <v>171</v>
      </c>
      <c r="I1562" s="4" t="s">
        <v>172</v>
      </c>
      <c r="J1562" s="4" t="s">
        <v>1753</v>
      </c>
      <c r="K1562" s="4" t="s">
        <v>78</v>
      </c>
      <c r="L1562" s="4" t="s">
        <v>79</v>
      </c>
      <c r="M1562" s="4"/>
      <c r="N1562" s="4"/>
      <c r="O1562" s="4"/>
      <c r="P1562" s="4"/>
      <c r="Q1562" s="4"/>
      <c r="R1562" s="4"/>
      <c r="S1562" s="13" t="n">
        <v>0</v>
      </c>
      <c r="T1562" s="4" t="s">
        <v>173</v>
      </c>
      <c r="U1562" s="14" t="n">
        <f aca="false">IF(OR($S1562="",PARAMETROS!$B$4=""),"",$S1562*PARAMETROS!$B$4)</f>
        <v>0</v>
      </c>
      <c r="V1562" s="13" t="n">
        <v>0</v>
      </c>
      <c r="W1562" s="4"/>
      <c r="X1562" s="4"/>
      <c r="Y1562" s="4"/>
      <c r="Z1562" s="4"/>
      <c r="AA1562" s="4"/>
      <c r="AB1562" s="4"/>
      <c r="AC1562" s="4"/>
      <c r="AD1562" s="4"/>
      <c r="AE1562" s="4"/>
      <c r="AF1562" s="4"/>
      <c r="AG1562" s="4"/>
      <c r="AH1562" s="4"/>
      <c r="AI1562" s="4"/>
      <c r="AJ1562" s="4"/>
      <c r="AK1562" s="4"/>
      <c r="AL1562" s="4" t="s">
        <v>1692</v>
      </c>
      <c r="AM1562" s="4" t="s">
        <v>1723</v>
      </c>
    </row>
    <row r="1563" customFormat="false" ht="23.85" hidden="false" customHeight="false" outlineLevel="0" collapsed="false">
      <c r="A1563" s="4" t="s">
        <v>167</v>
      </c>
      <c r="B1563" s="4" t="s">
        <v>1754</v>
      </c>
      <c r="C1563" s="4" t="s">
        <v>1754</v>
      </c>
      <c r="D1563" s="12" t="n">
        <v>2024</v>
      </c>
      <c r="E1563" s="4"/>
      <c r="F1563" s="4" t="s">
        <v>169</v>
      </c>
      <c r="G1563" s="4" t="s">
        <v>170</v>
      </c>
      <c r="H1563" s="4" t="s">
        <v>171</v>
      </c>
      <c r="I1563" s="4" t="s">
        <v>172</v>
      </c>
      <c r="J1563" s="4" t="s">
        <v>1754</v>
      </c>
      <c r="K1563" s="4" t="s">
        <v>78</v>
      </c>
      <c r="L1563" s="4" t="s">
        <v>79</v>
      </c>
      <c r="M1563" s="4"/>
      <c r="N1563" s="4"/>
      <c r="O1563" s="4"/>
      <c r="P1563" s="4"/>
      <c r="Q1563" s="4"/>
      <c r="R1563" s="4"/>
      <c r="S1563" s="13" t="n">
        <v>0</v>
      </c>
      <c r="T1563" s="4" t="s">
        <v>173</v>
      </c>
      <c r="U1563" s="14" t="n">
        <f aca="false">IF(OR($S1563="",PARAMETROS!$B$4=""),"",$S1563*PARAMETROS!$B$4)</f>
        <v>0</v>
      </c>
      <c r="V1563" s="13" t="n">
        <v>0</v>
      </c>
      <c r="W1563" s="4"/>
      <c r="X1563" s="4"/>
      <c r="Y1563" s="4"/>
      <c r="Z1563" s="4"/>
      <c r="AA1563" s="4"/>
      <c r="AB1563" s="4"/>
      <c r="AC1563" s="4"/>
      <c r="AD1563" s="4"/>
      <c r="AE1563" s="4"/>
      <c r="AF1563" s="4"/>
      <c r="AG1563" s="4"/>
      <c r="AH1563" s="4"/>
      <c r="AI1563" s="4"/>
      <c r="AJ1563" s="4"/>
      <c r="AK1563" s="4"/>
      <c r="AL1563" s="4" t="s">
        <v>1692</v>
      </c>
      <c r="AM1563" s="4" t="s">
        <v>1704</v>
      </c>
    </row>
    <row r="1564" customFormat="false" ht="23.85" hidden="false" customHeight="false" outlineLevel="0" collapsed="false">
      <c r="A1564" s="4" t="s">
        <v>167</v>
      </c>
      <c r="B1564" s="4" t="s">
        <v>1755</v>
      </c>
      <c r="C1564" s="4" t="s">
        <v>1755</v>
      </c>
      <c r="D1564" s="12" t="n">
        <v>2024</v>
      </c>
      <c r="E1564" s="4"/>
      <c r="F1564" s="4" t="s">
        <v>169</v>
      </c>
      <c r="G1564" s="4" t="s">
        <v>170</v>
      </c>
      <c r="H1564" s="4" t="s">
        <v>171</v>
      </c>
      <c r="I1564" s="4" t="s">
        <v>172</v>
      </c>
      <c r="J1564" s="4" t="s">
        <v>1755</v>
      </c>
      <c r="K1564" s="4" t="s">
        <v>78</v>
      </c>
      <c r="L1564" s="4" t="s">
        <v>79</v>
      </c>
      <c r="M1564" s="4"/>
      <c r="N1564" s="4"/>
      <c r="O1564" s="4"/>
      <c r="P1564" s="4"/>
      <c r="Q1564" s="4"/>
      <c r="R1564" s="4"/>
      <c r="S1564" s="13" t="n">
        <v>0</v>
      </c>
      <c r="T1564" s="4" t="s">
        <v>173</v>
      </c>
      <c r="U1564" s="14" t="n">
        <f aca="false">IF(OR($S1564="",PARAMETROS!$B$4=""),"",$S1564*PARAMETROS!$B$4)</f>
        <v>0</v>
      </c>
      <c r="V1564" s="13" t="n">
        <v>0</v>
      </c>
      <c r="W1564" s="4"/>
      <c r="X1564" s="4"/>
      <c r="Y1564" s="4"/>
      <c r="Z1564" s="4"/>
      <c r="AA1564" s="4"/>
      <c r="AB1564" s="4"/>
      <c r="AC1564" s="4"/>
      <c r="AD1564" s="4"/>
      <c r="AE1564" s="4"/>
      <c r="AF1564" s="4"/>
      <c r="AG1564" s="4"/>
      <c r="AH1564" s="4"/>
      <c r="AI1564" s="4"/>
      <c r="AJ1564" s="4"/>
      <c r="AK1564" s="4"/>
      <c r="AL1564" s="4" t="s">
        <v>1692</v>
      </c>
      <c r="AM1564" s="4" t="s">
        <v>1747</v>
      </c>
    </row>
    <row r="1565" customFormat="false" ht="23.85" hidden="false" customHeight="false" outlineLevel="0" collapsed="false">
      <c r="A1565" s="4" t="s">
        <v>167</v>
      </c>
      <c r="B1565" s="4" t="s">
        <v>1756</v>
      </c>
      <c r="C1565" s="4" t="s">
        <v>1756</v>
      </c>
      <c r="D1565" s="12" t="n">
        <v>2024</v>
      </c>
      <c r="E1565" s="4"/>
      <c r="F1565" s="4" t="s">
        <v>169</v>
      </c>
      <c r="G1565" s="4" t="s">
        <v>170</v>
      </c>
      <c r="H1565" s="4" t="s">
        <v>171</v>
      </c>
      <c r="I1565" s="4" t="s">
        <v>172</v>
      </c>
      <c r="J1565" s="4" t="s">
        <v>1756</v>
      </c>
      <c r="K1565" s="4" t="s">
        <v>78</v>
      </c>
      <c r="L1565" s="4" t="s">
        <v>79</v>
      </c>
      <c r="M1565" s="4"/>
      <c r="N1565" s="4"/>
      <c r="O1565" s="4"/>
      <c r="P1565" s="4"/>
      <c r="Q1565" s="4"/>
      <c r="R1565" s="4"/>
      <c r="S1565" s="13" t="n">
        <v>0</v>
      </c>
      <c r="T1565" s="4" t="s">
        <v>173</v>
      </c>
      <c r="U1565" s="14" t="n">
        <f aca="false">IF(OR($S1565="",PARAMETROS!$B$4=""),"",$S1565*PARAMETROS!$B$4)</f>
        <v>0</v>
      </c>
      <c r="V1565" s="13" t="n">
        <v>0</v>
      </c>
      <c r="W1565" s="4"/>
      <c r="X1565" s="4"/>
      <c r="Y1565" s="4"/>
      <c r="Z1565" s="4"/>
      <c r="AA1565" s="4"/>
      <c r="AB1565" s="4"/>
      <c r="AC1565" s="4"/>
      <c r="AD1565" s="4"/>
      <c r="AE1565" s="4"/>
      <c r="AF1565" s="4"/>
      <c r="AG1565" s="4"/>
      <c r="AH1565" s="4"/>
      <c r="AI1565" s="4"/>
      <c r="AJ1565" s="4"/>
      <c r="AK1565" s="4"/>
      <c r="AL1565" s="4" t="s">
        <v>1692</v>
      </c>
      <c r="AM1565" s="4" t="s">
        <v>1707</v>
      </c>
    </row>
    <row r="1566" customFormat="false" ht="23.85" hidden="false" customHeight="false" outlineLevel="0" collapsed="false">
      <c r="A1566" s="4" t="s">
        <v>167</v>
      </c>
      <c r="B1566" s="4" t="s">
        <v>1757</v>
      </c>
      <c r="C1566" s="4" t="s">
        <v>1757</v>
      </c>
      <c r="D1566" s="12" t="n">
        <v>2024</v>
      </c>
      <c r="E1566" s="4"/>
      <c r="F1566" s="4" t="s">
        <v>169</v>
      </c>
      <c r="G1566" s="4" t="s">
        <v>170</v>
      </c>
      <c r="H1566" s="4" t="s">
        <v>171</v>
      </c>
      <c r="I1566" s="4" t="s">
        <v>172</v>
      </c>
      <c r="J1566" s="4" t="s">
        <v>1757</v>
      </c>
      <c r="K1566" s="4" t="s">
        <v>78</v>
      </c>
      <c r="L1566" s="4" t="s">
        <v>79</v>
      </c>
      <c r="M1566" s="4"/>
      <c r="N1566" s="4"/>
      <c r="O1566" s="4"/>
      <c r="P1566" s="4"/>
      <c r="Q1566" s="4"/>
      <c r="R1566" s="4"/>
      <c r="S1566" s="13" t="n">
        <v>0</v>
      </c>
      <c r="T1566" s="4" t="s">
        <v>173</v>
      </c>
      <c r="U1566" s="14" t="n">
        <f aca="false">IF(OR($S1566="",PARAMETROS!$B$4=""),"",$S1566*PARAMETROS!$B$4)</f>
        <v>0</v>
      </c>
      <c r="V1566" s="13" t="n">
        <v>0</v>
      </c>
      <c r="W1566" s="4"/>
      <c r="X1566" s="4"/>
      <c r="Y1566" s="4"/>
      <c r="Z1566" s="4"/>
      <c r="AA1566" s="4"/>
      <c r="AB1566" s="4"/>
      <c r="AC1566" s="4"/>
      <c r="AD1566" s="4"/>
      <c r="AE1566" s="4"/>
      <c r="AF1566" s="4"/>
      <c r="AG1566" s="4"/>
      <c r="AH1566" s="4"/>
      <c r="AI1566" s="4"/>
      <c r="AJ1566" s="4"/>
      <c r="AK1566" s="4"/>
      <c r="AL1566" s="4" t="s">
        <v>1692</v>
      </c>
      <c r="AM1566" s="4" t="s">
        <v>1709</v>
      </c>
    </row>
    <row r="1567" customFormat="false" ht="23.85" hidden="false" customHeight="false" outlineLevel="0" collapsed="false">
      <c r="A1567" s="4" t="s">
        <v>167</v>
      </c>
      <c r="B1567" s="4" t="s">
        <v>1758</v>
      </c>
      <c r="C1567" s="4" t="s">
        <v>1758</v>
      </c>
      <c r="D1567" s="12" t="n">
        <v>2024</v>
      </c>
      <c r="E1567" s="4"/>
      <c r="F1567" s="4" t="s">
        <v>169</v>
      </c>
      <c r="G1567" s="4" t="s">
        <v>170</v>
      </c>
      <c r="H1567" s="4" t="s">
        <v>171</v>
      </c>
      <c r="I1567" s="4" t="s">
        <v>172</v>
      </c>
      <c r="J1567" s="4" t="s">
        <v>1758</v>
      </c>
      <c r="K1567" s="4" t="s">
        <v>78</v>
      </c>
      <c r="L1567" s="4" t="s">
        <v>79</v>
      </c>
      <c r="M1567" s="4"/>
      <c r="N1567" s="4"/>
      <c r="O1567" s="4"/>
      <c r="P1567" s="4"/>
      <c r="Q1567" s="4"/>
      <c r="R1567" s="4"/>
      <c r="S1567" s="13" t="n">
        <v>0</v>
      </c>
      <c r="T1567" s="4" t="s">
        <v>173</v>
      </c>
      <c r="U1567" s="14" t="n">
        <f aca="false">IF(OR($S1567="",PARAMETROS!$B$4=""),"",$S1567*PARAMETROS!$B$4)</f>
        <v>0</v>
      </c>
      <c r="V1567" s="13" t="n">
        <v>0</v>
      </c>
      <c r="W1567" s="4"/>
      <c r="X1567" s="4"/>
      <c r="Y1567" s="4"/>
      <c r="Z1567" s="4"/>
      <c r="AA1567" s="4"/>
      <c r="AB1567" s="4"/>
      <c r="AC1567" s="4"/>
      <c r="AD1567" s="4"/>
      <c r="AE1567" s="4"/>
      <c r="AF1567" s="4"/>
      <c r="AG1567" s="4"/>
      <c r="AH1567" s="4"/>
      <c r="AI1567" s="4"/>
      <c r="AJ1567" s="4"/>
      <c r="AK1567" s="4"/>
      <c r="AL1567" s="4" t="s">
        <v>1692</v>
      </c>
      <c r="AM1567" s="4" t="s">
        <v>1711</v>
      </c>
    </row>
    <row r="1568" customFormat="false" ht="23.85" hidden="false" customHeight="false" outlineLevel="0" collapsed="false">
      <c r="A1568" s="4" t="s">
        <v>167</v>
      </c>
      <c r="B1568" s="4" t="s">
        <v>1759</v>
      </c>
      <c r="C1568" s="4" t="s">
        <v>1759</v>
      </c>
      <c r="D1568" s="12" t="n">
        <v>2024</v>
      </c>
      <c r="E1568" s="4"/>
      <c r="F1568" s="4" t="s">
        <v>169</v>
      </c>
      <c r="G1568" s="4" t="s">
        <v>170</v>
      </c>
      <c r="H1568" s="4" t="s">
        <v>171</v>
      </c>
      <c r="I1568" s="4" t="s">
        <v>172</v>
      </c>
      <c r="J1568" s="4" t="s">
        <v>1759</v>
      </c>
      <c r="K1568" s="4" t="s">
        <v>78</v>
      </c>
      <c r="L1568" s="4" t="s">
        <v>79</v>
      </c>
      <c r="M1568" s="4"/>
      <c r="N1568" s="4"/>
      <c r="O1568" s="4"/>
      <c r="P1568" s="4"/>
      <c r="Q1568" s="4"/>
      <c r="R1568" s="4"/>
      <c r="S1568" s="13" t="n">
        <v>0</v>
      </c>
      <c r="T1568" s="4" t="s">
        <v>173</v>
      </c>
      <c r="U1568" s="14" t="n">
        <f aca="false">IF(OR($S1568="",PARAMETROS!$B$4=""),"",$S1568*PARAMETROS!$B$4)</f>
        <v>0</v>
      </c>
      <c r="V1568" s="13" t="n">
        <v>0</v>
      </c>
      <c r="W1568" s="4"/>
      <c r="X1568" s="4"/>
      <c r="Y1568" s="4"/>
      <c r="Z1568" s="4"/>
      <c r="AA1568" s="4"/>
      <c r="AB1568" s="4"/>
      <c r="AC1568" s="4"/>
      <c r="AD1568" s="4"/>
      <c r="AE1568" s="4"/>
      <c r="AF1568" s="4"/>
      <c r="AG1568" s="4"/>
      <c r="AH1568" s="4"/>
      <c r="AI1568" s="4"/>
      <c r="AJ1568" s="4"/>
      <c r="AK1568" s="4"/>
      <c r="AL1568" s="4" t="s">
        <v>1692</v>
      </c>
      <c r="AM1568" s="4" t="s">
        <v>1747</v>
      </c>
    </row>
    <row r="1569" customFormat="false" ht="23.85" hidden="false" customHeight="false" outlineLevel="0" collapsed="false">
      <c r="A1569" s="4" t="s">
        <v>167</v>
      </c>
      <c r="B1569" s="4" t="s">
        <v>1760</v>
      </c>
      <c r="C1569" s="4" t="s">
        <v>1760</v>
      </c>
      <c r="D1569" s="12" t="n">
        <v>2024</v>
      </c>
      <c r="E1569" s="4"/>
      <c r="F1569" s="4" t="s">
        <v>169</v>
      </c>
      <c r="G1569" s="4" t="s">
        <v>170</v>
      </c>
      <c r="H1569" s="4" t="s">
        <v>171</v>
      </c>
      <c r="I1569" s="4" t="s">
        <v>172</v>
      </c>
      <c r="J1569" s="4" t="s">
        <v>1760</v>
      </c>
      <c r="K1569" s="4" t="s">
        <v>78</v>
      </c>
      <c r="L1569" s="4" t="s">
        <v>79</v>
      </c>
      <c r="M1569" s="4"/>
      <c r="N1569" s="4"/>
      <c r="O1569" s="4"/>
      <c r="P1569" s="4"/>
      <c r="Q1569" s="4"/>
      <c r="R1569" s="4"/>
      <c r="S1569" s="13" t="n">
        <v>0</v>
      </c>
      <c r="T1569" s="4" t="s">
        <v>173</v>
      </c>
      <c r="U1569" s="14" t="n">
        <f aca="false">IF(OR($S1569="",PARAMETROS!$B$4=""),"",$S1569*PARAMETROS!$B$4)</f>
        <v>0</v>
      </c>
      <c r="V1569" s="13" t="n">
        <v>0</v>
      </c>
      <c r="W1569" s="4"/>
      <c r="X1569" s="4"/>
      <c r="Y1569" s="4"/>
      <c r="Z1569" s="4"/>
      <c r="AA1569" s="4"/>
      <c r="AB1569" s="4"/>
      <c r="AC1569" s="4"/>
      <c r="AD1569" s="4"/>
      <c r="AE1569" s="4"/>
      <c r="AF1569" s="4"/>
      <c r="AG1569" s="4"/>
      <c r="AH1569" s="4"/>
      <c r="AI1569" s="4"/>
      <c r="AJ1569" s="4"/>
      <c r="AK1569" s="4"/>
      <c r="AL1569" s="4" t="s">
        <v>1692</v>
      </c>
      <c r="AM1569" s="4" t="s">
        <v>1714</v>
      </c>
    </row>
    <row r="1570" customFormat="false" ht="23.85" hidden="false" customHeight="false" outlineLevel="0" collapsed="false">
      <c r="A1570" s="4" t="s">
        <v>167</v>
      </c>
      <c r="B1570" s="4" t="s">
        <v>1761</v>
      </c>
      <c r="C1570" s="4" t="s">
        <v>1761</v>
      </c>
      <c r="D1570" s="12" t="n">
        <v>2024</v>
      </c>
      <c r="E1570" s="4"/>
      <c r="F1570" s="4" t="s">
        <v>169</v>
      </c>
      <c r="G1570" s="4" t="s">
        <v>170</v>
      </c>
      <c r="H1570" s="4" t="s">
        <v>171</v>
      </c>
      <c r="I1570" s="4" t="s">
        <v>172</v>
      </c>
      <c r="J1570" s="4" t="s">
        <v>1761</v>
      </c>
      <c r="K1570" s="4" t="s">
        <v>80</v>
      </c>
      <c r="L1570" s="4" t="s">
        <v>81</v>
      </c>
      <c r="M1570" s="4"/>
      <c r="N1570" s="4"/>
      <c r="O1570" s="4"/>
      <c r="P1570" s="4"/>
      <c r="Q1570" s="4"/>
      <c r="R1570" s="4"/>
      <c r="S1570" s="13" t="n">
        <v>1970.58</v>
      </c>
      <c r="T1570" s="4" t="s">
        <v>173</v>
      </c>
      <c r="U1570" s="14" t="n">
        <f aca="false">IF(OR($S1570="",PARAMETROS!$B$4=""),"",$S1570*PARAMETROS!$B$4)</f>
        <v>11449.0698</v>
      </c>
      <c r="V1570" s="13" t="n">
        <v>0</v>
      </c>
      <c r="W1570" s="4"/>
      <c r="X1570" s="4"/>
      <c r="Y1570" s="4"/>
      <c r="Z1570" s="4"/>
      <c r="AA1570" s="4"/>
      <c r="AB1570" s="4"/>
      <c r="AC1570" s="4"/>
      <c r="AD1570" s="4"/>
      <c r="AE1570" s="4"/>
      <c r="AF1570" s="4"/>
      <c r="AG1570" s="4"/>
      <c r="AH1570" s="4"/>
      <c r="AI1570" s="4"/>
      <c r="AJ1570" s="4"/>
      <c r="AK1570" s="4"/>
      <c r="AL1570" s="4" t="s">
        <v>1692</v>
      </c>
      <c r="AM1570" s="4" t="s">
        <v>1762</v>
      </c>
    </row>
    <row r="1571" customFormat="false" ht="23.85" hidden="false" customHeight="false" outlineLevel="0" collapsed="false">
      <c r="A1571" s="4" t="s">
        <v>167</v>
      </c>
      <c r="B1571" s="4" t="s">
        <v>1763</v>
      </c>
      <c r="C1571" s="4" t="s">
        <v>1763</v>
      </c>
      <c r="D1571" s="12" t="n">
        <v>2024</v>
      </c>
      <c r="E1571" s="4"/>
      <c r="F1571" s="4" t="s">
        <v>169</v>
      </c>
      <c r="G1571" s="4" t="s">
        <v>170</v>
      </c>
      <c r="H1571" s="4" t="s">
        <v>171</v>
      </c>
      <c r="I1571" s="4" t="s">
        <v>172</v>
      </c>
      <c r="J1571" s="4" t="s">
        <v>1763</v>
      </c>
      <c r="K1571" s="4" t="s">
        <v>80</v>
      </c>
      <c r="L1571" s="4" t="s">
        <v>81</v>
      </c>
      <c r="M1571" s="4"/>
      <c r="N1571" s="4"/>
      <c r="O1571" s="4"/>
      <c r="P1571" s="4"/>
      <c r="Q1571" s="4"/>
      <c r="R1571" s="4"/>
      <c r="S1571" s="13" t="n">
        <v>0</v>
      </c>
      <c r="T1571" s="4" t="s">
        <v>173</v>
      </c>
      <c r="U1571" s="14" t="n">
        <f aca="false">IF(OR($S1571="",PARAMETROS!$B$4=""),"",$S1571*PARAMETROS!$B$4)</f>
        <v>0</v>
      </c>
      <c r="V1571" s="13" t="n">
        <v>0</v>
      </c>
      <c r="W1571" s="4"/>
      <c r="X1571" s="4"/>
      <c r="Y1571" s="4"/>
      <c r="Z1571" s="4"/>
      <c r="AA1571" s="4"/>
      <c r="AB1571" s="4"/>
      <c r="AC1571" s="4"/>
      <c r="AD1571" s="4"/>
      <c r="AE1571" s="4"/>
      <c r="AF1571" s="4"/>
      <c r="AG1571" s="4"/>
      <c r="AH1571" s="4"/>
      <c r="AI1571" s="4"/>
      <c r="AJ1571" s="4"/>
      <c r="AK1571" s="4"/>
      <c r="AL1571" s="4" t="s">
        <v>1692</v>
      </c>
      <c r="AM1571" s="4" t="s">
        <v>1762</v>
      </c>
    </row>
    <row r="1572" customFormat="false" ht="23.85" hidden="false" customHeight="false" outlineLevel="0" collapsed="false">
      <c r="A1572" s="4" t="s">
        <v>167</v>
      </c>
      <c r="B1572" s="4" t="s">
        <v>1764</v>
      </c>
      <c r="C1572" s="4" t="s">
        <v>1764</v>
      </c>
      <c r="D1572" s="12" t="n">
        <v>2024</v>
      </c>
      <c r="E1572" s="4"/>
      <c r="F1572" s="4" t="s">
        <v>169</v>
      </c>
      <c r="G1572" s="4" t="s">
        <v>170</v>
      </c>
      <c r="H1572" s="4" t="s">
        <v>171</v>
      </c>
      <c r="I1572" s="4" t="s">
        <v>172</v>
      </c>
      <c r="J1572" s="4" t="s">
        <v>1764</v>
      </c>
      <c r="K1572" s="4" t="s">
        <v>80</v>
      </c>
      <c r="L1572" s="4" t="s">
        <v>81</v>
      </c>
      <c r="M1572" s="4"/>
      <c r="N1572" s="4"/>
      <c r="O1572" s="4"/>
      <c r="P1572" s="4"/>
      <c r="Q1572" s="4"/>
      <c r="R1572" s="4"/>
      <c r="S1572" s="13" t="n">
        <v>0</v>
      </c>
      <c r="T1572" s="4" t="s">
        <v>173</v>
      </c>
      <c r="U1572" s="14" t="n">
        <f aca="false">IF(OR($S1572="",PARAMETROS!$B$4=""),"",$S1572*PARAMETROS!$B$4)</f>
        <v>0</v>
      </c>
      <c r="V1572" s="13" t="n">
        <v>0</v>
      </c>
      <c r="W1572" s="4"/>
      <c r="X1572" s="4"/>
      <c r="Y1572" s="4"/>
      <c r="Z1572" s="4"/>
      <c r="AA1572" s="4"/>
      <c r="AB1572" s="4"/>
      <c r="AC1572" s="4"/>
      <c r="AD1572" s="4"/>
      <c r="AE1572" s="4"/>
      <c r="AF1572" s="4"/>
      <c r="AG1572" s="4"/>
      <c r="AH1572" s="4"/>
      <c r="AI1572" s="4"/>
      <c r="AJ1572" s="4"/>
      <c r="AK1572" s="4"/>
      <c r="AL1572" s="4" t="s">
        <v>1692</v>
      </c>
      <c r="AM1572" s="4" t="s">
        <v>1762</v>
      </c>
    </row>
    <row r="1573" customFormat="false" ht="23.85" hidden="false" customHeight="false" outlineLevel="0" collapsed="false">
      <c r="A1573" s="4" t="s">
        <v>167</v>
      </c>
      <c r="B1573" s="4" t="s">
        <v>1765</v>
      </c>
      <c r="C1573" s="4" t="s">
        <v>1765</v>
      </c>
      <c r="D1573" s="12" t="n">
        <v>2024</v>
      </c>
      <c r="E1573" s="4"/>
      <c r="F1573" s="4" t="s">
        <v>169</v>
      </c>
      <c r="G1573" s="4" t="s">
        <v>170</v>
      </c>
      <c r="H1573" s="4" t="s">
        <v>171</v>
      </c>
      <c r="I1573" s="4" t="s">
        <v>172</v>
      </c>
      <c r="J1573" s="4" t="s">
        <v>1765</v>
      </c>
      <c r="K1573" s="4" t="s">
        <v>80</v>
      </c>
      <c r="L1573" s="4" t="s">
        <v>81</v>
      </c>
      <c r="M1573" s="4"/>
      <c r="N1573" s="4"/>
      <c r="O1573" s="4"/>
      <c r="P1573" s="4"/>
      <c r="Q1573" s="4"/>
      <c r="R1573" s="4"/>
      <c r="S1573" s="13" t="n">
        <v>0</v>
      </c>
      <c r="T1573" s="4" t="s">
        <v>173</v>
      </c>
      <c r="U1573" s="14" t="n">
        <f aca="false">IF(OR($S1573="",PARAMETROS!$B$4=""),"",$S1573*PARAMETROS!$B$4)</f>
        <v>0</v>
      </c>
      <c r="V1573" s="13" t="n">
        <v>0</v>
      </c>
      <c r="W1573" s="4"/>
      <c r="X1573" s="4"/>
      <c r="Y1573" s="4"/>
      <c r="Z1573" s="4"/>
      <c r="AA1573" s="4"/>
      <c r="AB1573" s="4"/>
      <c r="AC1573" s="4"/>
      <c r="AD1573" s="4"/>
      <c r="AE1573" s="4"/>
      <c r="AF1573" s="4"/>
      <c r="AG1573" s="4"/>
      <c r="AH1573" s="4"/>
      <c r="AI1573" s="4"/>
      <c r="AJ1573" s="4"/>
      <c r="AK1573" s="4"/>
      <c r="AL1573" s="4" t="s">
        <v>1692</v>
      </c>
      <c r="AM1573" s="4" t="s">
        <v>1762</v>
      </c>
    </row>
    <row r="1574" customFormat="false" ht="23.85" hidden="false" customHeight="false" outlineLevel="0" collapsed="false">
      <c r="A1574" s="4" t="s">
        <v>167</v>
      </c>
      <c r="B1574" s="4" t="s">
        <v>1766</v>
      </c>
      <c r="C1574" s="4" t="s">
        <v>1766</v>
      </c>
      <c r="D1574" s="12" t="n">
        <v>2024</v>
      </c>
      <c r="E1574" s="4"/>
      <c r="F1574" s="4" t="s">
        <v>169</v>
      </c>
      <c r="G1574" s="4" t="s">
        <v>170</v>
      </c>
      <c r="H1574" s="4" t="s">
        <v>171</v>
      </c>
      <c r="I1574" s="4" t="s">
        <v>172</v>
      </c>
      <c r="J1574" s="4" t="s">
        <v>1766</v>
      </c>
      <c r="K1574" s="4" t="s">
        <v>80</v>
      </c>
      <c r="L1574" s="4" t="s">
        <v>81</v>
      </c>
      <c r="M1574" s="4"/>
      <c r="N1574" s="4"/>
      <c r="O1574" s="4"/>
      <c r="P1574" s="4"/>
      <c r="Q1574" s="4"/>
      <c r="R1574" s="4"/>
      <c r="S1574" s="13" t="n">
        <v>0</v>
      </c>
      <c r="T1574" s="4" t="s">
        <v>173</v>
      </c>
      <c r="U1574" s="14" t="n">
        <f aca="false">IF(OR($S1574="",PARAMETROS!$B$4=""),"",$S1574*PARAMETROS!$B$4)</f>
        <v>0</v>
      </c>
      <c r="V1574" s="13" t="n">
        <v>0</v>
      </c>
      <c r="W1574" s="4"/>
      <c r="X1574" s="4"/>
      <c r="Y1574" s="4"/>
      <c r="Z1574" s="4"/>
      <c r="AA1574" s="4"/>
      <c r="AB1574" s="4"/>
      <c r="AC1574" s="4"/>
      <c r="AD1574" s="4"/>
      <c r="AE1574" s="4"/>
      <c r="AF1574" s="4"/>
      <c r="AG1574" s="4"/>
      <c r="AH1574" s="4"/>
      <c r="AI1574" s="4"/>
      <c r="AJ1574" s="4"/>
      <c r="AK1574" s="4"/>
      <c r="AL1574" s="4" t="s">
        <v>1692</v>
      </c>
      <c r="AM1574" s="4" t="s">
        <v>1698</v>
      </c>
    </row>
    <row r="1575" customFormat="false" ht="23.85" hidden="false" customHeight="false" outlineLevel="0" collapsed="false">
      <c r="A1575" s="4" t="s">
        <v>167</v>
      </c>
      <c r="B1575" s="4" t="s">
        <v>1767</v>
      </c>
      <c r="C1575" s="4" t="s">
        <v>1767</v>
      </c>
      <c r="D1575" s="12" t="n">
        <v>2024</v>
      </c>
      <c r="E1575" s="4"/>
      <c r="F1575" s="4" t="s">
        <v>169</v>
      </c>
      <c r="G1575" s="4" t="s">
        <v>170</v>
      </c>
      <c r="H1575" s="4" t="s">
        <v>171</v>
      </c>
      <c r="I1575" s="4" t="s">
        <v>172</v>
      </c>
      <c r="J1575" s="4" t="s">
        <v>1767</v>
      </c>
      <c r="K1575" s="4" t="s">
        <v>80</v>
      </c>
      <c r="L1575" s="4" t="s">
        <v>81</v>
      </c>
      <c r="M1575" s="4"/>
      <c r="N1575" s="4"/>
      <c r="O1575" s="4"/>
      <c r="P1575" s="4"/>
      <c r="Q1575" s="4"/>
      <c r="R1575" s="4"/>
      <c r="S1575" s="13" t="n">
        <v>-1970.58</v>
      </c>
      <c r="T1575" s="4" t="s">
        <v>173</v>
      </c>
      <c r="U1575" s="14" t="n">
        <f aca="false">IF(OR($S1575="",PARAMETROS!$B$4=""),"",$S1575*PARAMETROS!$B$4)</f>
        <v>-11449.0698</v>
      </c>
      <c r="V1575" s="13" t="n">
        <v>0</v>
      </c>
      <c r="W1575" s="4"/>
      <c r="X1575" s="4"/>
      <c r="Y1575" s="4"/>
      <c r="Z1575" s="4"/>
      <c r="AA1575" s="4"/>
      <c r="AB1575" s="4"/>
      <c r="AC1575" s="4"/>
      <c r="AD1575" s="4"/>
      <c r="AE1575" s="4"/>
      <c r="AF1575" s="4"/>
      <c r="AG1575" s="4"/>
      <c r="AH1575" s="4"/>
      <c r="AI1575" s="4"/>
      <c r="AJ1575" s="4"/>
      <c r="AK1575" s="4"/>
      <c r="AL1575" s="4" t="s">
        <v>1692</v>
      </c>
      <c r="AM1575" s="4" t="s">
        <v>1700</v>
      </c>
    </row>
    <row r="1576" customFormat="false" ht="23.85" hidden="false" customHeight="false" outlineLevel="0" collapsed="false">
      <c r="A1576" s="4" t="s">
        <v>167</v>
      </c>
      <c r="B1576" s="4" t="s">
        <v>1768</v>
      </c>
      <c r="C1576" s="4" t="s">
        <v>1768</v>
      </c>
      <c r="D1576" s="12" t="n">
        <v>2024</v>
      </c>
      <c r="E1576" s="4"/>
      <c r="F1576" s="4" t="s">
        <v>169</v>
      </c>
      <c r="G1576" s="4" t="s">
        <v>170</v>
      </c>
      <c r="H1576" s="4" t="s">
        <v>171</v>
      </c>
      <c r="I1576" s="4" t="s">
        <v>172</v>
      </c>
      <c r="J1576" s="4" t="s">
        <v>1768</v>
      </c>
      <c r="K1576" s="4" t="s">
        <v>80</v>
      </c>
      <c r="L1576" s="4" t="s">
        <v>81</v>
      </c>
      <c r="M1576" s="4"/>
      <c r="N1576" s="4"/>
      <c r="O1576" s="4"/>
      <c r="P1576" s="4"/>
      <c r="Q1576" s="4"/>
      <c r="R1576" s="4"/>
      <c r="S1576" s="13" t="n">
        <v>0</v>
      </c>
      <c r="T1576" s="4" t="s">
        <v>173</v>
      </c>
      <c r="U1576" s="14" t="n">
        <f aca="false">IF(OR($S1576="",PARAMETROS!$B$4=""),"",$S1576*PARAMETROS!$B$4)</f>
        <v>0</v>
      </c>
      <c r="V1576" s="13" t="n">
        <v>0</v>
      </c>
      <c r="W1576" s="4"/>
      <c r="X1576" s="4"/>
      <c r="Y1576" s="4"/>
      <c r="Z1576" s="4"/>
      <c r="AA1576" s="4"/>
      <c r="AB1576" s="4"/>
      <c r="AC1576" s="4"/>
      <c r="AD1576" s="4"/>
      <c r="AE1576" s="4"/>
      <c r="AF1576" s="4"/>
      <c r="AG1576" s="4"/>
      <c r="AH1576" s="4"/>
      <c r="AI1576" s="4"/>
      <c r="AJ1576" s="4"/>
      <c r="AK1576" s="4"/>
      <c r="AL1576" s="4" t="s">
        <v>1692</v>
      </c>
      <c r="AM1576" s="4" t="s">
        <v>1723</v>
      </c>
    </row>
    <row r="1577" customFormat="false" ht="23.85" hidden="false" customHeight="false" outlineLevel="0" collapsed="false">
      <c r="A1577" s="4" t="s">
        <v>167</v>
      </c>
      <c r="B1577" s="4" t="s">
        <v>1769</v>
      </c>
      <c r="C1577" s="4" t="s">
        <v>1769</v>
      </c>
      <c r="D1577" s="12" t="n">
        <v>2024</v>
      </c>
      <c r="E1577" s="4"/>
      <c r="F1577" s="4" t="s">
        <v>169</v>
      </c>
      <c r="G1577" s="4" t="s">
        <v>170</v>
      </c>
      <c r="H1577" s="4" t="s">
        <v>171</v>
      </c>
      <c r="I1577" s="4" t="s">
        <v>172</v>
      </c>
      <c r="J1577" s="4" t="s">
        <v>1769</v>
      </c>
      <c r="K1577" s="4" t="s">
        <v>80</v>
      </c>
      <c r="L1577" s="4" t="s">
        <v>81</v>
      </c>
      <c r="M1577" s="4"/>
      <c r="N1577" s="4"/>
      <c r="O1577" s="4"/>
      <c r="P1577" s="4"/>
      <c r="Q1577" s="4"/>
      <c r="R1577" s="4"/>
      <c r="S1577" s="13" t="n">
        <v>0</v>
      </c>
      <c r="T1577" s="4" t="s">
        <v>173</v>
      </c>
      <c r="U1577" s="14" t="n">
        <f aca="false">IF(OR($S1577="",PARAMETROS!$B$4=""),"",$S1577*PARAMETROS!$B$4)</f>
        <v>0</v>
      </c>
      <c r="V1577" s="13" t="n">
        <v>0</v>
      </c>
      <c r="W1577" s="4"/>
      <c r="X1577" s="4"/>
      <c r="Y1577" s="4"/>
      <c r="Z1577" s="4"/>
      <c r="AA1577" s="4"/>
      <c r="AB1577" s="4"/>
      <c r="AC1577" s="4"/>
      <c r="AD1577" s="4"/>
      <c r="AE1577" s="4"/>
      <c r="AF1577" s="4"/>
      <c r="AG1577" s="4"/>
      <c r="AH1577" s="4"/>
      <c r="AI1577" s="4"/>
      <c r="AJ1577" s="4"/>
      <c r="AK1577" s="4"/>
      <c r="AL1577" s="4" t="s">
        <v>1692</v>
      </c>
      <c r="AM1577" s="4" t="s">
        <v>1704</v>
      </c>
    </row>
    <row r="1578" customFormat="false" ht="23.85" hidden="false" customHeight="false" outlineLevel="0" collapsed="false">
      <c r="A1578" s="4" t="s">
        <v>167</v>
      </c>
      <c r="B1578" s="4" t="s">
        <v>1770</v>
      </c>
      <c r="C1578" s="4" t="s">
        <v>1770</v>
      </c>
      <c r="D1578" s="12" t="n">
        <v>2024</v>
      </c>
      <c r="E1578" s="4"/>
      <c r="F1578" s="4" t="s">
        <v>169</v>
      </c>
      <c r="G1578" s="4" t="s">
        <v>170</v>
      </c>
      <c r="H1578" s="4" t="s">
        <v>171</v>
      </c>
      <c r="I1578" s="4" t="s">
        <v>172</v>
      </c>
      <c r="J1578" s="4" t="s">
        <v>1770</v>
      </c>
      <c r="K1578" s="4" t="s">
        <v>80</v>
      </c>
      <c r="L1578" s="4" t="s">
        <v>81</v>
      </c>
      <c r="M1578" s="4"/>
      <c r="N1578" s="4"/>
      <c r="O1578" s="4"/>
      <c r="P1578" s="4"/>
      <c r="Q1578" s="4"/>
      <c r="R1578" s="4"/>
      <c r="S1578" s="13" t="n">
        <v>0</v>
      </c>
      <c r="T1578" s="4" t="s">
        <v>173</v>
      </c>
      <c r="U1578" s="14" t="n">
        <f aca="false">IF(OR($S1578="",PARAMETROS!$B$4=""),"",$S1578*PARAMETROS!$B$4)</f>
        <v>0</v>
      </c>
      <c r="V1578" s="13" t="n">
        <v>0</v>
      </c>
      <c r="W1578" s="4"/>
      <c r="X1578" s="4"/>
      <c r="Y1578" s="4"/>
      <c r="Z1578" s="4"/>
      <c r="AA1578" s="4"/>
      <c r="AB1578" s="4"/>
      <c r="AC1578" s="4"/>
      <c r="AD1578" s="4"/>
      <c r="AE1578" s="4"/>
      <c r="AF1578" s="4"/>
      <c r="AG1578" s="4"/>
      <c r="AH1578" s="4"/>
      <c r="AI1578" s="4"/>
      <c r="AJ1578" s="4"/>
      <c r="AK1578" s="4"/>
      <c r="AL1578" s="4" t="s">
        <v>1692</v>
      </c>
      <c r="AM1578" s="4" t="s">
        <v>1762</v>
      </c>
    </row>
    <row r="1579" customFormat="false" ht="23.85" hidden="false" customHeight="false" outlineLevel="0" collapsed="false">
      <c r="A1579" s="4" t="s">
        <v>167</v>
      </c>
      <c r="B1579" s="4" t="s">
        <v>1771</v>
      </c>
      <c r="C1579" s="4" t="s">
        <v>1771</v>
      </c>
      <c r="D1579" s="12" t="n">
        <v>2024</v>
      </c>
      <c r="E1579" s="4"/>
      <c r="F1579" s="4" t="s">
        <v>169</v>
      </c>
      <c r="G1579" s="4" t="s">
        <v>170</v>
      </c>
      <c r="H1579" s="4" t="s">
        <v>171</v>
      </c>
      <c r="I1579" s="4" t="s">
        <v>172</v>
      </c>
      <c r="J1579" s="4" t="s">
        <v>1771</v>
      </c>
      <c r="K1579" s="4" t="s">
        <v>80</v>
      </c>
      <c r="L1579" s="4" t="s">
        <v>81</v>
      </c>
      <c r="M1579" s="4"/>
      <c r="N1579" s="4"/>
      <c r="O1579" s="4"/>
      <c r="P1579" s="4"/>
      <c r="Q1579" s="4"/>
      <c r="R1579" s="4"/>
      <c r="S1579" s="13" t="n">
        <v>0</v>
      </c>
      <c r="T1579" s="4" t="s">
        <v>173</v>
      </c>
      <c r="U1579" s="14" t="n">
        <f aca="false">IF(OR($S1579="",PARAMETROS!$B$4=""),"",$S1579*PARAMETROS!$B$4)</f>
        <v>0</v>
      </c>
      <c r="V1579" s="13" t="n">
        <v>0</v>
      </c>
      <c r="W1579" s="4"/>
      <c r="X1579" s="4"/>
      <c r="Y1579" s="4"/>
      <c r="Z1579" s="4"/>
      <c r="AA1579" s="4"/>
      <c r="AB1579" s="4"/>
      <c r="AC1579" s="4"/>
      <c r="AD1579" s="4"/>
      <c r="AE1579" s="4"/>
      <c r="AF1579" s="4"/>
      <c r="AG1579" s="4"/>
      <c r="AH1579" s="4"/>
      <c r="AI1579" s="4"/>
      <c r="AJ1579" s="4"/>
      <c r="AK1579" s="4"/>
      <c r="AL1579" s="4" t="s">
        <v>1692</v>
      </c>
      <c r="AM1579" s="4" t="s">
        <v>1707</v>
      </c>
    </row>
    <row r="1580" customFormat="false" ht="23.85" hidden="false" customHeight="false" outlineLevel="0" collapsed="false">
      <c r="A1580" s="4" t="s">
        <v>167</v>
      </c>
      <c r="B1580" s="4" t="s">
        <v>1772</v>
      </c>
      <c r="C1580" s="4" t="s">
        <v>1772</v>
      </c>
      <c r="D1580" s="12" t="n">
        <v>2024</v>
      </c>
      <c r="E1580" s="4"/>
      <c r="F1580" s="4" t="s">
        <v>169</v>
      </c>
      <c r="G1580" s="4" t="s">
        <v>170</v>
      </c>
      <c r="H1580" s="4" t="s">
        <v>171</v>
      </c>
      <c r="I1580" s="4" t="s">
        <v>172</v>
      </c>
      <c r="J1580" s="4" t="s">
        <v>1772</v>
      </c>
      <c r="K1580" s="4" t="s">
        <v>80</v>
      </c>
      <c r="L1580" s="4" t="s">
        <v>81</v>
      </c>
      <c r="M1580" s="4"/>
      <c r="N1580" s="4"/>
      <c r="O1580" s="4"/>
      <c r="P1580" s="4"/>
      <c r="Q1580" s="4"/>
      <c r="R1580" s="4"/>
      <c r="S1580" s="13" t="n">
        <v>0</v>
      </c>
      <c r="T1580" s="4" t="s">
        <v>173</v>
      </c>
      <c r="U1580" s="14" t="n">
        <f aca="false">IF(OR($S1580="",PARAMETROS!$B$4=""),"",$S1580*PARAMETROS!$B$4)</f>
        <v>0</v>
      </c>
      <c r="V1580" s="13" t="n">
        <v>0</v>
      </c>
      <c r="W1580" s="4"/>
      <c r="X1580" s="4"/>
      <c r="Y1580" s="4"/>
      <c r="Z1580" s="4"/>
      <c r="AA1580" s="4"/>
      <c r="AB1580" s="4"/>
      <c r="AC1580" s="4"/>
      <c r="AD1580" s="4"/>
      <c r="AE1580" s="4"/>
      <c r="AF1580" s="4"/>
      <c r="AG1580" s="4"/>
      <c r="AH1580" s="4"/>
      <c r="AI1580" s="4"/>
      <c r="AJ1580" s="4"/>
      <c r="AK1580" s="4"/>
      <c r="AL1580" s="4" t="s">
        <v>1692</v>
      </c>
      <c r="AM1580" s="4" t="s">
        <v>1709</v>
      </c>
    </row>
    <row r="1581" customFormat="false" ht="23.85" hidden="false" customHeight="false" outlineLevel="0" collapsed="false">
      <c r="A1581" s="4" t="s">
        <v>167</v>
      </c>
      <c r="B1581" s="4" t="s">
        <v>1773</v>
      </c>
      <c r="C1581" s="4" t="s">
        <v>1773</v>
      </c>
      <c r="D1581" s="12" t="n">
        <v>2024</v>
      </c>
      <c r="E1581" s="4"/>
      <c r="F1581" s="4" t="s">
        <v>169</v>
      </c>
      <c r="G1581" s="4" t="s">
        <v>170</v>
      </c>
      <c r="H1581" s="4" t="s">
        <v>171</v>
      </c>
      <c r="I1581" s="4" t="s">
        <v>172</v>
      </c>
      <c r="J1581" s="4" t="s">
        <v>1773</v>
      </c>
      <c r="K1581" s="4" t="s">
        <v>80</v>
      </c>
      <c r="L1581" s="4" t="s">
        <v>81</v>
      </c>
      <c r="M1581" s="4"/>
      <c r="N1581" s="4"/>
      <c r="O1581" s="4"/>
      <c r="P1581" s="4"/>
      <c r="Q1581" s="4"/>
      <c r="R1581" s="4"/>
      <c r="S1581" s="13" t="n">
        <v>0</v>
      </c>
      <c r="T1581" s="4" t="s">
        <v>173</v>
      </c>
      <c r="U1581" s="14" t="n">
        <f aca="false">IF(OR($S1581="",PARAMETROS!$B$4=""),"",$S1581*PARAMETROS!$B$4)</f>
        <v>0</v>
      </c>
      <c r="V1581" s="13" t="n">
        <v>0</v>
      </c>
      <c r="W1581" s="4"/>
      <c r="X1581" s="4"/>
      <c r="Y1581" s="4"/>
      <c r="Z1581" s="4"/>
      <c r="AA1581" s="4"/>
      <c r="AB1581" s="4"/>
      <c r="AC1581" s="4"/>
      <c r="AD1581" s="4"/>
      <c r="AE1581" s="4"/>
      <c r="AF1581" s="4"/>
      <c r="AG1581" s="4"/>
      <c r="AH1581" s="4"/>
      <c r="AI1581" s="4"/>
      <c r="AJ1581" s="4"/>
      <c r="AK1581" s="4"/>
      <c r="AL1581" s="4" t="s">
        <v>1692</v>
      </c>
      <c r="AM1581" s="4" t="s">
        <v>1711</v>
      </c>
    </row>
    <row r="1582" customFormat="false" ht="23.85" hidden="false" customHeight="false" outlineLevel="0" collapsed="false">
      <c r="A1582" s="4" t="s">
        <v>167</v>
      </c>
      <c r="B1582" s="4" t="s">
        <v>1774</v>
      </c>
      <c r="C1582" s="4" t="s">
        <v>1774</v>
      </c>
      <c r="D1582" s="12" t="n">
        <v>2024</v>
      </c>
      <c r="E1582" s="4"/>
      <c r="F1582" s="4" t="s">
        <v>169</v>
      </c>
      <c r="G1582" s="4" t="s">
        <v>170</v>
      </c>
      <c r="H1582" s="4" t="s">
        <v>171</v>
      </c>
      <c r="I1582" s="4" t="s">
        <v>172</v>
      </c>
      <c r="J1582" s="4" t="s">
        <v>1774</v>
      </c>
      <c r="K1582" s="4" t="s">
        <v>80</v>
      </c>
      <c r="L1582" s="4" t="s">
        <v>81</v>
      </c>
      <c r="M1582" s="4"/>
      <c r="N1582" s="4"/>
      <c r="O1582" s="4"/>
      <c r="P1582" s="4"/>
      <c r="Q1582" s="4"/>
      <c r="R1582" s="4"/>
      <c r="S1582" s="13" t="n">
        <v>0</v>
      </c>
      <c r="T1582" s="4" t="s">
        <v>173</v>
      </c>
      <c r="U1582" s="14" t="n">
        <f aca="false">IF(OR($S1582="",PARAMETROS!$B$4=""),"",$S1582*PARAMETROS!$B$4)</f>
        <v>0</v>
      </c>
      <c r="V1582" s="13" t="n">
        <v>0</v>
      </c>
      <c r="W1582" s="4"/>
      <c r="X1582" s="4"/>
      <c r="Y1582" s="4"/>
      <c r="Z1582" s="4"/>
      <c r="AA1582" s="4"/>
      <c r="AB1582" s="4"/>
      <c r="AC1582" s="4"/>
      <c r="AD1582" s="4"/>
      <c r="AE1582" s="4"/>
      <c r="AF1582" s="4"/>
      <c r="AG1582" s="4"/>
      <c r="AH1582" s="4"/>
      <c r="AI1582" s="4"/>
      <c r="AJ1582" s="4"/>
      <c r="AK1582" s="4"/>
      <c r="AL1582" s="4" t="s">
        <v>1692</v>
      </c>
      <c r="AM1582" s="4" t="s">
        <v>1762</v>
      </c>
    </row>
    <row r="1583" customFormat="false" ht="23.85" hidden="false" customHeight="false" outlineLevel="0" collapsed="false">
      <c r="A1583" s="4" t="s">
        <v>167</v>
      </c>
      <c r="B1583" s="4" t="s">
        <v>1775</v>
      </c>
      <c r="C1583" s="4" t="s">
        <v>1775</v>
      </c>
      <c r="D1583" s="12" t="n">
        <v>2024</v>
      </c>
      <c r="E1583" s="4"/>
      <c r="F1583" s="4" t="s">
        <v>169</v>
      </c>
      <c r="G1583" s="4" t="s">
        <v>170</v>
      </c>
      <c r="H1583" s="4" t="s">
        <v>171</v>
      </c>
      <c r="I1583" s="4" t="s">
        <v>172</v>
      </c>
      <c r="J1583" s="4" t="s">
        <v>1775</v>
      </c>
      <c r="K1583" s="4" t="s">
        <v>80</v>
      </c>
      <c r="L1583" s="4" t="s">
        <v>81</v>
      </c>
      <c r="M1583" s="4"/>
      <c r="N1583" s="4"/>
      <c r="O1583" s="4"/>
      <c r="P1583" s="4"/>
      <c r="Q1583" s="4"/>
      <c r="R1583" s="4"/>
      <c r="S1583" s="13" t="n">
        <v>0</v>
      </c>
      <c r="T1583" s="4" t="s">
        <v>173</v>
      </c>
      <c r="U1583" s="14" t="n">
        <f aca="false">IF(OR($S1583="",PARAMETROS!$B$4=""),"",$S1583*PARAMETROS!$B$4)</f>
        <v>0</v>
      </c>
      <c r="V1583" s="13" t="n">
        <v>0</v>
      </c>
      <c r="W1583" s="4"/>
      <c r="X1583" s="4"/>
      <c r="Y1583" s="4"/>
      <c r="Z1583" s="4"/>
      <c r="AA1583" s="4"/>
      <c r="AB1583" s="4"/>
      <c r="AC1583" s="4"/>
      <c r="AD1583" s="4"/>
      <c r="AE1583" s="4"/>
      <c r="AF1583" s="4"/>
      <c r="AG1583" s="4"/>
      <c r="AH1583" s="4"/>
      <c r="AI1583" s="4"/>
      <c r="AJ1583" s="4"/>
      <c r="AK1583" s="4"/>
      <c r="AL1583" s="4" t="s">
        <v>1692</v>
      </c>
      <c r="AM1583" s="4" t="s">
        <v>1714</v>
      </c>
    </row>
    <row r="1584" customFormat="false" ht="23.85" hidden="false" customHeight="false" outlineLevel="0" collapsed="false">
      <c r="A1584" s="4" t="s">
        <v>167</v>
      </c>
      <c r="B1584" s="4" t="s">
        <v>1776</v>
      </c>
      <c r="C1584" s="4" t="s">
        <v>1776</v>
      </c>
      <c r="D1584" s="12" t="n">
        <v>2024</v>
      </c>
      <c r="E1584" s="4"/>
      <c r="F1584" s="4" t="s">
        <v>169</v>
      </c>
      <c r="G1584" s="4" t="s">
        <v>170</v>
      </c>
      <c r="H1584" s="4" t="s">
        <v>171</v>
      </c>
      <c r="I1584" s="4" t="s">
        <v>172</v>
      </c>
      <c r="J1584" s="4" t="s">
        <v>1776</v>
      </c>
      <c r="K1584" s="4" t="s">
        <v>82</v>
      </c>
      <c r="L1584" s="4" t="s">
        <v>83</v>
      </c>
      <c r="M1584" s="4"/>
      <c r="N1584" s="4"/>
      <c r="O1584" s="4"/>
      <c r="P1584" s="4"/>
      <c r="Q1584" s="4"/>
      <c r="R1584" s="4"/>
      <c r="S1584" s="13" t="n">
        <v>126.68</v>
      </c>
      <c r="T1584" s="4" t="s">
        <v>173</v>
      </c>
      <c r="U1584" s="14" t="n">
        <f aca="false">IF(OR($S1584="",PARAMETROS!$B$4=""),"",$S1584*PARAMETROS!$B$4)</f>
        <v>736.0108</v>
      </c>
      <c r="V1584" s="13" t="n">
        <v>0</v>
      </c>
      <c r="W1584" s="4"/>
      <c r="X1584" s="4"/>
      <c r="Y1584" s="4"/>
      <c r="Z1584" s="4"/>
      <c r="AA1584" s="4"/>
      <c r="AB1584" s="4"/>
      <c r="AC1584" s="4"/>
      <c r="AD1584" s="4"/>
      <c r="AE1584" s="4"/>
      <c r="AF1584" s="4"/>
      <c r="AG1584" s="4"/>
      <c r="AH1584" s="4"/>
      <c r="AI1584" s="4"/>
      <c r="AJ1584" s="4"/>
      <c r="AK1584" s="4"/>
      <c r="AL1584" s="4" t="s">
        <v>1692</v>
      </c>
      <c r="AM1584" s="4" t="s">
        <v>1777</v>
      </c>
    </row>
    <row r="1585" customFormat="false" ht="23.85" hidden="false" customHeight="false" outlineLevel="0" collapsed="false">
      <c r="A1585" s="4" t="s">
        <v>167</v>
      </c>
      <c r="B1585" s="4" t="s">
        <v>1778</v>
      </c>
      <c r="C1585" s="4" t="s">
        <v>1778</v>
      </c>
      <c r="D1585" s="12" t="n">
        <v>2024</v>
      </c>
      <c r="E1585" s="4"/>
      <c r="F1585" s="4" t="s">
        <v>169</v>
      </c>
      <c r="G1585" s="4" t="s">
        <v>170</v>
      </c>
      <c r="H1585" s="4" t="s">
        <v>171</v>
      </c>
      <c r="I1585" s="4" t="s">
        <v>172</v>
      </c>
      <c r="J1585" s="4" t="s">
        <v>1778</v>
      </c>
      <c r="K1585" s="4" t="s">
        <v>82</v>
      </c>
      <c r="L1585" s="4" t="s">
        <v>83</v>
      </c>
      <c r="M1585" s="4"/>
      <c r="N1585" s="4"/>
      <c r="O1585" s="4"/>
      <c r="P1585" s="4"/>
      <c r="Q1585" s="4"/>
      <c r="R1585" s="4"/>
      <c r="S1585" s="13" t="n">
        <v>0</v>
      </c>
      <c r="T1585" s="4" t="s">
        <v>173</v>
      </c>
      <c r="U1585" s="14" t="n">
        <f aca="false">IF(OR($S1585="",PARAMETROS!$B$4=""),"",$S1585*PARAMETROS!$B$4)</f>
        <v>0</v>
      </c>
      <c r="V1585" s="13" t="n">
        <v>0</v>
      </c>
      <c r="W1585" s="4"/>
      <c r="X1585" s="4"/>
      <c r="Y1585" s="4"/>
      <c r="Z1585" s="4"/>
      <c r="AA1585" s="4"/>
      <c r="AB1585" s="4"/>
      <c r="AC1585" s="4"/>
      <c r="AD1585" s="4"/>
      <c r="AE1585" s="4"/>
      <c r="AF1585" s="4"/>
      <c r="AG1585" s="4"/>
      <c r="AH1585" s="4"/>
      <c r="AI1585" s="4"/>
      <c r="AJ1585" s="4"/>
      <c r="AK1585" s="4"/>
      <c r="AL1585" s="4" t="s">
        <v>1692</v>
      </c>
      <c r="AM1585" s="4" t="s">
        <v>205</v>
      </c>
    </row>
    <row r="1586" customFormat="false" ht="23.85" hidden="false" customHeight="false" outlineLevel="0" collapsed="false">
      <c r="A1586" s="4" t="s">
        <v>167</v>
      </c>
      <c r="B1586" s="4" t="s">
        <v>1779</v>
      </c>
      <c r="C1586" s="4" t="s">
        <v>1779</v>
      </c>
      <c r="D1586" s="12" t="n">
        <v>2024</v>
      </c>
      <c r="E1586" s="4"/>
      <c r="F1586" s="4" t="s">
        <v>169</v>
      </c>
      <c r="G1586" s="4" t="s">
        <v>170</v>
      </c>
      <c r="H1586" s="4" t="s">
        <v>171</v>
      </c>
      <c r="I1586" s="4" t="s">
        <v>172</v>
      </c>
      <c r="J1586" s="4" t="s">
        <v>1779</v>
      </c>
      <c r="K1586" s="4" t="s">
        <v>82</v>
      </c>
      <c r="L1586" s="4" t="s">
        <v>83</v>
      </c>
      <c r="M1586" s="4"/>
      <c r="N1586" s="4"/>
      <c r="O1586" s="4"/>
      <c r="P1586" s="4"/>
      <c r="Q1586" s="4"/>
      <c r="R1586" s="4"/>
      <c r="S1586" s="13" t="n">
        <v>0</v>
      </c>
      <c r="T1586" s="4" t="s">
        <v>173</v>
      </c>
      <c r="U1586" s="14" t="n">
        <f aca="false">IF(OR($S1586="",PARAMETROS!$B$4=""),"",$S1586*PARAMETROS!$B$4)</f>
        <v>0</v>
      </c>
      <c r="V1586" s="13" t="n">
        <v>0</v>
      </c>
      <c r="W1586" s="4"/>
      <c r="X1586" s="4"/>
      <c r="Y1586" s="4"/>
      <c r="Z1586" s="4"/>
      <c r="AA1586" s="4"/>
      <c r="AB1586" s="4"/>
      <c r="AC1586" s="4"/>
      <c r="AD1586" s="4"/>
      <c r="AE1586" s="4"/>
      <c r="AF1586" s="4"/>
      <c r="AG1586" s="4"/>
      <c r="AH1586" s="4"/>
      <c r="AI1586" s="4"/>
      <c r="AJ1586" s="4"/>
      <c r="AK1586" s="4"/>
      <c r="AL1586" s="4" t="s">
        <v>1692</v>
      </c>
      <c r="AM1586" s="4" t="s">
        <v>205</v>
      </c>
    </row>
    <row r="1587" customFormat="false" ht="23.85" hidden="false" customHeight="false" outlineLevel="0" collapsed="false">
      <c r="A1587" s="4" t="s">
        <v>167</v>
      </c>
      <c r="B1587" s="4" t="s">
        <v>1780</v>
      </c>
      <c r="C1587" s="4" t="s">
        <v>1780</v>
      </c>
      <c r="D1587" s="12" t="n">
        <v>2024</v>
      </c>
      <c r="E1587" s="4"/>
      <c r="F1587" s="4" t="s">
        <v>169</v>
      </c>
      <c r="G1587" s="4" t="s">
        <v>170</v>
      </c>
      <c r="H1587" s="4" t="s">
        <v>171</v>
      </c>
      <c r="I1587" s="4" t="s">
        <v>172</v>
      </c>
      <c r="J1587" s="4" t="s">
        <v>1780</v>
      </c>
      <c r="K1587" s="4" t="s">
        <v>82</v>
      </c>
      <c r="L1587" s="4" t="s">
        <v>83</v>
      </c>
      <c r="M1587" s="4"/>
      <c r="N1587" s="4"/>
      <c r="O1587" s="4"/>
      <c r="P1587" s="4"/>
      <c r="Q1587" s="4"/>
      <c r="R1587" s="4"/>
      <c r="S1587" s="13" t="n">
        <v>0</v>
      </c>
      <c r="T1587" s="4" t="s">
        <v>173</v>
      </c>
      <c r="U1587" s="14" t="n">
        <f aca="false">IF(OR($S1587="",PARAMETROS!$B$4=""),"",$S1587*PARAMETROS!$B$4)</f>
        <v>0</v>
      </c>
      <c r="V1587" s="13" t="n">
        <v>0</v>
      </c>
      <c r="W1587" s="4"/>
      <c r="X1587" s="4"/>
      <c r="Y1587" s="4"/>
      <c r="Z1587" s="4"/>
      <c r="AA1587" s="4"/>
      <c r="AB1587" s="4"/>
      <c r="AC1587" s="4"/>
      <c r="AD1587" s="4"/>
      <c r="AE1587" s="4"/>
      <c r="AF1587" s="4"/>
      <c r="AG1587" s="4"/>
      <c r="AH1587" s="4"/>
      <c r="AI1587" s="4"/>
      <c r="AJ1587" s="4"/>
      <c r="AK1587" s="4"/>
      <c r="AL1587" s="4" t="s">
        <v>1692</v>
      </c>
      <c r="AM1587" s="4" t="s">
        <v>205</v>
      </c>
    </row>
    <row r="1588" customFormat="false" ht="23.85" hidden="false" customHeight="false" outlineLevel="0" collapsed="false">
      <c r="A1588" s="4" t="s">
        <v>167</v>
      </c>
      <c r="B1588" s="4" t="s">
        <v>1781</v>
      </c>
      <c r="C1588" s="4" t="s">
        <v>1781</v>
      </c>
      <c r="D1588" s="12" t="n">
        <v>2024</v>
      </c>
      <c r="E1588" s="4"/>
      <c r="F1588" s="4" t="s">
        <v>169</v>
      </c>
      <c r="G1588" s="4" t="s">
        <v>170</v>
      </c>
      <c r="H1588" s="4" t="s">
        <v>171</v>
      </c>
      <c r="I1588" s="4" t="s">
        <v>172</v>
      </c>
      <c r="J1588" s="4" t="s">
        <v>1781</v>
      </c>
      <c r="K1588" s="4" t="s">
        <v>82</v>
      </c>
      <c r="L1588" s="4" t="s">
        <v>83</v>
      </c>
      <c r="M1588" s="4"/>
      <c r="N1588" s="4"/>
      <c r="O1588" s="4"/>
      <c r="P1588" s="4"/>
      <c r="Q1588" s="4"/>
      <c r="R1588" s="4"/>
      <c r="S1588" s="13" t="n">
        <v>0</v>
      </c>
      <c r="T1588" s="4" t="s">
        <v>173</v>
      </c>
      <c r="U1588" s="14" t="n">
        <f aca="false">IF(OR($S1588="",PARAMETROS!$B$4=""),"",$S1588*PARAMETROS!$B$4)</f>
        <v>0</v>
      </c>
      <c r="V1588" s="13" t="n">
        <v>0</v>
      </c>
      <c r="W1588" s="4"/>
      <c r="X1588" s="4"/>
      <c r="Y1588" s="4"/>
      <c r="Z1588" s="4"/>
      <c r="AA1588" s="4"/>
      <c r="AB1588" s="4"/>
      <c r="AC1588" s="4"/>
      <c r="AD1588" s="4"/>
      <c r="AE1588" s="4"/>
      <c r="AF1588" s="4"/>
      <c r="AG1588" s="4"/>
      <c r="AH1588" s="4"/>
      <c r="AI1588" s="4"/>
      <c r="AJ1588" s="4"/>
      <c r="AK1588" s="4"/>
      <c r="AL1588" s="4" t="s">
        <v>1692</v>
      </c>
      <c r="AM1588" s="4" t="s">
        <v>1698</v>
      </c>
    </row>
    <row r="1589" customFormat="false" ht="23.85" hidden="false" customHeight="false" outlineLevel="0" collapsed="false">
      <c r="A1589" s="4" t="s">
        <v>167</v>
      </c>
      <c r="B1589" s="4" t="s">
        <v>1782</v>
      </c>
      <c r="C1589" s="4" t="s">
        <v>1782</v>
      </c>
      <c r="D1589" s="12" t="n">
        <v>2024</v>
      </c>
      <c r="E1589" s="4"/>
      <c r="F1589" s="4" t="s">
        <v>169</v>
      </c>
      <c r="G1589" s="4" t="s">
        <v>170</v>
      </c>
      <c r="H1589" s="4" t="s">
        <v>171</v>
      </c>
      <c r="I1589" s="4" t="s">
        <v>172</v>
      </c>
      <c r="J1589" s="4" t="s">
        <v>1782</v>
      </c>
      <c r="K1589" s="4" t="s">
        <v>82</v>
      </c>
      <c r="L1589" s="4" t="s">
        <v>83</v>
      </c>
      <c r="M1589" s="4"/>
      <c r="N1589" s="4"/>
      <c r="O1589" s="4"/>
      <c r="P1589" s="4"/>
      <c r="Q1589" s="4"/>
      <c r="R1589" s="4"/>
      <c r="S1589" s="13" t="n">
        <v>-126.68</v>
      </c>
      <c r="T1589" s="4" t="s">
        <v>173</v>
      </c>
      <c r="U1589" s="14" t="n">
        <f aca="false">IF(OR($S1589="",PARAMETROS!$B$4=""),"",$S1589*PARAMETROS!$B$4)</f>
        <v>-736.0108</v>
      </c>
      <c r="V1589" s="13" t="n">
        <v>0</v>
      </c>
      <c r="W1589" s="4"/>
      <c r="X1589" s="4"/>
      <c r="Y1589" s="4"/>
      <c r="Z1589" s="4"/>
      <c r="AA1589" s="4"/>
      <c r="AB1589" s="4"/>
      <c r="AC1589" s="4"/>
      <c r="AD1589" s="4"/>
      <c r="AE1589" s="4"/>
      <c r="AF1589" s="4"/>
      <c r="AG1589" s="4"/>
      <c r="AH1589" s="4"/>
      <c r="AI1589" s="4"/>
      <c r="AJ1589" s="4"/>
      <c r="AK1589" s="4"/>
      <c r="AL1589" s="4" t="s">
        <v>1692</v>
      </c>
      <c r="AM1589" s="4" t="s">
        <v>1700</v>
      </c>
    </row>
    <row r="1590" customFormat="false" ht="23.85" hidden="false" customHeight="false" outlineLevel="0" collapsed="false">
      <c r="A1590" s="4" t="s">
        <v>167</v>
      </c>
      <c r="B1590" s="4" t="s">
        <v>1783</v>
      </c>
      <c r="C1590" s="4" t="s">
        <v>1783</v>
      </c>
      <c r="D1590" s="12" t="n">
        <v>2024</v>
      </c>
      <c r="E1590" s="4"/>
      <c r="F1590" s="4" t="s">
        <v>169</v>
      </c>
      <c r="G1590" s="4" t="s">
        <v>170</v>
      </c>
      <c r="H1590" s="4" t="s">
        <v>171</v>
      </c>
      <c r="I1590" s="4" t="s">
        <v>172</v>
      </c>
      <c r="J1590" s="4" t="s">
        <v>1783</v>
      </c>
      <c r="K1590" s="4" t="s">
        <v>82</v>
      </c>
      <c r="L1590" s="4" t="s">
        <v>83</v>
      </c>
      <c r="M1590" s="4"/>
      <c r="N1590" s="4"/>
      <c r="O1590" s="4"/>
      <c r="P1590" s="4"/>
      <c r="Q1590" s="4"/>
      <c r="R1590" s="4"/>
      <c r="S1590" s="13" t="n">
        <v>0</v>
      </c>
      <c r="T1590" s="4" t="s">
        <v>173</v>
      </c>
      <c r="U1590" s="14" t="n">
        <f aca="false">IF(OR($S1590="",PARAMETROS!$B$4=""),"",$S1590*PARAMETROS!$B$4)</f>
        <v>0</v>
      </c>
      <c r="V1590" s="13" t="n">
        <v>0</v>
      </c>
      <c r="W1590" s="4"/>
      <c r="X1590" s="4"/>
      <c r="Y1590" s="4"/>
      <c r="Z1590" s="4"/>
      <c r="AA1590" s="4"/>
      <c r="AB1590" s="4"/>
      <c r="AC1590" s="4"/>
      <c r="AD1590" s="4"/>
      <c r="AE1590" s="4"/>
      <c r="AF1590" s="4"/>
      <c r="AG1590" s="4"/>
      <c r="AH1590" s="4"/>
      <c r="AI1590" s="4"/>
      <c r="AJ1590" s="4"/>
      <c r="AK1590" s="4"/>
      <c r="AL1590" s="4" t="s">
        <v>1692</v>
      </c>
      <c r="AM1590" s="4" t="s">
        <v>1723</v>
      </c>
    </row>
    <row r="1591" customFormat="false" ht="23.85" hidden="false" customHeight="false" outlineLevel="0" collapsed="false">
      <c r="A1591" s="4" t="s">
        <v>167</v>
      </c>
      <c r="B1591" s="4" t="s">
        <v>1784</v>
      </c>
      <c r="C1591" s="4" t="s">
        <v>1784</v>
      </c>
      <c r="D1591" s="12" t="n">
        <v>2024</v>
      </c>
      <c r="E1591" s="4"/>
      <c r="F1591" s="4" t="s">
        <v>169</v>
      </c>
      <c r="G1591" s="4" t="s">
        <v>170</v>
      </c>
      <c r="H1591" s="4" t="s">
        <v>171</v>
      </c>
      <c r="I1591" s="4" t="s">
        <v>172</v>
      </c>
      <c r="J1591" s="4" t="s">
        <v>1784</v>
      </c>
      <c r="K1591" s="4" t="s">
        <v>82</v>
      </c>
      <c r="L1591" s="4" t="s">
        <v>83</v>
      </c>
      <c r="M1591" s="4"/>
      <c r="N1591" s="4"/>
      <c r="O1591" s="4"/>
      <c r="P1591" s="4"/>
      <c r="Q1591" s="4"/>
      <c r="R1591" s="4"/>
      <c r="S1591" s="13" t="n">
        <v>0</v>
      </c>
      <c r="T1591" s="4" t="s">
        <v>173</v>
      </c>
      <c r="U1591" s="14" t="n">
        <f aca="false">IF(OR($S1591="",PARAMETROS!$B$4=""),"",$S1591*PARAMETROS!$B$4)</f>
        <v>0</v>
      </c>
      <c r="V1591" s="13" t="n">
        <v>0</v>
      </c>
      <c r="W1591" s="4"/>
      <c r="X1591" s="4"/>
      <c r="Y1591" s="4"/>
      <c r="Z1591" s="4"/>
      <c r="AA1591" s="4"/>
      <c r="AB1591" s="4"/>
      <c r="AC1591" s="4"/>
      <c r="AD1591" s="4"/>
      <c r="AE1591" s="4"/>
      <c r="AF1591" s="4"/>
      <c r="AG1591" s="4"/>
      <c r="AH1591" s="4"/>
      <c r="AI1591" s="4"/>
      <c r="AJ1591" s="4"/>
      <c r="AK1591" s="4"/>
      <c r="AL1591" s="4" t="s">
        <v>1692</v>
      </c>
      <c r="AM1591" s="4" t="s">
        <v>1704</v>
      </c>
    </row>
    <row r="1592" customFormat="false" ht="23.85" hidden="false" customHeight="false" outlineLevel="0" collapsed="false">
      <c r="A1592" s="4" t="s">
        <v>167</v>
      </c>
      <c r="B1592" s="4" t="s">
        <v>1785</v>
      </c>
      <c r="C1592" s="4" t="s">
        <v>1785</v>
      </c>
      <c r="D1592" s="12" t="n">
        <v>2024</v>
      </c>
      <c r="E1592" s="4"/>
      <c r="F1592" s="4" t="s">
        <v>169</v>
      </c>
      <c r="G1592" s="4" t="s">
        <v>170</v>
      </c>
      <c r="H1592" s="4" t="s">
        <v>171</v>
      </c>
      <c r="I1592" s="4" t="s">
        <v>172</v>
      </c>
      <c r="J1592" s="4" t="s">
        <v>1785</v>
      </c>
      <c r="K1592" s="4" t="s">
        <v>82</v>
      </c>
      <c r="L1592" s="4" t="s">
        <v>83</v>
      </c>
      <c r="M1592" s="4"/>
      <c r="N1592" s="4"/>
      <c r="O1592" s="4"/>
      <c r="P1592" s="4"/>
      <c r="Q1592" s="4"/>
      <c r="R1592" s="4"/>
      <c r="S1592" s="13" t="n">
        <v>0</v>
      </c>
      <c r="T1592" s="4" t="s">
        <v>173</v>
      </c>
      <c r="U1592" s="14" t="n">
        <f aca="false">IF(OR($S1592="",PARAMETROS!$B$4=""),"",$S1592*PARAMETROS!$B$4)</f>
        <v>0</v>
      </c>
      <c r="V1592" s="13" t="n">
        <v>0</v>
      </c>
      <c r="W1592" s="4"/>
      <c r="X1592" s="4"/>
      <c r="Y1592" s="4"/>
      <c r="Z1592" s="4"/>
      <c r="AA1592" s="4"/>
      <c r="AB1592" s="4"/>
      <c r="AC1592" s="4"/>
      <c r="AD1592" s="4"/>
      <c r="AE1592" s="4"/>
      <c r="AF1592" s="4"/>
      <c r="AG1592" s="4"/>
      <c r="AH1592" s="4"/>
      <c r="AI1592" s="4"/>
      <c r="AJ1592" s="4"/>
      <c r="AK1592" s="4"/>
      <c r="AL1592" s="4" t="s">
        <v>1692</v>
      </c>
      <c r="AM1592" s="4" t="s">
        <v>205</v>
      </c>
    </row>
    <row r="1593" customFormat="false" ht="23.85" hidden="false" customHeight="false" outlineLevel="0" collapsed="false">
      <c r="A1593" s="4" t="s">
        <v>167</v>
      </c>
      <c r="B1593" s="4" t="s">
        <v>1786</v>
      </c>
      <c r="C1593" s="4" t="s">
        <v>1786</v>
      </c>
      <c r="D1593" s="12" t="n">
        <v>2024</v>
      </c>
      <c r="E1593" s="4"/>
      <c r="F1593" s="4" t="s">
        <v>169</v>
      </c>
      <c r="G1593" s="4" t="s">
        <v>170</v>
      </c>
      <c r="H1593" s="4" t="s">
        <v>171</v>
      </c>
      <c r="I1593" s="4" t="s">
        <v>172</v>
      </c>
      <c r="J1593" s="4" t="s">
        <v>1786</v>
      </c>
      <c r="K1593" s="4" t="s">
        <v>82</v>
      </c>
      <c r="L1593" s="4" t="s">
        <v>83</v>
      </c>
      <c r="M1593" s="4"/>
      <c r="N1593" s="4"/>
      <c r="O1593" s="4"/>
      <c r="P1593" s="4"/>
      <c r="Q1593" s="4"/>
      <c r="R1593" s="4"/>
      <c r="S1593" s="13" t="n">
        <v>0</v>
      </c>
      <c r="T1593" s="4" t="s">
        <v>173</v>
      </c>
      <c r="U1593" s="14" t="n">
        <f aca="false">IF(OR($S1593="",PARAMETROS!$B$4=""),"",$S1593*PARAMETROS!$B$4)</f>
        <v>0</v>
      </c>
      <c r="V1593" s="13" t="n">
        <v>0</v>
      </c>
      <c r="W1593" s="4"/>
      <c r="X1593" s="4"/>
      <c r="Y1593" s="4"/>
      <c r="Z1593" s="4"/>
      <c r="AA1593" s="4"/>
      <c r="AB1593" s="4"/>
      <c r="AC1593" s="4"/>
      <c r="AD1593" s="4"/>
      <c r="AE1593" s="4"/>
      <c r="AF1593" s="4"/>
      <c r="AG1593" s="4"/>
      <c r="AH1593" s="4"/>
      <c r="AI1593" s="4"/>
      <c r="AJ1593" s="4"/>
      <c r="AK1593" s="4"/>
      <c r="AL1593" s="4" t="s">
        <v>1692</v>
      </c>
      <c r="AM1593" s="4" t="s">
        <v>1707</v>
      </c>
    </row>
    <row r="1594" customFormat="false" ht="23.85" hidden="false" customHeight="false" outlineLevel="0" collapsed="false">
      <c r="A1594" s="4" t="s">
        <v>167</v>
      </c>
      <c r="B1594" s="4" t="s">
        <v>1787</v>
      </c>
      <c r="C1594" s="4" t="s">
        <v>1787</v>
      </c>
      <c r="D1594" s="12" t="n">
        <v>2024</v>
      </c>
      <c r="E1594" s="4"/>
      <c r="F1594" s="4" t="s">
        <v>169</v>
      </c>
      <c r="G1594" s="4" t="s">
        <v>170</v>
      </c>
      <c r="H1594" s="4" t="s">
        <v>171</v>
      </c>
      <c r="I1594" s="4" t="s">
        <v>172</v>
      </c>
      <c r="J1594" s="4" t="s">
        <v>1787</v>
      </c>
      <c r="K1594" s="4" t="s">
        <v>82</v>
      </c>
      <c r="L1594" s="4" t="s">
        <v>83</v>
      </c>
      <c r="M1594" s="4"/>
      <c r="N1594" s="4"/>
      <c r="O1594" s="4"/>
      <c r="P1594" s="4"/>
      <c r="Q1594" s="4"/>
      <c r="R1594" s="4"/>
      <c r="S1594" s="13" t="n">
        <v>0</v>
      </c>
      <c r="T1594" s="4" t="s">
        <v>173</v>
      </c>
      <c r="U1594" s="14" t="n">
        <f aca="false">IF(OR($S1594="",PARAMETROS!$B$4=""),"",$S1594*PARAMETROS!$B$4)</f>
        <v>0</v>
      </c>
      <c r="V1594" s="13" t="n">
        <v>0</v>
      </c>
      <c r="W1594" s="4"/>
      <c r="X1594" s="4"/>
      <c r="Y1594" s="4"/>
      <c r="Z1594" s="4"/>
      <c r="AA1594" s="4"/>
      <c r="AB1594" s="4"/>
      <c r="AC1594" s="4"/>
      <c r="AD1594" s="4"/>
      <c r="AE1594" s="4"/>
      <c r="AF1594" s="4"/>
      <c r="AG1594" s="4"/>
      <c r="AH1594" s="4"/>
      <c r="AI1594" s="4"/>
      <c r="AJ1594" s="4"/>
      <c r="AK1594" s="4"/>
      <c r="AL1594" s="4" t="s">
        <v>1692</v>
      </c>
      <c r="AM1594" s="4" t="s">
        <v>1709</v>
      </c>
    </row>
    <row r="1595" customFormat="false" ht="23.85" hidden="false" customHeight="false" outlineLevel="0" collapsed="false">
      <c r="A1595" s="4" t="s">
        <v>167</v>
      </c>
      <c r="B1595" s="4" t="s">
        <v>1788</v>
      </c>
      <c r="C1595" s="4" t="s">
        <v>1788</v>
      </c>
      <c r="D1595" s="12" t="n">
        <v>2024</v>
      </c>
      <c r="E1595" s="4"/>
      <c r="F1595" s="4" t="s">
        <v>169</v>
      </c>
      <c r="G1595" s="4" t="s">
        <v>170</v>
      </c>
      <c r="H1595" s="4" t="s">
        <v>171</v>
      </c>
      <c r="I1595" s="4" t="s">
        <v>172</v>
      </c>
      <c r="J1595" s="4" t="s">
        <v>1788</v>
      </c>
      <c r="K1595" s="4" t="s">
        <v>82</v>
      </c>
      <c r="L1595" s="4" t="s">
        <v>83</v>
      </c>
      <c r="M1595" s="4"/>
      <c r="N1595" s="4"/>
      <c r="O1595" s="4"/>
      <c r="P1595" s="4"/>
      <c r="Q1595" s="4"/>
      <c r="R1595" s="4"/>
      <c r="S1595" s="13" t="n">
        <v>0</v>
      </c>
      <c r="T1595" s="4" t="s">
        <v>173</v>
      </c>
      <c r="U1595" s="14" t="n">
        <f aca="false">IF(OR($S1595="",PARAMETROS!$B$4=""),"",$S1595*PARAMETROS!$B$4)</f>
        <v>0</v>
      </c>
      <c r="V1595" s="13" t="n">
        <v>0</v>
      </c>
      <c r="W1595" s="4"/>
      <c r="X1595" s="4"/>
      <c r="Y1595" s="4"/>
      <c r="Z1595" s="4"/>
      <c r="AA1595" s="4"/>
      <c r="AB1595" s="4"/>
      <c r="AC1595" s="4"/>
      <c r="AD1595" s="4"/>
      <c r="AE1595" s="4"/>
      <c r="AF1595" s="4"/>
      <c r="AG1595" s="4"/>
      <c r="AH1595" s="4"/>
      <c r="AI1595" s="4"/>
      <c r="AJ1595" s="4"/>
      <c r="AK1595" s="4"/>
      <c r="AL1595" s="4" t="s">
        <v>1692</v>
      </c>
      <c r="AM1595" s="4" t="s">
        <v>1711</v>
      </c>
    </row>
    <row r="1596" customFormat="false" ht="23.85" hidden="false" customHeight="false" outlineLevel="0" collapsed="false">
      <c r="A1596" s="4" t="s">
        <v>167</v>
      </c>
      <c r="B1596" s="4" t="s">
        <v>1789</v>
      </c>
      <c r="C1596" s="4" t="s">
        <v>1789</v>
      </c>
      <c r="D1596" s="12" t="n">
        <v>2024</v>
      </c>
      <c r="E1596" s="4"/>
      <c r="F1596" s="4" t="s">
        <v>169</v>
      </c>
      <c r="G1596" s="4" t="s">
        <v>170</v>
      </c>
      <c r="H1596" s="4" t="s">
        <v>171</v>
      </c>
      <c r="I1596" s="4" t="s">
        <v>172</v>
      </c>
      <c r="J1596" s="4" t="s">
        <v>1789</v>
      </c>
      <c r="K1596" s="4" t="s">
        <v>82</v>
      </c>
      <c r="L1596" s="4" t="s">
        <v>83</v>
      </c>
      <c r="M1596" s="4"/>
      <c r="N1596" s="4"/>
      <c r="O1596" s="4"/>
      <c r="P1596" s="4"/>
      <c r="Q1596" s="4"/>
      <c r="R1596" s="4"/>
      <c r="S1596" s="13" t="n">
        <v>0</v>
      </c>
      <c r="T1596" s="4" t="s">
        <v>173</v>
      </c>
      <c r="U1596" s="14" t="n">
        <f aca="false">IF(OR($S1596="",PARAMETROS!$B$4=""),"",$S1596*PARAMETROS!$B$4)</f>
        <v>0</v>
      </c>
      <c r="V1596" s="13" t="n">
        <v>0</v>
      </c>
      <c r="W1596" s="4"/>
      <c r="X1596" s="4"/>
      <c r="Y1596" s="4"/>
      <c r="Z1596" s="4"/>
      <c r="AA1596" s="4"/>
      <c r="AB1596" s="4"/>
      <c r="AC1596" s="4"/>
      <c r="AD1596" s="4"/>
      <c r="AE1596" s="4"/>
      <c r="AF1596" s="4"/>
      <c r="AG1596" s="4"/>
      <c r="AH1596" s="4"/>
      <c r="AI1596" s="4"/>
      <c r="AJ1596" s="4"/>
      <c r="AK1596" s="4"/>
      <c r="AL1596" s="4" t="s">
        <v>1692</v>
      </c>
      <c r="AM1596" s="4" t="s">
        <v>205</v>
      </c>
    </row>
    <row r="1597" customFormat="false" ht="23.85" hidden="false" customHeight="false" outlineLevel="0" collapsed="false">
      <c r="A1597" s="4" t="s">
        <v>167</v>
      </c>
      <c r="B1597" s="4" t="s">
        <v>1790</v>
      </c>
      <c r="C1597" s="4" t="s">
        <v>1790</v>
      </c>
      <c r="D1597" s="12" t="n">
        <v>2024</v>
      </c>
      <c r="E1597" s="4"/>
      <c r="F1597" s="4" t="s">
        <v>169</v>
      </c>
      <c r="G1597" s="4" t="s">
        <v>170</v>
      </c>
      <c r="H1597" s="4" t="s">
        <v>171</v>
      </c>
      <c r="I1597" s="4" t="s">
        <v>172</v>
      </c>
      <c r="J1597" s="4" t="s">
        <v>1790</v>
      </c>
      <c r="K1597" s="4" t="s">
        <v>82</v>
      </c>
      <c r="L1597" s="4" t="s">
        <v>83</v>
      </c>
      <c r="M1597" s="4"/>
      <c r="N1597" s="4"/>
      <c r="O1597" s="4"/>
      <c r="P1597" s="4"/>
      <c r="Q1597" s="4"/>
      <c r="R1597" s="4"/>
      <c r="S1597" s="13" t="n">
        <v>0</v>
      </c>
      <c r="T1597" s="4" t="s">
        <v>173</v>
      </c>
      <c r="U1597" s="14" t="n">
        <f aca="false">IF(OR($S1597="",PARAMETROS!$B$4=""),"",$S1597*PARAMETROS!$B$4)</f>
        <v>0</v>
      </c>
      <c r="V1597" s="13" t="n">
        <v>0</v>
      </c>
      <c r="W1597" s="4"/>
      <c r="X1597" s="4"/>
      <c r="Y1597" s="4"/>
      <c r="Z1597" s="4"/>
      <c r="AA1597" s="4"/>
      <c r="AB1597" s="4"/>
      <c r="AC1597" s="4"/>
      <c r="AD1597" s="4"/>
      <c r="AE1597" s="4"/>
      <c r="AF1597" s="4"/>
      <c r="AG1597" s="4"/>
      <c r="AH1597" s="4"/>
      <c r="AI1597" s="4"/>
      <c r="AJ1597" s="4"/>
      <c r="AK1597" s="4"/>
      <c r="AL1597" s="4" t="s">
        <v>1692</v>
      </c>
      <c r="AM1597" s="4" t="s">
        <v>1714</v>
      </c>
    </row>
    <row r="1598" customFormat="false" ht="23.85" hidden="false" customHeight="false" outlineLevel="0" collapsed="false">
      <c r="A1598" s="4" t="s">
        <v>167</v>
      </c>
      <c r="B1598" s="4" t="s">
        <v>1791</v>
      </c>
      <c r="C1598" s="4" t="s">
        <v>1791</v>
      </c>
      <c r="D1598" s="12" t="n">
        <v>2024</v>
      </c>
      <c r="E1598" s="4"/>
      <c r="F1598" s="4" t="s">
        <v>169</v>
      </c>
      <c r="G1598" s="4" t="s">
        <v>170</v>
      </c>
      <c r="H1598" s="4" t="s">
        <v>171</v>
      </c>
      <c r="I1598" s="4" t="s">
        <v>172</v>
      </c>
      <c r="J1598" s="4" t="s">
        <v>1791</v>
      </c>
      <c r="K1598" s="4" t="s">
        <v>84</v>
      </c>
      <c r="L1598" s="4" t="s">
        <v>85</v>
      </c>
      <c r="M1598" s="4"/>
      <c r="N1598" s="4"/>
      <c r="O1598" s="4"/>
      <c r="P1598" s="4"/>
      <c r="Q1598" s="4"/>
      <c r="R1598" s="4"/>
      <c r="S1598" s="13" t="n">
        <v>4230.37</v>
      </c>
      <c r="T1598" s="4" t="s">
        <v>173</v>
      </c>
      <c r="U1598" s="14" t="n">
        <f aca="false">IF(OR($S1598="",PARAMETROS!$B$4=""),"",$S1598*PARAMETROS!$B$4)</f>
        <v>24578.4497</v>
      </c>
      <c r="V1598" s="13" t="n">
        <v>0</v>
      </c>
      <c r="W1598" s="4"/>
      <c r="X1598" s="4"/>
      <c r="Y1598" s="4"/>
      <c r="Z1598" s="4"/>
      <c r="AA1598" s="4"/>
      <c r="AB1598" s="4"/>
      <c r="AC1598" s="4"/>
      <c r="AD1598" s="4"/>
      <c r="AE1598" s="4"/>
      <c r="AF1598" s="4"/>
      <c r="AG1598" s="4"/>
      <c r="AH1598" s="4"/>
      <c r="AI1598" s="4"/>
      <c r="AJ1598" s="4"/>
      <c r="AK1598" s="4"/>
      <c r="AL1598" s="4" t="s">
        <v>1692</v>
      </c>
      <c r="AM1598" s="4" t="s">
        <v>1792</v>
      </c>
    </row>
    <row r="1599" customFormat="false" ht="23.85" hidden="false" customHeight="false" outlineLevel="0" collapsed="false">
      <c r="A1599" s="4" t="s">
        <v>167</v>
      </c>
      <c r="B1599" s="4" t="s">
        <v>1793</v>
      </c>
      <c r="C1599" s="4" t="s">
        <v>1793</v>
      </c>
      <c r="D1599" s="12" t="n">
        <v>2024</v>
      </c>
      <c r="E1599" s="4"/>
      <c r="F1599" s="4" t="s">
        <v>169</v>
      </c>
      <c r="G1599" s="4" t="s">
        <v>170</v>
      </c>
      <c r="H1599" s="4" t="s">
        <v>171</v>
      </c>
      <c r="I1599" s="4" t="s">
        <v>172</v>
      </c>
      <c r="J1599" s="4" t="s">
        <v>1793</v>
      </c>
      <c r="K1599" s="4" t="s">
        <v>84</v>
      </c>
      <c r="L1599" s="4" t="s">
        <v>85</v>
      </c>
      <c r="M1599" s="4"/>
      <c r="N1599" s="4"/>
      <c r="O1599" s="4"/>
      <c r="P1599" s="4"/>
      <c r="Q1599" s="4"/>
      <c r="R1599" s="4"/>
      <c r="S1599" s="13" t="n">
        <v>0</v>
      </c>
      <c r="T1599" s="4" t="s">
        <v>173</v>
      </c>
      <c r="U1599" s="14" t="n">
        <f aca="false">IF(OR($S1599="",PARAMETROS!$B$4=""),"",$S1599*PARAMETROS!$B$4)</f>
        <v>0</v>
      </c>
      <c r="V1599" s="13" t="n">
        <v>0</v>
      </c>
      <c r="W1599" s="4"/>
      <c r="X1599" s="4"/>
      <c r="Y1599" s="4"/>
      <c r="Z1599" s="4"/>
      <c r="AA1599" s="4"/>
      <c r="AB1599" s="4"/>
      <c r="AC1599" s="4"/>
      <c r="AD1599" s="4"/>
      <c r="AE1599" s="4"/>
      <c r="AF1599" s="4"/>
      <c r="AG1599" s="4"/>
      <c r="AH1599" s="4"/>
      <c r="AI1599" s="4"/>
      <c r="AJ1599" s="4"/>
      <c r="AK1599" s="4"/>
      <c r="AL1599" s="4" t="s">
        <v>1692</v>
      </c>
      <c r="AM1599" s="4" t="s">
        <v>1792</v>
      </c>
    </row>
    <row r="1600" customFormat="false" ht="23.85" hidden="false" customHeight="false" outlineLevel="0" collapsed="false">
      <c r="A1600" s="4" t="s">
        <v>167</v>
      </c>
      <c r="B1600" s="4" t="s">
        <v>1794</v>
      </c>
      <c r="C1600" s="4" t="s">
        <v>1794</v>
      </c>
      <c r="D1600" s="12" t="n">
        <v>2024</v>
      </c>
      <c r="E1600" s="4"/>
      <c r="F1600" s="4" t="s">
        <v>169</v>
      </c>
      <c r="G1600" s="4" t="s">
        <v>170</v>
      </c>
      <c r="H1600" s="4" t="s">
        <v>171</v>
      </c>
      <c r="I1600" s="4" t="s">
        <v>172</v>
      </c>
      <c r="J1600" s="4" t="s">
        <v>1794</v>
      </c>
      <c r="K1600" s="4" t="s">
        <v>84</v>
      </c>
      <c r="L1600" s="4" t="s">
        <v>85</v>
      </c>
      <c r="M1600" s="4"/>
      <c r="N1600" s="4"/>
      <c r="O1600" s="4"/>
      <c r="P1600" s="4"/>
      <c r="Q1600" s="4"/>
      <c r="R1600" s="4"/>
      <c r="S1600" s="13" t="n">
        <v>0</v>
      </c>
      <c r="T1600" s="4" t="s">
        <v>173</v>
      </c>
      <c r="U1600" s="14" t="n">
        <f aca="false">IF(OR($S1600="",PARAMETROS!$B$4=""),"",$S1600*PARAMETROS!$B$4)</f>
        <v>0</v>
      </c>
      <c r="V1600" s="13" t="n">
        <v>0</v>
      </c>
      <c r="W1600" s="4"/>
      <c r="X1600" s="4"/>
      <c r="Y1600" s="4"/>
      <c r="Z1600" s="4"/>
      <c r="AA1600" s="4"/>
      <c r="AB1600" s="4"/>
      <c r="AC1600" s="4"/>
      <c r="AD1600" s="4"/>
      <c r="AE1600" s="4"/>
      <c r="AF1600" s="4"/>
      <c r="AG1600" s="4"/>
      <c r="AH1600" s="4"/>
      <c r="AI1600" s="4"/>
      <c r="AJ1600" s="4"/>
      <c r="AK1600" s="4"/>
      <c r="AL1600" s="4" t="s">
        <v>1692</v>
      </c>
      <c r="AM1600" s="4" t="s">
        <v>1792</v>
      </c>
    </row>
    <row r="1601" customFormat="false" ht="23.85" hidden="false" customHeight="false" outlineLevel="0" collapsed="false">
      <c r="A1601" s="4" t="s">
        <v>167</v>
      </c>
      <c r="B1601" s="4" t="s">
        <v>1795</v>
      </c>
      <c r="C1601" s="4" t="s">
        <v>1795</v>
      </c>
      <c r="D1601" s="12" t="n">
        <v>2024</v>
      </c>
      <c r="E1601" s="4"/>
      <c r="F1601" s="4" t="s">
        <v>169</v>
      </c>
      <c r="G1601" s="4" t="s">
        <v>170</v>
      </c>
      <c r="H1601" s="4" t="s">
        <v>171</v>
      </c>
      <c r="I1601" s="4" t="s">
        <v>172</v>
      </c>
      <c r="J1601" s="4" t="s">
        <v>1795</v>
      </c>
      <c r="K1601" s="4" t="s">
        <v>84</v>
      </c>
      <c r="L1601" s="4" t="s">
        <v>85</v>
      </c>
      <c r="M1601" s="4"/>
      <c r="N1601" s="4"/>
      <c r="O1601" s="4"/>
      <c r="P1601" s="4"/>
      <c r="Q1601" s="4"/>
      <c r="R1601" s="4"/>
      <c r="S1601" s="13" t="n">
        <v>0</v>
      </c>
      <c r="T1601" s="4" t="s">
        <v>173</v>
      </c>
      <c r="U1601" s="14" t="n">
        <f aca="false">IF(OR($S1601="",PARAMETROS!$B$4=""),"",$S1601*PARAMETROS!$B$4)</f>
        <v>0</v>
      </c>
      <c r="V1601" s="13" t="n">
        <v>0</v>
      </c>
      <c r="W1601" s="4"/>
      <c r="X1601" s="4"/>
      <c r="Y1601" s="4"/>
      <c r="Z1601" s="4"/>
      <c r="AA1601" s="4"/>
      <c r="AB1601" s="4"/>
      <c r="AC1601" s="4"/>
      <c r="AD1601" s="4"/>
      <c r="AE1601" s="4"/>
      <c r="AF1601" s="4"/>
      <c r="AG1601" s="4"/>
      <c r="AH1601" s="4"/>
      <c r="AI1601" s="4"/>
      <c r="AJ1601" s="4"/>
      <c r="AK1601" s="4"/>
      <c r="AL1601" s="4" t="s">
        <v>1692</v>
      </c>
      <c r="AM1601" s="4" t="s">
        <v>1792</v>
      </c>
    </row>
    <row r="1602" customFormat="false" ht="23.85" hidden="false" customHeight="false" outlineLevel="0" collapsed="false">
      <c r="A1602" s="4" t="s">
        <v>167</v>
      </c>
      <c r="B1602" s="4" t="s">
        <v>1796</v>
      </c>
      <c r="C1602" s="4" t="s">
        <v>1796</v>
      </c>
      <c r="D1602" s="12" t="n">
        <v>2024</v>
      </c>
      <c r="E1602" s="4"/>
      <c r="F1602" s="4" t="s">
        <v>169</v>
      </c>
      <c r="G1602" s="4" t="s">
        <v>170</v>
      </c>
      <c r="H1602" s="4" t="s">
        <v>171</v>
      </c>
      <c r="I1602" s="4" t="s">
        <v>172</v>
      </c>
      <c r="J1602" s="4" t="s">
        <v>1796</v>
      </c>
      <c r="K1602" s="4" t="s">
        <v>84</v>
      </c>
      <c r="L1602" s="4" t="s">
        <v>85</v>
      </c>
      <c r="M1602" s="4"/>
      <c r="N1602" s="4"/>
      <c r="O1602" s="4"/>
      <c r="P1602" s="4"/>
      <c r="Q1602" s="4"/>
      <c r="R1602" s="4"/>
      <c r="S1602" s="13" t="n">
        <v>0</v>
      </c>
      <c r="T1602" s="4" t="s">
        <v>173</v>
      </c>
      <c r="U1602" s="14" t="n">
        <f aca="false">IF(OR($S1602="",PARAMETROS!$B$4=""),"",$S1602*PARAMETROS!$B$4)</f>
        <v>0</v>
      </c>
      <c r="V1602" s="13" t="n">
        <v>0</v>
      </c>
      <c r="W1602" s="4"/>
      <c r="X1602" s="4"/>
      <c r="Y1602" s="4"/>
      <c r="Z1602" s="4"/>
      <c r="AA1602" s="4"/>
      <c r="AB1602" s="4"/>
      <c r="AC1602" s="4"/>
      <c r="AD1602" s="4"/>
      <c r="AE1602" s="4"/>
      <c r="AF1602" s="4"/>
      <c r="AG1602" s="4"/>
      <c r="AH1602" s="4"/>
      <c r="AI1602" s="4"/>
      <c r="AJ1602" s="4"/>
      <c r="AK1602" s="4"/>
      <c r="AL1602" s="4" t="s">
        <v>1692</v>
      </c>
      <c r="AM1602" s="4" t="s">
        <v>1698</v>
      </c>
    </row>
    <row r="1603" customFormat="false" ht="23.85" hidden="false" customHeight="false" outlineLevel="0" collapsed="false">
      <c r="A1603" s="4" t="s">
        <v>167</v>
      </c>
      <c r="B1603" s="4" t="s">
        <v>1797</v>
      </c>
      <c r="C1603" s="4" t="s">
        <v>1797</v>
      </c>
      <c r="D1603" s="12" t="n">
        <v>2024</v>
      </c>
      <c r="E1603" s="4"/>
      <c r="F1603" s="4" t="s">
        <v>169</v>
      </c>
      <c r="G1603" s="4" t="s">
        <v>170</v>
      </c>
      <c r="H1603" s="4" t="s">
        <v>171</v>
      </c>
      <c r="I1603" s="4" t="s">
        <v>172</v>
      </c>
      <c r="J1603" s="4" t="s">
        <v>1797</v>
      </c>
      <c r="K1603" s="4" t="s">
        <v>84</v>
      </c>
      <c r="L1603" s="4" t="s">
        <v>85</v>
      </c>
      <c r="M1603" s="4"/>
      <c r="N1603" s="4"/>
      <c r="O1603" s="4"/>
      <c r="P1603" s="4"/>
      <c r="Q1603" s="4"/>
      <c r="R1603" s="4"/>
      <c r="S1603" s="13" t="n">
        <v>-4214.01</v>
      </c>
      <c r="T1603" s="4" t="s">
        <v>173</v>
      </c>
      <c r="U1603" s="14" t="n">
        <f aca="false">IF(OR($S1603="",PARAMETROS!$B$4=""),"",$S1603*PARAMETROS!$B$4)</f>
        <v>-24483.3981</v>
      </c>
      <c r="V1603" s="13" t="n">
        <v>0</v>
      </c>
      <c r="W1603" s="4"/>
      <c r="X1603" s="4"/>
      <c r="Y1603" s="4"/>
      <c r="Z1603" s="4"/>
      <c r="AA1603" s="4"/>
      <c r="AB1603" s="4"/>
      <c r="AC1603" s="4"/>
      <c r="AD1603" s="4"/>
      <c r="AE1603" s="4"/>
      <c r="AF1603" s="4"/>
      <c r="AG1603" s="4"/>
      <c r="AH1603" s="4"/>
      <c r="AI1603" s="4"/>
      <c r="AJ1603" s="4"/>
      <c r="AK1603" s="4"/>
      <c r="AL1603" s="4" t="s">
        <v>1692</v>
      </c>
      <c r="AM1603" s="4" t="s">
        <v>1700</v>
      </c>
    </row>
    <row r="1604" customFormat="false" ht="23.85" hidden="false" customHeight="false" outlineLevel="0" collapsed="false">
      <c r="A1604" s="4" t="s">
        <v>167</v>
      </c>
      <c r="B1604" s="4" t="s">
        <v>1798</v>
      </c>
      <c r="C1604" s="4" t="s">
        <v>1798</v>
      </c>
      <c r="D1604" s="12" t="n">
        <v>2024</v>
      </c>
      <c r="E1604" s="4"/>
      <c r="F1604" s="4" t="s">
        <v>169</v>
      </c>
      <c r="G1604" s="4" t="s">
        <v>170</v>
      </c>
      <c r="H1604" s="4" t="s">
        <v>171</v>
      </c>
      <c r="I1604" s="4" t="s">
        <v>172</v>
      </c>
      <c r="J1604" s="4" t="s">
        <v>1798</v>
      </c>
      <c r="K1604" s="4" t="s">
        <v>84</v>
      </c>
      <c r="L1604" s="4" t="s">
        <v>85</v>
      </c>
      <c r="M1604" s="4"/>
      <c r="N1604" s="4"/>
      <c r="O1604" s="4"/>
      <c r="P1604" s="4"/>
      <c r="Q1604" s="4"/>
      <c r="R1604" s="4"/>
      <c r="S1604" s="13" t="n">
        <v>-16.36</v>
      </c>
      <c r="T1604" s="4" t="s">
        <v>173</v>
      </c>
      <c r="U1604" s="14" t="n">
        <f aca="false">IF(OR($S1604="",PARAMETROS!$B$4=""),"",$S1604*PARAMETROS!$B$4)</f>
        <v>-95.0516</v>
      </c>
      <c r="V1604" s="13" t="n">
        <v>0</v>
      </c>
      <c r="W1604" s="4"/>
      <c r="X1604" s="4"/>
      <c r="Y1604" s="4"/>
      <c r="Z1604" s="4"/>
      <c r="AA1604" s="4"/>
      <c r="AB1604" s="4"/>
      <c r="AC1604" s="4"/>
      <c r="AD1604" s="4"/>
      <c r="AE1604" s="4"/>
      <c r="AF1604" s="4"/>
      <c r="AG1604" s="4"/>
      <c r="AH1604" s="4"/>
      <c r="AI1604" s="4"/>
      <c r="AJ1604" s="4"/>
      <c r="AK1604" s="4"/>
      <c r="AL1604" s="4" t="s">
        <v>1692</v>
      </c>
      <c r="AM1604" s="4" t="s">
        <v>1702</v>
      </c>
    </row>
    <row r="1605" customFormat="false" ht="23.85" hidden="false" customHeight="false" outlineLevel="0" collapsed="false">
      <c r="A1605" s="4" t="s">
        <v>167</v>
      </c>
      <c r="B1605" s="4" t="s">
        <v>1799</v>
      </c>
      <c r="C1605" s="4" t="s">
        <v>1799</v>
      </c>
      <c r="D1605" s="12" t="n">
        <v>2024</v>
      </c>
      <c r="E1605" s="4"/>
      <c r="F1605" s="4" t="s">
        <v>169</v>
      </c>
      <c r="G1605" s="4" t="s">
        <v>170</v>
      </c>
      <c r="H1605" s="4" t="s">
        <v>171</v>
      </c>
      <c r="I1605" s="4" t="s">
        <v>172</v>
      </c>
      <c r="J1605" s="4" t="s">
        <v>1799</v>
      </c>
      <c r="K1605" s="4" t="s">
        <v>84</v>
      </c>
      <c r="L1605" s="4" t="s">
        <v>85</v>
      </c>
      <c r="M1605" s="4"/>
      <c r="N1605" s="4"/>
      <c r="O1605" s="4"/>
      <c r="P1605" s="4"/>
      <c r="Q1605" s="4"/>
      <c r="R1605" s="4"/>
      <c r="S1605" s="13" t="n">
        <v>0</v>
      </c>
      <c r="T1605" s="4" t="s">
        <v>173</v>
      </c>
      <c r="U1605" s="14" t="n">
        <f aca="false">IF(OR($S1605="",PARAMETROS!$B$4=""),"",$S1605*PARAMETROS!$B$4)</f>
        <v>0</v>
      </c>
      <c r="V1605" s="13" t="n">
        <v>0</v>
      </c>
      <c r="W1605" s="4"/>
      <c r="X1605" s="4"/>
      <c r="Y1605" s="4"/>
      <c r="Z1605" s="4"/>
      <c r="AA1605" s="4"/>
      <c r="AB1605" s="4"/>
      <c r="AC1605" s="4"/>
      <c r="AD1605" s="4"/>
      <c r="AE1605" s="4"/>
      <c r="AF1605" s="4"/>
      <c r="AG1605" s="4"/>
      <c r="AH1605" s="4"/>
      <c r="AI1605" s="4"/>
      <c r="AJ1605" s="4"/>
      <c r="AK1605" s="4"/>
      <c r="AL1605" s="4" t="s">
        <v>1692</v>
      </c>
      <c r="AM1605" s="4" t="s">
        <v>1704</v>
      </c>
    </row>
    <row r="1606" customFormat="false" ht="23.85" hidden="false" customHeight="false" outlineLevel="0" collapsed="false">
      <c r="A1606" s="4" t="s">
        <v>167</v>
      </c>
      <c r="B1606" s="4" t="s">
        <v>1800</v>
      </c>
      <c r="C1606" s="4" t="s">
        <v>1800</v>
      </c>
      <c r="D1606" s="12" t="n">
        <v>2024</v>
      </c>
      <c r="E1606" s="4"/>
      <c r="F1606" s="4" t="s">
        <v>169</v>
      </c>
      <c r="G1606" s="4" t="s">
        <v>170</v>
      </c>
      <c r="H1606" s="4" t="s">
        <v>171</v>
      </c>
      <c r="I1606" s="4" t="s">
        <v>172</v>
      </c>
      <c r="J1606" s="4" t="s">
        <v>1800</v>
      </c>
      <c r="K1606" s="4" t="s">
        <v>84</v>
      </c>
      <c r="L1606" s="4" t="s">
        <v>85</v>
      </c>
      <c r="M1606" s="4"/>
      <c r="N1606" s="4"/>
      <c r="O1606" s="4"/>
      <c r="P1606" s="4"/>
      <c r="Q1606" s="4"/>
      <c r="R1606" s="4"/>
      <c r="S1606" s="13" t="n">
        <v>0</v>
      </c>
      <c r="T1606" s="4" t="s">
        <v>173</v>
      </c>
      <c r="U1606" s="14" t="n">
        <f aca="false">IF(OR($S1606="",PARAMETROS!$B$4=""),"",$S1606*PARAMETROS!$B$4)</f>
        <v>0</v>
      </c>
      <c r="V1606" s="13" t="n">
        <v>0</v>
      </c>
      <c r="W1606" s="4"/>
      <c r="X1606" s="4"/>
      <c r="Y1606" s="4"/>
      <c r="Z1606" s="4"/>
      <c r="AA1606" s="4"/>
      <c r="AB1606" s="4"/>
      <c r="AC1606" s="4"/>
      <c r="AD1606" s="4"/>
      <c r="AE1606" s="4"/>
      <c r="AF1606" s="4"/>
      <c r="AG1606" s="4"/>
      <c r="AH1606" s="4"/>
      <c r="AI1606" s="4"/>
      <c r="AJ1606" s="4"/>
      <c r="AK1606" s="4"/>
      <c r="AL1606" s="4" t="s">
        <v>1692</v>
      </c>
      <c r="AM1606" s="4" t="s">
        <v>1792</v>
      </c>
    </row>
    <row r="1607" customFormat="false" ht="23.85" hidden="false" customHeight="false" outlineLevel="0" collapsed="false">
      <c r="A1607" s="4" t="s">
        <v>167</v>
      </c>
      <c r="B1607" s="4" t="s">
        <v>1801</v>
      </c>
      <c r="C1607" s="4" t="s">
        <v>1801</v>
      </c>
      <c r="D1607" s="12" t="n">
        <v>2024</v>
      </c>
      <c r="E1607" s="4"/>
      <c r="F1607" s="4" t="s">
        <v>169</v>
      </c>
      <c r="G1607" s="4" t="s">
        <v>170</v>
      </c>
      <c r="H1607" s="4" t="s">
        <v>171</v>
      </c>
      <c r="I1607" s="4" t="s">
        <v>172</v>
      </c>
      <c r="J1607" s="4" t="s">
        <v>1801</v>
      </c>
      <c r="K1607" s="4" t="s">
        <v>84</v>
      </c>
      <c r="L1607" s="4" t="s">
        <v>85</v>
      </c>
      <c r="M1607" s="4"/>
      <c r="N1607" s="4"/>
      <c r="O1607" s="4"/>
      <c r="P1607" s="4"/>
      <c r="Q1607" s="4"/>
      <c r="R1607" s="4"/>
      <c r="S1607" s="13" t="n">
        <v>0</v>
      </c>
      <c r="T1607" s="4" t="s">
        <v>173</v>
      </c>
      <c r="U1607" s="14" t="n">
        <f aca="false">IF(OR($S1607="",PARAMETROS!$B$4=""),"",$S1607*PARAMETROS!$B$4)</f>
        <v>0</v>
      </c>
      <c r="V1607" s="13" t="n">
        <v>0</v>
      </c>
      <c r="W1607" s="4"/>
      <c r="X1607" s="4"/>
      <c r="Y1607" s="4"/>
      <c r="Z1607" s="4"/>
      <c r="AA1607" s="4"/>
      <c r="AB1607" s="4"/>
      <c r="AC1607" s="4"/>
      <c r="AD1607" s="4"/>
      <c r="AE1607" s="4"/>
      <c r="AF1607" s="4"/>
      <c r="AG1607" s="4"/>
      <c r="AH1607" s="4"/>
      <c r="AI1607" s="4"/>
      <c r="AJ1607" s="4"/>
      <c r="AK1607" s="4"/>
      <c r="AL1607" s="4" t="s">
        <v>1692</v>
      </c>
      <c r="AM1607" s="4" t="s">
        <v>1707</v>
      </c>
    </row>
    <row r="1608" customFormat="false" ht="23.85" hidden="false" customHeight="false" outlineLevel="0" collapsed="false">
      <c r="A1608" s="4" t="s">
        <v>167</v>
      </c>
      <c r="B1608" s="4" t="s">
        <v>1802</v>
      </c>
      <c r="C1608" s="4" t="s">
        <v>1802</v>
      </c>
      <c r="D1608" s="12" t="n">
        <v>2024</v>
      </c>
      <c r="E1608" s="4"/>
      <c r="F1608" s="4" t="s">
        <v>169</v>
      </c>
      <c r="G1608" s="4" t="s">
        <v>170</v>
      </c>
      <c r="H1608" s="4" t="s">
        <v>171</v>
      </c>
      <c r="I1608" s="4" t="s">
        <v>172</v>
      </c>
      <c r="J1608" s="4" t="s">
        <v>1802</v>
      </c>
      <c r="K1608" s="4" t="s">
        <v>84</v>
      </c>
      <c r="L1608" s="4" t="s">
        <v>85</v>
      </c>
      <c r="M1608" s="4"/>
      <c r="N1608" s="4"/>
      <c r="O1608" s="4"/>
      <c r="P1608" s="4"/>
      <c r="Q1608" s="4"/>
      <c r="R1608" s="4"/>
      <c r="S1608" s="13" t="n">
        <v>0</v>
      </c>
      <c r="T1608" s="4" t="s">
        <v>173</v>
      </c>
      <c r="U1608" s="14" t="n">
        <f aca="false">IF(OR($S1608="",PARAMETROS!$B$4=""),"",$S1608*PARAMETROS!$B$4)</f>
        <v>0</v>
      </c>
      <c r="V1608" s="13" t="n">
        <v>0</v>
      </c>
      <c r="W1608" s="4"/>
      <c r="X1608" s="4"/>
      <c r="Y1608" s="4"/>
      <c r="Z1608" s="4"/>
      <c r="AA1608" s="4"/>
      <c r="AB1608" s="4"/>
      <c r="AC1608" s="4"/>
      <c r="AD1608" s="4"/>
      <c r="AE1608" s="4"/>
      <c r="AF1608" s="4"/>
      <c r="AG1608" s="4"/>
      <c r="AH1608" s="4"/>
      <c r="AI1608" s="4"/>
      <c r="AJ1608" s="4"/>
      <c r="AK1608" s="4"/>
      <c r="AL1608" s="4" t="s">
        <v>1692</v>
      </c>
      <c r="AM1608" s="4" t="s">
        <v>1709</v>
      </c>
    </row>
    <row r="1609" customFormat="false" ht="23.85" hidden="false" customHeight="false" outlineLevel="0" collapsed="false">
      <c r="A1609" s="4" t="s">
        <v>167</v>
      </c>
      <c r="B1609" s="4" t="s">
        <v>1803</v>
      </c>
      <c r="C1609" s="4" t="s">
        <v>1803</v>
      </c>
      <c r="D1609" s="12" t="n">
        <v>2024</v>
      </c>
      <c r="E1609" s="4"/>
      <c r="F1609" s="4" t="s">
        <v>169</v>
      </c>
      <c r="G1609" s="4" t="s">
        <v>170</v>
      </c>
      <c r="H1609" s="4" t="s">
        <v>171</v>
      </c>
      <c r="I1609" s="4" t="s">
        <v>172</v>
      </c>
      <c r="J1609" s="4" t="s">
        <v>1803</v>
      </c>
      <c r="K1609" s="4" t="s">
        <v>84</v>
      </c>
      <c r="L1609" s="4" t="s">
        <v>85</v>
      </c>
      <c r="M1609" s="4"/>
      <c r="N1609" s="4"/>
      <c r="O1609" s="4"/>
      <c r="P1609" s="4"/>
      <c r="Q1609" s="4"/>
      <c r="R1609" s="4"/>
      <c r="S1609" s="13" t="n">
        <v>0</v>
      </c>
      <c r="T1609" s="4" t="s">
        <v>173</v>
      </c>
      <c r="U1609" s="14" t="n">
        <f aca="false">IF(OR($S1609="",PARAMETROS!$B$4=""),"",$S1609*PARAMETROS!$B$4)</f>
        <v>0</v>
      </c>
      <c r="V1609" s="13" t="n">
        <v>0</v>
      </c>
      <c r="W1609" s="4"/>
      <c r="X1609" s="4"/>
      <c r="Y1609" s="4"/>
      <c r="Z1609" s="4"/>
      <c r="AA1609" s="4"/>
      <c r="AB1609" s="4"/>
      <c r="AC1609" s="4"/>
      <c r="AD1609" s="4"/>
      <c r="AE1609" s="4"/>
      <c r="AF1609" s="4"/>
      <c r="AG1609" s="4"/>
      <c r="AH1609" s="4"/>
      <c r="AI1609" s="4"/>
      <c r="AJ1609" s="4"/>
      <c r="AK1609" s="4"/>
      <c r="AL1609" s="4" t="s">
        <v>1692</v>
      </c>
      <c r="AM1609" s="4" t="s">
        <v>1711</v>
      </c>
    </row>
    <row r="1610" customFormat="false" ht="23.85" hidden="false" customHeight="false" outlineLevel="0" collapsed="false">
      <c r="A1610" s="4" t="s">
        <v>167</v>
      </c>
      <c r="B1610" s="4" t="s">
        <v>1804</v>
      </c>
      <c r="C1610" s="4" t="s">
        <v>1804</v>
      </c>
      <c r="D1610" s="12" t="n">
        <v>2024</v>
      </c>
      <c r="E1610" s="4"/>
      <c r="F1610" s="4" t="s">
        <v>169</v>
      </c>
      <c r="G1610" s="4" t="s">
        <v>170</v>
      </c>
      <c r="H1610" s="4" t="s">
        <v>171</v>
      </c>
      <c r="I1610" s="4" t="s">
        <v>172</v>
      </c>
      <c r="J1610" s="4" t="s">
        <v>1804</v>
      </c>
      <c r="K1610" s="4" t="s">
        <v>84</v>
      </c>
      <c r="L1610" s="4" t="s">
        <v>85</v>
      </c>
      <c r="M1610" s="4"/>
      <c r="N1610" s="4"/>
      <c r="O1610" s="4"/>
      <c r="P1610" s="4"/>
      <c r="Q1610" s="4"/>
      <c r="R1610" s="4"/>
      <c r="S1610" s="13" t="n">
        <v>0</v>
      </c>
      <c r="T1610" s="4" t="s">
        <v>173</v>
      </c>
      <c r="U1610" s="14" t="n">
        <f aca="false">IF(OR($S1610="",PARAMETROS!$B$4=""),"",$S1610*PARAMETROS!$B$4)</f>
        <v>0</v>
      </c>
      <c r="V1610" s="13" t="n">
        <v>0</v>
      </c>
      <c r="W1610" s="4"/>
      <c r="X1610" s="4"/>
      <c r="Y1610" s="4"/>
      <c r="Z1610" s="4"/>
      <c r="AA1610" s="4"/>
      <c r="AB1610" s="4"/>
      <c r="AC1610" s="4"/>
      <c r="AD1610" s="4"/>
      <c r="AE1610" s="4"/>
      <c r="AF1610" s="4"/>
      <c r="AG1610" s="4"/>
      <c r="AH1610" s="4"/>
      <c r="AI1610" s="4"/>
      <c r="AJ1610" s="4"/>
      <c r="AK1610" s="4"/>
      <c r="AL1610" s="4" t="s">
        <v>1692</v>
      </c>
      <c r="AM1610" s="4" t="s">
        <v>1792</v>
      </c>
    </row>
    <row r="1611" customFormat="false" ht="23.85" hidden="false" customHeight="false" outlineLevel="0" collapsed="false">
      <c r="A1611" s="4" t="s">
        <v>167</v>
      </c>
      <c r="B1611" s="4" t="s">
        <v>1805</v>
      </c>
      <c r="C1611" s="4" t="s">
        <v>1805</v>
      </c>
      <c r="D1611" s="12" t="n">
        <v>2024</v>
      </c>
      <c r="E1611" s="4"/>
      <c r="F1611" s="4" t="s">
        <v>169</v>
      </c>
      <c r="G1611" s="4" t="s">
        <v>170</v>
      </c>
      <c r="H1611" s="4" t="s">
        <v>171</v>
      </c>
      <c r="I1611" s="4" t="s">
        <v>172</v>
      </c>
      <c r="J1611" s="4" t="s">
        <v>1805</v>
      </c>
      <c r="K1611" s="4" t="s">
        <v>84</v>
      </c>
      <c r="L1611" s="4" t="s">
        <v>85</v>
      </c>
      <c r="M1611" s="4"/>
      <c r="N1611" s="4"/>
      <c r="O1611" s="4"/>
      <c r="P1611" s="4"/>
      <c r="Q1611" s="4"/>
      <c r="R1611" s="4"/>
      <c r="S1611" s="13" t="n">
        <v>0</v>
      </c>
      <c r="T1611" s="4" t="s">
        <v>173</v>
      </c>
      <c r="U1611" s="14" t="n">
        <f aca="false">IF(OR($S1611="",PARAMETROS!$B$4=""),"",$S1611*PARAMETROS!$B$4)</f>
        <v>0</v>
      </c>
      <c r="V1611" s="13" t="n">
        <v>0</v>
      </c>
      <c r="W1611" s="4"/>
      <c r="X1611" s="4"/>
      <c r="Y1611" s="4"/>
      <c r="Z1611" s="4"/>
      <c r="AA1611" s="4"/>
      <c r="AB1611" s="4"/>
      <c r="AC1611" s="4"/>
      <c r="AD1611" s="4"/>
      <c r="AE1611" s="4"/>
      <c r="AF1611" s="4"/>
      <c r="AG1611" s="4"/>
      <c r="AH1611" s="4"/>
      <c r="AI1611" s="4"/>
      <c r="AJ1611" s="4"/>
      <c r="AK1611" s="4"/>
      <c r="AL1611" s="4" t="s">
        <v>1692</v>
      </c>
      <c r="AM1611" s="4" t="s">
        <v>1714</v>
      </c>
    </row>
    <row r="1612" customFormat="false" ht="23.85" hidden="false" customHeight="false" outlineLevel="0" collapsed="false">
      <c r="A1612" s="4" t="s">
        <v>167</v>
      </c>
      <c r="B1612" s="4" t="s">
        <v>1806</v>
      </c>
      <c r="C1612" s="4" t="s">
        <v>1806</v>
      </c>
      <c r="D1612" s="12" t="n">
        <v>2024</v>
      </c>
      <c r="E1612" s="4"/>
      <c r="F1612" s="4" t="s">
        <v>169</v>
      </c>
      <c r="G1612" s="4" t="s">
        <v>170</v>
      </c>
      <c r="H1612" s="4" t="s">
        <v>171</v>
      </c>
      <c r="I1612" s="4" t="s">
        <v>172</v>
      </c>
      <c r="J1612" s="4" t="s">
        <v>1806</v>
      </c>
      <c r="K1612" s="4" t="s">
        <v>109</v>
      </c>
      <c r="L1612" s="4" t="s">
        <v>110</v>
      </c>
      <c r="M1612" s="4"/>
      <c r="N1612" s="4"/>
      <c r="O1612" s="4"/>
      <c r="P1612" s="4"/>
      <c r="Q1612" s="4"/>
      <c r="R1612" s="4"/>
      <c r="S1612" s="13" t="n">
        <v>58967.98</v>
      </c>
      <c r="T1612" s="4" t="s">
        <v>173</v>
      </c>
      <c r="U1612" s="14" t="n">
        <f aca="false">IF(OR($S1612="",PARAMETROS!$B$4=""),"",$S1612*PARAMETROS!$B$4)</f>
        <v>342603.9638</v>
      </c>
      <c r="V1612" s="13" t="n">
        <v>0</v>
      </c>
      <c r="W1612" s="4"/>
      <c r="X1612" s="4"/>
      <c r="Y1612" s="4"/>
      <c r="Z1612" s="4"/>
      <c r="AA1612" s="4"/>
      <c r="AB1612" s="4"/>
      <c r="AC1612" s="4"/>
      <c r="AD1612" s="4"/>
      <c r="AE1612" s="4"/>
      <c r="AF1612" s="4"/>
      <c r="AG1612" s="4"/>
      <c r="AH1612" s="4"/>
      <c r="AI1612" s="4"/>
      <c r="AJ1612" s="4"/>
      <c r="AK1612" s="4"/>
      <c r="AL1612" s="4" t="s">
        <v>1692</v>
      </c>
      <c r="AM1612" s="4" t="s">
        <v>1807</v>
      </c>
    </row>
    <row r="1613" customFormat="false" ht="23.85" hidden="false" customHeight="false" outlineLevel="0" collapsed="false">
      <c r="A1613" s="4" t="s">
        <v>167</v>
      </c>
      <c r="B1613" s="4" t="s">
        <v>1808</v>
      </c>
      <c r="C1613" s="4" t="s">
        <v>1808</v>
      </c>
      <c r="D1613" s="12" t="n">
        <v>2024</v>
      </c>
      <c r="E1613" s="4"/>
      <c r="F1613" s="4" t="s">
        <v>169</v>
      </c>
      <c r="G1613" s="4" t="s">
        <v>170</v>
      </c>
      <c r="H1613" s="4" t="s">
        <v>171</v>
      </c>
      <c r="I1613" s="4" t="s">
        <v>172</v>
      </c>
      <c r="J1613" s="4" t="s">
        <v>1808</v>
      </c>
      <c r="K1613" s="4" t="s">
        <v>109</v>
      </c>
      <c r="L1613" s="4" t="s">
        <v>110</v>
      </c>
      <c r="M1613" s="4"/>
      <c r="N1613" s="4"/>
      <c r="O1613" s="4"/>
      <c r="P1613" s="4"/>
      <c r="Q1613" s="4"/>
      <c r="R1613" s="4"/>
      <c r="S1613" s="13" t="n">
        <v>0</v>
      </c>
      <c r="T1613" s="4" t="s">
        <v>173</v>
      </c>
      <c r="U1613" s="14" t="n">
        <f aca="false">IF(OR($S1613="",PARAMETROS!$B$4=""),"",$S1613*PARAMETROS!$B$4)</f>
        <v>0</v>
      </c>
      <c r="V1613" s="13" t="n">
        <v>0</v>
      </c>
      <c r="W1613" s="4"/>
      <c r="X1613" s="4"/>
      <c r="Y1613" s="4"/>
      <c r="Z1613" s="4"/>
      <c r="AA1613" s="4"/>
      <c r="AB1613" s="4"/>
      <c r="AC1613" s="4"/>
      <c r="AD1613" s="4"/>
      <c r="AE1613" s="4"/>
      <c r="AF1613" s="4"/>
      <c r="AG1613" s="4"/>
      <c r="AH1613" s="4"/>
      <c r="AI1613" s="4"/>
      <c r="AJ1613" s="4"/>
      <c r="AK1613" s="4"/>
      <c r="AL1613" s="4" t="s">
        <v>1692</v>
      </c>
      <c r="AM1613" s="4" t="s">
        <v>1807</v>
      </c>
    </row>
    <row r="1614" customFormat="false" ht="23.85" hidden="false" customHeight="false" outlineLevel="0" collapsed="false">
      <c r="A1614" s="4" t="s">
        <v>167</v>
      </c>
      <c r="B1614" s="4" t="s">
        <v>1809</v>
      </c>
      <c r="C1614" s="4" t="s">
        <v>1809</v>
      </c>
      <c r="D1614" s="12" t="n">
        <v>2024</v>
      </c>
      <c r="E1614" s="4"/>
      <c r="F1614" s="4" t="s">
        <v>169</v>
      </c>
      <c r="G1614" s="4" t="s">
        <v>170</v>
      </c>
      <c r="H1614" s="4" t="s">
        <v>171</v>
      </c>
      <c r="I1614" s="4" t="s">
        <v>172</v>
      </c>
      <c r="J1614" s="4" t="s">
        <v>1809</v>
      </c>
      <c r="K1614" s="4" t="s">
        <v>109</v>
      </c>
      <c r="L1614" s="4" t="s">
        <v>110</v>
      </c>
      <c r="M1614" s="4"/>
      <c r="N1614" s="4"/>
      <c r="O1614" s="4"/>
      <c r="P1614" s="4"/>
      <c r="Q1614" s="4"/>
      <c r="R1614" s="4"/>
      <c r="S1614" s="13" t="n">
        <v>0</v>
      </c>
      <c r="T1614" s="4" t="s">
        <v>173</v>
      </c>
      <c r="U1614" s="14" t="n">
        <f aca="false">IF(OR($S1614="",PARAMETROS!$B$4=""),"",$S1614*PARAMETROS!$B$4)</f>
        <v>0</v>
      </c>
      <c r="V1614" s="13" t="n">
        <v>0</v>
      </c>
      <c r="W1614" s="4"/>
      <c r="X1614" s="4"/>
      <c r="Y1614" s="4"/>
      <c r="Z1614" s="4"/>
      <c r="AA1614" s="4"/>
      <c r="AB1614" s="4"/>
      <c r="AC1614" s="4"/>
      <c r="AD1614" s="4"/>
      <c r="AE1614" s="4"/>
      <c r="AF1614" s="4"/>
      <c r="AG1614" s="4"/>
      <c r="AH1614" s="4"/>
      <c r="AI1614" s="4"/>
      <c r="AJ1614" s="4"/>
      <c r="AK1614" s="4"/>
      <c r="AL1614" s="4" t="s">
        <v>1692</v>
      </c>
      <c r="AM1614" s="4" t="s">
        <v>1807</v>
      </c>
    </row>
    <row r="1615" customFormat="false" ht="23.85" hidden="false" customHeight="false" outlineLevel="0" collapsed="false">
      <c r="A1615" s="4" t="s">
        <v>167</v>
      </c>
      <c r="B1615" s="4" t="s">
        <v>1810</v>
      </c>
      <c r="C1615" s="4" t="s">
        <v>1810</v>
      </c>
      <c r="D1615" s="12" t="n">
        <v>2024</v>
      </c>
      <c r="E1615" s="4"/>
      <c r="F1615" s="4" t="s">
        <v>169</v>
      </c>
      <c r="G1615" s="4" t="s">
        <v>170</v>
      </c>
      <c r="H1615" s="4" t="s">
        <v>171</v>
      </c>
      <c r="I1615" s="4" t="s">
        <v>172</v>
      </c>
      <c r="J1615" s="4" t="s">
        <v>1810</v>
      </c>
      <c r="K1615" s="4" t="s">
        <v>109</v>
      </c>
      <c r="L1615" s="4" t="s">
        <v>110</v>
      </c>
      <c r="M1615" s="4"/>
      <c r="N1615" s="4"/>
      <c r="O1615" s="4"/>
      <c r="P1615" s="4"/>
      <c r="Q1615" s="4"/>
      <c r="R1615" s="4"/>
      <c r="S1615" s="13" t="n">
        <v>0</v>
      </c>
      <c r="T1615" s="4" t="s">
        <v>173</v>
      </c>
      <c r="U1615" s="14" t="n">
        <f aca="false">IF(OR($S1615="",PARAMETROS!$B$4=""),"",$S1615*PARAMETROS!$B$4)</f>
        <v>0</v>
      </c>
      <c r="V1615" s="13" t="n">
        <v>0</v>
      </c>
      <c r="W1615" s="4"/>
      <c r="X1615" s="4"/>
      <c r="Y1615" s="4"/>
      <c r="Z1615" s="4"/>
      <c r="AA1615" s="4"/>
      <c r="AB1615" s="4"/>
      <c r="AC1615" s="4"/>
      <c r="AD1615" s="4"/>
      <c r="AE1615" s="4"/>
      <c r="AF1615" s="4"/>
      <c r="AG1615" s="4"/>
      <c r="AH1615" s="4"/>
      <c r="AI1615" s="4"/>
      <c r="AJ1615" s="4"/>
      <c r="AK1615" s="4"/>
      <c r="AL1615" s="4" t="s">
        <v>1692</v>
      </c>
      <c r="AM1615" s="4" t="s">
        <v>1807</v>
      </c>
    </row>
    <row r="1616" customFormat="false" ht="23.85" hidden="false" customHeight="false" outlineLevel="0" collapsed="false">
      <c r="A1616" s="4" t="s">
        <v>167</v>
      </c>
      <c r="B1616" s="4" t="s">
        <v>1811</v>
      </c>
      <c r="C1616" s="4" t="s">
        <v>1811</v>
      </c>
      <c r="D1616" s="12" t="n">
        <v>2024</v>
      </c>
      <c r="E1616" s="4"/>
      <c r="F1616" s="4" t="s">
        <v>169</v>
      </c>
      <c r="G1616" s="4" t="s">
        <v>170</v>
      </c>
      <c r="H1616" s="4" t="s">
        <v>171</v>
      </c>
      <c r="I1616" s="4" t="s">
        <v>172</v>
      </c>
      <c r="J1616" s="4" t="s">
        <v>1811</v>
      </c>
      <c r="K1616" s="4" t="s">
        <v>109</v>
      </c>
      <c r="L1616" s="4" t="s">
        <v>110</v>
      </c>
      <c r="M1616" s="4"/>
      <c r="N1616" s="4"/>
      <c r="O1616" s="4"/>
      <c r="P1616" s="4"/>
      <c r="Q1616" s="4"/>
      <c r="R1616" s="4"/>
      <c r="S1616" s="13" t="n">
        <v>0</v>
      </c>
      <c r="T1616" s="4" t="s">
        <v>173</v>
      </c>
      <c r="U1616" s="14" t="n">
        <f aca="false">IF(OR($S1616="",PARAMETROS!$B$4=""),"",$S1616*PARAMETROS!$B$4)</f>
        <v>0</v>
      </c>
      <c r="V1616" s="13" t="n">
        <v>0</v>
      </c>
      <c r="W1616" s="4"/>
      <c r="X1616" s="4"/>
      <c r="Y1616" s="4"/>
      <c r="Z1616" s="4"/>
      <c r="AA1616" s="4"/>
      <c r="AB1616" s="4"/>
      <c r="AC1616" s="4"/>
      <c r="AD1616" s="4"/>
      <c r="AE1616" s="4"/>
      <c r="AF1616" s="4"/>
      <c r="AG1616" s="4"/>
      <c r="AH1616" s="4"/>
      <c r="AI1616" s="4"/>
      <c r="AJ1616" s="4"/>
      <c r="AK1616" s="4"/>
      <c r="AL1616" s="4" t="s">
        <v>1692</v>
      </c>
      <c r="AM1616" s="4" t="s">
        <v>1698</v>
      </c>
    </row>
    <row r="1617" customFormat="false" ht="23.85" hidden="false" customHeight="false" outlineLevel="0" collapsed="false">
      <c r="A1617" s="4" t="s">
        <v>167</v>
      </c>
      <c r="B1617" s="4" t="s">
        <v>1812</v>
      </c>
      <c r="C1617" s="4" t="s">
        <v>1812</v>
      </c>
      <c r="D1617" s="12" t="n">
        <v>2024</v>
      </c>
      <c r="E1617" s="4"/>
      <c r="F1617" s="4" t="s">
        <v>169</v>
      </c>
      <c r="G1617" s="4" t="s">
        <v>170</v>
      </c>
      <c r="H1617" s="4" t="s">
        <v>171</v>
      </c>
      <c r="I1617" s="4" t="s">
        <v>172</v>
      </c>
      <c r="J1617" s="4" t="s">
        <v>1812</v>
      </c>
      <c r="K1617" s="4" t="s">
        <v>109</v>
      </c>
      <c r="L1617" s="4" t="s">
        <v>110</v>
      </c>
      <c r="M1617" s="4"/>
      <c r="N1617" s="4"/>
      <c r="O1617" s="4"/>
      <c r="P1617" s="4"/>
      <c r="Q1617" s="4"/>
      <c r="R1617" s="4"/>
      <c r="S1617" s="13" t="n">
        <v>0</v>
      </c>
      <c r="T1617" s="4" t="s">
        <v>173</v>
      </c>
      <c r="U1617" s="14" t="n">
        <f aca="false">IF(OR($S1617="",PARAMETROS!$B$4=""),"",$S1617*PARAMETROS!$B$4)</f>
        <v>0</v>
      </c>
      <c r="V1617" s="13" t="n">
        <v>0</v>
      </c>
      <c r="W1617" s="4"/>
      <c r="X1617" s="4"/>
      <c r="Y1617" s="4"/>
      <c r="Z1617" s="4"/>
      <c r="AA1617" s="4"/>
      <c r="AB1617" s="4"/>
      <c r="AC1617" s="4"/>
      <c r="AD1617" s="4"/>
      <c r="AE1617" s="4"/>
      <c r="AF1617" s="4"/>
      <c r="AG1617" s="4"/>
      <c r="AH1617" s="4"/>
      <c r="AI1617" s="4"/>
      <c r="AJ1617" s="4"/>
      <c r="AK1617" s="4"/>
      <c r="AL1617" s="4" t="s">
        <v>1692</v>
      </c>
      <c r="AM1617" s="4" t="s">
        <v>1813</v>
      </c>
    </row>
    <row r="1618" customFormat="false" ht="23.85" hidden="false" customHeight="false" outlineLevel="0" collapsed="false">
      <c r="A1618" s="4" t="s">
        <v>167</v>
      </c>
      <c r="B1618" s="4" t="s">
        <v>1814</v>
      </c>
      <c r="C1618" s="4" t="s">
        <v>1814</v>
      </c>
      <c r="D1618" s="12" t="n">
        <v>2024</v>
      </c>
      <c r="E1618" s="4"/>
      <c r="F1618" s="4" t="s">
        <v>169</v>
      </c>
      <c r="G1618" s="4" t="s">
        <v>170</v>
      </c>
      <c r="H1618" s="4" t="s">
        <v>171</v>
      </c>
      <c r="I1618" s="4" t="s">
        <v>172</v>
      </c>
      <c r="J1618" s="4" t="s">
        <v>1814</v>
      </c>
      <c r="K1618" s="4" t="s">
        <v>109</v>
      </c>
      <c r="L1618" s="4" t="s">
        <v>110</v>
      </c>
      <c r="M1618" s="4"/>
      <c r="N1618" s="4"/>
      <c r="O1618" s="4"/>
      <c r="P1618" s="4"/>
      <c r="Q1618" s="4"/>
      <c r="R1618" s="4"/>
      <c r="S1618" s="13" t="n">
        <v>0</v>
      </c>
      <c r="T1618" s="4" t="s">
        <v>173</v>
      </c>
      <c r="U1618" s="14" t="n">
        <f aca="false">IF(OR($S1618="",PARAMETROS!$B$4=""),"",$S1618*PARAMETROS!$B$4)</f>
        <v>0</v>
      </c>
      <c r="V1618" s="13" t="n">
        <v>0</v>
      </c>
      <c r="W1618" s="4"/>
      <c r="X1618" s="4"/>
      <c r="Y1618" s="4"/>
      <c r="Z1618" s="4"/>
      <c r="AA1618" s="4"/>
      <c r="AB1618" s="4"/>
      <c r="AC1618" s="4"/>
      <c r="AD1618" s="4"/>
      <c r="AE1618" s="4"/>
      <c r="AF1618" s="4"/>
      <c r="AG1618" s="4"/>
      <c r="AH1618" s="4"/>
      <c r="AI1618" s="4"/>
      <c r="AJ1618" s="4"/>
      <c r="AK1618" s="4"/>
      <c r="AL1618" s="4" t="s">
        <v>1692</v>
      </c>
      <c r="AM1618" s="4" t="s">
        <v>1723</v>
      </c>
    </row>
    <row r="1619" customFormat="false" ht="23.85" hidden="false" customHeight="false" outlineLevel="0" collapsed="false">
      <c r="A1619" s="4" t="s">
        <v>167</v>
      </c>
      <c r="B1619" s="4" t="s">
        <v>1815</v>
      </c>
      <c r="C1619" s="4" t="s">
        <v>1815</v>
      </c>
      <c r="D1619" s="12" t="n">
        <v>2024</v>
      </c>
      <c r="E1619" s="4"/>
      <c r="F1619" s="4" t="s">
        <v>169</v>
      </c>
      <c r="G1619" s="4" t="s">
        <v>170</v>
      </c>
      <c r="H1619" s="4" t="s">
        <v>171</v>
      </c>
      <c r="I1619" s="4" t="s">
        <v>172</v>
      </c>
      <c r="J1619" s="4" t="s">
        <v>1815</v>
      </c>
      <c r="K1619" s="4" t="s">
        <v>109</v>
      </c>
      <c r="L1619" s="4" t="s">
        <v>110</v>
      </c>
      <c r="M1619" s="4"/>
      <c r="N1619" s="4"/>
      <c r="O1619" s="4"/>
      <c r="P1619" s="4"/>
      <c r="Q1619" s="4"/>
      <c r="R1619" s="4"/>
      <c r="S1619" s="13" t="n">
        <v>0</v>
      </c>
      <c r="T1619" s="4" t="s">
        <v>173</v>
      </c>
      <c r="U1619" s="14" t="n">
        <f aca="false">IF(OR($S1619="",PARAMETROS!$B$4=""),"",$S1619*PARAMETROS!$B$4)</f>
        <v>0</v>
      </c>
      <c r="V1619" s="13" t="n">
        <v>0</v>
      </c>
      <c r="W1619" s="4"/>
      <c r="X1619" s="4"/>
      <c r="Y1619" s="4"/>
      <c r="Z1619" s="4"/>
      <c r="AA1619" s="4"/>
      <c r="AB1619" s="4"/>
      <c r="AC1619" s="4"/>
      <c r="AD1619" s="4"/>
      <c r="AE1619" s="4"/>
      <c r="AF1619" s="4"/>
      <c r="AG1619" s="4"/>
      <c r="AH1619" s="4"/>
      <c r="AI1619" s="4"/>
      <c r="AJ1619" s="4"/>
      <c r="AK1619" s="4"/>
      <c r="AL1619" s="4" t="s">
        <v>1692</v>
      </c>
      <c r="AM1619" s="4" t="s">
        <v>1704</v>
      </c>
    </row>
    <row r="1620" customFormat="false" ht="23.85" hidden="false" customHeight="false" outlineLevel="0" collapsed="false">
      <c r="A1620" s="4" t="s">
        <v>167</v>
      </c>
      <c r="B1620" s="4" t="s">
        <v>1816</v>
      </c>
      <c r="C1620" s="4" t="s">
        <v>1816</v>
      </c>
      <c r="D1620" s="12" t="n">
        <v>2024</v>
      </c>
      <c r="E1620" s="4"/>
      <c r="F1620" s="4" t="s">
        <v>169</v>
      </c>
      <c r="G1620" s="4" t="s">
        <v>170</v>
      </c>
      <c r="H1620" s="4" t="s">
        <v>171</v>
      </c>
      <c r="I1620" s="4" t="s">
        <v>172</v>
      </c>
      <c r="J1620" s="4" t="s">
        <v>1816</v>
      </c>
      <c r="K1620" s="4" t="s">
        <v>109</v>
      </c>
      <c r="L1620" s="4" t="s">
        <v>110</v>
      </c>
      <c r="M1620" s="4"/>
      <c r="N1620" s="4"/>
      <c r="O1620" s="4"/>
      <c r="P1620" s="4"/>
      <c r="Q1620" s="4"/>
      <c r="R1620" s="4"/>
      <c r="S1620" s="13" t="n">
        <v>0</v>
      </c>
      <c r="T1620" s="4" t="s">
        <v>173</v>
      </c>
      <c r="U1620" s="14" t="n">
        <f aca="false">IF(OR($S1620="",PARAMETROS!$B$4=""),"",$S1620*PARAMETROS!$B$4)</f>
        <v>0</v>
      </c>
      <c r="V1620" s="13" t="n">
        <v>0</v>
      </c>
      <c r="W1620" s="4"/>
      <c r="X1620" s="4"/>
      <c r="Y1620" s="4"/>
      <c r="Z1620" s="4"/>
      <c r="AA1620" s="4"/>
      <c r="AB1620" s="4"/>
      <c r="AC1620" s="4"/>
      <c r="AD1620" s="4"/>
      <c r="AE1620" s="4"/>
      <c r="AF1620" s="4"/>
      <c r="AG1620" s="4"/>
      <c r="AH1620" s="4"/>
      <c r="AI1620" s="4"/>
      <c r="AJ1620" s="4"/>
      <c r="AK1620" s="4"/>
      <c r="AL1620" s="4" t="s">
        <v>1692</v>
      </c>
      <c r="AM1620" s="4" t="s">
        <v>1807</v>
      </c>
    </row>
    <row r="1621" customFormat="false" ht="23.85" hidden="false" customHeight="false" outlineLevel="0" collapsed="false">
      <c r="A1621" s="4" t="s">
        <v>167</v>
      </c>
      <c r="B1621" s="4" t="s">
        <v>1817</v>
      </c>
      <c r="C1621" s="4" t="s">
        <v>1817</v>
      </c>
      <c r="D1621" s="12" t="n">
        <v>2024</v>
      </c>
      <c r="E1621" s="4"/>
      <c r="F1621" s="4" t="s">
        <v>169</v>
      </c>
      <c r="G1621" s="4" t="s">
        <v>170</v>
      </c>
      <c r="H1621" s="4" t="s">
        <v>171</v>
      </c>
      <c r="I1621" s="4" t="s">
        <v>172</v>
      </c>
      <c r="J1621" s="4" t="s">
        <v>1817</v>
      </c>
      <c r="K1621" s="4" t="s">
        <v>109</v>
      </c>
      <c r="L1621" s="4" t="s">
        <v>110</v>
      </c>
      <c r="M1621" s="4"/>
      <c r="N1621" s="4"/>
      <c r="O1621" s="4"/>
      <c r="P1621" s="4"/>
      <c r="Q1621" s="4"/>
      <c r="R1621" s="4"/>
      <c r="S1621" s="13" t="n">
        <v>57198.94</v>
      </c>
      <c r="T1621" s="4" t="s">
        <v>173</v>
      </c>
      <c r="U1621" s="14" t="n">
        <f aca="false">IF(OR($S1621="",PARAMETROS!$B$4=""),"",$S1621*PARAMETROS!$B$4)</f>
        <v>332325.8414</v>
      </c>
      <c r="V1621" s="13" t="n">
        <v>0</v>
      </c>
      <c r="W1621" s="4"/>
      <c r="X1621" s="4"/>
      <c r="Y1621" s="4"/>
      <c r="Z1621" s="4"/>
      <c r="AA1621" s="4"/>
      <c r="AB1621" s="4"/>
      <c r="AC1621" s="4"/>
      <c r="AD1621" s="4"/>
      <c r="AE1621" s="4"/>
      <c r="AF1621" s="4"/>
      <c r="AG1621" s="4"/>
      <c r="AH1621" s="4"/>
      <c r="AI1621" s="4"/>
      <c r="AJ1621" s="4"/>
      <c r="AK1621" s="4"/>
      <c r="AL1621" s="4" t="s">
        <v>1692</v>
      </c>
      <c r="AM1621" s="4" t="s">
        <v>1818</v>
      </c>
    </row>
    <row r="1622" customFormat="false" ht="23.85" hidden="false" customHeight="false" outlineLevel="0" collapsed="false">
      <c r="A1622" s="4" t="s">
        <v>167</v>
      </c>
      <c r="B1622" s="4" t="s">
        <v>1819</v>
      </c>
      <c r="C1622" s="4" t="s">
        <v>1819</v>
      </c>
      <c r="D1622" s="12" t="n">
        <v>2024</v>
      </c>
      <c r="E1622" s="4"/>
      <c r="F1622" s="4" t="s">
        <v>169</v>
      </c>
      <c r="G1622" s="4" t="s">
        <v>170</v>
      </c>
      <c r="H1622" s="4" t="s">
        <v>171</v>
      </c>
      <c r="I1622" s="4" t="s">
        <v>172</v>
      </c>
      <c r="J1622" s="4" t="s">
        <v>1819</v>
      </c>
      <c r="K1622" s="4" t="s">
        <v>109</v>
      </c>
      <c r="L1622" s="4" t="s">
        <v>110</v>
      </c>
      <c r="M1622" s="4"/>
      <c r="N1622" s="4"/>
      <c r="O1622" s="4"/>
      <c r="P1622" s="4"/>
      <c r="Q1622" s="4"/>
      <c r="R1622" s="4"/>
      <c r="S1622" s="13" t="n">
        <v>1769.04</v>
      </c>
      <c r="T1622" s="4" t="s">
        <v>173</v>
      </c>
      <c r="U1622" s="14" t="n">
        <f aca="false">IF(OR($S1622="",PARAMETROS!$B$4=""),"",$S1622*PARAMETROS!$B$4)</f>
        <v>10278.1224</v>
      </c>
      <c r="V1622" s="13" t="n">
        <v>0</v>
      </c>
      <c r="W1622" s="4"/>
      <c r="X1622" s="4"/>
      <c r="Y1622" s="4"/>
      <c r="Z1622" s="4"/>
      <c r="AA1622" s="4"/>
      <c r="AB1622" s="4"/>
      <c r="AC1622" s="4"/>
      <c r="AD1622" s="4"/>
      <c r="AE1622" s="4"/>
      <c r="AF1622" s="4"/>
      <c r="AG1622" s="4"/>
      <c r="AH1622" s="4"/>
      <c r="AI1622" s="4"/>
      <c r="AJ1622" s="4"/>
      <c r="AK1622" s="4"/>
      <c r="AL1622" s="4" t="s">
        <v>1692</v>
      </c>
      <c r="AM1622" s="4" t="s">
        <v>1820</v>
      </c>
    </row>
    <row r="1623" customFormat="false" ht="23.85" hidden="false" customHeight="false" outlineLevel="0" collapsed="false">
      <c r="A1623" s="4" t="s">
        <v>167</v>
      </c>
      <c r="B1623" s="4" t="s">
        <v>1821</v>
      </c>
      <c r="C1623" s="4" t="s">
        <v>1821</v>
      </c>
      <c r="D1623" s="12" t="n">
        <v>2024</v>
      </c>
      <c r="E1623" s="4"/>
      <c r="F1623" s="4" t="s">
        <v>169</v>
      </c>
      <c r="G1623" s="4" t="s">
        <v>170</v>
      </c>
      <c r="H1623" s="4" t="s">
        <v>171</v>
      </c>
      <c r="I1623" s="4" t="s">
        <v>172</v>
      </c>
      <c r="J1623" s="4" t="s">
        <v>1821</v>
      </c>
      <c r="K1623" s="4" t="s">
        <v>109</v>
      </c>
      <c r="L1623" s="4" t="s">
        <v>110</v>
      </c>
      <c r="M1623" s="4"/>
      <c r="N1623" s="4"/>
      <c r="O1623" s="4"/>
      <c r="P1623" s="4"/>
      <c r="Q1623" s="4"/>
      <c r="R1623" s="4"/>
      <c r="S1623" s="13" t="n">
        <v>0</v>
      </c>
      <c r="T1623" s="4" t="s">
        <v>173</v>
      </c>
      <c r="U1623" s="14" t="n">
        <f aca="false">IF(OR($S1623="",PARAMETROS!$B$4=""),"",$S1623*PARAMETROS!$B$4)</f>
        <v>0</v>
      </c>
      <c r="V1623" s="13" t="n">
        <v>0</v>
      </c>
      <c r="W1623" s="4"/>
      <c r="X1623" s="4"/>
      <c r="Y1623" s="4"/>
      <c r="Z1623" s="4"/>
      <c r="AA1623" s="4"/>
      <c r="AB1623" s="4"/>
      <c r="AC1623" s="4"/>
      <c r="AD1623" s="4"/>
      <c r="AE1623" s="4"/>
      <c r="AF1623" s="4"/>
      <c r="AG1623" s="4"/>
      <c r="AH1623" s="4"/>
      <c r="AI1623" s="4"/>
      <c r="AJ1623" s="4"/>
      <c r="AK1623" s="4"/>
      <c r="AL1623" s="4" t="s">
        <v>1692</v>
      </c>
      <c r="AM1623" s="4" t="s">
        <v>1711</v>
      </c>
    </row>
    <row r="1624" customFormat="false" ht="23.85" hidden="false" customHeight="false" outlineLevel="0" collapsed="false">
      <c r="A1624" s="4" t="s">
        <v>167</v>
      </c>
      <c r="B1624" s="4" t="s">
        <v>1822</v>
      </c>
      <c r="C1624" s="4" t="s">
        <v>1822</v>
      </c>
      <c r="D1624" s="12" t="n">
        <v>2024</v>
      </c>
      <c r="E1624" s="4"/>
      <c r="F1624" s="4" t="s">
        <v>169</v>
      </c>
      <c r="G1624" s="4" t="s">
        <v>170</v>
      </c>
      <c r="H1624" s="4" t="s">
        <v>171</v>
      </c>
      <c r="I1624" s="4" t="s">
        <v>172</v>
      </c>
      <c r="J1624" s="4" t="s">
        <v>1822</v>
      </c>
      <c r="K1624" s="4" t="s">
        <v>109</v>
      </c>
      <c r="L1624" s="4" t="s">
        <v>110</v>
      </c>
      <c r="M1624" s="4"/>
      <c r="N1624" s="4"/>
      <c r="O1624" s="4"/>
      <c r="P1624" s="4"/>
      <c r="Q1624" s="4"/>
      <c r="R1624" s="4"/>
      <c r="S1624" s="13" t="n">
        <v>0</v>
      </c>
      <c r="T1624" s="4" t="s">
        <v>173</v>
      </c>
      <c r="U1624" s="14" t="n">
        <f aca="false">IF(OR($S1624="",PARAMETROS!$B$4=""),"",$S1624*PARAMETROS!$B$4)</f>
        <v>0</v>
      </c>
      <c r="V1624" s="13" t="n">
        <v>0</v>
      </c>
      <c r="W1624" s="4"/>
      <c r="X1624" s="4"/>
      <c r="Y1624" s="4"/>
      <c r="Z1624" s="4"/>
      <c r="AA1624" s="4"/>
      <c r="AB1624" s="4"/>
      <c r="AC1624" s="4"/>
      <c r="AD1624" s="4"/>
      <c r="AE1624" s="4"/>
      <c r="AF1624" s="4"/>
      <c r="AG1624" s="4"/>
      <c r="AH1624" s="4"/>
      <c r="AI1624" s="4"/>
      <c r="AJ1624" s="4"/>
      <c r="AK1624" s="4"/>
      <c r="AL1624" s="4" t="s">
        <v>1692</v>
      </c>
      <c r="AM1624" s="4" t="s">
        <v>1807</v>
      </c>
    </row>
    <row r="1625" customFormat="false" ht="23.85" hidden="false" customHeight="false" outlineLevel="0" collapsed="false">
      <c r="A1625" s="4" t="s">
        <v>167</v>
      </c>
      <c r="B1625" s="4" t="s">
        <v>1823</v>
      </c>
      <c r="C1625" s="4" t="s">
        <v>1823</v>
      </c>
      <c r="D1625" s="12" t="n">
        <v>2024</v>
      </c>
      <c r="E1625" s="4"/>
      <c r="F1625" s="4" t="s">
        <v>169</v>
      </c>
      <c r="G1625" s="4" t="s">
        <v>170</v>
      </c>
      <c r="H1625" s="4" t="s">
        <v>171</v>
      </c>
      <c r="I1625" s="4" t="s">
        <v>172</v>
      </c>
      <c r="J1625" s="4" t="s">
        <v>1823</v>
      </c>
      <c r="K1625" s="4" t="s">
        <v>109</v>
      </c>
      <c r="L1625" s="4" t="s">
        <v>110</v>
      </c>
      <c r="M1625" s="4"/>
      <c r="N1625" s="4"/>
      <c r="O1625" s="4"/>
      <c r="P1625" s="4"/>
      <c r="Q1625" s="4"/>
      <c r="R1625" s="4"/>
      <c r="S1625" s="13" t="n">
        <v>0</v>
      </c>
      <c r="T1625" s="4" t="s">
        <v>173</v>
      </c>
      <c r="U1625" s="14" t="n">
        <f aca="false">IF(OR($S1625="",PARAMETROS!$B$4=""),"",$S1625*PARAMETROS!$B$4)</f>
        <v>0</v>
      </c>
      <c r="V1625" s="13" t="n">
        <v>0</v>
      </c>
      <c r="W1625" s="4"/>
      <c r="X1625" s="4"/>
      <c r="Y1625" s="4"/>
      <c r="Z1625" s="4"/>
      <c r="AA1625" s="4"/>
      <c r="AB1625" s="4"/>
      <c r="AC1625" s="4"/>
      <c r="AD1625" s="4"/>
      <c r="AE1625" s="4"/>
      <c r="AF1625" s="4"/>
      <c r="AG1625" s="4"/>
      <c r="AH1625" s="4"/>
      <c r="AI1625" s="4"/>
      <c r="AJ1625" s="4"/>
      <c r="AK1625" s="4"/>
      <c r="AL1625" s="4" t="s">
        <v>1692</v>
      </c>
      <c r="AM1625" s="4" t="s">
        <v>1714</v>
      </c>
    </row>
    <row r="1626" customFormat="false" ht="23.85" hidden="false" customHeight="false" outlineLevel="0" collapsed="false">
      <c r="A1626" s="4" t="s">
        <v>167</v>
      </c>
      <c r="B1626" s="4" t="s">
        <v>1824</v>
      </c>
      <c r="C1626" s="4" t="s">
        <v>1824</v>
      </c>
      <c r="D1626" s="12" t="n">
        <v>2024</v>
      </c>
      <c r="E1626" s="4"/>
      <c r="F1626" s="4" t="s">
        <v>169</v>
      </c>
      <c r="G1626" s="4" t="s">
        <v>170</v>
      </c>
      <c r="H1626" s="4" t="s">
        <v>171</v>
      </c>
      <c r="I1626" s="4" t="s">
        <v>172</v>
      </c>
      <c r="J1626" s="4" t="s">
        <v>1824</v>
      </c>
      <c r="K1626" s="4" t="s">
        <v>86</v>
      </c>
      <c r="L1626" s="4" t="s">
        <v>87</v>
      </c>
      <c r="M1626" s="4"/>
      <c r="N1626" s="4"/>
      <c r="O1626" s="4"/>
      <c r="P1626" s="4"/>
      <c r="Q1626" s="4"/>
      <c r="R1626" s="4"/>
      <c r="S1626" s="13" t="n">
        <v>1847.73</v>
      </c>
      <c r="T1626" s="4" t="s">
        <v>173</v>
      </c>
      <c r="U1626" s="14" t="n">
        <f aca="false">IF(OR($S1626="",PARAMETROS!$B$4=""),"",$S1626*PARAMETROS!$B$4)</f>
        <v>10735.3113</v>
      </c>
      <c r="V1626" s="13" t="n">
        <v>0</v>
      </c>
      <c r="W1626" s="4"/>
      <c r="X1626" s="4"/>
      <c r="Y1626" s="4"/>
      <c r="Z1626" s="4"/>
      <c r="AA1626" s="4"/>
      <c r="AB1626" s="4"/>
      <c r="AC1626" s="4"/>
      <c r="AD1626" s="4"/>
      <c r="AE1626" s="4"/>
      <c r="AF1626" s="4"/>
      <c r="AG1626" s="4"/>
      <c r="AH1626" s="4"/>
      <c r="AI1626" s="4"/>
      <c r="AJ1626" s="4"/>
      <c r="AK1626" s="4"/>
      <c r="AL1626" s="4" t="s">
        <v>1692</v>
      </c>
      <c r="AM1626" s="4" t="s">
        <v>1825</v>
      </c>
    </row>
    <row r="1627" customFormat="false" ht="23.85" hidden="false" customHeight="false" outlineLevel="0" collapsed="false">
      <c r="A1627" s="4" t="s">
        <v>167</v>
      </c>
      <c r="B1627" s="4" t="s">
        <v>1826</v>
      </c>
      <c r="C1627" s="4" t="s">
        <v>1826</v>
      </c>
      <c r="D1627" s="12" t="n">
        <v>2024</v>
      </c>
      <c r="E1627" s="4"/>
      <c r="F1627" s="4" t="s">
        <v>169</v>
      </c>
      <c r="G1627" s="4" t="s">
        <v>170</v>
      </c>
      <c r="H1627" s="4" t="s">
        <v>171</v>
      </c>
      <c r="I1627" s="4" t="s">
        <v>172</v>
      </c>
      <c r="J1627" s="4" t="s">
        <v>1826</v>
      </c>
      <c r="K1627" s="4" t="s">
        <v>86</v>
      </c>
      <c r="L1627" s="4" t="s">
        <v>87</v>
      </c>
      <c r="M1627" s="4"/>
      <c r="N1627" s="4"/>
      <c r="O1627" s="4"/>
      <c r="P1627" s="4"/>
      <c r="Q1627" s="4"/>
      <c r="R1627" s="4"/>
      <c r="S1627" s="13" t="n">
        <v>32.98</v>
      </c>
      <c r="T1627" s="4" t="s">
        <v>173</v>
      </c>
      <c r="U1627" s="14" t="n">
        <f aca="false">IF(OR($S1627="",PARAMETROS!$B$4=""),"",$S1627*PARAMETROS!$B$4)</f>
        <v>191.6138</v>
      </c>
      <c r="V1627" s="13" t="n">
        <v>0</v>
      </c>
      <c r="W1627" s="4"/>
      <c r="X1627" s="4"/>
      <c r="Y1627" s="4"/>
      <c r="Z1627" s="4"/>
      <c r="AA1627" s="4"/>
      <c r="AB1627" s="4"/>
      <c r="AC1627" s="4"/>
      <c r="AD1627" s="4"/>
      <c r="AE1627" s="4"/>
      <c r="AF1627" s="4"/>
      <c r="AG1627" s="4"/>
      <c r="AH1627" s="4"/>
      <c r="AI1627" s="4"/>
      <c r="AJ1627" s="4"/>
      <c r="AK1627" s="4"/>
      <c r="AL1627" s="4" t="s">
        <v>1692</v>
      </c>
      <c r="AM1627" s="4" t="s">
        <v>205</v>
      </c>
    </row>
    <row r="1628" customFormat="false" ht="23.85" hidden="false" customHeight="false" outlineLevel="0" collapsed="false">
      <c r="A1628" s="4" t="s">
        <v>167</v>
      </c>
      <c r="B1628" s="4" t="s">
        <v>1827</v>
      </c>
      <c r="C1628" s="4" t="s">
        <v>1827</v>
      </c>
      <c r="D1628" s="12" t="n">
        <v>2024</v>
      </c>
      <c r="E1628" s="4"/>
      <c r="F1628" s="4" t="s">
        <v>169</v>
      </c>
      <c r="G1628" s="4" t="s">
        <v>170</v>
      </c>
      <c r="H1628" s="4" t="s">
        <v>171</v>
      </c>
      <c r="I1628" s="4" t="s">
        <v>172</v>
      </c>
      <c r="J1628" s="4" t="s">
        <v>1827</v>
      </c>
      <c r="K1628" s="4" t="s">
        <v>86</v>
      </c>
      <c r="L1628" s="4" t="s">
        <v>87</v>
      </c>
      <c r="M1628" s="4"/>
      <c r="N1628" s="4"/>
      <c r="O1628" s="4"/>
      <c r="P1628" s="4"/>
      <c r="Q1628" s="4"/>
      <c r="R1628" s="4"/>
      <c r="S1628" s="13" t="n">
        <v>1119.66</v>
      </c>
      <c r="T1628" s="4" t="s">
        <v>173</v>
      </c>
      <c r="U1628" s="14" t="n">
        <f aca="false">IF(OR($S1628="",PARAMETROS!$B$4=""),"",$S1628*PARAMETROS!$B$4)</f>
        <v>6505.2246</v>
      </c>
      <c r="V1628" s="13" t="n">
        <v>0</v>
      </c>
      <c r="W1628" s="4"/>
      <c r="X1628" s="4"/>
      <c r="Y1628" s="4"/>
      <c r="Z1628" s="4"/>
      <c r="AA1628" s="4"/>
      <c r="AB1628" s="4"/>
      <c r="AC1628" s="4"/>
      <c r="AD1628" s="4"/>
      <c r="AE1628" s="4"/>
      <c r="AF1628" s="4"/>
      <c r="AG1628" s="4"/>
      <c r="AH1628" s="4"/>
      <c r="AI1628" s="4"/>
      <c r="AJ1628" s="4"/>
      <c r="AK1628" s="4"/>
      <c r="AL1628" s="4" t="s">
        <v>1692</v>
      </c>
      <c r="AM1628" s="4" t="s">
        <v>205</v>
      </c>
    </row>
    <row r="1629" customFormat="false" ht="23.85" hidden="false" customHeight="false" outlineLevel="0" collapsed="false">
      <c r="A1629" s="4" t="s">
        <v>167</v>
      </c>
      <c r="B1629" s="4" t="s">
        <v>1828</v>
      </c>
      <c r="C1629" s="4" t="s">
        <v>1828</v>
      </c>
      <c r="D1629" s="12" t="n">
        <v>2024</v>
      </c>
      <c r="E1629" s="4"/>
      <c r="F1629" s="4" t="s">
        <v>169</v>
      </c>
      <c r="G1629" s="4" t="s">
        <v>170</v>
      </c>
      <c r="H1629" s="4" t="s">
        <v>171</v>
      </c>
      <c r="I1629" s="4" t="s">
        <v>172</v>
      </c>
      <c r="J1629" s="4" t="s">
        <v>1828</v>
      </c>
      <c r="K1629" s="4" t="s">
        <v>86</v>
      </c>
      <c r="L1629" s="4" t="s">
        <v>87</v>
      </c>
      <c r="M1629" s="4"/>
      <c r="N1629" s="4"/>
      <c r="O1629" s="4"/>
      <c r="P1629" s="4"/>
      <c r="Q1629" s="4"/>
      <c r="R1629" s="4"/>
      <c r="S1629" s="13" t="n">
        <v>-256.73</v>
      </c>
      <c r="T1629" s="4" t="s">
        <v>173</v>
      </c>
      <c r="U1629" s="14" t="n">
        <f aca="false">IF(OR($S1629="",PARAMETROS!$B$4=""),"",$S1629*PARAMETROS!$B$4)</f>
        <v>-1491.6013</v>
      </c>
      <c r="V1629" s="13" t="n">
        <v>0</v>
      </c>
      <c r="W1629" s="4"/>
      <c r="X1629" s="4"/>
      <c r="Y1629" s="4"/>
      <c r="Z1629" s="4"/>
      <c r="AA1629" s="4"/>
      <c r="AB1629" s="4"/>
      <c r="AC1629" s="4"/>
      <c r="AD1629" s="4"/>
      <c r="AE1629" s="4"/>
      <c r="AF1629" s="4"/>
      <c r="AG1629" s="4"/>
      <c r="AH1629" s="4"/>
      <c r="AI1629" s="4"/>
      <c r="AJ1629" s="4"/>
      <c r="AK1629" s="4"/>
      <c r="AL1629" s="4" t="s">
        <v>1692</v>
      </c>
      <c r="AM1629" s="4" t="s">
        <v>205</v>
      </c>
    </row>
    <row r="1630" customFormat="false" ht="23.85" hidden="false" customHeight="false" outlineLevel="0" collapsed="false">
      <c r="A1630" s="4" t="s">
        <v>167</v>
      </c>
      <c r="B1630" s="4" t="s">
        <v>1829</v>
      </c>
      <c r="C1630" s="4" t="s">
        <v>1829</v>
      </c>
      <c r="D1630" s="12" t="n">
        <v>2024</v>
      </c>
      <c r="E1630" s="4"/>
      <c r="F1630" s="4" t="s">
        <v>169</v>
      </c>
      <c r="G1630" s="4" t="s">
        <v>170</v>
      </c>
      <c r="H1630" s="4" t="s">
        <v>171</v>
      </c>
      <c r="I1630" s="4" t="s">
        <v>172</v>
      </c>
      <c r="J1630" s="4" t="s">
        <v>1829</v>
      </c>
      <c r="K1630" s="4" t="s">
        <v>86</v>
      </c>
      <c r="L1630" s="4" t="s">
        <v>87</v>
      </c>
      <c r="M1630" s="4"/>
      <c r="N1630" s="4"/>
      <c r="O1630" s="4"/>
      <c r="P1630" s="4"/>
      <c r="Q1630" s="4"/>
      <c r="R1630" s="4"/>
      <c r="S1630" s="13" t="n">
        <v>-504.32</v>
      </c>
      <c r="T1630" s="4" t="s">
        <v>173</v>
      </c>
      <c r="U1630" s="14" t="n">
        <f aca="false">IF(OR($S1630="",PARAMETROS!$B$4=""),"",$S1630*PARAMETROS!$B$4)</f>
        <v>-2930.0992</v>
      </c>
      <c r="V1630" s="13" t="n">
        <v>0</v>
      </c>
      <c r="W1630" s="4"/>
      <c r="X1630" s="4"/>
      <c r="Y1630" s="4"/>
      <c r="Z1630" s="4"/>
      <c r="AA1630" s="4"/>
      <c r="AB1630" s="4"/>
      <c r="AC1630" s="4"/>
      <c r="AD1630" s="4"/>
      <c r="AE1630" s="4"/>
      <c r="AF1630" s="4"/>
      <c r="AG1630" s="4"/>
      <c r="AH1630" s="4"/>
      <c r="AI1630" s="4"/>
      <c r="AJ1630" s="4"/>
      <c r="AK1630" s="4"/>
      <c r="AL1630" s="4" t="s">
        <v>1692</v>
      </c>
      <c r="AM1630" s="4" t="s">
        <v>1830</v>
      </c>
    </row>
    <row r="1631" customFormat="false" ht="23.85" hidden="false" customHeight="false" outlineLevel="0" collapsed="false">
      <c r="A1631" s="4" t="s">
        <v>167</v>
      </c>
      <c r="B1631" s="4" t="s">
        <v>1831</v>
      </c>
      <c r="C1631" s="4" t="s">
        <v>1831</v>
      </c>
      <c r="D1631" s="12" t="n">
        <v>2024</v>
      </c>
      <c r="E1631" s="4"/>
      <c r="F1631" s="4" t="s">
        <v>169</v>
      </c>
      <c r="G1631" s="4" t="s">
        <v>170</v>
      </c>
      <c r="H1631" s="4" t="s">
        <v>171</v>
      </c>
      <c r="I1631" s="4" t="s">
        <v>172</v>
      </c>
      <c r="J1631" s="4" t="s">
        <v>1831</v>
      </c>
      <c r="K1631" s="4" t="s">
        <v>86</v>
      </c>
      <c r="L1631" s="4" t="s">
        <v>87</v>
      </c>
      <c r="M1631" s="4"/>
      <c r="N1631" s="4"/>
      <c r="O1631" s="4"/>
      <c r="P1631" s="4"/>
      <c r="Q1631" s="4"/>
      <c r="R1631" s="4"/>
      <c r="S1631" s="13" t="n">
        <v>0</v>
      </c>
      <c r="T1631" s="4" t="s">
        <v>173</v>
      </c>
      <c r="U1631" s="14" t="n">
        <f aca="false">IF(OR($S1631="",PARAMETROS!$B$4=""),"",$S1631*PARAMETROS!$B$4)</f>
        <v>0</v>
      </c>
      <c r="V1631" s="13" t="n">
        <v>0</v>
      </c>
      <c r="W1631" s="4"/>
      <c r="X1631" s="4"/>
      <c r="Y1631" s="4"/>
      <c r="Z1631" s="4"/>
      <c r="AA1631" s="4"/>
      <c r="AB1631" s="4"/>
      <c r="AC1631" s="4"/>
      <c r="AD1631" s="4"/>
      <c r="AE1631" s="4"/>
      <c r="AF1631" s="4"/>
      <c r="AG1631" s="4"/>
      <c r="AH1631" s="4"/>
      <c r="AI1631" s="4"/>
      <c r="AJ1631" s="4"/>
      <c r="AK1631" s="4"/>
      <c r="AL1631" s="4" t="s">
        <v>1692</v>
      </c>
      <c r="AM1631" s="4" t="s">
        <v>1813</v>
      </c>
    </row>
    <row r="1632" customFormat="false" ht="23.85" hidden="false" customHeight="false" outlineLevel="0" collapsed="false">
      <c r="A1632" s="4" t="s">
        <v>167</v>
      </c>
      <c r="B1632" s="4" t="s">
        <v>1832</v>
      </c>
      <c r="C1632" s="4" t="s">
        <v>1832</v>
      </c>
      <c r="D1632" s="12" t="n">
        <v>2024</v>
      </c>
      <c r="E1632" s="4"/>
      <c r="F1632" s="4" t="s">
        <v>169</v>
      </c>
      <c r="G1632" s="4" t="s">
        <v>170</v>
      </c>
      <c r="H1632" s="4" t="s">
        <v>171</v>
      </c>
      <c r="I1632" s="4" t="s">
        <v>172</v>
      </c>
      <c r="J1632" s="4" t="s">
        <v>1832</v>
      </c>
      <c r="K1632" s="4" t="s">
        <v>86</v>
      </c>
      <c r="L1632" s="4" t="s">
        <v>87</v>
      </c>
      <c r="M1632" s="4"/>
      <c r="N1632" s="4"/>
      <c r="O1632" s="4"/>
      <c r="P1632" s="4"/>
      <c r="Q1632" s="4"/>
      <c r="R1632" s="4"/>
      <c r="S1632" s="13" t="n">
        <v>0</v>
      </c>
      <c r="T1632" s="4" t="s">
        <v>173</v>
      </c>
      <c r="U1632" s="14" t="n">
        <f aca="false">IF(OR($S1632="",PARAMETROS!$B$4=""),"",$S1632*PARAMETROS!$B$4)</f>
        <v>0</v>
      </c>
      <c r="V1632" s="13" t="n">
        <v>0</v>
      </c>
      <c r="W1632" s="4"/>
      <c r="X1632" s="4"/>
      <c r="Y1632" s="4"/>
      <c r="Z1632" s="4"/>
      <c r="AA1632" s="4"/>
      <c r="AB1632" s="4"/>
      <c r="AC1632" s="4"/>
      <c r="AD1632" s="4"/>
      <c r="AE1632" s="4"/>
      <c r="AF1632" s="4"/>
      <c r="AG1632" s="4"/>
      <c r="AH1632" s="4"/>
      <c r="AI1632" s="4"/>
      <c r="AJ1632" s="4"/>
      <c r="AK1632" s="4"/>
      <c r="AL1632" s="4" t="s">
        <v>1692</v>
      </c>
      <c r="AM1632" s="4" t="s">
        <v>1723</v>
      </c>
    </row>
    <row r="1633" customFormat="false" ht="23.85" hidden="false" customHeight="false" outlineLevel="0" collapsed="false">
      <c r="A1633" s="4" t="s">
        <v>167</v>
      </c>
      <c r="B1633" s="4" t="s">
        <v>1833</v>
      </c>
      <c r="C1633" s="4" t="s">
        <v>1833</v>
      </c>
      <c r="D1633" s="12" t="n">
        <v>2024</v>
      </c>
      <c r="E1633" s="4"/>
      <c r="F1633" s="4" t="s">
        <v>169</v>
      </c>
      <c r="G1633" s="4" t="s">
        <v>170</v>
      </c>
      <c r="H1633" s="4" t="s">
        <v>171</v>
      </c>
      <c r="I1633" s="4" t="s">
        <v>172</v>
      </c>
      <c r="J1633" s="4" t="s">
        <v>1833</v>
      </c>
      <c r="K1633" s="4" t="s">
        <v>86</v>
      </c>
      <c r="L1633" s="4" t="s">
        <v>87</v>
      </c>
      <c r="M1633" s="4"/>
      <c r="N1633" s="4"/>
      <c r="O1633" s="4"/>
      <c r="P1633" s="4"/>
      <c r="Q1633" s="4"/>
      <c r="R1633" s="4"/>
      <c r="S1633" s="13" t="n">
        <v>0</v>
      </c>
      <c r="T1633" s="4" t="s">
        <v>173</v>
      </c>
      <c r="U1633" s="14" t="n">
        <f aca="false">IF(OR($S1633="",PARAMETROS!$B$4=""),"",$S1633*PARAMETROS!$B$4)</f>
        <v>0</v>
      </c>
      <c r="V1633" s="13" t="n">
        <v>0</v>
      </c>
      <c r="W1633" s="4"/>
      <c r="X1633" s="4"/>
      <c r="Y1633" s="4"/>
      <c r="Z1633" s="4"/>
      <c r="AA1633" s="4"/>
      <c r="AB1633" s="4"/>
      <c r="AC1633" s="4"/>
      <c r="AD1633" s="4"/>
      <c r="AE1633" s="4"/>
      <c r="AF1633" s="4"/>
      <c r="AG1633" s="4"/>
      <c r="AH1633" s="4"/>
      <c r="AI1633" s="4"/>
      <c r="AJ1633" s="4"/>
      <c r="AK1633" s="4"/>
      <c r="AL1633" s="4" t="s">
        <v>1692</v>
      </c>
      <c r="AM1633" s="4" t="s">
        <v>1704</v>
      </c>
    </row>
    <row r="1634" customFormat="false" ht="23.85" hidden="false" customHeight="false" outlineLevel="0" collapsed="false">
      <c r="A1634" s="4" t="s">
        <v>167</v>
      </c>
      <c r="B1634" s="4" t="s">
        <v>1834</v>
      </c>
      <c r="C1634" s="4" t="s">
        <v>1834</v>
      </c>
      <c r="D1634" s="12" t="n">
        <v>2024</v>
      </c>
      <c r="E1634" s="4"/>
      <c r="F1634" s="4" t="s">
        <v>169</v>
      </c>
      <c r="G1634" s="4" t="s">
        <v>170</v>
      </c>
      <c r="H1634" s="4" t="s">
        <v>171</v>
      </c>
      <c r="I1634" s="4" t="s">
        <v>172</v>
      </c>
      <c r="J1634" s="4" t="s">
        <v>1834</v>
      </c>
      <c r="K1634" s="4" t="s">
        <v>86</v>
      </c>
      <c r="L1634" s="4" t="s">
        <v>87</v>
      </c>
      <c r="M1634" s="4"/>
      <c r="N1634" s="4"/>
      <c r="O1634" s="4"/>
      <c r="P1634" s="4"/>
      <c r="Q1634" s="4"/>
      <c r="R1634" s="4"/>
      <c r="S1634" s="13" t="n">
        <v>0</v>
      </c>
      <c r="T1634" s="4" t="s">
        <v>173</v>
      </c>
      <c r="U1634" s="14" t="n">
        <f aca="false">IF(OR($S1634="",PARAMETROS!$B$4=""),"",$S1634*PARAMETROS!$B$4)</f>
        <v>0</v>
      </c>
      <c r="V1634" s="13" t="n">
        <v>0</v>
      </c>
      <c r="W1634" s="4"/>
      <c r="X1634" s="4"/>
      <c r="Y1634" s="4"/>
      <c r="Z1634" s="4"/>
      <c r="AA1634" s="4"/>
      <c r="AB1634" s="4"/>
      <c r="AC1634" s="4"/>
      <c r="AD1634" s="4"/>
      <c r="AE1634" s="4"/>
      <c r="AF1634" s="4"/>
      <c r="AG1634" s="4"/>
      <c r="AH1634" s="4"/>
      <c r="AI1634" s="4"/>
      <c r="AJ1634" s="4"/>
      <c r="AK1634" s="4"/>
      <c r="AL1634" s="4" t="s">
        <v>1692</v>
      </c>
      <c r="AM1634" s="4" t="s">
        <v>205</v>
      </c>
    </row>
    <row r="1635" customFormat="false" ht="23.85" hidden="false" customHeight="false" outlineLevel="0" collapsed="false">
      <c r="A1635" s="4" t="s">
        <v>167</v>
      </c>
      <c r="B1635" s="4" t="s">
        <v>1835</v>
      </c>
      <c r="C1635" s="4" t="s">
        <v>1835</v>
      </c>
      <c r="D1635" s="12" t="n">
        <v>2024</v>
      </c>
      <c r="E1635" s="4"/>
      <c r="F1635" s="4" t="s">
        <v>169</v>
      </c>
      <c r="G1635" s="4" t="s">
        <v>170</v>
      </c>
      <c r="H1635" s="4" t="s">
        <v>171</v>
      </c>
      <c r="I1635" s="4" t="s">
        <v>172</v>
      </c>
      <c r="J1635" s="4" t="s">
        <v>1835</v>
      </c>
      <c r="K1635" s="4" t="s">
        <v>86</v>
      </c>
      <c r="L1635" s="4" t="s">
        <v>87</v>
      </c>
      <c r="M1635" s="4"/>
      <c r="N1635" s="4"/>
      <c r="O1635" s="4"/>
      <c r="P1635" s="4"/>
      <c r="Q1635" s="4"/>
      <c r="R1635" s="4"/>
      <c r="S1635" s="13" t="n">
        <v>0</v>
      </c>
      <c r="T1635" s="4" t="s">
        <v>173</v>
      </c>
      <c r="U1635" s="14" t="n">
        <f aca="false">IF(OR($S1635="",PARAMETROS!$B$4=""),"",$S1635*PARAMETROS!$B$4)</f>
        <v>0</v>
      </c>
      <c r="V1635" s="13" t="n">
        <v>0</v>
      </c>
      <c r="W1635" s="4"/>
      <c r="X1635" s="4"/>
      <c r="Y1635" s="4"/>
      <c r="Z1635" s="4"/>
      <c r="AA1635" s="4"/>
      <c r="AB1635" s="4"/>
      <c r="AC1635" s="4"/>
      <c r="AD1635" s="4"/>
      <c r="AE1635" s="4"/>
      <c r="AF1635" s="4"/>
      <c r="AG1635" s="4"/>
      <c r="AH1635" s="4"/>
      <c r="AI1635" s="4"/>
      <c r="AJ1635" s="4"/>
      <c r="AK1635" s="4"/>
      <c r="AL1635" s="4" t="s">
        <v>1692</v>
      </c>
      <c r="AM1635" s="4" t="s">
        <v>1707</v>
      </c>
    </row>
    <row r="1636" customFormat="false" ht="23.85" hidden="false" customHeight="false" outlineLevel="0" collapsed="false">
      <c r="A1636" s="4" t="s">
        <v>167</v>
      </c>
      <c r="B1636" s="4" t="s">
        <v>1836</v>
      </c>
      <c r="C1636" s="4" t="s">
        <v>1836</v>
      </c>
      <c r="D1636" s="12" t="n">
        <v>2024</v>
      </c>
      <c r="E1636" s="4"/>
      <c r="F1636" s="4" t="s">
        <v>169</v>
      </c>
      <c r="G1636" s="4" t="s">
        <v>170</v>
      </c>
      <c r="H1636" s="4" t="s">
        <v>171</v>
      </c>
      <c r="I1636" s="4" t="s">
        <v>172</v>
      </c>
      <c r="J1636" s="4" t="s">
        <v>1836</v>
      </c>
      <c r="K1636" s="4" t="s">
        <v>86</v>
      </c>
      <c r="L1636" s="4" t="s">
        <v>87</v>
      </c>
      <c r="M1636" s="4"/>
      <c r="N1636" s="4"/>
      <c r="O1636" s="4"/>
      <c r="P1636" s="4"/>
      <c r="Q1636" s="4"/>
      <c r="R1636" s="4"/>
      <c r="S1636" s="13" t="n">
        <v>0</v>
      </c>
      <c r="T1636" s="4" t="s">
        <v>173</v>
      </c>
      <c r="U1636" s="14" t="n">
        <f aca="false">IF(OR($S1636="",PARAMETROS!$B$4=""),"",$S1636*PARAMETROS!$B$4)</f>
        <v>0</v>
      </c>
      <c r="V1636" s="13" t="n">
        <v>0</v>
      </c>
      <c r="W1636" s="4"/>
      <c r="X1636" s="4"/>
      <c r="Y1636" s="4"/>
      <c r="Z1636" s="4"/>
      <c r="AA1636" s="4"/>
      <c r="AB1636" s="4"/>
      <c r="AC1636" s="4"/>
      <c r="AD1636" s="4"/>
      <c r="AE1636" s="4"/>
      <c r="AF1636" s="4"/>
      <c r="AG1636" s="4"/>
      <c r="AH1636" s="4"/>
      <c r="AI1636" s="4"/>
      <c r="AJ1636" s="4"/>
      <c r="AK1636" s="4"/>
      <c r="AL1636" s="4" t="s">
        <v>1692</v>
      </c>
      <c r="AM1636" s="4" t="s">
        <v>1709</v>
      </c>
    </row>
    <row r="1637" customFormat="false" ht="23.85" hidden="false" customHeight="false" outlineLevel="0" collapsed="false">
      <c r="A1637" s="4" t="s">
        <v>167</v>
      </c>
      <c r="B1637" s="4" t="s">
        <v>1837</v>
      </c>
      <c r="C1637" s="4" t="s">
        <v>1837</v>
      </c>
      <c r="D1637" s="12" t="n">
        <v>2024</v>
      </c>
      <c r="E1637" s="4"/>
      <c r="F1637" s="4" t="s">
        <v>169</v>
      </c>
      <c r="G1637" s="4" t="s">
        <v>170</v>
      </c>
      <c r="H1637" s="4" t="s">
        <v>171</v>
      </c>
      <c r="I1637" s="4" t="s">
        <v>172</v>
      </c>
      <c r="J1637" s="4" t="s">
        <v>1837</v>
      </c>
      <c r="K1637" s="4" t="s">
        <v>86</v>
      </c>
      <c r="L1637" s="4" t="s">
        <v>87</v>
      </c>
      <c r="M1637" s="4"/>
      <c r="N1637" s="4"/>
      <c r="O1637" s="4"/>
      <c r="P1637" s="4"/>
      <c r="Q1637" s="4"/>
      <c r="R1637" s="4"/>
      <c r="S1637" s="13" t="n">
        <v>0</v>
      </c>
      <c r="T1637" s="4" t="s">
        <v>173</v>
      </c>
      <c r="U1637" s="14" t="n">
        <f aca="false">IF(OR($S1637="",PARAMETROS!$B$4=""),"",$S1637*PARAMETROS!$B$4)</f>
        <v>0</v>
      </c>
      <c r="V1637" s="13" t="n">
        <v>0</v>
      </c>
      <c r="W1637" s="4"/>
      <c r="X1637" s="4"/>
      <c r="Y1637" s="4"/>
      <c r="Z1637" s="4"/>
      <c r="AA1637" s="4"/>
      <c r="AB1637" s="4"/>
      <c r="AC1637" s="4"/>
      <c r="AD1637" s="4"/>
      <c r="AE1637" s="4"/>
      <c r="AF1637" s="4"/>
      <c r="AG1637" s="4"/>
      <c r="AH1637" s="4"/>
      <c r="AI1637" s="4"/>
      <c r="AJ1637" s="4"/>
      <c r="AK1637" s="4"/>
      <c r="AL1637" s="4" t="s">
        <v>1692</v>
      </c>
      <c r="AM1637" s="4" t="s">
        <v>1711</v>
      </c>
    </row>
    <row r="1638" customFormat="false" ht="23.85" hidden="false" customHeight="false" outlineLevel="0" collapsed="false">
      <c r="A1638" s="4" t="s">
        <v>167</v>
      </c>
      <c r="B1638" s="4" t="s">
        <v>1838</v>
      </c>
      <c r="C1638" s="4" t="s">
        <v>1838</v>
      </c>
      <c r="D1638" s="12" t="n">
        <v>2024</v>
      </c>
      <c r="E1638" s="4"/>
      <c r="F1638" s="4" t="s">
        <v>169</v>
      </c>
      <c r="G1638" s="4" t="s">
        <v>170</v>
      </c>
      <c r="H1638" s="4" t="s">
        <v>171</v>
      </c>
      <c r="I1638" s="4" t="s">
        <v>172</v>
      </c>
      <c r="J1638" s="4" t="s">
        <v>1838</v>
      </c>
      <c r="K1638" s="4" t="s">
        <v>86</v>
      </c>
      <c r="L1638" s="4" t="s">
        <v>87</v>
      </c>
      <c r="M1638" s="4"/>
      <c r="N1638" s="4"/>
      <c r="O1638" s="4"/>
      <c r="P1638" s="4"/>
      <c r="Q1638" s="4"/>
      <c r="R1638" s="4"/>
      <c r="S1638" s="13" t="n">
        <v>0</v>
      </c>
      <c r="T1638" s="4" t="s">
        <v>173</v>
      </c>
      <c r="U1638" s="14" t="n">
        <f aca="false">IF(OR($S1638="",PARAMETROS!$B$4=""),"",$S1638*PARAMETROS!$B$4)</f>
        <v>0</v>
      </c>
      <c r="V1638" s="13" t="n">
        <v>0</v>
      </c>
      <c r="W1638" s="4"/>
      <c r="X1638" s="4"/>
      <c r="Y1638" s="4"/>
      <c r="Z1638" s="4"/>
      <c r="AA1638" s="4"/>
      <c r="AB1638" s="4"/>
      <c r="AC1638" s="4"/>
      <c r="AD1638" s="4"/>
      <c r="AE1638" s="4"/>
      <c r="AF1638" s="4"/>
      <c r="AG1638" s="4"/>
      <c r="AH1638" s="4"/>
      <c r="AI1638" s="4"/>
      <c r="AJ1638" s="4"/>
      <c r="AK1638" s="4"/>
      <c r="AL1638" s="4" t="s">
        <v>1692</v>
      </c>
      <c r="AM1638" s="4" t="s">
        <v>205</v>
      </c>
    </row>
    <row r="1639" customFormat="false" ht="23.85" hidden="false" customHeight="false" outlineLevel="0" collapsed="false">
      <c r="A1639" s="4" t="s">
        <v>167</v>
      </c>
      <c r="B1639" s="4" t="s">
        <v>1839</v>
      </c>
      <c r="C1639" s="4" t="s">
        <v>1839</v>
      </c>
      <c r="D1639" s="12" t="n">
        <v>2024</v>
      </c>
      <c r="E1639" s="4"/>
      <c r="F1639" s="4" t="s">
        <v>169</v>
      </c>
      <c r="G1639" s="4" t="s">
        <v>170</v>
      </c>
      <c r="H1639" s="4" t="s">
        <v>171</v>
      </c>
      <c r="I1639" s="4" t="s">
        <v>172</v>
      </c>
      <c r="J1639" s="4" t="s">
        <v>1839</v>
      </c>
      <c r="K1639" s="4" t="s">
        <v>86</v>
      </c>
      <c r="L1639" s="4" t="s">
        <v>87</v>
      </c>
      <c r="M1639" s="4"/>
      <c r="N1639" s="4"/>
      <c r="O1639" s="4"/>
      <c r="P1639" s="4"/>
      <c r="Q1639" s="4"/>
      <c r="R1639" s="4"/>
      <c r="S1639" s="13" t="n">
        <v>0</v>
      </c>
      <c r="T1639" s="4" t="s">
        <v>173</v>
      </c>
      <c r="U1639" s="14" t="n">
        <f aca="false">IF(OR($S1639="",PARAMETROS!$B$4=""),"",$S1639*PARAMETROS!$B$4)</f>
        <v>0</v>
      </c>
      <c r="V1639" s="13" t="n">
        <v>0</v>
      </c>
      <c r="W1639" s="4"/>
      <c r="X1639" s="4"/>
      <c r="Y1639" s="4"/>
      <c r="Z1639" s="4"/>
      <c r="AA1639" s="4"/>
      <c r="AB1639" s="4"/>
      <c r="AC1639" s="4"/>
      <c r="AD1639" s="4"/>
      <c r="AE1639" s="4"/>
      <c r="AF1639" s="4"/>
      <c r="AG1639" s="4"/>
      <c r="AH1639" s="4"/>
      <c r="AI1639" s="4"/>
      <c r="AJ1639" s="4"/>
      <c r="AK1639" s="4"/>
      <c r="AL1639" s="4" t="s">
        <v>1692</v>
      </c>
      <c r="AM1639" s="4" t="s">
        <v>1714</v>
      </c>
    </row>
    <row r="1640" customFormat="false" ht="23.85" hidden="false" customHeight="false" outlineLevel="0" collapsed="false">
      <c r="A1640" s="4" t="s">
        <v>167</v>
      </c>
      <c r="B1640" s="4" t="s">
        <v>1840</v>
      </c>
      <c r="C1640" s="4" t="s">
        <v>1840</v>
      </c>
      <c r="D1640" s="12" t="n">
        <v>2024</v>
      </c>
      <c r="E1640" s="4"/>
      <c r="F1640" s="4" t="s">
        <v>169</v>
      </c>
      <c r="G1640" s="4" t="s">
        <v>170</v>
      </c>
      <c r="H1640" s="4" t="s">
        <v>171</v>
      </c>
      <c r="I1640" s="4" t="s">
        <v>172</v>
      </c>
      <c r="J1640" s="4" t="s">
        <v>1840</v>
      </c>
      <c r="K1640" s="4" t="s">
        <v>88</v>
      </c>
      <c r="L1640" s="4" t="s">
        <v>89</v>
      </c>
      <c r="M1640" s="4"/>
      <c r="N1640" s="4"/>
      <c r="O1640" s="4"/>
      <c r="P1640" s="4"/>
      <c r="Q1640" s="4"/>
      <c r="R1640" s="4"/>
      <c r="S1640" s="13" t="n">
        <v>156.56</v>
      </c>
      <c r="T1640" s="4" t="s">
        <v>173</v>
      </c>
      <c r="U1640" s="14" t="n">
        <f aca="false">IF(OR($S1640="",PARAMETROS!$B$4=""),"",$S1640*PARAMETROS!$B$4)</f>
        <v>909.6136</v>
      </c>
      <c r="V1640" s="13" t="n">
        <v>0</v>
      </c>
      <c r="W1640" s="4"/>
      <c r="X1640" s="4"/>
      <c r="Y1640" s="4"/>
      <c r="Z1640" s="4"/>
      <c r="AA1640" s="4"/>
      <c r="AB1640" s="4"/>
      <c r="AC1640" s="4"/>
      <c r="AD1640" s="4"/>
      <c r="AE1640" s="4"/>
      <c r="AF1640" s="4"/>
      <c r="AG1640" s="4"/>
      <c r="AH1640" s="4"/>
      <c r="AI1640" s="4"/>
      <c r="AJ1640" s="4"/>
      <c r="AK1640" s="4"/>
      <c r="AL1640" s="4" t="s">
        <v>1692</v>
      </c>
      <c r="AM1640" s="4" t="s">
        <v>1841</v>
      </c>
    </row>
    <row r="1641" customFormat="false" ht="23.85" hidden="false" customHeight="false" outlineLevel="0" collapsed="false">
      <c r="A1641" s="4" t="s">
        <v>167</v>
      </c>
      <c r="B1641" s="4" t="s">
        <v>1842</v>
      </c>
      <c r="C1641" s="4" t="s">
        <v>1842</v>
      </c>
      <c r="D1641" s="12" t="n">
        <v>2024</v>
      </c>
      <c r="E1641" s="4"/>
      <c r="F1641" s="4" t="s">
        <v>169</v>
      </c>
      <c r="G1641" s="4" t="s">
        <v>170</v>
      </c>
      <c r="H1641" s="4" t="s">
        <v>171</v>
      </c>
      <c r="I1641" s="4" t="s">
        <v>172</v>
      </c>
      <c r="J1641" s="4" t="s">
        <v>1842</v>
      </c>
      <c r="K1641" s="4" t="s">
        <v>88</v>
      </c>
      <c r="L1641" s="4" t="s">
        <v>89</v>
      </c>
      <c r="M1641" s="4"/>
      <c r="N1641" s="4"/>
      <c r="O1641" s="4"/>
      <c r="P1641" s="4"/>
      <c r="Q1641" s="4"/>
      <c r="R1641" s="4"/>
      <c r="S1641" s="13" t="n">
        <v>0</v>
      </c>
      <c r="T1641" s="4" t="s">
        <v>173</v>
      </c>
      <c r="U1641" s="14" t="n">
        <f aca="false">IF(OR($S1641="",PARAMETROS!$B$4=""),"",$S1641*PARAMETROS!$B$4)</f>
        <v>0</v>
      </c>
      <c r="V1641" s="13" t="n">
        <v>0</v>
      </c>
      <c r="W1641" s="4"/>
      <c r="X1641" s="4"/>
      <c r="Y1641" s="4"/>
      <c r="Z1641" s="4"/>
      <c r="AA1641" s="4"/>
      <c r="AB1641" s="4"/>
      <c r="AC1641" s="4"/>
      <c r="AD1641" s="4"/>
      <c r="AE1641" s="4"/>
      <c r="AF1641" s="4"/>
      <c r="AG1641" s="4"/>
      <c r="AH1641" s="4"/>
      <c r="AI1641" s="4"/>
      <c r="AJ1641" s="4"/>
      <c r="AK1641" s="4"/>
      <c r="AL1641" s="4" t="s">
        <v>1692</v>
      </c>
      <c r="AM1641" s="4" t="s">
        <v>1841</v>
      </c>
    </row>
    <row r="1642" customFormat="false" ht="23.85" hidden="false" customHeight="false" outlineLevel="0" collapsed="false">
      <c r="A1642" s="4" t="s">
        <v>167</v>
      </c>
      <c r="B1642" s="4" t="s">
        <v>1843</v>
      </c>
      <c r="C1642" s="4" t="s">
        <v>1843</v>
      </c>
      <c r="D1642" s="12" t="n">
        <v>2024</v>
      </c>
      <c r="E1642" s="4"/>
      <c r="F1642" s="4" t="s">
        <v>169</v>
      </c>
      <c r="G1642" s="4" t="s">
        <v>170</v>
      </c>
      <c r="H1642" s="4" t="s">
        <v>171</v>
      </c>
      <c r="I1642" s="4" t="s">
        <v>172</v>
      </c>
      <c r="J1642" s="4" t="s">
        <v>1843</v>
      </c>
      <c r="K1642" s="4" t="s">
        <v>88</v>
      </c>
      <c r="L1642" s="4" t="s">
        <v>89</v>
      </c>
      <c r="M1642" s="4"/>
      <c r="N1642" s="4"/>
      <c r="O1642" s="4"/>
      <c r="P1642" s="4"/>
      <c r="Q1642" s="4"/>
      <c r="R1642" s="4"/>
      <c r="S1642" s="13" t="n">
        <v>0</v>
      </c>
      <c r="T1642" s="4" t="s">
        <v>173</v>
      </c>
      <c r="U1642" s="14" t="n">
        <f aca="false">IF(OR($S1642="",PARAMETROS!$B$4=""),"",$S1642*PARAMETROS!$B$4)</f>
        <v>0</v>
      </c>
      <c r="V1642" s="13" t="n">
        <v>0</v>
      </c>
      <c r="W1642" s="4"/>
      <c r="X1642" s="4"/>
      <c r="Y1642" s="4"/>
      <c r="Z1642" s="4"/>
      <c r="AA1642" s="4"/>
      <c r="AB1642" s="4"/>
      <c r="AC1642" s="4"/>
      <c r="AD1642" s="4"/>
      <c r="AE1642" s="4"/>
      <c r="AF1642" s="4"/>
      <c r="AG1642" s="4"/>
      <c r="AH1642" s="4"/>
      <c r="AI1642" s="4"/>
      <c r="AJ1642" s="4"/>
      <c r="AK1642" s="4"/>
      <c r="AL1642" s="4" t="s">
        <v>1692</v>
      </c>
      <c r="AM1642" s="4" t="s">
        <v>1841</v>
      </c>
    </row>
    <row r="1643" customFormat="false" ht="23.85" hidden="false" customHeight="false" outlineLevel="0" collapsed="false">
      <c r="A1643" s="4" t="s">
        <v>167</v>
      </c>
      <c r="B1643" s="4" t="s">
        <v>1844</v>
      </c>
      <c r="C1643" s="4" t="s">
        <v>1844</v>
      </c>
      <c r="D1643" s="12" t="n">
        <v>2024</v>
      </c>
      <c r="E1643" s="4"/>
      <c r="F1643" s="4" t="s">
        <v>169</v>
      </c>
      <c r="G1643" s="4" t="s">
        <v>170</v>
      </c>
      <c r="H1643" s="4" t="s">
        <v>171</v>
      </c>
      <c r="I1643" s="4" t="s">
        <v>172</v>
      </c>
      <c r="J1643" s="4" t="s">
        <v>1844</v>
      </c>
      <c r="K1643" s="4" t="s">
        <v>88</v>
      </c>
      <c r="L1643" s="4" t="s">
        <v>89</v>
      </c>
      <c r="M1643" s="4"/>
      <c r="N1643" s="4"/>
      <c r="O1643" s="4"/>
      <c r="P1643" s="4"/>
      <c r="Q1643" s="4"/>
      <c r="R1643" s="4"/>
      <c r="S1643" s="13" t="n">
        <v>0</v>
      </c>
      <c r="T1643" s="4" t="s">
        <v>173</v>
      </c>
      <c r="U1643" s="14" t="n">
        <f aca="false">IF(OR($S1643="",PARAMETROS!$B$4=""),"",$S1643*PARAMETROS!$B$4)</f>
        <v>0</v>
      </c>
      <c r="V1643" s="13" t="n">
        <v>0</v>
      </c>
      <c r="W1643" s="4"/>
      <c r="X1643" s="4"/>
      <c r="Y1643" s="4"/>
      <c r="Z1643" s="4"/>
      <c r="AA1643" s="4"/>
      <c r="AB1643" s="4"/>
      <c r="AC1643" s="4"/>
      <c r="AD1643" s="4"/>
      <c r="AE1643" s="4"/>
      <c r="AF1643" s="4"/>
      <c r="AG1643" s="4"/>
      <c r="AH1643" s="4"/>
      <c r="AI1643" s="4"/>
      <c r="AJ1643" s="4"/>
      <c r="AK1643" s="4"/>
      <c r="AL1643" s="4" t="s">
        <v>1692</v>
      </c>
      <c r="AM1643" s="4" t="s">
        <v>1841</v>
      </c>
    </row>
    <row r="1644" customFormat="false" ht="23.85" hidden="false" customHeight="false" outlineLevel="0" collapsed="false">
      <c r="A1644" s="4" t="s">
        <v>167</v>
      </c>
      <c r="B1644" s="4" t="s">
        <v>1845</v>
      </c>
      <c r="C1644" s="4" t="s">
        <v>1845</v>
      </c>
      <c r="D1644" s="12" t="n">
        <v>2024</v>
      </c>
      <c r="E1644" s="4"/>
      <c r="F1644" s="4" t="s">
        <v>169</v>
      </c>
      <c r="G1644" s="4" t="s">
        <v>170</v>
      </c>
      <c r="H1644" s="4" t="s">
        <v>171</v>
      </c>
      <c r="I1644" s="4" t="s">
        <v>172</v>
      </c>
      <c r="J1644" s="4" t="s">
        <v>1845</v>
      </c>
      <c r="K1644" s="4" t="s">
        <v>88</v>
      </c>
      <c r="L1644" s="4" t="s">
        <v>89</v>
      </c>
      <c r="M1644" s="4"/>
      <c r="N1644" s="4"/>
      <c r="O1644" s="4"/>
      <c r="P1644" s="4"/>
      <c r="Q1644" s="4"/>
      <c r="R1644" s="4"/>
      <c r="S1644" s="13" t="n">
        <v>0</v>
      </c>
      <c r="T1644" s="4" t="s">
        <v>173</v>
      </c>
      <c r="U1644" s="14" t="n">
        <f aca="false">IF(OR($S1644="",PARAMETROS!$B$4=""),"",$S1644*PARAMETROS!$B$4)</f>
        <v>0</v>
      </c>
      <c r="V1644" s="13" t="n">
        <v>0</v>
      </c>
      <c r="W1644" s="4"/>
      <c r="X1644" s="4"/>
      <c r="Y1644" s="4"/>
      <c r="Z1644" s="4"/>
      <c r="AA1644" s="4"/>
      <c r="AB1644" s="4"/>
      <c r="AC1644" s="4"/>
      <c r="AD1644" s="4"/>
      <c r="AE1644" s="4"/>
      <c r="AF1644" s="4"/>
      <c r="AG1644" s="4"/>
      <c r="AH1644" s="4"/>
      <c r="AI1644" s="4"/>
      <c r="AJ1644" s="4"/>
      <c r="AK1644" s="4"/>
      <c r="AL1644" s="4" t="s">
        <v>1692</v>
      </c>
      <c r="AM1644" s="4" t="s">
        <v>1698</v>
      </c>
    </row>
    <row r="1645" customFormat="false" ht="23.85" hidden="false" customHeight="false" outlineLevel="0" collapsed="false">
      <c r="A1645" s="4" t="s">
        <v>167</v>
      </c>
      <c r="B1645" s="4" t="s">
        <v>1846</v>
      </c>
      <c r="C1645" s="4" t="s">
        <v>1846</v>
      </c>
      <c r="D1645" s="12" t="n">
        <v>2024</v>
      </c>
      <c r="E1645" s="4"/>
      <c r="F1645" s="4" t="s">
        <v>169</v>
      </c>
      <c r="G1645" s="4" t="s">
        <v>170</v>
      </c>
      <c r="H1645" s="4" t="s">
        <v>171</v>
      </c>
      <c r="I1645" s="4" t="s">
        <v>172</v>
      </c>
      <c r="J1645" s="4" t="s">
        <v>1846</v>
      </c>
      <c r="K1645" s="4" t="s">
        <v>88</v>
      </c>
      <c r="L1645" s="4" t="s">
        <v>89</v>
      </c>
      <c r="M1645" s="4"/>
      <c r="N1645" s="4"/>
      <c r="O1645" s="4"/>
      <c r="P1645" s="4"/>
      <c r="Q1645" s="4"/>
      <c r="R1645" s="4"/>
      <c r="S1645" s="13" t="n">
        <v>-156.56</v>
      </c>
      <c r="T1645" s="4" t="s">
        <v>173</v>
      </c>
      <c r="U1645" s="14" t="n">
        <f aca="false">IF(OR($S1645="",PARAMETROS!$B$4=""),"",$S1645*PARAMETROS!$B$4)</f>
        <v>-909.6136</v>
      </c>
      <c r="V1645" s="13" t="n">
        <v>0</v>
      </c>
      <c r="W1645" s="4"/>
      <c r="X1645" s="4"/>
      <c r="Y1645" s="4"/>
      <c r="Z1645" s="4"/>
      <c r="AA1645" s="4"/>
      <c r="AB1645" s="4"/>
      <c r="AC1645" s="4"/>
      <c r="AD1645" s="4"/>
      <c r="AE1645" s="4"/>
      <c r="AF1645" s="4"/>
      <c r="AG1645" s="4"/>
      <c r="AH1645" s="4"/>
      <c r="AI1645" s="4"/>
      <c r="AJ1645" s="4"/>
      <c r="AK1645" s="4"/>
      <c r="AL1645" s="4" t="s">
        <v>1692</v>
      </c>
      <c r="AM1645" s="4" t="s">
        <v>1700</v>
      </c>
    </row>
    <row r="1646" customFormat="false" ht="23.85" hidden="false" customHeight="false" outlineLevel="0" collapsed="false">
      <c r="A1646" s="4" t="s">
        <v>167</v>
      </c>
      <c r="B1646" s="4" t="s">
        <v>1847</v>
      </c>
      <c r="C1646" s="4" t="s">
        <v>1847</v>
      </c>
      <c r="D1646" s="12" t="n">
        <v>2024</v>
      </c>
      <c r="E1646" s="4"/>
      <c r="F1646" s="4" t="s">
        <v>169</v>
      </c>
      <c r="G1646" s="4" t="s">
        <v>170</v>
      </c>
      <c r="H1646" s="4" t="s">
        <v>171</v>
      </c>
      <c r="I1646" s="4" t="s">
        <v>172</v>
      </c>
      <c r="J1646" s="4" t="s">
        <v>1847</v>
      </c>
      <c r="K1646" s="4" t="s">
        <v>88</v>
      </c>
      <c r="L1646" s="4" t="s">
        <v>89</v>
      </c>
      <c r="M1646" s="4"/>
      <c r="N1646" s="4"/>
      <c r="O1646" s="4"/>
      <c r="P1646" s="4"/>
      <c r="Q1646" s="4"/>
      <c r="R1646" s="4"/>
      <c r="S1646" s="13" t="n">
        <v>0</v>
      </c>
      <c r="T1646" s="4" t="s">
        <v>173</v>
      </c>
      <c r="U1646" s="14" t="n">
        <f aca="false">IF(OR($S1646="",PARAMETROS!$B$4=""),"",$S1646*PARAMETROS!$B$4)</f>
        <v>0</v>
      </c>
      <c r="V1646" s="13" t="n">
        <v>0</v>
      </c>
      <c r="W1646" s="4"/>
      <c r="X1646" s="4"/>
      <c r="Y1646" s="4"/>
      <c r="Z1646" s="4"/>
      <c r="AA1646" s="4"/>
      <c r="AB1646" s="4"/>
      <c r="AC1646" s="4"/>
      <c r="AD1646" s="4"/>
      <c r="AE1646" s="4"/>
      <c r="AF1646" s="4"/>
      <c r="AG1646" s="4"/>
      <c r="AH1646" s="4"/>
      <c r="AI1646" s="4"/>
      <c r="AJ1646" s="4"/>
      <c r="AK1646" s="4"/>
      <c r="AL1646" s="4" t="s">
        <v>1692</v>
      </c>
      <c r="AM1646" s="4" t="s">
        <v>1723</v>
      </c>
    </row>
    <row r="1647" customFormat="false" ht="23.85" hidden="false" customHeight="false" outlineLevel="0" collapsed="false">
      <c r="A1647" s="4" t="s">
        <v>167</v>
      </c>
      <c r="B1647" s="4" t="s">
        <v>1848</v>
      </c>
      <c r="C1647" s="4" t="s">
        <v>1848</v>
      </c>
      <c r="D1647" s="12" t="n">
        <v>2024</v>
      </c>
      <c r="E1647" s="4"/>
      <c r="F1647" s="4" t="s">
        <v>169</v>
      </c>
      <c r="G1647" s="4" t="s">
        <v>170</v>
      </c>
      <c r="H1647" s="4" t="s">
        <v>171</v>
      </c>
      <c r="I1647" s="4" t="s">
        <v>172</v>
      </c>
      <c r="J1647" s="4" t="s">
        <v>1848</v>
      </c>
      <c r="K1647" s="4" t="s">
        <v>88</v>
      </c>
      <c r="L1647" s="4" t="s">
        <v>89</v>
      </c>
      <c r="M1647" s="4"/>
      <c r="N1647" s="4"/>
      <c r="O1647" s="4"/>
      <c r="P1647" s="4"/>
      <c r="Q1647" s="4"/>
      <c r="R1647" s="4"/>
      <c r="S1647" s="13" t="n">
        <v>0</v>
      </c>
      <c r="T1647" s="4" t="s">
        <v>173</v>
      </c>
      <c r="U1647" s="14" t="n">
        <f aca="false">IF(OR($S1647="",PARAMETROS!$B$4=""),"",$S1647*PARAMETROS!$B$4)</f>
        <v>0</v>
      </c>
      <c r="V1647" s="13" t="n">
        <v>0</v>
      </c>
      <c r="W1647" s="4"/>
      <c r="X1647" s="4"/>
      <c r="Y1647" s="4"/>
      <c r="Z1647" s="4"/>
      <c r="AA1647" s="4"/>
      <c r="AB1647" s="4"/>
      <c r="AC1647" s="4"/>
      <c r="AD1647" s="4"/>
      <c r="AE1647" s="4"/>
      <c r="AF1647" s="4"/>
      <c r="AG1647" s="4"/>
      <c r="AH1647" s="4"/>
      <c r="AI1647" s="4"/>
      <c r="AJ1647" s="4"/>
      <c r="AK1647" s="4"/>
      <c r="AL1647" s="4" t="s">
        <v>1692</v>
      </c>
      <c r="AM1647" s="4" t="s">
        <v>1704</v>
      </c>
    </row>
    <row r="1648" customFormat="false" ht="23.85" hidden="false" customHeight="false" outlineLevel="0" collapsed="false">
      <c r="A1648" s="4" t="s">
        <v>167</v>
      </c>
      <c r="B1648" s="4" t="s">
        <v>1849</v>
      </c>
      <c r="C1648" s="4" t="s">
        <v>1849</v>
      </c>
      <c r="D1648" s="12" t="n">
        <v>2024</v>
      </c>
      <c r="E1648" s="4"/>
      <c r="F1648" s="4" t="s">
        <v>169</v>
      </c>
      <c r="G1648" s="4" t="s">
        <v>170</v>
      </c>
      <c r="H1648" s="4" t="s">
        <v>171</v>
      </c>
      <c r="I1648" s="4" t="s">
        <v>172</v>
      </c>
      <c r="J1648" s="4" t="s">
        <v>1849</v>
      </c>
      <c r="K1648" s="4" t="s">
        <v>88</v>
      </c>
      <c r="L1648" s="4" t="s">
        <v>89</v>
      </c>
      <c r="M1648" s="4"/>
      <c r="N1648" s="4"/>
      <c r="O1648" s="4"/>
      <c r="P1648" s="4"/>
      <c r="Q1648" s="4"/>
      <c r="R1648" s="4"/>
      <c r="S1648" s="13" t="n">
        <v>0</v>
      </c>
      <c r="T1648" s="4" t="s">
        <v>173</v>
      </c>
      <c r="U1648" s="14" t="n">
        <f aca="false">IF(OR($S1648="",PARAMETROS!$B$4=""),"",$S1648*PARAMETROS!$B$4)</f>
        <v>0</v>
      </c>
      <c r="V1648" s="13" t="n">
        <v>0</v>
      </c>
      <c r="W1648" s="4"/>
      <c r="X1648" s="4"/>
      <c r="Y1648" s="4"/>
      <c r="Z1648" s="4"/>
      <c r="AA1648" s="4"/>
      <c r="AB1648" s="4"/>
      <c r="AC1648" s="4"/>
      <c r="AD1648" s="4"/>
      <c r="AE1648" s="4"/>
      <c r="AF1648" s="4"/>
      <c r="AG1648" s="4"/>
      <c r="AH1648" s="4"/>
      <c r="AI1648" s="4"/>
      <c r="AJ1648" s="4"/>
      <c r="AK1648" s="4"/>
      <c r="AL1648" s="4" t="s">
        <v>1692</v>
      </c>
      <c r="AM1648" s="4" t="s">
        <v>1841</v>
      </c>
    </row>
    <row r="1649" customFormat="false" ht="23.85" hidden="false" customHeight="false" outlineLevel="0" collapsed="false">
      <c r="A1649" s="4" t="s">
        <v>167</v>
      </c>
      <c r="B1649" s="4" t="s">
        <v>1850</v>
      </c>
      <c r="C1649" s="4" t="s">
        <v>1850</v>
      </c>
      <c r="D1649" s="12" t="n">
        <v>2024</v>
      </c>
      <c r="E1649" s="4"/>
      <c r="F1649" s="4" t="s">
        <v>169</v>
      </c>
      <c r="G1649" s="4" t="s">
        <v>170</v>
      </c>
      <c r="H1649" s="4" t="s">
        <v>171</v>
      </c>
      <c r="I1649" s="4" t="s">
        <v>172</v>
      </c>
      <c r="J1649" s="4" t="s">
        <v>1850</v>
      </c>
      <c r="K1649" s="4" t="s">
        <v>88</v>
      </c>
      <c r="L1649" s="4" t="s">
        <v>89</v>
      </c>
      <c r="M1649" s="4"/>
      <c r="N1649" s="4"/>
      <c r="O1649" s="4"/>
      <c r="P1649" s="4"/>
      <c r="Q1649" s="4"/>
      <c r="R1649" s="4"/>
      <c r="S1649" s="13" t="n">
        <v>0</v>
      </c>
      <c r="T1649" s="4" t="s">
        <v>173</v>
      </c>
      <c r="U1649" s="14" t="n">
        <f aca="false">IF(OR($S1649="",PARAMETROS!$B$4=""),"",$S1649*PARAMETROS!$B$4)</f>
        <v>0</v>
      </c>
      <c r="V1649" s="13" t="n">
        <v>0</v>
      </c>
      <c r="W1649" s="4"/>
      <c r="X1649" s="4"/>
      <c r="Y1649" s="4"/>
      <c r="Z1649" s="4"/>
      <c r="AA1649" s="4"/>
      <c r="AB1649" s="4"/>
      <c r="AC1649" s="4"/>
      <c r="AD1649" s="4"/>
      <c r="AE1649" s="4"/>
      <c r="AF1649" s="4"/>
      <c r="AG1649" s="4"/>
      <c r="AH1649" s="4"/>
      <c r="AI1649" s="4"/>
      <c r="AJ1649" s="4"/>
      <c r="AK1649" s="4"/>
      <c r="AL1649" s="4" t="s">
        <v>1692</v>
      </c>
      <c r="AM1649" s="4" t="s">
        <v>1707</v>
      </c>
    </row>
    <row r="1650" customFormat="false" ht="23.85" hidden="false" customHeight="false" outlineLevel="0" collapsed="false">
      <c r="A1650" s="4" t="s">
        <v>167</v>
      </c>
      <c r="B1650" s="4" t="s">
        <v>1851</v>
      </c>
      <c r="C1650" s="4" t="s">
        <v>1851</v>
      </c>
      <c r="D1650" s="12" t="n">
        <v>2024</v>
      </c>
      <c r="E1650" s="4"/>
      <c r="F1650" s="4" t="s">
        <v>169</v>
      </c>
      <c r="G1650" s="4" t="s">
        <v>170</v>
      </c>
      <c r="H1650" s="4" t="s">
        <v>171</v>
      </c>
      <c r="I1650" s="4" t="s">
        <v>172</v>
      </c>
      <c r="J1650" s="4" t="s">
        <v>1851</v>
      </c>
      <c r="K1650" s="4" t="s">
        <v>88</v>
      </c>
      <c r="L1650" s="4" t="s">
        <v>89</v>
      </c>
      <c r="M1650" s="4"/>
      <c r="N1650" s="4"/>
      <c r="O1650" s="4"/>
      <c r="P1650" s="4"/>
      <c r="Q1650" s="4"/>
      <c r="R1650" s="4"/>
      <c r="S1650" s="13" t="n">
        <v>0</v>
      </c>
      <c r="T1650" s="4" t="s">
        <v>173</v>
      </c>
      <c r="U1650" s="14" t="n">
        <f aca="false">IF(OR($S1650="",PARAMETROS!$B$4=""),"",$S1650*PARAMETROS!$B$4)</f>
        <v>0</v>
      </c>
      <c r="V1650" s="13" t="n">
        <v>0</v>
      </c>
      <c r="W1650" s="4"/>
      <c r="X1650" s="4"/>
      <c r="Y1650" s="4"/>
      <c r="Z1650" s="4"/>
      <c r="AA1650" s="4"/>
      <c r="AB1650" s="4"/>
      <c r="AC1650" s="4"/>
      <c r="AD1650" s="4"/>
      <c r="AE1650" s="4"/>
      <c r="AF1650" s="4"/>
      <c r="AG1650" s="4"/>
      <c r="AH1650" s="4"/>
      <c r="AI1650" s="4"/>
      <c r="AJ1650" s="4"/>
      <c r="AK1650" s="4"/>
      <c r="AL1650" s="4" t="s">
        <v>1692</v>
      </c>
      <c r="AM1650" s="4" t="s">
        <v>1709</v>
      </c>
    </row>
    <row r="1651" customFormat="false" ht="23.85" hidden="false" customHeight="false" outlineLevel="0" collapsed="false">
      <c r="A1651" s="4" t="s">
        <v>167</v>
      </c>
      <c r="B1651" s="4" t="s">
        <v>1852</v>
      </c>
      <c r="C1651" s="4" t="s">
        <v>1852</v>
      </c>
      <c r="D1651" s="12" t="n">
        <v>2024</v>
      </c>
      <c r="E1651" s="4"/>
      <c r="F1651" s="4" t="s">
        <v>169</v>
      </c>
      <c r="G1651" s="4" t="s">
        <v>170</v>
      </c>
      <c r="H1651" s="4" t="s">
        <v>171</v>
      </c>
      <c r="I1651" s="4" t="s">
        <v>172</v>
      </c>
      <c r="J1651" s="4" t="s">
        <v>1852</v>
      </c>
      <c r="K1651" s="4" t="s">
        <v>88</v>
      </c>
      <c r="L1651" s="4" t="s">
        <v>89</v>
      </c>
      <c r="M1651" s="4"/>
      <c r="N1651" s="4"/>
      <c r="O1651" s="4"/>
      <c r="P1651" s="4"/>
      <c r="Q1651" s="4"/>
      <c r="R1651" s="4"/>
      <c r="S1651" s="13" t="n">
        <v>0</v>
      </c>
      <c r="T1651" s="4" t="s">
        <v>173</v>
      </c>
      <c r="U1651" s="14" t="n">
        <f aca="false">IF(OR($S1651="",PARAMETROS!$B$4=""),"",$S1651*PARAMETROS!$B$4)</f>
        <v>0</v>
      </c>
      <c r="V1651" s="13" t="n">
        <v>0</v>
      </c>
      <c r="W1651" s="4"/>
      <c r="X1651" s="4"/>
      <c r="Y1651" s="4"/>
      <c r="Z1651" s="4"/>
      <c r="AA1651" s="4"/>
      <c r="AB1651" s="4"/>
      <c r="AC1651" s="4"/>
      <c r="AD1651" s="4"/>
      <c r="AE1651" s="4"/>
      <c r="AF1651" s="4"/>
      <c r="AG1651" s="4"/>
      <c r="AH1651" s="4"/>
      <c r="AI1651" s="4"/>
      <c r="AJ1651" s="4"/>
      <c r="AK1651" s="4"/>
      <c r="AL1651" s="4" t="s">
        <v>1692</v>
      </c>
      <c r="AM1651" s="4" t="s">
        <v>1711</v>
      </c>
    </row>
    <row r="1652" customFormat="false" ht="23.85" hidden="false" customHeight="false" outlineLevel="0" collapsed="false">
      <c r="A1652" s="4" t="s">
        <v>167</v>
      </c>
      <c r="B1652" s="4" t="s">
        <v>1853</v>
      </c>
      <c r="C1652" s="4" t="s">
        <v>1853</v>
      </c>
      <c r="D1652" s="12" t="n">
        <v>2024</v>
      </c>
      <c r="E1652" s="4"/>
      <c r="F1652" s="4" t="s">
        <v>169</v>
      </c>
      <c r="G1652" s="4" t="s">
        <v>170</v>
      </c>
      <c r="H1652" s="4" t="s">
        <v>171</v>
      </c>
      <c r="I1652" s="4" t="s">
        <v>172</v>
      </c>
      <c r="J1652" s="4" t="s">
        <v>1853</v>
      </c>
      <c r="K1652" s="4" t="s">
        <v>88</v>
      </c>
      <c r="L1652" s="4" t="s">
        <v>89</v>
      </c>
      <c r="M1652" s="4"/>
      <c r="N1652" s="4"/>
      <c r="O1652" s="4"/>
      <c r="P1652" s="4"/>
      <c r="Q1652" s="4"/>
      <c r="R1652" s="4"/>
      <c r="S1652" s="13" t="n">
        <v>0</v>
      </c>
      <c r="T1652" s="4" t="s">
        <v>173</v>
      </c>
      <c r="U1652" s="14" t="n">
        <f aca="false">IF(OR($S1652="",PARAMETROS!$B$4=""),"",$S1652*PARAMETROS!$B$4)</f>
        <v>0</v>
      </c>
      <c r="V1652" s="13" t="n">
        <v>0</v>
      </c>
      <c r="W1652" s="4"/>
      <c r="X1652" s="4"/>
      <c r="Y1652" s="4"/>
      <c r="Z1652" s="4"/>
      <c r="AA1652" s="4"/>
      <c r="AB1652" s="4"/>
      <c r="AC1652" s="4"/>
      <c r="AD1652" s="4"/>
      <c r="AE1652" s="4"/>
      <c r="AF1652" s="4"/>
      <c r="AG1652" s="4"/>
      <c r="AH1652" s="4"/>
      <c r="AI1652" s="4"/>
      <c r="AJ1652" s="4"/>
      <c r="AK1652" s="4"/>
      <c r="AL1652" s="4" t="s">
        <v>1692</v>
      </c>
      <c r="AM1652" s="4" t="s">
        <v>1841</v>
      </c>
    </row>
    <row r="1653" customFormat="false" ht="23.85" hidden="false" customHeight="false" outlineLevel="0" collapsed="false">
      <c r="A1653" s="4" t="s">
        <v>167</v>
      </c>
      <c r="B1653" s="4" t="s">
        <v>1854</v>
      </c>
      <c r="C1653" s="4" t="s">
        <v>1854</v>
      </c>
      <c r="D1653" s="12" t="n">
        <v>2024</v>
      </c>
      <c r="E1653" s="4"/>
      <c r="F1653" s="4" t="s">
        <v>169</v>
      </c>
      <c r="G1653" s="4" t="s">
        <v>170</v>
      </c>
      <c r="H1653" s="4" t="s">
        <v>171</v>
      </c>
      <c r="I1653" s="4" t="s">
        <v>172</v>
      </c>
      <c r="J1653" s="4" t="s">
        <v>1854</v>
      </c>
      <c r="K1653" s="4" t="s">
        <v>88</v>
      </c>
      <c r="L1653" s="4" t="s">
        <v>89</v>
      </c>
      <c r="M1653" s="4"/>
      <c r="N1653" s="4"/>
      <c r="O1653" s="4"/>
      <c r="P1653" s="4"/>
      <c r="Q1653" s="4"/>
      <c r="R1653" s="4"/>
      <c r="S1653" s="13" t="n">
        <v>0</v>
      </c>
      <c r="T1653" s="4" t="s">
        <v>173</v>
      </c>
      <c r="U1653" s="14" t="n">
        <f aca="false">IF(OR($S1653="",PARAMETROS!$B$4=""),"",$S1653*PARAMETROS!$B$4)</f>
        <v>0</v>
      </c>
      <c r="V1653" s="13" t="n">
        <v>0</v>
      </c>
      <c r="W1653" s="4"/>
      <c r="X1653" s="4"/>
      <c r="Y1653" s="4"/>
      <c r="Z1653" s="4"/>
      <c r="AA1653" s="4"/>
      <c r="AB1653" s="4"/>
      <c r="AC1653" s="4"/>
      <c r="AD1653" s="4"/>
      <c r="AE1653" s="4"/>
      <c r="AF1653" s="4"/>
      <c r="AG1653" s="4"/>
      <c r="AH1653" s="4"/>
      <c r="AI1653" s="4"/>
      <c r="AJ1653" s="4"/>
      <c r="AK1653" s="4"/>
      <c r="AL1653" s="4" t="s">
        <v>1692</v>
      </c>
      <c r="AM1653" s="4" t="s">
        <v>1714</v>
      </c>
    </row>
    <row r="1654" customFormat="false" ht="23.85" hidden="false" customHeight="false" outlineLevel="0" collapsed="false">
      <c r="A1654" s="4" t="s">
        <v>167</v>
      </c>
      <c r="B1654" s="4" t="s">
        <v>1855</v>
      </c>
      <c r="C1654" s="4" t="s">
        <v>1855</v>
      </c>
      <c r="D1654" s="12" t="n">
        <v>2024</v>
      </c>
      <c r="E1654" s="4"/>
      <c r="F1654" s="4" t="s">
        <v>169</v>
      </c>
      <c r="G1654" s="4" t="s">
        <v>170</v>
      </c>
      <c r="H1654" s="4" t="s">
        <v>171</v>
      </c>
      <c r="I1654" s="4" t="s">
        <v>172</v>
      </c>
      <c r="J1654" s="4" t="s">
        <v>1855</v>
      </c>
      <c r="K1654" s="4" t="s">
        <v>95</v>
      </c>
      <c r="L1654" s="4" t="s">
        <v>96</v>
      </c>
      <c r="M1654" s="4"/>
      <c r="N1654" s="4"/>
      <c r="O1654" s="4"/>
      <c r="P1654" s="4"/>
      <c r="Q1654" s="4"/>
      <c r="R1654" s="4"/>
      <c r="S1654" s="13" t="n">
        <v>0</v>
      </c>
      <c r="T1654" s="4" t="s">
        <v>173</v>
      </c>
      <c r="U1654" s="14" t="n">
        <f aca="false">IF(OR($S1654="",PARAMETROS!$B$4=""),"",$S1654*PARAMETROS!$B$4)</f>
        <v>0</v>
      </c>
      <c r="V1654" s="13" t="n">
        <v>0</v>
      </c>
      <c r="W1654" s="4"/>
      <c r="X1654" s="4"/>
      <c r="Y1654" s="4"/>
      <c r="Z1654" s="4"/>
      <c r="AA1654" s="4"/>
      <c r="AB1654" s="4"/>
      <c r="AC1654" s="4"/>
      <c r="AD1654" s="4"/>
      <c r="AE1654" s="4"/>
      <c r="AF1654" s="4"/>
      <c r="AG1654" s="4"/>
      <c r="AH1654" s="4"/>
      <c r="AI1654" s="4"/>
      <c r="AJ1654" s="4"/>
      <c r="AK1654" s="4"/>
      <c r="AL1654" s="4" t="s">
        <v>1856</v>
      </c>
      <c r="AM1654" s="4" t="s">
        <v>205</v>
      </c>
    </row>
    <row r="1655" customFormat="false" ht="23.85" hidden="false" customHeight="false" outlineLevel="0" collapsed="false">
      <c r="A1655" s="4" t="s">
        <v>167</v>
      </c>
      <c r="B1655" s="4" t="s">
        <v>1857</v>
      </c>
      <c r="C1655" s="4" t="s">
        <v>1857</v>
      </c>
      <c r="D1655" s="12" t="n">
        <v>2024</v>
      </c>
      <c r="E1655" s="4"/>
      <c r="F1655" s="4" t="s">
        <v>169</v>
      </c>
      <c r="G1655" s="4" t="s">
        <v>170</v>
      </c>
      <c r="H1655" s="4" t="s">
        <v>171</v>
      </c>
      <c r="I1655" s="4" t="s">
        <v>172</v>
      </c>
      <c r="J1655" s="4" t="s">
        <v>1857</v>
      </c>
      <c r="K1655" s="4" t="s">
        <v>95</v>
      </c>
      <c r="L1655" s="4" t="s">
        <v>96</v>
      </c>
      <c r="M1655" s="4"/>
      <c r="N1655" s="4"/>
      <c r="O1655" s="4"/>
      <c r="P1655" s="4"/>
      <c r="Q1655" s="4"/>
      <c r="R1655" s="4"/>
      <c r="S1655" s="13" t="n">
        <v>4363.99</v>
      </c>
      <c r="T1655" s="4" t="s">
        <v>173</v>
      </c>
      <c r="U1655" s="14" t="n">
        <f aca="false">IF(OR($S1655="",PARAMETROS!$B$4=""),"",$S1655*PARAMETROS!$B$4)</f>
        <v>25354.7819</v>
      </c>
      <c r="V1655" s="13" t="n">
        <v>0</v>
      </c>
      <c r="W1655" s="4"/>
      <c r="X1655" s="4"/>
      <c r="Y1655" s="4"/>
      <c r="Z1655" s="4"/>
      <c r="AA1655" s="4"/>
      <c r="AB1655" s="4"/>
      <c r="AC1655" s="4"/>
      <c r="AD1655" s="4"/>
      <c r="AE1655" s="4"/>
      <c r="AF1655" s="4"/>
      <c r="AG1655" s="4"/>
      <c r="AH1655" s="4"/>
      <c r="AI1655" s="4"/>
      <c r="AJ1655" s="4"/>
      <c r="AK1655" s="4"/>
      <c r="AL1655" s="4" t="s">
        <v>1856</v>
      </c>
      <c r="AM1655" s="4" t="s">
        <v>205</v>
      </c>
    </row>
    <row r="1656" customFormat="false" ht="23.85" hidden="false" customHeight="false" outlineLevel="0" collapsed="false">
      <c r="A1656" s="4" t="s">
        <v>167</v>
      </c>
      <c r="B1656" s="4" t="s">
        <v>1858</v>
      </c>
      <c r="C1656" s="4" t="s">
        <v>1858</v>
      </c>
      <c r="D1656" s="12" t="n">
        <v>2024</v>
      </c>
      <c r="E1656" s="4"/>
      <c r="F1656" s="4" t="s">
        <v>169</v>
      </c>
      <c r="G1656" s="4" t="s">
        <v>170</v>
      </c>
      <c r="H1656" s="4" t="s">
        <v>171</v>
      </c>
      <c r="I1656" s="4" t="s">
        <v>172</v>
      </c>
      <c r="J1656" s="4" t="s">
        <v>1858</v>
      </c>
      <c r="K1656" s="4" t="s">
        <v>95</v>
      </c>
      <c r="L1656" s="4" t="s">
        <v>96</v>
      </c>
      <c r="M1656" s="4"/>
      <c r="N1656" s="4"/>
      <c r="O1656" s="4"/>
      <c r="P1656" s="4"/>
      <c r="Q1656" s="4"/>
      <c r="R1656" s="4"/>
      <c r="S1656" s="13" t="n">
        <v>0</v>
      </c>
      <c r="T1656" s="4" t="s">
        <v>173</v>
      </c>
      <c r="U1656" s="14" t="n">
        <f aca="false">IF(OR($S1656="",PARAMETROS!$B$4=""),"",$S1656*PARAMETROS!$B$4)</f>
        <v>0</v>
      </c>
      <c r="V1656" s="13" t="n">
        <v>0</v>
      </c>
      <c r="W1656" s="4"/>
      <c r="X1656" s="4"/>
      <c r="Y1656" s="4"/>
      <c r="Z1656" s="4"/>
      <c r="AA1656" s="4"/>
      <c r="AB1656" s="4"/>
      <c r="AC1656" s="4"/>
      <c r="AD1656" s="4"/>
      <c r="AE1656" s="4"/>
      <c r="AF1656" s="4"/>
      <c r="AG1656" s="4"/>
      <c r="AH1656" s="4"/>
      <c r="AI1656" s="4"/>
      <c r="AJ1656" s="4"/>
      <c r="AK1656" s="4"/>
      <c r="AL1656" s="4" t="s">
        <v>1856</v>
      </c>
      <c r="AM1656" s="4" t="s">
        <v>205</v>
      </c>
    </row>
    <row r="1657" customFormat="false" ht="23.85" hidden="false" customHeight="false" outlineLevel="0" collapsed="false">
      <c r="A1657" s="4" t="s">
        <v>167</v>
      </c>
      <c r="B1657" s="4" t="s">
        <v>1859</v>
      </c>
      <c r="C1657" s="4" t="s">
        <v>1859</v>
      </c>
      <c r="D1657" s="12" t="n">
        <v>2024</v>
      </c>
      <c r="E1657" s="4"/>
      <c r="F1657" s="4" t="s">
        <v>169</v>
      </c>
      <c r="G1657" s="4" t="s">
        <v>170</v>
      </c>
      <c r="H1657" s="4" t="s">
        <v>171</v>
      </c>
      <c r="I1657" s="4" t="s">
        <v>172</v>
      </c>
      <c r="J1657" s="4" t="s">
        <v>1859</v>
      </c>
      <c r="K1657" s="4" t="s">
        <v>95</v>
      </c>
      <c r="L1657" s="4" t="s">
        <v>96</v>
      </c>
      <c r="M1657" s="4"/>
      <c r="N1657" s="4"/>
      <c r="O1657" s="4"/>
      <c r="P1657" s="4"/>
      <c r="Q1657" s="4"/>
      <c r="R1657" s="4"/>
      <c r="S1657" s="13" t="n">
        <v>815.48</v>
      </c>
      <c r="T1657" s="4" t="s">
        <v>173</v>
      </c>
      <c r="U1657" s="14" t="n">
        <f aca="false">IF(OR($S1657="",PARAMETROS!$B$4=""),"",$S1657*PARAMETROS!$B$4)</f>
        <v>4737.9388</v>
      </c>
      <c r="V1657" s="13" t="n">
        <v>0</v>
      </c>
      <c r="W1657" s="4"/>
      <c r="X1657" s="4"/>
      <c r="Y1657" s="4"/>
      <c r="Z1657" s="4"/>
      <c r="AA1657" s="4"/>
      <c r="AB1657" s="4"/>
      <c r="AC1657" s="4"/>
      <c r="AD1657" s="4"/>
      <c r="AE1657" s="4"/>
      <c r="AF1657" s="4"/>
      <c r="AG1657" s="4"/>
      <c r="AH1657" s="4"/>
      <c r="AI1657" s="4"/>
      <c r="AJ1657" s="4"/>
      <c r="AK1657" s="4"/>
      <c r="AL1657" s="4" t="s">
        <v>1856</v>
      </c>
      <c r="AM1657" s="4" t="s">
        <v>205</v>
      </c>
    </row>
    <row r="1658" customFormat="false" ht="23.85" hidden="false" customHeight="false" outlineLevel="0" collapsed="false">
      <c r="A1658" s="4" t="s">
        <v>167</v>
      </c>
      <c r="B1658" s="4" t="s">
        <v>1860</v>
      </c>
      <c r="C1658" s="4" t="s">
        <v>1860</v>
      </c>
      <c r="D1658" s="12" t="n">
        <v>2024</v>
      </c>
      <c r="E1658" s="4"/>
      <c r="F1658" s="4" t="s">
        <v>169</v>
      </c>
      <c r="G1658" s="4" t="s">
        <v>170</v>
      </c>
      <c r="H1658" s="4" t="s">
        <v>171</v>
      </c>
      <c r="I1658" s="4" t="s">
        <v>172</v>
      </c>
      <c r="J1658" s="4" t="s">
        <v>1860</v>
      </c>
      <c r="K1658" s="4" t="s">
        <v>95</v>
      </c>
      <c r="L1658" s="4" t="s">
        <v>96</v>
      </c>
      <c r="M1658" s="4"/>
      <c r="N1658" s="4"/>
      <c r="O1658" s="4"/>
      <c r="P1658" s="4"/>
      <c r="Q1658" s="4"/>
      <c r="R1658" s="4"/>
      <c r="S1658" s="13" t="n">
        <v>0</v>
      </c>
      <c r="T1658" s="4" t="s">
        <v>173</v>
      </c>
      <c r="U1658" s="14" t="n">
        <f aca="false">IF(OR($S1658="",PARAMETROS!$B$4=""),"",$S1658*PARAMETROS!$B$4)</f>
        <v>0</v>
      </c>
      <c r="V1658" s="13" t="n">
        <v>0</v>
      </c>
      <c r="W1658" s="4"/>
      <c r="X1658" s="4"/>
      <c r="Y1658" s="4"/>
      <c r="Z1658" s="4"/>
      <c r="AA1658" s="4"/>
      <c r="AB1658" s="4"/>
      <c r="AC1658" s="4"/>
      <c r="AD1658" s="4"/>
      <c r="AE1658" s="4"/>
      <c r="AF1658" s="4"/>
      <c r="AG1658" s="4"/>
      <c r="AH1658" s="4"/>
      <c r="AI1658" s="4"/>
      <c r="AJ1658" s="4"/>
      <c r="AK1658" s="4"/>
      <c r="AL1658" s="4" t="s">
        <v>1856</v>
      </c>
      <c r="AM1658" s="4" t="s">
        <v>1698</v>
      </c>
    </row>
    <row r="1659" customFormat="false" ht="23.85" hidden="false" customHeight="false" outlineLevel="0" collapsed="false">
      <c r="A1659" s="4" t="s">
        <v>167</v>
      </c>
      <c r="B1659" s="4" t="s">
        <v>1861</v>
      </c>
      <c r="C1659" s="4" t="s">
        <v>1861</v>
      </c>
      <c r="D1659" s="12" t="n">
        <v>2024</v>
      </c>
      <c r="E1659" s="4"/>
      <c r="F1659" s="4" t="s">
        <v>169</v>
      </c>
      <c r="G1659" s="4" t="s">
        <v>170</v>
      </c>
      <c r="H1659" s="4" t="s">
        <v>171</v>
      </c>
      <c r="I1659" s="4" t="s">
        <v>172</v>
      </c>
      <c r="J1659" s="4" t="s">
        <v>1861</v>
      </c>
      <c r="K1659" s="4" t="s">
        <v>95</v>
      </c>
      <c r="L1659" s="4" t="s">
        <v>96</v>
      </c>
      <c r="M1659" s="4"/>
      <c r="N1659" s="4"/>
      <c r="O1659" s="4"/>
      <c r="P1659" s="4"/>
      <c r="Q1659" s="4"/>
      <c r="R1659" s="4"/>
      <c r="S1659" s="13" t="n">
        <v>-9.31</v>
      </c>
      <c r="T1659" s="4" t="s">
        <v>173</v>
      </c>
      <c r="U1659" s="14" t="n">
        <f aca="false">IF(OR($S1659="",PARAMETROS!$B$4=""),"",$S1659*PARAMETROS!$B$4)</f>
        <v>-54.0911</v>
      </c>
      <c r="V1659" s="13" t="n">
        <v>0</v>
      </c>
      <c r="W1659" s="4"/>
      <c r="X1659" s="4"/>
      <c r="Y1659" s="4"/>
      <c r="Z1659" s="4"/>
      <c r="AA1659" s="4"/>
      <c r="AB1659" s="4"/>
      <c r="AC1659" s="4"/>
      <c r="AD1659" s="4"/>
      <c r="AE1659" s="4"/>
      <c r="AF1659" s="4"/>
      <c r="AG1659" s="4"/>
      <c r="AH1659" s="4"/>
      <c r="AI1659" s="4"/>
      <c r="AJ1659" s="4"/>
      <c r="AK1659" s="4"/>
      <c r="AL1659" s="4" t="s">
        <v>1856</v>
      </c>
      <c r="AM1659" s="4" t="s">
        <v>1700</v>
      </c>
    </row>
    <row r="1660" customFormat="false" ht="23.85" hidden="false" customHeight="false" outlineLevel="0" collapsed="false">
      <c r="A1660" s="4" t="s">
        <v>167</v>
      </c>
      <c r="B1660" s="4" t="s">
        <v>1862</v>
      </c>
      <c r="C1660" s="4" t="s">
        <v>1862</v>
      </c>
      <c r="D1660" s="12" t="n">
        <v>2024</v>
      </c>
      <c r="E1660" s="4"/>
      <c r="F1660" s="4" t="s">
        <v>169</v>
      </c>
      <c r="G1660" s="4" t="s">
        <v>170</v>
      </c>
      <c r="H1660" s="4" t="s">
        <v>171</v>
      </c>
      <c r="I1660" s="4" t="s">
        <v>172</v>
      </c>
      <c r="J1660" s="4" t="s">
        <v>1862</v>
      </c>
      <c r="K1660" s="4" t="s">
        <v>95</v>
      </c>
      <c r="L1660" s="4" t="s">
        <v>96</v>
      </c>
      <c r="M1660" s="4"/>
      <c r="N1660" s="4"/>
      <c r="O1660" s="4"/>
      <c r="P1660" s="4"/>
      <c r="Q1660" s="4"/>
      <c r="R1660" s="4"/>
      <c r="S1660" s="13" t="n">
        <v>0</v>
      </c>
      <c r="T1660" s="4" t="s">
        <v>173</v>
      </c>
      <c r="U1660" s="14" t="n">
        <f aca="false">IF(OR($S1660="",PARAMETROS!$B$4=""),"",$S1660*PARAMETROS!$B$4)</f>
        <v>0</v>
      </c>
      <c r="V1660" s="13" t="n">
        <v>0</v>
      </c>
      <c r="W1660" s="4"/>
      <c r="X1660" s="4"/>
      <c r="Y1660" s="4"/>
      <c r="Z1660" s="4"/>
      <c r="AA1660" s="4"/>
      <c r="AB1660" s="4"/>
      <c r="AC1660" s="4"/>
      <c r="AD1660" s="4"/>
      <c r="AE1660" s="4"/>
      <c r="AF1660" s="4"/>
      <c r="AG1660" s="4"/>
      <c r="AH1660" s="4"/>
      <c r="AI1660" s="4"/>
      <c r="AJ1660" s="4"/>
      <c r="AK1660" s="4"/>
      <c r="AL1660" s="4" t="s">
        <v>1856</v>
      </c>
      <c r="AM1660" s="4" t="s">
        <v>1723</v>
      </c>
    </row>
    <row r="1661" customFormat="false" ht="23.85" hidden="false" customHeight="false" outlineLevel="0" collapsed="false">
      <c r="A1661" s="4" t="s">
        <v>167</v>
      </c>
      <c r="B1661" s="4" t="s">
        <v>1863</v>
      </c>
      <c r="C1661" s="4" t="s">
        <v>1863</v>
      </c>
      <c r="D1661" s="12" t="n">
        <v>2024</v>
      </c>
      <c r="E1661" s="4"/>
      <c r="F1661" s="4" t="s">
        <v>169</v>
      </c>
      <c r="G1661" s="4" t="s">
        <v>170</v>
      </c>
      <c r="H1661" s="4" t="s">
        <v>171</v>
      </c>
      <c r="I1661" s="4" t="s">
        <v>172</v>
      </c>
      <c r="J1661" s="4" t="s">
        <v>1863</v>
      </c>
      <c r="K1661" s="4" t="s">
        <v>95</v>
      </c>
      <c r="L1661" s="4" t="s">
        <v>96</v>
      </c>
      <c r="M1661" s="4"/>
      <c r="N1661" s="4"/>
      <c r="O1661" s="4"/>
      <c r="P1661" s="4"/>
      <c r="Q1661" s="4"/>
      <c r="R1661" s="4"/>
      <c r="S1661" s="13" t="n">
        <v>0</v>
      </c>
      <c r="T1661" s="4" t="s">
        <v>173</v>
      </c>
      <c r="U1661" s="14" t="n">
        <f aca="false">IF(OR($S1661="",PARAMETROS!$B$4=""),"",$S1661*PARAMETROS!$B$4)</f>
        <v>0</v>
      </c>
      <c r="V1661" s="13" t="n">
        <v>0</v>
      </c>
      <c r="W1661" s="4"/>
      <c r="X1661" s="4"/>
      <c r="Y1661" s="4"/>
      <c r="Z1661" s="4"/>
      <c r="AA1661" s="4"/>
      <c r="AB1661" s="4"/>
      <c r="AC1661" s="4"/>
      <c r="AD1661" s="4"/>
      <c r="AE1661" s="4"/>
      <c r="AF1661" s="4"/>
      <c r="AG1661" s="4"/>
      <c r="AH1661" s="4"/>
      <c r="AI1661" s="4"/>
      <c r="AJ1661" s="4"/>
      <c r="AK1661" s="4"/>
      <c r="AL1661" s="4" t="s">
        <v>1856</v>
      </c>
      <c r="AM1661" s="4" t="s">
        <v>1704</v>
      </c>
    </row>
    <row r="1662" customFormat="false" ht="23.85" hidden="false" customHeight="false" outlineLevel="0" collapsed="false">
      <c r="A1662" s="4" t="s">
        <v>167</v>
      </c>
      <c r="B1662" s="4" t="s">
        <v>1864</v>
      </c>
      <c r="C1662" s="4" t="s">
        <v>1864</v>
      </c>
      <c r="D1662" s="12" t="n">
        <v>2024</v>
      </c>
      <c r="E1662" s="4"/>
      <c r="F1662" s="4" t="s">
        <v>169</v>
      </c>
      <c r="G1662" s="4" t="s">
        <v>170</v>
      </c>
      <c r="H1662" s="4" t="s">
        <v>171</v>
      </c>
      <c r="I1662" s="4" t="s">
        <v>172</v>
      </c>
      <c r="J1662" s="4" t="s">
        <v>1864</v>
      </c>
      <c r="K1662" s="4" t="s">
        <v>95</v>
      </c>
      <c r="L1662" s="4" t="s">
        <v>96</v>
      </c>
      <c r="M1662" s="4"/>
      <c r="N1662" s="4"/>
      <c r="O1662" s="4"/>
      <c r="P1662" s="4"/>
      <c r="Q1662" s="4"/>
      <c r="R1662" s="4"/>
      <c r="S1662" s="13" t="n">
        <v>0</v>
      </c>
      <c r="T1662" s="4" t="s">
        <v>173</v>
      </c>
      <c r="U1662" s="14" t="n">
        <f aca="false">IF(OR($S1662="",PARAMETROS!$B$4=""),"",$S1662*PARAMETROS!$B$4)</f>
        <v>0</v>
      </c>
      <c r="V1662" s="13" t="n">
        <v>0</v>
      </c>
      <c r="W1662" s="4"/>
      <c r="X1662" s="4"/>
      <c r="Y1662" s="4"/>
      <c r="Z1662" s="4"/>
      <c r="AA1662" s="4"/>
      <c r="AB1662" s="4"/>
      <c r="AC1662" s="4"/>
      <c r="AD1662" s="4"/>
      <c r="AE1662" s="4"/>
      <c r="AF1662" s="4"/>
      <c r="AG1662" s="4"/>
      <c r="AH1662" s="4"/>
      <c r="AI1662" s="4"/>
      <c r="AJ1662" s="4"/>
      <c r="AK1662" s="4"/>
      <c r="AL1662" s="4" t="s">
        <v>1856</v>
      </c>
      <c r="AM1662" s="4" t="s">
        <v>205</v>
      </c>
    </row>
    <row r="1663" customFormat="false" ht="23.85" hidden="false" customHeight="false" outlineLevel="0" collapsed="false">
      <c r="A1663" s="4" t="s">
        <v>167</v>
      </c>
      <c r="B1663" s="4" t="s">
        <v>1865</v>
      </c>
      <c r="C1663" s="4" t="s">
        <v>1865</v>
      </c>
      <c r="D1663" s="12" t="n">
        <v>2024</v>
      </c>
      <c r="E1663" s="4"/>
      <c r="F1663" s="4" t="s">
        <v>169</v>
      </c>
      <c r="G1663" s="4" t="s">
        <v>170</v>
      </c>
      <c r="H1663" s="4" t="s">
        <v>171</v>
      </c>
      <c r="I1663" s="4" t="s">
        <v>172</v>
      </c>
      <c r="J1663" s="4" t="s">
        <v>1865</v>
      </c>
      <c r="K1663" s="4" t="s">
        <v>95</v>
      </c>
      <c r="L1663" s="4" t="s">
        <v>96</v>
      </c>
      <c r="M1663" s="4"/>
      <c r="N1663" s="4"/>
      <c r="O1663" s="4"/>
      <c r="P1663" s="4"/>
      <c r="Q1663" s="4"/>
      <c r="R1663" s="4"/>
      <c r="S1663" s="13" t="n">
        <v>0</v>
      </c>
      <c r="T1663" s="4" t="s">
        <v>173</v>
      </c>
      <c r="U1663" s="14" t="n">
        <f aca="false">IF(OR($S1663="",PARAMETROS!$B$4=""),"",$S1663*PARAMETROS!$B$4)</f>
        <v>0</v>
      </c>
      <c r="V1663" s="13" t="n">
        <v>0</v>
      </c>
      <c r="W1663" s="4"/>
      <c r="X1663" s="4"/>
      <c r="Y1663" s="4"/>
      <c r="Z1663" s="4"/>
      <c r="AA1663" s="4"/>
      <c r="AB1663" s="4"/>
      <c r="AC1663" s="4"/>
      <c r="AD1663" s="4"/>
      <c r="AE1663" s="4"/>
      <c r="AF1663" s="4"/>
      <c r="AG1663" s="4"/>
      <c r="AH1663" s="4"/>
      <c r="AI1663" s="4"/>
      <c r="AJ1663" s="4"/>
      <c r="AK1663" s="4"/>
      <c r="AL1663" s="4" t="s">
        <v>1856</v>
      </c>
      <c r="AM1663" s="4" t="s">
        <v>1707</v>
      </c>
    </row>
    <row r="1664" customFormat="false" ht="23.85" hidden="false" customHeight="false" outlineLevel="0" collapsed="false">
      <c r="A1664" s="4" t="s">
        <v>167</v>
      </c>
      <c r="B1664" s="4" t="s">
        <v>1866</v>
      </c>
      <c r="C1664" s="4" t="s">
        <v>1866</v>
      </c>
      <c r="D1664" s="12" t="n">
        <v>2024</v>
      </c>
      <c r="E1664" s="4"/>
      <c r="F1664" s="4" t="s">
        <v>169</v>
      </c>
      <c r="G1664" s="4" t="s">
        <v>170</v>
      </c>
      <c r="H1664" s="4" t="s">
        <v>171</v>
      </c>
      <c r="I1664" s="4" t="s">
        <v>172</v>
      </c>
      <c r="J1664" s="4" t="s">
        <v>1866</v>
      </c>
      <c r="K1664" s="4" t="s">
        <v>95</v>
      </c>
      <c r="L1664" s="4" t="s">
        <v>96</v>
      </c>
      <c r="M1664" s="4"/>
      <c r="N1664" s="4"/>
      <c r="O1664" s="4"/>
      <c r="P1664" s="4"/>
      <c r="Q1664" s="4"/>
      <c r="R1664" s="4"/>
      <c r="S1664" s="13" t="n">
        <v>0</v>
      </c>
      <c r="T1664" s="4" t="s">
        <v>173</v>
      </c>
      <c r="U1664" s="14" t="n">
        <f aca="false">IF(OR($S1664="",PARAMETROS!$B$4=""),"",$S1664*PARAMETROS!$B$4)</f>
        <v>0</v>
      </c>
      <c r="V1664" s="13" t="n">
        <v>0</v>
      </c>
      <c r="W1664" s="4"/>
      <c r="X1664" s="4"/>
      <c r="Y1664" s="4"/>
      <c r="Z1664" s="4"/>
      <c r="AA1664" s="4"/>
      <c r="AB1664" s="4"/>
      <c r="AC1664" s="4"/>
      <c r="AD1664" s="4"/>
      <c r="AE1664" s="4"/>
      <c r="AF1664" s="4"/>
      <c r="AG1664" s="4"/>
      <c r="AH1664" s="4"/>
      <c r="AI1664" s="4"/>
      <c r="AJ1664" s="4"/>
      <c r="AK1664" s="4"/>
      <c r="AL1664" s="4" t="s">
        <v>1856</v>
      </c>
      <c r="AM1664" s="4" t="s">
        <v>1709</v>
      </c>
    </row>
    <row r="1665" customFormat="false" ht="23.85" hidden="false" customHeight="false" outlineLevel="0" collapsed="false">
      <c r="A1665" s="4" t="s">
        <v>167</v>
      </c>
      <c r="B1665" s="4" t="s">
        <v>1867</v>
      </c>
      <c r="C1665" s="4" t="s">
        <v>1867</v>
      </c>
      <c r="D1665" s="12" t="n">
        <v>2024</v>
      </c>
      <c r="E1665" s="4"/>
      <c r="F1665" s="4" t="s">
        <v>169</v>
      </c>
      <c r="G1665" s="4" t="s">
        <v>170</v>
      </c>
      <c r="H1665" s="4" t="s">
        <v>171</v>
      </c>
      <c r="I1665" s="4" t="s">
        <v>172</v>
      </c>
      <c r="J1665" s="4" t="s">
        <v>1867</v>
      </c>
      <c r="K1665" s="4" t="s">
        <v>95</v>
      </c>
      <c r="L1665" s="4" t="s">
        <v>96</v>
      </c>
      <c r="M1665" s="4"/>
      <c r="N1665" s="4"/>
      <c r="O1665" s="4"/>
      <c r="P1665" s="4"/>
      <c r="Q1665" s="4"/>
      <c r="R1665" s="4"/>
      <c r="S1665" s="13" t="n">
        <v>5170.16</v>
      </c>
      <c r="T1665" s="4" t="s">
        <v>173</v>
      </c>
      <c r="U1665" s="14" t="n">
        <f aca="false">IF(OR($S1665="",PARAMETROS!$B$4=""),"",$S1665*PARAMETROS!$B$4)</f>
        <v>30038.6296</v>
      </c>
      <c r="V1665" s="13" t="n">
        <v>0</v>
      </c>
      <c r="W1665" s="4"/>
      <c r="X1665" s="4"/>
      <c r="Y1665" s="4"/>
      <c r="Z1665" s="4"/>
      <c r="AA1665" s="4"/>
      <c r="AB1665" s="4"/>
      <c r="AC1665" s="4"/>
      <c r="AD1665" s="4"/>
      <c r="AE1665" s="4"/>
      <c r="AF1665" s="4"/>
      <c r="AG1665" s="4"/>
      <c r="AH1665" s="4"/>
      <c r="AI1665" s="4"/>
      <c r="AJ1665" s="4"/>
      <c r="AK1665" s="4"/>
      <c r="AL1665" s="4" t="s">
        <v>1856</v>
      </c>
      <c r="AM1665" s="4" t="s">
        <v>1868</v>
      </c>
    </row>
    <row r="1666" customFormat="false" ht="23.85" hidden="false" customHeight="false" outlineLevel="0" collapsed="false">
      <c r="A1666" s="4" t="s">
        <v>167</v>
      </c>
      <c r="B1666" s="4" t="s">
        <v>1869</v>
      </c>
      <c r="C1666" s="4" t="s">
        <v>1869</v>
      </c>
      <c r="D1666" s="12" t="n">
        <v>2024</v>
      </c>
      <c r="E1666" s="4"/>
      <c r="F1666" s="4" t="s">
        <v>169</v>
      </c>
      <c r="G1666" s="4" t="s">
        <v>170</v>
      </c>
      <c r="H1666" s="4" t="s">
        <v>171</v>
      </c>
      <c r="I1666" s="4" t="s">
        <v>172</v>
      </c>
      <c r="J1666" s="4" t="s">
        <v>1869</v>
      </c>
      <c r="K1666" s="4" t="s">
        <v>95</v>
      </c>
      <c r="L1666" s="4" t="s">
        <v>96</v>
      </c>
      <c r="M1666" s="4"/>
      <c r="N1666" s="4"/>
      <c r="O1666" s="4"/>
      <c r="P1666" s="4"/>
      <c r="Q1666" s="4"/>
      <c r="R1666" s="4"/>
      <c r="S1666" s="13" t="n">
        <v>0</v>
      </c>
      <c r="T1666" s="4" t="s">
        <v>173</v>
      </c>
      <c r="U1666" s="14" t="n">
        <f aca="false">IF(OR($S1666="",PARAMETROS!$B$4=""),"",$S1666*PARAMETROS!$B$4)</f>
        <v>0</v>
      </c>
      <c r="V1666" s="13" t="n">
        <v>0</v>
      </c>
      <c r="W1666" s="4"/>
      <c r="X1666" s="4"/>
      <c r="Y1666" s="4"/>
      <c r="Z1666" s="4"/>
      <c r="AA1666" s="4"/>
      <c r="AB1666" s="4"/>
      <c r="AC1666" s="4"/>
      <c r="AD1666" s="4"/>
      <c r="AE1666" s="4"/>
      <c r="AF1666" s="4"/>
      <c r="AG1666" s="4"/>
      <c r="AH1666" s="4"/>
      <c r="AI1666" s="4"/>
      <c r="AJ1666" s="4"/>
      <c r="AK1666" s="4"/>
      <c r="AL1666" s="4" t="s">
        <v>1856</v>
      </c>
      <c r="AM1666" s="4" t="s">
        <v>205</v>
      </c>
    </row>
    <row r="1667" customFormat="false" ht="23.85" hidden="false" customHeight="false" outlineLevel="0" collapsed="false">
      <c r="A1667" s="4" t="s">
        <v>167</v>
      </c>
      <c r="B1667" s="4" t="s">
        <v>1870</v>
      </c>
      <c r="C1667" s="4" t="s">
        <v>1870</v>
      </c>
      <c r="D1667" s="12" t="n">
        <v>2024</v>
      </c>
      <c r="E1667" s="4"/>
      <c r="F1667" s="4" t="s">
        <v>169</v>
      </c>
      <c r="G1667" s="4" t="s">
        <v>170</v>
      </c>
      <c r="H1667" s="4" t="s">
        <v>171</v>
      </c>
      <c r="I1667" s="4" t="s">
        <v>172</v>
      </c>
      <c r="J1667" s="4" t="s">
        <v>1870</v>
      </c>
      <c r="K1667" s="4" t="s">
        <v>95</v>
      </c>
      <c r="L1667" s="4" t="s">
        <v>96</v>
      </c>
      <c r="M1667" s="4"/>
      <c r="N1667" s="4"/>
      <c r="O1667" s="4"/>
      <c r="P1667" s="4"/>
      <c r="Q1667" s="4"/>
      <c r="R1667" s="4"/>
      <c r="S1667" s="13" t="n">
        <v>0</v>
      </c>
      <c r="T1667" s="4" t="s">
        <v>173</v>
      </c>
      <c r="U1667" s="14" t="n">
        <f aca="false">IF(OR($S1667="",PARAMETROS!$B$4=""),"",$S1667*PARAMETROS!$B$4)</f>
        <v>0</v>
      </c>
      <c r="V1667" s="13" t="n">
        <v>0</v>
      </c>
      <c r="W1667" s="4"/>
      <c r="X1667" s="4"/>
      <c r="Y1667" s="4"/>
      <c r="Z1667" s="4"/>
      <c r="AA1667" s="4"/>
      <c r="AB1667" s="4"/>
      <c r="AC1667" s="4"/>
      <c r="AD1667" s="4"/>
      <c r="AE1667" s="4"/>
      <c r="AF1667" s="4"/>
      <c r="AG1667" s="4"/>
      <c r="AH1667" s="4"/>
      <c r="AI1667" s="4"/>
      <c r="AJ1667" s="4"/>
      <c r="AK1667" s="4"/>
      <c r="AL1667" s="4" t="s">
        <v>1856</v>
      </c>
      <c r="AM1667" s="4" t="s">
        <v>1714</v>
      </c>
    </row>
    <row r="1668" customFormat="false" ht="23.85" hidden="false" customHeight="false" outlineLevel="0" collapsed="false">
      <c r="A1668" s="4" t="s">
        <v>167</v>
      </c>
      <c r="B1668" s="4" t="s">
        <v>1871</v>
      </c>
      <c r="C1668" s="4" t="s">
        <v>1871</v>
      </c>
      <c r="D1668" s="12" t="n">
        <v>2024</v>
      </c>
      <c r="E1668" s="4"/>
      <c r="F1668" s="4" t="s">
        <v>169</v>
      </c>
      <c r="G1668" s="4" t="s">
        <v>170</v>
      </c>
      <c r="H1668" s="4" t="s">
        <v>171</v>
      </c>
      <c r="I1668" s="4" t="s">
        <v>172</v>
      </c>
      <c r="J1668" s="4" t="s">
        <v>1871</v>
      </c>
      <c r="K1668" s="4" t="s">
        <v>97</v>
      </c>
      <c r="L1668" s="4" t="s">
        <v>98</v>
      </c>
      <c r="M1668" s="4"/>
      <c r="N1668" s="4"/>
      <c r="O1668" s="4"/>
      <c r="P1668" s="4"/>
      <c r="Q1668" s="4"/>
      <c r="R1668" s="4"/>
      <c r="S1668" s="13" t="n">
        <v>0</v>
      </c>
      <c r="T1668" s="4" t="s">
        <v>173</v>
      </c>
      <c r="U1668" s="14" t="n">
        <f aca="false">IF(OR($S1668="",PARAMETROS!$B$4=""),"",$S1668*PARAMETROS!$B$4)</f>
        <v>0</v>
      </c>
      <c r="V1668" s="13" t="n">
        <v>0</v>
      </c>
      <c r="W1668" s="4"/>
      <c r="X1668" s="4"/>
      <c r="Y1668" s="4"/>
      <c r="Z1668" s="4"/>
      <c r="AA1668" s="4"/>
      <c r="AB1668" s="4"/>
      <c r="AC1668" s="4"/>
      <c r="AD1668" s="4"/>
      <c r="AE1668" s="4"/>
      <c r="AF1668" s="4"/>
      <c r="AG1668" s="4"/>
      <c r="AH1668" s="4"/>
      <c r="AI1668" s="4"/>
      <c r="AJ1668" s="4"/>
      <c r="AK1668" s="4"/>
      <c r="AL1668" s="4" t="s">
        <v>1856</v>
      </c>
      <c r="AM1668" s="4" t="s">
        <v>205</v>
      </c>
    </row>
    <row r="1669" customFormat="false" ht="23.85" hidden="false" customHeight="false" outlineLevel="0" collapsed="false">
      <c r="A1669" s="4" t="s">
        <v>167</v>
      </c>
      <c r="B1669" s="4" t="s">
        <v>1872</v>
      </c>
      <c r="C1669" s="4" t="s">
        <v>1872</v>
      </c>
      <c r="D1669" s="12" t="n">
        <v>2024</v>
      </c>
      <c r="E1669" s="4"/>
      <c r="F1669" s="4" t="s">
        <v>169</v>
      </c>
      <c r="G1669" s="4" t="s">
        <v>170</v>
      </c>
      <c r="H1669" s="4" t="s">
        <v>171</v>
      </c>
      <c r="I1669" s="4" t="s">
        <v>172</v>
      </c>
      <c r="J1669" s="4" t="s">
        <v>1872</v>
      </c>
      <c r="K1669" s="4" t="s">
        <v>97</v>
      </c>
      <c r="L1669" s="4" t="s">
        <v>98</v>
      </c>
      <c r="M1669" s="4"/>
      <c r="N1669" s="4"/>
      <c r="O1669" s="4"/>
      <c r="P1669" s="4"/>
      <c r="Q1669" s="4"/>
      <c r="R1669" s="4"/>
      <c r="S1669" s="13" t="n">
        <v>16069.68</v>
      </c>
      <c r="T1669" s="4" t="s">
        <v>173</v>
      </c>
      <c r="U1669" s="14" t="n">
        <f aca="false">IF(OR($S1669="",PARAMETROS!$B$4=""),"",$S1669*PARAMETROS!$B$4)</f>
        <v>93364.8408</v>
      </c>
      <c r="V1669" s="13" t="n">
        <v>0</v>
      </c>
      <c r="W1669" s="4"/>
      <c r="X1669" s="4"/>
      <c r="Y1669" s="4"/>
      <c r="Z1669" s="4"/>
      <c r="AA1669" s="4"/>
      <c r="AB1669" s="4"/>
      <c r="AC1669" s="4"/>
      <c r="AD1669" s="4"/>
      <c r="AE1669" s="4"/>
      <c r="AF1669" s="4"/>
      <c r="AG1669" s="4"/>
      <c r="AH1669" s="4"/>
      <c r="AI1669" s="4"/>
      <c r="AJ1669" s="4"/>
      <c r="AK1669" s="4"/>
      <c r="AL1669" s="4" t="s">
        <v>1856</v>
      </c>
      <c r="AM1669" s="4" t="s">
        <v>205</v>
      </c>
    </row>
    <row r="1670" customFormat="false" ht="23.85" hidden="false" customHeight="false" outlineLevel="0" collapsed="false">
      <c r="A1670" s="4" t="s">
        <v>167</v>
      </c>
      <c r="B1670" s="4" t="s">
        <v>1873</v>
      </c>
      <c r="C1670" s="4" t="s">
        <v>1873</v>
      </c>
      <c r="D1670" s="12" t="n">
        <v>2024</v>
      </c>
      <c r="E1670" s="4"/>
      <c r="F1670" s="4" t="s">
        <v>169</v>
      </c>
      <c r="G1670" s="4" t="s">
        <v>170</v>
      </c>
      <c r="H1670" s="4" t="s">
        <v>171</v>
      </c>
      <c r="I1670" s="4" t="s">
        <v>172</v>
      </c>
      <c r="J1670" s="4" t="s">
        <v>1873</v>
      </c>
      <c r="K1670" s="4" t="s">
        <v>97</v>
      </c>
      <c r="L1670" s="4" t="s">
        <v>98</v>
      </c>
      <c r="M1670" s="4"/>
      <c r="N1670" s="4"/>
      <c r="O1670" s="4"/>
      <c r="P1670" s="4"/>
      <c r="Q1670" s="4"/>
      <c r="R1670" s="4"/>
      <c r="S1670" s="13" t="n">
        <v>152.82</v>
      </c>
      <c r="T1670" s="4" t="s">
        <v>173</v>
      </c>
      <c r="U1670" s="14" t="n">
        <f aca="false">IF(OR($S1670="",PARAMETROS!$B$4=""),"",$S1670*PARAMETROS!$B$4)</f>
        <v>887.8842</v>
      </c>
      <c r="V1670" s="13" t="n">
        <v>0</v>
      </c>
      <c r="W1670" s="4"/>
      <c r="X1670" s="4"/>
      <c r="Y1670" s="4"/>
      <c r="Z1670" s="4"/>
      <c r="AA1670" s="4"/>
      <c r="AB1670" s="4"/>
      <c r="AC1670" s="4"/>
      <c r="AD1670" s="4"/>
      <c r="AE1670" s="4"/>
      <c r="AF1670" s="4"/>
      <c r="AG1670" s="4"/>
      <c r="AH1670" s="4"/>
      <c r="AI1670" s="4"/>
      <c r="AJ1670" s="4"/>
      <c r="AK1670" s="4"/>
      <c r="AL1670" s="4" t="s">
        <v>1856</v>
      </c>
      <c r="AM1670" s="4" t="s">
        <v>205</v>
      </c>
    </row>
    <row r="1671" customFormat="false" ht="23.85" hidden="false" customHeight="false" outlineLevel="0" collapsed="false">
      <c r="A1671" s="4" t="s">
        <v>167</v>
      </c>
      <c r="B1671" s="4" t="s">
        <v>1874</v>
      </c>
      <c r="C1671" s="4" t="s">
        <v>1874</v>
      </c>
      <c r="D1671" s="12" t="n">
        <v>2024</v>
      </c>
      <c r="E1671" s="4"/>
      <c r="F1671" s="4" t="s">
        <v>169</v>
      </c>
      <c r="G1671" s="4" t="s">
        <v>170</v>
      </c>
      <c r="H1671" s="4" t="s">
        <v>171</v>
      </c>
      <c r="I1671" s="4" t="s">
        <v>172</v>
      </c>
      <c r="J1671" s="4" t="s">
        <v>1874</v>
      </c>
      <c r="K1671" s="4" t="s">
        <v>97</v>
      </c>
      <c r="L1671" s="4" t="s">
        <v>98</v>
      </c>
      <c r="M1671" s="4"/>
      <c r="N1671" s="4"/>
      <c r="O1671" s="4"/>
      <c r="P1671" s="4"/>
      <c r="Q1671" s="4"/>
      <c r="R1671" s="4"/>
      <c r="S1671" s="13" t="n">
        <v>-38.58</v>
      </c>
      <c r="T1671" s="4" t="s">
        <v>173</v>
      </c>
      <c r="U1671" s="14" t="n">
        <f aca="false">IF(OR($S1671="",PARAMETROS!$B$4=""),"",$S1671*PARAMETROS!$B$4)</f>
        <v>-224.1498</v>
      </c>
      <c r="V1671" s="13" t="n">
        <v>0</v>
      </c>
      <c r="W1671" s="4"/>
      <c r="X1671" s="4"/>
      <c r="Y1671" s="4"/>
      <c r="Z1671" s="4"/>
      <c r="AA1671" s="4"/>
      <c r="AB1671" s="4"/>
      <c r="AC1671" s="4"/>
      <c r="AD1671" s="4"/>
      <c r="AE1671" s="4"/>
      <c r="AF1671" s="4"/>
      <c r="AG1671" s="4"/>
      <c r="AH1671" s="4"/>
      <c r="AI1671" s="4"/>
      <c r="AJ1671" s="4"/>
      <c r="AK1671" s="4"/>
      <c r="AL1671" s="4" t="s">
        <v>1856</v>
      </c>
      <c r="AM1671" s="4" t="s">
        <v>205</v>
      </c>
    </row>
    <row r="1672" customFormat="false" ht="23.85" hidden="false" customHeight="false" outlineLevel="0" collapsed="false">
      <c r="A1672" s="4" t="s">
        <v>167</v>
      </c>
      <c r="B1672" s="4" t="s">
        <v>1875</v>
      </c>
      <c r="C1672" s="4" t="s">
        <v>1875</v>
      </c>
      <c r="D1672" s="12" t="n">
        <v>2024</v>
      </c>
      <c r="E1672" s="4"/>
      <c r="F1672" s="4" t="s">
        <v>169</v>
      </c>
      <c r="G1672" s="4" t="s">
        <v>170</v>
      </c>
      <c r="H1672" s="4" t="s">
        <v>171</v>
      </c>
      <c r="I1672" s="4" t="s">
        <v>172</v>
      </c>
      <c r="J1672" s="4" t="s">
        <v>1875</v>
      </c>
      <c r="K1672" s="4" t="s">
        <v>97</v>
      </c>
      <c r="L1672" s="4" t="s">
        <v>98</v>
      </c>
      <c r="M1672" s="4"/>
      <c r="N1672" s="4"/>
      <c r="O1672" s="4"/>
      <c r="P1672" s="4"/>
      <c r="Q1672" s="4"/>
      <c r="R1672" s="4"/>
      <c r="S1672" s="13" t="n">
        <v>0</v>
      </c>
      <c r="T1672" s="4" t="s">
        <v>173</v>
      </c>
      <c r="U1672" s="14" t="n">
        <f aca="false">IF(OR($S1672="",PARAMETROS!$B$4=""),"",$S1672*PARAMETROS!$B$4)</f>
        <v>0</v>
      </c>
      <c r="V1672" s="13" t="n">
        <v>0</v>
      </c>
      <c r="W1672" s="4"/>
      <c r="X1672" s="4"/>
      <c r="Y1672" s="4"/>
      <c r="Z1672" s="4"/>
      <c r="AA1672" s="4"/>
      <c r="AB1672" s="4"/>
      <c r="AC1672" s="4"/>
      <c r="AD1672" s="4"/>
      <c r="AE1672" s="4"/>
      <c r="AF1672" s="4"/>
      <c r="AG1672" s="4"/>
      <c r="AH1672" s="4"/>
      <c r="AI1672" s="4"/>
      <c r="AJ1672" s="4"/>
      <c r="AK1672" s="4"/>
      <c r="AL1672" s="4" t="s">
        <v>1856</v>
      </c>
      <c r="AM1672" s="4" t="s">
        <v>1698</v>
      </c>
    </row>
    <row r="1673" customFormat="false" ht="23.85" hidden="false" customHeight="false" outlineLevel="0" collapsed="false">
      <c r="A1673" s="4" t="s">
        <v>167</v>
      </c>
      <c r="B1673" s="4" t="s">
        <v>1876</v>
      </c>
      <c r="C1673" s="4" t="s">
        <v>1876</v>
      </c>
      <c r="D1673" s="12" t="n">
        <v>2024</v>
      </c>
      <c r="E1673" s="4"/>
      <c r="F1673" s="4" t="s">
        <v>169</v>
      </c>
      <c r="G1673" s="4" t="s">
        <v>170</v>
      </c>
      <c r="H1673" s="4" t="s">
        <v>171</v>
      </c>
      <c r="I1673" s="4" t="s">
        <v>172</v>
      </c>
      <c r="J1673" s="4" t="s">
        <v>1876</v>
      </c>
      <c r="K1673" s="4" t="s">
        <v>97</v>
      </c>
      <c r="L1673" s="4" t="s">
        <v>98</v>
      </c>
      <c r="M1673" s="4"/>
      <c r="N1673" s="4"/>
      <c r="O1673" s="4"/>
      <c r="P1673" s="4"/>
      <c r="Q1673" s="4"/>
      <c r="R1673" s="4"/>
      <c r="S1673" s="13" t="n">
        <v>-74.82</v>
      </c>
      <c r="T1673" s="4" t="s">
        <v>173</v>
      </c>
      <c r="U1673" s="14" t="n">
        <f aca="false">IF(OR($S1673="",PARAMETROS!$B$4=""),"",$S1673*PARAMETROS!$B$4)</f>
        <v>-434.7042</v>
      </c>
      <c r="V1673" s="13" t="n">
        <v>0</v>
      </c>
      <c r="W1673" s="4"/>
      <c r="X1673" s="4"/>
      <c r="Y1673" s="4"/>
      <c r="Z1673" s="4"/>
      <c r="AA1673" s="4"/>
      <c r="AB1673" s="4"/>
      <c r="AC1673" s="4"/>
      <c r="AD1673" s="4"/>
      <c r="AE1673" s="4"/>
      <c r="AF1673" s="4"/>
      <c r="AG1673" s="4"/>
      <c r="AH1673" s="4"/>
      <c r="AI1673" s="4"/>
      <c r="AJ1673" s="4"/>
      <c r="AK1673" s="4"/>
      <c r="AL1673" s="4" t="s">
        <v>1856</v>
      </c>
      <c r="AM1673" s="4" t="s">
        <v>1700</v>
      </c>
    </row>
    <row r="1674" customFormat="false" ht="23.85" hidden="false" customHeight="false" outlineLevel="0" collapsed="false">
      <c r="A1674" s="4" t="s">
        <v>167</v>
      </c>
      <c r="B1674" s="4" t="s">
        <v>1877</v>
      </c>
      <c r="C1674" s="4" t="s">
        <v>1877</v>
      </c>
      <c r="D1674" s="12" t="n">
        <v>2024</v>
      </c>
      <c r="E1674" s="4"/>
      <c r="F1674" s="4" t="s">
        <v>169</v>
      </c>
      <c r="G1674" s="4" t="s">
        <v>170</v>
      </c>
      <c r="H1674" s="4" t="s">
        <v>171</v>
      </c>
      <c r="I1674" s="4" t="s">
        <v>172</v>
      </c>
      <c r="J1674" s="4" t="s">
        <v>1877</v>
      </c>
      <c r="K1674" s="4" t="s">
        <v>97</v>
      </c>
      <c r="L1674" s="4" t="s">
        <v>98</v>
      </c>
      <c r="M1674" s="4"/>
      <c r="N1674" s="4"/>
      <c r="O1674" s="4"/>
      <c r="P1674" s="4"/>
      <c r="Q1674" s="4"/>
      <c r="R1674" s="4"/>
      <c r="S1674" s="13" t="n">
        <v>0</v>
      </c>
      <c r="T1674" s="4" t="s">
        <v>173</v>
      </c>
      <c r="U1674" s="14" t="n">
        <f aca="false">IF(OR($S1674="",PARAMETROS!$B$4=""),"",$S1674*PARAMETROS!$B$4)</f>
        <v>0</v>
      </c>
      <c r="V1674" s="13" t="n">
        <v>0</v>
      </c>
      <c r="W1674" s="4"/>
      <c r="X1674" s="4"/>
      <c r="Y1674" s="4"/>
      <c r="Z1674" s="4"/>
      <c r="AA1674" s="4"/>
      <c r="AB1674" s="4"/>
      <c r="AC1674" s="4"/>
      <c r="AD1674" s="4"/>
      <c r="AE1674" s="4"/>
      <c r="AF1674" s="4"/>
      <c r="AG1674" s="4"/>
      <c r="AH1674" s="4"/>
      <c r="AI1674" s="4"/>
      <c r="AJ1674" s="4"/>
      <c r="AK1674" s="4"/>
      <c r="AL1674" s="4" t="s">
        <v>1856</v>
      </c>
      <c r="AM1674" s="4" t="s">
        <v>1723</v>
      </c>
    </row>
    <row r="1675" customFormat="false" ht="23.85" hidden="false" customHeight="false" outlineLevel="0" collapsed="false">
      <c r="A1675" s="4" t="s">
        <v>167</v>
      </c>
      <c r="B1675" s="4" t="s">
        <v>1878</v>
      </c>
      <c r="C1675" s="4" t="s">
        <v>1878</v>
      </c>
      <c r="D1675" s="12" t="n">
        <v>2024</v>
      </c>
      <c r="E1675" s="4"/>
      <c r="F1675" s="4" t="s">
        <v>169</v>
      </c>
      <c r="G1675" s="4" t="s">
        <v>170</v>
      </c>
      <c r="H1675" s="4" t="s">
        <v>171</v>
      </c>
      <c r="I1675" s="4" t="s">
        <v>172</v>
      </c>
      <c r="J1675" s="4" t="s">
        <v>1878</v>
      </c>
      <c r="K1675" s="4" t="s">
        <v>97</v>
      </c>
      <c r="L1675" s="4" t="s">
        <v>98</v>
      </c>
      <c r="M1675" s="4"/>
      <c r="N1675" s="4"/>
      <c r="O1675" s="4"/>
      <c r="P1675" s="4"/>
      <c r="Q1675" s="4"/>
      <c r="R1675" s="4"/>
      <c r="S1675" s="13" t="n">
        <v>0</v>
      </c>
      <c r="T1675" s="4" t="s">
        <v>173</v>
      </c>
      <c r="U1675" s="14" t="n">
        <f aca="false">IF(OR($S1675="",PARAMETROS!$B$4=""),"",$S1675*PARAMETROS!$B$4)</f>
        <v>0</v>
      </c>
      <c r="V1675" s="13" t="n">
        <v>0</v>
      </c>
      <c r="W1675" s="4"/>
      <c r="X1675" s="4"/>
      <c r="Y1675" s="4"/>
      <c r="Z1675" s="4"/>
      <c r="AA1675" s="4"/>
      <c r="AB1675" s="4"/>
      <c r="AC1675" s="4"/>
      <c r="AD1675" s="4"/>
      <c r="AE1675" s="4"/>
      <c r="AF1675" s="4"/>
      <c r="AG1675" s="4"/>
      <c r="AH1675" s="4"/>
      <c r="AI1675" s="4"/>
      <c r="AJ1675" s="4"/>
      <c r="AK1675" s="4"/>
      <c r="AL1675" s="4" t="s">
        <v>1856</v>
      </c>
      <c r="AM1675" s="4" t="s">
        <v>1704</v>
      </c>
    </row>
    <row r="1676" customFormat="false" ht="23.85" hidden="false" customHeight="false" outlineLevel="0" collapsed="false">
      <c r="A1676" s="4" t="s">
        <v>167</v>
      </c>
      <c r="B1676" s="4" t="s">
        <v>1879</v>
      </c>
      <c r="C1676" s="4" t="s">
        <v>1879</v>
      </c>
      <c r="D1676" s="12" t="n">
        <v>2024</v>
      </c>
      <c r="E1676" s="4"/>
      <c r="F1676" s="4" t="s">
        <v>169</v>
      </c>
      <c r="G1676" s="4" t="s">
        <v>170</v>
      </c>
      <c r="H1676" s="4" t="s">
        <v>171</v>
      </c>
      <c r="I1676" s="4" t="s">
        <v>172</v>
      </c>
      <c r="J1676" s="4" t="s">
        <v>1879</v>
      </c>
      <c r="K1676" s="4" t="s">
        <v>97</v>
      </c>
      <c r="L1676" s="4" t="s">
        <v>98</v>
      </c>
      <c r="M1676" s="4"/>
      <c r="N1676" s="4"/>
      <c r="O1676" s="4"/>
      <c r="P1676" s="4"/>
      <c r="Q1676" s="4"/>
      <c r="R1676" s="4"/>
      <c r="S1676" s="13" t="n">
        <v>14539.18</v>
      </c>
      <c r="T1676" s="4" t="s">
        <v>173</v>
      </c>
      <c r="U1676" s="14" t="n">
        <f aca="false">IF(OR($S1676="",PARAMETROS!$B$4=""),"",$S1676*PARAMETROS!$B$4)</f>
        <v>84472.6358</v>
      </c>
      <c r="V1676" s="13" t="n">
        <v>0</v>
      </c>
      <c r="W1676" s="4"/>
      <c r="X1676" s="4"/>
      <c r="Y1676" s="4"/>
      <c r="Z1676" s="4"/>
      <c r="AA1676" s="4"/>
      <c r="AB1676" s="4"/>
      <c r="AC1676" s="4"/>
      <c r="AD1676" s="4"/>
      <c r="AE1676" s="4"/>
      <c r="AF1676" s="4"/>
      <c r="AG1676" s="4"/>
      <c r="AH1676" s="4"/>
      <c r="AI1676" s="4"/>
      <c r="AJ1676" s="4"/>
      <c r="AK1676" s="4"/>
      <c r="AL1676" s="4" t="s">
        <v>1856</v>
      </c>
      <c r="AM1676" s="4" t="s">
        <v>205</v>
      </c>
    </row>
    <row r="1677" customFormat="false" ht="23.85" hidden="false" customHeight="false" outlineLevel="0" collapsed="false">
      <c r="A1677" s="4" t="s">
        <v>167</v>
      </c>
      <c r="B1677" s="4" t="s">
        <v>1880</v>
      </c>
      <c r="C1677" s="4" t="s">
        <v>1880</v>
      </c>
      <c r="D1677" s="12" t="n">
        <v>2024</v>
      </c>
      <c r="E1677" s="4"/>
      <c r="F1677" s="4" t="s">
        <v>169</v>
      </c>
      <c r="G1677" s="4" t="s">
        <v>170</v>
      </c>
      <c r="H1677" s="4" t="s">
        <v>171</v>
      </c>
      <c r="I1677" s="4" t="s">
        <v>172</v>
      </c>
      <c r="J1677" s="4" t="s">
        <v>1880</v>
      </c>
      <c r="K1677" s="4" t="s">
        <v>97</v>
      </c>
      <c r="L1677" s="4" t="s">
        <v>98</v>
      </c>
      <c r="M1677" s="4"/>
      <c r="N1677" s="4"/>
      <c r="O1677" s="4"/>
      <c r="P1677" s="4"/>
      <c r="Q1677" s="4"/>
      <c r="R1677" s="4"/>
      <c r="S1677" s="13" t="n">
        <v>0</v>
      </c>
      <c r="T1677" s="4" t="s">
        <v>173</v>
      </c>
      <c r="U1677" s="14" t="n">
        <f aca="false">IF(OR($S1677="",PARAMETROS!$B$4=""),"",$S1677*PARAMETROS!$B$4)</f>
        <v>0</v>
      </c>
      <c r="V1677" s="13" t="n">
        <v>0</v>
      </c>
      <c r="W1677" s="4"/>
      <c r="X1677" s="4"/>
      <c r="Y1677" s="4"/>
      <c r="Z1677" s="4"/>
      <c r="AA1677" s="4"/>
      <c r="AB1677" s="4"/>
      <c r="AC1677" s="4"/>
      <c r="AD1677" s="4"/>
      <c r="AE1677" s="4"/>
      <c r="AF1677" s="4"/>
      <c r="AG1677" s="4"/>
      <c r="AH1677" s="4"/>
      <c r="AI1677" s="4"/>
      <c r="AJ1677" s="4"/>
      <c r="AK1677" s="4"/>
      <c r="AL1677" s="4" t="s">
        <v>1856</v>
      </c>
      <c r="AM1677" s="4" t="s">
        <v>1707</v>
      </c>
    </row>
    <row r="1678" customFormat="false" ht="23.85" hidden="false" customHeight="false" outlineLevel="0" collapsed="false">
      <c r="A1678" s="4" t="s">
        <v>167</v>
      </c>
      <c r="B1678" s="4" t="s">
        <v>1881</v>
      </c>
      <c r="C1678" s="4" t="s">
        <v>1881</v>
      </c>
      <c r="D1678" s="12" t="n">
        <v>2024</v>
      </c>
      <c r="E1678" s="4"/>
      <c r="F1678" s="4" t="s">
        <v>169</v>
      </c>
      <c r="G1678" s="4" t="s">
        <v>170</v>
      </c>
      <c r="H1678" s="4" t="s">
        <v>171</v>
      </c>
      <c r="I1678" s="4" t="s">
        <v>172</v>
      </c>
      <c r="J1678" s="4" t="s">
        <v>1881</v>
      </c>
      <c r="K1678" s="4" t="s">
        <v>97</v>
      </c>
      <c r="L1678" s="4" t="s">
        <v>98</v>
      </c>
      <c r="M1678" s="4"/>
      <c r="N1678" s="4"/>
      <c r="O1678" s="4"/>
      <c r="P1678" s="4"/>
      <c r="Q1678" s="4"/>
      <c r="R1678" s="4"/>
      <c r="S1678" s="13" t="n">
        <v>0</v>
      </c>
      <c r="T1678" s="4" t="s">
        <v>173</v>
      </c>
      <c r="U1678" s="14" t="n">
        <f aca="false">IF(OR($S1678="",PARAMETROS!$B$4=""),"",$S1678*PARAMETROS!$B$4)</f>
        <v>0</v>
      </c>
      <c r="V1678" s="13" t="n">
        <v>0</v>
      </c>
      <c r="W1678" s="4"/>
      <c r="X1678" s="4"/>
      <c r="Y1678" s="4"/>
      <c r="Z1678" s="4"/>
      <c r="AA1678" s="4"/>
      <c r="AB1678" s="4"/>
      <c r="AC1678" s="4"/>
      <c r="AD1678" s="4"/>
      <c r="AE1678" s="4"/>
      <c r="AF1678" s="4"/>
      <c r="AG1678" s="4"/>
      <c r="AH1678" s="4"/>
      <c r="AI1678" s="4"/>
      <c r="AJ1678" s="4"/>
      <c r="AK1678" s="4"/>
      <c r="AL1678" s="4" t="s">
        <v>1856</v>
      </c>
      <c r="AM1678" s="4" t="s">
        <v>1709</v>
      </c>
    </row>
    <row r="1679" customFormat="false" ht="23.85" hidden="false" customHeight="false" outlineLevel="0" collapsed="false">
      <c r="A1679" s="4" t="s">
        <v>167</v>
      </c>
      <c r="B1679" s="4" t="s">
        <v>1882</v>
      </c>
      <c r="C1679" s="4" t="s">
        <v>1882</v>
      </c>
      <c r="D1679" s="12" t="n">
        <v>2024</v>
      </c>
      <c r="E1679" s="4"/>
      <c r="F1679" s="4" t="s">
        <v>169</v>
      </c>
      <c r="G1679" s="4" t="s">
        <v>170</v>
      </c>
      <c r="H1679" s="4" t="s">
        <v>171</v>
      </c>
      <c r="I1679" s="4" t="s">
        <v>172</v>
      </c>
      <c r="J1679" s="4" t="s">
        <v>1882</v>
      </c>
      <c r="K1679" s="4" t="s">
        <v>97</v>
      </c>
      <c r="L1679" s="4" t="s">
        <v>98</v>
      </c>
      <c r="M1679" s="4"/>
      <c r="N1679" s="4"/>
      <c r="O1679" s="4"/>
      <c r="P1679" s="4"/>
      <c r="Q1679" s="4"/>
      <c r="R1679" s="4"/>
      <c r="S1679" s="13" t="n">
        <v>1264.28</v>
      </c>
      <c r="T1679" s="4" t="s">
        <v>173</v>
      </c>
      <c r="U1679" s="14" t="n">
        <f aca="false">IF(OR($S1679="",PARAMETROS!$B$4=""),"",$S1679*PARAMETROS!$B$4)</f>
        <v>7345.4668</v>
      </c>
      <c r="V1679" s="13" t="n">
        <v>0</v>
      </c>
      <c r="W1679" s="4"/>
      <c r="X1679" s="4"/>
      <c r="Y1679" s="4"/>
      <c r="Z1679" s="4"/>
      <c r="AA1679" s="4"/>
      <c r="AB1679" s="4"/>
      <c r="AC1679" s="4"/>
      <c r="AD1679" s="4"/>
      <c r="AE1679" s="4"/>
      <c r="AF1679" s="4"/>
      <c r="AG1679" s="4"/>
      <c r="AH1679" s="4"/>
      <c r="AI1679" s="4"/>
      <c r="AJ1679" s="4"/>
      <c r="AK1679" s="4"/>
      <c r="AL1679" s="4" t="s">
        <v>1856</v>
      </c>
      <c r="AM1679" s="4" t="s">
        <v>1868</v>
      </c>
    </row>
    <row r="1680" customFormat="false" ht="23.85" hidden="false" customHeight="false" outlineLevel="0" collapsed="false">
      <c r="A1680" s="4" t="s">
        <v>167</v>
      </c>
      <c r="B1680" s="4" t="s">
        <v>1883</v>
      </c>
      <c r="C1680" s="4" t="s">
        <v>1883</v>
      </c>
      <c r="D1680" s="12" t="n">
        <v>2024</v>
      </c>
      <c r="E1680" s="4"/>
      <c r="F1680" s="4" t="s">
        <v>169</v>
      </c>
      <c r="G1680" s="4" t="s">
        <v>170</v>
      </c>
      <c r="H1680" s="4" t="s">
        <v>171</v>
      </c>
      <c r="I1680" s="4" t="s">
        <v>172</v>
      </c>
      <c r="J1680" s="4" t="s">
        <v>1883</v>
      </c>
      <c r="K1680" s="4" t="s">
        <v>97</v>
      </c>
      <c r="L1680" s="4" t="s">
        <v>98</v>
      </c>
      <c r="M1680" s="4"/>
      <c r="N1680" s="4"/>
      <c r="O1680" s="4"/>
      <c r="P1680" s="4"/>
      <c r="Q1680" s="4"/>
      <c r="R1680" s="4"/>
      <c r="S1680" s="13" t="n">
        <v>0</v>
      </c>
      <c r="T1680" s="4" t="s">
        <v>173</v>
      </c>
      <c r="U1680" s="14" t="n">
        <f aca="false">IF(OR($S1680="",PARAMETROS!$B$4=""),"",$S1680*PARAMETROS!$B$4)</f>
        <v>0</v>
      </c>
      <c r="V1680" s="13" t="n">
        <v>0</v>
      </c>
      <c r="W1680" s="4"/>
      <c r="X1680" s="4"/>
      <c r="Y1680" s="4"/>
      <c r="Z1680" s="4"/>
      <c r="AA1680" s="4"/>
      <c r="AB1680" s="4"/>
      <c r="AC1680" s="4"/>
      <c r="AD1680" s="4"/>
      <c r="AE1680" s="4"/>
      <c r="AF1680" s="4"/>
      <c r="AG1680" s="4"/>
      <c r="AH1680" s="4"/>
      <c r="AI1680" s="4"/>
      <c r="AJ1680" s="4"/>
      <c r="AK1680" s="4"/>
      <c r="AL1680" s="4" t="s">
        <v>1856</v>
      </c>
      <c r="AM1680" s="4" t="s">
        <v>205</v>
      </c>
    </row>
    <row r="1681" customFormat="false" ht="23.85" hidden="false" customHeight="false" outlineLevel="0" collapsed="false">
      <c r="A1681" s="4" t="s">
        <v>167</v>
      </c>
      <c r="B1681" s="4" t="s">
        <v>1884</v>
      </c>
      <c r="C1681" s="4" t="s">
        <v>1884</v>
      </c>
      <c r="D1681" s="12" t="n">
        <v>2024</v>
      </c>
      <c r="E1681" s="4"/>
      <c r="F1681" s="4" t="s">
        <v>169</v>
      </c>
      <c r="G1681" s="4" t="s">
        <v>170</v>
      </c>
      <c r="H1681" s="4" t="s">
        <v>171</v>
      </c>
      <c r="I1681" s="4" t="s">
        <v>172</v>
      </c>
      <c r="J1681" s="4" t="s">
        <v>1884</v>
      </c>
      <c r="K1681" s="4" t="s">
        <v>97</v>
      </c>
      <c r="L1681" s="4" t="s">
        <v>98</v>
      </c>
      <c r="M1681" s="4"/>
      <c r="N1681" s="4"/>
      <c r="O1681" s="4"/>
      <c r="P1681" s="4"/>
      <c r="Q1681" s="4"/>
      <c r="R1681" s="4"/>
      <c r="S1681" s="13" t="n">
        <v>0</v>
      </c>
      <c r="T1681" s="4" t="s">
        <v>173</v>
      </c>
      <c r="U1681" s="14" t="n">
        <f aca="false">IF(OR($S1681="",PARAMETROS!$B$4=""),"",$S1681*PARAMETROS!$B$4)</f>
        <v>0</v>
      </c>
      <c r="V1681" s="13" t="n">
        <v>0</v>
      </c>
      <c r="W1681" s="4"/>
      <c r="X1681" s="4"/>
      <c r="Y1681" s="4"/>
      <c r="Z1681" s="4"/>
      <c r="AA1681" s="4"/>
      <c r="AB1681" s="4"/>
      <c r="AC1681" s="4"/>
      <c r="AD1681" s="4"/>
      <c r="AE1681" s="4"/>
      <c r="AF1681" s="4"/>
      <c r="AG1681" s="4"/>
      <c r="AH1681" s="4"/>
      <c r="AI1681" s="4"/>
      <c r="AJ1681" s="4"/>
      <c r="AK1681" s="4"/>
      <c r="AL1681" s="4" t="s">
        <v>1856</v>
      </c>
      <c r="AM1681" s="4" t="s">
        <v>1714</v>
      </c>
    </row>
    <row r="1682" customFormat="false" ht="23.85" hidden="false" customHeight="false" outlineLevel="0" collapsed="false">
      <c r="A1682" s="4" t="s">
        <v>167</v>
      </c>
      <c r="B1682" s="4" t="s">
        <v>1885</v>
      </c>
      <c r="C1682" s="4" t="s">
        <v>1885</v>
      </c>
      <c r="D1682" s="12" t="n">
        <v>2024</v>
      </c>
      <c r="E1682" s="4"/>
      <c r="F1682" s="4" t="s">
        <v>169</v>
      </c>
      <c r="G1682" s="4" t="s">
        <v>170</v>
      </c>
      <c r="H1682" s="4" t="s">
        <v>171</v>
      </c>
      <c r="I1682" s="4" t="s">
        <v>172</v>
      </c>
      <c r="J1682" s="4" t="s">
        <v>1885</v>
      </c>
      <c r="K1682" s="4" t="s">
        <v>99</v>
      </c>
      <c r="L1682" s="4" t="s">
        <v>100</v>
      </c>
      <c r="M1682" s="4"/>
      <c r="N1682" s="4"/>
      <c r="O1682" s="4"/>
      <c r="P1682" s="4"/>
      <c r="Q1682" s="4"/>
      <c r="R1682" s="4"/>
      <c r="S1682" s="13" t="n">
        <v>0</v>
      </c>
      <c r="T1682" s="4" t="s">
        <v>173</v>
      </c>
      <c r="U1682" s="14" t="n">
        <f aca="false">IF(OR($S1682="",PARAMETROS!$B$4=""),"",$S1682*PARAMETROS!$B$4)</f>
        <v>0</v>
      </c>
      <c r="V1682" s="13" t="n">
        <v>0</v>
      </c>
      <c r="W1682" s="4"/>
      <c r="X1682" s="4"/>
      <c r="Y1682" s="4"/>
      <c r="Z1682" s="4"/>
      <c r="AA1682" s="4"/>
      <c r="AB1682" s="4"/>
      <c r="AC1682" s="4"/>
      <c r="AD1682" s="4"/>
      <c r="AE1682" s="4"/>
      <c r="AF1682" s="4"/>
      <c r="AG1682" s="4"/>
      <c r="AH1682" s="4"/>
      <c r="AI1682" s="4"/>
      <c r="AJ1682" s="4"/>
      <c r="AK1682" s="4"/>
      <c r="AL1682" s="4" t="s">
        <v>1856</v>
      </c>
      <c r="AM1682" s="4" t="s">
        <v>205</v>
      </c>
    </row>
    <row r="1683" customFormat="false" ht="23.85" hidden="false" customHeight="false" outlineLevel="0" collapsed="false">
      <c r="A1683" s="4" t="s">
        <v>167</v>
      </c>
      <c r="B1683" s="4" t="s">
        <v>1886</v>
      </c>
      <c r="C1683" s="4" t="s">
        <v>1886</v>
      </c>
      <c r="D1683" s="12" t="n">
        <v>2024</v>
      </c>
      <c r="E1683" s="4"/>
      <c r="F1683" s="4" t="s">
        <v>169</v>
      </c>
      <c r="G1683" s="4" t="s">
        <v>170</v>
      </c>
      <c r="H1683" s="4" t="s">
        <v>171</v>
      </c>
      <c r="I1683" s="4" t="s">
        <v>172</v>
      </c>
      <c r="J1683" s="4" t="s">
        <v>1886</v>
      </c>
      <c r="K1683" s="4" t="s">
        <v>99</v>
      </c>
      <c r="L1683" s="4" t="s">
        <v>100</v>
      </c>
      <c r="M1683" s="4"/>
      <c r="N1683" s="4"/>
      <c r="O1683" s="4"/>
      <c r="P1683" s="4"/>
      <c r="Q1683" s="4"/>
      <c r="R1683" s="4"/>
      <c r="S1683" s="13" t="n">
        <v>1154.24</v>
      </c>
      <c r="T1683" s="4" t="s">
        <v>173</v>
      </c>
      <c r="U1683" s="14" t="n">
        <f aca="false">IF(OR($S1683="",PARAMETROS!$B$4=""),"",$S1683*PARAMETROS!$B$4)</f>
        <v>6706.1344</v>
      </c>
      <c r="V1683" s="13" t="n">
        <v>0</v>
      </c>
      <c r="W1683" s="4"/>
      <c r="X1683" s="4"/>
      <c r="Y1683" s="4"/>
      <c r="Z1683" s="4"/>
      <c r="AA1683" s="4"/>
      <c r="AB1683" s="4"/>
      <c r="AC1683" s="4"/>
      <c r="AD1683" s="4"/>
      <c r="AE1683" s="4"/>
      <c r="AF1683" s="4"/>
      <c r="AG1683" s="4"/>
      <c r="AH1683" s="4"/>
      <c r="AI1683" s="4"/>
      <c r="AJ1683" s="4"/>
      <c r="AK1683" s="4"/>
      <c r="AL1683" s="4" t="s">
        <v>1856</v>
      </c>
      <c r="AM1683" s="4" t="s">
        <v>205</v>
      </c>
    </row>
    <row r="1684" customFormat="false" ht="23.85" hidden="false" customHeight="false" outlineLevel="0" collapsed="false">
      <c r="A1684" s="4" t="s">
        <v>167</v>
      </c>
      <c r="B1684" s="4" t="s">
        <v>1887</v>
      </c>
      <c r="C1684" s="4" t="s">
        <v>1887</v>
      </c>
      <c r="D1684" s="12" t="n">
        <v>2024</v>
      </c>
      <c r="E1684" s="4"/>
      <c r="F1684" s="4" t="s">
        <v>169</v>
      </c>
      <c r="G1684" s="4" t="s">
        <v>170</v>
      </c>
      <c r="H1684" s="4" t="s">
        <v>171</v>
      </c>
      <c r="I1684" s="4" t="s">
        <v>172</v>
      </c>
      <c r="J1684" s="4" t="s">
        <v>1887</v>
      </c>
      <c r="K1684" s="4" t="s">
        <v>99</v>
      </c>
      <c r="L1684" s="4" t="s">
        <v>100</v>
      </c>
      <c r="M1684" s="4"/>
      <c r="N1684" s="4"/>
      <c r="O1684" s="4"/>
      <c r="P1684" s="4"/>
      <c r="Q1684" s="4"/>
      <c r="R1684" s="4"/>
      <c r="S1684" s="13" t="n">
        <v>635.94</v>
      </c>
      <c r="T1684" s="4" t="s">
        <v>173</v>
      </c>
      <c r="U1684" s="14" t="n">
        <f aca="false">IF(OR($S1684="",PARAMETROS!$B$4=""),"",$S1684*PARAMETROS!$B$4)</f>
        <v>3694.8114</v>
      </c>
      <c r="V1684" s="13" t="n">
        <v>0</v>
      </c>
      <c r="W1684" s="4"/>
      <c r="X1684" s="4"/>
      <c r="Y1684" s="4"/>
      <c r="Z1684" s="4"/>
      <c r="AA1684" s="4"/>
      <c r="AB1684" s="4"/>
      <c r="AC1684" s="4"/>
      <c r="AD1684" s="4"/>
      <c r="AE1684" s="4"/>
      <c r="AF1684" s="4"/>
      <c r="AG1684" s="4"/>
      <c r="AH1684" s="4"/>
      <c r="AI1684" s="4"/>
      <c r="AJ1684" s="4"/>
      <c r="AK1684" s="4"/>
      <c r="AL1684" s="4" t="s">
        <v>1856</v>
      </c>
      <c r="AM1684" s="4" t="s">
        <v>205</v>
      </c>
    </row>
    <row r="1685" customFormat="false" ht="23.85" hidden="false" customHeight="false" outlineLevel="0" collapsed="false">
      <c r="A1685" s="4" t="s">
        <v>167</v>
      </c>
      <c r="B1685" s="4" t="s">
        <v>1888</v>
      </c>
      <c r="C1685" s="4" t="s">
        <v>1888</v>
      </c>
      <c r="D1685" s="12" t="n">
        <v>2024</v>
      </c>
      <c r="E1685" s="4"/>
      <c r="F1685" s="4" t="s">
        <v>169</v>
      </c>
      <c r="G1685" s="4" t="s">
        <v>170</v>
      </c>
      <c r="H1685" s="4" t="s">
        <v>171</v>
      </c>
      <c r="I1685" s="4" t="s">
        <v>172</v>
      </c>
      <c r="J1685" s="4" t="s">
        <v>1888</v>
      </c>
      <c r="K1685" s="4" t="s">
        <v>99</v>
      </c>
      <c r="L1685" s="4" t="s">
        <v>100</v>
      </c>
      <c r="M1685" s="4"/>
      <c r="N1685" s="4"/>
      <c r="O1685" s="4"/>
      <c r="P1685" s="4"/>
      <c r="Q1685" s="4"/>
      <c r="R1685" s="4"/>
      <c r="S1685" s="13" t="n">
        <v>0</v>
      </c>
      <c r="T1685" s="4" t="s">
        <v>173</v>
      </c>
      <c r="U1685" s="14" t="n">
        <f aca="false">IF(OR($S1685="",PARAMETROS!$B$4=""),"",$S1685*PARAMETROS!$B$4)</f>
        <v>0</v>
      </c>
      <c r="V1685" s="13" t="n">
        <v>0</v>
      </c>
      <c r="W1685" s="4"/>
      <c r="X1685" s="4"/>
      <c r="Y1685" s="4"/>
      <c r="Z1685" s="4"/>
      <c r="AA1685" s="4"/>
      <c r="AB1685" s="4"/>
      <c r="AC1685" s="4"/>
      <c r="AD1685" s="4"/>
      <c r="AE1685" s="4"/>
      <c r="AF1685" s="4"/>
      <c r="AG1685" s="4"/>
      <c r="AH1685" s="4"/>
      <c r="AI1685" s="4"/>
      <c r="AJ1685" s="4"/>
      <c r="AK1685" s="4"/>
      <c r="AL1685" s="4" t="s">
        <v>1856</v>
      </c>
      <c r="AM1685" s="4" t="s">
        <v>205</v>
      </c>
    </row>
    <row r="1686" customFormat="false" ht="23.85" hidden="false" customHeight="false" outlineLevel="0" collapsed="false">
      <c r="A1686" s="4" t="s">
        <v>167</v>
      </c>
      <c r="B1686" s="4" t="s">
        <v>1889</v>
      </c>
      <c r="C1686" s="4" t="s">
        <v>1889</v>
      </c>
      <c r="D1686" s="12" t="n">
        <v>2024</v>
      </c>
      <c r="E1686" s="4"/>
      <c r="F1686" s="4" t="s">
        <v>169</v>
      </c>
      <c r="G1686" s="4" t="s">
        <v>170</v>
      </c>
      <c r="H1686" s="4" t="s">
        <v>171</v>
      </c>
      <c r="I1686" s="4" t="s">
        <v>172</v>
      </c>
      <c r="J1686" s="4" t="s">
        <v>1889</v>
      </c>
      <c r="K1686" s="4" t="s">
        <v>99</v>
      </c>
      <c r="L1686" s="4" t="s">
        <v>100</v>
      </c>
      <c r="M1686" s="4"/>
      <c r="N1686" s="4"/>
      <c r="O1686" s="4"/>
      <c r="P1686" s="4"/>
      <c r="Q1686" s="4"/>
      <c r="R1686" s="4"/>
      <c r="S1686" s="13" t="n">
        <v>0</v>
      </c>
      <c r="T1686" s="4" t="s">
        <v>173</v>
      </c>
      <c r="U1686" s="14" t="n">
        <f aca="false">IF(OR($S1686="",PARAMETROS!$B$4=""),"",$S1686*PARAMETROS!$B$4)</f>
        <v>0</v>
      </c>
      <c r="V1686" s="13" t="n">
        <v>0</v>
      </c>
      <c r="W1686" s="4"/>
      <c r="X1686" s="4"/>
      <c r="Y1686" s="4"/>
      <c r="Z1686" s="4"/>
      <c r="AA1686" s="4"/>
      <c r="AB1686" s="4"/>
      <c r="AC1686" s="4"/>
      <c r="AD1686" s="4"/>
      <c r="AE1686" s="4"/>
      <c r="AF1686" s="4"/>
      <c r="AG1686" s="4"/>
      <c r="AH1686" s="4"/>
      <c r="AI1686" s="4"/>
      <c r="AJ1686" s="4"/>
      <c r="AK1686" s="4"/>
      <c r="AL1686" s="4" t="s">
        <v>1856</v>
      </c>
      <c r="AM1686" s="4" t="s">
        <v>1698</v>
      </c>
    </row>
    <row r="1687" customFormat="false" ht="23.85" hidden="false" customHeight="false" outlineLevel="0" collapsed="false">
      <c r="A1687" s="4" t="s">
        <v>167</v>
      </c>
      <c r="B1687" s="4" t="s">
        <v>1890</v>
      </c>
      <c r="C1687" s="4" t="s">
        <v>1890</v>
      </c>
      <c r="D1687" s="12" t="n">
        <v>2024</v>
      </c>
      <c r="E1687" s="4"/>
      <c r="F1687" s="4" t="s">
        <v>169</v>
      </c>
      <c r="G1687" s="4" t="s">
        <v>170</v>
      </c>
      <c r="H1687" s="4" t="s">
        <v>171</v>
      </c>
      <c r="I1687" s="4" t="s">
        <v>172</v>
      </c>
      <c r="J1687" s="4" t="s">
        <v>1890</v>
      </c>
      <c r="K1687" s="4" t="s">
        <v>99</v>
      </c>
      <c r="L1687" s="4" t="s">
        <v>100</v>
      </c>
      <c r="M1687" s="4"/>
      <c r="N1687" s="4"/>
      <c r="O1687" s="4"/>
      <c r="P1687" s="4"/>
      <c r="Q1687" s="4"/>
      <c r="R1687" s="4"/>
      <c r="S1687" s="13" t="n">
        <v>8542.76</v>
      </c>
      <c r="T1687" s="4" t="s">
        <v>173</v>
      </c>
      <c r="U1687" s="14" t="n">
        <f aca="false">IF(OR($S1687="",PARAMETROS!$B$4=""),"",$S1687*PARAMETROS!$B$4)</f>
        <v>49633.4356</v>
      </c>
      <c r="V1687" s="13" t="n">
        <v>0</v>
      </c>
      <c r="W1687" s="4"/>
      <c r="X1687" s="4"/>
      <c r="Y1687" s="4"/>
      <c r="Z1687" s="4"/>
      <c r="AA1687" s="4"/>
      <c r="AB1687" s="4"/>
      <c r="AC1687" s="4"/>
      <c r="AD1687" s="4"/>
      <c r="AE1687" s="4"/>
      <c r="AF1687" s="4"/>
      <c r="AG1687" s="4"/>
      <c r="AH1687" s="4"/>
      <c r="AI1687" s="4"/>
      <c r="AJ1687" s="4"/>
      <c r="AK1687" s="4"/>
      <c r="AL1687" s="4" t="s">
        <v>1856</v>
      </c>
      <c r="AM1687" s="4" t="s">
        <v>1700</v>
      </c>
    </row>
    <row r="1688" customFormat="false" ht="23.85" hidden="false" customHeight="false" outlineLevel="0" collapsed="false">
      <c r="A1688" s="4" t="s">
        <v>167</v>
      </c>
      <c r="B1688" s="4" t="s">
        <v>1891</v>
      </c>
      <c r="C1688" s="4" t="s">
        <v>1891</v>
      </c>
      <c r="D1688" s="12" t="n">
        <v>2024</v>
      </c>
      <c r="E1688" s="4"/>
      <c r="F1688" s="4" t="s">
        <v>169</v>
      </c>
      <c r="G1688" s="4" t="s">
        <v>170</v>
      </c>
      <c r="H1688" s="4" t="s">
        <v>171</v>
      </c>
      <c r="I1688" s="4" t="s">
        <v>172</v>
      </c>
      <c r="J1688" s="4" t="s">
        <v>1891</v>
      </c>
      <c r="K1688" s="4" t="s">
        <v>99</v>
      </c>
      <c r="L1688" s="4" t="s">
        <v>100</v>
      </c>
      <c r="M1688" s="4"/>
      <c r="N1688" s="4"/>
      <c r="O1688" s="4"/>
      <c r="P1688" s="4"/>
      <c r="Q1688" s="4"/>
      <c r="R1688" s="4"/>
      <c r="S1688" s="13" t="n">
        <v>615.49</v>
      </c>
      <c r="T1688" s="4" t="s">
        <v>173</v>
      </c>
      <c r="U1688" s="14" t="n">
        <f aca="false">IF(OR($S1688="",PARAMETROS!$B$4=""),"",$S1688*PARAMETROS!$B$4)</f>
        <v>3575.9969</v>
      </c>
      <c r="V1688" s="13" t="n">
        <v>0</v>
      </c>
      <c r="W1688" s="4"/>
      <c r="X1688" s="4"/>
      <c r="Y1688" s="4"/>
      <c r="Z1688" s="4"/>
      <c r="AA1688" s="4"/>
      <c r="AB1688" s="4"/>
      <c r="AC1688" s="4"/>
      <c r="AD1688" s="4"/>
      <c r="AE1688" s="4"/>
      <c r="AF1688" s="4"/>
      <c r="AG1688" s="4"/>
      <c r="AH1688" s="4"/>
      <c r="AI1688" s="4"/>
      <c r="AJ1688" s="4"/>
      <c r="AK1688" s="4"/>
      <c r="AL1688" s="4" t="s">
        <v>1856</v>
      </c>
      <c r="AM1688" s="4" t="s">
        <v>1702</v>
      </c>
    </row>
    <row r="1689" customFormat="false" ht="15" hidden="false" customHeight="false" outlineLevel="0" collapsed="false">
      <c r="A1689" s="4" t="s">
        <v>167</v>
      </c>
      <c r="B1689" s="4" t="s">
        <v>1892</v>
      </c>
      <c r="C1689" s="4" t="s">
        <v>1892</v>
      </c>
      <c r="D1689" s="12" t="n">
        <v>2024</v>
      </c>
      <c r="E1689" s="4"/>
      <c r="F1689" s="4" t="s">
        <v>169</v>
      </c>
      <c r="G1689" s="4" t="s">
        <v>170</v>
      </c>
      <c r="H1689" s="4" t="s">
        <v>171</v>
      </c>
      <c r="I1689" s="4" t="s">
        <v>172</v>
      </c>
      <c r="J1689" s="4" t="s">
        <v>1892</v>
      </c>
      <c r="K1689" s="4" t="s">
        <v>99</v>
      </c>
      <c r="L1689" s="4" t="s">
        <v>100</v>
      </c>
      <c r="M1689" s="4"/>
      <c r="N1689" s="4"/>
      <c r="O1689" s="4"/>
      <c r="P1689" s="4"/>
      <c r="Q1689" s="4"/>
      <c r="R1689" s="4"/>
      <c r="S1689" s="13" t="n">
        <v>504.06</v>
      </c>
      <c r="T1689" s="4" t="s">
        <v>173</v>
      </c>
      <c r="U1689" s="14" t="n">
        <f aca="false">IF(OR($S1689="",PARAMETROS!$B$4=""),"",$S1689*PARAMETROS!$B$4)</f>
        <v>2928.5886</v>
      </c>
      <c r="V1689" s="13" t="n">
        <v>0</v>
      </c>
      <c r="W1689" s="4"/>
      <c r="X1689" s="4"/>
      <c r="Y1689" s="4"/>
      <c r="Z1689" s="4"/>
      <c r="AA1689" s="4"/>
      <c r="AB1689" s="4"/>
      <c r="AC1689" s="4"/>
      <c r="AD1689" s="4"/>
      <c r="AE1689" s="4"/>
      <c r="AF1689" s="4"/>
      <c r="AG1689" s="4"/>
      <c r="AH1689" s="4"/>
      <c r="AI1689" s="4"/>
      <c r="AJ1689" s="4"/>
      <c r="AK1689" s="4"/>
      <c r="AL1689" s="4" t="s">
        <v>1856</v>
      </c>
      <c r="AM1689" s="4" t="s">
        <v>1893</v>
      </c>
    </row>
    <row r="1690" customFormat="false" ht="23.85" hidden="false" customHeight="false" outlineLevel="0" collapsed="false">
      <c r="A1690" s="4" t="s">
        <v>167</v>
      </c>
      <c r="B1690" s="4" t="s">
        <v>1894</v>
      </c>
      <c r="C1690" s="4" t="s">
        <v>1894</v>
      </c>
      <c r="D1690" s="12" t="n">
        <v>2024</v>
      </c>
      <c r="E1690" s="4"/>
      <c r="F1690" s="4" t="s">
        <v>169</v>
      </c>
      <c r="G1690" s="4" t="s">
        <v>170</v>
      </c>
      <c r="H1690" s="4" t="s">
        <v>171</v>
      </c>
      <c r="I1690" s="4" t="s">
        <v>172</v>
      </c>
      <c r="J1690" s="4" t="s">
        <v>1894</v>
      </c>
      <c r="K1690" s="4" t="s">
        <v>99</v>
      </c>
      <c r="L1690" s="4" t="s">
        <v>100</v>
      </c>
      <c r="M1690" s="4"/>
      <c r="N1690" s="4"/>
      <c r="O1690" s="4"/>
      <c r="P1690" s="4"/>
      <c r="Q1690" s="4"/>
      <c r="R1690" s="4"/>
      <c r="S1690" s="13" t="n">
        <v>5.03</v>
      </c>
      <c r="T1690" s="4" t="s">
        <v>173</v>
      </c>
      <c r="U1690" s="14" t="n">
        <f aca="false">IF(OR($S1690="",PARAMETROS!$B$4=""),"",$S1690*PARAMETROS!$B$4)</f>
        <v>29.2243</v>
      </c>
      <c r="V1690" s="13" t="n">
        <v>0</v>
      </c>
      <c r="W1690" s="4"/>
      <c r="X1690" s="4"/>
      <c r="Y1690" s="4"/>
      <c r="Z1690" s="4"/>
      <c r="AA1690" s="4"/>
      <c r="AB1690" s="4"/>
      <c r="AC1690" s="4"/>
      <c r="AD1690" s="4"/>
      <c r="AE1690" s="4"/>
      <c r="AF1690" s="4"/>
      <c r="AG1690" s="4"/>
      <c r="AH1690" s="4"/>
      <c r="AI1690" s="4"/>
      <c r="AJ1690" s="4"/>
      <c r="AK1690" s="4"/>
      <c r="AL1690" s="4" t="s">
        <v>1856</v>
      </c>
      <c r="AM1690" s="4" t="s">
        <v>205</v>
      </c>
    </row>
    <row r="1691" customFormat="false" ht="23.85" hidden="false" customHeight="false" outlineLevel="0" collapsed="false">
      <c r="A1691" s="4" t="s">
        <v>167</v>
      </c>
      <c r="B1691" s="4" t="s">
        <v>1895</v>
      </c>
      <c r="C1691" s="4" t="s">
        <v>1895</v>
      </c>
      <c r="D1691" s="12" t="n">
        <v>2024</v>
      </c>
      <c r="E1691" s="4"/>
      <c r="F1691" s="4" t="s">
        <v>169</v>
      </c>
      <c r="G1691" s="4" t="s">
        <v>170</v>
      </c>
      <c r="H1691" s="4" t="s">
        <v>171</v>
      </c>
      <c r="I1691" s="4" t="s">
        <v>172</v>
      </c>
      <c r="J1691" s="4" t="s">
        <v>1895</v>
      </c>
      <c r="K1691" s="4" t="s">
        <v>99</v>
      </c>
      <c r="L1691" s="4" t="s">
        <v>100</v>
      </c>
      <c r="M1691" s="4"/>
      <c r="N1691" s="4"/>
      <c r="O1691" s="4"/>
      <c r="P1691" s="4"/>
      <c r="Q1691" s="4"/>
      <c r="R1691" s="4"/>
      <c r="S1691" s="13" t="n">
        <v>2888.46</v>
      </c>
      <c r="T1691" s="4" t="s">
        <v>173</v>
      </c>
      <c r="U1691" s="14" t="n">
        <f aca="false">IF(OR($S1691="",PARAMETROS!$B$4=""),"",$S1691*PARAMETROS!$B$4)</f>
        <v>16781.9526</v>
      </c>
      <c r="V1691" s="13" t="n">
        <v>0</v>
      </c>
      <c r="W1691" s="4"/>
      <c r="X1691" s="4"/>
      <c r="Y1691" s="4"/>
      <c r="Z1691" s="4"/>
      <c r="AA1691" s="4"/>
      <c r="AB1691" s="4"/>
      <c r="AC1691" s="4"/>
      <c r="AD1691" s="4"/>
      <c r="AE1691" s="4"/>
      <c r="AF1691" s="4"/>
      <c r="AG1691" s="4"/>
      <c r="AH1691" s="4"/>
      <c r="AI1691" s="4"/>
      <c r="AJ1691" s="4"/>
      <c r="AK1691" s="4"/>
      <c r="AL1691" s="4" t="s">
        <v>1856</v>
      </c>
      <c r="AM1691" s="4" t="s">
        <v>1818</v>
      </c>
    </row>
    <row r="1692" customFormat="false" ht="23.85" hidden="false" customHeight="false" outlineLevel="0" collapsed="false">
      <c r="A1692" s="4" t="s">
        <v>167</v>
      </c>
      <c r="B1692" s="4" t="s">
        <v>1896</v>
      </c>
      <c r="C1692" s="4" t="s">
        <v>1896</v>
      </c>
      <c r="D1692" s="12" t="n">
        <v>2024</v>
      </c>
      <c r="E1692" s="4"/>
      <c r="F1692" s="4" t="s">
        <v>169</v>
      </c>
      <c r="G1692" s="4" t="s">
        <v>170</v>
      </c>
      <c r="H1692" s="4" t="s">
        <v>171</v>
      </c>
      <c r="I1692" s="4" t="s">
        <v>172</v>
      </c>
      <c r="J1692" s="4" t="s">
        <v>1896</v>
      </c>
      <c r="K1692" s="4" t="s">
        <v>99</v>
      </c>
      <c r="L1692" s="4" t="s">
        <v>100</v>
      </c>
      <c r="M1692" s="4"/>
      <c r="N1692" s="4"/>
      <c r="O1692" s="4"/>
      <c r="P1692" s="4"/>
      <c r="Q1692" s="4"/>
      <c r="R1692" s="4"/>
      <c r="S1692" s="13" t="n">
        <v>2075.59</v>
      </c>
      <c r="T1692" s="4" t="s">
        <v>173</v>
      </c>
      <c r="U1692" s="14" t="n">
        <f aca="false">IF(OR($S1692="",PARAMETROS!$B$4=""),"",$S1692*PARAMETROS!$B$4)</f>
        <v>12059.1779</v>
      </c>
      <c r="V1692" s="13" t="n">
        <v>0</v>
      </c>
      <c r="W1692" s="4"/>
      <c r="X1692" s="4"/>
      <c r="Y1692" s="4"/>
      <c r="Z1692" s="4"/>
      <c r="AA1692" s="4"/>
      <c r="AB1692" s="4"/>
      <c r="AC1692" s="4"/>
      <c r="AD1692" s="4"/>
      <c r="AE1692" s="4"/>
      <c r="AF1692" s="4"/>
      <c r="AG1692" s="4"/>
      <c r="AH1692" s="4"/>
      <c r="AI1692" s="4"/>
      <c r="AJ1692" s="4"/>
      <c r="AK1692" s="4"/>
      <c r="AL1692" s="4" t="s">
        <v>1856</v>
      </c>
      <c r="AM1692" s="4" t="s">
        <v>1820</v>
      </c>
    </row>
    <row r="1693" customFormat="false" ht="23.85" hidden="false" customHeight="false" outlineLevel="0" collapsed="false">
      <c r="A1693" s="4" t="s">
        <v>167</v>
      </c>
      <c r="B1693" s="4" t="s">
        <v>1897</v>
      </c>
      <c r="C1693" s="4" t="s">
        <v>1897</v>
      </c>
      <c r="D1693" s="12" t="n">
        <v>2024</v>
      </c>
      <c r="E1693" s="4"/>
      <c r="F1693" s="4" t="s">
        <v>169</v>
      </c>
      <c r="G1693" s="4" t="s">
        <v>170</v>
      </c>
      <c r="H1693" s="4" t="s">
        <v>171</v>
      </c>
      <c r="I1693" s="4" t="s">
        <v>172</v>
      </c>
      <c r="J1693" s="4" t="s">
        <v>1897</v>
      </c>
      <c r="K1693" s="4" t="s">
        <v>99</v>
      </c>
      <c r="L1693" s="4" t="s">
        <v>100</v>
      </c>
      <c r="M1693" s="4"/>
      <c r="N1693" s="4"/>
      <c r="O1693" s="4"/>
      <c r="P1693" s="4"/>
      <c r="Q1693" s="4"/>
      <c r="R1693" s="4"/>
      <c r="S1693" s="13" t="n">
        <v>2995.39</v>
      </c>
      <c r="T1693" s="4" t="s">
        <v>173</v>
      </c>
      <c r="U1693" s="14" t="n">
        <f aca="false">IF(OR($S1693="",PARAMETROS!$B$4=""),"",$S1693*PARAMETROS!$B$4)</f>
        <v>17403.2159</v>
      </c>
      <c r="V1693" s="13" t="n">
        <v>0</v>
      </c>
      <c r="W1693" s="4"/>
      <c r="X1693" s="4"/>
      <c r="Y1693" s="4"/>
      <c r="Z1693" s="4"/>
      <c r="AA1693" s="4"/>
      <c r="AB1693" s="4"/>
      <c r="AC1693" s="4"/>
      <c r="AD1693" s="4"/>
      <c r="AE1693" s="4"/>
      <c r="AF1693" s="4"/>
      <c r="AG1693" s="4"/>
      <c r="AH1693" s="4"/>
      <c r="AI1693" s="4"/>
      <c r="AJ1693" s="4"/>
      <c r="AK1693" s="4"/>
      <c r="AL1693" s="4" t="s">
        <v>1856</v>
      </c>
      <c r="AM1693" s="4" t="s">
        <v>1868</v>
      </c>
    </row>
    <row r="1694" customFormat="false" ht="23.85" hidden="false" customHeight="false" outlineLevel="0" collapsed="false">
      <c r="A1694" s="4" t="s">
        <v>167</v>
      </c>
      <c r="B1694" s="4" t="s">
        <v>1898</v>
      </c>
      <c r="C1694" s="4" t="s">
        <v>1898</v>
      </c>
      <c r="D1694" s="12" t="n">
        <v>2024</v>
      </c>
      <c r="E1694" s="4"/>
      <c r="F1694" s="4" t="s">
        <v>169</v>
      </c>
      <c r="G1694" s="4" t="s">
        <v>170</v>
      </c>
      <c r="H1694" s="4" t="s">
        <v>171</v>
      </c>
      <c r="I1694" s="4" t="s">
        <v>172</v>
      </c>
      <c r="J1694" s="4" t="s">
        <v>1898</v>
      </c>
      <c r="K1694" s="4" t="s">
        <v>99</v>
      </c>
      <c r="L1694" s="4" t="s">
        <v>100</v>
      </c>
      <c r="M1694" s="4"/>
      <c r="N1694" s="4"/>
      <c r="O1694" s="4"/>
      <c r="P1694" s="4"/>
      <c r="Q1694" s="4"/>
      <c r="R1694" s="4"/>
      <c r="S1694" s="13" t="n">
        <v>0</v>
      </c>
      <c r="T1694" s="4" t="s">
        <v>173</v>
      </c>
      <c r="U1694" s="14" t="n">
        <f aca="false">IF(OR($S1694="",PARAMETROS!$B$4=""),"",$S1694*PARAMETROS!$B$4)</f>
        <v>0</v>
      </c>
      <c r="V1694" s="13" t="n">
        <v>0</v>
      </c>
      <c r="W1694" s="4"/>
      <c r="X1694" s="4"/>
      <c r="Y1694" s="4"/>
      <c r="Z1694" s="4"/>
      <c r="AA1694" s="4"/>
      <c r="AB1694" s="4"/>
      <c r="AC1694" s="4"/>
      <c r="AD1694" s="4"/>
      <c r="AE1694" s="4"/>
      <c r="AF1694" s="4"/>
      <c r="AG1694" s="4"/>
      <c r="AH1694" s="4"/>
      <c r="AI1694" s="4"/>
      <c r="AJ1694" s="4"/>
      <c r="AK1694" s="4"/>
      <c r="AL1694" s="4" t="s">
        <v>1856</v>
      </c>
      <c r="AM1694" s="4" t="s">
        <v>205</v>
      </c>
    </row>
    <row r="1695" customFormat="false" ht="23.85" hidden="false" customHeight="false" outlineLevel="0" collapsed="false">
      <c r="A1695" s="4" t="s">
        <v>167</v>
      </c>
      <c r="B1695" s="4" t="s">
        <v>1899</v>
      </c>
      <c r="C1695" s="4" t="s">
        <v>1899</v>
      </c>
      <c r="D1695" s="12" t="n">
        <v>2024</v>
      </c>
      <c r="E1695" s="4"/>
      <c r="F1695" s="4" t="s">
        <v>169</v>
      </c>
      <c r="G1695" s="4" t="s">
        <v>170</v>
      </c>
      <c r="H1695" s="4" t="s">
        <v>171</v>
      </c>
      <c r="I1695" s="4" t="s">
        <v>172</v>
      </c>
      <c r="J1695" s="4" t="s">
        <v>1899</v>
      </c>
      <c r="K1695" s="4" t="s">
        <v>99</v>
      </c>
      <c r="L1695" s="4" t="s">
        <v>100</v>
      </c>
      <c r="M1695" s="4"/>
      <c r="N1695" s="4"/>
      <c r="O1695" s="4"/>
      <c r="P1695" s="4"/>
      <c r="Q1695" s="4"/>
      <c r="R1695" s="4"/>
      <c r="S1695" s="13" t="n">
        <v>1208.01</v>
      </c>
      <c r="T1695" s="4" t="s">
        <v>173</v>
      </c>
      <c r="U1695" s="14" t="n">
        <f aca="false">IF(OR($S1695="",PARAMETROS!$B$4=""),"",$S1695*PARAMETROS!$B$4)</f>
        <v>7018.5381</v>
      </c>
      <c r="V1695" s="13" t="n">
        <v>0</v>
      </c>
      <c r="W1695" s="4"/>
      <c r="X1695" s="4"/>
      <c r="Y1695" s="4"/>
      <c r="Z1695" s="4"/>
      <c r="AA1695" s="4"/>
      <c r="AB1695" s="4"/>
      <c r="AC1695" s="4"/>
      <c r="AD1695" s="4"/>
      <c r="AE1695" s="4"/>
      <c r="AF1695" s="4"/>
      <c r="AG1695" s="4"/>
      <c r="AH1695" s="4"/>
      <c r="AI1695" s="4"/>
      <c r="AJ1695" s="4"/>
      <c r="AK1695" s="4"/>
      <c r="AL1695" s="4" t="s">
        <v>1856</v>
      </c>
      <c r="AM1695" s="4" t="s">
        <v>1900</v>
      </c>
    </row>
    <row r="1696" customFormat="false" ht="23.85" hidden="false" customHeight="false" outlineLevel="0" collapsed="false">
      <c r="A1696" s="4" t="s">
        <v>167</v>
      </c>
      <c r="B1696" s="4" t="s">
        <v>1901</v>
      </c>
      <c r="C1696" s="4" t="s">
        <v>1901</v>
      </c>
      <c r="D1696" s="12" t="n">
        <v>2024</v>
      </c>
      <c r="E1696" s="4"/>
      <c r="F1696" s="4" t="s">
        <v>169</v>
      </c>
      <c r="G1696" s="4" t="s">
        <v>170</v>
      </c>
      <c r="H1696" s="4" t="s">
        <v>171</v>
      </c>
      <c r="I1696" s="4" t="s">
        <v>172</v>
      </c>
      <c r="J1696" s="4" t="s">
        <v>1901</v>
      </c>
      <c r="K1696" s="4" t="s">
        <v>101</v>
      </c>
      <c r="L1696" s="4" t="s">
        <v>102</v>
      </c>
      <c r="M1696" s="4"/>
      <c r="N1696" s="4"/>
      <c r="O1696" s="4"/>
      <c r="P1696" s="4"/>
      <c r="Q1696" s="4"/>
      <c r="R1696" s="4"/>
      <c r="S1696" s="13" t="n">
        <v>0</v>
      </c>
      <c r="T1696" s="4" t="s">
        <v>173</v>
      </c>
      <c r="U1696" s="14" t="n">
        <f aca="false">IF(OR($S1696="",PARAMETROS!$B$4=""),"",$S1696*PARAMETROS!$B$4)</f>
        <v>0</v>
      </c>
      <c r="V1696" s="13" t="n">
        <v>0</v>
      </c>
      <c r="W1696" s="4"/>
      <c r="X1696" s="4"/>
      <c r="Y1696" s="4"/>
      <c r="Z1696" s="4"/>
      <c r="AA1696" s="4"/>
      <c r="AB1696" s="4"/>
      <c r="AC1696" s="4"/>
      <c r="AD1696" s="4"/>
      <c r="AE1696" s="4"/>
      <c r="AF1696" s="4"/>
      <c r="AG1696" s="4"/>
      <c r="AH1696" s="4"/>
      <c r="AI1696" s="4"/>
      <c r="AJ1696" s="4"/>
      <c r="AK1696" s="4"/>
      <c r="AL1696" s="4" t="s">
        <v>1856</v>
      </c>
      <c r="AM1696" s="4" t="s">
        <v>205</v>
      </c>
    </row>
    <row r="1697" customFormat="false" ht="23.85" hidden="false" customHeight="false" outlineLevel="0" collapsed="false">
      <c r="A1697" s="4" t="s">
        <v>167</v>
      </c>
      <c r="B1697" s="4" t="s">
        <v>1902</v>
      </c>
      <c r="C1697" s="4" t="s">
        <v>1902</v>
      </c>
      <c r="D1697" s="12" t="n">
        <v>2024</v>
      </c>
      <c r="E1697" s="4"/>
      <c r="F1697" s="4" t="s">
        <v>169</v>
      </c>
      <c r="G1697" s="4" t="s">
        <v>170</v>
      </c>
      <c r="H1697" s="4" t="s">
        <v>171</v>
      </c>
      <c r="I1697" s="4" t="s">
        <v>172</v>
      </c>
      <c r="J1697" s="4" t="s">
        <v>1902</v>
      </c>
      <c r="K1697" s="4" t="s">
        <v>101</v>
      </c>
      <c r="L1697" s="4" t="s">
        <v>102</v>
      </c>
      <c r="M1697" s="4"/>
      <c r="N1697" s="4"/>
      <c r="O1697" s="4"/>
      <c r="P1697" s="4"/>
      <c r="Q1697" s="4"/>
      <c r="R1697" s="4"/>
      <c r="S1697" s="13" t="n">
        <v>2323.55</v>
      </c>
      <c r="T1697" s="4" t="s">
        <v>173</v>
      </c>
      <c r="U1697" s="14" t="n">
        <f aca="false">IF(OR($S1697="",PARAMETROS!$B$4=""),"",$S1697*PARAMETROS!$B$4)</f>
        <v>13499.8255</v>
      </c>
      <c r="V1697" s="13" t="n">
        <v>0</v>
      </c>
      <c r="W1697" s="4"/>
      <c r="X1697" s="4"/>
      <c r="Y1697" s="4"/>
      <c r="Z1697" s="4"/>
      <c r="AA1697" s="4"/>
      <c r="AB1697" s="4"/>
      <c r="AC1697" s="4"/>
      <c r="AD1697" s="4"/>
      <c r="AE1697" s="4"/>
      <c r="AF1697" s="4"/>
      <c r="AG1697" s="4"/>
      <c r="AH1697" s="4"/>
      <c r="AI1697" s="4"/>
      <c r="AJ1697" s="4"/>
      <c r="AK1697" s="4"/>
      <c r="AL1697" s="4" t="s">
        <v>1856</v>
      </c>
      <c r="AM1697" s="4" t="s">
        <v>205</v>
      </c>
    </row>
    <row r="1698" customFormat="false" ht="23.85" hidden="false" customHeight="false" outlineLevel="0" collapsed="false">
      <c r="A1698" s="4" t="s">
        <v>167</v>
      </c>
      <c r="B1698" s="4" t="s">
        <v>1903</v>
      </c>
      <c r="C1698" s="4" t="s">
        <v>1903</v>
      </c>
      <c r="D1698" s="12" t="n">
        <v>2024</v>
      </c>
      <c r="E1698" s="4"/>
      <c r="F1698" s="4" t="s">
        <v>169</v>
      </c>
      <c r="G1698" s="4" t="s">
        <v>170</v>
      </c>
      <c r="H1698" s="4" t="s">
        <v>171</v>
      </c>
      <c r="I1698" s="4" t="s">
        <v>172</v>
      </c>
      <c r="J1698" s="4" t="s">
        <v>1903</v>
      </c>
      <c r="K1698" s="4" t="s">
        <v>101</v>
      </c>
      <c r="L1698" s="4" t="s">
        <v>102</v>
      </c>
      <c r="M1698" s="4"/>
      <c r="N1698" s="4"/>
      <c r="O1698" s="4"/>
      <c r="P1698" s="4"/>
      <c r="Q1698" s="4"/>
      <c r="R1698" s="4"/>
      <c r="S1698" s="13" t="n">
        <v>21.93</v>
      </c>
      <c r="T1698" s="4" t="s">
        <v>173</v>
      </c>
      <c r="U1698" s="14" t="n">
        <f aca="false">IF(OR($S1698="",PARAMETROS!$B$4=""),"",$S1698*PARAMETROS!$B$4)</f>
        <v>127.4133</v>
      </c>
      <c r="V1698" s="13" t="n">
        <v>0</v>
      </c>
      <c r="W1698" s="4"/>
      <c r="X1698" s="4"/>
      <c r="Y1698" s="4"/>
      <c r="Z1698" s="4"/>
      <c r="AA1698" s="4"/>
      <c r="AB1698" s="4"/>
      <c r="AC1698" s="4"/>
      <c r="AD1698" s="4"/>
      <c r="AE1698" s="4"/>
      <c r="AF1698" s="4"/>
      <c r="AG1698" s="4"/>
      <c r="AH1698" s="4"/>
      <c r="AI1698" s="4"/>
      <c r="AJ1698" s="4"/>
      <c r="AK1698" s="4"/>
      <c r="AL1698" s="4" t="s">
        <v>1856</v>
      </c>
      <c r="AM1698" s="4" t="s">
        <v>205</v>
      </c>
    </row>
    <row r="1699" customFormat="false" ht="23.85" hidden="false" customHeight="false" outlineLevel="0" collapsed="false">
      <c r="A1699" s="4" t="s">
        <v>167</v>
      </c>
      <c r="B1699" s="4" t="s">
        <v>1904</v>
      </c>
      <c r="C1699" s="4" t="s">
        <v>1904</v>
      </c>
      <c r="D1699" s="12" t="n">
        <v>2024</v>
      </c>
      <c r="E1699" s="4"/>
      <c r="F1699" s="4" t="s">
        <v>169</v>
      </c>
      <c r="G1699" s="4" t="s">
        <v>170</v>
      </c>
      <c r="H1699" s="4" t="s">
        <v>171</v>
      </c>
      <c r="I1699" s="4" t="s">
        <v>172</v>
      </c>
      <c r="J1699" s="4" t="s">
        <v>1904</v>
      </c>
      <c r="K1699" s="4" t="s">
        <v>101</v>
      </c>
      <c r="L1699" s="4" t="s">
        <v>102</v>
      </c>
      <c r="M1699" s="4"/>
      <c r="N1699" s="4"/>
      <c r="O1699" s="4"/>
      <c r="P1699" s="4"/>
      <c r="Q1699" s="4"/>
      <c r="R1699" s="4"/>
      <c r="S1699" s="13" t="n">
        <v>191.48</v>
      </c>
      <c r="T1699" s="4" t="s">
        <v>173</v>
      </c>
      <c r="U1699" s="14" t="n">
        <f aca="false">IF(OR($S1699="",PARAMETROS!$B$4=""),"",$S1699*PARAMETROS!$B$4)</f>
        <v>1112.4988</v>
      </c>
      <c r="V1699" s="13" t="n">
        <v>0</v>
      </c>
      <c r="W1699" s="4"/>
      <c r="X1699" s="4"/>
      <c r="Y1699" s="4"/>
      <c r="Z1699" s="4"/>
      <c r="AA1699" s="4"/>
      <c r="AB1699" s="4"/>
      <c r="AC1699" s="4"/>
      <c r="AD1699" s="4"/>
      <c r="AE1699" s="4"/>
      <c r="AF1699" s="4"/>
      <c r="AG1699" s="4"/>
      <c r="AH1699" s="4"/>
      <c r="AI1699" s="4"/>
      <c r="AJ1699" s="4"/>
      <c r="AK1699" s="4"/>
      <c r="AL1699" s="4" t="s">
        <v>1856</v>
      </c>
      <c r="AM1699" s="4" t="s">
        <v>205</v>
      </c>
    </row>
    <row r="1700" customFormat="false" ht="23.85" hidden="false" customHeight="false" outlineLevel="0" collapsed="false">
      <c r="A1700" s="4" t="s">
        <v>167</v>
      </c>
      <c r="B1700" s="4" t="s">
        <v>1905</v>
      </c>
      <c r="C1700" s="4" t="s">
        <v>1905</v>
      </c>
      <c r="D1700" s="12" t="n">
        <v>2024</v>
      </c>
      <c r="E1700" s="4"/>
      <c r="F1700" s="4" t="s">
        <v>169</v>
      </c>
      <c r="G1700" s="4" t="s">
        <v>170</v>
      </c>
      <c r="H1700" s="4" t="s">
        <v>171</v>
      </c>
      <c r="I1700" s="4" t="s">
        <v>172</v>
      </c>
      <c r="J1700" s="4" t="s">
        <v>1905</v>
      </c>
      <c r="K1700" s="4" t="s">
        <v>101</v>
      </c>
      <c r="L1700" s="4" t="s">
        <v>102</v>
      </c>
      <c r="M1700" s="4"/>
      <c r="N1700" s="4"/>
      <c r="O1700" s="4"/>
      <c r="P1700" s="4"/>
      <c r="Q1700" s="4"/>
      <c r="R1700" s="4"/>
      <c r="S1700" s="13" t="n">
        <v>0</v>
      </c>
      <c r="T1700" s="4" t="s">
        <v>173</v>
      </c>
      <c r="U1700" s="14" t="n">
        <f aca="false">IF(OR($S1700="",PARAMETROS!$B$4=""),"",$S1700*PARAMETROS!$B$4)</f>
        <v>0</v>
      </c>
      <c r="V1700" s="13" t="n">
        <v>0</v>
      </c>
      <c r="W1700" s="4"/>
      <c r="X1700" s="4"/>
      <c r="Y1700" s="4"/>
      <c r="Z1700" s="4"/>
      <c r="AA1700" s="4"/>
      <c r="AB1700" s="4"/>
      <c r="AC1700" s="4"/>
      <c r="AD1700" s="4"/>
      <c r="AE1700" s="4"/>
      <c r="AF1700" s="4"/>
      <c r="AG1700" s="4"/>
      <c r="AH1700" s="4"/>
      <c r="AI1700" s="4"/>
      <c r="AJ1700" s="4"/>
      <c r="AK1700" s="4"/>
      <c r="AL1700" s="4" t="s">
        <v>1856</v>
      </c>
      <c r="AM1700" s="4" t="s">
        <v>1698</v>
      </c>
    </row>
    <row r="1701" customFormat="false" ht="23.85" hidden="false" customHeight="false" outlineLevel="0" collapsed="false">
      <c r="A1701" s="4" t="s">
        <v>167</v>
      </c>
      <c r="B1701" s="4" t="s">
        <v>1906</v>
      </c>
      <c r="C1701" s="4" t="s">
        <v>1906</v>
      </c>
      <c r="D1701" s="12" t="n">
        <v>2024</v>
      </c>
      <c r="E1701" s="4"/>
      <c r="F1701" s="4" t="s">
        <v>169</v>
      </c>
      <c r="G1701" s="4" t="s">
        <v>170</v>
      </c>
      <c r="H1701" s="4" t="s">
        <v>171</v>
      </c>
      <c r="I1701" s="4" t="s">
        <v>172</v>
      </c>
      <c r="J1701" s="4" t="s">
        <v>1906</v>
      </c>
      <c r="K1701" s="4" t="s">
        <v>101</v>
      </c>
      <c r="L1701" s="4" t="s">
        <v>102</v>
      </c>
      <c r="M1701" s="4"/>
      <c r="N1701" s="4"/>
      <c r="O1701" s="4"/>
      <c r="P1701" s="4"/>
      <c r="Q1701" s="4"/>
      <c r="R1701" s="4"/>
      <c r="S1701" s="13" t="n">
        <v>-1242.06</v>
      </c>
      <c r="T1701" s="4" t="s">
        <v>173</v>
      </c>
      <c r="U1701" s="14" t="n">
        <f aca="false">IF(OR($S1701="",PARAMETROS!$B$4=""),"",$S1701*PARAMETROS!$B$4)</f>
        <v>-7216.3686</v>
      </c>
      <c r="V1701" s="13" t="n">
        <v>0</v>
      </c>
      <c r="W1701" s="4"/>
      <c r="X1701" s="4"/>
      <c r="Y1701" s="4"/>
      <c r="Z1701" s="4"/>
      <c r="AA1701" s="4"/>
      <c r="AB1701" s="4"/>
      <c r="AC1701" s="4"/>
      <c r="AD1701" s="4"/>
      <c r="AE1701" s="4"/>
      <c r="AF1701" s="4"/>
      <c r="AG1701" s="4"/>
      <c r="AH1701" s="4"/>
      <c r="AI1701" s="4"/>
      <c r="AJ1701" s="4"/>
      <c r="AK1701" s="4"/>
      <c r="AL1701" s="4" t="s">
        <v>1856</v>
      </c>
      <c r="AM1701" s="4" t="s">
        <v>1700</v>
      </c>
    </row>
    <row r="1702" customFormat="false" ht="23.85" hidden="false" customHeight="false" outlineLevel="0" collapsed="false">
      <c r="A1702" s="4" t="s">
        <v>167</v>
      </c>
      <c r="B1702" s="4" t="s">
        <v>1907</v>
      </c>
      <c r="C1702" s="4" t="s">
        <v>1907</v>
      </c>
      <c r="D1702" s="12" t="n">
        <v>2024</v>
      </c>
      <c r="E1702" s="4"/>
      <c r="F1702" s="4" t="s">
        <v>169</v>
      </c>
      <c r="G1702" s="4" t="s">
        <v>170</v>
      </c>
      <c r="H1702" s="4" t="s">
        <v>171</v>
      </c>
      <c r="I1702" s="4" t="s">
        <v>172</v>
      </c>
      <c r="J1702" s="4" t="s">
        <v>1907</v>
      </c>
      <c r="K1702" s="4" t="s">
        <v>101</v>
      </c>
      <c r="L1702" s="4" t="s">
        <v>102</v>
      </c>
      <c r="M1702" s="4"/>
      <c r="N1702" s="4"/>
      <c r="O1702" s="4"/>
      <c r="P1702" s="4"/>
      <c r="Q1702" s="4"/>
      <c r="R1702" s="4"/>
      <c r="S1702" s="13" t="n">
        <v>-1.6</v>
      </c>
      <c r="T1702" s="4" t="s">
        <v>173</v>
      </c>
      <c r="U1702" s="14" t="n">
        <f aca="false">IF(OR($S1702="",PARAMETROS!$B$4=""),"",$S1702*PARAMETROS!$B$4)</f>
        <v>-9.296</v>
      </c>
      <c r="V1702" s="13" t="n">
        <v>0</v>
      </c>
      <c r="W1702" s="4"/>
      <c r="X1702" s="4"/>
      <c r="Y1702" s="4"/>
      <c r="Z1702" s="4"/>
      <c r="AA1702" s="4"/>
      <c r="AB1702" s="4"/>
      <c r="AC1702" s="4"/>
      <c r="AD1702" s="4"/>
      <c r="AE1702" s="4"/>
      <c r="AF1702" s="4"/>
      <c r="AG1702" s="4"/>
      <c r="AH1702" s="4"/>
      <c r="AI1702" s="4"/>
      <c r="AJ1702" s="4"/>
      <c r="AK1702" s="4"/>
      <c r="AL1702" s="4" t="s">
        <v>1856</v>
      </c>
      <c r="AM1702" s="4" t="s">
        <v>1702</v>
      </c>
    </row>
    <row r="1703" customFormat="false" ht="23.85" hidden="false" customHeight="false" outlineLevel="0" collapsed="false">
      <c r="A1703" s="4" t="s">
        <v>167</v>
      </c>
      <c r="B1703" s="4" t="s">
        <v>1908</v>
      </c>
      <c r="C1703" s="4" t="s">
        <v>1908</v>
      </c>
      <c r="D1703" s="12" t="n">
        <v>2024</v>
      </c>
      <c r="E1703" s="4"/>
      <c r="F1703" s="4" t="s">
        <v>169</v>
      </c>
      <c r="G1703" s="4" t="s">
        <v>170</v>
      </c>
      <c r="H1703" s="4" t="s">
        <v>171</v>
      </c>
      <c r="I1703" s="4" t="s">
        <v>172</v>
      </c>
      <c r="J1703" s="4" t="s">
        <v>1908</v>
      </c>
      <c r="K1703" s="4" t="s">
        <v>101</v>
      </c>
      <c r="L1703" s="4" t="s">
        <v>102</v>
      </c>
      <c r="M1703" s="4"/>
      <c r="N1703" s="4"/>
      <c r="O1703" s="4"/>
      <c r="P1703" s="4"/>
      <c r="Q1703" s="4"/>
      <c r="R1703" s="4"/>
      <c r="S1703" s="13" t="n">
        <v>0</v>
      </c>
      <c r="T1703" s="4" t="s">
        <v>173</v>
      </c>
      <c r="U1703" s="14" t="n">
        <f aca="false">IF(OR($S1703="",PARAMETROS!$B$4=""),"",$S1703*PARAMETROS!$B$4)</f>
        <v>0</v>
      </c>
      <c r="V1703" s="13" t="n">
        <v>0</v>
      </c>
      <c r="W1703" s="4"/>
      <c r="X1703" s="4"/>
      <c r="Y1703" s="4"/>
      <c r="Z1703" s="4"/>
      <c r="AA1703" s="4"/>
      <c r="AB1703" s="4"/>
      <c r="AC1703" s="4"/>
      <c r="AD1703" s="4"/>
      <c r="AE1703" s="4"/>
      <c r="AF1703" s="4"/>
      <c r="AG1703" s="4"/>
      <c r="AH1703" s="4"/>
      <c r="AI1703" s="4"/>
      <c r="AJ1703" s="4"/>
      <c r="AK1703" s="4"/>
      <c r="AL1703" s="4" t="s">
        <v>1856</v>
      </c>
      <c r="AM1703" s="4" t="s">
        <v>1704</v>
      </c>
    </row>
    <row r="1704" customFormat="false" ht="23.85" hidden="false" customHeight="false" outlineLevel="0" collapsed="false">
      <c r="A1704" s="4" t="s">
        <v>167</v>
      </c>
      <c r="B1704" s="4" t="s">
        <v>1909</v>
      </c>
      <c r="C1704" s="4" t="s">
        <v>1909</v>
      </c>
      <c r="D1704" s="12" t="n">
        <v>2024</v>
      </c>
      <c r="E1704" s="4"/>
      <c r="F1704" s="4" t="s">
        <v>169</v>
      </c>
      <c r="G1704" s="4" t="s">
        <v>170</v>
      </c>
      <c r="H1704" s="4" t="s">
        <v>171</v>
      </c>
      <c r="I1704" s="4" t="s">
        <v>172</v>
      </c>
      <c r="J1704" s="4" t="s">
        <v>1909</v>
      </c>
      <c r="K1704" s="4" t="s">
        <v>101</v>
      </c>
      <c r="L1704" s="4" t="s">
        <v>102</v>
      </c>
      <c r="M1704" s="4"/>
      <c r="N1704" s="4"/>
      <c r="O1704" s="4"/>
      <c r="P1704" s="4"/>
      <c r="Q1704" s="4"/>
      <c r="R1704" s="4"/>
      <c r="S1704" s="13" t="n">
        <v>0</v>
      </c>
      <c r="T1704" s="4" t="s">
        <v>173</v>
      </c>
      <c r="U1704" s="14" t="n">
        <f aca="false">IF(OR($S1704="",PARAMETROS!$B$4=""),"",$S1704*PARAMETROS!$B$4)</f>
        <v>0</v>
      </c>
      <c r="V1704" s="13" t="n">
        <v>0</v>
      </c>
      <c r="W1704" s="4"/>
      <c r="X1704" s="4"/>
      <c r="Y1704" s="4"/>
      <c r="Z1704" s="4"/>
      <c r="AA1704" s="4"/>
      <c r="AB1704" s="4"/>
      <c r="AC1704" s="4"/>
      <c r="AD1704" s="4"/>
      <c r="AE1704" s="4"/>
      <c r="AF1704" s="4"/>
      <c r="AG1704" s="4"/>
      <c r="AH1704" s="4"/>
      <c r="AI1704" s="4"/>
      <c r="AJ1704" s="4"/>
      <c r="AK1704" s="4"/>
      <c r="AL1704" s="4" t="s">
        <v>1856</v>
      </c>
      <c r="AM1704" s="4" t="s">
        <v>205</v>
      </c>
    </row>
    <row r="1705" customFormat="false" ht="23.85" hidden="false" customHeight="false" outlineLevel="0" collapsed="false">
      <c r="A1705" s="4" t="s">
        <v>167</v>
      </c>
      <c r="B1705" s="4" t="s">
        <v>1910</v>
      </c>
      <c r="C1705" s="4" t="s">
        <v>1910</v>
      </c>
      <c r="D1705" s="12" t="n">
        <v>2024</v>
      </c>
      <c r="E1705" s="4"/>
      <c r="F1705" s="4" t="s">
        <v>169</v>
      </c>
      <c r="G1705" s="4" t="s">
        <v>170</v>
      </c>
      <c r="H1705" s="4" t="s">
        <v>171</v>
      </c>
      <c r="I1705" s="4" t="s">
        <v>172</v>
      </c>
      <c r="J1705" s="4" t="s">
        <v>1910</v>
      </c>
      <c r="K1705" s="4" t="s">
        <v>101</v>
      </c>
      <c r="L1705" s="4" t="s">
        <v>102</v>
      </c>
      <c r="M1705" s="4"/>
      <c r="N1705" s="4"/>
      <c r="O1705" s="4"/>
      <c r="P1705" s="4"/>
      <c r="Q1705" s="4"/>
      <c r="R1705" s="4"/>
      <c r="S1705" s="13" t="n">
        <v>0</v>
      </c>
      <c r="T1705" s="4" t="s">
        <v>173</v>
      </c>
      <c r="U1705" s="14" t="n">
        <f aca="false">IF(OR($S1705="",PARAMETROS!$B$4=""),"",$S1705*PARAMETROS!$B$4)</f>
        <v>0</v>
      </c>
      <c r="V1705" s="13" t="n">
        <v>0</v>
      </c>
      <c r="W1705" s="4"/>
      <c r="X1705" s="4"/>
      <c r="Y1705" s="4"/>
      <c r="Z1705" s="4"/>
      <c r="AA1705" s="4"/>
      <c r="AB1705" s="4"/>
      <c r="AC1705" s="4"/>
      <c r="AD1705" s="4"/>
      <c r="AE1705" s="4"/>
      <c r="AF1705" s="4"/>
      <c r="AG1705" s="4"/>
      <c r="AH1705" s="4"/>
      <c r="AI1705" s="4"/>
      <c r="AJ1705" s="4"/>
      <c r="AK1705" s="4"/>
      <c r="AL1705" s="4" t="s">
        <v>1856</v>
      </c>
      <c r="AM1705" s="4" t="s">
        <v>1707</v>
      </c>
    </row>
    <row r="1706" customFormat="false" ht="23.85" hidden="false" customHeight="false" outlineLevel="0" collapsed="false">
      <c r="A1706" s="4" t="s">
        <v>167</v>
      </c>
      <c r="B1706" s="4" t="s">
        <v>1911</v>
      </c>
      <c r="C1706" s="4" t="s">
        <v>1911</v>
      </c>
      <c r="D1706" s="12" t="n">
        <v>2024</v>
      </c>
      <c r="E1706" s="4"/>
      <c r="F1706" s="4" t="s">
        <v>169</v>
      </c>
      <c r="G1706" s="4" t="s">
        <v>170</v>
      </c>
      <c r="H1706" s="4" t="s">
        <v>171</v>
      </c>
      <c r="I1706" s="4" t="s">
        <v>172</v>
      </c>
      <c r="J1706" s="4" t="s">
        <v>1911</v>
      </c>
      <c r="K1706" s="4" t="s">
        <v>101</v>
      </c>
      <c r="L1706" s="4" t="s">
        <v>102</v>
      </c>
      <c r="M1706" s="4"/>
      <c r="N1706" s="4"/>
      <c r="O1706" s="4"/>
      <c r="P1706" s="4"/>
      <c r="Q1706" s="4"/>
      <c r="R1706" s="4"/>
      <c r="S1706" s="13" t="n">
        <v>0</v>
      </c>
      <c r="T1706" s="4" t="s">
        <v>173</v>
      </c>
      <c r="U1706" s="14" t="n">
        <f aca="false">IF(OR($S1706="",PARAMETROS!$B$4=""),"",$S1706*PARAMETROS!$B$4)</f>
        <v>0</v>
      </c>
      <c r="V1706" s="13" t="n">
        <v>0</v>
      </c>
      <c r="W1706" s="4"/>
      <c r="X1706" s="4"/>
      <c r="Y1706" s="4"/>
      <c r="Z1706" s="4"/>
      <c r="AA1706" s="4"/>
      <c r="AB1706" s="4"/>
      <c r="AC1706" s="4"/>
      <c r="AD1706" s="4"/>
      <c r="AE1706" s="4"/>
      <c r="AF1706" s="4"/>
      <c r="AG1706" s="4"/>
      <c r="AH1706" s="4"/>
      <c r="AI1706" s="4"/>
      <c r="AJ1706" s="4"/>
      <c r="AK1706" s="4"/>
      <c r="AL1706" s="4" t="s">
        <v>1856</v>
      </c>
      <c r="AM1706" s="4" t="s">
        <v>1709</v>
      </c>
    </row>
    <row r="1707" customFormat="false" ht="23.85" hidden="false" customHeight="false" outlineLevel="0" collapsed="false">
      <c r="A1707" s="4" t="s">
        <v>167</v>
      </c>
      <c r="B1707" s="4" t="s">
        <v>1912</v>
      </c>
      <c r="C1707" s="4" t="s">
        <v>1912</v>
      </c>
      <c r="D1707" s="12" t="n">
        <v>2024</v>
      </c>
      <c r="E1707" s="4"/>
      <c r="F1707" s="4" t="s">
        <v>169</v>
      </c>
      <c r="G1707" s="4" t="s">
        <v>170</v>
      </c>
      <c r="H1707" s="4" t="s">
        <v>171</v>
      </c>
      <c r="I1707" s="4" t="s">
        <v>172</v>
      </c>
      <c r="J1707" s="4" t="s">
        <v>1912</v>
      </c>
      <c r="K1707" s="4" t="s">
        <v>101</v>
      </c>
      <c r="L1707" s="4" t="s">
        <v>102</v>
      </c>
      <c r="M1707" s="4"/>
      <c r="N1707" s="4"/>
      <c r="O1707" s="4"/>
      <c r="P1707" s="4"/>
      <c r="Q1707" s="4"/>
      <c r="R1707" s="4"/>
      <c r="S1707" s="13" t="n">
        <v>1249.44</v>
      </c>
      <c r="T1707" s="4" t="s">
        <v>173</v>
      </c>
      <c r="U1707" s="14" t="n">
        <f aca="false">IF(OR($S1707="",PARAMETROS!$B$4=""),"",$S1707*PARAMETROS!$B$4)</f>
        <v>7259.2464</v>
      </c>
      <c r="V1707" s="13" t="n">
        <v>0</v>
      </c>
      <c r="W1707" s="4"/>
      <c r="X1707" s="4"/>
      <c r="Y1707" s="4"/>
      <c r="Z1707" s="4"/>
      <c r="AA1707" s="4"/>
      <c r="AB1707" s="4"/>
      <c r="AC1707" s="4"/>
      <c r="AD1707" s="4"/>
      <c r="AE1707" s="4"/>
      <c r="AF1707" s="4"/>
      <c r="AG1707" s="4"/>
      <c r="AH1707" s="4"/>
      <c r="AI1707" s="4"/>
      <c r="AJ1707" s="4"/>
      <c r="AK1707" s="4"/>
      <c r="AL1707" s="4" t="s">
        <v>1856</v>
      </c>
      <c r="AM1707" s="4" t="s">
        <v>1868</v>
      </c>
    </row>
    <row r="1708" customFormat="false" ht="23.85" hidden="false" customHeight="false" outlineLevel="0" collapsed="false">
      <c r="A1708" s="4" t="s">
        <v>167</v>
      </c>
      <c r="B1708" s="4" t="s">
        <v>1913</v>
      </c>
      <c r="C1708" s="4" t="s">
        <v>1913</v>
      </c>
      <c r="D1708" s="12" t="n">
        <v>2024</v>
      </c>
      <c r="E1708" s="4"/>
      <c r="F1708" s="4" t="s">
        <v>169</v>
      </c>
      <c r="G1708" s="4" t="s">
        <v>170</v>
      </c>
      <c r="H1708" s="4" t="s">
        <v>171</v>
      </c>
      <c r="I1708" s="4" t="s">
        <v>172</v>
      </c>
      <c r="J1708" s="4" t="s">
        <v>1913</v>
      </c>
      <c r="K1708" s="4" t="s">
        <v>101</v>
      </c>
      <c r="L1708" s="4" t="s">
        <v>102</v>
      </c>
      <c r="M1708" s="4"/>
      <c r="N1708" s="4"/>
      <c r="O1708" s="4"/>
      <c r="P1708" s="4"/>
      <c r="Q1708" s="4"/>
      <c r="R1708" s="4"/>
      <c r="S1708" s="13" t="n">
        <v>0</v>
      </c>
      <c r="T1708" s="4" t="s">
        <v>173</v>
      </c>
      <c r="U1708" s="14" t="n">
        <f aca="false">IF(OR($S1708="",PARAMETROS!$B$4=""),"",$S1708*PARAMETROS!$B$4)</f>
        <v>0</v>
      </c>
      <c r="V1708" s="13" t="n">
        <v>0</v>
      </c>
      <c r="W1708" s="4"/>
      <c r="X1708" s="4"/>
      <c r="Y1708" s="4"/>
      <c r="Z1708" s="4"/>
      <c r="AA1708" s="4"/>
      <c r="AB1708" s="4"/>
      <c r="AC1708" s="4"/>
      <c r="AD1708" s="4"/>
      <c r="AE1708" s="4"/>
      <c r="AF1708" s="4"/>
      <c r="AG1708" s="4"/>
      <c r="AH1708" s="4"/>
      <c r="AI1708" s="4"/>
      <c r="AJ1708" s="4"/>
      <c r="AK1708" s="4"/>
      <c r="AL1708" s="4" t="s">
        <v>1856</v>
      </c>
      <c r="AM1708" s="4" t="s">
        <v>205</v>
      </c>
    </row>
    <row r="1709" customFormat="false" ht="23.85" hidden="false" customHeight="false" outlineLevel="0" collapsed="false">
      <c r="A1709" s="4" t="s">
        <v>167</v>
      </c>
      <c r="B1709" s="4" t="s">
        <v>1914</v>
      </c>
      <c r="C1709" s="4" t="s">
        <v>1914</v>
      </c>
      <c r="D1709" s="12" t="n">
        <v>2024</v>
      </c>
      <c r="E1709" s="4"/>
      <c r="F1709" s="4" t="s">
        <v>169</v>
      </c>
      <c r="G1709" s="4" t="s">
        <v>170</v>
      </c>
      <c r="H1709" s="4" t="s">
        <v>171</v>
      </c>
      <c r="I1709" s="4" t="s">
        <v>172</v>
      </c>
      <c r="J1709" s="4" t="s">
        <v>1914</v>
      </c>
      <c r="K1709" s="4" t="s">
        <v>101</v>
      </c>
      <c r="L1709" s="4" t="s">
        <v>102</v>
      </c>
      <c r="M1709" s="4"/>
      <c r="N1709" s="4"/>
      <c r="O1709" s="4"/>
      <c r="P1709" s="4"/>
      <c r="Q1709" s="4"/>
      <c r="R1709" s="4"/>
      <c r="S1709" s="13" t="n">
        <v>0</v>
      </c>
      <c r="T1709" s="4" t="s">
        <v>173</v>
      </c>
      <c r="U1709" s="14" t="n">
        <f aca="false">IF(OR($S1709="",PARAMETROS!$B$4=""),"",$S1709*PARAMETROS!$B$4)</f>
        <v>0</v>
      </c>
      <c r="V1709" s="13" t="n">
        <v>0</v>
      </c>
      <c r="W1709" s="4"/>
      <c r="X1709" s="4"/>
      <c r="Y1709" s="4"/>
      <c r="Z1709" s="4"/>
      <c r="AA1709" s="4"/>
      <c r="AB1709" s="4"/>
      <c r="AC1709" s="4"/>
      <c r="AD1709" s="4"/>
      <c r="AE1709" s="4"/>
      <c r="AF1709" s="4"/>
      <c r="AG1709" s="4"/>
      <c r="AH1709" s="4"/>
      <c r="AI1709" s="4"/>
      <c r="AJ1709" s="4"/>
      <c r="AK1709" s="4"/>
      <c r="AL1709" s="4" t="s">
        <v>1856</v>
      </c>
      <c r="AM1709" s="4" t="s">
        <v>1714</v>
      </c>
    </row>
    <row r="1710" customFormat="false" ht="23.85" hidden="false" customHeight="false" outlineLevel="0" collapsed="false">
      <c r="A1710" s="4" t="s">
        <v>167</v>
      </c>
      <c r="B1710" s="4" t="s">
        <v>1915</v>
      </c>
      <c r="C1710" s="4" t="s">
        <v>1915</v>
      </c>
      <c r="D1710" s="12" t="n">
        <v>2024</v>
      </c>
      <c r="E1710" s="4"/>
      <c r="F1710" s="4" t="s">
        <v>169</v>
      </c>
      <c r="G1710" s="4" t="s">
        <v>170</v>
      </c>
      <c r="H1710" s="4" t="s">
        <v>171</v>
      </c>
      <c r="I1710" s="4" t="s">
        <v>172</v>
      </c>
      <c r="J1710" s="4" t="s">
        <v>1915</v>
      </c>
      <c r="K1710" s="4" t="s">
        <v>103</v>
      </c>
      <c r="L1710" s="4" t="s">
        <v>104</v>
      </c>
      <c r="M1710" s="4"/>
      <c r="N1710" s="4"/>
      <c r="O1710" s="4"/>
      <c r="P1710" s="4"/>
      <c r="Q1710" s="4"/>
      <c r="R1710" s="4"/>
      <c r="S1710" s="13" t="n">
        <v>0</v>
      </c>
      <c r="T1710" s="4" t="s">
        <v>173</v>
      </c>
      <c r="U1710" s="14" t="n">
        <f aca="false">IF(OR($S1710="",PARAMETROS!$B$4=""),"",$S1710*PARAMETROS!$B$4)</f>
        <v>0</v>
      </c>
      <c r="V1710" s="13" t="n">
        <v>0</v>
      </c>
      <c r="W1710" s="4"/>
      <c r="X1710" s="4"/>
      <c r="Y1710" s="4"/>
      <c r="Z1710" s="4"/>
      <c r="AA1710" s="4"/>
      <c r="AB1710" s="4"/>
      <c r="AC1710" s="4"/>
      <c r="AD1710" s="4"/>
      <c r="AE1710" s="4"/>
      <c r="AF1710" s="4"/>
      <c r="AG1710" s="4"/>
      <c r="AH1710" s="4"/>
      <c r="AI1710" s="4"/>
      <c r="AJ1710" s="4"/>
      <c r="AK1710" s="4"/>
      <c r="AL1710" s="4" t="s">
        <v>1856</v>
      </c>
      <c r="AM1710" s="4" t="s">
        <v>205</v>
      </c>
    </row>
    <row r="1711" customFormat="false" ht="23.85" hidden="false" customHeight="false" outlineLevel="0" collapsed="false">
      <c r="A1711" s="4" t="s">
        <v>167</v>
      </c>
      <c r="B1711" s="4" t="s">
        <v>1916</v>
      </c>
      <c r="C1711" s="4" t="s">
        <v>1916</v>
      </c>
      <c r="D1711" s="12" t="n">
        <v>2024</v>
      </c>
      <c r="E1711" s="4"/>
      <c r="F1711" s="4" t="s">
        <v>169</v>
      </c>
      <c r="G1711" s="4" t="s">
        <v>170</v>
      </c>
      <c r="H1711" s="4" t="s">
        <v>171</v>
      </c>
      <c r="I1711" s="4" t="s">
        <v>172</v>
      </c>
      <c r="J1711" s="4" t="s">
        <v>1916</v>
      </c>
      <c r="K1711" s="4" t="s">
        <v>103</v>
      </c>
      <c r="L1711" s="4" t="s">
        <v>104</v>
      </c>
      <c r="M1711" s="4"/>
      <c r="N1711" s="4"/>
      <c r="O1711" s="4"/>
      <c r="P1711" s="4"/>
      <c r="Q1711" s="4"/>
      <c r="R1711" s="4"/>
      <c r="S1711" s="13" t="n">
        <v>16855.97</v>
      </c>
      <c r="T1711" s="4" t="s">
        <v>173</v>
      </c>
      <c r="U1711" s="14" t="n">
        <f aca="false">IF(OR($S1711="",PARAMETROS!$B$4=""),"",$S1711*PARAMETROS!$B$4)</f>
        <v>97933.1857</v>
      </c>
      <c r="V1711" s="13" t="n">
        <v>0</v>
      </c>
      <c r="W1711" s="4"/>
      <c r="X1711" s="4"/>
      <c r="Y1711" s="4"/>
      <c r="Z1711" s="4"/>
      <c r="AA1711" s="4"/>
      <c r="AB1711" s="4"/>
      <c r="AC1711" s="4"/>
      <c r="AD1711" s="4"/>
      <c r="AE1711" s="4"/>
      <c r="AF1711" s="4"/>
      <c r="AG1711" s="4"/>
      <c r="AH1711" s="4"/>
      <c r="AI1711" s="4"/>
      <c r="AJ1711" s="4"/>
      <c r="AK1711" s="4"/>
      <c r="AL1711" s="4" t="s">
        <v>1856</v>
      </c>
      <c r="AM1711" s="4" t="s">
        <v>205</v>
      </c>
    </row>
    <row r="1712" customFormat="false" ht="23.85" hidden="false" customHeight="false" outlineLevel="0" collapsed="false">
      <c r="A1712" s="4" t="s">
        <v>167</v>
      </c>
      <c r="B1712" s="4" t="s">
        <v>1917</v>
      </c>
      <c r="C1712" s="4" t="s">
        <v>1917</v>
      </c>
      <c r="D1712" s="12" t="n">
        <v>2024</v>
      </c>
      <c r="E1712" s="4"/>
      <c r="F1712" s="4" t="s">
        <v>169</v>
      </c>
      <c r="G1712" s="4" t="s">
        <v>170</v>
      </c>
      <c r="H1712" s="4" t="s">
        <v>171</v>
      </c>
      <c r="I1712" s="4" t="s">
        <v>172</v>
      </c>
      <c r="J1712" s="4" t="s">
        <v>1917</v>
      </c>
      <c r="K1712" s="4" t="s">
        <v>103</v>
      </c>
      <c r="L1712" s="4" t="s">
        <v>104</v>
      </c>
      <c r="M1712" s="4"/>
      <c r="N1712" s="4"/>
      <c r="O1712" s="4"/>
      <c r="P1712" s="4"/>
      <c r="Q1712" s="4"/>
      <c r="R1712" s="4"/>
      <c r="S1712" s="13" t="n">
        <v>129.52</v>
      </c>
      <c r="T1712" s="4" t="s">
        <v>173</v>
      </c>
      <c r="U1712" s="14" t="n">
        <f aca="false">IF(OR($S1712="",PARAMETROS!$B$4=""),"",$S1712*PARAMETROS!$B$4)</f>
        <v>752.5112</v>
      </c>
      <c r="V1712" s="13" t="n">
        <v>0</v>
      </c>
      <c r="W1712" s="4"/>
      <c r="X1712" s="4"/>
      <c r="Y1712" s="4"/>
      <c r="Z1712" s="4"/>
      <c r="AA1712" s="4"/>
      <c r="AB1712" s="4"/>
      <c r="AC1712" s="4"/>
      <c r="AD1712" s="4"/>
      <c r="AE1712" s="4"/>
      <c r="AF1712" s="4"/>
      <c r="AG1712" s="4"/>
      <c r="AH1712" s="4"/>
      <c r="AI1712" s="4"/>
      <c r="AJ1712" s="4"/>
      <c r="AK1712" s="4"/>
      <c r="AL1712" s="4" t="s">
        <v>1856</v>
      </c>
      <c r="AM1712" s="4" t="s">
        <v>205</v>
      </c>
    </row>
    <row r="1713" customFormat="false" ht="23.85" hidden="false" customHeight="false" outlineLevel="0" collapsed="false">
      <c r="A1713" s="4" t="s">
        <v>167</v>
      </c>
      <c r="B1713" s="4" t="s">
        <v>1918</v>
      </c>
      <c r="C1713" s="4" t="s">
        <v>1918</v>
      </c>
      <c r="D1713" s="12" t="n">
        <v>2024</v>
      </c>
      <c r="E1713" s="4"/>
      <c r="F1713" s="4" t="s">
        <v>169</v>
      </c>
      <c r="G1713" s="4" t="s">
        <v>170</v>
      </c>
      <c r="H1713" s="4" t="s">
        <v>171</v>
      </c>
      <c r="I1713" s="4" t="s">
        <v>172</v>
      </c>
      <c r="J1713" s="4" t="s">
        <v>1918</v>
      </c>
      <c r="K1713" s="4" t="s">
        <v>103</v>
      </c>
      <c r="L1713" s="4" t="s">
        <v>104</v>
      </c>
      <c r="M1713" s="4"/>
      <c r="N1713" s="4"/>
      <c r="O1713" s="4"/>
      <c r="P1713" s="4"/>
      <c r="Q1713" s="4"/>
      <c r="R1713" s="4"/>
      <c r="S1713" s="13" t="n">
        <v>-135.65</v>
      </c>
      <c r="T1713" s="4" t="s">
        <v>173</v>
      </c>
      <c r="U1713" s="14" t="n">
        <f aca="false">IF(OR($S1713="",PARAMETROS!$B$4=""),"",$S1713*PARAMETROS!$B$4)</f>
        <v>-788.1265</v>
      </c>
      <c r="V1713" s="13" t="n">
        <v>0</v>
      </c>
      <c r="W1713" s="4"/>
      <c r="X1713" s="4"/>
      <c r="Y1713" s="4"/>
      <c r="Z1713" s="4"/>
      <c r="AA1713" s="4"/>
      <c r="AB1713" s="4"/>
      <c r="AC1713" s="4"/>
      <c r="AD1713" s="4"/>
      <c r="AE1713" s="4"/>
      <c r="AF1713" s="4"/>
      <c r="AG1713" s="4"/>
      <c r="AH1713" s="4"/>
      <c r="AI1713" s="4"/>
      <c r="AJ1713" s="4"/>
      <c r="AK1713" s="4"/>
      <c r="AL1713" s="4" t="s">
        <v>1856</v>
      </c>
      <c r="AM1713" s="4" t="s">
        <v>205</v>
      </c>
    </row>
    <row r="1714" customFormat="false" ht="23.85" hidden="false" customHeight="false" outlineLevel="0" collapsed="false">
      <c r="A1714" s="4" t="s">
        <v>167</v>
      </c>
      <c r="B1714" s="4" t="s">
        <v>1919</v>
      </c>
      <c r="C1714" s="4" t="s">
        <v>1919</v>
      </c>
      <c r="D1714" s="12" t="n">
        <v>2024</v>
      </c>
      <c r="E1714" s="4"/>
      <c r="F1714" s="4" t="s">
        <v>169</v>
      </c>
      <c r="G1714" s="4" t="s">
        <v>170</v>
      </c>
      <c r="H1714" s="4" t="s">
        <v>171</v>
      </c>
      <c r="I1714" s="4" t="s">
        <v>172</v>
      </c>
      <c r="J1714" s="4" t="s">
        <v>1919</v>
      </c>
      <c r="K1714" s="4" t="s">
        <v>103</v>
      </c>
      <c r="L1714" s="4" t="s">
        <v>104</v>
      </c>
      <c r="M1714" s="4"/>
      <c r="N1714" s="4"/>
      <c r="O1714" s="4"/>
      <c r="P1714" s="4"/>
      <c r="Q1714" s="4"/>
      <c r="R1714" s="4"/>
      <c r="S1714" s="13" t="n">
        <v>0</v>
      </c>
      <c r="T1714" s="4" t="s">
        <v>173</v>
      </c>
      <c r="U1714" s="14" t="n">
        <f aca="false">IF(OR($S1714="",PARAMETROS!$B$4=""),"",$S1714*PARAMETROS!$B$4)</f>
        <v>0</v>
      </c>
      <c r="V1714" s="13" t="n">
        <v>0</v>
      </c>
      <c r="W1714" s="4"/>
      <c r="X1714" s="4"/>
      <c r="Y1714" s="4"/>
      <c r="Z1714" s="4"/>
      <c r="AA1714" s="4"/>
      <c r="AB1714" s="4"/>
      <c r="AC1714" s="4"/>
      <c r="AD1714" s="4"/>
      <c r="AE1714" s="4"/>
      <c r="AF1714" s="4"/>
      <c r="AG1714" s="4"/>
      <c r="AH1714" s="4"/>
      <c r="AI1714" s="4"/>
      <c r="AJ1714" s="4"/>
      <c r="AK1714" s="4"/>
      <c r="AL1714" s="4" t="s">
        <v>1856</v>
      </c>
      <c r="AM1714" s="4" t="s">
        <v>1698</v>
      </c>
    </row>
    <row r="1715" customFormat="false" ht="23.85" hidden="false" customHeight="false" outlineLevel="0" collapsed="false">
      <c r="A1715" s="4" t="s">
        <v>167</v>
      </c>
      <c r="B1715" s="4" t="s">
        <v>1920</v>
      </c>
      <c r="C1715" s="4" t="s">
        <v>1920</v>
      </c>
      <c r="D1715" s="12" t="n">
        <v>2024</v>
      </c>
      <c r="E1715" s="4"/>
      <c r="F1715" s="4" t="s">
        <v>169</v>
      </c>
      <c r="G1715" s="4" t="s">
        <v>170</v>
      </c>
      <c r="H1715" s="4" t="s">
        <v>171</v>
      </c>
      <c r="I1715" s="4" t="s">
        <v>172</v>
      </c>
      <c r="J1715" s="4" t="s">
        <v>1920</v>
      </c>
      <c r="K1715" s="4" t="s">
        <v>103</v>
      </c>
      <c r="L1715" s="4" t="s">
        <v>104</v>
      </c>
      <c r="M1715" s="4"/>
      <c r="N1715" s="4"/>
      <c r="O1715" s="4"/>
      <c r="P1715" s="4"/>
      <c r="Q1715" s="4"/>
      <c r="R1715" s="4"/>
      <c r="S1715" s="13" t="n">
        <v>0</v>
      </c>
      <c r="T1715" s="4" t="s">
        <v>173</v>
      </c>
      <c r="U1715" s="14" t="n">
        <f aca="false">IF(OR($S1715="",PARAMETROS!$B$4=""),"",$S1715*PARAMETROS!$B$4)</f>
        <v>0</v>
      </c>
      <c r="V1715" s="13" t="n">
        <v>0</v>
      </c>
      <c r="W1715" s="4"/>
      <c r="X1715" s="4"/>
      <c r="Y1715" s="4"/>
      <c r="Z1715" s="4"/>
      <c r="AA1715" s="4"/>
      <c r="AB1715" s="4"/>
      <c r="AC1715" s="4"/>
      <c r="AD1715" s="4"/>
      <c r="AE1715" s="4"/>
      <c r="AF1715" s="4"/>
      <c r="AG1715" s="4"/>
      <c r="AH1715" s="4"/>
      <c r="AI1715" s="4"/>
      <c r="AJ1715" s="4"/>
      <c r="AK1715" s="4"/>
      <c r="AL1715" s="4" t="s">
        <v>1856</v>
      </c>
      <c r="AM1715" s="4" t="s">
        <v>1813</v>
      </c>
    </row>
    <row r="1716" customFormat="false" ht="23.85" hidden="false" customHeight="false" outlineLevel="0" collapsed="false">
      <c r="A1716" s="4" t="s">
        <v>167</v>
      </c>
      <c r="B1716" s="4" t="s">
        <v>1921</v>
      </c>
      <c r="C1716" s="4" t="s">
        <v>1921</v>
      </c>
      <c r="D1716" s="12" t="n">
        <v>2024</v>
      </c>
      <c r="E1716" s="4"/>
      <c r="F1716" s="4" t="s">
        <v>169</v>
      </c>
      <c r="G1716" s="4" t="s">
        <v>170</v>
      </c>
      <c r="H1716" s="4" t="s">
        <v>171</v>
      </c>
      <c r="I1716" s="4" t="s">
        <v>172</v>
      </c>
      <c r="J1716" s="4" t="s">
        <v>1921</v>
      </c>
      <c r="K1716" s="4" t="s">
        <v>103</v>
      </c>
      <c r="L1716" s="4" t="s">
        <v>104</v>
      </c>
      <c r="M1716" s="4"/>
      <c r="N1716" s="4"/>
      <c r="O1716" s="4"/>
      <c r="P1716" s="4"/>
      <c r="Q1716" s="4"/>
      <c r="R1716" s="4"/>
      <c r="S1716" s="13" t="n">
        <v>0</v>
      </c>
      <c r="T1716" s="4" t="s">
        <v>173</v>
      </c>
      <c r="U1716" s="14" t="n">
        <f aca="false">IF(OR($S1716="",PARAMETROS!$B$4=""),"",$S1716*PARAMETROS!$B$4)</f>
        <v>0</v>
      </c>
      <c r="V1716" s="13" t="n">
        <v>0</v>
      </c>
      <c r="W1716" s="4"/>
      <c r="X1716" s="4"/>
      <c r="Y1716" s="4"/>
      <c r="Z1716" s="4"/>
      <c r="AA1716" s="4"/>
      <c r="AB1716" s="4"/>
      <c r="AC1716" s="4"/>
      <c r="AD1716" s="4"/>
      <c r="AE1716" s="4"/>
      <c r="AF1716" s="4"/>
      <c r="AG1716" s="4"/>
      <c r="AH1716" s="4"/>
      <c r="AI1716" s="4"/>
      <c r="AJ1716" s="4"/>
      <c r="AK1716" s="4"/>
      <c r="AL1716" s="4" t="s">
        <v>1856</v>
      </c>
      <c r="AM1716" s="4" t="s">
        <v>1723</v>
      </c>
    </row>
    <row r="1717" customFormat="false" ht="23.85" hidden="false" customHeight="false" outlineLevel="0" collapsed="false">
      <c r="A1717" s="4" t="s">
        <v>167</v>
      </c>
      <c r="B1717" s="4" t="s">
        <v>1922</v>
      </c>
      <c r="C1717" s="4" t="s">
        <v>1922</v>
      </c>
      <c r="D1717" s="12" t="n">
        <v>2024</v>
      </c>
      <c r="E1717" s="4"/>
      <c r="F1717" s="4" t="s">
        <v>169</v>
      </c>
      <c r="G1717" s="4" t="s">
        <v>170</v>
      </c>
      <c r="H1717" s="4" t="s">
        <v>171</v>
      </c>
      <c r="I1717" s="4" t="s">
        <v>172</v>
      </c>
      <c r="J1717" s="4" t="s">
        <v>1922</v>
      </c>
      <c r="K1717" s="4" t="s">
        <v>103</v>
      </c>
      <c r="L1717" s="4" t="s">
        <v>104</v>
      </c>
      <c r="M1717" s="4"/>
      <c r="N1717" s="4"/>
      <c r="O1717" s="4"/>
      <c r="P1717" s="4"/>
      <c r="Q1717" s="4"/>
      <c r="R1717" s="4"/>
      <c r="S1717" s="13" t="n">
        <v>0</v>
      </c>
      <c r="T1717" s="4" t="s">
        <v>173</v>
      </c>
      <c r="U1717" s="14" t="n">
        <f aca="false">IF(OR($S1717="",PARAMETROS!$B$4=""),"",$S1717*PARAMETROS!$B$4)</f>
        <v>0</v>
      </c>
      <c r="V1717" s="13" t="n">
        <v>0</v>
      </c>
      <c r="W1717" s="4"/>
      <c r="X1717" s="4"/>
      <c r="Y1717" s="4"/>
      <c r="Z1717" s="4"/>
      <c r="AA1717" s="4"/>
      <c r="AB1717" s="4"/>
      <c r="AC1717" s="4"/>
      <c r="AD1717" s="4"/>
      <c r="AE1717" s="4"/>
      <c r="AF1717" s="4"/>
      <c r="AG1717" s="4"/>
      <c r="AH1717" s="4"/>
      <c r="AI1717" s="4"/>
      <c r="AJ1717" s="4"/>
      <c r="AK1717" s="4"/>
      <c r="AL1717" s="4" t="s">
        <v>1856</v>
      </c>
      <c r="AM1717" s="4" t="s">
        <v>1704</v>
      </c>
    </row>
    <row r="1718" customFormat="false" ht="23.85" hidden="false" customHeight="false" outlineLevel="0" collapsed="false">
      <c r="A1718" s="4" t="s">
        <v>167</v>
      </c>
      <c r="B1718" s="4" t="s">
        <v>1923</v>
      </c>
      <c r="C1718" s="4" t="s">
        <v>1923</v>
      </c>
      <c r="D1718" s="12" t="n">
        <v>2024</v>
      </c>
      <c r="E1718" s="4"/>
      <c r="F1718" s="4" t="s">
        <v>169</v>
      </c>
      <c r="G1718" s="4" t="s">
        <v>170</v>
      </c>
      <c r="H1718" s="4" t="s">
        <v>171</v>
      </c>
      <c r="I1718" s="4" t="s">
        <v>172</v>
      </c>
      <c r="J1718" s="4" t="s">
        <v>1923</v>
      </c>
      <c r="K1718" s="4" t="s">
        <v>103</v>
      </c>
      <c r="L1718" s="4" t="s">
        <v>104</v>
      </c>
      <c r="M1718" s="4"/>
      <c r="N1718" s="4"/>
      <c r="O1718" s="4"/>
      <c r="P1718" s="4"/>
      <c r="Q1718" s="4"/>
      <c r="R1718" s="4"/>
      <c r="S1718" s="13" t="n">
        <v>16177.34</v>
      </c>
      <c r="T1718" s="4" t="s">
        <v>173</v>
      </c>
      <c r="U1718" s="14" t="n">
        <f aca="false">IF(OR($S1718="",PARAMETROS!$B$4=""),"",$S1718*PARAMETROS!$B$4)</f>
        <v>93990.3454</v>
      </c>
      <c r="V1718" s="13" t="n">
        <v>0</v>
      </c>
      <c r="W1718" s="4"/>
      <c r="X1718" s="4"/>
      <c r="Y1718" s="4"/>
      <c r="Z1718" s="4"/>
      <c r="AA1718" s="4"/>
      <c r="AB1718" s="4"/>
      <c r="AC1718" s="4"/>
      <c r="AD1718" s="4"/>
      <c r="AE1718" s="4"/>
      <c r="AF1718" s="4"/>
      <c r="AG1718" s="4"/>
      <c r="AH1718" s="4"/>
      <c r="AI1718" s="4"/>
      <c r="AJ1718" s="4"/>
      <c r="AK1718" s="4"/>
      <c r="AL1718" s="4" t="s">
        <v>1856</v>
      </c>
      <c r="AM1718" s="4" t="s">
        <v>205</v>
      </c>
    </row>
    <row r="1719" customFormat="false" ht="23.85" hidden="false" customHeight="false" outlineLevel="0" collapsed="false">
      <c r="A1719" s="4" t="s">
        <v>167</v>
      </c>
      <c r="B1719" s="4" t="s">
        <v>1924</v>
      </c>
      <c r="C1719" s="4" t="s">
        <v>1924</v>
      </c>
      <c r="D1719" s="12" t="n">
        <v>2024</v>
      </c>
      <c r="E1719" s="4"/>
      <c r="F1719" s="4" t="s">
        <v>169</v>
      </c>
      <c r="G1719" s="4" t="s">
        <v>170</v>
      </c>
      <c r="H1719" s="4" t="s">
        <v>171</v>
      </c>
      <c r="I1719" s="4" t="s">
        <v>172</v>
      </c>
      <c r="J1719" s="4" t="s">
        <v>1924</v>
      </c>
      <c r="K1719" s="4" t="s">
        <v>103</v>
      </c>
      <c r="L1719" s="4" t="s">
        <v>104</v>
      </c>
      <c r="M1719" s="4"/>
      <c r="N1719" s="4"/>
      <c r="O1719" s="4"/>
      <c r="P1719" s="4"/>
      <c r="Q1719" s="4"/>
      <c r="R1719" s="4"/>
      <c r="S1719" s="13" t="n">
        <v>0</v>
      </c>
      <c r="T1719" s="4" t="s">
        <v>173</v>
      </c>
      <c r="U1719" s="14" t="n">
        <f aca="false">IF(OR($S1719="",PARAMETROS!$B$4=""),"",$S1719*PARAMETROS!$B$4)</f>
        <v>0</v>
      </c>
      <c r="V1719" s="13" t="n">
        <v>0</v>
      </c>
      <c r="W1719" s="4"/>
      <c r="X1719" s="4"/>
      <c r="Y1719" s="4"/>
      <c r="Z1719" s="4"/>
      <c r="AA1719" s="4"/>
      <c r="AB1719" s="4"/>
      <c r="AC1719" s="4"/>
      <c r="AD1719" s="4"/>
      <c r="AE1719" s="4"/>
      <c r="AF1719" s="4"/>
      <c r="AG1719" s="4"/>
      <c r="AH1719" s="4"/>
      <c r="AI1719" s="4"/>
      <c r="AJ1719" s="4"/>
      <c r="AK1719" s="4"/>
      <c r="AL1719" s="4" t="s">
        <v>1856</v>
      </c>
      <c r="AM1719" s="4" t="s">
        <v>1707</v>
      </c>
    </row>
    <row r="1720" customFormat="false" ht="23.85" hidden="false" customHeight="false" outlineLevel="0" collapsed="false">
      <c r="A1720" s="4" t="s">
        <v>167</v>
      </c>
      <c r="B1720" s="4" t="s">
        <v>1925</v>
      </c>
      <c r="C1720" s="4" t="s">
        <v>1925</v>
      </c>
      <c r="D1720" s="12" t="n">
        <v>2024</v>
      </c>
      <c r="E1720" s="4"/>
      <c r="F1720" s="4" t="s">
        <v>169</v>
      </c>
      <c r="G1720" s="4" t="s">
        <v>170</v>
      </c>
      <c r="H1720" s="4" t="s">
        <v>171</v>
      </c>
      <c r="I1720" s="4" t="s">
        <v>172</v>
      </c>
      <c r="J1720" s="4" t="s">
        <v>1925</v>
      </c>
      <c r="K1720" s="4" t="s">
        <v>103</v>
      </c>
      <c r="L1720" s="4" t="s">
        <v>104</v>
      </c>
      <c r="M1720" s="4"/>
      <c r="N1720" s="4"/>
      <c r="O1720" s="4"/>
      <c r="P1720" s="4"/>
      <c r="Q1720" s="4"/>
      <c r="R1720" s="4"/>
      <c r="S1720" s="13" t="n">
        <v>82.69</v>
      </c>
      <c r="T1720" s="4" t="s">
        <v>173</v>
      </c>
      <c r="U1720" s="14" t="n">
        <f aca="false">IF(OR($S1720="",PARAMETROS!$B$4=""),"",$S1720*PARAMETROS!$B$4)</f>
        <v>480.4289</v>
      </c>
      <c r="V1720" s="13" t="n">
        <v>0</v>
      </c>
      <c r="W1720" s="4"/>
      <c r="X1720" s="4"/>
      <c r="Y1720" s="4"/>
      <c r="Z1720" s="4"/>
      <c r="AA1720" s="4"/>
      <c r="AB1720" s="4"/>
      <c r="AC1720" s="4"/>
      <c r="AD1720" s="4"/>
      <c r="AE1720" s="4"/>
      <c r="AF1720" s="4"/>
      <c r="AG1720" s="4"/>
      <c r="AH1720" s="4"/>
      <c r="AI1720" s="4"/>
      <c r="AJ1720" s="4"/>
      <c r="AK1720" s="4"/>
      <c r="AL1720" s="4" t="s">
        <v>1856</v>
      </c>
      <c r="AM1720" s="4" t="s">
        <v>1820</v>
      </c>
    </row>
    <row r="1721" customFormat="false" ht="23.85" hidden="false" customHeight="false" outlineLevel="0" collapsed="false">
      <c r="A1721" s="4" t="s">
        <v>167</v>
      </c>
      <c r="B1721" s="4" t="s">
        <v>1926</v>
      </c>
      <c r="C1721" s="4" t="s">
        <v>1926</v>
      </c>
      <c r="D1721" s="12" t="n">
        <v>2024</v>
      </c>
      <c r="E1721" s="4"/>
      <c r="F1721" s="4" t="s">
        <v>169</v>
      </c>
      <c r="G1721" s="4" t="s">
        <v>170</v>
      </c>
      <c r="H1721" s="4" t="s">
        <v>171</v>
      </c>
      <c r="I1721" s="4" t="s">
        <v>172</v>
      </c>
      <c r="J1721" s="4" t="s">
        <v>1926</v>
      </c>
      <c r="K1721" s="4" t="s">
        <v>103</v>
      </c>
      <c r="L1721" s="4" t="s">
        <v>104</v>
      </c>
      <c r="M1721" s="4"/>
      <c r="N1721" s="4"/>
      <c r="O1721" s="4"/>
      <c r="P1721" s="4"/>
      <c r="Q1721" s="4"/>
      <c r="R1721" s="4"/>
      <c r="S1721" s="13" t="n">
        <v>330.76</v>
      </c>
      <c r="T1721" s="4" t="s">
        <v>173</v>
      </c>
      <c r="U1721" s="14" t="n">
        <f aca="false">IF(OR($S1721="",PARAMETROS!$B$4=""),"",$S1721*PARAMETROS!$B$4)</f>
        <v>1921.7156</v>
      </c>
      <c r="V1721" s="13" t="n">
        <v>0</v>
      </c>
      <c r="W1721" s="4"/>
      <c r="X1721" s="4"/>
      <c r="Y1721" s="4"/>
      <c r="Z1721" s="4"/>
      <c r="AA1721" s="4"/>
      <c r="AB1721" s="4"/>
      <c r="AC1721" s="4"/>
      <c r="AD1721" s="4"/>
      <c r="AE1721" s="4"/>
      <c r="AF1721" s="4"/>
      <c r="AG1721" s="4"/>
      <c r="AH1721" s="4"/>
      <c r="AI1721" s="4"/>
      <c r="AJ1721" s="4"/>
      <c r="AK1721" s="4"/>
      <c r="AL1721" s="4" t="s">
        <v>1856</v>
      </c>
      <c r="AM1721" s="4" t="s">
        <v>1868</v>
      </c>
    </row>
    <row r="1722" customFormat="false" ht="23.85" hidden="false" customHeight="false" outlineLevel="0" collapsed="false">
      <c r="A1722" s="4" t="s">
        <v>167</v>
      </c>
      <c r="B1722" s="4" t="s">
        <v>1927</v>
      </c>
      <c r="C1722" s="4" t="s">
        <v>1927</v>
      </c>
      <c r="D1722" s="12" t="n">
        <v>2024</v>
      </c>
      <c r="E1722" s="4"/>
      <c r="F1722" s="4" t="s">
        <v>169</v>
      </c>
      <c r="G1722" s="4" t="s">
        <v>170</v>
      </c>
      <c r="H1722" s="4" t="s">
        <v>171</v>
      </c>
      <c r="I1722" s="4" t="s">
        <v>172</v>
      </c>
      <c r="J1722" s="4" t="s">
        <v>1927</v>
      </c>
      <c r="K1722" s="4" t="s">
        <v>103</v>
      </c>
      <c r="L1722" s="4" t="s">
        <v>104</v>
      </c>
      <c r="M1722" s="4"/>
      <c r="N1722" s="4"/>
      <c r="O1722" s="4"/>
      <c r="P1722" s="4"/>
      <c r="Q1722" s="4"/>
      <c r="R1722" s="4"/>
      <c r="S1722" s="13" t="n">
        <v>0</v>
      </c>
      <c r="T1722" s="4" t="s">
        <v>173</v>
      </c>
      <c r="U1722" s="14" t="n">
        <f aca="false">IF(OR($S1722="",PARAMETROS!$B$4=""),"",$S1722*PARAMETROS!$B$4)</f>
        <v>0</v>
      </c>
      <c r="V1722" s="13" t="n">
        <v>0</v>
      </c>
      <c r="W1722" s="4"/>
      <c r="X1722" s="4"/>
      <c r="Y1722" s="4"/>
      <c r="Z1722" s="4"/>
      <c r="AA1722" s="4"/>
      <c r="AB1722" s="4"/>
      <c r="AC1722" s="4"/>
      <c r="AD1722" s="4"/>
      <c r="AE1722" s="4"/>
      <c r="AF1722" s="4"/>
      <c r="AG1722" s="4"/>
      <c r="AH1722" s="4"/>
      <c r="AI1722" s="4"/>
      <c r="AJ1722" s="4"/>
      <c r="AK1722" s="4"/>
      <c r="AL1722" s="4" t="s">
        <v>1856</v>
      </c>
      <c r="AM1722" s="4" t="s">
        <v>205</v>
      </c>
    </row>
    <row r="1723" customFormat="false" ht="23.85" hidden="false" customHeight="false" outlineLevel="0" collapsed="false">
      <c r="A1723" s="4" t="s">
        <v>167</v>
      </c>
      <c r="B1723" s="4" t="s">
        <v>1928</v>
      </c>
      <c r="C1723" s="4" t="s">
        <v>1928</v>
      </c>
      <c r="D1723" s="12" t="n">
        <v>2024</v>
      </c>
      <c r="E1723" s="4"/>
      <c r="F1723" s="4" t="s">
        <v>169</v>
      </c>
      <c r="G1723" s="4" t="s">
        <v>170</v>
      </c>
      <c r="H1723" s="4" t="s">
        <v>171</v>
      </c>
      <c r="I1723" s="4" t="s">
        <v>172</v>
      </c>
      <c r="J1723" s="4" t="s">
        <v>1928</v>
      </c>
      <c r="K1723" s="4" t="s">
        <v>103</v>
      </c>
      <c r="L1723" s="4" t="s">
        <v>104</v>
      </c>
      <c r="M1723" s="4"/>
      <c r="N1723" s="4"/>
      <c r="O1723" s="4"/>
      <c r="P1723" s="4"/>
      <c r="Q1723" s="4"/>
      <c r="R1723" s="4"/>
      <c r="S1723" s="13" t="n">
        <v>0</v>
      </c>
      <c r="T1723" s="4" t="s">
        <v>173</v>
      </c>
      <c r="U1723" s="14" t="n">
        <f aca="false">IF(OR($S1723="",PARAMETROS!$B$4=""),"",$S1723*PARAMETROS!$B$4)</f>
        <v>0</v>
      </c>
      <c r="V1723" s="13" t="n">
        <v>0</v>
      </c>
      <c r="W1723" s="4"/>
      <c r="X1723" s="4"/>
      <c r="Y1723" s="4"/>
      <c r="Z1723" s="4"/>
      <c r="AA1723" s="4"/>
      <c r="AB1723" s="4"/>
      <c r="AC1723" s="4"/>
      <c r="AD1723" s="4"/>
      <c r="AE1723" s="4"/>
      <c r="AF1723" s="4"/>
      <c r="AG1723" s="4"/>
      <c r="AH1723" s="4"/>
      <c r="AI1723" s="4"/>
      <c r="AJ1723" s="4"/>
      <c r="AK1723" s="4"/>
      <c r="AL1723" s="4" t="s">
        <v>1856</v>
      </c>
      <c r="AM1723" s="4" t="s">
        <v>1714</v>
      </c>
    </row>
    <row r="1724" customFormat="false" ht="23.85" hidden="false" customHeight="false" outlineLevel="0" collapsed="false">
      <c r="A1724" s="4" t="s">
        <v>167</v>
      </c>
      <c r="B1724" s="4" t="s">
        <v>1929</v>
      </c>
      <c r="C1724" s="4" t="s">
        <v>1929</v>
      </c>
      <c r="D1724" s="12" t="n">
        <v>2024</v>
      </c>
      <c r="E1724" s="4"/>
      <c r="F1724" s="4" t="s">
        <v>169</v>
      </c>
      <c r="G1724" s="4" t="s">
        <v>170</v>
      </c>
      <c r="H1724" s="4" t="s">
        <v>171</v>
      </c>
      <c r="I1724" s="4" t="s">
        <v>172</v>
      </c>
      <c r="J1724" s="4" t="s">
        <v>1929</v>
      </c>
      <c r="K1724" s="4" t="s">
        <v>105</v>
      </c>
      <c r="L1724" s="4" t="s">
        <v>106</v>
      </c>
      <c r="M1724" s="4"/>
      <c r="N1724" s="4"/>
      <c r="O1724" s="4"/>
      <c r="P1724" s="4"/>
      <c r="Q1724" s="4"/>
      <c r="R1724" s="4"/>
      <c r="S1724" s="13" t="n">
        <v>0</v>
      </c>
      <c r="T1724" s="4" t="s">
        <v>173</v>
      </c>
      <c r="U1724" s="14" t="n">
        <f aca="false">IF(OR($S1724="",PARAMETROS!$B$4=""),"",$S1724*PARAMETROS!$B$4)</f>
        <v>0</v>
      </c>
      <c r="V1724" s="13" t="n">
        <v>0</v>
      </c>
      <c r="W1724" s="4"/>
      <c r="X1724" s="4"/>
      <c r="Y1724" s="4"/>
      <c r="Z1724" s="4"/>
      <c r="AA1724" s="4"/>
      <c r="AB1724" s="4"/>
      <c r="AC1724" s="4"/>
      <c r="AD1724" s="4"/>
      <c r="AE1724" s="4"/>
      <c r="AF1724" s="4"/>
      <c r="AG1724" s="4"/>
      <c r="AH1724" s="4"/>
      <c r="AI1724" s="4"/>
      <c r="AJ1724" s="4"/>
      <c r="AK1724" s="4"/>
      <c r="AL1724" s="4" t="s">
        <v>1856</v>
      </c>
      <c r="AM1724" s="4" t="s">
        <v>205</v>
      </c>
    </row>
    <row r="1725" customFormat="false" ht="23.85" hidden="false" customHeight="false" outlineLevel="0" collapsed="false">
      <c r="A1725" s="4" t="s">
        <v>167</v>
      </c>
      <c r="B1725" s="4" t="s">
        <v>1930</v>
      </c>
      <c r="C1725" s="4" t="s">
        <v>1930</v>
      </c>
      <c r="D1725" s="12" t="n">
        <v>2024</v>
      </c>
      <c r="E1725" s="4"/>
      <c r="F1725" s="4" t="s">
        <v>169</v>
      </c>
      <c r="G1725" s="4" t="s">
        <v>170</v>
      </c>
      <c r="H1725" s="4" t="s">
        <v>171</v>
      </c>
      <c r="I1725" s="4" t="s">
        <v>172</v>
      </c>
      <c r="J1725" s="4" t="s">
        <v>1930</v>
      </c>
      <c r="K1725" s="4" t="s">
        <v>105</v>
      </c>
      <c r="L1725" s="4" t="s">
        <v>106</v>
      </c>
      <c r="M1725" s="4"/>
      <c r="N1725" s="4"/>
      <c r="O1725" s="4"/>
      <c r="P1725" s="4"/>
      <c r="Q1725" s="4"/>
      <c r="R1725" s="4"/>
      <c r="S1725" s="13" t="n">
        <v>5868.39</v>
      </c>
      <c r="T1725" s="4" t="s">
        <v>173</v>
      </c>
      <c r="U1725" s="14" t="n">
        <f aca="false">IF(OR($S1725="",PARAMETROS!$B$4=""),"",$S1725*PARAMETROS!$B$4)</f>
        <v>34095.3459</v>
      </c>
      <c r="V1725" s="13" t="n">
        <v>0</v>
      </c>
      <c r="W1725" s="4"/>
      <c r="X1725" s="4"/>
      <c r="Y1725" s="4"/>
      <c r="Z1725" s="4"/>
      <c r="AA1725" s="4"/>
      <c r="AB1725" s="4"/>
      <c r="AC1725" s="4"/>
      <c r="AD1725" s="4"/>
      <c r="AE1725" s="4"/>
      <c r="AF1725" s="4"/>
      <c r="AG1725" s="4"/>
      <c r="AH1725" s="4"/>
      <c r="AI1725" s="4"/>
      <c r="AJ1725" s="4"/>
      <c r="AK1725" s="4"/>
      <c r="AL1725" s="4" t="s">
        <v>1856</v>
      </c>
      <c r="AM1725" s="4" t="s">
        <v>205</v>
      </c>
    </row>
    <row r="1726" customFormat="false" ht="23.85" hidden="false" customHeight="false" outlineLevel="0" collapsed="false">
      <c r="A1726" s="4" t="s">
        <v>167</v>
      </c>
      <c r="B1726" s="4" t="s">
        <v>1931</v>
      </c>
      <c r="C1726" s="4" t="s">
        <v>1931</v>
      </c>
      <c r="D1726" s="12" t="n">
        <v>2024</v>
      </c>
      <c r="E1726" s="4"/>
      <c r="F1726" s="4" t="s">
        <v>169</v>
      </c>
      <c r="G1726" s="4" t="s">
        <v>170</v>
      </c>
      <c r="H1726" s="4" t="s">
        <v>171</v>
      </c>
      <c r="I1726" s="4" t="s">
        <v>172</v>
      </c>
      <c r="J1726" s="4" t="s">
        <v>1931</v>
      </c>
      <c r="K1726" s="4" t="s">
        <v>105</v>
      </c>
      <c r="L1726" s="4" t="s">
        <v>106</v>
      </c>
      <c r="M1726" s="4"/>
      <c r="N1726" s="4"/>
      <c r="O1726" s="4"/>
      <c r="P1726" s="4"/>
      <c r="Q1726" s="4"/>
      <c r="R1726" s="4"/>
      <c r="S1726" s="13" t="n">
        <v>1354.5</v>
      </c>
      <c r="T1726" s="4" t="s">
        <v>173</v>
      </c>
      <c r="U1726" s="14" t="n">
        <f aca="false">IF(OR($S1726="",PARAMETROS!$B$4=""),"",$S1726*PARAMETROS!$B$4)</f>
        <v>7869.645</v>
      </c>
      <c r="V1726" s="13" t="n">
        <v>0</v>
      </c>
      <c r="W1726" s="4"/>
      <c r="X1726" s="4"/>
      <c r="Y1726" s="4"/>
      <c r="Z1726" s="4"/>
      <c r="AA1726" s="4"/>
      <c r="AB1726" s="4"/>
      <c r="AC1726" s="4"/>
      <c r="AD1726" s="4"/>
      <c r="AE1726" s="4"/>
      <c r="AF1726" s="4"/>
      <c r="AG1726" s="4"/>
      <c r="AH1726" s="4"/>
      <c r="AI1726" s="4"/>
      <c r="AJ1726" s="4"/>
      <c r="AK1726" s="4"/>
      <c r="AL1726" s="4" t="s">
        <v>1856</v>
      </c>
      <c r="AM1726" s="4" t="s">
        <v>205</v>
      </c>
    </row>
    <row r="1727" customFormat="false" ht="23.85" hidden="false" customHeight="false" outlineLevel="0" collapsed="false">
      <c r="A1727" s="4" t="s">
        <v>167</v>
      </c>
      <c r="B1727" s="4" t="s">
        <v>1932</v>
      </c>
      <c r="C1727" s="4" t="s">
        <v>1932</v>
      </c>
      <c r="D1727" s="12" t="n">
        <v>2024</v>
      </c>
      <c r="E1727" s="4"/>
      <c r="F1727" s="4" t="s">
        <v>169</v>
      </c>
      <c r="G1727" s="4" t="s">
        <v>170</v>
      </c>
      <c r="H1727" s="4" t="s">
        <v>171</v>
      </c>
      <c r="I1727" s="4" t="s">
        <v>172</v>
      </c>
      <c r="J1727" s="4" t="s">
        <v>1932</v>
      </c>
      <c r="K1727" s="4" t="s">
        <v>105</v>
      </c>
      <c r="L1727" s="4" t="s">
        <v>106</v>
      </c>
      <c r="M1727" s="4"/>
      <c r="N1727" s="4"/>
      <c r="O1727" s="4"/>
      <c r="P1727" s="4"/>
      <c r="Q1727" s="4"/>
      <c r="R1727" s="4"/>
      <c r="S1727" s="13" t="n">
        <v>-79.08</v>
      </c>
      <c r="T1727" s="4" t="s">
        <v>173</v>
      </c>
      <c r="U1727" s="14" t="n">
        <f aca="false">IF(OR($S1727="",PARAMETROS!$B$4=""),"",$S1727*PARAMETROS!$B$4)</f>
        <v>-459.4548</v>
      </c>
      <c r="V1727" s="13" t="n">
        <v>0</v>
      </c>
      <c r="W1727" s="4"/>
      <c r="X1727" s="4"/>
      <c r="Y1727" s="4"/>
      <c r="Z1727" s="4"/>
      <c r="AA1727" s="4"/>
      <c r="AB1727" s="4"/>
      <c r="AC1727" s="4"/>
      <c r="AD1727" s="4"/>
      <c r="AE1727" s="4"/>
      <c r="AF1727" s="4"/>
      <c r="AG1727" s="4"/>
      <c r="AH1727" s="4"/>
      <c r="AI1727" s="4"/>
      <c r="AJ1727" s="4"/>
      <c r="AK1727" s="4"/>
      <c r="AL1727" s="4" t="s">
        <v>1856</v>
      </c>
      <c r="AM1727" s="4" t="s">
        <v>205</v>
      </c>
    </row>
    <row r="1728" customFormat="false" ht="23.85" hidden="false" customHeight="false" outlineLevel="0" collapsed="false">
      <c r="A1728" s="4" t="s">
        <v>167</v>
      </c>
      <c r="B1728" s="4" t="s">
        <v>1933</v>
      </c>
      <c r="C1728" s="4" t="s">
        <v>1933</v>
      </c>
      <c r="D1728" s="12" t="n">
        <v>2024</v>
      </c>
      <c r="E1728" s="4"/>
      <c r="F1728" s="4" t="s">
        <v>169</v>
      </c>
      <c r="G1728" s="4" t="s">
        <v>170</v>
      </c>
      <c r="H1728" s="4" t="s">
        <v>171</v>
      </c>
      <c r="I1728" s="4" t="s">
        <v>172</v>
      </c>
      <c r="J1728" s="4" t="s">
        <v>1933</v>
      </c>
      <c r="K1728" s="4" t="s">
        <v>105</v>
      </c>
      <c r="L1728" s="4" t="s">
        <v>106</v>
      </c>
      <c r="M1728" s="4"/>
      <c r="N1728" s="4"/>
      <c r="O1728" s="4"/>
      <c r="P1728" s="4"/>
      <c r="Q1728" s="4"/>
      <c r="R1728" s="4"/>
      <c r="S1728" s="13" t="n">
        <v>0</v>
      </c>
      <c r="T1728" s="4" t="s">
        <v>173</v>
      </c>
      <c r="U1728" s="14" t="n">
        <f aca="false">IF(OR($S1728="",PARAMETROS!$B$4=""),"",$S1728*PARAMETROS!$B$4)</f>
        <v>0</v>
      </c>
      <c r="V1728" s="13" t="n">
        <v>0</v>
      </c>
      <c r="W1728" s="4"/>
      <c r="X1728" s="4"/>
      <c r="Y1728" s="4"/>
      <c r="Z1728" s="4"/>
      <c r="AA1728" s="4"/>
      <c r="AB1728" s="4"/>
      <c r="AC1728" s="4"/>
      <c r="AD1728" s="4"/>
      <c r="AE1728" s="4"/>
      <c r="AF1728" s="4"/>
      <c r="AG1728" s="4"/>
      <c r="AH1728" s="4"/>
      <c r="AI1728" s="4"/>
      <c r="AJ1728" s="4"/>
      <c r="AK1728" s="4"/>
      <c r="AL1728" s="4" t="s">
        <v>1856</v>
      </c>
      <c r="AM1728" s="4" t="s">
        <v>1698</v>
      </c>
    </row>
    <row r="1729" customFormat="false" ht="23.85" hidden="false" customHeight="false" outlineLevel="0" collapsed="false">
      <c r="A1729" s="4" t="s">
        <v>167</v>
      </c>
      <c r="B1729" s="4" t="s">
        <v>1934</v>
      </c>
      <c r="C1729" s="4" t="s">
        <v>1934</v>
      </c>
      <c r="D1729" s="12" t="n">
        <v>2024</v>
      </c>
      <c r="E1729" s="4"/>
      <c r="F1729" s="4" t="s">
        <v>169</v>
      </c>
      <c r="G1729" s="4" t="s">
        <v>170</v>
      </c>
      <c r="H1729" s="4" t="s">
        <v>171</v>
      </c>
      <c r="I1729" s="4" t="s">
        <v>172</v>
      </c>
      <c r="J1729" s="4" t="s">
        <v>1934</v>
      </c>
      <c r="K1729" s="4" t="s">
        <v>105</v>
      </c>
      <c r="L1729" s="4" t="s">
        <v>106</v>
      </c>
      <c r="M1729" s="4"/>
      <c r="N1729" s="4"/>
      <c r="O1729" s="4"/>
      <c r="P1729" s="4"/>
      <c r="Q1729" s="4"/>
      <c r="R1729" s="4"/>
      <c r="S1729" s="13" t="n">
        <v>0</v>
      </c>
      <c r="T1729" s="4" t="s">
        <v>173</v>
      </c>
      <c r="U1729" s="14" t="n">
        <f aca="false">IF(OR($S1729="",PARAMETROS!$B$4=""),"",$S1729*PARAMETROS!$B$4)</f>
        <v>0</v>
      </c>
      <c r="V1729" s="13" t="n">
        <v>0</v>
      </c>
      <c r="W1729" s="4"/>
      <c r="X1729" s="4"/>
      <c r="Y1729" s="4"/>
      <c r="Z1729" s="4"/>
      <c r="AA1729" s="4"/>
      <c r="AB1729" s="4"/>
      <c r="AC1729" s="4"/>
      <c r="AD1729" s="4"/>
      <c r="AE1729" s="4"/>
      <c r="AF1729" s="4"/>
      <c r="AG1729" s="4"/>
      <c r="AH1729" s="4"/>
      <c r="AI1729" s="4"/>
      <c r="AJ1729" s="4"/>
      <c r="AK1729" s="4"/>
      <c r="AL1729" s="4" t="s">
        <v>1856</v>
      </c>
      <c r="AM1729" s="4" t="s">
        <v>1813</v>
      </c>
    </row>
    <row r="1730" customFormat="false" ht="23.85" hidden="false" customHeight="false" outlineLevel="0" collapsed="false">
      <c r="A1730" s="4" t="s">
        <v>167</v>
      </c>
      <c r="B1730" s="4" t="s">
        <v>1935</v>
      </c>
      <c r="C1730" s="4" t="s">
        <v>1935</v>
      </c>
      <c r="D1730" s="12" t="n">
        <v>2024</v>
      </c>
      <c r="E1730" s="4"/>
      <c r="F1730" s="4" t="s">
        <v>169</v>
      </c>
      <c r="G1730" s="4" t="s">
        <v>170</v>
      </c>
      <c r="H1730" s="4" t="s">
        <v>171</v>
      </c>
      <c r="I1730" s="4" t="s">
        <v>172</v>
      </c>
      <c r="J1730" s="4" t="s">
        <v>1935</v>
      </c>
      <c r="K1730" s="4" t="s">
        <v>105</v>
      </c>
      <c r="L1730" s="4" t="s">
        <v>106</v>
      </c>
      <c r="M1730" s="4"/>
      <c r="N1730" s="4"/>
      <c r="O1730" s="4"/>
      <c r="P1730" s="4"/>
      <c r="Q1730" s="4"/>
      <c r="R1730" s="4"/>
      <c r="S1730" s="13" t="n">
        <v>0</v>
      </c>
      <c r="T1730" s="4" t="s">
        <v>173</v>
      </c>
      <c r="U1730" s="14" t="n">
        <f aca="false">IF(OR($S1730="",PARAMETROS!$B$4=""),"",$S1730*PARAMETROS!$B$4)</f>
        <v>0</v>
      </c>
      <c r="V1730" s="13" t="n">
        <v>0</v>
      </c>
      <c r="W1730" s="4"/>
      <c r="X1730" s="4"/>
      <c r="Y1730" s="4"/>
      <c r="Z1730" s="4"/>
      <c r="AA1730" s="4"/>
      <c r="AB1730" s="4"/>
      <c r="AC1730" s="4"/>
      <c r="AD1730" s="4"/>
      <c r="AE1730" s="4"/>
      <c r="AF1730" s="4"/>
      <c r="AG1730" s="4"/>
      <c r="AH1730" s="4"/>
      <c r="AI1730" s="4"/>
      <c r="AJ1730" s="4"/>
      <c r="AK1730" s="4"/>
      <c r="AL1730" s="4" t="s">
        <v>1856</v>
      </c>
      <c r="AM1730" s="4" t="s">
        <v>1723</v>
      </c>
    </row>
    <row r="1731" customFormat="false" ht="23.85" hidden="false" customHeight="false" outlineLevel="0" collapsed="false">
      <c r="A1731" s="4" t="s">
        <v>167</v>
      </c>
      <c r="B1731" s="4" t="s">
        <v>1936</v>
      </c>
      <c r="C1731" s="4" t="s">
        <v>1936</v>
      </c>
      <c r="D1731" s="12" t="n">
        <v>2024</v>
      </c>
      <c r="E1731" s="4"/>
      <c r="F1731" s="4" t="s">
        <v>169</v>
      </c>
      <c r="G1731" s="4" t="s">
        <v>170</v>
      </c>
      <c r="H1731" s="4" t="s">
        <v>171</v>
      </c>
      <c r="I1731" s="4" t="s">
        <v>172</v>
      </c>
      <c r="J1731" s="4" t="s">
        <v>1936</v>
      </c>
      <c r="K1731" s="4" t="s">
        <v>105</v>
      </c>
      <c r="L1731" s="4" t="s">
        <v>106</v>
      </c>
      <c r="M1731" s="4"/>
      <c r="N1731" s="4"/>
      <c r="O1731" s="4"/>
      <c r="P1731" s="4"/>
      <c r="Q1731" s="4"/>
      <c r="R1731" s="4"/>
      <c r="S1731" s="13" t="n">
        <v>0</v>
      </c>
      <c r="T1731" s="4" t="s">
        <v>173</v>
      </c>
      <c r="U1731" s="14" t="n">
        <f aca="false">IF(OR($S1731="",PARAMETROS!$B$4=""),"",$S1731*PARAMETROS!$B$4)</f>
        <v>0</v>
      </c>
      <c r="V1731" s="13" t="n">
        <v>0</v>
      </c>
      <c r="W1731" s="4"/>
      <c r="X1731" s="4"/>
      <c r="Y1731" s="4"/>
      <c r="Z1731" s="4"/>
      <c r="AA1731" s="4"/>
      <c r="AB1731" s="4"/>
      <c r="AC1731" s="4"/>
      <c r="AD1731" s="4"/>
      <c r="AE1731" s="4"/>
      <c r="AF1731" s="4"/>
      <c r="AG1731" s="4"/>
      <c r="AH1731" s="4"/>
      <c r="AI1731" s="4"/>
      <c r="AJ1731" s="4"/>
      <c r="AK1731" s="4"/>
      <c r="AL1731" s="4" t="s">
        <v>1856</v>
      </c>
      <c r="AM1731" s="4" t="s">
        <v>1704</v>
      </c>
    </row>
    <row r="1732" customFormat="false" ht="23.85" hidden="false" customHeight="false" outlineLevel="0" collapsed="false">
      <c r="A1732" s="4" t="s">
        <v>167</v>
      </c>
      <c r="B1732" s="4" t="s">
        <v>1937</v>
      </c>
      <c r="C1732" s="4" t="s">
        <v>1937</v>
      </c>
      <c r="D1732" s="12" t="n">
        <v>2024</v>
      </c>
      <c r="E1732" s="4"/>
      <c r="F1732" s="4" t="s">
        <v>169</v>
      </c>
      <c r="G1732" s="4" t="s">
        <v>170</v>
      </c>
      <c r="H1732" s="4" t="s">
        <v>171</v>
      </c>
      <c r="I1732" s="4" t="s">
        <v>172</v>
      </c>
      <c r="J1732" s="4" t="s">
        <v>1937</v>
      </c>
      <c r="K1732" s="4" t="s">
        <v>105</v>
      </c>
      <c r="L1732" s="4" t="s">
        <v>106</v>
      </c>
      <c r="M1732" s="4"/>
      <c r="N1732" s="4"/>
      <c r="O1732" s="4"/>
      <c r="P1732" s="4"/>
      <c r="Q1732" s="4"/>
      <c r="R1732" s="4"/>
      <c r="S1732" s="13" t="n">
        <v>44.35</v>
      </c>
      <c r="T1732" s="4" t="s">
        <v>173</v>
      </c>
      <c r="U1732" s="14" t="n">
        <f aca="false">IF(OR($S1732="",PARAMETROS!$B$4=""),"",$S1732*PARAMETROS!$B$4)</f>
        <v>257.6735</v>
      </c>
      <c r="V1732" s="13" t="n">
        <v>0</v>
      </c>
      <c r="W1732" s="4"/>
      <c r="X1732" s="4"/>
      <c r="Y1732" s="4"/>
      <c r="Z1732" s="4"/>
      <c r="AA1732" s="4"/>
      <c r="AB1732" s="4"/>
      <c r="AC1732" s="4"/>
      <c r="AD1732" s="4"/>
      <c r="AE1732" s="4"/>
      <c r="AF1732" s="4"/>
      <c r="AG1732" s="4"/>
      <c r="AH1732" s="4"/>
      <c r="AI1732" s="4"/>
      <c r="AJ1732" s="4"/>
      <c r="AK1732" s="4"/>
      <c r="AL1732" s="4" t="s">
        <v>1856</v>
      </c>
      <c r="AM1732" s="4" t="s">
        <v>205</v>
      </c>
    </row>
    <row r="1733" customFormat="false" ht="23.85" hidden="false" customHeight="false" outlineLevel="0" collapsed="false">
      <c r="A1733" s="4" t="s">
        <v>167</v>
      </c>
      <c r="B1733" s="4" t="s">
        <v>1938</v>
      </c>
      <c r="C1733" s="4" t="s">
        <v>1938</v>
      </c>
      <c r="D1733" s="12" t="n">
        <v>2024</v>
      </c>
      <c r="E1733" s="4"/>
      <c r="F1733" s="4" t="s">
        <v>169</v>
      </c>
      <c r="G1733" s="4" t="s">
        <v>170</v>
      </c>
      <c r="H1733" s="4" t="s">
        <v>171</v>
      </c>
      <c r="I1733" s="4" t="s">
        <v>172</v>
      </c>
      <c r="J1733" s="4" t="s">
        <v>1938</v>
      </c>
      <c r="K1733" s="4" t="s">
        <v>105</v>
      </c>
      <c r="L1733" s="4" t="s">
        <v>106</v>
      </c>
      <c r="M1733" s="4"/>
      <c r="N1733" s="4"/>
      <c r="O1733" s="4"/>
      <c r="P1733" s="4"/>
      <c r="Q1733" s="4"/>
      <c r="R1733" s="4"/>
      <c r="S1733" s="13" t="n">
        <v>3414.8</v>
      </c>
      <c r="T1733" s="4" t="s">
        <v>173</v>
      </c>
      <c r="U1733" s="14" t="n">
        <f aca="false">IF(OR($S1733="",PARAMETROS!$B$4=""),"",$S1733*PARAMETROS!$B$4)</f>
        <v>19839.988</v>
      </c>
      <c r="V1733" s="13" t="n">
        <v>0</v>
      </c>
      <c r="W1733" s="4"/>
      <c r="X1733" s="4"/>
      <c r="Y1733" s="4"/>
      <c r="Z1733" s="4"/>
      <c r="AA1733" s="4"/>
      <c r="AB1733" s="4"/>
      <c r="AC1733" s="4"/>
      <c r="AD1733" s="4"/>
      <c r="AE1733" s="4"/>
      <c r="AF1733" s="4"/>
      <c r="AG1733" s="4"/>
      <c r="AH1733" s="4"/>
      <c r="AI1733" s="4"/>
      <c r="AJ1733" s="4"/>
      <c r="AK1733" s="4"/>
      <c r="AL1733" s="4" t="s">
        <v>1856</v>
      </c>
      <c r="AM1733" s="4" t="s">
        <v>1818</v>
      </c>
    </row>
    <row r="1734" customFormat="false" ht="23.85" hidden="false" customHeight="false" outlineLevel="0" collapsed="false">
      <c r="A1734" s="4" t="s">
        <v>167</v>
      </c>
      <c r="B1734" s="4" t="s">
        <v>1939</v>
      </c>
      <c r="C1734" s="4" t="s">
        <v>1939</v>
      </c>
      <c r="D1734" s="12" t="n">
        <v>2024</v>
      </c>
      <c r="E1734" s="4"/>
      <c r="F1734" s="4" t="s">
        <v>169</v>
      </c>
      <c r="G1734" s="4" t="s">
        <v>170</v>
      </c>
      <c r="H1734" s="4" t="s">
        <v>171</v>
      </c>
      <c r="I1734" s="4" t="s">
        <v>172</v>
      </c>
      <c r="J1734" s="4" t="s">
        <v>1939</v>
      </c>
      <c r="K1734" s="4" t="s">
        <v>105</v>
      </c>
      <c r="L1734" s="4" t="s">
        <v>106</v>
      </c>
      <c r="M1734" s="4"/>
      <c r="N1734" s="4"/>
      <c r="O1734" s="4"/>
      <c r="P1734" s="4"/>
      <c r="Q1734" s="4"/>
      <c r="R1734" s="4"/>
      <c r="S1734" s="13" t="n">
        <v>88.7</v>
      </c>
      <c r="T1734" s="4" t="s">
        <v>173</v>
      </c>
      <c r="U1734" s="14" t="n">
        <f aca="false">IF(OR($S1734="",PARAMETROS!$B$4=""),"",$S1734*PARAMETROS!$B$4)</f>
        <v>515.347</v>
      </c>
      <c r="V1734" s="13" t="n">
        <v>0</v>
      </c>
      <c r="W1734" s="4"/>
      <c r="X1734" s="4"/>
      <c r="Y1734" s="4"/>
      <c r="Z1734" s="4"/>
      <c r="AA1734" s="4"/>
      <c r="AB1734" s="4"/>
      <c r="AC1734" s="4"/>
      <c r="AD1734" s="4"/>
      <c r="AE1734" s="4"/>
      <c r="AF1734" s="4"/>
      <c r="AG1734" s="4"/>
      <c r="AH1734" s="4"/>
      <c r="AI1734" s="4"/>
      <c r="AJ1734" s="4"/>
      <c r="AK1734" s="4"/>
      <c r="AL1734" s="4" t="s">
        <v>1856</v>
      </c>
      <c r="AM1734" s="4" t="s">
        <v>1820</v>
      </c>
    </row>
    <row r="1735" customFormat="false" ht="23.85" hidden="false" customHeight="false" outlineLevel="0" collapsed="false">
      <c r="A1735" s="4" t="s">
        <v>167</v>
      </c>
      <c r="B1735" s="4" t="s">
        <v>1940</v>
      </c>
      <c r="C1735" s="4" t="s">
        <v>1940</v>
      </c>
      <c r="D1735" s="12" t="n">
        <v>2024</v>
      </c>
      <c r="E1735" s="4"/>
      <c r="F1735" s="4" t="s">
        <v>169</v>
      </c>
      <c r="G1735" s="4" t="s">
        <v>170</v>
      </c>
      <c r="H1735" s="4" t="s">
        <v>171</v>
      </c>
      <c r="I1735" s="4" t="s">
        <v>172</v>
      </c>
      <c r="J1735" s="4" t="s">
        <v>1940</v>
      </c>
      <c r="K1735" s="4" t="s">
        <v>105</v>
      </c>
      <c r="L1735" s="4" t="s">
        <v>106</v>
      </c>
      <c r="M1735" s="4"/>
      <c r="N1735" s="4"/>
      <c r="O1735" s="4"/>
      <c r="P1735" s="4"/>
      <c r="Q1735" s="4"/>
      <c r="R1735" s="4"/>
      <c r="S1735" s="13" t="n">
        <v>886.96</v>
      </c>
      <c r="T1735" s="4" t="s">
        <v>173</v>
      </c>
      <c r="U1735" s="14" t="n">
        <f aca="false">IF(OR($S1735="",PARAMETROS!$B$4=""),"",$S1735*PARAMETROS!$B$4)</f>
        <v>5153.2376</v>
      </c>
      <c r="V1735" s="13" t="n">
        <v>0</v>
      </c>
      <c r="W1735" s="4"/>
      <c r="X1735" s="4"/>
      <c r="Y1735" s="4"/>
      <c r="Z1735" s="4"/>
      <c r="AA1735" s="4"/>
      <c r="AB1735" s="4"/>
      <c r="AC1735" s="4"/>
      <c r="AD1735" s="4"/>
      <c r="AE1735" s="4"/>
      <c r="AF1735" s="4"/>
      <c r="AG1735" s="4"/>
      <c r="AH1735" s="4"/>
      <c r="AI1735" s="4"/>
      <c r="AJ1735" s="4"/>
      <c r="AK1735" s="4"/>
      <c r="AL1735" s="4" t="s">
        <v>1856</v>
      </c>
      <c r="AM1735" s="4" t="s">
        <v>1868</v>
      </c>
    </row>
    <row r="1736" customFormat="false" ht="23.85" hidden="false" customHeight="false" outlineLevel="0" collapsed="false">
      <c r="A1736" s="4" t="s">
        <v>167</v>
      </c>
      <c r="B1736" s="4" t="s">
        <v>1941</v>
      </c>
      <c r="C1736" s="4" t="s">
        <v>1941</v>
      </c>
      <c r="D1736" s="12" t="n">
        <v>2024</v>
      </c>
      <c r="E1736" s="4"/>
      <c r="F1736" s="4" t="s">
        <v>169</v>
      </c>
      <c r="G1736" s="4" t="s">
        <v>170</v>
      </c>
      <c r="H1736" s="4" t="s">
        <v>171</v>
      </c>
      <c r="I1736" s="4" t="s">
        <v>172</v>
      </c>
      <c r="J1736" s="4" t="s">
        <v>1941</v>
      </c>
      <c r="K1736" s="4" t="s">
        <v>105</v>
      </c>
      <c r="L1736" s="4" t="s">
        <v>106</v>
      </c>
      <c r="M1736" s="4"/>
      <c r="N1736" s="4"/>
      <c r="O1736" s="4"/>
      <c r="P1736" s="4"/>
      <c r="Q1736" s="4"/>
      <c r="R1736" s="4"/>
      <c r="S1736" s="13" t="n">
        <v>0</v>
      </c>
      <c r="T1736" s="4" t="s">
        <v>173</v>
      </c>
      <c r="U1736" s="14" t="n">
        <f aca="false">IF(OR($S1736="",PARAMETROS!$B$4=""),"",$S1736*PARAMETROS!$B$4)</f>
        <v>0</v>
      </c>
      <c r="V1736" s="13" t="n">
        <v>0</v>
      </c>
      <c r="W1736" s="4"/>
      <c r="X1736" s="4"/>
      <c r="Y1736" s="4"/>
      <c r="Z1736" s="4"/>
      <c r="AA1736" s="4"/>
      <c r="AB1736" s="4"/>
      <c r="AC1736" s="4"/>
      <c r="AD1736" s="4"/>
      <c r="AE1736" s="4"/>
      <c r="AF1736" s="4"/>
      <c r="AG1736" s="4"/>
      <c r="AH1736" s="4"/>
      <c r="AI1736" s="4"/>
      <c r="AJ1736" s="4"/>
      <c r="AK1736" s="4"/>
      <c r="AL1736" s="4" t="s">
        <v>1856</v>
      </c>
      <c r="AM1736" s="4" t="s">
        <v>205</v>
      </c>
    </row>
    <row r="1737" customFormat="false" ht="23.85" hidden="false" customHeight="false" outlineLevel="0" collapsed="false">
      <c r="A1737" s="4" t="s">
        <v>167</v>
      </c>
      <c r="B1737" s="4" t="s">
        <v>1942</v>
      </c>
      <c r="C1737" s="4" t="s">
        <v>1942</v>
      </c>
      <c r="D1737" s="12" t="n">
        <v>2024</v>
      </c>
      <c r="E1737" s="4"/>
      <c r="F1737" s="4" t="s">
        <v>169</v>
      </c>
      <c r="G1737" s="4" t="s">
        <v>170</v>
      </c>
      <c r="H1737" s="4" t="s">
        <v>171</v>
      </c>
      <c r="I1737" s="4" t="s">
        <v>172</v>
      </c>
      <c r="J1737" s="4" t="s">
        <v>1942</v>
      </c>
      <c r="K1737" s="4" t="s">
        <v>105</v>
      </c>
      <c r="L1737" s="4" t="s">
        <v>106</v>
      </c>
      <c r="M1737" s="4"/>
      <c r="N1737" s="4"/>
      <c r="O1737" s="4"/>
      <c r="P1737" s="4"/>
      <c r="Q1737" s="4"/>
      <c r="R1737" s="4"/>
      <c r="S1737" s="13" t="n">
        <v>0</v>
      </c>
      <c r="T1737" s="4" t="s">
        <v>173</v>
      </c>
      <c r="U1737" s="14" t="n">
        <f aca="false">IF(OR($S1737="",PARAMETROS!$B$4=""),"",$S1737*PARAMETROS!$B$4)</f>
        <v>0</v>
      </c>
      <c r="V1737" s="13" t="n">
        <v>0</v>
      </c>
      <c r="W1737" s="4"/>
      <c r="X1737" s="4"/>
      <c r="Y1737" s="4"/>
      <c r="Z1737" s="4"/>
      <c r="AA1737" s="4"/>
      <c r="AB1737" s="4"/>
      <c r="AC1737" s="4"/>
      <c r="AD1737" s="4"/>
      <c r="AE1737" s="4"/>
      <c r="AF1737" s="4"/>
      <c r="AG1737" s="4"/>
      <c r="AH1737" s="4"/>
      <c r="AI1737" s="4"/>
      <c r="AJ1737" s="4"/>
      <c r="AK1737" s="4"/>
      <c r="AL1737" s="4" t="s">
        <v>1856</v>
      </c>
      <c r="AM1737" s="4" t="s">
        <v>1714</v>
      </c>
    </row>
    <row r="1738" customFormat="false" ht="23.85" hidden="false" customHeight="false" outlineLevel="0" collapsed="false">
      <c r="A1738" s="4" t="s">
        <v>167</v>
      </c>
      <c r="B1738" s="4" t="s">
        <v>1943</v>
      </c>
      <c r="C1738" s="4" t="s">
        <v>1943</v>
      </c>
      <c r="D1738" s="12" t="n">
        <v>2024</v>
      </c>
      <c r="E1738" s="4"/>
      <c r="F1738" s="4" t="s">
        <v>169</v>
      </c>
      <c r="G1738" s="4" t="s">
        <v>170</v>
      </c>
      <c r="H1738" s="4" t="s">
        <v>171</v>
      </c>
      <c r="I1738" s="4" t="s">
        <v>172</v>
      </c>
      <c r="J1738" s="4" t="s">
        <v>1943</v>
      </c>
      <c r="K1738" s="4" t="s">
        <v>107</v>
      </c>
      <c r="L1738" s="4" t="s">
        <v>108</v>
      </c>
      <c r="M1738" s="4"/>
      <c r="N1738" s="4"/>
      <c r="O1738" s="4"/>
      <c r="P1738" s="4"/>
      <c r="Q1738" s="4"/>
      <c r="R1738" s="4"/>
      <c r="S1738" s="13" t="n">
        <v>0</v>
      </c>
      <c r="T1738" s="4" t="s">
        <v>173</v>
      </c>
      <c r="U1738" s="14" t="n">
        <f aca="false">IF(OR($S1738="",PARAMETROS!$B$4=""),"",$S1738*PARAMETROS!$B$4)</f>
        <v>0</v>
      </c>
      <c r="V1738" s="13" t="n">
        <v>0</v>
      </c>
      <c r="W1738" s="4"/>
      <c r="X1738" s="4"/>
      <c r="Y1738" s="4"/>
      <c r="Z1738" s="4"/>
      <c r="AA1738" s="4"/>
      <c r="AB1738" s="4"/>
      <c r="AC1738" s="4"/>
      <c r="AD1738" s="4"/>
      <c r="AE1738" s="4"/>
      <c r="AF1738" s="4"/>
      <c r="AG1738" s="4"/>
      <c r="AH1738" s="4"/>
      <c r="AI1738" s="4"/>
      <c r="AJ1738" s="4"/>
      <c r="AK1738" s="4"/>
      <c r="AL1738" s="4" t="s">
        <v>1856</v>
      </c>
      <c r="AM1738" s="4" t="s">
        <v>205</v>
      </c>
    </row>
    <row r="1739" customFormat="false" ht="23.85" hidden="false" customHeight="false" outlineLevel="0" collapsed="false">
      <c r="A1739" s="4" t="s">
        <v>167</v>
      </c>
      <c r="B1739" s="4" t="s">
        <v>1944</v>
      </c>
      <c r="C1739" s="4" t="s">
        <v>1944</v>
      </c>
      <c r="D1739" s="12" t="n">
        <v>2024</v>
      </c>
      <c r="E1739" s="4"/>
      <c r="F1739" s="4" t="s">
        <v>169</v>
      </c>
      <c r="G1739" s="4" t="s">
        <v>170</v>
      </c>
      <c r="H1739" s="4" t="s">
        <v>171</v>
      </c>
      <c r="I1739" s="4" t="s">
        <v>172</v>
      </c>
      <c r="J1739" s="4" t="s">
        <v>1944</v>
      </c>
      <c r="K1739" s="4" t="s">
        <v>107</v>
      </c>
      <c r="L1739" s="4" t="s">
        <v>108</v>
      </c>
      <c r="M1739" s="4"/>
      <c r="N1739" s="4"/>
      <c r="O1739" s="4"/>
      <c r="P1739" s="4"/>
      <c r="Q1739" s="4"/>
      <c r="R1739" s="4"/>
      <c r="S1739" s="13" t="n">
        <v>952.89</v>
      </c>
      <c r="T1739" s="4" t="s">
        <v>173</v>
      </c>
      <c r="U1739" s="14" t="n">
        <f aca="false">IF(OR($S1739="",PARAMETROS!$B$4=""),"",$S1739*PARAMETROS!$B$4)</f>
        <v>5536.2909</v>
      </c>
      <c r="V1739" s="13" t="n">
        <v>0</v>
      </c>
      <c r="W1739" s="4"/>
      <c r="X1739" s="4"/>
      <c r="Y1739" s="4"/>
      <c r="Z1739" s="4"/>
      <c r="AA1739" s="4"/>
      <c r="AB1739" s="4"/>
      <c r="AC1739" s="4"/>
      <c r="AD1739" s="4"/>
      <c r="AE1739" s="4"/>
      <c r="AF1739" s="4"/>
      <c r="AG1739" s="4"/>
      <c r="AH1739" s="4"/>
      <c r="AI1739" s="4"/>
      <c r="AJ1739" s="4"/>
      <c r="AK1739" s="4"/>
      <c r="AL1739" s="4" t="s">
        <v>1856</v>
      </c>
      <c r="AM1739" s="4" t="s">
        <v>205</v>
      </c>
    </row>
    <row r="1740" customFormat="false" ht="23.85" hidden="false" customHeight="false" outlineLevel="0" collapsed="false">
      <c r="A1740" s="4" t="s">
        <v>167</v>
      </c>
      <c r="B1740" s="4" t="s">
        <v>1945</v>
      </c>
      <c r="C1740" s="4" t="s">
        <v>1945</v>
      </c>
      <c r="D1740" s="12" t="n">
        <v>2024</v>
      </c>
      <c r="E1740" s="4"/>
      <c r="F1740" s="4" t="s">
        <v>169</v>
      </c>
      <c r="G1740" s="4" t="s">
        <v>170</v>
      </c>
      <c r="H1740" s="4" t="s">
        <v>171</v>
      </c>
      <c r="I1740" s="4" t="s">
        <v>172</v>
      </c>
      <c r="J1740" s="4" t="s">
        <v>1945</v>
      </c>
      <c r="K1740" s="4" t="s">
        <v>107</v>
      </c>
      <c r="L1740" s="4" t="s">
        <v>108</v>
      </c>
      <c r="M1740" s="4"/>
      <c r="N1740" s="4"/>
      <c r="O1740" s="4"/>
      <c r="P1740" s="4"/>
      <c r="Q1740" s="4"/>
      <c r="R1740" s="4"/>
      <c r="S1740" s="13" t="n">
        <v>0</v>
      </c>
      <c r="T1740" s="4" t="s">
        <v>173</v>
      </c>
      <c r="U1740" s="14" t="n">
        <f aca="false">IF(OR($S1740="",PARAMETROS!$B$4=""),"",$S1740*PARAMETROS!$B$4)</f>
        <v>0</v>
      </c>
      <c r="V1740" s="13" t="n">
        <v>0</v>
      </c>
      <c r="W1740" s="4"/>
      <c r="X1740" s="4"/>
      <c r="Y1740" s="4"/>
      <c r="Z1740" s="4"/>
      <c r="AA1740" s="4"/>
      <c r="AB1740" s="4"/>
      <c r="AC1740" s="4"/>
      <c r="AD1740" s="4"/>
      <c r="AE1740" s="4"/>
      <c r="AF1740" s="4"/>
      <c r="AG1740" s="4"/>
      <c r="AH1740" s="4"/>
      <c r="AI1740" s="4"/>
      <c r="AJ1740" s="4"/>
      <c r="AK1740" s="4"/>
      <c r="AL1740" s="4" t="s">
        <v>1856</v>
      </c>
      <c r="AM1740" s="4" t="s">
        <v>205</v>
      </c>
    </row>
    <row r="1741" customFormat="false" ht="23.85" hidden="false" customHeight="false" outlineLevel="0" collapsed="false">
      <c r="A1741" s="4" t="s">
        <v>167</v>
      </c>
      <c r="B1741" s="4" t="s">
        <v>1946</v>
      </c>
      <c r="C1741" s="4" t="s">
        <v>1946</v>
      </c>
      <c r="D1741" s="12" t="n">
        <v>2024</v>
      </c>
      <c r="E1741" s="4"/>
      <c r="F1741" s="4" t="s">
        <v>169</v>
      </c>
      <c r="G1741" s="4" t="s">
        <v>170</v>
      </c>
      <c r="H1741" s="4" t="s">
        <v>171</v>
      </c>
      <c r="I1741" s="4" t="s">
        <v>172</v>
      </c>
      <c r="J1741" s="4" t="s">
        <v>1946</v>
      </c>
      <c r="K1741" s="4" t="s">
        <v>107</v>
      </c>
      <c r="L1741" s="4" t="s">
        <v>108</v>
      </c>
      <c r="M1741" s="4"/>
      <c r="N1741" s="4"/>
      <c r="O1741" s="4"/>
      <c r="P1741" s="4"/>
      <c r="Q1741" s="4"/>
      <c r="R1741" s="4"/>
      <c r="S1741" s="13" t="n">
        <v>12.88</v>
      </c>
      <c r="T1741" s="4" t="s">
        <v>173</v>
      </c>
      <c r="U1741" s="14" t="n">
        <f aca="false">IF(OR($S1741="",PARAMETROS!$B$4=""),"",$S1741*PARAMETROS!$B$4)</f>
        <v>74.8328</v>
      </c>
      <c r="V1741" s="13" t="n">
        <v>0</v>
      </c>
      <c r="W1741" s="4"/>
      <c r="X1741" s="4"/>
      <c r="Y1741" s="4"/>
      <c r="Z1741" s="4"/>
      <c r="AA1741" s="4"/>
      <c r="AB1741" s="4"/>
      <c r="AC1741" s="4"/>
      <c r="AD1741" s="4"/>
      <c r="AE1741" s="4"/>
      <c r="AF1741" s="4"/>
      <c r="AG1741" s="4"/>
      <c r="AH1741" s="4"/>
      <c r="AI1741" s="4"/>
      <c r="AJ1741" s="4"/>
      <c r="AK1741" s="4"/>
      <c r="AL1741" s="4" t="s">
        <v>1856</v>
      </c>
      <c r="AM1741" s="4" t="s">
        <v>205</v>
      </c>
    </row>
    <row r="1742" customFormat="false" ht="23.85" hidden="false" customHeight="false" outlineLevel="0" collapsed="false">
      <c r="A1742" s="4" t="s">
        <v>167</v>
      </c>
      <c r="B1742" s="4" t="s">
        <v>1947</v>
      </c>
      <c r="C1742" s="4" t="s">
        <v>1947</v>
      </c>
      <c r="D1742" s="12" t="n">
        <v>2024</v>
      </c>
      <c r="E1742" s="4"/>
      <c r="F1742" s="4" t="s">
        <v>169</v>
      </c>
      <c r="G1742" s="4" t="s">
        <v>170</v>
      </c>
      <c r="H1742" s="4" t="s">
        <v>171</v>
      </c>
      <c r="I1742" s="4" t="s">
        <v>172</v>
      </c>
      <c r="J1742" s="4" t="s">
        <v>1947</v>
      </c>
      <c r="K1742" s="4" t="s">
        <v>107</v>
      </c>
      <c r="L1742" s="4" t="s">
        <v>108</v>
      </c>
      <c r="M1742" s="4"/>
      <c r="N1742" s="4"/>
      <c r="O1742" s="4"/>
      <c r="P1742" s="4"/>
      <c r="Q1742" s="4"/>
      <c r="R1742" s="4"/>
      <c r="S1742" s="13" t="n">
        <v>0</v>
      </c>
      <c r="T1742" s="4" t="s">
        <v>173</v>
      </c>
      <c r="U1742" s="14" t="n">
        <f aca="false">IF(OR($S1742="",PARAMETROS!$B$4=""),"",$S1742*PARAMETROS!$B$4)</f>
        <v>0</v>
      </c>
      <c r="V1742" s="13" t="n">
        <v>0</v>
      </c>
      <c r="W1742" s="4"/>
      <c r="X1742" s="4"/>
      <c r="Y1742" s="4"/>
      <c r="Z1742" s="4"/>
      <c r="AA1742" s="4"/>
      <c r="AB1742" s="4"/>
      <c r="AC1742" s="4"/>
      <c r="AD1742" s="4"/>
      <c r="AE1742" s="4"/>
      <c r="AF1742" s="4"/>
      <c r="AG1742" s="4"/>
      <c r="AH1742" s="4"/>
      <c r="AI1742" s="4"/>
      <c r="AJ1742" s="4"/>
      <c r="AK1742" s="4"/>
      <c r="AL1742" s="4" t="s">
        <v>1856</v>
      </c>
      <c r="AM1742" s="4" t="s">
        <v>1698</v>
      </c>
    </row>
    <row r="1743" customFormat="false" ht="23.85" hidden="false" customHeight="false" outlineLevel="0" collapsed="false">
      <c r="A1743" s="4" t="s">
        <v>167</v>
      </c>
      <c r="B1743" s="4" t="s">
        <v>1948</v>
      </c>
      <c r="C1743" s="4" t="s">
        <v>1948</v>
      </c>
      <c r="D1743" s="12" t="n">
        <v>2024</v>
      </c>
      <c r="E1743" s="4"/>
      <c r="F1743" s="4" t="s">
        <v>169</v>
      </c>
      <c r="G1743" s="4" t="s">
        <v>170</v>
      </c>
      <c r="H1743" s="4" t="s">
        <v>171</v>
      </c>
      <c r="I1743" s="4" t="s">
        <v>172</v>
      </c>
      <c r="J1743" s="4" t="s">
        <v>1948</v>
      </c>
      <c r="K1743" s="4" t="s">
        <v>107</v>
      </c>
      <c r="L1743" s="4" t="s">
        <v>108</v>
      </c>
      <c r="M1743" s="4"/>
      <c r="N1743" s="4"/>
      <c r="O1743" s="4"/>
      <c r="P1743" s="4"/>
      <c r="Q1743" s="4"/>
      <c r="R1743" s="4"/>
      <c r="S1743" s="13" t="n">
        <v>0</v>
      </c>
      <c r="T1743" s="4" t="s">
        <v>173</v>
      </c>
      <c r="U1743" s="14" t="n">
        <f aca="false">IF(OR($S1743="",PARAMETROS!$B$4=""),"",$S1743*PARAMETROS!$B$4)</f>
        <v>0</v>
      </c>
      <c r="V1743" s="13" t="n">
        <v>0</v>
      </c>
      <c r="W1743" s="4"/>
      <c r="X1743" s="4"/>
      <c r="Y1743" s="4"/>
      <c r="Z1743" s="4"/>
      <c r="AA1743" s="4"/>
      <c r="AB1743" s="4"/>
      <c r="AC1743" s="4"/>
      <c r="AD1743" s="4"/>
      <c r="AE1743" s="4"/>
      <c r="AF1743" s="4"/>
      <c r="AG1743" s="4"/>
      <c r="AH1743" s="4"/>
      <c r="AI1743" s="4"/>
      <c r="AJ1743" s="4"/>
      <c r="AK1743" s="4"/>
      <c r="AL1743" s="4" t="s">
        <v>1856</v>
      </c>
      <c r="AM1743" s="4" t="s">
        <v>1813</v>
      </c>
    </row>
    <row r="1744" customFormat="false" ht="23.85" hidden="false" customHeight="false" outlineLevel="0" collapsed="false">
      <c r="A1744" s="4" t="s">
        <v>167</v>
      </c>
      <c r="B1744" s="4" t="s">
        <v>1949</v>
      </c>
      <c r="C1744" s="4" t="s">
        <v>1949</v>
      </c>
      <c r="D1744" s="12" t="n">
        <v>2024</v>
      </c>
      <c r="E1744" s="4"/>
      <c r="F1744" s="4" t="s">
        <v>169</v>
      </c>
      <c r="G1744" s="4" t="s">
        <v>170</v>
      </c>
      <c r="H1744" s="4" t="s">
        <v>171</v>
      </c>
      <c r="I1744" s="4" t="s">
        <v>172</v>
      </c>
      <c r="J1744" s="4" t="s">
        <v>1949</v>
      </c>
      <c r="K1744" s="4" t="s">
        <v>107</v>
      </c>
      <c r="L1744" s="4" t="s">
        <v>108</v>
      </c>
      <c r="M1744" s="4"/>
      <c r="N1744" s="4"/>
      <c r="O1744" s="4"/>
      <c r="P1744" s="4"/>
      <c r="Q1744" s="4"/>
      <c r="R1744" s="4"/>
      <c r="S1744" s="13" t="n">
        <v>0</v>
      </c>
      <c r="T1744" s="4" t="s">
        <v>173</v>
      </c>
      <c r="U1744" s="14" t="n">
        <f aca="false">IF(OR($S1744="",PARAMETROS!$B$4=""),"",$S1744*PARAMETROS!$B$4)</f>
        <v>0</v>
      </c>
      <c r="V1744" s="13" t="n">
        <v>0</v>
      </c>
      <c r="W1744" s="4"/>
      <c r="X1744" s="4"/>
      <c r="Y1744" s="4"/>
      <c r="Z1744" s="4"/>
      <c r="AA1744" s="4"/>
      <c r="AB1744" s="4"/>
      <c r="AC1744" s="4"/>
      <c r="AD1744" s="4"/>
      <c r="AE1744" s="4"/>
      <c r="AF1744" s="4"/>
      <c r="AG1744" s="4"/>
      <c r="AH1744" s="4"/>
      <c r="AI1744" s="4"/>
      <c r="AJ1744" s="4"/>
      <c r="AK1744" s="4"/>
      <c r="AL1744" s="4" t="s">
        <v>1856</v>
      </c>
      <c r="AM1744" s="4" t="s">
        <v>1723</v>
      </c>
    </row>
    <row r="1745" customFormat="false" ht="23.85" hidden="false" customHeight="false" outlineLevel="0" collapsed="false">
      <c r="A1745" s="4" t="s">
        <v>167</v>
      </c>
      <c r="B1745" s="4" t="s">
        <v>1950</v>
      </c>
      <c r="C1745" s="4" t="s">
        <v>1950</v>
      </c>
      <c r="D1745" s="12" t="n">
        <v>2024</v>
      </c>
      <c r="E1745" s="4"/>
      <c r="F1745" s="4" t="s">
        <v>169</v>
      </c>
      <c r="G1745" s="4" t="s">
        <v>170</v>
      </c>
      <c r="H1745" s="4" t="s">
        <v>171</v>
      </c>
      <c r="I1745" s="4" t="s">
        <v>172</v>
      </c>
      <c r="J1745" s="4" t="s">
        <v>1950</v>
      </c>
      <c r="K1745" s="4" t="s">
        <v>107</v>
      </c>
      <c r="L1745" s="4" t="s">
        <v>108</v>
      </c>
      <c r="M1745" s="4"/>
      <c r="N1745" s="4"/>
      <c r="O1745" s="4"/>
      <c r="P1745" s="4"/>
      <c r="Q1745" s="4"/>
      <c r="R1745" s="4"/>
      <c r="S1745" s="13" t="n">
        <v>0</v>
      </c>
      <c r="T1745" s="4" t="s">
        <v>173</v>
      </c>
      <c r="U1745" s="14" t="n">
        <f aca="false">IF(OR($S1745="",PARAMETROS!$B$4=""),"",$S1745*PARAMETROS!$B$4)</f>
        <v>0</v>
      </c>
      <c r="V1745" s="13" t="n">
        <v>0</v>
      </c>
      <c r="W1745" s="4"/>
      <c r="X1745" s="4"/>
      <c r="Y1745" s="4"/>
      <c r="Z1745" s="4"/>
      <c r="AA1745" s="4"/>
      <c r="AB1745" s="4"/>
      <c r="AC1745" s="4"/>
      <c r="AD1745" s="4"/>
      <c r="AE1745" s="4"/>
      <c r="AF1745" s="4"/>
      <c r="AG1745" s="4"/>
      <c r="AH1745" s="4"/>
      <c r="AI1745" s="4"/>
      <c r="AJ1745" s="4"/>
      <c r="AK1745" s="4"/>
      <c r="AL1745" s="4" t="s">
        <v>1856</v>
      </c>
      <c r="AM1745" s="4" t="s">
        <v>1704</v>
      </c>
    </row>
    <row r="1746" customFormat="false" ht="23.85" hidden="false" customHeight="false" outlineLevel="0" collapsed="false">
      <c r="A1746" s="4" t="s">
        <v>167</v>
      </c>
      <c r="B1746" s="4" t="s">
        <v>1951</v>
      </c>
      <c r="C1746" s="4" t="s">
        <v>1951</v>
      </c>
      <c r="D1746" s="12" t="n">
        <v>2024</v>
      </c>
      <c r="E1746" s="4"/>
      <c r="F1746" s="4" t="s">
        <v>169</v>
      </c>
      <c r="G1746" s="4" t="s">
        <v>170</v>
      </c>
      <c r="H1746" s="4" t="s">
        <v>171</v>
      </c>
      <c r="I1746" s="4" t="s">
        <v>172</v>
      </c>
      <c r="J1746" s="4" t="s">
        <v>1951</v>
      </c>
      <c r="K1746" s="4" t="s">
        <v>107</v>
      </c>
      <c r="L1746" s="4" t="s">
        <v>108</v>
      </c>
      <c r="M1746" s="4"/>
      <c r="N1746" s="4"/>
      <c r="O1746" s="4"/>
      <c r="P1746" s="4"/>
      <c r="Q1746" s="4"/>
      <c r="R1746" s="4"/>
      <c r="S1746" s="13" t="n">
        <v>965.77</v>
      </c>
      <c r="T1746" s="4" t="s">
        <v>173</v>
      </c>
      <c r="U1746" s="14" t="n">
        <f aca="false">IF(OR($S1746="",PARAMETROS!$B$4=""),"",$S1746*PARAMETROS!$B$4)</f>
        <v>5611.1237</v>
      </c>
      <c r="V1746" s="13" t="n">
        <v>0</v>
      </c>
      <c r="W1746" s="4"/>
      <c r="X1746" s="4"/>
      <c r="Y1746" s="4"/>
      <c r="Z1746" s="4"/>
      <c r="AA1746" s="4"/>
      <c r="AB1746" s="4"/>
      <c r="AC1746" s="4"/>
      <c r="AD1746" s="4"/>
      <c r="AE1746" s="4"/>
      <c r="AF1746" s="4"/>
      <c r="AG1746" s="4"/>
      <c r="AH1746" s="4"/>
      <c r="AI1746" s="4"/>
      <c r="AJ1746" s="4"/>
      <c r="AK1746" s="4"/>
      <c r="AL1746" s="4" t="s">
        <v>1856</v>
      </c>
      <c r="AM1746" s="4" t="s">
        <v>205</v>
      </c>
    </row>
    <row r="1747" customFormat="false" ht="23.85" hidden="false" customHeight="false" outlineLevel="0" collapsed="false">
      <c r="A1747" s="4" t="s">
        <v>167</v>
      </c>
      <c r="B1747" s="4" t="s">
        <v>1952</v>
      </c>
      <c r="C1747" s="4" t="s">
        <v>1952</v>
      </c>
      <c r="D1747" s="12" t="n">
        <v>2024</v>
      </c>
      <c r="E1747" s="4"/>
      <c r="F1747" s="4" t="s">
        <v>169</v>
      </c>
      <c r="G1747" s="4" t="s">
        <v>170</v>
      </c>
      <c r="H1747" s="4" t="s">
        <v>171</v>
      </c>
      <c r="I1747" s="4" t="s">
        <v>172</v>
      </c>
      <c r="J1747" s="4" t="s">
        <v>1952</v>
      </c>
      <c r="K1747" s="4" t="s">
        <v>107</v>
      </c>
      <c r="L1747" s="4" t="s">
        <v>108</v>
      </c>
      <c r="M1747" s="4"/>
      <c r="N1747" s="4"/>
      <c r="O1747" s="4"/>
      <c r="P1747" s="4"/>
      <c r="Q1747" s="4"/>
      <c r="R1747" s="4"/>
      <c r="S1747" s="13" t="n">
        <v>0</v>
      </c>
      <c r="T1747" s="4" t="s">
        <v>173</v>
      </c>
      <c r="U1747" s="14" t="n">
        <f aca="false">IF(OR($S1747="",PARAMETROS!$B$4=""),"",$S1747*PARAMETROS!$B$4)</f>
        <v>0</v>
      </c>
      <c r="V1747" s="13" t="n">
        <v>0</v>
      </c>
      <c r="W1747" s="4"/>
      <c r="X1747" s="4"/>
      <c r="Y1747" s="4"/>
      <c r="Z1747" s="4"/>
      <c r="AA1747" s="4"/>
      <c r="AB1747" s="4"/>
      <c r="AC1747" s="4"/>
      <c r="AD1747" s="4"/>
      <c r="AE1747" s="4"/>
      <c r="AF1747" s="4"/>
      <c r="AG1747" s="4"/>
      <c r="AH1747" s="4"/>
      <c r="AI1747" s="4"/>
      <c r="AJ1747" s="4"/>
      <c r="AK1747" s="4"/>
      <c r="AL1747" s="4" t="s">
        <v>1856</v>
      </c>
      <c r="AM1747" s="4" t="s">
        <v>1707</v>
      </c>
    </row>
    <row r="1748" customFormat="false" ht="23.85" hidden="false" customHeight="false" outlineLevel="0" collapsed="false">
      <c r="A1748" s="4" t="s">
        <v>167</v>
      </c>
      <c r="B1748" s="4" t="s">
        <v>1953</v>
      </c>
      <c r="C1748" s="4" t="s">
        <v>1953</v>
      </c>
      <c r="D1748" s="12" t="n">
        <v>2024</v>
      </c>
      <c r="E1748" s="4"/>
      <c r="F1748" s="4" t="s">
        <v>169</v>
      </c>
      <c r="G1748" s="4" t="s">
        <v>170</v>
      </c>
      <c r="H1748" s="4" t="s">
        <v>171</v>
      </c>
      <c r="I1748" s="4" t="s">
        <v>172</v>
      </c>
      <c r="J1748" s="4" t="s">
        <v>1953</v>
      </c>
      <c r="K1748" s="4" t="s">
        <v>107</v>
      </c>
      <c r="L1748" s="4" t="s">
        <v>108</v>
      </c>
      <c r="M1748" s="4"/>
      <c r="N1748" s="4"/>
      <c r="O1748" s="4"/>
      <c r="P1748" s="4"/>
      <c r="Q1748" s="4"/>
      <c r="R1748" s="4"/>
      <c r="S1748" s="13" t="n">
        <v>0</v>
      </c>
      <c r="T1748" s="4" t="s">
        <v>173</v>
      </c>
      <c r="U1748" s="14" t="n">
        <f aca="false">IF(OR($S1748="",PARAMETROS!$B$4=""),"",$S1748*PARAMETROS!$B$4)</f>
        <v>0</v>
      </c>
      <c r="V1748" s="13" t="n">
        <v>0</v>
      </c>
      <c r="W1748" s="4"/>
      <c r="X1748" s="4"/>
      <c r="Y1748" s="4"/>
      <c r="Z1748" s="4"/>
      <c r="AA1748" s="4"/>
      <c r="AB1748" s="4"/>
      <c r="AC1748" s="4"/>
      <c r="AD1748" s="4"/>
      <c r="AE1748" s="4"/>
      <c r="AF1748" s="4"/>
      <c r="AG1748" s="4"/>
      <c r="AH1748" s="4"/>
      <c r="AI1748" s="4"/>
      <c r="AJ1748" s="4"/>
      <c r="AK1748" s="4"/>
      <c r="AL1748" s="4" t="s">
        <v>1856</v>
      </c>
      <c r="AM1748" s="4" t="s">
        <v>1709</v>
      </c>
    </row>
    <row r="1749" customFormat="false" ht="23.85" hidden="false" customHeight="false" outlineLevel="0" collapsed="false">
      <c r="A1749" s="4" t="s">
        <v>167</v>
      </c>
      <c r="B1749" s="4" t="s">
        <v>1954</v>
      </c>
      <c r="C1749" s="4" t="s">
        <v>1954</v>
      </c>
      <c r="D1749" s="12" t="n">
        <v>2024</v>
      </c>
      <c r="E1749" s="4"/>
      <c r="F1749" s="4" t="s">
        <v>169</v>
      </c>
      <c r="G1749" s="4" t="s">
        <v>170</v>
      </c>
      <c r="H1749" s="4" t="s">
        <v>171</v>
      </c>
      <c r="I1749" s="4" t="s">
        <v>172</v>
      </c>
      <c r="J1749" s="4" t="s">
        <v>1954</v>
      </c>
      <c r="K1749" s="4" t="s">
        <v>107</v>
      </c>
      <c r="L1749" s="4" t="s">
        <v>108</v>
      </c>
      <c r="M1749" s="4"/>
      <c r="N1749" s="4"/>
      <c r="O1749" s="4"/>
      <c r="P1749" s="4"/>
      <c r="Q1749" s="4"/>
      <c r="R1749" s="4"/>
      <c r="S1749" s="13" t="n">
        <v>0</v>
      </c>
      <c r="T1749" s="4" t="s">
        <v>173</v>
      </c>
      <c r="U1749" s="14" t="n">
        <f aca="false">IF(OR($S1749="",PARAMETROS!$B$4=""),"",$S1749*PARAMETROS!$B$4)</f>
        <v>0</v>
      </c>
      <c r="V1749" s="13" t="n">
        <v>0</v>
      </c>
      <c r="W1749" s="4"/>
      <c r="X1749" s="4"/>
      <c r="Y1749" s="4"/>
      <c r="Z1749" s="4"/>
      <c r="AA1749" s="4"/>
      <c r="AB1749" s="4"/>
      <c r="AC1749" s="4"/>
      <c r="AD1749" s="4"/>
      <c r="AE1749" s="4"/>
      <c r="AF1749" s="4"/>
      <c r="AG1749" s="4"/>
      <c r="AH1749" s="4"/>
      <c r="AI1749" s="4"/>
      <c r="AJ1749" s="4"/>
      <c r="AK1749" s="4"/>
      <c r="AL1749" s="4" t="s">
        <v>1856</v>
      </c>
      <c r="AM1749" s="4" t="s">
        <v>1711</v>
      </c>
    </row>
    <row r="1750" customFormat="false" ht="23.85" hidden="false" customHeight="false" outlineLevel="0" collapsed="false">
      <c r="A1750" s="4" t="s">
        <v>167</v>
      </c>
      <c r="B1750" s="4" t="s">
        <v>1955</v>
      </c>
      <c r="C1750" s="4" t="s">
        <v>1955</v>
      </c>
      <c r="D1750" s="12" t="n">
        <v>2024</v>
      </c>
      <c r="E1750" s="4"/>
      <c r="F1750" s="4" t="s">
        <v>169</v>
      </c>
      <c r="G1750" s="4" t="s">
        <v>170</v>
      </c>
      <c r="H1750" s="4" t="s">
        <v>171</v>
      </c>
      <c r="I1750" s="4" t="s">
        <v>172</v>
      </c>
      <c r="J1750" s="4" t="s">
        <v>1955</v>
      </c>
      <c r="K1750" s="4" t="s">
        <v>107</v>
      </c>
      <c r="L1750" s="4" t="s">
        <v>108</v>
      </c>
      <c r="M1750" s="4"/>
      <c r="N1750" s="4"/>
      <c r="O1750" s="4"/>
      <c r="P1750" s="4"/>
      <c r="Q1750" s="4"/>
      <c r="R1750" s="4"/>
      <c r="S1750" s="13" t="n">
        <v>0</v>
      </c>
      <c r="T1750" s="4" t="s">
        <v>173</v>
      </c>
      <c r="U1750" s="14" t="n">
        <f aca="false">IF(OR($S1750="",PARAMETROS!$B$4=""),"",$S1750*PARAMETROS!$B$4)</f>
        <v>0</v>
      </c>
      <c r="V1750" s="13" t="n">
        <v>0</v>
      </c>
      <c r="W1750" s="4"/>
      <c r="X1750" s="4"/>
      <c r="Y1750" s="4"/>
      <c r="Z1750" s="4"/>
      <c r="AA1750" s="4"/>
      <c r="AB1750" s="4"/>
      <c r="AC1750" s="4"/>
      <c r="AD1750" s="4"/>
      <c r="AE1750" s="4"/>
      <c r="AF1750" s="4"/>
      <c r="AG1750" s="4"/>
      <c r="AH1750" s="4"/>
      <c r="AI1750" s="4"/>
      <c r="AJ1750" s="4"/>
      <c r="AK1750" s="4"/>
      <c r="AL1750" s="4" t="s">
        <v>1856</v>
      </c>
      <c r="AM1750" s="4" t="s">
        <v>205</v>
      </c>
    </row>
    <row r="1751" customFormat="false" ht="23.85" hidden="false" customHeight="false" outlineLevel="0" collapsed="false">
      <c r="A1751" s="4" t="s">
        <v>167</v>
      </c>
      <c r="B1751" s="4" t="s">
        <v>1956</v>
      </c>
      <c r="C1751" s="4" t="s">
        <v>1956</v>
      </c>
      <c r="D1751" s="12" t="n">
        <v>2024</v>
      </c>
      <c r="E1751" s="4"/>
      <c r="F1751" s="4" t="s">
        <v>169</v>
      </c>
      <c r="G1751" s="4" t="s">
        <v>170</v>
      </c>
      <c r="H1751" s="4" t="s">
        <v>171</v>
      </c>
      <c r="I1751" s="4" t="s">
        <v>172</v>
      </c>
      <c r="J1751" s="4" t="s">
        <v>1956</v>
      </c>
      <c r="K1751" s="4" t="s">
        <v>107</v>
      </c>
      <c r="L1751" s="4" t="s">
        <v>108</v>
      </c>
      <c r="M1751" s="4"/>
      <c r="N1751" s="4"/>
      <c r="O1751" s="4"/>
      <c r="P1751" s="4"/>
      <c r="Q1751" s="4"/>
      <c r="R1751" s="4"/>
      <c r="S1751" s="13" t="n">
        <v>0</v>
      </c>
      <c r="T1751" s="4" t="s">
        <v>173</v>
      </c>
      <c r="U1751" s="14" t="n">
        <f aca="false">IF(OR($S1751="",PARAMETROS!$B$4=""),"",$S1751*PARAMETROS!$B$4)</f>
        <v>0</v>
      </c>
      <c r="V1751" s="13" t="n">
        <v>0</v>
      </c>
      <c r="W1751" s="4"/>
      <c r="X1751" s="4"/>
      <c r="Y1751" s="4"/>
      <c r="Z1751" s="4"/>
      <c r="AA1751" s="4"/>
      <c r="AB1751" s="4"/>
      <c r="AC1751" s="4"/>
      <c r="AD1751" s="4"/>
      <c r="AE1751" s="4"/>
      <c r="AF1751" s="4"/>
      <c r="AG1751" s="4"/>
      <c r="AH1751" s="4"/>
      <c r="AI1751" s="4"/>
      <c r="AJ1751" s="4"/>
      <c r="AK1751" s="4"/>
      <c r="AL1751" s="4" t="s">
        <v>1856</v>
      </c>
      <c r="AM1751" s="4" t="s">
        <v>1714</v>
      </c>
    </row>
    <row r="1752" customFormat="false" ht="23.85" hidden="false" customHeight="false" outlineLevel="0" collapsed="false">
      <c r="A1752" s="4" t="s">
        <v>167</v>
      </c>
      <c r="B1752" s="4" t="s">
        <v>1957</v>
      </c>
      <c r="C1752" s="4" t="s">
        <v>1957</v>
      </c>
      <c r="D1752" s="12" t="n">
        <v>2024</v>
      </c>
      <c r="E1752" s="4"/>
      <c r="F1752" s="4" t="s">
        <v>169</v>
      </c>
      <c r="G1752" s="4" t="s">
        <v>170</v>
      </c>
      <c r="H1752" s="4" t="s">
        <v>171</v>
      </c>
      <c r="I1752" s="4" t="s">
        <v>172</v>
      </c>
      <c r="J1752" s="4" t="s">
        <v>1957</v>
      </c>
      <c r="K1752" s="4" t="s">
        <v>111</v>
      </c>
      <c r="L1752" s="4" t="s">
        <v>112</v>
      </c>
      <c r="M1752" s="4"/>
      <c r="N1752" s="4"/>
      <c r="O1752" s="4"/>
      <c r="P1752" s="4"/>
      <c r="Q1752" s="4"/>
      <c r="R1752" s="4"/>
      <c r="S1752" s="13" t="n">
        <v>0</v>
      </c>
      <c r="T1752" s="4" t="s">
        <v>173</v>
      </c>
      <c r="U1752" s="14" t="n">
        <f aca="false">IF(OR($S1752="",PARAMETROS!$B$4=""),"",$S1752*PARAMETROS!$B$4)</f>
        <v>0</v>
      </c>
      <c r="V1752" s="13" t="n">
        <v>0</v>
      </c>
      <c r="W1752" s="4"/>
      <c r="X1752" s="4"/>
      <c r="Y1752" s="4"/>
      <c r="Z1752" s="4"/>
      <c r="AA1752" s="4"/>
      <c r="AB1752" s="4"/>
      <c r="AC1752" s="4"/>
      <c r="AD1752" s="4"/>
      <c r="AE1752" s="4"/>
      <c r="AF1752" s="4"/>
      <c r="AG1752" s="4"/>
      <c r="AH1752" s="4"/>
      <c r="AI1752" s="4"/>
      <c r="AJ1752" s="4"/>
      <c r="AK1752" s="4"/>
      <c r="AL1752" s="4" t="s">
        <v>1856</v>
      </c>
      <c r="AM1752" s="4" t="s">
        <v>1958</v>
      </c>
    </row>
    <row r="1753" customFormat="false" ht="23.85" hidden="false" customHeight="false" outlineLevel="0" collapsed="false">
      <c r="A1753" s="4" t="s">
        <v>167</v>
      </c>
      <c r="B1753" s="4" t="s">
        <v>1959</v>
      </c>
      <c r="C1753" s="4" t="s">
        <v>1959</v>
      </c>
      <c r="D1753" s="12" t="n">
        <v>2024</v>
      </c>
      <c r="E1753" s="4"/>
      <c r="F1753" s="4" t="s">
        <v>169</v>
      </c>
      <c r="G1753" s="4" t="s">
        <v>170</v>
      </c>
      <c r="H1753" s="4" t="s">
        <v>171</v>
      </c>
      <c r="I1753" s="4" t="s">
        <v>172</v>
      </c>
      <c r="J1753" s="4" t="s">
        <v>1959</v>
      </c>
      <c r="K1753" s="4" t="s">
        <v>111</v>
      </c>
      <c r="L1753" s="4" t="s">
        <v>112</v>
      </c>
      <c r="M1753" s="4"/>
      <c r="N1753" s="4"/>
      <c r="O1753" s="4"/>
      <c r="P1753" s="4"/>
      <c r="Q1753" s="4"/>
      <c r="R1753" s="4"/>
      <c r="S1753" s="13" t="n">
        <v>76.55</v>
      </c>
      <c r="T1753" s="4" t="s">
        <v>173</v>
      </c>
      <c r="U1753" s="14" t="n">
        <f aca="false">IF(OR($S1753="",PARAMETROS!$B$4=""),"",$S1753*PARAMETROS!$B$4)</f>
        <v>444.7555</v>
      </c>
      <c r="V1753" s="13" t="n">
        <v>0</v>
      </c>
      <c r="W1753" s="4"/>
      <c r="X1753" s="4"/>
      <c r="Y1753" s="4"/>
      <c r="Z1753" s="4"/>
      <c r="AA1753" s="4"/>
      <c r="AB1753" s="4"/>
      <c r="AC1753" s="4"/>
      <c r="AD1753" s="4"/>
      <c r="AE1753" s="4"/>
      <c r="AF1753" s="4"/>
      <c r="AG1753" s="4"/>
      <c r="AH1753" s="4"/>
      <c r="AI1753" s="4"/>
      <c r="AJ1753" s="4"/>
      <c r="AK1753" s="4"/>
      <c r="AL1753" s="4" t="s">
        <v>1856</v>
      </c>
      <c r="AM1753" s="4" t="s">
        <v>1958</v>
      </c>
    </row>
    <row r="1754" customFormat="false" ht="23.85" hidden="false" customHeight="false" outlineLevel="0" collapsed="false">
      <c r="A1754" s="4" t="s">
        <v>167</v>
      </c>
      <c r="B1754" s="4" t="s">
        <v>1960</v>
      </c>
      <c r="C1754" s="4" t="s">
        <v>1960</v>
      </c>
      <c r="D1754" s="12" t="n">
        <v>2024</v>
      </c>
      <c r="E1754" s="4"/>
      <c r="F1754" s="4" t="s">
        <v>169</v>
      </c>
      <c r="G1754" s="4" t="s">
        <v>170</v>
      </c>
      <c r="H1754" s="4" t="s">
        <v>171</v>
      </c>
      <c r="I1754" s="4" t="s">
        <v>172</v>
      </c>
      <c r="J1754" s="4" t="s">
        <v>1960</v>
      </c>
      <c r="K1754" s="4" t="s">
        <v>111</v>
      </c>
      <c r="L1754" s="4" t="s">
        <v>112</v>
      </c>
      <c r="M1754" s="4"/>
      <c r="N1754" s="4"/>
      <c r="O1754" s="4"/>
      <c r="P1754" s="4"/>
      <c r="Q1754" s="4"/>
      <c r="R1754" s="4"/>
      <c r="S1754" s="13" t="n">
        <v>342.78</v>
      </c>
      <c r="T1754" s="4" t="s">
        <v>173</v>
      </c>
      <c r="U1754" s="14" t="n">
        <f aca="false">IF(OR($S1754="",PARAMETROS!$B$4=""),"",$S1754*PARAMETROS!$B$4)</f>
        <v>1991.5518</v>
      </c>
      <c r="V1754" s="13" t="n">
        <v>0</v>
      </c>
      <c r="W1754" s="4"/>
      <c r="X1754" s="4"/>
      <c r="Y1754" s="4"/>
      <c r="Z1754" s="4"/>
      <c r="AA1754" s="4"/>
      <c r="AB1754" s="4"/>
      <c r="AC1754" s="4"/>
      <c r="AD1754" s="4"/>
      <c r="AE1754" s="4"/>
      <c r="AF1754" s="4"/>
      <c r="AG1754" s="4"/>
      <c r="AH1754" s="4"/>
      <c r="AI1754" s="4"/>
      <c r="AJ1754" s="4"/>
      <c r="AK1754" s="4"/>
      <c r="AL1754" s="4" t="s">
        <v>1856</v>
      </c>
      <c r="AM1754" s="4" t="s">
        <v>1958</v>
      </c>
    </row>
    <row r="1755" customFormat="false" ht="23.85" hidden="false" customHeight="false" outlineLevel="0" collapsed="false">
      <c r="A1755" s="4" t="s">
        <v>167</v>
      </c>
      <c r="B1755" s="4" t="s">
        <v>1961</v>
      </c>
      <c r="C1755" s="4" t="s">
        <v>1961</v>
      </c>
      <c r="D1755" s="12" t="n">
        <v>2024</v>
      </c>
      <c r="E1755" s="4"/>
      <c r="F1755" s="4" t="s">
        <v>169</v>
      </c>
      <c r="G1755" s="4" t="s">
        <v>170</v>
      </c>
      <c r="H1755" s="4" t="s">
        <v>171</v>
      </c>
      <c r="I1755" s="4" t="s">
        <v>172</v>
      </c>
      <c r="J1755" s="4" t="s">
        <v>1961</v>
      </c>
      <c r="K1755" s="4" t="s">
        <v>111</v>
      </c>
      <c r="L1755" s="4" t="s">
        <v>112</v>
      </c>
      <c r="M1755" s="4"/>
      <c r="N1755" s="4"/>
      <c r="O1755" s="4"/>
      <c r="P1755" s="4"/>
      <c r="Q1755" s="4"/>
      <c r="R1755" s="4"/>
      <c r="S1755" s="13" t="n">
        <v>-3.4</v>
      </c>
      <c r="T1755" s="4" t="s">
        <v>173</v>
      </c>
      <c r="U1755" s="14" t="n">
        <f aca="false">IF(OR($S1755="",PARAMETROS!$B$4=""),"",$S1755*PARAMETROS!$B$4)</f>
        <v>-19.754</v>
      </c>
      <c r="V1755" s="13" t="n">
        <v>0</v>
      </c>
      <c r="W1755" s="4"/>
      <c r="X1755" s="4"/>
      <c r="Y1755" s="4"/>
      <c r="Z1755" s="4"/>
      <c r="AA1755" s="4"/>
      <c r="AB1755" s="4"/>
      <c r="AC1755" s="4"/>
      <c r="AD1755" s="4"/>
      <c r="AE1755" s="4"/>
      <c r="AF1755" s="4"/>
      <c r="AG1755" s="4"/>
      <c r="AH1755" s="4"/>
      <c r="AI1755" s="4"/>
      <c r="AJ1755" s="4"/>
      <c r="AK1755" s="4"/>
      <c r="AL1755" s="4" t="s">
        <v>1856</v>
      </c>
      <c r="AM1755" s="4" t="s">
        <v>1958</v>
      </c>
    </row>
    <row r="1756" customFormat="false" ht="23.85" hidden="false" customHeight="false" outlineLevel="0" collapsed="false">
      <c r="A1756" s="4" t="s">
        <v>167</v>
      </c>
      <c r="B1756" s="4" t="s">
        <v>1962</v>
      </c>
      <c r="C1756" s="4" t="s">
        <v>1962</v>
      </c>
      <c r="D1756" s="12" t="n">
        <v>2024</v>
      </c>
      <c r="E1756" s="4"/>
      <c r="F1756" s="4" t="s">
        <v>169</v>
      </c>
      <c r="G1756" s="4" t="s">
        <v>170</v>
      </c>
      <c r="H1756" s="4" t="s">
        <v>171</v>
      </c>
      <c r="I1756" s="4" t="s">
        <v>172</v>
      </c>
      <c r="J1756" s="4" t="s">
        <v>1962</v>
      </c>
      <c r="K1756" s="4" t="s">
        <v>111</v>
      </c>
      <c r="L1756" s="4" t="s">
        <v>112</v>
      </c>
      <c r="M1756" s="4"/>
      <c r="N1756" s="4"/>
      <c r="O1756" s="4"/>
      <c r="P1756" s="4"/>
      <c r="Q1756" s="4"/>
      <c r="R1756" s="4"/>
      <c r="S1756" s="13" t="n">
        <v>479.1</v>
      </c>
      <c r="T1756" s="4" t="s">
        <v>173</v>
      </c>
      <c r="U1756" s="14" t="n">
        <f aca="false">IF(OR($S1756="",PARAMETROS!$B$4=""),"",$S1756*PARAMETROS!$B$4)</f>
        <v>2783.571</v>
      </c>
      <c r="V1756" s="13" t="n">
        <v>0</v>
      </c>
      <c r="W1756" s="4"/>
      <c r="X1756" s="4"/>
      <c r="Y1756" s="4"/>
      <c r="Z1756" s="4"/>
      <c r="AA1756" s="4"/>
      <c r="AB1756" s="4"/>
      <c r="AC1756" s="4"/>
      <c r="AD1756" s="4"/>
      <c r="AE1756" s="4"/>
      <c r="AF1756" s="4"/>
      <c r="AG1756" s="4"/>
      <c r="AH1756" s="4"/>
      <c r="AI1756" s="4"/>
      <c r="AJ1756" s="4"/>
      <c r="AK1756" s="4"/>
      <c r="AL1756" s="4" t="s">
        <v>1856</v>
      </c>
      <c r="AM1756" s="4" t="s">
        <v>1830</v>
      </c>
    </row>
    <row r="1757" customFormat="false" ht="23.85" hidden="false" customHeight="false" outlineLevel="0" collapsed="false">
      <c r="A1757" s="4" t="s">
        <v>167</v>
      </c>
      <c r="B1757" s="4" t="s">
        <v>1963</v>
      </c>
      <c r="C1757" s="4" t="s">
        <v>1963</v>
      </c>
      <c r="D1757" s="12" t="n">
        <v>2024</v>
      </c>
      <c r="E1757" s="4"/>
      <c r="F1757" s="4" t="s">
        <v>169</v>
      </c>
      <c r="G1757" s="4" t="s">
        <v>170</v>
      </c>
      <c r="H1757" s="4" t="s">
        <v>171</v>
      </c>
      <c r="I1757" s="4" t="s">
        <v>172</v>
      </c>
      <c r="J1757" s="4" t="s">
        <v>1963</v>
      </c>
      <c r="K1757" s="4" t="s">
        <v>111</v>
      </c>
      <c r="L1757" s="4" t="s">
        <v>112</v>
      </c>
      <c r="M1757" s="4"/>
      <c r="N1757" s="4"/>
      <c r="O1757" s="4"/>
      <c r="P1757" s="4"/>
      <c r="Q1757" s="4"/>
      <c r="R1757" s="4"/>
      <c r="S1757" s="13" t="n">
        <v>0</v>
      </c>
      <c r="T1757" s="4" t="s">
        <v>173</v>
      </c>
      <c r="U1757" s="14" t="n">
        <f aca="false">IF(OR($S1757="",PARAMETROS!$B$4=""),"",$S1757*PARAMETROS!$B$4)</f>
        <v>0</v>
      </c>
      <c r="V1757" s="13" t="n">
        <v>0</v>
      </c>
      <c r="W1757" s="4"/>
      <c r="X1757" s="4"/>
      <c r="Y1757" s="4"/>
      <c r="Z1757" s="4"/>
      <c r="AA1757" s="4"/>
      <c r="AB1757" s="4"/>
      <c r="AC1757" s="4"/>
      <c r="AD1757" s="4"/>
      <c r="AE1757" s="4"/>
      <c r="AF1757" s="4"/>
      <c r="AG1757" s="4"/>
      <c r="AH1757" s="4"/>
      <c r="AI1757" s="4"/>
      <c r="AJ1757" s="4"/>
      <c r="AK1757" s="4"/>
      <c r="AL1757" s="4" t="s">
        <v>1856</v>
      </c>
      <c r="AM1757" s="4" t="s">
        <v>1813</v>
      </c>
    </row>
    <row r="1758" customFormat="false" ht="23.85" hidden="false" customHeight="false" outlineLevel="0" collapsed="false">
      <c r="A1758" s="4" t="s">
        <v>167</v>
      </c>
      <c r="B1758" s="4" t="s">
        <v>1964</v>
      </c>
      <c r="C1758" s="4" t="s">
        <v>1964</v>
      </c>
      <c r="D1758" s="12" t="n">
        <v>2024</v>
      </c>
      <c r="E1758" s="4"/>
      <c r="F1758" s="4" t="s">
        <v>169</v>
      </c>
      <c r="G1758" s="4" t="s">
        <v>170</v>
      </c>
      <c r="H1758" s="4" t="s">
        <v>171</v>
      </c>
      <c r="I1758" s="4" t="s">
        <v>172</v>
      </c>
      <c r="J1758" s="4" t="s">
        <v>1964</v>
      </c>
      <c r="K1758" s="4" t="s">
        <v>111</v>
      </c>
      <c r="L1758" s="4" t="s">
        <v>112</v>
      </c>
      <c r="M1758" s="4"/>
      <c r="N1758" s="4"/>
      <c r="O1758" s="4"/>
      <c r="P1758" s="4"/>
      <c r="Q1758" s="4"/>
      <c r="R1758" s="4"/>
      <c r="S1758" s="13" t="n">
        <v>0</v>
      </c>
      <c r="T1758" s="4" t="s">
        <v>173</v>
      </c>
      <c r="U1758" s="14" t="n">
        <f aca="false">IF(OR($S1758="",PARAMETROS!$B$4=""),"",$S1758*PARAMETROS!$B$4)</f>
        <v>0</v>
      </c>
      <c r="V1758" s="13" t="n">
        <v>0</v>
      </c>
      <c r="W1758" s="4"/>
      <c r="X1758" s="4"/>
      <c r="Y1758" s="4"/>
      <c r="Z1758" s="4"/>
      <c r="AA1758" s="4"/>
      <c r="AB1758" s="4"/>
      <c r="AC1758" s="4"/>
      <c r="AD1758" s="4"/>
      <c r="AE1758" s="4"/>
      <c r="AF1758" s="4"/>
      <c r="AG1758" s="4"/>
      <c r="AH1758" s="4"/>
      <c r="AI1758" s="4"/>
      <c r="AJ1758" s="4"/>
      <c r="AK1758" s="4"/>
      <c r="AL1758" s="4" t="s">
        <v>1856</v>
      </c>
      <c r="AM1758" s="4" t="s">
        <v>1723</v>
      </c>
    </row>
    <row r="1759" customFormat="false" ht="23.85" hidden="false" customHeight="false" outlineLevel="0" collapsed="false">
      <c r="A1759" s="4" t="s">
        <v>167</v>
      </c>
      <c r="B1759" s="4" t="s">
        <v>1965</v>
      </c>
      <c r="C1759" s="4" t="s">
        <v>1965</v>
      </c>
      <c r="D1759" s="12" t="n">
        <v>2024</v>
      </c>
      <c r="E1759" s="4"/>
      <c r="F1759" s="4" t="s">
        <v>169</v>
      </c>
      <c r="G1759" s="4" t="s">
        <v>170</v>
      </c>
      <c r="H1759" s="4" t="s">
        <v>171</v>
      </c>
      <c r="I1759" s="4" t="s">
        <v>172</v>
      </c>
      <c r="J1759" s="4" t="s">
        <v>1965</v>
      </c>
      <c r="K1759" s="4" t="s">
        <v>111</v>
      </c>
      <c r="L1759" s="4" t="s">
        <v>112</v>
      </c>
      <c r="M1759" s="4"/>
      <c r="N1759" s="4"/>
      <c r="O1759" s="4"/>
      <c r="P1759" s="4"/>
      <c r="Q1759" s="4"/>
      <c r="R1759" s="4"/>
      <c r="S1759" s="13" t="n">
        <v>0</v>
      </c>
      <c r="T1759" s="4" t="s">
        <v>173</v>
      </c>
      <c r="U1759" s="14" t="n">
        <f aca="false">IF(OR($S1759="",PARAMETROS!$B$4=""),"",$S1759*PARAMETROS!$B$4)</f>
        <v>0</v>
      </c>
      <c r="V1759" s="13" t="n">
        <v>0</v>
      </c>
      <c r="W1759" s="4"/>
      <c r="X1759" s="4"/>
      <c r="Y1759" s="4"/>
      <c r="Z1759" s="4"/>
      <c r="AA1759" s="4"/>
      <c r="AB1759" s="4"/>
      <c r="AC1759" s="4"/>
      <c r="AD1759" s="4"/>
      <c r="AE1759" s="4"/>
      <c r="AF1759" s="4"/>
      <c r="AG1759" s="4"/>
      <c r="AH1759" s="4"/>
      <c r="AI1759" s="4"/>
      <c r="AJ1759" s="4"/>
      <c r="AK1759" s="4"/>
      <c r="AL1759" s="4" t="s">
        <v>1856</v>
      </c>
      <c r="AM1759" s="4" t="s">
        <v>1704</v>
      </c>
    </row>
    <row r="1760" customFormat="false" ht="23.85" hidden="false" customHeight="false" outlineLevel="0" collapsed="false">
      <c r="A1760" s="4" t="s">
        <v>167</v>
      </c>
      <c r="B1760" s="4" t="s">
        <v>1966</v>
      </c>
      <c r="C1760" s="4" t="s">
        <v>1966</v>
      </c>
      <c r="D1760" s="12" t="n">
        <v>2024</v>
      </c>
      <c r="E1760" s="4"/>
      <c r="F1760" s="4" t="s">
        <v>169</v>
      </c>
      <c r="G1760" s="4" t="s">
        <v>170</v>
      </c>
      <c r="H1760" s="4" t="s">
        <v>171</v>
      </c>
      <c r="I1760" s="4" t="s">
        <v>172</v>
      </c>
      <c r="J1760" s="4" t="s">
        <v>1966</v>
      </c>
      <c r="K1760" s="4" t="s">
        <v>111</v>
      </c>
      <c r="L1760" s="4" t="s">
        <v>112</v>
      </c>
      <c r="M1760" s="4"/>
      <c r="N1760" s="4"/>
      <c r="O1760" s="4"/>
      <c r="P1760" s="4"/>
      <c r="Q1760" s="4"/>
      <c r="R1760" s="4"/>
      <c r="S1760" s="13" t="n">
        <v>0</v>
      </c>
      <c r="T1760" s="4" t="s">
        <v>173</v>
      </c>
      <c r="U1760" s="14" t="n">
        <f aca="false">IF(OR($S1760="",PARAMETROS!$B$4=""),"",$S1760*PARAMETROS!$B$4)</f>
        <v>0</v>
      </c>
      <c r="V1760" s="13" t="n">
        <v>0</v>
      </c>
      <c r="W1760" s="4"/>
      <c r="X1760" s="4"/>
      <c r="Y1760" s="4"/>
      <c r="Z1760" s="4"/>
      <c r="AA1760" s="4"/>
      <c r="AB1760" s="4"/>
      <c r="AC1760" s="4"/>
      <c r="AD1760" s="4"/>
      <c r="AE1760" s="4"/>
      <c r="AF1760" s="4"/>
      <c r="AG1760" s="4"/>
      <c r="AH1760" s="4"/>
      <c r="AI1760" s="4"/>
      <c r="AJ1760" s="4"/>
      <c r="AK1760" s="4"/>
      <c r="AL1760" s="4" t="s">
        <v>1856</v>
      </c>
      <c r="AM1760" s="4" t="s">
        <v>1958</v>
      </c>
    </row>
    <row r="1761" customFormat="false" ht="23.85" hidden="false" customHeight="false" outlineLevel="0" collapsed="false">
      <c r="A1761" s="4" t="s">
        <v>167</v>
      </c>
      <c r="B1761" s="4" t="s">
        <v>1967</v>
      </c>
      <c r="C1761" s="4" t="s">
        <v>1967</v>
      </c>
      <c r="D1761" s="12" t="n">
        <v>2024</v>
      </c>
      <c r="E1761" s="4"/>
      <c r="F1761" s="4" t="s">
        <v>169</v>
      </c>
      <c r="G1761" s="4" t="s">
        <v>170</v>
      </c>
      <c r="H1761" s="4" t="s">
        <v>171</v>
      </c>
      <c r="I1761" s="4" t="s">
        <v>172</v>
      </c>
      <c r="J1761" s="4" t="s">
        <v>1967</v>
      </c>
      <c r="K1761" s="4" t="s">
        <v>111</v>
      </c>
      <c r="L1761" s="4" t="s">
        <v>112</v>
      </c>
      <c r="M1761" s="4"/>
      <c r="N1761" s="4"/>
      <c r="O1761" s="4"/>
      <c r="P1761" s="4"/>
      <c r="Q1761" s="4"/>
      <c r="R1761" s="4"/>
      <c r="S1761" s="13" t="n">
        <v>0</v>
      </c>
      <c r="T1761" s="4" t="s">
        <v>173</v>
      </c>
      <c r="U1761" s="14" t="n">
        <f aca="false">IF(OR($S1761="",PARAMETROS!$B$4=""),"",$S1761*PARAMETROS!$B$4)</f>
        <v>0</v>
      </c>
      <c r="V1761" s="13" t="n">
        <v>0</v>
      </c>
      <c r="W1761" s="4"/>
      <c r="X1761" s="4"/>
      <c r="Y1761" s="4"/>
      <c r="Z1761" s="4"/>
      <c r="AA1761" s="4"/>
      <c r="AB1761" s="4"/>
      <c r="AC1761" s="4"/>
      <c r="AD1761" s="4"/>
      <c r="AE1761" s="4"/>
      <c r="AF1761" s="4"/>
      <c r="AG1761" s="4"/>
      <c r="AH1761" s="4"/>
      <c r="AI1761" s="4"/>
      <c r="AJ1761" s="4"/>
      <c r="AK1761" s="4"/>
      <c r="AL1761" s="4" t="s">
        <v>1856</v>
      </c>
      <c r="AM1761" s="4" t="s">
        <v>1707</v>
      </c>
    </row>
    <row r="1762" customFormat="false" ht="23.85" hidden="false" customHeight="false" outlineLevel="0" collapsed="false">
      <c r="A1762" s="4" t="s">
        <v>167</v>
      </c>
      <c r="B1762" s="4" t="s">
        <v>1968</v>
      </c>
      <c r="C1762" s="4" t="s">
        <v>1968</v>
      </c>
      <c r="D1762" s="12" t="n">
        <v>2024</v>
      </c>
      <c r="E1762" s="4"/>
      <c r="F1762" s="4" t="s">
        <v>169</v>
      </c>
      <c r="G1762" s="4" t="s">
        <v>170</v>
      </c>
      <c r="H1762" s="4" t="s">
        <v>171</v>
      </c>
      <c r="I1762" s="4" t="s">
        <v>172</v>
      </c>
      <c r="J1762" s="4" t="s">
        <v>1968</v>
      </c>
      <c r="K1762" s="4" t="s">
        <v>111</v>
      </c>
      <c r="L1762" s="4" t="s">
        <v>112</v>
      </c>
      <c r="M1762" s="4"/>
      <c r="N1762" s="4"/>
      <c r="O1762" s="4"/>
      <c r="P1762" s="4"/>
      <c r="Q1762" s="4"/>
      <c r="R1762" s="4"/>
      <c r="S1762" s="13" t="n">
        <v>0</v>
      </c>
      <c r="T1762" s="4" t="s">
        <v>173</v>
      </c>
      <c r="U1762" s="14" t="n">
        <f aca="false">IF(OR($S1762="",PARAMETROS!$B$4=""),"",$S1762*PARAMETROS!$B$4)</f>
        <v>0</v>
      </c>
      <c r="V1762" s="13" t="n">
        <v>0</v>
      </c>
      <c r="W1762" s="4"/>
      <c r="X1762" s="4"/>
      <c r="Y1762" s="4"/>
      <c r="Z1762" s="4"/>
      <c r="AA1762" s="4"/>
      <c r="AB1762" s="4"/>
      <c r="AC1762" s="4"/>
      <c r="AD1762" s="4"/>
      <c r="AE1762" s="4"/>
      <c r="AF1762" s="4"/>
      <c r="AG1762" s="4"/>
      <c r="AH1762" s="4"/>
      <c r="AI1762" s="4"/>
      <c r="AJ1762" s="4"/>
      <c r="AK1762" s="4"/>
      <c r="AL1762" s="4" t="s">
        <v>1856</v>
      </c>
      <c r="AM1762" s="4" t="s">
        <v>1709</v>
      </c>
    </row>
    <row r="1763" customFormat="false" ht="23.85" hidden="false" customHeight="false" outlineLevel="0" collapsed="false">
      <c r="A1763" s="4" t="s">
        <v>167</v>
      </c>
      <c r="B1763" s="4" t="s">
        <v>1969</v>
      </c>
      <c r="C1763" s="4" t="s">
        <v>1969</v>
      </c>
      <c r="D1763" s="12" t="n">
        <v>2024</v>
      </c>
      <c r="E1763" s="4"/>
      <c r="F1763" s="4" t="s">
        <v>169</v>
      </c>
      <c r="G1763" s="4" t="s">
        <v>170</v>
      </c>
      <c r="H1763" s="4" t="s">
        <v>171</v>
      </c>
      <c r="I1763" s="4" t="s">
        <v>172</v>
      </c>
      <c r="J1763" s="4" t="s">
        <v>1969</v>
      </c>
      <c r="K1763" s="4" t="s">
        <v>111</v>
      </c>
      <c r="L1763" s="4" t="s">
        <v>112</v>
      </c>
      <c r="M1763" s="4"/>
      <c r="N1763" s="4"/>
      <c r="O1763" s="4"/>
      <c r="P1763" s="4"/>
      <c r="Q1763" s="4"/>
      <c r="R1763" s="4"/>
      <c r="S1763" s="13" t="n">
        <v>0</v>
      </c>
      <c r="T1763" s="4" t="s">
        <v>173</v>
      </c>
      <c r="U1763" s="14" t="n">
        <f aca="false">IF(OR($S1763="",PARAMETROS!$B$4=""),"",$S1763*PARAMETROS!$B$4)</f>
        <v>0</v>
      </c>
      <c r="V1763" s="13" t="n">
        <v>0</v>
      </c>
      <c r="W1763" s="4"/>
      <c r="X1763" s="4"/>
      <c r="Y1763" s="4"/>
      <c r="Z1763" s="4"/>
      <c r="AA1763" s="4"/>
      <c r="AB1763" s="4"/>
      <c r="AC1763" s="4"/>
      <c r="AD1763" s="4"/>
      <c r="AE1763" s="4"/>
      <c r="AF1763" s="4"/>
      <c r="AG1763" s="4"/>
      <c r="AH1763" s="4"/>
      <c r="AI1763" s="4"/>
      <c r="AJ1763" s="4"/>
      <c r="AK1763" s="4"/>
      <c r="AL1763" s="4" t="s">
        <v>1856</v>
      </c>
      <c r="AM1763" s="4" t="s">
        <v>1711</v>
      </c>
    </row>
    <row r="1764" customFormat="false" ht="23.85" hidden="false" customHeight="false" outlineLevel="0" collapsed="false">
      <c r="A1764" s="4" t="s">
        <v>167</v>
      </c>
      <c r="B1764" s="4" t="s">
        <v>1970</v>
      </c>
      <c r="C1764" s="4" t="s">
        <v>1970</v>
      </c>
      <c r="D1764" s="12" t="n">
        <v>2024</v>
      </c>
      <c r="E1764" s="4"/>
      <c r="F1764" s="4" t="s">
        <v>169</v>
      </c>
      <c r="G1764" s="4" t="s">
        <v>170</v>
      </c>
      <c r="H1764" s="4" t="s">
        <v>171</v>
      </c>
      <c r="I1764" s="4" t="s">
        <v>172</v>
      </c>
      <c r="J1764" s="4" t="s">
        <v>1970</v>
      </c>
      <c r="K1764" s="4" t="s">
        <v>111</v>
      </c>
      <c r="L1764" s="4" t="s">
        <v>112</v>
      </c>
      <c r="M1764" s="4"/>
      <c r="N1764" s="4"/>
      <c r="O1764" s="4"/>
      <c r="P1764" s="4"/>
      <c r="Q1764" s="4"/>
      <c r="R1764" s="4"/>
      <c r="S1764" s="13" t="n">
        <v>0</v>
      </c>
      <c r="T1764" s="4" t="s">
        <v>173</v>
      </c>
      <c r="U1764" s="14" t="n">
        <f aca="false">IF(OR($S1764="",PARAMETROS!$B$4=""),"",$S1764*PARAMETROS!$B$4)</f>
        <v>0</v>
      </c>
      <c r="V1764" s="13" t="n">
        <v>0</v>
      </c>
      <c r="W1764" s="4"/>
      <c r="X1764" s="4"/>
      <c r="Y1764" s="4"/>
      <c r="Z1764" s="4"/>
      <c r="AA1764" s="4"/>
      <c r="AB1764" s="4"/>
      <c r="AC1764" s="4"/>
      <c r="AD1764" s="4"/>
      <c r="AE1764" s="4"/>
      <c r="AF1764" s="4"/>
      <c r="AG1764" s="4"/>
      <c r="AH1764" s="4"/>
      <c r="AI1764" s="4"/>
      <c r="AJ1764" s="4"/>
      <c r="AK1764" s="4"/>
      <c r="AL1764" s="4" t="s">
        <v>1856</v>
      </c>
      <c r="AM1764" s="4" t="s">
        <v>1958</v>
      </c>
    </row>
    <row r="1765" customFormat="false" ht="23.85" hidden="false" customHeight="false" outlineLevel="0" collapsed="false">
      <c r="A1765" s="4" t="s">
        <v>167</v>
      </c>
      <c r="B1765" s="4" t="s">
        <v>1971</v>
      </c>
      <c r="C1765" s="4" t="s">
        <v>1971</v>
      </c>
      <c r="D1765" s="12" t="n">
        <v>2024</v>
      </c>
      <c r="E1765" s="4"/>
      <c r="F1765" s="4" t="s">
        <v>169</v>
      </c>
      <c r="G1765" s="4" t="s">
        <v>170</v>
      </c>
      <c r="H1765" s="4" t="s">
        <v>171</v>
      </c>
      <c r="I1765" s="4" t="s">
        <v>172</v>
      </c>
      <c r="J1765" s="4" t="s">
        <v>1971</v>
      </c>
      <c r="K1765" s="4" t="s">
        <v>111</v>
      </c>
      <c r="L1765" s="4" t="s">
        <v>112</v>
      </c>
      <c r="M1765" s="4"/>
      <c r="N1765" s="4"/>
      <c r="O1765" s="4"/>
      <c r="P1765" s="4"/>
      <c r="Q1765" s="4"/>
      <c r="R1765" s="4"/>
      <c r="S1765" s="13" t="n">
        <v>0</v>
      </c>
      <c r="T1765" s="4" t="s">
        <v>173</v>
      </c>
      <c r="U1765" s="14" t="n">
        <f aca="false">IF(OR($S1765="",PARAMETROS!$B$4=""),"",$S1765*PARAMETROS!$B$4)</f>
        <v>0</v>
      </c>
      <c r="V1765" s="13" t="n">
        <v>0</v>
      </c>
      <c r="W1765" s="4"/>
      <c r="X1765" s="4"/>
      <c r="Y1765" s="4"/>
      <c r="Z1765" s="4"/>
      <c r="AA1765" s="4"/>
      <c r="AB1765" s="4"/>
      <c r="AC1765" s="4"/>
      <c r="AD1765" s="4"/>
      <c r="AE1765" s="4"/>
      <c r="AF1765" s="4"/>
      <c r="AG1765" s="4"/>
      <c r="AH1765" s="4"/>
      <c r="AI1765" s="4"/>
      <c r="AJ1765" s="4"/>
      <c r="AK1765" s="4"/>
      <c r="AL1765" s="4" t="s">
        <v>1856</v>
      </c>
      <c r="AM1765" s="4" t="s">
        <v>1714</v>
      </c>
    </row>
    <row r="1766" customFormat="false" ht="23.85" hidden="false" customHeight="false" outlineLevel="0" collapsed="false">
      <c r="A1766" s="4" t="s">
        <v>167</v>
      </c>
      <c r="B1766" s="4" t="s">
        <v>1972</v>
      </c>
      <c r="C1766" s="4" t="s">
        <v>1972</v>
      </c>
      <c r="D1766" s="12" t="n">
        <v>2024</v>
      </c>
      <c r="E1766" s="4"/>
      <c r="F1766" s="4" t="s">
        <v>169</v>
      </c>
      <c r="G1766" s="4" t="s">
        <v>170</v>
      </c>
      <c r="H1766" s="4" t="s">
        <v>171</v>
      </c>
      <c r="I1766" s="4" t="s">
        <v>172</v>
      </c>
      <c r="J1766" s="4" t="s">
        <v>1972</v>
      </c>
      <c r="K1766" s="4" t="s">
        <v>654</v>
      </c>
      <c r="L1766" s="4" t="s">
        <v>655</v>
      </c>
      <c r="M1766" s="4"/>
      <c r="N1766" s="4"/>
      <c r="O1766" s="4"/>
      <c r="P1766" s="4"/>
      <c r="Q1766" s="4"/>
      <c r="R1766" s="4"/>
      <c r="S1766" s="13" t="n">
        <v>0</v>
      </c>
      <c r="T1766" s="4" t="s">
        <v>173</v>
      </c>
      <c r="U1766" s="14" t="n">
        <f aca="false">IF(OR($S1766="",PARAMETROS!$B$4=""),"",$S1766*PARAMETROS!$B$4)</f>
        <v>0</v>
      </c>
      <c r="V1766" s="13" t="n">
        <v>0</v>
      </c>
      <c r="W1766" s="4"/>
      <c r="X1766" s="4"/>
      <c r="Y1766" s="4"/>
      <c r="Z1766" s="4"/>
      <c r="AA1766" s="4"/>
      <c r="AB1766" s="4"/>
      <c r="AC1766" s="4"/>
      <c r="AD1766" s="4"/>
      <c r="AE1766" s="4"/>
      <c r="AF1766" s="4"/>
      <c r="AG1766" s="4"/>
      <c r="AH1766" s="4"/>
      <c r="AI1766" s="4"/>
      <c r="AJ1766" s="4"/>
      <c r="AK1766" s="4"/>
      <c r="AL1766" s="4" t="s">
        <v>1856</v>
      </c>
      <c r="AM1766" s="4" t="s">
        <v>1973</v>
      </c>
    </row>
    <row r="1767" customFormat="false" ht="23.85" hidden="false" customHeight="false" outlineLevel="0" collapsed="false">
      <c r="A1767" s="4" t="s">
        <v>167</v>
      </c>
      <c r="B1767" s="4" t="s">
        <v>1974</v>
      </c>
      <c r="C1767" s="4" t="s">
        <v>1974</v>
      </c>
      <c r="D1767" s="12" t="n">
        <v>2024</v>
      </c>
      <c r="E1767" s="4"/>
      <c r="F1767" s="4" t="s">
        <v>169</v>
      </c>
      <c r="G1767" s="4" t="s">
        <v>170</v>
      </c>
      <c r="H1767" s="4" t="s">
        <v>171</v>
      </c>
      <c r="I1767" s="4" t="s">
        <v>172</v>
      </c>
      <c r="J1767" s="4" t="s">
        <v>1974</v>
      </c>
      <c r="K1767" s="4" t="s">
        <v>654</v>
      </c>
      <c r="L1767" s="4" t="s">
        <v>655</v>
      </c>
      <c r="M1767" s="4"/>
      <c r="N1767" s="4"/>
      <c r="O1767" s="4"/>
      <c r="P1767" s="4"/>
      <c r="Q1767" s="4"/>
      <c r="R1767" s="4"/>
      <c r="S1767" s="13" t="n">
        <v>0</v>
      </c>
      <c r="T1767" s="4" t="s">
        <v>173</v>
      </c>
      <c r="U1767" s="14" t="n">
        <f aca="false">IF(OR($S1767="",PARAMETROS!$B$4=""),"",$S1767*PARAMETROS!$B$4)</f>
        <v>0</v>
      </c>
      <c r="V1767" s="13" t="n">
        <v>0</v>
      </c>
      <c r="W1767" s="4"/>
      <c r="X1767" s="4"/>
      <c r="Y1767" s="4"/>
      <c r="Z1767" s="4"/>
      <c r="AA1767" s="4"/>
      <c r="AB1767" s="4"/>
      <c r="AC1767" s="4"/>
      <c r="AD1767" s="4"/>
      <c r="AE1767" s="4"/>
      <c r="AF1767" s="4"/>
      <c r="AG1767" s="4"/>
      <c r="AH1767" s="4"/>
      <c r="AI1767" s="4"/>
      <c r="AJ1767" s="4"/>
      <c r="AK1767" s="4"/>
      <c r="AL1767" s="4" t="s">
        <v>1856</v>
      </c>
      <c r="AM1767" s="4" t="s">
        <v>1973</v>
      </c>
    </row>
    <row r="1768" customFormat="false" ht="23.85" hidden="false" customHeight="false" outlineLevel="0" collapsed="false">
      <c r="A1768" s="4" t="s">
        <v>167</v>
      </c>
      <c r="B1768" s="4" t="s">
        <v>1975</v>
      </c>
      <c r="C1768" s="4" t="s">
        <v>1975</v>
      </c>
      <c r="D1768" s="12" t="n">
        <v>2024</v>
      </c>
      <c r="E1768" s="4"/>
      <c r="F1768" s="4" t="s">
        <v>169</v>
      </c>
      <c r="G1768" s="4" t="s">
        <v>170</v>
      </c>
      <c r="H1768" s="4" t="s">
        <v>171</v>
      </c>
      <c r="I1768" s="4" t="s">
        <v>172</v>
      </c>
      <c r="J1768" s="4" t="s">
        <v>1975</v>
      </c>
      <c r="K1768" s="4" t="s">
        <v>654</v>
      </c>
      <c r="L1768" s="4" t="s">
        <v>655</v>
      </c>
      <c r="M1768" s="4"/>
      <c r="N1768" s="4"/>
      <c r="O1768" s="4"/>
      <c r="P1768" s="4"/>
      <c r="Q1768" s="4"/>
      <c r="R1768" s="4"/>
      <c r="S1768" s="13" t="n">
        <v>0</v>
      </c>
      <c r="T1768" s="4" t="s">
        <v>173</v>
      </c>
      <c r="U1768" s="14" t="n">
        <f aca="false">IF(OR($S1768="",PARAMETROS!$B$4=""),"",$S1768*PARAMETROS!$B$4)</f>
        <v>0</v>
      </c>
      <c r="V1768" s="13" t="n">
        <v>0</v>
      </c>
      <c r="W1768" s="4"/>
      <c r="X1768" s="4"/>
      <c r="Y1768" s="4"/>
      <c r="Z1768" s="4"/>
      <c r="AA1768" s="4"/>
      <c r="AB1768" s="4"/>
      <c r="AC1768" s="4"/>
      <c r="AD1768" s="4"/>
      <c r="AE1768" s="4"/>
      <c r="AF1768" s="4"/>
      <c r="AG1768" s="4"/>
      <c r="AH1768" s="4"/>
      <c r="AI1768" s="4"/>
      <c r="AJ1768" s="4"/>
      <c r="AK1768" s="4"/>
      <c r="AL1768" s="4" t="s">
        <v>1856</v>
      </c>
      <c r="AM1768" s="4" t="s">
        <v>1973</v>
      </c>
    </row>
    <row r="1769" customFormat="false" ht="23.85" hidden="false" customHeight="false" outlineLevel="0" collapsed="false">
      <c r="A1769" s="4" t="s">
        <v>167</v>
      </c>
      <c r="B1769" s="4" t="s">
        <v>1976</v>
      </c>
      <c r="C1769" s="4" t="s">
        <v>1976</v>
      </c>
      <c r="D1769" s="12" t="n">
        <v>2024</v>
      </c>
      <c r="E1769" s="4"/>
      <c r="F1769" s="4" t="s">
        <v>169</v>
      </c>
      <c r="G1769" s="4" t="s">
        <v>170</v>
      </c>
      <c r="H1769" s="4" t="s">
        <v>171</v>
      </c>
      <c r="I1769" s="4" t="s">
        <v>172</v>
      </c>
      <c r="J1769" s="4" t="s">
        <v>1976</v>
      </c>
      <c r="K1769" s="4" t="s">
        <v>654</v>
      </c>
      <c r="L1769" s="4" t="s">
        <v>655</v>
      </c>
      <c r="M1769" s="4"/>
      <c r="N1769" s="4"/>
      <c r="O1769" s="4"/>
      <c r="P1769" s="4"/>
      <c r="Q1769" s="4"/>
      <c r="R1769" s="4"/>
      <c r="S1769" s="13" t="n">
        <v>0</v>
      </c>
      <c r="T1769" s="4" t="s">
        <v>173</v>
      </c>
      <c r="U1769" s="14" t="n">
        <f aca="false">IF(OR($S1769="",PARAMETROS!$B$4=""),"",$S1769*PARAMETROS!$B$4)</f>
        <v>0</v>
      </c>
      <c r="V1769" s="13" t="n">
        <v>0</v>
      </c>
      <c r="W1769" s="4"/>
      <c r="X1769" s="4"/>
      <c r="Y1769" s="4"/>
      <c r="Z1769" s="4"/>
      <c r="AA1769" s="4"/>
      <c r="AB1769" s="4"/>
      <c r="AC1769" s="4"/>
      <c r="AD1769" s="4"/>
      <c r="AE1769" s="4"/>
      <c r="AF1769" s="4"/>
      <c r="AG1769" s="4"/>
      <c r="AH1769" s="4"/>
      <c r="AI1769" s="4"/>
      <c r="AJ1769" s="4"/>
      <c r="AK1769" s="4"/>
      <c r="AL1769" s="4" t="s">
        <v>1856</v>
      </c>
      <c r="AM1769" s="4" t="s">
        <v>1973</v>
      </c>
    </row>
    <row r="1770" customFormat="false" ht="23.85" hidden="false" customHeight="false" outlineLevel="0" collapsed="false">
      <c r="A1770" s="4" t="s">
        <v>167</v>
      </c>
      <c r="B1770" s="4" t="s">
        <v>1977</v>
      </c>
      <c r="C1770" s="4" t="s">
        <v>1977</v>
      </c>
      <c r="D1770" s="12" t="n">
        <v>2024</v>
      </c>
      <c r="E1770" s="4"/>
      <c r="F1770" s="4" t="s">
        <v>169</v>
      </c>
      <c r="G1770" s="4" t="s">
        <v>170</v>
      </c>
      <c r="H1770" s="4" t="s">
        <v>171</v>
      </c>
      <c r="I1770" s="4" t="s">
        <v>172</v>
      </c>
      <c r="J1770" s="4" t="s">
        <v>1977</v>
      </c>
      <c r="K1770" s="4" t="s">
        <v>654</v>
      </c>
      <c r="L1770" s="4" t="s">
        <v>655</v>
      </c>
      <c r="M1770" s="4"/>
      <c r="N1770" s="4"/>
      <c r="O1770" s="4"/>
      <c r="P1770" s="4"/>
      <c r="Q1770" s="4"/>
      <c r="R1770" s="4"/>
      <c r="S1770" s="13" t="n">
        <v>0</v>
      </c>
      <c r="T1770" s="4" t="s">
        <v>173</v>
      </c>
      <c r="U1770" s="14" t="n">
        <f aca="false">IF(OR($S1770="",PARAMETROS!$B$4=""),"",$S1770*PARAMETROS!$B$4)</f>
        <v>0</v>
      </c>
      <c r="V1770" s="13" t="n">
        <v>0</v>
      </c>
      <c r="W1770" s="4"/>
      <c r="X1770" s="4"/>
      <c r="Y1770" s="4"/>
      <c r="Z1770" s="4"/>
      <c r="AA1770" s="4"/>
      <c r="AB1770" s="4"/>
      <c r="AC1770" s="4"/>
      <c r="AD1770" s="4"/>
      <c r="AE1770" s="4"/>
      <c r="AF1770" s="4"/>
      <c r="AG1770" s="4"/>
      <c r="AH1770" s="4"/>
      <c r="AI1770" s="4"/>
      <c r="AJ1770" s="4"/>
      <c r="AK1770" s="4"/>
      <c r="AL1770" s="4" t="s">
        <v>1856</v>
      </c>
      <c r="AM1770" s="4" t="s">
        <v>1698</v>
      </c>
    </row>
    <row r="1771" customFormat="false" ht="23.85" hidden="false" customHeight="false" outlineLevel="0" collapsed="false">
      <c r="A1771" s="4" t="s">
        <v>167</v>
      </c>
      <c r="B1771" s="4" t="s">
        <v>1978</v>
      </c>
      <c r="C1771" s="4" t="s">
        <v>1978</v>
      </c>
      <c r="D1771" s="12" t="n">
        <v>2024</v>
      </c>
      <c r="E1771" s="4"/>
      <c r="F1771" s="4" t="s">
        <v>169</v>
      </c>
      <c r="G1771" s="4" t="s">
        <v>170</v>
      </c>
      <c r="H1771" s="4" t="s">
        <v>171</v>
      </c>
      <c r="I1771" s="4" t="s">
        <v>172</v>
      </c>
      <c r="J1771" s="4" t="s">
        <v>1978</v>
      </c>
      <c r="K1771" s="4" t="s">
        <v>654</v>
      </c>
      <c r="L1771" s="4" t="s">
        <v>655</v>
      </c>
      <c r="M1771" s="4"/>
      <c r="N1771" s="4"/>
      <c r="O1771" s="4"/>
      <c r="P1771" s="4"/>
      <c r="Q1771" s="4"/>
      <c r="R1771" s="4"/>
      <c r="S1771" s="13" t="n">
        <v>0</v>
      </c>
      <c r="T1771" s="4" t="s">
        <v>173</v>
      </c>
      <c r="U1771" s="14" t="n">
        <f aca="false">IF(OR($S1771="",PARAMETROS!$B$4=""),"",$S1771*PARAMETROS!$B$4)</f>
        <v>0</v>
      </c>
      <c r="V1771" s="13" t="n">
        <v>0</v>
      </c>
      <c r="W1771" s="4"/>
      <c r="X1771" s="4"/>
      <c r="Y1771" s="4"/>
      <c r="Z1771" s="4"/>
      <c r="AA1771" s="4"/>
      <c r="AB1771" s="4"/>
      <c r="AC1771" s="4"/>
      <c r="AD1771" s="4"/>
      <c r="AE1771" s="4"/>
      <c r="AF1771" s="4"/>
      <c r="AG1771" s="4"/>
      <c r="AH1771" s="4"/>
      <c r="AI1771" s="4"/>
      <c r="AJ1771" s="4"/>
      <c r="AK1771" s="4"/>
      <c r="AL1771" s="4" t="s">
        <v>1856</v>
      </c>
      <c r="AM1771" s="4" t="s">
        <v>1813</v>
      </c>
    </row>
    <row r="1772" customFormat="false" ht="23.85" hidden="false" customHeight="false" outlineLevel="0" collapsed="false">
      <c r="A1772" s="4" t="s">
        <v>167</v>
      </c>
      <c r="B1772" s="4" t="s">
        <v>1979</v>
      </c>
      <c r="C1772" s="4" t="s">
        <v>1979</v>
      </c>
      <c r="D1772" s="12" t="n">
        <v>2024</v>
      </c>
      <c r="E1772" s="4"/>
      <c r="F1772" s="4" t="s">
        <v>169</v>
      </c>
      <c r="G1772" s="4" t="s">
        <v>170</v>
      </c>
      <c r="H1772" s="4" t="s">
        <v>171</v>
      </c>
      <c r="I1772" s="4" t="s">
        <v>172</v>
      </c>
      <c r="J1772" s="4" t="s">
        <v>1979</v>
      </c>
      <c r="K1772" s="4" t="s">
        <v>654</v>
      </c>
      <c r="L1772" s="4" t="s">
        <v>655</v>
      </c>
      <c r="M1772" s="4"/>
      <c r="N1772" s="4"/>
      <c r="O1772" s="4"/>
      <c r="P1772" s="4"/>
      <c r="Q1772" s="4"/>
      <c r="R1772" s="4"/>
      <c r="S1772" s="13" t="n">
        <v>0</v>
      </c>
      <c r="T1772" s="4" t="s">
        <v>173</v>
      </c>
      <c r="U1772" s="14" t="n">
        <f aca="false">IF(OR($S1772="",PARAMETROS!$B$4=""),"",$S1772*PARAMETROS!$B$4)</f>
        <v>0</v>
      </c>
      <c r="V1772" s="13" t="n">
        <v>0</v>
      </c>
      <c r="W1772" s="4"/>
      <c r="X1772" s="4"/>
      <c r="Y1772" s="4"/>
      <c r="Z1772" s="4"/>
      <c r="AA1772" s="4"/>
      <c r="AB1772" s="4"/>
      <c r="AC1772" s="4"/>
      <c r="AD1772" s="4"/>
      <c r="AE1772" s="4"/>
      <c r="AF1772" s="4"/>
      <c r="AG1772" s="4"/>
      <c r="AH1772" s="4"/>
      <c r="AI1772" s="4"/>
      <c r="AJ1772" s="4"/>
      <c r="AK1772" s="4"/>
      <c r="AL1772" s="4" t="s">
        <v>1856</v>
      </c>
      <c r="AM1772" s="4" t="s">
        <v>1723</v>
      </c>
    </row>
    <row r="1773" customFormat="false" ht="23.85" hidden="false" customHeight="false" outlineLevel="0" collapsed="false">
      <c r="A1773" s="4" t="s">
        <v>167</v>
      </c>
      <c r="B1773" s="4" t="s">
        <v>1980</v>
      </c>
      <c r="C1773" s="4" t="s">
        <v>1980</v>
      </c>
      <c r="D1773" s="12" t="n">
        <v>2024</v>
      </c>
      <c r="E1773" s="4"/>
      <c r="F1773" s="4" t="s">
        <v>169</v>
      </c>
      <c r="G1773" s="4" t="s">
        <v>170</v>
      </c>
      <c r="H1773" s="4" t="s">
        <v>171</v>
      </c>
      <c r="I1773" s="4" t="s">
        <v>172</v>
      </c>
      <c r="J1773" s="4" t="s">
        <v>1980</v>
      </c>
      <c r="K1773" s="4" t="s">
        <v>654</v>
      </c>
      <c r="L1773" s="4" t="s">
        <v>655</v>
      </c>
      <c r="M1773" s="4"/>
      <c r="N1773" s="4"/>
      <c r="O1773" s="4"/>
      <c r="P1773" s="4"/>
      <c r="Q1773" s="4"/>
      <c r="R1773" s="4"/>
      <c r="S1773" s="13" t="n">
        <v>0</v>
      </c>
      <c r="T1773" s="4" t="s">
        <v>173</v>
      </c>
      <c r="U1773" s="14" t="n">
        <f aca="false">IF(OR($S1773="",PARAMETROS!$B$4=""),"",$S1773*PARAMETROS!$B$4)</f>
        <v>0</v>
      </c>
      <c r="V1773" s="13" t="n">
        <v>0</v>
      </c>
      <c r="W1773" s="4"/>
      <c r="X1773" s="4"/>
      <c r="Y1773" s="4"/>
      <c r="Z1773" s="4"/>
      <c r="AA1773" s="4"/>
      <c r="AB1773" s="4"/>
      <c r="AC1773" s="4"/>
      <c r="AD1773" s="4"/>
      <c r="AE1773" s="4"/>
      <c r="AF1773" s="4"/>
      <c r="AG1773" s="4"/>
      <c r="AH1773" s="4"/>
      <c r="AI1773" s="4"/>
      <c r="AJ1773" s="4"/>
      <c r="AK1773" s="4"/>
      <c r="AL1773" s="4" t="s">
        <v>1856</v>
      </c>
      <c r="AM1773" s="4" t="s">
        <v>1704</v>
      </c>
    </row>
    <row r="1774" customFormat="false" ht="23.85" hidden="false" customHeight="false" outlineLevel="0" collapsed="false">
      <c r="A1774" s="4" t="s">
        <v>167</v>
      </c>
      <c r="B1774" s="4" t="s">
        <v>1981</v>
      </c>
      <c r="C1774" s="4" t="s">
        <v>1981</v>
      </c>
      <c r="D1774" s="12" t="n">
        <v>2024</v>
      </c>
      <c r="E1774" s="4"/>
      <c r="F1774" s="4" t="s">
        <v>169</v>
      </c>
      <c r="G1774" s="4" t="s">
        <v>170</v>
      </c>
      <c r="H1774" s="4" t="s">
        <v>171</v>
      </c>
      <c r="I1774" s="4" t="s">
        <v>172</v>
      </c>
      <c r="J1774" s="4" t="s">
        <v>1981</v>
      </c>
      <c r="K1774" s="4" t="s">
        <v>654</v>
      </c>
      <c r="L1774" s="4" t="s">
        <v>655</v>
      </c>
      <c r="M1774" s="4"/>
      <c r="N1774" s="4"/>
      <c r="O1774" s="4"/>
      <c r="P1774" s="4"/>
      <c r="Q1774" s="4"/>
      <c r="R1774" s="4"/>
      <c r="S1774" s="13" t="n">
        <v>0</v>
      </c>
      <c r="T1774" s="4" t="s">
        <v>173</v>
      </c>
      <c r="U1774" s="14" t="n">
        <f aca="false">IF(OR($S1774="",PARAMETROS!$B$4=""),"",$S1774*PARAMETROS!$B$4)</f>
        <v>0</v>
      </c>
      <c r="V1774" s="13" t="n">
        <v>0</v>
      </c>
      <c r="W1774" s="4"/>
      <c r="X1774" s="4"/>
      <c r="Y1774" s="4"/>
      <c r="Z1774" s="4"/>
      <c r="AA1774" s="4"/>
      <c r="AB1774" s="4"/>
      <c r="AC1774" s="4"/>
      <c r="AD1774" s="4"/>
      <c r="AE1774" s="4"/>
      <c r="AF1774" s="4"/>
      <c r="AG1774" s="4"/>
      <c r="AH1774" s="4"/>
      <c r="AI1774" s="4"/>
      <c r="AJ1774" s="4"/>
      <c r="AK1774" s="4"/>
      <c r="AL1774" s="4" t="s">
        <v>1856</v>
      </c>
      <c r="AM1774" s="4" t="s">
        <v>1973</v>
      </c>
    </row>
    <row r="1775" customFormat="false" ht="23.85" hidden="false" customHeight="false" outlineLevel="0" collapsed="false">
      <c r="A1775" s="4" t="s">
        <v>167</v>
      </c>
      <c r="B1775" s="4" t="s">
        <v>1982</v>
      </c>
      <c r="C1775" s="4" t="s">
        <v>1982</v>
      </c>
      <c r="D1775" s="12" t="n">
        <v>2024</v>
      </c>
      <c r="E1775" s="4"/>
      <c r="F1775" s="4" t="s">
        <v>169</v>
      </c>
      <c r="G1775" s="4" t="s">
        <v>170</v>
      </c>
      <c r="H1775" s="4" t="s">
        <v>171</v>
      </c>
      <c r="I1775" s="4" t="s">
        <v>172</v>
      </c>
      <c r="J1775" s="4" t="s">
        <v>1982</v>
      </c>
      <c r="K1775" s="4" t="s">
        <v>654</v>
      </c>
      <c r="L1775" s="4" t="s">
        <v>655</v>
      </c>
      <c r="M1775" s="4"/>
      <c r="N1775" s="4"/>
      <c r="O1775" s="4"/>
      <c r="P1775" s="4"/>
      <c r="Q1775" s="4"/>
      <c r="R1775" s="4"/>
      <c r="S1775" s="13" t="n">
        <v>0</v>
      </c>
      <c r="T1775" s="4" t="s">
        <v>173</v>
      </c>
      <c r="U1775" s="14" t="n">
        <f aca="false">IF(OR($S1775="",PARAMETROS!$B$4=""),"",$S1775*PARAMETROS!$B$4)</f>
        <v>0</v>
      </c>
      <c r="V1775" s="13" t="n">
        <v>0</v>
      </c>
      <c r="W1775" s="4"/>
      <c r="X1775" s="4"/>
      <c r="Y1775" s="4"/>
      <c r="Z1775" s="4"/>
      <c r="AA1775" s="4"/>
      <c r="AB1775" s="4"/>
      <c r="AC1775" s="4"/>
      <c r="AD1775" s="4"/>
      <c r="AE1775" s="4"/>
      <c r="AF1775" s="4"/>
      <c r="AG1775" s="4"/>
      <c r="AH1775" s="4"/>
      <c r="AI1775" s="4"/>
      <c r="AJ1775" s="4"/>
      <c r="AK1775" s="4"/>
      <c r="AL1775" s="4" t="s">
        <v>1856</v>
      </c>
      <c r="AM1775" s="4" t="s">
        <v>1707</v>
      </c>
    </row>
    <row r="1776" customFormat="false" ht="23.85" hidden="false" customHeight="false" outlineLevel="0" collapsed="false">
      <c r="A1776" s="4" t="s">
        <v>167</v>
      </c>
      <c r="B1776" s="4" t="s">
        <v>1983</v>
      </c>
      <c r="C1776" s="4" t="s">
        <v>1983</v>
      </c>
      <c r="D1776" s="12" t="n">
        <v>2024</v>
      </c>
      <c r="E1776" s="4"/>
      <c r="F1776" s="4" t="s">
        <v>169</v>
      </c>
      <c r="G1776" s="4" t="s">
        <v>170</v>
      </c>
      <c r="H1776" s="4" t="s">
        <v>171</v>
      </c>
      <c r="I1776" s="4" t="s">
        <v>172</v>
      </c>
      <c r="J1776" s="4" t="s">
        <v>1983</v>
      </c>
      <c r="K1776" s="4" t="s">
        <v>654</v>
      </c>
      <c r="L1776" s="4" t="s">
        <v>655</v>
      </c>
      <c r="M1776" s="4"/>
      <c r="N1776" s="4"/>
      <c r="O1776" s="4"/>
      <c r="P1776" s="4"/>
      <c r="Q1776" s="4"/>
      <c r="R1776" s="4"/>
      <c r="S1776" s="13" t="n">
        <v>0</v>
      </c>
      <c r="T1776" s="4" t="s">
        <v>173</v>
      </c>
      <c r="U1776" s="14" t="n">
        <f aca="false">IF(OR($S1776="",PARAMETROS!$B$4=""),"",$S1776*PARAMETROS!$B$4)</f>
        <v>0</v>
      </c>
      <c r="V1776" s="13" t="n">
        <v>0</v>
      </c>
      <c r="W1776" s="4"/>
      <c r="X1776" s="4"/>
      <c r="Y1776" s="4"/>
      <c r="Z1776" s="4"/>
      <c r="AA1776" s="4"/>
      <c r="AB1776" s="4"/>
      <c r="AC1776" s="4"/>
      <c r="AD1776" s="4"/>
      <c r="AE1776" s="4"/>
      <c r="AF1776" s="4"/>
      <c r="AG1776" s="4"/>
      <c r="AH1776" s="4"/>
      <c r="AI1776" s="4"/>
      <c r="AJ1776" s="4"/>
      <c r="AK1776" s="4"/>
      <c r="AL1776" s="4" t="s">
        <v>1856</v>
      </c>
      <c r="AM1776" s="4" t="s">
        <v>1709</v>
      </c>
    </row>
    <row r="1777" customFormat="false" ht="23.85" hidden="false" customHeight="false" outlineLevel="0" collapsed="false">
      <c r="A1777" s="4" t="s">
        <v>167</v>
      </c>
      <c r="B1777" s="4" t="s">
        <v>1984</v>
      </c>
      <c r="C1777" s="4" t="s">
        <v>1984</v>
      </c>
      <c r="D1777" s="12" t="n">
        <v>2024</v>
      </c>
      <c r="E1777" s="4"/>
      <c r="F1777" s="4" t="s">
        <v>169</v>
      </c>
      <c r="G1777" s="4" t="s">
        <v>170</v>
      </c>
      <c r="H1777" s="4" t="s">
        <v>171</v>
      </c>
      <c r="I1777" s="4" t="s">
        <v>172</v>
      </c>
      <c r="J1777" s="4" t="s">
        <v>1984</v>
      </c>
      <c r="K1777" s="4" t="s">
        <v>654</v>
      </c>
      <c r="L1777" s="4" t="s">
        <v>655</v>
      </c>
      <c r="M1777" s="4"/>
      <c r="N1777" s="4"/>
      <c r="O1777" s="4"/>
      <c r="P1777" s="4"/>
      <c r="Q1777" s="4"/>
      <c r="R1777" s="4"/>
      <c r="S1777" s="13" t="n">
        <v>0</v>
      </c>
      <c r="T1777" s="4" t="s">
        <v>173</v>
      </c>
      <c r="U1777" s="14" t="n">
        <f aca="false">IF(OR($S1777="",PARAMETROS!$B$4=""),"",$S1777*PARAMETROS!$B$4)</f>
        <v>0</v>
      </c>
      <c r="V1777" s="13" t="n">
        <v>0</v>
      </c>
      <c r="W1777" s="4"/>
      <c r="X1777" s="4"/>
      <c r="Y1777" s="4"/>
      <c r="Z1777" s="4"/>
      <c r="AA1777" s="4"/>
      <c r="AB1777" s="4"/>
      <c r="AC1777" s="4"/>
      <c r="AD1777" s="4"/>
      <c r="AE1777" s="4"/>
      <c r="AF1777" s="4"/>
      <c r="AG1777" s="4"/>
      <c r="AH1777" s="4"/>
      <c r="AI1777" s="4"/>
      <c r="AJ1777" s="4"/>
      <c r="AK1777" s="4"/>
      <c r="AL1777" s="4" t="s">
        <v>1856</v>
      </c>
      <c r="AM1777" s="4" t="s">
        <v>1711</v>
      </c>
    </row>
    <row r="1778" customFormat="false" ht="23.85" hidden="false" customHeight="false" outlineLevel="0" collapsed="false">
      <c r="A1778" s="4" t="s">
        <v>167</v>
      </c>
      <c r="B1778" s="4" t="s">
        <v>1985</v>
      </c>
      <c r="C1778" s="4" t="s">
        <v>1985</v>
      </c>
      <c r="D1778" s="12" t="n">
        <v>2024</v>
      </c>
      <c r="E1778" s="4"/>
      <c r="F1778" s="4" t="s">
        <v>169</v>
      </c>
      <c r="G1778" s="4" t="s">
        <v>170</v>
      </c>
      <c r="H1778" s="4" t="s">
        <v>171</v>
      </c>
      <c r="I1778" s="4" t="s">
        <v>172</v>
      </c>
      <c r="J1778" s="4" t="s">
        <v>1985</v>
      </c>
      <c r="K1778" s="4" t="s">
        <v>654</v>
      </c>
      <c r="L1778" s="4" t="s">
        <v>655</v>
      </c>
      <c r="M1778" s="4"/>
      <c r="N1778" s="4"/>
      <c r="O1778" s="4"/>
      <c r="P1778" s="4"/>
      <c r="Q1778" s="4"/>
      <c r="R1778" s="4"/>
      <c r="S1778" s="13" t="n">
        <v>0</v>
      </c>
      <c r="T1778" s="4" t="s">
        <v>173</v>
      </c>
      <c r="U1778" s="14" t="n">
        <f aca="false">IF(OR($S1778="",PARAMETROS!$B$4=""),"",$S1778*PARAMETROS!$B$4)</f>
        <v>0</v>
      </c>
      <c r="V1778" s="13" t="n">
        <v>0</v>
      </c>
      <c r="W1778" s="4"/>
      <c r="X1778" s="4"/>
      <c r="Y1778" s="4"/>
      <c r="Z1778" s="4"/>
      <c r="AA1778" s="4"/>
      <c r="AB1778" s="4"/>
      <c r="AC1778" s="4"/>
      <c r="AD1778" s="4"/>
      <c r="AE1778" s="4"/>
      <c r="AF1778" s="4"/>
      <c r="AG1778" s="4"/>
      <c r="AH1778" s="4"/>
      <c r="AI1778" s="4"/>
      <c r="AJ1778" s="4"/>
      <c r="AK1778" s="4"/>
      <c r="AL1778" s="4" t="s">
        <v>1856</v>
      </c>
      <c r="AM1778" s="4" t="s">
        <v>1973</v>
      </c>
    </row>
    <row r="1779" customFormat="false" ht="23.85" hidden="false" customHeight="false" outlineLevel="0" collapsed="false">
      <c r="A1779" s="4" t="s">
        <v>167</v>
      </c>
      <c r="B1779" s="4" t="s">
        <v>1986</v>
      </c>
      <c r="C1779" s="4" t="s">
        <v>1986</v>
      </c>
      <c r="D1779" s="12" t="n">
        <v>2024</v>
      </c>
      <c r="E1779" s="4"/>
      <c r="F1779" s="4" t="s">
        <v>169</v>
      </c>
      <c r="G1779" s="4" t="s">
        <v>170</v>
      </c>
      <c r="H1779" s="4" t="s">
        <v>171</v>
      </c>
      <c r="I1779" s="4" t="s">
        <v>172</v>
      </c>
      <c r="J1779" s="4" t="s">
        <v>1986</v>
      </c>
      <c r="K1779" s="4" t="s">
        <v>654</v>
      </c>
      <c r="L1779" s="4" t="s">
        <v>655</v>
      </c>
      <c r="M1779" s="4"/>
      <c r="N1779" s="4"/>
      <c r="O1779" s="4"/>
      <c r="P1779" s="4"/>
      <c r="Q1779" s="4"/>
      <c r="R1779" s="4"/>
      <c r="S1779" s="13" t="n">
        <v>0</v>
      </c>
      <c r="T1779" s="4" t="s">
        <v>173</v>
      </c>
      <c r="U1779" s="14" t="n">
        <f aca="false">IF(OR($S1779="",PARAMETROS!$B$4=""),"",$S1779*PARAMETROS!$B$4)</f>
        <v>0</v>
      </c>
      <c r="V1779" s="13" t="n">
        <v>0</v>
      </c>
      <c r="W1779" s="4"/>
      <c r="X1779" s="4"/>
      <c r="Y1779" s="4"/>
      <c r="Z1779" s="4"/>
      <c r="AA1779" s="4"/>
      <c r="AB1779" s="4"/>
      <c r="AC1779" s="4"/>
      <c r="AD1779" s="4"/>
      <c r="AE1779" s="4"/>
      <c r="AF1779" s="4"/>
      <c r="AG1779" s="4"/>
      <c r="AH1779" s="4"/>
      <c r="AI1779" s="4"/>
      <c r="AJ1779" s="4"/>
      <c r="AK1779" s="4"/>
      <c r="AL1779" s="4" t="s">
        <v>1856</v>
      </c>
      <c r="AM1779" s="4" t="s">
        <v>1714</v>
      </c>
    </row>
    <row r="1780" customFormat="false" ht="23.85" hidden="false" customHeight="false" outlineLevel="0" collapsed="false">
      <c r="A1780" s="4" t="s">
        <v>1987</v>
      </c>
      <c r="B1780" s="4" t="s">
        <v>1988</v>
      </c>
      <c r="C1780" s="4" t="s">
        <v>1989</v>
      </c>
      <c r="D1780" s="12" t="n">
        <v>2024</v>
      </c>
      <c r="E1780" s="4"/>
      <c r="F1780" s="4" t="s">
        <v>1990</v>
      </c>
      <c r="G1780" s="4" t="s">
        <v>1991</v>
      </c>
      <c r="H1780" s="4" t="s">
        <v>1992</v>
      </c>
      <c r="I1780" s="4"/>
      <c r="J1780" s="4" t="s">
        <v>1691</v>
      </c>
      <c r="K1780" s="4" t="s">
        <v>91</v>
      </c>
      <c r="L1780" s="4" t="s">
        <v>92</v>
      </c>
      <c r="M1780" s="4" t="s">
        <v>1993</v>
      </c>
      <c r="N1780" s="4" t="s">
        <v>1994</v>
      </c>
      <c r="O1780" s="4" t="s">
        <v>1995</v>
      </c>
      <c r="P1780" s="4" t="s">
        <v>68</v>
      </c>
      <c r="Q1780" s="4" t="s">
        <v>1996</v>
      </c>
      <c r="R1780" s="4" t="s">
        <v>1997</v>
      </c>
      <c r="S1780" s="4"/>
      <c r="T1780" s="4"/>
      <c r="U1780" s="4"/>
      <c r="V1780" s="4"/>
      <c r="W1780" s="4"/>
      <c r="X1780" s="4"/>
      <c r="Y1780" s="4"/>
      <c r="Z1780" s="4"/>
      <c r="AA1780" s="4"/>
      <c r="AB1780" s="4"/>
      <c r="AC1780" s="4"/>
      <c r="AD1780" s="4"/>
      <c r="AE1780" s="4"/>
      <c r="AF1780" s="4"/>
      <c r="AG1780" s="4"/>
      <c r="AH1780" s="4"/>
      <c r="AI1780" s="4"/>
      <c r="AJ1780" s="4"/>
      <c r="AK1780" s="4"/>
      <c r="AL1780" s="4"/>
      <c r="AM1780" s="4" t="s">
        <v>1998</v>
      </c>
    </row>
    <row r="1781" customFormat="false" ht="23.85" hidden="false" customHeight="false" outlineLevel="0" collapsed="false">
      <c r="A1781" s="4" t="s">
        <v>1987</v>
      </c>
      <c r="B1781" s="4" t="s">
        <v>1999</v>
      </c>
      <c r="C1781" s="4" t="s">
        <v>2000</v>
      </c>
      <c r="D1781" s="12" t="n">
        <v>2024</v>
      </c>
      <c r="E1781" s="4"/>
      <c r="F1781" s="4" t="s">
        <v>1990</v>
      </c>
      <c r="G1781" s="4" t="s">
        <v>1991</v>
      </c>
      <c r="H1781" s="4" t="s">
        <v>1992</v>
      </c>
      <c r="I1781" s="4"/>
      <c r="J1781" s="4" t="s">
        <v>1699</v>
      </c>
      <c r="K1781" s="4" t="s">
        <v>91</v>
      </c>
      <c r="L1781" s="4" t="s">
        <v>92</v>
      </c>
      <c r="M1781" s="4" t="s">
        <v>1993</v>
      </c>
      <c r="N1781" s="4" t="s">
        <v>2001</v>
      </c>
      <c r="O1781" s="4" t="s">
        <v>2002</v>
      </c>
      <c r="P1781" s="4" t="s">
        <v>67</v>
      </c>
      <c r="Q1781" s="4" t="s">
        <v>2003</v>
      </c>
      <c r="R1781" s="4" t="s">
        <v>2004</v>
      </c>
      <c r="S1781" s="4"/>
      <c r="T1781" s="4"/>
      <c r="U1781" s="4"/>
      <c r="V1781" s="4"/>
      <c r="W1781" s="4"/>
      <c r="X1781" s="4"/>
      <c r="Y1781" s="4"/>
      <c r="Z1781" s="4"/>
      <c r="AA1781" s="4"/>
      <c r="AB1781" s="4"/>
      <c r="AC1781" s="4"/>
      <c r="AD1781" s="4"/>
      <c r="AE1781" s="4"/>
      <c r="AF1781" s="4"/>
      <c r="AG1781" s="4"/>
      <c r="AH1781" s="4"/>
      <c r="AI1781" s="4"/>
      <c r="AJ1781" s="4"/>
      <c r="AK1781" s="4"/>
      <c r="AL1781" s="4"/>
      <c r="AM1781" s="4" t="s">
        <v>2005</v>
      </c>
    </row>
    <row r="1782" customFormat="false" ht="23.85" hidden="false" customHeight="false" outlineLevel="0" collapsed="false">
      <c r="A1782" s="4" t="s">
        <v>1987</v>
      </c>
      <c r="B1782" s="4" t="s">
        <v>2006</v>
      </c>
      <c r="C1782" s="4" t="s">
        <v>2007</v>
      </c>
      <c r="D1782" s="12" t="n">
        <v>2024</v>
      </c>
      <c r="E1782" s="4"/>
      <c r="F1782" s="4" t="s">
        <v>1990</v>
      </c>
      <c r="G1782" s="4" t="s">
        <v>1991</v>
      </c>
      <c r="H1782" s="4" t="s">
        <v>1992</v>
      </c>
      <c r="I1782" s="4"/>
      <c r="J1782" s="4" t="s">
        <v>1701</v>
      </c>
      <c r="K1782" s="4" t="s">
        <v>91</v>
      </c>
      <c r="L1782" s="4" t="s">
        <v>92</v>
      </c>
      <c r="M1782" s="4" t="s">
        <v>1993</v>
      </c>
      <c r="N1782" s="4" t="s">
        <v>2001</v>
      </c>
      <c r="O1782" s="4" t="s">
        <v>2002</v>
      </c>
      <c r="P1782" s="4" t="s">
        <v>67</v>
      </c>
      <c r="Q1782" s="4" t="s">
        <v>2008</v>
      </c>
      <c r="R1782" s="4" t="s">
        <v>2004</v>
      </c>
      <c r="S1782" s="4"/>
      <c r="T1782" s="4"/>
      <c r="U1782" s="4"/>
      <c r="V1782" s="4"/>
      <c r="W1782" s="4"/>
      <c r="X1782" s="4"/>
      <c r="Y1782" s="4"/>
      <c r="Z1782" s="4"/>
      <c r="AA1782" s="4"/>
      <c r="AB1782" s="4"/>
      <c r="AC1782" s="4"/>
      <c r="AD1782" s="4"/>
      <c r="AE1782" s="4"/>
      <c r="AF1782" s="4"/>
      <c r="AG1782" s="4"/>
      <c r="AH1782" s="4"/>
      <c r="AI1782" s="4"/>
      <c r="AJ1782" s="4"/>
      <c r="AK1782" s="4"/>
      <c r="AL1782" s="4"/>
      <c r="AM1782" s="4" t="s">
        <v>2009</v>
      </c>
    </row>
    <row r="1783" customFormat="false" ht="23.85" hidden="false" customHeight="false" outlineLevel="0" collapsed="false">
      <c r="A1783" s="4" t="s">
        <v>1987</v>
      </c>
      <c r="B1783" s="4" t="s">
        <v>2010</v>
      </c>
      <c r="C1783" s="4" t="s">
        <v>2011</v>
      </c>
      <c r="D1783" s="12" t="n">
        <v>2024</v>
      </c>
      <c r="E1783" s="4"/>
      <c r="F1783" s="4" t="s">
        <v>1990</v>
      </c>
      <c r="G1783" s="4" t="s">
        <v>1991</v>
      </c>
      <c r="H1783" s="4" t="s">
        <v>1992</v>
      </c>
      <c r="I1783" s="4"/>
      <c r="J1783" s="4" t="s">
        <v>1715</v>
      </c>
      <c r="K1783" s="4" t="s">
        <v>93</v>
      </c>
      <c r="L1783" s="4" t="s">
        <v>94</v>
      </c>
      <c r="M1783" s="4" t="s">
        <v>1993</v>
      </c>
      <c r="N1783" s="4" t="s">
        <v>1994</v>
      </c>
      <c r="O1783" s="4" t="s">
        <v>1995</v>
      </c>
      <c r="P1783" s="4" t="s">
        <v>67</v>
      </c>
      <c r="Q1783" s="4" t="s">
        <v>2012</v>
      </c>
      <c r="R1783" s="4" t="s">
        <v>1997</v>
      </c>
      <c r="S1783" s="4"/>
      <c r="T1783" s="4"/>
      <c r="U1783" s="4"/>
      <c r="V1783" s="4"/>
      <c r="W1783" s="4"/>
      <c r="X1783" s="4"/>
      <c r="Y1783" s="4"/>
      <c r="Z1783" s="4"/>
      <c r="AA1783" s="4"/>
      <c r="AB1783" s="4"/>
      <c r="AC1783" s="4"/>
      <c r="AD1783" s="4"/>
      <c r="AE1783" s="4"/>
      <c r="AF1783" s="4"/>
      <c r="AG1783" s="4"/>
      <c r="AH1783" s="4"/>
      <c r="AI1783" s="4"/>
      <c r="AJ1783" s="4"/>
      <c r="AK1783" s="4"/>
      <c r="AL1783" s="4"/>
      <c r="AM1783" s="4" t="s">
        <v>2013</v>
      </c>
    </row>
    <row r="1784" customFormat="false" ht="23.85" hidden="false" customHeight="false" outlineLevel="0" collapsed="false">
      <c r="A1784" s="4" t="s">
        <v>1987</v>
      </c>
      <c r="B1784" s="4" t="s">
        <v>2014</v>
      </c>
      <c r="C1784" s="4" t="s">
        <v>2015</v>
      </c>
      <c r="D1784" s="12" t="n">
        <v>2024</v>
      </c>
      <c r="E1784" s="4"/>
      <c r="F1784" s="4" t="s">
        <v>1990</v>
      </c>
      <c r="G1784" s="4" t="s">
        <v>1991</v>
      </c>
      <c r="H1784" s="4" t="s">
        <v>1992</v>
      </c>
      <c r="I1784" s="4"/>
      <c r="J1784" s="4" t="s">
        <v>1721</v>
      </c>
      <c r="K1784" s="4" t="s">
        <v>93</v>
      </c>
      <c r="L1784" s="4" t="s">
        <v>94</v>
      </c>
      <c r="M1784" s="4" t="s">
        <v>1993</v>
      </c>
      <c r="N1784" s="4" t="s">
        <v>2001</v>
      </c>
      <c r="O1784" s="4" t="s">
        <v>2002</v>
      </c>
      <c r="P1784" s="4" t="s">
        <v>67</v>
      </c>
      <c r="Q1784" s="4" t="s">
        <v>2003</v>
      </c>
      <c r="R1784" s="4" t="s">
        <v>2004</v>
      </c>
      <c r="S1784" s="4"/>
      <c r="T1784" s="4"/>
      <c r="U1784" s="4"/>
      <c r="V1784" s="4"/>
      <c r="W1784" s="4"/>
      <c r="X1784" s="4"/>
      <c r="Y1784" s="4"/>
      <c r="Z1784" s="4"/>
      <c r="AA1784" s="4"/>
      <c r="AB1784" s="4"/>
      <c r="AC1784" s="4"/>
      <c r="AD1784" s="4"/>
      <c r="AE1784" s="4"/>
      <c r="AF1784" s="4"/>
      <c r="AG1784" s="4"/>
      <c r="AH1784" s="4"/>
      <c r="AI1784" s="4"/>
      <c r="AJ1784" s="4"/>
      <c r="AK1784" s="4"/>
      <c r="AL1784" s="4"/>
      <c r="AM1784" s="4" t="s">
        <v>2005</v>
      </c>
    </row>
    <row r="1785" customFormat="false" ht="23.85" hidden="false" customHeight="false" outlineLevel="0" collapsed="false">
      <c r="A1785" s="4" t="s">
        <v>1987</v>
      </c>
      <c r="B1785" s="4" t="s">
        <v>2016</v>
      </c>
      <c r="C1785" s="4" t="s">
        <v>2017</v>
      </c>
      <c r="D1785" s="12" t="n">
        <v>2024</v>
      </c>
      <c r="E1785" s="4"/>
      <c r="F1785" s="4" t="s">
        <v>1990</v>
      </c>
      <c r="G1785" s="4" t="s">
        <v>1991</v>
      </c>
      <c r="H1785" s="4" t="s">
        <v>1992</v>
      </c>
      <c r="I1785" s="4"/>
      <c r="J1785" s="4" t="s">
        <v>1731</v>
      </c>
      <c r="K1785" s="4" t="s">
        <v>76</v>
      </c>
      <c r="L1785" s="4" t="s">
        <v>77</v>
      </c>
      <c r="M1785" s="4" t="s">
        <v>2018</v>
      </c>
      <c r="N1785" s="4" t="s">
        <v>1994</v>
      </c>
      <c r="O1785" s="4" t="s">
        <v>65</v>
      </c>
      <c r="P1785" s="4" t="s">
        <v>64</v>
      </c>
      <c r="Q1785" s="4" t="s">
        <v>2019</v>
      </c>
      <c r="R1785" s="4" t="s">
        <v>1997</v>
      </c>
      <c r="S1785" s="4"/>
      <c r="T1785" s="4"/>
      <c r="U1785" s="4"/>
      <c r="V1785" s="4"/>
      <c r="W1785" s="4"/>
      <c r="X1785" s="4"/>
      <c r="Y1785" s="4"/>
      <c r="Z1785" s="4"/>
      <c r="AA1785" s="4"/>
      <c r="AB1785" s="4"/>
      <c r="AC1785" s="4"/>
      <c r="AD1785" s="4"/>
      <c r="AE1785" s="4"/>
      <c r="AF1785" s="4"/>
      <c r="AG1785" s="4"/>
      <c r="AH1785" s="4"/>
      <c r="AI1785" s="4"/>
      <c r="AJ1785" s="4"/>
      <c r="AK1785" s="4"/>
      <c r="AL1785" s="4"/>
      <c r="AM1785" s="4" t="s">
        <v>2020</v>
      </c>
    </row>
    <row r="1786" customFormat="false" ht="15" hidden="false" customHeight="false" outlineLevel="0" collapsed="false">
      <c r="A1786" s="4" t="s">
        <v>1987</v>
      </c>
      <c r="B1786" s="4" t="s">
        <v>2021</v>
      </c>
      <c r="C1786" s="4" t="s">
        <v>2022</v>
      </c>
      <c r="D1786" s="12" t="n">
        <v>2024</v>
      </c>
      <c r="E1786" s="4"/>
      <c r="F1786" s="4" t="s">
        <v>1990</v>
      </c>
      <c r="G1786" s="4" t="s">
        <v>1991</v>
      </c>
      <c r="H1786" s="4" t="s">
        <v>1992</v>
      </c>
      <c r="I1786" s="4"/>
      <c r="J1786" s="4" t="s">
        <v>1731</v>
      </c>
      <c r="K1786" s="4" t="s">
        <v>76</v>
      </c>
      <c r="L1786" s="4" t="s">
        <v>77</v>
      </c>
      <c r="M1786" s="4" t="s">
        <v>2018</v>
      </c>
      <c r="N1786" s="4" t="s">
        <v>2001</v>
      </c>
      <c r="O1786" s="4" t="s">
        <v>66</v>
      </c>
      <c r="P1786" s="4" t="s">
        <v>66</v>
      </c>
      <c r="Q1786" s="4" t="s">
        <v>2019</v>
      </c>
      <c r="R1786" s="4" t="s">
        <v>1997</v>
      </c>
      <c r="S1786" s="4"/>
      <c r="T1786" s="4"/>
      <c r="U1786" s="4"/>
      <c r="V1786" s="4"/>
      <c r="W1786" s="4"/>
      <c r="X1786" s="4"/>
      <c r="Y1786" s="4"/>
      <c r="Z1786" s="4"/>
      <c r="AA1786" s="4"/>
      <c r="AB1786" s="4"/>
      <c r="AC1786" s="4"/>
      <c r="AD1786" s="4"/>
      <c r="AE1786" s="4"/>
      <c r="AF1786" s="4"/>
      <c r="AG1786" s="4"/>
      <c r="AH1786" s="4"/>
      <c r="AI1786" s="4"/>
      <c r="AJ1786" s="4"/>
      <c r="AK1786" s="4"/>
      <c r="AL1786" s="4"/>
      <c r="AM1786" s="4" t="s">
        <v>2023</v>
      </c>
    </row>
    <row r="1787" customFormat="false" ht="15" hidden="false" customHeight="false" outlineLevel="0" collapsed="false">
      <c r="A1787" s="4" t="s">
        <v>1987</v>
      </c>
      <c r="B1787" s="4" t="s">
        <v>2024</v>
      </c>
      <c r="C1787" s="4" t="s">
        <v>2025</v>
      </c>
      <c r="D1787" s="12" t="n">
        <v>2024</v>
      </c>
      <c r="E1787" s="4"/>
      <c r="F1787" s="4" t="s">
        <v>1990</v>
      </c>
      <c r="G1787" s="4" t="s">
        <v>1991</v>
      </c>
      <c r="H1787" s="4" t="s">
        <v>1992</v>
      </c>
      <c r="I1787" s="4"/>
      <c r="J1787" s="4" t="s">
        <v>1731</v>
      </c>
      <c r="K1787" s="4" t="s">
        <v>76</v>
      </c>
      <c r="L1787" s="4" t="s">
        <v>77</v>
      </c>
      <c r="M1787" s="4" t="s">
        <v>1993</v>
      </c>
      <c r="N1787" s="4" t="s">
        <v>1994</v>
      </c>
      <c r="O1787" s="4" t="s">
        <v>1995</v>
      </c>
      <c r="P1787" s="4" t="s">
        <v>66</v>
      </c>
      <c r="Q1787" s="4" t="s">
        <v>2019</v>
      </c>
      <c r="R1787" s="4" t="s">
        <v>1997</v>
      </c>
      <c r="S1787" s="4"/>
      <c r="T1787" s="4"/>
      <c r="U1787" s="4"/>
      <c r="V1787" s="4"/>
      <c r="W1787" s="4"/>
      <c r="X1787" s="4"/>
      <c r="Y1787" s="4"/>
      <c r="Z1787" s="4"/>
      <c r="AA1787" s="4"/>
      <c r="AB1787" s="4"/>
      <c r="AC1787" s="4"/>
      <c r="AD1787" s="4"/>
      <c r="AE1787" s="4"/>
      <c r="AF1787" s="4"/>
      <c r="AG1787" s="4"/>
      <c r="AH1787" s="4"/>
      <c r="AI1787" s="4"/>
      <c r="AJ1787" s="4"/>
      <c r="AK1787" s="4"/>
      <c r="AL1787" s="4"/>
      <c r="AM1787" s="4" t="s">
        <v>2026</v>
      </c>
    </row>
    <row r="1788" customFormat="false" ht="23.85" hidden="false" customHeight="false" outlineLevel="0" collapsed="false">
      <c r="A1788" s="4" t="s">
        <v>1987</v>
      </c>
      <c r="B1788" s="4" t="s">
        <v>2027</v>
      </c>
      <c r="C1788" s="4" t="s">
        <v>2028</v>
      </c>
      <c r="D1788" s="12" t="n">
        <v>2024</v>
      </c>
      <c r="E1788" s="4"/>
      <c r="F1788" s="4" t="s">
        <v>1990</v>
      </c>
      <c r="G1788" s="4" t="s">
        <v>1991</v>
      </c>
      <c r="H1788" s="4" t="s">
        <v>1992</v>
      </c>
      <c r="I1788" s="4"/>
      <c r="J1788" s="4" t="s">
        <v>1733</v>
      </c>
      <c r="K1788" s="4" t="s">
        <v>76</v>
      </c>
      <c r="L1788" s="4" t="s">
        <v>77</v>
      </c>
      <c r="M1788" s="4" t="s">
        <v>1993</v>
      </c>
      <c r="N1788" s="4" t="s">
        <v>1994</v>
      </c>
      <c r="O1788" s="4" t="s">
        <v>2029</v>
      </c>
      <c r="P1788" s="4" t="s">
        <v>69</v>
      </c>
      <c r="Q1788" s="4" t="s">
        <v>2030</v>
      </c>
      <c r="R1788" s="4" t="s">
        <v>1997</v>
      </c>
      <c r="S1788" s="4"/>
      <c r="T1788" s="4"/>
      <c r="U1788" s="4"/>
      <c r="V1788" s="4"/>
      <c r="W1788" s="4"/>
      <c r="X1788" s="4"/>
      <c r="Y1788" s="4"/>
      <c r="Z1788" s="4"/>
      <c r="AA1788" s="4"/>
      <c r="AB1788" s="4"/>
      <c r="AC1788" s="4"/>
      <c r="AD1788" s="4"/>
      <c r="AE1788" s="4"/>
      <c r="AF1788" s="4"/>
      <c r="AG1788" s="4"/>
      <c r="AH1788" s="4"/>
      <c r="AI1788" s="4"/>
      <c r="AJ1788" s="4"/>
      <c r="AK1788" s="4"/>
      <c r="AL1788" s="4"/>
      <c r="AM1788" s="4" t="s">
        <v>2031</v>
      </c>
    </row>
    <row r="1789" customFormat="false" ht="23.85" hidden="false" customHeight="false" outlineLevel="0" collapsed="false">
      <c r="A1789" s="4" t="s">
        <v>1987</v>
      </c>
      <c r="B1789" s="4" t="s">
        <v>2032</v>
      </c>
      <c r="C1789" s="4" t="s">
        <v>2033</v>
      </c>
      <c r="D1789" s="12" t="n">
        <v>2024</v>
      </c>
      <c r="E1789" s="4"/>
      <c r="F1789" s="4" t="s">
        <v>1990</v>
      </c>
      <c r="G1789" s="4" t="s">
        <v>1991</v>
      </c>
      <c r="H1789" s="4" t="s">
        <v>1992</v>
      </c>
      <c r="I1789" s="4"/>
      <c r="J1789" s="4" t="s">
        <v>1735</v>
      </c>
      <c r="K1789" s="4" t="s">
        <v>76</v>
      </c>
      <c r="L1789" s="4" t="s">
        <v>77</v>
      </c>
      <c r="M1789" s="4" t="s">
        <v>1993</v>
      </c>
      <c r="N1789" s="4" t="s">
        <v>2001</v>
      </c>
      <c r="O1789" s="4" t="s">
        <v>2034</v>
      </c>
      <c r="P1789" s="4" t="s">
        <v>74</v>
      </c>
      <c r="Q1789" s="4" t="s">
        <v>2035</v>
      </c>
      <c r="R1789" s="4" t="s">
        <v>2036</v>
      </c>
      <c r="S1789" s="4"/>
      <c r="T1789" s="4"/>
      <c r="U1789" s="4"/>
      <c r="V1789" s="4"/>
      <c r="W1789" s="4"/>
      <c r="X1789" s="4"/>
      <c r="Y1789" s="4"/>
      <c r="Z1789" s="4"/>
      <c r="AA1789" s="4"/>
      <c r="AB1789" s="4"/>
      <c r="AC1789" s="4"/>
      <c r="AD1789" s="4"/>
      <c r="AE1789" s="4"/>
      <c r="AF1789" s="4"/>
      <c r="AG1789" s="4"/>
      <c r="AH1789" s="4"/>
      <c r="AI1789" s="4"/>
      <c r="AJ1789" s="4"/>
      <c r="AK1789" s="4"/>
      <c r="AL1789" s="4"/>
      <c r="AM1789" s="4" t="s">
        <v>2037</v>
      </c>
    </row>
    <row r="1790" customFormat="false" ht="23.85" hidden="false" customHeight="false" outlineLevel="0" collapsed="false">
      <c r="A1790" s="4" t="s">
        <v>1987</v>
      </c>
      <c r="B1790" s="4" t="s">
        <v>2038</v>
      </c>
      <c r="C1790" s="4" t="s">
        <v>2039</v>
      </c>
      <c r="D1790" s="12" t="n">
        <v>2024</v>
      </c>
      <c r="E1790" s="4"/>
      <c r="F1790" s="4" t="s">
        <v>1990</v>
      </c>
      <c r="G1790" s="4" t="s">
        <v>1991</v>
      </c>
      <c r="H1790" s="4" t="s">
        <v>1992</v>
      </c>
      <c r="I1790" s="4"/>
      <c r="J1790" s="4" t="s">
        <v>1737</v>
      </c>
      <c r="K1790" s="4" t="s">
        <v>76</v>
      </c>
      <c r="L1790" s="4" t="s">
        <v>77</v>
      </c>
      <c r="M1790" s="4" t="s">
        <v>1993</v>
      </c>
      <c r="N1790" s="4" t="s">
        <v>2001</v>
      </c>
      <c r="O1790" s="4" t="s">
        <v>2002</v>
      </c>
      <c r="P1790" s="4" t="s">
        <v>67</v>
      </c>
      <c r="Q1790" s="4" t="s">
        <v>2003</v>
      </c>
      <c r="R1790" s="4" t="s">
        <v>2004</v>
      </c>
      <c r="S1790" s="4"/>
      <c r="T1790" s="4"/>
      <c r="U1790" s="4"/>
      <c r="V1790" s="4"/>
      <c r="W1790" s="4"/>
      <c r="X1790" s="4"/>
      <c r="Y1790" s="4"/>
      <c r="Z1790" s="4"/>
      <c r="AA1790" s="4"/>
      <c r="AB1790" s="4"/>
      <c r="AC1790" s="4"/>
      <c r="AD1790" s="4"/>
      <c r="AE1790" s="4"/>
      <c r="AF1790" s="4"/>
      <c r="AG1790" s="4"/>
      <c r="AH1790" s="4"/>
      <c r="AI1790" s="4"/>
      <c r="AJ1790" s="4"/>
      <c r="AK1790" s="4"/>
      <c r="AL1790" s="4"/>
      <c r="AM1790" s="4" t="s">
        <v>2005</v>
      </c>
    </row>
    <row r="1791" customFormat="false" ht="23.85" hidden="false" customHeight="false" outlineLevel="0" collapsed="false">
      <c r="A1791" s="4" t="s">
        <v>1987</v>
      </c>
      <c r="B1791" s="4" t="s">
        <v>2040</v>
      </c>
      <c r="C1791" s="4" t="s">
        <v>2041</v>
      </c>
      <c r="D1791" s="12" t="n">
        <v>2024</v>
      </c>
      <c r="E1791" s="4"/>
      <c r="F1791" s="4" t="s">
        <v>1990</v>
      </c>
      <c r="G1791" s="4" t="s">
        <v>1991</v>
      </c>
      <c r="H1791" s="4" t="s">
        <v>1992</v>
      </c>
      <c r="I1791" s="4"/>
      <c r="J1791" s="4" t="s">
        <v>1738</v>
      </c>
      <c r="K1791" s="4" t="s">
        <v>76</v>
      </c>
      <c r="L1791" s="4" t="s">
        <v>77</v>
      </c>
      <c r="M1791" s="4" t="s">
        <v>1993</v>
      </c>
      <c r="N1791" s="4" t="s">
        <v>2001</v>
      </c>
      <c r="O1791" s="4" t="s">
        <v>2002</v>
      </c>
      <c r="P1791" s="4" t="s">
        <v>67</v>
      </c>
      <c r="Q1791" s="4" t="s">
        <v>2008</v>
      </c>
      <c r="R1791" s="4" t="s">
        <v>2004</v>
      </c>
      <c r="S1791" s="4"/>
      <c r="T1791" s="4"/>
      <c r="U1791" s="4"/>
      <c r="V1791" s="4"/>
      <c r="W1791" s="4"/>
      <c r="X1791" s="4"/>
      <c r="Y1791" s="4"/>
      <c r="Z1791" s="4"/>
      <c r="AA1791" s="4"/>
      <c r="AB1791" s="4"/>
      <c r="AC1791" s="4"/>
      <c r="AD1791" s="4"/>
      <c r="AE1791" s="4"/>
      <c r="AF1791" s="4"/>
      <c r="AG1791" s="4"/>
      <c r="AH1791" s="4"/>
      <c r="AI1791" s="4"/>
      <c r="AJ1791" s="4"/>
      <c r="AK1791" s="4"/>
      <c r="AL1791" s="4"/>
      <c r="AM1791" s="4" t="s">
        <v>2009</v>
      </c>
    </row>
    <row r="1792" customFormat="false" ht="35.05" hidden="false" customHeight="false" outlineLevel="0" collapsed="false">
      <c r="A1792" s="4" t="s">
        <v>1987</v>
      </c>
      <c r="B1792" s="4" t="s">
        <v>2042</v>
      </c>
      <c r="C1792" s="4" t="s">
        <v>2043</v>
      </c>
      <c r="D1792" s="12" t="n">
        <v>2024</v>
      </c>
      <c r="E1792" s="4"/>
      <c r="F1792" s="4" t="s">
        <v>1990</v>
      </c>
      <c r="G1792" s="4" t="s">
        <v>1991</v>
      </c>
      <c r="H1792" s="4" t="s">
        <v>1992</v>
      </c>
      <c r="I1792" s="4"/>
      <c r="J1792" s="4" t="s">
        <v>1746</v>
      </c>
      <c r="K1792" s="4" t="s">
        <v>78</v>
      </c>
      <c r="L1792" s="4" t="s">
        <v>79</v>
      </c>
      <c r="M1792" s="4" t="s">
        <v>2018</v>
      </c>
      <c r="N1792" s="4" t="s">
        <v>1994</v>
      </c>
      <c r="O1792" s="4" t="s">
        <v>65</v>
      </c>
      <c r="P1792" s="4" t="s">
        <v>64</v>
      </c>
      <c r="Q1792" s="4" t="s">
        <v>2044</v>
      </c>
      <c r="R1792" s="4" t="s">
        <v>1997</v>
      </c>
      <c r="S1792" s="4"/>
      <c r="T1792" s="4"/>
      <c r="U1792" s="4"/>
      <c r="V1792" s="4"/>
      <c r="W1792" s="4"/>
      <c r="X1792" s="4"/>
      <c r="Y1792" s="4"/>
      <c r="Z1792" s="4"/>
      <c r="AA1792" s="4"/>
      <c r="AB1792" s="4"/>
      <c r="AC1792" s="4"/>
      <c r="AD1792" s="4"/>
      <c r="AE1792" s="4"/>
      <c r="AF1792" s="4"/>
      <c r="AG1792" s="4"/>
      <c r="AH1792" s="4"/>
      <c r="AI1792" s="4"/>
      <c r="AJ1792" s="4"/>
      <c r="AK1792" s="4"/>
      <c r="AL1792" s="4"/>
      <c r="AM1792" s="4" t="s">
        <v>2045</v>
      </c>
    </row>
    <row r="1793" customFormat="false" ht="23.85" hidden="false" customHeight="false" outlineLevel="0" collapsed="false">
      <c r="A1793" s="4" t="s">
        <v>1987</v>
      </c>
      <c r="B1793" s="4" t="s">
        <v>2046</v>
      </c>
      <c r="C1793" s="4" t="s">
        <v>2047</v>
      </c>
      <c r="D1793" s="12" t="n">
        <v>2024</v>
      </c>
      <c r="E1793" s="4"/>
      <c r="F1793" s="4" t="s">
        <v>1990</v>
      </c>
      <c r="G1793" s="4" t="s">
        <v>1991</v>
      </c>
      <c r="H1793" s="4" t="s">
        <v>1992</v>
      </c>
      <c r="I1793" s="4"/>
      <c r="J1793" s="4" t="s">
        <v>1752</v>
      </c>
      <c r="K1793" s="4" t="s">
        <v>78</v>
      </c>
      <c r="L1793" s="4" t="s">
        <v>79</v>
      </c>
      <c r="M1793" s="4" t="s">
        <v>2018</v>
      </c>
      <c r="N1793" s="4" t="s">
        <v>2001</v>
      </c>
      <c r="O1793" s="4" t="s">
        <v>66</v>
      </c>
      <c r="P1793" s="4" t="s">
        <v>67</v>
      </c>
      <c r="Q1793" s="4" t="s">
        <v>2003</v>
      </c>
      <c r="R1793" s="4" t="s">
        <v>2004</v>
      </c>
      <c r="S1793" s="4"/>
      <c r="T1793" s="4"/>
      <c r="U1793" s="4"/>
      <c r="V1793" s="4"/>
      <c r="W1793" s="4"/>
      <c r="X1793" s="4"/>
      <c r="Y1793" s="4"/>
      <c r="Z1793" s="4"/>
      <c r="AA1793" s="4"/>
      <c r="AB1793" s="4"/>
      <c r="AC1793" s="4"/>
      <c r="AD1793" s="4"/>
      <c r="AE1793" s="4"/>
      <c r="AF1793" s="4"/>
      <c r="AG1793" s="4"/>
      <c r="AH1793" s="4"/>
      <c r="AI1793" s="4"/>
      <c r="AJ1793" s="4"/>
      <c r="AK1793" s="4"/>
      <c r="AL1793" s="4"/>
      <c r="AM1793" s="4" t="s">
        <v>2048</v>
      </c>
    </row>
    <row r="1794" customFormat="false" ht="35.05" hidden="false" customHeight="false" outlineLevel="0" collapsed="false">
      <c r="A1794" s="4" t="s">
        <v>1987</v>
      </c>
      <c r="B1794" s="4" t="s">
        <v>2049</v>
      </c>
      <c r="C1794" s="4" t="s">
        <v>2050</v>
      </c>
      <c r="D1794" s="12" t="n">
        <v>2024</v>
      </c>
      <c r="E1794" s="4"/>
      <c r="F1794" s="4" t="s">
        <v>1990</v>
      </c>
      <c r="G1794" s="4" t="s">
        <v>1991</v>
      </c>
      <c r="H1794" s="4" t="s">
        <v>1992</v>
      </c>
      <c r="I1794" s="4"/>
      <c r="J1794" s="4" t="s">
        <v>1761</v>
      </c>
      <c r="K1794" s="4" t="s">
        <v>80</v>
      </c>
      <c r="L1794" s="4" t="s">
        <v>81</v>
      </c>
      <c r="M1794" s="4" t="s">
        <v>2018</v>
      </c>
      <c r="N1794" s="4" t="s">
        <v>1994</v>
      </c>
      <c r="O1794" s="4" t="s">
        <v>65</v>
      </c>
      <c r="P1794" s="4" t="s">
        <v>64</v>
      </c>
      <c r="Q1794" s="4" t="s">
        <v>2044</v>
      </c>
      <c r="R1794" s="4" t="s">
        <v>1997</v>
      </c>
      <c r="S1794" s="4"/>
      <c r="T1794" s="4"/>
      <c r="U1794" s="4"/>
      <c r="V1794" s="4"/>
      <c r="W1794" s="4"/>
      <c r="X1794" s="4"/>
      <c r="Y1794" s="4"/>
      <c r="Z1794" s="4"/>
      <c r="AA1794" s="4"/>
      <c r="AB1794" s="4"/>
      <c r="AC1794" s="4"/>
      <c r="AD1794" s="4"/>
      <c r="AE1794" s="4"/>
      <c r="AF1794" s="4"/>
      <c r="AG1794" s="4"/>
      <c r="AH1794" s="4"/>
      <c r="AI1794" s="4"/>
      <c r="AJ1794" s="4"/>
      <c r="AK1794" s="4"/>
      <c r="AL1794" s="4"/>
      <c r="AM1794" s="4" t="s">
        <v>2045</v>
      </c>
    </row>
    <row r="1795" customFormat="false" ht="23.85" hidden="false" customHeight="false" outlineLevel="0" collapsed="false">
      <c r="A1795" s="4" t="s">
        <v>1987</v>
      </c>
      <c r="B1795" s="4" t="s">
        <v>2051</v>
      </c>
      <c r="C1795" s="4" t="s">
        <v>2052</v>
      </c>
      <c r="D1795" s="12" t="n">
        <v>2024</v>
      </c>
      <c r="E1795" s="4"/>
      <c r="F1795" s="4" t="s">
        <v>1990</v>
      </c>
      <c r="G1795" s="4" t="s">
        <v>1991</v>
      </c>
      <c r="H1795" s="4" t="s">
        <v>1992</v>
      </c>
      <c r="I1795" s="4"/>
      <c r="J1795" s="4" t="s">
        <v>1767</v>
      </c>
      <c r="K1795" s="4" t="s">
        <v>80</v>
      </c>
      <c r="L1795" s="4" t="s">
        <v>81</v>
      </c>
      <c r="M1795" s="4" t="s">
        <v>2018</v>
      </c>
      <c r="N1795" s="4" t="s">
        <v>2001</v>
      </c>
      <c r="O1795" s="4" t="s">
        <v>66</v>
      </c>
      <c r="P1795" s="4" t="s">
        <v>67</v>
      </c>
      <c r="Q1795" s="4" t="s">
        <v>2003</v>
      </c>
      <c r="R1795" s="4" t="s">
        <v>2004</v>
      </c>
      <c r="S1795" s="4"/>
      <c r="T1795" s="4"/>
      <c r="U1795" s="4"/>
      <c r="V1795" s="4"/>
      <c r="W1795" s="4"/>
      <c r="X1795" s="4"/>
      <c r="Y1795" s="4"/>
      <c r="Z1795" s="4"/>
      <c r="AA1795" s="4"/>
      <c r="AB1795" s="4"/>
      <c r="AC1795" s="4"/>
      <c r="AD1795" s="4"/>
      <c r="AE1795" s="4"/>
      <c r="AF1795" s="4"/>
      <c r="AG1795" s="4"/>
      <c r="AH1795" s="4"/>
      <c r="AI1795" s="4"/>
      <c r="AJ1795" s="4"/>
      <c r="AK1795" s="4"/>
      <c r="AL1795" s="4"/>
      <c r="AM1795" s="4" t="s">
        <v>2048</v>
      </c>
    </row>
    <row r="1796" customFormat="false" ht="23.85" hidden="false" customHeight="false" outlineLevel="0" collapsed="false">
      <c r="A1796" s="4" t="s">
        <v>1987</v>
      </c>
      <c r="B1796" s="4" t="s">
        <v>2053</v>
      </c>
      <c r="C1796" s="4" t="s">
        <v>2054</v>
      </c>
      <c r="D1796" s="12" t="n">
        <v>2024</v>
      </c>
      <c r="E1796" s="4"/>
      <c r="F1796" s="4" t="s">
        <v>1990</v>
      </c>
      <c r="G1796" s="4" t="s">
        <v>1991</v>
      </c>
      <c r="H1796" s="4" t="s">
        <v>1992</v>
      </c>
      <c r="I1796" s="4"/>
      <c r="J1796" s="4" t="s">
        <v>1776</v>
      </c>
      <c r="K1796" s="4" t="s">
        <v>82</v>
      </c>
      <c r="L1796" s="4" t="s">
        <v>83</v>
      </c>
      <c r="M1796" s="4" t="s">
        <v>2018</v>
      </c>
      <c r="N1796" s="4" t="s">
        <v>1994</v>
      </c>
      <c r="O1796" s="4" t="s">
        <v>65</v>
      </c>
      <c r="P1796" s="4" t="s">
        <v>64</v>
      </c>
      <c r="Q1796" s="4" t="s">
        <v>2019</v>
      </c>
      <c r="R1796" s="4" t="s">
        <v>1997</v>
      </c>
      <c r="S1796" s="4"/>
      <c r="T1796" s="4"/>
      <c r="U1796" s="4"/>
      <c r="V1796" s="4"/>
      <c r="W1796" s="4"/>
      <c r="X1796" s="4"/>
      <c r="Y1796" s="4"/>
      <c r="Z1796" s="4"/>
      <c r="AA1796" s="4"/>
      <c r="AB1796" s="4"/>
      <c r="AC1796" s="4"/>
      <c r="AD1796" s="4"/>
      <c r="AE1796" s="4"/>
      <c r="AF1796" s="4"/>
      <c r="AG1796" s="4"/>
      <c r="AH1796" s="4"/>
      <c r="AI1796" s="4"/>
      <c r="AJ1796" s="4"/>
      <c r="AK1796" s="4"/>
      <c r="AL1796" s="4"/>
      <c r="AM1796" s="4" t="s">
        <v>2020</v>
      </c>
    </row>
    <row r="1797" customFormat="false" ht="15" hidden="false" customHeight="false" outlineLevel="0" collapsed="false">
      <c r="A1797" s="4" t="s">
        <v>1987</v>
      </c>
      <c r="B1797" s="4" t="s">
        <v>2055</v>
      </c>
      <c r="C1797" s="4" t="s">
        <v>2056</v>
      </c>
      <c r="D1797" s="12" t="n">
        <v>2024</v>
      </c>
      <c r="E1797" s="4"/>
      <c r="F1797" s="4" t="s">
        <v>1990</v>
      </c>
      <c r="G1797" s="4" t="s">
        <v>1991</v>
      </c>
      <c r="H1797" s="4" t="s">
        <v>1992</v>
      </c>
      <c r="I1797" s="4"/>
      <c r="J1797" s="4" t="s">
        <v>1776</v>
      </c>
      <c r="K1797" s="4" t="s">
        <v>82</v>
      </c>
      <c r="L1797" s="4" t="s">
        <v>83</v>
      </c>
      <c r="M1797" s="4" t="s">
        <v>2018</v>
      </c>
      <c r="N1797" s="4" t="s">
        <v>2001</v>
      </c>
      <c r="O1797" s="4" t="s">
        <v>66</v>
      </c>
      <c r="P1797" s="4" t="s">
        <v>66</v>
      </c>
      <c r="Q1797" s="4" t="s">
        <v>2019</v>
      </c>
      <c r="R1797" s="4" t="s">
        <v>1997</v>
      </c>
      <c r="S1797" s="4"/>
      <c r="T1797" s="4"/>
      <c r="U1797" s="4"/>
      <c r="V1797" s="4"/>
      <c r="W1797" s="4"/>
      <c r="X1797" s="4"/>
      <c r="Y1797" s="4"/>
      <c r="Z1797" s="4"/>
      <c r="AA1797" s="4"/>
      <c r="AB1797" s="4"/>
      <c r="AC1797" s="4"/>
      <c r="AD1797" s="4"/>
      <c r="AE1797" s="4"/>
      <c r="AF1797" s="4"/>
      <c r="AG1797" s="4"/>
      <c r="AH1797" s="4"/>
      <c r="AI1797" s="4"/>
      <c r="AJ1797" s="4"/>
      <c r="AK1797" s="4"/>
      <c r="AL1797" s="4"/>
      <c r="AM1797" s="4" t="s">
        <v>2023</v>
      </c>
    </row>
    <row r="1798" customFormat="false" ht="15" hidden="false" customHeight="false" outlineLevel="0" collapsed="false">
      <c r="A1798" s="4" t="s">
        <v>1987</v>
      </c>
      <c r="B1798" s="4" t="s">
        <v>2057</v>
      </c>
      <c r="C1798" s="4" t="s">
        <v>2058</v>
      </c>
      <c r="D1798" s="12" t="n">
        <v>2024</v>
      </c>
      <c r="E1798" s="4"/>
      <c r="F1798" s="4" t="s">
        <v>1990</v>
      </c>
      <c r="G1798" s="4" t="s">
        <v>1991</v>
      </c>
      <c r="H1798" s="4" t="s">
        <v>1992</v>
      </c>
      <c r="I1798" s="4"/>
      <c r="J1798" s="4" t="s">
        <v>1776</v>
      </c>
      <c r="K1798" s="4" t="s">
        <v>82</v>
      </c>
      <c r="L1798" s="4" t="s">
        <v>83</v>
      </c>
      <c r="M1798" s="4" t="s">
        <v>1993</v>
      </c>
      <c r="N1798" s="4" t="s">
        <v>1994</v>
      </c>
      <c r="O1798" s="4" t="s">
        <v>1995</v>
      </c>
      <c r="P1798" s="4" t="s">
        <v>66</v>
      </c>
      <c r="Q1798" s="4" t="s">
        <v>2019</v>
      </c>
      <c r="R1798" s="4" t="s">
        <v>1997</v>
      </c>
      <c r="S1798" s="4"/>
      <c r="T1798" s="4"/>
      <c r="U1798" s="4"/>
      <c r="V1798" s="4"/>
      <c r="W1798" s="4"/>
      <c r="X1798" s="4"/>
      <c r="Y1798" s="4"/>
      <c r="Z1798" s="4"/>
      <c r="AA1798" s="4"/>
      <c r="AB1798" s="4"/>
      <c r="AC1798" s="4"/>
      <c r="AD1798" s="4"/>
      <c r="AE1798" s="4"/>
      <c r="AF1798" s="4"/>
      <c r="AG1798" s="4"/>
      <c r="AH1798" s="4"/>
      <c r="AI1798" s="4"/>
      <c r="AJ1798" s="4"/>
      <c r="AK1798" s="4"/>
      <c r="AL1798" s="4"/>
      <c r="AM1798" s="4" t="s">
        <v>2026</v>
      </c>
    </row>
    <row r="1799" customFormat="false" ht="23.85" hidden="false" customHeight="false" outlineLevel="0" collapsed="false">
      <c r="A1799" s="4" t="s">
        <v>1987</v>
      </c>
      <c r="B1799" s="4" t="s">
        <v>2059</v>
      </c>
      <c r="C1799" s="4" t="s">
        <v>2060</v>
      </c>
      <c r="D1799" s="12" t="n">
        <v>2024</v>
      </c>
      <c r="E1799" s="4"/>
      <c r="F1799" s="4" t="s">
        <v>1990</v>
      </c>
      <c r="G1799" s="4" t="s">
        <v>1991</v>
      </c>
      <c r="H1799" s="4" t="s">
        <v>1992</v>
      </c>
      <c r="I1799" s="4"/>
      <c r="J1799" s="4" t="s">
        <v>1782</v>
      </c>
      <c r="K1799" s="4" t="s">
        <v>82</v>
      </c>
      <c r="L1799" s="4" t="s">
        <v>83</v>
      </c>
      <c r="M1799" s="4" t="s">
        <v>1993</v>
      </c>
      <c r="N1799" s="4" t="s">
        <v>2001</v>
      </c>
      <c r="O1799" s="4" t="s">
        <v>2002</v>
      </c>
      <c r="P1799" s="4" t="s">
        <v>67</v>
      </c>
      <c r="Q1799" s="4" t="s">
        <v>2003</v>
      </c>
      <c r="R1799" s="4" t="s">
        <v>2004</v>
      </c>
      <c r="S1799" s="4"/>
      <c r="T1799" s="4"/>
      <c r="U1799" s="4"/>
      <c r="V1799" s="4"/>
      <c r="W1799" s="4"/>
      <c r="X1799" s="4"/>
      <c r="Y1799" s="4"/>
      <c r="Z1799" s="4"/>
      <c r="AA1799" s="4"/>
      <c r="AB1799" s="4"/>
      <c r="AC1799" s="4"/>
      <c r="AD1799" s="4"/>
      <c r="AE1799" s="4"/>
      <c r="AF1799" s="4"/>
      <c r="AG1799" s="4"/>
      <c r="AH1799" s="4"/>
      <c r="AI1799" s="4"/>
      <c r="AJ1799" s="4"/>
      <c r="AK1799" s="4"/>
      <c r="AL1799" s="4"/>
      <c r="AM1799" s="4" t="s">
        <v>2005</v>
      </c>
    </row>
    <row r="1800" customFormat="false" ht="35.05" hidden="false" customHeight="false" outlineLevel="0" collapsed="false">
      <c r="A1800" s="4" t="s">
        <v>1987</v>
      </c>
      <c r="B1800" s="4" t="s">
        <v>2061</v>
      </c>
      <c r="C1800" s="4" t="s">
        <v>2062</v>
      </c>
      <c r="D1800" s="12" t="n">
        <v>2024</v>
      </c>
      <c r="E1800" s="4"/>
      <c r="F1800" s="4" t="s">
        <v>1990</v>
      </c>
      <c r="G1800" s="4" t="s">
        <v>1991</v>
      </c>
      <c r="H1800" s="4" t="s">
        <v>1992</v>
      </c>
      <c r="I1800" s="4"/>
      <c r="J1800" s="4" t="s">
        <v>1791</v>
      </c>
      <c r="K1800" s="4" t="s">
        <v>84</v>
      </c>
      <c r="L1800" s="4" t="s">
        <v>85</v>
      </c>
      <c r="M1800" s="4" t="s">
        <v>2018</v>
      </c>
      <c r="N1800" s="4" t="s">
        <v>1994</v>
      </c>
      <c r="O1800" s="4" t="s">
        <v>65</v>
      </c>
      <c r="P1800" s="4" t="s">
        <v>64</v>
      </c>
      <c r="Q1800" s="4" t="s">
        <v>2044</v>
      </c>
      <c r="R1800" s="4" t="s">
        <v>1997</v>
      </c>
      <c r="S1800" s="4"/>
      <c r="T1800" s="4"/>
      <c r="U1800" s="4"/>
      <c r="V1800" s="4"/>
      <c r="W1800" s="4"/>
      <c r="X1800" s="4"/>
      <c r="Y1800" s="4"/>
      <c r="Z1800" s="4"/>
      <c r="AA1800" s="4"/>
      <c r="AB1800" s="4"/>
      <c r="AC1800" s="4"/>
      <c r="AD1800" s="4"/>
      <c r="AE1800" s="4"/>
      <c r="AF1800" s="4"/>
      <c r="AG1800" s="4"/>
      <c r="AH1800" s="4"/>
      <c r="AI1800" s="4"/>
      <c r="AJ1800" s="4"/>
      <c r="AK1800" s="4"/>
      <c r="AL1800" s="4"/>
      <c r="AM1800" s="4" t="s">
        <v>2045</v>
      </c>
    </row>
    <row r="1801" customFormat="false" ht="23.85" hidden="false" customHeight="false" outlineLevel="0" collapsed="false">
      <c r="A1801" s="4" t="s">
        <v>1987</v>
      </c>
      <c r="B1801" s="4" t="s">
        <v>2063</v>
      </c>
      <c r="C1801" s="4" t="s">
        <v>2064</v>
      </c>
      <c r="D1801" s="12" t="n">
        <v>2024</v>
      </c>
      <c r="E1801" s="4"/>
      <c r="F1801" s="4" t="s">
        <v>1990</v>
      </c>
      <c r="G1801" s="4" t="s">
        <v>1991</v>
      </c>
      <c r="H1801" s="4" t="s">
        <v>1992</v>
      </c>
      <c r="I1801" s="4"/>
      <c r="J1801" s="4" t="s">
        <v>1797</v>
      </c>
      <c r="K1801" s="4" t="s">
        <v>84</v>
      </c>
      <c r="L1801" s="4" t="s">
        <v>85</v>
      </c>
      <c r="M1801" s="4" t="s">
        <v>2018</v>
      </c>
      <c r="N1801" s="4" t="s">
        <v>2001</v>
      </c>
      <c r="O1801" s="4" t="s">
        <v>66</v>
      </c>
      <c r="P1801" s="4" t="s">
        <v>67</v>
      </c>
      <c r="Q1801" s="4" t="s">
        <v>2003</v>
      </c>
      <c r="R1801" s="4" t="s">
        <v>2004</v>
      </c>
      <c r="S1801" s="4"/>
      <c r="T1801" s="4"/>
      <c r="U1801" s="4"/>
      <c r="V1801" s="4"/>
      <c r="W1801" s="4"/>
      <c r="X1801" s="4"/>
      <c r="Y1801" s="4"/>
      <c r="Z1801" s="4"/>
      <c r="AA1801" s="4"/>
      <c r="AB1801" s="4"/>
      <c r="AC1801" s="4"/>
      <c r="AD1801" s="4"/>
      <c r="AE1801" s="4"/>
      <c r="AF1801" s="4"/>
      <c r="AG1801" s="4"/>
      <c r="AH1801" s="4"/>
      <c r="AI1801" s="4"/>
      <c r="AJ1801" s="4"/>
      <c r="AK1801" s="4"/>
      <c r="AL1801" s="4"/>
      <c r="AM1801" s="4" t="s">
        <v>2048</v>
      </c>
    </row>
    <row r="1802" customFormat="false" ht="23.85" hidden="false" customHeight="false" outlineLevel="0" collapsed="false">
      <c r="A1802" s="4" t="s">
        <v>1987</v>
      </c>
      <c r="B1802" s="4" t="s">
        <v>2065</v>
      </c>
      <c r="C1802" s="4" t="s">
        <v>2066</v>
      </c>
      <c r="D1802" s="12" t="n">
        <v>2024</v>
      </c>
      <c r="E1802" s="4"/>
      <c r="F1802" s="4" t="s">
        <v>1990</v>
      </c>
      <c r="G1802" s="4" t="s">
        <v>1991</v>
      </c>
      <c r="H1802" s="4" t="s">
        <v>1992</v>
      </c>
      <c r="I1802" s="4"/>
      <c r="J1802" s="4" t="s">
        <v>1798</v>
      </c>
      <c r="K1802" s="4" t="s">
        <v>84</v>
      </c>
      <c r="L1802" s="4" t="s">
        <v>85</v>
      </c>
      <c r="M1802" s="4" t="s">
        <v>2018</v>
      </c>
      <c r="N1802" s="4" t="s">
        <v>2001</v>
      </c>
      <c r="O1802" s="4" t="s">
        <v>66</v>
      </c>
      <c r="P1802" s="4" t="s">
        <v>67</v>
      </c>
      <c r="Q1802" s="4" t="s">
        <v>2008</v>
      </c>
      <c r="R1802" s="4" t="s">
        <v>2004</v>
      </c>
      <c r="S1802" s="4"/>
      <c r="T1802" s="4"/>
      <c r="U1802" s="4"/>
      <c r="V1802" s="4"/>
      <c r="W1802" s="4"/>
      <c r="X1802" s="4"/>
      <c r="Y1802" s="4"/>
      <c r="Z1802" s="4"/>
      <c r="AA1802" s="4"/>
      <c r="AB1802" s="4"/>
      <c r="AC1802" s="4"/>
      <c r="AD1802" s="4"/>
      <c r="AE1802" s="4"/>
      <c r="AF1802" s="4"/>
      <c r="AG1802" s="4"/>
      <c r="AH1802" s="4"/>
      <c r="AI1802" s="4"/>
      <c r="AJ1802" s="4"/>
      <c r="AK1802" s="4"/>
      <c r="AL1802" s="4"/>
      <c r="AM1802" s="4" t="s">
        <v>2067</v>
      </c>
    </row>
    <row r="1803" customFormat="false" ht="23.85" hidden="false" customHeight="false" outlineLevel="0" collapsed="false">
      <c r="A1803" s="4" t="s">
        <v>1987</v>
      </c>
      <c r="B1803" s="4" t="s">
        <v>2068</v>
      </c>
      <c r="C1803" s="4" t="s">
        <v>2069</v>
      </c>
      <c r="D1803" s="12" t="n">
        <v>2024</v>
      </c>
      <c r="E1803" s="4"/>
      <c r="F1803" s="4" t="s">
        <v>1990</v>
      </c>
      <c r="G1803" s="4" t="s">
        <v>1991</v>
      </c>
      <c r="H1803" s="4" t="s">
        <v>1992</v>
      </c>
      <c r="I1803" s="4"/>
      <c r="J1803" s="4" t="s">
        <v>1806</v>
      </c>
      <c r="K1803" s="4" t="s">
        <v>109</v>
      </c>
      <c r="L1803" s="4" t="s">
        <v>110</v>
      </c>
      <c r="M1803" s="4" t="s">
        <v>1993</v>
      </c>
      <c r="N1803" s="4" t="s">
        <v>1994</v>
      </c>
      <c r="O1803" s="4" t="s">
        <v>1995</v>
      </c>
      <c r="P1803" s="4" t="s">
        <v>65</v>
      </c>
      <c r="Q1803" s="4" t="s">
        <v>2070</v>
      </c>
      <c r="R1803" s="4" t="s">
        <v>1997</v>
      </c>
      <c r="S1803" s="4"/>
      <c r="T1803" s="4"/>
      <c r="U1803" s="4"/>
      <c r="V1803" s="4"/>
      <c r="W1803" s="4"/>
      <c r="X1803" s="4"/>
      <c r="Y1803" s="4"/>
      <c r="Z1803" s="4"/>
      <c r="AA1803" s="4"/>
      <c r="AB1803" s="4"/>
      <c r="AC1803" s="4"/>
      <c r="AD1803" s="4"/>
      <c r="AE1803" s="4"/>
      <c r="AF1803" s="4"/>
      <c r="AG1803" s="4"/>
      <c r="AH1803" s="4"/>
      <c r="AI1803" s="4"/>
      <c r="AJ1803" s="4"/>
      <c r="AK1803" s="4"/>
      <c r="AL1803" s="4"/>
      <c r="AM1803" s="4" t="s">
        <v>2071</v>
      </c>
    </row>
    <row r="1804" customFormat="false" ht="15" hidden="false" customHeight="false" outlineLevel="0" collapsed="false">
      <c r="A1804" s="4" t="s">
        <v>1987</v>
      </c>
      <c r="B1804" s="4" t="s">
        <v>2072</v>
      </c>
      <c r="C1804" s="4" t="s">
        <v>2073</v>
      </c>
      <c r="D1804" s="12" t="n">
        <v>2024</v>
      </c>
      <c r="E1804" s="4"/>
      <c r="F1804" s="4" t="s">
        <v>1990</v>
      </c>
      <c r="G1804" s="4" t="s">
        <v>1991</v>
      </c>
      <c r="H1804" s="4" t="s">
        <v>1992</v>
      </c>
      <c r="I1804" s="4"/>
      <c r="J1804" s="4" t="s">
        <v>1817</v>
      </c>
      <c r="K1804" s="4" t="s">
        <v>109</v>
      </c>
      <c r="L1804" s="4" t="s">
        <v>110</v>
      </c>
      <c r="M1804" s="4" t="s">
        <v>1993</v>
      </c>
      <c r="N1804" s="4" t="s">
        <v>2001</v>
      </c>
      <c r="O1804" s="4" t="s">
        <v>2074</v>
      </c>
      <c r="P1804" s="4" t="s">
        <v>73</v>
      </c>
      <c r="Q1804" s="4" t="s">
        <v>2075</v>
      </c>
      <c r="R1804" s="4" t="s">
        <v>1997</v>
      </c>
      <c r="S1804" s="4"/>
      <c r="T1804" s="4"/>
      <c r="U1804" s="4"/>
      <c r="V1804" s="4"/>
      <c r="W1804" s="4"/>
      <c r="X1804" s="4"/>
      <c r="Y1804" s="4"/>
      <c r="Z1804" s="4"/>
      <c r="AA1804" s="4"/>
      <c r="AB1804" s="4"/>
      <c r="AC1804" s="4"/>
      <c r="AD1804" s="4"/>
      <c r="AE1804" s="4"/>
      <c r="AF1804" s="4"/>
      <c r="AG1804" s="4"/>
      <c r="AH1804" s="4"/>
      <c r="AI1804" s="4"/>
      <c r="AJ1804" s="4"/>
      <c r="AK1804" s="4"/>
      <c r="AL1804" s="4"/>
      <c r="AM1804" s="4" t="s">
        <v>2076</v>
      </c>
    </row>
    <row r="1805" customFormat="false" ht="15" hidden="false" customHeight="false" outlineLevel="0" collapsed="false">
      <c r="A1805" s="4" t="s">
        <v>1987</v>
      </c>
      <c r="B1805" s="4" t="s">
        <v>2077</v>
      </c>
      <c r="C1805" s="4" t="s">
        <v>2078</v>
      </c>
      <c r="D1805" s="12" t="n">
        <v>2024</v>
      </c>
      <c r="E1805" s="4"/>
      <c r="F1805" s="4" t="s">
        <v>1990</v>
      </c>
      <c r="G1805" s="4" t="s">
        <v>1991</v>
      </c>
      <c r="H1805" s="4" t="s">
        <v>1992</v>
      </c>
      <c r="I1805" s="4"/>
      <c r="J1805" s="4" t="s">
        <v>1819</v>
      </c>
      <c r="K1805" s="4" t="s">
        <v>109</v>
      </c>
      <c r="L1805" s="4" t="s">
        <v>110</v>
      </c>
      <c r="M1805" s="4" t="s">
        <v>1993</v>
      </c>
      <c r="N1805" s="4" t="s">
        <v>2001</v>
      </c>
      <c r="O1805" s="4" t="s">
        <v>2002</v>
      </c>
      <c r="P1805" s="4" t="s">
        <v>72</v>
      </c>
      <c r="Q1805" s="4" t="s">
        <v>2079</v>
      </c>
      <c r="R1805" s="4" t="s">
        <v>1997</v>
      </c>
      <c r="S1805" s="4"/>
      <c r="T1805" s="4"/>
      <c r="U1805" s="4"/>
      <c r="V1805" s="4"/>
      <c r="W1805" s="4"/>
      <c r="X1805" s="4"/>
      <c r="Y1805" s="4"/>
      <c r="Z1805" s="4"/>
      <c r="AA1805" s="4"/>
      <c r="AB1805" s="4"/>
      <c r="AC1805" s="4"/>
      <c r="AD1805" s="4"/>
      <c r="AE1805" s="4"/>
      <c r="AF1805" s="4"/>
      <c r="AG1805" s="4"/>
      <c r="AH1805" s="4"/>
      <c r="AI1805" s="4"/>
      <c r="AJ1805" s="4"/>
      <c r="AK1805" s="4"/>
      <c r="AL1805" s="4"/>
      <c r="AM1805" s="4" t="s">
        <v>2080</v>
      </c>
    </row>
    <row r="1806" customFormat="false" ht="23.85" hidden="false" customHeight="false" outlineLevel="0" collapsed="false">
      <c r="A1806" s="4" t="s">
        <v>1987</v>
      </c>
      <c r="B1806" s="4" t="s">
        <v>2081</v>
      </c>
      <c r="C1806" s="4" t="s">
        <v>2082</v>
      </c>
      <c r="D1806" s="12" t="n">
        <v>2024</v>
      </c>
      <c r="E1806" s="4"/>
      <c r="F1806" s="4" t="s">
        <v>1990</v>
      </c>
      <c r="G1806" s="4" t="s">
        <v>1991</v>
      </c>
      <c r="H1806" s="4" t="s">
        <v>1992</v>
      </c>
      <c r="I1806" s="4"/>
      <c r="J1806" s="4" t="s">
        <v>1824</v>
      </c>
      <c r="K1806" s="4" t="s">
        <v>86</v>
      </c>
      <c r="L1806" s="4" t="s">
        <v>87</v>
      </c>
      <c r="M1806" s="4" t="s">
        <v>2018</v>
      </c>
      <c r="N1806" s="4" t="s">
        <v>1994</v>
      </c>
      <c r="O1806" s="4" t="s">
        <v>65</v>
      </c>
      <c r="P1806" s="4" t="s">
        <v>64</v>
      </c>
      <c r="Q1806" s="4" t="s">
        <v>2019</v>
      </c>
      <c r="R1806" s="4" t="s">
        <v>1997</v>
      </c>
      <c r="S1806" s="4"/>
      <c r="T1806" s="4"/>
      <c r="U1806" s="4"/>
      <c r="V1806" s="4"/>
      <c r="W1806" s="4"/>
      <c r="X1806" s="4"/>
      <c r="Y1806" s="4"/>
      <c r="Z1806" s="4"/>
      <c r="AA1806" s="4"/>
      <c r="AB1806" s="4"/>
      <c r="AC1806" s="4"/>
      <c r="AD1806" s="4"/>
      <c r="AE1806" s="4"/>
      <c r="AF1806" s="4"/>
      <c r="AG1806" s="4"/>
      <c r="AH1806" s="4"/>
      <c r="AI1806" s="4"/>
      <c r="AJ1806" s="4"/>
      <c r="AK1806" s="4"/>
      <c r="AL1806" s="4"/>
      <c r="AM1806" s="4" t="s">
        <v>2020</v>
      </c>
    </row>
    <row r="1807" customFormat="false" ht="15" hidden="false" customHeight="false" outlineLevel="0" collapsed="false">
      <c r="A1807" s="4" t="s">
        <v>1987</v>
      </c>
      <c r="B1807" s="4" t="s">
        <v>2083</v>
      </c>
      <c r="C1807" s="4" t="s">
        <v>2084</v>
      </c>
      <c r="D1807" s="12" t="n">
        <v>2024</v>
      </c>
      <c r="E1807" s="4"/>
      <c r="F1807" s="4" t="s">
        <v>1990</v>
      </c>
      <c r="G1807" s="4" t="s">
        <v>1991</v>
      </c>
      <c r="H1807" s="4" t="s">
        <v>1992</v>
      </c>
      <c r="I1807" s="4"/>
      <c r="J1807" s="4" t="s">
        <v>1824</v>
      </c>
      <c r="K1807" s="4" t="s">
        <v>86</v>
      </c>
      <c r="L1807" s="4" t="s">
        <v>87</v>
      </c>
      <c r="M1807" s="4" t="s">
        <v>2018</v>
      </c>
      <c r="N1807" s="4" t="s">
        <v>2001</v>
      </c>
      <c r="O1807" s="4" t="s">
        <v>66</v>
      </c>
      <c r="P1807" s="4" t="s">
        <v>66</v>
      </c>
      <c r="Q1807" s="4" t="s">
        <v>2019</v>
      </c>
      <c r="R1807" s="4" t="s">
        <v>1997</v>
      </c>
      <c r="S1807" s="4"/>
      <c r="T1807" s="4"/>
      <c r="U1807" s="4"/>
      <c r="V1807" s="4"/>
      <c r="W1807" s="4"/>
      <c r="X1807" s="4"/>
      <c r="Y1807" s="4"/>
      <c r="Z1807" s="4"/>
      <c r="AA1807" s="4"/>
      <c r="AB1807" s="4"/>
      <c r="AC1807" s="4"/>
      <c r="AD1807" s="4"/>
      <c r="AE1807" s="4"/>
      <c r="AF1807" s="4"/>
      <c r="AG1807" s="4"/>
      <c r="AH1807" s="4"/>
      <c r="AI1807" s="4"/>
      <c r="AJ1807" s="4"/>
      <c r="AK1807" s="4"/>
      <c r="AL1807" s="4"/>
      <c r="AM1807" s="4" t="s">
        <v>2023</v>
      </c>
    </row>
    <row r="1808" customFormat="false" ht="15" hidden="false" customHeight="false" outlineLevel="0" collapsed="false">
      <c r="A1808" s="4" t="s">
        <v>1987</v>
      </c>
      <c r="B1808" s="4" t="s">
        <v>2085</v>
      </c>
      <c r="C1808" s="4" t="s">
        <v>2086</v>
      </c>
      <c r="D1808" s="12" t="n">
        <v>2024</v>
      </c>
      <c r="E1808" s="4"/>
      <c r="F1808" s="4" t="s">
        <v>1990</v>
      </c>
      <c r="G1808" s="4" t="s">
        <v>1991</v>
      </c>
      <c r="H1808" s="4" t="s">
        <v>1992</v>
      </c>
      <c r="I1808" s="4"/>
      <c r="J1808" s="4" t="s">
        <v>1824</v>
      </c>
      <c r="K1808" s="4" t="s">
        <v>86</v>
      </c>
      <c r="L1808" s="4" t="s">
        <v>87</v>
      </c>
      <c r="M1808" s="4" t="s">
        <v>1993</v>
      </c>
      <c r="N1808" s="4" t="s">
        <v>1994</v>
      </c>
      <c r="O1808" s="4" t="s">
        <v>1995</v>
      </c>
      <c r="P1808" s="4" t="s">
        <v>66</v>
      </c>
      <c r="Q1808" s="4" t="s">
        <v>2019</v>
      </c>
      <c r="R1808" s="4" t="s">
        <v>1997</v>
      </c>
      <c r="S1808" s="4"/>
      <c r="T1808" s="4"/>
      <c r="U1808" s="4"/>
      <c r="V1808" s="4"/>
      <c r="W1808" s="4"/>
      <c r="X1808" s="4"/>
      <c r="Y1808" s="4"/>
      <c r="Z1808" s="4"/>
      <c r="AA1808" s="4"/>
      <c r="AB1808" s="4"/>
      <c r="AC1808" s="4"/>
      <c r="AD1808" s="4"/>
      <c r="AE1808" s="4"/>
      <c r="AF1808" s="4"/>
      <c r="AG1808" s="4"/>
      <c r="AH1808" s="4"/>
      <c r="AI1808" s="4"/>
      <c r="AJ1808" s="4"/>
      <c r="AK1808" s="4"/>
      <c r="AL1808" s="4"/>
      <c r="AM1808" s="4" t="s">
        <v>2026</v>
      </c>
    </row>
    <row r="1809" customFormat="false" ht="23.85" hidden="false" customHeight="false" outlineLevel="0" collapsed="false">
      <c r="A1809" s="4" t="s">
        <v>1987</v>
      </c>
      <c r="B1809" s="4" t="s">
        <v>2087</v>
      </c>
      <c r="C1809" s="4" t="s">
        <v>2088</v>
      </c>
      <c r="D1809" s="12" t="n">
        <v>2024</v>
      </c>
      <c r="E1809" s="4"/>
      <c r="F1809" s="4" t="s">
        <v>1990</v>
      </c>
      <c r="G1809" s="4" t="s">
        <v>1991</v>
      </c>
      <c r="H1809" s="4" t="s">
        <v>1992</v>
      </c>
      <c r="I1809" s="4"/>
      <c r="J1809" s="4" t="s">
        <v>1826</v>
      </c>
      <c r="K1809" s="4" t="s">
        <v>86</v>
      </c>
      <c r="L1809" s="4" t="s">
        <v>87</v>
      </c>
      <c r="M1809" s="4" t="s">
        <v>1993</v>
      </c>
      <c r="N1809" s="4" t="s">
        <v>1994</v>
      </c>
      <c r="O1809" s="4" t="s">
        <v>2029</v>
      </c>
      <c r="P1809" s="4" t="s">
        <v>69</v>
      </c>
      <c r="Q1809" s="4" t="s">
        <v>2030</v>
      </c>
      <c r="R1809" s="4" t="s">
        <v>1997</v>
      </c>
      <c r="S1809" s="4"/>
      <c r="T1809" s="4"/>
      <c r="U1809" s="4"/>
      <c r="V1809" s="4"/>
      <c r="W1809" s="4"/>
      <c r="X1809" s="4"/>
      <c r="Y1809" s="4"/>
      <c r="Z1809" s="4"/>
      <c r="AA1809" s="4"/>
      <c r="AB1809" s="4"/>
      <c r="AC1809" s="4"/>
      <c r="AD1809" s="4"/>
      <c r="AE1809" s="4"/>
      <c r="AF1809" s="4"/>
      <c r="AG1809" s="4"/>
      <c r="AH1809" s="4"/>
      <c r="AI1809" s="4"/>
      <c r="AJ1809" s="4"/>
      <c r="AK1809" s="4"/>
      <c r="AL1809" s="4"/>
      <c r="AM1809" s="4" t="s">
        <v>2031</v>
      </c>
    </row>
    <row r="1810" customFormat="false" ht="23.85" hidden="false" customHeight="false" outlineLevel="0" collapsed="false">
      <c r="A1810" s="4" t="s">
        <v>1987</v>
      </c>
      <c r="B1810" s="4" t="s">
        <v>2089</v>
      </c>
      <c r="C1810" s="4" t="s">
        <v>2090</v>
      </c>
      <c r="D1810" s="12" t="n">
        <v>2024</v>
      </c>
      <c r="E1810" s="4"/>
      <c r="F1810" s="4" t="s">
        <v>1990</v>
      </c>
      <c r="G1810" s="4" t="s">
        <v>1991</v>
      </c>
      <c r="H1810" s="4" t="s">
        <v>1992</v>
      </c>
      <c r="I1810" s="4"/>
      <c r="J1810" s="4" t="s">
        <v>1827</v>
      </c>
      <c r="K1810" s="4" t="s">
        <v>86</v>
      </c>
      <c r="L1810" s="4" t="s">
        <v>87</v>
      </c>
      <c r="M1810" s="4" t="s">
        <v>1993</v>
      </c>
      <c r="N1810" s="4" t="s">
        <v>2001</v>
      </c>
      <c r="O1810" s="4" t="s">
        <v>2091</v>
      </c>
      <c r="P1810" s="4" t="s">
        <v>69</v>
      </c>
      <c r="Q1810" s="4" t="s">
        <v>2030</v>
      </c>
      <c r="R1810" s="4" t="s">
        <v>1997</v>
      </c>
      <c r="S1810" s="4"/>
      <c r="T1810" s="4"/>
      <c r="U1810" s="4"/>
      <c r="V1810" s="4"/>
      <c r="W1810" s="4"/>
      <c r="X1810" s="4"/>
      <c r="Y1810" s="4"/>
      <c r="Z1810" s="4"/>
      <c r="AA1810" s="4"/>
      <c r="AB1810" s="4"/>
      <c r="AC1810" s="4"/>
      <c r="AD1810" s="4"/>
      <c r="AE1810" s="4"/>
      <c r="AF1810" s="4"/>
      <c r="AG1810" s="4"/>
      <c r="AH1810" s="4"/>
      <c r="AI1810" s="4"/>
      <c r="AJ1810" s="4"/>
      <c r="AK1810" s="4"/>
      <c r="AL1810" s="4"/>
      <c r="AM1810" s="4" t="s">
        <v>2092</v>
      </c>
    </row>
    <row r="1811" customFormat="false" ht="23.85" hidden="false" customHeight="false" outlineLevel="0" collapsed="false">
      <c r="A1811" s="4" t="s">
        <v>1987</v>
      </c>
      <c r="B1811" s="4" t="s">
        <v>2093</v>
      </c>
      <c r="C1811" s="4" t="s">
        <v>2094</v>
      </c>
      <c r="D1811" s="12" t="n">
        <v>2024</v>
      </c>
      <c r="E1811" s="4"/>
      <c r="F1811" s="4" t="s">
        <v>1990</v>
      </c>
      <c r="G1811" s="4" t="s">
        <v>1991</v>
      </c>
      <c r="H1811" s="4" t="s">
        <v>1992</v>
      </c>
      <c r="I1811" s="4"/>
      <c r="J1811" s="4" t="s">
        <v>1828</v>
      </c>
      <c r="K1811" s="4" t="s">
        <v>86</v>
      </c>
      <c r="L1811" s="4" t="s">
        <v>87</v>
      </c>
      <c r="M1811" s="4" t="s">
        <v>1993</v>
      </c>
      <c r="N1811" s="4" t="s">
        <v>2001</v>
      </c>
      <c r="O1811" s="4" t="s">
        <v>2034</v>
      </c>
      <c r="P1811" s="4" t="s">
        <v>74</v>
      </c>
      <c r="Q1811" s="4" t="s">
        <v>2035</v>
      </c>
      <c r="R1811" s="4" t="s">
        <v>2036</v>
      </c>
      <c r="S1811" s="4"/>
      <c r="T1811" s="4"/>
      <c r="U1811" s="4"/>
      <c r="V1811" s="4"/>
      <c r="W1811" s="4"/>
      <c r="X1811" s="4"/>
      <c r="Y1811" s="4"/>
      <c r="Z1811" s="4"/>
      <c r="AA1811" s="4"/>
      <c r="AB1811" s="4"/>
      <c r="AC1811" s="4"/>
      <c r="AD1811" s="4"/>
      <c r="AE1811" s="4"/>
      <c r="AF1811" s="4"/>
      <c r="AG1811" s="4"/>
      <c r="AH1811" s="4"/>
      <c r="AI1811" s="4"/>
      <c r="AJ1811" s="4"/>
      <c r="AK1811" s="4"/>
      <c r="AL1811" s="4"/>
      <c r="AM1811" s="4" t="s">
        <v>2037</v>
      </c>
    </row>
    <row r="1812" customFormat="false" ht="23.85" hidden="false" customHeight="false" outlineLevel="0" collapsed="false">
      <c r="A1812" s="4" t="s">
        <v>1987</v>
      </c>
      <c r="B1812" s="4" t="s">
        <v>2095</v>
      </c>
      <c r="C1812" s="4" t="s">
        <v>2096</v>
      </c>
      <c r="D1812" s="12" t="n">
        <v>2024</v>
      </c>
      <c r="E1812" s="4"/>
      <c r="F1812" s="4" t="s">
        <v>1990</v>
      </c>
      <c r="G1812" s="4" t="s">
        <v>1991</v>
      </c>
      <c r="H1812" s="4" t="s">
        <v>1992</v>
      </c>
      <c r="I1812" s="4"/>
      <c r="J1812" s="4" t="s">
        <v>1829</v>
      </c>
      <c r="K1812" s="4" t="s">
        <v>86</v>
      </c>
      <c r="L1812" s="4" t="s">
        <v>87</v>
      </c>
      <c r="M1812" s="4" t="s">
        <v>1993</v>
      </c>
      <c r="N1812" s="4" t="s">
        <v>2001</v>
      </c>
      <c r="O1812" s="4" t="s">
        <v>2002</v>
      </c>
      <c r="P1812" s="4" t="s">
        <v>67</v>
      </c>
      <c r="Q1812" s="4" t="s">
        <v>2097</v>
      </c>
      <c r="R1812" s="4" t="s">
        <v>2004</v>
      </c>
      <c r="S1812" s="4"/>
      <c r="T1812" s="4"/>
      <c r="U1812" s="4"/>
      <c r="V1812" s="4"/>
      <c r="W1812" s="4"/>
      <c r="X1812" s="4"/>
      <c r="Y1812" s="4"/>
      <c r="Z1812" s="4"/>
      <c r="AA1812" s="4"/>
      <c r="AB1812" s="4"/>
      <c r="AC1812" s="4"/>
      <c r="AD1812" s="4"/>
      <c r="AE1812" s="4"/>
      <c r="AF1812" s="4"/>
      <c r="AG1812" s="4"/>
      <c r="AH1812" s="4"/>
      <c r="AI1812" s="4"/>
      <c r="AJ1812" s="4"/>
      <c r="AK1812" s="4"/>
      <c r="AL1812" s="4"/>
      <c r="AM1812" s="4" t="s">
        <v>2098</v>
      </c>
    </row>
    <row r="1813" customFormat="false" ht="35.05" hidden="false" customHeight="false" outlineLevel="0" collapsed="false">
      <c r="A1813" s="4" t="s">
        <v>1987</v>
      </c>
      <c r="B1813" s="4" t="s">
        <v>2099</v>
      </c>
      <c r="C1813" s="4" t="s">
        <v>2100</v>
      </c>
      <c r="D1813" s="12" t="n">
        <v>2024</v>
      </c>
      <c r="E1813" s="4"/>
      <c r="F1813" s="4" t="s">
        <v>1990</v>
      </c>
      <c r="G1813" s="4" t="s">
        <v>1991</v>
      </c>
      <c r="H1813" s="4" t="s">
        <v>1992</v>
      </c>
      <c r="I1813" s="4"/>
      <c r="J1813" s="4" t="s">
        <v>1840</v>
      </c>
      <c r="K1813" s="4" t="s">
        <v>88</v>
      </c>
      <c r="L1813" s="4" t="s">
        <v>89</v>
      </c>
      <c r="M1813" s="4" t="s">
        <v>2018</v>
      </c>
      <c r="N1813" s="4" t="s">
        <v>1994</v>
      </c>
      <c r="O1813" s="4" t="s">
        <v>65</v>
      </c>
      <c r="P1813" s="4" t="s">
        <v>64</v>
      </c>
      <c r="Q1813" s="4" t="s">
        <v>2044</v>
      </c>
      <c r="R1813" s="4" t="s">
        <v>1997</v>
      </c>
      <c r="S1813" s="4"/>
      <c r="T1813" s="4"/>
      <c r="U1813" s="4"/>
      <c r="V1813" s="4"/>
      <c r="W1813" s="4"/>
      <c r="X1813" s="4"/>
      <c r="Y1813" s="4"/>
      <c r="Z1813" s="4"/>
      <c r="AA1813" s="4"/>
      <c r="AB1813" s="4"/>
      <c r="AC1813" s="4"/>
      <c r="AD1813" s="4"/>
      <c r="AE1813" s="4"/>
      <c r="AF1813" s="4"/>
      <c r="AG1813" s="4"/>
      <c r="AH1813" s="4"/>
      <c r="AI1813" s="4"/>
      <c r="AJ1813" s="4"/>
      <c r="AK1813" s="4"/>
      <c r="AL1813" s="4"/>
      <c r="AM1813" s="4" t="s">
        <v>2045</v>
      </c>
    </row>
    <row r="1814" customFormat="false" ht="23.85" hidden="false" customHeight="false" outlineLevel="0" collapsed="false">
      <c r="A1814" s="4" t="s">
        <v>1987</v>
      </c>
      <c r="B1814" s="4" t="s">
        <v>2101</v>
      </c>
      <c r="C1814" s="4" t="s">
        <v>2102</v>
      </c>
      <c r="D1814" s="12" t="n">
        <v>2024</v>
      </c>
      <c r="E1814" s="4"/>
      <c r="F1814" s="4" t="s">
        <v>1990</v>
      </c>
      <c r="G1814" s="4" t="s">
        <v>1991</v>
      </c>
      <c r="H1814" s="4" t="s">
        <v>1992</v>
      </c>
      <c r="I1814" s="4"/>
      <c r="J1814" s="4" t="s">
        <v>1846</v>
      </c>
      <c r="K1814" s="4" t="s">
        <v>88</v>
      </c>
      <c r="L1814" s="4" t="s">
        <v>89</v>
      </c>
      <c r="M1814" s="4" t="s">
        <v>2018</v>
      </c>
      <c r="N1814" s="4" t="s">
        <v>2001</v>
      </c>
      <c r="O1814" s="4" t="s">
        <v>66</v>
      </c>
      <c r="P1814" s="4" t="s">
        <v>67</v>
      </c>
      <c r="Q1814" s="4" t="s">
        <v>2003</v>
      </c>
      <c r="R1814" s="4" t="s">
        <v>2004</v>
      </c>
      <c r="S1814" s="4"/>
      <c r="T1814" s="4"/>
      <c r="U1814" s="4"/>
      <c r="V1814" s="4"/>
      <c r="W1814" s="4"/>
      <c r="X1814" s="4"/>
      <c r="Y1814" s="4"/>
      <c r="Z1814" s="4"/>
      <c r="AA1814" s="4"/>
      <c r="AB1814" s="4"/>
      <c r="AC1814" s="4"/>
      <c r="AD1814" s="4"/>
      <c r="AE1814" s="4"/>
      <c r="AF1814" s="4"/>
      <c r="AG1814" s="4"/>
      <c r="AH1814" s="4"/>
      <c r="AI1814" s="4"/>
      <c r="AJ1814" s="4"/>
      <c r="AK1814" s="4"/>
      <c r="AL1814" s="4"/>
      <c r="AM1814" s="4" t="s">
        <v>2048</v>
      </c>
    </row>
    <row r="1815" customFormat="false" ht="23.85" hidden="false" customHeight="false" outlineLevel="0" collapsed="false">
      <c r="A1815" s="4" t="s">
        <v>1987</v>
      </c>
      <c r="B1815" s="4" t="s">
        <v>2103</v>
      </c>
      <c r="C1815" s="4" t="s">
        <v>2104</v>
      </c>
      <c r="D1815" s="12" t="n">
        <v>2024</v>
      </c>
      <c r="E1815" s="4"/>
      <c r="F1815" s="4" t="s">
        <v>1990</v>
      </c>
      <c r="G1815" s="4" t="s">
        <v>1991</v>
      </c>
      <c r="H1815" s="4" t="s">
        <v>1992</v>
      </c>
      <c r="I1815" s="4"/>
      <c r="J1815" s="4" t="s">
        <v>1857</v>
      </c>
      <c r="K1815" s="4" t="s">
        <v>95</v>
      </c>
      <c r="L1815" s="4" t="s">
        <v>96</v>
      </c>
      <c r="M1815" s="4" t="s">
        <v>1993</v>
      </c>
      <c r="N1815" s="4" t="s">
        <v>1994</v>
      </c>
      <c r="O1815" s="4" t="s">
        <v>2029</v>
      </c>
      <c r="P1815" s="4" t="s">
        <v>69</v>
      </c>
      <c r="Q1815" s="4" t="s">
        <v>2030</v>
      </c>
      <c r="R1815" s="4" t="s">
        <v>1997</v>
      </c>
      <c r="S1815" s="4"/>
      <c r="T1815" s="4"/>
      <c r="U1815" s="4"/>
      <c r="V1815" s="4"/>
      <c r="W1815" s="4"/>
      <c r="X1815" s="4"/>
      <c r="Y1815" s="4"/>
      <c r="Z1815" s="4"/>
      <c r="AA1815" s="4"/>
      <c r="AB1815" s="4"/>
      <c r="AC1815" s="4"/>
      <c r="AD1815" s="4"/>
      <c r="AE1815" s="4"/>
      <c r="AF1815" s="4"/>
      <c r="AG1815" s="4"/>
      <c r="AH1815" s="4"/>
      <c r="AI1815" s="4"/>
      <c r="AJ1815" s="4"/>
      <c r="AK1815" s="4"/>
      <c r="AL1815" s="4"/>
      <c r="AM1815" s="4" t="s">
        <v>2031</v>
      </c>
    </row>
    <row r="1816" customFormat="false" ht="23.85" hidden="false" customHeight="false" outlineLevel="0" collapsed="false">
      <c r="A1816" s="4" t="s">
        <v>1987</v>
      </c>
      <c r="B1816" s="4" t="s">
        <v>2105</v>
      </c>
      <c r="C1816" s="4" t="s">
        <v>2106</v>
      </c>
      <c r="D1816" s="12" t="n">
        <v>2024</v>
      </c>
      <c r="E1816" s="4"/>
      <c r="F1816" s="4" t="s">
        <v>1990</v>
      </c>
      <c r="G1816" s="4" t="s">
        <v>1991</v>
      </c>
      <c r="H1816" s="4" t="s">
        <v>1992</v>
      </c>
      <c r="I1816" s="4"/>
      <c r="J1816" s="4" t="s">
        <v>1859</v>
      </c>
      <c r="K1816" s="4" t="s">
        <v>95</v>
      </c>
      <c r="L1816" s="4" t="s">
        <v>96</v>
      </c>
      <c r="M1816" s="4" t="s">
        <v>1993</v>
      </c>
      <c r="N1816" s="4" t="s">
        <v>2001</v>
      </c>
      <c r="O1816" s="4" t="s">
        <v>2034</v>
      </c>
      <c r="P1816" s="4" t="s">
        <v>74</v>
      </c>
      <c r="Q1816" s="4" t="s">
        <v>2035</v>
      </c>
      <c r="R1816" s="4" t="s">
        <v>2036</v>
      </c>
      <c r="S1816" s="4"/>
      <c r="T1816" s="4"/>
      <c r="U1816" s="4"/>
      <c r="V1816" s="4"/>
      <c r="W1816" s="4"/>
      <c r="X1816" s="4"/>
      <c r="Y1816" s="4"/>
      <c r="Z1816" s="4"/>
      <c r="AA1816" s="4"/>
      <c r="AB1816" s="4"/>
      <c r="AC1816" s="4"/>
      <c r="AD1816" s="4"/>
      <c r="AE1816" s="4"/>
      <c r="AF1816" s="4"/>
      <c r="AG1816" s="4"/>
      <c r="AH1816" s="4"/>
      <c r="AI1816" s="4"/>
      <c r="AJ1816" s="4"/>
      <c r="AK1816" s="4"/>
      <c r="AL1816" s="4"/>
      <c r="AM1816" s="4" t="s">
        <v>2037</v>
      </c>
    </row>
    <row r="1817" customFormat="false" ht="23.85" hidden="false" customHeight="false" outlineLevel="0" collapsed="false">
      <c r="A1817" s="4" t="s">
        <v>1987</v>
      </c>
      <c r="B1817" s="4" t="s">
        <v>2107</v>
      </c>
      <c r="C1817" s="4" t="s">
        <v>2108</v>
      </c>
      <c r="D1817" s="12" t="n">
        <v>2024</v>
      </c>
      <c r="E1817" s="4"/>
      <c r="F1817" s="4" t="s">
        <v>1990</v>
      </c>
      <c r="G1817" s="4" t="s">
        <v>1991</v>
      </c>
      <c r="H1817" s="4" t="s">
        <v>1992</v>
      </c>
      <c r="I1817" s="4"/>
      <c r="J1817" s="4" t="s">
        <v>1861</v>
      </c>
      <c r="K1817" s="4" t="s">
        <v>95</v>
      </c>
      <c r="L1817" s="4" t="s">
        <v>96</v>
      </c>
      <c r="M1817" s="4" t="s">
        <v>1993</v>
      </c>
      <c r="N1817" s="4" t="s">
        <v>2001</v>
      </c>
      <c r="O1817" s="4" t="s">
        <v>2002</v>
      </c>
      <c r="P1817" s="4" t="s">
        <v>67</v>
      </c>
      <c r="Q1817" s="4" t="s">
        <v>2003</v>
      </c>
      <c r="R1817" s="4" t="s">
        <v>2004</v>
      </c>
      <c r="S1817" s="4"/>
      <c r="T1817" s="4"/>
      <c r="U1817" s="4"/>
      <c r="V1817" s="4"/>
      <c r="W1817" s="4"/>
      <c r="X1817" s="4"/>
      <c r="Y1817" s="4"/>
      <c r="Z1817" s="4"/>
      <c r="AA1817" s="4"/>
      <c r="AB1817" s="4"/>
      <c r="AC1817" s="4"/>
      <c r="AD1817" s="4"/>
      <c r="AE1817" s="4"/>
      <c r="AF1817" s="4"/>
      <c r="AG1817" s="4"/>
      <c r="AH1817" s="4"/>
      <c r="AI1817" s="4"/>
      <c r="AJ1817" s="4"/>
      <c r="AK1817" s="4"/>
      <c r="AL1817" s="4"/>
      <c r="AM1817" s="4" t="s">
        <v>2005</v>
      </c>
    </row>
    <row r="1818" customFormat="false" ht="23.85" hidden="false" customHeight="false" outlineLevel="0" collapsed="false">
      <c r="A1818" s="4" t="s">
        <v>1987</v>
      </c>
      <c r="B1818" s="4" t="s">
        <v>2109</v>
      </c>
      <c r="C1818" s="4" t="s">
        <v>2110</v>
      </c>
      <c r="D1818" s="12" t="n">
        <v>2024</v>
      </c>
      <c r="E1818" s="4"/>
      <c r="F1818" s="4" t="s">
        <v>1990</v>
      </c>
      <c r="G1818" s="4" t="s">
        <v>1991</v>
      </c>
      <c r="H1818" s="4" t="s">
        <v>1992</v>
      </c>
      <c r="I1818" s="4"/>
      <c r="J1818" s="4" t="s">
        <v>1867</v>
      </c>
      <c r="K1818" s="4" t="s">
        <v>95</v>
      </c>
      <c r="L1818" s="4" t="s">
        <v>96</v>
      </c>
      <c r="M1818" s="4" t="s">
        <v>1993</v>
      </c>
      <c r="N1818" s="4" t="s">
        <v>2001</v>
      </c>
      <c r="O1818" s="4" t="s">
        <v>2002</v>
      </c>
      <c r="P1818" s="4" t="s">
        <v>68</v>
      </c>
      <c r="Q1818" s="4" t="s">
        <v>2111</v>
      </c>
      <c r="R1818" s="4" t="s">
        <v>1997</v>
      </c>
      <c r="S1818" s="4"/>
      <c r="T1818" s="4"/>
      <c r="U1818" s="4"/>
      <c r="V1818" s="4"/>
      <c r="W1818" s="4"/>
      <c r="X1818" s="4"/>
      <c r="Y1818" s="4"/>
      <c r="Z1818" s="4"/>
      <c r="AA1818" s="4"/>
      <c r="AB1818" s="4"/>
      <c r="AC1818" s="4"/>
      <c r="AD1818" s="4"/>
      <c r="AE1818" s="4"/>
      <c r="AF1818" s="4"/>
      <c r="AG1818" s="4"/>
      <c r="AH1818" s="4"/>
      <c r="AI1818" s="4"/>
      <c r="AJ1818" s="4"/>
      <c r="AK1818" s="4"/>
      <c r="AL1818" s="4"/>
      <c r="AM1818" s="4" t="s">
        <v>2112</v>
      </c>
    </row>
    <row r="1819" customFormat="false" ht="23.85" hidden="false" customHeight="false" outlineLevel="0" collapsed="false">
      <c r="A1819" s="4" t="s">
        <v>1987</v>
      </c>
      <c r="B1819" s="4" t="s">
        <v>2113</v>
      </c>
      <c r="C1819" s="4" t="s">
        <v>2114</v>
      </c>
      <c r="D1819" s="12" t="n">
        <v>2024</v>
      </c>
      <c r="E1819" s="4"/>
      <c r="F1819" s="4" t="s">
        <v>1990</v>
      </c>
      <c r="G1819" s="4" t="s">
        <v>1991</v>
      </c>
      <c r="H1819" s="4" t="s">
        <v>1992</v>
      </c>
      <c r="I1819" s="4"/>
      <c r="J1819" s="4" t="s">
        <v>1872</v>
      </c>
      <c r="K1819" s="4" t="s">
        <v>97</v>
      </c>
      <c r="L1819" s="4" t="s">
        <v>98</v>
      </c>
      <c r="M1819" s="4" t="s">
        <v>1993</v>
      </c>
      <c r="N1819" s="4" t="s">
        <v>1994</v>
      </c>
      <c r="O1819" s="4" t="s">
        <v>2029</v>
      </c>
      <c r="P1819" s="4" t="s">
        <v>69</v>
      </c>
      <c r="Q1819" s="4" t="s">
        <v>2030</v>
      </c>
      <c r="R1819" s="4" t="s">
        <v>1997</v>
      </c>
      <c r="S1819" s="4"/>
      <c r="T1819" s="4"/>
      <c r="U1819" s="4"/>
      <c r="V1819" s="4"/>
      <c r="W1819" s="4"/>
      <c r="X1819" s="4"/>
      <c r="Y1819" s="4"/>
      <c r="Z1819" s="4"/>
      <c r="AA1819" s="4"/>
      <c r="AB1819" s="4"/>
      <c r="AC1819" s="4"/>
      <c r="AD1819" s="4"/>
      <c r="AE1819" s="4"/>
      <c r="AF1819" s="4"/>
      <c r="AG1819" s="4"/>
      <c r="AH1819" s="4"/>
      <c r="AI1819" s="4"/>
      <c r="AJ1819" s="4"/>
      <c r="AK1819" s="4"/>
      <c r="AL1819" s="4"/>
      <c r="AM1819" s="4" t="s">
        <v>2031</v>
      </c>
    </row>
    <row r="1820" customFormat="false" ht="23.85" hidden="false" customHeight="false" outlineLevel="0" collapsed="false">
      <c r="A1820" s="4" t="s">
        <v>1987</v>
      </c>
      <c r="B1820" s="4" t="s">
        <v>2115</v>
      </c>
      <c r="C1820" s="4" t="s">
        <v>2116</v>
      </c>
      <c r="D1820" s="12" t="n">
        <v>2024</v>
      </c>
      <c r="E1820" s="4"/>
      <c r="F1820" s="4" t="s">
        <v>1990</v>
      </c>
      <c r="G1820" s="4" t="s">
        <v>1991</v>
      </c>
      <c r="H1820" s="4" t="s">
        <v>1992</v>
      </c>
      <c r="I1820" s="4"/>
      <c r="J1820" s="4" t="s">
        <v>1873</v>
      </c>
      <c r="K1820" s="4" t="s">
        <v>97</v>
      </c>
      <c r="L1820" s="4" t="s">
        <v>98</v>
      </c>
      <c r="M1820" s="4" t="s">
        <v>1993</v>
      </c>
      <c r="N1820" s="4" t="s">
        <v>2001</v>
      </c>
      <c r="O1820" s="4" t="s">
        <v>2091</v>
      </c>
      <c r="P1820" s="4" t="s">
        <v>69</v>
      </c>
      <c r="Q1820" s="4" t="s">
        <v>2030</v>
      </c>
      <c r="R1820" s="4" t="s">
        <v>1997</v>
      </c>
      <c r="S1820" s="4"/>
      <c r="T1820" s="4"/>
      <c r="U1820" s="4"/>
      <c r="V1820" s="4"/>
      <c r="W1820" s="4"/>
      <c r="X1820" s="4"/>
      <c r="Y1820" s="4"/>
      <c r="Z1820" s="4"/>
      <c r="AA1820" s="4"/>
      <c r="AB1820" s="4"/>
      <c r="AC1820" s="4"/>
      <c r="AD1820" s="4"/>
      <c r="AE1820" s="4"/>
      <c r="AF1820" s="4"/>
      <c r="AG1820" s="4"/>
      <c r="AH1820" s="4"/>
      <c r="AI1820" s="4"/>
      <c r="AJ1820" s="4"/>
      <c r="AK1820" s="4"/>
      <c r="AL1820" s="4"/>
      <c r="AM1820" s="4" t="s">
        <v>2092</v>
      </c>
    </row>
    <row r="1821" customFormat="false" ht="23.85" hidden="false" customHeight="false" outlineLevel="0" collapsed="false">
      <c r="A1821" s="4" t="s">
        <v>1987</v>
      </c>
      <c r="B1821" s="4" t="s">
        <v>2117</v>
      </c>
      <c r="C1821" s="4" t="s">
        <v>2118</v>
      </c>
      <c r="D1821" s="12" t="n">
        <v>2024</v>
      </c>
      <c r="E1821" s="4"/>
      <c r="F1821" s="4" t="s">
        <v>1990</v>
      </c>
      <c r="G1821" s="4" t="s">
        <v>1991</v>
      </c>
      <c r="H1821" s="4" t="s">
        <v>1992</v>
      </c>
      <c r="I1821" s="4"/>
      <c r="J1821" s="4" t="s">
        <v>1874</v>
      </c>
      <c r="K1821" s="4" t="s">
        <v>97</v>
      </c>
      <c r="L1821" s="4" t="s">
        <v>98</v>
      </c>
      <c r="M1821" s="4" t="s">
        <v>1993</v>
      </c>
      <c r="N1821" s="4" t="s">
        <v>2001</v>
      </c>
      <c r="O1821" s="4" t="s">
        <v>2034</v>
      </c>
      <c r="P1821" s="4" t="s">
        <v>74</v>
      </c>
      <c r="Q1821" s="4" t="s">
        <v>2035</v>
      </c>
      <c r="R1821" s="4" t="s">
        <v>2036</v>
      </c>
      <c r="S1821" s="4"/>
      <c r="T1821" s="4"/>
      <c r="U1821" s="4"/>
      <c r="V1821" s="4"/>
      <c r="W1821" s="4"/>
      <c r="X1821" s="4"/>
      <c r="Y1821" s="4"/>
      <c r="Z1821" s="4"/>
      <c r="AA1821" s="4"/>
      <c r="AB1821" s="4"/>
      <c r="AC1821" s="4"/>
      <c r="AD1821" s="4"/>
      <c r="AE1821" s="4"/>
      <c r="AF1821" s="4"/>
      <c r="AG1821" s="4"/>
      <c r="AH1821" s="4"/>
      <c r="AI1821" s="4"/>
      <c r="AJ1821" s="4"/>
      <c r="AK1821" s="4"/>
      <c r="AL1821" s="4"/>
      <c r="AM1821" s="4" t="s">
        <v>2037</v>
      </c>
    </row>
    <row r="1822" customFormat="false" ht="23.85" hidden="false" customHeight="false" outlineLevel="0" collapsed="false">
      <c r="A1822" s="4" t="s">
        <v>1987</v>
      </c>
      <c r="B1822" s="4" t="s">
        <v>2119</v>
      </c>
      <c r="C1822" s="4" t="s">
        <v>2120</v>
      </c>
      <c r="D1822" s="12" t="n">
        <v>2024</v>
      </c>
      <c r="E1822" s="4"/>
      <c r="F1822" s="4" t="s">
        <v>1990</v>
      </c>
      <c r="G1822" s="4" t="s">
        <v>1991</v>
      </c>
      <c r="H1822" s="4" t="s">
        <v>1992</v>
      </c>
      <c r="I1822" s="4"/>
      <c r="J1822" s="4" t="s">
        <v>1876</v>
      </c>
      <c r="K1822" s="4" t="s">
        <v>97</v>
      </c>
      <c r="L1822" s="4" t="s">
        <v>98</v>
      </c>
      <c r="M1822" s="4" t="s">
        <v>1993</v>
      </c>
      <c r="N1822" s="4" t="s">
        <v>2001</v>
      </c>
      <c r="O1822" s="4" t="s">
        <v>2002</v>
      </c>
      <c r="P1822" s="4" t="s">
        <v>67</v>
      </c>
      <c r="Q1822" s="4" t="s">
        <v>2003</v>
      </c>
      <c r="R1822" s="4" t="s">
        <v>2004</v>
      </c>
      <c r="S1822" s="4"/>
      <c r="T1822" s="4"/>
      <c r="U1822" s="4"/>
      <c r="V1822" s="4"/>
      <c r="W1822" s="4"/>
      <c r="X1822" s="4"/>
      <c r="Y1822" s="4"/>
      <c r="Z1822" s="4"/>
      <c r="AA1822" s="4"/>
      <c r="AB1822" s="4"/>
      <c r="AC1822" s="4"/>
      <c r="AD1822" s="4"/>
      <c r="AE1822" s="4"/>
      <c r="AF1822" s="4"/>
      <c r="AG1822" s="4"/>
      <c r="AH1822" s="4"/>
      <c r="AI1822" s="4"/>
      <c r="AJ1822" s="4"/>
      <c r="AK1822" s="4"/>
      <c r="AL1822" s="4"/>
      <c r="AM1822" s="4" t="s">
        <v>2005</v>
      </c>
    </row>
    <row r="1823" customFormat="false" ht="15" hidden="false" customHeight="false" outlineLevel="0" collapsed="false">
      <c r="A1823" s="4" t="s">
        <v>1987</v>
      </c>
      <c r="B1823" s="4" t="s">
        <v>2121</v>
      </c>
      <c r="C1823" s="4" t="s">
        <v>2122</v>
      </c>
      <c r="D1823" s="12" t="n">
        <v>2024</v>
      </c>
      <c r="E1823" s="4"/>
      <c r="F1823" s="4" t="s">
        <v>1990</v>
      </c>
      <c r="G1823" s="4" t="s">
        <v>1991</v>
      </c>
      <c r="H1823" s="4" t="s">
        <v>1992</v>
      </c>
      <c r="I1823" s="4"/>
      <c r="J1823" s="4" t="s">
        <v>1879</v>
      </c>
      <c r="K1823" s="4" t="s">
        <v>97</v>
      </c>
      <c r="L1823" s="4" t="s">
        <v>98</v>
      </c>
      <c r="M1823" s="4" t="s">
        <v>1993</v>
      </c>
      <c r="N1823" s="4" t="s">
        <v>2001</v>
      </c>
      <c r="O1823" s="4" t="s">
        <v>2002</v>
      </c>
      <c r="P1823" s="4" t="s">
        <v>71</v>
      </c>
      <c r="Q1823" s="4" t="s">
        <v>2123</v>
      </c>
      <c r="R1823" s="4" t="s">
        <v>1997</v>
      </c>
      <c r="S1823" s="4"/>
      <c r="T1823" s="4"/>
      <c r="U1823" s="4"/>
      <c r="V1823" s="4"/>
      <c r="W1823" s="4"/>
      <c r="X1823" s="4"/>
      <c r="Y1823" s="4"/>
      <c r="Z1823" s="4"/>
      <c r="AA1823" s="4"/>
      <c r="AB1823" s="4"/>
      <c r="AC1823" s="4"/>
      <c r="AD1823" s="4"/>
      <c r="AE1823" s="4"/>
      <c r="AF1823" s="4"/>
      <c r="AG1823" s="4"/>
      <c r="AH1823" s="4"/>
      <c r="AI1823" s="4"/>
      <c r="AJ1823" s="4"/>
      <c r="AK1823" s="4"/>
      <c r="AL1823" s="4"/>
      <c r="AM1823" s="4" t="s">
        <v>2124</v>
      </c>
    </row>
    <row r="1824" customFormat="false" ht="23.85" hidden="false" customHeight="false" outlineLevel="0" collapsed="false">
      <c r="A1824" s="4" t="s">
        <v>1987</v>
      </c>
      <c r="B1824" s="4" t="s">
        <v>2125</v>
      </c>
      <c r="C1824" s="4" t="s">
        <v>2126</v>
      </c>
      <c r="D1824" s="12" t="n">
        <v>2024</v>
      </c>
      <c r="E1824" s="4"/>
      <c r="F1824" s="4" t="s">
        <v>1990</v>
      </c>
      <c r="G1824" s="4" t="s">
        <v>1991</v>
      </c>
      <c r="H1824" s="4" t="s">
        <v>1992</v>
      </c>
      <c r="I1824" s="4"/>
      <c r="J1824" s="4" t="s">
        <v>1882</v>
      </c>
      <c r="K1824" s="4" t="s">
        <v>97</v>
      </c>
      <c r="L1824" s="4" t="s">
        <v>98</v>
      </c>
      <c r="M1824" s="4" t="s">
        <v>1993</v>
      </c>
      <c r="N1824" s="4" t="s">
        <v>2001</v>
      </c>
      <c r="O1824" s="4" t="s">
        <v>2002</v>
      </c>
      <c r="P1824" s="4" t="s">
        <v>68</v>
      </c>
      <c r="Q1824" s="4" t="s">
        <v>2111</v>
      </c>
      <c r="R1824" s="4" t="s">
        <v>1997</v>
      </c>
      <c r="S1824" s="4"/>
      <c r="T1824" s="4"/>
      <c r="U1824" s="4"/>
      <c r="V1824" s="4"/>
      <c r="W1824" s="4"/>
      <c r="X1824" s="4"/>
      <c r="Y1824" s="4"/>
      <c r="Z1824" s="4"/>
      <c r="AA1824" s="4"/>
      <c r="AB1824" s="4"/>
      <c r="AC1824" s="4"/>
      <c r="AD1824" s="4"/>
      <c r="AE1824" s="4"/>
      <c r="AF1824" s="4"/>
      <c r="AG1824" s="4"/>
      <c r="AH1824" s="4"/>
      <c r="AI1824" s="4"/>
      <c r="AJ1824" s="4"/>
      <c r="AK1824" s="4"/>
      <c r="AL1824" s="4"/>
      <c r="AM1824" s="4" t="s">
        <v>2112</v>
      </c>
    </row>
    <row r="1825" customFormat="false" ht="23.85" hidden="false" customHeight="false" outlineLevel="0" collapsed="false">
      <c r="A1825" s="4" t="s">
        <v>1987</v>
      </c>
      <c r="B1825" s="4" t="s">
        <v>2127</v>
      </c>
      <c r="C1825" s="4" t="s">
        <v>2128</v>
      </c>
      <c r="D1825" s="12" t="n">
        <v>2024</v>
      </c>
      <c r="E1825" s="4"/>
      <c r="F1825" s="4" t="s">
        <v>1990</v>
      </c>
      <c r="G1825" s="4" t="s">
        <v>1991</v>
      </c>
      <c r="H1825" s="4" t="s">
        <v>1992</v>
      </c>
      <c r="I1825" s="4"/>
      <c r="J1825" s="4" t="s">
        <v>1886</v>
      </c>
      <c r="K1825" s="4" t="s">
        <v>99</v>
      </c>
      <c r="L1825" s="4" t="s">
        <v>100</v>
      </c>
      <c r="M1825" s="4" t="s">
        <v>1993</v>
      </c>
      <c r="N1825" s="4" t="s">
        <v>1994</v>
      </c>
      <c r="O1825" s="4" t="s">
        <v>2029</v>
      </c>
      <c r="P1825" s="4" t="s">
        <v>69</v>
      </c>
      <c r="Q1825" s="4" t="s">
        <v>2030</v>
      </c>
      <c r="R1825" s="4" t="s">
        <v>1997</v>
      </c>
      <c r="S1825" s="4"/>
      <c r="T1825" s="4"/>
      <c r="U1825" s="4"/>
      <c r="V1825" s="4"/>
      <c r="W1825" s="4"/>
      <c r="X1825" s="4"/>
      <c r="Y1825" s="4"/>
      <c r="Z1825" s="4"/>
      <c r="AA1825" s="4"/>
      <c r="AB1825" s="4"/>
      <c r="AC1825" s="4"/>
      <c r="AD1825" s="4"/>
      <c r="AE1825" s="4"/>
      <c r="AF1825" s="4"/>
      <c r="AG1825" s="4"/>
      <c r="AH1825" s="4"/>
      <c r="AI1825" s="4"/>
      <c r="AJ1825" s="4"/>
      <c r="AK1825" s="4"/>
      <c r="AL1825" s="4"/>
      <c r="AM1825" s="4" t="s">
        <v>2031</v>
      </c>
    </row>
    <row r="1826" customFormat="false" ht="23.85" hidden="false" customHeight="false" outlineLevel="0" collapsed="false">
      <c r="A1826" s="4" t="s">
        <v>1987</v>
      </c>
      <c r="B1826" s="4" t="s">
        <v>2129</v>
      </c>
      <c r="C1826" s="4" t="s">
        <v>2130</v>
      </c>
      <c r="D1826" s="12" t="n">
        <v>2024</v>
      </c>
      <c r="E1826" s="4"/>
      <c r="F1826" s="4" t="s">
        <v>1990</v>
      </c>
      <c r="G1826" s="4" t="s">
        <v>1991</v>
      </c>
      <c r="H1826" s="4" t="s">
        <v>1992</v>
      </c>
      <c r="I1826" s="4"/>
      <c r="J1826" s="4" t="s">
        <v>1887</v>
      </c>
      <c r="K1826" s="4" t="s">
        <v>99</v>
      </c>
      <c r="L1826" s="4" t="s">
        <v>100</v>
      </c>
      <c r="M1826" s="4" t="s">
        <v>1993</v>
      </c>
      <c r="N1826" s="4" t="s">
        <v>2001</v>
      </c>
      <c r="O1826" s="4" t="s">
        <v>2091</v>
      </c>
      <c r="P1826" s="4" t="s">
        <v>69</v>
      </c>
      <c r="Q1826" s="4" t="s">
        <v>2030</v>
      </c>
      <c r="R1826" s="4" t="s">
        <v>1997</v>
      </c>
      <c r="S1826" s="4"/>
      <c r="T1826" s="4"/>
      <c r="U1826" s="4"/>
      <c r="V1826" s="4"/>
      <c r="W1826" s="4"/>
      <c r="X1826" s="4"/>
      <c r="Y1826" s="4"/>
      <c r="Z1826" s="4"/>
      <c r="AA1826" s="4"/>
      <c r="AB1826" s="4"/>
      <c r="AC1826" s="4"/>
      <c r="AD1826" s="4"/>
      <c r="AE1826" s="4"/>
      <c r="AF1826" s="4"/>
      <c r="AG1826" s="4"/>
      <c r="AH1826" s="4"/>
      <c r="AI1826" s="4"/>
      <c r="AJ1826" s="4"/>
      <c r="AK1826" s="4"/>
      <c r="AL1826" s="4"/>
      <c r="AM1826" s="4" t="s">
        <v>2092</v>
      </c>
    </row>
    <row r="1827" customFormat="false" ht="23.85" hidden="false" customHeight="false" outlineLevel="0" collapsed="false">
      <c r="A1827" s="4" t="s">
        <v>1987</v>
      </c>
      <c r="B1827" s="4" t="s">
        <v>2131</v>
      </c>
      <c r="C1827" s="4" t="s">
        <v>2132</v>
      </c>
      <c r="D1827" s="12" t="n">
        <v>2024</v>
      </c>
      <c r="E1827" s="4"/>
      <c r="F1827" s="4" t="s">
        <v>1990</v>
      </c>
      <c r="G1827" s="4" t="s">
        <v>1991</v>
      </c>
      <c r="H1827" s="4" t="s">
        <v>1992</v>
      </c>
      <c r="I1827" s="4"/>
      <c r="J1827" s="4" t="s">
        <v>1890</v>
      </c>
      <c r="K1827" s="4" t="s">
        <v>99</v>
      </c>
      <c r="L1827" s="4" t="s">
        <v>100</v>
      </c>
      <c r="M1827" s="4" t="s">
        <v>1993</v>
      </c>
      <c r="N1827" s="4" t="s">
        <v>1994</v>
      </c>
      <c r="O1827" s="4" t="s">
        <v>1995</v>
      </c>
      <c r="P1827" s="4" t="s">
        <v>67</v>
      </c>
      <c r="Q1827" s="4" t="s">
        <v>2003</v>
      </c>
      <c r="R1827" s="4" t="s">
        <v>1997</v>
      </c>
      <c r="S1827" s="4"/>
      <c r="T1827" s="4"/>
      <c r="U1827" s="4"/>
      <c r="V1827" s="4"/>
      <c r="W1827" s="4"/>
      <c r="X1827" s="4"/>
      <c r="Y1827" s="4"/>
      <c r="Z1827" s="4"/>
      <c r="AA1827" s="4"/>
      <c r="AB1827" s="4"/>
      <c r="AC1827" s="4"/>
      <c r="AD1827" s="4"/>
      <c r="AE1827" s="4"/>
      <c r="AF1827" s="4"/>
      <c r="AG1827" s="4"/>
      <c r="AH1827" s="4"/>
      <c r="AI1827" s="4"/>
      <c r="AJ1827" s="4"/>
      <c r="AK1827" s="4"/>
      <c r="AL1827" s="4"/>
      <c r="AM1827" s="4" t="s">
        <v>2133</v>
      </c>
    </row>
    <row r="1828" customFormat="false" ht="23.85" hidden="false" customHeight="false" outlineLevel="0" collapsed="false">
      <c r="A1828" s="4" t="s">
        <v>1987</v>
      </c>
      <c r="B1828" s="4" t="s">
        <v>2134</v>
      </c>
      <c r="C1828" s="4" t="s">
        <v>2135</v>
      </c>
      <c r="D1828" s="12" t="n">
        <v>2024</v>
      </c>
      <c r="E1828" s="4"/>
      <c r="F1828" s="4" t="s">
        <v>1990</v>
      </c>
      <c r="G1828" s="4" t="s">
        <v>1991</v>
      </c>
      <c r="H1828" s="4" t="s">
        <v>1992</v>
      </c>
      <c r="I1828" s="4"/>
      <c r="J1828" s="4" t="s">
        <v>1891</v>
      </c>
      <c r="K1828" s="4" t="s">
        <v>99</v>
      </c>
      <c r="L1828" s="4" t="s">
        <v>100</v>
      </c>
      <c r="M1828" s="4" t="s">
        <v>1993</v>
      </c>
      <c r="N1828" s="4" t="s">
        <v>1994</v>
      </c>
      <c r="O1828" s="4" t="s">
        <v>1995</v>
      </c>
      <c r="P1828" s="4" t="s">
        <v>67</v>
      </c>
      <c r="Q1828" s="4" t="s">
        <v>2008</v>
      </c>
      <c r="R1828" s="4" t="s">
        <v>1997</v>
      </c>
      <c r="S1828" s="4"/>
      <c r="T1828" s="4"/>
      <c r="U1828" s="4"/>
      <c r="V1828" s="4"/>
      <c r="W1828" s="4"/>
      <c r="X1828" s="4"/>
      <c r="Y1828" s="4"/>
      <c r="Z1828" s="4"/>
      <c r="AA1828" s="4"/>
      <c r="AB1828" s="4"/>
      <c r="AC1828" s="4"/>
      <c r="AD1828" s="4"/>
      <c r="AE1828" s="4"/>
      <c r="AF1828" s="4"/>
      <c r="AG1828" s="4"/>
      <c r="AH1828" s="4"/>
      <c r="AI1828" s="4"/>
      <c r="AJ1828" s="4"/>
      <c r="AK1828" s="4"/>
      <c r="AL1828" s="4"/>
      <c r="AM1828" s="4" t="s">
        <v>2136</v>
      </c>
    </row>
    <row r="1829" customFormat="false" ht="15" hidden="false" customHeight="false" outlineLevel="0" collapsed="false">
      <c r="A1829" s="4" t="s">
        <v>1987</v>
      </c>
      <c r="B1829" s="4" t="s">
        <v>2137</v>
      </c>
      <c r="C1829" s="4" t="s">
        <v>2138</v>
      </c>
      <c r="D1829" s="12" t="n">
        <v>2024</v>
      </c>
      <c r="E1829" s="4"/>
      <c r="F1829" s="4" t="s">
        <v>1990</v>
      </c>
      <c r="G1829" s="4" t="s">
        <v>1991</v>
      </c>
      <c r="H1829" s="4" t="s">
        <v>1992</v>
      </c>
      <c r="I1829" s="4"/>
      <c r="J1829" s="4" t="s">
        <v>1892</v>
      </c>
      <c r="K1829" s="4" t="s">
        <v>99</v>
      </c>
      <c r="L1829" s="4" t="s">
        <v>100</v>
      </c>
      <c r="M1829" s="4" t="s">
        <v>1993</v>
      </c>
      <c r="N1829" s="4" t="s">
        <v>2001</v>
      </c>
      <c r="O1829" s="4" t="s">
        <v>2002</v>
      </c>
      <c r="P1829" s="4" t="s">
        <v>67</v>
      </c>
      <c r="Q1829" s="4" t="s">
        <v>2139</v>
      </c>
      <c r="R1829" s="4" t="s">
        <v>1997</v>
      </c>
      <c r="S1829" s="4"/>
      <c r="T1829" s="4"/>
      <c r="U1829" s="4"/>
      <c r="V1829" s="4"/>
      <c r="W1829" s="4"/>
      <c r="X1829" s="4"/>
      <c r="Y1829" s="4"/>
      <c r="Z1829" s="4"/>
      <c r="AA1829" s="4"/>
      <c r="AB1829" s="4"/>
      <c r="AC1829" s="4"/>
      <c r="AD1829" s="4"/>
      <c r="AE1829" s="4"/>
      <c r="AF1829" s="4"/>
      <c r="AG1829" s="4"/>
      <c r="AH1829" s="4"/>
      <c r="AI1829" s="4"/>
      <c r="AJ1829" s="4"/>
      <c r="AK1829" s="4"/>
      <c r="AL1829" s="4"/>
      <c r="AM1829" s="4" t="s">
        <v>2140</v>
      </c>
    </row>
    <row r="1830" customFormat="false" ht="15" hidden="false" customHeight="false" outlineLevel="0" collapsed="false">
      <c r="A1830" s="4" t="s">
        <v>1987</v>
      </c>
      <c r="B1830" s="4" t="s">
        <v>2141</v>
      </c>
      <c r="C1830" s="4" t="s">
        <v>2142</v>
      </c>
      <c r="D1830" s="12" t="n">
        <v>2024</v>
      </c>
      <c r="E1830" s="4"/>
      <c r="F1830" s="4" t="s">
        <v>1990</v>
      </c>
      <c r="G1830" s="4" t="s">
        <v>1991</v>
      </c>
      <c r="H1830" s="4" t="s">
        <v>1992</v>
      </c>
      <c r="I1830" s="4"/>
      <c r="J1830" s="4" t="s">
        <v>1894</v>
      </c>
      <c r="K1830" s="4" t="s">
        <v>99</v>
      </c>
      <c r="L1830" s="4" t="s">
        <v>100</v>
      </c>
      <c r="M1830" s="4" t="s">
        <v>1993</v>
      </c>
      <c r="N1830" s="4" t="s">
        <v>2001</v>
      </c>
      <c r="O1830" s="4" t="s">
        <v>2002</v>
      </c>
      <c r="P1830" s="4" t="s">
        <v>71</v>
      </c>
      <c r="Q1830" s="4" t="s">
        <v>2123</v>
      </c>
      <c r="R1830" s="4" t="s">
        <v>1997</v>
      </c>
      <c r="S1830" s="4"/>
      <c r="T1830" s="4"/>
      <c r="U1830" s="4"/>
      <c r="V1830" s="4"/>
      <c r="W1830" s="4"/>
      <c r="X1830" s="4"/>
      <c r="Y1830" s="4"/>
      <c r="Z1830" s="4"/>
      <c r="AA1830" s="4"/>
      <c r="AB1830" s="4"/>
      <c r="AC1830" s="4"/>
      <c r="AD1830" s="4"/>
      <c r="AE1830" s="4"/>
      <c r="AF1830" s="4"/>
      <c r="AG1830" s="4"/>
      <c r="AH1830" s="4"/>
      <c r="AI1830" s="4"/>
      <c r="AJ1830" s="4"/>
      <c r="AK1830" s="4"/>
      <c r="AL1830" s="4"/>
      <c r="AM1830" s="4" t="s">
        <v>2124</v>
      </c>
    </row>
    <row r="1831" customFormat="false" ht="15" hidden="false" customHeight="false" outlineLevel="0" collapsed="false">
      <c r="A1831" s="4" t="s">
        <v>1987</v>
      </c>
      <c r="B1831" s="4" t="s">
        <v>2143</v>
      </c>
      <c r="C1831" s="4" t="s">
        <v>2144</v>
      </c>
      <c r="D1831" s="12" t="n">
        <v>2024</v>
      </c>
      <c r="E1831" s="4"/>
      <c r="F1831" s="4" t="s">
        <v>1990</v>
      </c>
      <c r="G1831" s="4" t="s">
        <v>1991</v>
      </c>
      <c r="H1831" s="4" t="s">
        <v>1992</v>
      </c>
      <c r="I1831" s="4"/>
      <c r="J1831" s="4" t="s">
        <v>1895</v>
      </c>
      <c r="K1831" s="4" t="s">
        <v>99</v>
      </c>
      <c r="L1831" s="4" t="s">
        <v>100</v>
      </c>
      <c r="M1831" s="4" t="s">
        <v>1993</v>
      </c>
      <c r="N1831" s="4" t="s">
        <v>2001</v>
      </c>
      <c r="O1831" s="4" t="s">
        <v>2074</v>
      </c>
      <c r="P1831" s="4" t="s">
        <v>73</v>
      </c>
      <c r="Q1831" s="4" t="s">
        <v>2075</v>
      </c>
      <c r="R1831" s="4" t="s">
        <v>1997</v>
      </c>
      <c r="S1831" s="4"/>
      <c r="T1831" s="4"/>
      <c r="U1831" s="4"/>
      <c r="V1831" s="4"/>
      <c r="W1831" s="4"/>
      <c r="X1831" s="4"/>
      <c r="Y1831" s="4"/>
      <c r="Z1831" s="4"/>
      <c r="AA1831" s="4"/>
      <c r="AB1831" s="4"/>
      <c r="AC1831" s="4"/>
      <c r="AD1831" s="4"/>
      <c r="AE1831" s="4"/>
      <c r="AF1831" s="4"/>
      <c r="AG1831" s="4"/>
      <c r="AH1831" s="4"/>
      <c r="AI1831" s="4"/>
      <c r="AJ1831" s="4"/>
      <c r="AK1831" s="4"/>
      <c r="AL1831" s="4"/>
      <c r="AM1831" s="4" t="s">
        <v>2076</v>
      </c>
    </row>
    <row r="1832" customFormat="false" ht="15" hidden="false" customHeight="false" outlineLevel="0" collapsed="false">
      <c r="A1832" s="4" t="s">
        <v>1987</v>
      </c>
      <c r="B1832" s="4" t="s">
        <v>2145</v>
      </c>
      <c r="C1832" s="4" t="s">
        <v>2146</v>
      </c>
      <c r="D1832" s="12" t="n">
        <v>2024</v>
      </c>
      <c r="E1832" s="4"/>
      <c r="F1832" s="4" t="s">
        <v>1990</v>
      </c>
      <c r="G1832" s="4" t="s">
        <v>1991</v>
      </c>
      <c r="H1832" s="4" t="s">
        <v>1992</v>
      </c>
      <c r="I1832" s="4"/>
      <c r="J1832" s="4" t="s">
        <v>1896</v>
      </c>
      <c r="K1832" s="4" t="s">
        <v>99</v>
      </c>
      <c r="L1832" s="4" t="s">
        <v>100</v>
      </c>
      <c r="M1832" s="4" t="s">
        <v>1993</v>
      </c>
      <c r="N1832" s="4" t="s">
        <v>2001</v>
      </c>
      <c r="O1832" s="4" t="s">
        <v>2002</v>
      </c>
      <c r="P1832" s="4" t="s">
        <v>72</v>
      </c>
      <c r="Q1832" s="4" t="s">
        <v>2079</v>
      </c>
      <c r="R1832" s="4" t="s">
        <v>1997</v>
      </c>
      <c r="S1832" s="4"/>
      <c r="T1832" s="4"/>
      <c r="U1832" s="4"/>
      <c r="V1832" s="4"/>
      <c r="W1832" s="4"/>
      <c r="X1832" s="4"/>
      <c r="Y1832" s="4"/>
      <c r="Z1832" s="4"/>
      <c r="AA1832" s="4"/>
      <c r="AB1832" s="4"/>
      <c r="AC1832" s="4"/>
      <c r="AD1832" s="4"/>
      <c r="AE1832" s="4"/>
      <c r="AF1832" s="4"/>
      <c r="AG1832" s="4"/>
      <c r="AH1832" s="4"/>
      <c r="AI1832" s="4"/>
      <c r="AJ1832" s="4"/>
      <c r="AK1832" s="4"/>
      <c r="AL1832" s="4"/>
      <c r="AM1832" s="4" t="s">
        <v>2080</v>
      </c>
    </row>
    <row r="1833" customFormat="false" ht="23.85" hidden="false" customHeight="false" outlineLevel="0" collapsed="false">
      <c r="A1833" s="4" t="s">
        <v>1987</v>
      </c>
      <c r="B1833" s="4" t="s">
        <v>2147</v>
      </c>
      <c r="C1833" s="4" t="s">
        <v>2148</v>
      </c>
      <c r="D1833" s="12" t="n">
        <v>2024</v>
      </c>
      <c r="E1833" s="4"/>
      <c r="F1833" s="4" t="s">
        <v>1990</v>
      </c>
      <c r="G1833" s="4" t="s">
        <v>1991</v>
      </c>
      <c r="H1833" s="4" t="s">
        <v>1992</v>
      </c>
      <c r="I1833" s="4"/>
      <c r="J1833" s="4" t="s">
        <v>1897</v>
      </c>
      <c r="K1833" s="4" t="s">
        <v>99</v>
      </c>
      <c r="L1833" s="4" t="s">
        <v>100</v>
      </c>
      <c r="M1833" s="4" t="s">
        <v>1993</v>
      </c>
      <c r="N1833" s="4" t="s">
        <v>2001</v>
      </c>
      <c r="O1833" s="4" t="s">
        <v>2002</v>
      </c>
      <c r="P1833" s="4" t="s">
        <v>68</v>
      </c>
      <c r="Q1833" s="4" t="s">
        <v>2111</v>
      </c>
      <c r="R1833" s="4" t="s">
        <v>1997</v>
      </c>
      <c r="S1833" s="4"/>
      <c r="T1833" s="4"/>
      <c r="U1833" s="4"/>
      <c r="V1833" s="4"/>
      <c r="W1833" s="4"/>
      <c r="X1833" s="4"/>
      <c r="Y1833" s="4"/>
      <c r="Z1833" s="4"/>
      <c r="AA1833" s="4"/>
      <c r="AB1833" s="4"/>
      <c r="AC1833" s="4"/>
      <c r="AD1833" s="4"/>
      <c r="AE1833" s="4"/>
      <c r="AF1833" s="4"/>
      <c r="AG1833" s="4"/>
      <c r="AH1833" s="4"/>
      <c r="AI1833" s="4"/>
      <c r="AJ1833" s="4"/>
      <c r="AK1833" s="4"/>
      <c r="AL1833" s="4"/>
      <c r="AM1833" s="4" t="s">
        <v>2112</v>
      </c>
    </row>
    <row r="1834" customFormat="false" ht="23.85" hidden="false" customHeight="false" outlineLevel="0" collapsed="false">
      <c r="A1834" s="4" t="s">
        <v>1987</v>
      </c>
      <c r="B1834" s="4" t="s">
        <v>2149</v>
      </c>
      <c r="C1834" s="4" t="s">
        <v>2150</v>
      </c>
      <c r="D1834" s="12" t="n">
        <v>2024</v>
      </c>
      <c r="E1834" s="4"/>
      <c r="F1834" s="4" t="s">
        <v>1990</v>
      </c>
      <c r="G1834" s="4" t="s">
        <v>1991</v>
      </c>
      <c r="H1834" s="4" t="s">
        <v>1992</v>
      </c>
      <c r="I1834" s="4"/>
      <c r="J1834" s="4" t="s">
        <v>1899</v>
      </c>
      <c r="K1834" s="4" t="s">
        <v>99</v>
      </c>
      <c r="L1834" s="4" t="s">
        <v>100</v>
      </c>
      <c r="M1834" s="4" t="s">
        <v>1993</v>
      </c>
      <c r="N1834" s="4" t="s">
        <v>2001</v>
      </c>
      <c r="O1834" s="4" t="s">
        <v>2002</v>
      </c>
      <c r="P1834" s="4" t="s">
        <v>67</v>
      </c>
      <c r="Q1834" s="4" t="s">
        <v>2151</v>
      </c>
      <c r="R1834" s="4" t="s">
        <v>1997</v>
      </c>
      <c r="S1834" s="4"/>
      <c r="T1834" s="4"/>
      <c r="U1834" s="4"/>
      <c r="V1834" s="4"/>
      <c r="W1834" s="4"/>
      <c r="X1834" s="4"/>
      <c r="Y1834" s="4"/>
      <c r="Z1834" s="4"/>
      <c r="AA1834" s="4"/>
      <c r="AB1834" s="4"/>
      <c r="AC1834" s="4"/>
      <c r="AD1834" s="4"/>
      <c r="AE1834" s="4"/>
      <c r="AF1834" s="4"/>
      <c r="AG1834" s="4"/>
      <c r="AH1834" s="4"/>
      <c r="AI1834" s="4"/>
      <c r="AJ1834" s="4"/>
      <c r="AK1834" s="4"/>
      <c r="AL1834" s="4"/>
      <c r="AM1834" s="4" t="s">
        <v>2152</v>
      </c>
    </row>
    <row r="1835" customFormat="false" ht="23.85" hidden="false" customHeight="false" outlineLevel="0" collapsed="false">
      <c r="A1835" s="4" t="s">
        <v>1987</v>
      </c>
      <c r="B1835" s="4" t="s">
        <v>2153</v>
      </c>
      <c r="C1835" s="4" t="s">
        <v>2154</v>
      </c>
      <c r="D1835" s="12" t="n">
        <v>2024</v>
      </c>
      <c r="E1835" s="4"/>
      <c r="F1835" s="4" t="s">
        <v>1990</v>
      </c>
      <c r="G1835" s="4" t="s">
        <v>1991</v>
      </c>
      <c r="H1835" s="4" t="s">
        <v>1992</v>
      </c>
      <c r="I1835" s="4"/>
      <c r="J1835" s="4" t="s">
        <v>1899</v>
      </c>
      <c r="K1835" s="4" t="s">
        <v>99</v>
      </c>
      <c r="L1835" s="4" t="s">
        <v>100</v>
      </c>
      <c r="M1835" s="4" t="s">
        <v>2155</v>
      </c>
      <c r="N1835" s="4" t="s">
        <v>1994</v>
      </c>
      <c r="O1835" s="4" t="s">
        <v>2156</v>
      </c>
      <c r="P1835" s="4" t="s">
        <v>67</v>
      </c>
      <c r="Q1835" s="4" t="s">
        <v>2151</v>
      </c>
      <c r="R1835" s="4" t="s">
        <v>1997</v>
      </c>
      <c r="S1835" s="4"/>
      <c r="T1835" s="4"/>
      <c r="U1835" s="4"/>
      <c r="V1835" s="4"/>
      <c r="W1835" s="4"/>
      <c r="X1835" s="4"/>
      <c r="Y1835" s="4"/>
      <c r="Z1835" s="4"/>
      <c r="AA1835" s="4"/>
      <c r="AB1835" s="4"/>
      <c r="AC1835" s="4"/>
      <c r="AD1835" s="4"/>
      <c r="AE1835" s="4"/>
      <c r="AF1835" s="4"/>
      <c r="AG1835" s="4"/>
      <c r="AH1835" s="4"/>
      <c r="AI1835" s="4"/>
      <c r="AJ1835" s="4"/>
      <c r="AK1835" s="4"/>
      <c r="AL1835" s="4"/>
      <c r="AM1835" s="4" t="s">
        <v>2157</v>
      </c>
    </row>
    <row r="1836" customFormat="false" ht="23.85" hidden="false" customHeight="false" outlineLevel="0" collapsed="false">
      <c r="A1836" s="4" t="s">
        <v>1987</v>
      </c>
      <c r="B1836" s="4" t="s">
        <v>2158</v>
      </c>
      <c r="C1836" s="4" t="s">
        <v>2159</v>
      </c>
      <c r="D1836" s="12" t="n">
        <v>2024</v>
      </c>
      <c r="E1836" s="4"/>
      <c r="F1836" s="4" t="s">
        <v>1990</v>
      </c>
      <c r="G1836" s="4" t="s">
        <v>1991</v>
      </c>
      <c r="H1836" s="4" t="s">
        <v>1992</v>
      </c>
      <c r="I1836" s="4"/>
      <c r="J1836" s="4" t="s">
        <v>1899</v>
      </c>
      <c r="K1836" s="4" t="s">
        <v>99</v>
      </c>
      <c r="L1836" s="4" t="s">
        <v>100</v>
      </c>
      <c r="M1836" s="4" t="s">
        <v>2155</v>
      </c>
      <c r="N1836" s="4" t="s">
        <v>2001</v>
      </c>
      <c r="O1836" s="4" t="s">
        <v>2160</v>
      </c>
      <c r="P1836" s="4" t="s">
        <v>64</v>
      </c>
      <c r="Q1836" s="4" t="s">
        <v>2151</v>
      </c>
      <c r="R1836" s="4" t="s">
        <v>1997</v>
      </c>
      <c r="S1836" s="4"/>
      <c r="T1836" s="4"/>
      <c r="U1836" s="4"/>
      <c r="V1836" s="4"/>
      <c r="W1836" s="4"/>
      <c r="X1836" s="4"/>
      <c r="Y1836" s="4"/>
      <c r="Z1836" s="4"/>
      <c r="AA1836" s="4"/>
      <c r="AB1836" s="4"/>
      <c r="AC1836" s="4"/>
      <c r="AD1836" s="4"/>
      <c r="AE1836" s="4"/>
      <c r="AF1836" s="4"/>
      <c r="AG1836" s="4"/>
      <c r="AH1836" s="4"/>
      <c r="AI1836" s="4"/>
      <c r="AJ1836" s="4"/>
      <c r="AK1836" s="4"/>
      <c r="AL1836" s="4"/>
      <c r="AM1836" s="4" t="s">
        <v>2161</v>
      </c>
    </row>
    <row r="1837" customFormat="false" ht="23.85" hidden="false" customHeight="false" outlineLevel="0" collapsed="false">
      <c r="A1837" s="4" t="s">
        <v>1987</v>
      </c>
      <c r="B1837" s="4" t="s">
        <v>2162</v>
      </c>
      <c r="C1837" s="4" t="s">
        <v>2163</v>
      </c>
      <c r="D1837" s="12" t="n">
        <v>2024</v>
      </c>
      <c r="E1837" s="4"/>
      <c r="F1837" s="4" t="s">
        <v>1990</v>
      </c>
      <c r="G1837" s="4" t="s">
        <v>1991</v>
      </c>
      <c r="H1837" s="4" t="s">
        <v>1992</v>
      </c>
      <c r="I1837" s="4"/>
      <c r="J1837" s="4" t="s">
        <v>1902</v>
      </c>
      <c r="K1837" s="4" t="s">
        <v>101</v>
      </c>
      <c r="L1837" s="4" t="s">
        <v>102</v>
      </c>
      <c r="M1837" s="4" t="s">
        <v>1993</v>
      </c>
      <c r="N1837" s="4" t="s">
        <v>1994</v>
      </c>
      <c r="O1837" s="4" t="s">
        <v>2029</v>
      </c>
      <c r="P1837" s="4" t="s">
        <v>69</v>
      </c>
      <c r="Q1837" s="4" t="s">
        <v>2030</v>
      </c>
      <c r="R1837" s="4" t="s">
        <v>1997</v>
      </c>
      <c r="S1837" s="4"/>
      <c r="T1837" s="4"/>
      <c r="U1837" s="4"/>
      <c r="V1837" s="4"/>
      <c r="W1837" s="4"/>
      <c r="X1837" s="4"/>
      <c r="Y1837" s="4"/>
      <c r="Z1837" s="4"/>
      <c r="AA1837" s="4"/>
      <c r="AB1837" s="4"/>
      <c r="AC1837" s="4"/>
      <c r="AD1837" s="4"/>
      <c r="AE1837" s="4"/>
      <c r="AF1837" s="4"/>
      <c r="AG1837" s="4"/>
      <c r="AH1837" s="4"/>
      <c r="AI1837" s="4"/>
      <c r="AJ1837" s="4"/>
      <c r="AK1837" s="4"/>
      <c r="AL1837" s="4"/>
      <c r="AM1837" s="4" t="s">
        <v>2031</v>
      </c>
    </row>
    <row r="1838" customFormat="false" ht="23.85" hidden="false" customHeight="false" outlineLevel="0" collapsed="false">
      <c r="A1838" s="4" t="s">
        <v>1987</v>
      </c>
      <c r="B1838" s="4" t="s">
        <v>2164</v>
      </c>
      <c r="C1838" s="4" t="s">
        <v>2165</v>
      </c>
      <c r="D1838" s="12" t="n">
        <v>2024</v>
      </c>
      <c r="E1838" s="4"/>
      <c r="F1838" s="4" t="s">
        <v>1990</v>
      </c>
      <c r="G1838" s="4" t="s">
        <v>1991</v>
      </c>
      <c r="H1838" s="4" t="s">
        <v>1992</v>
      </c>
      <c r="I1838" s="4"/>
      <c r="J1838" s="4" t="s">
        <v>1903</v>
      </c>
      <c r="K1838" s="4" t="s">
        <v>101</v>
      </c>
      <c r="L1838" s="4" t="s">
        <v>102</v>
      </c>
      <c r="M1838" s="4" t="s">
        <v>1993</v>
      </c>
      <c r="N1838" s="4" t="s">
        <v>2001</v>
      </c>
      <c r="O1838" s="4" t="s">
        <v>2091</v>
      </c>
      <c r="P1838" s="4" t="s">
        <v>69</v>
      </c>
      <c r="Q1838" s="4" t="s">
        <v>2030</v>
      </c>
      <c r="R1838" s="4" t="s">
        <v>1997</v>
      </c>
      <c r="S1838" s="4"/>
      <c r="T1838" s="4"/>
      <c r="U1838" s="4"/>
      <c r="V1838" s="4"/>
      <c r="W1838" s="4"/>
      <c r="X1838" s="4"/>
      <c r="Y1838" s="4"/>
      <c r="Z1838" s="4"/>
      <c r="AA1838" s="4"/>
      <c r="AB1838" s="4"/>
      <c r="AC1838" s="4"/>
      <c r="AD1838" s="4"/>
      <c r="AE1838" s="4"/>
      <c r="AF1838" s="4"/>
      <c r="AG1838" s="4"/>
      <c r="AH1838" s="4"/>
      <c r="AI1838" s="4"/>
      <c r="AJ1838" s="4"/>
      <c r="AK1838" s="4"/>
      <c r="AL1838" s="4"/>
      <c r="AM1838" s="4" t="s">
        <v>2092</v>
      </c>
    </row>
    <row r="1839" customFormat="false" ht="23.85" hidden="false" customHeight="false" outlineLevel="0" collapsed="false">
      <c r="A1839" s="4" t="s">
        <v>1987</v>
      </c>
      <c r="B1839" s="4" t="s">
        <v>2166</v>
      </c>
      <c r="C1839" s="4" t="s">
        <v>2167</v>
      </c>
      <c r="D1839" s="12" t="n">
        <v>2024</v>
      </c>
      <c r="E1839" s="4"/>
      <c r="F1839" s="4" t="s">
        <v>1990</v>
      </c>
      <c r="G1839" s="4" t="s">
        <v>1991</v>
      </c>
      <c r="H1839" s="4" t="s">
        <v>1992</v>
      </c>
      <c r="I1839" s="4"/>
      <c r="J1839" s="4" t="s">
        <v>1904</v>
      </c>
      <c r="K1839" s="4" t="s">
        <v>101</v>
      </c>
      <c r="L1839" s="4" t="s">
        <v>102</v>
      </c>
      <c r="M1839" s="4" t="s">
        <v>1993</v>
      </c>
      <c r="N1839" s="4" t="s">
        <v>2001</v>
      </c>
      <c r="O1839" s="4" t="s">
        <v>2034</v>
      </c>
      <c r="P1839" s="4" t="s">
        <v>74</v>
      </c>
      <c r="Q1839" s="4" t="s">
        <v>2035</v>
      </c>
      <c r="R1839" s="4" t="s">
        <v>2036</v>
      </c>
      <c r="S1839" s="4"/>
      <c r="T1839" s="4"/>
      <c r="U1839" s="4"/>
      <c r="V1839" s="4"/>
      <c r="W1839" s="4"/>
      <c r="X1839" s="4"/>
      <c r="Y1839" s="4"/>
      <c r="Z1839" s="4"/>
      <c r="AA1839" s="4"/>
      <c r="AB1839" s="4"/>
      <c r="AC1839" s="4"/>
      <c r="AD1839" s="4"/>
      <c r="AE1839" s="4"/>
      <c r="AF1839" s="4"/>
      <c r="AG1839" s="4"/>
      <c r="AH1839" s="4"/>
      <c r="AI1839" s="4"/>
      <c r="AJ1839" s="4"/>
      <c r="AK1839" s="4"/>
      <c r="AL1839" s="4"/>
      <c r="AM1839" s="4" t="s">
        <v>2037</v>
      </c>
    </row>
    <row r="1840" customFormat="false" ht="23.85" hidden="false" customHeight="false" outlineLevel="0" collapsed="false">
      <c r="A1840" s="4" t="s">
        <v>1987</v>
      </c>
      <c r="B1840" s="4" t="s">
        <v>2168</v>
      </c>
      <c r="C1840" s="4" t="s">
        <v>2169</v>
      </c>
      <c r="D1840" s="12" t="n">
        <v>2024</v>
      </c>
      <c r="E1840" s="4"/>
      <c r="F1840" s="4" t="s">
        <v>1990</v>
      </c>
      <c r="G1840" s="4" t="s">
        <v>1991</v>
      </c>
      <c r="H1840" s="4" t="s">
        <v>1992</v>
      </c>
      <c r="I1840" s="4"/>
      <c r="J1840" s="4" t="s">
        <v>1906</v>
      </c>
      <c r="K1840" s="4" t="s">
        <v>101</v>
      </c>
      <c r="L1840" s="4" t="s">
        <v>102</v>
      </c>
      <c r="M1840" s="4" t="s">
        <v>1993</v>
      </c>
      <c r="N1840" s="4" t="s">
        <v>2001</v>
      </c>
      <c r="O1840" s="4" t="s">
        <v>2002</v>
      </c>
      <c r="P1840" s="4" t="s">
        <v>67</v>
      </c>
      <c r="Q1840" s="4" t="s">
        <v>2003</v>
      </c>
      <c r="R1840" s="4" t="s">
        <v>2004</v>
      </c>
      <c r="S1840" s="4"/>
      <c r="T1840" s="4"/>
      <c r="U1840" s="4"/>
      <c r="V1840" s="4"/>
      <c r="W1840" s="4"/>
      <c r="X1840" s="4"/>
      <c r="Y1840" s="4"/>
      <c r="Z1840" s="4"/>
      <c r="AA1840" s="4"/>
      <c r="AB1840" s="4"/>
      <c r="AC1840" s="4"/>
      <c r="AD1840" s="4"/>
      <c r="AE1840" s="4"/>
      <c r="AF1840" s="4"/>
      <c r="AG1840" s="4"/>
      <c r="AH1840" s="4"/>
      <c r="AI1840" s="4"/>
      <c r="AJ1840" s="4"/>
      <c r="AK1840" s="4"/>
      <c r="AL1840" s="4"/>
      <c r="AM1840" s="4" t="s">
        <v>2005</v>
      </c>
    </row>
    <row r="1841" customFormat="false" ht="23.85" hidden="false" customHeight="false" outlineLevel="0" collapsed="false">
      <c r="A1841" s="4" t="s">
        <v>1987</v>
      </c>
      <c r="B1841" s="4" t="s">
        <v>2170</v>
      </c>
      <c r="C1841" s="4" t="s">
        <v>2171</v>
      </c>
      <c r="D1841" s="12" t="n">
        <v>2024</v>
      </c>
      <c r="E1841" s="4"/>
      <c r="F1841" s="4" t="s">
        <v>1990</v>
      </c>
      <c r="G1841" s="4" t="s">
        <v>1991</v>
      </c>
      <c r="H1841" s="4" t="s">
        <v>1992</v>
      </c>
      <c r="I1841" s="4"/>
      <c r="J1841" s="4" t="s">
        <v>1907</v>
      </c>
      <c r="K1841" s="4" t="s">
        <v>101</v>
      </c>
      <c r="L1841" s="4" t="s">
        <v>102</v>
      </c>
      <c r="M1841" s="4" t="s">
        <v>1993</v>
      </c>
      <c r="N1841" s="4" t="s">
        <v>2001</v>
      </c>
      <c r="O1841" s="4" t="s">
        <v>2002</v>
      </c>
      <c r="P1841" s="4" t="s">
        <v>67</v>
      </c>
      <c r="Q1841" s="4" t="s">
        <v>2008</v>
      </c>
      <c r="R1841" s="4" t="s">
        <v>2004</v>
      </c>
      <c r="S1841" s="4"/>
      <c r="T1841" s="4"/>
      <c r="U1841" s="4"/>
      <c r="V1841" s="4"/>
      <c r="W1841" s="4"/>
      <c r="X1841" s="4"/>
      <c r="Y1841" s="4"/>
      <c r="Z1841" s="4"/>
      <c r="AA1841" s="4"/>
      <c r="AB1841" s="4"/>
      <c r="AC1841" s="4"/>
      <c r="AD1841" s="4"/>
      <c r="AE1841" s="4"/>
      <c r="AF1841" s="4"/>
      <c r="AG1841" s="4"/>
      <c r="AH1841" s="4"/>
      <c r="AI1841" s="4"/>
      <c r="AJ1841" s="4"/>
      <c r="AK1841" s="4"/>
      <c r="AL1841" s="4"/>
      <c r="AM1841" s="4" t="s">
        <v>2009</v>
      </c>
    </row>
    <row r="1842" customFormat="false" ht="23.85" hidden="false" customHeight="false" outlineLevel="0" collapsed="false">
      <c r="A1842" s="4" t="s">
        <v>1987</v>
      </c>
      <c r="B1842" s="4" t="s">
        <v>2172</v>
      </c>
      <c r="C1842" s="4" t="s">
        <v>2173</v>
      </c>
      <c r="D1842" s="12" t="n">
        <v>2024</v>
      </c>
      <c r="E1842" s="4"/>
      <c r="F1842" s="4" t="s">
        <v>1990</v>
      </c>
      <c r="G1842" s="4" t="s">
        <v>1991</v>
      </c>
      <c r="H1842" s="4" t="s">
        <v>1992</v>
      </c>
      <c r="I1842" s="4"/>
      <c r="J1842" s="4" t="s">
        <v>1912</v>
      </c>
      <c r="K1842" s="4" t="s">
        <v>101</v>
      </c>
      <c r="L1842" s="4" t="s">
        <v>102</v>
      </c>
      <c r="M1842" s="4" t="s">
        <v>1993</v>
      </c>
      <c r="N1842" s="4" t="s">
        <v>2001</v>
      </c>
      <c r="O1842" s="4" t="s">
        <v>2002</v>
      </c>
      <c r="P1842" s="4" t="s">
        <v>68</v>
      </c>
      <c r="Q1842" s="4" t="s">
        <v>2111</v>
      </c>
      <c r="R1842" s="4" t="s">
        <v>1997</v>
      </c>
      <c r="S1842" s="4"/>
      <c r="T1842" s="4"/>
      <c r="U1842" s="4"/>
      <c r="V1842" s="4"/>
      <c r="W1842" s="4"/>
      <c r="X1842" s="4"/>
      <c r="Y1842" s="4"/>
      <c r="Z1842" s="4"/>
      <c r="AA1842" s="4"/>
      <c r="AB1842" s="4"/>
      <c r="AC1842" s="4"/>
      <c r="AD1842" s="4"/>
      <c r="AE1842" s="4"/>
      <c r="AF1842" s="4"/>
      <c r="AG1842" s="4"/>
      <c r="AH1842" s="4"/>
      <c r="AI1842" s="4"/>
      <c r="AJ1842" s="4"/>
      <c r="AK1842" s="4"/>
      <c r="AL1842" s="4"/>
      <c r="AM1842" s="4" t="s">
        <v>2112</v>
      </c>
    </row>
    <row r="1843" customFormat="false" ht="23.85" hidden="false" customHeight="false" outlineLevel="0" collapsed="false">
      <c r="A1843" s="4" t="s">
        <v>1987</v>
      </c>
      <c r="B1843" s="4" t="s">
        <v>2174</v>
      </c>
      <c r="C1843" s="4" t="s">
        <v>2175</v>
      </c>
      <c r="D1843" s="12" t="n">
        <v>2024</v>
      </c>
      <c r="E1843" s="4"/>
      <c r="F1843" s="4" t="s">
        <v>1990</v>
      </c>
      <c r="G1843" s="4" t="s">
        <v>1991</v>
      </c>
      <c r="H1843" s="4" t="s">
        <v>1992</v>
      </c>
      <c r="I1843" s="4"/>
      <c r="J1843" s="4" t="s">
        <v>1916</v>
      </c>
      <c r="K1843" s="4" t="s">
        <v>103</v>
      </c>
      <c r="L1843" s="4" t="s">
        <v>104</v>
      </c>
      <c r="M1843" s="4" t="s">
        <v>1993</v>
      </c>
      <c r="N1843" s="4" t="s">
        <v>1994</v>
      </c>
      <c r="O1843" s="4" t="s">
        <v>2029</v>
      </c>
      <c r="P1843" s="4" t="s">
        <v>69</v>
      </c>
      <c r="Q1843" s="4" t="s">
        <v>2030</v>
      </c>
      <c r="R1843" s="4" t="s">
        <v>1997</v>
      </c>
      <c r="S1843" s="4"/>
      <c r="T1843" s="4"/>
      <c r="U1843" s="4"/>
      <c r="V1843" s="4"/>
      <c r="W1843" s="4"/>
      <c r="X1843" s="4"/>
      <c r="Y1843" s="4"/>
      <c r="Z1843" s="4"/>
      <c r="AA1843" s="4"/>
      <c r="AB1843" s="4"/>
      <c r="AC1843" s="4"/>
      <c r="AD1843" s="4"/>
      <c r="AE1843" s="4"/>
      <c r="AF1843" s="4"/>
      <c r="AG1843" s="4"/>
      <c r="AH1843" s="4"/>
      <c r="AI1843" s="4"/>
      <c r="AJ1843" s="4"/>
      <c r="AK1843" s="4"/>
      <c r="AL1843" s="4"/>
      <c r="AM1843" s="4" t="s">
        <v>2031</v>
      </c>
    </row>
    <row r="1844" customFormat="false" ht="23.85" hidden="false" customHeight="false" outlineLevel="0" collapsed="false">
      <c r="A1844" s="4" t="s">
        <v>1987</v>
      </c>
      <c r="B1844" s="4" t="s">
        <v>2176</v>
      </c>
      <c r="C1844" s="4" t="s">
        <v>2177</v>
      </c>
      <c r="D1844" s="12" t="n">
        <v>2024</v>
      </c>
      <c r="E1844" s="4"/>
      <c r="F1844" s="4" t="s">
        <v>1990</v>
      </c>
      <c r="G1844" s="4" t="s">
        <v>1991</v>
      </c>
      <c r="H1844" s="4" t="s">
        <v>1992</v>
      </c>
      <c r="I1844" s="4"/>
      <c r="J1844" s="4" t="s">
        <v>1917</v>
      </c>
      <c r="K1844" s="4" t="s">
        <v>103</v>
      </c>
      <c r="L1844" s="4" t="s">
        <v>104</v>
      </c>
      <c r="M1844" s="4" t="s">
        <v>1993</v>
      </c>
      <c r="N1844" s="4" t="s">
        <v>2001</v>
      </c>
      <c r="O1844" s="4" t="s">
        <v>2091</v>
      </c>
      <c r="P1844" s="4" t="s">
        <v>69</v>
      </c>
      <c r="Q1844" s="4" t="s">
        <v>2030</v>
      </c>
      <c r="R1844" s="4" t="s">
        <v>1997</v>
      </c>
      <c r="S1844" s="4"/>
      <c r="T1844" s="4"/>
      <c r="U1844" s="4"/>
      <c r="V1844" s="4"/>
      <c r="W1844" s="4"/>
      <c r="X1844" s="4"/>
      <c r="Y1844" s="4"/>
      <c r="Z1844" s="4"/>
      <c r="AA1844" s="4"/>
      <c r="AB1844" s="4"/>
      <c r="AC1844" s="4"/>
      <c r="AD1844" s="4"/>
      <c r="AE1844" s="4"/>
      <c r="AF1844" s="4"/>
      <c r="AG1844" s="4"/>
      <c r="AH1844" s="4"/>
      <c r="AI1844" s="4"/>
      <c r="AJ1844" s="4"/>
      <c r="AK1844" s="4"/>
      <c r="AL1844" s="4"/>
      <c r="AM1844" s="4" t="s">
        <v>2092</v>
      </c>
    </row>
    <row r="1845" customFormat="false" ht="23.85" hidden="false" customHeight="false" outlineLevel="0" collapsed="false">
      <c r="A1845" s="4" t="s">
        <v>1987</v>
      </c>
      <c r="B1845" s="4" t="s">
        <v>2178</v>
      </c>
      <c r="C1845" s="4" t="s">
        <v>2179</v>
      </c>
      <c r="D1845" s="12" t="n">
        <v>2024</v>
      </c>
      <c r="E1845" s="4"/>
      <c r="F1845" s="4" t="s">
        <v>1990</v>
      </c>
      <c r="G1845" s="4" t="s">
        <v>1991</v>
      </c>
      <c r="H1845" s="4" t="s">
        <v>1992</v>
      </c>
      <c r="I1845" s="4"/>
      <c r="J1845" s="4" t="s">
        <v>1918</v>
      </c>
      <c r="K1845" s="4" t="s">
        <v>103</v>
      </c>
      <c r="L1845" s="4" t="s">
        <v>104</v>
      </c>
      <c r="M1845" s="4" t="s">
        <v>1993</v>
      </c>
      <c r="N1845" s="4" t="s">
        <v>2001</v>
      </c>
      <c r="O1845" s="4" t="s">
        <v>2034</v>
      </c>
      <c r="P1845" s="4" t="s">
        <v>74</v>
      </c>
      <c r="Q1845" s="4" t="s">
        <v>2035</v>
      </c>
      <c r="R1845" s="4" t="s">
        <v>2036</v>
      </c>
      <c r="S1845" s="4"/>
      <c r="T1845" s="4"/>
      <c r="U1845" s="4"/>
      <c r="V1845" s="4"/>
      <c r="W1845" s="4"/>
      <c r="X1845" s="4"/>
      <c r="Y1845" s="4"/>
      <c r="Z1845" s="4"/>
      <c r="AA1845" s="4"/>
      <c r="AB1845" s="4"/>
      <c r="AC1845" s="4"/>
      <c r="AD1845" s="4"/>
      <c r="AE1845" s="4"/>
      <c r="AF1845" s="4"/>
      <c r="AG1845" s="4"/>
      <c r="AH1845" s="4"/>
      <c r="AI1845" s="4"/>
      <c r="AJ1845" s="4"/>
      <c r="AK1845" s="4"/>
      <c r="AL1845" s="4"/>
      <c r="AM1845" s="4" t="s">
        <v>2037</v>
      </c>
    </row>
    <row r="1846" customFormat="false" ht="15" hidden="false" customHeight="false" outlineLevel="0" collapsed="false">
      <c r="A1846" s="4" t="s">
        <v>1987</v>
      </c>
      <c r="B1846" s="4" t="s">
        <v>2180</v>
      </c>
      <c r="C1846" s="4" t="s">
        <v>2181</v>
      </c>
      <c r="D1846" s="12" t="n">
        <v>2024</v>
      </c>
      <c r="E1846" s="4"/>
      <c r="F1846" s="4" t="s">
        <v>1990</v>
      </c>
      <c r="G1846" s="4" t="s">
        <v>1991</v>
      </c>
      <c r="H1846" s="4" t="s">
        <v>1992</v>
      </c>
      <c r="I1846" s="4"/>
      <c r="J1846" s="4" t="s">
        <v>1923</v>
      </c>
      <c r="K1846" s="4" t="s">
        <v>103</v>
      </c>
      <c r="L1846" s="4" t="s">
        <v>104</v>
      </c>
      <c r="M1846" s="4" t="s">
        <v>1993</v>
      </c>
      <c r="N1846" s="4" t="s">
        <v>2001</v>
      </c>
      <c r="O1846" s="4" t="s">
        <v>2002</v>
      </c>
      <c r="P1846" s="4" t="s">
        <v>71</v>
      </c>
      <c r="Q1846" s="4" t="s">
        <v>2123</v>
      </c>
      <c r="R1846" s="4" t="s">
        <v>1997</v>
      </c>
      <c r="S1846" s="4"/>
      <c r="T1846" s="4"/>
      <c r="U1846" s="4"/>
      <c r="V1846" s="4"/>
      <c r="W1846" s="4"/>
      <c r="X1846" s="4"/>
      <c r="Y1846" s="4"/>
      <c r="Z1846" s="4"/>
      <c r="AA1846" s="4"/>
      <c r="AB1846" s="4"/>
      <c r="AC1846" s="4"/>
      <c r="AD1846" s="4"/>
      <c r="AE1846" s="4"/>
      <c r="AF1846" s="4"/>
      <c r="AG1846" s="4"/>
      <c r="AH1846" s="4"/>
      <c r="AI1846" s="4"/>
      <c r="AJ1846" s="4"/>
      <c r="AK1846" s="4"/>
      <c r="AL1846" s="4"/>
      <c r="AM1846" s="4" t="s">
        <v>2124</v>
      </c>
    </row>
    <row r="1847" customFormat="false" ht="15" hidden="false" customHeight="false" outlineLevel="0" collapsed="false">
      <c r="A1847" s="4" t="s">
        <v>1987</v>
      </c>
      <c r="B1847" s="4" t="s">
        <v>2182</v>
      </c>
      <c r="C1847" s="4" t="s">
        <v>2183</v>
      </c>
      <c r="D1847" s="12" t="n">
        <v>2024</v>
      </c>
      <c r="E1847" s="4"/>
      <c r="F1847" s="4" t="s">
        <v>1990</v>
      </c>
      <c r="G1847" s="4" t="s">
        <v>1991</v>
      </c>
      <c r="H1847" s="4" t="s">
        <v>1992</v>
      </c>
      <c r="I1847" s="4"/>
      <c r="J1847" s="4" t="s">
        <v>1925</v>
      </c>
      <c r="K1847" s="4" t="s">
        <v>103</v>
      </c>
      <c r="L1847" s="4" t="s">
        <v>104</v>
      </c>
      <c r="M1847" s="4" t="s">
        <v>1993</v>
      </c>
      <c r="N1847" s="4" t="s">
        <v>2001</v>
      </c>
      <c r="O1847" s="4" t="s">
        <v>2002</v>
      </c>
      <c r="P1847" s="4" t="s">
        <v>72</v>
      </c>
      <c r="Q1847" s="4" t="s">
        <v>2079</v>
      </c>
      <c r="R1847" s="4" t="s">
        <v>1997</v>
      </c>
      <c r="S1847" s="4"/>
      <c r="T1847" s="4"/>
      <c r="U1847" s="4"/>
      <c r="V1847" s="4"/>
      <c r="W1847" s="4"/>
      <c r="X1847" s="4"/>
      <c r="Y1847" s="4"/>
      <c r="Z1847" s="4"/>
      <c r="AA1847" s="4"/>
      <c r="AB1847" s="4"/>
      <c r="AC1847" s="4"/>
      <c r="AD1847" s="4"/>
      <c r="AE1847" s="4"/>
      <c r="AF1847" s="4"/>
      <c r="AG1847" s="4"/>
      <c r="AH1847" s="4"/>
      <c r="AI1847" s="4"/>
      <c r="AJ1847" s="4"/>
      <c r="AK1847" s="4"/>
      <c r="AL1847" s="4"/>
      <c r="AM1847" s="4" t="s">
        <v>2080</v>
      </c>
    </row>
    <row r="1848" customFormat="false" ht="23.85" hidden="false" customHeight="false" outlineLevel="0" collapsed="false">
      <c r="A1848" s="4" t="s">
        <v>1987</v>
      </c>
      <c r="B1848" s="4" t="s">
        <v>2184</v>
      </c>
      <c r="C1848" s="4" t="s">
        <v>2185</v>
      </c>
      <c r="D1848" s="12" t="n">
        <v>2024</v>
      </c>
      <c r="E1848" s="4"/>
      <c r="F1848" s="4" t="s">
        <v>1990</v>
      </c>
      <c r="G1848" s="4" t="s">
        <v>1991</v>
      </c>
      <c r="H1848" s="4" t="s">
        <v>1992</v>
      </c>
      <c r="I1848" s="4"/>
      <c r="J1848" s="4" t="s">
        <v>1926</v>
      </c>
      <c r="K1848" s="4" t="s">
        <v>103</v>
      </c>
      <c r="L1848" s="4" t="s">
        <v>104</v>
      </c>
      <c r="M1848" s="4" t="s">
        <v>1993</v>
      </c>
      <c r="N1848" s="4" t="s">
        <v>2001</v>
      </c>
      <c r="O1848" s="4" t="s">
        <v>2002</v>
      </c>
      <c r="P1848" s="4" t="s">
        <v>68</v>
      </c>
      <c r="Q1848" s="4" t="s">
        <v>2111</v>
      </c>
      <c r="R1848" s="4" t="s">
        <v>1997</v>
      </c>
      <c r="S1848" s="4"/>
      <c r="T1848" s="4"/>
      <c r="U1848" s="4"/>
      <c r="V1848" s="4"/>
      <c r="W1848" s="4"/>
      <c r="X1848" s="4"/>
      <c r="Y1848" s="4"/>
      <c r="Z1848" s="4"/>
      <c r="AA1848" s="4"/>
      <c r="AB1848" s="4"/>
      <c r="AC1848" s="4"/>
      <c r="AD1848" s="4"/>
      <c r="AE1848" s="4"/>
      <c r="AF1848" s="4"/>
      <c r="AG1848" s="4"/>
      <c r="AH1848" s="4"/>
      <c r="AI1848" s="4"/>
      <c r="AJ1848" s="4"/>
      <c r="AK1848" s="4"/>
      <c r="AL1848" s="4"/>
      <c r="AM1848" s="4" t="s">
        <v>2112</v>
      </c>
    </row>
    <row r="1849" customFormat="false" ht="23.85" hidden="false" customHeight="false" outlineLevel="0" collapsed="false">
      <c r="A1849" s="4" t="s">
        <v>1987</v>
      </c>
      <c r="B1849" s="4" t="s">
        <v>2186</v>
      </c>
      <c r="C1849" s="4" t="s">
        <v>2187</v>
      </c>
      <c r="D1849" s="12" t="n">
        <v>2024</v>
      </c>
      <c r="E1849" s="4"/>
      <c r="F1849" s="4" t="s">
        <v>1990</v>
      </c>
      <c r="G1849" s="4" t="s">
        <v>1991</v>
      </c>
      <c r="H1849" s="4" t="s">
        <v>1992</v>
      </c>
      <c r="I1849" s="4"/>
      <c r="J1849" s="4" t="s">
        <v>1930</v>
      </c>
      <c r="K1849" s="4" t="s">
        <v>105</v>
      </c>
      <c r="L1849" s="4" t="s">
        <v>106</v>
      </c>
      <c r="M1849" s="4" t="s">
        <v>1993</v>
      </c>
      <c r="N1849" s="4" t="s">
        <v>1994</v>
      </c>
      <c r="O1849" s="4" t="s">
        <v>2029</v>
      </c>
      <c r="P1849" s="4" t="s">
        <v>69</v>
      </c>
      <c r="Q1849" s="4" t="s">
        <v>2030</v>
      </c>
      <c r="R1849" s="4" t="s">
        <v>1997</v>
      </c>
      <c r="S1849" s="4"/>
      <c r="T1849" s="4"/>
      <c r="U1849" s="4"/>
      <c r="V1849" s="4"/>
      <c r="W1849" s="4"/>
      <c r="X1849" s="4"/>
      <c r="Y1849" s="4"/>
      <c r="Z1849" s="4"/>
      <c r="AA1849" s="4"/>
      <c r="AB1849" s="4"/>
      <c r="AC1849" s="4"/>
      <c r="AD1849" s="4"/>
      <c r="AE1849" s="4"/>
      <c r="AF1849" s="4"/>
      <c r="AG1849" s="4"/>
      <c r="AH1849" s="4"/>
      <c r="AI1849" s="4"/>
      <c r="AJ1849" s="4"/>
      <c r="AK1849" s="4"/>
      <c r="AL1849" s="4"/>
      <c r="AM1849" s="4" t="s">
        <v>2031</v>
      </c>
    </row>
    <row r="1850" customFormat="false" ht="23.85" hidden="false" customHeight="false" outlineLevel="0" collapsed="false">
      <c r="A1850" s="4" t="s">
        <v>1987</v>
      </c>
      <c r="B1850" s="4" t="s">
        <v>2188</v>
      </c>
      <c r="C1850" s="4" t="s">
        <v>2189</v>
      </c>
      <c r="D1850" s="12" t="n">
        <v>2024</v>
      </c>
      <c r="E1850" s="4"/>
      <c r="F1850" s="4" t="s">
        <v>1990</v>
      </c>
      <c r="G1850" s="4" t="s">
        <v>1991</v>
      </c>
      <c r="H1850" s="4" t="s">
        <v>1992</v>
      </c>
      <c r="I1850" s="4"/>
      <c r="J1850" s="4" t="s">
        <v>1931</v>
      </c>
      <c r="K1850" s="4" t="s">
        <v>105</v>
      </c>
      <c r="L1850" s="4" t="s">
        <v>106</v>
      </c>
      <c r="M1850" s="4" t="s">
        <v>1993</v>
      </c>
      <c r="N1850" s="4" t="s">
        <v>2001</v>
      </c>
      <c r="O1850" s="4" t="s">
        <v>2091</v>
      </c>
      <c r="P1850" s="4" t="s">
        <v>69</v>
      </c>
      <c r="Q1850" s="4" t="s">
        <v>2030</v>
      </c>
      <c r="R1850" s="4" t="s">
        <v>1997</v>
      </c>
      <c r="S1850" s="4"/>
      <c r="T1850" s="4"/>
      <c r="U1850" s="4"/>
      <c r="V1850" s="4"/>
      <c r="W1850" s="4"/>
      <c r="X1850" s="4"/>
      <c r="Y1850" s="4"/>
      <c r="Z1850" s="4"/>
      <c r="AA1850" s="4"/>
      <c r="AB1850" s="4"/>
      <c r="AC1850" s="4"/>
      <c r="AD1850" s="4"/>
      <c r="AE1850" s="4"/>
      <c r="AF1850" s="4"/>
      <c r="AG1850" s="4"/>
      <c r="AH1850" s="4"/>
      <c r="AI1850" s="4"/>
      <c r="AJ1850" s="4"/>
      <c r="AK1850" s="4"/>
      <c r="AL1850" s="4"/>
      <c r="AM1850" s="4" t="s">
        <v>2092</v>
      </c>
    </row>
    <row r="1851" customFormat="false" ht="23.85" hidden="false" customHeight="false" outlineLevel="0" collapsed="false">
      <c r="A1851" s="4" t="s">
        <v>1987</v>
      </c>
      <c r="B1851" s="4" t="s">
        <v>2190</v>
      </c>
      <c r="C1851" s="4" t="s">
        <v>2191</v>
      </c>
      <c r="D1851" s="12" t="n">
        <v>2024</v>
      </c>
      <c r="E1851" s="4"/>
      <c r="F1851" s="4" t="s">
        <v>1990</v>
      </c>
      <c r="G1851" s="4" t="s">
        <v>1991</v>
      </c>
      <c r="H1851" s="4" t="s">
        <v>1992</v>
      </c>
      <c r="I1851" s="4"/>
      <c r="J1851" s="4" t="s">
        <v>1932</v>
      </c>
      <c r="K1851" s="4" t="s">
        <v>105</v>
      </c>
      <c r="L1851" s="4" t="s">
        <v>106</v>
      </c>
      <c r="M1851" s="4" t="s">
        <v>1993</v>
      </c>
      <c r="N1851" s="4" t="s">
        <v>2001</v>
      </c>
      <c r="O1851" s="4" t="s">
        <v>2034</v>
      </c>
      <c r="P1851" s="4" t="s">
        <v>74</v>
      </c>
      <c r="Q1851" s="4" t="s">
        <v>2035</v>
      </c>
      <c r="R1851" s="4" t="s">
        <v>2036</v>
      </c>
      <c r="S1851" s="4"/>
      <c r="T1851" s="4"/>
      <c r="U1851" s="4"/>
      <c r="V1851" s="4"/>
      <c r="W1851" s="4"/>
      <c r="X1851" s="4"/>
      <c r="Y1851" s="4"/>
      <c r="Z1851" s="4"/>
      <c r="AA1851" s="4"/>
      <c r="AB1851" s="4"/>
      <c r="AC1851" s="4"/>
      <c r="AD1851" s="4"/>
      <c r="AE1851" s="4"/>
      <c r="AF1851" s="4"/>
      <c r="AG1851" s="4"/>
      <c r="AH1851" s="4"/>
      <c r="AI1851" s="4"/>
      <c r="AJ1851" s="4"/>
      <c r="AK1851" s="4"/>
      <c r="AL1851" s="4"/>
      <c r="AM1851" s="4" t="s">
        <v>2037</v>
      </c>
    </row>
    <row r="1852" customFormat="false" ht="15" hidden="false" customHeight="false" outlineLevel="0" collapsed="false">
      <c r="A1852" s="4" t="s">
        <v>1987</v>
      </c>
      <c r="B1852" s="4" t="s">
        <v>2192</v>
      </c>
      <c r="C1852" s="4" t="s">
        <v>2193</v>
      </c>
      <c r="D1852" s="12" t="n">
        <v>2024</v>
      </c>
      <c r="E1852" s="4"/>
      <c r="F1852" s="4" t="s">
        <v>1990</v>
      </c>
      <c r="G1852" s="4" t="s">
        <v>1991</v>
      </c>
      <c r="H1852" s="4" t="s">
        <v>1992</v>
      </c>
      <c r="I1852" s="4"/>
      <c r="J1852" s="4" t="s">
        <v>1937</v>
      </c>
      <c r="K1852" s="4" t="s">
        <v>105</v>
      </c>
      <c r="L1852" s="4" t="s">
        <v>106</v>
      </c>
      <c r="M1852" s="4" t="s">
        <v>1993</v>
      </c>
      <c r="N1852" s="4" t="s">
        <v>2001</v>
      </c>
      <c r="O1852" s="4" t="s">
        <v>2002</v>
      </c>
      <c r="P1852" s="4" t="s">
        <v>71</v>
      </c>
      <c r="Q1852" s="4" t="s">
        <v>2123</v>
      </c>
      <c r="R1852" s="4" t="s">
        <v>1997</v>
      </c>
      <c r="S1852" s="4"/>
      <c r="T1852" s="4"/>
      <c r="U1852" s="4"/>
      <c r="V1852" s="4"/>
      <c r="W1852" s="4"/>
      <c r="X1852" s="4"/>
      <c r="Y1852" s="4"/>
      <c r="Z1852" s="4"/>
      <c r="AA1852" s="4"/>
      <c r="AB1852" s="4"/>
      <c r="AC1852" s="4"/>
      <c r="AD1852" s="4"/>
      <c r="AE1852" s="4"/>
      <c r="AF1852" s="4"/>
      <c r="AG1852" s="4"/>
      <c r="AH1852" s="4"/>
      <c r="AI1852" s="4"/>
      <c r="AJ1852" s="4"/>
      <c r="AK1852" s="4"/>
      <c r="AL1852" s="4"/>
      <c r="AM1852" s="4" t="s">
        <v>2124</v>
      </c>
    </row>
    <row r="1853" customFormat="false" ht="15" hidden="false" customHeight="false" outlineLevel="0" collapsed="false">
      <c r="A1853" s="4" t="s">
        <v>1987</v>
      </c>
      <c r="B1853" s="4" t="s">
        <v>2194</v>
      </c>
      <c r="C1853" s="4" t="s">
        <v>2195</v>
      </c>
      <c r="D1853" s="12" t="n">
        <v>2024</v>
      </c>
      <c r="E1853" s="4"/>
      <c r="F1853" s="4" t="s">
        <v>1990</v>
      </c>
      <c r="G1853" s="4" t="s">
        <v>1991</v>
      </c>
      <c r="H1853" s="4" t="s">
        <v>1992</v>
      </c>
      <c r="I1853" s="4"/>
      <c r="J1853" s="4" t="s">
        <v>1938</v>
      </c>
      <c r="K1853" s="4" t="s">
        <v>105</v>
      </c>
      <c r="L1853" s="4" t="s">
        <v>106</v>
      </c>
      <c r="M1853" s="4" t="s">
        <v>1993</v>
      </c>
      <c r="N1853" s="4" t="s">
        <v>2001</v>
      </c>
      <c r="O1853" s="4" t="s">
        <v>2074</v>
      </c>
      <c r="P1853" s="4" t="s">
        <v>73</v>
      </c>
      <c r="Q1853" s="4" t="s">
        <v>2075</v>
      </c>
      <c r="R1853" s="4" t="s">
        <v>1997</v>
      </c>
      <c r="S1853" s="4"/>
      <c r="T1853" s="4"/>
      <c r="U1853" s="4"/>
      <c r="V1853" s="4"/>
      <c r="W1853" s="4"/>
      <c r="X1853" s="4"/>
      <c r="Y1853" s="4"/>
      <c r="Z1853" s="4"/>
      <c r="AA1853" s="4"/>
      <c r="AB1853" s="4"/>
      <c r="AC1853" s="4"/>
      <c r="AD1853" s="4"/>
      <c r="AE1853" s="4"/>
      <c r="AF1853" s="4"/>
      <c r="AG1853" s="4"/>
      <c r="AH1853" s="4"/>
      <c r="AI1853" s="4"/>
      <c r="AJ1853" s="4"/>
      <c r="AK1853" s="4"/>
      <c r="AL1853" s="4"/>
      <c r="AM1853" s="4" t="s">
        <v>2076</v>
      </c>
    </row>
    <row r="1854" customFormat="false" ht="15" hidden="false" customHeight="false" outlineLevel="0" collapsed="false">
      <c r="A1854" s="4" t="s">
        <v>1987</v>
      </c>
      <c r="B1854" s="4" t="s">
        <v>2196</v>
      </c>
      <c r="C1854" s="4" t="s">
        <v>2197</v>
      </c>
      <c r="D1854" s="12" t="n">
        <v>2024</v>
      </c>
      <c r="E1854" s="4"/>
      <c r="F1854" s="4" t="s">
        <v>1990</v>
      </c>
      <c r="G1854" s="4" t="s">
        <v>1991</v>
      </c>
      <c r="H1854" s="4" t="s">
        <v>1992</v>
      </c>
      <c r="I1854" s="4"/>
      <c r="J1854" s="4" t="s">
        <v>1939</v>
      </c>
      <c r="K1854" s="4" t="s">
        <v>105</v>
      </c>
      <c r="L1854" s="4" t="s">
        <v>106</v>
      </c>
      <c r="M1854" s="4" t="s">
        <v>1993</v>
      </c>
      <c r="N1854" s="4" t="s">
        <v>2001</v>
      </c>
      <c r="O1854" s="4" t="s">
        <v>2002</v>
      </c>
      <c r="P1854" s="4" t="s">
        <v>72</v>
      </c>
      <c r="Q1854" s="4" t="s">
        <v>2079</v>
      </c>
      <c r="R1854" s="4" t="s">
        <v>1997</v>
      </c>
      <c r="S1854" s="4"/>
      <c r="T1854" s="4"/>
      <c r="U1854" s="4"/>
      <c r="V1854" s="4"/>
      <c r="W1854" s="4"/>
      <c r="X1854" s="4"/>
      <c r="Y1854" s="4"/>
      <c r="Z1854" s="4"/>
      <c r="AA1854" s="4"/>
      <c r="AB1854" s="4"/>
      <c r="AC1854" s="4"/>
      <c r="AD1854" s="4"/>
      <c r="AE1854" s="4"/>
      <c r="AF1854" s="4"/>
      <c r="AG1854" s="4"/>
      <c r="AH1854" s="4"/>
      <c r="AI1854" s="4"/>
      <c r="AJ1854" s="4"/>
      <c r="AK1854" s="4"/>
      <c r="AL1854" s="4"/>
      <c r="AM1854" s="4" t="s">
        <v>2080</v>
      </c>
    </row>
    <row r="1855" customFormat="false" ht="23.85" hidden="false" customHeight="false" outlineLevel="0" collapsed="false">
      <c r="A1855" s="4" t="s">
        <v>1987</v>
      </c>
      <c r="B1855" s="4" t="s">
        <v>2198</v>
      </c>
      <c r="C1855" s="4" t="s">
        <v>2199</v>
      </c>
      <c r="D1855" s="12" t="n">
        <v>2024</v>
      </c>
      <c r="E1855" s="4"/>
      <c r="F1855" s="4" t="s">
        <v>1990</v>
      </c>
      <c r="G1855" s="4" t="s">
        <v>1991</v>
      </c>
      <c r="H1855" s="4" t="s">
        <v>1992</v>
      </c>
      <c r="I1855" s="4"/>
      <c r="J1855" s="4" t="s">
        <v>1940</v>
      </c>
      <c r="K1855" s="4" t="s">
        <v>105</v>
      </c>
      <c r="L1855" s="4" t="s">
        <v>106</v>
      </c>
      <c r="M1855" s="4" t="s">
        <v>1993</v>
      </c>
      <c r="N1855" s="4" t="s">
        <v>2001</v>
      </c>
      <c r="O1855" s="4" t="s">
        <v>2002</v>
      </c>
      <c r="P1855" s="4" t="s">
        <v>68</v>
      </c>
      <c r="Q1855" s="4" t="s">
        <v>2111</v>
      </c>
      <c r="R1855" s="4" t="s">
        <v>1997</v>
      </c>
      <c r="S1855" s="4"/>
      <c r="T1855" s="4"/>
      <c r="U1855" s="4"/>
      <c r="V1855" s="4"/>
      <c r="W1855" s="4"/>
      <c r="X1855" s="4"/>
      <c r="Y1855" s="4"/>
      <c r="Z1855" s="4"/>
      <c r="AA1855" s="4"/>
      <c r="AB1855" s="4"/>
      <c r="AC1855" s="4"/>
      <c r="AD1855" s="4"/>
      <c r="AE1855" s="4"/>
      <c r="AF1855" s="4"/>
      <c r="AG1855" s="4"/>
      <c r="AH1855" s="4"/>
      <c r="AI1855" s="4"/>
      <c r="AJ1855" s="4"/>
      <c r="AK1855" s="4"/>
      <c r="AL1855" s="4"/>
      <c r="AM1855" s="4" t="s">
        <v>2112</v>
      </c>
    </row>
    <row r="1856" customFormat="false" ht="23.85" hidden="false" customHeight="false" outlineLevel="0" collapsed="false">
      <c r="A1856" s="4" t="s">
        <v>1987</v>
      </c>
      <c r="B1856" s="4" t="s">
        <v>2200</v>
      </c>
      <c r="C1856" s="4" t="s">
        <v>2201</v>
      </c>
      <c r="D1856" s="12" t="n">
        <v>2024</v>
      </c>
      <c r="E1856" s="4"/>
      <c r="F1856" s="4" t="s">
        <v>1990</v>
      </c>
      <c r="G1856" s="4" t="s">
        <v>1991</v>
      </c>
      <c r="H1856" s="4" t="s">
        <v>1992</v>
      </c>
      <c r="I1856" s="4"/>
      <c r="J1856" s="4" t="s">
        <v>1944</v>
      </c>
      <c r="K1856" s="4" t="s">
        <v>107</v>
      </c>
      <c r="L1856" s="4" t="s">
        <v>108</v>
      </c>
      <c r="M1856" s="4" t="s">
        <v>1993</v>
      </c>
      <c r="N1856" s="4" t="s">
        <v>1994</v>
      </c>
      <c r="O1856" s="4" t="s">
        <v>2029</v>
      </c>
      <c r="P1856" s="4" t="s">
        <v>69</v>
      </c>
      <c r="Q1856" s="4" t="s">
        <v>2030</v>
      </c>
      <c r="R1856" s="4" t="s">
        <v>1997</v>
      </c>
      <c r="S1856" s="4"/>
      <c r="T1856" s="4"/>
      <c r="U1856" s="4"/>
      <c r="V1856" s="4"/>
      <c r="W1856" s="4"/>
      <c r="X1856" s="4"/>
      <c r="Y1856" s="4"/>
      <c r="Z1856" s="4"/>
      <c r="AA1856" s="4"/>
      <c r="AB1856" s="4"/>
      <c r="AC1856" s="4"/>
      <c r="AD1856" s="4"/>
      <c r="AE1856" s="4"/>
      <c r="AF1856" s="4"/>
      <c r="AG1856" s="4"/>
      <c r="AH1856" s="4"/>
      <c r="AI1856" s="4"/>
      <c r="AJ1856" s="4"/>
      <c r="AK1856" s="4"/>
      <c r="AL1856" s="4"/>
      <c r="AM1856" s="4" t="s">
        <v>2031</v>
      </c>
    </row>
    <row r="1857" customFormat="false" ht="23.85" hidden="false" customHeight="false" outlineLevel="0" collapsed="false">
      <c r="A1857" s="4" t="s">
        <v>1987</v>
      </c>
      <c r="B1857" s="4" t="s">
        <v>2202</v>
      </c>
      <c r="C1857" s="4" t="s">
        <v>2203</v>
      </c>
      <c r="D1857" s="12" t="n">
        <v>2024</v>
      </c>
      <c r="E1857" s="4"/>
      <c r="F1857" s="4" t="s">
        <v>1990</v>
      </c>
      <c r="G1857" s="4" t="s">
        <v>1991</v>
      </c>
      <c r="H1857" s="4" t="s">
        <v>1992</v>
      </c>
      <c r="I1857" s="4"/>
      <c r="J1857" s="4" t="s">
        <v>1946</v>
      </c>
      <c r="K1857" s="4" t="s">
        <v>107</v>
      </c>
      <c r="L1857" s="4" t="s">
        <v>108</v>
      </c>
      <c r="M1857" s="4" t="s">
        <v>1993</v>
      </c>
      <c r="N1857" s="4" t="s">
        <v>2001</v>
      </c>
      <c r="O1857" s="4" t="s">
        <v>2034</v>
      </c>
      <c r="P1857" s="4" t="s">
        <v>74</v>
      </c>
      <c r="Q1857" s="4" t="s">
        <v>2035</v>
      </c>
      <c r="R1857" s="4" t="s">
        <v>2036</v>
      </c>
      <c r="S1857" s="4"/>
      <c r="T1857" s="4"/>
      <c r="U1857" s="4"/>
      <c r="V1857" s="4"/>
      <c r="W1857" s="4"/>
      <c r="X1857" s="4"/>
      <c r="Y1857" s="4"/>
      <c r="Z1857" s="4"/>
      <c r="AA1857" s="4"/>
      <c r="AB1857" s="4"/>
      <c r="AC1857" s="4"/>
      <c r="AD1857" s="4"/>
      <c r="AE1857" s="4"/>
      <c r="AF1857" s="4"/>
      <c r="AG1857" s="4"/>
      <c r="AH1857" s="4"/>
      <c r="AI1857" s="4"/>
      <c r="AJ1857" s="4"/>
      <c r="AK1857" s="4"/>
      <c r="AL1857" s="4"/>
      <c r="AM1857" s="4" t="s">
        <v>2037</v>
      </c>
    </row>
    <row r="1858" customFormat="false" ht="15" hidden="false" customHeight="false" outlineLevel="0" collapsed="false">
      <c r="A1858" s="4" t="s">
        <v>1987</v>
      </c>
      <c r="B1858" s="4" t="s">
        <v>2204</v>
      </c>
      <c r="C1858" s="4" t="s">
        <v>2205</v>
      </c>
      <c r="D1858" s="12" t="n">
        <v>2024</v>
      </c>
      <c r="E1858" s="4"/>
      <c r="F1858" s="4" t="s">
        <v>1990</v>
      </c>
      <c r="G1858" s="4" t="s">
        <v>1991</v>
      </c>
      <c r="H1858" s="4" t="s">
        <v>1992</v>
      </c>
      <c r="I1858" s="4"/>
      <c r="J1858" s="4" t="s">
        <v>1951</v>
      </c>
      <c r="K1858" s="4" t="s">
        <v>107</v>
      </c>
      <c r="L1858" s="4" t="s">
        <v>108</v>
      </c>
      <c r="M1858" s="4" t="s">
        <v>1993</v>
      </c>
      <c r="N1858" s="4" t="s">
        <v>2001</v>
      </c>
      <c r="O1858" s="4" t="s">
        <v>2002</v>
      </c>
      <c r="P1858" s="4" t="s">
        <v>71</v>
      </c>
      <c r="Q1858" s="4" t="s">
        <v>2123</v>
      </c>
      <c r="R1858" s="4" t="s">
        <v>1997</v>
      </c>
      <c r="S1858" s="4"/>
      <c r="T1858" s="4"/>
      <c r="U1858" s="4"/>
      <c r="V1858" s="4"/>
      <c r="W1858" s="4"/>
      <c r="X1858" s="4"/>
      <c r="Y1858" s="4"/>
      <c r="Z1858" s="4"/>
      <c r="AA1858" s="4"/>
      <c r="AB1858" s="4"/>
      <c r="AC1858" s="4"/>
      <c r="AD1858" s="4"/>
      <c r="AE1858" s="4"/>
      <c r="AF1858" s="4"/>
      <c r="AG1858" s="4"/>
      <c r="AH1858" s="4"/>
      <c r="AI1858" s="4"/>
      <c r="AJ1858" s="4"/>
      <c r="AK1858" s="4"/>
      <c r="AL1858" s="4"/>
      <c r="AM1858" s="4" t="s">
        <v>2124</v>
      </c>
    </row>
    <row r="1859" customFormat="false" ht="23.85" hidden="false" customHeight="false" outlineLevel="0" collapsed="false">
      <c r="A1859" s="4" t="s">
        <v>1987</v>
      </c>
      <c r="B1859" s="4" t="s">
        <v>2206</v>
      </c>
      <c r="C1859" s="4" t="s">
        <v>2207</v>
      </c>
      <c r="D1859" s="12" t="n">
        <v>2024</v>
      </c>
      <c r="E1859" s="4"/>
      <c r="F1859" s="4" t="s">
        <v>1990</v>
      </c>
      <c r="G1859" s="4" t="s">
        <v>1991</v>
      </c>
      <c r="H1859" s="4" t="s">
        <v>1992</v>
      </c>
      <c r="I1859" s="4"/>
      <c r="J1859" s="4" t="s">
        <v>1959</v>
      </c>
      <c r="K1859" s="4" t="s">
        <v>111</v>
      </c>
      <c r="L1859" s="4" t="s">
        <v>112</v>
      </c>
      <c r="M1859" s="4" t="s">
        <v>1993</v>
      </c>
      <c r="N1859" s="4" t="s">
        <v>1994</v>
      </c>
      <c r="O1859" s="4" t="s">
        <v>2029</v>
      </c>
      <c r="P1859" s="4" t="s">
        <v>69</v>
      </c>
      <c r="Q1859" s="4" t="s">
        <v>2030</v>
      </c>
      <c r="R1859" s="4" t="s">
        <v>1997</v>
      </c>
      <c r="S1859" s="4"/>
      <c r="T1859" s="4"/>
      <c r="U1859" s="4"/>
      <c r="V1859" s="4"/>
      <c r="W1859" s="4"/>
      <c r="X1859" s="4"/>
      <c r="Y1859" s="4"/>
      <c r="Z1859" s="4"/>
      <c r="AA1859" s="4"/>
      <c r="AB1859" s="4"/>
      <c r="AC1859" s="4"/>
      <c r="AD1859" s="4"/>
      <c r="AE1859" s="4"/>
      <c r="AF1859" s="4"/>
      <c r="AG1859" s="4"/>
      <c r="AH1859" s="4"/>
      <c r="AI1859" s="4"/>
      <c r="AJ1859" s="4"/>
      <c r="AK1859" s="4"/>
      <c r="AL1859" s="4"/>
      <c r="AM1859" s="4" t="s">
        <v>2031</v>
      </c>
    </row>
    <row r="1860" customFormat="false" ht="23.85" hidden="false" customHeight="false" outlineLevel="0" collapsed="false">
      <c r="A1860" s="4" t="s">
        <v>1987</v>
      </c>
      <c r="B1860" s="4" t="s">
        <v>2208</v>
      </c>
      <c r="C1860" s="4" t="s">
        <v>2209</v>
      </c>
      <c r="D1860" s="12" t="n">
        <v>2024</v>
      </c>
      <c r="E1860" s="4"/>
      <c r="F1860" s="4" t="s">
        <v>1990</v>
      </c>
      <c r="G1860" s="4" t="s">
        <v>1991</v>
      </c>
      <c r="H1860" s="4" t="s">
        <v>1992</v>
      </c>
      <c r="I1860" s="4"/>
      <c r="J1860" s="4" t="s">
        <v>1960</v>
      </c>
      <c r="K1860" s="4" t="s">
        <v>111</v>
      </c>
      <c r="L1860" s="4" t="s">
        <v>112</v>
      </c>
      <c r="M1860" s="4" t="s">
        <v>1993</v>
      </c>
      <c r="N1860" s="4" t="s">
        <v>2001</v>
      </c>
      <c r="O1860" s="4" t="s">
        <v>2091</v>
      </c>
      <c r="P1860" s="4" t="s">
        <v>69</v>
      </c>
      <c r="Q1860" s="4" t="s">
        <v>2030</v>
      </c>
      <c r="R1860" s="4" t="s">
        <v>1997</v>
      </c>
      <c r="S1860" s="4"/>
      <c r="T1860" s="4"/>
      <c r="U1860" s="4"/>
      <c r="V1860" s="4"/>
      <c r="W1860" s="4"/>
      <c r="X1860" s="4"/>
      <c r="Y1860" s="4"/>
      <c r="Z1860" s="4"/>
      <c r="AA1860" s="4"/>
      <c r="AB1860" s="4"/>
      <c r="AC1860" s="4"/>
      <c r="AD1860" s="4"/>
      <c r="AE1860" s="4"/>
      <c r="AF1860" s="4"/>
      <c r="AG1860" s="4"/>
      <c r="AH1860" s="4"/>
      <c r="AI1860" s="4"/>
      <c r="AJ1860" s="4"/>
      <c r="AK1860" s="4"/>
      <c r="AL1860" s="4"/>
      <c r="AM1860" s="4" t="s">
        <v>2092</v>
      </c>
    </row>
    <row r="1861" customFormat="false" ht="23.85" hidden="false" customHeight="false" outlineLevel="0" collapsed="false">
      <c r="A1861" s="4" t="s">
        <v>1987</v>
      </c>
      <c r="B1861" s="4" t="s">
        <v>2210</v>
      </c>
      <c r="C1861" s="4" t="s">
        <v>2211</v>
      </c>
      <c r="D1861" s="12" t="n">
        <v>2024</v>
      </c>
      <c r="E1861" s="4"/>
      <c r="F1861" s="4" t="s">
        <v>1990</v>
      </c>
      <c r="G1861" s="4" t="s">
        <v>1991</v>
      </c>
      <c r="H1861" s="4" t="s">
        <v>1992</v>
      </c>
      <c r="I1861" s="4"/>
      <c r="J1861" s="4" t="s">
        <v>1961</v>
      </c>
      <c r="K1861" s="4" t="s">
        <v>111</v>
      </c>
      <c r="L1861" s="4" t="s">
        <v>112</v>
      </c>
      <c r="M1861" s="4" t="s">
        <v>1993</v>
      </c>
      <c r="N1861" s="4" t="s">
        <v>2001</v>
      </c>
      <c r="O1861" s="4" t="s">
        <v>2034</v>
      </c>
      <c r="P1861" s="4" t="s">
        <v>74</v>
      </c>
      <c r="Q1861" s="4" t="s">
        <v>2035</v>
      </c>
      <c r="R1861" s="4" t="s">
        <v>2036</v>
      </c>
      <c r="S1861" s="4"/>
      <c r="T1861" s="4"/>
      <c r="U1861" s="4"/>
      <c r="V1861" s="4"/>
      <c r="W1861" s="4"/>
      <c r="X1861" s="4"/>
      <c r="Y1861" s="4"/>
      <c r="Z1861" s="4"/>
      <c r="AA1861" s="4"/>
      <c r="AB1861" s="4"/>
      <c r="AC1861" s="4"/>
      <c r="AD1861" s="4"/>
      <c r="AE1861" s="4"/>
      <c r="AF1861" s="4"/>
      <c r="AG1861" s="4"/>
      <c r="AH1861" s="4"/>
      <c r="AI1861" s="4"/>
      <c r="AJ1861" s="4"/>
      <c r="AK1861" s="4"/>
      <c r="AL1861" s="4"/>
      <c r="AM1861" s="4" t="s">
        <v>2037</v>
      </c>
    </row>
    <row r="1862" customFormat="false" ht="23.85" hidden="false" customHeight="false" outlineLevel="0" collapsed="false">
      <c r="A1862" s="4" t="s">
        <v>1987</v>
      </c>
      <c r="B1862" s="4" t="s">
        <v>2212</v>
      </c>
      <c r="C1862" s="4" t="s">
        <v>2213</v>
      </c>
      <c r="D1862" s="12" t="n">
        <v>2024</v>
      </c>
      <c r="E1862" s="4"/>
      <c r="F1862" s="4" t="s">
        <v>1990</v>
      </c>
      <c r="G1862" s="4" t="s">
        <v>1991</v>
      </c>
      <c r="H1862" s="4" t="s">
        <v>1992</v>
      </c>
      <c r="I1862" s="4"/>
      <c r="J1862" s="4" t="s">
        <v>1962</v>
      </c>
      <c r="K1862" s="4" t="s">
        <v>111</v>
      </c>
      <c r="L1862" s="4" t="s">
        <v>112</v>
      </c>
      <c r="M1862" s="4" t="s">
        <v>1993</v>
      </c>
      <c r="N1862" s="4" t="s">
        <v>1994</v>
      </c>
      <c r="O1862" s="4" t="s">
        <v>1995</v>
      </c>
      <c r="P1862" s="4" t="s">
        <v>67</v>
      </c>
      <c r="Q1862" s="4" t="s">
        <v>2097</v>
      </c>
      <c r="R1862" s="4" t="s">
        <v>1997</v>
      </c>
      <c r="S1862" s="4"/>
      <c r="T1862" s="4"/>
      <c r="U1862" s="4"/>
      <c r="V1862" s="4"/>
      <c r="W1862" s="4"/>
      <c r="X1862" s="4"/>
      <c r="Y1862" s="4"/>
      <c r="Z1862" s="4"/>
      <c r="AA1862" s="4"/>
      <c r="AB1862" s="4"/>
      <c r="AC1862" s="4"/>
      <c r="AD1862" s="4"/>
      <c r="AE1862" s="4"/>
      <c r="AF1862" s="4"/>
      <c r="AG1862" s="4"/>
      <c r="AH1862" s="4"/>
      <c r="AI1862" s="4"/>
      <c r="AJ1862" s="4"/>
      <c r="AK1862" s="4"/>
      <c r="AL1862" s="4"/>
      <c r="AM1862" s="4" t="s">
        <v>2214</v>
      </c>
    </row>
    <row r="1863" customFormat="false" ht="23.85" hidden="false" customHeight="false" outlineLevel="0" collapsed="false">
      <c r="A1863" s="4" t="s">
        <v>1987</v>
      </c>
      <c r="B1863" s="4" t="s">
        <v>2215</v>
      </c>
      <c r="C1863" s="4" t="s">
        <v>2216</v>
      </c>
      <c r="D1863" s="12" t="n">
        <v>2024</v>
      </c>
      <c r="E1863" s="4"/>
      <c r="F1863" s="4" t="s">
        <v>1990</v>
      </c>
      <c r="G1863" s="4" t="s">
        <v>1991</v>
      </c>
      <c r="H1863" s="4" t="s">
        <v>1992</v>
      </c>
      <c r="I1863" s="4"/>
      <c r="J1863" s="4" t="s">
        <v>2217</v>
      </c>
      <c r="K1863" s="4" t="s">
        <v>99</v>
      </c>
      <c r="L1863" s="4" t="s">
        <v>100</v>
      </c>
      <c r="M1863" s="4" t="s">
        <v>1993</v>
      </c>
      <c r="N1863" s="4" t="s">
        <v>2001</v>
      </c>
      <c r="O1863" s="4" t="s">
        <v>2218</v>
      </c>
      <c r="P1863" s="4" t="s">
        <v>44</v>
      </c>
      <c r="Q1863" s="4" t="s">
        <v>2219</v>
      </c>
      <c r="R1863" s="4" t="s">
        <v>2220</v>
      </c>
      <c r="S1863" s="4"/>
      <c r="T1863" s="4"/>
      <c r="U1863" s="4"/>
      <c r="V1863" s="4"/>
      <c r="W1863" s="4"/>
      <c r="X1863" s="4"/>
      <c r="Y1863" s="4"/>
      <c r="Z1863" s="4"/>
      <c r="AA1863" s="4"/>
      <c r="AB1863" s="4"/>
      <c r="AC1863" s="4"/>
      <c r="AD1863" s="4"/>
      <c r="AE1863" s="4"/>
      <c r="AF1863" s="4"/>
      <c r="AG1863" s="4"/>
      <c r="AH1863" s="4"/>
      <c r="AI1863" s="4"/>
      <c r="AJ1863" s="4"/>
      <c r="AK1863" s="4"/>
      <c r="AL1863" s="4"/>
      <c r="AM1863" s="4" t="s">
        <v>2221</v>
      </c>
    </row>
    <row r="1864" customFormat="false" ht="23.85" hidden="false" customHeight="false" outlineLevel="0" collapsed="false">
      <c r="A1864" s="4" t="s">
        <v>1987</v>
      </c>
      <c r="B1864" s="4" t="s">
        <v>2222</v>
      </c>
      <c r="C1864" s="4" t="s">
        <v>2223</v>
      </c>
      <c r="D1864" s="12" t="n">
        <v>2024</v>
      </c>
      <c r="E1864" s="4"/>
      <c r="F1864" s="4" t="s">
        <v>1990</v>
      </c>
      <c r="G1864" s="4" t="s">
        <v>1991</v>
      </c>
      <c r="H1864" s="4" t="s">
        <v>1992</v>
      </c>
      <c r="I1864" s="4"/>
      <c r="J1864" s="4" t="s">
        <v>2224</v>
      </c>
      <c r="K1864" s="4" t="s">
        <v>103</v>
      </c>
      <c r="L1864" s="4" t="s">
        <v>104</v>
      </c>
      <c r="M1864" s="4" t="s">
        <v>1993</v>
      </c>
      <c r="N1864" s="4" t="s">
        <v>2001</v>
      </c>
      <c r="O1864" s="4" t="s">
        <v>2218</v>
      </c>
      <c r="P1864" s="4" t="s">
        <v>44</v>
      </c>
      <c r="Q1864" s="4" t="s">
        <v>2219</v>
      </c>
      <c r="R1864" s="4" t="s">
        <v>2220</v>
      </c>
      <c r="S1864" s="4"/>
      <c r="T1864" s="4"/>
      <c r="U1864" s="4"/>
      <c r="V1864" s="4"/>
      <c r="W1864" s="4"/>
      <c r="X1864" s="4"/>
      <c r="Y1864" s="4"/>
      <c r="Z1864" s="4"/>
      <c r="AA1864" s="4"/>
      <c r="AB1864" s="4"/>
      <c r="AC1864" s="4"/>
      <c r="AD1864" s="4"/>
      <c r="AE1864" s="4"/>
      <c r="AF1864" s="4"/>
      <c r="AG1864" s="4"/>
      <c r="AH1864" s="4"/>
      <c r="AI1864" s="4"/>
      <c r="AJ1864" s="4"/>
      <c r="AK1864" s="4"/>
      <c r="AL1864" s="4"/>
      <c r="AM1864" s="4" t="s">
        <v>2221</v>
      </c>
    </row>
    <row r="1865" customFormat="false" ht="35.05" hidden="false" customHeight="false" outlineLevel="0" collapsed="false">
      <c r="A1865" s="4" t="s">
        <v>1987</v>
      </c>
      <c r="B1865" s="4" t="s">
        <v>2225</v>
      </c>
      <c r="C1865" s="4" t="s">
        <v>2226</v>
      </c>
      <c r="D1865" s="12" t="n">
        <v>2024</v>
      </c>
      <c r="E1865" s="4"/>
      <c r="F1865" s="4" t="s">
        <v>1990</v>
      </c>
      <c r="G1865" s="4" t="s">
        <v>1991</v>
      </c>
      <c r="H1865" s="4" t="s">
        <v>1992</v>
      </c>
      <c r="I1865" s="4"/>
      <c r="J1865" s="4" t="s">
        <v>2227</v>
      </c>
      <c r="K1865" s="4" t="s">
        <v>111</v>
      </c>
      <c r="L1865" s="4" t="s">
        <v>112</v>
      </c>
      <c r="M1865" s="4" t="s">
        <v>1993</v>
      </c>
      <c r="N1865" s="4" t="s">
        <v>2001</v>
      </c>
      <c r="O1865" s="4" t="s">
        <v>2002</v>
      </c>
      <c r="P1865" s="4" t="s">
        <v>41</v>
      </c>
      <c r="Q1865" s="4" t="s">
        <v>2228</v>
      </c>
      <c r="R1865" s="4" t="s">
        <v>1997</v>
      </c>
      <c r="S1865" s="4"/>
      <c r="T1865" s="4"/>
      <c r="U1865" s="4"/>
      <c r="V1865" s="4"/>
      <c r="W1865" s="4"/>
      <c r="X1865" s="4"/>
      <c r="Y1865" s="4"/>
      <c r="Z1865" s="4"/>
      <c r="AA1865" s="4"/>
      <c r="AB1865" s="4"/>
      <c r="AC1865" s="4"/>
      <c r="AD1865" s="4"/>
      <c r="AE1865" s="4"/>
      <c r="AF1865" s="4"/>
      <c r="AG1865" s="4"/>
      <c r="AH1865" s="4"/>
      <c r="AI1865" s="4"/>
      <c r="AJ1865" s="4"/>
      <c r="AK1865" s="4"/>
      <c r="AL1865" s="4"/>
      <c r="AM1865" s="4" t="s">
        <v>2229</v>
      </c>
    </row>
    <row r="1866" customFormat="false" ht="23.85" hidden="false" customHeight="false" outlineLevel="0" collapsed="false">
      <c r="A1866" s="4" t="s">
        <v>1987</v>
      </c>
      <c r="B1866" s="4" t="s">
        <v>2230</v>
      </c>
      <c r="C1866" s="4" t="s">
        <v>2231</v>
      </c>
      <c r="D1866" s="12" t="n">
        <v>2023</v>
      </c>
      <c r="E1866" s="4"/>
      <c r="F1866" s="4" t="s">
        <v>1990</v>
      </c>
      <c r="G1866" s="4" t="s">
        <v>1991</v>
      </c>
      <c r="H1866" s="4" t="s">
        <v>1992</v>
      </c>
      <c r="I1866" s="4"/>
      <c r="J1866" s="4" t="s">
        <v>1425</v>
      </c>
      <c r="K1866" s="4" t="s">
        <v>91</v>
      </c>
      <c r="L1866" s="4" t="s">
        <v>92</v>
      </c>
      <c r="M1866" s="4" t="s">
        <v>1993</v>
      </c>
      <c r="N1866" s="4" t="s">
        <v>1994</v>
      </c>
      <c r="O1866" s="4" t="s">
        <v>1995</v>
      </c>
      <c r="P1866" s="4" t="s">
        <v>68</v>
      </c>
      <c r="Q1866" s="4" t="s">
        <v>1996</v>
      </c>
      <c r="R1866" s="4" t="s">
        <v>1997</v>
      </c>
      <c r="S1866" s="4"/>
      <c r="T1866" s="4"/>
      <c r="U1866" s="4"/>
      <c r="V1866" s="4"/>
      <c r="W1866" s="4"/>
      <c r="X1866" s="4"/>
      <c r="Y1866" s="4"/>
      <c r="Z1866" s="4"/>
      <c r="AA1866" s="4"/>
      <c r="AB1866" s="4"/>
      <c r="AC1866" s="4"/>
      <c r="AD1866" s="4"/>
      <c r="AE1866" s="4"/>
      <c r="AF1866" s="4"/>
      <c r="AG1866" s="4"/>
      <c r="AH1866" s="4"/>
      <c r="AI1866" s="4"/>
      <c r="AJ1866" s="4"/>
      <c r="AK1866" s="4"/>
      <c r="AL1866" s="4"/>
      <c r="AM1866" s="4" t="s">
        <v>1998</v>
      </c>
    </row>
    <row r="1867" customFormat="false" ht="23.85" hidden="false" customHeight="false" outlineLevel="0" collapsed="false">
      <c r="A1867" s="4" t="s">
        <v>1987</v>
      </c>
      <c r="B1867" s="4" t="s">
        <v>2232</v>
      </c>
      <c r="C1867" s="4" t="s">
        <v>2233</v>
      </c>
      <c r="D1867" s="12" t="n">
        <v>2023</v>
      </c>
      <c r="E1867" s="4"/>
      <c r="F1867" s="4" t="s">
        <v>1990</v>
      </c>
      <c r="G1867" s="4" t="s">
        <v>1991</v>
      </c>
      <c r="H1867" s="4" t="s">
        <v>1992</v>
      </c>
      <c r="I1867" s="4"/>
      <c r="J1867" s="4" t="s">
        <v>1430</v>
      </c>
      <c r="K1867" s="4" t="s">
        <v>91</v>
      </c>
      <c r="L1867" s="4" t="s">
        <v>92</v>
      </c>
      <c r="M1867" s="4" t="s">
        <v>1993</v>
      </c>
      <c r="N1867" s="4" t="s">
        <v>2001</v>
      </c>
      <c r="O1867" s="4" t="s">
        <v>2002</v>
      </c>
      <c r="P1867" s="4" t="s">
        <v>67</v>
      </c>
      <c r="Q1867" s="4" t="s">
        <v>2003</v>
      </c>
      <c r="R1867" s="4" t="s">
        <v>2004</v>
      </c>
      <c r="S1867" s="4"/>
      <c r="T1867" s="4"/>
      <c r="U1867" s="4"/>
      <c r="V1867" s="4"/>
      <c r="W1867" s="4"/>
      <c r="X1867" s="4"/>
      <c r="Y1867" s="4"/>
      <c r="Z1867" s="4"/>
      <c r="AA1867" s="4"/>
      <c r="AB1867" s="4"/>
      <c r="AC1867" s="4"/>
      <c r="AD1867" s="4"/>
      <c r="AE1867" s="4"/>
      <c r="AF1867" s="4"/>
      <c r="AG1867" s="4"/>
      <c r="AH1867" s="4"/>
      <c r="AI1867" s="4"/>
      <c r="AJ1867" s="4"/>
      <c r="AK1867" s="4"/>
      <c r="AL1867" s="4"/>
      <c r="AM1867" s="4" t="s">
        <v>2005</v>
      </c>
    </row>
    <row r="1868" customFormat="false" ht="23.85" hidden="false" customHeight="false" outlineLevel="0" collapsed="false">
      <c r="A1868" s="4" t="s">
        <v>1987</v>
      </c>
      <c r="B1868" s="4" t="s">
        <v>2234</v>
      </c>
      <c r="C1868" s="4" t="s">
        <v>2235</v>
      </c>
      <c r="D1868" s="12" t="n">
        <v>2023</v>
      </c>
      <c r="E1868" s="4"/>
      <c r="F1868" s="4" t="s">
        <v>1990</v>
      </c>
      <c r="G1868" s="4" t="s">
        <v>1991</v>
      </c>
      <c r="H1868" s="4" t="s">
        <v>1992</v>
      </c>
      <c r="I1868" s="4"/>
      <c r="J1868" s="4" t="s">
        <v>1431</v>
      </c>
      <c r="K1868" s="4" t="s">
        <v>91</v>
      </c>
      <c r="L1868" s="4" t="s">
        <v>92</v>
      </c>
      <c r="M1868" s="4" t="s">
        <v>1993</v>
      </c>
      <c r="N1868" s="4" t="s">
        <v>2001</v>
      </c>
      <c r="O1868" s="4" t="s">
        <v>2002</v>
      </c>
      <c r="P1868" s="4" t="s">
        <v>67</v>
      </c>
      <c r="Q1868" s="4" t="s">
        <v>2008</v>
      </c>
      <c r="R1868" s="4" t="s">
        <v>2004</v>
      </c>
      <c r="S1868" s="4"/>
      <c r="T1868" s="4"/>
      <c r="U1868" s="4"/>
      <c r="V1868" s="4"/>
      <c r="W1868" s="4"/>
      <c r="X1868" s="4"/>
      <c r="Y1868" s="4"/>
      <c r="Z1868" s="4"/>
      <c r="AA1868" s="4"/>
      <c r="AB1868" s="4"/>
      <c r="AC1868" s="4"/>
      <c r="AD1868" s="4"/>
      <c r="AE1868" s="4"/>
      <c r="AF1868" s="4"/>
      <c r="AG1868" s="4"/>
      <c r="AH1868" s="4"/>
      <c r="AI1868" s="4"/>
      <c r="AJ1868" s="4"/>
      <c r="AK1868" s="4"/>
      <c r="AL1868" s="4"/>
      <c r="AM1868" s="4" t="s">
        <v>2009</v>
      </c>
    </row>
    <row r="1869" customFormat="false" ht="23.85" hidden="false" customHeight="false" outlineLevel="0" collapsed="false">
      <c r="A1869" s="4" t="s">
        <v>1987</v>
      </c>
      <c r="B1869" s="4" t="s">
        <v>2236</v>
      </c>
      <c r="C1869" s="4" t="s">
        <v>2237</v>
      </c>
      <c r="D1869" s="12" t="n">
        <v>2023</v>
      </c>
      <c r="E1869" s="4"/>
      <c r="F1869" s="4" t="s">
        <v>1990</v>
      </c>
      <c r="G1869" s="4" t="s">
        <v>1991</v>
      </c>
      <c r="H1869" s="4" t="s">
        <v>1992</v>
      </c>
      <c r="I1869" s="4"/>
      <c r="J1869" s="4" t="s">
        <v>1439</v>
      </c>
      <c r="K1869" s="4" t="s">
        <v>93</v>
      </c>
      <c r="L1869" s="4" t="s">
        <v>94</v>
      </c>
      <c r="M1869" s="4" t="s">
        <v>1993</v>
      </c>
      <c r="N1869" s="4" t="s">
        <v>1994</v>
      </c>
      <c r="O1869" s="4" t="s">
        <v>1995</v>
      </c>
      <c r="P1869" s="4" t="s">
        <v>67</v>
      </c>
      <c r="Q1869" s="4" t="s">
        <v>2012</v>
      </c>
      <c r="R1869" s="4" t="s">
        <v>1997</v>
      </c>
      <c r="S1869" s="4"/>
      <c r="T1869" s="4"/>
      <c r="U1869" s="4"/>
      <c r="V1869" s="4"/>
      <c r="W1869" s="4"/>
      <c r="X1869" s="4"/>
      <c r="Y1869" s="4"/>
      <c r="Z1869" s="4"/>
      <c r="AA1869" s="4"/>
      <c r="AB1869" s="4"/>
      <c r="AC1869" s="4"/>
      <c r="AD1869" s="4"/>
      <c r="AE1869" s="4"/>
      <c r="AF1869" s="4"/>
      <c r="AG1869" s="4"/>
      <c r="AH1869" s="4"/>
      <c r="AI1869" s="4"/>
      <c r="AJ1869" s="4"/>
      <c r="AK1869" s="4"/>
      <c r="AL1869" s="4"/>
      <c r="AM1869" s="4" t="s">
        <v>2013</v>
      </c>
    </row>
    <row r="1870" customFormat="false" ht="23.85" hidden="false" customHeight="false" outlineLevel="0" collapsed="false">
      <c r="A1870" s="4" t="s">
        <v>1987</v>
      </c>
      <c r="B1870" s="4" t="s">
        <v>2238</v>
      </c>
      <c r="C1870" s="4" t="s">
        <v>2239</v>
      </c>
      <c r="D1870" s="12" t="n">
        <v>2023</v>
      </c>
      <c r="E1870" s="4"/>
      <c r="F1870" s="4" t="s">
        <v>1990</v>
      </c>
      <c r="G1870" s="4" t="s">
        <v>1991</v>
      </c>
      <c r="H1870" s="4" t="s">
        <v>1992</v>
      </c>
      <c r="I1870" s="4"/>
      <c r="J1870" s="4" t="s">
        <v>1444</v>
      </c>
      <c r="K1870" s="4" t="s">
        <v>93</v>
      </c>
      <c r="L1870" s="4" t="s">
        <v>94</v>
      </c>
      <c r="M1870" s="4" t="s">
        <v>1993</v>
      </c>
      <c r="N1870" s="4" t="s">
        <v>2001</v>
      </c>
      <c r="O1870" s="4" t="s">
        <v>2002</v>
      </c>
      <c r="P1870" s="4" t="s">
        <v>67</v>
      </c>
      <c r="Q1870" s="4" t="s">
        <v>2003</v>
      </c>
      <c r="R1870" s="4" t="s">
        <v>2004</v>
      </c>
      <c r="S1870" s="4"/>
      <c r="T1870" s="4"/>
      <c r="U1870" s="4"/>
      <c r="V1870" s="4"/>
      <c r="W1870" s="4"/>
      <c r="X1870" s="4"/>
      <c r="Y1870" s="4"/>
      <c r="Z1870" s="4"/>
      <c r="AA1870" s="4"/>
      <c r="AB1870" s="4"/>
      <c r="AC1870" s="4"/>
      <c r="AD1870" s="4"/>
      <c r="AE1870" s="4"/>
      <c r="AF1870" s="4"/>
      <c r="AG1870" s="4"/>
      <c r="AH1870" s="4"/>
      <c r="AI1870" s="4"/>
      <c r="AJ1870" s="4"/>
      <c r="AK1870" s="4"/>
      <c r="AL1870" s="4"/>
      <c r="AM1870" s="4" t="s">
        <v>2005</v>
      </c>
    </row>
    <row r="1871" customFormat="false" ht="23.85" hidden="false" customHeight="false" outlineLevel="0" collapsed="false">
      <c r="A1871" s="4" t="s">
        <v>1987</v>
      </c>
      <c r="B1871" s="4" t="s">
        <v>2240</v>
      </c>
      <c r="C1871" s="4" t="s">
        <v>2241</v>
      </c>
      <c r="D1871" s="12" t="n">
        <v>2023</v>
      </c>
      <c r="E1871" s="4"/>
      <c r="F1871" s="4" t="s">
        <v>1990</v>
      </c>
      <c r="G1871" s="4" t="s">
        <v>1991</v>
      </c>
      <c r="H1871" s="4" t="s">
        <v>1992</v>
      </c>
      <c r="I1871" s="4"/>
      <c r="J1871" s="4" t="s">
        <v>1453</v>
      </c>
      <c r="K1871" s="4" t="s">
        <v>76</v>
      </c>
      <c r="L1871" s="4" t="s">
        <v>77</v>
      </c>
      <c r="M1871" s="4" t="s">
        <v>2018</v>
      </c>
      <c r="N1871" s="4" t="s">
        <v>1994</v>
      </c>
      <c r="O1871" s="4" t="s">
        <v>65</v>
      </c>
      <c r="P1871" s="4" t="s">
        <v>64</v>
      </c>
      <c r="Q1871" s="4" t="s">
        <v>2019</v>
      </c>
      <c r="R1871" s="4" t="s">
        <v>1997</v>
      </c>
      <c r="S1871" s="4"/>
      <c r="T1871" s="4"/>
      <c r="U1871" s="4"/>
      <c r="V1871" s="4"/>
      <c r="W1871" s="4"/>
      <c r="X1871" s="4"/>
      <c r="Y1871" s="4"/>
      <c r="Z1871" s="4"/>
      <c r="AA1871" s="4"/>
      <c r="AB1871" s="4"/>
      <c r="AC1871" s="4"/>
      <c r="AD1871" s="4"/>
      <c r="AE1871" s="4"/>
      <c r="AF1871" s="4"/>
      <c r="AG1871" s="4"/>
      <c r="AH1871" s="4"/>
      <c r="AI1871" s="4"/>
      <c r="AJ1871" s="4"/>
      <c r="AK1871" s="4"/>
      <c r="AL1871" s="4"/>
      <c r="AM1871" s="4" t="s">
        <v>2020</v>
      </c>
    </row>
    <row r="1872" customFormat="false" ht="15" hidden="false" customHeight="false" outlineLevel="0" collapsed="false">
      <c r="A1872" s="4" t="s">
        <v>1987</v>
      </c>
      <c r="B1872" s="4" t="s">
        <v>2242</v>
      </c>
      <c r="C1872" s="4" t="s">
        <v>2243</v>
      </c>
      <c r="D1872" s="12" t="n">
        <v>2023</v>
      </c>
      <c r="E1872" s="4"/>
      <c r="F1872" s="4" t="s">
        <v>1990</v>
      </c>
      <c r="G1872" s="4" t="s">
        <v>1991</v>
      </c>
      <c r="H1872" s="4" t="s">
        <v>1992</v>
      </c>
      <c r="I1872" s="4"/>
      <c r="J1872" s="4" t="s">
        <v>1453</v>
      </c>
      <c r="K1872" s="4" t="s">
        <v>76</v>
      </c>
      <c r="L1872" s="4" t="s">
        <v>77</v>
      </c>
      <c r="M1872" s="4" t="s">
        <v>2018</v>
      </c>
      <c r="N1872" s="4" t="s">
        <v>2001</v>
      </c>
      <c r="O1872" s="4" t="s">
        <v>66</v>
      </c>
      <c r="P1872" s="4" t="s">
        <v>66</v>
      </c>
      <c r="Q1872" s="4" t="s">
        <v>2019</v>
      </c>
      <c r="R1872" s="4" t="s">
        <v>1997</v>
      </c>
      <c r="S1872" s="4"/>
      <c r="T1872" s="4"/>
      <c r="U1872" s="4"/>
      <c r="V1872" s="4"/>
      <c r="W1872" s="4"/>
      <c r="X1872" s="4"/>
      <c r="Y1872" s="4"/>
      <c r="Z1872" s="4"/>
      <c r="AA1872" s="4"/>
      <c r="AB1872" s="4"/>
      <c r="AC1872" s="4"/>
      <c r="AD1872" s="4"/>
      <c r="AE1872" s="4"/>
      <c r="AF1872" s="4"/>
      <c r="AG1872" s="4"/>
      <c r="AH1872" s="4"/>
      <c r="AI1872" s="4"/>
      <c r="AJ1872" s="4"/>
      <c r="AK1872" s="4"/>
      <c r="AL1872" s="4"/>
      <c r="AM1872" s="4" t="s">
        <v>2023</v>
      </c>
    </row>
    <row r="1873" customFormat="false" ht="15" hidden="false" customHeight="false" outlineLevel="0" collapsed="false">
      <c r="A1873" s="4" t="s">
        <v>1987</v>
      </c>
      <c r="B1873" s="4" t="s">
        <v>2244</v>
      </c>
      <c r="C1873" s="4" t="s">
        <v>2245</v>
      </c>
      <c r="D1873" s="12" t="n">
        <v>2023</v>
      </c>
      <c r="E1873" s="4"/>
      <c r="F1873" s="4" t="s">
        <v>1990</v>
      </c>
      <c r="G1873" s="4" t="s">
        <v>1991</v>
      </c>
      <c r="H1873" s="4" t="s">
        <v>1992</v>
      </c>
      <c r="I1873" s="4"/>
      <c r="J1873" s="4" t="s">
        <v>1453</v>
      </c>
      <c r="K1873" s="4" t="s">
        <v>76</v>
      </c>
      <c r="L1873" s="4" t="s">
        <v>77</v>
      </c>
      <c r="M1873" s="4" t="s">
        <v>1993</v>
      </c>
      <c r="N1873" s="4" t="s">
        <v>1994</v>
      </c>
      <c r="O1873" s="4" t="s">
        <v>1995</v>
      </c>
      <c r="P1873" s="4" t="s">
        <v>66</v>
      </c>
      <c r="Q1873" s="4" t="s">
        <v>2019</v>
      </c>
      <c r="R1873" s="4" t="s">
        <v>1997</v>
      </c>
      <c r="S1873" s="4"/>
      <c r="T1873" s="4"/>
      <c r="U1873" s="4"/>
      <c r="V1873" s="4"/>
      <c r="W1873" s="4"/>
      <c r="X1873" s="4"/>
      <c r="Y1873" s="4"/>
      <c r="Z1873" s="4"/>
      <c r="AA1873" s="4"/>
      <c r="AB1873" s="4"/>
      <c r="AC1873" s="4"/>
      <c r="AD1873" s="4"/>
      <c r="AE1873" s="4"/>
      <c r="AF1873" s="4"/>
      <c r="AG1873" s="4"/>
      <c r="AH1873" s="4"/>
      <c r="AI1873" s="4"/>
      <c r="AJ1873" s="4"/>
      <c r="AK1873" s="4"/>
      <c r="AL1873" s="4"/>
      <c r="AM1873" s="4" t="s">
        <v>2026</v>
      </c>
    </row>
    <row r="1874" customFormat="false" ht="23.85" hidden="false" customHeight="false" outlineLevel="0" collapsed="false">
      <c r="A1874" s="4" t="s">
        <v>1987</v>
      </c>
      <c r="B1874" s="4" t="s">
        <v>2246</v>
      </c>
      <c r="C1874" s="4" t="s">
        <v>2247</v>
      </c>
      <c r="D1874" s="12" t="n">
        <v>2023</v>
      </c>
      <c r="E1874" s="4"/>
      <c r="F1874" s="4" t="s">
        <v>1990</v>
      </c>
      <c r="G1874" s="4" t="s">
        <v>1991</v>
      </c>
      <c r="H1874" s="4" t="s">
        <v>1992</v>
      </c>
      <c r="I1874" s="4"/>
      <c r="J1874" s="4" t="s">
        <v>1454</v>
      </c>
      <c r="K1874" s="4" t="s">
        <v>76</v>
      </c>
      <c r="L1874" s="4" t="s">
        <v>77</v>
      </c>
      <c r="M1874" s="4" t="s">
        <v>1993</v>
      </c>
      <c r="N1874" s="4" t="s">
        <v>1994</v>
      </c>
      <c r="O1874" s="4" t="s">
        <v>2029</v>
      </c>
      <c r="P1874" s="4" t="s">
        <v>69</v>
      </c>
      <c r="Q1874" s="4" t="s">
        <v>2030</v>
      </c>
      <c r="R1874" s="4" t="s">
        <v>1997</v>
      </c>
      <c r="S1874" s="4"/>
      <c r="T1874" s="4"/>
      <c r="U1874" s="4"/>
      <c r="V1874" s="4"/>
      <c r="W1874" s="4"/>
      <c r="X1874" s="4"/>
      <c r="Y1874" s="4"/>
      <c r="Z1874" s="4"/>
      <c r="AA1874" s="4"/>
      <c r="AB1874" s="4"/>
      <c r="AC1874" s="4"/>
      <c r="AD1874" s="4"/>
      <c r="AE1874" s="4"/>
      <c r="AF1874" s="4"/>
      <c r="AG1874" s="4"/>
      <c r="AH1874" s="4"/>
      <c r="AI1874" s="4"/>
      <c r="AJ1874" s="4"/>
      <c r="AK1874" s="4"/>
      <c r="AL1874" s="4"/>
      <c r="AM1874" s="4" t="s">
        <v>2031</v>
      </c>
    </row>
    <row r="1875" customFormat="false" ht="23.85" hidden="false" customHeight="false" outlineLevel="0" collapsed="false">
      <c r="A1875" s="4" t="s">
        <v>1987</v>
      </c>
      <c r="B1875" s="4" t="s">
        <v>2248</v>
      </c>
      <c r="C1875" s="4" t="s">
        <v>2249</v>
      </c>
      <c r="D1875" s="12" t="n">
        <v>2023</v>
      </c>
      <c r="E1875" s="4"/>
      <c r="F1875" s="4" t="s">
        <v>1990</v>
      </c>
      <c r="G1875" s="4" t="s">
        <v>1991</v>
      </c>
      <c r="H1875" s="4" t="s">
        <v>1992</v>
      </c>
      <c r="I1875" s="4"/>
      <c r="J1875" s="4" t="s">
        <v>1456</v>
      </c>
      <c r="K1875" s="4" t="s">
        <v>76</v>
      </c>
      <c r="L1875" s="4" t="s">
        <v>77</v>
      </c>
      <c r="M1875" s="4" t="s">
        <v>1993</v>
      </c>
      <c r="N1875" s="4" t="s">
        <v>2001</v>
      </c>
      <c r="O1875" s="4" t="s">
        <v>2034</v>
      </c>
      <c r="P1875" s="4" t="s">
        <v>74</v>
      </c>
      <c r="Q1875" s="4" t="s">
        <v>2035</v>
      </c>
      <c r="R1875" s="4" t="s">
        <v>2036</v>
      </c>
      <c r="S1875" s="4"/>
      <c r="T1875" s="4"/>
      <c r="U1875" s="4"/>
      <c r="V1875" s="4"/>
      <c r="W1875" s="4"/>
      <c r="X1875" s="4"/>
      <c r="Y1875" s="4"/>
      <c r="Z1875" s="4"/>
      <c r="AA1875" s="4"/>
      <c r="AB1875" s="4"/>
      <c r="AC1875" s="4"/>
      <c r="AD1875" s="4"/>
      <c r="AE1875" s="4"/>
      <c r="AF1875" s="4"/>
      <c r="AG1875" s="4"/>
      <c r="AH1875" s="4"/>
      <c r="AI1875" s="4"/>
      <c r="AJ1875" s="4"/>
      <c r="AK1875" s="4"/>
      <c r="AL1875" s="4"/>
      <c r="AM1875" s="4" t="s">
        <v>2037</v>
      </c>
    </row>
    <row r="1876" customFormat="false" ht="23.85" hidden="false" customHeight="false" outlineLevel="0" collapsed="false">
      <c r="A1876" s="4" t="s">
        <v>1987</v>
      </c>
      <c r="B1876" s="4" t="s">
        <v>2250</v>
      </c>
      <c r="C1876" s="4" t="s">
        <v>2251</v>
      </c>
      <c r="D1876" s="12" t="n">
        <v>2023</v>
      </c>
      <c r="E1876" s="4"/>
      <c r="F1876" s="4" t="s">
        <v>1990</v>
      </c>
      <c r="G1876" s="4" t="s">
        <v>1991</v>
      </c>
      <c r="H1876" s="4" t="s">
        <v>1992</v>
      </c>
      <c r="I1876" s="4"/>
      <c r="J1876" s="4" t="s">
        <v>1458</v>
      </c>
      <c r="K1876" s="4" t="s">
        <v>76</v>
      </c>
      <c r="L1876" s="4" t="s">
        <v>77</v>
      </c>
      <c r="M1876" s="4" t="s">
        <v>1993</v>
      </c>
      <c r="N1876" s="4" t="s">
        <v>2001</v>
      </c>
      <c r="O1876" s="4" t="s">
        <v>2002</v>
      </c>
      <c r="P1876" s="4" t="s">
        <v>67</v>
      </c>
      <c r="Q1876" s="4" t="s">
        <v>2003</v>
      </c>
      <c r="R1876" s="4" t="s">
        <v>2004</v>
      </c>
      <c r="S1876" s="4"/>
      <c r="T1876" s="4"/>
      <c r="U1876" s="4"/>
      <c r="V1876" s="4"/>
      <c r="W1876" s="4"/>
      <c r="X1876" s="4"/>
      <c r="Y1876" s="4"/>
      <c r="Z1876" s="4"/>
      <c r="AA1876" s="4"/>
      <c r="AB1876" s="4"/>
      <c r="AC1876" s="4"/>
      <c r="AD1876" s="4"/>
      <c r="AE1876" s="4"/>
      <c r="AF1876" s="4"/>
      <c r="AG1876" s="4"/>
      <c r="AH1876" s="4"/>
      <c r="AI1876" s="4"/>
      <c r="AJ1876" s="4"/>
      <c r="AK1876" s="4"/>
      <c r="AL1876" s="4"/>
      <c r="AM1876" s="4" t="s">
        <v>2005</v>
      </c>
    </row>
    <row r="1877" customFormat="false" ht="23.85" hidden="false" customHeight="false" outlineLevel="0" collapsed="false">
      <c r="A1877" s="4" t="s">
        <v>1987</v>
      </c>
      <c r="B1877" s="4" t="s">
        <v>2252</v>
      </c>
      <c r="C1877" s="4" t="s">
        <v>2253</v>
      </c>
      <c r="D1877" s="12" t="n">
        <v>2023</v>
      </c>
      <c r="E1877" s="4"/>
      <c r="F1877" s="4" t="s">
        <v>1990</v>
      </c>
      <c r="G1877" s="4" t="s">
        <v>1991</v>
      </c>
      <c r="H1877" s="4" t="s">
        <v>1992</v>
      </c>
      <c r="I1877" s="4"/>
      <c r="J1877" s="4" t="s">
        <v>1459</v>
      </c>
      <c r="K1877" s="4" t="s">
        <v>76</v>
      </c>
      <c r="L1877" s="4" t="s">
        <v>77</v>
      </c>
      <c r="M1877" s="4" t="s">
        <v>1993</v>
      </c>
      <c r="N1877" s="4" t="s">
        <v>2001</v>
      </c>
      <c r="O1877" s="4" t="s">
        <v>2002</v>
      </c>
      <c r="P1877" s="4" t="s">
        <v>67</v>
      </c>
      <c r="Q1877" s="4" t="s">
        <v>2008</v>
      </c>
      <c r="R1877" s="4" t="s">
        <v>2004</v>
      </c>
      <c r="S1877" s="4"/>
      <c r="T1877" s="4"/>
      <c r="U1877" s="4"/>
      <c r="V1877" s="4"/>
      <c r="W1877" s="4"/>
      <c r="X1877" s="4"/>
      <c r="Y1877" s="4"/>
      <c r="Z1877" s="4"/>
      <c r="AA1877" s="4"/>
      <c r="AB1877" s="4"/>
      <c r="AC1877" s="4"/>
      <c r="AD1877" s="4"/>
      <c r="AE1877" s="4"/>
      <c r="AF1877" s="4"/>
      <c r="AG1877" s="4"/>
      <c r="AH1877" s="4"/>
      <c r="AI1877" s="4"/>
      <c r="AJ1877" s="4"/>
      <c r="AK1877" s="4"/>
      <c r="AL1877" s="4"/>
      <c r="AM1877" s="4" t="s">
        <v>2009</v>
      </c>
    </row>
    <row r="1878" customFormat="false" ht="35.05" hidden="false" customHeight="false" outlineLevel="0" collapsed="false">
      <c r="A1878" s="4" t="s">
        <v>1987</v>
      </c>
      <c r="B1878" s="4" t="s">
        <v>2254</v>
      </c>
      <c r="C1878" s="4" t="s">
        <v>2255</v>
      </c>
      <c r="D1878" s="12" t="n">
        <v>2023</v>
      </c>
      <c r="E1878" s="4"/>
      <c r="F1878" s="4" t="s">
        <v>1990</v>
      </c>
      <c r="G1878" s="4" t="s">
        <v>1991</v>
      </c>
      <c r="H1878" s="4" t="s">
        <v>1992</v>
      </c>
      <c r="I1878" s="4"/>
      <c r="J1878" s="4" t="s">
        <v>1467</v>
      </c>
      <c r="K1878" s="4" t="s">
        <v>78</v>
      </c>
      <c r="L1878" s="4" t="s">
        <v>79</v>
      </c>
      <c r="M1878" s="4" t="s">
        <v>2018</v>
      </c>
      <c r="N1878" s="4" t="s">
        <v>1994</v>
      </c>
      <c r="O1878" s="4" t="s">
        <v>65</v>
      </c>
      <c r="P1878" s="4" t="s">
        <v>64</v>
      </c>
      <c r="Q1878" s="4" t="s">
        <v>2044</v>
      </c>
      <c r="R1878" s="4" t="s">
        <v>1997</v>
      </c>
      <c r="S1878" s="4"/>
      <c r="T1878" s="4"/>
      <c r="U1878" s="4"/>
      <c r="V1878" s="4"/>
      <c r="W1878" s="4"/>
      <c r="X1878" s="4"/>
      <c r="Y1878" s="4"/>
      <c r="Z1878" s="4"/>
      <c r="AA1878" s="4"/>
      <c r="AB1878" s="4"/>
      <c r="AC1878" s="4"/>
      <c r="AD1878" s="4"/>
      <c r="AE1878" s="4"/>
      <c r="AF1878" s="4"/>
      <c r="AG1878" s="4"/>
      <c r="AH1878" s="4"/>
      <c r="AI1878" s="4"/>
      <c r="AJ1878" s="4"/>
      <c r="AK1878" s="4"/>
      <c r="AL1878" s="4"/>
      <c r="AM1878" s="4" t="s">
        <v>2045</v>
      </c>
    </row>
    <row r="1879" customFormat="false" ht="23.85" hidden="false" customHeight="false" outlineLevel="0" collapsed="false">
      <c r="A1879" s="4" t="s">
        <v>1987</v>
      </c>
      <c r="B1879" s="4" t="s">
        <v>2256</v>
      </c>
      <c r="C1879" s="4" t="s">
        <v>2257</v>
      </c>
      <c r="D1879" s="12" t="n">
        <v>2023</v>
      </c>
      <c r="E1879" s="4"/>
      <c r="F1879" s="4" t="s">
        <v>1990</v>
      </c>
      <c r="G1879" s="4" t="s">
        <v>1991</v>
      </c>
      <c r="H1879" s="4" t="s">
        <v>1992</v>
      </c>
      <c r="I1879" s="4"/>
      <c r="J1879" s="4" t="s">
        <v>1472</v>
      </c>
      <c r="K1879" s="4" t="s">
        <v>78</v>
      </c>
      <c r="L1879" s="4" t="s">
        <v>79</v>
      </c>
      <c r="M1879" s="4" t="s">
        <v>2018</v>
      </c>
      <c r="N1879" s="4" t="s">
        <v>2001</v>
      </c>
      <c r="O1879" s="4" t="s">
        <v>66</v>
      </c>
      <c r="P1879" s="4" t="s">
        <v>67</v>
      </c>
      <c r="Q1879" s="4" t="s">
        <v>2003</v>
      </c>
      <c r="R1879" s="4" t="s">
        <v>2004</v>
      </c>
      <c r="S1879" s="4"/>
      <c r="T1879" s="4"/>
      <c r="U1879" s="4"/>
      <c r="V1879" s="4"/>
      <c r="W1879" s="4"/>
      <c r="X1879" s="4"/>
      <c r="Y1879" s="4"/>
      <c r="Z1879" s="4"/>
      <c r="AA1879" s="4"/>
      <c r="AB1879" s="4"/>
      <c r="AC1879" s="4"/>
      <c r="AD1879" s="4"/>
      <c r="AE1879" s="4"/>
      <c r="AF1879" s="4"/>
      <c r="AG1879" s="4"/>
      <c r="AH1879" s="4"/>
      <c r="AI1879" s="4"/>
      <c r="AJ1879" s="4"/>
      <c r="AK1879" s="4"/>
      <c r="AL1879" s="4"/>
      <c r="AM1879" s="4" t="s">
        <v>2048</v>
      </c>
    </row>
    <row r="1880" customFormat="false" ht="35.05" hidden="false" customHeight="false" outlineLevel="0" collapsed="false">
      <c r="A1880" s="4" t="s">
        <v>1987</v>
      </c>
      <c r="B1880" s="4" t="s">
        <v>2258</v>
      </c>
      <c r="C1880" s="4" t="s">
        <v>2259</v>
      </c>
      <c r="D1880" s="12" t="n">
        <v>2023</v>
      </c>
      <c r="E1880" s="4"/>
      <c r="F1880" s="4" t="s">
        <v>1990</v>
      </c>
      <c r="G1880" s="4" t="s">
        <v>1991</v>
      </c>
      <c r="H1880" s="4" t="s">
        <v>1992</v>
      </c>
      <c r="I1880" s="4"/>
      <c r="J1880" s="4" t="s">
        <v>1481</v>
      </c>
      <c r="K1880" s="4" t="s">
        <v>80</v>
      </c>
      <c r="L1880" s="4" t="s">
        <v>81</v>
      </c>
      <c r="M1880" s="4" t="s">
        <v>2018</v>
      </c>
      <c r="N1880" s="4" t="s">
        <v>1994</v>
      </c>
      <c r="O1880" s="4" t="s">
        <v>65</v>
      </c>
      <c r="P1880" s="4" t="s">
        <v>64</v>
      </c>
      <c r="Q1880" s="4" t="s">
        <v>2044</v>
      </c>
      <c r="R1880" s="4" t="s">
        <v>1997</v>
      </c>
      <c r="S1880" s="4"/>
      <c r="T1880" s="4"/>
      <c r="U1880" s="4"/>
      <c r="V1880" s="4"/>
      <c r="W1880" s="4"/>
      <c r="X1880" s="4"/>
      <c r="Y1880" s="4"/>
      <c r="Z1880" s="4"/>
      <c r="AA1880" s="4"/>
      <c r="AB1880" s="4"/>
      <c r="AC1880" s="4"/>
      <c r="AD1880" s="4"/>
      <c r="AE1880" s="4"/>
      <c r="AF1880" s="4"/>
      <c r="AG1880" s="4"/>
      <c r="AH1880" s="4"/>
      <c r="AI1880" s="4"/>
      <c r="AJ1880" s="4"/>
      <c r="AK1880" s="4"/>
      <c r="AL1880" s="4"/>
      <c r="AM1880" s="4" t="s">
        <v>2045</v>
      </c>
    </row>
    <row r="1881" customFormat="false" ht="23.85" hidden="false" customHeight="false" outlineLevel="0" collapsed="false">
      <c r="A1881" s="4" t="s">
        <v>1987</v>
      </c>
      <c r="B1881" s="4" t="s">
        <v>2260</v>
      </c>
      <c r="C1881" s="4" t="s">
        <v>2261</v>
      </c>
      <c r="D1881" s="12" t="n">
        <v>2023</v>
      </c>
      <c r="E1881" s="4"/>
      <c r="F1881" s="4" t="s">
        <v>1990</v>
      </c>
      <c r="G1881" s="4" t="s">
        <v>1991</v>
      </c>
      <c r="H1881" s="4" t="s">
        <v>1992</v>
      </c>
      <c r="I1881" s="4"/>
      <c r="J1881" s="4" t="s">
        <v>1486</v>
      </c>
      <c r="K1881" s="4" t="s">
        <v>80</v>
      </c>
      <c r="L1881" s="4" t="s">
        <v>81</v>
      </c>
      <c r="M1881" s="4" t="s">
        <v>2018</v>
      </c>
      <c r="N1881" s="4" t="s">
        <v>2001</v>
      </c>
      <c r="O1881" s="4" t="s">
        <v>66</v>
      </c>
      <c r="P1881" s="4" t="s">
        <v>67</v>
      </c>
      <c r="Q1881" s="4" t="s">
        <v>2003</v>
      </c>
      <c r="R1881" s="4" t="s">
        <v>2004</v>
      </c>
      <c r="S1881" s="4"/>
      <c r="T1881" s="4"/>
      <c r="U1881" s="4"/>
      <c r="V1881" s="4"/>
      <c r="W1881" s="4"/>
      <c r="X1881" s="4"/>
      <c r="Y1881" s="4"/>
      <c r="Z1881" s="4"/>
      <c r="AA1881" s="4"/>
      <c r="AB1881" s="4"/>
      <c r="AC1881" s="4"/>
      <c r="AD1881" s="4"/>
      <c r="AE1881" s="4"/>
      <c r="AF1881" s="4"/>
      <c r="AG1881" s="4"/>
      <c r="AH1881" s="4"/>
      <c r="AI1881" s="4"/>
      <c r="AJ1881" s="4"/>
      <c r="AK1881" s="4"/>
      <c r="AL1881" s="4"/>
      <c r="AM1881" s="4" t="s">
        <v>2048</v>
      </c>
    </row>
    <row r="1882" customFormat="false" ht="23.85" hidden="false" customHeight="false" outlineLevel="0" collapsed="false">
      <c r="A1882" s="4" t="s">
        <v>1987</v>
      </c>
      <c r="B1882" s="4" t="s">
        <v>2262</v>
      </c>
      <c r="C1882" s="4" t="s">
        <v>2263</v>
      </c>
      <c r="D1882" s="12" t="n">
        <v>2023</v>
      </c>
      <c r="E1882" s="4"/>
      <c r="F1882" s="4" t="s">
        <v>1990</v>
      </c>
      <c r="G1882" s="4" t="s">
        <v>1991</v>
      </c>
      <c r="H1882" s="4" t="s">
        <v>1992</v>
      </c>
      <c r="I1882" s="4"/>
      <c r="J1882" s="4" t="s">
        <v>1495</v>
      </c>
      <c r="K1882" s="4" t="s">
        <v>82</v>
      </c>
      <c r="L1882" s="4" t="s">
        <v>83</v>
      </c>
      <c r="M1882" s="4" t="s">
        <v>2018</v>
      </c>
      <c r="N1882" s="4" t="s">
        <v>1994</v>
      </c>
      <c r="O1882" s="4" t="s">
        <v>65</v>
      </c>
      <c r="P1882" s="4" t="s">
        <v>64</v>
      </c>
      <c r="Q1882" s="4" t="s">
        <v>2019</v>
      </c>
      <c r="R1882" s="4" t="s">
        <v>1997</v>
      </c>
      <c r="S1882" s="4"/>
      <c r="T1882" s="4"/>
      <c r="U1882" s="4"/>
      <c r="V1882" s="4"/>
      <c r="W1882" s="4"/>
      <c r="X1882" s="4"/>
      <c r="Y1882" s="4"/>
      <c r="Z1882" s="4"/>
      <c r="AA1882" s="4"/>
      <c r="AB1882" s="4"/>
      <c r="AC1882" s="4"/>
      <c r="AD1882" s="4"/>
      <c r="AE1882" s="4"/>
      <c r="AF1882" s="4"/>
      <c r="AG1882" s="4"/>
      <c r="AH1882" s="4"/>
      <c r="AI1882" s="4"/>
      <c r="AJ1882" s="4"/>
      <c r="AK1882" s="4"/>
      <c r="AL1882" s="4"/>
      <c r="AM1882" s="4" t="s">
        <v>2020</v>
      </c>
    </row>
    <row r="1883" customFormat="false" ht="15" hidden="false" customHeight="false" outlineLevel="0" collapsed="false">
      <c r="A1883" s="4" t="s">
        <v>1987</v>
      </c>
      <c r="B1883" s="4" t="s">
        <v>2264</v>
      </c>
      <c r="C1883" s="4" t="s">
        <v>2265</v>
      </c>
      <c r="D1883" s="12" t="n">
        <v>2023</v>
      </c>
      <c r="E1883" s="4"/>
      <c r="F1883" s="4" t="s">
        <v>1990</v>
      </c>
      <c r="G1883" s="4" t="s">
        <v>1991</v>
      </c>
      <c r="H1883" s="4" t="s">
        <v>1992</v>
      </c>
      <c r="I1883" s="4"/>
      <c r="J1883" s="4" t="s">
        <v>1495</v>
      </c>
      <c r="K1883" s="4" t="s">
        <v>82</v>
      </c>
      <c r="L1883" s="4" t="s">
        <v>83</v>
      </c>
      <c r="M1883" s="4" t="s">
        <v>2018</v>
      </c>
      <c r="N1883" s="4" t="s">
        <v>2001</v>
      </c>
      <c r="O1883" s="4" t="s">
        <v>66</v>
      </c>
      <c r="P1883" s="4" t="s">
        <v>66</v>
      </c>
      <c r="Q1883" s="4" t="s">
        <v>2019</v>
      </c>
      <c r="R1883" s="4" t="s">
        <v>1997</v>
      </c>
      <c r="S1883" s="4"/>
      <c r="T1883" s="4"/>
      <c r="U1883" s="4"/>
      <c r="V1883" s="4"/>
      <c r="W1883" s="4"/>
      <c r="X1883" s="4"/>
      <c r="Y1883" s="4"/>
      <c r="Z1883" s="4"/>
      <c r="AA1883" s="4"/>
      <c r="AB1883" s="4"/>
      <c r="AC1883" s="4"/>
      <c r="AD1883" s="4"/>
      <c r="AE1883" s="4"/>
      <c r="AF1883" s="4"/>
      <c r="AG1883" s="4"/>
      <c r="AH1883" s="4"/>
      <c r="AI1883" s="4"/>
      <c r="AJ1883" s="4"/>
      <c r="AK1883" s="4"/>
      <c r="AL1883" s="4"/>
      <c r="AM1883" s="4" t="s">
        <v>2023</v>
      </c>
    </row>
    <row r="1884" customFormat="false" ht="15" hidden="false" customHeight="false" outlineLevel="0" collapsed="false">
      <c r="A1884" s="4" t="s">
        <v>1987</v>
      </c>
      <c r="B1884" s="4" t="s">
        <v>2266</v>
      </c>
      <c r="C1884" s="4" t="s">
        <v>2267</v>
      </c>
      <c r="D1884" s="12" t="n">
        <v>2023</v>
      </c>
      <c r="E1884" s="4"/>
      <c r="F1884" s="4" t="s">
        <v>1990</v>
      </c>
      <c r="G1884" s="4" t="s">
        <v>1991</v>
      </c>
      <c r="H1884" s="4" t="s">
        <v>1992</v>
      </c>
      <c r="I1884" s="4"/>
      <c r="J1884" s="4" t="s">
        <v>1495</v>
      </c>
      <c r="K1884" s="4" t="s">
        <v>82</v>
      </c>
      <c r="L1884" s="4" t="s">
        <v>83</v>
      </c>
      <c r="M1884" s="4" t="s">
        <v>1993</v>
      </c>
      <c r="N1884" s="4" t="s">
        <v>1994</v>
      </c>
      <c r="O1884" s="4" t="s">
        <v>1995</v>
      </c>
      <c r="P1884" s="4" t="s">
        <v>66</v>
      </c>
      <c r="Q1884" s="4" t="s">
        <v>2019</v>
      </c>
      <c r="R1884" s="4" t="s">
        <v>1997</v>
      </c>
      <c r="S1884" s="4"/>
      <c r="T1884" s="4"/>
      <c r="U1884" s="4"/>
      <c r="V1884" s="4"/>
      <c r="W1884" s="4"/>
      <c r="X1884" s="4"/>
      <c r="Y1884" s="4"/>
      <c r="Z1884" s="4"/>
      <c r="AA1884" s="4"/>
      <c r="AB1884" s="4"/>
      <c r="AC1884" s="4"/>
      <c r="AD1884" s="4"/>
      <c r="AE1884" s="4"/>
      <c r="AF1884" s="4"/>
      <c r="AG1884" s="4"/>
      <c r="AH1884" s="4"/>
      <c r="AI1884" s="4"/>
      <c r="AJ1884" s="4"/>
      <c r="AK1884" s="4"/>
      <c r="AL1884" s="4"/>
      <c r="AM1884" s="4" t="s">
        <v>2026</v>
      </c>
    </row>
    <row r="1885" customFormat="false" ht="35.05" hidden="false" customHeight="false" outlineLevel="0" collapsed="false">
      <c r="A1885" s="4" t="s">
        <v>1987</v>
      </c>
      <c r="B1885" s="4" t="s">
        <v>2268</v>
      </c>
      <c r="C1885" s="4" t="s">
        <v>2269</v>
      </c>
      <c r="D1885" s="12" t="n">
        <v>2023</v>
      </c>
      <c r="E1885" s="4"/>
      <c r="F1885" s="4" t="s">
        <v>1990</v>
      </c>
      <c r="G1885" s="4" t="s">
        <v>1991</v>
      </c>
      <c r="H1885" s="4" t="s">
        <v>1992</v>
      </c>
      <c r="I1885" s="4"/>
      <c r="J1885" s="4" t="s">
        <v>1509</v>
      </c>
      <c r="K1885" s="4" t="s">
        <v>84</v>
      </c>
      <c r="L1885" s="4" t="s">
        <v>85</v>
      </c>
      <c r="M1885" s="4" t="s">
        <v>2018</v>
      </c>
      <c r="N1885" s="4" t="s">
        <v>1994</v>
      </c>
      <c r="O1885" s="4" t="s">
        <v>65</v>
      </c>
      <c r="P1885" s="4" t="s">
        <v>64</v>
      </c>
      <c r="Q1885" s="4" t="s">
        <v>2044</v>
      </c>
      <c r="R1885" s="4" t="s">
        <v>1997</v>
      </c>
      <c r="S1885" s="4"/>
      <c r="T1885" s="4"/>
      <c r="U1885" s="4"/>
      <c r="V1885" s="4"/>
      <c r="W1885" s="4"/>
      <c r="X1885" s="4"/>
      <c r="Y1885" s="4"/>
      <c r="Z1885" s="4"/>
      <c r="AA1885" s="4"/>
      <c r="AB1885" s="4"/>
      <c r="AC1885" s="4"/>
      <c r="AD1885" s="4"/>
      <c r="AE1885" s="4"/>
      <c r="AF1885" s="4"/>
      <c r="AG1885" s="4"/>
      <c r="AH1885" s="4"/>
      <c r="AI1885" s="4"/>
      <c r="AJ1885" s="4"/>
      <c r="AK1885" s="4"/>
      <c r="AL1885" s="4"/>
      <c r="AM1885" s="4" t="s">
        <v>2045</v>
      </c>
    </row>
    <row r="1886" customFormat="false" ht="23.85" hidden="false" customHeight="false" outlineLevel="0" collapsed="false">
      <c r="A1886" s="4" t="s">
        <v>1987</v>
      </c>
      <c r="B1886" s="4" t="s">
        <v>2270</v>
      </c>
      <c r="C1886" s="4" t="s">
        <v>2271</v>
      </c>
      <c r="D1886" s="12" t="n">
        <v>2023</v>
      </c>
      <c r="E1886" s="4"/>
      <c r="F1886" s="4" t="s">
        <v>1990</v>
      </c>
      <c r="G1886" s="4" t="s">
        <v>1991</v>
      </c>
      <c r="H1886" s="4" t="s">
        <v>1992</v>
      </c>
      <c r="I1886" s="4"/>
      <c r="J1886" s="4" t="s">
        <v>1514</v>
      </c>
      <c r="K1886" s="4" t="s">
        <v>84</v>
      </c>
      <c r="L1886" s="4" t="s">
        <v>85</v>
      </c>
      <c r="M1886" s="4" t="s">
        <v>2018</v>
      </c>
      <c r="N1886" s="4" t="s">
        <v>2001</v>
      </c>
      <c r="O1886" s="4" t="s">
        <v>66</v>
      </c>
      <c r="P1886" s="4" t="s">
        <v>67</v>
      </c>
      <c r="Q1886" s="4" t="s">
        <v>2003</v>
      </c>
      <c r="R1886" s="4" t="s">
        <v>2004</v>
      </c>
      <c r="S1886" s="4"/>
      <c r="T1886" s="4"/>
      <c r="U1886" s="4"/>
      <c r="V1886" s="4"/>
      <c r="W1886" s="4"/>
      <c r="X1886" s="4"/>
      <c r="Y1886" s="4"/>
      <c r="Z1886" s="4"/>
      <c r="AA1886" s="4"/>
      <c r="AB1886" s="4"/>
      <c r="AC1886" s="4"/>
      <c r="AD1886" s="4"/>
      <c r="AE1886" s="4"/>
      <c r="AF1886" s="4"/>
      <c r="AG1886" s="4"/>
      <c r="AH1886" s="4"/>
      <c r="AI1886" s="4"/>
      <c r="AJ1886" s="4"/>
      <c r="AK1886" s="4"/>
      <c r="AL1886" s="4"/>
      <c r="AM1886" s="4" t="s">
        <v>2048</v>
      </c>
    </row>
    <row r="1887" customFormat="false" ht="23.85" hidden="false" customHeight="false" outlineLevel="0" collapsed="false">
      <c r="A1887" s="4" t="s">
        <v>1987</v>
      </c>
      <c r="B1887" s="4" t="s">
        <v>2272</v>
      </c>
      <c r="C1887" s="4" t="s">
        <v>2273</v>
      </c>
      <c r="D1887" s="12" t="n">
        <v>2023</v>
      </c>
      <c r="E1887" s="4"/>
      <c r="F1887" s="4" t="s">
        <v>1990</v>
      </c>
      <c r="G1887" s="4" t="s">
        <v>1991</v>
      </c>
      <c r="H1887" s="4" t="s">
        <v>1992</v>
      </c>
      <c r="I1887" s="4"/>
      <c r="J1887" s="4" t="s">
        <v>1515</v>
      </c>
      <c r="K1887" s="4" t="s">
        <v>84</v>
      </c>
      <c r="L1887" s="4" t="s">
        <v>85</v>
      </c>
      <c r="M1887" s="4" t="s">
        <v>2018</v>
      </c>
      <c r="N1887" s="4" t="s">
        <v>2001</v>
      </c>
      <c r="O1887" s="4" t="s">
        <v>66</v>
      </c>
      <c r="P1887" s="4" t="s">
        <v>67</v>
      </c>
      <c r="Q1887" s="4" t="s">
        <v>2008</v>
      </c>
      <c r="R1887" s="4" t="s">
        <v>2004</v>
      </c>
      <c r="S1887" s="4"/>
      <c r="T1887" s="4"/>
      <c r="U1887" s="4"/>
      <c r="V1887" s="4"/>
      <c r="W1887" s="4"/>
      <c r="X1887" s="4"/>
      <c r="Y1887" s="4"/>
      <c r="Z1887" s="4"/>
      <c r="AA1887" s="4"/>
      <c r="AB1887" s="4"/>
      <c r="AC1887" s="4"/>
      <c r="AD1887" s="4"/>
      <c r="AE1887" s="4"/>
      <c r="AF1887" s="4"/>
      <c r="AG1887" s="4"/>
      <c r="AH1887" s="4"/>
      <c r="AI1887" s="4"/>
      <c r="AJ1887" s="4"/>
      <c r="AK1887" s="4"/>
      <c r="AL1887" s="4"/>
      <c r="AM1887" s="4" t="s">
        <v>2067</v>
      </c>
    </row>
    <row r="1888" customFormat="false" ht="23.85" hidden="false" customHeight="false" outlineLevel="0" collapsed="false">
      <c r="A1888" s="4" t="s">
        <v>1987</v>
      </c>
      <c r="B1888" s="4" t="s">
        <v>2274</v>
      </c>
      <c r="C1888" s="4" t="s">
        <v>2275</v>
      </c>
      <c r="D1888" s="12" t="n">
        <v>2023</v>
      </c>
      <c r="E1888" s="4"/>
      <c r="F1888" s="4" t="s">
        <v>1990</v>
      </c>
      <c r="G1888" s="4" t="s">
        <v>1991</v>
      </c>
      <c r="H1888" s="4" t="s">
        <v>1992</v>
      </c>
      <c r="I1888" s="4"/>
      <c r="J1888" s="4" t="s">
        <v>1523</v>
      </c>
      <c r="K1888" s="4" t="s">
        <v>109</v>
      </c>
      <c r="L1888" s="4" t="s">
        <v>110</v>
      </c>
      <c r="M1888" s="4" t="s">
        <v>1993</v>
      </c>
      <c r="N1888" s="4" t="s">
        <v>1994</v>
      </c>
      <c r="O1888" s="4" t="s">
        <v>1995</v>
      </c>
      <c r="P1888" s="4" t="s">
        <v>65</v>
      </c>
      <c r="Q1888" s="4" t="s">
        <v>2070</v>
      </c>
      <c r="R1888" s="4" t="s">
        <v>1997</v>
      </c>
      <c r="S1888" s="4"/>
      <c r="T1888" s="4"/>
      <c r="U1888" s="4"/>
      <c r="V1888" s="4"/>
      <c r="W1888" s="4"/>
      <c r="X1888" s="4"/>
      <c r="Y1888" s="4"/>
      <c r="Z1888" s="4"/>
      <c r="AA1888" s="4"/>
      <c r="AB1888" s="4"/>
      <c r="AC1888" s="4"/>
      <c r="AD1888" s="4"/>
      <c r="AE1888" s="4"/>
      <c r="AF1888" s="4"/>
      <c r="AG1888" s="4"/>
      <c r="AH1888" s="4"/>
      <c r="AI1888" s="4"/>
      <c r="AJ1888" s="4"/>
      <c r="AK1888" s="4"/>
      <c r="AL1888" s="4"/>
      <c r="AM1888" s="4" t="s">
        <v>2071</v>
      </c>
    </row>
    <row r="1889" customFormat="false" ht="15" hidden="false" customHeight="false" outlineLevel="0" collapsed="false">
      <c r="A1889" s="4" t="s">
        <v>1987</v>
      </c>
      <c r="B1889" s="4" t="s">
        <v>2276</v>
      </c>
      <c r="C1889" s="4" t="s">
        <v>2277</v>
      </c>
      <c r="D1889" s="12" t="n">
        <v>2023</v>
      </c>
      <c r="E1889" s="4"/>
      <c r="F1889" s="4" t="s">
        <v>1990</v>
      </c>
      <c r="G1889" s="4" t="s">
        <v>1991</v>
      </c>
      <c r="H1889" s="4" t="s">
        <v>1992</v>
      </c>
      <c r="I1889" s="4"/>
      <c r="J1889" s="4" t="s">
        <v>1532</v>
      </c>
      <c r="K1889" s="4" t="s">
        <v>109</v>
      </c>
      <c r="L1889" s="4" t="s">
        <v>110</v>
      </c>
      <c r="M1889" s="4" t="s">
        <v>1993</v>
      </c>
      <c r="N1889" s="4" t="s">
        <v>2001</v>
      </c>
      <c r="O1889" s="4" t="s">
        <v>2074</v>
      </c>
      <c r="P1889" s="4" t="s">
        <v>73</v>
      </c>
      <c r="Q1889" s="4" t="s">
        <v>2075</v>
      </c>
      <c r="R1889" s="4" t="s">
        <v>1997</v>
      </c>
      <c r="S1889" s="4"/>
      <c r="T1889" s="4"/>
      <c r="U1889" s="4"/>
      <c r="V1889" s="4"/>
      <c r="W1889" s="4"/>
      <c r="X1889" s="4"/>
      <c r="Y1889" s="4"/>
      <c r="Z1889" s="4"/>
      <c r="AA1889" s="4"/>
      <c r="AB1889" s="4"/>
      <c r="AC1889" s="4"/>
      <c r="AD1889" s="4"/>
      <c r="AE1889" s="4"/>
      <c r="AF1889" s="4"/>
      <c r="AG1889" s="4"/>
      <c r="AH1889" s="4"/>
      <c r="AI1889" s="4"/>
      <c r="AJ1889" s="4"/>
      <c r="AK1889" s="4"/>
      <c r="AL1889" s="4"/>
      <c r="AM1889" s="4" t="s">
        <v>2076</v>
      </c>
    </row>
    <row r="1890" customFormat="false" ht="15" hidden="false" customHeight="false" outlineLevel="0" collapsed="false">
      <c r="A1890" s="4" t="s">
        <v>1987</v>
      </c>
      <c r="B1890" s="4" t="s">
        <v>2278</v>
      </c>
      <c r="C1890" s="4" t="s">
        <v>2279</v>
      </c>
      <c r="D1890" s="12" t="n">
        <v>2023</v>
      </c>
      <c r="E1890" s="4"/>
      <c r="F1890" s="4" t="s">
        <v>1990</v>
      </c>
      <c r="G1890" s="4" t="s">
        <v>1991</v>
      </c>
      <c r="H1890" s="4" t="s">
        <v>1992</v>
      </c>
      <c r="I1890" s="4"/>
      <c r="J1890" s="4" t="s">
        <v>1533</v>
      </c>
      <c r="K1890" s="4" t="s">
        <v>109</v>
      </c>
      <c r="L1890" s="4" t="s">
        <v>110</v>
      </c>
      <c r="M1890" s="4" t="s">
        <v>1993</v>
      </c>
      <c r="N1890" s="4" t="s">
        <v>2001</v>
      </c>
      <c r="O1890" s="4" t="s">
        <v>2002</v>
      </c>
      <c r="P1890" s="4" t="s">
        <v>72</v>
      </c>
      <c r="Q1890" s="4" t="s">
        <v>2079</v>
      </c>
      <c r="R1890" s="4" t="s">
        <v>1997</v>
      </c>
      <c r="S1890" s="4"/>
      <c r="T1890" s="4"/>
      <c r="U1890" s="4"/>
      <c r="V1890" s="4"/>
      <c r="W1890" s="4"/>
      <c r="X1890" s="4"/>
      <c r="Y1890" s="4"/>
      <c r="Z1890" s="4"/>
      <c r="AA1890" s="4"/>
      <c r="AB1890" s="4"/>
      <c r="AC1890" s="4"/>
      <c r="AD1890" s="4"/>
      <c r="AE1890" s="4"/>
      <c r="AF1890" s="4"/>
      <c r="AG1890" s="4"/>
      <c r="AH1890" s="4"/>
      <c r="AI1890" s="4"/>
      <c r="AJ1890" s="4"/>
      <c r="AK1890" s="4"/>
      <c r="AL1890" s="4"/>
      <c r="AM1890" s="4" t="s">
        <v>2080</v>
      </c>
    </row>
    <row r="1891" customFormat="false" ht="23.85" hidden="false" customHeight="false" outlineLevel="0" collapsed="false">
      <c r="A1891" s="4" t="s">
        <v>1987</v>
      </c>
      <c r="B1891" s="4" t="s">
        <v>2280</v>
      </c>
      <c r="C1891" s="4" t="s">
        <v>2281</v>
      </c>
      <c r="D1891" s="12" t="n">
        <v>2023</v>
      </c>
      <c r="E1891" s="4"/>
      <c r="F1891" s="4" t="s">
        <v>1990</v>
      </c>
      <c r="G1891" s="4" t="s">
        <v>1991</v>
      </c>
      <c r="H1891" s="4" t="s">
        <v>1992</v>
      </c>
      <c r="I1891" s="4"/>
      <c r="J1891" s="4" t="s">
        <v>1537</v>
      </c>
      <c r="K1891" s="4" t="s">
        <v>86</v>
      </c>
      <c r="L1891" s="4" t="s">
        <v>87</v>
      </c>
      <c r="M1891" s="4" t="s">
        <v>2018</v>
      </c>
      <c r="N1891" s="4" t="s">
        <v>1994</v>
      </c>
      <c r="O1891" s="4" t="s">
        <v>65</v>
      </c>
      <c r="P1891" s="4" t="s">
        <v>64</v>
      </c>
      <c r="Q1891" s="4" t="s">
        <v>2019</v>
      </c>
      <c r="R1891" s="4" t="s">
        <v>1997</v>
      </c>
      <c r="S1891" s="4"/>
      <c r="T1891" s="4"/>
      <c r="U1891" s="4"/>
      <c r="V1891" s="4"/>
      <c r="W1891" s="4"/>
      <c r="X1891" s="4"/>
      <c r="Y1891" s="4"/>
      <c r="Z1891" s="4"/>
      <c r="AA1891" s="4"/>
      <c r="AB1891" s="4"/>
      <c r="AC1891" s="4"/>
      <c r="AD1891" s="4"/>
      <c r="AE1891" s="4"/>
      <c r="AF1891" s="4"/>
      <c r="AG1891" s="4"/>
      <c r="AH1891" s="4"/>
      <c r="AI1891" s="4"/>
      <c r="AJ1891" s="4"/>
      <c r="AK1891" s="4"/>
      <c r="AL1891" s="4"/>
      <c r="AM1891" s="4" t="s">
        <v>2020</v>
      </c>
    </row>
    <row r="1892" customFormat="false" ht="15" hidden="false" customHeight="false" outlineLevel="0" collapsed="false">
      <c r="A1892" s="4" t="s">
        <v>1987</v>
      </c>
      <c r="B1892" s="4" t="s">
        <v>2282</v>
      </c>
      <c r="C1892" s="4" t="s">
        <v>2283</v>
      </c>
      <c r="D1892" s="12" t="n">
        <v>2023</v>
      </c>
      <c r="E1892" s="4"/>
      <c r="F1892" s="4" t="s">
        <v>1990</v>
      </c>
      <c r="G1892" s="4" t="s">
        <v>1991</v>
      </c>
      <c r="H1892" s="4" t="s">
        <v>1992</v>
      </c>
      <c r="I1892" s="4"/>
      <c r="J1892" s="4" t="s">
        <v>1537</v>
      </c>
      <c r="K1892" s="4" t="s">
        <v>86</v>
      </c>
      <c r="L1892" s="4" t="s">
        <v>87</v>
      </c>
      <c r="M1892" s="4" t="s">
        <v>2018</v>
      </c>
      <c r="N1892" s="4" t="s">
        <v>2001</v>
      </c>
      <c r="O1892" s="4" t="s">
        <v>66</v>
      </c>
      <c r="P1892" s="4" t="s">
        <v>66</v>
      </c>
      <c r="Q1892" s="4" t="s">
        <v>2019</v>
      </c>
      <c r="R1892" s="4" t="s">
        <v>1997</v>
      </c>
      <c r="S1892" s="4"/>
      <c r="T1892" s="4"/>
      <c r="U1892" s="4"/>
      <c r="V1892" s="4"/>
      <c r="W1892" s="4"/>
      <c r="X1892" s="4"/>
      <c r="Y1892" s="4"/>
      <c r="Z1892" s="4"/>
      <c r="AA1892" s="4"/>
      <c r="AB1892" s="4"/>
      <c r="AC1892" s="4"/>
      <c r="AD1892" s="4"/>
      <c r="AE1892" s="4"/>
      <c r="AF1892" s="4"/>
      <c r="AG1892" s="4"/>
      <c r="AH1892" s="4"/>
      <c r="AI1892" s="4"/>
      <c r="AJ1892" s="4"/>
      <c r="AK1892" s="4"/>
      <c r="AL1892" s="4"/>
      <c r="AM1892" s="4" t="s">
        <v>2023</v>
      </c>
    </row>
    <row r="1893" customFormat="false" ht="15" hidden="false" customHeight="false" outlineLevel="0" collapsed="false">
      <c r="A1893" s="4" t="s">
        <v>1987</v>
      </c>
      <c r="B1893" s="4" t="s">
        <v>2284</v>
      </c>
      <c r="C1893" s="4" t="s">
        <v>2285</v>
      </c>
      <c r="D1893" s="12" t="n">
        <v>2023</v>
      </c>
      <c r="E1893" s="4"/>
      <c r="F1893" s="4" t="s">
        <v>1990</v>
      </c>
      <c r="G1893" s="4" t="s">
        <v>1991</v>
      </c>
      <c r="H1893" s="4" t="s">
        <v>1992</v>
      </c>
      <c r="I1893" s="4"/>
      <c r="J1893" s="4" t="s">
        <v>1537</v>
      </c>
      <c r="K1893" s="4" t="s">
        <v>86</v>
      </c>
      <c r="L1893" s="4" t="s">
        <v>87</v>
      </c>
      <c r="M1893" s="4" t="s">
        <v>1993</v>
      </c>
      <c r="N1893" s="4" t="s">
        <v>1994</v>
      </c>
      <c r="O1893" s="4" t="s">
        <v>1995</v>
      </c>
      <c r="P1893" s="4" t="s">
        <v>66</v>
      </c>
      <c r="Q1893" s="4" t="s">
        <v>2019</v>
      </c>
      <c r="R1893" s="4" t="s">
        <v>1997</v>
      </c>
      <c r="S1893" s="4"/>
      <c r="T1893" s="4"/>
      <c r="U1893" s="4"/>
      <c r="V1893" s="4"/>
      <c r="W1893" s="4"/>
      <c r="X1893" s="4"/>
      <c r="Y1893" s="4"/>
      <c r="Z1893" s="4"/>
      <c r="AA1893" s="4"/>
      <c r="AB1893" s="4"/>
      <c r="AC1893" s="4"/>
      <c r="AD1893" s="4"/>
      <c r="AE1893" s="4"/>
      <c r="AF1893" s="4"/>
      <c r="AG1893" s="4"/>
      <c r="AH1893" s="4"/>
      <c r="AI1893" s="4"/>
      <c r="AJ1893" s="4"/>
      <c r="AK1893" s="4"/>
      <c r="AL1893" s="4"/>
      <c r="AM1893" s="4" t="s">
        <v>2026</v>
      </c>
    </row>
    <row r="1894" customFormat="false" ht="23.85" hidden="false" customHeight="false" outlineLevel="0" collapsed="false">
      <c r="A1894" s="4" t="s">
        <v>1987</v>
      </c>
      <c r="B1894" s="4" t="s">
        <v>2286</v>
      </c>
      <c r="C1894" s="4" t="s">
        <v>2287</v>
      </c>
      <c r="D1894" s="12" t="n">
        <v>2023</v>
      </c>
      <c r="E1894" s="4"/>
      <c r="F1894" s="4" t="s">
        <v>1990</v>
      </c>
      <c r="G1894" s="4" t="s">
        <v>1991</v>
      </c>
      <c r="H1894" s="4" t="s">
        <v>1992</v>
      </c>
      <c r="I1894" s="4"/>
      <c r="J1894" s="4" t="s">
        <v>1538</v>
      </c>
      <c r="K1894" s="4" t="s">
        <v>86</v>
      </c>
      <c r="L1894" s="4" t="s">
        <v>87</v>
      </c>
      <c r="M1894" s="4" t="s">
        <v>1993</v>
      </c>
      <c r="N1894" s="4" t="s">
        <v>1994</v>
      </c>
      <c r="O1894" s="4" t="s">
        <v>2029</v>
      </c>
      <c r="P1894" s="4" t="s">
        <v>69</v>
      </c>
      <c r="Q1894" s="4" t="s">
        <v>2030</v>
      </c>
      <c r="R1894" s="4" t="s">
        <v>1997</v>
      </c>
      <c r="S1894" s="4"/>
      <c r="T1894" s="4"/>
      <c r="U1894" s="4"/>
      <c r="V1894" s="4"/>
      <c r="W1894" s="4"/>
      <c r="X1894" s="4"/>
      <c r="Y1894" s="4"/>
      <c r="Z1894" s="4"/>
      <c r="AA1894" s="4"/>
      <c r="AB1894" s="4"/>
      <c r="AC1894" s="4"/>
      <c r="AD1894" s="4"/>
      <c r="AE1894" s="4"/>
      <c r="AF1894" s="4"/>
      <c r="AG1894" s="4"/>
      <c r="AH1894" s="4"/>
      <c r="AI1894" s="4"/>
      <c r="AJ1894" s="4"/>
      <c r="AK1894" s="4"/>
      <c r="AL1894" s="4"/>
      <c r="AM1894" s="4" t="s">
        <v>2031</v>
      </c>
    </row>
    <row r="1895" customFormat="false" ht="23.85" hidden="false" customHeight="false" outlineLevel="0" collapsed="false">
      <c r="A1895" s="4" t="s">
        <v>1987</v>
      </c>
      <c r="B1895" s="4" t="s">
        <v>2288</v>
      </c>
      <c r="C1895" s="4" t="s">
        <v>2289</v>
      </c>
      <c r="D1895" s="12" t="n">
        <v>2023</v>
      </c>
      <c r="E1895" s="4"/>
      <c r="F1895" s="4" t="s">
        <v>1990</v>
      </c>
      <c r="G1895" s="4" t="s">
        <v>1991</v>
      </c>
      <c r="H1895" s="4" t="s">
        <v>1992</v>
      </c>
      <c r="I1895" s="4"/>
      <c r="J1895" s="4" t="s">
        <v>1539</v>
      </c>
      <c r="K1895" s="4" t="s">
        <v>86</v>
      </c>
      <c r="L1895" s="4" t="s">
        <v>87</v>
      </c>
      <c r="M1895" s="4" t="s">
        <v>1993</v>
      </c>
      <c r="N1895" s="4" t="s">
        <v>2001</v>
      </c>
      <c r="O1895" s="4" t="s">
        <v>2091</v>
      </c>
      <c r="P1895" s="4" t="s">
        <v>69</v>
      </c>
      <c r="Q1895" s="4" t="s">
        <v>2030</v>
      </c>
      <c r="R1895" s="4" t="s">
        <v>1997</v>
      </c>
      <c r="S1895" s="4"/>
      <c r="T1895" s="4"/>
      <c r="U1895" s="4"/>
      <c r="V1895" s="4"/>
      <c r="W1895" s="4"/>
      <c r="X1895" s="4"/>
      <c r="Y1895" s="4"/>
      <c r="Z1895" s="4"/>
      <c r="AA1895" s="4"/>
      <c r="AB1895" s="4"/>
      <c r="AC1895" s="4"/>
      <c r="AD1895" s="4"/>
      <c r="AE1895" s="4"/>
      <c r="AF1895" s="4"/>
      <c r="AG1895" s="4"/>
      <c r="AH1895" s="4"/>
      <c r="AI1895" s="4"/>
      <c r="AJ1895" s="4"/>
      <c r="AK1895" s="4"/>
      <c r="AL1895" s="4"/>
      <c r="AM1895" s="4" t="s">
        <v>2092</v>
      </c>
    </row>
    <row r="1896" customFormat="false" ht="23.85" hidden="false" customHeight="false" outlineLevel="0" collapsed="false">
      <c r="A1896" s="4" t="s">
        <v>1987</v>
      </c>
      <c r="B1896" s="4" t="s">
        <v>2290</v>
      </c>
      <c r="C1896" s="4" t="s">
        <v>2291</v>
      </c>
      <c r="D1896" s="12" t="n">
        <v>2023</v>
      </c>
      <c r="E1896" s="4"/>
      <c r="F1896" s="4" t="s">
        <v>1990</v>
      </c>
      <c r="G1896" s="4" t="s">
        <v>1991</v>
      </c>
      <c r="H1896" s="4" t="s">
        <v>1992</v>
      </c>
      <c r="I1896" s="4"/>
      <c r="J1896" s="4" t="s">
        <v>1540</v>
      </c>
      <c r="K1896" s="4" t="s">
        <v>86</v>
      </c>
      <c r="L1896" s="4" t="s">
        <v>87</v>
      </c>
      <c r="M1896" s="4" t="s">
        <v>1993</v>
      </c>
      <c r="N1896" s="4" t="s">
        <v>2001</v>
      </c>
      <c r="O1896" s="4" t="s">
        <v>2034</v>
      </c>
      <c r="P1896" s="4" t="s">
        <v>74</v>
      </c>
      <c r="Q1896" s="4" t="s">
        <v>2035</v>
      </c>
      <c r="R1896" s="4" t="s">
        <v>2036</v>
      </c>
      <c r="S1896" s="4"/>
      <c r="T1896" s="4"/>
      <c r="U1896" s="4"/>
      <c r="V1896" s="4"/>
      <c r="W1896" s="4"/>
      <c r="X1896" s="4"/>
      <c r="Y1896" s="4"/>
      <c r="Z1896" s="4"/>
      <c r="AA1896" s="4"/>
      <c r="AB1896" s="4"/>
      <c r="AC1896" s="4"/>
      <c r="AD1896" s="4"/>
      <c r="AE1896" s="4"/>
      <c r="AF1896" s="4"/>
      <c r="AG1896" s="4"/>
      <c r="AH1896" s="4"/>
      <c r="AI1896" s="4"/>
      <c r="AJ1896" s="4"/>
      <c r="AK1896" s="4"/>
      <c r="AL1896" s="4"/>
      <c r="AM1896" s="4" t="s">
        <v>2037</v>
      </c>
    </row>
    <row r="1897" customFormat="false" ht="23.85" hidden="false" customHeight="false" outlineLevel="0" collapsed="false">
      <c r="A1897" s="4" t="s">
        <v>1987</v>
      </c>
      <c r="B1897" s="4" t="s">
        <v>2292</v>
      </c>
      <c r="C1897" s="4" t="s">
        <v>2293</v>
      </c>
      <c r="D1897" s="12" t="n">
        <v>2023</v>
      </c>
      <c r="E1897" s="4"/>
      <c r="F1897" s="4" t="s">
        <v>1990</v>
      </c>
      <c r="G1897" s="4" t="s">
        <v>1991</v>
      </c>
      <c r="H1897" s="4" t="s">
        <v>1992</v>
      </c>
      <c r="I1897" s="4"/>
      <c r="J1897" s="4" t="s">
        <v>1541</v>
      </c>
      <c r="K1897" s="4" t="s">
        <v>86</v>
      </c>
      <c r="L1897" s="4" t="s">
        <v>87</v>
      </c>
      <c r="M1897" s="4" t="s">
        <v>1993</v>
      </c>
      <c r="N1897" s="4" t="s">
        <v>2001</v>
      </c>
      <c r="O1897" s="4" t="s">
        <v>2002</v>
      </c>
      <c r="P1897" s="4" t="s">
        <v>67</v>
      </c>
      <c r="Q1897" s="4" t="s">
        <v>2097</v>
      </c>
      <c r="R1897" s="4" t="s">
        <v>2004</v>
      </c>
      <c r="S1897" s="4"/>
      <c r="T1897" s="4"/>
      <c r="U1897" s="4"/>
      <c r="V1897" s="4"/>
      <c r="W1897" s="4"/>
      <c r="X1897" s="4"/>
      <c r="Y1897" s="4"/>
      <c r="Z1897" s="4"/>
      <c r="AA1897" s="4"/>
      <c r="AB1897" s="4"/>
      <c r="AC1897" s="4"/>
      <c r="AD1897" s="4"/>
      <c r="AE1897" s="4"/>
      <c r="AF1897" s="4"/>
      <c r="AG1897" s="4"/>
      <c r="AH1897" s="4"/>
      <c r="AI1897" s="4"/>
      <c r="AJ1897" s="4"/>
      <c r="AK1897" s="4"/>
      <c r="AL1897" s="4"/>
      <c r="AM1897" s="4" t="s">
        <v>2098</v>
      </c>
    </row>
    <row r="1898" customFormat="false" ht="35.05" hidden="false" customHeight="false" outlineLevel="0" collapsed="false">
      <c r="A1898" s="4" t="s">
        <v>1987</v>
      </c>
      <c r="B1898" s="4" t="s">
        <v>2294</v>
      </c>
      <c r="C1898" s="4" t="s">
        <v>2295</v>
      </c>
      <c r="D1898" s="12" t="n">
        <v>2023</v>
      </c>
      <c r="E1898" s="4"/>
      <c r="F1898" s="4" t="s">
        <v>1990</v>
      </c>
      <c r="G1898" s="4" t="s">
        <v>1991</v>
      </c>
      <c r="H1898" s="4" t="s">
        <v>1992</v>
      </c>
      <c r="I1898" s="4"/>
      <c r="J1898" s="4" t="s">
        <v>1551</v>
      </c>
      <c r="K1898" s="4" t="s">
        <v>88</v>
      </c>
      <c r="L1898" s="4" t="s">
        <v>89</v>
      </c>
      <c r="M1898" s="4" t="s">
        <v>2018</v>
      </c>
      <c r="N1898" s="4" t="s">
        <v>1994</v>
      </c>
      <c r="O1898" s="4" t="s">
        <v>65</v>
      </c>
      <c r="P1898" s="4" t="s">
        <v>64</v>
      </c>
      <c r="Q1898" s="4" t="s">
        <v>2044</v>
      </c>
      <c r="R1898" s="4" t="s">
        <v>1997</v>
      </c>
      <c r="S1898" s="4"/>
      <c r="T1898" s="4"/>
      <c r="U1898" s="4"/>
      <c r="V1898" s="4"/>
      <c r="W1898" s="4"/>
      <c r="X1898" s="4"/>
      <c r="Y1898" s="4"/>
      <c r="Z1898" s="4"/>
      <c r="AA1898" s="4"/>
      <c r="AB1898" s="4"/>
      <c r="AC1898" s="4"/>
      <c r="AD1898" s="4"/>
      <c r="AE1898" s="4"/>
      <c r="AF1898" s="4"/>
      <c r="AG1898" s="4"/>
      <c r="AH1898" s="4"/>
      <c r="AI1898" s="4"/>
      <c r="AJ1898" s="4"/>
      <c r="AK1898" s="4"/>
      <c r="AL1898" s="4"/>
      <c r="AM1898" s="4" t="s">
        <v>2045</v>
      </c>
    </row>
    <row r="1899" customFormat="false" ht="23.85" hidden="false" customHeight="false" outlineLevel="0" collapsed="false">
      <c r="A1899" s="4" t="s">
        <v>1987</v>
      </c>
      <c r="B1899" s="4" t="s">
        <v>2296</v>
      </c>
      <c r="C1899" s="4" t="s">
        <v>2297</v>
      </c>
      <c r="D1899" s="12" t="n">
        <v>2023</v>
      </c>
      <c r="E1899" s="4"/>
      <c r="F1899" s="4" t="s">
        <v>1990</v>
      </c>
      <c r="G1899" s="4" t="s">
        <v>1991</v>
      </c>
      <c r="H1899" s="4" t="s">
        <v>1992</v>
      </c>
      <c r="I1899" s="4"/>
      <c r="J1899" s="4" t="s">
        <v>1556</v>
      </c>
      <c r="K1899" s="4" t="s">
        <v>88</v>
      </c>
      <c r="L1899" s="4" t="s">
        <v>89</v>
      </c>
      <c r="M1899" s="4" t="s">
        <v>2018</v>
      </c>
      <c r="N1899" s="4" t="s">
        <v>2001</v>
      </c>
      <c r="O1899" s="4" t="s">
        <v>66</v>
      </c>
      <c r="P1899" s="4" t="s">
        <v>67</v>
      </c>
      <c r="Q1899" s="4" t="s">
        <v>2003</v>
      </c>
      <c r="R1899" s="4" t="s">
        <v>2004</v>
      </c>
      <c r="S1899" s="4"/>
      <c r="T1899" s="4"/>
      <c r="U1899" s="4"/>
      <c r="V1899" s="4"/>
      <c r="W1899" s="4"/>
      <c r="X1899" s="4"/>
      <c r="Y1899" s="4"/>
      <c r="Z1899" s="4"/>
      <c r="AA1899" s="4"/>
      <c r="AB1899" s="4"/>
      <c r="AC1899" s="4"/>
      <c r="AD1899" s="4"/>
      <c r="AE1899" s="4"/>
      <c r="AF1899" s="4"/>
      <c r="AG1899" s="4"/>
      <c r="AH1899" s="4"/>
      <c r="AI1899" s="4"/>
      <c r="AJ1899" s="4"/>
      <c r="AK1899" s="4"/>
      <c r="AL1899" s="4"/>
      <c r="AM1899" s="4" t="s">
        <v>2048</v>
      </c>
    </row>
    <row r="1900" customFormat="false" ht="23.85" hidden="false" customHeight="false" outlineLevel="0" collapsed="false">
      <c r="A1900" s="4" t="s">
        <v>1987</v>
      </c>
      <c r="B1900" s="4" t="s">
        <v>2298</v>
      </c>
      <c r="C1900" s="4" t="s">
        <v>2299</v>
      </c>
      <c r="D1900" s="12" t="n">
        <v>2023</v>
      </c>
      <c r="E1900" s="4"/>
      <c r="F1900" s="4" t="s">
        <v>1990</v>
      </c>
      <c r="G1900" s="4" t="s">
        <v>1991</v>
      </c>
      <c r="H1900" s="4" t="s">
        <v>1992</v>
      </c>
      <c r="I1900" s="4"/>
      <c r="J1900" s="4" t="s">
        <v>1566</v>
      </c>
      <c r="K1900" s="4" t="s">
        <v>95</v>
      </c>
      <c r="L1900" s="4" t="s">
        <v>96</v>
      </c>
      <c r="M1900" s="4" t="s">
        <v>1993</v>
      </c>
      <c r="N1900" s="4" t="s">
        <v>1994</v>
      </c>
      <c r="O1900" s="4" t="s">
        <v>2029</v>
      </c>
      <c r="P1900" s="4" t="s">
        <v>69</v>
      </c>
      <c r="Q1900" s="4" t="s">
        <v>2030</v>
      </c>
      <c r="R1900" s="4" t="s">
        <v>1997</v>
      </c>
      <c r="S1900" s="4"/>
      <c r="T1900" s="4"/>
      <c r="U1900" s="4"/>
      <c r="V1900" s="4"/>
      <c r="W1900" s="4"/>
      <c r="X1900" s="4"/>
      <c r="Y1900" s="4"/>
      <c r="Z1900" s="4"/>
      <c r="AA1900" s="4"/>
      <c r="AB1900" s="4"/>
      <c r="AC1900" s="4"/>
      <c r="AD1900" s="4"/>
      <c r="AE1900" s="4"/>
      <c r="AF1900" s="4"/>
      <c r="AG1900" s="4"/>
      <c r="AH1900" s="4"/>
      <c r="AI1900" s="4"/>
      <c r="AJ1900" s="4"/>
      <c r="AK1900" s="4"/>
      <c r="AL1900" s="4"/>
      <c r="AM1900" s="4" t="s">
        <v>2031</v>
      </c>
    </row>
    <row r="1901" customFormat="false" ht="23.85" hidden="false" customHeight="false" outlineLevel="0" collapsed="false">
      <c r="A1901" s="4" t="s">
        <v>1987</v>
      </c>
      <c r="B1901" s="4" t="s">
        <v>2300</v>
      </c>
      <c r="C1901" s="4" t="s">
        <v>2301</v>
      </c>
      <c r="D1901" s="12" t="n">
        <v>2023</v>
      </c>
      <c r="E1901" s="4"/>
      <c r="F1901" s="4" t="s">
        <v>1990</v>
      </c>
      <c r="G1901" s="4" t="s">
        <v>1991</v>
      </c>
      <c r="H1901" s="4" t="s">
        <v>1992</v>
      </c>
      <c r="I1901" s="4"/>
      <c r="J1901" s="4" t="s">
        <v>1568</v>
      </c>
      <c r="K1901" s="4" t="s">
        <v>95</v>
      </c>
      <c r="L1901" s="4" t="s">
        <v>96</v>
      </c>
      <c r="M1901" s="4" t="s">
        <v>1993</v>
      </c>
      <c r="N1901" s="4" t="s">
        <v>2001</v>
      </c>
      <c r="O1901" s="4" t="s">
        <v>2034</v>
      </c>
      <c r="P1901" s="4" t="s">
        <v>74</v>
      </c>
      <c r="Q1901" s="4" t="s">
        <v>2035</v>
      </c>
      <c r="R1901" s="4" t="s">
        <v>2036</v>
      </c>
      <c r="S1901" s="4"/>
      <c r="T1901" s="4"/>
      <c r="U1901" s="4"/>
      <c r="V1901" s="4"/>
      <c r="W1901" s="4"/>
      <c r="X1901" s="4"/>
      <c r="Y1901" s="4"/>
      <c r="Z1901" s="4"/>
      <c r="AA1901" s="4"/>
      <c r="AB1901" s="4"/>
      <c r="AC1901" s="4"/>
      <c r="AD1901" s="4"/>
      <c r="AE1901" s="4"/>
      <c r="AF1901" s="4"/>
      <c r="AG1901" s="4"/>
      <c r="AH1901" s="4"/>
      <c r="AI1901" s="4"/>
      <c r="AJ1901" s="4"/>
      <c r="AK1901" s="4"/>
      <c r="AL1901" s="4"/>
      <c r="AM1901" s="4" t="s">
        <v>2037</v>
      </c>
    </row>
    <row r="1902" customFormat="false" ht="23.85" hidden="false" customHeight="false" outlineLevel="0" collapsed="false">
      <c r="A1902" s="4" t="s">
        <v>1987</v>
      </c>
      <c r="B1902" s="4" t="s">
        <v>2302</v>
      </c>
      <c r="C1902" s="4" t="s">
        <v>2303</v>
      </c>
      <c r="D1902" s="12" t="n">
        <v>2023</v>
      </c>
      <c r="E1902" s="4"/>
      <c r="F1902" s="4" t="s">
        <v>1990</v>
      </c>
      <c r="G1902" s="4" t="s">
        <v>1991</v>
      </c>
      <c r="H1902" s="4" t="s">
        <v>1992</v>
      </c>
      <c r="I1902" s="4"/>
      <c r="J1902" s="4" t="s">
        <v>1576</v>
      </c>
      <c r="K1902" s="4" t="s">
        <v>95</v>
      </c>
      <c r="L1902" s="4" t="s">
        <v>96</v>
      </c>
      <c r="M1902" s="4" t="s">
        <v>1993</v>
      </c>
      <c r="N1902" s="4" t="s">
        <v>2001</v>
      </c>
      <c r="O1902" s="4" t="s">
        <v>2002</v>
      </c>
      <c r="P1902" s="4" t="s">
        <v>68</v>
      </c>
      <c r="Q1902" s="4" t="s">
        <v>2111</v>
      </c>
      <c r="R1902" s="4" t="s">
        <v>1997</v>
      </c>
      <c r="S1902" s="4"/>
      <c r="T1902" s="4"/>
      <c r="U1902" s="4"/>
      <c r="V1902" s="4"/>
      <c r="W1902" s="4"/>
      <c r="X1902" s="4"/>
      <c r="Y1902" s="4"/>
      <c r="Z1902" s="4"/>
      <c r="AA1902" s="4"/>
      <c r="AB1902" s="4"/>
      <c r="AC1902" s="4"/>
      <c r="AD1902" s="4"/>
      <c r="AE1902" s="4"/>
      <c r="AF1902" s="4"/>
      <c r="AG1902" s="4"/>
      <c r="AH1902" s="4"/>
      <c r="AI1902" s="4"/>
      <c r="AJ1902" s="4"/>
      <c r="AK1902" s="4"/>
      <c r="AL1902" s="4"/>
      <c r="AM1902" s="4" t="s">
        <v>2112</v>
      </c>
    </row>
    <row r="1903" customFormat="false" ht="23.85" hidden="false" customHeight="false" outlineLevel="0" collapsed="false">
      <c r="A1903" s="4" t="s">
        <v>1987</v>
      </c>
      <c r="B1903" s="4" t="s">
        <v>2304</v>
      </c>
      <c r="C1903" s="4" t="s">
        <v>2305</v>
      </c>
      <c r="D1903" s="12" t="n">
        <v>2023</v>
      </c>
      <c r="E1903" s="4"/>
      <c r="F1903" s="4" t="s">
        <v>1990</v>
      </c>
      <c r="G1903" s="4" t="s">
        <v>1991</v>
      </c>
      <c r="H1903" s="4" t="s">
        <v>1992</v>
      </c>
      <c r="I1903" s="4"/>
      <c r="J1903" s="4" t="s">
        <v>1580</v>
      </c>
      <c r="K1903" s="4" t="s">
        <v>97</v>
      </c>
      <c r="L1903" s="4" t="s">
        <v>98</v>
      </c>
      <c r="M1903" s="4" t="s">
        <v>1993</v>
      </c>
      <c r="N1903" s="4" t="s">
        <v>1994</v>
      </c>
      <c r="O1903" s="4" t="s">
        <v>2029</v>
      </c>
      <c r="P1903" s="4" t="s">
        <v>69</v>
      </c>
      <c r="Q1903" s="4" t="s">
        <v>2030</v>
      </c>
      <c r="R1903" s="4" t="s">
        <v>1997</v>
      </c>
      <c r="S1903" s="4"/>
      <c r="T1903" s="4"/>
      <c r="U1903" s="4"/>
      <c r="V1903" s="4"/>
      <c r="W1903" s="4"/>
      <c r="X1903" s="4"/>
      <c r="Y1903" s="4"/>
      <c r="Z1903" s="4"/>
      <c r="AA1903" s="4"/>
      <c r="AB1903" s="4"/>
      <c r="AC1903" s="4"/>
      <c r="AD1903" s="4"/>
      <c r="AE1903" s="4"/>
      <c r="AF1903" s="4"/>
      <c r="AG1903" s="4"/>
      <c r="AH1903" s="4"/>
      <c r="AI1903" s="4"/>
      <c r="AJ1903" s="4"/>
      <c r="AK1903" s="4"/>
      <c r="AL1903" s="4"/>
      <c r="AM1903" s="4" t="s">
        <v>2031</v>
      </c>
    </row>
    <row r="1904" customFormat="false" ht="23.85" hidden="false" customHeight="false" outlineLevel="0" collapsed="false">
      <c r="A1904" s="4" t="s">
        <v>1987</v>
      </c>
      <c r="B1904" s="4" t="s">
        <v>2306</v>
      </c>
      <c r="C1904" s="4" t="s">
        <v>2307</v>
      </c>
      <c r="D1904" s="12" t="n">
        <v>2023</v>
      </c>
      <c r="E1904" s="4"/>
      <c r="F1904" s="4" t="s">
        <v>1990</v>
      </c>
      <c r="G1904" s="4" t="s">
        <v>1991</v>
      </c>
      <c r="H1904" s="4" t="s">
        <v>1992</v>
      </c>
      <c r="I1904" s="4"/>
      <c r="J1904" s="4" t="s">
        <v>1581</v>
      </c>
      <c r="K1904" s="4" t="s">
        <v>97</v>
      </c>
      <c r="L1904" s="4" t="s">
        <v>98</v>
      </c>
      <c r="M1904" s="4" t="s">
        <v>1993</v>
      </c>
      <c r="N1904" s="4" t="s">
        <v>2001</v>
      </c>
      <c r="O1904" s="4" t="s">
        <v>2091</v>
      </c>
      <c r="P1904" s="4" t="s">
        <v>69</v>
      </c>
      <c r="Q1904" s="4" t="s">
        <v>2030</v>
      </c>
      <c r="R1904" s="4" t="s">
        <v>1997</v>
      </c>
      <c r="S1904" s="4"/>
      <c r="T1904" s="4"/>
      <c r="U1904" s="4"/>
      <c r="V1904" s="4"/>
      <c r="W1904" s="4"/>
      <c r="X1904" s="4"/>
      <c r="Y1904" s="4"/>
      <c r="Z1904" s="4"/>
      <c r="AA1904" s="4"/>
      <c r="AB1904" s="4"/>
      <c r="AC1904" s="4"/>
      <c r="AD1904" s="4"/>
      <c r="AE1904" s="4"/>
      <c r="AF1904" s="4"/>
      <c r="AG1904" s="4"/>
      <c r="AH1904" s="4"/>
      <c r="AI1904" s="4"/>
      <c r="AJ1904" s="4"/>
      <c r="AK1904" s="4"/>
      <c r="AL1904" s="4"/>
      <c r="AM1904" s="4" t="s">
        <v>2092</v>
      </c>
    </row>
    <row r="1905" customFormat="false" ht="23.85" hidden="false" customHeight="false" outlineLevel="0" collapsed="false">
      <c r="A1905" s="4" t="s">
        <v>1987</v>
      </c>
      <c r="B1905" s="4" t="s">
        <v>2308</v>
      </c>
      <c r="C1905" s="4" t="s">
        <v>2309</v>
      </c>
      <c r="D1905" s="12" t="n">
        <v>2023</v>
      </c>
      <c r="E1905" s="4"/>
      <c r="F1905" s="4" t="s">
        <v>1990</v>
      </c>
      <c r="G1905" s="4" t="s">
        <v>1991</v>
      </c>
      <c r="H1905" s="4" t="s">
        <v>1992</v>
      </c>
      <c r="I1905" s="4"/>
      <c r="J1905" s="4" t="s">
        <v>1582</v>
      </c>
      <c r="K1905" s="4" t="s">
        <v>97</v>
      </c>
      <c r="L1905" s="4" t="s">
        <v>98</v>
      </c>
      <c r="M1905" s="4" t="s">
        <v>1993</v>
      </c>
      <c r="N1905" s="4" t="s">
        <v>2001</v>
      </c>
      <c r="O1905" s="4" t="s">
        <v>2034</v>
      </c>
      <c r="P1905" s="4" t="s">
        <v>74</v>
      </c>
      <c r="Q1905" s="4" t="s">
        <v>2035</v>
      </c>
      <c r="R1905" s="4" t="s">
        <v>2036</v>
      </c>
      <c r="S1905" s="4"/>
      <c r="T1905" s="4"/>
      <c r="U1905" s="4"/>
      <c r="V1905" s="4"/>
      <c r="W1905" s="4"/>
      <c r="X1905" s="4"/>
      <c r="Y1905" s="4"/>
      <c r="Z1905" s="4"/>
      <c r="AA1905" s="4"/>
      <c r="AB1905" s="4"/>
      <c r="AC1905" s="4"/>
      <c r="AD1905" s="4"/>
      <c r="AE1905" s="4"/>
      <c r="AF1905" s="4"/>
      <c r="AG1905" s="4"/>
      <c r="AH1905" s="4"/>
      <c r="AI1905" s="4"/>
      <c r="AJ1905" s="4"/>
      <c r="AK1905" s="4"/>
      <c r="AL1905" s="4"/>
      <c r="AM1905" s="4" t="s">
        <v>2037</v>
      </c>
    </row>
    <row r="1906" customFormat="false" ht="23.85" hidden="false" customHeight="false" outlineLevel="0" collapsed="false">
      <c r="A1906" s="4" t="s">
        <v>1987</v>
      </c>
      <c r="B1906" s="4" t="s">
        <v>2310</v>
      </c>
      <c r="C1906" s="4" t="s">
        <v>2311</v>
      </c>
      <c r="D1906" s="12" t="n">
        <v>2023</v>
      </c>
      <c r="E1906" s="4"/>
      <c r="F1906" s="4" t="s">
        <v>1990</v>
      </c>
      <c r="G1906" s="4" t="s">
        <v>1991</v>
      </c>
      <c r="H1906" s="4" t="s">
        <v>1992</v>
      </c>
      <c r="I1906" s="4"/>
      <c r="J1906" s="4" t="s">
        <v>1584</v>
      </c>
      <c r="K1906" s="4" t="s">
        <v>97</v>
      </c>
      <c r="L1906" s="4" t="s">
        <v>98</v>
      </c>
      <c r="M1906" s="4" t="s">
        <v>1993</v>
      </c>
      <c r="N1906" s="4" t="s">
        <v>2001</v>
      </c>
      <c r="O1906" s="4" t="s">
        <v>2002</v>
      </c>
      <c r="P1906" s="4" t="s">
        <v>67</v>
      </c>
      <c r="Q1906" s="4" t="s">
        <v>2003</v>
      </c>
      <c r="R1906" s="4" t="s">
        <v>2004</v>
      </c>
      <c r="S1906" s="4"/>
      <c r="T1906" s="4"/>
      <c r="U1906" s="4"/>
      <c r="V1906" s="4"/>
      <c r="W1906" s="4"/>
      <c r="X1906" s="4"/>
      <c r="Y1906" s="4"/>
      <c r="Z1906" s="4"/>
      <c r="AA1906" s="4"/>
      <c r="AB1906" s="4"/>
      <c r="AC1906" s="4"/>
      <c r="AD1906" s="4"/>
      <c r="AE1906" s="4"/>
      <c r="AF1906" s="4"/>
      <c r="AG1906" s="4"/>
      <c r="AH1906" s="4"/>
      <c r="AI1906" s="4"/>
      <c r="AJ1906" s="4"/>
      <c r="AK1906" s="4"/>
      <c r="AL1906" s="4"/>
      <c r="AM1906" s="4" t="s">
        <v>2005</v>
      </c>
    </row>
    <row r="1907" customFormat="false" ht="15" hidden="false" customHeight="false" outlineLevel="0" collapsed="false">
      <c r="A1907" s="4" t="s">
        <v>1987</v>
      </c>
      <c r="B1907" s="4" t="s">
        <v>2312</v>
      </c>
      <c r="C1907" s="4" t="s">
        <v>2313</v>
      </c>
      <c r="D1907" s="12" t="n">
        <v>2023</v>
      </c>
      <c r="E1907" s="4"/>
      <c r="F1907" s="4" t="s">
        <v>1990</v>
      </c>
      <c r="G1907" s="4" t="s">
        <v>1991</v>
      </c>
      <c r="H1907" s="4" t="s">
        <v>1992</v>
      </c>
      <c r="I1907" s="4"/>
      <c r="J1907" s="4" t="s">
        <v>1587</v>
      </c>
      <c r="K1907" s="4" t="s">
        <v>97</v>
      </c>
      <c r="L1907" s="4" t="s">
        <v>98</v>
      </c>
      <c r="M1907" s="4" t="s">
        <v>1993</v>
      </c>
      <c r="N1907" s="4" t="s">
        <v>2001</v>
      </c>
      <c r="O1907" s="4" t="s">
        <v>2002</v>
      </c>
      <c r="P1907" s="4" t="s">
        <v>71</v>
      </c>
      <c r="Q1907" s="4" t="s">
        <v>2123</v>
      </c>
      <c r="R1907" s="4" t="s">
        <v>1997</v>
      </c>
      <c r="S1907" s="4"/>
      <c r="T1907" s="4"/>
      <c r="U1907" s="4"/>
      <c r="V1907" s="4"/>
      <c r="W1907" s="4"/>
      <c r="X1907" s="4"/>
      <c r="Y1907" s="4"/>
      <c r="Z1907" s="4"/>
      <c r="AA1907" s="4"/>
      <c r="AB1907" s="4"/>
      <c r="AC1907" s="4"/>
      <c r="AD1907" s="4"/>
      <c r="AE1907" s="4"/>
      <c r="AF1907" s="4"/>
      <c r="AG1907" s="4"/>
      <c r="AH1907" s="4"/>
      <c r="AI1907" s="4"/>
      <c r="AJ1907" s="4"/>
      <c r="AK1907" s="4"/>
      <c r="AL1907" s="4"/>
      <c r="AM1907" s="4" t="s">
        <v>2124</v>
      </c>
    </row>
    <row r="1908" customFormat="false" ht="23.85" hidden="false" customHeight="false" outlineLevel="0" collapsed="false">
      <c r="A1908" s="4" t="s">
        <v>1987</v>
      </c>
      <c r="B1908" s="4" t="s">
        <v>2314</v>
      </c>
      <c r="C1908" s="4" t="s">
        <v>2315</v>
      </c>
      <c r="D1908" s="12" t="n">
        <v>2023</v>
      </c>
      <c r="E1908" s="4"/>
      <c r="F1908" s="4" t="s">
        <v>1990</v>
      </c>
      <c r="G1908" s="4" t="s">
        <v>1991</v>
      </c>
      <c r="H1908" s="4" t="s">
        <v>1992</v>
      </c>
      <c r="I1908" s="4"/>
      <c r="J1908" s="4" t="s">
        <v>1590</v>
      </c>
      <c r="K1908" s="4" t="s">
        <v>97</v>
      </c>
      <c r="L1908" s="4" t="s">
        <v>98</v>
      </c>
      <c r="M1908" s="4" t="s">
        <v>1993</v>
      </c>
      <c r="N1908" s="4" t="s">
        <v>2001</v>
      </c>
      <c r="O1908" s="4" t="s">
        <v>2002</v>
      </c>
      <c r="P1908" s="4" t="s">
        <v>68</v>
      </c>
      <c r="Q1908" s="4" t="s">
        <v>2111</v>
      </c>
      <c r="R1908" s="4" t="s">
        <v>1997</v>
      </c>
      <c r="S1908" s="4"/>
      <c r="T1908" s="4"/>
      <c r="U1908" s="4"/>
      <c r="V1908" s="4"/>
      <c r="W1908" s="4"/>
      <c r="X1908" s="4"/>
      <c r="Y1908" s="4"/>
      <c r="Z1908" s="4"/>
      <c r="AA1908" s="4"/>
      <c r="AB1908" s="4"/>
      <c r="AC1908" s="4"/>
      <c r="AD1908" s="4"/>
      <c r="AE1908" s="4"/>
      <c r="AF1908" s="4"/>
      <c r="AG1908" s="4"/>
      <c r="AH1908" s="4"/>
      <c r="AI1908" s="4"/>
      <c r="AJ1908" s="4"/>
      <c r="AK1908" s="4"/>
      <c r="AL1908" s="4"/>
      <c r="AM1908" s="4" t="s">
        <v>2112</v>
      </c>
    </row>
    <row r="1909" customFormat="false" ht="23.85" hidden="false" customHeight="false" outlineLevel="0" collapsed="false">
      <c r="A1909" s="4" t="s">
        <v>1987</v>
      </c>
      <c r="B1909" s="4" t="s">
        <v>2316</v>
      </c>
      <c r="C1909" s="4" t="s">
        <v>2317</v>
      </c>
      <c r="D1909" s="12" t="n">
        <v>2023</v>
      </c>
      <c r="E1909" s="4"/>
      <c r="F1909" s="4" t="s">
        <v>1990</v>
      </c>
      <c r="G1909" s="4" t="s">
        <v>1991</v>
      </c>
      <c r="H1909" s="4" t="s">
        <v>1992</v>
      </c>
      <c r="I1909" s="4"/>
      <c r="J1909" s="4" t="s">
        <v>1594</v>
      </c>
      <c r="K1909" s="4" t="s">
        <v>99</v>
      </c>
      <c r="L1909" s="4" t="s">
        <v>100</v>
      </c>
      <c r="M1909" s="4" t="s">
        <v>1993</v>
      </c>
      <c r="N1909" s="4" t="s">
        <v>1994</v>
      </c>
      <c r="O1909" s="4" t="s">
        <v>2029</v>
      </c>
      <c r="P1909" s="4" t="s">
        <v>69</v>
      </c>
      <c r="Q1909" s="4" t="s">
        <v>2030</v>
      </c>
      <c r="R1909" s="4" t="s">
        <v>1997</v>
      </c>
      <c r="S1909" s="4"/>
      <c r="T1909" s="4"/>
      <c r="U1909" s="4"/>
      <c r="V1909" s="4"/>
      <c r="W1909" s="4"/>
      <c r="X1909" s="4"/>
      <c r="Y1909" s="4"/>
      <c r="Z1909" s="4"/>
      <c r="AA1909" s="4"/>
      <c r="AB1909" s="4"/>
      <c r="AC1909" s="4"/>
      <c r="AD1909" s="4"/>
      <c r="AE1909" s="4"/>
      <c r="AF1909" s="4"/>
      <c r="AG1909" s="4"/>
      <c r="AH1909" s="4"/>
      <c r="AI1909" s="4"/>
      <c r="AJ1909" s="4"/>
      <c r="AK1909" s="4"/>
      <c r="AL1909" s="4"/>
      <c r="AM1909" s="4" t="s">
        <v>2031</v>
      </c>
    </row>
    <row r="1910" customFormat="false" ht="23.85" hidden="false" customHeight="false" outlineLevel="0" collapsed="false">
      <c r="A1910" s="4" t="s">
        <v>1987</v>
      </c>
      <c r="B1910" s="4" t="s">
        <v>2318</v>
      </c>
      <c r="C1910" s="4" t="s">
        <v>2319</v>
      </c>
      <c r="D1910" s="12" t="n">
        <v>2023</v>
      </c>
      <c r="E1910" s="4"/>
      <c r="F1910" s="4" t="s">
        <v>1990</v>
      </c>
      <c r="G1910" s="4" t="s">
        <v>1991</v>
      </c>
      <c r="H1910" s="4" t="s">
        <v>1992</v>
      </c>
      <c r="I1910" s="4"/>
      <c r="J1910" s="4" t="s">
        <v>1595</v>
      </c>
      <c r="K1910" s="4" t="s">
        <v>99</v>
      </c>
      <c r="L1910" s="4" t="s">
        <v>100</v>
      </c>
      <c r="M1910" s="4" t="s">
        <v>1993</v>
      </c>
      <c r="N1910" s="4" t="s">
        <v>2001</v>
      </c>
      <c r="O1910" s="4" t="s">
        <v>2091</v>
      </c>
      <c r="P1910" s="4" t="s">
        <v>69</v>
      </c>
      <c r="Q1910" s="4" t="s">
        <v>2030</v>
      </c>
      <c r="R1910" s="4" t="s">
        <v>1997</v>
      </c>
      <c r="S1910" s="4"/>
      <c r="T1910" s="4"/>
      <c r="U1910" s="4"/>
      <c r="V1910" s="4"/>
      <c r="W1910" s="4"/>
      <c r="X1910" s="4"/>
      <c r="Y1910" s="4"/>
      <c r="Z1910" s="4"/>
      <c r="AA1910" s="4"/>
      <c r="AB1910" s="4"/>
      <c r="AC1910" s="4"/>
      <c r="AD1910" s="4"/>
      <c r="AE1910" s="4"/>
      <c r="AF1910" s="4"/>
      <c r="AG1910" s="4"/>
      <c r="AH1910" s="4"/>
      <c r="AI1910" s="4"/>
      <c r="AJ1910" s="4"/>
      <c r="AK1910" s="4"/>
      <c r="AL1910" s="4"/>
      <c r="AM1910" s="4" t="s">
        <v>2092</v>
      </c>
    </row>
    <row r="1911" customFormat="false" ht="23.85" hidden="false" customHeight="false" outlineLevel="0" collapsed="false">
      <c r="A1911" s="4" t="s">
        <v>1987</v>
      </c>
      <c r="B1911" s="4" t="s">
        <v>2320</v>
      </c>
      <c r="C1911" s="4" t="s">
        <v>2321</v>
      </c>
      <c r="D1911" s="12" t="n">
        <v>2023</v>
      </c>
      <c r="E1911" s="4"/>
      <c r="F1911" s="4" t="s">
        <v>1990</v>
      </c>
      <c r="G1911" s="4" t="s">
        <v>1991</v>
      </c>
      <c r="H1911" s="4" t="s">
        <v>1992</v>
      </c>
      <c r="I1911" s="4"/>
      <c r="J1911" s="4" t="s">
        <v>1598</v>
      </c>
      <c r="K1911" s="4" t="s">
        <v>99</v>
      </c>
      <c r="L1911" s="4" t="s">
        <v>100</v>
      </c>
      <c r="M1911" s="4" t="s">
        <v>1993</v>
      </c>
      <c r="N1911" s="4" t="s">
        <v>1994</v>
      </c>
      <c r="O1911" s="4" t="s">
        <v>1995</v>
      </c>
      <c r="P1911" s="4" t="s">
        <v>67</v>
      </c>
      <c r="Q1911" s="4" t="s">
        <v>2003</v>
      </c>
      <c r="R1911" s="4" t="s">
        <v>1997</v>
      </c>
      <c r="S1911" s="4"/>
      <c r="T1911" s="4"/>
      <c r="U1911" s="4"/>
      <c r="V1911" s="4"/>
      <c r="W1911" s="4"/>
      <c r="X1911" s="4"/>
      <c r="Y1911" s="4"/>
      <c r="Z1911" s="4"/>
      <c r="AA1911" s="4"/>
      <c r="AB1911" s="4"/>
      <c r="AC1911" s="4"/>
      <c r="AD1911" s="4"/>
      <c r="AE1911" s="4"/>
      <c r="AF1911" s="4"/>
      <c r="AG1911" s="4"/>
      <c r="AH1911" s="4"/>
      <c r="AI1911" s="4"/>
      <c r="AJ1911" s="4"/>
      <c r="AK1911" s="4"/>
      <c r="AL1911" s="4"/>
      <c r="AM1911" s="4" t="s">
        <v>2133</v>
      </c>
    </row>
    <row r="1912" customFormat="false" ht="23.85" hidden="false" customHeight="false" outlineLevel="0" collapsed="false">
      <c r="A1912" s="4" t="s">
        <v>1987</v>
      </c>
      <c r="B1912" s="4" t="s">
        <v>2322</v>
      </c>
      <c r="C1912" s="4" t="s">
        <v>2323</v>
      </c>
      <c r="D1912" s="12" t="n">
        <v>2023</v>
      </c>
      <c r="E1912" s="4"/>
      <c r="F1912" s="4" t="s">
        <v>1990</v>
      </c>
      <c r="G1912" s="4" t="s">
        <v>1991</v>
      </c>
      <c r="H1912" s="4" t="s">
        <v>1992</v>
      </c>
      <c r="I1912" s="4"/>
      <c r="J1912" s="4" t="s">
        <v>1599</v>
      </c>
      <c r="K1912" s="4" t="s">
        <v>99</v>
      </c>
      <c r="L1912" s="4" t="s">
        <v>100</v>
      </c>
      <c r="M1912" s="4" t="s">
        <v>1993</v>
      </c>
      <c r="N1912" s="4" t="s">
        <v>1994</v>
      </c>
      <c r="O1912" s="4" t="s">
        <v>1995</v>
      </c>
      <c r="P1912" s="4" t="s">
        <v>67</v>
      </c>
      <c r="Q1912" s="4" t="s">
        <v>2008</v>
      </c>
      <c r="R1912" s="4" t="s">
        <v>1997</v>
      </c>
      <c r="S1912" s="4"/>
      <c r="T1912" s="4"/>
      <c r="U1912" s="4"/>
      <c r="V1912" s="4"/>
      <c r="W1912" s="4"/>
      <c r="X1912" s="4"/>
      <c r="Y1912" s="4"/>
      <c r="Z1912" s="4"/>
      <c r="AA1912" s="4"/>
      <c r="AB1912" s="4"/>
      <c r="AC1912" s="4"/>
      <c r="AD1912" s="4"/>
      <c r="AE1912" s="4"/>
      <c r="AF1912" s="4"/>
      <c r="AG1912" s="4"/>
      <c r="AH1912" s="4"/>
      <c r="AI1912" s="4"/>
      <c r="AJ1912" s="4"/>
      <c r="AK1912" s="4"/>
      <c r="AL1912" s="4"/>
      <c r="AM1912" s="4" t="s">
        <v>2136</v>
      </c>
    </row>
    <row r="1913" customFormat="false" ht="15" hidden="false" customHeight="false" outlineLevel="0" collapsed="false">
      <c r="A1913" s="4" t="s">
        <v>1987</v>
      </c>
      <c r="B1913" s="4" t="s">
        <v>2324</v>
      </c>
      <c r="C1913" s="4" t="s">
        <v>2325</v>
      </c>
      <c r="D1913" s="12" t="n">
        <v>2023</v>
      </c>
      <c r="E1913" s="4"/>
      <c r="F1913" s="4" t="s">
        <v>1990</v>
      </c>
      <c r="G1913" s="4" t="s">
        <v>1991</v>
      </c>
      <c r="H1913" s="4" t="s">
        <v>1992</v>
      </c>
      <c r="I1913" s="4"/>
      <c r="J1913" s="4" t="s">
        <v>1600</v>
      </c>
      <c r="K1913" s="4" t="s">
        <v>99</v>
      </c>
      <c r="L1913" s="4" t="s">
        <v>100</v>
      </c>
      <c r="M1913" s="4" t="s">
        <v>1993</v>
      </c>
      <c r="N1913" s="4" t="s">
        <v>2001</v>
      </c>
      <c r="O1913" s="4" t="s">
        <v>2002</v>
      </c>
      <c r="P1913" s="4" t="s">
        <v>67</v>
      </c>
      <c r="Q1913" s="4" t="s">
        <v>2139</v>
      </c>
      <c r="R1913" s="4" t="s">
        <v>1997</v>
      </c>
      <c r="S1913" s="4"/>
      <c r="T1913" s="4"/>
      <c r="U1913" s="4"/>
      <c r="V1913" s="4"/>
      <c r="W1913" s="4"/>
      <c r="X1913" s="4"/>
      <c r="Y1913" s="4"/>
      <c r="Z1913" s="4"/>
      <c r="AA1913" s="4"/>
      <c r="AB1913" s="4"/>
      <c r="AC1913" s="4"/>
      <c r="AD1913" s="4"/>
      <c r="AE1913" s="4"/>
      <c r="AF1913" s="4"/>
      <c r="AG1913" s="4"/>
      <c r="AH1913" s="4"/>
      <c r="AI1913" s="4"/>
      <c r="AJ1913" s="4"/>
      <c r="AK1913" s="4"/>
      <c r="AL1913" s="4"/>
      <c r="AM1913" s="4" t="s">
        <v>2140</v>
      </c>
    </row>
    <row r="1914" customFormat="false" ht="15" hidden="false" customHeight="false" outlineLevel="0" collapsed="false">
      <c r="A1914" s="4" t="s">
        <v>1987</v>
      </c>
      <c r="B1914" s="4" t="s">
        <v>2326</v>
      </c>
      <c r="C1914" s="4" t="s">
        <v>2327</v>
      </c>
      <c r="D1914" s="12" t="n">
        <v>2023</v>
      </c>
      <c r="E1914" s="4"/>
      <c r="F1914" s="4" t="s">
        <v>1990</v>
      </c>
      <c r="G1914" s="4" t="s">
        <v>1991</v>
      </c>
      <c r="H1914" s="4" t="s">
        <v>1992</v>
      </c>
      <c r="I1914" s="4"/>
      <c r="J1914" s="4" t="s">
        <v>1601</v>
      </c>
      <c r="K1914" s="4" t="s">
        <v>99</v>
      </c>
      <c r="L1914" s="4" t="s">
        <v>100</v>
      </c>
      <c r="M1914" s="4" t="s">
        <v>1993</v>
      </c>
      <c r="N1914" s="4" t="s">
        <v>2001</v>
      </c>
      <c r="O1914" s="4" t="s">
        <v>2002</v>
      </c>
      <c r="P1914" s="4" t="s">
        <v>71</v>
      </c>
      <c r="Q1914" s="4" t="s">
        <v>2123</v>
      </c>
      <c r="R1914" s="4" t="s">
        <v>1997</v>
      </c>
      <c r="S1914" s="4"/>
      <c r="T1914" s="4"/>
      <c r="U1914" s="4"/>
      <c r="V1914" s="4"/>
      <c r="W1914" s="4"/>
      <c r="X1914" s="4"/>
      <c r="Y1914" s="4"/>
      <c r="Z1914" s="4"/>
      <c r="AA1914" s="4"/>
      <c r="AB1914" s="4"/>
      <c r="AC1914" s="4"/>
      <c r="AD1914" s="4"/>
      <c r="AE1914" s="4"/>
      <c r="AF1914" s="4"/>
      <c r="AG1914" s="4"/>
      <c r="AH1914" s="4"/>
      <c r="AI1914" s="4"/>
      <c r="AJ1914" s="4"/>
      <c r="AK1914" s="4"/>
      <c r="AL1914" s="4"/>
      <c r="AM1914" s="4" t="s">
        <v>2124</v>
      </c>
    </row>
    <row r="1915" customFormat="false" ht="15" hidden="false" customHeight="false" outlineLevel="0" collapsed="false">
      <c r="A1915" s="4" t="s">
        <v>1987</v>
      </c>
      <c r="B1915" s="4" t="s">
        <v>2328</v>
      </c>
      <c r="C1915" s="4" t="s">
        <v>2329</v>
      </c>
      <c r="D1915" s="12" t="n">
        <v>2023</v>
      </c>
      <c r="E1915" s="4"/>
      <c r="F1915" s="4" t="s">
        <v>1990</v>
      </c>
      <c r="G1915" s="4" t="s">
        <v>1991</v>
      </c>
      <c r="H1915" s="4" t="s">
        <v>1992</v>
      </c>
      <c r="I1915" s="4"/>
      <c r="J1915" s="4" t="s">
        <v>1602</v>
      </c>
      <c r="K1915" s="4" t="s">
        <v>99</v>
      </c>
      <c r="L1915" s="4" t="s">
        <v>100</v>
      </c>
      <c r="M1915" s="4" t="s">
        <v>1993</v>
      </c>
      <c r="N1915" s="4" t="s">
        <v>2001</v>
      </c>
      <c r="O1915" s="4" t="s">
        <v>2074</v>
      </c>
      <c r="P1915" s="4" t="s">
        <v>73</v>
      </c>
      <c r="Q1915" s="4" t="s">
        <v>2075</v>
      </c>
      <c r="R1915" s="4" t="s">
        <v>1997</v>
      </c>
      <c r="S1915" s="4"/>
      <c r="T1915" s="4"/>
      <c r="U1915" s="4"/>
      <c r="V1915" s="4"/>
      <c r="W1915" s="4"/>
      <c r="X1915" s="4"/>
      <c r="Y1915" s="4"/>
      <c r="Z1915" s="4"/>
      <c r="AA1915" s="4"/>
      <c r="AB1915" s="4"/>
      <c r="AC1915" s="4"/>
      <c r="AD1915" s="4"/>
      <c r="AE1915" s="4"/>
      <c r="AF1915" s="4"/>
      <c r="AG1915" s="4"/>
      <c r="AH1915" s="4"/>
      <c r="AI1915" s="4"/>
      <c r="AJ1915" s="4"/>
      <c r="AK1915" s="4"/>
      <c r="AL1915" s="4"/>
      <c r="AM1915" s="4" t="s">
        <v>2076</v>
      </c>
    </row>
    <row r="1916" customFormat="false" ht="15" hidden="false" customHeight="false" outlineLevel="0" collapsed="false">
      <c r="A1916" s="4" t="s">
        <v>1987</v>
      </c>
      <c r="B1916" s="4" t="s">
        <v>2330</v>
      </c>
      <c r="C1916" s="4" t="s">
        <v>2331</v>
      </c>
      <c r="D1916" s="12" t="n">
        <v>2023</v>
      </c>
      <c r="E1916" s="4"/>
      <c r="F1916" s="4" t="s">
        <v>1990</v>
      </c>
      <c r="G1916" s="4" t="s">
        <v>1991</v>
      </c>
      <c r="H1916" s="4" t="s">
        <v>1992</v>
      </c>
      <c r="I1916" s="4"/>
      <c r="J1916" s="4" t="s">
        <v>1603</v>
      </c>
      <c r="K1916" s="4" t="s">
        <v>99</v>
      </c>
      <c r="L1916" s="4" t="s">
        <v>100</v>
      </c>
      <c r="M1916" s="4" t="s">
        <v>1993</v>
      </c>
      <c r="N1916" s="4" t="s">
        <v>2001</v>
      </c>
      <c r="O1916" s="4" t="s">
        <v>2002</v>
      </c>
      <c r="P1916" s="4" t="s">
        <v>72</v>
      </c>
      <c r="Q1916" s="4" t="s">
        <v>2079</v>
      </c>
      <c r="R1916" s="4" t="s">
        <v>1997</v>
      </c>
      <c r="S1916" s="4"/>
      <c r="T1916" s="4"/>
      <c r="U1916" s="4"/>
      <c r="V1916" s="4"/>
      <c r="W1916" s="4"/>
      <c r="X1916" s="4"/>
      <c r="Y1916" s="4"/>
      <c r="Z1916" s="4"/>
      <c r="AA1916" s="4"/>
      <c r="AB1916" s="4"/>
      <c r="AC1916" s="4"/>
      <c r="AD1916" s="4"/>
      <c r="AE1916" s="4"/>
      <c r="AF1916" s="4"/>
      <c r="AG1916" s="4"/>
      <c r="AH1916" s="4"/>
      <c r="AI1916" s="4"/>
      <c r="AJ1916" s="4"/>
      <c r="AK1916" s="4"/>
      <c r="AL1916" s="4"/>
      <c r="AM1916" s="4" t="s">
        <v>2080</v>
      </c>
    </row>
    <row r="1917" customFormat="false" ht="23.85" hidden="false" customHeight="false" outlineLevel="0" collapsed="false">
      <c r="A1917" s="4" t="s">
        <v>1987</v>
      </c>
      <c r="B1917" s="4" t="s">
        <v>2332</v>
      </c>
      <c r="C1917" s="4" t="s">
        <v>2333</v>
      </c>
      <c r="D1917" s="12" t="n">
        <v>2023</v>
      </c>
      <c r="E1917" s="4"/>
      <c r="F1917" s="4" t="s">
        <v>1990</v>
      </c>
      <c r="G1917" s="4" t="s">
        <v>1991</v>
      </c>
      <c r="H1917" s="4" t="s">
        <v>1992</v>
      </c>
      <c r="I1917" s="4"/>
      <c r="J1917" s="4" t="s">
        <v>1604</v>
      </c>
      <c r="K1917" s="4" t="s">
        <v>99</v>
      </c>
      <c r="L1917" s="4" t="s">
        <v>100</v>
      </c>
      <c r="M1917" s="4" t="s">
        <v>1993</v>
      </c>
      <c r="N1917" s="4" t="s">
        <v>2001</v>
      </c>
      <c r="O1917" s="4" t="s">
        <v>2002</v>
      </c>
      <c r="P1917" s="4" t="s">
        <v>68</v>
      </c>
      <c r="Q1917" s="4" t="s">
        <v>2111</v>
      </c>
      <c r="R1917" s="4" t="s">
        <v>1997</v>
      </c>
      <c r="S1917" s="4"/>
      <c r="T1917" s="4"/>
      <c r="U1917" s="4"/>
      <c r="V1917" s="4"/>
      <c r="W1917" s="4"/>
      <c r="X1917" s="4"/>
      <c r="Y1917" s="4"/>
      <c r="Z1917" s="4"/>
      <c r="AA1917" s="4"/>
      <c r="AB1917" s="4"/>
      <c r="AC1917" s="4"/>
      <c r="AD1917" s="4"/>
      <c r="AE1917" s="4"/>
      <c r="AF1917" s="4"/>
      <c r="AG1917" s="4"/>
      <c r="AH1917" s="4"/>
      <c r="AI1917" s="4"/>
      <c r="AJ1917" s="4"/>
      <c r="AK1917" s="4"/>
      <c r="AL1917" s="4"/>
      <c r="AM1917" s="4" t="s">
        <v>2112</v>
      </c>
    </row>
    <row r="1918" customFormat="false" ht="23.85" hidden="false" customHeight="false" outlineLevel="0" collapsed="false">
      <c r="A1918" s="4" t="s">
        <v>1987</v>
      </c>
      <c r="B1918" s="4" t="s">
        <v>2334</v>
      </c>
      <c r="C1918" s="4" t="s">
        <v>2335</v>
      </c>
      <c r="D1918" s="12" t="n">
        <v>2023</v>
      </c>
      <c r="E1918" s="4"/>
      <c r="F1918" s="4" t="s">
        <v>1990</v>
      </c>
      <c r="G1918" s="4" t="s">
        <v>1991</v>
      </c>
      <c r="H1918" s="4" t="s">
        <v>1992</v>
      </c>
      <c r="I1918" s="4"/>
      <c r="J1918" s="4" t="s">
        <v>1606</v>
      </c>
      <c r="K1918" s="4" t="s">
        <v>99</v>
      </c>
      <c r="L1918" s="4" t="s">
        <v>100</v>
      </c>
      <c r="M1918" s="4" t="s">
        <v>1993</v>
      </c>
      <c r="N1918" s="4" t="s">
        <v>2001</v>
      </c>
      <c r="O1918" s="4" t="s">
        <v>2002</v>
      </c>
      <c r="P1918" s="4" t="s">
        <v>67</v>
      </c>
      <c r="Q1918" s="4" t="s">
        <v>2151</v>
      </c>
      <c r="R1918" s="4" t="s">
        <v>1997</v>
      </c>
      <c r="S1918" s="4"/>
      <c r="T1918" s="4"/>
      <c r="U1918" s="4"/>
      <c r="V1918" s="4"/>
      <c r="W1918" s="4"/>
      <c r="X1918" s="4"/>
      <c r="Y1918" s="4"/>
      <c r="Z1918" s="4"/>
      <c r="AA1918" s="4"/>
      <c r="AB1918" s="4"/>
      <c r="AC1918" s="4"/>
      <c r="AD1918" s="4"/>
      <c r="AE1918" s="4"/>
      <c r="AF1918" s="4"/>
      <c r="AG1918" s="4"/>
      <c r="AH1918" s="4"/>
      <c r="AI1918" s="4"/>
      <c r="AJ1918" s="4"/>
      <c r="AK1918" s="4"/>
      <c r="AL1918" s="4"/>
      <c r="AM1918" s="4" t="s">
        <v>2152</v>
      </c>
    </row>
    <row r="1919" customFormat="false" ht="23.85" hidden="false" customHeight="false" outlineLevel="0" collapsed="false">
      <c r="A1919" s="4" t="s">
        <v>1987</v>
      </c>
      <c r="B1919" s="4" t="s">
        <v>2336</v>
      </c>
      <c r="C1919" s="4" t="s">
        <v>2337</v>
      </c>
      <c r="D1919" s="12" t="n">
        <v>2023</v>
      </c>
      <c r="E1919" s="4"/>
      <c r="F1919" s="4" t="s">
        <v>1990</v>
      </c>
      <c r="G1919" s="4" t="s">
        <v>1991</v>
      </c>
      <c r="H1919" s="4" t="s">
        <v>1992</v>
      </c>
      <c r="I1919" s="4"/>
      <c r="J1919" s="4" t="s">
        <v>1606</v>
      </c>
      <c r="K1919" s="4" t="s">
        <v>99</v>
      </c>
      <c r="L1919" s="4" t="s">
        <v>100</v>
      </c>
      <c r="M1919" s="4" t="s">
        <v>2155</v>
      </c>
      <c r="N1919" s="4" t="s">
        <v>1994</v>
      </c>
      <c r="O1919" s="4" t="s">
        <v>2156</v>
      </c>
      <c r="P1919" s="4" t="s">
        <v>67</v>
      </c>
      <c r="Q1919" s="4" t="s">
        <v>2151</v>
      </c>
      <c r="R1919" s="4" t="s">
        <v>1997</v>
      </c>
      <c r="S1919" s="4"/>
      <c r="T1919" s="4"/>
      <c r="U1919" s="4"/>
      <c r="V1919" s="4"/>
      <c r="W1919" s="4"/>
      <c r="X1919" s="4"/>
      <c r="Y1919" s="4"/>
      <c r="Z1919" s="4"/>
      <c r="AA1919" s="4"/>
      <c r="AB1919" s="4"/>
      <c r="AC1919" s="4"/>
      <c r="AD1919" s="4"/>
      <c r="AE1919" s="4"/>
      <c r="AF1919" s="4"/>
      <c r="AG1919" s="4"/>
      <c r="AH1919" s="4"/>
      <c r="AI1919" s="4"/>
      <c r="AJ1919" s="4"/>
      <c r="AK1919" s="4"/>
      <c r="AL1919" s="4"/>
      <c r="AM1919" s="4" t="s">
        <v>2157</v>
      </c>
    </row>
    <row r="1920" customFormat="false" ht="23.85" hidden="false" customHeight="false" outlineLevel="0" collapsed="false">
      <c r="A1920" s="4" t="s">
        <v>1987</v>
      </c>
      <c r="B1920" s="4" t="s">
        <v>2338</v>
      </c>
      <c r="C1920" s="4" t="s">
        <v>2339</v>
      </c>
      <c r="D1920" s="12" t="n">
        <v>2023</v>
      </c>
      <c r="E1920" s="4"/>
      <c r="F1920" s="4" t="s">
        <v>1990</v>
      </c>
      <c r="G1920" s="4" t="s">
        <v>1991</v>
      </c>
      <c r="H1920" s="4" t="s">
        <v>1992</v>
      </c>
      <c r="I1920" s="4"/>
      <c r="J1920" s="4" t="s">
        <v>1606</v>
      </c>
      <c r="K1920" s="4" t="s">
        <v>99</v>
      </c>
      <c r="L1920" s="4" t="s">
        <v>100</v>
      </c>
      <c r="M1920" s="4" t="s">
        <v>2155</v>
      </c>
      <c r="N1920" s="4" t="s">
        <v>2001</v>
      </c>
      <c r="O1920" s="4" t="s">
        <v>2160</v>
      </c>
      <c r="P1920" s="4" t="s">
        <v>64</v>
      </c>
      <c r="Q1920" s="4" t="s">
        <v>2151</v>
      </c>
      <c r="R1920" s="4" t="s">
        <v>1997</v>
      </c>
      <c r="S1920" s="4"/>
      <c r="T1920" s="4"/>
      <c r="U1920" s="4"/>
      <c r="V1920" s="4"/>
      <c r="W1920" s="4"/>
      <c r="X1920" s="4"/>
      <c r="Y1920" s="4"/>
      <c r="Z1920" s="4"/>
      <c r="AA1920" s="4"/>
      <c r="AB1920" s="4"/>
      <c r="AC1920" s="4"/>
      <c r="AD1920" s="4"/>
      <c r="AE1920" s="4"/>
      <c r="AF1920" s="4"/>
      <c r="AG1920" s="4"/>
      <c r="AH1920" s="4"/>
      <c r="AI1920" s="4"/>
      <c r="AJ1920" s="4"/>
      <c r="AK1920" s="4"/>
      <c r="AL1920" s="4"/>
      <c r="AM1920" s="4" t="s">
        <v>2161</v>
      </c>
    </row>
    <row r="1921" customFormat="false" ht="23.85" hidden="false" customHeight="false" outlineLevel="0" collapsed="false">
      <c r="A1921" s="4" t="s">
        <v>1987</v>
      </c>
      <c r="B1921" s="4" t="s">
        <v>2340</v>
      </c>
      <c r="C1921" s="4" t="s">
        <v>2341</v>
      </c>
      <c r="D1921" s="12" t="n">
        <v>2023</v>
      </c>
      <c r="E1921" s="4"/>
      <c r="F1921" s="4" t="s">
        <v>1990</v>
      </c>
      <c r="G1921" s="4" t="s">
        <v>1991</v>
      </c>
      <c r="H1921" s="4" t="s">
        <v>1992</v>
      </c>
      <c r="I1921" s="4"/>
      <c r="J1921" s="4" t="s">
        <v>1608</v>
      </c>
      <c r="K1921" s="4" t="s">
        <v>101</v>
      </c>
      <c r="L1921" s="4" t="s">
        <v>102</v>
      </c>
      <c r="M1921" s="4" t="s">
        <v>1993</v>
      </c>
      <c r="N1921" s="4" t="s">
        <v>1994</v>
      </c>
      <c r="O1921" s="4" t="s">
        <v>2029</v>
      </c>
      <c r="P1921" s="4" t="s">
        <v>69</v>
      </c>
      <c r="Q1921" s="4" t="s">
        <v>2030</v>
      </c>
      <c r="R1921" s="4" t="s">
        <v>1997</v>
      </c>
      <c r="S1921" s="4"/>
      <c r="T1921" s="4"/>
      <c r="U1921" s="4"/>
      <c r="V1921" s="4"/>
      <c r="W1921" s="4"/>
      <c r="X1921" s="4"/>
      <c r="Y1921" s="4"/>
      <c r="Z1921" s="4"/>
      <c r="AA1921" s="4"/>
      <c r="AB1921" s="4"/>
      <c r="AC1921" s="4"/>
      <c r="AD1921" s="4"/>
      <c r="AE1921" s="4"/>
      <c r="AF1921" s="4"/>
      <c r="AG1921" s="4"/>
      <c r="AH1921" s="4"/>
      <c r="AI1921" s="4"/>
      <c r="AJ1921" s="4"/>
      <c r="AK1921" s="4"/>
      <c r="AL1921" s="4"/>
      <c r="AM1921" s="4" t="s">
        <v>2031</v>
      </c>
    </row>
    <row r="1922" customFormat="false" ht="23.85" hidden="false" customHeight="false" outlineLevel="0" collapsed="false">
      <c r="A1922" s="4" t="s">
        <v>1987</v>
      </c>
      <c r="B1922" s="4" t="s">
        <v>2342</v>
      </c>
      <c r="C1922" s="4" t="s">
        <v>2343</v>
      </c>
      <c r="D1922" s="12" t="n">
        <v>2023</v>
      </c>
      <c r="E1922" s="4"/>
      <c r="F1922" s="4" t="s">
        <v>1990</v>
      </c>
      <c r="G1922" s="4" t="s">
        <v>1991</v>
      </c>
      <c r="H1922" s="4" t="s">
        <v>1992</v>
      </c>
      <c r="I1922" s="4"/>
      <c r="J1922" s="4" t="s">
        <v>1610</v>
      </c>
      <c r="K1922" s="4" t="s">
        <v>101</v>
      </c>
      <c r="L1922" s="4" t="s">
        <v>102</v>
      </c>
      <c r="M1922" s="4" t="s">
        <v>1993</v>
      </c>
      <c r="N1922" s="4" t="s">
        <v>2001</v>
      </c>
      <c r="O1922" s="4" t="s">
        <v>2034</v>
      </c>
      <c r="P1922" s="4" t="s">
        <v>74</v>
      </c>
      <c r="Q1922" s="4" t="s">
        <v>2035</v>
      </c>
      <c r="R1922" s="4" t="s">
        <v>2036</v>
      </c>
      <c r="S1922" s="4"/>
      <c r="T1922" s="4"/>
      <c r="U1922" s="4"/>
      <c r="V1922" s="4"/>
      <c r="W1922" s="4"/>
      <c r="X1922" s="4"/>
      <c r="Y1922" s="4"/>
      <c r="Z1922" s="4"/>
      <c r="AA1922" s="4"/>
      <c r="AB1922" s="4"/>
      <c r="AC1922" s="4"/>
      <c r="AD1922" s="4"/>
      <c r="AE1922" s="4"/>
      <c r="AF1922" s="4"/>
      <c r="AG1922" s="4"/>
      <c r="AH1922" s="4"/>
      <c r="AI1922" s="4"/>
      <c r="AJ1922" s="4"/>
      <c r="AK1922" s="4"/>
      <c r="AL1922" s="4"/>
      <c r="AM1922" s="4" t="s">
        <v>2037</v>
      </c>
    </row>
    <row r="1923" customFormat="false" ht="23.85" hidden="false" customHeight="false" outlineLevel="0" collapsed="false">
      <c r="A1923" s="4" t="s">
        <v>1987</v>
      </c>
      <c r="B1923" s="4" t="s">
        <v>2344</v>
      </c>
      <c r="C1923" s="4" t="s">
        <v>2345</v>
      </c>
      <c r="D1923" s="12" t="n">
        <v>2023</v>
      </c>
      <c r="E1923" s="4"/>
      <c r="F1923" s="4" t="s">
        <v>1990</v>
      </c>
      <c r="G1923" s="4" t="s">
        <v>1991</v>
      </c>
      <c r="H1923" s="4" t="s">
        <v>1992</v>
      </c>
      <c r="I1923" s="4"/>
      <c r="J1923" s="4" t="s">
        <v>1612</v>
      </c>
      <c r="K1923" s="4" t="s">
        <v>101</v>
      </c>
      <c r="L1923" s="4" t="s">
        <v>102</v>
      </c>
      <c r="M1923" s="4" t="s">
        <v>1993</v>
      </c>
      <c r="N1923" s="4" t="s">
        <v>2001</v>
      </c>
      <c r="O1923" s="4" t="s">
        <v>2002</v>
      </c>
      <c r="P1923" s="4" t="s">
        <v>67</v>
      </c>
      <c r="Q1923" s="4" t="s">
        <v>2003</v>
      </c>
      <c r="R1923" s="4" t="s">
        <v>2004</v>
      </c>
      <c r="S1923" s="4"/>
      <c r="T1923" s="4"/>
      <c r="U1923" s="4"/>
      <c r="V1923" s="4"/>
      <c r="W1923" s="4"/>
      <c r="X1923" s="4"/>
      <c r="Y1923" s="4"/>
      <c r="Z1923" s="4"/>
      <c r="AA1923" s="4"/>
      <c r="AB1923" s="4"/>
      <c r="AC1923" s="4"/>
      <c r="AD1923" s="4"/>
      <c r="AE1923" s="4"/>
      <c r="AF1923" s="4"/>
      <c r="AG1923" s="4"/>
      <c r="AH1923" s="4"/>
      <c r="AI1923" s="4"/>
      <c r="AJ1923" s="4"/>
      <c r="AK1923" s="4"/>
      <c r="AL1923" s="4"/>
      <c r="AM1923" s="4" t="s">
        <v>2005</v>
      </c>
    </row>
    <row r="1924" customFormat="false" ht="23.85" hidden="false" customHeight="false" outlineLevel="0" collapsed="false">
      <c r="A1924" s="4" t="s">
        <v>1987</v>
      </c>
      <c r="B1924" s="4" t="s">
        <v>2346</v>
      </c>
      <c r="C1924" s="4" t="s">
        <v>2347</v>
      </c>
      <c r="D1924" s="12" t="n">
        <v>2023</v>
      </c>
      <c r="E1924" s="4"/>
      <c r="F1924" s="4" t="s">
        <v>1990</v>
      </c>
      <c r="G1924" s="4" t="s">
        <v>1991</v>
      </c>
      <c r="H1924" s="4" t="s">
        <v>1992</v>
      </c>
      <c r="I1924" s="4"/>
      <c r="J1924" s="4" t="s">
        <v>1613</v>
      </c>
      <c r="K1924" s="4" t="s">
        <v>101</v>
      </c>
      <c r="L1924" s="4" t="s">
        <v>102</v>
      </c>
      <c r="M1924" s="4" t="s">
        <v>1993</v>
      </c>
      <c r="N1924" s="4" t="s">
        <v>2001</v>
      </c>
      <c r="O1924" s="4" t="s">
        <v>2002</v>
      </c>
      <c r="P1924" s="4" t="s">
        <v>67</v>
      </c>
      <c r="Q1924" s="4" t="s">
        <v>2008</v>
      </c>
      <c r="R1924" s="4" t="s">
        <v>2004</v>
      </c>
      <c r="S1924" s="4"/>
      <c r="T1924" s="4"/>
      <c r="U1924" s="4"/>
      <c r="V1924" s="4"/>
      <c r="W1924" s="4"/>
      <c r="X1924" s="4"/>
      <c r="Y1924" s="4"/>
      <c r="Z1924" s="4"/>
      <c r="AA1924" s="4"/>
      <c r="AB1924" s="4"/>
      <c r="AC1924" s="4"/>
      <c r="AD1924" s="4"/>
      <c r="AE1924" s="4"/>
      <c r="AF1924" s="4"/>
      <c r="AG1924" s="4"/>
      <c r="AH1924" s="4"/>
      <c r="AI1924" s="4"/>
      <c r="AJ1924" s="4"/>
      <c r="AK1924" s="4"/>
      <c r="AL1924" s="4"/>
      <c r="AM1924" s="4" t="s">
        <v>2009</v>
      </c>
    </row>
    <row r="1925" customFormat="false" ht="23.85" hidden="false" customHeight="false" outlineLevel="0" collapsed="false">
      <c r="A1925" s="4" t="s">
        <v>1987</v>
      </c>
      <c r="B1925" s="4" t="s">
        <v>2348</v>
      </c>
      <c r="C1925" s="4" t="s">
        <v>2349</v>
      </c>
      <c r="D1925" s="12" t="n">
        <v>2023</v>
      </c>
      <c r="E1925" s="4"/>
      <c r="F1925" s="4" t="s">
        <v>1990</v>
      </c>
      <c r="G1925" s="4" t="s">
        <v>1991</v>
      </c>
      <c r="H1925" s="4" t="s">
        <v>1992</v>
      </c>
      <c r="I1925" s="4"/>
      <c r="J1925" s="4" t="s">
        <v>1618</v>
      </c>
      <c r="K1925" s="4" t="s">
        <v>101</v>
      </c>
      <c r="L1925" s="4" t="s">
        <v>102</v>
      </c>
      <c r="M1925" s="4" t="s">
        <v>1993</v>
      </c>
      <c r="N1925" s="4" t="s">
        <v>2001</v>
      </c>
      <c r="O1925" s="4" t="s">
        <v>2002</v>
      </c>
      <c r="P1925" s="4" t="s">
        <v>68</v>
      </c>
      <c r="Q1925" s="4" t="s">
        <v>2111</v>
      </c>
      <c r="R1925" s="4" t="s">
        <v>1997</v>
      </c>
      <c r="S1925" s="4"/>
      <c r="T1925" s="4"/>
      <c r="U1925" s="4"/>
      <c r="V1925" s="4"/>
      <c r="W1925" s="4"/>
      <c r="X1925" s="4"/>
      <c r="Y1925" s="4"/>
      <c r="Z1925" s="4"/>
      <c r="AA1925" s="4"/>
      <c r="AB1925" s="4"/>
      <c r="AC1925" s="4"/>
      <c r="AD1925" s="4"/>
      <c r="AE1925" s="4"/>
      <c r="AF1925" s="4"/>
      <c r="AG1925" s="4"/>
      <c r="AH1925" s="4"/>
      <c r="AI1925" s="4"/>
      <c r="AJ1925" s="4"/>
      <c r="AK1925" s="4"/>
      <c r="AL1925" s="4"/>
      <c r="AM1925" s="4" t="s">
        <v>2112</v>
      </c>
    </row>
    <row r="1926" customFormat="false" ht="23.85" hidden="false" customHeight="false" outlineLevel="0" collapsed="false">
      <c r="A1926" s="4" t="s">
        <v>1987</v>
      </c>
      <c r="B1926" s="4" t="s">
        <v>2350</v>
      </c>
      <c r="C1926" s="4" t="s">
        <v>2351</v>
      </c>
      <c r="D1926" s="12" t="n">
        <v>2023</v>
      </c>
      <c r="E1926" s="4"/>
      <c r="F1926" s="4" t="s">
        <v>1990</v>
      </c>
      <c r="G1926" s="4" t="s">
        <v>1991</v>
      </c>
      <c r="H1926" s="4" t="s">
        <v>1992</v>
      </c>
      <c r="I1926" s="4"/>
      <c r="J1926" s="4" t="s">
        <v>1622</v>
      </c>
      <c r="K1926" s="4" t="s">
        <v>103</v>
      </c>
      <c r="L1926" s="4" t="s">
        <v>104</v>
      </c>
      <c r="M1926" s="4" t="s">
        <v>1993</v>
      </c>
      <c r="N1926" s="4" t="s">
        <v>1994</v>
      </c>
      <c r="O1926" s="4" t="s">
        <v>2029</v>
      </c>
      <c r="P1926" s="4" t="s">
        <v>69</v>
      </c>
      <c r="Q1926" s="4" t="s">
        <v>2030</v>
      </c>
      <c r="R1926" s="4" t="s">
        <v>1997</v>
      </c>
      <c r="S1926" s="4"/>
      <c r="T1926" s="4"/>
      <c r="U1926" s="4"/>
      <c r="V1926" s="4"/>
      <c r="W1926" s="4"/>
      <c r="X1926" s="4"/>
      <c r="Y1926" s="4"/>
      <c r="Z1926" s="4"/>
      <c r="AA1926" s="4"/>
      <c r="AB1926" s="4"/>
      <c r="AC1926" s="4"/>
      <c r="AD1926" s="4"/>
      <c r="AE1926" s="4"/>
      <c r="AF1926" s="4"/>
      <c r="AG1926" s="4"/>
      <c r="AH1926" s="4"/>
      <c r="AI1926" s="4"/>
      <c r="AJ1926" s="4"/>
      <c r="AK1926" s="4"/>
      <c r="AL1926" s="4"/>
      <c r="AM1926" s="4" t="s">
        <v>2031</v>
      </c>
    </row>
    <row r="1927" customFormat="false" ht="23.85" hidden="false" customHeight="false" outlineLevel="0" collapsed="false">
      <c r="A1927" s="4" t="s">
        <v>1987</v>
      </c>
      <c r="B1927" s="4" t="s">
        <v>2352</v>
      </c>
      <c r="C1927" s="4" t="s">
        <v>2353</v>
      </c>
      <c r="D1927" s="12" t="n">
        <v>2023</v>
      </c>
      <c r="E1927" s="4"/>
      <c r="F1927" s="4" t="s">
        <v>1990</v>
      </c>
      <c r="G1927" s="4" t="s">
        <v>1991</v>
      </c>
      <c r="H1927" s="4" t="s">
        <v>1992</v>
      </c>
      <c r="I1927" s="4"/>
      <c r="J1927" s="4" t="s">
        <v>1623</v>
      </c>
      <c r="K1927" s="4" t="s">
        <v>103</v>
      </c>
      <c r="L1927" s="4" t="s">
        <v>104</v>
      </c>
      <c r="M1927" s="4" t="s">
        <v>1993</v>
      </c>
      <c r="N1927" s="4" t="s">
        <v>2001</v>
      </c>
      <c r="O1927" s="4" t="s">
        <v>2091</v>
      </c>
      <c r="P1927" s="4" t="s">
        <v>69</v>
      </c>
      <c r="Q1927" s="4" t="s">
        <v>2030</v>
      </c>
      <c r="R1927" s="4" t="s">
        <v>1997</v>
      </c>
      <c r="S1927" s="4"/>
      <c r="T1927" s="4"/>
      <c r="U1927" s="4"/>
      <c r="V1927" s="4"/>
      <c r="W1927" s="4"/>
      <c r="X1927" s="4"/>
      <c r="Y1927" s="4"/>
      <c r="Z1927" s="4"/>
      <c r="AA1927" s="4"/>
      <c r="AB1927" s="4"/>
      <c r="AC1927" s="4"/>
      <c r="AD1927" s="4"/>
      <c r="AE1927" s="4"/>
      <c r="AF1927" s="4"/>
      <c r="AG1927" s="4"/>
      <c r="AH1927" s="4"/>
      <c r="AI1927" s="4"/>
      <c r="AJ1927" s="4"/>
      <c r="AK1927" s="4"/>
      <c r="AL1927" s="4"/>
      <c r="AM1927" s="4" t="s">
        <v>2092</v>
      </c>
    </row>
    <row r="1928" customFormat="false" ht="23.85" hidden="false" customHeight="false" outlineLevel="0" collapsed="false">
      <c r="A1928" s="4" t="s">
        <v>1987</v>
      </c>
      <c r="B1928" s="4" t="s">
        <v>2354</v>
      </c>
      <c r="C1928" s="4" t="s">
        <v>2355</v>
      </c>
      <c r="D1928" s="12" t="n">
        <v>2023</v>
      </c>
      <c r="E1928" s="4"/>
      <c r="F1928" s="4" t="s">
        <v>1990</v>
      </c>
      <c r="G1928" s="4" t="s">
        <v>1991</v>
      </c>
      <c r="H1928" s="4" t="s">
        <v>1992</v>
      </c>
      <c r="I1928" s="4"/>
      <c r="J1928" s="4" t="s">
        <v>1624</v>
      </c>
      <c r="K1928" s="4" t="s">
        <v>103</v>
      </c>
      <c r="L1928" s="4" t="s">
        <v>104</v>
      </c>
      <c r="M1928" s="4" t="s">
        <v>1993</v>
      </c>
      <c r="N1928" s="4" t="s">
        <v>2001</v>
      </c>
      <c r="O1928" s="4" t="s">
        <v>2034</v>
      </c>
      <c r="P1928" s="4" t="s">
        <v>74</v>
      </c>
      <c r="Q1928" s="4" t="s">
        <v>2035</v>
      </c>
      <c r="R1928" s="4" t="s">
        <v>2036</v>
      </c>
      <c r="S1928" s="4"/>
      <c r="T1928" s="4"/>
      <c r="U1928" s="4"/>
      <c r="V1928" s="4"/>
      <c r="W1928" s="4"/>
      <c r="X1928" s="4"/>
      <c r="Y1928" s="4"/>
      <c r="Z1928" s="4"/>
      <c r="AA1928" s="4"/>
      <c r="AB1928" s="4"/>
      <c r="AC1928" s="4"/>
      <c r="AD1928" s="4"/>
      <c r="AE1928" s="4"/>
      <c r="AF1928" s="4"/>
      <c r="AG1928" s="4"/>
      <c r="AH1928" s="4"/>
      <c r="AI1928" s="4"/>
      <c r="AJ1928" s="4"/>
      <c r="AK1928" s="4"/>
      <c r="AL1928" s="4"/>
      <c r="AM1928" s="4" t="s">
        <v>2037</v>
      </c>
    </row>
    <row r="1929" customFormat="false" ht="15" hidden="false" customHeight="false" outlineLevel="0" collapsed="false">
      <c r="A1929" s="4" t="s">
        <v>1987</v>
      </c>
      <c r="B1929" s="4" t="s">
        <v>2356</v>
      </c>
      <c r="C1929" s="4" t="s">
        <v>2357</v>
      </c>
      <c r="D1929" s="12" t="n">
        <v>2023</v>
      </c>
      <c r="E1929" s="4"/>
      <c r="F1929" s="4" t="s">
        <v>1990</v>
      </c>
      <c r="G1929" s="4" t="s">
        <v>1991</v>
      </c>
      <c r="H1929" s="4" t="s">
        <v>1992</v>
      </c>
      <c r="I1929" s="4"/>
      <c r="J1929" s="4" t="s">
        <v>1629</v>
      </c>
      <c r="K1929" s="4" t="s">
        <v>103</v>
      </c>
      <c r="L1929" s="4" t="s">
        <v>104</v>
      </c>
      <c r="M1929" s="4" t="s">
        <v>1993</v>
      </c>
      <c r="N1929" s="4" t="s">
        <v>2001</v>
      </c>
      <c r="O1929" s="4" t="s">
        <v>2002</v>
      </c>
      <c r="P1929" s="4" t="s">
        <v>71</v>
      </c>
      <c r="Q1929" s="4" t="s">
        <v>2123</v>
      </c>
      <c r="R1929" s="4" t="s">
        <v>1997</v>
      </c>
      <c r="S1929" s="4"/>
      <c r="T1929" s="4"/>
      <c r="U1929" s="4"/>
      <c r="V1929" s="4"/>
      <c r="W1929" s="4"/>
      <c r="X1929" s="4"/>
      <c r="Y1929" s="4"/>
      <c r="Z1929" s="4"/>
      <c r="AA1929" s="4"/>
      <c r="AB1929" s="4"/>
      <c r="AC1929" s="4"/>
      <c r="AD1929" s="4"/>
      <c r="AE1929" s="4"/>
      <c r="AF1929" s="4"/>
      <c r="AG1929" s="4"/>
      <c r="AH1929" s="4"/>
      <c r="AI1929" s="4"/>
      <c r="AJ1929" s="4"/>
      <c r="AK1929" s="4"/>
      <c r="AL1929" s="4"/>
      <c r="AM1929" s="4" t="s">
        <v>2124</v>
      </c>
    </row>
    <row r="1930" customFormat="false" ht="15" hidden="false" customHeight="false" outlineLevel="0" collapsed="false">
      <c r="A1930" s="4" t="s">
        <v>1987</v>
      </c>
      <c r="B1930" s="4" t="s">
        <v>2358</v>
      </c>
      <c r="C1930" s="4" t="s">
        <v>2359</v>
      </c>
      <c r="D1930" s="12" t="n">
        <v>2023</v>
      </c>
      <c r="E1930" s="4"/>
      <c r="F1930" s="4" t="s">
        <v>1990</v>
      </c>
      <c r="G1930" s="4" t="s">
        <v>1991</v>
      </c>
      <c r="H1930" s="4" t="s">
        <v>1992</v>
      </c>
      <c r="I1930" s="4"/>
      <c r="J1930" s="4" t="s">
        <v>1631</v>
      </c>
      <c r="K1930" s="4" t="s">
        <v>103</v>
      </c>
      <c r="L1930" s="4" t="s">
        <v>104</v>
      </c>
      <c r="M1930" s="4" t="s">
        <v>1993</v>
      </c>
      <c r="N1930" s="4" t="s">
        <v>2001</v>
      </c>
      <c r="O1930" s="4" t="s">
        <v>2002</v>
      </c>
      <c r="P1930" s="4" t="s">
        <v>72</v>
      </c>
      <c r="Q1930" s="4" t="s">
        <v>2079</v>
      </c>
      <c r="R1930" s="4" t="s">
        <v>1997</v>
      </c>
      <c r="S1930" s="4"/>
      <c r="T1930" s="4"/>
      <c r="U1930" s="4"/>
      <c r="V1930" s="4"/>
      <c r="W1930" s="4"/>
      <c r="X1930" s="4"/>
      <c r="Y1930" s="4"/>
      <c r="Z1930" s="4"/>
      <c r="AA1930" s="4"/>
      <c r="AB1930" s="4"/>
      <c r="AC1930" s="4"/>
      <c r="AD1930" s="4"/>
      <c r="AE1930" s="4"/>
      <c r="AF1930" s="4"/>
      <c r="AG1930" s="4"/>
      <c r="AH1930" s="4"/>
      <c r="AI1930" s="4"/>
      <c r="AJ1930" s="4"/>
      <c r="AK1930" s="4"/>
      <c r="AL1930" s="4"/>
      <c r="AM1930" s="4" t="s">
        <v>2080</v>
      </c>
    </row>
    <row r="1931" customFormat="false" ht="23.85" hidden="false" customHeight="false" outlineLevel="0" collapsed="false">
      <c r="A1931" s="4" t="s">
        <v>1987</v>
      </c>
      <c r="B1931" s="4" t="s">
        <v>2360</v>
      </c>
      <c r="C1931" s="4" t="s">
        <v>2361</v>
      </c>
      <c r="D1931" s="12" t="n">
        <v>2023</v>
      </c>
      <c r="E1931" s="4"/>
      <c r="F1931" s="4" t="s">
        <v>1990</v>
      </c>
      <c r="G1931" s="4" t="s">
        <v>1991</v>
      </c>
      <c r="H1931" s="4" t="s">
        <v>1992</v>
      </c>
      <c r="I1931" s="4"/>
      <c r="J1931" s="4" t="s">
        <v>1632</v>
      </c>
      <c r="K1931" s="4" t="s">
        <v>103</v>
      </c>
      <c r="L1931" s="4" t="s">
        <v>104</v>
      </c>
      <c r="M1931" s="4" t="s">
        <v>1993</v>
      </c>
      <c r="N1931" s="4" t="s">
        <v>2001</v>
      </c>
      <c r="O1931" s="4" t="s">
        <v>2002</v>
      </c>
      <c r="P1931" s="4" t="s">
        <v>68</v>
      </c>
      <c r="Q1931" s="4" t="s">
        <v>2111</v>
      </c>
      <c r="R1931" s="4" t="s">
        <v>1997</v>
      </c>
      <c r="S1931" s="4"/>
      <c r="T1931" s="4"/>
      <c r="U1931" s="4"/>
      <c r="V1931" s="4"/>
      <c r="W1931" s="4"/>
      <c r="X1931" s="4"/>
      <c r="Y1931" s="4"/>
      <c r="Z1931" s="4"/>
      <c r="AA1931" s="4"/>
      <c r="AB1931" s="4"/>
      <c r="AC1931" s="4"/>
      <c r="AD1931" s="4"/>
      <c r="AE1931" s="4"/>
      <c r="AF1931" s="4"/>
      <c r="AG1931" s="4"/>
      <c r="AH1931" s="4"/>
      <c r="AI1931" s="4"/>
      <c r="AJ1931" s="4"/>
      <c r="AK1931" s="4"/>
      <c r="AL1931" s="4"/>
      <c r="AM1931" s="4" t="s">
        <v>2112</v>
      </c>
    </row>
    <row r="1932" customFormat="false" ht="23.85" hidden="false" customHeight="false" outlineLevel="0" collapsed="false">
      <c r="A1932" s="4" t="s">
        <v>1987</v>
      </c>
      <c r="B1932" s="4" t="s">
        <v>2362</v>
      </c>
      <c r="C1932" s="4" t="s">
        <v>2363</v>
      </c>
      <c r="D1932" s="12" t="n">
        <v>2023</v>
      </c>
      <c r="E1932" s="4"/>
      <c r="F1932" s="4" t="s">
        <v>1990</v>
      </c>
      <c r="G1932" s="4" t="s">
        <v>1991</v>
      </c>
      <c r="H1932" s="4" t="s">
        <v>1992</v>
      </c>
      <c r="I1932" s="4"/>
      <c r="J1932" s="4" t="s">
        <v>1636</v>
      </c>
      <c r="K1932" s="4" t="s">
        <v>105</v>
      </c>
      <c r="L1932" s="4" t="s">
        <v>106</v>
      </c>
      <c r="M1932" s="4" t="s">
        <v>1993</v>
      </c>
      <c r="N1932" s="4" t="s">
        <v>1994</v>
      </c>
      <c r="O1932" s="4" t="s">
        <v>2029</v>
      </c>
      <c r="P1932" s="4" t="s">
        <v>69</v>
      </c>
      <c r="Q1932" s="4" t="s">
        <v>2030</v>
      </c>
      <c r="R1932" s="4" t="s">
        <v>1997</v>
      </c>
      <c r="S1932" s="4"/>
      <c r="T1932" s="4"/>
      <c r="U1932" s="4"/>
      <c r="V1932" s="4"/>
      <c r="W1932" s="4"/>
      <c r="X1932" s="4"/>
      <c r="Y1932" s="4"/>
      <c r="Z1932" s="4"/>
      <c r="AA1932" s="4"/>
      <c r="AB1932" s="4"/>
      <c r="AC1932" s="4"/>
      <c r="AD1932" s="4"/>
      <c r="AE1932" s="4"/>
      <c r="AF1932" s="4"/>
      <c r="AG1932" s="4"/>
      <c r="AH1932" s="4"/>
      <c r="AI1932" s="4"/>
      <c r="AJ1932" s="4"/>
      <c r="AK1932" s="4"/>
      <c r="AL1932" s="4"/>
      <c r="AM1932" s="4" t="s">
        <v>2031</v>
      </c>
    </row>
    <row r="1933" customFormat="false" ht="23.85" hidden="false" customHeight="false" outlineLevel="0" collapsed="false">
      <c r="A1933" s="4" t="s">
        <v>1987</v>
      </c>
      <c r="B1933" s="4" t="s">
        <v>2364</v>
      </c>
      <c r="C1933" s="4" t="s">
        <v>2365</v>
      </c>
      <c r="D1933" s="12" t="n">
        <v>2023</v>
      </c>
      <c r="E1933" s="4"/>
      <c r="F1933" s="4" t="s">
        <v>1990</v>
      </c>
      <c r="G1933" s="4" t="s">
        <v>1991</v>
      </c>
      <c r="H1933" s="4" t="s">
        <v>1992</v>
      </c>
      <c r="I1933" s="4"/>
      <c r="J1933" s="4" t="s">
        <v>1637</v>
      </c>
      <c r="K1933" s="4" t="s">
        <v>105</v>
      </c>
      <c r="L1933" s="4" t="s">
        <v>106</v>
      </c>
      <c r="M1933" s="4" t="s">
        <v>1993</v>
      </c>
      <c r="N1933" s="4" t="s">
        <v>2001</v>
      </c>
      <c r="O1933" s="4" t="s">
        <v>2091</v>
      </c>
      <c r="P1933" s="4" t="s">
        <v>69</v>
      </c>
      <c r="Q1933" s="4" t="s">
        <v>2030</v>
      </c>
      <c r="R1933" s="4" t="s">
        <v>1997</v>
      </c>
      <c r="S1933" s="4"/>
      <c r="T1933" s="4"/>
      <c r="U1933" s="4"/>
      <c r="V1933" s="4"/>
      <c r="W1933" s="4"/>
      <c r="X1933" s="4"/>
      <c r="Y1933" s="4"/>
      <c r="Z1933" s="4"/>
      <c r="AA1933" s="4"/>
      <c r="AB1933" s="4"/>
      <c r="AC1933" s="4"/>
      <c r="AD1933" s="4"/>
      <c r="AE1933" s="4"/>
      <c r="AF1933" s="4"/>
      <c r="AG1933" s="4"/>
      <c r="AH1933" s="4"/>
      <c r="AI1933" s="4"/>
      <c r="AJ1933" s="4"/>
      <c r="AK1933" s="4"/>
      <c r="AL1933" s="4"/>
      <c r="AM1933" s="4" t="s">
        <v>2092</v>
      </c>
    </row>
    <row r="1934" customFormat="false" ht="23.85" hidden="false" customHeight="false" outlineLevel="0" collapsed="false">
      <c r="A1934" s="4" t="s">
        <v>1987</v>
      </c>
      <c r="B1934" s="4" t="s">
        <v>2366</v>
      </c>
      <c r="C1934" s="4" t="s">
        <v>2367</v>
      </c>
      <c r="D1934" s="12" t="n">
        <v>2023</v>
      </c>
      <c r="E1934" s="4"/>
      <c r="F1934" s="4" t="s">
        <v>1990</v>
      </c>
      <c r="G1934" s="4" t="s">
        <v>1991</v>
      </c>
      <c r="H1934" s="4" t="s">
        <v>1992</v>
      </c>
      <c r="I1934" s="4"/>
      <c r="J1934" s="4" t="s">
        <v>1638</v>
      </c>
      <c r="K1934" s="4" t="s">
        <v>105</v>
      </c>
      <c r="L1934" s="4" t="s">
        <v>106</v>
      </c>
      <c r="M1934" s="4" t="s">
        <v>1993</v>
      </c>
      <c r="N1934" s="4" t="s">
        <v>2001</v>
      </c>
      <c r="O1934" s="4" t="s">
        <v>2034</v>
      </c>
      <c r="P1934" s="4" t="s">
        <v>74</v>
      </c>
      <c r="Q1934" s="4" t="s">
        <v>2035</v>
      </c>
      <c r="R1934" s="4" t="s">
        <v>2036</v>
      </c>
      <c r="S1934" s="4"/>
      <c r="T1934" s="4"/>
      <c r="U1934" s="4"/>
      <c r="V1934" s="4"/>
      <c r="W1934" s="4"/>
      <c r="X1934" s="4"/>
      <c r="Y1934" s="4"/>
      <c r="Z1934" s="4"/>
      <c r="AA1934" s="4"/>
      <c r="AB1934" s="4"/>
      <c r="AC1934" s="4"/>
      <c r="AD1934" s="4"/>
      <c r="AE1934" s="4"/>
      <c r="AF1934" s="4"/>
      <c r="AG1934" s="4"/>
      <c r="AH1934" s="4"/>
      <c r="AI1934" s="4"/>
      <c r="AJ1934" s="4"/>
      <c r="AK1934" s="4"/>
      <c r="AL1934" s="4"/>
      <c r="AM1934" s="4" t="s">
        <v>2037</v>
      </c>
    </row>
    <row r="1935" customFormat="false" ht="15" hidden="false" customHeight="false" outlineLevel="0" collapsed="false">
      <c r="A1935" s="4" t="s">
        <v>1987</v>
      </c>
      <c r="B1935" s="4" t="s">
        <v>2368</v>
      </c>
      <c r="C1935" s="4" t="s">
        <v>2369</v>
      </c>
      <c r="D1935" s="12" t="n">
        <v>2023</v>
      </c>
      <c r="E1935" s="4"/>
      <c r="F1935" s="4" t="s">
        <v>1990</v>
      </c>
      <c r="G1935" s="4" t="s">
        <v>1991</v>
      </c>
      <c r="H1935" s="4" t="s">
        <v>1992</v>
      </c>
      <c r="I1935" s="4"/>
      <c r="J1935" s="4" t="s">
        <v>1643</v>
      </c>
      <c r="K1935" s="4" t="s">
        <v>105</v>
      </c>
      <c r="L1935" s="4" t="s">
        <v>106</v>
      </c>
      <c r="M1935" s="4" t="s">
        <v>1993</v>
      </c>
      <c r="N1935" s="4" t="s">
        <v>2001</v>
      </c>
      <c r="O1935" s="4" t="s">
        <v>2002</v>
      </c>
      <c r="P1935" s="4" t="s">
        <v>71</v>
      </c>
      <c r="Q1935" s="4" t="s">
        <v>2123</v>
      </c>
      <c r="R1935" s="4" t="s">
        <v>1997</v>
      </c>
      <c r="S1935" s="4"/>
      <c r="T1935" s="4"/>
      <c r="U1935" s="4"/>
      <c r="V1935" s="4"/>
      <c r="W1935" s="4"/>
      <c r="X1935" s="4"/>
      <c r="Y1935" s="4"/>
      <c r="Z1935" s="4"/>
      <c r="AA1935" s="4"/>
      <c r="AB1935" s="4"/>
      <c r="AC1935" s="4"/>
      <c r="AD1935" s="4"/>
      <c r="AE1935" s="4"/>
      <c r="AF1935" s="4"/>
      <c r="AG1935" s="4"/>
      <c r="AH1935" s="4"/>
      <c r="AI1935" s="4"/>
      <c r="AJ1935" s="4"/>
      <c r="AK1935" s="4"/>
      <c r="AL1935" s="4"/>
      <c r="AM1935" s="4" t="s">
        <v>2124</v>
      </c>
    </row>
    <row r="1936" customFormat="false" ht="15" hidden="false" customHeight="false" outlineLevel="0" collapsed="false">
      <c r="A1936" s="4" t="s">
        <v>1987</v>
      </c>
      <c r="B1936" s="4" t="s">
        <v>2370</v>
      </c>
      <c r="C1936" s="4" t="s">
        <v>2371</v>
      </c>
      <c r="D1936" s="12" t="n">
        <v>2023</v>
      </c>
      <c r="E1936" s="4"/>
      <c r="F1936" s="4" t="s">
        <v>1990</v>
      </c>
      <c r="G1936" s="4" t="s">
        <v>1991</v>
      </c>
      <c r="H1936" s="4" t="s">
        <v>1992</v>
      </c>
      <c r="I1936" s="4"/>
      <c r="J1936" s="4" t="s">
        <v>1644</v>
      </c>
      <c r="K1936" s="4" t="s">
        <v>105</v>
      </c>
      <c r="L1936" s="4" t="s">
        <v>106</v>
      </c>
      <c r="M1936" s="4" t="s">
        <v>1993</v>
      </c>
      <c r="N1936" s="4" t="s">
        <v>2001</v>
      </c>
      <c r="O1936" s="4" t="s">
        <v>2074</v>
      </c>
      <c r="P1936" s="4" t="s">
        <v>73</v>
      </c>
      <c r="Q1936" s="4" t="s">
        <v>2075</v>
      </c>
      <c r="R1936" s="4" t="s">
        <v>1997</v>
      </c>
      <c r="S1936" s="4"/>
      <c r="T1936" s="4"/>
      <c r="U1936" s="4"/>
      <c r="V1936" s="4"/>
      <c r="W1936" s="4"/>
      <c r="X1936" s="4"/>
      <c r="Y1936" s="4"/>
      <c r="Z1936" s="4"/>
      <c r="AA1936" s="4"/>
      <c r="AB1936" s="4"/>
      <c r="AC1936" s="4"/>
      <c r="AD1936" s="4"/>
      <c r="AE1936" s="4"/>
      <c r="AF1936" s="4"/>
      <c r="AG1936" s="4"/>
      <c r="AH1936" s="4"/>
      <c r="AI1936" s="4"/>
      <c r="AJ1936" s="4"/>
      <c r="AK1936" s="4"/>
      <c r="AL1936" s="4"/>
      <c r="AM1936" s="4" t="s">
        <v>2076</v>
      </c>
    </row>
    <row r="1937" customFormat="false" ht="15" hidden="false" customHeight="false" outlineLevel="0" collapsed="false">
      <c r="A1937" s="4" t="s">
        <v>1987</v>
      </c>
      <c r="B1937" s="4" t="s">
        <v>2372</v>
      </c>
      <c r="C1937" s="4" t="s">
        <v>2373</v>
      </c>
      <c r="D1937" s="12" t="n">
        <v>2023</v>
      </c>
      <c r="E1937" s="4"/>
      <c r="F1937" s="4" t="s">
        <v>1990</v>
      </c>
      <c r="G1937" s="4" t="s">
        <v>1991</v>
      </c>
      <c r="H1937" s="4" t="s">
        <v>1992</v>
      </c>
      <c r="I1937" s="4"/>
      <c r="J1937" s="4" t="s">
        <v>1645</v>
      </c>
      <c r="K1937" s="4" t="s">
        <v>105</v>
      </c>
      <c r="L1937" s="4" t="s">
        <v>106</v>
      </c>
      <c r="M1937" s="4" t="s">
        <v>1993</v>
      </c>
      <c r="N1937" s="4" t="s">
        <v>2001</v>
      </c>
      <c r="O1937" s="4" t="s">
        <v>2002</v>
      </c>
      <c r="P1937" s="4" t="s">
        <v>72</v>
      </c>
      <c r="Q1937" s="4" t="s">
        <v>2079</v>
      </c>
      <c r="R1937" s="4" t="s">
        <v>1997</v>
      </c>
      <c r="S1937" s="4"/>
      <c r="T1937" s="4"/>
      <c r="U1937" s="4"/>
      <c r="V1937" s="4"/>
      <c r="W1937" s="4"/>
      <c r="X1937" s="4"/>
      <c r="Y1937" s="4"/>
      <c r="Z1937" s="4"/>
      <c r="AA1937" s="4"/>
      <c r="AB1937" s="4"/>
      <c r="AC1937" s="4"/>
      <c r="AD1937" s="4"/>
      <c r="AE1937" s="4"/>
      <c r="AF1937" s="4"/>
      <c r="AG1937" s="4"/>
      <c r="AH1937" s="4"/>
      <c r="AI1937" s="4"/>
      <c r="AJ1937" s="4"/>
      <c r="AK1937" s="4"/>
      <c r="AL1937" s="4"/>
      <c r="AM1937" s="4" t="s">
        <v>2080</v>
      </c>
    </row>
    <row r="1938" customFormat="false" ht="23.85" hidden="false" customHeight="false" outlineLevel="0" collapsed="false">
      <c r="A1938" s="4" t="s">
        <v>1987</v>
      </c>
      <c r="B1938" s="4" t="s">
        <v>2374</v>
      </c>
      <c r="C1938" s="4" t="s">
        <v>2375</v>
      </c>
      <c r="D1938" s="12" t="n">
        <v>2023</v>
      </c>
      <c r="E1938" s="4"/>
      <c r="F1938" s="4" t="s">
        <v>1990</v>
      </c>
      <c r="G1938" s="4" t="s">
        <v>1991</v>
      </c>
      <c r="H1938" s="4" t="s">
        <v>1992</v>
      </c>
      <c r="I1938" s="4"/>
      <c r="J1938" s="4" t="s">
        <v>1646</v>
      </c>
      <c r="K1938" s="4" t="s">
        <v>105</v>
      </c>
      <c r="L1938" s="4" t="s">
        <v>106</v>
      </c>
      <c r="M1938" s="4" t="s">
        <v>1993</v>
      </c>
      <c r="N1938" s="4" t="s">
        <v>2001</v>
      </c>
      <c r="O1938" s="4" t="s">
        <v>2002</v>
      </c>
      <c r="P1938" s="4" t="s">
        <v>68</v>
      </c>
      <c r="Q1938" s="4" t="s">
        <v>2111</v>
      </c>
      <c r="R1938" s="4" t="s">
        <v>1997</v>
      </c>
      <c r="S1938" s="4"/>
      <c r="T1938" s="4"/>
      <c r="U1938" s="4"/>
      <c r="V1938" s="4"/>
      <c r="W1938" s="4"/>
      <c r="X1938" s="4"/>
      <c r="Y1938" s="4"/>
      <c r="Z1938" s="4"/>
      <c r="AA1938" s="4"/>
      <c r="AB1938" s="4"/>
      <c r="AC1938" s="4"/>
      <c r="AD1938" s="4"/>
      <c r="AE1938" s="4"/>
      <c r="AF1938" s="4"/>
      <c r="AG1938" s="4"/>
      <c r="AH1938" s="4"/>
      <c r="AI1938" s="4"/>
      <c r="AJ1938" s="4"/>
      <c r="AK1938" s="4"/>
      <c r="AL1938" s="4"/>
      <c r="AM1938" s="4" t="s">
        <v>2112</v>
      </c>
    </row>
    <row r="1939" customFormat="false" ht="23.85" hidden="false" customHeight="false" outlineLevel="0" collapsed="false">
      <c r="A1939" s="4" t="s">
        <v>1987</v>
      </c>
      <c r="B1939" s="4" t="s">
        <v>2376</v>
      </c>
      <c r="C1939" s="4" t="s">
        <v>2377</v>
      </c>
      <c r="D1939" s="12" t="n">
        <v>2023</v>
      </c>
      <c r="E1939" s="4"/>
      <c r="F1939" s="4" t="s">
        <v>1990</v>
      </c>
      <c r="G1939" s="4" t="s">
        <v>1991</v>
      </c>
      <c r="H1939" s="4" t="s">
        <v>1992</v>
      </c>
      <c r="I1939" s="4"/>
      <c r="J1939" s="4" t="s">
        <v>1650</v>
      </c>
      <c r="K1939" s="4" t="s">
        <v>107</v>
      </c>
      <c r="L1939" s="4" t="s">
        <v>108</v>
      </c>
      <c r="M1939" s="4" t="s">
        <v>1993</v>
      </c>
      <c r="N1939" s="4" t="s">
        <v>1994</v>
      </c>
      <c r="O1939" s="4" t="s">
        <v>2029</v>
      </c>
      <c r="P1939" s="4" t="s">
        <v>69</v>
      </c>
      <c r="Q1939" s="4" t="s">
        <v>2030</v>
      </c>
      <c r="R1939" s="4" t="s">
        <v>1997</v>
      </c>
      <c r="S1939" s="4"/>
      <c r="T1939" s="4"/>
      <c r="U1939" s="4"/>
      <c r="V1939" s="4"/>
      <c r="W1939" s="4"/>
      <c r="X1939" s="4"/>
      <c r="Y1939" s="4"/>
      <c r="Z1939" s="4"/>
      <c r="AA1939" s="4"/>
      <c r="AB1939" s="4"/>
      <c r="AC1939" s="4"/>
      <c r="AD1939" s="4"/>
      <c r="AE1939" s="4"/>
      <c r="AF1939" s="4"/>
      <c r="AG1939" s="4"/>
      <c r="AH1939" s="4"/>
      <c r="AI1939" s="4"/>
      <c r="AJ1939" s="4"/>
      <c r="AK1939" s="4"/>
      <c r="AL1939" s="4"/>
      <c r="AM1939" s="4" t="s">
        <v>2031</v>
      </c>
    </row>
    <row r="1940" customFormat="false" ht="23.85" hidden="false" customHeight="false" outlineLevel="0" collapsed="false">
      <c r="A1940" s="4" t="s">
        <v>1987</v>
      </c>
      <c r="B1940" s="4" t="s">
        <v>2378</v>
      </c>
      <c r="C1940" s="4" t="s">
        <v>2379</v>
      </c>
      <c r="D1940" s="12" t="n">
        <v>2023</v>
      </c>
      <c r="E1940" s="4"/>
      <c r="F1940" s="4" t="s">
        <v>1990</v>
      </c>
      <c r="G1940" s="4" t="s">
        <v>1991</v>
      </c>
      <c r="H1940" s="4" t="s">
        <v>1992</v>
      </c>
      <c r="I1940" s="4"/>
      <c r="J1940" s="4" t="s">
        <v>1651</v>
      </c>
      <c r="K1940" s="4" t="s">
        <v>107</v>
      </c>
      <c r="L1940" s="4" t="s">
        <v>108</v>
      </c>
      <c r="M1940" s="4" t="s">
        <v>1993</v>
      </c>
      <c r="N1940" s="4" t="s">
        <v>2001</v>
      </c>
      <c r="O1940" s="4" t="s">
        <v>2091</v>
      </c>
      <c r="P1940" s="4" t="s">
        <v>69</v>
      </c>
      <c r="Q1940" s="4" t="s">
        <v>2030</v>
      </c>
      <c r="R1940" s="4" t="s">
        <v>1997</v>
      </c>
      <c r="S1940" s="4"/>
      <c r="T1940" s="4"/>
      <c r="U1940" s="4"/>
      <c r="V1940" s="4"/>
      <c r="W1940" s="4"/>
      <c r="X1940" s="4"/>
      <c r="Y1940" s="4"/>
      <c r="Z1940" s="4"/>
      <c r="AA1940" s="4"/>
      <c r="AB1940" s="4"/>
      <c r="AC1940" s="4"/>
      <c r="AD1940" s="4"/>
      <c r="AE1940" s="4"/>
      <c r="AF1940" s="4"/>
      <c r="AG1940" s="4"/>
      <c r="AH1940" s="4"/>
      <c r="AI1940" s="4"/>
      <c r="AJ1940" s="4"/>
      <c r="AK1940" s="4"/>
      <c r="AL1940" s="4"/>
      <c r="AM1940" s="4" t="s">
        <v>2092</v>
      </c>
    </row>
    <row r="1941" customFormat="false" ht="23.85" hidden="false" customHeight="false" outlineLevel="0" collapsed="false">
      <c r="A1941" s="4" t="s">
        <v>1987</v>
      </c>
      <c r="B1941" s="4" t="s">
        <v>2380</v>
      </c>
      <c r="C1941" s="4" t="s">
        <v>2381</v>
      </c>
      <c r="D1941" s="12" t="n">
        <v>2023</v>
      </c>
      <c r="E1941" s="4"/>
      <c r="F1941" s="4" t="s">
        <v>1990</v>
      </c>
      <c r="G1941" s="4" t="s">
        <v>1991</v>
      </c>
      <c r="H1941" s="4" t="s">
        <v>1992</v>
      </c>
      <c r="I1941" s="4"/>
      <c r="J1941" s="4" t="s">
        <v>1652</v>
      </c>
      <c r="K1941" s="4" t="s">
        <v>107</v>
      </c>
      <c r="L1941" s="4" t="s">
        <v>108</v>
      </c>
      <c r="M1941" s="4" t="s">
        <v>1993</v>
      </c>
      <c r="N1941" s="4" t="s">
        <v>2001</v>
      </c>
      <c r="O1941" s="4" t="s">
        <v>2034</v>
      </c>
      <c r="P1941" s="4" t="s">
        <v>74</v>
      </c>
      <c r="Q1941" s="4" t="s">
        <v>2035</v>
      </c>
      <c r="R1941" s="4" t="s">
        <v>2036</v>
      </c>
      <c r="S1941" s="4"/>
      <c r="T1941" s="4"/>
      <c r="U1941" s="4"/>
      <c r="V1941" s="4"/>
      <c r="W1941" s="4"/>
      <c r="X1941" s="4"/>
      <c r="Y1941" s="4"/>
      <c r="Z1941" s="4"/>
      <c r="AA1941" s="4"/>
      <c r="AB1941" s="4"/>
      <c r="AC1941" s="4"/>
      <c r="AD1941" s="4"/>
      <c r="AE1941" s="4"/>
      <c r="AF1941" s="4"/>
      <c r="AG1941" s="4"/>
      <c r="AH1941" s="4"/>
      <c r="AI1941" s="4"/>
      <c r="AJ1941" s="4"/>
      <c r="AK1941" s="4"/>
      <c r="AL1941" s="4"/>
      <c r="AM1941" s="4" t="s">
        <v>2037</v>
      </c>
    </row>
    <row r="1942" customFormat="false" ht="15" hidden="false" customHeight="false" outlineLevel="0" collapsed="false">
      <c r="A1942" s="4" t="s">
        <v>1987</v>
      </c>
      <c r="B1942" s="4" t="s">
        <v>2382</v>
      </c>
      <c r="C1942" s="4" t="s">
        <v>2383</v>
      </c>
      <c r="D1942" s="12" t="n">
        <v>2023</v>
      </c>
      <c r="E1942" s="4"/>
      <c r="F1942" s="4" t="s">
        <v>1990</v>
      </c>
      <c r="G1942" s="4" t="s">
        <v>1991</v>
      </c>
      <c r="H1942" s="4" t="s">
        <v>1992</v>
      </c>
      <c r="I1942" s="4"/>
      <c r="J1942" s="4" t="s">
        <v>1657</v>
      </c>
      <c r="K1942" s="4" t="s">
        <v>107</v>
      </c>
      <c r="L1942" s="4" t="s">
        <v>108</v>
      </c>
      <c r="M1942" s="4" t="s">
        <v>1993</v>
      </c>
      <c r="N1942" s="4" t="s">
        <v>2001</v>
      </c>
      <c r="O1942" s="4" t="s">
        <v>2002</v>
      </c>
      <c r="P1942" s="4" t="s">
        <v>71</v>
      </c>
      <c r="Q1942" s="4" t="s">
        <v>2123</v>
      </c>
      <c r="R1942" s="4" t="s">
        <v>1997</v>
      </c>
      <c r="S1942" s="4"/>
      <c r="T1942" s="4"/>
      <c r="U1942" s="4"/>
      <c r="V1942" s="4"/>
      <c r="W1942" s="4"/>
      <c r="X1942" s="4"/>
      <c r="Y1942" s="4"/>
      <c r="Z1942" s="4"/>
      <c r="AA1942" s="4"/>
      <c r="AB1942" s="4"/>
      <c r="AC1942" s="4"/>
      <c r="AD1942" s="4"/>
      <c r="AE1942" s="4"/>
      <c r="AF1942" s="4"/>
      <c r="AG1942" s="4"/>
      <c r="AH1942" s="4"/>
      <c r="AI1942" s="4"/>
      <c r="AJ1942" s="4"/>
      <c r="AK1942" s="4"/>
      <c r="AL1942" s="4"/>
      <c r="AM1942" s="4" t="s">
        <v>2124</v>
      </c>
    </row>
    <row r="1943" customFormat="false" ht="23.85" hidden="false" customHeight="false" outlineLevel="0" collapsed="false">
      <c r="A1943" s="4" t="s">
        <v>1987</v>
      </c>
      <c r="B1943" s="4" t="s">
        <v>2384</v>
      </c>
      <c r="C1943" s="4" t="s">
        <v>2385</v>
      </c>
      <c r="D1943" s="12" t="n">
        <v>2023</v>
      </c>
      <c r="E1943" s="4"/>
      <c r="F1943" s="4" t="s">
        <v>1990</v>
      </c>
      <c r="G1943" s="4" t="s">
        <v>1991</v>
      </c>
      <c r="H1943" s="4" t="s">
        <v>1992</v>
      </c>
      <c r="I1943" s="4"/>
      <c r="J1943" s="4" t="s">
        <v>1664</v>
      </c>
      <c r="K1943" s="4" t="s">
        <v>111</v>
      </c>
      <c r="L1943" s="4" t="s">
        <v>112</v>
      </c>
      <c r="M1943" s="4" t="s">
        <v>1993</v>
      </c>
      <c r="N1943" s="4" t="s">
        <v>1994</v>
      </c>
      <c r="O1943" s="4" t="s">
        <v>2029</v>
      </c>
      <c r="P1943" s="4" t="s">
        <v>69</v>
      </c>
      <c r="Q1943" s="4" t="s">
        <v>2030</v>
      </c>
      <c r="R1943" s="4" t="s">
        <v>1997</v>
      </c>
      <c r="S1943" s="4"/>
      <c r="T1943" s="4"/>
      <c r="U1943" s="4"/>
      <c r="V1943" s="4"/>
      <c r="W1943" s="4"/>
      <c r="X1943" s="4"/>
      <c r="Y1943" s="4"/>
      <c r="Z1943" s="4"/>
      <c r="AA1943" s="4"/>
      <c r="AB1943" s="4"/>
      <c r="AC1943" s="4"/>
      <c r="AD1943" s="4"/>
      <c r="AE1943" s="4"/>
      <c r="AF1943" s="4"/>
      <c r="AG1943" s="4"/>
      <c r="AH1943" s="4"/>
      <c r="AI1943" s="4"/>
      <c r="AJ1943" s="4"/>
      <c r="AK1943" s="4"/>
      <c r="AL1943" s="4"/>
      <c r="AM1943" s="4" t="s">
        <v>2031</v>
      </c>
    </row>
    <row r="1944" customFormat="false" ht="23.85" hidden="false" customHeight="false" outlineLevel="0" collapsed="false">
      <c r="A1944" s="4" t="s">
        <v>1987</v>
      </c>
      <c r="B1944" s="4" t="s">
        <v>2386</v>
      </c>
      <c r="C1944" s="4" t="s">
        <v>2387</v>
      </c>
      <c r="D1944" s="12" t="n">
        <v>2023</v>
      </c>
      <c r="E1944" s="4"/>
      <c r="F1944" s="4" t="s">
        <v>1990</v>
      </c>
      <c r="G1944" s="4" t="s">
        <v>1991</v>
      </c>
      <c r="H1944" s="4" t="s">
        <v>1992</v>
      </c>
      <c r="I1944" s="4"/>
      <c r="J1944" s="4" t="s">
        <v>1665</v>
      </c>
      <c r="K1944" s="4" t="s">
        <v>111</v>
      </c>
      <c r="L1944" s="4" t="s">
        <v>112</v>
      </c>
      <c r="M1944" s="4" t="s">
        <v>1993</v>
      </c>
      <c r="N1944" s="4" t="s">
        <v>2001</v>
      </c>
      <c r="O1944" s="4" t="s">
        <v>2091</v>
      </c>
      <c r="P1944" s="4" t="s">
        <v>69</v>
      </c>
      <c r="Q1944" s="4" t="s">
        <v>2030</v>
      </c>
      <c r="R1944" s="4" t="s">
        <v>1997</v>
      </c>
      <c r="S1944" s="4"/>
      <c r="T1944" s="4"/>
      <c r="U1944" s="4"/>
      <c r="V1944" s="4"/>
      <c r="W1944" s="4"/>
      <c r="X1944" s="4"/>
      <c r="Y1944" s="4"/>
      <c r="Z1944" s="4"/>
      <c r="AA1944" s="4"/>
      <c r="AB1944" s="4"/>
      <c r="AC1944" s="4"/>
      <c r="AD1944" s="4"/>
      <c r="AE1944" s="4"/>
      <c r="AF1944" s="4"/>
      <c r="AG1944" s="4"/>
      <c r="AH1944" s="4"/>
      <c r="AI1944" s="4"/>
      <c r="AJ1944" s="4"/>
      <c r="AK1944" s="4"/>
      <c r="AL1944" s="4"/>
      <c r="AM1944" s="4" t="s">
        <v>2092</v>
      </c>
    </row>
    <row r="1945" customFormat="false" ht="23.85" hidden="false" customHeight="false" outlineLevel="0" collapsed="false">
      <c r="A1945" s="4" t="s">
        <v>1987</v>
      </c>
      <c r="B1945" s="4" t="s">
        <v>2388</v>
      </c>
      <c r="C1945" s="4" t="s">
        <v>2389</v>
      </c>
      <c r="D1945" s="12" t="n">
        <v>2023</v>
      </c>
      <c r="E1945" s="4"/>
      <c r="F1945" s="4" t="s">
        <v>1990</v>
      </c>
      <c r="G1945" s="4" t="s">
        <v>1991</v>
      </c>
      <c r="H1945" s="4" t="s">
        <v>1992</v>
      </c>
      <c r="I1945" s="4"/>
      <c r="J1945" s="4" t="s">
        <v>1666</v>
      </c>
      <c r="K1945" s="4" t="s">
        <v>111</v>
      </c>
      <c r="L1945" s="4" t="s">
        <v>112</v>
      </c>
      <c r="M1945" s="4" t="s">
        <v>1993</v>
      </c>
      <c r="N1945" s="4" t="s">
        <v>2001</v>
      </c>
      <c r="O1945" s="4" t="s">
        <v>2034</v>
      </c>
      <c r="P1945" s="4" t="s">
        <v>74</v>
      </c>
      <c r="Q1945" s="4" t="s">
        <v>2035</v>
      </c>
      <c r="R1945" s="4" t="s">
        <v>2036</v>
      </c>
      <c r="S1945" s="4"/>
      <c r="T1945" s="4"/>
      <c r="U1945" s="4"/>
      <c r="V1945" s="4"/>
      <c r="W1945" s="4"/>
      <c r="X1945" s="4"/>
      <c r="Y1945" s="4"/>
      <c r="Z1945" s="4"/>
      <c r="AA1945" s="4"/>
      <c r="AB1945" s="4"/>
      <c r="AC1945" s="4"/>
      <c r="AD1945" s="4"/>
      <c r="AE1945" s="4"/>
      <c r="AF1945" s="4"/>
      <c r="AG1945" s="4"/>
      <c r="AH1945" s="4"/>
      <c r="AI1945" s="4"/>
      <c r="AJ1945" s="4"/>
      <c r="AK1945" s="4"/>
      <c r="AL1945" s="4"/>
      <c r="AM1945" s="4" t="s">
        <v>2037</v>
      </c>
    </row>
    <row r="1946" customFormat="false" ht="23.85" hidden="false" customHeight="false" outlineLevel="0" collapsed="false">
      <c r="A1946" s="4" t="s">
        <v>1987</v>
      </c>
      <c r="B1946" s="4" t="s">
        <v>2390</v>
      </c>
      <c r="C1946" s="4" t="s">
        <v>2391</v>
      </c>
      <c r="D1946" s="12" t="n">
        <v>2023</v>
      </c>
      <c r="E1946" s="4"/>
      <c r="F1946" s="4" t="s">
        <v>1990</v>
      </c>
      <c r="G1946" s="4" t="s">
        <v>1991</v>
      </c>
      <c r="H1946" s="4" t="s">
        <v>1992</v>
      </c>
      <c r="I1946" s="4"/>
      <c r="J1946" s="4" t="s">
        <v>1667</v>
      </c>
      <c r="K1946" s="4" t="s">
        <v>111</v>
      </c>
      <c r="L1946" s="4" t="s">
        <v>112</v>
      </c>
      <c r="M1946" s="4" t="s">
        <v>1993</v>
      </c>
      <c r="N1946" s="4" t="s">
        <v>1994</v>
      </c>
      <c r="O1946" s="4" t="s">
        <v>1995</v>
      </c>
      <c r="P1946" s="4" t="s">
        <v>67</v>
      </c>
      <c r="Q1946" s="4" t="s">
        <v>2097</v>
      </c>
      <c r="R1946" s="4" t="s">
        <v>1997</v>
      </c>
      <c r="S1946" s="4"/>
      <c r="T1946" s="4"/>
      <c r="U1946" s="4"/>
      <c r="V1946" s="4"/>
      <c r="W1946" s="4"/>
      <c r="X1946" s="4"/>
      <c r="Y1946" s="4"/>
      <c r="Z1946" s="4"/>
      <c r="AA1946" s="4"/>
      <c r="AB1946" s="4"/>
      <c r="AC1946" s="4"/>
      <c r="AD1946" s="4"/>
      <c r="AE1946" s="4"/>
      <c r="AF1946" s="4"/>
      <c r="AG1946" s="4"/>
      <c r="AH1946" s="4"/>
      <c r="AI1946" s="4"/>
      <c r="AJ1946" s="4"/>
      <c r="AK1946" s="4"/>
      <c r="AL1946" s="4"/>
      <c r="AM1946" s="4" t="s">
        <v>2214</v>
      </c>
    </row>
    <row r="1947" customFormat="false" ht="23.85" hidden="false" customHeight="false" outlineLevel="0" collapsed="false">
      <c r="A1947" s="4" t="s">
        <v>1987</v>
      </c>
      <c r="B1947" s="4" t="s">
        <v>2392</v>
      </c>
      <c r="C1947" s="4" t="s">
        <v>2393</v>
      </c>
      <c r="D1947" s="12" t="n">
        <v>2023</v>
      </c>
      <c r="E1947" s="4"/>
      <c r="F1947" s="4" t="s">
        <v>1990</v>
      </c>
      <c r="G1947" s="4" t="s">
        <v>1991</v>
      </c>
      <c r="H1947" s="4" t="s">
        <v>1992</v>
      </c>
      <c r="I1947" s="4"/>
      <c r="J1947" s="4" t="s">
        <v>2394</v>
      </c>
      <c r="K1947" s="4" t="s">
        <v>95</v>
      </c>
      <c r="L1947" s="4" t="s">
        <v>96</v>
      </c>
      <c r="M1947" s="4" t="s">
        <v>1993</v>
      </c>
      <c r="N1947" s="4" t="s">
        <v>2001</v>
      </c>
      <c r="O1947" s="4" t="s">
        <v>2218</v>
      </c>
      <c r="P1947" s="4" t="s">
        <v>44</v>
      </c>
      <c r="Q1947" s="4" t="s">
        <v>2219</v>
      </c>
      <c r="R1947" s="4" t="s">
        <v>2220</v>
      </c>
      <c r="S1947" s="4"/>
      <c r="T1947" s="4"/>
      <c r="U1947" s="4"/>
      <c r="V1947" s="4"/>
      <c r="W1947" s="4"/>
      <c r="X1947" s="4"/>
      <c r="Y1947" s="4"/>
      <c r="Z1947" s="4"/>
      <c r="AA1947" s="4"/>
      <c r="AB1947" s="4"/>
      <c r="AC1947" s="4"/>
      <c r="AD1947" s="4"/>
      <c r="AE1947" s="4"/>
      <c r="AF1947" s="4"/>
      <c r="AG1947" s="4"/>
      <c r="AH1947" s="4"/>
      <c r="AI1947" s="4"/>
      <c r="AJ1947" s="4"/>
      <c r="AK1947" s="4"/>
      <c r="AL1947" s="4"/>
      <c r="AM1947" s="4" t="s">
        <v>2221</v>
      </c>
    </row>
    <row r="1948" customFormat="false" ht="23.85" hidden="false" customHeight="false" outlineLevel="0" collapsed="false">
      <c r="A1948" s="4" t="s">
        <v>1987</v>
      </c>
      <c r="B1948" s="4" t="s">
        <v>2395</v>
      </c>
      <c r="C1948" s="4" t="s">
        <v>2396</v>
      </c>
      <c r="D1948" s="12" t="n">
        <v>2023</v>
      </c>
      <c r="E1948" s="4"/>
      <c r="F1948" s="4" t="s">
        <v>1990</v>
      </c>
      <c r="G1948" s="4" t="s">
        <v>1991</v>
      </c>
      <c r="H1948" s="4" t="s">
        <v>1992</v>
      </c>
      <c r="I1948" s="4"/>
      <c r="J1948" s="4" t="s">
        <v>2397</v>
      </c>
      <c r="K1948" s="4" t="s">
        <v>76</v>
      </c>
      <c r="L1948" s="4" t="s">
        <v>77</v>
      </c>
      <c r="M1948" s="4" t="s">
        <v>1993</v>
      </c>
      <c r="N1948" s="4" t="s">
        <v>2001</v>
      </c>
      <c r="O1948" s="4" t="s">
        <v>2218</v>
      </c>
      <c r="P1948" s="4" t="s">
        <v>44</v>
      </c>
      <c r="Q1948" s="4" t="s">
        <v>2219</v>
      </c>
      <c r="R1948" s="4" t="s">
        <v>2220</v>
      </c>
      <c r="S1948" s="4"/>
      <c r="T1948" s="4"/>
      <c r="U1948" s="4"/>
      <c r="V1948" s="4"/>
      <c r="W1948" s="4"/>
      <c r="X1948" s="4"/>
      <c r="Y1948" s="4"/>
      <c r="Z1948" s="4"/>
      <c r="AA1948" s="4"/>
      <c r="AB1948" s="4"/>
      <c r="AC1948" s="4"/>
      <c r="AD1948" s="4"/>
      <c r="AE1948" s="4"/>
      <c r="AF1948" s="4"/>
      <c r="AG1948" s="4"/>
      <c r="AH1948" s="4"/>
      <c r="AI1948" s="4"/>
      <c r="AJ1948" s="4"/>
      <c r="AK1948" s="4"/>
      <c r="AL1948" s="4"/>
      <c r="AM1948" s="4" t="s">
        <v>2221</v>
      </c>
    </row>
    <row r="1949" customFormat="false" ht="23.85" hidden="false" customHeight="false" outlineLevel="0" collapsed="false">
      <c r="A1949" s="4" t="s">
        <v>1987</v>
      </c>
      <c r="B1949" s="4" t="s">
        <v>2398</v>
      </c>
      <c r="C1949" s="4" t="s">
        <v>2399</v>
      </c>
      <c r="D1949" s="12" t="n">
        <v>2023</v>
      </c>
      <c r="E1949" s="4"/>
      <c r="F1949" s="4" t="s">
        <v>1990</v>
      </c>
      <c r="G1949" s="4" t="s">
        <v>1991</v>
      </c>
      <c r="H1949" s="4" t="s">
        <v>1992</v>
      </c>
      <c r="I1949" s="4"/>
      <c r="J1949" s="4" t="s">
        <v>2400</v>
      </c>
      <c r="K1949" s="4" t="s">
        <v>97</v>
      </c>
      <c r="L1949" s="4" t="s">
        <v>98</v>
      </c>
      <c r="M1949" s="4" t="s">
        <v>1993</v>
      </c>
      <c r="N1949" s="4" t="s">
        <v>2001</v>
      </c>
      <c r="O1949" s="4" t="s">
        <v>2218</v>
      </c>
      <c r="P1949" s="4" t="s">
        <v>44</v>
      </c>
      <c r="Q1949" s="4" t="s">
        <v>2219</v>
      </c>
      <c r="R1949" s="4" t="s">
        <v>2220</v>
      </c>
      <c r="S1949" s="4"/>
      <c r="T1949" s="4"/>
      <c r="U1949" s="4"/>
      <c r="V1949" s="4"/>
      <c r="W1949" s="4"/>
      <c r="X1949" s="4"/>
      <c r="Y1949" s="4"/>
      <c r="Z1949" s="4"/>
      <c r="AA1949" s="4"/>
      <c r="AB1949" s="4"/>
      <c r="AC1949" s="4"/>
      <c r="AD1949" s="4"/>
      <c r="AE1949" s="4"/>
      <c r="AF1949" s="4"/>
      <c r="AG1949" s="4"/>
      <c r="AH1949" s="4"/>
      <c r="AI1949" s="4"/>
      <c r="AJ1949" s="4"/>
      <c r="AK1949" s="4"/>
      <c r="AL1949" s="4"/>
      <c r="AM1949" s="4" t="s">
        <v>2221</v>
      </c>
    </row>
    <row r="1950" customFormat="false" ht="23.85" hidden="false" customHeight="false" outlineLevel="0" collapsed="false">
      <c r="A1950" s="4" t="s">
        <v>1987</v>
      </c>
      <c r="B1950" s="4" t="s">
        <v>2401</v>
      </c>
      <c r="C1950" s="4" t="s">
        <v>2402</v>
      </c>
      <c r="D1950" s="12" t="n">
        <v>2023</v>
      </c>
      <c r="E1950" s="4"/>
      <c r="F1950" s="4" t="s">
        <v>1990</v>
      </c>
      <c r="G1950" s="4" t="s">
        <v>1991</v>
      </c>
      <c r="H1950" s="4" t="s">
        <v>1992</v>
      </c>
      <c r="I1950" s="4"/>
      <c r="J1950" s="4" t="s">
        <v>2403</v>
      </c>
      <c r="K1950" s="4" t="s">
        <v>107</v>
      </c>
      <c r="L1950" s="4" t="s">
        <v>108</v>
      </c>
      <c r="M1950" s="4" t="s">
        <v>1993</v>
      </c>
      <c r="N1950" s="4" t="s">
        <v>2001</v>
      </c>
      <c r="O1950" s="4" t="s">
        <v>2218</v>
      </c>
      <c r="P1950" s="4" t="s">
        <v>44</v>
      </c>
      <c r="Q1950" s="4" t="s">
        <v>2219</v>
      </c>
      <c r="R1950" s="4" t="s">
        <v>2220</v>
      </c>
      <c r="S1950" s="4"/>
      <c r="T1950" s="4"/>
      <c r="U1950" s="4"/>
      <c r="V1950" s="4"/>
      <c r="W1950" s="4"/>
      <c r="X1950" s="4"/>
      <c r="Y1950" s="4"/>
      <c r="Z1950" s="4"/>
      <c r="AA1950" s="4"/>
      <c r="AB1950" s="4"/>
      <c r="AC1950" s="4"/>
      <c r="AD1950" s="4"/>
      <c r="AE1950" s="4"/>
      <c r="AF1950" s="4"/>
      <c r="AG1950" s="4"/>
      <c r="AH1950" s="4"/>
      <c r="AI1950" s="4"/>
      <c r="AJ1950" s="4"/>
      <c r="AK1950" s="4"/>
      <c r="AL1950" s="4"/>
      <c r="AM1950" s="4" t="s">
        <v>2221</v>
      </c>
    </row>
    <row r="1951" customFormat="false" ht="35.05" hidden="false" customHeight="false" outlineLevel="0" collapsed="false">
      <c r="A1951" s="4" t="s">
        <v>1987</v>
      </c>
      <c r="B1951" s="4" t="s">
        <v>2404</v>
      </c>
      <c r="C1951" s="4" t="s">
        <v>2405</v>
      </c>
      <c r="D1951" s="12" t="n">
        <v>2023</v>
      </c>
      <c r="E1951" s="4"/>
      <c r="F1951" s="4" t="s">
        <v>1990</v>
      </c>
      <c r="G1951" s="4" t="s">
        <v>1991</v>
      </c>
      <c r="H1951" s="4" t="s">
        <v>1992</v>
      </c>
      <c r="I1951" s="4"/>
      <c r="J1951" s="4" t="s">
        <v>2406</v>
      </c>
      <c r="K1951" s="4" t="s">
        <v>111</v>
      </c>
      <c r="L1951" s="4" t="s">
        <v>112</v>
      </c>
      <c r="M1951" s="4" t="s">
        <v>1993</v>
      </c>
      <c r="N1951" s="4" t="s">
        <v>2001</v>
      </c>
      <c r="O1951" s="4" t="s">
        <v>2002</v>
      </c>
      <c r="P1951" s="4" t="s">
        <v>41</v>
      </c>
      <c r="Q1951" s="4" t="s">
        <v>2228</v>
      </c>
      <c r="R1951" s="4" t="s">
        <v>1997</v>
      </c>
      <c r="S1951" s="4"/>
      <c r="T1951" s="4"/>
      <c r="U1951" s="4"/>
      <c r="V1951" s="4"/>
      <c r="W1951" s="4"/>
      <c r="X1951" s="4"/>
      <c r="Y1951" s="4"/>
      <c r="Z1951" s="4"/>
      <c r="AA1951" s="4"/>
      <c r="AB1951" s="4"/>
      <c r="AC1951" s="4"/>
      <c r="AD1951" s="4"/>
      <c r="AE1951" s="4"/>
      <c r="AF1951" s="4"/>
      <c r="AG1951" s="4"/>
      <c r="AH1951" s="4"/>
      <c r="AI1951" s="4"/>
      <c r="AJ1951" s="4"/>
      <c r="AK1951" s="4"/>
      <c r="AL1951" s="4"/>
      <c r="AM1951" s="4" t="s">
        <v>2229</v>
      </c>
    </row>
    <row r="1952" customFormat="false" ht="23.85" hidden="false" customHeight="false" outlineLevel="0" collapsed="false">
      <c r="A1952" s="4" t="s">
        <v>1987</v>
      </c>
      <c r="B1952" s="4" t="s">
        <v>2407</v>
      </c>
      <c r="C1952" s="4" t="s">
        <v>2408</v>
      </c>
      <c r="D1952" s="12" t="n">
        <v>2023</v>
      </c>
      <c r="E1952" s="4"/>
      <c r="F1952" s="4" t="s">
        <v>1990</v>
      </c>
      <c r="G1952" s="4" t="s">
        <v>1991</v>
      </c>
      <c r="H1952" s="4" t="s">
        <v>1992</v>
      </c>
      <c r="I1952" s="4"/>
      <c r="J1952" s="4" t="s">
        <v>2409</v>
      </c>
      <c r="K1952" s="4" t="s">
        <v>86</v>
      </c>
      <c r="L1952" s="4" t="s">
        <v>87</v>
      </c>
      <c r="M1952" s="4" t="s">
        <v>1993</v>
      </c>
      <c r="N1952" s="4" t="s">
        <v>2001</v>
      </c>
      <c r="O1952" s="4" t="s">
        <v>2218</v>
      </c>
      <c r="P1952" s="4" t="s">
        <v>44</v>
      </c>
      <c r="Q1952" s="4" t="s">
        <v>2219</v>
      </c>
      <c r="R1952" s="4" t="s">
        <v>2220</v>
      </c>
      <c r="S1952" s="4"/>
      <c r="T1952" s="4"/>
      <c r="U1952" s="4"/>
      <c r="V1952" s="4"/>
      <c r="W1952" s="4"/>
      <c r="X1952" s="4"/>
      <c r="Y1952" s="4"/>
      <c r="Z1952" s="4"/>
      <c r="AA1952" s="4"/>
      <c r="AB1952" s="4"/>
      <c r="AC1952" s="4"/>
      <c r="AD1952" s="4"/>
      <c r="AE1952" s="4"/>
      <c r="AF1952" s="4"/>
      <c r="AG1952" s="4"/>
      <c r="AH1952" s="4"/>
      <c r="AI1952" s="4"/>
      <c r="AJ1952" s="4"/>
      <c r="AK1952" s="4"/>
      <c r="AL1952" s="4"/>
      <c r="AM1952" s="4" t="s">
        <v>2221</v>
      </c>
    </row>
    <row r="1953" customFormat="false" ht="23.85" hidden="false" customHeight="false" outlineLevel="0" collapsed="false">
      <c r="A1953" s="4" t="s">
        <v>1987</v>
      </c>
      <c r="B1953" s="4" t="s">
        <v>2410</v>
      </c>
      <c r="C1953" s="4" t="s">
        <v>2411</v>
      </c>
      <c r="D1953" s="12" t="n">
        <v>2022</v>
      </c>
      <c r="E1953" s="4"/>
      <c r="F1953" s="4" t="s">
        <v>1990</v>
      </c>
      <c r="G1953" s="4" t="s">
        <v>1991</v>
      </c>
      <c r="H1953" s="4" t="s">
        <v>1992</v>
      </c>
      <c r="I1953" s="4"/>
      <c r="J1953" s="4" t="s">
        <v>1159</v>
      </c>
      <c r="K1953" s="4" t="s">
        <v>91</v>
      </c>
      <c r="L1953" s="4" t="s">
        <v>92</v>
      </c>
      <c r="M1953" s="4" t="s">
        <v>1993</v>
      </c>
      <c r="N1953" s="4" t="s">
        <v>1994</v>
      </c>
      <c r="O1953" s="4" t="s">
        <v>1995</v>
      </c>
      <c r="P1953" s="4" t="s">
        <v>68</v>
      </c>
      <c r="Q1953" s="4" t="s">
        <v>1996</v>
      </c>
      <c r="R1953" s="4" t="s">
        <v>1997</v>
      </c>
      <c r="S1953" s="4"/>
      <c r="T1953" s="4"/>
      <c r="U1953" s="4"/>
      <c r="V1953" s="4"/>
      <c r="W1953" s="4"/>
      <c r="X1953" s="4"/>
      <c r="Y1953" s="4"/>
      <c r="Z1953" s="4"/>
      <c r="AA1953" s="4"/>
      <c r="AB1953" s="4"/>
      <c r="AC1953" s="4"/>
      <c r="AD1953" s="4"/>
      <c r="AE1953" s="4"/>
      <c r="AF1953" s="4"/>
      <c r="AG1953" s="4"/>
      <c r="AH1953" s="4"/>
      <c r="AI1953" s="4"/>
      <c r="AJ1953" s="4"/>
      <c r="AK1953" s="4"/>
      <c r="AL1953" s="4"/>
      <c r="AM1953" s="4" t="s">
        <v>1998</v>
      </c>
    </row>
    <row r="1954" customFormat="false" ht="23.85" hidden="false" customHeight="false" outlineLevel="0" collapsed="false">
      <c r="A1954" s="4" t="s">
        <v>1987</v>
      </c>
      <c r="B1954" s="4" t="s">
        <v>2412</v>
      </c>
      <c r="C1954" s="4" t="s">
        <v>2413</v>
      </c>
      <c r="D1954" s="12" t="n">
        <v>2022</v>
      </c>
      <c r="E1954" s="4"/>
      <c r="F1954" s="4" t="s">
        <v>1990</v>
      </c>
      <c r="G1954" s="4" t="s">
        <v>1991</v>
      </c>
      <c r="H1954" s="4" t="s">
        <v>1992</v>
      </c>
      <c r="I1954" s="4"/>
      <c r="J1954" s="4" t="s">
        <v>1164</v>
      </c>
      <c r="K1954" s="4" t="s">
        <v>91</v>
      </c>
      <c r="L1954" s="4" t="s">
        <v>92</v>
      </c>
      <c r="M1954" s="4" t="s">
        <v>1993</v>
      </c>
      <c r="N1954" s="4" t="s">
        <v>2001</v>
      </c>
      <c r="O1954" s="4" t="s">
        <v>2002</v>
      </c>
      <c r="P1954" s="4" t="s">
        <v>67</v>
      </c>
      <c r="Q1954" s="4" t="s">
        <v>2003</v>
      </c>
      <c r="R1954" s="4" t="s">
        <v>2004</v>
      </c>
      <c r="S1954" s="4"/>
      <c r="T1954" s="4"/>
      <c r="U1954" s="4"/>
      <c r="V1954" s="4"/>
      <c r="W1954" s="4"/>
      <c r="X1954" s="4"/>
      <c r="Y1954" s="4"/>
      <c r="Z1954" s="4"/>
      <c r="AA1954" s="4"/>
      <c r="AB1954" s="4"/>
      <c r="AC1954" s="4"/>
      <c r="AD1954" s="4"/>
      <c r="AE1954" s="4"/>
      <c r="AF1954" s="4"/>
      <c r="AG1954" s="4"/>
      <c r="AH1954" s="4"/>
      <c r="AI1954" s="4"/>
      <c r="AJ1954" s="4"/>
      <c r="AK1954" s="4"/>
      <c r="AL1954" s="4"/>
      <c r="AM1954" s="4" t="s">
        <v>2005</v>
      </c>
    </row>
    <row r="1955" customFormat="false" ht="23.85" hidden="false" customHeight="false" outlineLevel="0" collapsed="false">
      <c r="A1955" s="4" t="s">
        <v>1987</v>
      </c>
      <c r="B1955" s="4" t="s">
        <v>2414</v>
      </c>
      <c r="C1955" s="4" t="s">
        <v>2415</v>
      </c>
      <c r="D1955" s="12" t="n">
        <v>2022</v>
      </c>
      <c r="E1955" s="4"/>
      <c r="F1955" s="4" t="s">
        <v>1990</v>
      </c>
      <c r="G1955" s="4" t="s">
        <v>1991</v>
      </c>
      <c r="H1955" s="4" t="s">
        <v>1992</v>
      </c>
      <c r="I1955" s="4"/>
      <c r="J1955" s="4" t="s">
        <v>1165</v>
      </c>
      <c r="K1955" s="4" t="s">
        <v>91</v>
      </c>
      <c r="L1955" s="4" t="s">
        <v>92</v>
      </c>
      <c r="M1955" s="4" t="s">
        <v>1993</v>
      </c>
      <c r="N1955" s="4" t="s">
        <v>2001</v>
      </c>
      <c r="O1955" s="4" t="s">
        <v>2002</v>
      </c>
      <c r="P1955" s="4" t="s">
        <v>67</v>
      </c>
      <c r="Q1955" s="4" t="s">
        <v>2008</v>
      </c>
      <c r="R1955" s="4" t="s">
        <v>2004</v>
      </c>
      <c r="S1955" s="4"/>
      <c r="T1955" s="4"/>
      <c r="U1955" s="4"/>
      <c r="V1955" s="4"/>
      <c r="W1955" s="4"/>
      <c r="X1955" s="4"/>
      <c r="Y1955" s="4"/>
      <c r="Z1955" s="4"/>
      <c r="AA1955" s="4"/>
      <c r="AB1955" s="4"/>
      <c r="AC1955" s="4"/>
      <c r="AD1955" s="4"/>
      <c r="AE1955" s="4"/>
      <c r="AF1955" s="4"/>
      <c r="AG1955" s="4"/>
      <c r="AH1955" s="4"/>
      <c r="AI1955" s="4"/>
      <c r="AJ1955" s="4"/>
      <c r="AK1955" s="4"/>
      <c r="AL1955" s="4"/>
      <c r="AM1955" s="4" t="s">
        <v>2009</v>
      </c>
    </row>
    <row r="1956" customFormat="false" ht="23.85" hidden="false" customHeight="false" outlineLevel="0" collapsed="false">
      <c r="A1956" s="4" t="s">
        <v>1987</v>
      </c>
      <c r="B1956" s="4" t="s">
        <v>2416</v>
      </c>
      <c r="C1956" s="4" t="s">
        <v>2417</v>
      </c>
      <c r="D1956" s="12" t="n">
        <v>2022</v>
      </c>
      <c r="E1956" s="4"/>
      <c r="F1956" s="4" t="s">
        <v>1990</v>
      </c>
      <c r="G1956" s="4" t="s">
        <v>1991</v>
      </c>
      <c r="H1956" s="4" t="s">
        <v>1992</v>
      </c>
      <c r="I1956" s="4"/>
      <c r="J1956" s="4" t="s">
        <v>1173</v>
      </c>
      <c r="K1956" s="4" t="s">
        <v>93</v>
      </c>
      <c r="L1956" s="4" t="s">
        <v>94</v>
      </c>
      <c r="M1956" s="4" t="s">
        <v>1993</v>
      </c>
      <c r="N1956" s="4" t="s">
        <v>1994</v>
      </c>
      <c r="O1956" s="4" t="s">
        <v>1995</v>
      </c>
      <c r="P1956" s="4" t="s">
        <v>67</v>
      </c>
      <c r="Q1956" s="4" t="s">
        <v>2012</v>
      </c>
      <c r="R1956" s="4" t="s">
        <v>1997</v>
      </c>
      <c r="S1956" s="4"/>
      <c r="T1956" s="4"/>
      <c r="U1956" s="4"/>
      <c r="V1956" s="4"/>
      <c r="W1956" s="4"/>
      <c r="X1956" s="4"/>
      <c r="Y1956" s="4"/>
      <c r="Z1956" s="4"/>
      <c r="AA1956" s="4"/>
      <c r="AB1956" s="4"/>
      <c r="AC1956" s="4"/>
      <c r="AD1956" s="4"/>
      <c r="AE1956" s="4"/>
      <c r="AF1956" s="4"/>
      <c r="AG1956" s="4"/>
      <c r="AH1956" s="4"/>
      <c r="AI1956" s="4"/>
      <c r="AJ1956" s="4"/>
      <c r="AK1956" s="4"/>
      <c r="AL1956" s="4"/>
      <c r="AM1956" s="4" t="s">
        <v>2013</v>
      </c>
    </row>
    <row r="1957" customFormat="false" ht="23.85" hidden="false" customHeight="false" outlineLevel="0" collapsed="false">
      <c r="A1957" s="4" t="s">
        <v>1987</v>
      </c>
      <c r="B1957" s="4" t="s">
        <v>2418</v>
      </c>
      <c r="C1957" s="4" t="s">
        <v>2419</v>
      </c>
      <c r="D1957" s="12" t="n">
        <v>2022</v>
      </c>
      <c r="E1957" s="4"/>
      <c r="F1957" s="4" t="s">
        <v>1990</v>
      </c>
      <c r="G1957" s="4" t="s">
        <v>1991</v>
      </c>
      <c r="H1957" s="4" t="s">
        <v>1992</v>
      </c>
      <c r="I1957" s="4"/>
      <c r="J1957" s="4" t="s">
        <v>1178</v>
      </c>
      <c r="K1957" s="4" t="s">
        <v>93</v>
      </c>
      <c r="L1957" s="4" t="s">
        <v>94</v>
      </c>
      <c r="M1957" s="4" t="s">
        <v>1993</v>
      </c>
      <c r="N1957" s="4" t="s">
        <v>2001</v>
      </c>
      <c r="O1957" s="4" t="s">
        <v>2002</v>
      </c>
      <c r="P1957" s="4" t="s">
        <v>67</v>
      </c>
      <c r="Q1957" s="4" t="s">
        <v>2003</v>
      </c>
      <c r="R1957" s="4" t="s">
        <v>2004</v>
      </c>
      <c r="S1957" s="4"/>
      <c r="T1957" s="4"/>
      <c r="U1957" s="4"/>
      <c r="V1957" s="4"/>
      <c r="W1957" s="4"/>
      <c r="X1957" s="4"/>
      <c r="Y1957" s="4"/>
      <c r="Z1957" s="4"/>
      <c r="AA1957" s="4"/>
      <c r="AB1957" s="4"/>
      <c r="AC1957" s="4"/>
      <c r="AD1957" s="4"/>
      <c r="AE1957" s="4"/>
      <c r="AF1957" s="4"/>
      <c r="AG1957" s="4"/>
      <c r="AH1957" s="4"/>
      <c r="AI1957" s="4"/>
      <c r="AJ1957" s="4"/>
      <c r="AK1957" s="4"/>
      <c r="AL1957" s="4"/>
      <c r="AM1957" s="4" t="s">
        <v>2005</v>
      </c>
    </row>
    <row r="1958" customFormat="false" ht="23.85" hidden="false" customHeight="false" outlineLevel="0" collapsed="false">
      <c r="A1958" s="4" t="s">
        <v>1987</v>
      </c>
      <c r="B1958" s="4" t="s">
        <v>2420</v>
      </c>
      <c r="C1958" s="4" t="s">
        <v>2421</v>
      </c>
      <c r="D1958" s="12" t="n">
        <v>2022</v>
      </c>
      <c r="E1958" s="4"/>
      <c r="F1958" s="4" t="s">
        <v>1990</v>
      </c>
      <c r="G1958" s="4" t="s">
        <v>1991</v>
      </c>
      <c r="H1958" s="4" t="s">
        <v>1992</v>
      </c>
      <c r="I1958" s="4"/>
      <c r="J1958" s="4" t="s">
        <v>1187</v>
      </c>
      <c r="K1958" s="4" t="s">
        <v>76</v>
      </c>
      <c r="L1958" s="4" t="s">
        <v>77</v>
      </c>
      <c r="M1958" s="4" t="s">
        <v>2018</v>
      </c>
      <c r="N1958" s="4" t="s">
        <v>1994</v>
      </c>
      <c r="O1958" s="4" t="s">
        <v>65</v>
      </c>
      <c r="P1958" s="4" t="s">
        <v>64</v>
      </c>
      <c r="Q1958" s="4" t="s">
        <v>2019</v>
      </c>
      <c r="R1958" s="4" t="s">
        <v>1997</v>
      </c>
      <c r="S1958" s="4"/>
      <c r="T1958" s="4"/>
      <c r="U1958" s="4"/>
      <c r="V1958" s="4"/>
      <c r="W1958" s="4"/>
      <c r="X1958" s="4"/>
      <c r="Y1958" s="4"/>
      <c r="Z1958" s="4"/>
      <c r="AA1958" s="4"/>
      <c r="AB1958" s="4"/>
      <c r="AC1958" s="4"/>
      <c r="AD1958" s="4"/>
      <c r="AE1958" s="4"/>
      <c r="AF1958" s="4"/>
      <c r="AG1958" s="4"/>
      <c r="AH1958" s="4"/>
      <c r="AI1958" s="4"/>
      <c r="AJ1958" s="4"/>
      <c r="AK1958" s="4"/>
      <c r="AL1958" s="4"/>
      <c r="AM1958" s="4" t="s">
        <v>2020</v>
      </c>
    </row>
    <row r="1959" customFormat="false" ht="15" hidden="false" customHeight="false" outlineLevel="0" collapsed="false">
      <c r="A1959" s="4" t="s">
        <v>1987</v>
      </c>
      <c r="B1959" s="4" t="s">
        <v>2422</v>
      </c>
      <c r="C1959" s="4" t="s">
        <v>2423</v>
      </c>
      <c r="D1959" s="12" t="n">
        <v>2022</v>
      </c>
      <c r="E1959" s="4"/>
      <c r="F1959" s="4" t="s">
        <v>1990</v>
      </c>
      <c r="G1959" s="4" t="s">
        <v>1991</v>
      </c>
      <c r="H1959" s="4" t="s">
        <v>1992</v>
      </c>
      <c r="I1959" s="4"/>
      <c r="J1959" s="4" t="s">
        <v>1187</v>
      </c>
      <c r="K1959" s="4" t="s">
        <v>76</v>
      </c>
      <c r="L1959" s="4" t="s">
        <v>77</v>
      </c>
      <c r="M1959" s="4" t="s">
        <v>2018</v>
      </c>
      <c r="N1959" s="4" t="s">
        <v>2001</v>
      </c>
      <c r="O1959" s="4" t="s">
        <v>66</v>
      </c>
      <c r="P1959" s="4" t="s">
        <v>66</v>
      </c>
      <c r="Q1959" s="4" t="s">
        <v>2019</v>
      </c>
      <c r="R1959" s="4" t="s">
        <v>1997</v>
      </c>
      <c r="S1959" s="4"/>
      <c r="T1959" s="4"/>
      <c r="U1959" s="4"/>
      <c r="V1959" s="4"/>
      <c r="W1959" s="4"/>
      <c r="X1959" s="4"/>
      <c r="Y1959" s="4"/>
      <c r="Z1959" s="4"/>
      <c r="AA1959" s="4"/>
      <c r="AB1959" s="4"/>
      <c r="AC1959" s="4"/>
      <c r="AD1959" s="4"/>
      <c r="AE1959" s="4"/>
      <c r="AF1959" s="4"/>
      <c r="AG1959" s="4"/>
      <c r="AH1959" s="4"/>
      <c r="AI1959" s="4"/>
      <c r="AJ1959" s="4"/>
      <c r="AK1959" s="4"/>
      <c r="AL1959" s="4"/>
      <c r="AM1959" s="4" t="s">
        <v>2023</v>
      </c>
    </row>
    <row r="1960" customFormat="false" ht="15" hidden="false" customHeight="false" outlineLevel="0" collapsed="false">
      <c r="A1960" s="4" t="s">
        <v>1987</v>
      </c>
      <c r="B1960" s="4" t="s">
        <v>2424</v>
      </c>
      <c r="C1960" s="4" t="s">
        <v>2425</v>
      </c>
      <c r="D1960" s="12" t="n">
        <v>2022</v>
      </c>
      <c r="E1960" s="4"/>
      <c r="F1960" s="4" t="s">
        <v>1990</v>
      </c>
      <c r="G1960" s="4" t="s">
        <v>1991</v>
      </c>
      <c r="H1960" s="4" t="s">
        <v>1992</v>
      </c>
      <c r="I1960" s="4"/>
      <c r="J1960" s="4" t="s">
        <v>1187</v>
      </c>
      <c r="K1960" s="4" t="s">
        <v>76</v>
      </c>
      <c r="L1960" s="4" t="s">
        <v>77</v>
      </c>
      <c r="M1960" s="4" t="s">
        <v>1993</v>
      </c>
      <c r="N1960" s="4" t="s">
        <v>1994</v>
      </c>
      <c r="O1960" s="4" t="s">
        <v>1995</v>
      </c>
      <c r="P1960" s="4" t="s">
        <v>66</v>
      </c>
      <c r="Q1960" s="4" t="s">
        <v>2019</v>
      </c>
      <c r="R1960" s="4" t="s">
        <v>1997</v>
      </c>
      <c r="S1960" s="4"/>
      <c r="T1960" s="4"/>
      <c r="U1960" s="4"/>
      <c r="V1960" s="4"/>
      <c r="W1960" s="4"/>
      <c r="X1960" s="4"/>
      <c r="Y1960" s="4"/>
      <c r="Z1960" s="4"/>
      <c r="AA1960" s="4"/>
      <c r="AB1960" s="4"/>
      <c r="AC1960" s="4"/>
      <c r="AD1960" s="4"/>
      <c r="AE1960" s="4"/>
      <c r="AF1960" s="4"/>
      <c r="AG1960" s="4"/>
      <c r="AH1960" s="4"/>
      <c r="AI1960" s="4"/>
      <c r="AJ1960" s="4"/>
      <c r="AK1960" s="4"/>
      <c r="AL1960" s="4"/>
      <c r="AM1960" s="4" t="s">
        <v>2026</v>
      </c>
    </row>
    <row r="1961" customFormat="false" ht="23.85" hidden="false" customHeight="false" outlineLevel="0" collapsed="false">
      <c r="A1961" s="4" t="s">
        <v>1987</v>
      </c>
      <c r="B1961" s="4" t="s">
        <v>2426</v>
      </c>
      <c r="C1961" s="4" t="s">
        <v>2427</v>
      </c>
      <c r="D1961" s="12" t="n">
        <v>2022</v>
      </c>
      <c r="E1961" s="4"/>
      <c r="F1961" s="4" t="s">
        <v>1990</v>
      </c>
      <c r="G1961" s="4" t="s">
        <v>1991</v>
      </c>
      <c r="H1961" s="4" t="s">
        <v>1992</v>
      </c>
      <c r="I1961" s="4"/>
      <c r="J1961" s="4" t="s">
        <v>1188</v>
      </c>
      <c r="K1961" s="4" t="s">
        <v>76</v>
      </c>
      <c r="L1961" s="4" t="s">
        <v>77</v>
      </c>
      <c r="M1961" s="4" t="s">
        <v>1993</v>
      </c>
      <c r="N1961" s="4" t="s">
        <v>1994</v>
      </c>
      <c r="O1961" s="4" t="s">
        <v>2029</v>
      </c>
      <c r="P1961" s="4" t="s">
        <v>69</v>
      </c>
      <c r="Q1961" s="4" t="s">
        <v>2030</v>
      </c>
      <c r="R1961" s="4" t="s">
        <v>1997</v>
      </c>
      <c r="S1961" s="4"/>
      <c r="T1961" s="4"/>
      <c r="U1961" s="4"/>
      <c r="V1961" s="4"/>
      <c r="W1961" s="4"/>
      <c r="X1961" s="4"/>
      <c r="Y1961" s="4"/>
      <c r="Z1961" s="4"/>
      <c r="AA1961" s="4"/>
      <c r="AB1961" s="4"/>
      <c r="AC1961" s="4"/>
      <c r="AD1961" s="4"/>
      <c r="AE1961" s="4"/>
      <c r="AF1961" s="4"/>
      <c r="AG1961" s="4"/>
      <c r="AH1961" s="4"/>
      <c r="AI1961" s="4"/>
      <c r="AJ1961" s="4"/>
      <c r="AK1961" s="4"/>
      <c r="AL1961" s="4"/>
      <c r="AM1961" s="4" t="s">
        <v>2031</v>
      </c>
    </row>
    <row r="1962" customFormat="false" ht="23.85" hidden="false" customHeight="false" outlineLevel="0" collapsed="false">
      <c r="A1962" s="4" t="s">
        <v>1987</v>
      </c>
      <c r="B1962" s="4" t="s">
        <v>2428</v>
      </c>
      <c r="C1962" s="4" t="s">
        <v>2429</v>
      </c>
      <c r="D1962" s="12" t="n">
        <v>2022</v>
      </c>
      <c r="E1962" s="4"/>
      <c r="F1962" s="4" t="s">
        <v>1990</v>
      </c>
      <c r="G1962" s="4" t="s">
        <v>1991</v>
      </c>
      <c r="H1962" s="4" t="s">
        <v>1992</v>
      </c>
      <c r="I1962" s="4"/>
      <c r="J1962" s="4" t="s">
        <v>1190</v>
      </c>
      <c r="K1962" s="4" t="s">
        <v>76</v>
      </c>
      <c r="L1962" s="4" t="s">
        <v>77</v>
      </c>
      <c r="M1962" s="4" t="s">
        <v>1993</v>
      </c>
      <c r="N1962" s="4" t="s">
        <v>2001</v>
      </c>
      <c r="O1962" s="4" t="s">
        <v>2034</v>
      </c>
      <c r="P1962" s="4" t="s">
        <v>74</v>
      </c>
      <c r="Q1962" s="4" t="s">
        <v>2035</v>
      </c>
      <c r="R1962" s="4" t="s">
        <v>2036</v>
      </c>
      <c r="S1962" s="4"/>
      <c r="T1962" s="4"/>
      <c r="U1962" s="4"/>
      <c r="V1962" s="4"/>
      <c r="W1962" s="4"/>
      <c r="X1962" s="4"/>
      <c r="Y1962" s="4"/>
      <c r="Z1962" s="4"/>
      <c r="AA1962" s="4"/>
      <c r="AB1962" s="4"/>
      <c r="AC1962" s="4"/>
      <c r="AD1962" s="4"/>
      <c r="AE1962" s="4"/>
      <c r="AF1962" s="4"/>
      <c r="AG1962" s="4"/>
      <c r="AH1962" s="4"/>
      <c r="AI1962" s="4"/>
      <c r="AJ1962" s="4"/>
      <c r="AK1962" s="4"/>
      <c r="AL1962" s="4"/>
      <c r="AM1962" s="4" t="s">
        <v>2037</v>
      </c>
    </row>
    <row r="1963" customFormat="false" ht="23.85" hidden="false" customHeight="false" outlineLevel="0" collapsed="false">
      <c r="A1963" s="4" t="s">
        <v>1987</v>
      </c>
      <c r="B1963" s="4" t="s">
        <v>2430</v>
      </c>
      <c r="C1963" s="4" t="s">
        <v>2431</v>
      </c>
      <c r="D1963" s="12" t="n">
        <v>2022</v>
      </c>
      <c r="E1963" s="4"/>
      <c r="F1963" s="4" t="s">
        <v>1990</v>
      </c>
      <c r="G1963" s="4" t="s">
        <v>1991</v>
      </c>
      <c r="H1963" s="4" t="s">
        <v>1992</v>
      </c>
      <c r="I1963" s="4"/>
      <c r="J1963" s="4" t="s">
        <v>1192</v>
      </c>
      <c r="K1963" s="4" t="s">
        <v>76</v>
      </c>
      <c r="L1963" s="4" t="s">
        <v>77</v>
      </c>
      <c r="M1963" s="4" t="s">
        <v>1993</v>
      </c>
      <c r="N1963" s="4" t="s">
        <v>2001</v>
      </c>
      <c r="O1963" s="4" t="s">
        <v>2002</v>
      </c>
      <c r="P1963" s="4" t="s">
        <v>67</v>
      </c>
      <c r="Q1963" s="4" t="s">
        <v>2003</v>
      </c>
      <c r="R1963" s="4" t="s">
        <v>2004</v>
      </c>
      <c r="S1963" s="4"/>
      <c r="T1963" s="4"/>
      <c r="U1963" s="4"/>
      <c r="V1963" s="4"/>
      <c r="W1963" s="4"/>
      <c r="X1963" s="4"/>
      <c r="Y1963" s="4"/>
      <c r="Z1963" s="4"/>
      <c r="AA1963" s="4"/>
      <c r="AB1963" s="4"/>
      <c r="AC1963" s="4"/>
      <c r="AD1963" s="4"/>
      <c r="AE1963" s="4"/>
      <c r="AF1963" s="4"/>
      <c r="AG1963" s="4"/>
      <c r="AH1963" s="4"/>
      <c r="AI1963" s="4"/>
      <c r="AJ1963" s="4"/>
      <c r="AK1963" s="4"/>
      <c r="AL1963" s="4"/>
      <c r="AM1963" s="4" t="s">
        <v>2005</v>
      </c>
    </row>
    <row r="1964" customFormat="false" ht="23.85" hidden="false" customHeight="false" outlineLevel="0" collapsed="false">
      <c r="A1964" s="4" t="s">
        <v>1987</v>
      </c>
      <c r="B1964" s="4" t="s">
        <v>2432</v>
      </c>
      <c r="C1964" s="4" t="s">
        <v>2433</v>
      </c>
      <c r="D1964" s="12" t="n">
        <v>2022</v>
      </c>
      <c r="E1964" s="4"/>
      <c r="F1964" s="4" t="s">
        <v>1990</v>
      </c>
      <c r="G1964" s="4" t="s">
        <v>1991</v>
      </c>
      <c r="H1964" s="4" t="s">
        <v>1992</v>
      </c>
      <c r="I1964" s="4"/>
      <c r="J1964" s="4" t="s">
        <v>1193</v>
      </c>
      <c r="K1964" s="4" t="s">
        <v>76</v>
      </c>
      <c r="L1964" s="4" t="s">
        <v>77</v>
      </c>
      <c r="M1964" s="4" t="s">
        <v>1993</v>
      </c>
      <c r="N1964" s="4" t="s">
        <v>2001</v>
      </c>
      <c r="O1964" s="4" t="s">
        <v>2002</v>
      </c>
      <c r="P1964" s="4" t="s">
        <v>67</v>
      </c>
      <c r="Q1964" s="4" t="s">
        <v>2008</v>
      </c>
      <c r="R1964" s="4" t="s">
        <v>2004</v>
      </c>
      <c r="S1964" s="4"/>
      <c r="T1964" s="4"/>
      <c r="U1964" s="4"/>
      <c r="V1964" s="4"/>
      <c r="W1964" s="4"/>
      <c r="X1964" s="4"/>
      <c r="Y1964" s="4"/>
      <c r="Z1964" s="4"/>
      <c r="AA1964" s="4"/>
      <c r="AB1964" s="4"/>
      <c r="AC1964" s="4"/>
      <c r="AD1964" s="4"/>
      <c r="AE1964" s="4"/>
      <c r="AF1964" s="4"/>
      <c r="AG1964" s="4"/>
      <c r="AH1964" s="4"/>
      <c r="AI1964" s="4"/>
      <c r="AJ1964" s="4"/>
      <c r="AK1964" s="4"/>
      <c r="AL1964" s="4"/>
      <c r="AM1964" s="4" t="s">
        <v>2009</v>
      </c>
    </row>
    <row r="1965" customFormat="false" ht="35.05" hidden="false" customHeight="false" outlineLevel="0" collapsed="false">
      <c r="A1965" s="4" t="s">
        <v>1987</v>
      </c>
      <c r="B1965" s="4" t="s">
        <v>2434</v>
      </c>
      <c r="C1965" s="4" t="s">
        <v>2435</v>
      </c>
      <c r="D1965" s="12" t="n">
        <v>2022</v>
      </c>
      <c r="E1965" s="4"/>
      <c r="F1965" s="4" t="s">
        <v>1990</v>
      </c>
      <c r="G1965" s="4" t="s">
        <v>1991</v>
      </c>
      <c r="H1965" s="4" t="s">
        <v>1992</v>
      </c>
      <c r="I1965" s="4"/>
      <c r="J1965" s="4" t="s">
        <v>1201</v>
      </c>
      <c r="K1965" s="4" t="s">
        <v>78</v>
      </c>
      <c r="L1965" s="4" t="s">
        <v>79</v>
      </c>
      <c r="M1965" s="4" t="s">
        <v>2018</v>
      </c>
      <c r="N1965" s="4" t="s">
        <v>1994</v>
      </c>
      <c r="O1965" s="4" t="s">
        <v>65</v>
      </c>
      <c r="P1965" s="4" t="s">
        <v>64</v>
      </c>
      <c r="Q1965" s="4" t="s">
        <v>2044</v>
      </c>
      <c r="R1965" s="4" t="s">
        <v>1997</v>
      </c>
      <c r="S1965" s="4"/>
      <c r="T1965" s="4"/>
      <c r="U1965" s="4"/>
      <c r="V1965" s="4"/>
      <c r="W1965" s="4"/>
      <c r="X1965" s="4"/>
      <c r="Y1965" s="4"/>
      <c r="Z1965" s="4"/>
      <c r="AA1965" s="4"/>
      <c r="AB1965" s="4"/>
      <c r="AC1965" s="4"/>
      <c r="AD1965" s="4"/>
      <c r="AE1965" s="4"/>
      <c r="AF1965" s="4"/>
      <c r="AG1965" s="4"/>
      <c r="AH1965" s="4"/>
      <c r="AI1965" s="4"/>
      <c r="AJ1965" s="4"/>
      <c r="AK1965" s="4"/>
      <c r="AL1965" s="4"/>
      <c r="AM1965" s="4" t="s">
        <v>2045</v>
      </c>
    </row>
    <row r="1966" customFormat="false" ht="23.85" hidden="false" customHeight="false" outlineLevel="0" collapsed="false">
      <c r="A1966" s="4" t="s">
        <v>1987</v>
      </c>
      <c r="B1966" s="4" t="s">
        <v>2436</v>
      </c>
      <c r="C1966" s="4" t="s">
        <v>2437</v>
      </c>
      <c r="D1966" s="12" t="n">
        <v>2022</v>
      </c>
      <c r="E1966" s="4"/>
      <c r="F1966" s="4" t="s">
        <v>1990</v>
      </c>
      <c r="G1966" s="4" t="s">
        <v>1991</v>
      </c>
      <c r="H1966" s="4" t="s">
        <v>1992</v>
      </c>
      <c r="I1966" s="4"/>
      <c r="J1966" s="4" t="s">
        <v>1206</v>
      </c>
      <c r="K1966" s="4" t="s">
        <v>78</v>
      </c>
      <c r="L1966" s="4" t="s">
        <v>79</v>
      </c>
      <c r="M1966" s="4" t="s">
        <v>2018</v>
      </c>
      <c r="N1966" s="4" t="s">
        <v>2001</v>
      </c>
      <c r="O1966" s="4" t="s">
        <v>66</v>
      </c>
      <c r="P1966" s="4" t="s">
        <v>67</v>
      </c>
      <c r="Q1966" s="4" t="s">
        <v>2003</v>
      </c>
      <c r="R1966" s="4" t="s">
        <v>2004</v>
      </c>
      <c r="S1966" s="4"/>
      <c r="T1966" s="4"/>
      <c r="U1966" s="4"/>
      <c r="V1966" s="4"/>
      <c r="W1966" s="4"/>
      <c r="X1966" s="4"/>
      <c r="Y1966" s="4"/>
      <c r="Z1966" s="4"/>
      <c r="AA1966" s="4"/>
      <c r="AB1966" s="4"/>
      <c r="AC1966" s="4"/>
      <c r="AD1966" s="4"/>
      <c r="AE1966" s="4"/>
      <c r="AF1966" s="4"/>
      <c r="AG1966" s="4"/>
      <c r="AH1966" s="4"/>
      <c r="AI1966" s="4"/>
      <c r="AJ1966" s="4"/>
      <c r="AK1966" s="4"/>
      <c r="AL1966" s="4"/>
      <c r="AM1966" s="4" t="s">
        <v>2048</v>
      </c>
    </row>
    <row r="1967" customFormat="false" ht="35.05" hidden="false" customHeight="false" outlineLevel="0" collapsed="false">
      <c r="A1967" s="4" t="s">
        <v>1987</v>
      </c>
      <c r="B1967" s="4" t="s">
        <v>2438</v>
      </c>
      <c r="C1967" s="4" t="s">
        <v>2439</v>
      </c>
      <c r="D1967" s="12" t="n">
        <v>2022</v>
      </c>
      <c r="E1967" s="4"/>
      <c r="F1967" s="4" t="s">
        <v>1990</v>
      </c>
      <c r="G1967" s="4" t="s">
        <v>1991</v>
      </c>
      <c r="H1967" s="4" t="s">
        <v>1992</v>
      </c>
      <c r="I1967" s="4"/>
      <c r="J1967" s="4" t="s">
        <v>1215</v>
      </c>
      <c r="K1967" s="4" t="s">
        <v>80</v>
      </c>
      <c r="L1967" s="4" t="s">
        <v>81</v>
      </c>
      <c r="M1967" s="4" t="s">
        <v>2018</v>
      </c>
      <c r="N1967" s="4" t="s">
        <v>1994</v>
      </c>
      <c r="O1967" s="4" t="s">
        <v>65</v>
      </c>
      <c r="P1967" s="4" t="s">
        <v>64</v>
      </c>
      <c r="Q1967" s="4" t="s">
        <v>2044</v>
      </c>
      <c r="R1967" s="4" t="s">
        <v>1997</v>
      </c>
      <c r="S1967" s="4"/>
      <c r="T1967" s="4"/>
      <c r="U1967" s="4"/>
      <c r="V1967" s="4"/>
      <c r="W1967" s="4"/>
      <c r="X1967" s="4"/>
      <c r="Y1967" s="4"/>
      <c r="Z1967" s="4"/>
      <c r="AA1967" s="4"/>
      <c r="AB1967" s="4"/>
      <c r="AC1967" s="4"/>
      <c r="AD1967" s="4"/>
      <c r="AE1967" s="4"/>
      <c r="AF1967" s="4"/>
      <c r="AG1967" s="4"/>
      <c r="AH1967" s="4"/>
      <c r="AI1967" s="4"/>
      <c r="AJ1967" s="4"/>
      <c r="AK1967" s="4"/>
      <c r="AL1967" s="4"/>
      <c r="AM1967" s="4" t="s">
        <v>2045</v>
      </c>
    </row>
    <row r="1968" customFormat="false" ht="23.85" hidden="false" customHeight="false" outlineLevel="0" collapsed="false">
      <c r="A1968" s="4" t="s">
        <v>1987</v>
      </c>
      <c r="B1968" s="4" t="s">
        <v>2440</v>
      </c>
      <c r="C1968" s="4" t="s">
        <v>2441</v>
      </c>
      <c r="D1968" s="12" t="n">
        <v>2022</v>
      </c>
      <c r="E1968" s="4"/>
      <c r="F1968" s="4" t="s">
        <v>1990</v>
      </c>
      <c r="G1968" s="4" t="s">
        <v>1991</v>
      </c>
      <c r="H1968" s="4" t="s">
        <v>1992</v>
      </c>
      <c r="I1968" s="4"/>
      <c r="J1968" s="4" t="s">
        <v>1220</v>
      </c>
      <c r="K1968" s="4" t="s">
        <v>80</v>
      </c>
      <c r="L1968" s="4" t="s">
        <v>81</v>
      </c>
      <c r="M1968" s="4" t="s">
        <v>2018</v>
      </c>
      <c r="N1968" s="4" t="s">
        <v>2001</v>
      </c>
      <c r="O1968" s="4" t="s">
        <v>66</v>
      </c>
      <c r="P1968" s="4" t="s">
        <v>67</v>
      </c>
      <c r="Q1968" s="4" t="s">
        <v>2003</v>
      </c>
      <c r="R1968" s="4" t="s">
        <v>2004</v>
      </c>
      <c r="S1968" s="4"/>
      <c r="T1968" s="4"/>
      <c r="U1968" s="4"/>
      <c r="V1968" s="4"/>
      <c r="W1968" s="4"/>
      <c r="X1968" s="4"/>
      <c r="Y1968" s="4"/>
      <c r="Z1968" s="4"/>
      <c r="AA1968" s="4"/>
      <c r="AB1968" s="4"/>
      <c r="AC1968" s="4"/>
      <c r="AD1968" s="4"/>
      <c r="AE1968" s="4"/>
      <c r="AF1968" s="4"/>
      <c r="AG1968" s="4"/>
      <c r="AH1968" s="4"/>
      <c r="AI1968" s="4"/>
      <c r="AJ1968" s="4"/>
      <c r="AK1968" s="4"/>
      <c r="AL1968" s="4"/>
      <c r="AM1968" s="4" t="s">
        <v>2048</v>
      </c>
    </row>
    <row r="1969" customFormat="false" ht="23.85" hidden="false" customHeight="false" outlineLevel="0" collapsed="false">
      <c r="A1969" s="4" t="s">
        <v>1987</v>
      </c>
      <c r="B1969" s="4" t="s">
        <v>2442</v>
      </c>
      <c r="C1969" s="4" t="s">
        <v>2443</v>
      </c>
      <c r="D1969" s="12" t="n">
        <v>2022</v>
      </c>
      <c r="E1969" s="4"/>
      <c r="F1969" s="4" t="s">
        <v>1990</v>
      </c>
      <c r="G1969" s="4" t="s">
        <v>1991</v>
      </c>
      <c r="H1969" s="4" t="s">
        <v>1992</v>
      </c>
      <c r="I1969" s="4"/>
      <c r="J1969" s="4" t="s">
        <v>1229</v>
      </c>
      <c r="K1969" s="4" t="s">
        <v>82</v>
      </c>
      <c r="L1969" s="4" t="s">
        <v>83</v>
      </c>
      <c r="M1969" s="4" t="s">
        <v>2018</v>
      </c>
      <c r="N1969" s="4" t="s">
        <v>1994</v>
      </c>
      <c r="O1969" s="4" t="s">
        <v>65</v>
      </c>
      <c r="P1969" s="4" t="s">
        <v>64</v>
      </c>
      <c r="Q1969" s="4" t="s">
        <v>2019</v>
      </c>
      <c r="R1969" s="4" t="s">
        <v>1997</v>
      </c>
      <c r="S1969" s="4"/>
      <c r="T1969" s="4"/>
      <c r="U1969" s="4"/>
      <c r="V1969" s="4"/>
      <c r="W1969" s="4"/>
      <c r="X1969" s="4"/>
      <c r="Y1969" s="4"/>
      <c r="Z1969" s="4"/>
      <c r="AA1969" s="4"/>
      <c r="AB1969" s="4"/>
      <c r="AC1969" s="4"/>
      <c r="AD1969" s="4"/>
      <c r="AE1969" s="4"/>
      <c r="AF1969" s="4"/>
      <c r="AG1969" s="4"/>
      <c r="AH1969" s="4"/>
      <c r="AI1969" s="4"/>
      <c r="AJ1969" s="4"/>
      <c r="AK1969" s="4"/>
      <c r="AL1969" s="4"/>
      <c r="AM1969" s="4" t="s">
        <v>2020</v>
      </c>
    </row>
    <row r="1970" customFormat="false" ht="15" hidden="false" customHeight="false" outlineLevel="0" collapsed="false">
      <c r="A1970" s="4" t="s">
        <v>1987</v>
      </c>
      <c r="B1970" s="4" t="s">
        <v>2444</v>
      </c>
      <c r="C1970" s="4" t="s">
        <v>2445</v>
      </c>
      <c r="D1970" s="12" t="n">
        <v>2022</v>
      </c>
      <c r="E1970" s="4"/>
      <c r="F1970" s="4" t="s">
        <v>1990</v>
      </c>
      <c r="G1970" s="4" t="s">
        <v>1991</v>
      </c>
      <c r="H1970" s="4" t="s">
        <v>1992</v>
      </c>
      <c r="I1970" s="4"/>
      <c r="J1970" s="4" t="s">
        <v>1229</v>
      </c>
      <c r="K1970" s="4" t="s">
        <v>82</v>
      </c>
      <c r="L1970" s="4" t="s">
        <v>83</v>
      </c>
      <c r="M1970" s="4" t="s">
        <v>2018</v>
      </c>
      <c r="N1970" s="4" t="s">
        <v>2001</v>
      </c>
      <c r="O1970" s="4" t="s">
        <v>66</v>
      </c>
      <c r="P1970" s="4" t="s">
        <v>66</v>
      </c>
      <c r="Q1970" s="4" t="s">
        <v>2019</v>
      </c>
      <c r="R1970" s="4" t="s">
        <v>1997</v>
      </c>
      <c r="S1970" s="4"/>
      <c r="T1970" s="4"/>
      <c r="U1970" s="4"/>
      <c r="V1970" s="4"/>
      <c r="W1970" s="4"/>
      <c r="X1970" s="4"/>
      <c r="Y1970" s="4"/>
      <c r="Z1970" s="4"/>
      <c r="AA1970" s="4"/>
      <c r="AB1970" s="4"/>
      <c r="AC1970" s="4"/>
      <c r="AD1970" s="4"/>
      <c r="AE1970" s="4"/>
      <c r="AF1970" s="4"/>
      <c r="AG1970" s="4"/>
      <c r="AH1970" s="4"/>
      <c r="AI1970" s="4"/>
      <c r="AJ1970" s="4"/>
      <c r="AK1970" s="4"/>
      <c r="AL1970" s="4"/>
      <c r="AM1970" s="4" t="s">
        <v>2023</v>
      </c>
    </row>
    <row r="1971" customFormat="false" ht="15" hidden="false" customHeight="false" outlineLevel="0" collapsed="false">
      <c r="A1971" s="4" t="s">
        <v>1987</v>
      </c>
      <c r="B1971" s="4" t="s">
        <v>2446</v>
      </c>
      <c r="C1971" s="4" t="s">
        <v>2447</v>
      </c>
      <c r="D1971" s="12" t="n">
        <v>2022</v>
      </c>
      <c r="E1971" s="4"/>
      <c r="F1971" s="4" t="s">
        <v>1990</v>
      </c>
      <c r="G1971" s="4" t="s">
        <v>1991</v>
      </c>
      <c r="H1971" s="4" t="s">
        <v>1992</v>
      </c>
      <c r="I1971" s="4"/>
      <c r="J1971" s="4" t="s">
        <v>1229</v>
      </c>
      <c r="K1971" s="4" t="s">
        <v>82</v>
      </c>
      <c r="L1971" s="4" t="s">
        <v>83</v>
      </c>
      <c r="M1971" s="4" t="s">
        <v>1993</v>
      </c>
      <c r="N1971" s="4" t="s">
        <v>1994</v>
      </c>
      <c r="O1971" s="4" t="s">
        <v>1995</v>
      </c>
      <c r="P1971" s="4" t="s">
        <v>66</v>
      </c>
      <c r="Q1971" s="4" t="s">
        <v>2019</v>
      </c>
      <c r="R1971" s="4" t="s">
        <v>1997</v>
      </c>
      <c r="S1971" s="4"/>
      <c r="T1971" s="4"/>
      <c r="U1971" s="4"/>
      <c r="V1971" s="4"/>
      <c r="W1971" s="4"/>
      <c r="X1971" s="4"/>
      <c r="Y1971" s="4"/>
      <c r="Z1971" s="4"/>
      <c r="AA1971" s="4"/>
      <c r="AB1971" s="4"/>
      <c r="AC1971" s="4"/>
      <c r="AD1971" s="4"/>
      <c r="AE1971" s="4"/>
      <c r="AF1971" s="4"/>
      <c r="AG1971" s="4"/>
      <c r="AH1971" s="4"/>
      <c r="AI1971" s="4"/>
      <c r="AJ1971" s="4"/>
      <c r="AK1971" s="4"/>
      <c r="AL1971" s="4"/>
      <c r="AM1971" s="4" t="s">
        <v>2026</v>
      </c>
    </row>
    <row r="1972" customFormat="false" ht="23.85" hidden="false" customHeight="false" outlineLevel="0" collapsed="false">
      <c r="A1972" s="4" t="s">
        <v>1987</v>
      </c>
      <c r="B1972" s="4" t="s">
        <v>2448</v>
      </c>
      <c r="C1972" s="4" t="s">
        <v>2449</v>
      </c>
      <c r="D1972" s="12" t="n">
        <v>2022</v>
      </c>
      <c r="E1972" s="4"/>
      <c r="F1972" s="4" t="s">
        <v>1990</v>
      </c>
      <c r="G1972" s="4" t="s">
        <v>1991</v>
      </c>
      <c r="H1972" s="4" t="s">
        <v>1992</v>
      </c>
      <c r="I1972" s="4"/>
      <c r="J1972" s="4" t="s">
        <v>1234</v>
      </c>
      <c r="K1972" s="4" t="s">
        <v>82</v>
      </c>
      <c r="L1972" s="4" t="s">
        <v>83</v>
      </c>
      <c r="M1972" s="4" t="s">
        <v>1993</v>
      </c>
      <c r="N1972" s="4" t="s">
        <v>2001</v>
      </c>
      <c r="O1972" s="4" t="s">
        <v>2002</v>
      </c>
      <c r="P1972" s="4" t="s">
        <v>67</v>
      </c>
      <c r="Q1972" s="4" t="s">
        <v>2003</v>
      </c>
      <c r="R1972" s="4" t="s">
        <v>2004</v>
      </c>
      <c r="S1972" s="4"/>
      <c r="T1972" s="4"/>
      <c r="U1972" s="4"/>
      <c r="V1972" s="4"/>
      <c r="W1972" s="4"/>
      <c r="X1972" s="4"/>
      <c r="Y1972" s="4"/>
      <c r="Z1972" s="4"/>
      <c r="AA1972" s="4"/>
      <c r="AB1972" s="4"/>
      <c r="AC1972" s="4"/>
      <c r="AD1972" s="4"/>
      <c r="AE1972" s="4"/>
      <c r="AF1972" s="4"/>
      <c r="AG1972" s="4"/>
      <c r="AH1972" s="4"/>
      <c r="AI1972" s="4"/>
      <c r="AJ1972" s="4"/>
      <c r="AK1972" s="4"/>
      <c r="AL1972" s="4"/>
      <c r="AM1972" s="4" t="s">
        <v>2005</v>
      </c>
    </row>
    <row r="1973" customFormat="false" ht="35.05" hidden="false" customHeight="false" outlineLevel="0" collapsed="false">
      <c r="A1973" s="4" t="s">
        <v>1987</v>
      </c>
      <c r="B1973" s="4" t="s">
        <v>2450</v>
      </c>
      <c r="C1973" s="4" t="s">
        <v>2451</v>
      </c>
      <c r="D1973" s="12" t="n">
        <v>2022</v>
      </c>
      <c r="E1973" s="4"/>
      <c r="F1973" s="4" t="s">
        <v>1990</v>
      </c>
      <c r="G1973" s="4" t="s">
        <v>1991</v>
      </c>
      <c r="H1973" s="4" t="s">
        <v>1992</v>
      </c>
      <c r="I1973" s="4"/>
      <c r="J1973" s="4" t="s">
        <v>1243</v>
      </c>
      <c r="K1973" s="4" t="s">
        <v>84</v>
      </c>
      <c r="L1973" s="4" t="s">
        <v>85</v>
      </c>
      <c r="M1973" s="4" t="s">
        <v>2018</v>
      </c>
      <c r="N1973" s="4" t="s">
        <v>1994</v>
      </c>
      <c r="O1973" s="4" t="s">
        <v>65</v>
      </c>
      <c r="P1973" s="4" t="s">
        <v>64</v>
      </c>
      <c r="Q1973" s="4" t="s">
        <v>2044</v>
      </c>
      <c r="R1973" s="4" t="s">
        <v>1997</v>
      </c>
      <c r="S1973" s="4"/>
      <c r="T1973" s="4"/>
      <c r="U1973" s="4"/>
      <c r="V1973" s="4"/>
      <c r="W1973" s="4"/>
      <c r="X1973" s="4"/>
      <c r="Y1973" s="4"/>
      <c r="Z1973" s="4"/>
      <c r="AA1973" s="4"/>
      <c r="AB1973" s="4"/>
      <c r="AC1973" s="4"/>
      <c r="AD1973" s="4"/>
      <c r="AE1973" s="4"/>
      <c r="AF1973" s="4"/>
      <c r="AG1973" s="4"/>
      <c r="AH1973" s="4"/>
      <c r="AI1973" s="4"/>
      <c r="AJ1973" s="4"/>
      <c r="AK1973" s="4"/>
      <c r="AL1973" s="4"/>
      <c r="AM1973" s="4" t="s">
        <v>2045</v>
      </c>
    </row>
    <row r="1974" customFormat="false" ht="23.85" hidden="false" customHeight="false" outlineLevel="0" collapsed="false">
      <c r="A1974" s="4" t="s">
        <v>1987</v>
      </c>
      <c r="B1974" s="4" t="s">
        <v>2452</v>
      </c>
      <c r="C1974" s="4" t="s">
        <v>2453</v>
      </c>
      <c r="D1974" s="12" t="n">
        <v>2022</v>
      </c>
      <c r="E1974" s="4"/>
      <c r="F1974" s="4" t="s">
        <v>1990</v>
      </c>
      <c r="G1974" s="4" t="s">
        <v>1991</v>
      </c>
      <c r="H1974" s="4" t="s">
        <v>1992</v>
      </c>
      <c r="I1974" s="4"/>
      <c r="J1974" s="4" t="s">
        <v>1248</v>
      </c>
      <c r="K1974" s="4" t="s">
        <v>84</v>
      </c>
      <c r="L1974" s="4" t="s">
        <v>85</v>
      </c>
      <c r="M1974" s="4" t="s">
        <v>2018</v>
      </c>
      <c r="N1974" s="4" t="s">
        <v>2001</v>
      </c>
      <c r="O1974" s="4" t="s">
        <v>66</v>
      </c>
      <c r="P1974" s="4" t="s">
        <v>67</v>
      </c>
      <c r="Q1974" s="4" t="s">
        <v>2003</v>
      </c>
      <c r="R1974" s="4" t="s">
        <v>2004</v>
      </c>
      <c r="S1974" s="4"/>
      <c r="T1974" s="4"/>
      <c r="U1974" s="4"/>
      <c r="V1974" s="4"/>
      <c r="W1974" s="4"/>
      <c r="X1974" s="4"/>
      <c r="Y1974" s="4"/>
      <c r="Z1974" s="4"/>
      <c r="AA1974" s="4"/>
      <c r="AB1974" s="4"/>
      <c r="AC1974" s="4"/>
      <c r="AD1974" s="4"/>
      <c r="AE1974" s="4"/>
      <c r="AF1974" s="4"/>
      <c r="AG1974" s="4"/>
      <c r="AH1974" s="4"/>
      <c r="AI1974" s="4"/>
      <c r="AJ1974" s="4"/>
      <c r="AK1974" s="4"/>
      <c r="AL1974" s="4"/>
      <c r="AM1974" s="4" t="s">
        <v>2048</v>
      </c>
    </row>
    <row r="1975" customFormat="false" ht="23.85" hidden="false" customHeight="false" outlineLevel="0" collapsed="false">
      <c r="A1975" s="4" t="s">
        <v>1987</v>
      </c>
      <c r="B1975" s="4" t="s">
        <v>2454</v>
      </c>
      <c r="C1975" s="4" t="s">
        <v>2455</v>
      </c>
      <c r="D1975" s="12" t="n">
        <v>2022</v>
      </c>
      <c r="E1975" s="4"/>
      <c r="F1975" s="4" t="s">
        <v>1990</v>
      </c>
      <c r="G1975" s="4" t="s">
        <v>1991</v>
      </c>
      <c r="H1975" s="4" t="s">
        <v>1992</v>
      </c>
      <c r="I1975" s="4"/>
      <c r="J1975" s="4" t="s">
        <v>1249</v>
      </c>
      <c r="K1975" s="4" t="s">
        <v>84</v>
      </c>
      <c r="L1975" s="4" t="s">
        <v>85</v>
      </c>
      <c r="M1975" s="4" t="s">
        <v>2018</v>
      </c>
      <c r="N1975" s="4" t="s">
        <v>2001</v>
      </c>
      <c r="O1975" s="4" t="s">
        <v>66</v>
      </c>
      <c r="P1975" s="4" t="s">
        <v>67</v>
      </c>
      <c r="Q1975" s="4" t="s">
        <v>2008</v>
      </c>
      <c r="R1975" s="4" t="s">
        <v>2004</v>
      </c>
      <c r="S1975" s="4"/>
      <c r="T1975" s="4"/>
      <c r="U1975" s="4"/>
      <c r="V1975" s="4"/>
      <c r="W1975" s="4"/>
      <c r="X1975" s="4"/>
      <c r="Y1975" s="4"/>
      <c r="Z1975" s="4"/>
      <c r="AA1975" s="4"/>
      <c r="AB1975" s="4"/>
      <c r="AC1975" s="4"/>
      <c r="AD1975" s="4"/>
      <c r="AE1975" s="4"/>
      <c r="AF1975" s="4"/>
      <c r="AG1975" s="4"/>
      <c r="AH1975" s="4"/>
      <c r="AI1975" s="4"/>
      <c r="AJ1975" s="4"/>
      <c r="AK1975" s="4"/>
      <c r="AL1975" s="4"/>
      <c r="AM1975" s="4" t="s">
        <v>2067</v>
      </c>
    </row>
    <row r="1976" customFormat="false" ht="23.85" hidden="false" customHeight="false" outlineLevel="0" collapsed="false">
      <c r="A1976" s="4" t="s">
        <v>1987</v>
      </c>
      <c r="B1976" s="4" t="s">
        <v>2456</v>
      </c>
      <c r="C1976" s="4" t="s">
        <v>2457</v>
      </c>
      <c r="D1976" s="12" t="n">
        <v>2022</v>
      </c>
      <c r="E1976" s="4"/>
      <c r="F1976" s="4" t="s">
        <v>1990</v>
      </c>
      <c r="G1976" s="4" t="s">
        <v>1991</v>
      </c>
      <c r="H1976" s="4" t="s">
        <v>1992</v>
      </c>
      <c r="I1976" s="4"/>
      <c r="J1976" s="4" t="s">
        <v>1257</v>
      </c>
      <c r="K1976" s="4" t="s">
        <v>109</v>
      </c>
      <c r="L1976" s="4" t="s">
        <v>110</v>
      </c>
      <c r="M1976" s="4" t="s">
        <v>1993</v>
      </c>
      <c r="N1976" s="4" t="s">
        <v>1994</v>
      </c>
      <c r="O1976" s="4" t="s">
        <v>1995</v>
      </c>
      <c r="P1976" s="4" t="s">
        <v>65</v>
      </c>
      <c r="Q1976" s="4" t="s">
        <v>2070</v>
      </c>
      <c r="R1976" s="4" t="s">
        <v>1997</v>
      </c>
      <c r="S1976" s="4"/>
      <c r="T1976" s="4"/>
      <c r="U1976" s="4"/>
      <c r="V1976" s="4"/>
      <c r="W1976" s="4"/>
      <c r="X1976" s="4"/>
      <c r="Y1976" s="4"/>
      <c r="Z1976" s="4"/>
      <c r="AA1976" s="4"/>
      <c r="AB1976" s="4"/>
      <c r="AC1976" s="4"/>
      <c r="AD1976" s="4"/>
      <c r="AE1976" s="4"/>
      <c r="AF1976" s="4"/>
      <c r="AG1976" s="4"/>
      <c r="AH1976" s="4"/>
      <c r="AI1976" s="4"/>
      <c r="AJ1976" s="4"/>
      <c r="AK1976" s="4"/>
      <c r="AL1976" s="4"/>
      <c r="AM1976" s="4" t="s">
        <v>2071</v>
      </c>
    </row>
    <row r="1977" customFormat="false" ht="15" hidden="false" customHeight="false" outlineLevel="0" collapsed="false">
      <c r="A1977" s="4" t="s">
        <v>1987</v>
      </c>
      <c r="B1977" s="4" t="s">
        <v>2458</v>
      </c>
      <c r="C1977" s="4" t="s">
        <v>2459</v>
      </c>
      <c r="D1977" s="12" t="n">
        <v>2022</v>
      </c>
      <c r="E1977" s="4"/>
      <c r="F1977" s="4" t="s">
        <v>1990</v>
      </c>
      <c r="G1977" s="4" t="s">
        <v>1991</v>
      </c>
      <c r="H1977" s="4" t="s">
        <v>1992</v>
      </c>
      <c r="I1977" s="4"/>
      <c r="J1977" s="4" t="s">
        <v>1266</v>
      </c>
      <c r="K1977" s="4" t="s">
        <v>109</v>
      </c>
      <c r="L1977" s="4" t="s">
        <v>110</v>
      </c>
      <c r="M1977" s="4" t="s">
        <v>1993</v>
      </c>
      <c r="N1977" s="4" t="s">
        <v>2001</v>
      </c>
      <c r="O1977" s="4" t="s">
        <v>2074</v>
      </c>
      <c r="P1977" s="4" t="s">
        <v>73</v>
      </c>
      <c r="Q1977" s="4" t="s">
        <v>2075</v>
      </c>
      <c r="R1977" s="4" t="s">
        <v>1997</v>
      </c>
      <c r="S1977" s="4"/>
      <c r="T1977" s="4"/>
      <c r="U1977" s="4"/>
      <c r="V1977" s="4"/>
      <c r="W1977" s="4"/>
      <c r="X1977" s="4"/>
      <c r="Y1977" s="4"/>
      <c r="Z1977" s="4"/>
      <c r="AA1977" s="4"/>
      <c r="AB1977" s="4"/>
      <c r="AC1977" s="4"/>
      <c r="AD1977" s="4"/>
      <c r="AE1977" s="4"/>
      <c r="AF1977" s="4"/>
      <c r="AG1977" s="4"/>
      <c r="AH1977" s="4"/>
      <c r="AI1977" s="4"/>
      <c r="AJ1977" s="4"/>
      <c r="AK1977" s="4"/>
      <c r="AL1977" s="4"/>
      <c r="AM1977" s="4" t="s">
        <v>2076</v>
      </c>
    </row>
    <row r="1978" customFormat="false" ht="15" hidden="false" customHeight="false" outlineLevel="0" collapsed="false">
      <c r="A1978" s="4" t="s">
        <v>1987</v>
      </c>
      <c r="B1978" s="4" t="s">
        <v>2460</v>
      </c>
      <c r="C1978" s="4" t="s">
        <v>2461</v>
      </c>
      <c r="D1978" s="12" t="n">
        <v>2022</v>
      </c>
      <c r="E1978" s="4"/>
      <c r="F1978" s="4" t="s">
        <v>1990</v>
      </c>
      <c r="G1978" s="4" t="s">
        <v>1991</v>
      </c>
      <c r="H1978" s="4" t="s">
        <v>1992</v>
      </c>
      <c r="I1978" s="4"/>
      <c r="J1978" s="4" t="s">
        <v>1267</v>
      </c>
      <c r="K1978" s="4" t="s">
        <v>109</v>
      </c>
      <c r="L1978" s="4" t="s">
        <v>110</v>
      </c>
      <c r="M1978" s="4" t="s">
        <v>1993</v>
      </c>
      <c r="N1978" s="4" t="s">
        <v>2001</v>
      </c>
      <c r="O1978" s="4" t="s">
        <v>2002</v>
      </c>
      <c r="P1978" s="4" t="s">
        <v>72</v>
      </c>
      <c r="Q1978" s="4" t="s">
        <v>2079</v>
      </c>
      <c r="R1978" s="4" t="s">
        <v>1997</v>
      </c>
      <c r="S1978" s="4"/>
      <c r="T1978" s="4"/>
      <c r="U1978" s="4"/>
      <c r="V1978" s="4"/>
      <c r="W1978" s="4"/>
      <c r="X1978" s="4"/>
      <c r="Y1978" s="4"/>
      <c r="Z1978" s="4"/>
      <c r="AA1978" s="4"/>
      <c r="AB1978" s="4"/>
      <c r="AC1978" s="4"/>
      <c r="AD1978" s="4"/>
      <c r="AE1978" s="4"/>
      <c r="AF1978" s="4"/>
      <c r="AG1978" s="4"/>
      <c r="AH1978" s="4"/>
      <c r="AI1978" s="4"/>
      <c r="AJ1978" s="4"/>
      <c r="AK1978" s="4"/>
      <c r="AL1978" s="4"/>
      <c r="AM1978" s="4" t="s">
        <v>2080</v>
      </c>
    </row>
    <row r="1979" customFormat="false" ht="23.85" hidden="false" customHeight="false" outlineLevel="0" collapsed="false">
      <c r="A1979" s="4" t="s">
        <v>1987</v>
      </c>
      <c r="B1979" s="4" t="s">
        <v>2462</v>
      </c>
      <c r="C1979" s="4" t="s">
        <v>2463</v>
      </c>
      <c r="D1979" s="12" t="n">
        <v>2022</v>
      </c>
      <c r="E1979" s="4"/>
      <c r="F1979" s="4" t="s">
        <v>1990</v>
      </c>
      <c r="G1979" s="4" t="s">
        <v>1991</v>
      </c>
      <c r="H1979" s="4" t="s">
        <v>1992</v>
      </c>
      <c r="I1979" s="4"/>
      <c r="J1979" s="4" t="s">
        <v>1271</v>
      </c>
      <c r="K1979" s="4" t="s">
        <v>86</v>
      </c>
      <c r="L1979" s="4" t="s">
        <v>87</v>
      </c>
      <c r="M1979" s="4" t="s">
        <v>2018</v>
      </c>
      <c r="N1979" s="4" t="s">
        <v>1994</v>
      </c>
      <c r="O1979" s="4" t="s">
        <v>65</v>
      </c>
      <c r="P1979" s="4" t="s">
        <v>64</v>
      </c>
      <c r="Q1979" s="4" t="s">
        <v>2019</v>
      </c>
      <c r="R1979" s="4" t="s">
        <v>1997</v>
      </c>
      <c r="S1979" s="4"/>
      <c r="T1979" s="4"/>
      <c r="U1979" s="4"/>
      <c r="V1979" s="4"/>
      <c r="W1979" s="4"/>
      <c r="X1979" s="4"/>
      <c r="Y1979" s="4"/>
      <c r="Z1979" s="4"/>
      <c r="AA1979" s="4"/>
      <c r="AB1979" s="4"/>
      <c r="AC1979" s="4"/>
      <c r="AD1979" s="4"/>
      <c r="AE1979" s="4"/>
      <c r="AF1979" s="4"/>
      <c r="AG1979" s="4"/>
      <c r="AH1979" s="4"/>
      <c r="AI1979" s="4"/>
      <c r="AJ1979" s="4"/>
      <c r="AK1979" s="4"/>
      <c r="AL1979" s="4"/>
      <c r="AM1979" s="4" t="s">
        <v>2020</v>
      </c>
    </row>
    <row r="1980" customFormat="false" ht="15" hidden="false" customHeight="false" outlineLevel="0" collapsed="false">
      <c r="A1980" s="4" t="s">
        <v>1987</v>
      </c>
      <c r="B1980" s="4" t="s">
        <v>2464</v>
      </c>
      <c r="C1980" s="4" t="s">
        <v>2465</v>
      </c>
      <c r="D1980" s="12" t="n">
        <v>2022</v>
      </c>
      <c r="E1980" s="4"/>
      <c r="F1980" s="4" t="s">
        <v>1990</v>
      </c>
      <c r="G1980" s="4" t="s">
        <v>1991</v>
      </c>
      <c r="H1980" s="4" t="s">
        <v>1992</v>
      </c>
      <c r="I1980" s="4"/>
      <c r="J1980" s="4" t="s">
        <v>1271</v>
      </c>
      <c r="K1980" s="4" t="s">
        <v>86</v>
      </c>
      <c r="L1980" s="4" t="s">
        <v>87</v>
      </c>
      <c r="M1980" s="4" t="s">
        <v>2018</v>
      </c>
      <c r="N1980" s="4" t="s">
        <v>2001</v>
      </c>
      <c r="O1980" s="4" t="s">
        <v>66</v>
      </c>
      <c r="P1980" s="4" t="s">
        <v>66</v>
      </c>
      <c r="Q1980" s="4" t="s">
        <v>2019</v>
      </c>
      <c r="R1980" s="4" t="s">
        <v>1997</v>
      </c>
      <c r="S1980" s="4"/>
      <c r="T1980" s="4"/>
      <c r="U1980" s="4"/>
      <c r="V1980" s="4"/>
      <c r="W1980" s="4"/>
      <c r="X1980" s="4"/>
      <c r="Y1980" s="4"/>
      <c r="Z1980" s="4"/>
      <c r="AA1980" s="4"/>
      <c r="AB1980" s="4"/>
      <c r="AC1980" s="4"/>
      <c r="AD1980" s="4"/>
      <c r="AE1980" s="4"/>
      <c r="AF1980" s="4"/>
      <c r="AG1980" s="4"/>
      <c r="AH1980" s="4"/>
      <c r="AI1980" s="4"/>
      <c r="AJ1980" s="4"/>
      <c r="AK1980" s="4"/>
      <c r="AL1980" s="4"/>
      <c r="AM1980" s="4" t="s">
        <v>2023</v>
      </c>
    </row>
    <row r="1981" customFormat="false" ht="15" hidden="false" customHeight="false" outlineLevel="0" collapsed="false">
      <c r="A1981" s="4" t="s">
        <v>1987</v>
      </c>
      <c r="B1981" s="4" t="s">
        <v>2466</v>
      </c>
      <c r="C1981" s="4" t="s">
        <v>2467</v>
      </c>
      <c r="D1981" s="12" t="n">
        <v>2022</v>
      </c>
      <c r="E1981" s="4"/>
      <c r="F1981" s="4" t="s">
        <v>1990</v>
      </c>
      <c r="G1981" s="4" t="s">
        <v>1991</v>
      </c>
      <c r="H1981" s="4" t="s">
        <v>1992</v>
      </c>
      <c r="I1981" s="4"/>
      <c r="J1981" s="4" t="s">
        <v>1271</v>
      </c>
      <c r="K1981" s="4" t="s">
        <v>86</v>
      </c>
      <c r="L1981" s="4" t="s">
        <v>87</v>
      </c>
      <c r="M1981" s="4" t="s">
        <v>1993</v>
      </c>
      <c r="N1981" s="4" t="s">
        <v>1994</v>
      </c>
      <c r="O1981" s="4" t="s">
        <v>1995</v>
      </c>
      <c r="P1981" s="4" t="s">
        <v>66</v>
      </c>
      <c r="Q1981" s="4" t="s">
        <v>2019</v>
      </c>
      <c r="R1981" s="4" t="s">
        <v>1997</v>
      </c>
      <c r="S1981" s="4"/>
      <c r="T1981" s="4"/>
      <c r="U1981" s="4"/>
      <c r="V1981" s="4"/>
      <c r="W1981" s="4"/>
      <c r="X1981" s="4"/>
      <c r="Y1981" s="4"/>
      <c r="Z1981" s="4"/>
      <c r="AA1981" s="4"/>
      <c r="AB1981" s="4"/>
      <c r="AC1981" s="4"/>
      <c r="AD1981" s="4"/>
      <c r="AE1981" s="4"/>
      <c r="AF1981" s="4"/>
      <c r="AG1981" s="4"/>
      <c r="AH1981" s="4"/>
      <c r="AI1981" s="4"/>
      <c r="AJ1981" s="4"/>
      <c r="AK1981" s="4"/>
      <c r="AL1981" s="4"/>
      <c r="AM1981" s="4" t="s">
        <v>2026</v>
      </c>
    </row>
    <row r="1982" customFormat="false" ht="23.85" hidden="false" customHeight="false" outlineLevel="0" collapsed="false">
      <c r="A1982" s="4" t="s">
        <v>1987</v>
      </c>
      <c r="B1982" s="4" t="s">
        <v>2468</v>
      </c>
      <c r="C1982" s="4" t="s">
        <v>2469</v>
      </c>
      <c r="D1982" s="12" t="n">
        <v>2022</v>
      </c>
      <c r="E1982" s="4"/>
      <c r="F1982" s="4" t="s">
        <v>1990</v>
      </c>
      <c r="G1982" s="4" t="s">
        <v>1991</v>
      </c>
      <c r="H1982" s="4" t="s">
        <v>1992</v>
      </c>
      <c r="I1982" s="4"/>
      <c r="J1982" s="4" t="s">
        <v>1272</v>
      </c>
      <c r="K1982" s="4" t="s">
        <v>86</v>
      </c>
      <c r="L1982" s="4" t="s">
        <v>87</v>
      </c>
      <c r="M1982" s="4" t="s">
        <v>1993</v>
      </c>
      <c r="N1982" s="4" t="s">
        <v>1994</v>
      </c>
      <c r="O1982" s="4" t="s">
        <v>2029</v>
      </c>
      <c r="P1982" s="4" t="s">
        <v>69</v>
      </c>
      <c r="Q1982" s="4" t="s">
        <v>2030</v>
      </c>
      <c r="R1982" s="4" t="s">
        <v>1997</v>
      </c>
      <c r="S1982" s="4"/>
      <c r="T1982" s="4"/>
      <c r="U1982" s="4"/>
      <c r="V1982" s="4"/>
      <c r="W1982" s="4"/>
      <c r="X1982" s="4"/>
      <c r="Y1982" s="4"/>
      <c r="Z1982" s="4"/>
      <c r="AA1982" s="4"/>
      <c r="AB1982" s="4"/>
      <c r="AC1982" s="4"/>
      <c r="AD1982" s="4"/>
      <c r="AE1982" s="4"/>
      <c r="AF1982" s="4"/>
      <c r="AG1982" s="4"/>
      <c r="AH1982" s="4"/>
      <c r="AI1982" s="4"/>
      <c r="AJ1982" s="4"/>
      <c r="AK1982" s="4"/>
      <c r="AL1982" s="4"/>
      <c r="AM1982" s="4" t="s">
        <v>2031</v>
      </c>
    </row>
    <row r="1983" customFormat="false" ht="23.85" hidden="false" customHeight="false" outlineLevel="0" collapsed="false">
      <c r="A1983" s="4" t="s">
        <v>1987</v>
      </c>
      <c r="B1983" s="4" t="s">
        <v>2470</v>
      </c>
      <c r="C1983" s="4" t="s">
        <v>2471</v>
      </c>
      <c r="D1983" s="12" t="n">
        <v>2022</v>
      </c>
      <c r="E1983" s="4"/>
      <c r="F1983" s="4" t="s">
        <v>1990</v>
      </c>
      <c r="G1983" s="4" t="s">
        <v>1991</v>
      </c>
      <c r="H1983" s="4" t="s">
        <v>1992</v>
      </c>
      <c r="I1983" s="4"/>
      <c r="J1983" s="4" t="s">
        <v>1273</v>
      </c>
      <c r="K1983" s="4" t="s">
        <v>86</v>
      </c>
      <c r="L1983" s="4" t="s">
        <v>87</v>
      </c>
      <c r="M1983" s="4" t="s">
        <v>1993</v>
      </c>
      <c r="N1983" s="4" t="s">
        <v>2001</v>
      </c>
      <c r="O1983" s="4" t="s">
        <v>2091</v>
      </c>
      <c r="P1983" s="4" t="s">
        <v>69</v>
      </c>
      <c r="Q1983" s="4" t="s">
        <v>2030</v>
      </c>
      <c r="R1983" s="4" t="s">
        <v>1997</v>
      </c>
      <c r="S1983" s="4"/>
      <c r="T1983" s="4"/>
      <c r="U1983" s="4"/>
      <c r="V1983" s="4"/>
      <c r="W1983" s="4"/>
      <c r="X1983" s="4"/>
      <c r="Y1983" s="4"/>
      <c r="Z1983" s="4"/>
      <c r="AA1983" s="4"/>
      <c r="AB1983" s="4"/>
      <c r="AC1983" s="4"/>
      <c r="AD1983" s="4"/>
      <c r="AE1983" s="4"/>
      <c r="AF1983" s="4"/>
      <c r="AG1983" s="4"/>
      <c r="AH1983" s="4"/>
      <c r="AI1983" s="4"/>
      <c r="AJ1983" s="4"/>
      <c r="AK1983" s="4"/>
      <c r="AL1983" s="4"/>
      <c r="AM1983" s="4" t="s">
        <v>2092</v>
      </c>
    </row>
    <row r="1984" customFormat="false" ht="23.85" hidden="false" customHeight="false" outlineLevel="0" collapsed="false">
      <c r="A1984" s="4" t="s">
        <v>1987</v>
      </c>
      <c r="B1984" s="4" t="s">
        <v>2472</v>
      </c>
      <c r="C1984" s="4" t="s">
        <v>2473</v>
      </c>
      <c r="D1984" s="12" t="n">
        <v>2022</v>
      </c>
      <c r="E1984" s="4"/>
      <c r="F1984" s="4" t="s">
        <v>1990</v>
      </c>
      <c r="G1984" s="4" t="s">
        <v>1991</v>
      </c>
      <c r="H1984" s="4" t="s">
        <v>1992</v>
      </c>
      <c r="I1984" s="4"/>
      <c r="J1984" s="4" t="s">
        <v>1274</v>
      </c>
      <c r="K1984" s="4" t="s">
        <v>86</v>
      </c>
      <c r="L1984" s="4" t="s">
        <v>87</v>
      </c>
      <c r="M1984" s="4" t="s">
        <v>1993</v>
      </c>
      <c r="N1984" s="4" t="s">
        <v>2001</v>
      </c>
      <c r="O1984" s="4" t="s">
        <v>2034</v>
      </c>
      <c r="P1984" s="4" t="s">
        <v>74</v>
      </c>
      <c r="Q1984" s="4" t="s">
        <v>2035</v>
      </c>
      <c r="R1984" s="4" t="s">
        <v>2036</v>
      </c>
      <c r="S1984" s="4"/>
      <c r="T1984" s="4"/>
      <c r="U1984" s="4"/>
      <c r="V1984" s="4"/>
      <c r="W1984" s="4"/>
      <c r="X1984" s="4"/>
      <c r="Y1984" s="4"/>
      <c r="Z1984" s="4"/>
      <c r="AA1984" s="4"/>
      <c r="AB1984" s="4"/>
      <c r="AC1984" s="4"/>
      <c r="AD1984" s="4"/>
      <c r="AE1984" s="4"/>
      <c r="AF1984" s="4"/>
      <c r="AG1984" s="4"/>
      <c r="AH1984" s="4"/>
      <c r="AI1984" s="4"/>
      <c r="AJ1984" s="4"/>
      <c r="AK1984" s="4"/>
      <c r="AL1984" s="4"/>
      <c r="AM1984" s="4" t="s">
        <v>2037</v>
      </c>
    </row>
    <row r="1985" customFormat="false" ht="23.85" hidden="false" customHeight="false" outlineLevel="0" collapsed="false">
      <c r="A1985" s="4" t="s">
        <v>1987</v>
      </c>
      <c r="B1985" s="4" t="s">
        <v>2474</v>
      </c>
      <c r="C1985" s="4" t="s">
        <v>2475</v>
      </c>
      <c r="D1985" s="12" t="n">
        <v>2022</v>
      </c>
      <c r="E1985" s="4"/>
      <c r="F1985" s="4" t="s">
        <v>1990</v>
      </c>
      <c r="G1985" s="4" t="s">
        <v>1991</v>
      </c>
      <c r="H1985" s="4" t="s">
        <v>1992</v>
      </c>
      <c r="I1985" s="4"/>
      <c r="J1985" s="4" t="s">
        <v>1275</v>
      </c>
      <c r="K1985" s="4" t="s">
        <v>86</v>
      </c>
      <c r="L1985" s="4" t="s">
        <v>87</v>
      </c>
      <c r="M1985" s="4" t="s">
        <v>1993</v>
      </c>
      <c r="N1985" s="4" t="s">
        <v>2001</v>
      </c>
      <c r="O1985" s="4" t="s">
        <v>2002</v>
      </c>
      <c r="P1985" s="4" t="s">
        <v>67</v>
      </c>
      <c r="Q1985" s="4" t="s">
        <v>2097</v>
      </c>
      <c r="R1985" s="4" t="s">
        <v>2004</v>
      </c>
      <c r="S1985" s="4"/>
      <c r="T1985" s="4"/>
      <c r="U1985" s="4"/>
      <c r="V1985" s="4"/>
      <c r="W1985" s="4"/>
      <c r="X1985" s="4"/>
      <c r="Y1985" s="4"/>
      <c r="Z1985" s="4"/>
      <c r="AA1985" s="4"/>
      <c r="AB1985" s="4"/>
      <c r="AC1985" s="4"/>
      <c r="AD1985" s="4"/>
      <c r="AE1985" s="4"/>
      <c r="AF1985" s="4"/>
      <c r="AG1985" s="4"/>
      <c r="AH1985" s="4"/>
      <c r="AI1985" s="4"/>
      <c r="AJ1985" s="4"/>
      <c r="AK1985" s="4"/>
      <c r="AL1985" s="4"/>
      <c r="AM1985" s="4" t="s">
        <v>2098</v>
      </c>
    </row>
    <row r="1986" customFormat="false" ht="35.05" hidden="false" customHeight="false" outlineLevel="0" collapsed="false">
      <c r="A1986" s="4" t="s">
        <v>1987</v>
      </c>
      <c r="B1986" s="4" t="s">
        <v>2476</v>
      </c>
      <c r="C1986" s="4" t="s">
        <v>2477</v>
      </c>
      <c r="D1986" s="12" t="n">
        <v>2022</v>
      </c>
      <c r="E1986" s="4"/>
      <c r="F1986" s="4" t="s">
        <v>1990</v>
      </c>
      <c r="G1986" s="4" t="s">
        <v>1991</v>
      </c>
      <c r="H1986" s="4" t="s">
        <v>1992</v>
      </c>
      <c r="I1986" s="4"/>
      <c r="J1986" s="4" t="s">
        <v>1285</v>
      </c>
      <c r="K1986" s="4" t="s">
        <v>88</v>
      </c>
      <c r="L1986" s="4" t="s">
        <v>89</v>
      </c>
      <c r="M1986" s="4" t="s">
        <v>2018</v>
      </c>
      <c r="N1986" s="4" t="s">
        <v>1994</v>
      </c>
      <c r="O1986" s="4" t="s">
        <v>65</v>
      </c>
      <c r="P1986" s="4" t="s">
        <v>64</v>
      </c>
      <c r="Q1986" s="4" t="s">
        <v>2044</v>
      </c>
      <c r="R1986" s="4" t="s">
        <v>1997</v>
      </c>
      <c r="S1986" s="4"/>
      <c r="T1986" s="4"/>
      <c r="U1986" s="4"/>
      <c r="V1986" s="4"/>
      <c r="W1986" s="4"/>
      <c r="X1986" s="4"/>
      <c r="Y1986" s="4"/>
      <c r="Z1986" s="4"/>
      <c r="AA1986" s="4"/>
      <c r="AB1986" s="4"/>
      <c r="AC1986" s="4"/>
      <c r="AD1986" s="4"/>
      <c r="AE1986" s="4"/>
      <c r="AF1986" s="4"/>
      <c r="AG1986" s="4"/>
      <c r="AH1986" s="4"/>
      <c r="AI1986" s="4"/>
      <c r="AJ1986" s="4"/>
      <c r="AK1986" s="4"/>
      <c r="AL1986" s="4"/>
      <c r="AM1986" s="4" t="s">
        <v>2045</v>
      </c>
    </row>
    <row r="1987" customFormat="false" ht="23.85" hidden="false" customHeight="false" outlineLevel="0" collapsed="false">
      <c r="A1987" s="4" t="s">
        <v>1987</v>
      </c>
      <c r="B1987" s="4" t="s">
        <v>2478</v>
      </c>
      <c r="C1987" s="4" t="s">
        <v>2479</v>
      </c>
      <c r="D1987" s="12" t="n">
        <v>2022</v>
      </c>
      <c r="E1987" s="4"/>
      <c r="F1987" s="4" t="s">
        <v>1990</v>
      </c>
      <c r="G1987" s="4" t="s">
        <v>1991</v>
      </c>
      <c r="H1987" s="4" t="s">
        <v>1992</v>
      </c>
      <c r="I1987" s="4"/>
      <c r="J1987" s="4" t="s">
        <v>1290</v>
      </c>
      <c r="K1987" s="4" t="s">
        <v>88</v>
      </c>
      <c r="L1987" s="4" t="s">
        <v>89</v>
      </c>
      <c r="M1987" s="4" t="s">
        <v>2018</v>
      </c>
      <c r="N1987" s="4" t="s">
        <v>2001</v>
      </c>
      <c r="O1987" s="4" t="s">
        <v>66</v>
      </c>
      <c r="P1987" s="4" t="s">
        <v>67</v>
      </c>
      <c r="Q1987" s="4" t="s">
        <v>2003</v>
      </c>
      <c r="R1987" s="4" t="s">
        <v>2004</v>
      </c>
      <c r="S1987" s="4"/>
      <c r="T1987" s="4"/>
      <c r="U1987" s="4"/>
      <c r="V1987" s="4"/>
      <c r="W1987" s="4"/>
      <c r="X1987" s="4"/>
      <c r="Y1987" s="4"/>
      <c r="Z1987" s="4"/>
      <c r="AA1987" s="4"/>
      <c r="AB1987" s="4"/>
      <c r="AC1987" s="4"/>
      <c r="AD1987" s="4"/>
      <c r="AE1987" s="4"/>
      <c r="AF1987" s="4"/>
      <c r="AG1987" s="4"/>
      <c r="AH1987" s="4"/>
      <c r="AI1987" s="4"/>
      <c r="AJ1987" s="4"/>
      <c r="AK1987" s="4"/>
      <c r="AL1987" s="4"/>
      <c r="AM1987" s="4" t="s">
        <v>2048</v>
      </c>
    </row>
    <row r="1988" customFormat="false" ht="23.85" hidden="false" customHeight="false" outlineLevel="0" collapsed="false">
      <c r="A1988" s="4" t="s">
        <v>1987</v>
      </c>
      <c r="B1988" s="4" t="s">
        <v>2480</v>
      </c>
      <c r="C1988" s="4" t="s">
        <v>2481</v>
      </c>
      <c r="D1988" s="12" t="n">
        <v>2022</v>
      </c>
      <c r="E1988" s="4"/>
      <c r="F1988" s="4" t="s">
        <v>1990</v>
      </c>
      <c r="G1988" s="4" t="s">
        <v>1991</v>
      </c>
      <c r="H1988" s="4" t="s">
        <v>1992</v>
      </c>
      <c r="I1988" s="4"/>
      <c r="J1988" s="4" t="s">
        <v>1300</v>
      </c>
      <c r="K1988" s="4" t="s">
        <v>95</v>
      </c>
      <c r="L1988" s="4" t="s">
        <v>96</v>
      </c>
      <c r="M1988" s="4" t="s">
        <v>1993</v>
      </c>
      <c r="N1988" s="4" t="s">
        <v>1994</v>
      </c>
      <c r="O1988" s="4" t="s">
        <v>2029</v>
      </c>
      <c r="P1988" s="4" t="s">
        <v>69</v>
      </c>
      <c r="Q1988" s="4" t="s">
        <v>2030</v>
      </c>
      <c r="R1988" s="4" t="s">
        <v>1997</v>
      </c>
      <c r="S1988" s="4"/>
      <c r="T1988" s="4"/>
      <c r="U1988" s="4"/>
      <c r="V1988" s="4"/>
      <c r="W1988" s="4"/>
      <c r="X1988" s="4"/>
      <c r="Y1988" s="4"/>
      <c r="Z1988" s="4"/>
      <c r="AA1988" s="4"/>
      <c r="AB1988" s="4"/>
      <c r="AC1988" s="4"/>
      <c r="AD1988" s="4"/>
      <c r="AE1988" s="4"/>
      <c r="AF1988" s="4"/>
      <c r="AG1988" s="4"/>
      <c r="AH1988" s="4"/>
      <c r="AI1988" s="4"/>
      <c r="AJ1988" s="4"/>
      <c r="AK1988" s="4"/>
      <c r="AL1988" s="4"/>
      <c r="AM1988" s="4" t="s">
        <v>2031</v>
      </c>
    </row>
    <row r="1989" customFormat="false" ht="23.85" hidden="false" customHeight="false" outlineLevel="0" collapsed="false">
      <c r="A1989" s="4" t="s">
        <v>1987</v>
      </c>
      <c r="B1989" s="4" t="s">
        <v>2482</v>
      </c>
      <c r="C1989" s="4" t="s">
        <v>2483</v>
      </c>
      <c r="D1989" s="12" t="n">
        <v>2022</v>
      </c>
      <c r="E1989" s="4"/>
      <c r="F1989" s="4" t="s">
        <v>1990</v>
      </c>
      <c r="G1989" s="4" t="s">
        <v>1991</v>
      </c>
      <c r="H1989" s="4" t="s">
        <v>1992</v>
      </c>
      <c r="I1989" s="4"/>
      <c r="J1989" s="4" t="s">
        <v>1302</v>
      </c>
      <c r="K1989" s="4" t="s">
        <v>95</v>
      </c>
      <c r="L1989" s="4" t="s">
        <v>96</v>
      </c>
      <c r="M1989" s="4" t="s">
        <v>1993</v>
      </c>
      <c r="N1989" s="4" t="s">
        <v>2001</v>
      </c>
      <c r="O1989" s="4" t="s">
        <v>2034</v>
      </c>
      <c r="P1989" s="4" t="s">
        <v>74</v>
      </c>
      <c r="Q1989" s="4" t="s">
        <v>2035</v>
      </c>
      <c r="R1989" s="4" t="s">
        <v>2036</v>
      </c>
      <c r="S1989" s="4"/>
      <c r="T1989" s="4"/>
      <c r="U1989" s="4"/>
      <c r="V1989" s="4"/>
      <c r="W1989" s="4"/>
      <c r="X1989" s="4"/>
      <c r="Y1989" s="4"/>
      <c r="Z1989" s="4"/>
      <c r="AA1989" s="4"/>
      <c r="AB1989" s="4"/>
      <c r="AC1989" s="4"/>
      <c r="AD1989" s="4"/>
      <c r="AE1989" s="4"/>
      <c r="AF1989" s="4"/>
      <c r="AG1989" s="4"/>
      <c r="AH1989" s="4"/>
      <c r="AI1989" s="4"/>
      <c r="AJ1989" s="4"/>
      <c r="AK1989" s="4"/>
      <c r="AL1989" s="4"/>
      <c r="AM1989" s="4" t="s">
        <v>2037</v>
      </c>
    </row>
    <row r="1990" customFormat="false" ht="23.85" hidden="false" customHeight="false" outlineLevel="0" collapsed="false">
      <c r="A1990" s="4" t="s">
        <v>1987</v>
      </c>
      <c r="B1990" s="4" t="s">
        <v>2484</v>
      </c>
      <c r="C1990" s="4" t="s">
        <v>2485</v>
      </c>
      <c r="D1990" s="12" t="n">
        <v>2022</v>
      </c>
      <c r="E1990" s="4"/>
      <c r="F1990" s="4" t="s">
        <v>1990</v>
      </c>
      <c r="G1990" s="4" t="s">
        <v>1991</v>
      </c>
      <c r="H1990" s="4" t="s">
        <v>1992</v>
      </c>
      <c r="I1990" s="4"/>
      <c r="J1990" s="4" t="s">
        <v>1310</v>
      </c>
      <c r="K1990" s="4" t="s">
        <v>95</v>
      </c>
      <c r="L1990" s="4" t="s">
        <v>96</v>
      </c>
      <c r="M1990" s="4" t="s">
        <v>1993</v>
      </c>
      <c r="N1990" s="4" t="s">
        <v>2001</v>
      </c>
      <c r="O1990" s="4" t="s">
        <v>2002</v>
      </c>
      <c r="P1990" s="4" t="s">
        <v>68</v>
      </c>
      <c r="Q1990" s="4" t="s">
        <v>2111</v>
      </c>
      <c r="R1990" s="4" t="s">
        <v>1997</v>
      </c>
      <c r="S1990" s="4"/>
      <c r="T1990" s="4"/>
      <c r="U1990" s="4"/>
      <c r="V1990" s="4"/>
      <c r="W1990" s="4"/>
      <c r="X1990" s="4"/>
      <c r="Y1990" s="4"/>
      <c r="Z1990" s="4"/>
      <c r="AA1990" s="4"/>
      <c r="AB1990" s="4"/>
      <c r="AC1990" s="4"/>
      <c r="AD1990" s="4"/>
      <c r="AE1990" s="4"/>
      <c r="AF1990" s="4"/>
      <c r="AG1990" s="4"/>
      <c r="AH1990" s="4"/>
      <c r="AI1990" s="4"/>
      <c r="AJ1990" s="4"/>
      <c r="AK1990" s="4"/>
      <c r="AL1990" s="4"/>
      <c r="AM1990" s="4" t="s">
        <v>2112</v>
      </c>
    </row>
    <row r="1991" customFormat="false" ht="23.85" hidden="false" customHeight="false" outlineLevel="0" collapsed="false">
      <c r="A1991" s="4" t="s">
        <v>1987</v>
      </c>
      <c r="B1991" s="4" t="s">
        <v>2486</v>
      </c>
      <c r="C1991" s="4" t="s">
        <v>2487</v>
      </c>
      <c r="D1991" s="12" t="n">
        <v>2022</v>
      </c>
      <c r="E1991" s="4"/>
      <c r="F1991" s="4" t="s">
        <v>1990</v>
      </c>
      <c r="G1991" s="4" t="s">
        <v>1991</v>
      </c>
      <c r="H1991" s="4" t="s">
        <v>1992</v>
      </c>
      <c r="I1991" s="4"/>
      <c r="J1991" s="4" t="s">
        <v>1314</v>
      </c>
      <c r="K1991" s="4" t="s">
        <v>97</v>
      </c>
      <c r="L1991" s="4" t="s">
        <v>98</v>
      </c>
      <c r="M1991" s="4" t="s">
        <v>1993</v>
      </c>
      <c r="N1991" s="4" t="s">
        <v>1994</v>
      </c>
      <c r="O1991" s="4" t="s">
        <v>2029</v>
      </c>
      <c r="P1991" s="4" t="s">
        <v>69</v>
      </c>
      <c r="Q1991" s="4" t="s">
        <v>2030</v>
      </c>
      <c r="R1991" s="4" t="s">
        <v>1997</v>
      </c>
      <c r="S1991" s="4"/>
      <c r="T1991" s="4"/>
      <c r="U1991" s="4"/>
      <c r="V1991" s="4"/>
      <c r="W1991" s="4"/>
      <c r="X1991" s="4"/>
      <c r="Y1991" s="4"/>
      <c r="Z1991" s="4"/>
      <c r="AA1991" s="4"/>
      <c r="AB1991" s="4"/>
      <c r="AC1991" s="4"/>
      <c r="AD1991" s="4"/>
      <c r="AE1991" s="4"/>
      <c r="AF1991" s="4"/>
      <c r="AG1991" s="4"/>
      <c r="AH1991" s="4"/>
      <c r="AI1991" s="4"/>
      <c r="AJ1991" s="4"/>
      <c r="AK1991" s="4"/>
      <c r="AL1991" s="4"/>
      <c r="AM1991" s="4" t="s">
        <v>2031</v>
      </c>
    </row>
    <row r="1992" customFormat="false" ht="23.85" hidden="false" customHeight="false" outlineLevel="0" collapsed="false">
      <c r="A1992" s="4" t="s">
        <v>1987</v>
      </c>
      <c r="B1992" s="4" t="s">
        <v>2488</v>
      </c>
      <c r="C1992" s="4" t="s">
        <v>2489</v>
      </c>
      <c r="D1992" s="12" t="n">
        <v>2022</v>
      </c>
      <c r="E1992" s="4"/>
      <c r="F1992" s="4" t="s">
        <v>1990</v>
      </c>
      <c r="G1992" s="4" t="s">
        <v>1991</v>
      </c>
      <c r="H1992" s="4" t="s">
        <v>1992</v>
      </c>
      <c r="I1992" s="4"/>
      <c r="J1992" s="4" t="s">
        <v>1315</v>
      </c>
      <c r="K1992" s="4" t="s">
        <v>97</v>
      </c>
      <c r="L1992" s="4" t="s">
        <v>98</v>
      </c>
      <c r="M1992" s="4" t="s">
        <v>1993</v>
      </c>
      <c r="N1992" s="4" t="s">
        <v>2001</v>
      </c>
      <c r="O1992" s="4" t="s">
        <v>2091</v>
      </c>
      <c r="P1992" s="4" t="s">
        <v>69</v>
      </c>
      <c r="Q1992" s="4" t="s">
        <v>2030</v>
      </c>
      <c r="R1992" s="4" t="s">
        <v>1997</v>
      </c>
      <c r="S1992" s="4"/>
      <c r="T1992" s="4"/>
      <c r="U1992" s="4"/>
      <c r="V1992" s="4"/>
      <c r="W1992" s="4"/>
      <c r="X1992" s="4"/>
      <c r="Y1992" s="4"/>
      <c r="Z1992" s="4"/>
      <c r="AA1992" s="4"/>
      <c r="AB1992" s="4"/>
      <c r="AC1992" s="4"/>
      <c r="AD1992" s="4"/>
      <c r="AE1992" s="4"/>
      <c r="AF1992" s="4"/>
      <c r="AG1992" s="4"/>
      <c r="AH1992" s="4"/>
      <c r="AI1992" s="4"/>
      <c r="AJ1992" s="4"/>
      <c r="AK1992" s="4"/>
      <c r="AL1992" s="4"/>
      <c r="AM1992" s="4" t="s">
        <v>2092</v>
      </c>
    </row>
    <row r="1993" customFormat="false" ht="23.85" hidden="false" customHeight="false" outlineLevel="0" collapsed="false">
      <c r="A1993" s="4" t="s">
        <v>1987</v>
      </c>
      <c r="B1993" s="4" t="s">
        <v>2490</v>
      </c>
      <c r="C1993" s="4" t="s">
        <v>2491</v>
      </c>
      <c r="D1993" s="12" t="n">
        <v>2022</v>
      </c>
      <c r="E1993" s="4"/>
      <c r="F1993" s="4" t="s">
        <v>1990</v>
      </c>
      <c r="G1993" s="4" t="s">
        <v>1991</v>
      </c>
      <c r="H1993" s="4" t="s">
        <v>1992</v>
      </c>
      <c r="I1993" s="4"/>
      <c r="J1993" s="4" t="s">
        <v>1316</v>
      </c>
      <c r="K1993" s="4" t="s">
        <v>97</v>
      </c>
      <c r="L1993" s="4" t="s">
        <v>98</v>
      </c>
      <c r="M1993" s="4" t="s">
        <v>1993</v>
      </c>
      <c r="N1993" s="4" t="s">
        <v>2001</v>
      </c>
      <c r="O1993" s="4" t="s">
        <v>2034</v>
      </c>
      <c r="P1993" s="4" t="s">
        <v>74</v>
      </c>
      <c r="Q1993" s="4" t="s">
        <v>2035</v>
      </c>
      <c r="R1993" s="4" t="s">
        <v>2036</v>
      </c>
      <c r="S1993" s="4"/>
      <c r="T1993" s="4"/>
      <c r="U1993" s="4"/>
      <c r="V1993" s="4"/>
      <c r="W1993" s="4"/>
      <c r="X1993" s="4"/>
      <c r="Y1993" s="4"/>
      <c r="Z1993" s="4"/>
      <c r="AA1993" s="4"/>
      <c r="AB1993" s="4"/>
      <c r="AC1993" s="4"/>
      <c r="AD1993" s="4"/>
      <c r="AE1993" s="4"/>
      <c r="AF1993" s="4"/>
      <c r="AG1993" s="4"/>
      <c r="AH1993" s="4"/>
      <c r="AI1993" s="4"/>
      <c r="AJ1993" s="4"/>
      <c r="AK1993" s="4"/>
      <c r="AL1993" s="4"/>
      <c r="AM1993" s="4" t="s">
        <v>2037</v>
      </c>
    </row>
    <row r="1994" customFormat="false" ht="23.85" hidden="false" customHeight="false" outlineLevel="0" collapsed="false">
      <c r="A1994" s="4" t="s">
        <v>1987</v>
      </c>
      <c r="B1994" s="4" t="s">
        <v>2492</v>
      </c>
      <c r="C1994" s="4" t="s">
        <v>2493</v>
      </c>
      <c r="D1994" s="12" t="n">
        <v>2022</v>
      </c>
      <c r="E1994" s="4"/>
      <c r="F1994" s="4" t="s">
        <v>1990</v>
      </c>
      <c r="G1994" s="4" t="s">
        <v>1991</v>
      </c>
      <c r="H1994" s="4" t="s">
        <v>1992</v>
      </c>
      <c r="I1994" s="4"/>
      <c r="J1994" s="4" t="s">
        <v>1318</v>
      </c>
      <c r="K1994" s="4" t="s">
        <v>97</v>
      </c>
      <c r="L1994" s="4" t="s">
        <v>98</v>
      </c>
      <c r="M1994" s="4" t="s">
        <v>1993</v>
      </c>
      <c r="N1994" s="4" t="s">
        <v>2001</v>
      </c>
      <c r="O1994" s="4" t="s">
        <v>2002</v>
      </c>
      <c r="P1994" s="4" t="s">
        <v>67</v>
      </c>
      <c r="Q1994" s="4" t="s">
        <v>2003</v>
      </c>
      <c r="R1994" s="4" t="s">
        <v>2004</v>
      </c>
      <c r="S1994" s="4"/>
      <c r="T1994" s="4"/>
      <c r="U1994" s="4"/>
      <c r="V1994" s="4"/>
      <c r="W1994" s="4"/>
      <c r="X1994" s="4"/>
      <c r="Y1994" s="4"/>
      <c r="Z1994" s="4"/>
      <c r="AA1994" s="4"/>
      <c r="AB1994" s="4"/>
      <c r="AC1994" s="4"/>
      <c r="AD1994" s="4"/>
      <c r="AE1994" s="4"/>
      <c r="AF1994" s="4"/>
      <c r="AG1994" s="4"/>
      <c r="AH1994" s="4"/>
      <c r="AI1994" s="4"/>
      <c r="AJ1994" s="4"/>
      <c r="AK1994" s="4"/>
      <c r="AL1994" s="4"/>
      <c r="AM1994" s="4" t="s">
        <v>2005</v>
      </c>
    </row>
    <row r="1995" customFormat="false" ht="15" hidden="false" customHeight="false" outlineLevel="0" collapsed="false">
      <c r="A1995" s="4" t="s">
        <v>1987</v>
      </c>
      <c r="B1995" s="4" t="s">
        <v>2494</v>
      </c>
      <c r="C1995" s="4" t="s">
        <v>2495</v>
      </c>
      <c r="D1995" s="12" t="n">
        <v>2022</v>
      </c>
      <c r="E1995" s="4"/>
      <c r="F1995" s="4" t="s">
        <v>1990</v>
      </c>
      <c r="G1995" s="4" t="s">
        <v>1991</v>
      </c>
      <c r="H1995" s="4" t="s">
        <v>1992</v>
      </c>
      <c r="I1995" s="4"/>
      <c r="J1995" s="4" t="s">
        <v>1321</v>
      </c>
      <c r="K1995" s="4" t="s">
        <v>97</v>
      </c>
      <c r="L1995" s="4" t="s">
        <v>98</v>
      </c>
      <c r="M1995" s="4" t="s">
        <v>1993</v>
      </c>
      <c r="N1995" s="4" t="s">
        <v>2001</v>
      </c>
      <c r="O1995" s="4" t="s">
        <v>2002</v>
      </c>
      <c r="P1995" s="4" t="s">
        <v>71</v>
      </c>
      <c r="Q1995" s="4" t="s">
        <v>2123</v>
      </c>
      <c r="R1995" s="4" t="s">
        <v>1997</v>
      </c>
      <c r="S1995" s="4"/>
      <c r="T1995" s="4"/>
      <c r="U1995" s="4"/>
      <c r="V1995" s="4"/>
      <c r="W1995" s="4"/>
      <c r="X1995" s="4"/>
      <c r="Y1995" s="4"/>
      <c r="Z1995" s="4"/>
      <c r="AA1995" s="4"/>
      <c r="AB1995" s="4"/>
      <c r="AC1995" s="4"/>
      <c r="AD1995" s="4"/>
      <c r="AE1995" s="4"/>
      <c r="AF1995" s="4"/>
      <c r="AG1995" s="4"/>
      <c r="AH1995" s="4"/>
      <c r="AI1995" s="4"/>
      <c r="AJ1995" s="4"/>
      <c r="AK1995" s="4"/>
      <c r="AL1995" s="4"/>
      <c r="AM1995" s="4" t="s">
        <v>2124</v>
      </c>
    </row>
    <row r="1996" customFormat="false" ht="23.85" hidden="false" customHeight="false" outlineLevel="0" collapsed="false">
      <c r="A1996" s="4" t="s">
        <v>1987</v>
      </c>
      <c r="B1996" s="4" t="s">
        <v>2496</v>
      </c>
      <c r="C1996" s="4" t="s">
        <v>2497</v>
      </c>
      <c r="D1996" s="12" t="n">
        <v>2022</v>
      </c>
      <c r="E1996" s="4"/>
      <c r="F1996" s="4" t="s">
        <v>1990</v>
      </c>
      <c r="G1996" s="4" t="s">
        <v>1991</v>
      </c>
      <c r="H1996" s="4" t="s">
        <v>1992</v>
      </c>
      <c r="I1996" s="4"/>
      <c r="J1996" s="4" t="s">
        <v>1324</v>
      </c>
      <c r="K1996" s="4" t="s">
        <v>97</v>
      </c>
      <c r="L1996" s="4" t="s">
        <v>98</v>
      </c>
      <c r="M1996" s="4" t="s">
        <v>1993</v>
      </c>
      <c r="N1996" s="4" t="s">
        <v>2001</v>
      </c>
      <c r="O1996" s="4" t="s">
        <v>2002</v>
      </c>
      <c r="P1996" s="4" t="s">
        <v>68</v>
      </c>
      <c r="Q1996" s="4" t="s">
        <v>2111</v>
      </c>
      <c r="R1996" s="4" t="s">
        <v>1997</v>
      </c>
      <c r="S1996" s="4"/>
      <c r="T1996" s="4"/>
      <c r="U1996" s="4"/>
      <c r="V1996" s="4"/>
      <c r="W1996" s="4"/>
      <c r="X1996" s="4"/>
      <c r="Y1996" s="4"/>
      <c r="Z1996" s="4"/>
      <c r="AA1996" s="4"/>
      <c r="AB1996" s="4"/>
      <c r="AC1996" s="4"/>
      <c r="AD1996" s="4"/>
      <c r="AE1996" s="4"/>
      <c r="AF1996" s="4"/>
      <c r="AG1996" s="4"/>
      <c r="AH1996" s="4"/>
      <c r="AI1996" s="4"/>
      <c r="AJ1996" s="4"/>
      <c r="AK1996" s="4"/>
      <c r="AL1996" s="4"/>
      <c r="AM1996" s="4" t="s">
        <v>2112</v>
      </c>
    </row>
    <row r="1997" customFormat="false" ht="23.85" hidden="false" customHeight="false" outlineLevel="0" collapsed="false">
      <c r="A1997" s="4" t="s">
        <v>1987</v>
      </c>
      <c r="B1997" s="4" t="s">
        <v>2498</v>
      </c>
      <c r="C1997" s="4" t="s">
        <v>2499</v>
      </c>
      <c r="D1997" s="12" t="n">
        <v>2022</v>
      </c>
      <c r="E1997" s="4"/>
      <c r="F1997" s="4" t="s">
        <v>1990</v>
      </c>
      <c r="G1997" s="4" t="s">
        <v>1991</v>
      </c>
      <c r="H1997" s="4" t="s">
        <v>1992</v>
      </c>
      <c r="I1997" s="4"/>
      <c r="J1997" s="4" t="s">
        <v>1328</v>
      </c>
      <c r="K1997" s="4" t="s">
        <v>99</v>
      </c>
      <c r="L1997" s="4" t="s">
        <v>100</v>
      </c>
      <c r="M1997" s="4" t="s">
        <v>1993</v>
      </c>
      <c r="N1997" s="4" t="s">
        <v>1994</v>
      </c>
      <c r="O1997" s="4" t="s">
        <v>2029</v>
      </c>
      <c r="P1997" s="4" t="s">
        <v>69</v>
      </c>
      <c r="Q1997" s="4" t="s">
        <v>2030</v>
      </c>
      <c r="R1997" s="4" t="s">
        <v>1997</v>
      </c>
      <c r="S1997" s="4"/>
      <c r="T1997" s="4"/>
      <c r="U1997" s="4"/>
      <c r="V1997" s="4"/>
      <c r="W1997" s="4"/>
      <c r="X1997" s="4"/>
      <c r="Y1997" s="4"/>
      <c r="Z1997" s="4"/>
      <c r="AA1997" s="4"/>
      <c r="AB1997" s="4"/>
      <c r="AC1997" s="4"/>
      <c r="AD1997" s="4"/>
      <c r="AE1997" s="4"/>
      <c r="AF1997" s="4"/>
      <c r="AG1997" s="4"/>
      <c r="AH1997" s="4"/>
      <c r="AI1997" s="4"/>
      <c r="AJ1997" s="4"/>
      <c r="AK1997" s="4"/>
      <c r="AL1997" s="4"/>
      <c r="AM1997" s="4" t="s">
        <v>2031</v>
      </c>
    </row>
    <row r="1998" customFormat="false" ht="23.85" hidden="false" customHeight="false" outlineLevel="0" collapsed="false">
      <c r="A1998" s="4" t="s">
        <v>1987</v>
      </c>
      <c r="B1998" s="4" t="s">
        <v>2500</v>
      </c>
      <c r="C1998" s="4" t="s">
        <v>2501</v>
      </c>
      <c r="D1998" s="12" t="n">
        <v>2022</v>
      </c>
      <c r="E1998" s="4"/>
      <c r="F1998" s="4" t="s">
        <v>1990</v>
      </c>
      <c r="G1998" s="4" t="s">
        <v>1991</v>
      </c>
      <c r="H1998" s="4" t="s">
        <v>1992</v>
      </c>
      <c r="I1998" s="4"/>
      <c r="J1998" s="4" t="s">
        <v>1329</v>
      </c>
      <c r="K1998" s="4" t="s">
        <v>99</v>
      </c>
      <c r="L1998" s="4" t="s">
        <v>100</v>
      </c>
      <c r="M1998" s="4" t="s">
        <v>1993</v>
      </c>
      <c r="N1998" s="4" t="s">
        <v>2001</v>
      </c>
      <c r="O1998" s="4" t="s">
        <v>2091</v>
      </c>
      <c r="P1998" s="4" t="s">
        <v>69</v>
      </c>
      <c r="Q1998" s="4" t="s">
        <v>2030</v>
      </c>
      <c r="R1998" s="4" t="s">
        <v>1997</v>
      </c>
      <c r="S1998" s="4"/>
      <c r="T1998" s="4"/>
      <c r="U1998" s="4"/>
      <c r="V1998" s="4"/>
      <c r="W1998" s="4"/>
      <c r="X1998" s="4"/>
      <c r="Y1998" s="4"/>
      <c r="Z1998" s="4"/>
      <c r="AA1998" s="4"/>
      <c r="AB1998" s="4"/>
      <c r="AC1998" s="4"/>
      <c r="AD1998" s="4"/>
      <c r="AE1998" s="4"/>
      <c r="AF1998" s="4"/>
      <c r="AG1998" s="4"/>
      <c r="AH1998" s="4"/>
      <c r="AI1998" s="4"/>
      <c r="AJ1998" s="4"/>
      <c r="AK1998" s="4"/>
      <c r="AL1998" s="4"/>
      <c r="AM1998" s="4" t="s">
        <v>2092</v>
      </c>
    </row>
    <row r="1999" customFormat="false" ht="23.85" hidden="false" customHeight="false" outlineLevel="0" collapsed="false">
      <c r="A1999" s="4" t="s">
        <v>1987</v>
      </c>
      <c r="B1999" s="4" t="s">
        <v>2502</v>
      </c>
      <c r="C1999" s="4" t="s">
        <v>2503</v>
      </c>
      <c r="D1999" s="12" t="n">
        <v>2022</v>
      </c>
      <c r="E1999" s="4"/>
      <c r="F1999" s="4" t="s">
        <v>1990</v>
      </c>
      <c r="G1999" s="4" t="s">
        <v>1991</v>
      </c>
      <c r="H1999" s="4" t="s">
        <v>1992</v>
      </c>
      <c r="I1999" s="4"/>
      <c r="J1999" s="4" t="s">
        <v>1332</v>
      </c>
      <c r="K1999" s="4" t="s">
        <v>99</v>
      </c>
      <c r="L1999" s="4" t="s">
        <v>100</v>
      </c>
      <c r="M1999" s="4" t="s">
        <v>1993</v>
      </c>
      <c r="N1999" s="4" t="s">
        <v>1994</v>
      </c>
      <c r="O1999" s="4" t="s">
        <v>1995</v>
      </c>
      <c r="P1999" s="4" t="s">
        <v>67</v>
      </c>
      <c r="Q1999" s="4" t="s">
        <v>2003</v>
      </c>
      <c r="R1999" s="4" t="s">
        <v>1997</v>
      </c>
      <c r="S1999" s="4"/>
      <c r="T1999" s="4"/>
      <c r="U1999" s="4"/>
      <c r="V1999" s="4"/>
      <c r="W1999" s="4"/>
      <c r="X1999" s="4"/>
      <c r="Y1999" s="4"/>
      <c r="Z1999" s="4"/>
      <c r="AA1999" s="4"/>
      <c r="AB1999" s="4"/>
      <c r="AC1999" s="4"/>
      <c r="AD1999" s="4"/>
      <c r="AE1999" s="4"/>
      <c r="AF1999" s="4"/>
      <c r="AG1999" s="4"/>
      <c r="AH1999" s="4"/>
      <c r="AI1999" s="4"/>
      <c r="AJ1999" s="4"/>
      <c r="AK1999" s="4"/>
      <c r="AL1999" s="4"/>
      <c r="AM1999" s="4" t="s">
        <v>2133</v>
      </c>
    </row>
    <row r="2000" customFormat="false" ht="23.85" hidden="false" customHeight="false" outlineLevel="0" collapsed="false">
      <c r="A2000" s="4" t="s">
        <v>1987</v>
      </c>
      <c r="B2000" s="4" t="s">
        <v>2504</v>
      </c>
      <c r="C2000" s="4" t="s">
        <v>2505</v>
      </c>
      <c r="D2000" s="12" t="n">
        <v>2022</v>
      </c>
      <c r="E2000" s="4"/>
      <c r="F2000" s="4" t="s">
        <v>1990</v>
      </c>
      <c r="G2000" s="4" t="s">
        <v>1991</v>
      </c>
      <c r="H2000" s="4" t="s">
        <v>1992</v>
      </c>
      <c r="I2000" s="4"/>
      <c r="J2000" s="4" t="s">
        <v>1333</v>
      </c>
      <c r="K2000" s="4" t="s">
        <v>99</v>
      </c>
      <c r="L2000" s="4" t="s">
        <v>100</v>
      </c>
      <c r="M2000" s="4" t="s">
        <v>1993</v>
      </c>
      <c r="N2000" s="4" t="s">
        <v>1994</v>
      </c>
      <c r="O2000" s="4" t="s">
        <v>1995</v>
      </c>
      <c r="P2000" s="4" t="s">
        <v>67</v>
      </c>
      <c r="Q2000" s="4" t="s">
        <v>2008</v>
      </c>
      <c r="R2000" s="4" t="s">
        <v>1997</v>
      </c>
      <c r="S2000" s="4"/>
      <c r="T2000" s="4"/>
      <c r="U2000" s="4"/>
      <c r="V2000" s="4"/>
      <c r="W2000" s="4"/>
      <c r="X2000" s="4"/>
      <c r="Y2000" s="4"/>
      <c r="Z2000" s="4"/>
      <c r="AA2000" s="4"/>
      <c r="AB2000" s="4"/>
      <c r="AC2000" s="4"/>
      <c r="AD2000" s="4"/>
      <c r="AE2000" s="4"/>
      <c r="AF2000" s="4"/>
      <c r="AG2000" s="4"/>
      <c r="AH2000" s="4"/>
      <c r="AI2000" s="4"/>
      <c r="AJ2000" s="4"/>
      <c r="AK2000" s="4"/>
      <c r="AL2000" s="4"/>
      <c r="AM2000" s="4" t="s">
        <v>2136</v>
      </c>
    </row>
    <row r="2001" customFormat="false" ht="15" hidden="false" customHeight="false" outlineLevel="0" collapsed="false">
      <c r="A2001" s="4" t="s">
        <v>1987</v>
      </c>
      <c r="B2001" s="4" t="s">
        <v>2506</v>
      </c>
      <c r="C2001" s="4" t="s">
        <v>2507</v>
      </c>
      <c r="D2001" s="12" t="n">
        <v>2022</v>
      </c>
      <c r="E2001" s="4"/>
      <c r="F2001" s="4" t="s">
        <v>1990</v>
      </c>
      <c r="G2001" s="4" t="s">
        <v>1991</v>
      </c>
      <c r="H2001" s="4" t="s">
        <v>1992</v>
      </c>
      <c r="I2001" s="4"/>
      <c r="J2001" s="4" t="s">
        <v>1334</v>
      </c>
      <c r="K2001" s="4" t="s">
        <v>99</v>
      </c>
      <c r="L2001" s="4" t="s">
        <v>100</v>
      </c>
      <c r="M2001" s="4" t="s">
        <v>1993</v>
      </c>
      <c r="N2001" s="4" t="s">
        <v>2001</v>
      </c>
      <c r="O2001" s="4" t="s">
        <v>2002</v>
      </c>
      <c r="P2001" s="4" t="s">
        <v>67</v>
      </c>
      <c r="Q2001" s="4" t="s">
        <v>2139</v>
      </c>
      <c r="R2001" s="4" t="s">
        <v>1997</v>
      </c>
      <c r="S2001" s="4"/>
      <c r="T2001" s="4"/>
      <c r="U2001" s="4"/>
      <c r="V2001" s="4"/>
      <c r="W2001" s="4"/>
      <c r="X2001" s="4"/>
      <c r="Y2001" s="4"/>
      <c r="Z2001" s="4"/>
      <c r="AA2001" s="4"/>
      <c r="AB2001" s="4"/>
      <c r="AC2001" s="4"/>
      <c r="AD2001" s="4"/>
      <c r="AE2001" s="4"/>
      <c r="AF2001" s="4"/>
      <c r="AG2001" s="4"/>
      <c r="AH2001" s="4"/>
      <c r="AI2001" s="4"/>
      <c r="AJ2001" s="4"/>
      <c r="AK2001" s="4"/>
      <c r="AL2001" s="4"/>
      <c r="AM2001" s="4" t="s">
        <v>2140</v>
      </c>
    </row>
    <row r="2002" customFormat="false" ht="15" hidden="false" customHeight="false" outlineLevel="0" collapsed="false">
      <c r="A2002" s="4" t="s">
        <v>1987</v>
      </c>
      <c r="B2002" s="4" t="s">
        <v>2508</v>
      </c>
      <c r="C2002" s="4" t="s">
        <v>2509</v>
      </c>
      <c r="D2002" s="12" t="n">
        <v>2022</v>
      </c>
      <c r="E2002" s="4"/>
      <c r="F2002" s="4" t="s">
        <v>1990</v>
      </c>
      <c r="G2002" s="4" t="s">
        <v>1991</v>
      </c>
      <c r="H2002" s="4" t="s">
        <v>1992</v>
      </c>
      <c r="I2002" s="4"/>
      <c r="J2002" s="4" t="s">
        <v>1336</v>
      </c>
      <c r="K2002" s="4" t="s">
        <v>99</v>
      </c>
      <c r="L2002" s="4" t="s">
        <v>100</v>
      </c>
      <c r="M2002" s="4" t="s">
        <v>1993</v>
      </c>
      <c r="N2002" s="4" t="s">
        <v>2001</v>
      </c>
      <c r="O2002" s="4" t="s">
        <v>2074</v>
      </c>
      <c r="P2002" s="4" t="s">
        <v>73</v>
      </c>
      <c r="Q2002" s="4" t="s">
        <v>2075</v>
      </c>
      <c r="R2002" s="4" t="s">
        <v>1997</v>
      </c>
      <c r="S2002" s="4"/>
      <c r="T2002" s="4"/>
      <c r="U2002" s="4"/>
      <c r="V2002" s="4"/>
      <c r="W2002" s="4"/>
      <c r="X2002" s="4"/>
      <c r="Y2002" s="4"/>
      <c r="Z2002" s="4"/>
      <c r="AA2002" s="4"/>
      <c r="AB2002" s="4"/>
      <c r="AC2002" s="4"/>
      <c r="AD2002" s="4"/>
      <c r="AE2002" s="4"/>
      <c r="AF2002" s="4"/>
      <c r="AG2002" s="4"/>
      <c r="AH2002" s="4"/>
      <c r="AI2002" s="4"/>
      <c r="AJ2002" s="4"/>
      <c r="AK2002" s="4"/>
      <c r="AL2002" s="4"/>
      <c r="AM2002" s="4" t="s">
        <v>2076</v>
      </c>
    </row>
    <row r="2003" customFormat="false" ht="15" hidden="false" customHeight="false" outlineLevel="0" collapsed="false">
      <c r="A2003" s="4" t="s">
        <v>1987</v>
      </c>
      <c r="B2003" s="4" t="s">
        <v>2510</v>
      </c>
      <c r="C2003" s="4" t="s">
        <v>2511</v>
      </c>
      <c r="D2003" s="12" t="n">
        <v>2022</v>
      </c>
      <c r="E2003" s="4"/>
      <c r="F2003" s="4" t="s">
        <v>1990</v>
      </c>
      <c r="G2003" s="4" t="s">
        <v>1991</v>
      </c>
      <c r="H2003" s="4" t="s">
        <v>1992</v>
      </c>
      <c r="I2003" s="4"/>
      <c r="J2003" s="4" t="s">
        <v>1337</v>
      </c>
      <c r="K2003" s="4" t="s">
        <v>99</v>
      </c>
      <c r="L2003" s="4" t="s">
        <v>100</v>
      </c>
      <c r="M2003" s="4" t="s">
        <v>1993</v>
      </c>
      <c r="N2003" s="4" t="s">
        <v>2001</v>
      </c>
      <c r="O2003" s="4" t="s">
        <v>2002</v>
      </c>
      <c r="P2003" s="4" t="s">
        <v>72</v>
      </c>
      <c r="Q2003" s="4" t="s">
        <v>2079</v>
      </c>
      <c r="R2003" s="4" t="s">
        <v>1997</v>
      </c>
      <c r="S2003" s="4"/>
      <c r="T2003" s="4"/>
      <c r="U2003" s="4"/>
      <c r="V2003" s="4"/>
      <c r="W2003" s="4"/>
      <c r="X2003" s="4"/>
      <c r="Y2003" s="4"/>
      <c r="Z2003" s="4"/>
      <c r="AA2003" s="4"/>
      <c r="AB2003" s="4"/>
      <c r="AC2003" s="4"/>
      <c r="AD2003" s="4"/>
      <c r="AE2003" s="4"/>
      <c r="AF2003" s="4"/>
      <c r="AG2003" s="4"/>
      <c r="AH2003" s="4"/>
      <c r="AI2003" s="4"/>
      <c r="AJ2003" s="4"/>
      <c r="AK2003" s="4"/>
      <c r="AL2003" s="4"/>
      <c r="AM2003" s="4" t="s">
        <v>2080</v>
      </c>
    </row>
    <row r="2004" customFormat="false" ht="23.85" hidden="false" customHeight="false" outlineLevel="0" collapsed="false">
      <c r="A2004" s="4" t="s">
        <v>1987</v>
      </c>
      <c r="B2004" s="4" t="s">
        <v>2512</v>
      </c>
      <c r="C2004" s="4" t="s">
        <v>2513</v>
      </c>
      <c r="D2004" s="12" t="n">
        <v>2022</v>
      </c>
      <c r="E2004" s="4"/>
      <c r="F2004" s="4" t="s">
        <v>1990</v>
      </c>
      <c r="G2004" s="4" t="s">
        <v>1991</v>
      </c>
      <c r="H2004" s="4" t="s">
        <v>1992</v>
      </c>
      <c r="I2004" s="4"/>
      <c r="J2004" s="4" t="s">
        <v>1338</v>
      </c>
      <c r="K2004" s="4" t="s">
        <v>99</v>
      </c>
      <c r="L2004" s="4" t="s">
        <v>100</v>
      </c>
      <c r="M2004" s="4" t="s">
        <v>1993</v>
      </c>
      <c r="N2004" s="4" t="s">
        <v>2001</v>
      </c>
      <c r="O2004" s="4" t="s">
        <v>2002</v>
      </c>
      <c r="P2004" s="4" t="s">
        <v>68</v>
      </c>
      <c r="Q2004" s="4" t="s">
        <v>2111</v>
      </c>
      <c r="R2004" s="4" t="s">
        <v>1997</v>
      </c>
      <c r="S2004" s="4"/>
      <c r="T2004" s="4"/>
      <c r="U2004" s="4"/>
      <c r="V2004" s="4"/>
      <c r="W2004" s="4"/>
      <c r="X2004" s="4"/>
      <c r="Y2004" s="4"/>
      <c r="Z2004" s="4"/>
      <c r="AA2004" s="4"/>
      <c r="AB2004" s="4"/>
      <c r="AC2004" s="4"/>
      <c r="AD2004" s="4"/>
      <c r="AE2004" s="4"/>
      <c r="AF2004" s="4"/>
      <c r="AG2004" s="4"/>
      <c r="AH2004" s="4"/>
      <c r="AI2004" s="4"/>
      <c r="AJ2004" s="4"/>
      <c r="AK2004" s="4"/>
      <c r="AL2004" s="4"/>
      <c r="AM2004" s="4" t="s">
        <v>2112</v>
      </c>
    </row>
    <row r="2005" customFormat="false" ht="23.85" hidden="false" customHeight="false" outlineLevel="0" collapsed="false">
      <c r="A2005" s="4" t="s">
        <v>1987</v>
      </c>
      <c r="B2005" s="4" t="s">
        <v>2514</v>
      </c>
      <c r="C2005" s="4" t="s">
        <v>2515</v>
      </c>
      <c r="D2005" s="12" t="n">
        <v>2022</v>
      </c>
      <c r="E2005" s="4"/>
      <c r="F2005" s="4" t="s">
        <v>1990</v>
      </c>
      <c r="G2005" s="4" t="s">
        <v>1991</v>
      </c>
      <c r="H2005" s="4" t="s">
        <v>1992</v>
      </c>
      <c r="I2005" s="4"/>
      <c r="J2005" s="4" t="s">
        <v>1340</v>
      </c>
      <c r="K2005" s="4" t="s">
        <v>99</v>
      </c>
      <c r="L2005" s="4" t="s">
        <v>100</v>
      </c>
      <c r="M2005" s="4" t="s">
        <v>1993</v>
      </c>
      <c r="N2005" s="4" t="s">
        <v>2001</v>
      </c>
      <c r="O2005" s="4" t="s">
        <v>2002</v>
      </c>
      <c r="P2005" s="4" t="s">
        <v>67</v>
      </c>
      <c r="Q2005" s="4" t="s">
        <v>2151</v>
      </c>
      <c r="R2005" s="4" t="s">
        <v>1997</v>
      </c>
      <c r="S2005" s="4"/>
      <c r="T2005" s="4"/>
      <c r="U2005" s="4"/>
      <c r="V2005" s="4"/>
      <c r="W2005" s="4"/>
      <c r="X2005" s="4"/>
      <c r="Y2005" s="4"/>
      <c r="Z2005" s="4"/>
      <c r="AA2005" s="4"/>
      <c r="AB2005" s="4"/>
      <c r="AC2005" s="4"/>
      <c r="AD2005" s="4"/>
      <c r="AE2005" s="4"/>
      <c r="AF2005" s="4"/>
      <c r="AG2005" s="4"/>
      <c r="AH2005" s="4"/>
      <c r="AI2005" s="4"/>
      <c r="AJ2005" s="4"/>
      <c r="AK2005" s="4"/>
      <c r="AL2005" s="4"/>
      <c r="AM2005" s="4" t="s">
        <v>2152</v>
      </c>
    </row>
    <row r="2006" customFormat="false" ht="23.85" hidden="false" customHeight="false" outlineLevel="0" collapsed="false">
      <c r="A2006" s="4" t="s">
        <v>1987</v>
      </c>
      <c r="B2006" s="4" t="s">
        <v>2516</v>
      </c>
      <c r="C2006" s="4" t="s">
        <v>2517</v>
      </c>
      <c r="D2006" s="12" t="n">
        <v>2022</v>
      </c>
      <c r="E2006" s="4"/>
      <c r="F2006" s="4" t="s">
        <v>1990</v>
      </c>
      <c r="G2006" s="4" t="s">
        <v>1991</v>
      </c>
      <c r="H2006" s="4" t="s">
        <v>1992</v>
      </c>
      <c r="I2006" s="4"/>
      <c r="J2006" s="4" t="s">
        <v>1340</v>
      </c>
      <c r="K2006" s="4" t="s">
        <v>99</v>
      </c>
      <c r="L2006" s="4" t="s">
        <v>100</v>
      </c>
      <c r="M2006" s="4" t="s">
        <v>2155</v>
      </c>
      <c r="N2006" s="4" t="s">
        <v>1994</v>
      </c>
      <c r="O2006" s="4" t="s">
        <v>2156</v>
      </c>
      <c r="P2006" s="4" t="s">
        <v>67</v>
      </c>
      <c r="Q2006" s="4" t="s">
        <v>2151</v>
      </c>
      <c r="R2006" s="4" t="s">
        <v>1997</v>
      </c>
      <c r="S2006" s="4"/>
      <c r="T2006" s="4"/>
      <c r="U2006" s="4"/>
      <c r="V2006" s="4"/>
      <c r="W2006" s="4"/>
      <c r="X2006" s="4"/>
      <c r="Y2006" s="4"/>
      <c r="Z2006" s="4"/>
      <c r="AA2006" s="4"/>
      <c r="AB2006" s="4"/>
      <c r="AC2006" s="4"/>
      <c r="AD2006" s="4"/>
      <c r="AE2006" s="4"/>
      <c r="AF2006" s="4"/>
      <c r="AG2006" s="4"/>
      <c r="AH2006" s="4"/>
      <c r="AI2006" s="4"/>
      <c r="AJ2006" s="4"/>
      <c r="AK2006" s="4"/>
      <c r="AL2006" s="4"/>
      <c r="AM2006" s="4" t="s">
        <v>2157</v>
      </c>
    </row>
    <row r="2007" customFormat="false" ht="23.85" hidden="false" customHeight="false" outlineLevel="0" collapsed="false">
      <c r="A2007" s="4" t="s">
        <v>1987</v>
      </c>
      <c r="B2007" s="4" t="s">
        <v>2518</v>
      </c>
      <c r="C2007" s="4" t="s">
        <v>2519</v>
      </c>
      <c r="D2007" s="12" t="n">
        <v>2022</v>
      </c>
      <c r="E2007" s="4"/>
      <c r="F2007" s="4" t="s">
        <v>1990</v>
      </c>
      <c r="G2007" s="4" t="s">
        <v>1991</v>
      </c>
      <c r="H2007" s="4" t="s">
        <v>1992</v>
      </c>
      <c r="I2007" s="4"/>
      <c r="J2007" s="4" t="s">
        <v>1340</v>
      </c>
      <c r="K2007" s="4" t="s">
        <v>99</v>
      </c>
      <c r="L2007" s="4" t="s">
        <v>100</v>
      </c>
      <c r="M2007" s="4" t="s">
        <v>2155</v>
      </c>
      <c r="N2007" s="4" t="s">
        <v>2001</v>
      </c>
      <c r="O2007" s="4" t="s">
        <v>2160</v>
      </c>
      <c r="P2007" s="4" t="s">
        <v>64</v>
      </c>
      <c r="Q2007" s="4" t="s">
        <v>2151</v>
      </c>
      <c r="R2007" s="4" t="s">
        <v>1997</v>
      </c>
      <c r="S2007" s="4"/>
      <c r="T2007" s="4"/>
      <c r="U2007" s="4"/>
      <c r="V2007" s="4"/>
      <c r="W2007" s="4"/>
      <c r="X2007" s="4"/>
      <c r="Y2007" s="4"/>
      <c r="Z2007" s="4"/>
      <c r="AA2007" s="4"/>
      <c r="AB2007" s="4"/>
      <c r="AC2007" s="4"/>
      <c r="AD2007" s="4"/>
      <c r="AE2007" s="4"/>
      <c r="AF2007" s="4"/>
      <c r="AG2007" s="4"/>
      <c r="AH2007" s="4"/>
      <c r="AI2007" s="4"/>
      <c r="AJ2007" s="4"/>
      <c r="AK2007" s="4"/>
      <c r="AL2007" s="4"/>
      <c r="AM2007" s="4" t="s">
        <v>2161</v>
      </c>
    </row>
    <row r="2008" customFormat="false" ht="23.85" hidden="false" customHeight="false" outlineLevel="0" collapsed="false">
      <c r="A2008" s="4" t="s">
        <v>1987</v>
      </c>
      <c r="B2008" s="4" t="s">
        <v>2520</v>
      </c>
      <c r="C2008" s="4" t="s">
        <v>2521</v>
      </c>
      <c r="D2008" s="12" t="n">
        <v>2022</v>
      </c>
      <c r="E2008" s="4"/>
      <c r="F2008" s="4" t="s">
        <v>1990</v>
      </c>
      <c r="G2008" s="4" t="s">
        <v>1991</v>
      </c>
      <c r="H2008" s="4" t="s">
        <v>1992</v>
      </c>
      <c r="I2008" s="4"/>
      <c r="J2008" s="4" t="s">
        <v>1342</v>
      </c>
      <c r="K2008" s="4" t="s">
        <v>101</v>
      </c>
      <c r="L2008" s="4" t="s">
        <v>102</v>
      </c>
      <c r="M2008" s="4" t="s">
        <v>1993</v>
      </c>
      <c r="N2008" s="4" t="s">
        <v>1994</v>
      </c>
      <c r="O2008" s="4" t="s">
        <v>2029</v>
      </c>
      <c r="P2008" s="4" t="s">
        <v>69</v>
      </c>
      <c r="Q2008" s="4" t="s">
        <v>2030</v>
      </c>
      <c r="R2008" s="4" t="s">
        <v>1997</v>
      </c>
      <c r="S2008" s="4"/>
      <c r="T2008" s="4"/>
      <c r="U2008" s="4"/>
      <c r="V2008" s="4"/>
      <c r="W2008" s="4"/>
      <c r="X2008" s="4"/>
      <c r="Y2008" s="4"/>
      <c r="Z2008" s="4"/>
      <c r="AA2008" s="4"/>
      <c r="AB2008" s="4"/>
      <c r="AC2008" s="4"/>
      <c r="AD2008" s="4"/>
      <c r="AE2008" s="4"/>
      <c r="AF2008" s="4"/>
      <c r="AG2008" s="4"/>
      <c r="AH2008" s="4"/>
      <c r="AI2008" s="4"/>
      <c r="AJ2008" s="4"/>
      <c r="AK2008" s="4"/>
      <c r="AL2008" s="4"/>
      <c r="AM2008" s="4" t="s">
        <v>2031</v>
      </c>
    </row>
    <row r="2009" customFormat="false" ht="23.85" hidden="false" customHeight="false" outlineLevel="0" collapsed="false">
      <c r="A2009" s="4" t="s">
        <v>1987</v>
      </c>
      <c r="B2009" s="4" t="s">
        <v>2522</v>
      </c>
      <c r="C2009" s="4" t="s">
        <v>2523</v>
      </c>
      <c r="D2009" s="12" t="n">
        <v>2022</v>
      </c>
      <c r="E2009" s="4"/>
      <c r="F2009" s="4" t="s">
        <v>1990</v>
      </c>
      <c r="G2009" s="4" t="s">
        <v>1991</v>
      </c>
      <c r="H2009" s="4" t="s">
        <v>1992</v>
      </c>
      <c r="I2009" s="4"/>
      <c r="J2009" s="4" t="s">
        <v>1344</v>
      </c>
      <c r="K2009" s="4" t="s">
        <v>101</v>
      </c>
      <c r="L2009" s="4" t="s">
        <v>102</v>
      </c>
      <c r="M2009" s="4" t="s">
        <v>1993</v>
      </c>
      <c r="N2009" s="4" t="s">
        <v>2001</v>
      </c>
      <c r="O2009" s="4" t="s">
        <v>2034</v>
      </c>
      <c r="P2009" s="4" t="s">
        <v>74</v>
      </c>
      <c r="Q2009" s="4" t="s">
        <v>2035</v>
      </c>
      <c r="R2009" s="4" t="s">
        <v>2036</v>
      </c>
      <c r="S2009" s="4"/>
      <c r="T2009" s="4"/>
      <c r="U2009" s="4"/>
      <c r="V2009" s="4"/>
      <c r="W2009" s="4"/>
      <c r="X2009" s="4"/>
      <c r="Y2009" s="4"/>
      <c r="Z2009" s="4"/>
      <c r="AA2009" s="4"/>
      <c r="AB2009" s="4"/>
      <c r="AC2009" s="4"/>
      <c r="AD2009" s="4"/>
      <c r="AE2009" s="4"/>
      <c r="AF2009" s="4"/>
      <c r="AG2009" s="4"/>
      <c r="AH2009" s="4"/>
      <c r="AI2009" s="4"/>
      <c r="AJ2009" s="4"/>
      <c r="AK2009" s="4"/>
      <c r="AL2009" s="4"/>
      <c r="AM2009" s="4" t="s">
        <v>2037</v>
      </c>
    </row>
    <row r="2010" customFormat="false" ht="23.85" hidden="false" customHeight="false" outlineLevel="0" collapsed="false">
      <c r="A2010" s="4" t="s">
        <v>1987</v>
      </c>
      <c r="B2010" s="4" t="s">
        <v>2524</v>
      </c>
      <c r="C2010" s="4" t="s">
        <v>2525</v>
      </c>
      <c r="D2010" s="12" t="n">
        <v>2022</v>
      </c>
      <c r="E2010" s="4"/>
      <c r="F2010" s="4" t="s">
        <v>1990</v>
      </c>
      <c r="G2010" s="4" t="s">
        <v>1991</v>
      </c>
      <c r="H2010" s="4" t="s">
        <v>1992</v>
      </c>
      <c r="I2010" s="4"/>
      <c r="J2010" s="4" t="s">
        <v>1346</v>
      </c>
      <c r="K2010" s="4" t="s">
        <v>101</v>
      </c>
      <c r="L2010" s="4" t="s">
        <v>102</v>
      </c>
      <c r="M2010" s="4" t="s">
        <v>1993</v>
      </c>
      <c r="N2010" s="4" t="s">
        <v>2001</v>
      </c>
      <c r="O2010" s="4" t="s">
        <v>2002</v>
      </c>
      <c r="P2010" s="4" t="s">
        <v>67</v>
      </c>
      <c r="Q2010" s="4" t="s">
        <v>2003</v>
      </c>
      <c r="R2010" s="4" t="s">
        <v>2004</v>
      </c>
      <c r="S2010" s="4"/>
      <c r="T2010" s="4"/>
      <c r="U2010" s="4"/>
      <c r="V2010" s="4"/>
      <c r="W2010" s="4"/>
      <c r="X2010" s="4"/>
      <c r="Y2010" s="4"/>
      <c r="Z2010" s="4"/>
      <c r="AA2010" s="4"/>
      <c r="AB2010" s="4"/>
      <c r="AC2010" s="4"/>
      <c r="AD2010" s="4"/>
      <c r="AE2010" s="4"/>
      <c r="AF2010" s="4"/>
      <c r="AG2010" s="4"/>
      <c r="AH2010" s="4"/>
      <c r="AI2010" s="4"/>
      <c r="AJ2010" s="4"/>
      <c r="AK2010" s="4"/>
      <c r="AL2010" s="4"/>
      <c r="AM2010" s="4" t="s">
        <v>2005</v>
      </c>
    </row>
    <row r="2011" customFormat="false" ht="23.85" hidden="false" customHeight="false" outlineLevel="0" collapsed="false">
      <c r="A2011" s="4" t="s">
        <v>1987</v>
      </c>
      <c r="B2011" s="4" t="s">
        <v>2526</v>
      </c>
      <c r="C2011" s="4" t="s">
        <v>2527</v>
      </c>
      <c r="D2011" s="12" t="n">
        <v>2022</v>
      </c>
      <c r="E2011" s="4"/>
      <c r="F2011" s="4" t="s">
        <v>1990</v>
      </c>
      <c r="G2011" s="4" t="s">
        <v>1991</v>
      </c>
      <c r="H2011" s="4" t="s">
        <v>1992</v>
      </c>
      <c r="I2011" s="4"/>
      <c r="J2011" s="4" t="s">
        <v>1347</v>
      </c>
      <c r="K2011" s="4" t="s">
        <v>101</v>
      </c>
      <c r="L2011" s="4" t="s">
        <v>102</v>
      </c>
      <c r="M2011" s="4" t="s">
        <v>1993</v>
      </c>
      <c r="N2011" s="4" t="s">
        <v>2001</v>
      </c>
      <c r="O2011" s="4" t="s">
        <v>2002</v>
      </c>
      <c r="P2011" s="4" t="s">
        <v>67</v>
      </c>
      <c r="Q2011" s="4" t="s">
        <v>2008</v>
      </c>
      <c r="R2011" s="4" t="s">
        <v>2004</v>
      </c>
      <c r="S2011" s="4"/>
      <c r="T2011" s="4"/>
      <c r="U2011" s="4"/>
      <c r="V2011" s="4"/>
      <c r="W2011" s="4"/>
      <c r="X2011" s="4"/>
      <c r="Y2011" s="4"/>
      <c r="Z2011" s="4"/>
      <c r="AA2011" s="4"/>
      <c r="AB2011" s="4"/>
      <c r="AC2011" s="4"/>
      <c r="AD2011" s="4"/>
      <c r="AE2011" s="4"/>
      <c r="AF2011" s="4"/>
      <c r="AG2011" s="4"/>
      <c r="AH2011" s="4"/>
      <c r="AI2011" s="4"/>
      <c r="AJ2011" s="4"/>
      <c r="AK2011" s="4"/>
      <c r="AL2011" s="4"/>
      <c r="AM2011" s="4" t="s">
        <v>2009</v>
      </c>
    </row>
    <row r="2012" customFormat="false" ht="23.85" hidden="false" customHeight="false" outlineLevel="0" collapsed="false">
      <c r="A2012" s="4" t="s">
        <v>1987</v>
      </c>
      <c r="B2012" s="4" t="s">
        <v>2528</v>
      </c>
      <c r="C2012" s="4" t="s">
        <v>2529</v>
      </c>
      <c r="D2012" s="12" t="n">
        <v>2022</v>
      </c>
      <c r="E2012" s="4"/>
      <c r="F2012" s="4" t="s">
        <v>1990</v>
      </c>
      <c r="G2012" s="4" t="s">
        <v>1991</v>
      </c>
      <c r="H2012" s="4" t="s">
        <v>1992</v>
      </c>
      <c r="I2012" s="4"/>
      <c r="J2012" s="4" t="s">
        <v>1352</v>
      </c>
      <c r="K2012" s="4" t="s">
        <v>101</v>
      </c>
      <c r="L2012" s="4" t="s">
        <v>102</v>
      </c>
      <c r="M2012" s="4" t="s">
        <v>1993</v>
      </c>
      <c r="N2012" s="4" t="s">
        <v>2001</v>
      </c>
      <c r="O2012" s="4" t="s">
        <v>2002</v>
      </c>
      <c r="P2012" s="4" t="s">
        <v>68</v>
      </c>
      <c r="Q2012" s="4" t="s">
        <v>2111</v>
      </c>
      <c r="R2012" s="4" t="s">
        <v>1997</v>
      </c>
      <c r="S2012" s="4"/>
      <c r="T2012" s="4"/>
      <c r="U2012" s="4"/>
      <c r="V2012" s="4"/>
      <c r="W2012" s="4"/>
      <c r="X2012" s="4"/>
      <c r="Y2012" s="4"/>
      <c r="Z2012" s="4"/>
      <c r="AA2012" s="4"/>
      <c r="AB2012" s="4"/>
      <c r="AC2012" s="4"/>
      <c r="AD2012" s="4"/>
      <c r="AE2012" s="4"/>
      <c r="AF2012" s="4"/>
      <c r="AG2012" s="4"/>
      <c r="AH2012" s="4"/>
      <c r="AI2012" s="4"/>
      <c r="AJ2012" s="4"/>
      <c r="AK2012" s="4"/>
      <c r="AL2012" s="4"/>
      <c r="AM2012" s="4" t="s">
        <v>2112</v>
      </c>
    </row>
    <row r="2013" customFormat="false" ht="23.85" hidden="false" customHeight="false" outlineLevel="0" collapsed="false">
      <c r="A2013" s="4" t="s">
        <v>1987</v>
      </c>
      <c r="B2013" s="4" t="s">
        <v>2530</v>
      </c>
      <c r="C2013" s="4" t="s">
        <v>2531</v>
      </c>
      <c r="D2013" s="12" t="n">
        <v>2022</v>
      </c>
      <c r="E2013" s="4"/>
      <c r="F2013" s="4" t="s">
        <v>1990</v>
      </c>
      <c r="G2013" s="4" t="s">
        <v>1991</v>
      </c>
      <c r="H2013" s="4" t="s">
        <v>1992</v>
      </c>
      <c r="I2013" s="4"/>
      <c r="J2013" s="4" t="s">
        <v>1356</v>
      </c>
      <c r="K2013" s="4" t="s">
        <v>103</v>
      </c>
      <c r="L2013" s="4" t="s">
        <v>104</v>
      </c>
      <c r="M2013" s="4" t="s">
        <v>1993</v>
      </c>
      <c r="N2013" s="4" t="s">
        <v>1994</v>
      </c>
      <c r="O2013" s="4" t="s">
        <v>2029</v>
      </c>
      <c r="P2013" s="4" t="s">
        <v>69</v>
      </c>
      <c r="Q2013" s="4" t="s">
        <v>2030</v>
      </c>
      <c r="R2013" s="4" t="s">
        <v>1997</v>
      </c>
      <c r="S2013" s="4"/>
      <c r="T2013" s="4"/>
      <c r="U2013" s="4"/>
      <c r="V2013" s="4"/>
      <c r="W2013" s="4"/>
      <c r="X2013" s="4"/>
      <c r="Y2013" s="4"/>
      <c r="Z2013" s="4"/>
      <c r="AA2013" s="4"/>
      <c r="AB2013" s="4"/>
      <c r="AC2013" s="4"/>
      <c r="AD2013" s="4"/>
      <c r="AE2013" s="4"/>
      <c r="AF2013" s="4"/>
      <c r="AG2013" s="4"/>
      <c r="AH2013" s="4"/>
      <c r="AI2013" s="4"/>
      <c r="AJ2013" s="4"/>
      <c r="AK2013" s="4"/>
      <c r="AL2013" s="4"/>
      <c r="AM2013" s="4" t="s">
        <v>2031</v>
      </c>
    </row>
    <row r="2014" customFormat="false" ht="23.85" hidden="false" customHeight="false" outlineLevel="0" collapsed="false">
      <c r="A2014" s="4" t="s">
        <v>1987</v>
      </c>
      <c r="B2014" s="4" t="s">
        <v>2532</v>
      </c>
      <c r="C2014" s="4" t="s">
        <v>2533</v>
      </c>
      <c r="D2014" s="12" t="n">
        <v>2022</v>
      </c>
      <c r="E2014" s="4"/>
      <c r="F2014" s="4" t="s">
        <v>1990</v>
      </c>
      <c r="G2014" s="4" t="s">
        <v>1991</v>
      </c>
      <c r="H2014" s="4" t="s">
        <v>1992</v>
      </c>
      <c r="I2014" s="4"/>
      <c r="J2014" s="4" t="s">
        <v>1357</v>
      </c>
      <c r="K2014" s="4" t="s">
        <v>103</v>
      </c>
      <c r="L2014" s="4" t="s">
        <v>104</v>
      </c>
      <c r="M2014" s="4" t="s">
        <v>1993</v>
      </c>
      <c r="N2014" s="4" t="s">
        <v>2001</v>
      </c>
      <c r="O2014" s="4" t="s">
        <v>2091</v>
      </c>
      <c r="P2014" s="4" t="s">
        <v>69</v>
      </c>
      <c r="Q2014" s="4" t="s">
        <v>2030</v>
      </c>
      <c r="R2014" s="4" t="s">
        <v>1997</v>
      </c>
      <c r="S2014" s="4"/>
      <c r="T2014" s="4"/>
      <c r="U2014" s="4"/>
      <c r="V2014" s="4"/>
      <c r="W2014" s="4"/>
      <c r="X2014" s="4"/>
      <c r="Y2014" s="4"/>
      <c r="Z2014" s="4"/>
      <c r="AA2014" s="4"/>
      <c r="AB2014" s="4"/>
      <c r="AC2014" s="4"/>
      <c r="AD2014" s="4"/>
      <c r="AE2014" s="4"/>
      <c r="AF2014" s="4"/>
      <c r="AG2014" s="4"/>
      <c r="AH2014" s="4"/>
      <c r="AI2014" s="4"/>
      <c r="AJ2014" s="4"/>
      <c r="AK2014" s="4"/>
      <c r="AL2014" s="4"/>
      <c r="AM2014" s="4" t="s">
        <v>2092</v>
      </c>
    </row>
    <row r="2015" customFormat="false" ht="23.85" hidden="false" customHeight="false" outlineLevel="0" collapsed="false">
      <c r="A2015" s="4" t="s">
        <v>1987</v>
      </c>
      <c r="B2015" s="4" t="s">
        <v>2534</v>
      </c>
      <c r="C2015" s="4" t="s">
        <v>2535</v>
      </c>
      <c r="D2015" s="12" t="n">
        <v>2022</v>
      </c>
      <c r="E2015" s="4"/>
      <c r="F2015" s="4" t="s">
        <v>1990</v>
      </c>
      <c r="G2015" s="4" t="s">
        <v>1991</v>
      </c>
      <c r="H2015" s="4" t="s">
        <v>1992</v>
      </c>
      <c r="I2015" s="4"/>
      <c r="J2015" s="4" t="s">
        <v>1358</v>
      </c>
      <c r="K2015" s="4" t="s">
        <v>103</v>
      </c>
      <c r="L2015" s="4" t="s">
        <v>104</v>
      </c>
      <c r="M2015" s="4" t="s">
        <v>1993</v>
      </c>
      <c r="N2015" s="4" t="s">
        <v>2001</v>
      </c>
      <c r="O2015" s="4" t="s">
        <v>2034</v>
      </c>
      <c r="P2015" s="4" t="s">
        <v>74</v>
      </c>
      <c r="Q2015" s="4" t="s">
        <v>2035</v>
      </c>
      <c r="R2015" s="4" t="s">
        <v>2036</v>
      </c>
      <c r="S2015" s="4"/>
      <c r="T2015" s="4"/>
      <c r="U2015" s="4"/>
      <c r="V2015" s="4"/>
      <c r="W2015" s="4"/>
      <c r="X2015" s="4"/>
      <c r="Y2015" s="4"/>
      <c r="Z2015" s="4"/>
      <c r="AA2015" s="4"/>
      <c r="AB2015" s="4"/>
      <c r="AC2015" s="4"/>
      <c r="AD2015" s="4"/>
      <c r="AE2015" s="4"/>
      <c r="AF2015" s="4"/>
      <c r="AG2015" s="4"/>
      <c r="AH2015" s="4"/>
      <c r="AI2015" s="4"/>
      <c r="AJ2015" s="4"/>
      <c r="AK2015" s="4"/>
      <c r="AL2015" s="4"/>
      <c r="AM2015" s="4" t="s">
        <v>2037</v>
      </c>
    </row>
    <row r="2016" customFormat="false" ht="15" hidden="false" customHeight="false" outlineLevel="0" collapsed="false">
      <c r="A2016" s="4" t="s">
        <v>1987</v>
      </c>
      <c r="B2016" s="4" t="s">
        <v>2536</v>
      </c>
      <c r="C2016" s="4" t="s">
        <v>2537</v>
      </c>
      <c r="D2016" s="12" t="n">
        <v>2022</v>
      </c>
      <c r="E2016" s="4"/>
      <c r="F2016" s="4" t="s">
        <v>1990</v>
      </c>
      <c r="G2016" s="4" t="s">
        <v>1991</v>
      </c>
      <c r="H2016" s="4" t="s">
        <v>1992</v>
      </c>
      <c r="I2016" s="4"/>
      <c r="J2016" s="4" t="s">
        <v>1363</v>
      </c>
      <c r="K2016" s="4" t="s">
        <v>103</v>
      </c>
      <c r="L2016" s="4" t="s">
        <v>104</v>
      </c>
      <c r="M2016" s="4" t="s">
        <v>1993</v>
      </c>
      <c r="N2016" s="4" t="s">
        <v>2001</v>
      </c>
      <c r="O2016" s="4" t="s">
        <v>2002</v>
      </c>
      <c r="P2016" s="4" t="s">
        <v>71</v>
      </c>
      <c r="Q2016" s="4" t="s">
        <v>2123</v>
      </c>
      <c r="R2016" s="4" t="s">
        <v>1997</v>
      </c>
      <c r="S2016" s="4"/>
      <c r="T2016" s="4"/>
      <c r="U2016" s="4"/>
      <c r="V2016" s="4"/>
      <c r="W2016" s="4"/>
      <c r="X2016" s="4"/>
      <c r="Y2016" s="4"/>
      <c r="Z2016" s="4"/>
      <c r="AA2016" s="4"/>
      <c r="AB2016" s="4"/>
      <c r="AC2016" s="4"/>
      <c r="AD2016" s="4"/>
      <c r="AE2016" s="4"/>
      <c r="AF2016" s="4"/>
      <c r="AG2016" s="4"/>
      <c r="AH2016" s="4"/>
      <c r="AI2016" s="4"/>
      <c r="AJ2016" s="4"/>
      <c r="AK2016" s="4"/>
      <c r="AL2016" s="4"/>
      <c r="AM2016" s="4" t="s">
        <v>2124</v>
      </c>
    </row>
    <row r="2017" customFormat="false" ht="15" hidden="false" customHeight="false" outlineLevel="0" collapsed="false">
      <c r="A2017" s="4" t="s">
        <v>1987</v>
      </c>
      <c r="B2017" s="4" t="s">
        <v>2538</v>
      </c>
      <c r="C2017" s="4" t="s">
        <v>2539</v>
      </c>
      <c r="D2017" s="12" t="n">
        <v>2022</v>
      </c>
      <c r="E2017" s="4"/>
      <c r="F2017" s="4" t="s">
        <v>1990</v>
      </c>
      <c r="G2017" s="4" t="s">
        <v>1991</v>
      </c>
      <c r="H2017" s="4" t="s">
        <v>1992</v>
      </c>
      <c r="I2017" s="4"/>
      <c r="J2017" s="4" t="s">
        <v>1365</v>
      </c>
      <c r="K2017" s="4" t="s">
        <v>103</v>
      </c>
      <c r="L2017" s="4" t="s">
        <v>104</v>
      </c>
      <c r="M2017" s="4" t="s">
        <v>1993</v>
      </c>
      <c r="N2017" s="4" t="s">
        <v>2001</v>
      </c>
      <c r="O2017" s="4" t="s">
        <v>2002</v>
      </c>
      <c r="P2017" s="4" t="s">
        <v>72</v>
      </c>
      <c r="Q2017" s="4" t="s">
        <v>2079</v>
      </c>
      <c r="R2017" s="4" t="s">
        <v>1997</v>
      </c>
      <c r="S2017" s="4"/>
      <c r="T2017" s="4"/>
      <c r="U2017" s="4"/>
      <c r="V2017" s="4"/>
      <c r="W2017" s="4"/>
      <c r="X2017" s="4"/>
      <c r="Y2017" s="4"/>
      <c r="Z2017" s="4"/>
      <c r="AA2017" s="4"/>
      <c r="AB2017" s="4"/>
      <c r="AC2017" s="4"/>
      <c r="AD2017" s="4"/>
      <c r="AE2017" s="4"/>
      <c r="AF2017" s="4"/>
      <c r="AG2017" s="4"/>
      <c r="AH2017" s="4"/>
      <c r="AI2017" s="4"/>
      <c r="AJ2017" s="4"/>
      <c r="AK2017" s="4"/>
      <c r="AL2017" s="4"/>
      <c r="AM2017" s="4" t="s">
        <v>2080</v>
      </c>
    </row>
    <row r="2018" customFormat="false" ht="23.85" hidden="false" customHeight="false" outlineLevel="0" collapsed="false">
      <c r="A2018" s="4" t="s">
        <v>1987</v>
      </c>
      <c r="B2018" s="4" t="s">
        <v>2540</v>
      </c>
      <c r="C2018" s="4" t="s">
        <v>2541</v>
      </c>
      <c r="D2018" s="12" t="n">
        <v>2022</v>
      </c>
      <c r="E2018" s="4"/>
      <c r="F2018" s="4" t="s">
        <v>1990</v>
      </c>
      <c r="G2018" s="4" t="s">
        <v>1991</v>
      </c>
      <c r="H2018" s="4" t="s">
        <v>1992</v>
      </c>
      <c r="I2018" s="4"/>
      <c r="J2018" s="4" t="s">
        <v>1366</v>
      </c>
      <c r="K2018" s="4" t="s">
        <v>103</v>
      </c>
      <c r="L2018" s="4" t="s">
        <v>104</v>
      </c>
      <c r="M2018" s="4" t="s">
        <v>1993</v>
      </c>
      <c r="N2018" s="4" t="s">
        <v>2001</v>
      </c>
      <c r="O2018" s="4" t="s">
        <v>2002</v>
      </c>
      <c r="P2018" s="4" t="s">
        <v>68</v>
      </c>
      <c r="Q2018" s="4" t="s">
        <v>2111</v>
      </c>
      <c r="R2018" s="4" t="s">
        <v>1997</v>
      </c>
      <c r="S2018" s="4"/>
      <c r="T2018" s="4"/>
      <c r="U2018" s="4"/>
      <c r="V2018" s="4"/>
      <c r="W2018" s="4"/>
      <c r="X2018" s="4"/>
      <c r="Y2018" s="4"/>
      <c r="Z2018" s="4"/>
      <c r="AA2018" s="4"/>
      <c r="AB2018" s="4"/>
      <c r="AC2018" s="4"/>
      <c r="AD2018" s="4"/>
      <c r="AE2018" s="4"/>
      <c r="AF2018" s="4"/>
      <c r="AG2018" s="4"/>
      <c r="AH2018" s="4"/>
      <c r="AI2018" s="4"/>
      <c r="AJ2018" s="4"/>
      <c r="AK2018" s="4"/>
      <c r="AL2018" s="4"/>
      <c r="AM2018" s="4" t="s">
        <v>2112</v>
      </c>
    </row>
    <row r="2019" customFormat="false" ht="23.85" hidden="false" customHeight="false" outlineLevel="0" collapsed="false">
      <c r="A2019" s="4" t="s">
        <v>1987</v>
      </c>
      <c r="B2019" s="4" t="s">
        <v>2542</v>
      </c>
      <c r="C2019" s="4" t="s">
        <v>2543</v>
      </c>
      <c r="D2019" s="12" t="n">
        <v>2022</v>
      </c>
      <c r="E2019" s="4"/>
      <c r="F2019" s="4" t="s">
        <v>1990</v>
      </c>
      <c r="G2019" s="4" t="s">
        <v>1991</v>
      </c>
      <c r="H2019" s="4" t="s">
        <v>1992</v>
      </c>
      <c r="I2019" s="4"/>
      <c r="J2019" s="4" t="s">
        <v>1370</v>
      </c>
      <c r="K2019" s="4" t="s">
        <v>105</v>
      </c>
      <c r="L2019" s="4" t="s">
        <v>106</v>
      </c>
      <c r="M2019" s="4" t="s">
        <v>1993</v>
      </c>
      <c r="N2019" s="4" t="s">
        <v>1994</v>
      </c>
      <c r="O2019" s="4" t="s">
        <v>2029</v>
      </c>
      <c r="P2019" s="4" t="s">
        <v>69</v>
      </c>
      <c r="Q2019" s="4" t="s">
        <v>2030</v>
      </c>
      <c r="R2019" s="4" t="s">
        <v>1997</v>
      </c>
      <c r="S2019" s="4"/>
      <c r="T2019" s="4"/>
      <c r="U2019" s="4"/>
      <c r="V2019" s="4"/>
      <c r="W2019" s="4"/>
      <c r="X2019" s="4"/>
      <c r="Y2019" s="4"/>
      <c r="Z2019" s="4"/>
      <c r="AA2019" s="4"/>
      <c r="AB2019" s="4"/>
      <c r="AC2019" s="4"/>
      <c r="AD2019" s="4"/>
      <c r="AE2019" s="4"/>
      <c r="AF2019" s="4"/>
      <c r="AG2019" s="4"/>
      <c r="AH2019" s="4"/>
      <c r="AI2019" s="4"/>
      <c r="AJ2019" s="4"/>
      <c r="AK2019" s="4"/>
      <c r="AL2019" s="4"/>
      <c r="AM2019" s="4" t="s">
        <v>2031</v>
      </c>
    </row>
    <row r="2020" customFormat="false" ht="23.85" hidden="false" customHeight="false" outlineLevel="0" collapsed="false">
      <c r="A2020" s="4" t="s">
        <v>1987</v>
      </c>
      <c r="B2020" s="4" t="s">
        <v>2544</v>
      </c>
      <c r="C2020" s="4" t="s">
        <v>2545</v>
      </c>
      <c r="D2020" s="12" t="n">
        <v>2022</v>
      </c>
      <c r="E2020" s="4"/>
      <c r="F2020" s="4" t="s">
        <v>1990</v>
      </c>
      <c r="G2020" s="4" t="s">
        <v>1991</v>
      </c>
      <c r="H2020" s="4" t="s">
        <v>1992</v>
      </c>
      <c r="I2020" s="4"/>
      <c r="J2020" s="4" t="s">
        <v>1371</v>
      </c>
      <c r="K2020" s="4" t="s">
        <v>105</v>
      </c>
      <c r="L2020" s="4" t="s">
        <v>106</v>
      </c>
      <c r="M2020" s="4" t="s">
        <v>1993</v>
      </c>
      <c r="N2020" s="4" t="s">
        <v>2001</v>
      </c>
      <c r="O2020" s="4" t="s">
        <v>2091</v>
      </c>
      <c r="P2020" s="4" t="s">
        <v>69</v>
      </c>
      <c r="Q2020" s="4" t="s">
        <v>2030</v>
      </c>
      <c r="R2020" s="4" t="s">
        <v>1997</v>
      </c>
      <c r="S2020" s="4"/>
      <c r="T2020" s="4"/>
      <c r="U2020" s="4"/>
      <c r="V2020" s="4"/>
      <c r="W2020" s="4"/>
      <c r="X2020" s="4"/>
      <c r="Y2020" s="4"/>
      <c r="Z2020" s="4"/>
      <c r="AA2020" s="4"/>
      <c r="AB2020" s="4"/>
      <c r="AC2020" s="4"/>
      <c r="AD2020" s="4"/>
      <c r="AE2020" s="4"/>
      <c r="AF2020" s="4"/>
      <c r="AG2020" s="4"/>
      <c r="AH2020" s="4"/>
      <c r="AI2020" s="4"/>
      <c r="AJ2020" s="4"/>
      <c r="AK2020" s="4"/>
      <c r="AL2020" s="4"/>
      <c r="AM2020" s="4" t="s">
        <v>2092</v>
      </c>
    </row>
    <row r="2021" customFormat="false" ht="23.85" hidden="false" customHeight="false" outlineLevel="0" collapsed="false">
      <c r="A2021" s="4" t="s">
        <v>1987</v>
      </c>
      <c r="B2021" s="4" t="s">
        <v>2546</v>
      </c>
      <c r="C2021" s="4" t="s">
        <v>2547</v>
      </c>
      <c r="D2021" s="12" t="n">
        <v>2022</v>
      </c>
      <c r="E2021" s="4"/>
      <c r="F2021" s="4" t="s">
        <v>1990</v>
      </c>
      <c r="G2021" s="4" t="s">
        <v>1991</v>
      </c>
      <c r="H2021" s="4" t="s">
        <v>1992</v>
      </c>
      <c r="I2021" s="4"/>
      <c r="J2021" s="4" t="s">
        <v>1372</v>
      </c>
      <c r="K2021" s="4" t="s">
        <v>105</v>
      </c>
      <c r="L2021" s="4" t="s">
        <v>106</v>
      </c>
      <c r="M2021" s="4" t="s">
        <v>1993</v>
      </c>
      <c r="N2021" s="4" t="s">
        <v>2001</v>
      </c>
      <c r="O2021" s="4" t="s">
        <v>2034</v>
      </c>
      <c r="P2021" s="4" t="s">
        <v>74</v>
      </c>
      <c r="Q2021" s="4" t="s">
        <v>2035</v>
      </c>
      <c r="R2021" s="4" t="s">
        <v>2036</v>
      </c>
      <c r="S2021" s="4"/>
      <c r="T2021" s="4"/>
      <c r="U2021" s="4"/>
      <c r="V2021" s="4"/>
      <c r="W2021" s="4"/>
      <c r="X2021" s="4"/>
      <c r="Y2021" s="4"/>
      <c r="Z2021" s="4"/>
      <c r="AA2021" s="4"/>
      <c r="AB2021" s="4"/>
      <c r="AC2021" s="4"/>
      <c r="AD2021" s="4"/>
      <c r="AE2021" s="4"/>
      <c r="AF2021" s="4"/>
      <c r="AG2021" s="4"/>
      <c r="AH2021" s="4"/>
      <c r="AI2021" s="4"/>
      <c r="AJ2021" s="4"/>
      <c r="AK2021" s="4"/>
      <c r="AL2021" s="4"/>
      <c r="AM2021" s="4" t="s">
        <v>2037</v>
      </c>
    </row>
    <row r="2022" customFormat="false" ht="15" hidden="false" customHeight="false" outlineLevel="0" collapsed="false">
      <c r="A2022" s="4" t="s">
        <v>1987</v>
      </c>
      <c r="B2022" s="4" t="s">
        <v>2548</v>
      </c>
      <c r="C2022" s="4" t="s">
        <v>2549</v>
      </c>
      <c r="D2022" s="12" t="n">
        <v>2022</v>
      </c>
      <c r="E2022" s="4"/>
      <c r="F2022" s="4" t="s">
        <v>1990</v>
      </c>
      <c r="G2022" s="4" t="s">
        <v>1991</v>
      </c>
      <c r="H2022" s="4" t="s">
        <v>1992</v>
      </c>
      <c r="I2022" s="4"/>
      <c r="J2022" s="4" t="s">
        <v>1377</v>
      </c>
      <c r="K2022" s="4" t="s">
        <v>105</v>
      </c>
      <c r="L2022" s="4" t="s">
        <v>106</v>
      </c>
      <c r="M2022" s="4" t="s">
        <v>1993</v>
      </c>
      <c r="N2022" s="4" t="s">
        <v>2001</v>
      </c>
      <c r="O2022" s="4" t="s">
        <v>2002</v>
      </c>
      <c r="P2022" s="4" t="s">
        <v>71</v>
      </c>
      <c r="Q2022" s="4" t="s">
        <v>2123</v>
      </c>
      <c r="R2022" s="4" t="s">
        <v>1997</v>
      </c>
      <c r="S2022" s="4"/>
      <c r="T2022" s="4"/>
      <c r="U2022" s="4"/>
      <c r="V2022" s="4"/>
      <c r="W2022" s="4"/>
      <c r="X2022" s="4"/>
      <c r="Y2022" s="4"/>
      <c r="Z2022" s="4"/>
      <c r="AA2022" s="4"/>
      <c r="AB2022" s="4"/>
      <c r="AC2022" s="4"/>
      <c r="AD2022" s="4"/>
      <c r="AE2022" s="4"/>
      <c r="AF2022" s="4"/>
      <c r="AG2022" s="4"/>
      <c r="AH2022" s="4"/>
      <c r="AI2022" s="4"/>
      <c r="AJ2022" s="4"/>
      <c r="AK2022" s="4"/>
      <c r="AL2022" s="4"/>
      <c r="AM2022" s="4" t="s">
        <v>2124</v>
      </c>
    </row>
    <row r="2023" customFormat="false" ht="15" hidden="false" customHeight="false" outlineLevel="0" collapsed="false">
      <c r="A2023" s="4" t="s">
        <v>1987</v>
      </c>
      <c r="B2023" s="4" t="s">
        <v>2550</v>
      </c>
      <c r="C2023" s="4" t="s">
        <v>2551</v>
      </c>
      <c r="D2023" s="12" t="n">
        <v>2022</v>
      </c>
      <c r="E2023" s="4"/>
      <c r="F2023" s="4" t="s">
        <v>1990</v>
      </c>
      <c r="G2023" s="4" t="s">
        <v>1991</v>
      </c>
      <c r="H2023" s="4" t="s">
        <v>1992</v>
      </c>
      <c r="I2023" s="4"/>
      <c r="J2023" s="4" t="s">
        <v>1378</v>
      </c>
      <c r="K2023" s="4" t="s">
        <v>105</v>
      </c>
      <c r="L2023" s="4" t="s">
        <v>106</v>
      </c>
      <c r="M2023" s="4" t="s">
        <v>1993</v>
      </c>
      <c r="N2023" s="4" t="s">
        <v>2001</v>
      </c>
      <c r="O2023" s="4" t="s">
        <v>2074</v>
      </c>
      <c r="P2023" s="4" t="s">
        <v>73</v>
      </c>
      <c r="Q2023" s="4" t="s">
        <v>2075</v>
      </c>
      <c r="R2023" s="4" t="s">
        <v>1997</v>
      </c>
      <c r="S2023" s="4"/>
      <c r="T2023" s="4"/>
      <c r="U2023" s="4"/>
      <c r="V2023" s="4"/>
      <c r="W2023" s="4"/>
      <c r="X2023" s="4"/>
      <c r="Y2023" s="4"/>
      <c r="Z2023" s="4"/>
      <c r="AA2023" s="4"/>
      <c r="AB2023" s="4"/>
      <c r="AC2023" s="4"/>
      <c r="AD2023" s="4"/>
      <c r="AE2023" s="4"/>
      <c r="AF2023" s="4"/>
      <c r="AG2023" s="4"/>
      <c r="AH2023" s="4"/>
      <c r="AI2023" s="4"/>
      <c r="AJ2023" s="4"/>
      <c r="AK2023" s="4"/>
      <c r="AL2023" s="4"/>
      <c r="AM2023" s="4" t="s">
        <v>2076</v>
      </c>
    </row>
    <row r="2024" customFormat="false" ht="15" hidden="false" customHeight="false" outlineLevel="0" collapsed="false">
      <c r="A2024" s="4" t="s">
        <v>1987</v>
      </c>
      <c r="B2024" s="4" t="s">
        <v>2552</v>
      </c>
      <c r="C2024" s="4" t="s">
        <v>2553</v>
      </c>
      <c r="D2024" s="12" t="n">
        <v>2022</v>
      </c>
      <c r="E2024" s="4"/>
      <c r="F2024" s="4" t="s">
        <v>1990</v>
      </c>
      <c r="G2024" s="4" t="s">
        <v>1991</v>
      </c>
      <c r="H2024" s="4" t="s">
        <v>1992</v>
      </c>
      <c r="I2024" s="4"/>
      <c r="J2024" s="4" t="s">
        <v>1379</v>
      </c>
      <c r="K2024" s="4" t="s">
        <v>105</v>
      </c>
      <c r="L2024" s="4" t="s">
        <v>106</v>
      </c>
      <c r="M2024" s="4" t="s">
        <v>1993</v>
      </c>
      <c r="N2024" s="4" t="s">
        <v>2001</v>
      </c>
      <c r="O2024" s="4" t="s">
        <v>2002</v>
      </c>
      <c r="P2024" s="4" t="s">
        <v>72</v>
      </c>
      <c r="Q2024" s="4" t="s">
        <v>2079</v>
      </c>
      <c r="R2024" s="4" t="s">
        <v>1997</v>
      </c>
      <c r="S2024" s="4"/>
      <c r="T2024" s="4"/>
      <c r="U2024" s="4"/>
      <c r="V2024" s="4"/>
      <c r="W2024" s="4"/>
      <c r="X2024" s="4"/>
      <c r="Y2024" s="4"/>
      <c r="Z2024" s="4"/>
      <c r="AA2024" s="4"/>
      <c r="AB2024" s="4"/>
      <c r="AC2024" s="4"/>
      <c r="AD2024" s="4"/>
      <c r="AE2024" s="4"/>
      <c r="AF2024" s="4"/>
      <c r="AG2024" s="4"/>
      <c r="AH2024" s="4"/>
      <c r="AI2024" s="4"/>
      <c r="AJ2024" s="4"/>
      <c r="AK2024" s="4"/>
      <c r="AL2024" s="4"/>
      <c r="AM2024" s="4" t="s">
        <v>2080</v>
      </c>
    </row>
    <row r="2025" customFormat="false" ht="23.85" hidden="false" customHeight="false" outlineLevel="0" collapsed="false">
      <c r="A2025" s="4" t="s">
        <v>1987</v>
      </c>
      <c r="B2025" s="4" t="s">
        <v>2554</v>
      </c>
      <c r="C2025" s="4" t="s">
        <v>2555</v>
      </c>
      <c r="D2025" s="12" t="n">
        <v>2022</v>
      </c>
      <c r="E2025" s="4"/>
      <c r="F2025" s="4" t="s">
        <v>1990</v>
      </c>
      <c r="G2025" s="4" t="s">
        <v>1991</v>
      </c>
      <c r="H2025" s="4" t="s">
        <v>1992</v>
      </c>
      <c r="I2025" s="4"/>
      <c r="J2025" s="4" t="s">
        <v>1380</v>
      </c>
      <c r="K2025" s="4" t="s">
        <v>105</v>
      </c>
      <c r="L2025" s="4" t="s">
        <v>106</v>
      </c>
      <c r="M2025" s="4" t="s">
        <v>1993</v>
      </c>
      <c r="N2025" s="4" t="s">
        <v>2001</v>
      </c>
      <c r="O2025" s="4" t="s">
        <v>2002</v>
      </c>
      <c r="P2025" s="4" t="s">
        <v>68</v>
      </c>
      <c r="Q2025" s="4" t="s">
        <v>2111</v>
      </c>
      <c r="R2025" s="4" t="s">
        <v>1997</v>
      </c>
      <c r="S2025" s="4"/>
      <c r="T2025" s="4"/>
      <c r="U2025" s="4"/>
      <c r="V2025" s="4"/>
      <c r="W2025" s="4"/>
      <c r="X2025" s="4"/>
      <c r="Y2025" s="4"/>
      <c r="Z2025" s="4"/>
      <c r="AA2025" s="4"/>
      <c r="AB2025" s="4"/>
      <c r="AC2025" s="4"/>
      <c r="AD2025" s="4"/>
      <c r="AE2025" s="4"/>
      <c r="AF2025" s="4"/>
      <c r="AG2025" s="4"/>
      <c r="AH2025" s="4"/>
      <c r="AI2025" s="4"/>
      <c r="AJ2025" s="4"/>
      <c r="AK2025" s="4"/>
      <c r="AL2025" s="4"/>
      <c r="AM2025" s="4" t="s">
        <v>2112</v>
      </c>
    </row>
    <row r="2026" customFormat="false" ht="23.85" hidden="false" customHeight="false" outlineLevel="0" collapsed="false">
      <c r="A2026" s="4" t="s">
        <v>1987</v>
      </c>
      <c r="B2026" s="4" t="s">
        <v>2556</v>
      </c>
      <c r="C2026" s="4" t="s">
        <v>2557</v>
      </c>
      <c r="D2026" s="12" t="n">
        <v>2022</v>
      </c>
      <c r="E2026" s="4"/>
      <c r="F2026" s="4" t="s">
        <v>1990</v>
      </c>
      <c r="G2026" s="4" t="s">
        <v>1991</v>
      </c>
      <c r="H2026" s="4" t="s">
        <v>1992</v>
      </c>
      <c r="I2026" s="4"/>
      <c r="J2026" s="4" t="s">
        <v>1384</v>
      </c>
      <c r="K2026" s="4" t="s">
        <v>107</v>
      </c>
      <c r="L2026" s="4" t="s">
        <v>108</v>
      </c>
      <c r="M2026" s="4" t="s">
        <v>1993</v>
      </c>
      <c r="N2026" s="4" t="s">
        <v>1994</v>
      </c>
      <c r="O2026" s="4" t="s">
        <v>2029</v>
      </c>
      <c r="P2026" s="4" t="s">
        <v>69</v>
      </c>
      <c r="Q2026" s="4" t="s">
        <v>2030</v>
      </c>
      <c r="R2026" s="4" t="s">
        <v>1997</v>
      </c>
      <c r="S2026" s="4"/>
      <c r="T2026" s="4"/>
      <c r="U2026" s="4"/>
      <c r="V2026" s="4"/>
      <c r="W2026" s="4"/>
      <c r="X2026" s="4"/>
      <c r="Y2026" s="4"/>
      <c r="Z2026" s="4"/>
      <c r="AA2026" s="4"/>
      <c r="AB2026" s="4"/>
      <c r="AC2026" s="4"/>
      <c r="AD2026" s="4"/>
      <c r="AE2026" s="4"/>
      <c r="AF2026" s="4"/>
      <c r="AG2026" s="4"/>
      <c r="AH2026" s="4"/>
      <c r="AI2026" s="4"/>
      <c r="AJ2026" s="4"/>
      <c r="AK2026" s="4"/>
      <c r="AL2026" s="4"/>
      <c r="AM2026" s="4" t="s">
        <v>2031</v>
      </c>
    </row>
    <row r="2027" customFormat="false" ht="23.85" hidden="false" customHeight="false" outlineLevel="0" collapsed="false">
      <c r="A2027" s="4" t="s">
        <v>1987</v>
      </c>
      <c r="B2027" s="4" t="s">
        <v>2558</v>
      </c>
      <c r="C2027" s="4" t="s">
        <v>2559</v>
      </c>
      <c r="D2027" s="12" t="n">
        <v>2022</v>
      </c>
      <c r="E2027" s="4"/>
      <c r="F2027" s="4" t="s">
        <v>1990</v>
      </c>
      <c r="G2027" s="4" t="s">
        <v>1991</v>
      </c>
      <c r="H2027" s="4" t="s">
        <v>1992</v>
      </c>
      <c r="I2027" s="4"/>
      <c r="J2027" s="4" t="s">
        <v>1385</v>
      </c>
      <c r="K2027" s="4" t="s">
        <v>107</v>
      </c>
      <c r="L2027" s="4" t="s">
        <v>108</v>
      </c>
      <c r="M2027" s="4" t="s">
        <v>1993</v>
      </c>
      <c r="N2027" s="4" t="s">
        <v>2001</v>
      </c>
      <c r="O2027" s="4" t="s">
        <v>2091</v>
      </c>
      <c r="P2027" s="4" t="s">
        <v>69</v>
      </c>
      <c r="Q2027" s="4" t="s">
        <v>2030</v>
      </c>
      <c r="R2027" s="4" t="s">
        <v>1997</v>
      </c>
      <c r="S2027" s="4"/>
      <c r="T2027" s="4"/>
      <c r="U2027" s="4"/>
      <c r="V2027" s="4"/>
      <c r="W2027" s="4"/>
      <c r="X2027" s="4"/>
      <c r="Y2027" s="4"/>
      <c r="Z2027" s="4"/>
      <c r="AA2027" s="4"/>
      <c r="AB2027" s="4"/>
      <c r="AC2027" s="4"/>
      <c r="AD2027" s="4"/>
      <c r="AE2027" s="4"/>
      <c r="AF2027" s="4"/>
      <c r="AG2027" s="4"/>
      <c r="AH2027" s="4"/>
      <c r="AI2027" s="4"/>
      <c r="AJ2027" s="4"/>
      <c r="AK2027" s="4"/>
      <c r="AL2027" s="4"/>
      <c r="AM2027" s="4" t="s">
        <v>2092</v>
      </c>
    </row>
    <row r="2028" customFormat="false" ht="23.85" hidden="false" customHeight="false" outlineLevel="0" collapsed="false">
      <c r="A2028" s="4" t="s">
        <v>1987</v>
      </c>
      <c r="B2028" s="4" t="s">
        <v>2560</v>
      </c>
      <c r="C2028" s="4" t="s">
        <v>2561</v>
      </c>
      <c r="D2028" s="12" t="n">
        <v>2022</v>
      </c>
      <c r="E2028" s="4"/>
      <c r="F2028" s="4" t="s">
        <v>1990</v>
      </c>
      <c r="G2028" s="4" t="s">
        <v>1991</v>
      </c>
      <c r="H2028" s="4" t="s">
        <v>1992</v>
      </c>
      <c r="I2028" s="4"/>
      <c r="J2028" s="4" t="s">
        <v>1386</v>
      </c>
      <c r="K2028" s="4" t="s">
        <v>107</v>
      </c>
      <c r="L2028" s="4" t="s">
        <v>108</v>
      </c>
      <c r="M2028" s="4" t="s">
        <v>1993</v>
      </c>
      <c r="N2028" s="4" t="s">
        <v>2001</v>
      </c>
      <c r="O2028" s="4" t="s">
        <v>2034</v>
      </c>
      <c r="P2028" s="4" t="s">
        <v>74</v>
      </c>
      <c r="Q2028" s="4" t="s">
        <v>2035</v>
      </c>
      <c r="R2028" s="4" t="s">
        <v>2036</v>
      </c>
      <c r="S2028" s="4"/>
      <c r="T2028" s="4"/>
      <c r="U2028" s="4"/>
      <c r="V2028" s="4"/>
      <c r="W2028" s="4"/>
      <c r="X2028" s="4"/>
      <c r="Y2028" s="4"/>
      <c r="Z2028" s="4"/>
      <c r="AA2028" s="4"/>
      <c r="AB2028" s="4"/>
      <c r="AC2028" s="4"/>
      <c r="AD2028" s="4"/>
      <c r="AE2028" s="4"/>
      <c r="AF2028" s="4"/>
      <c r="AG2028" s="4"/>
      <c r="AH2028" s="4"/>
      <c r="AI2028" s="4"/>
      <c r="AJ2028" s="4"/>
      <c r="AK2028" s="4"/>
      <c r="AL2028" s="4"/>
      <c r="AM2028" s="4" t="s">
        <v>2037</v>
      </c>
    </row>
    <row r="2029" customFormat="false" ht="15" hidden="false" customHeight="false" outlineLevel="0" collapsed="false">
      <c r="A2029" s="4" t="s">
        <v>1987</v>
      </c>
      <c r="B2029" s="4" t="s">
        <v>2562</v>
      </c>
      <c r="C2029" s="4" t="s">
        <v>2563</v>
      </c>
      <c r="D2029" s="12" t="n">
        <v>2022</v>
      </c>
      <c r="E2029" s="4"/>
      <c r="F2029" s="4" t="s">
        <v>1990</v>
      </c>
      <c r="G2029" s="4" t="s">
        <v>1991</v>
      </c>
      <c r="H2029" s="4" t="s">
        <v>1992</v>
      </c>
      <c r="I2029" s="4"/>
      <c r="J2029" s="4" t="s">
        <v>1391</v>
      </c>
      <c r="K2029" s="4" t="s">
        <v>107</v>
      </c>
      <c r="L2029" s="4" t="s">
        <v>108</v>
      </c>
      <c r="M2029" s="4" t="s">
        <v>1993</v>
      </c>
      <c r="N2029" s="4" t="s">
        <v>2001</v>
      </c>
      <c r="O2029" s="4" t="s">
        <v>2002</v>
      </c>
      <c r="P2029" s="4" t="s">
        <v>71</v>
      </c>
      <c r="Q2029" s="4" t="s">
        <v>2123</v>
      </c>
      <c r="R2029" s="4" t="s">
        <v>1997</v>
      </c>
      <c r="S2029" s="4"/>
      <c r="T2029" s="4"/>
      <c r="U2029" s="4"/>
      <c r="V2029" s="4"/>
      <c r="W2029" s="4"/>
      <c r="X2029" s="4"/>
      <c r="Y2029" s="4"/>
      <c r="Z2029" s="4"/>
      <c r="AA2029" s="4"/>
      <c r="AB2029" s="4"/>
      <c r="AC2029" s="4"/>
      <c r="AD2029" s="4"/>
      <c r="AE2029" s="4"/>
      <c r="AF2029" s="4"/>
      <c r="AG2029" s="4"/>
      <c r="AH2029" s="4"/>
      <c r="AI2029" s="4"/>
      <c r="AJ2029" s="4"/>
      <c r="AK2029" s="4"/>
      <c r="AL2029" s="4"/>
      <c r="AM2029" s="4" t="s">
        <v>2124</v>
      </c>
    </row>
    <row r="2030" customFormat="false" ht="23.85" hidden="false" customHeight="false" outlineLevel="0" collapsed="false">
      <c r="A2030" s="4" t="s">
        <v>1987</v>
      </c>
      <c r="B2030" s="4" t="s">
        <v>2564</v>
      </c>
      <c r="C2030" s="4" t="s">
        <v>2565</v>
      </c>
      <c r="D2030" s="12" t="n">
        <v>2022</v>
      </c>
      <c r="E2030" s="4"/>
      <c r="F2030" s="4" t="s">
        <v>1990</v>
      </c>
      <c r="G2030" s="4" t="s">
        <v>1991</v>
      </c>
      <c r="H2030" s="4" t="s">
        <v>1992</v>
      </c>
      <c r="I2030" s="4"/>
      <c r="J2030" s="4" t="s">
        <v>1398</v>
      </c>
      <c r="K2030" s="4" t="s">
        <v>111</v>
      </c>
      <c r="L2030" s="4" t="s">
        <v>112</v>
      </c>
      <c r="M2030" s="4" t="s">
        <v>1993</v>
      </c>
      <c r="N2030" s="4" t="s">
        <v>1994</v>
      </c>
      <c r="O2030" s="4" t="s">
        <v>2029</v>
      </c>
      <c r="P2030" s="4" t="s">
        <v>69</v>
      </c>
      <c r="Q2030" s="4" t="s">
        <v>2030</v>
      </c>
      <c r="R2030" s="4" t="s">
        <v>1997</v>
      </c>
      <c r="S2030" s="4"/>
      <c r="T2030" s="4"/>
      <c r="U2030" s="4"/>
      <c r="V2030" s="4"/>
      <c r="W2030" s="4"/>
      <c r="X2030" s="4"/>
      <c r="Y2030" s="4"/>
      <c r="Z2030" s="4"/>
      <c r="AA2030" s="4"/>
      <c r="AB2030" s="4"/>
      <c r="AC2030" s="4"/>
      <c r="AD2030" s="4"/>
      <c r="AE2030" s="4"/>
      <c r="AF2030" s="4"/>
      <c r="AG2030" s="4"/>
      <c r="AH2030" s="4"/>
      <c r="AI2030" s="4"/>
      <c r="AJ2030" s="4"/>
      <c r="AK2030" s="4"/>
      <c r="AL2030" s="4"/>
      <c r="AM2030" s="4" t="s">
        <v>2031</v>
      </c>
    </row>
    <row r="2031" customFormat="false" ht="23.85" hidden="false" customHeight="false" outlineLevel="0" collapsed="false">
      <c r="A2031" s="4" t="s">
        <v>1987</v>
      </c>
      <c r="B2031" s="4" t="s">
        <v>2566</v>
      </c>
      <c r="C2031" s="4" t="s">
        <v>2567</v>
      </c>
      <c r="D2031" s="12" t="n">
        <v>2022</v>
      </c>
      <c r="E2031" s="4"/>
      <c r="F2031" s="4" t="s">
        <v>1990</v>
      </c>
      <c r="G2031" s="4" t="s">
        <v>1991</v>
      </c>
      <c r="H2031" s="4" t="s">
        <v>1992</v>
      </c>
      <c r="I2031" s="4"/>
      <c r="J2031" s="4" t="s">
        <v>1399</v>
      </c>
      <c r="K2031" s="4" t="s">
        <v>111</v>
      </c>
      <c r="L2031" s="4" t="s">
        <v>112</v>
      </c>
      <c r="M2031" s="4" t="s">
        <v>1993</v>
      </c>
      <c r="N2031" s="4" t="s">
        <v>2001</v>
      </c>
      <c r="O2031" s="4" t="s">
        <v>2091</v>
      </c>
      <c r="P2031" s="4" t="s">
        <v>69</v>
      </c>
      <c r="Q2031" s="4" t="s">
        <v>2030</v>
      </c>
      <c r="R2031" s="4" t="s">
        <v>1997</v>
      </c>
      <c r="S2031" s="4"/>
      <c r="T2031" s="4"/>
      <c r="U2031" s="4"/>
      <c r="V2031" s="4"/>
      <c r="W2031" s="4"/>
      <c r="X2031" s="4"/>
      <c r="Y2031" s="4"/>
      <c r="Z2031" s="4"/>
      <c r="AA2031" s="4"/>
      <c r="AB2031" s="4"/>
      <c r="AC2031" s="4"/>
      <c r="AD2031" s="4"/>
      <c r="AE2031" s="4"/>
      <c r="AF2031" s="4"/>
      <c r="AG2031" s="4"/>
      <c r="AH2031" s="4"/>
      <c r="AI2031" s="4"/>
      <c r="AJ2031" s="4"/>
      <c r="AK2031" s="4"/>
      <c r="AL2031" s="4"/>
      <c r="AM2031" s="4" t="s">
        <v>2092</v>
      </c>
    </row>
    <row r="2032" customFormat="false" ht="23.85" hidden="false" customHeight="false" outlineLevel="0" collapsed="false">
      <c r="A2032" s="4" t="s">
        <v>1987</v>
      </c>
      <c r="B2032" s="4" t="s">
        <v>2568</v>
      </c>
      <c r="C2032" s="4" t="s">
        <v>2569</v>
      </c>
      <c r="D2032" s="12" t="n">
        <v>2022</v>
      </c>
      <c r="E2032" s="4"/>
      <c r="F2032" s="4" t="s">
        <v>1990</v>
      </c>
      <c r="G2032" s="4" t="s">
        <v>1991</v>
      </c>
      <c r="H2032" s="4" t="s">
        <v>1992</v>
      </c>
      <c r="I2032" s="4"/>
      <c r="J2032" s="4" t="s">
        <v>1400</v>
      </c>
      <c r="K2032" s="4" t="s">
        <v>111</v>
      </c>
      <c r="L2032" s="4" t="s">
        <v>112</v>
      </c>
      <c r="M2032" s="4" t="s">
        <v>1993</v>
      </c>
      <c r="N2032" s="4" t="s">
        <v>2001</v>
      </c>
      <c r="O2032" s="4" t="s">
        <v>2034</v>
      </c>
      <c r="P2032" s="4" t="s">
        <v>74</v>
      </c>
      <c r="Q2032" s="4" t="s">
        <v>2035</v>
      </c>
      <c r="R2032" s="4" t="s">
        <v>2036</v>
      </c>
      <c r="S2032" s="4"/>
      <c r="T2032" s="4"/>
      <c r="U2032" s="4"/>
      <c r="V2032" s="4"/>
      <c r="W2032" s="4"/>
      <c r="X2032" s="4"/>
      <c r="Y2032" s="4"/>
      <c r="Z2032" s="4"/>
      <c r="AA2032" s="4"/>
      <c r="AB2032" s="4"/>
      <c r="AC2032" s="4"/>
      <c r="AD2032" s="4"/>
      <c r="AE2032" s="4"/>
      <c r="AF2032" s="4"/>
      <c r="AG2032" s="4"/>
      <c r="AH2032" s="4"/>
      <c r="AI2032" s="4"/>
      <c r="AJ2032" s="4"/>
      <c r="AK2032" s="4"/>
      <c r="AL2032" s="4"/>
      <c r="AM2032" s="4" t="s">
        <v>2037</v>
      </c>
    </row>
    <row r="2033" customFormat="false" ht="23.85" hidden="false" customHeight="false" outlineLevel="0" collapsed="false">
      <c r="A2033" s="4" t="s">
        <v>1987</v>
      </c>
      <c r="B2033" s="4" t="s">
        <v>2570</v>
      </c>
      <c r="C2033" s="4" t="s">
        <v>2571</v>
      </c>
      <c r="D2033" s="12" t="n">
        <v>2022</v>
      </c>
      <c r="E2033" s="4"/>
      <c r="F2033" s="4" t="s">
        <v>1990</v>
      </c>
      <c r="G2033" s="4" t="s">
        <v>1991</v>
      </c>
      <c r="H2033" s="4" t="s">
        <v>1992</v>
      </c>
      <c r="I2033" s="4"/>
      <c r="J2033" s="4" t="s">
        <v>1401</v>
      </c>
      <c r="K2033" s="4" t="s">
        <v>111</v>
      </c>
      <c r="L2033" s="4" t="s">
        <v>112</v>
      </c>
      <c r="M2033" s="4" t="s">
        <v>1993</v>
      </c>
      <c r="N2033" s="4" t="s">
        <v>1994</v>
      </c>
      <c r="O2033" s="4" t="s">
        <v>1995</v>
      </c>
      <c r="P2033" s="4" t="s">
        <v>67</v>
      </c>
      <c r="Q2033" s="4" t="s">
        <v>2097</v>
      </c>
      <c r="R2033" s="4" t="s">
        <v>1997</v>
      </c>
      <c r="S2033" s="4"/>
      <c r="T2033" s="4"/>
      <c r="U2033" s="4"/>
      <c r="V2033" s="4"/>
      <c r="W2033" s="4"/>
      <c r="X2033" s="4"/>
      <c r="Y2033" s="4"/>
      <c r="Z2033" s="4"/>
      <c r="AA2033" s="4"/>
      <c r="AB2033" s="4"/>
      <c r="AC2033" s="4"/>
      <c r="AD2033" s="4"/>
      <c r="AE2033" s="4"/>
      <c r="AF2033" s="4"/>
      <c r="AG2033" s="4"/>
      <c r="AH2033" s="4"/>
      <c r="AI2033" s="4"/>
      <c r="AJ2033" s="4"/>
      <c r="AK2033" s="4"/>
      <c r="AL2033" s="4"/>
      <c r="AM2033" s="4" t="s">
        <v>2214</v>
      </c>
    </row>
    <row r="2034" customFormat="false" ht="23.85" hidden="false" customHeight="false" outlineLevel="0" collapsed="false">
      <c r="A2034" s="4" t="s">
        <v>1987</v>
      </c>
      <c r="B2034" s="4" t="s">
        <v>2572</v>
      </c>
      <c r="C2034" s="4" t="s">
        <v>2573</v>
      </c>
      <c r="D2034" s="12" t="n">
        <v>2022</v>
      </c>
      <c r="E2034" s="4"/>
      <c r="F2034" s="4" t="s">
        <v>1990</v>
      </c>
      <c r="G2034" s="4" t="s">
        <v>1991</v>
      </c>
      <c r="H2034" s="4" t="s">
        <v>1992</v>
      </c>
      <c r="I2034" s="4"/>
      <c r="J2034" s="4" t="s">
        <v>2574</v>
      </c>
      <c r="K2034" s="4" t="s">
        <v>91</v>
      </c>
      <c r="L2034" s="4" t="s">
        <v>92</v>
      </c>
      <c r="M2034" s="4" t="s">
        <v>1993</v>
      </c>
      <c r="N2034" s="4" t="s">
        <v>2001</v>
      </c>
      <c r="O2034" s="4" t="s">
        <v>2218</v>
      </c>
      <c r="P2034" s="4" t="s">
        <v>44</v>
      </c>
      <c r="Q2034" s="4" t="s">
        <v>2219</v>
      </c>
      <c r="R2034" s="4" t="s">
        <v>2220</v>
      </c>
      <c r="S2034" s="4"/>
      <c r="T2034" s="4"/>
      <c r="U2034" s="4"/>
      <c r="V2034" s="4"/>
      <c r="W2034" s="4"/>
      <c r="X2034" s="4"/>
      <c r="Y2034" s="4"/>
      <c r="Z2034" s="4"/>
      <c r="AA2034" s="4"/>
      <c r="AB2034" s="4"/>
      <c r="AC2034" s="4"/>
      <c r="AD2034" s="4"/>
      <c r="AE2034" s="4"/>
      <c r="AF2034" s="4"/>
      <c r="AG2034" s="4"/>
      <c r="AH2034" s="4"/>
      <c r="AI2034" s="4"/>
      <c r="AJ2034" s="4"/>
      <c r="AK2034" s="4"/>
      <c r="AL2034" s="4"/>
      <c r="AM2034" s="4" t="s">
        <v>2221</v>
      </c>
    </row>
    <row r="2035" customFormat="false" ht="23.85" hidden="false" customHeight="false" outlineLevel="0" collapsed="false">
      <c r="A2035" s="4" t="s">
        <v>1987</v>
      </c>
      <c r="B2035" s="4" t="s">
        <v>2575</v>
      </c>
      <c r="C2035" s="4" t="s">
        <v>2576</v>
      </c>
      <c r="D2035" s="12" t="n">
        <v>2022</v>
      </c>
      <c r="E2035" s="4"/>
      <c r="F2035" s="4" t="s">
        <v>1990</v>
      </c>
      <c r="G2035" s="4" t="s">
        <v>1991</v>
      </c>
      <c r="H2035" s="4" t="s">
        <v>1992</v>
      </c>
      <c r="I2035" s="4"/>
      <c r="J2035" s="4" t="s">
        <v>2577</v>
      </c>
      <c r="K2035" s="4" t="s">
        <v>76</v>
      </c>
      <c r="L2035" s="4" t="s">
        <v>77</v>
      </c>
      <c r="M2035" s="4" t="s">
        <v>1993</v>
      </c>
      <c r="N2035" s="4" t="s">
        <v>2001</v>
      </c>
      <c r="O2035" s="4" t="s">
        <v>2218</v>
      </c>
      <c r="P2035" s="4" t="s">
        <v>44</v>
      </c>
      <c r="Q2035" s="4" t="s">
        <v>2219</v>
      </c>
      <c r="R2035" s="4" t="s">
        <v>2220</v>
      </c>
      <c r="S2035" s="4"/>
      <c r="T2035" s="4"/>
      <c r="U2035" s="4"/>
      <c r="V2035" s="4"/>
      <c r="W2035" s="4"/>
      <c r="X2035" s="4"/>
      <c r="Y2035" s="4"/>
      <c r="Z2035" s="4"/>
      <c r="AA2035" s="4"/>
      <c r="AB2035" s="4"/>
      <c r="AC2035" s="4"/>
      <c r="AD2035" s="4"/>
      <c r="AE2035" s="4"/>
      <c r="AF2035" s="4"/>
      <c r="AG2035" s="4"/>
      <c r="AH2035" s="4"/>
      <c r="AI2035" s="4"/>
      <c r="AJ2035" s="4"/>
      <c r="AK2035" s="4"/>
      <c r="AL2035" s="4"/>
      <c r="AM2035" s="4" t="s">
        <v>2221</v>
      </c>
    </row>
    <row r="2036" customFormat="false" ht="23.85" hidden="false" customHeight="false" outlineLevel="0" collapsed="false">
      <c r="A2036" s="4" t="s">
        <v>1987</v>
      </c>
      <c r="B2036" s="4" t="s">
        <v>2578</v>
      </c>
      <c r="C2036" s="4" t="s">
        <v>2579</v>
      </c>
      <c r="D2036" s="12" t="n">
        <v>2022</v>
      </c>
      <c r="E2036" s="4"/>
      <c r="F2036" s="4" t="s">
        <v>1990</v>
      </c>
      <c r="G2036" s="4" t="s">
        <v>1991</v>
      </c>
      <c r="H2036" s="4" t="s">
        <v>1992</v>
      </c>
      <c r="I2036" s="4"/>
      <c r="J2036" s="4" t="s">
        <v>2580</v>
      </c>
      <c r="K2036" s="4" t="s">
        <v>99</v>
      </c>
      <c r="L2036" s="4" t="s">
        <v>100</v>
      </c>
      <c r="M2036" s="4" t="s">
        <v>1993</v>
      </c>
      <c r="N2036" s="4" t="s">
        <v>2001</v>
      </c>
      <c r="O2036" s="4" t="s">
        <v>2218</v>
      </c>
      <c r="P2036" s="4" t="s">
        <v>44</v>
      </c>
      <c r="Q2036" s="4" t="s">
        <v>2219</v>
      </c>
      <c r="R2036" s="4" t="s">
        <v>2220</v>
      </c>
      <c r="S2036" s="4"/>
      <c r="T2036" s="4"/>
      <c r="U2036" s="4"/>
      <c r="V2036" s="4"/>
      <c r="W2036" s="4"/>
      <c r="X2036" s="4"/>
      <c r="Y2036" s="4"/>
      <c r="Z2036" s="4"/>
      <c r="AA2036" s="4"/>
      <c r="AB2036" s="4"/>
      <c r="AC2036" s="4"/>
      <c r="AD2036" s="4"/>
      <c r="AE2036" s="4"/>
      <c r="AF2036" s="4"/>
      <c r="AG2036" s="4"/>
      <c r="AH2036" s="4"/>
      <c r="AI2036" s="4"/>
      <c r="AJ2036" s="4"/>
      <c r="AK2036" s="4"/>
      <c r="AL2036" s="4"/>
      <c r="AM2036" s="4" t="s">
        <v>2221</v>
      </c>
    </row>
    <row r="2037" customFormat="false" ht="23.85" hidden="false" customHeight="false" outlineLevel="0" collapsed="false">
      <c r="A2037" s="4" t="s">
        <v>1987</v>
      </c>
      <c r="B2037" s="4" t="s">
        <v>2581</v>
      </c>
      <c r="C2037" s="4" t="s">
        <v>2582</v>
      </c>
      <c r="D2037" s="12" t="n">
        <v>2022</v>
      </c>
      <c r="E2037" s="4"/>
      <c r="F2037" s="4" t="s">
        <v>1990</v>
      </c>
      <c r="G2037" s="4" t="s">
        <v>1991</v>
      </c>
      <c r="H2037" s="4" t="s">
        <v>1992</v>
      </c>
      <c r="I2037" s="4"/>
      <c r="J2037" s="4" t="s">
        <v>2583</v>
      </c>
      <c r="K2037" s="4" t="s">
        <v>101</v>
      </c>
      <c r="L2037" s="4" t="s">
        <v>102</v>
      </c>
      <c r="M2037" s="4" t="s">
        <v>1993</v>
      </c>
      <c r="N2037" s="4" t="s">
        <v>2001</v>
      </c>
      <c r="O2037" s="4" t="s">
        <v>2218</v>
      </c>
      <c r="P2037" s="4" t="s">
        <v>44</v>
      </c>
      <c r="Q2037" s="4" t="s">
        <v>2219</v>
      </c>
      <c r="R2037" s="4" t="s">
        <v>2220</v>
      </c>
      <c r="S2037" s="4"/>
      <c r="T2037" s="4"/>
      <c r="U2037" s="4"/>
      <c r="V2037" s="4"/>
      <c r="W2037" s="4"/>
      <c r="X2037" s="4"/>
      <c r="Y2037" s="4"/>
      <c r="Z2037" s="4"/>
      <c r="AA2037" s="4"/>
      <c r="AB2037" s="4"/>
      <c r="AC2037" s="4"/>
      <c r="AD2037" s="4"/>
      <c r="AE2037" s="4"/>
      <c r="AF2037" s="4"/>
      <c r="AG2037" s="4"/>
      <c r="AH2037" s="4"/>
      <c r="AI2037" s="4"/>
      <c r="AJ2037" s="4"/>
      <c r="AK2037" s="4"/>
      <c r="AL2037" s="4"/>
      <c r="AM2037" s="4" t="s">
        <v>2221</v>
      </c>
    </row>
    <row r="2038" customFormat="false" ht="23.85" hidden="false" customHeight="false" outlineLevel="0" collapsed="false">
      <c r="A2038" s="4" t="s">
        <v>1987</v>
      </c>
      <c r="B2038" s="4" t="s">
        <v>2584</v>
      </c>
      <c r="C2038" s="4" t="s">
        <v>2585</v>
      </c>
      <c r="D2038" s="12" t="n">
        <v>2022</v>
      </c>
      <c r="E2038" s="4"/>
      <c r="F2038" s="4" t="s">
        <v>1990</v>
      </c>
      <c r="G2038" s="4" t="s">
        <v>1991</v>
      </c>
      <c r="H2038" s="4" t="s">
        <v>1992</v>
      </c>
      <c r="I2038" s="4"/>
      <c r="J2038" s="4" t="s">
        <v>2586</v>
      </c>
      <c r="K2038" s="4" t="s">
        <v>103</v>
      </c>
      <c r="L2038" s="4" t="s">
        <v>104</v>
      </c>
      <c r="M2038" s="4" t="s">
        <v>1993</v>
      </c>
      <c r="N2038" s="4" t="s">
        <v>2001</v>
      </c>
      <c r="O2038" s="4" t="s">
        <v>2218</v>
      </c>
      <c r="P2038" s="4" t="s">
        <v>44</v>
      </c>
      <c r="Q2038" s="4" t="s">
        <v>2219</v>
      </c>
      <c r="R2038" s="4" t="s">
        <v>2220</v>
      </c>
      <c r="S2038" s="4"/>
      <c r="T2038" s="4"/>
      <c r="U2038" s="4"/>
      <c r="V2038" s="4"/>
      <c r="W2038" s="4"/>
      <c r="X2038" s="4"/>
      <c r="Y2038" s="4"/>
      <c r="Z2038" s="4"/>
      <c r="AA2038" s="4"/>
      <c r="AB2038" s="4"/>
      <c r="AC2038" s="4"/>
      <c r="AD2038" s="4"/>
      <c r="AE2038" s="4"/>
      <c r="AF2038" s="4"/>
      <c r="AG2038" s="4"/>
      <c r="AH2038" s="4"/>
      <c r="AI2038" s="4"/>
      <c r="AJ2038" s="4"/>
      <c r="AK2038" s="4"/>
      <c r="AL2038" s="4"/>
      <c r="AM2038" s="4" t="s">
        <v>2221</v>
      </c>
    </row>
    <row r="2039" customFormat="false" ht="23.85" hidden="false" customHeight="false" outlineLevel="0" collapsed="false">
      <c r="A2039" s="4" t="s">
        <v>1987</v>
      </c>
      <c r="B2039" s="4" t="s">
        <v>2587</v>
      </c>
      <c r="C2039" s="4" t="s">
        <v>2588</v>
      </c>
      <c r="D2039" s="12" t="n">
        <v>2022</v>
      </c>
      <c r="E2039" s="4"/>
      <c r="F2039" s="4" t="s">
        <v>1990</v>
      </c>
      <c r="G2039" s="4" t="s">
        <v>1991</v>
      </c>
      <c r="H2039" s="4" t="s">
        <v>1992</v>
      </c>
      <c r="I2039" s="4"/>
      <c r="J2039" s="4" t="s">
        <v>2589</v>
      </c>
      <c r="K2039" s="4" t="s">
        <v>105</v>
      </c>
      <c r="L2039" s="4" t="s">
        <v>106</v>
      </c>
      <c r="M2039" s="4" t="s">
        <v>1993</v>
      </c>
      <c r="N2039" s="4" t="s">
        <v>2001</v>
      </c>
      <c r="O2039" s="4" t="s">
        <v>2218</v>
      </c>
      <c r="P2039" s="4" t="s">
        <v>44</v>
      </c>
      <c r="Q2039" s="4" t="s">
        <v>2219</v>
      </c>
      <c r="R2039" s="4" t="s">
        <v>2220</v>
      </c>
      <c r="S2039" s="4"/>
      <c r="T2039" s="4"/>
      <c r="U2039" s="4"/>
      <c r="V2039" s="4"/>
      <c r="W2039" s="4"/>
      <c r="X2039" s="4"/>
      <c r="Y2039" s="4"/>
      <c r="Z2039" s="4"/>
      <c r="AA2039" s="4"/>
      <c r="AB2039" s="4"/>
      <c r="AC2039" s="4"/>
      <c r="AD2039" s="4"/>
      <c r="AE2039" s="4"/>
      <c r="AF2039" s="4"/>
      <c r="AG2039" s="4"/>
      <c r="AH2039" s="4"/>
      <c r="AI2039" s="4"/>
      <c r="AJ2039" s="4"/>
      <c r="AK2039" s="4"/>
      <c r="AL2039" s="4"/>
      <c r="AM2039" s="4" t="s">
        <v>2221</v>
      </c>
    </row>
    <row r="2040" customFormat="false" ht="23.85" hidden="false" customHeight="false" outlineLevel="0" collapsed="false">
      <c r="A2040" s="4" t="s">
        <v>1987</v>
      </c>
      <c r="B2040" s="4" t="s">
        <v>2590</v>
      </c>
      <c r="C2040" s="4" t="s">
        <v>2591</v>
      </c>
      <c r="D2040" s="12" t="n">
        <v>2022</v>
      </c>
      <c r="E2040" s="4"/>
      <c r="F2040" s="4" t="s">
        <v>1990</v>
      </c>
      <c r="G2040" s="4" t="s">
        <v>1991</v>
      </c>
      <c r="H2040" s="4" t="s">
        <v>1992</v>
      </c>
      <c r="I2040" s="4"/>
      <c r="J2040" s="4" t="s">
        <v>2592</v>
      </c>
      <c r="K2040" s="4" t="s">
        <v>107</v>
      </c>
      <c r="L2040" s="4" t="s">
        <v>108</v>
      </c>
      <c r="M2040" s="4" t="s">
        <v>1993</v>
      </c>
      <c r="N2040" s="4" t="s">
        <v>2001</v>
      </c>
      <c r="O2040" s="4" t="s">
        <v>2218</v>
      </c>
      <c r="P2040" s="4" t="s">
        <v>44</v>
      </c>
      <c r="Q2040" s="4" t="s">
        <v>2219</v>
      </c>
      <c r="R2040" s="4" t="s">
        <v>2220</v>
      </c>
      <c r="S2040" s="4"/>
      <c r="T2040" s="4"/>
      <c r="U2040" s="4"/>
      <c r="V2040" s="4"/>
      <c r="W2040" s="4"/>
      <c r="X2040" s="4"/>
      <c r="Y2040" s="4"/>
      <c r="Z2040" s="4"/>
      <c r="AA2040" s="4"/>
      <c r="AB2040" s="4"/>
      <c r="AC2040" s="4"/>
      <c r="AD2040" s="4"/>
      <c r="AE2040" s="4"/>
      <c r="AF2040" s="4"/>
      <c r="AG2040" s="4"/>
      <c r="AH2040" s="4"/>
      <c r="AI2040" s="4"/>
      <c r="AJ2040" s="4"/>
      <c r="AK2040" s="4"/>
      <c r="AL2040" s="4"/>
      <c r="AM2040" s="4" t="s">
        <v>2221</v>
      </c>
    </row>
    <row r="2041" customFormat="false" ht="35.05" hidden="false" customHeight="false" outlineLevel="0" collapsed="false">
      <c r="A2041" s="4" t="s">
        <v>1987</v>
      </c>
      <c r="B2041" s="4" t="s">
        <v>2593</v>
      </c>
      <c r="C2041" s="4" t="s">
        <v>2594</v>
      </c>
      <c r="D2041" s="12" t="n">
        <v>2022</v>
      </c>
      <c r="E2041" s="4"/>
      <c r="F2041" s="4" t="s">
        <v>1990</v>
      </c>
      <c r="G2041" s="4" t="s">
        <v>1991</v>
      </c>
      <c r="H2041" s="4" t="s">
        <v>1992</v>
      </c>
      <c r="I2041" s="4"/>
      <c r="J2041" s="4" t="s">
        <v>2595</v>
      </c>
      <c r="K2041" s="4" t="s">
        <v>111</v>
      </c>
      <c r="L2041" s="4" t="s">
        <v>112</v>
      </c>
      <c r="M2041" s="4" t="s">
        <v>1993</v>
      </c>
      <c r="N2041" s="4" t="s">
        <v>2001</v>
      </c>
      <c r="O2041" s="4" t="s">
        <v>2002</v>
      </c>
      <c r="P2041" s="4" t="s">
        <v>41</v>
      </c>
      <c r="Q2041" s="4" t="s">
        <v>2228</v>
      </c>
      <c r="R2041" s="4" t="s">
        <v>1997</v>
      </c>
      <c r="S2041" s="4"/>
      <c r="T2041" s="4"/>
      <c r="U2041" s="4"/>
      <c r="V2041" s="4"/>
      <c r="W2041" s="4"/>
      <c r="X2041" s="4"/>
      <c r="Y2041" s="4"/>
      <c r="Z2041" s="4"/>
      <c r="AA2041" s="4"/>
      <c r="AB2041" s="4"/>
      <c r="AC2041" s="4"/>
      <c r="AD2041" s="4"/>
      <c r="AE2041" s="4"/>
      <c r="AF2041" s="4"/>
      <c r="AG2041" s="4"/>
      <c r="AH2041" s="4"/>
      <c r="AI2041" s="4"/>
      <c r="AJ2041" s="4"/>
      <c r="AK2041" s="4"/>
      <c r="AL2041" s="4"/>
      <c r="AM2041" s="4" t="s">
        <v>2229</v>
      </c>
    </row>
    <row r="2042" customFormat="false" ht="23.85" hidden="false" customHeight="false" outlineLevel="0" collapsed="false">
      <c r="A2042" s="4" t="s">
        <v>1987</v>
      </c>
      <c r="B2042" s="4" t="s">
        <v>2596</v>
      </c>
      <c r="C2042" s="4" t="s">
        <v>2597</v>
      </c>
      <c r="D2042" s="12" t="n">
        <v>2022</v>
      </c>
      <c r="E2042" s="4"/>
      <c r="F2042" s="4" t="s">
        <v>1990</v>
      </c>
      <c r="G2042" s="4" t="s">
        <v>1991</v>
      </c>
      <c r="H2042" s="4" t="s">
        <v>1992</v>
      </c>
      <c r="I2042" s="4"/>
      <c r="J2042" s="4" t="s">
        <v>2598</v>
      </c>
      <c r="K2042" s="4" t="s">
        <v>86</v>
      </c>
      <c r="L2042" s="4" t="s">
        <v>87</v>
      </c>
      <c r="M2042" s="4" t="s">
        <v>1993</v>
      </c>
      <c r="N2042" s="4" t="s">
        <v>2001</v>
      </c>
      <c r="O2042" s="4" t="s">
        <v>2218</v>
      </c>
      <c r="P2042" s="4" t="s">
        <v>44</v>
      </c>
      <c r="Q2042" s="4" t="s">
        <v>2219</v>
      </c>
      <c r="R2042" s="4" t="s">
        <v>2220</v>
      </c>
      <c r="S2042" s="4"/>
      <c r="T2042" s="4"/>
      <c r="U2042" s="4"/>
      <c r="V2042" s="4"/>
      <c r="W2042" s="4"/>
      <c r="X2042" s="4"/>
      <c r="Y2042" s="4"/>
      <c r="Z2042" s="4"/>
      <c r="AA2042" s="4"/>
      <c r="AB2042" s="4"/>
      <c r="AC2042" s="4"/>
      <c r="AD2042" s="4"/>
      <c r="AE2042" s="4"/>
      <c r="AF2042" s="4"/>
      <c r="AG2042" s="4"/>
      <c r="AH2042" s="4"/>
      <c r="AI2042" s="4"/>
      <c r="AJ2042" s="4"/>
      <c r="AK2042" s="4"/>
      <c r="AL2042" s="4"/>
      <c r="AM2042" s="4" t="s">
        <v>2221</v>
      </c>
    </row>
    <row r="2043" customFormat="false" ht="23.85" hidden="false" customHeight="false" outlineLevel="0" collapsed="false">
      <c r="A2043" s="4" t="s">
        <v>1987</v>
      </c>
      <c r="B2043" s="4" t="s">
        <v>2599</v>
      </c>
      <c r="C2043" s="4" t="s">
        <v>2600</v>
      </c>
      <c r="D2043" s="12" t="n">
        <v>2021</v>
      </c>
      <c r="E2043" s="4"/>
      <c r="F2043" s="4" t="s">
        <v>1990</v>
      </c>
      <c r="G2043" s="4" t="s">
        <v>1991</v>
      </c>
      <c r="H2043" s="4" t="s">
        <v>1992</v>
      </c>
      <c r="I2043" s="4"/>
      <c r="J2043" s="4" t="s">
        <v>907</v>
      </c>
      <c r="K2043" s="4" t="s">
        <v>91</v>
      </c>
      <c r="L2043" s="4" t="s">
        <v>92</v>
      </c>
      <c r="M2043" s="4" t="s">
        <v>1993</v>
      </c>
      <c r="N2043" s="4" t="s">
        <v>1994</v>
      </c>
      <c r="O2043" s="4" t="s">
        <v>1995</v>
      </c>
      <c r="P2043" s="4" t="s">
        <v>68</v>
      </c>
      <c r="Q2043" s="4" t="s">
        <v>1996</v>
      </c>
      <c r="R2043" s="4" t="s">
        <v>1997</v>
      </c>
      <c r="S2043" s="4"/>
      <c r="T2043" s="4"/>
      <c r="U2043" s="4"/>
      <c r="V2043" s="4"/>
      <c r="W2043" s="4"/>
      <c r="X2043" s="4"/>
      <c r="Y2043" s="4"/>
      <c r="Z2043" s="4"/>
      <c r="AA2043" s="4"/>
      <c r="AB2043" s="4"/>
      <c r="AC2043" s="4"/>
      <c r="AD2043" s="4"/>
      <c r="AE2043" s="4"/>
      <c r="AF2043" s="4"/>
      <c r="AG2043" s="4"/>
      <c r="AH2043" s="4"/>
      <c r="AI2043" s="4"/>
      <c r="AJ2043" s="4"/>
      <c r="AK2043" s="4"/>
      <c r="AL2043" s="4"/>
      <c r="AM2043" s="4" t="s">
        <v>1998</v>
      </c>
    </row>
    <row r="2044" customFormat="false" ht="23.85" hidden="false" customHeight="false" outlineLevel="0" collapsed="false">
      <c r="A2044" s="4" t="s">
        <v>1987</v>
      </c>
      <c r="B2044" s="4" t="s">
        <v>2601</v>
      </c>
      <c r="C2044" s="4" t="s">
        <v>2602</v>
      </c>
      <c r="D2044" s="12" t="n">
        <v>2021</v>
      </c>
      <c r="E2044" s="4"/>
      <c r="F2044" s="4" t="s">
        <v>1990</v>
      </c>
      <c r="G2044" s="4" t="s">
        <v>1991</v>
      </c>
      <c r="H2044" s="4" t="s">
        <v>1992</v>
      </c>
      <c r="I2044" s="4"/>
      <c r="J2044" s="4" t="s">
        <v>912</v>
      </c>
      <c r="K2044" s="4" t="s">
        <v>91</v>
      </c>
      <c r="L2044" s="4" t="s">
        <v>92</v>
      </c>
      <c r="M2044" s="4" t="s">
        <v>1993</v>
      </c>
      <c r="N2044" s="4" t="s">
        <v>2001</v>
      </c>
      <c r="O2044" s="4" t="s">
        <v>2002</v>
      </c>
      <c r="P2044" s="4" t="s">
        <v>67</v>
      </c>
      <c r="Q2044" s="4" t="s">
        <v>2003</v>
      </c>
      <c r="R2044" s="4" t="s">
        <v>2004</v>
      </c>
      <c r="S2044" s="4"/>
      <c r="T2044" s="4"/>
      <c r="U2044" s="4"/>
      <c r="V2044" s="4"/>
      <c r="W2044" s="4"/>
      <c r="X2044" s="4"/>
      <c r="Y2044" s="4"/>
      <c r="Z2044" s="4"/>
      <c r="AA2044" s="4"/>
      <c r="AB2044" s="4"/>
      <c r="AC2044" s="4"/>
      <c r="AD2044" s="4"/>
      <c r="AE2044" s="4"/>
      <c r="AF2044" s="4"/>
      <c r="AG2044" s="4"/>
      <c r="AH2044" s="4"/>
      <c r="AI2044" s="4"/>
      <c r="AJ2044" s="4"/>
      <c r="AK2044" s="4"/>
      <c r="AL2044" s="4"/>
      <c r="AM2044" s="4" t="s">
        <v>2005</v>
      </c>
    </row>
    <row r="2045" customFormat="false" ht="23.85" hidden="false" customHeight="false" outlineLevel="0" collapsed="false">
      <c r="A2045" s="4" t="s">
        <v>1987</v>
      </c>
      <c r="B2045" s="4" t="s">
        <v>2603</v>
      </c>
      <c r="C2045" s="4" t="s">
        <v>2604</v>
      </c>
      <c r="D2045" s="12" t="n">
        <v>2021</v>
      </c>
      <c r="E2045" s="4"/>
      <c r="F2045" s="4" t="s">
        <v>1990</v>
      </c>
      <c r="G2045" s="4" t="s">
        <v>1991</v>
      </c>
      <c r="H2045" s="4" t="s">
        <v>1992</v>
      </c>
      <c r="I2045" s="4"/>
      <c r="J2045" s="4" t="s">
        <v>913</v>
      </c>
      <c r="K2045" s="4" t="s">
        <v>91</v>
      </c>
      <c r="L2045" s="4" t="s">
        <v>92</v>
      </c>
      <c r="M2045" s="4" t="s">
        <v>1993</v>
      </c>
      <c r="N2045" s="4" t="s">
        <v>2001</v>
      </c>
      <c r="O2045" s="4" t="s">
        <v>2002</v>
      </c>
      <c r="P2045" s="4" t="s">
        <v>67</v>
      </c>
      <c r="Q2045" s="4" t="s">
        <v>2008</v>
      </c>
      <c r="R2045" s="4" t="s">
        <v>2004</v>
      </c>
      <c r="S2045" s="4"/>
      <c r="T2045" s="4"/>
      <c r="U2045" s="4"/>
      <c r="V2045" s="4"/>
      <c r="W2045" s="4"/>
      <c r="X2045" s="4"/>
      <c r="Y2045" s="4"/>
      <c r="Z2045" s="4"/>
      <c r="AA2045" s="4"/>
      <c r="AB2045" s="4"/>
      <c r="AC2045" s="4"/>
      <c r="AD2045" s="4"/>
      <c r="AE2045" s="4"/>
      <c r="AF2045" s="4"/>
      <c r="AG2045" s="4"/>
      <c r="AH2045" s="4"/>
      <c r="AI2045" s="4"/>
      <c r="AJ2045" s="4"/>
      <c r="AK2045" s="4"/>
      <c r="AL2045" s="4"/>
      <c r="AM2045" s="4" t="s">
        <v>2009</v>
      </c>
    </row>
    <row r="2046" customFormat="false" ht="23.85" hidden="false" customHeight="false" outlineLevel="0" collapsed="false">
      <c r="A2046" s="4" t="s">
        <v>1987</v>
      </c>
      <c r="B2046" s="4" t="s">
        <v>2605</v>
      </c>
      <c r="C2046" s="4" t="s">
        <v>2606</v>
      </c>
      <c r="D2046" s="12" t="n">
        <v>2021</v>
      </c>
      <c r="E2046" s="4"/>
      <c r="F2046" s="4" t="s">
        <v>1990</v>
      </c>
      <c r="G2046" s="4" t="s">
        <v>1991</v>
      </c>
      <c r="H2046" s="4" t="s">
        <v>1992</v>
      </c>
      <c r="I2046" s="4"/>
      <c r="J2046" s="4" t="s">
        <v>921</v>
      </c>
      <c r="K2046" s="4" t="s">
        <v>93</v>
      </c>
      <c r="L2046" s="4" t="s">
        <v>94</v>
      </c>
      <c r="M2046" s="4" t="s">
        <v>1993</v>
      </c>
      <c r="N2046" s="4" t="s">
        <v>1994</v>
      </c>
      <c r="O2046" s="4" t="s">
        <v>1995</v>
      </c>
      <c r="P2046" s="4" t="s">
        <v>67</v>
      </c>
      <c r="Q2046" s="4" t="s">
        <v>2012</v>
      </c>
      <c r="R2046" s="4" t="s">
        <v>1997</v>
      </c>
      <c r="S2046" s="4"/>
      <c r="T2046" s="4"/>
      <c r="U2046" s="4"/>
      <c r="V2046" s="4"/>
      <c r="W2046" s="4"/>
      <c r="X2046" s="4"/>
      <c r="Y2046" s="4"/>
      <c r="Z2046" s="4"/>
      <c r="AA2046" s="4"/>
      <c r="AB2046" s="4"/>
      <c r="AC2046" s="4"/>
      <c r="AD2046" s="4"/>
      <c r="AE2046" s="4"/>
      <c r="AF2046" s="4"/>
      <c r="AG2046" s="4"/>
      <c r="AH2046" s="4"/>
      <c r="AI2046" s="4"/>
      <c r="AJ2046" s="4"/>
      <c r="AK2046" s="4"/>
      <c r="AL2046" s="4"/>
      <c r="AM2046" s="4" t="s">
        <v>2013</v>
      </c>
    </row>
    <row r="2047" customFormat="false" ht="23.85" hidden="false" customHeight="false" outlineLevel="0" collapsed="false">
      <c r="A2047" s="4" t="s">
        <v>1987</v>
      </c>
      <c r="B2047" s="4" t="s">
        <v>2607</v>
      </c>
      <c r="C2047" s="4" t="s">
        <v>2608</v>
      </c>
      <c r="D2047" s="12" t="n">
        <v>2021</v>
      </c>
      <c r="E2047" s="4"/>
      <c r="F2047" s="4" t="s">
        <v>1990</v>
      </c>
      <c r="G2047" s="4" t="s">
        <v>1991</v>
      </c>
      <c r="H2047" s="4" t="s">
        <v>1992</v>
      </c>
      <c r="I2047" s="4"/>
      <c r="J2047" s="4" t="s">
        <v>926</v>
      </c>
      <c r="K2047" s="4" t="s">
        <v>93</v>
      </c>
      <c r="L2047" s="4" t="s">
        <v>94</v>
      </c>
      <c r="M2047" s="4" t="s">
        <v>1993</v>
      </c>
      <c r="N2047" s="4" t="s">
        <v>2001</v>
      </c>
      <c r="O2047" s="4" t="s">
        <v>2002</v>
      </c>
      <c r="P2047" s="4" t="s">
        <v>67</v>
      </c>
      <c r="Q2047" s="4" t="s">
        <v>2003</v>
      </c>
      <c r="R2047" s="4" t="s">
        <v>2004</v>
      </c>
      <c r="S2047" s="4"/>
      <c r="T2047" s="4"/>
      <c r="U2047" s="4"/>
      <c r="V2047" s="4"/>
      <c r="W2047" s="4"/>
      <c r="X2047" s="4"/>
      <c r="Y2047" s="4"/>
      <c r="Z2047" s="4"/>
      <c r="AA2047" s="4"/>
      <c r="AB2047" s="4"/>
      <c r="AC2047" s="4"/>
      <c r="AD2047" s="4"/>
      <c r="AE2047" s="4"/>
      <c r="AF2047" s="4"/>
      <c r="AG2047" s="4"/>
      <c r="AH2047" s="4"/>
      <c r="AI2047" s="4"/>
      <c r="AJ2047" s="4"/>
      <c r="AK2047" s="4"/>
      <c r="AL2047" s="4"/>
      <c r="AM2047" s="4" t="s">
        <v>2005</v>
      </c>
    </row>
    <row r="2048" customFormat="false" ht="23.85" hidden="false" customHeight="false" outlineLevel="0" collapsed="false">
      <c r="A2048" s="4" t="s">
        <v>1987</v>
      </c>
      <c r="B2048" s="4" t="s">
        <v>2609</v>
      </c>
      <c r="C2048" s="4" t="s">
        <v>2610</v>
      </c>
      <c r="D2048" s="12" t="n">
        <v>2021</v>
      </c>
      <c r="E2048" s="4"/>
      <c r="F2048" s="4" t="s">
        <v>1990</v>
      </c>
      <c r="G2048" s="4" t="s">
        <v>1991</v>
      </c>
      <c r="H2048" s="4" t="s">
        <v>1992</v>
      </c>
      <c r="I2048" s="4"/>
      <c r="J2048" s="4" t="s">
        <v>935</v>
      </c>
      <c r="K2048" s="4" t="s">
        <v>76</v>
      </c>
      <c r="L2048" s="4" t="s">
        <v>77</v>
      </c>
      <c r="M2048" s="4" t="s">
        <v>2018</v>
      </c>
      <c r="N2048" s="4" t="s">
        <v>1994</v>
      </c>
      <c r="O2048" s="4" t="s">
        <v>65</v>
      </c>
      <c r="P2048" s="4" t="s">
        <v>64</v>
      </c>
      <c r="Q2048" s="4" t="s">
        <v>2019</v>
      </c>
      <c r="R2048" s="4" t="s">
        <v>1997</v>
      </c>
      <c r="S2048" s="4"/>
      <c r="T2048" s="4"/>
      <c r="U2048" s="4"/>
      <c r="V2048" s="4"/>
      <c r="W2048" s="4"/>
      <c r="X2048" s="4"/>
      <c r="Y2048" s="4"/>
      <c r="Z2048" s="4"/>
      <c r="AA2048" s="4"/>
      <c r="AB2048" s="4"/>
      <c r="AC2048" s="4"/>
      <c r="AD2048" s="4"/>
      <c r="AE2048" s="4"/>
      <c r="AF2048" s="4"/>
      <c r="AG2048" s="4"/>
      <c r="AH2048" s="4"/>
      <c r="AI2048" s="4"/>
      <c r="AJ2048" s="4"/>
      <c r="AK2048" s="4"/>
      <c r="AL2048" s="4"/>
      <c r="AM2048" s="4" t="s">
        <v>2020</v>
      </c>
    </row>
    <row r="2049" customFormat="false" ht="15" hidden="false" customHeight="false" outlineLevel="0" collapsed="false">
      <c r="A2049" s="4" t="s">
        <v>1987</v>
      </c>
      <c r="B2049" s="4" t="s">
        <v>2611</v>
      </c>
      <c r="C2049" s="4" t="s">
        <v>2612</v>
      </c>
      <c r="D2049" s="12" t="n">
        <v>2021</v>
      </c>
      <c r="E2049" s="4"/>
      <c r="F2049" s="4" t="s">
        <v>1990</v>
      </c>
      <c r="G2049" s="4" t="s">
        <v>1991</v>
      </c>
      <c r="H2049" s="4" t="s">
        <v>1992</v>
      </c>
      <c r="I2049" s="4"/>
      <c r="J2049" s="4" t="s">
        <v>935</v>
      </c>
      <c r="K2049" s="4" t="s">
        <v>76</v>
      </c>
      <c r="L2049" s="4" t="s">
        <v>77</v>
      </c>
      <c r="M2049" s="4" t="s">
        <v>2018</v>
      </c>
      <c r="N2049" s="4" t="s">
        <v>2001</v>
      </c>
      <c r="O2049" s="4" t="s">
        <v>66</v>
      </c>
      <c r="P2049" s="4" t="s">
        <v>66</v>
      </c>
      <c r="Q2049" s="4" t="s">
        <v>2019</v>
      </c>
      <c r="R2049" s="4" t="s">
        <v>1997</v>
      </c>
      <c r="S2049" s="4"/>
      <c r="T2049" s="4"/>
      <c r="U2049" s="4"/>
      <c r="V2049" s="4"/>
      <c r="W2049" s="4"/>
      <c r="X2049" s="4"/>
      <c r="Y2049" s="4"/>
      <c r="Z2049" s="4"/>
      <c r="AA2049" s="4"/>
      <c r="AB2049" s="4"/>
      <c r="AC2049" s="4"/>
      <c r="AD2049" s="4"/>
      <c r="AE2049" s="4"/>
      <c r="AF2049" s="4"/>
      <c r="AG2049" s="4"/>
      <c r="AH2049" s="4"/>
      <c r="AI2049" s="4"/>
      <c r="AJ2049" s="4"/>
      <c r="AK2049" s="4"/>
      <c r="AL2049" s="4"/>
      <c r="AM2049" s="4" t="s">
        <v>2023</v>
      </c>
    </row>
    <row r="2050" customFormat="false" ht="15" hidden="false" customHeight="false" outlineLevel="0" collapsed="false">
      <c r="A2050" s="4" t="s">
        <v>1987</v>
      </c>
      <c r="B2050" s="4" t="s">
        <v>2613</v>
      </c>
      <c r="C2050" s="4" t="s">
        <v>2614</v>
      </c>
      <c r="D2050" s="12" t="n">
        <v>2021</v>
      </c>
      <c r="E2050" s="4"/>
      <c r="F2050" s="4" t="s">
        <v>1990</v>
      </c>
      <c r="G2050" s="4" t="s">
        <v>1991</v>
      </c>
      <c r="H2050" s="4" t="s">
        <v>1992</v>
      </c>
      <c r="I2050" s="4"/>
      <c r="J2050" s="4" t="s">
        <v>935</v>
      </c>
      <c r="K2050" s="4" t="s">
        <v>76</v>
      </c>
      <c r="L2050" s="4" t="s">
        <v>77</v>
      </c>
      <c r="M2050" s="4" t="s">
        <v>1993</v>
      </c>
      <c r="N2050" s="4" t="s">
        <v>1994</v>
      </c>
      <c r="O2050" s="4" t="s">
        <v>1995</v>
      </c>
      <c r="P2050" s="4" t="s">
        <v>66</v>
      </c>
      <c r="Q2050" s="4" t="s">
        <v>2019</v>
      </c>
      <c r="R2050" s="4" t="s">
        <v>1997</v>
      </c>
      <c r="S2050" s="4"/>
      <c r="T2050" s="4"/>
      <c r="U2050" s="4"/>
      <c r="V2050" s="4"/>
      <c r="W2050" s="4"/>
      <c r="X2050" s="4"/>
      <c r="Y2050" s="4"/>
      <c r="Z2050" s="4"/>
      <c r="AA2050" s="4"/>
      <c r="AB2050" s="4"/>
      <c r="AC2050" s="4"/>
      <c r="AD2050" s="4"/>
      <c r="AE2050" s="4"/>
      <c r="AF2050" s="4"/>
      <c r="AG2050" s="4"/>
      <c r="AH2050" s="4"/>
      <c r="AI2050" s="4"/>
      <c r="AJ2050" s="4"/>
      <c r="AK2050" s="4"/>
      <c r="AL2050" s="4"/>
      <c r="AM2050" s="4" t="s">
        <v>2026</v>
      </c>
    </row>
    <row r="2051" customFormat="false" ht="23.85" hidden="false" customHeight="false" outlineLevel="0" collapsed="false">
      <c r="A2051" s="4" t="s">
        <v>1987</v>
      </c>
      <c r="B2051" s="4" t="s">
        <v>2615</v>
      </c>
      <c r="C2051" s="4" t="s">
        <v>2616</v>
      </c>
      <c r="D2051" s="12" t="n">
        <v>2021</v>
      </c>
      <c r="E2051" s="4"/>
      <c r="F2051" s="4" t="s">
        <v>1990</v>
      </c>
      <c r="G2051" s="4" t="s">
        <v>1991</v>
      </c>
      <c r="H2051" s="4" t="s">
        <v>1992</v>
      </c>
      <c r="I2051" s="4"/>
      <c r="J2051" s="4" t="s">
        <v>936</v>
      </c>
      <c r="K2051" s="4" t="s">
        <v>76</v>
      </c>
      <c r="L2051" s="4" t="s">
        <v>77</v>
      </c>
      <c r="M2051" s="4" t="s">
        <v>1993</v>
      </c>
      <c r="N2051" s="4" t="s">
        <v>1994</v>
      </c>
      <c r="O2051" s="4" t="s">
        <v>2029</v>
      </c>
      <c r="P2051" s="4" t="s">
        <v>69</v>
      </c>
      <c r="Q2051" s="4" t="s">
        <v>2030</v>
      </c>
      <c r="R2051" s="4" t="s">
        <v>1997</v>
      </c>
      <c r="S2051" s="4"/>
      <c r="T2051" s="4"/>
      <c r="U2051" s="4"/>
      <c r="V2051" s="4"/>
      <c r="W2051" s="4"/>
      <c r="X2051" s="4"/>
      <c r="Y2051" s="4"/>
      <c r="Z2051" s="4"/>
      <c r="AA2051" s="4"/>
      <c r="AB2051" s="4"/>
      <c r="AC2051" s="4"/>
      <c r="AD2051" s="4"/>
      <c r="AE2051" s="4"/>
      <c r="AF2051" s="4"/>
      <c r="AG2051" s="4"/>
      <c r="AH2051" s="4"/>
      <c r="AI2051" s="4"/>
      <c r="AJ2051" s="4"/>
      <c r="AK2051" s="4"/>
      <c r="AL2051" s="4"/>
      <c r="AM2051" s="4" t="s">
        <v>2031</v>
      </c>
    </row>
    <row r="2052" customFormat="false" ht="23.85" hidden="false" customHeight="false" outlineLevel="0" collapsed="false">
      <c r="A2052" s="4" t="s">
        <v>1987</v>
      </c>
      <c r="B2052" s="4" t="s">
        <v>2617</v>
      </c>
      <c r="C2052" s="4" t="s">
        <v>2618</v>
      </c>
      <c r="D2052" s="12" t="n">
        <v>2021</v>
      </c>
      <c r="E2052" s="4"/>
      <c r="F2052" s="4" t="s">
        <v>1990</v>
      </c>
      <c r="G2052" s="4" t="s">
        <v>1991</v>
      </c>
      <c r="H2052" s="4" t="s">
        <v>1992</v>
      </c>
      <c r="I2052" s="4"/>
      <c r="J2052" s="4" t="s">
        <v>938</v>
      </c>
      <c r="K2052" s="4" t="s">
        <v>76</v>
      </c>
      <c r="L2052" s="4" t="s">
        <v>77</v>
      </c>
      <c r="M2052" s="4" t="s">
        <v>1993</v>
      </c>
      <c r="N2052" s="4" t="s">
        <v>2001</v>
      </c>
      <c r="O2052" s="4" t="s">
        <v>2034</v>
      </c>
      <c r="P2052" s="4" t="s">
        <v>74</v>
      </c>
      <c r="Q2052" s="4" t="s">
        <v>2035</v>
      </c>
      <c r="R2052" s="4" t="s">
        <v>2036</v>
      </c>
      <c r="S2052" s="4"/>
      <c r="T2052" s="4"/>
      <c r="U2052" s="4"/>
      <c r="V2052" s="4"/>
      <c r="W2052" s="4"/>
      <c r="X2052" s="4"/>
      <c r="Y2052" s="4"/>
      <c r="Z2052" s="4"/>
      <c r="AA2052" s="4"/>
      <c r="AB2052" s="4"/>
      <c r="AC2052" s="4"/>
      <c r="AD2052" s="4"/>
      <c r="AE2052" s="4"/>
      <c r="AF2052" s="4"/>
      <c r="AG2052" s="4"/>
      <c r="AH2052" s="4"/>
      <c r="AI2052" s="4"/>
      <c r="AJ2052" s="4"/>
      <c r="AK2052" s="4"/>
      <c r="AL2052" s="4"/>
      <c r="AM2052" s="4" t="s">
        <v>2037</v>
      </c>
    </row>
    <row r="2053" customFormat="false" ht="23.85" hidden="false" customHeight="false" outlineLevel="0" collapsed="false">
      <c r="A2053" s="4" t="s">
        <v>1987</v>
      </c>
      <c r="B2053" s="4" t="s">
        <v>2619</v>
      </c>
      <c r="C2053" s="4" t="s">
        <v>2620</v>
      </c>
      <c r="D2053" s="12" t="n">
        <v>2021</v>
      </c>
      <c r="E2053" s="4"/>
      <c r="F2053" s="4" t="s">
        <v>1990</v>
      </c>
      <c r="G2053" s="4" t="s">
        <v>1991</v>
      </c>
      <c r="H2053" s="4" t="s">
        <v>1992</v>
      </c>
      <c r="I2053" s="4"/>
      <c r="J2053" s="4" t="s">
        <v>940</v>
      </c>
      <c r="K2053" s="4" t="s">
        <v>76</v>
      </c>
      <c r="L2053" s="4" t="s">
        <v>77</v>
      </c>
      <c r="M2053" s="4" t="s">
        <v>1993</v>
      </c>
      <c r="N2053" s="4" t="s">
        <v>2001</v>
      </c>
      <c r="O2053" s="4" t="s">
        <v>2002</v>
      </c>
      <c r="P2053" s="4" t="s">
        <v>67</v>
      </c>
      <c r="Q2053" s="4" t="s">
        <v>2003</v>
      </c>
      <c r="R2053" s="4" t="s">
        <v>2004</v>
      </c>
      <c r="S2053" s="4"/>
      <c r="T2053" s="4"/>
      <c r="U2053" s="4"/>
      <c r="V2053" s="4"/>
      <c r="W2053" s="4"/>
      <c r="X2053" s="4"/>
      <c r="Y2053" s="4"/>
      <c r="Z2053" s="4"/>
      <c r="AA2053" s="4"/>
      <c r="AB2053" s="4"/>
      <c r="AC2053" s="4"/>
      <c r="AD2053" s="4"/>
      <c r="AE2053" s="4"/>
      <c r="AF2053" s="4"/>
      <c r="AG2053" s="4"/>
      <c r="AH2053" s="4"/>
      <c r="AI2053" s="4"/>
      <c r="AJ2053" s="4"/>
      <c r="AK2053" s="4"/>
      <c r="AL2053" s="4"/>
      <c r="AM2053" s="4" t="s">
        <v>2005</v>
      </c>
    </row>
    <row r="2054" customFormat="false" ht="23.85" hidden="false" customHeight="false" outlineLevel="0" collapsed="false">
      <c r="A2054" s="4" t="s">
        <v>1987</v>
      </c>
      <c r="B2054" s="4" t="s">
        <v>2621</v>
      </c>
      <c r="C2054" s="4" t="s">
        <v>2622</v>
      </c>
      <c r="D2054" s="12" t="n">
        <v>2021</v>
      </c>
      <c r="E2054" s="4"/>
      <c r="F2054" s="4" t="s">
        <v>1990</v>
      </c>
      <c r="G2054" s="4" t="s">
        <v>1991</v>
      </c>
      <c r="H2054" s="4" t="s">
        <v>1992</v>
      </c>
      <c r="I2054" s="4"/>
      <c r="J2054" s="4" t="s">
        <v>941</v>
      </c>
      <c r="K2054" s="4" t="s">
        <v>76</v>
      </c>
      <c r="L2054" s="4" t="s">
        <v>77</v>
      </c>
      <c r="M2054" s="4" t="s">
        <v>1993</v>
      </c>
      <c r="N2054" s="4" t="s">
        <v>2001</v>
      </c>
      <c r="O2054" s="4" t="s">
        <v>2002</v>
      </c>
      <c r="P2054" s="4" t="s">
        <v>67</v>
      </c>
      <c r="Q2054" s="4" t="s">
        <v>2008</v>
      </c>
      <c r="R2054" s="4" t="s">
        <v>2004</v>
      </c>
      <c r="S2054" s="4"/>
      <c r="T2054" s="4"/>
      <c r="U2054" s="4"/>
      <c r="V2054" s="4"/>
      <c r="W2054" s="4"/>
      <c r="X2054" s="4"/>
      <c r="Y2054" s="4"/>
      <c r="Z2054" s="4"/>
      <c r="AA2054" s="4"/>
      <c r="AB2054" s="4"/>
      <c r="AC2054" s="4"/>
      <c r="AD2054" s="4"/>
      <c r="AE2054" s="4"/>
      <c r="AF2054" s="4"/>
      <c r="AG2054" s="4"/>
      <c r="AH2054" s="4"/>
      <c r="AI2054" s="4"/>
      <c r="AJ2054" s="4"/>
      <c r="AK2054" s="4"/>
      <c r="AL2054" s="4"/>
      <c r="AM2054" s="4" t="s">
        <v>2009</v>
      </c>
    </row>
    <row r="2055" customFormat="false" ht="35.05" hidden="false" customHeight="false" outlineLevel="0" collapsed="false">
      <c r="A2055" s="4" t="s">
        <v>1987</v>
      </c>
      <c r="B2055" s="4" t="s">
        <v>2623</v>
      </c>
      <c r="C2055" s="4" t="s">
        <v>2624</v>
      </c>
      <c r="D2055" s="12" t="n">
        <v>2021</v>
      </c>
      <c r="E2055" s="4"/>
      <c r="F2055" s="4" t="s">
        <v>1990</v>
      </c>
      <c r="G2055" s="4" t="s">
        <v>1991</v>
      </c>
      <c r="H2055" s="4" t="s">
        <v>1992</v>
      </c>
      <c r="I2055" s="4"/>
      <c r="J2055" s="4" t="s">
        <v>949</v>
      </c>
      <c r="K2055" s="4" t="s">
        <v>78</v>
      </c>
      <c r="L2055" s="4" t="s">
        <v>79</v>
      </c>
      <c r="M2055" s="4" t="s">
        <v>2018</v>
      </c>
      <c r="N2055" s="4" t="s">
        <v>1994</v>
      </c>
      <c r="O2055" s="4" t="s">
        <v>65</v>
      </c>
      <c r="P2055" s="4" t="s">
        <v>64</v>
      </c>
      <c r="Q2055" s="4" t="s">
        <v>2044</v>
      </c>
      <c r="R2055" s="4" t="s">
        <v>1997</v>
      </c>
      <c r="S2055" s="4"/>
      <c r="T2055" s="4"/>
      <c r="U2055" s="4"/>
      <c r="V2055" s="4"/>
      <c r="W2055" s="4"/>
      <c r="X2055" s="4"/>
      <c r="Y2055" s="4"/>
      <c r="Z2055" s="4"/>
      <c r="AA2055" s="4"/>
      <c r="AB2055" s="4"/>
      <c r="AC2055" s="4"/>
      <c r="AD2055" s="4"/>
      <c r="AE2055" s="4"/>
      <c r="AF2055" s="4"/>
      <c r="AG2055" s="4"/>
      <c r="AH2055" s="4"/>
      <c r="AI2055" s="4"/>
      <c r="AJ2055" s="4"/>
      <c r="AK2055" s="4"/>
      <c r="AL2055" s="4"/>
      <c r="AM2055" s="4" t="s">
        <v>2045</v>
      </c>
    </row>
    <row r="2056" customFormat="false" ht="23.85" hidden="false" customHeight="false" outlineLevel="0" collapsed="false">
      <c r="A2056" s="4" t="s">
        <v>1987</v>
      </c>
      <c r="B2056" s="4" t="s">
        <v>2625</v>
      </c>
      <c r="C2056" s="4" t="s">
        <v>2626</v>
      </c>
      <c r="D2056" s="12" t="n">
        <v>2021</v>
      </c>
      <c r="E2056" s="4"/>
      <c r="F2056" s="4" t="s">
        <v>1990</v>
      </c>
      <c r="G2056" s="4" t="s">
        <v>1991</v>
      </c>
      <c r="H2056" s="4" t="s">
        <v>1992</v>
      </c>
      <c r="I2056" s="4"/>
      <c r="J2056" s="4" t="s">
        <v>954</v>
      </c>
      <c r="K2056" s="4" t="s">
        <v>78</v>
      </c>
      <c r="L2056" s="4" t="s">
        <v>79</v>
      </c>
      <c r="M2056" s="4" t="s">
        <v>2018</v>
      </c>
      <c r="N2056" s="4" t="s">
        <v>2001</v>
      </c>
      <c r="O2056" s="4" t="s">
        <v>66</v>
      </c>
      <c r="P2056" s="4" t="s">
        <v>67</v>
      </c>
      <c r="Q2056" s="4" t="s">
        <v>2003</v>
      </c>
      <c r="R2056" s="4" t="s">
        <v>2004</v>
      </c>
      <c r="S2056" s="4"/>
      <c r="T2056" s="4"/>
      <c r="U2056" s="4"/>
      <c r="V2056" s="4"/>
      <c r="W2056" s="4"/>
      <c r="X2056" s="4"/>
      <c r="Y2056" s="4"/>
      <c r="Z2056" s="4"/>
      <c r="AA2056" s="4"/>
      <c r="AB2056" s="4"/>
      <c r="AC2056" s="4"/>
      <c r="AD2056" s="4"/>
      <c r="AE2056" s="4"/>
      <c r="AF2056" s="4"/>
      <c r="AG2056" s="4"/>
      <c r="AH2056" s="4"/>
      <c r="AI2056" s="4"/>
      <c r="AJ2056" s="4"/>
      <c r="AK2056" s="4"/>
      <c r="AL2056" s="4"/>
      <c r="AM2056" s="4" t="s">
        <v>2048</v>
      </c>
    </row>
    <row r="2057" customFormat="false" ht="35.05" hidden="false" customHeight="false" outlineLevel="0" collapsed="false">
      <c r="A2057" s="4" t="s">
        <v>1987</v>
      </c>
      <c r="B2057" s="4" t="s">
        <v>2627</v>
      </c>
      <c r="C2057" s="4" t="s">
        <v>2628</v>
      </c>
      <c r="D2057" s="12" t="n">
        <v>2021</v>
      </c>
      <c r="E2057" s="4"/>
      <c r="F2057" s="4" t="s">
        <v>1990</v>
      </c>
      <c r="G2057" s="4" t="s">
        <v>1991</v>
      </c>
      <c r="H2057" s="4" t="s">
        <v>1992</v>
      </c>
      <c r="I2057" s="4"/>
      <c r="J2057" s="4" t="s">
        <v>963</v>
      </c>
      <c r="K2057" s="4" t="s">
        <v>80</v>
      </c>
      <c r="L2057" s="4" t="s">
        <v>81</v>
      </c>
      <c r="M2057" s="4" t="s">
        <v>2018</v>
      </c>
      <c r="N2057" s="4" t="s">
        <v>1994</v>
      </c>
      <c r="O2057" s="4" t="s">
        <v>65</v>
      </c>
      <c r="P2057" s="4" t="s">
        <v>64</v>
      </c>
      <c r="Q2057" s="4" t="s">
        <v>2044</v>
      </c>
      <c r="R2057" s="4" t="s">
        <v>1997</v>
      </c>
      <c r="S2057" s="4"/>
      <c r="T2057" s="4"/>
      <c r="U2057" s="4"/>
      <c r="V2057" s="4"/>
      <c r="W2057" s="4"/>
      <c r="X2057" s="4"/>
      <c r="Y2057" s="4"/>
      <c r="Z2057" s="4"/>
      <c r="AA2057" s="4"/>
      <c r="AB2057" s="4"/>
      <c r="AC2057" s="4"/>
      <c r="AD2057" s="4"/>
      <c r="AE2057" s="4"/>
      <c r="AF2057" s="4"/>
      <c r="AG2057" s="4"/>
      <c r="AH2057" s="4"/>
      <c r="AI2057" s="4"/>
      <c r="AJ2057" s="4"/>
      <c r="AK2057" s="4"/>
      <c r="AL2057" s="4"/>
      <c r="AM2057" s="4" t="s">
        <v>2045</v>
      </c>
    </row>
    <row r="2058" customFormat="false" ht="23.85" hidden="false" customHeight="false" outlineLevel="0" collapsed="false">
      <c r="A2058" s="4" t="s">
        <v>1987</v>
      </c>
      <c r="B2058" s="4" t="s">
        <v>2629</v>
      </c>
      <c r="C2058" s="4" t="s">
        <v>2630</v>
      </c>
      <c r="D2058" s="12" t="n">
        <v>2021</v>
      </c>
      <c r="E2058" s="4"/>
      <c r="F2058" s="4" t="s">
        <v>1990</v>
      </c>
      <c r="G2058" s="4" t="s">
        <v>1991</v>
      </c>
      <c r="H2058" s="4" t="s">
        <v>1992</v>
      </c>
      <c r="I2058" s="4"/>
      <c r="J2058" s="4" t="s">
        <v>968</v>
      </c>
      <c r="K2058" s="4" t="s">
        <v>80</v>
      </c>
      <c r="L2058" s="4" t="s">
        <v>81</v>
      </c>
      <c r="M2058" s="4" t="s">
        <v>2018</v>
      </c>
      <c r="N2058" s="4" t="s">
        <v>2001</v>
      </c>
      <c r="O2058" s="4" t="s">
        <v>66</v>
      </c>
      <c r="P2058" s="4" t="s">
        <v>67</v>
      </c>
      <c r="Q2058" s="4" t="s">
        <v>2003</v>
      </c>
      <c r="R2058" s="4" t="s">
        <v>2004</v>
      </c>
      <c r="S2058" s="4"/>
      <c r="T2058" s="4"/>
      <c r="U2058" s="4"/>
      <c r="V2058" s="4"/>
      <c r="W2058" s="4"/>
      <c r="X2058" s="4"/>
      <c r="Y2058" s="4"/>
      <c r="Z2058" s="4"/>
      <c r="AA2058" s="4"/>
      <c r="AB2058" s="4"/>
      <c r="AC2058" s="4"/>
      <c r="AD2058" s="4"/>
      <c r="AE2058" s="4"/>
      <c r="AF2058" s="4"/>
      <c r="AG2058" s="4"/>
      <c r="AH2058" s="4"/>
      <c r="AI2058" s="4"/>
      <c r="AJ2058" s="4"/>
      <c r="AK2058" s="4"/>
      <c r="AL2058" s="4"/>
      <c r="AM2058" s="4" t="s">
        <v>2048</v>
      </c>
    </row>
    <row r="2059" customFormat="false" ht="23.85" hidden="false" customHeight="false" outlineLevel="0" collapsed="false">
      <c r="A2059" s="4" t="s">
        <v>1987</v>
      </c>
      <c r="B2059" s="4" t="s">
        <v>2631</v>
      </c>
      <c r="C2059" s="4" t="s">
        <v>2632</v>
      </c>
      <c r="D2059" s="12" t="n">
        <v>2021</v>
      </c>
      <c r="E2059" s="4"/>
      <c r="F2059" s="4" t="s">
        <v>1990</v>
      </c>
      <c r="G2059" s="4" t="s">
        <v>1991</v>
      </c>
      <c r="H2059" s="4" t="s">
        <v>1992</v>
      </c>
      <c r="I2059" s="4"/>
      <c r="J2059" s="4" t="s">
        <v>977</v>
      </c>
      <c r="K2059" s="4" t="s">
        <v>82</v>
      </c>
      <c r="L2059" s="4" t="s">
        <v>83</v>
      </c>
      <c r="M2059" s="4" t="s">
        <v>2018</v>
      </c>
      <c r="N2059" s="4" t="s">
        <v>1994</v>
      </c>
      <c r="O2059" s="4" t="s">
        <v>65</v>
      </c>
      <c r="P2059" s="4" t="s">
        <v>64</v>
      </c>
      <c r="Q2059" s="4" t="s">
        <v>2019</v>
      </c>
      <c r="R2059" s="4" t="s">
        <v>1997</v>
      </c>
      <c r="S2059" s="4"/>
      <c r="T2059" s="4"/>
      <c r="U2059" s="4"/>
      <c r="V2059" s="4"/>
      <c r="W2059" s="4"/>
      <c r="X2059" s="4"/>
      <c r="Y2059" s="4"/>
      <c r="Z2059" s="4"/>
      <c r="AA2059" s="4"/>
      <c r="AB2059" s="4"/>
      <c r="AC2059" s="4"/>
      <c r="AD2059" s="4"/>
      <c r="AE2059" s="4"/>
      <c r="AF2059" s="4"/>
      <c r="AG2059" s="4"/>
      <c r="AH2059" s="4"/>
      <c r="AI2059" s="4"/>
      <c r="AJ2059" s="4"/>
      <c r="AK2059" s="4"/>
      <c r="AL2059" s="4"/>
      <c r="AM2059" s="4" t="s">
        <v>2020</v>
      </c>
    </row>
    <row r="2060" customFormat="false" ht="15" hidden="false" customHeight="false" outlineLevel="0" collapsed="false">
      <c r="A2060" s="4" t="s">
        <v>1987</v>
      </c>
      <c r="B2060" s="4" t="s">
        <v>2633</v>
      </c>
      <c r="C2060" s="4" t="s">
        <v>2634</v>
      </c>
      <c r="D2060" s="12" t="n">
        <v>2021</v>
      </c>
      <c r="E2060" s="4"/>
      <c r="F2060" s="4" t="s">
        <v>1990</v>
      </c>
      <c r="G2060" s="4" t="s">
        <v>1991</v>
      </c>
      <c r="H2060" s="4" t="s">
        <v>1992</v>
      </c>
      <c r="I2060" s="4"/>
      <c r="J2060" s="4" t="s">
        <v>977</v>
      </c>
      <c r="K2060" s="4" t="s">
        <v>82</v>
      </c>
      <c r="L2060" s="4" t="s">
        <v>83</v>
      </c>
      <c r="M2060" s="4" t="s">
        <v>2018</v>
      </c>
      <c r="N2060" s="4" t="s">
        <v>2001</v>
      </c>
      <c r="O2060" s="4" t="s">
        <v>66</v>
      </c>
      <c r="P2060" s="4" t="s">
        <v>66</v>
      </c>
      <c r="Q2060" s="4" t="s">
        <v>2019</v>
      </c>
      <c r="R2060" s="4" t="s">
        <v>1997</v>
      </c>
      <c r="S2060" s="4"/>
      <c r="T2060" s="4"/>
      <c r="U2060" s="4"/>
      <c r="V2060" s="4"/>
      <c r="W2060" s="4"/>
      <c r="X2060" s="4"/>
      <c r="Y2060" s="4"/>
      <c r="Z2060" s="4"/>
      <c r="AA2060" s="4"/>
      <c r="AB2060" s="4"/>
      <c r="AC2060" s="4"/>
      <c r="AD2060" s="4"/>
      <c r="AE2060" s="4"/>
      <c r="AF2060" s="4"/>
      <c r="AG2060" s="4"/>
      <c r="AH2060" s="4"/>
      <c r="AI2060" s="4"/>
      <c r="AJ2060" s="4"/>
      <c r="AK2060" s="4"/>
      <c r="AL2060" s="4"/>
      <c r="AM2060" s="4" t="s">
        <v>2023</v>
      </c>
    </row>
    <row r="2061" customFormat="false" ht="15" hidden="false" customHeight="false" outlineLevel="0" collapsed="false">
      <c r="A2061" s="4" t="s">
        <v>1987</v>
      </c>
      <c r="B2061" s="4" t="s">
        <v>2635</v>
      </c>
      <c r="C2061" s="4" t="s">
        <v>2636</v>
      </c>
      <c r="D2061" s="12" t="n">
        <v>2021</v>
      </c>
      <c r="E2061" s="4"/>
      <c r="F2061" s="4" t="s">
        <v>1990</v>
      </c>
      <c r="G2061" s="4" t="s">
        <v>1991</v>
      </c>
      <c r="H2061" s="4" t="s">
        <v>1992</v>
      </c>
      <c r="I2061" s="4"/>
      <c r="J2061" s="4" t="s">
        <v>977</v>
      </c>
      <c r="K2061" s="4" t="s">
        <v>82</v>
      </c>
      <c r="L2061" s="4" t="s">
        <v>83</v>
      </c>
      <c r="M2061" s="4" t="s">
        <v>1993</v>
      </c>
      <c r="N2061" s="4" t="s">
        <v>1994</v>
      </c>
      <c r="O2061" s="4" t="s">
        <v>1995</v>
      </c>
      <c r="P2061" s="4" t="s">
        <v>66</v>
      </c>
      <c r="Q2061" s="4" t="s">
        <v>2019</v>
      </c>
      <c r="R2061" s="4" t="s">
        <v>1997</v>
      </c>
      <c r="S2061" s="4"/>
      <c r="T2061" s="4"/>
      <c r="U2061" s="4"/>
      <c r="V2061" s="4"/>
      <c r="W2061" s="4"/>
      <c r="X2061" s="4"/>
      <c r="Y2061" s="4"/>
      <c r="Z2061" s="4"/>
      <c r="AA2061" s="4"/>
      <c r="AB2061" s="4"/>
      <c r="AC2061" s="4"/>
      <c r="AD2061" s="4"/>
      <c r="AE2061" s="4"/>
      <c r="AF2061" s="4"/>
      <c r="AG2061" s="4"/>
      <c r="AH2061" s="4"/>
      <c r="AI2061" s="4"/>
      <c r="AJ2061" s="4"/>
      <c r="AK2061" s="4"/>
      <c r="AL2061" s="4"/>
      <c r="AM2061" s="4" t="s">
        <v>2026</v>
      </c>
    </row>
    <row r="2062" customFormat="false" ht="23.85" hidden="false" customHeight="false" outlineLevel="0" collapsed="false">
      <c r="A2062" s="4" t="s">
        <v>1987</v>
      </c>
      <c r="B2062" s="4" t="s">
        <v>2637</v>
      </c>
      <c r="C2062" s="4" t="s">
        <v>2638</v>
      </c>
      <c r="D2062" s="12" t="n">
        <v>2021</v>
      </c>
      <c r="E2062" s="4"/>
      <c r="F2062" s="4" t="s">
        <v>1990</v>
      </c>
      <c r="G2062" s="4" t="s">
        <v>1991</v>
      </c>
      <c r="H2062" s="4" t="s">
        <v>1992</v>
      </c>
      <c r="I2062" s="4"/>
      <c r="J2062" s="4" t="s">
        <v>982</v>
      </c>
      <c r="K2062" s="4" t="s">
        <v>82</v>
      </c>
      <c r="L2062" s="4" t="s">
        <v>83</v>
      </c>
      <c r="M2062" s="4" t="s">
        <v>1993</v>
      </c>
      <c r="N2062" s="4" t="s">
        <v>2001</v>
      </c>
      <c r="O2062" s="4" t="s">
        <v>2002</v>
      </c>
      <c r="P2062" s="4" t="s">
        <v>67</v>
      </c>
      <c r="Q2062" s="4" t="s">
        <v>2003</v>
      </c>
      <c r="R2062" s="4" t="s">
        <v>2004</v>
      </c>
      <c r="S2062" s="4"/>
      <c r="T2062" s="4"/>
      <c r="U2062" s="4"/>
      <c r="V2062" s="4"/>
      <c r="W2062" s="4"/>
      <c r="X2062" s="4"/>
      <c r="Y2062" s="4"/>
      <c r="Z2062" s="4"/>
      <c r="AA2062" s="4"/>
      <c r="AB2062" s="4"/>
      <c r="AC2062" s="4"/>
      <c r="AD2062" s="4"/>
      <c r="AE2062" s="4"/>
      <c r="AF2062" s="4"/>
      <c r="AG2062" s="4"/>
      <c r="AH2062" s="4"/>
      <c r="AI2062" s="4"/>
      <c r="AJ2062" s="4"/>
      <c r="AK2062" s="4"/>
      <c r="AL2062" s="4"/>
      <c r="AM2062" s="4" t="s">
        <v>2005</v>
      </c>
    </row>
    <row r="2063" customFormat="false" ht="35.05" hidden="false" customHeight="false" outlineLevel="0" collapsed="false">
      <c r="A2063" s="4" t="s">
        <v>1987</v>
      </c>
      <c r="B2063" s="4" t="s">
        <v>2639</v>
      </c>
      <c r="C2063" s="4" t="s">
        <v>2640</v>
      </c>
      <c r="D2063" s="12" t="n">
        <v>2021</v>
      </c>
      <c r="E2063" s="4"/>
      <c r="F2063" s="4" t="s">
        <v>1990</v>
      </c>
      <c r="G2063" s="4" t="s">
        <v>1991</v>
      </c>
      <c r="H2063" s="4" t="s">
        <v>1992</v>
      </c>
      <c r="I2063" s="4"/>
      <c r="J2063" s="4" t="s">
        <v>991</v>
      </c>
      <c r="K2063" s="4" t="s">
        <v>84</v>
      </c>
      <c r="L2063" s="4" t="s">
        <v>85</v>
      </c>
      <c r="M2063" s="4" t="s">
        <v>2018</v>
      </c>
      <c r="N2063" s="4" t="s">
        <v>1994</v>
      </c>
      <c r="O2063" s="4" t="s">
        <v>65</v>
      </c>
      <c r="P2063" s="4" t="s">
        <v>64</v>
      </c>
      <c r="Q2063" s="4" t="s">
        <v>2044</v>
      </c>
      <c r="R2063" s="4" t="s">
        <v>1997</v>
      </c>
      <c r="S2063" s="4"/>
      <c r="T2063" s="4"/>
      <c r="U2063" s="4"/>
      <c r="V2063" s="4"/>
      <c r="W2063" s="4"/>
      <c r="X2063" s="4"/>
      <c r="Y2063" s="4"/>
      <c r="Z2063" s="4"/>
      <c r="AA2063" s="4"/>
      <c r="AB2063" s="4"/>
      <c r="AC2063" s="4"/>
      <c r="AD2063" s="4"/>
      <c r="AE2063" s="4"/>
      <c r="AF2063" s="4"/>
      <c r="AG2063" s="4"/>
      <c r="AH2063" s="4"/>
      <c r="AI2063" s="4"/>
      <c r="AJ2063" s="4"/>
      <c r="AK2063" s="4"/>
      <c r="AL2063" s="4"/>
      <c r="AM2063" s="4" t="s">
        <v>2045</v>
      </c>
    </row>
    <row r="2064" customFormat="false" ht="23.85" hidden="false" customHeight="false" outlineLevel="0" collapsed="false">
      <c r="A2064" s="4" t="s">
        <v>1987</v>
      </c>
      <c r="B2064" s="4" t="s">
        <v>2641</v>
      </c>
      <c r="C2064" s="4" t="s">
        <v>2642</v>
      </c>
      <c r="D2064" s="12" t="n">
        <v>2021</v>
      </c>
      <c r="E2064" s="4"/>
      <c r="F2064" s="4" t="s">
        <v>1990</v>
      </c>
      <c r="G2064" s="4" t="s">
        <v>1991</v>
      </c>
      <c r="H2064" s="4" t="s">
        <v>1992</v>
      </c>
      <c r="I2064" s="4"/>
      <c r="J2064" s="4" t="s">
        <v>996</v>
      </c>
      <c r="K2064" s="4" t="s">
        <v>84</v>
      </c>
      <c r="L2064" s="4" t="s">
        <v>85</v>
      </c>
      <c r="M2064" s="4" t="s">
        <v>2018</v>
      </c>
      <c r="N2064" s="4" t="s">
        <v>2001</v>
      </c>
      <c r="O2064" s="4" t="s">
        <v>66</v>
      </c>
      <c r="P2064" s="4" t="s">
        <v>67</v>
      </c>
      <c r="Q2064" s="4" t="s">
        <v>2003</v>
      </c>
      <c r="R2064" s="4" t="s">
        <v>2004</v>
      </c>
      <c r="S2064" s="4"/>
      <c r="T2064" s="4"/>
      <c r="U2064" s="4"/>
      <c r="V2064" s="4"/>
      <c r="W2064" s="4"/>
      <c r="X2064" s="4"/>
      <c r="Y2064" s="4"/>
      <c r="Z2064" s="4"/>
      <c r="AA2064" s="4"/>
      <c r="AB2064" s="4"/>
      <c r="AC2064" s="4"/>
      <c r="AD2064" s="4"/>
      <c r="AE2064" s="4"/>
      <c r="AF2064" s="4"/>
      <c r="AG2064" s="4"/>
      <c r="AH2064" s="4"/>
      <c r="AI2064" s="4"/>
      <c r="AJ2064" s="4"/>
      <c r="AK2064" s="4"/>
      <c r="AL2064" s="4"/>
      <c r="AM2064" s="4" t="s">
        <v>2048</v>
      </c>
    </row>
    <row r="2065" customFormat="false" ht="23.85" hidden="false" customHeight="false" outlineLevel="0" collapsed="false">
      <c r="A2065" s="4" t="s">
        <v>1987</v>
      </c>
      <c r="B2065" s="4" t="s">
        <v>2643</v>
      </c>
      <c r="C2065" s="4" t="s">
        <v>2644</v>
      </c>
      <c r="D2065" s="12" t="n">
        <v>2021</v>
      </c>
      <c r="E2065" s="4"/>
      <c r="F2065" s="4" t="s">
        <v>1990</v>
      </c>
      <c r="G2065" s="4" t="s">
        <v>1991</v>
      </c>
      <c r="H2065" s="4" t="s">
        <v>1992</v>
      </c>
      <c r="I2065" s="4"/>
      <c r="J2065" s="4" t="s">
        <v>997</v>
      </c>
      <c r="K2065" s="4" t="s">
        <v>84</v>
      </c>
      <c r="L2065" s="4" t="s">
        <v>85</v>
      </c>
      <c r="M2065" s="4" t="s">
        <v>2018</v>
      </c>
      <c r="N2065" s="4" t="s">
        <v>2001</v>
      </c>
      <c r="O2065" s="4" t="s">
        <v>66</v>
      </c>
      <c r="P2065" s="4" t="s">
        <v>67</v>
      </c>
      <c r="Q2065" s="4" t="s">
        <v>2008</v>
      </c>
      <c r="R2065" s="4" t="s">
        <v>2004</v>
      </c>
      <c r="S2065" s="4"/>
      <c r="T2065" s="4"/>
      <c r="U2065" s="4"/>
      <c r="V2065" s="4"/>
      <c r="W2065" s="4"/>
      <c r="X2065" s="4"/>
      <c r="Y2065" s="4"/>
      <c r="Z2065" s="4"/>
      <c r="AA2065" s="4"/>
      <c r="AB2065" s="4"/>
      <c r="AC2065" s="4"/>
      <c r="AD2065" s="4"/>
      <c r="AE2065" s="4"/>
      <c r="AF2065" s="4"/>
      <c r="AG2065" s="4"/>
      <c r="AH2065" s="4"/>
      <c r="AI2065" s="4"/>
      <c r="AJ2065" s="4"/>
      <c r="AK2065" s="4"/>
      <c r="AL2065" s="4"/>
      <c r="AM2065" s="4" t="s">
        <v>2067</v>
      </c>
    </row>
    <row r="2066" customFormat="false" ht="23.85" hidden="false" customHeight="false" outlineLevel="0" collapsed="false">
      <c r="A2066" s="4" t="s">
        <v>1987</v>
      </c>
      <c r="B2066" s="4" t="s">
        <v>2645</v>
      </c>
      <c r="C2066" s="4" t="s">
        <v>2646</v>
      </c>
      <c r="D2066" s="12" t="n">
        <v>2021</v>
      </c>
      <c r="E2066" s="4"/>
      <c r="F2066" s="4" t="s">
        <v>1990</v>
      </c>
      <c r="G2066" s="4" t="s">
        <v>1991</v>
      </c>
      <c r="H2066" s="4" t="s">
        <v>1992</v>
      </c>
      <c r="I2066" s="4"/>
      <c r="J2066" s="4" t="s">
        <v>1005</v>
      </c>
      <c r="K2066" s="4" t="s">
        <v>109</v>
      </c>
      <c r="L2066" s="4" t="s">
        <v>110</v>
      </c>
      <c r="M2066" s="4" t="s">
        <v>1993</v>
      </c>
      <c r="N2066" s="4" t="s">
        <v>1994</v>
      </c>
      <c r="O2066" s="4" t="s">
        <v>1995</v>
      </c>
      <c r="P2066" s="4" t="s">
        <v>65</v>
      </c>
      <c r="Q2066" s="4" t="s">
        <v>2070</v>
      </c>
      <c r="R2066" s="4" t="s">
        <v>1997</v>
      </c>
      <c r="S2066" s="4"/>
      <c r="T2066" s="4"/>
      <c r="U2066" s="4"/>
      <c r="V2066" s="4"/>
      <c r="W2066" s="4"/>
      <c r="X2066" s="4"/>
      <c r="Y2066" s="4"/>
      <c r="Z2066" s="4"/>
      <c r="AA2066" s="4"/>
      <c r="AB2066" s="4"/>
      <c r="AC2066" s="4"/>
      <c r="AD2066" s="4"/>
      <c r="AE2066" s="4"/>
      <c r="AF2066" s="4"/>
      <c r="AG2066" s="4"/>
      <c r="AH2066" s="4"/>
      <c r="AI2066" s="4"/>
      <c r="AJ2066" s="4"/>
      <c r="AK2066" s="4"/>
      <c r="AL2066" s="4"/>
      <c r="AM2066" s="4" t="s">
        <v>2071</v>
      </c>
    </row>
    <row r="2067" customFormat="false" ht="15" hidden="false" customHeight="false" outlineLevel="0" collapsed="false">
      <c r="A2067" s="4" t="s">
        <v>1987</v>
      </c>
      <c r="B2067" s="4" t="s">
        <v>2647</v>
      </c>
      <c r="C2067" s="4" t="s">
        <v>2648</v>
      </c>
      <c r="D2067" s="12" t="n">
        <v>2021</v>
      </c>
      <c r="E2067" s="4"/>
      <c r="F2067" s="4" t="s">
        <v>1990</v>
      </c>
      <c r="G2067" s="4" t="s">
        <v>1991</v>
      </c>
      <c r="H2067" s="4" t="s">
        <v>1992</v>
      </c>
      <c r="I2067" s="4"/>
      <c r="J2067" s="4" t="s">
        <v>1014</v>
      </c>
      <c r="K2067" s="4" t="s">
        <v>109</v>
      </c>
      <c r="L2067" s="4" t="s">
        <v>110</v>
      </c>
      <c r="M2067" s="4" t="s">
        <v>1993</v>
      </c>
      <c r="N2067" s="4" t="s">
        <v>2001</v>
      </c>
      <c r="O2067" s="4" t="s">
        <v>2074</v>
      </c>
      <c r="P2067" s="4" t="s">
        <v>73</v>
      </c>
      <c r="Q2067" s="4" t="s">
        <v>2075</v>
      </c>
      <c r="R2067" s="4" t="s">
        <v>1997</v>
      </c>
      <c r="S2067" s="4"/>
      <c r="T2067" s="4"/>
      <c r="U2067" s="4"/>
      <c r="V2067" s="4"/>
      <c r="W2067" s="4"/>
      <c r="X2067" s="4"/>
      <c r="Y2067" s="4"/>
      <c r="Z2067" s="4"/>
      <c r="AA2067" s="4"/>
      <c r="AB2067" s="4"/>
      <c r="AC2067" s="4"/>
      <c r="AD2067" s="4"/>
      <c r="AE2067" s="4"/>
      <c r="AF2067" s="4"/>
      <c r="AG2067" s="4"/>
      <c r="AH2067" s="4"/>
      <c r="AI2067" s="4"/>
      <c r="AJ2067" s="4"/>
      <c r="AK2067" s="4"/>
      <c r="AL2067" s="4"/>
      <c r="AM2067" s="4" t="s">
        <v>2076</v>
      </c>
    </row>
    <row r="2068" customFormat="false" ht="15" hidden="false" customHeight="false" outlineLevel="0" collapsed="false">
      <c r="A2068" s="4" t="s">
        <v>1987</v>
      </c>
      <c r="B2068" s="4" t="s">
        <v>2649</v>
      </c>
      <c r="C2068" s="4" t="s">
        <v>2650</v>
      </c>
      <c r="D2068" s="12" t="n">
        <v>2021</v>
      </c>
      <c r="E2068" s="4"/>
      <c r="F2068" s="4" t="s">
        <v>1990</v>
      </c>
      <c r="G2068" s="4" t="s">
        <v>1991</v>
      </c>
      <c r="H2068" s="4" t="s">
        <v>1992</v>
      </c>
      <c r="I2068" s="4"/>
      <c r="J2068" s="4" t="s">
        <v>1015</v>
      </c>
      <c r="K2068" s="4" t="s">
        <v>109</v>
      </c>
      <c r="L2068" s="4" t="s">
        <v>110</v>
      </c>
      <c r="M2068" s="4" t="s">
        <v>1993</v>
      </c>
      <c r="N2068" s="4" t="s">
        <v>2001</v>
      </c>
      <c r="O2068" s="4" t="s">
        <v>2002</v>
      </c>
      <c r="P2068" s="4" t="s">
        <v>72</v>
      </c>
      <c r="Q2068" s="4" t="s">
        <v>2079</v>
      </c>
      <c r="R2068" s="4" t="s">
        <v>1997</v>
      </c>
      <c r="S2068" s="4"/>
      <c r="T2068" s="4"/>
      <c r="U2068" s="4"/>
      <c r="V2068" s="4"/>
      <c r="W2068" s="4"/>
      <c r="X2068" s="4"/>
      <c r="Y2068" s="4"/>
      <c r="Z2068" s="4"/>
      <c r="AA2068" s="4"/>
      <c r="AB2068" s="4"/>
      <c r="AC2068" s="4"/>
      <c r="AD2068" s="4"/>
      <c r="AE2068" s="4"/>
      <c r="AF2068" s="4"/>
      <c r="AG2068" s="4"/>
      <c r="AH2068" s="4"/>
      <c r="AI2068" s="4"/>
      <c r="AJ2068" s="4"/>
      <c r="AK2068" s="4"/>
      <c r="AL2068" s="4"/>
      <c r="AM2068" s="4" t="s">
        <v>2080</v>
      </c>
    </row>
    <row r="2069" customFormat="false" ht="23.85" hidden="false" customHeight="false" outlineLevel="0" collapsed="false">
      <c r="A2069" s="4" t="s">
        <v>1987</v>
      </c>
      <c r="B2069" s="4" t="s">
        <v>2651</v>
      </c>
      <c r="C2069" s="4" t="s">
        <v>2652</v>
      </c>
      <c r="D2069" s="12" t="n">
        <v>2021</v>
      </c>
      <c r="E2069" s="4"/>
      <c r="F2069" s="4" t="s">
        <v>1990</v>
      </c>
      <c r="G2069" s="4" t="s">
        <v>1991</v>
      </c>
      <c r="H2069" s="4" t="s">
        <v>1992</v>
      </c>
      <c r="I2069" s="4"/>
      <c r="J2069" s="4" t="s">
        <v>1019</v>
      </c>
      <c r="K2069" s="4" t="s">
        <v>86</v>
      </c>
      <c r="L2069" s="4" t="s">
        <v>87</v>
      </c>
      <c r="M2069" s="4" t="s">
        <v>2018</v>
      </c>
      <c r="N2069" s="4" t="s">
        <v>1994</v>
      </c>
      <c r="O2069" s="4" t="s">
        <v>65</v>
      </c>
      <c r="P2069" s="4" t="s">
        <v>64</v>
      </c>
      <c r="Q2069" s="4" t="s">
        <v>2019</v>
      </c>
      <c r="R2069" s="4" t="s">
        <v>1997</v>
      </c>
      <c r="S2069" s="4"/>
      <c r="T2069" s="4"/>
      <c r="U2069" s="4"/>
      <c r="V2069" s="4"/>
      <c r="W2069" s="4"/>
      <c r="X2069" s="4"/>
      <c r="Y2069" s="4"/>
      <c r="Z2069" s="4"/>
      <c r="AA2069" s="4"/>
      <c r="AB2069" s="4"/>
      <c r="AC2069" s="4"/>
      <c r="AD2069" s="4"/>
      <c r="AE2069" s="4"/>
      <c r="AF2069" s="4"/>
      <c r="AG2069" s="4"/>
      <c r="AH2069" s="4"/>
      <c r="AI2069" s="4"/>
      <c r="AJ2069" s="4"/>
      <c r="AK2069" s="4"/>
      <c r="AL2069" s="4"/>
      <c r="AM2069" s="4" t="s">
        <v>2020</v>
      </c>
    </row>
    <row r="2070" customFormat="false" ht="15" hidden="false" customHeight="false" outlineLevel="0" collapsed="false">
      <c r="A2070" s="4" t="s">
        <v>1987</v>
      </c>
      <c r="B2070" s="4" t="s">
        <v>2653</v>
      </c>
      <c r="C2070" s="4" t="s">
        <v>2654</v>
      </c>
      <c r="D2070" s="12" t="n">
        <v>2021</v>
      </c>
      <c r="E2070" s="4"/>
      <c r="F2070" s="4" t="s">
        <v>1990</v>
      </c>
      <c r="G2070" s="4" t="s">
        <v>1991</v>
      </c>
      <c r="H2070" s="4" t="s">
        <v>1992</v>
      </c>
      <c r="I2070" s="4"/>
      <c r="J2070" s="4" t="s">
        <v>1019</v>
      </c>
      <c r="K2070" s="4" t="s">
        <v>86</v>
      </c>
      <c r="L2070" s="4" t="s">
        <v>87</v>
      </c>
      <c r="M2070" s="4" t="s">
        <v>2018</v>
      </c>
      <c r="N2070" s="4" t="s">
        <v>2001</v>
      </c>
      <c r="O2070" s="4" t="s">
        <v>66</v>
      </c>
      <c r="P2070" s="4" t="s">
        <v>66</v>
      </c>
      <c r="Q2070" s="4" t="s">
        <v>2019</v>
      </c>
      <c r="R2070" s="4" t="s">
        <v>1997</v>
      </c>
      <c r="S2070" s="4"/>
      <c r="T2070" s="4"/>
      <c r="U2070" s="4"/>
      <c r="V2070" s="4"/>
      <c r="W2070" s="4"/>
      <c r="X2070" s="4"/>
      <c r="Y2070" s="4"/>
      <c r="Z2070" s="4"/>
      <c r="AA2070" s="4"/>
      <c r="AB2070" s="4"/>
      <c r="AC2070" s="4"/>
      <c r="AD2070" s="4"/>
      <c r="AE2070" s="4"/>
      <c r="AF2070" s="4"/>
      <c r="AG2070" s="4"/>
      <c r="AH2070" s="4"/>
      <c r="AI2070" s="4"/>
      <c r="AJ2070" s="4"/>
      <c r="AK2070" s="4"/>
      <c r="AL2070" s="4"/>
      <c r="AM2070" s="4" t="s">
        <v>2023</v>
      </c>
    </row>
    <row r="2071" customFormat="false" ht="15" hidden="false" customHeight="false" outlineLevel="0" collapsed="false">
      <c r="A2071" s="4" t="s">
        <v>1987</v>
      </c>
      <c r="B2071" s="4" t="s">
        <v>2655</v>
      </c>
      <c r="C2071" s="4" t="s">
        <v>2656</v>
      </c>
      <c r="D2071" s="12" t="n">
        <v>2021</v>
      </c>
      <c r="E2071" s="4"/>
      <c r="F2071" s="4" t="s">
        <v>1990</v>
      </c>
      <c r="G2071" s="4" t="s">
        <v>1991</v>
      </c>
      <c r="H2071" s="4" t="s">
        <v>1992</v>
      </c>
      <c r="I2071" s="4"/>
      <c r="J2071" s="4" t="s">
        <v>1019</v>
      </c>
      <c r="K2071" s="4" t="s">
        <v>86</v>
      </c>
      <c r="L2071" s="4" t="s">
        <v>87</v>
      </c>
      <c r="M2071" s="4" t="s">
        <v>1993</v>
      </c>
      <c r="N2071" s="4" t="s">
        <v>1994</v>
      </c>
      <c r="O2071" s="4" t="s">
        <v>1995</v>
      </c>
      <c r="P2071" s="4" t="s">
        <v>66</v>
      </c>
      <c r="Q2071" s="4" t="s">
        <v>2019</v>
      </c>
      <c r="R2071" s="4" t="s">
        <v>1997</v>
      </c>
      <c r="S2071" s="4"/>
      <c r="T2071" s="4"/>
      <c r="U2071" s="4"/>
      <c r="V2071" s="4"/>
      <c r="W2071" s="4"/>
      <c r="X2071" s="4"/>
      <c r="Y2071" s="4"/>
      <c r="Z2071" s="4"/>
      <c r="AA2071" s="4"/>
      <c r="AB2071" s="4"/>
      <c r="AC2071" s="4"/>
      <c r="AD2071" s="4"/>
      <c r="AE2071" s="4"/>
      <c r="AF2071" s="4"/>
      <c r="AG2071" s="4"/>
      <c r="AH2071" s="4"/>
      <c r="AI2071" s="4"/>
      <c r="AJ2071" s="4"/>
      <c r="AK2071" s="4"/>
      <c r="AL2071" s="4"/>
      <c r="AM2071" s="4" t="s">
        <v>2026</v>
      </c>
    </row>
    <row r="2072" customFormat="false" ht="23.85" hidden="false" customHeight="false" outlineLevel="0" collapsed="false">
      <c r="A2072" s="4" t="s">
        <v>1987</v>
      </c>
      <c r="B2072" s="4" t="s">
        <v>2657</v>
      </c>
      <c r="C2072" s="4" t="s">
        <v>2658</v>
      </c>
      <c r="D2072" s="12" t="n">
        <v>2021</v>
      </c>
      <c r="E2072" s="4"/>
      <c r="F2072" s="4" t="s">
        <v>1990</v>
      </c>
      <c r="G2072" s="4" t="s">
        <v>1991</v>
      </c>
      <c r="H2072" s="4" t="s">
        <v>1992</v>
      </c>
      <c r="I2072" s="4"/>
      <c r="J2072" s="4" t="s">
        <v>1021</v>
      </c>
      <c r="K2072" s="4" t="s">
        <v>86</v>
      </c>
      <c r="L2072" s="4" t="s">
        <v>87</v>
      </c>
      <c r="M2072" s="4" t="s">
        <v>1993</v>
      </c>
      <c r="N2072" s="4" t="s">
        <v>2001</v>
      </c>
      <c r="O2072" s="4" t="s">
        <v>2091</v>
      </c>
      <c r="P2072" s="4" t="s">
        <v>69</v>
      </c>
      <c r="Q2072" s="4" t="s">
        <v>2030</v>
      </c>
      <c r="R2072" s="4" t="s">
        <v>1997</v>
      </c>
      <c r="S2072" s="4"/>
      <c r="T2072" s="4"/>
      <c r="U2072" s="4"/>
      <c r="V2072" s="4"/>
      <c r="W2072" s="4"/>
      <c r="X2072" s="4"/>
      <c r="Y2072" s="4"/>
      <c r="Z2072" s="4"/>
      <c r="AA2072" s="4"/>
      <c r="AB2072" s="4"/>
      <c r="AC2072" s="4"/>
      <c r="AD2072" s="4"/>
      <c r="AE2072" s="4"/>
      <c r="AF2072" s="4"/>
      <c r="AG2072" s="4"/>
      <c r="AH2072" s="4"/>
      <c r="AI2072" s="4"/>
      <c r="AJ2072" s="4"/>
      <c r="AK2072" s="4"/>
      <c r="AL2072" s="4"/>
      <c r="AM2072" s="4" t="s">
        <v>2092</v>
      </c>
    </row>
    <row r="2073" customFormat="false" ht="23.85" hidden="false" customHeight="false" outlineLevel="0" collapsed="false">
      <c r="A2073" s="4" t="s">
        <v>1987</v>
      </c>
      <c r="B2073" s="4" t="s">
        <v>2659</v>
      </c>
      <c r="C2073" s="4" t="s">
        <v>2660</v>
      </c>
      <c r="D2073" s="12" t="n">
        <v>2021</v>
      </c>
      <c r="E2073" s="4"/>
      <c r="F2073" s="4" t="s">
        <v>1990</v>
      </c>
      <c r="G2073" s="4" t="s">
        <v>1991</v>
      </c>
      <c r="H2073" s="4" t="s">
        <v>1992</v>
      </c>
      <c r="I2073" s="4"/>
      <c r="J2073" s="4" t="s">
        <v>1022</v>
      </c>
      <c r="K2073" s="4" t="s">
        <v>86</v>
      </c>
      <c r="L2073" s="4" t="s">
        <v>87</v>
      </c>
      <c r="M2073" s="4" t="s">
        <v>1993</v>
      </c>
      <c r="N2073" s="4" t="s">
        <v>2001</v>
      </c>
      <c r="O2073" s="4" t="s">
        <v>2034</v>
      </c>
      <c r="P2073" s="4" t="s">
        <v>74</v>
      </c>
      <c r="Q2073" s="4" t="s">
        <v>2035</v>
      </c>
      <c r="R2073" s="4" t="s">
        <v>2036</v>
      </c>
      <c r="S2073" s="4"/>
      <c r="T2073" s="4"/>
      <c r="U2073" s="4"/>
      <c r="V2073" s="4"/>
      <c r="W2073" s="4"/>
      <c r="X2073" s="4"/>
      <c r="Y2073" s="4"/>
      <c r="Z2073" s="4"/>
      <c r="AA2073" s="4"/>
      <c r="AB2073" s="4"/>
      <c r="AC2073" s="4"/>
      <c r="AD2073" s="4"/>
      <c r="AE2073" s="4"/>
      <c r="AF2073" s="4"/>
      <c r="AG2073" s="4"/>
      <c r="AH2073" s="4"/>
      <c r="AI2073" s="4"/>
      <c r="AJ2073" s="4"/>
      <c r="AK2073" s="4"/>
      <c r="AL2073" s="4"/>
      <c r="AM2073" s="4" t="s">
        <v>2037</v>
      </c>
    </row>
    <row r="2074" customFormat="false" ht="23.85" hidden="false" customHeight="false" outlineLevel="0" collapsed="false">
      <c r="A2074" s="4" t="s">
        <v>1987</v>
      </c>
      <c r="B2074" s="4" t="s">
        <v>2661</v>
      </c>
      <c r="C2074" s="4" t="s">
        <v>2662</v>
      </c>
      <c r="D2074" s="12" t="n">
        <v>2021</v>
      </c>
      <c r="E2074" s="4"/>
      <c r="F2074" s="4" t="s">
        <v>1990</v>
      </c>
      <c r="G2074" s="4" t="s">
        <v>1991</v>
      </c>
      <c r="H2074" s="4" t="s">
        <v>1992</v>
      </c>
      <c r="I2074" s="4"/>
      <c r="J2074" s="4" t="s">
        <v>1023</v>
      </c>
      <c r="K2074" s="4" t="s">
        <v>86</v>
      </c>
      <c r="L2074" s="4" t="s">
        <v>87</v>
      </c>
      <c r="M2074" s="4" t="s">
        <v>1993</v>
      </c>
      <c r="N2074" s="4" t="s">
        <v>2001</v>
      </c>
      <c r="O2074" s="4" t="s">
        <v>2002</v>
      </c>
      <c r="P2074" s="4" t="s">
        <v>67</v>
      </c>
      <c r="Q2074" s="4" t="s">
        <v>2097</v>
      </c>
      <c r="R2074" s="4" t="s">
        <v>2004</v>
      </c>
      <c r="S2074" s="4"/>
      <c r="T2074" s="4"/>
      <c r="U2074" s="4"/>
      <c r="V2074" s="4"/>
      <c r="W2074" s="4"/>
      <c r="X2074" s="4"/>
      <c r="Y2074" s="4"/>
      <c r="Z2074" s="4"/>
      <c r="AA2074" s="4"/>
      <c r="AB2074" s="4"/>
      <c r="AC2074" s="4"/>
      <c r="AD2074" s="4"/>
      <c r="AE2074" s="4"/>
      <c r="AF2074" s="4"/>
      <c r="AG2074" s="4"/>
      <c r="AH2074" s="4"/>
      <c r="AI2074" s="4"/>
      <c r="AJ2074" s="4"/>
      <c r="AK2074" s="4"/>
      <c r="AL2074" s="4"/>
      <c r="AM2074" s="4" t="s">
        <v>2098</v>
      </c>
    </row>
    <row r="2075" customFormat="false" ht="35.05" hidden="false" customHeight="false" outlineLevel="0" collapsed="false">
      <c r="A2075" s="4" t="s">
        <v>1987</v>
      </c>
      <c r="B2075" s="4" t="s">
        <v>2663</v>
      </c>
      <c r="C2075" s="4" t="s">
        <v>2664</v>
      </c>
      <c r="D2075" s="12" t="n">
        <v>2021</v>
      </c>
      <c r="E2075" s="4"/>
      <c r="F2075" s="4" t="s">
        <v>1990</v>
      </c>
      <c r="G2075" s="4" t="s">
        <v>1991</v>
      </c>
      <c r="H2075" s="4" t="s">
        <v>1992</v>
      </c>
      <c r="I2075" s="4"/>
      <c r="J2075" s="4" t="s">
        <v>1033</v>
      </c>
      <c r="K2075" s="4" t="s">
        <v>88</v>
      </c>
      <c r="L2075" s="4" t="s">
        <v>89</v>
      </c>
      <c r="M2075" s="4" t="s">
        <v>2018</v>
      </c>
      <c r="N2075" s="4" t="s">
        <v>1994</v>
      </c>
      <c r="O2075" s="4" t="s">
        <v>65</v>
      </c>
      <c r="P2075" s="4" t="s">
        <v>64</v>
      </c>
      <c r="Q2075" s="4" t="s">
        <v>2044</v>
      </c>
      <c r="R2075" s="4" t="s">
        <v>1997</v>
      </c>
      <c r="S2075" s="4"/>
      <c r="T2075" s="4"/>
      <c r="U2075" s="4"/>
      <c r="V2075" s="4"/>
      <c r="W2075" s="4"/>
      <c r="X2075" s="4"/>
      <c r="Y2075" s="4"/>
      <c r="Z2075" s="4"/>
      <c r="AA2075" s="4"/>
      <c r="AB2075" s="4"/>
      <c r="AC2075" s="4"/>
      <c r="AD2075" s="4"/>
      <c r="AE2075" s="4"/>
      <c r="AF2075" s="4"/>
      <c r="AG2075" s="4"/>
      <c r="AH2075" s="4"/>
      <c r="AI2075" s="4"/>
      <c r="AJ2075" s="4"/>
      <c r="AK2075" s="4"/>
      <c r="AL2075" s="4"/>
      <c r="AM2075" s="4" t="s">
        <v>2045</v>
      </c>
    </row>
    <row r="2076" customFormat="false" ht="23.85" hidden="false" customHeight="false" outlineLevel="0" collapsed="false">
      <c r="A2076" s="4" t="s">
        <v>1987</v>
      </c>
      <c r="B2076" s="4" t="s">
        <v>2665</v>
      </c>
      <c r="C2076" s="4" t="s">
        <v>2666</v>
      </c>
      <c r="D2076" s="12" t="n">
        <v>2021</v>
      </c>
      <c r="E2076" s="4"/>
      <c r="F2076" s="4" t="s">
        <v>1990</v>
      </c>
      <c r="G2076" s="4" t="s">
        <v>1991</v>
      </c>
      <c r="H2076" s="4" t="s">
        <v>1992</v>
      </c>
      <c r="I2076" s="4"/>
      <c r="J2076" s="4" t="s">
        <v>1038</v>
      </c>
      <c r="K2076" s="4" t="s">
        <v>88</v>
      </c>
      <c r="L2076" s="4" t="s">
        <v>89</v>
      </c>
      <c r="M2076" s="4" t="s">
        <v>2018</v>
      </c>
      <c r="N2076" s="4" t="s">
        <v>2001</v>
      </c>
      <c r="O2076" s="4" t="s">
        <v>66</v>
      </c>
      <c r="P2076" s="4" t="s">
        <v>67</v>
      </c>
      <c r="Q2076" s="4" t="s">
        <v>2003</v>
      </c>
      <c r="R2076" s="4" t="s">
        <v>2004</v>
      </c>
      <c r="S2076" s="4"/>
      <c r="T2076" s="4"/>
      <c r="U2076" s="4"/>
      <c r="V2076" s="4"/>
      <c r="W2076" s="4"/>
      <c r="X2076" s="4"/>
      <c r="Y2076" s="4"/>
      <c r="Z2076" s="4"/>
      <c r="AA2076" s="4"/>
      <c r="AB2076" s="4"/>
      <c r="AC2076" s="4"/>
      <c r="AD2076" s="4"/>
      <c r="AE2076" s="4"/>
      <c r="AF2076" s="4"/>
      <c r="AG2076" s="4"/>
      <c r="AH2076" s="4"/>
      <c r="AI2076" s="4"/>
      <c r="AJ2076" s="4"/>
      <c r="AK2076" s="4"/>
      <c r="AL2076" s="4"/>
      <c r="AM2076" s="4" t="s">
        <v>2048</v>
      </c>
    </row>
    <row r="2077" customFormat="false" ht="23.85" hidden="false" customHeight="false" outlineLevel="0" collapsed="false">
      <c r="A2077" s="4" t="s">
        <v>1987</v>
      </c>
      <c r="B2077" s="4" t="s">
        <v>2667</v>
      </c>
      <c r="C2077" s="4" t="s">
        <v>2668</v>
      </c>
      <c r="D2077" s="12" t="n">
        <v>2021</v>
      </c>
      <c r="E2077" s="4"/>
      <c r="F2077" s="4" t="s">
        <v>1990</v>
      </c>
      <c r="G2077" s="4" t="s">
        <v>1991</v>
      </c>
      <c r="H2077" s="4" t="s">
        <v>1992</v>
      </c>
      <c r="I2077" s="4"/>
      <c r="J2077" s="4" t="s">
        <v>1048</v>
      </c>
      <c r="K2077" s="4" t="s">
        <v>95</v>
      </c>
      <c r="L2077" s="4" t="s">
        <v>96</v>
      </c>
      <c r="M2077" s="4" t="s">
        <v>1993</v>
      </c>
      <c r="N2077" s="4" t="s">
        <v>1994</v>
      </c>
      <c r="O2077" s="4" t="s">
        <v>2029</v>
      </c>
      <c r="P2077" s="4" t="s">
        <v>69</v>
      </c>
      <c r="Q2077" s="4" t="s">
        <v>2030</v>
      </c>
      <c r="R2077" s="4" t="s">
        <v>1997</v>
      </c>
      <c r="S2077" s="4"/>
      <c r="T2077" s="4"/>
      <c r="U2077" s="4"/>
      <c r="V2077" s="4"/>
      <c r="W2077" s="4"/>
      <c r="X2077" s="4"/>
      <c r="Y2077" s="4"/>
      <c r="Z2077" s="4"/>
      <c r="AA2077" s="4"/>
      <c r="AB2077" s="4"/>
      <c r="AC2077" s="4"/>
      <c r="AD2077" s="4"/>
      <c r="AE2077" s="4"/>
      <c r="AF2077" s="4"/>
      <c r="AG2077" s="4"/>
      <c r="AH2077" s="4"/>
      <c r="AI2077" s="4"/>
      <c r="AJ2077" s="4"/>
      <c r="AK2077" s="4"/>
      <c r="AL2077" s="4"/>
      <c r="AM2077" s="4" t="s">
        <v>2031</v>
      </c>
    </row>
    <row r="2078" customFormat="false" ht="23.85" hidden="false" customHeight="false" outlineLevel="0" collapsed="false">
      <c r="A2078" s="4" t="s">
        <v>1987</v>
      </c>
      <c r="B2078" s="4" t="s">
        <v>2669</v>
      </c>
      <c r="C2078" s="4" t="s">
        <v>2670</v>
      </c>
      <c r="D2078" s="12" t="n">
        <v>2021</v>
      </c>
      <c r="E2078" s="4"/>
      <c r="F2078" s="4" t="s">
        <v>1990</v>
      </c>
      <c r="G2078" s="4" t="s">
        <v>1991</v>
      </c>
      <c r="H2078" s="4" t="s">
        <v>1992</v>
      </c>
      <c r="I2078" s="4"/>
      <c r="J2078" s="4" t="s">
        <v>1050</v>
      </c>
      <c r="K2078" s="4" t="s">
        <v>95</v>
      </c>
      <c r="L2078" s="4" t="s">
        <v>96</v>
      </c>
      <c r="M2078" s="4" t="s">
        <v>1993</v>
      </c>
      <c r="N2078" s="4" t="s">
        <v>2001</v>
      </c>
      <c r="O2078" s="4" t="s">
        <v>2034</v>
      </c>
      <c r="P2078" s="4" t="s">
        <v>74</v>
      </c>
      <c r="Q2078" s="4" t="s">
        <v>2035</v>
      </c>
      <c r="R2078" s="4" t="s">
        <v>2036</v>
      </c>
      <c r="S2078" s="4"/>
      <c r="T2078" s="4"/>
      <c r="U2078" s="4"/>
      <c r="V2078" s="4"/>
      <c r="W2078" s="4"/>
      <c r="X2078" s="4"/>
      <c r="Y2078" s="4"/>
      <c r="Z2078" s="4"/>
      <c r="AA2078" s="4"/>
      <c r="AB2078" s="4"/>
      <c r="AC2078" s="4"/>
      <c r="AD2078" s="4"/>
      <c r="AE2078" s="4"/>
      <c r="AF2078" s="4"/>
      <c r="AG2078" s="4"/>
      <c r="AH2078" s="4"/>
      <c r="AI2078" s="4"/>
      <c r="AJ2078" s="4"/>
      <c r="AK2078" s="4"/>
      <c r="AL2078" s="4"/>
      <c r="AM2078" s="4" t="s">
        <v>2037</v>
      </c>
    </row>
    <row r="2079" customFormat="false" ht="23.85" hidden="false" customHeight="false" outlineLevel="0" collapsed="false">
      <c r="A2079" s="4" t="s">
        <v>1987</v>
      </c>
      <c r="B2079" s="4" t="s">
        <v>2671</v>
      </c>
      <c r="C2079" s="4" t="s">
        <v>2672</v>
      </c>
      <c r="D2079" s="12" t="n">
        <v>2021</v>
      </c>
      <c r="E2079" s="4"/>
      <c r="F2079" s="4" t="s">
        <v>1990</v>
      </c>
      <c r="G2079" s="4" t="s">
        <v>1991</v>
      </c>
      <c r="H2079" s="4" t="s">
        <v>1992</v>
      </c>
      <c r="I2079" s="4"/>
      <c r="J2079" s="4" t="s">
        <v>1058</v>
      </c>
      <c r="K2079" s="4" t="s">
        <v>95</v>
      </c>
      <c r="L2079" s="4" t="s">
        <v>96</v>
      </c>
      <c r="M2079" s="4" t="s">
        <v>1993</v>
      </c>
      <c r="N2079" s="4" t="s">
        <v>2001</v>
      </c>
      <c r="O2079" s="4" t="s">
        <v>2002</v>
      </c>
      <c r="P2079" s="4" t="s">
        <v>68</v>
      </c>
      <c r="Q2079" s="4" t="s">
        <v>2111</v>
      </c>
      <c r="R2079" s="4" t="s">
        <v>1997</v>
      </c>
      <c r="S2079" s="4"/>
      <c r="T2079" s="4"/>
      <c r="U2079" s="4"/>
      <c r="V2079" s="4"/>
      <c r="W2079" s="4"/>
      <c r="X2079" s="4"/>
      <c r="Y2079" s="4"/>
      <c r="Z2079" s="4"/>
      <c r="AA2079" s="4"/>
      <c r="AB2079" s="4"/>
      <c r="AC2079" s="4"/>
      <c r="AD2079" s="4"/>
      <c r="AE2079" s="4"/>
      <c r="AF2079" s="4"/>
      <c r="AG2079" s="4"/>
      <c r="AH2079" s="4"/>
      <c r="AI2079" s="4"/>
      <c r="AJ2079" s="4"/>
      <c r="AK2079" s="4"/>
      <c r="AL2079" s="4"/>
      <c r="AM2079" s="4" t="s">
        <v>2112</v>
      </c>
    </row>
    <row r="2080" customFormat="false" ht="23.85" hidden="false" customHeight="false" outlineLevel="0" collapsed="false">
      <c r="A2080" s="4" t="s">
        <v>1987</v>
      </c>
      <c r="B2080" s="4" t="s">
        <v>2673</v>
      </c>
      <c r="C2080" s="4" t="s">
        <v>2674</v>
      </c>
      <c r="D2080" s="12" t="n">
        <v>2021</v>
      </c>
      <c r="E2080" s="4"/>
      <c r="F2080" s="4" t="s">
        <v>1990</v>
      </c>
      <c r="G2080" s="4" t="s">
        <v>1991</v>
      </c>
      <c r="H2080" s="4" t="s">
        <v>1992</v>
      </c>
      <c r="I2080" s="4"/>
      <c r="J2080" s="4" t="s">
        <v>1062</v>
      </c>
      <c r="K2080" s="4" t="s">
        <v>97</v>
      </c>
      <c r="L2080" s="4" t="s">
        <v>98</v>
      </c>
      <c r="M2080" s="4" t="s">
        <v>1993</v>
      </c>
      <c r="N2080" s="4" t="s">
        <v>1994</v>
      </c>
      <c r="O2080" s="4" t="s">
        <v>2029</v>
      </c>
      <c r="P2080" s="4" t="s">
        <v>69</v>
      </c>
      <c r="Q2080" s="4" t="s">
        <v>2030</v>
      </c>
      <c r="R2080" s="4" t="s">
        <v>1997</v>
      </c>
      <c r="S2080" s="4"/>
      <c r="T2080" s="4"/>
      <c r="U2080" s="4"/>
      <c r="V2080" s="4"/>
      <c r="W2080" s="4"/>
      <c r="X2080" s="4"/>
      <c r="Y2080" s="4"/>
      <c r="Z2080" s="4"/>
      <c r="AA2080" s="4"/>
      <c r="AB2080" s="4"/>
      <c r="AC2080" s="4"/>
      <c r="AD2080" s="4"/>
      <c r="AE2080" s="4"/>
      <c r="AF2080" s="4"/>
      <c r="AG2080" s="4"/>
      <c r="AH2080" s="4"/>
      <c r="AI2080" s="4"/>
      <c r="AJ2080" s="4"/>
      <c r="AK2080" s="4"/>
      <c r="AL2080" s="4"/>
      <c r="AM2080" s="4" t="s">
        <v>2031</v>
      </c>
    </row>
    <row r="2081" customFormat="false" ht="23.85" hidden="false" customHeight="false" outlineLevel="0" collapsed="false">
      <c r="A2081" s="4" t="s">
        <v>1987</v>
      </c>
      <c r="B2081" s="4" t="s">
        <v>2675</v>
      </c>
      <c r="C2081" s="4" t="s">
        <v>2676</v>
      </c>
      <c r="D2081" s="12" t="n">
        <v>2021</v>
      </c>
      <c r="E2081" s="4"/>
      <c r="F2081" s="4" t="s">
        <v>1990</v>
      </c>
      <c r="G2081" s="4" t="s">
        <v>1991</v>
      </c>
      <c r="H2081" s="4" t="s">
        <v>1992</v>
      </c>
      <c r="I2081" s="4"/>
      <c r="J2081" s="4" t="s">
        <v>1063</v>
      </c>
      <c r="K2081" s="4" t="s">
        <v>97</v>
      </c>
      <c r="L2081" s="4" t="s">
        <v>98</v>
      </c>
      <c r="M2081" s="4" t="s">
        <v>1993</v>
      </c>
      <c r="N2081" s="4" t="s">
        <v>2001</v>
      </c>
      <c r="O2081" s="4" t="s">
        <v>2091</v>
      </c>
      <c r="P2081" s="4" t="s">
        <v>69</v>
      </c>
      <c r="Q2081" s="4" t="s">
        <v>2030</v>
      </c>
      <c r="R2081" s="4" t="s">
        <v>1997</v>
      </c>
      <c r="S2081" s="4"/>
      <c r="T2081" s="4"/>
      <c r="U2081" s="4"/>
      <c r="V2081" s="4"/>
      <c r="W2081" s="4"/>
      <c r="X2081" s="4"/>
      <c r="Y2081" s="4"/>
      <c r="Z2081" s="4"/>
      <c r="AA2081" s="4"/>
      <c r="AB2081" s="4"/>
      <c r="AC2081" s="4"/>
      <c r="AD2081" s="4"/>
      <c r="AE2081" s="4"/>
      <c r="AF2081" s="4"/>
      <c r="AG2081" s="4"/>
      <c r="AH2081" s="4"/>
      <c r="AI2081" s="4"/>
      <c r="AJ2081" s="4"/>
      <c r="AK2081" s="4"/>
      <c r="AL2081" s="4"/>
      <c r="AM2081" s="4" t="s">
        <v>2092</v>
      </c>
    </row>
    <row r="2082" customFormat="false" ht="23.85" hidden="false" customHeight="false" outlineLevel="0" collapsed="false">
      <c r="A2082" s="4" t="s">
        <v>1987</v>
      </c>
      <c r="B2082" s="4" t="s">
        <v>2677</v>
      </c>
      <c r="C2082" s="4" t="s">
        <v>2678</v>
      </c>
      <c r="D2082" s="12" t="n">
        <v>2021</v>
      </c>
      <c r="E2082" s="4"/>
      <c r="F2082" s="4" t="s">
        <v>1990</v>
      </c>
      <c r="G2082" s="4" t="s">
        <v>1991</v>
      </c>
      <c r="H2082" s="4" t="s">
        <v>1992</v>
      </c>
      <c r="I2082" s="4"/>
      <c r="J2082" s="4" t="s">
        <v>1064</v>
      </c>
      <c r="K2082" s="4" t="s">
        <v>97</v>
      </c>
      <c r="L2082" s="4" t="s">
        <v>98</v>
      </c>
      <c r="M2082" s="4" t="s">
        <v>1993</v>
      </c>
      <c r="N2082" s="4" t="s">
        <v>2001</v>
      </c>
      <c r="O2082" s="4" t="s">
        <v>2034</v>
      </c>
      <c r="P2082" s="4" t="s">
        <v>74</v>
      </c>
      <c r="Q2082" s="4" t="s">
        <v>2035</v>
      </c>
      <c r="R2082" s="4" t="s">
        <v>2036</v>
      </c>
      <c r="S2082" s="4"/>
      <c r="T2082" s="4"/>
      <c r="U2082" s="4"/>
      <c r="V2082" s="4"/>
      <c r="W2082" s="4"/>
      <c r="X2082" s="4"/>
      <c r="Y2082" s="4"/>
      <c r="Z2082" s="4"/>
      <c r="AA2082" s="4"/>
      <c r="AB2082" s="4"/>
      <c r="AC2082" s="4"/>
      <c r="AD2082" s="4"/>
      <c r="AE2082" s="4"/>
      <c r="AF2082" s="4"/>
      <c r="AG2082" s="4"/>
      <c r="AH2082" s="4"/>
      <c r="AI2082" s="4"/>
      <c r="AJ2082" s="4"/>
      <c r="AK2082" s="4"/>
      <c r="AL2082" s="4"/>
      <c r="AM2082" s="4" t="s">
        <v>2037</v>
      </c>
    </row>
    <row r="2083" customFormat="false" ht="23.85" hidden="false" customHeight="false" outlineLevel="0" collapsed="false">
      <c r="A2083" s="4" t="s">
        <v>1987</v>
      </c>
      <c r="B2083" s="4" t="s">
        <v>2679</v>
      </c>
      <c r="C2083" s="4" t="s">
        <v>2680</v>
      </c>
      <c r="D2083" s="12" t="n">
        <v>2021</v>
      </c>
      <c r="E2083" s="4"/>
      <c r="F2083" s="4" t="s">
        <v>1990</v>
      </c>
      <c r="G2083" s="4" t="s">
        <v>1991</v>
      </c>
      <c r="H2083" s="4" t="s">
        <v>1992</v>
      </c>
      <c r="I2083" s="4"/>
      <c r="J2083" s="4" t="s">
        <v>1066</v>
      </c>
      <c r="K2083" s="4" t="s">
        <v>97</v>
      </c>
      <c r="L2083" s="4" t="s">
        <v>98</v>
      </c>
      <c r="M2083" s="4" t="s">
        <v>1993</v>
      </c>
      <c r="N2083" s="4" t="s">
        <v>2001</v>
      </c>
      <c r="O2083" s="4" t="s">
        <v>2002</v>
      </c>
      <c r="P2083" s="4" t="s">
        <v>67</v>
      </c>
      <c r="Q2083" s="4" t="s">
        <v>2003</v>
      </c>
      <c r="R2083" s="4" t="s">
        <v>2004</v>
      </c>
      <c r="S2083" s="4"/>
      <c r="T2083" s="4"/>
      <c r="U2083" s="4"/>
      <c r="V2083" s="4"/>
      <c r="W2083" s="4"/>
      <c r="X2083" s="4"/>
      <c r="Y2083" s="4"/>
      <c r="Z2083" s="4"/>
      <c r="AA2083" s="4"/>
      <c r="AB2083" s="4"/>
      <c r="AC2083" s="4"/>
      <c r="AD2083" s="4"/>
      <c r="AE2083" s="4"/>
      <c r="AF2083" s="4"/>
      <c r="AG2083" s="4"/>
      <c r="AH2083" s="4"/>
      <c r="AI2083" s="4"/>
      <c r="AJ2083" s="4"/>
      <c r="AK2083" s="4"/>
      <c r="AL2083" s="4"/>
      <c r="AM2083" s="4" t="s">
        <v>2005</v>
      </c>
    </row>
    <row r="2084" customFormat="false" ht="15" hidden="false" customHeight="false" outlineLevel="0" collapsed="false">
      <c r="A2084" s="4" t="s">
        <v>1987</v>
      </c>
      <c r="B2084" s="4" t="s">
        <v>2681</v>
      </c>
      <c r="C2084" s="4" t="s">
        <v>2682</v>
      </c>
      <c r="D2084" s="12" t="n">
        <v>2021</v>
      </c>
      <c r="E2084" s="4"/>
      <c r="F2084" s="4" t="s">
        <v>1990</v>
      </c>
      <c r="G2084" s="4" t="s">
        <v>1991</v>
      </c>
      <c r="H2084" s="4" t="s">
        <v>1992</v>
      </c>
      <c r="I2084" s="4"/>
      <c r="J2084" s="4" t="s">
        <v>1069</v>
      </c>
      <c r="K2084" s="4" t="s">
        <v>97</v>
      </c>
      <c r="L2084" s="4" t="s">
        <v>98</v>
      </c>
      <c r="M2084" s="4" t="s">
        <v>1993</v>
      </c>
      <c r="N2084" s="4" t="s">
        <v>2001</v>
      </c>
      <c r="O2084" s="4" t="s">
        <v>2002</v>
      </c>
      <c r="P2084" s="4" t="s">
        <v>71</v>
      </c>
      <c r="Q2084" s="4" t="s">
        <v>2123</v>
      </c>
      <c r="R2084" s="4" t="s">
        <v>1997</v>
      </c>
      <c r="S2084" s="4"/>
      <c r="T2084" s="4"/>
      <c r="U2084" s="4"/>
      <c r="V2084" s="4"/>
      <c r="W2084" s="4"/>
      <c r="X2084" s="4"/>
      <c r="Y2084" s="4"/>
      <c r="Z2084" s="4"/>
      <c r="AA2084" s="4"/>
      <c r="AB2084" s="4"/>
      <c r="AC2084" s="4"/>
      <c r="AD2084" s="4"/>
      <c r="AE2084" s="4"/>
      <c r="AF2084" s="4"/>
      <c r="AG2084" s="4"/>
      <c r="AH2084" s="4"/>
      <c r="AI2084" s="4"/>
      <c r="AJ2084" s="4"/>
      <c r="AK2084" s="4"/>
      <c r="AL2084" s="4"/>
      <c r="AM2084" s="4" t="s">
        <v>2124</v>
      </c>
    </row>
    <row r="2085" customFormat="false" ht="23.85" hidden="false" customHeight="false" outlineLevel="0" collapsed="false">
      <c r="A2085" s="4" t="s">
        <v>1987</v>
      </c>
      <c r="B2085" s="4" t="s">
        <v>2683</v>
      </c>
      <c r="C2085" s="4" t="s">
        <v>2684</v>
      </c>
      <c r="D2085" s="12" t="n">
        <v>2021</v>
      </c>
      <c r="E2085" s="4"/>
      <c r="F2085" s="4" t="s">
        <v>1990</v>
      </c>
      <c r="G2085" s="4" t="s">
        <v>1991</v>
      </c>
      <c r="H2085" s="4" t="s">
        <v>1992</v>
      </c>
      <c r="I2085" s="4"/>
      <c r="J2085" s="4" t="s">
        <v>1072</v>
      </c>
      <c r="K2085" s="4" t="s">
        <v>97</v>
      </c>
      <c r="L2085" s="4" t="s">
        <v>98</v>
      </c>
      <c r="M2085" s="4" t="s">
        <v>1993</v>
      </c>
      <c r="N2085" s="4" t="s">
        <v>2001</v>
      </c>
      <c r="O2085" s="4" t="s">
        <v>2002</v>
      </c>
      <c r="P2085" s="4" t="s">
        <v>68</v>
      </c>
      <c r="Q2085" s="4" t="s">
        <v>2111</v>
      </c>
      <c r="R2085" s="4" t="s">
        <v>1997</v>
      </c>
      <c r="S2085" s="4"/>
      <c r="T2085" s="4"/>
      <c r="U2085" s="4"/>
      <c r="V2085" s="4"/>
      <c r="W2085" s="4"/>
      <c r="X2085" s="4"/>
      <c r="Y2085" s="4"/>
      <c r="Z2085" s="4"/>
      <c r="AA2085" s="4"/>
      <c r="AB2085" s="4"/>
      <c r="AC2085" s="4"/>
      <c r="AD2085" s="4"/>
      <c r="AE2085" s="4"/>
      <c r="AF2085" s="4"/>
      <c r="AG2085" s="4"/>
      <c r="AH2085" s="4"/>
      <c r="AI2085" s="4"/>
      <c r="AJ2085" s="4"/>
      <c r="AK2085" s="4"/>
      <c r="AL2085" s="4"/>
      <c r="AM2085" s="4" t="s">
        <v>2112</v>
      </c>
    </row>
    <row r="2086" customFormat="false" ht="23.85" hidden="false" customHeight="false" outlineLevel="0" collapsed="false">
      <c r="A2086" s="4" t="s">
        <v>1987</v>
      </c>
      <c r="B2086" s="4" t="s">
        <v>2685</v>
      </c>
      <c r="C2086" s="4" t="s">
        <v>2686</v>
      </c>
      <c r="D2086" s="12" t="n">
        <v>2021</v>
      </c>
      <c r="E2086" s="4"/>
      <c r="F2086" s="4" t="s">
        <v>1990</v>
      </c>
      <c r="G2086" s="4" t="s">
        <v>1991</v>
      </c>
      <c r="H2086" s="4" t="s">
        <v>1992</v>
      </c>
      <c r="I2086" s="4"/>
      <c r="J2086" s="4" t="s">
        <v>1076</v>
      </c>
      <c r="K2086" s="4" t="s">
        <v>99</v>
      </c>
      <c r="L2086" s="4" t="s">
        <v>100</v>
      </c>
      <c r="M2086" s="4" t="s">
        <v>1993</v>
      </c>
      <c r="N2086" s="4" t="s">
        <v>1994</v>
      </c>
      <c r="O2086" s="4" t="s">
        <v>2029</v>
      </c>
      <c r="P2086" s="4" t="s">
        <v>69</v>
      </c>
      <c r="Q2086" s="4" t="s">
        <v>2030</v>
      </c>
      <c r="R2086" s="4" t="s">
        <v>1997</v>
      </c>
      <c r="S2086" s="4"/>
      <c r="T2086" s="4"/>
      <c r="U2086" s="4"/>
      <c r="V2086" s="4"/>
      <c r="W2086" s="4"/>
      <c r="X2086" s="4"/>
      <c r="Y2086" s="4"/>
      <c r="Z2086" s="4"/>
      <c r="AA2086" s="4"/>
      <c r="AB2086" s="4"/>
      <c r="AC2086" s="4"/>
      <c r="AD2086" s="4"/>
      <c r="AE2086" s="4"/>
      <c r="AF2086" s="4"/>
      <c r="AG2086" s="4"/>
      <c r="AH2086" s="4"/>
      <c r="AI2086" s="4"/>
      <c r="AJ2086" s="4"/>
      <c r="AK2086" s="4"/>
      <c r="AL2086" s="4"/>
      <c r="AM2086" s="4" t="s">
        <v>2031</v>
      </c>
    </row>
    <row r="2087" customFormat="false" ht="23.85" hidden="false" customHeight="false" outlineLevel="0" collapsed="false">
      <c r="A2087" s="4" t="s">
        <v>1987</v>
      </c>
      <c r="B2087" s="4" t="s">
        <v>2687</v>
      </c>
      <c r="C2087" s="4" t="s">
        <v>2688</v>
      </c>
      <c r="D2087" s="12" t="n">
        <v>2021</v>
      </c>
      <c r="E2087" s="4"/>
      <c r="F2087" s="4" t="s">
        <v>1990</v>
      </c>
      <c r="G2087" s="4" t="s">
        <v>1991</v>
      </c>
      <c r="H2087" s="4" t="s">
        <v>1992</v>
      </c>
      <c r="I2087" s="4"/>
      <c r="J2087" s="4" t="s">
        <v>1077</v>
      </c>
      <c r="K2087" s="4" t="s">
        <v>99</v>
      </c>
      <c r="L2087" s="4" t="s">
        <v>100</v>
      </c>
      <c r="M2087" s="4" t="s">
        <v>1993</v>
      </c>
      <c r="N2087" s="4" t="s">
        <v>2001</v>
      </c>
      <c r="O2087" s="4" t="s">
        <v>2091</v>
      </c>
      <c r="P2087" s="4" t="s">
        <v>69</v>
      </c>
      <c r="Q2087" s="4" t="s">
        <v>2030</v>
      </c>
      <c r="R2087" s="4" t="s">
        <v>1997</v>
      </c>
      <c r="S2087" s="4"/>
      <c r="T2087" s="4"/>
      <c r="U2087" s="4"/>
      <c r="V2087" s="4"/>
      <c r="W2087" s="4"/>
      <c r="X2087" s="4"/>
      <c r="Y2087" s="4"/>
      <c r="Z2087" s="4"/>
      <c r="AA2087" s="4"/>
      <c r="AB2087" s="4"/>
      <c r="AC2087" s="4"/>
      <c r="AD2087" s="4"/>
      <c r="AE2087" s="4"/>
      <c r="AF2087" s="4"/>
      <c r="AG2087" s="4"/>
      <c r="AH2087" s="4"/>
      <c r="AI2087" s="4"/>
      <c r="AJ2087" s="4"/>
      <c r="AK2087" s="4"/>
      <c r="AL2087" s="4"/>
      <c r="AM2087" s="4" t="s">
        <v>2092</v>
      </c>
    </row>
    <row r="2088" customFormat="false" ht="23.85" hidden="false" customHeight="false" outlineLevel="0" collapsed="false">
      <c r="A2088" s="4" t="s">
        <v>1987</v>
      </c>
      <c r="B2088" s="4" t="s">
        <v>2689</v>
      </c>
      <c r="C2088" s="4" t="s">
        <v>2690</v>
      </c>
      <c r="D2088" s="12" t="n">
        <v>2021</v>
      </c>
      <c r="E2088" s="4"/>
      <c r="F2088" s="4" t="s">
        <v>1990</v>
      </c>
      <c r="G2088" s="4" t="s">
        <v>1991</v>
      </c>
      <c r="H2088" s="4" t="s">
        <v>1992</v>
      </c>
      <c r="I2088" s="4"/>
      <c r="J2088" s="4" t="s">
        <v>1080</v>
      </c>
      <c r="K2088" s="4" t="s">
        <v>99</v>
      </c>
      <c r="L2088" s="4" t="s">
        <v>100</v>
      </c>
      <c r="M2088" s="4" t="s">
        <v>1993</v>
      </c>
      <c r="N2088" s="4" t="s">
        <v>1994</v>
      </c>
      <c r="O2088" s="4" t="s">
        <v>1995</v>
      </c>
      <c r="P2088" s="4" t="s">
        <v>67</v>
      </c>
      <c r="Q2088" s="4" t="s">
        <v>2003</v>
      </c>
      <c r="R2088" s="4" t="s">
        <v>1997</v>
      </c>
      <c r="S2088" s="4"/>
      <c r="T2088" s="4"/>
      <c r="U2088" s="4"/>
      <c r="V2088" s="4"/>
      <c r="W2088" s="4"/>
      <c r="X2088" s="4"/>
      <c r="Y2088" s="4"/>
      <c r="Z2088" s="4"/>
      <c r="AA2088" s="4"/>
      <c r="AB2088" s="4"/>
      <c r="AC2088" s="4"/>
      <c r="AD2088" s="4"/>
      <c r="AE2088" s="4"/>
      <c r="AF2088" s="4"/>
      <c r="AG2088" s="4"/>
      <c r="AH2088" s="4"/>
      <c r="AI2088" s="4"/>
      <c r="AJ2088" s="4"/>
      <c r="AK2088" s="4"/>
      <c r="AL2088" s="4"/>
      <c r="AM2088" s="4" t="s">
        <v>2133</v>
      </c>
    </row>
    <row r="2089" customFormat="false" ht="23.85" hidden="false" customHeight="false" outlineLevel="0" collapsed="false">
      <c r="A2089" s="4" t="s">
        <v>1987</v>
      </c>
      <c r="B2089" s="4" t="s">
        <v>2691</v>
      </c>
      <c r="C2089" s="4" t="s">
        <v>2692</v>
      </c>
      <c r="D2089" s="12" t="n">
        <v>2021</v>
      </c>
      <c r="E2089" s="4"/>
      <c r="F2089" s="4" t="s">
        <v>1990</v>
      </c>
      <c r="G2089" s="4" t="s">
        <v>1991</v>
      </c>
      <c r="H2089" s="4" t="s">
        <v>1992</v>
      </c>
      <c r="I2089" s="4"/>
      <c r="J2089" s="4" t="s">
        <v>1081</v>
      </c>
      <c r="K2089" s="4" t="s">
        <v>99</v>
      </c>
      <c r="L2089" s="4" t="s">
        <v>100</v>
      </c>
      <c r="M2089" s="4" t="s">
        <v>1993</v>
      </c>
      <c r="N2089" s="4" t="s">
        <v>1994</v>
      </c>
      <c r="O2089" s="4" t="s">
        <v>1995</v>
      </c>
      <c r="P2089" s="4" t="s">
        <v>67</v>
      </c>
      <c r="Q2089" s="4" t="s">
        <v>2008</v>
      </c>
      <c r="R2089" s="4" t="s">
        <v>1997</v>
      </c>
      <c r="S2089" s="4"/>
      <c r="T2089" s="4"/>
      <c r="U2089" s="4"/>
      <c r="V2089" s="4"/>
      <c r="W2089" s="4"/>
      <c r="X2089" s="4"/>
      <c r="Y2089" s="4"/>
      <c r="Z2089" s="4"/>
      <c r="AA2089" s="4"/>
      <c r="AB2089" s="4"/>
      <c r="AC2089" s="4"/>
      <c r="AD2089" s="4"/>
      <c r="AE2089" s="4"/>
      <c r="AF2089" s="4"/>
      <c r="AG2089" s="4"/>
      <c r="AH2089" s="4"/>
      <c r="AI2089" s="4"/>
      <c r="AJ2089" s="4"/>
      <c r="AK2089" s="4"/>
      <c r="AL2089" s="4"/>
      <c r="AM2089" s="4" t="s">
        <v>2136</v>
      </c>
    </row>
    <row r="2090" customFormat="false" ht="15" hidden="false" customHeight="false" outlineLevel="0" collapsed="false">
      <c r="A2090" s="4" t="s">
        <v>1987</v>
      </c>
      <c r="B2090" s="4" t="s">
        <v>2693</v>
      </c>
      <c r="C2090" s="4" t="s">
        <v>2694</v>
      </c>
      <c r="D2090" s="12" t="n">
        <v>2021</v>
      </c>
      <c r="E2090" s="4"/>
      <c r="F2090" s="4" t="s">
        <v>1990</v>
      </c>
      <c r="G2090" s="4" t="s">
        <v>1991</v>
      </c>
      <c r="H2090" s="4" t="s">
        <v>1992</v>
      </c>
      <c r="I2090" s="4"/>
      <c r="J2090" s="4" t="s">
        <v>1082</v>
      </c>
      <c r="K2090" s="4" t="s">
        <v>99</v>
      </c>
      <c r="L2090" s="4" t="s">
        <v>100</v>
      </c>
      <c r="M2090" s="4" t="s">
        <v>1993</v>
      </c>
      <c r="N2090" s="4" t="s">
        <v>2001</v>
      </c>
      <c r="O2090" s="4" t="s">
        <v>2002</v>
      </c>
      <c r="P2090" s="4" t="s">
        <v>67</v>
      </c>
      <c r="Q2090" s="4" t="s">
        <v>2139</v>
      </c>
      <c r="R2090" s="4" t="s">
        <v>1997</v>
      </c>
      <c r="S2090" s="4"/>
      <c r="T2090" s="4"/>
      <c r="U2090" s="4"/>
      <c r="V2090" s="4"/>
      <c r="W2090" s="4"/>
      <c r="X2090" s="4"/>
      <c r="Y2090" s="4"/>
      <c r="Z2090" s="4"/>
      <c r="AA2090" s="4"/>
      <c r="AB2090" s="4"/>
      <c r="AC2090" s="4"/>
      <c r="AD2090" s="4"/>
      <c r="AE2090" s="4"/>
      <c r="AF2090" s="4"/>
      <c r="AG2090" s="4"/>
      <c r="AH2090" s="4"/>
      <c r="AI2090" s="4"/>
      <c r="AJ2090" s="4"/>
      <c r="AK2090" s="4"/>
      <c r="AL2090" s="4"/>
      <c r="AM2090" s="4" t="s">
        <v>2140</v>
      </c>
    </row>
    <row r="2091" customFormat="false" ht="15" hidden="false" customHeight="false" outlineLevel="0" collapsed="false">
      <c r="A2091" s="4" t="s">
        <v>1987</v>
      </c>
      <c r="B2091" s="4" t="s">
        <v>2695</v>
      </c>
      <c r="C2091" s="4" t="s">
        <v>2696</v>
      </c>
      <c r="D2091" s="12" t="n">
        <v>2021</v>
      </c>
      <c r="E2091" s="4"/>
      <c r="F2091" s="4" t="s">
        <v>1990</v>
      </c>
      <c r="G2091" s="4" t="s">
        <v>1991</v>
      </c>
      <c r="H2091" s="4" t="s">
        <v>1992</v>
      </c>
      <c r="I2091" s="4"/>
      <c r="J2091" s="4" t="s">
        <v>1084</v>
      </c>
      <c r="K2091" s="4" t="s">
        <v>99</v>
      </c>
      <c r="L2091" s="4" t="s">
        <v>100</v>
      </c>
      <c r="M2091" s="4" t="s">
        <v>1993</v>
      </c>
      <c r="N2091" s="4" t="s">
        <v>2001</v>
      </c>
      <c r="O2091" s="4" t="s">
        <v>2074</v>
      </c>
      <c r="P2091" s="4" t="s">
        <v>73</v>
      </c>
      <c r="Q2091" s="4" t="s">
        <v>2075</v>
      </c>
      <c r="R2091" s="4" t="s">
        <v>1997</v>
      </c>
      <c r="S2091" s="4"/>
      <c r="T2091" s="4"/>
      <c r="U2091" s="4"/>
      <c r="V2091" s="4"/>
      <c r="W2091" s="4"/>
      <c r="X2091" s="4"/>
      <c r="Y2091" s="4"/>
      <c r="Z2091" s="4"/>
      <c r="AA2091" s="4"/>
      <c r="AB2091" s="4"/>
      <c r="AC2091" s="4"/>
      <c r="AD2091" s="4"/>
      <c r="AE2091" s="4"/>
      <c r="AF2091" s="4"/>
      <c r="AG2091" s="4"/>
      <c r="AH2091" s="4"/>
      <c r="AI2091" s="4"/>
      <c r="AJ2091" s="4"/>
      <c r="AK2091" s="4"/>
      <c r="AL2091" s="4"/>
      <c r="AM2091" s="4" t="s">
        <v>2076</v>
      </c>
    </row>
    <row r="2092" customFormat="false" ht="15" hidden="false" customHeight="false" outlineLevel="0" collapsed="false">
      <c r="A2092" s="4" t="s">
        <v>1987</v>
      </c>
      <c r="B2092" s="4" t="s">
        <v>2697</v>
      </c>
      <c r="C2092" s="4" t="s">
        <v>2698</v>
      </c>
      <c r="D2092" s="12" t="n">
        <v>2021</v>
      </c>
      <c r="E2092" s="4"/>
      <c r="F2092" s="4" t="s">
        <v>1990</v>
      </c>
      <c r="G2092" s="4" t="s">
        <v>1991</v>
      </c>
      <c r="H2092" s="4" t="s">
        <v>1992</v>
      </c>
      <c r="I2092" s="4"/>
      <c r="J2092" s="4" t="s">
        <v>1085</v>
      </c>
      <c r="K2092" s="4" t="s">
        <v>99</v>
      </c>
      <c r="L2092" s="4" t="s">
        <v>100</v>
      </c>
      <c r="M2092" s="4" t="s">
        <v>1993</v>
      </c>
      <c r="N2092" s="4" t="s">
        <v>2001</v>
      </c>
      <c r="O2092" s="4" t="s">
        <v>2002</v>
      </c>
      <c r="P2092" s="4" t="s">
        <v>72</v>
      </c>
      <c r="Q2092" s="4" t="s">
        <v>2079</v>
      </c>
      <c r="R2092" s="4" t="s">
        <v>1997</v>
      </c>
      <c r="S2092" s="4"/>
      <c r="T2092" s="4"/>
      <c r="U2092" s="4"/>
      <c r="V2092" s="4"/>
      <c r="W2092" s="4"/>
      <c r="X2092" s="4"/>
      <c r="Y2092" s="4"/>
      <c r="Z2092" s="4"/>
      <c r="AA2092" s="4"/>
      <c r="AB2092" s="4"/>
      <c r="AC2092" s="4"/>
      <c r="AD2092" s="4"/>
      <c r="AE2092" s="4"/>
      <c r="AF2092" s="4"/>
      <c r="AG2092" s="4"/>
      <c r="AH2092" s="4"/>
      <c r="AI2092" s="4"/>
      <c r="AJ2092" s="4"/>
      <c r="AK2092" s="4"/>
      <c r="AL2092" s="4"/>
      <c r="AM2092" s="4" t="s">
        <v>2080</v>
      </c>
    </row>
    <row r="2093" customFormat="false" ht="23.85" hidden="false" customHeight="false" outlineLevel="0" collapsed="false">
      <c r="A2093" s="4" t="s">
        <v>1987</v>
      </c>
      <c r="B2093" s="4" t="s">
        <v>2699</v>
      </c>
      <c r="C2093" s="4" t="s">
        <v>2700</v>
      </c>
      <c r="D2093" s="12" t="n">
        <v>2021</v>
      </c>
      <c r="E2093" s="4"/>
      <c r="F2093" s="4" t="s">
        <v>1990</v>
      </c>
      <c r="G2093" s="4" t="s">
        <v>1991</v>
      </c>
      <c r="H2093" s="4" t="s">
        <v>1992</v>
      </c>
      <c r="I2093" s="4"/>
      <c r="J2093" s="4" t="s">
        <v>1086</v>
      </c>
      <c r="K2093" s="4" t="s">
        <v>99</v>
      </c>
      <c r="L2093" s="4" t="s">
        <v>100</v>
      </c>
      <c r="M2093" s="4" t="s">
        <v>1993</v>
      </c>
      <c r="N2093" s="4" t="s">
        <v>2001</v>
      </c>
      <c r="O2093" s="4" t="s">
        <v>2002</v>
      </c>
      <c r="P2093" s="4" t="s">
        <v>68</v>
      </c>
      <c r="Q2093" s="4" t="s">
        <v>2111</v>
      </c>
      <c r="R2093" s="4" t="s">
        <v>1997</v>
      </c>
      <c r="S2093" s="4"/>
      <c r="T2093" s="4"/>
      <c r="U2093" s="4"/>
      <c r="V2093" s="4"/>
      <c r="W2093" s="4"/>
      <c r="X2093" s="4"/>
      <c r="Y2093" s="4"/>
      <c r="Z2093" s="4"/>
      <c r="AA2093" s="4"/>
      <c r="AB2093" s="4"/>
      <c r="AC2093" s="4"/>
      <c r="AD2093" s="4"/>
      <c r="AE2093" s="4"/>
      <c r="AF2093" s="4"/>
      <c r="AG2093" s="4"/>
      <c r="AH2093" s="4"/>
      <c r="AI2093" s="4"/>
      <c r="AJ2093" s="4"/>
      <c r="AK2093" s="4"/>
      <c r="AL2093" s="4"/>
      <c r="AM2093" s="4" t="s">
        <v>2112</v>
      </c>
    </row>
    <row r="2094" customFormat="false" ht="23.85" hidden="false" customHeight="false" outlineLevel="0" collapsed="false">
      <c r="A2094" s="4" t="s">
        <v>1987</v>
      </c>
      <c r="B2094" s="4" t="s">
        <v>2701</v>
      </c>
      <c r="C2094" s="4" t="s">
        <v>2702</v>
      </c>
      <c r="D2094" s="12" t="n">
        <v>2021</v>
      </c>
      <c r="E2094" s="4"/>
      <c r="F2094" s="4" t="s">
        <v>1990</v>
      </c>
      <c r="G2094" s="4" t="s">
        <v>1991</v>
      </c>
      <c r="H2094" s="4" t="s">
        <v>1992</v>
      </c>
      <c r="I2094" s="4"/>
      <c r="J2094" s="4" t="s">
        <v>1088</v>
      </c>
      <c r="K2094" s="4" t="s">
        <v>99</v>
      </c>
      <c r="L2094" s="4" t="s">
        <v>100</v>
      </c>
      <c r="M2094" s="4" t="s">
        <v>1993</v>
      </c>
      <c r="N2094" s="4" t="s">
        <v>2001</v>
      </c>
      <c r="O2094" s="4" t="s">
        <v>2002</v>
      </c>
      <c r="P2094" s="4" t="s">
        <v>67</v>
      </c>
      <c r="Q2094" s="4" t="s">
        <v>2151</v>
      </c>
      <c r="R2094" s="4" t="s">
        <v>1997</v>
      </c>
      <c r="S2094" s="4"/>
      <c r="T2094" s="4"/>
      <c r="U2094" s="4"/>
      <c r="V2094" s="4"/>
      <c r="W2094" s="4"/>
      <c r="X2094" s="4"/>
      <c r="Y2094" s="4"/>
      <c r="Z2094" s="4"/>
      <c r="AA2094" s="4"/>
      <c r="AB2094" s="4"/>
      <c r="AC2094" s="4"/>
      <c r="AD2094" s="4"/>
      <c r="AE2094" s="4"/>
      <c r="AF2094" s="4"/>
      <c r="AG2094" s="4"/>
      <c r="AH2094" s="4"/>
      <c r="AI2094" s="4"/>
      <c r="AJ2094" s="4"/>
      <c r="AK2094" s="4"/>
      <c r="AL2094" s="4"/>
      <c r="AM2094" s="4" t="s">
        <v>2152</v>
      </c>
    </row>
    <row r="2095" customFormat="false" ht="23.85" hidden="false" customHeight="false" outlineLevel="0" collapsed="false">
      <c r="A2095" s="4" t="s">
        <v>1987</v>
      </c>
      <c r="B2095" s="4" t="s">
        <v>2703</v>
      </c>
      <c r="C2095" s="4" t="s">
        <v>2704</v>
      </c>
      <c r="D2095" s="12" t="n">
        <v>2021</v>
      </c>
      <c r="E2095" s="4"/>
      <c r="F2095" s="4" t="s">
        <v>1990</v>
      </c>
      <c r="G2095" s="4" t="s">
        <v>1991</v>
      </c>
      <c r="H2095" s="4" t="s">
        <v>1992</v>
      </c>
      <c r="I2095" s="4"/>
      <c r="J2095" s="4" t="s">
        <v>1088</v>
      </c>
      <c r="K2095" s="4" t="s">
        <v>99</v>
      </c>
      <c r="L2095" s="4" t="s">
        <v>100</v>
      </c>
      <c r="M2095" s="4" t="s">
        <v>2155</v>
      </c>
      <c r="N2095" s="4" t="s">
        <v>1994</v>
      </c>
      <c r="O2095" s="4" t="s">
        <v>2156</v>
      </c>
      <c r="P2095" s="4" t="s">
        <v>67</v>
      </c>
      <c r="Q2095" s="4" t="s">
        <v>2151</v>
      </c>
      <c r="R2095" s="4" t="s">
        <v>1997</v>
      </c>
      <c r="S2095" s="4"/>
      <c r="T2095" s="4"/>
      <c r="U2095" s="4"/>
      <c r="V2095" s="4"/>
      <c r="W2095" s="4"/>
      <c r="X2095" s="4"/>
      <c r="Y2095" s="4"/>
      <c r="Z2095" s="4"/>
      <c r="AA2095" s="4"/>
      <c r="AB2095" s="4"/>
      <c r="AC2095" s="4"/>
      <c r="AD2095" s="4"/>
      <c r="AE2095" s="4"/>
      <c r="AF2095" s="4"/>
      <c r="AG2095" s="4"/>
      <c r="AH2095" s="4"/>
      <c r="AI2095" s="4"/>
      <c r="AJ2095" s="4"/>
      <c r="AK2095" s="4"/>
      <c r="AL2095" s="4"/>
      <c r="AM2095" s="4" t="s">
        <v>2157</v>
      </c>
    </row>
    <row r="2096" customFormat="false" ht="23.85" hidden="false" customHeight="false" outlineLevel="0" collapsed="false">
      <c r="A2096" s="4" t="s">
        <v>1987</v>
      </c>
      <c r="B2096" s="4" t="s">
        <v>2705</v>
      </c>
      <c r="C2096" s="4" t="s">
        <v>2706</v>
      </c>
      <c r="D2096" s="12" t="n">
        <v>2021</v>
      </c>
      <c r="E2096" s="4"/>
      <c r="F2096" s="4" t="s">
        <v>1990</v>
      </c>
      <c r="G2096" s="4" t="s">
        <v>1991</v>
      </c>
      <c r="H2096" s="4" t="s">
        <v>1992</v>
      </c>
      <c r="I2096" s="4"/>
      <c r="J2096" s="4" t="s">
        <v>1088</v>
      </c>
      <c r="K2096" s="4" t="s">
        <v>99</v>
      </c>
      <c r="L2096" s="4" t="s">
        <v>100</v>
      </c>
      <c r="M2096" s="4" t="s">
        <v>2155</v>
      </c>
      <c r="N2096" s="4" t="s">
        <v>2001</v>
      </c>
      <c r="O2096" s="4" t="s">
        <v>2160</v>
      </c>
      <c r="P2096" s="4" t="s">
        <v>64</v>
      </c>
      <c r="Q2096" s="4" t="s">
        <v>2151</v>
      </c>
      <c r="R2096" s="4" t="s">
        <v>1997</v>
      </c>
      <c r="S2096" s="4"/>
      <c r="T2096" s="4"/>
      <c r="U2096" s="4"/>
      <c r="V2096" s="4"/>
      <c r="W2096" s="4"/>
      <c r="X2096" s="4"/>
      <c r="Y2096" s="4"/>
      <c r="Z2096" s="4"/>
      <c r="AA2096" s="4"/>
      <c r="AB2096" s="4"/>
      <c r="AC2096" s="4"/>
      <c r="AD2096" s="4"/>
      <c r="AE2096" s="4"/>
      <c r="AF2096" s="4"/>
      <c r="AG2096" s="4"/>
      <c r="AH2096" s="4"/>
      <c r="AI2096" s="4"/>
      <c r="AJ2096" s="4"/>
      <c r="AK2096" s="4"/>
      <c r="AL2096" s="4"/>
      <c r="AM2096" s="4" t="s">
        <v>2161</v>
      </c>
    </row>
    <row r="2097" customFormat="false" ht="23.85" hidden="false" customHeight="false" outlineLevel="0" collapsed="false">
      <c r="A2097" s="4" t="s">
        <v>1987</v>
      </c>
      <c r="B2097" s="4" t="s">
        <v>2707</v>
      </c>
      <c r="C2097" s="4" t="s">
        <v>2708</v>
      </c>
      <c r="D2097" s="12" t="n">
        <v>2021</v>
      </c>
      <c r="E2097" s="4"/>
      <c r="F2097" s="4" t="s">
        <v>1990</v>
      </c>
      <c r="G2097" s="4" t="s">
        <v>1991</v>
      </c>
      <c r="H2097" s="4" t="s">
        <v>1992</v>
      </c>
      <c r="I2097" s="4"/>
      <c r="J2097" s="4" t="s">
        <v>1090</v>
      </c>
      <c r="K2097" s="4" t="s">
        <v>101</v>
      </c>
      <c r="L2097" s="4" t="s">
        <v>102</v>
      </c>
      <c r="M2097" s="4" t="s">
        <v>1993</v>
      </c>
      <c r="N2097" s="4" t="s">
        <v>1994</v>
      </c>
      <c r="O2097" s="4" t="s">
        <v>2029</v>
      </c>
      <c r="P2097" s="4" t="s">
        <v>69</v>
      </c>
      <c r="Q2097" s="4" t="s">
        <v>2030</v>
      </c>
      <c r="R2097" s="4" t="s">
        <v>1997</v>
      </c>
      <c r="S2097" s="4"/>
      <c r="T2097" s="4"/>
      <c r="U2097" s="4"/>
      <c r="V2097" s="4"/>
      <c r="W2097" s="4"/>
      <c r="X2097" s="4"/>
      <c r="Y2097" s="4"/>
      <c r="Z2097" s="4"/>
      <c r="AA2097" s="4"/>
      <c r="AB2097" s="4"/>
      <c r="AC2097" s="4"/>
      <c r="AD2097" s="4"/>
      <c r="AE2097" s="4"/>
      <c r="AF2097" s="4"/>
      <c r="AG2097" s="4"/>
      <c r="AH2097" s="4"/>
      <c r="AI2097" s="4"/>
      <c r="AJ2097" s="4"/>
      <c r="AK2097" s="4"/>
      <c r="AL2097" s="4"/>
      <c r="AM2097" s="4" t="s">
        <v>2031</v>
      </c>
    </row>
    <row r="2098" customFormat="false" ht="23.85" hidden="false" customHeight="false" outlineLevel="0" collapsed="false">
      <c r="A2098" s="4" t="s">
        <v>1987</v>
      </c>
      <c r="B2098" s="4" t="s">
        <v>2709</v>
      </c>
      <c r="C2098" s="4" t="s">
        <v>2710</v>
      </c>
      <c r="D2098" s="12" t="n">
        <v>2021</v>
      </c>
      <c r="E2098" s="4"/>
      <c r="F2098" s="4" t="s">
        <v>1990</v>
      </c>
      <c r="G2098" s="4" t="s">
        <v>1991</v>
      </c>
      <c r="H2098" s="4" t="s">
        <v>1992</v>
      </c>
      <c r="I2098" s="4"/>
      <c r="J2098" s="4" t="s">
        <v>1092</v>
      </c>
      <c r="K2098" s="4" t="s">
        <v>101</v>
      </c>
      <c r="L2098" s="4" t="s">
        <v>102</v>
      </c>
      <c r="M2098" s="4" t="s">
        <v>1993</v>
      </c>
      <c r="N2098" s="4" t="s">
        <v>2001</v>
      </c>
      <c r="O2098" s="4" t="s">
        <v>2034</v>
      </c>
      <c r="P2098" s="4" t="s">
        <v>74</v>
      </c>
      <c r="Q2098" s="4" t="s">
        <v>2035</v>
      </c>
      <c r="R2098" s="4" t="s">
        <v>2036</v>
      </c>
      <c r="S2098" s="4"/>
      <c r="T2098" s="4"/>
      <c r="U2098" s="4"/>
      <c r="V2098" s="4"/>
      <c r="W2098" s="4"/>
      <c r="X2098" s="4"/>
      <c r="Y2098" s="4"/>
      <c r="Z2098" s="4"/>
      <c r="AA2098" s="4"/>
      <c r="AB2098" s="4"/>
      <c r="AC2098" s="4"/>
      <c r="AD2098" s="4"/>
      <c r="AE2098" s="4"/>
      <c r="AF2098" s="4"/>
      <c r="AG2098" s="4"/>
      <c r="AH2098" s="4"/>
      <c r="AI2098" s="4"/>
      <c r="AJ2098" s="4"/>
      <c r="AK2098" s="4"/>
      <c r="AL2098" s="4"/>
      <c r="AM2098" s="4" t="s">
        <v>2037</v>
      </c>
    </row>
    <row r="2099" customFormat="false" ht="23.85" hidden="false" customHeight="false" outlineLevel="0" collapsed="false">
      <c r="A2099" s="4" t="s">
        <v>1987</v>
      </c>
      <c r="B2099" s="4" t="s">
        <v>2711</v>
      </c>
      <c r="C2099" s="4" t="s">
        <v>2712</v>
      </c>
      <c r="D2099" s="12" t="n">
        <v>2021</v>
      </c>
      <c r="E2099" s="4"/>
      <c r="F2099" s="4" t="s">
        <v>1990</v>
      </c>
      <c r="G2099" s="4" t="s">
        <v>1991</v>
      </c>
      <c r="H2099" s="4" t="s">
        <v>1992</v>
      </c>
      <c r="I2099" s="4"/>
      <c r="J2099" s="4" t="s">
        <v>1094</v>
      </c>
      <c r="K2099" s="4" t="s">
        <v>101</v>
      </c>
      <c r="L2099" s="4" t="s">
        <v>102</v>
      </c>
      <c r="M2099" s="4" t="s">
        <v>1993</v>
      </c>
      <c r="N2099" s="4" t="s">
        <v>2001</v>
      </c>
      <c r="O2099" s="4" t="s">
        <v>2002</v>
      </c>
      <c r="P2099" s="4" t="s">
        <v>67</v>
      </c>
      <c r="Q2099" s="4" t="s">
        <v>2003</v>
      </c>
      <c r="R2099" s="4" t="s">
        <v>2004</v>
      </c>
      <c r="S2099" s="4"/>
      <c r="T2099" s="4"/>
      <c r="U2099" s="4"/>
      <c r="V2099" s="4"/>
      <c r="W2099" s="4"/>
      <c r="X2099" s="4"/>
      <c r="Y2099" s="4"/>
      <c r="Z2099" s="4"/>
      <c r="AA2099" s="4"/>
      <c r="AB2099" s="4"/>
      <c r="AC2099" s="4"/>
      <c r="AD2099" s="4"/>
      <c r="AE2099" s="4"/>
      <c r="AF2099" s="4"/>
      <c r="AG2099" s="4"/>
      <c r="AH2099" s="4"/>
      <c r="AI2099" s="4"/>
      <c r="AJ2099" s="4"/>
      <c r="AK2099" s="4"/>
      <c r="AL2099" s="4"/>
      <c r="AM2099" s="4" t="s">
        <v>2005</v>
      </c>
    </row>
    <row r="2100" customFormat="false" ht="23.85" hidden="false" customHeight="false" outlineLevel="0" collapsed="false">
      <c r="A2100" s="4" t="s">
        <v>1987</v>
      </c>
      <c r="B2100" s="4" t="s">
        <v>2713</v>
      </c>
      <c r="C2100" s="4" t="s">
        <v>2714</v>
      </c>
      <c r="D2100" s="12" t="n">
        <v>2021</v>
      </c>
      <c r="E2100" s="4"/>
      <c r="F2100" s="4" t="s">
        <v>1990</v>
      </c>
      <c r="G2100" s="4" t="s">
        <v>1991</v>
      </c>
      <c r="H2100" s="4" t="s">
        <v>1992</v>
      </c>
      <c r="I2100" s="4"/>
      <c r="J2100" s="4" t="s">
        <v>1095</v>
      </c>
      <c r="K2100" s="4" t="s">
        <v>101</v>
      </c>
      <c r="L2100" s="4" t="s">
        <v>102</v>
      </c>
      <c r="M2100" s="4" t="s">
        <v>1993</v>
      </c>
      <c r="N2100" s="4" t="s">
        <v>2001</v>
      </c>
      <c r="O2100" s="4" t="s">
        <v>2002</v>
      </c>
      <c r="P2100" s="4" t="s">
        <v>67</v>
      </c>
      <c r="Q2100" s="4" t="s">
        <v>2008</v>
      </c>
      <c r="R2100" s="4" t="s">
        <v>2004</v>
      </c>
      <c r="S2100" s="4"/>
      <c r="T2100" s="4"/>
      <c r="U2100" s="4"/>
      <c r="V2100" s="4"/>
      <c r="W2100" s="4"/>
      <c r="X2100" s="4"/>
      <c r="Y2100" s="4"/>
      <c r="Z2100" s="4"/>
      <c r="AA2100" s="4"/>
      <c r="AB2100" s="4"/>
      <c r="AC2100" s="4"/>
      <c r="AD2100" s="4"/>
      <c r="AE2100" s="4"/>
      <c r="AF2100" s="4"/>
      <c r="AG2100" s="4"/>
      <c r="AH2100" s="4"/>
      <c r="AI2100" s="4"/>
      <c r="AJ2100" s="4"/>
      <c r="AK2100" s="4"/>
      <c r="AL2100" s="4"/>
      <c r="AM2100" s="4" t="s">
        <v>2009</v>
      </c>
    </row>
    <row r="2101" customFormat="false" ht="23.85" hidden="false" customHeight="false" outlineLevel="0" collapsed="false">
      <c r="A2101" s="4" t="s">
        <v>1987</v>
      </c>
      <c r="B2101" s="4" t="s">
        <v>2715</v>
      </c>
      <c r="C2101" s="4" t="s">
        <v>2716</v>
      </c>
      <c r="D2101" s="12" t="n">
        <v>2021</v>
      </c>
      <c r="E2101" s="4"/>
      <c r="F2101" s="4" t="s">
        <v>1990</v>
      </c>
      <c r="G2101" s="4" t="s">
        <v>1991</v>
      </c>
      <c r="H2101" s="4" t="s">
        <v>1992</v>
      </c>
      <c r="I2101" s="4"/>
      <c r="J2101" s="4" t="s">
        <v>1100</v>
      </c>
      <c r="K2101" s="4" t="s">
        <v>101</v>
      </c>
      <c r="L2101" s="4" t="s">
        <v>102</v>
      </c>
      <c r="M2101" s="4" t="s">
        <v>1993</v>
      </c>
      <c r="N2101" s="4" t="s">
        <v>2001</v>
      </c>
      <c r="O2101" s="4" t="s">
        <v>2002</v>
      </c>
      <c r="P2101" s="4" t="s">
        <v>68</v>
      </c>
      <c r="Q2101" s="4" t="s">
        <v>2111</v>
      </c>
      <c r="R2101" s="4" t="s">
        <v>1997</v>
      </c>
      <c r="S2101" s="4"/>
      <c r="T2101" s="4"/>
      <c r="U2101" s="4"/>
      <c r="V2101" s="4"/>
      <c r="W2101" s="4"/>
      <c r="X2101" s="4"/>
      <c r="Y2101" s="4"/>
      <c r="Z2101" s="4"/>
      <c r="AA2101" s="4"/>
      <c r="AB2101" s="4"/>
      <c r="AC2101" s="4"/>
      <c r="AD2101" s="4"/>
      <c r="AE2101" s="4"/>
      <c r="AF2101" s="4"/>
      <c r="AG2101" s="4"/>
      <c r="AH2101" s="4"/>
      <c r="AI2101" s="4"/>
      <c r="AJ2101" s="4"/>
      <c r="AK2101" s="4"/>
      <c r="AL2101" s="4"/>
      <c r="AM2101" s="4" t="s">
        <v>2112</v>
      </c>
    </row>
    <row r="2102" customFormat="false" ht="23.85" hidden="false" customHeight="false" outlineLevel="0" collapsed="false">
      <c r="A2102" s="4" t="s">
        <v>1987</v>
      </c>
      <c r="B2102" s="4" t="s">
        <v>2717</v>
      </c>
      <c r="C2102" s="4" t="s">
        <v>2718</v>
      </c>
      <c r="D2102" s="12" t="n">
        <v>2021</v>
      </c>
      <c r="E2102" s="4"/>
      <c r="F2102" s="4" t="s">
        <v>1990</v>
      </c>
      <c r="G2102" s="4" t="s">
        <v>1991</v>
      </c>
      <c r="H2102" s="4" t="s">
        <v>1992</v>
      </c>
      <c r="I2102" s="4"/>
      <c r="J2102" s="4" t="s">
        <v>1104</v>
      </c>
      <c r="K2102" s="4" t="s">
        <v>103</v>
      </c>
      <c r="L2102" s="4" t="s">
        <v>104</v>
      </c>
      <c r="M2102" s="4" t="s">
        <v>1993</v>
      </c>
      <c r="N2102" s="4" t="s">
        <v>1994</v>
      </c>
      <c r="O2102" s="4" t="s">
        <v>2029</v>
      </c>
      <c r="P2102" s="4" t="s">
        <v>69</v>
      </c>
      <c r="Q2102" s="4" t="s">
        <v>2030</v>
      </c>
      <c r="R2102" s="4" t="s">
        <v>1997</v>
      </c>
      <c r="S2102" s="4"/>
      <c r="T2102" s="4"/>
      <c r="U2102" s="4"/>
      <c r="V2102" s="4"/>
      <c r="W2102" s="4"/>
      <c r="X2102" s="4"/>
      <c r="Y2102" s="4"/>
      <c r="Z2102" s="4"/>
      <c r="AA2102" s="4"/>
      <c r="AB2102" s="4"/>
      <c r="AC2102" s="4"/>
      <c r="AD2102" s="4"/>
      <c r="AE2102" s="4"/>
      <c r="AF2102" s="4"/>
      <c r="AG2102" s="4"/>
      <c r="AH2102" s="4"/>
      <c r="AI2102" s="4"/>
      <c r="AJ2102" s="4"/>
      <c r="AK2102" s="4"/>
      <c r="AL2102" s="4"/>
      <c r="AM2102" s="4" t="s">
        <v>2031</v>
      </c>
    </row>
    <row r="2103" customFormat="false" ht="23.85" hidden="false" customHeight="false" outlineLevel="0" collapsed="false">
      <c r="A2103" s="4" t="s">
        <v>1987</v>
      </c>
      <c r="B2103" s="4" t="s">
        <v>2719</v>
      </c>
      <c r="C2103" s="4" t="s">
        <v>2720</v>
      </c>
      <c r="D2103" s="12" t="n">
        <v>2021</v>
      </c>
      <c r="E2103" s="4"/>
      <c r="F2103" s="4" t="s">
        <v>1990</v>
      </c>
      <c r="G2103" s="4" t="s">
        <v>1991</v>
      </c>
      <c r="H2103" s="4" t="s">
        <v>1992</v>
      </c>
      <c r="I2103" s="4"/>
      <c r="J2103" s="4" t="s">
        <v>1105</v>
      </c>
      <c r="K2103" s="4" t="s">
        <v>103</v>
      </c>
      <c r="L2103" s="4" t="s">
        <v>104</v>
      </c>
      <c r="M2103" s="4" t="s">
        <v>1993</v>
      </c>
      <c r="N2103" s="4" t="s">
        <v>2001</v>
      </c>
      <c r="O2103" s="4" t="s">
        <v>2091</v>
      </c>
      <c r="P2103" s="4" t="s">
        <v>69</v>
      </c>
      <c r="Q2103" s="4" t="s">
        <v>2030</v>
      </c>
      <c r="R2103" s="4" t="s">
        <v>1997</v>
      </c>
      <c r="S2103" s="4"/>
      <c r="T2103" s="4"/>
      <c r="U2103" s="4"/>
      <c r="V2103" s="4"/>
      <c r="W2103" s="4"/>
      <c r="X2103" s="4"/>
      <c r="Y2103" s="4"/>
      <c r="Z2103" s="4"/>
      <c r="AA2103" s="4"/>
      <c r="AB2103" s="4"/>
      <c r="AC2103" s="4"/>
      <c r="AD2103" s="4"/>
      <c r="AE2103" s="4"/>
      <c r="AF2103" s="4"/>
      <c r="AG2103" s="4"/>
      <c r="AH2103" s="4"/>
      <c r="AI2103" s="4"/>
      <c r="AJ2103" s="4"/>
      <c r="AK2103" s="4"/>
      <c r="AL2103" s="4"/>
      <c r="AM2103" s="4" t="s">
        <v>2092</v>
      </c>
    </row>
    <row r="2104" customFormat="false" ht="23.85" hidden="false" customHeight="false" outlineLevel="0" collapsed="false">
      <c r="A2104" s="4" t="s">
        <v>1987</v>
      </c>
      <c r="B2104" s="4" t="s">
        <v>2721</v>
      </c>
      <c r="C2104" s="4" t="s">
        <v>2722</v>
      </c>
      <c r="D2104" s="12" t="n">
        <v>2021</v>
      </c>
      <c r="E2104" s="4"/>
      <c r="F2104" s="4" t="s">
        <v>1990</v>
      </c>
      <c r="G2104" s="4" t="s">
        <v>1991</v>
      </c>
      <c r="H2104" s="4" t="s">
        <v>1992</v>
      </c>
      <c r="I2104" s="4"/>
      <c r="J2104" s="4" t="s">
        <v>1106</v>
      </c>
      <c r="K2104" s="4" t="s">
        <v>103</v>
      </c>
      <c r="L2104" s="4" t="s">
        <v>104</v>
      </c>
      <c r="M2104" s="4" t="s">
        <v>1993</v>
      </c>
      <c r="N2104" s="4" t="s">
        <v>2001</v>
      </c>
      <c r="O2104" s="4" t="s">
        <v>2034</v>
      </c>
      <c r="P2104" s="4" t="s">
        <v>74</v>
      </c>
      <c r="Q2104" s="4" t="s">
        <v>2035</v>
      </c>
      <c r="R2104" s="4" t="s">
        <v>2036</v>
      </c>
      <c r="S2104" s="4"/>
      <c r="T2104" s="4"/>
      <c r="U2104" s="4"/>
      <c r="V2104" s="4"/>
      <c r="W2104" s="4"/>
      <c r="X2104" s="4"/>
      <c r="Y2104" s="4"/>
      <c r="Z2104" s="4"/>
      <c r="AA2104" s="4"/>
      <c r="AB2104" s="4"/>
      <c r="AC2104" s="4"/>
      <c r="AD2104" s="4"/>
      <c r="AE2104" s="4"/>
      <c r="AF2104" s="4"/>
      <c r="AG2104" s="4"/>
      <c r="AH2104" s="4"/>
      <c r="AI2104" s="4"/>
      <c r="AJ2104" s="4"/>
      <c r="AK2104" s="4"/>
      <c r="AL2104" s="4"/>
      <c r="AM2104" s="4" t="s">
        <v>2037</v>
      </c>
    </row>
    <row r="2105" customFormat="false" ht="15" hidden="false" customHeight="false" outlineLevel="0" collapsed="false">
      <c r="A2105" s="4" t="s">
        <v>1987</v>
      </c>
      <c r="B2105" s="4" t="s">
        <v>2723</v>
      </c>
      <c r="C2105" s="4" t="s">
        <v>2724</v>
      </c>
      <c r="D2105" s="12" t="n">
        <v>2021</v>
      </c>
      <c r="E2105" s="4"/>
      <c r="F2105" s="4" t="s">
        <v>1990</v>
      </c>
      <c r="G2105" s="4" t="s">
        <v>1991</v>
      </c>
      <c r="H2105" s="4" t="s">
        <v>1992</v>
      </c>
      <c r="I2105" s="4"/>
      <c r="J2105" s="4" t="s">
        <v>1111</v>
      </c>
      <c r="K2105" s="4" t="s">
        <v>103</v>
      </c>
      <c r="L2105" s="4" t="s">
        <v>104</v>
      </c>
      <c r="M2105" s="4" t="s">
        <v>1993</v>
      </c>
      <c r="N2105" s="4" t="s">
        <v>2001</v>
      </c>
      <c r="O2105" s="4" t="s">
        <v>2002</v>
      </c>
      <c r="P2105" s="4" t="s">
        <v>71</v>
      </c>
      <c r="Q2105" s="4" t="s">
        <v>2123</v>
      </c>
      <c r="R2105" s="4" t="s">
        <v>1997</v>
      </c>
      <c r="S2105" s="4"/>
      <c r="T2105" s="4"/>
      <c r="U2105" s="4"/>
      <c r="V2105" s="4"/>
      <c r="W2105" s="4"/>
      <c r="X2105" s="4"/>
      <c r="Y2105" s="4"/>
      <c r="Z2105" s="4"/>
      <c r="AA2105" s="4"/>
      <c r="AB2105" s="4"/>
      <c r="AC2105" s="4"/>
      <c r="AD2105" s="4"/>
      <c r="AE2105" s="4"/>
      <c r="AF2105" s="4"/>
      <c r="AG2105" s="4"/>
      <c r="AH2105" s="4"/>
      <c r="AI2105" s="4"/>
      <c r="AJ2105" s="4"/>
      <c r="AK2105" s="4"/>
      <c r="AL2105" s="4"/>
      <c r="AM2105" s="4" t="s">
        <v>2124</v>
      </c>
    </row>
    <row r="2106" customFormat="false" ht="15" hidden="false" customHeight="false" outlineLevel="0" collapsed="false">
      <c r="A2106" s="4" t="s">
        <v>1987</v>
      </c>
      <c r="B2106" s="4" t="s">
        <v>2725</v>
      </c>
      <c r="C2106" s="4" t="s">
        <v>2726</v>
      </c>
      <c r="D2106" s="12" t="n">
        <v>2021</v>
      </c>
      <c r="E2106" s="4"/>
      <c r="F2106" s="4" t="s">
        <v>1990</v>
      </c>
      <c r="G2106" s="4" t="s">
        <v>1991</v>
      </c>
      <c r="H2106" s="4" t="s">
        <v>1992</v>
      </c>
      <c r="I2106" s="4"/>
      <c r="J2106" s="4" t="s">
        <v>1113</v>
      </c>
      <c r="K2106" s="4" t="s">
        <v>103</v>
      </c>
      <c r="L2106" s="4" t="s">
        <v>104</v>
      </c>
      <c r="M2106" s="4" t="s">
        <v>1993</v>
      </c>
      <c r="N2106" s="4" t="s">
        <v>2001</v>
      </c>
      <c r="O2106" s="4" t="s">
        <v>2002</v>
      </c>
      <c r="P2106" s="4" t="s">
        <v>72</v>
      </c>
      <c r="Q2106" s="4" t="s">
        <v>2079</v>
      </c>
      <c r="R2106" s="4" t="s">
        <v>1997</v>
      </c>
      <c r="S2106" s="4"/>
      <c r="T2106" s="4"/>
      <c r="U2106" s="4"/>
      <c r="V2106" s="4"/>
      <c r="W2106" s="4"/>
      <c r="X2106" s="4"/>
      <c r="Y2106" s="4"/>
      <c r="Z2106" s="4"/>
      <c r="AA2106" s="4"/>
      <c r="AB2106" s="4"/>
      <c r="AC2106" s="4"/>
      <c r="AD2106" s="4"/>
      <c r="AE2106" s="4"/>
      <c r="AF2106" s="4"/>
      <c r="AG2106" s="4"/>
      <c r="AH2106" s="4"/>
      <c r="AI2106" s="4"/>
      <c r="AJ2106" s="4"/>
      <c r="AK2106" s="4"/>
      <c r="AL2106" s="4"/>
      <c r="AM2106" s="4" t="s">
        <v>2080</v>
      </c>
    </row>
    <row r="2107" customFormat="false" ht="23.85" hidden="false" customHeight="false" outlineLevel="0" collapsed="false">
      <c r="A2107" s="4" t="s">
        <v>1987</v>
      </c>
      <c r="B2107" s="4" t="s">
        <v>2727</v>
      </c>
      <c r="C2107" s="4" t="s">
        <v>2728</v>
      </c>
      <c r="D2107" s="12" t="n">
        <v>2021</v>
      </c>
      <c r="E2107" s="4"/>
      <c r="F2107" s="4" t="s">
        <v>1990</v>
      </c>
      <c r="G2107" s="4" t="s">
        <v>1991</v>
      </c>
      <c r="H2107" s="4" t="s">
        <v>1992</v>
      </c>
      <c r="I2107" s="4"/>
      <c r="J2107" s="4" t="s">
        <v>1114</v>
      </c>
      <c r="K2107" s="4" t="s">
        <v>103</v>
      </c>
      <c r="L2107" s="4" t="s">
        <v>104</v>
      </c>
      <c r="M2107" s="4" t="s">
        <v>1993</v>
      </c>
      <c r="N2107" s="4" t="s">
        <v>2001</v>
      </c>
      <c r="O2107" s="4" t="s">
        <v>2002</v>
      </c>
      <c r="P2107" s="4" t="s">
        <v>68</v>
      </c>
      <c r="Q2107" s="4" t="s">
        <v>2111</v>
      </c>
      <c r="R2107" s="4" t="s">
        <v>1997</v>
      </c>
      <c r="S2107" s="4"/>
      <c r="T2107" s="4"/>
      <c r="U2107" s="4"/>
      <c r="V2107" s="4"/>
      <c r="W2107" s="4"/>
      <c r="X2107" s="4"/>
      <c r="Y2107" s="4"/>
      <c r="Z2107" s="4"/>
      <c r="AA2107" s="4"/>
      <c r="AB2107" s="4"/>
      <c r="AC2107" s="4"/>
      <c r="AD2107" s="4"/>
      <c r="AE2107" s="4"/>
      <c r="AF2107" s="4"/>
      <c r="AG2107" s="4"/>
      <c r="AH2107" s="4"/>
      <c r="AI2107" s="4"/>
      <c r="AJ2107" s="4"/>
      <c r="AK2107" s="4"/>
      <c r="AL2107" s="4"/>
      <c r="AM2107" s="4" t="s">
        <v>2112</v>
      </c>
    </row>
    <row r="2108" customFormat="false" ht="23.85" hidden="false" customHeight="false" outlineLevel="0" collapsed="false">
      <c r="A2108" s="4" t="s">
        <v>1987</v>
      </c>
      <c r="B2108" s="4" t="s">
        <v>2729</v>
      </c>
      <c r="C2108" s="4" t="s">
        <v>2730</v>
      </c>
      <c r="D2108" s="12" t="n">
        <v>2021</v>
      </c>
      <c r="E2108" s="4"/>
      <c r="F2108" s="4" t="s">
        <v>1990</v>
      </c>
      <c r="G2108" s="4" t="s">
        <v>1991</v>
      </c>
      <c r="H2108" s="4" t="s">
        <v>1992</v>
      </c>
      <c r="I2108" s="4"/>
      <c r="J2108" s="4" t="s">
        <v>1118</v>
      </c>
      <c r="K2108" s="4" t="s">
        <v>105</v>
      </c>
      <c r="L2108" s="4" t="s">
        <v>106</v>
      </c>
      <c r="M2108" s="4" t="s">
        <v>1993</v>
      </c>
      <c r="N2108" s="4" t="s">
        <v>1994</v>
      </c>
      <c r="O2108" s="4" t="s">
        <v>2029</v>
      </c>
      <c r="P2108" s="4" t="s">
        <v>69</v>
      </c>
      <c r="Q2108" s="4" t="s">
        <v>2030</v>
      </c>
      <c r="R2108" s="4" t="s">
        <v>1997</v>
      </c>
      <c r="S2108" s="4"/>
      <c r="T2108" s="4"/>
      <c r="U2108" s="4"/>
      <c r="V2108" s="4"/>
      <c r="W2108" s="4"/>
      <c r="X2108" s="4"/>
      <c r="Y2108" s="4"/>
      <c r="Z2108" s="4"/>
      <c r="AA2108" s="4"/>
      <c r="AB2108" s="4"/>
      <c r="AC2108" s="4"/>
      <c r="AD2108" s="4"/>
      <c r="AE2108" s="4"/>
      <c r="AF2108" s="4"/>
      <c r="AG2108" s="4"/>
      <c r="AH2108" s="4"/>
      <c r="AI2108" s="4"/>
      <c r="AJ2108" s="4"/>
      <c r="AK2108" s="4"/>
      <c r="AL2108" s="4"/>
      <c r="AM2108" s="4" t="s">
        <v>2031</v>
      </c>
    </row>
    <row r="2109" customFormat="false" ht="23.85" hidden="false" customHeight="false" outlineLevel="0" collapsed="false">
      <c r="A2109" s="4" t="s">
        <v>1987</v>
      </c>
      <c r="B2109" s="4" t="s">
        <v>2731</v>
      </c>
      <c r="C2109" s="4" t="s">
        <v>2732</v>
      </c>
      <c r="D2109" s="12" t="n">
        <v>2021</v>
      </c>
      <c r="E2109" s="4"/>
      <c r="F2109" s="4" t="s">
        <v>1990</v>
      </c>
      <c r="G2109" s="4" t="s">
        <v>1991</v>
      </c>
      <c r="H2109" s="4" t="s">
        <v>1992</v>
      </c>
      <c r="I2109" s="4"/>
      <c r="J2109" s="4" t="s">
        <v>1119</v>
      </c>
      <c r="K2109" s="4" t="s">
        <v>105</v>
      </c>
      <c r="L2109" s="4" t="s">
        <v>106</v>
      </c>
      <c r="M2109" s="4" t="s">
        <v>1993</v>
      </c>
      <c r="N2109" s="4" t="s">
        <v>2001</v>
      </c>
      <c r="O2109" s="4" t="s">
        <v>2091</v>
      </c>
      <c r="P2109" s="4" t="s">
        <v>69</v>
      </c>
      <c r="Q2109" s="4" t="s">
        <v>2030</v>
      </c>
      <c r="R2109" s="4" t="s">
        <v>1997</v>
      </c>
      <c r="S2109" s="4"/>
      <c r="T2109" s="4"/>
      <c r="U2109" s="4"/>
      <c r="V2109" s="4"/>
      <c r="W2109" s="4"/>
      <c r="X2109" s="4"/>
      <c r="Y2109" s="4"/>
      <c r="Z2109" s="4"/>
      <c r="AA2109" s="4"/>
      <c r="AB2109" s="4"/>
      <c r="AC2109" s="4"/>
      <c r="AD2109" s="4"/>
      <c r="AE2109" s="4"/>
      <c r="AF2109" s="4"/>
      <c r="AG2109" s="4"/>
      <c r="AH2109" s="4"/>
      <c r="AI2109" s="4"/>
      <c r="AJ2109" s="4"/>
      <c r="AK2109" s="4"/>
      <c r="AL2109" s="4"/>
      <c r="AM2109" s="4" t="s">
        <v>2092</v>
      </c>
    </row>
    <row r="2110" customFormat="false" ht="23.85" hidden="false" customHeight="false" outlineLevel="0" collapsed="false">
      <c r="A2110" s="4" t="s">
        <v>1987</v>
      </c>
      <c r="B2110" s="4" t="s">
        <v>2733</v>
      </c>
      <c r="C2110" s="4" t="s">
        <v>2734</v>
      </c>
      <c r="D2110" s="12" t="n">
        <v>2021</v>
      </c>
      <c r="E2110" s="4"/>
      <c r="F2110" s="4" t="s">
        <v>1990</v>
      </c>
      <c r="G2110" s="4" t="s">
        <v>1991</v>
      </c>
      <c r="H2110" s="4" t="s">
        <v>1992</v>
      </c>
      <c r="I2110" s="4"/>
      <c r="J2110" s="4" t="s">
        <v>1120</v>
      </c>
      <c r="K2110" s="4" t="s">
        <v>105</v>
      </c>
      <c r="L2110" s="4" t="s">
        <v>106</v>
      </c>
      <c r="M2110" s="4" t="s">
        <v>1993</v>
      </c>
      <c r="N2110" s="4" t="s">
        <v>2001</v>
      </c>
      <c r="O2110" s="4" t="s">
        <v>2034</v>
      </c>
      <c r="P2110" s="4" t="s">
        <v>74</v>
      </c>
      <c r="Q2110" s="4" t="s">
        <v>2035</v>
      </c>
      <c r="R2110" s="4" t="s">
        <v>2036</v>
      </c>
      <c r="S2110" s="4"/>
      <c r="T2110" s="4"/>
      <c r="U2110" s="4"/>
      <c r="V2110" s="4"/>
      <c r="W2110" s="4"/>
      <c r="X2110" s="4"/>
      <c r="Y2110" s="4"/>
      <c r="Z2110" s="4"/>
      <c r="AA2110" s="4"/>
      <c r="AB2110" s="4"/>
      <c r="AC2110" s="4"/>
      <c r="AD2110" s="4"/>
      <c r="AE2110" s="4"/>
      <c r="AF2110" s="4"/>
      <c r="AG2110" s="4"/>
      <c r="AH2110" s="4"/>
      <c r="AI2110" s="4"/>
      <c r="AJ2110" s="4"/>
      <c r="AK2110" s="4"/>
      <c r="AL2110" s="4"/>
      <c r="AM2110" s="4" t="s">
        <v>2037</v>
      </c>
    </row>
    <row r="2111" customFormat="false" ht="15" hidden="false" customHeight="false" outlineLevel="0" collapsed="false">
      <c r="A2111" s="4" t="s">
        <v>1987</v>
      </c>
      <c r="B2111" s="4" t="s">
        <v>2735</v>
      </c>
      <c r="C2111" s="4" t="s">
        <v>2736</v>
      </c>
      <c r="D2111" s="12" t="n">
        <v>2021</v>
      </c>
      <c r="E2111" s="4"/>
      <c r="F2111" s="4" t="s">
        <v>1990</v>
      </c>
      <c r="G2111" s="4" t="s">
        <v>1991</v>
      </c>
      <c r="H2111" s="4" t="s">
        <v>1992</v>
      </c>
      <c r="I2111" s="4"/>
      <c r="J2111" s="4" t="s">
        <v>1125</v>
      </c>
      <c r="K2111" s="4" t="s">
        <v>105</v>
      </c>
      <c r="L2111" s="4" t="s">
        <v>106</v>
      </c>
      <c r="M2111" s="4" t="s">
        <v>1993</v>
      </c>
      <c r="N2111" s="4" t="s">
        <v>2001</v>
      </c>
      <c r="O2111" s="4" t="s">
        <v>2002</v>
      </c>
      <c r="P2111" s="4" t="s">
        <v>71</v>
      </c>
      <c r="Q2111" s="4" t="s">
        <v>2123</v>
      </c>
      <c r="R2111" s="4" t="s">
        <v>1997</v>
      </c>
      <c r="S2111" s="4"/>
      <c r="T2111" s="4"/>
      <c r="U2111" s="4"/>
      <c r="V2111" s="4"/>
      <c r="W2111" s="4"/>
      <c r="X2111" s="4"/>
      <c r="Y2111" s="4"/>
      <c r="Z2111" s="4"/>
      <c r="AA2111" s="4"/>
      <c r="AB2111" s="4"/>
      <c r="AC2111" s="4"/>
      <c r="AD2111" s="4"/>
      <c r="AE2111" s="4"/>
      <c r="AF2111" s="4"/>
      <c r="AG2111" s="4"/>
      <c r="AH2111" s="4"/>
      <c r="AI2111" s="4"/>
      <c r="AJ2111" s="4"/>
      <c r="AK2111" s="4"/>
      <c r="AL2111" s="4"/>
      <c r="AM2111" s="4" t="s">
        <v>2124</v>
      </c>
    </row>
    <row r="2112" customFormat="false" ht="15" hidden="false" customHeight="false" outlineLevel="0" collapsed="false">
      <c r="A2112" s="4" t="s">
        <v>1987</v>
      </c>
      <c r="B2112" s="4" t="s">
        <v>2737</v>
      </c>
      <c r="C2112" s="4" t="s">
        <v>2738</v>
      </c>
      <c r="D2112" s="12" t="n">
        <v>2021</v>
      </c>
      <c r="E2112" s="4"/>
      <c r="F2112" s="4" t="s">
        <v>1990</v>
      </c>
      <c r="G2112" s="4" t="s">
        <v>1991</v>
      </c>
      <c r="H2112" s="4" t="s">
        <v>1992</v>
      </c>
      <c r="I2112" s="4"/>
      <c r="J2112" s="4" t="s">
        <v>1126</v>
      </c>
      <c r="K2112" s="4" t="s">
        <v>105</v>
      </c>
      <c r="L2112" s="4" t="s">
        <v>106</v>
      </c>
      <c r="M2112" s="4" t="s">
        <v>1993</v>
      </c>
      <c r="N2112" s="4" t="s">
        <v>2001</v>
      </c>
      <c r="O2112" s="4" t="s">
        <v>2074</v>
      </c>
      <c r="P2112" s="4" t="s">
        <v>73</v>
      </c>
      <c r="Q2112" s="4" t="s">
        <v>2075</v>
      </c>
      <c r="R2112" s="4" t="s">
        <v>1997</v>
      </c>
      <c r="S2112" s="4"/>
      <c r="T2112" s="4"/>
      <c r="U2112" s="4"/>
      <c r="V2112" s="4"/>
      <c r="W2112" s="4"/>
      <c r="X2112" s="4"/>
      <c r="Y2112" s="4"/>
      <c r="Z2112" s="4"/>
      <c r="AA2112" s="4"/>
      <c r="AB2112" s="4"/>
      <c r="AC2112" s="4"/>
      <c r="AD2112" s="4"/>
      <c r="AE2112" s="4"/>
      <c r="AF2112" s="4"/>
      <c r="AG2112" s="4"/>
      <c r="AH2112" s="4"/>
      <c r="AI2112" s="4"/>
      <c r="AJ2112" s="4"/>
      <c r="AK2112" s="4"/>
      <c r="AL2112" s="4"/>
      <c r="AM2112" s="4" t="s">
        <v>2076</v>
      </c>
    </row>
    <row r="2113" customFormat="false" ht="15" hidden="false" customHeight="false" outlineLevel="0" collapsed="false">
      <c r="A2113" s="4" t="s">
        <v>1987</v>
      </c>
      <c r="B2113" s="4" t="s">
        <v>2739</v>
      </c>
      <c r="C2113" s="4" t="s">
        <v>2740</v>
      </c>
      <c r="D2113" s="12" t="n">
        <v>2021</v>
      </c>
      <c r="E2113" s="4"/>
      <c r="F2113" s="4" t="s">
        <v>1990</v>
      </c>
      <c r="G2113" s="4" t="s">
        <v>1991</v>
      </c>
      <c r="H2113" s="4" t="s">
        <v>1992</v>
      </c>
      <c r="I2113" s="4"/>
      <c r="J2113" s="4" t="s">
        <v>1127</v>
      </c>
      <c r="K2113" s="4" t="s">
        <v>105</v>
      </c>
      <c r="L2113" s="4" t="s">
        <v>106</v>
      </c>
      <c r="M2113" s="4" t="s">
        <v>1993</v>
      </c>
      <c r="N2113" s="4" t="s">
        <v>2001</v>
      </c>
      <c r="O2113" s="4" t="s">
        <v>2002</v>
      </c>
      <c r="P2113" s="4" t="s">
        <v>72</v>
      </c>
      <c r="Q2113" s="4" t="s">
        <v>2079</v>
      </c>
      <c r="R2113" s="4" t="s">
        <v>1997</v>
      </c>
      <c r="S2113" s="4"/>
      <c r="T2113" s="4"/>
      <c r="U2113" s="4"/>
      <c r="V2113" s="4"/>
      <c r="W2113" s="4"/>
      <c r="X2113" s="4"/>
      <c r="Y2113" s="4"/>
      <c r="Z2113" s="4"/>
      <c r="AA2113" s="4"/>
      <c r="AB2113" s="4"/>
      <c r="AC2113" s="4"/>
      <c r="AD2113" s="4"/>
      <c r="AE2113" s="4"/>
      <c r="AF2113" s="4"/>
      <c r="AG2113" s="4"/>
      <c r="AH2113" s="4"/>
      <c r="AI2113" s="4"/>
      <c r="AJ2113" s="4"/>
      <c r="AK2113" s="4"/>
      <c r="AL2113" s="4"/>
      <c r="AM2113" s="4" t="s">
        <v>2080</v>
      </c>
    </row>
    <row r="2114" customFormat="false" ht="23.85" hidden="false" customHeight="false" outlineLevel="0" collapsed="false">
      <c r="A2114" s="4" t="s">
        <v>1987</v>
      </c>
      <c r="B2114" s="4" t="s">
        <v>2741</v>
      </c>
      <c r="C2114" s="4" t="s">
        <v>2742</v>
      </c>
      <c r="D2114" s="12" t="n">
        <v>2021</v>
      </c>
      <c r="E2114" s="4"/>
      <c r="F2114" s="4" t="s">
        <v>1990</v>
      </c>
      <c r="G2114" s="4" t="s">
        <v>1991</v>
      </c>
      <c r="H2114" s="4" t="s">
        <v>1992</v>
      </c>
      <c r="I2114" s="4"/>
      <c r="J2114" s="4" t="s">
        <v>1128</v>
      </c>
      <c r="K2114" s="4" t="s">
        <v>105</v>
      </c>
      <c r="L2114" s="4" t="s">
        <v>106</v>
      </c>
      <c r="M2114" s="4" t="s">
        <v>1993</v>
      </c>
      <c r="N2114" s="4" t="s">
        <v>2001</v>
      </c>
      <c r="O2114" s="4" t="s">
        <v>2002</v>
      </c>
      <c r="P2114" s="4" t="s">
        <v>68</v>
      </c>
      <c r="Q2114" s="4" t="s">
        <v>2111</v>
      </c>
      <c r="R2114" s="4" t="s">
        <v>1997</v>
      </c>
      <c r="S2114" s="4"/>
      <c r="T2114" s="4"/>
      <c r="U2114" s="4"/>
      <c r="V2114" s="4"/>
      <c r="W2114" s="4"/>
      <c r="X2114" s="4"/>
      <c r="Y2114" s="4"/>
      <c r="Z2114" s="4"/>
      <c r="AA2114" s="4"/>
      <c r="AB2114" s="4"/>
      <c r="AC2114" s="4"/>
      <c r="AD2114" s="4"/>
      <c r="AE2114" s="4"/>
      <c r="AF2114" s="4"/>
      <c r="AG2114" s="4"/>
      <c r="AH2114" s="4"/>
      <c r="AI2114" s="4"/>
      <c r="AJ2114" s="4"/>
      <c r="AK2114" s="4"/>
      <c r="AL2114" s="4"/>
      <c r="AM2114" s="4" t="s">
        <v>2112</v>
      </c>
    </row>
    <row r="2115" customFormat="false" ht="23.85" hidden="false" customHeight="false" outlineLevel="0" collapsed="false">
      <c r="A2115" s="4" t="s">
        <v>1987</v>
      </c>
      <c r="B2115" s="4" t="s">
        <v>2743</v>
      </c>
      <c r="C2115" s="4" t="s">
        <v>2744</v>
      </c>
      <c r="D2115" s="12" t="n">
        <v>2021</v>
      </c>
      <c r="E2115" s="4"/>
      <c r="F2115" s="4" t="s">
        <v>1990</v>
      </c>
      <c r="G2115" s="4" t="s">
        <v>1991</v>
      </c>
      <c r="H2115" s="4" t="s">
        <v>1992</v>
      </c>
      <c r="I2115" s="4"/>
      <c r="J2115" s="4" t="s">
        <v>1132</v>
      </c>
      <c r="K2115" s="4" t="s">
        <v>107</v>
      </c>
      <c r="L2115" s="4" t="s">
        <v>108</v>
      </c>
      <c r="M2115" s="4" t="s">
        <v>1993</v>
      </c>
      <c r="N2115" s="4" t="s">
        <v>1994</v>
      </c>
      <c r="O2115" s="4" t="s">
        <v>2029</v>
      </c>
      <c r="P2115" s="4" t="s">
        <v>69</v>
      </c>
      <c r="Q2115" s="4" t="s">
        <v>2030</v>
      </c>
      <c r="R2115" s="4" t="s">
        <v>1997</v>
      </c>
      <c r="S2115" s="4"/>
      <c r="T2115" s="4"/>
      <c r="U2115" s="4"/>
      <c r="V2115" s="4"/>
      <c r="W2115" s="4"/>
      <c r="X2115" s="4"/>
      <c r="Y2115" s="4"/>
      <c r="Z2115" s="4"/>
      <c r="AA2115" s="4"/>
      <c r="AB2115" s="4"/>
      <c r="AC2115" s="4"/>
      <c r="AD2115" s="4"/>
      <c r="AE2115" s="4"/>
      <c r="AF2115" s="4"/>
      <c r="AG2115" s="4"/>
      <c r="AH2115" s="4"/>
      <c r="AI2115" s="4"/>
      <c r="AJ2115" s="4"/>
      <c r="AK2115" s="4"/>
      <c r="AL2115" s="4"/>
      <c r="AM2115" s="4" t="s">
        <v>2031</v>
      </c>
    </row>
    <row r="2116" customFormat="false" ht="23.85" hidden="false" customHeight="false" outlineLevel="0" collapsed="false">
      <c r="A2116" s="4" t="s">
        <v>1987</v>
      </c>
      <c r="B2116" s="4" t="s">
        <v>2745</v>
      </c>
      <c r="C2116" s="4" t="s">
        <v>2746</v>
      </c>
      <c r="D2116" s="12" t="n">
        <v>2021</v>
      </c>
      <c r="E2116" s="4"/>
      <c r="F2116" s="4" t="s">
        <v>1990</v>
      </c>
      <c r="G2116" s="4" t="s">
        <v>1991</v>
      </c>
      <c r="H2116" s="4" t="s">
        <v>1992</v>
      </c>
      <c r="I2116" s="4"/>
      <c r="J2116" s="4" t="s">
        <v>1133</v>
      </c>
      <c r="K2116" s="4" t="s">
        <v>107</v>
      </c>
      <c r="L2116" s="4" t="s">
        <v>108</v>
      </c>
      <c r="M2116" s="4" t="s">
        <v>1993</v>
      </c>
      <c r="N2116" s="4" t="s">
        <v>2001</v>
      </c>
      <c r="O2116" s="4" t="s">
        <v>2091</v>
      </c>
      <c r="P2116" s="4" t="s">
        <v>69</v>
      </c>
      <c r="Q2116" s="4" t="s">
        <v>2030</v>
      </c>
      <c r="R2116" s="4" t="s">
        <v>1997</v>
      </c>
      <c r="S2116" s="4"/>
      <c r="T2116" s="4"/>
      <c r="U2116" s="4"/>
      <c r="V2116" s="4"/>
      <c r="W2116" s="4"/>
      <c r="X2116" s="4"/>
      <c r="Y2116" s="4"/>
      <c r="Z2116" s="4"/>
      <c r="AA2116" s="4"/>
      <c r="AB2116" s="4"/>
      <c r="AC2116" s="4"/>
      <c r="AD2116" s="4"/>
      <c r="AE2116" s="4"/>
      <c r="AF2116" s="4"/>
      <c r="AG2116" s="4"/>
      <c r="AH2116" s="4"/>
      <c r="AI2116" s="4"/>
      <c r="AJ2116" s="4"/>
      <c r="AK2116" s="4"/>
      <c r="AL2116" s="4"/>
      <c r="AM2116" s="4" t="s">
        <v>2092</v>
      </c>
    </row>
    <row r="2117" customFormat="false" ht="23.85" hidden="false" customHeight="false" outlineLevel="0" collapsed="false">
      <c r="A2117" s="4" t="s">
        <v>1987</v>
      </c>
      <c r="B2117" s="4" t="s">
        <v>2747</v>
      </c>
      <c r="C2117" s="4" t="s">
        <v>2748</v>
      </c>
      <c r="D2117" s="12" t="n">
        <v>2021</v>
      </c>
      <c r="E2117" s="4"/>
      <c r="F2117" s="4" t="s">
        <v>1990</v>
      </c>
      <c r="G2117" s="4" t="s">
        <v>1991</v>
      </c>
      <c r="H2117" s="4" t="s">
        <v>1992</v>
      </c>
      <c r="I2117" s="4"/>
      <c r="J2117" s="4" t="s">
        <v>1134</v>
      </c>
      <c r="K2117" s="4" t="s">
        <v>107</v>
      </c>
      <c r="L2117" s="4" t="s">
        <v>108</v>
      </c>
      <c r="M2117" s="4" t="s">
        <v>1993</v>
      </c>
      <c r="N2117" s="4" t="s">
        <v>2001</v>
      </c>
      <c r="O2117" s="4" t="s">
        <v>2034</v>
      </c>
      <c r="P2117" s="4" t="s">
        <v>74</v>
      </c>
      <c r="Q2117" s="4" t="s">
        <v>2035</v>
      </c>
      <c r="R2117" s="4" t="s">
        <v>2036</v>
      </c>
      <c r="S2117" s="4"/>
      <c r="T2117" s="4"/>
      <c r="U2117" s="4"/>
      <c r="V2117" s="4"/>
      <c r="W2117" s="4"/>
      <c r="X2117" s="4"/>
      <c r="Y2117" s="4"/>
      <c r="Z2117" s="4"/>
      <c r="AA2117" s="4"/>
      <c r="AB2117" s="4"/>
      <c r="AC2117" s="4"/>
      <c r="AD2117" s="4"/>
      <c r="AE2117" s="4"/>
      <c r="AF2117" s="4"/>
      <c r="AG2117" s="4"/>
      <c r="AH2117" s="4"/>
      <c r="AI2117" s="4"/>
      <c r="AJ2117" s="4"/>
      <c r="AK2117" s="4"/>
      <c r="AL2117" s="4"/>
      <c r="AM2117" s="4" t="s">
        <v>2037</v>
      </c>
    </row>
    <row r="2118" customFormat="false" ht="15" hidden="false" customHeight="false" outlineLevel="0" collapsed="false">
      <c r="A2118" s="4" t="s">
        <v>1987</v>
      </c>
      <c r="B2118" s="4" t="s">
        <v>2749</v>
      </c>
      <c r="C2118" s="4" t="s">
        <v>2750</v>
      </c>
      <c r="D2118" s="12" t="n">
        <v>2021</v>
      </c>
      <c r="E2118" s="4"/>
      <c r="F2118" s="4" t="s">
        <v>1990</v>
      </c>
      <c r="G2118" s="4" t="s">
        <v>1991</v>
      </c>
      <c r="H2118" s="4" t="s">
        <v>1992</v>
      </c>
      <c r="I2118" s="4"/>
      <c r="J2118" s="4" t="s">
        <v>1139</v>
      </c>
      <c r="K2118" s="4" t="s">
        <v>107</v>
      </c>
      <c r="L2118" s="4" t="s">
        <v>108</v>
      </c>
      <c r="M2118" s="4" t="s">
        <v>1993</v>
      </c>
      <c r="N2118" s="4" t="s">
        <v>2001</v>
      </c>
      <c r="O2118" s="4" t="s">
        <v>2002</v>
      </c>
      <c r="P2118" s="4" t="s">
        <v>71</v>
      </c>
      <c r="Q2118" s="4" t="s">
        <v>2123</v>
      </c>
      <c r="R2118" s="4" t="s">
        <v>1997</v>
      </c>
      <c r="S2118" s="4"/>
      <c r="T2118" s="4"/>
      <c r="U2118" s="4"/>
      <c r="V2118" s="4"/>
      <c r="W2118" s="4"/>
      <c r="X2118" s="4"/>
      <c r="Y2118" s="4"/>
      <c r="Z2118" s="4"/>
      <c r="AA2118" s="4"/>
      <c r="AB2118" s="4"/>
      <c r="AC2118" s="4"/>
      <c r="AD2118" s="4"/>
      <c r="AE2118" s="4"/>
      <c r="AF2118" s="4"/>
      <c r="AG2118" s="4"/>
      <c r="AH2118" s="4"/>
      <c r="AI2118" s="4"/>
      <c r="AJ2118" s="4"/>
      <c r="AK2118" s="4"/>
      <c r="AL2118" s="4"/>
      <c r="AM2118" s="4" t="s">
        <v>2124</v>
      </c>
    </row>
    <row r="2119" customFormat="false" ht="23.85" hidden="false" customHeight="false" outlineLevel="0" collapsed="false">
      <c r="A2119" s="4" t="s">
        <v>1987</v>
      </c>
      <c r="B2119" s="4" t="s">
        <v>2751</v>
      </c>
      <c r="C2119" s="4" t="s">
        <v>2752</v>
      </c>
      <c r="D2119" s="12" t="n">
        <v>2021</v>
      </c>
      <c r="E2119" s="4"/>
      <c r="F2119" s="4" t="s">
        <v>1990</v>
      </c>
      <c r="G2119" s="4" t="s">
        <v>1991</v>
      </c>
      <c r="H2119" s="4" t="s">
        <v>1992</v>
      </c>
      <c r="I2119" s="4"/>
      <c r="J2119" s="4" t="s">
        <v>1146</v>
      </c>
      <c r="K2119" s="4" t="s">
        <v>111</v>
      </c>
      <c r="L2119" s="4" t="s">
        <v>112</v>
      </c>
      <c r="M2119" s="4" t="s">
        <v>1993</v>
      </c>
      <c r="N2119" s="4" t="s">
        <v>1994</v>
      </c>
      <c r="O2119" s="4" t="s">
        <v>2029</v>
      </c>
      <c r="P2119" s="4" t="s">
        <v>69</v>
      </c>
      <c r="Q2119" s="4" t="s">
        <v>2030</v>
      </c>
      <c r="R2119" s="4" t="s">
        <v>1997</v>
      </c>
      <c r="S2119" s="4"/>
      <c r="T2119" s="4"/>
      <c r="U2119" s="4"/>
      <c r="V2119" s="4"/>
      <c r="W2119" s="4"/>
      <c r="X2119" s="4"/>
      <c r="Y2119" s="4"/>
      <c r="Z2119" s="4"/>
      <c r="AA2119" s="4"/>
      <c r="AB2119" s="4"/>
      <c r="AC2119" s="4"/>
      <c r="AD2119" s="4"/>
      <c r="AE2119" s="4"/>
      <c r="AF2119" s="4"/>
      <c r="AG2119" s="4"/>
      <c r="AH2119" s="4"/>
      <c r="AI2119" s="4"/>
      <c r="AJ2119" s="4"/>
      <c r="AK2119" s="4"/>
      <c r="AL2119" s="4"/>
      <c r="AM2119" s="4" t="s">
        <v>2031</v>
      </c>
    </row>
    <row r="2120" customFormat="false" ht="23.85" hidden="false" customHeight="false" outlineLevel="0" collapsed="false">
      <c r="A2120" s="4" t="s">
        <v>1987</v>
      </c>
      <c r="B2120" s="4" t="s">
        <v>2753</v>
      </c>
      <c r="C2120" s="4" t="s">
        <v>2754</v>
      </c>
      <c r="D2120" s="12" t="n">
        <v>2021</v>
      </c>
      <c r="E2120" s="4"/>
      <c r="F2120" s="4" t="s">
        <v>1990</v>
      </c>
      <c r="G2120" s="4" t="s">
        <v>1991</v>
      </c>
      <c r="H2120" s="4" t="s">
        <v>1992</v>
      </c>
      <c r="I2120" s="4"/>
      <c r="J2120" s="4" t="s">
        <v>1147</v>
      </c>
      <c r="K2120" s="4" t="s">
        <v>111</v>
      </c>
      <c r="L2120" s="4" t="s">
        <v>112</v>
      </c>
      <c r="M2120" s="4" t="s">
        <v>1993</v>
      </c>
      <c r="N2120" s="4" t="s">
        <v>2001</v>
      </c>
      <c r="O2120" s="4" t="s">
        <v>2091</v>
      </c>
      <c r="P2120" s="4" t="s">
        <v>69</v>
      </c>
      <c r="Q2120" s="4" t="s">
        <v>2030</v>
      </c>
      <c r="R2120" s="4" t="s">
        <v>1997</v>
      </c>
      <c r="S2120" s="4"/>
      <c r="T2120" s="4"/>
      <c r="U2120" s="4"/>
      <c r="V2120" s="4"/>
      <c r="W2120" s="4"/>
      <c r="X2120" s="4"/>
      <c r="Y2120" s="4"/>
      <c r="Z2120" s="4"/>
      <c r="AA2120" s="4"/>
      <c r="AB2120" s="4"/>
      <c r="AC2120" s="4"/>
      <c r="AD2120" s="4"/>
      <c r="AE2120" s="4"/>
      <c r="AF2120" s="4"/>
      <c r="AG2120" s="4"/>
      <c r="AH2120" s="4"/>
      <c r="AI2120" s="4"/>
      <c r="AJ2120" s="4"/>
      <c r="AK2120" s="4"/>
      <c r="AL2120" s="4"/>
      <c r="AM2120" s="4" t="s">
        <v>2092</v>
      </c>
    </row>
    <row r="2121" customFormat="false" ht="23.85" hidden="false" customHeight="false" outlineLevel="0" collapsed="false">
      <c r="A2121" s="4" t="s">
        <v>1987</v>
      </c>
      <c r="B2121" s="4" t="s">
        <v>2755</v>
      </c>
      <c r="C2121" s="4" t="s">
        <v>2756</v>
      </c>
      <c r="D2121" s="12" t="n">
        <v>2021</v>
      </c>
      <c r="E2121" s="4"/>
      <c r="F2121" s="4" t="s">
        <v>1990</v>
      </c>
      <c r="G2121" s="4" t="s">
        <v>1991</v>
      </c>
      <c r="H2121" s="4" t="s">
        <v>1992</v>
      </c>
      <c r="I2121" s="4"/>
      <c r="J2121" s="4" t="s">
        <v>1148</v>
      </c>
      <c r="K2121" s="4" t="s">
        <v>111</v>
      </c>
      <c r="L2121" s="4" t="s">
        <v>112</v>
      </c>
      <c r="M2121" s="4" t="s">
        <v>1993</v>
      </c>
      <c r="N2121" s="4" t="s">
        <v>2001</v>
      </c>
      <c r="O2121" s="4" t="s">
        <v>2034</v>
      </c>
      <c r="P2121" s="4" t="s">
        <v>74</v>
      </c>
      <c r="Q2121" s="4" t="s">
        <v>2035</v>
      </c>
      <c r="R2121" s="4" t="s">
        <v>2036</v>
      </c>
      <c r="S2121" s="4"/>
      <c r="T2121" s="4"/>
      <c r="U2121" s="4"/>
      <c r="V2121" s="4"/>
      <c r="W2121" s="4"/>
      <c r="X2121" s="4"/>
      <c r="Y2121" s="4"/>
      <c r="Z2121" s="4"/>
      <c r="AA2121" s="4"/>
      <c r="AB2121" s="4"/>
      <c r="AC2121" s="4"/>
      <c r="AD2121" s="4"/>
      <c r="AE2121" s="4"/>
      <c r="AF2121" s="4"/>
      <c r="AG2121" s="4"/>
      <c r="AH2121" s="4"/>
      <c r="AI2121" s="4"/>
      <c r="AJ2121" s="4"/>
      <c r="AK2121" s="4"/>
      <c r="AL2121" s="4"/>
      <c r="AM2121" s="4" t="s">
        <v>2037</v>
      </c>
    </row>
    <row r="2122" customFormat="false" ht="23.85" hidden="false" customHeight="false" outlineLevel="0" collapsed="false">
      <c r="A2122" s="4" t="s">
        <v>1987</v>
      </c>
      <c r="B2122" s="4" t="s">
        <v>2757</v>
      </c>
      <c r="C2122" s="4" t="s">
        <v>2758</v>
      </c>
      <c r="D2122" s="12" t="n">
        <v>2021</v>
      </c>
      <c r="E2122" s="4"/>
      <c r="F2122" s="4" t="s">
        <v>1990</v>
      </c>
      <c r="G2122" s="4" t="s">
        <v>1991</v>
      </c>
      <c r="H2122" s="4" t="s">
        <v>1992</v>
      </c>
      <c r="I2122" s="4"/>
      <c r="J2122" s="4" t="s">
        <v>1149</v>
      </c>
      <c r="K2122" s="4" t="s">
        <v>111</v>
      </c>
      <c r="L2122" s="4" t="s">
        <v>112</v>
      </c>
      <c r="M2122" s="4" t="s">
        <v>1993</v>
      </c>
      <c r="N2122" s="4" t="s">
        <v>1994</v>
      </c>
      <c r="O2122" s="4" t="s">
        <v>1995</v>
      </c>
      <c r="P2122" s="4" t="s">
        <v>67</v>
      </c>
      <c r="Q2122" s="4" t="s">
        <v>2097</v>
      </c>
      <c r="R2122" s="4" t="s">
        <v>1997</v>
      </c>
      <c r="S2122" s="4"/>
      <c r="T2122" s="4"/>
      <c r="U2122" s="4"/>
      <c r="V2122" s="4"/>
      <c r="W2122" s="4"/>
      <c r="X2122" s="4"/>
      <c r="Y2122" s="4"/>
      <c r="Z2122" s="4"/>
      <c r="AA2122" s="4"/>
      <c r="AB2122" s="4"/>
      <c r="AC2122" s="4"/>
      <c r="AD2122" s="4"/>
      <c r="AE2122" s="4"/>
      <c r="AF2122" s="4"/>
      <c r="AG2122" s="4"/>
      <c r="AH2122" s="4"/>
      <c r="AI2122" s="4"/>
      <c r="AJ2122" s="4"/>
      <c r="AK2122" s="4"/>
      <c r="AL2122" s="4"/>
      <c r="AM2122" s="4" t="s">
        <v>2214</v>
      </c>
    </row>
    <row r="2123" customFormat="false" ht="23.85" hidden="false" customHeight="false" outlineLevel="0" collapsed="false">
      <c r="A2123" s="4" t="s">
        <v>1987</v>
      </c>
      <c r="B2123" s="4" t="s">
        <v>2759</v>
      </c>
      <c r="C2123" s="4" t="s">
        <v>2760</v>
      </c>
      <c r="D2123" s="12" t="n">
        <v>2021</v>
      </c>
      <c r="E2123" s="4"/>
      <c r="F2123" s="4" t="s">
        <v>1990</v>
      </c>
      <c r="G2123" s="4" t="s">
        <v>1991</v>
      </c>
      <c r="H2123" s="4" t="s">
        <v>1992</v>
      </c>
      <c r="I2123" s="4"/>
      <c r="J2123" s="4" t="s">
        <v>2761</v>
      </c>
      <c r="K2123" s="4" t="s">
        <v>97</v>
      </c>
      <c r="L2123" s="4" t="s">
        <v>98</v>
      </c>
      <c r="M2123" s="4" t="s">
        <v>1993</v>
      </c>
      <c r="N2123" s="4" t="s">
        <v>2001</v>
      </c>
      <c r="O2123" s="4" t="s">
        <v>2218</v>
      </c>
      <c r="P2123" s="4" t="s">
        <v>44</v>
      </c>
      <c r="Q2123" s="4" t="s">
        <v>2219</v>
      </c>
      <c r="R2123" s="4" t="s">
        <v>2220</v>
      </c>
      <c r="S2123" s="4"/>
      <c r="T2123" s="4"/>
      <c r="U2123" s="4"/>
      <c r="V2123" s="4"/>
      <c r="W2123" s="4"/>
      <c r="X2123" s="4"/>
      <c r="Y2123" s="4"/>
      <c r="Z2123" s="4"/>
      <c r="AA2123" s="4"/>
      <c r="AB2123" s="4"/>
      <c r="AC2123" s="4"/>
      <c r="AD2123" s="4"/>
      <c r="AE2123" s="4"/>
      <c r="AF2123" s="4"/>
      <c r="AG2123" s="4"/>
      <c r="AH2123" s="4"/>
      <c r="AI2123" s="4"/>
      <c r="AJ2123" s="4"/>
      <c r="AK2123" s="4"/>
      <c r="AL2123" s="4"/>
      <c r="AM2123" s="4" t="s">
        <v>2221</v>
      </c>
    </row>
    <row r="2124" customFormat="false" ht="23.85" hidden="false" customHeight="false" outlineLevel="0" collapsed="false">
      <c r="A2124" s="4" t="s">
        <v>1987</v>
      </c>
      <c r="B2124" s="4" t="s">
        <v>2762</v>
      </c>
      <c r="C2124" s="4" t="s">
        <v>2763</v>
      </c>
      <c r="D2124" s="12" t="n">
        <v>2021</v>
      </c>
      <c r="E2124" s="4"/>
      <c r="F2124" s="4" t="s">
        <v>1990</v>
      </c>
      <c r="G2124" s="4" t="s">
        <v>1991</v>
      </c>
      <c r="H2124" s="4" t="s">
        <v>1992</v>
      </c>
      <c r="I2124" s="4"/>
      <c r="J2124" s="4" t="s">
        <v>2764</v>
      </c>
      <c r="K2124" s="4" t="s">
        <v>99</v>
      </c>
      <c r="L2124" s="4" t="s">
        <v>100</v>
      </c>
      <c r="M2124" s="4" t="s">
        <v>1993</v>
      </c>
      <c r="N2124" s="4" t="s">
        <v>2001</v>
      </c>
      <c r="O2124" s="4" t="s">
        <v>2218</v>
      </c>
      <c r="P2124" s="4" t="s">
        <v>44</v>
      </c>
      <c r="Q2124" s="4" t="s">
        <v>2219</v>
      </c>
      <c r="R2124" s="4" t="s">
        <v>2220</v>
      </c>
      <c r="S2124" s="4"/>
      <c r="T2124" s="4"/>
      <c r="U2124" s="4"/>
      <c r="V2124" s="4"/>
      <c r="W2124" s="4"/>
      <c r="X2124" s="4"/>
      <c r="Y2124" s="4"/>
      <c r="Z2124" s="4"/>
      <c r="AA2124" s="4"/>
      <c r="AB2124" s="4"/>
      <c r="AC2124" s="4"/>
      <c r="AD2124" s="4"/>
      <c r="AE2124" s="4"/>
      <c r="AF2124" s="4"/>
      <c r="AG2124" s="4"/>
      <c r="AH2124" s="4"/>
      <c r="AI2124" s="4"/>
      <c r="AJ2124" s="4"/>
      <c r="AK2124" s="4"/>
      <c r="AL2124" s="4"/>
      <c r="AM2124" s="4" t="s">
        <v>2221</v>
      </c>
    </row>
    <row r="2125" customFormat="false" ht="23.85" hidden="false" customHeight="false" outlineLevel="0" collapsed="false">
      <c r="A2125" s="4" t="s">
        <v>1987</v>
      </c>
      <c r="B2125" s="4" t="s">
        <v>2765</v>
      </c>
      <c r="C2125" s="4" t="s">
        <v>2766</v>
      </c>
      <c r="D2125" s="12" t="n">
        <v>2021</v>
      </c>
      <c r="E2125" s="4"/>
      <c r="F2125" s="4" t="s">
        <v>1990</v>
      </c>
      <c r="G2125" s="4" t="s">
        <v>1991</v>
      </c>
      <c r="H2125" s="4" t="s">
        <v>1992</v>
      </c>
      <c r="I2125" s="4"/>
      <c r="J2125" s="4" t="s">
        <v>2767</v>
      </c>
      <c r="K2125" s="4" t="s">
        <v>101</v>
      </c>
      <c r="L2125" s="4" t="s">
        <v>102</v>
      </c>
      <c r="M2125" s="4" t="s">
        <v>1993</v>
      </c>
      <c r="N2125" s="4" t="s">
        <v>2001</v>
      </c>
      <c r="O2125" s="4" t="s">
        <v>2218</v>
      </c>
      <c r="P2125" s="4" t="s">
        <v>44</v>
      </c>
      <c r="Q2125" s="4" t="s">
        <v>2219</v>
      </c>
      <c r="R2125" s="4" t="s">
        <v>2220</v>
      </c>
      <c r="S2125" s="4"/>
      <c r="T2125" s="4"/>
      <c r="U2125" s="4"/>
      <c r="V2125" s="4"/>
      <c r="W2125" s="4"/>
      <c r="X2125" s="4"/>
      <c r="Y2125" s="4"/>
      <c r="Z2125" s="4"/>
      <c r="AA2125" s="4"/>
      <c r="AB2125" s="4"/>
      <c r="AC2125" s="4"/>
      <c r="AD2125" s="4"/>
      <c r="AE2125" s="4"/>
      <c r="AF2125" s="4"/>
      <c r="AG2125" s="4"/>
      <c r="AH2125" s="4"/>
      <c r="AI2125" s="4"/>
      <c r="AJ2125" s="4"/>
      <c r="AK2125" s="4"/>
      <c r="AL2125" s="4"/>
      <c r="AM2125" s="4" t="s">
        <v>2221</v>
      </c>
    </row>
    <row r="2126" customFormat="false" ht="23.85" hidden="false" customHeight="false" outlineLevel="0" collapsed="false">
      <c r="A2126" s="4" t="s">
        <v>1987</v>
      </c>
      <c r="B2126" s="4" t="s">
        <v>2768</v>
      </c>
      <c r="C2126" s="4" t="s">
        <v>2769</v>
      </c>
      <c r="D2126" s="12" t="n">
        <v>2021</v>
      </c>
      <c r="E2126" s="4"/>
      <c r="F2126" s="4" t="s">
        <v>1990</v>
      </c>
      <c r="G2126" s="4" t="s">
        <v>1991</v>
      </c>
      <c r="H2126" s="4" t="s">
        <v>1992</v>
      </c>
      <c r="I2126" s="4"/>
      <c r="J2126" s="4" t="s">
        <v>2770</v>
      </c>
      <c r="K2126" s="4" t="s">
        <v>103</v>
      </c>
      <c r="L2126" s="4" t="s">
        <v>104</v>
      </c>
      <c r="M2126" s="4" t="s">
        <v>1993</v>
      </c>
      <c r="N2126" s="4" t="s">
        <v>2001</v>
      </c>
      <c r="O2126" s="4" t="s">
        <v>2218</v>
      </c>
      <c r="P2126" s="4" t="s">
        <v>44</v>
      </c>
      <c r="Q2126" s="4" t="s">
        <v>2219</v>
      </c>
      <c r="R2126" s="4" t="s">
        <v>2220</v>
      </c>
      <c r="S2126" s="4"/>
      <c r="T2126" s="4"/>
      <c r="U2126" s="4"/>
      <c r="V2126" s="4"/>
      <c r="W2126" s="4"/>
      <c r="X2126" s="4"/>
      <c r="Y2126" s="4"/>
      <c r="Z2126" s="4"/>
      <c r="AA2126" s="4"/>
      <c r="AB2126" s="4"/>
      <c r="AC2126" s="4"/>
      <c r="AD2126" s="4"/>
      <c r="AE2126" s="4"/>
      <c r="AF2126" s="4"/>
      <c r="AG2126" s="4"/>
      <c r="AH2126" s="4"/>
      <c r="AI2126" s="4"/>
      <c r="AJ2126" s="4"/>
      <c r="AK2126" s="4"/>
      <c r="AL2126" s="4"/>
      <c r="AM2126" s="4" t="s">
        <v>2221</v>
      </c>
    </row>
    <row r="2127" customFormat="false" ht="23.85" hidden="false" customHeight="false" outlineLevel="0" collapsed="false">
      <c r="A2127" s="4" t="s">
        <v>1987</v>
      </c>
      <c r="B2127" s="4" t="s">
        <v>2771</v>
      </c>
      <c r="C2127" s="4" t="s">
        <v>2772</v>
      </c>
      <c r="D2127" s="12" t="n">
        <v>2021</v>
      </c>
      <c r="E2127" s="4"/>
      <c r="F2127" s="4" t="s">
        <v>1990</v>
      </c>
      <c r="G2127" s="4" t="s">
        <v>1991</v>
      </c>
      <c r="H2127" s="4" t="s">
        <v>1992</v>
      </c>
      <c r="I2127" s="4"/>
      <c r="J2127" s="4" t="s">
        <v>2773</v>
      </c>
      <c r="K2127" s="4" t="s">
        <v>105</v>
      </c>
      <c r="L2127" s="4" t="s">
        <v>106</v>
      </c>
      <c r="M2127" s="4" t="s">
        <v>1993</v>
      </c>
      <c r="N2127" s="4" t="s">
        <v>2001</v>
      </c>
      <c r="O2127" s="4" t="s">
        <v>2218</v>
      </c>
      <c r="P2127" s="4" t="s">
        <v>44</v>
      </c>
      <c r="Q2127" s="4" t="s">
        <v>2219</v>
      </c>
      <c r="R2127" s="4" t="s">
        <v>2220</v>
      </c>
      <c r="S2127" s="4"/>
      <c r="T2127" s="4"/>
      <c r="U2127" s="4"/>
      <c r="V2127" s="4"/>
      <c r="W2127" s="4"/>
      <c r="X2127" s="4"/>
      <c r="Y2127" s="4"/>
      <c r="Z2127" s="4"/>
      <c r="AA2127" s="4"/>
      <c r="AB2127" s="4"/>
      <c r="AC2127" s="4"/>
      <c r="AD2127" s="4"/>
      <c r="AE2127" s="4"/>
      <c r="AF2127" s="4"/>
      <c r="AG2127" s="4"/>
      <c r="AH2127" s="4"/>
      <c r="AI2127" s="4"/>
      <c r="AJ2127" s="4"/>
      <c r="AK2127" s="4"/>
      <c r="AL2127" s="4"/>
      <c r="AM2127" s="4" t="s">
        <v>2221</v>
      </c>
    </row>
    <row r="2128" customFormat="false" ht="23.85" hidden="false" customHeight="false" outlineLevel="0" collapsed="false">
      <c r="A2128" s="4" t="s">
        <v>1987</v>
      </c>
      <c r="B2128" s="4" t="s">
        <v>2774</v>
      </c>
      <c r="C2128" s="4" t="s">
        <v>2775</v>
      </c>
      <c r="D2128" s="12" t="n">
        <v>2021</v>
      </c>
      <c r="E2128" s="4"/>
      <c r="F2128" s="4" t="s">
        <v>1990</v>
      </c>
      <c r="G2128" s="4" t="s">
        <v>1991</v>
      </c>
      <c r="H2128" s="4" t="s">
        <v>1992</v>
      </c>
      <c r="I2128" s="4"/>
      <c r="J2128" s="4" t="s">
        <v>2776</v>
      </c>
      <c r="K2128" s="4" t="s">
        <v>107</v>
      </c>
      <c r="L2128" s="4" t="s">
        <v>108</v>
      </c>
      <c r="M2128" s="4" t="s">
        <v>1993</v>
      </c>
      <c r="N2128" s="4" t="s">
        <v>2001</v>
      </c>
      <c r="O2128" s="4" t="s">
        <v>2218</v>
      </c>
      <c r="P2128" s="4" t="s">
        <v>44</v>
      </c>
      <c r="Q2128" s="4" t="s">
        <v>2219</v>
      </c>
      <c r="R2128" s="4" t="s">
        <v>2220</v>
      </c>
      <c r="S2128" s="4"/>
      <c r="T2128" s="4"/>
      <c r="U2128" s="4"/>
      <c r="V2128" s="4"/>
      <c r="W2128" s="4"/>
      <c r="X2128" s="4"/>
      <c r="Y2128" s="4"/>
      <c r="Z2128" s="4"/>
      <c r="AA2128" s="4"/>
      <c r="AB2128" s="4"/>
      <c r="AC2128" s="4"/>
      <c r="AD2128" s="4"/>
      <c r="AE2128" s="4"/>
      <c r="AF2128" s="4"/>
      <c r="AG2128" s="4"/>
      <c r="AH2128" s="4"/>
      <c r="AI2128" s="4"/>
      <c r="AJ2128" s="4"/>
      <c r="AK2128" s="4"/>
      <c r="AL2128" s="4"/>
      <c r="AM2128" s="4" t="s">
        <v>2221</v>
      </c>
    </row>
    <row r="2129" customFormat="false" ht="35.05" hidden="false" customHeight="false" outlineLevel="0" collapsed="false">
      <c r="A2129" s="4" t="s">
        <v>1987</v>
      </c>
      <c r="B2129" s="4" t="s">
        <v>2777</v>
      </c>
      <c r="C2129" s="4" t="s">
        <v>2778</v>
      </c>
      <c r="D2129" s="12" t="n">
        <v>2021</v>
      </c>
      <c r="E2129" s="4"/>
      <c r="F2129" s="4" t="s">
        <v>1990</v>
      </c>
      <c r="G2129" s="4" t="s">
        <v>1991</v>
      </c>
      <c r="H2129" s="4" t="s">
        <v>1992</v>
      </c>
      <c r="I2129" s="4"/>
      <c r="J2129" s="4" t="s">
        <v>2779</v>
      </c>
      <c r="K2129" s="4" t="s">
        <v>111</v>
      </c>
      <c r="L2129" s="4" t="s">
        <v>112</v>
      </c>
      <c r="M2129" s="4" t="s">
        <v>1993</v>
      </c>
      <c r="N2129" s="4" t="s">
        <v>2001</v>
      </c>
      <c r="O2129" s="4" t="s">
        <v>2002</v>
      </c>
      <c r="P2129" s="4" t="s">
        <v>41</v>
      </c>
      <c r="Q2129" s="4" t="s">
        <v>2228</v>
      </c>
      <c r="R2129" s="4" t="s">
        <v>1997</v>
      </c>
      <c r="S2129" s="4"/>
      <c r="T2129" s="4"/>
      <c r="U2129" s="4"/>
      <c r="V2129" s="4"/>
      <c r="W2129" s="4"/>
      <c r="X2129" s="4"/>
      <c r="Y2129" s="4"/>
      <c r="Z2129" s="4"/>
      <c r="AA2129" s="4"/>
      <c r="AB2129" s="4"/>
      <c r="AC2129" s="4"/>
      <c r="AD2129" s="4"/>
      <c r="AE2129" s="4"/>
      <c r="AF2129" s="4"/>
      <c r="AG2129" s="4"/>
      <c r="AH2129" s="4"/>
      <c r="AI2129" s="4"/>
      <c r="AJ2129" s="4"/>
      <c r="AK2129" s="4"/>
      <c r="AL2129" s="4"/>
      <c r="AM2129" s="4" t="s">
        <v>2229</v>
      </c>
    </row>
    <row r="2130" customFormat="false" ht="23.85" hidden="false" customHeight="false" outlineLevel="0" collapsed="false">
      <c r="A2130" s="4" t="s">
        <v>1987</v>
      </c>
      <c r="B2130" s="4" t="s">
        <v>2780</v>
      </c>
      <c r="C2130" s="4" t="s">
        <v>2781</v>
      </c>
      <c r="D2130" s="12" t="n">
        <v>2021</v>
      </c>
      <c r="E2130" s="4"/>
      <c r="F2130" s="4" t="s">
        <v>1990</v>
      </c>
      <c r="G2130" s="4" t="s">
        <v>1991</v>
      </c>
      <c r="H2130" s="4" t="s">
        <v>1992</v>
      </c>
      <c r="I2130" s="4"/>
      <c r="J2130" s="4" t="s">
        <v>2782</v>
      </c>
      <c r="K2130" s="4" t="s">
        <v>86</v>
      </c>
      <c r="L2130" s="4" t="s">
        <v>87</v>
      </c>
      <c r="M2130" s="4" t="s">
        <v>1993</v>
      </c>
      <c r="N2130" s="4" t="s">
        <v>2001</v>
      </c>
      <c r="O2130" s="4" t="s">
        <v>2218</v>
      </c>
      <c r="P2130" s="4" t="s">
        <v>44</v>
      </c>
      <c r="Q2130" s="4" t="s">
        <v>2219</v>
      </c>
      <c r="R2130" s="4" t="s">
        <v>2220</v>
      </c>
      <c r="S2130" s="4"/>
      <c r="T2130" s="4"/>
      <c r="U2130" s="4"/>
      <c r="V2130" s="4"/>
      <c r="W2130" s="4"/>
      <c r="X2130" s="4"/>
      <c r="Y2130" s="4"/>
      <c r="Z2130" s="4"/>
      <c r="AA2130" s="4"/>
      <c r="AB2130" s="4"/>
      <c r="AC2130" s="4"/>
      <c r="AD2130" s="4"/>
      <c r="AE2130" s="4"/>
      <c r="AF2130" s="4"/>
      <c r="AG2130" s="4"/>
      <c r="AH2130" s="4"/>
      <c r="AI2130" s="4"/>
      <c r="AJ2130" s="4"/>
      <c r="AK2130" s="4"/>
      <c r="AL2130" s="4"/>
      <c r="AM2130" s="4" t="s">
        <v>2221</v>
      </c>
    </row>
    <row r="2131" customFormat="false" ht="23.85" hidden="false" customHeight="false" outlineLevel="0" collapsed="false">
      <c r="A2131" s="4" t="s">
        <v>1987</v>
      </c>
      <c r="B2131" s="4" t="s">
        <v>2783</v>
      </c>
      <c r="C2131" s="4" t="s">
        <v>2784</v>
      </c>
      <c r="D2131" s="12" t="n">
        <v>2020</v>
      </c>
      <c r="E2131" s="4"/>
      <c r="F2131" s="4" t="s">
        <v>1990</v>
      </c>
      <c r="G2131" s="4" t="s">
        <v>1991</v>
      </c>
      <c r="H2131" s="4" t="s">
        <v>1992</v>
      </c>
      <c r="I2131" s="4"/>
      <c r="J2131" s="4" t="s">
        <v>669</v>
      </c>
      <c r="K2131" s="4" t="s">
        <v>91</v>
      </c>
      <c r="L2131" s="4" t="s">
        <v>92</v>
      </c>
      <c r="M2131" s="4" t="s">
        <v>1993</v>
      </c>
      <c r="N2131" s="4" t="s">
        <v>1994</v>
      </c>
      <c r="O2131" s="4" t="s">
        <v>1995</v>
      </c>
      <c r="P2131" s="4" t="s">
        <v>68</v>
      </c>
      <c r="Q2131" s="4" t="s">
        <v>1996</v>
      </c>
      <c r="R2131" s="4" t="s">
        <v>1997</v>
      </c>
      <c r="S2131" s="4"/>
      <c r="T2131" s="4"/>
      <c r="U2131" s="4"/>
      <c r="V2131" s="4"/>
      <c r="W2131" s="4"/>
      <c r="X2131" s="4"/>
      <c r="Y2131" s="4"/>
      <c r="Z2131" s="4"/>
      <c r="AA2131" s="4"/>
      <c r="AB2131" s="4"/>
      <c r="AC2131" s="4"/>
      <c r="AD2131" s="4"/>
      <c r="AE2131" s="4"/>
      <c r="AF2131" s="4"/>
      <c r="AG2131" s="4"/>
      <c r="AH2131" s="4"/>
      <c r="AI2131" s="4"/>
      <c r="AJ2131" s="4"/>
      <c r="AK2131" s="4"/>
      <c r="AL2131" s="4"/>
      <c r="AM2131" s="4" t="s">
        <v>1998</v>
      </c>
    </row>
    <row r="2132" customFormat="false" ht="23.85" hidden="false" customHeight="false" outlineLevel="0" collapsed="false">
      <c r="A2132" s="4" t="s">
        <v>1987</v>
      </c>
      <c r="B2132" s="4" t="s">
        <v>2785</v>
      </c>
      <c r="C2132" s="4" t="s">
        <v>2786</v>
      </c>
      <c r="D2132" s="12" t="n">
        <v>2020</v>
      </c>
      <c r="E2132" s="4"/>
      <c r="F2132" s="4" t="s">
        <v>1990</v>
      </c>
      <c r="G2132" s="4" t="s">
        <v>1991</v>
      </c>
      <c r="H2132" s="4" t="s">
        <v>1992</v>
      </c>
      <c r="I2132" s="4"/>
      <c r="J2132" s="4" t="s">
        <v>674</v>
      </c>
      <c r="K2132" s="4" t="s">
        <v>91</v>
      </c>
      <c r="L2132" s="4" t="s">
        <v>92</v>
      </c>
      <c r="M2132" s="4" t="s">
        <v>1993</v>
      </c>
      <c r="N2132" s="4" t="s">
        <v>2001</v>
      </c>
      <c r="O2132" s="4" t="s">
        <v>2002</v>
      </c>
      <c r="P2132" s="4" t="s">
        <v>67</v>
      </c>
      <c r="Q2132" s="4" t="s">
        <v>2003</v>
      </c>
      <c r="R2132" s="4" t="s">
        <v>2004</v>
      </c>
      <c r="S2132" s="4"/>
      <c r="T2132" s="4"/>
      <c r="U2132" s="4"/>
      <c r="V2132" s="4"/>
      <c r="W2132" s="4"/>
      <c r="X2132" s="4"/>
      <c r="Y2132" s="4"/>
      <c r="Z2132" s="4"/>
      <c r="AA2132" s="4"/>
      <c r="AB2132" s="4"/>
      <c r="AC2132" s="4"/>
      <c r="AD2132" s="4"/>
      <c r="AE2132" s="4"/>
      <c r="AF2132" s="4"/>
      <c r="AG2132" s="4"/>
      <c r="AH2132" s="4"/>
      <c r="AI2132" s="4"/>
      <c r="AJ2132" s="4"/>
      <c r="AK2132" s="4"/>
      <c r="AL2132" s="4"/>
      <c r="AM2132" s="4" t="s">
        <v>2005</v>
      </c>
    </row>
    <row r="2133" customFormat="false" ht="23.85" hidden="false" customHeight="false" outlineLevel="0" collapsed="false">
      <c r="A2133" s="4" t="s">
        <v>1987</v>
      </c>
      <c r="B2133" s="4" t="s">
        <v>2787</v>
      </c>
      <c r="C2133" s="4" t="s">
        <v>2788</v>
      </c>
      <c r="D2133" s="12" t="n">
        <v>2020</v>
      </c>
      <c r="E2133" s="4"/>
      <c r="F2133" s="4" t="s">
        <v>1990</v>
      </c>
      <c r="G2133" s="4" t="s">
        <v>1991</v>
      </c>
      <c r="H2133" s="4" t="s">
        <v>1992</v>
      </c>
      <c r="I2133" s="4"/>
      <c r="J2133" s="4" t="s">
        <v>675</v>
      </c>
      <c r="K2133" s="4" t="s">
        <v>91</v>
      </c>
      <c r="L2133" s="4" t="s">
        <v>92</v>
      </c>
      <c r="M2133" s="4" t="s">
        <v>1993</v>
      </c>
      <c r="N2133" s="4" t="s">
        <v>2001</v>
      </c>
      <c r="O2133" s="4" t="s">
        <v>2002</v>
      </c>
      <c r="P2133" s="4" t="s">
        <v>67</v>
      </c>
      <c r="Q2133" s="4" t="s">
        <v>2008</v>
      </c>
      <c r="R2133" s="4" t="s">
        <v>2004</v>
      </c>
      <c r="S2133" s="4"/>
      <c r="T2133" s="4"/>
      <c r="U2133" s="4"/>
      <c r="V2133" s="4"/>
      <c r="W2133" s="4"/>
      <c r="X2133" s="4"/>
      <c r="Y2133" s="4"/>
      <c r="Z2133" s="4"/>
      <c r="AA2133" s="4"/>
      <c r="AB2133" s="4"/>
      <c r="AC2133" s="4"/>
      <c r="AD2133" s="4"/>
      <c r="AE2133" s="4"/>
      <c r="AF2133" s="4"/>
      <c r="AG2133" s="4"/>
      <c r="AH2133" s="4"/>
      <c r="AI2133" s="4"/>
      <c r="AJ2133" s="4"/>
      <c r="AK2133" s="4"/>
      <c r="AL2133" s="4"/>
      <c r="AM2133" s="4" t="s">
        <v>2009</v>
      </c>
    </row>
    <row r="2134" customFormat="false" ht="23.85" hidden="false" customHeight="false" outlineLevel="0" collapsed="false">
      <c r="A2134" s="4" t="s">
        <v>1987</v>
      </c>
      <c r="B2134" s="4" t="s">
        <v>2789</v>
      </c>
      <c r="C2134" s="4" t="s">
        <v>2790</v>
      </c>
      <c r="D2134" s="12" t="n">
        <v>2020</v>
      </c>
      <c r="E2134" s="4"/>
      <c r="F2134" s="4" t="s">
        <v>1990</v>
      </c>
      <c r="G2134" s="4" t="s">
        <v>1991</v>
      </c>
      <c r="H2134" s="4" t="s">
        <v>1992</v>
      </c>
      <c r="I2134" s="4"/>
      <c r="J2134" s="4" t="s">
        <v>683</v>
      </c>
      <c r="K2134" s="4" t="s">
        <v>93</v>
      </c>
      <c r="L2134" s="4" t="s">
        <v>94</v>
      </c>
      <c r="M2134" s="4" t="s">
        <v>1993</v>
      </c>
      <c r="N2134" s="4" t="s">
        <v>1994</v>
      </c>
      <c r="O2134" s="4" t="s">
        <v>1995</v>
      </c>
      <c r="P2134" s="4" t="s">
        <v>67</v>
      </c>
      <c r="Q2134" s="4" t="s">
        <v>2012</v>
      </c>
      <c r="R2134" s="4" t="s">
        <v>1997</v>
      </c>
      <c r="S2134" s="4"/>
      <c r="T2134" s="4"/>
      <c r="U2134" s="4"/>
      <c r="V2134" s="4"/>
      <c r="W2134" s="4"/>
      <c r="X2134" s="4"/>
      <c r="Y2134" s="4"/>
      <c r="Z2134" s="4"/>
      <c r="AA2134" s="4"/>
      <c r="AB2134" s="4"/>
      <c r="AC2134" s="4"/>
      <c r="AD2134" s="4"/>
      <c r="AE2134" s="4"/>
      <c r="AF2134" s="4"/>
      <c r="AG2134" s="4"/>
      <c r="AH2134" s="4"/>
      <c r="AI2134" s="4"/>
      <c r="AJ2134" s="4"/>
      <c r="AK2134" s="4"/>
      <c r="AL2134" s="4"/>
      <c r="AM2134" s="4" t="s">
        <v>2013</v>
      </c>
    </row>
    <row r="2135" customFormat="false" ht="23.85" hidden="false" customHeight="false" outlineLevel="0" collapsed="false">
      <c r="A2135" s="4" t="s">
        <v>1987</v>
      </c>
      <c r="B2135" s="4" t="s">
        <v>2791</v>
      </c>
      <c r="C2135" s="4" t="s">
        <v>2792</v>
      </c>
      <c r="D2135" s="12" t="n">
        <v>2020</v>
      </c>
      <c r="E2135" s="4"/>
      <c r="F2135" s="4" t="s">
        <v>1990</v>
      </c>
      <c r="G2135" s="4" t="s">
        <v>1991</v>
      </c>
      <c r="H2135" s="4" t="s">
        <v>1992</v>
      </c>
      <c r="I2135" s="4"/>
      <c r="J2135" s="4" t="s">
        <v>688</v>
      </c>
      <c r="K2135" s="4" t="s">
        <v>93</v>
      </c>
      <c r="L2135" s="4" t="s">
        <v>94</v>
      </c>
      <c r="M2135" s="4" t="s">
        <v>1993</v>
      </c>
      <c r="N2135" s="4" t="s">
        <v>2001</v>
      </c>
      <c r="O2135" s="4" t="s">
        <v>2002</v>
      </c>
      <c r="P2135" s="4" t="s">
        <v>67</v>
      </c>
      <c r="Q2135" s="4" t="s">
        <v>2003</v>
      </c>
      <c r="R2135" s="4" t="s">
        <v>2004</v>
      </c>
      <c r="S2135" s="4"/>
      <c r="T2135" s="4"/>
      <c r="U2135" s="4"/>
      <c r="V2135" s="4"/>
      <c r="W2135" s="4"/>
      <c r="X2135" s="4"/>
      <c r="Y2135" s="4"/>
      <c r="Z2135" s="4"/>
      <c r="AA2135" s="4"/>
      <c r="AB2135" s="4"/>
      <c r="AC2135" s="4"/>
      <c r="AD2135" s="4"/>
      <c r="AE2135" s="4"/>
      <c r="AF2135" s="4"/>
      <c r="AG2135" s="4"/>
      <c r="AH2135" s="4"/>
      <c r="AI2135" s="4"/>
      <c r="AJ2135" s="4"/>
      <c r="AK2135" s="4"/>
      <c r="AL2135" s="4"/>
      <c r="AM2135" s="4" t="s">
        <v>2005</v>
      </c>
    </row>
    <row r="2136" customFormat="false" ht="23.85" hidden="false" customHeight="false" outlineLevel="0" collapsed="false">
      <c r="A2136" s="4" t="s">
        <v>1987</v>
      </c>
      <c r="B2136" s="4" t="s">
        <v>2793</v>
      </c>
      <c r="C2136" s="4" t="s">
        <v>2794</v>
      </c>
      <c r="D2136" s="12" t="n">
        <v>2020</v>
      </c>
      <c r="E2136" s="4"/>
      <c r="F2136" s="4" t="s">
        <v>1990</v>
      </c>
      <c r="G2136" s="4" t="s">
        <v>1991</v>
      </c>
      <c r="H2136" s="4" t="s">
        <v>1992</v>
      </c>
      <c r="I2136" s="4"/>
      <c r="J2136" s="4" t="s">
        <v>697</v>
      </c>
      <c r="K2136" s="4" t="s">
        <v>76</v>
      </c>
      <c r="L2136" s="4" t="s">
        <v>77</v>
      </c>
      <c r="M2136" s="4" t="s">
        <v>2018</v>
      </c>
      <c r="N2136" s="4" t="s">
        <v>1994</v>
      </c>
      <c r="O2136" s="4" t="s">
        <v>65</v>
      </c>
      <c r="P2136" s="4" t="s">
        <v>64</v>
      </c>
      <c r="Q2136" s="4" t="s">
        <v>2019</v>
      </c>
      <c r="R2136" s="4" t="s">
        <v>1997</v>
      </c>
      <c r="S2136" s="4"/>
      <c r="T2136" s="4"/>
      <c r="U2136" s="4"/>
      <c r="V2136" s="4"/>
      <c r="W2136" s="4"/>
      <c r="X2136" s="4"/>
      <c r="Y2136" s="4"/>
      <c r="Z2136" s="4"/>
      <c r="AA2136" s="4"/>
      <c r="AB2136" s="4"/>
      <c r="AC2136" s="4"/>
      <c r="AD2136" s="4"/>
      <c r="AE2136" s="4"/>
      <c r="AF2136" s="4"/>
      <c r="AG2136" s="4"/>
      <c r="AH2136" s="4"/>
      <c r="AI2136" s="4"/>
      <c r="AJ2136" s="4"/>
      <c r="AK2136" s="4"/>
      <c r="AL2136" s="4"/>
      <c r="AM2136" s="4" t="s">
        <v>2020</v>
      </c>
    </row>
    <row r="2137" customFormat="false" ht="15" hidden="false" customHeight="false" outlineLevel="0" collapsed="false">
      <c r="A2137" s="4" t="s">
        <v>1987</v>
      </c>
      <c r="B2137" s="4" t="s">
        <v>2795</v>
      </c>
      <c r="C2137" s="4" t="s">
        <v>2796</v>
      </c>
      <c r="D2137" s="12" t="n">
        <v>2020</v>
      </c>
      <c r="E2137" s="4"/>
      <c r="F2137" s="4" t="s">
        <v>1990</v>
      </c>
      <c r="G2137" s="4" t="s">
        <v>1991</v>
      </c>
      <c r="H2137" s="4" t="s">
        <v>1992</v>
      </c>
      <c r="I2137" s="4"/>
      <c r="J2137" s="4" t="s">
        <v>697</v>
      </c>
      <c r="K2137" s="4" t="s">
        <v>76</v>
      </c>
      <c r="L2137" s="4" t="s">
        <v>77</v>
      </c>
      <c r="M2137" s="4" t="s">
        <v>2018</v>
      </c>
      <c r="N2137" s="4" t="s">
        <v>2001</v>
      </c>
      <c r="O2137" s="4" t="s">
        <v>66</v>
      </c>
      <c r="P2137" s="4" t="s">
        <v>66</v>
      </c>
      <c r="Q2137" s="4" t="s">
        <v>2019</v>
      </c>
      <c r="R2137" s="4" t="s">
        <v>1997</v>
      </c>
      <c r="S2137" s="4"/>
      <c r="T2137" s="4"/>
      <c r="U2137" s="4"/>
      <c r="V2137" s="4"/>
      <c r="W2137" s="4"/>
      <c r="X2137" s="4"/>
      <c r="Y2137" s="4"/>
      <c r="Z2137" s="4"/>
      <c r="AA2137" s="4"/>
      <c r="AB2137" s="4"/>
      <c r="AC2137" s="4"/>
      <c r="AD2137" s="4"/>
      <c r="AE2137" s="4"/>
      <c r="AF2137" s="4"/>
      <c r="AG2137" s="4"/>
      <c r="AH2137" s="4"/>
      <c r="AI2137" s="4"/>
      <c r="AJ2137" s="4"/>
      <c r="AK2137" s="4"/>
      <c r="AL2137" s="4"/>
      <c r="AM2137" s="4" t="s">
        <v>2023</v>
      </c>
    </row>
    <row r="2138" customFormat="false" ht="15" hidden="false" customHeight="false" outlineLevel="0" collapsed="false">
      <c r="A2138" s="4" t="s">
        <v>1987</v>
      </c>
      <c r="B2138" s="4" t="s">
        <v>2797</v>
      </c>
      <c r="C2138" s="4" t="s">
        <v>2798</v>
      </c>
      <c r="D2138" s="12" t="n">
        <v>2020</v>
      </c>
      <c r="E2138" s="4"/>
      <c r="F2138" s="4" t="s">
        <v>1990</v>
      </c>
      <c r="G2138" s="4" t="s">
        <v>1991</v>
      </c>
      <c r="H2138" s="4" t="s">
        <v>1992</v>
      </c>
      <c r="I2138" s="4"/>
      <c r="J2138" s="4" t="s">
        <v>697</v>
      </c>
      <c r="K2138" s="4" t="s">
        <v>76</v>
      </c>
      <c r="L2138" s="4" t="s">
        <v>77</v>
      </c>
      <c r="M2138" s="4" t="s">
        <v>1993</v>
      </c>
      <c r="N2138" s="4" t="s">
        <v>1994</v>
      </c>
      <c r="O2138" s="4" t="s">
        <v>1995</v>
      </c>
      <c r="P2138" s="4" t="s">
        <v>66</v>
      </c>
      <c r="Q2138" s="4" t="s">
        <v>2019</v>
      </c>
      <c r="R2138" s="4" t="s">
        <v>1997</v>
      </c>
      <c r="S2138" s="4"/>
      <c r="T2138" s="4"/>
      <c r="U2138" s="4"/>
      <c r="V2138" s="4"/>
      <c r="W2138" s="4"/>
      <c r="X2138" s="4"/>
      <c r="Y2138" s="4"/>
      <c r="Z2138" s="4"/>
      <c r="AA2138" s="4"/>
      <c r="AB2138" s="4"/>
      <c r="AC2138" s="4"/>
      <c r="AD2138" s="4"/>
      <c r="AE2138" s="4"/>
      <c r="AF2138" s="4"/>
      <c r="AG2138" s="4"/>
      <c r="AH2138" s="4"/>
      <c r="AI2138" s="4"/>
      <c r="AJ2138" s="4"/>
      <c r="AK2138" s="4"/>
      <c r="AL2138" s="4"/>
      <c r="AM2138" s="4" t="s">
        <v>2026</v>
      </c>
    </row>
    <row r="2139" customFormat="false" ht="23.85" hidden="false" customHeight="false" outlineLevel="0" collapsed="false">
      <c r="A2139" s="4" t="s">
        <v>1987</v>
      </c>
      <c r="B2139" s="4" t="s">
        <v>2799</v>
      </c>
      <c r="C2139" s="4" t="s">
        <v>2800</v>
      </c>
      <c r="D2139" s="12" t="n">
        <v>2020</v>
      </c>
      <c r="E2139" s="4"/>
      <c r="F2139" s="4" t="s">
        <v>1990</v>
      </c>
      <c r="G2139" s="4" t="s">
        <v>1991</v>
      </c>
      <c r="H2139" s="4" t="s">
        <v>1992</v>
      </c>
      <c r="I2139" s="4"/>
      <c r="J2139" s="4" t="s">
        <v>698</v>
      </c>
      <c r="K2139" s="4" t="s">
        <v>76</v>
      </c>
      <c r="L2139" s="4" t="s">
        <v>77</v>
      </c>
      <c r="M2139" s="4" t="s">
        <v>1993</v>
      </c>
      <c r="N2139" s="4" t="s">
        <v>1994</v>
      </c>
      <c r="O2139" s="4" t="s">
        <v>2029</v>
      </c>
      <c r="P2139" s="4" t="s">
        <v>69</v>
      </c>
      <c r="Q2139" s="4" t="s">
        <v>2030</v>
      </c>
      <c r="R2139" s="4" t="s">
        <v>1997</v>
      </c>
      <c r="S2139" s="4"/>
      <c r="T2139" s="4"/>
      <c r="U2139" s="4"/>
      <c r="V2139" s="4"/>
      <c r="W2139" s="4"/>
      <c r="X2139" s="4"/>
      <c r="Y2139" s="4"/>
      <c r="Z2139" s="4"/>
      <c r="AA2139" s="4"/>
      <c r="AB2139" s="4"/>
      <c r="AC2139" s="4"/>
      <c r="AD2139" s="4"/>
      <c r="AE2139" s="4"/>
      <c r="AF2139" s="4"/>
      <c r="AG2139" s="4"/>
      <c r="AH2139" s="4"/>
      <c r="AI2139" s="4"/>
      <c r="AJ2139" s="4"/>
      <c r="AK2139" s="4"/>
      <c r="AL2139" s="4"/>
      <c r="AM2139" s="4" t="s">
        <v>2031</v>
      </c>
    </row>
    <row r="2140" customFormat="false" ht="23.85" hidden="false" customHeight="false" outlineLevel="0" collapsed="false">
      <c r="A2140" s="4" t="s">
        <v>1987</v>
      </c>
      <c r="B2140" s="4" t="s">
        <v>2801</v>
      </c>
      <c r="C2140" s="4" t="s">
        <v>2802</v>
      </c>
      <c r="D2140" s="12" t="n">
        <v>2020</v>
      </c>
      <c r="E2140" s="4"/>
      <c r="F2140" s="4" t="s">
        <v>1990</v>
      </c>
      <c r="G2140" s="4" t="s">
        <v>1991</v>
      </c>
      <c r="H2140" s="4" t="s">
        <v>1992</v>
      </c>
      <c r="I2140" s="4"/>
      <c r="J2140" s="4" t="s">
        <v>700</v>
      </c>
      <c r="K2140" s="4" t="s">
        <v>76</v>
      </c>
      <c r="L2140" s="4" t="s">
        <v>77</v>
      </c>
      <c r="M2140" s="4" t="s">
        <v>1993</v>
      </c>
      <c r="N2140" s="4" t="s">
        <v>2001</v>
      </c>
      <c r="O2140" s="4" t="s">
        <v>2034</v>
      </c>
      <c r="P2140" s="4" t="s">
        <v>74</v>
      </c>
      <c r="Q2140" s="4" t="s">
        <v>2035</v>
      </c>
      <c r="R2140" s="4" t="s">
        <v>2036</v>
      </c>
      <c r="S2140" s="4"/>
      <c r="T2140" s="4"/>
      <c r="U2140" s="4"/>
      <c r="V2140" s="4"/>
      <c r="W2140" s="4"/>
      <c r="X2140" s="4"/>
      <c r="Y2140" s="4"/>
      <c r="Z2140" s="4"/>
      <c r="AA2140" s="4"/>
      <c r="AB2140" s="4"/>
      <c r="AC2140" s="4"/>
      <c r="AD2140" s="4"/>
      <c r="AE2140" s="4"/>
      <c r="AF2140" s="4"/>
      <c r="AG2140" s="4"/>
      <c r="AH2140" s="4"/>
      <c r="AI2140" s="4"/>
      <c r="AJ2140" s="4"/>
      <c r="AK2140" s="4"/>
      <c r="AL2140" s="4"/>
      <c r="AM2140" s="4" t="s">
        <v>2037</v>
      </c>
    </row>
    <row r="2141" customFormat="false" ht="23.85" hidden="false" customHeight="false" outlineLevel="0" collapsed="false">
      <c r="A2141" s="4" t="s">
        <v>1987</v>
      </c>
      <c r="B2141" s="4" t="s">
        <v>2803</v>
      </c>
      <c r="C2141" s="4" t="s">
        <v>2804</v>
      </c>
      <c r="D2141" s="12" t="n">
        <v>2020</v>
      </c>
      <c r="E2141" s="4"/>
      <c r="F2141" s="4" t="s">
        <v>1990</v>
      </c>
      <c r="G2141" s="4" t="s">
        <v>1991</v>
      </c>
      <c r="H2141" s="4" t="s">
        <v>1992</v>
      </c>
      <c r="I2141" s="4"/>
      <c r="J2141" s="4" t="s">
        <v>702</v>
      </c>
      <c r="K2141" s="4" t="s">
        <v>76</v>
      </c>
      <c r="L2141" s="4" t="s">
        <v>77</v>
      </c>
      <c r="M2141" s="4" t="s">
        <v>1993</v>
      </c>
      <c r="N2141" s="4" t="s">
        <v>2001</v>
      </c>
      <c r="O2141" s="4" t="s">
        <v>2002</v>
      </c>
      <c r="P2141" s="4" t="s">
        <v>67</v>
      </c>
      <c r="Q2141" s="4" t="s">
        <v>2003</v>
      </c>
      <c r="R2141" s="4" t="s">
        <v>2004</v>
      </c>
      <c r="S2141" s="4"/>
      <c r="T2141" s="4"/>
      <c r="U2141" s="4"/>
      <c r="V2141" s="4"/>
      <c r="W2141" s="4"/>
      <c r="X2141" s="4"/>
      <c r="Y2141" s="4"/>
      <c r="Z2141" s="4"/>
      <c r="AA2141" s="4"/>
      <c r="AB2141" s="4"/>
      <c r="AC2141" s="4"/>
      <c r="AD2141" s="4"/>
      <c r="AE2141" s="4"/>
      <c r="AF2141" s="4"/>
      <c r="AG2141" s="4"/>
      <c r="AH2141" s="4"/>
      <c r="AI2141" s="4"/>
      <c r="AJ2141" s="4"/>
      <c r="AK2141" s="4"/>
      <c r="AL2141" s="4"/>
      <c r="AM2141" s="4" t="s">
        <v>2005</v>
      </c>
    </row>
    <row r="2142" customFormat="false" ht="35.05" hidden="false" customHeight="false" outlineLevel="0" collapsed="false">
      <c r="A2142" s="4" t="s">
        <v>1987</v>
      </c>
      <c r="B2142" s="4" t="s">
        <v>2805</v>
      </c>
      <c r="C2142" s="4" t="s">
        <v>2806</v>
      </c>
      <c r="D2142" s="12" t="n">
        <v>2020</v>
      </c>
      <c r="E2142" s="4"/>
      <c r="F2142" s="4" t="s">
        <v>1990</v>
      </c>
      <c r="G2142" s="4" t="s">
        <v>1991</v>
      </c>
      <c r="H2142" s="4" t="s">
        <v>1992</v>
      </c>
      <c r="I2142" s="4"/>
      <c r="J2142" s="4" t="s">
        <v>711</v>
      </c>
      <c r="K2142" s="4" t="s">
        <v>78</v>
      </c>
      <c r="L2142" s="4" t="s">
        <v>79</v>
      </c>
      <c r="M2142" s="4" t="s">
        <v>2018</v>
      </c>
      <c r="N2142" s="4" t="s">
        <v>1994</v>
      </c>
      <c r="O2142" s="4" t="s">
        <v>65</v>
      </c>
      <c r="P2142" s="4" t="s">
        <v>64</v>
      </c>
      <c r="Q2142" s="4" t="s">
        <v>2044</v>
      </c>
      <c r="R2142" s="4" t="s">
        <v>1997</v>
      </c>
      <c r="S2142" s="4"/>
      <c r="T2142" s="4"/>
      <c r="U2142" s="4"/>
      <c r="V2142" s="4"/>
      <c r="W2142" s="4"/>
      <c r="X2142" s="4"/>
      <c r="Y2142" s="4"/>
      <c r="Z2142" s="4"/>
      <c r="AA2142" s="4"/>
      <c r="AB2142" s="4"/>
      <c r="AC2142" s="4"/>
      <c r="AD2142" s="4"/>
      <c r="AE2142" s="4"/>
      <c r="AF2142" s="4"/>
      <c r="AG2142" s="4"/>
      <c r="AH2142" s="4"/>
      <c r="AI2142" s="4"/>
      <c r="AJ2142" s="4"/>
      <c r="AK2142" s="4"/>
      <c r="AL2142" s="4"/>
      <c r="AM2142" s="4" t="s">
        <v>2045</v>
      </c>
    </row>
    <row r="2143" customFormat="false" ht="23.85" hidden="false" customHeight="false" outlineLevel="0" collapsed="false">
      <c r="A2143" s="4" t="s">
        <v>1987</v>
      </c>
      <c r="B2143" s="4" t="s">
        <v>2807</v>
      </c>
      <c r="C2143" s="4" t="s">
        <v>2808</v>
      </c>
      <c r="D2143" s="12" t="n">
        <v>2020</v>
      </c>
      <c r="E2143" s="4"/>
      <c r="F2143" s="4" t="s">
        <v>1990</v>
      </c>
      <c r="G2143" s="4" t="s">
        <v>1991</v>
      </c>
      <c r="H2143" s="4" t="s">
        <v>1992</v>
      </c>
      <c r="I2143" s="4"/>
      <c r="J2143" s="4" t="s">
        <v>716</v>
      </c>
      <c r="K2143" s="4" t="s">
        <v>78</v>
      </c>
      <c r="L2143" s="4" t="s">
        <v>79</v>
      </c>
      <c r="M2143" s="4" t="s">
        <v>2018</v>
      </c>
      <c r="N2143" s="4" t="s">
        <v>2001</v>
      </c>
      <c r="O2143" s="4" t="s">
        <v>66</v>
      </c>
      <c r="P2143" s="4" t="s">
        <v>67</v>
      </c>
      <c r="Q2143" s="4" t="s">
        <v>2003</v>
      </c>
      <c r="R2143" s="4" t="s">
        <v>2004</v>
      </c>
      <c r="S2143" s="4"/>
      <c r="T2143" s="4"/>
      <c r="U2143" s="4"/>
      <c r="V2143" s="4"/>
      <c r="W2143" s="4"/>
      <c r="X2143" s="4"/>
      <c r="Y2143" s="4"/>
      <c r="Z2143" s="4"/>
      <c r="AA2143" s="4"/>
      <c r="AB2143" s="4"/>
      <c r="AC2143" s="4"/>
      <c r="AD2143" s="4"/>
      <c r="AE2143" s="4"/>
      <c r="AF2143" s="4"/>
      <c r="AG2143" s="4"/>
      <c r="AH2143" s="4"/>
      <c r="AI2143" s="4"/>
      <c r="AJ2143" s="4"/>
      <c r="AK2143" s="4"/>
      <c r="AL2143" s="4"/>
      <c r="AM2143" s="4" t="s">
        <v>2048</v>
      </c>
    </row>
    <row r="2144" customFormat="false" ht="35.05" hidden="false" customHeight="false" outlineLevel="0" collapsed="false">
      <c r="A2144" s="4" t="s">
        <v>1987</v>
      </c>
      <c r="B2144" s="4" t="s">
        <v>2809</v>
      </c>
      <c r="C2144" s="4" t="s">
        <v>2810</v>
      </c>
      <c r="D2144" s="12" t="n">
        <v>2020</v>
      </c>
      <c r="E2144" s="4"/>
      <c r="F2144" s="4" t="s">
        <v>1990</v>
      </c>
      <c r="G2144" s="4" t="s">
        <v>1991</v>
      </c>
      <c r="H2144" s="4" t="s">
        <v>1992</v>
      </c>
      <c r="I2144" s="4"/>
      <c r="J2144" s="4" t="s">
        <v>725</v>
      </c>
      <c r="K2144" s="4" t="s">
        <v>80</v>
      </c>
      <c r="L2144" s="4" t="s">
        <v>81</v>
      </c>
      <c r="M2144" s="4" t="s">
        <v>2018</v>
      </c>
      <c r="N2144" s="4" t="s">
        <v>1994</v>
      </c>
      <c r="O2144" s="4" t="s">
        <v>65</v>
      </c>
      <c r="P2144" s="4" t="s">
        <v>64</v>
      </c>
      <c r="Q2144" s="4" t="s">
        <v>2044</v>
      </c>
      <c r="R2144" s="4" t="s">
        <v>1997</v>
      </c>
      <c r="S2144" s="4"/>
      <c r="T2144" s="4"/>
      <c r="U2144" s="4"/>
      <c r="V2144" s="4"/>
      <c r="W2144" s="4"/>
      <c r="X2144" s="4"/>
      <c r="Y2144" s="4"/>
      <c r="Z2144" s="4"/>
      <c r="AA2144" s="4"/>
      <c r="AB2144" s="4"/>
      <c r="AC2144" s="4"/>
      <c r="AD2144" s="4"/>
      <c r="AE2144" s="4"/>
      <c r="AF2144" s="4"/>
      <c r="AG2144" s="4"/>
      <c r="AH2144" s="4"/>
      <c r="AI2144" s="4"/>
      <c r="AJ2144" s="4"/>
      <c r="AK2144" s="4"/>
      <c r="AL2144" s="4"/>
      <c r="AM2144" s="4" t="s">
        <v>2045</v>
      </c>
    </row>
    <row r="2145" customFormat="false" ht="23.85" hidden="false" customHeight="false" outlineLevel="0" collapsed="false">
      <c r="A2145" s="4" t="s">
        <v>1987</v>
      </c>
      <c r="B2145" s="4" t="s">
        <v>2811</v>
      </c>
      <c r="C2145" s="4" t="s">
        <v>2812</v>
      </c>
      <c r="D2145" s="12" t="n">
        <v>2020</v>
      </c>
      <c r="E2145" s="4"/>
      <c r="F2145" s="4" t="s">
        <v>1990</v>
      </c>
      <c r="G2145" s="4" t="s">
        <v>1991</v>
      </c>
      <c r="H2145" s="4" t="s">
        <v>1992</v>
      </c>
      <c r="I2145" s="4"/>
      <c r="J2145" s="4" t="s">
        <v>730</v>
      </c>
      <c r="K2145" s="4" t="s">
        <v>80</v>
      </c>
      <c r="L2145" s="4" t="s">
        <v>81</v>
      </c>
      <c r="M2145" s="4" t="s">
        <v>2018</v>
      </c>
      <c r="N2145" s="4" t="s">
        <v>2001</v>
      </c>
      <c r="O2145" s="4" t="s">
        <v>66</v>
      </c>
      <c r="P2145" s="4" t="s">
        <v>67</v>
      </c>
      <c r="Q2145" s="4" t="s">
        <v>2003</v>
      </c>
      <c r="R2145" s="4" t="s">
        <v>2004</v>
      </c>
      <c r="S2145" s="4"/>
      <c r="T2145" s="4"/>
      <c r="U2145" s="4"/>
      <c r="V2145" s="4"/>
      <c r="W2145" s="4"/>
      <c r="X2145" s="4"/>
      <c r="Y2145" s="4"/>
      <c r="Z2145" s="4"/>
      <c r="AA2145" s="4"/>
      <c r="AB2145" s="4"/>
      <c r="AC2145" s="4"/>
      <c r="AD2145" s="4"/>
      <c r="AE2145" s="4"/>
      <c r="AF2145" s="4"/>
      <c r="AG2145" s="4"/>
      <c r="AH2145" s="4"/>
      <c r="AI2145" s="4"/>
      <c r="AJ2145" s="4"/>
      <c r="AK2145" s="4"/>
      <c r="AL2145" s="4"/>
      <c r="AM2145" s="4" t="s">
        <v>2048</v>
      </c>
    </row>
    <row r="2146" customFormat="false" ht="35.05" hidden="false" customHeight="false" outlineLevel="0" collapsed="false">
      <c r="A2146" s="4" t="s">
        <v>1987</v>
      </c>
      <c r="B2146" s="4" t="s">
        <v>2813</v>
      </c>
      <c r="C2146" s="4" t="s">
        <v>2814</v>
      </c>
      <c r="D2146" s="12" t="n">
        <v>2020</v>
      </c>
      <c r="E2146" s="4"/>
      <c r="F2146" s="4" t="s">
        <v>1990</v>
      </c>
      <c r="G2146" s="4" t="s">
        <v>1991</v>
      </c>
      <c r="H2146" s="4" t="s">
        <v>1992</v>
      </c>
      <c r="I2146" s="4"/>
      <c r="J2146" s="4" t="s">
        <v>739</v>
      </c>
      <c r="K2146" s="4" t="s">
        <v>84</v>
      </c>
      <c r="L2146" s="4" t="s">
        <v>85</v>
      </c>
      <c r="M2146" s="4" t="s">
        <v>2018</v>
      </c>
      <c r="N2146" s="4" t="s">
        <v>1994</v>
      </c>
      <c r="O2146" s="4" t="s">
        <v>65</v>
      </c>
      <c r="P2146" s="4" t="s">
        <v>64</v>
      </c>
      <c r="Q2146" s="4" t="s">
        <v>2044</v>
      </c>
      <c r="R2146" s="4" t="s">
        <v>1997</v>
      </c>
      <c r="S2146" s="4"/>
      <c r="T2146" s="4"/>
      <c r="U2146" s="4"/>
      <c r="V2146" s="4"/>
      <c r="W2146" s="4"/>
      <c r="X2146" s="4"/>
      <c r="Y2146" s="4"/>
      <c r="Z2146" s="4"/>
      <c r="AA2146" s="4"/>
      <c r="AB2146" s="4"/>
      <c r="AC2146" s="4"/>
      <c r="AD2146" s="4"/>
      <c r="AE2146" s="4"/>
      <c r="AF2146" s="4"/>
      <c r="AG2146" s="4"/>
      <c r="AH2146" s="4"/>
      <c r="AI2146" s="4"/>
      <c r="AJ2146" s="4"/>
      <c r="AK2146" s="4"/>
      <c r="AL2146" s="4"/>
      <c r="AM2146" s="4" t="s">
        <v>2045</v>
      </c>
    </row>
    <row r="2147" customFormat="false" ht="23.85" hidden="false" customHeight="false" outlineLevel="0" collapsed="false">
      <c r="A2147" s="4" t="s">
        <v>1987</v>
      </c>
      <c r="B2147" s="4" t="s">
        <v>2815</v>
      </c>
      <c r="C2147" s="4" t="s">
        <v>2816</v>
      </c>
      <c r="D2147" s="12" t="n">
        <v>2020</v>
      </c>
      <c r="E2147" s="4"/>
      <c r="F2147" s="4" t="s">
        <v>1990</v>
      </c>
      <c r="G2147" s="4" t="s">
        <v>1991</v>
      </c>
      <c r="H2147" s="4" t="s">
        <v>1992</v>
      </c>
      <c r="I2147" s="4"/>
      <c r="J2147" s="4" t="s">
        <v>744</v>
      </c>
      <c r="K2147" s="4" t="s">
        <v>84</v>
      </c>
      <c r="L2147" s="4" t="s">
        <v>85</v>
      </c>
      <c r="M2147" s="4" t="s">
        <v>2018</v>
      </c>
      <c r="N2147" s="4" t="s">
        <v>2001</v>
      </c>
      <c r="O2147" s="4" t="s">
        <v>66</v>
      </c>
      <c r="P2147" s="4" t="s">
        <v>67</v>
      </c>
      <c r="Q2147" s="4" t="s">
        <v>2003</v>
      </c>
      <c r="R2147" s="4" t="s">
        <v>2004</v>
      </c>
      <c r="S2147" s="4"/>
      <c r="T2147" s="4"/>
      <c r="U2147" s="4"/>
      <c r="V2147" s="4"/>
      <c r="W2147" s="4"/>
      <c r="X2147" s="4"/>
      <c r="Y2147" s="4"/>
      <c r="Z2147" s="4"/>
      <c r="AA2147" s="4"/>
      <c r="AB2147" s="4"/>
      <c r="AC2147" s="4"/>
      <c r="AD2147" s="4"/>
      <c r="AE2147" s="4"/>
      <c r="AF2147" s="4"/>
      <c r="AG2147" s="4"/>
      <c r="AH2147" s="4"/>
      <c r="AI2147" s="4"/>
      <c r="AJ2147" s="4"/>
      <c r="AK2147" s="4"/>
      <c r="AL2147" s="4"/>
      <c r="AM2147" s="4" t="s">
        <v>2048</v>
      </c>
    </row>
    <row r="2148" customFormat="false" ht="23.85" hidden="false" customHeight="false" outlineLevel="0" collapsed="false">
      <c r="A2148" s="4" t="s">
        <v>1987</v>
      </c>
      <c r="B2148" s="4" t="s">
        <v>2817</v>
      </c>
      <c r="C2148" s="4" t="s">
        <v>2818</v>
      </c>
      <c r="D2148" s="12" t="n">
        <v>2020</v>
      </c>
      <c r="E2148" s="4"/>
      <c r="F2148" s="4" t="s">
        <v>1990</v>
      </c>
      <c r="G2148" s="4" t="s">
        <v>1991</v>
      </c>
      <c r="H2148" s="4" t="s">
        <v>1992</v>
      </c>
      <c r="I2148" s="4"/>
      <c r="J2148" s="4" t="s">
        <v>745</v>
      </c>
      <c r="K2148" s="4" t="s">
        <v>84</v>
      </c>
      <c r="L2148" s="4" t="s">
        <v>85</v>
      </c>
      <c r="M2148" s="4" t="s">
        <v>2018</v>
      </c>
      <c r="N2148" s="4" t="s">
        <v>2001</v>
      </c>
      <c r="O2148" s="4" t="s">
        <v>66</v>
      </c>
      <c r="P2148" s="4" t="s">
        <v>67</v>
      </c>
      <c r="Q2148" s="4" t="s">
        <v>2008</v>
      </c>
      <c r="R2148" s="4" t="s">
        <v>2004</v>
      </c>
      <c r="S2148" s="4"/>
      <c r="T2148" s="4"/>
      <c r="U2148" s="4"/>
      <c r="V2148" s="4"/>
      <c r="W2148" s="4"/>
      <c r="X2148" s="4"/>
      <c r="Y2148" s="4"/>
      <c r="Z2148" s="4"/>
      <c r="AA2148" s="4"/>
      <c r="AB2148" s="4"/>
      <c r="AC2148" s="4"/>
      <c r="AD2148" s="4"/>
      <c r="AE2148" s="4"/>
      <c r="AF2148" s="4"/>
      <c r="AG2148" s="4"/>
      <c r="AH2148" s="4"/>
      <c r="AI2148" s="4"/>
      <c r="AJ2148" s="4"/>
      <c r="AK2148" s="4"/>
      <c r="AL2148" s="4"/>
      <c r="AM2148" s="4" t="s">
        <v>2067</v>
      </c>
    </row>
    <row r="2149" customFormat="false" ht="23.85" hidden="false" customHeight="false" outlineLevel="0" collapsed="false">
      <c r="A2149" s="4" t="s">
        <v>1987</v>
      </c>
      <c r="B2149" s="4" t="s">
        <v>2819</v>
      </c>
      <c r="C2149" s="4" t="s">
        <v>2820</v>
      </c>
      <c r="D2149" s="12" t="n">
        <v>2020</v>
      </c>
      <c r="E2149" s="4"/>
      <c r="F2149" s="4" t="s">
        <v>1990</v>
      </c>
      <c r="G2149" s="4" t="s">
        <v>1991</v>
      </c>
      <c r="H2149" s="4" t="s">
        <v>1992</v>
      </c>
      <c r="I2149" s="4"/>
      <c r="J2149" s="4" t="s">
        <v>753</v>
      </c>
      <c r="K2149" s="4" t="s">
        <v>109</v>
      </c>
      <c r="L2149" s="4" t="s">
        <v>110</v>
      </c>
      <c r="M2149" s="4" t="s">
        <v>1993</v>
      </c>
      <c r="N2149" s="4" t="s">
        <v>1994</v>
      </c>
      <c r="O2149" s="4" t="s">
        <v>1995</v>
      </c>
      <c r="P2149" s="4" t="s">
        <v>65</v>
      </c>
      <c r="Q2149" s="4" t="s">
        <v>2070</v>
      </c>
      <c r="R2149" s="4" t="s">
        <v>1997</v>
      </c>
      <c r="S2149" s="4"/>
      <c r="T2149" s="4"/>
      <c r="U2149" s="4"/>
      <c r="V2149" s="4"/>
      <c r="W2149" s="4"/>
      <c r="X2149" s="4"/>
      <c r="Y2149" s="4"/>
      <c r="Z2149" s="4"/>
      <c r="AA2149" s="4"/>
      <c r="AB2149" s="4"/>
      <c r="AC2149" s="4"/>
      <c r="AD2149" s="4"/>
      <c r="AE2149" s="4"/>
      <c r="AF2149" s="4"/>
      <c r="AG2149" s="4"/>
      <c r="AH2149" s="4"/>
      <c r="AI2149" s="4"/>
      <c r="AJ2149" s="4"/>
      <c r="AK2149" s="4"/>
      <c r="AL2149" s="4"/>
      <c r="AM2149" s="4" t="s">
        <v>2071</v>
      </c>
    </row>
    <row r="2150" customFormat="false" ht="15" hidden="false" customHeight="false" outlineLevel="0" collapsed="false">
      <c r="A2150" s="4" t="s">
        <v>1987</v>
      </c>
      <c r="B2150" s="4" t="s">
        <v>2821</v>
      </c>
      <c r="C2150" s="4" t="s">
        <v>2822</v>
      </c>
      <c r="D2150" s="12" t="n">
        <v>2020</v>
      </c>
      <c r="E2150" s="4"/>
      <c r="F2150" s="4" t="s">
        <v>1990</v>
      </c>
      <c r="G2150" s="4" t="s">
        <v>1991</v>
      </c>
      <c r="H2150" s="4" t="s">
        <v>1992</v>
      </c>
      <c r="I2150" s="4"/>
      <c r="J2150" s="4" t="s">
        <v>762</v>
      </c>
      <c r="K2150" s="4" t="s">
        <v>109</v>
      </c>
      <c r="L2150" s="4" t="s">
        <v>110</v>
      </c>
      <c r="M2150" s="4" t="s">
        <v>1993</v>
      </c>
      <c r="N2150" s="4" t="s">
        <v>2001</v>
      </c>
      <c r="O2150" s="4" t="s">
        <v>2074</v>
      </c>
      <c r="P2150" s="4" t="s">
        <v>73</v>
      </c>
      <c r="Q2150" s="4" t="s">
        <v>2075</v>
      </c>
      <c r="R2150" s="4" t="s">
        <v>1997</v>
      </c>
      <c r="S2150" s="4"/>
      <c r="T2150" s="4"/>
      <c r="U2150" s="4"/>
      <c r="V2150" s="4"/>
      <c r="W2150" s="4"/>
      <c r="X2150" s="4"/>
      <c r="Y2150" s="4"/>
      <c r="Z2150" s="4"/>
      <c r="AA2150" s="4"/>
      <c r="AB2150" s="4"/>
      <c r="AC2150" s="4"/>
      <c r="AD2150" s="4"/>
      <c r="AE2150" s="4"/>
      <c r="AF2150" s="4"/>
      <c r="AG2150" s="4"/>
      <c r="AH2150" s="4"/>
      <c r="AI2150" s="4"/>
      <c r="AJ2150" s="4"/>
      <c r="AK2150" s="4"/>
      <c r="AL2150" s="4"/>
      <c r="AM2150" s="4" t="s">
        <v>2076</v>
      </c>
    </row>
    <row r="2151" customFormat="false" ht="15" hidden="false" customHeight="false" outlineLevel="0" collapsed="false">
      <c r="A2151" s="4" t="s">
        <v>1987</v>
      </c>
      <c r="B2151" s="4" t="s">
        <v>2823</v>
      </c>
      <c r="C2151" s="4" t="s">
        <v>2824</v>
      </c>
      <c r="D2151" s="12" t="n">
        <v>2020</v>
      </c>
      <c r="E2151" s="4"/>
      <c r="F2151" s="4" t="s">
        <v>1990</v>
      </c>
      <c r="G2151" s="4" t="s">
        <v>1991</v>
      </c>
      <c r="H2151" s="4" t="s">
        <v>1992</v>
      </c>
      <c r="I2151" s="4"/>
      <c r="J2151" s="4" t="s">
        <v>763</v>
      </c>
      <c r="K2151" s="4" t="s">
        <v>109</v>
      </c>
      <c r="L2151" s="4" t="s">
        <v>110</v>
      </c>
      <c r="M2151" s="4" t="s">
        <v>1993</v>
      </c>
      <c r="N2151" s="4" t="s">
        <v>2001</v>
      </c>
      <c r="O2151" s="4" t="s">
        <v>2002</v>
      </c>
      <c r="P2151" s="4" t="s">
        <v>72</v>
      </c>
      <c r="Q2151" s="4" t="s">
        <v>2079</v>
      </c>
      <c r="R2151" s="4" t="s">
        <v>1997</v>
      </c>
      <c r="S2151" s="4"/>
      <c r="T2151" s="4"/>
      <c r="U2151" s="4"/>
      <c r="V2151" s="4"/>
      <c r="W2151" s="4"/>
      <c r="X2151" s="4"/>
      <c r="Y2151" s="4"/>
      <c r="Z2151" s="4"/>
      <c r="AA2151" s="4"/>
      <c r="AB2151" s="4"/>
      <c r="AC2151" s="4"/>
      <c r="AD2151" s="4"/>
      <c r="AE2151" s="4"/>
      <c r="AF2151" s="4"/>
      <c r="AG2151" s="4"/>
      <c r="AH2151" s="4"/>
      <c r="AI2151" s="4"/>
      <c r="AJ2151" s="4"/>
      <c r="AK2151" s="4"/>
      <c r="AL2151" s="4"/>
      <c r="AM2151" s="4" t="s">
        <v>2080</v>
      </c>
    </row>
    <row r="2152" customFormat="false" ht="23.85" hidden="false" customHeight="false" outlineLevel="0" collapsed="false">
      <c r="A2152" s="4" t="s">
        <v>1987</v>
      </c>
      <c r="B2152" s="4" t="s">
        <v>2825</v>
      </c>
      <c r="C2152" s="4" t="s">
        <v>2826</v>
      </c>
      <c r="D2152" s="12" t="n">
        <v>2020</v>
      </c>
      <c r="E2152" s="4"/>
      <c r="F2152" s="4" t="s">
        <v>1990</v>
      </c>
      <c r="G2152" s="4" t="s">
        <v>1991</v>
      </c>
      <c r="H2152" s="4" t="s">
        <v>1992</v>
      </c>
      <c r="I2152" s="4"/>
      <c r="J2152" s="4" t="s">
        <v>767</v>
      </c>
      <c r="K2152" s="4" t="s">
        <v>86</v>
      </c>
      <c r="L2152" s="4" t="s">
        <v>87</v>
      </c>
      <c r="M2152" s="4" t="s">
        <v>2018</v>
      </c>
      <c r="N2152" s="4" t="s">
        <v>1994</v>
      </c>
      <c r="O2152" s="4" t="s">
        <v>65</v>
      </c>
      <c r="P2152" s="4" t="s">
        <v>64</v>
      </c>
      <c r="Q2152" s="4" t="s">
        <v>2019</v>
      </c>
      <c r="R2152" s="4" t="s">
        <v>1997</v>
      </c>
      <c r="S2152" s="4"/>
      <c r="T2152" s="4"/>
      <c r="U2152" s="4"/>
      <c r="V2152" s="4"/>
      <c r="W2152" s="4"/>
      <c r="X2152" s="4"/>
      <c r="Y2152" s="4"/>
      <c r="Z2152" s="4"/>
      <c r="AA2152" s="4"/>
      <c r="AB2152" s="4"/>
      <c r="AC2152" s="4"/>
      <c r="AD2152" s="4"/>
      <c r="AE2152" s="4"/>
      <c r="AF2152" s="4"/>
      <c r="AG2152" s="4"/>
      <c r="AH2152" s="4"/>
      <c r="AI2152" s="4"/>
      <c r="AJ2152" s="4"/>
      <c r="AK2152" s="4"/>
      <c r="AL2152" s="4"/>
      <c r="AM2152" s="4" t="s">
        <v>2020</v>
      </c>
    </row>
    <row r="2153" customFormat="false" ht="15" hidden="false" customHeight="false" outlineLevel="0" collapsed="false">
      <c r="A2153" s="4" t="s">
        <v>1987</v>
      </c>
      <c r="B2153" s="4" t="s">
        <v>2827</v>
      </c>
      <c r="C2153" s="4" t="s">
        <v>2828</v>
      </c>
      <c r="D2153" s="12" t="n">
        <v>2020</v>
      </c>
      <c r="E2153" s="4"/>
      <c r="F2153" s="4" t="s">
        <v>1990</v>
      </c>
      <c r="G2153" s="4" t="s">
        <v>1991</v>
      </c>
      <c r="H2153" s="4" t="s">
        <v>1992</v>
      </c>
      <c r="I2153" s="4"/>
      <c r="J2153" s="4" t="s">
        <v>767</v>
      </c>
      <c r="K2153" s="4" t="s">
        <v>86</v>
      </c>
      <c r="L2153" s="4" t="s">
        <v>87</v>
      </c>
      <c r="M2153" s="4" t="s">
        <v>2018</v>
      </c>
      <c r="N2153" s="4" t="s">
        <v>2001</v>
      </c>
      <c r="O2153" s="4" t="s">
        <v>66</v>
      </c>
      <c r="P2153" s="4" t="s">
        <v>66</v>
      </c>
      <c r="Q2153" s="4" t="s">
        <v>2019</v>
      </c>
      <c r="R2153" s="4" t="s">
        <v>1997</v>
      </c>
      <c r="S2153" s="4"/>
      <c r="T2153" s="4"/>
      <c r="U2153" s="4"/>
      <c r="V2153" s="4"/>
      <c r="W2153" s="4"/>
      <c r="X2153" s="4"/>
      <c r="Y2153" s="4"/>
      <c r="Z2153" s="4"/>
      <c r="AA2153" s="4"/>
      <c r="AB2153" s="4"/>
      <c r="AC2153" s="4"/>
      <c r="AD2153" s="4"/>
      <c r="AE2153" s="4"/>
      <c r="AF2153" s="4"/>
      <c r="AG2153" s="4"/>
      <c r="AH2153" s="4"/>
      <c r="AI2153" s="4"/>
      <c r="AJ2153" s="4"/>
      <c r="AK2153" s="4"/>
      <c r="AL2153" s="4"/>
      <c r="AM2153" s="4" t="s">
        <v>2023</v>
      </c>
    </row>
    <row r="2154" customFormat="false" ht="15" hidden="false" customHeight="false" outlineLevel="0" collapsed="false">
      <c r="A2154" s="4" t="s">
        <v>1987</v>
      </c>
      <c r="B2154" s="4" t="s">
        <v>2829</v>
      </c>
      <c r="C2154" s="4" t="s">
        <v>2830</v>
      </c>
      <c r="D2154" s="12" t="n">
        <v>2020</v>
      </c>
      <c r="E2154" s="4"/>
      <c r="F2154" s="4" t="s">
        <v>1990</v>
      </c>
      <c r="G2154" s="4" t="s">
        <v>1991</v>
      </c>
      <c r="H2154" s="4" t="s">
        <v>1992</v>
      </c>
      <c r="I2154" s="4"/>
      <c r="J2154" s="4" t="s">
        <v>767</v>
      </c>
      <c r="K2154" s="4" t="s">
        <v>86</v>
      </c>
      <c r="L2154" s="4" t="s">
        <v>87</v>
      </c>
      <c r="M2154" s="4" t="s">
        <v>1993</v>
      </c>
      <c r="N2154" s="4" t="s">
        <v>1994</v>
      </c>
      <c r="O2154" s="4" t="s">
        <v>1995</v>
      </c>
      <c r="P2154" s="4" t="s">
        <v>66</v>
      </c>
      <c r="Q2154" s="4" t="s">
        <v>2019</v>
      </c>
      <c r="R2154" s="4" t="s">
        <v>1997</v>
      </c>
      <c r="S2154" s="4"/>
      <c r="T2154" s="4"/>
      <c r="U2154" s="4"/>
      <c r="V2154" s="4"/>
      <c r="W2154" s="4"/>
      <c r="X2154" s="4"/>
      <c r="Y2154" s="4"/>
      <c r="Z2154" s="4"/>
      <c r="AA2154" s="4"/>
      <c r="AB2154" s="4"/>
      <c r="AC2154" s="4"/>
      <c r="AD2154" s="4"/>
      <c r="AE2154" s="4"/>
      <c r="AF2154" s="4"/>
      <c r="AG2154" s="4"/>
      <c r="AH2154" s="4"/>
      <c r="AI2154" s="4"/>
      <c r="AJ2154" s="4"/>
      <c r="AK2154" s="4"/>
      <c r="AL2154" s="4"/>
      <c r="AM2154" s="4" t="s">
        <v>2026</v>
      </c>
    </row>
    <row r="2155" customFormat="false" ht="23.85" hidden="false" customHeight="false" outlineLevel="0" collapsed="false">
      <c r="A2155" s="4" t="s">
        <v>1987</v>
      </c>
      <c r="B2155" s="4" t="s">
        <v>2831</v>
      </c>
      <c r="C2155" s="4" t="s">
        <v>2832</v>
      </c>
      <c r="D2155" s="12" t="n">
        <v>2020</v>
      </c>
      <c r="E2155" s="4"/>
      <c r="F2155" s="4" t="s">
        <v>1990</v>
      </c>
      <c r="G2155" s="4" t="s">
        <v>1991</v>
      </c>
      <c r="H2155" s="4" t="s">
        <v>1992</v>
      </c>
      <c r="I2155" s="4"/>
      <c r="J2155" s="4" t="s">
        <v>769</v>
      </c>
      <c r="K2155" s="4" t="s">
        <v>86</v>
      </c>
      <c r="L2155" s="4" t="s">
        <v>87</v>
      </c>
      <c r="M2155" s="4" t="s">
        <v>1993</v>
      </c>
      <c r="N2155" s="4" t="s">
        <v>2001</v>
      </c>
      <c r="O2155" s="4" t="s">
        <v>2091</v>
      </c>
      <c r="P2155" s="4" t="s">
        <v>69</v>
      </c>
      <c r="Q2155" s="4" t="s">
        <v>2030</v>
      </c>
      <c r="R2155" s="4" t="s">
        <v>1997</v>
      </c>
      <c r="S2155" s="4"/>
      <c r="T2155" s="4"/>
      <c r="U2155" s="4"/>
      <c r="V2155" s="4"/>
      <c r="W2155" s="4"/>
      <c r="X2155" s="4"/>
      <c r="Y2155" s="4"/>
      <c r="Z2155" s="4"/>
      <c r="AA2155" s="4"/>
      <c r="AB2155" s="4"/>
      <c r="AC2155" s="4"/>
      <c r="AD2155" s="4"/>
      <c r="AE2155" s="4"/>
      <c r="AF2155" s="4"/>
      <c r="AG2155" s="4"/>
      <c r="AH2155" s="4"/>
      <c r="AI2155" s="4"/>
      <c r="AJ2155" s="4"/>
      <c r="AK2155" s="4"/>
      <c r="AL2155" s="4"/>
      <c r="AM2155" s="4" t="s">
        <v>2092</v>
      </c>
    </row>
    <row r="2156" customFormat="false" ht="23.85" hidden="false" customHeight="false" outlineLevel="0" collapsed="false">
      <c r="A2156" s="4" t="s">
        <v>1987</v>
      </c>
      <c r="B2156" s="4" t="s">
        <v>2833</v>
      </c>
      <c r="C2156" s="4" t="s">
        <v>2834</v>
      </c>
      <c r="D2156" s="12" t="n">
        <v>2020</v>
      </c>
      <c r="E2156" s="4"/>
      <c r="F2156" s="4" t="s">
        <v>1990</v>
      </c>
      <c r="G2156" s="4" t="s">
        <v>1991</v>
      </c>
      <c r="H2156" s="4" t="s">
        <v>1992</v>
      </c>
      <c r="I2156" s="4"/>
      <c r="J2156" s="4" t="s">
        <v>770</v>
      </c>
      <c r="K2156" s="4" t="s">
        <v>86</v>
      </c>
      <c r="L2156" s="4" t="s">
        <v>87</v>
      </c>
      <c r="M2156" s="4" t="s">
        <v>1993</v>
      </c>
      <c r="N2156" s="4" t="s">
        <v>2001</v>
      </c>
      <c r="O2156" s="4" t="s">
        <v>2034</v>
      </c>
      <c r="P2156" s="4" t="s">
        <v>74</v>
      </c>
      <c r="Q2156" s="4" t="s">
        <v>2035</v>
      </c>
      <c r="R2156" s="4" t="s">
        <v>2036</v>
      </c>
      <c r="S2156" s="4"/>
      <c r="T2156" s="4"/>
      <c r="U2156" s="4"/>
      <c r="V2156" s="4"/>
      <c r="W2156" s="4"/>
      <c r="X2156" s="4"/>
      <c r="Y2156" s="4"/>
      <c r="Z2156" s="4"/>
      <c r="AA2156" s="4"/>
      <c r="AB2156" s="4"/>
      <c r="AC2156" s="4"/>
      <c r="AD2156" s="4"/>
      <c r="AE2156" s="4"/>
      <c r="AF2156" s="4"/>
      <c r="AG2156" s="4"/>
      <c r="AH2156" s="4"/>
      <c r="AI2156" s="4"/>
      <c r="AJ2156" s="4"/>
      <c r="AK2156" s="4"/>
      <c r="AL2156" s="4"/>
      <c r="AM2156" s="4" t="s">
        <v>2037</v>
      </c>
    </row>
    <row r="2157" customFormat="false" ht="23.85" hidden="false" customHeight="false" outlineLevel="0" collapsed="false">
      <c r="A2157" s="4" t="s">
        <v>1987</v>
      </c>
      <c r="B2157" s="4" t="s">
        <v>2835</v>
      </c>
      <c r="C2157" s="4" t="s">
        <v>2836</v>
      </c>
      <c r="D2157" s="12" t="n">
        <v>2020</v>
      </c>
      <c r="E2157" s="4"/>
      <c r="F2157" s="4" t="s">
        <v>1990</v>
      </c>
      <c r="G2157" s="4" t="s">
        <v>1991</v>
      </c>
      <c r="H2157" s="4" t="s">
        <v>1992</v>
      </c>
      <c r="I2157" s="4"/>
      <c r="J2157" s="4" t="s">
        <v>771</v>
      </c>
      <c r="K2157" s="4" t="s">
        <v>86</v>
      </c>
      <c r="L2157" s="4" t="s">
        <v>87</v>
      </c>
      <c r="M2157" s="4" t="s">
        <v>1993</v>
      </c>
      <c r="N2157" s="4" t="s">
        <v>2001</v>
      </c>
      <c r="O2157" s="4" t="s">
        <v>2002</v>
      </c>
      <c r="P2157" s="4" t="s">
        <v>67</v>
      </c>
      <c r="Q2157" s="4" t="s">
        <v>2097</v>
      </c>
      <c r="R2157" s="4" t="s">
        <v>2004</v>
      </c>
      <c r="S2157" s="4"/>
      <c r="T2157" s="4"/>
      <c r="U2157" s="4"/>
      <c r="V2157" s="4"/>
      <c r="W2157" s="4"/>
      <c r="X2157" s="4"/>
      <c r="Y2157" s="4"/>
      <c r="Z2157" s="4"/>
      <c r="AA2157" s="4"/>
      <c r="AB2157" s="4"/>
      <c r="AC2157" s="4"/>
      <c r="AD2157" s="4"/>
      <c r="AE2157" s="4"/>
      <c r="AF2157" s="4"/>
      <c r="AG2157" s="4"/>
      <c r="AH2157" s="4"/>
      <c r="AI2157" s="4"/>
      <c r="AJ2157" s="4"/>
      <c r="AK2157" s="4"/>
      <c r="AL2157" s="4"/>
      <c r="AM2157" s="4" t="s">
        <v>2098</v>
      </c>
    </row>
    <row r="2158" customFormat="false" ht="35.05" hidden="false" customHeight="false" outlineLevel="0" collapsed="false">
      <c r="A2158" s="4" t="s">
        <v>1987</v>
      </c>
      <c r="B2158" s="4" t="s">
        <v>2837</v>
      </c>
      <c r="C2158" s="4" t="s">
        <v>2838</v>
      </c>
      <c r="D2158" s="12" t="n">
        <v>2020</v>
      </c>
      <c r="E2158" s="4"/>
      <c r="F2158" s="4" t="s">
        <v>1990</v>
      </c>
      <c r="G2158" s="4" t="s">
        <v>1991</v>
      </c>
      <c r="H2158" s="4" t="s">
        <v>1992</v>
      </c>
      <c r="I2158" s="4"/>
      <c r="J2158" s="4" t="s">
        <v>781</v>
      </c>
      <c r="K2158" s="4" t="s">
        <v>88</v>
      </c>
      <c r="L2158" s="4" t="s">
        <v>89</v>
      </c>
      <c r="M2158" s="4" t="s">
        <v>2018</v>
      </c>
      <c r="N2158" s="4" t="s">
        <v>1994</v>
      </c>
      <c r="O2158" s="4" t="s">
        <v>65</v>
      </c>
      <c r="P2158" s="4" t="s">
        <v>64</v>
      </c>
      <c r="Q2158" s="4" t="s">
        <v>2044</v>
      </c>
      <c r="R2158" s="4" t="s">
        <v>1997</v>
      </c>
      <c r="S2158" s="4"/>
      <c r="T2158" s="4"/>
      <c r="U2158" s="4"/>
      <c r="V2158" s="4"/>
      <c r="W2158" s="4"/>
      <c r="X2158" s="4"/>
      <c r="Y2158" s="4"/>
      <c r="Z2158" s="4"/>
      <c r="AA2158" s="4"/>
      <c r="AB2158" s="4"/>
      <c r="AC2158" s="4"/>
      <c r="AD2158" s="4"/>
      <c r="AE2158" s="4"/>
      <c r="AF2158" s="4"/>
      <c r="AG2158" s="4"/>
      <c r="AH2158" s="4"/>
      <c r="AI2158" s="4"/>
      <c r="AJ2158" s="4"/>
      <c r="AK2158" s="4"/>
      <c r="AL2158" s="4"/>
      <c r="AM2158" s="4" t="s">
        <v>2045</v>
      </c>
    </row>
    <row r="2159" customFormat="false" ht="23.85" hidden="false" customHeight="false" outlineLevel="0" collapsed="false">
      <c r="A2159" s="4" t="s">
        <v>1987</v>
      </c>
      <c r="B2159" s="4" t="s">
        <v>2839</v>
      </c>
      <c r="C2159" s="4" t="s">
        <v>2840</v>
      </c>
      <c r="D2159" s="12" t="n">
        <v>2020</v>
      </c>
      <c r="E2159" s="4"/>
      <c r="F2159" s="4" t="s">
        <v>1990</v>
      </c>
      <c r="G2159" s="4" t="s">
        <v>1991</v>
      </c>
      <c r="H2159" s="4" t="s">
        <v>1992</v>
      </c>
      <c r="I2159" s="4"/>
      <c r="J2159" s="4" t="s">
        <v>786</v>
      </c>
      <c r="K2159" s="4" t="s">
        <v>88</v>
      </c>
      <c r="L2159" s="4" t="s">
        <v>89</v>
      </c>
      <c r="M2159" s="4" t="s">
        <v>2018</v>
      </c>
      <c r="N2159" s="4" t="s">
        <v>2001</v>
      </c>
      <c r="O2159" s="4" t="s">
        <v>66</v>
      </c>
      <c r="P2159" s="4" t="s">
        <v>67</v>
      </c>
      <c r="Q2159" s="4" t="s">
        <v>2003</v>
      </c>
      <c r="R2159" s="4" t="s">
        <v>2004</v>
      </c>
      <c r="S2159" s="4"/>
      <c r="T2159" s="4"/>
      <c r="U2159" s="4"/>
      <c r="V2159" s="4"/>
      <c r="W2159" s="4"/>
      <c r="X2159" s="4"/>
      <c r="Y2159" s="4"/>
      <c r="Z2159" s="4"/>
      <c r="AA2159" s="4"/>
      <c r="AB2159" s="4"/>
      <c r="AC2159" s="4"/>
      <c r="AD2159" s="4"/>
      <c r="AE2159" s="4"/>
      <c r="AF2159" s="4"/>
      <c r="AG2159" s="4"/>
      <c r="AH2159" s="4"/>
      <c r="AI2159" s="4"/>
      <c r="AJ2159" s="4"/>
      <c r="AK2159" s="4"/>
      <c r="AL2159" s="4"/>
      <c r="AM2159" s="4" t="s">
        <v>2048</v>
      </c>
    </row>
    <row r="2160" customFormat="false" ht="23.85" hidden="false" customHeight="false" outlineLevel="0" collapsed="false">
      <c r="A2160" s="4" t="s">
        <v>1987</v>
      </c>
      <c r="B2160" s="4" t="s">
        <v>2841</v>
      </c>
      <c r="C2160" s="4" t="s">
        <v>2842</v>
      </c>
      <c r="D2160" s="12" t="n">
        <v>2020</v>
      </c>
      <c r="E2160" s="4"/>
      <c r="F2160" s="4" t="s">
        <v>1990</v>
      </c>
      <c r="G2160" s="4" t="s">
        <v>1991</v>
      </c>
      <c r="H2160" s="4" t="s">
        <v>1992</v>
      </c>
      <c r="I2160" s="4"/>
      <c r="J2160" s="4" t="s">
        <v>796</v>
      </c>
      <c r="K2160" s="4" t="s">
        <v>95</v>
      </c>
      <c r="L2160" s="4" t="s">
        <v>96</v>
      </c>
      <c r="M2160" s="4" t="s">
        <v>1993</v>
      </c>
      <c r="N2160" s="4" t="s">
        <v>1994</v>
      </c>
      <c r="O2160" s="4" t="s">
        <v>2029</v>
      </c>
      <c r="P2160" s="4" t="s">
        <v>69</v>
      </c>
      <c r="Q2160" s="4" t="s">
        <v>2030</v>
      </c>
      <c r="R2160" s="4" t="s">
        <v>1997</v>
      </c>
      <c r="S2160" s="4"/>
      <c r="T2160" s="4"/>
      <c r="U2160" s="4"/>
      <c r="V2160" s="4"/>
      <c r="W2160" s="4"/>
      <c r="X2160" s="4"/>
      <c r="Y2160" s="4"/>
      <c r="Z2160" s="4"/>
      <c r="AA2160" s="4"/>
      <c r="AB2160" s="4"/>
      <c r="AC2160" s="4"/>
      <c r="AD2160" s="4"/>
      <c r="AE2160" s="4"/>
      <c r="AF2160" s="4"/>
      <c r="AG2160" s="4"/>
      <c r="AH2160" s="4"/>
      <c r="AI2160" s="4"/>
      <c r="AJ2160" s="4"/>
      <c r="AK2160" s="4"/>
      <c r="AL2160" s="4"/>
      <c r="AM2160" s="4" t="s">
        <v>2031</v>
      </c>
    </row>
    <row r="2161" customFormat="false" ht="23.85" hidden="false" customHeight="false" outlineLevel="0" collapsed="false">
      <c r="A2161" s="4" t="s">
        <v>1987</v>
      </c>
      <c r="B2161" s="4" t="s">
        <v>2843</v>
      </c>
      <c r="C2161" s="4" t="s">
        <v>2844</v>
      </c>
      <c r="D2161" s="12" t="n">
        <v>2020</v>
      </c>
      <c r="E2161" s="4"/>
      <c r="F2161" s="4" t="s">
        <v>1990</v>
      </c>
      <c r="G2161" s="4" t="s">
        <v>1991</v>
      </c>
      <c r="H2161" s="4" t="s">
        <v>1992</v>
      </c>
      <c r="I2161" s="4"/>
      <c r="J2161" s="4" t="s">
        <v>798</v>
      </c>
      <c r="K2161" s="4" t="s">
        <v>95</v>
      </c>
      <c r="L2161" s="4" t="s">
        <v>96</v>
      </c>
      <c r="M2161" s="4" t="s">
        <v>1993</v>
      </c>
      <c r="N2161" s="4" t="s">
        <v>2001</v>
      </c>
      <c r="O2161" s="4" t="s">
        <v>2034</v>
      </c>
      <c r="P2161" s="4" t="s">
        <v>74</v>
      </c>
      <c r="Q2161" s="4" t="s">
        <v>2035</v>
      </c>
      <c r="R2161" s="4" t="s">
        <v>2036</v>
      </c>
      <c r="S2161" s="4"/>
      <c r="T2161" s="4"/>
      <c r="U2161" s="4"/>
      <c r="V2161" s="4"/>
      <c r="W2161" s="4"/>
      <c r="X2161" s="4"/>
      <c r="Y2161" s="4"/>
      <c r="Z2161" s="4"/>
      <c r="AA2161" s="4"/>
      <c r="AB2161" s="4"/>
      <c r="AC2161" s="4"/>
      <c r="AD2161" s="4"/>
      <c r="AE2161" s="4"/>
      <c r="AF2161" s="4"/>
      <c r="AG2161" s="4"/>
      <c r="AH2161" s="4"/>
      <c r="AI2161" s="4"/>
      <c r="AJ2161" s="4"/>
      <c r="AK2161" s="4"/>
      <c r="AL2161" s="4"/>
      <c r="AM2161" s="4" t="s">
        <v>2037</v>
      </c>
    </row>
    <row r="2162" customFormat="false" ht="23.85" hidden="false" customHeight="false" outlineLevel="0" collapsed="false">
      <c r="A2162" s="4" t="s">
        <v>1987</v>
      </c>
      <c r="B2162" s="4" t="s">
        <v>2845</v>
      </c>
      <c r="C2162" s="4" t="s">
        <v>2846</v>
      </c>
      <c r="D2162" s="12" t="n">
        <v>2020</v>
      </c>
      <c r="E2162" s="4"/>
      <c r="F2162" s="4" t="s">
        <v>1990</v>
      </c>
      <c r="G2162" s="4" t="s">
        <v>1991</v>
      </c>
      <c r="H2162" s="4" t="s">
        <v>1992</v>
      </c>
      <c r="I2162" s="4"/>
      <c r="J2162" s="4" t="s">
        <v>806</v>
      </c>
      <c r="K2162" s="4" t="s">
        <v>95</v>
      </c>
      <c r="L2162" s="4" t="s">
        <v>96</v>
      </c>
      <c r="M2162" s="4" t="s">
        <v>1993</v>
      </c>
      <c r="N2162" s="4" t="s">
        <v>2001</v>
      </c>
      <c r="O2162" s="4" t="s">
        <v>2002</v>
      </c>
      <c r="P2162" s="4" t="s">
        <v>68</v>
      </c>
      <c r="Q2162" s="4" t="s">
        <v>2111</v>
      </c>
      <c r="R2162" s="4" t="s">
        <v>1997</v>
      </c>
      <c r="S2162" s="4"/>
      <c r="T2162" s="4"/>
      <c r="U2162" s="4"/>
      <c r="V2162" s="4"/>
      <c r="W2162" s="4"/>
      <c r="X2162" s="4"/>
      <c r="Y2162" s="4"/>
      <c r="Z2162" s="4"/>
      <c r="AA2162" s="4"/>
      <c r="AB2162" s="4"/>
      <c r="AC2162" s="4"/>
      <c r="AD2162" s="4"/>
      <c r="AE2162" s="4"/>
      <c r="AF2162" s="4"/>
      <c r="AG2162" s="4"/>
      <c r="AH2162" s="4"/>
      <c r="AI2162" s="4"/>
      <c r="AJ2162" s="4"/>
      <c r="AK2162" s="4"/>
      <c r="AL2162" s="4"/>
      <c r="AM2162" s="4" t="s">
        <v>2112</v>
      </c>
    </row>
    <row r="2163" customFormat="false" ht="23.85" hidden="false" customHeight="false" outlineLevel="0" collapsed="false">
      <c r="A2163" s="4" t="s">
        <v>1987</v>
      </c>
      <c r="B2163" s="4" t="s">
        <v>2847</v>
      </c>
      <c r="C2163" s="4" t="s">
        <v>2848</v>
      </c>
      <c r="D2163" s="12" t="n">
        <v>2020</v>
      </c>
      <c r="E2163" s="4"/>
      <c r="F2163" s="4" t="s">
        <v>1990</v>
      </c>
      <c r="G2163" s="4" t="s">
        <v>1991</v>
      </c>
      <c r="H2163" s="4" t="s">
        <v>1992</v>
      </c>
      <c r="I2163" s="4"/>
      <c r="J2163" s="4" t="s">
        <v>810</v>
      </c>
      <c r="K2163" s="4" t="s">
        <v>97</v>
      </c>
      <c r="L2163" s="4" t="s">
        <v>98</v>
      </c>
      <c r="M2163" s="4" t="s">
        <v>1993</v>
      </c>
      <c r="N2163" s="4" t="s">
        <v>1994</v>
      </c>
      <c r="O2163" s="4" t="s">
        <v>2029</v>
      </c>
      <c r="P2163" s="4" t="s">
        <v>69</v>
      </c>
      <c r="Q2163" s="4" t="s">
        <v>2030</v>
      </c>
      <c r="R2163" s="4" t="s">
        <v>1997</v>
      </c>
      <c r="S2163" s="4"/>
      <c r="T2163" s="4"/>
      <c r="U2163" s="4"/>
      <c r="V2163" s="4"/>
      <c r="W2163" s="4"/>
      <c r="X2163" s="4"/>
      <c r="Y2163" s="4"/>
      <c r="Z2163" s="4"/>
      <c r="AA2163" s="4"/>
      <c r="AB2163" s="4"/>
      <c r="AC2163" s="4"/>
      <c r="AD2163" s="4"/>
      <c r="AE2163" s="4"/>
      <c r="AF2163" s="4"/>
      <c r="AG2163" s="4"/>
      <c r="AH2163" s="4"/>
      <c r="AI2163" s="4"/>
      <c r="AJ2163" s="4"/>
      <c r="AK2163" s="4"/>
      <c r="AL2163" s="4"/>
      <c r="AM2163" s="4" t="s">
        <v>2031</v>
      </c>
    </row>
    <row r="2164" customFormat="false" ht="23.85" hidden="false" customHeight="false" outlineLevel="0" collapsed="false">
      <c r="A2164" s="4" t="s">
        <v>1987</v>
      </c>
      <c r="B2164" s="4" t="s">
        <v>2849</v>
      </c>
      <c r="C2164" s="4" t="s">
        <v>2850</v>
      </c>
      <c r="D2164" s="12" t="n">
        <v>2020</v>
      </c>
      <c r="E2164" s="4"/>
      <c r="F2164" s="4" t="s">
        <v>1990</v>
      </c>
      <c r="G2164" s="4" t="s">
        <v>1991</v>
      </c>
      <c r="H2164" s="4" t="s">
        <v>1992</v>
      </c>
      <c r="I2164" s="4"/>
      <c r="J2164" s="4" t="s">
        <v>811</v>
      </c>
      <c r="K2164" s="4" t="s">
        <v>97</v>
      </c>
      <c r="L2164" s="4" t="s">
        <v>98</v>
      </c>
      <c r="M2164" s="4" t="s">
        <v>1993</v>
      </c>
      <c r="N2164" s="4" t="s">
        <v>2001</v>
      </c>
      <c r="O2164" s="4" t="s">
        <v>2091</v>
      </c>
      <c r="P2164" s="4" t="s">
        <v>69</v>
      </c>
      <c r="Q2164" s="4" t="s">
        <v>2030</v>
      </c>
      <c r="R2164" s="4" t="s">
        <v>1997</v>
      </c>
      <c r="S2164" s="4"/>
      <c r="T2164" s="4"/>
      <c r="U2164" s="4"/>
      <c r="V2164" s="4"/>
      <c r="W2164" s="4"/>
      <c r="X2164" s="4"/>
      <c r="Y2164" s="4"/>
      <c r="Z2164" s="4"/>
      <c r="AA2164" s="4"/>
      <c r="AB2164" s="4"/>
      <c r="AC2164" s="4"/>
      <c r="AD2164" s="4"/>
      <c r="AE2164" s="4"/>
      <c r="AF2164" s="4"/>
      <c r="AG2164" s="4"/>
      <c r="AH2164" s="4"/>
      <c r="AI2164" s="4"/>
      <c r="AJ2164" s="4"/>
      <c r="AK2164" s="4"/>
      <c r="AL2164" s="4"/>
      <c r="AM2164" s="4" t="s">
        <v>2092</v>
      </c>
    </row>
    <row r="2165" customFormat="false" ht="23.85" hidden="false" customHeight="false" outlineLevel="0" collapsed="false">
      <c r="A2165" s="4" t="s">
        <v>1987</v>
      </c>
      <c r="B2165" s="4" t="s">
        <v>2851</v>
      </c>
      <c r="C2165" s="4" t="s">
        <v>2852</v>
      </c>
      <c r="D2165" s="12" t="n">
        <v>2020</v>
      </c>
      <c r="E2165" s="4"/>
      <c r="F2165" s="4" t="s">
        <v>1990</v>
      </c>
      <c r="G2165" s="4" t="s">
        <v>1991</v>
      </c>
      <c r="H2165" s="4" t="s">
        <v>1992</v>
      </c>
      <c r="I2165" s="4"/>
      <c r="J2165" s="4" t="s">
        <v>812</v>
      </c>
      <c r="K2165" s="4" t="s">
        <v>97</v>
      </c>
      <c r="L2165" s="4" t="s">
        <v>98</v>
      </c>
      <c r="M2165" s="4" t="s">
        <v>1993</v>
      </c>
      <c r="N2165" s="4" t="s">
        <v>2001</v>
      </c>
      <c r="O2165" s="4" t="s">
        <v>2034</v>
      </c>
      <c r="P2165" s="4" t="s">
        <v>74</v>
      </c>
      <c r="Q2165" s="4" t="s">
        <v>2035</v>
      </c>
      <c r="R2165" s="4" t="s">
        <v>2036</v>
      </c>
      <c r="S2165" s="4"/>
      <c r="T2165" s="4"/>
      <c r="U2165" s="4"/>
      <c r="V2165" s="4"/>
      <c r="W2165" s="4"/>
      <c r="X2165" s="4"/>
      <c r="Y2165" s="4"/>
      <c r="Z2165" s="4"/>
      <c r="AA2165" s="4"/>
      <c r="AB2165" s="4"/>
      <c r="AC2165" s="4"/>
      <c r="AD2165" s="4"/>
      <c r="AE2165" s="4"/>
      <c r="AF2165" s="4"/>
      <c r="AG2165" s="4"/>
      <c r="AH2165" s="4"/>
      <c r="AI2165" s="4"/>
      <c r="AJ2165" s="4"/>
      <c r="AK2165" s="4"/>
      <c r="AL2165" s="4"/>
      <c r="AM2165" s="4" t="s">
        <v>2037</v>
      </c>
    </row>
    <row r="2166" customFormat="false" ht="23.85" hidden="false" customHeight="false" outlineLevel="0" collapsed="false">
      <c r="A2166" s="4" t="s">
        <v>1987</v>
      </c>
      <c r="B2166" s="4" t="s">
        <v>2853</v>
      </c>
      <c r="C2166" s="4" t="s">
        <v>2854</v>
      </c>
      <c r="D2166" s="12" t="n">
        <v>2020</v>
      </c>
      <c r="E2166" s="4"/>
      <c r="F2166" s="4" t="s">
        <v>1990</v>
      </c>
      <c r="G2166" s="4" t="s">
        <v>1991</v>
      </c>
      <c r="H2166" s="4" t="s">
        <v>1992</v>
      </c>
      <c r="I2166" s="4"/>
      <c r="J2166" s="4" t="s">
        <v>814</v>
      </c>
      <c r="K2166" s="4" t="s">
        <v>97</v>
      </c>
      <c r="L2166" s="4" t="s">
        <v>98</v>
      </c>
      <c r="M2166" s="4" t="s">
        <v>1993</v>
      </c>
      <c r="N2166" s="4" t="s">
        <v>2001</v>
      </c>
      <c r="O2166" s="4" t="s">
        <v>2002</v>
      </c>
      <c r="P2166" s="4" t="s">
        <v>67</v>
      </c>
      <c r="Q2166" s="4" t="s">
        <v>2003</v>
      </c>
      <c r="R2166" s="4" t="s">
        <v>2004</v>
      </c>
      <c r="S2166" s="4"/>
      <c r="T2166" s="4"/>
      <c r="U2166" s="4"/>
      <c r="V2166" s="4"/>
      <c r="W2166" s="4"/>
      <c r="X2166" s="4"/>
      <c r="Y2166" s="4"/>
      <c r="Z2166" s="4"/>
      <c r="AA2166" s="4"/>
      <c r="AB2166" s="4"/>
      <c r="AC2166" s="4"/>
      <c r="AD2166" s="4"/>
      <c r="AE2166" s="4"/>
      <c r="AF2166" s="4"/>
      <c r="AG2166" s="4"/>
      <c r="AH2166" s="4"/>
      <c r="AI2166" s="4"/>
      <c r="AJ2166" s="4"/>
      <c r="AK2166" s="4"/>
      <c r="AL2166" s="4"/>
      <c r="AM2166" s="4" t="s">
        <v>2005</v>
      </c>
    </row>
    <row r="2167" customFormat="false" ht="15" hidden="false" customHeight="false" outlineLevel="0" collapsed="false">
      <c r="A2167" s="4" t="s">
        <v>1987</v>
      </c>
      <c r="B2167" s="4" t="s">
        <v>2855</v>
      </c>
      <c r="C2167" s="4" t="s">
        <v>2856</v>
      </c>
      <c r="D2167" s="12" t="n">
        <v>2020</v>
      </c>
      <c r="E2167" s="4"/>
      <c r="F2167" s="4" t="s">
        <v>1990</v>
      </c>
      <c r="G2167" s="4" t="s">
        <v>1991</v>
      </c>
      <c r="H2167" s="4" t="s">
        <v>1992</v>
      </c>
      <c r="I2167" s="4"/>
      <c r="J2167" s="4" t="s">
        <v>817</v>
      </c>
      <c r="K2167" s="4" t="s">
        <v>97</v>
      </c>
      <c r="L2167" s="4" t="s">
        <v>98</v>
      </c>
      <c r="M2167" s="4" t="s">
        <v>1993</v>
      </c>
      <c r="N2167" s="4" t="s">
        <v>2001</v>
      </c>
      <c r="O2167" s="4" t="s">
        <v>2002</v>
      </c>
      <c r="P2167" s="4" t="s">
        <v>71</v>
      </c>
      <c r="Q2167" s="4" t="s">
        <v>2123</v>
      </c>
      <c r="R2167" s="4" t="s">
        <v>1997</v>
      </c>
      <c r="S2167" s="4"/>
      <c r="T2167" s="4"/>
      <c r="U2167" s="4"/>
      <c r="V2167" s="4"/>
      <c r="W2167" s="4"/>
      <c r="X2167" s="4"/>
      <c r="Y2167" s="4"/>
      <c r="Z2167" s="4"/>
      <c r="AA2167" s="4"/>
      <c r="AB2167" s="4"/>
      <c r="AC2167" s="4"/>
      <c r="AD2167" s="4"/>
      <c r="AE2167" s="4"/>
      <c r="AF2167" s="4"/>
      <c r="AG2167" s="4"/>
      <c r="AH2167" s="4"/>
      <c r="AI2167" s="4"/>
      <c r="AJ2167" s="4"/>
      <c r="AK2167" s="4"/>
      <c r="AL2167" s="4"/>
      <c r="AM2167" s="4" t="s">
        <v>2124</v>
      </c>
    </row>
    <row r="2168" customFormat="false" ht="23.85" hidden="false" customHeight="false" outlineLevel="0" collapsed="false">
      <c r="A2168" s="4" t="s">
        <v>1987</v>
      </c>
      <c r="B2168" s="4" t="s">
        <v>2857</v>
      </c>
      <c r="C2168" s="4" t="s">
        <v>2858</v>
      </c>
      <c r="D2168" s="12" t="n">
        <v>2020</v>
      </c>
      <c r="E2168" s="4"/>
      <c r="F2168" s="4" t="s">
        <v>1990</v>
      </c>
      <c r="G2168" s="4" t="s">
        <v>1991</v>
      </c>
      <c r="H2168" s="4" t="s">
        <v>1992</v>
      </c>
      <c r="I2168" s="4"/>
      <c r="J2168" s="4" t="s">
        <v>820</v>
      </c>
      <c r="K2168" s="4" t="s">
        <v>97</v>
      </c>
      <c r="L2168" s="4" t="s">
        <v>98</v>
      </c>
      <c r="M2168" s="4" t="s">
        <v>1993</v>
      </c>
      <c r="N2168" s="4" t="s">
        <v>2001</v>
      </c>
      <c r="O2168" s="4" t="s">
        <v>2002</v>
      </c>
      <c r="P2168" s="4" t="s">
        <v>68</v>
      </c>
      <c r="Q2168" s="4" t="s">
        <v>2111</v>
      </c>
      <c r="R2168" s="4" t="s">
        <v>1997</v>
      </c>
      <c r="S2168" s="4"/>
      <c r="T2168" s="4"/>
      <c r="U2168" s="4"/>
      <c r="V2168" s="4"/>
      <c r="W2168" s="4"/>
      <c r="X2168" s="4"/>
      <c r="Y2168" s="4"/>
      <c r="Z2168" s="4"/>
      <c r="AA2168" s="4"/>
      <c r="AB2168" s="4"/>
      <c r="AC2168" s="4"/>
      <c r="AD2168" s="4"/>
      <c r="AE2168" s="4"/>
      <c r="AF2168" s="4"/>
      <c r="AG2168" s="4"/>
      <c r="AH2168" s="4"/>
      <c r="AI2168" s="4"/>
      <c r="AJ2168" s="4"/>
      <c r="AK2168" s="4"/>
      <c r="AL2168" s="4"/>
      <c r="AM2168" s="4" t="s">
        <v>2112</v>
      </c>
    </row>
    <row r="2169" customFormat="false" ht="23.85" hidden="false" customHeight="false" outlineLevel="0" collapsed="false">
      <c r="A2169" s="4" t="s">
        <v>1987</v>
      </c>
      <c r="B2169" s="4" t="s">
        <v>2859</v>
      </c>
      <c r="C2169" s="4" t="s">
        <v>2860</v>
      </c>
      <c r="D2169" s="12" t="n">
        <v>2020</v>
      </c>
      <c r="E2169" s="4"/>
      <c r="F2169" s="4" t="s">
        <v>1990</v>
      </c>
      <c r="G2169" s="4" t="s">
        <v>1991</v>
      </c>
      <c r="H2169" s="4" t="s">
        <v>1992</v>
      </c>
      <c r="I2169" s="4"/>
      <c r="J2169" s="4" t="s">
        <v>824</v>
      </c>
      <c r="K2169" s="4" t="s">
        <v>99</v>
      </c>
      <c r="L2169" s="4" t="s">
        <v>100</v>
      </c>
      <c r="M2169" s="4" t="s">
        <v>1993</v>
      </c>
      <c r="N2169" s="4" t="s">
        <v>1994</v>
      </c>
      <c r="O2169" s="4" t="s">
        <v>2029</v>
      </c>
      <c r="P2169" s="4" t="s">
        <v>69</v>
      </c>
      <c r="Q2169" s="4" t="s">
        <v>2030</v>
      </c>
      <c r="R2169" s="4" t="s">
        <v>1997</v>
      </c>
      <c r="S2169" s="4"/>
      <c r="T2169" s="4"/>
      <c r="U2169" s="4"/>
      <c r="V2169" s="4"/>
      <c r="W2169" s="4"/>
      <c r="X2169" s="4"/>
      <c r="Y2169" s="4"/>
      <c r="Z2169" s="4"/>
      <c r="AA2169" s="4"/>
      <c r="AB2169" s="4"/>
      <c r="AC2169" s="4"/>
      <c r="AD2169" s="4"/>
      <c r="AE2169" s="4"/>
      <c r="AF2169" s="4"/>
      <c r="AG2169" s="4"/>
      <c r="AH2169" s="4"/>
      <c r="AI2169" s="4"/>
      <c r="AJ2169" s="4"/>
      <c r="AK2169" s="4"/>
      <c r="AL2169" s="4"/>
      <c r="AM2169" s="4" t="s">
        <v>2031</v>
      </c>
    </row>
    <row r="2170" customFormat="false" ht="23.85" hidden="false" customHeight="false" outlineLevel="0" collapsed="false">
      <c r="A2170" s="4" t="s">
        <v>1987</v>
      </c>
      <c r="B2170" s="4" t="s">
        <v>2861</v>
      </c>
      <c r="C2170" s="4" t="s">
        <v>2862</v>
      </c>
      <c r="D2170" s="12" t="n">
        <v>2020</v>
      </c>
      <c r="E2170" s="4"/>
      <c r="F2170" s="4" t="s">
        <v>1990</v>
      </c>
      <c r="G2170" s="4" t="s">
        <v>1991</v>
      </c>
      <c r="H2170" s="4" t="s">
        <v>1992</v>
      </c>
      <c r="I2170" s="4"/>
      <c r="J2170" s="4" t="s">
        <v>825</v>
      </c>
      <c r="K2170" s="4" t="s">
        <v>99</v>
      </c>
      <c r="L2170" s="4" t="s">
        <v>100</v>
      </c>
      <c r="M2170" s="4" t="s">
        <v>1993</v>
      </c>
      <c r="N2170" s="4" t="s">
        <v>2001</v>
      </c>
      <c r="O2170" s="4" t="s">
        <v>2091</v>
      </c>
      <c r="P2170" s="4" t="s">
        <v>69</v>
      </c>
      <c r="Q2170" s="4" t="s">
        <v>2030</v>
      </c>
      <c r="R2170" s="4" t="s">
        <v>1997</v>
      </c>
      <c r="S2170" s="4"/>
      <c r="T2170" s="4"/>
      <c r="U2170" s="4"/>
      <c r="V2170" s="4"/>
      <c r="W2170" s="4"/>
      <c r="X2170" s="4"/>
      <c r="Y2170" s="4"/>
      <c r="Z2170" s="4"/>
      <c r="AA2170" s="4"/>
      <c r="AB2170" s="4"/>
      <c r="AC2170" s="4"/>
      <c r="AD2170" s="4"/>
      <c r="AE2170" s="4"/>
      <c r="AF2170" s="4"/>
      <c r="AG2170" s="4"/>
      <c r="AH2170" s="4"/>
      <c r="AI2170" s="4"/>
      <c r="AJ2170" s="4"/>
      <c r="AK2170" s="4"/>
      <c r="AL2170" s="4"/>
      <c r="AM2170" s="4" t="s">
        <v>2092</v>
      </c>
    </row>
    <row r="2171" customFormat="false" ht="23.85" hidden="false" customHeight="false" outlineLevel="0" collapsed="false">
      <c r="A2171" s="4" t="s">
        <v>1987</v>
      </c>
      <c r="B2171" s="4" t="s">
        <v>2863</v>
      </c>
      <c r="C2171" s="4" t="s">
        <v>2864</v>
      </c>
      <c r="D2171" s="12" t="n">
        <v>2020</v>
      </c>
      <c r="E2171" s="4"/>
      <c r="F2171" s="4" t="s">
        <v>1990</v>
      </c>
      <c r="G2171" s="4" t="s">
        <v>1991</v>
      </c>
      <c r="H2171" s="4" t="s">
        <v>1992</v>
      </c>
      <c r="I2171" s="4"/>
      <c r="J2171" s="4" t="s">
        <v>828</v>
      </c>
      <c r="K2171" s="4" t="s">
        <v>99</v>
      </c>
      <c r="L2171" s="4" t="s">
        <v>100</v>
      </c>
      <c r="M2171" s="4" t="s">
        <v>1993</v>
      </c>
      <c r="N2171" s="4" t="s">
        <v>1994</v>
      </c>
      <c r="O2171" s="4" t="s">
        <v>1995</v>
      </c>
      <c r="P2171" s="4" t="s">
        <v>67</v>
      </c>
      <c r="Q2171" s="4" t="s">
        <v>2003</v>
      </c>
      <c r="R2171" s="4" t="s">
        <v>1997</v>
      </c>
      <c r="S2171" s="4"/>
      <c r="T2171" s="4"/>
      <c r="U2171" s="4"/>
      <c r="V2171" s="4"/>
      <c r="W2171" s="4"/>
      <c r="X2171" s="4"/>
      <c r="Y2171" s="4"/>
      <c r="Z2171" s="4"/>
      <c r="AA2171" s="4"/>
      <c r="AB2171" s="4"/>
      <c r="AC2171" s="4"/>
      <c r="AD2171" s="4"/>
      <c r="AE2171" s="4"/>
      <c r="AF2171" s="4"/>
      <c r="AG2171" s="4"/>
      <c r="AH2171" s="4"/>
      <c r="AI2171" s="4"/>
      <c r="AJ2171" s="4"/>
      <c r="AK2171" s="4"/>
      <c r="AL2171" s="4"/>
      <c r="AM2171" s="4" t="s">
        <v>2133</v>
      </c>
    </row>
    <row r="2172" customFormat="false" ht="23.85" hidden="false" customHeight="false" outlineLevel="0" collapsed="false">
      <c r="A2172" s="4" t="s">
        <v>1987</v>
      </c>
      <c r="B2172" s="4" t="s">
        <v>2865</v>
      </c>
      <c r="C2172" s="4" t="s">
        <v>2866</v>
      </c>
      <c r="D2172" s="12" t="n">
        <v>2020</v>
      </c>
      <c r="E2172" s="4"/>
      <c r="F2172" s="4" t="s">
        <v>1990</v>
      </c>
      <c r="G2172" s="4" t="s">
        <v>1991</v>
      </c>
      <c r="H2172" s="4" t="s">
        <v>1992</v>
      </c>
      <c r="I2172" s="4"/>
      <c r="J2172" s="4" t="s">
        <v>829</v>
      </c>
      <c r="K2172" s="4" t="s">
        <v>99</v>
      </c>
      <c r="L2172" s="4" t="s">
        <v>100</v>
      </c>
      <c r="M2172" s="4" t="s">
        <v>1993</v>
      </c>
      <c r="N2172" s="4" t="s">
        <v>1994</v>
      </c>
      <c r="O2172" s="4" t="s">
        <v>1995</v>
      </c>
      <c r="P2172" s="4" t="s">
        <v>67</v>
      </c>
      <c r="Q2172" s="4" t="s">
        <v>2008</v>
      </c>
      <c r="R2172" s="4" t="s">
        <v>1997</v>
      </c>
      <c r="S2172" s="4"/>
      <c r="T2172" s="4"/>
      <c r="U2172" s="4"/>
      <c r="V2172" s="4"/>
      <c r="W2172" s="4"/>
      <c r="X2172" s="4"/>
      <c r="Y2172" s="4"/>
      <c r="Z2172" s="4"/>
      <c r="AA2172" s="4"/>
      <c r="AB2172" s="4"/>
      <c r="AC2172" s="4"/>
      <c r="AD2172" s="4"/>
      <c r="AE2172" s="4"/>
      <c r="AF2172" s="4"/>
      <c r="AG2172" s="4"/>
      <c r="AH2172" s="4"/>
      <c r="AI2172" s="4"/>
      <c r="AJ2172" s="4"/>
      <c r="AK2172" s="4"/>
      <c r="AL2172" s="4"/>
      <c r="AM2172" s="4" t="s">
        <v>2136</v>
      </c>
    </row>
    <row r="2173" customFormat="false" ht="15" hidden="false" customHeight="false" outlineLevel="0" collapsed="false">
      <c r="A2173" s="4" t="s">
        <v>1987</v>
      </c>
      <c r="B2173" s="4" t="s">
        <v>2867</v>
      </c>
      <c r="C2173" s="4" t="s">
        <v>2868</v>
      </c>
      <c r="D2173" s="12" t="n">
        <v>2020</v>
      </c>
      <c r="E2173" s="4"/>
      <c r="F2173" s="4" t="s">
        <v>1990</v>
      </c>
      <c r="G2173" s="4" t="s">
        <v>1991</v>
      </c>
      <c r="H2173" s="4" t="s">
        <v>1992</v>
      </c>
      <c r="I2173" s="4"/>
      <c r="J2173" s="4" t="s">
        <v>830</v>
      </c>
      <c r="K2173" s="4" t="s">
        <v>99</v>
      </c>
      <c r="L2173" s="4" t="s">
        <v>100</v>
      </c>
      <c r="M2173" s="4" t="s">
        <v>1993</v>
      </c>
      <c r="N2173" s="4" t="s">
        <v>2001</v>
      </c>
      <c r="O2173" s="4" t="s">
        <v>2002</v>
      </c>
      <c r="P2173" s="4" t="s">
        <v>67</v>
      </c>
      <c r="Q2173" s="4" t="s">
        <v>2139</v>
      </c>
      <c r="R2173" s="4" t="s">
        <v>1997</v>
      </c>
      <c r="S2173" s="4"/>
      <c r="T2173" s="4"/>
      <c r="U2173" s="4"/>
      <c r="V2173" s="4"/>
      <c r="W2173" s="4"/>
      <c r="X2173" s="4"/>
      <c r="Y2173" s="4"/>
      <c r="Z2173" s="4"/>
      <c r="AA2173" s="4"/>
      <c r="AB2173" s="4"/>
      <c r="AC2173" s="4"/>
      <c r="AD2173" s="4"/>
      <c r="AE2173" s="4"/>
      <c r="AF2173" s="4"/>
      <c r="AG2173" s="4"/>
      <c r="AH2173" s="4"/>
      <c r="AI2173" s="4"/>
      <c r="AJ2173" s="4"/>
      <c r="AK2173" s="4"/>
      <c r="AL2173" s="4"/>
      <c r="AM2173" s="4" t="s">
        <v>2140</v>
      </c>
    </row>
    <row r="2174" customFormat="false" ht="15" hidden="false" customHeight="false" outlineLevel="0" collapsed="false">
      <c r="A2174" s="4" t="s">
        <v>1987</v>
      </c>
      <c r="B2174" s="4" t="s">
        <v>2869</v>
      </c>
      <c r="C2174" s="4" t="s">
        <v>2870</v>
      </c>
      <c r="D2174" s="12" t="n">
        <v>2020</v>
      </c>
      <c r="E2174" s="4"/>
      <c r="F2174" s="4" t="s">
        <v>1990</v>
      </c>
      <c r="G2174" s="4" t="s">
        <v>1991</v>
      </c>
      <c r="H2174" s="4" t="s">
        <v>1992</v>
      </c>
      <c r="I2174" s="4"/>
      <c r="J2174" s="4" t="s">
        <v>832</v>
      </c>
      <c r="K2174" s="4" t="s">
        <v>99</v>
      </c>
      <c r="L2174" s="4" t="s">
        <v>100</v>
      </c>
      <c r="M2174" s="4" t="s">
        <v>1993</v>
      </c>
      <c r="N2174" s="4" t="s">
        <v>2001</v>
      </c>
      <c r="O2174" s="4" t="s">
        <v>2074</v>
      </c>
      <c r="P2174" s="4" t="s">
        <v>73</v>
      </c>
      <c r="Q2174" s="4" t="s">
        <v>2075</v>
      </c>
      <c r="R2174" s="4" t="s">
        <v>1997</v>
      </c>
      <c r="S2174" s="4"/>
      <c r="T2174" s="4"/>
      <c r="U2174" s="4"/>
      <c r="V2174" s="4"/>
      <c r="W2174" s="4"/>
      <c r="X2174" s="4"/>
      <c r="Y2174" s="4"/>
      <c r="Z2174" s="4"/>
      <c r="AA2174" s="4"/>
      <c r="AB2174" s="4"/>
      <c r="AC2174" s="4"/>
      <c r="AD2174" s="4"/>
      <c r="AE2174" s="4"/>
      <c r="AF2174" s="4"/>
      <c r="AG2174" s="4"/>
      <c r="AH2174" s="4"/>
      <c r="AI2174" s="4"/>
      <c r="AJ2174" s="4"/>
      <c r="AK2174" s="4"/>
      <c r="AL2174" s="4"/>
      <c r="AM2174" s="4" t="s">
        <v>2076</v>
      </c>
    </row>
    <row r="2175" customFormat="false" ht="15" hidden="false" customHeight="false" outlineLevel="0" collapsed="false">
      <c r="A2175" s="4" t="s">
        <v>1987</v>
      </c>
      <c r="B2175" s="4" t="s">
        <v>2871</v>
      </c>
      <c r="C2175" s="4" t="s">
        <v>2872</v>
      </c>
      <c r="D2175" s="12" t="n">
        <v>2020</v>
      </c>
      <c r="E2175" s="4"/>
      <c r="F2175" s="4" t="s">
        <v>1990</v>
      </c>
      <c r="G2175" s="4" t="s">
        <v>1991</v>
      </c>
      <c r="H2175" s="4" t="s">
        <v>1992</v>
      </c>
      <c r="I2175" s="4"/>
      <c r="J2175" s="4" t="s">
        <v>833</v>
      </c>
      <c r="K2175" s="4" t="s">
        <v>99</v>
      </c>
      <c r="L2175" s="4" t="s">
        <v>100</v>
      </c>
      <c r="M2175" s="4" t="s">
        <v>1993</v>
      </c>
      <c r="N2175" s="4" t="s">
        <v>2001</v>
      </c>
      <c r="O2175" s="4" t="s">
        <v>2002</v>
      </c>
      <c r="P2175" s="4" t="s">
        <v>72</v>
      </c>
      <c r="Q2175" s="4" t="s">
        <v>2079</v>
      </c>
      <c r="R2175" s="4" t="s">
        <v>1997</v>
      </c>
      <c r="S2175" s="4"/>
      <c r="T2175" s="4"/>
      <c r="U2175" s="4"/>
      <c r="V2175" s="4"/>
      <c r="W2175" s="4"/>
      <c r="X2175" s="4"/>
      <c r="Y2175" s="4"/>
      <c r="Z2175" s="4"/>
      <c r="AA2175" s="4"/>
      <c r="AB2175" s="4"/>
      <c r="AC2175" s="4"/>
      <c r="AD2175" s="4"/>
      <c r="AE2175" s="4"/>
      <c r="AF2175" s="4"/>
      <c r="AG2175" s="4"/>
      <c r="AH2175" s="4"/>
      <c r="AI2175" s="4"/>
      <c r="AJ2175" s="4"/>
      <c r="AK2175" s="4"/>
      <c r="AL2175" s="4"/>
      <c r="AM2175" s="4" t="s">
        <v>2080</v>
      </c>
    </row>
    <row r="2176" customFormat="false" ht="23.85" hidden="false" customHeight="false" outlineLevel="0" collapsed="false">
      <c r="A2176" s="4" t="s">
        <v>1987</v>
      </c>
      <c r="B2176" s="4" t="s">
        <v>2873</v>
      </c>
      <c r="C2176" s="4" t="s">
        <v>2874</v>
      </c>
      <c r="D2176" s="12" t="n">
        <v>2020</v>
      </c>
      <c r="E2176" s="4"/>
      <c r="F2176" s="4" t="s">
        <v>1990</v>
      </c>
      <c r="G2176" s="4" t="s">
        <v>1991</v>
      </c>
      <c r="H2176" s="4" t="s">
        <v>1992</v>
      </c>
      <c r="I2176" s="4"/>
      <c r="J2176" s="4" t="s">
        <v>834</v>
      </c>
      <c r="K2176" s="4" t="s">
        <v>99</v>
      </c>
      <c r="L2176" s="4" t="s">
        <v>100</v>
      </c>
      <c r="M2176" s="4" t="s">
        <v>1993</v>
      </c>
      <c r="N2176" s="4" t="s">
        <v>2001</v>
      </c>
      <c r="O2176" s="4" t="s">
        <v>2002</v>
      </c>
      <c r="P2176" s="4" t="s">
        <v>68</v>
      </c>
      <c r="Q2176" s="4" t="s">
        <v>2111</v>
      </c>
      <c r="R2176" s="4" t="s">
        <v>1997</v>
      </c>
      <c r="S2176" s="4"/>
      <c r="T2176" s="4"/>
      <c r="U2176" s="4"/>
      <c r="V2176" s="4"/>
      <c r="W2176" s="4"/>
      <c r="X2176" s="4"/>
      <c r="Y2176" s="4"/>
      <c r="Z2176" s="4"/>
      <c r="AA2176" s="4"/>
      <c r="AB2176" s="4"/>
      <c r="AC2176" s="4"/>
      <c r="AD2176" s="4"/>
      <c r="AE2176" s="4"/>
      <c r="AF2176" s="4"/>
      <c r="AG2176" s="4"/>
      <c r="AH2176" s="4"/>
      <c r="AI2176" s="4"/>
      <c r="AJ2176" s="4"/>
      <c r="AK2176" s="4"/>
      <c r="AL2176" s="4"/>
      <c r="AM2176" s="4" t="s">
        <v>2112</v>
      </c>
    </row>
    <row r="2177" customFormat="false" ht="23.85" hidden="false" customHeight="false" outlineLevel="0" collapsed="false">
      <c r="A2177" s="4" t="s">
        <v>1987</v>
      </c>
      <c r="B2177" s="4" t="s">
        <v>2875</v>
      </c>
      <c r="C2177" s="4" t="s">
        <v>2876</v>
      </c>
      <c r="D2177" s="12" t="n">
        <v>2020</v>
      </c>
      <c r="E2177" s="4"/>
      <c r="F2177" s="4" t="s">
        <v>1990</v>
      </c>
      <c r="G2177" s="4" t="s">
        <v>1991</v>
      </c>
      <c r="H2177" s="4" t="s">
        <v>1992</v>
      </c>
      <c r="I2177" s="4"/>
      <c r="J2177" s="4" t="s">
        <v>836</v>
      </c>
      <c r="K2177" s="4" t="s">
        <v>99</v>
      </c>
      <c r="L2177" s="4" t="s">
        <v>100</v>
      </c>
      <c r="M2177" s="4" t="s">
        <v>1993</v>
      </c>
      <c r="N2177" s="4" t="s">
        <v>2001</v>
      </c>
      <c r="O2177" s="4" t="s">
        <v>2002</v>
      </c>
      <c r="P2177" s="4" t="s">
        <v>67</v>
      </c>
      <c r="Q2177" s="4" t="s">
        <v>2151</v>
      </c>
      <c r="R2177" s="4" t="s">
        <v>1997</v>
      </c>
      <c r="S2177" s="4"/>
      <c r="T2177" s="4"/>
      <c r="U2177" s="4"/>
      <c r="V2177" s="4"/>
      <c r="W2177" s="4"/>
      <c r="X2177" s="4"/>
      <c r="Y2177" s="4"/>
      <c r="Z2177" s="4"/>
      <c r="AA2177" s="4"/>
      <c r="AB2177" s="4"/>
      <c r="AC2177" s="4"/>
      <c r="AD2177" s="4"/>
      <c r="AE2177" s="4"/>
      <c r="AF2177" s="4"/>
      <c r="AG2177" s="4"/>
      <c r="AH2177" s="4"/>
      <c r="AI2177" s="4"/>
      <c r="AJ2177" s="4"/>
      <c r="AK2177" s="4"/>
      <c r="AL2177" s="4"/>
      <c r="AM2177" s="4" t="s">
        <v>2152</v>
      </c>
    </row>
    <row r="2178" customFormat="false" ht="23.85" hidden="false" customHeight="false" outlineLevel="0" collapsed="false">
      <c r="A2178" s="4" t="s">
        <v>1987</v>
      </c>
      <c r="B2178" s="4" t="s">
        <v>2877</v>
      </c>
      <c r="C2178" s="4" t="s">
        <v>2878</v>
      </c>
      <c r="D2178" s="12" t="n">
        <v>2020</v>
      </c>
      <c r="E2178" s="4"/>
      <c r="F2178" s="4" t="s">
        <v>1990</v>
      </c>
      <c r="G2178" s="4" t="s">
        <v>1991</v>
      </c>
      <c r="H2178" s="4" t="s">
        <v>1992</v>
      </c>
      <c r="I2178" s="4"/>
      <c r="J2178" s="4" t="s">
        <v>836</v>
      </c>
      <c r="K2178" s="4" t="s">
        <v>99</v>
      </c>
      <c r="L2178" s="4" t="s">
        <v>100</v>
      </c>
      <c r="M2178" s="4" t="s">
        <v>2155</v>
      </c>
      <c r="N2178" s="4" t="s">
        <v>1994</v>
      </c>
      <c r="O2178" s="4" t="s">
        <v>2156</v>
      </c>
      <c r="P2178" s="4" t="s">
        <v>67</v>
      </c>
      <c r="Q2178" s="4" t="s">
        <v>2151</v>
      </c>
      <c r="R2178" s="4" t="s">
        <v>1997</v>
      </c>
      <c r="S2178" s="4"/>
      <c r="T2178" s="4"/>
      <c r="U2178" s="4"/>
      <c r="V2178" s="4"/>
      <c r="W2178" s="4"/>
      <c r="X2178" s="4"/>
      <c r="Y2178" s="4"/>
      <c r="Z2178" s="4"/>
      <c r="AA2178" s="4"/>
      <c r="AB2178" s="4"/>
      <c r="AC2178" s="4"/>
      <c r="AD2178" s="4"/>
      <c r="AE2178" s="4"/>
      <c r="AF2178" s="4"/>
      <c r="AG2178" s="4"/>
      <c r="AH2178" s="4"/>
      <c r="AI2178" s="4"/>
      <c r="AJ2178" s="4"/>
      <c r="AK2178" s="4"/>
      <c r="AL2178" s="4"/>
      <c r="AM2178" s="4" t="s">
        <v>2157</v>
      </c>
    </row>
    <row r="2179" customFormat="false" ht="23.85" hidden="false" customHeight="false" outlineLevel="0" collapsed="false">
      <c r="A2179" s="4" t="s">
        <v>1987</v>
      </c>
      <c r="B2179" s="4" t="s">
        <v>2879</v>
      </c>
      <c r="C2179" s="4" t="s">
        <v>2880</v>
      </c>
      <c r="D2179" s="12" t="n">
        <v>2020</v>
      </c>
      <c r="E2179" s="4"/>
      <c r="F2179" s="4" t="s">
        <v>1990</v>
      </c>
      <c r="G2179" s="4" t="s">
        <v>1991</v>
      </c>
      <c r="H2179" s="4" t="s">
        <v>1992</v>
      </c>
      <c r="I2179" s="4"/>
      <c r="J2179" s="4" t="s">
        <v>836</v>
      </c>
      <c r="K2179" s="4" t="s">
        <v>99</v>
      </c>
      <c r="L2179" s="4" t="s">
        <v>100</v>
      </c>
      <c r="M2179" s="4" t="s">
        <v>2155</v>
      </c>
      <c r="N2179" s="4" t="s">
        <v>2001</v>
      </c>
      <c r="O2179" s="4" t="s">
        <v>2160</v>
      </c>
      <c r="P2179" s="4" t="s">
        <v>64</v>
      </c>
      <c r="Q2179" s="4" t="s">
        <v>2151</v>
      </c>
      <c r="R2179" s="4" t="s">
        <v>1997</v>
      </c>
      <c r="S2179" s="4"/>
      <c r="T2179" s="4"/>
      <c r="U2179" s="4"/>
      <c r="V2179" s="4"/>
      <c r="W2179" s="4"/>
      <c r="X2179" s="4"/>
      <c r="Y2179" s="4"/>
      <c r="Z2179" s="4"/>
      <c r="AA2179" s="4"/>
      <c r="AB2179" s="4"/>
      <c r="AC2179" s="4"/>
      <c r="AD2179" s="4"/>
      <c r="AE2179" s="4"/>
      <c r="AF2179" s="4"/>
      <c r="AG2179" s="4"/>
      <c r="AH2179" s="4"/>
      <c r="AI2179" s="4"/>
      <c r="AJ2179" s="4"/>
      <c r="AK2179" s="4"/>
      <c r="AL2179" s="4"/>
      <c r="AM2179" s="4" t="s">
        <v>2161</v>
      </c>
    </row>
    <row r="2180" customFormat="false" ht="23.85" hidden="false" customHeight="false" outlineLevel="0" collapsed="false">
      <c r="A2180" s="4" t="s">
        <v>1987</v>
      </c>
      <c r="B2180" s="4" t="s">
        <v>2881</v>
      </c>
      <c r="C2180" s="4" t="s">
        <v>2882</v>
      </c>
      <c r="D2180" s="12" t="n">
        <v>2020</v>
      </c>
      <c r="E2180" s="4"/>
      <c r="F2180" s="4" t="s">
        <v>1990</v>
      </c>
      <c r="G2180" s="4" t="s">
        <v>1991</v>
      </c>
      <c r="H2180" s="4" t="s">
        <v>1992</v>
      </c>
      <c r="I2180" s="4"/>
      <c r="J2180" s="4" t="s">
        <v>838</v>
      </c>
      <c r="K2180" s="4" t="s">
        <v>101</v>
      </c>
      <c r="L2180" s="4" t="s">
        <v>102</v>
      </c>
      <c r="M2180" s="4" t="s">
        <v>1993</v>
      </c>
      <c r="N2180" s="4" t="s">
        <v>1994</v>
      </c>
      <c r="O2180" s="4" t="s">
        <v>2029</v>
      </c>
      <c r="P2180" s="4" t="s">
        <v>69</v>
      </c>
      <c r="Q2180" s="4" t="s">
        <v>2030</v>
      </c>
      <c r="R2180" s="4" t="s">
        <v>1997</v>
      </c>
      <c r="S2180" s="4"/>
      <c r="T2180" s="4"/>
      <c r="U2180" s="4"/>
      <c r="V2180" s="4"/>
      <c r="W2180" s="4"/>
      <c r="X2180" s="4"/>
      <c r="Y2180" s="4"/>
      <c r="Z2180" s="4"/>
      <c r="AA2180" s="4"/>
      <c r="AB2180" s="4"/>
      <c r="AC2180" s="4"/>
      <c r="AD2180" s="4"/>
      <c r="AE2180" s="4"/>
      <c r="AF2180" s="4"/>
      <c r="AG2180" s="4"/>
      <c r="AH2180" s="4"/>
      <c r="AI2180" s="4"/>
      <c r="AJ2180" s="4"/>
      <c r="AK2180" s="4"/>
      <c r="AL2180" s="4"/>
      <c r="AM2180" s="4" t="s">
        <v>2031</v>
      </c>
    </row>
    <row r="2181" customFormat="false" ht="23.85" hidden="false" customHeight="false" outlineLevel="0" collapsed="false">
      <c r="A2181" s="4" t="s">
        <v>1987</v>
      </c>
      <c r="B2181" s="4" t="s">
        <v>2883</v>
      </c>
      <c r="C2181" s="4" t="s">
        <v>2884</v>
      </c>
      <c r="D2181" s="12" t="n">
        <v>2020</v>
      </c>
      <c r="E2181" s="4"/>
      <c r="F2181" s="4" t="s">
        <v>1990</v>
      </c>
      <c r="G2181" s="4" t="s">
        <v>1991</v>
      </c>
      <c r="H2181" s="4" t="s">
        <v>1992</v>
      </c>
      <c r="I2181" s="4"/>
      <c r="J2181" s="4" t="s">
        <v>839</v>
      </c>
      <c r="K2181" s="4" t="s">
        <v>101</v>
      </c>
      <c r="L2181" s="4" t="s">
        <v>102</v>
      </c>
      <c r="M2181" s="4" t="s">
        <v>1993</v>
      </c>
      <c r="N2181" s="4" t="s">
        <v>2001</v>
      </c>
      <c r="O2181" s="4" t="s">
        <v>2091</v>
      </c>
      <c r="P2181" s="4" t="s">
        <v>69</v>
      </c>
      <c r="Q2181" s="4" t="s">
        <v>2030</v>
      </c>
      <c r="R2181" s="4" t="s">
        <v>1997</v>
      </c>
      <c r="S2181" s="4"/>
      <c r="T2181" s="4"/>
      <c r="U2181" s="4"/>
      <c r="V2181" s="4"/>
      <c r="W2181" s="4"/>
      <c r="X2181" s="4"/>
      <c r="Y2181" s="4"/>
      <c r="Z2181" s="4"/>
      <c r="AA2181" s="4"/>
      <c r="AB2181" s="4"/>
      <c r="AC2181" s="4"/>
      <c r="AD2181" s="4"/>
      <c r="AE2181" s="4"/>
      <c r="AF2181" s="4"/>
      <c r="AG2181" s="4"/>
      <c r="AH2181" s="4"/>
      <c r="AI2181" s="4"/>
      <c r="AJ2181" s="4"/>
      <c r="AK2181" s="4"/>
      <c r="AL2181" s="4"/>
      <c r="AM2181" s="4" t="s">
        <v>2092</v>
      </c>
    </row>
    <row r="2182" customFormat="false" ht="23.85" hidden="false" customHeight="false" outlineLevel="0" collapsed="false">
      <c r="A2182" s="4" t="s">
        <v>1987</v>
      </c>
      <c r="B2182" s="4" t="s">
        <v>2885</v>
      </c>
      <c r="C2182" s="4" t="s">
        <v>2886</v>
      </c>
      <c r="D2182" s="12" t="n">
        <v>2020</v>
      </c>
      <c r="E2182" s="4"/>
      <c r="F2182" s="4" t="s">
        <v>1990</v>
      </c>
      <c r="G2182" s="4" t="s">
        <v>1991</v>
      </c>
      <c r="H2182" s="4" t="s">
        <v>1992</v>
      </c>
      <c r="I2182" s="4"/>
      <c r="J2182" s="4" t="s">
        <v>840</v>
      </c>
      <c r="K2182" s="4" t="s">
        <v>101</v>
      </c>
      <c r="L2182" s="4" t="s">
        <v>102</v>
      </c>
      <c r="M2182" s="4" t="s">
        <v>1993</v>
      </c>
      <c r="N2182" s="4" t="s">
        <v>2001</v>
      </c>
      <c r="O2182" s="4" t="s">
        <v>2034</v>
      </c>
      <c r="P2182" s="4" t="s">
        <v>74</v>
      </c>
      <c r="Q2182" s="4" t="s">
        <v>2035</v>
      </c>
      <c r="R2182" s="4" t="s">
        <v>2036</v>
      </c>
      <c r="S2182" s="4"/>
      <c r="T2182" s="4"/>
      <c r="U2182" s="4"/>
      <c r="V2182" s="4"/>
      <c r="W2182" s="4"/>
      <c r="X2182" s="4"/>
      <c r="Y2182" s="4"/>
      <c r="Z2182" s="4"/>
      <c r="AA2182" s="4"/>
      <c r="AB2182" s="4"/>
      <c r="AC2182" s="4"/>
      <c r="AD2182" s="4"/>
      <c r="AE2182" s="4"/>
      <c r="AF2182" s="4"/>
      <c r="AG2182" s="4"/>
      <c r="AH2182" s="4"/>
      <c r="AI2182" s="4"/>
      <c r="AJ2182" s="4"/>
      <c r="AK2182" s="4"/>
      <c r="AL2182" s="4"/>
      <c r="AM2182" s="4" t="s">
        <v>2037</v>
      </c>
    </row>
    <row r="2183" customFormat="false" ht="23.85" hidden="false" customHeight="false" outlineLevel="0" collapsed="false">
      <c r="A2183" s="4" t="s">
        <v>1987</v>
      </c>
      <c r="B2183" s="4" t="s">
        <v>2887</v>
      </c>
      <c r="C2183" s="4" t="s">
        <v>2888</v>
      </c>
      <c r="D2183" s="12" t="n">
        <v>2020</v>
      </c>
      <c r="E2183" s="4"/>
      <c r="F2183" s="4" t="s">
        <v>1990</v>
      </c>
      <c r="G2183" s="4" t="s">
        <v>1991</v>
      </c>
      <c r="H2183" s="4" t="s">
        <v>1992</v>
      </c>
      <c r="I2183" s="4"/>
      <c r="J2183" s="4" t="s">
        <v>842</v>
      </c>
      <c r="K2183" s="4" t="s">
        <v>101</v>
      </c>
      <c r="L2183" s="4" t="s">
        <v>102</v>
      </c>
      <c r="M2183" s="4" t="s">
        <v>1993</v>
      </c>
      <c r="N2183" s="4" t="s">
        <v>2001</v>
      </c>
      <c r="O2183" s="4" t="s">
        <v>2002</v>
      </c>
      <c r="P2183" s="4" t="s">
        <v>67</v>
      </c>
      <c r="Q2183" s="4" t="s">
        <v>2003</v>
      </c>
      <c r="R2183" s="4" t="s">
        <v>2004</v>
      </c>
      <c r="S2183" s="4"/>
      <c r="T2183" s="4"/>
      <c r="U2183" s="4"/>
      <c r="V2183" s="4"/>
      <c r="W2183" s="4"/>
      <c r="X2183" s="4"/>
      <c r="Y2183" s="4"/>
      <c r="Z2183" s="4"/>
      <c r="AA2183" s="4"/>
      <c r="AB2183" s="4"/>
      <c r="AC2183" s="4"/>
      <c r="AD2183" s="4"/>
      <c r="AE2183" s="4"/>
      <c r="AF2183" s="4"/>
      <c r="AG2183" s="4"/>
      <c r="AH2183" s="4"/>
      <c r="AI2183" s="4"/>
      <c r="AJ2183" s="4"/>
      <c r="AK2183" s="4"/>
      <c r="AL2183" s="4"/>
      <c r="AM2183" s="4" t="s">
        <v>2005</v>
      </c>
    </row>
    <row r="2184" customFormat="false" ht="23.85" hidden="false" customHeight="false" outlineLevel="0" collapsed="false">
      <c r="A2184" s="4" t="s">
        <v>1987</v>
      </c>
      <c r="B2184" s="4" t="s">
        <v>2889</v>
      </c>
      <c r="C2184" s="4" t="s">
        <v>2890</v>
      </c>
      <c r="D2184" s="12" t="n">
        <v>2020</v>
      </c>
      <c r="E2184" s="4"/>
      <c r="F2184" s="4" t="s">
        <v>1990</v>
      </c>
      <c r="G2184" s="4" t="s">
        <v>1991</v>
      </c>
      <c r="H2184" s="4" t="s">
        <v>1992</v>
      </c>
      <c r="I2184" s="4"/>
      <c r="J2184" s="4" t="s">
        <v>843</v>
      </c>
      <c r="K2184" s="4" t="s">
        <v>101</v>
      </c>
      <c r="L2184" s="4" t="s">
        <v>102</v>
      </c>
      <c r="M2184" s="4" t="s">
        <v>1993</v>
      </c>
      <c r="N2184" s="4" t="s">
        <v>2001</v>
      </c>
      <c r="O2184" s="4" t="s">
        <v>2002</v>
      </c>
      <c r="P2184" s="4" t="s">
        <v>67</v>
      </c>
      <c r="Q2184" s="4" t="s">
        <v>2008</v>
      </c>
      <c r="R2184" s="4" t="s">
        <v>2004</v>
      </c>
      <c r="S2184" s="4"/>
      <c r="T2184" s="4"/>
      <c r="U2184" s="4"/>
      <c r="V2184" s="4"/>
      <c r="W2184" s="4"/>
      <c r="X2184" s="4"/>
      <c r="Y2184" s="4"/>
      <c r="Z2184" s="4"/>
      <c r="AA2184" s="4"/>
      <c r="AB2184" s="4"/>
      <c r="AC2184" s="4"/>
      <c r="AD2184" s="4"/>
      <c r="AE2184" s="4"/>
      <c r="AF2184" s="4"/>
      <c r="AG2184" s="4"/>
      <c r="AH2184" s="4"/>
      <c r="AI2184" s="4"/>
      <c r="AJ2184" s="4"/>
      <c r="AK2184" s="4"/>
      <c r="AL2184" s="4"/>
      <c r="AM2184" s="4" t="s">
        <v>2009</v>
      </c>
    </row>
    <row r="2185" customFormat="false" ht="23.85" hidden="false" customHeight="false" outlineLevel="0" collapsed="false">
      <c r="A2185" s="4" t="s">
        <v>1987</v>
      </c>
      <c r="B2185" s="4" t="s">
        <v>2891</v>
      </c>
      <c r="C2185" s="4" t="s">
        <v>2892</v>
      </c>
      <c r="D2185" s="12" t="n">
        <v>2020</v>
      </c>
      <c r="E2185" s="4"/>
      <c r="F2185" s="4" t="s">
        <v>1990</v>
      </c>
      <c r="G2185" s="4" t="s">
        <v>1991</v>
      </c>
      <c r="H2185" s="4" t="s">
        <v>1992</v>
      </c>
      <c r="I2185" s="4"/>
      <c r="J2185" s="4" t="s">
        <v>848</v>
      </c>
      <c r="K2185" s="4" t="s">
        <v>101</v>
      </c>
      <c r="L2185" s="4" t="s">
        <v>102</v>
      </c>
      <c r="M2185" s="4" t="s">
        <v>1993</v>
      </c>
      <c r="N2185" s="4" t="s">
        <v>2001</v>
      </c>
      <c r="O2185" s="4" t="s">
        <v>2002</v>
      </c>
      <c r="P2185" s="4" t="s">
        <v>68</v>
      </c>
      <c r="Q2185" s="4" t="s">
        <v>2111</v>
      </c>
      <c r="R2185" s="4" t="s">
        <v>1997</v>
      </c>
      <c r="S2185" s="4"/>
      <c r="T2185" s="4"/>
      <c r="U2185" s="4"/>
      <c r="V2185" s="4"/>
      <c r="W2185" s="4"/>
      <c r="X2185" s="4"/>
      <c r="Y2185" s="4"/>
      <c r="Z2185" s="4"/>
      <c r="AA2185" s="4"/>
      <c r="AB2185" s="4"/>
      <c r="AC2185" s="4"/>
      <c r="AD2185" s="4"/>
      <c r="AE2185" s="4"/>
      <c r="AF2185" s="4"/>
      <c r="AG2185" s="4"/>
      <c r="AH2185" s="4"/>
      <c r="AI2185" s="4"/>
      <c r="AJ2185" s="4"/>
      <c r="AK2185" s="4"/>
      <c r="AL2185" s="4"/>
      <c r="AM2185" s="4" t="s">
        <v>2112</v>
      </c>
    </row>
    <row r="2186" customFormat="false" ht="23.85" hidden="false" customHeight="false" outlineLevel="0" collapsed="false">
      <c r="A2186" s="4" t="s">
        <v>1987</v>
      </c>
      <c r="B2186" s="4" t="s">
        <v>2893</v>
      </c>
      <c r="C2186" s="4" t="s">
        <v>2894</v>
      </c>
      <c r="D2186" s="12" t="n">
        <v>2020</v>
      </c>
      <c r="E2186" s="4"/>
      <c r="F2186" s="4" t="s">
        <v>1990</v>
      </c>
      <c r="G2186" s="4" t="s">
        <v>1991</v>
      </c>
      <c r="H2186" s="4" t="s">
        <v>1992</v>
      </c>
      <c r="I2186" s="4"/>
      <c r="J2186" s="4" t="s">
        <v>852</v>
      </c>
      <c r="K2186" s="4" t="s">
        <v>103</v>
      </c>
      <c r="L2186" s="4" t="s">
        <v>104</v>
      </c>
      <c r="M2186" s="4" t="s">
        <v>1993</v>
      </c>
      <c r="N2186" s="4" t="s">
        <v>1994</v>
      </c>
      <c r="O2186" s="4" t="s">
        <v>2029</v>
      </c>
      <c r="P2186" s="4" t="s">
        <v>69</v>
      </c>
      <c r="Q2186" s="4" t="s">
        <v>2030</v>
      </c>
      <c r="R2186" s="4" t="s">
        <v>1997</v>
      </c>
      <c r="S2186" s="4"/>
      <c r="T2186" s="4"/>
      <c r="U2186" s="4"/>
      <c r="V2186" s="4"/>
      <c r="W2186" s="4"/>
      <c r="X2186" s="4"/>
      <c r="Y2186" s="4"/>
      <c r="Z2186" s="4"/>
      <c r="AA2186" s="4"/>
      <c r="AB2186" s="4"/>
      <c r="AC2186" s="4"/>
      <c r="AD2186" s="4"/>
      <c r="AE2186" s="4"/>
      <c r="AF2186" s="4"/>
      <c r="AG2186" s="4"/>
      <c r="AH2186" s="4"/>
      <c r="AI2186" s="4"/>
      <c r="AJ2186" s="4"/>
      <c r="AK2186" s="4"/>
      <c r="AL2186" s="4"/>
      <c r="AM2186" s="4" t="s">
        <v>2031</v>
      </c>
    </row>
    <row r="2187" customFormat="false" ht="23.85" hidden="false" customHeight="false" outlineLevel="0" collapsed="false">
      <c r="A2187" s="4" t="s">
        <v>1987</v>
      </c>
      <c r="B2187" s="4" t="s">
        <v>2895</v>
      </c>
      <c r="C2187" s="4" t="s">
        <v>2896</v>
      </c>
      <c r="D2187" s="12" t="n">
        <v>2020</v>
      </c>
      <c r="E2187" s="4"/>
      <c r="F2187" s="4" t="s">
        <v>1990</v>
      </c>
      <c r="G2187" s="4" t="s">
        <v>1991</v>
      </c>
      <c r="H2187" s="4" t="s">
        <v>1992</v>
      </c>
      <c r="I2187" s="4"/>
      <c r="J2187" s="4" t="s">
        <v>853</v>
      </c>
      <c r="K2187" s="4" t="s">
        <v>103</v>
      </c>
      <c r="L2187" s="4" t="s">
        <v>104</v>
      </c>
      <c r="M2187" s="4" t="s">
        <v>1993</v>
      </c>
      <c r="N2187" s="4" t="s">
        <v>2001</v>
      </c>
      <c r="O2187" s="4" t="s">
        <v>2091</v>
      </c>
      <c r="P2187" s="4" t="s">
        <v>69</v>
      </c>
      <c r="Q2187" s="4" t="s">
        <v>2030</v>
      </c>
      <c r="R2187" s="4" t="s">
        <v>1997</v>
      </c>
      <c r="S2187" s="4"/>
      <c r="T2187" s="4"/>
      <c r="U2187" s="4"/>
      <c r="V2187" s="4"/>
      <c r="W2187" s="4"/>
      <c r="X2187" s="4"/>
      <c r="Y2187" s="4"/>
      <c r="Z2187" s="4"/>
      <c r="AA2187" s="4"/>
      <c r="AB2187" s="4"/>
      <c r="AC2187" s="4"/>
      <c r="AD2187" s="4"/>
      <c r="AE2187" s="4"/>
      <c r="AF2187" s="4"/>
      <c r="AG2187" s="4"/>
      <c r="AH2187" s="4"/>
      <c r="AI2187" s="4"/>
      <c r="AJ2187" s="4"/>
      <c r="AK2187" s="4"/>
      <c r="AL2187" s="4"/>
      <c r="AM2187" s="4" t="s">
        <v>2092</v>
      </c>
    </row>
    <row r="2188" customFormat="false" ht="23.85" hidden="false" customHeight="false" outlineLevel="0" collapsed="false">
      <c r="A2188" s="4" t="s">
        <v>1987</v>
      </c>
      <c r="B2188" s="4" t="s">
        <v>2897</v>
      </c>
      <c r="C2188" s="4" t="s">
        <v>2898</v>
      </c>
      <c r="D2188" s="12" t="n">
        <v>2020</v>
      </c>
      <c r="E2188" s="4"/>
      <c r="F2188" s="4" t="s">
        <v>1990</v>
      </c>
      <c r="G2188" s="4" t="s">
        <v>1991</v>
      </c>
      <c r="H2188" s="4" t="s">
        <v>1992</v>
      </c>
      <c r="I2188" s="4"/>
      <c r="J2188" s="4" t="s">
        <v>854</v>
      </c>
      <c r="K2188" s="4" t="s">
        <v>103</v>
      </c>
      <c r="L2188" s="4" t="s">
        <v>104</v>
      </c>
      <c r="M2188" s="4" t="s">
        <v>1993</v>
      </c>
      <c r="N2188" s="4" t="s">
        <v>2001</v>
      </c>
      <c r="O2188" s="4" t="s">
        <v>2034</v>
      </c>
      <c r="P2188" s="4" t="s">
        <v>74</v>
      </c>
      <c r="Q2188" s="4" t="s">
        <v>2035</v>
      </c>
      <c r="R2188" s="4" t="s">
        <v>2036</v>
      </c>
      <c r="S2188" s="4"/>
      <c r="T2188" s="4"/>
      <c r="U2188" s="4"/>
      <c r="V2188" s="4"/>
      <c r="W2188" s="4"/>
      <c r="X2188" s="4"/>
      <c r="Y2188" s="4"/>
      <c r="Z2188" s="4"/>
      <c r="AA2188" s="4"/>
      <c r="AB2188" s="4"/>
      <c r="AC2188" s="4"/>
      <c r="AD2188" s="4"/>
      <c r="AE2188" s="4"/>
      <c r="AF2188" s="4"/>
      <c r="AG2188" s="4"/>
      <c r="AH2188" s="4"/>
      <c r="AI2188" s="4"/>
      <c r="AJ2188" s="4"/>
      <c r="AK2188" s="4"/>
      <c r="AL2188" s="4"/>
      <c r="AM2188" s="4" t="s">
        <v>2037</v>
      </c>
    </row>
    <row r="2189" customFormat="false" ht="15" hidden="false" customHeight="false" outlineLevel="0" collapsed="false">
      <c r="A2189" s="4" t="s">
        <v>1987</v>
      </c>
      <c r="B2189" s="4" t="s">
        <v>2899</v>
      </c>
      <c r="C2189" s="4" t="s">
        <v>2900</v>
      </c>
      <c r="D2189" s="12" t="n">
        <v>2020</v>
      </c>
      <c r="E2189" s="4"/>
      <c r="F2189" s="4" t="s">
        <v>1990</v>
      </c>
      <c r="G2189" s="4" t="s">
        <v>1991</v>
      </c>
      <c r="H2189" s="4" t="s">
        <v>1992</v>
      </c>
      <c r="I2189" s="4"/>
      <c r="J2189" s="4" t="s">
        <v>859</v>
      </c>
      <c r="K2189" s="4" t="s">
        <v>103</v>
      </c>
      <c r="L2189" s="4" t="s">
        <v>104</v>
      </c>
      <c r="M2189" s="4" t="s">
        <v>1993</v>
      </c>
      <c r="N2189" s="4" t="s">
        <v>2001</v>
      </c>
      <c r="O2189" s="4" t="s">
        <v>2002</v>
      </c>
      <c r="P2189" s="4" t="s">
        <v>71</v>
      </c>
      <c r="Q2189" s="4" t="s">
        <v>2123</v>
      </c>
      <c r="R2189" s="4" t="s">
        <v>1997</v>
      </c>
      <c r="S2189" s="4"/>
      <c r="T2189" s="4"/>
      <c r="U2189" s="4"/>
      <c r="V2189" s="4"/>
      <c r="W2189" s="4"/>
      <c r="X2189" s="4"/>
      <c r="Y2189" s="4"/>
      <c r="Z2189" s="4"/>
      <c r="AA2189" s="4"/>
      <c r="AB2189" s="4"/>
      <c r="AC2189" s="4"/>
      <c r="AD2189" s="4"/>
      <c r="AE2189" s="4"/>
      <c r="AF2189" s="4"/>
      <c r="AG2189" s="4"/>
      <c r="AH2189" s="4"/>
      <c r="AI2189" s="4"/>
      <c r="AJ2189" s="4"/>
      <c r="AK2189" s="4"/>
      <c r="AL2189" s="4"/>
      <c r="AM2189" s="4" t="s">
        <v>2124</v>
      </c>
    </row>
    <row r="2190" customFormat="false" ht="15" hidden="false" customHeight="false" outlineLevel="0" collapsed="false">
      <c r="A2190" s="4" t="s">
        <v>1987</v>
      </c>
      <c r="B2190" s="4" t="s">
        <v>2901</v>
      </c>
      <c r="C2190" s="4" t="s">
        <v>2902</v>
      </c>
      <c r="D2190" s="12" t="n">
        <v>2020</v>
      </c>
      <c r="E2190" s="4"/>
      <c r="F2190" s="4" t="s">
        <v>1990</v>
      </c>
      <c r="G2190" s="4" t="s">
        <v>1991</v>
      </c>
      <c r="H2190" s="4" t="s">
        <v>1992</v>
      </c>
      <c r="I2190" s="4"/>
      <c r="J2190" s="4" t="s">
        <v>861</v>
      </c>
      <c r="K2190" s="4" t="s">
        <v>103</v>
      </c>
      <c r="L2190" s="4" t="s">
        <v>104</v>
      </c>
      <c r="M2190" s="4" t="s">
        <v>1993</v>
      </c>
      <c r="N2190" s="4" t="s">
        <v>2001</v>
      </c>
      <c r="O2190" s="4" t="s">
        <v>2002</v>
      </c>
      <c r="P2190" s="4" t="s">
        <v>72</v>
      </c>
      <c r="Q2190" s="4" t="s">
        <v>2079</v>
      </c>
      <c r="R2190" s="4" t="s">
        <v>1997</v>
      </c>
      <c r="S2190" s="4"/>
      <c r="T2190" s="4"/>
      <c r="U2190" s="4"/>
      <c r="V2190" s="4"/>
      <c r="W2190" s="4"/>
      <c r="X2190" s="4"/>
      <c r="Y2190" s="4"/>
      <c r="Z2190" s="4"/>
      <c r="AA2190" s="4"/>
      <c r="AB2190" s="4"/>
      <c r="AC2190" s="4"/>
      <c r="AD2190" s="4"/>
      <c r="AE2190" s="4"/>
      <c r="AF2190" s="4"/>
      <c r="AG2190" s="4"/>
      <c r="AH2190" s="4"/>
      <c r="AI2190" s="4"/>
      <c r="AJ2190" s="4"/>
      <c r="AK2190" s="4"/>
      <c r="AL2190" s="4"/>
      <c r="AM2190" s="4" t="s">
        <v>2080</v>
      </c>
    </row>
    <row r="2191" customFormat="false" ht="23.85" hidden="false" customHeight="false" outlineLevel="0" collapsed="false">
      <c r="A2191" s="4" t="s">
        <v>1987</v>
      </c>
      <c r="B2191" s="4" t="s">
        <v>2903</v>
      </c>
      <c r="C2191" s="4" t="s">
        <v>2904</v>
      </c>
      <c r="D2191" s="12" t="n">
        <v>2020</v>
      </c>
      <c r="E2191" s="4"/>
      <c r="F2191" s="4" t="s">
        <v>1990</v>
      </c>
      <c r="G2191" s="4" t="s">
        <v>1991</v>
      </c>
      <c r="H2191" s="4" t="s">
        <v>1992</v>
      </c>
      <c r="I2191" s="4"/>
      <c r="J2191" s="4" t="s">
        <v>862</v>
      </c>
      <c r="K2191" s="4" t="s">
        <v>103</v>
      </c>
      <c r="L2191" s="4" t="s">
        <v>104</v>
      </c>
      <c r="M2191" s="4" t="s">
        <v>1993</v>
      </c>
      <c r="N2191" s="4" t="s">
        <v>2001</v>
      </c>
      <c r="O2191" s="4" t="s">
        <v>2002</v>
      </c>
      <c r="P2191" s="4" t="s">
        <v>68</v>
      </c>
      <c r="Q2191" s="4" t="s">
        <v>2111</v>
      </c>
      <c r="R2191" s="4" t="s">
        <v>1997</v>
      </c>
      <c r="S2191" s="4"/>
      <c r="T2191" s="4"/>
      <c r="U2191" s="4"/>
      <c r="V2191" s="4"/>
      <c r="W2191" s="4"/>
      <c r="X2191" s="4"/>
      <c r="Y2191" s="4"/>
      <c r="Z2191" s="4"/>
      <c r="AA2191" s="4"/>
      <c r="AB2191" s="4"/>
      <c r="AC2191" s="4"/>
      <c r="AD2191" s="4"/>
      <c r="AE2191" s="4"/>
      <c r="AF2191" s="4"/>
      <c r="AG2191" s="4"/>
      <c r="AH2191" s="4"/>
      <c r="AI2191" s="4"/>
      <c r="AJ2191" s="4"/>
      <c r="AK2191" s="4"/>
      <c r="AL2191" s="4"/>
      <c r="AM2191" s="4" t="s">
        <v>2112</v>
      </c>
    </row>
    <row r="2192" customFormat="false" ht="23.85" hidden="false" customHeight="false" outlineLevel="0" collapsed="false">
      <c r="A2192" s="4" t="s">
        <v>1987</v>
      </c>
      <c r="B2192" s="4" t="s">
        <v>2905</v>
      </c>
      <c r="C2192" s="4" t="s">
        <v>2906</v>
      </c>
      <c r="D2192" s="12" t="n">
        <v>2020</v>
      </c>
      <c r="E2192" s="4"/>
      <c r="F2192" s="4" t="s">
        <v>1990</v>
      </c>
      <c r="G2192" s="4" t="s">
        <v>1991</v>
      </c>
      <c r="H2192" s="4" t="s">
        <v>1992</v>
      </c>
      <c r="I2192" s="4"/>
      <c r="J2192" s="4" t="s">
        <v>866</v>
      </c>
      <c r="K2192" s="4" t="s">
        <v>105</v>
      </c>
      <c r="L2192" s="4" t="s">
        <v>106</v>
      </c>
      <c r="M2192" s="4" t="s">
        <v>1993</v>
      </c>
      <c r="N2192" s="4" t="s">
        <v>1994</v>
      </c>
      <c r="O2192" s="4" t="s">
        <v>2029</v>
      </c>
      <c r="P2192" s="4" t="s">
        <v>69</v>
      </c>
      <c r="Q2192" s="4" t="s">
        <v>2030</v>
      </c>
      <c r="R2192" s="4" t="s">
        <v>1997</v>
      </c>
      <c r="S2192" s="4"/>
      <c r="T2192" s="4"/>
      <c r="U2192" s="4"/>
      <c r="V2192" s="4"/>
      <c r="W2192" s="4"/>
      <c r="X2192" s="4"/>
      <c r="Y2192" s="4"/>
      <c r="Z2192" s="4"/>
      <c r="AA2192" s="4"/>
      <c r="AB2192" s="4"/>
      <c r="AC2192" s="4"/>
      <c r="AD2192" s="4"/>
      <c r="AE2192" s="4"/>
      <c r="AF2192" s="4"/>
      <c r="AG2192" s="4"/>
      <c r="AH2192" s="4"/>
      <c r="AI2192" s="4"/>
      <c r="AJ2192" s="4"/>
      <c r="AK2192" s="4"/>
      <c r="AL2192" s="4"/>
      <c r="AM2192" s="4" t="s">
        <v>2031</v>
      </c>
    </row>
    <row r="2193" customFormat="false" ht="23.85" hidden="false" customHeight="false" outlineLevel="0" collapsed="false">
      <c r="A2193" s="4" t="s">
        <v>1987</v>
      </c>
      <c r="B2193" s="4" t="s">
        <v>2907</v>
      </c>
      <c r="C2193" s="4" t="s">
        <v>2908</v>
      </c>
      <c r="D2193" s="12" t="n">
        <v>2020</v>
      </c>
      <c r="E2193" s="4"/>
      <c r="F2193" s="4" t="s">
        <v>1990</v>
      </c>
      <c r="G2193" s="4" t="s">
        <v>1991</v>
      </c>
      <c r="H2193" s="4" t="s">
        <v>1992</v>
      </c>
      <c r="I2193" s="4"/>
      <c r="J2193" s="4" t="s">
        <v>867</v>
      </c>
      <c r="K2193" s="4" t="s">
        <v>105</v>
      </c>
      <c r="L2193" s="4" t="s">
        <v>106</v>
      </c>
      <c r="M2193" s="4" t="s">
        <v>1993</v>
      </c>
      <c r="N2193" s="4" t="s">
        <v>2001</v>
      </c>
      <c r="O2193" s="4" t="s">
        <v>2091</v>
      </c>
      <c r="P2193" s="4" t="s">
        <v>69</v>
      </c>
      <c r="Q2193" s="4" t="s">
        <v>2030</v>
      </c>
      <c r="R2193" s="4" t="s">
        <v>1997</v>
      </c>
      <c r="S2193" s="4"/>
      <c r="T2193" s="4"/>
      <c r="U2193" s="4"/>
      <c r="V2193" s="4"/>
      <c r="W2193" s="4"/>
      <c r="X2193" s="4"/>
      <c r="Y2193" s="4"/>
      <c r="Z2193" s="4"/>
      <c r="AA2193" s="4"/>
      <c r="AB2193" s="4"/>
      <c r="AC2193" s="4"/>
      <c r="AD2193" s="4"/>
      <c r="AE2193" s="4"/>
      <c r="AF2193" s="4"/>
      <c r="AG2193" s="4"/>
      <c r="AH2193" s="4"/>
      <c r="AI2193" s="4"/>
      <c r="AJ2193" s="4"/>
      <c r="AK2193" s="4"/>
      <c r="AL2193" s="4"/>
      <c r="AM2193" s="4" t="s">
        <v>2092</v>
      </c>
    </row>
    <row r="2194" customFormat="false" ht="23.85" hidden="false" customHeight="false" outlineLevel="0" collapsed="false">
      <c r="A2194" s="4" t="s">
        <v>1987</v>
      </c>
      <c r="B2194" s="4" t="s">
        <v>2909</v>
      </c>
      <c r="C2194" s="4" t="s">
        <v>2910</v>
      </c>
      <c r="D2194" s="12" t="n">
        <v>2020</v>
      </c>
      <c r="E2194" s="4"/>
      <c r="F2194" s="4" t="s">
        <v>1990</v>
      </c>
      <c r="G2194" s="4" t="s">
        <v>1991</v>
      </c>
      <c r="H2194" s="4" t="s">
        <v>1992</v>
      </c>
      <c r="I2194" s="4"/>
      <c r="J2194" s="4" t="s">
        <v>868</v>
      </c>
      <c r="K2194" s="4" t="s">
        <v>105</v>
      </c>
      <c r="L2194" s="4" t="s">
        <v>106</v>
      </c>
      <c r="M2194" s="4" t="s">
        <v>1993</v>
      </c>
      <c r="N2194" s="4" t="s">
        <v>2001</v>
      </c>
      <c r="O2194" s="4" t="s">
        <v>2034</v>
      </c>
      <c r="P2194" s="4" t="s">
        <v>74</v>
      </c>
      <c r="Q2194" s="4" t="s">
        <v>2035</v>
      </c>
      <c r="R2194" s="4" t="s">
        <v>2036</v>
      </c>
      <c r="S2194" s="4"/>
      <c r="T2194" s="4"/>
      <c r="U2194" s="4"/>
      <c r="V2194" s="4"/>
      <c r="W2194" s="4"/>
      <c r="X2194" s="4"/>
      <c r="Y2194" s="4"/>
      <c r="Z2194" s="4"/>
      <c r="AA2194" s="4"/>
      <c r="AB2194" s="4"/>
      <c r="AC2194" s="4"/>
      <c r="AD2194" s="4"/>
      <c r="AE2194" s="4"/>
      <c r="AF2194" s="4"/>
      <c r="AG2194" s="4"/>
      <c r="AH2194" s="4"/>
      <c r="AI2194" s="4"/>
      <c r="AJ2194" s="4"/>
      <c r="AK2194" s="4"/>
      <c r="AL2194" s="4"/>
      <c r="AM2194" s="4" t="s">
        <v>2037</v>
      </c>
    </row>
    <row r="2195" customFormat="false" ht="15" hidden="false" customHeight="false" outlineLevel="0" collapsed="false">
      <c r="A2195" s="4" t="s">
        <v>1987</v>
      </c>
      <c r="B2195" s="4" t="s">
        <v>2911</v>
      </c>
      <c r="C2195" s="4" t="s">
        <v>2912</v>
      </c>
      <c r="D2195" s="12" t="n">
        <v>2020</v>
      </c>
      <c r="E2195" s="4"/>
      <c r="F2195" s="4" t="s">
        <v>1990</v>
      </c>
      <c r="G2195" s="4" t="s">
        <v>1991</v>
      </c>
      <c r="H2195" s="4" t="s">
        <v>1992</v>
      </c>
      <c r="I2195" s="4"/>
      <c r="J2195" s="4" t="s">
        <v>873</v>
      </c>
      <c r="K2195" s="4" t="s">
        <v>105</v>
      </c>
      <c r="L2195" s="4" t="s">
        <v>106</v>
      </c>
      <c r="M2195" s="4" t="s">
        <v>1993</v>
      </c>
      <c r="N2195" s="4" t="s">
        <v>2001</v>
      </c>
      <c r="O2195" s="4" t="s">
        <v>2002</v>
      </c>
      <c r="P2195" s="4" t="s">
        <v>71</v>
      </c>
      <c r="Q2195" s="4" t="s">
        <v>2123</v>
      </c>
      <c r="R2195" s="4" t="s">
        <v>1997</v>
      </c>
      <c r="S2195" s="4"/>
      <c r="T2195" s="4"/>
      <c r="U2195" s="4"/>
      <c r="V2195" s="4"/>
      <c r="W2195" s="4"/>
      <c r="X2195" s="4"/>
      <c r="Y2195" s="4"/>
      <c r="Z2195" s="4"/>
      <c r="AA2195" s="4"/>
      <c r="AB2195" s="4"/>
      <c r="AC2195" s="4"/>
      <c r="AD2195" s="4"/>
      <c r="AE2195" s="4"/>
      <c r="AF2195" s="4"/>
      <c r="AG2195" s="4"/>
      <c r="AH2195" s="4"/>
      <c r="AI2195" s="4"/>
      <c r="AJ2195" s="4"/>
      <c r="AK2195" s="4"/>
      <c r="AL2195" s="4"/>
      <c r="AM2195" s="4" t="s">
        <v>2124</v>
      </c>
    </row>
    <row r="2196" customFormat="false" ht="15" hidden="false" customHeight="false" outlineLevel="0" collapsed="false">
      <c r="A2196" s="4" t="s">
        <v>1987</v>
      </c>
      <c r="B2196" s="4" t="s">
        <v>2913</v>
      </c>
      <c r="C2196" s="4" t="s">
        <v>2914</v>
      </c>
      <c r="D2196" s="12" t="n">
        <v>2020</v>
      </c>
      <c r="E2196" s="4"/>
      <c r="F2196" s="4" t="s">
        <v>1990</v>
      </c>
      <c r="G2196" s="4" t="s">
        <v>1991</v>
      </c>
      <c r="H2196" s="4" t="s">
        <v>1992</v>
      </c>
      <c r="I2196" s="4"/>
      <c r="J2196" s="4" t="s">
        <v>874</v>
      </c>
      <c r="K2196" s="4" t="s">
        <v>105</v>
      </c>
      <c r="L2196" s="4" t="s">
        <v>106</v>
      </c>
      <c r="M2196" s="4" t="s">
        <v>1993</v>
      </c>
      <c r="N2196" s="4" t="s">
        <v>2001</v>
      </c>
      <c r="O2196" s="4" t="s">
        <v>2074</v>
      </c>
      <c r="P2196" s="4" t="s">
        <v>73</v>
      </c>
      <c r="Q2196" s="4" t="s">
        <v>2075</v>
      </c>
      <c r="R2196" s="4" t="s">
        <v>1997</v>
      </c>
      <c r="S2196" s="4"/>
      <c r="T2196" s="4"/>
      <c r="U2196" s="4"/>
      <c r="V2196" s="4"/>
      <c r="W2196" s="4"/>
      <c r="X2196" s="4"/>
      <c r="Y2196" s="4"/>
      <c r="Z2196" s="4"/>
      <c r="AA2196" s="4"/>
      <c r="AB2196" s="4"/>
      <c r="AC2196" s="4"/>
      <c r="AD2196" s="4"/>
      <c r="AE2196" s="4"/>
      <c r="AF2196" s="4"/>
      <c r="AG2196" s="4"/>
      <c r="AH2196" s="4"/>
      <c r="AI2196" s="4"/>
      <c r="AJ2196" s="4"/>
      <c r="AK2196" s="4"/>
      <c r="AL2196" s="4"/>
      <c r="AM2196" s="4" t="s">
        <v>2076</v>
      </c>
    </row>
    <row r="2197" customFormat="false" ht="15" hidden="false" customHeight="false" outlineLevel="0" collapsed="false">
      <c r="A2197" s="4" t="s">
        <v>1987</v>
      </c>
      <c r="B2197" s="4" t="s">
        <v>2915</v>
      </c>
      <c r="C2197" s="4" t="s">
        <v>2916</v>
      </c>
      <c r="D2197" s="12" t="n">
        <v>2020</v>
      </c>
      <c r="E2197" s="4"/>
      <c r="F2197" s="4" t="s">
        <v>1990</v>
      </c>
      <c r="G2197" s="4" t="s">
        <v>1991</v>
      </c>
      <c r="H2197" s="4" t="s">
        <v>1992</v>
      </c>
      <c r="I2197" s="4"/>
      <c r="J2197" s="4" t="s">
        <v>875</v>
      </c>
      <c r="K2197" s="4" t="s">
        <v>105</v>
      </c>
      <c r="L2197" s="4" t="s">
        <v>106</v>
      </c>
      <c r="M2197" s="4" t="s">
        <v>1993</v>
      </c>
      <c r="N2197" s="4" t="s">
        <v>2001</v>
      </c>
      <c r="O2197" s="4" t="s">
        <v>2002</v>
      </c>
      <c r="P2197" s="4" t="s">
        <v>72</v>
      </c>
      <c r="Q2197" s="4" t="s">
        <v>2079</v>
      </c>
      <c r="R2197" s="4" t="s">
        <v>1997</v>
      </c>
      <c r="S2197" s="4"/>
      <c r="T2197" s="4"/>
      <c r="U2197" s="4"/>
      <c r="V2197" s="4"/>
      <c r="W2197" s="4"/>
      <c r="X2197" s="4"/>
      <c r="Y2197" s="4"/>
      <c r="Z2197" s="4"/>
      <c r="AA2197" s="4"/>
      <c r="AB2197" s="4"/>
      <c r="AC2197" s="4"/>
      <c r="AD2197" s="4"/>
      <c r="AE2197" s="4"/>
      <c r="AF2197" s="4"/>
      <c r="AG2197" s="4"/>
      <c r="AH2197" s="4"/>
      <c r="AI2197" s="4"/>
      <c r="AJ2197" s="4"/>
      <c r="AK2197" s="4"/>
      <c r="AL2197" s="4"/>
      <c r="AM2197" s="4" t="s">
        <v>2080</v>
      </c>
    </row>
    <row r="2198" customFormat="false" ht="23.85" hidden="false" customHeight="false" outlineLevel="0" collapsed="false">
      <c r="A2198" s="4" t="s">
        <v>1987</v>
      </c>
      <c r="B2198" s="4" t="s">
        <v>2917</v>
      </c>
      <c r="C2198" s="4" t="s">
        <v>2918</v>
      </c>
      <c r="D2198" s="12" t="n">
        <v>2020</v>
      </c>
      <c r="E2198" s="4"/>
      <c r="F2198" s="4" t="s">
        <v>1990</v>
      </c>
      <c r="G2198" s="4" t="s">
        <v>1991</v>
      </c>
      <c r="H2198" s="4" t="s">
        <v>1992</v>
      </c>
      <c r="I2198" s="4"/>
      <c r="J2198" s="4" t="s">
        <v>876</v>
      </c>
      <c r="K2198" s="4" t="s">
        <v>105</v>
      </c>
      <c r="L2198" s="4" t="s">
        <v>106</v>
      </c>
      <c r="M2198" s="4" t="s">
        <v>1993</v>
      </c>
      <c r="N2198" s="4" t="s">
        <v>2001</v>
      </c>
      <c r="O2198" s="4" t="s">
        <v>2002</v>
      </c>
      <c r="P2198" s="4" t="s">
        <v>68</v>
      </c>
      <c r="Q2198" s="4" t="s">
        <v>2111</v>
      </c>
      <c r="R2198" s="4" t="s">
        <v>1997</v>
      </c>
      <c r="S2198" s="4"/>
      <c r="T2198" s="4"/>
      <c r="U2198" s="4"/>
      <c r="V2198" s="4"/>
      <c r="W2198" s="4"/>
      <c r="X2198" s="4"/>
      <c r="Y2198" s="4"/>
      <c r="Z2198" s="4"/>
      <c r="AA2198" s="4"/>
      <c r="AB2198" s="4"/>
      <c r="AC2198" s="4"/>
      <c r="AD2198" s="4"/>
      <c r="AE2198" s="4"/>
      <c r="AF2198" s="4"/>
      <c r="AG2198" s="4"/>
      <c r="AH2198" s="4"/>
      <c r="AI2198" s="4"/>
      <c r="AJ2198" s="4"/>
      <c r="AK2198" s="4"/>
      <c r="AL2198" s="4"/>
      <c r="AM2198" s="4" t="s">
        <v>2112</v>
      </c>
    </row>
    <row r="2199" customFormat="false" ht="23.85" hidden="false" customHeight="false" outlineLevel="0" collapsed="false">
      <c r="A2199" s="4" t="s">
        <v>1987</v>
      </c>
      <c r="B2199" s="4" t="s">
        <v>2919</v>
      </c>
      <c r="C2199" s="4" t="s">
        <v>2920</v>
      </c>
      <c r="D2199" s="12" t="n">
        <v>2020</v>
      </c>
      <c r="E2199" s="4"/>
      <c r="F2199" s="4" t="s">
        <v>1990</v>
      </c>
      <c r="G2199" s="4" t="s">
        <v>1991</v>
      </c>
      <c r="H2199" s="4" t="s">
        <v>1992</v>
      </c>
      <c r="I2199" s="4"/>
      <c r="J2199" s="4" t="s">
        <v>880</v>
      </c>
      <c r="K2199" s="4" t="s">
        <v>107</v>
      </c>
      <c r="L2199" s="4" t="s">
        <v>108</v>
      </c>
      <c r="M2199" s="4" t="s">
        <v>1993</v>
      </c>
      <c r="N2199" s="4" t="s">
        <v>1994</v>
      </c>
      <c r="O2199" s="4" t="s">
        <v>2029</v>
      </c>
      <c r="P2199" s="4" t="s">
        <v>69</v>
      </c>
      <c r="Q2199" s="4" t="s">
        <v>2030</v>
      </c>
      <c r="R2199" s="4" t="s">
        <v>1997</v>
      </c>
      <c r="S2199" s="4"/>
      <c r="T2199" s="4"/>
      <c r="U2199" s="4"/>
      <c r="V2199" s="4"/>
      <c r="W2199" s="4"/>
      <c r="X2199" s="4"/>
      <c r="Y2199" s="4"/>
      <c r="Z2199" s="4"/>
      <c r="AA2199" s="4"/>
      <c r="AB2199" s="4"/>
      <c r="AC2199" s="4"/>
      <c r="AD2199" s="4"/>
      <c r="AE2199" s="4"/>
      <c r="AF2199" s="4"/>
      <c r="AG2199" s="4"/>
      <c r="AH2199" s="4"/>
      <c r="AI2199" s="4"/>
      <c r="AJ2199" s="4"/>
      <c r="AK2199" s="4"/>
      <c r="AL2199" s="4"/>
      <c r="AM2199" s="4" t="s">
        <v>2031</v>
      </c>
    </row>
    <row r="2200" customFormat="false" ht="23.85" hidden="false" customHeight="false" outlineLevel="0" collapsed="false">
      <c r="A2200" s="4" t="s">
        <v>1987</v>
      </c>
      <c r="B2200" s="4" t="s">
        <v>2921</v>
      </c>
      <c r="C2200" s="4" t="s">
        <v>2922</v>
      </c>
      <c r="D2200" s="12" t="n">
        <v>2020</v>
      </c>
      <c r="E2200" s="4"/>
      <c r="F2200" s="4" t="s">
        <v>1990</v>
      </c>
      <c r="G2200" s="4" t="s">
        <v>1991</v>
      </c>
      <c r="H2200" s="4" t="s">
        <v>1992</v>
      </c>
      <c r="I2200" s="4"/>
      <c r="J2200" s="4" t="s">
        <v>881</v>
      </c>
      <c r="K2200" s="4" t="s">
        <v>107</v>
      </c>
      <c r="L2200" s="4" t="s">
        <v>108</v>
      </c>
      <c r="M2200" s="4" t="s">
        <v>1993</v>
      </c>
      <c r="N2200" s="4" t="s">
        <v>2001</v>
      </c>
      <c r="O2200" s="4" t="s">
        <v>2091</v>
      </c>
      <c r="P2200" s="4" t="s">
        <v>69</v>
      </c>
      <c r="Q2200" s="4" t="s">
        <v>2030</v>
      </c>
      <c r="R2200" s="4" t="s">
        <v>1997</v>
      </c>
      <c r="S2200" s="4"/>
      <c r="T2200" s="4"/>
      <c r="U2200" s="4"/>
      <c r="V2200" s="4"/>
      <c r="W2200" s="4"/>
      <c r="X2200" s="4"/>
      <c r="Y2200" s="4"/>
      <c r="Z2200" s="4"/>
      <c r="AA2200" s="4"/>
      <c r="AB2200" s="4"/>
      <c r="AC2200" s="4"/>
      <c r="AD2200" s="4"/>
      <c r="AE2200" s="4"/>
      <c r="AF2200" s="4"/>
      <c r="AG2200" s="4"/>
      <c r="AH2200" s="4"/>
      <c r="AI2200" s="4"/>
      <c r="AJ2200" s="4"/>
      <c r="AK2200" s="4"/>
      <c r="AL2200" s="4"/>
      <c r="AM2200" s="4" t="s">
        <v>2092</v>
      </c>
    </row>
    <row r="2201" customFormat="false" ht="23.85" hidden="false" customHeight="false" outlineLevel="0" collapsed="false">
      <c r="A2201" s="4" t="s">
        <v>1987</v>
      </c>
      <c r="B2201" s="4" t="s">
        <v>2923</v>
      </c>
      <c r="C2201" s="4" t="s">
        <v>2924</v>
      </c>
      <c r="D2201" s="12" t="n">
        <v>2020</v>
      </c>
      <c r="E2201" s="4"/>
      <c r="F2201" s="4" t="s">
        <v>1990</v>
      </c>
      <c r="G2201" s="4" t="s">
        <v>1991</v>
      </c>
      <c r="H2201" s="4" t="s">
        <v>1992</v>
      </c>
      <c r="I2201" s="4"/>
      <c r="J2201" s="4" t="s">
        <v>882</v>
      </c>
      <c r="K2201" s="4" t="s">
        <v>107</v>
      </c>
      <c r="L2201" s="4" t="s">
        <v>108</v>
      </c>
      <c r="M2201" s="4" t="s">
        <v>1993</v>
      </c>
      <c r="N2201" s="4" t="s">
        <v>2001</v>
      </c>
      <c r="O2201" s="4" t="s">
        <v>2034</v>
      </c>
      <c r="P2201" s="4" t="s">
        <v>74</v>
      </c>
      <c r="Q2201" s="4" t="s">
        <v>2035</v>
      </c>
      <c r="R2201" s="4" t="s">
        <v>2036</v>
      </c>
      <c r="S2201" s="4"/>
      <c r="T2201" s="4"/>
      <c r="U2201" s="4"/>
      <c r="V2201" s="4"/>
      <c r="W2201" s="4"/>
      <c r="X2201" s="4"/>
      <c r="Y2201" s="4"/>
      <c r="Z2201" s="4"/>
      <c r="AA2201" s="4"/>
      <c r="AB2201" s="4"/>
      <c r="AC2201" s="4"/>
      <c r="AD2201" s="4"/>
      <c r="AE2201" s="4"/>
      <c r="AF2201" s="4"/>
      <c r="AG2201" s="4"/>
      <c r="AH2201" s="4"/>
      <c r="AI2201" s="4"/>
      <c r="AJ2201" s="4"/>
      <c r="AK2201" s="4"/>
      <c r="AL2201" s="4"/>
      <c r="AM2201" s="4" t="s">
        <v>2037</v>
      </c>
    </row>
    <row r="2202" customFormat="false" ht="15" hidden="false" customHeight="false" outlineLevel="0" collapsed="false">
      <c r="A2202" s="4" t="s">
        <v>1987</v>
      </c>
      <c r="B2202" s="4" t="s">
        <v>2925</v>
      </c>
      <c r="C2202" s="4" t="s">
        <v>2926</v>
      </c>
      <c r="D2202" s="12" t="n">
        <v>2020</v>
      </c>
      <c r="E2202" s="4"/>
      <c r="F2202" s="4" t="s">
        <v>1990</v>
      </c>
      <c r="G2202" s="4" t="s">
        <v>1991</v>
      </c>
      <c r="H2202" s="4" t="s">
        <v>1992</v>
      </c>
      <c r="I2202" s="4"/>
      <c r="J2202" s="4" t="s">
        <v>887</v>
      </c>
      <c r="K2202" s="4" t="s">
        <v>107</v>
      </c>
      <c r="L2202" s="4" t="s">
        <v>108</v>
      </c>
      <c r="M2202" s="4" t="s">
        <v>1993</v>
      </c>
      <c r="N2202" s="4" t="s">
        <v>2001</v>
      </c>
      <c r="O2202" s="4" t="s">
        <v>2002</v>
      </c>
      <c r="P2202" s="4" t="s">
        <v>71</v>
      </c>
      <c r="Q2202" s="4" t="s">
        <v>2123</v>
      </c>
      <c r="R2202" s="4" t="s">
        <v>1997</v>
      </c>
      <c r="S2202" s="4"/>
      <c r="T2202" s="4"/>
      <c r="U2202" s="4"/>
      <c r="V2202" s="4"/>
      <c r="W2202" s="4"/>
      <c r="X2202" s="4"/>
      <c r="Y2202" s="4"/>
      <c r="Z2202" s="4"/>
      <c r="AA2202" s="4"/>
      <c r="AB2202" s="4"/>
      <c r="AC2202" s="4"/>
      <c r="AD2202" s="4"/>
      <c r="AE2202" s="4"/>
      <c r="AF2202" s="4"/>
      <c r="AG2202" s="4"/>
      <c r="AH2202" s="4"/>
      <c r="AI2202" s="4"/>
      <c r="AJ2202" s="4"/>
      <c r="AK2202" s="4"/>
      <c r="AL2202" s="4"/>
      <c r="AM2202" s="4" t="s">
        <v>2124</v>
      </c>
    </row>
    <row r="2203" customFormat="false" ht="15" hidden="false" customHeight="false" outlineLevel="0" collapsed="false">
      <c r="A2203" s="4" t="s">
        <v>1987</v>
      </c>
      <c r="B2203" s="4" t="s">
        <v>2927</v>
      </c>
      <c r="C2203" s="4" t="s">
        <v>2928</v>
      </c>
      <c r="D2203" s="12" t="n">
        <v>2020</v>
      </c>
      <c r="E2203" s="4"/>
      <c r="F2203" s="4" t="s">
        <v>1990</v>
      </c>
      <c r="G2203" s="4" t="s">
        <v>1991</v>
      </c>
      <c r="H2203" s="4" t="s">
        <v>1992</v>
      </c>
      <c r="I2203" s="4"/>
      <c r="J2203" s="4" t="s">
        <v>888</v>
      </c>
      <c r="K2203" s="4" t="s">
        <v>107</v>
      </c>
      <c r="L2203" s="4" t="s">
        <v>108</v>
      </c>
      <c r="M2203" s="4" t="s">
        <v>1993</v>
      </c>
      <c r="N2203" s="4" t="s">
        <v>2001</v>
      </c>
      <c r="O2203" s="4" t="s">
        <v>2074</v>
      </c>
      <c r="P2203" s="4" t="s">
        <v>73</v>
      </c>
      <c r="Q2203" s="4" t="s">
        <v>2075</v>
      </c>
      <c r="R2203" s="4" t="s">
        <v>1997</v>
      </c>
      <c r="S2203" s="4"/>
      <c r="T2203" s="4"/>
      <c r="U2203" s="4"/>
      <c r="V2203" s="4"/>
      <c r="W2203" s="4"/>
      <c r="X2203" s="4"/>
      <c r="Y2203" s="4"/>
      <c r="Z2203" s="4"/>
      <c r="AA2203" s="4"/>
      <c r="AB2203" s="4"/>
      <c r="AC2203" s="4"/>
      <c r="AD2203" s="4"/>
      <c r="AE2203" s="4"/>
      <c r="AF2203" s="4"/>
      <c r="AG2203" s="4"/>
      <c r="AH2203" s="4"/>
      <c r="AI2203" s="4"/>
      <c r="AJ2203" s="4"/>
      <c r="AK2203" s="4"/>
      <c r="AL2203" s="4"/>
      <c r="AM2203" s="4" t="s">
        <v>2076</v>
      </c>
    </row>
    <row r="2204" customFormat="false" ht="15" hidden="false" customHeight="false" outlineLevel="0" collapsed="false">
      <c r="A2204" s="4" t="s">
        <v>1987</v>
      </c>
      <c r="B2204" s="4" t="s">
        <v>2929</v>
      </c>
      <c r="C2204" s="4" t="s">
        <v>2930</v>
      </c>
      <c r="D2204" s="12" t="n">
        <v>2020</v>
      </c>
      <c r="E2204" s="4"/>
      <c r="F2204" s="4" t="s">
        <v>1990</v>
      </c>
      <c r="G2204" s="4" t="s">
        <v>1991</v>
      </c>
      <c r="H2204" s="4" t="s">
        <v>1992</v>
      </c>
      <c r="I2204" s="4"/>
      <c r="J2204" s="4" t="s">
        <v>889</v>
      </c>
      <c r="K2204" s="4" t="s">
        <v>107</v>
      </c>
      <c r="L2204" s="4" t="s">
        <v>108</v>
      </c>
      <c r="M2204" s="4" t="s">
        <v>1993</v>
      </c>
      <c r="N2204" s="4" t="s">
        <v>2001</v>
      </c>
      <c r="O2204" s="4" t="s">
        <v>2002</v>
      </c>
      <c r="P2204" s="4" t="s">
        <v>72</v>
      </c>
      <c r="Q2204" s="4" t="s">
        <v>2079</v>
      </c>
      <c r="R2204" s="4" t="s">
        <v>1997</v>
      </c>
      <c r="S2204" s="4"/>
      <c r="T2204" s="4"/>
      <c r="U2204" s="4"/>
      <c r="V2204" s="4"/>
      <c r="W2204" s="4"/>
      <c r="X2204" s="4"/>
      <c r="Y2204" s="4"/>
      <c r="Z2204" s="4"/>
      <c r="AA2204" s="4"/>
      <c r="AB2204" s="4"/>
      <c r="AC2204" s="4"/>
      <c r="AD2204" s="4"/>
      <c r="AE2204" s="4"/>
      <c r="AF2204" s="4"/>
      <c r="AG2204" s="4"/>
      <c r="AH2204" s="4"/>
      <c r="AI2204" s="4"/>
      <c r="AJ2204" s="4"/>
      <c r="AK2204" s="4"/>
      <c r="AL2204" s="4"/>
      <c r="AM2204" s="4" t="s">
        <v>2080</v>
      </c>
    </row>
    <row r="2205" customFormat="false" ht="23.85" hidden="false" customHeight="false" outlineLevel="0" collapsed="false">
      <c r="A2205" s="4" t="s">
        <v>1987</v>
      </c>
      <c r="B2205" s="4" t="s">
        <v>2931</v>
      </c>
      <c r="C2205" s="4" t="s">
        <v>2932</v>
      </c>
      <c r="D2205" s="12" t="n">
        <v>2020</v>
      </c>
      <c r="E2205" s="4"/>
      <c r="F2205" s="4" t="s">
        <v>1990</v>
      </c>
      <c r="G2205" s="4" t="s">
        <v>1991</v>
      </c>
      <c r="H2205" s="4" t="s">
        <v>1992</v>
      </c>
      <c r="I2205" s="4"/>
      <c r="J2205" s="4" t="s">
        <v>890</v>
      </c>
      <c r="K2205" s="4" t="s">
        <v>107</v>
      </c>
      <c r="L2205" s="4" t="s">
        <v>108</v>
      </c>
      <c r="M2205" s="4" t="s">
        <v>1993</v>
      </c>
      <c r="N2205" s="4" t="s">
        <v>2001</v>
      </c>
      <c r="O2205" s="4" t="s">
        <v>2002</v>
      </c>
      <c r="P2205" s="4" t="s">
        <v>68</v>
      </c>
      <c r="Q2205" s="4" t="s">
        <v>2111</v>
      </c>
      <c r="R2205" s="4" t="s">
        <v>1997</v>
      </c>
      <c r="S2205" s="4"/>
      <c r="T2205" s="4"/>
      <c r="U2205" s="4"/>
      <c r="V2205" s="4"/>
      <c r="W2205" s="4"/>
      <c r="X2205" s="4"/>
      <c r="Y2205" s="4"/>
      <c r="Z2205" s="4"/>
      <c r="AA2205" s="4"/>
      <c r="AB2205" s="4"/>
      <c r="AC2205" s="4"/>
      <c r="AD2205" s="4"/>
      <c r="AE2205" s="4"/>
      <c r="AF2205" s="4"/>
      <c r="AG2205" s="4"/>
      <c r="AH2205" s="4"/>
      <c r="AI2205" s="4"/>
      <c r="AJ2205" s="4"/>
      <c r="AK2205" s="4"/>
      <c r="AL2205" s="4"/>
      <c r="AM2205" s="4" t="s">
        <v>2112</v>
      </c>
    </row>
    <row r="2206" customFormat="false" ht="23.85" hidden="false" customHeight="false" outlineLevel="0" collapsed="false">
      <c r="A2206" s="4" t="s">
        <v>1987</v>
      </c>
      <c r="B2206" s="4" t="s">
        <v>2933</v>
      </c>
      <c r="C2206" s="4" t="s">
        <v>2934</v>
      </c>
      <c r="D2206" s="12" t="n">
        <v>2020</v>
      </c>
      <c r="E2206" s="4"/>
      <c r="F2206" s="4" t="s">
        <v>1990</v>
      </c>
      <c r="G2206" s="4" t="s">
        <v>1991</v>
      </c>
      <c r="H2206" s="4" t="s">
        <v>1992</v>
      </c>
      <c r="I2206" s="4"/>
      <c r="J2206" s="4" t="s">
        <v>894</v>
      </c>
      <c r="K2206" s="4" t="s">
        <v>111</v>
      </c>
      <c r="L2206" s="4" t="s">
        <v>112</v>
      </c>
      <c r="M2206" s="4" t="s">
        <v>1993</v>
      </c>
      <c r="N2206" s="4" t="s">
        <v>1994</v>
      </c>
      <c r="O2206" s="4" t="s">
        <v>2029</v>
      </c>
      <c r="P2206" s="4" t="s">
        <v>69</v>
      </c>
      <c r="Q2206" s="4" t="s">
        <v>2030</v>
      </c>
      <c r="R2206" s="4" t="s">
        <v>1997</v>
      </c>
      <c r="S2206" s="4"/>
      <c r="T2206" s="4"/>
      <c r="U2206" s="4"/>
      <c r="V2206" s="4"/>
      <c r="W2206" s="4"/>
      <c r="X2206" s="4"/>
      <c r="Y2206" s="4"/>
      <c r="Z2206" s="4"/>
      <c r="AA2206" s="4"/>
      <c r="AB2206" s="4"/>
      <c r="AC2206" s="4"/>
      <c r="AD2206" s="4"/>
      <c r="AE2206" s="4"/>
      <c r="AF2206" s="4"/>
      <c r="AG2206" s="4"/>
      <c r="AH2206" s="4"/>
      <c r="AI2206" s="4"/>
      <c r="AJ2206" s="4"/>
      <c r="AK2206" s="4"/>
      <c r="AL2206" s="4"/>
      <c r="AM2206" s="4" t="s">
        <v>2031</v>
      </c>
    </row>
    <row r="2207" customFormat="false" ht="23.85" hidden="false" customHeight="false" outlineLevel="0" collapsed="false">
      <c r="A2207" s="4" t="s">
        <v>1987</v>
      </c>
      <c r="B2207" s="4" t="s">
        <v>2935</v>
      </c>
      <c r="C2207" s="4" t="s">
        <v>2936</v>
      </c>
      <c r="D2207" s="12" t="n">
        <v>2020</v>
      </c>
      <c r="E2207" s="4"/>
      <c r="F2207" s="4" t="s">
        <v>1990</v>
      </c>
      <c r="G2207" s="4" t="s">
        <v>1991</v>
      </c>
      <c r="H2207" s="4" t="s">
        <v>1992</v>
      </c>
      <c r="I2207" s="4"/>
      <c r="J2207" s="4" t="s">
        <v>895</v>
      </c>
      <c r="K2207" s="4" t="s">
        <v>111</v>
      </c>
      <c r="L2207" s="4" t="s">
        <v>112</v>
      </c>
      <c r="M2207" s="4" t="s">
        <v>1993</v>
      </c>
      <c r="N2207" s="4" t="s">
        <v>2001</v>
      </c>
      <c r="O2207" s="4" t="s">
        <v>2091</v>
      </c>
      <c r="P2207" s="4" t="s">
        <v>69</v>
      </c>
      <c r="Q2207" s="4" t="s">
        <v>2030</v>
      </c>
      <c r="R2207" s="4" t="s">
        <v>1997</v>
      </c>
      <c r="S2207" s="4"/>
      <c r="T2207" s="4"/>
      <c r="U2207" s="4"/>
      <c r="V2207" s="4"/>
      <c r="W2207" s="4"/>
      <c r="X2207" s="4"/>
      <c r="Y2207" s="4"/>
      <c r="Z2207" s="4"/>
      <c r="AA2207" s="4"/>
      <c r="AB2207" s="4"/>
      <c r="AC2207" s="4"/>
      <c r="AD2207" s="4"/>
      <c r="AE2207" s="4"/>
      <c r="AF2207" s="4"/>
      <c r="AG2207" s="4"/>
      <c r="AH2207" s="4"/>
      <c r="AI2207" s="4"/>
      <c r="AJ2207" s="4"/>
      <c r="AK2207" s="4"/>
      <c r="AL2207" s="4"/>
      <c r="AM2207" s="4" t="s">
        <v>2092</v>
      </c>
    </row>
    <row r="2208" customFormat="false" ht="23.85" hidden="false" customHeight="false" outlineLevel="0" collapsed="false">
      <c r="A2208" s="4" t="s">
        <v>1987</v>
      </c>
      <c r="B2208" s="4" t="s">
        <v>2937</v>
      </c>
      <c r="C2208" s="4" t="s">
        <v>2938</v>
      </c>
      <c r="D2208" s="12" t="n">
        <v>2020</v>
      </c>
      <c r="E2208" s="4"/>
      <c r="F2208" s="4" t="s">
        <v>1990</v>
      </c>
      <c r="G2208" s="4" t="s">
        <v>1991</v>
      </c>
      <c r="H2208" s="4" t="s">
        <v>1992</v>
      </c>
      <c r="I2208" s="4"/>
      <c r="J2208" s="4" t="s">
        <v>896</v>
      </c>
      <c r="K2208" s="4" t="s">
        <v>111</v>
      </c>
      <c r="L2208" s="4" t="s">
        <v>112</v>
      </c>
      <c r="M2208" s="4" t="s">
        <v>1993</v>
      </c>
      <c r="N2208" s="4" t="s">
        <v>2001</v>
      </c>
      <c r="O2208" s="4" t="s">
        <v>2034</v>
      </c>
      <c r="P2208" s="4" t="s">
        <v>74</v>
      </c>
      <c r="Q2208" s="4" t="s">
        <v>2035</v>
      </c>
      <c r="R2208" s="4" t="s">
        <v>2036</v>
      </c>
      <c r="S2208" s="4"/>
      <c r="T2208" s="4"/>
      <c r="U2208" s="4"/>
      <c r="V2208" s="4"/>
      <c r="W2208" s="4"/>
      <c r="X2208" s="4"/>
      <c r="Y2208" s="4"/>
      <c r="Z2208" s="4"/>
      <c r="AA2208" s="4"/>
      <c r="AB2208" s="4"/>
      <c r="AC2208" s="4"/>
      <c r="AD2208" s="4"/>
      <c r="AE2208" s="4"/>
      <c r="AF2208" s="4"/>
      <c r="AG2208" s="4"/>
      <c r="AH2208" s="4"/>
      <c r="AI2208" s="4"/>
      <c r="AJ2208" s="4"/>
      <c r="AK2208" s="4"/>
      <c r="AL2208" s="4"/>
      <c r="AM2208" s="4" t="s">
        <v>2037</v>
      </c>
    </row>
    <row r="2209" customFormat="false" ht="23.85" hidden="false" customHeight="false" outlineLevel="0" collapsed="false">
      <c r="A2209" s="4" t="s">
        <v>1987</v>
      </c>
      <c r="B2209" s="4" t="s">
        <v>2939</v>
      </c>
      <c r="C2209" s="4" t="s">
        <v>2940</v>
      </c>
      <c r="D2209" s="12" t="n">
        <v>2020</v>
      </c>
      <c r="E2209" s="4"/>
      <c r="F2209" s="4" t="s">
        <v>1990</v>
      </c>
      <c r="G2209" s="4" t="s">
        <v>1991</v>
      </c>
      <c r="H2209" s="4" t="s">
        <v>1992</v>
      </c>
      <c r="I2209" s="4"/>
      <c r="J2209" s="4" t="s">
        <v>897</v>
      </c>
      <c r="K2209" s="4" t="s">
        <v>111</v>
      </c>
      <c r="L2209" s="4" t="s">
        <v>112</v>
      </c>
      <c r="M2209" s="4" t="s">
        <v>1993</v>
      </c>
      <c r="N2209" s="4" t="s">
        <v>1994</v>
      </c>
      <c r="O2209" s="4" t="s">
        <v>1995</v>
      </c>
      <c r="P2209" s="4" t="s">
        <v>67</v>
      </c>
      <c r="Q2209" s="4" t="s">
        <v>2097</v>
      </c>
      <c r="R2209" s="4" t="s">
        <v>1997</v>
      </c>
      <c r="S2209" s="4"/>
      <c r="T2209" s="4"/>
      <c r="U2209" s="4"/>
      <c r="V2209" s="4"/>
      <c r="W2209" s="4"/>
      <c r="X2209" s="4"/>
      <c r="Y2209" s="4"/>
      <c r="Z2209" s="4"/>
      <c r="AA2209" s="4"/>
      <c r="AB2209" s="4"/>
      <c r="AC2209" s="4"/>
      <c r="AD2209" s="4"/>
      <c r="AE2209" s="4"/>
      <c r="AF2209" s="4"/>
      <c r="AG2209" s="4"/>
      <c r="AH2209" s="4"/>
      <c r="AI2209" s="4"/>
      <c r="AJ2209" s="4"/>
      <c r="AK2209" s="4"/>
      <c r="AL2209" s="4"/>
      <c r="AM2209" s="4" t="s">
        <v>2214</v>
      </c>
    </row>
    <row r="2210" customFormat="false" ht="23.85" hidden="false" customHeight="false" outlineLevel="0" collapsed="false">
      <c r="A2210" s="4" t="s">
        <v>1987</v>
      </c>
      <c r="B2210" s="4" t="s">
        <v>2941</v>
      </c>
      <c r="C2210" s="4" t="s">
        <v>2942</v>
      </c>
      <c r="D2210" s="12" t="n">
        <v>2020</v>
      </c>
      <c r="E2210" s="4"/>
      <c r="F2210" s="4" t="s">
        <v>1990</v>
      </c>
      <c r="G2210" s="4" t="s">
        <v>1991</v>
      </c>
      <c r="H2210" s="4" t="s">
        <v>1992</v>
      </c>
      <c r="I2210" s="4"/>
      <c r="J2210" s="4" t="s">
        <v>2943</v>
      </c>
      <c r="K2210" s="4" t="s">
        <v>91</v>
      </c>
      <c r="L2210" s="4" t="s">
        <v>92</v>
      </c>
      <c r="M2210" s="4" t="s">
        <v>1993</v>
      </c>
      <c r="N2210" s="4" t="s">
        <v>2001</v>
      </c>
      <c r="O2210" s="4" t="s">
        <v>2218</v>
      </c>
      <c r="P2210" s="4" t="s">
        <v>44</v>
      </c>
      <c r="Q2210" s="4" t="s">
        <v>2219</v>
      </c>
      <c r="R2210" s="4" t="s">
        <v>2220</v>
      </c>
      <c r="S2210" s="4"/>
      <c r="T2210" s="4"/>
      <c r="U2210" s="4"/>
      <c r="V2210" s="4"/>
      <c r="W2210" s="4"/>
      <c r="X2210" s="4"/>
      <c r="Y2210" s="4"/>
      <c r="Z2210" s="4"/>
      <c r="AA2210" s="4"/>
      <c r="AB2210" s="4"/>
      <c r="AC2210" s="4"/>
      <c r="AD2210" s="4"/>
      <c r="AE2210" s="4"/>
      <c r="AF2210" s="4"/>
      <c r="AG2210" s="4"/>
      <c r="AH2210" s="4"/>
      <c r="AI2210" s="4"/>
      <c r="AJ2210" s="4"/>
      <c r="AK2210" s="4"/>
      <c r="AL2210" s="4"/>
      <c r="AM2210" s="4" t="s">
        <v>2221</v>
      </c>
    </row>
    <row r="2211" customFormat="false" ht="23.85" hidden="false" customHeight="false" outlineLevel="0" collapsed="false">
      <c r="A2211" s="4" t="s">
        <v>1987</v>
      </c>
      <c r="B2211" s="4" t="s">
        <v>2944</v>
      </c>
      <c r="C2211" s="4" t="s">
        <v>2945</v>
      </c>
      <c r="D2211" s="12" t="n">
        <v>2020</v>
      </c>
      <c r="E2211" s="4"/>
      <c r="F2211" s="4" t="s">
        <v>1990</v>
      </c>
      <c r="G2211" s="4" t="s">
        <v>1991</v>
      </c>
      <c r="H2211" s="4" t="s">
        <v>1992</v>
      </c>
      <c r="I2211" s="4"/>
      <c r="J2211" s="4" t="s">
        <v>2946</v>
      </c>
      <c r="K2211" s="4" t="s">
        <v>95</v>
      </c>
      <c r="L2211" s="4" t="s">
        <v>96</v>
      </c>
      <c r="M2211" s="4" t="s">
        <v>1993</v>
      </c>
      <c r="N2211" s="4" t="s">
        <v>2001</v>
      </c>
      <c r="O2211" s="4" t="s">
        <v>2218</v>
      </c>
      <c r="P2211" s="4" t="s">
        <v>44</v>
      </c>
      <c r="Q2211" s="4" t="s">
        <v>2219</v>
      </c>
      <c r="R2211" s="4" t="s">
        <v>2220</v>
      </c>
      <c r="S2211" s="4"/>
      <c r="T2211" s="4"/>
      <c r="U2211" s="4"/>
      <c r="V2211" s="4"/>
      <c r="W2211" s="4"/>
      <c r="X2211" s="4"/>
      <c r="Y2211" s="4"/>
      <c r="Z2211" s="4"/>
      <c r="AA2211" s="4"/>
      <c r="AB2211" s="4"/>
      <c r="AC2211" s="4"/>
      <c r="AD2211" s="4"/>
      <c r="AE2211" s="4"/>
      <c r="AF2211" s="4"/>
      <c r="AG2211" s="4"/>
      <c r="AH2211" s="4"/>
      <c r="AI2211" s="4"/>
      <c r="AJ2211" s="4"/>
      <c r="AK2211" s="4"/>
      <c r="AL2211" s="4"/>
      <c r="AM2211" s="4" t="s">
        <v>2221</v>
      </c>
    </row>
    <row r="2212" customFormat="false" ht="23.85" hidden="false" customHeight="false" outlineLevel="0" collapsed="false">
      <c r="A2212" s="4" t="s">
        <v>1987</v>
      </c>
      <c r="B2212" s="4" t="s">
        <v>2947</v>
      </c>
      <c r="C2212" s="4" t="s">
        <v>2948</v>
      </c>
      <c r="D2212" s="12" t="n">
        <v>2020</v>
      </c>
      <c r="E2212" s="4"/>
      <c r="F2212" s="4" t="s">
        <v>1990</v>
      </c>
      <c r="G2212" s="4" t="s">
        <v>1991</v>
      </c>
      <c r="H2212" s="4" t="s">
        <v>1992</v>
      </c>
      <c r="I2212" s="4"/>
      <c r="J2212" s="4" t="s">
        <v>2949</v>
      </c>
      <c r="K2212" s="4" t="s">
        <v>97</v>
      </c>
      <c r="L2212" s="4" t="s">
        <v>98</v>
      </c>
      <c r="M2212" s="4" t="s">
        <v>1993</v>
      </c>
      <c r="N2212" s="4" t="s">
        <v>2001</v>
      </c>
      <c r="O2212" s="4" t="s">
        <v>2218</v>
      </c>
      <c r="P2212" s="4" t="s">
        <v>44</v>
      </c>
      <c r="Q2212" s="4" t="s">
        <v>2219</v>
      </c>
      <c r="R2212" s="4" t="s">
        <v>2220</v>
      </c>
      <c r="S2212" s="4"/>
      <c r="T2212" s="4"/>
      <c r="U2212" s="4"/>
      <c r="V2212" s="4"/>
      <c r="W2212" s="4"/>
      <c r="X2212" s="4"/>
      <c r="Y2212" s="4"/>
      <c r="Z2212" s="4"/>
      <c r="AA2212" s="4"/>
      <c r="AB2212" s="4"/>
      <c r="AC2212" s="4"/>
      <c r="AD2212" s="4"/>
      <c r="AE2212" s="4"/>
      <c r="AF2212" s="4"/>
      <c r="AG2212" s="4"/>
      <c r="AH2212" s="4"/>
      <c r="AI2212" s="4"/>
      <c r="AJ2212" s="4"/>
      <c r="AK2212" s="4"/>
      <c r="AL2212" s="4"/>
      <c r="AM2212" s="4" t="s">
        <v>2221</v>
      </c>
    </row>
    <row r="2213" customFormat="false" ht="23.85" hidden="false" customHeight="false" outlineLevel="0" collapsed="false">
      <c r="A2213" s="4" t="s">
        <v>1987</v>
      </c>
      <c r="B2213" s="4" t="s">
        <v>2950</v>
      </c>
      <c r="C2213" s="4" t="s">
        <v>2951</v>
      </c>
      <c r="D2213" s="12" t="n">
        <v>2020</v>
      </c>
      <c r="E2213" s="4"/>
      <c r="F2213" s="4" t="s">
        <v>1990</v>
      </c>
      <c r="G2213" s="4" t="s">
        <v>1991</v>
      </c>
      <c r="H2213" s="4" t="s">
        <v>1992</v>
      </c>
      <c r="I2213" s="4"/>
      <c r="J2213" s="4" t="s">
        <v>2952</v>
      </c>
      <c r="K2213" s="4" t="s">
        <v>103</v>
      </c>
      <c r="L2213" s="4" t="s">
        <v>104</v>
      </c>
      <c r="M2213" s="4" t="s">
        <v>1993</v>
      </c>
      <c r="N2213" s="4" t="s">
        <v>2001</v>
      </c>
      <c r="O2213" s="4" t="s">
        <v>2218</v>
      </c>
      <c r="P2213" s="4" t="s">
        <v>44</v>
      </c>
      <c r="Q2213" s="4" t="s">
        <v>2219</v>
      </c>
      <c r="R2213" s="4" t="s">
        <v>2220</v>
      </c>
      <c r="S2213" s="4"/>
      <c r="T2213" s="4"/>
      <c r="U2213" s="4"/>
      <c r="V2213" s="4"/>
      <c r="W2213" s="4"/>
      <c r="X2213" s="4"/>
      <c r="Y2213" s="4"/>
      <c r="Z2213" s="4"/>
      <c r="AA2213" s="4"/>
      <c r="AB2213" s="4"/>
      <c r="AC2213" s="4"/>
      <c r="AD2213" s="4"/>
      <c r="AE2213" s="4"/>
      <c r="AF2213" s="4"/>
      <c r="AG2213" s="4"/>
      <c r="AH2213" s="4"/>
      <c r="AI2213" s="4"/>
      <c r="AJ2213" s="4"/>
      <c r="AK2213" s="4"/>
      <c r="AL2213" s="4"/>
      <c r="AM2213" s="4" t="s">
        <v>2221</v>
      </c>
    </row>
    <row r="2214" customFormat="false" ht="23.85" hidden="false" customHeight="false" outlineLevel="0" collapsed="false">
      <c r="A2214" s="4" t="s">
        <v>1987</v>
      </c>
      <c r="B2214" s="4" t="s">
        <v>2953</v>
      </c>
      <c r="C2214" s="4" t="s">
        <v>2954</v>
      </c>
      <c r="D2214" s="12" t="n">
        <v>2020</v>
      </c>
      <c r="E2214" s="4"/>
      <c r="F2214" s="4" t="s">
        <v>1990</v>
      </c>
      <c r="G2214" s="4" t="s">
        <v>1991</v>
      </c>
      <c r="H2214" s="4" t="s">
        <v>1992</v>
      </c>
      <c r="I2214" s="4"/>
      <c r="J2214" s="4" t="s">
        <v>2955</v>
      </c>
      <c r="K2214" s="4" t="s">
        <v>105</v>
      </c>
      <c r="L2214" s="4" t="s">
        <v>106</v>
      </c>
      <c r="M2214" s="4" t="s">
        <v>1993</v>
      </c>
      <c r="N2214" s="4" t="s">
        <v>2001</v>
      </c>
      <c r="O2214" s="4" t="s">
        <v>2218</v>
      </c>
      <c r="P2214" s="4" t="s">
        <v>44</v>
      </c>
      <c r="Q2214" s="4" t="s">
        <v>2219</v>
      </c>
      <c r="R2214" s="4" t="s">
        <v>2220</v>
      </c>
      <c r="S2214" s="4"/>
      <c r="T2214" s="4"/>
      <c r="U2214" s="4"/>
      <c r="V2214" s="4"/>
      <c r="W2214" s="4"/>
      <c r="X2214" s="4"/>
      <c r="Y2214" s="4"/>
      <c r="Z2214" s="4"/>
      <c r="AA2214" s="4"/>
      <c r="AB2214" s="4"/>
      <c r="AC2214" s="4"/>
      <c r="AD2214" s="4"/>
      <c r="AE2214" s="4"/>
      <c r="AF2214" s="4"/>
      <c r="AG2214" s="4"/>
      <c r="AH2214" s="4"/>
      <c r="AI2214" s="4"/>
      <c r="AJ2214" s="4"/>
      <c r="AK2214" s="4"/>
      <c r="AL2214" s="4"/>
      <c r="AM2214" s="4" t="s">
        <v>2221</v>
      </c>
    </row>
    <row r="2215" customFormat="false" ht="23.85" hidden="false" customHeight="false" outlineLevel="0" collapsed="false">
      <c r="A2215" s="4" t="s">
        <v>1987</v>
      </c>
      <c r="B2215" s="4" t="s">
        <v>2956</v>
      </c>
      <c r="C2215" s="4" t="s">
        <v>2957</v>
      </c>
      <c r="D2215" s="12" t="n">
        <v>2020</v>
      </c>
      <c r="E2215" s="4"/>
      <c r="F2215" s="4" t="s">
        <v>1990</v>
      </c>
      <c r="G2215" s="4" t="s">
        <v>1991</v>
      </c>
      <c r="H2215" s="4" t="s">
        <v>1992</v>
      </c>
      <c r="I2215" s="4"/>
      <c r="J2215" s="4" t="s">
        <v>2958</v>
      </c>
      <c r="K2215" s="4" t="s">
        <v>107</v>
      </c>
      <c r="L2215" s="4" t="s">
        <v>108</v>
      </c>
      <c r="M2215" s="4" t="s">
        <v>1993</v>
      </c>
      <c r="N2215" s="4" t="s">
        <v>2001</v>
      </c>
      <c r="O2215" s="4" t="s">
        <v>2218</v>
      </c>
      <c r="P2215" s="4" t="s">
        <v>44</v>
      </c>
      <c r="Q2215" s="4" t="s">
        <v>2219</v>
      </c>
      <c r="R2215" s="4" t="s">
        <v>2220</v>
      </c>
      <c r="S2215" s="4"/>
      <c r="T2215" s="4"/>
      <c r="U2215" s="4"/>
      <c r="V2215" s="4"/>
      <c r="W2215" s="4"/>
      <c r="X2215" s="4"/>
      <c r="Y2215" s="4"/>
      <c r="Z2215" s="4"/>
      <c r="AA2215" s="4"/>
      <c r="AB2215" s="4"/>
      <c r="AC2215" s="4"/>
      <c r="AD2215" s="4"/>
      <c r="AE2215" s="4"/>
      <c r="AF2215" s="4"/>
      <c r="AG2215" s="4"/>
      <c r="AH2215" s="4"/>
      <c r="AI2215" s="4"/>
      <c r="AJ2215" s="4"/>
      <c r="AK2215" s="4"/>
      <c r="AL2215" s="4"/>
      <c r="AM2215" s="4" t="s">
        <v>2221</v>
      </c>
    </row>
    <row r="2216" customFormat="false" ht="35.05" hidden="false" customHeight="false" outlineLevel="0" collapsed="false">
      <c r="A2216" s="4" t="s">
        <v>1987</v>
      </c>
      <c r="B2216" s="4" t="s">
        <v>2959</v>
      </c>
      <c r="C2216" s="4" t="s">
        <v>2960</v>
      </c>
      <c r="D2216" s="12" t="n">
        <v>2020</v>
      </c>
      <c r="E2216" s="4"/>
      <c r="F2216" s="4" t="s">
        <v>1990</v>
      </c>
      <c r="G2216" s="4" t="s">
        <v>1991</v>
      </c>
      <c r="H2216" s="4" t="s">
        <v>1992</v>
      </c>
      <c r="I2216" s="4"/>
      <c r="J2216" s="4" t="s">
        <v>2961</v>
      </c>
      <c r="K2216" s="4" t="s">
        <v>111</v>
      </c>
      <c r="L2216" s="4" t="s">
        <v>112</v>
      </c>
      <c r="M2216" s="4" t="s">
        <v>1993</v>
      </c>
      <c r="N2216" s="4" t="s">
        <v>2001</v>
      </c>
      <c r="O2216" s="4" t="s">
        <v>2002</v>
      </c>
      <c r="P2216" s="4" t="s">
        <v>41</v>
      </c>
      <c r="Q2216" s="4" t="s">
        <v>2228</v>
      </c>
      <c r="R2216" s="4" t="s">
        <v>1997</v>
      </c>
      <c r="S2216" s="4"/>
      <c r="T2216" s="4"/>
      <c r="U2216" s="4"/>
      <c r="V2216" s="4"/>
      <c r="W2216" s="4"/>
      <c r="X2216" s="4"/>
      <c r="Y2216" s="4"/>
      <c r="Z2216" s="4"/>
      <c r="AA2216" s="4"/>
      <c r="AB2216" s="4"/>
      <c r="AC2216" s="4"/>
      <c r="AD2216" s="4"/>
      <c r="AE2216" s="4"/>
      <c r="AF2216" s="4"/>
      <c r="AG2216" s="4"/>
      <c r="AH2216" s="4"/>
      <c r="AI2216" s="4"/>
      <c r="AJ2216" s="4"/>
      <c r="AK2216" s="4"/>
      <c r="AL2216" s="4"/>
      <c r="AM2216" s="4" t="s">
        <v>2229</v>
      </c>
    </row>
    <row r="2217" customFormat="false" ht="23.85" hidden="false" customHeight="false" outlineLevel="0" collapsed="false">
      <c r="A2217" s="4" t="s">
        <v>1987</v>
      </c>
      <c r="B2217" s="4" t="s">
        <v>2962</v>
      </c>
      <c r="C2217" s="4" t="s">
        <v>2963</v>
      </c>
      <c r="D2217" s="12" t="n">
        <v>2019</v>
      </c>
      <c r="E2217" s="4"/>
      <c r="F2217" s="4" t="s">
        <v>1990</v>
      </c>
      <c r="G2217" s="4" t="s">
        <v>1991</v>
      </c>
      <c r="H2217" s="4" t="s">
        <v>1992</v>
      </c>
      <c r="I2217" s="4"/>
      <c r="J2217" s="4" t="s">
        <v>415</v>
      </c>
      <c r="K2217" s="4" t="s">
        <v>91</v>
      </c>
      <c r="L2217" s="4" t="s">
        <v>92</v>
      </c>
      <c r="M2217" s="4" t="s">
        <v>1993</v>
      </c>
      <c r="N2217" s="4" t="s">
        <v>1994</v>
      </c>
      <c r="O2217" s="4" t="s">
        <v>1995</v>
      </c>
      <c r="P2217" s="4" t="s">
        <v>68</v>
      </c>
      <c r="Q2217" s="4" t="s">
        <v>1996</v>
      </c>
      <c r="R2217" s="4" t="s">
        <v>1997</v>
      </c>
      <c r="S2217" s="4"/>
      <c r="T2217" s="4"/>
      <c r="U2217" s="4"/>
      <c r="V2217" s="4"/>
      <c r="W2217" s="4"/>
      <c r="X2217" s="4"/>
      <c r="Y2217" s="4"/>
      <c r="Z2217" s="4"/>
      <c r="AA2217" s="4"/>
      <c r="AB2217" s="4"/>
      <c r="AC2217" s="4"/>
      <c r="AD2217" s="4"/>
      <c r="AE2217" s="4"/>
      <c r="AF2217" s="4"/>
      <c r="AG2217" s="4"/>
      <c r="AH2217" s="4"/>
      <c r="AI2217" s="4"/>
      <c r="AJ2217" s="4"/>
      <c r="AK2217" s="4"/>
      <c r="AL2217" s="4"/>
      <c r="AM2217" s="4" t="s">
        <v>1998</v>
      </c>
    </row>
    <row r="2218" customFormat="false" ht="23.85" hidden="false" customHeight="false" outlineLevel="0" collapsed="false">
      <c r="A2218" s="4" t="s">
        <v>1987</v>
      </c>
      <c r="B2218" s="4" t="s">
        <v>2964</v>
      </c>
      <c r="C2218" s="4" t="s">
        <v>2965</v>
      </c>
      <c r="D2218" s="12" t="n">
        <v>2019</v>
      </c>
      <c r="E2218" s="4"/>
      <c r="F2218" s="4" t="s">
        <v>1990</v>
      </c>
      <c r="G2218" s="4" t="s">
        <v>1991</v>
      </c>
      <c r="H2218" s="4" t="s">
        <v>1992</v>
      </c>
      <c r="I2218" s="4"/>
      <c r="J2218" s="4" t="s">
        <v>420</v>
      </c>
      <c r="K2218" s="4" t="s">
        <v>91</v>
      </c>
      <c r="L2218" s="4" t="s">
        <v>92</v>
      </c>
      <c r="M2218" s="4" t="s">
        <v>1993</v>
      </c>
      <c r="N2218" s="4" t="s">
        <v>2001</v>
      </c>
      <c r="O2218" s="4" t="s">
        <v>2002</v>
      </c>
      <c r="P2218" s="4" t="s">
        <v>67</v>
      </c>
      <c r="Q2218" s="4" t="s">
        <v>2003</v>
      </c>
      <c r="R2218" s="4" t="s">
        <v>2004</v>
      </c>
      <c r="S2218" s="4"/>
      <c r="T2218" s="4"/>
      <c r="U2218" s="4"/>
      <c r="V2218" s="4"/>
      <c r="W2218" s="4"/>
      <c r="X2218" s="4"/>
      <c r="Y2218" s="4"/>
      <c r="Z2218" s="4"/>
      <c r="AA2218" s="4"/>
      <c r="AB2218" s="4"/>
      <c r="AC2218" s="4"/>
      <c r="AD2218" s="4"/>
      <c r="AE2218" s="4"/>
      <c r="AF2218" s="4"/>
      <c r="AG2218" s="4"/>
      <c r="AH2218" s="4"/>
      <c r="AI2218" s="4"/>
      <c r="AJ2218" s="4"/>
      <c r="AK2218" s="4"/>
      <c r="AL2218" s="4"/>
      <c r="AM2218" s="4" t="s">
        <v>2005</v>
      </c>
    </row>
    <row r="2219" customFormat="false" ht="23.85" hidden="false" customHeight="false" outlineLevel="0" collapsed="false">
      <c r="A2219" s="4" t="s">
        <v>1987</v>
      </c>
      <c r="B2219" s="4" t="s">
        <v>2966</v>
      </c>
      <c r="C2219" s="4" t="s">
        <v>2967</v>
      </c>
      <c r="D2219" s="12" t="n">
        <v>2019</v>
      </c>
      <c r="E2219" s="4"/>
      <c r="F2219" s="4" t="s">
        <v>1990</v>
      </c>
      <c r="G2219" s="4" t="s">
        <v>1991</v>
      </c>
      <c r="H2219" s="4" t="s">
        <v>1992</v>
      </c>
      <c r="I2219" s="4"/>
      <c r="J2219" s="4" t="s">
        <v>421</v>
      </c>
      <c r="K2219" s="4" t="s">
        <v>91</v>
      </c>
      <c r="L2219" s="4" t="s">
        <v>92</v>
      </c>
      <c r="M2219" s="4" t="s">
        <v>1993</v>
      </c>
      <c r="N2219" s="4" t="s">
        <v>2001</v>
      </c>
      <c r="O2219" s="4" t="s">
        <v>2002</v>
      </c>
      <c r="P2219" s="4" t="s">
        <v>67</v>
      </c>
      <c r="Q2219" s="4" t="s">
        <v>2008</v>
      </c>
      <c r="R2219" s="4" t="s">
        <v>2004</v>
      </c>
      <c r="S2219" s="4"/>
      <c r="T2219" s="4"/>
      <c r="U2219" s="4"/>
      <c r="V2219" s="4"/>
      <c r="W2219" s="4"/>
      <c r="X2219" s="4"/>
      <c r="Y2219" s="4"/>
      <c r="Z2219" s="4"/>
      <c r="AA2219" s="4"/>
      <c r="AB2219" s="4"/>
      <c r="AC2219" s="4"/>
      <c r="AD2219" s="4"/>
      <c r="AE2219" s="4"/>
      <c r="AF2219" s="4"/>
      <c r="AG2219" s="4"/>
      <c r="AH2219" s="4"/>
      <c r="AI2219" s="4"/>
      <c r="AJ2219" s="4"/>
      <c r="AK2219" s="4"/>
      <c r="AL2219" s="4"/>
      <c r="AM2219" s="4" t="s">
        <v>2009</v>
      </c>
    </row>
    <row r="2220" customFormat="false" ht="23.85" hidden="false" customHeight="false" outlineLevel="0" collapsed="false">
      <c r="A2220" s="4" t="s">
        <v>1987</v>
      </c>
      <c r="B2220" s="4" t="s">
        <v>2968</v>
      </c>
      <c r="C2220" s="4" t="s">
        <v>2969</v>
      </c>
      <c r="D2220" s="12" t="n">
        <v>2019</v>
      </c>
      <c r="E2220" s="4"/>
      <c r="F2220" s="4" t="s">
        <v>1990</v>
      </c>
      <c r="G2220" s="4" t="s">
        <v>1991</v>
      </c>
      <c r="H2220" s="4" t="s">
        <v>1992</v>
      </c>
      <c r="I2220" s="4"/>
      <c r="J2220" s="4" t="s">
        <v>429</v>
      </c>
      <c r="K2220" s="4" t="s">
        <v>93</v>
      </c>
      <c r="L2220" s="4" t="s">
        <v>94</v>
      </c>
      <c r="M2220" s="4" t="s">
        <v>1993</v>
      </c>
      <c r="N2220" s="4" t="s">
        <v>1994</v>
      </c>
      <c r="O2220" s="4" t="s">
        <v>1995</v>
      </c>
      <c r="P2220" s="4" t="s">
        <v>67</v>
      </c>
      <c r="Q2220" s="4" t="s">
        <v>2012</v>
      </c>
      <c r="R2220" s="4" t="s">
        <v>1997</v>
      </c>
      <c r="S2220" s="4"/>
      <c r="T2220" s="4"/>
      <c r="U2220" s="4"/>
      <c r="V2220" s="4"/>
      <c r="W2220" s="4"/>
      <c r="X2220" s="4"/>
      <c r="Y2220" s="4"/>
      <c r="Z2220" s="4"/>
      <c r="AA2220" s="4"/>
      <c r="AB2220" s="4"/>
      <c r="AC2220" s="4"/>
      <c r="AD2220" s="4"/>
      <c r="AE2220" s="4"/>
      <c r="AF2220" s="4"/>
      <c r="AG2220" s="4"/>
      <c r="AH2220" s="4"/>
      <c r="AI2220" s="4"/>
      <c r="AJ2220" s="4"/>
      <c r="AK2220" s="4"/>
      <c r="AL2220" s="4"/>
      <c r="AM2220" s="4" t="s">
        <v>2013</v>
      </c>
    </row>
    <row r="2221" customFormat="false" ht="23.85" hidden="false" customHeight="false" outlineLevel="0" collapsed="false">
      <c r="A2221" s="4" t="s">
        <v>1987</v>
      </c>
      <c r="B2221" s="4" t="s">
        <v>2970</v>
      </c>
      <c r="C2221" s="4" t="s">
        <v>2971</v>
      </c>
      <c r="D2221" s="12" t="n">
        <v>2019</v>
      </c>
      <c r="E2221" s="4"/>
      <c r="F2221" s="4" t="s">
        <v>1990</v>
      </c>
      <c r="G2221" s="4" t="s">
        <v>1991</v>
      </c>
      <c r="H2221" s="4" t="s">
        <v>1992</v>
      </c>
      <c r="I2221" s="4"/>
      <c r="J2221" s="4" t="s">
        <v>434</v>
      </c>
      <c r="K2221" s="4" t="s">
        <v>93</v>
      </c>
      <c r="L2221" s="4" t="s">
        <v>94</v>
      </c>
      <c r="M2221" s="4" t="s">
        <v>1993</v>
      </c>
      <c r="N2221" s="4" t="s">
        <v>2001</v>
      </c>
      <c r="O2221" s="4" t="s">
        <v>2002</v>
      </c>
      <c r="P2221" s="4" t="s">
        <v>67</v>
      </c>
      <c r="Q2221" s="4" t="s">
        <v>2003</v>
      </c>
      <c r="R2221" s="4" t="s">
        <v>2004</v>
      </c>
      <c r="S2221" s="4"/>
      <c r="T2221" s="4"/>
      <c r="U2221" s="4"/>
      <c r="V2221" s="4"/>
      <c r="W2221" s="4"/>
      <c r="X2221" s="4"/>
      <c r="Y2221" s="4"/>
      <c r="Z2221" s="4"/>
      <c r="AA2221" s="4"/>
      <c r="AB2221" s="4"/>
      <c r="AC2221" s="4"/>
      <c r="AD2221" s="4"/>
      <c r="AE2221" s="4"/>
      <c r="AF2221" s="4"/>
      <c r="AG2221" s="4"/>
      <c r="AH2221" s="4"/>
      <c r="AI2221" s="4"/>
      <c r="AJ2221" s="4"/>
      <c r="AK2221" s="4"/>
      <c r="AL2221" s="4"/>
      <c r="AM2221" s="4" t="s">
        <v>2005</v>
      </c>
    </row>
    <row r="2222" customFormat="false" ht="23.85" hidden="false" customHeight="false" outlineLevel="0" collapsed="false">
      <c r="A2222" s="4" t="s">
        <v>1987</v>
      </c>
      <c r="B2222" s="4" t="s">
        <v>2972</v>
      </c>
      <c r="C2222" s="4" t="s">
        <v>2973</v>
      </c>
      <c r="D2222" s="12" t="n">
        <v>2019</v>
      </c>
      <c r="E2222" s="4"/>
      <c r="F2222" s="4" t="s">
        <v>1990</v>
      </c>
      <c r="G2222" s="4" t="s">
        <v>1991</v>
      </c>
      <c r="H2222" s="4" t="s">
        <v>1992</v>
      </c>
      <c r="I2222" s="4"/>
      <c r="J2222" s="4" t="s">
        <v>435</v>
      </c>
      <c r="K2222" s="4" t="s">
        <v>93</v>
      </c>
      <c r="L2222" s="4" t="s">
        <v>94</v>
      </c>
      <c r="M2222" s="4" t="s">
        <v>1993</v>
      </c>
      <c r="N2222" s="4" t="s">
        <v>2001</v>
      </c>
      <c r="O2222" s="4" t="s">
        <v>2002</v>
      </c>
      <c r="P2222" s="4" t="s">
        <v>67</v>
      </c>
      <c r="Q2222" s="4" t="s">
        <v>2008</v>
      </c>
      <c r="R2222" s="4" t="s">
        <v>2004</v>
      </c>
      <c r="S2222" s="4"/>
      <c r="T2222" s="4"/>
      <c r="U2222" s="4"/>
      <c r="V2222" s="4"/>
      <c r="W2222" s="4"/>
      <c r="X2222" s="4"/>
      <c r="Y2222" s="4"/>
      <c r="Z2222" s="4"/>
      <c r="AA2222" s="4"/>
      <c r="AB2222" s="4"/>
      <c r="AC2222" s="4"/>
      <c r="AD2222" s="4"/>
      <c r="AE2222" s="4"/>
      <c r="AF2222" s="4"/>
      <c r="AG2222" s="4"/>
      <c r="AH2222" s="4"/>
      <c r="AI2222" s="4"/>
      <c r="AJ2222" s="4"/>
      <c r="AK2222" s="4"/>
      <c r="AL2222" s="4"/>
      <c r="AM2222" s="4" t="s">
        <v>2009</v>
      </c>
    </row>
    <row r="2223" customFormat="false" ht="23.85" hidden="false" customHeight="false" outlineLevel="0" collapsed="false">
      <c r="A2223" s="4" t="s">
        <v>1987</v>
      </c>
      <c r="B2223" s="4" t="s">
        <v>2974</v>
      </c>
      <c r="C2223" s="4" t="s">
        <v>2975</v>
      </c>
      <c r="D2223" s="12" t="n">
        <v>2019</v>
      </c>
      <c r="E2223" s="4"/>
      <c r="F2223" s="4" t="s">
        <v>1990</v>
      </c>
      <c r="G2223" s="4" t="s">
        <v>1991</v>
      </c>
      <c r="H2223" s="4" t="s">
        <v>1992</v>
      </c>
      <c r="I2223" s="4"/>
      <c r="J2223" s="4" t="s">
        <v>443</v>
      </c>
      <c r="K2223" s="4" t="s">
        <v>76</v>
      </c>
      <c r="L2223" s="4" t="s">
        <v>77</v>
      </c>
      <c r="M2223" s="4" t="s">
        <v>2018</v>
      </c>
      <c r="N2223" s="4" t="s">
        <v>1994</v>
      </c>
      <c r="O2223" s="4" t="s">
        <v>65</v>
      </c>
      <c r="P2223" s="4" t="s">
        <v>64</v>
      </c>
      <c r="Q2223" s="4" t="s">
        <v>2019</v>
      </c>
      <c r="R2223" s="4" t="s">
        <v>1997</v>
      </c>
      <c r="S2223" s="4"/>
      <c r="T2223" s="4"/>
      <c r="U2223" s="4"/>
      <c r="V2223" s="4"/>
      <c r="W2223" s="4"/>
      <c r="X2223" s="4"/>
      <c r="Y2223" s="4"/>
      <c r="Z2223" s="4"/>
      <c r="AA2223" s="4"/>
      <c r="AB2223" s="4"/>
      <c r="AC2223" s="4"/>
      <c r="AD2223" s="4"/>
      <c r="AE2223" s="4"/>
      <c r="AF2223" s="4"/>
      <c r="AG2223" s="4"/>
      <c r="AH2223" s="4"/>
      <c r="AI2223" s="4"/>
      <c r="AJ2223" s="4"/>
      <c r="AK2223" s="4"/>
      <c r="AL2223" s="4"/>
      <c r="AM2223" s="4" t="s">
        <v>2020</v>
      </c>
    </row>
    <row r="2224" customFormat="false" ht="15" hidden="false" customHeight="false" outlineLevel="0" collapsed="false">
      <c r="A2224" s="4" t="s">
        <v>1987</v>
      </c>
      <c r="B2224" s="4" t="s">
        <v>2976</v>
      </c>
      <c r="C2224" s="4" t="s">
        <v>2977</v>
      </c>
      <c r="D2224" s="12" t="n">
        <v>2019</v>
      </c>
      <c r="E2224" s="4"/>
      <c r="F2224" s="4" t="s">
        <v>1990</v>
      </c>
      <c r="G2224" s="4" t="s">
        <v>1991</v>
      </c>
      <c r="H2224" s="4" t="s">
        <v>1992</v>
      </c>
      <c r="I2224" s="4"/>
      <c r="J2224" s="4" t="s">
        <v>443</v>
      </c>
      <c r="K2224" s="4" t="s">
        <v>76</v>
      </c>
      <c r="L2224" s="4" t="s">
        <v>77</v>
      </c>
      <c r="M2224" s="4" t="s">
        <v>2018</v>
      </c>
      <c r="N2224" s="4" t="s">
        <v>2001</v>
      </c>
      <c r="O2224" s="4" t="s">
        <v>66</v>
      </c>
      <c r="P2224" s="4" t="s">
        <v>66</v>
      </c>
      <c r="Q2224" s="4" t="s">
        <v>2019</v>
      </c>
      <c r="R2224" s="4" t="s">
        <v>1997</v>
      </c>
      <c r="S2224" s="4"/>
      <c r="T2224" s="4"/>
      <c r="U2224" s="4"/>
      <c r="V2224" s="4"/>
      <c r="W2224" s="4"/>
      <c r="X2224" s="4"/>
      <c r="Y2224" s="4"/>
      <c r="Z2224" s="4"/>
      <c r="AA2224" s="4"/>
      <c r="AB2224" s="4"/>
      <c r="AC2224" s="4"/>
      <c r="AD2224" s="4"/>
      <c r="AE2224" s="4"/>
      <c r="AF2224" s="4"/>
      <c r="AG2224" s="4"/>
      <c r="AH2224" s="4"/>
      <c r="AI2224" s="4"/>
      <c r="AJ2224" s="4"/>
      <c r="AK2224" s="4"/>
      <c r="AL2224" s="4"/>
      <c r="AM2224" s="4" t="s">
        <v>2023</v>
      </c>
    </row>
    <row r="2225" customFormat="false" ht="15" hidden="false" customHeight="false" outlineLevel="0" collapsed="false">
      <c r="A2225" s="4" t="s">
        <v>1987</v>
      </c>
      <c r="B2225" s="4" t="s">
        <v>2978</v>
      </c>
      <c r="C2225" s="4" t="s">
        <v>2979</v>
      </c>
      <c r="D2225" s="12" t="n">
        <v>2019</v>
      </c>
      <c r="E2225" s="4"/>
      <c r="F2225" s="4" t="s">
        <v>1990</v>
      </c>
      <c r="G2225" s="4" t="s">
        <v>1991</v>
      </c>
      <c r="H2225" s="4" t="s">
        <v>1992</v>
      </c>
      <c r="I2225" s="4"/>
      <c r="J2225" s="4" t="s">
        <v>443</v>
      </c>
      <c r="K2225" s="4" t="s">
        <v>76</v>
      </c>
      <c r="L2225" s="4" t="s">
        <v>77</v>
      </c>
      <c r="M2225" s="4" t="s">
        <v>1993</v>
      </c>
      <c r="N2225" s="4" t="s">
        <v>1994</v>
      </c>
      <c r="O2225" s="4" t="s">
        <v>1995</v>
      </c>
      <c r="P2225" s="4" t="s">
        <v>66</v>
      </c>
      <c r="Q2225" s="4" t="s">
        <v>2019</v>
      </c>
      <c r="R2225" s="4" t="s">
        <v>1997</v>
      </c>
      <c r="S2225" s="4"/>
      <c r="T2225" s="4"/>
      <c r="U2225" s="4"/>
      <c r="V2225" s="4"/>
      <c r="W2225" s="4"/>
      <c r="X2225" s="4"/>
      <c r="Y2225" s="4"/>
      <c r="Z2225" s="4"/>
      <c r="AA2225" s="4"/>
      <c r="AB2225" s="4"/>
      <c r="AC2225" s="4"/>
      <c r="AD2225" s="4"/>
      <c r="AE2225" s="4"/>
      <c r="AF2225" s="4"/>
      <c r="AG2225" s="4"/>
      <c r="AH2225" s="4"/>
      <c r="AI2225" s="4"/>
      <c r="AJ2225" s="4"/>
      <c r="AK2225" s="4"/>
      <c r="AL2225" s="4"/>
      <c r="AM2225" s="4" t="s">
        <v>2026</v>
      </c>
    </row>
    <row r="2226" customFormat="false" ht="23.85" hidden="false" customHeight="false" outlineLevel="0" collapsed="false">
      <c r="A2226" s="4" t="s">
        <v>1987</v>
      </c>
      <c r="B2226" s="4" t="s">
        <v>2980</v>
      </c>
      <c r="C2226" s="4" t="s">
        <v>2981</v>
      </c>
      <c r="D2226" s="12" t="n">
        <v>2019</v>
      </c>
      <c r="E2226" s="4"/>
      <c r="F2226" s="4" t="s">
        <v>1990</v>
      </c>
      <c r="G2226" s="4" t="s">
        <v>1991</v>
      </c>
      <c r="H2226" s="4" t="s">
        <v>1992</v>
      </c>
      <c r="I2226" s="4"/>
      <c r="J2226" s="4" t="s">
        <v>444</v>
      </c>
      <c r="K2226" s="4" t="s">
        <v>76</v>
      </c>
      <c r="L2226" s="4" t="s">
        <v>77</v>
      </c>
      <c r="M2226" s="4" t="s">
        <v>1993</v>
      </c>
      <c r="N2226" s="4" t="s">
        <v>1994</v>
      </c>
      <c r="O2226" s="4" t="s">
        <v>2029</v>
      </c>
      <c r="P2226" s="4" t="s">
        <v>69</v>
      </c>
      <c r="Q2226" s="4" t="s">
        <v>2030</v>
      </c>
      <c r="R2226" s="4" t="s">
        <v>1997</v>
      </c>
      <c r="S2226" s="4"/>
      <c r="T2226" s="4"/>
      <c r="U2226" s="4"/>
      <c r="V2226" s="4"/>
      <c r="W2226" s="4"/>
      <c r="X2226" s="4"/>
      <c r="Y2226" s="4"/>
      <c r="Z2226" s="4"/>
      <c r="AA2226" s="4"/>
      <c r="AB2226" s="4"/>
      <c r="AC2226" s="4"/>
      <c r="AD2226" s="4"/>
      <c r="AE2226" s="4"/>
      <c r="AF2226" s="4"/>
      <c r="AG2226" s="4"/>
      <c r="AH2226" s="4"/>
      <c r="AI2226" s="4"/>
      <c r="AJ2226" s="4"/>
      <c r="AK2226" s="4"/>
      <c r="AL2226" s="4"/>
      <c r="AM2226" s="4" t="s">
        <v>2031</v>
      </c>
    </row>
    <row r="2227" customFormat="false" ht="23.85" hidden="false" customHeight="false" outlineLevel="0" collapsed="false">
      <c r="A2227" s="4" t="s">
        <v>1987</v>
      </c>
      <c r="B2227" s="4" t="s">
        <v>2982</v>
      </c>
      <c r="C2227" s="4" t="s">
        <v>2983</v>
      </c>
      <c r="D2227" s="12" t="n">
        <v>2019</v>
      </c>
      <c r="E2227" s="4"/>
      <c r="F2227" s="4" t="s">
        <v>1990</v>
      </c>
      <c r="G2227" s="4" t="s">
        <v>1991</v>
      </c>
      <c r="H2227" s="4" t="s">
        <v>1992</v>
      </c>
      <c r="I2227" s="4"/>
      <c r="J2227" s="4" t="s">
        <v>446</v>
      </c>
      <c r="K2227" s="4" t="s">
        <v>76</v>
      </c>
      <c r="L2227" s="4" t="s">
        <v>77</v>
      </c>
      <c r="M2227" s="4" t="s">
        <v>1993</v>
      </c>
      <c r="N2227" s="4" t="s">
        <v>2001</v>
      </c>
      <c r="O2227" s="4" t="s">
        <v>2034</v>
      </c>
      <c r="P2227" s="4" t="s">
        <v>74</v>
      </c>
      <c r="Q2227" s="4" t="s">
        <v>2035</v>
      </c>
      <c r="R2227" s="4" t="s">
        <v>2036</v>
      </c>
      <c r="S2227" s="4"/>
      <c r="T2227" s="4"/>
      <c r="U2227" s="4"/>
      <c r="V2227" s="4"/>
      <c r="W2227" s="4"/>
      <c r="X2227" s="4"/>
      <c r="Y2227" s="4"/>
      <c r="Z2227" s="4"/>
      <c r="AA2227" s="4"/>
      <c r="AB2227" s="4"/>
      <c r="AC2227" s="4"/>
      <c r="AD2227" s="4"/>
      <c r="AE2227" s="4"/>
      <c r="AF2227" s="4"/>
      <c r="AG2227" s="4"/>
      <c r="AH2227" s="4"/>
      <c r="AI2227" s="4"/>
      <c r="AJ2227" s="4"/>
      <c r="AK2227" s="4"/>
      <c r="AL2227" s="4"/>
      <c r="AM2227" s="4" t="s">
        <v>2037</v>
      </c>
    </row>
    <row r="2228" customFormat="false" ht="23.85" hidden="false" customHeight="false" outlineLevel="0" collapsed="false">
      <c r="A2228" s="4" t="s">
        <v>1987</v>
      </c>
      <c r="B2228" s="4" t="s">
        <v>2984</v>
      </c>
      <c r="C2228" s="4" t="s">
        <v>2985</v>
      </c>
      <c r="D2228" s="12" t="n">
        <v>2019</v>
      </c>
      <c r="E2228" s="4"/>
      <c r="F2228" s="4" t="s">
        <v>1990</v>
      </c>
      <c r="G2228" s="4" t="s">
        <v>1991</v>
      </c>
      <c r="H2228" s="4" t="s">
        <v>1992</v>
      </c>
      <c r="I2228" s="4"/>
      <c r="J2228" s="4" t="s">
        <v>448</v>
      </c>
      <c r="K2228" s="4" t="s">
        <v>76</v>
      </c>
      <c r="L2228" s="4" t="s">
        <v>77</v>
      </c>
      <c r="M2228" s="4" t="s">
        <v>1993</v>
      </c>
      <c r="N2228" s="4" t="s">
        <v>2001</v>
      </c>
      <c r="O2228" s="4" t="s">
        <v>2002</v>
      </c>
      <c r="P2228" s="4" t="s">
        <v>67</v>
      </c>
      <c r="Q2228" s="4" t="s">
        <v>2003</v>
      </c>
      <c r="R2228" s="4" t="s">
        <v>2004</v>
      </c>
      <c r="S2228" s="4"/>
      <c r="T2228" s="4"/>
      <c r="U2228" s="4"/>
      <c r="V2228" s="4"/>
      <c r="W2228" s="4"/>
      <c r="X2228" s="4"/>
      <c r="Y2228" s="4"/>
      <c r="Z2228" s="4"/>
      <c r="AA2228" s="4"/>
      <c r="AB2228" s="4"/>
      <c r="AC2228" s="4"/>
      <c r="AD2228" s="4"/>
      <c r="AE2228" s="4"/>
      <c r="AF2228" s="4"/>
      <c r="AG2228" s="4"/>
      <c r="AH2228" s="4"/>
      <c r="AI2228" s="4"/>
      <c r="AJ2228" s="4"/>
      <c r="AK2228" s="4"/>
      <c r="AL2228" s="4"/>
      <c r="AM2228" s="4" t="s">
        <v>2005</v>
      </c>
    </row>
    <row r="2229" customFormat="false" ht="35.05" hidden="false" customHeight="false" outlineLevel="0" collapsed="false">
      <c r="A2229" s="4" t="s">
        <v>1987</v>
      </c>
      <c r="B2229" s="4" t="s">
        <v>2986</v>
      </c>
      <c r="C2229" s="4" t="s">
        <v>2987</v>
      </c>
      <c r="D2229" s="12" t="n">
        <v>2019</v>
      </c>
      <c r="E2229" s="4"/>
      <c r="F2229" s="4" t="s">
        <v>1990</v>
      </c>
      <c r="G2229" s="4" t="s">
        <v>1991</v>
      </c>
      <c r="H2229" s="4" t="s">
        <v>1992</v>
      </c>
      <c r="I2229" s="4"/>
      <c r="J2229" s="4" t="s">
        <v>457</v>
      </c>
      <c r="K2229" s="4" t="s">
        <v>78</v>
      </c>
      <c r="L2229" s="4" t="s">
        <v>79</v>
      </c>
      <c r="M2229" s="4" t="s">
        <v>2018</v>
      </c>
      <c r="N2229" s="4" t="s">
        <v>1994</v>
      </c>
      <c r="O2229" s="4" t="s">
        <v>65</v>
      </c>
      <c r="P2229" s="4" t="s">
        <v>64</v>
      </c>
      <c r="Q2229" s="4" t="s">
        <v>2044</v>
      </c>
      <c r="R2229" s="4" t="s">
        <v>1997</v>
      </c>
      <c r="S2229" s="4"/>
      <c r="T2229" s="4"/>
      <c r="U2229" s="4"/>
      <c r="V2229" s="4"/>
      <c r="W2229" s="4"/>
      <c r="X2229" s="4"/>
      <c r="Y2229" s="4"/>
      <c r="Z2229" s="4"/>
      <c r="AA2229" s="4"/>
      <c r="AB2229" s="4"/>
      <c r="AC2229" s="4"/>
      <c r="AD2229" s="4"/>
      <c r="AE2229" s="4"/>
      <c r="AF2229" s="4"/>
      <c r="AG2229" s="4"/>
      <c r="AH2229" s="4"/>
      <c r="AI2229" s="4"/>
      <c r="AJ2229" s="4"/>
      <c r="AK2229" s="4"/>
      <c r="AL2229" s="4"/>
      <c r="AM2229" s="4" t="s">
        <v>2045</v>
      </c>
    </row>
    <row r="2230" customFormat="false" ht="23.85" hidden="false" customHeight="false" outlineLevel="0" collapsed="false">
      <c r="A2230" s="4" t="s">
        <v>1987</v>
      </c>
      <c r="B2230" s="4" t="s">
        <v>2988</v>
      </c>
      <c r="C2230" s="4" t="s">
        <v>2989</v>
      </c>
      <c r="D2230" s="12" t="n">
        <v>2019</v>
      </c>
      <c r="E2230" s="4"/>
      <c r="F2230" s="4" t="s">
        <v>1990</v>
      </c>
      <c r="G2230" s="4" t="s">
        <v>1991</v>
      </c>
      <c r="H2230" s="4" t="s">
        <v>1992</v>
      </c>
      <c r="I2230" s="4"/>
      <c r="J2230" s="4" t="s">
        <v>462</v>
      </c>
      <c r="K2230" s="4" t="s">
        <v>78</v>
      </c>
      <c r="L2230" s="4" t="s">
        <v>79</v>
      </c>
      <c r="M2230" s="4" t="s">
        <v>2018</v>
      </c>
      <c r="N2230" s="4" t="s">
        <v>2001</v>
      </c>
      <c r="O2230" s="4" t="s">
        <v>66</v>
      </c>
      <c r="P2230" s="4" t="s">
        <v>67</v>
      </c>
      <c r="Q2230" s="4" t="s">
        <v>2003</v>
      </c>
      <c r="R2230" s="4" t="s">
        <v>2004</v>
      </c>
      <c r="S2230" s="4"/>
      <c r="T2230" s="4"/>
      <c r="U2230" s="4"/>
      <c r="V2230" s="4"/>
      <c r="W2230" s="4"/>
      <c r="X2230" s="4"/>
      <c r="Y2230" s="4"/>
      <c r="Z2230" s="4"/>
      <c r="AA2230" s="4"/>
      <c r="AB2230" s="4"/>
      <c r="AC2230" s="4"/>
      <c r="AD2230" s="4"/>
      <c r="AE2230" s="4"/>
      <c r="AF2230" s="4"/>
      <c r="AG2230" s="4"/>
      <c r="AH2230" s="4"/>
      <c r="AI2230" s="4"/>
      <c r="AJ2230" s="4"/>
      <c r="AK2230" s="4"/>
      <c r="AL2230" s="4"/>
      <c r="AM2230" s="4" t="s">
        <v>2048</v>
      </c>
    </row>
    <row r="2231" customFormat="false" ht="35.05" hidden="false" customHeight="false" outlineLevel="0" collapsed="false">
      <c r="A2231" s="4" t="s">
        <v>1987</v>
      </c>
      <c r="B2231" s="4" t="s">
        <v>2990</v>
      </c>
      <c r="C2231" s="4" t="s">
        <v>2991</v>
      </c>
      <c r="D2231" s="12" t="n">
        <v>2019</v>
      </c>
      <c r="E2231" s="4"/>
      <c r="F2231" s="4" t="s">
        <v>1990</v>
      </c>
      <c r="G2231" s="4" t="s">
        <v>1991</v>
      </c>
      <c r="H2231" s="4" t="s">
        <v>1992</v>
      </c>
      <c r="I2231" s="4"/>
      <c r="J2231" s="4" t="s">
        <v>471</v>
      </c>
      <c r="K2231" s="4" t="s">
        <v>80</v>
      </c>
      <c r="L2231" s="4" t="s">
        <v>81</v>
      </c>
      <c r="M2231" s="4" t="s">
        <v>2018</v>
      </c>
      <c r="N2231" s="4" t="s">
        <v>1994</v>
      </c>
      <c r="O2231" s="4" t="s">
        <v>65</v>
      </c>
      <c r="P2231" s="4" t="s">
        <v>64</v>
      </c>
      <c r="Q2231" s="4" t="s">
        <v>2044</v>
      </c>
      <c r="R2231" s="4" t="s">
        <v>1997</v>
      </c>
      <c r="S2231" s="4"/>
      <c r="T2231" s="4"/>
      <c r="U2231" s="4"/>
      <c r="V2231" s="4"/>
      <c r="W2231" s="4"/>
      <c r="X2231" s="4"/>
      <c r="Y2231" s="4"/>
      <c r="Z2231" s="4"/>
      <c r="AA2231" s="4"/>
      <c r="AB2231" s="4"/>
      <c r="AC2231" s="4"/>
      <c r="AD2231" s="4"/>
      <c r="AE2231" s="4"/>
      <c r="AF2231" s="4"/>
      <c r="AG2231" s="4"/>
      <c r="AH2231" s="4"/>
      <c r="AI2231" s="4"/>
      <c r="AJ2231" s="4"/>
      <c r="AK2231" s="4"/>
      <c r="AL2231" s="4"/>
      <c r="AM2231" s="4" t="s">
        <v>2045</v>
      </c>
    </row>
    <row r="2232" customFormat="false" ht="23.85" hidden="false" customHeight="false" outlineLevel="0" collapsed="false">
      <c r="A2232" s="4" t="s">
        <v>1987</v>
      </c>
      <c r="B2232" s="4" t="s">
        <v>2992</v>
      </c>
      <c r="C2232" s="4" t="s">
        <v>2993</v>
      </c>
      <c r="D2232" s="12" t="n">
        <v>2019</v>
      </c>
      <c r="E2232" s="4"/>
      <c r="F2232" s="4" t="s">
        <v>1990</v>
      </c>
      <c r="G2232" s="4" t="s">
        <v>1991</v>
      </c>
      <c r="H2232" s="4" t="s">
        <v>1992</v>
      </c>
      <c r="I2232" s="4"/>
      <c r="J2232" s="4" t="s">
        <v>476</v>
      </c>
      <c r="K2232" s="4" t="s">
        <v>80</v>
      </c>
      <c r="L2232" s="4" t="s">
        <v>81</v>
      </c>
      <c r="M2232" s="4" t="s">
        <v>2018</v>
      </c>
      <c r="N2232" s="4" t="s">
        <v>2001</v>
      </c>
      <c r="O2232" s="4" t="s">
        <v>66</v>
      </c>
      <c r="P2232" s="4" t="s">
        <v>67</v>
      </c>
      <c r="Q2232" s="4" t="s">
        <v>2003</v>
      </c>
      <c r="R2232" s="4" t="s">
        <v>2004</v>
      </c>
      <c r="S2232" s="4"/>
      <c r="T2232" s="4"/>
      <c r="U2232" s="4"/>
      <c r="V2232" s="4"/>
      <c r="W2232" s="4"/>
      <c r="X2232" s="4"/>
      <c r="Y2232" s="4"/>
      <c r="Z2232" s="4"/>
      <c r="AA2232" s="4"/>
      <c r="AB2232" s="4"/>
      <c r="AC2232" s="4"/>
      <c r="AD2232" s="4"/>
      <c r="AE2232" s="4"/>
      <c r="AF2232" s="4"/>
      <c r="AG2232" s="4"/>
      <c r="AH2232" s="4"/>
      <c r="AI2232" s="4"/>
      <c r="AJ2232" s="4"/>
      <c r="AK2232" s="4"/>
      <c r="AL2232" s="4"/>
      <c r="AM2232" s="4" t="s">
        <v>2048</v>
      </c>
    </row>
    <row r="2233" customFormat="false" ht="35.05" hidden="false" customHeight="false" outlineLevel="0" collapsed="false">
      <c r="A2233" s="4" t="s">
        <v>1987</v>
      </c>
      <c r="B2233" s="4" t="s">
        <v>2994</v>
      </c>
      <c r="C2233" s="4" t="s">
        <v>2995</v>
      </c>
      <c r="D2233" s="12" t="n">
        <v>2019</v>
      </c>
      <c r="E2233" s="4"/>
      <c r="F2233" s="4" t="s">
        <v>1990</v>
      </c>
      <c r="G2233" s="4" t="s">
        <v>1991</v>
      </c>
      <c r="H2233" s="4" t="s">
        <v>1992</v>
      </c>
      <c r="I2233" s="4"/>
      <c r="J2233" s="4" t="s">
        <v>485</v>
      </c>
      <c r="K2233" s="4" t="s">
        <v>84</v>
      </c>
      <c r="L2233" s="4" t="s">
        <v>85</v>
      </c>
      <c r="M2233" s="4" t="s">
        <v>2018</v>
      </c>
      <c r="N2233" s="4" t="s">
        <v>1994</v>
      </c>
      <c r="O2233" s="4" t="s">
        <v>65</v>
      </c>
      <c r="P2233" s="4" t="s">
        <v>64</v>
      </c>
      <c r="Q2233" s="4" t="s">
        <v>2044</v>
      </c>
      <c r="R2233" s="4" t="s">
        <v>1997</v>
      </c>
      <c r="S2233" s="4"/>
      <c r="T2233" s="4"/>
      <c r="U2233" s="4"/>
      <c r="V2233" s="4"/>
      <c r="W2233" s="4"/>
      <c r="X2233" s="4"/>
      <c r="Y2233" s="4"/>
      <c r="Z2233" s="4"/>
      <c r="AA2233" s="4"/>
      <c r="AB2233" s="4"/>
      <c r="AC2233" s="4"/>
      <c r="AD2233" s="4"/>
      <c r="AE2233" s="4"/>
      <c r="AF2233" s="4"/>
      <c r="AG2233" s="4"/>
      <c r="AH2233" s="4"/>
      <c r="AI2233" s="4"/>
      <c r="AJ2233" s="4"/>
      <c r="AK2233" s="4"/>
      <c r="AL2233" s="4"/>
      <c r="AM2233" s="4" t="s">
        <v>2045</v>
      </c>
    </row>
    <row r="2234" customFormat="false" ht="23.85" hidden="false" customHeight="false" outlineLevel="0" collapsed="false">
      <c r="A2234" s="4" t="s">
        <v>1987</v>
      </c>
      <c r="B2234" s="4" t="s">
        <v>2996</v>
      </c>
      <c r="C2234" s="4" t="s">
        <v>2997</v>
      </c>
      <c r="D2234" s="12" t="n">
        <v>2019</v>
      </c>
      <c r="E2234" s="4"/>
      <c r="F2234" s="4" t="s">
        <v>1990</v>
      </c>
      <c r="G2234" s="4" t="s">
        <v>1991</v>
      </c>
      <c r="H2234" s="4" t="s">
        <v>1992</v>
      </c>
      <c r="I2234" s="4"/>
      <c r="J2234" s="4" t="s">
        <v>490</v>
      </c>
      <c r="K2234" s="4" t="s">
        <v>84</v>
      </c>
      <c r="L2234" s="4" t="s">
        <v>85</v>
      </c>
      <c r="M2234" s="4" t="s">
        <v>2018</v>
      </c>
      <c r="N2234" s="4" t="s">
        <v>2001</v>
      </c>
      <c r="O2234" s="4" t="s">
        <v>66</v>
      </c>
      <c r="P2234" s="4" t="s">
        <v>67</v>
      </c>
      <c r="Q2234" s="4" t="s">
        <v>2003</v>
      </c>
      <c r="R2234" s="4" t="s">
        <v>2004</v>
      </c>
      <c r="S2234" s="4"/>
      <c r="T2234" s="4"/>
      <c r="U2234" s="4"/>
      <c r="V2234" s="4"/>
      <c r="W2234" s="4"/>
      <c r="X2234" s="4"/>
      <c r="Y2234" s="4"/>
      <c r="Z2234" s="4"/>
      <c r="AA2234" s="4"/>
      <c r="AB2234" s="4"/>
      <c r="AC2234" s="4"/>
      <c r="AD2234" s="4"/>
      <c r="AE2234" s="4"/>
      <c r="AF2234" s="4"/>
      <c r="AG2234" s="4"/>
      <c r="AH2234" s="4"/>
      <c r="AI2234" s="4"/>
      <c r="AJ2234" s="4"/>
      <c r="AK2234" s="4"/>
      <c r="AL2234" s="4"/>
      <c r="AM2234" s="4" t="s">
        <v>2048</v>
      </c>
    </row>
    <row r="2235" customFormat="false" ht="23.85" hidden="false" customHeight="false" outlineLevel="0" collapsed="false">
      <c r="A2235" s="4" t="s">
        <v>1987</v>
      </c>
      <c r="B2235" s="4" t="s">
        <v>2998</v>
      </c>
      <c r="C2235" s="4" t="s">
        <v>2999</v>
      </c>
      <c r="D2235" s="12" t="n">
        <v>2019</v>
      </c>
      <c r="E2235" s="4"/>
      <c r="F2235" s="4" t="s">
        <v>1990</v>
      </c>
      <c r="G2235" s="4" t="s">
        <v>1991</v>
      </c>
      <c r="H2235" s="4" t="s">
        <v>1992</v>
      </c>
      <c r="I2235" s="4"/>
      <c r="J2235" s="4" t="s">
        <v>491</v>
      </c>
      <c r="K2235" s="4" t="s">
        <v>84</v>
      </c>
      <c r="L2235" s="4" t="s">
        <v>85</v>
      </c>
      <c r="M2235" s="4" t="s">
        <v>2018</v>
      </c>
      <c r="N2235" s="4" t="s">
        <v>2001</v>
      </c>
      <c r="O2235" s="4" t="s">
        <v>66</v>
      </c>
      <c r="P2235" s="4" t="s">
        <v>67</v>
      </c>
      <c r="Q2235" s="4" t="s">
        <v>2008</v>
      </c>
      <c r="R2235" s="4" t="s">
        <v>2004</v>
      </c>
      <c r="S2235" s="4"/>
      <c r="T2235" s="4"/>
      <c r="U2235" s="4"/>
      <c r="V2235" s="4"/>
      <c r="W2235" s="4"/>
      <c r="X2235" s="4"/>
      <c r="Y2235" s="4"/>
      <c r="Z2235" s="4"/>
      <c r="AA2235" s="4"/>
      <c r="AB2235" s="4"/>
      <c r="AC2235" s="4"/>
      <c r="AD2235" s="4"/>
      <c r="AE2235" s="4"/>
      <c r="AF2235" s="4"/>
      <c r="AG2235" s="4"/>
      <c r="AH2235" s="4"/>
      <c r="AI2235" s="4"/>
      <c r="AJ2235" s="4"/>
      <c r="AK2235" s="4"/>
      <c r="AL2235" s="4"/>
      <c r="AM2235" s="4" t="s">
        <v>2067</v>
      </c>
    </row>
    <row r="2236" customFormat="false" ht="23.85" hidden="false" customHeight="false" outlineLevel="0" collapsed="false">
      <c r="A2236" s="4" t="s">
        <v>1987</v>
      </c>
      <c r="B2236" s="4" t="s">
        <v>3000</v>
      </c>
      <c r="C2236" s="4" t="s">
        <v>3001</v>
      </c>
      <c r="D2236" s="12" t="n">
        <v>2019</v>
      </c>
      <c r="E2236" s="4"/>
      <c r="F2236" s="4" t="s">
        <v>1990</v>
      </c>
      <c r="G2236" s="4" t="s">
        <v>1991</v>
      </c>
      <c r="H2236" s="4" t="s">
        <v>1992</v>
      </c>
      <c r="I2236" s="4"/>
      <c r="J2236" s="4" t="s">
        <v>499</v>
      </c>
      <c r="K2236" s="4" t="s">
        <v>109</v>
      </c>
      <c r="L2236" s="4" t="s">
        <v>110</v>
      </c>
      <c r="M2236" s="4" t="s">
        <v>1993</v>
      </c>
      <c r="N2236" s="4" t="s">
        <v>1994</v>
      </c>
      <c r="O2236" s="4" t="s">
        <v>1995</v>
      </c>
      <c r="P2236" s="4" t="s">
        <v>65</v>
      </c>
      <c r="Q2236" s="4" t="s">
        <v>2070</v>
      </c>
      <c r="R2236" s="4" t="s">
        <v>1997</v>
      </c>
      <c r="S2236" s="4"/>
      <c r="T2236" s="4"/>
      <c r="U2236" s="4"/>
      <c r="V2236" s="4"/>
      <c r="W2236" s="4"/>
      <c r="X2236" s="4"/>
      <c r="Y2236" s="4"/>
      <c r="Z2236" s="4"/>
      <c r="AA2236" s="4"/>
      <c r="AB2236" s="4"/>
      <c r="AC2236" s="4"/>
      <c r="AD2236" s="4"/>
      <c r="AE2236" s="4"/>
      <c r="AF2236" s="4"/>
      <c r="AG2236" s="4"/>
      <c r="AH2236" s="4"/>
      <c r="AI2236" s="4"/>
      <c r="AJ2236" s="4"/>
      <c r="AK2236" s="4"/>
      <c r="AL2236" s="4"/>
      <c r="AM2236" s="4" t="s">
        <v>2071</v>
      </c>
    </row>
    <row r="2237" customFormat="false" ht="15" hidden="false" customHeight="false" outlineLevel="0" collapsed="false">
      <c r="A2237" s="4" t="s">
        <v>1987</v>
      </c>
      <c r="B2237" s="4" t="s">
        <v>3002</v>
      </c>
      <c r="C2237" s="4" t="s">
        <v>3003</v>
      </c>
      <c r="D2237" s="12" t="n">
        <v>2019</v>
      </c>
      <c r="E2237" s="4"/>
      <c r="F2237" s="4" t="s">
        <v>1990</v>
      </c>
      <c r="G2237" s="4" t="s">
        <v>1991</v>
      </c>
      <c r="H2237" s="4" t="s">
        <v>1992</v>
      </c>
      <c r="I2237" s="4"/>
      <c r="J2237" s="4" t="s">
        <v>508</v>
      </c>
      <c r="K2237" s="4" t="s">
        <v>109</v>
      </c>
      <c r="L2237" s="4" t="s">
        <v>110</v>
      </c>
      <c r="M2237" s="4" t="s">
        <v>1993</v>
      </c>
      <c r="N2237" s="4" t="s">
        <v>2001</v>
      </c>
      <c r="O2237" s="4" t="s">
        <v>2074</v>
      </c>
      <c r="P2237" s="4" t="s">
        <v>73</v>
      </c>
      <c r="Q2237" s="4" t="s">
        <v>2075</v>
      </c>
      <c r="R2237" s="4" t="s">
        <v>1997</v>
      </c>
      <c r="S2237" s="4"/>
      <c r="T2237" s="4"/>
      <c r="U2237" s="4"/>
      <c r="V2237" s="4"/>
      <c r="W2237" s="4"/>
      <c r="X2237" s="4"/>
      <c r="Y2237" s="4"/>
      <c r="Z2237" s="4"/>
      <c r="AA2237" s="4"/>
      <c r="AB2237" s="4"/>
      <c r="AC2237" s="4"/>
      <c r="AD2237" s="4"/>
      <c r="AE2237" s="4"/>
      <c r="AF2237" s="4"/>
      <c r="AG2237" s="4"/>
      <c r="AH2237" s="4"/>
      <c r="AI2237" s="4"/>
      <c r="AJ2237" s="4"/>
      <c r="AK2237" s="4"/>
      <c r="AL2237" s="4"/>
      <c r="AM2237" s="4" t="s">
        <v>2076</v>
      </c>
    </row>
    <row r="2238" customFormat="false" ht="15" hidden="false" customHeight="false" outlineLevel="0" collapsed="false">
      <c r="A2238" s="4" t="s">
        <v>1987</v>
      </c>
      <c r="B2238" s="4" t="s">
        <v>3004</v>
      </c>
      <c r="C2238" s="4" t="s">
        <v>3005</v>
      </c>
      <c r="D2238" s="12" t="n">
        <v>2019</v>
      </c>
      <c r="E2238" s="4"/>
      <c r="F2238" s="4" t="s">
        <v>1990</v>
      </c>
      <c r="G2238" s="4" t="s">
        <v>1991</v>
      </c>
      <c r="H2238" s="4" t="s">
        <v>1992</v>
      </c>
      <c r="I2238" s="4"/>
      <c r="J2238" s="4" t="s">
        <v>509</v>
      </c>
      <c r="K2238" s="4" t="s">
        <v>109</v>
      </c>
      <c r="L2238" s="4" t="s">
        <v>110</v>
      </c>
      <c r="M2238" s="4" t="s">
        <v>1993</v>
      </c>
      <c r="N2238" s="4" t="s">
        <v>2001</v>
      </c>
      <c r="O2238" s="4" t="s">
        <v>2002</v>
      </c>
      <c r="P2238" s="4" t="s">
        <v>72</v>
      </c>
      <c r="Q2238" s="4" t="s">
        <v>2079</v>
      </c>
      <c r="R2238" s="4" t="s">
        <v>1997</v>
      </c>
      <c r="S2238" s="4"/>
      <c r="T2238" s="4"/>
      <c r="U2238" s="4"/>
      <c r="V2238" s="4"/>
      <c r="W2238" s="4"/>
      <c r="X2238" s="4"/>
      <c r="Y2238" s="4"/>
      <c r="Z2238" s="4"/>
      <c r="AA2238" s="4"/>
      <c r="AB2238" s="4"/>
      <c r="AC2238" s="4"/>
      <c r="AD2238" s="4"/>
      <c r="AE2238" s="4"/>
      <c r="AF2238" s="4"/>
      <c r="AG2238" s="4"/>
      <c r="AH2238" s="4"/>
      <c r="AI2238" s="4"/>
      <c r="AJ2238" s="4"/>
      <c r="AK2238" s="4"/>
      <c r="AL2238" s="4"/>
      <c r="AM2238" s="4" t="s">
        <v>2080</v>
      </c>
    </row>
    <row r="2239" customFormat="false" ht="23.85" hidden="false" customHeight="false" outlineLevel="0" collapsed="false">
      <c r="A2239" s="4" t="s">
        <v>1987</v>
      </c>
      <c r="B2239" s="4" t="s">
        <v>3006</v>
      </c>
      <c r="C2239" s="4" t="s">
        <v>3007</v>
      </c>
      <c r="D2239" s="12" t="n">
        <v>2019</v>
      </c>
      <c r="E2239" s="4"/>
      <c r="F2239" s="4" t="s">
        <v>1990</v>
      </c>
      <c r="G2239" s="4" t="s">
        <v>1991</v>
      </c>
      <c r="H2239" s="4" t="s">
        <v>1992</v>
      </c>
      <c r="I2239" s="4"/>
      <c r="J2239" s="4" t="s">
        <v>513</v>
      </c>
      <c r="K2239" s="4" t="s">
        <v>86</v>
      </c>
      <c r="L2239" s="4" t="s">
        <v>87</v>
      </c>
      <c r="M2239" s="4" t="s">
        <v>2018</v>
      </c>
      <c r="N2239" s="4" t="s">
        <v>1994</v>
      </c>
      <c r="O2239" s="4" t="s">
        <v>65</v>
      </c>
      <c r="P2239" s="4" t="s">
        <v>64</v>
      </c>
      <c r="Q2239" s="4" t="s">
        <v>2019</v>
      </c>
      <c r="R2239" s="4" t="s">
        <v>1997</v>
      </c>
      <c r="S2239" s="4"/>
      <c r="T2239" s="4"/>
      <c r="U2239" s="4"/>
      <c r="V2239" s="4"/>
      <c r="W2239" s="4"/>
      <c r="X2239" s="4"/>
      <c r="Y2239" s="4"/>
      <c r="Z2239" s="4"/>
      <c r="AA2239" s="4"/>
      <c r="AB2239" s="4"/>
      <c r="AC2239" s="4"/>
      <c r="AD2239" s="4"/>
      <c r="AE2239" s="4"/>
      <c r="AF2239" s="4"/>
      <c r="AG2239" s="4"/>
      <c r="AH2239" s="4"/>
      <c r="AI2239" s="4"/>
      <c r="AJ2239" s="4"/>
      <c r="AK2239" s="4"/>
      <c r="AL2239" s="4"/>
      <c r="AM2239" s="4" t="s">
        <v>2020</v>
      </c>
    </row>
    <row r="2240" customFormat="false" ht="15" hidden="false" customHeight="false" outlineLevel="0" collapsed="false">
      <c r="A2240" s="4" t="s">
        <v>1987</v>
      </c>
      <c r="B2240" s="4" t="s">
        <v>3008</v>
      </c>
      <c r="C2240" s="4" t="s">
        <v>3009</v>
      </c>
      <c r="D2240" s="12" t="n">
        <v>2019</v>
      </c>
      <c r="E2240" s="4"/>
      <c r="F2240" s="4" t="s">
        <v>1990</v>
      </c>
      <c r="G2240" s="4" t="s">
        <v>1991</v>
      </c>
      <c r="H2240" s="4" t="s">
        <v>1992</v>
      </c>
      <c r="I2240" s="4"/>
      <c r="J2240" s="4" t="s">
        <v>513</v>
      </c>
      <c r="K2240" s="4" t="s">
        <v>86</v>
      </c>
      <c r="L2240" s="4" t="s">
        <v>87</v>
      </c>
      <c r="M2240" s="4" t="s">
        <v>2018</v>
      </c>
      <c r="N2240" s="4" t="s">
        <v>2001</v>
      </c>
      <c r="O2240" s="4" t="s">
        <v>66</v>
      </c>
      <c r="P2240" s="4" t="s">
        <v>66</v>
      </c>
      <c r="Q2240" s="4" t="s">
        <v>2019</v>
      </c>
      <c r="R2240" s="4" t="s">
        <v>1997</v>
      </c>
      <c r="S2240" s="4"/>
      <c r="T2240" s="4"/>
      <c r="U2240" s="4"/>
      <c r="V2240" s="4"/>
      <c r="W2240" s="4"/>
      <c r="X2240" s="4"/>
      <c r="Y2240" s="4"/>
      <c r="Z2240" s="4"/>
      <c r="AA2240" s="4"/>
      <c r="AB2240" s="4"/>
      <c r="AC2240" s="4"/>
      <c r="AD2240" s="4"/>
      <c r="AE2240" s="4"/>
      <c r="AF2240" s="4"/>
      <c r="AG2240" s="4"/>
      <c r="AH2240" s="4"/>
      <c r="AI2240" s="4"/>
      <c r="AJ2240" s="4"/>
      <c r="AK2240" s="4"/>
      <c r="AL2240" s="4"/>
      <c r="AM2240" s="4" t="s">
        <v>2023</v>
      </c>
    </row>
    <row r="2241" customFormat="false" ht="15" hidden="false" customHeight="false" outlineLevel="0" collapsed="false">
      <c r="A2241" s="4" t="s">
        <v>1987</v>
      </c>
      <c r="B2241" s="4" t="s">
        <v>3010</v>
      </c>
      <c r="C2241" s="4" t="s">
        <v>3011</v>
      </c>
      <c r="D2241" s="12" t="n">
        <v>2019</v>
      </c>
      <c r="E2241" s="4"/>
      <c r="F2241" s="4" t="s">
        <v>1990</v>
      </c>
      <c r="G2241" s="4" t="s">
        <v>1991</v>
      </c>
      <c r="H2241" s="4" t="s">
        <v>1992</v>
      </c>
      <c r="I2241" s="4"/>
      <c r="J2241" s="4" t="s">
        <v>513</v>
      </c>
      <c r="K2241" s="4" t="s">
        <v>86</v>
      </c>
      <c r="L2241" s="4" t="s">
        <v>87</v>
      </c>
      <c r="M2241" s="4" t="s">
        <v>1993</v>
      </c>
      <c r="N2241" s="4" t="s">
        <v>1994</v>
      </c>
      <c r="O2241" s="4" t="s">
        <v>1995</v>
      </c>
      <c r="P2241" s="4" t="s">
        <v>66</v>
      </c>
      <c r="Q2241" s="4" t="s">
        <v>2019</v>
      </c>
      <c r="R2241" s="4" t="s">
        <v>1997</v>
      </c>
      <c r="S2241" s="4"/>
      <c r="T2241" s="4"/>
      <c r="U2241" s="4"/>
      <c r="V2241" s="4"/>
      <c r="W2241" s="4"/>
      <c r="X2241" s="4"/>
      <c r="Y2241" s="4"/>
      <c r="Z2241" s="4"/>
      <c r="AA2241" s="4"/>
      <c r="AB2241" s="4"/>
      <c r="AC2241" s="4"/>
      <c r="AD2241" s="4"/>
      <c r="AE2241" s="4"/>
      <c r="AF2241" s="4"/>
      <c r="AG2241" s="4"/>
      <c r="AH2241" s="4"/>
      <c r="AI2241" s="4"/>
      <c r="AJ2241" s="4"/>
      <c r="AK2241" s="4"/>
      <c r="AL2241" s="4"/>
      <c r="AM2241" s="4" t="s">
        <v>2026</v>
      </c>
    </row>
    <row r="2242" customFormat="false" ht="23.85" hidden="false" customHeight="false" outlineLevel="0" collapsed="false">
      <c r="A2242" s="4" t="s">
        <v>1987</v>
      </c>
      <c r="B2242" s="4" t="s">
        <v>3012</v>
      </c>
      <c r="C2242" s="4" t="s">
        <v>3013</v>
      </c>
      <c r="D2242" s="12" t="n">
        <v>2019</v>
      </c>
      <c r="E2242" s="4"/>
      <c r="F2242" s="4" t="s">
        <v>1990</v>
      </c>
      <c r="G2242" s="4" t="s">
        <v>1991</v>
      </c>
      <c r="H2242" s="4" t="s">
        <v>1992</v>
      </c>
      <c r="I2242" s="4"/>
      <c r="J2242" s="4" t="s">
        <v>515</v>
      </c>
      <c r="K2242" s="4" t="s">
        <v>86</v>
      </c>
      <c r="L2242" s="4" t="s">
        <v>87</v>
      </c>
      <c r="M2242" s="4" t="s">
        <v>1993</v>
      </c>
      <c r="N2242" s="4" t="s">
        <v>2001</v>
      </c>
      <c r="O2242" s="4" t="s">
        <v>2091</v>
      </c>
      <c r="P2242" s="4" t="s">
        <v>69</v>
      </c>
      <c r="Q2242" s="4" t="s">
        <v>2030</v>
      </c>
      <c r="R2242" s="4" t="s">
        <v>1997</v>
      </c>
      <c r="S2242" s="4"/>
      <c r="T2242" s="4"/>
      <c r="U2242" s="4"/>
      <c r="V2242" s="4"/>
      <c r="W2242" s="4"/>
      <c r="X2242" s="4"/>
      <c r="Y2242" s="4"/>
      <c r="Z2242" s="4"/>
      <c r="AA2242" s="4"/>
      <c r="AB2242" s="4"/>
      <c r="AC2242" s="4"/>
      <c r="AD2242" s="4"/>
      <c r="AE2242" s="4"/>
      <c r="AF2242" s="4"/>
      <c r="AG2242" s="4"/>
      <c r="AH2242" s="4"/>
      <c r="AI2242" s="4"/>
      <c r="AJ2242" s="4"/>
      <c r="AK2242" s="4"/>
      <c r="AL2242" s="4"/>
      <c r="AM2242" s="4" t="s">
        <v>2092</v>
      </c>
    </row>
    <row r="2243" customFormat="false" ht="23.85" hidden="false" customHeight="false" outlineLevel="0" collapsed="false">
      <c r="A2243" s="4" t="s">
        <v>1987</v>
      </c>
      <c r="B2243" s="4" t="s">
        <v>3014</v>
      </c>
      <c r="C2243" s="4" t="s">
        <v>3015</v>
      </c>
      <c r="D2243" s="12" t="n">
        <v>2019</v>
      </c>
      <c r="E2243" s="4"/>
      <c r="F2243" s="4" t="s">
        <v>1990</v>
      </c>
      <c r="G2243" s="4" t="s">
        <v>1991</v>
      </c>
      <c r="H2243" s="4" t="s">
        <v>1992</v>
      </c>
      <c r="I2243" s="4"/>
      <c r="J2243" s="4" t="s">
        <v>516</v>
      </c>
      <c r="K2243" s="4" t="s">
        <v>86</v>
      </c>
      <c r="L2243" s="4" t="s">
        <v>87</v>
      </c>
      <c r="M2243" s="4" t="s">
        <v>1993</v>
      </c>
      <c r="N2243" s="4" t="s">
        <v>2001</v>
      </c>
      <c r="O2243" s="4" t="s">
        <v>2034</v>
      </c>
      <c r="P2243" s="4" t="s">
        <v>74</v>
      </c>
      <c r="Q2243" s="4" t="s">
        <v>2035</v>
      </c>
      <c r="R2243" s="4" t="s">
        <v>2036</v>
      </c>
      <c r="S2243" s="4"/>
      <c r="T2243" s="4"/>
      <c r="U2243" s="4"/>
      <c r="V2243" s="4"/>
      <c r="W2243" s="4"/>
      <c r="X2243" s="4"/>
      <c r="Y2243" s="4"/>
      <c r="Z2243" s="4"/>
      <c r="AA2243" s="4"/>
      <c r="AB2243" s="4"/>
      <c r="AC2243" s="4"/>
      <c r="AD2243" s="4"/>
      <c r="AE2243" s="4"/>
      <c r="AF2243" s="4"/>
      <c r="AG2243" s="4"/>
      <c r="AH2243" s="4"/>
      <c r="AI2243" s="4"/>
      <c r="AJ2243" s="4"/>
      <c r="AK2243" s="4"/>
      <c r="AL2243" s="4"/>
      <c r="AM2243" s="4" t="s">
        <v>2037</v>
      </c>
    </row>
    <row r="2244" customFormat="false" ht="23.85" hidden="false" customHeight="false" outlineLevel="0" collapsed="false">
      <c r="A2244" s="4" t="s">
        <v>1987</v>
      </c>
      <c r="B2244" s="4" t="s">
        <v>3016</v>
      </c>
      <c r="C2244" s="4" t="s">
        <v>3017</v>
      </c>
      <c r="D2244" s="12" t="n">
        <v>2019</v>
      </c>
      <c r="E2244" s="4"/>
      <c r="F2244" s="4" t="s">
        <v>1990</v>
      </c>
      <c r="G2244" s="4" t="s">
        <v>1991</v>
      </c>
      <c r="H2244" s="4" t="s">
        <v>1992</v>
      </c>
      <c r="I2244" s="4"/>
      <c r="J2244" s="4" t="s">
        <v>517</v>
      </c>
      <c r="K2244" s="4" t="s">
        <v>86</v>
      </c>
      <c r="L2244" s="4" t="s">
        <v>87</v>
      </c>
      <c r="M2244" s="4" t="s">
        <v>1993</v>
      </c>
      <c r="N2244" s="4" t="s">
        <v>2001</v>
      </c>
      <c r="O2244" s="4" t="s">
        <v>2002</v>
      </c>
      <c r="P2244" s="4" t="s">
        <v>67</v>
      </c>
      <c r="Q2244" s="4" t="s">
        <v>2097</v>
      </c>
      <c r="R2244" s="4" t="s">
        <v>2004</v>
      </c>
      <c r="S2244" s="4"/>
      <c r="T2244" s="4"/>
      <c r="U2244" s="4"/>
      <c r="V2244" s="4"/>
      <c r="W2244" s="4"/>
      <c r="X2244" s="4"/>
      <c r="Y2244" s="4"/>
      <c r="Z2244" s="4"/>
      <c r="AA2244" s="4"/>
      <c r="AB2244" s="4"/>
      <c r="AC2244" s="4"/>
      <c r="AD2244" s="4"/>
      <c r="AE2244" s="4"/>
      <c r="AF2244" s="4"/>
      <c r="AG2244" s="4"/>
      <c r="AH2244" s="4"/>
      <c r="AI2244" s="4"/>
      <c r="AJ2244" s="4"/>
      <c r="AK2244" s="4"/>
      <c r="AL2244" s="4"/>
      <c r="AM2244" s="4" t="s">
        <v>2098</v>
      </c>
    </row>
    <row r="2245" customFormat="false" ht="35.05" hidden="false" customHeight="false" outlineLevel="0" collapsed="false">
      <c r="A2245" s="4" t="s">
        <v>1987</v>
      </c>
      <c r="B2245" s="4" t="s">
        <v>3018</v>
      </c>
      <c r="C2245" s="4" t="s">
        <v>3019</v>
      </c>
      <c r="D2245" s="12" t="n">
        <v>2019</v>
      </c>
      <c r="E2245" s="4"/>
      <c r="F2245" s="4" t="s">
        <v>1990</v>
      </c>
      <c r="G2245" s="4" t="s">
        <v>1991</v>
      </c>
      <c r="H2245" s="4" t="s">
        <v>1992</v>
      </c>
      <c r="I2245" s="4"/>
      <c r="J2245" s="4" t="s">
        <v>527</v>
      </c>
      <c r="K2245" s="4" t="s">
        <v>88</v>
      </c>
      <c r="L2245" s="4" t="s">
        <v>89</v>
      </c>
      <c r="M2245" s="4" t="s">
        <v>2018</v>
      </c>
      <c r="N2245" s="4" t="s">
        <v>1994</v>
      </c>
      <c r="O2245" s="4" t="s">
        <v>65</v>
      </c>
      <c r="P2245" s="4" t="s">
        <v>64</v>
      </c>
      <c r="Q2245" s="4" t="s">
        <v>2044</v>
      </c>
      <c r="R2245" s="4" t="s">
        <v>1997</v>
      </c>
      <c r="S2245" s="4"/>
      <c r="T2245" s="4"/>
      <c r="U2245" s="4"/>
      <c r="V2245" s="4"/>
      <c r="W2245" s="4"/>
      <c r="X2245" s="4"/>
      <c r="Y2245" s="4"/>
      <c r="Z2245" s="4"/>
      <c r="AA2245" s="4"/>
      <c r="AB2245" s="4"/>
      <c r="AC2245" s="4"/>
      <c r="AD2245" s="4"/>
      <c r="AE2245" s="4"/>
      <c r="AF2245" s="4"/>
      <c r="AG2245" s="4"/>
      <c r="AH2245" s="4"/>
      <c r="AI2245" s="4"/>
      <c r="AJ2245" s="4"/>
      <c r="AK2245" s="4"/>
      <c r="AL2245" s="4"/>
      <c r="AM2245" s="4" t="s">
        <v>2045</v>
      </c>
    </row>
    <row r="2246" customFormat="false" ht="23.85" hidden="false" customHeight="false" outlineLevel="0" collapsed="false">
      <c r="A2246" s="4" t="s">
        <v>1987</v>
      </c>
      <c r="B2246" s="4" t="s">
        <v>3020</v>
      </c>
      <c r="C2246" s="4" t="s">
        <v>3021</v>
      </c>
      <c r="D2246" s="12" t="n">
        <v>2019</v>
      </c>
      <c r="E2246" s="4"/>
      <c r="F2246" s="4" t="s">
        <v>1990</v>
      </c>
      <c r="G2246" s="4" t="s">
        <v>1991</v>
      </c>
      <c r="H2246" s="4" t="s">
        <v>1992</v>
      </c>
      <c r="I2246" s="4"/>
      <c r="J2246" s="4" t="s">
        <v>532</v>
      </c>
      <c r="K2246" s="4" t="s">
        <v>88</v>
      </c>
      <c r="L2246" s="4" t="s">
        <v>89</v>
      </c>
      <c r="M2246" s="4" t="s">
        <v>2018</v>
      </c>
      <c r="N2246" s="4" t="s">
        <v>2001</v>
      </c>
      <c r="O2246" s="4" t="s">
        <v>66</v>
      </c>
      <c r="P2246" s="4" t="s">
        <v>67</v>
      </c>
      <c r="Q2246" s="4" t="s">
        <v>2003</v>
      </c>
      <c r="R2246" s="4" t="s">
        <v>2004</v>
      </c>
      <c r="S2246" s="4"/>
      <c r="T2246" s="4"/>
      <c r="U2246" s="4"/>
      <c r="V2246" s="4"/>
      <c r="W2246" s="4"/>
      <c r="X2246" s="4"/>
      <c r="Y2246" s="4"/>
      <c r="Z2246" s="4"/>
      <c r="AA2246" s="4"/>
      <c r="AB2246" s="4"/>
      <c r="AC2246" s="4"/>
      <c r="AD2246" s="4"/>
      <c r="AE2246" s="4"/>
      <c r="AF2246" s="4"/>
      <c r="AG2246" s="4"/>
      <c r="AH2246" s="4"/>
      <c r="AI2246" s="4"/>
      <c r="AJ2246" s="4"/>
      <c r="AK2246" s="4"/>
      <c r="AL2246" s="4"/>
      <c r="AM2246" s="4" t="s">
        <v>2048</v>
      </c>
    </row>
    <row r="2247" customFormat="false" ht="23.85" hidden="false" customHeight="false" outlineLevel="0" collapsed="false">
      <c r="A2247" s="4" t="s">
        <v>1987</v>
      </c>
      <c r="B2247" s="4" t="s">
        <v>3022</v>
      </c>
      <c r="C2247" s="4" t="s">
        <v>3023</v>
      </c>
      <c r="D2247" s="12" t="n">
        <v>2019</v>
      </c>
      <c r="E2247" s="4"/>
      <c r="F2247" s="4" t="s">
        <v>1990</v>
      </c>
      <c r="G2247" s="4" t="s">
        <v>1991</v>
      </c>
      <c r="H2247" s="4" t="s">
        <v>1992</v>
      </c>
      <c r="I2247" s="4"/>
      <c r="J2247" s="4" t="s">
        <v>542</v>
      </c>
      <c r="K2247" s="4" t="s">
        <v>95</v>
      </c>
      <c r="L2247" s="4" t="s">
        <v>96</v>
      </c>
      <c r="M2247" s="4" t="s">
        <v>1993</v>
      </c>
      <c r="N2247" s="4" t="s">
        <v>1994</v>
      </c>
      <c r="O2247" s="4" t="s">
        <v>2029</v>
      </c>
      <c r="P2247" s="4" t="s">
        <v>69</v>
      </c>
      <c r="Q2247" s="4" t="s">
        <v>2030</v>
      </c>
      <c r="R2247" s="4" t="s">
        <v>1997</v>
      </c>
      <c r="S2247" s="4"/>
      <c r="T2247" s="4"/>
      <c r="U2247" s="4"/>
      <c r="V2247" s="4"/>
      <c r="W2247" s="4"/>
      <c r="X2247" s="4"/>
      <c r="Y2247" s="4"/>
      <c r="Z2247" s="4"/>
      <c r="AA2247" s="4"/>
      <c r="AB2247" s="4"/>
      <c r="AC2247" s="4"/>
      <c r="AD2247" s="4"/>
      <c r="AE2247" s="4"/>
      <c r="AF2247" s="4"/>
      <c r="AG2247" s="4"/>
      <c r="AH2247" s="4"/>
      <c r="AI2247" s="4"/>
      <c r="AJ2247" s="4"/>
      <c r="AK2247" s="4"/>
      <c r="AL2247" s="4"/>
      <c r="AM2247" s="4" t="s">
        <v>2031</v>
      </c>
    </row>
    <row r="2248" customFormat="false" ht="23.85" hidden="false" customHeight="false" outlineLevel="0" collapsed="false">
      <c r="A2248" s="4" t="s">
        <v>1987</v>
      </c>
      <c r="B2248" s="4" t="s">
        <v>3024</v>
      </c>
      <c r="C2248" s="4" t="s">
        <v>3025</v>
      </c>
      <c r="D2248" s="12" t="n">
        <v>2019</v>
      </c>
      <c r="E2248" s="4"/>
      <c r="F2248" s="4" t="s">
        <v>1990</v>
      </c>
      <c r="G2248" s="4" t="s">
        <v>1991</v>
      </c>
      <c r="H2248" s="4" t="s">
        <v>1992</v>
      </c>
      <c r="I2248" s="4"/>
      <c r="J2248" s="4" t="s">
        <v>544</v>
      </c>
      <c r="K2248" s="4" t="s">
        <v>95</v>
      </c>
      <c r="L2248" s="4" t="s">
        <v>96</v>
      </c>
      <c r="M2248" s="4" t="s">
        <v>1993</v>
      </c>
      <c r="N2248" s="4" t="s">
        <v>2001</v>
      </c>
      <c r="O2248" s="4" t="s">
        <v>2034</v>
      </c>
      <c r="P2248" s="4" t="s">
        <v>74</v>
      </c>
      <c r="Q2248" s="4" t="s">
        <v>2035</v>
      </c>
      <c r="R2248" s="4" t="s">
        <v>2036</v>
      </c>
      <c r="S2248" s="4"/>
      <c r="T2248" s="4"/>
      <c r="U2248" s="4"/>
      <c r="V2248" s="4"/>
      <c r="W2248" s="4"/>
      <c r="X2248" s="4"/>
      <c r="Y2248" s="4"/>
      <c r="Z2248" s="4"/>
      <c r="AA2248" s="4"/>
      <c r="AB2248" s="4"/>
      <c r="AC2248" s="4"/>
      <c r="AD2248" s="4"/>
      <c r="AE2248" s="4"/>
      <c r="AF2248" s="4"/>
      <c r="AG2248" s="4"/>
      <c r="AH2248" s="4"/>
      <c r="AI2248" s="4"/>
      <c r="AJ2248" s="4"/>
      <c r="AK2248" s="4"/>
      <c r="AL2248" s="4"/>
      <c r="AM2248" s="4" t="s">
        <v>2037</v>
      </c>
    </row>
    <row r="2249" customFormat="false" ht="23.85" hidden="false" customHeight="false" outlineLevel="0" collapsed="false">
      <c r="A2249" s="4" t="s">
        <v>1987</v>
      </c>
      <c r="B2249" s="4" t="s">
        <v>3026</v>
      </c>
      <c r="C2249" s="4" t="s">
        <v>3027</v>
      </c>
      <c r="D2249" s="12" t="n">
        <v>2019</v>
      </c>
      <c r="E2249" s="4"/>
      <c r="F2249" s="4" t="s">
        <v>1990</v>
      </c>
      <c r="G2249" s="4" t="s">
        <v>1991</v>
      </c>
      <c r="H2249" s="4" t="s">
        <v>1992</v>
      </c>
      <c r="I2249" s="4"/>
      <c r="J2249" s="4" t="s">
        <v>552</v>
      </c>
      <c r="K2249" s="4" t="s">
        <v>95</v>
      </c>
      <c r="L2249" s="4" t="s">
        <v>96</v>
      </c>
      <c r="M2249" s="4" t="s">
        <v>1993</v>
      </c>
      <c r="N2249" s="4" t="s">
        <v>2001</v>
      </c>
      <c r="O2249" s="4" t="s">
        <v>2002</v>
      </c>
      <c r="P2249" s="4" t="s">
        <v>68</v>
      </c>
      <c r="Q2249" s="4" t="s">
        <v>2111</v>
      </c>
      <c r="R2249" s="4" t="s">
        <v>1997</v>
      </c>
      <c r="S2249" s="4"/>
      <c r="T2249" s="4"/>
      <c r="U2249" s="4"/>
      <c r="V2249" s="4"/>
      <c r="W2249" s="4"/>
      <c r="X2249" s="4"/>
      <c r="Y2249" s="4"/>
      <c r="Z2249" s="4"/>
      <c r="AA2249" s="4"/>
      <c r="AB2249" s="4"/>
      <c r="AC2249" s="4"/>
      <c r="AD2249" s="4"/>
      <c r="AE2249" s="4"/>
      <c r="AF2249" s="4"/>
      <c r="AG2249" s="4"/>
      <c r="AH2249" s="4"/>
      <c r="AI2249" s="4"/>
      <c r="AJ2249" s="4"/>
      <c r="AK2249" s="4"/>
      <c r="AL2249" s="4"/>
      <c r="AM2249" s="4" t="s">
        <v>2112</v>
      </c>
    </row>
    <row r="2250" customFormat="false" ht="23.85" hidden="false" customHeight="false" outlineLevel="0" collapsed="false">
      <c r="A2250" s="4" t="s">
        <v>1987</v>
      </c>
      <c r="B2250" s="4" t="s">
        <v>3028</v>
      </c>
      <c r="C2250" s="4" t="s">
        <v>3029</v>
      </c>
      <c r="D2250" s="12" t="n">
        <v>2019</v>
      </c>
      <c r="E2250" s="4"/>
      <c r="F2250" s="4" t="s">
        <v>1990</v>
      </c>
      <c r="G2250" s="4" t="s">
        <v>1991</v>
      </c>
      <c r="H2250" s="4" t="s">
        <v>1992</v>
      </c>
      <c r="I2250" s="4"/>
      <c r="J2250" s="4" t="s">
        <v>556</v>
      </c>
      <c r="K2250" s="4" t="s">
        <v>97</v>
      </c>
      <c r="L2250" s="4" t="s">
        <v>98</v>
      </c>
      <c r="M2250" s="4" t="s">
        <v>1993</v>
      </c>
      <c r="N2250" s="4" t="s">
        <v>1994</v>
      </c>
      <c r="O2250" s="4" t="s">
        <v>2029</v>
      </c>
      <c r="P2250" s="4" t="s">
        <v>69</v>
      </c>
      <c r="Q2250" s="4" t="s">
        <v>2030</v>
      </c>
      <c r="R2250" s="4" t="s">
        <v>1997</v>
      </c>
      <c r="S2250" s="4"/>
      <c r="T2250" s="4"/>
      <c r="U2250" s="4"/>
      <c r="V2250" s="4"/>
      <c r="W2250" s="4"/>
      <c r="X2250" s="4"/>
      <c r="Y2250" s="4"/>
      <c r="Z2250" s="4"/>
      <c r="AA2250" s="4"/>
      <c r="AB2250" s="4"/>
      <c r="AC2250" s="4"/>
      <c r="AD2250" s="4"/>
      <c r="AE2250" s="4"/>
      <c r="AF2250" s="4"/>
      <c r="AG2250" s="4"/>
      <c r="AH2250" s="4"/>
      <c r="AI2250" s="4"/>
      <c r="AJ2250" s="4"/>
      <c r="AK2250" s="4"/>
      <c r="AL2250" s="4"/>
      <c r="AM2250" s="4" t="s">
        <v>2031</v>
      </c>
    </row>
    <row r="2251" customFormat="false" ht="23.85" hidden="false" customHeight="false" outlineLevel="0" collapsed="false">
      <c r="A2251" s="4" t="s">
        <v>1987</v>
      </c>
      <c r="B2251" s="4" t="s">
        <v>3030</v>
      </c>
      <c r="C2251" s="4" t="s">
        <v>3031</v>
      </c>
      <c r="D2251" s="12" t="n">
        <v>2019</v>
      </c>
      <c r="E2251" s="4"/>
      <c r="F2251" s="4" t="s">
        <v>1990</v>
      </c>
      <c r="G2251" s="4" t="s">
        <v>1991</v>
      </c>
      <c r="H2251" s="4" t="s">
        <v>1992</v>
      </c>
      <c r="I2251" s="4"/>
      <c r="J2251" s="4" t="s">
        <v>557</v>
      </c>
      <c r="K2251" s="4" t="s">
        <v>97</v>
      </c>
      <c r="L2251" s="4" t="s">
        <v>98</v>
      </c>
      <c r="M2251" s="4" t="s">
        <v>1993</v>
      </c>
      <c r="N2251" s="4" t="s">
        <v>2001</v>
      </c>
      <c r="O2251" s="4" t="s">
        <v>2091</v>
      </c>
      <c r="P2251" s="4" t="s">
        <v>69</v>
      </c>
      <c r="Q2251" s="4" t="s">
        <v>2030</v>
      </c>
      <c r="R2251" s="4" t="s">
        <v>1997</v>
      </c>
      <c r="S2251" s="4"/>
      <c r="T2251" s="4"/>
      <c r="U2251" s="4"/>
      <c r="V2251" s="4"/>
      <c r="W2251" s="4"/>
      <c r="X2251" s="4"/>
      <c r="Y2251" s="4"/>
      <c r="Z2251" s="4"/>
      <c r="AA2251" s="4"/>
      <c r="AB2251" s="4"/>
      <c r="AC2251" s="4"/>
      <c r="AD2251" s="4"/>
      <c r="AE2251" s="4"/>
      <c r="AF2251" s="4"/>
      <c r="AG2251" s="4"/>
      <c r="AH2251" s="4"/>
      <c r="AI2251" s="4"/>
      <c r="AJ2251" s="4"/>
      <c r="AK2251" s="4"/>
      <c r="AL2251" s="4"/>
      <c r="AM2251" s="4" t="s">
        <v>2092</v>
      </c>
    </row>
    <row r="2252" customFormat="false" ht="23.85" hidden="false" customHeight="false" outlineLevel="0" collapsed="false">
      <c r="A2252" s="4" t="s">
        <v>1987</v>
      </c>
      <c r="B2252" s="4" t="s">
        <v>3032</v>
      </c>
      <c r="C2252" s="4" t="s">
        <v>3033</v>
      </c>
      <c r="D2252" s="12" t="n">
        <v>2019</v>
      </c>
      <c r="E2252" s="4"/>
      <c r="F2252" s="4" t="s">
        <v>1990</v>
      </c>
      <c r="G2252" s="4" t="s">
        <v>1991</v>
      </c>
      <c r="H2252" s="4" t="s">
        <v>1992</v>
      </c>
      <c r="I2252" s="4"/>
      <c r="J2252" s="4" t="s">
        <v>558</v>
      </c>
      <c r="K2252" s="4" t="s">
        <v>97</v>
      </c>
      <c r="L2252" s="4" t="s">
        <v>98</v>
      </c>
      <c r="M2252" s="4" t="s">
        <v>1993</v>
      </c>
      <c r="N2252" s="4" t="s">
        <v>2001</v>
      </c>
      <c r="O2252" s="4" t="s">
        <v>2034</v>
      </c>
      <c r="P2252" s="4" t="s">
        <v>74</v>
      </c>
      <c r="Q2252" s="4" t="s">
        <v>2035</v>
      </c>
      <c r="R2252" s="4" t="s">
        <v>2036</v>
      </c>
      <c r="S2252" s="4"/>
      <c r="T2252" s="4"/>
      <c r="U2252" s="4"/>
      <c r="V2252" s="4"/>
      <c r="W2252" s="4"/>
      <c r="X2252" s="4"/>
      <c r="Y2252" s="4"/>
      <c r="Z2252" s="4"/>
      <c r="AA2252" s="4"/>
      <c r="AB2252" s="4"/>
      <c r="AC2252" s="4"/>
      <c r="AD2252" s="4"/>
      <c r="AE2252" s="4"/>
      <c r="AF2252" s="4"/>
      <c r="AG2252" s="4"/>
      <c r="AH2252" s="4"/>
      <c r="AI2252" s="4"/>
      <c r="AJ2252" s="4"/>
      <c r="AK2252" s="4"/>
      <c r="AL2252" s="4"/>
      <c r="AM2252" s="4" t="s">
        <v>2037</v>
      </c>
    </row>
    <row r="2253" customFormat="false" ht="23.85" hidden="false" customHeight="false" outlineLevel="0" collapsed="false">
      <c r="A2253" s="4" t="s">
        <v>1987</v>
      </c>
      <c r="B2253" s="4" t="s">
        <v>3034</v>
      </c>
      <c r="C2253" s="4" t="s">
        <v>3035</v>
      </c>
      <c r="D2253" s="12" t="n">
        <v>2019</v>
      </c>
      <c r="E2253" s="4"/>
      <c r="F2253" s="4" t="s">
        <v>1990</v>
      </c>
      <c r="G2253" s="4" t="s">
        <v>1991</v>
      </c>
      <c r="H2253" s="4" t="s">
        <v>1992</v>
      </c>
      <c r="I2253" s="4"/>
      <c r="J2253" s="4" t="s">
        <v>560</v>
      </c>
      <c r="K2253" s="4" t="s">
        <v>97</v>
      </c>
      <c r="L2253" s="4" t="s">
        <v>98</v>
      </c>
      <c r="M2253" s="4" t="s">
        <v>1993</v>
      </c>
      <c r="N2253" s="4" t="s">
        <v>2001</v>
      </c>
      <c r="O2253" s="4" t="s">
        <v>2002</v>
      </c>
      <c r="P2253" s="4" t="s">
        <v>67</v>
      </c>
      <c r="Q2253" s="4" t="s">
        <v>2003</v>
      </c>
      <c r="R2253" s="4" t="s">
        <v>2004</v>
      </c>
      <c r="S2253" s="4"/>
      <c r="T2253" s="4"/>
      <c r="U2253" s="4"/>
      <c r="V2253" s="4"/>
      <c r="W2253" s="4"/>
      <c r="X2253" s="4"/>
      <c r="Y2253" s="4"/>
      <c r="Z2253" s="4"/>
      <c r="AA2253" s="4"/>
      <c r="AB2253" s="4"/>
      <c r="AC2253" s="4"/>
      <c r="AD2253" s="4"/>
      <c r="AE2253" s="4"/>
      <c r="AF2253" s="4"/>
      <c r="AG2253" s="4"/>
      <c r="AH2253" s="4"/>
      <c r="AI2253" s="4"/>
      <c r="AJ2253" s="4"/>
      <c r="AK2253" s="4"/>
      <c r="AL2253" s="4"/>
      <c r="AM2253" s="4" t="s">
        <v>2005</v>
      </c>
    </row>
    <row r="2254" customFormat="false" ht="15" hidden="false" customHeight="false" outlineLevel="0" collapsed="false">
      <c r="A2254" s="4" t="s">
        <v>1987</v>
      </c>
      <c r="B2254" s="4" t="s">
        <v>3036</v>
      </c>
      <c r="C2254" s="4" t="s">
        <v>3037</v>
      </c>
      <c r="D2254" s="12" t="n">
        <v>2019</v>
      </c>
      <c r="E2254" s="4"/>
      <c r="F2254" s="4" t="s">
        <v>1990</v>
      </c>
      <c r="G2254" s="4" t="s">
        <v>1991</v>
      </c>
      <c r="H2254" s="4" t="s">
        <v>1992</v>
      </c>
      <c r="I2254" s="4"/>
      <c r="J2254" s="4" t="s">
        <v>563</v>
      </c>
      <c r="K2254" s="4" t="s">
        <v>97</v>
      </c>
      <c r="L2254" s="4" t="s">
        <v>98</v>
      </c>
      <c r="M2254" s="4" t="s">
        <v>1993</v>
      </c>
      <c r="N2254" s="4" t="s">
        <v>2001</v>
      </c>
      <c r="O2254" s="4" t="s">
        <v>2002</v>
      </c>
      <c r="P2254" s="4" t="s">
        <v>71</v>
      </c>
      <c r="Q2254" s="4" t="s">
        <v>2123</v>
      </c>
      <c r="R2254" s="4" t="s">
        <v>1997</v>
      </c>
      <c r="S2254" s="4"/>
      <c r="T2254" s="4"/>
      <c r="U2254" s="4"/>
      <c r="V2254" s="4"/>
      <c r="W2254" s="4"/>
      <c r="X2254" s="4"/>
      <c r="Y2254" s="4"/>
      <c r="Z2254" s="4"/>
      <c r="AA2254" s="4"/>
      <c r="AB2254" s="4"/>
      <c r="AC2254" s="4"/>
      <c r="AD2254" s="4"/>
      <c r="AE2254" s="4"/>
      <c r="AF2254" s="4"/>
      <c r="AG2254" s="4"/>
      <c r="AH2254" s="4"/>
      <c r="AI2254" s="4"/>
      <c r="AJ2254" s="4"/>
      <c r="AK2254" s="4"/>
      <c r="AL2254" s="4"/>
      <c r="AM2254" s="4" t="s">
        <v>2124</v>
      </c>
    </row>
    <row r="2255" customFormat="false" ht="23.85" hidden="false" customHeight="false" outlineLevel="0" collapsed="false">
      <c r="A2255" s="4" t="s">
        <v>1987</v>
      </c>
      <c r="B2255" s="4" t="s">
        <v>3038</v>
      </c>
      <c r="C2255" s="4" t="s">
        <v>3039</v>
      </c>
      <c r="D2255" s="12" t="n">
        <v>2019</v>
      </c>
      <c r="E2255" s="4"/>
      <c r="F2255" s="4" t="s">
        <v>1990</v>
      </c>
      <c r="G2255" s="4" t="s">
        <v>1991</v>
      </c>
      <c r="H2255" s="4" t="s">
        <v>1992</v>
      </c>
      <c r="I2255" s="4"/>
      <c r="J2255" s="4" t="s">
        <v>566</v>
      </c>
      <c r="K2255" s="4" t="s">
        <v>97</v>
      </c>
      <c r="L2255" s="4" t="s">
        <v>98</v>
      </c>
      <c r="M2255" s="4" t="s">
        <v>1993</v>
      </c>
      <c r="N2255" s="4" t="s">
        <v>2001</v>
      </c>
      <c r="O2255" s="4" t="s">
        <v>2002</v>
      </c>
      <c r="P2255" s="4" t="s">
        <v>68</v>
      </c>
      <c r="Q2255" s="4" t="s">
        <v>2111</v>
      </c>
      <c r="R2255" s="4" t="s">
        <v>1997</v>
      </c>
      <c r="S2255" s="4"/>
      <c r="T2255" s="4"/>
      <c r="U2255" s="4"/>
      <c r="V2255" s="4"/>
      <c r="W2255" s="4"/>
      <c r="X2255" s="4"/>
      <c r="Y2255" s="4"/>
      <c r="Z2255" s="4"/>
      <c r="AA2255" s="4"/>
      <c r="AB2255" s="4"/>
      <c r="AC2255" s="4"/>
      <c r="AD2255" s="4"/>
      <c r="AE2255" s="4"/>
      <c r="AF2255" s="4"/>
      <c r="AG2255" s="4"/>
      <c r="AH2255" s="4"/>
      <c r="AI2255" s="4"/>
      <c r="AJ2255" s="4"/>
      <c r="AK2255" s="4"/>
      <c r="AL2255" s="4"/>
      <c r="AM2255" s="4" t="s">
        <v>2112</v>
      </c>
    </row>
    <row r="2256" customFormat="false" ht="23.85" hidden="false" customHeight="false" outlineLevel="0" collapsed="false">
      <c r="A2256" s="4" t="s">
        <v>1987</v>
      </c>
      <c r="B2256" s="4" t="s">
        <v>3040</v>
      </c>
      <c r="C2256" s="4" t="s">
        <v>3041</v>
      </c>
      <c r="D2256" s="12" t="n">
        <v>2019</v>
      </c>
      <c r="E2256" s="4"/>
      <c r="F2256" s="4" t="s">
        <v>1990</v>
      </c>
      <c r="G2256" s="4" t="s">
        <v>1991</v>
      </c>
      <c r="H2256" s="4" t="s">
        <v>1992</v>
      </c>
      <c r="I2256" s="4"/>
      <c r="J2256" s="4" t="s">
        <v>570</v>
      </c>
      <c r="K2256" s="4" t="s">
        <v>99</v>
      </c>
      <c r="L2256" s="4" t="s">
        <v>100</v>
      </c>
      <c r="M2256" s="4" t="s">
        <v>1993</v>
      </c>
      <c r="N2256" s="4" t="s">
        <v>1994</v>
      </c>
      <c r="O2256" s="4" t="s">
        <v>2029</v>
      </c>
      <c r="P2256" s="4" t="s">
        <v>69</v>
      </c>
      <c r="Q2256" s="4" t="s">
        <v>2030</v>
      </c>
      <c r="R2256" s="4" t="s">
        <v>1997</v>
      </c>
      <c r="S2256" s="4"/>
      <c r="T2256" s="4"/>
      <c r="U2256" s="4"/>
      <c r="V2256" s="4"/>
      <c r="W2256" s="4"/>
      <c r="X2256" s="4"/>
      <c r="Y2256" s="4"/>
      <c r="Z2256" s="4"/>
      <c r="AA2256" s="4"/>
      <c r="AB2256" s="4"/>
      <c r="AC2256" s="4"/>
      <c r="AD2256" s="4"/>
      <c r="AE2256" s="4"/>
      <c r="AF2256" s="4"/>
      <c r="AG2256" s="4"/>
      <c r="AH2256" s="4"/>
      <c r="AI2256" s="4"/>
      <c r="AJ2256" s="4"/>
      <c r="AK2256" s="4"/>
      <c r="AL2256" s="4"/>
      <c r="AM2256" s="4" t="s">
        <v>2031</v>
      </c>
    </row>
    <row r="2257" customFormat="false" ht="23.85" hidden="false" customHeight="false" outlineLevel="0" collapsed="false">
      <c r="A2257" s="4" t="s">
        <v>1987</v>
      </c>
      <c r="B2257" s="4" t="s">
        <v>3042</v>
      </c>
      <c r="C2257" s="4" t="s">
        <v>3043</v>
      </c>
      <c r="D2257" s="12" t="n">
        <v>2019</v>
      </c>
      <c r="E2257" s="4"/>
      <c r="F2257" s="4" t="s">
        <v>1990</v>
      </c>
      <c r="G2257" s="4" t="s">
        <v>1991</v>
      </c>
      <c r="H2257" s="4" t="s">
        <v>1992</v>
      </c>
      <c r="I2257" s="4"/>
      <c r="J2257" s="4" t="s">
        <v>571</v>
      </c>
      <c r="K2257" s="4" t="s">
        <v>99</v>
      </c>
      <c r="L2257" s="4" t="s">
        <v>100</v>
      </c>
      <c r="M2257" s="4" t="s">
        <v>1993</v>
      </c>
      <c r="N2257" s="4" t="s">
        <v>2001</v>
      </c>
      <c r="O2257" s="4" t="s">
        <v>2091</v>
      </c>
      <c r="P2257" s="4" t="s">
        <v>69</v>
      </c>
      <c r="Q2257" s="4" t="s">
        <v>2030</v>
      </c>
      <c r="R2257" s="4" t="s">
        <v>1997</v>
      </c>
      <c r="S2257" s="4"/>
      <c r="T2257" s="4"/>
      <c r="U2257" s="4"/>
      <c r="V2257" s="4"/>
      <c r="W2257" s="4"/>
      <c r="X2257" s="4"/>
      <c r="Y2257" s="4"/>
      <c r="Z2257" s="4"/>
      <c r="AA2257" s="4"/>
      <c r="AB2257" s="4"/>
      <c r="AC2257" s="4"/>
      <c r="AD2257" s="4"/>
      <c r="AE2257" s="4"/>
      <c r="AF2257" s="4"/>
      <c r="AG2257" s="4"/>
      <c r="AH2257" s="4"/>
      <c r="AI2257" s="4"/>
      <c r="AJ2257" s="4"/>
      <c r="AK2257" s="4"/>
      <c r="AL2257" s="4"/>
      <c r="AM2257" s="4" t="s">
        <v>2092</v>
      </c>
    </row>
    <row r="2258" customFormat="false" ht="23.85" hidden="false" customHeight="false" outlineLevel="0" collapsed="false">
      <c r="A2258" s="4" t="s">
        <v>1987</v>
      </c>
      <c r="B2258" s="4" t="s">
        <v>3044</v>
      </c>
      <c r="C2258" s="4" t="s">
        <v>3045</v>
      </c>
      <c r="D2258" s="12" t="n">
        <v>2019</v>
      </c>
      <c r="E2258" s="4"/>
      <c r="F2258" s="4" t="s">
        <v>1990</v>
      </c>
      <c r="G2258" s="4" t="s">
        <v>1991</v>
      </c>
      <c r="H2258" s="4" t="s">
        <v>1992</v>
      </c>
      <c r="I2258" s="4"/>
      <c r="J2258" s="4" t="s">
        <v>574</v>
      </c>
      <c r="K2258" s="4" t="s">
        <v>99</v>
      </c>
      <c r="L2258" s="4" t="s">
        <v>100</v>
      </c>
      <c r="M2258" s="4" t="s">
        <v>1993</v>
      </c>
      <c r="N2258" s="4" t="s">
        <v>1994</v>
      </c>
      <c r="O2258" s="4" t="s">
        <v>1995</v>
      </c>
      <c r="P2258" s="4" t="s">
        <v>67</v>
      </c>
      <c r="Q2258" s="4" t="s">
        <v>2003</v>
      </c>
      <c r="R2258" s="4" t="s">
        <v>1997</v>
      </c>
      <c r="S2258" s="4"/>
      <c r="T2258" s="4"/>
      <c r="U2258" s="4"/>
      <c r="V2258" s="4"/>
      <c r="W2258" s="4"/>
      <c r="X2258" s="4"/>
      <c r="Y2258" s="4"/>
      <c r="Z2258" s="4"/>
      <c r="AA2258" s="4"/>
      <c r="AB2258" s="4"/>
      <c r="AC2258" s="4"/>
      <c r="AD2258" s="4"/>
      <c r="AE2258" s="4"/>
      <c r="AF2258" s="4"/>
      <c r="AG2258" s="4"/>
      <c r="AH2258" s="4"/>
      <c r="AI2258" s="4"/>
      <c r="AJ2258" s="4"/>
      <c r="AK2258" s="4"/>
      <c r="AL2258" s="4"/>
      <c r="AM2258" s="4" t="s">
        <v>2133</v>
      </c>
    </row>
    <row r="2259" customFormat="false" ht="23.85" hidden="false" customHeight="false" outlineLevel="0" collapsed="false">
      <c r="A2259" s="4" t="s">
        <v>1987</v>
      </c>
      <c r="B2259" s="4" t="s">
        <v>3046</v>
      </c>
      <c r="C2259" s="4" t="s">
        <v>3047</v>
      </c>
      <c r="D2259" s="12" t="n">
        <v>2019</v>
      </c>
      <c r="E2259" s="4"/>
      <c r="F2259" s="4" t="s">
        <v>1990</v>
      </c>
      <c r="G2259" s="4" t="s">
        <v>1991</v>
      </c>
      <c r="H2259" s="4" t="s">
        <v>1992</v>
      </c>
      <c r="I2259" s="4"/>
      <c r="J2259" s="4" t="s">
        <v>575</v>
      </c>
      <c r="K2259" s="4" t="s">
        <v>99</v>
      </c>
      <c r="L2259" s="4" t="s">
        <v>100</v>
      </c>
      <c r="M2259" s="4" t="s">
        <v>1993</v>
      </c>
      <c r="N2259" s="4" t="s">
        <v>1994</v>
      </c>
      <c r="O2259" s="4" t="s">
        <v>1995</v>
      </c>
      <c r="P2259" s="4" t="s">
        <v>67</v>
      </c>
      <c r="Q2259" s="4" t="s">
        <v>2008</v>
      </c>
      <c r="R2259" s="4" t="s">
        <v>1997</v>
      </c>
      <c r="S2259" s="4"/>
      <c r="T2259" s="4"/>
      <c r="U2259" s="4"/>
      <c r="V2259" s="4"/>
      <c r="W2259" s="4"/>
      <c r="X2259" s="4"/>
      <c r="Y2259" s="4"/>
      <c r="Z2259" s="4"/>
      <c r="AA2259" s="4"/>
      <c r="AB2259" s="4"/>
      <c r="AC2259" s="4"/>
      <c r="AD2259" s="4"/>
      <c r="AE2259" s="4"/>
      <c r="AF2259" s="4"/>
      <c r="AG2259" s="4"/>
      <c r="AH2259" s="4"/>
      <c r="AI2259" s="4"/>
      <c r="AJ2259" s="4"/>
      <c r="AK2259" s="4"/>
      <c r="AL2259" s="4"/>
      <c r="AM2259" s="4" t="s">
        <v>2136</v>
      </c>
    </row>
    <row r="2260" customFormat="false" ht="15" hidden="false" customHeight="false" outlineLevel="0" collapsed="false">
      <c r="A2260" s="4" t="s">
        <v>1987</v>
      </c>
      <c r="B2260" s="4" t="s">
        <v>3048</v>
      </c>
      <c r="C2260" s="4" t="s">
        <v>3049</v>
      </c>
      <c r="D2260" s="12" t="n">
        <v>2019</v>
      </c>
      <c r="E2260" s="4"/>
      <c r="F2260" s="4" t="s">
        <v>1990</v>
      </c>
      <c r="G2260" s="4" t="s">
        <v>1991</v>
      </c>
      <c r="H2260" s="4" t="s">
        <v>1992</v>
      </c>
      <c r="I2260" s="4"/>
      <c r="J2260" s="4" t="s">
        <v>576</v>
      </c>
      <c r="K2260" s="4" t="s">
        <v>99</v>
      </c>
      <c r="L2260" s="4" t="s">
        <v>100</v>
      </c>
      <c r="M2260" s="4" t="s">
        <v>1993</v>
      </c>
      <c r="N2260" s="4" t="s">
        <v>2001</v>
      </c>
      <c r="O2260" s="4" t="s">
        <v>2002</v>
      </c>
      <c r="P2260" s="4" t="s">
        <v>67</v>
      </c>
      <c r="Q2260" s="4" t="s">
        <v>2139</v>
      </c>
      <c r="R2260" s="4" t="s">
        <v>1997</v>
      </c>
      <c r="S2260" s="4"/>
      <c r="T2260" s="4"/>
      <c r="U2260" s="4"/>
      <c r="V2260" s="4"/>
      <c r="W2260" s="4"/>
      <c r="X2260" s="4"/>
      <c r="Y2260" s="4"/>
      <c r="Z2260" s="4"/>
      <c r="AA2260" s="4"/>
      <c r="AB2260" s="4"/>
      <c r="AC2260" s="4"/>
      <c r="AD2260" s="4"/>
      <c r="AE2260" s="4"/>
      <c r="AF2260" s="4"/>
      <c r="AG2260" s="4"/>
      <c r="AH2260" s="4"/>
      <c r="AI2260" s="4"/>
      <c r="AJ2260" s="4"/>
      <c r="AK2260" s="4"/>
      <c r="AL2260" s="4"/>
      <c r="AM2260" s="4" t="s">
        <v>2140</v>
      </c>
    </row>
    <row r="2261" customFormat="false" ht="15" hidden="false" customHeight="false" outlineLevel="0" collapsed="false">
      <c r="A2261" s="4" t="s">
        <v>1987</v>
      </c>
      <c r="B2261" s="4" t="s">
        <v>3050</v>
      </c>
      <c r="C2261" s="4" t="s">
        <v>3051</v>
      </c>
      <c r="D2261" s="12" t="n">
        <v>2019</v>
      </c>
      <c r="E2261" s="4"/>
      <c r="F2261" s="4" t="s">
        <v>1990</v>
      </c>
      <c r="G2261" s="4" t="s">
        <v>1991</v>
      </c>
      <c r="H2261" s="4" t="s">
        <v>1992</v>
      </c>
      <c r="I2261" s="4"/>
      <c r="J2261" s="4" t="s">
        <v>578</v>
      </c>
      <c r="K2261" s="4" t="s">
        <v>99</v>
      </c>
      <c r="L2261" s="4" t="s">
        <v>100</v>
      </c>
      <c r="M2261" s="4" t="s">
        <v>1993</v>
      </c>
      <c r="N2261" s="4" t="s">
        <v>2001</v>
      </c>
      <c r="O2261" s="4" t="s">
        <v>2074</v>
      </c>
      <c r="P2261" s="4" t="s">
        <v>73</v>
      </c>
      <c r="Q2261" s="4" t="s">
        <v>2075</v>
      </c>
      <c r="R2261" s="4" t="s">
        <v>1997</v>
      </c>
      <c r="S2261" s="4"/>
      <c r="T2261" s="4"/>
      <c r="U2261" s="4"/>
      <c r="V2261" s="4"/>
      <c r="W2261" s="4"/>
      <c r="X2261" s="4"/>
      <c r="Y2261" s="4"/>
      <c r="Z2261" s="4"/>
      <c r="AA2261" s="4"/>
      <c r="AB2261" s="4"/>
      <c r="AC2261" s="4"/>
      <c r="AD2261" s="4"/>
      <c r="AE2261" s="4"/>
      <c r="AF2261" s="4"/>
      <c r="AG2261" s="4"/>
      <c r="AH2261" s="4"/>
      <c r="AI2261" s="4"/>
      <c r="AJ2261" s="4"/>
      <c r="AK2261" s="4"/>
      <c r="AL2261" s="4"/>
      <c r="AM2261" s="4" t="s">
        <v>2076</v>
      </c>
    </row>
    <row r="2262" customFormat="false" ht="15" hidden="false" customHeight="false" outlineLevel="0" collapsed="false">
      <c r="A2262" s="4" t="s">
        <v>1987</v>
      </c>
      <c r="B2262" s="4" t="s">
        <v>3052</v>
      </c>
      <c r="C2262" s="4" t="s">
        <v>3053</v>
      </c>
      <c r="D2262" s="12" t="n">
        <v>2019</v>
      </c>
      <c r="E2262" s="4"/>
      <c r="F2262" s="4" t="s">
        <v>1990</v>
      </c>
      <c r="G2262" s="4" t="s">
        <v>1991</v>
      </c>
      <c r="H2262" s="4" t="s">
        <v>1992</v>
      </c>
      <c r="I2262" s="4"/>
      <c r="J2262" s="4" t="s">
        <v>579</v>
      </c>
      <c r="K2262" s="4" t="s">
        <v>99</v>
      </c>
      <c r="L2262" s="4" t="s">
        <v>100</v>
      </c>
      <c r="M2262" s="4" t="s">
        <v>1993</v>
      </c>
      <c r="N2262" s="4" t="s">
        <v>2001</v>
      </c>
      <c r="O2262" s="4" t="s">
        <v>2002</v>
      </c>
      <c r="P2262" s="4" t="s">
        <v>72</v>
      </c>
      <c r="Q2262" s="4" t="s">
        <v>2079</v>
      </c>
      <c r="R2262" s="4" t="s">
        <v>1997</v>
      </c>
      <c r="S2262" s="4"/>
      <c r="T2262" s="4"/>
      <c r="U2262" s="4"/>
      <c r="V2262" s="4"/>
      <c r="W2262" s="4"/>
      <c r="X2262" s="4"/>
      <c r="Y2262" s="4"/>
      <c r="Z2262" s="4"/>
      <c r="AA2262" s="4"/>
      <c r="AB2262" s="4"/>
      <c r="AC2262" s="4"/>
      <c r="AD2262" s="4"/>
      <c r="AE2262" s="4"/>
      <c r="AF2262" s="4"/>
      <c r="AG2262" s="4"/>
      <c r="AH2262" s="4"/>
      <c r="AI2262" s="4"/>
      <c r="AJ2262" s="4"/>
      <c r="AK2262" s="4"/>
      <c r="AL2262" s="4"/>
      <c r="AM2262" s="4" t="s">
        <v>2080</v>
      </c>
    </row>
    <row r="2263" customFormat="false" ht="23.85" hidden="false" customHeight="false" outlineLevel="0" collapsed="false">
      <c r="A2263" s="4" t="s">
        <v>1987</v>
      </c>
      <c r="B2263" s="4" t="s">
        <v>3054</v>
      </c>
      <c r="C2263" s="4" t="s">
        <v>3055</v>
      </c>
      <c r="D2263" s="12" t="n">
        <v>2019</v>
      </c>
      <c r="E2263" s="4"/>
      <c r="F2263" s="4" t="s">
        <v>1990</v>
      </c>
      <c r="G2263" s="4" t="s">
        <v>1991</v>
      </c>
      <c r="H2263" s="4" t="s">
        <v>1992</v>
      </c>
      <c r="I2263" s="4"/>
      <c r="J2263" s="4" t="s">
        <v>580</v>
      </c>
      <c r="K2263" s="4" t="s">
        <v>99</v>
      </c>
      <c r="L2263" s="4" t="s">
        <v>100</v>
      </c>
      <c r="M2263" s="4" t="s">
        <v>1993</v>
      </c>
      <c r="N2263" s="4" t="s">
        <v>2001</v>
      </c>
      <c r="O2263" s="4" t="s">
        <v>2002</v>
      </c>
      <c r="P2263" s="4" t="s">
        <v>68</v>
      </c>
      <c r="Q2263" s="4" t="s">
        <v>2111</v>
      </c>
      <c r="R2263" s="4" t="s">
        <v>1997</v>
      </c>
      <c r="S2263" s="4"/>
      <c r="T2263" s="4"/>
      <c r="U2263" s="4"/>
      <c r="V2263" s="4"/>
      <c r="W2263" s="4"/>
      <c r="X2263" s="4"/>
      <c r="Y2263" s="4"/>
      <c r="Z2263" s="4"/>
      <c r="AA2263" s="4"/>
      <c r="AB2263" s="4"/>
      <c r="AC2263" s="4"/>
      <c r="AD2263" s="4"/>
      <c r="AE2263" s="4"/>
      <c r="AF2263" s="4"/>
      <c r="AG2263" s="4"/>
      <c r="AH2263" s="4"/>
      <c r="AI2263" s="4"/>
      <c r="AJ2263" s="4"/>
      <c r="AK2263" s="4"/>
      <c r="AL2263" s="4"/>
      <c r="AM2263" s="4" t="s">
        <v>2112</v>
      </c>
    </row>
    <row r="2264" customFormat="false" ht="23.85" hidden="false" customHeight="false" outlineLevel="0" collapsed="false">
      <c r="A2264" s="4" t="s">
        <v>1987</v>
      </c>
      <c r="B2264" s="4" t="s">
        <v>3056</v>
      </c>
      <c r="C2264" s="4" t="s">
        <v>3057</v>
      </c>
      <c r="D2264" s="12" t="n">
        <v>2019</v>
      </c>
      <c r="E2264" s="4"/>
      <c r="F2264" s="4" t="s">
        <v>1990</v>
      </c>
      <c r="G2264" s="4" t="s">
        <v>1991</v>
      </c>
      <c r="H2264" s="4" t="s">
        <v>1992</v>
      </c>
      <c r="I2264" s="4"/>
      <c r="J2264" s="4" t="s">
        <v>582</v>
      </c>
      <c r="K2264" s="4" t="s">
        <v>99</v>
      </c>
      <c r="L2264" s="4" t="s">
        <v>100</v>
      </c>
      <c r="M2264" s="4" t="s">
        <v>1993</v>
      </c>
      <c r="N2264" s="4" t="s">
        <v>2001</v>
      </c>
      <c r="O2264" s="4" t="s">
        <v>2002</v>
      </c>
      <c r="P2264" s="4" t="s">
        <v>67</v>
      </c>
      <c r="Q2264" s="4" t="s">
        <v>2151</v>
      </c>
      <c r="R2264" s="4" t="s">
        <v>1997</v>
      </c>
      <c r="S2264" s="4"/>
      <c r="T2264" s="4"/>
      <c r="U2264" s="4"/>
      <c r="V2264" s="4"/>
      <c r="W2264" s="4"/>
      <c r="X2264" s="4"/>
      <c r="Y2264" s="4"/>
      <c r="Z2264" s="4"/>
      <c r="AA2264" s="4"/>
      <c r="AB2264" s="4"/>
      <c r="AC2264" s="4"/>
      <c r="AD2264" s="4"/>
      <c r="AE2264" s="4"/>
      <c r="AF2264" s="4"/>
      <c r="AG2264" s="4"/>
      <c r="AH2264" s="4"/>
      <c r="AI2264" s="4"/>
      <c r="AJ2264" s="4"/>
      <c r="AK2264" s="4"/>
      <c r="AL2264" s="4"/>
      <c r="AM2264" s="4" t="s">
        <v>2152</v>
      </c>
    </row>
    <row r="2265" customFormat="false" ht="23.85" hidden="false" customHeight="false" outlineLevel="0" collapsed="false">
      <c r="A2265" s="4" t="s">
        <v>1987</v>
      </c>
      <c r="B2265" s="4" t="s">
        <v>3058</v>
      </c>
      <c r="C2265" s="4" t="s">
        <v>3059</v>
      </c>
      <c r="D2265" s="12" t="n">
        <v>2019</v>
      </c>
      <c r="E2265" s="4"/>
      <c r="F2265" s="4" t="s">
        <v>1990</v>
      </c>
      <c r="G2265" s="4" t="s">
        <v>1991</v>
      </c>
      <c r="H2265" s="4" t="s">
        <v>1992</v>
      </c>
      <c r="I2265" s="4"/>
      <c r="J2265" s="4" t="s">
        <v>582</v>
      </c>
      <c r="K2265" s="4" t="s">
        <v>99</v>
      </c>
      <c r="L2265" s="4" t="s">
        <v>100</v>
      </c>
      <c r="M2265" s="4" t="s">
        <v>2155</v>
      </c>
      <c r="N2265" s="4" t="s">
        <v>1994</v>
      </c>
      <c r="O2265" s="4" t="s">
        <v>2156</v>
      </c>
      <c r="P2265" s="4" t="s">
        <v>67</v>
      </c>
      <c r="Q2265" s="4" t="s">
        <v>2151</v>
      </c>
      <c r="R2265" s="4" t="s">
        <v>1997</v>
      </c>
      <c r="S2265" s="4"/>
      <c r="T2265" s="4"/>
      <c r="U2265" s="4"/>
      <c r="V2265" s="4"/>
      <c r="W2265" s="4"/>
      <c r="X2265" s="4"/>
      <c r="Y2265" s="4"/>
      <c r="Z2265" s="4"/>
      <c r="AA2265" s="4"/>
      <c r="AB2265" s="4"/>
      <c r="AC2265" s="4"/>
      <c r="AD2265" s="4"/>
      <c r="AE2265" s="4"/>
      <c r="AF2265" s="4"/>
      <c r="AG2265" s="4"/>
      <c r="AH2265" s="4"/>
      <c r="AI2265" s="4"/>
      <c r="AJ2265" s="4"/>
      <c r="AK2265" s="4"/>
      <c r="AL2265" s="4"/>
      <c r="AM2265" s="4" t="s">
        <v>2157</v>
      </c>
    </row>
    <row r="2266" customFormat="false" ht="23.85" hidden="false" customHeight="false" outlineLevel="0" collapsed="false">
      <c r="A2266" s="4" t="s">
        <v>1987</v>
      </c>
      <c r="B2266" s="4" t="s">
        <v>3060</v>
      </c>
      <c r="C2266" s="4" t="s">
        <v>3061</v>
      </c>
      <c r="D2266" s="12" t="n">
        <v>2019</v>
      </c>
      <c r="E2266" s="4"/>
      <c r="F2266" s="4" t="s">
        <v>1990</v>
      </c>
      <c r="G2266" s="4" t="s">
        <v>1991</v>
      </c>
      <c r="H2266" s="4" t="s">
        <v>1992</v>
      </c>
      <c r="I2266" s="4"/>
      <c r="J2266" s="4" t="s">
        <v>582</v>
      </c>
      <c r="K2266" s="4" t="s">
        <v>99</v>
      </c>
      <c r="L2266" s="4" t="s">
        <v>100</v>
      </c>
      <c r="M2266" s="4" t="s">
        <v>2155</v>
      </c>
      <c r="N2266" s="4" t="s">
        <v>2001</v>
      </c>
      <c r="O2266" s="4" t="s">
        <v>2160</v>
      </c>
      <c r="P2266" s="4" t="s">
        <v>64</v>
      </c>
      <c r="Q2266" s="4" t="s">
        <v>2151</v>
      </c>
      <c r="R2266" s="4" t="s">
        <v>1997</v>
      </c>
      <c r="S2266" s="4"/>
      <c r="T2266" s="4"/>
      <c r="U2266" s="4"/>
      <c r="V2266" s="4"/>
      <c r="W2266" s="4"/>
      <c r="X2266" s="4"/>
      <c r="Y2266" s="4"/>
      <c r="Z2266" s="4"/>
      <c r="AA2266" s="4"/>
      <c r="AB2266" s="4"/>
      <c r="AC2266" s="4"/>
      <c r="AD2266" s="4"/>
      <c r="AE2266" s="4"/>
      <c r="AF2266" s="4"/>
      <c r="AG2266" s="4"/>
      <c r="AH2266" s="4"/>
      <c r="AI2266" s="4"/>
      <c r="AJ2266" s="4"/>
      <c r="AK2266" s="4"/>
      <c r="AL2266" s="4"/>
      <c r="AM2266" s="4" t="s">
        <v>2161</v>
      </c>
    </row>
    <row r="2267" customFormat="false" ht="23.85" hidden="false" customHeight="false" outlineLevel="0" collapsed="false">
      <c r="A2267" s="4" t="s">
        <v>1987</v>
      </c>
      <c r="B2267" s="4" t="s">
        <v>3062</v>
      </c>
      <c r="C2267" s="4" t="s">
        <v>3063</v>
      </c>
      <c r="D2267" s="12" t="n">
        <v>2019</v>
      </c>
      <c r="E2267" s="4"/>
      <c r="F2267" s="4" t="s">
        <v>1990</v>
      </c>
      <c r="G2267" s="4" t="s">
        <v>1991</v>
      </c>
      <c r="H2267" s="4" t="s">
        <v>1992</v>
      </c>
      <c r="I2267" s="4"/>
      <c r="J2267" s="4" t="s">
        <v>584</v>
      </c>
      <c r="K2267" s="4" t="s">
        <v>101</v>
      </c>
      <c r="L2267" s="4" t="s">
        <v>102</v>
      </c>
      <c r="M2267" s="4" t="s">
        <v>1993</v>
      </c>
      <c r="N2267" s="4" t="s">
        <v>1994</v>
      </c>
      <c r="O2267" s="4" t="s">
        <v>2029</v>
      </c>
      <c r="P2267" s="4" t="s">
        <v>69</v>
      </c>
      <c r="Q2267" s="4" t="s">
        <v>2030</v>
      </c>
      <c r="R2267" s="4" t="s">
        <v>1997</v>
      </c>
      <c r="S2267" s="4"/>
      <c r="T2267" s="4"/>
      <c r="U2267" s="4"/>
      <c r="V2267" s="4"/>
      <c r="W2267" s="4"/>
      <c r="X2267" s="4"/>
      <c r="Y2267" s="4"/>
      <c r="Z2267" s="4"/>
      <c r="AA2267" s="4"/>
      <c r="AB2267" s="4"/>
      <c r="AC2267" s="4"/>
      <c r="AD2267" s="4"/>
      <c r="AE2267" s="4"/>
      <c r="AF2267" s="4"/>
      <c r="AG2267" s="4"/>
      <c r="AH2267" s="4"/>
      <c r="AI2267" s="4"/>
      <c r="AJ2267" s="4"/>
      <c r="AK2267" s="4"/>
      <c r="AL2267" s="4"/>
      <c r="AM2267" s="4" t="s">
        <v>2031</v>
      </c>
    </row>
    <row r="2268" customFormat="false" ht="23.85" hidden="false" customHeight="false" outlineLevel="0" collapsed="false">
      <c r="A2268" s="4" t="s">
        <v>1987</v>
      </c>
      <c r="B2268" s="4" t="s">
        <v>3064</v>
      </c>
      <c r="C2268" s="4" t="s">
        <v>3065</v>
      </c>
      <c r="D2268" s="12" t="n">
        <v>2019</v>
      </c>
      <c r="E2268" s="4"/>
      <c r="F2268" s="4" t="s">
        <v>1990</v>
      </c>
      <c r="G2268" s="4" t="s">
        <v>1991</v>
      </c>
      <c r="H2268" s="4" t="s">
        <v>1992</v>
      </c>
      <c r="I2268" s="4"/>
      <c r="J2268" s="4" t="s">
        <v>585</v>
      </c>
      <c r="K2268" s="4" t="s">
        <v>101</v>
      </c>
      <c r="L2268" s="4" t="s">
        <v>102</v>
      </c>
      <c r="M2268" s="4" t="s">
        <v>1993</v>
      </c>
      <c r="N2268" s="4" t="s">
        <v>2001</v>
      </c>
      <c r="O2268" s="4" t="s">
        <v>2091</v>
      </c>
      <c r="P2268" s="4" t="s">
        <v>69</v>
      </c>
      <c r="Q2268" s="4" t="s">
        <v>2030</v>
      </c>
      <c r="R2268" s="4" t="s">
        <v>1997</v>
      </c>
      <c r="S2268" s="4"/>
      <c r="T2268" s="4"/>
      <c r="U2268" s="4"/>
      <c r="V2268" s="4"/>
      <c r="W2268" s="4"/>
      <c r="X2268" s="4"/>
      <c r="Y2268" s="4"/>
      <c r="Z2268" s="4"/>
      <c r="AA2268" s="4"/>
      <c r="AB2268" s="4"/>
      <c r="AC2268" s="4"/>
      <c r="AD2268" s="4"/>
      <c r="AE2268" s="4"/>
      <c r="AF2268" s="4"/>
      <c r="AG2268" s="4"/>
      <c r="AH2268" s="4"/>
      <c r="AI2268" s="4"/>
      <c r="AJ2268" s="4"/>
      <c r="AK2268" s="4"/>
      <c r="AL2268" s="4"/>
      <c r="AM2268" s="4" t="s">
        <v>2092</v>
      </c>
    </row>
    <row r="2269" customFormat="false" ht="23.85" hidden="false" customHeight="false" outlineLevel="0" collapsed="false">
      <c r="A2269" s="4" t="s">
        <v>1987</v>
      </c>
      <c r="B2269" s="4" t="s">
        <v>3066</v>
      </c>
      <c r="C2269" s="4" t="s">
        <v>3067</v>
      </c>
      <c r="D2269" s="12" t="n">
        <v>2019</v>
      </c>
      <c r="E2269" s="4"/>
      <c r="F2269" s="4" t="s">
        <v>1990</v>
      </c>
      <c r="G2269" s="4" t="s">
        <v>1991</v>
      </c>
      <c r="H2269" s="4" t="s">
        <v>1992</v>
      </c>
      <c r="I2269" s="4"/>
      <c r="J2269" s="4" t="s">
        <v>586</v>
      </c>
      <c r="K2269" s="4" t="s">
        <v>101</v>
      </c>
      <c r="L2269" s="4" t="s">
        <v>102</v>
      </c>
      <c r="M2269" s="4" t="s">
        <v>1993</v>
      </c>
      <c r="N2269" s="4" t="s">
        <v>2001</v>
      </c>
      <c r="O2269" s="4" t="s">
        <v>2034</v>
      </c>
      <c r="P2269" s="4" t="s">
        <v>74</v>
      </c>
      <c r="Q2269" s="4" t="s">
        <v>2035</v>
      </c>
      <c r="R2269" s="4" t="s">
        <v>2036</v>
      </c>
      <c r="S2269" s="4"/>
      <c r="T2269" s="4"/>
      <c r="U2269" s="4"/>
      <c r="V2269" s="4"/>
      <c r="W2269" s="4"/>
      <c r="X2269" s="4"/>
      <c r="Y2269" s="4"/>
      <c r="Z2269" s="4"/>
      <c r="AA2269" s="4"/>
      <c r="AB2269" s="4"/>
      <c r="AC2269" s="4"/>
      <c r="AD2269" s="4"/>
      <c r="AE2269" s="4"/>
      <c r="AF2269" s="4"/>
      <c r="AG2269" s="4"/>
      <c r="AH2269" s="4"/>
      <c r="AI2269" s="4"/>
      <c r="AJ2269" s="4"/>
      <c r="AK2269" s="4"/>
      <c r="AL2269" s="4"/>
      <c r="AM2269" s="4" t="s">
        <v>2037</v>
      </c>
    </row>
    <row r="2270" customFormat="false" ht="23.85" hidden="false" customHeight="false" outlineLevel="0" collapsed="false">
      <c r="A2270" s="4" t="s">
        <v>1987</v>
      </c>
      <c r="B2270" s="4" t="s">
        <v>3068</v>
      </c>
      <c r="C2270" s="4" t="s">
        <v>3069</v>
      </c>
      <c r="D2270" s="12" t="n">
        <v>2019</v>
      </c>
      <c r="E2270" s="4"/>
      <c r="F2270" s="4" t="s">
        <v>1990</v>
      </c>
      <c r="G2270" s="4" t="s">
        <v>1991</v>
      </c>
      <c r="H2270" s="4" t="s">
        <v>1992</v>
      </c>
      <c r="I2270" s="4"/>
      <c r="J2270" s="4" t="s">
        <v>588</v>
      </c>
      <c r="K2270" s="4" t="s">
        <v>101</v>
      </c>
      <c r="L2270" s="4" t="s">
        <v>102</v>
      </c>
      <c r="M2270" s="4" t="s">
        <v>1993</v>
      </c>
      <c r="N2270" s="4" t="s">
        <v>2001</v>
      </c>
      <c r="O2270" s="4" t="s">
        <v>2002</v>
      </c>
      <c r="P2270" s="4" t="s">
        <v>67</v>
      </c>
      <c r="Q2270" s="4" t="s">
        <v>2003</v>
      </c>
      <c r="R2270" s="4" t="s">
        <v>2004</v>
      </c>
      <c r="S2270" s="4"/>
      <c r="T2270" s="4"/>
      <c r="U2270" s="4"/>
      <c r="V2270" s="4"/>
      <c r="W2270" s="4"/>
      <c r="X2270" s="4"/>
      <c r="Y2270" s="4"/>
      <c r="Z2270" s="4"/>
      <c r="AA2270" s="4"/>
      <c r="AB2270" s="4"/>
      <c r="AC2270" s="4"/>
      <c r="AD2270" s="4"/>
      <c r="AE2270" s="4"/>
      <c r="AF2270" s="4"/>
      <c r="AG2270" s="4"/>
      <c r="AH2270" s="4"/>
      <c r="AI2270" s="4"/>
      <c r="AJ2270" s="4"/>
      <c r="AK2270" s="4"/>
      <c r="AL2270" s="4"/>
      <c r="AM2270" s="4" t="s">
        <v>2005</v>
      </c>
    </row>
    <row r="2271" customFormat="false" ht="23.85" hidden="false" customHeight="false" outlineLevel="0" collapsed="false">
      <c r="A2271" s="4" t="s">
        <v>1987</v>
      </c>
      <c r="B2271" s="4" t="s">
        <v>3070</v>
      </c>
      <c r="C2271" s="4" t="s">
        <v>3071</v>
      </c>
      <c r="D2271" s="12" t="n">
        <v>2019</v>
      </c>
      <c r="E2271" s="4"/>
      <c r="F2271" s="4" t="s">
        <v>1990</v>
      </c>
      <c r="G2271" s="4" t="s">
        <v>1991</v>
      </c>
      <c r="H2271" s="4" t="s">
        <v>1992</v>
      </c>
      <c r="I2271" s="4"/>
      <c r="J2271" s="4" t="s">
        <v>589</v>
      </c>
      <c r="K2271" s="4" t="s">
        <v>101</v>
      </c>
      <c r="L2271" s="4" t="s">
        <v>102</v>
      </c>
      <c r="M2271" s="4" t="s">
        <v>1993</v>
      </c>
      <c r="N2271" s="4" t="s">
        <v>2001</v>
      </c>
      <c r="O2271" s="4" t="s">
        <v>2002</v>
      </c>
      <c r="P2271" s="4" t="s">
        <v>67</v>
      </c>
      <c r="Q2271" s="4" t="s">
        <v>2008</v>
      </c>
      <c r="R2271" s="4" t="s">
        <v>2004</v>
      </c>
      <c r="S2271" s="4"/>
      <c r="T2271" s="4"/>
      <c r="U2271" s="4"/>
      <c r="V2271" s="4"/>
      <c r="W2271" s="4"/>
      <c r="X2271" s="4"/>
      <c r="Y2271" s="4"/>
      <c r="Z2271" s="4"/>
      <c r="AA2271" s="4"/>
      <c r="AB2271" s="4"/>
      <c r="AC2271" s="4"/>
      <c r="AD2271" s="4"/>
      <c r="AE2271" s="4"/>
      <c r="AF2271" s="4"/>
      <c r="AG2271" s="4"/>
      <c r="AH2271" s="4"/>
      <c r="AI2271" s="4"/>
      <c r="AJ2271" s="4"/>
      <c r="AK2271" s="4"/>
      <c r="AL2271" s="4"/>
      <c r="AM2271" s="4" t="s">
        <v>2009</v>
      </c>
    </row>
    <row r="2272" customFormat="false" ht="23.85" hidden="false" customHeight="false" outlineLevel="0" collapsed="false">
      <c r="A2272" s="4" t="s">
        <v>1987</v>
      </c>
      <c r="B2272" s="4" t="s">
        <v>3072</v>
      </c>
      <c r="C2272" s="4" t="s">
        <v>3073</v>
      </c>
      <c r="D2272" s="12" t="n">
        <v>2019</v>
      </c>
      <c r="E2272" s="4"/>
      <c r="F2272" s="4" t="s">
        <v>1990</v>
      </c>
      <c r="G2272" s="4" t="s">
        <v>1991</v>
      </c>
      <c r="H2272" s="4" t="s">
        <v>1992</v>
      </c>
      <c r="I2272" s="4"/>
      <c r="J2272" s="4" t="s">
        <v>594</v>
      </c>
      <c r="K2272" s="4" t="s">
        <v>101</v>
      </c>
      <c r="L2272" s="4" t="s">
        <v>102</v>
      </c>
      <c r="M2272" s="4" t="s">
        <v>1993</v>
      </c>
      <c r="N2272" s="4" t="s">
        <v>2001</v>
      </c>
      <c r="O2272" s="4" t="s">
        <v>2002</v>
      </c>
      <c r="P2272" s="4" t="s">
        <v>68</v>
      </c>
      <c r="Q2272" s="4" t="s">
        <v>2111</v>
      </c>
      <c r="R2272" s="4" t="s">
        <v>1997</v>
      </c>
      <c r="S2272" s="4"/>
      <c r="T2272" s="4"/>
      <c r="U2272" s="4"/>
      <c r="V2272" s="4"/>
      <c r="W2272" s="4"/>
      <c r="X2272" s="4"/>
      <c r="Y2272" s="4"/>
      <c r="Z2272" s="4"/>
      <c r="AA2272" s="4"/>
      <c r="AB2272" s="4"/>
      <c r="AC2272" s="4"/>
      <c r="AD2272" s="4"/>
      <c r="AE2272" s="4"/>
      <c r="AF2272" s="4"/>
      <c r="AG2272" s="4"/>
      <c r="AH2272" s="4"/>
      <c r="AI2272" s="4"/>
      <c r="AJ2272" s="4"/>
      <c r="AK2272" s="4"/>
      <c r="AL2272" s="4"/>
      <c r="AM2272" s="4" t="s">
        <v>2112</v>
      </c>
    </row>
    <row r="2273" customFormat="false" ht="23.85" hidden="false" customHeight="false" outlineLevel="0" collapsed="false">
      <c r="A2273" s="4" t="s">
        <v>1987</v>
      </c>
      <c r="B2273" s="4" t="s">
        <v>3074</v>
      </c>
      <c r="C2273" s="4" t="s">
        <v>3075</v>
      </c>
      <c r="D2273" s="12" t="n">
        <v>2019</v>
      </c>
      <c r="E2273" s="4"/>
      <c r="F2273" s="4" t="s">
        <v>1990</v>
      </c>
      <c r="G2273" s="4" t="s">
        <v>1991</v>
      </c>
      <c r="H2273" s="4" t="s">
        <v>1992</v>
      </c>
      <c r="I2273" s="4"/>
      <c r="J2273" s="4" t="s">
        <v>598</v>
      </c>
      <c r="K2273" s="4" t="s">
        <v>103</v>
      </c>
      <c r="L2273" s="4" t="s">
        <v>104</v>
      </c>
      <c r="M2273" s="4" t="s">
        <v>1993</v>
      </c>
      <c r="N2273" s="4" t="s">
        <v>1994</v>
      </c>
      <c r="O2273" s="4" t="s">
        <v>2029</v>
      </c>
      <c r="P2273" s="4" t="s">
        <v>69</v>
      </c>
      <c r="Q2273" s="4" t="s">
        <v>2030</v>
      </c>
      <c r="R2273" s="4" t="s">
        <v>1997</v>
      </c>
      <c r="S2273" s="4"/>
      <c r="T2273" s="4"/>
      <c r="U2273" s="4"/>
      <c r="V2273" s="4"/>
      <c r="W2273" s="4"/>
      <c r="X2273" s="4"/>
      <c r="Y2273" s="4"/>
      <c r="Z2273" s="4"/>
      <c r="AA2273" s="4"/>
      <c r="AB2273" s="4"/>
      <c r="AC2273" s="4"/>
      <c r="AD2273" s="4"/>
      <c r="AE2273" s="4"/>
      <c r="AF2273" s="4"/>
      <c r="AG2273" s="4"/>
      <c r="AH2273" s="4"/>
      <c r="AI2273" s="4"/>
      <c r="AJ2273" s="4"/>
      <c r="AK2273" s="4"/>
      <c r="AL2273" s="4"/>
      <c r="AM2273" s="4" t="s">
        <v>2031</v>
      </c>
    </row>
    <row r="2274" customFormat="false" ht="23.85" hidden="false" customHeight="false" outlineLevel="0" collapsed="false">
      <c r="A2274" s="4" t="s">
        <v>1987</v>
      </c>
      <c r="B2274" s="4" t="s">
        <v>3076</v>
      </c>
      <c r="C2274" s="4" t="s">
        <v>3077</v>
      </c>
      <c r="D2274" s="12" t="n">
        <v>2019</v>
      </c>
      <c r="E2274" s="4"/>
      <c r="F2274" s="4" t="s">
        <v>1990</v>
      </c>
      <c r="G2274" s="4" t="s">
        <v>1991</v>
      </c>
      <c r="H2274" s="4" t="s">
        <v>1992</v>
      </c>
      <c r="I2274" s="4"/>
      <c r="J2274" s="4" t="s">
        <v>599</v>
      </c>
      <c r="K2274" s="4" t="s">
        <v>103</v>
      </c>
      <c r="L2274" s="4" t="s">
        <v>104</v>
      </c>
      <c r="M2274" s="4" t="s">
        <v>1993</v>
      </c>
      <c r="N2274" s="4" t="s">
        <v>2001</v>
      </c>
      <c r="O2274" s="4" t="s">
        <v>2091</v>
      </c>
      <c r="P2274" s="4" t="s">
        <v>69</v>
      </c>
      <c r="Q2274" s="4" t="s">
        <v>2030</v>
      </c>
      <c r="R2274" s="4" t="s">
        <v>1997</v>
      </c>
      <c r="S2274" s="4"/>
      <c r="T2274" s="4"/>
      <c r="U2274" s="4"/>
      <c r="V2274" s="4"/>
      <c r="W2274" s="4"/>
      <c r="X2274" s="4"/>
      <c r="Y2274" s="4"/>
      <c r="Z2274" s="4"/>
      <c r="AA2274" s="4"/>
      <c r="AB2274" s="4"/>
      <c r="AC2274" s="4"/>
      <c r="AD2274" s="4"/>
      <c r="AE2274" s="4"/>
      <c r="AF2274" s="4"/>
      <c r="AG2274" s="4"/>
      <c r="AH2274" s="4"/>
      <c r="AI2274" s="4"/>
      <c r="AJ2274" s="4"/>
      <c r="AK2274" s="4"/>
      <c r="AL2274" s="4"/>
      <c r="AM2274" s="4" t="s">
        <v>2092</v>
      </c>
    </row>
    <row r="2275" customFormat="false" ht="23.85" hidden="false" customHeight="false" outlineLevel="0" collapsed="false">
      <c r="A2275" s="4" t="s">
        <v>1987</v>
      </c>
      <c r="B2275" s="4" t="s">
        <v>3078</v>
      </c>
      <c r="C2275" s="4" t="s">
        <v>3079</v>
      </c>
      <c r="D2275" s="12" t="n">
        <v>2019</v>
      </c>
      <c r="E2275" s="4"/>
      <c r="F2275" s="4" t="s">
        <v>1990</v>
      </c>
      <c r="G2275" s="4" t="s">
        <v>1991</v>
      </c>
      <c r="H2275" s="4" t="s">
        <v>1992</v>
      </c>
      <c r="I2275" s="4"/>
      <c r="J2275" s="4" t="s">
        <v>600</v>
      </c>
      <c r="K2275" s="4" t="s">
        <v>103</v>
      </c>
      <c r="L2275" s="4" t="s">
        <v>104</v>
      </c>
      <c r="M2275" s="4" t="s">
        <v>1993</v>
      </c>
      <c r="N2275" s="4" t="s">
        <v>2001</v>
      </c>
      <c r="O2275" s="4" t="s">
        <v>2034</v>
      </c>
      <c r="P2275" s="4" t="s">
        <v>74</v>
      </c>
      <c r="Q2275" s="4" t="s">
        <v>2035</v>
      </c>
      <c r="R2275" s="4" t="s">
        <v>2036</v>
      </c>
      <c r="S2275" s="4"/>
      <c r="T2275" s="4"/>
      <c r="U2275" s="4"/>
      <c r="V2275" s="4"/>
      <c r="W2275" s="4"/>
      <c r="X2275" s="4"/>
      <c r="Y2275" s="4"/>
      <c r="Z2275" s="4"/>
      <c r="AA2275" s="4"/>
      <c r="AB2275" s="4"/>
      <c r="AC2275" s="4"/>
      <c r="AD2275" s="4"/>
      <c r="AE2275" s="4"/>
      <c r="AF2275" s="4"/>
      <c r="AG2275" s="4"/>
      <c r="AH2275" s="4"/>
      <c r="AI2275" s="4"/>
      <c r="AJ2275" s="4"/>
      <c r="AK2275" s="4"/>
      <c r="AL2275" s="4"/>
      <c r="AM2275" s="4" t="s">
        <v>2037</v>
      </c>
    </row>
    <row r="2276" customFormat="false" ht="15" hidden="false" customHeight="false" outlineLevel="0" collapsed="false">
      <c r="A2276" s="4" t="s">
        <v>1987</v>
      </c>
      <c r="B2276" s="4" t="s">
        <v>3080</v>
      </c>
      <c r="C2276" s="4" t="s">
        <v>3081</v>
      </c>
      <c r="D2276" s="12" t="n">
        <v>2019</v>
      </c>
      <c r="E2276" s="4"/>
      <c r="F2276" s="4" t="s">
        <v>1990</v>
      </c>
      <c r="G2276" s="4" t="s">
        <v>1991</v>
      </c>
      <c r="H2276" s="4" t="s">
        <v>1992</v>
      </c>
      <c r="I2276" s="4"/>
      <c r="J2276" s="4" t="s">
        <v>605</v>
      </c>
      <c r="K2276" s="4" t="s">
        <v>103</v>
      </c>
      <c r="L2276" s="4" t="s">
        <v>104</v>
      </c>
      <c r="M2276" s="4" t="s">
        <v>1993</v>
      </c>
      <c r="N2276" s="4" t="s">
        <v>2001</v>
      </c>
      <c r="O2276" s="4" t="s">
        <v>2002</v>
      </c>
      <c r="P2276" s="4" t="s">
        <v>71</v>
      </c>
      <c r="Q2276" s="4" t="s">
        <v>2123</v>
      </c>
      <c r="R2276" s="4" t="s">
        <v>1997</v>
      </c>
      <c r="S2276" s="4"/>
      <c r="T2276" s="4"/>
      <c r="U2276" s="4"/>
      <c r="V2276" s="4"/>
      <c r="W2276" s="4"/>
      <c r="X2276" s="4"/>
      <c r="Y2276" s="4"/>
      <c r="Z2276" s="4"/>
      <c r="AA2276" s="4"/>
      <c r="AB2276" s="4"/>
      <c r="AC2276" s="4"/>
      <c r="AD2276" s="4"/>
      <c r="AE2276" s="4"/>
      <c r="AF2276" s="4"/>
      <c r="AG2276" s="4"/>
      <c r="AH2276" s="4"/>
      <c r="AI2276" s="4"/>
      <c r="AJ2276" s="4"/>
      <c r="AK2276" s="4"/>
      <c r="AL2276" s="4"/>
      <c r="AM2276" s="4" t="s">
        <v>2124</v>
      </c>
    </row>
    <row r="2277" customFormat="false" ht="15" hidden="false" customHeight="false" outlineLevel="0" collapsed="false">
      <c r="A2277" s="4" t="s">
        <v>1987</v>
      </c>
      <c r="B2277" s="4" t="s">
        <v>3082</v>
      </c>
      <c r="C2277" s="4" t="s">
        <v>3083</v>
      </c>
      <c r="D2277" s="12" t="n">
        <v>2019</v>
      </c>
      <c r="E2277" s="4"/>
      <c r="F2277" s="4" t="s">
        <v>1990</v>
      </c>
      <c r="G2277" s="4" t="s">
        <v>1991</v>
      </c>
      <c r="H2277" s="4" t="s">
        <v>1992</v>
      </c>
      <c r="I2277" s="4"/>
      <c r="J2277" s="4" t="s">
        <v>607</v>
      </c>
      <c r="K2277" s="4" t="s">
        <v>103</v>
      </c>
      <c r="L2277" s="4" t="s">
        <v>104</v>
      </c>
      <c r="M2277" s="4" t="s">
        <v>1993</v>
      </c>
      <c r="N2277" s="4" t="s">
        <v>2001</v>
      </c>
      <c r="O2277" s="4" t="s">
        <v>2002</v>
      </c>
      <c r="P2277" s="4" t="s">
        <v>72</v>
      </c>
      <c r="Q2277" s="4" t="s">
        <v>2079</v>
      </c>
      <c r="R2277" s="4" t="s">
        <v>1997</v>
      </c>
      <c r="S2277" s="4"/>
      <c r="T2277" s="4"/>
      <c r="U2277" s="4"/>
      <c r="V2277" s="4"/>
      <c r="W2277" s="4"/>
      <c r="X2277" s="4"/>
      <c r="Y2277" s="4"/>
      <c r="Z2277" s="4"/>
      <c r="AA2277" s="4"/>
      <c r="AB2277" s="4"/>
      <c r="AC2277" s="4"/>
      <c r="AD2277" s="4"/>
      <c r="AE2277" s="4"/>
      <c r="AF2277" s="4"/>
      <c r="AG2277" s="4"/>
      <c r="AH2277" s="4"/>
      <c r="AI2277" s="4"/>
      <c r="AJ2277" s="4"/>
      <c r="AK2277" s="4"/>
      <c r="AL2277" s="4"/>
      <c r="AM2277" s="4" t="s">
        <v>2080</v>
      </c>
    </row>
    <row r="2278" customFormat="false" ht="23.85" hidden="false" customHeight="false" outlineLevel="0" collapsed="false">
      <c r="A2278" s="4" t="s">
        <v>1987</v>
      </c>
      <c r="B2278" s="4" t="s">
        <v>3084</v>
      </c>
      <c r="C2278" s="4" t="s">
        <v>3085</v>
      </c>
      <c r="D2278" s="12" t="n">
        <v>2019</v>
      </c>
      <c r="E2278" s="4"/>
      <c r="F2278" s="4" t="s">
        <v>1990</v>
      </c>
      <c r="G2278" s="4" t="s">
        <v>1991</v>
      </c>
      <c r="H2278" s="4" t="s">
        <v>1992</v>
      </c>
      <c r="I2278" s="4"/>
      <c r="J2278" s="4" t="s">
        <v>608</v>
      </c>
      <c r="K2278" s="4" t="s">
        <v>103</v>
      </c>
      <c r="L2278" s="4" t="s">
        <v>104</v>
      </c>
      <c r="M2278" s="4" t="s">
        <v>1993</v>
      </c>
      <c r="N2278" s="4" t="s">
        <v>2001</v>
      </c>
      <c r="O2278" s="4" t="s">
        <v>2002</v>
      </c>
      <c r="P2278" s="4" t="s">
        <v>68</v>
      </c>
      <c r="Q2278" s="4" t="s">
        <v>2111</v>
      </c>
      <c r="R2278" s="4" t="s">
        <v>1997</v>
      </c>
      <c r="S2278" s="4"/>
      <c r="T2278" s="4"/>
      <c r="U2278" s="4"/>
      <c r="V2278" s="4"/>
      <c r="W2278" s="4"/>
      <c r="X2278" s="4"/>
      <c r="Y2278" s="4"/>
      <c r="Z2278" s="4"/>
      <c r="AA2278" s="4"/>
      <c r="AB2278" s="4"/>
      <c r="AC2278" s="4"/>
      <c r="AD2278" s="4"/>
      <c r="AE2278" s="4"/>
      <c r="AF2278" s="4"/>
      <c r="AG2278" s="4"/>
      <c r="AH2278" s="4"/>
      <c r="AI2278" s="4"/>
      <c r="AJ2278" s="4"/>
      <c r="AK2278" s="4"/>
      <c r="AL2278" s="4"/>
      <c r="AM2278" s="4" t="s">
        <v>2112</v>
      </c>
    </row>
    <row r="2279" customFormat="false" ht="23.85" hidden="false" customHeight="false" outlineLevel="0" collapsed="false">
      <c r="A2279" s="4" t="s">
        <v>1987</v>
      </c>
      <c r="B2279" s="4" t="s">
        <v>3086</v>
      </c>
      <c r="C2279" s="4" t="s">
        <v>3087</v>
      </c>
      <c r="D2279" s="12" t="n">
        <v>2019</v>
      </c>
      <c r="E2279" s="4"/>
      <c r="F2279" s="4" t="s">
        <v>1990</v>
      </c>
      <c r="G2279" s="4" t="s">
        <v>1991</v>
      </c>
      <c r="H2279" s="4" t="s">
        <v>1992</v>
      </c>
      <c r="I2279" s="4"/>
      <c r="J2279" s="4" t="s">
        <v>612</v>
      </c>
      <c r="K2279" s="4" t="s">
        <v>105</v>
      </c>
      <c r="L2279" s="4" t="s">
        <v>106</v>
      </c>
      <c r="M2279" s="4" t="s">
        <v>1993</v>
      </c>
      <c r="N2279" s="4" t="s">
        <v>1994</v>
      </c>
      <c r="O2279" s="4" t="s">
        <v>2029</v>
      </c>
      <c r="P2279" s="4" t="s">
        <v>69</v>
      </c>
      <c r="Q2279" s="4" t="s">
        <v>2030</v>
      </c>
      <c r="R2279" s="4" t="s">
        <v>1997</v>
      </c>
      <c r="S2279" s="4"/>
      <c r="T2279" s="4"/>
      <c r="U2279" s="4"/>
      <c r="V2279" s="4"/>
      <c r="W2279" s="4"/>
      <c r="X2279" s="4"/>
      <c r="Y2279" s="4"/>
      <c r="Z2279" s="4"/>
      <c r="AA2279" s="4"/>
      <c r="AB2279" s="4"/>
      <c r="AC2279" s="4"/>
      <c r="AD2279" s="4"/>
      <c r="AE2279" s="4"/>
      <c r="AF2279" s="4"/>
      <c r="AG2279" s="4"/>
      <c r="AH2279" s="4"/>
      <c r="AI2279" s="4"/>
      <c r="AJ2279" s="4"/>
      <c r="AK2279" s="4"/>
      <c r="AL2279" s="4"/>
      <c r="AM2279" s="4" t="s">
        <v>2031</v>
      </c>
    </row>
    <row r="2280" customFormat="false" ht="23.85" hidden="false" customHeight="false" outlineLevel="0" collapsed="false">
      <c r="A2280" s="4" t="s">
        <v>1987</v>
      </c>
      <c r="B2280" s="4" t="s">
        <v>3088</v>
      </c>
      <c r="C2280" s="4" t="s">
        <v>3089</v>
      </c>
      <c r="D2280" s="12" t="n">
        <v>2019</v>
      </c>
      <c r="E2280" s="4"/>
      <c r="F2280" s="4" t="s">
        <v>1990</v>
      </c>
      <c r="G2280" s="4" t="s">
        <v>1991</v>
      </c>
      <c r="H2280" s="4" t="s">
        <v>1992</v>
      </c>
      <c r="I2280" s="4"/>
      <c r="J2280" s="4" t="s">
        <v>613</v>
      </c>
      <c r="K2280" s="4" t="s">
        <v>105</v>
      </c>
      <c r="L2280" s="4" t="s">
        <v>106</v>
      </c>
      <c r="M2280" s="4" t="s">
        <v>1993</v>
      </c>
      <c r="N2280" s="4" t="s">
        <v>2001</v>
      </c>
      <c r="O2280" s="4" t="s">
        <v>2091</v>
      </c>
      <c r="P2280" s="4" t="s">
        <v>69</v>
      </c>
      <c r="Q2280" s="4" t="s">
        <v>2030</v>
      </c>
      <c r="R2280" s="4" t="s">
        <v>1997</v>
      </c>
      <c r="S2280" s="4"/>
      <c r="T2280" s="4"/>
      <c r="U2280" s="4"/>
      <c r="V2280" s="4"/>
      <c r="W2280" s="4"/>
      <c r="X2280" s="4"/>
      <c r="Y2280" s="4"/>
      <c r="Z2280" s="4"/>
      <c r="AA2280" s="4"/>
      <c r="AB2280" s="4"/>
      <c r="AC2280" s="4"/>
      <c r="AD2280" s="4"/>
      <c r="AE2280" s="4"/>
      <c r="AF2280" s="4"/>
      <c r="AG2280" s="4"/>
      <c r="AH2280" s="4"/>
      <c r="AI2280" s="4"/>
      <c r="AJ2280" s="4"/>
      <c r="AK2280" s="4"/>
      <c r="AL2280" s="4"/>
      <c r="AM2280" s="4" t="s">
        <v>2092</v>
      </c>
    </row>
    <row r="2281" customFormat="false" ht="23.85" hidden="false" customHeight="false" outlineLevel="0" collapsed="false">
      <c r="A2281" s="4" t="s">
        <v>1987</v>
      </c>
      <c r="B2281" s="4" t="s">
        <v>3090</v>
      </c>
      <c r="C2281" s="4" t="s">
        <v>3091</v>
      </c>
      <c r="D2281" s="12" t="n">
        <v>2019</v>
      </c>
      <c r="E2281" s="4"/>
      <c r="F2281" s="4" t="s">
        <v>1990</v>
      </c>
      <c r="G2281" s="4" t="s">
        <v>1991</v>
      </c>
      <c r="H2281" s="4" t="s">
        <v>1992</v>
      </c>
      <c r="I2281" s="4"/>
      <c r="J2281" s="4" t="s">
        <v>614</v>
      </c>
      <c r="K2281" s="4" t="s">
        <v>105</v>
      </c>
      <c r="L2281" s="4" t="s">
        <v>106</v>
      </c>
      <c r="M2281" s="4" t="s">
        <v>1993</v>
      </c>
      <c r="N2281" s="4" t="s">
        <v>2001</v>
      </c>
      <c r="O2281" s="4" t="s">
        <v>2034</v>
      </c>
      <c r="P2281" s="4" t="s">
        <v>74</v>
      </c>
      <c r="Q2281" s="4" t="s">
        <v>2035</v>
      </c>
      <c r="R2281" s="4" t="s">
        <v>2036</v>
      </c>
      <c r="S2281" s="4"/>
      <c r="T2281" s="4"/>
      <c r="U2281" s="4"/>
      <c r="V2281" s="4"/>
      <c r="W2281" s="4"/>
      <c r="X2281" s="4"/>
      <c r="Y2281" s="4"/>
      <c r="Z2281" s="4"/>
      <c r="AA2281" s="4"/>
      <c r="AB2281" s="4"/>
      <c r="AC2281" s="4"/>
      <c r="AD2281" s="4"/>
      <c r="AE2281" s="4"/>
      <c r="AF2281" s="4"/>
      <c r="AG2281" s="4"/>
      <c r="AH2281" s="4"/>
      <c r="AI2281" s="4"/>
      <c r="AJ2281" s="4"/>
      <c r="AK2281" s="4"/>
      <c r="AL2281" s="4"/>
      <c r="AM2281" s="4" t="s">
        <v>2037</v>
      </c>
    </row>
    <row r="2282" customFormat="false" ht="15" hidden="false" customHeight="false" outlineLevel="0" collapsed="false">
      <c r="A2282" s="4" t="s">
        <v>1987</v>
      </c>
      <c r="B2282" s="4" t="s">
        <v>3092</v>
      </c>
      <c r="C2282" s="4" t="s">
        <v>3093</v>
      </c>
      <c r="D2282" s="12" t="n">
        <v>2019</v>
      </c>
      <c r="E2282" s="4"/>
      <c r="F2282" s="4" t="s">
        <v>1990</v>
      </c>
      <c r="G2282" s="4" t="s">
        <v>1991</v>
      </c>
      <c r="H2282" s="4" t="s">
        <v>1992</v>
      </c>
      <c r="I2282" s="4"/>
      <c r="J2282" s="4" t="s">
        <v>619</v>
      </c>
      <c r="K2282" s="4" t="s">
        <v>105</v>
      </c>
      <c r="L2282" s="4" t="s">
        <v>106</v>
      </c>
      <c r="M2282" s="4" t="s">
        <v>1993</v>
      </c>
      <c r="N2282" s="4" t="s">
        <v>2001</v>
      </c>
      <c r="O2282" s="4" t="s">
        <v>2002</v>
      </c>
      <c r="P2282" s="4" t="s">
        <v>71</v>
      </c>
      <c r="Q2282" s="4" t="s">
        <v>2123</v>
      </c>
      <c r="R2282" s="4" t="s">
        <v>1997</v>
      </c>
      <c r="S2282" s="4"/>
      <c r="T2282" s="4"/>
      <c r="U2282" s="4"/>
      <c r="V2282" s="4"/>
      <c r="W2282" s="4"/>
      <c r="X2282" s="4"/>
      <c r="Y2282" s="4"/>
      <c r="Z2282" s="4"/>
      <c r="AA2282" s="4"/>
      <c r="AB2282" s="4"/>
      <c r="AC2282" s="4"/>
      <c r="AD2282" s="4"/>
      <c r="AE2282" s="4"/>
      <c r="AF2282" s="4"/>
      <c r="AG2282" s="4"/>
      <c r="AH2282" s="4"/>
      <c r="AI2282" s="4"/>
      <c r="AJ2282" s="4"/>
      <c r="AK2282" s="4"/>
      <c r="AL2282" s="4"/>
      <c r="AM2282" s="4" t="s">
        <v>2124</v>
      </c>
    </row>
    <row r="2283" customFormat="false" ht="15" hidden="false" customHeight="false" outlineLevel="0" collapsed="false">
      <c r="A2283" s="4" t="s">
        <v>1987</v>
      </c>
      <c r="B2283" s="4" t="s">
        <v>3094</v>
      </c>
      <c r="C2283" s="4" t="s">
        <v>3095</v>
      </c>
      <c r="D2283" s="12" t="n">
        <v>2019</v>
      </c>
      <c r="E2283" s="4"/>
      <c r="F2283" s="4" t="s">
        <v>1990</v>
      </c>
      <c r="G2283" s="4" t="s">
        <v>1991</v>
      </c>
      <c r="H2283" s="4" t="s">
        <v>1992</v>
      </c>
      <c r="I2283" s="4"/>
      <c r="J2283" s="4" t="s">
        <v>620</v>
      </c>
      <c r="K2283" s="4" t="s">
        <v>105</v>
      </c>
      <c r="L2283" s="4" t="s">
        <v>106</v>
      </c>
      <c r="M2283" s="4" t="s">
        <v>1993</v>
      </c>
      <c r="N2283" s="4" t="s">
        <v>2001</v>
      </c>
      <c r="O2283" s="4" t="s">
        <v>2074</v>
      </c>
      <c r="P2283" s="4" t="s">
        <v>73</v>
      </c>
      <c r="Q2283" s="4" t="s">
        <v>2075</v>
      </c>
      <c r="R2283" s="4" t="s">
        <v>1997</v>
      </c>
      <c r="S2283" s="4"/>
      <c r="T2283" s="4"/>
      <c r="U2283" s="4"/>
      <c r="V2283" s="4"/>
      <c r="W2283" s="4"/>
      <c r="X2283" s="4"/>
      <c r="Y2283" s="4"/>
      <c r="Z2283" s="4"/>
      <c r="AA2283" s="4"/>
      <c r="AB2283" s="4"/>
      <c r="AC2283" s="4"/>
      <c r="AD2283" s="4"/>
      <c r="AE2283" s="4"/>
      <c r="AF2283" s="4"/>
      <c r="AG2283" s="4"/>
      <c r="AH2283" s="4"/>
      <c r="AI2283" s="4"/>
      <c r="AJ2283" s="4"/>
      <c r="AK2283" s="4"/>
      <c r="AL2283" s="4"/>
      <c r="AM2283" s="4" t="s">
        <v>2076</v>
      </c>
    </row>
    <row r="2284" customFormat="false" ht="15" hidden="false" customHeight="false" outlineLevel="0" collapsed="false">
      <c r="A2284" s="4" t="s">
        <v>1987</v>
      </c>
      <c r="B2284" s="4" t="s">
        <v>3096</v>
      </c>
      <c r="C2284" s="4" t="s">
        <v>3097</v>
      </c>
      <c r="D2284" s="12" t="n">
        <v>2019</v>
      </c>
      <c r="E2284" s="4"/>
      <c r="F2284" s="4" t="s">
        <v>1990</v>
      </c>
      <c r="G2284" s="4" t="s">
        <v>1991</v>
      </c>
      <c r="H2284" s="4" t="s">
        <v>1992</v>
      </c>
      <c r="I2284" s="4"/>
      <c r="J2284" s="4" t="s">
        <v>621</v>
      </c>
      <c r="K2284" s="4" t="s">
        <v>105</v>
      </c>
      <c r="L2284" s="4" t="s">
        <v>106</v>
      </c>
      <c r="M2284" s="4" t="s">
        <v>1993</v>
      </c>
      <c r="N2284" s="4" t="s">
        <v>2001</v>
      </c>
      <c r="O2284" s="4" t="s">
        <v>2002</v>
      </c>
      <c r="P2284" s="4" t="s">
        <v>72</v>
      </c>
      <c r="Q2284" s="4" t="s">
        <v>2079</v>
      </c>
      <c r="R2284" s="4" t="s">
        <v>1997</v>
      </c>
      <c r="S2284" s="4"/>
      <c r="T2284" s="4"/>
      <c r="U2284" s="4"/>
      <c r="V2284" s="4"/>
      <c r="W2284" s="4"/>
      <c r="X2284" s="4"/>
      <c r="Y2284" s="4"/>
      <c r="Z2284" s="4"/>
      <c r="AA2284" s="4"/>
      <c r="AB2284" s="4"/>
      <c r="AC2284" s="4"/>
      <c r="AD2284" s="4"/>
      <c r="AE2284" s="4"/>
      <c r="AF2284" s="4"/>
      <c r="AG2284" s="4"/>
      <c r="AH2284" s="4"/>
      <c r="AI2284" s="4"/>
      <c r="AJ2284" s="4"/>
      <c r="AK2284" s="4"/>
      <c r="AL2284" s="4"/>
      <c r="AM2284" s="4" t="s">
        <v>2080</v>
      </c>
    </row>
    <row r="2285" customFormat="false" ht="23.85" hidden="false" customHeight="false" outlineLevel="0" collapsed="false">
      <c r="A2285" s="4" t="s">
        <v>1987</v>
      </c>
      <c r="B2285" s="4" t="s">
        <v>3098</v>
      </c>
      <c r="C2285" s="4" t="s">
        <v>3099</v>
      </c>
      <c r="D2285" s="12" t="n">
        <v>2019</v>
      </c>
      <c r="E2285" s="4"/>
      <c r="F2285" s="4" t="s">
        <v>1990</v>
      </c>
      <c r="G2285" s="4" t="s">
        <v>1991</v>
      </c>
      <c r="H2285" s="4" t="s">
        <v>1992</v>
      </c>
      <c r="I2285" s="4"/>
      <c r="J2285" s="4" t="s">
        <v>622</v>
      </c>
      <c r="K2285" s="4" t="s">
        <v>105</v>
      </c>
      <c r="L2285" s="4" t="s">
        <v>106</v>
      </c>
      <c r="M2285" s="4" t="s">
        <v>1993</v>
      </c>
      <c r="N2285" s="4" t="s">
        <v>2001</v>
      </c>
      <c r="O2285" s="4" t="s">
        <v>2002</v>
      </c>
      <c r="P2285" s="4" t="s">
        <v>68</v>
      </c>
      <c r="Q2285" s="4" t="s">
        <v>2111</v>
      </c>
      <c r="R2285" s="4" t="s">
        <v>1997</v>
      </c>
      <c r="S2285" s="4"/>
      <c r="T2285" s="4"/>
      <c r="U2285" s="4"/>
      <c r="V2285" s="4"/>
      <c r="W2285" s="4"/>
      <c r="X2285" s="4"/>
      <c r="Y2285" s="4"/>
      <c r="Z2285" s="4"/>
      <c r="AA2285" s="4"/>
      <c r="AB2285" s="4"/>
      <c r="AC2285" s="4"/>
      <c r="AD2285" s="4"/>
      <c r="AE2285" s="4"/>
      <c r="AF2285" s="4"/>
      <c r="AG2285" s="4"/>
      <c r="AH2285" s="4"/>
      <c r="AI2285" s="4"/>
      <c r="AJ2285" s="4"/>
      <c r="AK2285" s="4"/>
      <c r="AL2285" s="4"/>
      <c r="AM2285" s="4" t="s">
        <v>2112</v>
      </c>
    </row>
    <row r="2286" customFormat="false" ht="23.85" hidden="false" customHeight="false" outlineLevel="0" collapsed="false">
      <c r="A2286" s="4" t="s">
        <v>1987</v>
      </c>
      <c r="B2286" s="4" t="s">
        <v>3100</v>
      </c>
      <c r="C2286" s="4" t="s">
        <v>3101</v>
      </c>
      <c r="D2286" s="12" t="n">
        <v>2019</v>
      </c>
      <c r="E2286" s="4"/>
      <c r="F2286" s="4" t="s">
        <v>1990</v>
      </c>
      <c r="G2286" s="4" t="s">
        <v>1991</v>
      </c>
      <c r="H2286" s="4" t="s">
        <v>1992</v>
      </c>
      <c r="I2286" s="4"/>
      <c r="J2286" s="4" t="s">
        <v>626</v>
      </c>
      <c r="K2286" s="4" t="s">
        <v>107</v>
      </c>
      <c r="L2286" s="4" t="s">
        <v>108</v>
      </c>
      <c r="M2286" s="4" t="s">
        <v>1993</v>
      </c>
      <c r="N2286" s="4" t="s">
        <v>1994</v>
      </c>
      <c r="O2286" s="4" t="s">
        <v>2029</v>
      </c>
      <c r="P2286" s="4" t="s">
        <v>69</v>
      </c>
      <c r="Q2286" s="4" t="s">
        <v>2030</v>
      </c>
      <c r="R2286" s="4" t="s">
        <v>1997</v>
      </c>
      <c r="S2286" s="4"/>
      <c r="T2286" s="4"/>
      <c r="U2286" s="4"/>
      <c r="V2286" s="4"/>
      <c r="W2286" s="4"/>
      <c r="X2286" s="4"/>
      <c r="Y2286" s="4"/>
      <c r="Z2286" s="4"/>
      <c r="AA2286" s="4"/>
      <c r="AB2286" s="4"/>
      <c r="AC2286" s="4"/>
      <c r="AD2286" s="4"/>
      <c r="AE2286" s="4"/>
      <c r="AF2286" s="4"/>
      <c r="AG2286" s="4"/>
      <c r="AH2286" s="4"/>
      <c r="AI2286" s="4"/>
      <c r="AJ2286" s="4"/>
      <c r="AK2286" s="4"/>
      <c r="AL2286" s="4"/>
      <c r="AM2286" s="4" t="s">
        <v>2031</v>
      </c>
    </row>
    <row r="2287" customFormat="false" ht="23.85" hidden="false" customHeight="false" outlineLevel="0" collapsed="false">
      <c r="A2287" s="4" t="s">
        <v>1987</v>
      </c>
      <c r="B2287" s="4" t="s">
        <v>3102</v>
      </c>
      <c r="C2287" s="4" t="s">
        <v>3103</v>
      </c>
      <c r="D2287" s="12" t="n">
        <v>2019</v>
      </c>
      <c r="E2287" s="4"/>
      <c r="F2287" s="4" t="s">
        <v>1990</v>
      </c>
      <c r="G2287" s="4" t="s">
        <v>1991</v>
      </c>
      <c r="H2287" s="4" t="s">
        <v>1992</v>
      </c>
      <c r="I2287" s="4"/>
      <c r="J2287" s="4" t="s">
        <v>627</v>
      </c>
      <c r="K2287" s="4" t="s">
        <v>107</v>
      </c>
      <c r="L2287" s="4" t="s">
        <v>108</v>
      </c>
      <c r="M2287" s="4" t="s">
        <v>1993</v>
      </c>
      <c r="N2287" s="4" t="s">
        <v>2001</v>
      </c>
      <c r="O2287" s="4" t="s">
        <v>2091</v>
      </c>
      <c r="P2287" s="4" t="s">
        <v>69</v>
      </c>
      <c r="Q2287" s="4" t="s">
        <v>2030</v>
      </c>
      <c r="R2287" s="4" t="s">
        <v>1997</v>
      </c>
      <c r="S2287" s="4"/>
      <c r="T2287" s="4"/>
      <c r="U2287" s="4"/>
      <c r="V2287" s="4"/>
      <c r="W2287" s="4"/>
      <c r="X2287" s="4"/>
      <c r="Y2287" s="4"/>
      <c r="Z2287" s="4"/>
      <c r="AA2287" s="4"/>
      <c r="AB2287" s="4"/>
      <c r="AC2287" s="4"/>
      <c r="AD2287" s="4"/>
      <c r="AE2287" s="4"/>
      <c r="AF2287" s="4"/>
      <c r="AG2287" s="4"/>
      <c r="AH2287" s="4"/>
      <c r="AI2287" s="4"/>
      <c r="AJ2287" s="4"/>
      <c r="AK2287" s="4"/>
      <c r="AL2287" s="4"/>
      <c r="AM2287" s="4" t="s">
        <v>2092</v>
      </c>
    </row>
    <row r="2288" customFormat="false" ht="23.85" hidden="false" customHeight="false" outlineLevel="0" collapsed="false">
      <c r="A2288" s="4" t="s">
        <v>1987</v>
      </c>
      <c r="B2288" s="4" t="s">
        <v>3104</v>
      </c>
      <c r="C2288" s="4" t="s">
        <v>3105</v>
      </c>
      <c r="D2288" s="12" t="n">
        <v>2019</v>
      </c>
      <c r="E2288" s="4"/>
      <c r="F2288" s="4" t="s">
        <v>1990</v>
      </c>
      <c r="G2288" s="4" t="s">
        <v>1991</v>
      </c>
      <c r="H2288" s="4" t="s">
        <v>1992</v>
      </c>
      <c r="I2288" s="4"/>
      <c r="J2288" s="4" t="s">
        <v>628</v>
      </c>
      <c r="K2288" s="4" t="s">
        <v>107</v>
      </c>
      <c r="L2288" s="4" t="s">
        <v>108</v>
      </c>
      <c r="M2288" s="4" t="s">
        <v>1993</v>
      </c>
      <c r="N2288" s="4" t="s">
        <v>2001</v>
      </c>
      <c r="O2288" s="4" t="s">
        <v>2034</v>
      </c>
      <c r="P2288" s="4" t="s">
        <v>74</v>
      </c>
      <c r="Q2288" s="4" t="s">
        <v>2035</v>
      </c>
      <c r="R2288" s="4" t="s">
        <v>2036</v>
      </c>
      <c r="S2288" s="4"/>
      <c r="T2288" s="4"/>
      <c r="U2288" s="4"/>
      <c r="V2288" s="4"/>
      <c r="W2288" s="4"/>
      <c r="X2288" s="4"/>
      <c r="Y2288" s="4"/>
      <c r="Z2288" s="4"/>
      <c r="AA2288" s="4"/>
      <c r="AB2288" s="4"/>
      <c r="AC2288" s="4"/>
      <c r="AD2288" s="4"/>
      <c r="AE2288" s="4"/>
      <c r="AF2288" s="4"/>
      <c r="AG2288" s="4"/>
      <c r="AH2288" s="4"/>
      <c r="AI2288" s="4"/>
      <c r="AJ2288" s="4"/>
      <c r="AK2288" s="4"/>
      <c r="AL2288" s="4"/>
      <c r="AM2288" s="4" t="s">
        <v>2037</v>
      </c>
    </row>
    <row r="2289" customFormat="false" ht="15" hidden="false" customHeight="false" outlineLevel="0" collapsed="false">
      <c r="A2289" s="4" t="s">
        <v>1987</v>
      </c>
      <c r="B2289" s="4" t="s">
        <v>3106</v>
      </c>
      <c r="C2289" s="4" t="s">
        <v>3107</v>
      </c>
      <c r="D2289" s="12" t="n">
        <v>2019</v>
      </c>
      <c r="E2289" s="4"/>
      <c r="F2289" s="4" t="s">
        <v>1990</v>
      </c>
      <c r="G2289" s="4" t="s">
        <v>1991</v>
      </c>
      <c r="H2289" s="4" t="s">
        <v>1992</v>
      </c>
      <c r="I2289" s="4"/>
      <c r="J2289" s="4" t="s">
        <v>633</v>
      </c>
      <c r="K2289" s="4" t="s">
        <v>107</v>
      </c>
      <c r="L2289" s="4" t="s">
        <v>108</v>
      </c>
      <c r="M2289" s="4" t="s">
        <v>1993</v>
      </c>
      <c r="N2289" s="4" t="s">
        <v>2001</v>
      </c>
      <c r="O2289" s="4" t="s">
        <v>2002</v>
      </c>
      <c r="P2289" s="4" t="s">
        <v>71</v>
      </c>
      <c r="Q2289" s="4" t="s">
        <v>2123</v>
      </c>
      <c r="R2289" s="4" t="s">
        <v>1997</v>
      </c>
      <c r="S2289" s="4"/>
      <c r="T2289" s="4"/>
      <c r="U2289" s="4"/>
      <c r="V2289" s="4"/>
      <c r="W2289" s="4"/>
      <c r="X2289" s="4"/>
      <c r="Y2289" s="4"/>
      <c r="Z2289" s="4"/>
      <c r="AA2289" s="4"/>
      <c r="AB2289" s="4"/>
      <c r="AC2289" s="4"/>
      <c r="AD2289" s="4"/>
      <c r="AE2289" s="4"/>
      <c r="AF2289" s="4"/>
      <c r="AG2289" s="4"/>
      <c r="AH2289" s="4"/>
      <c r="AI2289" s="4"/>
      <c r="AJ2289" s="4"/>
      <c r="AK2289" s="4"/>
      <c r="AL2289" s="4"/>
      <c r="AM2289" s="4" t="s">
        <v>2124</v>
      </c>
    </row>
    <row r="2290" customFormat="false" ht="15" hidden="false" customHeight="false" outlineLevel="0" collapsed="false">
      <c r="A2290" s="4" t="s">
        <v>1987</v>
      </c>
      <c r="B2290" s="4" t="s">
        <v>3108</v>
      </c>
      <c r="C2290" s="4" t="s">
        <v>3109</v>
      </c>
      <c r="D2290" s="12" t="n">
        <v>2019</v>
      </c>
      <c r="E2290" s="4"/>
      <c r="F2290" s="4" t="s">
        <v>1990</v>
      </c>
      <c r="G2290" s="4" t="s">
        <v>1991</v>
      </c>
      <c r="H2290" s="4" t="s">
        <v>1992</v>
      </c>
      <c r="I2290" s="4"/>
      <c r="J2290" s="4" t="s">
        <v>634</v>
      </c>
      <c r="K2290" s="4" t="s">
        <v>107</v>
      </c>
      <c r="L2290" s="4" t="s">
        <v>108</v>
      </c>
      <c r="M2290" s="4" t="s">
        <v>1993</v>
      </c>
      <c r="N2290" s="4" t="s">
        <v>2001</v>
      </c>
      <c r="O2290" s="4" t="s">
        <v>2074</v>
      </c>
      <c r="P2290" s="4" t="s">
        <v>73</v>
      </c>
      <c r="Q2290" s="4" t="s">
        <v>2075</v>
      </c>
      <c r="R2290" s="4" t="s">
        <v>1997</v>
      </c>
      <c r="S2290" s="4"/>
      <c r="T2290" s="4"/>
      <c r="U2290" s="4"/>
      <c r="V2290" s="4"/>
      <c r="W2290" s="4"/>
      <c r="X2290" s="4"/>
      <c r="Y2290" s="4"/>
      <c r="Z2290" s="4"/>
      <c r="AA2290" s="4"/>
      <c r="AB2290" s="4"/>
      <c r="AC2290" s="4"/>
      <c r="AD2290" s="4"/>
      <c r="AE2290" s="4"/>
      <c r="AF2290" s="4"/>
      <c r="AG2290" s="4"/>
      <c r="AH2290" s="4"/>
      <c r="AI2290" s="4"/>
      <c r="AJ2290" s="4"/>
      <c r="AK2290" s="4"/>
      <c r="AL2290" s="4"/>
      <c r="AM2290" s="4" t="s">
        <v>2076</v>
      </c>
    </row>
    <row r="2291" customFormat="false" ht="15" hidden="false" customHeight="false" outlineLevel="0" collapsed="false">
      <c r="A2291" s="4" t="s">
        <v>1987</v>
      </c>
      <c r="B2291" s="4" t="s">
        <v>3110</v>
      </c>
      <c r="C2291" s="4" t="s">
        <v>3111</v>
      </c>
      <c r="D2291" s="12" t="n">
        <v>2019</v>
      </c>
      <c r="E2291" s="4"/>
      <c r="F2291" s="4" t="s">
        <v>1990</v>
      </c>
      <c r="G2291" s="4" t="s">
        <v>1991</v>
      </c>
      <c r="H2291" s="4" t="s">
        <v>1992</v>
      </c>
      <c r="I2291" s="4"/>
      <c r="J2291" s="4" t="s">
        <v>635</v>
      </c>
      <c r="K2291" s="4" t="s">
        <v>107</v>
      </c>
      <c r="L2291" s="4" t="s">
        <v>108</v>
      </c>
      <c r="M2291" s="4" t="s">
        <v>1993</v>
      </c>
      <c r="N2291" s="4" t="s">
        <v>2001</v>
      </c>
      <c r="O2291" s="4" t="s">
        <v>2002</v>
      </c>
      <c r="P2291" s="4" t="s">
        <v>72</v>
      </c>
      <c r="Q2291" s="4" t="s">
        <v>2079</v>
      </c>
      <c r="R2291" s="4" t="s">
        <v>1997</v>
      </c>
      <c r="S2291" s="4"/>
      <c r="T2291" s="4"/>
      <c r="U2291" s="4"/>
      <c r="V2291" s="4"/>
      <c r="W2291" s="4"/>
      <c r="X2291" s="4"/>
      <c r="Y2291" s="4"/>
      <c r="Z2291" s="4"/>
      <c r="AA2291" s="4"/>
      <c r="AB2291" s="4"/>
      <c r="AC2291" s="4"/>
      <c r="AD2291" s="4"/>
      <c r="AE2291" s="4"/>
      <c r="AF2291" s="4"/>
      <c r="AG2291" s="4"/>
      <c r="AH2291" s="4"/>
      <c r="AI2291" s="4"/>
      <c r="AJ2291" s="4"/>
      <c r="AK2291" s="4"/>
      <c r="AL2291" s="4"/>
      <c r="AM2291" s="4" t="s">
        <v>2080</v>
      </c>
    </row>
    <row r="2292" customFormat="false" ht="23.85" hidden="false" customHeight="false" outlineLevel="0" collapsed="false">
      <c r="A2292" s="4" t="s">
        <v>1987</v>
      </c>
      <c r="B2292" s="4" t="s">
        <v>3112</v>
      </c>
      <c r="C2292" s="4" t="s">
        <v>3113</v>
      </c>
      <c r="D2292" s="12" t="n">
        <v>2019</v>
      </c>
      <c r="E2292" s="4"/>
      <c r="F2292" s="4" t="s">
        <v>1990</v>
      </c>
      <c r="G2292" s="4" t="s">
        <v>1991</v>
      </c>
      <c r="H2292" s="4" t="s">
        <v>1992</v>
      </c>
      <c r="I2292" s="4"/>
      <c r="J2292" s="4" t="s">
        <v>636</v>
      </c>
      <c r="K2292" s="4" t="s">
        <v>107</v>
      </c>
      <c r="L2292" s="4" t="s">
        <v>108</v>
      </c>
      <c r="M2292" s="4" t="s">
        <v>1993</v>
      </c>
      <c r="N2292" s="4" t="s">
        <v>2001</v>
      </c>
      <c r="O2292" s="4" t="s">
        <v>2002</v>
      </c>
      <c r="P2292" s="4" t="s">
        <v>68</v>
      </c>
      <c r="Q2292" s="4" t="s">
        <v>2111</v>
      </c>
      <c r="R2292" s="4" t="s">
        <v>1997</v>
      </c>
      <c r="S2292" s="4"/>
      <c r="T2292" s="4"/>
      <c r="U2292" s="4"/>
      <c r="V2292" s="4"/>
      <c r="W2292" s="4"/>
      <c r="X2292" s="4"/>
      <c r="Y2292" s="4"/>
      <c r="Z2292" s="4"/>
      <c r="AA2292" s="4"/>
      <c r="AB2292" s="4"/>
      <c r="AC2292" s="4"/>
      <c r="AD2292" s="4"/>
      <c r="AE2292" s="4"/>
      <c r="AF2292" s="4"/>
      <c r="AG2292" s="4"/>
      <c r="AH2292" s="4"/>
      <c r="AI2292" s="4"/>
      <c r="AJ2292" s="4"/>
      <c r="AK2292" s="4"/>
      <c r="AL2292" s="4"/>
      <c r="AM2292" s="4" t="s">
        <v>2112</v>
      </c>
    </row>
    <row r="2293" customFormat="false" ht="23.85" hidden="false" customHeight="false" outlineLevel="0" collapsed="false">
      <c r="A2293" s="4" t="s">
        <v>1987</v>
      </c>
      <c r="B2293" s="4" t="s">
        <v>3114</v>
      </c>
      <c r="C2293" s="4" t="s">
        <v>3115</v>
      </c>
      <c r="D2293" s="12" t="n">
        <v>2019</v>
      </c>
      <c r="E2293" s="4"/>
      <c r="F2293" s="4" t="s">
        <v>1990</v>
      </c>
      <c r="G2293" s="4" t="s">
        <v>1991</v>
      </c>
      <c r="H2293" s="4" t="s">
        <v>1992</v>
      </c>
      <c r="I2293" s="4"/>
      <c r="J2293" s="4" t="s">
        <v>640</v>
      </c>
      <c r="K2293" s="4" t="s">
        <v>111</v>
      </c>
      <c r="L2293" s="4" t="s">
        <v>112</v>
      </c>
      <c r="M2293" s="4" t="s">
        <v>1993</v>
      </c>
      <c r="N2293" s="4" t="s">
        <v>1994</v>
      </c>
      <c r="O2293" s="4" t="s">
        <v>2029</v>
      </c>
      <c r="P2293" s="4" t="s">
        <v>69</v>
      </c>
      <c r="Q2293" s="4" t="s">
        <v>2030</v>
      </c>
      <c r="R2293" s="4" t="s">
        <v>1997</v>
      </c>
      <c r="S2293" s="4"/>
      <c r="T2293" s="4"/>
      <c r="U2293" s="4"/>
      <c r="V2293" s="4"/>
      <c r="W2293" s="4"/>
      <c r="X2293" s="4"/>
      <c r="Y2293" s="4"/>
      <c r="Z2293" s="4"/>
      <c r="AA2293" s="4"/>
      <c r="AB2293" s="4"/>
      <c r="AC2293" s="4"/>
      <c r="AD2293" s="4"/>
      <c r="AE2293" s="4"/>
      <c r="AF2293" s="4"/>
      <c r="AG2293" s="4"/>
      <c r="AH2293" s="4"/>
      <c r="AI2293" s="4"/>
      <c r="AJ2293" s="4"/>
      <c r="AK2293" s="4"/>
      <c r="AL2293" s="4"/>
      <c r="AM2293" s="4" t="s">
        <v>2031</v>
      </c>
    </row>
    <row r="2294" customFormat="false" ht="23.85" hidden="false" customHeight="false" outlineLevel="0" collapsed="false">
      <c r="A2294" s="4" t="s">
        <v>1987</v>
      </c>
      <c r="B2294" s="4" t="s">
        <v>3116</v>
      </c>
      <c r="C2294" s="4" t="s">
        <v>3117</v>
      </c>
      <c r="D2294" s="12" t="n">
        <v>2019</v>
      </c>
      <c r="E2294" s="4"/>
      <c r="F2294" s="4" t="s">
        <v>1990</v>
      </c>
      <c r="G2294" s="4" t="s">
        <v>1991</v>
      </c>
      <c r="H2294" s="4" t="s">
        <v>1992</v>
      </c>
      <c r="I2294" s="4"/>
      <c r="J2294" s="4" t="s">
        <v>641</v>
      </c>
      <c r="K2294" s="4" t="s">
        <v>111</v>
      </c>
      <c r="L2294" s="4" t="s">
        <v>112</v>
      </c>
      <c r="M2294" s="4" t="s">
        <v>1993</v>
      </c>
      <c r="N2294" s="4" t="s">
        <v>2001</v>
      </c>
      <c r="O2294" s="4" t="s">
        <v>2091</v>
      </c>
      <c r="P2294" s="4" t="s">
        <v>69</v>
      </c>
      <c r="Q2294" s="4" t="s">
        <v>2030</v>
      </c>
      <c r="R2294" s="4" t="s">
        <v>1997</v>
      </c>
      <c r="S2294" s="4"/>
      <c r="T2294" s="4"/>
      <c r="U2294" s="4"/>
      <c r="V2294" s="4"/>
      <c r="W2294" s="4"/>
      <c r="X2294" s="4"/>
      <c r="Y2294" s="4"/>
      <c r="Z2294" s="4"/>
      <c r="AA2294" s="4"/>
      <c r="AB2294" s="4"/>
      <c r="AC2294" s="4"/>
      <c r="AD2294" s="4"/>
      <c r="AE2294" s="4"/>
      <c r="AF2294" s="4"/>
      <c r="AG2294" s="4"/>
      <c r="AH2294" s="4"/>
      <c r="AI2294" s="4"/>
      <c r="AJ2294" s="4"/>
      <c r="AK2294" s="4"/>
      <c r="AL2294" s="4"/>
      <c r="AM2294" s="4" t="s">
        <v>2092</v>
      </c>
    </row>
    <row r="2295" customFormat="false" ht="23.85" hidden="false" customHeight="false" outlineLevel="0" collapsed="false">
      <c r="A2295" s="4" t="s">
        <v>1987</v>
      </c>
      <c r="B2295" s="4" t="s">
        <v>3118</v>
      </c>
      <c r="C2295" s="4" t="s">
        <v>3119</v>
      </c>
      <c r="D2295" s="12" t="n">
        <v>2019</v>
      </c>
      <c r="E2295" s="4"/>
      <c r="F2295" s="4" t="s">
        <v>1990</v>
      </c>
      <c r="G2295" s="4" t="s">
        <v>1991</v>
      </c>
      <c r="H2295" s="4" t="s">
        <v>1992</v>
      </c>
      <c r="I2295" s="4"/>
      <c r="J2295" s="4" t="s">
        <v>642</v>
      </c>
      <c r="K2295" s="4" t="s">
        <v>111</v>
      </c>
      <c r="L2295" s="4" t="s">
        <v>112</v>
      </c>
      <c r="M2295" s="4" t="s">
        <v>1993</v>
      </c>
      <c r="N2295" s="4" t="s">
        <v>2001</v>
      </c>
      <c r="O2295" s="4" t="s">
        <v>2034</v>
      </c>
      <c r="P2295" s="4" t="s">
        <v>74</v>
      </c>
      <c r="Q2295" s="4" t="s">
        <v>2035</v>
      </c>
      <c r="R2295" s="4" t="s">
        <v>2036</v>
      </c>
      <c r="S2295" s="4"/>
      <c r="T2295" s="4"/>
      <c r="U2295" s="4"/>
      <c r="V2295" s="4"/>
      <c r="W2295" s="4"/>
      <c r="X2295" s="4"/>
      <c r="Y2295" s="4"/>
      <c r="Z2295" s="4"/>
      <c r="AA2295" s="4"/>
      <c r="AB2295" s="4"/>
      <c r="AC2295" s="4"/>
      <c r="AD2295" s="4"/>
      <c r="AE2295" s="4"/>
      <c r="AF2295" s="4"/>
      <c r="AG2295" s="4"/>
      <c r="AH2295" s="4"/>
      <c r="AI2295" s="4"/>
      <c r="AJ2295" s="4"/>
      <c r="AK2295" s="4"/>
      <c r="AL2295" s="4"/>
      <c r="AM2295" s="4" t="s">
        <v>2037</v>
      </c>
    </row>
    <row r="2296" customFormat="false" ht="23.85" hidden="false" customHeight="false" outlineLevel="0" collapsed="false">
      <c r="A2296" s="4" t="s">
        <v>1987</v>
      </c>
      <c r="B2296" s="4" t="s">
        <v>3120</v>
      </c>
      <c r="C2296" s="4" t="s">
        <v>3121</v>
      </c>
      <c r="D2296" s="12" t="n">
        <v>2019</v>
      </c>
      <c r="E2296" s="4"/>
      <c r="F2296" s="4" t="s">
        <v>1990</v>
      </c>
      <c r="G2296" s="4" t="s">
        <v>1991</v>
      </c>
      <c r="H2296" s="4" t="s">
        <v>1992</v>
      </c>
      <c r="I2296" s="4"/>
      <c r="J2296" s="4" t="s">
        <v>643</v>
      </c>
      <c r="K2296" s="4" t="s">
        <v>111</v>
      </c>
      <c r="L2296" s="4" t="s">
        <v>112</v>
      </c>
      <c r="M2296" s="4" t="s">
        <v>1993</v>
      </c>
      <c r="N2296" s="4" t="s">
        <v>1994</v>
      </c>
      <c r="O2296" s="4" t="s">
        <v>1995</v>
      </c>
      <c r="P2296" s="4" t="s">
        <v>67</v>
      </c>
      <c r="Q2296" s="4" t="s">
        <v>2097</v>
      </c>
      <c r="R2296" s="4" t="s">
        <v>1997</v>
      </c>
      <c r="S2296" s="4"/>
      <c r="T2296" s="4"/>
      <c r="U2296" s="4"/>
      <c r="V2296" s="4"/>
      <c r="W2296" s="4"/>
      <c r="X2296" s="4"/>
      <c r="Y2296" s="4"/>
      <c r="Z2296" s="4"/>
      <c r="AA2296" s="4"/>
      <c r="AB2296" s="4"/>
      <c r="AC2296" s="4"/>
      <c r="AD2296" s="4"/>
      <c r="AE2296" s="4"/>
      <c r="AF2296" s="4"/>
      <c r="AG2296" s="4"/>
      <c r="AH2296" s="4"/>
      <c r="AI2296" s="4"/>
      <c r="AJ2296" s="4"/>
      <c r="AK2296" s="4"/>
      <c r="AL2296" s="4"/>
      <c r="AM2296" s="4" t="s">
        <v>2214</v>
      </c>
    </row>
    <row r="2297" customFormat="false" ht="23.85" hidden="false" customHeight="false" outlineLevel="0" collapsed="false">
      <c r="A2297" s="4" t="s">
        <v>1987</v>
      </c>
      <c r="B2297" s="4" t="s">
        <v>3122</v>
      </c>
      <c r="C2297" s="4" t="s">
        <v>3123</v>
      </c>
      <c r="D2297" s="12" t="n">
        <v>2019</v>
      </c>
      <c r="E2297" s="4"/>
      <c r="F2297" s="4" t="s">
        <v>1990</v>
      </c>
      <c r="G2297" s="4" t="s">
        <v>1991</v>
      </c>
      <c r="H2297" s="4" t="s">
        <v>1992</v>
      </c>
      <c r="I2297" s="4"/>
      <c r="J2297" s="4" t="s">
        <v>3124</v>
      </c>
      <c r="K2297" s="4" t="s">
        <v>97</v>
      </c>
      <c r="L2297" s="4" t="s">
        <v>98</v>
      </c>
      <c r="M2297" s="4" t="s">
        <v>1993</v>
      </c>
      <c r="N2297" s="4" t="s">
        <v>2001</v>
      </c>
      <c r="O2297" s="4" t="s">
        <v>2218</v>
      </c>
      <c r="P2297" s="4" t="s">
        <v>44</v>
      </c>
      <c r="Q2297" s="4" t="s">
        <v>2219</v>
      </c>
      <c r="R2297" s="4" t="s">
        <v>2220</v>
      </c>
      <c r="S2297" s="4"/>
      <c r="T2297" s="4"/>
      <c r="U2297" s="4"/>
      <c r="V2297" s="4"/>
      <c r="W2297" s="4"/>
      <c r="X2297" s="4"/>
      <c r="Y2297" s="4"/>
      <c r="Z2297" s="4"/>
      <c r="AA2297" s="4"/>
      <c r="AB2297" s="4"/>
      <c r="AC2297" s="4"/>
      <c r="AD2297" s="4"/>
      <c r="AE2297" s="4"/>
      <c r="AF2297" s="4"/>
      <c r="AG2297" s="4"/>
      <c r="AH2297" s="4"/>
      <c r="AI2297" s="4"/>
      <c r="AJ2297" s="4"/>
      <c r="AK2297" s="4"/>
      <c r="AL2297" s="4"/>
      <c r="AM2297" s="4" t="s">
        <v>2221</v>
      </c>
    </row>
    <row r="2298" customFormat="false" ht="23.85" hidden="false" customHeight="false" outlineLevel="0" collapsed="false">
      <c r="A2298" s="4" t="s">
        <v>1987</v>
      </c>
      <c r="B2298" s="4" t="s">
        <v>3125</v>
      </c>
      <c r="C2298" s="4" t="s">
        <v>3126</v>
      </c>
      <c r="D2298" s="12" t="n">
        <v>2019</v>
      </c>
      <c r="E2298" s="4"/>
      <c r="F2298" s="4" t="s">
        <v>1990</v>
      </c>
      <c r="G2298" s="4" t="s">
        <v>1991</v>
      </c>
      <c r="H2298" s="4" t="s">
        <v>1992</v>
      </c>
      <c r="I2298" s="4"/>
      <c r="J2298" s="4" t="s">
        <v>3127</v>
      </c>
      <c r="K2298" s="4" t="s">
        <v>99</v>
      </c>
      <c r="L2298" s="4" t="s">
        <v>100</v>
      </c>
      <c r="M2298" s="4" t="s">
        <v>1993</v>
      </c>
      <c r="N2298" s="4" t="s">
        <v>2001</v>
      </c>
      <c r="O2298" s="4" t="s">
        <v>2218</v>
      </c>
      <c r="P2298" s="4" t="s">
        <v>44</v>
      </c>
      <c r="Q2298" s="4" t="s">
        <v>2219</v>
      </c>
      <c r="R2298" s="4" t="s">
        <v>2220</v>
      </c>
      <c r="S2298" s="4"/>
      <c r="T2298" s="4"/>
      <c r="U2298" s="4"/>
      <c r="V2298" s="4"/>
      <c r="W2298" s="4"/>
      <c r="X2298" s="4"/>
      <c r="Y2298" s="4"/>
      <c r="Z2298" s="4"/>
      <c r="AA2298" s="4"/>
      <c r="AB2298" s="4"/>
      <c r="AC2298" s="4"/>
      <c r="AD2298" s="4"/>
      <c r="AE2298" s="4"/>
      <c r="AF2298" s="4"/>
      <c r="AG2298" s="4"/>
      <c r="AH2298" s="4"/>
      <c r="AI2298" s="4"/>
      <c r="AJ2298" s="4"/>
      <c r="AK2298" s="4"/>
      <c r="AL2298" s="4"/>
      <c r="AM2298" s="4" t="s">
        <v>2221</v>
      </c>
    </row>
    <row r="2299" customFormat="false" ht="35.05" hidden="false" customHeight="false" outlineLevel="0" collapsed="false">
      <c r="A2299" s="4" t="s">
        <v>1987</v>
      </c>
      <c r="B2299" s="4" t="s">
        <v>3128</v>
      </c>
      <c r="C2299" s="4" t="s">
        <v>3129</v>
      </c>
      <c r="D2299" s="12" t="n">
        <v>2019</v>
      </c>
      <c r="E2299" s="4"/>
      <c r="F2299" s="4" t="s">
        <v>1990</v>
      </c>
      <c r="G2299" s="4" t="s">
        <v>1991</v>
      </c>
      <c r="H2299" s="4" t="s">
        <v>1992</v>
      </c>
      <c r="I2299" s="4"/>
      <c r="J2299" s="4" t="s">
        <v>3130</v>
      </c>
      <c r="K2299" s="4" t="s">
        <v>103</v>
      </c>
      <c r="L2299" s="4" t="s">
        <v>104</v>
      </c>
      <c r="M2299" s="4" t="s">
        <v>1993</v>
      </c>
      <c r="N2299" s="4" t="s">
        <v>2001</v>
      </c>
      <c r="O2299" s="4" t="s">
        <v>2002</v>
      </c>
      <c r="P2299" s="4" t="s">
        <v>41</v>
      </c>
      <c r="Q2299" s="4" t="s">
        <v>3131</v>
      </c>
      <c r="R2299" s="4" t="s">
        <v>3132</v>
      </c>
      <c r="S2299" s="4"/>
      <c r="T2299" s="4"/>
      <c r="U2299" s="4"/>
      <c r="V2299" s="4"/>
      <c r="W2299" s="4"/>
      <c r="X2299" s="4"/>
      <c r="Y2299" s="4"/>
      <c r="Z2299" s="4"/>
      <c r="AA2299" s="4"/>
      <c r="AB2299" s="4"/>
      <c r="AC2299" s="4"/>
      <c r="AD2299" s="4"/>
      <c r="AE2299" s="4"/>
      <c r="AF2299" s="4"/>
      <c r="AG2299" s="4"/>
      <c r="AH2299" s="4"/>
      <c r="AI2299" s="4"/>
      <c r="AJ2299" s="4"/>
      <c r="AK2299" s="4"/>
      <c r="AL2299" s="4"/>
      <c r="AM2299" s="4" t="s">
        <v>3133</v>
      </c>
    </row>
    <row r="2300" customFormat="false" ht="23.85" hidden="false" customHeight="false" outlineLevel="0" collapsed="false">
      <c r="A2300" s="4" t="s">
        <v>1987</v>
      </c>
      <c r="B2300" s="4" t="s">
        <v>3134</v>
      </c>
      <c r="C2300" s="4" t="s">
        <v>3135</v>
      </c>
      <c r="D2300" s="12" t="n">
        <v>2019</v>
      </c>
      <c r="E2300" s="4"/>
      <c r="F2300" s="4" t="s">
        <v>1990</v>
      </c>
      <c r="G2300" s="4" t="s">
        <v>1991</v>
      </c>
      <c r="H2300" s="4" t="s">
        <v>1992</v>
      </c>
      <c r="I2300" s="4"/>
      <c r="J2300" s="4" t="s">
        <v>3136</v>
      </c>
      <c r="K2300" s="4" t="s">
        <v>107</v>
      </c>
      <c r="L2300" s="4" t="s">
        <v>108</v>
      </c>
      <c r="M2300" s="4" t="s">
        <v>1993</v>
      </c>
      <c r="N2300" s="4" t="s">
        <v>2001</v>
      </c>
      <c r="O2300" s="4" t="s">
        <v>2218</v>
      </c>
      <c r="P2300" s="4" t="s">
        <v>44</v>
      </c>
      <c r="Q2300" s="4" t="s">
        <v>2219</v>
      </c>
      <c r="R2300" s="4" t="s">
        <v>2220</v>
      </c>
      <c r="S2300" s="4"/>
      <c r="T2300" s="4"/>
      <c r="U2300" s="4"/>
      <c r="V2300" s="4"/>
      <c r="W2300" s="4"/>
      <c r="X2300" s="4"/>
      <c r="Y2300" s="4"/>
      <c r="Z2300" s="4"/>
      <c r="AA2300" s="4"/>
      <c r="AB2300" s="4"/>
      <c r="AC2300" s="4"/>
      <c r="AD2300" s="4"/>
      <c r="AE2300" s="4"/>
      <c r="AF2300" s="4"/>
      <c r="AG2300" s="4"/>
      <c r="AH2300" s="4"/>
      <c r="AI2300" s="4"/>
      <c r="AJ2300" s="4"/>
      <c r="AK2300" s="4"/>
      <c r="AL2300" s="4"/>
      <c r="AM2300" s="4" t="s">
        <v>2221</v>
      </c>
    </row>
    <row r="2301" customFormat="false" ht="35.05" hidden="false" customHeight="false" outlineLevel="0" collapsed="false">
      <c r="A2301" s="4" t="s">
        <v>1987</v>
      </c>
      <c r="B2301" s="4" t="s">
        <v>3137</v>
      </c>
      <c r="C2301" s="4" t="s">
        <v>3138</v>
      </c>
      <c r="D2301" s="12" t="n">
        <v>2019</v>
      </c>
      <c r="E2301" s="4"/>
      <c r="F2301" s="4" t="s">
        <v>1990</v>
      </c>
      <c r="G2301" s="4" t="s">
        <v>1991</v>
      </c>
      <c r="H2301" s="4" t="s">
        <v>1992</v>
      </c>
      <c r="I2301" s="4"/>
      <c r="J2301" s="4" t="s">
        <v>3139</v>
      </c>
      <c r="K2301" s="4" t="s">
        <v>111</v>
      </c>
      <c r="L2301" s="4" t="s">
        <v>112</v>
      </c>
      <c r="M2301" s="4" t="s">
        <v>1993</v>
      </c>
      <c r="N2301" s="4" t="s">
        <v>2001</v>
      </c>
      <c r="O2301" s="4" t="s">
        <v>2002</v>
      </c>
      <c r="P2301" s="4" t="s">
        <v>41</v>
      </c>
      <c r="Q2301" s="4" t="s">
        <v>2228</v>
      </c>
      <c r="R2301" s="4" t="s">
        <v>1997</v>
      </c>
      <c r="S2301" s="4"/>
      <c r="T2301" s="4"/>
      <c r="U2301" s="4"/>
      <c r="V2301" s="4"/>
      <c r="W2301" s="4"/>
      <c r="X2301" s="4"/>
      <c r="Y2301" s="4"/>
      <c r="Z2301" s="4"/>
      <c r="AA2301" s="4"/>
      <c r="AB2301" s="4"/>
      <c r="AC2301" s="4"/>
      <c r="AD2301" s="4"/>
      <c r="AE2301" s="4"/>
      <c r="AF2301" s="4"/>
      <c r="AG2301" s="4"/>
      <c r="AH2301" s="4"/>
      <c r="AI2301" s="4"/>
      <c r="AJ2301" s="4"/>
      <c r="AK2301" s="4"/>
      <c r="AL2301" s="4"/>
      <c r="AM2301" s="4" t="s">
        <v>2229</v>
      </c>
    </row>
    <row r="2302" customFormat="false" ht="23.85" hidden="false" customHeight="false" outlineLevel="0" collapsed="false">
      <c r="A2302" s="4" t="s">
        <v>1987</v>
      </c>
      <c r="B2302" s="4" t="s">
        <v>3140</v>
      </c>
      <c r="C2302" s="4" t="s">
        <v>3141</v>
      </c>
      <c r="D2302" s="12" t="n">
        <v>2019</v>
      </c>
      <c r="E2302" s="4"/>
      <c r="F2302" s="4" t="s">
        <v>1990</v>
      </c>
      <c r="G2302" s="4" t="s">
        <v>1991</v>
      </c>
      <c r="H2302" s="4" t="s">
        <v>1992</v>
      </c>
      <c r="I2302" s="4"/>
      <c r="J2302" s="4" t="s">
        <v>3142</v>
      </c>
      <c r="K2302" s="4" t="s">
        <v>86</v>
      </c>
      <c r="L2302" s="4" t="s">
        <v>87</v>
      </c>
      <c r="M2302" s="4" t="s">
        <v>1993</v>
      </c>
      <c r="N2302" s="4" t="s">
        <v>2001</v>
      </c>
      <c r="O2302" s="4" t="s">
        <v>2218</v>
      </c>
      <c r="P2302" s="4" t="s">
        <v>44</v>
      </c>
      <c r="Q2302" s="4" t="s">
        <v>2219</v>
      </c>
      <c r="R2302" s="4" t="s">
        <v>2220</v>
      </c>
      <c r="S2302" s="4"/>
      <c r="T2302" s="4"/>
      <c r="U2302" s="4"/>
      <c r="V2302" s="4"/>
      <c r="W2302" s="4"/>
      <c r="X2302" s="4"/>
      <c r="Y2302" s="4"/>
      <c r="Z2302" s="4"/>
      <c r="AA2302" s="4"/>
      <c r="AB2302" s="4"/>
      <c r="AC2302" s="4"/>
      <c r="AD2302" s="4"/>
      <c r="AE2302" s="4"/>
      <c r="AF2302" s="4"/>
      <c r="AG2302" s="4"/>
      <c r="AH2302" s="4"/>
      <c r="AI2302" s="4"/>
      <c r="AJ2302" s="4"/>
      <c r="AK2302" s="4"/>
      <c r="AL2302" s="4"/>
      <c r="AM2302" s="4" t="s">
        <v>2221</v>
      </c>
    </row>
    <row r="2303" customFormat="false" ht="23.85" hidden="false" customHeight="false" outlineLevel="0" collapsed="false">
      <c r="A2303" s="4" t="s">
        <v>1987</v>
      </c>
      <c r="B2303" s="4" t="s">
        <v>3143</v>
      </c>
      <c r="C2303" s="4" t="s">
        <v>3144</v>
      </c>
      <c r="D2303" s="12" t="n">
        <v>2018</v>
      </c>
      <c r="E2303" s="4"/>
      <c r="F2303" s="4" t="s">
        <v>1990</v>
      </c>
      <c r="G2303" s="4" t="s">
        <v>1991</v>
      </c>
      <c r="H2303" s="4" t="s">
        <v>1992</v>
      </c>
      <c r="I2303" s="4"/>
      <c r="J2303" s="4" t="s">
        <v>168</v>
      </c>
      <c r="K2303" s="4" t="s">
        <v>91</v>
      </c>
      <c r="L2303" s="4" t="s">
        <v>92</v>
      </c>
      <c r="M2303" s="4" t="s">
        <v>1993</v>
      </c>
      <c r="N2303" s="4" t="s">
        <v>1994</v>
      </c>
      <c r="O2303" s="4" t="s">
        <v>1995</v>
      </c>
      <c r="P2303" s="4" t="s">
        <v>68</v>
      </c>
      <c r="Q2303" s="4" t="s">
        <v>1996</v>
      </c>
      <c r="R2303" s="4" t="s">
        <v>1997</v>
      </c>
      <c r="S2303" s="4"/>
      <c r="T2303" s="4"/>
      <c r="U2303" s="4"/>
      <c r="V2303" s="4"/>
      <c r="W2303" s="4"/>
      <c r="X2303" s="4"/>
      <c r="Y2303" s="4"/>
      <c r="Z2303" s="4"/>
      <c r="AA2303" s="4"/>
      <c r="AB2303" s="4"/>
      <c r="AC2303" s="4"/>
      <c r="AD2303" s="4"/>
      <c r="AE2303" s="4"/>
      <c r="AF2303" s="4"/>
      <c r="AG2303" s="4"/>
      <c r="AH2303" s="4"/>
      <c r="AI2303" s="4"/>
      <c r="AJ2303" s="4"/>
      <c r="AK2303" s="4"/>
      <c r="AL2303" s="4"/>
      <c r="AM2303" s="4" t="s">
        <v>1998</v>
      </c>
    </row>
    <row r="2304" customFormat="false" ht="23.85" hidden="false" customHeight="false" outlineLevel="0" collapsed="false">
      <c r="A2304" s="4" t="s">
        <v>1987</v>
      </c>
      <c r="B2304" s="4" t="s">
        <v>3145</v>
      </c>
      <c r="C2304" s="4" t="s">
        <v>3146</v>
      </c>
      <c r="D2304" s="12" t="n">
        <v>2018</v>
      </c>
      <c r="E2304" s="4"/>
      <c r="F2304" s="4" t="s">
        <v>1990</v>
      </c>
      <c r="G2304" s="4" t="s">
        <v>1991</v>
      </c>
      <c r="H2304" s="4" t="s">
        <v>1992</v>
      </c>
      <c r="I2304" s="4"/>
      <c r="J2304" s="4" t="s">
        <v>180</v>
      </c>
      <c r="K2304" s="4" t="s">
        <v>91</v>
      </c>
      <c r="L2304" s="4" t="s">
        <v>92</v>
      </c>
      <c r="M2304" s="4" t="s">
        <v>1993</v>
      </c>
      <c r="N2304" s="4" t="s">
        <v>2001</v>
      </c>
      <c r="O2304" s="4" t="s">
        <v>2002</v>
      </c>
      <c r="P2304" s="4" t="s">
        <v>67</v>
      </c>
      <c r="Q2304" s="4" t="s">
        <v>2003</v>
      </c>
      <c r="R2304" s="4" t="s">
        <v>2004</v>
      </c>
      <c r="S2304" s="4"/>
      <c r="T2304" s="4"/>
      <c r="U2304" s="4"/>
      <c r="V2304" s="4"/>
      <c r="W2304" s="4"/>
      <c r="X2304" s="4"/>
      <c r="Y2304" s="4"/>
      <c r="Z2304" s="4"/>
      <c r="AA2304" s="4"/>
      <c r="AB2304" s="4"/>
      <c r="AC2304" s="4"/>
      <c r="AD2304" s="4"/>
      <c r="AE2304" s="4"/>
      <c r="AF2304" s="4"/>
      <c r="AG2304" s="4"/>
      <c r="AH2304" s="4"/>
      <c r="AI2304" s="4"/>
      <c r="AJ2304" s="4"/>
      <c r="AK2304" s="4"/>
      <c r="AL2304" s="4"/>
      <c r="AM2304" s="4" t="s">
        <v>2005</v>
      </c>
    </row>
    <row r="2305" customFormat="false" ht="23.85" hidden="false" customHeight="false" outlineLevel="0" collapsed="false">
      <c r="A2305" s="4" t="s">
        <v>1987</v>
      </c>
      <c r="B2305" s="4" t="s">
        <v>3147</v>
      </c>
      <c r="C2305" s="4" t="s">
        <v>3148</v>
      </c>
      <c r="D2305" s="12" t="n">
        <v>2018</v>
      </c>
      <c r="E2305" s="4"/>
      <c r="F2305" s="4" t="s">
        <v>1990</v>
      </c>
      <c r="G2305" s="4" t="s">
        <v>1991</v>
      </c>
      <c r="H2305" s="4" t="s">
        <v>1992</v>
      </c>
      <c r="I2305" s="4"/>
      <c r="J2305" s="4" t="s">
        <v>181</v>
      </c>
      <c r="K2305" s="4" t="s">
        <v>91</v>
      </c>
      <c r="L2305" s="4" t="s">
        <v>92</v>
      </c>
      <c r="M2305" s="4" t="s">
        <v>1993</v>
      </c>
      <c r="N2305" s="4" t="s">
        <v>2001</v>
      </c>
      <c r="O2305" s="4" t="s">
        <v>2002</v>
      </c>
      <c r="P2305" s="4" t="s">
        <v>67</v>
      </c>
      <c r="Q2305" s="4" t="s">
        <v>2008</v>
      </c>
      <c r="R2305" s="4" t="s">
        <v>2004</v>
      </c>
      <c r="S2305" s="4"/>
      <c r="T2305" s="4"/>
      <c r="U2305" s="4"/>
      <c r="V2305" s="4"/>
      <c r="W2305" s="4"/>
      <c r="X2305" s="4"/>
      <c r="Y2305" s="4"/>
      <c r="Z2305" s="4"/>
      <c r="AA2305" s="4"/>
      <c r="AB2305" s="4"/>
      <c r="AC2305" s="4"/>
      <c r="AD2305" s="4"/>
      <c r="AE2305" s="4"/>
      <c r="AF2305" s="4"/>
      <c r="AG2305" s="4"/>
      <c r="AH2305" s="4"/>
      <c r="AI2305" s="4"/>
      <c r="AJ2305" s="4"/>
      <c r="AK2305" s="4"/>
      <c r="AL2305" s="4"/>
      <c r="AM2305" s="4" t="s">
        <v>2009</v>
      </c>
    </row>
    <row r="2306" customFormat="false" ht="23.85" hidden="false" customHeight="false" outlineLevel="0" collapsed="false">
      <c r="A2306" s="4" t="s">
        <v>1987</v>
      </c>
      <c r="B2306" s="4" t="s">
        <v>3149</v>
      </c>
      <c r="C2306" s="4" t="s">
        <v>3150</v>
      </c>
      <c r="D2306" s="12" t="n">
        <v>2018</v>
      </c>
      <c r="E2306" s="4"/>
      <c r="F2306" s="4" t="s">
        <v>1990</v>
      </c>
      <c r="G2306" s="4" t="s">
        <v>1991</v>
      </c>
      <c r="H2306" s="4" t="s">
        <v>1992</v>
      </c>
      <c r="I2306" s="4"/>
      <c r="J2306" s="4" t="s">
        <v>189</v>
      </c>
      <c r="K2306" s="4" t="s">
        <v>93</v>
      </c>
      <c r="L2306" s="4" t="s">
        <v>94</v>
      </c>
      <c r="M2306" s="4" t="s">
        <v>1993</v>
      </c>
      <c r="N2306" s="4" t="s">
        <v>1994</v>
      </c>
      <c r="O2306" s="4" t="s">
        <v>1995</v>
      </c>
      <c r="P2306" s="4" t="s">
        <v>67</v>
      </c>
      <c r="Q2306" s="4" t="s">
        <v>2012</v>
      </c>
      <c r="R2306" s="4" t="s">
        <v>1997</v>
      </c>
      <c r="S2306" s="4"/>
      <c r="T2306" s="4"/>
      <c r="U2306" s="4"/>
      <c r="V2306" s="4"/>
      <c r="W2306" s="4"/>
      <c r="X2306" s="4"/>
      <c r="Y2306" s="4"/>
      <c r="Z2306" s="4"/>
      <c r="AA2306" s="4"/>
      <c r="AB2306" s="4"/>
      <c r="AC2306" s="4"/>
      <c r="AD2306" s="4"/>
      <c r="AE2306" s="4"/>
      <c r="AF2306" s="4"/>
      <c r="AG2306" s="4"/>
      <c r="AH2306" s="4"/>
      <c r="AI2306" s="4"/>
      <c r="AJ2306" s="4"/>
      <c r="AK2306" s="4"/>
      <c r="AL2306" s="4"/>
      <c r="AM2306" s="4" t="s">
        <v>2013</v>
      </c>
    </row>
    <row r="2307" customFormat="false" ht="23.85" hidden="false" customHeight="false" outlineLevel="0" collapsed="false">
      <c r="A2307" s="4" t="s">
        <v>1987</v>
      </c>
      <c r="B2307" s="4" t="s">
        <v>3151</v>
      </c>
      <c r="C2307" s="4" t="s">
        <v>3152</v>
      </c>
      <c r="D2307" s="12" t="n">
        <v>2018</v>
      </c>
      <c r="E2307" s="4"/>
      <c r="F2307" s="4" t="s">
        <v>1990</v>
      </c>
      <c r="G2307" s="4" t="s">
        <v>1991</v>
      </c>
      <c r="H2307" s="4" t="s">
        <v>1992</v>
      </c>
      <c r="I2307" s="4"/>
      <c r="J2307" s="4" t="s">
        <v>195</v>
      </c>
      <c r="K2307" s="4" t="s">
        <v>93</v>
      </c>
      <c r="L2307" s="4" t="s">
        <v>94</v>
      </c>
      <c r="M2307" s="4" t="s">
        <v>1993</v>
      </c>
      <c r="N2307" s="4" t="s">
        <v>2001</v>
      </c>
      <c r="O2307" s="4" t="s">
        <v>2002</v>
      </c>
      <c r="P2307" s="4" t="s">
        <v>67</v>
      </c>
      <c r="Q2307" s="4" t="s">
        <v>2003</v>
      </c>
      <c r="R2307" s="4" t="s">
        <v>2004</v>
      </c>
      <c r="S2307" s="4"/>
      <c r="T2307" s="4"/>
      <c r="U2307" s="4"/>
      <c r="V2307" s="4"/>
      <c r="W2307" s="4"/>
      <c r="X2307" s="4"/>
      <c r="Y2307" s="4"/>
      <c r="Z2307" s="4"/>
      <c r="AA2307" s="4"/>
      <c r="AB2307" s="4"/>
      <c r="AC2307" s="4"/>
      <c r="AD2307" s="4"/>
      <c r="AE2307" s="4"/>
      <c r="AF2307" s="4"/>
      <c r="AG2307" s="4"/>
      <c r="AH2307" s="4"/>
      <c r="AI2307" s="4"/>
      <c r="AJ2307" s="4"/>
      <c r="AK2307" s="4"/>
      <c r="AL2307" s="4"/>
      <c r="AM2307" s="4" t="s">
        <v>2005</v>
      </c>
    </row>
    <row r="2308" customFormat="false" ht="23.85" hidden="false" customHeight="false" outlineLevel="0" collapsed="false">
      <c r="A2308" s="4" t="s">
        <v>1987</v>
      </c>
      <c r="B2308" s="4" t="s">
        <v>3153</v>
      </c>
      <c r="C2308" s="4" t="s">
        <v>3154</v>
      </c>
      <c r="D2308" s="12" t="n">
        <v>2018</v>
      </c>
      <c r="E2308" s="4"/>
      <c r="F2308" s="4" t="s">
        <v>1990</v>
      </c>
      <c r="G2308" s="4" t="s">
        <v>1991</v>
      </c>
      <c r="H2308" s="4" t="s">
        <v>1992</v>
      </c>
      <c r="I2308" s="4"/>
      <c r="J2308" s="4" t="s">
        <v>196</v>
      </c>
      <c r="K2308" s="4" t="s">
        <v>93</v>
      </c>
      <c r="L2308" s="4" t="s">
        <v>94</v>
      </c>
      <c r="M2308" s="4" t="s">
        <v>1993</v>
      </c>
      <c r="N2308" s="4" t="s">
        <v>2001</v>
      </c>
      <c r="O2308" s="4" t="s">
        <v>2002</v>
      </c>
      <c r="P2308" s="4" t="s">
        <v>67</v>
      </c>
      <c r="Q2308" s="4" t="s">
        <v>2008</v>
      </c>
      <c r="R2308" s="4" t="s">
        <v>2004</v>
      </c>
      <c r="S2308" s="4"/>
      <c r="T2308" s="4"/>
      <c r="U2308" s="4"/>
      <c r="V2308" s="4"/>
      <c r="W2308" s="4"/>
      <c r="X2308" s="4"/>
      <c r="Y2308" s="4"/>
      <c r="Z2308" s="4"/>
      <c r="AA2308" s="4"/>
      <c r="AB2308" s="4"/>
      <c r="AC2308" s="4"/>
      <c r="AD2308" s="4"/>
      <c r="AE2308" s="4"/>
      <c r="AF2308" s="4"/>
      <c r="AG2308" s="4"/>
      <c r="AH2308" s="4"/>
      <c r="AI2308" s="4"/>
      <c r="AJ2308" s="4"/>
      <c r="AK2308" s="4"/>
      <c r="AL2308" s="4"/>
      <c r="AM2308" s="4" t="s">
        <v>2009</v>
      </c>
    </row>
    <row r="2309" customFormat="false" ht="23.85" hidden="false" customHeight="false" outlineLevel="0" collapsed="false">
      <c r="A2309" s="4" t="s">
        <v>1987</v>
      </c>
      <c r="B2309" s="4" t="s">
        <v>3155</v>
      </c>
      <c r="C2309" s="4" t="s">
        <v>3156</v>
      </c>
      <c r="D2309" s="12" t="n">
        <v>2018</v>
      </c>
      <c r="E2309" s="4"/>
      <c r="F2309" s="4" t="s">
        <v>1990</v>
      </c>
      <c r="G2309" s="4" t="s">
        <v>1991</v>
      </c>
      <c r="H2309" s="4" t="s">
        <v>1992</v>
      </c>
      <c r="I2309" s="4"/>
      <c r="J2309" s="4" t="s">
        <v>204</v>
      </c>
      <c r="K2309" s="4" t="s">
        <v>76</v>
      </c>
      <c r="L2309" s="4" t="s">
        <v>77</v>
      </c>
      <c r="M2309" s="4" t="s">
        <v>2018</v>
      </c>
      <c r="N2309" s="4" t="s">
        <v>1994</v>
      </c>
      <c r="O2309" s="4" t="s">
        <v>65</v>
      </c>
      <c r="P2309" s="4" t="s">
        <v>64</v>
      </c>
      <c r="Q2309" s="4" t="s">
        <v>2019</v>
      </c>
      <c r="R2309" s="4" t="s">
        <v>1997</v>
      </c>
      <c r="S2309" s="4"/>
      <c r="T2309" s="4"/>
      <c r="U2309" s="4"/>
      <c r="V2309" s="4"/>
      <c r="W2309" s="4"/>
      <c r="X2309" s="4"/>
      <c r="Y2309" s="4"/>
      <c r="Z2309" s="4"/>
      <c r="AA2309" s="4"/>
      <c r="AB2309" s="4"/>
      <c r="AC2309" s="4"/>
      <c r="AD2309" s="4"/>
      <c r="AE2309" s="4"/>
      <c r="AF2309" s="4"/>
      <c r="AG2309" s="4"/>
      <c r="AH2309" s="4"/>
      <c r="AI2309" s="4"/>
      <c r="AJ2309" s="4"/>
      <c r="AK2309" s="4"/>
      <c r="AL2309" s="4"/>
      <c r="AM2309" s="4" t="s">
        <v>2020</v>
      </c>
    </row>
    <row r="2310" customFormat="false" ht="15" hidden="false" customHeight="false" outlineLevel="0" collapsed="false">
      <c r="A2310" s="4" t="s">
        <v>1987</v>
      </c>
      <c r="B2310" s="4" t="s">
        <v>3157</v>
      </c>
      <c r="C2310" s="4" t="s">
        <v>3158</v>
      </c>
      <c r="D2310" s="12" t="n">
        <v>2018</v>
      </c>
      <c r="E2310" s="4"/>
      <c r="F2310" s="4" t="s">
        <v>1990</v>
      </c>
      <c r="G2310" s="4" t="s">
        <v>1991</v>
      </c>
      <c r="H2310" s="4" t="s">
        <v>1992</v>
      </c>
      <c r="I2310" s="4"/>
      <c r="J2310" s="4" t="s">
        <v>204</v>
      </c>
      <c r="K2310" s="4" t="s">
        <v>76</v>
      </c>
      <c r="L2310" s="4" t="s">
        <v>77</v>
      </c>
      <c r="M2310" s="4" t="s">
        <v>2018</v>
      </c>
      <c r="N2310" s="4" t="s">
        <v>2001</v>
      </c>
      <c r="O2310" s="4" t="s">
        <v>66</v>
      </c>
      <c r="P2310" s="4" t="s">
        <v>66</v>
      </c>
      <c r="Q2310" s="4" t="s">
        <v>2019</v>
      </c>
      <c r="R2310" s="4" t="s">
        <v>1997</v>
      </c>
      <c r="S2310" s="4"/>
      <c r="T2310" s="4"/>
      <c r="U2310" s="4"/>
      <c r="V2310" s="4"/>
      <c r="W2310" s="4"/>
      <c r="X2310" s="4"/>
      <c r="Y2310" s="4"/>
      <c r="Z2310" s="4"/>
      <c r="AA2310" s="4"/>
      <c r="AB2310" s="4"/>
      <c r="AC2310" s="4"/>
      <c r="AD2310" s="4"/>
      <c r="AE2310" s="4"/>
      <c r="AF2310" s="4"/>
      <c r="AG2310" s="4"/>
      <c r="AH2310" s="4"/>
      <c r="AI2310" s="4"/>
      <c r="AJ2310" s="4"/>
      <c r="AK2310" s="4"/>
      <c r="AL2310" s="4"/>
      <c r="AM2310" s="4" t="s">
        <v>2023</v>
      </c>
    </row>
    <row r="2311" customFormat="false" ht="15" hidden="false" customHeight="false" outlineLevel="0" collapsed="false">
      <c r="A2311" s="4" t="s">
        <v>1987</v>
      </c>
      <c r="B2311" s="4" t="s">
        <v>3159</v>
      </c>
      <c r="C2311" s="4" t="s">
        <v>3160</v>
      </c>
      <c r="D2311" s="12" t="n">
        <v>2018</v>
      </c>
      <c r="E2311" s="4"/>
      <c r="F2311" s="4" t="s">
        <v>1990</v>
      </c>
      <c r="G2311" s="4" t="s">
        <v>1991</v>
      </c>
      <c r="H2311" s="4" t="s">
        <v>1992</v>
      </c>
      <c r="I2311" s="4"/>
      <c r="J2311" s="4" t="s">
        <v>204</v>
      </c>
      <c r="K2311" s="4" t="s">
        <v>76</v>
      </c>
      <c r="L2311" s="4" t="s">
        <v>77</v>
      </c>
      <c r="M2311" s="4" t="s">
        <v>1993</v>
      </c>
      <c r="N2311" s="4" t="s">
        <v>1994</v>
      </c>
      <c r="O2311" s="4" t="s">
        <v>1995</v>
      </c>
      <c r="P2311" s="4" t="s">
        <v>66</v>
      </c>
      <c r="Q2311" s="4" t="s">
        <v>2019</v>
      </c>
      <c r="R2311" s="4" t="s">
        <v>1997</v>
      </c>
      <c r="S2311" s="4"/>
      <c r="T2311" s="4"/>
      <c r="U2311" s="4"/>
      <c r="V2311" s="4"/>
      <c r="W2311" s="4"/>
      <c r="X2311" s="4"/>
      <c r="Y2311" s="4"/>
      <c r="Z2311" s="4"/>
      <c r="AA2311" s="4"/>
      <c r="AB2311" s="4"/>
      <c r="AC2311" s="4"/>
      <c r="AD2311" s="4"/>
      <c r="AE2311" s="4"/>
      <c r="AF2311" s="4"/>
      <c r="AG2311" s="4"/>
      <c r="AH2311" s="4"/>
      <c r="AI2311" s="4"/>
      <c r="AJ2311" s="4"/>
      <c r="AK2311" s="4"/>
      <c r="AL2311" s="4"/>
      <c r="AM2311" s="4" t="s">
        <v>2026</v>
      </c>
    </row>
    <row r="2312" customFormat="false" ht="23.85" hidden="false" customHeight="false" outlineLevel="0" collapsed="false">
      <c r="A2312" s="4" t="s">
        <v>1987</v>
      </c>
      <c r="B2312" s="4" t="s">
        <v>3161</v>
      </c>
      <c r="C2312" s="4" t="s">
        <v>3162</v>
      </c>
      <c r="D2312" s="12" t="n">
        <v>2018</v>
      </c>
      <c r="E2312" s="4"/>
      <c r="F2312" s="4" t="s">
        <v>1990</v>
      </c>
      <c r="G2312" s="4" t="s">
        <v>1991</v>
      </c>
      <c r="H2312" s="4" t="s">
        <v>1992</v>
      </c>
      <c r="I2312" s="4"/>
      <c r="J2312" s="4" t="s">
        <v>206</v>
      </c>
      <c r="K2312" s="4" t="s">
        <v>76</v>
      </c>
      <c r="L2312" s="4" t="s">
        <v>77</v>
      </c>
      <c r="M2312" s="4" t="s">
        <v>1993</v>
      </c>
      <c r="N2312" s="4" t="s">
        <v>1994</v>
      </c>
      <c r="O2312" s="4" t="s">
        <v>2029</v>
      </c>
      <c r="P2312" s="4" t="s">
        <v>69</v>
      </c>
      <c r="Q2312" s="4" t="s">
        <v>2030</v>
      </c>
      <c r="R2312" s="4" t="s">
        <v>1997</v>
      </c>
      <c r="S2312" s="4"/>
      <c r="T2312" s="4"/>
      <c r="U2312" s="4"/>
      <c r="V2312" s="4"/>
      <c r="W2312" s="4"/>
      <c r="X2312" s="4"/>
      <c r="Y2312" s="4"/>
      <c r="Z2312" s="4"/>
      <c r="AA2312" s="4"/>
      <c r="AB2312" s="4"/>
      <c r="AC2312" s="4"/>
      <c r="AD2312" s="4"/>
      <c r="AE2312" s="4"/>
      <c r="AF2312" s="4"/>
      <c r="AG2312" s="4"/>
      <c r="AH2312" s="4"/>
      <c r="AI2312" s="4"/>
      <c r="AJ2312" s="4"/>
      <c r="AK2312" s="4"/>
      <c r="AL2312" s="4"/>
      <c r="AM2312" s="4" t="s">
        <v>2031</v>
      </c>
    </row>
    <row r="2313" customFormat="false" ht="23.85" hidden="false" customHeight="false" outlineLevel="0" collapsed="false">
      <c r="A2313" s="4" t="s">
        <v>1987</v>
      </c>
      <c r="B2313" s="4" t="s">
        <v>3163</v>
      </c>
      <c r="C2313" s="4" t="s">
        <v>3164</v>
      </c>
      <c r="D2313" s="12" t="n">
        <v>2018</v>
      </c>
      <c r="E2313" s="4"/>
      <c r="F2313" s="4" t="s">
        <v>1990</v>
      </c>
      <c r="G2313" s="4" t="s">
        <v>1991</v>
      </c>
      <c r="H2313" s="4" t="s">
        <v>1992</v>
      </c>
      <c r="I2313" s="4"/>
      <c r="J2313" s="4" t="s">
        <v>208</v>
      </c>
      <c r="K2313" s="4" t="s">
        <v>76</v>
      </c>
      <c r="L2313" s="4" t="s">
        <v>77</v>
      </c>
      <c r="M2313" s="4" t="s">
        <v>1993</v>
      </c>
      <c r="N2313" s="4" t="s">
        <v>2001</v>
      </c>
      <c r="O2313" s="4" t="s">
        <v>2034</v>
      </c>
      <c r="P2313" s="4" t="s">
        <v>74</v>
      </c>
      <c r="Q2313" s="4" t="s">
        <v>2035</v>
      </c>
      <c r="R2313" s="4" t="s">
        <v>2036</v>
      </c>
      <c r="S2313" s="4"/>
      <c r="T2313" s="4"/>
      <c r="U2313" s="4"/>
      <c r="V2313" s="4"/>
      <c r="W2313" s="4"/>
      <c r="X2313" s="4"/>
      <c r="Y2313" s="4"/>
      <c r="Z2313" s="4"/>
      <c r="AA2313" s="4"/>
      <c r="AB2313" s="4"/>
      <c r="AC2313" s="4"/>
      <c r="AD2313" s="4"/>
      <c r="AE2313" s="4"/>
      <c r="AF2313" s="4"/>
      <c r="AG2313" s="4"/>
      <c r="AH2313" s="4"/>
      <c r="AI2313" s="4"/>
      <c r="AJ2313" s="4"/>
      <c r="AK2313" s="4"/>
      <c r="AL2313" s="4"/>
      <c r="AM2313" s="4" t="s">
        <v>2037</v>
      </c>
    </row>
    <row r="2314" customFormat="false" ht="23.85" hidden="false" customHeight="false" outlineLevel="0" collapsed="false">
      <c r="A2314" s="4" t="s">
        <v>1987</v>
      </c>
      <c r="B2314" s="4" t="s">
        <v>3165</v>
      </c>
      <c r="C2314" s="4" t="s">
        <v>3166</v>
      </c>
      <c r="D2314" s="12" t="n">
        <v>2018</v>
      </c>
      <c r="E2314" s="4"/>
      <c r="F2314" s="4" t="s">
        <v>1990</v>
      </c>
      <c r="G2314" s="4" t="s">
        <v>1991</v>
      </c>
      <c r="H2314" s="4" t="s">
        <v>1992</v>
      </c>
      <c r="I2314" s="4"/>
      <c r="J2314" s="4" t="s">
        <v>210</v>
      </c>
      <c r="K2314" s="4" t="s">
        <v>76</v>
      </c>
      <c r="L2314" s="4" t="s">
        <v>77</v>
      </c>
      <c r="M2314" s="4" t="s">
        <v>1993</v>
      </c>
      <c r="N2314" s="4" t="s">
        <v>2001</v>
      </c>
      <c r="O2314" s="4" t="s">
        <v>2002</v>
      </c>
      <c r="P2314" s="4" t="s">
        <v>67</v>
      </c>
      <c r="Q2314" s="4" t="s">
        <v>2003</v>
      </c>
      <c r="R2314" s="4" t="s">
        <v>2004</v>
      </c>
      <c r="S2314" s="4"/>
      <c r="T2314" s="4"/>
      <c r="U2314" s="4"/>
      <c r="V2314" s="4"/>
      <c r="W2314" s="4"/>
      <c r="X2314" s="4"/>
      <c r="Y2314" s="4"/>
      <c r="Z2314" s="4"/>
      <c r="AA2314" s="4"/>
      <c r="AB2314" s="4"/>
      <c r="AC2314" s="4"/>
      <c r="AD2314" s="4"/>
      <c r="AE2314" s="4"/>
      <c r="AF2314" s="4"/>
      <c r="AG2314" s="4"/>
      <c r="AH2314" s="4"/>
      <c r="AI2314" s="4"/>
      <c r="AJ2314" s="4"/>
      <c r="AK2314" s="4"/>
      <c r="AL2314" s="4"/>
      <c r="AM2314" s="4" t="s">
        <v>2005</v>
      </c>
    </row>
    <row r="2315" customFormat="false" ht="35.05" hidden="false" customHeight="false" outlineLevel="0" collapsed="false">
      <c r="A2315" s="4" t="s">
        <v>1987</v>
      </c>
      <c r="B2315" s="4" t="s">
        <v>3167</v>
      </c>
      <c r="C2315" s="4" t="s">
        <v>3168</v>
      </c>
      <c r="D2315" s="12" t="n">
        <v>2018</v>
      </c>
      <c r="E2315" s="4"/>
      <c r="F2315" s="4" t="s">
        <v>1990</v>
      </c>
      <c r="G2315" s="4" t="s">
        <v>1991</v>
      </c>
      <c r="H2315" s="4" t="s">
        <v>1992</v>
      </c>
      <c r="I2315" s="4"/>
      <c r="J2315" s="4" t="s">
        <v>219</v>
      </c>
      <c r="K2315" s="4" t="s">
        <v>78</v>
      </c>
      <c r="L2315" s="4" t="s">
        <v>79</v>
      </c>
      <c r="M2315" s="4" t="s">
        <v>2018</v>
      </c>
      <c r="N2315" s="4" t="s">
        <v>1994</v>
      </c>
      <c r="O2315" s="4" t="s">
        <v>65</v>
      </c>
      <c r="P2315" s="4" t="s">
        <v>64</v>
      </c>
      <c r="Q2315" s="4" t="s">
        <v>2044</v>
      </c>
      <c r="R2315" s="4" t="s">
        <v>1997</v>
      </c>
      <c r="S2315" s="4"/>
      <c r="T2315" s="4"/>
      <c r="U2315" s="4"/>
      <c r="V2315" s="4"/>
      <c r="W2315" s="4"/>
      <c r="X2315" s="4"/>
      <c r="Y2315" s="4"/>
      <c r="Z2315" s="4"/>
      <c r="AA2315" s="4"/>
      <c r="AB2315" s="4"/>
      <c r="AC2315" s="4"/>
      <c r="AD2315" s="4"/>
      <c r="AE2315" s="4"/>
      <c r="AF2315" s="4"/>
      <c r="AG2315" s="4"/>
      <c r="AH2315" s="4"/>
      <c r="AI2315" s="4"/>
      <c r="AJ2315" s="4"/>
      <c r="AK2315" s="4"/>
      <c r="AL2315" s="4"/>
      <c r="AM2315" s="4" t="s">
        <v>2045</v>
      </c>
    </row>
    <row r="2316" customFormat="false" ht="23.85" hidden="false" customHeight="false" outlineLevel="0" collapsed="false">
      <c r="A2316" s="4" t="s">
        <v>1987</v>
      </c>
      <c r="B2316" s="4" t="s">
        <v>3169</v>
      </c>
      <c r="C2316" s="4" t="s">
        <v>3170</v>
      </c>
      <c r="D2316" s="12" t="n">
        <v>2018</v>
      </c>
      <c r="E2316" s="4"/>
      <c r="F2316" s="4" t="s">
        <v>1990</v>
      </c>
      <c r="G2316" s="4" t="s">
        <v>1991</v>
      </c>
      <c r="H2316" s="4" t="s">
        <v>1992</v>
      </c>
      <c r="I2316" s="4"/>
      <c r="J2316" s="4" t="s">
        <v>224</v>
      </c>
      <c r="K2316" s="4" t="s">
        <v>78</v>
      </c>
      <c r="L2316" s="4" t="s">
        <v>79</v>
      </c>
      <c r="M2316" s="4" t="s">
        <v>2018</v>
      </c>
      <c r="N2316" s="4" t="s">
        <v>2001</v>
      </c>
      <c r="O2316" s="4" t="s">
        <v>66</v>
      </c>
      <c r="P2316" s="4" t="s">
        <v>67</v>
      </c>
      <c r="Q2316" s="4" t="s">
        <v>2003</v>
      </c>
      <c r="R2316" s="4" t="s">
        <v>2004</v>
      </c>
      <c r="S2316" s="4"/>
      <c r="T2316" s="4"/>
      <c r="U2316" s="4"/>
      <c r="V2316" s="4"/>
      <c r="W2316" s="4"/>
      <c r="X2316" s="4"/>
      <c r="Y2316" s="4"/>
      <c r="Z2316" s="4"/>
      <c r="AA2316" s="4"/>
      <c r="AB2316" s="4"/>
      <c r="AC2316" s="4"/>
      <c r="AD2316" s="4"/>
      <c r="AE2316" s="4"/>
      <c r="AF2316" s="4"/>
      <c r="AG2316" s="4"/>
      <c r="AH2316" s="4"/>
      <c r="AI2316" s="4"/>
      <c r="AJ2316" s="4"/>
      <c r="AK2316" s="4"/>
      <c r="AL2316" s="4"/>
      <c r="AM2316" s="4" t="s">
        <v>2048</v>
      </c>
    </row>
    <row r="2317" customFormat="false" ht="35.05" hidden="false" customHeight="false" outlineLevel="0" collapsed="false">
      <c r="A2317" s="4" t="s">
        <v>1987</v>
      </c>
      <c r="B2317" s="4" t="s">
        <v>3171</v>
      </c>
      <c r="C2317" s="4" t="s">
        <v>3172</v>
      </c>
      <c r="D2317" s="12" t="n">
        <v>2018</v>
      </c>
      <c r="E2317" s="4"/>
      <c r="F2317" s="4" t="s">
        <v>1990</v>
      </c>
      <c r="G2317" s="4" t="s">
        <v>1991</v>
      </c>
      <c r="H2317" s="4" t="s">
        <v>1992</v>
      </c>
      <c r="I2317" s="4"/>
      <c r="J2317" s="4" t="s">
        <v>233</v>
      </c>
      <c r="K2317" s="4" t="s">
        <v>80</v>
      </c>
      <c r="L2317" s="4" t="s">
        <v>81</v>
      </c>
      <c r="M2317" s="4" t="s">
        <v>2018</v>
      </c>
      <c r="N2317" s="4" t="s">
        <v>1994</v>
      </c>
      <c r="O2317" s="4" t="s">
        <v>65</v>
      </c>
      <c r="P2317" s="4" t="s">
        <v>64</v>
      </c>
      <c r="Q2317" s="4" t="s">
        <v>2044</v>
      </c>
      <c r="R2317" s="4" t="s">
        <v>1997</v>
      </c>
      <c r="S2317" s="4"/>
      <c r="T2317" s="4"/>
      <c r="U2317" s="4"/>
      <c r="V2317" s="4"/>
      <c r="W2317" s="4"/>
      <c r="X2317" s="4"/>
      <c r="Y2317" s="4"/>
      <c r="Z2317" s="4"/>
      <c r="AA2317" s="4"/>
      <c r="AB2317" s="4"/>
      <c r="AC2317" s="4"/>
      <c r="AD2317" s="4"/>
      <c r="AE2317" s="4"/>
      <c r="AF2317" s="4"/>
      <c r="AG2317" s="4"/>
      <c r="AH2317" s="4"/>
      <c r="AI2317" s="4"/>
      <c r="AJ2317" s="4"/>
      <c r="AK2317" s="4"/>
      <c r="AL2317" s="4"/>
      <c r="AM2317" s="4" t="s">
        <v>2045</v>
      </c>
    </row>
    <row r="2318" customFormat="false" ht="23.85" hidden="false" customHeight="false" outlineLevel="0" collapsed="false">
      <c r="A2318" s="4" t="s">
        <v>1987</v>
      </c>
      <c r="B2318" s="4" t="s">
        <v>3173</v>
      </c>
      <c r="C2318" s="4" t="s">
        <v>3174</v>
      </c>
      <c r="D2318" s="12" t="n">
        <v>2018</v>
      </c>
      <c r="E2318" s="4"/>
      <c r="F2318" s="4" t="s">
        <v>1990</v>
      </c>
      <c r="G2318" s="4" t="s">
        <v>1991</v>
      </c>
      <c r="H2318" s="4" t="s">
        <v>1992</v>
      </c>
      <c r="I2318" s="4"/>
      <c r="J2318" s="4" t="s">
        <v>238</v>
      </c>
      <c r="K2318" s="4" t="s">
        <v>80</v>
      </c>
      <c r="L2318" s="4" t="s">
        <v>81</v>
      </c>
      <c r="M2318" s="4" t="s">
        <v>2018</v>
      </c>
      <c r="N2318" s="4" t="s">
        <v>2001</v>
      </c>
      <c r="O2318" s="4" t="s">
        <v>66</v>
      </c>
      <c r="P2318" s="4" t="s">
        <v>67</v>
      </c>
      <c r="Q2318" s="4" t="s">
        <v>2003</v>
      </c>
      <c r="R2318" s="4" t="s">
        <v>2004</v>
      </c>
      <c r="S2318" s="4"/>
      <c r="T2318" s="4"/>
      <c r="U2318" s="4"/>
      <c r="V2318" s="4"/>
      <c r="W2318" s="4"/>
      <c r="X2318" s="4"/>
      <c r="Y2318" s="4"/>
      <c r="Z2318" s="4"/>
      <c r="AA2318" s="4"/>
      <c r="AB2318" s="4"/>
      <c r="AC2318" s="4"/>
      <c r="AD2318" s="4"/>
      <c r="AE2318" s="4"/>
      <c r="AF2318" s="4"/>
      <c r="AG2318" s="4"/>
      <c r="AH2318" s="4"/>
      <c r="AI2318" s="4"/>
      <c r="AJ2318" s="4"/>
      <c r="AK2318" s="4"/>
      <c r="AL2318" s="4"/>
      <c r="AM2318" s="4" t="s">
        <v>2048</v>
      </c>
    </row>
    <row r="2319" customFormat="false" ht="35.05" hidden="false" customHeight="false" outlineLevel="0" collapsed="false">
      <c r="A2319" s="4" t="s">
        <v>1987</v>
      </c>
      <c r="B2319" s="4" t="s">
        <v>3175</v>
      </c>
      <c r="C2319" s="4" t="s">
        <v>3176</v>
      </c>
      <c r="D2319" s="12" t="n">
        <v>2018</v>
      </c>
      <c r="E2319" s="4"/>
      <c r="F2319" s="4" t="s">
        <v>1990</v>
      </c>
      <c r="G2319" s="4" t="s">
        <v>1991</v>
      </c>
      <c r="H2319" s="4" t="s">
        <v>1992</v>
      </c>
      <c r="I2319" s="4"/>
      <c r="J2319" s="4" t="s">
        <v>247</v>
      </c>
      <c r="K2319" s="4" t="s">
        <v>84</v>
      </c>
      <c r="L2319" s="4" t="s">
        <v>85</v>
      </c>
      <c r="M2319" s="4" t="s">
        <v>2018</v>
      </c>
      <c r="N2319" s="4" t="s">
        <v>1994</v>
      </c>
      <c r="O2319" s="4" t="s">
        <v>65</v>
      </c>
      <c r="P2319" s="4" t="s">
        <v>64</v>
      </c>
      <c r="Q2319" s="4" t="s">
        <v>2044</v>
      </c>
      <c r="R2319" s="4" t="s">
        <v>1997</v>
      </c>
      <c r="S2319" s="4"/>
      <c r="T2319" s="4"/>
      <c r="U2319" s="4"/>
      <c r="V2319" s="4"/>
      <c r="W2319" s="4"/>
      <c r="X2319" s="4"/>
      <c r="Y2319" s="4"/>
      <c r="Z2319" s="4"/>
      <c r="AA2319" s="4"/>
      <c r="AB2319" s="4"/>
      <c r="AC2319" s="4"/>
      <c r="AD2319" s="4"/>
      <c r="AE2319" s="4"/>
      <c r="AF2319" s="4"/>
      <c r="AG2319" s="4"/>
      <c r="AH2319" s="4"/>
      <c r="AI2319" s="4"/>
      <c r="AJ2319" s="4"/>
      <c r="AK2319" s="4"/>
      <c r="AL2319" s="4"/>
      <c r="AM2319" s="4" t="s">
        <v>2045</v>
      </c>
    </row>
    <row r="2320" customFormat="false" ht="23.85" hidden="false" customHeight="false" outlineLevel="0" collapsed="false">
      <c r="A2320" s="4" t="s">
        <v>1987</v>
      </c>
      <c r="B2320" s="4" t="s">
        <v>3177</v>
      </c>
      <c r="C2320" s="4" t="s">
        <v>3178</v>
      </c>
      <c r="D2320" s="12" t="n">
        <v>2018</v>
      </c>
      <c r="E2320" s="4"/>
      <c r="F2320" s="4" t="s">
        <v>1990</v>
      </c>
      <c r="G2320" s="4" t="s">
        <v>1991</v>
      </c>
      <c r="H2320" s="4" t="s">
        <v>1992</v>
      </c>
      <c r="I2320" s="4"/>
      <c r="J2320" s="4" t="s">
        <v>252</v>
      </c>
      <c r="K2320" s="4" t="s">
        <v>84</v>
      </c>
      <c r="L2320" s="4" t="s">
        <v>85</v>
      </c>
      <c r="M2320" s="4" t="s">
        <v>2018</v>
      </c>
      <c r="N2320" s="4" t="s">
        <v>2001</v>
      </c>
      <c r="O2320" s="4" t="s">
        <v>66</v>
      </c>
      <c r="P2320" s="4" t="s">
        <v>67</v>
      </c>
      <c r="Q2320" s="4" t="s">
        <v>2003</v>
      </c>
      <c r="R2320" s="4" t="s">
        <v>2004</v>
      </c>
      <c r="S2320" s="4"/>
      <c r="T2320" s="4"/>
      <c r="U2320" s="4"/>
      <c r="V2320" s="4"/>
      <c r="W2320" s="4"/>
      <c r="X2320" s="4"/>
      <c r="Y2320" s="4"/>
      <c r="Z2320" s="4"/>
      <c r="AA2320" s="4"/>
      <c r="AB2320" s="4"/>
      <c r="AC2320" s="4"/>
      <c r="AD2320" s="4"/>
      <c r="AE2320" s="4"/>
      <c r="AF2320" s="4"/>
      <c r="AG2320" s="4"/>
      <c r="AH2320" s="4"/>
      <c r="AI2320" s="4"/>
      <c r="AJ2320" s="4"/>
      <c r="AK2320" s="4"/>
      <c r="AL2320" s="4"/>
      <c r="AM2320" s="4" t="s">
        <v>2048</v>
      </c>
    </row>
    <row r="2321" customFormat="false" ht="23.85" hidden="false" customHeight="false" outlineLevel="0" collapsed="false">
      <c r="A2321" s="4" t="s">
        <v>1987</v>
      </c>
      <c r="B2321" s="4" t="s">
        <v>3179</v>
      </c>
      <c r="C2321" s="4" t="s">
        <v>3180</v>
      </c>
      <c r="D2321" s="12" t="n">
        <v>2018</v>
      </c>
      <c r="E2321" s="4"/>
      <c r="F2321" s="4" t="s">
        <v>1990</v>
      </c>
      <c r="G2321" s="4" t="s">
        <v>1991</v>
      </c>
      <c r="H2321" s="4" t="s">
        <v>1992</v>
      </c>
      <c r="I2321" s="4"/>
      <c r="J2321" s="4" t="s">
        <v>253</v>
      </c>
      <c r="K2321" s="4" t="s">
        <v>84</v>
      </c>
      <c r="L2321" s="4" t="s">
        <v>85</v>
      </c>
      <c r="M2321" s="4" t="s">
        <v>2018</v>
      </c>
      <c r="N2321" s="4" t="s">
        <v>2001</v>
      </c>
      <c r="O2321" s="4" t="s">
        <v>66</v>
      </c>
      <c r="P2321" s="4" t="s">
        <v>67</v>
      </c>
      <c r="Q2321" s="4" t="s">
        <v>2008</v>
      </c>
      <c r="R2321" s="4" t="s">
        <v>2004</v>
      </c>
      <c r="S2321" s="4"/>
      <c r="T2321" s="4"/>
      <c r="U2321" s="4"/>
      <c r="V2321" s="4"/>
      <c r="W2321" s="4"/>
      <c r="X2321" s="4"/>
      <c r="Y2321" s="4"/>
      <c r="Z2321" s="4"/>
      <c r="AA2321" s="4"/>
      <c r="AB2321" s="4"/>
      <c r="AC2321" s="4"/>
      <c r="AD2321" s="4"/>
      <c r="AE2321" s="4"/>
      <c r="AF2321" s="4"/>
      <c r="AG2321" s="4"/>
      <c r="AH2321" s="4"/>
      <c r="AI2321" s="4"/>
      <c r="AJ2321" s="4"/>
      <c r="AK2321" s="4"/>
      <c r="AL2321" s="4"/>
      <c r="AM2321" s="4" t="s">
        <v>2067</v>
      </c>
    </row>
    <row r="2322" customFormat="false" ht="23.85" hidden="false" customHeight="false" outlineLevel="0" collapsed="false">
      <c r="A2322" s="4" t="s">
        <v>1987</v>
      </c>
      <c r="B2322" s="4" t="s">
        <v>3181</v>
      </c>
      <c r="C2322" s="4" t="s">
        <v>3182</v>
      </c>
      <c r="D2322" s="12" t="n">
        <v>2018</v>
      </c>
      <c r="E2322" s="4"/>
      <c r="F2322" s="4" t="s">
        <v>1990</v>
      </c>
      <c r="G2322" s="4" t="s">
        <v>1991</v>
      </c>
      <c r="H2322" s="4" t="s">
        <v>1992</v>
      </c>
      <c r="I2322" s="4"/>
      <c r="J2322" s="4" t="s">
        <v>261</v>
      </c>
      <c r="K2322" s="4" t="s">
        <v>109</v>
      </c>
      <c r="L2322" s="4" t="s">
        <v>110</v>
      </c>
      <c r="M2322" s="4" t="s">
        <v>1993</v>
      </c>
      <c r="N2322" s="4" t="s">
        <v>1994</v>
      </c>
      <c r="O2322" s="4" t="s">
        <v>1995</v>
      </c>
      <c r="P2322" s="4" t="s">
        <v>65</v>
      </c>
      <c r="Q2322" s="4" t="s">
        <v>2070</v>
      </c>
      <c r="R2322" s="4" t="s">
        <v>1997</v>
      </c>
      <c r="S2322" s="4"/>
      <c r="T2322" s="4"/>
      <c r="U2322" s="4"/>
      <c r="V2322" s="4"/>
      <c r="W2322" s="4"/>
      <c r="X2322" s="4"/>
      <c r="Y2322" s="4"/>
      <c r="Z2322" s="4"/>
      <c r="AA2322" s="4"/>
      <c r="AB2322" s="4"/>
      <c r="AC2322" s="4"/>
      <c r="AD2322" s="4"/>
      <c r="AE2322" s="4"/>
      <c r="AF2322" s="4"/>
      <c r="AG2322" s="4"/>
      <c r="AH2322" s="4"/>
      <c r="AI2322" s="4"/>
      <c r="AJ2322" s="4"/>
      <c r="AK2322" s="4"/>
      <c r="AL2322" s="4"/>
      <c r="AM2322" s="4" t="s">
        <v>2071</v>
      </c>
    </row>
    <row r="2323" customFormat="false" ht="23.85" hidden="false" customHeight="false" outlineLevel="0" collapsed="false">
      <c r="A2323" s="4" t="s">
        <v>1987</v>
      </c>
      <c r="B2323" s="4" t="s">
        <v>3183</v>
      </c>
      <c r="C2323" s="4" t="s">
        <v>3184</v>
      </c>
      <c r="D2323" s="12" t="n">
        <v>2018</v>
      </c>
      <c r="E2323" s="4"/>
      <c r="F2323" s="4" t="s">
        <v>1990</v>
      </c>
      <c r="G2323" s="4" t="s">
        <v>1991</v>
      </c>
      <c r="H2323" s="4" t="s">
        <v>1992</v>
      </c>
      <c r="I2323" s="4"/>
      <c r="J2323" s="4" t="s">
        <v>264</v>
      </c>
      <c r="K2323" s="4" t="s">
        <v>109</v>
      </c>
      <c r="L2323" s="4" t="s">
        <v>110</v>
      </c>
      <c r="M2323" s="4" t="s">
        <v>1993</v>
      </c>
      <c r="N2323" s="4" t="s">
        <v>2001</v>
      </c>
      <c r="O2323" s="4" t="s">
        <v>2034</v>
      </c>
      <c r="P2323" s="4" t="s">
        <v>74</v>
      </c>
      <c r="Q2323" s="4" t="s">
        <v>2035</v>
      </c>
      <c r="R2323" s="4" t="s">
        <v>2036</v>
      </c>
      <c r="S2323" s="4"/>
      <c r="T2323" s="4"/>
      <c r="U2323" s="4"/>
      <c r="V2323" s="4"/>
      <c r="W2323" s="4"/>
      <c r="X2323" s="4"/>
      <c r="Y2323" s="4"/>
      <c r="Z2323" s="4"/>
      <c r="AA2323" s="4"/>
      <c r="AB2323" s="4"/>
      <c r="AC2323" s="4"/>
      <c r="AD2323" s="4"/>
      <c r="AE2323" s="4"/>
      <c r="AF2323" s="4"/>
      <c r="AG2323" s="4"/>
      <c r="AH2323" s="4"/>
      <c r="AI2323" s="4"/>
      <c r="AJ2323" s="4"/>
      <c r="AK2323" s="4"/>
      <c r="AL2323" s="4"/>
      <c r="AM2323" s="4" t="s">
        <v>2037</v>
      </c>
    </row>
    <row r="2324" customFormat="false" ht="23.85" hidden="false" customHeight="false" outlineLevel="0" collapsed="false">
      <c r="A2324" s="4" t="s">
        <v>1987</v>
      </c>
      <c r="B2324" s="4" t="s">
        <v>3185</v>
      </c>
      <c r="C2324" s="4" t="s">
        <v>3186</v>
      </c>
      <c r="D2324" s="12" t="n">
        <v>2018</v>
      </c>
      <c r="E2324" s="4"/>
      <c r="F2324" s="4" t="s">
        <v>1990</v>
      </c>
      <c r="G2324" s="4" t="s">
        <v>1991</v>
      </c>
      <c r="H2324" s="4" t="s">
        <v>1992</v>
      </c>
      <c r="I2324" s="4"/>
      <c r="J2324" s="4" t="s">
        <v>267</v>
      </c>
      <c r="K2324" s="4" t="s">
        <v>109</v>
      </c>
      <c r="L2324" s="4" t="s">
        <v>110</v>
      </c>
      <c r="M2324" s="4" t="s">
        <v>1993</v>
      </c>
      <c r="N2324" s="4" t="s">
        <v>2001</v>
      </c>
      <c r="O2324" s="4" t="s">
        <v>2002</v>
      </c>
      <c r="P2324" s="4" t="s">
        <v>67</v>
      </c>
      <c r="Q2324" s="4" t="s">
        <v>2008</v>
      </c>
      <c r="R2324" s="4" t="s">
        <v>2004</v>
      </c>
      <c r="S2324" s="4"/>
      <c r="T2324" s="4"/>
      <c r="U2324" s="4"/>
      <c r="V2324" s="4"/>
      <c r="W2324" s="4"/>
      <c r="X2324" s="4"/>
      <c r="Y2324" s="4"/>
      <c r="Z2324" s="4"/>
      <c r="AA2324" s="4"/>
      <c r="AB2324" s="4"/>
      <c r="AC2324" s="4"/>
      <c r="AD2324" s="4"/>
      <c r="AE2324" s="4"/>
      <c r="AF2324" s="4"/>
      <c r="AG2324" s="4"/>
      <c r="AH2324" s="4"/>
      <c r="AI2324" s="4"/>
      <c r="AJ2324" s="4"/>
      <c r="AK2324" s="4"/>
      <c r="AL2324" s="4"/>
      <c r="AM2324" s="4" t="s">
        <v>2009</v>
      </c>
    </row>
    <row r="2325" customFormat="false" ht="15" hidden="false" customHeight="false" outlineLevel="0" collapsed="false">
      <c r="A2325" s="4" t="s">
        <v>1987</v>
      </c>
      <c r="B2325" s="4" t="s">
        <v>3187</v>
      </c>
      <c r="C2325" s="4" t="s">
        <v>3188</v>
      </c>
      <c r="D2325" s="12" t="n">
        <v>2018</v>
      </c>
      <c r="E2325" s="4"/>
      <c r="F2325" s="4" t="s">
        <v>1990</v>
      </c>
      <c r="G2325" s="4" t="s">
        <v>1991</v>
      </c>
      <c r="H2325" s="4" t="s">
        <v>1992</v>
      </c>
      <c r="I2325" s="4"/>
      <c r="J2325" s="4" t="s">
        <v>270</v>
      </c>
      <c r="K2325" s="4" t="s">
        <v>109</v>
      </c>
      <c r="L2325" s="4" t="s">
        <v>110</v>
      </c>
      <c r="M2325" s="4" t="s">
        <v>1993</v>
      </c>
      <c r="N2325" s="4" t="s">
        <v>2001</v>
      </c>
      <c r="O2325" s="4" t="s">
        <v>2074</v>
      </c>
      <c r="P2325" s="4" t="s">
        <v>73</v>
      </c>
      <c r="Q2325" s="4" t="s">
        <v>2075</v>
      </c>
      <c r="R2325" s="4" t="s">
        <v>1997</v>
      </c>
      <c r="S2325" s="4"/>
      <c r="T2325" s="4"/>
      <c r="U2325" s="4"/>
      <c r="V2325" s="4"/>
      <c r="W2325" s="4"/>
      <c r="X2325" s="4"/>
      <c r="Y2325" s="4"/>
      <c r="Z2325" s="4"/>
      <c r="AA2325" s="4"/>
      <c r="AB2325" s="4"/>
      <c r="AC2325" s="4"/>
      <c r="AD2325" s="4"/>
      <c r="AE2325" s="4"/>
      <c r="AF2325" s="4"/>
      <c r="AG2325" s="4"/>
      <c r="AH2325" s="4"/>
      <c r="AI2325" s="4"/>
      <c r="AJ2325" s="4"/>
      <c r="AK2325" s="4"/>
      <c r="AL2325" s="4"/>
      <c r="AM2325" s="4" t="s">
        <v>2076</v>
      </c>
    </row>
    <row r="2326" customFormat="false" ht="15" hidden="false" customHeight="false" outlineLevel="0" collapsed="false">
      <c r="A2326" s="4" t="s">
        <v>1987</v>
      </c>
      <c r="B2326" s="4" t="s">
        <v>3189</v>
      </c>
      <c r="C2326" s="4" t="s">
        <v>3190</v>
      </c>
      <c r="D2326" s="12" t="n">
        <v>2018</v>
      </c>
      <c r="E2326" s="4"/>
      <c r="F2326" s="4" t="s">
        <v>1990</v>
      </c>
      <c r="G2326" s="4" t="s">
        <v>1991</v>
      </c>
      <c r="H2326" s="4" t="s">
        <v>1992</v>
      </c>
      <c r="I2326" s="4"/>
      <c r="J2326" s="4" t="s">
        <v>271</v>
      </c>
      <c r="K2326" s="4" t="s">
        <v>109</v>
      </c>
      <c r="L2326" s="4" t="s">
        <v>110</v>
      </c>
      <c r="M2326" s="4" t="s">
        <v>1993</v>
      </c>
      <c r="N2326" s="4" t="s">
        <v>2001</v>
      </c>
      <c r="O2326" s="4" t="s">
        <v>2002</v>
      </c>
      <c r="P2326" s="4" t="s">
        <v>72</v>
      </c>
      <c r="Q2326" s="4" t="s">
        <v>2079</v>
      </c>
      <c r="R2326" s="4" t="s">
        <v>1997</v>
      </c>
      <c r="S2326" s="4"/>
      <c r="T2326" s="4"/>
      <c r="U2326" s="4"/>
      <c r="V2326" s="4"/>
      <c r="W2326" s="4"/>
      <c r="X2326" s="4"/>
      <c r="Y2326" s="4"/>
      <c r="Z2326" s="4"/>
      <c r="AA2326" s="4"/>
      <c r="AB2326" s="4"/>
      <c r="AC2326" s="4"/>
      <c r="AD2326" s="4"/>
      <c r="AE2326" s="4"/>
      <c r="AF2326" s="4"/>
      <c r="AG2326" s="4"/>
      <c r="AH2326" s="4"/>
      <c r="AI2326" s="4"/>
      <c r="AJ2326" s="4"/>
      <c r="AK2326" s="4"/>
      <c r="AL2326" s="4"/>
      <c r="AM2326" s="4" t="s">
        <v>2080</v>
      </c>
    </row>
    <row r="2327" customFormat="false" ht="23.85" hidden="false" customHeight="false" outlineLevel="0" collapsed="false">
      <c r="A2327" s="4" t="s">
        <v>1987</v>
      </c>
      <c r="B2327" s="4" t="s">
        <v>3191</v>
      </c>
      <c r="C2327" s="4" t="s">
        <v>3192</v>
      </c>
      <c r="D2327" s="12" t="n">
        <v>2018</v>
      </c>
      <c r="E2327" s="4"/>
      <c r="F2327" s="4" t="s">
        <v>1990</v>
      </c>
      <c r="G2327" s="4" t="s">
        <v>1991</v>
      </c>
      <c r="H2327" s="4" t="s">
        <v>1992</v>
      </c>
      <c r="I2327" s="4"/>
      <c r="J2327" s="4" t="s">
        <v>275</v>
      </c>
      <c r="K2327" s="4" t="s">
        <v>86</v>
      </c>
      <c r="L2327" s="4" t="s">
        <v>87</v>
      </c>
      <c r="M2327" s="4" t="s">
        <v>2018</v>
      </c>
      <c r="N2327" s="4" t="s">
        <v>1994</v>
      </c>
      <c r="O2327" s="4" t="s">
        <v>65</v>
      </c>
      <c r="P2327" s="4" t="s">
        <v>64</v>
      </c>
      <c r="Q2327" s="4" t="s">
        <v>2019</v>
      </c>
      <c r="R2327" s="4" t="s">
        <v>1997</v>
      </c>
      <c r="S2327" s="4"/>
      <c r="T2327" s="4"/>
      <c r="U2327" s="4"/>
      <c r="V2327" s="4"/>
      <c r="W2327" s="4"/>
      <c r="X2327" s="4"/>
      <c r="Y2327" s="4"/>
      <c r="Z2327" s="4"/>
      <c r="AA2327" s="4"/>
      <c r="AB2327" s="4"/>
      <c r="AC2327" s="4"/>
      <c r="AD2327" s="4"/>
      <c r="AE2327" s="4"/>
      <c r="AF2327" s="4"/>
      <c r="AG2327" s="4"/>
      <c r="AH2327" s="4"/>
      <c r="AI2327" s="4"/>
      <c r="AJ2327" s="4"/>
      <c r="AK2327" s="4"/>
      <c r="AL2327" s="4"/>
      <c r="AM2327" s="4" t="s">
        <v>2020</v>
      </c>
    </row>
    <row r="2328" customFormat="false" ht="15" hidden="false" customHeight="false" outlineLevel="0" collapsed="false">
      <c r="A2328" s="4" t="s">
        <v>1987</v>
      </c>
      <c r="B2328" s="4" t="s">
        <v>3193</v>
      </c>
      <c r="C2328" s="4" t="s">
        <v>3194</v>
      </c>
      <c r="D2328" s="12" t="n">
        <v>2018</v>
      </c>
      <c r="E2328" s="4"/>
      <c r="F2328" s="4" t="s">
        <v>1990</v>
      </c>
      <c r="G2328" s="4" t="s">
        <v>1991</v>
      </c>
      <c r="H2328" s="4" t="s">
        <v>1992</v>
      </c>
      <c r="I2328" s="4"/>
      <c r="J2328" s="4" t="s">
        <v>275</v>
      </c>
      <c r="K2328" s="4" t="s">
        <v>86</v>
      </c>
      <c r="L2328" s="4" t="s">
        <v>87</v>
      </c>
      <c r="M2328" s="4" t="s">
        <v>2018</v>
      </c>
      <c r="N2328" s="4" t="s">
        <v>2001</v>
      </c>
      <c r="O2328" s="4" t="s">
        <v>66</v>
      </c>
      <c r="P2328" s="4" t="s">
        <v>66</v>
      </c>
      <c r="Q2328" s="4" t="s">
        <v>2019</v>
      </c>
      <c r="R2328" s="4" t="s">
        <v>1997</v>
      </c>
      <c r="S2328" s="4"/>
      <c r="T2328" s="4"/>
      <c r="U2328" s="4"/>
      <c r="V2328" s="4"/>
      <c r="W2328" s="4"/>
      <c r="X2328" s="4"/>
      <c r="Y2328" s="4"/>
      <c r="Z2328" s="4"/>
      <c r="AA2328" s="4"/>
      <c r="AB2328" s="4"/>
      <c r="AC2328" s="4"/>
      <c r="AD2328" s="4"/>
      <c r="AE2328" s="4"/>
      <c r="AF2328" s="4"/>
      <c r="AG2328" s="4"/>
      <c r="AH2328" s="4"/>
      <c r="AI2328" s="4"/>
      <c r="AJ2328" s="4"/>
      <c r="AK2328" s="4"/>
      <c r="AL2328" s="4"/>
      <c r="AM2328" s="4" t="s">
        <v>2023</v>
      </c>
    </row>
    <row r="2329" customFormat="false" ht="15" hidden="false" customHeight="false" outlineLevel="0" collapsed="false">
      <c r="A2329" s="4" t="s">
        <v>1987</v>
      </c>
      <c r="B2329" s="4" t="s">
        <v>3195</v>
      </c>
      <c r="C2329" s="4" t="s">
        <v>3196</v>
      </c>
      <c r="D2329" s="12" t="n">
        <v>2018</v>
      </c>
      <c r="E2329" s="4"/>
      <c r="F2329" s="4" t="s">
        <v>1990</v>
      </c>
      <c r="G2329" s="4" t="s">
        <v>1991</v>
      </c>
      <c r="H2329" s="4" t="s">
        <v>1992</v>
      </c>
      <c r="I2329" s="4"/>
      <c r="J2329" s="4" t="s">
        <v>275</v>
      </c>
      <c r="K2329" s="4" t="s">
        <v>86</v>
      </c>
      <c r="L2329" s="4" t="s">
        <v>87</v>
      </c>
      <c r="M2329" s="4" t="s">
        <v>1993</v>
      </c>
      <c r="N2329" s="4" t="s">
        <v>1994</v>
      </c>
      <c r="O2329" s="4" t="s">
        <v>1995</v>
      </c>
      <c r="P2329" s="4" t="s">
        <v>66</v>
      </c>
      <c r="Q2329" s="4" t="s">
        <v>2019</v>
      </c>
      <c r="R2329" s="4" t="s">
        <v>1997</v>
      </c>
      <c r="S2329" s="4"/>
      <c r="T2329" s="4"/>
      <c r="U2329" s="4"/>
      <c r="V2329" s="4"/>
      <c r="W2329" s="4"/>
      <c r="X2329" s="4"/>
      <c r="Y2329" s="4"/>
      <c r="Z2329" s="4"/>
      <c r="AA2329" s="4"/>
      <c r="AB2329" s="4"/>
      <c r="AC2329" s="4"/>
      <c r="AD2329" s="4"/>
      <c r="AE2329" s="4"/>
      <c r="AF2329" s="4"/>
      <c r="AG2329" s="4"/>
      <c r="AH2329" s="4"/>
      <c r="AI2329" s="4"/>
      <c r="AJ2329" s="4"/>
      <c r="AK2329" s="4"/>
      <c r="AL2329" s="4"/>
      <c r="AM2329" s="4" t="s">
        <v>2026</v>
      </c>
    </row>
    <row r="2330" customFormat="false" ht="23.85" hidden="false" customHeight="false" outlineLevel="0" collapsed="false">
      <c r="A2330" s="4" t="s">
        <v>1987</v>
      </c>
      <c r="B2330" s="4" t="s">
        <v>3197</v>
      </c>
      <c r="C2330" s="4" t="s">
        <v>3198</v>
      </c>
      <c r="D2330" s="12" t="n">
        <v>2018</v>
      </c>
      <c r="E2330" s="4"/>
      <c r="F2330" s="4" t="s">
        <v>1990</v>
      </c>
      <c r="G2330" s="4" t="s">
        <v>1991</v>
      </c>
      <c r="H2330" s="4" t="s">
        <v>1992</v>
      </c>
      <c r="I2330" s="4"/>
      <c r="J2330" s="4" t="s">
        <v>277</v>
      </c>
      <c r="K2330" s="4" t="s">
        <v>86</v>
      </c>
      <c r="L2330" s="4" t="s">
        <v>87</v>
      </c>
      <c r="M2330" s="4" t="s">
        <v>1993</v>
      </c>
      <c r="N2330" s="4" t="s">
        <v>2001</v>
      </c>
      <c r="O2330" s="4" t="s">
        <v>2091</v>
      </c>
      <c r="P2330" s="4" t="s">
        <v>69</v>
      </c>
      <c r="Q2330" s="4" t="s">
        <v>2030</v>
      </c>
      <c r="R2330" s="4" t="s">
        <v>1997</v>
      </c>
      <c r="S2330" s="4"/>
      <c r="T2330" s="4"/>
      <c r="U2330" s="4"/>
      <c r="V2330" s="4"/>
      <c r="W2330" s="4"/>
      <c r="X2330" s="4"/>
      <c r="Y2330" s="4"/>
      <c r="Z2330" s="4"/>
      <c r="AA2330" s="4"/>
      <c r="AB2330" s="4"/>
      <c r="AC2330" s="4"/>
      <c r="AD2330" s="4"/>
      <c r="AE2330" s="4"/>
      <c r="AF2330" s="4"/>
      <c r="AG2330" s="4"/>
      <c r="AH2330" s="4"/>
      <c r="AI2330" s="4"/>
      <c r="AJ2330" s="4"/>
      <c r="AK2330" s="4"/>
      <c r="AL2330" s="4"/>
      <c r="AM2330" s="4" t="s">
        <v>2092</v>
      </c>
    </row>
    <row r="2331" customFormat="false" ht="23.85" hidden="false" customHeight="false" outlineLevel="0" collapsed="false">
      <c r="A2331" s="4" t="s">
        <v>1987</v>
      </c>
      <c r="B2331" s="4" t="s">
        <v>3199</v>
      </c>
      <c r="C2331" s="4" t="s">
        <v>3200</v>
      </c>
      <c r="D2331" s="12" t="n">
        <v>2018</v>
      </c>
      <c r="E2331" s="4"/>
      <c r="F2331" s="4" t="s">
        <v>1990</v>
      </c>
      <c r="G2331" s="4" t="s">
        <v>1991</v>
      </c>
      <c r="H2331" s="4" t="s">
        <v>1992</v>
      </c>
      <c r="I2331" s="4"/>
      <c r="J2331" s="4" t="s">
        <v>278</v>
      </c>
      <c r="K2331" s="4" t="s">
        <v>86</v>
      </c>
      <c r="L2331" s="4" t="s">
        <v>87</v>
      </c>
      <c r="M2331" s="4" t="s">
        <v>1993</v>
      </c>
      <c r="N2331" s="4" t="s">
        <v>2001</v>
      </c>
      <c r="O2331" s="4" t="s">
        <v>2034</v>
      </c>
      <c r="P2331" s="4" t="s">
        <v>74</v>
      </c>
      <c r="Q2331" s="4" t="s">
        <v>2035</v>
      </c>
      <c r="R2331" s="4" t="s">
        <v>2036</v>
      </c>
      <c r="S2331" s="4"/>
      <c r="T2331" s="4"/>
      <c r="U2331" s="4"/>
      <c r="V2331" s="4"/>
      <c r="W2331" s="4"/>
      <c r="X2331" s="4"/>
      <c r="Y2331" s="4"/>
      <c r="Z2331" s="4"/>
      <c r="AA2331" s="4"/>
      <c r="AB2331" s="4"/>
      <c r="AC2331" s="4"/>
      <c r="AD2331" s="4"/>
      <c r="AE2331" s="4"/>
      <c r="AF2331" s="4"/>
      <c r="AG2331" s="4"/>
      <c r="AH2331" s="4"/>
      <c r="AI2331" s="4"/>
      <c r="AJ2331" s="4"/>
      <c r="AK2331" s="4"/>
      <c r="AL2331" s="4"/>
      <c r="AM2331" s="4" t="s">
        <v>2037</v>
      </c>
    </row>
    <row r="2332" customFormat="false" ht="23.85" hidden="false" customHeight="false" outlineLevel="0" collapsed="false">
      <c r="A2332" s="4" t="s">
        <v>1987</v>
      </c>
      <c r="B2332" s="4" t="s">
        <v>3201</v>
      </c>
      <c r="C2332" s="4" t="s">
        <v>3202</v>
      </c>
      <c r="D2332" s="12" t="n">
        <v>2018</v>
      </c>
      <c r="E2332" s="4"/>
      <c r="F2332" s="4" t="s">
        <v>1990</v>
      </c>
      <c r="G2332" s="4" t="s">
        <v>1991</v>
      </c>
      <c r="H2332" s="4" t="s">
        <v>1992</v>
      </c>
      <c r="I2332" s="4"/>
      <c r="J2332" s="4" t="s">
        <v>279</v>
      </c>
      <c r="K2332" s="4" t="s">
        <v>86</v>
      </c>
      <c r="L2332" s="4" t="s">
        <v>87</v>
      </c>
      <c r="M2332" s="4" t="s">
        <v>1993</v>
      </c>
      <c r="N2332" s="4" t="s">
        <v>2001</v>
      </c>
      <c r="O2332" s="4" t="s">
        <v>2002</v>
      </c>
      <c r="P2332" s="4" t="s">
        <v>67</v>
      </c>
      <c r="Q2332" s="4" t="s">
        <v>2097</v>
      </c>
      <c r="R2332" s="4" t="s">
        <v>2004</v>
      </c>
      <c r="S2332" s="4"/>
      <c r="T2332" s="4"/>
      <c r="U2332" s="4"/>
      <c r="V2332" s="4"/>
      <c r="W2332" s="4"/>
      <c r="X2332" s="4"/>
      <c r="Y2332" s="4"/>
      <c r="Z2332" s="4"/>
      <c r="AA2332" s="4"/>
      <c r="AB2332" s="4"/>
      <c r="AC2332" s="4"/>
      <c r="AD2332" s="4"/>
      <c r="AE2332" s="4"/>
      <c r="AF2332" s="4"/>
      <c r="AG2332" s="4"/>
      <c r="AH2332" s="4"/>
      <c r="AI2332" s="4"/>
      <c r="AJ2332" s="4"/>
      <c r="AK2332" s="4"/>
      <c r="AL2332" s="4"/>
      <c r="AM2332" s="4" t="s">
        <v>2098</v>
      </c>
    </row>
    <row r="2333" customFormat="false" ht="35.05" hidden="false" customHeight="false" outlineLevel="0" collapsed="false">
      <c r="A2333" s="4" t="s">
        <v>1987</v>
      </c>
      <c r="B2333" s="4" t="s">
        <v>3203</v>
      </c>
      <c r="C2333" s="4" t="s">
        <v>3204</v>
      </c>
      <c r="D2333" s="12" t="n">
        <v>2018</v>
      </c>
      <c r="E2333" s="4"/>
      <c r="F2333" s="4" t="s">
        <v>1990</v>
      </c>
      <c r="G2333" s="4" t="s">
        <v>1991</v>
      </c>
      <c r="H2333" s="4" t="s">
        <v>1992</v>
      </c>
      <c r="I2333" s="4"/>
      <c r="J2333" s="4" t="s">
        <v>289</v>
      </c>
      <c r="K2333" s="4" t="s">
        <v>88</v>
      </c>
      <c r="L2333" s="4" t="s">
        <v>89</v>
      </c>
      <c r="M2333" s="4" t="s">
        <v>2018</v>
      </c>
      <c r="N2333" s="4" t="s">
        <v>1994</v>
      </c>
      <c r="O2333" s="4" t="s">
        <v>65</v>
      </c>
      <c r="P2333" s="4" t="s">
        <v>64</v>
      </c>
      <c r="Q2333" s="4" t="s">
        <v>2044</v>
      </c>
      <c r="R2333" s="4" t="s">
        <v>1997</v>
      </c>
      <c r="S2333" s="4"/>
      <c r="T2333" s="4"/>
      <c r="U2333" s="4"/>
      <c r="V2333" s="4"/>
      <c r="W2333" s="4"/>
      <c r="X2333" s="4"/>
      <c r="Y2333" s="4"/>
      <c r="Z2333" s="4"/>
      <c r="AA2333" s="4"/>
      <c r="AB2333" s="4"/>
      <c r="AC2333" s="4"/>
      <c r="AD2333" s="4"/>
      <c r="AE2333" s="4"/>
      <c r="AF2333" s="4"/>
      <c r="AG2333" s="4"/>
      <c r="AH2333" s="4"/>
      <c r="AI2333" s="4"/>
      <c r="AJ2333" s="4"/>
      <c r="AK2333" s="4"/>
      <c r="AL2333" s="4"/>
      <c r="AM2333" s="4" t="s">
        <v>2045</v>
      </c>
    </row>
    <row r="2334" customFormat="false" ht="23.85" hidden="false" customHeight="false" outlineLevel="0" collapsed="false">
      <c r="A2334" s="4" t="s">
        <v>1987</v>
      </c>
      <c r="B2334" s="4" t="s">
        <v>3205</v>
      </c>
      <c r="C2334" s="4" t="s">
        <v>3206</v>
      </c>
      <c r="D2334" s="12" t="n">
        <v>2018</v>
      </c>
      <c r="E2334" s="4"/>
      <c r="F2334" s="4" t="s">
        <v>1990</v>
      </c>
      <c r="G2334" s="4" t="s">
        <v>1991</v>
      </c>
      <c r="H2334" s="4" t="s">
        <v>1992</v>
      </c>
      <c r="I2334" s="4"/>
      <c r="J2334" s="4" t="s">
        <v>294</v>
      </c>
      <c r="K2334" s="4" t="s">
        <v>88</v>
      </c>
      <c r="L2334" s="4" t="s">
        <v>89</v>
      </c>
      <c r="M2334" s="4" t="s">
        <v>2018</v>
      </c>
      <c r="N2334" s="4" t="s">
        <v>2001</v>
      </c>
      <c r="O2334" s="4" t="s">
        <v>66</v>
      </c>
      <c r="P2334" s="4" t="s">
        <v>67</v>
      </c>
      <c r="Q2334" s="4" t="s">
        <v>2003</v>
      </c>
      <c r="R2334" s="4" t="s">
        <v>2004</v>
      </c>
      <c r="S2334" s="4"/>
      <c r="T2334" s="4"/>
      <c r="U2334" s="4"/>
      <c r="V2334" s="4"/>
      <c r="W2334" s="4"/>
      <c r="X2334" s="4"/>
      <c r="Y2334" s="4"/>
      <c r="Z2334" s="4"/>
      <c r="AA2334" s="4"/>
      <c r="AB2334" s="4"/>
      <c r="AC2334" s="4"/>
      <c r="AD2334" s="4"/>
      <c r="AE2334" s="4"/>
      <c r="AF2334" s="4"/>
      <c r="AG2334" s="4"/>
      <c r="AH2334" s="4"/>
      <c r="AI2334" s="4"/>
      <c r="AJ2334" s="4"/>
      <c r="AK2334" s="4"/>
      <c r="AL2334" s="4"/>
      <c r="AM2334" s="4" t="s">
        <v>2048</v>
      </c>
    </row>
    <row r="2335" customFormat="false" ht="23.85" hidden="false" customHeight="false" outlineLevel="0" collapsed="false">
      <c r="A2335" s="4" t="s">
        <v>1987</v>
      </c>
      <c r="B2335" s="4" t="s">
        <v>3207</v>
      </c>
      <c r="C2335" s="4" t="s">
        <v>3208</v>
      </c>
      <c r="D2335" s="12" t="n">
        <v>2018</v>
      </c>
      <c r="E2335" s="4"/>
      <c r="F2335" s="4" t="s">
        <v>1990</v>
      </c>
      <c r="G2335" s="4" t="s">
        <v>1991</v>
      </c>
      <c r="H2335" s="4" t="s">
        <v>1992</v>
      </c>
      <c r="I2335" s="4"/>
      <c r="J2335" s="4" t="s">
        <v>304</v>
      </c>
      <c r="K2335" s="4" t="s">
        <v>95</v>
      </c>
      <c r="L2335" s="4" t="s">
        <v>96</v>
      </c>
      <c r="M2335" s="4" t="s">
        <v>1993</v>
      </c>
      <c r="N2335" s="4" t="s">
        <v>1994</v>
      </c>
      <c r="O2335" s="4" t="s">
        <v>2029</v>
      </c>
      <c r="P2335" s="4" t="s">
        <v>69</v>
      </c>
      <c r="Q2335" s="4" t="s">
        <v>2030</v>
      </c>
      <c r="R2335" s="4" t="s">
        <v>1997</v>
      </c>
      <c r="S2335" s="4"/>
      <c r="T2335" s="4"/>
      <c r="U2335" s="4"/>
      <c r="V2335" s="4"/>
      <c r="W2335" s="4"/>
      <c r="X2335" s="4"/>
      <c r="Y2335" s="4"/>
      <c r="Z2335" s="4"/>
      <c r="AA2335" s="4"/>
      <c r="AB2335" s="4"/>
      <c r="AC2335" s="4"/>
      <c r="AD2335" s="4"/>
      <c r="AE2335" s="4"/>
      <c r="AF2335" s="4"/>
      <c r="AG2335" s="4"/>
      <c r="AH2335" s="4"/>
      <c r="AI2335" s="4"/>
      <c r="AJ2335" s="4"/>
      <c r="AK2335" s="4"/>
      <c r="AL2335" s="4"/>
      <c r="AM2335" s="4" t="s">
        <v>2031</v>
      </c>
    </row>
    <row r="2336" customFormat="false" ht="23.85" hidden="false" customHeight="false" outlineLevel="0" collapsed="false">
      <c r="A2336" s="4" t="s">
        <v>1987</v>
      </c>
      <c r="B2336" s="4" t="s">
        <v>3209</v>
      </c>
      <c r="C2336" s="4" t="s">
        <v>3210</v>
      </c>
      <c r="D2336" s="12" t="n">
        <v>2018</v>
      </c>
      <c r="E2336" s="4"/>
      <c r="F2336" s="4" t="s">
        <v>1990</v>
      </c>
      <c r="G2336" s="4" t="s">
        <v>1991</v>
      </c>
      <c r="H2336" s="4" t="s">
        <v>1992</v>
      </c>
      <c r="I2336" s="4"/>
      <c r="J2336" s="4" t="s">
        <v>306</v>
      </c>
      <c r="K2336" s="4" t="s">
        <v>95</v>
      </c>
      <c r="L2336" s="4" t="s">
        <v>96</v>
      </c>
      <c r="M2336" s="4" t="s">
        <v>1993</v>
      </c>
      <c r="N2336" s="4" t="s">
        <v>2001</v>
      </c>
      <c r="O2336" s="4" t="s">
        <v>2034</v>
      </c>
      <c r="P2336" s="4" t="s">
        <v>74</v>
      </c>
      <c r="Q2336" s="4" t="s">
        <v>2035</v>
      </c>
      <c r="R2336" s="4" t="s">
        <v>2036</v>
      </c>
      <c r="S2336" s="4"/>
      <c r="T2336" s="4"/>
      <c r="U2336" s="4"/>
      <c r="V2336" s="4"/>
      <c r="W2336" s="4"/>
      <c r="X2336" s="4"/>
      <c r="Y2336" s="4"/>
      <c r="Z2336" s="4"/>
      <c r="AA2336" s="4"/>
      <c r="AB2336" s="4"/>
      <c r="AC2336" s="4"/>
      <c r="AD2336" s="4"/>
      <c r="AE2336" s="4"/>
      <c r="AF2336" s="4"/>
      <c r="AG2336" s="4"/>
      <c r="AH2336" s="4"/>
      <c r="AI2336" s="4"/>
      <c r="AJ2336" s="4"/>
      <c r="AK2336" s="4"/>
      <c r="AL2336" s="4"/>
      <c r="AM2336" s="4" t="s">
        <v>2037</v>
      </c>
    </row>
    <row r="2337" customFormat="false" ht="23.85" hidden="false" customHeight="false" outlineLevel="0" collapsed="false">
      <c r="A2337" s="4" t="s">
        <v>1987</v>
      </c>
      <c r="B2337" s="4" t="s">
        <v>3211</v>
      </c>
      <c r="C2337" s="4" t="s">
        <v>3212</v>
      </c>
      <c r="D2337" s="12" t="n">
        <v>2018</v>
      </c>
      <c r="E2337" s="4"/>
      <c r="F2337" s="4" t="s">
        <v>1990</v>
      </c>
      <c r="G2337" s="4" t="s">
        <v>1991</v>
      </c>
      <c r="H2337" s="4" t="s">
        <v>1992</v>
      </c>
      <c r="I2337" s="4"/>
      <c r="J2337" s="4" t="s">
        <v>308</v>
      </c>
      <c r="K2337" s="4" t="s">
        <v>95</v>
      </c>
      <c r="L2337" s="4" t="s">
        <v>96</v>
      </c>
      <c r="M2337" s="4" t="s">
        <v>1993</v>
      </c>
      <c r="N2337" s="4" t="s">
        <v>2001</v>
      </c>
      <c r="O2337" s="4" t="s">
        <v>2002</v>
      </c>
      <c r="P2337" s="4" t="s">
        <v>67</v>
      </c>
      <c r="Q2337" s="4" t="s">
        <v>2003</v>
      </c>
      <c r="R2337" s="4" t="s">
        <v>2004</v>
      </c>
      <c r="S2337" s="4"/>
      <c r="T2337" s="4"/>
      <c r="U2337" s="4"/>
      <c r="V2337" s="4"/>
      <c r="W2337" s="4"/>
      <c r="X2337" s="4"/>
      <c r="Y2337" s="4"/>
      <c r="Z2337" s="4"/>
      <c r="AA2337" s="4"/>
      <c r="AB2337" s="4"/>
      <c r="AC2337" s="4"/>
      <c r="AD2337" s="4"/>
      <c r="AE2337" s="4"/>
      <c r="AF2337" s="4"/>
      <c r="AG2337" s="4"/>
      <c r="AH2337" s="4"/>
      <c r="AI2337" s="4"/>
      <c r="AJ2337" s="4"/>
      <c r="AK2337" s="4"/>
      <c r="AL2337" s="4"/>
      <c r="AM2337" s="4" t="s">
        <v>2005</v>
      </c>
    </row>
    <row r="2338" customFormat="false" ht="23.85" hidden="false" customHeight="false" outlineLevel="0" collapsed="false">
      <c r="A2338" s="4" t="s">
        <v>1987</v>
      </c>
      <c r="B2338" s="4" t="s">
        <v>3213</v>
      </c>
      <c r="C2338" s="4" t="s">
        <v>3214</v>
      </c>
      <c r="D2338" s="12" t="n">
        <v>2018</v>
      </c>
      <c r="E2338" s="4"/>
      <c r="F2338" s="4" t="s">
        <v>1990</v>
      </c>
      <c r="G2338" s="4" t="s">
        <v>1991</v>
      </c>
      <c r="H2338" s="4" t="s">
        <v>1992</v>
      </c>
      <c r="I2338" s="4"/>
      <c r="J2338" s="4" t="s">
        <v>309</v>
      </c>
      <c r="K2338" s="4" t="s">
        <v>95</v>
      </c>
      <c r="L2338" s="4" t="s">
        <v>96</v>
      </c>
      <c r="M2338" s="4" t="s">
        <v>1993</v>
      </c>
      <c r="N2338" s="4" t="s">
        <v>2001</v>
      </c>
      <c r="O2338" s="4" t="s">
        <v>2002</v>
      </c>
      <c r="P2338" s="4" t="s">
        <v>67</v>
      </c>
      <c r="Q2338" s="4" t="s">
        <v>2008</v>
      </c>
      <c r="R2338" s="4" t="s">
        <v>2004</v>
      </c>
      <c r="S2338" s="4"/>
      <c r="T2338" s="4"/>
      <c r="U2338" s="4"/>
      <c r="V2338" s="4"/>
      <c r="W2338" s="4"/>
      <c r="X2338" s="4"/>
      <c r="Y2338" s="4"/>
      <c r="Z2338" s="4"/>
      <c r="AA2338" s="4"/>
      <c r="AB2338" s="4"/>
      <c r="AC2338" s="4"/>
      <c r="AD2338" s="4"/>
      <c r="AE2338" s="4"/>
      <c r="AF2338" s="4"/>
      <c r="AG2338" s="4"/>
      <c r="AH2338" s="4"/>
      <c r="AI2338" s="4"/>
      <c r="AJ2338" s="4"/>
      <c r="AK2338" s="4"/>
      <c r="AL2338" s="4"/>
      <c r="AM2338" s="4" t="s">
        <v>2009</v>
      </c>
    </row>
    <row r="2339" customFormat="false" ht="15" hidden="false" customHeight="false" outlineLevel="0" collapsed="false">
      <c r="A2339" s="4" t="s">
        <v>1987</v>
      </c>
      <c r="B2339" s="4" t="s">
        <v>3215</v>
      </c>
      <c r="C2339" s="4" t="s">
        <v>3216</v>
      </c>
      <c r="D2339" s="12" t="n">
        <v>2018</v>
      </c>
      <c r="E2339" s="4"/>
      <c r="F2339" s="4" t="s">
        <v>1990</v>
      </c>
      <c r="G2339" s="4" t="s">
        <v>1991</v>
      </c>
      <c r="H2339" s="4" t="s">
        <v>1992</v>
      </c>
      <c r="I2339" s="4"/>
      <c r="J2339" s="4" t="s">
        <v>310</v>
      </c>
      <c r="K2339" s="4" t="s">
        <v>95</v>
      </c>
      <c r="L2339" s="4" t="s">
        <v>96</v>
      </c>
      <c r="M2339" s="4" t="s">
        <v>1993</v>
      </c>
      <c r="N2339" s="4" t="s">
        <v>2001</v>
      </c>
      <c r="O2339" s="4" t="s">
        <v>2002</v>
      </c>
      <c r="P2339" s="4" t="s">
        <v>67</v>
      </c>
      <c r="Q2339" s="4" t="s">
        <v>2139</v>
      </c>
      <c r="R2339" s="4" t="s">
        <v>1997</v>
      </c>
      <c r="S2339" s="4"/>
      <c r="T2339" s="4"/>
      <c r="U2339" s="4"/>
      <c r="V2339" s="4"/>
      <c r="W2339" s="4"/>
      <c r="X2339" s="4"/>
      <c r="Y2339" s="4"/>
      <c r="Z2339" s="4"/>
      <c r="AA2339" s="4"/>
      <c r="AB2339" s="4"/>
      <c r="AC2339" s="4"/>
      <c r="AD2339" s="4"/>
      <c r="AE2339" s="4"/>
      <c r="AF2339" s="4"/>
      <c r="AG2339" s="4"/>
      <c r="AH2339" s="4"/>
      <c r="AI2339" s="4"/>
      <c r="AJ2339" s="4"/>
      <c r="AK2339" s="4"/>
      <c r="AL2339" s="4"/>
      <c r="AM2339" s="4" t="s">
        <v>2140</v>
      </c>
    </row>
    <row r="2340" customFormat="false" ht="23.85" hidden="false" customHeight="false" outlineLevel="0" collapsed="false">
      <c r="A2340" s="4" t="s">
        <v>1987</v>
      </c>
      <c r="B2340" s="4" t="s">
        <v>3217</v>
      </c>
      <c r="C2340" s="4" t="s">
        <v>3218</v>
      </c>
      <c r="D2340" s="12" t="n">
        <v>2018</v>
      </c>
      <c r="E2340" s="4"/>
      <c r="F2340" s="4" t="s">
        <v>1990</v>
      </c>
      <c r="G2340" s="4" t="s">
        <v>1991</v>
      </c>
      <c r="H2340" s="4" t="s">
        <v>1992</v>
      </c>
      <c r="I2340" s="4"/>
      <c r="J2340" s="4" t="s">
        <v>314</v>
      </c>
      <c r="K2340" s="4" t="s">
        <v>95</v>
      </c>
      <c r="L2340" s="4" t="s">
        <v>96</v>
      </c>
      <c r="M2340" s="4" t="s">
        <v>1993</v>
      </c>
      <c r="N2340" s="4" t="s">
        <v>2001</v>
      </c>
      <c r="O2340" s="4" t="s">
        <v>2002</v>
      </c>
      <c r="P2340" s="4" t="s">
        <v>68</v>
      </c>
      <c r="Q2340" s="4" t="s">
        <v>2111</v>
      </c>
      <c r="R2340" s="4" t="s">
        <v>1997</v>
      </c>
      <c r="S2340" s="4"/>
      <c r="T2340" s="4"/>
      <c r="U2340" s="4"/>
      <c r="V2340" s="4"/>
      <c r="W2340" s="4"/>
      <c r="X2340" s="4"/>
      <c r="Y2340" s="4"/>
      <c r="Z2340" s="4"/>
      <c r="AA2340" s="4"/>
      <c r="AB2340" s="4"/>
      <c r="AC2340" s="4"/>
      <c r="AD2340" s="4"/>
      <c r="AE2340" s="4"/>
      <c r="AF2340" s="4"/>
      <c r="AG2340" s="4"/>
      <c r="AH2340" s="4"/>
      <c r="AI2340" s="4"/>
      <c r="AJ2340" s="4"/>
      <c r="AK2340" s="4"/>
      <c r="AL2340" s="4"/>
      <c r="AM2340" s="4" t="s">
        <v>2112</v>
      </c>
    </row>
    <row r="2341" customFormat="false" ht="23.85" hidden="false" customHeight="false" outlineLevel="0" collapsed="false">
      <c r="A2341" s="4" t="s">
        <v>1987</v>
      </c>
      <c r="B2341" s="4" t="s">
        <v>3219</v>
      </c>
      <c r="C2341" s="4" t="s">
        <v>3220</v>
      </c>
      <c r="D2341" s="12" t="n">
        <v>2018</v>
      </c>
      <c r="E2341" s="4"/>
      <c r="F2341" s="4" t="s">
        <v>1990</v>
      </c>
      <c r="G2341" s="4" t="s">
        <v>1991</v>
      </c>
      <c r="H2341" s="4" t="s">
        <v>1992</v>
      </c>
      <c r="I2341" s="4"/>
      <c r="J2341" s="4" t="s">
        <v>318</v>
      </c>
      <c r="K2341" s="4" t="s">
        <v>97</v>
      </c>
      <c r="L2341" s="4" t="s">
        <v>98</v>
      </c>
      <c r="M2341" s="4" t="s">
        <v>1993</v>
      </c>
      <c r="N2341" s="4" t="s">
        <v>1994</v>
      </c>
      <c r="O2341" s="4" t="s">
        <v>2029</v>
      </c>
      <c r="P2341" s="4" t="s">
        <v>69</v>
      </c>
      <c r="Q2341" s="4" t="s">
        <v>2030</v>
      </c>
      <c r="R2341" s="4" t="s">
        <v>1997</v>
      </c>
      <c r="S2341" s="4"/>
      <c r="T2341" s="4"/>
      <c r="U2341" s="4"/>
      <c r="V2341" s="4"/>
      <c r="W2341" s="4"/>
      <c r="X2341" s="4"/>
      <c r="Y2341" s="4"/>
      <c r="Z2341" s="4"/>
      <c r="AA2341" s="4"/>
      <c r="AB2341" s="4"/>
      <c r="AC2341" s="4"/>
      <c r="AD2341" s="4"/>
      <c r="AE2341" s="4"/>
      <c r="AF2341" s="4"/>
      <c r="AG2341" s="4"/>
      <c r="AH2341" s="4"/>
      <c r="AI2341" s="4"/>
      <c r="AJ2341" s="4"/>
      <c r="AK2341" s="4"/>
      <c r="AL2341" s="4"/>
      <c r="AM2341" s="4" t="s">
        <v>2031</v>
      </c>
    </row>
    <row r="2342" customFormat="false" ht="23.85" hidden="false" customHeight="false" outlineLevel="0" collapsed="false">
      <c r="A2342" s="4" t="s">
        <v>1987</v>
      </c>
      <c r="B2342" s="4" t="s">
        <v>3221</v>
      </c>
      <c r="C2342" s="4" t="s">
        <v>3222</v>
      </c>
      <c r="D2342" s="12" t="n">
        <v>2018</v>
      </c>
      <c r="E2342" s="4"/>
      <c r="F2342" s="4" t="s">
        <v>1990</v>
      </c>
      <c r="G2342" s="4" t="s">
        <v>1991</v>
      </c>
      <c r="H2342" s="4" t="s">
        <v>1992</v>
      </c>
      <c r="I2342" s="4"/>
      <c r="J2342" s="4" t="s">
        <v>319</v>
      </c>
      <c r="K2342" s="4" t="s">
        <v>97</v>
      </c>
      <c r="L2342" s="4" t="s">
        <v>98</v>
      </c>
      <c r="M2342" s="4" t="s">
        <v>1993</v>
      </c>
      <c r="N2342" s="4" t="s">
        <v>2001</v>
      </c>
      <c r="O2342" s="4" t="s">
        <v>2091</v>
      </c>
      <c r="P2342" s="4" t="s">
        <v>69</v>
      </c>
      <c r="Q2342" s="4" t="s">
        <v>2030</v>
      </c>
      <c r="R2342" s="4" t="s">
        <v>1997</v>
      </c>
      <c r="S2342" s="4"/>
      <c r="T2342" s="4"/>
      <c r="U2342" s="4"/>
      <c r="V2342" s="4"/>
      <c r="W2342" s="4"/>
      <c r="X2342" s="4"/>
      <c r="Y2342" s="4"/>
      <c r="Z2342" s="4"/>
      <c r="AA2342" s="4"/>
      <c r="AB2342" s="4"/>
      <c r="AC2342" s="4"/>
      <c r="AD2342" s="4"/>
      <c r="AE2342" s="4"/>
      <c r="AF2342" s="4"/>
      <c r="AG2342" s="4"/>
      <c r="AH2342" s="4"/>
      <c r="AI2342" s="4"/>
      <c r="AJ2342" s="4"/>
      <c r="AK2342" s="4"/>
      <c r="AL2342" s="4"/>
      <c r="AM2342" s="4" t="s">
        <v>2092</v>
      </c>
    </row>
    <row r="2343" customFormat="false" ht="23.85" hidden="false" customHeight="false" outlineLevel="0" collapsed="false">
      <c r="A2343" s="4" t="s">
        <v>1987</v>
      </c>
      <c r="B2343" s="4" t="s">
        <v>3223</v>
      </c>
      <c r="C2343" s="4" t="s">
        <v>3224</v>
      </c>
      <c r="D2343" s="12" t="n">
        <v>2018</v>
      </c>
      <c r="E2343" s="4"/>
      <c r="F2343" s="4" t="s">
        <v>1990</v>
      </c>
      <c r="G2343" s="4" t="s">
        <v>1991</v>
      </c>
      <c r="H2343" s="4" t="s">
        <v>1992</v>
      </c>
      <c r="I2343" s="4"/>
      <c r="J2343" s="4" t="s">
        <v>320</v>
      </c>
      <c r="K2343" s="4" t="s">
        <v>97</v>
      </c>
      <c r="L2343" s="4" t="s">
        <v>98</v>
      </c>
      <c r="M2343" s="4" t="s">
        <v>1993</v>
      </c>
      <c r="N2343" s="4" t="s">
        <v>2001</v>
      </c>
      <c r="O2343" s="4" t="s">
        <v>2034</v>
      </c>
      <c r="P2343" s="4" t="s">
        <v>74</v>
      </c>
      <c r="Q2343" s="4" t="s">
        <v>2035</v>
      </c>
      <c r="R2343" s="4" t="s">
        <v>2036</v>
      </c>
      <c r="S2343" s="4"/>
      <c r="T2343" s="4"/>
      <c r="U2343" s="4"/>
      <c r="V2343" s="4"/>
      <c r="W2343" s="4"/>
      <c r="X2343" s="4"/>
      <c r="Y2343" s="4"/>
      <c r="Z2343" s="4"/>
      <c r="AA2343" s="4"/>
      <c r="AB2343" s="4"/>
      <c r="AC2343" s="4"/>
      <c r="AD2343" s="4"/>
      <c r="AE2343" s="4"/>
      <c r="AF2343" s="4"/>
      <c r="AG2343" s="4"/>
      <c r="AH2343" s="4"/>
      <c r="AI2343" s="4"/>
      <c r="AJ2343" s="4"/>
      <c r="AK2343" s="4"/>
      <c r="AL2343" s="4"/>
      <c r="AM2343" s="4" t="s">
        <v>2037</v>
      </c>
    </row>
    <row r="2344" customFormat="false" ht="23.85" hidden="false" customHeight="false" outlineLevel="0" collapsed="false">
      <c r="A2344" s="4" t="s">
        <v>1987</v>
      </c>
      <c r="B2344" s="4" t="s">
        <v>3225</v>
      </c>
      <c r="C2344" s="4" t="s">
        <v>3226</v>
      </c>
      <c r="D2344" s="12" t="n">
        <v>2018</v>
      </c>
      <c r="E2344" s="4"/>
      <c r="F2344" s="4" t="s">
        <v>1990</v>
      </c>
      <c r="G2344" s="4" t="s">
        <v>1991</v>
      </c>
      <c r="H2344" s="4" t="s">
        <v>1992</v>
      </c>
      <c r="I2344" s="4"/>
      <c r="J2344" s="4" t="s">
        <v>321</v>
      </c>
      <c r="K2344" s="4" t="s">
        <v>97</v>
      </c>
      <c r="L2344" s="4" t="s">
        <v>98</v>
      </c>
      <c r="M2344" s="4" t="s">
        <v>1993</v>
      </c>
      <c r="N2344" s="4" t="s">
        <v>1994</v>
      </c>
      <c r="O2344" s="4" t="s">
        <v>1995</v>
      </c>
      <c r="P2344" s="4" t="s">
        <v>67</v>
      </c>
      <c r="Q2344" s="4" t="s">
        <v>2097</v>
      </c>
      <c r="R2344" s="4" t="s">
        <v>1997</v>
      </c>
      <c r="S2344" s="4"/>
      <c r="T2344" s="4"/>
      <c r="U2344" s="4"/>
      <c r="V2344" s="4"/>
      <c r="W2344" s="4"/>
      <c r="X2344" s="4"/>
      <c r="Y2344" s="4"/>
      <c r="Z2344" s="4"/>
      <c r="AA2344" s="4"/>
      <c r="AB2344" s="4"/>
      <c r="AC2344" s="4"/>
      <c r="AD2344" s="4"/>
      <c r="AE2344" s="4"/>
      <c r="AF2344" s="4"/>
      <c r="AG2344" s="4"/>
      <c r="AH2344" s="4"/>
      <c r="AI2344" s="4"/>
      <c r="AJ2344" s="4"/>
      <c r="AK2344" s="4"/>
      <c r="AL2344" s="4"/>
      <c r="AM2344" s="4" t="s">
        <v>2214</v>
      </c>
    </row>
    <row r="2345" customFormat="false" ht="23.85" hidden="false" customHeight="false" outlineLevel="0" collapsed="false">
      <c r="A2345" s="4" t="s">
        <v>1987</v>
      </c>
      <c r="B2345" s="4" t="s">
        <v>3227</v>
      </c>
      <c r="C2345" s="4" t="s">
        <v>3228</v>
      </c>
      <c r="D2345" s="12" t="n">
        <v>2018</v>
      </c>
      <c r="E2345" s="4"/>
      <c r="F2345" s="4" t="s">
        <v>1990</v>
      </c>
      <c r="G2345" s="4" t="s">
        <v>1991</v>
      </c>
      <c r="H2345" s="4" t="s">
        <v>1992</v>
      </c>
      <c r="I2345" s="4"/>
      <c r="J2345" s="4" t="s">
        <v>322</v>
      </c>
      <c r="K2345" s="4" t="s">
        <v>97</v>
      </c>
      <c r="L2345" s="4" t="s">
        <v>98</v>
      </c>
      <c r="M2345" s="4" t="s">
        <v>1993</v>
      </c>
      <c r="N2345" s="4" t="s">
        <v>2001</v>
      </c>
      <c r="O2345" s="4" t="s">
        <v>2002</v>
      </c>
      <c r="P2345" s="4" t="s">
        <v>67</v>
      </c>
      <c r="Q2345" s="4" t="s">
        <v>2003</v>
      </c>
      <c r="R2345" s="4" t="s">
        <v>2004</v>
      </c>
      <c r="S2345" s="4"/>
      <c r="T2345" s="4"/>
      <c r="U2345" s="4"/>
      <c r="V2345" s="4"/>
      <c r="W2345" s="4"/>
      <c r="X2345" s="4"/>
      <c r="Y2345" s="4"/>
      <c r="Z2345" s="4"/>
      <c r="AA2345" s="4"/>
      <c r="AB2345" s="4"/>
      <c r="AC2345" s="4"/>
      <c r="AD2345" s="4"/>
      <c r="AE2345" s="4"/>
      <c r="AF2345" s="4"/>
      <c r="AG2345" s="4"/>
      <c r="AH2345" s="4"/>
      <c r="AI2345" s="4"/>
      <c r="AJ2345" s="4"/>
      <c r="AK2345" s="4"/>
      <c r="AL2345" s="4"/>
      <c r="AM2345" s="4" t="s">
        <v>2005</v>
      </c>
    </row>
    <row r="2346" customFormat="false" ht="23.85" hidden="false" customHeight="false" outlineLevel="0" collapsed="false">
      <c r="A2346" s="4" t="s">
        <v>1987</v>
      </c>
      <c r="B2346" s="4" t="s">
        <v>3229</v>
      </c>
      <c r="C2346" s="4" t="s">
        <v>3230</v>
      </c>
      <c r="D2346" s="12" t="n">
        <v>2018</v>
      </c>
      <c r="E2346" s="4"/>
      <c r="F2346" s="4" t="s">
        <v>1990</v>
      </c>
      <c r="G2346" s="4" t="s">
        <v>1991</v>
      </c>
      <c r="H2346" s="4" t="s">
        <v>1992</v>
      </c>
      <c r="I2346" s="4"/>
      <c r="J2346" s="4" t="s">
        <v>323</v>
      </c>
      <c r="K2346" s="4" t="s">
        <v>97</v>
      </c>
      <c r="L2346" s="4" t="s">
        <v>98</v>
      </c>
      <c r="M2346" s="4" t="s">
        <v>1993</v>
      </c>
      <c r="N2346" s="4" t="s">
        <v>2001</v>
      </c>
      <c r="O2346" s="4" t="s">
        <v>2002</v>
      </c>
      <c r="P2346" s="4" t="s">
        <v>67</v>
      </c>
      <c r="Q2346" s="4" t="s">
        <v>2008</v>
      </c>
      <c r="R2346" s="4" t="s">
        <v>2004</v>
      </c>
      <c r="S2346" s="4"/>
      <c r="T2346" s="4"/>
      <c r="U2346" s="4"/>
      <c r="V2346" s="4"/>
      <c r="W2346" s="4"/>
      <c r="X2346" s="4"/>
      <c r="Y2346" s="4"/>
      <c r="Z2346" s="4"/>
      <c r="AA2346" s="4"/>
      <c r="AB2346" s="4"/>
      <c r="AC2346" s="4"/>
      <c r="AD2346" s="4"/>
      <c r="AE2346" s="4"/>
      <c r="AF2346" s="4"/>
      <c r="AG2346" s="4"/>
      <c r="AH2346" s="4"/>
      <c r="AI2346" s="4"/>
      <c r="AJ2346" s="4"/>
      <c r="AK2346" s="4"/>
      <c r="AL2346" s="4"/>
      <c r="AM2346" s="4" t="s">
        <v>2009</v>
      </c>
    </row>
    <row r="2347" customFormat="false" ht="15" hidden="false" customHeight="false" outlineLevel="0" collapsed="false">
      <c r="A2347" s="4" t="s">
        <v>1987</v>
      </c>
      <c r="B2347" s="4" t="s">
        <v>3231</v>
      </c>
      <c r="C2347" s="4" t="s">
        <v>3232</v>
      </c>
      <c r="D2347" s="12" t="n">
        <v>2018</v>
      </c>
      <c r="E2347" s="4"/>
      <c r="F2347" s="4" t="s">
        <v>1990</v>
      </c>
      <c r="G2347" s="4" t="s">
        <v>1991</v>
      </c>
      <c r="H2347" s="4" t="s">
        <v>1992</v>
      </c>
      <c r="I2347" s="4"/>
      <c r="J2347" s="4" t="s">
        <v>324</v>
      </c>
      <c r="K2347" s="4" t="s">
        <v>97</v>
      </c>
      <c r="L2347" s="4" t="s">
        <v>98</v>
      </c>
      <c r="M2347" s="4" t="s">
        <v>1993</v>
      </c>
      <c r="N2347" s="4" t="s">
        <v>2001</v>
      </c>
      <c r="O2347" s="4" t="s">
        <v>2002</v>
      </c>
      <c r="P2347" s="4" t="s">
        <v>67</v>
      </c>
      <c r="Q2347" s="4" t="s">
        <v>2139</v>
      </c>
      <c r="R2347" s="4" t="s">
        <v>1997</v>
      </c>
      <c r="S2347" s="4"/>
      <c r="T2347" s="4"/>
      <c r="U2347" s="4"/>
      <c r="V2347" s="4"/>
      <c r="W2347" s="4"/>
      <c r="X2347" s="4"/>
      <c r="Y2347" s="4"/>
      <c r="Z2347" s="4"/>
      <c r="AA2347" s="4"/>
      <c r="AB2347" s="4"/>
      <c r="AC2347" s="4"/>
      <c r="AD2347" s="4"/>
      <c r="AE2347" s="4"/>
      <c r="AF2347" s="4"/>
      <c r="AG2347" s="4"/>
      <c r="AH2347" s="4"/>
      <c r="AI2347" s="4"/>
      <c r="AJ2347" s="4"/>
      <c r="AK2347" s="4"/>
      <c r="AL2347" s="4"/>
      <c r="AM2347" s="4" t="s">
        <v>2140</v>
      </c>
    </row>
    <row r="2348" customFormat="false" ht="15" hidden="false" customHeight="false" outlineLevel="0" collapsed="false">
      <c r="A2348" s="4" t="s">
        <v>1987</v>
      </c>
      <c r="B2348" s="4" t="s">
        <v>3233</v>
      </c>
      <c r="C2348" s="4" t="s">
        <v>3234</v>
      </c>
      <c r="D2348" s="12" t="n">
        <v>2018</v>
      </c>
      <c r="E2348" s="4"/>
      <c r="F2348" s="4" t="s">
        <v>1990</v>
      </c>
      <c r="G2348" s="4" t="s">
        <v>1991</v>
      </c>
      <c r="H2348" s="4" t="s">
        <v>1992</v>
      </c>
      <c r="I2348" s="4"/>
      <c r="J2348" s="4" t="s">
        <v>325</v>
      </c>
      <c r="K2348" s="4" t="s">
        <v>97</v>
      </c>
      <c r="L2348" s="4" t="s">
        <v>98</v>
      </c>
      <c r="M2348" s="4" t="s">
        <v>1993</v>
      </c>
      <c r="N2348" s="4" t="s">
        <v>2001</v>
      </c>
      <c r="O2348" s="4" t="s">
        <v>2002</v>
      </c>
      <c r="P2348" s="4" t="s">
        <v>71</v>
      </c>
      <c r="Q2348" s="4" t="s">
        <v>2123</v>
      </c>
      <c r="R2348" s="4" t="s">
        <v>1997</v>
      </c>
      <c r="S2348" s="4"/>
      <c r="T2348" s="4"/>
      <c r="U2348" s="4"/>
      <c r="V2348" s="4"/>
      <c r="W2348" s="4"/>
      <c r="X2348" s="4"/>
      <c r="Y2348" s="4"/>
      <c r="Z2348" s="4"/>
      <c r="AA2348" s="4"/>
      <c r="AB2348" s="4"/>
      <c r="AC2348" s="4"/>
      <c r="AD2348" s="4"/>
      <c r="AE2348" s="4"/>
      <c r="AF2348" s="4"/>
      <c r="AG2348" s="4"/>
      <c r="AH2348" s="4"/>
      <c r="AI2348" s="4"/>
      <c r="AJ2348" s="4"/>
      <c r="AK2348" s="4"/>
      <c r="AL2348" s="4"/>
      <c r="AM2348" s="4" t="s">
        <v>2124</v>
      </c>
    </row>
    <row r="2349" customFormat="false" ht="23.85" hidden="false" customHeight="false" outlineLevel="0" collapsed="false">
      <c r="A2349" s="4" t="s">
        <v>1987</v>
      </c>
      <c r="B2349" s="4" t="s">
        <v>3235</v>
      </c>
      <c r="C2349" s="4" t="s">
        <v>3236</v>
      </c>
      <c r="D2349" s="12" t="n">
        <v>2018</v>
      </c>
      <c r="E2349" s="4"/>
      <c r="F2349" s="4" t="s">
        <v>1990</v>
      </c>
      <c r="G2349" s="4" t="s">
        <v>1991</v>
      </c>
      <c r="H2349" s="4" t="s">
        <v>1992</v>
      </c>
      <c r="I2349" s="4"/>
      <c r="J2349" s="4" t="s">
        <v>328</v>
      </c>
      <c r="K2349" s="4" t="s">
        <v>97</v>
      </c>
      <c r="L2349" s="4" t="s">
        <v>98</v>
      </c>
      <c r="M2349" s="4" t="s">
        <v>1993</v>
      </c>
      <c r="N2349" s="4" t="s">
        <v>2001</v>
      </c>
      <c r="O2349" s="4" t="s">
        <v>2002</v>
      </c>
      <c r="P2349" s="4" t="s">
        <v>68</v>
      </c>
      <c r="Q2349" s="4" t="s">
        <v>2111</v>
      </c>
      <c r="R2349" s="4" t="s">
        <v>1997</v>
      </c>
      <c r="S2349" s="4"/>
      <c r="T2349" s="4"/>
      <c r="U2349" s="4"/>
      <c r="V2349" s="4"/>
      <c r="W2349" s="4"/>
      <c r="X2349" s="4"/>
      <c r="Y2349" s="4"/>
      <c r="Z2349" s="4"/>
      <c r="AA2349" s="4"/>
      <c r="AB2349" s="4"/>
      <c r="AC2349" s="4"/>
      <c r="AD2349" s="4"/>
      <c r="AE2349" s="4"/>
      <c r="AF2349" s="4"/>
      <c r="AG2349" s="4"/>
      <c r="AH2349" s="4"/>
      <c r="AI2349" s="4"/>
      <c r="AJ2349" s="4"/>
      <c r="AK2349" s="4"/>
      <c r="AL2349" s="4"/>
      <c r="AM2349" s="4" t="s">
        <v>2112</v>
      </c>
    </row>
    <row r="2350" customFormat="false" ht="23.85" hidden="false" customHeight="false" outlineLevel="0" collapsed="false">
      <c r="A2350" s="4" t="s">
        <v>1987</v>
      </c>
      <c r="B2350" s="4" t="s">
        <v>3237</v>
      </c>
      <c r="C2350" s="4" t="s">
        <v>3238</v>
      </c>
      <c r="D2350" s="12" t="n">
        <v>2018</v>
      </c>
      <c r="E2350" s="4"/>
      <c r="F2350" s="4" t="s">
        <v>1990</v>
      </c>
      <c r="G2350" s="4" t="s">
        <v>1991</v>
      </c>
      <c r="H2350" s="4" t="s">
        <v>1992</v>
      </c>
      <c r="I2350" s="4"/>
      <c r="J2350" s="4" t="s">
        <v>332</v>
      </c>
      <c r="K2350" s="4" t="s">
        <v>99</v>
      </c>
      <c r="L2350" s="4" t="s">
        <v>100</v>
      </c>
      <c r="M2350" s="4" t="s">
        <v>1993</v>
      </c>
      <c r="N2350" s="4" t="s">
        <v>1994</v>
      </c>
      <c r="O2350" s="4" t="s">
        <v>2029</v>
      </c>
      <c r="P2350" s="4" t="s">
        <v>69</v>
      </c>
      <c r="Q2350" s="4" t="s">
        <v>2030</v>
      </c>
      <c r="R2350" s="4" t="s">
        <v>1997</v>
      </c>
      <c r="S2350" s="4"/>
      <c r="T2350" s="4"/>
      <c r="U2350" s="4"/>
      <c r="V2350" s="4"/>
      <c r="W2350" s="4"/>
      <c r="X2350" s="4"/>
      <c r="Y2350" s="4"/>
      <c r="Z2350" s="4"/>
      <c r="AA2350" s="4"/>
      <c r="AB2350" s="4"/>
      <c r="AC2350" s="4"/>
      <c r="AD2350" s="4"/>
      <c r="AE2350" s="4"/>
      <c r="AF2350" s="4"/>
      <c r="AG2350" s="4"/>
      <c r="AH2350" s="4"/>
      <c r="AI2350" s="4"/>
      <c r="AJ2350" s="4"/>
      <c r="AK2350" s="4"/>
      <c r="AL2350" s="4"/>
      <c r="AM2350" s="4" t="s">
        <v>2031</v>
      </c>
    </row>
    <row r="2351" customFormat="false" ht="23.85" hidden="false" customHeight="false" outlineLevel="0" collapsed="false">
      <c r="A2351" s="4" t="s">
        <v>1987</v>
      </c>
      <c r="B2351" s="4" t="s">
        <v>3239</v>
      </c>
      <c r="C2351" s="4" t="s">
        <v>3240</v>
      </c>
      <c r="D2351" s="12" t="n">
        <v>2018</v>
      </c>
      <c r="E2351" s="4"/>
      <c r="F2351" s="4" t="s">
        <v>1990</v>
      </c>
      <c r="G2351" s="4" t="s">
        <v>1991</v>
      </c>
      <c r="H2351" s="4" t="s">
        <v>1992</v>
      </c>
      <c r="I2351" s="4"/>
      <c r="J2351" s="4" t="s">
        <v>333</v>
      </c>
      <c r="K2351" s="4" t="s">
        <v>99</v>
      </c>
      <c r="L2351" s="4" t="s">
        <v>100</v>
      </c>
      <c r="M2351" s="4" t="s">
        <v>1993</v>
      </c>
      <c r="N2351" s="4" t="s">
        <v>2001</v>
      </c>
      <c r="O2351" s="4" t="s">
        <v>2091</v>
      </c>
      <c r="P2351" s="4" t="s">
        <v>69</v>
      </c>
      <c r="Q2351" s="4" t="s">
        <v>2030</v>
      </c>
      <c r="R2351" s="4" t="s">
        <v>1997</v>
      </c>
      <c r="S2351" s="4"/>
      <c r="T2351" s="4"/>
      <c r="U2351" s="4"/>
      <c r="V2351" s="4"/>
      <c r="W2351" s="4"/>
      <c r="X2351" s="4"/>
      <c r="Y2351" s="4"/>
      <c r="Z2351" s="4"/>
      <c r="AA2351" s="4"/>
      <c r="AB2351" s="4"/>
      <c r="AC2351" s="4"/>
      <c r="AD2351" s="4"/>
      <c r="AE2351" s="4"/>
      <c r="AF2351" s="4"/>
      <c r="AG2351" s="4"/>
      <c r="AH2351" s="4"/>
      <c r="AI2351" s="4"/>
      <c r="AJ2351" s="4"/>
      <c r="AK2351" s="4"/>
      <c r="AL2351" s="4"/>
      <c r="AM2351" s="4" t="s">
        <v>2092</v>
      </c>
    </row>
    <row r="2352" customFormat="false" ht="23.85" hidden="false" customHeight="false" outlineLevel="0" collapsed="false">
      <c r="A2352" s="4" t="s">
        <v>1987</v>
      </c>
      <c r="B2352" s="4" t="s">
        <v>3241</v>
      </c>
      <c r="C2352" s="4" t="s">
        <v>3242</v>
      </c>
      <c r="D2352" s="12" t="n">
        <v>2018</v>
      </c>
      <c r="E2352" s="4"/>
      <c r="F2352" s="4" t="s">
        <v>1990</v>
      </c>
      <c r="G2352" s="4" t="s">
        <v>1991</v>
      </c>
      <c r="H2352" s="4" t="s">
        <v>1992</v>
      </c>
      <c r="I2352" s="4"/>
      <c r="J2352" s="4" t="s">
        <v>336</v>
      </c>
      <c r="K2352" s="4" t="s">
        <v>99</v>
      </c>
      <c r="L2352" s="4" t="s">
        <v>100</v>
      </c>
      <c r="M2352" s="4" t="s">
        <v>1993</v>
      </c>
      <c r="N2352" s="4" t="s">
        <v>1994</v>
      </c>
      <c r="O2352" s="4" t="s">
        <v>1995</v>
      </c>
      <c r="P2352" s="4" t="s">
        <v>67</v>
      </c>
      <c r="Q2352" s="4" t="s">
        <v>2003</v>
      </c>
      <c r="R2352" s="4" t="s">
        <v>1997</v>
      </c>
      <c r="S2352" s="4"/>
      <c r="T2352" s="4"/>
      <c r="U2352" s="4"/>
      <c r="V2352" s="4"/>
      <c r="W2352" s="4"/>
      <c r="X2352" s="4"/>
      <c r="Y2352" s="4"/>
      <c r="Z2352" s="4"/>
      <c r="AA2352" s="4"/>
      <c r="AB2352" s="4"/>
      <c r="AC2352" s="4"/>
      <c r="AD2352" s="4"/>
      <c r="AE2352" s="4"/>
      <c r="AF2352" s="4"/>
      <c r="AG2352" s="4"/>
      <c r="AH2352" s="4"/>
      <c r="AI2352" s="4"/>
      <c r="AJ2352" s="4"/>
      <c r="AK2352" s="4"/>
      <c r="AL2352" s="4"/>
      <c r="AM2352" s="4" t="s">
        <v>2133</v>
      </c>
    </row>
    <row r="2353" customFormat="false" ht="23.85" hidden="false" customHeight="false" outlineLevel="0" collapsed="false">
      <c r="A2353" s="4" t="s">
        <v>1987</v>
      </c>
      <c r="B2353" s="4" t="s">
        <v>3243</v>
      </c>
      <c r="C2353" s="4" t="s">
        <v>3244</v>
      </c>
      <c r="D2353" s="12" t="n">
        <v>2018</v>
      </c>
      <c r="E2353" s="4"/>
      <c r="F2353" s="4" t="s">
        <v>1990</v>
      </c>
      <c r="G2353" s="4" t="s">
        <v>1991</v>
      </c>
      <c r="H2353" s="4" t="s">
        <v>1992</v>
      </c>
      <c r="I2353" s="4"/>
      <c r="J2353" s="4" t="s">
        <v>337</v>
      </c>
      <c r="K2353" s="4" t="s">
        <v>99</v>
      </c>
      <c r="L2353" s="4" t="s">
        <v>100</v>
      </c>
      <c r="M2353" s="4" t="s">
        <v>1993</v>
      </c>
      <c r="N2353" s="4" t="s">
        <v>1994</v>
      </c>
      <c r="O2353" s="4" t="s">
        <v>1995</v>
      </c>
      <c r="P2353" s="4" t="s">
        <v>67</v>
      </c>
      <c r="Q2353" s="4" t="s">
        <v>2008</v>
      </c>
      <c r="R2353" s="4" t="s">
        <v>1997</v>
      </c>
      <c r="S2353" s="4"/>
      <c r="T2353" s="4"/>
      <c r="U2353" s="4"/>
      <c r="V2353" s="4"/>
      <c r="W2353" s="4"/>
      <c r="X2353" s="4"/>
      <c r="Y2353" s="4"/>
      <c r="Z2353" s="4"/>
      <c r="AA2353" s="4"/>
      <c r="AB2353" s="4"/>
      <c r="AC2353" s="4"/>
      <c r="AD2353" s="4"/>
      <c r="AE2353" s="4"/>
      <c r="AF2353" s="4"/>
      <c r="AG2353" s="4"/>
      <c r="AH2353" s="4"/>
      <c r="AI2353" s="4"/>
      <c r="AJ2353" s="4"/>
      <c r="AK2353" s="4"/>
      <c r="AL2353" s="4"/>
      <c r="AM2353" s="4" t="s">
        <v>2136</v>
      </c>
    </row>
    <row r="2354" customFormat="false" ht="15" hidden="false" customHeight="false" outlineLevel="0" collapsed="false">
      <c r="A2354" s="4" t="s">
        <v>1987</v>
      </c>
      <c r="B2354" s="4" t="s">
        <v>3245</v>
      </c>
      <c r="C2354" s="4" t="s">
        <v>3246</v>
      </c>
      <c r="D2354" s="12" t="n">
        <v>2018</v>
      </c>
      <c r="E2354" s="4"/>
      <c r="F2354" s="4" t="s">
        <v>1990</v>
      </c>
      <c r="G2354" s="4" t="s">
        <v>1991</v>
      </c>
      <c r="H2354" s="4" t="s">
        <v>1992</v>
      </c>
      <c r="I2354" s="4"/>
      <c r="J2354" s="4" t="s">
        <v>338</v>
      </c>
      <c r="K2354" s="4" t="s">
        <v>99</v>
      </c>
      <c r="L2354" s="4" t="s">
        <v>100</v>
      </c>
      <c r="M2354" s="4" t="s">
        <v>1993</v>
      </c>
      <c r="N2354" s="4" t="s">
        <v>2001</v>
      </c>
      <c r="O2354" s="4" t="s">
        <v>2002</v>
      </c>
      <c r="P2354" s="4" t="s">
        <v>67</v>
      </c>
      <c r="Q2354" s="4" t="s">
        <v>2139</v>
      </c>
      <c r="R2354" s="4" t="s">
        <v>1997</v>
      </c>
      <c r="S2354" s="4"/>
      <c r="T2354" s="4"/>
      <c r="U2354" s="4"/>
      <c r="V2354" s="4"/>
      <c r="W2354" s="4"/>
      <c r="X2354" s="4"/>
      <c r="Y2354" s="4"/>
      <c r="Z2354" s="4"/>
      <c r="AA2354" s="4"/>
      <c r="AB2354" s="4"/>
      <c r="AC2354" s="4"/>
      <c r="AD2354" s="4"/>
      <c r="AE2354" s="4"/>
      <c r="AF2354" s="4"/>
      <c r="AG2354" s="4"/>
      <c r="AH2354" s="4"/>
      <c r="AI2354" s="4"/>
      <c r="AJ2354" s="4"/>
      <c r="AK2354" s="4"/>
      <c r="AL2354" s="4"/>
      <c r="AM2354" s="4" t="s">
        <v>2140</v>
      </c>
    </row>
    <row r="2355" customFormat="false" ht="15" hidden="false" customHeight="false" outlineLevel="0" collapsed="false">
      <c r="A2355" s="4" t="s">
        <v>1987</v>
      </c>
      <c r="B2355" s="4" t="s">
        <v>3247</v>
      </c>
      <c r="C2355" s="4" t="s">
        <v>3248</v>
      </c>
      <c r="D2355" s="12" t="n">
        <v>2018</v>
      </c>
      <c r="E2355" s="4"/>
      <c r="F2355" s="4" t="s">
        <v>1990</v>
      </c>
      <c r="G2355" s="4" t="s">
        <v>1991</v>
      </c>
      <c r="H2355" s="4" t="s">
        <v>1992</v>
      </c>
      <c r="I2355" s="4"/>
      <c r="J2355" s="4" t="s">
        <v>340</v>
      </c>
      <c r="K2355" s="4" t="s">
        <v>99</v>
      </c>
      <c r="L2355" s="4" t="s">
        <v>100</v>
      </c>
      <c r="M2355" s="4" t="s">
        <v>1993</v>
      </c>
      <c r="N2355" s="4" t="s">
        <v>2001</v>
      </c>
      <c r="O2355" s="4" t="s">
        <v>2074</v>
      </c>
      <c r="P2355" s="4" t="s">
        <v>73</v>
      </c>
      <c r="Q2355" s="4" t="s">
        <v>2075</v>
      </c>
      <c r="R2355" s="4" t="s">
        <v>1997</v>
      </c>
      <c r="S2355" s="4"/>
      <c r="T2355" s="4"/>
      <c r="U2355" s="4"/>
      <c r="V2355" s="4"/>
      <c r="W2355" s="4"/>
      <c r="X2355" s="4"/>
      <c r="Y2355" s="4"/>
      <c r="Z2355" s="4"/>
      <c r="AA2355" s="4"/>
      <c r="AB2355" s="4"/>
      <c r="AC2355" s="4"/>
      <c r="AD2355" s="4"/>
      <c r="AE2355" s="4"/>
      <c r="AF2355" s="4"/>
      <c r="AG2355" s="4"/>
      <c r="AH2355" s="4"/>
      <c r="AI2355" s="4"/>
      <c r="AJ2355" s="4"/>
      <c r="AK2355" s="4"/>
      <c r="AL2355" s="4"/>
      <c r="AM2355" s="4" t="s">
        <v>2076</v>
      </c>
    </row>
    <row r="2356" customFormat="false" ht="15" hidden="false" customHeight="false" outlineLevel="0" collapsed="false">
      <c r="A2356" s="4" t="s">
        <v>1987</v>
      </c>
      <c r="B2356" s="4" t="s">
        <v>3249</v>
      </c>
      <c r="C2356" s="4" t="s">
        <v>3250</v>
      </c>
      <c r="D2356" s="12" t="n">
        <v>2018</v>
      </c>
      <c r="E2356" s="4"/>
      <c r="F2356" s="4" t="s">
        <v>1990</v>
      </c>
      <c r="G2356" s="4" t="s">
        <v>1991</v>
      </c>
      <c r="H2356" s="4" t="s">
        <v>1992</v>
      </c>
      <c r="I2356" s="4"/>
      <c r="J2356" s="4" t="s">
        <v>341</v>
      </c>
      <c r="K2356" s="4" t="s">
        <v>99</v>
      </c>
      <c r="L2356" s="4" t="s">
        <v>100</v>
      </c>
      <c r="M2356" s="4" t="s">
        <v>1993</v>
      </c>
      <c r="N2356" s="4" t="s">
        <v>2001</v>
      </c>
      <c r="O2356" s="4" t="s">
        <v>2002</v>
      </c>
      <c r="P2356" s="4" t="s">
        <v>72</v>
      </c>
      <c r="Q2356" s="4" t="s">
        <v>2079</v>
      </c>
      <c r="R2356" s="4" t="s">
        <v>1997</v>
      </c>
      <c r="S2356" s="4"/>
      <c r="T2356" s="4"/>
      <c r="U2356" s="4"/>
      <c r="V2356" s="4"/>
      <c r="W2356" s="4"/>
      <c r="X2356" s="4"/>
      <c r="Y2356" s="4"/>
      <c r="Z2356" s="4"/>
      <c r="AA2356" s="4"/>
      <c r="AB2356" s="4"/>
      <c r="AC2356" s="4"/>
      <c r="AD2356" s="4"/>
      <c r="AE2356" s="4"/>
      <c r="AF2356" s="4"/>
      <c r="AG2356" s="4"/>
      <c r="AH2356" s="4"/>
      <c r="AI2356" s="4"/>
      <c r="AJ2356" s="4"/>
      <c r="AK2356" s="4"/>
      <c r="AL2356" s="4"/>
      <c r="AM2356" s="4" t="s">
        <v>2080</v>
      </c>
    </row>
    <row r="2357" customFormat="false" ht="23.85" hidden="false" customHeight="false" outlineLevel="0" collapsed="false">
      <c r="A2357" s="4" t="s">
        <v>1987</v>
      </c>
      <c r="B2357" s="4" t="s">
        <v>3251</v>
      </c>
      <c r="C2357" s="4" t="s">
        <v>3252</v>
      </c>
      <c r="D2357" s="12" t="n">
        <v>2018</v>
      </c>
      <c r="E2357" s="4"/>
      <c r="F2357" s="4" t="s">
        <v>1990</v>
      </c>
      <c r="G2357" s="4" t="s">
        <v>1991</v>
      </c>
      <c r="H2357" s="4" t="s">
        <v>1992</v>
      </c>
      <c r="I2357" s="4"/>
      <c r="J2357" s="4" t="s">
        <v>342</v>
      </c>
      <c r="K2357" s="4" t="s">
        <v>99</v>
      </c>
      <c r="L2357" s="4" t="s">
        <v>100</v>
      </c>
      <c r="M2357" s="4" t="s">
        <v>1993</v>
      </c>
      <c r="N2357" s="4" t="s">
        <v>2001</v>
      </c>
      <c r="O2357" s="4" t="s">
        <v>2002</v>
      </c>
      <c r="P2357" s="4" t="s">
        <v>68</v>
      </c>
      <c r="Q2357" s="4" t="s">
        <v>2111</v>
      </c>
      <c r="R2357" s="4" t="s">
        <v>1997</v>
      </c>
      <c r="S2357" s="4"/>
      <c r="T2357" s="4"/>
      <c r="U2357" s="4"/>
      <c r="V2357" s="4"/>
      <c r="W2357" s="4"/>
      <c r="X2357" s="4"/>
      <c r="Y2357" s="4"/>
      <c r="Z2357" s="4"/>
      <c r="AA2357" s="4"/>
      <c r="AB2357" s="4"/>
      <c r="AC2357" s="4"/>
      <c r="AD2357" s="4"/>
      <c r="AE2357" s="4"/>
      <c r="AF2357" s="4"/>
      <c r="AG2357" s="4"/>
      <c r="AH2357" s="4"/>
      <c r="AI2357" s="4"/>
      <c r="AJ2357" s="4"/>
      <c r="AK2357" s="4"/>
      <c r="AL2357" s="4"/>
      <c r="AM2357" s="4" t="s">
        <v>2112</v>
      </c>
    </row>
    <row r="2358" customFormat="false" ht="23.85" hidden="false" customHeight="false" outlineLevel="0" collapsed="false">
      <c r="A2358" s="4" t="s">
        <v>1987</v>
      </c>
      <c r="B2358" s="4" t="s">
        <v>3253</v>
      </c>
      <c r="C2358" s="4" t="s">
        <v>3254</v>
      </c>
      <c r="D2358" s="12" t="n">
        <v>2018</v>
      </c>
      <c r="E2358" s="4"/>
      <c r="F2358" s="4" t="s">
        <v>1990</v>
      </c>
      <c r="G2358" s="4" t="s">
        <v>1991</v>
      </c>
      <c r="H2358" s="4" t="s">
        <v>1992</v>
      </c>
      <c r="I2358" s="4"/>
      <c r="J2358" s="4" t="s">
        <v>344</v>
      </c>
      <c r="K2358" s="4" t="s">
        <v>99</v>
      </c>
      <c r="L2358" s="4" t="s">
        <v>100</v>
      </c>
      <c r="M2358" s="4" t="s">
        <v>1993</v>
      </c>
      <c r="N2358" s="4" t="s">
        <v>2001</v>
      </c>
      <c r="O2358" s="4" t="s">
        <v>2002</v>
      </c>
      <c r="P2358" s="4" t="s">
        <v>67</v>
      </c>
      <c r="Q2358" s="4" t="s">
        <v>2151</v>
      </c>
      <c r="R2358" s="4" t="s">
        <v>1997</v>
      </c>
      <c r="S2358" s="4"/>
      <c r="T2358" s="4"/>
      <c r="U2358" s="4"/>
      <c r="V2358" s="4"/>
      <c r="W2358" s="4"/>
      <c r="X2358" s="4"/>
      <c r="Y2358" s="4"/>
      <c r="Z2358" s="4"/>
      <c r="AA2358" s="4"/>
      <c r="AB2358" s="4"/>
      <c r="AC2358" s="4"/>
      <c r="AD2358" s="4"/>
      <c r="AE2358" s="4"/>
      <c r="AF2358" s="4"/>
      <c r="AG2358" s="4"/>
      <c r="AH2358" s="4"/>
      <c r="AI2358" s="4"/>
      <c r="AJ2358" s="4"/>
      <c r="AK2358" s="4"/>
      <c r="AL2358" s="4"/>
      <c r="AM2358" s="4" t="s">
        <v>2152</v>
      </c>
    </row>
    <row r="2359" customFormat="false" ht="23.85" hidden="false" customHeight="false" outlineLevel="0" collapsed="false">
      <c r="A2359" s="4" t="s">
        <v>1987</v>
      </c>
      <c r="B2359" s="4" t="s">
        <v>3255</v>
      </c>
      <c r="C2359" s="4" t="s">
        <v>3256</v>
      </c>
      <c r="D2359" s="12" t="n">
        <v>2018</v>
      </c>
      <c r="E2359" s="4"/>
      <c r="F2359" s="4" t="s">
        <v>1990</v>
      </c>
      <c r="G2359" s="4" t="s">
        <v>1991</v>
      </c>
      <c r="H2359" s="4" t="s">
        <v>1992</v>
      </c>
      <c r="I2359" s="4"/>
      <c r="J2359" s="4" t="s">
        <v>344</v>
      </c>
      <c r="K2359" s="4" t="s">
        <v>99</v>
      </c>
      <c r="L2359" s="4" t="s">
        <v>100</v>
      </c>
      <c r="M2359" s="4" t="s">
        <v>2155</v>
      </c>
      <c r="N2359" s="4" t="s">
        <v>1994</v>
      </c>
      <c r="O2359" s="4" t="s">
        <v>2156</v>
      </c>
      <c r="P2359" s="4" t="s">
        <v>67</v>
      </c>
      <c r="Q2359" s="4" t="s">
        <v>2151</v>
      </c>
      <c r="R2359" s="4" t="s">
        <v>1997</v>
      </c>
      <c r="S2359" s="4"/>
      <c r="T2359" s="4"/>
      <c r="U2359" s="4"/>
      <c r="V2359" s="4"/>
      <c r="W2359" s="4"/>
      <c r="X2359" s="4"/>
      <c r="Y2359" s="4"/>
      <c r="Z2359" s="4"/>
      <c r="AA2359" s="4"/>
      <c r="AB2359" s="4"/>
      <c r="AC2359" s="4"/>
      <c r="AD2359" s="4"/>
      <c r="AE2359" s="4"/>
      <c r="AF2359" s="4"/>
      <c r="AG2359" s="4"/>
      <c r="AH2359" s="4"/>
      <c r="AI2359" s="4"/>
      <c r="AJ2359" s="4"/>
      <c r="AK2359" s="4"/>
      <c r="AL2359" s="4"/>
      <c r="AM2359" s="4" t="s">
        <v>2157</v>
      </c>
    </row>
    <row r="2360" customFormat="false" ht="23.85" hidden="false" customHeight="false" outlineLevel="0" collapsed="false">
      <c r="A2360" s="4" t="s">
        <v>1987</v>
      </c>
      <c r="B2360" s="4" t="s">
        <v>3257</v>
      </c>
      <c r="C2360" s="4" t="s">
        <v>3258</v>
      </c>
      <c r="D2360" s="12" t="n">
        <v>2018</v>
      </c>
      <c r="E2360" s="4"/>
      <c r="F2360" s="4" t="s">
        <v>1990</v>
      </c>
      <c r="G2360" s="4" t="s">
        <v>1991</v>
      </c>
      <c r="H2360" s="4" t="s">
        <v>1992</v>
      </c>
      <c r="I2360" s="4"/>
      <c r="J2360" s="4" t="s">
        <v>344</v>
      </c>
      <c r="K2360" s="4" t="s">
        <v>99</v>
      </c>
      <c r="L2360" s="4" t="s">
        <v>100</v>
      </c>
      <c r="M2360" s="4" t="s">
        <v>2155</v>
      </c>
      <c r="N2360" s="4" t="s">
        <v>2001</v>
      </c>
      <c r="O2360" s="4" t="s">
        <v>2160</v>
      </c>
      <c r="P2360" s="4" t="s">
        <v>64</v>
      </c>
      <c r="Q2360" s="4" t="s">
        <v>2151</v>
      </c>
      <c r="R2360" s="4" t="s">
        <v>1997</v>
      </c>
      <c r="S2360" s="4"/>
      <c r="T2360" s="4"/>
      <c r="U2360" s="4"/>
      <c r="V2360" s="4"/>
      <c r="W2360" s="4"/>
      <c r="X2360" s="4"/>
      <c r="Y2360" s="4"/>
      <c r="Z2360" s="4"/>
      <c r="AA2360" s="4"/>
      <c r="AB2360" s="4"/>
      <c r="AC2360" s="4"/>
      <c r="AD2360" s="4"/>
      <c r="AE2360" s="4"/>
      <c r="AF2360" s="4"/>
      <c r="AG2360" s="4"/>
      <c r="AH2360" s="4"/>
      <c r="AI2360" s="4"/>
      <c r="AJ2360" s="4"/>
      <c r="AK2360" s="4"/>
      <c r="AL2360" s="4"/>
      <c r="AM2360" s="4" t="s">
        <v>2161</v>
      </c>
    </row>
    <row r="2361" customFormat="false" ht="23.85" hidden="false" customHeight="false" outlineLevel="0" collapsed="false">
      <c r="A2361" s="4" t="s">
        <v>1987</v>
      </c>
      <c r="B2361" s="4" t="s">
        <v>3259</v>
      </c>
      <c r="C2361" s="4" t="s">
        <v>3260</v>
      </c>
      <c r="D2361" s="12" t="n">
        <v>2018</v>
      </c>
      <c r="E2361" s="4"/>
      <c r="F2361" s="4" t="s">
        <v>1990</v>
      </c>
      <c r="G2361" s="4" t="s">
        <v>1991</v>
      </c>
      <c r="H2361" s="4" t="s">
        <v>1992</v>
      </c>
      <c r="I2361" s="4"/>
      <c r="J2361" s="4" t="s">
        <v>346</v>
      </c>
      <c r="K2361" s="4" t="s">
        <v>101</v>
      </c>
      <c r="L2361" s="4" t="s">
        <v>102</v>
      </c>
      <c r="M2361" s="4" t="s">
        <v>1993</v>
      </c>
      <c r="N2361" s="4" t="s">
        <v>1994</v>
      </c>
      <c r="O2361" s="4" t="s">
        <v>2029</v>
      </c>
      <c r="P2361" s="4" t="s">
        <v>69</v>
      </c>
      <c r="Q2361" s="4" t="s">
        <v>2030</v>
      </c>
      <c r="R2361" s="4" t="s">
        <v>1997</v>
      </c>
      <c r="S2361" s="4"/>
      <c r="T2361" s="4"/>
      <c r="U2361" s="4"/>
      <c r="V2361" s="4"/>
      <c r="W2361" s="4"/>
      <c r="X2361" s="4"/>
      <c r="Y2361" s="4"/>
      <c r="Z2361" s="4"/>
      <c r="AA2361" s="4"/>
      <c r="AB2361" s="4"/>
      <c r="AC2361" s="4"/>
      <c r="AD2361" s="4"/>
      <c r="AE2361" s="4"/>
      <c r="AF2361" s="4"/>
      <c r="AG2361" s="4"/>
      <c r="AH2361" s="4"/>
      <c r="AI2361" s="4"/>
      <c r="AJ2361" s="4"/>
      <c r="AK2361" s="4"/>
      <c r="AL2361" s="4"/>
      <c r="AM2361" s="4" t="s">
        <v>2031</v>
      </c>
    </row>
    <row r="2362" customFormat="false" ht="23.85" hidden="false" customHeight="false" outlineLevel="0" collapsed="false">
      <c r="A2362" s="4" t="s">
        <v>1987</v>
      </c>
      <c r="B2362" s="4" t="s">
        <v>3261</v>
      </c>
      <c r="C2362" s="4" t="s">
        <v>3262</v>
      </c>
      <c r="D2362" s="12" t="n">
        <v>2018</v>
      </c>
      <c r="E2362" s="4"/>
      <c r="F2362" s="4" t="s">
        <v>1990</v>
      </c>
      <c r="G2362" s="4" t="s">
        <v>1991</v>
      </c>
      <c r="H2362" s="4" t="s">
        <v>1992</v>
      </c>
      <c r="I2362" s="4"/>
      <c r="J2362" s="4" t="s">
        <v>347</v>
      </c>
      <c r="K2362" s="4" t="s">
        <v>101</v>
      </c>
      <c r="L2362" s="4" t="s">
        <v>102</v>
      </c>
      <c r="M2362" s="4" t="s">
        <v>1993</v>
      </c>
      <c r="N2362" s="4" t="s">
        <v>2001</v>
      </c>
      <c r="O2362" s="4" t="s">
        <v>2091</v>
      </c>
      <c r="P2362" s="4" t="s">
        <v>69</v>
      </c>
      <c r="Q2362" s="4" t="s">
        <v>2030</v>
      </c>
      <c r="R2362" s="4" t="s">
        <v>1997</v>
      </c>
      <c r="S2362" s="4"/>
      <c r="T2362" s="4"/>
      <c r="U2362" s="4"/>
      <c r="V2362" s="4"/>
      <c r="W2362" s="4"/>
      <c r="X2362" s="4"/>
      <c r="Y2362" s="4"/>
      <c r="Z2362" s="4"/>
      <c r="AA2362" s="4"/>
      <c r="AB2362" s="4"/>
      <c r="AC2362" s="4"/>
      <c r="AD2362" s="4"/>
      <c r="AE2362" s="4"/>
      <c r="AF2362" s="4"/>
      <c r="AG2362" s="4"/>
      <c r="AH2362" s="4"/>
      <c r="AI2362" s="4"/>
      <c r="AJ2362" s="4"/>
      <c r="AK2362" s="4"/>
      <c r="AL2362" s="4"/>
      <c r="AM2362" s="4" t="s">
        <v>2092</v>
      </c>
    </row>
    <row r="2363" customFormat="false" ht="23.85" hidden="false" customHeight="false" outlineLevel="0" collapsed="false">
      <c r="A2363" s="4" t="s">
        <v>1987</v>
      </c>
      <c r="B2363" s="4" t="s">
        <v>3263</v>
      </c>
      <c r="C2363" s="4" t="s">
        <v>3264</v>
      </c>
      <c r="D2363" s="12" t="n">
        <v>2018</v>
      </c>
      <c r="E2363" s="4"/>
      <c r="F2363" s="4" t="s">
        <v>1990</v>
      </c>
      <c r="G2363" s="4" t="s">
        <v>1991</v>
      </c>
      <c r="H2363" s="4" t="s">
        <v>1992</v>
      </c>
      <c r="I2363" s="4"/>
      <c r="J2363" s="4" t="s">
        <v>348</v>
      </c>
      <c r="K2363" s="4" t="s">
        <v>101</v>
      </c>
      <c r="L2363" s="4" t="s">
        <v>102</v>
      </c>
      <c r="M2363" s="4" t="s">
        <v>1993</v>
      </c>
      <c r="N2363" s="4" t="s">
        <v>2001</v>
      </c>
      <c r="O2363" s="4" t="s">
        <v>2034</v>
      </c>
      <c r="P2363" s="4" t="s">
        <v>74</v>
      </c>
      <c r="Q2363" s="4" t="s">
        <v>2035</v>
      </c>
      <c r="R2363" s="4" t="s">
        <v>2036</v>
      </c>
      <c r="S2363" s="4"/>
      <c r="T2363" s="4"/>
      <c r="U2363" s="4"/>
      <c r="V2363" s="4"/>
      <c r="W2363" s="4"/>
      <c r="X2363" s="4"/>
      <c r="Y2363" s="4"/>
      <c r="Z2363" s="4"/>
      <c r="AA2363" s="4"/>
      <c r="AB2363" s="4"/>
      <c r="AC2363" s="4"/>
      <c r="AD2363" s="4"/>
      <c r="AE2363" s="4"/>
      <c r="AF2363" s="4"/>
      <c r="AG2363" s="4"/>
      <c r="AH2363" s="4"/>
      <c r="AI2363" s="4"/>
      <c r="AJ2363" s="4"/>
      <c r="AK2363" s="4"/>
      <c r="AL2363" s="4"/>
      <c r="AM2363" s="4" t="s">
        <v>2037</v>
      </c>
    </row>
    <row r="2364" customFormat="false" ht="23.85" hidden="false" customHeight="false" outlineLevel="0" collapsed="false">
      <c r="A2364" s="4" t="s">
        <v>1987</v>
      </c>
      <c r="B2364" s="4" t="s">
        <v>3265</v>
      </c>
      <c r="C2364" s="4" t="s">
        <v>3266</v>
      </c>
      <c r="D2364" s="12" t="n">
        <v>2018</v>
      </c>
      <c r="E2364" s="4"/>
      <c r="F2364" s="4" t="s">
        <v>1990</v>
      </c>
      <c r="G2364" s="4" t="s">
        <v>1991</v>
      </c>
      <c r="H2364" s="4" t="s">
        <v>1992</v>
      </c>
      <c r="I2364" s="4"/>
      <c r="J2364" s="4" t="s">
        <v>350</v>
      </c>
      <c r="K2364" s="4" t="s">
        <v>101</v>
      </c>
      <c r="L2364" s="4" t="s">
        <v>102</v>
      </c>
      <c r="M2364" s="4" t="s">
        <v>1993</v>
      </c>
      <c r="N2364" s="4" t="s">
        <v>2001</v>
      </c>
      <c r="O2364" s="4" t="s">
        <v>2002</v>
      </c>
      <c r="P2364" s="4" t="s">
        <v>67</v>
      </c>
      <c r="Q2364" s="4" t="s">
        <v>2003</v>
      </c>
      <c r="R2364" s="4" t="s">
        <v>2004</v>
      </c>
      <c r="S2364" s="4"/>
      <c r="T2364" s="4"/>
      <c r="U2364" s="4"/>
      <c r="V2364" s="4"/>
      <c r="W2364" s="4"/>
      <c r="X2364" s="4"/>
      <c r="Y2364" s="4"/>
      <c r="Z2364" s="4"/>
      <c r="AA2364" s="4"/>
      <c r="AB2364" s="4"/>
      <c r="AC2364" s="4"/>
      <c r="AD2364" s="4"/>
      <c r="AE2364" s="4"/>
      <c r="AF2364" s="4"/>
      <c r="AG2364" s="4"/>
      <c r="AH2364" s="4"/>
      <c r="AI2364" s="4"/>
      <c r="AJ2364" s="4"/>
      <c r="AK2364" s="4"/>
      <c r="AL2364" s="4"/>
      <c r="AM2364" s="4" t="s">
        <v>2005</v>
      </c>
    </row>
    <row r="2365" customFormat="false" ht="23.85" hidden="false" customHeight="false" outlineLevel="0" collapsed="false">
      <c r="A2365" s="4" t="s">
        <v>1987</v>
      </c>
      <c r="B2365" s="4" t="s">
        <v>3267</v>
      </c>
      <c r="C2365" s="4" t="s">
        <v>3268</v>
      </c>
      <c r="D2365" s="12" t="n">
        <v>2018</v>
      </c>
      <c r="E2365" s="4"/>
      <c r="F2365" s="4" t="s">
        <v>1990</v>
      </c>
      <c r="G2365" s="4" t="s">
        <v>1991</v>
      </c>
      <c r="H2365" s="4" t="s">
        <v>1992</v>
      </c>
      <c r="I2365" s="4"/>
      <c r="J2365" s="4" t="s">
        <v>356</v>
      </c>
      <c r="K2365" s="4" t="s">
        <v>101</v>
      </c>
      <c r="L2365" s="4" t="s">
        <v>102</v>
      </c>
      <c r="M2365" s="4" t="s">
        <v>1993</v>
      </c>
      <c r="N2365" s="4" t="s">
        <v>2001</v>
      </c>
      <c r="O2365" s="4" t="s">
        <v>2002</v>
      </c>
      <c r="P2365" s="4" t="s">
        <v>68</v>
      </c>
      <c r="Q2365" s="4" t="s">
        <v>2111</v>
      </c>
      <c r="R2365" s="4" t="s">
        <v>1997</v>
      </c>
      <c r="S2365" s="4"/>
      <c r="T2365" s="4"/>
      <c r="U2365" s="4"/>
      <c r="V2365" s="4"/>
      <c r="W2365" s="4"/>
      <c r="X2365" s="4"/>
      <c r="Y2365" s="4"/>
      <c r="Z2365" s="4"/>
      <c r="AA2365" s="4"/>
      <c r="AB2365" s="4"/>
      <c r="AC2365" s="4"/>
      <c r="AD2365" s="4"/>
      <c r="AE2365" s="4"/>
      <c r="AF2365" s="4"/>
      <c r="AG2365" s="4"/>
      <c r="AH2365" s="4"/>
      <c r="AI2365" s="4"/>
      <c r="AJ2365" s="4"/>
      <c r="AK2365" s="4"/>
      <c r="AL2365" s="4"/>
      <c r="AM2365" s="4" t="s">
        <v>2112</v>
      </c>
    </row>
    <row r="2366" customFormat="false" ht="23.85" hidden="false" customHeight="false" outlineLevel="0" collapsed="false">
      <c r="A2366" s="4" t="s">
        <v>1987</v>
      </c>
      <c r="B2366" s="4" t="s">
        <v>3269</v>
      </c>
      <c r="C2366" s="4" t="s">
        <v>3270</v>
      </c>
      <c r="D2366" s="12" t="n">
        <v>2018</v>
      </c>
      <c r="E2366" s="4"/>
      <c r="F2366" s="4" t="s">
        <v>1990</v>
      </c>
      <c r="G2366" s="4" t="s">
        <v>1991</v>
      </c>
      <c r="H2366" s="4" t="s">
        <v>1992</v>
      </c>
      <c r="I2366" s="4"/>
      <c r="J2366" s="4" t="s">
        <v>360</v>
      </c>
      <c r="K2366" s="4" t="s">
        <v>103</v>
      </c>
      <c r="L2366" s="4" t="s">
        <v>104</v>
      </c>
      <c r="M2366" s="4" t="s">
        <v>1993</v>
      </c>
      <c r="N2366" s="4" t="s">
        <v>1994</v>
      </c>
      <c r="O2366" s="4" t="s">
        <v>2029</v>
      </c>
      <c r="P2366" s="4" t="s">
        <v>69</v>
      </c>
      <c r="Q2366" s="4" t="s">
        <v>2030</v>
      </c>
      <c r="R2366" s="4" t="s">
        <v>1997</v>
      </c>
      <c r="S2366" s="4"/>
      <c r="T2366" s="4"/>
      <c r="U2366" s="4"/>
      <c r="V2366" s="4"/>
      <c r="W2366" s="4"/>
      <c r="X2366" s="4"/>
      <c r="Y2366" s="4"/>
      <c r="Z2366" s="4"/>
      <c r="AA2366" s="4"/>
      <c r="AB2366" s="4"/>
      <c r="AC2366" s="4"/>
      <c r="AD2366" s="4"/>
      <c r="AE2366" s="4"/>
      <c r="AF2366" s="4"/>
      <c r="AG2366" s="4"/>
      <c r="AH2366" s="4"/>
      <c r="AI2366" s="4"/>
      <c r="AJ2366" s="4"/>
      <c r="AK2366" s="4"/>
      <c r="AL2366" s="4"/>
      <c r="AM2366" s="4" t="s">
        <v>2031</v>
      </c>
    </row>
    <row r="2367" customFormat="false" ht="23.85" hidden="false" customHeight="false" outlineLevel="0" collapsed="false">
      <c r="A2367" s="4" t="s">
        <v>1987</v>
      </c>
      <c r="B2367" s="4" t="s">
        <v>3271</v>
      </c>
      <c r="C2367" s="4" t="s">
        <v>3272</v>
      </c>
      <c r="D2367" s="12" t="n">
        <v>2018</v>
      </c>
      <c r="E2367" s="4"/>
      <c r="F2367" s="4" t="s">
        <v>1990</v>
      </c>
      <c r="G2367" s="4" t="s">
        <v>1991</v>
      </c>
      <c r="H2367" s="4" t="s">
        <v>1992</v>
      </c>
      <c r="I2367" s="4"/>
      <c r="J2367" s="4" t="s">
        <v>361</v>
      </c>
      <c r="K2367" s="4" t="s">
        <v>103</v>
      </c>
      <c r="L2367" s="4" t="s">
        <v>104</v>
      </c>
      <c r="M2367" s="4" t="s">
        <v>1993</v>
      </c>
      <c r="N2367" s="4" t="s">
        <v>2001</v>
      </c>
      <c r="O2367" s="4" t="s">
        <v>2091</v>
      </c>
      <c r="P2367" s="4" t="s">
        <v>69</v>
      </c>
      <c r="Q2367" s="4" t="s">
        <v>2030</v>
      </c>
      <c r="R2367" s="4" t="s">
        <v>1997</v>
      </c>
      <c r="S2367" s="4"/>
      <c r="T2367" s="4"/>
      <c r="U2367" s="4"/>
      <c r="V2367" s="4"/>
      <c r="W2367" s="4"/>
      <c r="X2367" s="4"/>
      <c r="Y2367" s="4"/>
      <c r="Z2367" s="4"/>
      <c r="AA2367" s="4"/>
      <c r="AB2367" s="4"/>
      <c r="AC2367" s="4"/>
      <c r="AD2367" s="4"/>
      <c r="AE2367" s="4"/>
      <c r="AF2367" s="4"/>
      <c r="AG2367" s="4"/>
      <c r="AH2367" s="4"/>
      <c r="AI2367" s="4"/>
      <c r="AJ2367" s="4"/>
      <c r="AK2367" s="4"/>
      <c r="AL2367" s="4"/>
      <c r="AM2367" s="4" t="s">
        <v>2092</v>
      </c>
    </row>
    <row r="2368" customFormat="false" ht="23.85" hidden="false" customHeight="false" outlineLevel="0" collapsed="false">
      <c r="A2368" s="4" t="s">
        <v>1987</v>
      </c>
      <c r="B2368" s="4" t="s">
        <v>3273</v>
      </c>
      <c r="C2368" s="4" t="s">
        <v>3274</v>
      </c>
      <c r="D2368" s="12" t="n">
        <v>2018</v>
      </c>
      <c r="E2368" s="4"/>
      <c r="F2368" s="4" t="s">
        <v>1990</v>
      </c>
      <c r="G2368" s="4" t="s">
        <v>1991</v>
      </c>
      <c r="H2368" s="4" t="s">
        <v>1992</v>
      </c>
      <c r="I2368" s="4"/>
      <c r="J2368" s="4" t="s">
        <v>362</v>
      </c>
      <c r="K2368" s="4" t="s">
        <v>103</v>
      </c>
      <c r="L2368" s="4" t="s">
        <v>104</v>
      </c>
      <c r="M2368" s="4" t="s">
        <v>1993</v>
      </c>
      <c r="N2368" s="4" t="s">
        <v>2001</v>
      </c>
      <c r="O2368" s="4" t="s">
        <v>2034</v>
      </c>
      <c r="P2368" s="4" t="s">
        <v>74</v>
      </c>
      <c r="Q2368" s="4" t="s">
        <v>2035</v>
      </c>
      <c r="R2368" s="4" t="s">
        <v>2036</v>
      </c>
      <c r="S2368" s="4"/>
      <c r="T2368" s="4"/>
      <c r="U2368" s="4"/>
      <c r="V2368" s="4"/>
      <c r="W2368" s="4"/>
      <c r="X2368" s="4"/>
      <c r="Y2368" s="4"/>
      <c r="Z2368" s="4"/>
      <c r="AA2368" s="4"/>
      <c r="AB2368" s="4"/>
      <c r="AC2368" s="4"/>
      <c r="AD2368" s="4"/>
      <c r="AE2368" s="4"/>
      <c r="AF2368" s="4"/>
      <c r="AG2368" s="4"/>
      <c r="AH2368" s="4"/>
      <c r="AI2368" s="4"/>
      <c r="AJ2368" s="4"/>
      <c r="AK2368" s="4"/>
      <c r="AL2368" s="4"/>
      <c r="AM2368" s="4" t="s">
        <v>2037</v>
      </c>
    </row>
    <row r="2369" customFormat="false" ht="15" hidden="false" customHeight="false" outlineLevel="0" collapsed="false">
      <c r="A2369" s="4" t="s">
        <v>1987</v>
      </c>
      <c r="B2369" s="4" t="s">
        <v>3275</v>
      </c>
      <c r="C2369" s="4" t="s">
        <v>3276</v>
      </c>
      <c r="D2369" s="12" t="n">
        <v>2018</v>
      </c>
      <c r="E2369" s="4"/>
      <c r="F2369" s="4" t="s">
        <v>1990</v>
      </c>
      <c r="G2369" s="4" t="s">
        <v>1991</v>
      </c>
      <c r="H2369" s="4" t="s">
        <v>1992</v>
      </c>
      <c r="I2369" s="4"/>
      <c r="J2369" s="4" t="s">
        <v>367</v>
      </c>
      <c r="K2369" s="4" t="s">
        <v>103</v>
      </c>
      <c r="L2369" s="4" t="s">
        <v>104</v>
      </c>
      <c r="M2369" s="4" t="s">
        <v>1993</v>
      </c>
      <c r="N2369" s="4" t="s">
        <v>2001</v>
      </c>
      <c r="O2369" s="4" t="s">
        <v>2002</v>
      </c>
      <c r="P2369" s="4" t="s">
        <v>71</v>
      </c>
      <c r="Q2369" s="4" t="s">
        <v>2123</v>
      </c>
      <c r="R2369" s="4" t="s">
        <v>1997</v>
      </c>
      <c r="S2369" s="4"/>
      <c r="T2369" s="4"/>
      <c r="U2369" s="4"/>
      <c r="V2369" s="4"/>
      <c r="W2369" s="4"/>
      <c r="X2369" s="4"/>
      <c r="Y2369" s="4"/>
      <c r="Z2369" s="4"/>
      <c r="AA2369" s="4"/>
      <c r="AB2369" s="4"/>
      <c r="AC2369" s="4"/>
      <c r="AD2369" s="4"/>
      <c r="AE2369" s="4"/>
      <c r="AF2369" s="4"/>
      <c r="AG2369" s="4"/>
      <c r="AH2369" s="4"/>
      <c r="AI2369" s="4"/>
      <c r="AJ2369" s="4"/>
      <c r="AK2369" s="4"/>
      <c r="AL2369" s="4"/>
      <c r="AM2369" s="4" t="s">
        <v>2124</v>
      </c>
    </row>
    <row r="2370" customFormat="false" ht="15" hidden="false" customHeight="false" outlineLevel="0" collapsed="false">
      <c r="A2370" s="4" t="s">
        <v>1987</v>
      </c>
      <c r="B2370" s="4" t="s">
        <v>3277</v>
      </c>
      <c r="C2370" s="4" t="s">
        <v>3278</v>
      </c>
      <c r="D2370" s="12" t="n">
        <v>2018</v>
      </c>
      <c r="E2370" s="4"/>
      <c r="F2370" s="4" t="s">
        <v>1990</v>
      </c>
      <c r="G2370" s="4" t="s">
        <v>1991</v>
      </c>
      <c r="H2370" s="4" t="s">
        <v>1992</v>
      </c>
      <c r="I2370" s="4"/>
      <c r="J2370" s="4" t="s">
        <v>369</v>
      </c>
      <c r="K2370" s="4" t="s">
        <v>103</v>
      </c>
      <c r="L2370" s="4" t="s">
        <v>104</v>
      </c>
      <c r="M2370" s="4" t="s">
        <v>1993</v>
      </c>
      <c r="N2370" s="4" t="s">
        <v>2001</v>
      </c>
      <c r="O2370" s="4" t="s">
        <v>2002</v>
      </c>
      <c r="P2370" s="4" t="s">
        <v>72</v>
      </c>
      <c r="Q2370" s="4" t="s">
        <v>2079</v>
      </c>
      <c r="R2370" s="4" t="s">
        <v>1997</v>
      </c>
      <c r="S2370" s="4"/>
      <c r="T2370" s="4"/>
      <c r="U2370" s="4"/>
      <c r="V2370" s="4"/>
      <c r="W2370" s="4"/>
      <c r="X2370" s="4"/>
      <c r="Y2370" s="4"/>
      <c r="Z2370" s="4"/>
      <c r="AA2370" s="4"/>
      <c r="AB2370" s="4"/>
      <c r="AC2370" s="4"/>
      <c r="AD2370" s="4"/>
      <c r="AE2370" s="4"/>
      <c r="AF2370" s="4"/>
      <c r="AG2370" s="4"/>
      <c r="AH2370" s="4"/>
      <c r="AI2370" s="4"/>
      <c r="AJ2370" s="4"/>
      <c r="AK2370" s="4"/>
      <c r="AL2370" s="4"/>
      <c r="AM2370" s="4" t="s">
        <v>2080</v>
      </c>
    </row>
    <row r="2371" customFormat="false" ht="23.85" hidden="false" customHeight="false" outlineLevel="0" collapsed="false">
      <c r="A2371" s="4" t="s">
        <v>1987</v>
      </c>
      <c r="B2371" s="4" t="s">
        <v>3279</v>
      </c>
      <c r="C2371" s="4" t="s">
        <v>3280</v>
      </c>
      <c r="D2371" s="12" t="n">
        <v>2018</v>
      </c>
      <c r="E2371" s="4"/>
      <c r="F2371" s="4" t="s">
        <v>1990</v>
      </c>
      <c r="G2371" s="4" t="s">
        <v>1991</v>
      </c>
      <c r="H2371" s="4" t="s">
        <v>1992</v>
      </c>
      <c r="I2371" s="4"/>
      <c r="J2371" s="4" t="s">
        <v>370</v>
      </c>
      <c r="K2371" s="4" t="s">
        <v>103</v>
      </c>
      <c r="L2371" s="4" t="s">
        <v>104</v>
      </c>
      <c r="M2371" s="4" t="s">
        <v>1993</v>
      </c>
      <c r="N2371" s="4" t="s">
        <v>2001</v>
      </c>
      <c r="O2371" s="4" t="s">
        <v>2002</v>
      </c>
      <c r="P2371" s="4" t="s">
        <v>68</v>
      </c>
      <c r="Q2371" s="4" t="s">
        <v>2111</v>
      </c>
      <c r="R2371" s="4" t="s">
        <v>1997</v>
      </c>
      <c r="S2371" s="4"/>
      <c r="T2371" s="4"/>
      <c r="U2371" s="4"/>
      <c r="V2371" s="4"/>
      <c r="W2371" s="4"/>
      <c r="X2371" s="4"/>
      <c r="Y2371" s="4"/>
      <c r="Z2371" s="4"/>
      <c r="AA2371" s="4"/>
      <c r="AB2371" s="4"/>
      <c r="AC2371" s="4"/>
      <c r="AD2371" s="4"/>
      <c r="AE2371" s="4"/>
      <c r="AF2371" s="4"/>
      <c r="AG2371" s="4"/>
      <c r="AH2371" s="4"/>
      <c r="AI2371" s="4"/>
      <c r="AJ2371" s="4"/>
      <c r="AK2371" s="4"/>
      <c r="AL2371" s="4"/>
      <c r="AM2371" s="4" t="s">
        <v>2112</v>
      </c>
    </row>
    <row r="2372" customFormat="false" ht="23.85" hidden="false" customHeight="false" outlineLevel="0" collapsed="false">
      <c r="A2372" s="4" t="s">
        <v>1987</v>
      </c>
      <c r="B2372" s="4" t="s">
        <v>3281</v>
      </c>
      <c r="C2372" s="4" t="s">
        <v>3282</v>
      </c>
      <c r="D2372" s="12" t="n">
        <v>2018</v>
      </c>
      <c r="E2372" s="4"/>
      <c r="F2372" s="4" t="s">
        <v>1990</v>
      </c>
      <c r="G2372" s="4" t="s">
        <v>1991</v>
      </c>
      <c r="H2372" s="4" t="s">
        <v>1992</v>
      </c>
      <c r="I2372" s="4"/>
      <c r="J2372" s="4" t="s">
        <v>374</v>
      </c>
      <c r="K2372" s="4" t="s">
        <v>105</v>
      </c>
      <c r="L2372" s="4" t="s">
        <v>106</v>
      </c>
      <c r="M2372" s="4" t="s">
        <v>1993</v>
      </c>
      <c r="N2372" s="4" t="s">
        <v>1994</v>
      </c>
      <c r="O2372" s="4" t="s">
        <v>2029</v>
      </c>
      <c r="P2372" s="4" t="s">
        <v>69</v>
      </c>
      <c r="Q2372" s="4" t="s">
        <v>2030</v>
      </c>
      <c r="R2372" s="4" t="s">
        <v>1997</v>
      </c>
      <c r="S2372" s="4"/>
      <c r="T2372" s="4"/>
      <c r="U2372" s="4"/>
      <c r="V2372" s="4"/>
      <c r="W2372" s="4"/>
      <c r="X2372" s="4"/>
      <c r="Y2372" s="4"/>
      <c r="Z2372" s="4"/>
      <c r="AA2372" s="4"/>
      <c r="AB2372" s="4"/>
      <c r="AC2372" s="4"/>
      <c r="AD2372" s="4"/>
      <c r="AE2372" s="4"/>
      <c r="AF2372" s="4"/>
      <c r="AG2372" s="4"/>
      <c r="AH2372" s="4"/>
      <c r="AI2372" s="4"/>
      <c r="AJ2372" s="4"/>
      <c r="AK2372" s="4"/>
      <c r="AL2372" s="4"/>
      <c r="AM2372" s="4" t="s">
        <v>2031</v>
      </c>
    </row>
    <row r="2373" customFormat="false" ht="23.85" hidden="false" customHeight="false" outlineLevel="0" collapsed="false">
      <c r="A2373" s="4" t="s">
        <v>1987</v>
      </c>
      <c r="B2373" s="4" t="s">
        <v>3283</v>
      </c>
      <c r="C2373" s="4" t="s">
        <v>3284</v>
      </c>
      <c r="D2373" s="12" t="n">
        <v>2018</v>
      </c>
      <c r="E2373" s="4"/>
      <c r="F2373" s="4" t="s">
        <v>1990</v>
      </c>
      <c r="G2373" s="4" t="s">
        <v>1991</v>
      </c>
      <c r="H2373" s="4" t="s">
        <v>1992</v>
      </c>
      <c r="I2373" s="4"/>
      <c r="J2373" s="4" t="s">
        <v>375</v>
      </c>
      <c r="K2373" s="4" t="s">
        <v>105</v>
      </c>
      <c r="L2373" s="4" t="s">
        <v>106</v>
      </c>
      <c r="M2373" s="4" t="s">
        <v>1993</v>
      </c>
      <c r="N2373" s="4" t="s">
        <v>2001</v>
      </c>
      <c r="O2373" s="4" t="s">
        <v>2091</v>
      </c>
      <c r="P2373" s="4" t="s">
        <v>69</v>
      </c>
      <c r="Q2373" s="4" t="s">
        <v>2030</v>
      </c>
      <c r="R2373" s="4" t="s">
        <v>1997</v>
      </c>
      <c r="S2373" s="4"/>
      <c r="T2373" s="4"/>
      <c r="U2373" s="4"/>
      <c r="V2373" s="4"/>
      <c r="W2373" s="4"/>
      <c r="X2373" s="4"/>
      <c r="Y2373" s="4"/>
      <c r="Z2373" s="4"/>
      <c r="AA2373" s="4"/>
      <c r="AB2373" s="4"/>
      <c r="AC2373" s="4"/>
      <c r="AD2373" s="4"/>
      <c r="AE2373" s="4"/>
      <c r="AF2373" s="4"/>
      <c r="AG2373" s="4"/>
      <c r="AH2373" s="4"/>
      <c r="AI2373" s="4"/>
      <c r="AJ2373" s="4"/>
      <c r="AK2373" s="4"/>
      <c r="AL2373" s="4"/>
      <c r="AM2373" s="4" t="s">
        <v>2092</v>
      </c>
    </row>
    <row r="2374" customFormat="false" ht="23.85" hidden="false" customHeight="false" outlineLevel="0" collapsed="false">
      <c r="A2374" s="4" t="s">
        <v>1987</v>
      </c>
      <c r="B2374" s="4" t="s">
        <v>3285</v>
      </c>
      <c r="C2374" s="4" t="s">
        <v>3286</v>
      </c>
      <c r="D2374" s="12" t="n">
        <v>2018</v>
      </c>
      <c r="E2374" s="4"/>
      <c r="F2374" s="4" t="s">
        <v>1990</v>
      </c>
      <c r="G2374" s="4" t="s">
        <v>1991</v>
      </c>
      <c r="H2374" s="4" t="s">
        <v>1992</v>
      </c>
      <c r="I2374" s="4"/>
      <c r="J2374" s="4" t="s">
        <v>376</v>
      </c>
      <c r="K2374" s="4" t="s">
        <v>105</v>
      </c>
      <c r="L2374" s="4" t="s">
        <v>106</v>
      </c>
      <c r="M2374" s="4" t="s">
        <v>1993</v>
      </c>
      <c r="N2374" s="4" t="s">
        <v>2001</v>
      </c>
      <c r="O2374" s="4" t="s">
        <v>2034</v>
      </c>
      <c r="P2374" s="4" t="s">
        <v>74</v>
      </c>
      <c r="Q2374" s="4" t="s">
        <v>2035</v>
      </c>
      <c r="R2374" s="4" t="s">
        <v>2036</v>
      </c>
      <c r="S2374" s="4"/>
      <c r="T2374" s="4"/>
      <c r="U2374" s="4"/>
      <c r="V2374" s="4"/>
      <c r="W2374" s="4"/>
      <c r="X2374" s="4"/>
      <c r="Y2374" s="4"/>
      <c r="Z2374" s="4"/>
      <c r="AA2374" s="4"/>
      <c r="AB2374" s="4"/>
      <c r="AC2374" s="4"/>
      <c r="AD2374" s="4"/>
      <c r="AE2374" s="4"/>
      <c r="AF2374" s="4"/>
      <c r="AG2374" s="4"/>
      <c r="AH2374" s="4"/>
      <c r="AI2374" s="4"/>
      <c r="AJ2374" s="4"/>
      <c r="AK2374" s="4"/>
      <c r="AL2374" s="4"/>
      <c r="AM2374" s="4" t="s">
        <v>2037</v>
      </c>
    </row>
    <row r="2375" customFormat="false" ht="15" hidden="false" customHeight="false" outlineLevel="0" collapsed="false">
      <c r="A2375" s="4" t="s">
        <v>1987</v>
      </c>
      <c r="B2375" s="4" t="s">
        <v>3287</v>
      </c>
      <c r="C2375" s="4" t="s">
        <v>3288</v>
      </c>
      <c r="D2375" s="12" t="n">
        <v>2018</v>
      </c>
      <c r="E2375" s="4"/>
      <c r="F2375" s="4" t="s">
        <v>1990</v>
      </c>
      <c r="G2375" s="4" t="s">
        <v>1991</v>
      </c>
      <c r="H2375" s="4" t="s">
        <v>1992</v>
      </c>
      <c r="I2375" s="4"/>
      <c r="J2375" s="4" t="s">
        <v>381</v>
      </c>
      <c r="K2375" s="4" t="s">
        <v>105</v>
      </c>
      <c r="L2375" s="4" t="s">
        <v>106</v>
      </c>
      <c r="M2375" s="4" t="s">
        <v>1993</v>
      </c>
      <c r="N2375" s="4" t="s">
        <v>2001</v>
      </c>
      <c r="O2375" s="4" t="s">
        <v>2002</v>
      </c>
      <c r="P2375" s="4" t="s">
        <v>71</v>
      </c>
      <c r="Q2375" s="4" t="s">
        <v>2123</v>
      </c>
      <c r="R2375" s="4" t="s">
        <v>1997</v>
      </c>
      <c r="S2375" s="4"/>
      <c r="T2375" s="4"/>
      <c r="U2375" s="4"/>
      <c r="V2375" s="4"/>
      <c r="W2375" s="4"/>
      <c r="X2375" s="4"/>
      <c r="Y2375" s="4"/>
      <c r="Z2375" s="4"/>
      <c r="AA2375" s="4"/>
      <c r="AB2375" s="4"/>
      <c r="AC2375" s="4"/>
      <c r="AD2375" s="4"/>
      <c r="AE2375" s="4"/>
      <c r="AF2375" s="4"/>
      <c r="AG2375" s="4"/>
      <c r="AH2375" s="4"/>
      <c r="AI2375" s="4"/>
      <c r="AJ2375" s="4"/>
      <c r="AK2375" s="4"/>
      <c r="AL2375" s="4"/>
      <c r="AM2375" s="4" t="s">
        <v>2124</v>
      </c>
    </row>
    <row r="2376" customFormat="false" ht="15" hidden="false" customHeight="false" outlineLevel="0" collapsed="false">
      <c r="A2376" s="4" t="s">
        <v>1987</v>
      </c>
      <c r="B2376" s="4" t="s">
        <v>3289</v>
      </c>
      <c r="C2376" s="4" t="s">
        <v>3290</v>
      </c>
      <c r="D2376" s="12" t="n">
        <v>2018</v>
      </c>
      <c r="E2376" s="4"/>
      <c r="F2376" s="4" t="s">
        <v>1990</v>
      </c>
      <c r="G2376" s="4" t="s">
        <v>1991</v>
      </c>
      <c r="H2376" s="4" t="s">
        <v>1992</v>
      </c>
      <c r="I2376" s="4"/>
      <c r="J2376" s="4" t="s">
        <v>382</v>
      </c>
      <c r="K2376" s="4" t="s">
        <v>105</v>
      </c>
      <c r="L2376" s="4" t="s">
        <v>106</v>
      </c>
      <c r="M2376" s="4" t="s">
        <v>1993</v>
      </c>
      <c r="N2376" s="4" t="s">
        <v>2001</v>
      </c>
      <c r="O2376" s="4" t="s">
        <v>2074</v>
      </c>
      <c r="P2376" s="4" t="s">
        <v>73</v>
      </c>
      <c r="Q2376" s="4" t="s">
        <v>2075</v>
      </c>
      <c r="R2376" s="4" t="s">
        <v>1997</v>
      </c>
      <c r="S2376" s="4"/>
      <c r="T2376" s="4"/>
      <c r="U2376" s="4"/>
      <c r="V2376" s="4"/>
      <c r="W2376" s="4"/>
      <c r="X2376" s="4"/>
      <c r="Y2376" s="4"/>
      <c r="Z2376" s="4"/>
      <c r="AA2376" s="4"/>
      <c r="AB2376" s="4"/>
      <c r="AC2376" s="4"/>
      <c r="AD2376" s="4"/>
      <c r="AE2376" s="4"/>
      <c r="AF2376" s="4"/>
      <c r="AG2376" s="4"/>
      <c r="AH2376" s="4"/>
      <c r="AI2376" s="4"/>
      <c r="AJ2376" s="4"/>
      <c r="AK2376" s="4"/>
      <c r="AL2376" s="4"/>
      <c r="AM2376" s="4" t="s">
        <v>2076</v>
      </c>
    </row>
    <row r="2377" customFormat="false" ht="15" hidden="false" customHeight="false" outlineLevel="0" collapsed="false">
      <c r="A2377" s="4" t="s">
        <v>1987</v>
      </c>
      <c r="B2377" s="4" t="s">
        <v>3291</v>
      </c>
      <c r="C2377" s="4" t="s">
        <v>3292</v>
      </c>
      <c r="D2377" s="12" t="n">
        <v>2018</v>
      </c>
      <c r="E2377" s="4"/>
      <c r="F2377" s="4" t="s">
        <v>1990</v>
      </c>
      <c r="G2377" s="4" t="s">
        <v>1991</v>
      </c>
      <c r="H2377" s="4" t="s">
        <v>1992</v>
      </c>
      <c r="I2377" s="4"/>
      <c r="J2377" s="4" t="s">
        <v>383</v>
      </c>
      <c r="K2377" s="4" t="s">
        <v>105</v>
      </c>
      <c r="L2377" s="4" t="s">
        <v>106</v>
      </c>
      <c r="M2377" s="4" t="s">
        <v>1993</v>
      </c>
      <c r="N2377" s="4" t="s">
        <v>2001</v>
      </c>
      <c r="O2377" s="4" t="s">
        <v>2002</v>
      </c>
      <c r="P2377" s="4" t="s">
        <v>72</v>
      </c>
      <c r="Q2377" s="4" t="s">
        <v>2079</v>
      </c>
      <c r="R2377" s="4" t="s">
        <v>1997</v>
      </c>
      <c r="S2377" s="4"/>
      <c r="T2377" s="4"/>
      <c r="U2377" s="4"/>
      <c r="V2377" s="4"/>
      <c r="W2377" s="4"/>
      <c r="X2377" s="4"/>
      <c r="Y2377" s="4"/>
      <c r="Z2377" s="4"/>
      <c r="AA2377" s="4"/>
      <c r="AB2377" s="4"/>
      <c r="AC2377" s="4"/>
      <c r="AD2377" s="4"/>
      <c r="AE2377" s="4"/>
      <c r="AF2377" s="4"/>
      <c r="AG2377" s="4"/>
      <c r="AH2377" s="4"/>
      <c r="AI2377" s="4"/>
      <c r="AJ2377" s="4"/>
      <c r="AK2377" s="4"/>
      <c r="AL2377" s="4"/>
      <c r="AM2377" s="4" t="s">
        <v>2080</v>
      </c>
    </row>
    <row r="2378" customFormat="false" ht="23.85" hidden="false" customHeight="false" outlineLevel="0" collapsed="false">
      <c r="A2378" s="4" t="s">
        <v>1987</v>
      </c>
      <c r="B2378" s="4" t="s">
        <v>3293</v>
      </c>
      <c r="C2378" s="4" t="s">
        <v>3294</v>
      </c>
      <c r="D2378" s="12" t="n">
        <v>2018</v>
      </c>
      <c r="E2378" s="4"/>
      <c r="F2378" s="4" t="s">
        <v>1990</v>
      </c>
      <c r="G2378" s="4" t="s">
        <v>1991</v>
      </c>
      <c r="H2378" s="4" t="s">
        <v>1992</v>
      </c>
      <c r="I2378" s="4"/>
      <c r="J2378" s="4" t="s">
        <v>384</v>
      </c>
      <c r="K2378" s="4" t="s">
        <v>105</v>
      </c>
      <c r="L2378" s="4" t="s">
        <v>106</v>
      </c>
      <c r="M2378" s="4" t="s">
        <v>1993</v>
      </c>
      <c r="N2378" s="4" t="s">
        <v>2001</v>
      </c>
      <c r="O2378" s="4" t="s">
        <v>2002</v>
      </c>
      <c r="P2378" s="4" t="s">
        <v>68</v>
      </c>
      <c r="Q2378" s="4" t="s">
        <v>2111</v>
      </c>
      <c r="R2378" s="4" t="s">
        <v>1997</v>
      </c>
      <c r="S2378" s="4"/>
      <c r="T2378" s="4"/>
      <c r="U2378" s="4"/>
      <c r="V2378" s="4"/>
      <c r="W2378" s="4"/>
      <c r="X2378" s="4"/>
      <c r="Y2378" s="4"/>
      <c r="Z2378" s="4"/>
      <c r="AA2378" s="4"/>
      <c r="AB2378" s="4"/>
      <c r="AC2378" s="4"/>
      <c r="AD2378" s="4"/>
      <c r="AE2378" s="4"/>
      <c r="AF2378" s="4"/>
      <c r="AG2378" s="4"/>
      <c r="AH2378" s="4"/>
      <c r="AI2378" s="4"/>
      <c r="AJ2378" s="4"/>
      <c r="AK2378" s="4"/>
      <c r="AL2378" s="4"/>
      <c r="AM2378" s="4" t="s">
        <v>2112</v>
      </c>
    </row>
    <row r="2379" customFormat="false" ht="23.85" hidden="false" customHeight="false" outlineLevel="0" collapsed="false">
      <c r="A2379" s="4" t="s">
        <v>1987</v>
      </c>
      <c r="B2379" s="4" t="s">
        <v>3295</v>
      </c>
      <c r="C2379" s="4" t="s">
        <v>3296</v>
      </c>
      <c r="D2379" s="12" t="n">
        <v>2018</v>
      </c>
      <c r="E2379" s="4"/>
      <c r="F2379" s="4" t="s">
        <v>1990</v>
      </c>
      <c r="G2379" s="4" t="s">
        <v>1991</v>
      </c>
      <c r="H2379" s="4" t="s">
        <v>1992</v>
      </c>
      <c r="I2379" s="4"/>
      <c r="J2379" s="4" t="s">
        <v>388</v>
      </c>
      <c r="K2379" s="4" t="s">
        <v>107</v>
      </c>
      <c r="L2379" s="4" t="s">
        <v>108</v>
      </c>
      <c r="M2379" s="4" t="s">
        <v>1993</v>
      </c>
      <c r="N2379" s="4" t="s">
        <v>1994</v>
      </c>
      <c r="O2379" s="4" t="s">
        <v>2029</v>
      </c>
      <c r="P2379" s="4" t="s">
        <v>69</v>
      </c>
      <c r="Q2379" s="4" t="s">
        <v>2030</v>
      </c>
      <c r="R2379" s="4" t="s">
        <v>1997</v>
      </c>
      <c r="S2379" s="4"/>
      <c r="T2379" s="4"/>
      <c r="U2379" s="4"/>
      <c r="V2379" s="4"/>
      <c r="W2379" s="4"/>
      <c r="X2379" s="4"/>
      <c r="Y2379" s="4"/>
      <c r="Z2379" s="4"/>
      <c r="AA2379" s="4"/>
      <c r="AB2379" s="4"/>
      <c r="AC2379" s="4"/>
      <c r="AD2379" s="4"/>
      <c r="AE2379" s="4"/>
      <c r="AF2379" s="4"/>
      <c r="AG2379" s="4"/>
      <c r="AH2379" s="4"/>
      <c r="AI2379" s="4"/>
      <c r="AJ2379" s="4"/>
      <c r="AK2379" s="4"/>
      <c r="AL2379" s="4"/>
      <c r="AM2379" s="4" t="s">
        <v>2031</v>
      </c>
    </row>
    <row r="2380" customFormat="false" ht="23.85" hidden="false" customHeight="false" outlineLevel="0" collapsed="false">
      <c r="A2380" s="4" t="s">
        <v>1987</v>
      </c>
      <c r="B2380" s="4" t="s">
        <v>3297</v>
      </c>
      <c r="C2380" s="4" t="s">
        <v>3298</v>
      </c>
      <c r="D2380" s="12" t="n">
        <v>2018</v>
      </c>
      <c r="E2380" s="4"/>
      <c r="F2380" s="4" t="s">
        <v>1990</v>
      </c>
      <c r="G2380" s="4" t="s">
        <v>1991</v>
      </c>
      <c r="H2380" s="4" t="s">
        <v>1992</v>
      </c>
      <c r="I2380" s="4"/>
      <c r="J2380" s="4" t="s">
        <v>389</v>
      </c>
      <c r="K2380" s="4" t="s">
        <v>107</v>
      </c>
      <c r="L2380" s="4" t="s">
        <v>108</v>
      </c>
      <c r="M2380" s="4" t="s">
        <v>1993</v>
      </c>
      <c r="N2380" s="4" t="s">
        <v>2001</v>
      </c>
      <c r="O2380" s="4" t="s">
        <v>2091</v>
      </c>
      <c r="P2380" s="4" t="s">
        <v>69</v>
      </c>
      <c r="Q2380" s="4" t="s">
        <v>2030</v>
      </c>
      <c r="R2380" s="4" t="s">
        <v>1997</v>
      </c>
      <c r="S2380" s="4"/>
      <c r="T2380" s="4"/>
      <c r="U2380" s="4"/>
      <c r="V2380" s="4"/>
      <c r="W2380" s="4"/>
      <c r="X2380" s="4"/>
      <c r="Y2380" s="4"/>
      <c r="Z2380" s="4"/>
      <c r="AA2380" s="4"/>
      <c r="AB2380" s="4"/>
      <c r="AC2380" s="4"/>
      <c r="AD2380" s="4"/>
      <c r="AE2380" s="4"/>
      <c r="AF2380" s="4"/>
      <c r="AG2380" s="4"/>
      <c r="AH2380" s="4"/>
      <c r="AI2380" s="4"/>
      <c r="AJ2380" s="4"/>
      <c r="AK2380" s="4"/>
      <c r="AL2380" s="4"/>
      <c r="AM2380" s="4" t="s">
        <v>2092</v>
      </c>
    </row>
    <row r="2381" customFormat="false" ht="23.85" hidden="false" customHeight="false" outlineLevel="0" collapsed="false">
      <c r="A2381" s="4" t="s">
        <v>1987</v>
      </c>
      <c r="B2381" s="4" t="s">
        <v>3299</v>
      </c>
      <c r="C2381" s="4" t="s">
        <v>3300</v>
      </c>
      <c r="D2381" s="12" t="n">
        <v>2018</v>
      </c>
      <c r="E2381" s="4"/>
      <c r="F2381" s="4" t="s">
        <v>1990</v>
      </c>
      <c r="G2381" s="4" t="s">
        <v>1991</v>
      </c>
      <c r="H2381" s="4" t="s">
        <v>1992</v>
      </c>
      <c r="I2381" s="4"/>
      <c r="J2381" s="4" t="s">
        <v>390</v>
      </c>
      <c r="K2381" s="4" t="s">
        <v>107</v>
      </c>
      <c r="L2381" s="4" t="s">
        <v>108</v>
      </c>
      <c r="M2381" s="4" t="s">
        <v>1993</v>
      </c>
      <c r="N2381" s="4" t="s">
        <v>2001</v>
      </c>
      <c r="O2381" s="4" t="s">
        <v>2034</v>
      </c>
      <c r="P2381" s="4" t="s">
        <v>74</v>
      </c>
      <c r="Q2381" s="4" t="s">
        <v>2035</v>
      </c>
      <c r="R2381" s="4" t="s">
        <v>2036</v>
      </c>
      <c r="S2381" s="4"/>
      <c r="T2381" s="4"/>
      <c r="U2381" s="4"/>
      <c r="V2381" s="4"/>
      <c r="W2381" s="4"/>
      <c r="X2381" s="4"/>
      <c r="Y2381" s="4"/>
      <c r="Z2381" s="4"/>
      <c r="AA2381" s="4"/>
      <c r="AB2381" s="4"/>
      <c r="AC2381" s="4"/>
      <c r="AD2381" s="4"/>
      <c r="AE2381" s="4"/>
      <c r="AF2381" s="4"/>
      <c r="AG2381" s="4"/>
      <c r="AH2381" s="4"/>
      <c r="AI2381" s="4"/>
      <c r="AJ2381" s="4"/>
      <c r="AK2381" s="4"/>
      <c r="AL2381" s="4"/>
      <c r="AM2381" s="4" t="s">
        <v>2037</v>
      </c>
    </row>
    <row r="2382" customFormat="false" ht="15" hidden="false" customHeight="false" outlineLevel="0" collapsed="false">
      <c r="A2382" s="4" t="s">
        <v>1987</v>
      </c>
      <c r="B2382" s="4" t="s">
        <v>3301</v>
      </c>
      <c r="C2382" s="4" t="s">
        <v>3302</v>
      </c>
      <c r="D2382" s="12" t="n">
        <v>2018</v>
      </c>
      <c r="E2382" s="4"/>
      <c r="F2382" s="4" t="s">
        <v>1990</v>
      </c>
      <c r="G2382" s="4" t="s">
        <v>1991</v>
      </c>
      <c r="H2382" s="4" t="s">
        <v>1992</v>
      </c>
      <c r="I2382" s="4"/>
      <c r="J2382" s="4" t="s">
        <v>395</v>
      </c>
      <c r="K2382" s="4" t="s">
        <v>107</v>
      </c>
      <c r="L2382" s="4" t="s">
        <v>108</v>
      </c>
      <c r="M2382" s="4" t="s">
        <v>1993</v>
      </c>
      <c r="N2382" s="4" t="s">
        <v>2001</v>
      </c>
      <c r="O2382" s="4" t="s">
        <v>2002</v>
      </c>
      <c r="P2382" s="4" t="s">
        <v>71</v>
      </c>
      <c r="Q2382" s="4" t="s">
        <v>2123</v>
      </c>
      <c r="R2382" s="4" t="s">
        <v>1997</v>
      </c>
      <c r="S2382" s="4"/>
      <c r="T2382" s="4"/>
      <c r="U2382" s="4"/>
      <c r="V2382" s="4"/>
      <c r="W2382" s="4"/>
      <c r="X2382" s="4"/>
      <c r="Y2382" s="4"/>
      <c r="Z2382" s="4"/>
      <c r="AA2382" s="4"/>
      <c r="AB2382" s="4"/>
      <c r="AC2382" s="4"/>
      <c r="AD2382" s="4"/>
      <c r="AE2382" s="4"/>
      <c r="AF2382" s="4"/>
      <c r="AG2382" s="4"/>
      <c r="AH2382" s="4"/>
      <c r="AI2382" s="4"/>
      <c r="AJ2382" s="4"/>
      <c r="AK2382" s="4"/>
      <c r="AL2382" s="4"/>
      <c r="AM2382" s="4" t="s">
        <v>2124</v>
      </c>
    </row>
    <row r="2383" customFormat="false" ht="15" hidden="false" customHeight="false" outlineLevel="0" collapsed="false">
      <c r="A2383" s="4" t="s">
        <v>1987</v>
      </c>
      <c r="B2383" s="4" t="s">
        <v>3303</v>
      </c>
      <c r="C2383" s="4" t="s">
        <v>3304</v>
      </c>
      <c r="D2383" s="12" t="n">
        <v>2018</v>
      </c>
      <c r="E2383" s="4"/>
      <c r="F2383" s="4" t="s">
        <v>1990</v>
      </c>
      <c r="G2383" s="4" t="s">
        <v>1991</v>
      </c>
      <c r="H2383" s="4" t="s">
        <v>1992</v>
      </c>
      <c r="I2383" s="4"/>
      <c r="J2383" s="4" t="s">
        <v>396</v>
      </c>
      <c r="K2383" s="4" t="s">
        <v>107</v>
      </c>
      <c r="L2383" s="4" t="s">
        <v>108</v>
      </c>
      <c r="M2383" s="4" t="s">
        <v>1993</v>
      </c>
      <c r="N2383" s="4" t="s">
        <v>2001</v>
      </c>
      <c r="O2383" s="4" t="s">
        <v>2074</v>
      </c>
      <c r="P2383" s="4" t="s">
        <v>73</v>
      </c>
      <c r="Q2383" s="4" t="s">
        <v>2075</v>
      </c>
      <c r="R2383" s="4" t="s">
        <v>1997</v>
      </c>
      <c r="S2383" s="4"/>
      <c r="T2383" s="4"/>
      <c r="U2383" s="4"/>
      <c r="V2383" s="4"/>
      <c r="W2383" s="4"/>
      <c r="X2383" s="4"/>
      <c r="Y2383" s="4"/>
      <c r="Z2383" s="4"/>
      <c r="AA2383" s="4"/>
      <c r="AB2383" s="4"/>
      <c r="AC2383" s="4"/>
      <c r="AD2383" s="4"/>
      <c r="AE2383" s="4"/>
      <c r="AF2383" s="4"/>
      <c r="AG2383" s="4"/>
      <c r="AH2383" s="4"/>
      <c r="AI2383" s="4"/>
      <c r="AJ2383" s="4"/>
      <c r="AK2383" s="4"/>
      <c r="AL2383" s="4"/>
      <c r="AM2383" s="4" t="s">
        <v>2076</v>
      </c>
    </row>
    <row r="2384" customFormat="false" ht="15" hidden="false" customHeight="false" outlineLevel="0" collapsed="false">
      <c r="A2384" s="4" t="s">
        <v>1987</v>
      </c>
      <c r="B2384" s="4" t="s">
        <v>3305</v>
      </c>
      <c r="C2384" s="4" t="s">
        <v>3306</v>
      </c>
      <c r="D2384" s="12" t="n">
        <v>2018</v>
      </c>
      <c r="E2384" s="4"/>
      <c r="F2384" s="4" t="s">
        <v>1990</v>
      </c>
      <c r="G2384" s="4" t="s">
        <v>1991</v>
      </c>
      <c r="H2384" s="4" t="s">
        <v>1992</v>
      </c>
      <c r="I2384" s="4"/>
      <c r="J2384" s="4" t="s">
        <v>397</v>
      </c>
      <c r="K2384" s="4" t="s">
        <v>107</v>
      </c>
      <c r="L2384" s="4" t="s">
        <v>108</v>
      </c>
      <c r="M2384" s="4" t="s">
        <v>1993</v>
      </c>
      <c r="N2384" s="4" t="s">
        <v>2001</v>
      </c>
      <c r="O2384" s="4" t="s">
        <v>2002</v>
      </c>
      <c r="P2384" s="4" t="s">
        <v>72</v>
      </c>
      <c r="Q2384" s="4" t="s">
        <v>2079</v>
      </c>
      <c r="R2384" s="4" t="s">
        <v>1997</v>
      </c>
      <c r="S2384" s="4"/>
      <c r="T2384" s="4"/>
      <c r="U2384" s="4"/>
      <c r="V2384" s="4"/>
      <c r="W2384" s="4"/>
      <c r="X2384" s="4"/>
      <c r="Y2384" s="4"/>
      <c r="Z2384" s="4"/>
      <c r="AA2384" s="4"/>
      <c r="AB2384" s="4"/>
      <c r="AC2384" s="4"/>
      <c r="AD2384" s="4"/>
      <c r="AE2384" s="4"/>
      <c r="AF2384" s="4"/>
      <c r="AG2384" s="4"/>
      <c r="AH2384" s="4"/>
      <c r="AI2384" s="4"/>
      <c r="AJ2384" s="4"/>
      <c r="AK2384" s="4"/>
      <c r="AL2384" s="4"/>
      <c r="AM2384" s="4" t="s">
        <v>2080</v>
      </c>
    </row>
    <row r="2385" customFormat="false" ht="23.85" hidden="false" customHeight="false" outlineLevel="0" collapsed="false">
      <c r="A2385" s="4" t="s">
        <v>1987</v>
      </c>
      <c r="B2385" s="4" t="s">
        <v>3307</v>
      </c>
      <c r="C2385" s="4" t="s">
        <v>3308</v>
      </c>
      <c r="D2385" s="12" t="n">
        <v>2018</v>
      </c>
      <c r="E2385" s="4"/>
      <c r="F2385" s="4" t="s">
        <v>1990</v>
      </c>
      <c r="G2385" s="4" t="s">
        <v>1991</v>
      </c>
      <c r="H2385" s="4" t="s">
        <v>1992</v>
      </c>
      <c r="I2385" s="4"/>
      <c r="J2385" s="4" t="s">
        <v>398</v>
      </c>
      <c r="K2385" s="4" t="s">
        <v>107</v>
      </c>
      <c r="L2385" s="4" t="s">
        <v>108</v>
      </c>
      <c r="M2385" s="4" t="s">
        <v>1993</v>
      </c>
      <c r="N2385" s="4" t="s">
        <v>2001</v>
      </c>
      <c r="O2385" s="4" t="s">
        <v>2002</v>
      </c>
      <c r="P2385" s="4" t="s">
        <v>68</v>
      </c>
      <c r="Q2385" s="4" t="s">
        <v>2111</v>
      </c>
      <c r="R2385" s="4" t="s">
        <v>1997</v>
      </c>
      <c r="S2385" s="4"/>
      <c r="T2385" s="4"/>
      <c r="U2385" s="4"/>
      <c r="V2385" s="4"/>
      <c r="W2385" s="4"/>
      <c r="X2385" s="4"/>
      <c r="Y2385" s="4"/>
      <c r="Z2385" s="4"/>
      <c r="AA2385" s="4"/>
      <c r="AB2385" s="4"/>
      <c r="AC2385" s="4"/>
      <c r="AD2385" s="4"/>
      <c r="AE2385" s="4"/>
      <c r="AF2385" s="4"/>
      <c r="AG2385" s="4"/>
      <c r="AH2385" s="4"/>
      <c r="AI2385" s="4"/>
      <c r="AJ2385" s="4"/>
      <c r="AK2385" s="4"/>
      <c r="AL2385" s="4"/>
      <c r="AM2385" s="4" t="s">
        <v>2112</v>
      </c>
    </row>
    <row r="2386" customFormat="false" ht="23.85" hidden="false" customHeight="false" outlineLevel="0" collapsed="false">
      <c r="A2386" s="4" t="s">
        <v>1987</v>
      </c>
      <c r="B2386" s="4" t="s">
        <v>3309</v>
      </c>
      <c r="C2386" s="4" t="s">
        <v>3310</v>
      </c>
      <c r="D2386" s="12" t="n">
        <v>2018</v>
      </c>
      <c r="E2386" s="4"/>
      <c r="F2386" s="4" t="s">
        <v>1990</v>
      </c>
      <c r="G2386" s="4" t="s">
        <v>1991</v>
      </c>
      <c r="H2386" s="4" t="s">
        <v>1992</v>
      </c>
      <c r="I2386" s="4"/>
      <c r="J2386" s="4" t="s">
        <v>402</v>
      </c>
      <c r="K2386" s="4" t="s">
        <v>111</v>
      </c>
      <c r="L2386" s="4" t="s">
        <v>112</v>
      </c>
      <c r="M2386" s="4" t="s">
        <v>1993</v>
      </c>
      <c r="N2386" s="4" t="s">
        <v>1994</v>
      </c>
      <c r="O2386" s="4" t="s">
        <v>2029</v>
      </c>
      <c r="P2386" s="4" t="s">
        <v>69</v>
      </c>
      <c r="Q2386" s="4" t="s">
        <v>2030</v>
      </c>
      <c r="R2386" s="4" t="s">
        <v>1997</v>
      </c>
      <c r="S2386" s="4"/>
      <c r="T2386" s="4"/>
      <c r="U2386" s="4"/>
      <c r="V2386" s="4"/>
      <c r="W2386" s="4"/>
      <c r="X2386" s="4"/>
      <c r="Y2386" s="4"/>
      <c r="Z2386" s="4"/>
      <c r="AA2386" s="4"/>
      <c r="AB2386" s="4"/>
      <c r="AC2386" s="4"/>
      <c r="AD2386" s="4"/>
      <c r="AE2386" s="4"/>
      <c r="AF2386" s="4"/>
      <c r="AG2386" s="4"/>
      <c r="AH2386" s="4"/>
      <c r="AI2386" s="4"/>
      <c r="AJ2386" s="4"/>
      <c r="AK2386" s="4"/>
      <c r="AL2386" s="4"/>
      <c r="AM2386" s="4" t="s">
        <v>2031</v>
      </c>
    </row>
    <row r="2387" customFormat="false" ht="23.85" hidden="false" customHeight="false" outlineLevel="0" collapsed="false">
      <c r="A2387" s="4" t="s">
        <v>1987</v>
      </c>
      <c r="B2387" s="4" t="s">
        <v>3311</v>
      </c>
      <c r="C2387" s="4" t="s">
        <v>3312</v>
      </c>
      <c r="D2387" s="12" t="n">
        <v>2018</v>
      </c>
      <c r="E2387" s="4"/>
      <c r="F2387" s="4" t="s">
        <v>1990</v>
      </c>
      <c r="G2387" s="4" t="s">
        <v>1991</v>
      </c>
      <c r="H2387" s="4" t="s">
        <v>1992</v>
      </c>
      <c r="I2387" s="4"/>
      <c r="J2387" s="4" t="s">
        <v>403</v>
      </c>
      <c r="K2387" s="4" t="s">
        <v>111</v>
      </c>
      <c r="L2387" s="4" t="s">
        <v>112</v>
      </c>
      <c r="M2387" s="4" t="s">
        <v>1993</v>
      </c>
      <c r="N2387" s="4" t="s">
        <v>2001</v>
      </c>
      <c r="O2387" s="4" t="s">
        <v>2091</v>
      </c>
      <c r="P2387" s="4" t="s">
        <v>69</v>
      </c>
      <c r="Q2387" s="4" t="s">
        <v>2030</v>
      </c>
      <c r="R2387" s="4" t="s">
        <v>1997</v>
      </c>
      <c r="S2387" s="4"/>
      <c r="T2387" s="4"/>
      <c r="U2387" s="4"/>
      <c r="V2387" s="4"/>
      <c r="W2387" s="4"/>
      <c r="X2387" s="4"/>
      <c r="Y2387" s="4"/>
      <c r="Z2387" s="4"/>
      <c r="AA2387" s="4"/>
      <c r="AB2387" s="4"/>
      <c r="AC2387" s="4"/>
      <c r="AD2387" s="4"/>
      <c r="AE2387" s="4"/>
      <c r="AF2387" s="4"/>
      <c r="AG2387" s="4"/>
      <c r="AH2387" s="4"/>
      <c r="AI2387" s="4"/>
      <c r="AJ2387" s="4"/>
      <c r="AK2387" s="4"/>
      <c r="AL2387" s="4"/>
      <c r="AM2387" s="4" t="s">
        <v>2092</v>
      </c>
    </row>
    <row r="2388" customFormat="false" ht="23.85" hidden="false" customHeight="false" outlineLevel="0" collapsed="false">
      <c r="A2388" s="4" t="s">
        <v>1987</v>
      </c>
      <c r="B2388" s="4" t="s">
        <v>3313</v>
      </c>
      <c r="C2388" s="4" t="s">
        <v>3314</v>
      </c>
      <c r="D2388" s="12" t="n">
        <v>2018</v>
      </c>
      <c r="E2388" s="4"/>
      <c r="F2388" s="4" t="s">
        <v>1990</v>
      </c>
      <c r="G2388" s="4" t="s">
        <v>1991</v>
      </c>
      <c r="H2388" s="4" t="s">
        <v>1992</v>
      </c>
      <c r="I2388" s="4"/>
      <c r="J2388" s="4" t="s">
        <v>404</v>
      </c>
      <c r="K2388" s="4" t="s">
        <v>111</v>
      </c>
      <c r="L2388" s="4" t="s">
        <v>112</v>
      </c>
      <c r="M2388" s="4" t="s">
        <v>1993</v>
      </c>
      <c r="N2388" s="4" t="s">
        <v>2001</v>
      </c>
      <c r="O2388" s="4" t="s">
        <v>2034</v>
      </c>
      <c r="P2388" s="4" t="s">
        <v>74</v>
      </c>
      <c r="Q2388" s="4" t="s">
        <v>2035</v>
      </c>
      <c r="R2388" s="4" t="s">
        <v>2036</v>
      </c>
      <c r="S2388" s="4"/>
      <c r="T2388" s="4"/>
      <c r="U2388" s="4"/>
      <c r="V2388" s="4"/>
      <c r="W2388" s="4"/>
      <c r="X2388" s="4"/>
      <c r="Y2388" s="4"/>
      <c r="Z2388" s="4"/>
      <c r="AA2388" s="4"/>
      <c r="AB2388" s="4"/>
      <c r="AC2388" s="4"/>
      <c r="AD2388" s="4"/>
      <c r="AE2388" s="4"/>
      <c r="AF2388" s="4"/>
      <c r="AG2388" s="4"/>
      <c r="AH2388" s="4"/>
      <c r="AI2388" s="4"/>
      <c r="AJ2388" s="4"/>
      <c r="AK2388" s="4"/>
      <c r="AL2388" s="4"/>
      <c r="AM2388" s="4" t="s">
        <v>2037</v>
      </c>
    </row>
    <row r="2389" customFormat="false" ht="23.85" hidden="false" customHeight="false" outlineLevel="0" collapsed="false">
      <c r="A2389" s="4" t="s">
        <v>1987</v>
      </c>
      <c r="B2389" s="4" t="s">
        <v>3315</v>
      </c>
      <c r="C2389" s="4" t="s">
        <v>3316</v>
      </c>
      <c r="D2389" s="12" t="n">
        <v>2018</v>
      </c>
      <c r="E2389" s="4"/>
      <c r="F2389" s="4" t="s">
        <v>1990</v>
      </c>
      <c r="G2389" s="4" t="s">
        <v>1991</v>
      </c>
      <c r="H2389" s="4" t="s">
        <v>1992</v>
      </c>
      <c r="I2389" s="4"/>
      <c r="J2389" s="4" t="s">
        <v>405</v>
      </c>
      <c r="K2389" s="4" t="s">
        <v>111</v>
      </c>
      <c r="L2389" s="4" t="s">
        <v>112</v>
      </c>
      <c r="M2389" s="4" t="s">
        <v>1993</v>
      </c>
      <c r="N2389" s="4" t="s">
        <v>1994</v>
      </c>
      <c r="O2389" s="4" t="s">
        <v>1995</v>
      </c>
      <c r="P2389" s="4" t="s">
        <v>67</v>
      </c>
      <c r="Q2389" s="4" t="s">
        <v>2097</v>
      </c>
      <c r="R2389" s="4" t="s">
        <v>1997</v>
      </c>
      <c r="S2389" s="4"/>
      <c r="T2389" s="4"/>
      <c r="U2389" s="4"/>
      <c r="V2389" s="4"/>
      <c r="W2389" s="4"/>
      <c r="X2389" s="4"/>
      <c r="Y2389" s="4"/>
      <c r="Z2389" s="4"/>
      <c r="AA2389" s="4"/>
      <c r="AB2389" s="4"/>
      <c r="AC2389" s="4"/>
      <c r="AD2389" s="4"/>
      <c r="AE2389" s="4"/>
      <c r="AF2389" s="4"/>
      <c r="AG2389" s="4"/>
      <c r="AH2389" s="4"/>
      <c r="AI2389" s="4"/>
      <c r="AJ2389" s="4"/>
      <c r="AK2389" s="4"/>
      <c r="AL2389" s="4"/>
      <c r="AM2389" s="4" t="s">
        <v>2214</v>
      </c>
    </row>
    <row r="2390" customFormat="false" ht="23.85" hidden="false" customHeight="false" outlineLevel="0" collapsed="false">
      <c r="A2390" s="4" t="s">
        <v>1987</v>
      </c>
      <c r="B2390" s="4" t="s">
        <v>3317</v>
      </c>
      <c r="C2390" s="4" t="s">
        <v>3318</v>
      </c>
      <c r="D2390" s="12" t="n">
        <v>2018</v>
      </c>
      <c r="E2390" s="4"/>
      <c r="F2390" s="4" t="s">
        <v>1990</v>
      </c>
      <c r="G2390" s="4" t="s">
        <v>1991</v>
      </c>
      <c r="H2390" s="4" t="s">
        <v>1992</v>
      </c>
      <c r="I2390" s="4"/>
      <c r="J2390" s="4" t="s">
        <v>3319</v>
      </c>
      <c r="K2390" s="4" t="s">
        <v>97</v>
      </c>
      <c r="L2390" s="4" t="s">
        <v>98</v>
      </c>
      <c r="M2390" s="4" t="s">
        <v>1993</v>
      </c>
      <c r="N2390" s="4" t="s">
        <v>2001</v>
      </c>
      <c r="O2390" s="4" t="s">
        <v>2218</v>
      </c>
      <c r="P2390" s="4" t="s">
        <v>44</v>
      </c>
      <c r="Q2390" s="4" t="s">
        <v>2219</v>
      </c>
      <c r="R2390" s="4" t="s">
        <v>2220</v>
      </c>
      <c r="S2390" s="4"/>
      <c r="T2390" s="4"/>
      <c r="U2390" s="4"/>
      <c r="V2390" s="4"/>
      <c r="W2390" s="4"/>
      <c r="X2390" s="4"/>
      <c r="Y2390" s="4"/>
      <c r="Z2390" s="4"/>
      <c r="AA2390" s="4"/>
      <c r="AB2390" s="4"/>
      <c r="AC2390" s="4"/>
      <c r="AD2390" s="4"/>
      <c r="AE2390" s="4"/>
      <c r="AF2390" s="4"/>
      <c r="AG2390" s="4"/>
      <c r="AH2390" s="4"/>
      <c r="AI2390" s="4"/>
      <c r="AJ2390" s="4"/>
      <c r="AK2390" s="4"/>
      <c r="AL2390" s="4"/>
      <c r="AM2390" s="4" t="s">
        <v>2221</v>
      </c>
    </row>
    <row r="2391" customFormat="false" ht="23.85" hidden="false" customHeight="false" outlineLevel="0" collapsed="false">
      <c r="A2391" s="4" t="s">
        <v>1987</v>
      </c>
      <c r="B2391" s="4" t="s">
        <v>3320</v>
      </c>
      <c r="C2391" s="4" t="s">
        <v>3321</v>
      </c>
      <c r="D2391" s="12" t="n">
        <v>2018</v>
      </c>
      <c r="E2391" s="4"/>
      <c r="F2391" s="4" t="s">
        <v>1990</v>
      </c>
      <c r="G2391" s="4" t="s">
        <v>1991</v>
      </c>
      <c r="H2391" s="4" t="s">
        <v>1992</v>
      </c>
      <c r="I2391" s="4"/>
      <c r="J2391" s="4" t="s">
        <v>3322</v>
      </c>
      <c r="K2391" s="4" t="s">
        <v>101</v>
      </c>
      <c r="L2391" s="4" t="s">
        <v>102</v>
      </c>
      <c r="M2391" s="4" t="s">
        <v>1993</v>
      </c>
      <c r="N2391" s="4" t="s">
        <v>2001</v>
      </c>
      <c r="O2391" s="4" t="s">
        <v>2218</v>
      </c>
      <c r="P2391" s="4" t="s">
        <v>44</v>
      </c>
      <c r="Q2391" s="4" t="s">
        <v>2219</v>
      </c>
      <c r="R2391" s="4" t="s">
        <v>2220</v>
      </c>
      <c r="S2391" s="4"/>
      <c r="T2391" s="4"/>
      <c r="U2391" s="4"/>
      <c r="V2391" s="4"/>
      <c r="W2391" s="4"/>
      <c r="X2391" s="4"/>
      <c r="Y2391" s="4"/>
      <c r="Z2391" s="4"/>
      <c r="AA2391" s="4"/>
      <c r="AB2391" s="4"/>
      <c r="AC2391" s="4"/>
      <c r="AD2391" s="4"/>
      <c r="AE2391" s="4"/>
      <c r="AF2391" s="4"/>
      <c r="AG2391" s="4"/>
      <c r="AH2391" s="4"/>
      <c r="AI2391" s="4"/>
      <c r="AJ2391" s="4"/>
      <c r="AK2391" s="4"/>
      <c r="AL2391" s="4"/>
      <c r="AM2391" s="4" t="s">
        <v>2221</v>
      </c>
    </row>
    <row r="2392" customFormat="false" ht="23.85" hidden="false" customHeight="false" outlineLevel="0" collapsed="false">
      <c r="A2392" s="4" t="s">
        <v>1987</v>
      </c>
      <c r="B2392" s="4" t="s">
        <v>3323</v>
      </c>
      <c r="C2392" s="4" t="s">
        <v>3324</v>
      </c>
      <c r="D2392" s="12" t="n">
        <v>2018</v>
      </c>
      <c r="E2392" s="4"/>
      <c r="F2392" s="4" t="s">
        <v>1990</v>
      </c>
      <c r="G2392" s="4" t="s">
        <v>1991</v>
      </c>
      <c r="H2392" s="4" t="s">
        <v>1992</v>
      </c>
      <c r="I2392" s="4"/>
      <c r="J2392" s="4" t="s">
        <v>3325</v>
      </c>
      <c r="K2392" s="4" t="s">
        <v>103</v>
      </c>
      <c r="L2392" s="4" t="s">
        <v>104</v>
      </c>
      <c r="M2392" s="4" t="s">
        <v>1993</v>
      </c>
      <c r="N2392" s="4" t="s">
        <v>2001</v>
      </c>
      <c r="O2392" s="4" t="s">
        <v>2218</v>
      </c>
      <c r="P2392" s="4" t="s">
        <v>44</v>
      </c>
      <c r="Q2392" s="4" t="s">
        <v>2219</v>
      </c>
      <c r="R2392" s="4" t="s">
        <v>2220</v>
      </c>
      <c r="S2392" s="4"/>
      <c r="T2392" s="4"/>
      <c r="U2392" s="4"/>
      <c r="V2392" s="4"/>
      <c r="W2392" s="4"/>
      <c r="X2392" s="4"/>
      <c r="Y2392" s="4"/>
      <c r="Z2392" s="4"/>
      <c r="AA2392" s="4"/>
      <c r="AB2392" s="4"/>
      <c r="AC2392" s="4"/>
      <c r="AD2392" s="4"/>
      <c r="AE2392" s="4"/>
      <c r="AF2392" s="4"/>
      <c r="AG2392" s="4"/>
      <c r="AH2392" s="4"/>
      <c r="AI2392" s="4"/>
      <c r="AJ2392" s="4"/>
      <c r="AK2392" s="4"/>
      <c r="AL2392" s="4"/>
      <c r="AM2392" s="4" t="s">
        <v>2221</v>
      </c>
    </row>
    <row r="2393" customFormat="false" ht="23.85" hidden="false" customHeight="false" outlineLevel="0" collapsed="false">
      <c r="A2393" s="4" t="s">
        <v>1987</v>
      </c>
      <c r="B2393" s="4" t="s">
        <v>3326</v>
      </c>
      <c r="C2393" s="4" t="s">
        <v>3327</v>
      </c>
      <c r="D2393" s="12" t="n">
        <v>2018</v>
      </c>
      <c r="E2393" s="4"/>
      <c r="F2393" s="4" t="s">
        <v>1990</v>
      </c>
      <c r="G2393" s="4" t="s">
        <v>1991</v>
      </c>
      <c r="H2393" s="4" t="s">
        <v>1992</v>
      </c>
      <c r="I2393" s="4"/>
      <c r="J2393" s="4" t="s">
        <v>3328</v>
      </c>
      <c r="K2393" s="4" t="s">
        <v>105</v>
      </c>
      <c r="L2393" s="4" t="s">
        <v>106</v>
      </c>
      <c r="M2393" s="4" t="s">
        <v>1993</v>
      </c>
      <c r="N2393" s="4" t="s">
        <v>2001</v>
      </c>
      <c r="O2393" s="4" t="s">
        <v>2218</v>
      </c>
      <c r="P2393" s="4" t="s">
        <v>44</v>
      </c>
      <c r="Q2393" s="4" t="s">
        <v>2219</v>
      </c>
      <c r="R2393" s="4" t="s">
        <v>2220</v>
      </c>
      <c r="S2393" s="4"/>
      <c r="T2393" s="4"/>
      <c r="U2393" s="4"/>
      <c r="V2393" s="4"/>
      <c r="W2393" s="4"/>
      <c r="X2393" s="4"/>
      <c r="Y2393" s="4"/>
      <c r="Z2393" s="4"/>
      <c r="AA2393" s="4"/>
      <c r="AB2393" s="4"/>
      <c r="AC2393" s="4"/>
      <c r="AD2393" s="4"/>
      <c r="AE2393" s="4"/>
      <c r="AF2393" s="4"/>
      <c r="AG2393" s="4"/>
      <c r="AH2393" s="4"/>
      <c r="AI2393" s="4"/>
      <c r="AJ2393" s="4"/>
      <c r="AK2393" s="4"/>
      <c r="AL2393" s="4"/>
      <c r="AM2393" s="4" t="s">
        <v>2221</v>
      </c>
    </row>
    <row r="2394" customFormat="false" ht="23.85" hidden="false" customHeight="false" outlineLevel="0" collapsed="false">
      <c r="A2394" s="4" t="s">
        <v>1987</v>
      </c>
      <c r="B2394" s="4" t="s">
        <v>3329</v>
      </c>
      <c r="C2394" s="4" t="s">
        <v>3330</v>
      </c>
      <c r="D2394" s="12" t="n">
        <v>2018</v>
      </c>
      <c r="E2394" s="4"/>
      <c r="F2394" s="4" t="s">
        <v>1990</v>
      </c>
      <c r="G2394" s="4" t="s">
        <v>1991</v>
      </c>
      <c r="H2394" s="4" t="s">
        <v>1992</v>
      </c>
      <c r="I2394" s="4"/>
      <c r="J2394" s="4" t="s">
        <v>3331</v>
      </c>
      <c r="K2394" s="4" t="s">
        <v>107</v>
      </c>
      <c r="L2394" s="4" t="s">
        <v>108</v>
      </c>
      <c r="M2394" s="4" t="s">
        <v>1993</v>
      </c>
      <c r="N2394" s="4" t="s">
        <v>2001</v>
      </c>
      <c r="O2394" s="4" t="s">
        <v>2218</v>
      </c>
      <c r="P2394" s="4" t="s">
        <v>44</v>
      </c>
      <c r="Q2394" s="4" t="s">
        <v>2219</v>
      </c>
      <c r="R2394" s="4" t="s">
        <v>2220</v>
      </c>
      <c r="S2394" s="4"/>
      <c r="T2394" s="4"/>
      <c r="U2394" s="4"/>
      <c r="V2394" s="4"/>
      <c r="W2394" s="4"/>
      <c r="X2394" s="4"/>
      <c r="Y2394" s="4"/>
      <c r="Z2394" s="4"/>
      <c r="AA2394" s="4"/>
      <c r="AB2394" s="4"/>
      <c r="AC2394" s="4"/>
      <c r="AD2394" s="4"/>
      <c r="AE2394" s="4"/>
      <c r="AF2394" s="4"/>
      <c r="AG2394" s="4"/>
      <c r="AH2394" s="4"/>
      <c r="AI2394" s="4"/>
      <c r="AJ2394" s="4"/>
      <c r="AK2394" s="4"/>
      <c r="AL2394" s="4"/>
      <c r="AM2394" s="4" t="s">
        <v>2221</v>
      </c>
    </row>
    <row r="2395" customFormat="false" ht="35.05" hidden="false" customHeight="false" outlineLevel="0" collapsed="false">
      <c r="A2395" s="4" t="s">
        <v>1987</v>
      </c>
      <c r="B2395" s="4" t="s">
        <v>3332</v>
      </c>
      <c r="C2395" s="4" t="s">
        <v>3333</v>
      </c>
      <c r="D2395" s="12" t="n">
        <v>2018</v>
      </c>
      <c r="E2395" s="4"/>
      <c r="F2395" s="4" t="s">
        <v>1990</v>
      </c>
      <c r="G2395" s="4" t="s">
        <v>1991</v>
      </c>
      <c r="H2395" s="4" t="s">
        <v>1992</v>
      </c>
      <c r="I2395" s="4"/>
      <c r="J2395" s="4" t="s">
        <v>3334</v>
      </c>
      <c r="K2395" s="4" t="s">
        <v>111</v>
      </c>
      <c r="L2395" s="4" t="s">
        <v>112</v>
      </c>
      <c r="M2395" s="4" t="s">
        <v>1993</v>
      </c>
      <c r="N2395" s="4" t="s">
        <v>2001</v>
      </c>
      <c r="O2395" s="4" t="s">
        <v>2002</v>
      </c>
      <c r="P2395" s="4" t="s">
        <v>41</v>
      </c>
      <c r="Q2395" s="4" t="s">
        <v>2228</v>
      </c>
      <c r="R2395" s="4" t="s">
        <v>1997</v>
      </c>
      <c r="S2395" s="4"/>
      <c r="T2395" s="4"/>
      <c r="U2395" s="4"/>
      <c r="V2395" s="4"/>
      <c r="W2395" s="4"/>
      <c r="X2395" s="4"/>
      <c r="Y2395" s="4"/>
      <c r="Z2395" s="4"/>
      <c r="AA2395" s="4"/>
      <c r="AB2395" s="4"/>
      <c r="AC2395" s="4"/>
      <c r="AD2395" s="4"/>
      <c r="AE2395" s="4"/>
      <c r="AF2395" s="4"/>
      <c r="AG2395" s="4"/>
      <c r="AH2395" s="4"/>
      <c r="AI2395" s="4"/>
      <c r="AJ2395" s="4"/>
      <c r="AK2395" s="4"/>
      <c r="AL2395" s="4"/>
      <c r="AM2395" s="4" t="s">
        <v>2229</v>
      </c>
    </row>
    <row r="2396" customFormat="false" ht="23.85" hidden="false" customHeight="false" outlineLevel="0" collapsed="false">
      <c r="A2396" s="4" t="s">
        <v>1987</v>
      </c>
      <c r="B2396" s="4" t="s">
        <v>3335</v>
      </c>
      <c r="C2396" s="4" t="s">
        <v>3336</v>
      </c>
      <c r="D2396" s="12" t="n">
        <v>2018</v>
      </c>
      <c r="E2396" s="4"/>
      <c r="F2396" s="4" t="s">
        <v>1990</v>
      </c>
      <c r="G2396" s="4" t="s">
        <v>1991</v>
      </c>
      <c r="H2396" s="4" t="s">
        <v>1992</v>
      </c>
      <c r="I2396" s="4"/>
      <c r="J2396" s="4" t="s">
        <v>3337</v>
      </c>
      <c r="K2396" s="4" t="s">
        <v>86</v>
      </c>
      <c r="L2396" s="4" t="s">
        <v>87</v>
      </c>
      <c r="M2396" s="4" t="s">
        <v>1993</v>
      </c>
      <c r="N2396" s="4" t="s">
        <v>2001</v>
      </c>
      <c r="O2396" s="4" t="s">
        <v>2218</v>
      </c>
      <c r="P2396" s="4" t="s">
        <v>44</v>
      </c>
      <c r="Q2396" s="4" t="s">
        <v>2219</v>
      </c>
      <c r="R2396" s="4" t="s">
        <v>2220</v>
      </c>
      <c r="S2396" s="4"/>
      <c r="T2396" s="4"/>
      <c r="U2396" s="4"/>
      <c r="V2396" s="4"/>
      <c r="W2396" s="4"/>
      <c r="X2396" s="4"/>
      <c r="Y2396" s="4"/>
      <c r="Z2396" s="4"/>
      <c r="AA2396" s="4"/>
      <c r="AB2396" s="4"/>
      <c r="AC2396" s="4"/>
      <c r="AD2396" s="4"/>
      <c r="AE2396" s="4"/>
      <c r="AF2396" s="4"/>
      <c r="AG2396" s="4"/>
      <c r="AH2396" s="4"/>
      <c r="AI2396" s="4"/>
      <c r="AJ2396" s="4"/>
      <c r="AK2396" s="4"/>
      <c r="AL2396" s="4"/>
      <c r="AM2396" s="4" t="s">
        <v>2221</v>
      </c>
    </row>
    <row r="2397" customFormat="false" ht="23.85" hidden="false" customHeight="false" outlineLevel="0" collapsed="false">
      <c r="A2397" s="4" t="s">
        <v>3338</v>
      </c>
      <c r="B2397" s="4" t="s">
        <v>3339</v>
      </c>
      <c r="C2397" s="4" t="s">
        <v>3339</v>
      </c>
      <c r="D2397" s="12" t="n">
        <v>2024</v>
      </c>
      <c r="E2397" s="4"/>
      <c r="F2397" s="4" t="s">
        <v>1990</v>
      </c>
      <c r="G2397" s="4" t="s">
        <v>170</v>
      </c>
      <c r="H2397" s="4" t="s">
        <v>171</v>
      </c>
      <c r="I2397" s="4" t="s">
        <v>172</v>
      </c>
      <c r="J2397" s="4" t="s">
        <v>1691</v>
      </c>
      <c r="K2397" s="4" t="s">
        <v>91</v>
      </c>
      <c r="L2397" s="4"/>
      <c r="M2397" s="4"/>
      <c r="N2397" s="4" t="s">
        <v>1994</v>
      </c>
      <c r="O2397" s="4" t="s">
        <v>1995</v>
      </c>
      <c r="P2397" s="4" t="s">
        <v>68</v>
      </c>
      <c r="Q2397" s="4" t="s">
        <v>1996</v>
      </c>
      <c r="R2397" s="4"/>
      <c r="S2397" s="4"/>
      <c r="T2397" s="4"/>
      <c r="U2397" s="4"/>
      <c r="V2397" s="4"/>
      <c r="W2397" s="4"/>
      <c r="X2397" s="4"/>
      <c r="Y2397" s="4"/>
      <c r="Z2397" s="4"/>
      <c r="AA2397" s="4"/>
      <c r="AB2397" s="4"/>
      <c r="AC2397" s="4"/>
      <c r="AD2397" s="4"/>
      <c r="AE2397" s="4"/>
      <c r="AF2397" s="4"/>
      <c r="AG2397" s="4"/>
      <c r="AH2397" s="4"/>
      <c r="AI2397" s="4"/>
      <c r="AJ2397" s="13" t="n">
        <v>0</v>
      </c>
      <c r="AK2397" s="4"/>
      <c r="AL2397" s="4"/>
      <c r="AM2397" s="4"/>
    </row>
    <row r="2398" customFormat="false" ht="23.85" hidden="false" customHeight="false" outlineLevel="0" collapsed="false">
      <c r="A2398" s="4" t="s">
        <v>3338</v>
      </c>
      <c r="B2398" s="4" t="s">
        <v>3340</v>
      </c>
      <c r="C2398" s="4" t="s">
        <v>3340</v>
      </c>
      <c r="D2398" s="12" t="n">
        <v>2024</v>
      </c>
      <c r="E2398" s="4"/>
      <c r="F2398" s="4" t="s">
        <v>1990</v>
      </c>
      <c r="G2398" s="4" t="s">
        <v>170</v>
      </c>
      <c r="H2398" s="4" t="s">
        <v>171</v>
      </c>
      <c r="I2398" s="4" t="s">
        <v>172</v>
      </c>
      <c r="J2398" s="4" t="s">
        <v>1699</v>
      </c>
      <c r="K2398" s="4" t="s">
        <v>91</v>
      </c>
      <c r="L2398" s="4"/>
      <c r="M2398" s="4"/>
      <c r="N2398" s="4" t="s">
        <v>2001</v>
      </c>
      <c r="O2398" s="4" t="s">
        <v>2002</v>
      </c>
      <c r="P2398" s="4" t="s">
        <v>67</v>
      </c>
      <c r="Q2398" s="4" t="s">
        <v>2003</v>
      </c>
      <c r="R2398" s="4"/>
      <c r="S2398" s="4"/>
      <c r="T2398" s="4"/>
      <c r="U2398" s="4"/>
      <c r="V2398" s="4"/>
      <c r="W2398" s="4" t="s">
        <v>3341</v>
      </c>
      <c r="X2398" s="4" t="s">
        <v>3342</v>
      </c>
      <c r="Y2398" s="4" t="inlineStr">
        <is>
          <t>COMB_BCANA</t>
        </is>
      </c>
      <c r="Z2398" s="4"/>
      <c r="AA2398" s="4"/>
      <c r="AB2398" s="4"/>
      <c r="AC2398" s="4" t="s">
        <v>3344</v>
      </c>
      <c r="AD2398" s="4"/>
      <c r="AE2398" s="4"/>
      <c r="AF2398" s="4"/>
      <c r="AG2398" s="4"/>
      <c r="AH2398" s="4"/>
      <c r="AI2398" s="4"/>
      <c r="AJ2398" s="13" t="n">
        <v>1</v>
      </c>
      <c r="AK2398" s="4"/>
      <c r="AL2398" s="4"/>
      <c r="AM2398" s="4"/>
    </row>
    <row r="2399" customFormat="false" ht="23.85" hidden="false" customHeight="false" outlineLevel="0" collapsed="false">
      <c r="A2399" s="4" t="s">
        <v>3338</v>
      </c>
      <c r="B2399" s="4" t="s">
        <v>3345</v>
      </c>
      <c r="C2399" s="4" t="s">
        <v>3345</v>
      </c>
      <c r="D2399" s="12" t="n">
        <v>2024</v>
      </c>
      <c r="E2399" s="4"/>
      <c r="F2399" s="4" t="s">
        <v>1990</v>
      </c>
      <c r="G2399" s="4" t="s">
        <v>170</v>
      </c>
      <c r="H2399" s="4" t="s">
        <v>171</v>
      </c>
      <c r="I2399" s="4" t="s">
        <v>172</v>
      </c>
      <c r="J2399" s="4" t="s">
        <v>1701</v>
      </c>
      <c r="K2399" s="4" t="s">
        <v>91</v>
      </c>
      <c r="L2399" s="4"/>
      <c r="M2399" s="4"/>
      <c r="N2399" s="4" t="s">
        <v>2001</v>
      </c>
      <c r="O2399" s="4" t="s">
        <v>2002</v>
      </c>
      <c r="P2399" s="4" t="s">
        <v>67</v>
      </c>
      <c r="Q2399" s="4" t="s">
        <v>2008</v>
      </c>
      <c r="R2399" s="4"/>
      <c r="S2399" s="4"/>
      <c r="T2399" s="4"/>
      <c r="U2399" s="4"/>
      <c r="V2399" s="4"/>
      <c r="W2399" s="4" t="s">
        <v>3341</v>
      </c>
      <c r="X2399" s="4" t="s">
        <v>3342</v>
      </c>
      <c r="Y2399" s="4" t="inlineStr">
        <is>
          <t>COMB_BCANA</t>
        </is>
      </c>
      <c r="Z2399" s="4"/>
      <c r="AA2399" s="4"/>
      <c r="AB2399" s="4"/>
      <c r="AC2399" s="4" t="s">
        <v>3344</v>
      </c>
      <c r="AD2399" s="4"/>
      <c r="AE2399" s="4"/>
      <c r="AF2399" s="4"/>
      <c r="AG2399" s="4"/>
      <c r="AH2399" s="4"/>
      <c r="AI2399" s="4"/>
      <c r="AJ2399" s="13" t="n">
        <v>1</v>
      </c>
      <c r="AK2399" s="4"/>
      <c r="AL2399" s="4"/>
      <c r="AM2399" s="4"/>
    </row>
    <row r="2400" customFormat="false" ht="23.85" hidden="false" customHeight="false" outlineLevel="0" collapsed="false">
      <c r="A2400" s="4" t="s">
        <v>3338</v>
      </c>
      <c r="B2400" s="4" t="s">
        <v>3346</v>
      </c>
      <c r="C2400" s="4" t="s">
        <v>3346</v>
      </c>
      <c r="D2400" s="12" t="n">
        <v>2024</v>
      </c>
      <c r="E2400" s="4"/>
      <c r="F2400" s="4" t="s">
        <v>1990</v>
      </c>
      <c r="G2400" s="4" t="s">
        <v>170</v>
      </c>
      <c r="H2400" s="4" t="s">
        <v>171</v>
      </c>
      <c r="I2400" s="4" t="s">
        <v>172</v>
      </c>
      <c r="J2400" s="4" t="s">
        <v>1715</v>
      </c>
      <c r="K2400" s="4" t="s">
        <v>93</v>
      </c>
      <c r="L2400" s="4"/>
      <c r="M2400" s="4"/>
      <c r="N2400" s="4" t="s">
        <v>1994</v>
      </c>
      <c r="O2400" s="4" t="s">
        <v>1995</v>
      </c>
      <c r="P2400" s="4" t="s">
        <v>67</v>
      </c>
      <c r="Q2400" s="4" t="s">
        <v>2012</v>
      </c>
      <c r="R2400" s="4"/>
      <c r="S2400" s="4"/>
      <c r="T2400" s="4"/>
      <c r="U2400" s="4"/>
      <c r="V2400" s="4"/>
      <c r="W2400" s="4"/>
      <c r="X2400" s="4"/>
      <c r="Y2400" s="4"/>
      <c r="Z2400" s="4"/>
      <c r="AA2400" s="4"/>
      <c r="AB2400" s="4"/>
      <c r="AC2400" s="4"/>
      <c r="AD2400" s="4"/>
      <c r="AE2400" s="4"/>
      <c r="AF2400" s="4"/>
      <c r="AG2400" s="4"/>
      <c r="AH2400" s="4"/>
      <c r="AI2400" s="4"/>
      <c r="AJ2400" s="13" t="n">
        <v>0</v>
      </c>
      <c r="AK2400" s="4"/>
      <c r="AL2400" s="4"/>
      <c r="AM2400" s="4"/>
    </row>
    <row r="2401" customFormat="false" ht="23.85" hidden="false" customHeight="false" outlineLevel="0" collapsed="false">
      <c r="A2401" s="4" t="s">
        <v>3338</v>
      </c>
      <c r="B2401" s="4" t="s">
        <v>3347</v>
      </c>
      <c r="C2401" s="4" t="s">
        <v>3347</v>
      </c>
      <c r="D2401" s="12" t="n">
        <v>2024</v>
      </c>
      <c r="E2401" s="4"/>
      <c r="F2401" s="4" t="s">
        <v>1990</v>
      </c>
      <c r="G2401" s="4" t="s">
        <v>170</v>
      </c>
      <c r="H2401" s="4" t="s">
        <v>171</v>
      </c>
      <c r="I2401" s="4" t="s">
        <v>172</v>
      </c>
      <c r="J2401" s="4" t="s">
        <v>1721</v>
      </c>
      <c r="K2401" s="4" t="s">
        <v>93</v>
      </c>
      <c r="L2401" s="4"/>
      <c r="M2401" s="4"/>
      <c r="N2401" s="4" t="s">
        <v>2001</v>
      </c>
      <c r="O2401" s="4" t="s">
        <v>2002</v>
      </c>
      <c r="P2401" s="4" t="s">
        <v>67</v>
      </c>
      <c r="Q2401" s="4" t="s">
        <v>2003</v>
      </c>
      <c r="R2401" s="4"/>
      <c r="S2401" s="4"/>
      <c r="T2401" s="4"/>
      <c r="U2401" s="4"/>
      <c r="V2401" s="4"/>
      <c r="W2401" s="4" t="s">
        <v>3341</v>
      </c>
      <c r="X2401" s="4" t="s">
        <v>3342</v>
      </c>
      <c r="Y2401" s="4" t="inlineStr">
        <is>
          <t>COMB_BIOGAS</t>
        </is>
      </c>
      <c r="Z2401" s="4"/>
      <c r="AA2401" s="4"/>
      <c r="AB2401" s="4"/>
      <c r="AC2401" s="4" t="s">
        <v>3344</v>
      </c>
      <c r="AD2401" s="4"/>
      <c r="AE2401" s="4"/>
      <c r="AF2401" s="4"/>
      <c r="AG2401" s="4"/>
      <c r="AH2401" s="4"/>
      <c r="AI2401" s="4"/>
      <c r="AJ2401" s="13" t="n">
        <v>1</v>
      </c>
      <c r="AK2401" s="4"/>
      <c r="AL2401" s="4"/>
      <c r="AM2401" s="4"/>
    </row>
    <row r="2402" customFormat="false" ht="23.85" hidden="false" customHeight="false" outlineLevel="0" collapsed="false">
      <c r="A2402" s="4" t="s">
        <v>3338</v>
      </c>
      <c r="B2402" s="4" t="s">
        <v>3348</v>
      </c>
      <c r="C2402" s="4" t="s">
        <v>3348</v>
      </c>
      <c r="D2402" s="12" t="n">
        <v>2024</v>
      </c>
      <c r="E2402" s="4"/>
      <c r="F2402" s="4" t="s">
        <v>3349</v>
      </c>
      <c r="G2402" s="4" t="s">
        <v>170</v>
      </c>
      <c r="H2402" s="4" t="s">
        <v>171</v>
      </c>
      <c r="I2402" s="4" t="s">
        <v>172</v>
      </c>
      <c r="J2402" s="4" t="s">
        <v>1731</v>
      </c>
      <c r="K2402" s="4" t="s">
        <v>76</v>
      </c>
      <c r="L2402" s="4"/>
      <c r="M2402" s="4"/>
      <c r="N2402" s="4" t="s">
        <v>1994</v>
      </c>
      <c r="O2402" s="4" t="s">
        <v>65</v>
      </c>
      <c r="P2402" s="4" t="s">
        <v>64</v>
      </c>
      <c r="Q2402" s="4" t="s">
        <v>2019</v>
      </c>
      <c r="R2402" s="4"/>
      <c r="S2402" s="4"/>
      <c r="T2402" s="4"/>
      <c r="U2402" s="4"/>
      <c r="V2402" s="4"/>
      <c r="W2402" s="4" t="s">
        <v>3350</v>
      </c>
      <c r="X2402" s="4" t="s">
        <v>3351</v>
      </c>
      <c r="Y2402" s="4" t="s">
        <v>3349</v>
      </c>
      <c r="Z2402" s="4"/>
      <c r="AA2402" s="4"/>
      <c r="AB2402" s="4"/>
      <c r="AC2402" s="4" t="s">
        <v>3352</v>
      </c>
      <c r="AD2402" s="4"/>
      <c r="AE2402" s="4"/>
      <c r="AF2402" s="4"/>
      <c r="AG2402" s="4"/>
      <c r="AH2402" s="4"/>
      <c r="AI2402" s="4"/>
      <c r="AJ2402" s="13" t="n">
        <v>1</v>
      </c>
      <c r="AK2402" s="4"/>
      <c r="AL2402" s="4"/>
      <c r="AM2402" s="4"/>
    </row>
    <row r="2403" customFormat="false" ht="23.85" hidden="false" customHeight="false" outlineLevel="0" collapsed="false">
      <c r="A2403" s="4" t="s">
        <v>3338</v>
      </c>
      <c r="B2403" s="4" t="s">
        <v>3353</v>
      </c>
      <c r="C2403" s="4" t="s">
        <v>3353</v>
      </c>
      <c r="D2403" s="12" t="n">
        <v>2024</v>
      </c>
      <c r="E2403" s="4"/>
      <c r="F2403" s="4" t="s">
        <v>1990</v>
      </c>
      <c r="G2403" s="4" t="s">
        <v>170</v>
      </c>
      <c r="H2403" s="4" t="s">
        <v>171</v>
      </c>
      <c r="I2403" s="4" t="s">
        <v>172</v>
      </c>
      <c r="J2403" s="4" t="s">
        <v>1731</v>
      </c>
      <c r="K2403" s="4" t="s">
        <v>76</v>
      </c>
      <c r="L2403" s="4"/>
      <c r="M2403" s="4"/>
      <c r="N2403" s="4" t="s">
        <v>2001</v>
      </c>
      <c r="O2403" s="4" t="s">
        <v>66</v>
      </c>
      <c r="P2403" s="4" t="s">
        <v>66</v>
      </c>
      <c r="Q2403" s="4" t="s">
        <v>2019</v>
      </c>
      <c r="R2403" s="4"/>
      <c r="S2403" s="4"/>
      <c r="T2403" s="4"/>
      <c r="U2403" s="4"/>
      <c r="V2403" s="4"/>
      <c r="W2403" s="4"/>
      <c r="X2403" s="4"/>
      <c r="Y2403" s="4"/>
      <c r="Z2403" s="4"/>
      <c r="AA2403" s="4"/>
      <c r="AB2403" s="4"/>
      <c r="AC2403" s="4"/>
      <c r="AD2403" s="4"/>
      <c r="AE2403" s="4"/>
      <c r="AF2403" s="4"/>
      <c r="AG2403" s="4"/>
      <c r="AH2403" s="4"/>
      <c r="AI2403" s="4"/>
      <c r="AJ2403" s="13" t="n">
        <v>0</v>
      </c>
      <c r="AK2403" s="4"/>
      <c r="AL2403" s="4"/>
      <c r="AM2403" s="4"/>
    </row>
    <row r="2404" customFormat="false" ht="23.85" hidden="false" customHeight="false" outlineLevel="0" collapsed="false">
      <c r="A2404" s="4" t="s">
        <v>3338</v>
      </c>
      <c r="B2404" s="4" t="s">
        <v>3354</v>
      </c>
      <c r="C2404" s="4" t="s">
        <v>3354</v>
      </c>
      <c r="D2404" s="12" t="n">
        <v>2024</v>
      </c>
      <c r="E2404" s="4"/>
      <c r="F2404" s="4" t="s">
        <v>1990</v>
      </c>
      <c r="G2404" s="4" t="s">
        <v>170</v>
      </c>
      <c r="H2404" s="4" t="s">
        <v>171</v>
      </c>
      <c r="I2404" s="4" t="s">
        <v>172</v>
      </c>
      <c r="J2404" s="4" t="s">
        <v>1731</v>
      </c>
      <c r="K2404" s="4" t="s">
        <v>76</v>
      </c>
      <c r="L2404" s="4"/>
      <c r="M2404" s="4"/>
      <c r="N2404" s="4" t="s">
        <v>1994</v>
      </c>
      <c r="O2404" s="4" t="s">
        <v>1995</v>
      </c>
      <c r="P2404" s="4" t="s">
        <v>66</v>
      </c>
      <c r="Q2404" s="4" t="s">
        <v>2019</v>
      </c>
      <c r="R2404" s="4"/>
      <c r="S2404" s="4"/>
      <c r="T2404" s="4"/>
      <c r="U2404" s="4"/>
      <c r="V2404" s="4"/>
      <c r="W2404" s="4"/>
      <c r="X2404" s="4"/>
      <c r="Y2404" s="4"/>
      <c r="Z2404" s="4"/>
      <c r="AA2404" s="4"/>
      <c r="AB2404" s="4"/>
      <c r="AC2404" s="4"/>
      <c r="AD2404" s="4"/>
      <c r="AE2404" s="4"/>
      <c r="AF2404" s="4"/>
      <c r="AG2404" s="4"/>
      <c r="AH2404" s="4"/>
      <c r="AI2404" s="4"/>
      <c r="AJ2404" s="13" t="n">
        <v>0</v>
      </c>
      <c r="AK2404" s="4"/>
      <c r="AL2404" s="4"/>
      <c r="AM2404" s="4"/>
    </row>
    <row r="2405" customFormat="false" ht="23.85" hidden="false" customHeight="false" outlineLevel="0" collapsed="false">
      <c r="A2405" s="4" t="s">
        <v>3338</v>
      </c>
      <c r="B2405" s="4" t="s">
        <v>3355</v>
      </c>
      <c r="C2405" s="4" t="s">
        <v>3355</v>
      </c>
      <c r="D2405" s="12" t="n">
        <v>2024</v>
      </c>
      <c r="E2405" s="4"/>
      <c r="F2405" s="4" t="s">
        <v>1990</v>
      </c>
      <c r="G2405" s="4" t="s">
        <v>170</v>
      </c>
      <c r="H2405" s="4" t="s">
        <v>171</v>
      </c>
      <c r="I2405" s="4" t="s">
        <v>172</v>
      </c>
      <c r="J2405" s="4" t="s">
        <v>1733</v>
      </c>
      <c r="K2405" s="4" t="s">
        <v>76</v>
      </c>
      <c r="L2405" s="4"/>
      <c r="M2405" s="4"/>
      <c r="N2405" s="4" t="s">
        <v>1994</v>
      </c>
      <c r="O2405" s="4" t="s">
        <v>2029</v>
      </c>
      <c r="P2405" s="4" t="s">
        <v>69</v>
      </c>
      <c r="Q2405" s="4" t="s">
        <v>2030</v>
      </c>
      <c r="R2405" s="4"/>
      <c r="S2405" s="4"/>
      <c r="T2405" s="4"/>
      <c r="U2405" s="4"/>
      <c r="V2405" s="4"/>
      <c r="W2405" s="4"/>
      <c r="X2405" s="4"/>
      <c r="Y2405" s="4"/>
      <c r="Z2405" s="4"/>
      <c r="AA2405" s="4"/>
      <c r="AB2405" s="4"/>
      <c r="AC2405" s="4"/>
      <c r="AD2405" s="4"/>
      <c r="AE2405" s="4"/>
      <c r="AF2405" s="4"/>
      <c r="AG2405" s="4"/>
      <c r="AH2405" s="4"/>
      <c r="AI2405" s="4"/>
      <c r="AJ2405" s="13" t="n">
        <v>0</v>
      </c>
      <c r="AK2405" s="4"/>
      <c r="AL2405" s="4"/>
      <c r="AM2405" s="4"/>
    </row>
    <row r="2406" customFormat="false" ht="23.85" hidden="false" customHeight="false" outlineLevel="0" collapsed="false">
      <c r="A2406" s="4" t="s">
        <v>3338</v>
      </c>
      <c r="B2406" s="4" t="s">
        <v>3356</v>
      </c>
      <c r="C2406" s="4" t="s">
        <v>3356</v>
      </c>
      <c r="D2406" s="12" t="n">
        <v>2024</v>
      </c>
      <c r="E2406" s="4"/>
      <c r="F2406" s="4" t="s">
        <v>1990</v>
      </c>
      <c r="G2406" s="4" t="s">
        <v>170</v>
      </c>
      <c r="H2406" s="4" t="s">
        <v>171</v>
      </c>
      <c r="I2406" s="4" t="s">
        <v>172</v>
      </c>
      <c r="J2406" s="4" t="s">
        <v>1735</v>
      </c>
      <c r="K2406" s="4" t="s">
        <v>76</v>
      </c>
      <c r="L2406" s="4"/>
      <c r="M2406" s="4"/>
      <c r="N2406" s="4" t="s">
        <v>2001</v>
      </c>
      <c r="O2406" s="4" t="s">
        <v>2034</v>
      </c>
      <c r="P2406" s="4" t="s">
        <v>74</v>
      </c>
      <c r="Q2406" s="4" t="s">
        <v>2035</v>
      </c>
      <c r="R2406" s="4"/>
      <c r="S2406" s="4"/>
      <c r="T2406" s="4"/>
      <c r="U2406" s="4"/>
      <c r="V2406" s="4"/>
      <c r="W2406" s="4"/>
      <c r="X2406" s="4"/>
      <c r="Y2406" s="4"/>
      <c r="Z2406" s="4"/>
      <c r="AA2406" s="4"/>
      <c r="AB2406" s="4"/>
      <c r="AC2406" s="4"/>
      <c r="AD2406" s="4"/>
      <c r="AE2406" s="4"/>
      <c r="AF2406" s="4"/>
      <c r="AG2406" s="4"/>
      <c r="AH2406" s="4"/>
      <c r="AI2406" s="4"/>
      <c r="AJ2406" s="13" t="n">
        <v>0</v>
      </c>
      <c r="AK2406" s="4"/>
      <c r="AL2406" s="4"/>
      <c r="AM2406" s="4"/>
    </row>
    <row r="2407" customFormat="false" ht="23.85" hidden="false" customHeight="false" outlineLevel="0" collapsed="false">
      <c r="A2407" s="4" t="s">
        <v>3338</v>
      </c>
      <c r="B2407" s="4" t="s">
        <v>3357</v>
      </c>
      <c r="C2407" s="4" t="s">
        <v>3357</v>
      </c>
      <c r="D2407" s="12" t="n">
        <v>2024</v>
      </c>
      <c r="E2407" s="4"/>
      <c r="F2407" s="4" t="s">
        <v>1990</v>
      </c>
      <c r="G2407" s="4" t="s">
        <v>170</v>
      </c>
      <c r="H2407" s="4" t="s">
        <v>171</v>
      </c>
      <c r="I2407" s="4" t="s">
        <v>172</v>
      </c>
      <c r="J2407" s="4" t="s">
        <v>1737</v>
      </c>
      <c r="K2407" s="4" t="s">
        <v>76</v>
      </c>
      <c r="L2407" s="4"/>
      <c r="M2407" s="4"/>
      <c r="N2407" s="4" t="s">
        <v>2001</v>
      </c>
      <c r="O2407" s="4" t="s">
        <v>2002</v>
      </c>
      <c r="P2407" s="4" t="s">
        <v>67</v>
      </c>
      <c r="Q2407" s="4" t="s">
        <v>2003</v>
      </c>
      <c r="R2407" s="4"/>
      <c r="S2407" s="4"/>
      <c r="T2407" s="4"/>
      <c r="U2407" s="4"/>
      <c r="V2407" s="4"/>
      <c r="W2407" s="4" t="s">
        <v>3341</v>
      </c>
      <c r="X2407" s="4" t="s">
        <v>3342</v>
      </c>
      <c r="Y2407" s="4" t="inlineStr">
        <is>
          <t>COMB_CRBN</t>
        </is>
      </c>
      <c r="Z2407" s="4"/>
      <c r="AA2407" s="4"/>
      <c r="AB2407" s="4"/>
      <c r="AC2407" s="4" t="s">
        <v>3352</v>
      </c>
      <c r="AD2407" s="4"/>
      <c r="AE2407" s="4"/>
      <c r="AF2407" s="4"/>
      <c r="AG2407" s="4"/>
      <c r="AH2407" s="4"/>
      <c r="AI2407" s="4"/>
      <c r="AJ2407" s="13" t="n">
        <v>1</v>
      </c>
      <c r="AK2407" s="4"/>
      <c r="AL2407" s="4"/>
      <c r="AM2407" s="4"/>
    </row>
    <row r="2408" customFormat="false" ht="23.85" hidden="false" customHeight="false" outlineLevel="0" collapsed="false">
      <c r="A2408" s="4" t="s">
        <v>3338</v>
      </c>
      <c r="B2408" s="4" t="s">
        <v>3359</v>
      </c>
      <c r="C2408" s="4" t="s">
        <v>3359</v>
      </c>
      <c r="D2408" s="12" t="n">
        <v>2024</v>
      </c>
      <c r="E2408" s="4"/>
      <c r="F2408" s="4" t="s">
        <v>1990</v>
      </c>
      <c r="G2408" s="4" t="s">
        <v>170</v>
      </c>
      <c r="H2408" s="4" t="s">
        <v>171</v>
      </c>
      <c r="I2408" s="4" t="s">
        <v>172</v>
      </c>
      <c r="J2408" s="4" t="s">
        <v>1738</v>
      </c>
      <c r="K2408" s="4" t="s">
        <v>76</v>
      </c>
      <c r="L2408" s="4"/>
      <c r="M2408" s="4"/>
      <c r="N2408" s="4" t="s">
        <v>2001</v>
      </c>
      <c r="O2408" s="4" t="s">
        <v>2002</v>
      </c>
      <c r="P2408" s="4" t="s">
        <v>67</v>
      </c>
      <c r="Q2408" s="4" t="s">
        <v>2008</v>
      </c>
      <c r="R2408" s="4"/>
      <c r="S2408" s="4"/>
      <c r="T2408" s="4"/>
      <c r="U2408" s="4"/>
      <c r="V2408" s="4"/>
      <c r="W2408" s="4" t="s">
        <v>3341</v>
      </c>
      <c r="X2408" s="4" t="s">
        <v>3342</v>
      </c>
      <c r="Y2408" s="4" t="inlineStr">
        <is>
          <t>COMB_CRBN</t>
        </is>
      </c>
      <c r="Z2408" s="4"/>
      <c r="AA2408" s="4"/>
      <c r="AB2408" s="4"/>
      <c r="AC2408" s="4" t="s">
        <v>3352</v>
      </c>
      <c r="AD2408" s="4"/>
      <c r="AE2408" s="4"/>
      <c r="AF2408" s="4"/>
      <c r="AG2408" s="4"/>
      <c r="AH2408" s="4"/>
      <c r="AI2408" s="4"/>
      <c r="AJ2408" s="13" t="n">
        <v>1</v>
      </c>
      <c r="AK2408" s="4"/>
      <c r="AL2408" s="4"/>
      <c r="AM2408" s="4"/>
    </row>
    <row r="2409" customFormat="false" ht="23.85" hidden="false" customHeight="false" outlineLevel="0" collapsed="false">
      <c r="A2409" s="4" t="s">
        <v>3338</v>
      </c>
      <c r="B2409" s="4" t="s">
        <v>3360</v>
      </c>
      <c r="C2409" s="4" t="s">
        <v>3360</v>
      </c>
      <c r="D2409" s="12" t="n">
        <v>2024</v>
      </c>
      <c r="E2409" s="4"/>
      <c r="F2409" s="4" t="s">
        <v>1990</v>
      </c>
      <c r="G2409" s="4" t="s">
        <v>170</v>
      </c>
      <c r="H2409" s="4" t="s">
        <v>171</v>
      </c>
      <c r="I2409" s="4" t="s">
        <v>172</v>
      </c>
      <c r="J2409" s="4" t="s">
        <v>1746</v>
      </c>
      <c r="K2409" s="4" t="s">
        <v>78</v>
      </c>
      <c r="L2409" s="4"/>
      <c r="M2409" s="4"/>
      <c r="N2409" s="4" t="s">
        <v>1994</v>
      </c>
      <c r="O2409" s="4" t="s">
        <v>65</v>
      </c>
      <c r="P2409" s="4" t="s">
        <v>64</v>
      </c>
      <c r="Q2409" s="4" t="s">
        <v>2044</v>
      </c>
      <c r="R2409" s="4"/>
      <c r="S2409" s="4"/>
      <c r="T2409" s="4"/>
      <c r="U2409" s="4"/>
      <c r="V2409" s="4"/>
      <c r="W2409" s="4"/>
      <c r="X2409" s="4"/>
      <c r="Y2409" s="4"/>
      <c r="Z2409" s="4"/>
      <c r="AA2409" s="4"/>
      <c r="AB2409" s="4"/>
      <c r="AC2409" s="4"/>
      <c r="AD2409" s="4"/>
      <c r="AE2409" s="4"/>
      <c r="AF2409" s="4"/>
      <c r="AG2409" s="4"/>
      <c r="AH2409" s="4"/>
      <c r="AI2409" s="4"/>
      <c r="AJ2409" s="13" t="n">
        <v>0</v>
      </c>
      <c r="AK2409" s="4"/>
      <c r="AL2409" s="4"/>
      <c r="AM2409" s="4"/>
    </row>
    <row r="2410" customFormat="false" ht="23.85" hidden="false" customHeight="false" outlineLevel="0" collapsed="false">
      <c r="A2410" s="4" t="s">
        <v>3338</v>
      </c>
      <c r="B2410" s="4" t="s">
        <v>3361</v>
      </c>
      <c r="C2410" s="4" t="s">
        <v>3361</v>
      </c>
      <c r="D2410" s="12" t="n">
        <v>2024</v>
      </c>
      <c r="E2410" s="4"/>
      <c r="F2410" s="4" t="s">
        <v>1990</v>
      </c>
      <c r="G2410" s="4" t="s">
        <v>170</v>
      </c>
      <c r="H2410" s="4" t="s">
        <v>171</v>
      </c>
      <c r="I2410" s="4" t="s">
        <v>172</v>
      </c>
      <c r="J2410" s="4" t="s">
        <v>1752</v>
      </c>
      <c r="K2410" s="4" t="s">
        <v>78</v>
      </c>
      <c r="L2410" s="4"/>
      <c r="M2410" s="4"/>
      <c r="N2410" s="4" t="s">
        <v>2001</v>
      </c>
      <c r="O2410" s="4" t="s">
        <v>66</v>
      </c>
      <c r="P2410" s="4" t="s">
        <v>67</v>
      </c>
      <c r="Q2410" s="4" t="s">
        <v>2003</v>
      </c>
      <c r="R2410" s="4"/>
      <c r="S2410" s="4"/>
      <c r="T2410" s="4"/>
      <c r="U2410" s="4"/>
      <c r="V2410" s="4"/>
      <c r="W2410" s="4" t="s">
        <v>3341</v>
      </c>
      <c r="X2410" s="4" t="s">
        <v>3342</v>
      </c>
      <c r="Y2410" s="4" t="s">
        <v>3362</v>
      </c>
      <c r="Z2410" s="4"/>
      <c r="AA2410" s="4"/>
      <c r="AB2410" s="4"/>
      <c r="AC2410" s="4" t="s">
        <v>3363</v>
      </c>
      <c r="AD2410" s="4"/>
      <c r="AE2410" s="4"/>
      <c r="AF2410" s="4"/>
      <c r="AG2410" s="4"/>
      <c r="AH2410" s="4"/>
      <c r="AI2410" s="4"/>
      <c r="AJ2410" s="13" t="n">
        <v>1</v>
      </c>
      <c r="AK2410" s="4"/>
      <c r="AL2410" s="4"/>
      <c r="AM2410" s="4"/>
    </row>
    <row r="2411" customFormat="false" ht="23.85" hidden="false" customHeight="false" outlineLevel="0" collapsed="false">
      <c r="A2411" s="4" t="s">
        <v>3338</v>
      </c>
      <c r="B2411" s="4" t="s">
        <v>3364</v>
      </c>
      <c r="C2411" s="4" t="s">
        <v>3364</v>
      </c>
      <c r="D2411" s="12" t="n">
        <v>2024</v>
      </c>
      <c r="E2411" s="4"/>
      <c r="F2411" s="4" t="s">
        <v>1990</v>
      </c>
      <c r="G2411" s="4" t="s">
        <v>170</v>
      </c>
      <c r="H2411" s="4" t="s">
        <v>171</v>
      </c>
      <c r="I2411" s="4" t="s">
        <v>172</v>
      </c>
      <c r="J2411" s="4" t="s">
        <v>1761</v>
      </c>
      <c r="K2411" s="4" t="s">
        <v>80</v>
      </c>
      <c r="L2411" s="4"/>
      <c r="M2411" s="4"/>
      <c r="N2411" s="4" t="s">
        <v>1994</v>
      </c>
      <c r="O2411" s="4" t="s">
        <v>65</v>
      </c>
      <c r="P2411" s="4" t="s">
        <v>64</v>
      </c>
      <c r="Q2411" s="4" t="s">
        <v>2044</v>
      </c>
      <c r="R2411" s="4"/>
      <c r="S2411" s="4"/>
      <c r="T2411" s="4"/>
      <c r="U2411" s="4"/>
      <c r="V2411" s="4"/>
      <c r="W2411" s="4"/>
      <c r="X2411" s="4"/>
      <c r="Y2411" s="4"/>
      <c r="Z2411" s="4"/>
      <c r="AA2411" s="4"/>
      <c r="AB2411" s="4"/>
      <c r="AC2411" s="4"/>
      <c r="AD2411" s="4"/>
      <c r="AE2411" s="4"/>
      <c r="AF2411" s="4"/>
      <c r="AG2411" s="4"/>
      <c r="AH2411" s="4"/>
      <c r="AI2411" s="4"/>
      <c r="AJ2411" s="13" t="n">
        <v>0</v>
      </c>
      <c r="AK2411" s="4"/>
      <c r="AL2411" s="4"/>
      <c r="AM2411" s="4"/>
    </row>
    <row r="2412" customFormat="false" ht="23.85" hidden="false" customHeight="false" outlineLevel="0" collapsed="false">
      <c r="A2412" s="4" t="s">
        <v>3338</v>
      </c>
      <c r="B2412" s="4" t="s">
        <v>3365</v>
      </c>
      <c r="C2412" s="4" t="s">
        <v>3365</v>
      </c>
      <c r="D2412" s="12" t="n">
        <v>2024</v>
      </c>
      <c r="E2412" s="4"/>
      <c r="F2412" s="4" t="s">
        <v>1990</v>
      </c>
      <c r="G2412" s="4" t="s">
        <v>170</v>
      </c>
      <c r="H2412" s="4" t="s">
        <v>171</v>
      </c>
      <c r="I2412" s="4" t="s">
        <v>172</v>
      </c>
      <c r="J2412" s="4" t="s">
        <v>1767</v>
      </c>
      <c r="K2412" s="4" t="s">
        <v>80</v>
      </c>
      <c r="L2412" s="4"/>
      <c r="M2412" s="4"/>
      <c r="N2412" s="4" t="s">
        <v>2001</v>
      </c>
      <c r="O2412" s="4" t="s">
        <v>66</v>
      </c>
      <c r="P2412" s="4" t="s">
        <v>67</v>
      </c>
      <c r="Q2412" s="4" t="s">
        <v>2003</v>
      </c>
      <c r="R2412" s="4"/>
      <c r="S2412" s="4"/>
      <c r="T2412" s="4"/>
      <c r="U2412" s="4"/>
      <c r="V2412" s="4"/>
      <c r="W2412" s="4" t="s">
        <v>3341</v>
      </c>
      <c r="X2412" s="4" t="s">
        <v>3342</v>
      </c>
      <c r="Y2412" s="4" t="s">
        <v>3362</v>
      </c>
      <c r="Z2412" s="4"/>
      <c r="AA2412" s="4"/>
      <c r="AB2412" s="4"/>
      <c r="AC2412" s="4" t="s">
        <v>3363</v>
      </c>
      <c r="AD2412" s="4"/>
      <c r="AE2412" s="4"/>
      <c r="AF2412" s="4"/>
      <c r="AG2412" s="4"/>
      <c r="AH2412" s="4"/>
      <c r="AI2412" s="4"/>
      <c r="AJ2412" s="13" t="n">
        <v>1</v>
      </c>
      <c r="AK2412" s="4"/>
      <c r="AL2412" s="4"/>
      <c r="AM2412" s="4"/>
    </row>
    <row r="2413" customFormat="false" ht="23.85" hidden="false" customHeight="false" outlineLevel="0" collapsed="false">
      <c r="A2413" s="4" t="s">
        <v>3338</v>
      </c>
      <c r="B2413" s="4" t="s">
        <v>3366</v>
      </c>
      <c r="C2413" s="4" t="s">
        <v>3366</v>
      </c>
      <c r="D2413" s="12" t="n">
        <v>2024</v>
      </c>
      <c r="E2413" s="4"/>
      <c r="F2413" s="4" t="s">
        <v>3349</v>
      </c>
      <c r="G2413" s="4" t="s">
        <v>170</v>
      </c>
      <c r="H2413" s="4" t="s">
        <v>171</v>
      </c>
      <c r="I2413" s="4" t="s">
        <v>172</v>
      </c>
      <c r="J2413" s="4" t="s">
        <v>1776</v>
      </c>
      <c r="K2413" s="4" t="s">
        <v>82</v>
      </c>
      <c r="L2413" s="4"/>
      <c r="M2413" s="4"/>
      <c r="N2413" s="4" t="s">
        <v>1994</v>
      </c>
      <c r="O2413" s="4" t="s">
        <v>65</v>
      </c>
      <c r="P2413" s="4" t="s">
        <v>64</v>
      </c>
      <c r="Q2413" s="4" t="s">
        <v>2019</v>
      </c>
      <c r="R2413" s="4"/>
      <c r="S2413" s="4"/>
      <c r="T2413" s="4"/>
      <c r="U2413" s="4"/>
      <c r="V2413" s="4"/>
      <c r="W2413" s="4" t="s">
        <v>3367</v>
      </c>
      <c r="X2413" s="4" t="s">
        <v>3368</v>
      </c>
      <c r="Y2413" s="4" t="s">
        <v>3349</v>
      </c>
      <c r="Z2413" s="4"/>
      <c r="AA2413" s="4"/>
      <c r="AB2413" s="4"/>
      <c r="AC2413" s="4" t="s">
        <v>3352</v>
      </c>
      <c r="AD2413" s="4"/>
      <c r="AE2413" s="4"/>
      <c r="AF2413" s="4"/>
      <c r="AG2413" s="4"/>
      <c r="AH2413" s="4"/>
      <c r="AI2413" s="4"/>
      <c r="AJ2413" s="13" t="n">
        <v>1</v>
      </c>
      <c r="AK2413" s="4"/>
      <c r="AL2413" s="4"/>
      <c r="AM2413" s="4"/>
    </row>
    <row r="2414" customFormat="false" ht="23.85" hidden="false" customHeight="false" outlineLevel="0" collapsed="false">
      <c r="A2414" s="4" t="s">
        <v>3338</v>
      </c>
      <c r="B2414" s="4" t="s">
        <v>3369</v>
      </c>
      <c r="C2414" s="4" t="s">
        <v>3369</v>
      </c>
      <c r="D2414" s="12" t="n">
        <v>2024</v>
      </c>
      <c r="E2414" s="4"/>
      <c r="F2414" s="4" t="s">
        <v>1990</v>
      </c>
      <c r="G2414" s="4" t="s">
        <v>170</v>
      </c>
      <c r="H2414" s="4" t="s">
        <v>171</v>
      </c>
      <c r="I2414" s="4" t="s">
        <v>172</v>
      </c>
      <c r="J2414" s="4" t="s">
        <v>1776</v>
      </c>
      <c r="K2414" s="4" t="s">
        <v>82</v>
      </c>
      <c r="L2414" s="4"/>
      <c r="M2414" s="4"/>
      <c r="N2414" s="4" t="s">
        <v>2001</v>
      </c>
      <c r="O2414" s="4" t="s">
        <v>66</v>
      </c>
      <c r="P2414" s="4" t="s">
        <v>66</v>
      </c>
      <c r="Q2414" s="4" t="s">
        <v>2019</v>
      </c>
      <c r="R2414" s="4"/>
      <c r="S2414" s="4"/>
      <c r="T2414" s="4"/>
      <c r="U2414" s="4"/>
      <c r="V2414" s="4"/>
      <c r="W2414" s="4"/>
      <c r="X2414" s="4"/>
      <c r="Y2414" s="4"/>
      <c r="Z2414" s="4"/>
      <c r="AA2414" s="4"/>
      <c r="AB2414" s="4"/>
      <c r="AC2414" s="4"/>
      <c r="AD2414" s="4"/>
      <c r="AE2414" s="4"/>
      <c r="AF2414" s="4"/>
      <c r="AG2414" s="4"/>
      <c r="AH2414" s="4"/>
      <c r="AI2414" s="4"/>
      <c r="AJ2414" s="13" t="n">
        <v>0</v>
      </c>
      <c r="AK2414" s="4"/>
      <c r="AL2414" s="4"/>
      <c r="AM2414" s="4"/>
    </row>
    <row r="2415" customFormat="false" ht="23.85" hidden="false" customHeight="false" outlineLevel="0" collapsed="false">
      <c r="A2415" s="4" t="s">
        <v>3338</v>
      </c>
      <c r="B2415" s="4" t="s">
        <v>3370</v>
      </c>
      <c r="C2415" s="4" t="s">
        <v>3370</v>
      </c>
      <c r="D2415" s="12" t="n">
        <v>2024</v>
      </c>
      <c r="E2415" s="4"/>
      <c r="F2415" s="4" t="s">
        <v>1990</v>
      </c>
      <c r="G2415" s="4" t="s">
        <v>170</v>
      </c>
      <c r="H2415" s="4" t="s">
        <v>171</v>
      </c>
      <c r="I2415" s="4" t="s">
        <v>172</v>
      </c>
      <c r="J2415" s="4" t="s">
        <v>1776</v>
      </c>
      <c r="K2415" s="4" t="s">
        <v>82</v>
      </c>
      <c r="L2415" s="4"/>
      <c r="M2415" s="4"/>
      <c r="N2415" s="4" t="s">
        <v>1994</v>
      </c>
      <c r="O2415" s="4" t="s">
        <v>1995</v>
      </c>
      <c r="P2415" s="4" t="s">
        <v>66</v>
      </c>
      <c r="Q2415" s="4" t="s">
        <v>2019</v>
      </c>
      <c r="R2415" s="4"/>
      <c r="S2415" s="4"/>
      <c r="T2415" s="4"/>
      <c r="U2415" s="4"/>
      <c r="V2415" s="4"/>
      <c r="W2415" s="4"/>
      <c r="X2415" s="4"/>
      <c r="Y2415" s="4"/>
      <c r="Z2415" s="4"/>
      <c r="AA2415" s="4"/>
      <c r="AB2415" s="4"/>
      <c r="AC2415" s="4"/>
      <c r="AD2415" s="4"/>
      <c r="AE2415" s="4"/>
      <c r="AF2415" s="4"/>
      <c r="AG2415" s="4"/>
      <c r="AH2415" s="4"/>
      <c r="AI2415" s="4"/>
      <c r="AJ2415" s="13" t="n">
        <v>0</v>
      </c>
      <c r="AK2415" s="4"/>
      <c r="AL2415" s="4"/>
      <c r="AM2415" s="4"/>
    </row>
    <row r="2416" customFormat="false" ht="23.85" hidden="false" customHeight="false" outlineLevel="0" collapsed="false">
      <c r="A2416" s="4" t="s">
        <v>3338</v>
      </c>
      <c r="B2416" s="4" t="s">
        <v>3371</v>
      </c>
      <c r="C2416" s="4" t="s">
        <v>3371</v>
      </c>
      <c r="D2416" s="12" t="n">
        <v>2024</v>
      </c>
      <c r="E2416" s="4"/>
      <c r="F2416" s="4" t="s">
        <v>1990</v>
      </c>
      <c r="G2416" s="4" t="s">
        <v>170</v>
      </c>
      <c r="H2416" s="4" t="s">
        <v>171</v>
      </c>
      <c r="I2416" s="4" t="s">
        <v>172</v>
      </c>
      <c r="J2416" s="4" t="s">
        <v>1782</v>
      </c>
      <c r="K2416" s="4" t="s">
        <v>82</v>
      </c>
      <c r="L2416" s="4"/>
      <c r="M2416" s="4"/>
      <c r="N2416" s="4" t="s">
        <v>2001</v>
      </c>
      <c r="O2416" s="4" t="s">
        <v>2002</v>
      </c>
      <c r="P2416" s="4" t="s">
        <v>67</v>
      </c>
      <c r="Q2416" s="4" t="s">
        <v>2003</v>
      </c>
      <c r="R2416" s="4"/>
      <c r="S2416" s="4"/>
      <c r="T2416" s="4"/>
      <c r="U2416" s="4"/>
      <c r="V2416" s="4"/>
      <c r="W2416" s="4" t="s">
        <v>3341</v>
      </c>
      <c r="X2416" s="4" t="s">
        <v>3342</v>
      </c>
      <c r="Y2416" s="4" t="s">
        <v>3372</v>
      </c>
      <c r="Z2416" s="4"/>
      <c r="AA2416" s="4"/>
      <c r="AB2416" s="4"/>
      <c r="AC2416" s="4" t="s">
        <v>3352</v>
      </c>
      <c r="AD2416" s="4"/>
      <c r="AE2416" s="4"/>
      <c r="AF2416" s="4"/>
      <c r="AG2416" s="4"/>
      <c r="AH2416" s="4"/>
      <c r="AI2416" s="4"/>
      <c r="AJ2416" s="13" t="n">
        <v>1</v>
      </c>
      <c r="AK2416" s="4"/>
      <c r="AL2416" s="4"/>
      <c r="AM2416" s="4"/>
    </row>
    <row r="2417" customFormat="false" ht="23.85" hidden="false" customHeight="false" outlineLevel="0" collapsed="false">
      <c r="A2417" s="4" t="s">
        <v>3338</v>
      </c>
      <c r="B2417" s="4" t="s">
        <v>3373</v>
      </c>
      <c r="C2417" s="4" t="s">
        <v>3373</v>
      </c>
      <c r="D2417" s="12" t="n">
        <v>2024</v>
      </c>
      <c r="E2417" s="4"/>
      <c r="F2417" s="4" t="s">
        <v>1990</v>
      </c>
      <c r="G2417" s="4" t="s">
        <v>170</v>
      </c>
      <c r="H2417" s="4" t="s">
        <v>171</v>
      </c>
      <c r="I2417" s="4" t="s">
        <v>172</v>
      </c>
      <c r="J2417" s="4" t="s">
        <v>1791</v>
      </c>
      <c r="K2417" s="4" t="s">
        <v>84</v>
      </c>
      <c r="L2417" s="4"/>
      <c r="M2417" s="4"/>
      <c r="N2417" s="4" t="s">
        <v>1994</v>
      </c>
      <c r="O2417" s="4" t="s">
        <v>65</v>
      </c>
      <c r="P2417" s="4" t="s">
        <v>64</v>
      </c>
      <c r="Q2417" s="4" t="s">
        <v>2044</v>
      </c>
      <c r="R2417" s="4"/>
      <c r="S2417" s="4"/>
      <c r="T2417" s="4"/>
      <c r="U2417" s="4"/>
      <c r="V2417" s="4"/>
      <c r="W2417" s="4"/>
      <c r="X2417" s="4"/>
      <c r="Y2417" s="4"/>
      <c r="Z2417" s="4"/>
      <c r="AA2417" s="4"/>
      <c r="AB2417" s="4"/>
      <c r="AC2417" s="4"/>
      <c r="AD2417" s="4"/>
      <c r="AE2417" s="4"/>
      <c r="AF2417" s="4"/>
      <c r="AG2417" s="4"/>
      <c r="AH2417" s="4"/>
      <c r="AI2417" s="4"/>
      <c r="AJ2417" s="13" t="n">
        <v>0</v>
      </c>
      <c r="AK2417" s="4"/>
      <c r="AL2417" s="4"/>
      <c r="AM2417" s="4"/>
    </row>
    <row r="2418" customFormat="false" ht="23.85" hidden="false" customHeight="false" outlineLevel="0" collapsed="false">
      <c r="A2418" s="4" t="s">
        <v>3338</v>
      </c>
      <c r="B2418" s="4" t="s">
        <v>3374</v>
      </c>
      <c r="C2418" s="4" t="s">
        <v>3374</v>
      </c>
      <c r="D2418" s="12" t="n">
        <v>2024</v>
      </c>
      <c r="E2418" s="4"/>
      <c r="F2418" s="4" t="s">
        <v>1990</v>
      </c>
      <c r="G2418" s="4" t="s">
        <v>170</v>
      </c>
      <c r="H2418" s="4" t="s">
        <v>171</v>
      </c>
      <c r="I2418" s="4" t="s">
        <v>172</v>
      </c>
      <c r="J2418" s="4" t="s">
        <v>1797</v>
      </c>
      <c r="K2418" s="4" t="s">
        <v>84</v>
      </c>
      <c r="L2418" s="4"/>
      <c r="M2418" s="4"/>
      <c r="N2418" s="4" t="s">
        <v>2001</v>
      </c>
      <c r="O2418" s="4" t="s">
        <v>66</v>
      </c>
      <c r="P2418" s="4" t="s">
        <v>67</v>
      </c>
      <c r="Q2418" s="4" t="s">
        <v>2003</v>
      </c>
      <c r="R2418" s="4"/>
      <c r="S2418" s="4"/>
      <c r="T2418" s="4"/>
      <c r="U2418" s="4"/>
      <c r="V2418" s="4"/>
      <c r="W2418" s="4" t="s">
        <v>3341</v>
      </c>
      <c r="X2418" s="4" t="s">
        <v>3342</v>
      </c>
      <c r="Y2418" s="4" t="s">
        <v>3362</v>
      </c>
      <c r="Z2418" s="4"/>
      <c r="AA2418" s="4"/>
      <c r="AB2418" s="4"/>
      <c r="AC2418" s="4" t="s">
        <v>3363</v>
      </c>
      <c r="AD2418" s="4"/>
      <c r="AE2418" s="4"/>
      <c r="AF2418" s="4"/>
      <c r="AG2418" s="4"/>
      <c r="AH2418" s="4"/>
      <c r="AI2418" s="4"/>
      <c r="AJ2418" s="13" t="n">
        <v>1</v>
      </c>
      <c r="AK2418" s="4"/>
      <c r="AL2418" s="4"/>
      <c r="AM2418" s="4"/>
    </row>
    <row r="2419" customFormat="false" ht="23.85" hidden="false" customHeight="false" outlineLevel="0" collapsed="false">
      <c r="A2419" s="4" t="s">
        <v>3338</v>
      </c>
      <c r="B2419" s="4" t="s">
        <v>3375</v>
      </c>
      <c r="C2419" s="4" t="s">
        <v>3375</v>
      </c>
      <c r="D2419" s="12" t="n">
        <v>2024</v>
      </c>
      <c r="E2419" s="4"/>
      <c r="F2419" s="4" t="s">
        <v>1990</v>
      </c>
      <c r="G2419" s="4" t="s">
        <v>170</v>
      </c>
      <c r="H2419" s="4" t="s">
        <v>171</v>
      </c>
      <c r="I2419" s="4" t="s">
        <v>172</v>
      </c>
      <c r="J2419" s="4" t="s">
        <v>1798</v>
      </c>
      <c r="K2419" s="4" t="s">
        <v>84</v>
      </c>
      <c r="L2419" s="4"/>
      <c r="M2419" s="4"/>
      <c r="N2419" s="4" t="s">
        <v>2001</v>
      </c>
      <c r="O2419" s="4" t="s">
        <v>66</v>
      </c>
      <c r="P2419" s="4" t="s">
        <v>67</v>
      </c>
      <c r="Q2419" s="4" t="s">
        <v>2008</v>
      </c>
      <c r="R2419" s="4"/>
      <c r="S2419" s="4"/>
      <c r="T2419" s="4"/>
      <c r="U2419" s="4"/>
      <c r="V2419" s="4"/>
      <c r="W2419" s="4" t="s">
        <v>3341</v>
      </c>
      <c r="X2419" s="4" t="s">
        <v>3342</v>
      </c>
      <c r="Y2419" s="4" t="s">
        <v>3362</v>
      </c>
      <c r="Z2419" s="4"/>
      <c r="AA2419" s="4"/>
      <c r="AB2419" s="4"/>
      <c r="AC2419" s="4" t="s">
        <v>3363</v>
      </c>
      <c r="AD2419" s="4"/>
      <c r="AE2419" s="4"/>
      <c r="AF2419" s="4"/>
      <c r="AG2419" s="4"/>
      <c r="AH2419" s="4"/>
      <c r="AI2419" s="4"/>
      <c r="AJ2419" s="13" t="n">
        <v>1</v>
      </c>
      <c r="AK2419" s="4"/>
      <c r="AL2419" s="4"/>
      <c r="AM2419" s="4"/>
    </row>
    <row r="2420" customFormat="false" ht="23.85" hidden="false" customHeight="false" outlineLevel="0" collapsed="false">
      <c r="A2420" s="4" t="s">
        <v>3338</v>
      </c>
      <c r="B2420" s="4" t="s">
        <v>3376</v>
      </c>
      <c r="C2420" s="4" t="s">
        <v>3376</v>
      </c>
      <c r="D2420" s="12" t="n">
        <v>2024</v>
      </c>
      <c r="E2420" s="4"/>
      <c r="F2420" s="4" t="s">
        <v>3349</v>
      </c>
      <c r="G2420" s="4" t="s">
        <v>170</v>
      </c>
      <c r="H2420" s="4" t="s">
        <v>171</v>
      </c>
      <c r="I2420" s="4" t="s">
        <v>172</v>
      </c>
      <c r="J2420" s="4" t="s">
        <v>1806</v>
      </c>
      <c r="K2420" s="4" t="s">
        <v>109</v>
      </c>
      <c r="L2420" s="4"/>
      <c r="M2420" s="4"/>
      <c r="N2420" s="4" t="s">
        <v>1994</v>
      </c>
      <c r="O2420" s="4" t="s">
        <v>1995</v>
      </c>
      <c r="P2420" s="4" t="s">
        <v>65</v>
      </c>
      <c r="Q2420" s="4" t="s">
        <v>2070</v>
      </c>
      <c r="R2420" s="4"/>
      <c r="S2420" s="4"/>
      <c r="T2420" s="4"/>
      <c r="U2420" s="4"/>
      <c r="V2420" s="4"/>
      <c r="W2420" s="4" t="s">
        <v>3377</v>
      </c>
      <c r="X2420" s="4" t="s">
        <v>3378</v>
      </c>
      <c r="Y2420" s="4" t="s">
        <v>3349</v>
      </c>
      <c r="Z2420" s="4"/>
      <c r="AA2420" s="4"/>
      <c r="AB2420" s="4"/>
      <c r="AC2420" s="4" t="s">
        <v>3344</v>
      </c>
      <c r="AD2420" s="4"/>
      <c r="AE2420" s="4"/>
      <c r="AF2420" s="4"/>
      <c r="AG2420" s="4"/>
      <c r="AH2420" s="4"/>
      <c r="AI2420" s="4"/>
      <c r="AJ2420" s="13" t="n">
        <v>1</v>
      </c>
      <c r="AK2420" s="4"/>
      <c r="AL2420" s="4"/>
      <c r="AM2420" s="4"/>
    </row>
    <row r="2421" customFormat="false" ht="23.85" hidden="false" customHeight="false" outlineLevel="0" collapsed="false">
      <c r="A2421" s="4" t="s">
        <v>3338</v>
      </c>
      <c r="B2421" s="4" t="s">
        <v>3379</v>
      </c>
      <c r="C2421" s="4" t="s">
        <v>3379</v>
      </c>
      <c r="D2421" s="12" t="n">
        <v>2024</v>
      </c>
      <c r="E2421" s="4"/>
      <c r="F2421" s="4" t="s">
        <v>1990</v>
      </c>
      <c r="G2421" s="4" t="s">
        <v>170</v>
      </c>
      <c r="H2421" s="4" t="s">
        <v>171</v>
      </c>
      <c r="I2421" s="4" t="s">
        <v>172</v>
      </c>
      <c r="J2421" s="4" t="s">
        <v>1817</v>
      </c>
      <c r="K2421" s="4" t="s">
        <v>109</v>
      </c>
      <c r="L2421" s="4"/>
      <c r="M2421" s="4"/>
      <c r="N2421" s="4" t="s">
        <v>2001</v>
      </c>
      <c r="O2421" s="4" t="s">
        <v>2074</v>
      </c>
      <c r="P2421" s="4" t="s">
        <v>73</v>
      </c>
      <c r="Q2421" s="4" t="s">
        <v>2075</v>
      </c>
      <c r="R2421" s="4"/>
      <c r="S2421" s="4"/>
      <c r="T2421" s="4"/>
      <c r="U2421" s="4"/>
      <c r="V2421" s="4"/>
      <c r="W2421" s="4" t="s">
        <v>3380</v>
      </c>
      <c r="X2421" s="4" t="s">
        <v>3381</v>
      </c>
      <c r="Y2421" s="4" t="s">
        <v>3343</v>
      </c>
      <c r="Z2421" s="4"/>
      <c r="AA2421" s="4"/>
      <c r="AB2421" s="4"/>
      <c r="AC2421" s="4" t="s">
        <v>3344</v>
      </c>
      <c r="AD2421" s="4"/>
      <c r="AE2421" s="4"/>
      <c r="AF2421" s="4"/>
      <c r="AG2421" s="4"/>
      <c r="AH2421" s="4"/>
      <c r="AI2421" s="4"/>
      <c r="AJ2421" s="13" t="n">
        <v>1</v>
      </c>
      <c r="AK2421" s="4"/>
      <c r="AL2421" s="4"/>
      <c r="AM2421" s="4"/>
    </row>
    <row r="2422" customFormat="false" ht="23.85" hidden="false" customHeight="false" outlineLevel="0" collapsed="false">
      <c r="A2422" s="4" t="s">
        <v>3338</v>
      </c>
      <c r="B2422" s="4" t="s">
        <v>3382</v>
      </c>
      <c r="C2422" s="4" t="s">
        <v>3382</v>
      </c>
      <c r="D2422" s="12" t="n">
        <v>2024</v>
      </c>
      <c r="E2422" s="4"/>
      <c r="F2422" s="4" t="s">
        <v>1990</v>
      </c>
      <c r="G2422" s="4" t="s">
        <v>170</v>
      </c>
      <c r="H2422" s="4" t="s">
        <v>171</v>
      </c>
      <c r="I2422" s="4" t="s">
        <v>172</v>
      </c>
      <c r="J2422" s="4" t="s">
        <v>1819</v>
      </c>
      <c r="K2422" s="4" t="s">
        <v>109</v>
      </c>
      <c r="L2422" s="4"/>
      <c r="M2422" s="4"/>
      <c r="N2422" s="4" t="s">
        <v>2001</v>
      </c>
      <c r="O2422" s="4" t="s">
        <v>2002</v>
      </c>
      <c r="P2422" s="4" t="s">
        <v>72</v>
      </c>
      <c r="Q2422" s="4" t="s">
        <v>2079</v>
      </c>
      <c r="R2422" s="4"/>
      <c r="S2422" s="4"/>
      <c r="T2422" s="4"/>
      <c r="U2422" s="4"/>
      <c r="V2422" s="4"/>
      <c r="W2422" s="4" t="s">
        <v>3383</v>
      </c>
      <c r="X2422" s="4" t="s">
        <v>3384</v>
      </c>
      <c r="Y2422" s="4" t="s">
        <v>3343</v>
      </c>
      <c r="Z2422" s="4"/>
      <c r="AA2422" s="4"/>
      <c r="AB2422" s="4"/>
      <c r="AC2422" s="4" t="s">
        <v>3344</v>
      </c>
      <c r="AD2422" s="4"/>
      <c r="AE2422" s="4"/>
      <c r="AF2422" s="4"/>
      <c r="AG2422" s="4"/>
      <c r="AH2422" s="4"/>
      <c r="AI2422" s="4"/>
      <c r="AJ2422" s="13" t="n">
        <v>1</v>
      </c>
      <c r="AK2422" s="4"/>
      <c r="AL2422" s="4"/>
      <c r="AM2422" s="4"/>
    </row>
    <row r="2423" customFormat="false" ht="23.85" hidden="false" customHeight="false" outlineLevel="0" collapsed="false">
      <c r="A2423" s="4" t="s">
        <v>3338</v>
      </c>
      <c r="B2423" s="4" t="s">
        <v>3385</v>
      </c>
      <c r="C2423" s="4" t="s">
        <v>3385</v>
      </c>
      <c r="D2423" s="12" t="n">
        <v>2024</v>
      </c>
      <c r="E2423" s="4"/>
      <c r="F2423" s="4" t="s">
        <v>1990</v>
      </c>
      <c r="G2423" s="4" t="s">
        <v>170</v>
      </c>
      <c r="H2423" s="4" t="s">
        <v>171</v>
      </c>
      <c r="I2423" s="4" t="s">
        <v>172</v>
      </c>
      <c r="J2423" s="4" t="s">
        <v>1824</v>
      </c>
      <c r="K2423" s="4" t="s">
        <v>86</v>
      </c>
      <c r="L2423" s="4"/>
      <c r="M2423" s="4"/>
      <c r="N2423" s="4" t="s">
        <v>1994</v>
      </c>
      <c r="O2423" s="4" t="s">
        <v>65</v>
      </c>
      <c r="P2423" s="4" t="s">
        <v>64</v>
      </c>
      <c r="Q2423" s="4" t="s">
        <v>2019</v>
      </c>
      <c r="R2423" s="4"/>
      <c r="S2423" s="4"/>
      <c r="T2423" s="4"/>
      <c r="U2423" s="4"/>
      <c r="V2423" s="4"/>
      <c r="W2423" s="4" t="s">
        <v>3386</v>
      </c>
      <c r="X2423" s="4" t="s">
        <v>3387</v>
      </c>
      <c r="Y2423" s="4" t="s">
        <v>3388</v>
      </c>
      <c r="Z2423" s="4"/>
      <c r="AA2423" s="4"/>
      <c r="AB2423" s="4"/>
      <c r="AC2423" s="4" t="s">
        <v>3352</v>
      </c>
      <c r="AD2423" s="4"/>
      <c r="AE2423" s="4"/>
      <c r="AF2423" s="4"/>
      <c r="AG2423" s="4"/>
      <c r="AH2423" s="4"/>
      <c r="AI2423" s="4"/>
      <c r="AJ2423" s="13" t="n">
        <v>1</v>
      </c>
      <c r="AK2423" s="4"/>
      <c r="AL2423" s="4"/>
      <c r="AM2423" s="4"/>
    </row>
    <row r="2424" customFormat="false" ht="23.85" hidden="false" customHeight="false" outlineLevel="0" collapsed="false">
      <c r="A2424" s="4" t="s">
        <v>3338</v>
      </c>
      <c r="B2424" s="4" t="s">
        <v>3389</v>
      </c>
      <c r="C2424" s="4" t="s">
        <v>3389</v>
      </c>
      <c r="D2424" s="12" t="n">
        <v>2024</v>
      </c>
      <c r="E2424" s="4"/>
      <c r="F2424" s="4" t="s">
        <v>1990</v>
      </c>
      <c r="G2424" s="4" t="s">
        <v>170</v>
      </c>
      <c r="H2424" s="4" t="s">
        <v>171</v>
      </c>
      <c r="I2424" s="4" t="s">
        <v>172</v>
      </c>
      <c r="J2424" s="4" t="s">
        <v>1824</v>
      </c>
      <c r="K2424" s="4" t="s">
        <v>86</v>
      </c>
      <c r="L2424" s="4"/>
      <c r="M2424" s="4"/>
      <c r="N2424" s="4" t="s">
        <v>2001</v>
      </c>
      <c r="O2424" s="4" t="s">
        <v>66</v>
      </c>
      <c r="P2424" s="4" t="s">
        <v>66</v>
      </c>
      <c r="Q2424" s="4" t="s">
        <v>2019</v>
      </c>
      <c r="R2424" s="4"/>
      <c r="S2424" s="4"/>
      <c r="T2424" s="4"/>
      <c r="U2424" s="4"/>
      <c r="V2424" s="4"/>
      <c r="W2424" s="4"/>
      <c r="X2424" s="4"/>
      <c r="Y2424" s="4"/>
      <c r="Z2424" s="4"/>
      <c r="AA2424" s="4"/>
      <c r="AB2424" s="4"/>
      <c r="AC2424" s="4"/>
      <c r="AD2424" s="4"/>
      <c r="AE2424" s="4"/>
      <c r="AF2424" s="4"/>
      <c r="AG2424" s="4"/>
      <c r="AH2424" s="4"/>
      <c r="AI2424" s="4"/>
      <c r="AJ2424" s="13" t="n">
        <v>0</v>
      </c>
      <c r="AK2424" s="4"/>
      <c r="AL2424" s="4"/>
      <c r="AM2424" s="4"/>
    </row>
    <row r="2425" customFormat="false" ht="23.85" hidden="false" customHeight="false" outlineLevel="0" collapsed="false">
      <c r="A2425" s="4" t="s">
        <v>3338</v>
      </c>
      <c r="B2425" s="4" t="s">
        <v>3390</v>
      </c>
      <c r="C2425" s="4" t="s">
        <v>3390</v>
      </c>
      <c r="D2425" s="12" t="n">
        <v>2024</v>
      </c>
      <c r="E2425" s="4"/>
      <c r="F2425" s="4" t="s">
        <v>1990</v>
      </c>
      <c r="G2425" s="4" t="s">
        <v>170</v>
      </c>
      <c r="H2425" s="4" t="s">
        <v>171</v>
      </c>
      <c r="I2425" s="4" t="s">
        <v>172</v>
      </c>
      <c r="J2425" s="4" t="s">
        <v>1824</v>
      </c>
      <c r="K2425" s="4" t="s">
        <v>86</v>
      </c>
      <c r="L2425" s="4"/>
      <c r="M2425" s="4"/>
      <c r="N2425" s="4" t="s">
        <v>1994</v>
      </c>
      <c r="O2425" s="4" t="s">
        <v>1995</v>
      </c>
      <c r="P2425" s="4" t="s">
        <v>66</v>
      </c>
      <c r="Q2425" s="4" t="s">
        <v>2019</v>
      </c>
      <c r="R2425" s="4"/>
      <c r="S2425" s="4"/>
      <c r="T2425" s="4"/>
      <c r="U2425" s="4"/>
      <c r="V2425" s="4"/>
      <c r="W2425" s="4"/>
      <c r="X2425" s="4"/>
      <c r="Y2425" s="4"/>
      <c r="Z2425" s="4"/>
      <c r="AA2425" s="4"/>
      <c r="AB2425" s="4"/>
      <c r="AC2425" s="4"/>
      <c r="AD2425" s="4"/>
      <c r="AE2425" s="4"/>
      <c r="AF2425" s="4"/>
      <c r="AG2425" s="4"/>
      <c r="AH2425" s="4"/>
      <c r="AI2425" s="4"/>
      <c r="AJ2425" s="13" t="n">
        <v>0</v>
      </c>
      <c r="AK2425" s="4"/>
      <c r="AL2425" s="4"/>
      <c r="AM2425" s="4"/>
    </row>
    <row r="2426" customFormat="false" ht="23.85" hidden="false" customHeight="false" outlineLevel="0" collapsed="false">
      <c r="A2426" s="4" t="s">
        <v>3338</v>
      </c>
      <c r="B2426" s="4" t="s">
        <v>3391</v>
      </c>
      <c r="C2426" s="4" t="s">
        <v>3391</v>
      </c>
      <c r="D2426" s="12" t="n">
        <v>2024</v>
      </c>
      <c r="E2426" s="4"/>
      <c r="F2426" s="4" t="s">
        <v>1990</v>
      </c>
      <c r="G2426" s="4" t="s">
        <v>170</v>
      </c>
      <c r="H2426" s="4" t="s">
        <v>171</v>
      </c>
      <c r="I2426" s="4" t="s">
        <v>172</v>
      </c>
      <c r="J2426" s="4" t="s">
        <v>1826</v>
      </c>
      <c r="K2426" s="4" t="s">
        <v>86</v>
      </c>
      <c r="L2426" s="4"/>
      <c r="M2426" s="4"/>
      <c r="N2426" s="4" t="s">
        <v>1994</v>
      </c>
      <c r="O2426" s="4" t="s">
        <v>2029</v>
      </c>
      <c r="P2426" s="4" t="s">
        <v>69</v>
      </c>
      <c r="Q2426" s="4" t="s">
        <v>2030</v>
      </c>
      <c r="R2426" s="4"/>
      <c r="S2426" s="4"/>
      <c r="T2426" s="4"/>
      <c r="U2426" s="4"/>
      <c r="V2426" s="4"/>
      <c r="W2426" s="4"/>
      <c r="X2426" s="4"/>
      <c r="Y2426" s="4"/>
      <c r="Z2426" s="4"/>
      <c r="AA2426" s="4"/>
      <c r="AB2426" s="4"/>
      <c r="AC2426" s="4"/>
      <c r="AD2426" s="4"/>
      <c r="AE2426" s="4"/>
      <c r="AF2426" s="4"/>
      <c r="AG2426" s="4"/>
      <c r="AH2426" s="4"/>
      <c r="AI2426" s="4"/>
      <c r="AJ2426" s="13" t="n">
        <v>0</v>
      </c>
      <c r="AK2426" s="4"/>
      <c r="AL2426" s="4"/>
      <c r="AM2426" s="4"/>
    </row>
    <row r="2427" customFormat="false" ht="23.85" hidden="false" customHeight="false" outlineLevel="0" collapsed="false">
      <c r="A2427" s="4" t="s">
        <v>3338</v>
      </c>
      <c r="B2427" s="4" t="s">
        <v>3392</v>
      </c>
      <c r="C2427" s="4" t="s">
        <v>3392</v>
      </c>
      <c r="D2427" s="12" t="n">
        <v>2024</v>
      </c>
      <c r="E2427" s="4"/>
      <c r="F2427" s="4" t="s">
        <v>1990</v>
      </c>
      <c r="G2427" s="4" t="s">
        <v>170</v>
      </c>
      <c r="H2427" s="4" t="s">
        <v>171</v>
      </c>
      <c r="I2427" s="4" t="s">
        <v>172</v>
      </c>
      <c r="J2427" s="4" t="s">
        <v>1827</v>
      </c>
      <c r="K2427" s="4" t="s">
        <v>86</v>
      </c>
      <c r="L2427" s="4"/>
      <c r="M2427" s="4"/>
      <c r="N2427" s="4" t="s">
        <v>2001</v>
      </c>
      <c r="O2427" s="4" t="s">
        <v>2091</v>
      </c>
      <c r="P2427" s="4" t="s">
        <v>69</v>
      </c>
      <c r="Q2427" s="4" t="s">
        <v>2030</v>
      </c>
      <c r="R2427" s="4"/>
      <c r="S2427" s="4"/>
      <c r="T2427" s="4"/>
      <c r="U2427" s="4"/>
      <c r="V2427" s="4"/>
      <c r="W2427" s="4"/>
      <c r="X2427" s="4"/>
      <c r="Y2427" s="4"/>
      <c r="Z2427" s="4"/>
      <c r="AA2427" s="4"/>
      <c r="AB2427" s="4"/>
      <c r="AC2427" s="4"/>
      <c r="AD2427" s="4"/>
      <c r="AE2427" s="4"/>
      <c r="AF2427" s="4"/>
      <c r="AG2427" s="4"/>
      <c r="AH2427" s="4"/>
      <c r="AI2427" s="4"/>
      <c r="AJ2427" s="13" t="n">
        <v>0</v>
      </c>
      <c r="AK2427" s="4"/>
      <c r="AL2427" s="4"/>
      <c r="AM2427" s="4"/>
    </row>
    <row r="2428" customFormat="false" ht="23.85" hidden="false" customHeight="false" outlineLevel="0" collapsed="false">
      <c r="A2428" s="4" t="s">
        <v>3338</v>
      </c>
      <c r="B2428" s="4" t="s">
        <v>3393</v>
      </c>
      <c r="C2428" s="4" t="s">
        <v>3393</v>
      </c>
      <c r="D2428" s="12" t="n">
        <v>2024</v>
      </c>
      <c r="E2428" s="4"/>
      <c r="F2428" s="4" t="s">
        <v>1990</v>
      </c>
      <c r="G2428" s="4" t="s">
        <v>170</v>
      </c>
      <c r="H2428" s="4" t="s">
        <v>171</v>
      </c>
      <c r="I2428" s="4" t="s">
        <v>172</v>
      </c>
      <c r="J2428" s="4" t="s">
        <v>1828</v>
      </c>
      <c r="K2428" s="4" t="s">
        <v>86</v>
      </c>
      <c r="L2428" s="4"/>
      <c r="M2428" s="4"/>
      <c r="N2428" s="4" t="s">
        <v>2001</v>
      </c>
      <c r="O2428" s="4" t="s">
        <v>2034</v>
      </c>
      <c r="P2428" s="4" t="s">
        <v>74</v>
      </c>
      <c r="Q2428" s="4" t="s">
        <v>2035</v>
      </c>
      <c r="R2428" s="4"/>
      <c r="S2428" s="4"/>
      <c r="T2428" s="4"/>
      <c r="U2428" s="4"/>
      <c r="V2428" s="4"/>
      <c r="W2428" s="4"/>
      <c r="X2428" s="4"/>
      <c r="Y2428" s="4"/>
      <c r="Z2428" s="4"/>
      <c r="AA2428" s="4"/>
      <c r="AB2428" s="4"/>
      <c r="AC2428" s="4"/>
      <c r="AD2428" s="4"/>
      <c r="AE2428" s="4"/>
      <c r="AF2428" s="4"/>
      <c r="AG2428" s="4"/>
      <c r="AH2428" s="4"/>
      <c r="AI2428" s="4"/>
      <c r="AJ2428" s="13" t="n">
        <v>0</v>
      </c>
      <c r="AK2428" s="4"/>
      <c r="AL2428" s="4"/>
      <c r="AM2428" s="4"/>
    </row>
    <row r="2429" customFormat="false" ht="23.85" hidden="false" customHeight="false" outlineLevel="0" collapsed="false">
      <c r="A2429" s="4" t="s">
        <v>3338</v>
      </c>
      <c r="B2429" s="4" t="s">
        <v>3394</v>
      </c>
      <c r="C2429" s="4" t="s">
        <v>3394</v>
      </c>
      <c r="D2429" s="12" t="n">
        <v>2024</v>
      </c>
      <c r="E2429" s="4"/>
      <c r="F2429" s="4" t="s">
        <v>1990</v>
      </c>
      <c r="G2429" s="4" t="s">
        <v>170</v>
      </c>
      <c r="H2429" s="4" t="s">
        <v>171</v>
      </c>
      <c r="I2429" s="4" t="s">
        <v>172</v>
      </c>
      <c r="J2429" s="4" t="s">
        <v>1829</v>
      </c>
      <c r="K2429" s="4" t="s">
        <v>86</v>
      </c>
      <c r="L2429" s="4"/>
      <c r="M2429" s="4"/>
      <c r="N2429" s="4" t="s">
        <v>2001</v>
      </c>
      <c r="O2429" s="4" t="s">
        <v>2002</v>
      </c>
      <c r="P2429" s="4" t="s">
        <v>67</v>
      </c>
      <c r="Q2429" s="4" t="s">
        <v>2097</v>
      </c>
      <c r="R2429" s="4"/>
      <c r="S2429" s="4"/>
      <c r="T2429" s="4"/>
      <c r="U2429" s="4"/>
      <c r="V2429" s="4"/>
      <c r="W2429" s="4" t="s">
        <v>3395</v>
      </c>
      <c r="X2429" s="4" t="s">
        <v>3396</v>
      </c>
      <c r="Y2429" s="4" t="s">
        <v>3397</v>
      </c>
      <c r="Z2429" s="4"/>
      <c r="AA2429" s="4"/>
      <c r="AB2429" s="4"/>
      <c r="AC2429" s="4" t="s">
        <v>3352</v>
      </c>
      <c r="AD2429" s="4"/>
      <c r="AE2429" s="4"/>
      <c r="AF2429" s="4"/>
      <c r="AG2429" s="4"/>
      <c r="AH2429" s="4"/>
      <c r="AI2429" s="4"/>
      <c r="AJ2429" s="13" t="n">
        <v>1</v>
      </c>
      <c r="AK2429" s="4"/>
      <c r="AL2429" s="4"/>
      <c r="AM2429" s="4"/>
    </row>
    <row r="2430" customFormat="false" ht="23.85" hidden="false" customHeight="false" outlineLevel="0" collapsed="false">
      <c r="A2430" s="4" t="s">
        <v>3338</v>
      </c>
      <c r="B2430" s="4" t="s">
        <v>3398</v>
      </c>
      <c r="C2430" s="4" t="s">
        <v>3398</v>
      </c>
      <c r="D2430" s="12" t="n">
        <v>2024</v>
      </c>
      <c r="E2430" s="4"/>
      <c r="F2430" s="4" t="s">
        <v>1990</v>
      </c>
      <c r="G2430" s="4" t="s">
        <v>170</v>
      </c>
      <c r="H2430" s="4" t="s">
        <v>171</v>
      </c>
      <c r="I2430" s="4" t="s">
        <v>172</v>
      </c>
      <c r="J2430" s="4" t="s">
        <v>1840</v>
      </c>
      <c r="K2430" s="4" t="s">
        <v>88</v>
      </c>
      <c r="L2430" s="4"/>
      <c r="M2430" s="4"/>
      <c r="N2430" s="4" t="s">
        <v>1994</v>
      </c>
      <c r="O2430" s="4" t="s">
        <v>65</v>
      </c>
      <c r="P2430" s="4" t="s">
        <v>64</v>
      </c>
      <c r="Q2430" s="4" t="s">
        <v>2044</v>
      </c>
      <c r="R2430" s="4"/>
      <c r="S2430" s="4"/>
      <c r="T2430" s="4"/>
      <c r="U2430" s="4"/>
      <c r="V2430" s="4"/>
      <c r="W2430" s="4"/>
      <c r="X2430" s="4"/>
      <c r="Y2430" s="4"/>
      <c r="Z2430" s="4"/>
      <c r="AA2430" s="4"/>
      <c r="AB2430" s="4"/>
      <c r="AC2430" s="4"/>
      <c r="AD2430" s="4"/>
      <c r="AE2430" s="4"/>
      <c r="AF2430" s="4"/>
      <c r="AG2430" s="4"/>
      <c r="AH2430" s="4"/>
      <c r="AI2430" s="4"/>
      <c r="AJ2430" s="13" t="n">
        <v>0</v>
      </c>
      <c r="AK2430" s="4"/>
      <c r="AL2430" s="4"/>
      <c r="AM2430" s="4"/>
    </row>
    <row r="2431" customFormat="false" ht="23.85" hidden="false" customHeight="false" outlineLevel="0" collapsed="false">
      <c r="A2431" s="4" t="s">
        <v>3338</v>
      </c>
      <c r="B2431" s="4" t="s">
        <v>3399</v>
      </c>
      <c r="C2431" s="4" t="s">
        <v>3399</v>
      </c>
      <c r="D2431" s="12" t="n">
        <v>2024</v>
      </c>
      <c r="E2431" s="4"/>
      <c r="F2431" s="4" t="s">
        <v>1990</v>
      </c>
      <c r="G2431" s="4" t="s">
        <v>170</v>
      </c>
      <c r="H2431" s="4" t="s">
        <v>171</v>
      </c>
      <c r="I2431" s="4" t="s">
        <v>172</v>
      </c>
      <c r="J2431" s="4" t="s">
        <v>1846</v>
      </c>
      <c r="K2431" s="4" t="s">
        <v>88</v>
      </c>
      <c r="L2431" s="4"/>
      <c r="M2431" s="4"/>
      <c r="N2431" s="4" t="s">
        <v>2001</v>
      </c>
      <c r="O2431" s="4" t="s">
        <v>66</v>
      </c>
      <c r="P2431" s="4" t="s">
        <v>67</v>
      </c>
      <c r="Q2431" s="4" t="s">
        <v>2003</v>
      </c>
      <c r="R2431" s="4"/>
      <c r="S2431" s="4"/>
      <c r="T2431" s="4"/>
      <c r="U2431" s="4"/>
      <c r="V2431" s="4"/>
      <c r="W2431" s="4" t="s">
        <v>3341</v>
      </c>
      <c r="X2431" s="4" t="s">
        <v>3342</v>
      </c>
      <c r="Y2431" s="4" t="s">
        <v>3362</v>
      </c>
      <c r="Z2431" s="4"/>
      <c r="AA2431" s="4"/>
      <c r="AB2431" s="4"/>
      <c r="AC2431" s="4" t="s">
        <v>3363</v>
      </c>
      <c r="AD2431" s="4"/>
      <c r="AE2431" s="4"/>
      <c r="AF2431" s="4"/>
      <c r="AG2431" s="4"/>
      <c r="AH2431" s="4"/>
      <c r="AI2431" s="4"/>
      <c r="AJ2431" s="13" t="n">
        <v>1</v>
      </c>
      <c r="AK2431" s="4"/>
      <c r="AL2431" s="4"/>
      <c r="AM2431" s="4"/>
    </row>
    <row r="2432" customFormat="false" ht="23.85" hidden="false" customHeight="false" outlineLevel="0" collapsed="false">
      <c r="A2432" s="4" t="s">
        <v>3338</v>
      </c>
      <c r="B2432" s="4" t="s">
        <v>3400</v>
      </c>
      <c r="C2432" s="4" t="s">
        <v>3400</v>
      </c>
      <c r="D2432" s="12" t="n">
        <v>2024</v>
      </c>
      <c r="E2432" s="4"/>
      <c r="F2432" s="4" t="s">
        <v>1990</v>
      </c>
      <c r="G2432" s="4" t="s">
        <v>170</v>
      </c>
      <c r="H2432" s="4" t="s">
        <v>171</v>
      </c>
      <c r="I2432" s="4" t="s">
        <v>172</v>
      </c>
      <c r="J2432" s="4" t="s">
        <v>1857</v>
      </c>
      <c r="K2432" s="4" t="s">
        <v>95</v>
      </c>
      <c r="L2432" s="4"/>
      <c r="M2432" s="4"/>
      <c r="N2432" s="4" t="s">
        <v>1994</v>
      </c>
      <c r="O2432" s="4" t="s">
        <v>2029</v>
      </c>
      <c r="P2432" s="4" t="s">
        <v>69</v>
      </c>
      <c r="Q2432" s="4" t="s">
        <v>2030</v>
      </c>
      <c r="R2432" s="4"/>
      <c r="S2432" s="4"/>
      <c r="T2432" s="4"/>
      <c r="U2432" s="4"/>
      <c r="V2432" s="4"/>
      <c r="W2432" s="4"/>
      <c r="X2432" s="4"/>
      <c r="Y2432" s="4"/>
      <c r="Z2432" s="4"/>
      <c r="AA2432" s="4"/>
      <c r="AB2432" s="4"/>
      <c r="AC2432" s="4"/>
      <c r="AD2432" s="4"/>
      <c r="AE2432" s="4"/>
      <c r="AF2432" s="4"/>
      <c r="AG2432" s="4"/>
      <c r="AH2432" s="4"/>
      <c r="AI2432" s="4"/>
      <c r="AJ2432" s="13" t="n">
        <v>0</v>
      </c>
      <c r="AK2432" s="4"/>
      <c r="AL2432" s="4"/>
      <c r="AM2432" s="4"/>
    </row>
    <row r="2433" customFormat="false" ht="23.85" hidden="false" customHeight="false" outlineLevel="0" collapsed="false">
      <c r="A2433" s="4" t="s">
        <v>3338</v>
      </c>
      <c r="B2433" s="4" t="s">
        <v>3401</v>
      </c>
      <c r="C2433" s="4" t="s">
        <v>3401</v>
      </c>
      <c r="D2433" s="12" t="n">
        <v>2024</v>
      </c>
      <c r="E2433" s="4"/>
      <c r="F2433" s="4" t="s">
        <v>1990</v>
      </c>
      <c r="G2433" s="4" t="s">
        <v>170</v>
      </c>
      <c r="H2433" s="4" t="s">
        <v>171</v>
      </c>
      <c r="I2433" s="4" t="s">
        <v>172</v>
      </c>
      <c r="J2433" s="4" t="s">
        <v>1859</v>
      </c>
      <c r="K2433" s="4" t="s">
        <v>95</v>
      </c>
      <c r="L2433" s="4"/>
      <c r="M2433" s="4"/>
      <c r="N2433" s="4" t="s">
        <v>2001</v>
      </c>
      <c r="O2433" s="4" t="s">
        <v>2034</v>
      </c>
      <c r="P2433" s="4" t="s">
        <v>74</v>
      </c>
      <c r="Q2433" s="4" t="s">
        <v>2035</v>
      </c>
      <c r="R2433" s="4"/>
      <c r="S2433" s="4"/>
      <c r="T2433" s="4"/>
      <c r="U2433" s="4"/>
      <c r="V2433" s="4"/>
      <c r="W2433" s="4"/>
      <c r="X2433" s="4"/>
      <c r="Y2433" s="4"/>
      <c r="Z2433" s="4"/>
      <c r="AA2433" s="4"/>
      <c r="AB2433" s="4"/>
      <c r="AC2433" s="4"/>
      <c r="AD2433" s="4"/>
      <c r="AE2433" s="4"/>
      <c r="AF2433" s="4"/>
      <c r="AG2433" s="4"/>
      <c r="AH2433" s="4"/>
      <c r="AI2433" s="4"/>
      <c r="AJ2433" s="13" t="n">
        <v>0</v>
      </c>
      <c r="AK2433" s="4"/>
      <c r="AL2433" s="4"/>
      <c r="AM2433" s="4"/>
    </row>
    <row r="2434" customFormat="false" ht="23.85" hidden="false" customHeight="false" outlineLevel="0" collapsed="false">
      <c r="A2434" s="4" t="s">
        <v>3338</v>
      </c>
      <c r="B2434" s="4" t="s">
        <v>3402</v>
      </c>
      <c r="C2434" s="4" t="s">
        <v>3402</v>
      </c>
      <c r="D2434" s="12" t="n">
        <v>2024</v>
      </c>
      <c r="E2434" s="4"/>
      <c r="F2434" s="4" t="s">
        <v>1990</v>
      </c>
      <c r="G2434" s="4" t="s">
        <v>170</v>
      </c>
      <c r="H2434" s="4" t="s">
        <v>171</v>
      </c>
      <c r="I2434" s="4" t="s">
        <v>172</v>
      </c>
      <c r="J2434" s="4" t="s">
        <v>1861</v>
      </c>
      <c r="K2434" s="4" t="s">
        <v>95</v>
      </c>
      <c r="L2434" s="4"/>
      <c r="M2434" s="4"/>
      <c r="N2434" s="4" t="s">
        <v>2001</v>
      </c>
      <c r="O2434" s="4" t="s">
        <v>2002</v>
      </c>
      <c r="P2434" s="4" t="s">
        <v>67</v>
      </c>
      <c r="Q2434" s="4" t="s">
        <v>2003</v>
      </c>
      <c r="R2434" s="4"/>
      <c r="S2434" s="4"/>
      <c r="T2434" s="4"/>
      <c r="U2434" s="4"/>
      <c r="V2434" s="4"/>
      <c r="W2434" s="4" t="s">
        <v>3341</v>
      </c>
      <c r="X2434" s="4" t="s">
        <v>3342</v>
      </c>
      <c r="Y2434" s="4" t="inlineStr">
        <is>
          <t>COMB_COQUE</t>
        </is>
      </c>
      <c r="Z2434" s="4"/>
      <c r="AA2434" s="4"/>
      <c r="AB2434" s="4"/>
      <c r="AC2434" s="4" t="s">
        <v>3352</v>
      </c>
      <c r="AD2434" s="4"/>
      <c r="AE2434" s="4"/>
      <c r="AF2434" s="4"/>
      <c r="AG2434" s="4"/>
      <c r="AH2434" s="4"/>
      <c r="AI2434" s="4"/>
      <c r="AJ2434" s="13" t="n">
        <v>1</v>
      </c>
      <c r="AK2434" s="4"/>
      <c r="AL2434" s="4"/>
      <c r="AM2434" s="4"/>
    </row>
    <row r="2435" customFormat="false" ht="23.85" hidden="false" customHeight="false" outlineLevel="0" collapsed="false">
      <c r="A2435" s="4" t="s">
        <v>3338</v>
      </c>
      <c r="B2435" s="4" t="s">
        <v>3403</v>
      </c>
      <c r="C2435" s="4" t="s">
        <v>3403</v>
      </c>
      <c r="D2435" s="12" t="n">
        <v>2024</v>
      </c>
      <c r="E2435" s="4"/>
      <c r="F2435" s="4" t="s">
        <v>1990</v>
      </c>
      <c r="G2435" s="4" t="s">
        <v>170</v>
      </c>
      <c r="H2435" s="4" t="s">
        <v>171</v>
      </c>
      <c r="I2435" s="4" t="s">
        <v>172</v>
      </c>
      <c r="J2435" s="4" t="s">
        <v>1867</v>
      </c>
      <c r="K2435" s="4" t="s">
        <v>95</v>
      </c>
      <c r="L2435" s="4"/>
      <c r="M2435" s="4"/>
      <c r="N2435" s="4" t="s">
        <v>2001</v>
      </c>
      <c r="O2435" s="4" t="s">
        <v>2002</v>
      </c>
      <c r="P2435" s="4" t="s">
        <v>68</v>
      </c>
      <c r="Q2435" s="4" t="s">
        <v>2111</v>
      </c>
      <c r="R2435" s="4"/>
      <c r="S2435" s="4"/>
      <c r="T2435" s="4"/>
      <c r="U2435" s="4"/>
      <c r="V2435" s="4"/>
      <c r="W2435" s="4" t="s">
        <v>3404</v>
      </c>
      <c r="X2435" s="4" t="s">
        <v>3405</v>
      </c>
      <c r="Y2435" s="4" t="inlineStr">
        <is>
          <t>COMB_COQUE</t>
        </is>
      </c>
      <c r="Z2435" s="4"/>
      <c r="AA2435" s="4"/>
      <c r="AB2435" s="4"/>
      <c r="AC2435" s="4" t="s">
        <v>3352</v>
      </c>
      <c r="AD2435" s="4"/>
      <c r="AE2435" s="4"/>
      <c r="AF2435" s="4"/>
      <c r="AG2435" s="4"/>
      <c r="AH2435" s="4"/>
      <c r="AI2435" s="4"/>
      <c r="AJ2435" s="13" t="n">
        <v>1</v>
      </c>
      <c r="AK2435" s="4"/>
      <c r="AL2435" s="4"/>
      <c r="AM2435" s="4"/>
    </row>
    <row r="2436" customFormat="false" ht="23.85" hidden="false" customHeight="false" outlineLevel="0" collapsed="false">
      <c r="A2436" s="4" t="s">
        <v>3338</v>
      </c>
      <c r="B2436" s="4" t="s">
        <v>3407</v>
      </c>
      <c r="C2436" s="4" t="s">
        <v>3407</v>
      </c>
      <c r="D2436" s="12" t="n">
        <v>2024</v>
      </c>
      <c r="E2436" s="4"/>
      <c r="F2436" s="4" t="s">
        <v>1990</v>
      </c>
      <c r="G2436" s="4" t="s">
        <v>170</v>
      </c>
      <c r="H2436" s="4" t="s">
        <v>171</v>
      </c>
      <c r="I2436" s="4" t="s">
        <v>172</v>
      </c>
      <c r="J2436" s="4" t="s">
        <v>1872</v>
      </c>
      <c r="K2436" s="4" t="s">
        <v>97</v>
      </c>
      <c r="L2436" s="4"/>
      <c r="M2436" s="4"/>
      <c r="N2436" s="4" t="s">
        <v>1994</v>
      </c>
      <c r="O2436" s="4" t="s">
        <v>2029</v>
      </c>
      <c r="P2436" s="4" t="s">
        <v>69</v>
      </c>
      <c r="Q2436" s="4" t="s">
        <v>2030</v>
      </c>
      <c r="R2436" s="4"/>
      <c r="S2436" s="4"/>
      <c r="T2436" s="4"/>
      <c r="U2436" s="4"/>
      <c r="V2436" s="4"/>
      <c r="W2436" s="4"/>
      <c r="X2436" s="4"/>
      <c r="Y2436" s="4"/>
      <c r="Z2436" s="4"/>
      <c r="AA2436" s="4"/>
      <c r="AB2436" s="4"/>
      <c r="AC2436" s="4"/>
      <c r="AD2436" s="4"/>
      <c r="AE2436" s="4"/>
      <c r="AF2436" s="4"/>
      <c r="AG2436" s="4"/>
      <c r="AH2436" s="4"/>
      <c r="AI2436" s="4"/>
      <c r="AJ2436" s="13" t="n">
        <v>0</v>
      </c>
      <c r="AK2436" s="4"/>
      <c r="AL2436" s="4"/>
      <c r="AM2436" s="4"/>
    </row>
    <row r="2437" customFormat="false" ht="23.85" hidden="false" customHeight="false" outlineLevel="0" collapsed="false">
      <c r="A2437" s="4" t="s">
        <v>3338</v>
      </c>
      <c r="B2437" s="4" t="s">
        <v>3408</v>
      </c>
      <c r="C2437" s="4" t="s">
        <v>3408</v>
      </c>
      <c r="D2437" s="12" t="n">
        <v>2024</v>
      </c>
      <c r="E2437" s="4"/>
      <c r="F2437" s="4" t="s">
        <v>1990</v>
      </c>
      <c r="G2437" s="4" t="s">
        <v>170</v>
      </c>
      <c r="H2437" s="4" t="s">
        <v>171</v>
      </c>
      <c r="I2437" s="4" t="s">
        <v>172</v>
      </c>
      <c r="J2437" s="4" t="s">
        <v>1873</v>
      </c>
      <c r="K2437" s="4" t="s">
        <v>97</v>
      </c>
      <c r="L2437" s="4"/>
      <c r="M2437" s="4"/>
      <c r="N2437" s="4" t="s">
        <v>2001</v>
      </c>
      <c r="O2437" s="4" t="s">
        <v>2091</v>
      </c>
      <c r="P2437" s="4" t="s">
        <v>69</v>
      </c>
      <c r="Q2437" s="4" t="s">
        <v>2030</v>
      </c>
      <c r="R2437" s="4"/>
      <c r="S2437" s="4"/>
      <c r="T2437" s="4"/>
      <c r="U2437" s="4"/>
      <c r="V2437" s="4"/>
      <c r="W2437" s="4"/>
      <c r="X2437" s="4"/>
      <c r="Y2437" s="4"/>
      <c r="Z2437" s="4"/>
      <c r="AA2437" s="4"/>
      <c r="AB2437" s="4"/>
      <c r="AC2437" s="4"/>
      <c r="AD2437" s="4"/>
      <c r="AE2437" s="4"/>
      <c r="AF2437" s="4"/>
      <c r="AG2437" s="4"/>
      <c r="AH2437" s="4"/>
      <c r="AI2437" s="4"/>
      <c r="AJ2437" s="13" t="n">
        <v>0</v>
      </c>
      <c r="AK2437" s="4"/>
      <c r="AL2437" s="4"/>
      <c r="AM2437" s="4"/>
    </row>
    <row r="2438" customFormat="false" ht="23.85" hidden="false" customHeight="false" outlineLevel="0" collapsed="false">
      <c r="A2438" s="4" t="s">
        <v>3338</v>
      </c>
      <c r="B2438" s="4" t="s">
        <v>3409</v>
      </c>
      <c r="C2438" s="4" t="s">
        <v>3409</v>
      </c>
      <c r="D2438" s="12" t="n">
        <v>2024</v>
      </c>
      <c r="E2438" s="4"/>
      <c r="F2438" s="4" t="s">
        <v>1990</v>
      </c>
      <c r="G2438" s="4" t="s">
        <v>170</v>
      </c>
      <c r="H2438" s="4" t="s">
        <v>171</v>
      </c>
      <c r="I2438" s="4" t="s">
        <v>172</v>
      </c>
      <c r="J2438" s="4" t="s">
        <v>1874</v>
      </c>
      <c r="K2438" s="4" t="s">
        <v>97</v>
      </c>
      <c r="L2438" s="4"/>
      <c r="M2438" s="4"/>
      <c r="N2438" s="4" t="s">
        <v>2001</v>
      </c>
      <c r="O2438" s="4" t="s">
        <v>2034</v>
      </c>
      <c r="P2438" s="4" t="s">
        <v>74</v>
      </c>
      <c r="Q2438" s="4" t="s">
        <v>2035</v>
      </c>
      <c r="R2438" s="4"/>
      <c r="S2438" s="4"/>
      <c r="T2438" s="4"/>
      <c r="U2438" s="4"/>
      <c r="V2438" s="4"/>
      <c r="W2438" s="4"/>
      <c r="X2438" s="4"/>
      <c r="Y2438" s="4"/>
      <c r="Z2438" s="4"/>
      <c r="AA2438" s="4"/>
      <c r="AB2438" s="4"/>
      <c r="AC2438" s="4"/>
      <c r="AD2438" s="4"/>
      <c r="AE2438" s="4"/>
      <c r="AF2438" s="4"/>
      <c r="AG2438" s="4"/>
      <c r="AH2438" s="4"/>
      <c r="AI2438" s="4"/>
      <c r="AJ2438" s="13" t="n">
        <v>0</v>
      </c>
      <c r="AK2438" s="4"/>
      <c r="AL2438" s="4"/>
      <c r="AM2438" s="4"/>
    </row>
    <row r="2439" customFormat="false" ht="23.85" hidden="false" customHeight="false" outlineLevel="0" collapsed="false">
      <c r="A2439" s="4" t="s">
        <v>3338</v>
      </c>
      <c r="B2439" s="4" t="s">
        <v>3410</v>
      </c>
      <c r="C2439" s="4" t="s">
        <v>3410</v>
      </c>
      <c r="D2439" s="12" t="n">
        <v>2024</v>
      </c>
      <c r="E2439" s="4"/>
      <c r="F2439" s="4" t="s">
        <v>1990</v>
      </c>
      <c r="G2439" s="4" t="s">
        <v>170</v>
      </c>
      <c r="H2439" s="4" t="s">
        <v>171</v>
      </c>
      <c r="I2439" s="4" t="s">
        <v>172</v>
      </c>
      <c r="J2439" s="4" t="s">
        <v>1876</v>
      </c>
      <c r="K2439" s="4" t="s">
        <v>97</v>
      </c>
      <c r="L2439" s="4"/>
      <c r="M2439" s="4"/>
      <c r="N2439" s="4" t="s">
        <v>2001</v>
      </c>
      <c r="O2439" s="4" t="s">
        <v>2002</v>
      </c>
      <c r="P2439" s="4" t="s">
        <v>67</v>
      </c>
      <c r="Q2439" s="4" t="s">
        <v>2003</v>
      </c>
      <c r="R2439" s="4"/>
      <c r="S2439" s="4"/>
      <c r="T2439" s="4"/>
      <c r="U2439" s="4"/>
      <c r="V2439" s="4"/>
      <c r="W2439" s="4" t="s">
        <v>3341</v>
      </c>
      <c r="X2439" s="4" t="s">
        <v>3342</v>
      </c>
      <c r="Y2439" s="4" t="inlineStr">
        <is>
          <t>COMB_DOIL</t>
        </is>
      </c>
      <c r="Z2439" s="4"/>
      <c r="AA2439" s="4"/>
      <c r="AB2439" s="4"/>
      <c r="AC2439" s="4" t="s">
        <v>3352</v>
      </c>
      <c r="AD2439" s="4"/>
      <c r="AE2439" s="4"/>
      <c r="AF2439" s="4"/>
      <c r="AG2439" s="4"/>
      <c r="AH2439" s="4"/>
      <c r="AI2439" s="4"/>
      <c r="AJ2439" s="13" t="n">
        <v>1</v>
      </c>
      <c r="AK2439" s="4"/>
      <c r="AL2439" s="4"/>
      <c r="AM2439" s="4"/>
    </row>
    <row r="2440" customFormat="false" ht="23.85" hidden="false" customHeight="false" outlineLevel="0" collapsed="false">
      <c r="A2440" s="4" t="s">
        <v>3338</v>
      </c>
      <c r="B2440" s="4" t="s">
        <v>3411</v>
      </c>
      <c r="C2440" s="4" t="s">
        <v>3411</v>
      </c>
      <c r="D2440" s="12" t="n">
        <v>2024</v>
      </c>
      <c r="E2440" s="4"/>
      <c r="F2440" s="4" t="s">
        <v>1990</v>
      </c>
      <c r="G2440" s="4" t="s">
        <v>170</v>
      </c>
      <c r="H2440" s="4" t="s">
        <v>171</v>
      </c>
      <c r="I2440" s="4" t="s">
        <v>172</v>
      </c>
      <c r="J2440" s="4" t="s">
        <v>1879</v>
      </c>
      <c r="K2440" s="4" t="s">
        <v>97</v>
      </c>
      <c r="L2440" s="4"/>
      <c r="M2440" s="4"/>
      <c r="N2440" s="4" t="s">
        <v>2001</v>
      </c>
      <c r="O2440" s="4" t="s">
        <v>2002</v>
      </c>
      <c r="P2440" s="4" t="s">
        <v>71</v>
      </c>
      <c r="Q2440" s="4" t="s">
        <v>2123</v>
      </c>
      <c r="R2440" s="4"/>
      <c r="S2440" s="4"/>
      <c r="T2440" s="4"/>
      <c r="U2440" s="4"/>
      <c r="V2440" s="4"/>
      <c r="W2440" s="4" t="s">
        <v>3412</v>
      </c>
      <c r="X2440" s="4" t="s">
        <v>3413</v>
      </c>
      <c r="Y2440" s="4" t="inlineStr">
        <is>
          <t>COMB_DOIL</t>
        </is>
      </c>
      <c r="Z2440" s="4"/>
      <c r="AA2440" s="4"/>
      <c r="AB2440" s="4"/>
      <c r="AC2440" s="4" t="s">
        <v>3352</v>
      </c>
      <c r="AD2440" s="4"/>
      <c r="AE2440" s="4"/>
      <c r="AF2440" s="4"/>
      <c r="AG2440" s="4"/>
      <c r="AH2440" s="4"/>
      <c r="AI2440" s="4"/>
      <c r="AJ2440" s="13" t="n">
        <v>1</v>
      </c>
      <c r="AK2440" s="4"/>
      <c r="AL2440" s="4"/>
      <c r="AM2440" s="4"/>
    </row>
    <row r="2441" customFormat="false" ht="23.85" hidden="false" customHeight="false" outlineLevel="0" collapsed="false">
      <c r="A2441" s="4" t="s">
        <v>3338</v>
      </c>
      <c r="B2441" s="4" t="s">
        <v>3414</v>
      </c>
      <c r="C2441" s="4" t="s">
        <v>3414</v>
      </c>
      <c r="D2441" s="12" t="n">
        <v>2024</v>
      </c>
      <c r="E2441" s="4"/>
      <c r="F2441" s="4" t="s">
        <v>1990</v>
      </c>
      <c r="G2441" s="4" t="s">
        <v>170</v>
      </c>
      <c r="H2441" s="4" t="s">
        <v>171</v>
      </c>
      <c r="I2441" s="4" t="s">
        <v>172</v>
      </c>
      <c r="J2441" s="4" t="s">
        <v>1882</v>
      </c>
      <c r="K2441" s="4" t="s">
        <v>97</v>
      </c>
      <c r="L2441" s="4"/>
      <c r="M2441" s="4"/>
      <c r="N2441" s="4" t="s">
        <v>2001</v>
      </c>
      <c r="O2441" s="4" t="s">
        <v>2002</v>
      </c>
      <c r="P2441" s="4" t="s">
        <v>68</v>
      </c>
      <c r="Q2441" s="4" t="s">
        <v>2111</v>
      </c>
      <c r="R2441" s="4"/>
      <c r="S2441" s="4"/>
      <c r="T2441" s="4"/>
      <c r="U2441" s="4"/>
      <c r="V2441" s="4"/>
      <c r="W2441" s="4" t="s">
        <v>3404</v>
      </c>
      <c r="X2441" s="4" t="s">
        <v>3405</v>
      </c>
      <c r="Y2441" s="4" t="inlineStr">
        <is>
          <t>COMB_DOIL</t>
        </is>
      </c>
      <c r="Z2441" s="4"/>
      <c r="AA2441" s="4"/>
      <c r="AB2441" s="4"/>
      <c r="AC2441" s="4" t="s">
        <v>3352</v>
      </c>
      <c r="AD2441" s="4"/>
      <c r="AE2441" s="4"/>
      <c r="AF2441" s="4"/>
      <c r="AG2441" s="4"/>
      <c r="AH2441" s="4"/>
      <c r="AI2441" s="4"/>
      <c r="AJ2441" s="13" t="n">
        <v>1</v>
      </c>
      <c r="AK2441" s="4"/>
      <c r="AL2441" s="4"/>
      <c r="AM2441" s="4"/>
    </row>
    <row r="2442" customFormat="false" ht="23.85" hidden="false" customHeight="false" outlineLevel="0" collapsed="false">
      <c r="A2442" s="4" t="s">
        <v>3338</v>
      </c>
      <c r="B2442" s="4" t="s">
        <v>3415</v>
      </c>
      <c r="C2442" s="4" t="s">
        <v>3415</v>
      </c>
      <c r="D2442" s="12" t="n">
        <v>2024</v>
      </c>
      <c r="E2442" s="4"/>
      <c r="F2442" s="4" t="s">
        <v>1990</v>
      </c>
      <c r="G2442" s="4" t="s">
        <v>170</v>
      </c>
      <c r="H2442" s="4" t="s">
        <v>171</v>
      </c>
      <c r="I2442" s="4" t="s">
        <v>172</v>
      </c>
      <c r="J2442" s="4" t="s">
        <v>1886</v>
      </c>
      <c r="K2442" s="4" t="s">
        <v>99</v>
      </c>
      <c r="L2442" s="4"/>
      <c r="M2442" s="4"/>
      <c r="N2442" s="4" t="s">
        <v>1994</v>
      </c>
      <c r="O2442" s="4" t="s">
        <v>2029</v>
      </c>
      <c r="P2442" s="4" t="s">
        <v>69</v>
      </c>
      <c r="Q2442" s="4" t="s">
        <v>2030</v>
      </c>
      <c r="R2442" s="4"/>
      <c r="S2442" s="4"/>
      <c r="T2442" s="4"/>
      <c r="U2442" s="4"/>
      <c r="V2442" s="4"/>
      <c r="W2442" s="4"/>
      <c r="X2442" s="4"/>
      <c r="Y2442" s="4"/>
      <c r="Z2442" s="4"/>
      <c r="AA2442" s="4"/>
      <c r="AB2442" s="4"/>
      <c r="AC2442" s="4"/>
      <c r="AD2442" s="4"/>
      <c r="AE2442" s="4"/>
      <c r="AF2442" s="4"/>
      <c r="AG2442" s="4"/>
      <c r="AH2442" s="4"/>
      <c r="AI2442" s="4"/>
      <c r="AJ2442" s="13" t="n">
        <v>0</v>
      </c>
      <c r="AK2442" s="4"/>
      <c r="AL2442" s="4"/>
      <c r="AM2442" s="4"/>
    </row>
    <row r="2443" customFormat="false" ht="23.85" hidden="false" customHeight="false" outlineLevel="0" collapsed="false">
      <c r="A2443" s="4" t="s">
        <v>3338</v>
      </c>
      <c r="B2443" s="4" t="s">
        <v>3416</v>
      </c>
      <c r="C2443" s="4" t="s">
        <v>3416</v>
      </c>
      <c r="D2443" s="12" t="n">
        <v>2024</v>
      </c>
      <c r="E2443" s="4"/>
      <c r="F2443" s="4" t="s">
        <v>1990</v>
      </c>
      <c r="G2443" s="4" t="s">
        <v>170</v>
      </c>
      <c r="H2443" s="4" t="s">
        <v>171</v>
      </c>
      <c r="I2443" s="4" t="s">
        <v>172</v>
      </c>
      <c r="J2443" s="4" t="s">
        <v>1887</v>
      </c>
      <c r="K2443" s="4" t="s">
        <v>99</v>
      </c>
      <c r="L2443" s="4"/>
      <c r="M2443" s="4"/>
      <c r="N2443" s="4" t="s">
        <v>2001</v>
      </c>
      <c r="O2443" s="4" t="s">
        <v>2091</v>
      </c>
      <c r="P2443" s="4" t="s">
        <v>69</v>
      </c>
      <c r="Q2443" s="4" t="s">
        <v>2030</v>
      </c>
      <c r="R2443" s="4"/>
      <c r="S2443" s="4"/>
      <c r="T2443" s="4"/>
      <c r="U2443" s="4"/>
      <c r="V2443" s="4"/>
      <c r="W2443" s="4"/>
      <c r="X2443" s="4"/>
      <c r="Y2443" s="4"/>
      <c r="Z2443" s="4"/>
      <c r="AA2443" s="4"/>
      <c r="AB2443" s="4"/>
      <c r="AC2443" s="4"/>
      <c r="AD2443" s="4"/>
      <c r="AE2443" s="4"/>
      <c r="AF2443" s="4"/>
      <c r="AG2443" s="4"/>
      <c r="AH2443" s="4"/>
      <c r="AI2443" s="4"/>
      <c r="AJ2443" s="13" t="n">
        <v>0</v>
      </c>
      <c r="AK2443" s="4"/>
      <c r="AL2443" s="4"/>
      <c r="AM2443" s="4"/>
    </row>
    <row r="2444" customFormat="false" ht="23.85" hidden="false" customHeight="false" outlineLevel="0" collapsed="false">
      <c r="A2444" s="4" t="s">
        <v>3338</v>
      </c>
      <c r="B2444" s="4" t="s">
        <v>3417</v>
      </c>
      <c r="C2444" s="4" t="s">
        <v>3417</v>
      </c>
      <c r="D2444" s="12" t="n">
        <v>2024</v>
      </c>
      <c r="E2444" s="4"/>
      <c r="F2444" s="4" t="s">
        <v>1990</v>
      </c>
      <c r="G2444" s="4" t="s">
        <v>170</v>
      </c>
      <c r="H2444" s="4" t="s">
        <v>171</v>
      </c>
      <c r="I2444" s="4" t="s">
        <v>172</v>
      </c>
      <c r="J2444" s="4" t="s">
        <v>1890</v>
      </c>
      <c r="K2444" s="4" t="s">
        <v>99</v>
      </c>
      <c r="L2444" s="4"/>
      <c r="M2444" s="4"/>
      <c r="N2444" s="4" t="s">
        <v>1994</v>
      </c>
      <c r="O2444" s="4" t="s">
        <v>1995</v>
      </c>
      <c r="P2444" s="4" t="s">
        <v>67</v>
      </c>
      <c r="Q2444" s="4" t="s">
        <v>2003</v>
      </c>
      <c r="R2444" s="4"/>
      <c r="S2444" s="4"/>
      <c r="T2444" s="4"/>
      <c r="U2444" s="4"/>
      <c r="V2444" s="4"/>
      <c r="W2444" s="4" t="s">
        <v>3341</v>
      </c>
      <c r="X2444" s="4" t="s">
        <v>3342</v>
      </c>
      <c r="Y2444" s="4" t="s">
        <v>3362</v>
      </c>
      <c r="Z2444" s="4"/>
      <c r="AA2444" s="4"/>
      <c r="AB2444" s="4"/>
      <c r="AC2444" s="4" t="s">
        <v>3363</v>
      </c>
      <c r="AD2444" s="4"/>
      <c r="AE2444" s="4"/>
      <c r="AF2444" s="4"/>
      <c r="AG2444" s="4"/>
      <c r="AH2444" s="4"/>
      <c r="AI2444" s="4"/>
      <c r="AJ2444" s="13" t="n">
        <v>1</v>
      </c>
      <c r="AK2444" s="4"/>
      <c r="AL2444" s="4"/>
      <c r="AM2444" s="4"/>
    </row>
    <row r="2445" customFormat="false" ht="23.85" hidden="false" customHeight="false" outlineLevel="0" collapsed="false">
      <c r="A2445" s="4" t="s">
        <v>3338</v>
      </c>
      <c r="B2445" s="4" t="s">
        <v>3418</v>
      </c>
      <c r="C2445" s="4" t="s">
        <v>3418</v>
      </c>
      <c r="D2445" s="12" t="n">
        <v>2024</v>
      </c>
      <c r="E2445" s="4"/>
      <c r="F2445" s="4" t="s">
        <v>1990</v>
      </c>
      <c r="G2445" s="4" t="s">
        <v>170</v>
      </c>
      <c r="H2445" s="4" t="s">
        <v>171</v>
      </c>
      <c r="I2445" s="4" t="s">
        <v>172</v>
      </c>
      <c r="J2445" s="4" t="s">
        <v>1891</v>
      </c>
      <c r="K2445" s="4" t="s">
        <v>99</v>
      </c>
      <c r="L2445" s="4"/>
      <c r="M2445" s="4"/>
      <c r="N2445" s="4" t="s">
        <v>1994</v>
      </c>
      <c r="O2445" s="4" t="s">
        <v>1995</v>
      </c>
      <c r="P2445" s="4" t="s">
        <v>67</v>
      </c>
      <c r="Q2445" s="4" t="s">
        <v>2008</v>
      </c>
      <c r="R2445" s="4"/>
      <c r="S2445" s="4"/>
      <c r="T2445" s="4"/>
      <c r="U2445" s="4"/>
      <c r="V2445" s="4"/>
      <c r="W2445" s="4" t="s">
        <v>3341</v>
      </c>
      <c r="X2445" s="4" t="s">
        <v>3342</v>
      </c>
      <c r="Y2445" s="4" t="s">
        <v>3362</v>
      </c>
      <c r="Z2445" s="4"/>
      <c r="AA2445" s="4"/>
      <c r="AB2445" s="4"/>
      <c r="AC2445" s="4" t="s">
        <v>3363</v>
      </c>
      <c r="AD2445" s="4"/>
      <c r="AE2445" s="4"/>
      <c r="AF2445" s="4"/>
      <c r="AG2445" s="4"/>
      <c r="AH2445" s="4"/>
      <c r="AI2445" s="4"/>
      <c r="AJ2445" s="13" t="n">
        <v>1</v>
      </c>
      <c r="AK2445" s="4"/>
      <c r="AL2445" s="4"/>
      <c r="AM2445" s="4"/>
    </row>
    <row r="2446" customFormat="false" ht="23.85" hidden="false" customHeight="false" outlineLevel="0" collapsed="false">
      <c r="A2446" s="4" t="s">
        <v>3338</v>
      </c>
      <c r="B2446" s="4" t="s">
        <v>3419</v>
      </c>
      <c r="C2446" s="4" t="s">
        <v>3419</v>
      </c>
      <c r="D2446" s="12" t="n">
        <v>2024</v>
      </c>
      <c r="E2446" s="4"/>
      <c r="F2446" s="4" t="s">
        <v>1990</v>
      </c>
      <c r="G2446" s="4" t="s">
        <v>170</v>
      </c>
      <c r="H2446" s="4" t="s">
        <v>171</v>
      </c>
      <c r="I2446" s="4" t="s">
        <v>172</v>
      </c>
      <c r="J2446" s="4" t="s">
        <v>1892</v>
      </c>
      <c r="K2446" s="4" t="s">
        <v>99</v>
      </c>
      <c r="L2446" s="4"/>
      <c r="M2446" s="4"/>
      <c r="N2446" s="4" t="s">
        <v>2001</v>
      </c>
      <c r="O2446" s="4" t="s">
        <v>2002</v>
      </c>
      <c r="P2446" s="4" t="s">
        <v>67</v>
      </c>
      <c r="Q2446" s="4" t="s">
        <v>2139</v>
      </c>
      <c r="R2446" s="4"/>
      <c r="S2446" s="4"/>
      <c r="T2446" s="4"/>
      <c r="U2446" s="4"/>
      <c r="V2446" s="4"/>
      <c r="W2446" s="4" t="s">
        <v>3420</v>
      </c>
      <c r="X2446" s="4" t="s">
        <v>3421</v>
      </c>
      <c r="Y2446" s="4" t="s">
        <v>3362</v>
      </c>
      <c r="Z2446" s="4"/>
      <c r="AA2446" s="4"/>
      <c r="AB2446" s="4"/>
      <c r="AC2446" s="4" t="s">
        <v>3363</v>
      </c>
      <c r="AD2446" s="4"/>
      <c r="AE2446" s="4"/>
      <c r="AF2446" s="4"/>
      <c r="AG2446" s="4"/>
      <c r="AH2446" s="4"/>
      <c r="AI2446" s="4"/>
      <c r="AJ2446" s="13" t="n">
        <v>1</v>
      </c>
      <c r="AK2446" s="4"/>
      <c r="AL2446" s="4"/>
      <c r="AM2446" s="4"/>
    </row>
    <row r="2447" customFormat="false" ht="23.85" hidden="false" customHeight="false" outlineLevel="0" collapsed="false">
      <c r="A2447" s="4" t="s">
        <v>3338</v>
      </c>
      <c r="B2447" s="4" t="s">
        <v>3422</v>
      </c>
      <c r="C2447" s="4" t="s">
        <v>3422</v>
      </c>
      <c r="D2447" s="12" t="n">
        <v>2024</v>
      </c>
      <c r="E2447" s="4"/>
      <c r="F2447" s="4" t="s">
        <v>1990</v>
      </c>
      <c r="G2447" s="4" t="s">
        <v>170</v>
      </c>
      <c r="H2447" s="4" t="s">
        <v>171</v>
      </c>
      <c r="I2447" s="4" t="s">
        <v>172</v>
      </c>
      <c r="J2447" s="4" t="s">
        <v>1894</v>
      </c>
      <c r="K2447" s="4" t="s">
        <v>99</v>
      </c>
      <c r="L2447" s="4"/>
      <c r="M2447" s="4"/>
      <c r="N2447" s="4" t="s">
        <v>2001</v>
      </c>
      <c r="O2447" s="4" t="s">
        <v>2002</v>
      </c>
      <c r="P2447" s="4" t="s">
        <v>71</v>
      </c>
      <c r="Q2447" s="4" t="s">
        <v>2123</v>
      </c>
      <c r="R2447" s="4"/>
      <c r="S2447" s="4"/>
      <c r="T2447" s="4"/>
      <c r="U2447" s="4"/>
      <c r="V2447" s="4"/>
      <c r="W2447" s="4" t="s">
        <v>3412</v>
      </c>
      <c r="X2447" s="4" t="s">
        <v>3413</v>
      </c>
      <c r="Y2447" s="4" t="s">
        <v>3362</v>
      </c>
      <c r="Z2447" s="4"/>
      <c r="AA2447" s="4"/>
      <c r="AB2447" s="4"/>
      <c r="AC2447" s="4" t="s">
        <v>3363</v>
      </c>
      <c r="AD2447" s="4"/>
      <c r="AE2447" s="4"/>
      <c r="AF2447" s="4"/>
      <c r="AG2447" s="4"/>
      <c r="AH2447" s="4"/>
      <c r="AI2447" s="4"/>
      <c r="AJ2447" s="13" t="n">
        <v>1</v>
      </c>
      <c r="AK2447" s="4"/>
      <c r="AL2447" s="4"/>
      <c r="AM2447" s="4"/>
    </row>
    <row r="2448" customFormat="false" ht="23.85" hidden="false" customHeight="false" outlineLevel="0" collapsed="false">
      <c r="A2448" s="4" t="s">
        <v>3338</v>
      </c>
      <c r="B2448" s="4" t="s">
        <v>3423</v>
      </c>
      <c r="C2448" s="4" t="s">
        <v>3423</v>
      </c>
      <c r="D2448" s="12" t="n">
        <v>2024</v>
      </c>
      <c r="E2448" s="4"/>
      <c r="F2448" s="4" t="s">
        <v>1990</v>
      </c>
      <c r="G2448" s="4" t="s">
        <v>170</v>
      </c>
      <c r="H2448" s="4" t="s">
        <v>171</v>
      </c>
      <c r="I2448" s="4" t="s">
        <v>172</v>
      </c>
      <c r="J2448" s="4" t="s">
        <v>1895</v>
      </c>
      <c r="K2448" s="4" t="s">
        <v>99</v>
      </c>
      <c r="L2448" s="4"/>
      <c r="M2448" s="4"/>
      <c r="N2448" s="4" t="s">
        <v>2001</v>
      </c>
      <c r="O2448" s="4" t="s">
        <v>2074</v>
      </c>
      <c r="P2448" s="4" t="s">
        <v>73</v>
      </c>
      <c r="Q2448" s="4" t="s">
        <v>2075</v>
      </c>
      <c r="R2448" s="4"/>
      <c r="S2448" s="4"/>
      <c r="T2448" s="4"/>
      <c r="U2448" s="4"/>
      <c r="V2448" s="4"/>
      <c r="W2448" s="4" t="s">
        <v>3380</v>
      </c>
      <c r="X2448" s="4" t="s">
        <v>3381</v>
      </c>
      <c r="Y2448" s="4" t="s">
        <v>3362</v>
      </c>
      <c r="Z2448" s="4"/>
      <c r="AA2448" s="4"/>
      <c r="AB2448" s="4"/>
      <c r="AC2448" s="4" t="s">
        <v>3363</v>
      </c>
      <c r="AD2448" s="4"/>
      <c r="AE2448" s="4"/>
      <c r="AF2448" s="4"/>
      <c r="AG2448" s="4"/>
      <c r="AH2448" s="4"/>
      <c r="AI2448" s="4"/>
      <c r="AJ2448" s="13" t="n">
        <v>1</v>
      </c>
      <c r="AK2448" s="4"/>
      <c r="AL2448" s="4"/>
      <c r="AM2448" s="4"/>
    </row>
    <row r="2449" customFormat="false" ht="23.85" hidden="false" customHeight="false" outlineLevel="0" collapsed="false">
      <c r="A2449" s="4" t="s">
        <v>3338</v>
      </c>
      <c r="B2449" s="4" t="s">
        <v>3424</v>
      </c>
      <c r="C2449" s="4" t="s">
        <v>3424</v>
      </c>
      <c r="D2449" s="12" t="n">
        <v>2024</v>
      </c>
      <c r="E2449" s="4"/>
      <c r="F2449" s="4" t="s">
        <v>1990</v>
      </c>
      <c r="G2449" s="4" t="s">
        <v>170</v>
      </c>
      <c r="H2449" s="4" t="s">
        <v>171</v>
      </c>
      <c r="I2449" s="4" t="s">
        <v>172</v>
      </c>
      <c r="J2449" s="4" t="s">
        <v>1896</v>
      </c>
      <c r="K2449" s="4" t="s">
        <v>99</v>
      </c>
      <c r="L2449" s="4"/>
      <c r="M2449" s="4"/>
      <c r="N2449" s="4" t="s">
        <v>2001</v>
      </c>
      <c r="O2449" s="4" t="s">
        <v>2002</v>
      </c>
      <c r="P2449" s="4" t="s">
        <v>72</v>
      </c>
      <c r="Q2449" s="4" t="s">
        <v>2079</v>
      </c>
      <c r="R2449" s="4"/>
      <c r="S2449" s="4"/>
      <c r="T2449" s="4"/>
      <c r="U2449" s="4"/>
      <c r="V2449" s="4"/>
      <c r="W2449" s="4" t="s">
        <v>3383</v>
      </c>
      <c r="X2449" s="4" t="s">
        <v>3384</v>
      </c>
      <c r="Y2449" s="4" t="s">
        <v>3362</v>
      </c>
      <c r="Z2449" s="4"/>
      <c r="AA2449" s="4"/>
      <c r="AB2449" s="4"/>
      <c r="AC2449" s="4" t="s">
        <v>3363</v>
      </c>
      <c r="AD2449" s="4"/>
      <c r="AE2449" s="4"/>
      <c r="AF2449" s="4"/>
      <c r="AG2449" s="4"/>
      <c r="AH2449" s="4"/>
      <c r="AI2449" s="4"/>
      <c r="AJ2449" s="13" t="n">
        <v>1</v>
      </c>
      <c r="AK2449" s="4"/>
      <c r="AL2449" s="4"/>
      <c r="AM2449" s="4"/>
    </row>
    <row r="2450" customFormat="false" ht="23.85" hidden="false" customHeight="false" outlineLevel="0" collapsed="false">
      <c r="A2450" s="4" t="s">
        <v>3338</v>
      </c>
      <c r="B2450" s="4" t="s">
        <v>3425</v>
      </c>
      <c r="C2450" s="4" t="s">
        <v>3425</v>
      </c>
      <c r="D2450" s="12" t="n">
        <v>2024</v>
      </c>
      <c r="E2450" s="4"/>
      <c r="F2450" s="4" t="s">
        <v>1990</v>
      </c>
      <c r="G2450" s="4" t="s">
        <v>170</v>
      </c>
      <c r="H2450" s="4" t="s">
        <v>171</v>
      </c>
      <c r="I2450" s="4" t="s">
        <v>172</v>
      </c>
      <c r="J2450" s="4" t="s">
        <v>1897</v>
      </c>
      <c r="K2450" s="4" t="s">
        <v>99</v>
      </c>
      <c r="L2450" s="4"/>
      <c r="M2450" s="4"/>
      <c r="N2450" s="4" t="s">
        <v>2001</v>
      </c>
      <c r="O2450" s="4" t="s">
        <v>2002</v>
      </c>
      <c r="P2450" s="4" t="s">
        <v>68</v>
      </c>
      <c r="Q2450" s="4" t="s">
        <v>2111</v>
      </c>
      <c r="R2450" s="4"/>
      <c r="S2450" s="4"/>
      <c r="T2450" s="4"/>
      <c r="U2450" s="4"/>
      <c r="V2450" s="4"/>
      <c r="W2450" s="4" t="s">
        <v>3404</v>
      </c>
      <c r="X2450" s="4" t="s">
        <v>3405</v>
      </c>
      <c r="Y2450" s="4" t="s">
        <v>3362</v>
      </c>
      <c r="Z2450" s="4"/>
      <c r="AA2450" s="4"/>
      <c r="AB2450" s="4"/>
      <c r="AC2450" s="4" t="s">
        <v>3363</v>
      </c>
      <c r="AD2450" s="4"/>
      <c r="AE2450" s="4"/>
      <c r="AF2450" s="4"/>
      <c r="AG2450" s="4"/>
      <c r="AH2450" s="4"/>
      <c r="AI2450" s="4"/>
      <c r="AJ2450" s="13" t="n">
        <v>1</v>
      </c>
      <c r="AK2450" s="4"/>
      <c r="AL2450" s="4"/>
      <c r="AM2450" s="4"/>
    </row>
    <row r="2451" customFormat="false" ht="23.85" hidden="false" customHeight="false" outlineLevel="0" collapsed="false">
      <c r="A2451" s="4" t="s">
        <v>3338</v>
      </c>
      <c r="B2451" s="4" t="s">
        <v>3426</v>
      </c>
      <c r="C2451" s="4" t="s">
        <v>3426</v>
      </c>
      <c r="D2451" s="12" t="n">
        <v>2024</v>
      </c>
      <c r="E2451" s="4"/>
      <c r="F2451" s="4" t="s">
        <v>1990</v>
      </c>
      <c r="G2451" s="4" t="s">
        <v>170</v>
      </c>
      <c r="H2451" s="4" t="s">
        <v>171</v>
      </c>
      <c r="I2451" s="4" t="s">
        <v>172</v>
      </c>
      <c r="J2451" s="4" t="s">
        <v>1899</v>
      </c>
      <c r="K2451" s="4" t="s">
        <v>99</v>
      </c>
      <c r="L2451" s="4"/>
      <c r="M2451" s="4"/>
      <c r="N2451" s="4" t="s">
        <v>2001</v>
      </c>
      <c r="O2451" s="4" t="s">
        <v>2002</v>
      </c>
      <c r="P2451" s="4" t="s">
        <v>67</v>
      </c>
      <c r="Q2451" s="4" t="s">
        <v>2151</v>
      </c>
      <c r="R2451" s="4"/>
      <c r="S2451" s="4"/>
      <c r="T2451" s="4"/>
      <c r="U2451" s="4"/>
      <c r="V2451" s="4"/>
      <c r="W2451" s="4"/>
      <c r="X2451" s="4"/>
      <c r="Y2451" s="4"/>
      <c r="Z2451" s="4"/>
      <c r="AA2451" s="4"/>
      <c r="AB2451" s="4"/>
      <c r="AC2451" s="4"/>
      <c r="AD2451" s="4"/>
      <c r="AE2451" s="4"/>
      <c r="AF2451" s="4"/>
      <c r="AG2451" s="4"/>
      <c r="AH2451" s="4"/>
      <c r="AI2451" s="4"/>
      <c r="AJ2451" s="13" t="n">
        <v>0</v>
      </c>
      <c r="AK2451" s="4"/>
      <c r="AL2451" s="4"/>
      <c r="AM2451" s="4"/>
    </row>
    <row r="2452" customFormat="false" ht="23.85" hidden="false" customHeight="false" outlineLevel="0" collapsed="false">
      <c r="A2452" s="4" t="s">
        <v>3338</v>
      </c>
      <c r="B2452" s="4" t="s">
        <v>3427</v>
      </c>
      <c r="C2452" s="4" t="s">
        <v>3427</v>
      </c>
      <c r="D2452" s="12" t="n">
        <v>2024</v>
      </c>
      <c r="E2452" s="4"/>
      <c r="F2452" s="4" t="s">
        <v>1990</v>
      </c>
      <c r="G2452" s="4" t="s">
        <v>170</v>
      </c>
      <c r="H2452" s="4" t="s">
        <v>171</v>
      </c>
      <c r="I2452" s="4" t="s">
        <v>172</v>
      </c>
      <c r="J2452" s="4" t="s">
        <v>1899</v>
      </c>
      <c r="K2452" s="4" t="s">
        <v>99</v>
      </c>
      <c r="L2452" s="4"/>
      <c r="M2452" s="4"/>
      <c r="N2452" s="4" t="s">
        <v>1994</v>
      </c>
      <c r="O2452" s="4" t="s">
        <v>2156</v>
      </c>
      <c r="P2452" s="4" t="s">
        <v>67</v>
      </c>
      <c r="Q2452" s="4" t="s">
        <v>2151</v>
      </c>
      <c r="R2452" s="4"/>
      <c r="S2452" s="4"/>
      <c r="T2452" s="4"/>
      <c r="U2452" s="4"/>
      <c r="V2452" s="4"/>
      <c r="W2452" s="4"/>
      <c r="X2452" s="4"/>
      <c r="Y2452" s="4"/>
      <c r="Z2452" s="4"/>
      <c r="AA2452" s="4"/>
      <c r="AB2452" s="4"/>
      <c r="AC2452" s="4"/>
      <c r="AD2452" s="4"/>
      <c r="AE2452" s="4"/>
      <c r="AF2452" s="4"/>
      <c r="AG2452" s="4"/>
      <c r="AH2452" s="4"/>
      <c r="AI2452" s="4"/>
      <c r="AJ2452" s="13" t="n">
        <v>0</v>
      </c>
      <c r="AK2452" s="4"/>
      <c r="AL2452" s="4"/>
      <c r="AM2452" s="4"/>
    </row>
    <row r="2453" customFormat="false" ht="23.85" hidden="false" customHeight="false" outlineLevel="0" collapsed="false">
      <c r="A2453" s="4" t="s">
        <v>3338</v>
      </c>
      <c r="B2453" s="4" t="s">
        <v>3428</v>
      </c>
      <c r="C2453" s="4" t="s">
        <v>3428</v>
      </c>
      <c r="D2453" s="12" t="n">
        <v>2024</v>
      </c>
      <c r="E2453" s="4"/>
      <c r="F2453" s="4" t="s">
        <v>1990</v>
      </c>
      <c r="G2453" s="4" t="s">
        <v>170</v>
      </c>
      <c r="H2453" s="4" t="s">
        <v>171</v>
      </c>
      <c r="I2453" s="4" t="s">
        <v>172</v>
      </c>
      <c r="J2453" s="4" t="s">
        <v>1899</v>
      </c>
      <c r="K2453" s="4" t="s">
        <v>99</v>
      </c>
      <c r="L2453" s="4"/>
      <c r="M2453" s="4"/>
      <c r="N2453" s="4" t="s">
        <v>2001</v>
      </c>
      <c r="O2453" s="4" t="s">
        <v>2160</v>
      </c>
      <c r="P2453" s="4" t="s">
        <v>64</v>
      </c>
      <c r="Q2453" s="4" t="s">
        <v>2151</v>
      </c>
      <c r="R2453" s="4"/>
      <c r="S2453" s="4"/>
      <c r="T2453" s="4"/>
      <c r="U2453" s="4"/>
      <c r="V2453" s="4"/>
      <c r="W2453" s="4"/>
      <c r="X2453" s="4"/>
      <c r="Y2453" s="4"/>
      <c r="Z2453" s="4"/>
      <c r="AA2453" s="4"/>
      <c r="AB2453" s="4"/>
      <c r="AC2453" s="4"/>
      <c r="AD2453" s="4"/>
      <c r="AE2453" s="4"/>
      <c r="AF2453" s="4"/>
      <c r="AG2453" s="4"/>
      <c r="AH2453" s="4"/>
      <c r="AI2453" s="4"/>
      <c r="AJ2453" s="13" t="n">
        <v>0</v>
      </c>
      <c r="AK2453" s="4"/>
      <c r="AL2453" s="4"/>
      <c r="AM2453" s="4"/>
    </row>
    <row r="2454" customFormat="false" ht="23.85" hidden="false" customHeight="false" outlineLevel="0" collapsed="false">
      <c r="A2454" s="4" t="s">
        <v>3338</v>
      </c>
      <c r="B2454" s="4" t="s">
        <v>3429</v>
      </c>
      <c r="C2454" s="4" t="s">
        <v>3429</v>
      </c>
      <c r="D2454" s="12" t="n">
        <v>2024</v>
      </c>
      <c r="E2454" s="4"/>
      <c r="F2454" s="4" t="s">
        <v>1990</v>
      </c>
      <c r="G2454" s="4" t="s">
        <v>170</v>
      </c>
      <c r="H2454" s="4" t="s">
        <v>171</v>
      </c>
      <c r="I2454" s="4" t="s">
        <v>172</v>
      </c>
      <c r="J2454" s="4" t="s">
        <v>1902</v>
      </c>
      <c r="K2454" s="4" t="s">
        <v>101</v>
      </c>
      <c r="L2454" s="4"/>
      <c r="M2454" s="4"/>
      <c r="N2454" s="4" t="s">
        <v>1994</v>
      </c>
      <c r="O2454" s="4" t="s">
        <v>2029</v>
      </c>
      <c r="P2454" s="4" t="s">
        <v>69</v>
      </c>
      <c r="Q2454" s="4" t="s">
        <v>2030</v>
      </c>
      <c r="R2454" s="4"/>
      <c r="S2454" s="4"/>
      <c r="T2454" s="4"/>
      <c r="U2454" s="4"/>
      <c r="V2454" s="4"/>
      <c r="W2454" s="4"/>
      <c r="X2454" s="4"/>
      <c r="Y2454" s="4"/>
      <c r="Z2454" s="4"/>
      <c r="AA2454" s="4"/>
      <c r="AB2454" s="4"/>
      <c r="AC2454" s="4"/>
      <c r="AD2454" s="4"/>
      <c r="AE2454" s="4"/>
      <c r="AF2454" s="4"/>
      <c r="AG2454" s="4"/>
      <c r="AH2454" s="4"/>
      <c r="AI2454" s="4"/>
      <c r="AJ2454" s="13" t="n">
        <v>0</v>
      </c>
      <c r="AK2454" s="4"/>
      <c r="AL2454" s="4"/>
      <c r="AM2454" s="4"/>
    </row>
    <row r="2455" customFormat="false" ht="23.85" hidden="false" customHeight="false" outlineLevel="0" collapsed="false">
      <c r="A2455" s="4" t="s">
        <v>3338</v>
      </c>
      <c r="B2455" s="4" t="s">
        <v>3430</v>
      </c>
      <c r="C2455" s="4" t="s">
        <v>3430</v>
      </c>
      <c r="D2455" s="12" t="n">
        <v>2024</v>
      </c>
      <c r="E2455" s="4"/>
      <c r="F2455" s="4" t="s">
        <v>1990</v>
      </c>
      <c r="G2455" s="4" t="s">
        <v>170</v>
      </c>
      <c r="H2455" s="4" t="s">
        <v>171</v>
      </c>
      <c r="I2455" s="4" t="s">
        <v>172</v>
      </c>
      <c r="J2455" s="4" t="s">
        <v>1903</v>
      </c>
      <c r="K2455" s="4" t="s">
        <v>101</v>
      </c>
      <c r="L2455" s="4"/>
      <c r="M2455" s="4"/>
      <c r="N2455" s="4" t="s">
        <v>2001</v>
      </c>
      <c r="O2455" s="4" t="s">
        <v>2091</v>
      </c>
      <c r="P2455" s="4" t="s">
        <v>69</v>
      </c>
      <c r="Q2455" s="4" t="s">
        <v>2030</v>
      </c>
      <c r="R2455" s="4"/>
      <c r="S2455" s="4"/>
      <c r="T2455" s="4"/>
      <c r="U2455" s="4"/>
      <c r="V2455" s="4"/>
      <c r="W2455" s="4"/>
      <c r="X2455" s="4"/>
      <c r="Y2455" s="4"/>
      <c r="Z2455" s="4"/>
      <c r="AA2455" s="4"/>
      <c r="AB2455" s="4"/>
      <c r="AC2455" s="4"/>
      <c r="AD2455" s="4"/>
      <c r="AE2455" s="4"/>
      <c r="AF2455" s="4"/>
      <c r="AG2455" s="4"/>
      <c r="AH2455" s="4"/>
      <c r="AI2455" s="4"/>
      <c r="AJ2455" s="13" t="n">
        <v>0</v>
      </c>
      <c r="AK2455" s="4"/>
      <c r="AL2455" s="4"/>
      <c r="AM2455" s="4"/>
    </row>
    <row r="2456" customFormat="false" ht="23.85" hidden="false" customHeight="false" outlineLevel="0" collapsed="false">
      <c r="A2456" s="4" t="s">
        <v>3338</v>
      </c>
      <c r="B2456" s="4" t="s">
        <v>3431</v>
      </c>
      <c r="C2456" s="4" t="s">
        <v>3431</v>
      </c>
      <c r="D2456" s="12" t="n">
        <v>2024</v>
      </c>
      <c r="E2456" s="4"/>
      <c r="F2456" s="4" t="s">
        <v>1990</v>
      </c>
      <c r="G2456" s="4" t="s">
        <v>170</v>
      </c>
      <c r="H2456" s="4" t="s">
        <v>171</v>
      </c>
      <c r="I2456" s="4" t="s">
        <v>172</v>
      </c>
      <c r="J2456" s="4" t="s">
        <v>1904</v>
      </c>
      <c r="K2456" s="4" t="s">
        <v>101</v>
      </c>
      <c r="L2456" s="4"/>
      <c r="M2456" s="4"/>
      <c r="N2456" s="4" t="s">
        <v>2001</v>
      </c>
      <c r="O2456" s="4" t="s">
        <v>2034</v>
      </c>
      <c r="P2456" s="4" t="s">
        <v>74</v>
      </c>
      <c r="Q2456" s="4" t="s">
        <v>2035</v>
      </c>
      <c r="R2456" s="4"/>
      <c r="S2456" s="4"/>
      <c r="T2456" s="4"/>
      <c r="U2456" s="4"/>
      <c r="V2456" s="4"/>
      <c r="W2456" s="4"/>
      <c r="X2456" s="4"/>
      <c r="Y2456" s="4"/>
      <c r="Z2456" s="4"/>
      <c r="AA2456" s="4"/>
      <c r="AB2456" s="4"/>
      <c r="AC2456" s="4"/>
      <c r="AD2456" s="4"/>
      <c r="AE2456" s="4"/>
      <c r="AF2456" s="4"/>
      <c r="AG2456" s="4"/>
      <c r="AH2456" s="4"/>
      <c r="AI2456" s="4"/>
      <c r="AJ2456" s="13" t="n">
        <v>0</v>
      </c>
      <c r="AK2456" s="4"/>
      <c r="AL2456" s="4"/>
      <c r="AM2456" s="4"/>
    </row>
    <row r="2457" customFormat="false" ht="23.85" hidden="false" customHeight="false" outlineLevel="0" collapsed="false">
      <c r="A2457" s="4" t="s">
        <v>3338</v>
      </c>
      <c r="B2457" s="4" t="s">
        <v>3432</v>
      </c>
      <c r="C2457" s="4" t="s">
        <v>3432</v>
      </c>
      <c r="D2457" s="12" t="n">
        <v>2024</v>
      </c>
      <c r="E2457" s="4"/>
      <c r="F2457" s="4" t="s">
        <v>1990</v>
      </c>
      <c r="G2457" s="4" t="s">
        <v>170</v>
      </c>
      <c r="H2457" s="4" t="s">
        <v>171</v>
      </c>
      <c r="I2457" s="4" t="s">
        <v>172</v>
      </c>
      <c r="J2457" s="4" t="s">
        <v>1906</v>
      </c>
      <c r="K2457" s="4" t="s">
        <v>101</v>
      </c>
      <c r="L2457" s="4"/>
      <c r="M2457" s="4"/>
      <c r="N2457" s="4" t="s">
        <v>2001</v>
      </c>
      <c r="O2457" s="4" t="s">
        <v>2002</v>
      </c>
      <c r="P2457" s="4" t="s">
        <v>67</v>
      </c>
      <c r="Q2457" s="4" t="s">
        <v>2003</v>
      </c>
      <c r="R2457" s="4"/>
      <c r="S2457" s="4"/>
      <c r="T2457" s="4"/>
      <c r="U2457" s="4"/>
      <c r="V2457" s="4"/>
      <c r="W2457" s="4" t="s">
        <v>3341</v>
      </c>
      <c r="X2457" s="4" t="s">
        <v>3342</v>
      </c>
      <c r="Y2457" s="4" t="inlineStr">
        <is>
          <t>COMB_FOIL</t>
        </is>
      </c>
      <c r="Z2457" s="4"/>
      <c r="AA2457" s="4"/>
      <c r="AB2457" s="4"/>
      <c r="AC2457" s="4" t="s">
        <v>3352</v>
      </c>
      <c r="AD2457" s="4"/>
      <c r="AE2457" s="4"/>
      <c r="AF2457" s="4"/>
      <c r="AG2457" s="4"/>
      <c r="AH2457" s="4"/>
      <c r="AI2457" s="4"/>
      <c r="AJ2457" s="13" t="n">
        <v>1</v>
      </c>
      <c r="AK2457" s="4"/>
      <c r="AL2457" s="4"/>
      <c r="AM2457" s="4"/>
    </row>
    <row r="2458" customFormat="false" ht="23.85" hidden="false" customHeight="false" outlineLevel="0" collapsed="false">
      <c r="A2458" s="4" t="s">
        <v>3338</v>
      </c>
      <c r="B2458" s="4" t="s">
        <v>3433</v>
      </c>
      <c r="C2458" s="4" t="s">
        <v>3433</v>
      </c>
      <c r="D2458" s="12" t="n">
        <v>2024</v>
      </c>
      <c r="E2458" s="4"/>
      <c r="F2458" s="4" t="s">
        <v>1990</v>
      </c>
      <c r="G2458" s="4" t="s">
        <v>170</v>
      </c>
      <c r="H2458" s="4" t="s">
        <v>171</v>
      </c>
      <c r="I2458" s="4" t="s">
        <v>172</v>
      </c>
      <c r="J2458" s="4" t="s">
        <v>1907</v>
      </c>
      <c r="K2458" s="4" t="s">
        <v>101</v>
      </c>
      <c r="L2458" s="4"/>
      <c r="M2458" s="4"/>
      <c r="N2458" s="4" t="s">
        <v>2001</v>
      </c>
      <c r="O2458" s="4" t="s">
        <v>2002</v>
      </c>
      <c r="P2458" s="4" t="s">
        <v>67</v>
      </c>
      <c r="Q2458" s="4" t="s">
        <v>2008</v>
      </c>
      <c r="R2458" s="4"/>
      <c r="S2458" s="4"/>
      <c r="T2458" s="4"/>
      <c r="U2458" s="4"/>
      <c r="V2458" s="4"/>
      <c r="W2458" s="4" t="s">
        <v>3341</v>
      </c>
      <c r="X2458" s="4" t="s">
        <v>3342</v>
      </c>
      <c r="Y2458" s="4" t="inlineStr">
        <is>
          <t>COMB_FOIL</t>
        </is>
      </c>
      <c r="Z2458" s="4"/>
      <c r="AA2458" s="4"/>
      <c r="AB2458" s="4"/>
      <c r="AC2458" s="4" t="s">
        <v>3352</v>
      </c>
      <c r="AD2458" s="4"/>
      <c r="AE2458" s="4"/>
      <c r="AF2458" s="4"/>
      <c r="AG2458" s="4"/>
      <c r="AH2458" s="4"/>
      <c r="AI2458" s="4"/>
      <c r="AJ2458" s="13" t="n">
        <v>1</v>
      </c>
      <c r="AK2458" s="4"/>
      <c r="AL2458" s="4"/>
      <c r="AM2458" s="4"/>
    </row>
    <row r="2459" customFormat="false" ht="23.85" hidden="false" customHeight="false" outlineLevel="0" collapsed="false">
      <c r="A2459" s="4" t="s">
        <v>3338</v>
      </c>
      <c r="B2459" s="4" t="s">
        <v>3434</v>
      </c>
      <c r="C2459" s="4" t="s">
        <v>3434</v>
      </c>
      <c r="D2459" s="12" t="n">
        <v>2024</v>
      </c>
      <c r="E2459" s="4"/>
      <c r="F2459" s="4" t="s">
        <v>1990</v>
      </c>
      <c r="G2459" s="4" t="s">
        <v>170</v>
      </c>
      <c r="H2459" s="4" t="s">
        <v>171</v>
      </c>
      <c r="I2459" s="4" t="s">
        <v>172</v>
      </c>
      <c r="J2459" s="4" t="s">
        <v>1912</v>
      </c>
      <c r="K2459" s="4" t="s">
        <v>101</v>
      </c>
      <c r="L2459" s="4"/>
      <c r="M2459" s="4"/>
      <c r="N2459" s="4" t="s">
        <v>2001</v>
      </c>
      <c r="O2459" s="4" t="s">
        <v>2002</v>
      </c>
      <c r="P2459" s="4" t="s">
        <v>68</v>
      </c>
      <c r="Q2459" s="4" t="s">
        <v>2111</v>
      </c>
      <c r="R2459" s="4"/>
      <c r="S2459" s="4"/>
      <c r="T2459" s="4"/>
      <c r="U2459" s="4"/>
      <c r="V2459" s="4"/>
      <c r="W2459" s="4" t="s">
        <v>3404</v>
      </c>
      <c r="X2459" s="4" t="s">
        <v>3405</v>
      </c>
      <c r="Y2459" s="4" t="inlineStr">
        <is>
          <t>COMB_FOIL</t>
        </is>
      </c>
      <c r="Z2459" s="4"/>
      <c r="AA2459" s="4"/>
      <c r="AB2459" s="4"/>
      <c r="AC2459" s="4" t="s">
        <v>3352</v>
      </c>
      <c r="AD2459" s="4"/>
      <c r="AE2459" s="4"/>
      <c r="AF2459" s="4"/>
      <c r="AG2459" s="4"/>
      <c r="AH2459" s="4"/>
      <c r="AI2459" s="4"/>
      <c r="AJ2459" s="13" t="n">
        <v>1</v>
      </c>
      <c r="AK2459" s="4"/>
      <c r="AL2459" s="4"/>
      <c r="AM2459" s="4"/>
    </row>
    <row r="2460" customFormat="false" ht="23.85" hidden="false" customHeight="false" outlineLevel="0" collapsed="false">
      <c r="A2460" s="4" t="s">
        <v>3338</v>
      </c>
      <c r="B2460" s="4" t="s">
        <v>3435</v>
      </c>
      <c r="C2460" s="4" t="s">
        <v>3435</v>
      </c>
      <c r="D2460" s="12" t="n">
        <v>2024</v>
      </c>
      <c r="E2460" s="4"/>
      <c r="F2460" s="4" t="s">
        <v>1990</v>
      </c>
      <c r="G2460" s="4" t="s">
        <v>170</v>
      </c>
      <c r="H2460" s="4" t="s">
        <v>171</v>
      </c>
      <c r="I2460" s="4" t="s">
        <v>172</v>
      </c>
      <c r="J2460" s="4" t="s">
        <v>1916</v>
      </c>
      <c r="K2460" s="4" t="s">
        <v>103</v>
      </c>
      <c r="L2460" s="4"/>
      <c r="M2460" s="4"/>
      <c r="N2460" s="4" t="s">
        <v>1994</v>
      </c>
      <c r="O2460" s="4" t="s">
        <v>2029</v>
      </c>
      <c r="P2460" s="4" t="s">
        <v>69</v>
      </c>
      <c r="Q2460" s="4" t="s">
        <v>2030</v>
      </c>
      <c r="R2460" s="4"/>
      <c r="S2460" s="4"/>
      <c r="T2460" s="4"/>
      <c r="U2460" s="4"/>
      <c r="V2460" s="4"/>
      <c r="W2460" s="4"/>
      <c r="X2460" s="4"/>
      <c r="Y2460" s="4"/>
      <c r="Z2460" s="4"/>
      <c r="AA2460" s="4"/>
      <c r="AB2460" s="4"/>
      <c r="AC2460" s="4"/>
      <c r="AD2460" s="4"/>
      <c r="AE2460" s="4"/>
      <c r="AF2460" s="4"/>
      <c r="AG2460" s="4"/>
      <c r="AH2460" s="4"/>
      <c r="AI2460" s="4"/>
      <c r="AJ2460" s="13" t="n">
        <v>0</v>
      </c>
      <c r="AK2460" s="4"/>
      <c r="AL2460" s="4"/>
      <c r="AM2460" s="4"/>
    </row>
    <row r="2461" customFormat="false" ht="23.85" hidden="false" customHeight="false" outlineLevel="0" collapsed="false">
      <c r="A2461" s="4" t="s">
        <v>3338</v>
      </c>
      <c r="B2461" s="4" t="s">
        <v>3436</v>
      </c>
      <c r="C2461" s="4" t="s">
        <v>3436</v>
      </c>
      <c r="D2461" s="12" t="n">
        <v>2024</v>
      </c>
      <c r="E2461" s="4"/>
      <c r="F2461" s="4" t="s">
        <v>1990</v>
      </c>
      <c r="G2461" s="4" t="s">
        <v>170</v>
      </c>
      <c r="H2461" s="4" t="s">
        <v>171</v>
      </c>
      <c r="I2461" s="4" t="s">
        <v>172</v>
      </c>
      <c r="J2461" s="4" t="s">
        <v>1917</v>
      </c>
      <c r="K2461" s="4" t="s">
        <v>103</v>
      </c>
      <c r="L2461" s="4"/>
      <c r="M2461" s="4"/>
      <c r="N2461" s="4" t="s">
        <v>2001</v>
      </c>
      <c r="O2461" s="4" t="s">
        <v>2091</v>
      </c>
      <c r="P2461" s="4" t="s">
        <v>69</v>
      </c>
      <c r="Q2461" s="4" t="s">
        <v>2030</v>
      </c>
      <c r="R2461" s="4"/>
      <c r="S2461" s="4"/>
      <c r="T2461" s="4"/>
      <c r="U2461" s="4"/>
      <c r="V2461" s="4"/>
      <c r="W2461" s="4"/>
      <c r="X2461" s="4"/>
      <c r="Y2461" s="4"/>
      <c r="Z2461" s="4"/>
      <c r="AA2461" s="4"/>
      <c r="AB2461" s="4"/>
      <c r="AC2461" s="4"/>
      <c r="AD2461" s="4"/>
      <c r="AE2461" s="4"/>
      <c r="AF2461" s="4"/>
      <c r="AG2461" s="4"/>
      <c r="AH2461" s="4"/>
      <c r="AI2461" s="4"/>
      <c r="AJ2461" s="13" t="n">
        <v>0</v>
      </c>
      <c r="AK2461" s="4"/>
      <c r="AL2461" s="4"/>
      <c r="AM2461" s="4"/>
    </row>
    <row r="2462" customFormat="false" ht="23.85" hidden="false" customHeight="false" outlineLevel="0" collapsed="false">
      <c r="A2462" s="4" t="s">
        <v>3338</v>
      </c>
      <c r="B2462" s="4" t="s">
        <v>3437</v>
      </c>
      <c r="C2462" s="4" t="s">
        <v>3437</v>
      </c>
      <c r="D2462" s="12" t="n">
        <v>2024</v>
      </c>
      <c r="E2462" s="4"/>
      <c r="F2462" s="4" t="s">
        <v>1990</v>
      </c>
      <c r="G2462" s="4" t="s">
        <v>170</v>
      </c>
      <c r="H2462" s="4" t="s">
        <v>171</v>
      </c>
      <c r="I2462" s="4" t="s">
        <v>172</v>
      </c>
      <c r="J2462" s="4" t="s">
        <v>1918</v>
      </c>
      <c r="K2462" s="4" t="s">
        <v>103</v>
      </c>
      <c r="L2462" s="4"/>
      <c r="M2462" s="4"/>
      <c r="N2462" s="4" t="s">
        <v>2001</v>
      </c>
      <c r="O2462" s="4" t="s">
        <v>2034</v>
      </c>
      <c r="P2462" s="4" t="s">
        <v>74</v>
      </c>
      <c r="Q2462" s="4" t="s">
        <v>2035</v>
      </c>
      <c r="R2462" s="4"/>
      <c r="S2462" s="4"/>
      <c r="T2462" s="4"/>
      <c r="U2462" s="4"/>
      <c r="V2462" s="4"/>
      <c r="W2462" s="4"/>
      <c r="X2462" s="4"/>
      <c r="Y2462" s="4"/>
      <c r="Z2462" s="4"/>
      <c r="AA2462" s="4"/>
      <c r="AB2462" s="4"/>
      <c r="AC2462" s="4"/>
      <c r="AD2462" s="4"/>
      <c r="AE2462" s="4"/>
      <c r="AF2462" s="4"/>
      <c r="AG2462" s="4"/>
      <c r="AH2462" s="4"/>
      <c r="AI2462" s="4"/>
      <c r="AJ2462" s="13" t="n">
        <v>0</v>
      </c>
      <c r="AK2462" s="4"/>
      <c r="AL2462" s="4"/>
      <c r="AM2462" s="4"/>
    </row>
    <row r="2463" customFormat="false" ht="23.85" hidden="false" customHeight="false" outlineLevel="0" collapsed="false">
      <c r="A2463" s="4" t="s">
        <v>3338</v>
      </c>
      <c r="B2463" s="4" t="s">
        <v>3438</v>
      </c>
      <c r="C2463" s="4" t="s">
        <v>3438</v>
      </c>
      <c r="D2463" s="12" t="n">
        <v>2024</v>
      </c>
      <c r="E2463" s="4"/>
      <c r="F2463" s="4" t="s">
        <v>1990</v>
      </c>
      <c r="G2463" s="4" t="s">
        <v>170</v>
      </c>
      <c r="H2463" s="4" t="s">
        <v>171</v>
      </c>
      <c r="I2463" s="4" t="s">
        <v>172</v>
      </c>
      <c r="J2463" s="4" t="s">
        <v>1923</v>
      </c>
      <c r="K2463" s="4" t="s">
        <v>103</v>
      </c>
      <c r="L2463" s="4"/>
      <c r="M2463" s="4"/>
      <c r="N2463" s="4" t="s">
        <v>2001</v>
      </c>
      <c r="O2463" s="4" t="s">
        <v>2002</v>
      </c>
      <c r="P2463" s="4" t="s">
        <v>71</v>
      </c>
      <c r="Q2463" s="4" t="s">
        <v>2123</v>
      </c>
      <c r="R2463" s="4"/>
      <c r="S2463" s="4"/>
      <c r="T2463" s="4"/>
      <c r="U2463" s="4"/>
      <c r="V2463" s="4"/>
      <c r="W2463" s="4" t="s">
        <v>3412</v>
      </c>
      <c r="X2463" s="4" t="s">
        <v>3413</v>
      </c>
      <c r="Y2463" s="4" t="inlineStr">
        <is>
          <t>COMB_GAS</t>
        </is>
      </c>
      <c r="Z2463" s="4"/>
      <c r="AA2463" s="4"/>
      <c r="AB2463" s="4"/>
      <c r="AC2463" s="4" t="s">
        <v>3352</v>
      </c>
      <c r="AD2463" s="4"/>
      <c r="AE2463" s="4"/>
      <c r="AF2463" s="4"/>
      <c r="AG2463" s="4"/>
      <c r="AH2463" s="4"/>
      <c r="AI2463" s="4"/>
      <c r="AJ2463" s="13" t="n">
        <v>1</v>
      </c>
      <c r="AK2463" s="4"/>
      <c r="AL2463" s="4"/>
      <c r="AM2463" s="4"/>
    </row>
    <row r="2464" customFormat="false" ht="23.85" hidden="false" customHeight="false" outlineLevel="0" collapsed="false">
      <c r="A2464" s="4" t="s">
        <v>3338</v>
      </c>
      <c r="B2464" s="4" t="s">
        <v>3439</v>
      </c>
      <c r="C2464" s="4" t="s">
        <v>3439</v>
      </c>
      <c r="D2464" s="12" t="n">
        <v>2024</v>
      </c>
      <c r="E2464" s="4"/>
      <c r="F2464" s="4" t="s">
        <v>1990</v>
      </c>
      <c r="G2464" s="4" t="s">
        <v>170</v>
      </c>
      <c r="H2464" s="4" t="s">
        <v>171</v>
      </c>
      <c r="I2464" s="4" t="s">
        <v>172</v>
      </c>
      <c r="J2464" s="4" t="s">
        <v>1925</v>
      </c>
      <c r="K2464" s="4" t="s">
        <v>103</v>
      </c>
      <c r="L2464" s="4"/>
      <c r="M2464" s="4"/>
      <c r="N2464" s="4" t="s">
        <v>2001</v>
      </c>
      <c r="O2464" s="4" t="s">
        <v>2002</v>
      </c>
      <c r="P2464" s="4" t="s">
        <v>72</v>
      </c>
      <c r="Q2464" s="4" t="s">
        <v>2079</v>
      </c>
      <c r="R2464" s="4"/>
      <c r="S2464" s="4"/>
      <c r="T2464" s="4"/>
      <c r="U2464" s="4"/>
      <c r="V2464" s="4"/>
      <c r="W2464" s="4" t="s">
        <v>3383</v>
      </c>
      <c r="X2464" s="4" t="s">
        <v>3384</v>
      </c>
      <c r="Y2464" s="4" t="inlineStr">
        <is>
          <t>COMB_GAS</t>
        </is>
      </c>
      <c r="Z2464" s="4"/>
      <c r="AA2464" s="4"/>
      <c r="AB2464" s="4"/>
      <c r="AC2464" s="4" t="s">
        <v>3352</v>
      </c>
      <c r="AD2464" s="4"/>
      <c r="AE2464" s="4"/>
      <c r="AF2464" s="4"/>
      <c r="AG2464" s="4"/>
      <c r="AH2464" s="4"/>
      <c r="AI2464" s="4"/>
      <c r="AJ2464" s="13" t="n">
        <v>1</v>
      </c>
      <c r="AK2464" s="4"/>
      <c r="AL2464" s="4"/>
      <c r="AM2464" s="4"/>
    </row>
    <row r="2465" customFormat="false" ht="23.85" hidden="false" customHeight="false" outlineLevel="0" collapsed="false">
      <c r="A2465" s="4" t="s">
        <v>3338</v>
      </c>
      <c r="B2465" s="4" t="s">
        <v>3440</v>
      </c>
      <c r="C2465" s="4" t="s">
        <v>3440</v>
      </c>
      <c r="D2465" s="12" t="n">
        <v>2024</v>
      </c>
      <c r="E2465" s="4"/>
      <c r="F2465" s="4" t="s">
        <v>1990</v>
      </c>
      <c r="G2465" s="4" t="s">
        <v>170</v>
      </c>
      <c r="H2465" s="4" t="s">
        <v>171</v>
      </c>
      <c r="I2465" s="4" t="s">
        <v>172</v>
      </c>
      <c r="J2465" s="4" t="s">
        <v>1926</v>
      </c>
      <c r="K2465" s="4" t="s">
        <v>103</v>
      </c>
      <c r="L2465" s="4"/>
      <c r="M2465" s="4"/>
      <c r="N2465" s="4" t="s">
        <v>2001</v>
      </c>
      <c r="O2465" s="4" t="s">
        <v>2002</v>
      </c>
      <c r="P2465" s="4" t="s">
        <v>68</v>
      </c>
      <c r="Q2465" s="4" t="s">
        <v>2111</v>
      </c>
      <c r="R2465" s="4"/>
      <c r="S2465" s="4"/>
      <c r="T2465" s="4"/>
      <c r="U2465" s="4"/>
      <c r="V2465" s="4"/>
      <c r="W2465" s="4" t="s">
        <v>3404</v>
      </c>
      <c r="X2465" s="4" t="s">
        <v>3405</v>
      </c>
      <c r="Y2465" s="4" t="inlineStr">
        <is>
          <t>COMB_GAS</t>
        </is>
      </c>
      <c r="Z2465" s="4"/>
      <c r="AA2465" s="4"/>
      <c r="AB2465" s="4"/>
      <c r="AC2465" s="4" t="s">
        <v>3352</v>
      </c>
      <c r="AD2465" s="4"/>
      <c r="AE2465" s="4"/>
      <c r="AF2465" s="4"/>
      <c r="AG2465" s="4"/>
      <c r="AH2465" s="4"/>
      <c r="AI2465" s="4"/>
      <c r="AJ2465" s="13" t="n">
        <v>1</v>
      </c>
      <c r="AK2465" s="4"/>
      <c r="AL2465" s="4"/>
      <c r="AM2465" s="4"/>
    </row>
    <row r="2466" customFormat="false" ht="23.85" hidden="false" customHeight="false" outlineLevel="0" collapsed="false">
      <c r="A2466" s="4" t="s">
        <v>3338</v>
      </c>
      <c r="B2466" s="4" t="s">
        <v>3441</v>
      </c>
      <c r="C2466" s="4" t="s">
        <v>3441</v>
      </c>
      <c r="D2466" s="12" t="n">
        <v>2024</v>
      </c>
      <c r="E2466" s="4"/>
      <c r="F2466" s="4" t="s">
        <v>1990</v>
      </c>
      <c r="G2466" s="4" t="s">
        <v>170</v>
      </c>
      <c r="H2466" s="4" t="s">
        <v>171</v>
      </c>
      <c r="I2466" s="4" t="s">
        <v>172</v>
      </c>
      <c r="J2466" s="4" t="s">
        <v>1930</v>
      </c>
      <c r="K2466" s="4" t="s">
        <v>105</v>
      </c>
      <c r="L2466" s="4"/>
      <c r="M2466" s="4"/>
      <c r="N2466" s="4" t="s">
        <v>1994</v>
      </c>
      <c r="O2466" s="4" t="s">
        <v>2029</v>
      </c>
      <c r="P2466" s="4" t="s">
        <v>69</v>
      </c>
      <c r="Q2466" s="4" t="s">
        <v>2030</v>
      </c>
      <c r="R2466" s="4"/>
      <c r="S2466" s="4"/>
      <c r="T2466" s="4"/>
      <c r="U2466" s="4"/>
      <c r="V2466" s="4"/>
      <c r="W2466" s="4"/>
      <c r="X2466" s="4"/>
      <c r="Y2466" s="4"/>
      <c r="Z2466" s="4"/>
      <c r="AA2466" s="4"/>
      <c r="AB2466" s="4"/>
      <c r="AC2466" s="4"/>
      <c r="AD2466" s="4"/>
      <c r="AE2466" s="4"/>
      <c r="AF2466" s="4"/>
      <c r="AG2466" s="4"/>
      <c r="AH2466" s="4"/>
      <c r="AI2466" s="4"/>
      <c r="AJ2466" s="13" t="n">
        <v>0</v>
      </c>
      <c r="AK2466" s="4"/>
      <c r="AL2466" s="4"/>
      <c r="AM2466" s="4"/>
    </row>
    <row r="2467" customFormat="false" ht="23.85" hidden="false" customHeight="false" outlineLevel="0" collapsed="false">
      <c r="A2467" s="4" t="s">
        <v>3338</v>
      </c>
      <c r="B2467" s="4" t="s">
        <v>3442</v>
      </c>
      <c r="C2467" s="4" t="s">
        <v>3442</v>
      </c>
      <c r="D2467" s="12" t="n">
        <v>2024</v>
      </c>
      <c r="E2467" s="4"/>
      <c r="F2467" s="4" t="s">
        <v>1990</v>
      </c>
      <c r="G2467" s="4" t="s">
        <v>170</v>
      </c>
      <c r="H2467" s="4" t="s">
        <v>171</v>
      </c>
      <c r="I2467" s="4" t="s">
        <v>172</v>
      </c>
      <c r="J2467" s="4" t="s">
        <v>1931</v>
      </c>
      <c r="K2467" s="4" t="s">
        <v>105</v>
      </c>
      <c r="L2467" s="4"/>
      <c r="M2467" s="4"/>
      <c r="N2467" s="4" t="s">
        <v>2001</v>
      </c>
      <c r="O2467" s="4" t="s">
        <v>2091</v>
      </c>
      <c r="P2467" s="4" t="s">
        <v>69</v>
      </c>
      <c r="Q2467" s="4" t="s">
        <v>2030</v>
      </c>
      <c r="R2467" s="4"/>
      <c r="S2467" s="4"/>
      <c r="T2467" s="4"/>
      <c r="U2467" s="4"/>
      <c r="V2467" s="4"/>
      <c r="W2467" s="4"/>
      <c r="X2467" s="4"/>
      <c r="Y2467" s="4"/>
      <c r="Z2467" s="4"/>
      <c r="AA2467" s="4"/>
      <c r="AB2467" s="4"/>
      <c r="AC2467" s="4"/>
      <c r="AD2467" s="4"/>
      <c r="AE2467" s="4"/>
      <c r="AF2467" s="4"/>
      <c r="AG2467" s="4"/>
      <c r="AH2467" s="4"/>
      <c r="AI2467" s="4"/>
      <c r="AJ2467" s="13" t="n">
        <v>0</v>
      </c>
      <c r="AK2467" s="4"/>
      <c r="AL2467" s="4"/>
      <c r="AM2467" s="4"/>
    </row>
    <row r="2468" customFormat="false" ht="23.85" hidden="false" customHeight="false" outlineLevel="0" collapsed="false">
      <c r="A2468" s="4" t="s">
        <v>3338</v>
      </c>
      <c r="B2468" s="4" t="s">
        <v>3443</v>
      </c>
      <c r="C2468" s="4" t="s">
        <v>3443</v>
      </c>
      <c r="D2468" s="12" t="n">
        <v>2024</v>
      </c>
      <c r="E2468" s="4"/>
      <c r="F2468" s="4" t="s">
        <v>1990</v>
      </c>
      <c r="G2468" s="4" t="s">
        <v>170</v>
      </c>
      <c r="H2468" s="4" t="s">
        <v>171</v>
      </c>
      <c r="I2468" s="4" t="s">
        <v>172</v>
      </c>
      <c r="J2468" s="4" t="s">
        <v>1932</v>
      </c>
      <c r="K2468" s="4" t="s">
        <v>105</v>
      </c>
      <c r="L2468" s="4"/>
      <c r="M2468" s="4"/>
      <c r="N2468" s="4" t="s">
        <v>2001</v>
      </c>
      <c r="O2468" s="4" t="s">
        <v>2034</v>
      </c>
      <c r="P2468" s="4" t="s">
        <v>74</v>
      </c>
      <c r="Q2468" s="4" t="s">
        <v>2035</v>
      </c>
      <c r="R2468" s="4"/>
      <c r="S2468" s="4"/>
      <c r="T2468" s="4"/>
      <c r="U2468" s="4"/>
      <c r="V2468" s="4"/>
      <c r="W2468" s="4"/>
      <c r="X2468" s="4"/>
      <c r="Y2468" s="4"/>
      <c r="Z2468" s="4"/>
      <c r="AA2468" s="4"/>
      <c r="AB2468" s="4"/>
      <c r="AC2468" s="4"/>
      <c r="AD2468" s="4"/>
      <c r="AE2468" s="4"/>
      <c r="AF2468" s="4"/>
      <c r="AG2468" s="4"/>
      <c r="AH2468" s="4"/>
      <c r="AI2468" s="4"/>
      <c r="AJ2468" s="13" t="n">
        <v>0</v>
      </c>
      <c r="AK2468" s="4"/>
      <c r="AL2468" s="4"/>
      <c r="AM2468" s="4"/>
    </row>
    <row r="2469" customFormat="false" ht="23.85" hidden="false" customHeight="false" outlineLevel="0" collapsed="false">
      <c r="A2469" s="4" t="s">
        <v>3338</v>
      </c>
      <c r="B2469" s="4" t="s">
        <v>3444</v>
      </c>
      <c r="C2469" s="4" t="s">
        <v>3444</v>
      </c>
      <c r="D2469" s="12" t="n">
        <v>2024</v>
      </c>
      <c r="E2469" s="4"/>
      <c r="F2469" s="4" t="s">
        <v>1990</v>
      </c>
      <c r="G2469" s="4" t="s">
        <v>170</v>
      </c>
      <c r="H2469" s="4" t="s">
        <v>171</v>
      </c>
      <c r="I2469" s="4" t="s">
        <v>172</v>
      </c>
      <c r="J2469" s="4" t="s">
        <v>1937</v>
      </c>
      <c r="K2469" s="4" t="s">
        <v>105</v>
      </c>
      <c r="L2469" s="4"/>
      <c r="M2469" s="4"/>
      <c r="N2469" s="4" t="s">
        <v>2001</v>
      </c>
      <c r="O2469" s="4" t="s">
        <v>2002</v>
      </c>
      <c r="P2469" s="4" t="s">
        <v>71</v>
      </c>
      <c r="Q2469" s="4" t="s">
        <v>2123</v>
      </c>
      <c r="R2469" s="4"/>
      <c r="S2469" s="4"/>
      <c r="T2469" s="4"/>
      <c r="U2469" s="4"/>
      <c r="V2469" s="4"/>
      <c r="W2469" s="4" t="s">
        <v>3412</v>
      </c>
      <c r="X2469" s="4" t="s">
        <v>3413</v>
      </c>
      <c r="Y2469" s="4" t="inlineStr">
        <is>
          <t>COMB_GLP</t>
        </is>
      </c>
      <c r="Z2469" s="4"/>
      <c r="AA2469" s="4"/>
      <c r="AB2469" s="4"/>
      <c r="AC2469" s="4" t="s">
        <v>3352</v>
      </c>
      <c r="AD2469" s="4"/>
      <c r="AE2469" s="4"/>
      <c r="AF2469" s="4"/>
      <c r="AG2469" s="4"/>
      <c r="AH2469" s="4"/>
      <c r="AI2469" s="4"/>
      <c r="AJ2469" s="13" t="n">
        <v>1</v>
      </c>
      <c r="AK2469" s="4"/>
      <c r="AL2469" s="4"/>
      <c r="AM2469" s="4"/>
    </row>
    <row r="2470" customFormat="false" ht="23.85" hidden="false" customHeight="false" outlineLevel="0" collapsed="false">
      <c r="A2470" s="4" t="s">
        <v>3338</v>
      </c>
      <c r="B2470" s="4" t="s">
        <v>3445</v>
      </c>
      <c r="C2470" s="4" t="s">
        <v>3445</v>
      </c>
      <c r="D2470" s="12" t="n">
        <v>2024</v>
      </c>
      <c r="E2470" s="4"/>
      <c r="F2470" s="4" t="s">
        <v>1990</v>
      </c>
      <c r="G2470" s="4" t="s">
        <v>170</v>
      </c>
      <c r="H2470" s="4" t="s">
        <v>171</v>
      </c>
      <c r="I2470" s="4" t="s">
        <v>172</v>
      </c>
      <c r="J2470" s="4" t="s">
        <v>1938</v>
      </c>
      <c r="K2470" s="4" t="s">
        <v>105</v>
      </c>
      <c r="L2470" s="4"/>
      <c r="M2470" s="4"/>
      <c r="N2470" s="4" t="s">
        <v>2001</v>
      </c>
      <c r="O2470" s="4" t="s">
        <v>2074</v>
      </c>
      <c r="P2470" s="4" t="s">
        <v>73</v>
      </c>
      <c r="Q2470" s="4" t="s">
        <v>2075</v>
      </c>
      <c r="R2470" s="4"/>
      <c r="S2470" s="4"/>
      <c r="T2470" s="4"/>
      <c r="U2470" s="4"/>
      <c r="V2470" s="4"/>
      <c r="W2470" s="4" t="s">
        <v>3380</v>
      </c>
      <c r="X2470" s="4" t="s">
        <v>3381</v>
      </c>
      <c r="Y2470" s="4" t="inlineStr">
        <is>
          <t>COMB_GLP</t>
        </is>
      </c>
      <c r="Z2470" s="4"/>
      <c r="AA2470" s="4"/>
      <c r="AB2470" s="4"/>
      <c r="AC2470" s="4" t="s">
        <v>3352</v>
      </c>
      <c r="AD2470" s="4"/>
      <c r="AE2470" s="4"/>
      <c r="AF2470" s="4"/>
      <c r="AG2470" s="4"/>
      <c r="AH2470" s="4"/>
      <c r="AI2470" s="4"/>
      <c r="AJ2470" s="13" t="n">
        <v>1</v>
      </c>
      <c r="AK2470" s="4"/>
      <c r="AL2470" s="4"/>
      <c r="AM2470" s="4"/>
    </row>
    <row r="2471" customFormat="false" ht="23.85" hidden="false" customHeight="false" outlineLevel="0" collapsed="false">
      <c r="A2471" s="4" t="s">
        <v>3338</v>
      </c>
      <c r="B2471" s="4" t="s">
        <v>3446</v>
      </c>
      <c r="C2471" s="4" t="s">
        <v>3446</v>
      </c>
      <c r="D2471" s="12" t="n">
        <v>2024</v>
      </c>
      <c r="E2471" s="4"/>
      <c r="F2471" s="4" t="s">
        <v>1990</v>
      </c>
      <c r="G2471" s="4" t="s">
        <v>170</v>
      </c>
      <c r="H2471" s="4" t="s">
        <v>171</v>
      </c>
      <c r="I2471" s="4" t="s">
        <v>172</v>
      </c>
      <c r="J2471" s="4" t="s">
        <v>1939</v>
      </c>
      <c r="K2471" s="4" t="s">
        <v>105</v>
      </c>
      <c r="L2471" s="4"/>
      <c r="M2471" s="4"/>
      <c r="N2471" s="4" t="s">
        <v>2001</v>
      </c>
      <c r="O2471" s="4" t="s">
        <v>2002</v>
      </c>
      <c r="P2471" s="4" t="s">
        <v>72</v>
      </c>
      <c r="Q2471" s="4" t="s">
        <v>2079</v>
      </c>
      <c r="R2471" s="4"/>
      <c r="S2471" s="4"/>
      <c r="T2471" s="4"/>
      <c r="U2471" s="4"/>
      <c r="V2471" s="4"/>
      <c r="W2471" s="4" t="s">
        <v>3383</v>
      </c>
      <c r="X2471" s="4" t="s">
        <v>3384</v>
      </c>
      <c r="Y2471" s="4" t="inlineStr">
        <is>
          <t>COMB_GLP</t>
        </is>
      </c>
      <c r="Z2471" s="4"/>
      <c r="AA2471" s="4"/>
      <c r="AB2471" s="4"/>
      <c r="AC2471" s="4" t="s">
        <v>3352</v>
      </c>
      <c r="AD2471" s="4"/>
      <c r="AE2471" s="4"/>
      <c r="AF2471" s="4"/>
      <c r="AG2471" s="4"/>
      <c r="AH2471" s="4"/>
      <c r="AI2471" s="4"/>
      <c r="AJ2471" s="13" t="n">
        <v>1</v>
      </c>
      <c r="AK2471" s="4"/>
      <c r="AL2471" s="4"/>
      <c r="AM2471" s="4"/>
    </row>
    <row r="2472" customFormat="false" ht="23.85" hidden="false" customHeight="false" outlineLevel="0" collapsed="false">
      <c r="A2472" s="4" t="s">
        <v>3338</v>
      </c>
      <c r="B2472" s="4" t="s">
        <v>3447</v>
      </c>
      <c r="C2472" s="4" t="s">
        <v>3447</v>
      </c>
      <c r="D2472" s="12" t="n">
        <v>2024</v>
      </c>
      <c r="E2472" s="4"/>
      <c r="F2472" s="4" t="s">
        <v>1990</v>
      </c>
      <c r="G2472" s="4" t="s">
        <v>170</v>
      </c>
      <c r="H2472" s="4" t="s">
        <v>171</v>
      </c>
      <c r="I2472" s="4" t="s">
        <v>172</v>
      </c>
      <c r="J2472" s="4" t="s">
        <v>1940</v>
      </c>
      <c r="K2472" s="4" t="s">
        <v>105</v>
      </c>
      <c r="L2472" s="4"/>
      <c r="M2472" s="4"/>
      <c r="N2472" s="4" t="s">
        <v>2001</v>
      </c>
      <c r="O2472" s="4" t="s">
        <v>2002</v>
      </c>
      <c r="P2472" s="4" t="s">
        <v>68</v>
      </c>
      <c r="Q2472" s="4" t="s">
        <v>2111</v>
      </c>
      <c r="R2472" s="4"/>
      <c r="S2472" s="4"/>
      <c r="T2472" s="4"/>
      <c r="U2472" s="4"/>
      <c r="V2472" s="4"/>
      <c r="W2472" s="4" t="s">
        <v>3404</v>
      </c>
      <c r="X2472" s="4" t="s">
        <v>3405</v>
      </c>
      <c r="Y2472" s="4" t="inlineStr">
        <is>
          <t>COMB_GLP</t>
        </is>
      </c>
      <c r="Z2472" s="4"/>
      <c r="AA2472" s="4"/>
      <c r="AB2472" s="4"/>
      <c r="AC2472" s="4" t="s">
        <v>3352</v>
      </c>
      <c r="AD2472" s="4"/>
      <c r="AE2472" s="4"/>
      <c r="AF2472" s="4"/>
      <c r="AG2472" s="4"/>
      <c r="AH2472" s="4"/>
      <c r="AI2472" s="4"/>
      <c r="AJ2472" s="13" t="n">
        <v>1</v>
      </c>
      <c r="AK2472" s="4"/>
      <c r="AL2472" s="4"/>
      <c r="AM2472" s="4"/>
    </row>
    <row r="2473" customFormat="false" ht="23.85" hidden="false" customHeight="false" outlineLevel="0" collapsed="false">
      <c r="A2473" s="4" t="s">
        <v>3338</v>
      </c>
      <c r="B2473" s="4" t="s">
        <v>3448</v>
      </c>
      <c r="C2473" s="4" t="s">
        <v>3448</v>
      </c>
      <c r="D2473" s="12" t="n">
        <v>2024</v>
      </c>
      <c r="E2473" s="4"/>
      <c r="F2473" s="4" t="s">
        <v>1990</v>
      </c>
      <c r="G2473" s="4" t="s">
        <v>170</v>
      </c>
      <c r="H2473" s="4" t="s">
        <v>171</v>
      </c>
      <c r="I2473" s="4" t="s">
        <v>172</v>
      </c>
      <c r="J2473" s="4" t="s">
        <v>1944</v>
      </c>
      <c r="K2473" s="4" t="s">
        <v>107</v>
      </c>
      <c r="L2473" s="4"/>
      <c r="M2473" s="4"/>
      <c r="N2473" s="4" t="s">
        <v>1994</v>
      </c>
      <c r="O2473" s="4" t="s">
        <v>2029</v>
      </c>
      <c r="P2473" s="4" t="s">
        <v>69</v>
      </c>
      <c r="Q2473" s="4" t="s">
        <v>2030</v>
      </c>
      <c r="R2473" s="4"/>
      <c r="S2473" s="4"/>
      <c r="T2473" s="4"/>
      <c r="U2473" s="4"/>
      <c r="V2473" s="4"/>
      <c r="W2473" s="4"/>
      <c r="X2473" s="4"/>
      <c r="Y2473" s="4"/>
      <c r="Z2473" s="4"/>
      <c r="AA2473" s="4"/>
      <c r="AB2473" s="4"/>
      <c r="AC2473" s="4"/>
      <c r="AD2473" s="4"/>
      <c r="AE2473" s="4"/>
      <c r="AF2473" s="4"/>
      <c r="AG2473" s="4"/>
      <c r="AH2473" s="4"/>
      <c r="AI2473" s="4"/>
      <c r="AJ2473" s="13" t="n">
        <v>0</v>
      </c>
      <c r="AK2473" s="4"/>
      <c r="AL2473" s="4"/>
      <c r="AM2473" s="4"/>
    </row>
    <row r="2474" customFormat="false" ht="23.85" hidden="false" customHeight="false" outlineLevel="0" collapsed="false">
      <c r="A2474" s="4" t="s">
        <v>3338</v>
      </c>
      <c r="B2474" s="4" t="s">
        <v>3449</v>
      </c>
      <c r="C2474" s="4" t="s">
        <v>3449</v>
      </c>
      <c r="D2474" s="12" t="n">
        <v>2024</v>
      </c>
      <c r="E2474" s="4"/>
      <c r="F2474" s="4" t="s">
        <v>1990</v>
      </c>
      <c r="G2474" s="4" t="s">
        <v>170</v>
      </c>
      <c r="H2474" s="4" t="s">
        <v>171</v>
      </c>
      <c r="I2474" s="4" t="s">
        <v>172</v>
      </c>
      <c r="J2474" s="4" t="s">
        <v>1946</v>
      </c>
      <c r="K2474" s="4" t="s">
        <v>107</v>
      </c>
      <c r="L2474" s="4"/>
      <c r="M2474" s="4"/>
      <c r="N2474" s="4" t="s">
        <v>2001</v>
      </c>
      <c r="O2474" s="4" t="s">
        <v>2034</v>
      </c>
      <c r="P2474" s="4" t="s">
        <v>74</v>
      </c>
      <c r="Q2474" s="4" t="s">
        <v>2035</v>
      </c>
      <c r="R2474" s="4"/>
      <c r="S2474" s="4"/>
      <c r="T2474" s="4"/>
      <c r="U2474" s="4"/>
      <c r="V2474" s="4"/>
      <c r="W2474" s="4"/>
      <c r="X2474" s="4"/>
      <c r="Y2474" s="4"/>
      <c r="Z2474" s="4"/>
      <c r="AA2474" s="4"/>
      <c r="AB2474" s="4"/>
      <c r="AC2474" s="4"/>
      <c r="AD2474" s="4"/>
      <c r="AE2474" s="4"/>
      <c r="AF2474" s="4"/>
      <c r="AG2474" s="4"/>
      <c r="AH2474" s="4"/>
      <c r="AI2474" s="4"/>
      <c r="AJ2474" s="13" t="n">
        <v>0</v>
      </c>
      <c r="AK2474" s="4"/>
      <c r="AL2474" s="4"/>
      <c r="AM2474" s="4"/>
    </row>
    <row r="2475" customFormat="false" ht="23.85" hidden="false" customHeight="false" outlineLevel="0" collapsed="false">
      <c r="A2475" s="4" t="s">
        <v>3338</v>
      </c>
      <c r="B2475" s="4" t="s">
        <v>3450</v>
      </c>
      <c r="C2475" s="4" t="s">
        <v>3450</v>
      </c>
      <c r="D2475" s="12" t="n">
        <v>2024</v>
      </c>
      <c r="E2475" s="4"/>
      <c r="F2475" s="4" t="s">
        <v>1990</v>
      </c>
      <c r="G2475" s="4" t="s">
        <v>170</v>
      </c>
      <c r="H2475" s="4" t="s">
        <v>171</v>
      </c>
      <c r="I2475" s="4" t="s">
        <v>172</v>
      </c>
      <c r="J2475" s="4" t="s">
        <v>1951</v>
      </c>
      <c r="K2475" s="4" t="s">
        <v>107</v>
      </c>
      <c r="L2475" s="4"/>
      <c r="M2475" s="4"/>
      <c r="N2475" s="4" t="s">
        <v>2001</v>
      </c>
      <c r="O2475" s="4" t="s">
        <v>2002</v>
      </c>
      <c r="P2475" s="4" t="s">
        <v>71</v>
      </c>
      <c r="Q2475" s="4" t="s">
        <v>2123</v>
      </c>
      <c r="R2475" s="4"/>
      <c r="S2475" s="4"/>
      <c r="T2475" s="4"/>
      <c r="U2475" s="4"/>
      <c r="V2475" s="4"/>
      <c r="W2475" s="4" t="s">
        <v>3412</v>
      </c>
      <c r="X2475" s="4" t="s">
        <v>3413</v>
      </c>
      <c r="Y2475" s="4" t="inlineStr">
        <is>
          <t>COMB_KER</t>
        </is>
      </c>
      <c r="Z2475" s="4"/>
      <c r="AA2475" s="4"/>
      <c r="AB2475" s="4"/>
      <c r="AC2475" s="4" t="s">
        <v>3352</v>
      </c>
      <c r="AD2475" s="4"/>
      <c r="AE2475" s="4"/>
      <c r="AF2475" s="4"/>
      <c r="AG2475" s="4"/>
      <c r="AH2475" s="4"/>
      <c r="AI2475" s="4"/>
      <c r="AJ2475" s="13" t="n">
        <v>1</v>
      </c>
      <c r="AK2475" s="4"/>
      <c r="AL2475" s="4"/>
      <c r="AM2475" s="4"/>
    </row>
    <row r="2476" customFormat="false" ht="23.85" hidden="false" customHeight="false" outlineLevel="0" collapsed="false">
      <c r="A2476" s="4" t="s">
        <v>3338</v>
      </c>
      <c r="B2476" s="4" t="s">
        <v>3451</v>
      </c>
      <c r="C2476" s="4" t="s">
        <v>3451</v>
      </c>
      <c r="D2476" s="12" t="n">
        <v>2024</v>
      </c>
      <c r="E2476" s="4"/>
      <c r="F2476" s="4" t="s">
        <v>1990</v>
      </c>
      <c r="G2476" s="4" t="s">
        <v>170</v>
      </c>
      <c r="H2476" s="4" t="s">
        <v>171</v>
      </c>
      <c r="I2476" s="4" t="s">
        <v>172</v>
      </c>
      <c r="J2476" s="4" t="s">
        <v>1959</v>
      </c>
      <c r="K2476" s="4" t="s">
        <v>111</v>
      </c>
      <c r="L2476" s="4"/>
      <c r="M2476" s="4"/>
      <c r="N2476" s="4" t="s">
        <v>1994</v>
      </c>
      <c r="O2476" s="4" t="s">
        <v>2029</v>
      </c>
      <c r="P2476" s="4" t="s">
        <v>69</v>
      </c>
      <c r="Q2476" s="4" t="s">
        <v>2030</v>
      </c>
      <c r="R2476" s="4"/>
      <c r="S2476" s="4"/>
      <c r="T2476" s="4"/>
      <c r="U2476" s="4"/>
      <c r="V2476" s="4"/>
      <c r="W2476" s="4"/>
      <c r="X2476" s="4"/>
      <c r="Y2476" s="4"/>
      <c r="Z2476" s="4"/>
      <c r="AA2476" s="4"/>
      <c r="AB2476" s="4"/>
      <c r="AC2476" s="4"/>
      <c r="AD2476" s="4"/>
      <c r="AE2476" s="4"/>
      <c r="AF2476" s="4"/>
      <c r="AG2476" s="4"/>
      <c r="AH2476" s="4"/>
      <c r="AI2476" s="4"/>
      <c r="AJ2476" s="13" t="n">
        <v>0</v>
      </c>
      <c r="AK2476" s="4"/>
      <c r="AL2476" s="4"/>
      <c r="AM2476" s="4"/>
    </row>
    <row r="2477" customFormat="false" ht="23.85" hidden="false" customHeight="false" outlineLevel="0" collapsed="false">
      <c r="A2477" s="4" t="s">
        <v>3338</v>
      </c>
      <c r="B2477" s="4" t="s">
        <v>3452</v>
      </c>
      <c r="C2477" s="4" t="s">
        <v>3452</v>
      </c>
      <c r="D2477" s="12" t="n">
        <v>2024</v>
      </c>
      <c r="E2477" s="4"/>
      <c r="F2477" s="4" t="s">
        <v>1990</v>
      </c>
      <c r="G2477" s="4" t="s">
        <v>170</v>
      </c>
      <c r="H2477" s="4" t="s">
        <v>171</v>
      </c>
      <c r="I2477" s="4" t="s">
        <v>172</v>
      </c>
      <c r="J2477" s="4" t="s">
        <v>1960</v>
      </c>
      <c r="K2477" s="4" t="s">
        <v>111</v>
      </c>
      <c r="L2477" s="4"/>
      <c r="M2477" s="4"/>
      <c r="N2477" s="4" t="s">
        <v>2001</v>
      </c>
      <c r="O2477" s="4" t="s">
        <v>2091</v>
      </c>
      <c r="P2477" s="4" t="s">
        <v>69</v>
      </c>
      <c r="Q2477" s="4" t="s">
        <v>2030</v>
      </c>
      <c r="R2477" s="4"/>
      <c r="S2477" s="4"/>
      <c r="T2477" s="4"/>
      <c r="U2477" s="4"/>
      <c r="V2477" s="4"/>
      <c r="W2477" s="4"/>
      <c r="X2477" s="4"/>
      <c r="Y2477" s="4"/>
      <c r="Z2477" s="4"/>
      <c r="AA2477" s="4"/>
      <c r="AB2477" s="4"/>
      <c r="AC2477" s="4"/>
      <c r="AD2477" s="4"/>
      <c r="AE2477" s="4"/>
      <c r="AF2477" s="4"/>
      <c r="AG2477" s="4"/>
      <c r="AH2477" s="4"/>
      <c r="AI2477" s="4"/>
      <c r="AJ2477" s="13" t="n">
        <v>0</v>
      </c>
      <c r="AK2477" s="4"/>
      <c r="AL2477" s="4"/>
      <c r="AM2477" s="4"/>
    </row>
    <row r="2478" customFormat="false" ht="23.85" hidden="false" customHeight="false" outlineLevel="0" collapsed="false">
      <c r="A2478" s="4" t="s">
        <v>3338</v>
      </c>
      <c r="B2478" s="4" t="s">
        <v>3453</v>
      </c>
      <c r="C2478" s="4" t="s">
        <v>3453</v>
      </c>
      <c r="D2478" s="12" t="n">
        <v>2024</v>
      </c>
      <c r="E2478" s="4"/>
      <c r="F2478" s="4" t="s">
        <v>1990</v>
      </c>
      <c r="G2478" s="4" t="s">
        <v>170</v>
      </c>
      <c r="H2478" s="4" t="s">
        <v>171</v>
      </c>
      <c r="I2478" s="4" t="s">
        <v>172</v>
      </c>
      <c r="J2478" s="4" t="s">
        <v>1961</v>
      </c>
      <c r="K2478" s="4" t="s">
        <v>111</v>
      </c>
      <c r="L2478" s="4"/>
      <c r="M2478" s="4"/>
      <c r="N2478" s="4" t="s">
        <v>2001</v>
      </c>
      <c r="O2478" s="4" t="s">
        <v>2034</v>
      </c>
      <c r="P2478" s="4" t="s">
        <v>74</v>
      </c>
      <c r="Q2478" s="4" t="s">
        <v>2035</v>
      </c>
      <c r="R2478" s="4"/>
      <c r="S2478" s="4"/>
      <c r="T2478" s="4"/>
      <c r="U2478" s="4"/>
      <c r="V2478" s="4"/>
      <c r="W2478" s="4"/>
      <c r="X2478" s="4"/>
      <c r="Y2478" s="4"/>
      <c r="Z2478" s="4"/>
      <c r="AA2478" s="4"/>
      <c r="AB2478" s="4"/>
      <c r="AC2478" s="4"/>
      <c r="AD2478" s="4"/>
      <c r="AE2478" s="4"/>
      <c r="AF2478" s="4"/>
      <c r="AG2478" s="4"/>
      <c r="AH2478" s="4"/>
      <c r="AI2478" s="4"/>
      <c r="AJ2478" s="13" t="n">
        <v>0</v>
      </c>
      <c r="AK2478" s="4"/>
      <c r="AL2478" s="4"/>
      <c r="AM2478" s="4"/>
    </row>
    <row r="2479" customFormat="false" ht="23.85" hidden="false" customHeight="false" outlineLevel="0" collapsed="false">
      <c r="A2479" s="4" t="s">
        <v>3338</v>
      </c>
      <c r="B2479" s="4" t="s">
        <v>3454</v>
      </c>
      <c r="C2479" s="4" t="s">
        <v>3454</v>
      </c>
      <c r="D2479" s="12" t="n">
        <v>2024</v>
      </c>
      <c r="E2479" s="4"/>
      <c r="F2479" s="4" t="s">
        <v>1990</v>
      </c>
      <c r="G2479" s="4" t="s">
        <v>170</v>
      </c>
      <c r="H2479" s="4" t="s">
        <v>171</v>
      </c>
      <c r="I2479" s="4" t="s">
        <v>172</v>
      </c>
      <c r="J2479" s="4" t="s">
        <v>1962</v>
      </c>
      <c r="K2479" s="4" t="s">
        <v>111</v>
      </c>
      <c r="L2479" s="4"/>
      <c r="M2479" s="4"/>
      <c r="N2479" s="4" t="s">
        <v>1994</v>
      </c>
      <c r="O2479" s="4" t="s">
        <v>1995</v>
      </c>
      <c r="P2479" s="4" t="s">
        <v>67</v>
      </c>
      <c r="Q2479" s="4" t="s">
        <v>2097</v>
      </c>
      <c r="R2479" s="4"/>
      <c r="S2479" s="4"/>
      <c r="T2479" s="4"/>
      <c r="U2479" s="4"/>
      <c r="V2479" s="4"/>
      <c r="W2479" s="4"/>
      <c r="X2479" s="4"/>
      <c r="Y2479" s="4"/>
      <c r="Z2479" s="4"/>
      <c r="AA2479" s="4"/>
      <c r="AB2479" s="4"/>
      <c r="AC2479" s="4"/>
      <c r="AD2479" s="4"/>
      <c r="AE2479" s="4"/>
      <c r="AF2479" s="4"/>
      <c r="AG2479" s="4"/>
      <c r="AH2479" s="4"/>
      <c r="AI2479" s="4"/>
      <c r="AJ2479" s="13" t="n">
        <v>0</v>
      </c>
      <c r="AK2479" s="4"/>
      <c r="AL2479" s="4"/>
      <c r="AM2479" s="4"/>
    </row>
    <row r="2480" customFormat="false" ht="23.85" hidden="false" customHeight="false" outlineLevel="0" collapsed="false">
      <c r="A2480" s="4" t="s">
        <v>3338</v>
      </c>
      <c r="B2480" s="4" t="s">
        <v>3455</v>
      </c>
      <c r="C2480" s="4" t="s">
        <v>3455</v>
      </c>
      <c r="D2480" s="12" t="n">
        <v>2024</v>
      </c>
      <c r="E2480" s="4"/>
      <c r="F2480" s="4" t="s">
        <v>1990</v>
      </c>
      <c r="G2480" s="4" t="s">
        <v>170</v>
      </c>
      <c r="H2480" s="4" t="s">
        <v>171</v>
      </c>
      <c r="I2480" s="4" t="s">
        <v>172</v>
      </c>
      <c r="J2480" s="4" t="s">
        <v>2217</v>
      </c>
      <c r="K2480" s="4" t="s">
        <v>99</v>
      </c>
      <c r="L2480" s="4"/>
      <c r="M2480" s="4"/>
      <c r="N2480" s="4" t="s">
        <v>2001</v>
      </c>
      <c r="O2480" s="4" t="s">
        <v>2218</v>
      </c>
      <c r="P2480" s="4" t="s">
        <v>44</v>
      </c>
      <c r="Q2480" s="4" t="s">
        <v>2219</v>
      </c>
      <c r="R2480" s="4"/>
      <c r="S2480" s="4"/>
      <c r="T2480" s="4"/>
      <c r="U2480" s="4"/>
      <c r="V2480" s="4"/>
      <c r="W2480" s="4"/>
      <c r="X2480" s="4"/>
      <c r="Y2480" s="4"/>
      <c r="Z2480" s="4"/>
      <c r="AA2480" s="4"/>
      <c r="AB2480" s="4"/>
      <c r="AC2480" s="4"/>
      <c r="AD2480" s="4"/>
      <c r="AE2480" s="4"/>
      <c r="AF2480" s="4"/>
      <c r="AG2480" s="4"/>
      <c r="AH2480" s="4"/>
      <c r="AI2480" s="4"/>
      <c r="AJ2480" s="13" t="n">
        <v>0</v>
      </c>
      <c r="AK2480" s="4"/>
      <c r="AL2480" s="4"/>
      <c r="AM2480" s="4"/>
    </row>
    <row r="2481" customFormat="false" ht="23.85" hidden="false" customHeight="false" outlineLevel="0" collapsed="false">
      <c r="A2481" s="4" t="s">
        <v>3338</v>
      </c>
      <c r="B2481" s="4" t="s">
        <v>3456</v>
      </c>
      <c r="C2481" s="4" t="s">
        <v>3456</v>
      </c>
      <c r="D2481" s="12" t="n">
        <v>2024</v>
      </c>
      <c r="E2481" s="4"/>
      <c r="F2481" s="4" t="s">
        <v>1990</v>
      </c>
      <c r="G2481" s="4" t="s">
        <v>170</v>
      </c>
      <c r="H2481" s="4" t="s">
        <v>171</v>
      </c>
      <c r="I2481" s="4" t="s">
        <v>172</v>
      </c>
      <c r="J2481" s="4" t="s">
        <v>2224</v>
      </c>
      <c r="K2481" s="4" t="s">
        <v>103</v>
      </c>
      <c r="L2481" s="4"/>
      <c r="M2481" s="4"/>
      <c r="N2481" s="4" t="s">
        <v>2001</v>
      </c>
      <c r="O2481" s="4" t="s">
        <v>2218</v>
      </c>
      <c r="P2481" s="4" t="s">
        <v>44</v>
      </c>
      <c r="Q2481" s="4" t="s">
        <v>2219</v>
      </c>
      <c r="R2481" s="4"/>
      <c r="S2481" s="4"/>
      <c r="T2481" s="4"/>
      <c r="U2481" s="4"/>
      <c r="V2481" s="4"/>
      <c r="W2481" s="4"/>
      <c r="X2481" s="4"/>
      <c r="Y2481" s="4"/>
      <c r="Z2481" s="4"/>
      <c r="AA2481" s="4"/>
      <c r="AB2481" s="4"/>
      <c r="AC2481" s="4"/>
      <c r="AD2481" s="4"/>
      <c r="AE2481" s="4"/>
      <c r="AF2481" s="4"/>
      <c r="AG2481" s="4"/>
      <c r="AH2481" s="4"/>
      <c r="AI2481" s="4"/>
      <c r="AJ2481" s="13" t="n">
        <v>0</v>
      </c>
      <c r="AK2481" s="4"/>
      <c r="AL2481" s="4"/>
      <c r="AM2481" s="4"/>
    </row>
    <row r="2482" customFormat="false" ht="35.05" hidden="false" customHeight="false" outlineLevel="0" collapsed="false">
      <c r="A2482" s="4" t="s">
        <v>3338</v>
      </c>
      <c r="B2482" s="4" t="s">
        <v>3457</v>
      </c>
      <c r="C2482" s="4" t="s">
        <v>3457</v>
      </c>
      <c r="D2482" s="12" t="n">
        <v>2024</v>
      </c>
      <c r="E2482" s="4"/>
      <c r="F2482" s="4" t="s">
        <v>1990</v>
      </c>
      <c r="G2482" s="4" t="s">
        <v>1991</v>
      </c>
      <c r="H2482" s="4" t="s">
        <v>3458</v>
      </c>
      <c r="I2482" s="4"/>
      <c r="J2482" s="4" t="s">
        <v>2227</v>
      </c>
      <c r="K2482" s="4" t="s">
        <v>111</v>
      </c>
      <c r="L2482" s="4"/>
      <c r="M2482" s="4"/>
      <c r="N2482" s="4" t="s">
        <v>2001</v>
      </c>
      <c r="O2482" s="4" t="s">
        <v>2002</v>
      </c>
      <c r="P2482" s="4" t="s">
        <v>41</v>
      </c>
      <c r="Q2482" s="4" t="s">
        <v>2228</v>
      </c>
      <c r="R2482" s="4"/>
      <c r="S2482" s="4"/>
      <c r="T2482" s="4"/>
      <c r="U2482" s="4"/>
      <c r="V2482" s="4"/>
      <c r="W2482" s="4"/>
      <c r="X2482" s="4"/>
      <c r="Y2482" s="4"/>
      <c r="Z2482" s="4"/>
      <c r="AA2482" s="4"/>
      <c r="AB2482" s="4"/>
      <c r="AC2482" s="4"/>
      <c r="AD2482" s="4"/>
      <c r="AE2482" s="4"/>
      <c r="AF2482" s="4"/>
      <c r="AG2482" s="4"/>
      <c r="AH2482" s="4"/>
      <c r="AI2482" s="4"/>
      <c r="AJ2482" s="13" t="n">
        <v>0</v>
      </c>
      <c r="AK2482" s="4"/>
      <c r="AL2482" s="4"/>
      <c r="AM2482" s="4" t="s">
        <v>3459</v>
      </c>
    </row>
    <row r="2483" customFormat="false" ht="23.85" hidden="false" customHeight="false" outlineLevel="0" collapsed="false">
      <c r="A2483" s="4" t="s">
        <v>3338</v>
      </c>
      <c r="B2483" s="4" t="s">
        <v>3460</v>
      </c>
      <c r="C2483" s="4" t="s">
        <v>3460</v>
      </c>
      <c r="D2483" s="12" t="n">
        <v>2023</v>
      </c>
      <c r="E2483" s="4"/>
      <c r="F2483" s="4" t="s">
        <v>1990</v>
      </c>
      <c r="G2483" s="4" t="s">
        <v>170</v>
      </c>
      <c r="H2483" s="4" t="s">
        <v>171</v>
      </c>
      <c r="I2483" s="4" t="s">
        <v>172</v>
      </c>
      <c r="J2483" s="4" t="s">
        <v>1425</v>
      </c>
      <c r="K2483" s="4" t="s">
        <v>91</v>
      </c>
      <c r="L2483" s="4"/>
      <c r="M2483" s="4"/>
      <c r="N2483" s="4" t="s">
        <v>1994</v>
      </c>
      <c r="O2483" s="4" t="s">
        <v>1995</v>
      </c>
      <c r="P2483" s="4" t="s">
        <v>68</v>
      </c>
      <c r="Q2483" s="4" t="s">
        <v>1996</v>
      </c>
      <c r="R2483" s="4"/>
      <c r="S2483" s="4"/>
      <c r="T2483" s="4"/>
      <c r="U2483" s="4"/>
      <c r="V2483" s="4"/>
      <c r="W2483" s="4"/>
      <c r="X2483" s="4"/>
      <c r="Y2483" s="4"/>
      <c r="Z2483" s="4"/>
      <c r="AA2483" s="4"/>
      <c r="AB2483" s="4"/>
      <c r="AC2483" s="4"/>
      <c r="AD2483" s="4"/>
      <c r="AE2483" s="4"/>
      <c r="AF2483" s="4"/>
      <c r="AG2483" s="4"/>
      <c r="AH2483" s="4"/>
      <c r="AI2483" s="4"/>
      <c r="AJ2483" s="13" t="n">
        <v>0</v>
      </c>
      <c r="AK2483" s="4"/>
      <c r="AL2483" s="4"/>
      <c r="AM2483" s="4"/>
    </row>
    <row r="2484" customFormat="false" ht="23.85" hidden="false" customHeight="false" outlineLevel="0" collapsed="false">
      <c r="A2484" s="4" t="s">
        <v>3338</v>
      </c>
      <c r="B2484" s="4" t="s">
        <v>3461</v>
      </c>
      <c r="C2484" s="4" t="s">
        <v>3461</v>
      </c>
      <c r="D2484" s="12" t="n">
        <v>2023</v>
      </c>
      <c r="E2484" s="4"/>
      <c r="F2484" s="4" t="s">
        <v>1990</v>
      </c>
      <c r="G2484" s="4" t="s">
        <v>170</v>
      </c>
      <c r="H2484" s="4" t="s">
        <v>171</v>
      </c>
      <c r="I2484" s="4" t="s">
        <v>172</v>
      </c>
      <c r="J2484" s="4" t="s">
        <v>1430</v>
      </c>
      <c r="K2484" s="4" t="s">
        <v>91</v>
      </c>
      <c r="L2484" s="4"/>
      <c r="M2484" s="4"/>
      <c r="N2484" s="4" t="s">
        <v>2001</v>
      </c>
      <c r="O2484" s="4" t="s">
        <v>2002</v>
      </c>
      <c r="P2484" s="4" t="s">
        <v>67</v>
      </c>
      <c r="Q2484" s="4" t="s">
        <v>2003</v>
      </c>
      <c r="R2484" s="4"/>
      <c r="S2484" s="4"/>
      <c r="T2484" s="4"/>
      <c r="U2484" s="4"/>
      <c r="V2484" s="4"/>
      <c r="W2484" s="4" t="s">
        <v>3341</v>
      </c>
      <c r="X2484" s="4" t="s">
        <v>3342</v>
      </c>
      <c r="Y2484" s="4" t="inlineStr">
        <is>
          <t>COMB_BCANA</t>
        </is>
      </c>
      <c r="Z2484" s="4"/>
      <c r="AA2484" s="4"/>
      <c r="AB2484" s="4"/>
      <c r="AC2484" s="4" t="s">
        <v>3344</v>
      </c>
      <c r="AD2484" s="4"/>
      <c r="AE2484" s="4"/>
      <c r="AF2484" s="4"/>
      <c r="AG2484" s="4"/>
      <c r="AH2484" s="4"/>
      <c r="AI2484" s="4"/>
      <c r="AJ2484" s="13" t="n">
        <v>1</v>
      </c>
      <c r="AK2484" s="4"/>
      <c r="AL2484" s="4"/>
      <c r="AM2484" s="4"/>
    </row>
    <row r="2485" customFormat="false" ht="23.85" hidden="false" customHeight="false" outlineLevel="0" collapsed="false">
      <c r="A2485" s="4" t="s">
        <v>3338</v>
      </c>
      <c r="B2485" s="4" t="s">
        <v>3462</v>
      </c>
      <c r="C2485" s="4" t="s">
        <v>3462</v>
      </c>
      <c r="D2485" s="12" t="n">
        <v>2023</v>
      </c>
      <c r="E2485" s="4"/>
      <c r="F2485" s="4" t="s">
        <v>1990</v>
      </c>
      <c r="G2485" s="4" t="s">
        <v>170</v>
      </c>
      <c r="H2485" s="4" t="s">
        <v>171</v>
      </c>
      <c r="I2485" s="4" t="s">
        <v>172</v>
      </c>
      <c r="J2485" s="4" t="s">
        <v>1431</v>
      </c>
      <c r="K2485" s="4" t="s">
        <v>91</v>
      </c>
      <c r="L2485" s="4"/>
      <c r="M2485" s="4"/>
      <c r="N2485" s="4" t="s">
        <v>2001</v>
      </c>
      <c r="O2485" s="4" t="s">
        <v>2002</v>
      </c>
      <c r="P2485" s="4" t="s">
        <v>67</v>
      </c>
      <c r="Q2485" s="4" t="s">
        <v>2008</v>
      </c>
      <c r="R2485" s="4"/>
      <c r="S2485" s="4"/>
      <c r="T2485" s="4"/>
      <c r="U2485" s="4"/>
      <c r="V2485" s="4"/>
      <c r="W2485" s="4" t="s">
        <v>3341</v>
      </c>
      <c r="X2485" s="4" t="s">
        <v>3342</v>
      </c>
      <c r="Y2485" s="4" t="inlineStr">
        <is>
          <t>COMB_BCANA</t>
        </is>
      </c>
      <c r="Z2485" s="4"/>
      <c r="AA2485" s="4"/>
      <c r="AB2485" s="4"/>
      <c r="AC2485" s="4" t="s">
        <v>3344</v>
      </c>
      <c r="AD2485" s="4"/>
      <c r="AE2485" s="4"/>
      <c r="AF2485" s="4"/>
      <c r="AG2485" s="4"/>
      <c r="AH2485" s="4"/>
      <c r="AI2485" s="4"/>
      <c r="AJ2485" s="13" t="n">
        <v>1</v>
      </c>
      <c r="AK2485" s="4"/>
      <c r="AL2485" s="4"/>
      <c r="AM2485" s="4"/>
    </row>
    <row r="2486" customFormat="false" ht="23.85" hidden="false" customHeight="false" outlineLevel="0" collapsed="false">
      <c r="A2486" s="4" t="s">
        <v>3338</v>
      </c>
      <c r="B2486" s="4" t="s">
        <v>3463</v>
      </c>
      <c r="C2486" s="4" t="s">
        <v>3463</v>
      </c>
      <c r="D2486" s="12" t="n">
        <v>2023</v>
      </c>
      <c r="E2486" s="4"/>
      <c r="F2486" s="4" t="s">
        <v>1990</v>
      </c>
      <c r="G2486" s="4" t="s">
        <v>170</v>
      </c>
      <c r="H2486" s="4" t="s">
        <v>171</v>
      </c>
      <c r="I2486" s="4" t="s">
        <v>172</v>
      </c>
      <c r="J2486" s="4" t="s">
        <v>1439</v>
      </c>
      <c r="K2486" s="4" t="s">
        <v>93</v>
      </c>
      <c r="L2486" s="4"/>
      <c r="M2486" s="4"/>
      <c r="N2486" s="4" t="s">
        <v>1994</v>
      </c>
      <c r="O2486" s="4" t="s">
        <v>1995</v>
      </c>
      <c r="P2486" s="4" t="s">
        <v>67</v>
      </c>
      <c r="Q2486" s="4" t="s">
        <v>2012</v>
      </c>
      <c r="R2486" s="4"/>
      <c r="S2486" s="4"/>
      <c r="T2486" s="4"/>
      <c r="U2486" s="4"/>
      <c r="V2486" s="4"/>
      <c r="W2486" s="4"/>
      <c r="X2486" s="4"/>
      <c r="Y2486" s="4"/>
      <c r="Z2486" s="4"/>
      <c r="AA2486" s="4"/>
      <c r="AB2486" s="4"/>
      <c r="AC2486" s="4"/>
      <c r="AD2486" s="4"/>
      <c r="AE2486" s="4"/>
      <c r="AF2486" s="4"/>
      <c r="AG2486" s="4"/>
      <c r="AH2486" s="4"/>
      <c r="AI2486" s="4"/>
      <c r="AJ2486" s="13" t="n">
        <v>0</v>
      </c>
      <c r="AK2486" s="4"/>
      <c r="AL2486" s="4"/>
      <c r="AM2486" s="4"/>
    </row>
    <row r="2487" customFormat="false" ht="23.85" hidden="false" customHeight="false" outlineLevel="0" collapsed="false">
      <c r="A2487" s="4" t="s">
        <v>3338</v>
      </c>
      <c r="B2487" s="4" t="s">
        <v>3464</v>
      </c>
      <c r="C2487" s="4" t="s">
        <v>3464</v>
      </c>
      <c r="D2487" s="12" t="n">
        <v>2023</v>
      </c>
      <c r="E2487" s="4"/>
      <c r="F2487" s="4" t="s">
        <v>1990</v>
      </c>
      <c r="G2487" s="4" t="s">
        <v>170</v>
      </c>
      <c r="H2487" s="4" t="s">
        <v>171</v>
      </c>
      <c r="I2487" s="4" t="s">
        <v>172</v>
      </c>
      <c r="J2487" s="4" t="s">
        <v>1444</v>
      </c>
      <c r="K2487" s="4" t="s">
        <v>93</v>
      </c>
      <c r="L2487" s="4"/>
      <c r="M2487" s="4"/>
      <c r="N2487" s="4" t="s">
        <v>2001</v>
      </c>
      <c r="O2487" s="4" t="s">
        <v>2002</v>
      </c>
      <c r="P2487" s="4" t="s">
        <v>67</v>
      </c>
      <c r="Q2487" s="4" t="s">
        <v>2003</v>
      </c>
      <c r="R2487" s="4"/>
      <c r="S2487" s="4"/>
      <c r="T2487" s="4"/>
      <c r="U2487" s="4"/>
      <c r="V2487" s="4"/>
      <c r="W2487" s="4" t="s">
        <v>3341</v>
      </c>
      <c r="X2487" s="4" t="s">
        <v>3342</v>
      </c>
      <c r="Y2487" s="4" t="inlineStr">
        <is>
          <t>COMB_BIOGAS</t>
        </is>
      </c>
      <c r="Z2487" s="4"/>
      <c r="AA2487" s="4"/>
      <c r="AB2487" s="4"/>
      <c r="AC2487" s="4" t="s">
        <v>3344</v>
      </c>
      <c r="AD2487" s="4"/>
      <c r="AE2487" s="4"/>
      <c r="AF2487" s="4"/>
      <c r="AG2487" s="4"/>
      <c r="AH2487" s="4"/>
      <c r="AI2487" s="4"/>
      <c r="AJ2487" s="13" t="n">
        <v>1</v>
      </c>
      <c r="AK2487" s="4"/>
      <c r="AL2487" s="4"/>
      <c r="AM2487" s="4"/>
    </row>
    <row r="2488" customFormat="false" ht="23.85" hidden="false" customHeight="false" outlineLevel="0" collapsed="false">
      <c r="A2488" s="4" t="s">
        <v>3338</v>
      </c>
      <c r="B2488" s="4" t="s">
        <v>3465</v>
      </c>
      <c r="C2488" s="4" t="s">
        <v>3465</v>
      </c>
      <c r="D2488" s="12" t="n">
        <v>2023</v>
      </c>
      <c r="E2488" s="4"/>
      <c r="F2488" s="4" t="s">
        <v>3349</v>
      </c>
      <c r="G2488" s="4" t="s">
        <v>170</v>
      </c>
      <c r="H2488" s="4" t="s">
        <v>171</v>
      </c>
      <c r="I2488" s="4" t="s">
        <v>172</v>
      </c>
      <c r="J2488" s="4" t="s">
        <v>1453</v>
      </c>
      <c r="K2488" s="4" t="s">
        <v>76</v>
      </c>
      <c r="L2488" s="4"/>
      <c r="M2488" s="4"/>
      <c r="N2488" s="4" t="s">
        <v>1994</v>
      </c>
      <c r="O2488" s="4" t="s">
        <v>65</v>
      </c>
      <c r="P2488" s="4" t="s">
        <v>64</v>
      </c>
      <c r="Q2488" s="4" t="s">
        <v>2019</v>
      </c>
      <c r="R2488" s="4"/>
      <c r="S2488" s="4"/>
      <c r="T2488" s="4"/>
      <c r="U2488" s="4"/>
      <c r="V2488" s="4"/>
      <c r="W2488" s="4" t="s">
        <v>3350</v>
      </c>
      <c r="X2488" s="4" t="s">
        <v>3351</v>
      </c>
      <c r="Y2488" s="4" t="s">
        <v>3349</v>
      </c>
      <c r="Z2488" s="4"/>
      <c r="AA2488" s="4"/>
      <c r="AB2488" s="4"/>
      <c r="AC2488" s="4" t="s">
        <v>3352</v>
      </c>
      <c r="AD2488" s="4"/>
      <c r="AE2488" s="4"/>
      <c r="AF2488" s="4"/>
      <c r="AG2488" s="4"/>
      <c r="AH2488" s="4"/>
      <c r="AI2488" s="4"/>
      <c r="AJ2488" s="13" t="n">
        <v>1</v>
      </c>
      <c r="AK2488" s="4"/>
      <c r="AL2488" s="4"/>
      <c r="AM2488" s="4"/>
    </row>
    <row r="2489" customFormat="false" ht="23.85" hidden="false" customHeight="false" outlineLevel="0" collapsed="false">
      <c r="A2489" s="4" t="s">
        <v>3338</v>
      </c>
      <c r="B2489" s="4" t="s">
        <v>3466</v>
      </c>
      <c r="C2489" s="4" t="s">
        <v>3466</v>
      </c>
      <c r="D2489" s="12" t="n">
        <v>2023</v>
      </c>
      <c r="E2489" s="4"/>
      <c r="F2489" s="4" t="s">
        <v>1990</v>
      </c>
      <c r="G2489" s="4" t="s">
        <v>170</v>
      </c>
      <c r="H2489" s="4" t="s">
        <v>171</v>
      </c>
      <c r="I2489" s="4" t="s">
        <v>172</v>
      </c>
      <c r="J2489" s="4" t="s">
        <v>1453</v>
      </c>
      <c r="K2489" s="4" t="s">
        <v>76</v>
      </c>
      <c r="L2489" s="4"/>
      <c r="M2489" s="4"/>
      <c r="N2489" s="4" t="s">
        <v>2001</v>
      </c>
      <c r="O2489" s="4" t="s">
        <v>66</v>
      </c>
      <c r="P2489" s="4" t="s">
        <v>66</v>
      </c>
      <c r="Q2489" s="4" t="s">
        <v>2019</v>
      </c>
      <c r="R2489" s="4"/>
      <c r="S2489" s="4"/>
      <c r="T2489" s="4"/>
      <c r="U2489" s="4"/>
      <c r="V2489" s="4"/>
      <c r="W2489" s="4"/>
      <c r="X2489" s="4"/>
      <c r="Y2489" s="4"/>
      <c r="Z2489" s="4"/>
      <c r="AA2489" s="4"/>
      <c r="AB2489" s="4"/>
      <c r="AC2489" s="4"/>
      <c r="AD2489" s="4"/>
      <c r="AE2489" s="4"/>
      <c r="AF2489" s="4"/>
      <c r="AG2489" s="4"/>
      <c r="AH2489" s="4"/>
      <c r="AI2489" s="4"/>
      <c r="AJ2489" s="13" t="n">
        <v>0</v>
      </c>
      <c r="AK2489" s="4"/>
      <c r="AL2489" s="4"/>
      <c r="AM2489" s="4"/>
    </row>
    <row r="2490" customFormat="false" ht="23.85" hidden="false" customHeight="false" outlineLevel="0" collapsed="false">
      <c r="A2490" s="4" t="s">
        <v>3338</v>
      </c>
      <c r="B2490" s="4" t="s">
        <v>3467</v>
      </c>
      <c r="C2490" s="4" t="s">
        <v>3467</v>
      </c>
      <c r="D2490" s="12" t="n">
        <v>2023</v>
      </c>
      <c r="E2490" s="4"/>
      <c r="F2490" s="4" t="s">
        <v>1990</v>
      </c>
      <c r="G2490" s="4" t="s">
        <v>170</v>
      </c>
      <c r="H2490" s="4" t="s">
        <v>171</v>
      </c>
      <c r="I2490" s="4" t="s">
        <v>172</v>
      </c>
      <c r="J2490" s="4" t="s">
        <v>1453</v>
      </c>
      <c r="K2490" s="4" t="s">
        <v>76</v>
      </c>
      <c r="L2490" s="4"/>
      <c r="M2490" s="4"/>
      <c r="N2490" s="4" t="s">
        <v>1994</v>
      </c>
      <c r="O2490" s="4" t="s">
        <v>1995</v>
      </c>
      <c r="P2490" s="4" t="s">
        <v>66</v>
      </c>
      <c r="Q2490" s="4" t="s">
        <v>2019</v>
      </c>
      <c r="R2490" s="4"/>
      <c r="S2490" s="4"/>
      <c r="T2490" s="4"/>
      <c r="U2490" s="4"/>
      <c r="V2490" s="4"/>
      <c r="W2490" s="4"/>
      <c r="X2490" s="4"/>
      <c r="Y2490" s="4"/>
      <c r="Z2490" s="4"/>
      <c r="AA2490" s="4"/>
      <c r="AB2490" s="4"/>
      <c r="AC2490" s="4"/>
      <c r="AD2490" s="4"/>
      <c r="AE2490" s="4"/>
      <c r="AF2490" s="4"/>
      <c r="AG2490" s="4"/>
      <c r="AH2490" s="4"/>
      <c r="AI2490" s="4"/>
      <c r="AJ2490" s="13" t="n">
        <v>0</v>
      </c>
      <c r="AK2490" s="4"/>
      <c r="AL2490" s="4"/>
      <c r="AM2490" s="4"/>
    </row>
    <row r="2491" customFormat="false" ht="23.85" hidden="false" customHeight="false" outlineLevel="0" collapsed="false">
      <c r="A2491" s="4" t="s">
        <v>3338</v>
      </c>
      <c r="B2491" s="4" t="s">
        <v>3468</v>
      </c>
      <c r="C2491" s="4" t="s">
        <v>3468</v>
      </c>
      <c r="D2491" s="12" t="n">
        <v>2023</v>
      </c>
      <c r="E2491" s="4"/>
      <c r="F2491" s="4" t="s">
        <v>1990</v>
      </c>
      <c r="G2491" s="4" t="s">
        <v>170</v>
      </c>
      <c r="H2491" s="4" t="s">
        <v>171</v>
      </c>
      <c r="I2491" s="4" t="s">
        <v>172</v>
      </c>
      <c r="J2491" s="4" t="s">
        <v>1454</v>
      </c>
      <c r="K2491" s="4" t="s">
        <v>76</v>
      </c>
      <c r="L2491" s="4"/>
      <c r="M2491" s="4"/>
      <c r="N2491" s="4" t="s">
        <v>1994</v>
      </c>
      <c r="O2491" s="4" t="s">
        <v>2029</v>
      </c>
      <c r="P2491" s="4" t="s">
        <v>69</v>
      </c>
      <c r="Q2491" s="4" t="s">
        <v>2030</v>
      </c>
      <c r="R2491" s="4"/>
      <c r="S2491" s="4"/>
      <c r="T2491" s="4"/>
      <c r="U2491" s="4"/>
      <c r="V2491" s="4"/>
      <c r="W2491" s="4"/>
      <c r="X2491" s="4"/>
      <c r="Y2491" s="4"/>
      <c r="Z2491" s="4"/>
      <c r="AA2491" s="4"/>
      <c r="AB2491" s="4"/>
      <c r="AC2491" s="4"/>
      <c r="AD2491" s="4"/>
      <c r="AE2491" s="4"/>
      <c r="AF2491" s="4"/>
      <c r="AG2491" s="4"/>
      <c r="AH2491" s="4"/>
      <c r="AI2491" s="4"/>
      <c r="AJ2491" s="13" t="n">
        <v>0</v>
      </c>
      <c r="AK2491" s="4"/>
      <c r="AL2491" s="4"/>
      <c r="AM2491" s="4"/>
    </row>
    <row r="2492" customFormat="false" ht="23.85" hidden="false" customHeight="false" outlineLevel="0" collapsed="false">
      <c r="A2492" s="4" t="s">
        <v>3338</v>
      </c>
      <c r="B2492" s="4" t="s">
        <v>3469</v>
      </c>
      <c r="C2492" s="4" t="s">
        <v>3469</v>
      </c>
      <c r="D2492" s="12" t="n">
        <v>2023</v>
      </c>
      <c r="E2492" s="4"/>
      <c r="F2492" s="4" t="s">
        <v>1990</v>
      </c>
      <c r="G2492" s="4" t="s">
        <v>170</v>
      </c>
      <c r="H2492" s="4" t="s">
        <v>171</v>
      </c>
      <c r="I2492" s="4" t="s">
        <v>172</v>
      </c>
      <c r="J2492" s="4" t="s">
        <v>1456</v>
      </c>
      <c r="K2492" s="4" t="s">
        <v>76</v>
      </c>
      <c r="L2492" s="4"/>
      <c r="M2492" s="4"/>
      <c r="N2492" s="4" t="s">
        <v>2001</v>
      </c>
      <c r="O2492" s="4" t="s">
        <v>2034</v>
      </c>
      <c r="P2492" s="4" t="s">
        <v>74</v>
      </c>
      <c r="Q2492" s="4" t="s">
        <v>2035</v>
      </c>
      <c r="R2492" s="4"/>
      <c r="S2492" s="4"/>
      <c r="T2492" s="4"/>
      <c r="U2492" s="4"/>
      <c r="V2492" s="4"/>
      <c r="W2492" s="4"/>
      <c r="X2492" s="4"/>
      <c r="Y2492" s="4"/>
      <c r="Z2492" s="4"/>
      <c r="AA2492" s="4"/>
      <c r="AB2492" s="4"/>
      <c r="AC2492" s="4"/>
      <c r="AD2492" s="4"/>
      <c r="AE2492" s="4"/>
      <c r="AF2492" s="4"/>
      <c r="AG2492" s="4"/>
      <c r="AH2492" s="4"/>
      <c r="AI2492" s="4"/>
      <c r="AJ2492" s="13" t="n">
        <v>0</v>
      </c>
      <c r="AK2492" s="4"/>
      <c r="AL2492" s="4"/>
      <c r="AM2492" s="4"/>
    </row>
    <row r="2493" customFormat="false" ht="23.85" hidden="false" customHeight="false" outlineLevel="0" collapsed="false">
      <c r="A2493" s="4" t="s">
        <v>3338</v>
      </c>
      <c r="B2493" s="4" t="s">
        <v>3470</v>
      </c>
      <c r="C2493" s="4" t="s">
        <v>3470</v>
      </c>
      <c r="D2493" s="12" t="n">
        <v>2023</v>
      </c>
      <c r="E2493" s="4"/>
      <c r="F2493" s="4" t="s">
        <v>1990</v>
      </c>
      <c r="G2493" s="4" t="s">
        <v>170</v>
      </c>
      <c r="H2493" s="4" t="s">
        <v>171</v>
      </c>
      <c r="I2493" s="4" t="s">
        <v>172</v>
      </c>
      <c r="J2493" s="4" t="s">
        <v>1458</v>
      </c>
      <c r="K2493" s="4" t="s">
        <v>76</v>
      </c>
      <c r="L2493" s="4"/>
      <c r="M2493" s="4"/>
      <c r="N2493" s="4" t="s">
        <v>2001</v>
      </c>
      <c r="O2493" s="4" t="s">
        <v>2002</v>
      </c>
      <c r="P2493" s="4" t="s">
        <v>67</v>
      </c>
      <c r="Q2493" s="4" t="s">
        <v>2003</v>
      </c>
      <c r="R2493" s="4"/>
      <c r="S2493" s="4"/>
      <c r="T2493" s="4"/>
      <c r="U2493" s="4"/>
      <c r="V2493" s="4"/>
      <c r="W2493" s="4" t="s">
        <v>3341</v>
      </c>
      <c r="X2493" s="4" t="s">
        <v>3342</v>
      </c>
      <c r="Y2493" s="4" t="inlineStr">
        <is>
          <t>COMB_CRBN</t>
        </is>
      </c>
      <c r="Z2493" s="4"/>
      <c r="AA2493" s="4"/>
      <c r="AB2493" s="4"/>
      <c r="AC2493" s="4" t="s">
        <v>3352</v>
      </c>
      <c r="AD2493" s="4"/>
      <c r="AE2493" s="4"/>
      <c r="AF2493" s="4"/>
      <c r="AG2493" s="4"/>
      <c r="AH2493" s="4"/>
      <c r="AI2493" s="4"/>
      <c r="AJ2493" s="13" t="n">
        <v>1</v>
      </c>
      <c r="AK2493" s="4"/>
      <c r="AL2493" s="4"/>
      <c r="AM2493" s="4"/>
    </row>
    <row r="2494" customFormat="false" ht="23.85" hidden="false" customHeight="false" outlineLevel="0" collapsed="false">
      <c r="A2494" s="4" t="s">
        <v>3338</v>
      </c>
      <c r="B2494" s="4" t="s">
        <v>3471</v>
      </c>
      <c r="C2494" s="4" t="s">
        <v>3471</v>
      </c>
      <c r="D2494" s="12" t="n">
        <v>2023</v>
      </c>
      <c r="E2494" s="4"/>
      <c r="F2494" s="4" t="s">
        <v>1990</v>
      </c>
      <c r="G2494" s="4" t="s">
        <v>170</v>
      </c>
      <c r="H2494" s="4" t="s">
        <v>171</v>
      </c>
      <c r="I2494" s="4" t="s">
        <v>172</v>
      </c>
      <c r="J2494" s="4" t="s">
        <v>1459</v>
      </c>
      <c r="K2494" s="4" t="s">
        <v>76</v>
      </c>
      <c r="L2494" s="4"/>
      <c r="M2494" s="4"/>
      <c r="N2494" s="4" t="s">
        <v>2001</v>
      </c>
      <c r="O2494" s="4" t="s">
        <v>2002</v>
      </c>
      <c r="P2494" s="4" t="s">
        <v>67</v>
      </c>
      <c r="Q2494" s="4" t="s">
        <v>2008</v>
      </c>
      <c r="R2494" s="4"/>
      <c r="S2494" s="4"/>
      <c r="T2494" s="4"/>
      <c r="U2494" s="4"/>
      <c r="V2494" s="4"/>
      <c r="W2494" s="4" t="s">
        <v>3341</v>
      </c>
      <c r="X2494" s="4" t="s">
        <v>3342</v>
      </c>
      <c r="Y2494" s="4" t="inlineStr">
        <is>
          <t>COMB_CRBN</t>
        </is>
      </c>
      <c r="Z2494" s="4"/>
      <c r="AA2494" s="4"/>
      <c r="AB2494" s="4"/>
      <c r="AC2494" s="4" t="s">
        <v>3352</v>
      </c>
      <c r="AD2494" s="4"/>
      <c r="AE2494" s="4"/>
      <c r="AF2494" s="4"/>
      <c r="AG2494" s="4"/>
      <c r="AH2494" s="4"/>
      <c r="AI2494" s="4"/>
      <c r="AJ2494" s="13" t="n">
        <v>1</v>
      </c>
      <c r="AK2494" s="4"/>
      <c r="AL2494" s="4"/>
      <c r="AM2494" s="4"/>
    </row>
    <row r="2495" customFormat="false" ht="23.85" hidden="false" customHeight="false" outlineLevel="0" collapsed="false">
      <c r="A2495" s="4" t="s">
        <v>3338</v>
      </c>
      <c r="B2495" s="4" t="s">
        <v>3472</v>
      </c>
      <c r="C2495" s="4" t="s">
        <v>3472</v>
      </c>
      <c r="D2495" s="12" t="n">
        <v>2023</v>
      </c>
      <c r="E2495" s="4"/>
      <c r="F2495" s="4" t="s">
        <v>1990</v>
      </c>
      <c r="G2495" s="4" t="s">
        <v>170</v>
      </c>
      <c r="H2495" s="4" t="s">
        <v>171</v>
      </c>
      <c r="I2495" s="4" t="s">
        <v>172</v>
      </c>
      <c r="J2495" s="4" t="s">
        <v>1467</v>
      </c>
      <c r="K2495" s="4" t="s">
        <v>78</v>
      </c>
      <c r="L2495" s="4"/>
      <c r="M2495" s="4"/>
      <c r="N2495" s="4" t="s">
        <v>1994</v>
      </c>
      <c r="O2495" s="4" t="s">
        <v>65</v>
      </c>
      <c r="P2495" s="4" t="s">
        <v>64</v>
      </c>
      <c r="Q2495" s="4" t="s">
        <v>2044</v>
      </c>
      <c r="R2495" s="4"/>
      <c r="S2495" s="4"/>
      <c r="T2495" s="4"/>
      <c r="U2495" s="4"/>
      <c r="V2495" s="4"/>
      <c r="W2495" s="4"/>
      <c r="X2495" s="4"/>
      <c r="Y2495" s="4"/>
      <c r="Z2495" s="4"/>
      <c r="AA2495" s="4"/>
      <c r="AB2495" s="4"/>
      <c r="AC2495" s="4"/>
      <c r="AD2495" s="4"/>
      <c r="AE2495" s="4"/>
      <c r="AF2495" s="4"/>
      <c r="AG2495" s="4"/>
      <c r="AH2495" s="4"/>
      <c r="AI2495" s="4"/>
      <c r="AJ2495" s="13" t="n">
        <v>0</v>
      </c>
      <c r="AK2495" s="4"/>
      <c r="AL2495" s="4"/>
      <c r="AM2495" s="4"/>
    </row>
    <row r="2496" customFormat="false" ht="23.85" hidden="false" customHeight="false" outlineLevel="0" collapsed="false">
      <c r="A2496" s="4" t="s">
        <v>3338</v>
      </c>
      <c r="B2496" s="4" t="s">
        <v>3473</v>
      </c>
      <c r="C2496" s="4" t="s">
        <v>3473</v>
      </c>
      <c r="D2496" s="12" t="n">
        <v>2023</v>
      </c>
      <c r="E2496" s="4"/>
      <c r="F2496" s="4" t="s">
        <v>1990</v>
      </c>
      <c r="G2496" s="4" t="s">
        <v>170</v>
      </c>
      <c r="H2496" s="4" t="s">
        <v>171</v>
      </c>
      <c r="I2496" s="4" t="s">
        <v>172</v>
      </c>
      <c r="J2496" s="4" t="s">
        <v>1472</v>
      </c>
      <c r="K2496" s="4" t="s">
        <v>78</v>
      </c>
      <c r="L2496" s="4"/>
      <c r="M2496" s="4"/>
      <c r="N2496" s="4" t="s">
        <v>2001</v>
      </c>
      <c r="O2496" s="4" t="s">
        <v>66</v>
      </c>
      <c r="P2496" s="4" t="s">
        <v>67</v>
      </c>
      <c r="Q2496" s="4" t="s">
        <v>2003</v>
      </c>
      <c r="R2496" s="4"/>
      <c r="S2496" s="4"/>
      <c r="T2496" s="4"/>
      <c r="U2496" s="4"/>
      <c r="V2496" s="4"/>
      <c r="W2496" s="4" t="s">
        <v>3341</v>
      </c>
      <c r="X2496" s="4" t="s">
        <v>3342</v>
      </c>
      <c r="Y2496" s="4" t="s">
        <v>3362</v>
      </c>
      <c r="Z2496" s="4"/>
      <c r="AA2496" s="4"/>
      <c r="AB2496" s="4"/>
      <c r="AC2496" s="4" t="s">
        <v>3363</v>
      </c>
      <c r="AD2496" s="4"/>
      <c r="AE2496" s="4"/>
      <c r="AF2496" s="4"/>
      <c r="AG2496" s="4"/>
      <c r="AH2496" s="4"/>
      <c r="AI2496" s="4"/>
      <c r="AJ2496" s="13" t="n">
        <v>1</v>
      </c>
      <c r="AK2496" s="4"/>
      <c r="AL2496" s="4"/>
      <c r="AM2496" s="4"/>
    </row>
    <row r="2497" customFormat="false" ht="23.85" hidden="false" customHeight="false" outlineLevel="0" collapsed="false">
      <c r="A2497" s="4" t="s">
        <v>3338</v>
      </c>
      <c r="B2497" s="4" t="s">
        <v>3474</v>
      </c>
      <c r="C2497" s="4" t="s">
        <v>3474</v>
      </c>
      <c r="D2497" s="12" t="n">
        <v>2023</v>
      </c>
      <c r="E2497" s="4"/>
      <c r="F2497" s="4" t="s">
        <v>1990</v>
      </c>
      <c r="G2497" s="4" t="s">
        <v>170</v>
      </c>
      <c r="H2497" s="4" t="s">
        <v>171</v>
      </c>
      <c r="I2497" s="4" t="s">
        <v>172</v>
      </c>
      <c r="J2497" s="4" t="s">
        <v>1481</v>
      </c>
      <c r="K2497" s="4" t="s">
        <v>80</v>
      </c>
      <c r="L2497" s="4"/>
      <c r="M2497" s="4"/>
      <c r="N2497" s="4" t="s">
        <v>1994</v>
      </c>
      <c r="O2497" s="4" t="s">
        <v>65</v>
      </c>
      <c r="P2497" s="4" t="s">
        <v>64</v>
      </c>
      <c r="Q2497" s="4" t="s">
        <v>2044</v>
      </c>
      <c r="R2497" s="4"/>
      <c r="S2497" s="4"/>
      <c r="T2497" s="4"/>
      <c r="U2497" s="4"/>
      <c r="V2497" s="4"/>
      <c r="W2497" s="4"/>
      <c r="X2497" s="4"/>
      <c r="Y2497" s="4"/>
      <c r="Z2497" s="4"/>
      <c r="AA2497" s="4"/>
      <c r="AB2497" s="4"/>
      <c r="AC2497" s="4"/>
      <c r="AD2497" s="4"/>
      <c r="AE2497" s="4"/>
      <c r="AF2497" s="4"/>
      <c r="AG2497" s="4"/>
      <c r="AH2497" s="4"/>
      <c r="AI2497" s="4"/>
      <c r="AJ2497" s="13" t="n">
        <v>0</v>
      </c>
      <c r="AK2497" s="4"/>
      <c r="AL2497" s="4"/>
      <c r="AM2497" s="4"/>
    </row>
    <row r="2498" customFormat="false" ht="23.85" hidden="false" customHeight="false" outlineLevel="0" collapsed="false">
      <c r="A2498" s="4" t="s">
        <v>3338</v>
      </c>
      <c r="B2498" s="4" t="s">
        <v>3475</v>
      </c>
      <c r="C2498" s="4" t="s">
        <v>3475</v>
      </c>
      <c r="D2498" s="12" t="n">
        <v>2023</v>
      </c>
      <c r="E2498" s="4"/>
      <c r="F2498" s="4" t="s">
        <v>1990</v>
      </c>
      <c r="G2498" s="4" t="s">
        <v>170</v>
      </c>
      <c r="H2498" s="4" t="s">
        <v>171</v>
      </c>
      <c r="I2498" s="4" t="s">
        <v>172</v>
      </c>
      <c r="J2498" s="4" t="s">
        <v>1486</v>
      </c>
      <c r="K2498" s="4" t="s">
        <v>80</v>
      </c>
      <c r="L2498" s="4"/>
      <c r="M2498" s="4"/>
      <c r="N2498" s="4" t="s">
        <v>2001</v>
      </c>
      <c r="O2498" s="4" t="s">
        <v>66</v>
      </c>
      <c r="P2498" s="4" t="s">
        <v>67</v>
      </c>
      <c r="Q2498" s="4" t="s">
        <v>2003</v>
      </c>
      <c r="R2498" s="4"/>
      <c r="S2498" s="4"/>
      <c r="T2498" s="4"/>
      <c r="U2498" s="4"/>
      <c r="V2498" s="4"/>
      <c r="W2498" s="4" t="s">
        <v>3341</v>
      </c>
      <c r="X2498" s="4" t="s">
        <v>3342</v>
      </c>
      <c r="Y2498" s="4" t="s">
        <v>3362</v>
      </c>
      <c r="Z2498" s="4"/>
      <c r="AA2498" s="4"/>
      <c r="AB2498" s="4"/>
      <c r="AC2498" s="4" t="s">
        <v>3363</v>
      </c>
      <c r="AD2498" s="4"/>
      <c r="AE2498" s="4"/>
      <c r="AF2498" s="4"/>
      <c r="AG2498" s="4"/>
      <c r="AH2498" s="4"/>
      <c r="AI2498" s="4"/>
      <c r="AJ2498" s="13" t="n">
        <v>1</v>
      </c>
      <c r="AK2498" s="4"/>
      <c r="AL2498" s="4"/>
      <c r="AM2498" s="4"/>
    </row>
    <row r="2499" customFormat="false" ht="23.85" hidden="false" customHeight="false" outlineLevel="0" collapsed="false">
      <c r="A2499" s="4" t="s">
        <v>3338</v>
      </c>
      <c r="B2499" s="4" t="s">
        <v>3476</v>
      </c>
      <c r="C2499" s="4" t="s">
        <v>3476</v>
      </c>
      <c r="D2499" s="12" t="n">
        <v>2023</v>
      </c>
      <c r="E2499" s="4"/>
      <c r="F2499" s="4" t="s">
        <v>3349</v>
      </c>
      <c r="G2499" s="4" t="s">
        <v>170</v>
      </c>
      <c r="H2499" s="4" t="s">
        <v>171</v>
      </c>
      <c r="I2499" s="4" t="s">
        <v>172</v>
      </c>
      <c r="J2499" s="4" t="s">
        <v>1495</v>
      </c>
      <c r="K2499" s="4" t="s">
        <v>82</v>
      </c>
      <c r="L2499" s="4"/>
      <c r="M2499" s="4"/>
      <c r="N2499" s="4" t="s">
        <v>1994</v>
      </c>
      <c r="O2499" s="4" t="s">
        <v>65</v>
      </c>
      <c r="P2499" s="4" t="s">
        <v>64</v>
      </c>
      <c r="Q2499" s="4" t="s">
        <v>2019</v>
      </c>
      <c r="R2499" s="4"/>
      <c r="S2499" s="4"/>
      <c r="T2499" s="4"/>
      <c r="U2499" s="4"/>
      <c r="V2499" s="4"/>
      <c r="W2499" s="4" t="s">
        <v>3367</v>
      </c>
      <c r="X2499" s="4" t="s">
        <v>3368</v>
      </c>
      <c r="Y2499" s="4" t="s">
        <v>3349</v>
      </c>
      <c r="Z2499" s="4"/>
      <c r="AA2499" s="4"/>
      <c r="AB2499" s="4"/>
      <c r="AC2499" s="4" t="s">
        <v>3352</v>
      </c>
      <c r="AD2499" s="4"/>
      <c r="AE2499" s="4"/>
      <c r="AF2499" s="4"/>
      <c r="AG2499" s="4"/>
      <c r="AH2499" s="4"/>
      <c r="AI2499" s="4"/>
      <c r="AJ2499" s="13" t="n">
        <v>1</v>
      </c>
      <c r="AK2499" s="4"/>
      <c r="AL2499" s="4"/>
      <c r="AM2499" s="4"/>
    </row>
    <row r="2500" customFormat="false" ht="23.85" hidden="false" customHeight="false" outlineLevel="0" collapsed="false">
      <c r="A2500" s="4" t="s">
        <v>3338</v>
      </c>
      <c r="B2500" s="4" t="s">
        <v>3477</v>
      </c>
      <c r="C2500" s="4" t="s">
        <v>3477</v>
      </c>
      <c r="D2500" s="12" t="n">
        <v>2023</v>
      </c>
      <c r="E2500" s="4"/>
      <c r="F2500" s="4" t="s">
        <v>1990</v>
      </c>
      <c r="G2500" s="4" t="s">
        <v>170</v>
      </c>
      <c r="H2500" s="4" t="s">
        <v>171</v>
      </c>
      <c r="I2500" s="4" t="s">
        <v>172</v>
      </c>
      <c r="J2500" s="4" t="s">
        <v>1495</v>
      </c>
      <c r="K2500" s="4" t="s">
        <v>82</v>
      </c>
      <c r="L2500" s="4"/>
      <c r="M2500" s="4"/>
      <c r="N2500" s="4" t="s">
        <v>2001</v>
      </c>
      <c r="O2500" s="4" t="s">
        <v>66</v>
      </c>
      <c r="P2500" s="4" t="s">
        <v>66</v>
      </c>
      <c r="Q2500" s="4" t="s">
        <v>2019</v>
      </c>
      <c r="R2500" s="4"/>
      <c r="S2500" s="4"/>
      <c r="T2500" s="4"/>
      <c r="U2500" s="4"/>
      <c r="V2500" s="4"/>
      <c r="W2500" s="4"/>
      <c r="X2500" s="4"/>
      <c r="Y2500" s="4"/>
      <c r="Z2500" s="4"/>
      <c r="AA2500" s="4"/>
      <c r="AB2500" s="4"/>
      <c r="AC2500" s="4"/>
      <c r="AD2500" s="4"/>
      <c r="AE2500" s="4"/>
      <c r="AF2500" s="4"/>
      <c r="AG2500" s="4"/>
      <c r="AH2500" s="4"/>
      <c r="AI2500" s="4"/>
      <c r="AJ2500" s="13" t="n">
        <v>0</v>
      </c>
      <c r="AK2500" s="4"/>
      <c r="AL2500" s="4"/>
      <c r="AM2500" s="4"/>
    </row>
    <row r="2501" customFormat="false" ht="23.85" hidden="false" customHeight="false" outlineLevel="0" collapsed="false">
      <c r="A2501" s="4" t="s">
        <v>3338</v>
      </c>
      <c r="B2501" s="4" t="s">
        <v>3478</v>
      </c>
      <c r="C2501" s="4" t="s">
        <v>3478</v>
      </c>
      <c r="D2501" s="12" t="n">
        <v>2023</v>
      </c>
      <c r="E2501" s="4"/>
      <c r="F2501" s="4" t="s">
        <v>1990</v>
      </c>
      <c r="G2501" s="4" t="s">
        <v>170</v>
      </c>
      <c r="H2501" s="4" t="s">
        <v>171</v>
      </c>
      <c r="I2501" s="4" t="s">
        <v>172</v>
      </c>
      <c r="J2501" s="4" t="s">
        <v>1495</v>
      </c>
      <c r="K2501" s="4" t="s">
        <v>82</v>
      </c>
      <c r="L2501" s="4"/>
      <c r="M2501" s="4"/>
      <c r="N2501" s="4" t="s">
        <v>1994</v>
      </c>
      <c r="O2501" s="4" t="s">
        <v>1995</v>
      </c>
      <c r="P2501" s="4" t="s">
        <v>66</v>
      </c>
      <c r="Q2501" s="4" t="s">
        <v>2019</v>
      </c>
      <c r="R2501" s="4"/>
      <c r="S2501" s="4"/>
      <c r="T2501" s="4"/>
      <c r="U2501" s="4"/>
      <c r="V2501" s="4"/>
      <c r="W2501" s="4"/>
      <c r="X2501" s="4"/>
      <c r="Y2501" s="4"/>
      <c r="Z2501" s="4"/>
      <c r="AA2501" s="4"/>
      <c r="AB2501" s="4"/>
      <c r="AC2501" s="4"/>
      <c r="AD2501" s="4"/>
      <c r="AE2501" s="4"/>
      <c r="AF2501" s="4"/>
      <c r="AG2501" s="4"/>
      <c r="AH2501" s="4"/>
      <c r="AI2501" s="4"/>
      <c r="AJ2501" s="13" t="n">
        <v>0</v>
      </c>
      <c r="AK2501" s="4"/>
      <c r="AL2501" s="4"/>
      <c r="AM2501" s="4"/>
    </row>
    <row r="2502" customFormat="false" ht="23.85" hidden="false" customHeight="false" outlineLevel="0" collapsed="false">
      <c r="A2502" s="4" t="s">
        <v>3338</v>
      </c>
      <c r="B2502" s="4" t="s">
        <v>3479</v>
      </c>
      <c r="C2502" s="4" t="s">
        <v>3479</v>
      </c>
      <c r="D2502" s="12" t="n">
        <v>2023</v>
      </c>
      <c r="E2502" s="4"/>
      <c r="F2502" s="4" t="s">
        <v>1990</v>
      </c>
      <c r="G2502" s="4" t="s">
        <v>170</v>
      </c>
      <c r="H2502" s="4" t="s">
        <v>171</v>
      </c>
      <c r="I2502" s="4" t="s">
        <v>172</v>
      </c>
      <c r="J2502" s="4" t="s">
        <v>1509</v>
      </c>
      <c r="K2502" s="4" t="s">
        <v>84</v>
      </c>
      <c r="L2502" s="4"/>
      <c r="M2502" s="4"/>
      <c r="N2502" s="4" t="s">
        <v>1994</v>
      </c>
      <c r="O2502" s="4" t="s">
        <v>65</v>
      </c>
      <c r="P2502" s="4" t="s">
        <v>64</v>
      </c>
      <c r="Q2502" s="4" t="s">
        <v>2044</v>
      </c>
      <c r="R2502" s="4"/>
      <c r="S2502" s="4"/>
      <c r="T2502" s="4"/>
      <c r="U2502" s="4"/>
      <c r="V2502" s="4"/>
      <c r="W2502" s="4"/>
      <c r="X2502" s="4"/>
      <c r="Y2502" s="4"/>
      <c r="Z2502" s="4"/>
      <c r="AA2502" s="4"/>
      <c r="AB2502" s="4"/>
      <c r="AC2502" s="4"/>
      <c r="AD2502" s="4"/>
      <c r="AE2502" s="4"/>
      <c r="AF2502" s="4"/>
      <c r="AG2502" s="4"/>
      <c r="AH2502" s="4"/>
      <c r="AI2502" s="4"/>
      <c r="AJ2502" s="13" t="n">
        <v>0</v>
      </c>
      <c r="AK2502" s="4"/>
      <c r="AL2502" s="4"/>
      <c r="AM2502" s="4"/>
    </row>
    <row r="2503" customFormat="false" ht="23.85" hidden="false" customHeight="false" outlineLevel="0" collapsed="false">
      <c r="A2503" s="4" t="s">
        <v>3338</v>
      </c>
      <c r="B2503" s="4" t="s">
        <v>3480</v>
      </c>
      <c r="C2503" s="4" t="s">
        <v>3480</v>
      </c>
      <c r="D2503" s="12" t="n">
        <v>2023</v>
      </c>
      <c r="E2503" s="4"/>
      <c r="F2503" s="4" t="s">
        <v>1990</v>
      </c>
      <c r="G2503" s="4" t="s">
        <v>170</v>
      </c>
      <c r="H2503" s="4" t="s">
        <v>171</v>
      </c>
      <c r="I2503" s="4" t="s">
        <v>172</v>
      </c>
      <c r="J2503" s="4" t="s">
        <v>1514</v>
      </c>
      <c r="K2503" s="4" t="s">
        <v>84</v>
      </c>
      <c r="L2503" s="4"/>
      <c r="M2503" s="4"/>
      <c r="N2503" s="4" t="s">
        <v>2001</v>
      </c>
      <c r="O2503" s="4" t="s">
        <v>66</v>
      </c>
      <c r="P2503" s="4" t="s">
        <v>67</v>
      </c>
      <c r="Q2503" s="4" t="s">
        <v>2003</v>
      </c>
      <c r="R2503" s="4"/>
      <c r="S2503" s="4"/>
      <c r="T2503" s="4"/>
      <c r="U2503" s="4"/>
      <c r="V2503" s="4"/>
      <c r="W2503" s="4" t="s">
        <v>3341</v>
      </c>
      <c r="X2503" s="4" t="s">
        <v>3342</v>
      </c>
      <c r="Y2503" s="4" t="s">
        <v>3362</v>
      </c>
      <c r="Z2503" s="4"/>
      <c r="AA2503" s="4"/>
      <c r="AB2503" s="4"/>
      <c r="AC2503" s="4" t="s">
        <v>3363</v>
      </c>
      <c r="AD2503" s="4"/>
      <c r="AE2503" s="4"/>
      <c r="AF2503" s="4"/>
      <c r="AG2503" s="4"/>
      <c r="AH2503" s="4"/>
      <c r="AI2503" s="4"/>
      <c r="AJ2503" s="13" t="n">
        <v>1</v>
      </c>
      <c r="AK2503" s="4"/>
      <c r="AL2503" s="4"/>
      <c r="AM2503" s="4"/>
    </row>
    <row r="2504" customFormat="false" ht="23.85" hidden="false" customHeight="false" outlineLevel="0" collapsed="false">
      <c r="A2504" s="4" t="s">
        <v>3338</v>
      </c>
      <c r="B2504" s="4" t="s">
        <v>3481</v>
      </c>
      <c r="C2504" s="4" t="s">
        <v>3481</v>
      </c>
      <c r="D2504" s="12" t="n">
        <v>2023</v>
      </c>
      <c r="E2504" s="4"/>
      <c r="F2504" s="4" t="s">
        <v>1990</v>
      </c>
      <c r="G2504" s="4" t="s">
        <v>170</v>
      </c>
      <c r="H2504" s="4" t="s">
        <v>171</v>
      </c>
      <c r="I2504" s="4" t="s">
        <v>172</v>
      </c>
      <c r="J2504" s="4" t="s">
        <v>1515</v>
      </c>
      <c r="K2504" s="4" t="s">
        <v>84</v>
      </c>
      <c r="L2504" s="4"/>
      <c r="M2504" s="4"/>
      <c r="N2504" s="4" t="s">
        <v>2001</v>
      </c>
      <c r="O2504" s="4" t="s">
        <v>66</v>
      </c>
      <c r="P2504" s="4" t="s">
        <v>67</v>
      </c>
      <c r="Q2504" s="4" t="s">
        <v>2008</v>
      </c>
      <c r="R2504" s="4"/>
      <c r="S2504" s="4"/>
      <c r="T2504" s="4"/>
      <c r="U2504" s="4"/>
      <c r="V2504" s="4"/>
      <c r="W2504" s="4" t="s">
        <v>3341</v>
      </c>
      <c r="X2504" s="4" t="s">
        <v>3342</v>
      </c>
      <c r="Y2504" s="4" t="s">
        <v>3362</v>
      </c>
      <c r="Z2504" s="4"/>
      <c r="AA2504" s="4"/>
      <c r="AB2504" s="4"/>
      <c r="AC2504" s="4" t="s">
        <v>3363</v>
      </c>
      <c r="AD2504" s="4"/>
      <c r="AE2504" s="4"/>
      <c r="AF2504" s="4"/>
      <c r="AG2504" s="4"/>
      <c r="AH2504" s="4"/>
      <c r="AI2504" s="4"/>
      <c r="AJ2504" s="13" t="n">
        <v>1</v>
      </c>
      <c r="AK2504" s="4"/>
      <c r="AL2504" s="4"/>
      <c r="AM2504" s="4"/>
    </row>
    <row r="2505" customFormat="false" ht="23.85" hidden="false" customHeight="false" outlineLevel="0" collapsed="false">
      <c r="A2505" s="4" t="s">
        <v>3338</v>
      </c>
      <c r="B2505" s="4" t="s">
        <v>3482</v>
      </c>
      <c r="C2505" s="4" t="s">
        <v>3482</v>
      </c>
      <c r="D2505" s="12" t="n">
        <v>2023</v>
      </c>
      <c r="E2505" s="4"/>
      <c r="F2505" s="4" t="s">
        <v>3349</v>
      </c>
      <c r="G2505" s="4" t="s">
        <v>170</v>
      </c>
      <c r="H2505" s="4" t="s">
        <v>171</v>
      </c>
      <c r="I2505" s="4" t="s">
        <v>172</v>
      </c>
      <c r="J2505" s="4" t="s">
        <v>1523</v>
      </c>
      <c r="K2505" s="4" t="s">
        <v>109</v>
      </c>
      <c r="L2505" s="4"/>
      <c r="M2505" s="4"/>
      <c r="N2505" s="4" t="s">
        <v>1994</v>
      </c>
      <c r="O2505" s="4" t="s">
        <v>1995</v>
      </c>
      <c r="P2505" s="4" t="s">
        <v>65</v>
      </c>
      <c r="Q2505" s="4" t="s">
        <v>2070</v>
      </c>
      <c r="R2505" s="4"/>
      <c r="S2505" s="4"/>
      <c r="T2505" s="4"/>
      <c r="U2505" s="4"/>
      <c r="V2505" s="4"/>
      <c r="W2505" s="4" t="s">
        <v>3377</v>
      </c>
      <c r="X2505" s="4" t="s">
        <v>3378</v>
      </c>
      <c r="Y2505" s="4" t="s">
        <v>3349</v>
      </c>
      <c r="Z2505" s="4"/>
      <c r="AA2505" s="4"/>
      <c r="AB2505" s="4"/>
      <c r="AC2505" s="4" t="s">
        <v>3344</v>
      </c>
      <c r="AD2505" s="4"/>
      <c r="AE2505" s="4"/>
      <c r="AF2505" s="4"/>
      <c r="AG2505" s="4"/>
      <c r="AH2505" s="4"/>
      <c r="AI2505" s="4"/>
      <c r="AJ2505" s="13" t="n">
        <v>1</v>
      </c>
      <c r="AK2505" s="4"/>
      <c r="AL2505" s="4"/>
      <c r="AM2505" s="4"/>
    </row>
    <row r="2506" customFormat="false" ht="23.85" hidden="false" customHeight="false" outlineLevel="0" collapsed="false">
      <c r="A2506" s="4" t="s">
        <v>3338</v>
      </c>
      <c r="B2506" s="4" t="s">
        <v>3483</v>
      </c>
      <c r="C2506" s="4" t="s">
        <v>3483</v>
      </c>
      <c r="D2506" s="12" t="n">
        <v>2023</v>
      </c>
      <c r="E2506" s="4"/>
      <c r="F2506" s="4" t="s">
        <v>1990</v>
      </c>
      <c r="G2506" s="4" t="s">
        <v>170</v>
      </c>
      <c r="H2506" s="4" t="s">
        <v>171</v>
      </c>
      <c r="I2506" s="4" t="s">
        <v>172</v>
      </c>
      <c r="J2506" s="4" t="s">
        <v>1532</v>
      </c>
      <c r="K2506" s="4" t="s">
        <v>109</v>
      </c>
      <c r="L2506" s="4"/>
      <c r="M2506" s="4"/>
      <c r="N2506" s="4" t="s">
        <v>2001</v>
      </c>
      <c r="O2506" s="4" t="s">
        <v>2074</v>
      </c>
      <c r="P2506" s="4" t="s">
        <v>73</v>
      </c>
      <c r="Q2506" s="4" t="s">
        <v>2075</v>
      </c>
      <c r="R2506" s="4"/>
      <c r="S2506" s="4"/>
      <c r="T2506" s="4"/>
      <c r="U2506" s="4"/>
      <c r="V2506" s="4"/>
      <c r="W2506" s="4" t="s">
        <v>3380</v>
      </c>
      <c r="X2506" s="4" t="s">
        <v>3381</v>
      </c>
      <c r="Y2506" s="4" t="s">
        <v>3343</v>
      </c>
      <c r="Z2506" s="4"/>
      <c r="AA2506" s="4"/>
      <c r="AB2506" s="4"/>
      <c r="AC2506" s="4" t="s">
        <v>3344</v>
      </c>
      <c r="AD2506" s="4"/>
      <c r="AE2506" s="4"/>
      <c r="AF2506" s="4"/>
      <c r="AG2506" s="4"/>
      <c r="AH2506" s="4"/>
      <c r="AI2506" s="4"/>
      <c r="AJ2506" s="13" t="n">
        <v>1</v>
      </c>
      <c r="AK2506" s="4"/>
      <c r="AL2506" s="4"/>
      <c r="AM2506" s="4"/>
    </row>
    <row r="2507" customFormat="false" ht="23.85" hidden="false" customHeight="false" outlineLevel="0" collapsed="false">
      <c r="A2507" s="4" t="s">
        <v>3338</v>
      </c>
      <c r="B2507" s="4" t="s">
        <v>3484</v>
      </c>
      <c r="C2507" s="4" t="s">
        <v>3484</v>
      </c>
      <c r="D2507" s="12" t="n">
        <v>2023</v>
      </c>
      <c r="E2507" s="4"/>
      <c r="F2507" s="4" t="s">
        <v>1990</v>
      </c>
      <c r="G2507" s="4" t="s">
        <v>170</v>
      </c>
      <c r="H2507" s="4" t="s">
        <v>171</v>
      </c>
      <c r="I2507" s="4" t="s">
        <v>172</v>
      </c>
      <c r="J2507" s="4" t="s">
        <v>1533</v>
      </c>
      <c r="K2507" s="4" t="s">
        <v>109</v>
      </c>
      <c r="L2507" s="4"/>
      <c r="M2507" s="4"/>
      <c r="N2507" s="4" t="s">
        <v>2001</v>
      </c>
      <c r="O2507" s="4" t="s">
        <v>2002</v>
      </c>
      <c r="P2507" s="4" t="s">
        <v>72</v>
      </c>
      <c r="Q2507" s="4" t="s">
        <v>2079</v>
      </c>
      <c r="R2507" s="4"/>
      <c r="S2507" s="4"/>
      <c r="T2507" s="4"/>
      <c r="U2507" s="4"/>
      <c r="V2507" s="4"/>
      <c r="W2507" s="4" t="s">
        <v>3383</v>
      </c>
      <c r="X2507" s="4" t="s">
        <v>3384</v>
      </c>
      <c r="Y2507" s="4" t="s">
        <v>3343</v>
      </c>
      <c r="Z2507" s="4"/>
      <c r="AA2507" s="4"/>
      <c r="AB2507" s="4"/>
      <c r="AC2507" s="4" t="s">
        <v>3344</v>
      </c>
      <c r="AD2507" s="4"/>
      <c r="AE2507" s="4"/>
      <c r="AF2507" s="4"/>
      <c r="AG2507" s="4"/>
      <c r="AH2507" s="4"/>
      <c r="AI2507" s="4"/>
      <c r="AJ2507" s="13" t="n">
        <v>1</v>
      </c>
      <c r="AK2507" s="4"/>
      <c r="AL2507" s="4"/>
      <c r="AM2507" s="4"/>
    </row>
    <row r="2508" customFormat="false" ht="23.85" hidden="false" customHeight="false" outlineLevel="0" collapsed="false">
      <c r="A2508" s="4" t="s">
        <v>3338</v>
      </c>
      <c r="B2508" s="4" t="s">
        <v>3485</v>
      </c>
      <c r="C2508" s="4" t="s">
        <v>3485</v>
      </c>
      <c r="D2508" s="12" t="n">
        <v>2023</v>
      </c>
      <c r="E2508" s="4"/>
      <c r="F2508" s="4" t="s">
        <v>1990</v>
      </c>
      <c r="G2508" s="4" t="s">
        <v>170</v>
      </c>
      <c r="H2508" s="4" t="s">
        <v>171</v>
      </c>
      <c r="I2508" s="4" t="s">
        <v>172</v>
      </c>
      <c r="J2508" s="4" t="s">
        <v>1537</v>
      </c>
      <c r="K2508" s="4" t="s">
        <v>86</v>
      </c>
      <c r="L2508" s="4"/>
      <c r="M2508" s="4"/>
      <c r="N2508" s="4" t="s">
        <v>1994</v>
      </c>
      <c r="O2508" s="4" t="s">
        <v>65</v>
      </c>
      <c r="P2508" s="4" t="s">
        <v>64</v>
      </c>
      <c r="Q2508" s="4" t="s">
        <v>2019</v>
      </c>
      <c r="R2508" s="4"/>
      <c r="S2508" s="4"/>
      <c r="T2508" s="4"/>
      <c r="U2508" s="4"/>
      <c r="V2508" s="4"/>
      <c r="W2508" s="4" t="s">
        <v>3386</v>
      </c>
      <c r="X2508" s="4" t="s">
        <v>3387</v>
      </c>
      <c r="Y2508" s="4" t="s">
        <v>3388</v>
      </c>
      <c r="Z2508" s="4"/>
      <c r="AA2508" s="4"/>
      <c r="AB2508" s="4"/>
      <c r="AC2508" s="4" t="s">
        <v>3352</v>
      </c>
      <c r="AD2508" s="4"/>
      <c r="AE2508" s="4"/>
      <c r="AF2508" s="4"/>
      <c r="AG2508" s="4"/>
      <c r="AH2508" s="4"/>
      <c r="AI2508" s="4"/>
      <c r="AJ2508" s="13" t="n">
        <v>1</v>
      </c>
      <c r="AK2508" s="4"/>
      <c r="AL2508" s="4"/>
      <c r="AM2508" s="4"/>
    </row>
    <row r="2509" customFormat="false" ht="23.85" hidden="false" customHeight="false" outlineLevel="0" collapsed="false">
      <c r="A2509" s="4" t="s">
        <v>3338</v>
      </c>
      <c r="B2509" s="4" t="s">
        <v>3486</v>
      </c>
      <c r="C2509" s="4" t="s">
        <v>3486</v>
      </c>
      <c r="D2509" s="12" t="n">
        <v>2023</v>
      </c>
      <c r="E2509" s="4"/>
      <c r="F2509" s="4" t="s">
        <v>1990</v>
      </c>
      <c r="G2509" s="4" t="s">
        <v>170</v>
      </c>
      <c r="H2509" s="4" t="s">
        <v>171</v>
      </c>
      <c r="I2509" s="4" t="s">
        <v>172</v>
      </c>
      <c r="J2509" s="4" t="s">
        <v>1537</v>
      </c>
      <c r="K2509" s="4" t="s">
        <v>86</v>
      </c>
      <c r="L2509" s="4"/>
      <c r="M2509" s="4"/>
      <c r="N2509" s="4" t="s">
        <v>2001</v>
      </c>
      <c r="O2509" s="4" t="s">
        <v>66</v>
      </c>
      <c r="P2509" s="4" t="s">
        <v>66</v>
      </c>
      <c r="Q2509" s="4" t="s">
        <v>2019</v>
      </c>
      <c r="R2509" s="4"/>
      <c r="S2509" s="4"/>
      <c r="T2509" s="4"/>
      <c r="U2509" s="4"/>
      <c r="V2509" s="4"/>
      <c r="W2509" s="4"/>
      <c r="X2509" s="4"/>
      <c r="Y2509" s="4"/>
      <c r="Z2509" s="4"/>
      <c r="AA2509" s="4"/>
      <c r="AB2509" s="4"/>
      <c r="AC2509" s="4"/>
      <c r="AD2509" s="4"/>
      <c r="AE2509" s="4"/>
      <c r="AF2509" s="4"/>
      <c r="AG2509" s="4"/>
      <c r="AH2509" s="4"/>
      <c r="AI2509" s="4"/>
      <c r="AJ2509" s="13" t="n">
        <v>0</v>
      </c>
      <c r="AK2509" s="4"/>
      <c r="AL2509" s="4"/>
      <c r="AM2509" s="4"/>
    </row>
    <row r="2510" customFormat="false" ht="23.85" hidden="false" customHeight="false" outlineLevel="0" collapsed="false">
      <c r="A2510" s="4" t="s">
        <v>3338</v>
      </c>
      <c r="B2510" s="4" t="s">
        <v>3487</v>
      </c>
      <c r="C2510" s="4" t="s">
        <v>3487</v>
      </c>
      <c r="D2510" s="12" t="n">
        <v>2023</v>
      </c>
      <c r="E2510" s="4"/>
      <c r="F2510" s="4" t="s">
        <v>1990</v>
      </c>
      <c r="G2510" s="4" t="s">
        <v>170</v>
      </c>
      <c r="H2510" s="4" t="s">
        <v>171</v>
      </c>
      <c r="I2510" s="4" t="s">
        <v>172</v>
      </c>
      <c r="J2510" s="4" t="s">
        <v>1537</v>
      </c>
      <c r="K2510" s="4" t="s">
        <v>86</v>
      </c>
      <c r="L2510" s="4"/>
      <c r="M2510" s="4"/>
      <c r="N2510" s="4" t="s">
        <v>1994</v>
      </c>
      <c r="O2510" s="4" t="s">
        <v>1995</v>
      </c>
      <c r="P2510" s="4" t="s">
        <v>66</v>
      </c>
      <c r="Q2510" s="4" t="s">
        <v>2019</v>
      </c>
      <c r="R2510" s="4"/>
      <c r="S2510" s="4"/>
      <c r="T2510" s="4"/>
      <c r="U2510" s="4"/>
      <c r="V2510" s="4"/>
      <c r="W2510" s="4"/>
      <c r="X2510" s="4"/>
      <c r="Y2510" s="4"/>
      <c r="Z2510" s="4"/>
      <c r="AA2510" s="4"/>
      <c r="AB2510" s="4"/>
      <c r="AC2510" s="4"/>
      <c r="AD2510" s="4"/>
      <c r="AE2510" s="4"/>
      <c r="AF2510" s="4"/>
      <c r="AG2510" s="4"/>
      <c r="AH2510" s="4"/>
      <c r="AI2510" s="4"/>
      <c r="AJ2510" s="13" t="n">
        <v>0</v>
      </c>
      <c r="AK2510" s="4"/>
      <c r="AL2510" s="4"/>
      <c r="AM2510" s="4"/>
    </row>
    <row r="2511" customFormat="false" ht="23.85" hidden="false" customHeight="false" outlineLevel="0" collapsed="false">
      <c r="A2511" s="4" t="s">
        <v>3338</v>
      </c>
      <c r="B2511" s="4" t="s">
        <v>3488</v>
      </c>
      <c r="C2511" s="4" t="s">
        <v>3488</v>
      </c>
      <c r="D2511" s="12" t="n">
        <v>2023</v>
      </c>
      <c r="E2511" s="4"/>
      <c r="F2511" s="4" t="s">
        <v>1990</v>
      </c>
      <c r="G2511" s="4" t="s">
        <v>170</v>
      </c>
      <c r="H2511" s="4" t="s">
        <v>171</v>
      </c>
      <c r="I2511" s="4" t="s">
        <v>172</v>
      </c>
      <c r="J2511" s="4" t="s">
        <v>1538</v>
      </c>
      <c r="K2511" s="4" t="s">
        <v>86</v>
      </c>
      <c r="L2511" s="4"/>
      <c r="M2511" s="4"/>
      <c r="N2511" s="4" t="s">
        <v>1994</v>
      </c>
      <c r="O2511" s="4" t="s">
        <v>2029</v>
      </c>
      <c r="P2511" s="4" t="s">
        <v>69</v>
      </c>
      <c r="Q2511" s="4" t="s">
        <v>2030</v>
      </c>
      <c r="R2511" s="4"/>
      <c r="S2511" s="4"/>
      <c r="T2511" s="4"/>
      <c r="U2511" s="4"/>
      <c r="V2511" s="4"/>
      <c r="W2511" s="4"/>
      <c r="X2511" s="4"/>
      <c r="Y2511" s="4"/>
      <c r="Z2511" s="4"/>
      <c r="AA2511" s="4"/>
      <c r="AB2511" s="4"/>
      <c r="AC2511" s="4"/>
      <c r="AD2511" s="4"/>
      <c r="AE2511" s="4"/>
      <c r="AF2511" s="4"/>
      <c r="AG2511" s="4"/>
      <c r="AH2511" s="4"/>
      <c r="AI2511" s="4"/>
      <c r="AJ2511" s="13" t="n">
        <v>0</v>
      </c>
      <c r="AK2511" s="4"/>
      <c r="AL2511" s="4"/>
      <c r="AM2511" s="4"/>
    </row>
    <row r="2512" customFormat="false" ht="23.85" hidden="false" customHeight="false" outlineLevel="0" collapsed="false">
      <c r="A2512" s="4" t="s">
        <v>3338</v>
      </c>
      <c r="B2512" s="4" t="s">
        <v>3489</v>
      </c>
      <c r="C2512" s="4" t="s">
        <v>3489</v>
      </c>
      <c r="D2512" s="12" t="n">
        <v>2023</v>
      </c>
      <c r="E2512" s="4"/>
      <c r="F2512" s="4" t="s">
        <v>1990</v>
      </c>
      <c r="G2512" s="4" t="s">
        <v>170</v>
      </c>
      <c r="H2512" s="4" t="s">
        <v>171</v>
      </c>
      <c r="I2512" s="4" t="s">
        <v>172</v>
      </c>
      <c r="J2512" s="4" t="s">
        <v>1539</v>
      </c>
      <c r="K2512" s="4" t="s">
        <v>86</v>
      </c>
      <c r="L2512" s="4"/>
      <c r="M2512" s="4"/>
      <c r="N2512" s="4" t="s">
        <v>2001</v>
      </c>
      <c r="O2512" s="4" t="s">
        <v>2091</v>
      </c>
      <c r="P2512" s="4" t="s">
        <v>69</v>
      </c>
      <c r="Q2512" s="4" t="s">
        <v>2030</v>
      </c>
      <c r="R2512" s="4"/>
      <c r="S2512" s="4"/>
      <c r="T2512" s="4"/>
      <c r="U2512" s="4"/>
      <c r="V2512" s="4"/>
      <c r="W2512" s="4"/>
      <c r="X2512" s="4"/>
      <c r="Y2512" s="4"/>
      <c r="Z2512" s="4"/>
      <c r="AA2512" s="4"/>
      <c r="AB2512" s="4"/>
      <c r="AC2512" s="4"/>
      <c r="AD2512" s="4"/>
      <c r="AE2512" s="4"/>
      <c r="AF2512" s="4"/>
      <c r="AG2512" s="4"/>
      <c r="AH2512" s="4"/>
      <c r="AI2512" s="4"/>
      <c r="AJ2512" s="13" t="n">
        <v>0</v>
      </c>
      <c r="AK2512" s="4"/>
      <c r="AL2512" s="4"/>
      <c r="AM2512" s="4"/>
    </row>
    <row r="2513" customFormat="false" ht="23.85" hidden="false" customHeight="false" outlineLevel="0" collapsed="false">
      <c r="A2513" s="4" t="s">
        <v>3338</v>
      </c>
      <c r="B2513" s="4" t="s">
        <v>3490</v>
      </c>
      <c r="C2513" s="4" t="s">
        <v>3490</v>
      </c>
      <c r="D2513" s="12" t="n">
        <v>2023</v>
      </c>
      <c r="E2513" s="4"/>
      <c r="F2513" s="4" t="s">
        <v>1990</v>
      </c>
      <c r="G2513" s="4" t="s">
        <v>170</v>
      </c>
      <c r="H2513" s="4" t="s">
        <v>171</v>
      </c>
      <c r="I2513" s="4" t="s">
        <v>172</v>
      </c>
      <c r="J2513" s="4" t="s">
        <v>1540</v>
      </c>
      <c r="K2513" s="4" t="s">
        <v>86</v>
      </c>
      <c r="L2513" s="4"/>
      <c r="M2513" s="4"/>
      <c r="N2513" s="4" t="s">
        <v>2001</v>
      </c>
      <c r="O2513" s="4" t="s">
        <v>2034</v>
      </c>
      <c r="P2513" s="4" t="s">
        <v>74</v>
      </c>
      <c r="Q2513" s="4" t="s">
        <v>2035</v>
      </c>
      <c r="R2513" s="4"/>
      <c r="S2513" s="4"/>
      <c r="T2513" s="4"/>
      <c r="U2513" s="4"/>
      <c r="V2513" s="4"/>
      <c r="W2513" s="4"/>
      <c r="X2513" s="4"/>
      <c r="Y2513" s="4"/>
      <c r="Z2513" s="4"/>
      <c r="AA2513" s="4"/>
      <c r="AB2513" s="4"/>
      <c r="AC2513" s="4"/>
      <c r="AD2513" s="4"/>
      <c r="AE2513" s="4"/>
      <c r="AF2513" s="4"/>
      <c r="AG2513" s="4"/>
      <c r="AH2513" s="4"/>
      <c r="AI2513" s="4"/>
      <c r="AJ2513" s="13" t="n">
        <v>0</v>
      </c>
      <c r="AK2513" s="4"/>
      <c r="AL2513" s="4"/>
      <c r="AM2513" s="4"/>
    </row>
    <row r="2514" customFormat="false" ht="23.85" hidden="false" customHeight="false" outlineLevel="0" collapsed="false">
      <c r="A2514" s="4" t="s">
        <v>3338</v>
      </c>
      <c r="B2514" s="4" t="s">
        <v>3491</v>
      </c>
      <c r="C2514" s="4" t="s">
        <v>3491</v>
      </c>
      <c r="D2514" s="12" t="n">
        <v>2023</v>
      </c>
      <c r="E2514" s="4"/>
      <c r="F2514" s="4" t="s">
        <v>1990</v>
      </c>
      <c r="G2514" s="4" t="s">
        <v>170</v>
      </c>
      <c r="H2514" s="4" t="s">
        <v>171</v>
      </c>
      <c r="I2514" s="4" t="s">
        <v>172</v>
      </c>
      <c r="J2514" s="4" t="s">
        <v>1541</v>
      </c>
      <c r="K2514" s="4" t="s">
        <v>86</v>
      </c>
      <c r="L2514" s="4"/>
      <c r="M2514" s="4"/>
      <c r="N2514" s="4" t="s">
        <v>2001</v>
      </c>
      <c r="O2514" s="4" t="s">
        <v>2002</v>
      </c>
      <c r="P2514" s="4" t="s">
        <v>67</v>
      </c>
      <c r="Q2514" s="4" t="s">
        <v>2097</v>
      </c>
      <c r="R2514" s="4"/>
      <c r="S2514" s="4"/>
      <c r="T2514" s="4"/>
      <c r="U2514" s="4"/>
      <c r="V2514" s="4"/>
      <c r="W2514" s="4" t="s">
        <v>3395</v>
      </c>
      <c r="X2514" s="4" t="s">
        <v>3396</v>
      </c>
      <c r="Y2514" s="4" t="s">
        <v>3397</v>
      </c>
      <c r="Z2514" s="4"/>
      <c r="AA2514" s="4"/>
      <c r="AB2514" s="4"/>
      <c r="AC2514" s="4" t="s">
        <v>3352</v>
      </c>
      <c r="AD2514" s="4"/>
      <c r="AE2514" s="4"/>
      <c r="AF2514" s="4"/>
      <c r="AG2514" s="4"/>
      <c r="AH2514" s="4"/>
      <c r="AI2514" s="4"/>
      <c r="AJ2514" s="13" t="n">
        <v>1</v>
      </c>
      <c r="AK2514" s="4"/>
      <c r="AL2514" s="4"/>
      <c r="AM2514" s="4"/>
    </row>
    <row r="2515" customFormat="false" ht="23.85" hidden="false" customHeight="false" outlineLevel="0" collapsed="false">
      <c r="A2515" s="4" t="s">
        <v>3338</v>
      </c>
      <c r="B2515" s="4" t="s">
        <v>3492</v>
      </c>
      <c r="C2515" s="4" t="s">
        <v>3492</v>
      </c>
      <c r="D2515" s="12" t="n">
        <v>2023</v>
      </c>
      <c r="E2515" s="4"/>
      <c r="F2515" s="4" t="s">
        <v>1990</v>
      </c>
      <c r="G2515" s="4" t="s">
        <v>170</v>
      </c>
      <c r="H2515" s="4" t="s">
        <v>171</v>
      </c>
      <c r="I2515" s="4" t="s">
        <v>172</v>
      </c>
      <c r="J2515" s="4" t="s">
        <v>1551</v>
      </c>
      <c r="K2515" s="4" t="s">
        <v>88</v>
      </c>
      <c r="L2515" s="4"/>
      <c r="M2515" s="4"/>
      <c r="N2515" s="4" t="s">
        <v>1994</v>
      </c>
      <c r="O2515" s="4" t="s">
        <v>65</v>
      </c>
      <c r="P2515" s="4" t="s">
        <v>64</v>
      </c>
      <c r="Q2515" s="4" t="s">
        <v>2044</v>
      </c>
      <c r="R2515" s="4"/>
      <c r="S2515" s="4"/>
      <c r="T2515" s="4"/>
      <c r="U2515" s="4"/>
      <c r="V2515" s="4"/>
      <c r="W2515" s="4"/>
      <c r="X2515" s="4"/>
      <c r="Y2515" s="4"/>
      <c r="Z2515" s="4"/>
      <c r="AA2515" s="4"/>
      <c r="AB2515" s="4"/>
      <c r="AC2515" s="4"/>
      <c r="AD2515" s="4"/>
      <c r="AE2515" s="4"/>
      <c r="AF2515" s="4"/>
      <c r="AG2515" s="4"/>
      <c r="AH2515" s="4"/>
      <c r="AI2515" s="4"/>
      <c r="AJ2515" s="13" t="n">
        <v>0</v>
      </c>
      <c r="AK2515" s="4"/>
      <c r="AL2515" s="4"/>
      <c r="AM2515" s="4"/>
    </row>
    <row r="2516" customFormat="false" ht="23.85" hidden="false" customHeight="false" outlineLevel="0" collapsed="false">
      <c r="A2516" s="4" t="s">
        <v>3338</v>
      </c>
      <c r="B2516" s="4" t="s">
        <v>3493</v>
      </c>
      <c r="C2516" s="4" t="s">
        <v>3493</v>
      </c>
      <c r="D2516" s="12" t="n">
        <v>2023</v>
      </c>
      <c r="E2516" s="4"/>
      <c r="F2516" s="4" t="s">
        <v>1990</v>
      </c>
      <c r="G2516" s="4" t="s">
        <v>170</v>
      </c>
      <c r="H2516" s="4" t="s">
        <v>171</v>
      </c>
      <c r="I2516" s="4" t="s">
        <v>172</v>
      </c>
      <c r="J2516" s="4" t="s">
        <v>1556</v>
      </c>
      <c r="K2516" s="4" t="s">
        <v>88</v>
      </c>
      <c r="L2516" s="4"/>
      <c r="M2516" s="4"/>
      <c r="N2516" s="4" t="s">
        <v>2001</v>
      </c>
      <c r="O2516" s="4" t="s">
        <v>66</v>
      </c>
      <c r="P2516" s="4" t="s">
        <v>67</v>
      </c>
      <c r="Q2516" s="4" t="s">
        <v>2003</v>
      </c>
      <c r="R2516" s="4"/>
      <c r="S2516" s="4"/>
      <c r="T2516" s="4"/>
      <c r="U2516" s="4"/>
      <c r="V2516" s="4"/>
      <c r="W2516" s="4" t="s">
        <v>3341</v>
      </c>
      <c r="X2516" s="4" t="s">
        <v>3342</v>
      </c>
      <c r="Y2516" s="4" t="s">
        <v>3362</v>
      </c>
      <c r="Z2516" s="4"/>
      <c r="AA2516" s="4"/>
      <c r="AB2516" s="4"/>
      <c r="AC2516" s="4" t="s">
        <v>3363</v>
      </c>
      <c r="AD2516" s="4"/>
      <c r="AE2516" s="4"/>
      <c r="AF2516" s="4"/>
      <c r="AG2516" s="4"/>
      <c r="AH2516" s="4"/>
      <c r="AI2516" s="4"/>
      <c r="AJ2516" s="13" t="n">
        <v>1</v>
      </c>
      <c r="AK2516" s="4"/>
      <c r="AL2516" s="4"/>
      <c r="AM2516" s="4"/>
    </row>
    <row r="2517" customFormat="false" ht="23.85" hidden="false" customHeight="false" outlineLevel="0" collapsed="false">
      <c r="A2517" s="4" t="s">
        <v>3338</v>
      </c>
      <c r="B2517" s="4" t="s">
        <v>3494</v>
      </c>
      <c r="C2517" s="4" t="s">
        <v>3494</v>
      </c>
      <c r="D2517" s="12" t="n">
        <v>2023</v>
      </c>
      <c r="E2517" s="4"/>
      <c r="F2517" s="4" t="s">
        <v>1990</v>
      </c>
      <c r="G2517" s="4" t="s">
        <v>170</v>
      </c>
      <c r="H2517" s="4" t="s">
        <v>171</v>
      </c>
      <c r="I2517" s="4" t="s">
        <v>172</v>
      </c>
      <c r="J2517" s="4" t="s">
        <v>1566</v>
      </c>
      <c r="K2517" s="4" t="s">
        <v>95</v>
      </c>
      <c r="L2517" s="4"/>
      <c r="M2517" s="4"/>
      <c r="N2517" s="4" t="s">
        <v>1994</v>
      </c>
      <c r="O2517" s="4" t="s">
        <v>2029</v>
      </c>
      <c r="P2517" s="4" t="s">
        <v>69</v>
      </c>
      <c r="Q2517" s="4" t="s">
        <v>2030</v>
      </c>
      <c r="R2517" s="4"/>
      <c r="S2517" s="4"/>
      <c r="T2517" s="4"/>
      <c r="U2517" s="4"/>
      <c r="V2517" s="4"/>
      <c r="W2517" s="4"/>
      <c r="X2517" s="4"/>
      <c r="Y2517" s="4"/>
      <c r="Z2517" s="4"/>
      <c r="AA2517" s="4"/>
      <c r="AB2517" s="4"/>
      <c r="AC2517" s="4"/>
      <c r="AD2517" s="4"/>
      <c r="AE2517" s="4"/>
      <c r="AF2517" s="4"/>
      <c r="AG2517" s="4"/>
      <c r="AH2517" s="4"/>
      <c r="AI2517" s="4"/>
      <c r="AJ2517" s="13" t="n">
        <v>0</v>
      </c>
      <c r="AK2517" s="4"/>
      <c r="AL2517" s="4"/>
      <c r="AM2517" s="4"/>
    </row>
    <row r="2518" customFormat="false" ht="23.85" hidden="false" customHeight="false" outlineLevel="0" collapsed="false">
      <c r="A2518" s="4" t="s">
        <v>3338</v>
      </c>
      <c r="B2518" s="4" t="s">
        <v>3495</v>
      </c>
      <c r="C2518" s="4" t="s">
        <v>3495</v>
      </c>
      <c r="D2518" s="12" t="n">
        <v>2023</v>
      </c>
      <c r="E2518" s="4"/>
      <c r="F2518" s="4" t="s">
        <v>1990</v>
      </c>
      <c r="G2518" s="4" t="s">
        <v>170</v>
      </c>
      <c r="H2518" s="4" t="s">
        <v>171</v>
      </c>
      <c r="I2518" s="4" t="s">
        <v>172</v>
      </c>
      <c r="J2518" s="4" t="s">
        <v>1568</v>
      </c>
      <c r="K2518" s="4" t="s">
        <v>95</v>
      </c>
      <c r="L2518" s="4"/>
      <c r="M2518" s="4"/>
      <c r="N2518" s="4" t="s">
        <v>2001</v>
      </c>
      <c r="O2518" s="4" t="s">
        <v>2034</v>
      </c>
      <c r="P2518" s="4" t="s">
        <v>74</v>
      </c>
      <c r="Q2518" s="4" t="s">
        <v>2035</v>
      </c>
      <c r="R2518" s="4"/>
      <c r="S2518" s="4"/>
      <c r="T2518" s="4"/>
      <c r="U2518" s="4"/>
      <c r="V2518" s="4"/>
      <c r="W2518" s="4"/>
      <c r="X2518" s="4"/>
      <c r="Y2518" s="4"/>
      <c r="Z2518" s="4"/>
      <c r="AA2518" s="4"/>
      <c r="AB2518" s="4"/>
      <c r="AC2518" s="4"/>
      <c r="AD2518" s="4"/>
      <c r="AE2518" s="4"/>
      <c r="AF2518" s="4"/>
      <c r="AG2518" s="4"/>
      <c r="AH2518" s="4"/>
      <c r="AI2518" s="4"/>
      <c r="AJ2518" s="13" t="n">
        <v>0</v>
      </c>
      <c r="AK2518" s="4"/>
      <c r="AL2518" s="4"/>
      <c r="AM2518" s="4"/>
    </row>
    <row r="2519" customFormat="false" ht="23.85" hidden="false" customHeight="false" outlineLevel="0" collapsed="false">
      <c r="A2519" s="4" t="s">
        <v>3338</v>
      </c>
      <c r="B2519" s="4" t="s">
        <v>3496</v>
      </c>
      <c r="C2519" s="4" t="s">
        <v>3496</v>
      </c>
      <c r="D2519" s="12" t="n">
        <v>2023</v>
      </c>
      <c r="E2519" s="4"/>
      <c r="F2519" s="4" t="s">
        <v>1990</v>
      </c>
      <c r="G2519" s="4" t="s">
        <v>170</v>
      </c>
      <c r="H2519" s="4" t="s">
        <v>171</v>
      </c>
      <c r="I2519" s="4" t="s">
        <v>172</v>
      </c>
      <c r="J2519" s="4" t="s">
        <v>1576</v>
      </c>
      <c r="K2519" s="4" t="s">
        <v>95</v>
      </c>
      <c r="L2519" s="4"/>
      <c r="M2519" s="4"/>
      <c r="N2519" s="4" t="s">
        <v>2001</v>
      </c>
      <c r="O2519" s="4" t="s">
        <v>2002</v>
      </c>
      <c r="P2519" s="4" t="s">
        <v>68</v>
      </c>
      <c r="Q2519" s="4" t="s">
        <v>2111</v>
      </c>
      <c r="R2519" s="4"/>
      <c r="S2519" s="4"/>
      <c r="T2519" s="4"/>
      <c r="U2519" s="4"/>
      <c r="V2519" s="4"/>
      <c r="W2519" s="4" t="s">
        <v>3404</v>
      </c>
      <c r="X2519" s="4" t="s">
        <v>3405</v>
      </c>
      <c r="Y2519" s="4" t="inlineStr">
        <is>
          <t>COMB_COQUE</t>
        </is>
      </c>
      <c r="Z2519" s="4"/>
      <c r="AA2519" s="4"/>
      <c r="AB2519" s="4"/>
      <c r="AC2519" s="4" t="s">
        <v>3352</v>
      </c>
      <c r="AD2519" s="4"/>
      <c r="AE2519" s="4"/>
      <c r="AF2519" s="4"/>
      <c r="AG2519" s="4"/>
      <c r="AH2519" s="4"/>
      <c r="AI2519" s="4"/>
      <c r="AJ2519" s="13" t="n">
        <v>1</v>
      </c>
      <c r="AK2519" s="4"/>
      <c r="AL2519" s="4"/>
      <c r="AM2519" s="4"/>
    </row>
    <row r="2520" customFormat="false" ht="23.85" hidden="false" customHeight="false" outlineLevel="0" collapsed="false">
      <c r="A2520" s="4" t="s">
        <v>3338</v>
      </c>
      <c r="B2520" s="4" t="s">
        <v>3497</v>
      </c>
      <c r="C2520" s="4" t="s">
        <v>3497</v>
      </c>
      <c r="D2520" s="12" t="n">
        <v>2023</v>
      </c>
      <c r="E2520" s="4"/>
      <c r="F2520" s="4" t="s">
        <v>1990</v>
      </c>
      <c r="G2520" s="4" t="s">
        <v>170</v>
      </c>
      <c r="H2520" s="4" t="s">
        <v>171</v>
      </c>
      <c r="I2520" s="4" t="s">
        <v>172</v>
      </c>
      <c r="J2520" s="4" t="s">
        <v>1580</v>
      </c>
      <c r="K2520" s="4" t="s">
        <v>97</v>
      </c>
      <c r="L2520" s="4"/>
      <c r="M2520" s="4"/>
      <c r="N2520" s="4" t="s">
        <v>1994</v>
      </c>
      <c r="O2520" s="4" t="s">
        <v>2029</v>
      </c>
      <c r="P2520" s="4" t="s">
        <v>69</v>
      </c>
      <c r="Q2520" s="4" t="s">
        <v>2030</v>
      </c>
      <c r="R2520" s="4"/>
      <c r="S2520" s="4"/>
      <c r="T2520" s="4"/>
      <c r="U2520" s="4"/>
      <c r="V2520" s="4"/>
      <c r="W2520" s="4"/>
      <c r="X2520" s="4"/>
      <c r="Y2520" s="4"/>
      <c r="Z2520" s="4"/>
      <c r="AA2520" s="4"/>
      <c r="AB2520" s="4"/>
      <c r="AC2520" s="4"/>
      <c r="AD2520" s="4"/>
      <c r="AE2520" s="4"/>
      <c r="AF2520" s="4"/>
      <c r="AG2520" s="4"/>
      <c r="AH2520" s="4"/>
      <c r="AI2520" s="4"/>
      <c r="AJ2520" s="13" t="n">
        <v>0</v>
      </c>
      <c r="AK2520" s="4"/>
      <c r="AL2520" s="4"/>
      <c r="AM2520" s="4"/>
    </row>
    <row r="2521" customFormat="false" ht="23.85" hidden="false" customHeight="false" outlineLevel="0" collapsed="false">
      <c r="A2521" s="4" t="s">
        <v>3338</v>
      </c>
      <c r="B2521" s="4" t="s">
        <v>3498</v>
      </c>
      <c r="C2521" s="4" t="s">
        <v>3498</v>
      </c>
      <c r="D2521" s="12" t="n">
        <v>2023</v>
      </c>
      <c r="E2521" s="4"/>
      <c r="F2521" s="4" t="s">
        <v>1990</v>
      </c>
      <c r="G2521" s="4" t="s">
        <v>170</v>
      </c>
      <c r="H2521" s="4" t="s">
        <v>171</v>
      </c>
      <c r="I2521" s="4" t="s">
        <v>172</v>
      </c>
      <c r="J2521" s="4" t="s">
        <v>1581</v>
      </c>
      <c r="K2521" s="4" t="s">
        <v>97</v>
      </c>
      <c r="L2521" s="4"/>
      <c r="M2521" s="4"/>
      <c r="N2521" s="4" t="s">
        <v>2001</v>
      </c>
      <c r="O2521" s="4" t="s">
        <v>2091</v>
      </c>
      <c r="P2521" s="4" t="s">
        <v>69</v>
      </c>
      <c r="Q2521" s="4" t="s">
        <v>2030</v>
      </c>
      <c r="R2521" s="4"/>
      <c r="S2521" s="4"/>
      <c r="T2521" s="4"/>
      <c r="U2521" s="4"/>
      <c r="V2521" s="4"/>
      <c r="W2521" s="4"/>
      <c r="X2521" s="4"/>
      <c r="Y2521" s="4"/>
      <c r="Z2521" s="4"/>
      <c r="AA2521" s="4"/>
      <c r="AB2521" s="4"/>
      <c r="AC2521" s="4"/>
      <c r="AD2521" s="4"/>
      <c r="AE2521" s="4"/>
      <c r="AF2521" s="4"/>
      <c r="AG2521" s="4"/>
      <c r="AH2521" s="4"/>
      <c r="AI2521" s="4"/>
      <c r="AJ2521" s="13" t="n">
        <v>0</v>
      </c>
      <c r="AK2521" s="4"/>
      <c r="AL2521" s="4"/>
      <c r="AM2521" s="4"/>
    </row>
    <row r="2522" customFormat="false" ht="23.85" hidden="false" customHeight="false" outlineLevel="0" collapsed="false">
      <c r="A2522" s="4" t="s">
        <v>3338</v>
      </c>
      <c r="B2522" s="4" t="s">
        <v>3499</v>
      </c>
      <c r="C2522" s="4" t="s">
        <v>3499</v>
      </c>
      <c r="D2522" s="12" t="n">
        <v>2023</v>
      </c>
      <c r="E2522" s="4"/>
      <c r="F2522" s="4" t="s">
        <v>1990</v>
      </c>
      <c r="G2522" s="4" t="s">
        <v>170</v>
      </c>
      <c r="H2522" s="4" t="s">
        <v>171</v>
      </c>
      <c r="I2522" s="4" t="s">
        <v>172</v>
      </c>
      <c r="J2522" s="4" t="s">
        <v>1582</v>
      </c>
      <c r="K2522" s="4" t="s">
        <v>97</v>
      </c>
      <c r="L2522" s="4"/>
      <c r="M2522" s="4"/>
      <c r="N2522" s="4" t="s">
        <v>2001</v>
      </c>
      <c r="O2522" s="4" t="s">
        <v>2034</v>
      </c>
      <c r="P2522" s="4" t="s">
        <v>74</v>
      </c>
      <c r="Q2522" s="4" t="s">
        <v>2035</v>
      </c>
      <c r="R2522" s="4"/>
      <c r="S2522" s="4"/>
      <c r="T2522" s="4"/>
      <c r="U2522" s="4"/>
      <c r="V2522" s="4"/>
      <c r="W2522" s="4"/>
      <c r="X2522" s="4"/>
      <c r="Y2522" s="4"/>
      <c r="Z2522" s="4"/>
      <c r="AA2522" s="4"/>
      <c r="AB2522" s="4"/>
      <c r="AC2522" s="4"/>
      <c r="AD2522" s="4"/>
      <c r="AE2522" s="4"/>
      <c r="AF2522" s="4"/>
      <c r="AG2522" s="4"/>
      <c r="AH2522" s="4"/>
      <c r="AI2522" s="4"/>
      <c r="AJ2522" s="13" t="n">
        <v>0</v>
      </c>
      <c r="AK2522" s="4"/>
      <c r="AL2522" s="4"/>
      <c r="AM2522" s="4"/>
    </row>
    <row r="2523" customFormat="false" ht="23.85" hidden="false" customHeight="false" outlineLevel="0" collapsed="false">
      <c r="A2523" s="4" t="s">
        <v>3338</v>
      </c>
      <c r="B2523" s="4" t="s">
        <v>3500</v>
      </c>
      <c r="C2523" s="4" t="s">
        <v>3500</v>
      </c>
      <c r="D2523" s="12" t="n">
        <v>2023</v>
      </c>
      <c r="E2523" s="4"/>
      <c r="F2523" s="4" t="s">
        <v>1990</v>
      </c>
      <c r="G2523" s="4" t="s">
        <v>170</v>
      </c>
      <c r="H2523" s="4" t="s">
        <v>171</v>
      </c>
      <c r="I2523" s="4" t="s">
        <v>172</v>
      </c>
      <c r="J2523" s="4" t="s">
        <v>1584</v>
      </c>
      <c r="K2523" s="4" t="s">
        <v>97</v>
      </c>
      <c r="L2523" s="4"/>
      <c r="M2523" s="4"/>
      <c r="N2523" s="4" t="s">
        <v>2001</v>
      </c>
      <c r="O2523" s="4" t="s">
        <v>2002</v>
      </c>
      <c r="P2523" s="4" t="s">
        <v>67</v>
      </c>
      <c r="Q2523" s="4" t="s">
        <v>2003</v>
      </c>
      <c r="R2523" s="4"/>
      <c r="S2523" s="4"/>
      <c r="T2523" s="4"/>
      <c r="U2523" s="4"/>
      <c r="V2523" s="4"/>
      <c r="W2523" s="4" t="s">
        <v>3341</v>
      </c>
      <c r="X2523" s="4" t="s">
        <v>3342</v>
      </c>
      <c r="Y2523" s="4" t="inlineStr">
        <is>
          <t>COMB_DOIL</t>
        </is>
      </c>
      <c r="Z2523" s="4"/>
      <c r="AA2523" s="4"/>
      <c r="AB2523" s="4"/>
      <c r="AC2523" s="4" t="s">
        <v>3352</v>
      </c>
      <c r="AD2523" s="4"/>
      <c r="AE2523" s="4"/>
      <c r="AF2523" s="4"/>
      <c r="AG2523" s="4"/>
      <c r="AH2523" s="4"/>
      <c r="AI2523" s="4"/>
      <c r="AJ2523" s="13" t="n">
        <v>1</v>
      </c>
      <c r="AK2523" s="4"/>
      <c r="AL2523" s="4"/>
      <c r="AM2523" s="4"/>
    </row>
    <row r="2524" customFormat="false" ht="23.85" hidden="false" customHeight="false" outlineLevel="0" collapsed="false">
      <c r="A2524" s="4" t="s">
        <v>3338</v>
      </c>
      <c r="B2524" s="4" t="s">
        <v>3501</v>
      </c>
      <c r="C2524" s="4" t="s">
        <v>3501</v>
      </c>
      <c r="D2524" s="12" t="n">
        <v>2023</v>
      </c>
      <c r="E2524" s="4"/>
      <c r="F2524" s="4" t="s">
        <v>1990</v>
      </c>
      <c r="G2524" s="4" t="s">
        <v>170</v>
      </c>
      <c r="H2524" s="4" t="s">
        <v>171</v>
      </c>
      <c r="I2524" s="4" t="s">
        <v>172</v>
      </c>
      <c r="J2524" s="4" t="s">
        <v>1587</v>
      </c>
      <c r="K2524" s="4" t="s">
        <v>97</v>
      </c>
      <c r="L2524" s="4"/>
      <c r="M2524" s="4"/>
      <c r="N2524" s="4" t="s">
        <v>2001</v>
      </c>
      <c r="O2524" s="4" t="s">
        <v>2002</v>
      </c>
      <c r="P2524" s="4" t="s">
        <v>71</v>
      </c>
      <c r="Q2524" s="4" t="s">
        <v>2123</v>
      </c>
      <c r="R2524" s="4"/>
      <c r="S2524" s="4"/>
      <c r="T2524" s="4"/>
      <c r="U2524" s="4"/>
      <c r="V2524" s="4"/>
      <c r="W2524" s="4" t="s">
        <v>3412</v>
      </c>
      <c r="X2524" s="4" t="s">
        <v>3413</v>
      </c>
      <c r="Y2524" s="4" t="inlineStr">
        <is>
          <t>COMB_DOIL</t>
        </is>
      </c>
      <c r="Z2524" s="4"/>
      <c r="AA2524" s="4"/>
      <c r="AB2524" s="4"/>
      <c r="AC2524" s="4" t="s">
        <v>3352</v>
      </c>
      <c r="AD2524" s="4"/>
      <c r="AE2524" s="4"/>
      <c r="AF2524" s="4"/>
      <c r="AG2524" s="4"/>
      <c r="AH2524" s="4"/>
      <c r="AI2524" s="4"/>
      <c r="AJ2524" s="13" t="n">
        <v>1</v>
      </c>
      <c r="AK2524" s="4"/>
      <c r="AL2524" s="4"/>
      <c r="AM2524" s="4"/>
    </row>
    <row r="2525" customFormat="false" ht="23.85" hidden="false" customHeight="false" outlineLevel="0" collapsed="false">
      <c r="A2525" s="4" t="s">
        <v>3338</v>
      </c>
      <c r="B2525" s="4" t="s">
        <v>3502</v>
      </c>
      <c r="C2525" s="4" t="s">
        <v>3502</v>
      </c>
      <c r="D2525" s="12" t="n">
        <v>2023</v>
      </c>
      <c r="E2525" s="4"/>
      <c r="F2525" s="4" t="s">
        <v>1990</v>
      </c>
      <c r="G2525" s="4" t="s">
        <v>170</v>
      </c>
      <c r="H2525" s="4" t="s">
        <v>171</v>
      </c>
      <c r="I2525" s="4" t="s">
        <v>172</v>
      </c>
      <c r="J2525" s="4" t="s">
        <v>1590</v>
      </c>
      <c r="K2525" s="4" t="s">
        <v>97</v>
      </c>
      <c r="L2525" s="4"/>
      <c r="M2525" s="4"/>
      <c r="N2525" s="4" t="s">
        <v>2001</v>
      </c>
      <c r="O2525" s="4" t="s">
        <v>2002</v>
      </c>
      <c r="P2525" s="4" t="s">
        <v>68</v>
      </c>
      <c r="Q2525" s="4" t="s">
        <v>2111</v>
      </c>
      <c r="R2525" s="4"/>
      <c r="S2525" s="4"/>
      <c r="T2525" s="4"/>
      <c r="U2525" s="4"/>
      <c r="V2525" s="4"/>
      <c r="W2525" s="4" t="s">
        <v>3404</v>
      </c>
      <c r="X2525" s="4" t="s">
        <v>3405</v>
      </c>
      <c r="Y2525" s="4" t="inlineStr">
        <is>
          <t>COMB_DOIL</t>
        </is>
      </c>
      <c r="Z2525" s="4"/>
      <c r="AA2525" s="4"/>
      <c r="AB2525" s="4"/>
      <c r="AC2525" s="4" t="s">
        <v>3352</v>
      </c>
      <c r="AD2525" s="4"/>
      <c r="AE2525" s="4"/>
      <c r="AF2525" s="4"/>
      <c r="AG2525" s="4"/>
      <c r="AH2525" s="4"/>
      <c r="AI2525" s="4"/>
      <c r="AJ2525" s="13" t="n">
        <v>1</v>
      </c>
      <c r="AK2525" s="4"/>
      <c r="AL2525" s="4"/>
      <c r="AM2525" s="4"/>
    </row>
    <row r="2526" customFormat="false" ht="23.85" hidden="false" customHeight="false" outlineLevel="0" collapsed="false">
      <c r="A2526" s="4" t="s">
        <v>3338</v>
      </c>
      <c r="B2526" s="4" t="s">
        <v>3503</v>
      </c>
      <c r="C2526" s="4" t="s">
        <v>3503</v>
      </c>
      <c r="D2526" s="12" t="n">
        <v>2023</v>
      </c>
      <c r="E2526" s="4"/>
      <c r="F2526" s="4" t="s">
        <v>1990</v>
      </c>
      <c r="G2526" s="4" t="s">
        <v>170</v>
      </c>
      <c r="H2526" s="4" t="s">
        <v>171</v>
      </c>
      <c r="I2526" s="4" t="s">
        <v>172</v>
      </c>
      <c r="J2526" s="4" t="s">
        <v>1594</v>
      </c>
      <c r="K2526" s="4" t="s">
        <v>99</v>
      </c>
      <c r="L2526" s="4"/>
      <c r="M2526" s="4"/>
      <c r="N2526" s="4" t="s">
        <v>1994</v>
      </c>
      <c r="O2526" s="4" t="s">
        <v>2029</v>
      </c>
      <c r="P2526" s="4" t="s">
        <v>69</v>
      </c>
      <c r="Q2526" s="4" t="s">
        <v>2030</v>
      </c>
      <c r="R2526" s="4"/>
      <c r="S2526" s="4"/>
      <c r="T2526" s="4"/>
      <c r="U2526" s="4"/>
      <c r="V2526" s="4"/>
      <c r="W2526" s="4"/>
      <c r="X2526" s="4"/>
      <c r="Y2526" s="4"/>
      <c r="Z2526" s="4"/>
      <c r="AA2526" s="4"/>
      <c r="AB2526" s="4"/>
      <c r="AC2526" s="4"/>
      <c r="AD2526" s="4"/>
      <c r="AE2526" s="4"/>
      <c r="AF2526" s="4"/>
      <c r="AG2526" s="4"/>
      <c r="AH2526" s="4"/>
      <c r="AI2526" s="4"/>
      <c r="AJ2526" s="13" t="n">
        <v>0</v>
      </c>
      <c r="AK2526" s="4"/>
      <c r="AL2526" s="4"/>
      <c r="AM2526" s="4"/>
    </row>
    <row r="2527" customFormat="false" ht="23.85" hidden="false" customHeight="false" outlineLevel="0" collapsed="false">
      <c r="A2527" s="4" t="s">
        <v>3338</v>
      </c>
      <c r="B2527" s="4" t="s">
        <v>3504</v>
      </c>
      <c r="C2527" s="4" t="s">
        <v>3504</v>
      </c>
      <c r="D2527" s="12" t="n">
        <v>2023</v>
      </c>
      <c r="E2527" s="4"/>
      <c r="F2527" s="4" t="s">
        <v>1990</v>
      </c>
      <c r="G2527" s="4" t="s">
        <v>170</v>
      </c>
      <c r="H2527" s="4" t="s">
        <v>171</v>
      </c>
      <c r="I2527" s="4" t="s">
        <v>172</v>
      </c>
      <c r="J2527" s="4" t="s">
        <v>1595</v>
      </c>
      <c r="K2527" s="4" t="s">
        <v>99</v>
      </c>
      <c r="L2527" s="4"/>
      <c r="M2527" s="4"/>
      <c r="N2527" s="4" t="s">
        <v>2001</v>
      </c>
      <c r="O2527" s="4" t="s">
        <v>2091</v>
      </c>
      <c r="P2527" s="4" t="s">
        <v>69</v>
      </c>
      <c r="Q2527" s="4" t="s">
        <v>2030</v>
      </c>
      <c r="R2527" s="4"/>
      <c r="S2527" s="4"/>
      <c r="T2527" s="4"/>
      <c r="U2527" s="4"/>
      <c r="V2527" s="4"/>
      <c r="W2527" s="4"/>
      <c r="X2527" s="4"/>
      <c r="Y2527" s="4"/>
      <c r="Z2527" s="4"/>
      <c r="AA2527" s="4"/>
      <c r="AB2527" s="4"/>
      <c r="AC2527" s="4"/>
      <c r="AD2527" s="4"/>
      <c r="AE2527" s="4"/>
      <c r="AF2527" s="4"/>
      <c r="AG2527" s="4"/>
      <c r="AH2527" s="4"/>
      <c r="AI2527" s="4"/>
      <c r="AJ2527" s="13" t="n">
        <v>0</v>
      </c>
      <c r="AK2527" s="4"/>
      <c r="AL2527" s="4"/>
      <c r="AM2527" s="4"/>
    </row>
    <row r="2528" customFormat="false" ht="23.85" hidden="false" customHeight="false" outlineLevel="0" collapsed="false">
      <c r="A2528" s="4" t="s">
        <v>3338</v>
      </c>
      <c r="B2528" s="4" t="s">
        <v>3505</v>
      </c>
      <c r="C2528" s="4" t="s">
        <v>3505</v>
      </c>
      <c r="D2528" s="12" t="n">
        <v>2023</v>
      </c>
      <c r="E2528" s="4"/>
      <c r="F2528" s="4" t="s">
        <v>1990</v>
      </c>
      <c r="G2528" s="4" t="s">
        <v>170</v>
      </c>
      <c r="H2528" s="4" t="s">
        <v>171</v>
      </c>
      <c r="I2528" s="4" t="s">
        <v>172</v>
      </c>
      <c r="J2528" s="4" t="s">
        <v>1598</v>
      </c>
      <c r="K2528" s="4" t="s">
        <v>99</v>
      </c>
      <c r="L2528" s="4"/>
      <c r="M2528" s="4"/>
      <c r="N2528" s="4" t="s">
        <v>1994</v>
      </c>
      <c r="O2528" s="4" t="s">
        <v>1995</v>
      </c>
      <c r="P2528" s="4" t="s">
        <v>67</v>
      </c>
      <c r="Q2528" s="4" t="s">
        <v>2003</v>
      </c>
      <c r="R2528" s="4"/>
      <c r="S2528" s="4"/>
      <c r="T2528" s="4"/>
      <c r="U2528" s="4"/>
      <c r="V2528" s="4"/>
      <c r="W2528" s="4" t="s">
        <v>3341</v>
      </c>
      <c r="X2528" s="4" t="s">
        <v>3342</v>
      </c>
      <c r="Y2528" s="4" t="s">
        <v>3362</v>
      </c>
      <c r="Z2528" s="4"/>
      <c r="AA2528" s="4"/>
      <c r="AB2528" s="4"/>
      <c r="AC2528" s="4" t="s">
        <v>3363</v>
      </c>
      <c r="AD2528" s="4"/>
      <c r="AE2528" s="4"/>
      <c r="AF2528" s="4"/>
      <c r="AG2528" s="4"/>
      <c r="AH2528" s="4"/>
      <c r="AI2528" s="4"/>
      <c r="AJ2528" s="13" t="n">
        <v>1</v>
      </c>
      <c r="AK2528" s="4"/>
      <c r="AL2528" s="4"/>
      <c r="AM2528" s="4"/>
    </row>
    <row r="2529" customFormat="false" ht="23.85" hidden="false" customHeight="false" outlineLevel="0" collapsed="false">
      <c r="A2529" s="4" t="s">
        <v>3338</v>
      </c>
      <c r="B2529" s="4" t="s">
        <v>3506</v>
      </c>
      <c r="C2529" s="4" t="s">
        <v>3506</v>
      </c>
      <c r="D2529" s="12" t="n">
        <v>2023</v>
      </c>
      <c r="E2529" s="4"/>
      <c r="F2529" s="4" t="s">
        <v>1990</v>
      </c>
      <c r="G2529" s="4" t="s">
        <v>170</v>
      </c>
      <c r="H2529" s="4" t="s">
        <v>171</v>
      </c>
      <c r="I2529" s="4" t="s">
        <v>172</v>
      </c>
      <c r="J2529" s="4" t="s">
        <v>1599</v>
      </c>
      <c r="K2529" s="4" t="s">
        <v>99</v>
      </c>
      <c r="L2529" s="4"/>
      <c r="M2529" s="4"/>
      <c r="N2529" s="4" t="s">
        <v>1994</v>
      </c>
      <c r="O2529" s="4" t="s">
        <v>1995</v>
      </c>
      <c r="P2529" s="4" t="s">
        <v>67</v>
      </c>
      <c r="Q2529" s="4" t="s">
        <v>2008</v>
      </c>
      <c r="R2529" s="4"/>
      <c r="S2529" s="4"/>
      <c r="T2529" s="4"/>
      <c r="U2529" s="4"/>
      <c r="V2529" s="4"/>
      <c r="W2529" s="4" t="s">
        <v>3341</v>
      </c>
      <c r="X2529" s="4" t="s">
        <v>3342</v>
      </c>
      <c r="Y2529" s="4" t="s">
        <v>3362</v>
      </c>
      <c r="Z2529" s="4"/>
      <c r="AA2529" s="4"/>
      <c r="AB2529" s="4"/>
      <c r="AC2529" s="4" t="s">
        <v>3363</v>
      </c>
      <c r="AD2529" s="4"/>
      <c r="AE2529" s="4"/>
      <c r="AF2529" s="4"/>
      <c r="AG2529" s="4"/>
      <c r="AH2529" s="4"/>
      <c r="AI2529" s="4"/>
      <c r="AJ2529" s="13" t="n">
        <v>1</v>
      </c>
      <c r="AK2529" s="4"/>
      <c r="AL2529" s="4"/>
      <c r="AM2529" s="4"/>
    </row>
    <row r="2530" customFormat="false" ht="23.85" hidden="false" customHeight="false" outlineLevel="0" collapsed="false">
      <c r="A2530" s="4" t="s">
        <v>3338</v>
      </c>
      <c r="B2530" s="4" t="s">
        <v>3507</v>
      </c>
      <c r="C2530" s="4" t="s">
        <v>3507</v>
      </c>
      <c r="D2530" s="12" t="n">
        <v>2023</v>
      </c>
      <c r="E2530" s="4"/>
      <c r="F2530" s="4" t="s">
        <v>1990</v>
      </c>
      <c r="G2530" s="4" t="s">
        <v>170</v>
      </c>
      <c r="H2530" s="4" t="s">
        <v>171</v>
      </c>
      <c r="I2530" s="4" t="s">
        <v>172</v>
      </c>
      <c r="J2530" s="4" t="s">
        <v>1600</v>
      </c>
      <c r="K2530" s="4" t="s">
        <v>99</v>
      </c>
      <c r="L2530" s="4"/>
      <c r="M2530" s="4"/>
      <c r="N2530" s="4" t="s">
        <v>2001</v>
      </c>
      <c r="O2530" s="4" t="s">
        <v>2002</v>
      </c>
      <c r="P2530" s="4" t="s">
        <v>67</v>
      </c>
      <c r="Q2530" s="4" t="s">
        <v>2139</v>
      </c>
      <c r="R2530" s="4"/>
      <c r="S2530" s="4"/>
      <c r="T2530" s="4"/>
      <c r="U2530" s="4"/>
      <c r="V2530" s="4"/>
      <c r="W2530" s="4" t="s">
        <v>3420</v>
      </c>
      <c r="X2530" s="4" t="s">
        <v>3421</v>
      </c>
      <c r="Y2530" s="4" t="s">
        <v>3362</v>
      </c>
      <c r="Z2530" s="4"/>
      <c r="AA2530" s="4"/>
      <c r="AB2530" s="4"/>
      <c r="AC2530" s="4" t="s">
        <v>3363</v>
      </c>
      <c r="AD2530" s="4"/>
      <c r="AE2530" s="4"/>
      <c r="AF2530" s="4"/>
      <c r="AG2530" s="4"/>
      <c r="AH2530" s="4"/>
      <c r="AI2530" s="4"/>
      <c r="AJ2530" s="13" t="n">
        <v>1</v>
      </c>
      <c r="AK2530" s="4"/>
      <c r="AL2530" s="4"/>
      <c r="AM2530" s="4"/>
    </row>
    <row r="2531" customFormat="false" ht="23.85" hidden="false" customHeight="false" outlineLevel="0" collapsed="false">
      <c r="A2531" s="4" t="s">
        <v>3338</v>
      </c>
      <c r="B2531" s="4" t="s">
        <v>3508</v>
      </c>
      <c r="C2531" s="4" t="s">
        <v>3508</v>
      </c>
      <c r="D2531" s="12" t="n">
        <v>2023</v>
      </c>
      <c r="E2531" s="4"/>
      <c r="F2531" s="4" t="s">
        <v>1990</v>
      </c>
      <c r="G2531" s="4" t="s">
        <v>170</v>
      </c>
      <c r="H2531" s="4" t="s">
        <v>171</v>
      </c>
      <c r="I2531" s="4" t="s">
        <v>172</v>
      </c>
      <c r="J2531" s="4" t="s">
        <v>1601</v>
      </c>
      <c r="K2531" s="4" t="s">
        <v>99</v>
      </c>
      <c r="L2531" s="4"/>
      <c r="M2531" s="4"/>
      <c r="N2531" s="4" t="s">
        <v>2001</v>
      </c>
      <c r="O2531" s="4" t="s">
        <v>2002</v>
      </c>
      <c r="P2531" s="4" t="s">
        <v>71</v>
      </c>
      <c r="Q2531" s="4" t="s">
        <v>2123</v>
      </c>
      <c r="R2531" s="4"/>
      <c r="S2531" s="4"/>
      <c r="T2531" s="4"/>
      <c r="U2531" s="4"/>
      <c r="V2531" s="4"/>
      <c r="W2531" s="4" t="s">
        <v>3412</v>
      </c>
      <c r="X2531" s="4" t="s">
        <v>3413</v>
      </c>
      <c r="Y2531" s="4" t="s">
        <v>3362</v>
      </c>
      <c r="Z2531" s="4"/>
      <c r="AA2531" s="4"/>
      <c r="AB2531" s="4"/>
      <c r="AC2531" s="4" t="s">
        <v>3363</v>
      </c>
      <c r="AD2531" s="4"/>
      <c r="AE2531" s="4"/>
      <c r="AF2531" s="4"/>
      <c r="AG2531" s="4"/>
      <c r="AH2531" s="4"/>
      <c r="AI2531" s="4"/>
      <c r="AJ2531" s="13" t="n">
        <v>1</v>
      </c>
      <c r="AK2531" s="4"/>
      <c r="AL2531" s="4"/>
      <c r="AM2531" s="4"/>
    </row>
    <row r="2532" customFormat="false" ht="23.85" hidden="false" customHeight="false" outlineLevel="0" collapsed="false">
      <c r="A2532" s="4" t="s">
        <v>3338</v>
      </c>
      <c r="B2532" s="4" t="s">
        <v>3509</v>
      </c>
      <c r="C2532" s="4" t="s">
        <v>3509</v>
      </c>
      <c r="D2532" s="12" t="n">
        <v>2023</v>
      </c>
      <c r="E2532" s="4"/>
      <c r="F2532" s="4" t="s">
        <v>1990</v>
      </c>
      <c r="G2532" s="4" t="s">
        <v>170</v>
      </c>
      <c r="H2532" s="4" t="s">
        <v>171</v>
      </c>
      <c r="I2532" s="4" t="s">
        <v>172</v>
      </c>
      <c r="J2532" s="4" t="s">
        <v>1602</v>
      </c>
      <c r="K2532" s="4" t="s">
        <v>99</v>
      </c>
      <c r="L2532" s="4"/>
      <c r="M2532" s="4"/>
      <c r="N2532" s="4" t="s">
        <v>2001</v>
      </c>
      <c r="O2532" s="4" t="s">
        <v>2074</v>
      </c>
      <c r="P2532" s="4" t="s">
        <v>73</v>
      </c>
      <c r="Q2532" s="4" t="s">
        <v>2075</v>
      </c>
      <c r="R2532" s="4"/>
      <c r="S2532" s="4"/>
      <c r="T2532" s="4"/>
      <c r="U2532" s="4"/>
      <c r="V2532" s="4"/>
      <c r="W2532" s="4" t="s">
        <v>3380</v>
      </c>
      <c r="X2532" s="4" t="s">
        <v>3381</v>
      </c>
      <c r="Y2532" s="4" t="s">
        <v>3362</v>
      </c>
      <c r="Z2532" s="4"/>
      <c r="AA2532" s="4"/>
      <c r="AB2532" s="4"/>
      <c r="AC2532" s="4" t="s">
        <v>3363</v>
      </c>
      <c r="AD2532" s="4"/>
      <c r="AE2532" s="4"/>
      <c r="AF2532" s="4"/>
      <c r="AG2532" s="4"/>
      <c r="AH2532" s="4"/>
      <c r="AI2532" s="4"/>
      <c r="AJ2532" s="13" t="n">
        <v>1</v>
      </c>
      <c r="AK2532" s="4"/>
      <c r="AL2532" s="4"/>
      <c r="AM2532" s="4"/>
    </row>
    <row r="2533" customFormat="false" ht="23.85" hidden="false" customHeight="false" outlineLevel="0" collapsed="false">
      <c r="A2533" s="4" t="s">
        <v>3338</v>
      </c>
      <c r="B2533" s="4" t="s">
        <v>3510</v>
      </c>
      <c r="C2533" s="4" t="s">
        <v>3510</v>
      </c>
      <c r="D2533" s="12" t="n">
        <v>2023</v>
      </c>
      <c r="E2533" s="4"/>
      <c r="F2533" s="4" t="s">
        <v>1990</v>
      </c>
      <c r="G2533" s="4" t="s">
        <v>170</v>
      </c>
      <c r="H2533" s="4" t="s">
        <v>171</v>
      </c>
      <c r="I2533" s="4" t="s">
        <v>172</v>
      </c>
      <c r="J2533" s="4" t="s">
        <v>1603</v>
      </c>
      <c r="K2533" s="4" t="s">
        <v>99</v>
      </c>
      <c r="L2533" s="4"/>
      <c r="M2533" s="4"/>
      <c r="N2533" s="4" t="s">
        <v>2001</v>
      </c>
      <c r="O2533" s="4" t="s">
        <v>2002</v>
      </c>
      <c r="P2533" s="4" t="s">
        <v>72</v>
      </c>
      <c r="Q2533" s="4" t="s">
        <v>2079</v>
      </c>
      <c r="R2533" s="4"/>
      <c r="S2533" s="4"/>
      <c r="T2533" s="4"/>
      <c r="U2533" s="4"/>
      <c r="V2533" s="4"/>
      <c r="W2533" s="4" t="s">
        <v>3383</v>
      </c>
      <c r="X2533" s="4" t="s">
        <v>3384</v>
      </c>
      <c r="Y2533" s="4" t="s">
        <v>3362</v>
      </c>
      <c r="Z2533" s="4"/>
      <c r="AA2533" s="4"/>
      <c r="AB2533" s="4"/>
      <c r="AC2533" s="4" t="s">
        <v>3363</v>
      </c>
      <c r="AD2533" s="4"/>
      <c r="AE2533" s="4"/>
      <c r="AF2533" s="4"/>
      <c r="AG2533" s="4"/>
      <c r="AH2533" s="4"/>
      <c r="AI2533" s="4"/>
      <c r="AJ2533" s="13" t="n">
        <v>1</v>
      </c>
      <c r="AK2533" s="4"/>
      <c r="AL2533" s="4"/>
      <c r="AM2533" s="4"/>
    </row>
    <row r="2534" customFormat="false" ht="23.85" hidden="false" customHeight="false" outlineLevel="0" collapsed="false">
      <c r="A2534" s="4" t="s">
        <v>3338</v>
      </c>
      <c r="B2534" s="4" t="s">
        <v>3511</v>
      </c>
      <c r="C2534" s="4" t="s">
        <v>3511</v>
      </c>
      <c r="D2534" s="12" t="n">
        <v>2023</v>
      </c>
      <c r="E2534" s="4"/>
      <c r="F2534" s="4" t="s">
        <v>1990</v>
      </c>
      <c r="G2534" s="4" t="s">
        <v>170</v>
      </c>
      <c r="H2534" s="4" t="s">
        <v>171</v>
      </c>
      <c r="I2534" s="4" t="s">
        <v>172</v>
      </c>
      <c r="J2534" s="4" t="s">
        <v>1604</v>
      </c>
      <c r="K2534" s="4" t="s">
        <v>99</v>
      </c>
      <c r="L2534" s="4"/>
      <c r="M2534" s="4"/>
      <c r="N2534" s="4" t="s">
        <v>2001</v>
      </c>
      <c r="O2534" s="4" t="s">
        <v>2002</v>
      </c>
      <c r="P2534" s="4" t="s">
        <v>68</v>
      </c>
      <c r="Q2534" s="4" t="s">
        <v>2111</v>
      </c>
      <c r="R2534" s="4"/>
      <c r="S2534" s="4"/>
      <c r="T2534" s="4"/>
      <c r="U2534" s="4"/>
      <c r="V2534" s="4"/>
      <c r="W2534" s="4" t="s">
        <v>3404</v>
      </c>
      <c r="X2534" s="4" t="s">
        <v>3405</v>
      </c>
      <c r="Y2534" s="4" t="s">
        <v>3362</v>
      </c>
      <c r="Z2534" s="4"/>
      <c r="AA2534" s="4"/>
      <c r="AB2534" s="4"/>
      <c r="AC2534" s="4" t="s">
        <v>3363</v>
      </c>
      <c r="AD2534" s="4"/>
      <c r="AE2534" s="4"/>
      <c r="AF2534" s="4"/>
      <c r="AG2534" s="4"/>
      <c r="AH2534" s="4"/>
      <c r="AI2534" s="4"/>
      <c r="AJ2534" s="13" t="n">
        <v>1</v>
      </c>
      <c r="AK2534" s="4"/>
      <c r="AL2534" s="4"/>
      <c r="AM2534" s="4"/>
    </row>
    <row r="2535" customFormat="false" ht="23.85" hidden="false" customHeight="false" outlineLevel="0" collapsed="false">
      <c r="A2535" s="4" t="s">
        <v>3338</v>
      </c>
      <c r="B2535" s="4" t="s">
        <v>3512</v>
      </c>
      <c r="C2535" s="4" t="s">
        <v>3512</v>
      </c>
      <c r="D2535" s="12" t="n">
        <v>2023</v>
      </c>
      <c r="E2535" s="4"/>
      <c r="F2535" s="4" t="s">
        <v>1990</v>
      </c>
      <c r="G2535" s="4" t="s">
        <v>170</v>
      </c>
      <c r="H2535" s="4" t="s">
        <v>171</v>
      </c>
      <c r="I2535" s="4" t="s">
        <v>172</v>
      </c>
      <c r="J2535" s="4" t="s">
        <v>1606</v>
      </c>
      <c r="K2535" s="4" t="s">
        <v>99</v>
      </c>
      <c r="L2535" s="4"/>
      <c r="M2535" s="4"/>
      <c r="N2535" s="4" t="s">
        <v>2001</v>
      </c>
      <c r="O2535" s="4" t="s">
        <v>2002</v>
      </c>
      <c r="P2535" s="4" t="s">
        <v>67</v>
      </c>
      <c r="Q2535" s="4" t="s">
        <v>2151</v>
      </c>
      <c r="R2535" s="4"/>
      <c r="S2535" s="4"/>
      <c r="T2535" s="4"/>
      <c r="U2535" s="4"/>
      <c r="V2535" s="4"/>
      <c r="W2535" s="4"/>
      <c r="X2535" s="4"/>
      <c r="Y2535" s="4"/>
      <c r="Z2535" s="4"/>
      <c r="AA2535" s="4"/>
      <c r="AB2535" s="4"/>
      <c r="AC2535" s="4"/>
      <c r="AD2535" s="4"/>
      <c r="AE2535" s="4"/>
      <c r="AF2535" s="4"/>
      <c r="AG2535" s="4"/>
      <c r="AH2535" s="4"/>
      <c r="AI2535" s="4"/>
      <c r="AJ2535" s="13" t="n">
        <v>0</v>
      </c>
      <c r="AK2535" s="4"/>
      <c r="AL2535" s="4"/>
      <c r="AM2535" s="4"/>
    </row>
    <row r="2536" customFormat="false" ht="23.85" hidden="false" customHeight="false" outlineLevel="0" collapsed="false">
      <c r="A2536" s="4" t="s">
        <v>3338</v>
      </c>
      <c r="B2536" s="4" t="s">
        <v>3513</v>
      </c>
      <c r="C2536" s="4" t="s">
        <v>3513</v>
      </c>
      <c r="D2536" s="12" t="n">
        <v>2023</v>
      </c>
      <c r="E2536" s="4"/>
      <c r="F2536" s="4" t="s">
        <v>1990</v>
      </c>
      <c r="G2536" s="4" t="s">
        <v>170</v>
      </c>
      <c r="H2536" s="4" t="s">
        <v>171</v>
      </c>
      <c r="I2536" s="4" t="s">
        <v>172</v>
      </c>
      <c r="J2536" s="4" t="s">
        <v>1606</v>
      </c>
      <c r="K2536" s="4" t="s">
        <v>99</v>
      </c>
      <c r="L2536" s="4"/>
      <c r="M2536" s="4"/>
      <c r="N2536" s="4" t="s">
        <v>1994</v>
      </c>
      <c r="O2536" s="4" t="s">
        <v>2156</v>
      </c>
      <c r="P2536" s="4" t="s">
        <v>67</v>
      </c>
      <c r="Q2536" s="4" t="s">
        <v>2151</v>
      </c>
      <c r="R2536" s="4"/>
      <c r="S2536" s="4"/>
      <c r="T2536" s="4"/>
      <c r="U2536" s="4"/>
      <c r="V2536" s="4"/>
      <c r="W2536" s="4"/>
      <c r="X2536" s="4"/>
      <c r="Y2536" s="4"/>
      <c r="Z2536" s="4"/>
      <c r="AA2536" s="4"/>
      <c r="AB2536" s="4"/>
      <c r="AC2536" s="4"/>
      <c r="AD2536" s="4"/>
      <c r="AE2536" s="4"/>
      <c r="AF2536" s="4"/>
      <c r="AG2536" s="4"/>
      <c r="AH2536" s="4"/>
      <c r="AI2536" s="4"/>
      <c r="AJ2536" s="13" t="n">
        <v>0</v>
      </c>
      <c r="AK2536" s="4"/>
      <c r="AL2536" s="4"/>
      <c r="AM2536" s="4"/>
    </row>
    <row r="2537" customFormat="false" ht="23.85" hidden="false" customHeight="false" outlineLevel="0" collapsed="false">
      <c r="A2537" s="4" t="s">
        <v>3338</v>
      </c>
      <c r="B2537" s="4" t="s">
        <v>3514</v>
      </c>
      <c r="C2537" s="4" t="s">
        <v>3514</v>
      </c>
      <c r="D2537" s="12" t="n">
        <v>2023</v>
      </c>
      <c r="E2537" s="4"/>
      <c r="F2537" s="4" t="s">
        <v>1990</v>
      </c>
      <c r="G2537" s="4" t="s">
        <v>170</v>
      </c>
      <c r="H2537" s="4" t="s">
        <v>171</v>
      </c>
      <c r="I2537" s="4" t="s">
        <v>172</v>
      </c>
      <c r="J2537" s="4" t="s">
        <v>1606</v>
      </c>
      <c r="K2537" s="4" t="s">
        <v>99</v>
      </c>
      <c r="L2537" s="4"/>
      <c r="M2537" s="4"/>
      <c r="N2537" s="4" t="s">
        <v>2001</v>
      </c>
      <c r="O2537" s="4" t="s">
        <v>2160</v>
      </c>
      <c r="P2537" s="4" t="s">
        <v>64</v>
      </c>
      <c r="Q2537" s="4" t="s">
        <v>2151</v>
      </c>
      <c r="R2537" s="4"/>
      <c r="S2537" s="4"/>
      <c r="T2537" s="4"/>
      <c r="U2537" s="4"/>
      <c r="V2537" s="4"/>
      <c r="W2537" s="4"/>
      <c r="X2537" s="4"/>
      <c r="Y2537" s="4"/>
      <c r="Z2537" s="4"/>
      <c r="AA2537" s="4"/>
      <c r="AB2537" s="4"/>
      <c r="AC2537" s="4"/>
      <c r="AD2537" s="4"/>
      <c r="AE2537" s="4"/>
      <c r="AF2537" s="4"/>
      <c r="AG2537" s="4"/>
      <c r="AH2537" s="4"/>
      <c r="AI2537" s="4"/>
      <c r="AJ2537" s="13" t="n">
        <v>0</v>
      </c>
      <c r="AK2537" s="4"/>
      <c r="AL2537" s="4"/>
      <c r="AM2537" s="4"/>
    </row>
    <row r="2538" customFormat="false" ht="23.85" hidden="false" customHeight="false" outlineLevel="0" collapsed="false">
      <c r="A2538" s="4" t="s">
        <v>3338</v>
      </c>
      <c r="B2538" s="4" t="s">
        <v>3515</v>
      </c>
      <c r="C2538" s="4" t="s">
        <v>3515</v>
      </c>
      <c r="D2538" s="12" t="n">
        <v>2023</v>
      </c>
      <c r="E2538" s="4"/>
      <c r="F2538" s="4" t="s">
        <v>1990</v>
      </c>
      <c r="G2538" s="4" t="s">
        <v>170</v>
      </c>
      <c r="H2538" s="4" t="s">
        <v>171</v>
      </c>
      <c r="I2538" s="4" t="s">
        <v>172</v>
      </c>
      <c r="J2538" s="4" t="s">
        <v>1608</v>
      </c>
      <c r="K2538" s="4" t="s">
        <v>101</v>
      </c>
      <c r="L2538" s="4"/>
      <c r="M2538" s="4"/>
      <c r="N2538" s="4" t="s">
        <v>1994</v>
      </c>
      <c r="O2538" s="4" t="s">
        <v>2029</v>
      </c>
      <c r="P2538" s="4" t="s">
        <v>69</v>
      </c>
      <c r="Q2538" s="4" t="s">
        <v>2030</v>
      </c>
      <c r="R2538" s="4"/>
      <c r="S2538" s="4"/>
      <c r="T2538" s="4"/>
      <c r="U2538" s="4"/>
      <c r="V2538" s="4"/>
      <c r="W2538" s="4"/>
      <c r="X2538" s="4"/>
      <c r="Y2538" s="4"/>
      <c r="Z2538" s="4"/>
      <c r="AA2538" s="4"/>
      <c r="AB2538" s="4"/>
      <c r="AC2538" s="4"/>
      <c r="AD2538" s="4"/>
      <c r="AE2538" s="4"/>
      <c r="AF2538" s="4"/>
      <c r="AG2538" s="4"/>
      <c r="AH2538" s="4"/>
      <c r="AI2538" s="4"/>
      <c r="AJ2538" s="13" t="n">
        <v>0</v>
      </c>
      <c r="AK2538" s="4"/>
      <c r="AL2538" s="4"/>
      <c r="AM2538" s="4"/>
    </row>
    <row r="2539" customFormat="false" ht="23.85" hidden="false" customHeight="false" outlineLevel="0" collapsed="false">
      <c r="A2539" s="4" t="s">
        <v>3338</v>
      </c>
      <c r="B2539" s="4" t="s">
        <v>3516</v>
      </c>
      <c r="C2539" s="4" t="s">
        <v>3516</v>
      </c>
      <c r="D2539" s="12" t="n">
        <v>2023</v>
      </c>
      <c r="E2539" s="4"/>
      <c r="F2539" s="4" t="s">
        <v>1990</v>
      </c>
      <c r="G2539" s="4" t="s">
        <v>170</v>
      </c>
      <c r="H2539" s="4" t="s">
        <v>171</v>
      </c>
      <c r="I2539" s="4" t="s">
        <v>172</v>
      </c>
      <c r="J2539" s="4" t="s">
        <v>1610</v>
      </c>
      <c r="K2539" s="4" t="s">
        <v>101</v>
      </c>
      <c r="L2539" s="4"/>
      <c r="M2539" s="4"/>
      <c r="N2539" s="4" t="s">
        <v>2001</v>
      </c>
      <c r="O2539" s="4" t="s">
        <v>2034</v>
      </c>
      <c r="P2539" s="4" t="s">
        <v>74</v>
      </c>
      <c r="Q2539" s="4" t="s">
        <v>2035</v>
      </c>
      <c r="R2539" s="4"/>
      <c r="S2539" s="4"/>
      <c r="T2539" s="4"/>
      <c r="U2539" s="4"/>
      <c r="V2539" s="4"/>
      <c r="W2539" s="4"/>
      <c r="X2539" s="4"/>
      <c r="Y2539" s="4"/>
      <c r="Z2539" s="4"/>
      <c r="AA2539" s="4"/>
      <c r="AB2539" s="4"/>
      <c r="AC2539" s="4"/>
      <c r="AD2539" s="4"/>
      <c r="AE2539" s="4"/>
      <c r="AF2539" s="4"/>
      <c r="AG2539" s="4"/>
      <c r="AH2539" s="4"/>
      <c r="AI2539" s="4"/>
      <c r="AJ2539" s="13" t="n">
        <v>0</v>
      </c>
      <c r="AK2539" s="4"/>
      <c r="AL2539" s="4"/>
      <c r="AM2539" s="4"/>
    </row>
    <row r="2540" customFormat="false" ht="23.85" hidden="false" customHeight="false" outlineLevel="0" collapsed="false">
      <c r="A2540" s="4" t="s">
        <v>3338</v>
      </c>
      <c r="B2540" s="4" t="s">
        <v>3517</v>
      </c>
      <c r="C2540" s="4" t="s">
        <v>3517</v>
      </c>
      <c r="D2540" s="12" t="n">
        <v>2023</v>
      </c>
      <c r="E2540" s="4"/>
      <c r="F2540" s="4" t="s">
        <v>1990</v>
      </c>
      <c r="G2540" s="4" t="s">
        <v>170</v>
      </c>
      <c r="H2540" s="4" t="s">
        <v>171</v>
      </c>
      <c r="I2540" s="4" t="s">
        <v>172</v>
      </c>
      <c r="J2540" s="4" t="s">
        <v>1612</v>
      </c>
      <c r="K2540" s="4" t="s">
        <v>101</v>
      </c>
      <c r="L2540" s="4"/>
      <c r="M2540" s="4"/>
      <c r="N2540" s="4" t="s">
        <v>2001</v>
      </c>
      <c r="O2540" s="4" t="s">
        <v>2002</v>
      </c>
      <c r="P2540" s="4" t="s">
        <v>67</v>
      </c>
      <c r="Q2540" s="4" t="s">
        <v>2003</v>
      </c>
      <c r="R2540" s="4"/>
      <c r="S2540" s="4"/>
      <c r="T2540" s="4"/>
      <c r="U2540" s="4"/>
      <c r="V2540" s="4"/>
      <c r="W2540" s="4" t="s">
        <v>3341</v>
      </c>
      <c r="X2540" s="4" t="s">
        <v>3342</v>
      </c>
      <c r="Y2540" s="4" t="inlineStr">
        <is>
          <t>COMB_FOIL</t>
        </is>
      </c>
      <c r="Z2540" s="4"/>
      <c r="AA2540" s="4"/>
      <c r="AB2540" s="4"/>
      <c r="AC2540" s="4" t="s">
        <v>3352</v>
      </c>
      <c r="AD2540" s="4"/>
      <c r="AE2540" s="4"/>
      <c r="AF2540" s="4"/>
      <c r="AG2540" s="4"/>
      <c r="AH2540" s="4"/>
      <c r="AI2540" s="4"/>
      <c r="AJ2540" s="13" t="n">
        <v>1</v>
      </c>
      <c r="AK2540" s="4"/>
      <c r="AL2540" s="4"/>
      <c r="AM2540" s="4"/>
    </row>
    <row r="2541" customFormat="false" ht="23.85" hidden="false" customHeight="false" outlineLevel="0" collapsed="false">
      <c r="A2541" s="4" t="s">
        <v>3338</v>
      </c>
      <c r="B2541" s="4" t="s">
        <v>3518</v>
      </c>
      <c r="C2541" s="4" t="s">
        <v>3518</v>
      </c>
      <c r="D2541" s="12" t="n">
        <v>2023</v>
      </c>
      <c r="E2541" s="4"/>
      <c r="F2541" s="4" t="s">
        <v>1990</v>
      </c>
      <c r="G2541" s="4" t="s">
        <v>170</v>
      </c>
      <c r="H2541" s="4" t="s">
        <v>171</v>
      </c>
      <c r="I2541" s="4" t="s">
        <v>172</v>
      </c>
      <c r="J2541" s="4" t="s">
        <v>1613</v>
      </c>
      <c r="K2541" s="4" t="s">
        <v>101</v>
      </c>
      <c r="L2541" s="4"/>
      <c r="M2541" s="4"/>
      <c r="N2541" s="4" t="s">
        <v>2001</v>
      </c>
      <c r="O2541" s="4" t="s">
        <v>2002</v>
      </c>
      <c r="P2541" s="4" t="s">
        <v>67</v>
      </c>
      <c r="Q2541" s="4" t="s">
        <v>2008</v>
      </c>
      <c r="R2541" s="4"/>
      <c r="S2541" s="4"/>
      <c r="T2541" s="4"/>
      <c r="U2541" s="4"/>
      <c r="V2541" s="4"/>
      <c r="W2541" s="4" t="s">
        <v>3341</v>
      </c>
      <c r="X2541" s="4" t="s">
        <v>3342</v>
      </c>
      <c r="Y2541" s="4" t="inlineStr">
        <is>
          <t>COMB_FOIL</t>
        </is>
      </c>
      <c r="Z2541" s="4"/>
      <c r="AA2541" s="4"/>
      <c r="AB2541" s="4"/>
      <c r="AC2541" s="4" t="s">
        <v>3352</v>
      </c>
      <c r="AD2541" s="4"/>
      <c r="AE2541" s="4"/>
      <c r="AF2541" s="4"/>
      <c r="AG2541" s="4"/>
      <c r="AH2541" s="4"/>
      <c r="AI2541" s="4"/>
      <c r="AJ2541" s="13" t="n">
        <v>1</v>
      </c>
      <c r="AK2541" s="4"/>
      <c r="AL2541" s="4"/>
      <c r="AM2541" s="4"/>
    </row>
    <row r="2542" customFormat="false" ht="23.85" hidden="false" customHeight="false" outlineLevel="0" collapsed="false">
      <c r="A2542" s="4" t="s">
        <v>3338</v>
      </c>
      <c r="B2542" s="4" t="s">
        <v>3519</v>
      </c>
      <c r="C2542" s="4" t="s">
        <v>3519</v>
      </c>
      <c r="D2542" s="12" t="n">
        <v>2023</v>
      </c>
      <c r="E2542" s="4"/>
      <c r="F2542" s="4" t="s">
        <v>1990</v>
      </c>
      <c r="G2542" s="4" t="s">
        <v>170</v>
      </c>
      <c r="H2542" s="4" t="s">
        <v>171</v>
      </c>
      <c r="I2542" s="4" t="s">
        <v>172</v>
      </c>
      <c r="J2542" s="4" t="s">
        <v>1618</v>
      </c>
      <c r="K2542" s="4" t="s">
        <v>101</v>
      </c>
      <c r="L2542" s="4"/>
      <c r="M2542" s="4"/>
      <c r="N2542" s="4" t="s">
        <v>2001</v>
      </c>
      <c r="O2542" s="4" t="s">
        <v>2002</v>
      </c>
      <c r="P2542" s="4" t="s">
        <v>68</v>
      </c>
      <c r="Q2542" s="4" t="s">
        <v>2111</v>
      </c>
      <c r="R2542" s="4"/>
      <c r="S2542" s="4"/>
      <c r="T2542" s="4"/>
      <c r="U2542" s="4"/>
      <c r="V2542" s="4"/>
      <c r="W2542" s="4" t="s">
        <v>3404</v>
      </c>
      <c r="X2542" s="4" t="s">
        <v>3405</v>
      </c>
      <c r="Y2542" s="4" t="inlineStr">
        <is>
          <t>COMB_FOIL</t>
        </is>
      </c>
      <c r="Z2542" s="4"/>
      <c r="AA2542" s="4"/>
      <c r="AB2542" s="4"/>
      <c r="AC2542" s="4" t="s">
        <v>3352</v>
      </c>
      <c r="AD2542" s="4"/>
      <c r="AE2542" s="4"/>
      <c r="AF2542" s="4"/>
      <c r="AG2542" s="4"/>
      <c r="AH2542" s="4"/>
      <c r="AI2542" s="4"/>
      <c r="AJ2542" s="13" t="n">
        <v>1</v>
      </c>
      <c r="AK2542" s="4"/>
      <c r="AL2542" s="4"/>
      <c r="AM2542" s="4"/>
    </row>
    <row r="2543" customFormat="false" ht="23.85" hidden="false" customHeight="false" outlineLevel="0" collapsed="false">
      <c r="A2543" s="4" t="s">
        <v>3338</v>
      </c>
      <c r="B2543" s="4" t="s">
        <v>3520</v>
      </c>
      <c r="C2543" s="4" t="s">
        <v>3520</v>
      </c>
      <c r="D2543" s="12" t="n">
        <v>2023</v>
      </c>
      <c r="E2543" s="4"/>
      <c r="F2543" s="4" t="s">
        <v>1990</v>
      </c>
      <c r="G2543" s="4" t="s">
        <v>170</v>
      </c>
      <c r="H2543" s="4" t="s">
        <v>171</v>
      </c>
      <c r="I2543" s="4" t="s">
        <v>172</v>
      </c>
      <c r="J2543" s="4" t="s">
        <v>1622</v>
      </c>
      <c r="K2543" s="4" t="s">
        <v>103</v>
      </c>
      <c r="L2543" s="4"/>
      <c r="M2543" s="4"/>
      <c r="N2543" s="4" t="s">
        <v>1994</v>
      </c>
      <c r="O2543" s="4" t="s">
        <v>2029</v>
      </c>
      <c r="P2543" s="4" t="s">
        <v>69</v>
      </c>
      <c r="Q2543" s="4" t="s">
        <v>2030</v>
      </c>
      <c r="R2543" s="4"/>
      <c r="S2543" s="4"/>
      <c r="T2543" s="4"/>
      <c r="U2543" s="4"/>
      <c r="V2543" s="4"/>
      <c r="W2543" s="4"/>
      <c r="X2543" s="4"/>
      <c r="Y2543" s="4"/>
      <c r="Z2543" s="4"/>
      <c r="AA2543" s="4"/>
      <c r="AB2543" s="4"/>
      <c r="AC2543" s="4"/>
      <c r="AD2543" s="4"/>
      <c r="AE2543" s="4"/>
      <c r="AF2543" s="4"/>
      <c r="AG2543" s="4"/>
      <c r="AH2543" s="4"/>
      <c r="AI2543" s="4"/>
      <c r="AJ2543" s="13" t="n">
        <v>0</v>
      </c>
      <c r="AK2543" s="4"/>
      <c r="AL2543" s="4"/>
      <c r="AM2543" s="4"/>
    </row>
    <row r="2544" customFormat="false" ht="23.85" hidden="false" customHeight="false" outlineLevel="0" collapsed="false">
      <c r="A2544" s="4" t="s">
        <v>3338</v>
      </c>
      <c r="B2544" s="4" t="s">
        <v>3521</v>
      </c>
      <c r="C2544" s="4" t="s">
        <v>3521</v>
      </c>
      <c r="D2544" s="12" t="n">
        <v>2023</v>
      </c>
      <c r="E2544" s="4"/>
      <c r="F2544" s="4" t="s">
        <v>1990</v>
      </c>
      <c r="G2544" s="4" t="s">
        <v>170</v>
      </c>
      <c r="H2544" s="4" t="s">
        <v>171</v>
      </c>
      <c r="I2544" s="4" t="s">
        <v>172</v>
      </c>
      <c r="J2544" s="4" t="s">
        <v>1623</v>
      </c>
      <c r="K2544" s="4" t="s">
        <v>103</v>
      </c>
      <c r="L2544" s="4"/>
      <c r="M2544" s="4"/>
      <c r="N2544" s="4" t="s">
        <v>2001</v>
      </c>
      <c r="O2544" s="4" t="s">
        <v>2091</v>
      </c>
      <c r="P2544" s="4" t="s">
        <v>69</v>
      </c>
      <c r="Q2544" s="4" t="s">
        <v>2030</v>
      </c>
      <c r="R2544" s="4"/>
      <c r="S2544" s="4"/>
      <c r="T2544" s="4"/>
      <c r="U2544" s="4"/>
      <c r="V2544" s="4"/>
      <c r="W2544" s="4"/>
      <c r="X2544" s="4"/>
      <c r="Y2544" s="4"/>
      <c r="Z2544" s="4"/>
      <c r="AA2544" s="4"/>
      <c r="AB2544" s="4"/>
      <c r="AC2544" s="4"/>
      <c r="AD2544" s="4"/>
      <c r="AE2544" s="4"/>
      <c r="AF2544" s="4"/>
      <c r="AG2544" s="4"/>
      <c r="AH2544" s="4"/>
      <c r="AI2544" s="4"/>
      <c r="AJ2544" s="13" t="n">
        <v>0</v>
      </c>
      <c r="AK2544" s="4"/>
      <c r="AL2544" s="4"/>
      <c r="AM2544" s="4"/>
    </row>
    <row r="2545" customFormat="false" ht="23.85" hidden="false" customHeight="false" outlineLevel="0" collapsed="false">
      <c r="A2545" s="4" t="s">
        <v>3338</v>
      </c>
      <c r="B2545" s="4" t="s">
        <v>3522</v>
      </c>
      <c r="C2545" s="4" t="s">
        <v>3522</v>
      </c>
      <c r="D2545" s="12" t="n">
        <v>2023</v>
      </c>
      <c r="E2545" s="4"/>
      <c r="F2545" s="4" t="s">
        <v>1990</v>
      </c>
      <c r="G2545" s="4" t="s">
        <v>170</v>
      </c>
      <c r="H2545" s="4" t="s">
        <v>171</v>
      </c>
      <c r="I2545" s="4" t="s">
        <v>172</v>
      </c>
      <c r="J2545" s="4" t="s">
        <v>1624</v>
      </c>
      <c r="K2545" s="4" t="s">
        <v>103</v>
      </c>
      <c r="L2545" s="4"/>
      <c r="M2545" s="4"/>
      <c r="N2545" s="4" t="s">
        <v>2001</v>
      </c>
      <c r="O2545" s="4" t="s">
        <v>2034</v>
      </c>
      <c r="P2545" s="4" t="s">
        <v>74</v>
      </c>
      <c r="Q2545" s="4" t="s">
        <v>2035</v>
      </c>
      <c r="R2545" s="4"/>
      <c r="S2545" s="4"/>
      <c r="T2545" s="4"/>
      <c r="U2545" s="4"/>
      <c r="V2545" s="4"/>
      <c r="W2545" s="4"/>
      <c r="X2545" s="4"/>
      <c r="Y2545" s="4"/>
      <c r="Z2545" s="4"/>
      <c r="AA2545" s="4"/>
      <c r="AB2545" s="4"/>
      <c r="AC2545" s="4"/>
      <c r="AD2545" s="4"/>
      <c r="AE2545" s="4"/>
      <c r="AF2545" s="4"/>
      <c r="AG2545" s="4"/>
      <c r="AH2545" s="4"/>
      <c r="AI2545" s="4"/>
      <c r="AJ2545" s="13" t="n">
        <v>0</v>
      </c>
      <c r="AK2545" s="4"/>
      <c r="AL2545" s="4"/>
      <c r="AM2545" s="4"/>
    </row>
    <row r="2546" customFormat="false" ht="23.85" hidden="false" customHeight="false" outlineLevel="0" collapsed="false">
      <c r="A2546" s="4" t="s">
        <v>3338</v>
      </c>
      <c r="B2546" s="4" t="s">
        <v>3523</v>
      </c>
      <c r="C2546" s="4" t="s">
        <v>3523</v>
      </c>
      <c r="D2546" s="12" t="n">
        <v>2023</v>
      </c>
      <c r="E2546" s="4"/>
      <c r="F2546" s="4" t="s">
        <v>1990</v>
      </c>
      <c r="G2546" s="4" t="s">
        <v>170</v>
      </c>
      <c r="H2546" s="4" t="s">
        <v>171</v>
      </c>
      <c r="I2546" s="4" t="s">
        <v>172</v>
      </c>
      <c r="J2546" s="4" t="s">
        <v>1629</v>
      </c>
      <c r="K2546" s="4" t="s">
        <v>103</v>
      </c>
      <c r="L2546" s="4"/>
      <c r="M2546" s="4"/>
      <c r="N2546" s="4" t="s">
        <v>2001</v>
      </c>
      <c r="O2546" s="4" t="s">
        <v>2002</v>
      </c>
      <c r="P2546" s="4" t="s">
        <v>71</v>
      </c>
      <c r="Q2546" s="4" t="s">
        <v>2123</v>
      </c>
      <c r="R2546" s="4"/>
      <c r="S2546" s="4"/>
      <c r="T2546" s="4"/>
      <c r="U2546" s="4"/>
      <c r="V2546" s="4"/>
      <c r="W2546" s="4" t="s">
        <v>3412</v>
      </c>
      <c r="X2546" s="4" t="s">
        <v>3413</v>
      </c>
      <c r="Y2546" s="4" t="inlineStr">
        <is>
          <t>COMB_GAS</t>
        </is>
      </c>
      <c r="Z2546" s="4"/>
      <c r="AA2546" s="4"/>
      <c r="AB2546" s="4"/>
      <c r="AC2546" s="4" t="s">
        <v>3352</v>
      </c>
      <c r="AD2546" s="4"/>
      <c r="AE2546" s="4"/>
      <c r="AF2546" s="4"/>
      <c r="AG2546" s="4"/>
      <c r="AH2546" s="4"/>
      <c r="AI2546" s="4"/>
      <c r="AJ2546" s="13" t="n">
        <v>1</v>
      </c>
      <c r="AK2546" s="4"/>
      <c r="AL2546" s="4"/>
      <c r="AM2546" s="4"/>
    </row>
    <row r="2547" customFormat="false" ht="23.85" hidden="false" customHeight="false" outlineLevel="0" collapsed="false">
      <c r="A2547" s="4" t="s">
        <v>3338</v>
      </c>
      <c r="B2547" s="4" t="s">
        <v>3524</v>
      </c>
      <c r="C2547" s="4" t="s">
        <v>3524</v>
      </c>
      <c r="D2547" s="12" t="n">
        <v>2023</v>
      </c>
      <c r="E2547" s="4"/>
      <c r="F2547" s="4" t="s">
        <v>1990</v>
      </c>
      <c r="G2547" s="4" t="s">
        <v>170</v>
      </c>
      <c r="H2547" s="4" t="s">
        <v>171</v>
      </c>
      <c r="I2547" s="4" t="s">
        <v>172</v>
      </c>
      <c r="J2547" s="4" t="s">
        <v>1631</v>
      </c>
      <c r="K2547" s="4" t="s">
        <v>103</v>
      </c>
      <c r="L2547" s="4"/>
      <c r="M2547" s="4"/>
      <c r="N2547" s="4" t="s">
        <v>2001</v>
      </c>
      <c r="O2547" s="4" t="s">
        <v>2002</v>
      </c>
      <c r="P2547" s="4" t="s">
        <v>72</v>
      </c>
      <c r="Q2547" s="4" t="s">
        <v>2079</v>
      </c>
      <c r="R2547" s="4"/>
      <c r="S2547" s="4"/>
      <c r="T2547" s="4"/>
      <c r="U2547" s="4"/>
      <c r="V2547" s="4"/>
      <c r="W2547" s="4" t="s">
        <v>3383</v>
      </c>
      <c r="X2547" s="4" t="s">
        <v>3384</v>
      </c>
      <c r="Y2547" s="4" t="inlineStr">
        <is>
          <t>COMB_GAS</t>
        </is>
      </c>
      <c r="Z2547" s="4"/>
      <c r="AA2547" s="4"/>
      <c r="AB2547" s="4"/>
      <c r="AC2547" s="4" t="s">
        <v>3352</v>
      </c>
      <c r="AD2547" s="4"/>
      <c r="AE2547" s="4"/>
      <c r="AF2547" s="4"/>
      <c r="AG2547" s="4"/>
      <c r="AH2547" s="4"/>
      <c r="AI2547" s="4"/>
      <c r="AJ2547" s="13" t="n">
        <v>1</v>
      </c>
      <c r="AK2547" s="4"/>
      <c r="AL2547" s="4"/>
      <c r="AM2547" s="4"/>
    </row>
    <row r="2548" customFormat="false" ht="23.85" hidden="false" customHeight="false" outlineLevel="0" collapsed="false">
      <c r="A2548" s="4" t="s">
        <v>3338</v>
      </c>
      <c r="B2548" s="4" t="s">
        <v>3525</v>
      </c>
      <c r="C2548" s="4" t="s">
        <v>3525</v>
      </c>
      <c r="D2548" s="12" t="n">
        <v>2023</v>
      </c>
      <c r="E2548" s="4"/>
      <c r="F2548" s="4" t="s">
        <v>1990</v>
      </c>
      <c r="G2548" s="4" t="s">
        <v>170</v>
      </c>
      <c r="H2548" s="4" t="s">
        <v>171</v>
      </c>
      <c r="I2548" s="4" t="s">
        <v>172</v>
      </c>
      <c r="J2548" s="4" t="s">
        <v>1632</v>
      </c>
      <c r="K2548" s="4" t="s">
        <v>103</v>
      </c>
      <c r="L2548" s="4"/>
      <c r="M2548" s="4"/>
      <c r="N2548" s="4" t="s">
        <v>2001</v>
      </c>
      <c r="O2548" s="4" t="s">
        <v>2002</v>
      </c>
      <c r="P2548" s="4" t="s">
        <v>68</v>
      </c>
      <c r="Q2548" s="4" t="s">
        <v>2111</v>
      </c>
      <c r="R2548" s="4"/>
      <c r="S2548" s="4"/>
      <c r="T2548" s="4"/>
      <c r="U2548" s="4"/>
      <c r="V2548" s="4"/>
      <c r="W2548" s="4" t="s">
        <v>3404</v>
      </c>
      <c r="X2548" s="4" t="s">
        <v>3405</v>
      </c>
      <c r="Y2548" s="4" t="inlineStr">
        <is>
          <t>COMB_GAS</t>
        </is>
      </c>
      <c r="Z2548" s="4"/>
      <c r="AA2548" s="4"/>
      <c r="AB2548" s="4"/>
      <c r="AC2548" s="4" t="s">
        <v>3352</v>
      </c>
      <c r="AD2548" s="4"/>
      <c r="AE2548" s="4"/>
      <c r="AF2548" s="4"/>
      <c r="AG2548" s="4"/>
      <c r="AH2548" s="4"/>
      <c r="AI2548" s="4"/>
      <c r="AJ2548" s="13" t="n">
        <v>1</v>
      </c>
      <c r="AK2548" s="4"/>
      <c r="AL2548" s="4"/>
      <c r="AM2548" s="4"/>
    </row>
    <row r="2549" customFormat="false" ht="23.85" hidden="false" customHeight="false" outlineLevel="0" collapsed="false">
      <c r="A2549" s="4" t="s">
        <v>3338</v>
      </c>
      <c r="B2549" s="4" t="s">
        <v>3526</v>
      </c>
      <c r="C2549" s="4" t="s">
        <v>3526</v>
      </c>
      <c r="D2549" s="12" t="n">
        <v>2023</v>
      </c>
      <c r="E2549" s="4"/>
      <c r="F2549" s="4" t="s">
        <v>1990</v>
      </c>
      <c r="G2549" s="4" t="s">
        <v>170</v>
      </c>
      <c r="H2549" s="4" t="s">
        <v>171</v>
      </c>
      <c r="I2549" s="4" t="s">
        <v>172</v>
      </c>
      <c r="J2549" s="4" t="s">
        <v>1636</v>
      </c>
      <c r="K2549" s="4" t="s">
        <v>105</v>
      </c>
      <c r="L2549" s="4"/>
      <c r="M2549" s="4"/>
      <c r="N2549" s="4" t="s">
        <v>1994</v>
      </c>
      <c r="O2549" s="4" t="s">
        <v>2029</v>
      </c>
      <c r="P2549" s="4" t="s">
        <v>69</v>
      </c>
      <c r="Q2549" s="4" t="s">
        <v>2030</v>
      </c>
      <c r="R2549" s="4"/>
      <c r="S2549" s="4"/>
      <c r="T2549" s="4"/>
      <c r="U2549" s="4"/>
      <c r="V2549" s="4"/>
      <c r="W2549" s="4"/>
      <c r="X2549" s="4"/>
      <c r="Y2549" s="4"/>
      <c r="Z2549" s="4"/>
      <c r="AA2549" s="4"/>
      <c r="AB2549" s="4"/>
      <c r="AC2549" s="4"/>
      <c r="AD2549" s="4"/>
      <c r="AE2549" s="4"/>
      <c r="AF2549" s="4"/>
      <c r="AG2549" s="4"/>
      <c r="AH2549" s="4"/>
      <c r="AI2549" s="4"/>
      <c r="AJ2549" s="13" t="n">
        <v>0</v>
      </c>
      <c r="AK2549" s="4"/>
      <c r="AL2549" s="4"/>
      <c r="AM2549" s="4"/>
    </row>
    <row r="2550" customFormat="false" ht="23.85" hidden="false" customHeight="false" outlineLevel="0" collapsed="false">
      <c r="A2550" s="4" t="s">
        <v>3338</v>
      </c>
      <c r="B2550" s="4" t="s">
        <v>3527</v>
      </c>
      <c r="C2550" s="4" t="s">
        <v>3527</v>
      </c>
      <c r="D2550" s="12" t="n">
        <v>2023</v>
      </c>
      <c r="E2550" s="4"/>
      <c r="F2550" s="4" t="s">
        <v>1990</v>
      </c>
      <c r="G2550" s="4" t="s">
        <v>170</v>
      </c>
      <c r="H2550" s="4" t="s">
        <v>171</v>
      </c>
      <c r="I2550" s="4" t="s">
        <v>172</v>
      </c>
      <c r="J2550" s="4" t="s">
        <v>1637</v>
      </c>
      <c r="K2550" s="4" t="s">
        <v>105</v>
      </c>
      <c r="L2550" s="4"/>
      <c r="M2550" s="4"/>
      <c r="N2550" s="4" t="s">
        <v>2001</v>
      </c>
      <c r="O2550" s="4" t="s">
        <v>2091</v>
      </c>
      <c r="P2550" s="4" t="s">
        <v>69</v>
      </c>
      <c r="Q2550" s="4" t="s">
        <v>2030</v>
      </c>
      <c r="R2550" s="4"/>
      <c r="S2550" s="4"/>
      <c r="T2550" s="4"/>
      <c r="U2550" s="4"/>
      <c r="V2550" s="4"/>
      <c r="W2550" s="4"/>
      <c r="X2550" s="4"/>
      <c r="Y2550" s="4"/>
      <c r="Z2550" s="4"/>
      <c r="AA2550" s="4"/>
      <c r="AB2550" s="4"/>
      <c r="AC2550" s="4"/>
      <c r="AD2550" s="4"/>
      <c r="AE2550" s="4"/>
      <c r="AF2550" s="4"/>
      <c r="AG2550" s="4"/>
      <c r="AH2550" s="4"/>
      <c r="AI2550" s="4"/>
      <c r="AJ2550" s="13" t="n">
        <v>0</v>
      </c>
      <c r="AK2550" s="4"/>
      <c r="AL2550" s="4"/>
      <c r="AM2550" s="4"/>
    </row>
    <row r="2551" customFormat="false" ht="23.85" hidden="false" customHeight="false" outlineLevel="0" collapsed="false">
      <c r="A2551" s="4" t="s">
        <v>3338</v>
      </c>
      <c r="B2551" s="4" t="s">
        <v>3528</v>
      </c>
      <c r="C2551" s="4" t="s">
        <v>3528</v>
      </c>
      <c r="D2551" s="12" t="n">
        <v>2023</v>
      </c>
      <c r="E2551" s="4"/>
      <c r="F2551" s="4" t="s">
        <v>1990</v>
      </c>
      <c r="G2551" s="4" t="s">
        <v>170</v>
      </c>
      <c r="H2551" s="4" t="s">
        <v>171</v>
      </c>
      <c r="I2551" s="4" t="s">
        <v>172</v>
      </c>
      <c r="J2551" s="4" t="s">
        <v>1638</v>
      </c>
      <c r="K2551" s="4" t="s">
        <v>105</v>
      </c>
      <c r="L2551" s="4"/>
      <c r="M2551" s="4"/>
      <c r="N2551" s="4" t="s">
        <v>2001</v>
      </c>
      <c r="O2551" s="4" t="s">
        <v>2034</v>
      </c>
      <c r="P2551" s="4" t="s">
        <v>74</v>
      </c>
      <c r="Q2551" s="4" t="s">
        <v>2035</v>
      </c>
      <c r="R2551" s="4"/>
      <c r="S2551" s="4"/>
      <c r="T2551" s="4"/>
      <c r="U2551" s="4"/>
      <c r="V2551" s="4"/>
      <c r="W2551" s="4"/>
      <c r="X2551" s="4"/>
      <c r="Y2551" s="4"/>
      <c r="Z2551" s="4"/>
      <c r="AA2551" s="4"/>
      <c r="AB2551" s="4"/>
      <c r="AC2551" s="4"/>
      <c r="AD2551" s="4"/>
      <c r="AE2551" s="4"/>
      <c r="AF2551" s="4"/>
      <c r="AG2551" s="4"/>
      <c r="AH2551" s="4"/>
      <c r="AI2551" s="4"/>
      <c r="AJ2551" s="13" t="n">
        <v>0</v>
      </c>
      <c r="AK2551" s="4"/>
      <c r="AL2551" s="4"/>
      <c r="AM2551" s="4"/>
    </row>
    <row r="2552" customFormat="false" ht="23.85" hidden="false" customHeight="false" outlineLevel="0" collapsed="false">
      <c r="A2552" s="4" t="s">
        <v>3338</v>
      </c>
      <c r="B2552" s="4" t="s">
        <v>3529</v>
      </c>
      <c r="C2552" s="4" t="s">
        <v>3529</v>
      </c>
      <c r="D2552" s="12" t="n">
        <v>2023</v>
      </c>
      <c r="E2552" s="4"/>
      <c r="F2552" s="4" t="s">
        <v>1990</v>
      </c>
      <c r="G2552" s="4" t="s">
        <v>170</v>
      </c>
      <c r="H2552" s="4" t="s">
        <v>171</v>
      </c>
      <c r="I2552" s="4" t="s">
        <v>172</v>
      </c>
      <c r="J2552" s="4" t="s">
        <v>1643</v>
      </c>
      <c r="K2552" s="4" t="s">
        <v>105</v>
      </c>
      <c r="L2552" s="4"/>
      <c r="M2552" s="4"/>
      <c r="N2552" s="4" t="s">
        <v>2001</v>
      </c>
      <c r="O2552" s="4" t="s">
        <v>2002</v>
      </c>
      <c r="P2552" s="4" t="s">
        <v>71</v>
      </c>
      <c r="Q2552" s="4" t="s">
        <v>2123</v>
      </c>
      <c r="R2552" s="4"/>
      <c r="S2552" s="4"/>
      <c r="T2552" s="4"/>
      <c r="U2552" s="4"/>
      <c r="V2552" s="4"/>
      <c r="W2552" s="4" t="s">
        <v>3412</v>
      </c>
      <c r="X2552" s="4" t="s">
        <v>3413</v>
      </c>
      <c r="Y2552" s="4" t="inlineStr">
        <is>
          <t>COMB_GLP</t>
        </is>
      </c>
      <c r="Z2552" s="4"/>
      <c r="AA2552" s="4"/>
      <c r="AB2552" s="4"/>
      <c r="AC2552" s="4" t="s">
        <v>3352</v>
      </c>
      <c r="AD2552" s="4"/>
      <c r="AE2552" s="4"/>
      <c r="AF2552" s="4"/>
      <c r="AG2552" s="4"/>
      <c r="AH2552" s="4"/>
      <c r="AI2552" s="4"/>
      <c r="AJ2552" s="13" t="n">
        <v>1</v>
      </c>
      <c r="AK2552" s="4"/>
      <c r="AL2552" s="4"/>
      <c r="AM2552" s="4"/>
    </row>
    <row r="2553" customFormat="false" ht="23.85" hidden="false" customHeight="false" outlineLevel="0" collapsed="false">
      <c r="A2553" s="4" t="s">
        <v>3338</v>
      </c>
      <c r="B2553" s="4" t="s">
        <v>3530</v>
      </c>
      <c r="C2553" s="4" t="s">
        <v>3530</v>
      </c>
      <c r="D2553" s="12" t="n">
        <v>2023</v>
      </c>
      <c r="E2553" s="4"/>
      <c r="F2553" s="4" t="s">
        <v>1990</v>
      </c>
      <c r="G2553" s="4" t="s">
        <v>170</v>
      </c>
      <c r="H2553" s="4" t="s">
        <v>171</v>
      </c>
      <c r="I2553" s="4" t="s">
        <v>172</v>
      </c>
      <c r="J2553" s="4" t="s">
        <v>1644</v>
      </c>
      <c r="K2553" s="4" t="s">
        <v>105</v>
      </c>
      <c r="L2553" s="4"/>
      <c r="M2553" s="4"/>
      <c r="N2553" s="4" t="s">
        <v>2001</v>
      </c>
      <c r="O2553" s="4" t="s">
        <v>2074</v>
      </c>
      <c r="P2553" s="4" t="s">
        <v>73</v>
      </c>
      <c r="Q2553" s="4" t="s">
        <v>2075</v>
      </c>
      <c r="R2553" s="4"/>
      <c r="S2553" s="4"/>
      <c r="T2553" s="4"/>
      <c r="U2553" s="4"/>
      <c r="V2553" s="4"/>
      <c r="W2553" s="4" t="s">
        <v>3380</v>
      </c>
      <c r="X2553" s="4" t="s">
        <v>3381</v>
      </c>
      <c r="Y2553" s="4" t="inlineStr">
        <is>
          <t>COMB_GLP</t>
        </is>
      </c>
      <c r="Z2553" s="4"/>
      <c r="AA2553" s="4"/>
      <c r="AB2553" s="4"/>
      <c r="AC2553" s="4" t="s">
        <v>3352</v>
      </c>
      <c r="AD2553" s="4"/>
      <c r="AE2553" s="4"/>
      <c r="AF2553" s="4"/>
      <c r="AG2553" s="4"/>
      <c r="AH2553" s="4"/>
      <c r="AI2553" s="4"/>
      <c r="AJ2553" s="13" t="n">
        <v>1</v>
      </c>
      <c r="AK2553" s="4"/>
      <c r="AL2553" s="4"/>
      <c r="AM2553" s="4"/>
    </row>
    <row r="2554" customFormat="false" ht="23.85" hidden="false" customHeight="false" outlineLevel="0" collapsed="false">
      <c r="A2554" s="4" t="s">
        <v>3338</v>
      </c>
      <c r="B2554" s="4" t="s">
        <v>3531</v>
      </c>
      <c r="C2554" s="4" t="s">
        <v>3531</v>
      </c>
      <c r="D2554" s="12" t="n">
        <v>2023</v>
      </c>
      <c r="E2554" s="4"/>
      <c r="F2554" s="4" t="s">
        <v>1990</v>
      </c>
      <c r="G2554" s="4" t="s">
        <v>170</v>
      </c>
      <c r="H2554" s="4" t="s">
        <v>171</v>
      </c>
      <c r="I2554" s="4" t="s">
        <v>172</v>
      </c>
      <c r="J2554" s="4" t="s">
        <v>1645</v>
      </c>
      <c r="K2554" s="4" t="s">
        <v>105</v>
      </c>
      <c r="L2554" s="4"/>
      <c r="M2554" s="4"/>
      <c r="N2554" s="4" t="s">
        <v>2001</v>
      </c>
      <c r="O2554" s="4" t="s">
        <v>2002</v>
      </c>
      <c r="P2554" s="4" t="s">
        <v>72</v>
      </c>
      <c r="Q2554" s="4" t="s">
        <v>2079</v>
      </c>
      <c r="R2554" s="4"/>
      <c r="S2554" s="4"/>
      <c r="T2554" s="4"/>
      <c r="U2554" s="4"/>
      <c r="V2554" s="4"/>
      <c r="W2554" s="4" t="s">
        <v>3383</v>
      </c>
      <c r="X2554" s="4" t="s">
        <v>3384</v>
      </c>
      <c r="Y2554" s="4" t="inlineStr">
        <is>
          <t>COMB_GLP</t>
        </is>
      </c>
      <c r="Z2554" s="4"/>
      <c r="AA2554" s="4"/>
      <c r="AB2554" s="4"/>
      <c r="AC2554" s="4" t="s">
        <v>3352</v>
      </c>
      <c r="AD2554" s="4"/>
      <c r="AE2554" s="4"/>
      <c r="AF2554" s="4"/>
      <c r="AG2554" s="4"/>
      <c r="AH2554" s="4"/>
      <c r="AI2554" s="4"/>
      <c r="AJ2554" s="13" t="n">
        <v>1</v>
      </c>
      <c r="AK2554" s="4"/>
      <c r="AL2554" s="4"/>
      <c r="AM2554" s="4"/>
    </row>
    <row r="2555" customFormat="false" ht="23.85" hidden="false" customHeight="false" outlineLevel="0" collapsed="false">
      <c r="A2555" s="4" t="s">
        <v>3338</v>
      </c>
      <c r="B2555" s="4" t="s">
        <v>3532</v>
      </c>
      <c r="C2555" s="4" t="s">
        <v>3532</v>
      </c>
      <c r="D2555" s="12" t="n">
        <v>2023</v>
      </c>
      <c r="E2555" s="4"/>
      <c r="F2555" s="4" t="s">
        <v>1990</v>
      </c>
      <c r="G2555" s="4" t="s">
        <v>170</v>
      </c>
      <c r="H2555" s="4" t="s">
        <v>171</v>
      </c>
      <c r="I2555" s="4" t="s">
        <v>172</v>
      </c>
      <c r="J2555" s="4" t="s">
        <v>1646</v>
      </c>
      <c r="K2555" s="4" t="s">
        <v>105</v>
      </c>
      <c r="L2555" s="4"/>
      <c r="M2555" s="4"/>
      <c r="N2555" s="4" t="s">
        <v>2001</v>
      </c>
      <c r="O2555" s="4" t="s">
        <v>2002</v>
      </c>
      <c r="P2555" s="4" t="s">
        <v>68</v>
      </c>
      <c r="Q2555" s="4" t="s">
        <v>2111</v>
      </c>
      <c r="R2555" s="4"/>
      <c r="S2555" s="4"/>
      <c r="T2555" s="4"/>
      <c r="U2555" s="4"/>
      <c r="V2555" s="4"/>
      <c r="W2555" s="4" t="s">
        <v>3404</v>
      </c>
      <c r="X2555" s="4" t="s">
        <v>3405</v>
      </c>
      <c r="Y2555" s="4" t="inlineStr">
        <is>
          <t>COMB_GLP</t>
        </is>
      </c>
      <c r="Z2555" s="4"/>
      <c r="AA2555" s="4"/>
      <c r="AB2555" s="4"/>
      <c r="AC2555" s="4" t="s">
        <v>3352</v>
      </c>
      <c r="AD2555" s="4"/>
      <c r="AE2555" s="4"/>
      <c r="AF2555" s="4"/>
      <c r="AG2555" s="4"/>
      <c r="AH2555" s="4"/>
      <c r="AI2555" s="4"/>
      <c r="AJ2555" s="13" t="n">
        <v>1</v>
      </c>
      <c r="AK2555" s="4"/>
      <c r="AL2555" s="4"/>
      <c r="AM2555" s="4"/>
    </row>
    <row r="2556" customFormat="false" ht="23.85" hidden="false" customHeight="false" outlineLevel="0" collapsed="false">
      <c r="A2556" s="4" t="s">
        <v>3338</v>
      </c>
      <c r="B2556" s="4" t="s">
        <v>3533</v>
      </c>
      <c r="C2556" s="4" t="s">
        <v>3533</v>
      </c>
      <c r="D2556" s="12" t="n">
        <v>2023</v>
      </c>
      <c r="E2556" s="4"/>
      <c r="F2556" s="4" t="s">
        <v>1990</v>
      </c>
      <c r="G2556" s="4" t="s">
        <v>170</v>
      </c>
      <c r="H2556" s="4" t="s">
        <v>171</v>
      </c>
      <c r="I2556" s="4" t="s">
        <v>172</v>
      </c>
      <c r="J2556" s="4" t="s">
        <v>1650</v>
      </c>
      <c r="K2556" s="4" t="s">
        <v>107</v>
      </c>
      <c r="L2556" s="4"/>
      <c r="M2556" s="4"/>
      <c r="N2556" s="4" t="s">
        <v>1994</v>
      </c>
      <c r="O2556" s="4" t="s">
        <v>2029</v>
      </c>
      <c r="P2556" s="4" t="s">
        <v>69</v>
      </c>
      <c r="Q2556" s="4" t="s">
        <v>2030</v>
      </c>
      <c r="R2556" s="4"/>
      <c r="S2556" s="4"/>
      <c r="T2556" s="4"/>
      <c r="U2556" s="4"/>
      <c r="V2556" s="4"/>
      <c r="W2556" s="4"/>
      <c r="X2556" s="4"/>
      <c r="Y2556" s="4"/>
      <c r="Z2556" s="4"/>
      <c r="AA2556" s="4"/>
      <c r="AB2556" s="4"/>
      <c r="AC2556" s="4"/>
      <c r="AD2556" s="4"/>
      <c r="AE2556" s="4"/>
      <c r="AF2556" s="4"/>
      <c r="AG2556" s="4"/>
      <c r="AH2556" s="4"/>
      <c r="AI2556" s="4"/>
      <c r="AJ2556" s="13" t="n">
        <v>0</v>
      </c>
      <c r="AK2556" s="4"/>
      <c r="AL2556" s="4"/>
      <c r="AM2556" s="4"/>
    </row>
    <row r="2557" customFormat="false" ht="23.85" hidden="false" customHeight="false" outlineLevel="0" collapsed="false">
      <c r="A2557" s="4" t="s">
        <v>3338</v>
      </c>
      <c r="B2557" s="4" t="s">
        <v>3534</v>
      </c>
      <c r="C2557" s="4" t="s">
        <v>3534</v>
      </c>
      <c r="D2557" s="12" t="n">
        <v>2023</v>
      </c>
      <c r="E2557" s="4"/>
      <c r="F2557" s="4" t="s">
        <v>1990</v>
      </c>
      <c r="G2557" s="4" t="s">
        <v>170</v>
      </c>
      <c r="H2557" s="4" t="s">
        <v>171</v>
      </c>
      <c r="I2557" s="4" t="s">
        <v>172</v>
      </c>
      <c r="J2557" s="4" t="s">
        <v>1651</v>
      </c>
      <c r="K2557" s="4" t="s">
        <v>107</v>
      </c>
      <c r="L2557" s="4"/>
      <c r="M2557" s="4"/>
      <c r="N2557" s="4" t="s">
        <v>2001</v>
      </c>
      <c r="O2557" s="4" t="s">
        <v>2091</v>
      </c>
      <c r="P2557" s="4" t="s">
        <v>69</v>
      </c>
      <c r="Q2557" s="4" t="s">
        <v>2030</v>
      </c>
      <c r="R2557" s="4"/>
      <c r="S2557" s="4"/>
      <c r="T2557" s="4"/>
      <c r="U2557" s="4"/>
      <c r="V2557" s="4"/>
      <c r="W2557" s="4"/>
      <c r="X2557" s="4"/>
      <c r="Y2557" s="4"/>
      <c r="Z2557" s="4"/>
      <c r="AA2557" s="4"/>
      <c r="AB2557" s="4"/>
      <c r="AC2557" s="4"/>
      <c r="AD2557" s="4"/>
      <c r="AE2557" s="4"/>
      <c r="AF2557" s="4"/>
      <c r="AG2557" s="4"/>
      <c r="AH2557" s="4"/>
      <c r="AI2557" s="4"/>
      <c r="AJ2557" s="13" t="n">
        <v>0</v>
      </c>
      <c r="AK2557" s="4"/>
      <c r="AL2557" s="4"/>
      <c r="AM2557" s="4"/>
    </row>
    <row r="2558" customFormat="false" ht="23.85" hidden="false" customHeight="false" outlineLevel="0" collapsed="false">
      <c r="A2558" s="4" t="s">
        <v>3338</v>
      </c>
      <c r="B2558" s="4" t="s">
        <v>3535</v>
      </c>
      <c r="C2558" s="4" t="s">
        <v>3535</v>
      </c>
      <c r="D2558" s="12" t="n">
        <v>2023</v>
      </c>
      <c r="E2558" s="4"/>
      <c r="F2558" s="4" t="s">
        <v>1990</v>
      </c>
      <c r="G2558" s="4" t="s">
        <v>170</v>
      </c>
      <c r="H2558" s="4" t="s">
        <v>171</v>
      </c>
      <c r="I2558" s="4" t="s">
        <v>172</v>
      </c>
      <c r="J2558" s="4" t="s">
        <v>1652</v>
      </c>
      <c r="K2558" s="4" t="s">
        <v>107</v>
      </c>
      <c r="L2558" s="4"/>
      <c r="M2558" s="4"/>
      <c r="N2558" s="4" t="s">
        <v>2001</v>
      </c>
      <c r="O2558" s="4" t="s">
        <v>2034</v>
      </c>
      <c r="P2558" s="4" t="s">
        <v>74</v>
      </c>
      <c r="Q2558" s="4" t="s">
        <v>2035</v>
      </c>
      <c r="R2558" s="4"/>
      <c r="S2558" s="4"/>
      <c r="T2558" s="4"/>
      <c r="U2558" s="4"/>
      <c r="V2558" s="4"/>
      <c r="W2558" s="4"/>
      <c r="X2558" s="4"/>
      <c r="Y2558" s="4"/>
      <c r="Z2558" s="4"/>
      <c r="AA2558" s="4"/>
      <c r="AB2558" s="4"/>
      <c r="AC2558" s="4"/>
      <c r="AD2558" s="4"/>
      <c r="AE2558" s="4"/>
      <c r="AF2558" s="4"/>
      <c r="AG2558" s="4"/>
      <c r="AH2558" s="4"/>
      <c r="AI2558" s="4"/>
      <c r="AJ2558" s="13" t="n">
        <v>0</v>
      </c>
      <c r="AK2558" s="4"/>
      <c r="AL2558" s="4"/>
      <c r="AM2558" s="4"/>
    </row>
    <row r="2559" customFormat="false" ht="23.85" hidden="false" customHeight="false" outlineLevel="0" collapsed="false">
      <c r="A2559" s="4" t="s">
        <v>3338</v>
      </c>
      <c r="B2559" s="4" t="s">
        <v>3536</v>
      </c>
      <c r="C2559" s="4" t="s">
        <v>3536</v>
      </c>
      <c r="D2559" s="12" t="n">
        <v>2023</v>
      </c>
      <c r="E2559" s="4"/>
      <c r="F2559" s="4" t="s">
        <v>1990</v>
      </c>
      <c r="G2559" s="4" t="s">
        <v>170</v>
      </c>
      <c r="H2559" s="4" t="s">
        <v>171</v>
      </c>
      <c r="I2559" s="4" t="s">
        <v>172</v>
      </c>
      <c r="J2559" s="4" t="s">
        <v>1657</v>
      </c>
      <c r="K2559" s="4" t="s">
        <v>107</v>
      </c>
      <c r="L2559" s="4"/>
      <c r="M2559" s="4"/>
      <c r="N2559" s="4" t="s">
        <v>2001</v>
      </c>
      <c r="O2559" s="4" t="s">
        <v>2002</v>
      </c>
      <c r="P2559" s="4" t="s">
        <v>71</v>
      </c>
      <c r="Q2559" s="4" t="s">
        <v>2123</v>
      </c>
      <c r="R2559" s="4"/>
      <c r="S2559" s="4"/>
      <c r="T2559" s="4"/>
      <c r="U2559" s="4"/>
      <c r="V2559" s="4"/>
      <c r="W2559" s="4" t="s">
        <v>3412</v>
      </c>
      <c r="X2559" s="4" t="s">
        <v>3413</v>
      </c>
      <c r="Y2559" s="4" t="inlineStr">
        <is>
          <t>COMB_KER</t>
        </is>
      </c>
      <c r="Z2559" s="4"/>
      <c r="AA2559" s="4"/>
      <c r="AB2559" s="4"/>
      <c r="AC2559" s="4" t="s">
        <v>3352</v>
      </c>
      <c r="AD2559" s="4"/>
      <c r="AE2559" s="4"/>
      <c r="AF2559" s="4"/>
      <c r="AG2559" s="4"/>
      <c r="AH2559" s="4"/>
      <c r="AI2559" s="4"/>
      <c r="AJ2559" s="13" t="n">
        <v>1</v>
      </c>
      <c r="AK2559" s="4"/>
      <c r="AL2559" s="4"/>
      <c r="AM2559" s="4"/>
    </row>
    <row r="2560" customFormat="false" ht="23.85" hidden="false" customHeight="false" outlineLevel="0" collapsed="false">
      <c r="A2560" s="4" t="s">
        <v>3338</v>
      </c>
      <c r="B2560" s="4" t="s">
        <v>3537</v>
      </c>
      <c r="C2560" s="4" t="s">
        <v>3537</v>
      </c>
      <c r="D2560" s="12" t="n">
        <v>2023</v>
      </c>
      <c r="E2560" s="4"/>
      <c r="F2560" s="4" t="s">
        <v>1990</v>
      </c>
      <c r="G2560" s="4" t="s">
        <v>170</v>
      </c>
      <c r="H2560" s="4" t="s">
        <v>171</v>
      </c>
      <c r="I2560" s="4" t="s">
        <v>172</v>
      </c>
      <c r="J2560" s="4" t="s">
        <v>1664</v>
      </c>
      <c r="K2560" s="4" t="s">
        <v>111</v>
      </c>
      <c r="L2560" s="4"/>
      <c r="M2560" s="4"/>
      <c r="N2560" s="4" t="s">
        <v>1994</v>
      </c>
      <c r="O2560" s="4" t="s">
        <v>2029</v>
      </c>
      <c r="P2560" s="4" t="s">
        <v>69</v>
      </c>
      <c r="Q2560" s="4" t="s">
        <v>2030</v>
      </c>
      <c r="R2560" s="4"/>
      <c r="S2560" s="4"/>
      <c r="T2560" s="4"/>
      <c r="U2560" s="4"/>
      <c r="V2560" s="4"/>
      <c r="W2560" s="4"/>
      <c r="X2560" s="4"/>
      <c r="Y2560" s="4"/>
      <c r="Z2560" s="4"/>
      <c r="AA2560" s="4"/>
      <c r="AB2560" s="4"/>
      <c r="AC2560" s="4"/>
      <c r="AD2560" s="4"/>
      <c r="AE2560" s="4"/>
      <c r="AF2560" s="4"/>
      <c r="AG2560" s="4"/>
      <c r="AH2560" s="4"/>
      <c r="AI2560" s="4"/>
      <c r="AJ2560" s="13" t="n">
        <v>0</v>
      </c>
      <c r="AK2560" s="4"/>
      <c r="AL2560" s="4"/>
      <c r="AM2560" s="4"/>
    </row>
    <row r="2561" customFormat="false" ht="23.85" hidden="false" customHeight="false" outlineLevel="0" collapsed="false">
      <c r="A2561" s="4" t="s">
        <v>3338</v>
      </c>
      <c r="B2561" s="4" t="s">
        <v>3538</v>
      </c>
      <c r="C2561" s="4" t="s">
        <v>3538</v>
      </c>
      <c r="D2561" s="12" t="n">
        <v>2023</v>
      </c>
      <c r="E2561" s="4"/>
      <c r="F2561" s="4" t="s">
        <v>1990</v>
      </c>
      <c r="G2561" s="4" t="s">
        <v>170</v>
      </c>
      <c r="H2561" s="4" t="s">
        <v>171</v>
      </c>
      <c r="I2561" s="4" t="s">
        <v>172</v>
      </c>
      <c r="J2561" s="4" t="s">
        <v>1665</v>
      </c>
      <c r="K2561" s="4" t="s">
        <v>111</v>
      </c>
      <c r="L2561" s="4"/>
      <c r="M2561" s="4"/>
      <c r="N2561" s="4" t="s">
        <v>2001</v>
      </c>
      <c r="O2561" s="4" t="s">
        <v>2091</v>
      </c>
      <c r="P2561" s="4" t="s">
        <v>69</v>
      </c>
      <c r="Q2561" s="4" t="s">
        <v>2030</v>
      </c>
      <c r="R2561" s="4"/>
      <c r="S2561" s="4"/>
      <c r="T2561" s="4"/>
      <c r="U2561" s="4"/>
      <c r="V2561" s="4"/>
      <c r="W2561" s="4"/>
      <c r="X2561" s="4"/>
      <c r="Y2561" s="4"/>
      <c r="Z2561" s="4"/>
      <c r="AA2561" s="4"/>
      <c r="AB2561" s="4"/>
      <c r="AC2561" s="4"/>
      <c r="AD2561" s="4"/>
      <c r="AE2561" s="4"/>
      <c r="AF2561" s="4"/>
      <c r="AG2561" s="4"/>
      <c r="AH2561" s="4"/>
      <c r="AI2561" s="4"/>
      <c r="AJ2561" s="13" t="n">
        <v>0</v>
      </c>
      <c r="AK2561" s="4"/>
      <c r="AL2561" s="4"/>
      <c r="AM2561" s="4"/>
    </row>
    <row r="2562" customFormat="false" ht="23.85" hidden="false" customHeight="false" outlineLevel="0" collapsed="false">
      <c r="A2562" s="4" t="s">
        <v>3338</v>
      </c>
      <c r="B2562" s="4" t="s">
        <v>3539</v>
      </c>
      <c r="C2562" s="4" t="s">
        <v>3539</v>
      </c>
      <c r="D2562" s="12" t="n">
        <v>2023</v>
      </c>
      <c r="E2562" s="4"/>
      <c r="F2562" s="4" t="s">
        <v>1990</v>
      </c>
      <c r="G2562" s="4" t="s">
        <v>170</v>
      </c>
      <c r="H2562" s="4" t="s">
        <v>171</v>
      </c>
      <c r="I2562" s="4" t="s">
        <v>172</v>
      </c>
      <c r="J2562" s="4" t="s">
        <v>1666</v>
      </c>
      <c r="K2562" s="4" t="s">
        <v>111</v>
      </c>
      <c r="L2562" s="4"/>
      <c r="M2562" s="4"/>
      <c r="N2562" s="4" t="s">
        <v>2001</v>
      </c>
      <c r="O2562" s="4" t="s">
        <v>2034</v>
      </c>
      <c r="P2562" s="4" t="s">
        <v>74</v>
      </c>
      <c r="Q2562" s="4" t="s">
        <v>2035</v>
      </c>
      <c r="R2562" s="4"/>
      <c r="S2562" s="4"/>
      <c r="T2562" s="4"/>
      <c r="U2562" s="4"/>
      <c r="V2562" s="4"/>
      <c r="W2562" s="4"/>
      <c r="X2562" s="4"/>
      <c r="Y2562" s="4"/>
      <c r="Z2562" s="4"/>
      <c r="AA2562" s="4"/>
      <c r="AB2562" s="4"/>
      <c r="AC2562" s="4"/>
      <c r="AD2562" s="4"/>
      <c r="AE2562" s="4"/>
      <c r="AF2562" s="4"/>
      <c r="AG2562" s="4"/>
      <c r="AH2562" s="4"/>
      <c r="AI2562" s="4"/>
      <c r="AJ2562" s="13" t="n">
        <v>0</v>
      </c>
      <c r="AK2562" s="4"/>
      <c r="AL2562" s="4"/>
      <c r="AM2562" s="4"/>
    </row>
    <row r="2563" customFormat="false" ht="23.85" hidden="false" customHeight="false" outlineLevel="0" collapsed="false">
      <c r="A2563" s="4" t="s">
        <v>3338</v>
      </c>
      <c r="B2563" s="4" t="s">
        <v>3540</v>
      </c>
      <c r="C2563" s="4" t="s">
        <v>3540</v>
      </c>
      <c r="D2563" s="12" t="n">
        <v>2023</v>
      </c>
      <c r="E2563" s="4"/>
      <c r="F2563" s="4" t="s">
        <v>1990</v>
      </c>
      <c r="G2563" s="4" t="s">
        <v>170</v>
      </c>
      <c r="H2563" s="4" t="s">
        <v>171</v>
      </c>
      <c r="I2563" s="4" t="s">
        <v>172</v>
      </c>
      <c r="J2563" s="4" t="s">
        <v>1667</v>
      </c>
      <c r="K2563" s="4" t="s">
        <v>111</v>
      </c>
      <c r="L2563" s="4"/>
      <c r="M2563" s="4"/>
      <c r="N2563" s="4" t="s">
        <v>1994</v>
      </c>
      <c r="O2563" s="4" t="s">
        <v>1995</v>
      </c>
      <c r="P2563" s="4" t="s">
        <v>67</v>
      </c>
      <c r="Q2563" s="4" t="s">
        <v>2097</v>
      </c>
      <c r="R2563" s="4"/>
      <c r="S2563" s="4"/>
      <c r="T2563" s="4"/>
      <c r="U2563" s="4"/>
      <c r="V2563" s="4"/>
      <c r="W2563" s="4"/>
      <c r="X2563" s="4"/>
      <c r="Y2563" s="4"/>
      <c r="Z2563" s="4"/>
      <c r="AA2563" s="4"/>
      <c r="AB2563" s="4"/>
      <c r="AC2563" s="4"/>
      <c r="AD2563" s="4"/>
      <c r="AE2563" s="4"/>
      <c r="AF2563" s="4"/>
      <c r="AG2563" s="4"/>
      <c r="AH2563" s="4"/>
      <c r="AI2563" s="4"/>
      <c r="AJ2563" s="13" t="n">
        <v>0</v>
      </c>
      <c r="AK2563" s="4"/>
      <c r="AL2563" s="4"/>
      <c r="AM2563" s="4"/>
    </row>
    <row r="2564" customFormat="false" ht="35.05" hidden="false" customHeight="false" outlineLevel="0" collapsed="false">
      <c r="A2564" s="4" t="s">
        <v>3338</v>
      </c>
      <c r="B2564" s="4" t="s">
        <v>3541</v>
      </c>
      <c r="C2564" s="4" t="s">
        <v>3541</v>
      </c>
      <c r="D2564" s="12" t="n">
        <v>2023</v>
      </c>
      <c r="E2564" s="4"/>
      <c r="F2564" s="4" t="s">
        <v>1990</v>
      </c>
      <c r="G2564" s="4" t="s">
        <v>170</v>
      </c>
      <c r="H2564" s="4" t="s">
        <v>171</v>
      </c>
      <c r="I2564" s="4" t="s">
        <v>172</v>
      </c>
      <c r="J2564" s="4" t="s">
        <v>2394</v>
      </c>
      <c r="K2564" s="4" t="s">
        <v>95</v>
      </c>
      <c r="L2564" s="4"/>
      <c r="M2564" s="4"/>
      <c r="N2564" s="4" t="s">
        <v>2001</v>
      </c>
      <c r="O2564" s="4" t="s">
        <v>2218</v>
      </c>
      <c r="P2564" s="4" t="s">
        <v>44</v>
      </c>
      <c r="Q2564" s="4" t="s">
        <v>2219</v>
      </c>
      <c r="R2564" s="4"/>
      <c r="S2564" s="4"/>
      <c r="T2564" s="4"/>
      <c r="U2564" s="4"/>
      <c r="V2564" s="4"/>
      <c r="W2564" s="4"/>
      <c r="X2564" s="4"/>
      <c r="Y2564" s="4"/>
      <c r="Z2564" s="4"/>
      <c r="AA2564" s="4"/>
      <c r="AB2564" s="4"/>
      <c r="AC2564" s="4"/>
      <c r="AD2564" s="4"/>
      <c r="AE2564" s="4"/>
      <c r="AF2564" s="4"/>
      <c r="AG2564" s="4"/>
      <c r="AH2564" s="4"/>
      <c r="AI2564" s="4"/>
      <c r="AJ2564" s="13" t="n">
        <v>0</v>
      </c>
      <c r="AK2564" s="4"/>
      <c r="AL2564" s="4"/>
      <c r="AM2564" s="4"/>
    </row>
    <row r="2565" customFormat="false" ht="23.85" hidden="false" customHeight="false" outlineLevel="0" collapsed="false">
      <c r="A2565" s="4" t="s">
        <v>3338</v>
      </c>
      <c r="B2565" s="4" t="s">
        <v>3542</v>
      </c>
      <c r="C2565" s="4" t="s">
        <v>3542</v>
      </c>
      <c r="D2565" s="12" t="n">
        <v>2023</v>
      </c>
      <c r="E2565" s="4"/>
      <c r="F2565" s="4" t="s">
        <v>1990</v>
      </c>
      <c r="G2565" s="4" t="s">
        <v>170</v>
      </c>
      <c r="H2565" s="4" t="s">
        <v>171</v>
      </c>
      <c r="I2565" s="4" t="s">
        <v>172</v>
      </c>
      <c r="J2565" s="4" t="s">
        <v>2397</v>
      </c>
      <c r="K2565" s="4" t="s">
        <v>76</v>
      </c>
      <c r="L2565" s="4"/>
      <c r="M2565" s="4"/>
      <c r="N2565" s="4" t="s">
        <v>2001</v>
      </c>
      <c r="O2565" s="4" t="s">
        <v>2218</v>
      </c>
      <c r="P2565" s="4" t="s">
        <v>44</v>
      </c>
      <c r="Q2565" s="4" t="s">
        <v>2219</v>
      </c>
      <c r="R2565" s="4"/>
      <c r="S2565" s="4"/>
      <c r="T2565" s="4"/>
      <c r="U2565" s="4"/>
      <c r="V2565" s="4"/>
      <c r="W2565" s="4"/>
      <c r="X2565" s="4"/>
      <c r="Y2565" s="4"/>
      <c r="Z2565" s="4"/>
      <c r="AA2565" s="4"/>
      <c r="AB2565" s="4"/>
      <c r="AC2565" s="4"/>
      <c r="AD2565" s="4"/>
      <c r="AE2565" s="4"/>
      <c r="AF2565" s="4"/>
      <c r="AG2565" s="4"/>
      <c r="AH2565" s="4"/>
      <c r="AI2565" s="4"/>
      <c r="AJ2565" s="13" t="n">
        <v>0</v>
      </c>
      <c r="AK2565" s="4"/>
      <c r="AL2565" s="4"/>
      <c r="AM2565" s="4"/>
    </row>
    <row r="2566" customFormat="false" ht="23.85" hidden="false" customHeight="false" outlineLevel="0" collapsed="false">
      <c r="A2566" s="4" t="s">
        <v>3338</v>
      </c>
      <c r="B2566" s="4" t="s">
        <v>3543</v>
      </c>
      <c r="C2566" s="4" t="s">
        <v>3543</v>
      </c>
      <c r="D2566" s="12" t="n">
        <v>2023</v>
      </c>
      <c r="E2566" s="4"/>
      <c r="F2566" s="4" t="s">
        <v>1990</v>
      </c>
      <c r="G2566" s="4" t="s">
        <v>170</v>
      </c>
      <c r="H2566" s="4" t="s">
        <v>171</v>
      </c>
      <c r="I2566" s="4" t="s">
        <v>172</v>
      </c>
      <c r="J2566" s="4" t="s">
        <v>2400</v>
      </c>
      <c r="K2566" s="4" t="s">
        <v>97</v>
      </c>
      <c r="L2566" s="4"/>
      <c r="M2566" s="4"/>
      <c r="N2566" s="4" t="s">
        <v>2001</v>
      </c>
      <c r="O2566" s="4" t="s">
        <v>2218</v>
      </c>
      <c r="P2566" s="4" t="s">
        <v>44</v>
      </c>
      <c r="Q2566" s="4" t="s">
        <v>2219</v>
      </c>
      <c r="R2566" s="4"/>
      <c r="S2566" s="4"/>
      <c r="T2566" s="4"/>
      <c r="U2566" s="4"/>
      <c r="V2566" s="4"/>
      <c r="W2566" s="4"/>
      <c r="X2566" s="4"/>
      <c r="Y2566" s="4"/>
      <c r="Z2566" s="4"/>
      <c r="AA2566" s="4"/>
      <c r="AB2566" s="4"/>
      <c r="AC2566" s="4"/>
      <c r="AD2566" s="4"/>
      <c r="AE2566" s="4"/>
      <c r="AF2566" s="4"/>
      <c r="AG2566" s="4"/>
      <c r="AH2566" s="4"/>
      <c r="AI2566" s="4"/>
      <c r="AJ2566" s="13" t="n">
        <v>0</v>
      </c>
      <c r="AK2566" s="4"/>
      <c r="AL2566" s="4"/>
      <c r="AM2566" s="4"/>
    </row>
    <row r="2567" customFormat="false" ht="23.85" hidden="false" customHeight="false" outlineLevel="0" collapsed="false">
      <c r="A2567" s="4" t="s">
        <v>3338</v>
      </c>
      <c r="B2567" s="4" t="s">
        <v>3544</v>
      </c>
      <c r="C2567" s="4" t="s">
        <v>3544</v>
      </c>
      <c r="D2567" s="12" t="n">
        <v>2023</v>
      </c>
      <c r="E2567" s="4"/>
      <c r="F2567" s="4" t="s">
        <v>1990</v>
      </c>
      <c r="G2567" s="4" t="s">
        <v>170</v>
      </c>
      <c r="H2567" s="4" t="s">
        <v>171</v>
      </c>
      <c r="I2567" s="4" t="s">
        <v>172</v>
      </c>
      <c r="J2567" s="4" t="s">
        <v>2403</v>
      </c>
      <c r="K2567" s="4" t="s">
        <v>107</v>
      </c>
      <c r="L2567" s="4"/>
      <c r="M2567" s="4"/>
      <c r="N2567" s="4" t="s">
        <v>2001</v>
      </c>
      <c r="O2567" s="4" t="s">
        <v>2218</v>
      </c>
      <c r="P2567" s="4" t="s">
        <v>44</v>
      </c>
      <c r="Q2567" s="4" t="s">
        <v>2219</v>
      </c>
      <c r="R2567" s="4"/>
      <c r="S2567" s="4"/>
      <c r="T2567" s="4"/>
      <c r="U2567" s="4"/>
      <c r="V2567" s="4"/>
      <c r="W2567" s="4"/>
      <c r="X2567" s="4"/>
      <c r="Y2567" s="4"/>
      <c r="Z2567" s="4"/>
      <c r="AA2567" s="4"/>
      <c r="AB2567" s="4"/>
      <c r="AC2567" s="4"/>
      <c r="AD2567" s="4"/>
      <c r="AE2567" s="4"/>
      <c r="AF2567" s="4"/>
      <c r="AG2567" s="4"/>
      <c r="AH2567" s="4"/>
      <c r="AI2567" s="4"/>
      <c r="AJ2567" s="13" t="n">
        <v>0</v>
      </c>
      <c r="AK2567" s="4"/>
      <c r="AL2567" s="4"/>
      <c r="AM2567" s="4"/>
    </row>
    <row r="2568" customFormat="false" ht="35.05" hidden="false" customHeight="false" outlineLevel="0" collapsed="false">
      <c r="A2568" s="4" t="s">
        <v>3338</v>
      </c>
      <c r="B2568" s="4" t="s">
        <v>3545</v>
      </c>
      <c r="C2568" s="4" t="s">
        <v>3545</v>
      </c>
      <c r="D2568" s="12" t="n">
        <v>2023</v>
      </c>
      <c r="E2568" s="4"/>
      <c r="F2568" s="4" t="s">
        <v>1990</v>
      </c>
      <c r="G2568" s="4" t="s">
        <v>1991</v>
      </c>
      <c r="H2568" s="4" t="s">
        <v>3458</v>
      </c>
      <c r="I2568" s="4"/>
      <c r="J2568" s="4" t="s">
        <v>2406</v>
      </c>
      <c r="K2568" s="4" t="s">
        <v>111</v>
      </c>
      <c r="L2568" s="4"/>
      <c r="M2568" s="4"/>
      <c r="N2568" s="4" t="s">
        <v>2001</v>
      </c>
      <c r="O2568" s="4" t="s">
        <v>2002</v>
      </c>
      <c r="P2568" s="4" t="s">
        <v>41</v>
      </c>
      <c r="Q2568" s="4" t="s">
        <v>2228</v>
      </c>
      <c r="R2568" s="4"/>
      <c r="S2568" s="4"/>
      <c r="T2568" s="4"/>
      <c r="U2568" s="4"/>
      <c r="V2568" s="4"/>
      <c r="W2568" s="4"/>
      <c r="X2568" s="4"/>
      <c r="Y2568" s="4"/>
      <c r="Z2568" s="4"/>
      <c r="AA2568" s="4"/>
      <c r="AB2568" s="4"/>
      <c r="AC2568" s="4"/>
      <c r="AD2568" s="4"/>
      <c r="AE2568" s="4"/>
      <c r="AF2568" s="4"/>
      <c r="AG2568" s="4"/>
      <c r="AH2568" s="4"/>
      <c r="AI2568" s="4"/>
      <c r="AJ2568" s="13" t="n">
        <v>0</v>
      </c>
      <c r="AK2568" s="4"/>
      <c r="AL2568" s="4"/>
      <c r="AM2568" s="4" t="s">
        <v>3459</v>
      </c>
    </row>
    <row r="2569" customFormat="false" ht="23.85" hidden="false" customHeight="false" outlineLevel="0" collapsed="false">
      <c r="A2569" s="4" t="s">
        <v>3338</v>
      </c>
      <c r="B2569" s="4" t="s">
        <v>3546</v>
      </c>
      <c r="C2569" s="4" t="s">
        <v>3546</v>
      </c>
      <c r="D2569" s="12" t="n">
        <v>2023</v>
      </c>
      <c r="E2569" s="4"/>
      <c r="F2569" s="4" t="s">
        <v>1990</v>
      </c>
      <c r="G2569" s="4" t="s">
        <v>170</v>
      </c>
      <c r="H2569" s="4" t="s">
        <v>171</v>
      </c>
      <c r="I2569" s="4" t="s">
        <v>172</v>
      </c>
      <c r="J2569" s="4" t="s">
        <v>2409</v>
      </c>
      <c r="K2569" s="4" t="s">
        <v>86</v>
      </c>
      <c r="L2569" s="4"/>
      <c r="M2569" s="4"/>
      <c r="N2569" s="4" t="s">
        <v>2001</v>
      </c>
      <c r="O2569" s="4" t="s">
        <v>2218</v>
      </c>
      <c r="P2569" s="4" t="s">
        <v>44</v>
      </c>
      <c r="Q2569" s="4" t="s">
        <v>2219</v>
      </c>
      <c r="R2569" s="4"/>
      <c r="S2569" s="4"/>
      <c r="T2569" s="4"/>
      <c r="U2569" s="4"/>
      <c r="V2569" s="4"/>
      <c r="W2569" s="4"/>
      <c r="X2569" s="4"/>
      <c r="Y2569" s="4"/>
      <c r="Z2569" s="4"/>
      <c r="AA2569" s="4"/>
      <c r="AB2569" s="4"/>
      <c r="AC2569" s="4"/>
      <c r="AD2569" s="4"/>
      <c r="AE2569" s="4"/>
      <c r="AF2569" s="4"/>
      <c r="AG2569" s="4"/>
      <c r="AH2569" s="4"/>
      <c r="AI2569" s="4"/>
      <c r="AJ2569" s="13" t="n">
        <v>0</v>
      </c>
      <c r="AK2569" s="4"/>
      <c r="AL2569" s="4"/>
      <c r="AM2569" s="4"/>
    </row>
    <row r="2570" customFormat="false" ht="23.85" hidden="false" customHeight="false" outlineLevel="0" collapsed="false">
      <c r="A2570" s="4" t="s">
        <v>3338</v>
      </c>
      <c r="B2570" s="4" t="s">
        <v>3547</v>
      </c>
      <c r="C2570" s="4" t="s">
        <v>3547</v>
      </c>
      <c r="D2570" s="12" t="n">
        <v>2022</v>
      </c>
      <c r="E2570" s="4"/>
      <c r="F2570" s="4" t="s">
        <v>1990</v>
      </c>
      <c r="G2570" s="4" t="s">
        <v>170</v>
      </c>
      <c r="H2570" s="4" t="s">
        <v>171</v>
      </c>
      <c r="I2570" s="4" t="s">
        <v>172</v>
      </c>
      <c r="J2570" s="4" t="s">
        <v>1159</v>
      </c>
      <c r="K2570" s="4" t="s">
        <v>91</v>
      </c>
      <c r="L2570" s="4"/>
      <c r="M2570" s="4"/>
      <c r="N2570" s="4" t="s">
        <v>1994</v>
      </c>
      <c r="O2570" s="4" t="s">
        <v>1995</v>
      </c>
      <c r="P2570" s="4" t="s">
        <v>68</v>
      </c>
      <c r="Q2570" s="4" t="s">
        <v>1996</v>
      </c>
      <c r="R2570" s="4"/>
      <c r="S2570" s="4"/>
      <c r="T2570" s="4"/>
      <c r="U2570" s="4"/>
      <c r="V2570" s="4"/>
      <c r="W2570" s="4"/>
      <c r="X2570" s="4"/>
      <c r="Y2570" s="4"/>
      <c r="Z2570" s="4"/>
      <c r="AA2570" s="4"/>
      <c r="AB2570" s="4"/>
      <c r="AC2570" s="4"/>
      <c r="AD2570" s="4"/>
      <c r="AE2570" s="4"/>
      <c r="AF2570" s="4"/>
      <c r="AG2570" s="4"/>
      <c r="AH2570" s="4"/>
      <c r="AI2570" s="4"/>
      <c r="AJ2570" s="13" t="n">
        <v>0</v>
      </c>
      <c r="AK2570" s="4"/>
      <c r="AL2570" s="4"/>
      <c r="AM2570" s="4"/>
    </row>
    <row r="2571" customFormat="false" ht="23.85" hidden="false" customHeight="false" outlineLevel="0" collapsed="false">
      <c r="A2571" s="4" t="s">
        <v>3338</v>
      </c>
      <c r="B2571" s="4" t="s">
        <v>3548</v>
      </c>
      <c r="C2571" s="4" t="s">
        <v>3548</v>
      </c>
      <c r="D2571" s="12" t="n">
        <v>2022</v>
      </c>
      <c r="E2571" s="4"/>
      <c r="F2571" s="4" t="s">
        <v>1990</v>
      </c>
      <c r="G2571" s="4" t="s">
        <v>170</v>
      </c>
      <c r="H2571" s="4" t="s">
        <v>171</v>
      </c>
      <c r="I2571" s="4" t="s">
        <v>172</v>
      </c>
      <c r="J2571" s="4" t="s">
        <v>1164</v>
      </c>
      <c r="K2571" s="4" t="s">
        <v>91</v>
      </c>
      <c r="L2571" s="4"/>
      <c r="M2571" s="4"/>
      <c r="N2571" s="4" t="s">
        <v>2001</v>
      </c>
      <c r="O2571" s="4" t="s">
        <v>2002</v>
      </c>
      <c r="P2571" s="4" t="s">
        <v>67</v>
      </c>
      <c r="Q2571" s="4" t="s">
        <v>2003</v>
      </c>
      <c r="R2571" s="4"/>
      <c r="S2571" s="4"/>
      <c r="T2571" s="4"/>
      <c r="U2571" s="4"/>
      <c r="V2571" s="4"/>
      <c r="W2571" s="4" t="s">
        <v>3341</v>
      </c>
      <c r="X2571" s="4" t="s">
        <v>3342</v>
      </c>
      <c r="Y2571" s="4" t="inlineStr">
        <is>
          <t>COMB_BCANA</t>
        </is>
      </c>
      <c r="Z2571" s="4"/>
      <c r="AA2571" s="4"/>
      <c r="AB2571" s="4"/>
      <c r="AC2571" s="4" t="s">
        <v>3344</v>
      </c>
      <c r="AD2571" s="4"/>
      <c r="AE2571" s="4"/>
      <c r="AF2571" s="4"/>
      <c r="AG2571" s="4"/>
      <c r="AH2571" s="4"/>
      <c r="AI2571" s="4"/>
      <c r="AJ2571" s="13" t="n">
        <v>1</v>
      </c>
      <c r="AK2571" s="4"/>
      <c r="AL2571" s="4"/>
      <c r="AM2571" s="4"/>
    </row>
    <row r="2572" customFormat="false" ht="23.85" hidden="false" customHeight="false" outlineLevel="0" collapsed="false">
      <c r="A2572" s="4" t="s">
        <v>3338</v>
      </c>
      <c r="B2572" s="4" t="s">
        <v>3549</v>
      </c>
      <c r="C2572" s="4" t="s">
        <v>3549</v>
      </c>
      <c r="D2572" s="12" t="n">
        <v>2022</v>
      </c>
      <c r="E2572" s="4"/>
      <c r="F2572" s="4" t="s">
        <v>1990</v>
      </c>
      <c r="G2572" s="4" t="s">
        <v>170</v>
      </c>
      <c r="H2572" s="4" t="s">
        <v>171</v>
      </c>
      <c r="I2572" s="4" t="s">
        <v>172</v>
      </c>
      <c r="J2572" s="4" t="s">
        <v>1165</v>
      </c>
      <c r="K2572" s="4" t="s">
        <v>91</v>
      </c>
      <c r="L2572" s="4"/>
      <c r="M2572" s="4"/>
      <c r="N2572" s="4" t="s">
        <v>2001</v>
      </c>
      <c r="O2572" s="4" t="s">
        <v>2002</v>
      </c>
      <c r="P2572" s="4" t="s">
        <v>67</v>
      </c>
      <c r="Q2572" s="4" t="s">
        <v>2008</v>
      </c>
      <c r="R2572" s="4"/>
      <c r="S2572" s="4"/>
      <c r="T2572" s="4"/>
      <c r="U2572" s="4"/>
      <c r="V2572" s="4"/>
      <c r="W2572" s="4" t="s">
        <v>3341</v>
      </c>
      <c r="X2572" s="4" t="s">
        <v>3342</v>
      </c>
      <c r="Y2572" s="4" t="inlineStr">
        <is>
          <t>COMB_BCANA</t>
        </is>
      </c>
      <c r="Z2572" s="4"/>
      <c r="AA2572" s="4"/>
      <c r="AB2572" s="4"/>
      <c r="AC2572" s="4" t="s">
        <v>3344</v>
      </c>
      <c r="AD2572" s="4"/>
      <c r="AE2572" s="4"/>
      <c r="AF2572" s="4"/>
      <c r="AG2572" s="4"/>
      <c r="AH2572" s="4"/>
      <c r="AI2572" s="4"/>
      <c r="AJ2572" s="13" t="n">
        <v>1</v>
      </c>
      <c r="AK2572" s="4"/>
      <c r="AL2572" s="4"/>
      <c r="AM2572" s="4"/>
    </row>
    <row r="2573" customFormat="false" ht="23.85" hidden="false" customHeight="false" outlineLevel="0" collapsed="false">
      <c r="A2573" s="4" t="s">
        <v>3338</v>
      </c>
      <c r="B2573" s="4" t="s">
        <v>3550</v>
      </c>
      <c r="C2573" s="4" t="s">
        <v>3550</v>
      </c>
      <c r="D2573" s="12" t="n">
        <v>2022</v>
      </c>
      <c r="E2573" s="4"/>
      <c r="F2573" s="4" t="s">
        <v>1990</v>
      </c>
      <c r="G2573" s="4" t="s">
        <v>170</v>
      </c>
      <c r="H2573" s="4" t="s">
        <v>171</v>
      </c>
      <c r="I2573" s="4" t="s">
        <v>172</v>
      </c>
      <c r="J2573" s="4" t="s">
        <v>1173</v>
      </c>
      <c r="K2573" s="4" t="s">
        <v>93</v>
      </c>
      <c r="L2573" s="4"/>
      <c r="M2573" s="4"/>
      <c r="N2573" s="4" t="s">
        <v>1994</v>
      </c>
      <c r="O2573" s="4" t="s">
        <v>1995</v>
      </c>
      <c r="P2573" s="4" t="s">
        <v>67</v>
      </c>
      <c r="Q2573" s="4" t="s">
        <v>2012</v>
      </c>
      <c r="R2573" s="4"/>
      <c r="S2573" s="4"/>
      <c r="T2573" s="4"/>
      <c r="U2573" s="4"/>
      <c r="V2573" s="4"/>
      <c r="W2573" s="4"/>
      <c r="X2573" s="4"/>
      <c r="Y2573" s="4"/>
      <c r="Z2573" s="4"/>
      <c r="AA2573" s="4"/>
      <c r="AB2573" s="4"/>
      <c r="AC2573" s="4"/>
      <c r="AD2573" s="4"/>
      <c r="AE2573" s="4"/>
      <c r="AF2573" s="4"/>
      <c r="AG2573" s="4"/>
      <c r="AH2573" s="4"/>
      <c r="AI2573" s="4"/>
      <c r="AJ2573" s="13" t="n">
        <v>0</v>
      </c>
      <c r="AK2573" s="4"/>
      <c r="AL2573" s="4"/>
      <c r="AM2573" s="4"/>
    </row>
    <row r="2574" customFormat="false" ht="23.85" hidden="false" customHeight="false" outlineLevel="0" collapsed="false">
      <c r="A2574" s="4" t="s">
        <v>3338</v>
      </c>
      <c r="B2574" s="4" t="s">
        <v>3551</v>
      </c>
      <c r="C2574" s="4" t="s">
        <v>3551</v>
      </c>
      <c r="D2574" s="12" t="n">
        <v>2022</v>
      </c>
      <c r="E2574" s="4"/>
      <c r="F2574" s="4" t="s">
        <v>1990</v>
      </c>
      <c r="G2574" s="4" t="s">
        <v>170</v>
      </c>
      <c r="H2574" s="4" t="s">
        <v>171</v>
      </c>
      <c r="I2574" s="4" t="s">
        <v>172</v>
      </c>
      <c r="J2574" s="4" t="s">
        <v>1178</v>
      </c>
      <c r="K2574" s="4" t="s">
        <v>93</v>
      </c>
      <c r="L2574" s="4"/>
      <c r="M2574" s="4"/>
      <c r="N2574" s="4" t="s">
        <v>2001</v>
      </c>
      <c r="O2574" s="4" t="s">
        <v>2002</v>
      </c>
      <c r="P2574" s="4" t="s">
        <v>67</v>
      </c>
      <c r="Q2574" s="4" t="s">
        <v>2003</v>
      </c>
      <c r="R2574" s="4"/>
      <c r="S2574" s="4"/>
      <c r="T2574" s="4"/>
      <c r="U2574" s="4"/>
      <c r="V2574" s="4"/>
      <c r="W2574" s="4" t="s">
        <v>3341</v>
      </c>
      <c r="X2574" s="4" t="s">
        <v>3342</v>
      </c>
      <c r="Y2574" s="4" t="inlineStr">
        <is>
          <t>COMB_BIOGAS</t>
        </is>
      </c>
      <c r="Z2574" s="4"/>
      <c r="AA2574" s="4"/>
      <c r="AB2574" s="4"/>
      <c r="AC2574" s="4" t="s">
        <v>3344</v>
      </c>
      <c r="AD2574" s="4"/>
      <c r="AE2574" s="4"/>
      <c r="AF2574" s="4"/>
      <c r="AG2574" s="4"/>
      <c r="AH2574" s="4"/>
      <c r="AI2574" s="4"/>
      <c r="AJ2574" s="13" t="n">
        <v>1</v>
      </c>
      <c r="AK2574" s="4"/>
      <c r="AL2574" s="4"/>
      <c r="AM2574" s="4"/>
    </row>
    <row r="2575" customFormat="false" ht="23.85" hidden="false" customHeight="false" outlineLevel="0" collapsed="false">
      <c r="A2575" s="4" t="s">
        <v>3338</v>
      </c>
      <c r="B2575" s="4" t="s">
        <v>3552</v>
      </c>
      <c r="C2575" s="4" t="s">
        <v>3552</v>
      </c>
      <c r="D2575" s="12" t="n">
        <v>2022</v>
      </c>
      <c r="E2575" s="4"/>
      <c r="F2575" s="4" t="s">
        <v>3349</v>
      </c>
      <c r="G2575" s="4" t="s">
        <v>170</v>
      </c>
      <c r="H2575" s="4" t="s">
        <v>171</v>
      </c>
      <c r="I2575" s="4" t="s">
        <v>172</v>
      </c>
      <c r="J2575" s="4" t="s">
        <v>1187</v>
      </c>
      <c r="K2575" s="4" t="s">
        <v>76</v>
      </c>
      <c r="L2575" s="4"/>
      <c r="M2575" s="4"/>
      <c r="N2575" s="4" t="s">
        <v>1994</v>
      </c>
      <c r="O2575" s="4" t="s">
        <v>65</v>
      </c>
      <c r="P2575" s="4" t="s">
        <v>64</v>
      </c>
      <c r="Q2575" s="4" t="s">
        <v>2019</v>
      </c>
      <c r="R2575" s="4"/>
      <c r="S2575" s="4"/>
      <c r="T2575" s="4"/>
      <c r="U2575" s="4"/>
      <c r="V2575" s="4"/>
      <c r="W2575" s="4" t="s">
        <v>3350</v>
      </c>
      <c r="X2575" s="4" t="s">
        <v>3351</v>
      </c>
      <c r="Y2575" s="4" t="s">
        <v>3349</v>
      </c>
      <c r="Z2575" s="4"/>
      <c r="AA2575" s="4"/>
      <c r="AB2575" s="4"/>
      <c r="AC2575" s="4" t="s">
        <v>3352</v>
      </c>
      <c r="AD2575" s="4"/>
      <c r="AE2575" s="4"/>
      <c r="AF2575" s="4"/>
      <c r="AG2575" s="4"/>
      <c r="AH2575" s="4"/>
      <c r="AI2575" s="4"/>
      <c r="AJ2575" s="13" t="n">
        <v>1</v>
      </c>
      <c r="AK2575" s="4"/>
      <c r="AL2575" s="4"/>
      <c r="AM2575" s="4"/>
    </row>
    <row r="2576" customFormat="false" ht="23.85" hidden="false" customHeight="false" outlineLevel="0" collapsed="false">
      <c r="A2576" s="4" t="s">
        <v>3338</v>
      </c>
      <c r="B2576" s="4" t="s">
        <v>3553</v>
      </c>
      <c r="C2576" s="4" t="s">
        <v>3553</v>
      </c>
      <c r="D2576" s="12" t="n">
        <v>2022</v>
      </c>
      <c r="E2576" s="4"/>
      <c r="F2576" s="4" t="s">
        <v>1990</v>
      </c>
      <c r="G2576" s="4" t="s">
        <v>170</v>
      </c>
      <c r="H2576" s="4" t="s">
        <v>171</v>
      </c>
      <c r="I2576" s="4" t="s">
        <v>172</v>
      </c>
      <c r="J2576" s="4" t="s">
        <v>1187</v>
      </c>
      <c r="K2576" s="4" t="s">
        <v>76</v>
      </c>
      <c r="L2576" s="4"/>
      <c r="M2576" s="4"/>
      <c r="N2576" s="4" t="s">
        <v>2001</v>
      </c>
      <c r="O2576" s="4" t="s">
        <v>66</v>
      </c>
      <c r="P2576" s="4" t="s">
        <v>66</v>
      </c>
      <c r="Q2576" s="4" t="s">
        <v>2019</v>
      </c>
      <c r="R2576" s="4"/>
      <c r="S2576" s="4"/>
      <c r="T2576" s="4"/>
      <c r="U2576" s="4"/>
      <c r="V2576" s="4"/>
      <c r="W2576" s="4"/>
      <c r="X2576" s="4"/>
      <c r="Y2576" s="4"/>
      <c r="Z2576" s="4"/>
      <c r="AA2576" s="4"/>
      <c r="AB2576" s="4"/>
      <c r="AC2576" s="4"/>
      <c r="AD2576" s="4"/>
      <c r="AE2576" s="4"/>
      <c r="AF2576" s="4"/>
      <c r="AG2576" s="4"/>
      <c r="AH2576" s="4"/>
      <c r="AI2576" s="4"/>
      <c r="AJ2576" s="13" t="n">
        <v>0</v>
      </c>
      <c r="AK2576" s="4"/>
      <c r="AL2576" s="4"/>
      <c r="AM2576" s="4"/>
    </row>
    <row r="2577" customFormat="false" ht="23.85" hidden="false" customHeight="false" outlineLevel="0" collapsed="false">
      <c r="A2577" s="4" t="s">
        <v>3338</v>
      </c>
      <c r="B2577" s="4" t="s">
        <v>3554</v>
      </c>
      <c r="C2577" s="4" t="s">
        <v>3554</v>
      </c>
      <c r="D2577" s="12" t="n">
        <v>2022</v>
      </c>
      <c r="E2577" s="4"/>
      <c r="F2577" s="4" t="s">
        <v>1990</v>
      </c>
      <c r="G2577" s="4" t="s">
        <v>170</v>
      </c>
      <c r="H2577" s="4" t="s">
        <v>171</v>
      </c>
      <c r="I2577" s="4" t="s">
        <v>172</v>
      </c>
      <c r="J2577" s="4" t="s">
        <v>1187</v>
      </c>
      <c r="K2577" s="4" t="s">
        <v>76</v>
      </c>
      <c r="L2577" s="4"/>
      <c r="M2577" s="4"/>
      <c r="N2577" s="4" t="s">
        <v>1994</v>
      </c>
      <c r="O2577" s="4" t="s">
        <v>1995</v>
      </c>
      <c r="P2577" s="4" t="s">
        <v>66</v>
      </c>
      <c r="Q2577" s="4" t="s">
        <v>2019</v>
      </c>
      <c r="R2577" s="4"/>
      <c r="S2577" s="4"/>
      <c r="T2577" s="4"/>
      <c r="U2577" s="4"/>
      <c r="V2577" s="4"/>
      <c r="W2577" s="4"/>
      <c r="X2577" s="4"/>
      <c r="Y2577" s="4"/>
      <c r="Z2577" s="4"/>
      <c r="AA2577" s="4"/>
      <c r="AB2577" s="4"/>
      <c r="AC2577" s="4"/>
      <c r="AD2577" s="4"/>
      <c r="AE2577" s="4"/>
      <c r="AF2577" s="4"/>
      <c r="AG2577" s="4"/>
      <c r="AH2577" s="4"/>
      <c r="AI2577" s="4"/>
      <c r="AJ2577" s="13" t="n">
        <v>0</v>
      </c>
      <c r="AK2577" s="4"/>
      <c r="AL2577" s="4"/>
      <c r="AM2577" s="4"/>
    </row>
    <row r="2578" customFormat="false" ht="23.85" hidden="false" customHeight="false" outlineLevel="0" collapsed="false">
      <c r="A2578" s="4" t="s">
        <v>3338</v>
      </c>
      <c r="B2578" s="4" t="s">
        <v>3555</v>
      </c>
      <c r="C2578" s="4" t="s">
        <v>3555</v>
      </c>
      <c r="D2578" s="12" t="n">
        <v>2022</v>
      </c>
      <c r="E2578" s="4"/>
      <c r="F2578" s="4" t="s">
        <v>1990</v>
      </c>
      <c r="G2578" s="4" t="s">
        <v>170</v>
      </c>
      <c r="H2578" s="4" t="s">
        <v>171</v>
      </c>
      <c r="I2578" s="4" t="s">
        <v>172</v>
      </c>
      <c r="J2578" s="4" t="s">
        <v>1188</v>
      </c>
      <c r="K2578" s="4" t="s">
        <v>76</v>
      </c>
      <c r="L2578" s="4"/>
      <c r="M2578" s="4"/>
      <c r="N2578" s="4" t="s">
        <v>1994</v>
      </c>
      <c r="O2578" s="4" t="s">
        <v>2029</v>
      </c>
      <c r="P2578" s="4" t="s">
        <v>69</v>
      </c>
      <c r="Q2578" s="4" t="s">
        <v>2030</v>
      </c>
      <c r="R2578" s="4"/>
      <c r="S2578" s="4"/>
      <c r="T2578" s="4"/>
      <c r="U2578" s="4"/>
      <c r="V2578" s="4"/>
      <c r="W2578" s="4"/>
      <c r="X2578" s="4"/>
      <c r="Y2578" s="4"/>
      <c r="Z2578" s="4"/>
      <c r="AA2578" s="4"/>
      <c r="AB2578" s="4"/>
      <c r="AC2578" s="4"/>
      <c r="AD2578" s="4"/>
      <c r="AE2578" s="4"/>
      <c r="AF2578" s="4"/>
      <c r="AG2578" s="4"/>
      <c r="AH2578" s="4"/>
      <c r="AI2578" s="4"/>
      <c r="AJ2578" s="13" t="n">
        <v>0</v>
      </c>
      <c r="AK2578" s="4"/>
      <c r="AL2578" s="4"/>
      <c r="AM2578" s="4"/>
    </row>
    <row r="2579" customFormat="false" ht="23.85" hidden="false" customHeight="false" outlineLevel="0" collapsed="false">
      <c r="A2579" s="4" t="s">
        <v>3338</v>
      </c>
      <c r="B2579" s="4" t="s">
        <v>3556</v>
      </c>
      <c r="C2579" s="4" t="s">
        <v>3556</v>
      </c>
      <c r="D2579" s="12" t="n">
        <v>2022</v>
      </c>
      <c r="E2579" s="4"/>
      <c r="F2579" s="4" t="s">
        <v>1990</v>
      </c>
      <c r="G2579" s="4" t="s">
        <v>170</v>
      </c>
      <c r="H2579" s="4" t="s">
        <v>171</v>
      </c>
      <c r="I2579" s="4" t="s">
        <v>172</v>
      </c>
      <c r="J2579" s="4" t="s">
        <v>1190</v>
      </c>
      <c r="K2579" s="4" t="s">
        <v>76</v>
      </c>
      <c r="L2579" s="4"/>
      <c r="M2579" s="4"/>
      <c r="N2579" s="4" t="s">
        <v>2001</v>
      </c>
      <c r="O2579" s="4" t="s">
        <v>2034</v>
      </c>
      <c r="P2579" s="4" t="s">
        <v>74</v>
      </c>
      <c r="Q2579" s="4" t="s">
        <v>2035</v>
      </c>
      <c r="R2579" s="4"/>
      <c r="S2579" s="4"/>
      <c r="T2579" s="4"/>
      <c r="U2579" s="4"/>
      <c r="V2579" s="4"/>
      <c r="W2579" s="4"/>
      <c r="X2579" s="4"/>
      <c r="Y2579" s="4"/>
      <c r="Z2579" s="4"/>
      <c r="AA2579" s="4"/>
      <c r="AB2579" s="4"/>
      <c r="AC2579" s="4"/>
      <c r="AD2579" s="4"/>
      <c r="AE2579" s="4"/>
      <c r="AF2579" s="4"/>
      <c r="AG2579" s="4"/>
      <c r="AH2579" s="4"/>
      <c r="AI2579" s="4"/>
      <c r="AJ2579" s="13" t="n">
        <v>0</v>
      </c>
      <c r="AK2579" s="4"/>
      <c r="AL2579" s="4"/>
      <c r="AM2579" s="4"/>
    </row>
    <row r="2580" customFormat="false" ht="23.85" hidden="false" customHeight="false" outlineLevel="0" collapsed="false">
      <c r="A2580" s="4" t="s">
        <v>3338</v>
      </c>
      <c r="B2580" s="4" t="s">
        <v>3557</v>
      </c>
      <c r="C2580" s="4" t="s">
        <v>3557</v>
      </c>
      <c r="D2580" s="12" t="n">
        <v>2022</v>
      </c>
      <c r="E2580" s="4"/>
      <c r="F2580" s="4" t="s">
        <v>1990</v>
      </c>
      <c r="G2580" s="4" t="s">
        <v>170</v>
      </c>
      <c r="H2580" s="4" t="s">
        <v>171</v>
      </c>
      <c r="I2580" s="4" t="s">
        <v>172</v>
      </c>
      <c r="J2580" s="4" t="s">
        <v>1192</v>
      </c>
      <c r="K2580" s="4" t="s">
        <v>76</v>
      </c>
      <c r="L2580" s="4"/>
      <c r="M2580" s="4"/>
      <c r="N2580" s="4" t="s">
        <v>2001</v>
      </c>
      <c r="O2580" s="4" t="s">
        <v>2002</v>
      </c>
      <c r="P2580" s="4" t="s">
        <v>67</v>
      </c>
      <c r="Q2580" s="4" t="s">
        <v>2003</v>
      </c>
      <c r="R2580" s="4"/>
      <c r="S2580" s="4"/>
      <c r="T2580" s="4"/>
      <c r="U2580" s="4"/>
      <c r="V2580" s="4"/>
      <c r="W2580" s="4" t="s">
        <v>3341</v>
      </c>
      <c r="X2580" s="4" t="s">
        <v>3342</v>
      </c>
      <c r="Y2580" s="4" t="inlineStr">
        <is>
          <t>COMB_CRBN</t>
        </is>
      </c>
      <c r="Z2580" s="4"/>
      <c r="AA2580" s="4"/>
      <c r="AB2580" s="4"/>
      <c r="AC2580" s="4" t="s">
        <v>3352</v>
      </c>
      <c r="AD2580" s="4"/>
      <c r="AE2580" s="4"/>
      <c r="AF2580" s="4"/>
      <c r="AG2580" s="4"/>
      <c r="AH2580" s="4"/>
      <c r="AI2580" s="4"/>
      <c r="AJ2580" s="13" t="n">
        <v>1</v>
      </c>
      <c r="AK2580" s="4"/>
      <c r="AL2580" s="4"/>
      <c r="AM2580" s="4"/>
    </row>
    <row r="2581" customFormat="false" ht="23.85" hidden="false" customHeight="false" outlineLevel="0" collapsed="false">
      <c r="A2581" s="4" t="s">
        <v>3338</v>
      </c>
      <c r="B2581" s="4" t="s">
        <v>3558</v>
      </c>
      <c r="C2581" s="4" t="s">
        <v>3558</v>
      </c>
      <c r="D2581" s="12" t="n">
        <v>2022</v>
      </c>
      <c r="E2581" s="4"/>
      <c r="F2581" s="4" t="s">
        <v>1990</v>
      </c>
      <c r="G2581" s="4" t="s">
        <v>170</v>
      </c>
      <c r="H2581" s="4" t="s">
        <v>171</v>
      </c>
      <c r="I2581" s="4" t="s">
        <v>172</v>
      </c>
      <c r="J2581" s="4" t="s">
        <v>1193</v>
      </c>
      <c r="K2581" s="4" t="s">
        <v>76</v>
      </c>
      <c r="L2581" s="4"/>
      <c r="M2581" s="4"/>
      <c r="N2581" s="4" t="s">
        <v>2001</v>
      </c>
      <c r="O2581" s="4" t="s">
        <v>2002</v>
      </c>
      <c r="P2581" s="4" t="s">
        <v>67</v>
      </c>
      <c r="Q2581" s="4" t="s">
        <v>2008</v>
      </c>
      <c r="R2581" s="4"/>
      <c r="S2581" s="4"/>
      <c r="T2581" s="4"/>
      <c r="U2581" s="4"/>
      <c r="V2581" s="4"/>
      <c r="W2581" s="4" t="s">
        <v>3341</v>
      </c>
      <c r="X2581" s="4" t="s">
        <v>3342</v>
      </c>
      <c r="Y2581" s="4" t="inlineStr">
        <is>
          <t>COMB_CRBN</t>
        </is>
      </c>
      <c r="Z2581" s="4"/>
      <c r="AA2581" s="4"/>
      <c r="AB2581" s="4"/>
      <c r="AC2581" s="4" t="s">
        <v>3352</v>
      </c>
      <c r="AD2581" s="4"/>
      <c r="AE2581" s="4"/>
      <c r="AF2581" s="4"/>
      <c r="AG2581" s="4"/>
      <c r="AH2581" s="4"/>
      <c r="AI2581" s="4"/>
      <c r="AJ2581" s="13" t="n">
        <v>1</v>
      </c>
      <c r="AK2581" s="4"/>
      <c r="AL2581" s="4"/>
      <c r="AM2581" s="4"/>
    </row>
    <row r="2582" customFormat="false" ht="23.85" hidden="false" customHeight="false" outlineLevel="0" collapsed="false">
      <c r="A2582" s="4" t="s">
        <v>3338</v>
      </c>
      <c r="B2582" s="4" t="s">
        <v>3559</v>
      </c>
      <c r="C2582" s="4" t="s">
        <v>3559</v>
      </c>
      <c r="D2582" s="12" t="n">
        <v>2022</v>
      </c>
      <c r="E2582" s="4"/>
      <c r="F2582" s="4" t="s">
        <v>1990</v>
      </c>
      <c r="G2582" s="4" t="s">
        <v>170</v>
      </c>
      <c r="H2582" s="4" t="s">
        <v>171</v>
      </c>
      <c r="I2582" s="4" t="s">
        <v>172</v>
      </c>
      <c r="J2582" s="4" t="s">
        <v>1201</v>
      </c>
      <c r="K2582" s="4" t="s">
        <v>78</v>
      </c>
      <c r="L2582" s="4"/>
      <c r="M2582" s="4"/>
      <c r="N2582" s="4" t="s">
        <v>1994</v>
      </c>
      <c r="O2582" s="4" t="s">
        <v>65</v>
      </c>
      <c r="P2582" s="4" t="s">
        <v>64</v>
      </c>
      <c r="Q2582" s="4" t="s">
        <v>2044</v>
      </c>
      <c r="R2582" s="4"/>
      <c r="S2582" s="4"/>
      <c r="T2582" s="4"/>
      <c r="U2582" s="4"/>
      <c r="V2582" s="4"/>
      <c r="W2582" s="4"/>
      <c r="X2582" s="4"/>
      <c r="Y2582" s="4"/>
      <c r="Z2582" s="4"/>
      <c r="AA2582" s="4"/>
      <c r="AB2582" s="4"/>
      <c r="AC2582" s="4"/>
      <c r="AD2582" s="4"/>
      <c r="AE2582" s="4"/>
      <c r="AF2582" s="4"/>
      <c r="AG2582" s="4"/>
      <c r="AH2582" s="4"/>
      <c r="AI2582" s="4"/>
      <c r="AJ2582" s="13" t="n">
        <v>0</v>
      </c>
      <c r="AK2582" s="4"/>
      <c r="AL2582" s="4"/>
      <c r="AM2582" s="4"/>
    </row>
    <row r="2583" customFormat="false" ht="23.85" hidden="false" customHeight="false" outlineLevel="0" collapsed="false">
      <c r="A2583" s="4" t="s">
        <v>3338</v>
      </c>
      <c r="B2583" s="4" t="s">
        <v>3560</v>
      </c>
      <c r="C2583" s="4" t="s">
        <v>3560</v>
      </c>
      <c r="D2583" s="12" t="n">
        <v>2022</v>
      </c>
      <c r="E2583" s="4"/>
      <c r="F2583" s="4" t="s">
        <v>1990</v>
      </c>
      <c r="G2583" s="4" t="s">
        <v>170</v>
      </c>
      <c r="H2583" s="4" t="s">
        <v>171</v>
      </c>
      <c r="I2583" s="4" t="s">
        <v>172</v>
      </c>
      <c r="J2583" s="4" t="s">
        <v>1206</v>
      </c>
      <c r="K2583" s="4" t="s">
        <v>78</v>
      </c>
      <c r="L2583" s="4"/>
      <c r="M2583" s="4"/>
      <c r="N2583" s="4" t="s">
        <v>2001</v>
      </c>
      <c r="O2583" s="4" t="s">
        <v>66</v>
      </c>
      <c r="P2583" s="4" t="s">
        <v>67</v>
      </c>
      <c r="Q2583" s="4" t="s">
        <v>2003</v>
      </c>
      <c r="R2583" s="4"/>
      <c r="S2583" s="4"/>
      <c r="T2583" s="4"/>
      <c r="U2583" s="4"/>
      <c r="V2583" s="4"/>
      <c r="W2583" s="4" t="s">
        <v>3341</v>
      </c>
      <c r="X2583" s="4" t="s">
        <v>3342</v>
      </c>
      <c r="Y2583" s="4" t="s">
        <v>3362</v>
      </c>
      <c r="Z2583" s="4"/>
      <c r="AA2583" s="4"/>
      <c r="AB2583" s="4"/>
      <c r="AC2583" s="4" t="s">
        <v>3363</v>
      </c>
      <c r="AD2583" s="4"/>
      <c r="AE2583" s="4"/>
      <c r="AF2583" s="4"/>
      <c r="AG2583" s="4"/>
      <c r="AH2583" s="4"/>
      <c r="AI2583" s="4"/>
      <c r="AJ2583" s="13" t="n">
        <v>1</v>
      </c>
      <c r="AK2583" s="4"/>
      <c r="AL2583" s="4"/>
      <c r="AM2583" s="4"/>
    </row>
    <row r="2584" customFormat="false" ht="23.85" hidden="false" customHeight="false" outlineLevel="0" collapsed="false">
      <c r="A2584" s="4" t="s">
        <v>3338</v>
      </c>
      <c r="B2584" s="4" t="s">
        <v>3561</v>
      </c>
      <c r="C2584" s="4" t="s">
        <v>3561</v>
      </c>
      <c r="D2584" s="12" t="n">
        <v>2022</v>
      </c>
      <c r="E2584" s="4"/>
      <c r="F2584" s="4" t="s">
        <v>1990</v>
      </c>
      <c r="G2584" s="4" t="s">
        <v>170</v>
      </c>
      <c r="H2584" s="4" t="s">
        <v>171</v>
      </c>
      <c r="I2584" s="4" t="s">
        <v>172</v>
      </c>
      <c r="J2584" s="4" t="s">
        <v>1215</v>
      </c>
      <c r="K2584" s="4" t="s">
        <v>80</v>
      </c>
      <c r="L2584" s="4"/>
      <c r="M2584" s="4"/>
      <c r="N2584" s="4" t="s">
        <v>1994</v>
      </c>
      <c r="O2584" s="4" t="s">
        <v>65</v>
      </c>
      <c r="P2584" s="4" t="s">
        <v>64</v>
      </c>
      <c r="Q2584" s="4" t="s">
        <v>2044</v>
      </c>
      <c r="R2584" s="4"/>
      <c r="S2584" s="4"/>
      <c r="T2584" s="4"/>
      <c r="U2584" s="4"/>
      <c r="V2584" s="4"/>
      <c r="W2584" s="4"/>
      <c r="X2584" s="4"/>
      <c r="Y2584" s="4"/>
      <c r="Z2584" s="4"/>
      <c r="AA2584" s="4"/>
      <c r="AB2584" s="4"/>
      <c r="AC2584" s="4"/>
      <c r="AD2584" s="4"/>
      <c r="AE2584" s="4"/>
      <c r="AF2584" s="4"/>
      <c r="AG2584" s="4"/>
      <c r="AH2584" s="4"/>
      <c r="AI2584" s="4"/>
      <c r="AJ2584" s="13" t="n">
        <v>0</v>
      </c>
      <c r="AK2584" s="4"/>
      <c r="AL2584" s="4"/>
      <c r="AM2584" s="4"/>
    </row>
    <row r="2585" customFormat="false" ht="23.85" hidden="false" customHeight="false" outlineLevel="0" collapsed="false">
      <c r="A2585" s="4" t="s">
        <v>3338</v>
      </c>
      <c r="B2585" s="4" t="s">
        <v>3562</v>
      </c>
      <c r="C2585" s="4" t="s">
        <v>3562</v>
      </c>
      <c r="D2585" s="12" t="n">
        <v>2022</v>
      </c>
      <c r="E2585" s="4"/>
      <c r="F2585" s="4" t="s">
        <v>1990</v>
      </c>
      <c r="G2585" s="4" t="s">
        <v>170</v>
      </c>
      <c r="H2585" s="4" t="s">
        <v>171</v>
      </c>
      <c r="I2585" s="4" t="s">
        <v>172</v>
      </c>
      <c r="J2585" s="4" t="s">
        <v>1220</v>
      </c>
      <c r="K2585" s="4" t="s">
        <v>80</v>
      </c>
      <c r="L2585" s="4"/>
      <c r="M2585" s="4"/>
      <c r="N2585" s="4" t="s">
        <v>2001</v>
      </c>
      <c r="O2585" s="4" t="s">
        <v>66</v>
      </c>
      <c r="P2585" s="4" t="s">
        <v>67</v>
      </c>
      <c r="Q2585" s="4" t="s">
        <v>2003</v>
      </c>
      <c r="R2585" s="4"/>
      <c r="S2585" s="4"/>
      <c r="T2585" s="4"/>
      <c r="U2585" s="4"/>
      <c r="V2585" s="4"/>
      <c r="W2585" s="4" t="s">
        <v>3341</v>
      </c>
      <c r="X2585" s="4" t="s">
        <v>3342</v>
      </c>
      <c r="Y2585" s="4" t="s">
        <v>3362</v>
      </c>
      <c r="Z2585" s="4"/>
      <c r="AA2585" s="4"/>
      <c r="AB2585" s="4"/>
      <c r="AC2585" s="4" t="s">
        <v>3363</v>
      </c>
      <c r="AD2585" s="4"/>
      <c r="AE2585" s="4"/>
      <c r="AF2585" s="4"/>
      <c r="AG2585" s="4"/>
      <c r="AH2585" s="4"/>
      <c r="AI2585" s="4"/>
      <c r="AJ2585" s="13" t="n">
        <v>1</v>
      </c>
      <c r="AK2585" s="4"/>
      <c r="AL2585" s="4"/>
      <c r="AM2585" s="4"/>
    </row>
    <row r="2586" customFormat="false" ht="23.85" hidden="false" customHeight="false" outlineLevel="0" collapsed="false">
      <c r="A2586" s="4" t="s">
        <v>3338</v>
      </c>
      <c r="B2586" s="4" t="s">
        <v>3563</v>
      </c>
      <c r="C2586" s="4" t="s">
        <v>3563</v>
      </c>
      <c r="D2586" s="12" t="n">
        <v>2022</v>
      </c>
      <c r="E2586" s="4"/>
      <c r="F2586" s="4" t="s">
        <v>3349</v>
      </c>
      <c r="G2586" s="4" t="s">
        <v>170</v>
      </c>
      <c r="H2586" s="4" t="s">
        <v>171</v>
      </c>
      <c r="I2586" s="4" t="s">
        <v>172</v>
      </c>
      <c r="J2586" s="4" t="s">
        <v>1229</v>
      </c>
      <c r="K2586" s="4" t="s">
        <v>82</v>
      </c>
      <c r="L2586" s="4"/>
      <c r="M2586" s="4"/>
      <c r="N2586" s="4" t="s">
        <v>1994</v>
      </c>
      <c r="O2586" s="4" t="s">
        <v>65</v>
      </c>
      <c r="P2586" s="4" t="s">
        <v>64</v>
      </c>
      <c r="Q2586" s="4" t="s">
        <v>2019</v>
      </c>
      <c r="R2586" s="4"/>
      <c r="S2586" s="4"/>
      <c r="T2586" s="4"/>
      <c r="U2586" s="4"/>
      <c r="V2586" s="4"/>
      <c r="W2586" s="4" t="s">
        <v>3367</v>
      </c>
      <c r="X2586" s="4" t="s">
        <v>3368</v>
      </c>
      <c r="Y2586" s="4" t="s">
        <v>3349</v>
      </c>
      <c r="Z2586" s="4"/>
      <c r="AA2586" s="4"/>
      <c r="AB2586" s="4"/>
      <c r="AC2586" s="4" t="s">
        <v>3352</v>
      </c>
      <c r="AD2586" s="4"/>
      <c r="AE2586" s="4"/>
      <c r="AF2586" s="4"/>
      <c r="AG2586" s="4"/>
      <c r="AH2586" s="4"/>
      <c r="AI2586" s="4"/>
      <c r="AJ2586" s="13" t="n">
        <v>1</v>
      </c>
      <c r="AK2586" s="4"/>
      <c r="AL2586" s="4"/>
      <c r="AM2586" s="4"/>
    </row>
    <row r="2587" customFormat="false" ht="23.85" hidden="false" customHeight="false" outlineLevel="0" collapsed="false">
      <c r="A2587" s="4" t="s">
        <v>3338</v>
      </c>
      <c r="B2587" s="4" t="s">
        <v>3564</v>
      </c>
      <c r="C2587" s="4" t="s">
        <v>3564</v>
      </c>
      <c r="D2587" s="12" t="n">
        <v>2022</v>
      </c>
      <c r="E2587" s="4"/>
      <c r="F2587" s="4" t="s">
        <v>1990</v>
      </c>
      <c r="G2587" s="4" t="s">
        <v>170</v>
      </c>
      <c r="H2587" s="4" t="s">
        <v>171</v>
      </c>
      <c r="I2587" s="4" t="s">
        <v>172</v>
      </c>
      <c r="J2587" s="4" t="s">
        <v>1229</v>
      </c>
      <c r="K2587" s="4" t="s">
        <v>82</v>
      </c>
      <c r="L2587" s="4"/>
      <c r="M2587" s="4"/>
      <c r="N2587" s="4" t="s">
        <v>2001</v>
      </c>
      <c r="O2587" s="4" t="s">
        <v>66</v>
      </c>
      <c r="P2587" s="4" t="s">
        <v>66</v>
      </c>
      <c r="Q2587" s="4" t="s">
        <v>2019</v>
      </c>
      <c r="R2587" s="4"/>
      <c r="S2587" s="4"/>
      <c r="T2587" s="4"/>
      <c r="U2587" s="4"/>
      <c r="V2587" s="4"/>
      <c r="W2587" s="4"/>
      <c r="X2587" s="4"/>
      <c r="Y2587" s="4"/>
      <c r="Z2587" s="4"/>
      <c r="AA2587" s="4"/>
      <c r="AB2587" s="4"/>
      <c r="AC2587" s="4"/>
      <c r="AD2587" s="4"/>
      <c r="AE2587" s="4"/>
      <c r="AF2587" s="4"/>
      <c r="AG2587" s="4"/>
      <c r="AH2587" s="4"/>
      <c r="AI2587" s="4"/>
      <c r="AJ2587" s="13" t="n">
        <v>0</v>
      </c>
      <c r="AK2587" s="4"/>
      <c r="AL2587" s="4"/>
      <c r="AM2587" s="4"/>
    </row>
    <row r="2588" customFormat="false" ht="23.85" hidden="false" customHeight="false" outlineLevel="0" collapsed="false">
      <c r="A2588" s="4" t="s">
        <v>3338</v>
      </c>
      <c r="B2588" s="4" t="s">
        <v>3565</v>
      </c>
      <c r="C2588" s="4" t="s">
        <v>3565</v>
      </c>
      <c r="D2588" s="12" t="n">
        <v>2022</v>
      </c>
      <c r="E2588" s="4"/>
      <c r="F2588" s="4" t="s">
        <v>1990</v>
      </c>
      <c r="G2588" s="4" t="s">
        <v>170</v>
      </c>
      <c r="H2588" s="4" t="s">
        <v>171</v>
      </c>
      <c r="I2588" s="4" t="s">
        <v>172</v>
      </c>
      <c r="J2588" s="4" t="s">
        <v>1229</v>
      </c>
      <c r="K2588" s="4" t="s">
        <v>82</v>
      </c>
      <c r="L2588" s="4"/>
      <c r="M2588" s="4"/>
      <c r="N2588" s="4" t="s">
        <v>1994</v>
      </c>
      <c r="O2588" s="4" t="s">
        <v>1995</v>
      </c>
      <c r="P2588" s="4" t="s">
        <v>66</v>
      </c>
      <c r="Q2588" s="4" t="s">
        <v>2019</v>
      </c>
      <c r="R2588" s="4"/>
      <c r="S2588" s="4"/>
      <c r="T2588" s="4"/>
      <c r="U2588" s="4"/>
      <c r="V2588" s="4"/>
      <c r="W2588" s="4"/>
      <c r="X2588" s="4"/>
      <c r="Y2588" s="4"/>
      <c r="Z2588" s="4"/>
      <c r="AA2588" s="4"/>
      <c r="AB2588" s="4"/>
      <c r="AC2588" s="4"/>
      <c r="AD2588" s="4"/>
      <c r="AE2588" s="4"/>
      <c r="AF2588" s="4"/>
      <c r="AG2588" s="4"/>
      <c r="AH2588" s="4"/>
      <c r="AI2588" s="4"/>
      <c r="AJ2588" s="13" t="n">
        <v>0</v>
      </c>
      <c r="AK2588" s="4"/>
      <c r="AL2588" s="4"/>
      <c r="AM2588" s="4"/>
    </row>
    <row r="2589" customFormat="false" ht="23.85" hidden="false" customHeight="false" outlineLevel="0" collapsed="false">
      <c r="A2589" s="4" t="s">
        <v>3338</v>
      </c>
      <c r="B2589" s="4" t="s">
        <v>3566</v>
      </c>
      <c r="C2589" s="4" t="s">
        <v>3566</v>
      </c>
      <c r="D2589" s="12" t="n">
        <v>2022</v>
      </c>
      <c r="E2589" s="4"/>
      <c r="F2589" s="4" t="s">
        <v>1990</v>
      </c>
      <c r="G2589" s="4" t="s">
        <v>170</v>
      </c>
      <c r="H2589" s="4" t="s">
        <v>171</v>
      </c>
      <c r="I2589" s="4" t="s">
        <v>172</v>
      </c>
      <c r="J2589" s="4" t="s">
        <v>1234</v>
      </c>
      <c r="K2589" s="4" t="s">
        <v>82</v>
      </c>
      <c r="L2589" s="4"/>
      <c r="M2589" s="4"/>
      <c r="N2589" s="4" t="s">
        <v>2001</v>
      </c>
      <c r="O2589" s="4" t="s">
        <v>2002</v>
      </c>
      <c r="P2589" s="4" t="s">
        <v>67</v>
      </c>
      <c r="Q2589" s="4" t="s">
        <v>2003</v>
      </c>
      <c r="R2589" s="4"/>
      <c r="S2589" s="4"/>
      <c r="T2589" s="4"/>
      <c r="U2589" s="4"/>
      <c r="V2589" s="4"/>
      <c r="W2589" s="4" t="s">
        <v>3341</v>
      </c>
      <c r="X2589" s="4" t="s">
        <v>3342</v>
      </c>
      <c r="Y2589" s="4" t="s">
        <v>3372</v>
      </c>
      <c r="Z2589" s="4"/>
      <c r="AA2589" s="4"/>
      <c r="AB2589" s="4"/>
      <c r="AC2589" s="4" t="s">
        <v>3352</v>
      </c>
      <c r="AD2589" s="4"/>
      <c r="AE2589" s="4"/>
      <c r="AF2589" s="4"/>
      <c r="AG2589" s="4"/>
      <c r="AH2589" s="4"/>
      <c r="AI2589" s="4"/>
      <c r="AJ2589" s="13" t="n">
        <v>1</v>
      </c>
      <c r="AK2589" s="4"/>
      <c r="AL2589" s="4"/>
      <c r="AM2589" s="4"/>
    </row>
    <row r="2590" customFormat="false" ht="23.85" hidden="false" customHeight="false" outlineLevel="0" collapsed="false">
      <c r="A2590" s="4" t="s">
        <v>3338</v>
      </c>
      <c r="B2590" s="4" t="s">
        <v>3567</v>
      </c>
      <c r="C2590" s="4" t="s">
        <v>3567</v>
      </c>
      <c r="D2590" s="12" t="n">
        <v>2022</v>
      </c>
      <c r="E2590" s="4"/>
      <c r="F2590" s="4" t="s">
        <v>1990</v>
      </c>
      <c r="G2590" s="4" t="s">
        <v>170</v>
      </c>
      <c r="H2590" s="4" t="s">
        <v>171</v>
      </c>
      <c r="I2590" s="4" t="s">
        <v>172</v>
      </c>
      <c r="J2590" s="4" t="s">
        <v>1243</v>
      </c>
      <c r="K2590" s="4" t="s">
        <v>84</v>
      </c>
      <c r="L2590" s="4"/>
      <c r="M2590" s="4"/>
      <c r="N2590" s="4" t="s">
        <v>1994</v>
      </c>
      <c r="O2590" s="4" t="s">
        <v>65</v>
      </c>
      <c r="P2590" s="4" t="s">
        <v>64</v>
      </c>
      <c r="Q2590" s="4" t="s">
        <v>2044</v>
      </c>
      <c r="R2590" s="4"/>
      <c r="S2590" s="4"/>
      <c r="T2590" s="4"/>
      <c r="U2590" s="4"/>
      <c r="V2590" s="4"/>
      <c r="W2590" s="4"/>
      <c r="X2590" s="4"/>
      <c r="Y2590" s="4"/>
      <c r="Z2590" s="4"/>
      <c r="AA2590" s="4"/>
      <c r="AB2590" s="4"/>
      <c r="AC2590" s="4"/>
      <c r="AD2590" s="4"/>
      <c r="AE2590" s="4"/>
      <c r="AF2590" s="4"/>
      <c r="AG2590" s="4"/>
      <c r="AH2590" s="4"/>
      <c r="AI2590" s="4"/>
      <c r="AJ2590" s="13" t="n">
        <v>0</v>
      </c>
      <c r="AK2590" s="4"/>
      <c r="AL2590" s="4"/>
      <c r="AM2590" s="4"/>
    </row>
    <row r="2591" customFormat="false" ht="23.85" hidden="false" customHeight="false" outlineLevel="0" collapsed="false">
      <c r="A2591" s="4" t="s">
        <v>3338</v>
      </c>
      <c r="B2591" s="4" t="s">
        <v>3568</v>
      </c>
      <c r="C2591" s="4" t="s">
        <v>3568</v>
      </c>
      <c r="D2591" s="12" t="n">
        <v>2022</v>
      </c>
      <c r="E2591" s="4"/>
      <c r="F2591" s="4" t="s">
        <v>1990</v>
      </c>
      <c r="G2591" s="4" t="s">
        <v>170</v>
      </c>
      <c r="H2591" s="4" t="s">
        <v>171</v>
      </c>
      <c r="I2591" s="4" t="s">
        <v>172</v>
      </c>
      <c r="J2591" s="4" t="s">
        <v>1248</v>
      </c>
      <c r="K2591" s="4" t="s">
        <v>84</v>
      </c>
      <c r="L2591" s="4"/>
      <c r="M2591" s="4"/>
      <c r="N2591" s="4" t="s">
        <v>2001</v>
      </c>
      <c r="O2591" s="4" t="s">
        <v>66</v>
      </c>
      <c r="P2591" s="4" t="s">
        <v>67</v>
      </c>
      <c r="Q2591" s="4" t="s">
        <v>2003</v>
      </c>
      <c r="R2591" s="4"/>
      <c r="S2591" s="4"/>
      <c r="T2591" s="4"/>
      <c r="U2591" s="4"/>
      <c r="V2591" s="4"/>
      <c r="W2591" s="4" t="s">
        <v>3341</v>
      </c>
      <c r="X2591" s="4" t="s">
        <v>3342</v>
      </c>
      <c r="Y2591" s="4" t="s">
        <v>3362</v>
      </c>
      <c r="Z2591" s="4"/>
      <c r="AA2591" s="4"/>
      <c r="AB2591" s="4"/>
      <c r="AC2591" s="4" t="s">
        <v>3363</v>
      </c>
      <c r="AD2591" s="4"/>
      <c r="AE2591" s="4"/>
      <c r="AF2591" s="4"/>
      <c r="AG2591" s="4"/>
      <c r="AH2591" s="4"/>
      <c r="AI2591" s="4"/>
      <c r="AJ2591" s="13" t="n">
        <v>1</v>
      </c>
      <c r="AK2591" s="4"/>
      <c r="AL2591" s="4"/>
      <c r="AM2591" s="4"/>
    </row>
    <row r="2592" customFormat="false" ht="23.85" hidden="false" customHeight="false" outlineLevel="0" collapsed="false">
      <c r="A2592" s="4" t="s">
        <v>3338</v>
      </c>
      <c r="B2592" s="4" t="s">
        <v>3569</v>
      </c>
      <c r="C2592" s="4" t="s">
        <v>3569</v>
      </c>
      <c r="D2592" s="12" t="n">
        <v>2022</v>
      </c>
      <c r="E2592" s="4"/>
      <c r="F2592" s="4" t="s">
        <v>1990</v>
      </c>
      <c r="G2592" s="4" t="s">
        <v>170</v>
      </c>
      <c r="H2592" s="4" t="s">
        <v>171</v>
      </c>
      <c r="I2592" s="4" t="s">
        <v>172</v>
      </c>
      <c r="J2592" s="4" t="s">
        <v>1249</v>
      </c>
      <c r="K2592" s="4" t="s">
        <v>84</v>
      </c>
      <c r="L2592" s="4"/>
      <c r="M2592" s="4"/>
      <c r="N2592" s="4" t="s">
        <v>2001</v>
      </c>
      <c r="O2592" s="4" t="s">
        <v>66</v>
      </c>
      <c r="P2592" s="4" t="s">
        <v>67</v>
      </c>
      <c r="Q2592" s="4" t="s">
        <v>2008</v>
      </c>
      <c r="R2592" s="4"/>
      <c r="S2592" s="4"/>
      <c r="T2592" s="4"/>
      <c r="U2592" s="4"/>
      <c r="V2592" s="4"/>
      <c r="W2592" s="4" t="s">
        <v>3341</v>
      </c>
      <c r="X2592" s="4" t="s">
        <v>3342</v>
      </c>
      <c r="Y2592" s="4" t="s">
        <v>3362</v>
      </c>
      <c r="Z2592" s="4"/>
      <c r="AA2592" s="4"/>
      <c r="AB2592" s="4"/>
      <c r="AC2592" s="4" t="s">
        <v>3363</v>
      </c>
      <c r="AD2592" s="4"/>
      <c r="AE2592" s="4"/>
      <c r="AF2592" s="4"/>
      <c r="AG2592" s="4"/>
      <c r="AH2592" s="4"/>
      <c r="AI2592" s="4"/>
      <c r="AJ2592" s="13" t="n">
        <v>1</v>
      </c>
      <c r="AK2592" s="4"/>
      <c r="AL2592" s="4"/>
      <c r="AM2592" s="4"/>
    </row>
    <row r="2593" customFormat="false" ht="23.85" hidden="false" customHeight="false" outlineLevel="0" collapsed="false">
      <c r="A2593" s="4" t="s">
        <v>3338</v>
      </c>
      <c r="B2593" s="4" t="s">
        <v>3570</v>
      </c>
      <c r="C2593" s="4" t="s">
        <v>3570</v>
      </c>
      <c r="D2593" s="12" t="n">
        <v>2022</v>
      </c>
      <c r="E2593" s="4"/>
      <c r="F2593" s="4" t="s">
        <v>3349</v>
      </c>
      <c r="G2593" s="4" t="s">
        <v>170</v>
      </c>
      <c r="H2593" s="4" t="s">
        <v>171</v>
      </c>
      <c r="I2593" s="4" t="s">
        <v>172</v>
      </c>
      <c r="J2593" s="4" t="s">
        <v>1257</v>
      </c>
      <c r="K2593" s="4" t="s">
        <v>109</v>
      </c>
      <c r="L2593" s="4"/>
      <c r="M2593" s="4"/>
      <c r="N2593" s="4" t="s">
        <v>1994</v>
      </c>
      <c r="O2593" s="4" t="s">
        <v>1995</v>
      </c>
      <c r="P2593" s="4" t="s">
        <v>65</v>
      </c>
      <c r="Q2593" s="4" t="s">
        <v>2070</v>
      </c>
      <c r="R2593" s="4"/>
      <c r="S2593" s="4"/>
      <c r="T2593" s="4"/>
      <c r="U2593" s="4"/>
      <c r="V2593" s="4"/>
      <c r="W2593" s="4" t="s">
        <v>3377</v>
      </c>
      <c r="X2593" s="4" t="s">
        <v>3378</v>
      </c>
      <c r="Y2593" s="4" t="s">
        <v>3349</v>
      </c>
      <c r="Z2593" s="4"/>
      <c r="AA2593" s="4"/>
      <c r="AB2593" s="4"/>
      <c r="AC2593" s="4" t="s">
        <v>3344</v>
      </c>
      <c r="AD2593" s="4"/>
      <c r="AE2593" s="4"/>
      <c r="AF2593" s="4"/>
      <c r="AG2593" s="4"/>
      <c r="AH2593" s="4"/>
      <c r="AI2593" s="4"/>
      <c r="AJ2593" s="13" t="n">
        <v>1</v>
      </c>
      <c r="AK2593" s="4"/>
      <c r="AL2593" s="4"/>
      <c r="AM2593" s="4"/>
    </row>
    <row r="2594" customFormat="false" ht="23.85" hidden="false" customHeight="false" outlineLevel="0" collapsed="false">
      <c r="A2594" s="4" t="s">
        <v>3338</v>
      </c>
      <c r="B2594" s="4" t="s">
        <v>3571</v>
      </c>
      <c r="C2594" s="4" t="s">
        <v>3571</v>
      </c>
      <c r="D2594" s="12" t="n">
        <v>2022</v>
      </c>
      <c r="E2594" s="4"/>
      <c r="F2594" s="4" t="s">
        <v>1990</v>
      </c>
      <c r="G2594" s="4" t="s">
        <v>170</v>
      </c>
      <c r="H2594" s="4" t="s">
        <v>171</v>
      </c>
      <c r="I2594" s="4" t="s">
        <v>172</v>
      </c>
      <c r="J2594" s="4" t="s">
        <v>1266</v>
      </c>
      <c r="K2594" s="4" t="s">
        <v>109</v>
      </c>
      <c r="L2594" s="4"/>
      <c r="M2594" s="4"/>
      <c r="N2594" s="4" t="s">
        <v>2001</v>
      </c>
      <c r="O2594" s="4" t="s">
        <v>2074</v>
      </c>
      <c r="P2594" s="4" t="s">
        <v>73</v>
      </c>
      <c r="Q2594" s="4" t="s">
        <v>2075</v>
      </c>
      <c r="R2594" s="4"/>
      <c r="S2594" s="4"/>
      <c r="T2594" s="4"/>
      <c r="U2594" s="4"/>
      <c r="V2594" s="4"/>
      <c r="W2594" s="4" t="s">
        <v>3380</v>
      </c>
      <c r="X2594" s="4" t="s">
        <v>3381</v>
      </c>
      <c r="Y2594" s="4" t="s">
        <v>3343</v>
      </c>
      <c r="Z2594" s="4"/>
      <c r="AA2594" s="4"/>
      <c r="AB2594" s="4"/>
      <c r="AC2594" s="4" t="s">
        <v>3344</v>
      </c>
      <c r="AD2594" s="4"/>
      <c r="AE2594" s="4"/>
      <c r="AF2594" s="4"/>
      <c r="AG2594" s="4"/>
      <c r="AH2594" s="4"/>
      <c r="AI2594" s="4"/>
      <c r="AJ2594" s="13" t="n">
        <v>1</v>
      </c>
      <c r="AK2594" s="4"/>
      <c r="AL2594" s="4"/>
      <c r="AM2594" s="4"/>
    </row>
    <row r="2595" customFormat="false" ht="23.85" hidden="false" customHeight="false" outlineLevel="0" collapsed="false">
      <c r="A2595" s="4" t="s">
        <v>3338</v>
      </c>
      <c r="B2595" s="4" t="s">
        <v>3572</v>
      </c>
      <c r="C2595" s="4" t="s">
        <v>3572</v>
      </c>
      <c r="D2595" s="12" t="n">
        <v>2022</v>
      </c>
      <c r="E2595" s="4"/>
      <c r="F2595" s="4" t="s">
        <v>1990</v>
      </c>
      <c r="G2595" s="4" t="s">
        <v>170</v>
      </c>
      <c r="H2595" s="4" t="s">
        <v>171</v>
      </c>
      <c r="I2595" s="4" t="s">
        <v>172</v>
      </c>
      <c r="J2595" s="4" t="s">
        <v>1267</v>
      </c>
      <c r="K2595" s="4" t="s">
        <v>109</v>
      </c>
      <c r="L2595" s="4"/>
      <c r="M2595" s="4"/>
      <c r="N2595" s="4" t="s">
        <v>2001</v>
      </c>
      <c r="O2595" s="4" t="s">
        <v>2002</v>
      </c>
      <c r="P2595" s="4" t="s">
        <v>72</v>
      </c>
      <c r="Q2595" s="4" t="s">
        <v>2079</v>
      </c>
      <c r="R2595" s="4"/>
      <c r="S2595" s="4"/>
      <c r="T2595" s="4"/>
      <c r="U2595" s="4"/>
      <c r="V2595" s="4"/>
      <c r="W2595" s="4" t="s">
        <v>3383</v>
      </c>
      <c r="X2595" s="4" t="s">
        <v>3384</v>
      </c>
      <c r="Y2595" s="4" t="s">
        <v>3343</v>
      </c>
      <c r="Z2595" s="4"/>
      <c r="AA2595" s="4"/>
      <c r="AB2595" s="4"/>
      <c r="AC2595" s="4" t="s">
        <v>3344</v>
      </c>
      <c r="AD2595" s="4"/>
      <c r="AE2595" s="4"/>
      <c r="AF2595" s="4"/>
      <c r="AG2595" s="4"/>
      <c r="AH2595" s="4"/>
      <c r="AI2595" s="4"/>
      <c r="AJ2595" s="13" t="n">
        <v>1</v>
      </c>
      <c r="AK2595" s="4"/>
      <c r="AL2595" s="4"/>
      <c r="AM2595" s="4"/>
    </row>
    <row r="2596" customFormat="false" ht="23.85" hidden="false" customHeight="false" outlineLevel="0" collapsed="false">
      <c r="A2596" s="4" t="s">
        <v>3338</v>
      </c>
      <c r="B2596" s="4" t="s">
        <v>3573</v>
      </c>
      <c r="C2596" s="4" t="s">
        <v>3573</v>
      </c>
      <c r="D2596" s="12" t="n">
        <v>2022</v>
      </c>
      <c r="E2596" s="4"/>
      <c r="F2596" s="4" t="s">
        <v>1990</v>
      </c>
      <c r="G2596" s="4" t="s">
        <v>170</v>
      </c>
      <c r="H2596" s="4" t="s">
        <v>171</v>
      </c>
      <c r="I2596" s="4" t="s">
        <v>172</v>
      </c>
      <c r="J2596" s="4" t="s">
        <v>1271</v>
      </c>
      <c r="K2596" s="4" t="s">
        <v>86</v>
      </c>
      <c r="L2596" s="4"/>
      <c r="M2596" s="4"/>
      <c r="N2596" s="4" t="s">
        <v>1994</v>
      </c>
      <c r="O2596" s="4" t="s">
        <v>65</v>
      </c>
      <c r="P2596" s="4" t="s">
        <v>64</v>
      </c>
      <c r="Q2596" s="4" t="s">
        <v>2019</v>
      </c>
      <c r="R2596" s="4"/>
      <c r="S2596" s="4"/>
      <c r="T2596" s="4"/>
      <c r="U2596" s="4"/>
      <c r="V2596" s="4"/>
      <c r="W2596" s="4" t="s">
        <v>3386</v>
      </c>
      <c r="X2596" s="4" t="s">
        <v>3387</v>
      </c>
      <c r="Y2596" s="4" t="s">
        <v>3388</v>
      </c>
      <c r="Z2596" s="4"/>
      <c r="AA2596" s="4"/>
      <c r="AB2596" s="4"/>
      <c r="AC2596" s="4" t="s">
        <v>3352</v>
      </c>
      <c r="AD2596" s="4"/>
      <c r="AE2596" s="4"/>
      <c r="AF2596" s="4"/>
      <c r="AG2596" s="4"/>
      <c r="AH2596" s="4"/>
      <c r="AI2596" s="4"/>
      <c r="AJ2596" s="13" t="n">
        <v>1</v>
      </c>
      <c r="AK2596" s="4"/>
      <c r="AL2596" s="4"/>
      <c r="AM2596" s="4"/>
    </row>
    <row r="2597" customFormat="false" ht="23.85" hidden="false" customHeight="false" outlineLevel="0" collapsed="false">
      <c r="A2597" s="4" t="s">
        <v>3338</v>
      </c>
      <c r="B2597" s="4" t="s">
        <v>3574</v>
      </c>
      <c r="C2597" s="4" t="s">
        <v>3574</v>
      </c>
      <c r="D2597" s="12" t="n">
        <v>2022</v>
      </c>
      <c r="E2597" s="4"/>
      <c r="F2597" s="4" t="s">
        <v>1990</v>
      </c>
      <c r="G2597" s="4" t="s">
        <v>170</v>
      </c>
      <c r="H2597" s="4" t="s">
        <v>171</v>
      </c>
      <c r="I2597" s="4" t="s">
        <v>172</v>
      </c>
      <c r="J2597" s="4" t="s">
        <v>1271</v>
      </c>
      <c r="K2597" s="4" t="s">
        <v>86</v>
      </c>
      <c r="L2597" s="4"/>
      <c r="M2597" s="4"/>
      <c r="N2597" s="4" t="s">
        <v>2001</v>
      </c>
      <c r="O2597" s="4" t="s">
        <v>66</v>
      </c>
      <c r="P2597" s="4" t="s">
        <v>66</v>
      </c>
      <c r="Q2597" s="4" t="s">
        <v>2019</v>
      </c>
      <c r="R2597" s="4"/>
      <c r="S2597" s="4"/>
      <c r="T2597" s="4"/>
      <c r="U2597" s="4"/>
      <c r="V2597" s="4"/>
      <c r="W2597" s="4"/>
      <c r="X2597" s="4"/>
      <c r="Y2597" s="4"/>
      <c r="Z2597" s="4"/>
      <c r="AA2597" s="4"/>
      <c r="AB2597" s="4"/>
      <c r="AC2597" s="4"/>
      <c r="AD2597" s="4"/>
      <c r="AE2597" s="4"/>
      <c r="AF2597" s="4"/>
      <c r="AG2597" s="4"/>
      <c r="AH2597" s="4"/>
      <c r="AI2597" s="4"/>
      <c r="AJ2597" s="13" t="n">
        <v>0</v>
      </c>
      <c r="AK2597" s="4"/>
      <c r="AL2597" s="4"/>
      <c r="AM2597" s="4"/>
    </row>
    <row r="2598" customFormat="false" ht="23.85" hidden="false" customHeight="false" outlineLevel="0" collapsed="false">
      <c r="A2598" s="4" t="s">
        <v>3338</v>
      </c>
      <c r="B2598" s="4" t="s">
        <v>3575</v>
      </c>
      <c r="C2598" s="4" t="s">
        <v>3575</v>
      </c>
      <c r="D2598" s="12" t="n">
        <v>2022</v>
      </c>
      <c r="E2598" s="4"/>
      <c r="F2598" s="4" t="s">
        <v>1990</v>
      </c>
      <c r="G2598" s="4" t="s">
        <v>170</v>
      </c>
      <c r="H2598" s="4" t="s">
        <v>171</v>
      </c>
      <c r="I2598" s="4" t="s">
        <v>172</v>
      </c>
      <c r="J2598" s="4" t="s">
        <v>1271</v>
      </c>
      <c r="K2598" s="4" t="s">
        <v>86</v>
      </c>
      <c r="L2598" s="4"/>
      <c r="M2598" s="4"/>
      <c r="N2598" s="4" t="s">
        <v>1994</v>
      </c>
      <c r="O2598" s="4" t="s">
        <v>1995</v>
      </c>
      <c r="P2598" s="4" t="s">
        <v>66</v>
      </c>
      <c r="Q2598" s="4" t="s">
        <v>2019</v>
      </c>
      <c r="R2598" s="4"/>
      <c r="S2598" s="4"/>
      <c r="T2598" s="4"/>
      <c r="U2598" s="4"/>
      <c r="V2598" s="4"/>
      <c r="W2598" s="4"/>
      <c r="X2598" s="4"/>
      <c r="Y2598" s="4"/>
      <c r="Z2598" s="4"/>
      <c r="AA2598" s="4"/>
      <c r="AB2598" s="4"/>
      <c r="AC2598" s="4"/>
      <c r="AD2598" s="4"/>
      <c r="AE2598" s="4"/>
      <c r="AF2598" s="4"/>
      <c r="AG2598" s="4"/>
      <c r="AH2598" s="4"/>
      <c r="AI2598" s="4"/>
      <c r="AJ2598" s="13" t="n">
        <v>0</v>
      </c>
      <c r="AK2598" s="4"/>
      <c r="AL2598" s="4"/>
      <c r="AM2598" s="4"/>
    </row>
    <row r="2599" customFormat="false" ht="23.85" hidden="false" customHeight="false" outlineLevel="0" collapsed="false">
      <c r="A2599" s="4" t="s">
        <v>3338</v>
      </c>
      <c r="B2599" s="4" t="s">
        <v>3576</v>
      </c>
      <c r="C2599" s="4" t="s">
        <v>3576</v>
      </c>
      <c r="D2599" s="12" t="n">
        <v>2022</v>
      </c>
      <c r="E2599" s="4"/>
      <c r="F2599" s="4" t="s">
        <v>1990</v>
      </c>
      <c r="G2599" s="4" t="s">
        <v>170</v>
      </c>
      <c r="H2599" s="4" t="s">
        <v>171</v>
      </c>
      <c r="I2599" s="4" t="s">
        <v>172</v>
      </c>
      <c r="J2599" s="4" t="s">
        <v>1272</v>
      </c>
      <c r="K2599" s="4" t="s">
        <v>86</v>
      </c>
      <c r="L2599" s="4"/>
      <c r="M2599" s="4"/>
      <c r="N2599" s="4" t="s">
        <v>1994</v>
      </c>
      <c r="O2599" s="4" t="s">
        <v>2029</v>
      </c>
      <c r="P2599" s="4" t="s">
        <v>69</v>
      </c>
      <c r="Q2599" s="4" t="s">
        <v>2030</v>
      </c>
      <c r="R2599" s="4"/>
      <c r="S2599" s="4"/>
      <c r="T2599" s="4"/>
      <c r="U2599" s="4"/>
      <c r="V2599" s="4"/>
      <c r="W2599" s="4"/>
      <c r="X2599" s="4"/>
      <c r="Y2599" s="4"/>
      <c r="Z2599" s="4"/>
      <c r="AA2599" s="4"/>
      <c r="AB2599" s="4"/>
      <c r="AC2599" s="4"/>
      <c r="AD2599" s="4"/>
      <c r="AE2599" s="4"/>
      <c r="AF2599" s="4"/>
      <c r="AG2599" s="4"/>
      <c r="AH2599" s="4"/>
      <c r="AI2599" s="4"/>
      <c r="AJ2599" s="13" t="n">
        <v>0</v>
      </c>
      <c r="AK2599" s="4"/>
      <c r="AL2599" s="4"/>
      <c r="AM2599" s="4"/>
    </row>
    <row r="2600" customFormat="false" ht="23.85" hidden="false" customHeight="false" outlineLevel="0" collapsed="false">
      <c r="A2600" s="4" t="s">
        <v>3338</v>
      </c>
      <c r="B2600" s="4" t="s">
        <v>3577</v>
      </c>
      <c r="C2600" s="4" t="s">
        <v>3577</v>
      </c>
      <c r="D2600" s="12" t="n">
        <v>2022</v>
      </c>
      <c r="E2600" s="4"/>
      <c r="F2600" s="4" t="s">
        <v>1990</v>
      </c>
      <c r="G2600" s="4" t="s">
        <v>170</v>
      </c>
      <c r="H2600" s="4" t="s">
        <v>171</v>
      </c>
      <c r="I2600" s="4" t="s">
        <v>172</v>
      </c>
      <c r="J2600" s="4" t="s">
        <v>1273</v>
      </c>
      <c r="K2600" s="4" t="s">
        <v>86</v>
      </c>
      <c r="L2600" s="4"/>
      <c r="M2600" s="4"/>
      <c r="N2600" s="4" t="s">
        <v>2001</v>
      </c>
      <c r="O2600" s="4" t="s">
        <v>2091</v>
      </c>
      <c r="P2600" s="4" t="s">
        <v>69</v>
      </c>
      <c r="Q2600" s="4" t="s">
        <v>2030</v>
      </c>
      <c r="R2600" s="4"/>
      <c r="S2600" s="4"/>
      <c r="T2600" s="4"/>
      <c r="U2600" s="4"/>
      <c r="V2600" s="4"/>
      <c r="W2600" s="4"/>
      <c r="X2600" s="4"/>
      <c r="Y2600" s="4"/>
      <c r="Z2600" s="4"/>
      <c r="AA2600" s="4"/>
      <c r="AB2600" s="4"/>
      <c r="AC2600" s="4"/>
      <c r="AD2600" s="4"/>
      <c r="AE2600" s="4"/>
      <c r="AF2600" s="4"/>
      <c r="AG2600" s="4"/>
      <c r="AH2600" s="4"/>
      <c r="AI2600" s="4"/>
      <c r="AJ2600" s="13" t="n">
        <v>0</v>
      </c>
      <c r="AK2600" s="4"/>
      <c r="AL2600" s="4"/>
      <c r="AM2600" s="4"/>
    </row>
    <row r="2601" customFormat="false" ht="23.85" hidden="false" customHeight="false" outlineLevel="0" collapsed="false">
      <c r="A2601" s="4" t="s">
        <v>3338</v>
      </c>
      <c r="B2601" s="4" t="s">
        <v>3578</v>
      </c>
      <c r="C2601" s="4" t="s">
        <v>3578</v>
      </c>
      <c r="D2601" s="12" t="n">
        <v>2022</v>
      </c>
      <c r="E2601" s="4"/>
      <c r="F2601" s="4" t="s">
        <v>1990</v>
      </c>
      <c r="G2601" s="4" t="s">
        <v>170</v>
      </c>
      <c r="H2601" s="4" t="s">
        <v>171</v>
      </c>
      <c r="I2601" s="4" t="s">
        <v>172</v>
      </c>
      <c r="J2601" s="4" t="s">
        <v>1274</v>
      </c>
      <c r="K2601" s="4" t="s">
        <v>86</v>
      </c>
      <c r="L2601" s="4"/>
      <c r="M2601" s="4"/>
      <c r="N2601" s="4" t="s">
        <v>2001</v>
      </c>
      <c r="O2601" s="4" t="s">
        <v>2034</v>
      </c>
      <c r="P2601" s="4" t="s">
        <v>74</v>
      </c>
      <c r="Q2601" s="4" t="s">
        <v>2035</v>
      </c>
      <c r="R2601" s="4"/>
      <c r="S2601" s="4"/>
      <c r="T2601" s="4"/>
      <c r="U2601" s="4"/>
      <c r="V2601" s="4"/>
      <c r="W2601" s="4"/>
      <c r="X2601" s="4"/>
      <c r="Y2601" s="4"/>
      <c r="Z2601" s="4"/>
      <c r="AA2601" s="4"/>
      <c r="AB2601" s="4"/>
      <c r="AC2601" s="4"/>
      <c r="AD2601" s="4"/>
      <c r="AE2601" s="4"/>
      <c r="AF2601" s="4"/>
      <c r="AG2601" s="4"/>
      <c r="AH2601" s="4"/>
      <c r="AI2601" s="4"/>
      <c r="AJ2601" s="13" t="n">
        <v>0</v>
      </c>
      <c r="AK2601" s="4"/>
      <c r="AL2601" s="4"/>
      <c r="AM2601" s="4"/>
    </row>
    <row r="2602" customFormat="false" ht="23.85" hidden="false" customHeight="false" outlineLevel="0" collapsed="false">
      <c r="A2602" s="4" t="s">
        <v>3338</v>
      </c>
      <c r="B2602" s="4" t="s">
        <v>3579</v>
      </c>
      <c r="C2602" s="4" t="s">
        <v>3579</v>
      </c>
      <c r="D2602" s="12" t="n">
        <v>2022</v>
      </c>
      <c r="E2602" s="4"/>
      <c r="F2602" s="4" t="s">
        <v>1990</v>
      </c>
      <c r="G2602" s="4" t="s">
        <v>170</v>
      </c>
      <c r="H2602" s="4" t="s">
        <v>171</v>
      </c>
      <c r="I2602" s="4" t="s">
        <v>172</v>
      </c>
      <c r="J2602" s="4" t="s">
        <v>1275</v>
      </c>
      <c r="K2602" s="4" t="s">
        <v>86</v>
      </c>
      <c r="L2602" s="4"/>
      <c r="M2602" s="4"/>
      <c r="N2602" s="4" t="s">
        <v>2001</v>
      </c>
      <c r="O2602" s="4" t="s">
        <v>2002</v>
      </c>
      <c r="P2602" s="4" t="s">
        <v>67</v>
      </c>
      <c r="Q2602" s="4" t="s">
        <v>2097</v>
      </c>
      <c r="R2602" s="4"/>
      <c r="S2602" s="4"/>
      <c r="T2602" s="4"/>
      <c r="U2602" s="4"/>
      <c r="V2602" s="4"/>
      <c r="W2602" s="4" t="s">
        <v>3395</v>
      </c>
      <c r="X2602" s="4" t="s">
        <v>3396</v>
      </c>
      <c r="Y2602" s="4" t="s">
        <v>3397</v>
      </c>
      <c r="Z2602" s="4"/>
      <c r="AA2602" s="4"/>
      <c r="AB2602" s="4"/>
      <c r="AC2602" s="4" t="s">
        <v>3352</v>
      </c>
      <c r="AD2602" s="4"/>
      <c r="AE2602" s="4"/>
      <c r="AF2602" s="4"/>
      <c r="AG2602" s="4"/>
      <c r="AH2602" s="4"/>
      <c r="AI2602" s="4"/>
      <c r="AJ2602" s="13" t="n">
        <v>1</v>
      </c>
      <c r="AK2602" s="4"/>
      <c r="AL2602" s="4"/>
      <c r="AM2602" s="4"/>
    </row>
    <row r="2603" customFormat="false" ht="23.85" hidden="false" customHeight="false" outlineLevel="0" collapsed="false">
      <c r="A2603" s="4" t="s">
        <v>3338</v>
      </c>
      <c r="B2603" s="4" t="s">
        <v>3580</v>
      </c>
      <c r="C2603" s="4" t="s">
        <v>3580</v>
      </c>
      <c r="D2603" s="12" t="n">
        <v>2022</v>
      </c>
      <c r="E2603" s="4"/>
      <c r="F2603" s="4" t="s">
        <v>1990</v>
      </c>
      <c r="G2603" s="4" t="s">
        <v>170</v>
      </c>
      <c r="H2603" s="4" t="s">
        <v>171</v>
      </c>
      <c r="I2603" s="4" t="s">
        <v>172</v>
      </c>
      <c r="J2603" s="4" t="s">
        <v>1285</v>
      </c>
      <c r="K2603" s="4" t="s">
        <v>88</v>
      </c>
      <c r="L2603" s="4"/>
      <c r="M2603" s="4"/>
      <c r="N2603" s="4" t="s">
        <v>1994</v>
      </c>
      <c r="O2603" s="4" t="s">
        <v>65</v>
      </c>
      <c r="P2603" s="4" t="s">
        <v>64</v>
      </c>
      <c r="Q2603" s="4" t="s">
        <v>2044</v>
      </c>
      <c r="R2603" s="4"/>
      <c r="S2603" s="4"/>
      <c r="T2603" s="4"/>
      <c r="U2603" s="4"/>
      <c r="V2603" s="4"/>
      <c r="W2603" s="4"/>
      <c r="X2603" s="4"/>
      <c r="Y2603" s="4"/>
      <c r="Z2603" s="4"/>
      <c r="AA2603" s="4"/>
      <c r="AB2603" s="4"/>
      <c r="AC2603" s="4"/>
      <c r="AD2603" s="4"/>
      <c r="AE2603" s="4"/>
      <c r="AF2603" s="4"/>
      <c r="AG2603" s="4"/>
      <c r="AH2603" s="4"/>
      <c r="AI2603" s="4"/>
      <c r="AJ2603" s="13" t="n">
        <v>0</v>
      </c>
      <c r="AK2603" s="4"/>
      <c r="AL2603" s="4"/>
      <c r="AM2603" s="4"/>
    </row>
    <row r="2604" customFormat="false" ht="23.85" hidden="false" customHeight="false" outlineLevel="0" collapsed="false">
      <c r="A2604" s="4" t="s">
        <v>3338</v>
      </c>
      <c r="B2604" s="4" t="s">
        <v>3581</v>
      </c>
      <c r="C2604" s="4" t="s">
        <v>3581</v>
      </c>
      <c r="D2604" s="12" t="n">
        <v>2022</v>
      </c>
      <c r="E2604" s="4"/>
      <c r="F2604" s="4" t="s">
        <v>1990</v>
      </c>
      <c r="G2604" s="4" t="s">
        <v>170</v>
      </c>
      <c r="H2604" s="4" t="s">
        <v>171</v>
      </c>
      <c r="I2604" s="4" t="s">
        <v>172</v>
      </c>
      <c r="J2604" s="4" t="s">
        <v>1290</v>
      </c>
      <c r="K2604" s="4" t="s">
        <v>88</v>
      </c>
      <c r="L2604" s="4"/>
      <c r="M2604" s="4"/>
      <c r="N2604" s="4" t="s">
        <v>2001</v>
      </c>
      <c r="O2604" s="4" t="s">
        <v>66</v>
      </c>
      <c r="P2604" s="4" t="s">
        <v>67</v>
      </c>
      <c r="Q2604" s="4" t="s">
        <v>2003</v>
      </c>
      <c r="R2604" s="4"/>
      <c r="S2604" s="4"/>
      <c r="T2604" s="4"/>
      <c r="U2604" s="4"/>
      <c r="V2604" s="4"/>
      <c r="W2604" s="4" t="s">
        <v>3341</v>
      </c>
      <c r="X2604" s="4" t="s">
        <v>3342</v>
      </c>
      <c r="Y2604" s="4" t="s">
        <v>3362</v>
      </c>
      <c r="Z2604" s="4"/>
      <c r="AA2604" s="4"/>
      <c r="AB2604" s="4"/>
      <c r="AC2604" s="4" t="s">
        <v>3363</v>
      </c>
      <c r="AD2604" s="4"/>
      <c r="AE2604" s="4"/>
      <c r="AF2604" s="4"/>
      <c r="AG2604" s="4"/>
      <c r="AH2604" s="4"/>
      <c r="AI2604" s="4"/>
      <c r="AJ2604" s="13" t="n">
        <v>1</v>
      </c>
      <c r="AK2604" s="4"/>
      <c r="AL2604" s="4"/>
      <c r="AM2604" s="4"/>
    </row>
    <row r="2605" customFormat="false" ht="23.85" hidden="false" customHeight="false" outlineLevel="0" collapsed="false">
      <c r="A2605" s="4" t="s">
        <v>3338</v>
      </c>
      <c r="B2605" s="4" t="s">
        <v>3582</v>
      </c>
      <c r="C2605" s="4" t="s">
        <v>3582</v>
      </c>
      <c r="D2605" s="12" t="n">
        <v>2022</v>
      </c>
      <c r="E2605" s="4"/>
      <c r="F2605" s="4" t="s">
        <v>1990</v>
      </c>
      <c r="G2605" s="4" t="s">
        <v>170</v>
      </c>
      <c r="H2605" s="4" t="s">
        <v>171</v>
      </c>
      <c r="I2605" s="4" t="s">
        <v>172</v>
      </c>
      <c r="J2605" s="4" t="s">
        <v>1300</v>
      </c>
      <c r="K2605" s="4" t="s">
        <v>95</v>
      </c>
      <c r="L2605" s="4"/>
      <c r="M2605" s="4"/>
      <c r="N2605" s="4" t="s">
        <v>1994</v>
      </c>
      <c r="O2605" s="4" t="s">
        <v>2029</v>
      </c>
      <c r="P2605" s="4" t="s">
        <v>69</v>
      </c>
      <c r="Q2605" s="4" t="s">
        <v>2030</v>
      </c>
      <c r="R2605" s="4"/>
      <c r="S2605" s="4"/>
      <c r="T2605" s="4"/>
      <c r="U2605" s="4"/>
      <c r="V2605" s="4"/>
      <c r="W2605" s="4"/>
      <c r="X2605" s="4"/>
      <c r="Y2605" s="4"/>
      <c r="Z2605" s="4"/>
      <c r="AA2605" s="4"/>
      <c r="AB2605" s="4"/>
      <c r="AC2605" s="4"/>
      <c r="AD2605" s="4"/>
      <c r="AE2605" s="4"/>
      <c r="AF2605" s="4"/>
      <c r="AG2605" s="4"/>
      <c r="AH2605" s="4"/>
      <c r="AI2605" s="4"/>
      <c r="AJ2605" s="13" t="n">
        <v>0</v>
      </c>
      <c r="AK2605" s="4"/>
      <c r="AL2605" s="4"/>
      <c r="AM2605" s="4"/>
    </row>
    <row r="2606" customFormat="false" ht="23.85" hidden="false" customHeight="false" outlineLevel="0" collapsed="false">
      <c r="A2606" s="4" t="s">
        <v>3338</v>
      </c>
      <c r="B2606" s="4" t="s">
        <v>3583</v>
      </c>
      <c r="C2606" s="4" t="s">
        <v>3583</v>
      </c>
      <c r="D2606" s="12" t="n">
        <v>2022</v>
      </c>
      <c r="E2606" s="4"/>
      <c r="F2606" s="4" t="s">
        <v>1990</v>
      </c>
      <c r="G2606" s="4" t="s">
        <v>170</v>
      </c>
      <c r="H2606" s="4" t="s">
        <v>171</v>
      </c>
      <c r="I2606" s="4" t="s">
        <v>172</v>
      </c>
      <c r="J2606" s="4" t="s">
        <v>1302</v>
      </c>
      <c r="K2606" s="4" t="s">
        <v>95</v>
      </c>
      <c r="L2606" s="4"/>
      <c r="M2606" s="4"/>
      <c r="N2606" s="4" t="s">
        <v>2001</v>
      </c>
      <c r="O2606" s="4" t="s">
        <v>2034</v>
      </c>
      <c r="P2606" s="4" t="s">
        <v>74</v>
      </c>
      <c r="Q2606" s="4" t="s">
        <v>2035</v>
      </c>
      <c r="R2606" s="4"/>
      <c r="S2606" s="4"/>
      <c r="T2606" s="4"/>
      <c r="U2606" s="4"/>
      <c r="V2606" s="4"/>
      <c r="W2606" s="4"/>
      <c r="X2606" s="4"/>
      <c r="Y2606" s="4"/>
      <c r="Z2606" s="4"/>
      <c r="AA2606" s="4"/>
      <c r="AB2606" s="4"/>
      <c r="AC2606" s="4"/>
      <c r="AD2606" s="4"/>
      <c r="AE2606" s="4"/>
      <c r="AF2606" s="4"/>
      <c r="AG2606" s="4"/>
      <c r="AH2606" s="4"/>
      <c r="AI2606" s="4"/>
      <c r="AJ2606" s="13" t="n">
        <v>0</v>
      </c>
      <c r="AK2606" s="4"/>
      <c r="AL2606" s="4"/>
      <c r="AM2606" s="4"/>
    </row>
    <row r="2607" customFormat="false" ht="23.85" hidden="false" customHeight="false" outlineLevel="0" collapsed="false">
      <c r="A2607" s="4" t="s">
        <v>3338</v>
      </c>
      <c r="B2607" s="4" t="s">
        <v>3584</v>
      </c>
      <c r="C2607" s="4" t="s">
        <v>3584</v>
      </c>
      <c r="D2607" s="12" t="n">
        <v>2022</v>
      </c>
      <c r="E2607" s="4"/>
      <c r="F2607" s="4" t="s">
        <v>1990</v>
      </c>
      <c r="G2607" s="4" t="s">
        <v>170</v>
      </c>
      <c r="H2607" s="4" t="s">
        <v>171</v>
      </c>
      <c r="I2607" s="4" t="s">
        <v>172</v>
      </c>
      <c r="J2607" s="4" t="s">
        <v>1310</v>
      </c>
      <c r="K2607" s="4" t="s">
        <v>95</v>
      </c>
      <c r="L2607" s="4"/>
      <c r="M2607" s="4"/>
      <c r="N2607" s="4" t="s">
        <v>2001</v>
      </c>
      <c r="O2607" s="4" t="s">
        <v>2002</v>
      </c>
      <c r="P2607" s="4" t="s">
        <v>68</v>
      </c>
      <c r="Q2607" s="4" t="s">
        <v>2111</v>
      </c>
      <c r="R2607" s="4"/>
      <c r="S2607" s="4"/>
      <c r="T2607" s="4"/>
      <c r="U2607" s="4"/>
      <c r="V2607" s="4"/>
      <c r="W2607" s="4" t="s">
        <v>3404</v>
      </c>
      <c r="X2607" s="4" t="s">
        <v>3405</v>
      </c>
      <c r="Y2607" s="4" t="inlineStr">
        <is>
          <t>COMB_COQUE</t>
        </is>
      </c>
      <c r="Z2607" s="4"/>
      <c r="AA2607" s="4"/>
      <c r="AB2607" s="4"/>
      <c r="AC2607" s="4" t="s">
        <v>3352</v>
      </c>
      <c r="AD2607" s="4"/>
      <c r="AE2607" s="4"/>
      <c r="AF2607" s="4"/>
      <c r="AG2607" s="4"/>
      <c r="AH2607" s="4"/>
      <c r="AI2607" s="4"/>
      <c r="AJ2607" s="13" t="n">
        <v>1</v>
      </c>
      <c r="AK2607" s="4"/>
      <c r="AL2607" s="4"/>
      <c r="AM2607" s="4"/>
    </row>
    <row r="2608" customFormat="false" ht="23.85" hidden="false" customHeight="false" outlineLevel="0" collapsed="false">
      <c r="A2608" s="4" t="s">
        <v>3338</v>
      </c>
      <c r="B2608" s="4" t="s">
        <v>3585</v>
      </c>
      <c r="C2608" s="4" t="s">
        <v>3585</v>
      </c>
      <c r="D2608" s="12" t="n">
        <v>2022</v>
      </c>
      <c r="E2608" s="4"/>
      <c r="F2608" s="4" t="s">
        <v>1990</v>
      </c>
      <c r="G2608" s="4" t="s">
        <v>170</v>
      </c>
      <c r="H2608" s="4" t="s">
        <v>171</v>
      </c>
      <c r="I2608" s="4" t="s">
        <v>172</v>
      </c>
      <c r="J2608" s="4" t="s">
        <v>1314</v>
      </c>
      <c r="K2608" s="4" t="s">
        <v>97</v>
      </c>
      <c r="L2608" s="4"/>
      <c r="M2608" s="4"/>
      <c r="N2608" s="4" t="s">
        <v>1994</v>
      </c>
      <c r="O2608" s="4" t="s">
        <v>2029</v>
      </c>
      <c r="P2608" s="4" t="s">
        <v>69</v>
      </c>
      <c r="Q2608" s="4" t="s">
        <v>2030</v>
      </c>
      <c r="R2608" s="4"/>
      <c r="S2608" s="4"/>
      <c r="T2608" s="4"/>
      <c r="U2608" s="4"/>
      <c r="V2608" s="4"/>
      <c r="W2608" s="4"/>
      <c r="X2608" s="4"/>
      <c r="Y2608" s="4"/>
      <c r="Z2608" s="4"/>
      <c r="AA2608" s="4"/>
      <c r="AB2608" s="4"/>
      <c r="AC2608" s="4"/>
      <c r="AD2608" s="4"/>
      <c r="AE2608" s="4"/>
      <c r="AF2608" s="4"/>
      <c r="AG2608" s="4"/>
      <c r="AH2608" s="4"/>
      <c r="AI2608" s="4"/>
      <c r="AJ2608" s="13" t="n">
        <v>0</v>
      </c>
      <c r="AK2608" s="4"/>
      <c r="AL2608" s="4"/>
      <c r="AM2608" s="4"/>
    </row>
    <row r="2609" customFormat="false" ht="23.85" hidden="false" customHeight="false" outlineLevel="0" collapsed="false">
      <c r="A2609" s="4" t="s">
        <v>3338</v>
      </c>
      <c r="B2609" s="4" t="s">
        <v>3586</v>
      </c>
      <c r="C2609" s="4" t="s">
        <v>3586</v>
      </c>
      <c r="D2609" s="12" t="n">
        <v>2022</v>
      </c>
      <c r="E2609" s="4"/>
      <c r="F2609" s="4" t="s">
        <v>1990</v>
      </c>
      <c r="G2609" s="4" t="s">
        <v>170</v>
      </c>
      <c r="H2609" s="4" t="s">
        <v>171</v>
      </c>
      <c r="I2609" s="4" t="s">
        <v>172</v>
      </c>
      <c r="J2609" s="4" t="s">
        <v>1315</v>
      </c>
      <c r="K2609" s="4" t="s">
        <v>97</v>
      </c>
      <c r="L2609" s="4"/>
      <c r="M2609" s="4"/>
      <c r="N2609" s="4" t="s">
        <v>2001</v>
      </c>
      <c r="O2609" s="4" t="s">
        <v>2091</v>
      </c>
      <c r="P2609" s="4" t="s">
        <v>69</v>
      </c>
      <c r="Q2609" s="4" t="s">
        <v>2030</v>
      </c>
      <c r="R2609" s="4"/>
      <c r="S2609" s="4"/>
      <c r="T2609" s="4"/>
      <c r="U2609" s="4"/>
      <c r="V2609" s="4"/>
      <c r="W2609" s="4"/>
      <c r="X2609" s="4"/>
      <c r="Y2609" s="4"/>
      <c r="Z2609" s="4"/>
      <c r="AA2609" s="4"/>
      <c r="AB2609" s="4"/>
      <c r="AC2609" s="4"/>
      <c r="AD2609" s="4"/>
      <c r="AE2609" s="4"/>
      <c r="AF2609" s="4"/>
      <c r="AG2609" s="4"/>
      <c r="AH2609" s="4"/>
      <c r="AI2609" s="4"/>
      <c r="AJ2609" s="13" t="n">
        <v>0</v>
      </c>
      <c r="AK2609" s="4"/>
      <c r="AL2609" s="4"/>
      <c r="AM2609" s="4"/>
    </row>
    <row r="2610" customFormat="false" ht="23.85" hidden="false" customHeight="false" outlineLevel="0" collapsed="false">
      <c r="A2610" s="4" t="s">
        <v>3338</v>
      </c>
      <c r="B2610" s="4" t="s">
        <v>3587</v>
      </c>
      <c r="C2610" s="4" t="s">
        <v>3587</v>
      </c>
      <c r="D2610" s="12" t="n">
        <v>2022</v>
      </c>
      <c r="E2610" s="4"/>
      <c r="F2610" s="4" t="s">
        <v>1990</v>
      </c>
      <c r="G2610" s="4" t="s">
        <v>170</v>
      </c>
      <c r="H2610" s="4" t="s">
        <v>171</v>
      </c>
      <c r="I2610" s="4" t="s">
        <v>172</v>
      </c>
      <c r="J2610" s="4" t="s">
        <v>1316</v>
      </c>
      <c r="K2610" s="4" t="s">
        <v>97</v>
      </c>
      <c r="L2610" s="4"/>
      <c r="M2610" s="4"/>
      <c r="N2610" s="4" t="s">
        <v>2001</v>
      </c>
      <c r="O2610" s="4" t="s">
        <v>2034</v>
      </c>
      <c r="P2610" s="4" t="s">
        <v>74</v>
      </c>
      <c r="Q2610" s="4" t="s">
        <v>2035</v>
      </c>
      <c r="R2610" s="4"/>
      <c r="S2610" s="4"/>
      <c r="T2610" s="4"/>
      <c r="U2610" s="4"/>
      <c r="V2610" s="4"/>
      <c r="W2610" s="4"/>
      <c r="X2610" s="4"/>
      <c r="Y2610" s="4"/>
      <c r="Z2610" s="4"/>
      <c r="AA2610" s="4"/>
      <c r="AB2610" s="4"/>
      <c r="AC2610" s="4"/>
      <c r="AD2610" s="4"/>
      <c r="AE2610" s="4"/>
      <c r="AF2610" s="4"/>
      <c r="AG2610" s="4"/>
      <c r="AH2610" s="4"/>
      <c r="AI2610" s="4"/>
      <c r="AJ2610" s="13" t="n">
        <v>0</v>
      </c>
      <c r="AK2610" s="4"/>
      <c r="AL2610" s="4"/>
      <c r="AM2610" s="4"/>
    </row>
    <row r="2611" customFormat="false" ht="23.85" hidden="false" customHeight="false" outlineLevel="0" collapsed="false">
      <c r="A2611" s="4" t="s">
        <v>3338</v>
      </c>
      <c r="B2611" s="4" t="s">
        <v>3588</v>
      </c>
      <c r="C2611" s="4" t="s">
        <v>3588</v>
      </c>
      <c r="D2611" s="12" t="n">
        <v>2022</v>
      </c>
      <c r="E2611" s="4"/>
      <c r="F2611" s="4" t="s">
        <v>1990</v>
      </c>
      <c r="G2611" s="4" t="s">
        <v>170</v>
      </c>
      <c r="H2611" s="4" t="s">
        <v>171</v>
      </c>
      <c r="I2611" s="4" t="s">
        <v>172</v>
      </c>
      <c r="J2611" s="4" t="s">
        <v>1318</v>
      </c>
      <c r="K2611" s="4" t="s">
        <v>97</v>
      </c>
      <c r="L2611" s="4"/>
      <c r="M2611" s="4"/>
      <c r="N2611" s="4" t="s">
        <v>2001</v>
      </c>
      <c r="O2611" s="4" t="s">
        <v>2002</v>
      </c>
      <c r="P2611" s="4" t="s">
        <v>67</v>
      </c>
      <c r="Q2611" s="4" t="s">
        <v>2003</v>
      </c>
      <c r="R2611" s="4"/>
      <c r="S2611" s="4"/>
      <c r="T2611" s="4"/>
      <c r="U2611" s="4"/>
      <c r="V2611" s="4"/>
      <c r="W2611" s="4" t="s">
        <v>3341</v>
      </c>
      <c r="X2611" s="4" t="s">
        <v>3342</v>
      </c>
      <c r="Y2611" s="4" t="inlineStr">
        <is>
          <t>COMB_DOIL</t>
        </is>
      </c>
      <c r="Z2611" s="4"/>
      <c r="AA2611" s="4"/>
      <c r="AB2611" s="4"/>
      <c r="AC2611" s="4" t="s">
        <v>3352</v>
      </c>
      <c r="AD2611" s="4"/>
      <c r="AE2611" s="4"/>
      <c r="AF2611" s="4"/>
      <c r="AG2611" s="4"/>
      <c r="AH2611" s="4"/>
      <c r="AI2611" s="4"/>
      <c r="AJ2611" s="13" t="n">
        <v>1</v>
      </c>
      <c r="AK2611" s="4"/>
      <c r="AL2611" s="4"/>
      <c r="AM2611" s="4"/>
    </row>
    <row r="2612" customFormat="false" ht="23.85" hidden="false" customHeight="false" outlineLevel="0" collapsed="false">
      <c r="A2612" s="4" t="s">
        <v>3338</v>
      </c>
      <c r="B2612" s="4" t="s">
        <v>3589</v>
      </c>
      <c r="C2612" s="4" t="s">
        <v>3589</v>
      </c>
      <c r="D2612" s="12" t="n">
        <v>2022</v>
      </c>
      <c r="E2612" s="4"/>
      <c r="F2612" s="4" t="s">
        <v>1990</v>
      </c>
      <c r="G2612" s="4" t="s">
        <v>170</v>
      </c>
      <c r="H2612" s="4" t="s">
        <v>171</v>
      </c>
      <c r="I2612" s="4" t="s">
        <v>172</v>
      </c>
      <c r="J2612" s="4" t="s">
        <v>1321</v>
      </c>
      <c r="K2612" s="4" t="s">
        <v>97</v>
      </c>
      <c r="L2612" s="4"/>
      <c r="M2612" s="4"/>
      <c r="N2612" s="4" t="s">
        <v>2001</v>
      </c>
      <c r="O2612" s="4" t="s">
        <v>2002</v>
      </c>
      <c r="P2612" s="4" t="s">
        <v>71</v>
      </c>
      <c r="Q2612" s="4" t="s">
        <v>2123</v>
      </c>
      <c r="R2612" s="4"/>
      <c r="S2612" s="4"/>
      <c r="T2612" s="4"/>
      <c r="U2612" s="4"/>
      <c r="V2612" s="4"/>
      <c r="W2612" s="4" t="s">
        <v>3412</v>
      </c>
      <c r="X2612" s="4" t="s">
        <v>3413</v>
      </c>
      <c r="Y2612" s="4" t="inlineStr">
        <is>
          <t>COMB_DOIL</t>
        </is>
      </c>
      <c r="Z2612" s="4"/>
      <c r="AA2612" s="4"/>
      <c r="AB2612" s="4"/>
      <c r="AC2612" s="4" t="s">
        <v>3352</v>
      </c>
      <c r="AD2612" s="4"/>
      <c r="AE2612" s="4"/>
      <c r="AF2612" s="4"/>
      <c r="AG2612" s="4"/>
      <c r="AH2612" s="4"/>
      <c r="AI2612" s="4"/>
      <c r="AJ2612" s="13" t="n">
        <v>1</v>
      </c>
      <c r="AK2612" s="4"/>
      <c r="AL2612" s="4"/>
      <c r="AM2612" s="4"/>
    </row>
    <row r="2613" customFormat="false" ht="23.85" hidden="false" customHeight="false" outlineLevel="0" collapsed="false">
      <c r="A2613" s="4" t="s">
        <v>3338</v>
      </c>
      <c r="B2613" s="4" t="s">
        <v>3590</v>
      </c>
      <c r="C2613" s="4" t="s">
        <v>3590</v>
      </c>
      <c r="D2613" s="12" t="n">
        <v>2022</v>
      </c>
      <c r="E2613" s="4"/>
      <c r="F2613" s="4" t="s">
        <v>1990</v>
      </c>
      <c r="G2613" s="4" t="s">
        <v>170</v>
      </c>
      <c r="H2613" s="4" t="s">
        <v>171</v>
      </c>
      <c r="I2613" s="4" t="s">
        <v>172</v>
      </c>
      <c r="J2613" s="4" t="s">
        <v>1324</v>
      </c>
      <c r="K2613" s="4" t="s">
        <v>97</v>
      </c>
      <c r="L2613" s="4"/>
      <c r="M2613" s="4"/>
      <c r="N2613" s="4" t="s">
        <v>2001</v>
      </c>
      <c r="O2613" s="4" t="s">
        <v>2002</v>
      </c>
      <c r="P2613" s="4" t="s">
        <v>68</v>
      </c>
      <c r="Q2613" s="4" t="s">
        <v>2111</v>
      </c>
      <c r="R2613" s="4"/>
      <c r="S2613" s="4"/>
      <c r="T2613" s="4"/>
      <c r="U2613" s="4"/>
      <c r="V2613" s="4"/>
      <c r="W2613" s="4" t="s">
        <v>3404</v>
      </c>
      <c r="X2613" s="4" t="s">
        <v>3405</v>
      </c>
      <c r="Y2613" s="4" t="inlineStr">
        <is>
          <t>COMB_DOIL</t>
        </is>
      </c>
      <c r="Z2613" s="4"/>
      <c r="AA2613" s="4"/>
      <c r="AB2613" s="4"/>
      <c r="AC2613" s="4" t="s">
        <v>3352</v>
      </c>
      <c r="AD2613" s="4"/>
      <c r="AE2613" s="4"/>
      <c r="AF2613" s="4"/>
      <c r="AG2613" s="4"/>
      <c r="AH2613" s="4"/>
      <c r="AI2613" s="4"/>
      <c r="AJ2613" s="13" t="n">
        <v>1</v>
      </c>
      <c r="AK2613" s="4"/>
      <c r="AL2613" s="4"/>
      <c r="AM2613" s="4"/>
    </row>
    <row r="2614" customFormat="false" ht="23.85" hidden="false" customHeight="false" outlineLevel="0" collapsed="false">
      <c r="A2614" s="4" t="s">
        <v>3338</v>
      </c>
      <c r="B2614" s="4" t="s">
        <v>3591</v>
      </c>
      <c r="C2614" s="4" t="s">
        <v>3591</v>
      </c>
      <c r="D2614" s="12" t="n">
        <v>2022</v>
      </c>
      <c r="E2614" s="4"/>
      <c r="F2614" s="4" t="s">
        <v>1990</v>
      </c>
      <c r="G2614" s="4" t="s">
        <v>170</v>
      </c>
      <c r="H2614" s="4" t="s">
        <v>171</v>
      </c>
      <c r="I2614" s="4" t="s">
        <v>172</v>
      </c>
      <c r="J2614" s="4" t="s">
        <v>1328</v>
      </c>
      <c r="K2614" s="4" t="s">
        <v>99</v>
      </c>
      <c r="L2614" s="4"/>
      <c r="M2614" s="4"/>
      <c r="N2614" s="4" t="s">
        <v>1994</v>
      </c>
      <c r="O2614" s="4" t="s">
        <v>2029</v>
      </c>
      <c r="P2614" s="4" t="s">
        <v>69</v>
      </c>
      <c r="Q2614" s="4" t="s">
        <v>2030</v>
      </c>
      <c r="R2614" s="4"/>
      <c r="S2614" s="4"/>
      <c r="T2614" s="4"/>
      <c r="U2614" s="4"/>
      <c r="V2614" s="4"/>
      <c r="W2614" s="4"/>
      <c r="X2614" s="4"/>
      <c r="Y2614" s="4"/>
      <c r="Z2614" s="4"/>
      <c r="AA2614" s="4"/>
      <c r="AB2614" s="4"/>
      <c r="AC2614" s="4"/>
      <c r="AD2614" s="4"/>
      <c r="AE2614" s="4"/>
      <c r="AF2614" s="4"/>
      <c r="AG2614" s="4"/>
      <c r="AH2614" s="4"/>
      <c r="AI2614" s="4"/>
      <c r="AJ2614" s="13" t="n">
        <v>0</v>
      </c>
      <c r="AK2614" s="4"/>
      <c r="AL2614" s="4"/>
      <c r="AM2614" s="4"/>
    </row>
    <row r="2615" customFormat="false" ht="23.85" hidden="false" customHeight="false" outlineLevel="0" collapsed="false">
      <c r="A2615" s="4" t="s">
        <v>3338</v>
      </c>
      <c r="B2615" s="4" t="s">
        <v>3592</v>
      </c>
      <c r="C2615" s="4" t="s">
        <v>3592</v>
      </c>
      <c r="D2615" s="12" t="n">
        <v>2022</v>
      </c>
      <c r="E2615" s="4"/>
      <c r="F2615" s="4" t="s">
        <v>1990</v>
      </c>
      <c r="G2615" s="4" t="s">
        <v>170</v>
      </c>
      <c r="H2615" s="4" t="s">
        <v>171</v>
      </c>
      <c r="I2615" s="4" t="s">
        <v>172</v>
      </c>
      <c r="J2615" s="4" t="s">
        <v>1329</v>
      </c>
      <c r="K2615" s="4" t="s">
        <v>99</v>
      </c>
      <c r="L2615" s="4"/>
      <c r="M2615" s="4"/>
      <c r="N2615" s="4" t="s">
        <v>2001</v>
      </c>
      <c r="O2615" s="4" t="s">
        <v>2091</v>
      </c>
      <c r="P2615" s="4" t="s">
        <v>69</v>
      </c>
      <c r="Q2615" s="4" t="s">
        <v>2030</v>
      </c>
      <c r="R2615" s="4"/>
      <c r="S2615" s="4"/>
      <c r="T2615" s="4"/>
      <c r="U2615" s="4"/>
      <c r="V2615" s="4"/>
      <c r="W2615" s="4"/>
      <c r="X2615" s="4"/>
      <c r="Y2615" s="4"/>
      <c r="Z2615" s="4"/>
      <c r="AA2615" s="4"/>
      <c r="AB2615" s="4"/>
      <c r="AC2615" s="4"/>
      <c r="AD2615" s="4"/>
      <c r="AE2615" s="4"/>
      <c r="AF2615" s="4"/>
      <c r="AG2615" s="4"/>
      <c r="AH2615" s="4"/>
      <c r="AI2615" s="4"/>
      <c r="AJ2615" s="13" t="n">
        <v>0</v>
      </c>
      <c r="AK2615" s="4"/>
      <c r="AL2615" s="4"/>
      <c r="AM2615" s="4"/>
    </row>
    <row r="2616" customFormat="false" ht="23.85" hidden="false" customHeight="false" outlineLevel="0" collapsed="false">
      <c r="A2616" s="4" t="s">
        <v>3338</v>
      </c>
      <c r="B2616" s="4" t="s">
        <v>3593</v>
      </c>
      <c r="C2616" s="4" t="s">
        <v>3593</v>
      </c>
      <c r="D2616" s="12" t="n">
        <v>2022</v>
      </c>
      <c r="E2616" s="4"/>
      <c r="F2616" s="4" t="s">
        <v>1990</v>
      </c>
      <c r="G2616" s="4" t="s">
        <v>170</v>
      </c>
      <c r="H2616" s="4" t="s">
        <v>171</v>
      </c>
      <c r="I2616" s="4" t="s">
        <v>172</v>
      </c>
      <c r="J2616" s="4" t="s">
        <v>1332</v>
      </c>
      <c r="K2616" s="4" t="s">
        <v>99</v>
      </c>
      <c r="L2616" s="4"/>
      <c r="M2616" s="4"/>
      <c r="N2616" s="4" t="s">
        <v>1994</v>
      </c>
      <c r="O2616" s="4" t="s">
        <v>1995</v>
      </c>
      <c r="P2616" s="4" t="s">
        <v>67</v>
      </c>
      <c r="Q2616" s="4" t="s">
        <v>2003</v>
      </c>
      <c r="R2616" s="4"/>
      <c r="S2616" s="4"/>
      <c r="T2616" s="4"/>
      <c r="U2616" s="4"/>
      <c r="V2616" s="4"/>
      <c r="W2616" s="4" t="s">
        <v>3341</v>
      </c>
      <c r="X2616" s="4" t="s">
        <v>3342</v>
      </c>
      <c r="Y2616" s="4" t="s">
        <v>3362</v>
      </c>
      <c r="Z2616" s="4"/>
      <c r="AA2616" s="4"/>
      <c r="AB2616" s="4"/>
      <c r="AC2616" s="4" t="s">
        <v>3363</v>
      </c>
      <c r="AD2616" s="4"/>
      <c r="AE2616" s="4"/>
      <c r="AF2616" s="4"/>
      <c r="AG2616" s="4"/>
      <c r="AH2616" s="4"/>
      <c r="AI2616" s="4"/>
      <c r="AJ2616" s="13" t="n">
        <v>1</v>
      </c>
      <c r="AK2616" s="4"/>
      <c r="AL2616" s="4"/>
      <c r="AM2616" s="4"/>
    </row>
    <row r="2617" customFormat="false" ht="23.85" hidden="false" customHeight="false" outlineLevel="0" collapsed="false">
      <c r="A2617" s="4" t="s">
        <v>3338</v>
      </c>
      <c r="B2617" s="4" t="s">
        <v>3594</v>
      </c>
      <c r="C2617" s="4" t="s">
        <v>3594</v>
      </c>
      <c r="D2617" s="12" t="n">
        <v>2022</v>
      </c>
      <c r="E2617" s="4"/>
      <c r="F2617" s="4" t="s">
        <v>1990</v>
      </c>
      <c r="G2617" s="4" t="s">
        <v>170</v>
      </c>
      <c r="H2617" s="4" t="s">
        <v>171</v>
      </c>
      <c r="I2617" s="4" t="s">
        <v>172</v>
      </c>
      <c r="J2617" s="4" t="s">
        <v>1333</v>
      </c>
      <c r="K2617" s="4" t="s">
        <v>99</v>
      </c>
      <c r="L2617" s="4"/>
      <c r="M2617" s="4"/>
      <c r="N2617" s="4" t="s">
        <v>1994</v>
      </c>
      <c r="O2617" s="4" t="s">
        <v>1995</v>
      </c>
      <c r="P2617" s="4" t="s">
        <v>67</v>
      </c>
      <c r="Q2617" s="4" t="s">
        <v>2008</v>
      </c>
      <c r="R2617" s="4"/>
      <c r="S2617" s="4"/>
      <c r="T2617" s="4"/>
      <c r="U2617" s="4"/>
      <c r="V2617" s="4"/>
      <c r="W2617" s="4" t="s">
        <v>3341</v>
      </c>
      <c r="X2617" s="4" t="s">
        <v>3342</v>
      </c>
      <c r="Y2617" s="4" t="s">
        <v>3362</v>
      </c>
      <c r="Z2617" s="4"/>
      <c r="AA2617" s="4"/>
      <c r="AB2617" s="4"/>
      <c r="AC2617" s="4" t="s">
        <v>3363</v>
      </c>
      <c r="AD2617" s="4"/>
      <c r="AE2617" s="4"/>
      <c r="AF2617" s="4"/>
      <c r="AG2617" s="4"/>
      <c r="AH2617" s="4"/>
      <c r="AI2617" s="4"/>
      <c r="AJ2617" s="13" t="n">
        <v>1</v>
      </c>
      <c r="AK2617" s="4"/>
      <c r="AL2617" s="4"/>
      <c r="AM2617" s="4"/>
    </row>
    <row r="2618" customFormat="false" ht="23.85" hidden="false" customHeight="false" outlineLevel="0" collapsed="false">
      <c r="A2618" s="4" t="s">
        <v>3338</v>
      </c>
      <c r="B2618" s="4" t="s">
        <v>3595</v>
      </c>
      <c r="C2618" s="4" t="s">
        <v>3595</v>
      </c>
      <c r="D2618" s="12" t="n">
        <v>2022</v>
      </c>
      <c r="E2618" s="4"/>
      <c r="F2618" s="4" t="s">
        <v>1990</v>
      </c>
      <c r="G2618" s="4" t="s">
        <v>170</v>
      </c>
      <c r="H2618" s="4" t="s">
        <v>171</v>
      </c>
      <c r="I2618" s="4" t="s">
        <v>172</v>
      </c>
      <c r="J2618" s="4" t="s">
        <v>1334</v>
      </c>
      <c r="K2618" s="4" t="s">
        <v>99</v>
      </c>
      <c r="L2618" s="4"/>
      <c r="M2618" s="4"/>
      <c r="N2618" s="4" t="s">
        <v>2001</v>
      </c>
      <c r="O2618" s="4" t="s">
        <v>2002</v>
      </c>
      <c r="P2618" s="4" t="s">
        <v>67</v>
      </c>
      <c r="Q2618" s="4" t="s">
        <v>2139</v>
      </c>
      <c r="R2618" s="4"/>
      <c r="S2618" s="4"/>
      <c r="T2618" s="4"/>
      <c r="U2618" s="4"/>
      <c r="V2618" s="4"/>
      <c r="W2618" s="4" t="s">
        <v>3420</v>
      </c>
      <c r="X2618" s="4" t="s">
        <v>3421</v>
      </c>
      <c r="Y2618" s="4" t="s">
        <v>3362</v>
      </c>
      <c r="Z2618" s="4"/>
      <c r="AA2618" s="4"/>
      <c r="AB2618" s="4"/>
      <c r="AC2618" s="4" t="s">
        <v>3363</v>
      </c>
      <c r="AD2618" s="4"/>
      <c r="AE2618" s="4"/>
      <c r="AF2618" s="4"/>
      <c r="AG2618" s="4"/>
      <c r="AH2618" s="4"/>
      <c r="AI2618" s="4"/>
      <c r="AJ2618" s="13" t="n">
        <v>1</v>
      </c>
      <c r="AK2618" s="4"/>
      <c r="AL2618" s="4"/>
      <c r="AM2618" s="4"/>
    </row>
    <row r="2619" customFormat="false" ht="23.85" hidden="false" customHeight="false" outlineLevel="0" collapsed="false">
      <c r="A2619" s="4" t="s">
        <v>3338</v>
      </c>
      <c r="B2619" s="4" t="s">
        <v>3596</v>
      </c>
      <c r="C2619" s="4" t="s">
        <v>3596</v>
      </c>
      <c r="D2619" s="12" t="n">
        <v>2022</v>
      </c>
      <c r="E2619" s="4"/>
      <c r="F2619" s="4" t="s">
        <v>1990</v>
      </c>
      <c r="G2619" s="4" t="s">
        <v>170</v>
      </c>
      <c r="H2619" s="4" t="s">
        <v>171</v>
      </c>
      <c r="I2619" s="4" t="s">
        <v>172</v>
      </c>
      <c r="J2619" s="4" t="s">
        <v>1336</v>
      </c>
      <c r="K2619" s="4" t="s">
        <v>99</v>
      </c>
      <c r="L2619" s="4"/>
      <c r="M2619" s="4"/>
      <c r="N2619" s="4" t="s">
        <v>2001</v>
      </c>
      <c r="O2619" s="4" t="s">
        <v>2074</v>
      </c>
      <c r="P2619" s="4" t="s">
        <v>73</v>
      </c>
      <c r="Q2619" s="4" t="s">
        <v>2075</v>
      </c>
      <c r="R2619" s="4"/>
      <c r="S2619" s="4"/>
      <c r="T2619" s="4"/>
      <c r="U2619" s="4"/>
      <c r="V2619" s="4"/>
      <c r="W2619" s="4" t="s">
        <v>3380</v>
      </c>
      <c r="X2619" s="4" t="s">
        <v>3381</v>
      </c>
      <c r="Y2619" s="4" t="s">
        <v>3362</v>
      </c>
      <c r="Z2619" s="4"/>
      <c r="AA2619" s="4"/>
      <c r="AB2619" s="4"/>
      <c r="AC2619" s="4" t="s">
        <v>3363</v>
      </c>
      <c r="AD2619" s="4"/>
      <c r="AE2619" s="4"/>
      <c r="AF2619" s="4"/>
      <c r="AG2619" s="4"/>
      <c r="AH2619" s="4"/>
      <c r="AI2619" s="4"/>
      <c r="AJ2619" s="13" t="n">
        <v>1</v>
      </c>
      <c r="AK2619" s="4"/>
      <c r="AL2619" s="4"/>
      <c r="AM2619" s="4"/>
    </row>
    <row r="2620" customFormat="false" ht="23.85" hidden="false" customHeight="false" outlineLevel="0" collapsed="false">
      <c r="A2620" s="4" t="s">
        <v>3338</v>
      </c>
      <c r="B2620" s="4" t="s">
        <v>3597</v>
      </c>
      <c r="C2620" s="4" t="s">
        <v>3597</v>
      </c>
      <c r="D2620" s="12" t="n">
        <v>2022</v>
      </c>
      <c r="E2620" s="4"/>
      <c r="F2620" s="4" t="s">
        <v>1990</v>
      </c>
      <c r="G2620" s="4" t="s">
        <v>170</v>
      </c>
      <c r="H2620" s="4" t="s">
        <v>171</v>
      </c>
      <c r="I2620" s="4" t="s">
        <v>172</v>
      </c>
      <c r="J2620" s="4" t="s">
        <v>1337</v>
      </c>
      <c r="K2620" s="4" t="s">
        <v>99</v>
      </c>
      <c r="L2620" s="4"/>
      <c r="M2620" s="4"/>
      <c r="N2620" s="4" t="s">
        <v>2001</v>
      </c>
      <c r="O2620" s="4" t="s">
        <v>2002</v>
      </c>
      <c r="P2620" s="4" t="s">
        <v>72</v>
      </c>
      <c r="Q2620" s="4" t="s">
        <v>2079</v>
      </c>
      <c r="R2620" s="4"/>
      <c r="S2620" s="4"/>
      <c r="T2620" s="4"/>
      <c r="U2620" s="4"/>
      <c r="V2620" s="4"/>
      <c r="W2620" s="4" t="s">
        <v>3383</v>
      </c>
      <c r="X2620" s="4" t="s">
        <v>3384</v>
      </c>
      <c r="Y2620" s="4" t="s">
        <v>3362</v>
      </c>
      <c r="Z2620" s="4"/>
      <c r="AA2620" s="4"/>
      <c r="AB2620" s="4"/>
      <c r="AC2620" s="4" t="s">
        <v>3363</v>
      </c>
      <c r="AD2620" s="4"/>
      <c r="AE2620" s="4"/>
      <c r="AF2620" s="4"/>
      <c r="AG2620" s="4"/>
      <c r="AH2620" s="4"/>
      <c r="AI2620" s="4"/>
      <c r="AJ2620" s="13" t="n">
        <v>1</v>
      </c>
      <c r="AK2620" s="4"/>
      <c r="AL2620" s="4"/>
      <c r="AM2620" s="4"/>
    </row>
    <row r="2621" customFormat="false" ht="23.85" hidden="false" customHeight="false" outlineLevel="0" collapsed="false">
      <c r="A2621" s="4" t="s">
        <v>3338</v>
      </c>
      <c r="B2621" s="4" t="s">
        <v>3598</v>
      </c>
      <c r="C2621" s="4" t="s">
        <v>3598</v>
      </c>
      <c r="D2621" s="12" t="n">
        <v>2022</v>
      </c>
      <c r="E2621" s="4"/>
      <c r="F2621" s="4" t="s">
        <v>1990</v>
      </c>
      <c r="G2621" s="4" t="s">
        <v>170</v>
      </c>
      <c r="H2621" s="4" t="s">
        <v>171</v>
      </c>
      <c r="I2621" s="4" t="s">
        <v>172</v>
      </c>
      <c r="J2621" s="4" t="s">
        <v>1338</v>
      </c>
      <c r="K2621" s="4" t="s">
        <v>99</v>
      </c>
      <c r="L2621" s="4"/>
      <c r="M2621" s="4"/>
      <c r="N2621" s="4" t="s">
        <v>2001</v>
      </c>
      <c r="O2621" s="4" t="s">
        <v>2002</v>
      </c>
      <c r="P2621" s="4" t="s">
        <v>68</v>
      </c>
      <c r="Q2621" s="4" t="s">
        <v>2111</v>
      </c>
      <c r="R2621" s="4"/>
      <c r="S2621" s="4"/>
      <c r="T2621" s="4"/>
      <c r="U2621" s="4"/>
      <c r="V2621" s="4"/>
      <c r="W2621" s="4" t="s">
        <v>3404</v>
      </c>
      <c r="X2621" s="4" t="s">
        <v>3405</v>
      </c>
      <c r="Y2621" s="4" t="s">
        <v>3362</v>
      </c>
      <c r="Z2621" s="4"/>
      <c r="AA2621" s="4"/>
      <c r="AB2621" s="4"/>
      <c r="AC2621" s="4" t="s">
        <v>3363</v>
      </c>
      <c r="AD2621" s="4"/>
      <c r="AE2621" s="4"/>
      <c r="AF2621" s="4"/>
      <c r="AG2621" s="4"/>
      <c r="AH2621" s="4"/>
      <c r="AI2621" s="4"/>
      <c r="AJ2621" s="13" t="n">
        <v>1</v>
      </c>
      <c r="AK2621" s="4"/>
      <c r="AL2621" s="4"/>
      <c r="AM2621" s="4"/>
    </row>
    <row r="2622" customFormat="false" ht="23.85" hidden="false" customHeight="false" outlineLevel="0" collapsed="false">
      <c r="A2622" s="4" t="s">
        <v>3338</v>
      </c>
      <c r="B2622" s="4" t="s">
        <v>3599</v>
      </c>
      <c r="C2622" s="4" t="s">
        <v>3599</v>
      </c>
      <c r="D2622" s="12" t="n">
        <v>2022</v>
      </c>
      <c r="E2622" s="4"/>
      <c r="F2622" s="4" t="s">
        <v>1990</v>
      </c>
      <c r="G2622" s="4" t="s">
        <v>170</v>
      </c>
      <c r="H2622" s="4" t="s">
        <v>171</v>
      </c>
      <c r="I2622" s="4" t="s">
        <v>172</v>
      </c>
      <c r="J2622" s="4" t="s">
        <v>1340</v>
      </c>
      <c r="K2622" s="4" t="s">
        <v>99</v>
      </c>
      <c r="L2622" s="4"/>
      <c r="M2622" s="4"/>
      <c r="N2622" s="4" t="s">
        <v>2001</v>
      </c>
      <c r="O2622" s="4" t="s">
        <v>2002</v>
      </c>
      <c r="P2622" s="4" t="s">
        <v>67</v>
      </c>
      <c r="Q2622" s="4" t="s">
        <v>2151</v>
      </c>
      <c r="R2622" s="4"/>
      <c r="S2622" s="4"/>
      <c r="T2622" s="4"/>
      <c r="U2622" s="4"/>
      <c r="V2622" s="4"/>
      <c r="W2622" s="4"/>
      <c r="X2622" s="4"/>
      <c r="Y2622" s="4"/>
      <c r="Z2622" s="4"/>
      <c r="AA2622" s="4"/>
      <c r="AB2622" s="4"/>
      <c r="AC2622" s="4"/>
      <c r="AD2622" s="4"/>
      <c r="AE2622" s="4"/>
      <c r="AF2622" s="4"/>
      <c r="AG2622" s="4"/>
      <c r="AH2622" s="4"/>
      <c r="AI2622" s="4"/>
      <c r="AJ2622" s="13" t="n">
        <v>0</v>
      </c>
      <c r="AK2622" s="4"/>
      <c r="AL2622" s="4"/>
      <c r="AM2622" s="4"/>
    </row>
    <row r="2623" customFormat="false" ht="23.85" hidden="false" customHeight="false" outlineLevel="0" collapsed="false">
      <c r="A2623" s="4" t="s">
        <v>3338</v>
      </c>
      <c r="B2623" s="4" t="s">
        <v>3600</v>
      </c>
      <c r="C2623" s="4" t="s">
        <v>3600</v>
      </c>
      <c r="D2623" s="12" t="n">
        <v>2022</v>
      </c>
      <c r="E2623" s="4"/>
      <c r="F2623" s="4" t="s">
        <v>1990</v>
      </c>
      <c r="G2623" s="4" t="s">
        <v>170</v>
      </c>
      <c r="H2623" s="4" t="s">
        <v>171</v>
      </c>
      <c r="I2623" s="4" t="s">
        <v>172</v>
      </c>
      <c r="J2623" s="4" t="s">
        <v>1340</v>
      </c>
      <c r="K2623" s="4" t="s">
        <v>99</v>
      </c>
      <c r="L2623" s="4"/>
      <c r="M2623" s="4"/>
      <c r="N2623" s="4" t="s">
        <v>1994</v>
      </c>
      <c r="O2623" s="4" t="s">
        <v>2156</v>
      </c>
      <c r="P2623" s="4" t="s">
        <v>67</v>
      </c>
      <c r="Q2623" s="4" t="s">
        <v>2151</v>
      </c>
      <c r="R2623" s="4"/>
      <c r="S2623" s="4"/>
      <c r="T2623" s="4"/>
      <c r="U2623" s="4"/>
      <c r="V2623" s="4"/>
      <c r="W2623" s="4"/>
      <c r="X2623" s="4"/>
      <c r="Y2623" s="4"/>
      <c r="Z2623" s="4"/>
      <c r="AA2623" s="4"/>
      <c r="AB2623" s="4"/>
      <c r="AC2623" s="4"/>
      <c r="AD2623" s="4"/>
      <c r="AE2623" s="4"/>
      <c r="AF2623" s="4"/>
      <c r="AG2623" s="4"/>
      <c r="AH2623" s="4"/>
      <c r="AI2623" s="4"/>
      <c r="AJ2623" s="13" t="n">
        <v>0</v>
      </c>
      <c r="AK2623" s="4"/>
      <c r="AL2623" s="4"/>
      <c r="AM2623" s="4"/>
    </row>
    <row r="2624" customFormat="false" ht="23.85" hidden="false" customHeight="false" outlineLevel="0" collapsed="false">
      <c r="A2624" s="4" t="s">
        <v>3338</v>
      </c>
      <c r="B2624" s="4" t="s">
        <v>3601</v>
      </c>
      <c r="C2624" s="4" t="s">
        <v>3601</v>
      </c>
      <c r="D2624" s="12" t="n">
        <v>2022</v>
      </c>
      <c r="E2624" s="4"/>
      <c r="F2624" s="4" t="s">
        <v>1990</v>
      </c>
      <c r="G2624" s="4" t="s">
        <v>170</v>
      </c>
      <c r="H2624" s="4" t="s">
        <v>171</v>
      </c>
      <c r="I2624" s="4" t="s">
        <v>172</v>
      </c>
      <c r="J2624" s="4" t="s">
        <v>1340</v>
      </c>
      <c r="K2624" s="4" t="s">
        <v>99</v>
      </c>
      <c r="L2624" s="4"/>
      <c r="M2624" s="4"/>
      <c r="N2624" s="4" t="s">
        <v>2001</v>
      </c>
      <c r="O2624" s="4" t="s">
        <v>2160</v>
      </c>
      <c r="P2624" s="4" t="s">
        <v>64</v>
      </c>
      <c r="Q2624" s="4" t="s">
        <v>2151</v>
      </c>
      <c r="R2624" s="4"/>
      <c r="S2624" s="4"/>
      <c r="T2624" s="4"/>
      <c r="U2624" s="4"/>
      <c r="V2624" s="4"/>
      <c r="W2624" s="4"/>
      <c r="X2624" s="4"/>
      <c r="Y2624" s="4"/>
      <c r="Z2624" s="4"/>
      <c r="AA2624" s="4"/>
      <c r="AB2624" s="4"/>
      <c r="AC2624" s="4"/>
      <c r="AD2624" s="4"/>
      <c r="AE2624" s="4"/>
      <c r="AF2624" s="4"/>
      <c r="AG2624" s="4"/>
      <c r="AH2624" s="4"/>
      <c r="AI2624" s="4"/>
      <c r="AJ2624" s="13" t="n">
        <v>0</v>
      </c>
      <c r="AK2624" s="4"/>
      <c r="AL2624" s="4"/>
      <c r="AM2624" s="4"/>
    </row>
    <row r="2625" customFormat="false" ht="23.85" hidden="false" customHeight="false" outlineLevel="0" collapsed="false">
      <c r="A2625" s="4" t="s">
        <v>3338</v>
      </c>
      <c r="B2625" s="4" t="s">
        <v>3602</v>
      </c>
      <c r="C2625" s="4" t="s">
        <v>3602</v>
      </c>
      <c r="D2625" s="12" t="n">
        <v>2022</v>
      </c>
      <c r="E2625" s="4"/>
      <c r="F2625" s="4" t="s">
        <v>1990</v>
      </c>
      <c r="G2625" s="4" t="s">
        <v>170</v>
      </c>
      <c r="H2625" s="4" t="s">
        <v>171</v>
      </c>
      <c r="I2625" s="4" t="s">
        <v>172</v>
      </c>
      <c r="J2625" s="4" t="s">
        <v>1342</v>
      </c>
      <c r="K2625" s="4" t="s">
        <v>101</v>
      </c>
      <c r="L2625" s="4"/>
      <c r="M2625" s="4"/>
      <c r="N2625" s="4" t="s">
        <v>1994</v>
      </c>
      <c r="O2625" s="4" t="s">
        <v>2029</v>
      </c>
      <c r="P2625" s="4" t="s">
        <v>69</v>
      </c>
      <c r="Q2625" s="4" t="s">
        <v>2030</v>
      </c>
      <c r="R2625" s="4"/>
      <c r="S2625" s="4"/>
      <c r="T2625" s="4"/>
      <c r="U2625" s="4"/>
      <c r="V2625" s="4"/>
      <c r="W2625" s="4"/>
      <c r="X2625" s="4"/>
      <c r="Y2625" s="4"/>
      <c r="Z2625" s="4"/>
      <c r="AA2625" s="4"/>
      <c r="AB2625" s="4"/>
      <c r="AC2625" s="4"/>
      <c r="AD2625" s="4"/>
      <c r="AE2625" s="4"/>
      <c r="AF2625" s="4"/>
      <c r="AG2625" s="4"/>
      <c r="AH2625" s="4"/>
      <c r="AI2625" s="4"/>
      <c r="AJ2625" s="13" t="n">
        <v>0</v>
      </c>
      <c r="AK2625" s="4"/>
      <c r="AL2625" s="4"/>
      <c r="AM2625" s="4"/>
    </row>
    <row r="2626" customFormat="false" ht="23.85" hidden="false" customHeight="false" outlineLevel="0" collapsed="false">
      <c r="A2626" s="4" t="s">
        <v>3338</v>
      </c>
      <c r="B2626" s="4" t="s">
        <v>3603</v>
      </c>
      <c r="C2626" s="4" t="s">
        <v>3603</v>
      </c>
      <c r="D2626" s="12" t="n">
        <v>2022</v>
      </c>
      <c r="E2626" s="4"/>
      <c r="F2626" s="4" t="s">
        <v>1990</v>
      </c>
      <c r="G2626" s="4" t="s">
        <v>170</v>
      </c>
      <c r="H2626" s="4" t="s">
        <v>171</v>
      </c>
      <c r="I2626" s="4" t="s">
        <v>172</v>
      </c>
      <c r="J2626" s="4" t="s">
        <v>1344</v>
      </c>
      <c r="K2626" s="4" t="s">
        <v>101</v>
      </c>
      <c r="L2626" s="4"/>
      <c r="M2626" s="4"/>
      <c r="N2626" s="4" t="s">
        <v>2001</v>
      </c>
      <c r="O2626" s="4" t="s">
        <v>2034</v>
      </c>
      <c r="P2626" s="4" t="s">
        <v>74</v>
      </c>
      <c r="Q2626" s="4" t="s">
        <v>2035</v>
      </c>
      <c r="R2626" s="4"/>
      <c r="S2626" s="4"/>
      <c r="T2626" s="4"/>
      <c r="U2626" s="4"/>
      <c r="V2626" s="4"/>
      <c r="W2626" s="4"/>
      <c r="X2626" s="4"/>
      <c r="Y2626" s="4"/>
      <c r="Z2626" s="4"/>
      <c r="AA2626" s="4"/>
      <c r="AB2626" s="4"/>
      <c r="AC2626" s="4"/>
      <c r="AD2626" s="4"/>
      <c r="AE2626" s="4"/>
      <c r="AF2626" s="4"/>
      <c r="AG2626" s="4"/>
      <c r="AH2626" s="4"/>
      <c r="AI2626" s="4"/>
      <c r="AJ2626" s="13" t="n">
        <v>0</v>
      </c>
      <c r="AK2626" s="4"/>
      <c r="AL2626" s="4"/>
      <c r="AM2626" s="4"/>
    </row>
    <row r="2627" customFormat="false" ht="23.85" hidden="false" customHeight="false" outlineLevel="0" collapsed="false">
      <c r="A2627" s="4" t="s">
        <v>3338</v>
      </c>
      <c r="B2627" s="4" t="s">
        <v>3604</v>
      </c>
      <c r="C2627" s="4" t="s">
        <v>3604</v>
      </c>
      <c r="D2627" s="12" t="n">
        <v>2022</v>
      </c>
      <c r="E2627" s="4"/>
      <c r="F2627" s="4" t="s">
        <v>1990</v>
      </c>
      <c r="G2627" s="4" t="s">
        <v>170</v>
      </c>
      <c r="H2627" s="4" t="s">
        <v>171</v>
      </c>
      <c r="I2627" s="4" t="s">
        <v>172</v>
      </c>
      <c r="J2627" s="4" t="s">
        <v>1346</v>
      </c>
      <c r="K2627" s="4" t="s">
        <v>101</v>
      </c>
      <c r="L2627" s="4"/>
      <c r="M2627" s="4"/>
      <c r="N2627" s="4" t="s">
        <v>2001</v>
      </c>
      <c r="O2627" s="4" t="s">
        <v>2002</v>
      </c>
      <c r="P2627" s="4" t="s">
        <v>67</v>
      </c>
      <c r="Q2627" s="4" t="s">
        <v>2003</v>
      </c>
      <c r="R2627" s="4"/>
      <c r="S2627" s="4"/>
      <c r="T2627" s="4"/>
      <c r="U2627" s="4"/>
      <c r="V2627" s="4"/>
      <c r="W2627" s="4" t="s">
        <v>3341</v>
      </c>
      <c r="X2627" s="4" t="s">
        <v>3342</v>
      </c>
      <c r="Y2627" s="4" t="inlineStr">
        <is>
          <t>COMB_FOIL</t>
        </is>
      </c>
      <c r="Z2627" s="4"/>
      <c r="AA2627" s="4"/>
      <c r="AB2627" s="4"/>
      <c r="AC2627" s="4" t="s">
        <v>3352</v>
      </c>
      <c r="AD2627" s="4"/>
      <c r="AE2627" s="4"/>
      <c r="AF2627" s="4"/>
      <c r="AG2627" s="4"/>
      <c r="AH2627" s="4"/>
      <c r="AI2627" s="4"/>
      <c r="AJ2627" s="13" t="n">
        <v>1</v>
      </c>
      <c r="AK2627" s="4"/>
      <c r="AL2627" s="4"/>
      <c r="AM2627" s="4"/>
    </row>
    <row r="2628" customFormat="false" ht="23.85" hidden="false" customHeight="false" outlineLevel="0" collapsed="false">
      <c r="A2628" s="4" t="s">
        <v>3338</v>
      </c>
      <c r="B2628" s="4" t="s">
        <v>3605</v>
      </c>
      <c r="C2628" s="4" t="s">
        <v>3605</v>
      </c>
      <c r="D2628" s="12" t="n">
        <v>2022</v>
      </c>
      <c r="E2628" s="4"/>
      <c r="F2628" s="4" t="s">
        <v>1990</v>
      </c>
      <c r="G2628" s="4" t="s">
        <v>170</v>
      </c>
      <c r="H2628" s="4" t="s">
        <v>171</v>
      </c>
      <c r="I2628" s="4" t="s">
        <v>172</v>
      </c>
      <c r="J2628" s="4" t="s">
        <v>1347</v>
      </c>
      <c r="K2628" s="4" t="s">
        <v>101</v>
      </c>
      <c r="L2628" s="4"/>
      <c r="M2628" s="4"/>
      <c r="N2628" s="4" t="s">
        <v>2001</v>
      </c>
      <c r="O2628" s="4" t="s">
        <v>2002</v>
      </c>
      <c r="P2628" s="4" t="s">
        <v>67</v>
      </c>
      <c r="Q2628" s="4" t="s">
        <v>2008</v>
      </c>
      <c r="R2628" s="4"/>
      <c r="S2628" s="4"/>
      <c r="T2628" s="4"/>
      <c r="U2628" s="4"/>
      <c r="V2628" s="4"/>
      <c r="W2628" s="4" t="s">
        <v>3341</v>
      </c>
      <c r="X2628" s="4" t="s">
        <v>3342</v>
      </c>
      <c r="Y2628" s="4" t="inlineStr">
        <is>
          <t>COMB_FOIL</t>
        </is>
      </c>
      <c r="Z2628" s="4"/>
      <c r="AA2628" s="4"/>
      <c r="AB2628" s="4"/>
      <c r="AC2628" s="4" t="s">
        <v>3352</v>
      </c>
      <c r="AD2628" s="4"/>
      <c r="AE2628" s="4"/>
      <c r="AF2628" s="4"/>
      <c r="AG2628" s="4"/>
      <c r="AH2628" s="4"/>
      <c r="AI2628" s="4"/>
      <c r="AJ2628" s="13" t="n">
        <v>1</v>
      </c>
      <c r="AK2628" s="4"/>
      <c r="AL2628" s="4"/>
      <c r="AM2628" s="4"/>
    </row>
    <row r="2629" customFormat="false" ht="23.85" hidden="false" customHeight="false" outlineLevel="0" collapsed="false">
      <c r="A2629" s="4" t="s">
        <v>3338</v>
      </c>
      <c r="B2629" s="4" t="s">
        <v>3606</v>
      </c>
      <c r="C2629" s="4" t="s">
        <v>3606</v>
      </c>
      <c r="D2629" s="12" t="n">
        <v>2022</v>
      </c>
      <c r="E2629" s="4"/>
      <c r="F2629" s="4" t="s">
        <v>1990</v>
      </c>
      <c r="G2629" s="4" t="s">
        <v>170</v>
      </c>
      <c r="H2629" s="4" t="s">
        <v>171</v>
      </c>
      <c r="I2629" s="4" t="s">
        <v>172</v>
      </c>
      <c r="J2629" s="4" t="s">
        <v>1352</v>
      </c>
      <c r="K2629" s="4" t="s">
        <v>101</v>
      </c>
      <c r="L2629" s="4"/>
      <c r="M2629" s="4"/>
      <c r="N2629" s="4" t="s">
        <v>2001</v>
      </c>
      <c r="O2629" s="4" t="s">
        <v>2002</v>
      </c>
      <c r="P2629" s="4" t="s">
        <v>68</v>
      </c>
      <c r="Q2629" s="4" t="s">
        <v>2111</v>
      </c>
      <c r="R2629" s="4"/>
      <c r="S2629" s="4"/>
      <c r="T2629" s="4"/>
      <c r="U2629" s="4"/>
      <c r="V2629" s="4"/>
      <c r="W2629" s="4" t="s">
        <v>3404</v>
      </c>
      <c r="X2629" s="4" t="s">
        <v>3405</v>
      </c>
      <c r="Y2629" s="4" t="inlineStr">
        <is>
          <t>COMB_FOIL</t>
        </is>
      </c>
      <c r="Z2629" s="4"/>
      <c r="AA2629" s="4"/>
      <c r="AB2629" s="4"/>
      <c r="AC2629" s="4" t="s">
        <v>3352</v>
      </c>
      <c r="AD2629" s="4"/>
      <c r="AE2629" s="4"/>
      <c r="AF2629" s="4"/>
      <c r="AG2629" s="4"/>
      <c r="AH2629" s="4"/>
      <c r="AI2629" s="4"/>
      <c r="AJ2629" s="13" t="n">
        <v>1</v>
      </c>
      <c r="AK2629" s="4"/>
      <c r="AL2629" s="4"/>
      <c r="AM2629" s="4"/>
    </row>
    <row r="2630" customFormat="false" ht="23.85" hidden="false" customHeight="false" outlineLevel="0" collapsed="false">
      <c r="A2630" s="4" t="s">
        <v>3338</v>
      </c>
      <c r="B2630" s="4" t="s">
        <v>3607</v>
      </c>
      <c r="C2630" s="4" t="s">
        <v>3607</v>
      </c>
      <c r="D2630" s="12" t="n">
        <v>2022</v>
      </c>
      <c r="E2630" s="4"/>
      <c r="F2630" s="4" t="s">
        <v>1990</v>
      </c>
      <c r="G2630" s="4" t="s">
        <v>170</v>
      </c>
      <c r="H2630" s="4" t="s">
        <v>171</v>
      </c>
      <c r="I2630" s="4" t="s">
        <v>172</v>
      </c>
      <c r="J2630" s="4" t="s">
        <v>1356</v>
      </c>
      <c r="K2630" s="4" t="s">
        <v>103</v>
      </c>
      <c r="L2630" s="4"/>
      <c r="M2630" s="4"/>
      <c r="N2630" s="4" t="s">
        <v>1994</v>
      </c>
      <c r="O2630" s="4" t="s">
        <v>2029</v>
      </c>
      <c r="P2630" s="4" t="s">
        <v>69</v>
      </c>
      <c r="Q2630" s="4" t="s">
        <v>2030</v>
      </c>
      <c r="R2630" s="4"/>
      <c r="S2630" s="4"/>
      <c r="T2630" s="4"/>
      <c r="U2630" s="4"/>
      <c r="V2630" s="4"/>
      <c r="W2630" s="4"/>
      <c r="X2630" s="4"/>
      <c r="Y2630" s="4"/>
      <c r="Z2630" s="4"/>
      <c r="AA2630" s="4"/>
      <c r="AB2630" s="4"/>
      <c r="AC2630" s="4"/>
      <c r="AD2630" s="4"/>
      <c r="AE2630" s="4"/>
      <c r="AF2630" s="4"/>
      <c r="AG2630" s="4"/>
      <c r="AH2630" s="4"/>
      <c r="AI2630" s="4"/>
      <c r="AJ2630" s="13" t="n">
        <v>0</v>
      </c>
      <c r="AK2630" s="4"/>
      <c r="AL2630" s="4"/>
      <c r="AM2630" s="4"/>
    </row>
    <row r="2631" customFormat="false" ht="23.85" hidden="false" customHeight="false" outlineLevel="0" collapsed="false">
      <c r="A2631" s="4" t="s">
        <v>3338</v>
      </c>
      <c r="B2631" s="4" t="s">
        <v>3608</v>
      </c>
      <c r="C2631" s="4" t="s">
        <v>3608</v>
      </c>
      <c r="D2631" s="12" t="n">
        <v>2022</v>
      </c>
      <c r="E2631" s="4"/>
      <c r="F2631" s="4" t="s">
        <v>1990</v>
      </c>
      <c r="G2631" s="4" t="s">
        <v>170</v>
      </c>
      <c r="H2631" s="4" t="s">
        <v>171</v>
      </c>
      <c r="I2631" s="4" t="s">
        <v>172</v>
      </c>
      <c r="J2631" s="4" t="s">
        <v>1357</v>
      </c>
      <c r="K2631" s="4" t="s">
        <v>103</v>
      </c>
      <c r="L2631" s="4"/>
      <c r="M2631" s="4"/>
      <c r="N2631" s="4" t="s">
        <v>2001</v>
      </c>
      <c r="O2631" s="4" t="s">
        <v>2091</v>
      </c>
      <c r="P2631" s="4" t="s">
        <v>69</v>
      </c>
      <c r="Q2631" s="4" t="s">
        <v>2030</v>
      </c>
      <c r="R2631" s="4"/>
      <c r="S2631" s="4"/>
      <c r="T2631" s="4"/>
      <c r="U2631" s="4"/>
      <c r="V2631" s="4"/>
      <c r="W2631" s="4"/>
      <c r="X2631" s="4"/>
      <c r="Y2631" s="4"/>
      <c r="Z2631" s="4"/>
      <c r="AA2631" s="4"/>
      <c r="AB2631" s="4"/>
      <c r="AC2631" s="4"/>
      <c r="AD2631" s="4"/>
      <c r="AE2631" s="4"/>
      <c r="AF2631" s="4"/>
      <c r="AG2631" s="4"/>
      <c r="AH2631" s="4"/>
      <c r="AI2631" s="4"/>
      <c r="AJ2631" s="13" t="n">
        <v>0</v>
      </c>
      <c r="AK2631" s="4"/>
      <c r="AL2631" s="4"/>
      <c r="AM2631" s="4"/>
    </row>
    <row r="2632" customFormat="false" ht="23.85" hidden="false" customHeight="false" outlineLevel="0" collapsed="false">
      <c r="A2632" s="4" t="s">
        <v>3338</v>
      </c>
      <c r="B2632" s="4" t="s">
        <v>3609</v>
      </c>
      <c r="C2632" s="4" t="s">
        <v>3609</v>
      </c>
      <c r="D2632" s="12" t="n">
        <v>2022</v>
      </c>
      <c r="E2632" s="4"/>
      <c r="F2632" s="4" t="s">
        <v>1990</v>
      </c>
      <c r="G2632" s="4" t="s">
        <v>170</v>
      </c>
      <c r="H2632" s="4" t="s">
        <v>171</v>
      </c>
      <c r="I2632" s="4" t="s">
        <v>172</v>
      </c>
      <c r="J2632" s="4" t="s">
        <v>1358</v>
      </c>
      <c r="K2632" s="4" t="s">
        <v>103</v>
      </c>
      <c r="L2632" s="4"/>
      <c r="M2632" s="4"/>
      <c r="N2632" s="4" t="s">
        <v>2001</v>
      </c>
      <c r="O2632" s="4" t="s">
        <v>2034</v>
      </c>
      <c r="P2632" s="4" t="s">
        <v>74</v>
      </c>
      <c r="Q2632" s="4" t="s">
        <v>2035</v>
      </c>
      <c r="R2632" s="4"/>
      <c r="S2632" s="4"/>
      <c r="T2632" s="4"/>
      <c r="U2632" s="4"/>
      <c r="V2632" s="4"/>
      <c r="W2632" s="4"/>
      <c r="X2632" s="4"/>
      <c r="Y2632" s="4"/>
      <c r="Z2632" s="4"/>
      <c r="AA2632" s="4"/>
      <c r="AB2632" s="4"/>
      <c r="AC2632" s="4"/>
      <c r="AD2632" s="4"/>
      <c r="AE2632" s="4"/>
      <c r="AF2632" s="4"/>
      <c r="AG2632" s="4"/>
      <c r="AH2632" s="4"/>
      <c r="AI2632" s="4"/>
      <c r="AJ2632" s="13" t="n">
        <v>0</v>
      </c>
      <c r="AK2632" s="4"/>
      <c r="AL2632" s="4"/>
      <c r="AM2632" s="4"/>
    </row>
    <row r="2633" customFormat="false" ht="23.85" hidden="false" customHeight="false" outlineLevel="0" collapsed="false">
      <c r="A2633" s="4" t="s">
        <v>3338</v>
      </c>
      <c r="B2633" s="4" t="s">
        <v>3610</v>
      </c>
      <c r="C2633" s="4" t="s">
        <v>3610</v>
      </c>
      <c r="D2633" s="12" t="n">
        <v>2022</v>
      </c>
      <c r="E2633" s="4"/>
      <c r="F2633" s="4" t="s">
        <v>1990</v>
      </c>
      <c r="G2633" s="4" t="s">
        <v>170</v>
      </c>
      <c r="H2633" s="4" t="s">
        <v>171</v>
      </c>
      <c r="I2633" s="4" t="s">
        <v>172</v>
      </c>
      <c r="J2633" s="4" t="s">
        <v>1363</v>
      </c>
      <c r="K2633" s="4" t="s">
        <v>103</v>
      </c>
      <c r="L2633" s="4"/>
      <c r="M2633" s="4"/>
      <c r="N2633" s="4" t="s">
        <v>2001</v>
      </c>
      <c r="O2633" s="4" t="s">
        <v>2002</v>
      </c>
      <c r="P2633" s="4" t="s">
        <v>71</v>
      </c>
      <c r="Q2633" s="4" t="s">
        <v>2123</v>
      </c>
      <c r="R2633" s="4"/>
      <c r="S2633" s="4"/>
      <c r="T2633" s="4"/>
      <c r="U2633" s="4"/>
      <c r="V2633" s="4"/>
      <c r="W2633" s="4" t="s">
        <v>3412</v>
      </c>
      <c r="X2633" s="4" t="s">
        <v>3413</v>
      </c>
      <c r="Y2633" s="4" t="inlineStr">
        <is>
          <t>COMB_GAS</t>
        </is>
      </c>
      <c r="Z2633" s="4"/>
      <c r="AA2633" s="4"/>
      <c r="AB2633" s="4"/>
      <c r="AC2633" s="4" t="s">
        <v>3352</v>
      </c>
      <c r="AD2633" s="4"/>
      <c r="AE2633" s="4"/>
      <c r="AF2633" s="4"/>
      <c r="AG2633" s="4"/>
      <c r="AH2633" s="4"/>
      <c r="AI2633" s="4"/>
      <c r="AJ2633" s="13" t="n">
        <v>1</v>
      </c>
      <c r="AK2633" s="4"/>
      <c r="AL2633" s="4"/>
      <c r="AM2633" s="4"/>
    </row>
    <row r="2634" customFormat="false" ht="23.85" hidden="false" customHeight="false" outlineLevel="0" collapsed="false">
      <c r="A2634" s="4" t="s">
        <v>3338</v>
      </c>
      <c r="B2634" s="4" t="s">
        <v>3611</v>
      </c>
      <c r="C2634" s="4" t="s">
        <v>3611</v>
      </c>
      <c r="D2634" s="12" t="n">
        <v>2022</v>
      </c>
      <c r="E2634" s="4"/>
      <c r="F2634" s="4" t="s">
        <v>1990</v>
      </c>
      <c r="G2634" s="4" t="s">
        <v>170</v>
      </c>
      <c r="H2634" s="4" t="s">
        <v>171</v>
      </c>
      <c r="I2634" s="4" t="s">
        <v>172</v>
      </c>
      <c r="J2634" s="4" t="s">
        <v>1365</v>
      </c>
      <c r="K2634" s="4" t="s">
        <v>103</v>
      </c>
      <c r="L2634" s="4"/>
      <c r="M2634" s="4"/>
      <c r="N2634" s="4" t="s">
        <v>2001</v>
      </c>
      <c r="O2634" s="4" t="s">
        <v>2002</v>
      </c>
      <c r="P2634" s="4" t="s">
        <v>72</v>
      </c>
      <c r="Q2634" s="4" t="s">
        <v>2079</v>
      </c>
      <c r="R2634" s="4"/>
      <c r="S2634" s="4"/>
      <c r="T2634" s="4"/>
      <c r="U2634" s="4"/>
      <c r="V2634" s="4"/>
      <c r="W2634" s="4" t="s">
        <v>3383</v>
      </c>
      <c r="X2634" s="4" t="s">
        <v>3384</v>
      </c>
      <c r="Y2634" s="4" t="inlineStr">
        <is>
          <t>COMB_GAS</t>
        </is>
      </c>
      <c r="Z2634" s="4"/>
      <c r="AA2634" s="4"/>
      <c r="AB2634" s="4"/>
      <c r="AC2634" s="4" t="s">
        <v>3352</v>
      </c>
      <c r="AD2634" s="4"/>
      <c r="AE2634" s="4"/>
      <c r="AF2634" s="4"/>
      <c r="AG2634" s="4"/>
      <c r="AH2634" s="4"/>
      <c r="AI2634" s="4"/>
      <c r="AJ2634" s="13" t="n">
        <v>1</v>
      </c>
      <c r="AK2634" s="4"/>
      <c r="AL2634" s="4"/>
      <c r="AM2634" s="4"/>
    </row>
    <row r="2635" customFormat="false" ht="23.85" hidden="false" customHeight="false" outlineLevel="0" collapsed="false">
      <c r="A2635" s="4" t="s">
        <v>3338</v>
      </c>
      <c r="B2635" s="4" t="s">
        <v>3612</v>
      </c>
      <c r="C2635" s="4" t="s">
        <v>3612</v>
      </c>
      <c r="D2635" s="12" t="n">
        <v>2022</v>
      </c>
      <c r="E2635" s="4"/>
      <c r="F2635" s="4" t="s">
        <v>1990</v>
      </c>
      <c r="G2635" s="4" t="s">
        <v>170</v>
      </c>
      <c r="H2635" s="4" t="s">
        <v>171</v>
      </c>
      <c r="I2635" s="4" t="s">
        <v>172</v>
      </c>
      <c r="J2635" s="4" t="s">
        <v>1366</v>
      </c>
      <c r="K2635" s="4" t="s">
        <v>103</v>
      </c>
      <c r="L2635" s="4"/>
      <c r="M2635" s="4"/>
      <c r="N2635" s="4" t="s">
        <v>2001</v>
      </c>
      <c r="O2635" s="4" t="s">
        <v>2002</v>
      </c>
      <c r="P2635" s="4" t="s">
        <v>68</v>
      </c>
      <c r="Q2635" s="4" t="s">
        <v>2111</v>
      </c>
      <c r="R2635" s="4"/>
      <c r="S2635" s="4"/>
      <c r="T2635" s="4"/>
      <c r="U2635" s="4"/>
      <c r="V2635" s="4"/>
      <c r="W2635" s="4" t="s">
        <v>3404</v>
      </c>
      <c r="X2635" s="4" t="s">
        <v>3405</v>
      </c>
      <c r="Y2635" s="4" t="inlineStr">
        <is>
          <t>COMB_GAS</t>
        </is>
      </c>
      <c r="Z2635" s="4"/>
      <c r="AA2635" s="4"/>
      <c r="AB2635" s="4"/>
      <c r="AC2635" s="4" t="s">
        <v>3352</v>
      </c>
      <c r="AD2635" s="4"/>
      <c r="AE2635" s="4"/>
      <c r="AF2635" s="4"/>
      <c r="AG2635" s="4"/>
      <c r="AH2635" s="4"/>
      <c r="AI2635" s="4"/>
      <c r="AJ2635" s="13" t="n">
        <v>1</v>
      </c>
      <c r="AK2635" s="4"/>
      <c r="AL2635" s="4"/>
      <c r="AM2635" s="4"/>
    </row>
    <row r="2636" customFormat="false" ht="23.85" hidden="false" customHeight="false" outlineLevel="0" collapsed="false">
      <c r="A2636" s="4" t="s">
        <v>3338</v>
      </c>
      <c r="B2636" s="4" t="s">
        <v>3613</v>
      </c>
      <c r="C2636" s="4" t="s">
        <v>3613</v>
      </c>
      <c r="D2636" s="12" t="n">
        <v>2022</v>
      </c>
      <c r="E2636" s="4"/>
      <c r="F2636" s="4" t="s">
        <v>1990</v>
      </c>
      <c r="G2636" s="4" t="s">
        <v>170</v>
      </c>
      <c r="H2636" s="4" t="s">
        <v>171</v>
      </c>
      <c r="I2636" s="4" t="s">
        <v>172</v>
      </c>
      <c r="J2636" s="4" t="s">
        <v>1370</v>
      </c>
      <c r="K2636" s="4" t="s">
        <v>105</v>
      </c>
      <c r="L2636" s="4"/>
      <c r="M2636" s="4"/>
      <c r="N2636" s="4" t="s">
        <v>1994</v>
      </c>
      <c r="O2636" s="4" t="s">
        <v>2029</v>
      </c>
      <c r="P2636" s="4" t="s">
        <v>69</v>
      </c>
      <c r="Q2636" s="4" t="s">
        <v>2030</v>
      </c>
      <c r="R2636" s="4"/>
      <c r="S2636" s="4"/>
      <c r="T2636" s="4"/>
      <c r="U2636" s="4"/>
      <c r="V2636" s="4"/>
      <c r="W2636" s="4"/>
      <c r="X2636" s="4"/>
      <c r="Y2636" s="4"/>
      <c r="Z2636" s="4"/>
      <c r="AA2636" s="4"/>
      <c r="AB2636" s="4"/>
      <c r="AC2636" s="4"/>
      <c r="AD2636" s="4"/>
      <c r="AE2636" s="4"/>
      <c r="AF2636" s="4"/>
      <c r="AG2636" s="4"/>
      <c r="AH2636" s="4"/>
      <c r="AI2636" s="4"/>
      <c r="AJ2636" s="13" t="n">
        <v>0</v>
      </c>
      <c r="AK2636" s="4"/>
      <c r="AL2636" s="4"/>
      <c r="AM2636" s="4"/>
    </row>
    <row r="2637" customFormat="false" ht="23.85" hidden="false" customHeight="false" outlineLevel="0" collapsed="false">
      <c r="A2637" s="4" t="s">
        <v>3338</v>
      </c>
      <c r="B2637" s="4" t="s">
        <v>3614</v>
      </c>
      <c r="C2637" s="4" t="s">
        <v>3614</v>
      </c>
      <c r="D2637" s="12" t="n">
        <v>2022</v>
      </c>
      <c r="E2637" s="4"/>
      <c r="F2637" s="4" t="s">
        <v>1990</v>
      </c>
      <c r="G2637" s="4" t="s">
        <v>170</v>
      </c>
      <c r="H2637" s="4" t="s">
        <v>171</v>
      </c>
      <c r="I2637" s="4" t="s">
        <v>172</v>
      </c>
      <c r="J2637" s="4" t="s">
        <v>1371</v>
      </c>
      <c r="K2637" s="4" t="s">
        <v>105</v>
      </c>
      <c r="L2637" s="4"/>
      <c r="M2637" s="4"/>
      <c r="N2637" s="4" t="s">
        <v>2001</v>
      </c>
      <c r="O2637" s="4" t="s">
        <v>2091</v>
      </c>
      <c r="P2637" s="4" t="s">
        <v>69</v>
      </c>
      <c r="Q2637" s="4" t="s">
        <v>2030</v>
      </c>
      <c r="R2637" s="4"/>
      <c r="S2637" s="4"/>
      <c r="T2637" s="4"/>
      <c r="U2637" s="4"/>
      <c r="V2637" s="4"/>
      <c r="W2637" s="4"/>
      <c r="X2637" s="4"/>
      <c r="Y2637" s="4"/>
      <c r="Z2637" s="4"/>
      <c r="AA2637" s="4"/>
      <c r="AB2637" s="4"/>
      <c r="AC2637" s="4"/>
      <c r="AD2637" s="4"/>
      <c r="AE2637" s="4"/>
      <c r="AF2637" s="4"/>
      <c r="AG2637" s="4"/>
      <c r="AH2637" s="4"/>
      <c r="AI2637" s="4"/>
      <c r="AJ2637" s="13" t="n">
        <v>0</v>
      </c>
      <c r="AK2637" s="4"/>
      <c r="AL2637" s="4"/>
      <c r="AM2637" s="4"/>
    </row>
    <row r="2638" customFormat="false" ht="23.85" hidden="false" customHeight="false" outlineLevel="0" collapsed="false">
      <c r="A2638" s="4" t="s">
        <v>3338</v>
      </c>
      <c r="B2638" s="4" t="s">
        <v>3615</v>
      </c>
      <c r="C2638" s="4" t="s">
        <v>3615</v>
      </c>
      <c r="D2638" s="12" t="n">
        <v>2022</v>
      </c>
      <c r="E2638" s="4"/>
      <c r="F2638" s="4" t="s">
        <v>1990</v>
      </c>
      <c r="G2638" s="4" t="s">
        <v>170</v>
      </c>
      <c r="H2638" s="4" t="s">
        <v>171</v>
      </c>
      <c r="I2638" s="4" t="s">
        <v>172</v>
      </c>
      <c r="J2638" s="4" t="s">
        <v>1372</v>
      </c>
      <c r="K2638" s="4" t="s">
        <v>105</v>
      </c>
      <c r="L2638" s="4"/>
      <c r="M2638" s="4"/>
      <c r="N2638" s="4" t="s">
        <v>2001</v>
      </c>
      <c r="O2638" s="4" t="s">
        <v>2034</v>
      </c>
      <c r="P2638" s="4" t="s">
        <v>74</v>
      </c>
      <c r="Q2638" s="4" t="s">
        <v>2035</v>
      </c>
      <c r="R2638" s="4"/>
      <c r="S2638" s="4"/>
      <c r="T2638" s="4"/>
      <c r="U2638" s="4"/>
      <c r="V2638" s="4"/>
      <c r="W2638" s="4"/>
      <c r="X2638" s="4"/>
      <c r="Y2638" s="4"/>
      <c r="Z2638" s="4"/>
      <c r="AA2638" s="4"/>
      <c r="AB2638" s="4"/>
      <c r="AC2638" s="4"/>
      <c r="AD2638" s="4"/>
      <c r="AE2638" s="4"/>
      <c r="AF2638" s="4"/>
      <c r="AG2638" s="4"/>
      <c r="AH2638" s="4"/>
      <c r="AI2638" s="4"/>
      <c r="AJ2638" s="13" t="n">
        <v>0</v>
      </c>
      <c r="AK2638" s="4"/>
      <c r="AL2638" s="4"/>
      <c r="AM2638" s="4"/>
    </row>
    <row r="2639" customFormat="false" ht="23.85" hidden="false" customHeight="false" outlineLevel="0" collapsed="false">
      <c r="A2639" s="4" t="s">
        <v>3338</v>
      </c>
      <c r="B2639" s="4" t="s">
        <v>3616</v>
      </c>
      <c r="C2639" s="4" t="s">
        <v>3616</v>
      </c>
      <c r="D2639" s="12" t="n">
        <v>2022</v>
      </c>
      <c r="E2639" s="4"/>
      <c r="F2639" s="4" t="s">
        <v>1990</v>
      </c>
      <c r="G2639" s="4" t="s">
        <v>170</v>
      </c>
      <c r="H2639" s="4" t="s">
        <v>171</v>
      </c>
      <c r="I2639" s="4" t="s">
        <v>172</v>
      </c>
      <c r="J2639" s="4" t="s">
        <v>1377</v>
      </c>
      <c r="K2639" s="4" t="s">
        <v>105</v>
      </c>
      <c r="L2639" s="4"/>
      <c r="M2639" s="4"/>
      <c r="N2639" s="4" t="s">
        <v>2001</v>
      </c>
      <c r="O2639" s="4" t="s">
        <v>2002</v>
      </c>
      <c r="P2639" s="4" t="s">
        <v>71</v>
      </c>
      <c r="Q2639" s="4" t="s">
        <v>2123</v>
      </c>
      <c r="R2639" s="4"/>
      <c r="S2639" s="4"/>
      <c r="T2639" s="4"/>
      <c r="U2639" s="4"/>
      <c r="V2639" s="4"/>
      <c r="W2639" s="4" t="s">
        <v>3412</v>
      </c>
      <c r="X2639" s="4" t="s">
        <v>3413</v>
      </c>
      <c r="Y2639" s="4" t="inlineStr">
        <is>
          <t>COMB_GLP</t>
        </is>
      </c>
      <c r="Z2639" s="4"/>
      <c r="AA2639" s="4"/>
      <c r="AB2639" s="4"/>
      <c r="AC2639" s="4" t="s">
        <v>3352</v>
      </c>
      <c r="AD2639" s="4"/>
      <c r="AE2639" s="4"/>
      <c r="AF2639" s="4"/>
      <c r="AG2639" s="4"/>
      <c r="AH2639" s="4"/>
      <c r="AI2639" s="4"/>
      <c r="AJ2639" s="13" t="n">
        <v>1</v>
      </c>
      <c r="AK2639" s="4"/>
      <c r="AL2639" s="4"/>
      <c r="AM2639" s="4"/>
    </row>
    <row r="2640" customFormat="false" ht="23.85" hidden="false" customHeight="false" outlineLevel="0" collapsed="false">
      <c r="A2640" s="4" t="s">
        <v>3338</v>
      </c>
      <c r="B2640" s="4" t="s">
        <v>3617</v>
      </c>
      <c r="C2640" s="4" t="s">
        <v>3617</v>
      </c>
      <c r="D2640" s="12" t="n">
        <v>2022</v>
      </c>
      <c r="E2640" s="4"/>
      <c r="F2640" s="4" t="s">
        <v>1990</v>
      </c>
      <c r="G2640" s="4" t="s">
        <v>170</v>
      </c>
      <c r="H2640" s="4" t="s">
        <v>171</v>
      </c>
      <c r="I2640" s="4" t="s">
        <v>172</v>
      </c>
      <c r="J2640" s="4" t="s">
        <v>1378</v>
      </c>
      <c r="K2640" s="4" t="s">
        <v>105</v>
      </c>
      <c r="L2640" s="4"/>
      <c r="M2640" s="4"/>
      <c r="N2640" s="4" t="s">
        <v>2001</v>
      </c>
      <c r="O2640" s="4" t="s">
        <v>2074</v>
      </c>
      <c r="P2640" s="4" t="s">
        <v>73</v>
      </c>
      <c r="Q2640" s="4" t="s">
        <v>2075</v>
      </c>
      <c r="R2640" s="4"/>
      <c r="S2640" s="4"/>
      <c r="T2640" s="4"/>
      <c r="U2640" s="4"/>
      <c r="V2640" s="4"/>
      <c r="W2640" s="4" t="s">
        <v>3380</v>
      </c>
      <c r="X2640" s="4" t="s">
        <v>3381</v>
      </c>
      <c r="Y2640" s="4" t="inlineStr">
        <is>
          <t>COMB_GLP</t>
        </is>
      </c>
      <c r="Z2640" s="4"/>
      <c r="AA2640" s="4"/>
      <c r="AB2640" s="4"/>
      <c r="AC2640" s="4" t="s">
        <v>3352</v>
      </c>
      <c r="AD2640" s="4"/>
      <c r="AE2640" s="4"/>
      <c r="AF2640" s="4"/>
      <c r="AG2640" s="4"/>
      <c r="AH2640" s="4"/>
      <c r="AI2640" s="4"/>
      <c r="AJ2640" s="13" t="n">
        <v>1</v>
      </c>
      <c r="AK2640" s="4"/>
      <c r="AL2640" s="4"/>
      <c r="AM2640" s="4"/>
    </row>
    <row r="2641" customFormat="false" ht="23.85" hidden="false" customHeight="false" outlineLevel="0" collapsed="false">
      <c r="A2641" s="4" t="s">
        <v>3338</v>
      </c>
      <c r="B2641" s="4" t="s">
        <v>3618</v>
      </c>
      <c r="C2641" s="4" t="s">
        <v>3618</v>
      </c>
      <c r="D2641" s="12" t="n">
        <v>2022</v>
      </c>
      <c r="E2641" s="4"/>
      <c r="F2641" s="4" t="s">
        <v>1990</v>
      </c>
      <c r="G2641" s="4" t="s">
        <v>170</v>
      </c>
      <c r="H2641" s="4" t="s">
        <v>171</v>
      </c>
      <c r="I2641" s="4" t="s">
        <v>172</v>
      </c>
      <c r="J2641" s="4" t="s">
        <v>1379</v>
      </c>
      <c r="K2641" s="4" t="s">
        <v>105</v>
      </c>
      <c r="L2641" s="4"/>
      <c r="M2641" s="4"/>
      <c r="N2641" s="4" t="s">
        <v>2001</v>
      </c>
      <c r="O2641" s="4" t="s">
        <v>2002</v>
      </c>
      <c r="P2641" s="4" t="s">
        <v>72</v>
      </c>
      <c r="Q2641" s="4" t="s">
        <v>2079</v>
      </c>
      <c r="R2641" s="4"/>
      <c r="S2641" s="4"/>
      <c r="T2641" s="4"/>
      <c r="U2641" s="4"/>
      <c r="V2641" s="4"/>
      <c r="W2641" s="4" t="s">
        <v>3383</v>
      </c>
      <c r="X2641" s="4" t="s">
        <v>3384</v>
      </c>
      <c r="Y2641" s="4" t="inlineStr">
        <is>
          <t>COMB_GLP</t>
        </is>
      </c>
      <c r="Z2641" s="4"/>
      <c r="AA2641" s="4"/>
      <c r="AB2641" s="4"/>
      <c r="AC2641" s="4" t="s">
        <v>3352</v>
      </c>
      <c r="AD2641" s="4"/>
      <c r="AE2641" s="4"/>
      <c r="AF2641" s="4"/>
      <c r="AG2641" s="4"/>
      <c r="AH2641" s="4"/>
      <c r="AI2641" s="4"/>
      <c r="AJ2641" s="13" t="n">
        <v>1</v>
      </c>
      <c r="AK2641" s="4"/>
      <c r="AL2641" s="4"/>
      <c r="AM2641" s="4"/>
    </row>
    <row r="2642" customFormat="false" ht="23.85" hidden="false" customHeight="false" outlineLevel="0" collapsed="false">
      <c r="A2642" s="4" t="s">
        <v>3338</v>
      </c>
      <c r="B2642" s="4" t="s">
        <v>3619</v>
      </c>
      <c r="C2642" s="4" t="s">
        <v>3619</v>
      </c>
      <c r="D2642" s="12" t="n">
        <v>2022</v>
      </c>
      <c r="E2642" s="4"/>
      <c r="F2642" s="4" t="s">
        <v>1990</v>
      </c>
      <c r="G2642" s="4" t="s">
        <v>170</v>
      </c>
      <c r="H2642" s="4" t="s">
        <v>171</v>
      </c>
      <c r="I2642" s="4" t="s">
        <v>172</v>
      </c>
      <c r="J2642" s="4" t="s">
        <v>1380</v>
      </c>
      <c r="K2642" s="4" t="s">
        <v>105</v>
      </c>
      <c r="L2642" s="4"/>
      <c r="M2642" s="4"/>
      <c r="N2642" s="4" t="s">
        <v>2001</v>
      </c>
      <c r="O2642" s="4" t="s">
        <v>2002</v>
      </c>
      <c r="P2642" s="4" t="s">
        <v>68</v>
      </c>
      <c r="Q2642" s="4" t="s">
        <v>2111</v>
      </c>
      <c r="R2642" s="4"/>
      <c r="S2642" s="4"/>
      <c r="T2642" s="4"/>
      <c r="U2642" s="4"/>
      <c r="V2642" s="4"/>
      <c r="W2642" s="4" t="s">
        <v>3404</v>
      </c>
      <c r="X2642" s="4" t="s">
        <v>3405</v>
      </c>
      <c r="Y2642" s="4" t="inlineStr">
        <is>
          <t>COMB_GLP</t>
        </is>
      </c>
      <c r="Z2642" s="4"/>
      <c r="AA2642" s="4"/>
      <c r="AB2642" s="4"/>
      <c r="AC2642" s="4" t="s">
        <v>3352</v>
      </c>
      <c r="AD2642" s="4"/>
      <c r="AE2642" s="4"/>
      <c r="AF2642" s="4"/>
      <c r="AG2642" s="4"/>
      <c r="AH2642" s="4"/>
      <c r="AI2642" s="4"/>
      <c r="AJ2642" s="13" t="n">
        <v>1</v>
      </c>
      <c r="AK2642" s="4"/>
      <c r="AL2642" s="4"/>
      <c r="AM2642" s="4"/>
    </row>
    <row r="2643" customFormat="false" ht="23.85" hidden="false" customHeight="false" outlineLevel="0" collapsed="false">
      <c r="A2643" s="4" t="s">
        <v>3338</v>
      </c>
      <c r="B2643" s="4" t="s">
        <v>3620</v>
      </c>
      <c r="C2643" s="4" t="s">
        <v>3620</v>
      </c>
      <c r="D2643" s="12" t="n">
        <v>2022</v>
      </c>
      <c r="E2643" s="4"/>
      <c r="F2643" s="4" t="s">
        <v>1990</v>
      </c>
      <c r="G2643" s="4" t="s">
        <v>170</v>
      </c>
      <c r="H2643" s="4" t="s">
        <v>171</v>
      </c>
      <c r="I2643" s="4" t="s">
        <v>172</v>
      </c>
      <c r="J2643" s="4" t="s">
        <v>1384</v>
      </c>
      <c r="K2643" s="4" t="s">
        <v>107</v>
      </c>
      <c r="L2643" s="4"/>
      <c r="M2643" s="4"/>
      <c r="N2643" s="4" t="s">
        <v>1994</v>
      </c>
      <c r="O2643" s="4" t="s">
        <v>2029</v>
      </c>
      <c r="P2643" s="4" t="s">
        <v>69</v>
      </c>
      <c r="Q2643" s="4" t="s">
        <v>2030</v>
      </c>
      <c r="R2643" s="4"/>
      <c r="S2643" s="4"/>
      <c r="T2643" s="4"/>
      <c r="U2643" s="4"/>
      <c r="V2643" s="4"/>
      <c r="W2643" s="4"/>
      <c r="X2643" s="4"/>
      <c r="Y2643" s="4"/>
      <c r="Z2643" s="4"/>
      <c r="AA2643" s="4"/>
      <c r="AB2643" s="4"/>
      <c r="AC2643" s="4"/>
      <c r="AD2643" s="4"/>
      <c r="AE2643" s="4"/>
      <c r="AF2643" s="4"/>
      <c r="AG2643" s="4"/>
      <c r="AH2643" s="4"/>
      <c r="AI2643" s="4"/>
      <c r="AJ2643" s="13" t="n">
        <v>0</v>
      </c>
      <c r="AK2643" s="4"/>
      <c r="AL2643" s="4"/>
      <c r="AM2643" s="4"/>
    </row>
    <row r="2644" customFormat="false" ht="23.85" hidden="false" customHeight="false" outlineLevel="0" collapsed="false">
      <c r="A2644" s="4" t="s">
        <v>3338</v>
      </c>
      <c r="B2644" s="4" t="s">
        <v>3621</v>
      </c>
      <c r="C2644" s="4" t="s">
        <v>3621</v>
      </c>
      <c r="D2644" s="12" t="n">
        <v>2022</v>
      </c>
      <c r="E2644" s="4"/>
      <c r="F2644" s="4" t="s">
        <v>1990</v>
      </c>
      <c r="G2644" s="4" t="s">
        <v>170</v>
      </c>
      <c r="H2644" s="4" t="s">
        <v>171</v>
      </c>
      <c r="I2644" s="4" t="s">
        <v>172</v>
      </c>
      <c r="J2644" s="4" t="s">
        <v>1385</v>
      </c>
      <c r="K2644" s="4" t="s">
        <v>107</v>
      </c>
      <c r="L2644" s="4"/>
      <c r="M2644" s="4"/>
      <c r="N2644" s="4" t="s">
        <v>2001</v>
      </c>
      <c r="O2644" s="4" t="s">
        <v>2091</v>
      </c>
      <c r="P2644" s="4" t="s">
        <v>69</v>
      </c>
      <c r="Q2644" s="4" t="s">
        <v>2030</v>
      </c>
      <c r="R2644" s="4"/>
      <c r="S2644" s="4"/>
      <c r="T2644" s="4"/>
      <c r="U2644" s="4"/>
      <c r="V2644" s="4"/>
      <c r="W2644" s="4"/>
      <c r="X2644" s="4"/>
      <c r="Y2644" s="4"/>
      <c r="Z2644" s="4"/>
      <c r="AA2644" s="4"/>
      <c r="AB2644" s="4"/>
      <c r="AC2644" s="4"/>
      <c r="AD2644" s="4"/>
      <c r="AE2644" s="4"/>
      <c r="AF2644" s="4"/>
      <c r="AG2644" s="4"/>
      <c r="AH2644" s="4"/>
      <c r="AI2644" s="4"/>
      <c r="AJ2644" s="13" t="n">
        <v>0</v>
      </c>
      <c r="AK2644" s="4"/>
      <c r="AL2644" s="4"/>
      <c r="AM2644" s="4"/>
    </row>
    <row r="2645" customFormat="false" ht="23.85" hidden="false" customHeight="false" outlineLevel="0" collapsed="false">
      <c r="A2645" s="4" t="s">
        <v>3338</v>
      </c>
      <c r="B2645" s="4" t="s">
        <v>3622</v>
      </c>
      <c r="C2645" s="4" t="s">
        <v>3622</v>
      </c>
      <c r="D2645" s="12" t="n">
        <v>2022</v>
      </c>
      <c r="E2645" s="4"/>
      <c r="F2645" s="4" t="s">
        <v>1990</v>
      </c>
      <c r="G2645" s="4" t="s">
        <v>170</v>
      </c>
      <c r="H2645" s="4" t="s">
        <v>171</v>
      </c>
      <c r="I2645" s="4" t="s">
        <v>172</v>
      </c>
      <c r="J2645" s="4" t="s">
        <v>1386</v>
      </c>
      <c r="K2645" s="4" t="s">
        <v>107</v>
      </c>
      <c r="L2645" s="4"/>
      <c r="M2645" s="4"/>
      <c r="N2645" s="4" t="s">
        <v>2001</v>
      </c>
      <c r="O2645" s="4" t="s">
        <v>2034</v>
      </c>
      <c r="P2645" s="4" t="s">
        <v>74</v>
      </c>
      <c r="Q2645" s="4" t="s">
        <v>2035</v>
      </c>
      <c r="R2645" s="4"/>
      <c r="S2645" s="4"/>
      <c r="T2645" s="4"/>
      <c r="U2645" s="4"/>
      <c r="V2645" s="4"/>
      <c r="W2645" s="4"/>
      <c r="X2645" s="4"/>
      <c r="Y2645" s="4"/>
      <c r="Z2645" s="4"/>
      <c r="AA2645" s="4"/>
      <c r="AB2645" s="4"/>
      <c r="AC2645" s="4"/>
      <c r="AD2645" s="4"/>
      <c r="AE2645" s="4"/>
      <c r="AF2645" s="4"/>
      <c r="AG2645" s="4"/>
      <c r="AH2645" s="4"/>
      <c r="AI2645" s="4"/>
      <c r="AJ2645" s="13" t="n">
        <v>0</v>
      </c>
      <c r="AK2645" s="4"/>
      <c r="AL2645" s="4"/>
      <c r="AM2645" s="4"/>
    </row>
    <row r="2646" customFormat="false" ht="23.85" hidden="false" customHeight="false" outlineLevel="0" collapsed="false">
      <c r="A2646" s="4" t="s">
        <v>3338</v>
      </c>
      <c r="B2646" s="4" t="s">
        <v>3623</v>
      </c>
      <c r="C2646" s="4" t="s">
        <v>3623</v>
      </c>
      <c r="D2646" s="12" t="n">
        <v>2022</v>
      </c>
      <c r="E2646" s="4"/>
      <c r="F2646" s="4" t="s">
        <v>1990</v>
      </c>
      <c r="G2646" s="4" t="s">
        <v>170</v>
      </c>
      <c r="H2646" s="4" t="s">
        <v>171</v>
      </c>
      <c r="I2646" s="4" t="s">
        <v>172</v>
      </c>
      <c r="J2646" s="4" t="s">
        <v>1391</v>
      </c>
      <c r="K2646" s="4" t="s">
        <v>107</v>
      </c>
      <c r="L2646" s="4"/>
      <c r="M2646" s="4"/>
      <c r="N2646" s="4" t="s">
        <v>2001</v>
      </c>
      <c r="O2646" s="4" t="s">
        <v>2002</v>
      </c>
      <c r="P2646" s="4" t="s">
        <v>71</v>
      </c>
      <c r="Q2646" s="4" t="s">
        <v>2123</v>
      </c>
      <c r="R2646" s="4"/>
      <c r="S2646" s="4"/>
      <c r="T2646" s="4"/>
      <c r="U2646" s="4"/>
      <c r="V2646" s="4"/>
      <c r="W2646" s="4" t="s">
        <v>3412</v>
      </c>
      <c r="X2646" s="4" t="s">
        <v>3413</v>
      </c>
      <c r="Y2646" s="4" t="inlineStr">
        <is>
          <t>COMB_KER</t>
        </is>
      </c>
      <c r="Z2646" s="4"/>
      <c r="AA2646" s="4"/>
      <c r="AB2646" s="4"/>
      <c r="AC2646" s="4" t="s">
        <v>3352</v>
      </c>
      <c r="AD2646" s="4"/>
      <c r="AE2646" s="4"/>
      <c r="AF2646" s="4"/>
      <c r="AG2646" s="4"/>
      <c r="AH2646" s="4"/>
      <c r="AI2646" s="4"/>
      <c r="AJ2646" s="13" t="n">
        <v>1</v>
      </c>
      <c r="AK2646" s="4"/>
      <c r="AL2646" s="4"/>
      <c r="AM2646" s="4"/>
    </row>
    <row r="2647" customFormat="false" ht="23.85" hidden="false" customHeight="false" outlineLevel="0" collapsed="false">
      <c r="A2647" s="4" t="s">
        <v>3338</v>
      </c>
      <c r="B2647" s="4" t="s">
        <v>3624</v>
      </c>
      <c r="C2647" s="4" t="s">
        <v>3624</v>
      </c>
      <c r="D2647" s="12" t="n">
        <v>2022</v>
      </c>
      <c r="E2647" s="4"/>
      <c r="F2647" s="4" t="s">
        <v>1990</v>
      </c>
      <c r="G2647" s="4" t="s">
        <v>170</v>
      </c>
      <c r="H2647" s="4" t="s">
        <v>171</v>
      </c>
      <c r="I2647" s="4" t="s">
        <v>172</v>
      </c>
      <c r="J2647" s="4" t="s">
        <v>1398</v>
      </c>
      <c r="K2647" s="4" t="s">
        <v>111</v>
      </c>
      <c r="L2647" s="4"/>
      <c r="M2647" s="4"/>
      <c r="N2647" s="4" t="s">
        <v>1994</v>
      </c>
      <c r="O2647" s="4" t="s">
        <v>2029</v>
      </c>
      <c r="P2647" s="4" t="s">
        <v>69</v>
      </c>
      <c r="Q2647" s="4" t="s">
        <v>2030</v>
      </c>
      <c r="R2647" s="4"/>
      <c r="S2647" s="4"/>
      <c r="T2647" s="4"/>
      <c r="U2647" s="4"/>
      <c r="V2647" s="4"/>
      <c r="W2647" s="4"/>
      <c r="X2647" s="4"/>
      <c r="Y2647" s="4"/>
      <c r="Z2647" s="4"/>
      <c r="AA2647" s="4"/>
      <c r="AB2647" s="4"/>
      <c r="AC2647" s="4"/>
      <c r="AD2647" s="4"/>
      <c r="AE2647" s="4"/>
      <c r="AF2647" s="4"/>
      <c r="AG2647" s="4"/>
      <c r="AH2647" s="4"/>
      <c r="AI2647" s="4"/>
      <c r="AJ2647" s="13" t="n">
        <v>0</v>
      </c>
      <c r="AK2647" s="4"/>
      <c r="AL2647" s="4"/>
      <c r="AM2647" s="4"/>
    </row>
    <row r="2648" customFormat="false" ht="23.85" hidden="false" customHeight="false" outlineLevel="0" collapsed="false">
      <c r="A2648" s="4" t="s">
        <v>3338</v>
      </c>
      <c r="B2648" s="4" t="s">
        <v>3625</v>
      </c>
      <c r="C2648" s="4" t="s">
        <v>3625</v>
      </c>
      <c r="D2648" s="12" t="n">
        <v>2022</v>
      </c>
      <c r="E2648" s="4"/>
      <c r="F2648" s="4" t="s">
        <v>1990</v>
      </c>
      <c r="G2648" s="4" t="s">
        <v>170</v>
      </c>
      <c r="H2648" s="4" t="s">
        <v>171</v>
      </c>
      <c r="I2648" s="4" t="s">
        <v>172</v>
      </c>
      <c r="J2648" s="4" t="s">
        <v>1399</v>
      </c>
      <c r="K2648" s="4" t="s">
        <v>111</v>
      </c>
      <c r="L2648" s="4"/>
      <c r="M2648" s="4"/>
      <c r="N2648" s="4" t="s">
        <v>2001</v>
      </c>
      <c r="O2648" s="4" t="s">
        <v>2091</v>
      </c>
      <c r="P2648" s="4" t="s">
        <v>69</v>
      </c>
      <c r="Q2648" s="4" t="s">
        <v>2030</v>
      </c>
      <c r="R2648" s="4"/>
      <c r="S2648" s="4"/>
      <c r="T2648" s="4"/>
      <c r="U2648" s="4"/>
      <c r="V2648" s="4"/>
      <c r="W2648" s="4"/>
      <c r="X2648" s="4"/>
      <c r="Y2648" s="4"/>
      <c r="Z2648" s="4"/>
      <c r="AA2648" s="4"/>
      <c r="AB2648" s="4"/>
      <c r="AC2648" s="4"/>
      <c r="AD2648" s="4"/>
      <c r="AE2648" s="4"/>
      <c r="AF2648" s="4"/>
      <c r="AG2648" s="4"/>
      <c r="AH2648" s="4"/>
      <c r="AI2648" s="4"/>
      <c r="AJ2648" s="13" t="n">
        <v>0</v>
      </c>
      <c r="AK2648" s="4"/>
      <c r="AL2648" s="4"/>
      <c r="AM2648" s="4"/>
    </row>
    <row r="2649" customFormat="false" ht="23.85" hidden="false" customHeight="false" outlineLevel="0" collapsed="false">
      <c r="A2649" s="4" t="s">
        <v>3338</v>
      </c>
      <c r="B2649" s="4" t="s">
        <v>3626</v>
      </c>
      <c r="C2649" s="4" t="s">
        <v>3626</v>
      </c>
      <c r="D2649" s="12" t="n">
        <v>2022</v>
      </c>
      <c r="E2649" s="4"/>
      <c r="F2649" s="4" t="s">
        <v>1990</v>
      </c>
      <c r="G2649" s="4" t="s">
        <v>170</v>
      </c>
      <c r="H2649" s="4" t="s">
        <v>171</v>
      </c>
      <c r="I2649" s="4" t="s">
        <v>172</v>
      </c>
      <c r="J2649" s="4" t="s">
        <v>1400</v>
      </c>
      <c r="K2649" s="4" t="s">
        <v>111</v>
      </c>
      <c r="L2649" s="4"/>
      <c r="M2649" s="4"/>
      <c r="N2649" s="4" t="s">
        <v>2001</v>
      </c>
      <c r="O2649" s="4" t="s">
        <v>2034</v>
      </c>
      <c r="P2649" s="4" t="s">
        <v>74</v>
      </c>
      <c r="Q2649" s="4" t="s">
        <v>2035</v>
      </c>
      <c r="R2649" s="4"/>
      <c r="S2649" s="4"/>
      <c r="T2649" s="4"/>
      <c r="U2649" s="4"/>
      <c r="V2649" s="4"/>
      <c r="W2649" s="4"/>
      <c r="X2649" s="4"/>
      <c r="Y2649" s="4"/>
      <c r="Z2649" s="4"/>
      <c r="AA2649" s="4"/>
      <c r="AB2649" s="4"/>
      <c r="AC2649" s="4"/>
      <c r="AD2649" s="4"/>
      <c r="AE2649" s="4"/>
      <c r="AF2649" s="4"/>
      <c r="AG2649" s="4"/>
      <c r="AH2649" s="4"/>
      <c r="AI2649" s="4"/>
      <c r="AJ2649" s="13" t="n">
        <v>0</v>
      </c>
      <c r="AK2649" s="4"/>
      <c r="AL2649" s="4"/>
      <c r="AM2649" s="4"/>
    </row>
    <row r="2650" customFormat="false" ht="23.85" hidden="false" customHeight="false" outlineLevel="0" collapsed="false">
      <c r="A2650" s="4" t="s">
        <v>3338</v>
      </c>
      <c r="B2650" s="4" t="s">
        <v>3627</v>
      </c>
      <c r="C2650" s="4" t="s">
        <v>3627</v>
      </c>
      <c r="D2650" s="12" t="n">
        <v>2022</v>
      </c>
      <c r="E2650" s="4"/>
      <c r="F2650" s="4" t="s">
        <v>1990</v>
      </c>
      <c r="G2650" s="4" t="s">
        <v>170</v>
      </c>
      <c r="H2650" s="4" t="s">
        <v>171</v>
      </c>
      <c r="I2650" s="4" t="s">
        <v>172</v>
      </c>
      <c r="J2650" s="4" t="s">
        <v>1401</v>
      </c>
      <c r="K2650" s="4" t="s">
        <v>111</v>
      </c>
      <c r="L2650" s="4"/>
      <c r="M2650" s="4"/>
      <c r="N2650" s="4" t="s">
        <v>1994</v>
      </c>
      <c r="O2650" s="4" t="s">
        <v>1995</v>
      </c>
      <c r="P2650" s="4" t="s">
        <v>67</v>
      </c>
      <c r="Q2650" s="4" t="s">
        <v>2097</v>
      </c>
      <c r="R2650" s="4"/>
      <c r="S2650" s="4"/>
      <c r="T2650" s="4"/>
      <c r="U2650" s="4"/>
      <c r="V2650" s="4"/>
      <c r="W2650" s="4"/>
      <c r="X2650" s="4"/>
      <c r="Y2650" s="4"/>
      <c r="Z2650" s="4"/>
      <c r="AA2650" s="4"/>
      <c r="AB2650" s="4"/>
      <c r="AC2650" s="4"/>
      <c r="AD2650" s="4"/>
      <c r="AE2650" s="4"/>
      <c r="AF2650" s="4"/>
      <c r="AG2650" s="4"/>
      <c r="AH2650" s="4"/>
      <c r="AI2650" s="4"/>
      <c r="AJ2650" s="13" t="n">
        <v>0</v>
      </c>
      <c r="AK2650" s="4"/>
      <c r="AL2650" s="4"/>
      <c r="AM2650" s="4"/>
    </row>
    <row r="2651" customFormat="false" ht="35.05" hidden="false" customHeight="false" outlineLevel="0" collapsed="false">
      <c r="A2651" s="4" t="s">
        <v>3338</v>
      </c>
      <c r="B2651" s="4" t="s">
        <v>3628</v>
      </c>
      <c r="C2651" s="4" t="s">
        <v>3628</v>
      </c>
      <c r="D2651" s="12" t="n">
        <v>2022</v>
      </c>
      <c r="E2651" s="4"/>
      <c r="F2651" s="4" t="s">
        <v>1990</v>
      </c>
      <c r="G2651" s="4" t="s">
        <v>170</v>
      </c>
      <c r="H2651" s="4" t="s">
        <v>171</v>
      </c>
      <c r="I2651" s="4" t="s">
        <v>172</v>
      </c>
      <c r="J2651" s="4" t="s">
        <v>2574</v>
      </c>
      <c r="K2651" s="4" t="s">
        <v>91</v>
      </c>
      <c r="L2651" s="4"/>
      <c r="M2651" s="4"/>
      <c r="N2651" s="4" t="s">
        <v>2001</v>
      </c>
      <c r="O2651" s="4" t="s">
        <v>2218</v>
      </c>
      <c r="P2651" s="4" t="s">
        <v>44</v>
      </c>
      <c r="Q2651" s="4" t="s">
        <v>2219</v>
      </c>
      <c r="R2651" s="4"/>
      <c r="S2651" s="4"/>
      <c r="T2651" s="4"/>
      <c r="U2651" s="4"/>
      <c r="V2651" s="4"/>
      <c r="W2651" s="4"/>
      <c r="X2651" s="4"/>
      <c r="Y2651" s="4"/>
      <c r="Z2651" s="4"/>
      <c r="AA2651" s="4"/>
      <c r="AB2651" s="4"/>
      <c r="AC2651" s="4"/>
      <c r="AD2651" s="4"/>
      <c r="AE2651" s="4"/>
      <c r="AF2651" s="4"/>
      <c r="AG2651" s="4"/>
      <c r="AH2651" s="4"/>
      <c r="AI2651" s="4"/>
      <c r="AJ2651" s="13" t="n">
        <v>0</v>
      </c>
      <c r="AK2651" s="4"/>
      <c r="AL2651" s="4"/>
      <c r="AM2651" s="4"/>
    </row>
    <row r="2652" customFormat="false" ht="23.85" hidden="false" customHeight="false" outlineLevel="0" collapsed="false">
      <c r="A2652" s="4" t="s">
        <v>3338</v>
      </c>
      <c r="B2652" s="4" t="s">
        <v>3629</v>
      </c>
      <c r="C2652" s="4" t="s">
        <v>3629</v>
      </c>
      <c r="D2652" s="12" t="n">
        <v>2022</v>
      </c>
      <c r="E2652" s="4"/>
      <c r="F2652" s="4" t="s">
        <v>1990</v>
      </c>
      <c r="G2652" s="4" t="s">
        <v>170</v>
      </c>
      <c r="H2652" s="4" t="s">
        <v>171</v>
      </c>
      <c r="I2652" s="4" t="s">
        <v>172</v>
      </c>
      <c r="J2652" s="4" t="s">
        <v>2577</v>
      </c>
      <c r="K2652" s="4" t="s">
        <v>76</v>
      </c>
      <c r="L2652" s="4"/>
      <c r="M2652" s="4"/>
      <c r="N2652" s="4" t="s">
        <v>2001</v>
      </c>
      <c r="O2652" s="4" t="s">
        <v>2218</v>
      </c>
      <c r="P2652" s="4" t="s">
        <v>44</v>
      </c>
      <c r="Q2652" s="4" t="s">
        <v>2219</v>
      </c>
      <c r="R2652" s="4"/>
      <c r="S2652" s="4"/>
      <c r="T2652" s="4"/>
      <c r="U2652" s="4"/>
      <c r="V2652" s="4"/>
      <c r="W2652" s="4"/>
      <c r="X2652" s="4"/>
      <c r="Y2652" s="4"/>
      <c r="Z2652" s="4"/>
      <c r="AA2652" s="4"/>
      <c r="AB2652" s="4"/>
      <c r="AC2652" s="4"/>
      <c r="AD2652" s="4"/>
      <c r="AE2652" s="4"/>
      <c r="AF2652" s="4"/>
      <c r="AG2652" s="4"/>
      <c r="AH2652" s="4"/>
      <c r="AI2652" s="4"/>
      <c r="AJ2652" s="13" t="n">
        <v>0</v>
      </c>
      <c r="AK2652" s="4"/>
      <c r="AL2652" s="4"/>
      <c r="AM2652" s="4"/>
    </row>
    <row r="2653" customFormat="false" ht="23.85" hidden="false" customHeight="false" outlineLevel="0" collapsed="false">
      <c r="A2653" s="4" t="s">
        <v>3338</v>
      </c>
      <c r="B2653" s="4" t="s">
        <v>3630</v>
      </c>
      <c r="C2653" s="4" t="s">
        <v>3630</v>
      </c>
      <c r="D2653" s="12" t="n">
        <v>2022</v>
      </c>
      <c r="E2653" s="4"/>
      <c r="F2653" s="4" t="s">
        <v>1990</v>
      </c>
      <c r="G2653" s="4" t="s">
        <v>170</v>
      </c>
      <c r="H2653" s="4" t="s">
        <v>171</v>
      </c>
      <c r="I2653" s="4" t="s">
        <v>172</v>
      </c>
      <c r="J2653" s="4" t="s">
        <v>2580</v>
      </c>
      <c r="K2653" s="4" t="s">
        <v>99</v>
      </c>
      <c r="L2653" s="4"/>
      <c r="M2653" s="4"/>
      <c r="N2653" s="4" t="s">
        <v>2001</v>
      </c>
      <c r="O2653" s="4" t="s">
        <v>2218</v>
      </c>
      <c r="P2653" s="4" t="s">
        <v>44</v>
      </c>
      <c r="Q2653" s="4" t="s">
        <v>2219</v>
      </c>
      <c r="R2653" s="4"/>
      <c r="S2653" s="4"/>
      <c r="T2653" s="4"/>
      <c r="U2653" s="4"/>
      <c r="V2653" s="4"/>
      <c r="W2653" s="4"/>
      <c r="X2653" s="4"/>
      <c r="Y2653" s="4"/>
      <c r="Z2653" s="4"/>
      <c r="AA2653" s="4"/>
      <c r="AB2653" s="4"/>
      <c r="AC2653" s="4"/>
      <c r="AD2653" s="4"/>
      <c r="AE2653" s="4"/>
      <c r="AF2653" s="4"/>
      <c r="AG2653" s="4"/>
      <c r="AH2653" s="4"/>
      <c r="AI2653" s="4"/>
      <c r="AJ2653" s="13" t="n">
        <v>0</v>
      </c>
      <c r="AK2653" s="4"/>
      <c r="AL2653" s="4"/>
      <c r="AM2653" s="4"/>
    </row>
    <row r="2654" customFormat="false" ht="23.85" hidden="false" customHeight="false" outlineLevel="0" collapsed="false">
      <c r="A2654" s="4" t="s">
        <v>3338</v>
      </c>
      <c r="B2654" s="4" t="s">
        <v>3631</v>
      </c>
      <c r="C2654" s="4" t="s">
        <v>3631</v>
      </c>
      <c r="D2654" s="12" t="n">
        <v>2022</v>
      </c>
      <c r="E2654" s="4"/>
      <c r="F2654" s="4" t="s">
        <v>1990</v>
      </c>
      <c r="G2654" s="4" t="s">
        <v>170</v>
      </c>
      <c r="H2654" s="4" t="s">
        <v>171</v>
      </c>
      <c r="I2654" s="4" t="s">
        <v>172</v>
      </c>
      <c r="J2654" s="4" t="s">
        <v>2583</v>
      </c>
      <c r="K2654" s="4" t="s">
        <v>101</v>
      </c>
      <c r="L2654" s="4"/>
      <c r="M2654" s="4"/>
      <c r="N2654" s="4" t="s">
        <v>2001</v>
      </c>
      <c r="O2654" s="4" t="s">
        <v>2218</v>
      </c>
      <c r="P2654" s="4" t="s">
        <v>44</v>
      </c>
      <c r="Q2654" s="4" t="s">
        <v>2219</v>
      </c>
      <c r="R2654" s="4"/>
      <c r="S2654" s="4"/>
      <c r="T2654" s="4"/>
      <c r="U2654" s="4"/>
      <c r="V2654" s="4"/>
      <c r="W2654" s="4"/>
      <c r="X2654" s="4"/>
      <c r="Y2654" s="4"/>
      <c r="Z2654" s="4"/>
      <c r="AA2654" s="4"/>
      <c r="AB2654" s="4"/>
      <c r="AC2654" s="4"/>
      <c r="AD2654" s="4"/>
      <c r="AE2654" s="4"/>
      <c r="AF2654" s="4"/>
      <c r="AG2654" s="4"/>
      <c r="AH2654" s="4"/>
      <c r="AI2654" s="4"/>
      <c r="AJ2654" s="13" t="n">
        <v>0</v>
      </c>
      <c r="AK2654" s="4"/>
      <c r="AL2654" s="4"/>
      <c r="AM2654" s="4"/>
    </row>
    <row r="2655" customFormat="false" ht="23.85" hidden="false" customHeight="false" outlineLevel="0" collapsed="false">
      <c r="A2655" s="4" t="s">
        <v>3338</v>
      </c>
      <c r="B2655" s="4" t="s">
        <v>3632</v>
      </c>
      <c r="C2655" s="4" t="s">
        <v>3632</v>
      </c>
      <c r="D2655" s="12" t="n">
        <v>2022</v>
      </c>
      <c r="E2655" s="4"/>
      <c r="F2655" s="4" t="s">
        <v>1990</v>
      </c>
      <c r="G2655" s="4" t="s">
        <v>170</v>
      </c>
      <c r="H2655" s="4" t="s">
        <v>171</v>
      </c>
      <c r="I2655" s="4" t="s">
        <v>172</v>
      </c>
      <c r="J2655" s="4" t="s">
        <v>2586</v>
      </c>
      <c r="K2655" s="4" t="s">
        <v>103</v>
      </c>
      <c r="L2655" s="4"/>
      <c r="M2655" s="4"/>
      <c r="N2655" s="4" t="s">
        <v>2001</v>
      </c>
      <c r="O2655" s="4" t="s">
        <v>2218</v>
      </c>
      <c r="P2655" s="4" t="s">
        <v>44</v>
      </c>
      <c r="Q2655" s="4" t="s">
        <v>2219</v>
      </c>
      <c r="R2655" s="4"/>
      <c r="S2655" s="4"/>
      <c r="T2655" s="4"/>
      <c r="U2655" s="4"/>
      <c r="V2655" s="4"/>
      <c r="W2655" s="4"/>
      <c r="X2655" s="4"/>
      <c r="Y2655" s="4"/>
      <c r="Z2655" s="4"/>
      <c r="AA2655" s="4"/>
      <c r="AB2655" s="4"/>
      <c r="AC2655" s="4"/>
      <c r="AD2655" s="4"/>
      <c r="AE2655" s="4"/>
      <c r="AF2655" s="4"/>
      <c r="AG2655" s="4"/>
      <c r="AH2655" s="4"/>
      <c r="AI2655" s="4"/>
      <c r="AJ2655" s="13" t="n">
        <v>0</v>
      </c>
      <c r="AK2655" s="4"/>
      <c r="AL2655" s="4"/>
      <c r="AM2655" s="4"/>
    </row>
    <row r="2656" customFormat="false" ht="23.85" hidden="false" customHeight="false" outlineLevel="0" collapsed="false">
      <c r="A2656" s="4" t="s">
        <v>3338</v>
      </c>
      <c r="B2656" s="4" t="s">
        <v>3633</v>
      </c>
      <c r="C2656" s="4" t="s">
        <v>3633</v>
      </c>
      <c r="D2656" s="12" t="n">
        <v>2022</v>
      </c>
      <c r="E2656" s="4"/>
      <c r="F2656" s="4" t="s">
        <v>1990</v>
      </c>
      <c r="G2656" s="4" t="s">
        <v>170</v>
      </c>
      <c r="H2656" s="4" t="s">
        <v>171</v>
      </c>
      <c r="I2656" s="4" t="s">
        <v>172</v>
      </c>
      <c r="J2656" s="4" t="s">
        <v>2589</v>
      </c>
      <c r="K2656" s="4" t="s">
        <v>105</v>
      </c>
      <c r="L2656" s="4"/>
      <c r="M2656" s="4"/>
      <c r="N2656" s="4" t="s">
        <v>2001</v>
      </c>
      <c r="O2656" s="4" t="s">
        <v>2218</v>
      </c>
      <c r="P2656" s="4" t="s">
        <v>44</v>
      </c>
      <c r="Q2656" s="4" t="s">
        <v>2219</v>
      </c>
      <c r="R2656" s="4"/>
      <c r="S2656" s="4"/>
      <c r="T2656" s="4"/>
      <c r="U2656" s="4"/>
      <c r="V2656" s="4"/>
      <c r="W2656" s="4"/>
      <c r="X2656" s="4"/>
      <c r="Y2656" s="4"/>
      <c r="Z2656" s="4"/>
      <c r="AA2656" s="4"/>
      <c r="AB2656" s="4"/>
      <c r="AC2656" s="4"/>
      <c r="AD2656" s="4"/>
      <c r="AE2656" s="4"/>
      <c r="AF2656" s="4"/>
      <c r="AG2656" s="4"/>
      <c r="AH2656" s="4"/>
      <c r="AI2656" s="4"/>
      <c r="AJ2656" s="13" t="n">
        <v>0</v>
      </c>
      <c r="AK2656" s="4"/>
      <c r="AL2656" s="4"/>
      <c r="AM2656" s="4"/>
    </row>
    <row r="2657" customFormat="false" ht="23.85" hidden="false" customHeight="false" outlineLevel="0" collapsed="false">
      <c r="A2657" s="4" t="s">
        <v>3338</v>
      </c>
      <c r="B2657" s="4" t="s">
        <v>3634</v>
      </c>
      <c r="C2657" s="4" t="s">
        <v>3634</v>
      </c>
      <c r="D2657" s="12" t="n">
        <v>2022</v>
      </c>
      <c r="E2657" s="4"/>
      <c r="F2657" s="4" t="s">
        <v>1990</v>
      </c>
      <c r="G2657" s="4" t="s">
        <v>170</v>
      </c>
      <c r="H2657" s="4" t="s">
        <v>171</v>
      </c>
      <c r="I2657" s="4" t="s">
        <v>172</v>
      </c>
      <c r="J2657" s="4" t="s">
        <v>2592</v>
      </c>
      <c r="K2657" s="4" t="s">
        <v>107</v>
      </c>
      <c r="L2657" s="4"/>
      <c r="M2657" s="4"/>
      <c r="N2657" s="4" t="s">
        <v>2001</v>
      </c>
      <c r="O2657" s="4" t="s">
        <v>2218</v>
      </c>
      <c r="P2657" s="4" t="s">
        <v>44</v>
      </c>
      <c r="Q2657" s="4" t="s">
        <v>2219</v>
      </c>
      <c r="R2657" s="4"/>
      <c r="S2657" s="4"/>
      <c r="T2657" s="4"/>
      <c r="U2657" s="4"/>
      <c r="V2657" s="4"/>
      <c r="W2657" s="4"/>
      <c r="X2657" s="4"/>
      <c r="Y2657" s="4"/>
      <c r="Z2657" s="4"/>
      <c r="AA2657" s="4"/>
      <c r="AB2657" s="4"/>
      <c r="AC2657" s="4"/>
      <c r="AD2657" s="4"/>
      <c r="AE2657" s="4"/>
      <c r="AF2657" s="4"/>
      <c r="AG2657" s="4"/>
      <c r="AH2657" s="4"/>
      <c r="AI2657" s="4"/>
      <c r="AJ2657" s="13" t="n">
        <v>0</v>
      </c>
      <c r="AK2657" s="4"/>
      <c r="AL2657" s="4"/>
      <c r="AM2657" s="4"/>
    </row>
    <row r="2658" customFormat="false" ht="35.05" hidden="false" customHeight="false" outlineLevel="0" collapsed="false">
      <c r="A2658" s="4" t="s">
        <v>3338</v>
      </c>
      <c r="B2658" s="4" t="s">
        <v>3635</v>
      </c>
      <c r="C2658" s="4" t="s">
        <v>3635</v>
      </c>
      <c r="D2658" s="12" t="n">
        <v>2022</v>
      </c>
      <c r="E2658" s="4"/>
      <c r="F2658" s="4" t="s">
        <v>1990</v>
      </c>
      <c r="G2658" s="4" t="s">
        <v>1991</v>
      </c>
      <c r="H2658" s="4" t="s">
        <v>3458</v>
      </c>
      <c r="I2658" s="4"/>
      <c r="J2658" s="4" t="s">
        <v>2595</v>
      </c>
      <c r="K2658" s="4" t="s">
        <v>111</v>
      </c>
      <c r="L2658" s="4"/>
      <c r="M2658" s="4"/>
      <c r="N2658" s="4" t="s">
        <v>2001</v>
      </c>
      <c r="O2658" s="4" t="s">
        <v>2002</v>
      </c>
      <c r="P2658" s="4" t="s">
        <v>41</v>
      </c>
      <c r="Q2658" s="4" t="s">
        <v>2228</v>
      </c>
      <c r="R2658" s="4"/>
      <c r="S2658" s="4"/>
      <c r="T2658" s="4"/>
      <c r="U2658" s="4"/>
      <c r="V2658" s="4"/>
      <c r="W2658" s="4"/>
      <c r="X2658" s="4"/>
      <c r="Y2658" s="4"/>
      <c r="Z2658" s="4"/>
      <c r="AA2658" s="4"/>
      <c r="AB2658" s="4"/>
      <c r="AC2658" s="4"/>
      <c r="AD2658" s="4"/>
      <c r="AE2658" s="4"/>
      <c r="AF2658" s="4"/>
      <c r="AG2658" s="4"/>
      <c r="AH2658" s="4"/>
      <c r="AI2658" s="4"/>
      <c r="AJ2658" s="13" t="n">
        <v>0</v>
      </c>
      <c r="AK2658" s="4"/>
      <c r="AL2658" s="4"/>
      <c r="AM2658" s="4" t="s">
        <v>3459</v>
      </c>
    </row>
    <row r="2659" customFormat="false" ht="23.85" hidden="false" customHeight="false" outlineLevel="0" collapsed="false">
      <c r="A2659" s="4" t="s">
        <v>3338</v>
      </c>
      <c r="B2659" s="4" t="s">
        <v>3636</v>
      </c>
      <c r="C2659" s="4" t="s">
        <v>3636</v>
      </c>
      <c r="D2659" s="12" t="n">
        <v>2022</v>
      </c>
      <c r="E2659" s="4"/>
      <c r="F2659" s="4" t="s">
        <v>1990</v>
      </c>
      <c r="G2659" s="4" t="s">
        <v>170</v>
      </c>
      <c r="H2659" s="4" t="s">
        <v>171</v>
      </c>
      <c r="I2659" s="4" t="s">
        <v>172</v>
      </c>
      <c r="J2659" s="4" t="s">
        <v>2598</v>
      </c>
      <c r="K2659" s="4" t="s">
        <v>86</v>
      </c>
      <c r="L2659" s="4"/>
      <c r="M2659" s="4"/>
      <c r="N2659" s="4" t="s">
        <v>2001</v>
      </c>
      <c r="O2659" s="4" t="s">
        <v>2218</v>
      </c>
      <c r="P2659" s="4" t="s">
        <v>44</v>
      </c>
      <c r="Q2659" s="4" t="s">
        <v>2219</v>
      </c>
      <c r="R2659" s="4"/>
      <c r="S2659" s="4"/>
      <c r="T2659" s="4"/>
      <c r="U2659" s="4"/>
      <c r="V2659" s="4"/>
      <c r="W2659" s="4"/>
      <c r="X2659" s="4"/>
      <c r="Y2659" s="4"/>
      <c r="Z2659" s="4"/>
      <c r="AA2659" s="4"/>
      <c r="AB2659" s="4"/>
      <c r="AC2659" s="4"/>
      <c r="AD2659" s="4"/>
      <c r="AE2659" s="4"/>
      <c r="AF2659" s="4"/>
      <c r="AG2659" s="4"/>
      <c r="AH2659" s="4"/>
      <c r="AI2659" s="4"/>
      <c r="AJ2659" s="13" t="n">
        <v>0</v>
      </c>
      <c r="AK2659" s="4"/>
      <c r="AL2659" s="4"/>
      <c r="AM2659" s="4"/>
    </row>
    <row r="2660" customFormat="false" ht="23.85" hidden="false" customHeight="false" outlineLevel="0" collapsed="false">
      <c r="A2660" s="4" t="s">
        <v>3338</v>
      </c>
      <c r="B2660" s="4" t="s">
        <v>3637</v>
      </c>
      <c r="C2660" s="4" t="s">
        <v>3637</v>
      </c>
      <c r="D2660" s="12" t="n">
        <v>2021</v>
      </c>
      <c r="E2660" s="4"/>
      <c r="F2660" s="4" t="s">
        <v>1990</v>
      </c>
      <c r="G2660" s="4" t="s">
        <v>170</v>
      </c>
      <c r="H2660" s="4" t="s">
        <v>171</v>
      </c>
      <c r="I2660" s="4" t="s">
        <v>172</v>
      </c>
      <c r="J2660" s="4" t="s">
        <v>907</v>
      </c>
      <c r="K2660" s="4" t="s">
        <v>91</v>
      </c>
      <c r="L2660" s="4"/>
      <c r="M2660" s="4"/>
      <c r="N2660" s="4" t="s">
        <v>1994</v>
      </c>
      <c r="O2660" s="4" t="s">
        <v>1995</v>
      </c>
      <c r="P2660" s="4" t="s">
        <v>68</v>
      </c>
      <c r="Q2660" s="4" t="s">
        <v>1996</v>
      </c>
      <c r="R2660" s="4"/>
      <c r="S2660" s="4"/>
      <c r="T2660" s="4"/>
      <c r="U2660" s="4"/>
      <c r="V2660" s="4"/>
      <c r="W2660" s="4"/>
      <c r="X2660" s="4"/>
      <c r="Y2660" s="4"/>
      <c r="Z2660" s="4"/>
      <c r="AA2660" s="4"/>
      <c r="AB2660" s="4"/>
      <c r="AC2660" s="4"/>
      <c r="AD2660" s="4"/>
      <c r="AE2660" s="4"/>
      <c r="AF2660" s="4"/>
      <c r="AG2660" s="4"/>
      <c r="AH2660" s="4"/>
      <c r="AI2660" s="4"/>
      <c r="AJ2660" s="13" t="n">
        <v>0</v>
      </c>
      <c r="AK2660" s="4"/>
      <c r="AL2660" s="4"/>
      <c r="AM2660" s="4"/>
    </row>
    <row r="2661" customFormat="false" ht="23.85" hidden="false" customHeight="false" outlineLevel="0" collapsed="false">
      <c r="A2661" s="4" t="s">
        <v>3338</v>
      </c>
      <c r="B2661" s="4" t="s">
        <v>3638</v>
      </c>
      <c r="C2661" s="4" t="s">
        <v>3638</v>
      </c>
      <c r="D2661" s="12" t="n">
        <v>2021</v>
      </c>
      <c r="E2661" s="4"/>
      <c r="F2661" s="4" t="s">
        <v>1990</v>
      </c>
      <c r="G2661" s="4" t="s">
        <v>170</v>
      </c>
      <c r="H2661" s="4" t="s">
        <v>171</v>
      </c>
      <c r="I2661" s="4" t="s">
        <v>172</v>
      </c>
      <c r="J2661" s="4" t="s">
        <v>912</v>
      </c>
      <c r="K2661" s="4" t="s">
        <v>91</v>
      </c>
      <c r="L2661" s="4"/>
      <c r="M2661" s="4"/>
      <c r="N2661" s="4" t="s">
        <v>2001</v>
      </c>
      <c r="O2661" s="4" t="s">
        <v>2002</v>
      </c>
      <c r="P2661" s="4" t="s">
        <v>67</v>
      </c>
      <c r="Q2661" s="4" t="s">
        <v>2003</v>
      </c>
      <c r="R2661" s="4"/>
      <c r="S2661" s="4"/>
      <c r="T2661" s="4"/>
      <c r="U2661" s="4"/>
      <c r="V2661" s="4"/>
      <c r="W2661" s="4" t="s">
        <v>3341</v>
      </c>
      <c r="X2661" s="4" t="s">
        <v>3342</v>
      </c>
      <c r="Y2661" s="4" t="inlineStr">
        <is>
          <t>COMB_BCANA</t>
        </is>
      </c>
      <c r="Z2661" s="4"/>
      <c r="AA2661" s="4"/>
      <c r="AB2661" s="4"/>
      <c r="AC2661" s="4" t="s">
        <v>3344</v>
      </c>
      <c r="AD2661" s="4"/>
      <c r="AE2661" s="4"/>
      <c r="AF2661" s="4"/>
      <c r="AG2661" s="4"/>
      <c r="AH2661" s="4"/>
      <c r="AI2661" s="4"/>
      <c r="AJ2661" s="13" t="n">
        <v>1</v>
      </c>
      <c r="AK2661" s="4"/>
      <c r="AL2661" s="4"/>
      <c r="AM2661" s="4"/>
    </row>
    <row r="2662" customFormat="false" ht="23.85" hidden="false" customHeight="false" outlineLevel="0" collapsed="false">
      <c r="A2662" s="4" t="s">
        <v>3338</v>
      </c>
      <c r="B2662" s="4" t="s">
        <v>3639</v>
      </c>
      <c r="C2662" s="4" t="s">
        <v>3639</v>
      </c>
      <c r="D2662" s="12" t="n">
        <v>2021</v>
      </c>
      <c r="E2662" s="4"/>
      <c r="F2662" s="4" t="s">
        <v>1990</v>
      </c>
      <c r="G2662" s="4" t="s">
        <v>170</v>
      </c>
      <c r="H2662" s="4" t="s">
        <v>171</v>
      </c>
      <c r="I2662" s="4" t="s">
        <v>172</v>
      </c>
      <c r="J2662" s="4" t="s">
        <v>913</v>
      </c>
      <c r="K2662" s="4" t="s">
        <v>91</v>
      </c>
      <c r="L2662" s="4"/>
      <c r="M2662" s="4"/>
      <c r="N2662" s="4" t="s">
        <v>2001</v>
      </c>
      <c r="O2662" s="4" t="s">
        <v>2002</v>
      </c>
      <c r="P2662" s="4" t="s">
        <v>67</v>
      </c>
      <c r="Q2662" s="4" t="s">
        <v>2008</v>
      </c>
      <c r="R2662" s="4"/>
      <c r="S2662" s="4"/>
      <c r="T2662" s="4"/>
      <c r="U2662" s="4"/>
      <c r="V2662" s="4"/>
      <c r="W2662" s="4" t="s">
        <v>3341</v>
      </c>
      <c r="X2662" s="4" t="s">
        <v>3342</v>
      </c>
      <c r="Y2662" s="4" t="inlineStr">
        <is>
          <t>COMB_BCANA</t>
        </is>
      </c>
      <c r="Z2662" s="4"/>
      <c r="AA2662" s="4"/>
      <c r="AB2662" s="4"/>
      <c r="AC2662" s="4" t="s">
        <v>3344</v>
      </c>
      <c r="AD2662" s="4"/>
      <c r="AE2662" s="4"/>
      <c r="AF2662" s="4"/>
      <c r="AG2662" s="4"/>
      <c r="AH2662" s="4"/>
      <c r="AI2662" s="4"/>
      <c r="AJ2662" s="13" t="n">
        <v>1</v>
      </c>
      <c r="AK2662" s="4"/>
      <c r="AL2662" s="4"/>
      <c r="AM2662" s="4"/>
    </row>
    <row r="2663" customFormat="false" ht="23.85" hidden="false" customHeight="false" outlineLevel="0" collapsed="false">
      <c r="A2663" s="4" t="s">
        <v>3338</v>
      </c>
      <c r="B2663" s="4" t="s">
        <v>3640</v>
      </c>
      <c r="C2663" s="4" t="s">
        <v>3640</v>
      </c>
      <c r="D2663" s="12" t="n">
        <v>2021</v>
      </c>
      <c r="E2663" s="4"/>
      <c r="F2663" s="4" t="s">
        <v>1990</v>
      </c>
      <c r="G2663" s="4" t="s">
        <v>170</v>
      </c>
      <c r="H2663" s="4" t="s">
        <v>171</v>
      </c>
      <c r="I2663" s="4" t="s">
        <v>172</v>
      </c>
      <c r="J2663" s="4" t="s">
        <v>921</v>
      </c>
      <c r="K2663" s="4" t="s">
        <v>93</v>
      </c>
      <c r="L2663" s="4"/>
      <c r="M2663" s="4"/>
      <c r="N2663" s="4" t="s">
        <v>1994</v>
      </c>
      <c r="O2663" s="4" t="s">
        <v>1995</v>
      </c>
      <c r="P2663" s="4" t="s">
        <v>67</v>
      </c>
      <c r="Q2663" s="4" t="s">
        <v>2012</v>
      </c>
      <c r="R2663" s="4"/>
      <c r="S2663" s="4"/>
      <c r="T2663" s="4"/>
      <c r="U2663" s="4"/>
      <c r="V2663" s="4"/>
      <c r="W2663" s="4"/>
      <c r="X2663" s="4"/>
      <c r="Y2663" s="4"/>
      <c r="Z2663" s="4"/>
      <c r="AA2663" s="4"/>
      <c r="AB2663" s="4"/>
      <c r="AC2663" s="4"/>
      <c r="AD2663" s="4"/>
      <c r="AE2663" s="4"/>
      <c r="AF2663" s="4"/>
      <c r="AG2663" s="4"/>
      <c r="AH2663" s="4"/>
      <c r="AI2663" s="4"/>
      <c r="AJ2663" s="13" t="n">
        <v>0</v>
      </c>
      <c r="AK2663" s="4"/>
      <c r="AL2663" s="4"/>
      <c r="AM2663" s="4"/>
    </row>
    <row r="2664" customFormat="false" ht="23.85" hidden="false" customHeight="false" outlineLevel="0" collapsed="false">
      <c r="A2664" s="4" t="s">
        <v>3338</v>
      </c>
      <c r="B2664" s="4" t="s">
        <v>3641</v>
      </c>
      <c r="C2664" s="4" t="s">
        <v>3641</v>
      </c>
      <c r="D2664" s="12" t="n">
        <v>2021</v>
      </c>
      <c r="E2664" s="4"/>
      <c r="F2664" s="4" t="s">
        <v>1990</v>
      </c>
      <c r="G2664" s="4" t="s">
        <v>170</v>
      </c>
      <c r="H2664" s="4" t="s">
        <v>171</v>
      </c>
      <c r="I2664" s="4" t="s">
        <v>172</v>
      </c>
      <c r="J2664" s="4" t="s">
        <v>926</v>
      </c>
      <c r="K2664" s="4" t="s">
        <v>93</v>
      </c>
      <c r="L2664" s="4"/>
      <c r="M2664" s="4"/>
      <c r="N2664" s="4" t="s">
        <v>2001</v>
      </c>
      <c r="O2664" s="4" t="s">
        <v>2002</v>
      </c>
      <c r="P2664" s="4" t="s">
        <v>67</v>
      </c>
      <c r="Q2664" s="4" t="s">
        <v>2003</v>
      </c>
      <c r="R2664" s="4"/>
      <c r="S2664" s="4"/>
      <c r="T2664" s="4"/>
      <c r="U2664" s="4"/>
      <c r="V2664" s="4"/>
      <c r="W2664" s="4" t="s">
        <v>3341</v>
      </c>
      <c r="X2664" s="4" t="s">
        <v>3342</v>
      </c>
      <c r="Y2664" s="4" t="inlineStr">
        <is>
          <t>COMB_BIOGAS</t>
        </is>
      </c>
      <c r="Z2664" s="4"/>
      <c r="AA2664" s="4"/>
      <c r="AB2664" s="4"/>
      <c r="AC2664" s="4" t="s">
        <v>3344</v>
      </c>
      <c r="AD2664" s="4"/>
      <c r="AE2664" s="4"/>
      <c r="AF2664" s="4"/>
      <c r="AG2664" s="4"/>
      <c r="AH2664" s="4"/>
      <c r="AI2664" s="4"/>
      <c r="AJ2664" s="13" t="n">
        <v>1</v>
      </c>
      <c r="AK2664" s="4"/>
      <c r="AL2664" s="4"/>
      <c r="AM2664" s="4"/>
    </row>
    <row r="2665" customFormat="false" ht="23.85" hidden="false" customHeight="false" outlineLevel="0" collapsed="false">
      <c r="A2665" s="4" t="s">
        <v>3338</v>
      </c>
      <c r="B2665" s="4" t="s">
        <v>3642</v>
      </c>
      <c r="C2665" s="4" t="s">
        <v>3642</v>
      </c>
      <c r="D2665" s="12" t="n">
        <v>2021</v>
      </c>
      <c r="E2665" s="4"/>
      <c r="F2665" s="4" t="s">
        <v>3349</v>
      </c>
      <c r="G2665" s="4" t="s">
        <v>170</v>
      </c>
      <c r="H2665" s="4" t="s">
        <v>171</v>
      </c>
      <c r="I2665" s="4" t="s">
        <v>172</v>
      </c>
      <c r="J2665" s="4" t="s">
        <v>935</v>
      </c>
      <c r="K2665" s="4" t="s">
        <v>76</v>
      </c>
      <c r="L2665" s="4"/>
      <c r="M2665" s="4"/>
      <c r="N2665" s="4" t="s">
        <v>1994</v>
      </c>
      <c r="O2665" s="4" t="s">
        <v>65</v>
      </c>
      <c r="P2665" s="4" t="s">
        <v>64</v>
      </c>
      <c r="Q2665" s="4" t="s">
        <v>2019</v>
      </c>
      <c r="R2665" s="4"/>
      <c r="S2665" s="4"/>
      <c r="T2665" s="4"/>
      <c r="U2665" s="4"/>
      <c r="V2665" s="4"/>
      <c r="W2665" s="4" t="s">
        <v>3350</v>
      </c>
      <c r="X2665" s="4" t="s">
        <v>3351</v>
      </c>
      <c r="Y2665" s="4" t="s">
        <v>3349</v>
      </c>
      <c r="Z2665" s="4"/>
      <c r="AA2665" s="4"/>
      <c r="AB2665" s="4"/>
      <c r="AC2665" s="4" t="s">
        <v>3352</v>
      </c>
      <c r="AD2665" s="4"/>
      <c r="AE2665" s="4"/>
      <c r="AF2665" s="4"/>
      <c r="AG2665" s="4"/>
      <c r="AH2665" s="4"/>
      <c r="AI2665" s="4"/>
      <c r="AJ2665" s="13" t="n">
        <v>1</v>
      </c>
      <c r="AK2665" s="4"/>
      <c r="AL2665" s="4"/>
      <c r="AM2665" s="4"/>
    </row>
    <row r="2666" customFormat="false" ht="23.85" hidden="false" customHeight="false" outlineLevel="0" collapsed="false">
      <c r="A2666" s="4" t="s">
        <v>3338</v>
      </c>
      <c r="B2666" s="4" t="s">
        <v>3643</v>
      </c>
      <c r="C2666" s="4" t="s">
        <v>3643</v>
      </c>
      <c r="D2666" s="12" t="n">
        <v>2021</v>
      </c>
      <c r="E2666" s="4"/>
      <c r="F2666" s="4" t="s">
        <v>1990</v>
      </c>
      <c r="G2666" s="4" t="s">
        <v>170</v>
      </c>
      <c r="H2666" s="4" t="s">
        <v>171</v>
      </c>
      <c r="I2666" s="4" t="s">
        <v>172</v>
      </c>
      <c r="J2666" s="4" t="s">
        <v>935</v>
      </c>
      <c r="K2666" s="4" t="s">
        <v>76</v>
      </c>
      <c r="L2666" s="4"/>
      <c r="M2666" s="4"/>
      <c r="N2666" s="4" t="s">
        <v>2001</v>
      </c>
      <c r="O2666" s="4" t="s">
        <v>66</v>
      </c>
      <c r="P2666" s="4" t="s">
        <v>66</v>
      </c>
      <c r="Q2666" s="4" t="s">
        <v>2019</v>
      </c>
      <c r="R2666" s="4"/>
      <c r="S2666" s="4"/>
      <c r="T2666" s="4"/>
      <c r="U2666" s="4"/>
      <c r="V2666" s="4"/>
      <c r="W2666" s="4"/>
      <c r="X2666" s="4"/>
      <c r="Y2666" s="4"/>
      <c r="Z2666" s="4"/>
      <c r="AA2666" s="4"/>
      <c r="AB2666" s="4"/>
      <c r="AC2666" s="4"/>
      <c r="AD2666" s="4"/>
      <c r="AE2666" s="4"/>
      <c r="AF2666" s="4"/>
      <c r="AG2666" s="4"/>
      <c r="AH2666" s="4"/>
      <c r="AI2666" s="4"/>
      <c r="AJ2666" s="13" t="n">
        <v>0</v>
      </c>
      <c r="AK2666" s="4"/>
      <c r="AL2666" s="4"/>
      <c r="AM2666" s="4"/>
    </row>
    <row r="2667" customFormat="false" ht="23.85" hidden="false" customHeight="false" outlineLevel="0" collapsed="false">
      <c r="A2667" s="4" t="s">
        <v>3338</v>
      </c>
      <c r="B2667" s="4" t="s">
        <v>3644</v>
      </c>
      <c r="C2667" s="4" t="s">
        <v>3644</v>
      </c>
      <c r="D2667" s="12" t="n">
        <v>2021</v>
      </c>
      <c r="E2667" s="4"/>
      <c r="F2667" s="4" t="s">
        <v>1990</v>
      </c>
      <c r="G2667" s="4" t="s">
        <v>170</v>
      </c>
      <c r="H2667" s="4" t="s">
        <v>171</v>
      </c>
      <c r="I2667" s="4" t="s">
        <v>172</v>
      </c>
      <c r="J2667" s="4" t="s">
        <v>935</v>
      </c>
      <c r="K2667" s="4" t="s">
        <v>76</v>
      </c>
      <c r="L2667" s="4"/>
      <c r="M2667" s="4"/>
      <c r="N2667" s="4" t="s">
        <v>1994</v>
      </c>
      <c r="O2667" s="4" t="s">
        <v>1995</v>
      </c>
      <c r="P2667" s="4" t="s">
        <v>66</v>
      </c>
      <c r="Q2667" s="4" t="s">
        <v>2019</v>
      </c>
      <c r="R2667" s="4"/>
      <c r="S2667" s="4"/>
      <c r="T2667" s="4"/>
      <c r="U2667" s="4"/>
      <c r="V2667" s="4"/>
      <c r="W2667" s="4"/>
      <c r="X2667" s="4"/>
      <c r="Y2667" s="4"/>
      <c r="Z2667" s="4"/>
      <c r="AA2667" s="4"/>
      <c r="AB2667" s="4"/>
      <c r="AC2667" s="4"/>
      <c r="AD2667" s="4"/>
      <c r="AE2667" s="4"/>
      <c r="AF2667" s="4"/>
      <c r="AG2667" s="4"/>
      <c r="AH2667" s="4"/>
      <c r="AI2667" s="4"/>
      <c r="AJ2667" s="13" t="n">
        <v>0</v>
      </c>
      <c r="AK2667" s="4"/>
      <c r="AL2667" s="4"/>
      <c r="AM2667" s="4"/>
    </row>
    <row r="2668" customFormat="false" ht="23.85" hidden="false" customHeight="false" outlineLevel="0" collapsed="false">
      <c r="A2668" s="4" t="s">
        <v>3338</v>
      </c>
      <c r="B2668" s="4" t="s">
        <v>3645</v>
      </c>
      <c r="C2668" s="4" t="s">
        <v>3645</v>
      </c>
      <c r="D2668" s="12" t="n">
        <v>2021</v>
      </c>
      <c r="E2668" s="4"/>
      <c r="F2668" s="4" t="s">
        <v>1990</v>
      </c>
      <c r="G2668" s="4" t="s">
        <v>170</v>
      </c>
      <c r="H2668" s="4" t="s">
        <v>171</v>
      </c>
      <c r="I2668" s="4" t="s">
        <v>172</v>
      </c>
      <c r="J2668" s="4" t="s">
        <v>936</v>
      </c>
      <c r="K2668" s="4" t="s">
        <v>76</v>
      </c>
      <c r="L2668" s="4"/>
      <c r="M2668" s="4"/>
      <c r="N2668" s="4" t="s">
        <v>1994</v>
      </c>
      <c r="O2668" s="4" t="s">
        <v>2029</v>
      </c>
      <c r="P2668" s="4" t="s">
        <v>69</v>
      </c>
      <c r="Q2668" s="4" t="s">
        <v>2030</v>
      </c>
      <c r="R2668" s="4"/>
      <c r="S2668" s="4"/>
      <c r="T2668" s="4"/>
      <c r="U2668" s="4"/>
      <c r="V2668" s="4"/>
      <c r="W2668" s="4"/>
      <c r="X2668" s="4"/>
      <c r="Y2668" s="4"/>
      <c r="Z2668" s="4"/>
      <c r="AA2668" s="4"/>
      <c r="AB2668" s="4"/>
      <c r="AC2668" s="4"/>
      <c r="AD2668" s="4"/>
      <c r="AE2668" s="4"/>
      <c r="AF2668" s="4"/>
      <c r="AG2668" s="4"/>
      <c r="AH2668" s="4"/>
      <c r="AI2668" s="4"/>
      <c r="AJ2668" s="13" t="n">
        <v>0</v>
      </c>
      <c r="AK2668" s="4"/>
      <c r="AL2668" s="4"/>
      <c r="AM2668" s="4"/>
    </row>
    <row r="2669" customFormat="false" ht="23.85" hidden="false" customHeight="false" outlineLevel="0" collapsed="false">
      <c r="A2669" s="4" t="s">
        <v>3338</v>
      </c>
      <c r="B2669" s="4" t="s">
        <v>3646</v>
      </c>
      <c r="C2669" s="4" t="s">
        <v>3646</v>
      </c>
      <c r="D2669" s="12" t="n">
        <v>2021</v>
      </c>
      <c r="E2669" s="4"/>
      <c r="F2669" s="4" t="s">
        <v>1990</v>
      </c>
      <c r="G2669" s="4" t="s">
        <v>170</v>
      </c>
      <c r="H2669" s="4" t="s">
        <v>171</v>
      </c>
      <c r="I2669" s="4" t="s">
        <v>172</v>
      </c>
      <c r="J2669" s="4" t="s">
        <v>938</v>
      </c>
      <c r="K2669" s="4" t="s">
        <v>76</v>
      </c>
      <c r="L2669" s="4"/>
      <c r="M2669" s="4"/>
      <c r="N2669" s="4" t="s">
        <v>2001</v>
      </c>
      <c r="O2669" s="4" t="s">
        <v>2034</v>
      </c>
      <c r="P2669" s="4" t="s">
        <v>74</v>
      </c>
      <c r="Q2669" s="4" t="s">
        <v>2035</v>
      </c>
      <c r="R2669" s="4"/>
      <c r="S2669" s="4"/>
      <c r="T2669" s="4"/>
      <c r="U2669" s="4"/>
      <c r="V2669" s="4"/>
      <c r="W2669" s="4"/>
      <c r="X2669" s="4"/>
      <c r="Y2669" s="4"/>
      <c r="Z2669" s="4"/>
      <c r="AA2669" s="4"/>
      <c r="AB2669" s="4"/>
      <c r="AC2669" s="4"/>
      <c r="AD2669" s="4"/>
      <c r="AE2669" s="4"/>
      <c r="AF2669" s="4"/>
      <c r="AG2669" s="4"/>
      <c r="AH2669" s="4"/>
      <c r="AI2669" s="4"/>
      <c r="AJ2669" s="13" t="n">
        <v>0</v>
      </c>
      <c r="AK2669" s="4"/>
      <c r="AL2669" s="4"/>
      <c r="AM2669" s="4"/>
    </row>
    <row r="2670" customFormat="false" ht="23.85" hidden="false" customHeight="false" outlineLevel="0" collapsed="false">
      <c r="A2670" s="4" t="s">
        <v>3338</v>
      </c>
      <c r="B2670" s="4" t="s">
        <v>3647</v>
      </c>
      <c r="C2670" s="4" t="s">
        <v>3647</v>
      </c>
      <c r="D2670" s="12" t="n">
        <v>2021</v>
      </c>
      <c r="E2670" s="4"/>
      <c r="F2670" s="4" t="s">
        <v>1990</v>
      </c>
      <c r="G2670" s="4" t="s">
        <v>170</v>
      </c>
      <c r="H2670" s="4" t="s">
        <v>171</v>
      </c>
      <c r="I2670" s="4" t="s">
        <v>172</v>
      </c>
      <c r="J2670" s="4" t="s">
        <v>940</v>
      </c>
      <c r="K2670" s="4" t="s">
        <v>76</v>
      </c>
      <c r="L2670" s="4"/>
      <c r="M2670" s="4"/>
      <c r="N2670" s="4" t="s">
        <v>2001</v>
      </c>
      <c r="O2670" s="4" t="s">
        <v>2002</v>
      </c>
      <c r="P2670" s="4" t="s">
        <v>67</v>
      </c>
      <c r="Q2670" s="4" t="s">
        <v>2003</v>
      </c>
      <c r="R2670" s="4"/>
      <c r="S2670" s="4"/>
      <c r="T2670" s="4"/>
      <c r="U2670" s="4"/>
      <c r="V2670" s="4"/>
      <c r="W2670" s="4" t="s">
        <v>3341</v>
      </c>
      <c r="X2670" s="4" t="s">
        <v>3342</v>
      </c>
      <c r="Y2670" s="4" t="inlineStr">
        <is>
          <t>COMB_CRBN</t>
        </is>
      </c>
      <c r="Z2670" s="4"/>
      <c r="AA2670" s="4"/>
      <c r="AB2670" s="4"/>
      <c r="AC2670" s="4" t="s">
        <v>3352</v>
      </c>
      <c r="AD2670" s="4"/>
      <c r="AE2670" s="4"/>
      <c r="AF2670" s="4"/>
      <c r="AG2670" s="4"/>
      <c r="AH2670" s="4"/>
      <c r="AI2670" s="4"/>
      <c r="AJ2670" s="13" t="n">
        <v>1</v>
      </c>
      <c r="AK2670" s="4"/>
      <c r="AL2670" s="4"/>
      <c r="AM2670" s="4"/>
    </row>
    <row r="2671" customFormat="false" ht="23.85" hidden="false" customHeight="false" outlineLevel="0" collapsed="false">
      <c r="A2671" s="4" t="s">
        <v>3338</v>
      </c>
      <c r="B2671" s="4" t="s">
        <v>3648</v>
      </c>
      <c r="C2671" s="4" t="s">
        <v>3648</v>
      </c>
      <c r="D2671" s="12" t="n">
        <v>2021</v>
      </c>
      <c r="E2671" s="4"/>
      <c r="F2671" s="4" t="s">
        <v>1990</v>
      </c>
      <c r="G2671" s="4" t="s">
        <v>170</v>
      </c>
      <c r="H2671" s="4" t="s">
        <v>171</v>
      </c>
      <c r="I2671" s="4" t="s">
        <v>172</v>
      </c>
      <c r="J2671" s="4" t="s">
        <v>941</v>
      </c>
      <c r="K2671" s="4" t="s">
        <v>76</v>
      </c>
      <c r="L2671" s="4"/>
      <c r="M2671" s="4"/>
      <c r="N2671" s="4" t="s">
        <v>2001</v>
      </c>
      <c r="O2671" s="4" t="s">
        <v>2002</v>
      </c>
      <c r="P2671" s="4" t="s">
        <v>67</v>
      </c>
      <c r="Q2671" s="4" t="s">
        <v>2008</v>
      </c>
      <c r="R2671" s="4"/>
      <c r="S2671" s="4"/>
      <c r="T2671" s="4"/>
      <c r="U2671" s="4"/>
      <c r="V2671" s="4"/>
      <c r="W2671" s="4" t="s">
        <v>3341</v>
      </c>
      <c r="X2671" s="4" t="s">
        <v>3342</v>
      </c>
      <c r="Y2671" s="4" t="inlineStr">
        <is>
          <t>COMB_CRBN</t>
        </is>
      </c>
      <c r="Z2671" s="4"/>
      <c r="AA2671" s="4"/>
      <c r="AB2671" s="4"/>
      <c r="AC2671" s="4" t="s">
        <v>3352</v>
      </c>
      <c r="AD2671" s="4"/>
      <c r="AE2671" s="4"/>
      <c r="AF2671" s="4"/>
      <c r="AG2671" s="4"/>
      <c r="AH2671" s="4"/>
      <c r="AI2671" s="4"/>
      <c r="AJ2671" s="13" t="n">
        <v>1</v>
      </c>
      <c r="AK2671" s="4"/>
      <c r="AL2671" s="4"/>
      <c r="AM2671" s="4"/>
    </row>
    <row r="2672" customFormat="false" ht="23.85" hidden="false" customHeight="false" outlineLevel="0" collapsed="false">
      <c r="A2672" s="4" t="s">
        <v>3338</v>
      </c>
      <c r="B2672" s="4" t="s">
        <v>3649</v>
      </c>
      <c r="C2672" s="4" t="s">
        <v>3649</v>
      </c>
      <c r="D2672" s="12" t="n">
        <v>2021</v>
      </c>
      <c r="E2672" s="4"/>
      <c r="F2672" s="4" t="s">
        <v>1990</v>
      </c>
      <c r="G2672" s="4" t="s">
        <v>170</v>
      </c>
      <c r="H2672" s="4" t="s">
        <v>171</v>
      </c>
      <c r="I2672" s="4" t="s">
        <v>172</v>
      </c>
      <c r="J2672" s="4" t="s">
        <v>949</v>
      </c>
      <c r="K2672" s="4" t="s">
        <v>78</v>
      </c>
      <c r="L2672" s="4"/>
      <c r="M2672" s="4"/>
      <c r="N2672" s="4" t="s">
        <v>1994</v>
      </c>
      <c r="O2672" s="4" t="s">
        <v>65</v>
      </c>
      <c r="P2672" s="4" t="s">
        <v>64</v>
      </c>
      <c r="Q2672" s="4" t="s">
        <v>2044</v>
      </c>
      <c r="R2672" s="4"/>
      <c r="S2672" s="4"/>
      <c r="T2672" s="4"/>
      <c r="U2672" s="4"/>
      <c r="V2672" s="4"/>
      <c r="W2672" s="4"/>
      <c r="X2672" s="4"/>
      <c r="Y2672" s="4"/>
      <c r="Z2672" s="4"/>
      <c r="AA2672" s="4"/>
      <c r="AB2672" s="4"/>
      <c r="AC2672" s="4"/>
      <c r="AD2672" s="4"/>
      <c r="AE2672" s="4"/>
      <c r="AF2672" s="4"/>
      <c r="AG2672" s="4"/>
      <c r="AH2672" s="4"/>
      <c r="AI2672" s="4"/>
      <c r="AJ2672" s="13" t="n">
        <v>0</v>
      </c>
      <c r="AK2672" s="4"/>
      <c r="AL2672" s="4"/>
      <c r="AM2672" s="4"/>
    </row>
    <row r="2673" customFormat="false" ht="23.85" hidden="false" customHeight="false" outlineLevel="0" collapsed="false">
      <c r="A2673" s="4" t="s">
        <v>3338</v>
      </c>
      <c r="B2673" s="4" t="s">
        <v>3650</v>
      </c>
      <c r="C2673" s="4" t="s">
        <v>3650</v>
      </c>
      <c r="D2673" s="12" t="n">
        <v>2021</v>
      </c>
      <c r="E2673" s="4"/>
      <c r="F2673" s="4" t="s">
        <v>1990</v>
      </c>
      <c r="G2673" s="4" t="s">
        <v>170</v>
      </c>
      <c r="H2673" s="4" t="s">
        <v>171</v>
      </c>
      <c r="I2673" s="4" t="s">
        <v>172</v>
      </c>
      <c r="J2673" s="4" t="s">
        <v>954</v>
      </c>
      <c r="K2673" s="4" t="s">
        <v>78</v>
      </c>
      <c r="L2673" s="4"/>
      <c r="M2673" s="4"/>
      <c r="N2673" s="4" t="s">
        <v>2001</v>
      </c>
      <c r="O2673" s="4" t="s">
        <v>66</v>
      </c>
      <c r="P2673" s="4" t="s">
        <v>67</v>
      </c>
      <c r="Q2673" s="4" t="s">
        <v>2003</v>
      </c>
      <c r="R2673" s="4"/>
      <c r="S2673" s="4"/>
      <c r="T2673" s="4"/>
      <c r="U2673" s="4"/>
      <c r="V2673" s="4"/>
      <c r="W2673" s="4" t="s">
        <v>3341</v>
      </c>
      <c r="X2673" s="4" t="s">
        <v>3342</v>
      </c>
      <c r="Y2673" s="4" t="s">
        <v>3362</v>
      </c>
      <c r="Z2673" s="4"/>
      <c r="AA2673" s="4"/>
      <c r="AB2673" s="4"/>
      <c r="AC2673" s="4" t="s">
        <v>3363</v>
      </c>
      <c r="AD2673" s="4"/>
      <c r="AE2673" s="4"/>
      <c r="AF2673" s="4"/>
      <c r="AG2673" s="4"/>
      <c r="AH2673" s="4"/>
      <c r="AI2673" s="4"/>
      <c r="AJ2673" s="13" t="n">
        <v>1</v>
      </c>
      <c r="AK2673" s="4"/>
      <c r="AL2673" s="4"/>
      <c r="AM2673" s="4"/>
    </row>
    <row r="2674" customFormat="false" ht="23.85" hidden="false" customHeight="false" outlineLevel="0" collapsed="false">
      <c r="A2674" s="4" t="s">
        <v>3338</v>
      </c>
      <c r="B2674" s="4" t="s">
        <v>3651</v>
      </c>
      <c r="C2674" s="4" t="s">
        <v>3651</v>
      </c>
      <c r="D2674" s="12" t="n">
        <v>2021</v>
      </c>
      <c r="E2674" s="4"/>
      <c r="F2674" s="4" t="s">
        <v>1990</v>
      </c>
      <c r="G2674" s="4" t="s">
        <v>170</v>
      </c>
      <c r="H2674" s="4" t="s">
        <v>171</v>
      </c>
      <c r="I2674" s="4" t="s">
        <v>172</v>
      </c>
      <c r="J2674" s="4" t="s">
        <v>963</v>
      </c>
      <c r="K2674" s="4" t="s">
        <v>80</v>
      </c>
      <c r="L2674" s="4"/>
      <c r="M2674" s="4"/>
      <c r="N2674" s="4" t="s">
        <v>1994</v>
      </c>
      <c r="O2674" s="4" t="s">
        <v>65</v>
      </c>
      <c r="P2674" s="4" t="s">
        <v>64</v>
      </c>
      <c r="Q2674" s="4" t="s">
        <v>2044</v>
      </c>
      <c r="R2674" s="4"/>
      <c r="S2674" s="4"/>
      <c r="T2674" s="4"/>
      <c r="U2674" s="4"/>
      <c r="V2674" s="4"/>
      <c r="W2674" s="4"/>
      <c r="X2674" s="4"/>
      <c r="Y2674" s="4"/>
      <c r="Z2674" s="4"/>
      <c r="AA2674" s="4"/>
      <c r="AB2674" s="4"/>
      <c r="AC2674" s="4"/>
      <c r="AD2674" s="4"/>
      <c r="AE2674" s="4"/>
      <c r="AF2674" s="4"/>
      <c r="AG2674" s="4"/>
      <c r="AH2674" s="4"/>
      <c r="AI2674" s="4"/>
      <c r="AJ2674" s="13" t="n">
        <v>0</v>
      </c>
      <c r="AK2674" s="4"/>
      <c r="AL2674" s="4"/>
      <c r="AM2674" s="4"/>
    </row>
    <row r="2675" customFormat="false" ht="23.85" hidden="false" customHeight="false" outlineLevel="0" collapsed="false">
      <c r="A2675" s="4" t="s">
        <v>3338</v>
      </c>
      <c r="B2675" s="4" t="s">
        <v>3652</v>
      </c>
      <c r="C2675" s="4" t="s">
        <v>3652</v>
      </c>
      <c r="D2675" s="12" t="n">
        <v>2021</v>
      </c>
      <c r="E2675" s="4"/>
      <c r="F2675" s="4" t="s">
        <v>1990</v>
      </c>
      <c r="G2675" s="4" t="s">
        <v>170</v>
      </c>
      <c r="H2675" s="4" t="s">
        <v>171</v>
      </c>
      <c r="I2675" s="4" t="s">
        <v>172</v>
      </c>
      <c r="J2675" s="4" t="s">
        <v>968</v>
      </c>
      <c r="K2675" s="4" t="s">
        <v>80</v>
      </c>
      <c r="L2675" s="4"/>
      <c r="M2675" s="4"/>
      <c r="N2675" s="4" t="s">
        <v>2001</v>
      </c>
      <c r="O2675" s="4" t="s">
        <v>66</v>
      </c>
      <c r="P2675" s="4" t="s">
        <v>67</v>
      </c>
      <c r="Q2675" s="4" t="s">
        <v>2003</v>
      </c>
      <c r="R2675" s="4"/>
      <c r="S2675" s="4"/>
      <c r="T2675" s="4"/>
      <c r="U2675" s="4"/>
      <c r="V2675" s="4"/>
      <c r="W2675" s="4" t="s">
        <v>3341</v>
      </c>
      <c r="X2675" s="4" t="s">
        <v>3342</v>
      </c>
      <c r="Y2675" s="4" t="s">
        <v>3362</v>
      </c>
      <c r="Z2675" s="4"/>
      <c r="AA2675" s="4"/>
      <c r="AB2675" s="4"/>
      <c r="AC2675" s="4" t="s">
        <v>3363</v>
      </c>
      <c r="AD2675" s="4"/>
      <c r="AE2675" s="4"/>
      <c r="AF2675" s="4"/>
      <c r="AG2675" s="4"/>
      <c r="AH2675" s="4"/>
      <c r="AI2675" s="4"/>
      <c r="AJ2675" s="13" t="n">
        <v>1</v>
      </c>
      <c r="AK2675" s="4"/>
      <c r="AL2675" s="4"/>
      <c r="AM2675" s="4"/>
    </row>
    <row r="2676" customFormat="false" ht="23.85" hidden="false" customHeight="false" outlineLevel="0" collapsed="false">
      <c r="A2676" s="4" t="s">
        <v>3338</v>
      </c>
      <c r="B2676" s="4" t="s">
        <v>3653</v>
      </c>
      <c r="C2676" s="4" t="s">
        <v>3653</v>
      </c>
      <c r="D2676" s="12" t="n">
        <v>2021</v>
      </c>
      <c r="E2676" s="4"/>
      <c r="F2676" s="4" t="s">
        <v>3349</v>
      </c>
      <c r="G2676" s="4" t="s">
        <v>170</v>
      </c>
      <c r="H2676" s="4" t="s">
        <v>171</v>
      </c>
      <c r="I2676" s="4" t="s">
        <v>172</v>
      </c>
      <c r="J2676" s="4" t="s">
        <v>977</v>
      </c>
      <c r="K2676" s="4" t="s">
        <v>82</v>
      </c>
      <c r="L2676" s="4"/>
      <c r="M2676" s="4"/>
      <c r="N2676" s="4" t="s">
        <v>1994</v>
      </c>
      <c r="O2676" s="4" t="s">
        <v>65</v>
      </c>
      <c r="P2676" s="4" t="s">
        <v>64</v>
      </c>
      <c r="Q2676" s="4" t="s">
        <v>2019</v>
      </c>
      <c r="R2676" s="4"/>
      <c r="S2676" s="4"/>
      <c r="T2676" s="4"/>
      <c r="U2676" s="4"/>
      <c r="V2676" s="4"/>
      <c r="W2676" s="4" t="s">
        <v>3367</v>
      </c>
      <c r="X2676" s="4" t="s">
        <v>3368</v>
      </c>
      <c r="Y2676" s="4" t="s">
        <v>3349</v>
      </c>
      <c r="Z2676" s="4"/>
      <c r="AA2676" s="4"/>
      <c r="AB2676" s="4"/>
      <c r="AC2676" s="4" t="s">
        <v>3352</v>
      </c>
      <c r="AD2676" s="4"/>
      <c r="AE2676" s="4"/>
      <c r="AF2676" s="4"/>
      <c r="AG2676" s="4"/>
      <c r="AH2676" s="4"/>
      <c r="AI2676" s="4"/>
      <c r="AJ2676" s="13" t="n">
        <v>1</v>
      </c>
      <c r="AK2676" s="4"/>
      <c r="AL2676" s="4"/>
      <c r="AM2676" s="4"/>
    </row>
    <row r="2677" customFormat="false" ht="23.85" hidden="false" customHeight="false" outlineLevel="0" collapsed="false">
      <c r="A2677" s="4" t="s">
        <v>3338</v>
      </c>
      <c r="B2677" s="4" t="s">
        <v>3654</v>
      </c>
      <c r="C2677" s="4" t="s">
        <v>3654</v>
      </c>
      <c r="D2677" s="12" t="n">
        <v>2021</v>
      </c>
      <c r="E2677" s="4"/>
      <c r="F2677" s="4" t="s">
        <v>1990</v>
      </c>
      <c r="G2677" s="4" t="s">
        <v>170</v>
      </c>
      <c r="H2677" s="4" t="s">
        <v>171</v>
      </c>
      <c r="I2677" s="4" t="s">
        <v>172</v>
      </c>
      <c r="J2677" s="4" t="s">
        <v>977</v>
      </c>
      <c r="K2677" s="4" t="s">
        <v>82</v>
      </c>
      <c r="L2677" s="4"/>
      <c r="M2677" s="4"/>
      <c r="N2677" s="4" t="s">
        <v>2001</v>
      </c>
      <c r="O2677" s="4" t="s">
        <v>66</v>
      </c>
      <c r="P2677" s="4" t="s">
        <v>66</v>
      </c>
      <c r="Q2677" s="4" t="s">
        <v>2019</v>
      </c>
      <c r="R2677" s="4"/>
      <c r="S2677" s="4"/>
      <c r="T2677" s="4"/>
      <c r="U2677" s="4"/>
      <c r="V2677" s="4"/>
      <c r="W2677" s="4"/>
      <c r="X2677" s="4"/>
      <c r="Y2677" s="4"/>
      <c r="Z2677" s="4"/>
      <c r="AA2677" s="4"/>
      <c r="AB2677" s="4"/>
      <c r="AC2677" s="4"/>
      <c r="AD2677" s="4"/>
      <c r="AE2677" s="4"/>
      <c r="AF2677" s="4"/>
      <c r="AG2677" s="4"/>
      <c r="AH2677" s="4"/>
      <c r="AI2677" s="4"/>
      <c r="AJ2677" s="13" t="n">
        <v>0</v>
      </c>
      <c r="AK2677" s="4"/>
      <c r="AL2677" s="4"/>
      <c r="AM2677" s="4"/>
    </row>
    <row r="2678" customFormat="false" ht="23.85" hidden="false" customHeight="false" outlineLevel="0" collapsed="false">
      <c r="A2678" s="4" t="s">
        <v>3338</v>
      </c>
      <c r="B2678" s="4" t="s">
        <v>3655</v>
      </c>
      <c r="C2678" s="4" t="s">
        <v>3655</v>
      </c>
      <c r="D2678" s="12" t="n">
        <v>2021</v>
      </c>
      <c r="E2678" s="4"/>
      <c r="F2678" s="4" t="s">
        <v>1990</v>
      </c>
      <c r="G2678" s="4" t="s">
        <v>170</v>
      </c>
      <c r="H2678" s="4" t="s">
        <v>171</v>
      </c>
      <c r="I2678" s="4" t="s">
        <v>172</v>
      </c>
      <c r="J2678" s="4" t="s">
        <v>977</v>
      </c>
      <c r="K2678" s="4" t="s">
        <v>82</v>
      </c>
      <c r="L2678" s="4"/>
      <c r="M2678" s="4"/>
      <c r="N2678" s="4" t="s">
        <v>1994</v>
      </c>
      <c r="O2678" s="4" t="s">
        <v>1995</v>
      </c>
      <c r="P2678" s="4" t="s">
        <v>66</v>
      </c>
      <c r="Q2678" s="4" t="s">
        <v>2019</v>
      </c>
      <c r="R2678" s="4"/>
      <c r="S2678" s="4"/>
      <c r="T2678" s="4"/>
      <c r="U2678" s="4"/>
      <c r="V2678" s="4"/>
      <c r="W2678" s="4"/>
      <c r="X2678" s="4"/>
      <c r="Y2678" s="4"/>
      <c r="Z2678" s="4"/>
      <c r="AA2678" s="4"/>
      <c r="AB2678" s="4"/>
      <c r="AC2678" s="4"/>
      <c r="AD2678" s="4"/>
      <c r="AE2678" s="4"/>
      <c r="AF2678" s="4"/>
      <c r="AG2678" s="4"/>
      <c r="AH2678" s="4"/>
      <c r="AI2678" s="4"/>
      <c r="AJ2678" s="13" t="n">
        <v>0</v>
      </c>
      <c r="AK2678" s="4"/>
      <c r="AL2678" s="4"/>
      <c r="AM2678" s="4"/>
    </row>
    <row r="2679" customFormat="false" ht="23.85" hidden="false" customHeight="false" outlineLevel="0" collapsed="false">
      <c r="A2679" s="4" t="s">
        <v>3338</v>
      </c>
      <c r="B2679" s="4" t="s">
        <v>3656</v>
      </c>
      <c r="C2679" s="4" t="s">
        <v>3656</v>
      </c>
      <c r="D2679" s="12" t="n">
        <v>2021</v>
      </c>
      <c r="E2679" s="4"/>
      <c r="F2679" s="4" t="s">
        <v>1990</v>
      </c>
      <c r="G2679" s="4" t="s">
        <v>170</v>
      </c>
      <c r="H2679" s="4" t="s">
        <v>171</v>
      </c>
      <c r="I2679" s="4" t="s">
        <v>172</v>
      </c>
      <c r="J2679" s="4" t="s">
        <v>982</v>
      </c>
      <c r="K2679" s="4" t="s">
        <v>82</v>
      </c>
      <c r="L2679" s="4"/>
      <c r="M2679" s="4"/>
      <c r="N2679" s="4" t="s">
        <v>2001</v>
      </c>
      <c r="O2679" s="4" t="s">
        <v>2002</v>
      </c>
      <c r="P2679" s="4" t="s">
        <v>67</v>
      </c>
      <c r="Q2679" s="4" t="s">
        <v>2003</v>
      </c>
      <c r="R2679" s="4"/>
      <c r="S2679" s="4"/>
      <c r="T2679" s="4"/>
      <c r="U2679" s="4"/>
      <c r="V2679" s="4"/>
      <c r="W2679" s="4" t="s">
        <v>3341</v>
      </c>
      <c r="X2679" s="4" t="s">
        <v>3342</v>
      </c>
      <c r="Y2679" s="4" t="s">
        <v>3372</v>
      </c>
      <c r="Z2679" s="4"/>
      <c r="AA2679" s="4"/>
      <c r="AB2679" s="4"/>
      <c r="AC2679" s="4" t="s">
        <v>3352</v>
      </c>
      <c r="AD2679" s="4"/>
      <c r="AE2679" s="4"/>
      <c r="AF2679" s="4"/>
      <c r="AG2679" s="4"/>
      <c r="AH2679" s="4"/>
      <c r="AI2679" s="4"/>
      <c r="AJ2679" s="13" t="n">
        <v>1</v>
      </c>
      <c r="AK2679" s="4"/>
      <c r="AL2679" s="4"/>
      <c r="AM2679" s="4"/>
    </row>
    <row r="2680" customFormat="false" ht="23.85" hidden="false" customHeight="false" outlineLevel="0" collapsed="false">
      <c r="A2680" s="4" t="s">
        <v>3338</v>
      </c>
      <c r="B2680" s="4" t="s">
        <v>3657</v>
      </c>
      <c r="C2680" s="4" t="s">
        <v>3657</v>
      </c>
      <c r="D2680" s="12" t="n">
        <v>2021</v>
      </c>
      <c r="E2680" s="4"/>
      <c r="F2680" s="4" t="s">
        <v>1990</v>
      </c>
      <c r="G2680" s="4" t="s">
        <v>170</v>
      </c>
      <c r="H2680" s="4" t="s">
        <v>171</v>
      </c>
      <c r="I2680" s="4" t="s">
        <v>172</v>
      </c>
      <c r="J2680" s="4" t="s">
        <v>991</v>
      </c>
      <c r="K2680" s="4" t="s">
        <v>84</v>
      </c>
      <c r="L2680" s="4"/>
      <c r="M2680" s="4"/>
      <c r="N2680" s="4" t="s">
        <v>1994</v>
      </c>
      <c r="O2680" s="4" t="s">
        <v>65</v>
      </c>
      <c r="P2680" s="4" t="s">
        <v>64</v>
      </c>
      <c r="Q2680" s="4" t="s">
        <v>2044</v>
      </c>
      <c r="R2680" s="4"/>
      <c r="S2680" s="4"/>
      <c r="T2680" s="4"/>
      <c r="U2680" s="4"/>
      <c r="V2680" s="4"/>
      <c r="W2680" s="4"/>
      <c r="X2680" s="4"/>
      <c r="Y2680" s="4"/>
      <c r="Z2680" s="4"/>
      <c r="AA2680" s="4"/>
      <c r="AB2680" s="4"/>
      <c r="AC2680" s="4"/>
      <c r="AD2680" s="4"/>
      <c r="AE2680" s="4"/>
      <c r="AF2680" s="4"/>
      <c r="AG2680" s="4"/>
      <c r="AH2680" s="4"/>
      <c r="AI2680" s="4"/>
      <c r="AJ2680" s="13" t="n">
        <v>0</v>
      </c>
      <c r="AK2680" s="4"/>
      <c r="AL2680" s="4"/>
      <c r="AM2680" s="4"/>
    </row>
    <row r="2681" customFormat="false" ht="23.85" hidden="false" customHeight="false" outlineLevel="0" collapsed="false">
      <c r="A2681" s="4" t="s">
        <v>3338</v>
      </c>
      <c r="B2681" s="4" t="s">
        <v>3658</v>
      </c>
      <c r="C2681" s="4" t="s">
        <v>3658</v>
      </c>
      <c r="D2681" s="12" t="n">
        <v>2021</v>
      </c>
      <c r="E2681" s="4"/>
      <c r="F2681" s="4" t="s">
        <v>1990</v>
      </c>
      <c r="G2681" s="4" t="s">
        <v>170</v>
      </c>
      <c r="H2681" s="4" t="s">
        <v>171</v>
      </c>
      <c r="I2681" s="4" t="s">
        <v>172</v>
      </c>
      <c r="J2681" s="4" t="s">
        <v>996</v>
      </c>
      <c r="K2681" s="4" t="s">
        <v>84</v>
      </c>
      <c r="L2681" s="4"/>
      <c r="M2681" s="4"/>
      <c r="N2681" s="4" t="s">
        <v>2001</v>
      </c>
      <c r="O2681" s="4" t="s">
        <v>66</v>
      </c>
      <c r="P2681" s="4" t="s">
        <v>67</v>
      </c>
      <c r="Q2681" s="4" t="s">
        <v>2003</v>
      </c>
      <c r="R2681" s="4"/>
      <c r="S2681" s="4"/>
      <c r="T2681" s="4"/>
      <c r="U2681" s="4"/>
      <c r="V2681" s="4"/>
      <c r="W2681" s="4" t="s">
        <v>3341</v>
      </c>
      <c r="X2681" s="4" t="s">
        <v>3342</v>
      </c>
      <c r="Y2681" s="4" t="s">
        <v>3362</v>
      </c>
      <c r="Z2681" s="4"/>
      <c r="AA2681" s="4"/>
      <c r="AB2681" s="4"/>
      <c r="AC2681" s="4" t="s">
        <v>3363</v>
      </c>
      <c r="AD2681" s="4"/>
      <c r="AE2681" s="4"/>
      <c r="AF2681" s="4"/>
      <c r="AG2681" s="4"/>
      <c r="AH2681" s="4"/>
      <c r="AI2681" s="4"/>
      <c r="AJ2681" s="13" t="n">
        <v>1</v>
      </c>
      <c r="AK2681" s="4"/>
      <c r="AL2681" s="4"/>
      <c r="AM2681" s="4"/>
    </row>
    <row r="2682" customFormat="false" ht="23.85" hidden="false" customHeight="false" outlineLevel="0" collapsed="false">
      <c r="A2682" s="4" t="s">
        <v>3338</v>
      </c>
      <c r="B2682" s="4" t="s">
        <v>3659</v>
      </c>
      <c r="C2682" s="4" t="s">
        <v>3659</v>
      </c>
      <c r="D2682" s="12" t="n">
        <v>2021</v>
      </c>
      <c r="E2682" s="4"/>
      <c r="F2682" s="4" t="s">
        <v>1990</v>
      </c>
      <c r="G2682" s="4" t="s">
        <v>170</v>
      </c>
      <c r="H2682" s="4" t="s">
        <v>171</v>
      </c>
      <c r="I2682" s="4" t="s">
        <v>172</v>
      </c>
      <c r="J2682" s="4" t="s">
        <v>997</v>
      </c>
      <c r="K2682" s="4" t="s">
        <v>84</v>
      </c>
      <c r="L2682" s="4"/>
      <c r="M2682" s="4"/>
      <c r="N2682" s="4" t="s">
        <v>2001</v>
      </c>
      <c r="O2682" s="4" t="s">
        <v>66</v>
      </c>
      <c r="P2682" s="4" t="s">
        <v>67</v>
      </c>
      <c r="Q2682" s="4" t="s">
        <v>2008</v>
      </c>
      <c r="R2682" s="4"/>
      <c r="S2682" s="4"/>
      <c r="T2682" s="4"/>
      <c r="U2682" s="4"/>
      <c r="V2682" s="4"/>
      <c r="W2682" s="4" t="s">
        <v>3341</v>
      </c>
      <c r="X2682" s="4" t="s">
        <v>3342</v>
      </c>
      <c r="Y2682" s="4" t="s">
        <v>3362</v>
      </c>
      <c r="Z2682" s="4"/>
      <c r="AA2682" s="4"/>
      <c r="AB2682" s="4"/>
      <c r="AC2682" s="4" t="s">
        <v>3363</v>
      </c>
      <c r="AD2682" s="4"/>
      <c r="AE2682" s="4"/>
      <c r="AF2682" s="4"/>
      <c r="AG2682" s="4"/>
      <c r="AH2682" s="4"/>
      <c r="AI2682" s="4"/>
      <c r="AJ2682" s="13" t="n">
        <v>1</v>
      </c>
      <c r="AK2682" s="4"/>
      <c r="AL2682" s="4"/>
      <c r="AM2682" s="4"/>
    </row>
    <row r="2683" customFormat="false" ht="23.85" hidden="false" customHeight="false" outlineLevel="0" collapsed="false">
      <c r="A2683" s="4" t="s">
        <v>3338</v>
      </c>
      <c r="B2683" s="4" t="s">
        <v>3660</v>
      </c>
      <c r="C2683" s="4" t="s">
        <v>3660</v>
      </c>
      <c r="D2683" s="12" t="n">
        <v>2021</v>
      </c>
      <c r="E2683" s="4"/>
      <c r="F2683" s="4" t="s">
        <v>3349</v>
      </c>
      <c r="G2683" s="4" t="s">
        <v>170</v>
      </c>
      <c r="H2683" s="4" t="s">
        <v>171</v>
      </c>
      <c r="I2683" s="4" t="s">
        <v>172</v>
      </c>
      <c r="J2683" s="4" t="s">
        <v>1005</v>
      </c>
      <c r="K2683" s="4" t="s">
        <v>109</v>
      </c>
      <c r="L2683" s="4"/>
      <c r="M2683" s="4"/>
      <c r="N2683" s="4" t="s">
        <v>1994</v>
      </c>
      <c r="O2683" s="4" t="s">
        <v>1995</v>
      </c>
      <c r="P2683" s="4" t="s">
        <v>65</v>
      </c>
      <c r="Q2683" s="4" t="s">
        <v>2070</v>
      </c>
      <c r="R2683" s="4"/>
      <c r="S2683" s="4"/>
      <c r="T2683" s="4"/>
      <c r="U2683" s="4"/>
      <c r="V2683" s="4"/>
      <c r="W2683" s="4" t="s">
        <v>3377</v>
      </c>
      <c r="X2683" s="4" t="s">
        <v>3378</v>
      </c>
      <c r="Y2683" s="4" t="s">
        <v>3349</v>
      </c>
      <c r="Z2683" s="4"/>
      <c r="AA2683" s="4"/>
      <c r="AB2683" s="4"/>
      <c r="AC2683" s="4" t="s">
        <v>3344</v>
      </c>
      <c r="AD2683" s="4"/>
      <c r="AE2683" s="4"/>
      <c r="AF2683" s="4"/>
      <c r="AG2683" s="4"/>
      <c r="AH2683" s="4"/>
      <c r="AI2683" s="4"/>
      <c r="AJ2683" s="13" t="n">
        <v>1</v>
      </c>
      <c r="AK2683" s="4"/>
      <c r="AL2683" s="4"/>
      <c r="AM2683" s="4"/>
    </row>
    <row r="2684" customFormat="false" ht="23.85" hidden="false" customHeight="false" outlineLevel="0" collapsed="false">
      <c r="A2684" s="4" t="s">
        <v>3338</v>
      </c>
      <c r="B2684" s="4" t="s">
        <v>3661</v>
      </c>
      <c r="C2684" s="4" t="s">
        <v>3661</v>
      </c>
      <c r="D2684" s="12" t="n">
        <v>2021</v>
      </c>
      <c r="E2684" s="4"/>
      <c r="F2684" s="4" t="s">
        <v>1990</v>
      </c>
      <c r="G2684" s="4" t="s">
        <v>170</v>
      </c>
      <c r="H2684" s="4" t="s">
        <v>171</v>
      </c>
      <c r="I2684" s="4" t="s">
        <v>172</v>
      </c>
      <c r="J2684" s="4" t="s">
        <v>1014</v>
      </c>
      <c r="K2684" s="4" t="s">
        <v>109</v>
      </c>
      <c r="L2684" s="4"/>
      <c r="M2684" s="4"/>
      <c r="N2684" s="4" t="s">
        <v>2001</v>
      </c>
      <c r="O2684" s="4" t="s">
        <v>2074</v>
      </c>
      <c r="P2684" s="4" t="s">
        <v>73</v>
      </c>
      <c r="Q2684" s="4" t="s">
        <v>2075</v>
      </c>
      <c r="R2684" s="4"/>
      <c r="S2684" s="4"/>
      <c r="T2684" s="4"/>
      <c r="U2684" s="4"/>
      <c r="V2684" s="4"/>
      <c r="W2684" s="4" t="s">
        <v>3380</v>
      </c>
      <c r="X2684" s="4" t="s">
        <v>3381</v>
      </c>
      <c r="Y2684" s="4" t="s">
        <v>3343</v>
      </c>
      <c r="Z2684" s="4"/>
      <c r="AA2684" s="4"/>
      <c r="AB2684" s="4"/>
      <c r="AC2684" s="4" t="s">
        <v>3344</v>
      </c>
      <c r="AD2684" s="4"/>
      <c r="AE2684" s="4"/>
      <c r="AF2684" s="4"/>
      <c r="AG2684" s="4"/>
      <c r="AH2684" s="4"/>
      <c r="AI2684" s="4"/>
      <c r="AJ2684" s="13" t="n">
        <v>1</v>
      </c>
      <c r="AK2684" s="4"/>
      <c r="AL2684" s="4"/>
      <c r="AM2684" s="4"/>
    </row>
    <row r="2685" customFormat="false" ht="23.85" hidden="false" customHeight="false" outlineLevel="0" collapsed="false">
      <c r="A2685" s="4" t="s">
        <v>3338</v>
      </c>
      <c r="B2685" s="4" t="s">
        <v>3662</v>
      </c>
      <c r="C2685" s="4" t="s">
        <v>3662</v>
      </c>
      <c r="D2685" s="12" t="n">
        <v>2021</v>
      </c>
      <c r="E2685" s="4"/>
      <c r="F2685" s="4" t="s">
        <v>1990</v>
      </c>
      <c r="G2685" s="4" t="s">
        <v>170</v>
      </c>
      <c r="H2685" s="4" t="s">
        <v>171</v>
      </c>
      <c r="I2685" s="4" t="s">
        <v>172</v>
      </c>
      <c r="J2685" s="4" t="s">
        <v>1015</v>
      </c>
      <c r="K2685" s="4" t="s">
        <v>109</v>
      </c>
      <c r="L2685" s="4"/>
      <c r="M2685" s="4"/>
      <c r="N2685" s="4" t="s">
        <v>2001</v>
      </c>
      <c r="O2685" s="4" t="s">
        <v>2002</v>
      </c>
      <c r="P2685" s="4" t="s">
        <v>72</v>
      </c>
      <c r="Q2685" s="4" t="s">
        <v>2079</v>
      </c>
      <c r="R2685" s="4"/>
      <c r="S2685" s="4"/>
      <c r="T2685" s="4"/>
      <c r="U2685" s="4"/>
      <c r="V2685" s="4"/>
      <c r="W2685" s="4" t="s">
        <v>3383</v>
      </c>
      <c r="X2685" s="4" t="s">
        <v>3384</v>
      </c>
      <c r="Y2685" s="4" t="s">
        <v>3343</v>
      </c>
      <c r="Z2685" s="4"/>
      <c r="AA2685" s="4"/>
      <c r="AB2685" s="4"/>
      <c r="AC2685" s="4" t="s">
        <v>3344</v>
      </c>
      <c r="AD2685" s="4"/>
      <c r="AE2685" s="4"/>
      <c r="AF2685" s="4"/>
      <c r="AG2685" s="4"/>
      <c r="AH2685" s="4"/>
      <c r="AI2685" s="4"/>
      <c r="AJ2685" s="13" t="n">
        <v>1</v>
      </c>
      <c r="AK2685" s="4"/>
      <c r="AL2685" s="4"/>
      <c r="AM2685" s="4"/>
    </row>
    <row r="2686" customFormat="false" ht="23.85" hidden="false" customHeight="false" outlineLevel="0" collapsed="false">
      <c r="A2686" s="4" t="s">
        <v>3338</v>
      </c>
      <c r="B2686" s="4" t="s">
        <v>3663</v>
      </c>
      <c r="C2686" s="4" t="s">
        <v>3663</v>
      </c>
      <c r="D2686" s="12" t="n">
        <v>2021</v>
      </c>
      <c r="E2686" s="4"/>
      <c r="F2686" s="4" t="s">
        <v>1990</v>
      </c>
      <c r="G2686" s="4" t="s">
        <v>170</v>
      </c>
      <c r="H2686" s="4" t="s">
        <v>171</v>
      </c>
      <c r="I2686" s="4" t="s">
        <v>172</v>
      </c>
      <c r="J2686" s="4" t="s">
        <v>1019</v>
      </c>
      <c r="K2686" s="4" t="s">
        <v>86</v>
      </c>
      <c r="L2686" s="4"/>
      <c r="M2686" s="4"/>
      <c r="N2686" s="4" t="s">
        <v>1994</v>
      </c>
      <c r="O2686" s="4" t="s">
        <v>65</v>
      </c>
      <c r="P2686" s="4" t="s">
        <v>64</v>
      </c>
      <c r="Q2686" s="4" t="s">
        <v>2019</v>
      </c>
      <c r="R2686" s="4"/>
      <c r="S2686" s="4"/>
      <c r="T2686" s="4"/>
      <c r="U2686" s="4"/>
      <c r="V2686" s="4"/>
      <c r="W2686" s="4" t="s">
        <v>3386</v>
      </c>
      <c r="X2686" s="4" t="s">
        <v>3387</v>
      </c>
      <c r="Y2686" s="4" t="s">
        <v>3388</v>
      </c>
      <c r="Z2686" s="4"/>
      <c r="AA2686" s="4"/>
      <c r="AB2686" s="4"/>
      <c r="AC2686" s="4" t="s">
        <v>3352</v>
      </c>
      <c r="AD2686" s="4"/>
      <c r="AE2686" s="4"/>
      <c r="AF2686" s="4"/>
      <c r="AG2686" s="4"/>
      <c r="AH2686" s="4"/>
      <c r="AI2686" s="4"/>
      <c r="AJ2686" s="13" t="n">
        <v>1</v>
      </c>
      <c r="AK2686" s="4"/>
      <c r="AL2686" s="4"/>
      <c r="AM2686" s="4"/>
    </row>
    <row r="2687" customFormat="false" ht="23.85" hidden="false" customHeight="false" outlineLevel="0" collapsed="false">
      <c r="A2687" s="4" t="s">
        <v>3338</v>
      </c>
      <c r="B2687" s="4" t="s">
        <v>3664</v>
      </c>
      <c r="C2687" s="4" t="s">
        <v>3664</v>
      </c>
      <c r="D2687" s="12" t="n">
        <v>2021</v>
      </c>
      <c r="E2687" s="4"/>
      <c r="F2687" s="4" t="s">
        <v>1990</v>
      </c>
      <c r="G2687" s="4" t="s">
        <v>170</v>
      </c>
      <c r="H2687" s="4" t="s">
        <v>171</v>
      </c>
      <c r="I2687" s="4" t="s">
        <v>172</v>
      </c>
      <c r="J2687" s="4" t="s">
        <v>1019</v>
      </c>
      <c r="K2687" s="4" t="s">
        <v>86</v>
      </c>
      <c r="L2687" s="4"/>
      <c r="M2687" s="4"/>
      <c r="N2687" s="4" t="s">
        <v>2001</v>
      </c>
      <c r="O2687" s="4" t="s">
        <v>66</v>
      </c>
      <c r="P2687" s="4" t="s">
        <v>66</v>
      </c>
      <c r="Q2687" s="4" t="s">
        <v>2019</v>
      </c>
      <c r="R2687" s="4"/>
      <c r="S2687" s="4"/>
      <c r="T2687" s="4"/>
      <c r="U2687" s="4"/>
      <c r="V2687" s="4"/>
      <c r="W2687" s="4"/>
      <c r="X2687" s="4"/>
      <c r="Y2687" s="4"/>
      <c r="Z2687" s="4"/>
      <c r="AA2687" s="4"/>
      <c r="AB2687" s="4"/>
      <c r="AC2687" s="4"/>
      <c r="AD2687" s="4"/>
      <c r="AE2687" s="4"/>
      <c r="AF2687" s="4"/>
      <c r="AG2687" s="4"/>
      <c r="AH2687" s="4"/>
      <c r="AI2687" s="4"/>
      <c r="AJ2687" s="13" t="n">
        <v>0</v>
      </c>
      <c r="AK2687" s="4"/>
      <c r="AL2687" s="4"/>
      <c r="AM2687" s="4"/>
    </row>
    <row r="2688" customFormat="false" ht="23.85" hidden="false" customHeight="false" outlineLevel="0" collapsed="false">
      <c r="A2688" s="4" t="s">
        <v>3338</v>
      </c>
      <c r="B2688" s="4" t="s">
        <v>3665</v>
      </c>
      <c r="C2688" s="4" t="s">
        <v>3665</v>
      </c>
      <c r="D2688" s="12" t="n">
        <v>2021</v>
      </c>
      <c r="E2688" s="4"/>
      <c r="F2688" s="4" t="s">
        <v>1990</v>
      </c>
      <c r="G2688" s="4" t="s">
        <v>170</v>
      </c>
      <c r="H2688" s="4" t="s">
        <v>171</v>
      </c>
      <c r="I2688" s="4" t="s">
        <v>172</v>
      </c>
      <c r="J2688" s="4" t="s">
        <v>1019</v>
      </c>
      <c r="K2688" s="4" t="s">
        <v>86</v>
      </c>
      <c r="L2688" s="4"/>
      <c r="M2688" s="4"/>
      <c r="N2688" s="4" t="s">
        <v>1994</v>
      </c>
      <c r="O2688" s="4" t="s">
        <v>1995</v>
      </c>
      <c r="P2688" s="4" t="s">
        <v>66</v>
      </c>
      <c r="Q2688" s="4" t="s">
        <v>2019</v>
      </c>
      <c r="R2688" s="4"/>
      <c r="S2688" s="4"/>
      <c r="T2688" s="4"/>
      <c r="U2688" s="4"/>
      <c r="V2688" s="4"/>
      <c r="W2688" s="4"/>
      <c r="X2688" s="4"/>
      <c r="Y2688" s="4"/>
      <c r="Z2688" s="4"/>
      <c r="AA2688" s="4"/>
      <c r="AB2688" s="4"/>
      <c r="AC2688" s="4"/>
      <c r="AD2688" s="4"/>
      <c r="AE2688" s="4"/>
      <c r="AF2688" s="4"/>
      <c r="AG2688" s="4"/>
      <c r="AH2688" s="4"/>
      <c r="AI2688" s="4"/>
      <c r="AJ2688" s="13" t="n">
        <v>0</v>
      </c>
      <c r="AK2688" s="4"/>
      <c r="AL2688" s="4"/>
      <c r="AM2688" s="4"/>
    </row>
    <row r="2689" customFormat="false" ht="23.85" hidden="false" customHeight="false" outlineLevel="0" collapsed="false">
      <c r="A2689" s="4" t="s">
        <v>3338</v>
      </c>
      <c r="B2689" s="4" t="s">
        <v>3666</v>
      </c>
      <c r="C2689" s="4" t="s">
        <v>3666</v>
      </c>
      <c r="D2689" s="12" t="n">
        <v>2021</v>
      </c>
      <c r="E2689" s="4"/>
      <c r="F2689" s="4" t="s">
        <v>1990</v>
      </c>
      <c r="G2689" s="4" t="s">
        <v>170</v>
      </c>
      <c r="H2689" s="4" t="s">
        <v>171</v>
      </c>
      <c r="I2689" s="4" t="s">
        <v>172</v>
      </c>
      <c r="J2689" s="4" t="s">
        <v>1021</v>
      </c>
      <c r="K2689" s="4" t="s">
        <v>86</v>
      </c>
      <c r="L2689" s="4"/>
      <c r="M2689" s="4"/>
      <c r="N2689" s="4" t="s">
        <v>2001</v>
      </c>
      <c r="O2689" s="4" t="s">
        <v>2091</v>
      </c>
      <c r="P2689" s="4" t="s">
        <v>69</v>
      </c>
      <c r="Q2689" s="4" t="s">
        <v>2030</v>
      </c>
      <c r="R2689" s="4"/>
      <c r="S2689" s="4"/>
      <c r="T2689" s="4"/>
      <c r="U2689" s="4"/>
      <c r="V2689" s="4"/>
      <c r="W2689" s="4"/>
      <c r="X2689" s="4"/>
      <c r="Y2689" s="4"/>
      <c r="Z2689" s="4"/>
      <c r="AA2689" s="4"/>
      <c r="AB2689" s="4"/>
      <c r="AC2689" s="4"/>
      <c r="AD2689" s="4"/>
      <c r="AE2689" s="4"/>
      <c r="AF2689" s="4"/>
      <c r="AG2689" s="4"/>
      <c r="AH2689" s="4"/>
      <c r="AI2689" s="4"/>
      <c r="AJ2689" s="13" t="n">
        <v>0</v>
      </c>
      <c r="AK2689" s="4"/>
      <c r="AL2689" s="4"/>
      <c r="AM2689" s="4"/>
    </row>
    <row r="2690" customFormat="false" ht="23.85" hidden="false" customHeight="false" outlineLevel="0" collapsed="false">
      <c r="A2690" s="4" t="s">
        <v>3338</v>
      </c>
      <c r="B2690" s="4" t="s">
        <v>3667</v>
      </c>
      <c r="C2690" s="4" t="s">
        <v>3667</v>
      </c>
      <c r="D2690" s="12" t="n">
        <v>2021</v>
      </c>
      <c r="E2690" s="4"/>
      <c r="F2690" s="4" t="s">
        <v>1990</v>
      </c>
      <c r="G2690" s="4" t="s">
        <v>170</v>
      </c>
      <c r="H2690" s="4" t="s">
        <v>171</v>
      </c>
      <c r="I2690" s="4" t="s">
        <v>172</v>
      </c>
      <c r="J2690" s="4" t="s">
        <v>1022</v>
      </c>
      <c r="K2690" s="4" t="s">
        <v>86</v>
      </c>
      <c r="L2690" s="4"/>
      <c r="M2690" s="4"/>
      <c r="N2690" s="4" t="s">
        <v>2001</v>
      </c>
      <c r="O2690" s="4" t="s">
        <v>2034</v>
      </c>
      <c r="P2690" s="4" t="s">
        <v>74</v>
      </c>
      <c r="Q2690" s="4" t="s">
        <v>2035</v>
      </c>
      <c r="R2690" s="4"/>
      <c r="S2690" s="4"/>
      <c r="T2690" s="4"/>
      <c r="U2690" s="4"/>
      <c r="V2690" s="4"/>
      <c r="W2690" s="4"/>
      <c r="X2690" s="4"/>
      <c r="Y2690" s="4"/>
      <c r="Z2690" s="4"/>
      <c r="AA2690" s="4"/>
      <c r="AB2690" s="4"/>
      <c r="AC2690" s="4"/>
      <c r="AD2690" s="4"/>
      <c r="AE2690" s="4"/>
      <c r="AF2690" s="4"/>
      <c r="AG2690" s="4"/>
      <c r="AH2690" s="4"/>
      <c r="AI2690" s="4"/>
      <c r="AJ2690" s="13" t="n">
        <v>0</v>
      </c>
      <c r="AK2690" s="4"/>
      <c r="AL2690" s="4"/>
      <c r="AM2690" s="4"/>
    </row>
    <row r="2691" customFormat="false" ht="23.85" hidden="false" customHeight="false" outlineLevel="0" collapsed="false">
      <c r="A2691" s="4" t="s">
        <v>3338</v>
      </c>
      <c r="B2691" s="4" t="s">
        <v>3668</v>
      </c>
      <c r="C2691" s="4" t="s">
        <v>3668</v>
      </c>
      <c r="D2691" s="12" t="n">
        <v>2021</v>
      </c>
      <c r="E2691" s="4"/>
      <c r="F2691" s="4" t="s">
        <v>1990</v>
      </c>
      <c r="G2691" s="4" t="s">
        <v>170</v>
      </c>
      <c r="H2691" s="4" t="s">
        <v>171</v>
      </c>
      <c r="I2691" s="4" t="s">
        <v>172</v>
      </c>
      <c r="J2691" s="4" t="s">
        <v>1023</v>
      </c>
      <c r="K2691" s="4" t="s">
        <v>86</v>
      </c>
      <c r="L2691" s="4"/>
      <c r="M2691" s="4"/>
      <c r="N2691" s="4" t="s">
        <v>2001</v>
      </c>
      <c r="O2691" s="4" t="s">
        <v>2002</v>
      </c>
      <c r="P2691" s="4" t="s">
        <v>67</v>
      </c>
      <c r="Q2691" s="4" t="s">
        <v>2097</v>
      </c>
      <c r="R2691" s="4"/>
      <c r="S2691" s="4"/>
      <c r="T2691" s="4"/>
      <c r="U2691" s="4"/>
      <c r="V2691" s="4"/>
      <c r="W2691" s="4" t="s">
        <v>3395</v>
      </c>
      <c r="X2691" s="4" t="s">
        <v>3396</v>
      </c>
      <c r="Y2691" s="4" t="s">
        <v>3397</v>
      </c>
      <c r="Z2691" s="4"/>
      <c r="AA2691" s="4"/>
      <c r="AB2691" s="4"/>
      <c r="AC2691" s="4" t="s">
        <v>3352</v>
      </c>
      <c r="AD2691" s="4"/>
      <c r="AE2691" s="4"/>
      <c r="AF2691" s="4"/>
      <c r="AG2691" s="4"/>
      <c r="AH2691" s="4"/>
      <c r="AI2691" s="4"/>
      <c r="AJ2691" s="13" t="n">
        <v>1</v>
      </c>
      <c r="AK2691" s="4"/>
      <c r="AL2691" s="4"/>
      <c r="AM2691" s="4"/>
    </row>
    <row r="2692" customFormat="false" ht="23.85" hidden="false" customHeight="false" outlineLevel="0" collapsed="false">
      <c r="A2692" s="4" t="s">
        <v>3338</v>
      </c>
      <c r="B2692" s="4" t="s">
        <v>3669</v>
      </c>
      <c r="C2692" s="4" t="s">
        <v>3669</v>
      </c>
      <c r="D2692" s="12" t="n">
        <v>2021</v>
      </c>
      <c r="E2692" s="4"/>
      <c r="F2692" s="4" t="s">
        <v>1990</v>
      </c>
      <c r="G2692" s="4" t="s">
        <v>170</v>
      </c>
      <c r="H2692" s="4" t="s">
        <v>171</v>
      </c>
      <c r="I2692" s="4" t="s">
        <v>172</v>
      </c>
      <c r="J2692" s="4" t="s">
        <v>1033</v>
      </c>
      <c r="K2692" s="4" t="s">
        <v>88</v>
      </c>
      <c r="L2692" s="4"/>
      <c r="M2692" s="4"/>
      <c r="N2692" s="4" t="s">
        <v>1994</v>
      </c>
      <c r="O2692" s="4" t="s">
        <v>65</v>
      </c>
      <c r="P2692" s="4" t="s">
        <v>64</v>
      </c>
      <c r="Q2692" s="4" t="s">
        <v>2044</v>
      </c>
      <c r="R2692" s="4"/>
      <c r="S2692" s="4"/>
      <c r="T2692" s="4"/>
      <c r="U2692" s="4"/>
      <c r="V2692" s="4"/>
      <c r="W2692" s="4"/>
      <c r="X2692" s="4"/>
      <c r="Y2692" s="4"/>
      <c r="Z2692" s="4"/>
      <c r="AA2692" s="4"/>
      <c r="AB2692" s="4"/>
      <c r="AC2692" s="4"/>
      <c r="AD2692" s="4"/>
      <c r="AE2692" s="4"/>
      <c r="AF2692" s="4"/>
      <c r="AG2692" s="4"/>
      <c r="AH2692" s="4"/>
      <c r="AI2692" s="4"/>
      <c r="AJ2692" s="13" t="n">
        <v>0</v>
      </c>
      <c r="AK2692" s="4"/>
      <c r="AL2692" s="4"/>
      <c r="AM2692" s="4"/>
    </row>
    <row r="2693" customFormat="false" ht="23.85" hidden="false" customHeight="false" outlineLevel="0" collapsed="false">
      <c r="A2693" s="4" t="s">
        <v>3338</v>
      </c>
      <c r="B2693" s="4" t="s">
        <v>3670</v>
      </c>
      <c r="C2693" s="4" t="s">
        <v>3670</v>
      </c>
      <c r="D2693" s="12" t="n">
        <v>2021</v>
      </c>
      <c r="E2693" s="4"/>
      <c r="F2693" s="4" t="s">
        <v>1990</v>
      </c>
      <c r="G2693" s="4" t="s">
        <v>170</v>
      </c>
      <c r="H2693" s="4" t="s">
        <v>171</v>
      </c>
      <c r="I2693" s="4" t="s">
        <v>172</v>
      </c>
      <c r="J2693" s="4" t="s">
        <v>1038</v>
      </c>
      <c r="K2693" s="4" t="s">
        <v>88</v>
      </c>
      <c r="L2693" s="4"/>
      <c r="M2693" s="4"/>
      <c r="N2693" s="4" t="s">
        <v>2001</v>
      </c>
      <c r="O2693" s="4" t="s">
        <v>66</v>
      </c>
      <c r="P2693" s="4" t="s">
        <v>67</v>
      </c>
      <c r="Q2693" s="4" t="s">
        <v>2003</v>
      </c>
      <c r="R2693" s="4"/>
      <c r="S2693" s="4"/>
      <c r="T2693" s="4"/>
      <c r="U2693" s="4"/>
      <c r="V2693" s="4"/>
      <c r="W2693" s="4" t="s">
        <v>3341</v>
      </c>
      <c r="X2693" s="4" t="s">
        <v>3342</v>
      </c>
      <c r="Y2693" s="4" t="s">
        <v>3362</v>
      </c>
      <c r="Z2693" s="4"/>
      <c r="AA2693" s="4"/>
      <c r="AB2693" s="4"/>
      <c r="AC2693" s="4" t="s">
        <v>3363</v>
      </c>
      <c r="AD2693" s="4"/>
      <c r="AE2693" s="4"/>
      <c r="AF2693" s="4"/>
      <c r="AG2693" s="4"/>
      <c r="AH2693" s="4"/>
      <c r="AI2693" s="4"/>
      <c r="AJ2693" s="13" t="n">
        <v>1</v>
      </c>
      <c r="AK2693" s="4"/>
      <c r="AL2693" s="4"/>
      <c r="AM2693" s="4"/>
    </row>
    <row r="2694" customFormat="false" ht="23.85" hidden="false" customHeight="false" outlineLevel="0" collapsed="false">
      <c r="A2694" s="4" t="s">
        <v>3338</v>
      </c>
      <c r="B2694" s="4" t="s">
        <v>3671</v>
      </c>
      <c r="C2694" s="4" t="s">
        <v>3671</v>
      </c>
      <c r="D2694" s="12" t="n">
        <v>2021</v>
      </c>
      <c r="E2694" s="4"/>
      <c r="F2694" s="4" t="s">
        <v>1990</v>
      </c>
      <c r="G2694" s="4" t="s">
        <v>170</v>
      </c>
      <c r="H2694" s="4" t="s">
        <v>171</v>
      </c>
      <c r="I2694" s="4" t="s">
        <v>172</v>
      </c>
      <c r="J2694" s="4" t="s">
        <v>1048</v>
      </c>
      <c r="K2694" s="4" t="s">
        <v>95</v>
      </c>
      <c r="L2694" s="4"/>
      <c r="M2694" s="4"/>
      <c r="N2694" s="4" t="s">
        <v>1994</v>
      </c>
      <c r="O2694" s="4" t="s">
        <v>2029</v>
      </c>
      <c r="P2694" s="4" t="s">
        <v>69</v>
      </c>
      <c r="Q2694" s="4" t="s">
        <v>2030</v>
      </c>
      <c r="R2694" s="4"/>
      <c r="S2694" s="4"/>
      <c r="T2694" s="4"/>
      <c r="U2694" s="4"/>
      <c r="V2694" s="4"/>
      <c r="W2694" s="4"/>
      <c r="X2694" s="4"/>
      <c r="Y2694" s="4"/>
      <c r="Z2694" s="4"/>
      <c r="AA2694" s="4"/>
      <c r="AB2694" s="4"/>
      <c r="AC2694" s="4"/>
      <c r="AD2694" s="4"/>
      <c r="AE2694" s="4"/>
      <c r="AF2694" s="4"/>
      <c r="AG2694" s="4"/>
      <c r="AH2694" s="4"/>
      <c r="AI2694" s="4"/>
      <c r="AJ2694" s="13" t="n">
        <v>0</v>
      </c>
      <c r="AK2694" s="4"/>
      <c r="AL2694" s="4"/>
      <c r="AM2694" s="4"/>
    </row>
    <row r="2695" customFormat="false" ht="23.85" hidden="false" customHeight="false" outlineLevel="0" collapsed="false">
      <c r="A2695" s="4" t="s">
        <v>3338</v>
      </c>
      <c r="B2695" s="4" t="s">
        <v>3672</v>
      </c>
      <c r="C2695" s="4" t="s">
        <v>3672</v>
      </c>
      <c r="D2695" s="12" t="n">
        <v>2021</v>
      </c>
      <c r="E2695" s="4"/>
      <c r="F2695" s="4" t="s">
        <v>1990</v>
      </c>
      <c r="G2695" s="4" t="s">
        <v>170</v>
      </c>
      <c r="H2695" s="4" t="s">
        <v>171</v>
      </c>
      <c r="I2695" s="4" t="s">
        <v>172</v>
      </c>
      <c r="J2695" s="4" t="s">
        <v>1050</v>
      </c>
      <c r="K2695" s="4" t="s">
        <v>95</v>
      </c>
      <c r="L2695" s="4"/>
      <c r="M2695" s="4"/>
      <c r="N2695" s="4" t="s">
        <v>2001</v>
      </c>
      <c r="O2695" s="4" t="s">
        <v>2034</v>
      </c>
      <c r="P2695" s="4" t="s">
        <v>74</v>
      </c>
      <c r="Q2695" s="4" t="s">
        <v>2035</v>
      </c>
      <c r="R2695" s="4"/>
      <c r="S2695" s="4"/>
      <c r="T2695" s="4"/>
      <c r="U2695" s="4"/>
      <c r="V2695" s="4"/>
      <c r="W2695" s="4"/>
      <c r="X2695" s="4"/>
      <c r="Y2695" s="4"/>
      <c r="Z2695" s="4"/>
      <c r="AA2695" s="4"/>
      <c r="AB2695" s="4"/>
      <c r="AC2695" s="4"/>
      <c r="AD2695" s="4"/>
      <c r="AE2695" s="4"/>
      <c r="AF2695" s="4"/>
      <c r="AG2695" s="4"/>
      <c r="AH2695" s="4"/>
      <c r="AI2695" s="4"/>
      <c r="AJ2695" s="13" t="n">
        <v>0</v>
      </c>
      <c r="AK2695" s="4"/>
      <c r="AL2695" s="4"/>
      <c r="AM2695" s="4"/>
    </row>
    <row r="2696" customFormat="false" ht="23.85" hidden="false" customHeight="false" outlineLevel="0" collapsed="false">
      <c r="A2696" s="4" t="s">
        <v>3338</v>
      </c>
      <c r="B2696" s="4" t="s">
        <v>3673</v>
      </c>
      <c r="C2696" s="4" t="s">
        <v>3673</v>
      </c>
      <c r="D2696" s="12" t="n">
        <v>2021</v>
      </c>
      <c r="E2696" s="4"/>
      <c r="F2696" s="4" t="s">
        <v>1990</v>
      </c>
      <c r="G2696" s="4" t="s">
        <v>170</v>
      </c>
      <c r="H2696" s="4" t="s">
        <v>171</v>
      </c>
      <c r="I2696" s="4" t="s">
        <v>172</v>
      </c>
      <c r="J2696" s="4" t="s">
        <v>1058</v>
      </c>
      <c r="K2696" s="4" t="s">
        <v>95</v>
      </c>
      <c r="L2696" s="4"/>
      <c r="M2696" s="4"/>
      <c r="N2696" s="4" t="s">
        <v>2001</v>
      </c>
      <c r="O2696" s="4" t="s">
        <v>2002</v>
      </c>
      <c r="P2696" s="4" t="s">
        <v>68</v>
      </c>
      <c r="Q2696" s="4" t="s">
        <v>2111</v>
      </c>
      <c r="R2696" s="4"/>
      <c r="S2696" s="4"/>
      <c r="T2696" s="4"/>
      <c r="U2696" s="4"/>
      <c r="V2696" s="4"/>
      <c r="W2696" s="4" t="s">
        <v>3404</v>
      </c>
      <c r="X2696" s="4" t="s">
        <v>3405</v>
      </c>
      <c r="Y2696" s="4" t="inlineStr">
        <is>
          <t>COMB_COQUE</t>
        </is>
      </c>
      <c r="Z2696" s="4"/>
      <c r="AA2696" s="4"/>
      <c r="AB2696" s="4"/>
      <c r="AC2696" s="4" t="s">
        <v>3352</v>
      </c>
      <c r="AD2696" s="4"/>
      <c r="AE2696" s="4"/>
      <c r="AF2696" s="4"/>
      <c r="AG2696" s="4"/>
      <c r="AH2696" s="4"/>
      <c r="AI2696" s="4"/>
      <c r="AJ2696" s="13" t="n">
        <v>1</v>
      </c>
      <c r="AK2696" s="4"/>
      <c r="AL2696" s="4"/>
      <c r="AM2696" s="4"/>
    </row>
    <row r="2697" customFormat="false" ht="23.85" hidden="false" customHeight="false" outlineLevel="0" collapsed="false">
      <c r="A2697" s="4" t="s">
        <v>3338</v>
      </c>
      <c r="B2697" s="4" t="s">
        <v>3674</v>
      </c>
      <c r="C2697" s="4" t="s">
        <v>3674</v>
      </c>
      <c r="D2697" s="12" t="n">
        <v>2021</v>
      </c>
      <c r="E2697" s="4"/>
      <c r="F2697" s="4" t="s">
        <v>1990</v>
      </c>
      <c r="G2697" s="4" t="s">
        <v>170</v>
      </c>
      <c r="H2697" s="4" t="s">
        <v>171</v>
      </c>
      <c r="I2697" s="4" t="s">
        <v>172</v>
      </c>
      <c r="J2697" s="4" t="s">
        <v>1062</v>
      </c>
      <c r="K2697" s="4" t="s">
        <v>97</v>
      </c>
      <c r="L2697" s="4"/>
      <c r="M2697" s="4"/>
      <c r="N2697" s="4" t="s">
        <v>1994</v>
      </c>
      <c r="O2697" s="4" t="s">
        <v>2029</v>
      </c>
      <c r="P2697" s="4" t="s">
        <v>69</v>
      </c>
      <c r="Q2697" s="4" t="s">
        <v>2030</v>
      </c>
      <c r="R2697" s="4"/>
      <c r="S2697" s="4"/>
      <c r="T2697" s="4"/>
      <c r="U2697" s="4"/>
      <c r="V2697" s="4"/>
      <c r="W2697" s="4"/>
      <c r="X2697" s="4"/>
      <c r="Y2697" s="4"/>
      <c r="Z2697" s="4"/>
      <c r="AA2697" s="4"/>
      <c r="AB2697" s="4"/>
      <c r="AC2697" s="4"/>
      <c r="AD2697" s="4"/>
      <c r="AE2697" s="4"/>
      <c r="AF2697" s="4"/>
      <c r="AG2697" s="4"/>
      <c r="AH2697" s="4"/>
      <c r="AI2697" s="4"/>
      <c r="AJ2697" s="13" t="n">
        <v>0</v>
      </c>
      <c r="AK2697" s="4"/>
      <c r="AL2697" s="4"/>
      <c r="AM2697" s="4"/>
    </row>
    <row r="2698" customFormat="false" ht="23.85" hidden="false" customHeight="false" outlineLevel="0" collapsed="false">
      <c r="A2698" s="4" t="s">
        <v>3338</v>
      </c>
      <c r="B2698" s="4" t="s">
        <v>3675</v>
      </c>
      <c r="C2698" s="4" t="s">
        <v>3675</v>
      </c>
      <c r="D2698" s="12" t="n">
        <v>2021</v>
      </c>
      <c r="E2698" s="4"/>
      <c r="F2698" s="4" t="s">
        <v>1990</v>
      </c>
      <c r="G2698" s="4" t="s">
        <v>170</v>
      </c>
      <c r="H2698" s="4" t="s">
        <v>171</v>
      </c>
      <c r="I2698" s="4" t="s">
        <v>172</v>
      </c>
      <c r="J2698" s="4" t="s">
        <v>1063</v>
      </c>
      <c r="K2698" s="4" t="s">
        <v>97</v>
      </c>
      <c r="L2698" s="4"/>
      <c r="M2698" s="4"/>
      <c r="N2698" s="4" t="s">
        <v>2001</v>
      </c>
      <c r="O2698" s="4" t="s">
        <v>2091</v>
      </c>
      <c r="P2698" s="4" t="s">
        <v>69</v>
      </c>
      <c r="Q2698" s="4" t="s">
        <v>2030</v>
      </c>
      <c r="R2698" s="4"/>
      <c r="S2698" s="4"/>
      <c r="T2698" s="4"/>
      <c r="U2698" s="4"/>
      <c r="V2698" s="4"/>
      <c r="W2698" s="4"/>
      <c r="X2698" s="4"/>
      <c r="Y2698" s="4"/>
      <c r="Z2698" s="4"/>
      <c r="AA2698" s="4"/>
      <c r="AB2698" s="4"/>
      <c r="AC2698" s="4"/>
      <c r="AD2698" s="4"/>
      <c r="AE2698" s="4"/>
      <c r="AF2698" s="4"/>
      <c r="AG2698" s="4"/>
      <c r="AH2698" s="4"/>
      <c r="AI2698" s="4"/>
      <c r="AJ2698" s="13" t="n">
        <v>0</v>
      </c>
      <c r="AK2698" s="4"/>
      <c r="AL2698" s="4"/>
      <c r="AM2698" s="4"/>
    </row>
    <row r="2699" customFormat="false" ht="23.85" hidden="false" customHeight="false" outlineLevel="0" collapsed="false">
      <c r="A2699" s="4" t="s">
        <v>3338</v>
      </c>
      <c r="B2699" s="4" t="s">
        <v>3676</v>
      </c>
      <c r="C2699" s="4" t="s">
        <v>3676</v>
      </c>
      <c r="D2699" s="12" t="n">
        <v>2021</v>
      </c>
      <c r="E2699" s="4"/>
      <c r="F2699" s="4" t="s">
        <v>1990</v>
      </c>
      <c r="G2699" s="4" t="s">
        <v>170</v>
      </c>
      <c r="H2699" s="4" t="s">
        <v>171</v>
      </c>
      <c r="I2699" s="4" t="s">
        <v>172</v>
      </c>
      <c r="J2699" s="4" t="s">
        <v>1064</v>
      </c>
      <c r="K2699" s="4" t="s">
        <v>97</v>
      </c>
      <c r="L2699" s="4"/>
      <c r="M2699" s="4"/>
      <c r="N2699" s="4" t="s">
        <v>2001</v>
      </c>
      <c r="O2699" s="4" t="s">
        <v>2034</v>
      </c>
      <c r="P2699" s="4" t="s">
        <v>74</v>
      </c>
      <c r="Q2699" s="4" t="s">
        <v>2035</v>
      </c>
      <c r="R2699" s="4"/>
      <c r="S2699" s="4"/>
      <c r="T2699" s="4"/>
      <c r="U2699" s="4"/>
      <c r="V2699" s="4"/>
      <c r="W2699" s="4"/>
      <c r="X2699" s="4"/>
      <c r="Y2699" s="4"/>
      <c r="Z2699" s="4"/>
      <c r="AA2699" s="4"/>
      <c r="AB2699" s="4"/>
      <c r="AC2699" s="4"/>
      <c r="AD2699" s="4"/>
      <c r="AE2699" s="4"/>
      <c r="AF2699" s="4"/>
      <c r="AG2699" s="4"/>
      <c r="AH2699" s="4"/>
      <c r="AI2699" s="4"/>
      <c r="AJ2699" s="13" t="n">
        <v>0</v>
      </c>
      <c r="AK2699" s="4"/>
      <c r="AL2699" s="4"/>
      <c r="AM2699" s="4"/>
    </row>
    <row r="2700" customFormat="false" ht="23.85" hidden="false" customHeight="false" outlineLevel="0" collapsed="false">
      <c r="A2700" s="4" t="s">
        <v>3338</v>
      </c>
      <c r="B2700" s="4" t="s">
        <v>3677</v>
      </c>
      <c r="C2700" s="4" t="s">
        <v>3677</v>
      </c>
      <c r="D2700" s="12" t="n">
        <v>2021</v>
      </c>
      <c r="E2700" s="4"/>
      <c r="F2700" s="4" t="s">
        <v>1990</v>
      </c>
      <c r="G2700" s="4" t="s">
        <v>170</v>
      </c>
      <c r="H2700" s="4" t="s">
        <v>171</v>
      </c>
      <c r="I2700" s="4" t="s">
        <v>172</v>
      </c>
      <c r="J2700" s="4" t="s">
        <v>1066</v>
      </c>
      <c r="K2700" s="4" t="s">
        <v>97</v>
      </c>
      <c r="L2700" s="4"/>
      <c r="M2700" s="4"/>
      <c r="N2700" s="4" t="s">
        <v>2001</v>
      </c>
      <c r="O2700" s="4" t="s">
        <v>2002</v>
      </c>
      <c r="P2700" s="4" t="s">
        <v>67</v>
      </c>
      <c r="Q2700" s="4" t="s">
        <v>2003</v>
      </c>
      <c r="R2700" s="4"/>
      <c r="S2700" s="4"/>
      <c r="T2700" s="4"/>
      <c r="U2700" s="4"/>
      <c r="V2700" s="4"/>
      <c r="W2700" s="4" t="s">
        <v>3341</v>
      </c>
      <c r="X2700" s="4" t="s">
        <v>3342</v>
      </c>
      <c r="Y2700" s="4" t="inlineStr">
        <is>
          <t>COMB_DOIL</t>
        </is>
      </c>
      <c r="Z2700" s="4"/>
      <c r="AA2700" s="4"/>
      <c r="AB2700" s="4"/>
      <c r="AC2700" s="4" t="s">
        <v>3352</v>
      </c>
      <c r="AD2700" s="4"/>
      <c r="AE2700" s="4"/>
      <c r="AF2700" s="4"/>
      <c r="AG2700" s="4"/>
      <c r="AH2700" s="4"/>
      <c r="AI2700" s="4"/>
      <c r="AJ2700" s="13" t="n">
        <v>1</v>
      </c>
      <c r="AK2700" s="4"/>
      <c r="AL2700" s="4"/>
      <c r="AM2700" s="4"/>
    </row>
    <row r="2701" customFormat="false" ht="23.85" hidden="false" customHeight="false" outlineLevel="0" collapsed="false">
      <c r="A2701" s="4" t="s">
        <v>3338</v>
      </c>
      <c r="B2701" s="4" t="s">
        <v>3678</v>
      </c>
      <c r="C2701" s="4" t="s">
        <v>3678</v>
      </c>
      <c r="D2701" s="12" t="n">
        <v>2021</v>
      </c>
      <c r="E2701" s="4"/>
      <c r="F2701" s="4" t="s">
        <v>1990</v>
      </c>
      <c r="G2701" s="4" t="s">
        <v>170</v>
      </c>
      <c r="H2701" s="4" t="s">
        <v>171</v>
      </c>
      <c r="I2701" s="4" t="s">
        <v>172</v>
      </c>
      <c r="J2701" s="4" t="s">
        <v>1069</v>
      </c>
      <c r="K2701" s="4" t="s">
        <v>97</v>
      </c>
      <c r="L2701" s="4"/>
      <c r="M2701" s="4"/>
      <c r="N2701" s="4" t="s">
        <v>2001</v>
      </c>
      <c r="O2701" s="4" t="s">
        <v>2002</v>
      </c>
      <c r="P2701" s="4" t="s">
        <v>71</v>
      </c>
      <c r="Q2701" s="4" t="s">
        <v>2123</v>
      </c>
      <c r="R2701" s="4"/>
      <c r="S2701" s="4"/>
      <c r="T2701" s="4"/>
      <c r="U2701" s="4"/>
      <c r="V2701" s="4"/>
      <c r="W2701" s="4" t="s">
        <v>3412</v>
      </c>
      <c r="X2701" s="4" t="s">
        <v>3413</v>
      </c>
      <c r="Y2701" s="4" t="inlineStr">
        <is>
          <t>COMB_DOIL</t>
        </is>
      </c>
      <c r="Z2701" s="4"/>
      <c r="AA2701" s="4"/>
      <c r="AB2701" s="4"/>
      <c r="AC2701" s="4" t="s">
        <v>3352</v>
      </c>
      <c r="AD2701" s="4"/>
      <c r="AE2701" s="4"/>
      <c r="AF2701" s="4"/>
      <c r="AG2701" s="4"/>
      <c r="AH2701" s="4"/>
      <c r="AI2701" s="4"/>
      <c r="AJ2701" s="13" t="n">
        <v>1</v>
      </c>
      <c r="AK2701" s="4"/>
      <c r="AL2701" s="4"/>
      <c r="AM2701" s="4"/>
    </row>
    <row r="2702" customFormat="false" ht="23.85" hidden="false" customHeight="false" outlineLevel="0" collapsed="false">
      <c r="A2702" s="4" t="s">
        <v>3338</v>
      </c>
      <c r="B2702" s="4" t="s">
        <v>3679</v>
      </c>
      <c r="C2702" s="4" t="s">
        <v>3679</v>
      </c>
      <c r="D2702" s="12" t="n">
        <v>2021</v>
      </c>
      <c r="E2702" s="4"/>
      <c r="F2702" s="4" t="s">
        <v>1990</v>
      </c>
      <c r="G2702" s="4" t="s">
        <v>170</v>
      </c>
      <c r="H2702" s="4" t="s">
        <v>171</v>
      </c>
      <c r="I2702" s="4" t="s">
        <v>172</v>
      </c>
      <c r="J2702" s="4" t="s">
        <v>1072</v>
      </c>
      <c r="K2702" s="4" t="s">
        <v>97</v>
      </c>
      <c r="L2702" s="4"/>
      <c r="M2702" s="4"/>
      <c r="N2702" s="4" t="s">
        <v>2001</v>
      </c>
      <c r="O2702" s="4" t="s">
        <v>2002</v>
      </c>
      <c r="P2702" s="4" t="s">
        <v>68</v>
      </c>
      <c r="Q2702" s="4" t="s">
        <v>2111</v>
      </c>
      <c r="R2702" s="4"/>
      <c r="S2702" s="4"/>
      <c r="T2702" s="4"/>
      <c r="U2702" s="4"/>
      <c r="V2702" s="4"/>
      <c r="W2702" s="4" t="s">
        <v>3404</v>
      </c>
      <c r="X2702" s="4" t="s">
        <v>3405</v>
      </c>
      <c r="Y2702" s="4" t="inlineStr">
        <is>
          <t>COMB_DOIL</t>
        </is>
      </c>
      <c r="Z2702" s="4"/>
      <c r="AA2702" s="4"/>
      <c r="AB2702" s="4"/>
      <c r="AC2702" s="4" t="s">
        <v>3352</v>
      </c>
      <c r="AD2702" s="4"/>
      <c r="AE2702" s="4"/>
      <c r="AF2702" s="4"/>
      <c r="AG2702" s="4"/>
      <c r="AH2702" s="4"/>
      <c r="AI2702" s="4"/>
      <c r="AJ2702" s="13" t="n">
        <v>1</v>
      </c>
      <c r="AK2702" s="4"/>
      <c r="AL2702" s="4"/>
      <c r="AM2702" s="4"/>
    </row>
    <row r="2703" customFormat="false" ht="23.85" hidden="false" customHeight="false" outlineLevel="0" collapsed="false">
      <c r="A2703" s="4" t="s">
        <v>3338</v>
      </c>
      <c r="B2703" s="4" t="s">
        <v>3680</v>
      </c>
      <c r="C2703" s="4" t="s">
        <v>3680</v>
      </c>
      <c r="D2703" s="12" t="n">
        <v>2021</v>
      </c>
      <c r="E2703" s="4"/>
      <c r="F2703" s="4" t="s">
        <v>1990</v>
      </c>
      <c r="G2703" s="4" t="s">
        <v>170</v>
      </c>
      <c r="H2703" s="4" t="s">
        <v>171</v>
      </c>
      <c r="I2703" s="4" t="s">
        <v>172</v>
      </c>
      <c r="J2703" s="4" t="s">
        <v>1076</v>
      </c>
      <c r="K2703" s="4" t="s">
        <v>99</v>
      </c>
      <c r="L2703" s="4"/>
      <c r="M2703" s="4"/>
      <c r="N2703" s="4" t="s">
        <v>1994</v>
      </c>
      <c r="O2703" s="4" t="s">
        <v>2029</v>
      </c>
      <c r="P2703" s="4" t="s">
        <v>69</v>
      </c>
      <c r="Q2703" s="4" t="s">
        <v>2030</v>
      </c>
      <c r="R2703" s="4"/>
      <c r="S2703" s="4"/>
      <c r="T2703" s="4"/>
      <c r="U2703" s="4"/>
      <c r="V2703" s="4"/>
      <c r="W2703" s="4"/>
      <c r="X2703" s="4"/>
      <c r="Y2703" s="4"/>
      <c r="Z2703" s="4"/>
      <c r="AA2703" s="4"/>
      <c r="AB2703" s="4"/>
      <c r="AC2703" s="4"/>
      <c r="AD2703" s="4"/>
      <c r="AE2703" s="4"/>
      <c r="AF2703" s="4"/>
      <c r="AG2703" s="4"/>
      <c r="AH2703" s="4"/>
      <c r="AI2703" s="4"/>
      <c r="AJ2703" s="13" t="n">
        <v>0</v>
      </c>
      <c r="AK2703" s="4"/>
      <c r="AL2703" s="4"/>
      <c r="AM2703" s="4"/>
    </row>
    <row r="2704" customFormat="false" ht="23.85" hidden="false" customHeight="false" outlineLevel="0" collapsed="false">
      <c r="A2704" s="4" t="s">
        <v>3338</v>
      </c>
      <c r="B2704" s="4" t="s">
        <v>3681</v>
      </c>
      <c r="C2704" s="4" t="s">
        <v>3681</v>
      </c>
      <c r="D2704" s="12" t="n">
        <v>2021</v>
      </c>
      <c r="E2704" s="4"/>
      <c r="F2704" s="4" t="s">
        <v>1990</v>
      </c>
      <c r="G2704" s="4" t="s">
        <v>170</v>
      </c>
      <c r="H2704" s="4" t="s">
        <v>171</v>
      </c>
      <c r="I2704" s="4" t="s">
        <v>172</v>
      </c>
      <c r="J2704" s="4" t="s">
        <v>1077</v>
      </c>
      <c r="K2704" s="4" t="s">
        <v>99</v>
      </c>
      <c r="L2704" s="4"/>
      <c r="M2704" s="4"/>
      <c r="N2704" s="4" t="s">
        <v>2001</v>
      </c>
      <c r="O2704" s="4" t="s">
        <v>2091</v>
      </c>
      <c r="P2704" s="4" t="s">
        <v>69</v>
      </c>
      <c r="Q2704" s="4" t="s">
        <v>2030</v>
      </c>
      <c r="R2704" s="4"/>
      <c r="S2704" s="4"/>
      <c r="T2704" s="4"/>
      <c r="U2704" s="4"/>
      <c r="V2704" s="4"/>
      <c r="W2704" s="4"/>
      <c r="X2704" s="4"/>
      <c r="Y2704" s="4"/>
      <c r="Z2704" s="4"/>
      <c r="AA2704" s="4"/>
      <c r="AB2704" s="4"/>
      <c r="AC2704" s="4"/>
      <c r="AD2704" s="4"/>
      <c r="AE2704" s="4"/>
      <c r="AF2704" s="4"/>
      <c r="AG2704" s="4"/>
      <c r="AH2704" s="4"/>
      <c r="AI2704" s="4"/>
      <c r="AJ2704" s="13" t="n">
        <v>0</v>
      </c>
      <c r="AK2704" s="4"/>
      <c r="AL2704" s="4"/>
      <c r="AM2704" s="4"/>
    </row>
    <row r="2705" customFormat="false" ht="23.85" hidden="false" customHeight="false" outlineLevel="0" collapsed="false">
      <c r="A2705" s="4" t="s">
        <v>3338</v>
      </c>
      <c r="B2705" s="4" t="s">
        <v>3682</v>
      </c>
      <c r="C2705" s="4" t="s">
        <v>3682</v>
      </c>
      <c r="D2705" s="12" t="n">
        <v>2021</v>
      </c>
      <c r="E2705" s="4"/>
      <c r="F2705" s="4" t="s">
        <v>1990</v>
      </c>
      <c r="G2705" s="4" t="s">
        <v>170</v>
      </c>
      <c r="H2705" s="4" t="s">
        <v>171</v>
      </c>
      <c r="I2705" s="4" t="s">
        <v>172</v>
      </c>
      <c r="J2705" s="4" t="s">
        <v>1080</v>
      </c>
      <c r="K2705" s="4" t="s">
        <v>99</v>
      </c>
      <c r="L2705" s="4"/>
      <c r="M2705" s="4"/>
      <c r="N2705" s="4" t="s">
        <v>1994</v>
      </c>
      <c r="O2705" s="4" t="s">
        <v>1995</v>
      </c>
      <c r="P2705" s="4" t="s">
        <v>67</v>
      </c>
      <c r="Q2705" s="4" t="s">
        <v>2003</v>
      </c>
      <c r="R2705" s="4"/>
      <c r="S2705" s="4"/>
      <c r="T2705" s="4"/>
      <c r="U2705" s="4"/>
      <c r="V2705" s="4"/>
      <c r="W2705" s="4" t="s">
        <v>3341</v>
      </c>
      <c r="X2705" s="4" t="s">
        <v>3342</v>
      </c>
      <c r="Y2705" s="4" t="s">
        <v>3362</v>
      </c>
      <c r="Z2705" s="4"/>
      <c r="AA2705" s="4"/>
      <c r="AB2705" s="4"/>
      <c r="AC2705" s="4" t="s">
        <v>3363</v>
      </c>
      <c r="AD2705" s="4"/>
      <c r="AE2705" s="4"/>
      <c r="AF2705" s="4"/>
      <c r="AG2705" s="4"/>
      <c r="AH2705" s="4"/>
      <c r="AI2705" s="4"/>
      <c r="AJ2705" s="13" t="n">
        <v>1</v>
      </c>
      <c r="AK2705" s="4"/>
      <c r="AL2705" s="4"/>
      <c r="AM2705" s="4"/>
    </row>
    <row r="2706" customFormat="false" ht="23.85" hidden="false" customHeight="false" outlineLevel="0" collapsed="false">
      <c r="A2706" s="4" t="s">
        <v>3338</v>
      </c>
      <c r="B2706" s="4" t="s">
        <v>3683</v>
      </c>
      <c r="C2706" s="4" t="s">
        <v>3683</v>
      </c>
      <c r="D2706" s="12" t="n">
        <v>2021</v>
      </c>
      <c r="E2706" s="4"/>
      <c r="F2706" s="4" t="s">
        <v>1990</v>
      </c>
      <c r="G2706" s="4" t="s">
        <v>170</v>
      </c>
      <c r="H2706" s="4" t="s">
        <v>171</v>
      </c>
      <c r="I2706" s="4" t="s">
        <v>172</v>
      </c>
      <c r="J2706" s="4" t="s">
        <v>1081</v>
      </c>
      <c r="K2706" s="4" t="s">
        <v>99</v>
      </c>
      <c r="L2706" s="4"/>
      <c r="M2706" s="4"/>
      <c r="N2706" s="4" t="s">
        <v>1994</v>
      </c>
      <c r="O2706" s="4" t="s">
        <v>1995</v>
      </c>
      <c r="P2706" s="4" t="s">
        <v>67</v>
      </c>
      <c r="Q2706" s="4" t="s">
        <v>2008</v>
      </c>
      <c r="R2706" s="4"/>
      <c r="S2706" s="4"/>
      <c r="T2706" s="4"/>
      <c r="U2706" s="4"/>
      <c r="V2706" s="4"/>
      <c r="W2706" s="4" t="s">
        <v>3341</v>
      </c>
      <c r="X2706" s="4" t="s">
        <v>3342</v>
      </c>
      <c r="Y2706" s="4" t="s">
        <v>3362</v>
      </c>
      <c r="Z2706" s="4"/>
      <c r="AA2706" s="4"/>
      <c r="AB2706" s="4"/>
      <c r="AC2706" s="4" t="s">
        <v>3363</v>
      </c>
      <c r="AD2706" s="4"/>
      <c r="AE2706" s="4"/>
      <c r="AF2706" s="4"/>
      <c r="AG2706" s="4"/>
      <c r="AH2706" s="4"/>
      <c r="AI2706" s="4"/>
      <c r="AJ2706" s="13" t="n">
        <v>1</v>
      </c>
      <c r="AK2706" s="4"/>
      <c r="AL2706" s="4"/>
      <c r="AM2706" s="4"/>
    </row>
    <row r="2707" customFormat="false" ht="23.85" hidden="false" customHeight="false" outlineLevel="0" collapsed="false">
      <c r="A2707" s="4" t="s">
        <v>3338</v>
      </c>
      <c r="B2707" s="4" t="s">
        <v>3684</v>
      </c>
      <c r="C2707" s="4" t="s">
        <v>3684</v>
      </c>
      <c r="D2707" s="12" t="n">
        <v>2021</v>
      </c>
      <c r="E2707" s="4"/>
      <c r="F2707" s="4" t="s">
        <v>1990</v>
      </c>
      <c r="G2707" s="4" t="s">
        <v>170</v>
      </c>
      <c r="H2707" s="4" t="s">
        <v>171</v>
      </c>
      <c r="I2707" s="4" t="s">
        <v>172</v>
      </c>
      <c r="J2707" s="4" t="s">
        <v>1082</v>
      </c>
      <c r="K2707" s="4" t="s">
        <v>99</v>
      </c>
      <c r="L2707" s="4"/>
      <c r="M2707" s="4"/>
      <c r="N2707" s="4" t="s">
        <v>2001</v>
      </c>
      <c r="O2707" s="4" t="s">
        <v>2002</v>
      </c>
      <c r="P2707" s="4" t="s">
        <v>67</v>
      </c>
      <c r="Q2707" s="4" t="s">
        <v>2139</v>
      </c>
      <c r="R2707" s="4"/>
      <c r="S2707" s="4"/>
      <c r="T2707" s="4"/>
      <c r="U2707" s="4"/>
      <c r="V2707" s="4"/>
      <c r="W2707" s="4" t="s">
        <v>3420</v>
      </c>
      <c r="X2707" s="4" t="s">
        <v>3421</v>
      </c>
      <c r="Y2707" s="4" t="s">
        <v>3362</v>
      </c>
      <c r="Z2707" s="4"/>
      <c r="AA2707" s="4"/>
      <c r="AB2707" s="4"/>
      <c r="AC2707" s="4" t="s">
        <v>3363</v>
      </c>
      <c r="AD2707" s="4"/>
      <c r="AE2707" s="4"/>
      <c r="AF2707" s="4"/>
      <c r="AG2707" s="4"/>
      <c r="AH2707" s="4"/>
      <c r="AI2707" s="4"/>
      <c r="AJ2707" s="13" t="n">
        <v>1</v>
      </c>
      <c r="AK2707" s="4"/>
      <c r="AL2707" s="4"/>
      <c r="AM2707" s="4"/>
    </row>
    <row r="2708" customFormat="false" ht="23.85" hidden="false" customHeight="false" outlineLevel="0" collapsed="false">
      <c r="A2708" s="4" t="s">
        <v>3338</v>
      </c>
      <c r="B2708" s="4" t="s">
        <v>3685</v>
      </c>
      <c r="C2708" s="4" t="s">
        <v>3685</v>
      </c>
      <c r="D2708" s="12" t="n">
        <v>2021</v>
      </c>
      <c r="E2708" s="4"/>
      <c r="F2708" s="4" t="s">
        <v>1990</v>
      </c>
      <c r="G2708" s="4" t="s">
        <v>170</v>
      </c>
      <c r="H2708" s="4" t="s">
        <v>171</v>
      </c>
      <c r="I2708" s="4" t="s">
        <v>172</v>
      </c>
      <c r="J2708" s="4" t="s">
        <v>1084</v>
      </c>
      <c r="K2708" s="4" t="s">
        <v>99</v>
      </c>
      <c r="L2708" s="4"/>
      <c r="M2708" s="4"/>
      <c r="N2708" s="4" t="s">
        <v>2001</v>
      </c>
      <c r="O2708" s="4" t="s">
        <v>2074</v>
      </c>
      <c r="P2708" s="4" t="s">
        <v>73</v>
      </c>
      <c r="Q2708" s="4" t="s">
        <v>2075</v>
      </c>
      <c r="R2708" s="4"/>
      <c r="S2708" s="4"/>
      <c r="T2708" s="4"/>
      <c r="U2708" s="4"/>
      <c r="V2708" s="4"/>
      <c r="W2708" s="4" t="s">
        <v>3380</v>
      </c>
      <c r="X2708" s="4" t="s">
        <v>3381</v>
      </c>
      <c r="Y2708" s="4" t="s">
        <v>3362</v>
      </c>
      <c r="Z2708" s="4"/>
      <c r="AA2708" s="4"/>
      <c r="AB2708" s="4"/>
      <c r="AC2708" s="4" t="s">
        <v>3363</v>
      </c>
      <c r="AD2708" s="4"/>
      <c r="AE2708" s="4"/>
      <c r="AF2708" s="4"/>
      <c r="AG2708" s="4"/>
      <c r="AH2708" s="4"/>
      <c r="AI2708" s="4"/>
      <c r="AJ2708" s="13" t="n">
        <v>1</v>
      </c>
      <c r="AK2708" s="4"/>
      <c r="AL2708" s="4"/>
      <c r="AM2708" s="4"/>
    </row>
    <row r="2709" customFormat="false" ht="23.85" hidden="false" customHeight="false" outlineLevel="0" collapsed="false">
      <c r="A2709" s="4" t="s">
        <v>3338</v>
      </c>
      <c r="B2709" s="4" t="s">
        <v>3686</v>
      </c>
      <c r="C2709" s="4" t="s">
        <v>3686</v>
      </c>
      <c r="D2709" s="12" t="n">
        <v>2021</v>
      </c>
      <c r="E2709" s="4"/>
      <c r="F2709" s="4" t="s">
        <v>1990</v>
      </c>
      <c r="G2709" s="4" t="s">
        <v>170</v>
      </c>
      <c r="H2709" s="4" t="s">
        <v>171</v>
      </c>
      <c r="I2709" s="4" t="s">
        <v>172</v>
      </c>
      <c r="J2709" s="4" t="s">
        <v>1085</v>
      </c>
      <c r="K2709" s="4" t="s">
        <v>99</v>
      </c>
      <c r="L2709" s="4"/>
      <c r="M2709" s="4"/>
      <c r="N2709" s="4" t="s">
        <v>2001</v>
      </c>
      <c r="O2709" s="4" t="s">
        <v>2002</v>
      </c>
      <c r="P2709" s="4" t="s">
        <v>72</v>
      </c>
      <c r="Q2709" s="4" t="s">
        <v>2079</v>
      </c>
      <c r="R2709" s="4"/>
      <c r="S2709" s="4"/>
      <c r="T2709" s="4"/>
      <c r="U2709" s="4"/>
      <c r="V2709" s="4"/>
      <c r="W2709" s="4" t="s">
        <v>3383</v>
      </c>
      <c r="X2709" s="4" t="s">
        <v>3384</v>
      </c>
      <c r="Y2709" s="4" t="s">
        <v>3362</v>
      </c>
      <c r="Z2709" s="4"/>
      <c r="AA2709" s="4"/>
      <c r="AB2709" s="4"/>
      <c r="AC2709" s="4" t="s">
        <v>3363</v>
      </c>
      <c r="AD2709" s="4"/>
      <c r="AE2709" s="4"/>
      <c r="AF2709" s="4"/>
      <c r="AG2709" s="4"/>
      <c r="AH2709" s="4"/>
      <c r="AI2709" s="4"/>
      <c r="AJ2709" s="13" t="n">
        <v>1</v>
      </c>
      <c r="AK2709" s="4"/>
      <c r="AL2709" s="4"/>
      <c r="AM2709" s="4"/>
    </row>
    <row r="2710" customFormat="false" ht="23.85" hidden="false" customHeight="false" outlineLevel="0" collapsed="false">
      <c r="A2710" s="4" t="s">
        <v>3338</v>
      </c>
      <c r="B2710" s="4" t="s">
        <v>3687</v>
      </c>
      <c r="C2710" s="4" t="s">
        <v>3687</v>
      </c>
      <c r="D2710" s="12" t="n">
        <v>2021</v>
      </c>
      <c r="E2710" s="4"/>
      <c r="F2710" s="4" t="s">
        <v>1990</v>
      </c>
      <c r="G2710" s="4" t="s">
        <v>170</v>
      </c>
      <c r="H2710" s="4" t="s">
        <v>171</v>
      </c>
      <c r="I2710" s="4" t="s">
        <v>172</v>
      </c>
      <c r="J2710" s="4" t="s">
        <v>1086</v>
      </c>
      <c r="K2710" s="4" t="s">
        <v>99</v>
      </c>
      <c r="L2710" s="4"/>
      <c r="M2710" s="4"/>
      <c r="N2710" s="4" t="s">
        <v>2001</v>
      </c>
      <c r="O2710" s="4" t="s">
        <v>2002</v>
      </c>
      <c r="P2710" s="4" t="s">
        <v>68</v>
      </c>
      <c r="Q2710" s="4" t="s">
        <v>2111</v>
      </c>
      <c r="R2710" s="4"/>
      <c r="S2710" s="4"/>
      <c r="T2710" s="4"/>
      <c r="U2710" s="4"/>
      <c r="V2710" s="4"/>
      <c r="W2710" s="4" t="s">
        <v>3404</v>
      </c>
      <c r="X2710" s="4" t="s">
        <v>3405</v>
      </c>
      <c r="Y2710" s="4" t="s">
        <v>3362</v>
      </c>
      <c r="Z2710" s="4"/>
      <c r="AA2710" s="4"/>
      <c r="AB2710" s="4"/>
      <c r="AC2710" s="4" t="s">
        <v>3363</v>
      </c>
      <c r="AD2710" s="4"/>
      <c r="AE2710" s="4"/>
      <c r="AF2710" s="4"/>
      <c r="AG2710" s="4"/>
      <c r="AH2710" s="4"/>
      <c r="AI2710" s="4"/>
      <c r="AJ2710" s="13" t="n">
        <v>1</v>
      </c>
      <c r="AK2710" s="4"/>
      <c r="AL2710" s="4"/>
      <c r="AM2710" s="4"/>
    </row>
    <row r="2711" customFormat="false" ht="23.85" hidden="false" customHeight="false" outlineLevel="0" collapsed="false">
      <c r="A2711" s="4" t="s">
        <v>3338</v>
      </c>
      <c r="B2711" s="4" t="s">
        <v>3688</v>
      </c>
      <c r="C2711" s="4" t="s">
        <v>3688</v>
      </c>
      <c r="D2711" s="12" t="n">
        <v>2021</v>
      </c>
      <c r="E2711" s="4"/>
      <c r="F2711" s="4" t="s">
        <v>1990</v>
      </c>
      <c r="G2711" s="4" t="s">
        <v>170</v>
      </c>
      <c r="H2711" s="4" t="s">
        <v>171</v>
      </c>
      <c r="I2711" s="4" t="s">
        <v>172</v>
      </c>
      <c r="J2711" s="4" t="s">
        <v>1088</v>
      </c>
      <c r="K2711" s="4" t="s">
        <v>99</v>
      </c>
      <c r="L2711" s="4"/>
      <c r="M2711" s="4"/>
      <c r="N2711" s="4" t="s">
        <v>2001</v>
      </c>
      <c r="O2711" s="4" t="s">
        <v>2002</v>
      </c>
      <c r="P2711" s="4" t="s">
        <v>67</v>
      </c>
      <c r="Q2711" s="4" t="s">
        <v>2151</v>
      </c>
      <c r="R2711" s="4"/>
      <c r="S2711" s="4"/>
      <c r="T2711" s="4"/>
      <c r="U2711" s="4"/>
      <c r="V2711" s="4"/>
      <c r="W2711" s="4"/>
      <c r="X2711" s="4"/>
      <c r="Y2711" s="4"/>
      <c r="Z2711" s="4"/>
      <c r="AA2711" s="4"/>
      <c r="AB2711" s="4"/>
      <c r="AC2711" s="4"/>
      <c r="AD2711" s="4"/>
      <c r="AE2711" s="4"/>
      <c r="AF2711" s="4"/>
      <c r="AG2711" s="4"/>
      <c r="AH2711" s="4"/>
      <c r="AI2711" s="4"/>
      <c r="AJ2711" s="13" t="n">
        <v>0</v>
      </c>
      <c r="AK2711" s="4"/>
      <c r="AL2711" s="4"/>
      <c r="AM2711" s="4"/>
    </row>
    <row r="2712" customFormat="false" ht="23.85" hidden="false" customHeight="false" outlineLevel="0" collapsed="false">
      <c r="A2712" s="4" t="s">
        <v>3338</v>
      </c>
      <c r="B2712" s="4" t="s">
        <v>3689</v>
      </c>
      <c r="C2712" s="4" t="s">
        <v>3689</v>
      </c>
      <c r="D2712" s="12" t="n">
        <v>2021</v>
      </c>
      <c r="E2712" s="4"/>
      <c r="F2712" s="4" t="s">
        <v>1990</v>
      </c>
      <c r="G2712" s="4" t="s">
        <v>170</v>
      </c>
      <c r="H2712" s="4" t="s">
        <v>171</v>
      </c>
      <c r="I2712" s="4" t="s">
        <v>172</v>
      </c>
      <c r="J2712" s="4" t="s">
        <v>1088</v>
      </c>
      <c r="K2712" s="4" t="s">
        <v>99</v>
      </c>
      <c r="L2712" s="4"/>
      <c r="M2712" s="4"/>
      <c r="N2712" s="4" t="s">
        <v>1994</v>
      </c>
      <c r="O2712" s="4" t="s">
        <v>2156</v>
      </c>
      <c r="P2712" s="4" t="s">
        <v>67</v>
      </c>
      <c r="Q2712" s="4" t="s">
        <v>2151</v>
      </c>
      <c r="R2712" s="4"/>
      <c r="S2712" s="4"/>
      <c r="T2712" s="4"/>
      <c r="U2712" s="4"/>
      <c r="V2712" s="4"/>
      <c r="W2712" s="4"/>
      <c r="X2712" s="4"/>
      <c r="Y2712" s="4"/>
      <c r="Z2712" s="4"/>
      <c r="AA2712" s="4"/>
      <c r="AB2712" s="4"/>
      <c r="AC2712" s="4"/>
      <c r="AD2712" s="4"/>
      <c r="AE2712" s="4"/>
      <c r="AF2712" s="4"/>
      <c r="AG2712" s="4"/>
      <c r="AH2712" s="4"/>
      <c r="AI2712" s="4"/>
      <c r="AJ2712" s="13" t="n">
        <v>0</v>
      </c>
      <c r="AK2712" s="4"/>
      <c r="AL2712" s="4"/>
      <c r="AM2712" s="4"/>
    </row>
    <row r="2713" customFormat="false" ht="23.85" hidden="false" customHeight="false" outlineLevel="0" collapsed="false">
      <c r="A2713" s="4" t="s">
        <v>3338</v>
      </c>
      <c r="B2713" s="4" t="s">
        <v>3690</v>
      </c>
      <c r="C2713" s="4" t="s">
        <v>3690</v>
      </c>
      <c r="D2713" s="12" t="n">
        <v>2021</v>
      </c>
      <c r="E2713" s="4"/>
      <c r="F2713" s="4" t="s">
        <v>1990</v>
      </c>
      <c r="G2713" s="4" t="s">
        <v>170</v>
      </c>
      <c r="H2713" s="4" t="s">
        <v>171</v>
      </c>
      <c r="I2713" s="4" t="s">
        <v>172</v>
      </c>
      <c r="J2713" s="4" t="s">
        <v>1088</v>
      </c>
      <c r="K2713" s="4" t="s">
        <v>99</v>
      </c>
      <c r="L2713" s="4"/>
      <c r="M2713" s="4"/>
      <c r="N2713" s="4" t="s">
        <v>2001</v>
      </c>
      <c r="O2713" s="4" t="s">
        <v>2160</v>
      </c>
      <c r="P2713" s="4" t="s">
        <v>64</v>
      </c>
      <c r="Q2713" s="4" t="s">
        <v>2151</v>
      </c>
      <c r="R2713" s="4"/>
      <c r="S2713" s="4"/>
      <c r="T2713" s="4"/>
      <c r="U2713" s="4"/>
      <c r="V2713" s="4"/>
      <c r="W2713" s="4"/>
      <c r="X2713" s="4"/>
      <c r="Y2713" s="4"/>
      <c r="Z2713" s="4"/>
      <c r="AA2713" s="4"/>
      <c r="AB2713" s="4"/>
      <c r="AC2713" s="4"/>
      <c r="AD2713" s="4"/>
      <c r="AE2713" s="4"/>
      <c r="AF2713" s="4"/>
      <c r="AG2713" s="4"/>
      <c r="AH2713" s="4"/>
      <c r="AI2713" s="4"/>
      <c r="AJ2713" s="13" t="n">
        <v>0</v>
      </c>
      <c r="AK2713" s="4"/>
      <c r="AL2713" s="4"/>
      <c r="AM2713" s="4"/>
    </row>
    <row r="2714" customFormat="false" ht="23.85" hidden="false" customHeight="false" outlineLevel="0" collapsed="false">
      <c r="A2714" s="4" t="s">
        <v>3338</v>
      </c>
      <c r="B2714" s="4" t="s">
        <v>3691</v>
      </c>
      <c r="C2714" s="4" t="s">
        <v>3691</v>
      </c>
      <c r="D2714" s="12" t="n">
        <v>2021</v>
      </c>
      <c r="E2714" s="4"/>
      <c r="F2714" s="4" t="s">
        <v>1990</v>
      </c>
      <c r="G2714" s="4" t="s">
        <v>170</v>
      </c>
      <c r="H2714" s="4" t="s">
        <v>171</v>
      </c>
      <c r="I2714" s="4" t="s">
        <v>172</v>
      </c>
      <c r="J2714" s="4" t="s">
        <v>1090</v>
      </c>
      <c r="K2714" s="4" t="s">
        <v>101</v>
      </c>
      <c r="L2714" s="4"/>
      <c r="M2714" s="4"/>
      <c r="N2714" s="4" t="s">
        <v>1994</v>
      </c>
      <c r="O2714" s="4" t="s">
        <v>2029</v>
      </c>
      <c r="P2714" s="4" t="s">
        <v>69</v>
      </c>
      <c r="Q2714" s="4" t="s">
        <v>2030</v>
      </c>
      <c r="R2714" s="4"/>
      <c r="S2714" s="4"/>
      <c r="T2714" s="4"/>
      <c r="U2714" s="4"/>
      <c r="V2714" s="4"/>
      <c r="W2714" s="4"/>
      <c r="X2714" s="4"/>
      <c r="Y2714" s="4"/>
      <c r="Z2714" s="4"/>
      <c r="AA2714" s="4"/>
      <c r="AB2714" s="4"/>
      <c r="AC2714" s="4"/>
      <c r="AD2714" s="4"/>
      <c r="AE2714" s="4"/>
      <c r="AF2714" s="4"/>
      <c r="AG2714" s="4"/>
      <c r="AH2714" s="4"/>
      <c r="AI2714" s="4"/>
      <c r="AJ2714" s="13" t="n">
        <v>0</v>
      </c>
      <c r="AK2714" s="4"/>
      <c r="AL2714" s="4"/>
      <c r="AM2714" s="4"/>
    </row>
    <row r="2715" customFormat="false" ht="23.85" hidden="false" customHeight="false" outlineLevel="0" collapsed="false">
      <c r="A2715" s="4" t="s">
        <v>3338</v>
      </c>
      <c r="B2715" s="4" t="s">
        <v>3692</v>
      </c>
      <c r="C2715" s="4" t="s">
        <v>3692</v>
      </c>
      <c r="D2715" s="12" t="n">
        <v>2021</v>
      </c>
      <c r="E2715" s="4"/>
      <c r="F2715" s="4" t="s">
        <v>1990</v>
      </c>
      <c r="G2715" s="4" t="s">
        <v>170</v>
      </c>
      <c r="H2715" s="4" t="s">
        <v>171</v>
      </c>
      <c r="I2715" s="4" t="s">
        <v>172</v>
      </c>
      <c r="J2715" s="4" t="s">
        <v>1092</v>
      </c>
      <c r="K2715" s="4" t="s">
        <v>101</v>
      </c>
      <c r="L2715" s="4"/>
      <c r="M2715" s="4"/>
      <c r="N2715" s="4" t="s">
        <v>2001</v>
      </c>
      <c r="O2715" s="4" t="s">
        <v>2034</v>
      </c>
      <c r="P2715" s="4" t="s">
        <v>74</v>
      </c>
      <c r="Q2715" s="4" t="s">
        <v>2035</v>
      </c>
      <c r="R2715" s="4"/>
      <c r="S2715" s="4"/>
      <c r="T2715" s="4"/>
      <c r="U2715" s="4"/>
      <c r="V2715" s="4"/>
      <c r="W2715" s="4"/>
      <c r="X2715" s="4"/>
      <c r="Y2715" s="4"/>
      <c r="Z2715" s="4"/>
      <c r="AA2715" s="4"/>
      <c r="AB2715" s="4"/>
      <c r="AC2715" s="4"/>
      <c r="AD2715" s="4"/>
      <c r="AE2715" s="4"/>
      <c r="AF2715" s="4"/>
      <c r="AG2715" s="4"/>
      <c r="AH2715" s="4"/>
      <c r="AI2715" s="4"/>
      <c r="AJ2715" s="13" t="n">
        <v>0</v>
      </c>
      <c r="AK2715" s="4"/>
      <c r="AL2715" s="4"/>
      <c r="AM2715" s="4"/>
    </row>
    <row r="2716" customFormat="false" ht="23.85" hidden="false" customHeight="false" outlineLevel="0" collapsed="false">
      <c r="A2716" s="4" t="s">
        <v>3338</v>
      </c>
      <c r="B2716" s="4" t="s">
        <v>3693</v>
      </c>
      <c r="C2716" s="4" t="s">
        <v>3693</v>
      </c>
      <c r="D2716" s="12" t="n">
        <v>2021</v>
      </c>
      <c r="E2716" s="4"/>
      <c r="F2716" s="4" t="s">
        <v>1990</v>
      </c>
      <c r="G2716" s="4" t="s">
        <v>170</v>
      </c>
      <c r="H2716" s="4" t="s">
        <v>171</v>
      </c>
      <c r="I2716" s="4" t="s">
        <v>172</v>
      </c>
      <c r="J2716" s="4" t="s">
        <v>1094</v>
      </c>
      <c r="K2716" s="4" t="s">
        <v>101</v>
      </c>
      <c r="L2716" s="4"/>
      <c r="M2716" s="4"/>
      <c r="N2716" s="4" t="s">
        <v>2001</v>
      </c>
      <c r="O2716" s="4" t="s">
        <v>2002</v>
      </c>
      <c r="P2716" s="4" t="s">
        <v>67</v>
      </c>
      <c r="Q2716" s="4" t="s">
        <v>2003</v>
      </c>
      <c r="R2716" s="4"/>
      <c r="S2716" s="4"/>
      <c r="T2716" s="4"/>
      <c r="U2716" s="4"/>
      <c r="V2716" s="4"/>
      <c r="W2716" s="4" t="s">
        <v>3341</v>
      </c>
      <c r="X2716" s="4" t="s">
        <v>3342</v>
      </c>
      <c r="Y2716" s="4" t="inlineStr">
        <is>
          <t>COMB_FOIL</t>
        </is>
      </c>
      <c r="Z2716" s="4"/>
      <c r="AA2716" s="4"/>
      <c r="AB2716" s="4"/>
      <c r="AC2716" s="4" t="s">
        <v>3352</v>
      </c>
      <c r="AD2716" s="4"/>
      <c r="AE2716" s="4"/>
      <c r="AF2716" s="4"/>
      <c r="AG2716" s="4"/>
      <c r="AH2716" s="4"/>
      <c r="AI2716" s="4"/>
      <c r="AJ2716" s="13" t="n">
        <v>1</v>
      </c>
      <c r="AK2716" s="4"/>
      <c r="AL2716" s="4"/>
      <c r="AM2716" s="4"/>
    </row>
    <row r="2717" customFormat="false" ht="23.85" hidden="false" customHeight="false" outlineLevel="0" collapsed="false">
      <c r="A2717" s="4" t="s">
        <v>3338</v>
      </c>
      <c r="B2717" s="4" t="s">
        <v>3694</v>
      </c>
      <c r="C2717" s="4" t="s">
        <v>3694</v>
      </c>
      <c r="D2717" s="12" t="n">
        <v>2021</v>
      </c>
      <c r="E2717" s="4"/>
      <c r="F2717" s="4" t="s">
        <v>1990</v>
      </c>
      <c r="G2717" s="4" t="s">
        <v>170</v>
      </c>
      <c r="H2717" s="4" t="s">
        <v>171</v>
      </c>
      <c r="I2717" s="4" t="s">
        <v>172</v>
      </c>
      <c r="J2717" s="4" t="s">
        <v>1095</v>
      </c>
      <c r="K2717" s="4" t="s">
        <v>101</v>
      </c>
      <c r="L2717" s="4"/>
      <c r="M2717" s="4"/>
      <c r="N2717" s="4" t="s">
        <v>2001</v>
      </c>
      <c r="O2717" s="4" t="s">
        <v>2002</v>
      </c>
      <c r="P2717" s="4" t="s">
        <v>67</v>
      </c>
      <c r="Q2717" s="4" t="s">
        <v>2008</v>
      </c>
      <c r="R2717" s="4"/>
      <c r="S2717" s="4"/>
      <c r="T2717" s="4"/>
      <c r="U2717" s="4"/>
      <c r="V2717" s="4"/>
      <c r="W2717" s="4" t="s">
        <v>3341</v>
      </c>
      <c r="X2717" s="4" t="s">
        <v>3342</v>
      </c>
      <c r="Y2717" s="4" t="inlineStr">
        <is>
          <t>COMB_FOIL</t>
        </is>
      </c>
      <c r="Z2717" s="4"/>
      <c r="AA2717" s="4"/>
      <c r="AB2717" s="4"/>
      <c r="AC2717" s="4" t="s">
        <v>3352</v>
      </c>
      <c r="AD2717" s="4"/>
      <c r="AE2717" s="4"/>
      <c r="AF2717" s="4"/>
      <c r="AG2717" s="4"/>
      <c r="AH2717" s="4"/>
      <c r="AI2717" s="4"/>
      <c r="AJ2717" s="13" t="n">
        <v>1</v>
      </c>
      <c r="AK2717" s="4"/>
      <c r="AL2717" s="4"/>
      <c r="AM2717" s="4"/>
    </row>
    <row r="2718" customFormat="false" ht="23.85" hidden="false" customHeight="false" outlineLevel="0" collapsed="false">
      <c r="A2718" s="4" t="s">
        <v>3338</v>
      </c>
      <c r="B2718" s="4" t="s">
        <v>3695</v>
      </c>
      <c r="C2718" s="4" t="s">
        <v>3695</v>
      </c>
      <c r="D2718" s="12" t="n">
        <v>2021</v>
      </c>
      <c r="E2718" s="4"/>
      <c r="F2718" s="4" t="s">
        <v>1990</v>
      </c>
      <c r="G2718" s="4" t="s">
        <v>170</v>
      </c>
      <c r="H2718" s="4" t="s">
        <v>171</v>
      </c>
      <c r="I2718" s="4" t="s">
        <v>172</v>
      </c>
      <c r="J2718" s="4" t="s">
        <v>1100</v>
      </c>
      <c r="K2718" s="4" t="s">
        <v>101</v>
      </c>
      <c r="L2718" s="4"/>
      <c r="M2718" s="4"/>
      <c r="N2718" s="4" t="s">
        <v>2001</v>
      </c>
      <c r="O2718" s="4" t="s">
        <v>2002</v>
      </c>
      <c r="P2718" s="4" t="s">
        <v>68</v>
      </c>
      <c r="Q2718" s="4" t="s">
        <v>2111</v>
      </c>
      <c r="R2718" s="4"/>
      <c r="S2718" s="4"/>
      <c r="T2718" s="4"/>
      <c r="U2718" s="4"/>
      <c r="V2718" s="4"/>
      <c r="W2718" s="4" t="s">
        <v>3404</v>
      </c>
      <c r="X2718" s="4" t="s">
        <v>3405</v>
      </c>
      <c r="Y2718" s="4" t="inlineStr">
        <is>
          <t>COMB_FOIL</t>
        </is>
      </c>
      <c r="Z2718" s="4"/>
      <c r="AA2718" s="4"/>
      <c r="AB2718" s="4"/>
      <c r="AC2718" s="4" t="s">
        <v>3352</v>
      </c>
      <c r="AD2718" s="4"/>
      <c r="AE2718" s="4"/>
      <c r="AF2718" s="4"/>
      <c r="AG2718" s="4"/>
      <c r="AH2718" s="4"/>
      <c r="AI2718" s="4"/>
      <c r="AJ2718" s="13" t="n">
        <v>1</v>
      </c>
      <c r="AK2718" s="4"/>
      <c r="AL2718" s="4"/>
      <c r="AM2718" s="4"/>
    </row>
    <row r="2719" customFormat="false" ht="23.85" hidden="false" customHeight="false" outlineLevel="0" collapsed="false">
      <c r="A2719" s="4" t="s">
        <v>3338</v>
      </c>
      <c r="B2719" s="4" t="s">
        <v>3696</v>
      </c>
      <c r="C2719" s="4" t="s">
        <v>3696</v>
      </c>
      <c r="D2719" s="12" t="n">
        <v>2021</v>
      </c>
      <c r="E2719" s="4"/>
      <c r="F2719" s="4" t="s">
        <v>1990</v>
      </c>
      <c r="G2719" s="4" t="s">
        <v>170</v>
      </c>
      <c r="H2719" s="4" t="s">
        <v>171</v>
      </c>
      <c r="I2719" s="4" t="s">
        <v>172</v>
      </c>
      <c r="J2719" s="4" t="s">
        <v>1104</v>
      </c>
      <c r="K2719" s="4" t="s">
        <v>103</v>
      </c>
      <c r="L2719" s="4"/>
      <c r="M2719" s="4"/>
      <c r="N2719" s="4" t="s">
        <v>1994</v>
      </c>
      <c r="O2719" s="4" t="s">
        <v>2029</v>
      </c>
      <c r="P2719" s="4" t="s">
        <v>69</v>
      </c>
      <c r="Q2719" s="4" t="s">
        <v>2030</v>
      </c>
      <c r="R2719" s="4"/>
      <c r="S2719" s="4"/>
      <c r="T2719" s="4"/>
      <c r="U2719" s="4"/>
      <c r="V2719" s="4"/>
      <c r="W2719" s="4"/>
      <c r="X2719" s="4"/>
      <c r="Y2719" s="4"/>
      <c r="Z2719" s="4"/>
      <c r="AA2719" s="4"/>
      <c r="AB2719" s="4"/>
      <c r="AC2719" s="4"/>
      <c r="AD2719" s="4"/>
      <c r="AE2719" s="4"/>
      <c r="AF2719" s="4"/>
      <c r="AG2719" s="4"/>
      <c r="AH2719" s="4"/>
      <c r="AI2719" s="4"/>
      <c r="AJ2719" s="13" t="n">
        <v>0</v>
      </c>
      <c r="AK2719" s="4"/>
      <c r="AL2719" s="4"/>
      <c r="AM2719" s="4"/>
    </row>
    <row r="2720" customFormat="false" ht="23.85" hidden="false" customHeight="false" outlineLevel="0" collapsed="false">
      <c r="A2720" s="4" t="s">
        <v>3338</v>
      </c>
      <c r="B2720" s="4" t="s">
        <v>3697</v>
      </c>
      <c r="C2720" s="4" t="s">
        <v>3697</v>
      </c>
      <c r="D2720" s="12" t="n">
        <v>2021</v>
      </c>
      <c r="E2720" s="4"/>
      <c r="F2720" s="4" t="s">
        <v>1990</v>
      </c>
      <c r="G2720" s="4" t="s">
        <v>170</v>
      </c>
      <c r="H2720" s="4" t="s">
        <v>171</v>
      </c>
      <c r="I2720" s="4" t="s">
        <v>172</v>
      </c>
      <c r="J2720" s="4" t="s">
        <v>1105</v>
      </c>
      <c r="K2720" s="4" t="s">
        <v>103</v>
      </c>
      <c r="L2720" s="4"/>
      <c r="M2720" s="4"/>
      <c r="N2720" s="4" t="s">
        <v>2001</v>
      </c>
      <c r="O2720" s="4" t="s">
        <v>2091</v>
      </c>
      <c r="P2720" s="4" t="s">
        <v>69</v>
      </c>
      <c r="Q2720" s="4" t="s">
        <v>2030</v>
      </c>
      <c r="R2720" s="4"/>
      <c r="S2720" s="4"/>
      <c r="T2720" s="4"/>
      <c r="U2720" s="4"/>
      <c r="V2720" s="4"/>
      <c r="W2720" s="4"/>
      <c r="X2720" s="4"/>
      <c r="Y2720" s="4"/>
      <c r="Z2720" s="4"/>
      <c r="AA2720" s="4"/>
      <c r="AB2720" s="4"/>
      <c r="AC2720" s="4"/>
      <c r="AD2720" s="4"/>
      <c r="AE2720" s="4"/>
      <c r="AF2720" s="4"/>
      <c r="AG2720" s="4"/>
      <c r="AH2720" s="4"/>
      <c r="AI2720" s="4"/>
      <c r="AJ2720" s="13" t="n">
        <v>0</v>
      </c>
      <c r="AK2720" s="4"/>
      <c r="AL2720" s="4"/>
      <c r="AM2720" s="4"/>
    </row>
    <row r="2721" customFormat="false" ht="23.85" hidden="false" customHeight="false" outlineLevel="0" collapsed="false">
      <c r="A2721" s="4" t="s">
        <v>3338</v>
      </c>
      <c r="B2721" s="4" t="s">
        <v>3698</v>
      </c>
      <c r="C2721" s="4" t="s">
        <v>3698</v>
      </c>
      <c r="D2721" s="12" t="n">
        <v>2021</v>
      </c>
      <c r="E2721" s="4"/>
      <c r="F2721" s="4" t="s">
        <v>1990</v>
      </c>
      <c r="G2721" s="4" t="s">
        <v>170</v>
      </c>
      <c r="H2721" s="4" t="s">
        <v>171</v>
      </c>
      <c r="I2721" s="4" t="s">
        <v>172</v>
      </c>
      <c r="J2721" s="4" t="s">
        <v>1106</v>
      </c>
      <c r="K2721" s="4" t="s">
        <v>103</v>
      </c>
      <c r="L2721" s="4"/>
      <c r="M2721" s="4"/>
      <c r="N2721" s="4" t="s">
        <v>2001</v>
      </c>
      <c r="O2721" s="4" t="s">
        <v>2034</v>
      </c>
      <c r="P2721" s="4" t="s">
        <v>74</v>
      </c>
      <c r="Q2721" s="4" t="s">
        <v>2035</v>
      </c>
      <c r="R2721" s="4"/>
      <c r="S2721" s="4"/>
      <c r="T2721" s="4"/>
      <c r="U2721" s="4"/>
      <c r="V2721" s="4"/>
      <c r="W2721" s="4"/>
      <c r="X2721" s="4"/>
      <c r="Y2721" s="4"/>
      <c r="Z2721" s="4"/>
      <c r="AA2721" s="4"/>
      <c r="AB2721" s="4"/>
      <c r="AC2721" s="4"/>
      <c r="AD2721" s="4"/>
      <c r="AE2721" s="4"/>
      <c r="AF2721" s="4"/>
      <c r="AG2721" s="4"/>
      <c r="AH2721" s="4"/>
      <c r="AI2721" s="4"/>
      <c r="AJ2721" s="13" t="n">
        <v>0</v>
      </c>
      <c r="AK2721" s="4"/>
      <c r="AL2721" s="4"/>
      <c r="AM2721" s="4"/>
    </row>
    <row r="2722" customFormat="false" ht="23.85" hidden="false" customHeight="false" outlineLevel="0" collapsed="false">
      <c r="A2722" s="4" t="s">
        <v>3338</v>
      </c>
      <c r="B2722" s="4" t="s">
        <v>3699</v>
      </c>
      <c r="C2722" s="4" t="s">
        <v>3699</v>
      </c>
      <c r="D2722" s="12" t="n">
        <v>2021</v>
      </c>
      <c r="E2722" s="4"/>
      <c r="F2722" s="4" t="s">
        <v>1990</v>
      </c>
      <c r="G2722" s="4" t="s">
        <v>170</v>
      </c>
      <c r="H2722" s="4" t="s">
        <v>171</v>
      </c>
      <c r="I2722" s="4" t="s">
        <v>172</v>
      </c>
      <c r="J2722" s="4" t="s">
        <v>1111</v>
      </c>
      <c r="K2722" s="4" t="s">
        <v>103</v>
      </c>
      <c r="L2722" s="4"/>
      <c r="M2722" s="4"/>
      <c r="N2722" s="4" t="s">
        <v>2001</v>
      </c>
      <c r="O2722" s="4" t="s">
        <v>2002</v>
      </c>
      <c r="P2722" s="4" t="s">
        <v>71</v>
      </c>
      <c r="Q2722" s="4" t="s">
        <v>2123</v>
      </c>
      <c r="R2722" s="4"/>
      <c r="S2722" s="4"/>
      <c r="T2722" s="4"/>
      <c r="U2722" s="4"/>
      <c r="V2722" s="4"/>
      <c r="W2722" s="4" t="s">
        <v>3412</v>
      </c>
      <c r="X2722" s="4" t="s">
        <v>3413</v>
      </c>
      <c r="Y2722" s="4" t="inlineStr">
        <is>
          <t>COMB_GAS</t>
        </is>
      </c>
      <c r="Z2722" s="4"/>
      <c r="AA2722" s="4"/>
      <c r="AB2722" s="4"/>
      <c r="AC2722" s="4" t="s">
        <v>3352</v>
      </c>
      <c r="AD2722" s="4"/>
      <c r="AE2722" s="4"/>
      <c r="AF2722" s="4"/>
      <c r="AG2722" s="4"/>
      <c r="AH2722" s="4"/>
      <c r="AI2722" s="4"/>
      <c r="AJ2722" s="13" t="n">
        <v>1</v>
      </c>
      <c r="AK2722" s="4"/>
      <c r="AL2722" s="4"/>
      <c r="AM2722" s="4"/>
    </row>
    <row r="2723" customFormat="false" ht="23.85" hidden="false" customHeight="false" outlineLevel="0" collapsed="false">
      <c r="A2723" s="4" t="s">
        <v>3338</v>
      </c>
      <c r="B2723" s="4" t="s">
        <v>3700</v>
      </c>
      <c r="C2723" s="4" t="s">
        <v>3700</v>
      </c>
      <c r="D2723" s="12" t="n">
        <v>2021</v>
      </c>
      <c r="E2723" s="4"/>
      <c r="F2723" s="4" t="s">
        <v>1990</v>
      </c>
      <c r="G2723" s="4" t="s">
        <v>170</v>
      </c>
      <c r="H2723" s="4" t="s">
        <v>171</v>
      </c>
      <c r="I2723" s="4" t="s">
        <v>172</v>
      </c>
      <c r="J2723" s="4" t="s">
        <v>1113</v>
      </c>
      <c r="K2723" s="4" t="s">
        <v>103</v>
      </c>
      <c r="L2723" s="4"/>
      <c r="M2723" s="4"/>
      <c r="N2723" s="4" t="s">
        <v>2001</v>
      </c>
      <c r="O2723" s="4" t="s">
        <v>2002</v>
      </c>
      <c r="P2723" s="4" t="s">
        <v>72</v>
      </c>
      <c r="Q2723" s="4" t="s">
        <v>2079</v>
      </c>
      <c r="R2723" s="4"/>
      <c r="S2723" s="4"/>
      <c r="T2723" s="4"/>
      <c r="U2723" s="4"/>
      <c r="V2723" s="4"/>
      <c r="W2723" s="4" t="s">
        <v>3383</v>
      </c>
      <c r="X2723" s="4" t="s">
        <v>3384</v>
      </c>
      <c r="Y2723" s="4" t="inlineStr">
        <is>
          <t>COMB_GAS</t>
        </is>
      </c>
      <c r="Z2723" s="4"/>
      <c r="AA2723" s="4"/>
      <c r="AB2723" s="4"/>
      <c r="AC2723" s="4" t="s">
        <v>3352</v>
      </c>
      <c r="AD2723" s="4"/>
      <c r="AE2723" s="4"/>
      <c r="AF2723" s="4"/>
      <c r="AG2723" s="4"/>
      <c r="AH2723" s="4"/>
      <c r="AI2723" s="4"/>
      <c r="AJ2723" s="13" t="n">
        <v>1</v>
      </c>
      <c r="AK2723" s="4"/>
      <c r="AL2723" s="4"/>
      <c r="AM2723" s="4"/>
    </row>
    <row r="2724" customFormat="false" ht="23.85" hidden="false" customHeight="false" outlineLevel="0" collapsed="false">
      <c r="A2724" s="4" t="s">
        <v>3338</v>
      </c>
      <c r="B2724" s="4" t="s">
        <v>3701</v>
      </c>
      <c r="C2724" s="4" t="s">
        <v>3701</v>
      </c>
      <c r="D2724" s="12" t="n">
        <v>2021</v>
      </c>
      <c r="E2724" s="4"/>
      <c r="F2724" s="4" t="s">
        <v>1990</v>
      </c>
      <c r="G2724" s="4" t="s">
        <v>170</v>
      </c>
      <c r="H2724" s="4" t="s">
        <v>171</v>
      </c>
      <c r="I2724" s="4" t="s">
        <v>172</v>
      </c>
      <c r="J2724" s="4" t="s">
        <v>1114</v>
      </c>
      <c r="K2724" s="4" t="s">
        <v>103</v>
      </c>
      <c r="L2724" s="4"/>
      <c r="M2724" s="4"/>
      <c r="N2724" s="4" t="s">
        <v>2001</v>
      </c>
      <c r="O2724" s="4" t="s">
        <v>2002</v>
      </c>
      <c r="P2724" s="4" t="s">
        <v>68</v>
      </c>
      <c r="Q2724" s="4" t="s">
        <v>2111</v>
      </c>
      <c r="R2724" s="4"/>
      <c r="S2724" s="4"/>
      <c r="T2724" s="4"/>
      <c r="U2724" s="4"/>
      <c r="V2724" s="4"/>
      <c r="W2724" s="4" t="s">
        <v>3404</v>
      </c>
      <c r="X2724" s="4" t="s">
        <v>3405</v>
      </c>
      <c r="Y2724" s="4" t="inlineStr">
        <is>
          <t>COMB_GAS</t>
        </is>
      </c>
      <c r="Z2724" s="4"/>
      <c r="AA2724" s="4"/>
      <c r="AB2724" s="4"/>
      <c r="AC2724" s="4" t="s">
        <v>3352</v>
      </c>
      <c r="AD2724" s="4"/>
      <c r="AE2724" s="4"/>
      <c r="AF2724" s="4"/>
      <c r="AG2724" s="4"/>
      <c r="AH2724" s="4"/>
      <c r="AI2724" s="4"/>
      <c r="AJ2724" s="13" t="n">
        <v>1</v>
      </c>
      <c r="AK2724" s="4"/>
      <c r="AL2724" s="4"/>
      <c r="AM2724" s="4"/>
    </row>
    <row r="2725" customFormat="false" ht="23.85" hidden="false" customHeight="false" outlineLevel="0" collapsed="false">
      <c r="A2725" s="4" t="s">
        <v>3338</v>
      </c>
      <c r="B2725" s="4" t="s">
        <v>3702</v>
      </c>
      <c r="C2725" s="4" t="s">
        <v>3702</v>
      </c>
      <c r="D2725" s="12" t="n">
        <v>2021</v>
      </c>
      <c r="E2725" s="4"/>
      <c r="F2725" s="4" t="s">
        <v>1990</v>
      </c>
      <c r="G2725" s="4" t="s">
        <v>170</v>
      </c>
      <c r="H2725" s="4" t="s">
        <v>171</v>
      </c>
      <c r="I2725" s="4" t="s">
        <v>172</v>
      </c>
      <c r="J2725" s="4" t="s">
        <v>1118</v>
      </c>
      <c r="K2725" s="4" t="s">
        <v>105</v>
      </c>
      <c r="L2725" s="4"/>
      <c r="M2725" s="4"/>
      <c r="N2725" s="4" t="s">
        <v>1994</v>
      </c>
      <c r="O2725" s="4" t="s">
        <v>2029</v>
      </c>
      <c r="P2725" s="4" t="s">
        <v>69</v>
      </c>
      <c r="Q2725" s="4" t="s">
        <v>2030</v>
      </c>
      <c r="R2725" s="4"/>
      <c r="S2725" s="4"/>
      <c r="T2725" s="4"/>
      <c r="U2725" s="4"/>
      <c r="V2725" s="4"/>
      <c r="W2725" s="4"/>
      <c r="X2725" s="4"/>
      <c r="Y2725" s="4"/>
      <c r="Z2725" s="4"/>
      <c r="AA2725" s="4"/>
      <c r="AB2725" s="4"/>
      <c r="AC2725" s="4"/>
      <c r="AD2725" s="4"/>
      <c r="AE2725" s="4"/>
      <c r="AF2725" s="4"/>
      <c r="AG2725" s="4"/>
      <c r="AH2725" s="4"/>
      <c r="AI2725" s="4"/>
      <c r="AJ2725" s="13" t="n">
        <v>0</v>
      </c>
      <c r="AK2725" s="4"/>
      <c r="AL2725" s="4"/>
      <c r="AM2725" s="4"/>
    </row>
    <row r="2726" customFormat="false" ht="23.85" hidden="false" customHeight="false" outlineLevel="0" collapsed="false">
      <c r="A2726" s="4" t="s">
        <v>3338</v>
      </c>
      <c r="B2726" s="4" t="s">
        <v>3703</v>
      </c>
      <c r="C2726" s="4" t="s">
        <v>3703</v>
      </c>
      <c r="D2726" s="12" t="n">
        <v>2021</v>
      </c>
      <c r="E2726" s="4"/>
      <c r="F2726" s="4" t="s">
        <v>1990</v>
      </c>
      <c r="G2726" s="4" t="s">
        <v>170</v>
      </c>
      <c r="H2726" s="4" t="s">
        <v>171</v>
      </c>
      <c r="I2726" s="4" t="s">
        <v>172</v>
      </c>
      <c r="J2726" s="4" t="s">
        <v>1119</v>
      </c>
      <c r="K2726" s="4" t="s">
        <v>105</v>
      </c>
      <c r="L2726" s="4"/>
      <c r="M2726" s="4"/>
      <c r="N2726" s="4" t="s">
        <v>2001</v>
      </c>
      <c r="O2726" s="4" t="s">
        <v>2091</v>
      </c>
      <c r="P2726" s="4" t="s">
        <v>69</v>
      </c>
      <c r="Q2726" s="4" t="s">
        <v>2030</v>
      </c>
      <c r="R2726" s="4"/>
      <c r="S2726" s="4"/>
      <c r="T2726" s="4"/>
      <c r="U2726" s="4"/>
      <c r="V2726" s="4"/>
      <c r="W2726" s="4"/>
      <c r="X2726" s="4"/>
      <c r="Y2726" s="4"/>
      <c r="Z2726" s="4"/>
      <c r="AA2726" s="4"/>
      <c r="AB2726" s="4"/>
      <c r="AC2726" s="4"/>
      <c r="AD2726" s="4"/>
      <c r="AE2726" s="4"/>
      <c r="AF2726" s="4"/>
      <c r="AG2726" s="4"/>
      <c r="AH2726" s="4"/>
      <c r="AI2726" s="4"/>
      <c r="AJ2726" s="13" t="n">
        <v>0</v>
      </c>
      <c r="AK2726" s="4"/>
      <c r="AL2726" s="4"/>
      <c r="AM2726" s="4"/>
    </row>
    <row r="2727" customFormat="false" ht="23.85" hidden="false" customHeight="false" outlineLevel="0" collapsed="false">
      <c r="A2727" s="4" t="s">
        <v>3338</v>
      </c>
      <c r="B2727" s="4" t="s">
        <v>3704</v>
      </c>
      <c r="C2727" s="4" t="s">
        <v>3704</v>
      </c>
      <c r="D2727" s="12" t="n">
        <v>2021</v>
      </c>
      <c r="E2727" s="4"/>
      <c r="F2727" s="4" t="s">
        <v>1990</v>
      </c>
      <c r="G2727" s="4" t="s">
        <v>170</v>
      </c>
      <c r="H2727" s="4" t="s">
        <v>171</v>
      </c>
      <c r="I2727" s="4" t="s">
        <v>172</v>
      </c>
      <c r="J2727" s="4" t="s">
        <v>1120</v>
      </c>
      <c r="K2727" s="4" t="s">
        <v>105</v>
      </c>
      <c r="L2727" s="4"/>
      <c r="M2727" s="4"/>
      <c r="N2727" s="4" t="s">
        <v>2001</v>
      </c>
      <c r="O2727" s="4" t="s">
        <v>2034</v>
      </c>
      <c r="P2727" s="4" t="s">
        <v>74</v>
      </c>
      <c r="Q2727" s="4" t="s">
        <v>2035</v>
      </c>
      <c r="R2727" s="4"/>
      <c r="S2727" s="4"/>
      <c r="T2727" s="4"/>
      <c r="U2727" s="4"/>
      <c r="V2727" s="4"/>
      <c r="W2727" s="4"/>
      <c r="X2727" s="4"/>
      <c r="Y2727" s="4"/>
      <c r="Z2727" s="4"/>
      <c r="AA2727" s="4"/>
      <c r="AB2727" s="4"/>
      <c r="AC2727" s="4"/>
      <c r="AD2727" s="4"/>
      <c r="AE2727" s="4"/>
      <c r="AF2727" s="4"/>
      <c r="AG2727" s="4"/>
      <c r="AH2727" s="4"/>
      <c r="AI2727" s="4"/>
      <c r="AJ2727" s="13" t="n">
        <v>0</v>
      </c>
      <c r="AK2727" s="4"/>
      <c r="AL2727" s="4"/>
      <c r="AM2727" s="4"/>
    </row>
    <row r="2728" customFormat="false" ht="23.85" hidden="false" customHeight="false" outlineLevel="0" collapsed="false">
      <c r="A2728" s="4" t="s">
        <v>3338</v>
      </c>
      <c r="B2728" s="4" t="s">
        <v>3705</v>
      </c>
      <c r="C2728" s="4" t="s">
        <v>3705</v>
      </c>
      <c r="D2728" s="12" t="n">
        <v>2021</v>
      </c>
      <c r="E2728" s="4"/>
      <c r="F2728" s="4" t="s">
        <v>1990</v>
      </c>
      <c r="G2728" s="4" t="s">
        <v>170</v>
      </c>
      <c r="H2728" s="4" t="s">
        <v>171</v>
      </c>
      <c r="I2728" s="4" t="s">
        <v>172</v>
      </c>
      <c r="J2728" s="4" t="s">
        <v>1125</v>
      </c>
      <c r="K2728" s="4" t="s">
        <v>105</v>
      </c>
      <c r="L2728" s="4"/>
      <c r="M2728" s="4"/>
      <c r="N2728" s="4" t="s">
        <v>2001</v>
      </c>
      <c r="O2728" s="4" t="s">
        <v>2002</v>
      </c>
      <c r="P2728" s="4" t="s">
        <v>71</v>
      </c>
      <c r="Q2728" s="4" t="s">
        <v>2123</v>
      </c>
      <c r="R2728" s="4"/>
      <c r="S2728" s="4"/>
      <c r="T2728" s="4"/>
      <c r="U2728" s="4"/>
      <c r="V2728" s="4"/>
      <c r="W2728" s="4" t="s">
        <v>3412</v>
      </c>
      <c r="X2728" s="4" t="s">
        <v>3413</v>
      </c>
      <c r="Y2728" s="4" t="inlineStr">
        <is>
          <t>COMB_GLP</t>
        </is>
      </c>
      <c r="Z2728" s="4"/>
      <c r="AA2728" s="4"/>
      <c r="AB2728" s="4"/>
      <c r="AC2728" s="4" t="s">
        <v>3352</v>
      </c>
      <c r="AD2728" s="4"/>
      <c r="AE2728" s="4"/>
      <c r="AF2728" s="4"/>
      <c r="AG2728" s="4"/>
      <c r="AH2728" s="4"/>
      <c r="AI2728" s="4"/>
      <c r="AJ2728" s="13" t="n">
        <v>1</v>
      </c>
      <c r="AK2728" s="4"/>
      <c r="AL2728" s="4"/>
      <c r="AM2728" s="4"/>
    </row>
    <row r="2729" customFormat="false" ht="23.85" hidden="false" customHeight="false" outlineLevel="0" collapsed="false">
      <c r="A2729" s="4" t="s">
        <v>3338</v>
      </c>
      <c r="B2729" s="4" t="s">
        <v>3706</v>
      </c>
      <c r="C2729" s="4" t="s">
        <v>3706</v>
      </c>
      <c r="D2729" s="12" t="n">
        <v>2021</v>
      </c>
      <c r="E2729" s="4"/>
      <c r="F2729" s="4" t="s">
        <v>1990</v>
      </c>
      <c r="G2729" s="4" t="s">
        <v>170</v>
      </c>
      <c r="H2729" s="4" t="s">
        <v>171</v>
      </c>
      <c r="I2729" s="4" t="s">
        <v>172</v>
      </c>
      <c r="J2729" s="4" t="s">
        <v>1126</v>
      </c>
      <c r="K2729" s="4" t="s">
        <v>105</v>
      </c>
      <c r="L2729" s="4"/>
      <c r="M2729" s="4"/>
      <c r="N2729" s="4" t="s">
        <v>2001</v>
      </c>
      <c r="O2729" s="4" t="s">
        <v>2074</v>
      </c>
      <c r="P2729" s="4" t="s">
        <v>73</v>
      </c>
      <c r="Q2729" s="4" t="s">
        <v>2075</v>
      </c>
      <c r="R2729" s="4"/>
      <c r="S2729" s="4"/>
      <c r="T2729" s="4"/>
      <c r="U2729" s="4"/>
      <c r="V2729" s="4"/>
      <c r="W2729" s="4" t="s">
        <v>3380</v>
      </c>
      <c r="X2729" s="4" t="s">
        <v>3381</v>
      </c>
      <c r="Y2729" s="4" t="inlineStr">
        <is>
          <t>COMB_GLP</t>
        </is>
      </c>
      <c r="Z2729" s="4"/>
      <c r="AA2729" s="4"/>
      <c r="AB2729" s="4"/>
      <c r="AC2729" s="4" t="s">
        <v>3352</v>
      </c>
      <c r="AD2729" s="4"/>
      <c r="AE2729" s="4"/>
      <c r="AF2729" s="4"/>
      <c r="AG2729" s="4"/>
      <c r="AH2729" s="4"/>
      <c r="AI2729" s="4"/>
      <c r="AJ2729" s="13" t="n">
        <v>1</v>
      </c>
      <c r="AK2729" s="4"/>
      <c r="AL2729" s="4"/>
      <c r="AM2729" s="4"/>
    </row>
    <row r="2730" customFormat="false" ht="23.85" hidden="false" customHeight="false" outlineLevel="0" collapsed="false">
      <c r="A2730" s="4" t="s">
        <v>3338</v>
      </c>
      <c r="B2730" s="4" t="s">
        <v>3707</v>
      </c>
      <c r="C2730" s="4" t="s">
        <v>3707</v>
      </c>
      <c r="D2730" s="12" t="n">
        <v>2021</v>
      </c>
      <c r="E2730" s="4"/>
      <c r="F2730" s="4" t="s">
        <v>1990</v>
      </c>
      <c r="G2730" s="4" t="s">
        <v>170</v>
      </c>
      <c r="H2730" s="4" t="s">
        <v>171</v>
      </c>
      <c r="I2730" s="4" t="s">
        <v>172</v>
      </c>
      <c r="J2730" s="4" t="s">
        <v>1127</v>
      </c>
      <c r="K2730" s="4" t="s">
        <v>105</v>
      </c>
      <c r="L2730" s="4"/>
      <c r="M2730" s="4"/>
      <c r="N2730" s="4" t="s">
        <v>2001</v>
      </c>
      <c r="O2730" s="4" t="s">
        <v>2002</v>
      </c>
      <c r="P2730" s="4" t="s">
        <v>72</v>
      </c>
      <c r="Q2730" s="4" t="s">
        <v>2079</v>
      </c>
      <c r="R2730" s="4"/>
      <c r="S2730" s="4"/>
      <c r="T2730" s="4"/>
      <c r="U2730" s="4"/>
      <c r="V2730" s="4"/>
      <c r="W2730" s="4" t="s">
        <v>3383</v>
      </c>
      <c r="X2730" s="4" t="s">
        <v>3384</v>
      </c>
      <c r="Y2730" s="4" t="inlineStr">
        <is>
          <t>COMB_GLP</t>
        </is>
      </c>
      <c r="Z2730" s="4"/>
      <c r="AA2730" s="4"/>
      <c r="AB2730" s="4"/>
      <c r="AC2730" s="4" t="s">
        <v>3352</v>
      </c>
      <c r="AD2730" s="4"/>
      <c r="AE2730" s="4"/>
      <c r="AF2730" s="4"/>
      <c r="AG2730" s="4"/>
      <c r="AH2730" s="4"/>
      <c r="AI2730" s="4"/>
      <c r="AJ2730" s="13" t="n">
        <v>1</v>
      </c>
      <c r="AK2730" s="4"/>
      <c r="AL2730" s="4"/>
      <c r="AM2730" s="4"/>
    </row>
    <row r="2731" customFormat="false" ht="23.85" hidden="false" customHeight="false" outlineLevel="0" collapsed="false">
      <c r="A2731" s="4" t="s">
        <v>3338</v>
      </c>
      <c r="B2731" s="4" t="s">
        <v>3708</v>
      </c>
      <c r="C2731" s="4" t="s">
        <v>3708</v>
      </c>
      <c r="D2731" s="12" t="n">
        <v>2021</v>
      </c>
      <c r="E2731" s="4"/>
      <c r="F2731" s="4" t="s">
        <v>1990</v>
      </c>
      <c r="G2731" s="4" t="s">
        <v>170</v>
      </c>
      <c r="H2731" s="4" t="s">
        <v>171</v>
      </c>
      <c r="I2731" s="4" t="s">
        <v>172</v>
      </c>
      <c r="J2731" s="4" t="s">
        <v>1128</v>
      </c>
      <c r="K2731" s="4" t="s">
        <v>105</v>
      </c>
      <c r="L2731" s="4"/>
      <c r="M2731" s="4"/>
      <c r="N2731" s="4" t="s">
        <v>2001</v>
      </c>
      <c r="O2731" s="4" t="s">
        <v>2002</v>
      </c>
      <c r="P2731" s="4" t="s">
        <v>68</v>
      </c>
      <c r="Q2731" s="4" t="s">
        <v>2111</v>
      </c>
      <c r="R2731" s="4"/>
      <c r="S2731" s="4"/>
      <c r="T2731" s="4"/>
      <c r="U2731" s="4"/>
      <c r="V2731" s="4"/>
      <c r="W2731" s="4" t="s">
        <v>3404</v>
      </c>
      <c r="X2731" s="4" t="s">
        <v>3405</v>
      </c>
      <c r="Y2731" s="4" t="inlineStr">
        <is>
          <t>COMB_GLP</t>
        </is>
      </c>
      <c r="Z2731" s="4"/>
      <c r="AA2731" s="4"/>
      <c r="AB2731" s="4"/>
      <c r="AC2731" s="4" t="s">
        <v>3352</v>
      </c>
      <c r="AD2731" s="4"/>
      <c r="AE2731" s="4"/>
      <c r="AF2731" s="4"/>
      <c r="AG2731" s="4"/>
      <c r="AH2731" s="4"/>
      <c r="AI2731" s="4"/>
      <c r="AJ2731" s="13" t="n">
        <v>1</v>
      </c>
      <c r="AK2731" s="4"/>
      <c r="AL2731" s="4"/>
      <c r="AM2731" s="4"/>
    </row>
    <row r="2732" customFormat="false" ht="23.85" hidden="false" customHeight="false" outlineLevel="0" collapsed="false">
      <c r="A2732" s="4" t="s">
        <v>3338</v>
      </c>
      <c r="B2732" s="4" t="s">
        <v>3709</v>
      </c>
      <c r="C2732" s="4" t="s">
        <v>3709</v>
      </c>
      <c r="D2732" s="12" t="n">
        <v>2021</v>
      </c>
      <c r="E2732" s="4"/>
      <c r="F2732" s="4" t="s">
        <v>1990</v>
      </c>
      <c r="G2732" s="4" t="s">
        <v>170</v>
      </c>
      <c r="H2732" s="4" t="s">
        <v>171</v>
      </c>
      <c r="I2732" s="4" t="s">
        <v>172</v>
      </c>
      <c r="J2732" s="4" t="s">
        <v>1132</v>
      </c>
      <c r="K2732" s="4" t="s">
        <v>107</v>
      </c>
      <c r="L2732" s="4"/>
      <c r="M2732" s="4"/>
      <c r="N2732" s="4" t="s">
        <v>1994</v>
      </c>
      <c r="O2732" s="4" t="s">
        <v>2029</v>
      </c>
      <c r="P2732" s="4" t="s">
        <v>69</v>
      </c>
      <c r="Q2732" s="4" t="s">
        <v>2030</v>
      </c>
      <c r="R2732" s="4"/>
      <c r="S2732" s="4"/>
      <c r="T2732" s="4"/>
      <c r="U2732" s="4"/>
      <c r="V2732" s="4"/>
      <c r="W2732" s="4"/>
      <c r="X2732" s="4"/>
      <c r="Y2732" s="4"/>
      <c r="Z2732" s="4"/>
      <c r="AA2732" s="4"/>
      <c r="AB2732" s="4"/>
      <c r="AC2732" s="4"/>
      <c r="AD2732" s="4"/>
      <c r="AE2732" s="4"/>
      <c r="AF2732" s="4"/>
      <c r="AG2732" s="4"/>
      <c r="AH2732" s="4"/>
      <c r="AI2732" s="4"/>
      <c r="AJ2732" s="13" t="n">
        <v>0</v>
      </c>
      <c r="AK2732" s="4"/>
      <c r="AL2732" s="4"/>
      <c r="AM2732" s="4"/>
    </row>
    <row r="2733" customFormat="false" ht="23.85" hidden="false" customHeight="false" outlineLevel="0" collapsed="false">
      <c r="A2733" s="4" t="s">
        <v>3338</v>
      </c>
      <c r="B2733" s="4" t="s">
        <v>3710</v>
      </c>
      <c r="C2733" s="4" t="s">
        <v>3710</v>
      </c>
      <c r="D2733" s="12" t="n">
        <v>2021</v>
      </c>
      <c r="E2733" s="4"/>
      <c r="F2733" s="4" t="s">
        <v>1990</v>
      </c>
      <c r="G2733" s="4" t="s">
        <v>170</v>
      </c>
      <c r="H2733" s="4" t="s">
        <v>171</v>
      </c>
      <c r="I2733" s="4" t="s">
        <v>172</v>
      </c>
      <c r="J2733" s="4" t="s">
        <v>1133</v>
      </c>
      <c r="K2733" s="4" t="s">
        <v>107</v>
      </c>
      <c r="L2733" s="4"/>
      <c r="M2733" s="4"/>
      <c r="N2733" s="4" t="s">
        <v>2001</v>
      </c>
      <c r="O2733" s="4" t="s">
        <v>2091</v>
      </c>
      <c r="P2733" s="4" t="s">
        <v>69</v>
      </c>
      <c r="Q2733" s="4" t="s">
        <v>2030</v>
      </c>
      <c r="R2733" s="4"/>
      <c r="S2733" s="4"/>
      <c r="T2733" s="4"/>
      <c r="U2733" s="4"/>
      <c r="V2733" s="4"/>
      <c r="W2733" s="4"/>
      <c r="X2733" s="4"/>
      <c r="Y2733" s="4"/>
      <c r="Z2733" s="4"/>
      <c r="AA2733" s="4"/>
      <c r="AB2733" s="4"/>
      <c r="AC2733" s="4"/>
      <c r="AD2733" s="4"/>
      <c r="AE2733" s="4"/>
      <c r="AF2733" s="4"/>
      <c r="AG2733" s="4"/>
      <c r="AH2733" s="4"/>
      <c r="AI2733" s="4"/>
      <c r="AJ2733" s="13" t="n">
        <v>0</v>
      </c>
      <c r="AK2733" s="4"/>
      <c r="AL2733" s="4"/>
      <c r="AM2733" s="4"/>
    </row>
    <row r="2734" customFormat="false" ht="23.85" hidden="false" customHeight="false" outlineLevel="0" collapsed="false">
      <c r="A2734" s="4" t="s">
        <v>3338</v>
      </c>
      <c r="B2734" s="4" t="s">
        <v>3711</v>
      </c>
      <c r="C2734" s="4" t="s">
        <v>3711</v>
      </c>
      <c r="D2734" s="12" t="n">
        <v>2021</v>
      </c>
      <c r="E2734" s="4"/>
      <c r="F2734" s="4" t="s">
        <v>1990</v>
      </c>
      <c r="G2734" s="4" t="s">
        <v>170</v>
      </c>
      <c r="H2734" s="4" t="s">
        <v>171</v>
      </c>
      <c r="I2734" s="4" t="s">
        <v>172</v>
      </c>
      <c r="J2734" s="4" t="s">
        <v>1134</v>
      </c>
      <c r="K2734" s="4" t="s">
        <v>107</v>
      </c>
      <c r="L2734" s="4"/>
      <c r="M2734" s="4"/>
      <c r="N2734" s="4" t="s">
        <v>2001</v>
      </c>
      <c r="O2734" s="4" t="s">
        <v>2034</v>
      </c>
      <c r="P2734" s="4" t="s">
        <v>74</v>
      </c>
      <c r="Q2734" s="4" t="s">
        <v>2035</v>
      </c>
      <c r="R2734" s="4"/>
      <c r="S2734" s="4"/>
      <c r="T2734" s="4"/>
      <c r="U2734" s="4"/>
      <c r="V2734" s="4"/>
      <c r="W2734" s="4"/>
      <c r="X2734" s="4"/>
      <c r="Y2734" s="4"/>
      <c r="Z2734" s="4"/>
      <c r="AA2734" s="4"/>
      <c r="AB2734" s="4"/>
      <c r="AC2734" s="4"/>
      <c r="AD2734" s="4"/>
      <c r="AE2734" s="4"/>
      <c r="AF2734" s="4"/>
      <c r="AG2734" s="4"/>
      <c r="AH2734" s="4"/>
      <c r="AI2734" s="4"/>
      <c r="AJ2734" s="13" t="n">
        <v>0</v>
      </c>
      <c r="AK2734" s="4"/>
      <c r="AL2734" s="4"/>
      <c r="AM2734" s="4"/>
    </row>
    <row r="2735" customFormat="false" ht="23.85" hidden="false" customHeight="false" outlineLevel="0" collapsed="false">
      <c r="A2735" s="4" t="s">
        <v>3338</v>
      </c>
      <c r="B2735" s="4" t="s">
        <v>3712</v>
      </c>
      <c r="C2735" s="4" t="s">
        <v>3712</v>
      </c>
      <c r="D2735" s="12" t="n">
        <v>2021</v>
      </c>
      <c r="E2735" s="4"/>
      <c r="F2735" s="4" t="s">
        <v>1990</v>
      </c>
      <c r="G2735" s="4" t="s">
        <v>170</v>
      </c>
      <c r="H2735" s="4" t="s">
        <v>171</v>
      </c>
      <c r="I2735" s="4" t="s">
        <v>172</v>
      </c>
      <c r="J2735" s="4" t="s">
        <v>1139</v>
      </c>
      <c r="K2735" s="4" t="s">
        <v>107</v>
      </c>
      <c r="L2735" s="4"/>
      <c r="M2735" s="4"/>
      <c r="N2735" s="4" t="s">
        <v>2001</v>
      </c>
      <c r="O2735" s="4" t="s">
        <v>2002</v>
      </c>
      <c r="P2735" s="4" t="s">
        <v>71</v>
      </c>
      <c r="Q2735" s="4" t="s">
        <v>2123</v>
      </c>
      <c r="R2735" s="4"/>
      <c r="S2735" s="4"/>
      <c r="T2735" s="4"/>
      <c r="U2735" s="4"/>
      <c r="V2735" s="4"/>
      <c r="W2735" s="4" t="s">
        <v>3412</v>
      </c>
      <c r="X2735" s="4" t="s">
        <v>3413</v>
      </c>
      <c r="Y2735" s="4" t="inlineStr">
        <is>
          <t>COMB_KER</t>
        </is>
      </c>
      <c r="Z2735" s="4"/>
      <c r="AA2735" s="4"/>
      <c r="AB2735" s="4"/>
      <c r="AC2735" s="4" t="s">
        <v>3352</v>
      </c>
      <c r="AD2735" s="4"/>
      <c r="AE2735" s="4"/>
      <c r="AF2735" s="4"/>
      <c r="AG2735" s="4"/>
      <c r="AH2735" s="4"/>
      <c r="AI2735" s="4"/>
      <c r="AJ2735" s="13" t="n">
        <v>1</v>
      </c>
      <c r="AK2735" s="4"/>
      <c r="AL2735" s="4"/>
      <c r="AM2735" s="4"/>
    </row>
    <row r="2736" customFormat="false" ht="23.85" hidden="false" customHeight="false" outlineLevel="0" collapsed="false">
      <c r="A2736" s="4" t="s">
        <v>3338</v>
      </c>
      <c r="B2736" s="4" t="s">
        <v>3713</v>
      </c>
      <c r="C2736" s="4" t="s">
        <v>3713</v>
      </c>
      <c r="D2736" s="12" t="n">
        <v>2021</v>
      </c>
      <c r="E2736" s="4"/>
      <c r="F2736" s="4" t="s">
        <v>1990</v>
      </c>
      <c r="G2736" s="4" t="s">
        <v>170</v>
      </c>
      <c r="H2736" s="4" t="s">
        <v>171</v>
      </c>
      <c r="I2736" s="4" t="s">
        <v>172</v>
      </c>
      <c r="J2736" s="4" t="s">
        <v>1146</v>
      </c>
      <c r="K2736" s="4" t="s">
        <v>111</v>
      </c>
      <c r="L2736" s="4"/>
      <c r="M2736" s="4"/>
      <c r="N2736" s="4" t="s">
        <v>1994</v>
      </c>
      <c r="O2736" s="4" t="s">
        <v>2029</v>
      </c>
      <c r="P2736" s="4" t="s">
        <v>69</v>
      </c>
      <c r="Q2736" s="4" t="s">
        <v>2030</v>
      </c>
      <c r="R2736" s="4"/>
      <c r="S2736" s="4"/>
      <c r="T2736" s="4"/>
      <c r="U2736" s="4"/>
      <c r="V2736" s="4"/>
      <c r="W2736" s="4"/>
      <c r="X2736" s="4"/>
      <c r="Y2736" s="4"/>
      <c r="Z2736" s="4"/>
      <c r="AA2736" s="4"/>
      <c r="AB2736" s="4"/>
      <c r="AC2736" s="4"/>
      <c r="AD2736" s="4"/>
      <c r="AE2736" s="4"/>
      <c r="AF2736" s="4"/>
      <c r="AG2736" s="4"/>
      <c r="AH2736" s="4"/>
      <c r="AI2736" s="4"/>
      <c r="AJ2736" s="13" t="n">
        <v>0</v>
      </c>
      <c r="AK2736" s="4"/>
      <c r="AL2736" s="4"/>
      <c r="AM2736" s="4"/>
    </row>
    <row r="2737" customFormat="false" ht="23.85" hidden="false" customHeight="false" outlineLevel="0" collapsed="false">
      <c r="A2737" s="4" t="s">
        <v>3338</v>
      </c>
      <c r="B2737" s="4" t="s">
        <v>3714</v>
      </c>
      <c r="C2737" s="4" t="s">
        <v>3714</v>
      </c>
      <c r="D2737" s="12" t="n">
        <v>2021</v>
      </c>
      <c r="E2737" s="4"/>
      <c r="F2737" s="4" t="s">
        <v>1990</v>
      </c>
      <c r="G2737" s="4" t="s">
        <v>170</v>
      </c>
      <c r="H2737" s="4" t="s">
        <v>171</v>
      </c>
      <c r="I2737" s="4" t="s">
        <v>172</v>
      </c>
      <c r="J2737" s="4" t="s">
        <v>1147</v>
      </c>
      <c r="K2737" s="4" t="s">
        <v>111</v>
      </c>
      <c r="L2737" s="4"/>
      <c r="M2737" s="4"/>
      <c r="N2737" s="4" t="s">
        <v>2001</v>
      </c>
      <c r="O2737" s="4" t="s">
        <v>2091</v>
      </c>
      <c r="P2737" s="4" t="s">
        <v>69</v>
      </c>
      <c r="Q2737" s="4" t="s">
        <v>2030</v>
      </c>
      <c r="R2737" s="4"/>
      <c r="S2737" s="4"/>
      <c r="T2737" s="4"/>
      <c r="U2737" s="4"/>
      <c r="V2737" s="4"/>
      <c r="W2737" s="4"/>
      <c r="X2737" s="4"/>
      <c r="Y2737" s="4"/>
      <c r="Z2737" s="4"/>
      <c r="AA2737" s="4"/>
      <c r="AB2737" s="4"/>
      <c r="AC2737" s="4"/>
      <c r="AD2737" s="4"/>
      <c r="AE2737" s="4"/>
      <c r="AF2737" s="4"/>
      <c r="AG2737" s="4"/>
      <c r="AH2737" s="4"/>
      <c r="AI2737" s="4"/>
      <c r="AJ2737" s="13" t="n">
        <v>0</v>
      </c>
      <c r="AK2737" s="4"/>
      <c r="AL2737" s="4"/>
      <c r="AM2737" s="4"/>
    </row>
    <row r="2738" customFormat="false" ht="23.85" hidden="false" customHeight="false" outlineLevel="0" collapsed="false">
      <c r="A2738" s="4" t="s">
        <v>3338</v>
      </c>
      <c r="B2738" s="4" t="s">
        <v>3715</v>
      </c>
      <c r="C2738" s="4" t="s">
        <v>3715</v>
      </c>
      <c r="D2738" s="12" t="n">
        <v>2021</v>
      </c>
      <c r="E2738" s="4"/>
      <c r="F2738" s="4" t="s">
        <v>1990</v>
      </c>
      <c r="G2738" s="4" t="s">
        <v>170</v>
      </c>
      <c r="H2738" s="4" t="s">
        <v>171</v>
      </c>
      <c r="I2738" s="4" t="s">
        <v>172</v>
      </c>
      <c r="J2738" s="4" t="s">
        <v>1148</v>
      </c>
      <c r="K2738" s="4" t="s">
        <v>111</v>
      </c>
      <c r="L2738" s="4"/>
      <c r="M2738" s="4"/>
      <c r="N2738" s="4" t="s">
        <v>2001</v>
      </c>
      <c r="O2738" s="4" t="s">
        <v>2034</v>
      </c>
      <c r="P2738" s="4" t="s">
        <v>74</v>
      </c>
      <c r="Q2738" s="4" t="s">
        <v>2035</v>
      </c>
      <c r="R2738" s="4"/>
      <c r="S2738" s="4"/>
      <c r="T2738" s="4"/>
      <c r="U2738" s="4"/>
      <c r="V2738" s="4"/>
      <c r="W2738" s="4"/>
      <c r="X2738" s="4"/>
      <c r="Y2738" s="4"/>
      <c r="Z2738" s="4"/>
      <c r="AA2738" s="4"/>
      <c r="AB2738" s="4"/>
      <c r="AC2738" s="4"/>
      <c r="AD2738" s="4"/>
      <c r="AE2738" s="4"/>
      <c r="AF2738" s="4"/>
      <c r="AG2738" s="4"/>
      <c r="AH2738" s="4"/>
      <c r="AI2738" s="4"/>
      <c r="AJ2738" s="13" t="n">
        <v>0</v>
      </c>
      <c r="AK2738" s="4"/>
      <c r="AL2738" s="4"/>
      <c r="AM2738" s="4"/>
    </row>
    <row r="2739" customFormat="false" ht="23.85" hidden="false" customHeight="false" outlineLevel="0" collapsed="false">
      <c r="A2739" s="4" t="s">
        <v>3338</v>
      </c>
      <c r="B2739" s="4" t="s">
        <v>3716</v>
      </c>
      <c r="C2739" s="4" t="s">
        <v>3716</v>
      </c>
      <c r="D2739" s="12" t="n">
        <v>2021</v>
      </c>
      <c r="E2739" s="4"/>
      <c r="F2739" s="4" t="s">
        <v>1990</v>
      </c>
      <c r="G2739" s="4" t="s">
        <v>170</v>
      </c>
      <c r="H2739" s="4" t="s">
        <v>171</v>
      </c>
      <c r="I2739" s="4" t="s">
        <v>172</v>
      </c>
      <c r="J2739" s="4" t="s">
        <v>1149</v>
      </c>
      <c r="K2739" s="4" t="s">
        <v>111</v>
      </c>
      <c r="L2739" s="4"/>
      <c r="M2739" s="4"/>
      <c r="N2739" s="4" t="s">
        <v>1994</v>
      </c>
      <c r="O2739" s="4" t="s">
        <v>1995</v>
      </c>
      <c r="P2739" s="4" t="s">
        <v>67</v>
      </c>
      <c r="Q2739" s="4" t="s">
        <v>2097</v>
      </c>
      <c r="R2739" s="4"/>
      <c r="S2739" s="4"/>
      <c r="T2739" s="4"/>
      <c r="U2739" s="4"/>
      <c r="V2739" s="4"/>
      <c r="W2739" s="4"/>
      <c r="X2739" s="4"/>
      <c r="Y2739" s="4"/>
      <c r="Z2739" s="4"/>
      <c r="AA2739" s="4"/>
      <c r="AB2739" s="4"/>
      <c r="AC2739" s="4"/>
      <c r="AD2739" s="4"/>
      <c r="AE2739" s="4"/>
      <c r="AF2739" s="4"/>
      <c r="AG2739" s="4"/>
      <c r="AH2739" s="4"/>
      <c r="AI2739" s="4"/>
      <c r="AJ2739" s="13" t="n">
        <v>0</v>
      </c>
      <c r="AK2739" s="4"/>
      <c r="AL2739" s="4"/>
      <c r="AM2739" s="4"/>
    </row>
    <row r="2740" customFormat="false" ht="23.85" hidden="false" customHeight="false" outlineLevel="0" collapsed="false">
      <c r="A2740" s="4" t="s">
        <v>3338</v>
      </c>
      <c r="B2740" s="4" t="s">
        <v>3717</v>
      </c>
      <c r="C2740" s="4" t="s">
        <v>3717</v>
      </c>
      <c r="D2740" s="12" t="n">
        <v>2021</v>
      </c>
      <c r="E2740" s="4"/>
      <c r="F2740" s="4" t="s">
        <v>1990</v>
      </c>
      <c r="G2740" s="4" t="s">
        <v>170</v>
      </c>
      <c r="H2740" s="4" t="s">
        <v>171</v>
      </c>
      <c r="I2740" s="4" t="s">
        <v>172</v>
      </c>
      <c r="J2740" s="4" t="s">
        <v>2761</v>
      </c>
      <c r="K2740" s="4" t="s">
        <v>97</v>
      </c>
      <c r="L2740" s="4"/>
      <c r="M2740" s="4"/>
      <c r="N2740" s="4" t="s">
        <v>2001</v>
      </c>
      <c r="O2740" s="4" t="s">
        <v>2218</v>
      </c>
      <c r="P2740" s="4" t="s">
        <v>44</v>
      </c>
      <c r="Q2740" s="4" t="s">
        <v>2219</v>
      </c>
      <c r="R2740" s="4"/>
      <c r="S2740" s="4"/>
      <c r="T2740" s="4"/>
      <c r="U2740" s="4"/>
      <c r="V2740" s="4"/>
      <c r="W2740" s="4"/>
      <c r="X2740" s="4"/>
      <c r="Y2740" s="4"/>
      <c r="Z2740" s="4"/>
      <c r="AA2740" s="4"/>
      <c r="AB2740" s="4"/>
      <c r="AC2740" s="4"/>
      <c r="AD2740" s="4"/>
      <c r="AE2740" s="4"/>
      <c r="AF2740" s="4"/>
      <c r="AG2740" s="4"/>
      <c r="AH2740" s="4"/>
      <c r="AI2740" s="4"/>
      <c r="AJ2740" s="13" t="n">
        <v>0</v>
      </c>
      <c r="AK2740" s="4"/>
      <c r="AL2740" s="4"/>
      <c r="AM2740" s="4"/>
    </row>
    <row r="2741" customFormat="false" ht="23.85" hidden="false" customHeight="false" outlineLevel="0" collapsed="false">
      <c r="A2741" s="4" t="s">
        <v>3338</v>
      </c>
      <c r="B2741" s="4" t="s">
        <v>3718</v>
      </c>
      <c r="C2741" s="4" t="s">
        <v>3718</v>
      </c>
      <c r="D2741" s="12" t="n">
        <v>2021</v>
      </c>
      <c r="E2741" s="4"/>
      <c r="F2741" s="4" t="s">
        <v>1990</v>
      </c>
      <c r="G2741" s="4" t="s">
        <v>170</v>
      </c>
      <c r="H2741" s="4" t="s">
        <v>171</v>
      </c>
      <c r="I2741" s="4" t="s">
        <v>172</v>
      </c>
      <c r="J2741" s="4" t="s">
        <v>2764</v>
      </c>
      <c r="K2741" s="4" t="s">
        <v>99</v>
      </c>
      <c r="L2741" s="4"/>
      <c r="M2741" s="4"/>
      <c r="N2741" s="4" t="s">
        <v>2001</v>
      </c>
      <c r="O2741" s="4" t="s">
        <v>2218</v>
      </c>
      <c r="P2741" s="4" t="s">
        <v>44</v>
      </c>
      <c r="Q2741" s="4" t="s">
        <v>2219</v>
      </c>
      <c r="R2741" s="4"/>
      <c r="S2741" s="4"/>
      <c r="T2741" s="4"/>
      <c r="U2741" s="4"/>
      <c r="V2741" s="4"/>
      <c r="W2741" s="4"/>
      <c r="X2741" s="4"/>
      <c r="Y2741" s="4"/>
      <c r="Z2741" s="4"/>
      <c r="AA2741" s="4"/>
      <c r="AB2741" s="4"/>
      <c r="AC2741" s="4"/>
      <c r="AD2741" s="4"/>
      <c r="AE2741" s="4"/>
      <c r="AF2741" s="4"/>
      <c r="AG2741" s="4"/>
      <c r="AH2741" s="4"/>
      <c r="AI2741" s="4"/>
      <c r="AJ2741" s="13" t="n">
        <v>0</v>
      </c>
      <c r="AK2741" s="4"/>
      <c r="AL2741" s="4"/>
      <c r="AM2741" s="4"/>
    </row>
    <row r="2742" customFormat="false" ht="23.85" hidden="false" customHeight="false" outlineLevel="0" collapsed="false">
      <c r="A2742" s="4" t="s">
        <v>3338</v>
      </c>
      <c r="B2742" s="4" t="s">
        <v>3719</v>
      </c>
      <c r="C2742" s="4" t="s">
        <v>3719</v>
      </c>
      <c r="D2742" s="12" t="n">
        <v>2021</v>
      </c>
      <c r="E2742" s="4"/>
      <c r="F2742" s="4" t="s">
        <v>1990</v>
      </c>
      <c r="G2742" s="4" t="s">
        <v>170</v>
      </c>
      <c r="H2742" s="4" t="s">
        <v>171</v>
      </c>
      <c r="I2742" s="4" t="s">
        <v>172</v>
      </c>
      <c r="J2742" s="4" t="s">
        <v>2767</v>
      </c>
      <c r="K2742" s="4" t="s">
        <v>101</v>
      </c>
      <c r="L2742" s="4"/>
      <c r="M2742" s="4"/>
      <c r="N2742" s="4" t="s">
        <v>2001</v>
      </c>
      <c r="O2742" s="4" t="s">
        <v>2218</v>
      </c>
      <c r="P2742" s="4" t="s">
        <v>44</v>
      </c>
      <c r="Q2742" s="4" t="s">
        <v>2219</v>
      </c>
      <c r="R2742" s="4"/>
      <c r="S2742" s="4"/>
      <c r="T2742" s="4"/>
      <c r="U2742" s="4"/>
      <c r="V2742" s="4"/>
      <c r="W2742" s="4"/>
      <c r="X2742" s="4"/>
      <c r="Y2742" s="4"/>
      <c r="Z2742" s="4"/>
      <c r="AA2742" s="4"/>
      <c r="AB2742" s="4"/>
      <c r="AC2742" s="4"/>
      <c r="AD2742" s="4"/>
      <c r="AE2742" s="4"/>
      <c r="AF2742" s="4"/>
      <c r="AG2742" s="4"/>
      <c r="AH2742" s="4"/>
      <c r="AI2742" s="4"/>
      <c r="AJ2742" s="13" t="n">
        <v>0</v>
      </c>
      <c r="AK2742" s="4"/>
      <c r="AL2742" s="4"/>
      <c r="AM2742" s="4"/>
    </row>
    <row r="2743" customFormat="false" ht="23.85" hidden="false" customHeight="false" outlineLevel="0" collapsed="false">
      <c r="A2743" s="4" t="s">
        <v>3338</v>
      </c>
      <c r="B2743" s="4" t="s">
        <v>3720</v>
      </c>
      <c r="C2743" s="4" t="s">
        <v>3720</v>
      </c>
      <c r="D2743" s="12" t="n">
        <v>2021</v>
      </c>
      <c r="E2743" s="4"/>
      <c r="F2743" s="4" t="s">
        <v>1990</v>
      </c>
      <c r="G2743" s="4" t="s">
        <v>170</v>
      </c>
      <c r="H2743" s="4" t="s">
        <v>171</v>
      </c>
      <c r="I2743" s="4" t="s">
        <v>172</v>
      </c>
      <c r="J2743" s="4" t="s">
        <v>2770</v>
      </c>
      <c r="K2743" s="4" t="s">
        <v>103</v>
      </c>
      <c r="L2743" s="4"/>
      <c r="M2743" s="4"/>
      <c r="N2743" s="4" t="s">
        <v>2001</v>
      </c>
      <c r="O2743" s="4" t="s">
        <v>2218</v>
      </c>
      <c r="P2743" s="4" t="s">
        <v>44</v>
      </c>
      <c r="Q2743" s="4" t="s">
        <v>2219</v>
      </c>
      <c r="R2743" s="4"/>
      <c r="S2743" s="4"/>
      <c r="T2743" s="4"/>
      <c r="U2743" s="4"/>
      <c r="V2743" s="4"/>
      <c r="W2743" s="4"/>
      <c r="X2743" s="4"/>
      <c r="Y2743" s="4"/>
      <c r="Z2743" s="4"/>
      <c r="AA2743" s="4"/>
      <c r="AB2743" s="4"/>
      <c r="AC2743" s="4"/>
      <c r="AD2743" s="4"/>
      <c r="AE2743" s="4"/>
      <c r="AF2743" s="4"/>
      <c r="AG2743" s="4"/>
      <c r="AH2743" s="4"/>
      <c r="AI2743" s="4"/>
      <c r="AJ2743" s="13" t="n">
        <v>0</v>
      </c>
      <c r="AK2743" s="4"/>
      <c r="AL2743" s="4"/>
      <c r="AM2743" s="4"/>
    </row>
    <row r="2744" customFormat="false" ht="23.85" hidden="false" customHeight="false" outlineLevel="0" collapsed="false">
      <c r="A2744" s="4" t="s">
        <v>3338</v>
      </c>
      <c r="B2744" s="4" t="s">
        <v>3721</v>
      </c>
      <c r="C2744" s="4" t="s">
        <v>3721</v>
      </c>
      <c r="D2744" s="12" t="n">
        <v>2021</v>
      </c>
      <c r="E2744" s="4"/>
      <c r="F2744" s="4" t="s">
        <v>1990</v>
      </c>
      <c r="G2744" s="4" t="s">
        <v>170</v>
      </c>
      <c r="H2744" s="4" t="s">
        <v>171</v>
      </c>
      <c r="I2744" s="4" t="s">
        <v>172</v>
      </c>
      <c r="J2744" s="4" t="s">
        <v>2773</v>
      </c>
      <c r="K2744" s="4" t="s">
        <v>105</v>
      </c>
      <c r="L2744" s="4"/>
      <c r="M2744" s="4"/>
      <c r="N2744" s="4" t="s">
        <v>2001</v>
      </c>
      <c r="O2744" s="4" t="s">
        <v>2218</v>
      </c>
      <c r="P2744" s="4" t="s">
        <v>44</v>
      </c>
      <c r="Q2744" s="4" t="s">
        <v>2219</v>
      </c>
      <c r="R2744" s="4"/>
      <c r="S2744" s="4"/>
      <c r="T2744" s="4"/>
      <c r="U2744" s="4"/>
      <c r="V2744" s="4"/>
      <c r="W2744" s="4"/>
      <c r="X2744" s="4"/>
      <c r="Y2744" s="4"/>
      <c r="Z2744" s="4"/>
      <c r="AA2744" s="4"/>
      <c r="AB2744" s="4"/>
      <c r="AC2744" s="4"/>
      <c r="AD2744" s="4"/>
      <c r="AE2744" s="4"/>
      <c r="AF2744" s="4"/>
      <c r="AG2744" s="4"/>
      <c r="AH2744" s="4"/>
      <c r="AI2744" s="4"/>
      <c r="AJ2744" s="13" t="n">
        <v>0</v>
      </c>
      <c r="AK2744" s="4"/>
      <c r="AL2744" s="4"/>
      <c r="AM2744" s="4"/>
    </row>
    <row r="2745" customFormat="false" ht="23.85" hidden="false" customHeight="false" outlineLevel="0" collapsed="false">
      <c r="A2745" s="4" t="s">
        <v>3338</v>
      </c>
      <c r="B2745" s="4" t="s">
        <v>3722</v>
      </c>
      <c r="C2745" s="4" t="s">
        <v>3722</v>
      </c>
      <c r="D2745" s="12" t="n">
        <v>2021</v>
      </c>
      <c r="E2745" s="4"/>
      <c r="F2745" s="4" t="s">
        <v>1990</v>
      </c>
      <c r="G2745" s="4" t="s">
        <v>170</v>
      </c>
      <c r="H2745" s="4" t="s">
        <v>171</v>
      </c>
      <c r="I2745" s="4" t="s">
        <v>172</v>
      </c>
      <c r="J2745" s="4" t="s">
        <v>2776</v>
      </c>
      <c r="K2745" s="4" t="s">
        <v>107</v>
      </c>
      <c r="L2745" s="4"/>
      <c r="M2745" s="4"/>
      <c r="N2745" s="4" t="s">
        <v>2001</v>
      </c>
      <c r="O2745" s="4" t="s">
        <v>2218</v>
      </c>
      <c r="P2745" s="4" t="s">
        <v>44</v>
      </c>
      <c r="Q2745" s="4" t="s">
        <v>2219</v>
      </c>
      <c r="R2745" s="4"/>
      <c r="S2745" s="4"/>
      <c r="T2745" s="4"/>
      <c r="U2745" s="4"/>
      <c r="V2745" s="4"/>
      <c r="W2745" s="4"/>
      <c r="X2745" s="4"/>
      <c r="Y2745" s="4"/>
      <c r="Z2745" s="4"/>
      <c r="AA2745" s="4"/>
      <c r="AB2745" s="4"/>
      <c r="AC2745" s="4"/>
      <c r="AD2745" s="4"/>
      <c r="AE2745" s="4"/>
      <c r="AF2745" s="4"/>
      <c r="AG2745" s="4"/>
      <c r="AH2745" s="4"/>
      <c r="AI2745" s="4"/>
      <c r="AJ2745" s="13" t="n">
        <v>0</v>
      </c>
      <c r="AK2745" s="4"/>
      <c r="AL2745" s="4"/>
      <c r="AM2745" s="4"/>
    </row>
    <row r="2746" customFormat="false" ht="35.05" hidden="false" customHeight="false" outlineLevel="0" collapsed="false">
      <c r="A2746" s="4" t="s">
        <v>3338</v>
      </c>
      <c r="B2746" s="4" t="s">
        <v>3723</v>
      </c>
      <c r="C2746" s="4" t="s">
        <v>3723</v>
      </c>
      <c r="D2746" s="12" t="n">
        <v>2021</v>
      </c>
      <c r="E2746" s="4"/>
      <c r="F2746" s="4" t="s">
        <v>1990</v>
      </c>
      <c r="G2746" s="4" t="s">
        <v>1991</v>
      </c>
      <c r="H2746" s="4" t="s">
        <v>3458</v>
      </c>
      <c r="I2746" s="4"/>
      <c r="J2746" s="4" t="s">
        <v>2779</v>
      </c>
      <c r="K2746" s="4" t="s">
        <v>111</v>
      </c>
      <c r="L2746" s="4"/>
      <c r="M2746" s="4"/>
      <c r="N2746" s="4" t="s">
        <v>2001</v>
      </c>
      <c r="O2746" s="4" t="s">
        <v>2002</v>
      </c>
      <c r="P2746" s="4" t="s">
        <v>41</v>
      </c>
      <c r="Q2746" s="4" t="s">
        <v>2228</v>
      </c>
      <c r="R2746" s="4"/>
      <c r="S2746" s="4"/>
      <c r="T2746" s="4"/>
      <c r="U2746" s="4"/>
      <c r="V2746" s="4"/>
      <c r="W2746" s="4"/>
      <c r="X2746" s="4"/>
      <c r="Y2746" s="4"/>
      <c r="Z2746" s="4"/>
      <c r="AA2746" s="4"/>
      <c r="AB2746" s="4"/>
      <c r="AC2746" s="4"/>
      <c r="AD2746" s="4"/>
      <c r="AE2746" s="4"/>
      <c r="AF2746" s="4"/>
      <c r="AG2746" s="4"/>
      <c r="AH2746" s="4"/>
      <c r="AI2746" s="4"/>
      <c r="AJ2746" s="13" t="n">
        <v>0</v>
      </c>
      <c r="AK2746" s="4"/>
      <c r="AL2746" s="4"/>
      <c r="AM2746" s="4" t="s">
        <v>3459</v>
      </c>
    </row>
    <row r="2747" customFormat="false" ht="23.85" hidden="false" customHeight="false" outlineLevel="0" collapsed="false">
      <c r="A2747" s="4" t="s">
        <v>3338</v>
      </c>
      <c r="B2747" s="4" t="s">
        <v>3724</v>
      </c>
      <c r="C2747" s="4" t="s">
        <v>3724</v>
      </c>
      <c r="D2747" s="12" t="n">
        <v>2021</v>
      </c>
      <c r="E2747" s="4"/>
      <c r="F2747" s="4" t="s">
        <v>1990</v>
      </c>
      <c r="G2747" s="4" t="s">
        <v>170</v>
      </c>
      <c r="H2747" s="4" t="s">
        <v>171</v>
      </c>
      <c r="I2747" s="4" t="s">
        <v>172</v>
      </c>
      <c r="J2747" s="4" t="s">
        <v>2782</v>
      </c>
      <c r="K2747" s="4" t="s">
        <v>86</v>
      </c>
      <c r="L2747" s="4"/>
      <c r="M2747" s="4"/>
      <c r="N2747" s="4" t="s">
        <v>2001</v>
      </c>
      <c r="O2747" s="4" t="s">
        <v>2218</v>
      </c>
      <c r="P2747" s="4" t="s">
        <v>44</v>
      </c>
      <c r="Q2747" s="4" t="s">
        <v>2219</v>
      </c>
      <c r="R2747" s="4"/>
      <c r="S2747" s="4"/>
      <c r="T2747" s="4"/>
      <c r="U2747" s="4"/>
      <c r="V2747" s="4"/>
      <c r="W2747" s="4"/>
      <c r="X2747" s="4"/>
      <c r="Y2747" s="4"/>
      <c r="Z2747" s="4"/>
      <c r="AA2747" s="4"/>
      <c r="AB2747" s="4"/>
      <c r="AC2747" s="4"/>
      <c r="AD2747" s="4"/>
      <c r="AE2747" s="4"/>
      <c r="AF2747" s="4"/>
      <c r="AG2747" s="4"/>
      <c r="AH2747" s="4"/>
      <c r="AI2747" s="4"/>
      <c r="AJ2747" s="13" t="n">
        <v>0</v>
      </c>
      <c r="AK2747" s="4"/>
      <c r="AL2747" s="4"/>
      <c r="AM2747" s="4"/>
    </row>
    <row r="2748" customFormat="false" ht="23.85" hidden="false" customHeight="false" outlineLevel="0" collapsed="false">
      <c r="A2748" s="4" t="s">
        <v>3338</v>
      </c>
      <c r="B2748" s="4" t="s">
        <v>3725</v>
      </c>
      <c r="C2748" s="4" t="s">
        <v>3725</v>
      </c>
      <c r="D2748" s="12" t="n">
        <v>2020</v>
      </c>
      <c r="E2748" s="4"/>
      <c r="F2748" s="4" t="s">
        <v>1990</v>
      </c>
      <c r="G2748" s="4" t="s">
        <v>170</v>
      </c>
      <c r="H2748" s="4" t="s">
        <v>171</v>
      </c>
      <c r="I2748" s="4" t="s">
        <v>172</v>
      </c>
      <c r="J2748" s="4" t="s">
        <v>669</v>
      </c>
      <c r="K2748" s="4" t="s">
        <v>91</v>
      </c>
      <c r="L2748" s="4"/>
      <c r="M2748" s="4"/>
      <c r="N2748" s="4" t="s">
        <v>1994</v>
      </c>
      <c r="O2748" s="4" t="s">
        <v>1995</v>
      </c>
      <c r="P2748" s="4" t="s">
        <v>68</v>
      </c>
      <c r="Q2748" s="4" t="s">
        <v>1996</v>
      </c>
      <c r="R2748" s="4"/>
      <c r="S2748" s="4"/>
      <c r="T2748" s="4"/>
      <c r="U2748" s="4"/>
      <c r="V2748" s="4"/>
      <c r="W2748" s="4"/>
      <c r="X2748" s="4"/>
      <c r="Y2748" s="4"/>
      <c r="Z2748" s="4"/>
      <c r="AA2748" s="4"/>
      <c r="AB2748" s="4"/>
      <c r="AC2748" s="4"/>
      <c r="AD2748" s="4"/>
      <c r="AE2748" s="4"/>
      <c r="AF2748" s="4"/>
      <c r="AG2748" s="4"/>
      <c r="AH2748" s="4"/>
      <c r="AI2748" s="4"/>
      <c r="AJ2748" s="13" t="n">
        <v>0</v>
      </c>
      <c r="AK2748" s="4"/>
      <c r="AL2748" s="4"/>
      <c r="AM2748" s="4"/>
    </row>
    <row r="2749" customFormat="false" ht="23.85" hidden="false" customHeight="false" outlineLevel="0" collapsed="false">
      <c r="A2749" s="4" t="s">
        <v>3338</v>
      </c>
      <c r="B2749" s="4" t="s">
        <v>3726</v>
      </c>
      <c r="C2749" s="4" t="s">
        <v>3726</v>
      </c>
      <c r="D2749" s="12" t="n">
        <v>2020</v>
      </c>
      <c r="E2749" s="4"/>
      <c r="F2749" s="4" t="s">
        <v>1990</v>
      </c>
      <c r="G2749" s="4" t="s">
        <v>170</v>
      </c>
      <c r="H2749" s="4" t="s">
        <v>171</v>
      </c>
      <c r="I2749" s="4" t="s">
        <v>172</v>
      </c>
      <c r="J2749" s="4" t="s">
        <v>674</v>
      </c>
      <c r="K2749" s="4" t="s">
        <v>91</v>
      </c>
      <c r="L2749" s="4"/>
      <c r="M2749" s="4"/>
      <c r="N2749" s="4" t="s">
        <v>2001</v>
      </c>
      <c r="O2749" s="4" t="s">
        <v>2002</v>
      </c>
      <c r="P2749" s="4" t="s">
        <v>67</v>
      </c>
      <c r="Q2749" s="4" t="s">
        <v>2003</v>
      </c>
      <c r="R2749" s="4"/>
      <c r="S2749" s="4"/>
      <c r="T2749" s="4"/>
      <c r="U2749" s="4"/>
      <c r="V2749" s="4"/>
      <c r="W2749" s="4" t="s">
        <v>3341</v>
      </c>
      <c r="X2749" s="4" t="s">
        <v>3342</v>
      </c>
      <c r="Y2749" s="4" t="inlineStr">
        <is>
          <t>COMB_BCANA</t>
        </is>
      </c>
      <c r="Z2749" s="4"/>
      <c r="AA2749" s="4"/>
      <c r="AB2749" s="4"/>
      <c r="AC2749" s="4" t="s">
        <v>3344</v>
      </c>
      <c r="AD2749" s="4"/>
      <c r="AE2749" s="4"/>
      <c r="AF2749" s="4"/>
      <c r="AG2749" s="4"/>
      <c r="AH2749" s="4"/>
      <c r="AI2749" s="4"/>
      <c r="AJ2749" s="13" t="n">
        <v>1</v>
      </c>
      <c r="AK2749" s="4"/>
      <c r="AL2749" s="4"/>
      <c r="AM2749" s="4"/>
    </row>
    <row r="2750" customFormat="false" ht="23.85" hidden="false" customHeight="false" outlineLevel="0" collapsed="false">
      <c r="A2750" s="4" t="s">
        <v>3338</v>
      </c>
      <c r="B2750" s="4" t="s">
        <v>3727</v>
      </c>
      <c r="C2750" s="4" t="s">
        <v>3727</v>
      </c>
      <c r="D2750" s="12" t="n">
        <v>2020</v>
      </c>
      <c r="E2750" s="4"/>
      <c r="F2750" s="4" t="s">
        <v>1990</v>
      </c>
      <c r="G2750" s="4" t="s">
        <v>170</v>
      </c>
      <c r="H2750" s="4" t="s">
        <v>171</v>
      </c>
      <c r="I2750" s="4" t="s">
        <v>172</v>
      </c>
      <c r="J2750" s="4" t="s">
        <v>675</v>
      </c>
      <c r="K2750" s="4" t="s">
        <v>91</v>
      </c>
      <c r="L2750" s="4"/>
      <c r="M2750" s="4"/>
      <c r="N2750" s="4" t="s">
        <v>2001</v>
      </c>
      <c r="O2750" s="4" t="s">
        <v>2002</v>
      </c>
      <c r="P2750" s="4" t="s">
        <v>67</v>
      </c>
      <c r="Q2750" s="4" t="s">
        <v>2008</v>
      </c>
      <c r="R2750" s="4"/>
      <c r="S2750" s="4"/>
      <c r="T2750" s="4"/>
      <c r="U2750" s="4"/>
      <c r="V2750" s="4"/>
      <c r="W2750" s="4" t="s">
        <v>3341</v>
      </c>
      <c r="X2750" s="4" t="s">
        <v>3342</v>
      </c>
      <c r="Y2750" s="4" t="inlineStr">
        <is>
          <t>COMB_BCANA</t>
        </is>
      </c>
      <c r="Z2750" s="4"/>
      <c r="AA2750" s="4"/>
      <c r="AB2750" s="4"/>
      <c r="AC2750" s="4" t="s">
        <v>3344</v>
      </c>
      <c r="AD2750" s="4"/>
      <c r="AE2750" s="4"/>
      <c r="AF2750" s="4"/>
      <c r="AG2750" s="4"/>
      <c r="AH2750" s="4"/>
      <c r="AI2750" s="4"/>
      <c r="AJ2750" s="13" t="n">
        <v>1</v>
      </c>
      <c r="AK2750" s="4"/>
      <c r="AL2750" s="4"/>
      <c r="AM2750" s="4"/>
    </row>
    <row r="2751" customFormat="false" ht="23.85" hidden="false" customHeight="false" outlineLevel="0" collapsed="false">
      <c r="A2751" s="4" t="s">
        <v>3338</v>
      </c>
      <c r="B2751" s="4" t="s">
        <v>3728</v>
      </c>
      <c r="C2751" s="4" t="s">
        <v>3728</v>
      </c>
      <c r="D2751" s="12" t="n">
        <v>2020</v>
      </c>
      <c r="E2751" s="4"/>
      <c r="F2751" s="4" t="s">
        <v>1990</v>
      </c>
      <c r="G2751" s="4" t="s">
        <v>170</v>
      </c>
      <c r="H2751" s="4" t="s">
        <v>171</v>
      </c>
      <c r="I2751" s="4" t="s">
        <v>172</v>
      </c>
      <c r="J2751" s="4" t="s">
        <v>683</v>
      </c>
      <c r="K2751" s="4" t="s">
        <v>93</v>
      </c>
      <c r="L2751" s="4"/>
      <c r="M2751" s="4"/>
      <c r="N2751" s="4" t="s">
        <v>1994</v>
      </c>
      <c r="O2751" s="4" t="s">
        <v>1995</v>
      </c>
      <c r="P2751" s="4" t="s">
        <v>67</v>
      </c>
      <c r="Q2751" s="4" t="s">
        <v>2012</v>
      </c>
      <c r="R2751" s="4"/>
      <c r="S2751" s="4"/>
      <c r="T2751" s="4"/>
      <c r="U2751" s="4"/>
      <c r="V2751" s="4"/>
      <c r="W2751" s="4"/>
      <c r="X2751" s="4"/>
      <c r="Y2751" s="4"/>
      <c r="Z2751" s="4"/>
      <c r="AA2751" s="4"/>
      <c r="AB2751" s="4"/>
      <c r="AC2751" s="4"/>
      <c r="AD2751" s="4"/>
      <c r="AE2751" s="4"/>
      <c r="AF2751" s="4"/>
      <c r="AG2751" s="4"/>
      <c r="AH2751" s="4"/>
      <c r="AI2751" s="4"/>
      <c r="AJ2751" s="13" t="n">
        <v>0</v>
      </c>
      <c r="AK2751" s="4"/>
      <c r="AL2751" s="4"/>
      <c r="AM2751" s="4"/>
    </row>
    <row r="2752" customFormat="false" ht="23.85" hidden="false" customHeight="false" outlineLevel="0" collapsed="false">
      <c r="A2752" s="4" t="s">
        <v>3338</v>
      </c>
      <c r="B2752" s="4" t="s">
        <v>3729</v>
      </c>
      <c r="C2752" s="4" t="s">
        <v>3729</v>
      </c>
      <c r="D2752" s="12" t="n">
        <v>2020</v>
      </c>
      <c r="E2752" s="4"/>
      <c r="F2752" s="4" t="s">
        <v>1990</v>
      </c>
      <c r="G2752" s="4" t="s">
        <v>170</v>
      </c>
      <c r="H2752" s="4" t="s">
        <v>171</v>
      </c>
      <c r="I2752" s="4" t="s">
        <v>172</v>
      </c>
      <c r="J2752" s="4" t="s">
        <v>688</v>
      </c>
      <c r="K2752" s="4" t="s">
        <v>93</v>
      </c>
      <c r="L2752" s="4"/>
      <c r="M2752" s="4"/>
      <c r="N2752" s="4" t="s">
        <v>2001</v>
      </c>
      <c r="O2752" s="4" t="s">
        <v>2002</v>
      </c>
      <c r="P2752" s="4" t="s">
        <v>67</v>
      </c>
      <c r="Q2752" s="4" t="s">
        <v>2003</v>
      </c>
      <c r="R2752" s="4"/>
      <c r="S2752" s="4"/>
      <c r="T2752" s="4"/>
      <c r="U2752" s="4"/>
      <c r="V2752" s="4"/>
      <c r="W2752" s="4" t="s">
        <v>3341</v>
      </c>
      <c r="X2752" s="4" t="s">
        <v>3342</v>
      </c>
      <c r="Y2752" s="4" t="inlineStr">
        <is>
          <t>COMB_BIOGAS</t>
        </is>
      </c>
      <c r="Z2752" s="4"/>
      <c r="AA2752" s="4"/>
      <c r="AB2752" s="4"/>
      <c r="AC2752" s="4" t="s">
        <v>3344</v>
      </c>
      <c r="AD2752" s="4"/>
      <c r="AE2752" s="4"/>
      <c r="AF2752" s="4"/>
      <c r="AG2752" s="4"/>
      <c r="AH2752" s="4"/>
      <c r="AI2752" s="4"/>
      <c r="AJ2752" s="13" t="n">
        <v>1</v>
      </c>
      <c r="AK2752" s="4"/>
      <c r="AL2752" s="4"/>
      <c r="AM2752" s="4"/>
    </row>
    <row r="2753" customFormat="false" ht="23.85" hidden="false" customHeight="false" outlineLevel="0" collapsed="false">
      <c r="A2753" s="4" t="s">
        <v>3338</v>
      </c>
      <c r="B2753" s="4" t="s">
        <v>3730</v>
      </c>
      <c r="C2753" s="4" t="s">
        <v>3730</v>
      </c>
      <c r="D2753" s="12" t="n">
        <v>2020</v>
      </c>
      <c r="E2753" s="4"/>
      <c r="F2753" s="4" t="s">
        <v>3349</v>
      </c>
      <c r="G2753" s="4" t="s">
        <v>170</v>
      </c>
      <c r="H2753" s="4" t="s">
        <v>171</v>
      </c>
      <c r="I2753" s="4" t="s">
        <v>172</v>
      </c>
      <c r="J2753" s="4" t="s">
        <v>697</v>
      </c>
      <c r="K2753" s="4" t="s">
        <v>76</v>
      </c>
      <c r="L2753" s="4"/>
      <c r="M2753" s="4"/>
      <c r="N2753" s="4" t="s">
        <v>1994</v>
      </c>
      <c r="O2753" s="4" t="s">
        <v>65</v>
      </c>
      <c r="P2753" s="4" t="s">
        <v>64</v>
      </c>
      <c r="Q2753" s="4" t="s">
        <v>2019</v>
      </c>
      <c r="R2753" s="4"/>
      <c r="S2753" s="4"/>
      <c r="T2753" s="4"/>
      <c r="U2753" s="4"/>
      <c r="V2753" s="4"/>
      <c r="W2753" s="4" t="s">
        <v>3350</v>
      </c>
      <c r="X2753" s="4" t="s">
        <v>3351</v>
      </c>
      <c r="Y2753" s="4" t="s">
        <v>3349</v>
      </c>
      <c r="Z2753" s="4"/>
      <c r="AA2753" s="4"/>
      <c r="AB2753" s="4"/>
      <c r="AC2753" s="4" t="s">
        <v>3352</v>
      </c>
      <c r="AD2753" s="4"/>
      <c r="AE2753" s="4"/>
      <c r="AF2753" s="4"/>
      <c r="AG2753" s="4"/>
      <c r="AH2753" s="4"/>
      <c r="AI2753" s="4"/>
      <c r="AJ2753" s="13" t="n">
        <v>1</v>
      </c>
      <c r="AK2753" s="4"/>
      <c r="AL2753" s="4"/>
      <c r="AM2753" s="4"/>
    </row>
    <row r="2754" customFormat="false" ht="23.85" hidden="false" customHeight="false" outlineLevel="0" collapsed="false">
      <c r="A2754" s="4" t="s">
        <v>3338</v>
      </c>
      <c r="B2754" s="4" t="s">
        <v>3731</v>
      </c>
      <c r="C2754" s="4" t="s">
        <v>3731</v>
      </c>
      <c r="D2754" s="12" t="n">
        <v>2020</v>
      </c>
      <c r="E2754" s="4"/>
      <c r="F2754" s="4" t="s">
        <v>1990</v>
      </c>
      <c r="G2754" s="4" t="s">
        <v>170</v>
      </c>
      <c r="H2754" s="4" t="s">
        <v>171</v>
      </c>
      <c r="I2754" s="4" t="s">
        <v>172</v>
      </c>
      <c r="J2754" s="4" t="s">
        <v>697</v>
      </c>
      <c r="K2754" s="4" t="s">
        <v>76</v>
      </c>
      <c r="L2754" s="4"/>
      <c r="M2754" s="4"/>
      <c r="N2754" s="4" t="s">
        <v>2001</v>
      </c>
      <c r="O2754" s="4" t="s">
        <v>66</v>
      </c>
      <c r="P2754" s="4" t="s">
        <v>66</v>
      </c>
      <c r="Q2754" s="4" t="s">
        <v>2019</v>
      </c>
      <c r="R2754" s="4"/>
      <c r="S2754" s="4"/>
      <c r="T2754" s="4"/>
      <c r="U2754" s="4"/>
      <c r="V2754" s="4"/>
      <c r="W2754" s="4"/>
      <c r="X2754" s="4"/>
      <c r="Y2754" s="4"/>
      <c r="Z2754" s="4"/>
      <c r="AA2754" s="4"/>
      <c r="AB2754" s="4"/>
      <c r="AC2754" s="4"/>
      <c r="AD2754" s="4"/>
      <c r="AE2754" s="4"/>
      <c r="AF2754" s="4"/>
      <c r="AG2754" s="4"/>
      <c r="AH2754" s="4"/>
      <c r="AI2754" s="4"/>
      <c r="AJ2754" s="13" t="n">
        <v>0</v>
      </c>
      <c r="AK2754" s="4"/>
      <c r="AL2754" s="4"/>
      <c r="AM2754" s="4"/>
    </row>
    <row r="2755" customFormat="false" ht="23.85" hidden="false" customHeight="false" outlineLevel="0" collapsed="false">
      <c r="A2755" s="4" t="s">
        <v>3338</v>
      </c>
      <c r="B2755" s="4" t="s">
        <v>3732</v>
      </c>
      <c r="C2755" s="4" t="s">
        <v>3732</v>
      </c>
      <c r="D2755" s="12" t="n">
        <v>2020</v>
      </c>
      <c r="E2755" s="4"/>
      <c r="F2755" s="4" t="s">
        <v>1990</v>
      </c>
      <c r="G2755" s="4" t="s">
        <v>170</v>
      </c>
      <c r="H2755" s="4" t="s">
        <v>171</v>
      </c>
      <c r="I2755" s="4" t="s">
        <v>172</v>
      </c>
      <c r="J2755" s="4" t="s">
        <v>697</v>
      </c>
      <c r="K2755" s="4" t="s">
        <v>76</v>
      </c>
      <c r="L2755" s="4"/>
      <c r="M2755" s="4"/>
      <c r="N2755" s="4" t="s">
        <v>1994</v>
      </c>
      <c r="O2755" s="4" t="s">
        <v>1995</v>
      </c>
      <c r="P2755" s="4" t="s">
        <v>66</v>
      </c>
      <c r="Q2755" s="4" t="s">
        <v>2019</v>
      </c>
      <c r="R2755" s="4"/>
      <c r="S2755" s="4"/>
      <c r="T2755" s="4"/>
      <c r="U2755" s="4"/>
      <c r="V2755" s="4"/>
      <c r="W2755" s="4"/>
      <c r="X2755" s="4"/>
      <c r="Y2755" s="4"/>
      <c r="Z2755" s="4"/>
      <c r="AA2755" s="4"/>
      <c r="AB2755" s="4"/>
      <c r="AC2755" s="4"/>
      <c r="AD2755" s="4"/>
      <c r="AE2755" s="4"/>
      <c r="AF2755" s="4"/>
      <c r="AG2755" s="4"/>
      <c r="AH2755" s="4"/>
      <c r="AI2755" s="4"/>
      <c r="AJ2755" s="13" t="n">
        <v>0</v>
      </c>
      <c r="AK2755" s="4"/>
      <c r="AL2755" s="4"/>
      <c r="AM2755" s="4"/>
    </row>
    <row r="2756" customFormat="false" ht="23.85" hidden="false" customHeight="false" outlineLevel="0" collapsed="false">
      <c r="A2756" s="4" t="s">
        <v>3338</v>
      </c>
      <c r="B2756" s="4" t="s">
        <v>3733</v>
      </c>
      <c r="C2756" s="4" t="s">
        <v>3733</v>
      </c>
      <c r="D2756" s="12" t="n">
        <v>2020</v>
      </c>
      <c r="E2756" s="4"/>
      <c r="F2756" s="4" t="s">
        <v>1990</v>
      </c>
      <c r="G2756" s="4" t="s">
        <v>170</v>
      </c>
      <c r="H2756" s="4" t="s">
        <v>171</v>
      </c>
      <c r="I2756" s="4" t="s">
        <v>172</v>
      </c>
      <c r="J2756" s="4" t="s">
        <v>698</v>
      </c>
      <c r="K2756" s="4" t="s">
        <v>76</v>
      </c>
      <c r="L2756" s="4"/>
      <c r="M2756" s="4"/>
      <c r="N2756" s="4" t="s">
        <v>1994</v>
      </c>
      <c r="O2756" s="4" t="s">
        <v>2029</v>
      </c>
      <c r="P2756" s="4" t="s">
        <v>69</v>
      </c>
      <c r="Q2756" s="4" t="s">
        <v>2030</v>
      </c>
      <c r="R2756" s="4"/>
      <c r="S2756" s="4"/>
      <c r="T2756" s="4"/>
      <c r="U2756" s="4"/>
      <c r="V2756" s="4"/>
      <c r="W2756" s="4"/>
      <c r="X2756" s="4"/>
      <c r="Y2756" s="4"/>
      <c r="Z2756" s="4"/>
      <c r="AA2756" s="4"/>
      <c r="AB2756" s="4"/>
      <c r="AC2756" s="4"/>
      <c r="AD2756" s="4"/>
      <c r="AE2756" s="4"/>
      <c r="AF2756" s="4"/>
      <c r="AG2756" s="4"/>
      <c r="AH2756" s="4"/>
      <c r="AI2756" s="4"/>
      <c r="AJ2756" s="13" t="n">
        <v>0</v>
      </c>
      <c r="AK2756" s="4"/>
      <c r="AL2756" s="4"/>
      <c r="AM2756" s="4"/>
    </row>
    <row r="2757" customFormat="false" ht="23.85" hidden="false" customHeight="false" outlineLevel="0" collapsed="false">
      <c r="A2757" s="4" t="s">
        <v>3338</v>
      </c>
      <c r="B2757" s="4" t="s">
        <v>3734</v>
      </c>
      <c r="C2757" s="4" t="s">
        <v>3734</v>
      </c>
      <c r="D2757" s="12" t="n">
        <v>2020</v>
      </c>
      <c r="E2757" s="4"/>
      <c r="F2757" s="4" t="s">
        <v>1990</v>
      </c>
      <c r="G2757" s="4" t="s">
        <v>170</v>
      </c>
      <c r="H2757" s="4" t="s">
        <v>171</v>
      </c>
      <c r="I2757" s="4" t="s">
        <v>172</v>
      </c>
      <c r="J2757" s="4" t="s">
        <v>700</v>
      </c>
      <c r="K2757" s="4" t="s">
        <v>76</v>
      </c>
      <c r="L2757" s="4"/>
      <c r="M2757" s="4"/>
      <c r="N2757" s="4" t="s">
        <v>2001</v>
      </c>
      <c r="O2757" s="4" t="s">
        <v>2034</v>
      </c>
      <c r="P2757" s="4" t="s">
        <v>74</v>
      </c>
      <c r="Q2757" s="4" t="s">
        <v>2035</v>
      </c>
      <c r="R2757" s="4"/>
      <c r="S2757" s="4"/>
      <c r="T2757" s="4"/>
      <c r="U2757" s="4"/>
      <c r="V2757" s="4"/>
      <c r="W2757" s="4"/>
      <c r="X2757" s="4"/>
      <c r="Y2757" s="4"/>
      <c r="Z2757" s="4"/>
      <c r="AA2757" s="4"/>
      <c r="AB2757" s="4"/>
      <c r="AC2757" s="4"/>
      <c r="AD2757" s="4"/>
      <c r="AE2757" s="4"/>
      <c r="AF2757" s="4"/>
      <c r="AG2757" s="4"/>
      <c r="AH2757" s="4"/>
      <c r="AI2757" s="4"/>
      <c r="AJ2757" s="13" t="n">
        <v>0</v>
      </c>
      <c r="AK2757" s="4"/>
      <c r="AL2757" s="4"/>
      <c r="AM2757" s="4"/>
    </row>
    <row r="2758" customFormat="false" ht="23.85" hidden="false" customHeight="false" outlineLevel="0" collapsed="false">
      <c r="A2758" s="4" t="s">
        <v>3338</v>
      </c>
      <c r="B2758" s="4" t="s">
        <v>3735</v>
      </c>
      <c r="C2758" s="4" t="s">
        <v>3735</v>
      </c>
      <c r="D2758" s="12" t="n">
        <v>2020</v>
      </c>
      <c r="E2758" s="4"/>
      <c r="F2758" s="4" t="s">
        <v>1990</v>
      </c>
      <c r="G2758" s="4" t="s">
        <v>170</v>
      </c>
      <c r="H2758" s="4" t="s">
        <v>171</v>
      </c>
      <c r="I2758" s="4" t="s">
        <v>172</v>
      </c>
      <c r="J2758" s="4" t="s">
        <v>702</v>
      </c>
      <c r="K2758" s="4" t="s">
        <v>76</v>
      </c>
      <c r="L2758" s="4"/>
      <c r="M2758" s="4"/>
      <c r="N2758" s="4" t="s">
        <v>2001</v>
      </c>
      <c r="O2758" s="4" t="s">
        <v>2002</v>
      </c>
      <c r="P2758" s="4" t="s">
        <v>67</v>
      </c>
      <c r="Q2758" s="4" t="s">
        <v>2003</v>
      </c>
      <c r="R2758" s="4"/>
      <c r="S2758" s="4"/>
      <c r="T2758" s="4"/>
      <c r="U2758" s="4"/>
      <c r="V2758" s="4"/>
      <c r="W2758" s="4" t="s">
        <v>3341</v>
      </c>
      <c r="X2758" s="4" t="s">
        <v>3342</v>
      </c>
      <c r="Y2758" s="4" t="inlineStr">
        <is>
          <t>COMB_CRBN</t>
        </is>
      </c>
      <c r="Z2758" s="4"/>
      <c r="AA2758" s="4"/>
      <c r="AB2758" s="4"/>
      <c r="AC2758" s="4" t="s">
        <v>3352</v>
      </c>
      <c r="AD2758" s="4"/>
      <c r="AE2758" s="4"/>
      <c r="AF2758" s="4"/>
      <c r="AG2758" s="4"/>
      <c r="AH2758" s="4"/>
      <c r="AI2758" s="4"/>
      <c r="AJ2758" s="13" t="n">
        <v>1</v>
      </c>
      <c r="AK2758" s="4"/>
      <c r="AL2758" s="4"/>
      <c r="AM2758" s="4"/>
    </row>
    <row r="2759" customFormat="false" ht="23.85" hidden="false" customHeight="false" outlineLevel="0" collapsed="false">
      <c r="A2759" s="4" t="s">
        <v>3338</v>
      </c>
      <c r="B2759" s="4" t="s">
        <v>3736</v>
      </c>
      <c r="C2759" s="4" t="s">
        <v>3736</v>
      </c>
      <c r="D2759" s="12" t="n">
        <v>2020</v>
      </c>
      <c r="E2759" s="4"/>
      <c r="F2759" s="4" t="s">
        <v>1990</v>
      </c>
      <c r="G2759" s="4" t="s">
        <v>170</v>
      </c>
      <c r="H2759" s="4" t="s">
        <v>171</v>
      </c>
      <c r="I2759" s="4" t="s">
        <v>172</v>
      </c>
      <c r="J2759" s="4" t="s">
        <v>711</v>
      </c>
      <c r="K2759" s="4" t="s">
        <v>78</v>
      </c>
      <c r="L2759" s="4"/>
      <c r="M2759" s="4"/>
      <c r="N2759" s="4" t="s">
        <v>1994</v>
      </c>
      <c r="O2759" s="4" t="s">
        <v>65</v>
      </c>
      <c r="P2759" s="4" t="s">
        <v>64</v>
      </c>
      <c r="Q2759" s="4" t="s">
        <v>2044</v>
      </c>
      <c r="R2759" s="4"/>
      <c r="S2759" s="4"/>
      <c r="T2759" s="4"/>
      <c r="U2759" s="4"/>
      <c r="V2759" s="4"/>
      <c r="W2759" s="4"/>
      <c r="X2759" s="4"/>
      <c r="Y2759" s="4"/>
      <c r="Z2759" s="4"/>
      <c r="AA2759" s="4"/>
      <c r="AB2759" s="4"/>
      <c r="AC2759" s="4"/>
      <c r="AD2759" s="4"/>
      <c r="AE2759" s="4"/>
      <c r="AF2759" s="4"/>
      <c r="AG2759" s="4"/>
      <c r="AH2759" s="4"/>
      <c r="AI2759" s="4"/>
      <c r="AJ2759" s="13" t="n">
        <v>0</v>
      </c>
      <c r="AK2759" s="4"/>
      <c r="AL2759" s="4"/>
      <c r="AM2759" s="4"/>
    </row>
    <row r="2760" customFormat="false" ht="23.85" hidden="false" customHeight="false" outlineLevel="0" collapsed="false">
      <c r="A2760" s="4" t="s">
        <v>3338</v>
      </c>
      <c r="B2760" s="4" t="s">
        <v>3737</v>
      </c>
      <c r="C2760" s="4" t="s">
        <v>3737</v>
      </c>
      <c r="D2760" s="12" t="n">
        <v>2020</v>
      </c>
      <c r="E2760" s="4"/>
      <c r="F2760" s="4" t="s">
        <v>1990</v>
      </c>
      <c r="G2760" s="4" t="s">
        <v>170</v>
      </c>
      <c r="H2760" s="4" t="s">
        <v>171</v>
      </c>
      <c r="I2760" s="4" t="s">
        <v>172</v>
      </c>
      <c r="J2760" s="4" t="s">
        <v>716</v>
      </c>
      <c r="K2760" s="4" t="s">
        <v>78</v>
      </c>
      <c r="L2760" s="4"/>
      <c r="M2760" s="4"/>
      <c r="N2760" s="4" t="s">
        <v>2001</v>
      </c>
      <c r="O2760" s="4" t="s">
        <v>66</v>
      </c>
      <c r="P2760" s="4" t="s">
        <v>67</v>
      </c>
      <c r="Q2760" s="4" t="s">
        <v>2003</v>
      </c>
      <c r="R2760" s="4"/>
      <c r="S2760" s="4"/>
      <c r="T2760" s="4"/>
      <c r="U2760" s="4"/>
      <c r="V2760" s="4"/>
      <c r="W2760" s="4" t="s">
        <v>3341</v>
      </c>
      <c r="X2760" s="4" t="s">
        <v>3342</v>
      </c>
      <c r="Y2760" s="4" t="s">
        <v>3362</v>
      </c>
      <c r="Z2760" s="4"/>
      <c r="AA2760" s="4"/>
      <c r="AB2760" s="4"/>
      <c r="AC2760" s="4" t="s">
        <v>3363</v>
      </c>
      <c r="AD2760" s="4"/>
      <c r="AE2760" s="4"/>
      <c r="AF2760" s="4"/>
      <c r="AG2760" s="4"/>
      <c r="AH2760" s="4"/>
      <c r="AI2760" s="4"/>
      <c r="AJ2760" s="13" t="n">
        <v>1</v>
      </c>
      <c r="AK2760" s="4"/>
      <c r="AL2760" s="4"/>
      <c r="AM2760" s="4"/>
    </row>
    <row r="2761" customFormat="false" ht="23.85" hidden="false" customHeight="false" outlineLevel="0" collapsed="false">
      <c r="A2761" s="4" t="s">
        <v>3338</v>
      </c>
      <c r="B2761" s="4" t="s">
        <v>3738</v>
      </c>
      <c r="C2761" s="4" t="s">
        <v>3738</v>
      </c>
      <c r="D2761" s="12" t="n">
        <v>2020</v>
      </c>
      <c r="E2761" s="4"/>
      <c r="F2761" s="4" t="s">
        <v>1990</v>
      </c>
      <c r="G2761" s="4" t="s">
        <v>170</v>
      </c>
      <c r="H2761" s="4" t="s">
        <v>171</v>
      </c>
      <c r="I2761" s="4" t="s">
        <v>172</v>
      </c>
      <c r="J2761" s="4" t="s">
        <v>725</v>
      </c>
      <c r="K2761" s="4" t="s">
        <v>80</v>
      </c>
      <c r="L2761" s="4"/>
      <c r="M2761" s="4"/>
      <c r="N2761" s="4" t="s">
        <v>1994</v>
      </c>
      <c r="O2761" s="4" t="s">
        <v>65</v>
      </c>
      <c r="P2761" s="4" t="s">
        <v>64</v>
      </c>
      <c r="Q2761" s="4" t="s">
        <v>2044</v>
      </c>
      <c r="R2761" s="4"/>
      <c r="S2761" s="4"/>
      <c r="T2761" s="4"/>
      <c r="U2761" s="4"/>
      <c r="V2761" s="4"/>
      <c r="W2761" s="4"/>
      <c r="X2761" s="4"/>
      <c r="Y2761" s="4"/>
      <c r="Z2761" s="4"/>
      <c r="AA2761" s="4"/>
      <c r="AB2761" s="4"/>
      <c r="AC2761" s="4"/>
      <c r="AD2761" s="4"/>
      <c r="AE2761" s="4"/>
      <c r="AF2761" s="4"/>
      <c r="AG2761" s="4"/>
      <c r="AH2761" s="4"/>
      <c r="AI2761" s="4"/>
      <c r="AJ2761" s="13" t="n">
        <v>0</v>
      </c>
      <c r="AK2761" s="4"/>
      <c r="AL2761" s="4"/>
      <c r="AM2761" s="4"/>
    </row>
    <row r="2762" customFormat="false" ht="23.85" hidden="false" customHeight="false" outlineLevel="0" collapsed="false">
      <c r="A2762" s="4" t="s">
        <v>3338</v>
      </c>
      <c r="B2762" s="4" t="s">
        <v>3739</v>
      </c>
      <c r="C2762" s="4" t="s">
        <v>3739</v>
      </c>
      <c r="D2762" s="12" t="n">
        <v>2020</v>
      </c>
      <c r="E2762" s="4"/>
      <c r="F2762" s="4" t="s">
        <v>1990</v>
      </c>
      <c r="G2762" s="4" t="s">
        <v>170</v>
      </c>
      <c r="H2762" s="4" t="s">
        <v>171</v>
      </c>
      <c r="I2762" s="4" t="s">
        <v>172</v>
      </c>
      <c r="J2762" s="4" t="s">
        <v>730</v>
      </c>
      <c r="K2762" s="4" t="s">
        <v>80</v>
      </c>
      <c r="L2762" s="4"/>
      <c r="M2762" s="4"/>
      <c r="N2762" s="4" t="s">
        <v>2001</v>
      </c>
      <c r="O2762" s="4" t="s">
        <v>66</v>
      </c>
      <c r="P2762" s="4" t="s">
        <v>67</v>
      </c>
      <c r="Q2762" s="4" t="s">
        <v>2003</v>
      </c>
      <c r="R2762" s="4"/>
      <c r="S2762" s="4"/>
      <c r="T2762" s="4"/>
      <c r="U2762" s="4"/>
      <c r="V2762" s="4"/>
      <c r="W2762" s="4" t="s">
        <v>3341</v>
      </c>
      <c r="X2762" s="4" t="s">
        <v>3342</v>
      </c>
      <c r="Y2762" s="4" t="s">
        <v>3362</v>
      </c>
      <c r="Z2762" s="4"/>
      <c r="AA2762" s="4"/>
      <c r="AB2762" s="4"/>
      <c r="AC2762" s="4" t="s">
        <v>3363</v>
      </c>
      <c r="AD2762" s="4"/>
      <c r="AE2762" s="4"/>
      <c r="AF2762" s="4"/>
      <c r="AG2762" s="4"/>
      <c r="AH2762" s="4"/>
      <c r="AI2762" s="4"/>
      <c r="AJ2762" s="13" t="n">
        <v>1</v>
      </c>
      <c r="AK2762" s="4"/>
      <c r="AL2762" s="4"/>
      <c r="AM2762" s="4"/>
    </row>
    <row r="2763" customFormat="false" ht="23.85" hidden="false" customHeight="false" outlineLevel="0" collapsed="false">
      <c r="A2763" s="4" t="s">
        <v>3338</v>
      </c>
      <c r="B2763" s="4" t="s">
        <v>3740</v>
      </c>
      <c r="C2763" s="4" t="s">
        <v>3740</v>
      </c>
      <c r="D2763" s="12" t="n">
        <v>2020</v>
      </c>
      <c r="E2763" s="4"/>
      <c r="F2763" s="4" t="s">
        <v>1990</v>
      </c>
      <c r="G2763" s="4" t="s">
        <v>170</v>
      </c>
      <c r="H2763" s="4" t="s">
        <v>171</v>
      </c>
      <c r="I2763" s="4" t="s">
        <v>172</v>
      </c>
      <c r="J2763" s="4" t="s">
        <v>739</v>
      </c>
      <c r="K2763" s="4" t="s">
        <v>84</v>
      </c>
      <c r="L2763" s="4"/>
      <c r="M2763" s="4"/>
      <c r="N2763" s="4" t="s">
        <v>1994</v>
      </c>
      <c r="O2763" s="4" t="s">
        <v>65</v>
      </c>
      <c r="P2763" s="4" t="s">
        <v>64</v>
      </c>
      <c r="Q2763" s="4" t="s">
        <v>2044</v>
      </c>
      <c r="R2763" s="4"/>
      <c r="S2763" s="4"/>
      <c r="T2763" s="4"/>
      <c r="U2763" s="4"/>
      <c r="V2763" s="4"/>
      <c r="W2763" s="4"/>
      <c r="X2763" s="4"/>
      <c r="Y2763" s="4"/>
      <c r="Z2763" s="4"/>
      <c r="AA2763" s="4"/>
      <c r="AB2763" s="4"/>
      <c r="AC2763" s="4"/>
      <c r="AD2763" s="4"/>
      <c r="AE2763" s="4"/>
      <c r="AF2763" s="4"/>
      <c r="AG2763" s="4"/>
      <c r="AH2763" s="4"/>
      <c r="AI2763" s="4"/>
      <c r="AJ2763" s="13" t="n">
        <v>0</v>
      </c>
      <c r="AK2763" s="4"/>
      <c r="AL2763" s="4"/>
      <c r="AM2763" s="4"/>
    </row>
    <row r="2764" customFormat="false" ht="23.85" hidden="false" customHeight="false" outlineLevel="0" collapsed="false">
      <c r="A2764" s="4" t="s">
        <v>3338</v>
      </c>
      <c r="B2764" s="4" t="s">
        <v>3741</v>
      </c>
      <c r="C2764" s="4" t="s">
        <v>3741</v>
      </c>
      <c r="D2764" s="12" t="n">
        <v>2020</v>
      </c>
      <c r="E2764" s="4"/>
      <c r="F2764" s="4" t="s">
        <v>1990</v>
      </c>
      <c r="G2764" s="4" t="s">
        <v>170</v>
      </c>
      <c r="H2764" s="4" t="s">
        <v>171</v>
      </c>
      <c r="I2764" s="4" t="s">
        <v>172</v>
      </c>
      <c r="J2764" s="4" t="s">
        <v>744</v>
      </c>
      <c r="K2764" s="4" t="s">
        <v>84</v>
      </c>
      <c r="L2764" s="4"/>
      <c r="M2764" s="4"/>
      <c r="N2764" s="4" t="s">
        <v>2001</v>
      </c>
      <c r="O2764" s="4" t="s">
        <v>66</v>
      </c>
      <c r="P2764" s="4" t="s">
        <v>67</v>
      </c>
      <c r="Q2764" s="4" t="s">
        <v>2003</v>
      </c>
      <c r="R2764" s="4"/>
      <c r="S2764" s="4"/>
      <c r="T2764" s="4"/>
      <c r="U2764" s="4"/>
      <c r="V2764" s="4"/>
      <c r="W2764" s="4" t="s">
        <v>3341</v>
      </c>
      <c r="X2764" s="4" t="s">
        <v>3342</v>
      </c>
      <c r="Y2764" s="4" t="s">
        <v>3362</v>
      </c>
      <c r="Z2764" s="4"/>
      <c r="AA2764" s="4"/>
      <c r="AB2764" s="4"/>
      <c r="AC2764" s="4" t="s">
        <v>3363</v>
      </c>
      <c r="AD2764" s="4"/>
      <c r="AE2764" s="4"/>
      <c r="AF2764" s="4"/>
      <c r="AG2764" s="4"/>
      <c r="AH2764" s="4"/>
      <c r="AI2764" s="4"/>
      <c r="AJ2764" s="13" t="n">
        <v>1</v>
      </c>
      <c r="AK2764" s="4"/>
      <c r="AL2764" s="4"/>
      <c r="AM2764" s="4"/>
    </row>
    <row r="2765" customFormat="false" ht="23.85" hidden="false" customHeight="false" outlineLevel="0" collapsed="false">
      <c r="A2765" s="4" t="s">
        <v>3338</v>
      </c>
      <c r="B2765" s="4" t="s">
        <v>3742</v>
      </c>
      <c r="C2765" s="4" t="s">
        <v>3742</v>
      </c>
      <c r="D2765" s="12" t="n">
        <v>2020</v>
      </c>
      <c r="E2765" s="4"/>
      <c r="F2765" s="4" t="s">
        <v>1990</v>
      </c>
      <c r="G2765" s="4" t="s">
        <v>170</v>
      </c>
      <c r="H2765" s="4" t="s">
        <v>171</v>
      </c>
      <c r="I2765" s="4" t="s">
        <v>172</v>
      </c>
      <c r="J2765" s="4" t="s">
        <v>745</v>
      </c>
      <c r="K2765" s="4" t="s">
        <v>84</v>
      </c>
      <c r="L2765" s="4"/>
      <c r="M2765" s="4"/>
      <c r="N2765" s="4" t="s">
        <v>2001</v>
      </c>
      <c r="O2765" s="4" t="s">
        <v>66</v>
      </c>
      <c r="P2765" s="4" t="s">
        <v>67</v>
      </c>
      <c r="Q2765" s="4" t="s">
        <v>2008</v>
      </c>
      <c r="R2765" s="4"/>
      <c r="S2765" s="4"/>
      <c r="T2765" s="4"/>
      <c r="U2765" s="4"/>
      <c r="V2765" s="4"/>
      <c r="W2765" s="4" t="s">
        <v>3341</v>
      </c>
      <c r="X2765" s="4" t="s">
        <v>3342</v>
      </c>
      <c r="Y2765" s="4" t="s">
        <v>3362</v>
      </c>
      <c r="Z2765" s="4"/>
      <c r="AA2765" s="4"/>
      <c r="AB2765" s="4"/>
      <c r="AC2765" s="4" t="s">
        <v>3363</v>
      </c>
      <c r="AD2765" s="4"/>
      <c r="AE2765" s="4"/>
      <c r="AF2765" s="4"/>
      <c r="AG2765" s="4"/>
      <c r="AH2765" s="4"/>
      <c r="AI2765" s="4"/>
      <c r="AJ2765" s="13" t="n">
        <v>1</v>
      </c>
      <c r="AK2765" s="4"/>
      <c r="AL2765" s="4"/>
      <c r="AM2765" s="4"/>
    </row>
    <row r="2766" customFormat="false" ht="23.85" hidden="false" customHeight="false" outlineLevel="0" collapsed="false">
      <c r="A2766" s="4" t="s">
        <v>3338</v>
      </c>
      <c r="B2766" s="4" t="s">
        <v>3743</v>
      </c>
      <c r="C2766" s="4" t="s">
        <v>3743</v>
      </c>
      <c r="D2766" s="12" t="n">
        <v>2020</v>
      </c>
      <c r="E2766" s="4"/>
      <c r="F2766" s="4" t="s">
        <v>3349</v>
      </c>
      <c r="G2766" s="4" t="s">
        <v>170</v>
      </c>
      <c r="H2766" s="4" t="s">
        <v>171</v>
      </c>
      <c r="I2766" s="4" t="s">
        <v>172</v>
      </c>
      <c r="J2766" s="4" t="s">
        <v>753</v>
      </c>
      <c r="K2766" s="4" t="s">
        <v>109</v>
      </c>
      <c r="L2766" s="4"/>
      <c r="M2766" s="4"/>
      <c r="N2766" s="4" t="s">
        <v>1994</v>
      </c>
      <c r="O2766" s="4" t="s">
        <v>1995</v>
      </c>
      <c r="P2766" s="4" t="s">
        <v>65</v>
      </c>
      <c r="Q2766" s="4" t="s">
        <v>2070</v>
      </c>
      <c r="R2766" s="4"/>
      <c r="S2766" s="4"/>
      <c r="T2766" s="4"/>
      <c r="U2766" s="4"/>
      <c r="V2766" s="4"/>
      <c r="W2766" s="4" t="s">
        <v>3377</v>
      </c>
      <c r="X2766" s="4" t="s">
        <v>3378</v>
      </c>
      <c r="Y2766" s="4" t="s">
        <v>3349</v>
      </c>
      <c r="Z2766" s="4"/>
      <c r="AA2766" s="4"/>
      <c r="AB2766" s="4"/>
      <c r="AC2766" s="4" t="s">
        <v>3344</v>
      </c>
      <c r="AD2766" s="4"/>
      <c r="AE2766" s="4"/>
      <c r="AF2766" s="4"/>
      <c r="AG2766" s="4"/>
      <c r="AH2766" s="4"/>
      <c r="AI2766" s="4"/>
      <c r="AJ2766" s="13" t="n">
        <v>1</v>
      </c>
      <c r="AK2766" s="4"/>
      <c r="AL2766" s="4"/>
      <c r="AM2766" s="4"/>
    </row>
    <row r="2767" customFormat="false" ht="23.85" hidden="false" customHeight="false" outlineLevel="0" collapsed="false">
      <c r="A2767" s="4" t="s">
        <v>3338</v>
      </c>
      <c r="B2767" s="4" t="s">
        <v>3744</v>
      </c>
      <c r="C2767" s="4" t="s">
        <v>3744</v>
      </c>
      <c r="D2767" s="12" t="n">
        <v>2020</v>
      </c>
      <c r="E2767" s="4"/>
      <c r="F2767" s="4" t="s">
        <v>1990</v>
      </c>
      <c r="G2767" s="4" t="s">
        <v>170</v>
      </c>
      <c r="H2767" s="4" t="s">
        <v>171</v>
      </c>
      <c r="I2767" s="4" t="s">
        <v>172</v>
      </c>
      <c r="J2767" s="4" t="s">
        <v>762</v>
      </c>
      <c r="K2767" s="4" t="s">
        <v>109</v>
      </c>
      <c r="L2767" s="4"/>
      <c r="M2767" s="4"/>
      <c r="N2767" s="4" t="s">
        <v>2001</v>
      </c>
      <c r="O2767" s="4" t="s">
        <v>2074</v>
      </c>
      <c r="P2767" s="4" t="s">
        <v>73</v>
      </c>
      <c r="Q2767" s="4" t="s">
        <v>2075</v>
      </c>
      <c r="R2767" s="4"/>
      <c r="S2767" s="4"/>
      <c r="T2767" s="4"/>
      <c r="U2767" s="4"/>
      <c r="V2767" s="4"/>
      <c r="W2767" s="4" t="s">
        <v>3380</v>
      </c>
      <c r="X2767" s="4" t="s">
        <v>3381</v>
      </c>
      <c r="Y2767" s="4" t="s">
        <v>3343</v>
      </c>
      <c r="Z2767" s="4"/>
      <c r="AA2767" s="4"/>
      <c r="AB2767" s="4"/>
      <c r="AC2767" s="4" t="s">
        <v>3344</v>
      </c>
      <c r="AD2767" s="4"/>
      <c r="AE2767" s="4"/>
      <c r="AF2767" s="4"/>
      <c r="AG2767" s="4"/>
      <c r="AH2767" s="4"/>
      <c r="AI2767" s="4"/>
      <c r="AJ2767" s="13" t="n">
        <v>1</v>
      </c>
      <c r="AK2767" s="4"/>
      <c r="AL2767" s="4"/>
      <c r="AM2767" s="4"/>
    </row>
    <row r="2768" customFormat="false" ht="23.85" hidden="false" customHeight="false" outlineLevel="0" collapsed="false">
      <c r="A2768" s="4" t="s">
        <v>3338</v>
      </c>
      <c r="B2768" s="4" t="s">
        <v>3745</v>
      </c>
      <c r="C2768" s="4" t="s">
        <v>3745</v>
      </c>
      <c r="D2768" s="12" t="n">
        <v>2020</v>
      </c>
      <c r="E2768" s="4"/>
      <c r="F2768" s="4" t="s">
        <v>1990</v>
      </c>
      <c r="G2768" s="4" t="s">
        <v>170</v>
      </c>
      <c r="H2768" s="4" t="s">
        <v>171</v>
      </c>
      <c r="I2768" s="4" t="s">
        <v>172</v>
      </c>
      <c r="J2768" s="4" t="s">
        <v>763</v>
      </c>
      <c r="K2768" s="4" t="s">
        <v>109</v>
      </c>
      <c r="L2768" s="4"/>
      <c r="M2768" s="4"/>
      <c r="N2768" s="4" t="s">
        <v>2001</v>
      </c>
      <c r="O2768" s="4" t="s">
        <v>2002</v>
      </c>
      <c r="P2768" s="4" t="s">
        <v>72</v>
      </c>
      <c r="Q2768" s="4" t="s">
        <v>2079</v>
      </c>
      <c r="R2768" s="4"/>
      <c r="S2768" s="4"/>
      <c r="T2768" s="4"/>
      <c r="U2768" s="4"/>
      <c r="V2768" s="4"/>
      <c r="W2768" s="4" t="s">
        <v>3383</v>
      </c>
      <c r="X2768" s="4" t="s">
        <v>3384</v>
      </c>
      <c r="Y2768" s="4" t="s">
        <v>3343</v>
      </c>
      <c r="Z2768" s="4"/>
      <c r="AA2768" s="4"/>
      <c r="AB2768" s="4"/>
      <c r="AC2768" s="4" t="s">
        <v>3344</v>
      </c>
      <c r="AD2768" s="4"/>
      <c r="AE2768" s="4"/>
      <c r="AF2768" s="4"/>
      <c r="AG2768" s="4"/>
      <c r="AH2768" s="4"/>
      <c r="AI2768" s="4"/>
      <c r="AJ2768" s="13" t="n">
        <v>1</v>
      </c>
      <c r="AK2768" s="4"/>
      <c r="AL2768" s="4"/>
      <c r="AM2768" s="4"/>
    </row>
    <row r="2769" customFormat="false" ht="23.85" hidden="false" customHeight="false" outlineLevel="0" collapsed="false">
      <c r="A2769" s="4" t="s">
        <v>3338</v>
      </c>
      <c r="B2769" s="4" t="s">
        <v>3746</v>
      </c>
      <c r="C2769" s="4" t="s">
        <v>3746</v>
      </c>
      <c r="D2769" s="12" t="n">
        <v>2020</v>
      </c>
      <c r="E2769" s="4"/>
      <c r="F2769" s="4" t="s">
        <v>1990</v>
      </c>
      <c r="G2769" s="4" t="s">
        <v>170</v>
      </c>
      <c r="H2769" s="4" t="s">
        <v>171</v>
      </c>
      <c r="I2769" s="4" t="s">
        <v>172</v>
      </c>
      <c r="J2769" s="4" t="s">
        <v>767</v>
      </c>
      <c r="K2769" s="4" t="s">
        <v>86</v>
      </c>
      <c r="L2769" s="4"/>
      <c r="M2769" s="4"/>
      <c r="N2769" s="4" t="s">
        <v>1994</v>
      </c>
      <c r="O2769" s="4" t="s">
        <v>65</v>
      </c>
      <c r="P2769" s="4" t="s">
        <v>64</v>
      </c>
      <c r="Q2769" s="4" t="s">
        <v>2019</v>
      </c>
      <c r="R2769" s="4"/>
      <c r="S2769" s="4"/>
      <c r="T2769" s="4"/>
      <c r="U2769" s="4"/>
      <c r="V2769" s="4"/>
      <c r="W2769" s="4" t="s">
        <v>3386</v>
      </c>
      <c r="X2769" s="4" t="s">
        <v>3387</v>
      </c>
      <c r="Y2769" s="4" t="s">
        <v>3388</v>
      </c>
      <c r="Z2769" s="4"/>
      <c r="AA2769" s="4"/>
      <c r="AB2769" s="4"/>
      <c r="AC2769" s="4" t="s">
        <v>3352</v>
      </c>
      <c r="AD2769" s="4"/>
      <c r="AE2769" s="4"/>
      <c r="AF2769" s="4"/>
      <c r="AG2769" s="4"/>
      <c r="AH2769" s="4"/>
      <c r="AI2769" s="4"/>
      <c r="AJ2769" s="13" t="n">
        <v>1</v>
      </c>
      <c r="AK2769" s="4"/>
      <c r="AL2769" s="4"/>
      <c r="AM2769" s="4"/>
    </row>
    <row r="2770" customFormat="false" ht="23.85" hidden="false" customHeight="false" outlineLevel="0" collapsed="false">
      <c r="A2770" s="4" t="s">
        <v>3338</v>
      </c>
      <c r="B2770" s="4" t="s">
        <v>3747</v>
      </c>
      <c r="C2770" s="4" t="s">
        <v>3747</v>
      </c>
      <c r="D2770" s="12" t="n">
        <v>2020</v>
      </c>
      <c r="E2770" s="4"/>
      <c r="F2770" s="4" t="s">
        <v>1990</v>
      </c>
      <c r="G2770" s="4" t="s">
        <v>170</v>
      </c>
      <c r="H2770" s="4" t="s">
        <v>171</v>
      </c>
      <c r="I2770" s="4" t="s">
        <v>172</v>
      </c>
      <c r="J2770" s="4" t="s">
        <v>767</v>
      </c>
      <c r="K2770" s="4" t="s">
        <v>86</v>
      </c>
      <c r="L2770" s="4"/>
      <c r="M2770" s="4"/>
      <c r="N2770" s="4" t="s">
        <v>2001</v>
      </c>
      <c r="O2770" s="4" t="s">
        <v>66</v>
      </c>
      <c r="P2770" s="4" t="s">
        <v>66</v>
      </c>
      <c r="Q2770" s="4" t="s">
        <v>2019</v>
      </c>
      <c r="R2770" s="4"/>
      <c r="S2770" s="4"/>
      <c r="T2770" s="4"/>
      <c r="U2770" s="4"/>
      <c r="V2770" s="4"/>
      <c r="W2770" s="4"/>
      <c r="X2770" s="4"/>
      <c r="Y2770" s="4"/>
      <c r="Z2770" s="4"/>
      <c r="AA2770" s="4"/>
      <c r="AB2770" s="4"/>
      <c r="AC2770" s="4"/>
      <c r="AD2770" s="4"/>
      <c r="AE2770" s="4"/>
      <c r="AF2770" s="4"/>
      <c r="AG2770" s="4"/>
      <c r="AH2770" s="4"/>
      <c r="AI2770" s="4"/>
      <c r="AJ2770" s="13" t="n">
        <v>0</v>
      </c>
      <c r="AK2770" s="4"/>
      <c r="AL2770" s="4"/>
      <c r="AM2770" s="4"/>
    </row>
    <row r="2771" customFormat="false" ht="23.85" hidden="false" customHeight="false" outlineLevel="0" collapsed="false">
      <c r="A2771" s="4" t="s">
        <v>3338</v>
      </c>
      <c r="B2771" s="4" t="s">
        <v>3748</v>
      </c>
      <c r="C2771" s="4" t="s">
        <v>3748</v>
      </c>
      <c r="D2771" s="12" t="n">
        <v>2020</v>
      </c>
      <c r="E2771" s="4"/>
      <c r="F2771" s="4" t="s">
        <v>1990</v>
      </c>
      <c r="G2771" s="4" t="s">
        <v>170</v>
      </c>
      <c r="H2771" s="4" t="s">
        <v>171</v>
      </c>
      <c r="I2771" s="4" t="s">
        <v>172</v>
      </c>
      <c r="J2771" s="4" t="s">
        <v>767</v>
      </c>
      <c r="K2771" s="4" t="s">
        <v>86</v>
      </c>
      <c r="L2771" s="4"/>
      <c r="M2771" s="4"/>
      <c r="N2771" s="4" t="s">
        <v>1994</v>
      </c>
      <c r="O2771" s="4" t="s">
        <v>1995</v>
      </c>
      <c r="P2771" s="4" t="s">
        <v>66</v>
      </c>
      <c r="Q2771" s="4" t="s">
        <v>2019</v>
      </c>
      <c r="R2771" s="4"/>
      <c r="S2771" s="4"/>
      <c r="T2771" s="4"/>
      <c r="U2771" s="4"/>
      <c r="V2771" s="4"/>
      <c r="W2771" s="4"/>
      <c r="X2771" s="4"/>
      <c r="Y2771" s="4"/>
      <c r="Z2771" s="4"/>
      <c r="AA2771" s="4"/>
      <c r="AB2771" s="4"/>
      <c r="AC2771" s="4"/>
      <c r="AD2771" s="4"/>
      <c r="AE2771" s="4"/>
      <c r="AF2771" s="4"/>
      <c r="AG2771" s="4"/>
      <c r="AH2771" s="4"/>
      <c r="AI2771" s="4"/>
      <c r="AJ2771" s="13" t="n">
        <v>0</v>
      </c>
      <c r="AK2771" s="4"/>
      <c r="AL2771" s="4"/>
      <c r="AM2771" s="4"/>
    </row>
    <row r="2772" customFormat="false" ht="23.85" hidden="false" customHeight="false" outlineLevel="0" collapsed="false">
      <c r="A2772" s="4" t="s">
        <v>3338</v>
      </c>
      <c r="B2772" s="4" t="s">
        <v>3749</v>
      </c>
      <c r="C2772" s="4" t="s">
        <v>3749</v>
      </c>
      <c r="D2772" s="12" t="n">
        <v>2020</v>
      </c>
      <c r="E2772" s="4"/>
      <c r="F2772" s="4" t="s">
        <v>1990</v>
      </c>
      <c r="G2772" s="4" t="s">
        <v>170</v>
      </c>
      <c r="H2772" s="4" t="s">
        <v>171</v>
      </c>
      <c r="I2772" s="4" t="s">
        <v>172</v>
      </c>
      <c r="J2772" s="4" t="s">
        <v>769</v>
      </c>
      <c r="K2772" s="4" t="s">
        <v>86</v>
      </c>
      <c r="L2772" s="4"/>
      <c r="M2772" s="4"/>
      <c r="N2772" s="4" t="s">
        <v>2001</v>
      </c>
      <c r="O2772" s="4" t="s">
        <v>2091</v>
      </c>
      <c r="P2772" s="4" t="s">
        <v>69</v>
      </c>
      <c r="Q2772" s="4" t="s">
        <v>2030</v>
      </c>
      <c r="R2772" s="4"/>
      <c r="S2772" s="4"/>
      <c r="T2772" s="4"/>
      <c r="U2772" s="4"/>
      <c r="V2772" s="4"/>
      <c r="W2772" s="4"/>
      <c r="X2772" s="4"/>
      <c r="Y2772" s="4"/>
      <c r="Z2772" s="4"/>
      <c r="AA2772" s="4"/>
      <c r="AB2772" s="4"/>
      <c r="AC2772" s="4"/>
      <c r="AD2772" s="4"/>
      <c r="AE2772" s="4"/>
      <c r="AF2772" s="4"/>
      <c r="AG2772" s="4"/>
      <c r="AH2772" s="4"/>
      <c r="AI2772" s="4"/>
      <c r="AJ2772" s="13" t="n">
        <v>0</v>
      </c>
      <c r="AK2772" s="4"/>
      <c r="AL2772" s="4"/>
      <c r="AM2772" s="4"/>
    </row>
    <row r="2773" customFormat="false" ht="23.85" hidden="false" customHeight="false" outlineLevel="0" collapsed="false">
      <c r="A2773" s="4" t="s">
        <v>3338</v>
      </c>
      <c r="B2773" s="4" t="s">
        <v>3750</v>
      </c>
      <c r="C2773" s="4" t="s">
        <v>3750</v>
      </c>
      <c r="D2773" s="12" t="n">
        <v>2020</v>
      </c>
      <c r="E2773" s="4"/>
      <c r="F2773" s="4" t="s">
        <v>1990</v>
      </c>
      <c r="G2773" s="4" t="s">
        <v>170</v>
      </c>
      <c r="H2773" s="4" t="s">
        <v>171</v>
      </c>
      <c r="I2773" s="4" t="s">
        <v>172</v>
      </c>
      <c r="J2773" s="4" t="s">
        <v>770</v>
      </c>
      <c r="K2773" s="4" t="s">
        <v>86</v>
      </c>
      <c r="L2773" s="4"/>
      <c r="M2773" s="4"/>
      <c r="N2773" s="4" t="s">
        <v>2001</v>
      </c>
      <c r="O2773" s="4" t="s">
        <v>2034</v>
      </c>
      <c r="P2773" s="4" t="s">
        <v>74</v>
      </c>
      <c r="Q2773" s="4" t="s">
        <v>2035</v>
      </c>
      <c r="R2773" s="4"/>
      <c r="S2773" s="4"/>
      <c r="T2773" s="4"/>
      <c r="U2773" s="4"/>
      <c r="V2773" s="4"/>
      <c r="W2773" s="4"/>
      <c r="X2773" s="4"/>
      <c r="Y2773" s="4"/>
      <c r="Z2773" s="4"/>
      <c r="AA2773" s="4"/>
      <c r="AB2773" s="4"/>
      <c r="AC2773" s="4"/>
      <c r="AD2773" s="4"/>
      <c r="AE2773" s="4"/>
      <c r="AF2773" s="4"/>
      <c r="AG2773" s="4"/>
      <c r="AH2773" s="4"/>
      <c r="AI2773" s="4"/>
      <c r="AJ2773" s="13" t="n">
        <v>0</v>
      </c>
      <c r="AK2773" s="4"/>
      <c r="AL2773" s="4"/>
      <c r="AM2773" s="4"/>
    </row>
    <row r="2774" customFormat="false" ht="23.85" hidden="false" customHeight="false" outlineLevel="0" collapsed="false">
      <c r="A2774" s="4" t="s">
        <v>3338</v>
      </c>
      <c r="B2774" s="4" t="s">
        <v>3751</v>
      </c>
      <c r="C2774" s="4" t="s">
        <v>3751</v>
      </c>
      <c r="D2774" s="12" t="n">
        <v>2020</v>
      </c>
      <c r="E2774" s="4"/>
      <c r="F2774" s="4" t="s">
        <v>1990</v>
      </c>
      <c r="G2774" s="4" t="s">
        <v>170</v>
      </c>
      <c r="H2774" s="4" t="s">
        <v>171</v>
      </c>
      <c r="I2774" s="4" t="s">
        <v>172</v>
      </c>
      <c r="J2774" s="4" t="s">
        <v>771</v>
      </c>
      <c r="K2774" s="4" t="s">
        <v>86</v>
      </c>
      <c r="L2774" s="4"/>
      <c r="M2774" s="4"/>
      <c r="N2774" s="4" t="s">
        <v>2001</v>
      </c>
      <c r="O2774" s="4" t="s">
        <v>2002</v>
      </c>
      <c r="P2774" s="4" t="s">
        <v>67</v>
      </c>
      <c r="Q2774" s="4" t="s">
        <v>2097</v>
      </c>
      <c r="R2774" s="4"/>
      <c r="S2774" s="4"/>
      <c r="T2774" s="4"/>
      <c r="U2774" s="4"/>
      <c r="V2774" s="4"/>
      <c r="W2774" s="4" t="s">
        <v>3395</v>
      </c>
      <c r="X2774" s="4" t="s">
        <v>3396</v>
      </c>
      <c r="Y2774" s="4" t="s">
        <v>3397</v>
      </c>
      <c r="Z2774" s="4"/>
      <c r="AA2774" s="4"/>
      <c r="AB2774" s="4"/>
      <c r="AC2774" s="4" t="s">
        <v>3352</v>
      </c>
      <c r="AD2774" s="4"/>
      <c r="AE2774" s="4"/>
      <c r="AF2774" s="4"/>
      <c r="AG2774" s="4"/>
      <c r="AH2774" s="4"/>
      <c r="AI2774" s="4"/>
      <c r="AJ2774" s="13" t="n">
        <v>1</v>
      </c>
      <c r="AK2774" s="4"/>
      <c r="AL2774" s="4"/>
      <c r="AM2774" s="4"/>
    </row>
    <row r="2775" customFormat="false" ht="23.85" hidden="false" customHeight="false" outlineLevel="0" collapsed="false">
      <c r="A2775" s="4" t="s">
        <v>3338</v>
      </c>
      <c r="B2775" s="4" t="s">
        <v>3752</v>
      </c>
      <c r="C2775" s="4" t="s">
        <v>3752</v>
      </c>
      <c r="D2775" s="12" t="n">
        <v>2020</v>
      </c>
      <c r="E2775" s="4"/>
      <c r="F2775" s="4" t="s">
        <v>1990</v>
      </c>
      <c r="G2775" s="4" t="s">
        <v>170</v>
      </c>
      <c r="H2775" s="4" t="s">
        <v>171</v>
      </c>
      <c r="I2775" s="4" t="s">
        <v>172</v>
      </c>
      <c r="J2775" s="4" t="s">
        <v>781</v>
      </c>
      <c r="K2775" s="4" t="s">
        <v>88</v>
      </c>
      <c r="L2775" s="4"/>
      <c r="M2775" s="4"/>
      <c r="N2775" s="4" t="s">
        <v>1994</v>
      </c>
      <c r="O2775" s="4" t="s">
        <v>65</v>
      </c>
      <c r="P2775" s="4" t="s">
        <v>64</v>
      </c>
      <c r="Q2775" s="4" t="s">
        <v>2044</v>
      </c>
      <c r="R2775" s="4"/>
      <c r="S2775" s="4"/>
      <c r="T2775" s="4"/>
      <c r="U2775" s="4"/>
      <c r="V2775" s="4"/>
      <c r="W2775" s="4"/>
      <c r="X2775" s="4"/>
      <c r="Y2775" s="4"/>
      <c r="Z2775" s="4"/>
      <c r="AA2775" s="4"/>
      <c r="AB2775" s="4"/>
      <c r="AC2775" s="4"/>
      <c r="AD2775" s="4"/>
      <c r="AE2775" s="4"/>
      <c r="AF2775" s="4"/>
      <c r="AG2775" s="4"/>
      <c r="AH2775" s="4"/>
      <c r="AI2775" s="4"/>
      <c r="AJ2775" s="13" t="n">
        <v>0</v>
      </c>
      <c r="AK2775" s="4"/>
      <c r="AL2775" s="4"/>
      <c r="AM2775" s="4"/>
    </row>
    <row r="2776" customFormat="false" ht="23.85" hidden="false" customHeight="false" outlineLevel="0" collapsed="false">
      <c r="A2776" s="4" t="s">
        <v>3338</v>
      </c>
      <c r="B2776" s="4" t="s">
        <v>3753</v>
      </c>
      <c r="C2776" s="4" t="s">
        <v>3753</v>
      </c>
      <c r="D2776" s="12" t="n">
        <v>2020</v>
      </c>
      <c r="E2776" s="4"/>
      <c r="F2776" s="4" t="s">
        <v>1990</v>
      </c>
      <c r="G2776" s="4" t="s">
        <v>170</v>
      </c>
      <c r="H2776" s="4" t="s">
        <v>171</v>
      </c>
      <c r="I2776" s="4" t="s">
        <v>172</v>
      </c>
      <c r="J2776" s="4" t="s">
        <v>786</v>
      </c>
      <c r="K2776" s="4" t="s">
        <v>88</v>
      </c>
      <c r="L2776" s="4"/>
      <c r="M2776" s="4"/>
      <c r="N2776" s="4" t="s">
        <v>2001</v>
      </c>
      <c r="O2776" s="4" t="s">
        <v>66</v>
      </c>
      <c r="P2776" s="4" t="s">
        <v>67</v>
      </c>
      <c r="Q2776" s="4" t="s">
        <v>2003</v>
      </c>
      <c r="R2776" s="4"/>
      <c r="S2776" s="4"/>
      <c r="T2776" s="4"/>
      <c r="U2776" s="4"/>
      <c r="V2776" s="4"/>
      <c r="W2776" s="4" t="s">
        <v>3341</v>
      </c>
      <c r="X2776" s="4" t="s">
        <v>3342</v>
      </c>
      <c r="Y2776" s="4" t="s">
        <v>3362</v>
      </c>
      <c r="Z2776" s="4"/>
      <c r="AA2776" s="4"/>
      <c r="AB2776" s="4"/>
      <c r="AC2776" s="4" t="s">
        <v>3363</v>
      </c>
      <c r="AD2776" s="4"/>
      <c r="AE2776" s="4"/>
      <c r="AF2776" s="4"/>
      <c r="AG2776" s="4"/>
      <c r="AH2776" s="4"/>
      <c r="AI2776" s="4"/>
      <c r="AJ2776" s="13" t="n">
        <v>1</v>
      </c>
      <c r="AK2776" s="4"/>
      <c r="AL2776" s="4"/>
      <c r="AM2776" s="4"/>
    </row>
    <row r="2777" customFormat="false" ht="23.85" hidden="false" customHeight="false" outlineLevel="0" collapsed="false">
      <c r="A2777" s="4" t="s">
        <v>3338</v>
      </c>
      <c r="B2777" s="4" t="s">
        <v>3754</v>
      </c>
      <c r="C2777" s="4" t="s">
        <v>3754</v>
      </c>
      <c r="D2777" s="12" t="n">
        <v>2020</v>
      </c>
      <c r="E2777" s="4"/>
      <c r="F2777" s="4" t="s">
        <v>1990</v>
      </c>
      <c r="G2777" s="4" t="s">
        <v>170</v>
      </c>
      <c r="H2777" s="4" t="s">
        <v>171</v>
      </c>
      <c r="I2777" s="4" t="s">
        <v>172</v>
      </c>
      <c r="J2777" s="4" t="s">
        <v>796</v>
      </c>
      <c r="K2777" s="4" t="s">
        <v>95</v>
      </c>
      <c r="L2777" s="4"/>
      <c r="M2777" s="4"/>
      <c r="N2777" s="4" t="s">
        <v>1994</v>
      </c>
      <c r="O2777" s="4" t="s">
        <v>2029</v>
      </c>
      <c r="P2777" s="4" t="s">
        <v>69</v>
      </c>
      <c r="Q2777" s="4" t="s">
        <v>2030</v>
      </c>
      <c r="R2777" s="4"/>
      <c r="S2777" s="4"/>
      <c r="T2777" s="4"/>
      <c r="U2777" s="4"/>
      <c r="V2777" s="4"/>
      <c r="W2777" s="4"/>
      <c r="X2777" s="4"/>
      <c r="Y2777" s="4"/>
      <c r="Z2777" s="4"/>
      <c r="AA2777" s="4"/>
      <c r="AB2777" s="4"/>
      <c r="AC2777" s="4"/>
      <c r="AD2777" s="4"/>
      <c r="AE2777" s="4"/>
      <c r="AF2777" s="4"/>
      <c r="AG2777" s="4"/>
      <c r="AH2777" s="4"/>
      <c r="AI2777" s="4"/>
      <c r="AJ2777" s="13" t="n">
        <v>0</v>
      </c>
      <c r="AK2777" s="4"/>
      <c r="AL2777" s="4"/>
      <c r="AM2777" s="4"/>
    </row>
    <row r="2778" customFormat="false" ht="23.85" hidden="false" customHeight="false" outlineLevel="0" collapsed="false">
      <c r="A2778" s="4" t="s">
        <v>3338</v>
      </c>
      <c r="B2778" s="4" t="s">
        <v>3755</v>
      </c>
      <c r="C2778" s="4" t="s">
        <v>3755</v>
      </c>
      <c r="D2778" s="12" t="n">
        <v>2020</v>
      </c>
      <c r="E2778" s="4"/>
      <c r="F2778" s="4" t="s">
        <v>1990</v>
      </c>
      <c r="G2778" s="4" t="s">
        <v>170</v>
      </c>
      <c r="H2778" s="4" t="s">
        <v>171</v>
      </c>
      <c r="I2778" s="4" t="s">
        <v>172</v>
      </c>
      <c r="J2778" s="4" t="s">
        <v>798</v>
      </c>
      <c r="K2778" s="4" t="s">
        <v>95</v>
      </c>
      <c r="L2778" s="4"/>
      <c r="M2778" s="4"/>
      <c r="N2778" s="4" t="s">
        <v>2001</v>
      </c>
      <c r="O2778" s="4" t="s">
        <v>2034</v>
      </c>
      <c r="P2778" s="4" t="s">
        <v>74</v>
      </c>
      <c r="Q2778" s="4" t="s">
        <v>2035</v>
      </c>
      <c r="R2778" s="4"/>
      <c r="S2778" s="4"/>
      <c r="T2778" s="4"/>
      <c r="U2778" s="4"/>
      <c r="V2778" s="4"/>
      <c r="W2778" s="4"/>
      <c r="X2778" s="4"/>
      <c r="Y2778" s="4"/>
      <c r="Z2778" s="4"/>
      <c r="AA2778" s="4"/>
      <c r="AB2778" s="4"/>
      <c r="AC2778" s="4"/>
      <c r="AD2778" s="4"/>
      <c r="AE2778" s="4"/>
      <c r="AF2778" s="4"/>
      <c r="AG2778" s="4"/>
      <c r="AH2778" s="4"/>
      <c r="AI2778" s="4"/>
      <c r="AJ2778" s="13" t="n">
        <v>0</v>
      </c>
      <c r="AK2778" s="4"/>
      <c r="AL2778" s="4"/>
      <c r="AM2778" s="4"/>
    </row>
    <row r="2779" customFormat="false" ht="23.85" hidden="false" customHeight="false" outlineLevel="0" collapsed="false">
      <c r="A2779" s="4" t="s">
        <v>3338</v>
      </c>
      <c r="B2779" s="4" t="s">
        <v>3756</v>
      </c>
      <c r="C2779" s="4" t="s">
        <v>3756</v>
      </c>
      <c r="D2779" s="12" t="n">
        <v>2020</v>
      </c>
      <c r="E2779" s="4"/>
      <c r="F2779" s="4" t="s">
        <v>1990</v>
      </c>
      <c r="G2779" s="4" t="s">
        <v>170</v>
      </c>
      <c r="H2779" s="4" t="s">
        <v>171</v>
      </c>
      <c r="I2779" s="4" t="s">
        <v>172</v>
      </c>
      <c r="J2779" s="4" t="s">
        <v>806</v>
      </c>
      <c r="K2779" s="4" t="s">
        <v>95</v>
      </c>
      <c r="L2779" s="4"/>
      <c r="M2779" s="4"/>
      <c r="N2779" s="4" t="s">
        <v>2001</v>
      </c>
      <c r="O2779" s="4" t="s">
        <v>2002</v>
      </c>
      <c r="P2779" s="4" t="s">
        <v>68</v>
      </c>
      <c r="Q2779" s="4" t="s">
        <v>2111</v>
      </c>
      <c r="R2779" s="4"/>
      <c r="S2779" s="4"/>
      <c r="T2779" s="4"/>
      <c r="U2779" s="4"/>
      <c r="V2779" s="4"/>
      <c r="W2779" s="4" t="s">
        <v>3404</v>
      </c>
      <c r="X2779" s="4" t="s">
        <v>3405</v>
      </c>
      <c r="Y2779" s="4" t="inlineStr">
        <is>
          <t>COMB_COQUE</t>
        </is>
      </c>
      <c r="Z2779" s="4"/>
      <c r="AA2779" s="4"/>
      <c r="AB2779" s="4"/>
      <c r="AC2779" s="4" t="s">
        <v>3352</v>
      </c>
      <c r="AD2779" s="4"/>
      <c r="AE2779" s="4"/>
      <c r="AF2779" s="4"/>
      <c r="AG2779" s="4"/>
      <c r="AH2779" s="4"/>
      <c r="AI2779" s="4"/>
      <c r="AJ2779" s="13" t="n">
        <v>1</v>
      </c>
      <c r="AK2779" s="4"/>
      <c r="AL2779" s="4"/>
      <c r="AM2779" s="4"/>
    </row>
    <row r="2780" customFormat="false" ht="23.85" hidden="false" customHeight="false" outlineLevel="0" collapsed="false">
      <c r="A2780" s="4" t="s">
        <v>3338</v>
      </c>
      <c r="B2780" s="4" t="s">
        <v>3757</v>
      </c>
      <c r="C2780" s="4" t="s">
        <v>3757</v>
      </c>
      <c r="D2780" s="12" t="n">
        <v>2020</v>
      </c>
      <c r="E2780" s="4"/>
      <c r="F2780" s="4" t="s">
        <v>1990</v>
      </c>
      <c r="G2780" s="4" t="s">
        <v>170</v>
      </c>
      <c r="H2780" s="4" t="s">
        <v>171</v>
      </c>
      <c r="I2780" s="4" t="s">
        <v>172</v>
      </c>
      <c r="J2780" s="4" t="s">
        <v>810</v>
      </c>
      <c r="K2780" s="4" t="s">
        <v>97</v>
      </c>
      <c r="L2780" s="4"/>
      <c r="M2780" s="4"/>
      <c r="N2780" s="4" t="s">
        <v>1994</v>
      </c>
      <c r="O2780" s="4" t="s">
        <v>2029</v>
      </c>
      <c r="P2780" s="4" t="s">
        <v>69</v>
      </c>
      <c r="Q2780" s="4" t="s">
        <v>2030</v>
      </c>
      <c r="R2780" s="4"/>
      <c r="S2780" s="4"/>
      <c r="T2780" s="4"/>
      <c r="U2780" s="4"/>
      <c r="V2780" s="4"/>
      <c r="W2780" s="4"/>
      <c r="X2780" s="4"/>
      <c r="Y2780" s="4"/>
      <c r="Z2780" s="4"/>
      <c r="AA2780" s="4"/>
      <c r="AB2780" s="4"/>
      <c r="AC2780" s="4"/>
      <c r="AD2780" s="4"/>
      <c r="AE2780" s="4"/>
      <c r="AF2780" s="4"/>
      <c r="AG2780" s="4"/>
      <c r="AH2780" s="4"/>
      <c r="AI2780" s="4"/>
      <c r="AJ2780" s="13" t="n">
        <v>0</v>
      </c>
      <c r="AK2780" s="4"/>
      <c r="AL2780" s="4"/>
      <c r="AM2780" s="4"/>
    </row>
    <row r="2781" customFormat="false" ht="23.85" hidden="false" customHeight="false" outlineLevel="0" collapsed="false">
      <c r="A2781" s="4" t="s">
        <v>3338</v>
      </c>
      <c r="B2781" s="4" t="s">
        <v>3758</v>
      </c>
      <c r="C2781" s="4" t="s">
        <v>3758</v>
      </c>
      <c r="D2781" s="12" t="n">
        <v>2020</v>
      </c>
      <c r="E2781" s="4"/>
      <c r="F2781" s="4" t="s">
        <v>1990</v>
      </c>
      <c r="G2781" s="4" t="s">
        <v>170</v>
      </c>
      <c r="H2781" s="4" t="s">
        <v>171</v>
      </c>
      <c r="I2781" s="4" t="s">
        <v>172</v>
      </c>
      <c r="J2781" s="4" t="s">
        <v>811</v>
      </c>
      <c r="K2781" s="4" t="s">
        <v>97</v>
      </c>
      <c r="L2781" s="4"/>
      <c r="M2781" s="4"/>
      <c r="N2781" s="4" t="s">
        <v>2001</v>
      </c>
      <c r="O2781" s="4" t="s">
        <v>2091</v>
      </c>
      <c r="P2781" s="4" t="s">
        <v>69</v>
      </c>
      <c r="Q2781" s="4" t="s">
        <v>2030</v>
      </c>
      <c r="R2781" s="4"/>
      <c r="S2781" s="4"/>
      <c r="T2781" s="4"/>
      <c r="U2781" s="4"/>
      <c r="V2781" s="4"/>
      <c r="W2781" s="4"/>
      <c r="X2781" s="4"/>
      <c r="Y2781" s="4"/>
      <c r="Z2781" s="4"/>
      <c r="AA2781" s="4"/>
      <c r="AB2781" s="4"/>
      <c r="AC2781" s="4"/>
      <c r="AD2781" s="4"/>
      <c r="AE2781" s="4"/>
      <c r="AF2781" s="4"/>
      <c r="AG2781" s="4"/>
      <c r="AH2781" s="4"/>
      <c r="AI2781" s="4"/>
      <c r="AJ2781" s="13" t="n">
        <v>0</v>
      </c>
      <c r="AK2781" s="4"/>
      <c r="AL2781" s="4"/>
      <c r="AM2781" s="4"/>
    </row>
    <row r="2782" customFormat="false" ht="23.85" hidden="false" customHeight="false" outlineLevel="0" collapsed="false">
      <c r="A2782" s="4" t="s">
        <v>3338</v>
      </c>
      <c r="B2782" s="4" t="s">
        <v>3759</v>
      </c>
      <c r="C2782" s="4" t="s">
        <v>3759</v>
      </c>
      <c r="D2782" s="12" t="n">
        <v>2020</v>
      </c>
      <c r="E2782" s="4"/>
      <c r="F2782" s="4" t="s">
        <v>1990</v>
      </c>
      <c r="G2782" s="4" t="s">
        <v>170</v>
      </c>
      <c r="H2782" s="4" t="s">
        <v>171</v>
      </c>
      <c r="I2782" s="4" t="s">
        <v>172</v>
      </c>
      <c r="J2782" s="4" t="s">
        <v>812</v>
      </c>
      <c r="K2782" s="4" t="s">
        <v>97</v>
      </c>
      <c r="L2782" s="4"/>
      <c r="M2782" s="4"/>
      <c r="N2782" s="4" t="s">
        <v>2001</v>
      </c>
      <c r="O2782" s="4" t="s">
        <v>2034</v>
      </c>
      <c r="P2782" s="4" t="s">
        <v>74</v>
      </c>
      <c r="Q2782" s="4" t="s">
        <v>2035</v>
      </c>
      <c r="R2782" s="4"/>
      <c r="S2782" s="4"/>
      <c r="T2782" s="4"/>
      <c r="U2782" s="4"/>
      <c r="V2782" s="4"/>
      <c r="W2782" s="4"/>
      <c r="X2782" s="4"/>
      <c r="Y2782" s="4"/>
      <c r="Z2782" s="4"/>
      <c r="AA2782" s="4"/>
      <c r="AB2782" s="4"/>
      <c r="AC2782" s="4"/>
      <c r="AD2782" s="4"/>
      <c r="AE2782" s="4"/>
      <c r="AF2782" s="4"/>
      <c r="AG2782" s="4"/>
      <c r="AH2782" s="4"/>
      <c r="AI2782" s="4"/>
      <c r="AJ2782" s="13" t="n">
        <v>0</v>
      </c>
      <c r="AK2782" s="4"/>
      <c r="AL2782" s="4"/>
      <c r="AM2782" s="4"/>
    </row>
    <row r="2783" customFormat="false" ht="23.85" hidden="false" customHeight="false" outlineLevel="0" collapsed="false">
      <c r="A2783" s="4" t="s">
        <v>3338</v>
      </c>
      <c r="B2783" s="4" t="s">
        <v>3760</v>
      </c>
      <c r="C2783" s="4" t="s">
        <v>3760</v>
      </c>
      <c r="D2783" s="12" t="n">
        <v>2020</v>
      </c>
      <c r="E2783" s="4"/>
      <c r="F2783" s="4" t="s">
        <v>1990</v>
      </c>
      <c r="G2783" s="4" t="s">
        <v>170</v>
      </c>
      <c r="H2783" s="4" t="s">
        <v>171</v>
      </c>
      <c r="I2783" s="4" t="s">
        <v>172</v>
      </c>
      <c r="J2783" s="4" t="s">
        <v>814</v>
      </c>
      <c r="K2783" s="4" t="s">
        <v>97</v>
      </c>
      <c r="L2783" s="4"/>
      <c r="M2783" s="4"/>
      <c r="N2783" s="4" t="s">
        <v>2001</v>
      </c>
      <c r="O2783" s="4" t="s">
        <v>2002</v>
      </c>
      <c r="P2783" s="4" t="s">
        <v>67</v>
      </c>
      <c r="Q2783" s="4" t="s">
        <v>2003</v>
      </c>
      <c r="R2783" s="4"/>
      <c r="S2783" s="4"/>
      <c r="T2783" s="4"/>
      <c r="U2783" s="4"/>
      <c r="V2783" s="4"/>
      <c r="W2783" s="4" t="s">
        <v>3341</v>
      </c>
      <c r="X2783" s="4" t="s">
        <v>3342</v>
      </c>
      <c r="Y2783" s="4" t="inlineStr">
        <is>
          <t>COMB_DOIL</t>
        </is>
      </c>
      <c r="Z2783" s="4"/>
      <c r="AA2783" s="4"/>
      <c r="AB2783" s="4"/>
      <c r="AC2783" s="4" t="s">
        <v>3352</v>
      </c>
      <c r="AD2783" s="4"/>
      <c r="AE2783" s="4"/>
      <c r="AF2783" s="4"/>
      <c r="AG2783" s="4"/>
      <c r="AH2783" s="4"/>
      <c r="AI2783" s="4"/>
      <c r="AJ2783" s="13" t="n">
        <v>1</v>
      </c>
      <c r="AK2783" s="4"/>
      <c r="AL2783" s="4"/>
      <c r="AM2783" s="4"/>
    </row>
    <row r="2784" customFormat="false" ht="23.85" hidden="false" customHeight="false" outlineLevel="0" collapsed="false">
      <c r="A2784" s="4" t="s">
        <v>3338</v>
      </c>
      <c r="B2784" s="4" t="s">
        <v>3761</v>
      </c>
      <c r="C2784" s="4" t="s">
        <v>3761</v>
      </c>
      <c r="D2784" s="12" t="n">
        <v>2020</v>
      </c>
      <c r="E2784" s="4"/>
      <c r="F2784" s="4" t="s">
        <v>1990</v>
      </c>
      <c r="G2784" s="4" t="s">
        <v>170</v>
      </c>
      <c r="H2784" s="4" t="s">
        <v>171</v>
      </c>
      <c r="I2784" s="4" t="s">
        <v>172</v>
      </c>
      <c r="J2784" s="4" t="s">
        <v>817</v>
      </c>
      <c r="K2784" s="4" t="s">
        <v>97</v>
      </c>
      <c r="L2784" s="4"/>
      <c r="M2784" s="4"/>
      <c r="N2784" s="4" t="s">
        <v>2001</v>
      </c>
      <c r="O2784" s="4" t="s">
        <v>2002</v>
      </c>
      <c r="P2784" s="4" t="s">
        <v>71</v>
      </c>
      <c r="Q2784" s="4" t="s">
        <v>2123</v>
      </c>
      <c r="R2784" s="4"/>
      <c r="S2784" s="4"/>
      <c r="T2784" s="4"/>
      <c r="U2784" s="4"/>
      <c r="V2784" s="4"/>
      <c r="W2784" s="4" t="s">
        <v>3412</v>
      </c>
      <c r="X2784" s="4" t="s">
        <v>3413</v>
      </c>
      <c r="Y2784" s="4" t="inlineStr">
        <is>
          <t>COMB_DOIL</t>
        </is>
      </c>
      <c r="Z2784" s="4"/>
      <c r="AA2784" s="4"/>
      <c r="AB2784" s="4"/>
      <c r="AC2784" s="4" t="s">
        <v>3352</v>
      </c>
      <c r="AD2784" s="4"/>
      <c r="AE2784" s="4"/>
      <c r="AF2784" s="4"/>
      <c r="AG2784" s="4"/>
      <c r="AH2784" s="4"/>
      <c r="AI2784" s="4"/>
      <c r="AJ2784" s="13" t="n">
        <v>1</v>
      </c>
      <c r="AK2784" s="4"/>
      <c r="AL2784" s="4"/>
      <c r="AM2784" s="4"/>
    </row>
    <row r="2785" customFormat="false" ht="23.85" hidden="false" customHeight="false" outlineLevel="0" collapsed="false">
      <c r="A2785" s="4" t="s">
        <v>3338</v>
      </c>
      <c r="B2785" s="4" t="s">
        <v>3762</v>
      </c>
      <c r="C2785" s="4" t="s">
        <v>3762</v>
      </c>
      <c r="D2785" s="12" t="n">
        <v>2020</v>
      </c>
      <c r="E2785" s="4"/>
      <c r="F2785" s="4" t="s">
        <v>1990</v>
      </c>
      <c r="G2785" s="4" t="s">
        <v>170</v>
      </c>
      <c r="H2785" s="4" t="s">
        <v>171</v>
      </c>
      <c r="I2785" s="4" t="s">
        <v>172</v>
      </c>
      <c r="J2785" s="4" t="s">
        <v>820</v>
      </c>
      <c r="K2785" s="4" t="s">
        <v>97</v>
      </c>
      <c r="L2785" s="4"/>
      <c r="M2785" s="4"/>
      <c r="N2785" s="4" t="s">
        <v>2001</v>
      </c>
      <c r="O2785" s="4" t="s">
        <v>2002</v>
      </c>
      <c r="P2785" s="4" t="s">
        <v>68</v>
      </c>
      <c r="Q2785" s="4" t="s">
        <v>2111</v>
      </c>
      <c r="R2785" s="4"/>
      <c r="S2785" s="4"/>
      <c r="T2785" s="4"/>
      <c r="U2785" s="4"/>
      <c r="V2785" s="4"/>
      <c r="W2785" s="4" t="s">
        <v>3404</v>
      </c>
      <c r="X2785" s="4" t="s">
        <v>3405</v>
      </c>
      <c r="Y2785" s="4" t="inlineStr">
        <is>
          <t>COMB_DOIL</t>
        </is>
      </c>
      <c r="Z2785" s="4"/>
      <c r="AA2785" s="4"/>
      <c r="AB2785" s="4"/>
      <c r="AC2785" s="4" t="s">
        <v>3352</v>
      </c>
      <c r="AD2785" s="4"/>
      <c r="AE2785" s="4"/>
      <c r="AF2785" s="4"/>
      <c r="AG2785" s="4"/>
      <c r="AH2785" s="4"/>
      <c r="AI2785" s="4"/>
      <c r="AJ2785" s="13" t="n">
        <v>1</v>
      </c>
      <c r="AK2785" s="4"/>
      <c r="AL2785" s="4"/>
      <c r="AM2785" s="4"/>
    </row>
    <row r="2786" customFormat="false" ht="23.85" hidden="false" customHeight="false" outlineLevel="0" collapsed="false">
      <c r="A2786" s="4" t="s">
        <v>3338</v>
      </c>
      <c r="B2786" s="4" t="s">
        <v>3763</v>
      </c>
      <c r="C2786" s="4" t="s">
        <v>3763</v>
      </c>
      <c r="D2786" s="12" t="n">
        <v>2020</v>
      </c>
      <c r="E2786" s="4"/>
      <c r="F2786" s="4" t="s">
        <v>1990</v>
      </c>
      <c r="G2786" s="4" t="s">
        <v>170</v>
      </c>
      <c r="H2786" s="4" t="s">
        <v>171</v>
      </c>
      <c r="I2786" s="4" t="s">
        <v>172</v>
      </c>
      <c r="J2786" s="4" t="s">
        <v>824</v>
      </c>
      <c r="K2786" s="4" t="s">
        <v>99</v>
      </c>
      <c r="L2786" s="4"/>
      <c r="M2786" s="4"/>
      <c r="N2786" s="4" t="s">
        <v>1994</v>
      </c>
      <c r="O2786" s="4" t="s">
        <v>2029</v>
      </c>
      <c r="P2786" s="4" t="s">
        <v>69</v>
      </c>
      <c r="Q2786" s="4" t="s">
        <v>2030</v>
      </c>
      <c r="R2786" s="4"/>
      <c r="S2786" s="4"/>
      <c r="T2786" s="4"/>
      <c r="U2786" s="4"/>
      <c r="V2786" s="4"/>
      <c r="W2786" s="4"/>
      <c r="X2786" s="4"/>
      <c r="Y2786" s="4"/>
      <c r="Z2786" s="4"/>
      <c r="AA2786" s="4"/>
      <c r="AB2786" s="4"/>
      <c r="AC2786" s="4"/>
      <c r="AD2786" s="4"/>
      <c r="AE2786" s="4"/>
      <c r="AF2786" s="4"/>
      <c r="AG2786" s="4"/>
      <c r="AH2786" s="4"/>
      <c r="AI2786" s="4"/>
      <c r="AJ2786" s="13" t="n">
        <v>0</v>
      </c>
      <c r="AK2786" s="4"/>
      <c r="AL2786" s="4"/>
      <c r="AM2786" s="4"/>
    </row>
    <row r="2787" customFormat="false" ht="23.85" hidden="false" customHeight="false" outlineLevel="0" collapsed="false">
      <c r="A2787" s="4" t="s">
        <v>3338</v>
      </c>
      <c r="B2787" s="4" t="s">
        <v>3764</v>
      </c>
      <c r="C2787" s="4" t="s">
        <v>3764</v>
      </c>
      <c r="D2787" s="12" t="n">
        <v>2020</v>
      </c>
      <c r="E2787" s="4"/>
      <c r="F2787" s="4" t="s">
        <v>1990</v>
      </c>
      <c r="G2787" s="4" t="s">
        <v>170</v>
      </c>
      <c r="H2787" s="4" t="s">
        <v>171</v>
      </c>
      <c r="I2787" s="4" t="s">
        <v>172</v>
      </c>
      <c r="J2787" s="4" t="s">
        <v>825</v>
      </c>
      <c r="K2787" s="4" t="s">
        <v>99</v>
      </c>
      <c r="L2787" s="4"/>
      <c r="M2787" s="4"/>
      <c r="N2787" s="4" t="s">
        <v>2001</v>
      </c>
      <c r="O2787" s="4" t="s">
        <v>2091</v>
      </c>
      <c r="P2787" s="4" t="s">
        <v>69</v>
      </c>
      <c r="Q2787" s="4" t="s">
        <v>2030</v>
      </c>
      <c r="R2787" s="4"/>
      <c r="S2787" s="4"/>
      <c r="T2787" s="4"/>
      <c r="U2787" s="4"/>
      <c r="V2787" s="4"/>
      <c r="W2787" s="4"/>
      <c r="X2787" s="4"/>
      <c r="Y2787" s="4"/>
      <c r="Z2787" s="4"/>
      <c r="AA2787" s="4"/>
      <c r="AB2787" s="4"/>
      <c r="AC2787" s="4"/>
      <c r="AD2787" s="4"/>
      <c r="AE2787" s="4"/>
      <c r="AF2787" s="4"/>
      <c r="AG2787" s="4"/>
      <c r="AH2787" s="4"/>
      <c r="AI2787" s="4"/>
      <c r="AJ2787" s="13" t="n">
        <v>0</v>
      </c>
      <c r="AK2787" s="4"/>
      <c r="AL2787" s="4"/>
      <c r="AM2787" s="4"/>
    </row>
    <row r="2788" customFormat="false" ht="23.85" hidden="false" customHeight="false" outlineLevel="0" collapsed="false">
      <c r="A2788" s="4" t="s">
        <v>3338</v>
      </c>
      <c r="B2788" s="4" t="s">
        <v>3765</v>
      </c>
      <c r="C2788" s="4" t="s">
        <v>3765</v>
      </c>
      <c r="D2788" s="12" t="n">
        <v>2020</v>
      </c>
      <c r="E2788" s="4"/>
      <c r="F2788" s="4" t="s">
        <v>1990</v>
      </c>
      <c r="G2788" s="4" t="s">
        <v>170</v>
      </c>
      <c r="H2788" s="4" t="s">
        <v>171</v>
      </c>
      <c r="I2788" s="4" t="s">
        <v>172</v>
      </c>
      <c r="J2788" s="4" t="s">
        <v>828</v>
      </c>
      <c r="K2788" s="4" t="s">
        <v>99</v>
      </c>
      <c r="L2788" s="4"/>
      <c r="M2788" s="4"/>
      <c r="N2788" s="4" t="s">
        <v>1994</v>
      </c>
      <c r="O2788" s="4" t="s">
        <v>1995</v>
      </c>
      <c r="P2788" s="4" t="s">
        <v>67</v>
      </c>
      <c r="Q2788" s="4" t="s">
        <v>2003</v>
      </c>
      <c r="R2788" s="4"/>
      <c r="S2788" s="4"/>
      <c r="T2788" s="4"/>
      <c r="U2788" s="4"/>
      <c r="V2788" s="4"/>
      <c r="W2788" s="4" t="s">
        <v>3341</v>
      </c>
      <c r="X2788" s="4" t="s">
        <v>3342</v>
      </c>
      <c r="Y2788" s="4" t="s">
        <v>3362</v>
      </c>
      <c r="Z2788" s="4"/>
      <c r="AA2788" s="4"/>
      <c r="AB2788" s="4"/>
      <c r="AC2788" s="4" t="s">
        <v>3363</v>
      </c>
      <c r="AD2788" s="4"/>
      <c r="AE2788" s="4"/>
      <c r="AF2788" s="4"/>
      <c r="AG2788" s="4"/>
      <c r="AH2788" s="4"/>
      <c r="AI2788" s="4"/>
      <c r="AJ2788" s="13" t="n">
        <v>1</v>
      </c>
      <c r="AK2788" s="4"/>
      <c r="AL2788" s="4"/>
      <c r="AM2788" s="4"/>
    </row>
    <row r="2789" customFormat="false" ht="23.85" hidden="false" customHeight="false" outlineLevel="0" collapsed="false">
      <c r="A2789" s="4" t="s">
        <v>3338</v>
      </c>
      <c r="B2789" s="4" t="s">
        <v>3766</v>
      </c>
      <c r="C2789" s="4" t="s">
        <v>3766</v>
      </c>
      <c r="D2789" s="12" t="n">
        <v>2020</v>
      </c>
      <c r="E2789" s="4"/>
      <c r="F2789" s="4" t="s">
        <v>1990</v>
      </c>
      <c r="G2789" s="4" t="s">
        <v>170</v>
      </c>
      <c r="H2789" s="4" t="s">
        <v>171</v>
      </c>
      <c r="I2789" s="4" t="s">
        <v>172</v>
      </c>
      <c r="J2789" s="4" t="s">
        <v>829</v>
      </c>
      <c r="K2789" s="4" t="s">
        <v>99</v>
      </c>
      <c r="L2789" s="4"/>
      <c r="M2789" s="4"/>
      <c r="N2789" s="4" t="s">
        <v>1994</v>
      </c>
      <c r="O2789" s="4" t="s">
        <v>1995</v>
      </c>
      <c r="P2789" s="4" t="s">
        <v>67</v>
      </c>
      <c r="Q2789" s="4" t="s">
        <v>2008</v>
      </c>
      <c r="R2789" s="4"/>
      <c r="S2789" s="4"/>
      <c r="T2789" s="4"/>
      <c r="U2789" s="4"/>
      <c r="V2789" s="4"/>
      <c r="W2789" s="4" t="s">
        <v>3341</v>
      </c>
      <c r="X2789" s="4" t="s">
        <v>3342</v>
      </c>
      <c r="Y2789" s="4" t="s">
        <v>3362</v>
      </c>
      <c r="Z2789" s="4"/>
      <c r="AA2789" s="4"/>
      <c r="AB2789" s="4"/>
      <c r="AC2789" s="4" t="s">
        <v>3363</v>
      </c>
      <c r="AD2789" s="4"/>
      <c r="AE2789" s="4"/>
      <c r="AF2789" s="4"/>
      <c r="AG2789" s="4"/>
      <c r="AH2789" s="4"/>
      <c r="AI2789" s="4"/>
      <c r="AJ2789" s="13" t="n">
        <v>1</v>
      </c>
      <c r="AK2789" s="4"/>
      <c r="AL2789" s="4"/>
      <c r="AM2789" s="4"/>
    </row>
    <row r="2790" customFormat="false" ht="23.85" hidden="false" customHeight="false" outlineLevel="0" collapsed="false">
      <c r="A2790" s="4" t="s">
        <v>3338</v>
      </c>
      <c r="B2790" s="4" t="s">
        <v>3767</v>
      </c>
      <c r="C2790" s="4" t="s">
        <v>3767</v>
      </c>
      <c r="D2790" s="12" t="n">
        <v>2020</v>
      </c>
      <c r="E2790" s="4"/>
      <c r="F2790" s="4" t="s">
        <v>1990</v>
      </c>
      <c r="G2790" s="4" t="s">
        <v>170</v>
      </c>
      <c r="H2790" s="4" t="s">
        <v>171</v>
      </c>
      <c r="I2790" s="4" t="s">
        <v>172</v>
      </c>
      <c r="J2790" s="4" t="s">
        <v>830</v>
      </c>
      <c r="K2790" s="4" t="s">
        <v>99</v>
      </c>
      <c r="L2790" s="4"/>
      <c r="M2790" s="4"/>
      <c r="N2790" s="4" t="s">
        <v>2001</v>
      </c>
      <c r="O2790" s="4" t="s">
        <v>2002</v>
      </c>
      <c r="P2790" s="4" t="s">
        <v>67</v>
      </c>
      <c r="Q2790" s="4" t="s">
        <v>2139</v>
      </c>
      <c r="R2790" s="4"/>
      <c r="S2790" s="4"/>
      <c r="T2790" s="4"/>
      <c r="U2790" s="4"/>
      <c r="V2790" s="4"/>
      <c r="W2790" s="4" t="s">
        <v>3420</v>
      </c>
      <c r="X2790" s="4" t="s">
        <v>3421</v>
      </c>
      <c r="Y2790" s="4" t="s">
        <v>3362</v>
      </c>
      <c r="Z2790" s="4"/>
      <c r="AA2790" s="4"/>
      <c r="AB2790" s="4"/>
      <c r="AC2790" s="4" t="s">
        <v>3363</v>
      </c>
      <c r="AD2790" s="4"/>
      <c r="AE2790" s="4"/>
      <c r="AF2790" s="4"/>
      <c r="AG2790" s="4"/>
      <c r="AH2790" s="4"/>
      <c r="AI2790" s="4"/>
      <c r="AJ2790" s="13" t="n">
        <v>1</v>
      </c>
      <c r="AK2790" s="4"/>
      <c r="AL2790" s="4"/>
      <c r="AM2790" s="4"/>
    </row>
    <row r="2791" customFormat="false" ht="23.85" hidden="false" customHeight="false" outlineLevel="0" collapsed="false">
      <c r="A2791" s="4" t="s">
        <v>3338</v>
      </c>
      <c r="B2791" s="4" t="s">
        <v>3768</v>
      </c>
      <c r="C2791" s="4" t="s">
        <v>3768</v>
      </c>
      <c r="D2791" s="12" t="n">
        <v>2020</v>
      </c>
      <c r="E2791" s="4"/>
      <c r="F2791" s="4" t="s">
        <v>1990</v>
      </c>
      <c r="G2791" s="4" t="s">
        <v>170</v>
      </c>
      <c r="H2791" s="4" t="s">
        <v>171</v>
      </c>
      <c r="I2791" s="4" t="s">
        <v>172</v>
      </c>
      <c r="J2791" s="4" t="s">
        <v>832</v>
      </c>
      <c r="K2791" s="4" t="s">
        <v>99</v>
      </c>
      <c r="L2791" s="4"/>
      <c r="M2791" s="4"/>
      <c r="N2791" s="4" t="s">
        <v>2001</v>
      </c>
      <c r="O2791" s="4" t="s">
        <v>2074</v>
      </c>
      <c r="P2791" s="4" t="s">
        <v>73</v>
      </c>
      <c r="Q2791" s="4" t="s">
        <v>2075</v>
      </c>
      <c r="R2791" s="4"/>
      <c r="S2791" s="4"/>
      <c r="T2791" s="4"/>
      <c r="U2791" s="4"/>
      <c r="V2791" s="4"/>
      <c r="W2791" s="4" t="s">
        <v>3380</v>
      </c>
      <c r="X2791" s="4" t="s">
        <v>3381</v>
      </c>
      <c r="Y2791" s="4" t="s">
        <v>3362</v>
      </c>
      <c r="Z2791" s="4"/>
      <c r="AA2791" s="4"/>
      <c r="AB2791" s="4"/>
      <c r="AC2791" s="4" t="s">
        <v>3363</v>
      </c>
      <c r="AD2791" s="4"/>
      <c r="AE2791" s="4"/>
      <c r="AF2791" s="4"/>
      <c r="AG2791" s="4"/>
      <c r="AH2791" s="4"/>
      <c r="AI2791" s="4"/>
      <c r="AJ2791" s="13" t="n">
        <v>1</v>
      </c>
      <c r="AK2791" s="4"/>
      <c r="AL2791" s="4"/>
      <c r="AM2791" s="4"/>
    </row>
    <row r="2792" customFormat="false" ht="23.85" hidden="false" customHeight="false" outlineLevel="0" collapsed="false">
      <c r="A2792" s="4" t="s">
        <v>3338</v>
      </c>
      <c r="B2792" s="4" t="s">
        <v>3769</v>
      </c>
      <c r="C2792" s="4" t="s">
        <v>3769</v>
      </c>
      <c r="D2792" s="12" t="n">
        <v>2020</v>
      </c>
      <c r="E2792" s="4"/>
      <c r="F2792" s="4" t="s">
        <v>1990</v>
      </c>
      <c r="G2792" s="4" t="s">
        <v>170</v>
      </c>
      <c r="H2792" s="4" t="s">
        <v>171</v>
      </c>
      <c r="I2792" s="4" t="s">
        <v>172</v>
      </c>
      <c r="J2792" s="4" t="s">
        <v>833</v>
      </c>
      <c r="K2792" s="4" t="s">
        <v>99</v>
      </c>
      <c r="L2792" s="4"/>
      <c r="M2792" s="4"/>
      <c r="N2792" s="4" t="s">
        <v>2001</v>
      </c>
      <c r="O2792" s="4" t="s">
        <v>2002</v>
      </c>
      <c r="P2792" s="4" t="s">
        <v>72</v>
      </c>
      <c r="Q2792" s="4" t="s">
        <v>2079</v>
      </c>
      <c r="R2792" s="4"/>
      <c r="S2792" s="4"/>
      <c r="T2792" s="4"/>
      <c r="U2792" s="4"/>
      <c r="V2792" s="4"/>
      <c r="W2792" s="4" t="s">
        <v>3383</v>
      </c>
      <c r="X2792" s="4" t="s">
        <v>3384</v>
      </c>
      <c r="Y2792" s="4" t="s">
        <v>3362</v>
      </c>
      <c r="Z2792" s="4"/>
      <c r="AA2792" s="4"/>
      <c r="AB2792" s="4"/>
      <c r="AC2792" s="4" t="s">
        <v>3363</v>
      </c>
      <c r="AD2792" s="4"/>
      <c r="AE2792" s="4"/>
      <c r="AF2792" s="4"/>
      <c r="AG2792" s="4"/>
      <c r="AH2792" s="4"/>
      <c r="AI2792" s="4"/>
      <c r="AJ2792" s="13" t="n">
        <v>1</v>
      </c>
      <c r="AK2792" s="4"/>
      <c r="AL2792" s="4"/>
      <c r="AM2792" s="4"/>
    </row>
    <row r="2793" customFormat="false" ht="23.85" hidden="false" customHeight="false" outlineLevel="0" collapsed="false">
      <c r="A2793" s="4" t="s">
        <v>3338</v>
      </c>
      <c r="B2793" s="4" t="s">
        <v>3770</v>
      </c>
      <c r="C2793" s="4" t="s">
        <v>3770</v>
      </c>
      <c r="D2793" s="12" t="n">
        <v>2020</v>
      </c>
      <c r="E2793" s="4"/>
      <c r="F2793" s="4" t="s">
        <v>1990</v>
      </c>
      <c r="G2793" s="4" t="s">
        <v>170</v>
      </c>
      <c r="H2793" s="4" t="s">
        <v>171</v>
      </c>
      <c r="I2793" s="4" t="s">
        <v>172</v>
      </c>
      <c r="J2793" s="4" t="s">
        <v>834</v>
      </c>
      <c r="K2793" s="4" t="s">
        <v>99</v>
      </c>
      <c r="L2793" s="4"/>
      <c r="M2793" s="4"/>
      <c r="N2793" s="4" t="s">
        <v>2001</v>
      </c>
      <c r="O2793" s="4" t="s">
        <v>2002</v>
      </c>
      <c r="P2793" s="4" t="s">
        <v>68</v>
      </c>
      <c r="Q2793" s="4" t="s">
        <v>2111</v>
      </c>
      <c r="R2793" s="4"/>
      <c r="S2793" s="4"/>
      <c r="T2793" s="4"/>
      <c r="U2793" s="4"/>
      <c r="V2793" s="4"/>
      <c r="W2793" s="4" t="s">
        <v>3404</v>
      </c>
      <c r="X2793" s="4" t="s">
        <v>3405</v>
      </c>
      <c r="Y2793" s="4" t="s">
        <v>3362</v>
      </c>
      <c r="Z2793" s="4"/>
      <c r="AA2793" s="4"/>
      <c r="AB2793" s="4"/>
      <c r="AC2793" s="4" t="s">
        <v>3363</v>
      </c>
      <c r="AD2793" s="4"/>
      <c r="AE2793" s="4"/>
      <c r="AF2793" s="4"/>
      <c r="AG2793" s="4"/>
      <c r="AH2793" s="4"/>
      <c r="AI2793" s="4"/>
      <c r="AJ2793" s="13" t="n">
        <v>1</v>
      </c>
      <c r="AK2793" s="4"/>
      <c r="AL2793" s="4"/>
      <c r="AM2793" s="4"/>
    </row>
    <row r="2794" customFormat="false" ht="23.85" hidden="false" customHeight="false" outlineLevel="0" collapsed="false">
      <c r="A2794" s="4" t="s">
        <v>3338</v>
      </c>
      <c r="B2794" s="4" t="s">
        <v>3771</v>
      </c>
      <c r="C2794" s="4" t="s">
        <v>3771</v>
      </c>
      <c r="D2794" s="12" t="n">
        <v>2020</v>
      </c>
      <c r="E2794" s="4"/>
      <c r="F2794" s="4" t="s">
        <v>1990</v>
      </c>
      <c r="G2794" s="4" t="s">
        <v>170</v>
      </c>
      <c r="H2794" s="4" t="s">
        <v>171</v>
      </c>
      <c r="I2794" s="4" t="s">
        <v>172</v>
      </c>
      <c r="J2794" s="4" t="s">
        <v>836</v>
      </c>
      <c r="K2794" s="4" t="s">
        <v>99</v>
      </c>
      <c r="L2794" s="4"/>
      <c r="M2794" s="4"/>
      <c r="N2794" s="4" t="s">
        <v>2001</v>
      </c>
      <c r="O2794" s="4" t="s">
        <v>2002</v>
      </c>
      <c r="P2794" s="4" t="s">
        <v>67</v>
      </c>
      <c r="Q2794" s="4" t="s">
        <v>2151</v>
      </c>
      <c r="R2794" s="4"/>
      <c r="S2794" s="4"/>
      <c r="T2794" s="4"/>
      <c r="U2794" s="4"/>
      <c r="V2794" s="4"/>
      <c r="W2794" s="4"/>
      <c r="X2794" s="4"/>
      <c r="Y2794" s="4"/>
      <c r="Z2794" s="4"/>
      <c r="AA2794" s="4"/>
      <c r="AB2794" s="4"/>
      <c r="AC2794" s="4"/>
      <c r="AD2794" s="4"/>
      <c r="AE2794" s="4"/>
      <c r="AF2794" s="4"/>
      <c r="AG2794" s="4"/>
      <c r="AH2794" s="4"/>
      <c r="AI2794" s="4"/>
      <c r="AJ2794" s="13" t="n">
        <v>0</v>
      </c>
      <c r="AK2794" s="4"/>
      <c r="AL2794" s="4"/>
      <c r="AM2794" s="4"/>
    </row>
    <row r="2795" customFormat="false" ht="23.85" hidden="false" customHeight="false" outlineLevel="0" collapsed="false">
      <c r="A2795" s="4" t="s">
        <v>3338</v>
      </c>
      <c r="B2795" s="4" t="s">
        <v>3772</v>
      </c>
      <c r="C2795" s="4" t="s">
        <v>3772</v>
      </c>
      <c r="D2795" s="12" t="n">
        <v>2020</v>
      </c>
      <c r="E2795" s="4"/>
      <c r="F2795" s="4" t="s">
        <v>1990</v>
      </c>
      <c r="G2795" s="4" t="s">
        <v>170</v>
      </c>
      <c r="H2795" s="4" t="s">
        <v>171</v>
      </c>
      <c r="I2795" s="4" t="s">
        <v>172</v>
      </c>
      <c r="J2795" s="4" t="s">
        <v>836</v>
      </c>
      <c r="K2795" s="4" t="s">
        <v>99</v>
      </c>
      <c r="L2795" s="4"/>
      <c r="M2795" s="4"/>
      <c r="N2795" s="4" t="s">
        <v>1994</v>
      </c>
      <c r="O2795" s="4" t="s">
        <v>2156</v>
      </c>
      <c r="P2795" s="4" t="s">
        <v>67</v>
      </c>
      <c r="Q2795" s="4" t="s">
        <v>2151</v>
      </c>
      <c r="R2795" s="4"/>
      <c r="S2795" s="4"/>
      <c r="T2795" s="4"/>
      <c r="U2795" s="4"/>
      <c r="V2795" s="4"/>
      <c r="W2795" s="4"/>
      <c r="X2795" s="4"/>
      <c r="Y2795" s="4"/>
      <c r="Z2795" s="4"/>
      <c r="AA2795" s="4"/>
      <c r="AB2795" s="4"/>
      <c r="AC2795" s="4"/>
      <c r="AD2795" s="4"/>
      <c r="AE2795" s="4"/>
      <c r="AF2795" s="4"/>
      <c r="AG2795" s="4"/>
      <c r="AH2795" s="4"/>
      <c r="AI2795" s="4"/>
      <c r="AJ2795" s="13" t="n">
        <v>0</v>
      </c>
      <c r="AK2795" s="4"/>
      <c r="AL2795" s="4"/>
      <c r="AM2795" s="4"/>
    </row>
    <row r="2796" customFormat="false" ht="23.85" hidden="false" customHeight="false" outlineLevel="0" collapsed="false">
      <c r="A2796" s="4" t="s">
        <v>3338</v>
      </c>
      <c r="B2796" s="4" t="s">
        <v>3773</v>
      </c>
      <c r="C2796" s="4" t="s">
        <v>3773</v>
      </c>
      <c r="D2796" s="12" t="n">
        <v>2020</v>
      </c>
      <c r="E2796" s="4"/>
      <c r="F2796" s="4" t="s">
        <v>1990</v>
      </c>
      <c r="G2796" s="4" t="s">
        <v>170</v>
      </c>
      <c r="H2796" s="4" t="s">
        <v>171</v>
      </c>
      <c r="I2796" s="4" t="s">
        <v>172</v>
      </c>
      <c r="J2796" s="4" t="s">
        <v>836</v>
      </c>
      <c r="K2796" s="4" t="s">
        <v>99</v>
      </c>
      <c r="L2796" s="4"/>
      <c r="M2796" s="4"/>
      <c r="N2796" s="4" t="s">
        <v>2001</v>
      </c>
      <c r="O2796" s="4" t="s">
        <v>2160</v>
      </c>
      <c r="P2796" s="4" t="s">
        <v>64</v>
      </c>
      <c r="Q2796" s="4" t="s">
        <v>2151</v>
      </c>
      <c r="R2796" s="4"/>
      <c r="S2796" s="4"/>
      <c r="T2796" s="4"/>
      <c r="U2796" s="4"/>
      <c r="V2796" s="4"/>
      <c r="W2796" s="4"/>
      <c r="X2796" s="4"/>
      <c r="Y2796" s="4"/>
      <c r="Z2796" s="4"/>
      <c r="AA2796" s="4"/>
      <c r="AB2796" s="4"/>
      <c r="AC2796" s="4"/>
      <c r="AD2796" s="4"/>
      <c r="AE2796" s="4"/>
      <c r="AF2796" s="4"/>
      <c r="AG2796" s="4"/>
      <c r="AH2796" s="4"/>
      <c r="AI2796" s="4"/>
      <c r="AJ2796" s="13" t="n">
        <v>0</v>
      </c>
      <c r="AK2796" s="4"/>
      <c r="AL2796" s="4"/>
      <c r="AM2796" s="4"/>
    </row>
    <row r="2797" customFormat="false" ht="23.85" hidden="false" customHeight="false" outlineLevel="0" collapsed="false">
      <c r="A2797" s="4" t="s">
        <v>3338</v>
      </c>
      <c r="B2797" s="4" t="s">
        <v>3774</v>
      </c>
      <c r="C2797" s="4" t="s">
        <v>3774</v>
      </c>
      <c r="D2797" s="12" t="n">
        <v>2020</v>
      </c>
      <c r="E2797" s="4"/>
      <c r="F2797" s="4" t="s">
        <v>1990</v>
      </c>
      <c r="G2797" s="4" t="s">
        <v>170</v>
      </c>
      <c r="H2797" s="4" t="s">
        <v>171</v>
      </c>
      <c r="I2797" s="4" t="s">
        <v>172</v>
      </c>
      <c r="J2797" s="4" t="s">
        <v>838</v>
      </c>
      <c r="K2797" s="4" t="s">
        <v>101</v>
      </c>
      <c r="L2797" s="4"/>
      <c r="M2797" s="4"/>
      <c r="N2797" s="4" t="s">
        <v>1994</v>
      </c>
      <c r="O2797" s="4" t="s">
        <v>2029</v>
      </c>
      <c r="P2797" s="4" t="s">
        <v>69</v>
      </c>
      <c r="Q2797" s="4" t="s">
        <v>2030</v>
      </c>
      <c r="R2797" s="4"/>
      <c r="S2797" s="4"/>
      <c r="T2797" s="4"/>
      <c r="U2797" s="4"/>
      <c r="V2797" s="4"/>
      <c r="W2797" s="4"/>
      <c r="X2797" s="4"/>
      <c r="Y2797" s="4"/>
      <c r="Z2797" s="4"/>
      <c r="AA2797" s="4"/>
      <c r="AB2797" s="4"/>
      <c r="AC2797" s="4"/>
      <c r="AD2797" s="4"/>
      <c r="AE2797" s="4"/>
      <c r="AF2797" s="4"/>
      <c r="AG2797" s="4"/>
      <c r="AH2797" s="4"/>
      <c r="AI2797" s="4"/>
      <c r="AJ2797" s="13" t="n">
        <v>0</v>
      </c>
      <c r="AK2797" s="4"/>
      <c r="AL2797" s="4"/>
      <c r="AM2797" s="4"/>
    </row>
    <row r="2798" customFormat="false" ht="23.85" hidden="false" customHeight="false" outlineLevel="0" collapsed="false">
      <c r="A2798" s="4" t="s">
        <v>3338</v>
      </c>
      <c r="B2798" s="4" t="s">
        <v>3775</v>
      </c>
      <c r="C2798" s="4" t="s">
        <v>3775</v>
      </c>
      <c r="D2798" s="12" t="n">
        <v>2020</v>
      </c>
      <c r="E2798" s="4"/>
      <c r="F2798" s="4" t="s">
        <v>1990</v>
      </c>
      <c r="G2798" s="4" t="s">
        <v>170</v>
      </c>
      <c r="H2798" s="4" t="s">
        <v>171</v>
      </c>
      <c r="I2798" s="4" t="s">
        <v>172</v>
      </c>
      <c r="J2798" s="4" t="s">
        <v>839</v>
      </c>
      <c r="K2798" s="4" t="s">
        <v>101</v>
      </c>
      <c r="L2798" s="4"/>
      <c r="M2798" s="4"/>
      <c r="N2798" s="4" t="s">
        <v>2001</v>
      </c>
      <c r="O2798" s="4" t="s">
        <v>2091</v>
      </c>
      <c r="P2798" s="4" t="s">
        <v>69</v>
      </c>
      <c r="Q2798" s="4" t="s">
        <v>2030</v>
      </c>
      <c r="R2798" s="4"/>
      <c r="S2798" s="4"/>
      <c r="T2798" s="4"/>
      <c r="U2798" s="4"/>
      <c r="V2798" s="4"/>
      <c r="W2798" s="4"/>
      <c r="X2798" s="4"/>
      <c r="Y2798" s="4"/>
      <c r="Z2798" s="4"/>
      <c r="AA2798" s="4"/>
      <c r="AB2798" s="4"/>
      <c r="AC2798" s="4"/>
      <c r="AD2798" s="4"/>
      <c r="AE2798" s="4"/>
      <c r="AF2798" s="4"/>
      <c r="AG2798" s="4"/>
      <c r="AH2798" s="4"/>
      <c r="AI2798" s="4"/>
      <c r="AJ2798" s="13" t="n">
        <v>0</v>
      </c>
      <c r="AK2798" s="4"/>
      <c r="AL2798" s="4"/>
      <c r="AM2798" s="4"/>
    </row>
    <row r="2799" customFormat="false" ht="23.85" hidden="false" customHeight="false" outlineLevel="0" collapsed="false">
      <c r="A2799" s="4" t="s">
        <v>3338</v>
      </c>
      <c r="B2799" s="4" t="s">
        <v>3776</v>
      </c>
      <c r="C2799" s="4" t="s">
        <v>3776</v>
      </c>
      <c r="D2799" s="12" t="n">
        <v>2020</v>
      </c>
      <c r="E2799" s="4"/>
      <c r="F2799" s="4" t="s">
        <v>1990</v>
      </c>
      <c r="G2799" s="4" t="s">
        <v>170</v>
      </c>
      <c r="H2799" s="4" t="s">
        <v>171</v>
      </c>
      <c r="I2799" s="4" t="s">
        <v>172</v>
      </c>
      <c r="J2799" s="4" t="s">
        <v>840</v>
      </c>
      <c r="K2799" s="4" t="s">
        <v>101</v>
      </c>
      <c r="L2799" s="4"/>
      <c r="M2799" s="4"/>
      <c r="N2799" s="4" t="s">
        <v>2001</v>
      </c>
      <c r="O2799" s="4" t="s">
        <v>2034</v>
      </c>
      <c r="P2799" s="4" t="s">
        <v>74</v>
      </c>
      <c r="Q2799" s="4" t="s">
        <v>2035</v>
      </c>
      <c r="R2799" s="4"/>
      <c r="S2799" s="4"/>
      <c r="T2799" s="4"/>
      <c r="U2799" s="4"/>
      <c r="V2799" s="4"/>
      <c r="W2799" s="4"/>
      <c r="X2799" s="4"/>
      <c r="Y2799" s="4"/>
      <c r="Z2799" s="4"/>
      <c r="AA2799" s="4"/>
      <c r="AB2799" s="4"/>
      <c r="AC2799" s="4"/>
      <c r="AD2799" s="4"/>
      <c r="AE2799" s="4"/>
      <c r="AF2799" s="4"/>
      <c r="AG2799" s="4"/>
      <c r="AH2799" s="4"/>
      <c r="AI2799" s="4"/>
      <c r="AJ2799" s="13" t="n">
        <v>0</v>
      </c>
      <c r="AK2799" s="4"/>
      <c r="AL2799" s="4"/>
      <c r="AM2799" s="4"/>
    </row>
    <row r="2800" customFormat="false" ht="23.85" hidden="false" customHeight="false" outlineLevel="0" collapsed="false">
      <c r="A2800" s="4" t="s">
        <v>3338</v>
      </c>
      <c r="B2800" s="4" t="s">
        <v>3777</v>
      </c>
      <c r="C2800" s="4" t="s">
        <v>3777</v>
      </c>
      <c r="D2800" s="12" t="n">
        <v>2020</v>
      </c>
      <c r="E2800" s="4"/>
      <c r="F2800" s="4" t="s">
        <v>1990</v>
      </c>
      <c r="G2800" s="4" t="s">
        <v>170</v>
      </c>
      <c r="H2800" s="4" t="s">
        <v>171</v>
      </c>
      <c r="I2800" s="4" t="s">
        <v>172</v>
      </c>
      <c r="J2800" s="4" t="s">
        <v>842</v>
      </c>
      <c r="K2800" s="4" t="s">
        <v>101</v>
      </c>
      <c r="L2800" s="4"/>
      <c r="M2800" s="4"/>
      <c r="N2800" s="4" t="s">
        <v>2001</v>
      </c>
      <c r="O2800" s="4" t="s">
        <v>2002</v>
      </c>
      <c r="P2800" s="4" t="s">
        <v>67</v>
      </c>
      <c r="Q2800" s="4" t="s">
        <v>2003</v>
      </c>
      <c r="R2800" s="4"/>
      <c r="S2800" s="4"/>
      <c r="T2800" s="4"/>
      <c r="U2800" s="4"/>
      <c r="V2800" s="4"/>
      <c r="W2800" s="4" t="s">
        <v>3341</v>
      </c>
      <c r="X2800" s="4" t="s">
        <v>3342</v>
      </c>
      <c r="Y2800" s="4" t="inlineStr">
        <is>
          <t>COMB_FOIL</t>
        </is>
      </c>
      <c r="Z2800" s="4"/>
      <c r="AA2800" s="4"/>
      <c r="AB2800" s="4"/>
      <c r="AC2800" s="4" t="s">
        <v>3352</v>
      </c>
      <c r="AD2800" s="4"/>
      <c r="AE2800" s="4"/>
      <c r="AF2800" s="4"/>
      <c r="AG2800" s="4"/>
      <c r="AH2800" s="4"/>
      <c r="AI2800" s="4"/>
      <c r="AJ2800" s="13" t="n">
        <v>1</v>
      </c>
      <c r="AK2800" s="4"/>
      <c r="AL2800" s="4"/>
      <c r="AM2800" s="4"/>
    </row>
    <row r="2801" customFormat="false" ht="23.85" hidden="false" customHeight="false" outlineLevel="0" collapsed="false">
      <c r="A2801" s="4" t="s">
        <v>3338</v>
      </c>
      <c r="B2801" s="4" t="s">
        <v>3778</v>
      </c>
      <c r="C2801" s="4" t="s">
        <v>3778</v>
      </c>
      <c r="D2801" s="12" t="n">
        <v>2020</v>
      </c>
      <c r="E2801" s="4"/>
      <c r="F2801" s="4" t="s">
        <v>1990</v>
      </c>
      <c r="G2801" s="4" t="s">
        <v>170</v>
      </c>
      <c r="H2801" s="4" t="s">
        <v>171</v>
      </c>
      <c r="I2801" s="4" t="s">
        <v>172</v>
      </c>
      <c r="J2801" s="4" t="s">
        <v>843</v>
      </c>
      <c r="K2801" s="4" t="s">
        <v>101</v>
      </c>
      <c r="L2801" s="4"/>
      <c r="M2801" s="4"/>
      <c r="N2801" s="4" t="s">
        <v>2001</v>
      </c>
      <c r="O2801" s="4" t="s">
        <v>2002</v>
      </c>
      <c r="P2801" s="4" t="s">
        <v>67</v>
      </c>
      <c r="Q2801" s="4" t="s">
        <v>2008</v>
      </c>
      <c r="R2801" s="4"/>
      <c r="S2801" s="4"/>
      <c r="T2801" s="4"/>
      <c r="U2801" s="4"/>
      <c r="V2801" s="4"/>
      <c r="W2801" s="4" t="s">
        <v>3341</v>
      </c>
      <c r="X2801" s="4" t="s">
        <v>3342</v>
      </c>
      <c r="Y2801" s="4" t="inlineStr">
        <is>
          <t>COMB_FOIL</t>
        </is>
      </c>
      <c r="Z2801" s="4"/>
      <c r="AA2801" s="4"/>
      <c r="AB2801" s="4"/>
      <c r="AC2801" s="4" t="s">
        <v>3352</v>
      </c>
      <c r="AD2801" s="4"/>
      <c r="AE2801" s="4"/>
      <c r="AF2801" s="4"/>
      <c r="AG2801" s="4"/>
      <c r="AH2801" s="4"/>
      <c r="AI2801" s="4"/>
      <c r="AJ2801" s="13" t="n">
        <v>1</v>
      </c>
      <c r="AK2801" s="4"/>
      <c r="AL2801" s="4"/>
      <c r="AM2801" s="4"/>
    </row>
    <row r="2802" customFormat="false" ht="23.85" hidden="false" customHeight="false" outlineLevel="0" collapsed="false">
      <c r="A2802" s="4" t="s">
        <v>3338</v>
      </c>
      <c r="B2802" s="4" t="s">
        <v>3779</v>
      </c>
      <c r="C2802" s="4" t="s">
        <v>3779</v>
      </c>
      <c r="D2802" s="12" t="n">
        <v>2020</v>
      </c>
      <c r="E2802" s="4"/>
      <c r="F2802" s="4" t="s">
        <v>1990</v>
      </c>
      <c r="G2802" s="4" t="s">
        <v>170</v>
      </c>
      <c r="H2802" s="4" t="s">
        <v>171</v>
      </c>
      <c r="I2802" s="4" t="s">
        <v>172</v>
      </c>
      <c r="J2802" s="4" t="s">
        <v>848</v>
      </c>
      <c r="K2802" s="4" t="s">
        <v>101</v>
      </c>
      <c r="L2802" s="4"/>
      <c r="M2802" s="4"/>
      <c r="N2802" s="4" t="s">
        <v>2001</v>
      </c>
      <c r="O2802" s="4" t="s">
        <v>2002</v>
      </c>
      <c r="P2802" s="4" t="s">
        <v>68</v>
      </c>
      <c r="Q2802" s="4" t="s">
        <v>2111</v>
      </c>
      <c r="R2802" s="4"/>
      <c r="S2802" s="4"/>
      <c r="T2802" s="4"/>
      <c r="U2802" s="4"/>
      <c r="V2802" s="4"/>
      <c r="W2802" s="4" t="s">
        <v>3404</v>
      </c>
      <c r="X2802" s="4" t="s">
        <v>3405</v>
      </c>
      <c r="Y2802" s="4" t="inlineStr">
        <is>
          <t>COMB_FOIL</t>
        </is>
      </c>
      <c r="Z2802" s="4"/>
      <c r="AA2802" s="4"/>
      <c r="AB2802" s="4"/>
      <c r="AC2802" s="4" t="s">
        <v>3352</v>
      </c>
      <c r="AD2802" s="4"/>
      <c r="AE2802" s="4"/>
      <c r="AF2802" s="4"/>
      <c r="AG2802" s="4"/>
      <c r="AH2802" s="4"/>
      <c r="AI2802" s="4"/>
      <c r="AJ2802" s="13" t="n">
        <v>1</v>
      </c>
      <c r="AK2802" s="4"/>
      <c r="AL2802" s="4"/>
      <c r="AM2802" s="4"/>
    </row>
    <row r="2803" customFormat="false" ht="23.85" hidden="false" customHeight="false" outlineLevel="0" collapsed="false">
      <c r="A2803" s="4" t="s">
        <v>3338</v>
      </c>
      <c r="B2803" s="4" t="s">
        <v>3780</v>
      </c>
      <c r="C2803" s="4" t="s">
        <v>3780</v>
      </c>
      <c r="D2803" s="12" t="n">
        <v>2020</v>
      </c>
      <c r="E2803" s="4"/>
      <c r="F2803" s="4" t="s">
        <v>1990</v>
      </c>
      <c r="G2803" s="4" t="s">
        <v>170</v>
      </c>
      <c r="H2803" s="4" t="s">
        <v>171</v>
      </c>
      <c r="I2803" s="4" t="s">
        <v>172</v>
      </c>
      <c r="J2803" s="4" t="s">
        <v>852</v>
      </c>
      <c r="K2803" s="4" t="s">
        <v>103</v>
      </c>
      <c r="L2803" s="4"/>
      <c r="M2803" s="4"/>
      <c r="N2803" s="4" t="s">
        <v>1994</v>
      </c>
      <c r="O2803" s="4" t="s">
        <v>2029</v>
      </c>
      <c r="P2803" s="4" t="s">
        <v>69</v>
      </c>
      <c r="Q2803" s="4" t="s">
        <v>2030</v>
      </c>
      <c r="R2803" s="4"/>
      <c r="S2803" s="4"/>
      <c r="T2803" s="4"/>
      <c r="U2803" s="4"/>
      <c r="V2803" s="4"/>
      <c r="W2803" s="4"/>
      <c r="X2803" s="4"/>
      <c r="Y2803" s="4"/>
      <c r="Z2803" s="4"/>
      <c r="AA2803" s="4"/>
      <c r="AB2803" s="4"/>
      <c r="AC2803" s="4"/>
      <c r="AD2803" s="4"/>
      <c r="AE2803" s="4"/>
      <c r="AF2803" s="4"/>
      <c r="AG2803" s="4"/>
      <c r="AH2803" s="4"/>
      <c r="AI2803" s="4"/>
      <c r="AJ2803" s="13" t="n">
        <v>0</v>
      </c>
      <c r="AK2803" s="4"/>
      <c r="AL2803" s="4"/>
      <c r="AM2803" s="4"/>
    </row>
    <row r="2804" customFormat="false" ht="23.85" hidden="false" customHeight="false" outlineLevel="0" collapsed="false">
      <c r="A2804" s="4" t="s">
        <v>3338</v>
      </c>
      <c r="B2804" s="4" t="s">
        <v>3781</v>
      </c>
      <c r="C2804" s="4" t="s">
        <v>3781</v>
      </c>
      <c r="D2804" s="12" t="n">
        <v>2020</v>
      </c>
      <c r="E2804" s="4"/>
      <c r="F2804" s="4" t="s">
        <v>1990</v>
      </c>
      <c r="G2804" s="4" t="s">
        <v>170</v>
      </c>
      <c r="H2804" s="4" t="s">
        <v>171</v>
      </c>
      <c r="I2804" s="4" t="s">
        <v>172</v>
      </c>
      <c r="J2804" s="4" t="s">
        <v>853</v>
      </c>
      <c r="K2804" s="4" t="s">
        <v>103</v>
      </c>
      <c r="L2804" s="4"/>
      <c r="M2804" s="4"/>
      <c r="N2804" s="4" t="s">
        <v>2001</v>
      </c>
      <c r="O2804" s="4" t="s">
        <v>2091</v>
      </c>
      <c r="P2804" s="4" t="s">
        <v>69</v>
      </c>
      <c r="Q2804" s="4" t="s">
        <v>2030</v>
      </c>
      <c r="R2804" s="4"/>
      <c r="S2804" s="4"/>
      <c r="T2804" s="4"/>
      <c r="U2804" s="4"/>
      <c r="V2804" s="4"/>
      <c r="W2804" s="4"/>
      <c r="X2804" s="4"/>
      <c r="Y2804" s="4"/>
      <c r="Z2804" s="4"/>
      <c r="AA2804" s="4"/>
      <c r="AB2804" s="4"/>
      <c r="AC2804" s="4"/>
      <c r="AD2804" s="4"/>
      <c r="AE2804" s="4"/>
      <c r="AF2804" s="4"/>
      <c r="AG2804" s="4"/>
      <c r="AH2804" s="4"/>
      <c r="AI2804" s="4"/>
      <c r="AJ2804" s="13" t="n">
        <v>0</v>
      </c>
      <c r="AK2804" s="4"/>
      <c r="AL2804" s="4"/>
      <c r="AM2804" s="4"/>
    </row>
    <row r="2805" customFormat="false" ht="23.85" hidden="false" customHeight="false" outlineLevel="0" collapsed="false">
      <c r="A2805" s="4" t="s">
        <v>3338</v>
      </c>
      <c r="B2805" s="4" t="s">
        <v>3782</v>
      </c>
      <c r="C2805" s="4" t="s">
        <v>3782</v>
      </c>
      <c r="D2805" s="12" t="n">
        <v>2020</v>
      </c>
      <c r="E2805" s="4"/>
      <c r="F2805" s="4" t="s">
        <v>1990</v>
      </c>
      <c r="G2805" s="4" t="s">
        <v>170</v>
      </c>
      <c r="H2805" s="4" t="s">
        <v>171</v>
      </c>
      <c r="I2805" s="4" t="s">
        <v>172</v>
      </c>
      <c r="J2805" s="4" t="s">
        <v>854</v>
      </c>
      <c r="K2805" s="4" t="s">
        <v>103</v>
      </c>
      <c r="L2805" s="4"/>
      <c r="M2805" s="4"/>
      <c r="N2805" s="4" t="s">
        <v>2001</v>
      </c>
      <c r="O2805" s="4" t="s">
        <v>2034</v>
      </c>
      <c r="P2805" s="4" t="s">
        <v>74</v>
      </c>
      <c r="Q2805" s="4" t="s">
        <v>2035</v>
      </c>
      <c r="R2805" s="4"/>
      <c r="S2805" s="4"/>
      <c r="T2805" s="4"/>
      <c r="U2805" s="4"/>
      <c r="V2805" s="4"/>
      <c r="W2805" s="4"/>
      <c r="X2805" s="4"/>
      <c r="Y2805" s="4"/>
      <c r="Z2805" s="4"/>
      <c r="AA2805" s="4"/>
      <c r="AB2805" s="4"/>
      <c r="AC2805" s="4"/>
      <c r="AD2805" s="4"/>
      <c r="AE2805" s="4"/>
      <c r="AF2805" s="4"/>
      <c r="AG2805" s="4"/>
      <c r="AH2805" s="4"/>
      <c r="AI2805" s="4"/>
      <c r="AJ2805" s="13" t="n">
        <v>0</v>
      </c>
      <c r="AK2805" s="4"/>
      <c r="AL2805" s="4"/>
      <c r="AM2805" s="4"/>
    </row>
    <row r="2806" customFormat="false" ht="23.85" hidden="false" customHeight="false" outlineLevel="0" collapsed="false">
      <c r="A2806" s="4" t="s">
        <v>3338</v>
      </c>
      <c r="B2806" s="4" t="s">
        <v>3783</v>
      </c>
      <c r="C2806" s="4" t="s">
        <v>3783</v>
      </c>
      <c r="D2806" s="12" t="n">
        <v>2020</v>
      </c>
      <c r="E2806" s="4"/>
      <c r="F2806" s="4" t="s">
        <v>1990</v>
      </c>
      <c r="G2806" s="4" t="s">
        <v>170</v>
      </c>
      <c r="H2806" s="4" t="s">
        <v>171</v>
      </c>
      <c r="I2806" s="4" t="s">
        <v>172</v>
      </c>
      <c r="J2806" s="4" t="s">
        <v>859</v>
      </c>
      <c r="K2806" s="4" t="s">
        <v>103</v>
      </c>
      <c r="L2806" s="4"/>
      <c r="M2806" s="4"/>
      <c r="N2806" s="4" t="s">
        <v>2001</v>
      </c>
      <c r="O2806" s="4" t="s">
        <v>2002</v>
      </c>
      <c r="P2806" s="4" t="s">
        <v>71</v>
      </c>
      <c r="Q2806" s="4" t="s">
        <v>2123</v>
      </c>
      <c r="R2806" s="4"/>
      <c r="S2806" s="4"/>
      <c r="T2806" s="4"/>
      <c r="U2806" s="4"/>
      <c r="V2806" s="4"/>
      <c r="W2806" s="4" t="s">
        <v>3412</v>
      </c>
      <c r="X2806" s="4" t="s">
        <v>3413</v>
      </c>
      <c r="Y2806" s="4" t="inlineStr">
        <is>
          <t>COMB_GAS</t>
        </is>
      </c>
      <c r="Z2806" s="4"/>
      <c r="AA2806" s="4"/>
      <c r="AB2806" s="4"/>
      <c r="AC2806" s="4" t="s">
        <v>3352</v>
      </c>
      <c r="AD2806" s="4"/>
      <c r="AE2806" s="4"/>
      <c r="AF2806" s="4"/>
      <c r="AG2806" s="4"/>
      <c r="AH2806" s="4"/>
      <c r="AI2806" s="4"/>
      <c r="AJ2806" s="13" t="n">
        <v>1</v>
      </c>
      <c r="AK2806" s="4"/>
      <c r="AL2806" s="4"/>
      <c r="AM2806" s="4"/>
    </row>
    <row r="2807" customFormat="false" ht="23.85" hidden="false" customHeight="false" outlineLevel="0" collapsed="false">
      <c r="A2807" s="4" t="s">
        <v>3338</v>
      </c>
      <c r="B2807" s="4" t="s">
        <v>3784</v>
      </c>
      <c r="C2807" s="4" t="s">
        <v>3784</v>
      </c>
      <c r="D2807" s="12" t="n">
        <v>2020</v>
      </c>
      <c r="E2807" s="4"/>
      <c r="F2807" s="4" t="s">
        <v>1990</v>
      </c>
      <c r="G2807" s="4" t="s">
        <v>170</v>
      </c>
      <c r="H2807" s="4" t="s">
        <v>171</v>
      </c>
      <c r="I2807" s="4" t="s">
        <v>172</v>
      </c>
      <c r="J2807" s="4" t="s">
        <v>861</v>
      </c>
      <c r="K2807" s="4" t="s">
        <v>103</v>
      </c>
      <c r="L2807" s="4"/>
      <c r="M2807" s="4"/>
      <c r="N2807" s="4" t="s">
        <v>2001</v>
      </c>
      <c r="O2807" s="4" t="s">
        <v>2002</v>
      </c>
      <c r="P2807" s="4" t="s">
        <v>72</v>
      </c>
      <c r="Q2807" s="4" t="s">
        <v>2079</v>
      </c>
      <c r="R2807" s="4"/>
      <c r="S2807" s="4"/>
      <c r="T2807" s="4"/>
      <c r="U2807" s="4"/>
      <c r="V2807" s="4"/>
      <c r="W2807" s="4" t="s">
        <v>3383</v>
      </c>
      <c r="X2807" s="4" t="s">
        <v>3384</v>
      </c>
      <c r="Y2807" s="4" t="inlineStr">
        <is>
          <t>COMB_GAS</t>
        </is>
      </c>
      <c r="Z2807" s="4"/>
      <c r="AA2807" s="4"/>
      <c r="AB2807" s="4"/>
      <c r="AC2807" s="4" t="s">
        <v>3352</v>
      </c>
      <c r="AD2807" s="4"/>
      <c r="AE2807" s="4"/>
      <c r="AF2807" s="4"/>
      <c r="AG2807" s="4"/>
      <c r="AH2807" s="4"/>
      <c r="AI2807" s="4"/>
      <c r="AJ2807" s="13" t="n">
        <v>1</v>
      </c>
      <c r="AK2807" s="4"/>
      <c r="AL2807" s="4"/>
      <c r="AM2807" s="4"/>
    </row>
    <row r="2808" customFormat="false" ht="23.85" hidden="false" customHeight="false" outlineLevel="0" collapsed="false">
      <c r="A2808" s="4" t="s">
        <v>3338</v>
      </c>
      <c r="B2808" s="4" t="s">
        <v>3785</v>
      </c>
      <c r="C2808" s="4" t="s">
        <v>3785</v>
      </c>
      <c r="D2808" s="12" t="n">
        <v>2020</v>
      </c>
      <c r="E2808" s="4"/>
      <c r="F2808" s="4" t="s">
        <v>1990</v>
      </c>
      <c r="G2808" s="4" t="s">
        <v>170</v>
      </c>
      <c r="H2808" s="4" t="s">
        <v>171</v>
      </c>
      <c r="I2808" s="4" t="s">
        <v>172</v>
      </c>
      <c r="J2808" s="4" t="s">
        <v>862</v>
      </c>
      <c r="K2808" s="4" t="s">
        <v>103</v>
      </c>
      <c r="L2808" s="4"/>
      <c r="M2808" s="4"/>
      <c r="N2808" s="4" t="s">
        <v>2001</v>
      </c>
      <c r="O2808" s="4" t="s">
        <v>2002</v>
      </c>
      <c r="P2808" s="4" t="s">
        <v>68</v>
      </c>
      <c r="Q2808" s="4" t="s">
        <v>2111</v>
      </c>
      <c r="R2808" s="4"/>
      <c r="S2808" s="4"/>
      <c r="T2808" s="4"/>
      <c r="U2808" s="4"/>
      <c r="V2808" s="4"/>
      <c r="W2808" s="4" t="s">
        <v>3404</v>
      </c>
      <c r="X2808" s="4" t="s">
        <v>3405</v>
      </c>
      <c r="Y2808" s="4" t="inlineStr">
        <is>
          <t>COMB_GAS</t>
        </is>
      </c>
      <c r="Z2808" s="4"/>
      <c r="AA2808" s="4"/>
      <c r="AB2808" s="4"/>
      <c r="AC2808" s="4" t="s">
        <v>3352</v>
      </c>
      <c r="AD2808" s="4"/>
      <c r="AE2808" s="4"/>
      <c r="AF2808" s="4"/>
      <c r="AG2808" s="4"/>
      <c r="AH2808" s="4"/>
      <c r="AI2808" s="4"/>
      <c r="AJ2808" s="13" t="n">
        <v>1</v>
      </c>
      <c r="AK2808" s="4"/>
      <c r="AL2808" s="4"/>
      <c r="AM2808" s="4"/>
    </row>
    <row r="2809" customFormat="false" ht="23.85" hidden="false" customHeight="false" outlineLevel="0" collapsed="false">
      <c r="A2809" s="4" t="s">
        <v>3338</v>
      </c>
      <c r="B2809" s="4" t="s">
        <v>3786</v>
      </c>
      <c r="C2809" s="4" t="s">
        <v>3786</v>
      </c>
      <c r="D2809" s="12" t="n">
        <v>2020</v>
      </c>
      <c r="E2809" s="4"/>
      <c r="F2809" s="4" t="s">
        <v>1990</v>
      </c>
      <c r="G2809" s="4" t="s">
        <v>170</v>
      </c>
      <c r="H2809" s="4" t="s">
        <v>171</v>
      </c>
      <c r="I2809" s="4" t="s">
        <v>172</v>
      </c>
      <c r="J2809" s="4" t="s">
        <v>866</v>
      </c>
      <c r="K2809" s="4" t="s">
        <v>105</v>
      </c>
      <c r="L2809" s="4"/>
      <c r="M2809" s="4"/>
      <c r="N2809" s="4" t="s">
        <v>1994</v>
      </c>
      <c r="O2809" s="4" t="s">
        <v>2029</v>
      </c>
      <c r="P2809" s="4" t="s">
        <v>69</v>
      </c>
      <c r="Q2809" s="4" t="s">
        <v>2030</v>
      </c>
      <c r="R2809" s="4"/>
      <c r="S2809" s="4"/>
      <c r="T2809" s="4"/>
      <c r="U2809" s="4"/>
      <c r="V2809" s="4"/>
      <c r="W2809" s="4"/>
      <c r="X2809" s="4"/>
      <c r="Y2809" s="4"/>
      <c r="Z2809" s="4"/>
      <c r="AA2809" s="4"/>
      <c r="AB2809" s="4"/>
      <c r="AC2809" s="4"/>
      <c r="AD2809" s="4"/>
      <c r="AE2809" s="4"/>
      <c r="AF2809" s="4"/>
      <c r="AG2809" s="4"/>
      <c r="AH2809" s="4"/>
      <c r="AI2809" s="4"/>
      <c r="AJ2809" s="13" t="n">
        <v>0</v>
      </c>
      <c r="AK2809" s="4"/>
      <c r="AL2809" s="4"/>
      <c r="AM2809" s="4"/>
    </row>
    <row r="2810" customFormat="false" ht="23.85" hidden="false" customHeight="false" outlineLevel="0" collapsed="false">
      <c r="A2810" s="4" t="s">
        <v>3338</v>
      </c>
      <c r="B2810" s="4" t="s">
        <v>3787</v>
      </c>
      <c r="C2810" s="4" t="s">
        <v>3787</v>
      </c>
      <c r="D2810" s="12" t="n">
        <v>2020</v>
      </c>
      <c r="E2810" s="4"/>
      <c r="F2810" s="4" t="s">
        <v>1990</v>
      </c>
      <c r="G2810" s="4" t="s">
        <v>170</v>
      </c>
      <c r="H2810" s="4" t="s">
        <v>171</v>
      </c>
      <c r="I2810" s="4" t="s">
        <v>172</v>
      </c>
      <c r="J2810" s="4" t="s">
        <v>867</v>
      </c>
      <c r="K2810" s="4" t="s">
        <v>105</v>
      </c>
      <c r="L2810" s="4"/>
      <c r="M2810" s="4"/>
      <c r="N2810" s="4" t="s">
        <v>2001</v>
      </c>
      <c r="O2810" s="4" t="s">
        <v>2091</v>
      </c>
      <c r="P2810" s="4" t="s">
        <v>69</v>
      </c>
      <c r="Q2810" s="4" t="s">
        <v>2030</v>
      </c>
      <c r="R2810" s="4"/>
      <c r="S2810" s="4"/>
      <c r="T2810" s="4"/>
      <c r="U2810" s="4"/>
      <c r="V2810" s="4"/>
      <c r="W2810" s="4"/>
      <c r="X2810" s="4"/>
      <c r="Y2810" s="4"/>
      <c r="Z2810" s="4"/>
      <c r="AA2810" s="4"/>
      <c r="AB2810" s="4"/>
      <c r="AC2810" s="4"/>
      <c r="AD2810" s="4"/>
      <c r="AE2810" s="4"/>
      <c r="AF2810" s="4"/>
      <c r="AG2810" s="4"/>
      <c r="AH2810" s="4"/>
      <c r="AI2810" s="4"/>
      <c r="AJ2810" s="13" t="n">
        <v>0</v>
      </c>
      <c r="AK2810" s="4"/>
      <c r="AL2810" s="4"/>
      <c r="AM2810" s="4"/>
    </row>
    <row r="2811" customFormat="false" ht="23.85" hidden="false" customHeight="false" outlineLevel="0" collapsed="false">
      <c r="A2811" s="4" t="s">
        <v>3338</v>
      </c>
      <c r="B2811" s="4" t="s">
        <v>3788</v>
      </c>
      <c r="C2811" s="4" t="s">
        <v>3788</v>
      </c>
      <c r="D2811" s="12" t="n">
        <v>2020</v>
      </c>
      <c r="E2811" s="4"/>
      <c r="F2811" s="4" t="s">
        <v>1990</v>
      </c>
      <c r="G2811" s="4" t="s">
        <v>170</v>
      </c>
      <c r="H2811" s="4" t="s">
        <v>171</v>
      </c>
      <c r="I2811" s="4" t="s">
        <v>172</v>
      </c>
      <c r="J2811" s="4" t="s">
        <v>868</v>
      </c>
      <c r="K2811" s="4" t="s">
        <v>105</v>
      </c>
      <c r="L2811" s="4"/>
      <c r="M2811" s="4"/>
      <c r="N2811" s="4" t="s">
        <v>2001</v>
      </c>
      <c r="O2811" s="4" t="s">
        <v>2034</v>
      </c>
      <c r="P2811" s="4" t="s">
        <v>74</v>
      </c>
      <c r="Q2811" s="4" t="s">
        <v>2035</v>
      </c>
      <c r="R2811" s="4"/>
      <c r="S2811" s="4"/>
      <c r="T2811" s="4"/>
      <c r="U2811" s="4"/>
      <c r="V2811" s="4"/>
      <c r="W2811" s="4"/>
      <c r="X2811" s="4"/>
      <c r="Y2811" s="4"/>
      <c r="Z2811" s="4"/>
      <c r="AA2811" s="4"/>
      <c r="AB2811" s="4"/>
      <c r="AC2811" s="4"/>
      <c r="AD2811" s="4"/>
      <c r="AE2811" s="4"/>
      <c r="AF2811" s="4"/>
      <c r="AG2811" s="4"/>
      <c r="AH2811" s="4"/>
      <c r="AI2811" s="4"/>
      <c r="AJ2811" s="13" t="n">
        <v>0</v>
      </c>
      <c r="AK2811" s="4"/>
      <c r="AL2811" s="4"/>
      <c r="AM2811" s="4"/>
    </row>
    <row r="2812" customFormat="false" ht="23.85" hidden="false" customHeight="false" outlineLevel="0" collapsed="false">
      <c r="A2812" s="4" t="s">
        <v>3338</v>
      </c>
      <c r="B2812" s="4" t="s">
        <v>3789</v>
      </c>
      <c r="C2812" s="4" t="s">
        <v>3789</v>
      </c>
      <c r="D2812" s="12" t="n">
        <v>2020</v>
      </c>
      <c r="E2812" s="4"/>
      <c r="F2812" s="4" t="s">
        <v>1990</v>
      </c>
      <c r="G2812" s="4" t="s">
        <v>170</v>
      </c>
      <c r="H2812" s="4" t="s">
        <v>171</v>
      </c>
      <c r="I2812" s="4" t="s">
        <v>172</v>
      </c>
      <c r="J2812" s="4" t="s">
        <v>873</v>
      </c>
      <c r="K2812" s="4" t="s">
        <v>105</v>
      </c>
      <c r="L2812" s="4"/>
      <c r="M2812" s="4"/>
      <c r="N2812" s="4" t="s">
        <v>2001</v>
      </c>
      <c r="O2812" s="4" t="s">
        <v>2002</v>
      </c>
      <c r="P2812" s="4" t="s">
        <v>71</v>
      </c>
      <c r="Q2812" s="4" t="s">
        <v>2123</v>
      </c>
      <c r="R2812" s="4"/>
      <c r="S2812" s="4"/>
      <c r="T2812" s="4"/>
      <c r="U2812" s="4"/>
      <c r="V2812" s="4"/>
      <c r="W2812" s="4" t="s">
        <v>3412</v>
      </c>
      <c r="X2812" s="4" t="s">
        <v>3413</v>
      </c>
      <c r="Y2812" s="4" t="inlineStr">
        <is>
          <t>COMB_GLP</t>
        </is>
      </c>
      <c r="Z2812" s="4"/>
      <c r="AA2812" s="4"/>
      <c r="AB2812" s="4"/>
      <c r="AC2812" s="4" t="s">
        <v>3352</v>
      </c>
      <c r="AD2812" s="4"/>
      <c r="AE2812" s="4"/>
      <c r="AF2812" s="4"/>
      <c r="AG2812" s="4"/>
      <c r="AH2812" s="4"/>
      <c r="AI2812" s="4"/>
      <c r="AJ2812" s="13" t="n">
        <v>1</v>
      </c>
      <c r="AK2812" s="4"/>
      <c r="AL2812" s="4"/>
      <c r="AM2812" s="4"/>
    </row>
    <row r="2813" customFormat="false" ht="23.85" hidden="false" customHeight="false" outlineLevel="0" collapsed="false">
      <c r="A2813" s="4" t="s">
        <v>3338</v>
      </c>
      <c r="B2813" s="4" t="s">
        <v>3790</v>
      </c>
      <c r="C2813" s="4" t="s">
        <v>3790</v>
      </c>
      <c r="D2813" s="12" t="n">
        <v>2020</v>
      </c>
      <c r="E2813" s="4"/>
      <c r="F2813" s="4" t="s">
        <v>1990</v>
      </c>
      <c r="G2813" s="4" t="s">
        <v>170</v>
      </c>
      <c r="H2813" s="4" t="s">
        <v>171</v>
      </c>
      <c r="I2813" s="4" t="s">
        <v>172</v>
      </c>
      <c r="J2813" s="4" t="s">
        <v>874</v>
      </c>
      <c r="K2813" s="4" t="s">
        <v>105</v>
      </c>
      <c r="L2813" s="4"/>
      <c r="M2813" s="4"/>
      <c r="N2813" s="4" t="s">
        <v>2001</v>
      </c>
      <c r="O2813" s="4" t="s">
        <v>2074</v>
      </c>
      <c r="P2813" s="4" t="s">
        <v>73</v>
      </c>
      <c r="Q2813" s="4" t="s">
        <v>2075</v>
      </c>
      <c r="R2813" s="4"/>
      <c r="S2813" s="4"/>
      <c r="T2813" s="4"/>
      <c r="U2813" s="4"/>
      <c r="V2813" s="4"/>
      <c r="W2813" s="4" t="s">
        <v>3380</v>
      </c>
      <c r="X2813" s="4" t="s">
        <v>3381</v>
      </c>
      <c r="Y2813" s="4" t="inlineStr">
        <is>
          <t>COMB_GLP</t>
        </is>
      </c>
      <c r="Z2813" s="4"/>
      <c r="AA2813" s="4"/>
      <c r="AB2813" s="4"/>
      <c r="AC2813" s="4" t="s">
        <v>3352</v>
      </c>
      <c r="AD2813" s="4"/>
      <c r="AE2813" s="4"/>
      <c r="AF2813" s="4"/>
      <c r="AG2813" s="4"/>
      <c r="AH2813" s="4"/>
      <c r="AI2813" s="4"/>
      <c r="AJ2813" s="13" t="n">
        <v>1</v>
      </c>
      <c r="AK2813" s="4"/>
      <c r="AL2813" s="4"/>
      <c r="AM2813" s="4"/>
    </row>
    <row r="2814" customFormat="false" ht="23.85" hidden="false" customHeight="false" outlineLevel="0" collapsed="false">
      <c r="A2814" s="4" t="s">
        <v>3338</v>
      </c>
      <c r="B2814" s="4" t="s">
        <v>3791</v>
      </c>
      <c r="C2814" s="4" t="s">
        <v>3791</v>
      </c>
      <c r="D2814" s="12" t="n">
        <v>2020</v>
      </c>
      <c r="E2814" s="4"/>
      <c r="F2814" s="4" t="s">
        <v>1990</v>
      </c>
      <c r="G2814" s="4" t="s">
        <v>170</v>
      </c>
      <c r="H2814" s="4" t="s">
        <v>171</v>
      </c>
      <c r="I2814" s="4" t="s">
        <v>172</v>
      </c>
      <c r="J2814" s="4" t="s">
        <v>875</v>
      </c>
      <c r="K2814" s="4" t="s">
        <v>105</v>
      </c>
      <c r="L2814" s="4"/>
      <c r="M2814" s="4"/>
      <c r="N2814" s="4" t="s">
        <v>2001</v>
      </c>
      <c r="O2814" s="4" t="s">
        <v>2002</v>
      </c>
      <c r="P2814" s="4" t="s">
        <v>72</v>
      </c>
      <c r="Q2814" s="4" t="s">
        <v>2079</v>
      </c>
      <c r="R2814" s="4"/>
      <c r="S2814" s="4"/>
      <c r="T2814" s="4"/>
      <c r="U2814" s="4"/>
      <c r="V2814" s="4"/>
      <c r="W2814" s="4" t="s">
        <v>3383</v>
      </c>
      <c r="X2814" s="4" t="s">
        <v>3384</v>
      </c>
      <c r="Y2814" s="4" t="inlineStr">
        <is>
          <t>COMB_GLP</t>
        </is>
      </c>
      <c r="Z2814" s="4"/>
      <c r="AA2814" s="4"/>
      <c r="AB2814" s="4"/>
      <c r="AC2814" s="4" t="s">
        <v>3352</v>
      </c>
      <c r="AD2814" s="4"/>
      <c r="AE2814" s="4"/>
      <c r="AF2814" s="4"/>
      <c r="AG2814" s="4"/>
      <c r="AH2814" s="4"/>
      <c r="AI2814" s="4"/>
      <c r="AJ2814" s="13" t="n">
        <v>1</v>
      </c>
      <c r="AK2814" s="4"/>
      <c r="AL2814" s="4"/>
      <c r="AM2814" s="4"/>
    </row>
    <row r="2815" customFormat="false" ht="23.85" hidden="false" customHeight="false" outlineLevel="0" collapsed="false">
      <c r="A2815" s="4" t="s">
        <v>3338</v>
      </c>
      <c r="B2815" s="4" t="s">
        <v>3792</v>
      </c>
      <c r="C2815" s="4" t="s">
        <v>3792</v>
      </c>
      <c r="D2815" s="12" t="n">
        <v>2020</v>
      </c>
      <c r="E2815" s="4"/>
      <c r="F2815" s="4" t="s">
        <v>1990</v>
      </c>
      <c r="G2815" s="4" t="s">
        <v>170</v>
      </c>
      <c r="H2815" s="4" t="s">
        <v>171</v>
      </c>
      <c r="I2815" s="4" t="s">
        <v>172</v>
      </c>
      <c r="J2815" s="4" t="s">
        <v>876</v>
      </c>
      <c r="K2815" s="4" t="s">
        <v>105</v>
      </c>
      <c r="L2815" s="4"/>
      <c r="M2815" s="4"/>
      <c r="N2815" s="4" t="s">
        <v>2001</v>
      </c>
      <c r="O2815" s="4" t="s">
        <v>2002</v>
      </c>
      <c r="P2815" s="4" t="s">
        <v>68</v>
      </c>
      <c r="Q2815" s="4" t="s">
        <v>2111</v>
      </c>
      <c r="R2815" s="4"/>
      <c r="S2815" s="4"/>
      <c r="T2815" s="4"/>
      <c r="U2815" s="4"/>
      <c r="V2815" s="4"/>
      <c r="W2815" s="4" t="s">
        <v>3404</v>
      </c>
      <c r="X2815" s="4" t="s">
        <v>3405</v>
      </c>
      <c r="Y2815" s="4" t="inlineStr">
        <is>
          <t>COMB_GLP</t>
        </is>
      </c>
      <c r="Z2815" s="4"/>
      <c r="AA2815" s="4"/>
      <c r="AB2815" s="4"/>
      <c r="AC2815" s="4" t="s">
        <v>3352</v>
      </c>
      <c r="AD2815" s="4"/>
      <c r="AE2815" s="4"/>
      <c r="AF2815" s="4"/>
      <c r="AG2815" s="4"/>
      <c r="AH2815" s="4"/>
      <c r="AI2815" s="4"/>
      <c r="AJ2815" s="13" t="n">
        <v>1</v>
      </c>
      <c r="AK2815" s="4"/>
      <c r="AL2815" s="4"/>
      <c r="AM2815" s="4"/>
    </row>
    <row r="2816" customFormat="false" ht="23.85" hidden="false" customHeight="false" outlineLevel="0" collapsed="false">
      <c r="A2816" s="4" t="s">
        <v>3338</v>
      </c>
      <c r="B2816" s="4" t="s">
        <v>3793</v>
      </c>
      <c r="C2816" s="4" t="s">
        <v>3793</v>
      </c>
      <c r="D2816" s="12" t="n">
        <v>2020</v>
      </c>
      <c r="E2816" s="4"/>
      <c r="F2816" s="4" t="s">
        <v>1990</v>
      </c>
      <c r="G2816" s="4" t="s">
        <v>170</v>
      </c>
      <c r="H2816" s="4" t="s">
        <v>171</v>
      </c>
      <c r="I2816" s="4" t="s">
        <v>172</v>
      </c>
      <c r="J2816" s="4" t="s">
        <v>880</v>
      </c>
      <c r="K2816" s="4" t="s">
        <v>107</v>
      </c>
      <c r="L2816" s="4"/>
      <c r="M2816" s="4"/>
      <c r="N2816" s="4" t="s">
        <v>1994</v>
      </c>
      <c r="O2816" s="4" t="s">
        <v>2029</v>
      </c>
      <c r="P2816" s="4" t="s">
        <v>69</v>
      </c>
      <c r="Q2816" s="4" t="s">
        <v>2030</v>
      </c>
      <c r="R2816" s="4"/>
      <c r="S2816" s="4"/>
      <c r="T2816" s="4"/>
      <c r="U2816" s="4"/>
      <c r="V2816" s="4"/>
      <c r="W2816" s="4"/>
      <c r="X2816" s="4"/>
      <c r="Y2816" s="4"/>
      <c r="Z2816" s="4"/>
      <c r="AA2816" s="4"/>
      <c r="AB2816" s="4"/>
      <c r="AC2816" s="4"/>
      <c r="AD2816" s="4"/>
      <c r="AE2816" s="4"/>
      <c r="AF2816" s="4"/>
      <c r="AG2816" s="4"/>
      <c r="AH2816" s="4"/>
      <c r="AI2816" s="4"/>
      <c r="AJ2816" s="13" t="n">
        <v>0</v>
      </c>
      <c r="AK2816" s="4"/>
      <c r="AL2816" s="4"/>
      <c r="AM2816" s="4"/>
    </row>
    <row r="2817" customFormat="false" ht="23.85" hidden="false" customHeight="false" outlineLevel="0" collapsed="false">
      <c r="A2817" s="4" t="s">
        <v>3338</v>
      </c>
      <c r="B2817" s="4" t="s">
        <v>3794</v>
      </c>
      <c r="C2817" s="4" t="s">
        <v>3794</v>
      </c>
      <c r="D2817" s="12" t="n">
        <v>2020</v>
      </c>
      <c r="E2817" s="4"/>
      <c r="F2817" s="4" t="s">
        <v>1990</v>
      </c>
      <c r="G2817" s="4" t="s">
        <v>170</v>
      </c>
      <c r="H2817" s="4" t="s">
        <v>171</v>
      </c>
      <c r="I2817" s="4" t="s">
        <v>172</v>
      </c>
      <c r="J2817" s="4" t="s">
        <v>881</v>
      </c>
      <c r="K2817" s="4" t="s">
        <v>107</v>
      </c>
      <c r="L2817" s="4"/>
      <c r="M2817" s="4"/>
      <c r="N2817" s="4" t="s">
        <v>2001</v>
      </c>
      <c r="O2817" s="4" t="s">
        <v>2091</v>
      </c>
      <c r="P2817" s="4" t="s">
        <v>69</v>
      </c>
      <c r="Q2817" s="4" t="s">
        <v>2030</v>
      </c>
      <c r="R2817" s="4"/>
      <c r="S2817" s="4"/>
      <c r="T2817" s="4"/>
      <c r="U2817" s="4"/>
      <c r="V2817" s="4"/>
      <c r="W2817" s="4"/>
      <c r="X2817" s="4"/>
      <c r="Y2817" s="4"/>
      <c r="Z2817" s="4"/>
      <c r="AA2817" s="4"/>
      <c r="AB2817" s="4"/>
      <c r="AC2817" s="4"/>
      <c r="AD2817" s="4"/>
      <c r="AE2817" s="4"/>
      <c r="AF2817" s="4"/>
      <c r="AG2817" s="4"/>
      <c r="AH2817" s="4"/>
      <c r="AI2817" s="4"/>
      <c r="AJ2817" s="13" t="n">
        <v>0</v>
      </c>
      <c r="AK2817" s="4"/>
      <c r="AL2817" s="4"/>
      <c r="AM2817" s="4"/>
    </row>
    <row r="2818" customFormat="false" ht="23.85" hidden="false" customHeight="false" outlineLevel="0" collapsed="false">
      <c r="A2818" s="4" t="s">
        <v>3338</v>
      </c>
      <c r="B2818" s="4" t="s">
        <v>3795</v>
      </c>
      <c r="C2818" s="4" t="s">
        <v>3795</v>
      </c>
      <c r="D2818" s="12" t="n">
        <v>2020</v>
      </c>
      <c r="E2818" s="4"/>
      <c r="F2818" s="4" t="s">
        <v>1990</v>
      </c>
      <c r="G2818" s="4" t="s">
        <v>170</v>
      </c>
      <c r="H2818" s="4" t="s">
        <v>171</v>
      </c>
      <c r="I2818" s="4" t="s">
        <v>172</v>
      </c>
      <c r="J2818" s="4" t="s">
        <v>882</v>
      </c>
      <c r="K2818" s="4" t="s">
        <v>107</v>
      </c>
      <c r="L2818" s="4"/>
      <c r="M2818" s="4"/>
      <c r="N2818" s="4" t="s">
        <v>2001</v>
      </c>
      <c r="O2818" s="4" t="s">
        <v>2034</v>
      </c>
      <c r="P2818" s="4" t="s">
        <v>74</v>
      </c>
      <c r="Q2818" s="4" t="s">
        <v>2035</v>
      </c>
      <c r="R2818" s="4"/>
      <c r="S2818" s="4"/>
      <c r="T2818" s="4"/>
      <c r="U2818" s="4"/>
      <c r="V2818" s="4"/>
      <c r="W2818" s="4"/>
      <c r="X2818" s="4"/>
      <c r="Y2818" s="4"/>
      <c r="Z2818" s="4"/>
      <c r="AA2818" s="4"/>
      <c r="AB2818" s="4"/>
      <c r="AC2818" s="4"/>
      <c r="AD2818" s="4"/>
      <c r="AE2818" s="4"/>
      <c r="AF2818" s="4"/>
      <c r="AG2818" s="4"/>
      <c r="AH2818" s="4"/>
      <c r="AI2818" s="4"/>
      <c r="AJ2818" s="13" t="n">
        <v>0</v>
      </c>
      <c r="AK2818" s="4"/>
      <c r="AL2818" s="4"/>
      <c r="AM2818" s="4"/>
    </row>
    <row r="2819" customFormat="false" ht="23.85" hidden="false" customHeight="false" outlineLevel="0" collapsed="false">
      <c r="A2819" s="4" t="s">
        <v>3338</v>
      </c>
      <c r="B2819" s="4" t="s">
        <v>3796</v>
      </c>
      <c r="C2819" s="4" t="s">
        <v>3796</v>
      </c>
      <c r="D2819" s="12" t="n">
        <v>2020</v>
      </c>
      <c r="E2819" s="4"/>
      <c r="F2819" s="4" t="s">
        <v>1990</v>
      </c>
      <c r="G2819" s="4" t="s">
        <v>170</v>
      </c>
      <c r="H2819" s="4" t="s">
        <v>171</v>
      </c>
      <c r="I2819" s="4" t="s">
        <v>172</v>
      </c>
      <c r="J2819" s="4" t="s">
        <v>887</v>
      </c>
      <c r="K2819" s="4" t="s">
        <v>107</v>
      </c>
      <c r="L2819" s="4"/>
      <c r="M2819" s="4"/>
      <c r="N2819" s="4" t="s">
        <v>2001</v>
      </c>
      <c r="O2819" s="4" t="s">
        <v>2002</v>
      </c>
      <c r="P2819" s="4" t="s">
        <v>71</v>
      </c>
      <c r="Q2819" s="4" t="s">
        <v>2123</v>
      </c>
      <c r="R2819" s="4"/>
      <c r="S2819" s="4"/>
      <c r="T2819" s="4"/>
      <c r="U2819" s="4"/>
      <c r="V2819" s="4"/>
      <c r="W2819" s="4" t="s">
        <v>3412</v>
      </c>
      <c r="X2819" s="4" t="s">
        <v>3413</v>
      </c>
      <c r="Y2819" s="4" t="inlineStr">
        <is>
          <t>COMB_KER</t>
        </is>
      </c>
      <c r="Z2819" s="4"/>
      <c r="AA2819" s="4"/>
      <c r="AB2819" s="4"/>
      <c r="AC2819" s="4" t="s">
        <v>3352</v>
      </c>
      <c r="AD2819" s="4"/>
      <c r="AE2819" s="4"/>
      <c r="AF2819" s="4"/>
      <c r="AG2819" s="4"/>
      <c r="AH2819" s="4"/>
      <c r="AI2819" s="4"/>
      <c r="AJ2819" s="13" t="n">
        <v>1</v>
      </c>
      <c r="AK2819" s="4"/>
      <c r="AL2819" s="4"/>
      <c r="AM2819" s="4"/>
    </row>
    <row r="2820" customFormat="false" ht="23.85" hidden="false" customHeight="false" outlineLevel="0" collapsed="false">
      <c r="A2820" s="4" t="s">
        <v>3338</v>
      </c>
      <c r="B2820" s="4" t="s">
        <v>3797</v>
      </c>
      <c r="C2820" s="4" t="s">
        <v>3797</v>
      </c>
      <c r="D2820" s="12" t="n">
        <v>2020</v>
      </c>
      <c r="E2820" s="4"/>
      <c r="F2820" s="4" t="s">
        <v>1990</v>
      </c>
      <c r="G2820" s="4" t="s">
        <v>170</v>
      </c>
      <c r="H2820" s="4" t="s">
        <v>171</v>
      </c>
      <c r="I2820" s="4" t="s">
        <v>172</v>
      </c>
      <c r="J2820" s="4" t="s">
        <v>888</v>
      </c>
      <c r="K2820" s="4" t="s">
        <v>107</v>
      </c>
      <c r="L2820" s="4"/>
      <c r="M2820" s="4"/>
      <c r="N2820" s="4" t="s">
        <v>2001</v>
      </c>
      <c r="O2820" s="4" t="s">
        <v>2074</v>
      </c>
      <c r="P2820" s="4" t="s">
        <v>73</v>
      </c>
      <c r="Q2820" s="4" t="s">
        <v>2075</v>
      </c>
      <c r="R2820" s="4"/>
      <c r="S2820" s="4"/>
      <c r="T2820" s="4"/>
      <c r="U2820" s="4"/>
      <c r="V2820" s="4"/>
      <c r="W2820" s="4" t="s">
        <v>3380</v>
      </c>
      <c r="X2820" s="4" t="s">
        <v>3381</v>
      </c>
      <c r="Y2820" s="4" t="inlineStr">
        <is>
          <t>COMB_KER</t>
        </is>
      </c>
      <c r="Z2820" s="4"/>
      <c r="AA2820" s="4"/>
      <c r="AB2820" s="4"/>
      <c r="AC2820" s="4" t="s">
        <v>3352</v>
      </c>
      <c r="AD2820" s="4"/>
      <c r="AE2820" s="4"/>
      <c r="AF2820" s="4"/>
      <c r="AG2820" s="4"/>
      <c r="AH2820" s="4"/>
      <c r="AI2820" s="4"/>
      <c r="AJ2820" s="13" t="n">
        <v>1</v>
      </c>
      <c r="AK2820" s="4"/>
      <c r="AL2820" s="4"/>
      <c r="AM2820" s="4"/>
    </row>
    <row r="2821" customFormat="false" ht="23.85" hidden="false" customHeight="false" outlineLevel="0" collapsed="false">
      <c r="A2821" s="4" t="s">
        <v>3338</v>
      </c>
      <c r="B2821" s="4" t="s">
        <v>3798</v>
      </c>
      <c r="C2821" s="4" t="s">
        <v>3798</v>
      </c>
      <c r="D2821" s="12" t="n">
        <v>2020</v>
      </c>
      <c r="E2821" s="4"/>
      <c r="F2821" s="4" t="s">
        <v>1990</v>
      </c>
      <c r="G2821" s="4" t="s">
        <v>170</v>
      </c>
      <c r="H2821" s="4" t="s">
        <v>171</v>
      </c>
      <c r="I2821" s="4" t="s">
        <v>172</v>
      </c>
      <c r="J2821" s="4" t="s">
        <v>889</v>
      </c>
      <c r="K2821" s="4" t="s">
        <v>107</v>
      </c>
      <c r="L2821" s="4"/>
      <c r="M2821" s="4"/>
      <c r="N2821" s="4" t="s">
        <v>2001</v>
      </c>
      <c r="O2821" s="4" t="s">
        <v>2002</v>
      </c>
      <c r="P2821" s="4" t="s">
        <v>72</v>
      </c>
      <c r="Q2821" s="4" t="s">
        <v>2079</v>
      </c>
      <c r="R2821" s="4"/>
      <c r="S2821" s="4"/>
      <c r="T2821" s="4"/>
      <c r="U2821" s="4"/>
      <c r="V2821" s="4"/>
      <c r="W2821" s="4" t="s">
        <v>3383</v>
      </c>
      <c r="X2821" s="4" t="s">
        <v>3384</v>
      </c>
      <c r="Y2821" s="4" t="inlineStr">
        <is>
          <t>COMB_KER</t>
        </is>
      </c>
      <c r="Z2821" s="4"/>
      <c r="AA2821" s="4"/>
      <c r="AB2821" s="4"/>
      <c r="AC2821" s="4" t="s">
        <v>3352</v>
      </c>
      <c r="AD2821" s="4"/>
      <c r="AE2821" s="4"/>
      <c r="AF2821" s="4"/>
      <c r="AG2821" s="4"/>
      <c r="AH2821" s="4"/>
      <c r="AI2821" s="4"/>
      <c r="AJ2821" s="13" t="n">
        <v>1</v>
      </c>
      <c r="AK2821" s="4"/>
      <c r="AL2821" s="4"/>
      <c r="AM2821" s="4"/>
    </row>
    <row r="2822" customFormat="false" ht="23.85" hidden="false" customHeight="false" outlineLevel="0" collapsed="false">
      <c r="A2822" s="4" t="s">
        <v>3338</v>
      </c>
      <c r="B2822" s="4" t="s">
        <v>3799</v>
      </c>
      <c r="C2822" s="4" t="s">
        <v>3799</v>
      </c>
      <c r="D2822" s="12" t="n">
        <v>2020</v>
      </c>
      <c r="E2822" s="4"/>
      <c r="F2822" s="4" t="s">
        <v>1990</v>
      </c>
      <c r="G2822" s="4" t="s">
        <v>170</v>
      </c>
      <c r="H2822" s="4" t="s">
        <v>171</v>
      </c>
      <c r="I2822" s="4" t="s">
        <v>172</v>
      </c>
      <c r="J2822" s="4" t="s">
        <v>890</v>
      </c>
      <c r="K2822" s="4" t="s">
        <v>107</v>
      </c>
      <c r="L2822" s="4"/>
      <c r="M2822" s="4"/>
      <c r="N2822" s="4" t="s">
        <v>2001</v>
      </c>
      <c r="O2822" s="4" t="s">
        <v>2002</v>
      </c>
      <c r="P2822" s="4" t="s">
        <v>68</v>
      </c>
      <c r="Q2822" s="4" t="s">
        <v>2111</v>
      </c>
      <c r="R2822" s="4"/>
      <c r="S2822" s="4"/>
      <c r="T2822" s="4"/>
      <c r="U2822" s="4"/>
      <c r="V2822" s="4"/>
      <c r="W2822" s="4" t="s">
        <v>3404</v>
      </c>
      <c r="X2822" s="4" t="s">
        <v>3405</v>
      </c>
      <c r="Y2822" s="4" t="inlineStr">
        <is>
          <t>COMB_KER</t>
        </is>
      </c>
      <c r="Z2822" s="4"/>
      <c r="AA2822" s="4"/>
      <c r="AB2822" s="4"/>
      <c r="AC2822" s="4" t="s">
        <v>3352</v>
      </c>
      <c r="AD2822" s="4"/>
      <c r="AE2822" s="4"/>
      <c r="AF2822" s="4"/>
      <c r="AG2822" s="4"/>
      <c r="AH2822" s="4"/>
      <c r="AI2822" s="4"/>
      <c r="AJ2822" s="13" t="n">
        <v>1</v>
      </c>
      <c r="AK2822" s="4"/>
      <c r="AL2822" s="4"/>
      <c r="AM2822" s="4"/>
    </row>
    <row r="2823" customFormat="false" ht="23.85" hidden="false" customHeight="false" outlineLevel="0" collapsed="false">
      <c r="A2823" s="4" t="s">
        <v>3338</v>
      </c>
      <c r="B2823" s="4" t="s">
        <v>3800</v>
      </c>
      <c r="C2823" s="4" t="s">
        <v>3800</v>
      </c>
      <c r="D2823" s="12" t="n">
        <v>2020</v>
      </c>
      <c r="E2823" s="4"/>
      <c r="F2823" s="4" t="s">
        <v>1990</v>
      </c>
      <c r="G2823" s="4" t="s">
        <v>170</v>
      </c>
      <c r="H2823" s="4" t="s">
        <v>171</v>
      </c>
      <c r="I2823" s="4" t="s">
        <v>172</v>
      </c>
      <c r="J2823" s="4" t="s">
        <v>894</v>
      </c>
      <c r="K2823" s="4" t="s">
        <v>111</v>
      </c>
      <c r="L2823" s="4"/>
      <c r="M2823" s="4"/>
      <c r="N2823" s="4" t="s">
        <v>1994</v>
      </c>
      <c r="O2823" s="4" t="s">
        <v>2029</v>
      </c>
      <c r="P2823" s="4" t="s">
        <v>69</v>
      </c>
      <c r="Q2823" s="4" t="s">
        <v>2030</v>
      </c>
      <c r="R2823" s="4"/>
      <c r="S2823" s="4"/>
      <c r="T2823" s="4"/>
      <c r="U2823" s="4"/>
      <c r="V2823" s="4"/>
      <c r="W2823" s="4"/>
      <c r="X2823" s="4"/>
      <c r="Y2823" s="4"/>
      <c r="Z2823" s="4"/>
      <c r="AA2823" s="4"/>
      <c r="AB2823" s="4"/>
      <c r="AC2823" s="4"/>
      <c r="AD2823" s="4"/>
      <c r="AE2823" s="4"/>
      <c r="AF2823" s="4"/>
      <c r="AG2823" s="4"/>
      <c r="AH2823" s="4"/>
      <c r="AI2823" s="4"/>
      <c r="AJ2823" s="13" t="n">
        <v>0</v>
      </c>
      <c r="AK2823" s="4"/>
      <c r="AL2823" s="4"/>
      <c r="AM2823" s="4"/>
    </row>
    <row r="2824" customFormat="false" ht="23.85" hidden="false" customHeight="false" outlineLevel="0" collapsed="false">
      <c r="A2824" s="4" t="s">
        <v>3338</v>
      </c>
      <c r="B2824" s="4" t="s">
        <v>3801</v>
      </c>
      <c r="C2824" s="4" t="s">
        <v>3801</v>
      </c>
      <c r="D2824" s="12" t="n">
        <v>2020</v>
      </c>
      <c r="E2824" s="4"/>
      <c r="F2824" s="4" t="s">
        <v>1990</v>
      </c>
      <c r="G2824" s="4" t="s">
        <v>170</v>
      </c>
      <c r="H2824" s="4" t="s">
        <v>171</v>
      </c>
      <c r="I2824" s="4" t="s">
        <v>172</v>
      </c>
      <c r="J2824" s="4" t="s">
        <v>895</v>
      </c>
      <c r="K2824" s="4" t="s">
        <v>111</v>
      </c>
      <c r="L2824" s="4"/>
      <c r="M2824" s="4"/>
      <c r="N2824" s="4" t="s">
        <v>2001</v>
      </c>
      <c r="O2824" s="4" t="s">
        <v>2091</v>
      </c>
      <c r="P2824" s="4" t="s">
        <v>69</v>
      </c>
      <c r="Q2824" s="4" t="s">
        <v>2030</v>
      </c>
      <c r="R2824" s="4"/>
      <c r="S2824" s="4"/>
      <c r="T2824" s="4"/>
      <c r="U2824" s="4"/>
      <c r="V2824" s="4"/>
      <c r="W2824" s="4"/>
      <c r="X2824" s="4"/>
      <c r="Y2824" s="4"/>
      <c r="Z2824" s="4"/>
      <c r="AA2824" s="4"/>
      <c r="AB2824" s="4"/>
      <c r="AC2824" s="4"/>
      <c r="AD2824" s="4"/>
      <c r="AE2824" s="4"/>
      <c r="AF2824" s="4"/>
      <c r="AG2824" s="4"/>
      <c r="AH2824" s="4"/>
      <c r="AI2824" s="4"/>
      <c r="AJ2824" s="13" t="n">
        <v>0</v>
      </c>
      <c r="AK2824" s="4"/>
      <c r="AL2824" s="4"/>
      <c r="AM2824" s="4"/>
    </row>
    <row r="2825" customFormat="false" ht="23.85" hidden="false" customHeight="false" outlineLevel="0" collapsed="false">
      <c r="A2825" s="4" t="s">
        <v>3338</v>
      </c>
      <c r="B2825" s="4" t="s">
        <v>3802</v>
      </c>
      <c r="C2825" s="4" t="s">
        <v>3802</v>
      </c>
      <c r="D2825" s="12" t="n">
        <v>2020</v>
      </c>
      <c r="E2825" s="4"/>
      <c r="F2825" s="4" t="s">
        <v>1990</v>
      </c>
      <c r="G2825" s="4" t="s">
        <v>170</v>
      </c>
      <c r="H2825" s="4" t="s">
        <v>171</v>
      </c>
      <c r="I2825" s="4" t="s">
        <v>172</v>
      </c>
      <c r="J2825" s="4" t="s">
        <v>896</v>
      </c>
      <c r="K2825" s="4" t="s">
        <v>111</v>
      </c>
      <c r="L2825" s="4"/>
      <c r="M2825" s="4"/>
      <c r="N2825" s="4" t="s">
        <v>2001</v>
      </c>
      <c r="O2825" s="4" t="s">
        <v>2034</v>
      </c>
      <c r="P2825" s="4" t="s">
        <v>74</v>
      </c>
      <c r="Q2825" s="4" t="s">
        <v>2035</v>
      </c>
      <c r="R2825" s="4"/>
      <c r="S2825" s="4"/>
      <c r="T2825" s="4"/>
      <c r="U2825" s="4"/>
      <c r="V2825" s="4"/>
      <c r="W2825" s="4"/>
      <c r="X2825" s="4"/>
      <c r="Y2825" s="4"/>
      <c r="Z2825" s="4"/>
      <c r="AA2825" s="4"/>
      <c r="AB2825" s="4"/>
      <c r="AC2825" s="4"/>
      <c r="AD2825" s="4"/>
      <c r="AE2825" s="4"/>
      <c r="AF2825" s="4"/>
      <c r="AG2825" s="4"/>
      <c r="AH2825" s="4"/>
      <c r="AI2825" s="4"/>
      <c r="AJ2825" s="13" t="n">
        <v>0</v>
      </c>
      <c r="AK2825" s="4"/>
      <c r="AL2825" s="4"/>
      <c r="AM2825" s="4"/>
    </row>
    <row r="2826" customFormat="false" ht="23.85" hidden="false" customHeight="false" outlineLevel="0" collapsed="false">
      <c r="A2826" s="4" t="s">
        <v>3338</v>
      </c>
      <c r="B2826" s="4" t="s">
        <v>3803</v>
      </c>
      <c r="C2826" s="4" t="s">
        <v>3803</v>
      </c>
      <c r="D2826" s="12" t="n">
        <v>2020</v>
      </c>
      <c r="E2826" s="4"/>
      <c r="F2826" s="4" t="s">
        <v>1990</v>
      </c>
      <c r="G2826" s="4" t="s">
        <v>170</v>
      </c>
      <c r="H2826" s="4" t="s">
        <v>171</v>
      </c>
      <c r="I2826" s="4" t="s">
        <v>172</v>
      </c>
      <c r="J2826" s="4" t="s">
        <v>897</v>
      </c>
      <c r="K2826" s="4" t="s">
        <v>111</v>
      </c>
      <c r="L2826" s="4"/>
      <c r="M2826" s="4"/>
      <c r="N2826" s="4" t="s">
        <v>1994</v>
      </c>
      <c r="O2826" s="4" t="s">
        <v>1995</v>
      </c>
      <c r="P2826" s="4" t="s">
        <v>67</v>
      </c>
      <c r="Q2826" s="4" t="s">
        <v>2097</v>
      </c>
      <c r="R2826" s="4"/>
      <c r="S2826" s="4"/>
      <c r="T2826" s="4"/>
      <c r="U2826" s="4"/>
      <c r="V2826" s="4"/>
      <c r="W2826" s="4"/>
      <c r="X2826" s="4"/>
      <c r="Y2826" s="4"/>
      <c r="Z2826" s="4"/>
      <c r="AA2826" s="4"/>
      <c r="AB2826" s="4"/>
      <c r="AC2826" s="4"/>
      <c r="AD2826" s="4"/>
      <c r="AE2826" s="4"/>
      <c r="AF2826" s="4"/>
      <c r="AG2826" s="4"/>
      <c r="AH2826" s="4"/>
      <c r="AI2826" s="4"/>
      <c r="AJ2826" s="13" t="n">
        <v>0</v>
      </c>
      <c r="AK2826" s="4"/>
      <c r="AL2826" s="4"/>
      <c r="AM2826" s="4"/>
    </row>
    <row r="2827" customFormat="false" ht="35.05" hidden="false" customHeight="false" outlineLevel="0" collapsed="false">
      <c r="A2827" s="4" t="s">
        <v>3338</v>
      </c>
      <c r="B2827" s="4" t="s">
        <v>3804</v>
      </c>
      <c r="C2827" s="4" t="s">
        <v>3804</v>
      </c>
      <c r="D2827" s="12" t="n">
        <v>2020</v>
      </c>
      <c r="E2827" s="4"/>
      <c r="F2827" s="4" t="s">
        <v>1990</v>
      </c>
      <c r="G2827" s="4" t="s">
        <v>170</v>
      </c>
      <c r="H2827" s="4" t="s">
        <v>171</v>
      </c>
      <c r="I2827" s="4" t="s">
        <v>172</v>
      </c>
      <c r="J2827" s="4" t="s">
        <v>2943</v>
      </c>
      <c r="K2827" s="4" t="s">
        <v>91</v>
      </c>
      <c r="L2827" s="4"/>
      <c r="M2827" s="4"/>
      <c r="N2827" s="4" t="s">
        <v>2001</v>
      </c>
      <c r="O2827" s="4" t="s">
        <v>2218</v>
      </c>
      <c r="P2827" s="4" t="s">
        <v>44</v>
      </c>
      <c r="Q2827" s="4" t="s">
        <v>2219</v>
      </c>
      <c r="R2827" s="4"/>
      <c r="S2827" s="4"/>
      <c r="T2827" s="4"/>
      <c r="U2827" s="4"/>
      <c r="V2827" s="4"/>
      <c r="W2827" s="4"/>
      <c r="X2827" s="4"/>
      <c r="Y2827" s="4"/>
      <c r="Z2827" s="4"/>
      <c r="AA2827" s="4"/>
      <c r="AB2827" s="4"/>
      <c r="AC2827" s="4"/>
      <c r="AD2827" s="4"/>
      <c r="AE2827" s="4"/>
      <c r="AF2827" s="4"/>
      <c r="AG2827" s="4"/>
      <c r="AH2827" s="4"/>
      <c r="AI2827" s="4"/>
      <c r="AJ2827" s="13" t="n">
        <v>0</v>
      </c>
      <c r="AK2827" s="4"/>
      <c r="AL2827" s="4"/>
      <c r="AM2827" s="4"/>
    </row>
    <row r="2828" customFormat="false" ht="35.05" hidden="false" customHeight="false" outlineLevel="0" collapsed="false">
      <c r="A2828" s="4" t="s">
        <v>3338</v>
      </c>
      <c r="B2828" s="4" t="s">
        <v>3805</v>
      </c>
      <c r="C2828" s="4" t="s">
        <v>3805</v>
      </c>
      <c r="D2828" s="12" t="n">
        <v>2020</v>
      </c>
      <c r="E2828" s="4"/>
      <c r="F2828" s="4" t="s">
        <v>1990</v>
      </c>
      <c r="G2828" s="4" t="s">
        <v>170</v>
      </c>
      <c r="H2828" s="4" t="s">
        <v>171</v>
      </c>
      <c r="I2828" s="4" t="s">
        <v>172</v>
      </c>
      <c r="J2828" s="4" t="s">
        <v>2946</v>
      </c>
      <c r="K2828" s="4" t="s">
        <v>95</v>
      </c>
      <c r="L2828" s="4"/>
      <c r="M2828" s="4"/>
      <c r="N2828" s="4" t="s">
        <v>2001</v>
      </c>
      <c r="O2828" s="4" t="s">
        <v>2218</v>
      </c>
      <c r="P2828" s="4" t="s">
        <v>44</v>
      </c>
      <c r="Q2828" s="4" t="s">
        <v>2219</v>
      </c>
      <c r="R2828" s="4"/>
      <c r="S2828" s="4"/>
      <c r="T2828" s="4"/>
      <c r="U2828" s="4"/>
      <c r="V2828" s="4"/>
      <c r="W2828" s="4"/>
      <c r="X2828" s="4"/>
      <c r="Y2828" s="4"/>
      <c r="Z2828" s="4"/>
      <c r="AA2828" s="4"/>
      <c r="AB2828" s="4"/>
      <c r="AC2828" s="4"/>
      <c r="AD2828" s="4"/>
      <c r="AE2828" s="4"/>
      <c r="AF2828" s="4"/>
      <c r="AG2828" s="4"/>
      <c r="AH2828" s="4"/>
      <c r="AI2828" s="4"/>
      <c r="AJ2828" s="13" t="n">
        <v>0</v>
      </c>
      <c r="AK2828" s="4"/>
      <c r="AL2828" s="4"/>
      <c r="AM2828" s="4"/>
    </row>
    <row r="2829" customFormat="false" ht="23.85" hidden="false" customHeight="false" outlineLevel="0" collapsed="false">
      <c r="A2829" s="4" t="s">
        <v>3338</v>
      </c>
      <c r="B2829" s="4" t="s">
        <v>3806</v>
      </c>
      <c r="C2829" s="4" t="s">
        <v>3806</v>
      </c>
      <c r="D2829" s="12" t="n">
        <v>2020</v>
      </c>
      <c r="E2829" s="4"/>
      <c r="F2829" s="4" t="s">
        <v>1990</v>
      </c>
      <c r="G2829" s="4" t="s">
        <v>170</v>
      </c>
      <c r="H2829" s="4" t="s">
        <v>171</v>
      </c>
      <c r="I2829" s="4" t="s">
        <v>172</v>
      </c>
      <c r="J2829" s="4" t="s">
        <v>2949</v>
      </c>
      <c r="K2829" s="4" t="s">
        <v>97</v>
      </c>
      <c r="L2829" s="4"/>
      <c r="M2829" s="4"/>
      <c r="N2829" s="4" t="s">
        <v>2001</v>
      </c>
      <c r="O2829" s="4" t="s">
        <v>2218</v>
      </c>
      <c r="P2829" s="4" t="s">
        <v>44</v>
      </c>
      <c r="Q2829" s="4" t="s">
        <v>2219</v>
      </c>
      <c r="R2829" s="4"/>
      <c r="S2829" s="4"/>
      <c r="T2829" s="4"/>
      <c r="U2829" s="4"/>
      <c r="V2829" s="4"/>
      <c r="W2829" s="4"/>
      <c r="X2829" s="4"/>
      <c r="Y2829" s="4"/>
      <c r="Z2829" s="4"/>
      <c r="AA2829" s="4"/>
      <c r="AB2829" s="4"/>
      <c r="AC2829" s="4"/>
      <c r="AD2829" s="4"/>
      <c r="AE2829" s="4"/>
      <c r="AF2829" s="4"/>
      <c r="AG2829" s="4"/>
      <c r="AH2829" s="4"/>
      <c r="AI2829" s="4"/>
      <c r="AJ2829" s="13" t="n">
        <v>0</v>
      </c>
      <c r="AK2829" s="4"/>
      <c r="AL2829" s="4"/>
      <c r="AM2829" s="4"/>
    </row>
    <row r="2830" customFormat="false" ht="23.85" hidden="false" customHeight="false" outlineLevel="0" collapsed="false">
      <c r="A2830" s="4" t="s">
        <v>3338</v>
      </c>
      <c r="B2830" s="4" t="s">
        <v>3807</v>
      </c>
      <c r="C2830" s="4" t="s">
        <v>3807</v>
      </c>
      <c r="D2830" s="12" t="n">
        <v>2020</v>
      </c>
      <c r="E2830" s="4"/>
      <c r="F2830" s="4" t="s">
        <v>1990</v>
      </c>
      <c r="G2830" s="4" t="s">
        <v>170</v>
      </c>
      <c r="H2830" s="4" t="s">
        <v>171</v>
      </c>
      <c r="I2830" s="4" t="s">
        <v>172</v>
      </c>
      <c r="J2830" s="4" t="s">
        <v>2952</v>
      </c>
      <c r="K2830" s="4" t="s">
        <v>103</v>
      </c>
      <c r="L2830" s="4"/>
      <c r="M2830" s="4"/>
      <c r="N2830" s="4" t="s">
        <v>2001</v>
      </c>
      <c r="O2830" s="4" t="s">
        <v>2218</v>
      </c>
      <c r="P2830" s="4" t="s">
        <v>44</v>
      </c>
      <c r="Q2830" s="4" t="s">
        <v>2219</v>
      </c>
      <c r="R2830" s="4"/>
      <c r="S2830" s="4"/>
      <c r="T2830" s="4"/>
      <c r="U2830" s="4"/>
      <c r="V2830" s="4"/>
      <c r="W2830" s="4"/>
      <c r="X2830" s="4"/>
      <c r="Y2830" s="4"/>
      <c r="Z2830" s="4"/>
      <c r="AA2830" s="4"/>
      <c r="AB2830" s="4"/>
      <c r="AC2830" s="4"/>
      <c r="AD2830" s="4"/>
      <c r="AE2830" s="4"/>
      <c r="AF2830" s="4"/>
      <c r="AG2830" s="4"/>
      <c r="AH2830" s="4"/>
      <c r="AI2830" s="4"/>
      <c r="AJ2830" s="13" t="n">
        <v>0</v>
      </c>
      <c r="AK2830" s="4"/>
      <c r="AL2830" s="4"/>
      <c r="AM2830" s="4"/>
    </row>
    <row r="2831" customFormat="false" ht="23.85" hidden="false" customHeight="false" outlineLevel="0" collapsed="false">
      <c r="A2831" s="4" t="s">
        <v>3338</v>
      </c>
      <c r="B2831" s="4" t="s">
        <v>3808</v>
      </c>
      <c r="C2831" s="4" t="s">
        <v>3808</v>
      </c>
      <c r="D2831" s="12" t="n">
        <v>2020</v>
      </c>
      <c r="E2831" s="4"/>
      <c r="F2831" s="4" t="s">
        <v>1990</v>
      </c>
      <c r="G2831" s="4" t="s">
        <v>170</v>
      </c>
      <c r="H2831" s="4" t="s">
        <v>171</v>
      </c>
      <c r="I2831" s="4" t="s">
        <v>172</v>
      </c>
      <c r="J2831" s="4" t="s">
        <v>2955</v>
      </c>
      <c r="K2831" s="4" t="s">
        <v>105</v>
      </c>
      <c r="L2831" s="4"/>
      <c r="M2831" s="4"/>
      <c r="N2831" s="4" t="s">
        <v>2001</v>
      </c>
      <c r="O2831" s="4" t="s">
        <v>2218</v>
      </c>
      <c r="P2831" s="4" t="s">
        <v>44</v>
      </c>
      <c r="Q2831" s="4" t="s">
        <v>2219</v>
      </c>
      <c r="R2831" s="4"/>
      <c r="S2831" s="4"/>
      <c r="T2831" s="4"/>
      <c r="U2831" s="4"/>
      <c r="V2831" s="4"/>
      <c r="W2831" s="4"/>
      <c r="X2831" s="4"/>
      <c r="Y2831" s="4"/>
      <c r="Z2831" s="4"/>
      <c r="AA2831" s="4"/>
      <c r="AB2831" s="4"/>
      <c r="AC2831" s="4"/>
      <c r="AD2831" s="4"/>
      <c r="AE2831" s="4"/>
      <c r="AF2831" s="4"/>
      <c r="AG2831" s="4"/>
      <c r="AH2831" s="4"/>
      <c r="AI2831" s="4"/>
      <c r="AJ2831" s="13" t="n">
        <v>0</v>
      </c>
      <c r="AK2831" s="4"/>
      <c r="AL2831" s="4"/>
      <c r="AM2831" s="4"/>
    </row>
    <row r="2832" customFormat="false" ht="23.85" hidden="false" customHeight="false" outlineLevel="0" collapsed="false">
      <c r="A2832" s="4" t="s">
        <v>3338</v>
      </c>
      <c r="B2832" s="4" t="s">
        <v>3809</v>
      </c>
      <c r="C2832" s="4" t="s">
        <v>3809</v>
      </c>
      <c r="D2832" s="12" t="n">
        <v>2020</v>
      </c>
      <c r="E2832" s="4"/>
      <c r="F2832" s="4" t="s">
        <v>1990</v>
      </c>
      <c r="G2832" s="4" t="s">
        <v>170</v>
      </c>
      <c r="H2832" s="4" t="s">
        <v>171</v>
      </c>
      <c r="I2832" s="4" t="s">
        <v>172</v>
      </c>
      <c r="J2832" s="4" t="s">
        <v>2958</v>
      </c>
      <c r="K2832" s="4" t="s">
        <v>107</v>
      </c>
      <c r="L2832" s="4"/>
      <c r="M2832" s="4"/>
      <c r="N2832" s="4" t="s">
        <v>2001</v>
      </c>
      <c r="O2832" s="4" t="s">
        <v>2218</v>
      </c>
      <c r="P2832" s="4" t="s">
        <v>44</v>
      </c>
      <c r="Q2832" s="4" t="s">
        <v>2219</v>
      </c>
      <c r="R2832" s="4"/>
      <c r="S2832" s="4"/>
      <c r="T2832" s="4"/>
      <c r="U2832" s="4"/>
      <c r="V2832" s="4"/>
      <c r="W2832" s="4"/>
      <c r="X2832" s="4"/>
      <c r="Y2832" s="4"/>
      <c r="Z2832" s="4"/>
      <c r="AA2832" s="4"/>
      <c r="AB2832" s="4"/>
      <c r="AC2832" s="4"/>
      <c r="AD2832" s="4"/>
      <c r="AE2832" s="4"/>
      <c r="AF2832" s="4"/>
      <c r="AG2832" s="4"/>
      <c r="AH2832" s="4"/>
      <c r="AI2832" s="4"/>
      <c r="AJ2832" s="13" t="n">
        <v>0</v>
      </c>
      <c r="AK2832" s="4"/>
      <c r="AL2832" s="4"/>
      <c r="AM2832" s="4"/>
    </row>
    <row r="2833" customFormat="false" ht="35.05" hidden="false" customHeight="false" outlineLevel="0" collapsed="false">
      <c r="A2833" s="4" t="s">
        <v>3338</v>
      </c>
      <c r="B2833" s="4" t="s">
        <v>3810</v>
      </c>
      <c r="C2833" s="4" t="s">
        <v>3810</v>
      </c>
      <c r="D2833" s="12" t="n">
        <v>2020</v>
      </c>
      <c r="E2833" s="4"/>
      <c r="F2833" s="4" t="s">
        <v>1990</v>
      </c>
      <c r="G2833" s="4" t="s">
        <v>1991</v>
      </c>
      <c r="H2833" s="4" t="s">
        <v>3458</v>
      </c>
      <c r="I2833" s="4"/>
      <c r="J2833" s="4" t="s">
        <v>2961</v>
      </c>
      <c r="K2833" s="4" t="s">
        <v>111</v>
      </c>
      <c r="L2833" s="4"/>
      <c r="M2833" s="4"/>
      <c r="N2833" s="4" t="s">
        <v>2001</v>
      </c>
      <c r="O2833" s="4" t="s">
        <v>2002</v>
      </c>
      <c r="P2833" s="4" t="s">
        <v>41</v>
      </c>
      <c r="Q2833" s="4" t="s">
        <v>2228</v>
      </c>
      <c r="R2833" s="4"/>
      <c r="S2833" s="4"/>
      <c r="T2833" s="4"/>
      <c r="U2833" s="4"/>
      <c r="V2833" s="4"/>
      <c r="W2833" s="4"/>
      <c r="X2833" s="4"/>
      <c r="Y2833" s="4"/>
      <c r="Z2833" s="4"/>
      <c r="AA2833" s="4"/>
      <c r="AB2833" s="4"/>
      <c r="AC2833" s="4"/>
      <c r="AD2833" s="4"/>
      <c r="AE2833" s="4"/>
      <c r="AF2833" s="4"/>
      <c r="AG2833" s="4"/>
      <c r="AH2833" s="4"/>
      <c r="AI2833" s="4"/>
      <c r="AJ2833" s="13" t="n">
        <v>0</v>
      </c>
      <c r="AK2833" s="4"/>
      <c r="AL2833" s="4"/>
      <c r="AM2833" s="4" t="s">
        <v>3459</v>
      </c>
    </row>
    <row r="2834" customFormat="false" ht="23.85" hidden="false" customHeight="false" outlineLevel="0" collapsed="false">
      <c r="A2834" s="4" t="s">
        <v>3338</v>
      </c>
      <c r="B2834" s="4" t="s">
        <v>3811</v>
      </c>
      <c r="C2834" s="4" t="s">
        <v>3811</v>
      </c>
      <c r="D2834" s="12" t="n">
        <v>2019</v>
      </c>
      <c r="E2834" s="4"/>
      <c r="F2834" s="4" t="s">
        <v>1990</v>
      </c>
      <c r="G2834" s="4" t="s">
        <v>170</v>
      </c>
      <c r="H2834" s="4" t="s">
        <v>171</v>
      </c>
      <c r="I2834" s="4" t="s">
        <v>172</v>
      </c>
      <c r="J2834" s="4" t="s">
        <v>415</v>
      </c>
      <c r="K2834" s="4" t="s">
        <v>91</v>
      </c>
      <c r="L2834" s="4"/>
      <c r="M2834" s="4"/>
      <c r="N2834" s="4" t="s">
        <v>1994</v>
      </c>
      <c r="O2834" s="4" t="s">
        <v>1995</v>
      </c>
      <c r="P2834" s="4" t="s">
        <v>68</v>
      </c>
      <c r="Q2834" s="4" t="s">
        <v>1996</v>
      </c>
      <c r="R2834" s="4"/>
      <c r="S2834" s="4"/>
      <c r="T2834" s="4"/>
      <c r="U2834" s="4"/>
      <c r="V2834" s="4"/>
      <c r="W2834" s="4"/>
      <c r="X2834" s="4"/>
      <c r="Y2834" s="4"/>
      <c r="Z2834" s="4"/>
      <c r="AA2834" s="4"/>
      <c r="AB2834" s="4"/>
      <c r="AC2834" s="4"/>
      <c r="AD2834" s="4"/>
      <c r="AE2834" s="4"/>
      <c r="AF2834" s="4"/>
      <c r="AG2834" s="4"/>
      <c r="AH2834" s="4"/>
      <c r="AI2834" s="4"/>
      <c r="AJ2834" s="13" t="n">
        <v>0</v>
      </c>
      <c r="AK2834" s="4"/>
      <c r="AL2834" s="4"/>
      <c r="AM2834" s="4"/>
    </row>
    <row r="2835" customFormat="false" ht="23.85" hidden="false" customHeight="false" outlineLevel="0" collapsed="false">
      <c r="A2835" s="4" t="s">
        <v>3338</v>
      </c>
      <c r="B2835" s="4" t="s">
        <v>3812</v>
      </c>
      <c r="C2835" s="4" t="s">
        <v>3812</v>
      </c>
      <c r="D2835" s="12" t="n">
        <v>2019</v>
      </c>
      <c r="E2835" s="4"/>
      <c r="F2835" s="4" t="s">
        <v>1990</v>
      </c>
      <c r="G2835" s="4" t="s">
        <v>170</v>
      </c>
      <c r="H2835" s="4" t="s">
        <v>171</v>
      </c>
      <c r="I2835" s="4" t="s">
        <v>172</v>
      </c>
      <c r="J2835" s="4" t="s">
        <v>420</v>
      </c>
      <c r="K2835" s="4" t="s">
        <v>91</v>
      </c>
      <c r="L2835" s="4"/>
      <c r="M2835" s="4"/>
      <c r="N2835" s="4" t="s">
        <v>2001</v>
      </c>
      <c r="O2835" s="4" t="s">
        <v>2002</v>
      </c>
      <c r="P2835" s="4" t="s">
        <v>67</v>
      </c>
      <c r="Q2835" s="4" t="s">
        <v>2003</v>
      </c>
      <c r="R2835" s="4"/>
      <c r="S2835" s="4"/>
      <c r="T2835" s="4"/>
      <c r="U2835" s="4"/>
      <c r="V2835" s="4"/>
      <c r="W2835" s="4" t="s">
        <v>3341</v>
      </c>
      <c r="X2835" s="4" t="s">
        <v>3342</v>
      </c>
      <c r="Y2835" s="4" t="inlineStr">
        <is>
          <t>COMB_BCANA</t>
        </is>
      </c>
      <c r="Z2835" s="4"/>
      <c r="AA2835" s="4"/>
      <c r="AB2835" s="4"/>
      <c r="AC2835" s="4" t="s">
        <v>3344</v>
      </c>
      <c r="AD2835" s="4"/>
      <c r="AE2835" s="4"/>
      <c r="AF2835" s="4"/>
      <c r="AG2835" s="4"/>
      <c r="AH2835" s="4"/>
      <c r="AI2835" s="4"/>
      <c r="AJ2835" s="13" t="n">
        <v>1</v>
      </c>
      <c r="AK2835" s="4"/>
      <c r="AL2835" s="4"/>
      <c r="AM2835" s="4"/>
    </row>
    <row r="2836" customFormat="false" ht="23.85" hidden="false" customHeight="false" outlineLevel="0" collapsed="false">
      <c r="A2836" s="4" t="s">
        <v>3338</v>
      </c>
      <c r="B2836" s="4" t="s">
        <v>3813</v>
      </c>
      <c r="C2836" s="4" t="s">
        <v>3813</v>
      </c>
      <c r="D2836" s="12" t="n">
        <v>2019</v>
      </c>
      <c r="E2836" s="4"/>
      <c r="F2836" s="4" t="s">
        <v>1990</v>
      </c>
      <c r="G2836" s="4" t="s">
        <v>170</v>
      </c>
      <c r="H2836" s="4" t="s">
        <v>171</v>
      </c>
      <c r="I2836" s="4" t="s">
        <v>172</v>
      </c>
      <c r="J2836" s="4" t="s">
        <v>421</v>
      </c>
      <c r="K2836" s="4" t="s">
        <v>91</v>
      </c>
      <c r="L2836" s="4"/>
      <c r="M2836" s="4"/>
      <c r="N2836" s="4" t="s">
        <v>2001</v>
      </c>
      <c r="O2836" s="4" t="s">
        <v>2002</v>
      </c>
      <c r="P2836" s="4" t="s">
        <v>67</v>
      </c>
      <c r="Q2836" s="4" t="s">
        <v>2008</v>
      </c>
      <c r="R2836" s="4"/>
      <c r="S2836" s="4"/>
      <c r="T2836" s="4"/>
      <c r="U2836" s="4"/>
      <c r="V2836" s="4"/>
      <c r="W2836" s="4" t="s">
        <v>3341</v>
      </c>
      <c r="X2836" s="4" t="s">
        <v>3342</v>
      </c>
      <c r="Y2836" s="4" t="inlineStr">
        <is>
          <t>COMB_BCANA</t>
        </is>
      </c>
      <c r="Z2836" s="4"/>
      <c r="AA2836" s="4"/>
      <c r="AB2836" s="4"/>
      <c r="AC2836" s="4" t="s">
        <v>3344</v>
      </c>
      <c r="AD2836" s="4"/>
      <c r="AE2836" s="4"/>
      <c r="AF2836" s="4"/>
      <c r="AG2836" s="4"/>
      <c r="AH2836" s="4"/>
      <c r="AI2836" s="4"/>
      <c r="AJ2836" s="13" t="n">
        <v>1</v>
      </c>
      <c r="AK2836" s="4"/>
      <c r="AL2836" s="4"/>
      <c r="AM2836" s="4"/>
    </row>
    <row r="2837" customFormat="false" ht="23.85" hidden="false" customHeight="false" outlineLevel="0" collapsed="false">
      <c r="A2837" s="4" t="s">
        <v>3338</v>
      </c>
      <c r="B2837" s="4" t="s">
        <v>3814</v>
      </c>
      <c r="C2837" s="4" t="s">
        <v>3814</v>
      </c>
      <c r="D2837" s="12" t="n">
        <v>2019</v>
      </c>
      <c r="E2837" s="4"/>
      <c r="F2837" s="4" t="s">
        <v>1990</v>
      </c>
      <c r="G2837" s="4" t="s">
        <v>170</v>
      </c>
      <c r="H2837" s="4" t="s">
        <v>171</v>
      </c>
      <c r="I2837" s="4" t="s">
        <v>172</v>
      </c>
      <c r="J2837" s="4" t="s">
        <v>429</v>
      </c>
      <c r="K2837" s="4" t="s">
        <v>93</v>
      </c>
      <c r="L2837" s="4"/>
      <c r="M2837" s="4"/>
      <c r="N2837" s="4" t="s">
        <v>1994</v>
      </c>
      <c r="O2837" s="4" t="s">
        <v>1995</v>
      </c>
      <c r="P2837" s="4" t="s">
        <v>67</v>
      </c>
      <c r="Q2837" s="4" t="s">
        <v>2012</v>
      </c>
      <c r="R2837" s="4"/>
      <c r="S2837" s="4"/>
      <c r="T2837" s="4"/>
      <c r="U2837" s="4"/>
      <c r="V2837" s="4"/>
      <c r="W2837" s="4"/>
      <c r="X2837" s="4"/>
      <c r="Y2837" s="4"/>
      <c r="Z2837" s="4"/>
      <c r="AA2837" s="4"/>
      <c r="AB2837" s="4"/>
      <c r="AC2837" s="4"/>
      <c r="AD2837" s="4"/>
      <c r="AE2837" s="4"/>
      <c r="AF2837" s="4"/>
      <c r="AG2837" s="4"/>
      <c r="AH2837" s="4"/>
      <c r="AI2837" s="4"/>
      <c r="AJ2837" s="13" t="n">
        <v>0</v>
      </c>
      <c r="AK2837" s="4"/>
      <c r="AL2837" s="4"/>
      <c r="AM2837" s="4"/>
    </row>
    <row r="2838" customFormat="false" ht="23.85" hidden="false" customHeight="false" outlineLevel="0" collapsed="false">
      <c r="A2838" s="4" t="s">
        <v>3338</v>
      </c>
      <c r="B2838" s="4" t="s">
        <v>3815</v>
      </c>
      <c r="C2838" s="4" t="s">
        <v>3815</v>
      </c>
      <c r="D2838" s="12" t="n">
        <v>2019</v>
      </c>
      <c r="E2838" s="4"/>
      <c r="F2838" s="4" t="s">
        <v>1990</v>
      </c>
      <c r="G2838" s="4" t="s">
        <v>170</v>
      </c>
      <c r="H2838" s="4" t="s">
        <v>171</v>
      </c>
      <c r="I2838" s="4" t="s">
        <v>172</v>
      </c>
      <c r="J2838" s="4" t="s">
        <v>434</v>
      </c>
      <c r="K2838" s="4" t="s">
        <v>93</v>
      </c>
      <c r="L2838" s="4"/>
      <c r="M2838" s="4"/>
      <c r="N2838" s="4" t="s">
        <v>2001</v>
      </c>
      <c r="O2838" s="4" t="s">
        <v>2002</v>
      </c>
      <c r="P2838" s="4" t="s">
        <v>67</v>
      </c>
      <c r="Q2838" s="4" t="s">
        <v>2003</v>
      </c>
      <c r="R2838" s="4"/>
      <c r="S2838" s="4"/>
      <c r="T2838" s="4"/>
      <c r="U2838" s="4"/>
      <c r="V2838" s="4"/>
      <c r="W2838" s="4" t="s">
        <v>3341</v>
      </c>
      <c r="X2838" s="4" t="s">
        <v>3342</v>
      </c>
      <c r="Y2838" s="4" t="inlineStr">
        <is>
          <t>COMB_BIOGAS</t>
        </is>
      </c>
      <c r="Z2838" s="4"/>
      <c r="AA2838" s="4"/>
      <c r="AB2838" s="4"/>
      <c r="AC2838" s="4" t="s">
        <v>3344</v>
      </c>
      <c r="AD2838" s="4"/>
      <c r="AE2838" s="4"/>
      <c r="AF2838" s="4"/>
      <c r="AG2838" s="4"/>
      <c r="AH2838" s="4"/>
      <c r="AI2838" s="4"/>
      <c r="AJ2838" s="13" t="n">
        <v>1</v>
      </c>
      <c r="AK2838" s="4"/>
      <c r="AL2838" s="4"/>
      <c r="AM2838" s="4"/>
    </row>
    <row r="2839" customFormat="false" ht="23.85" hidden="false" customHeight="false" outlineLevel="0" collapsed="false">
      <c r="A2839" s="4" t="s">
        <v>3338</v>
      </c>
      <c r="B2839" s="4" t="s">
        <v>3816</v>
      </c>
      <c r="C2839" s="4" t="s">
        <v>3816</v>
      </c>
      <c r="D2839" s="12" t="n">
        <v>2019</v>
      </c>
      <c r="E2839" s="4"/>
      <c r="F2839" s="4" t="s">
        <v>1990</v>
      </c>
      <c r="G2839" s="4" t="s">
        <v>170</v>
      </c>
      <c r="H2839" s="4" t="s">
        <v>171</v>
      </c>
      <c r="I2839" s="4" t="s">
        <v>172</v>
      </c>
      <c r="J2839" s="4" t="s">
        <v>435</v>
      </c>
      <c r="K2839" s="4" t="s">
        <v>93</v>
      </c>
      <c r="L2839" s="4"/>
      <c r="M2839" s="4"/>
      <c r="N2839" s="4" t="s">
        <v>2001</v>
      </c>
      <c r="O2839" s="4" t="s">
        <v>2002</v>
      </c>
      <c r="P2839" s="4" t="s">
        <v>67</v>
      </c>
      <c r="Q2839" s="4" t="s">
        <v>2008</v>
      </c>
      <c r="R2839" s="4"/>
      <c r="S2839" s="4"/>
      <c r="T2839" s="4"/>
      <c r="U2839" s="4"/>
      <c r="V2839" s="4"/>
      <c r="W2839" s="4" t="s">
        <v>3341</v>
      </c>
      <c r="X2839" s="4" t="s">
        <v>3342</v>
      </c>
      <c r="Y2839" s="4" t="inlineStr">
        <is>
          <t>COMB_BIOGAS</t>
        </is>
      </c>
      <c r="Z2839" s="4"/>
      <c r="AA2839" s="4"/>
      <c r="AB2839" s="4"/>
      <c r="AC2839" s="4" t="s">
        <v>3344</v>
      </c>
      <c r="AD2839" s="4"/>
      <c r="AE2839" s="4"/>
      <c r="AF2839" s="4"/>
      <c r="AG2839" s="4"/>
      <c r="AH2839" s="4"/>
      <c r="AI2839" s="4"/>
      <c r="AJ2839" s="13" t="n">
        <v>1</v>
      </c>
      <c r="AK2839" s="4"/>
      <c r="AL2839" s="4"/>
      <c r="AM2839" s="4"/>
    </row>
    <row r="2840" customFormat="false" ht="23.85" hidden="false" customHeight="false" outlineLevel="0" collapsed="false">
      <c r="A2840" s="4" t="s">
        <v>3338</v>
      </c>
      <c r="B2840" s="4" t="s">
        <v>3817</v>
      </c>
      <c r="C2840" s="4" t="s">
        <v>3817</v>
      </c>
      <c r="D2840" s="12" t="n">
        <v>2019</v>
      </c>
      <c r="E2840" s="4"/>
      <c r="F2840" s="4" t="s">
        <v>3349</v>
      </c>
      <c r="G2840" s="4" t="s">
        <v>170</v>
      </c>
      <c r="H2840" s="4" t="s">
        <v>171</v>
      </c>
      <c r="I2840" s="4" t="s">
        <v>172</v>
      </c>
      <c r="J2840" s="4" t="s">
        <v>443</v>
      </c>
      <c r="K2840" s="4" t="s">
        <v>76</v>
      </c>
      <c r="L2840" s="4"/>
      <c r="M2840" s="4"/>
      <c r="N2840" s="4" t="s">
        <v>1994</v>
      </c>
      <c r="O2840" s="4" t="s">
        <v>65</v>
      </c>
      <c r="P2840" s="4" t="s">
        <v>64</v>
      </c>
      <c r="Q2840" s="4" t="s">
        <v>2019</v>
      </c>
      <c r="R2840" s="4"/>
      <c r="S2840" s="4"/>
      <c r="T2840" s="4"/>
      <c r="U2840" s="4"/>
      <c r="V2840" s="4"/>
      <c r="W2840" s="4" t="s">
        <v>3350</v>
      </c>
      <c r="X2840" s="4" t="s">
        <v>3351</v>
      </c>
      <c r="Y2840" s="4" t="s">
        <v>3349</v>
      </c>
      <c r="Z2840" s="4"/>
      <c r="AA2840" s="4"/>
      <c r="AB2840" s="4"/>
      <c r="AC2840" s="4" t="s">
        <v>3352</v>
      </c>
      <c r="AD2840" s="4"/>
      <c r="AE2840" s="4"/>
      <c r="AF2840" s="4"/>
      <c r="AG2840" s="4"/>
      <c r="AH2840" s="4"/>
      <c r="AI2840" s="4"/>
      <c r="AJ2840" s="13" t="n">
        <v>1</v>
      </c>
      <c r="AK2840" s="4"/>
      <c r="AL2840" s="4"/>
      <c r="AM2840" s="4"/>
    </row>
    <row r="2841" customFormat="false" ht="23.85" hidden="false" customHeight="false" outlineLevel="0" collapsed="false">
      <c r="A2841" s="4" t="s">
        <v>3338</v>
      </c>
      <c r="B2841" s="4" t="s">
        <v>3818</v>
      </c>
      <c r="C2841" s="4" t="s">
        <v>3818</v>
      </c>
      <c r="D2841" s="12" t="n">
        <v>2019</v>
      </c>
      <c r="E2841" s="4"/>
      <c r="F2841" s="4" t="s">
        <v>1990</v>
      </c>
      <c r="G2841" s="4" t="s">
        <v>170</v>
      </c>
      <c r="H2841" s="4" t="s">
        <v>171</v>
      </c>
      <c r="I2841" s="4" t="s">
        <v>172</v>
      </c>
      <c r="J2841" s="4" t="s">
        <v>443</v>
      </c>
      <c r="K2841" s="4" t="s">
        <v>76</v>
      </c>
      <c r="L2841" s="4"/>
      <c r="M2841" s="4"/>
      <c r="N2841" s="4" t="s">
        <v>2001</v>
      </c>
      <c r="O2841" s="4" t="s">
        <v>66</v>
      </c>
      <c r="P2841" s="4" t="s">
        <v>66</v>
      </c>
      <c r="Q2841" s="4" t="s">
        <v>2019</v>
      </c>
      <c r="R2841" s="4"/>
      <c r="S2841" s="4"/>
      <c r="T2841" s="4"/>
      <c r="U2841" s="4"/>
      <c r="V2841" s="4"/>
      <c r="W2841" s="4"/>
      <c r="X2841" s="4"/>
      <c r="Y2841" s="4"/>
      <c r="Z2841" s="4"/>
      <c r="AA2841" s="4"/>
      <c r="AB2841" s="4"/>
      <c r="AC2841" s="4"/>
      <c r="AD2841" s="4"/>
      <c r="AE2841" s="4"/>
      <c r="AF2841" s="4"/>
      <c r="AG2841" s="4"/>
      <c r="AH2841" s="4"/>
      <c r="AI2841" s="4"/>
      <c r="AJ2841" s="13" t="n">
        <v>0</v>
      </c>
      <c r="AK2841" s="4"/>
      <c r="AL2841" s="4"/>
      <c r="AM2841" s="4"/>
    </row>
    <row r="2842" customFormat="false" ht="23.85" hidden="false" customHeight="false" outlineLevel="0" collapsed="false">
      <c r="A2842" s="4" t="s">
        <v>3338</v>
      </c>
      <c r="B2842" s="4" t="s">
        <v>3819</v>
      </c>
      <c r="C2842" s="4" t="s">
        <v>3819</v>
      </c>
      <c r="D2842" s="12" t="n">
        <v>2019</v>
      </c>
      <c r="E2842" s="4"/>
      <c r="F2842" s="4" t="s">
        <v>1990</v>
      </c>
      <c r="G2842" s="4" t="s">
        <v>170</v>
      </c>
      <c r="H2842" s="4" t="s">
        <v>171</v>
      </c>
      <c r="I2842" s="4" t="s">
        <v>172</v>
      </c>
      <c r="J2842" s="4" t="s">
        <v>443</v>
      </c>
      <c r="K2842" s="4" t="s">
        <v>76</v>
      </c>
      <c r="L2842" s="4"/>
      <c r="M2842" s="4"/>
      <c r="N2842" s="4" t="s">
        <v>1994</v>
      </c>
      <c r="O2842" s="4" t="s">
        <v>1995</v>
      </c>
      <c r="P2842" s="4" t="s">
        <v>66</v>
      </c>
      <c r="Q2842" s="4" t="s">
        <v>2019</v>
      </c>
      <c r="R2842" s="4"/>
      <c r="S2842" s="4"/>
      <c r="T2842" s="4"/>
      <c r="U2842" s="4"/>
      <c r="V2842" s="4"/>
      <c r="W2842" s="4"/>
      <c r="X2842" s="4"/>
      <c r="Y2842" s="4"/>
      <c r="Z2842" s="4"/>
      <c r="AA2842" s="4"/>
      <c r="AB2842" s="4"/>
      <c r="AC2842" s="4"/>
      <c r="AD2842" s="4"/>
      <c r="AE2842" s="4"/>
      <c r="AF2842" s="4"/>
      <c r="AG2842" s="4"/>
      <c r="AH2842" s="4"/>
      <c r="AI2842" s="4"/>
      <c r="AJ2842" s="13" t="n">
        <v>0</v>
      </c>
      <c r="AK2842" s="4"/>
      <c r="AL2842" s="4"/>
      <c r="AM2842" s="4"/>
    </row>
    <row r="2843" customFormat="false" ht="23.85" hidden="false" customHeight="false" outlineLevel="0" collapsed="false">
      <c r="A2843" s="4" t="s">
        <v>3338</v>
      </c>
      <c r="B2843" s="4" t="s">
        <v>3820</v>
      </c>
      <c r="C2843" s="4" t="s">
        <v>3820</v>
      </c>
      <c r="D2843" s="12" t="n">
        <v>2019</v>
      </c>
      <c r="E2843" s="4"/>
      <c r="F2843" s="4" t="s">
        <v>1990</v>
      </c>
      <c r="G2843" s="4" t="s">
        <v>170</v>
      </c>
      <c r="H2843" s="4" t="s">
        <v>171</v>
      </c>
      <c r="I2843" s="4" t="s">
        <v>172</v>
      </c>
      <c r="J2843" s="4" t="s">
        <v>444</v>
      </c>
      <c r="K2843" s="4" t="s">
        <v>76</v>
      </c>
      <c r="L2843" s="4"/>
      <c r="M2843" s="4"/>
      <c r="N2843" s="4" t="s">
        <v>1994</v>
      </c>
      <c r="O2843" s="4" t="s">
        <v>2029</v>
      </c>
      <c r="P2843" s="4" t="s">
        <v>69</v>
      </c>
      <c r="Q2843" s="4" t="s">
        <v>2030</v>
      </c>
      <c r="R2843" s="4"/>
      <c r="S2843" s="4"/>
      <c r="T2843" s="4"/>
      <c r="U2843" s="4"/>
      <c r="V2843" s="4"/>
      <c r="W2843" s="4"/>
      <c r="X2843" s="4"/>
      <c r="Y2843" s="4"/>
      <c r="Z2843" s="4"/>
      <c r="AA2843" s="4"/>
      <c r="AB2843" s="4"/>
      <c r="AC2843" s="4"/>
      <c r="AD2843" s="4"/>
      <c r="AE2843" s="4"/>
      <c r="AF2843" s="4"/>
      <c r="AG2843" s="4"/>
      <c r="AH2843" s="4"/>
      <c r="AI2843" s="4"/>
      <c r="AJ2843" s="13" t="n">
        <v>0</v>
      </c>
      <c r="AK2843" s="4"/>
      <c r="AL2843" s="4"/>
      <c r="AM2843" s="4"/>
    </row>
    <row r="2844" customFormat="false" ht="23.85" hidden="false" customHeight="false" outlineLevel="0" collapsed="false">
      <c r="A2844" s="4" t="s">
        <v>3338</v>
      </c>
      <c r="B2844" s="4" t="s">
        <v>3821</v>
      </c>
      <c r="C2844" s="4" t="s">
        <v>3821</v>
      </c>
      <c r="D2844" s="12" t="n">
        <v>2019</v>
      </c>
      <c r="E2844" s="4"/>
      <c r="F2844" s="4" t="s">
        <v>1990</v>
      </c>
      <c r="G2844" s="4" t="s">
        <v>170</v>
      </c>
      <c r="H2844" s="4" t="s">
        <v>171</v>
      </c>
      <c r="I2844" s="4" t="s">
        <v>172</v>
      </c>
      <c r="J2844" s="4" t="s">
        <v>446</v>
      </c>
      <c r="K2844" s="4" t="s">
        <v>76</v>
      </c>
      <c r="L2844" s="4"/>
      <c r="M2844" s="4"/>
      <c r="N2844" s="4" t="s">
        <v>2001</v>
      </c>
      <c r="O2844" s="4" t="s">
        <v>2034</v>
      </c>
      <c r="P2844" s="4" t="s">
        <v>74</v>
      </c>
      <c r="Q2844" s="4" t="s">
        <v>2035</v>
      </c>
      <c r="R2844" s="4"/>
      <c r="S2844" s="4"/>
      <c r="T2844" s="4"/>
      <c r="U2844" s="4"/>
      <c r="V2844" s="4"/>
      <c r="W2844" s="4"/>
      <c r="X2844" s="4"/>
      <c r="Y2844" s="4"/>
      <c r="Z2844" s="4"/>
      <c r="AA2844" s="4"/>
      <c r="AB2844" s="4"/>
      <c r="AC2844" s="4"/>
      <c r="AD2844" s="4"/>
      <c r="AE2844" s="4"/>
      <c r="AF2844" s="4"/>
      <c r="AG2844" s="4"/>
      <c r="AH2844" s="4"/>
      <c r="AI2844" s="4"/>
      <c r="AJ2844" s="13" t="n">
        <v>0</v>
      </c>
      <c r="AK2844" s="4"/>
      <c r="AL2844" s="4"/>
      <c r="AM2844" s="4"/>
    </row>
    <row r="2845" customFormat="false" ht="23.85" hidden="false" customHeight="false" outlineLevel="0" collapsed="false">
      <c r="A2845" s="4" t="s">
        <v>3338</v>
      </c>
      <c r="B2845" s="4" t="s">
        <v>3822</v>
      </c>
      <c r="C2845" s="4" t="s">
        <v>3822</v>
      </c>
      <c r="D2845" s="12" t="n">
        <v>2019</v>
      </c>
      <c r="E2845" s="4"/>
      <c r="F2845" s="4" t="s">
        <v>1990</v>
      </c>
      <c r="G2845" s="4" t="s">
        <v>170</v>
      </c>
      <c r="H2845" s="4" t="s">
        <v>171</v>
      </c>
      <c r="I2845" s="4" t="s">
        <v>172</v>
      </c>
      <c r="J2845" s="4" t="s">
        <v>448</v>
      </c>
      <c r="K2845" s="4" t="s">
        <v>76</v>
      </c>
      <c r="L2845" s="4"/>
      <c r="M2845" s="4"/>
      <c r="N2845" s="4" t="s">
        <v>2001</v>
      </c>
      <c r="O2845" s="4" t="s">
        <v>2002</v>
      </c>
      <c r="P2845" s="4" t="s">
        <v>67</v>
      </c>
      <c r="Q2845" s="4" t="s">
        <v>2003</v>
      </c>
      <c r="R2845" s="4"/>
      <c r="S2845" s="4"/>
      <c r="T2845" s="4"/>
      <c r="U2845" s="4"/>
      <c r="V2845" s="4"/>
      <c r="W2845" s="4" t="s">
        <v>3341</v>
      </c>
      <c r="X2845" s="4" t="s">
        <v>3342</v>
      </c>
      <c r="Y2845" s="4" t="inlineStr">
        <is>
          <t>COMB_CRBN</t>
        </is>
      </c>
      <c r="Z2845" s="4"/>
      <c r="AA2845" s="4"/>
      <c r="AB2845" s="4"/>
      <c r="AC2845" s="4" t="s">
        <v>3352</v>
      </c>
      <c r="AD2845" s="4"/>
      <c r="AE2845" s="4"/>
      <c r="AF2845" s="4"/>
      <c r="AG2845" s="4"/>
      <c r="AH2845" s="4"/>
      <c r="AI2845" s="4"/>
      <c r="AJ2845" s="13" t="n">
        <v>1</v>
      </c>
      <c r="AK2845" s="4"/>
      <c r="AL2845" s="4"/>
      <c r="AM2845" s="4"/>
    </row>
    <row r="2846" customFormat="false" ht="23.85" hidden="false" customHeight="false" outlineLevel="0" collapsed="false">
      <c r="A2846" s="4" t="s">
        <v>3338</v>
      </c>
      <c r="B2846" s="4" t="s">
        <v>3823</v>
      </c>
      <c r="C2846" s="4" t="s">
        <v>3823</v>
      </c>
      <c r="D2846" s="12" t="n">
        <v>2019</v>
      </c>
      <c r="E2846" s="4"/>
      <c r="F2846" s="4" t="s">
        <v>1990</v>
      </c>
      <c r="G2846" s="4" t="s">
        <v>170</v>
      </c>
      <c r="H2846" s="4" t="s">
        <v>171</v>
      </c>
      <c r="I2846" s="4" t="s">
        <v>172</v>
      </c>
      <c r="J2846" s="4" t="s">
        <v>457</v>
      </c>
      <c r="K2846" s="4" t="s">
        <v>78</v>
      </c>
      <c r="L2846" s="4"/>
      <c r="M2846" s="4"/>
      <c r="N2846" s="4" t="s">
        <v>1994</v>
      </c>
      <c r="O2846" s="4" t="s">
        <v>65</v>
      </c>
      <c r="P2846" s="4" t="s">
        <v>64</v>
      </c>
      <c r="Q2846" s="4" t="s">
        <v>2044</v>
      </c>
      <c r="R2846" s="4"/>
      <c r="S2846" s="4"/>
      <c r="T2846" s="4"/>
      <c r="U2846" s="4"/>
      <c r="V2846" s="4"/>
      <c r="W2846" s="4"/>
      <c r="X2846" s="4"/>
      <c r="Y2846" s="4"/>
      <c r="Z2846" s="4"/>
      <c r="AA2846" s="4"/>
      <c r="AB2846" s="4"/>
      <c r="AC2846" s="4"/>
      <c r="AD2846" s="4"/>
      <c r="AE2846" s="4"/>
      <c r="AF2846" s="4"/>
      <c r="AG2846" s="4"/>
      <c r="AH2846" s="4"/>
      <c r="AI2846" s="4"/>
      <c r="AJ2846" s="13" t="n">
        <v>0</v>
      </c>
      <c r="AK2846" s="4"/>
      <c r="AL2846" s="4"/>
      <c r="AM2846" s="4"/>
    </row>
    <row r="2847" customFormat="false" ht="23.85" hidden="false" customHeight="false" outlineLevel="0" collapsed="false">
      <c r="A2847" s="4" t="s">
        <v>3338</v>
      </c>
      <c r="B2847" s="4" t="s">
        <v>3824</v>
      </c>
      <c r="C2847" s="4" t="s">
        <v>3824</v>
      </c>
      <c r="D2847" s="12" t="n">
        <v>2019</v>
      </c>
      <c r="E2847" s="4"/>
      <c r="F2847" s="4" t="s">
        <v>1990</v>
      </c>
      <c r="G2847" s="4" t="s">
        <v>170</v>
      </c>
      <c r="H2847" s="4" t="s">
        <v>171</v>
      </c>
      <c r="I2847" s="4" t="s">
        <v>172</v>
      </c>
      <c r="J2847" s="4" t="s">
        <v>462</v>
      </c>
      <c r="K2847" s="4" t="s">
        <v>78</v>
      </c>
      <c r="L2847" s="4"/>
      <c r="M2847" s="4"/>
      <c r="N2847" s="4" t="s">
        <v>2001</v>
      </c>
      <c r="O2847" s="4" t="s">
        <v>66</v>
      </c>
      <c r="P2847" s="4" t="s">
        <v>67</v>
      </c>
      <c r="Q2847" s="4" t="s">
        <v>2003</v>
      </c>
      <c r="R2847" s="4"/>
      <c r="S2847" s="4"/>
      <c r="T2847" s="4"/>
      <c r="U2847" s="4"/>
      <c r="V2847" s="4"/>
      <c r="W2847" s="4" t="s">
        <v>3341</v>
      </c>
      <c r="X2847" s="4" t="s">
        <v>3342</v>
      </c>
      <c r="Y2847" s="4" t="s">
        <v>3362</v>
      </c>
      <c r="Z2847" s="4"/>
      <c r="AA2847" s="4"/>
      <c r="AB2847" s="4"/>
      <c r="AC2847" s="4" t="s">
        <v>3363</v>
      </c>
      <c r="AD2847" s="4"/>
      <c r="AE2847" s="4"/>
      <c r="AF2847" s="4"/>
      <c r="AG2847" s="4"/>
      <c r="AH2847" s="4"/>
      <c r="AI2847" s="4"/>
      <c r="AJ2847" s="13" t="n">
        <v>1</v>
      </c>
      <c r="AK2847" s="4"/>
      <c r="AL2847" s="4"/>
      <c r="AM2847" s="4"/>
    </row>
    <row r="2848" customFormat="false" ht="23.85" hidden="false" customHeight="false" outlineLevel="0" collapsed="false">
      <c r="A2848" s="4" t="s">
        <v>3338</v>
      </c>
      <c r="B2848" s="4" t="s">
        <v>3825</v>
      </c>
      <c r="C2848" s="4" t="s">
        <v>3825</v>
      </c>
      <c r="D2848" s="12" t="n">
        <v>2019</v>
      </c>
      <c r="E2848" s="4"/>
      <c r="F2848" s="4" t="s">
        <v>1990</v>
      </c>
      <c r="G2848" s="4" t="s">
        <v>170</v>
      </c>
      <c r="H2848" s="4" t="s">
        <v>171</v>
      </c>
      <c r="I2848" s="4" t="s">
        <v>172</v>
      </c>
      <c r="J2848" s="4" t="s">
        <v>471</v>
      </c>
      <c r="K2848" s="4" t="s">
        <v>80</v>
      </c>
      <c r="L2848" s="4"/>
      <c r="M2848" s="4"/>
      <c r="N2848" s="4" t="s">
        <v>1994</v>
      </c>
      <c r="O2848" s="4" t="s">
        <v>65</v>
      </c>
      <c r="P2848" s="4" t="s">
        <v>64</v>
      </c>
      <c r="Q2848" s="4" t="s">
        <v>2044</v>
      </c>
      <c r="R2848" s="4"/>
      <c r="S2848" s="4"/>
      <c r="T2848" s="4"/>
      <c r="U2848" s="4"/>
      <c r="V2848" s="4"/>
      <c r="W2848" s="4"/>
      <c r="X2848" s="4"/>
      <c r="Y2848" s="4"/>
      <c r="Z2848" s="4"/>
      <c r="AA2848" s="4"/>
      <c r="AB2848" s="4"/>
      <c r="AC2848" s="4"/>
      <c r="AD2848" s="4"/>
      <c r="AE2848" s="4"/>
      <c r="AF2848" s="4"/>
      <c r="AG2848" s="4"/>
      <c r="AH2848" s="4"/>
      <c r="AI2848" s="4"/>
      <c r="AJ2848" s="13" t="n">
        <v>0</v>
      </c>
      <c r="AK2848" s="4"/>
      <c r="AL2848" s="4"/>
      <c r="AM2848" s="4"/>
    </row>
    <row r="2849" customFormat="false" ht="23.85" hidden="false" customHeight="false" outlineLevel="0" collapsed="false">
      <c r="A2849" s="4" t="s">
        <v>3338</v>
      </c>
      <c r="B2849" s="4" t="s">
        <v>3826</v>
      </c>
      <c r="C2849" s="4" t="s">
        <v>3826</v>
      </c>
      <c r="D2849" s="12" t="n">
        <v>2019</v>
      </c>
      <c r="E2849" s="4"/>
      <c r="F2849" s="4" t="s">
        <v>1990</v>
      </c>
      <c r="G2849" s="4" t="s">
        <v>170</v>
      </c>
      <c r="H2849" s="4" t="s">
        <v>171</v>
      </c>
      <c r="I2849" s="4" t="s">
        <v>172</v>
      </c>
      <c r="J2849" s="4" t="s">
        <v>476</v>
      </c>
      <c r="K2849" s="4" t="s">
        <v>80</v>
      </c>
      <c r="L2849" s="4"/>
      <c r="M2849" s="4"/>
      <c r="N2849" s="4" t="s">
        <v>2001</v>
      </c>
      <c r="O2849" s="4" t="s">
        <v>66</v>
      </c>
      <c r="P2849" s="4" t="s">
        <v>67</v>
      </c>
      <c r="Q2849" s="4" t="s">
        <v>2003</v>
      </c>
      <c r="R2849" s="4"/>
      <c r="S2849" s="4"/>
      <c r="T2849" s="4"/>
      <c r="U2849" s="4"/>
      <c r="V2849" s="4"/>
      <c r="W2849" s="4" t="s">
        <v>3341</v>
      </c>
      <c r="X2849" s="4" t="s">
        <v>3342</v>
      </c>
      <c r="Y2849" s="4" t="s">
        <v>3362</v>
      </c>
      <c r="Z2849" s="4"/>
      <c r="AA2849" s="4"/>
      <c r="AB2849" s="4"/>
      <c r="AC2849" s="4" t="s">
        <v>3363</v>
      </c>
      <c r="AD2849" s="4"/>
      <c r="AE2849" s="4"/>
      <c r="AF2849" s="4"/>
      <c r="AG2849" s="4"/>
      <c r="AH2849" s="4"/>
      <c r="AI2849" s="4"/>
      <c r="AJ2849" s="13" t="n">
        <v>1</v>
      </c>
      <c r="AK2849" s="4"/>
      <c r="AL2849" s="4"/>
      <c r="AM2849" s="4"/>
    </row>
    <row r="2850" customFormat="false" ht="23.85" hidden="false" customHeight="false" outlineLevel="0" collapsed="false">
      <c r="A2850" s="4" t="s">
        <v>3338</v>
      </c>
      <c r="B2850" s="4" t="s">
        <v>3827</v>
      </c>
      <c r="C2850" s="4" t="s">
        <v>3827</v>
      </c>
      <c r="D2850" s="12" t="n">
        <v>2019</v>
      </c>
      <c r="E2850" s="4"/>
      <c r="F2850" s="4" t="s">
        <v>1990</v>
      </c>
      <c r="G2850" s="4" t="s">
        <v>170</v>
      </c>
      <c r="H2850" s="4" t="s">
        <v>171</v>
      </c>
      <c r="I2850" s="4" t="s">
        <v>172</v>
      </c>
      <c r="J2850" s="4" t="s">
        <v>485</v>
      </c>
      <c r="K2850" s="4" t="s">
        <v>84</v>
      </c>
      <c r="L2850" s="4"/>
      <c r="M2850" s="4"/>
      <c r="N2850" s="4" t="s">
        <v>1994</v>
      </c>
      <c r="O2850" s="4" t="s">
        <v>65</v>
      </c>
      <c r="P2850" s="4" t="s">
        <v>64</v>
      </c>
      <c r="Q2850" s="4" t="s">
        <v>2044</v>
      </c>
      <c r="R2850" s="4"/>
      <c r="S2850" s="4"/>
      <c r="T2850" s="4"/>
      <c r="U2850" s="4"/>
      <c r="V2850" s="4"/>
      <c r="W2850" s="4"/>
      <c r="X2850" s="4"/>
      <c r="Y2850" s="4"/>
      <c r="Z2850" s="4"/>
      <c r="AA2850" s="4"/>
      <c r="AB2850" s="4"/>
      <c r="AC2850" s="4"/>
      <c r="AD2850" s="4"/>
      <c r="AE2850" s="4"/>
      <c r="AF2850" s="4"/>
      <c r="AG2850" s="4"/>
      <c r="AH2850" s="4"/>
      <c r="AI2850" s="4"/>
      <c r="AJ2850" s="13" t="n">
        <v>0</v>
      </c>
      <c r="AK2850" s="4"/>
      <c r="AL2850" s="4"/>
      <c r="AM2850" s="4"/>
    </row>
    <row r="2851" customFormat="false" ht="23.85" hidden="false" customHeight="false" outlineLevel="0" collapsed="false">
      <c r="A2851" s="4" t="s">
        <v>3338</v>
      </c>
      <c r="B2851" s="4" t="s">
        <v>3828</v>
      </c>
      <c r="C2851" s="4" t="s">
        <v>3828</v>
      </c>
      <c r="D2851" s="12" t="n">
        <v>2019</v>
      </c>
      <c r="E2851" s="4"/>
      <c r="F2851" s="4" t="s">
        <v>1990</v>
      </c>
      <c r="G2851" s="4" t="s">
        <v>170</v>
      </c>
      <c r="H2851" s="4" t="s">
        <v>171</v>
      </c>
      <c r="I2851" s="4" t="s">
        <v>172</v>
      </c>
      <c r="J2851" s="4" t="s">
        <v>490</v>
      </c>
      <c r="K2851" s="4" t="s">
        <v>84</v>
      </c>
      <c r="L2851" s="4"/>
      <c r="M2851" s="4"/>
      <c r="N2851" s="4" t="s">
        <v>2001</v>
      </c>
      <c r="O2851" s="4" t="s">
        <v>66</v>
      </c>
      <c r="P2851" s="4" t="s">
        <v>67</v>
      </c>
      <c r="Q2851" s="4" t="s">
        <v>2003</v>
      </c>
      <c r="R2851" s="4"/>
      <c r="S2851" s="4"/>
      <c r="T2851" s="4"/>
      <c r="U2851" s="4"/>
      <c r="V2851" s="4"/>
      <c r="W2851" s="4" t="s">
        <v>3341</v>
      </c>
      <c r="X2851" s="4" t="s">
        <v>3342</v>
      </c>
      <c r="Y2851" s="4" t="s">
        <v>3362</v>
      </c>
      <c r="Z2851" s="4"/>
      <c r="AA2851" s="4"/>
      <c r="AB2851" s="4"/>
      <c r="AC2851" s="4" t="s">
        <v>3363</v>
      </c>
      <c r="AD2851" s="4"/>
      <c r="AE2851" s="4"/>
      <c r="AF2851" s="4"/>
      <c r="AG2851" s="4"/>
      <c r="AH2851" s="4"/>
      <c r="AI2851" s="4"/>
      <c r="AJ2851" s="13" t="n">
        <v>1</v>
      </c>
      <c r="AK2851" s="4"/>
      <c r="AL2851" s="4"/>
      <c r="AM2851" s="4"/>
    </row>
    <row r="2852" customFormat="false" ht="23.85" hidden="false" customHeight="false" outlineLevel="0" collapsed="false">
      <c r="A2852" s="4" t="s">
        <v>3338</v>
      </c>
      <c r="B2852" s="4" t="s">
        <v>3829</v>
      </c>
      <c r="C2852" s="4" t="s">
        <v>3829</v>
      </c>
      <c r="D2852" s="12" t="n">
        <v>2019</v>
      </c>
      <c r="E2852" s="4"/>
      <c r="F2852" s="4" t="s">
        <v>1990</v>
      </c>
      <c r="G2852" s="4" t="s">
        <v>170</v>
      </c>
      <c r="H2852" s="4" t="s">
        <v>171</v>
      </c>
      <c r="I2852" s="4" t="s">
        <v>172</v>
      </c>
      <c r="J2852" s="4" t="s">
        <v>491</v>
      </c>
      <c r="K2852" s="4" t="s">
        <v>84</v>
      </c>
      <c r="L2852" s="4"/>
      <c r="M2852" s="4"/>
      <c r="N2852" s="4" t="s">
        <v>2001</v>
      </c>
      <c r="O2852" s="4" t="s">
        <v>66</v>
      </c>
      <c r="P2852" s="4" t="s">
        <v>67</v>
      </c>
      <c r="Q2852" s="4" t="s">
        <v>2008</v>
      </c>
      <c r="R2852" s="4"/>
      <c r="S2852" s="4"/>
      <c r="T2852" s="4"/>
      <c r="U2852" s="4"/>
      <c r="V2852" s="4"/>
      <c r="W2852" s="4" t="s">
        <v>3341</v>
      </c>
      <c r="X2852" s="4" t="s">
        <v>3342</v>
      </c>
      <c r="Y2852" s="4" t="s">
        <v>3362</v>
      </c>
      <c r="Z2852" s="4"/>
      <c r="AA2852" s="4"/>
      <c r="AB2852" s="4"/>
      <c r="AC2852" s="4" t="s">
        <v>3363</v>
      </c>
      <c r="AD2852" s="4"/>
      <c r="AE2852" s="4"/>
      <c r="AF2852" s="4"/>
      <c r="AG2852" s="4"/>
      <c r="AH2852" s="4"/>
      <c r="AI2852" s="4"/>
      <c r="AJ2852" s="13" t="n">
        <v>1</v>
      </c>
      <c r="AK2852" s="4"/>
      <c r="AL2852" s="4"/>
      <c r="AM2852" s="4"/>
    </row>
    <row r="2853" customFormat="false" ht="23.85" hidden="false" customHeight="false" outlineLevel="0" collapsed="false">
      <c r="A2853" s="4" t="s">
        <v>3338</v>
      </c>
      <c r="B2853" s="4" t="s">
        <v>3830</v>
      </c>
      <c r="C2853" s="4" t="s">
        <v>3830</v>
      </c>
      <c r="D2853" s="12" t="n">
        <v>2019</v>
      </c>
      <c r="E2853" s="4"/>
      <c r="F2853" s="4" t="s">
        <v>3349</v>
      </c>
      <c r="G2853" s="4" t="s">
        <v>170</v>
      </c>
      <c r="H2853" s="4" t="s">
        <v>171</v>
      </c>
      <c r="I2853" s="4" t="s">
        <v>172</v>
      </c>
      <c r="J2853" s="4" t="s">
        <v>499</v>
      </c>
      <c r="K2853" s="4" t="s">
        <v>109</v>
      </c>
      <c r="L2853" s="4"/>
      <c r="M2853" s="4"/>
      <c r="N2853" s="4" t="s">
        <v>1994</v>
      </c>
      <c r="O2853" s="4" t="s">
        <v>1995</v>
      </c>
      <c r="P2853" s="4" t="s">
        <v>65</v>
      </c>
      <c r="Q2853" s="4" t="s">
        <v>2070</v>
      </c>
      <c r="R2853" s="4"/>
      <c r="S2853" s="4"/>
      <c r="T2853" s="4"/>
      <c r="U2853" s="4"/>
      <c r="V2853" s="4"/>
      <c r="W2853" s="4" t="s">
        <v>3377</v>
      </c>
      <c r="X2853" s="4" t="s">
        <v>3378</v>
      </c>
      <c r="Y2853" s="4" t="s">
        <v>3349</v>
      </c>
      <c r="Z2853" s="4"/>
      <c r="AA2853" s="4"/>
      <c r="AB2853" s="4"/>
      <c r="AC2853" s="4" t="s">
        <v>3344</v>
      </c>
      <c r="AD2853" s="4"/>
      <c r="AE2853" s="4"/>
      <c r="AF2853" s="4"/>
      <c r="AG2853" s="4"/>
      <c r="AH2853" s="4"/>
      <c r="AI2853" s="4"/>
      <c r="AJ2853" s="13" t="n">
        <v>1</v>
      </c>
      <c r="AK2853" s="4"/>
      <c r="AL2853" s="4"/>
      <c r="AM2853" s="4"/>
    </row>
    <row r="2854" customFormat="false" ht="23.85" hidden="false" customHeight="false" outlineLevel="0" collapsed="false">
      <c r="A2854" s="4" t="s">
        <v>3338</v>
      </c>
      <c r="B2854" s="4" t="s">
        <v>3831</v>
      </c>
      <c r="C2854" s="4" t="s">
        <v>3831</v>
      </c>
      <c r="D2854" s="12" t="n">
        <v>2019</v>
      </c>
      <c r="E2854" s="4"/>
      <c r="F2854" s="4" t="s">
        <v>1990</v>
      </c>
      <c r="G2854" s="4" t="s">
        <v>170</v>
      </c>
      <c r="H2854" s="4" t="s">
        <v>171</v>
      </c>
      <c r="I2854" s="4" t="s">
        <v>172</v>
      </c>
      <c r="J2854" s="4" t="s">
        <v>508</v>
      </c>
      <c r="K2854" s="4" t="s">
        <v>109</v>
      </c>
      <c r="L2854" s="4"/>
      <c r="M2854" s="4"/>
      <c r="N2854" s="4" t="s">
        <v>2001</v>
      </c>
      <c r="O2854" s="4" t="s">
        <v>2074</v>
      </c>
      <c r="P2854" s="4" t="s">
        <v>73</v>
      </c>
      <c r="Q2854" s="4" t="s">
        <v>2075</v>
      </c>
      <c r="R2854" s="4"/>
      <c r="S2854" s="4"/>
      <c r="T2854" s="4"/>
      <c r="U2854" s="4"/>
      <c r="V2854" s="4"/>
      <c r="W2854" s="4" t="s">
        <v>3380</v>
      </c>
      <c r="X2854" s="4" t="s">
        <v>3381</v>
      </c>
      <c r="Y2854" s="4" t="s">
        <v>3343</v>
      </c>
      <c r="Z2854" s="4"/>
      <c r="AA2854" s="4"/>
      <c r="AB2854" s="4"/>
      <c r="AC2854" s="4" t="s">
        <v>3344</v>
      </c>
      <c r="AD2854" s="4"/>
      <c r="AE2854" s="4"/>
      <c r="AF2854" s="4"/>
      <c r="AG2854" s="4"/>
      <c r="AH2854" s="4"/>
      <c r="AI2854" s="4"/>
      <c r="AJ2854" s="13" t="n">
        <v>1</v>
      </c>
      <c r="AK2854" s="4"/>
      <c r="AL2854" s="4"/>
      <c r="AM2854" s="4"/>
    </row>
    <row r="2855" customFormat="false" ht="23.85" hidden="false" customHeight="false" outlineLevel="0" collapsed="false">
      <c r="A2855" s="4" t="s">
        <v>3338</v>
      </c>
      <c r="B2855" s="4" t="s">
        <v>3832</v>
      </c>
      <c r="C2855" s="4" t="s">
        <v>3832</v>
      </c>
      <c r="D2855" s="12" t="n">
        <v>2019</v>
      </c>
      <c r="E2855" s="4"/>
      <c r="F2855" s="4" t="s">
        <v>1990</v>
      </c>
      <c r="G2855" s="4" t="s">
        <v>170</v>
      </c>
      <c r="H2855" s="4" t="s">
        <v>171</v>
      </c>
      <c r="I2855" s="4" t="s">
        <v>172</v>
      </c>
      <c r="J2855" s="4" t="s">
        <v>509</v>
      </c>
      <c r="K2855" s="4" t="s">
        <v>109</v>
      </c>
      <c r="L2855" s="4"/>
      <c r="M2855" s="4"/>
      <c r="N2855" s="4" t="s">
        <v>2001</v>
      </c>
      <c r="O2855" s="4" t="s">
        <v>2002</v>
      </c>
      <c r="P2855" s="4" t="s">
        <v>72</v>
      </c>
      <c r="Q2855" s="4" t="s">
        <v>2079</v>
      </c>
      <c r="R2855" s="4"/>
      <c r="S2855" s="4"/>
      <c r="T2855" s="4"/>
      <c r="U2855" s="4"/>
      <c r="V2855" s="4"/>
      <c r="W2855" s="4" t="s">
        <v>3383</v>
      </c>
      <c r="X2855" s="4" t="s">
        <v>3384</v>
      </c>
      <c r="Y2855" s="4" t="s">
        <v>3343</v>
      </c>
      <c r="Z2855" s="4"/>
      <c r="AA2855" s="4"/>
      <c r="AB2855" s="4"/>
      <c r="AC2855" s="4" t="s">
        <v>3344</v>
      </c>
      <c r="AD2855" s="4"/>
      <c r="AE2855" s="4"/>
      <c r="AF2855" s="4"/>
      <c r="AG2855" s="4"/>
      <c r="AH2855" s="4"/>
      <c r="AI2855" s="4"/>
      <c r="AJ2855" s="13" t="n">
        <v>1</v>
      </c>
      <c r="AK2855" s="4"/>
      <c r="AL2855" s="4"/>
      <c r="AM2855" s="4"/>
    </row>
    <row r="2856" customFormat="false" ht="23.85" hidden="false" customHeight="false" outlineLevel="0" collapsed="false">
      <c r="A2856" s="4" t="s">
        <v>3338</v>
      </c>
      <c r="B2856" s="4" t="s">
        <v>3833</v>
      </c>
      <c r="C2856" s="4" t="s">
        <v>3833</v>
      </c>
      <c r="D2856" s="12" t="n">
        <v>2019</v>
      </c>
      <c r="E2856" s="4"/>
      <c r="F2856" s="4" t="s">
        <v>1990</v>
      </c>
      <c r="G2856" s="4" t="s">
        <v>170</v>
      </c>
      <c r="H2856" s="4" t="s">
        <v>171</v>
      </c>
      <c r="I2856" s="4" t="s">
        <v>172</v>
      </c>
      <c r="J2856" s="4" t="s">
        <v>513</v>
      </c>
      <c r="K2856" s="4" t="s">
        <v>86</v>
      </c>
      <c r="L2856" s="4"/>
      <c r="M2856" s="4"/>
      <c r="N2856" s="4" t="s">
        <v>1994</v>
      </c>
      <c r="O2856" s="4" t="s">
        <v>65</v>
      </c>
      <c r="P2856" s="4" t="s">
        <v>64</v>
      </c>
      <c r="Q2856" s="4" t="s">
        <v>2019</v>
      </c>
      <c r="R2856" s="4"/>
      <c r="S2856" s="4"/>
      <c r="T2856" s="4"/>
      <c r="U2856" s="4"/>
      <c r="V2856" s="4"/>
      <c r="W2856" s="4" t="s">
        <v>3386</v>
      </c>
      <c r="X2856" s="4" t="s">
        <v>3387</v>
      </c>
      <c r="Y2856" s="4" t="s">
        <v>3388</v>
      </c>
      <c r="Z2856" s="4"/>
      <c r="AA2856" s="4"/>
      <c r="AB2856" s="4"/>
      <c r="AC2856" s="4" t="s">
        <v>3352</v>
      </c>
      <c r="AD2856" s="4"/>
      <c r="AE2856" s="4"/>
      <c r="AF2856" s="4"/>
      <c r="AG2856" s="4"/>
      <c r="AH2856" s="4"/>
      <c r="AI2856" s="4"/>
      <c r="AJ2856" s="13" t="n">
        <v>1</v>
      </c>
      <c r="AK2856" s="4"/>
      <c r="AL2856" s="4"/>
      <c r="AM2856" s="4"/>
    </row>
    <row r="2857" customFormat="false" ht="23.85" hidden="false" customHeight="false" outlineLevel="0" collapsed="false">
      <c r="A2857" s="4" t="s">
        <v>3338</v>
      </c>
      <c r="B2857" s="4" t="s">
        <v>3834</v>
      </c>
      <c r="C2857" s="4" t="s">
        <v>3834</v>
      </c>
      <c r="D2857" s="12" t="n">
        <v>2019</v>
      </c>
      <c r="E2857" s="4"/>
      <c r="F2857" s="4" t="s">
        <v>1990</v>
      </c>
      <c r="G2857" s="4" t="s">
        <v>170</v>
      </c>
      <c r="H2857" s="4" t="s">
        <v>171</v>
      </c>
      <c r="I2857" s="4" t="s">
        <v>172</v>
      </c>
      <c r="J2857" s="4" t="s">
        <v>513</v>
      </c>
      <c r="K2857" s="4" t="s">
        <v>86</v>
      </c>
      <c r="L2857" s="4"/>
      <c r="M2857" s="4"/>
      <c r="N2857" s="4" t="s">
        <v>2001</v>
      </c>
      <c r="O2857" s="4" t="s">
        <v>66</v>
      </c>
      <c r="P2857" s="4" t="s">
        <v>66</v>
      </c>
      <c r="Q2857" s="4" t="s">
        <v>2019</v>
      </c>
      <c r="R2857" s="4"/>
      <c r="S2857" s="4"/>
      <c r="T2857" s="4"/>
      <c r="U2857" s="4"/>
      <c r="V2857" s="4"/>
      <c r="W2857" s="4"/>
      <c r="X2857" s="4"/>
      <c r="Y2857" s="4"/>
      <c r="Z2857" s="4"/>
      <c r="AA2857" s="4"/>
      <c r="AB2857" s="4"/>
      <c r="AC2857" s="4"/>
      <c r="AD2857" s="4"/>
      <c r="AE2857" s="4"/>
      <c r="AF2857" s="4"/>
      <c r="AG2857" s="4"/>
      <c r="AH2857" s="4"/>
      <c r="AI2857" s="4"/>
      <c r="AJ2857" s="13" t="n">
        <v>0</v>
      </c>
      <c r="AK2857" s="4"/>
      <c r="AL2857" s="4"/>
      <c r="AM2857" s="4"/>
    </row>
    <row r="2858" customFormat="false" ht="23.85" hidden="false" customHeight="false" outlineLevel="0" collapsed="false">
      <c r="A2858" s="4" t="s">
        <v>3338</v>
      </c>
      <c r="B2858" s="4" t="s">
        <v>3835</v>
      </c>
      <c r="C2858" s="4" t="s">
        <v>3835</v>
      </c>
      <c r="D2858" s="12" t="n">
        <v>2019</v>
      </c>
      <c r="E2858" s="4"/>
      <c r="F2858" s="4" t="s">
        <v>1990</v>
      </c>
      <c r="G2858" s="4" t="s">
        <v>170</v>
      </c>
      <c r="H2858" s="4" t="s">
        <v>171</v>
      </c>
      <c r="I2858" s="4" t="s">
        <v>172</v>
      </c>
      <c r="J2858" s="4" t="s">
        <v>513</v>
      </c>
      <c r="K2858" s="4" t="s">
        <v>86</v>
      </c>
      <c r="L2858" s="4"/>
      <c r="M2858" s="4"/>
      <c r="N2858" s="4" t="s">
        <v>1994</v>
      </c>
      <c r="O2858" s="4" t="s">
        <v>1995</v>
      </c>
      <c r="P2858" s="4" t="s">
        <v>66</v>
      </c>
      <c r="Q2858" s="4" t="s">
        <v>2019</v>
      </c>
      <c r="R2858" s="4"/>
      <c r="S2858" s="4"/>
      <c r="T2858" s="4"/>
      <c r="U2858" s="4"/>
      <c r="V2858" s="4"/>
      <c r="W2858" s="4"/>
      <c r="X2858" s="4"/>
      <c r="Y2858" s="4"/>
      <c r="Z2858" s="4"/>
      <c r="AA2858" s="4"/>
      <c r="AB2858" s="4"/>
      <c r="AC2858" s="4"/>
      <c r="AD2858" s="4"/>
      <c r="AE2858" s="4"/>
      <c r="AF2858" s="4"/>
      <c r="AG2858" s="4"/>
      <c r="AH2858" s="4"/>
      <c r="AI2858" s="4"/>
      <c r="AJ2858" s="13" t="n">
        <v>0</v>
      </c>
      <c r="AK2858" s="4"/>
      <c r="AL2858" s="4"/>
      <c r="AM2858" s="4"/>
    </row>
    <row r="2859" customFormat="false" ht="23.85" hidden="false" customHeight="false" outlineLevel="0" collapsed="false">
      <c r="A2859" s="4" t="s">
        <v>3338</v>
      </c>
      <c r="B2859" s="4" t="s">
        <v>3836</v>
      </c>
      <c r="C2859" s="4" t="s">
        <v>3836</v>
      </c>
      <c r="D2859" s="12" t="n">
        <v>2019</v>
      </c>
      <c r="E2859" s="4"/>
      <c r="F2859" s="4" t="s">
        <v>1990</v>
      </c>
      <c r="G2859" s="4" t="s">
        <v>170</v>
      </c>
      <c r="H2859" s="4" t="s">
        <v>171</v>
      </c>
      <c r="I2859" s="4" t="s">
        <v>172</v>
      </c>
      <c r="J2859" s="4" t="s">
        <v>515</v>
      </c>
      <c r="K2859" s="4" t="s">
        <v>86</v>
      </c>
      <c r="L2859" s="4"/>
      <c r="M2859" s="4"/>
      <c r="N2859" s="4" t="s">
        <v>2001</v>
      </c>
      <c r="O2859" s="4" t="s">
        <v>2091</v>
      </c>
      <c r="P2859" s="4" t="s">
        <v>69</v>
      </c>
      <c r="Q2859" s="4" t="s">
        <v>2030</v>
      </c>
      <c r="R2859" s="4"/>
      <c r="S2859" s="4"/>
      <c r="T2859" s="4"/>
      <c r="U2859" s="4"/>
      <c r="V2859" s="4"/>
      <c r="W2859" s="4"/>
      <c r="X2859" s="4"/>
      <c r="Y2859" s="4"/>
      <c r="Z2859" s="4"/>
      <c r="AA2859" s="4"/>
      <c r="AB2859" s="4"/>
      <c r="AC2859" s="4"/>
      <c r="AD2859" s="4"/>
      <c r="AE2859" s="4"/>
      <c r="AF2859" s="4"/>
      <c r="AG2859" s="4"/>
      <c r="AH2859" s="4"/>
      <c r="AI2859" s="4"/>
      <c r="AJ2859" s="13" t="n">
        <v>0</v>
      </c>
      <c r="AK2859" s="4"/>
      <c r="AL2859" s="4"/>
      <c r="AM2859" s="4"/>
    </row>
    <row r="2860" customFormat="false" ht="23.85" hidden="false" customHeight="false" outlineLevel="0" collapsed="false">
      <c r="A2860" s="4" t="s">
        <v>3338</v>
      </c>
      <c r="B2860" s="4" t="s">
        <v>3837</v>
      </c>
      <c r="C2860" s="4" t="s">
        <v>3837</v>
      </c>
      <c r="D2860" s="12" t="n">
        <v>2019</v>
      </c>
      <c r="E2860" s="4"/>
      <c r="F2860" s="4" t="s">
        <v>1990</v>
      </c>
      <c r="G2860" s="4" t="s">
        <v>170</v>
      </c>
      <c r="H2860" s="4" t="s">
        <v>171</v>
      </c>
      <c r="I2860" s="4" t="s">
        <v>172</v>
      </c>
      <c r="J2860" s="4" t="s">
        <v>516</v>
      </c>
      <c r="K2860" s="4" t="s">
        <v>86</v>
      </c>
      <c r="L2860" s="4"/>
      <c r="M2860" s="4"/>
      <c r="N2860" s="4" t="s">
        <v>2001</v>
      </c>
      <c r="O2860" s="4" t="s">
        <v>2034</v>
      </c>
      <c r="P2860" s="4" t="s">
        <v>74</v>
      </c>
      <c r="Q2860" s="4" t="s">
        <v>2035</v>
      </c>
      <c r="R2860" s="4"/>
      <c r="S2860" s="4"/>
      <c r="T2860" s="4"/>
      <c r="U2860" s="4"/>
      <c r="V2860" s="4"/>
      <c r="W2860" s="4"/>
      <c r="X2860" s="4"/>
      <c r="Y2860" s="4"/>
      <c r="Z2860" s="4"/>
      <c r="AA2860" s="4"/>
      <c r="AB2860" s="4"/>
      <c r="AC2860" s="4"/>
      <c r="AD2860" s="4"/>
      <c r="AE2860" s="4"/>
      <c r="AF2860" s="4"/>
      <c r="AG2860" s="4"/>
      <c r="AH2860" s="4"/>
      <c r="AI2860" s="4"/>
      <c r="AJ2860" s="13" t="n">
        <v>0</v>
      </c>
      <c r="AK2860" s="4"/>
      <c r="AL2860" s="4"/>
      <c r="AM2860" s="4"/>
    </row>
    <row r="2861" customFormat="false" ht="23.85" hidden="false" customHeight="false" outlineLevel="0" collapsed="false">
      <c r="A2861" s="4" t="s">
        <v>3338</v>
      </c>
      <c r="B2861" s="4" t="s">
        <v>3838</v>
      </c>
      <c r="C2861" s="4" t="s">
        <v>3838</v>
      </c>
      <c r="D2861" s="12" t="n">
        <v>2019</v>
      </c>
      <c r="E2861" s="4"/>
      <c r="F2861" s="4" t="s">
        <v>1990</v>
      </c>
      <c r="G2861" s="4" t="s">
        <v>170</v>
      </c>
      <c r="H2861" s="4" t="s">
        <v>171</v>
      </c>
      <c r="I2861" s="4" t="s">
        <v>172</v>
      </c>
      <c r="J2861" s="4" t="s">
        <v>517</v>
      </c>
      <c r="K2861" s="4" t="s">
        <v>86</v>
      </c>
      <c r="L2861" s="4"/>
      <c r="M2861" s="4"/>
      <c r="N2861" s="4" t="s">
        <v>2001</v>
      </c>
      <c r="O2861" s="4" t="s">
        <v>2002</v>
      </c>
      <c r="P2861" s="4" t="s">
        <v>67</v>
      </c>
      <c r="Q2861" s="4" t="s">
        <v>2097</v>
      </c>
      <c r="R2861" s="4"/>
      <c r="S2861" s="4"/>
      <c r="T2861" s="4"/>
      <c r="U2861" s="4"/>
      <c r="V2861" s="4"/>
      <c r="W2861" s="4" t="s">
        <v>3395</v>
      </c>
      <c r="X2861" s="4" t="s">
        <v>3396</v>
      </c>
      <c r="Y2861" s="4" t="s">
        <v>3397</v>
      </c>
      <c r="Z2861" s="4"/>
      <c r="AA2861" s="4"/>
      <c r="AB2861" s="4"/>
      <c r="AC2861" s="4" t="s">
        <v>3352</v>
      </c>
      <c r="AD2861" s="4"/>
      <c r="AE2861" s="4"/>
      <c r="AF2861" s="4"/>
      <c r="AG2861" s="4"/>
      <c r="AH2861" s="4"/>
      <c r="AI2861" s="4"/>
      <c r="AJ2861" s="13" t="n">
        <v>1</v>
      </c>
      <c r="AK2861" s="4"/>
      <c r="AL2861" s="4"/>
      <c r="AM2861" s="4"/>
    </row>
    <row r="2862" customFormat="false" ht="23.85" hidden="false" customHeight="false" outlineLevel="0" collapsed="false">
      <c r="A2862" s="4" t="s">
        <v>3338</v>
      </c>
      <c r="B2862" s="4" t="s">
        <v>3839</v>
      </c>
      <c r="C2862" s="4" t="s">
        <v>3839</v>
      </c>
      <c r="D2862" s="12" t="n">
        <v>2019</v>
      </c>
      <c r="E2862" s="4"/>
      <c r="F2862" s="4" t="s">
        <v>1990</v>
      </c>
      <c r="G2862" s="4" t="s">
        <v>170</v>
      </c>
      <c r="H2862" s="4" t="s">
        <v>171</v>
      </c>
      <c r="I2862" s="4" t="s">
        <v>172</v>
      </c>
      <c r="J2862" s="4" t="s">
        <v>527</v>
      </c>
      <c r="K2862" s="4" t="s">
        <v>88</v>
      </c>
      <c r="L2862" s="4"/>
      <c r="M2862" s="4"/>
      <c r="N2862" s="4" t="s">
        <v>1994</v>
      </c>
      <c r="O2862" s="4" t="s">
        <v>65</v>
      </c>
      <c r="P2862" s="4" t="s">
        <v>64</v>
      </c>
      <c r="Q2862" s="4" t="s">
        <v>2044</v>
      </c>
      <c r="R2862" s="4"/>
      <c r="S2862" s="4"/>
      <c r="T2862" s="4"/>
      <c r="U2862" s="4"/>
      <c r="V2862" s="4"/>
      <c r="W2862" s="4"/>
      <c r="X2862" s="4"/>
      <c r="Y2862" s="4"/>
      <c r="Z2862" s="4"/>
      <c r="AA2862" s="4"/>
      <c r="AB2862" s="4"/>
      <c r="AC2862" s="4"/>
      <c r="AD2862" s="4"/>
      <c r="AE2862" s="4"/>
      <c r="AF2862" s="4"/>
      <c r="AG2862" s="4"/>
      <c r="AH2862" s="4"/>
      <c r="AI2862" s="4"/>
      <c r="AJ2862" s="13" t="n">
        <v>0</v>
      </c>
      <c r="AK2862" s="4"/>
      <c r="AL2862" s="4"/>
      <c r="AM2862" s="4"/>
    </row>
    <row r="2863" customFormat="false" ht="23.85" hidden="false" customHeight="false" outlineLevel="0" collapsed="false">
      <c r="A2863" s="4" t="s">
        <v>3338</v>
      </c>
      <c r="B2863" s="4" t="s">
        <v>3840</v>
      </c>
      <c r="C2863" s="4" t="s">
        <v>3840</v>
      </c>
      <c r="D2863" s="12" t="n">
        <v>2019</v>
      </c>
      <c r="E2863" s="4"/>
      <c r="F2863" s="4" t="s">
        <v>1990</v>
      </c>
      <c r="G2863" s="4" t="s">
        <v>170</v>
      </c>
      <c r="H2863" s="4" t="s">
        <v>171</v>
      </c>
      <c r="I2863" s="4" t="s">
        <v>172</v>
      </c>
      <c r="J2863" s="4" t="s">
        <v>532</v>
      </c>
      <c r="K2863" s="4" t="s">
        <v>88</v>
      </c>
      <c r="L2863" s="4"/>
      <c r="M2863" s="4"/>
      <c r="N2863" s="4" t="s">
        <v>2001</v>
      </c>
      <c r="O2863" s="4" t="s">
        <v>66</v>
      </c>
      <c r="P2863" s="4" t="s">
        <v>67</v>
      </c>
      <c r="Q2863" s="4" t="s">
        <v>2003</v>
      </c>
      <c r="R2863" s="4"/>
      <c r="S2863" s="4"/>
      <c r="T2863" s="4"/>
      <c r="U2863" s="4"/>
      <c r="V2863" s="4"/>
      <c r="W2863" s="4" t="s">
        <v>3341</v>
      </c>
      <c r="X2863" s="4" t="s">
        <v>3342</v>
      </c>
      <c r="Y2863" s="4" t="s">
        <v>3362</v>
      </c>
      <c r="Z2863" s="4"/>
      <c r="AA2863" s="4"/>
      <c r="AB2863" s="4"/>
      <c r="AC2863" s="4" t="s">
        <v>3363</v>
      </c>
      <c r="AD2863" s="4"/>
      <c r="AE2863" s="4"/>
      <c r="AF2863" s="4"/>
      <c r="AG2863" s="4"/>
      <c r="AH2863" s="4"/>
      <c r="AI2863" s="4"/>
      <c r="AJ2863" s="13" t="n">
        <v>1</v>
      </c>
      <c r="AK2863" s="4"/>
      <c r="AL2863" s="4"/>
      <c r="AM2863" s="4"/>
    </row>
    <row r="2864" customFormat="false" ht="23.85" hidden="false" customHeight="false" outlineLevel="0" collapsed="false">
      <c r="A2864" s="4" t="s">
        <v>3338</v>
      </c>
      <c r="B2864" s="4" t="s">
        <v>3841</v>
      </c>
      <c r="C2864" s="4" t="s">
        <v>3841</v>
      </c>
      <c r="D2864" s="12" t="n">
        <v>2019</v>
      </c>
      <c r="E2864" s="4"/>
      <c r="F2864" s="4" t="s">
        <v>1990</v>
      </c>
      <c r="G2864" s="4" t="s">
        <v>170</v>
      </c>
      <c r="H2864" s="4" t="s">
        <v>171</v>
      </c>
      <c r="I2864" s="4" t="s">
        <v>172</v>
      </c>
      <c r="J2864" s="4" t="s">
        <v>542</v>
      </c>
      <c r="K2864" s="4" t="s">
        <v>95</v>
      </c>
      <c r="L2864" s="4"/>
      <c r="M2864" s="4"/>
      <c r="N2864" s="4" t="s">
        <v>1994</v>
      </c>
      <c r="O2864" s="4" t="s">
        <v>2029</v>
      </c>
      <c r="P2864" s="4" t="s">
        <v>69</v>
      </c>
      <c r="Q2864" s="4" t="s">
        <v>2030</v>
      </c>
      <c r="R2864" s="4"/>
      <c r="S2864" s="4"/>
      <c r="T2864" s="4"/>
      <c r="U2864" s="4"/>
      <c r="V2864" s="4"/>
      <c r="W2864" s="4"/>
      <c r="X2864" s="4"/>
      <c r="Y2864" s="4"/>
      <c r="Z2864" s="4"/>
      <c r="AA2864" s="4"/>
      <c r="AB2864" s="4"/>
      <c r="AC2864" s="4"/>
      <c r="AD2864" s="4"/>
      <c r="AE2864" s="4"/>
      <c r="AF2864" s="4"/>
      <c r="AG2864" s="4"/>
      <c r="AH2864" s="4"/>
      <c r="AI2864" s="4"/>
      <c r="AJ2864" s="13" t="n">
        <v>0</v>
      </c>
      <c r="AK2864" s="4"/>
      <c r="AL2864" s="4"/>
      <c r="AM2864" s="4"/>
    </row>
    <row r="2865" customFormat="false" ht="23.85" hidden="false" customHeight="false" outlineLevel="0" collapsed="false">
      <c r="A2865" s="4" t="s">
        <v>3338</v>
      </c>
      <c r="B2865" s="4" t="s">
        <v>3842</v>
      </c>
      <c r="C2865" s="4" t="s">
        <v>3842</v>
      </c>
      <c r="D2865" s="12" t="n">
        <v>2019</v>
      </c>
      <c r="E2865" s="4"/>
      <c r="F2865" s="4" t="s">
        <v>1990</v>
      </c>
      <c r="G2865" s="4" t="s">
        <v>170</v>
      </c>
      <c r="H2865" s="4" t="s">
        <v>171</v>
      </c>
      <c r="I2865" s="4" t="s">
        <v>172</v>
      </c>
      <c r="J2865" s="4" t="s">
        <v>544</v>
      </c>
      <c r="K2865" s="4" t="s">
        <v>95</v>
      </c>
      <c r="L2865" s="4"/>
      <c r="M2865" s="4"/>
      <c r="N2865" s="4" t="s">
        <v>2001</v>
      </c>
      <c r="O2865" s="4" t="s">
        <v>2034</v>
      </c>
      <c r="P2865" s="4" t="s">
        <v>74</v>
      </c>
      <c r="Q2865" s="4" t="s">
        <v>2035</v>
      </c>
      <c r="R2865" s="4"/>
      <c r="S2865" s="4"/>
      <c r="T2865" s="4"/>
      <c r="U2865" s="4"/>
      <c r="V2865" s="4"/>
      <c r="W2865" s="4"/>
      <c r="X2865" s="4"/>
      <c r="Y2865" s="4"/>
      <c r="Z2865" s="4"/>
      <c r="AA2865" s="4"/>
      <c r="AB2865" s="4"/>
      <c r="AC2865" s="4"/>
      <c r="AD2865" s="4"/>
      <c r="AE2865" s="4"/>
      <c r="AF2865" s="4"/>
      <c r="AG2865" s="4"/>
      <c r="AH2865" s="4"/>
      <c r="AI2865" s="4"/>
      <c r="AJ2865" s="13" t="n">
        <v>0</v>
      </c>
      <c r="AK2865" s="4"/>
      <c r="AL2865" s="4"/>
      <c r="AM2865" s="4"/>
    </row>
    <row r="2866" customFormat="false" ht="23.85" hidden="false" customHeight="false" outlineLevel="0" collapsed="false">
      <c r="A2866" s="4" t="s">
        <v>3338</v>
      </c>
      <c r="B2866" s="4" t="s">
        <v>3843</v>
      </c>
      <c r="C2866" s="4" t="s">
        <v>3843</v>
      </c>
      <c r="D2866" s="12" t="n">
        <v>2019</v>
      </c>
      <c r="E2866" s="4"/>
      <c r="F2866" s="4" t="s">
        <v>1990</v>
      </c>
      <c r="G2866" s="4" t="s">
        <v>170</v>
      </c>
      <c r="H2866" s="4" t="s">
        <v>171</v>
      </c>
      <c r="I2866" s="4" t="s">
        <v>172</v>
      </c>
      <c r="J2866" s="4" t="s">
        <v>552</v>
      </c>
      <c r="K2866" s="4" t="s">
        <v>95</v>
      </c>
      <c r="L2866" s="4"/>
      <c r="M2866" s="4"/>
      <c r="N2866" s="4" t="s">
        <v>2001</v>
      </c>
      <c r="O2866" s="4" t="s">
        <v>2002</v>
      </c>
      <c r="P2866" s="4" t="s">
        <v>68</v>
      </c>
      <c r="Q2866" s="4" t="s">
        <v>2111</v>
      </c>
      <c r="R2866" s="4"/>
      <c r="S2866" s="4"/>
      <c r="T2866" s="4"/>
      <c r="U2866" s="4"/>
      <c r="V2866" s="4"/>
      <c r="W2866" s="4" t="s">
        <v>3404</v>
      </c>
      <c r="X2866" s="4" t="s">
        <v>3405</v>
      </c>
      <c r="Y2866" s="4" t="inlineStr">
        <is>
          <t>COMB_COQUE</t>
        </is>
      </c>
      <c r="Z2866" s="4"/>
      <c r="AA2866" s="4"/>
      <c r="AB2866" s="4"/>
      <c r="AC2866" s="4" t="s">
        <v>3352</v>
      </c>
      <c r="AD2866" s="4"/>
      <c r="AE2866" s="4"/>
      <c r="AF2866" s="4"/>
      <c r="AG2866" s="4"/>
      <c r="AH2866" s="4"/>
      <c r="AI2866" s="4"/>
      <c r="AJ2866" s="13" t="n">
        <v>1</v>
      </c>
      <c r="AK2866" s="4"/>
      <c r="AL2866" s="4"/>
      <c r="AM2866" s="4"/>
    </row>
    <row r="2867" customFormat="false" ht="23.85" hidden="false" customHeight="false" outlineLevel="0" collapsed="false">
      <c r="A2867" s="4" t="s">
        <v>3338</v>
      </c>
      <c r="B2867" s="4" t="s">
        <v>3844</v>
      </c>
      <c r="C2867" s="4" t="s">
        <v>3844</v>
      </c>
      <c r="D2867" s="12" t="n">
        <v>2019</v>
      </c>
      <c r="E2867" s="4"/>
      <c r="F2867" s="4" t="s">
        <v>1990</v>
      </c>
      <c r="G2867" s="4" t="s">
        <v>170</v>
      </c>
      <c r="H2867" s="4" t="s">
        <v>171</v>
      </c>
      <c r="I2867" s="4" t="s">
        <v>172</v>
      </c>
      <c r="J2867" s="4" t="s">
        <v>556</v>
      </c>
      <c r="K2867" s="4" t="s">
        <v>97</v>
      </c>
      <c r="L2867" s="4"/>
      <c r="M2867" s="4"/>
      <c r="N2867" s="4" t="s">
        <v>1994</v>
      </c>
      <c r="O2867" s="4" t="s">
        <v>2029</v>
      </c>
      <c r="P2867" s="4" t="s">
        <v>69</v>
      </c>
      <c r="Q2867" s="4" t="s">
        <v>2030</v>
      </c>
      <c r="R2867" s="4"/>
      <c r="S2867" s="4"/>
      <c r="T2867" s="4"/>
      <c r="U2867" s="4"/>
      <c r="V2867" s="4"/>
      <c r="W2867" s="4"/>
      <c r="X2867" s="4"/>
      <c r="Y2867" s="4"/>
      <c r="Z2867" s="4"/>
      <c r="AA2867" s="4"/>
      <c r="AB2867" s="4"/>
      <c r="AC2867" s="4"/>
      <c r="AD2867" s="4"/>
      <c r="AE2867" s="4"/>
      <c r="AF2867" s="4"/>
      <c r="AG2867" s="4"/>
      <c r="AH2867" s="4"/>
      <c r="AI2867" s="4"/>
      <c r="AJ2867" s="13" t="n">
        <v>0</v>
      </c>
      <c r="AK2867" s="4"/>
      <c r="AL2867" s="4"/>
      <c r="AM2867" s="4"/>
    </row>
    <row r="2868" customFormat="false" ht="23.85" hidden="false" customHeight="false" outlineLevel="0" collapsed="false">
      <c r="A2868" s="4" t="s">
        <v>3338</v>
      </c>
      <c r="B2868" s="4" t="s">
        <v>3845</v>
      </c>
      <c r="C2868" s="4" t="s">
        <v>3845</v>
      </c>
      <c r="D2868" s="12" t="n">
        <v>2019</v>
      </c>
      <c r="E2868" s="4"/>
      <c r="F2868" s="4" t="s">
        <v>1990</v>
      </c>
      <c r="G2868" s="4" t="s">
        <v>170</v>
      </c>
      <c r="H2868" s="4" t="s">
        <v>171</v>
      </c>
      <c r="I2868" s="4" t="s">
        <v>172</v>
      </c>
      <c r="J2868" s="4" t="s">
        <v>557</v>
      </c>
      <c r="K2868" s="4" t="s">
        <v>97</v>
      </c>
      <c r="L2868" s="4"/>
      <c r="M2868" s="4"/>
      <c r="N2868" s="4" t="s">
        <v>2001</v>
      </c>
      <c r="O2868" s="4" t="s">
        <v>2091</v>
      </c>
      <c r="P2868" s="4" t="s">
        <v>69</v>
      </c>
      <c r="Q2868" s="4" t="s">
        <v>2030</v>
      </c>
      <c r="R2868" s="4"/>
      <c r="S2868" s="4"/>
      <c r="T2868" s="4"/>
      <c r="U2868" s="4"/>
      <c r="V2868" s="4"/>
      <c r="W2868" s="4"/>
      <c r="X2868" s="4"/>
      <c r="Y2868" s="4"/>
      <c r="Z2868" s="4"/>
      <c r="AA2868" s="4"/>
      <c r="AB2868" s="4"/>
      <c r="AC2868" s="4"/>
      <c r="AD2868" s="4"/>
      <c r="AE2868" s="4"/>
      <c r="AF2868" s="4"/>
      <c r="AG2868" s="4"/>
      <c r="AH2868" s="4"/>
      <c r="AI2868" s="4"/>
      <c r="AJ2868" s="13" t="n">
        <v>0</v>
      </c>
      <c r="AK2868" s="4"/>
      <c r="AL2868" s="4"/>
      <c r="AM2868" s="4"/>
    </row>
    <row r="2869" customFormat="false" ht="23.85" hidden="false" customHeight="false" outlineLevel="0" collapsed="false">
      <c r="A2869" s="4" t="s">
        <v>3338</v>
      </c>
      <c r="B2869" s="4" t="s">
        <v>3846</v>
      </c>
      <c r="C2869" s="4" t="s">
        <v>3846</v>
      </c>
      <c r="D2869" s="12" t="n">
        <v>2019</v>
      </c>
      <c r="E2869" s="4"/>
      <c r="F2869" s="4" t="s">
        <v>1990</v>
      </c>
      <c r="G2869" s="4" t="s">
        <v>170</v>
      </c>
      <c r="H2869" s="4" t="s">
        <v>171</v>
      </c>
      <c r="I2869" s="4" t="s">
        <v>172</v>
      </c>
      <c r="J2869" s="4" t="s">
        <v>558</v>
      </c>
      <c r="K2869" s="4" t="s">
        <v>97</v>
      </c>
      <c r="L2869" s="4"/>
      <c r="M2869" s="4"/>
      <c r="N2869" s="4" t="s">
        <v>2001</v>
      </c>
      <c r="O2869" s="4" t="s">
        <v>2034</v>
      </c>
      <c r="P2869" s="4" t="s">
        <v>74</v>
      </c>
      <c r="Q2869" s="4" t="s">
        <v>2035</v>
      </c>
      <c r="R2869" s="4"/>
      <c r="S2869" s="4"/>
      <c r="T2869" s="4"/>
      <c r="U2869" s="4"/>
      <c r="V2869" s="4"/>
      <c r="W2869" s="4"/>
      <c r="X2869" s="4"/>
      <c r="Y2869" s="4"/>
      <c r="Z2869" s="4"/>
      <c r="AA2869" s="4"/>
      <c r="AB2869" s="4"/>
      <c r="AC2869" s="4"/>
      <c r="AD2869" s="4"/>
      <c r="AE2869" s="4"/>
      <c r="AF2869" s="4"/>
      <c r="AG2869" s="4"/>
      <c r="AH2869" s="4"/>
      <c r="AI2869" s="4"/>
      <c r="AJ2869" s="13" t="n">
        <v>0</v>
      </c>
      <c r="AK2869" s="4"/>
      <c r="AL2869" s="4"/>
      <c r="AM2869" s="4"/>
    </row>
    <row r="2870" customFormat="false" ht="23.85" hidden="false" customHeight="false" outlineLevel="0" collapsed="false">
      <c r="A2870" s="4" t="s">
        <v>3338</v>
      </c>
      <c r="B2870" s="4" t="s">
        <v>3847</v>
      </c>
      <c r="C2870" s="4" t="s">
        <v>3847</v>
      </c>
      <c r="D2870" s="12" t="n">
        <v>2019</v>
      </c>
      <c r="E2870" s="4"/>
      <c r="F2870" s="4" t="s">
        <v>1990</v>
      </c>
      <c r="G2870" s="4" t="s">
        <v>170</v>
      </c>
      <c r="H2870" s="4" t="s">
        <v>171</v>
      </c>
      <c r="I2870" s="4" t="s">
        <v>172</v>
      </c>
      <c r="J2870" s="4" t="s">
        <v>560</v>
      </c>
      <c r="K2870" s="4" t="s">
        <v>97</v>
      </c>
      <c r="L2870" s="4"/>
      <c r="M2870" s="4"/>
      <c r="N2870" s="4" t="s">
        <v>2001</v>
      </c>
      <c r="O2870" s="4" t="s">
        <v>2002</v>
      </c>
      <c r="P2870" s="4" t="s">
        <v>67</v>
      </c>
      <c r="Q2870" s="4" t="s">
        <v>2003</v>
      </c>
      <c r="R2870" s="4"/>
      <c r="S2870" s="4"/>
      <c r="T2870" s="4"/>
      <c r="U2870" s="4"/>
      <c r="V2870" s="4"/>
      <c r="W2870" s="4" t="s">
        <v>3341</v>
      </c>
      <c r="X2870" s="4" t="s">
        <v>3342</v>
      </c>
      <c r="Y2870" s="4" t="inlineStr">
        <is>
          <t>COMB_DOIL</t>
        </is>
      </c>
      <c r="Z2870" s="4"/>
      <c r="AA2870" s="4"/>
      <c r="AB2870" s="4"/>
      <c r="AC2870" s="4" t="s">
        <v>3352</v>
      </c>
      <c r="AD2870" s="4"/>
      <c r="AE2870" s="4"/>
      <c r="AF2870" s="4"/>
      <c r="AG2870" s="4"/>
      <c r="AH2870" s="4"/>
      <c r="AI2870" s="4"/>
      <c r="AJ2870" s="13" t="n">
        <v>1</v>
      </c>
      <c r="AK2870" s="4"/>
      <c r="AL2870" s="4"/>
      <c r="AM2870" s="4"/>
    </row>
    <row r="2871" customFormat="false" ht="23.85" hidden="false" customHeight="false" outlineLevel="0" collapsed="false">
      <c r="A2871" s="4" t="s">
        <v>3338</v>
      </c>
      <c r="B2871" s="4" t="s">
        <v>3848</v>
      </c>
      <c r="C2871" s="4" t="s">
        <v>3848</v>
      </c>
      <c r="D2871" s="12" t="n">
        <v>2019</v>
      </c>
      <c r="E2871" s="4"/>
      <c r="F2871" s="4" t="s">
        <v>1990</v>
      </c>
      <c r="G2871" s="4" t="s">
        <v>170</v>
      </c>
      <c r="H2871" s="4" t="s">
        <v>171</v>
      </c>
      <c r="I2871" s="4" t="s">
        <v>172</v>
      </c>
      <c r="J2871" s="4" t="s">
        <v>563</v>
      </c>
      <c r="K2871" s="4" t="s">
        <v>97</v>
      </c>
      <c r="L2871" s="4"/>
      <c r="M2871" s="4"/>
      <c r="N2871" s="4" t="s">
        <v>2001</v>
      </c>
      <c r="O2871" s="4" t="s">
        <v>2002</v>
      </c>
      <c r="P2871" s="4" t="s">
        <v>71</v>
      </c>
      <c r="Q2871" s="4" t="s">
        <v>2123</v>
      </c>
      <c r="R2871" s="4"/>
      <c r="S2871" s="4"/>
      <c r="T2871" s="4"/>
      <c r="U2871" s="4"/>
      <c r="V2871" s="4"/>
      <c r="W2871" s="4" t="s">
        <v>3412</v>
      </c>
      <c r="X2871" s="4" t="s">
        <v>3413</v>
      </c>
      <c r="Y2871" s="4" t="inlineStr">
        <is>
          <t>COMB_DOIL</t>
        </is>
      </c>
      <c r="Z2871" s="4"/>
      <c r="AA2871" s="4"/>
      <c r="AB2871" s="4"/>
      <c r="AC2871" s="4" t="s">
        <v>3352</v>
      </c>
      <c r="AD2871" s="4"/>
      <c r="AE2871" s="4"/>
      <c r="AF2871" s="4"/>
      <c r="AG2871" s="4"/>
      <c r="AH2871" s="4"/>
      <c r="AI2871" s="4"/>
      <c r="AJ2871" s="13" t="n">
        <v>1</v>
      </c>
      <c r="AK2871" s="4"/>
      <c r="AL2871" s="4"/>
      <c r="AM2871" s="4"/>
    </row>
    <row r="2872" customFormat="false" ht="23.85" hidden="false" customHeight="false" outlineLevel="0" collapsed="false">
      <c r="A2872" s="4" t="s">
        <v>3338</v>
      </c>
      <c r="B2872" s="4" t="s">
        <v>3849</v>
      </c>
      <c r="C2872" s="4" t="s">
        <v>3849</v>
      </c>
      <c r="D2872" s="12" t="n">
        <v>2019</v>
      </c>
      <c r="E2872" s="4"/>
      <c r="F2872" s="4" t="s">
        <v>1990</v>
      </c>
      <c r="G2872" s="4" t="s">
        <v>170</v>
      </c>
      <c r="H2872" s="4" t="s">
        <v>171</v>
      </c>
      <c r="I2872" s="4" t="s">
        <v>172</v>
      </c>
      <c r="J2872" s="4" t="s">
        <v>566</v>
      </c>
      <c r="K2872" s="4" t="s">
        <v>97</v>
      </c>
      <c r="L2872" s="4"/>
      <c r="M2872" s="4"/>
      <c r="N2872" s="4" t="s">
        <v>2001</v>
      </c>
      <c r="O2872" s="4" t="s">
        <v>2002</v>
      </c>
      <c r="P2872" s="4" t="s">
        <v>68</v>
      </c>
      <c r="Q2872" s="4" t="s">
        <v>2111</v>
      </c>
      <c r="R2872" s="4"/>
      <c r="S2872" s="4"/>
      <c r="T2872" s="4"/>
      <c r="U2872" s="4"/>
      <c r="V2872" s="4"/>
      <c r="W2872" s="4" t="s">
        <v>3404</v>
      </c>
      <c r="X2872" s="4" t="s">
        <v>3405</v>
      </c>
      <c r="Y2872" s="4" t="inlineStr">
        <is>
          <t>COMB_DOIL</t>
        </is>
      </c>
      <c r="Z2872" s="4"/>
      <c r="AA2872" s="4"/>
      <c r="AB2872" s="4"/>
      <c r="AC2872" s="4" t="s">
        <v>3352</v>
      </c>
      <c r="AD2872" s="4"/>
      <c r="AE2872" s="4"/>
      <c r="AF2872" s="4"/>
      <c r="AG2872" s="4"/>
      <c r="AH2872" s="4"/>
      <c r="AI2872" s="4"/>
      <c r="AJ2872" s="13" t="n">
        <v>1</v>
      </c>
      <c r="AK2872" s="4"/>
      <c r="AL2872" s="4"/>
      <c r="AM2872" s="4"/>
    </row>
    <row r="2873" customFormat="false" ht="23.85" hidden="false" customHeight="false" outlineLevel="0" collapsed="false">
      <c r="A2873" s="4" t="s">
        <v>3338</v>
      </c>
      <c r="B2873" s="4" t="s">
        <v>3850</v>
      </c>
      <c r="C2873" s="4" t="s">
        <v>3850</v>
      </c>
      <c r="D2873" s="12" t="n">
        <v>2019</v>
      </c>
      <c r="E2873" s="4"/>
      <c r="F2873" s="4" t="s">
        <v>1990</v>
      </c>
      <c r="G2873" s="4" t="s">
        <v>170</v>
      </c>
      <c r="H2873" s="4" t="s">
        <v>171</v>
      </c>
      <c r="I2873" s="4" t="s">
        <v>172</v>
      </c>
      <c r="J2873" s="4" t="s">
        <v>570</v>
      </c>
      <c r="K2873" s="4" t="s">
        <v>99</v>
      </c>
      <c r="L2873" s="4"/>
      <c r="M2873" s="4"/>
      <c r="N2873" s="4" t="s">
        <v>1994</v>
      </c>
      <c r="O2873" s="4" t="s">
        <v>2029</v>
      </c>
      <c r="P2873" s="4" t="s">
        <v>69</v>
      </c>
      <c r="Q2873" s="4" t="s">
        <v>2030</v>
      </c>
      <c r="R2873" s="4"/>
      <c r="S2873" s="4"/>
      <c r="T2873" s="4"/>
      <c r="U2873" s="4"/>
      <c r="V2873" s="4"/>
      <c r="W2873" s="4"/>
      <c r="X2873" s="4"/>
      <c r="Y2873" s="4"/>
      <c r="Z2873" s="4"/>
      <c r="AA2873" s="4"/>
      <c r="AB2873" s="4"/>
      <c r="AC2873" s="4"/>
      <c r="AD2873" s="4"/>
      <c r="AE2873" s="4"/>
      <c r="AF2873" s="4"/>
      <c r="AG2873" s="4"/>
      <c r="AH2873" s="4"/>
      <c r="AI2873" s="4"/>
      <c r="AJ2873" s="13" t="n">
        <v>0</v>
      </c>
      <c r="AK2873" s="4"/>
      <c r="AL2873" s="4"/>
      <c r="AM2873" s="4"/>
    </row>
    <row r="2874" customFormat="false" ht="23.85" hidden="false" customHeight="false" outlineLevel="0" collapsed="false">
      <c r="A2874" s="4" t="s">
        <v>3338</v>
      </c>
      <c r="B2874" s="4" t="s">
        <v>3851</v>
      </c>
      <c r="C2874" s="4" t="s">
        <v>3851</v>
      </c>
      <c r="D2874" s="12" t="n">
        <v>2019</v>
      </c>
      <c r="E2874" s="4"/>
      <c r="F2874" s="4" t="s">
        <v>1990</v>
      </c>
      <c r="G2874" s="4" t="s">
        <v>170</v>
      </c>
      <c r="H2874" s="4" t="s">
        <v>171</v>
      </c>
      <c r="I2874" s="4" t="s">
        <v>172</v>
      </c>
      <c r="J2874" s="4" t="s">
        <v>571</v>
      </c>
      <c r="K2874" s="4" t="s">
        <v>99</v>
      </c>
      <c r="L2874" s="4"/>
      <c r="M2874" s="4"/>
      <c r="N2874" s="4" t="s">
        <v>2001</v>
      </c>
      <c r="O2874" s="4" t="s">
        <v>2091</v>
      </c>
      <c r="P2874" s="4" t="s">
        <v>69</v>
      </c>
      <c r="Q2874" s="4" t="s">
        <v>2030</v>
      </c>
      <c r="R2874" s="4"/>
      <c r="S2874" s="4"/>
      <c r="T2874" s="4"/>
      <c r="U2874" s="4"/>
      <c r="V2874" s="4"/>
      <c r="W2874" s="4"/>
      <c r="X2874" s="4"/>
      <c r="Y2874" s="4"/>
      <c r="Z2874" s="4"/>
      <c r="AA2874" s="4"/>
      <c r="AB2874" s="4"/>
      <c r="AC2874" s="4"/>
      <c r="AD2874" s="4"/>
      <c r="AE2874" s="4"/>
      <c r="AF2874" s="4"/>
      <c r="AG2874" s="4"/>
      <c r="AH2874" s="4"/>
      <c r="AI2874" s="4"/>
      <c r="AJ2874" s="13" t="n">
        <v>0</v>
      </c>
      <c r="AK2874" s="4"/>
      <c r="AL2874" s="4"/>
      <c r="AM2874" s="4"/>
    </row>
    <row r="2875" customFormat="false" ht="23.85" hidden="false" customHeight="false" outlineLevel="0" collapsed="false">
      <c r="A2875" s="4" t="s">
        <v>3338</v>
      </c>
      <c r="B2875" s="4" t="s">
        <v>3852</v>
      </c>
      <c r="C2875" s="4" t="s">
        <v>3852</v>
      </c>
      <c r="D2875" s="12" t="n">
        <v>2019</v>
      </c>
      <c r="E2875" s="4"/>
      <c r="F2875" s="4" t="s">
        <v>1990</v>
      </c>
      <c r="G2875" s="4" t="s">
        <v>170</v>
      </c>
      <c r="H2875" s="4" t="s">
        <v>171</v>
      </c>
      <c r="I2875" s="4" t="s">
        <v>172</v>
      </c>
      <c r="J2875" s="4" t="s">
        <v>574</v>
      </c>
      <c r="K2875" s="4" t="s">
        <v>99</v>
      </c>
      <c r="L2875" s="4"/>
      <c r="M2875" s="4"/>
      <c r="N2875" s="4" t="s">
        <v>1994</v>
      </c>
      <c r="O2875" s="4" t="s">
        <v>1995</v>
      </c>
      <c r="P2875" s="4" t="s">
        <v>67</v>
      </c>
      <c r="Q2875" s="4" t="s">
        <v>2003</v>
      </c>
      <c r="R2875" s="4"/>
      <c r="S2875" s="4"/>
      <c r="T2875" s="4"/>
      <c r="U2875" s="4"/>
      <c r="V2875" s="4"/>
      <c r="W2875" s="4" t="s">
        <v>3341</v>
      </c>
      <c r="X2875" s="4" t="s">
        <v>3342</v>
      </c>
      <c r="Y2875" s="4" t="s">
        <v>3362</v>
      </c>
      <c r="Z2875" s="4"/>
      <c r="AA2875" s="4"/>
      <c r="AB2875" s="4"/>
      <c r="AC2875" s="4" t="s">
        <v>3363</v>
      </c>
      <c r="AD2875" s="4"/>
      <c r="AE2875" s="4"/>
      <c r="AF2875" s="4"/>
      <c r="AG2875" s="4"/>
      <c r="AH2875" s="4"/>
      <c r="AI2875" s="4"/>
      <c r="AJ2875" s="13" t="n">
        <v>1</v>
      </c>
      <c r="AK2875" s="4"/>
      <c r="AL2875" s="4"/>
      <c r="AM2875" s="4"/>
    </row>
    <row r="2876" customFormat="false" ht="23.85" hidden="false" customHeight="false" outlineLevel="0" collapsed="false">
      <c r="A2876" s="4" t="s">
        <v>3338</v>
      </c>
      <c r="B2876" s="4" t="s">
        <v>3853</v>
      </c>
      <c r="C2876" s="4" t="s">
        <v>3853</v>
      </c>
      <c r="D2876" s="12" t="n">
        <v>2019</v>
      </c>
      <c r="E2876" s="4"/>
      <c r="F2876" s="4" t="s">
        <v>1990</v>
      </c>
      <c r="G2876" s="4" t="s">
        <v>170</v>
      </c>
      <c r="H2876" s="4" t="s">
        <v>171</v>
      </c>
      <c r="I2876" s="4" t="s">
        <v>172</v>
      </c>
      <c r="J2876" s="4" t="s">
        <v>575</v>
      </c>
      <c r="K2876" s="4" t="s">
        <v>99</v>
      </c>
      <c r="L2876" s="4"/>
      <c r="M2876" s="4"/>
      <c r="N2876" s="4" t="s">
        <v>1994</v>
      </c>
      <c r="O2876" s="4" t="s">
        <v>1995</v>
      </c>
      <c r="P2876" s="4" t="s">
        <v>67</v>
      </c>
      <c r="Q2876" s="4" t="s">
        <v>2008</v>
      </c>
      <c r="R2876" s="4"/>
      <c r="S2876" s="4"/>
      <c r="T2876" s="4"/>
      <c r="U2876" s="4"/>
      <c r="V2876" s="4"/>
      <c r="W2876" s="4" t="s">
        <v>3341</v>
      </c>
      <c r="X2876" s="4" t="s">
        <v>3342</v>
      </c>
      <c r="Y2876" s="4" t="s">
        <v>3362</v>
      </c>
      <c r="Z2876" s="4"/>
      <c r="AA2876" s="4"/>
      <c r="AB2876" s="4"/>
      <c r="AC2876" s="4" t="s">
        <v>3363</v>
      </c>
      <c r="AD2876" s="4"/>
      <c r="AE2876" s="4"/>
      <c r="AF2876" s="4"/>
      <c r="AG2876" s="4"/>
      <c r="AH2876" s="4"/>
      <c r="AI2876" s="4"/>
      <c r="AJ2876" s="13" t="n">
        <v>1</v>
      </c>
      <c r="AK2876" s="4"/>
      <c r="AL2876" s="4"/>
      <c r="AM2876" s="4"/>
    </row>
    <row r="2877" customFormat="false" ht="23.85" hidden="false" customHeight="false" outlineLevel="0" collapsed="false">
      <c r="A2877" s="4" t="s">
        <v>3338</v>
      </c>
      <c r="B2877" s="4" t="s">
        <v>3854</v>
      </c>
      <c r="C2877" s="4" t="s">
        <v>3854</v>
      </c>
      <c r="D2877" s="12" t="n">
        <v>2019</v>
      </c>
      <c r="E2877" s="4"/>
      <c r="F2877" s="4" t="s">
        <v>1990</v>
      </c>
      <c r="G2877" s="4" t="s">
        <v>170</v>
      </c>
      <c r="H2877" s="4" t="s">
        <v>171</v>
      </c>
      <c r="I2877" s="4" t="s">
        <v>172</v>
      </c>
      <c r="J2877" s="4" t="s">
        <v>576</v>
      </c>
      <c r="K2877" s="4" t="s">
        <v>99</v>
      </c>
      <c r="L2877" s="4"/>
      <c r="M2877" s="4"/>
      <c r="N2877" s="4" t="s">
        <v>2001</v>
      </c>
      <c r="O2877" s="4" t="s">
        <v>2002</v>
      </c>
      <c r="P2877" s="4" t="s">
        <v>67</v>
      </c>
      <c r="Q2877" s="4" t="s">
        <v>2139</v>
      </c>
      <c r="R2877" s="4"/>
      <c r="S2877" s="4"/>
      <c r="T2877" s="4"/>
      <c r="U2877" s="4"/>
      <c r="V2877" s="4"/>
      <c r="W2877" s="4" t="s">
        <v>3420</v>
      </c>
      <c r="X2877" s="4" t="s">
        <v>3421</v>
      </c>
      <c r="Y2877" s="4" t="s">
        <v>3362</v>
      </c>
      <c r="Z2877" s="4"/>
      <c r="AA2877" s="4"/>
      <c r="AB2877" s="4"/>
      <c r="AC2877" s="4" t="s">
        <v>3363</v>
      </c>
      <c r="AD2877" s="4"/>
      <c r="AE2877" s="4"/>
      <c r="AF2877" s="4"/>
      <c r="AG2877" s="4"/>
      <c r="AH2877" s="4"/>
      <c r="AI2877" s="4"/>
      <c r="AJ2877" s="13" t="n">
        <v>1</v>
      </c>
      <c r="AK2877" s="4"/>
      <c r="AL2877" s="4"/>
      <c r="AM2877" s="4"/>
    </row>
    <row r="2878" customFormat="false" ht="23.85" hidden="false" customHeight="false" outlineLevel="0" collapsed="false">
      <c r="A2878" s="4" t="s">
        <v>3338</v>
      </c>
      <c r="B2878" s="4" t="s">
        <v>3855</v>
      </c>
      <c r="C2878" s="4" t="s">
        <v>3855</v>
      </c>
      <c r="D2878" s="12" t="n">
        <v>2019</v>
      </c>
      <c r="E2878" s="4"/>
      <c r="F2878" s="4" t="s">
        <v>1990</v>
      </c>
      <c r="G2878" s="4" t="s">
        <v>170</v>
      </c>
      <c r="H2878" s="4" t="s">
        <v>171</v>
      </c>
      <c r="I2878" s="4" t="s">
        <v>172</v>
      </c>
      <c r="J2878" s="4" t="s">
        <v>578</v>
      </c>
      <c r="K2878" s="4" t="s">
        <v>99</v>
      </c>
      <c r="L2878" s="4"/>
      <c r="M2878" s="4"/>
      <c r="N2878" s="4" t="s">
        <v>2001</v>
      </c>
      <c r="O2878" s="4" t="s">
        <v>2074</v>
      </c>
      <c r="P2878" s="4" t="s">
        <v>73</v>
      </c>
      <c r="Q2878" s="4" t="s">
        <v>2075</v>
      </c>
      <c r="R2878" s="4"/>
      <c r="S2878" s="4"/>
      <c r="T2878" s="4"/>
      <c r="U2878" s="4"/>
      <c r="V2878" s="4"/>
      <c r="W2878" s="4" t="s">
        <v>3380</v>
      </c>
      <c r="X2878" s="4" t="s">
        <v>3381</v>
      </c>
      <c r="Y2878" s="4" t="s">
        <v>3362</v>
      </c>
      <c r="Z2878" s="4"/>
      <c r="AA2878" s="4"/>
      <c r="AB2878" s="4"/>
      <c r="AC2878" s="4" t="s">
        <v>3363</v>
      </c>
      <c r="AD2878" s="4"/>
      <c r="AE2878" s="4"/>
      <c r="AF2878" s="4"/>
      <c r="AG2878" s="4"/>
      <c r="AH2878" s="4"/>
      <c r="AI2878" s="4"/>
      <c r="AJ2878" s="13" t="n">
        <v>1</v>
      </c>
      <c r="AK2878" s="4"/>
      <c r="AL2878" s="4"/>
      <c r="AM2878" s="4"/>
    </row>
    <row r="2879" customFormat="false" ht="23.85" hidden="false" customHeight="false" outlineLevel="0" collapsed="false">
      <c r="A2879" s="4" t="s">
        <v>3338</v>
      </c>
      <c r="B2879" s="4" t="s">
        <v>3856</v>
      </c>
      <c r="C2879" s="4" t="s">
        <v>3856</v>
      </c>
      <c r="D2879" s="12" t="n">
        <v>2019</v>
      </c>
      <c r="E2879" s="4"/>
      <c r="F2879" s="4" t="s">
        <v>1990</v>
      </c>
      <c r="G2879" s="4" t="s">
        <v>170</v>
      </c>
      <c r="H2879" s="4" t="s">
        <v>171</v>
      </c>
      <c r="I2879" s="4" t="s">
        <v>172</v>
      </c>
      <c r="J2879" s="4" t="s">
        <v>579</v>
      </c>
      <c r="K2879" s="4" t="s">
        <v>99</v>
      </c>
      <c r="L2879" s="4"/>
      <c r="M2879" s="4"/>
      <c r="N2879" s="4" t="s">
        <v>2001</v>
      </c>
      <c r="O2879" s="4" t="s">
        <v>2002</v>
      </c>
      <c r="P2879" s="4" t="s">
        <v>72</v>
      </c>
      <c r="Q2879" s="4" t="s">
        <v>2079</v>
      </c>
      <c r="R2879" s="4"/>
      <c r="S2879" s="4"/>
      <c r="T2879" s="4"/>
      <c r="U2879" s="4"/>
      <c r="V2879" s="4"/>
      <c r="W2879" s="4" t="s">
        <v>3383</v>
      </c>
      <c r="X2879" s="4" t="s">
        <v>3384</v>
      </c>
      <c r="Y2879" s="4" t="s">
        <v>3362</v>
      </c>
      <c r="Z2879" s="4"/>
      <c r="AA2879" s="4"/>
      <c r="AB2879" s="4"/>
      <c r="AC2879" s="4" t="s">
        <v>3363</v>
      </c>
      <c r="AD2879" s="4"/>
      <c r="AE2879" s="4"/>
      <c r="AF2879" s="4"/>
      <c r="AG2879" s="4"/>
      <c r="AH2879" s="4"/>
      <c r="AI2879" s="4"/>
      <c r="AJ2879" s="13" t="n">
        <v>1</v>
      </c>
      <c r="AK2879" s="4"/>
      <c r="AL2879" s="4"/>
      <c r="AM2879" s="4"/>
    </row>
    <row r="2880" customFormat="false" ht="23.85" hidden="false" customHeight="false" outlineLevel="0" collapsed="false">
      <c r="A2880" s="4" t="s">
        <v>3338</v>
      </c>
      <c r="B2880" s="4" t="s">
        <v>3857</v>
      </c>
      <c r="C2880" s="4" t="s">
        <v>3857</v>
      </c>
      <c r="D2880" s="12" t="n">
        <v>2019</v>
      </c>
      <c r="E2880" s="4"/>
      <c r="F2880" s="4" t="s">
        <v>1990</v>
      </c>
      <c r="G2880" s="4" t="s">
        <v>170</v>
      </c>
      <c r="H2880" s="4" t="s">
        <v>171</v>
      </c>
      <c r="I2880" s="4" t="s">
        <v>172</v>
      </c>
      <c r="J2880" s="4" t="s">
        <v>580</v>
      </c>
      <c r="K2880" s="4" t="s">
        <v>99</v>
      </c>
      <c r="L2880" s="4"/>
      <c r="M2880" s="4"/>
      <c r="N2880" s="4" t="s">
        <v>2001</v>
      </c>
      <c r="O2880" s="4" t="s">
        <v>2002</v>
      </c>
      <c r="P2880" s="4" t="s">
        <v>68</v>
      </c>
      <c r="Q2880" s="4" t="s">
        <v>2111</v>
      </c>
      <c r="R2880" s="4"/>
      <c r="S2880" s="4"/>
      <c r="T2880" s="4"/>
      <c r="U2880" s="4"/>
      <c r="V2880" s="4"/>
      <c r="W2880" s="4" t="s">
        <v>3404</v>
      </c>
      <c r="X2880" s="4" t="s">
        <v>3405</v>
      </c>
      <c r="Y2880" s="4" t="s">
        <v>3362</v>
      </c>
      <c r="Z2880" s="4"/>
      <c r="AA2880" s="4"/>
      <c r="AB2880" s="4"/>
      <c r="AC2880" s="4" t="s">
        <v>3363</v>
      </c>
      <c r="AD2880" s="4"/>
      <c r="AE2880" s="4"/>
      <c r="AF2880" s="4"/>
      <c r="AG2880" s="4"/>
      <c r="AH2880" s="4"/>
      <c r="AI2880" s="4"/>
      <c r="AJ2880" s="13" t="n">
        <v>1</v>
      </c>
      <c r="AK2880" s="4"/>
      <c r="AL2880" s="4"/>
      <c r="AM2880" s="4"/>
    </row>
    <row r="2881" customFormat="false" ht="23.85" hidden="false" customHeight="false" outlineLevel="0" collapsed="false">
      <c r="A2881" s="4" t="s">
        <v>3338</v>
      </c>
      <c r="B2881" s="4" t="s">
        <v>3858</v>
      </c>
      <c r="C2881" s="4" t="s">
        <v>3858</v>
      </c>
      <c r="D2881" s="12" t="n">
        <v>2019</v>
      </c>
      <c r="E2881" s="4"/>
      <c r="F2881" s="4" t="s">
        <v>1990</v>
      </c>
      <c r="G2881" s="4" t="s">
        <v>170</v>
      </c>
      <c r="H2881" s="4" t="s">
        <v>171</v>
      </c>
      <c r="I2881" s="4" t="s">
        <v>172</v>
      </c>
      <c r="J2881" s="4" t="s">
        <v>582</v>
      </c>
      <c r="K2881" s="4" t="s">
        <v>99</v>
      </c>
      <c r="L2881" s="4"/>
      <c r="M2881" s="4"/>
      <c r="N2881" s="4" t="s">
        <v>2001</v>
      </c>
      <c r="O2881" s="4" t="s">
        <v>2002</v>
      </c>
      <c r="P2881" s="4" t="s">
        <v>67</v>
      </c>
      <c r="Q2881" s="4" t="s">
        <v>2151</v>
      </c>
      <c r="R2881" s="4"/>
      <c r="S2881" s="4"/>
      <c r="T2881" s="4"/>
      <c r="U2881" s="4"/>
      <c r="V2881" s="4"/>
      <c r="W2881" s="4"/>
      <c r="X2881" s="4"/>
      <c r="Y2881" s="4"/>
      <c r="Z2881" s="4"/>
      <c r="AA2881" s="4"/>
      <c r="AB2881" s="4"/>
      <c r="AC2881" s="4"/>
      <c r="AD2881" s="4"/>
      <c r="AE2881" s="4"/>
      <c r="AF2881" s="4"/>
      <c r="AG2881" s="4"/>
      <c r="AH2881" s="4"/>
      <c r="AI2881" s="4"/>
      <c r="AJ2881" s="13" t="n">
        <v>0</v>
      </c>
      <c r="AK2881" s="4"/>
      <c r="AL2881" s="4"/>
      <c r="AM2881" s="4"/>
    </row>
    <row r="2882" customFormat="false" ht="23.85" hidden="false" customHeight="false" outlineLevel="0" collapsed="false">
      <c r="A2882" s="4" t="s">
        <v>3338</v>
      </c>
      <c r="B2882" s="4" t="s">
        <v>3859</v>
      </c>
      <c r="C2882" s="4" t="s">
        <v>3859</v>
      </c>
      <c r="D2882" s="12" t="n">
        <v>2019</v>
      </c>
      <c r="E2882" s="4"/>
      <c r="F2882" s="4" t="s">
        <v>1990</v>
      </c>
      <c r="G2882" s="4" t="s">
        <v>170</v>
      </c>
      <c r="H2882" s="4" t="s">
        <v>171</v>
      </c>
      <c r="I2882" s="4" t="s">
        <v>172</v>
      </c>
      <c r="J2882" s="4" t="s">
        <v>582</v>
      </c>
      <c r="K2882" s="4" t="s">
        <v>99</v>
      </c>
      <c r="L2882" s="4"/>
      <c r="M2882" s="4"/>
      <c r="N2882" s="4" t="s">
        <v>1994</v>
      </c>
      <c r="O2882" s="4" t="s">
        <v>2156</v>
      </c>
      <c r="P2882" s="4" t="s">
        <v>67</v>
      </c>
      <c r="Q2882" s="4" t="s">
        <v>2151</v>
      </c>
      <c r="R2882" s="4"/>
      <c r="S2882" s="4"/>
      <c r="T2882" s="4"/>
      <c r="U2882" s="4"/>
      <c r="V2882" s="4"/>
      <c r="W2882" s="4"/>
      <c r="X2882" s="4"/>
      <c r="Y2882" s="4"/>
      <c r="Z2882" s="4"/>
      <c r="AA2882" s="4"/>
      <c r="AB2882" s="4"/>
      <c r="AC2882" s="4"/>
      <c r="AD2882" s="4"/>
      <c r="AE2882" s="4"/>
      <c r="AF2882" s="4"/>
      <c r="AG2882" s="4"/>
      <c r="AH2882" s="4"/>
      <c r="AI2882" s="4"/>
      <c r="AJ2882" s="13" t="n">
        <v>0</v>
      </c>
      <c r="AK2882" s="4"/>
      <c r="AL2882" s="4"/>
      <c r="AM2882" s="4"/>
    </row>
    <row r="2883" customFormat="false" ht="23.85" hidden="false" customHeight="false" outlineLevel="0" collapsed="false">
      <c r="A2883" s="4" t="s">
        <v>3338</v>
      </c>
      <c r="B2883" s="4" t="s">
        <v>3860</v>
      </c>
      <c r="C2883" s="4" t="s">
        <v>3860</v>
      </c>
      <c r="D2883" s="12" t="n">
        <v>2019</v>
      </c>
      <c r="E2883" s="4"/>
      <c r="F2883" s="4" t="s">
        <v>1990</v>
      </c>
      <c r="G2883" s="4" t="s">
        <v>170</v>
      </c>
      <c r="H2883" s="4" t="s">
        <v>171</v>
      </c>
      <c r="I2883" s="4" t="s">
        <v>172</v>
      </c>
      <c r="J2883" s="4" t="s">
        <v>582</v>
      </c>
      <c r="K2883" s="4" t="s">
        <v>99</v>
      </c>
      <c r="L2883" s="4"/>
      <c r="M2883" s="4"/>
      <c r="N2883" s="4" t="s">
        <v>2001</v>
      </c>
      <c r="O2883" s="4" t="s">
        <v>2160</v>
      </c>
      <c r="P2883" s="4" t="s">
        <v>64</v>
      </c>
      <c r="Q2883" s="4" t="s">
        <v>2151</v>
      </c>
      <c r="R2883" s="4"/>
      <c r="S2883" s="4"/>
      <c r="T2883" s="4"/>
      <c r="U2883" s="4"/>
      <c r="V2883" s="4"/>
      <c r="W2883" s="4"/>
      <c r="X2883" s="4"/>
      <c r="Y2883" s="4"/>
      <c r="Z2883" s="4"/>
      <c r="AA2883" s="4"/>
      <c r="AB2883" s="4"/>
      <c r="AC2883" s="4"/>
      <c r="AD2883" s="4"/>
      <c r="AE2883" s="4"/>
      <c r="AF2883" s="4"/>
      <c r="AG2883" s="4"/>
      <c r="AH2883" s="4"/>
      <c r="AI2883" s="4"/>
      <c r="AJ2883" s="13" t="n">
        <v>0</v>
      </c>
      <c r="AK2883" s="4"/>
      <c r="AL2883" s="4"/>
      <c r="AM2883" s="4"/>
    </row>
    <row r="2884" customFormat="false" ht="23.85" hidden="false" customHeight="false" outlineLevel="0" collapsed="false">
      <c r="A2884" s="4" t="s">
        <v>3338</v>
      </c>
      <c r="B2884" s="4" t="s">
        <v>3861</v>
      </c>
      <c r="C2884" s="4" t="s">
        <v>3861</v>
      </c>
      <c r="D2884" s="12" t="n">
        <v>2019</v>
      </c>
      <c r="E2884" s="4"/>
      <c r="F2884" s="4" t="s">
        <v>1990</v>
      </c>
      <c r="G2884" s="4" t="s">
        <v>170</v>
      </c>
      <c r="H2884" s="4" t="s">
        <v>171</v>
      </c>
      <c r="I2884" s="4" t="s">
        <v>172</v>
      </c>
      <c r="J2884" s="4" t="s">
        <v>584</v>
      </c>
      <c r="K2884" s="4" t="s">
        <v>101</v>
      </c>
      <c r="L2884" s="4"/>
      <c r="M2884" s="4"/>
      <c r="N2884" s="4" t="s">
        <v>1994</v>
      </c>
      <c r="O2884" s="4" t="s">
        <v>2029</v>
      </c>
      <c r="P2884" s="4" t="s">
        <v>69</v>
      </c>
      <c r="Q2884" s="4" t="s">
        <v>2030</v>
      </c>
      <c r="R2884" s="4"/>
      <c r="S2884" s="4"/>
      <c r="T2884" s="4"/>
      <c r="U2884" s="4"/>
      <c r="V2884" s="4"/>
      <c r="W2884" s="4"/>
      <c r="X2884" s="4"/>
      <c r="Y2884" s="4"/>
      <c r="Z2884" s="4"/>
      <c r="AA2884" s="4"/>
      <c r="AB2884" s="4"/>
      <c r="AC2884" s="4"/>
      <c r="AD2884" s="4"/>
      <c r="AE2884" s="4"/>
      <c r="AF2884" s="4"/>
      <c r="AG2884" s="4"/>
      <c r="AH2884" s="4"/>
      <c r="AI2884" s="4"/>
      <c r="AJ2884" s="13" t="n">
        <v>0</v>
      </c>
      <c r="AK2884" s="4"/>
      <c r="AL2884" s="4"/>
      <c r="AM2884" s="4"/>
    </row>
    <row r="2885" customFormat="false" ht="23.85" hidden="false" customHeight="false" outlineLevel="0" collapsed="false">
      <c r="A2885" s="4" t="s">
        <v>3338</v>
      </c>
      <c r="B2885" s="4" t="s">
        <v>3862</v>
      </c>
      <c r="C2885" s="4" t="s">
        <v>3862</v>
      </c>
      <c r="D2885" s="12" t="n">
        <v>2019</v>
      </c>
      <c r="E2885" s="4"/>
      <c r="F2885" s="4" t="s">
        <v>1990</v>
      </c>
      <c r="G2885" s="4" t="s">
        <v>170</v>
      </c>
      <c r="H2885" s="4" t="s">
        <v>171</v>
      </c>
      <c r="I2885" s="4" t="s">
        <v>172</v>
      </c>
      <c r="J2885" s="4" t="s">
        <v>585</v>
      </c>
      <c r="K2885" s="4" t="s">
        <v>101</v>
      </c>
      <c r="L2885" s="4"/>
      <c r="M2885" s="4"/>
      <c r="N2885" s="4" t="s">
        <v>2001</v>
      </c>
      <c r="O2885" s="4" t="s">
        <v>2091</v>
      </c>
      <c r="P2885" s="4" t="s">
        <v>69</v>
      </c>
      <c r="Q2885" s="4" t="s">
        <v>2030</v>
      </c>
      <c r="R2885" s="4"/>
      <c r="S2885" s="4"/>
      <c r="T2885" s="4"/>
      <c r="U2885" s="4"/>
      <c r="V2885" s="4"/>
      <c r="W2885" s="4"/>
      <c r="X2885" s="4"/>
      <c r="Y2885" s="4"/>
      <c r="Z2885" s="4"/>
      <c r="AA2885" s="4"/>
      <c r="AB2885" s="4"/>
      <c r="AC2885" s="4"/>
      <c r="AD2885" s="4"/>
      <c r="AE2885" s="4"/>
      <c r="AF2885" s="4"/>
      <c r="AG2885" s="4"/>
      <c r="AH2885" s="4"/>
      <c r="AI2885" s="4"/>
      <c r="AJ2885" s="13" t="n">
        <v>0</v>
      </c>
      <c r="AK2885" s="4"/>
      <c r="AL2885" s="4"/>
      <c r="AM2885" s="4"/>
    </row>
    <row r="2886" customFormat="false" ht="23.85" hidden="false" customHeight="false" outlineLevel="0" collapsed="false">
      <c r="A2886" s="4" t="s">
        <v>3338</v>
      </c>
      <c r="B2886" s="4" t="s">
        <v>3863</v>
      </c>
      <c r="C2886" s="4" t="s">
        <v>3863</v>
      </c>
      <c r="D2886" s="12" t="n">
        <v>2019</v>
      </c>
      <c r="E2886" s="4"/>
      <c r="F2886" s="4" t="s">
        <v>1990</v>
      </c>
      <c r="G2886" s="4" t="s">
        <v>170</v>
      </c>
      <c r="H2886" s="4" t="s">
        <v>171</v>
      </c>
      <c r="I2886" s="4" t="s">
        <v>172</v>
      </c>
      <c r="J2886" s="4" t="s">
        <v>586</v>
      </c>
      <c r="K2886" s="4" t="s">
        <v>101</v>
      </c>
      <c r="L2886" s="4"/>
      <c r="M2886" s="4"/>
      <c r="N2886" s="4" t="s">
        <v>2001</v>
      </c>
      <c r="O2886" s="4" t="s">
        <v>2034</v>
      </c>
      <c r="P2886" s="4" t="s">
        <v>74</v>
      </c>
      <c r="Q2886" s="4" t="s">
        <v>2035</v>
      </c>
      <c r="R2886" s="4"/>
      <c r="S2886" s="4"/>
      <c r="T2886" s="4"/>
      <c r="U2886" s="4"/>
      <c r="V2886" s="4"/>
      <c r="W2886" s="4"/>
      <c r="X2886" s="4"/>
      <c r="Y2886" s="4"/>
      <c r="Z2886" s="4"/>
      <c r="AA2886" s="4"/>
      <c r="AB2886" s="4"/>
      <c r="AC2886" s="4"/>
      <c r="AD2886" s="4"/>
      <c r="AE2886" s="4"/>
      <c r="AF2886" s="4"/>
      <c r="AG2886" s="4"/>
      <c r="AH2886" s="4"/>
      <c r="AI2886" s="4"/>
      <c r="AJ2886" s="13" t="n">
        <v>0</v>
      </c>
      <c r="AK2886" s="4"/>
      <c r="AL2886" s="4"/>
      <c r="AM2886" s="4"/>
    </row>
    <row r="2887" customFormat="false" ht="23.85" hidden="false" customHeight="false" outlineLevel="0" collapsed="false">
      <c r="A2887" s="4" t="s">
        <v>3338</v>
      </c>
      <c r="B2887" s="4" t="s">
        <v>3864</v>
      </c>
      <c r="C2887" s="4" t="s">
        <v>3864</v>
      </c>
      <c r="D2887" s="12" t="n">
        <v>2019</v>
      </c>
      <c r="E2887" s="4"/>
      <c r="F2887" s="4" t="s">
        <v>1990</v>
      </c>
      <c r="G2887" s="4" t="s">
        <v>170</v>
      </c>
      <c r="H2887" s="4" t="s">
        <v>171</v>
      </c>
      <c r="I2887" s="4" t="s">
        <v>172</v>
      </c>
      <c r="J2887" s="4" t="s">
        <v>588</v>
      </c>
      <c r="K2887" s="4" t="s">
        <v>101</v>
      </c>
      <c r="L2887" s="4"/>
      <c r="M2887" s="4"/>
      <c r="N2887" s="4" t="s">
        <v>2001</v>
      </c>
      <c r="O2887" s="4" t="s">
        <v>2002</v>
      </c>
      <c r="P2887" s="4" t="s">
        <v>67</v>
      </c>
      <c r="Q2887" s="4" t="s">
        <v>2003</v>
      </c>
      <c r="R2887" s="4"/>
      <c r="S2887" s="4"/>
      <c r="T2887" s="4"/>
      <c r="U2887" s="4"/>
      <c r="V2887" s="4"/>
      <c r="W2887" s="4" t="s">
        <v>3341</v>
      </c>
      <c r="X2887" s="4" t="s">
        <v>3342</v>
      </c>
      <c r="Y2887" s="4" t="inlineStr">
        <is>
          <t>COMB_FOIL</t>
        </is>
      </c>
      <c r="Z2887" s="4"/>
      <c r="AA2887" s="4"/>
      <c r="AB2887" s="4"/>
      <c r="AC2887" s="4" t="s">
        <v>3352</v>
      </c>
      <c r="AD2887" s="4"/>
      <c r="AE2887" s="4"/>
      <c r="AF2887" s="4"/>
      <c r="AG2887" s="4"/>
      <c r="AH2887" s="4"/>
      <c r="AI2887" s="4"/>
      <c r="AJ2887" s="13" t="n">
        <v>1</v>
      </c>
      <c r="AK2887" s="4"/>
      <c r="AL2887" s="4"/>
      <c r="AM2887" s="4"/>
    </row>
    <row r="2888" customFormat="false" ht="23.85" hidden="false" customHeight="false" outlineLevel="0" collapsed="false">
      <c r="A2888" s="4" t="s">
        <v>3338</v>
      </c>
      <c r="B2888" s="4" t="s">
        <v>3865</v>
      </c>
      <c r="C2888" s="4" t="s">
        <v>3865</v>
      </c>
      <c r="D2888" s="12" t="n">
        <v>2019</v>
      </c>
      <c r="E2888" s="4"/>
      <c r="F2888" s="4" t="s">
        <v>1990</v>
      </c>
      <c r="G2888" s="4" t="s">
        <v>170</v>
      </c>
      <c r="H2888" s="4" t="s">
        <v>171</v>
      </c>
      <c r="I2888" s="4" t="s">
        <v>172</v>
      </c>
      <c r="J2888" s="4" t="s">
        <v>589</v>
      </c>
      <c r="K2888" s="4" t="s">
        <v>101</v>
      </c>
      <c r="L2888" s="4"/>
      <c r="M2888" s="4"/>
      <c r="N2888" s="4" t="s">
        <v>2001</v>
      </c>
      <c r="O2888" s="4" t="s">
        <v>2002</v>
      </c>
      <c r="P2888" s="4" t="s">
        <v>67</v>
      </c>
      <c r="Q2888" s="4" t="s">
        <v>2008</v>
      </c>
      <c r="R2888" s="4"/>
      <c r="S2888" s="4"/>
      <c r="T2888" s="4"/>
      <c r="U2888" s="4"/>
      <c r="V2888" s="4"/>
      <c r="W2888" s="4" t="s">
        <v>3341</v>
      </c>
      <c r="X2888" s="4" t="s">
        <v>3342</v>
      </c>
      <c r="Y2888" s="4" t="inlineStr">
        <is>
          <t>COMB_FOIL</t>
        </is>
      </c>
      <c r="Z2888" s="4"/>
      <c r="AA2888" s="4"/>
      <c r="AB2888" s="4"/>
      <c r="AC2888" s="4" t="s">
        <v>3352</v>
      </c>
      <c r="AD2888" s="4"/>
      <c r="AE2888" s="4"/>
      <c r="AF2888" s="4"/>
      <c r="AG2888" s="4"/>
      <c r="AH2888" s="4"/>
      <c r="AI2888" s="4"/>
      <c r="AJ2888" s="13" t="n">
        <v>1</v>
      </c>
      <c r="AK2888" s="4"/>
      <c r="AL2888" s="4"/>
      <c r="AM2888" s="4"/>
    </row>
    <row r="2889" customFormat="false" ht="23.85" hidden="false" customHeight="false" outlineLevel="0" collapsed="false">
      <c r="A2889" s="4" t="s">
        <v>3338</v>
      </c>
      <c r="B2889" s="4" t="s">
        <v>3866</v>
      </c>
      <c r="C2889" s="4" t="s">
        <v>3866</v>
      </c>
      <c r="D2889" s="12" t="n">
        <v>2019</v>
      </c>
      <c r="E2889" s="4"/>
      <c r="F2889" s="4" t="s">
        <v>1990</v>
      </c>
      <c r="G2889" s="4" t="s">
        <v>170</v>
      </c>
      <c r="H2889" s="4" t="s">
        <v>171</v>
      </c>
      <c r="I2889" s="4" t="s">
        <v>172</v>
      </c>
      <c r="J2889" s="4" t="s">
        <v>594</v>
      </c>
      <c r="K2889" s="4" t="s">
        <v>101</v>
      </c>
      <c r="L2889" s="4"/>
      <c r="M2889" s="4"/>
      <c r="N2889" s="4" t="s">
        <v>2001</v>
      </c>
      <c r="O2889" s="4" t="s">
        <v>2002</v>
      </c>
      <c r="P2889" s="4" t="s">
        <v>68</v>
      </c>
      <c r="Q2889" s="4" t="s">
        <v>2111</v>
      </c>
      <c r="R2889" s="4"/>
      <c r="S2889" s="4"/>
      <c r="T2889" s="4"/>
      <c r="U2889" s="4"/>
      <c r="V2889" s="4"/>
      <c r="W2889" s="4" t="s">
        <v>3404</v>
      </c>
      <c r="X2889" s="4" t="s">
        <v>3405</v>
      </c>
      <c r="Y2889" s="4" t="inlineStr">
        <is>
          <t>COMB_FOIL</t>
        </is>
      </c>
      <c r="Z2889" s="4"/>
      <c r="AA2889" s="4"/>
      <c r="AB2889" s="4"/>
      <c r="AC2889" s="4" t="s">
        <v>3352</v>
      </c>
      <c r="AD2889" s="4"/>
      <c r="AE2889" s="4"/>
      <c r="AF2889" s="4"/>
      <c r="AG2889" s="4"/>
      <c r="AH2889" s="4"/>
      <c r="AI2889" s="4"/>
      <c r="AJ2889" s="13" t="n">
        <v>1</v>
      </c>
      <c r="AK2889" s="4"/>
      <c r="AL2889" s="4"/>
      <c r="AM2889" s="4"/>
    </row>
    <row r="2890" customFormat="false" ht="23.85" hidden="false" customHeight="false" outlineLevel="0" collapsed="false">
      <c r="A2890" s="4" t="s">
        <v>3338</v>
      </c>
      <c r="B2890" s="4" t="s">
        <v>3867</v>
      </c>
      <c r="C2890" s="4" t="s">
        <v>3867</v>
      </c>
      <c r="D2890" s="12" t="n">
        <v>2019</v>
      </c>
      <c r="E2890" s="4"/>
      <c r="F2890" s="4" t="s">
        <v>1990</v>
      </c>
      <c r="G2890" s="4" t="s">
        <v>170</v>
      </c>
      <c r="H2890" s="4" t="s">
        <v>171</v>
      </c>
      <c r="I2890" s="4" t="s">
        <v>172</v>
      </c>
      <c r="J2890" s="4" t="s">
        <v>598</v>
      </c>
      <c r="K2890" s="4" t="s">
        <v>103</v>
      </c>
      <c r="L2890" s="4"/>
      <c r="M2890" s="4"/>
      <c r="N2890" s="4" t="s">
        <v>1994</v>
      </c>
      <c r="O2890" s="4" t="s">
        <v>2029</v>
      </c>
      <c r="P2890" s="4" t="s">
        <v>69</v>
      </c>
      <c r="Q2890" s="4" t="s">
        <v>2030</v>
      </c>
      <c r="R2890" s="4"/>
      <c r="S2890" s="4"/>
      <c r="T2890" s="4"/>
      <c r="U2890" s="4"/>
      <c r="V2890" s="4"/>
      <c r="W2890" s="4"/>
      <c r="X2890" s="4"/>
      <c r="Y2890" s="4"/>
      <c r="Z2890" s="4"/>
      <c r="AA2890" s="4"/>
      <c r="AB2890" s="4"/>
      <c r="AC2890" s="4"/>
      <c r="AD2890" s="4"/>
      <c r="AE2890" s="4"/>
      <c r="AF2890" s="4"/>
      <c r="AG2890" s="4"/>
      <c r="AH2890" s="4"/>
      <c r="AI2890" s="4"/>
      <c r="AJ2890" s="13" t="n">
        <v>0</v>
      </c>
      <c r="AK2890" s="4"/>
      <c r="AL2890" s="4"/>
      <c r="AM2890" s="4"/>
    </row>
    <row r="2891" customFormat="false" ht="23.85" hidden="false" customHeight="false" outlineLevel="0" collapsed="false">
      <c r="A2891" s="4" t="s">
        <v>3338</v>
      </c>
      <c r="B2891" s="4" t="s">
        <v>3868</v>
      </c>
      <c r="C2891" s="4" t="s">
        <v>3868</v>
      </c>
      <c r="D2891" s="12" t="n">
        <v>2019</v>
      </c>
      <c r="E2891" s="4"/>
      <c r="F2891" s="4" t="s">
        <v>1990</v>
      </c>
      <c r="G2891" s="4" t="s">
        <v>170</v>
      </c>
      <c r="H2891" s="4" t="s">
        <v>171</v>
      </c>
      <c r="I2891" s="4" t="s">
        <v>172</v>
      </c>
      <c r="J2891" s="4" t="s">
        <v>599</v>
      </c>
      <c r="K2891" s="4" t="s">
        <v>103</v>
      </c>
      <c r="L2891" s="4"/>
      <c r="M2891" s="4"/>
      <c r="N2891" s="4" t="s">
        <v>2001</v>
      </c>
      <c r="O2891" s="4" t="s">
        <v>2091</v>
      </c>
      <c r="P2891" s="4" t="s">
        <v>69</v>
      </c>
      <c r="Q2891" s="4" t="s">
        <v>2030</v>
      </c>
      <c r="R2891" s="4"/>
      <c r="S2891" s="4"/>
      <c r="T2891" s="4"/>
      <c r="U2891" s="4"/>
      <c r="V2891" s="4"/>
      <c r="W2891" s="4"/>
      <c r="X2891" s="4"/>
      <c r="Y2891" s="4"/>
      <c r="Z2891" s="4"/>
      <c r="AA2891" s="4"/>
      <c r="AB2891" s="4"/>
      <c r="AC2891" s="4"/>
      <c r="AD2891" s="4"/>
      <c r="AE2891" s="4"/>
      <c r="AF2891" s="4"/>
      <c r="AG2891" s="4"/>
      <c r="AH2891" s="4"/>
      <c r="AI2891" s="4"/>
      <c r="AJ2891" s="13" t="n">
        <v>0</v>
      </c>
      <c r="AK2891" s="4"/>
      <c r="AL2891" s="4"/>
      <c r="AM2891" s="4"/>
    </row>
    <row r="2892" customFormat="false" ht="23.85" hidden="false" customHeight="false" outlineLevel="0" collapsed="false">
      <c r="A2892" s="4" t="s">
        <v>3338</v>
      </c>
      <c r="B2892" s="4" t="s">
        <v>3869</v>
      </c>
      <c r="C2892" s="4" t="s">
        <v>3869</v>
      </c>
      <c r="D2892" s="12" t="n">
        <v>2019</v>
      </c>
      <c r="E2892" s="4"/>
      <c r="F2892" s="4" t="s">
        <v>1990</v>
      </c>
      <c r="G2892" s="4" t="s">
        <v>170</v>
      </c>
      <c r="H2892" s="4" t="s">
        <v>171</v>
      </c>
      <c r="I2892" s="4" t="s">
        <v>172</v>
      </c>
      <c r="J2892" s="4" t="s">
        <v>600</v>
      </c>
      <c r="K2892" s="4" t="s">
        <v>103</v>
      </c>
      <c r="L2892" s="4"/>
      <c r="M2892" s="4"/>
      <c r="N2892" s="4" t="s">
        <v>2001</v>
      </c>
      <c r="O2892" s="4" t="s">
        <v>2034</v>
      </c>
      <c r="P2892" s="4" t="s">
        <v>74</v>
      </c>
      <c r="Q2892" s="4" t="s">
        <v>2035</v>
      </c>
      <c r="R2892" s="4"/>
      <c r="S2892" s="4"/>
      <c r="T2892" s="4"/>
      <c r="U2892" s="4"/>
      <c r="V2892" s="4"/>
      <c r="W2892" s="4"/>
      <c r="X2892" s="4"/>
      <c r="Y2892" s="4"/>
      <c r="Z2892" s="4"/>
      <c r="AA2892" s="4"/>
      <c r="AB2892" s="4"/>
      <c r="AC2892" s="4"/>
      <c r="AD2892" s="4"/>
      <c r="AE2892" s="4"/>
      <c r="AF2892" s="4"/>
      <c r="AG2892" s="4"/>
      <c r="AH2892" s="4"/>
      <c r="AI2892" s="4"/>
      <c r="AJ2892" s="13" t="n">
        <v>0</v>
      </c>
      <c r="AK2892" s="4"/>
      <c r="AL2892" s="4"/>
      <c r="AM2892" s="4"/>
    </row>
    <row r="2893" customFormat="false" ht="23.85" hidden="false" customHeight="false" outlineLevel="0" collapsed="false">
      <c r="A2893" s="4" t="s">
        <v>3338</v>
      </c>
      <c r="B2893" s="4" t="s">
        <v>3870</v>
      </c>
      <c r="C2893" s="4" t="s">
        <v>3870</v>
      </c>
      <c r="D2893" s="12" t="n">
        <v>2019</v>
      </c>
      <c r="E2893" s="4"/>
      <c r="F2893" s="4" t="s">
        <v>1990</v>
      </c>
      <c r="G2893" s="4" t="s">
        <v>170</v>
      </c>
      <c r="H2893" s="4" t="s">
        <v>171</v>
      </c>
      <c r="I2893" s="4" t="s">
        <v>172</v>
      </c>
      <c r="J2893" s="4" t="s">
        <v>605</v>
      </c>
      <c r="K2893" s="4" t="s">
        <v>103</v>
      </c>
      <c r="L2893" s="4"/>
      <c r="M2893" s="4"/>
      <c r="N2893" s="4" t="s">
        <v>2001</v>
      </c>
      <c r="O2893" s="4" t="s">
        <v>2002</v>
      </c>
      <c r="P2893" s="4" t="s">
        <v>71</v>
      </c>
      <c r="Q2893" s="4" t="s">
        <v>2123</v>
      </c>
      <c r="R2893" s="4"/>
      <c r="S2893" s="4"/>
      <c r="T2893" s="4"/>
      <c r="U2893" s="4"/>
      <c r="V2893" s="4"/>
      <c r="W2893" s="4" t="s">
        <v>3412</v>
      </c>
      <c r="X2893" s="4" t="s">
        <v>3413</v>
      </c>
      <c r="Y2893" s="4" t="inlineStr">
        <is>
          <t>COMB_GAS</t>
        </is>
      </c>
      <c r="Z2893" s="4"/>
      <c r="AA2893" s="4"/>
      <c r="AB2893" s="4"/>
      <c r="AC2893" s="4" t="s">
        <v>3352</v>
      </c>
      <c r="AD2893" s="4"/>
      <c r="AE2893" s="4"/>
      <c r="AF2893" s="4"/>
      <c r="AG2893" s="4"/>
      <c r="AH2893" s="4"/>
      <c r="AI2893" s="4"/>
      <c r="AJ2893" s="13" t="n">
        <v>1</v>
      </c>
      <c r="AK2893" s="4"/>
      <c r="AL2893" s="4"/>
      <c r="AM2893" s="4"/>
    </row>
    <row r="2894" customFormat="false" ht="23.85" hidden="false" customHeight="false" outlineLevel="0" collapsed="false">
      <c r="A2894" s="4" t="s">
        <v>3338</v>
      </c>
      <c r="B2894" s="4" t="s">
        <v>3871</v>
      </c>
      <c r="C2894" s="4" t="s">
        <v>3871</v>
      </c>
      <c r="D2894" s="12" t="n">
        <v>2019</v>
      </c>
      <c r="E2894" s="4"/>
      <c r="F2894" s="4" t="s">
        <v>1990</v>
      </c>
      <c r="G2894" s="4" t="s">
        <v>170</v>
      </c>
      <c r="H2894" s="4" t="s">
        <v>171</v>
      </c>
      <c r="I2894" s="4" t="s">
        <v>172</v>
      </c>
      <c r="J2894" s="4" t="s">
        <v>607</v>
      </c>
      <c r="K2894" s="4" t="s">
        <v>103</v>
      </c>
      <c r="L2894" s="4"/>
      <c r="M2894" s="4"/>
      <c r="N2894" s="4" t="s">
        <v>2001</v>
      </c>
      <c r="O2894" s="4" t="s">
        <v>2002</v>
      </c>
      <c r="P2894" s="4" t="s">
        <v>72</v>
      </c>
      <c r="Q2894" s="4" t="s">
        <v>2079</v>
      </c>
      <c r="R2894" s="4"/>
      <c r="S2894" s="4"/>
      <c r="T2894" s="4"/>
      <c r="U2894" s="4"/>
      <c r="V2894" s="4"/>
      <c r="W2894" s="4" t="s">
        <v>3383</v>
      </c>
      <c r="X2894" s="4" t="s">
        <v>3384</v>
      </c>
      <c r="Y2894" s="4" t="inlineStr">
        <is>
          <t>COMB_GAS</t>
        </is>
      </c>
      <c r="Z2894" s="4"/>
      <c r="AA2894" s="4"/>
      <c r="AB2894" s="4"/>
      <c r="AC2894" s="4" t="s">
        <v>3352</v>
      </c>
      <c r="AD2894" s="4"/>
      <c r="AE2894" s="4"/>
      <c r="AF2894" s="4"/>
      <c r="AG2894" s="4"/>
      <c r="AH2894" s="4"/>
      <c r="AI2894" s="4"/>
      <c r="AJ2894" s="13" t="n">
        <v>1</v>
      </c>
      <c r="AK2894" s="4"/>
      <c r="AL2894" s="4"/>
      <c r="AM2894" s="4"/>
    </row>
    <row r="2895" customFormat="false" ht="23.85" hidden="false" customHeight="false" outlineLevel="0" collapsed="false">
      <c r="A2895" s="4" t="s">
        <v>3338</v>
      </c>
      <c r="B2895" s="4" t="s">
        <v>3872</v>
      </c>
      <c r="C2895" s="4" t="s">
        <v>3872</v>
      </c>
      <c r="D2895" s="12" t="n">
        <v>2019</v>
      </c>
      <c r="E2895" s="4"/>
      <c r="F2895" s="4" t="s">
        <v>1990</v>
      </c>
      <c r="G2895" s="4" t="s">
        <v>170</v>
      </c>
      <c r="H2895" s="4" t="s">
        <v>171</v>
      </c>
      <c r="I2895" s="4" t="s">
        <v>172</v>
      </c>
      <c r="J2895" s="4" t="s">
        <v>608</v>
      </c>
      <c r="K2895" s="4" t="s">
        <v>103</v>
      </c>
      <c r="L2895" s="4"/>
      <c r="M2895" s="4"/>
      <c r="N2895" s="4" t="s">
        <v>2001</v>
      </c>
      <c r="O2895" s="4" t="s">
        <v>2002</v>
      </c>
      <c r="P2895" s="4" t="s">
        <v>68</v>
      </c>
      <c r="Q2895" s="4" t="s">
        <v>2111</v>
      </c>
      <c r="R2895" s="4"/>
      <c r="S2895" s="4"/>
      <c r="T2895" s="4"/>
      <c r="U2895" s="4"/>
      <c r="V2895" s="4"/>
      <c r="W2895" s="4" t="s">
        <v>3404</v>
      </c>
      <c r="X2895" s="4" t="s">
        <v>3405</v>
      </c>
      <c r="Y2895" s="4" t="inlineStr">
        <is>
          <t>COMB_GAS</t>
        </is>
      </c>
      <c r="Z2895" s="4"/>
      <c r="AA2895" s="4"/>
      <c r="AB2895" s="4"/>
      <c r="AC2895" s="4" t="s">
        <v>3352</v>
      </c>
      <c r="AD2895" s="4"/>
      <c r="AE2895" s="4"/>
      <c r="AF2895" s="4"/>
      <c r="AG2895" s="4"/>
      <c r="AH2895" s="4"/>
      <c r="AI2895" s="4"/>
      <c r="AJ2895" s="13" t="n">
        <v>1</v>
      </c>
      <c r="AK2895" s="4"/>
      <c r="AL2895" s="4"/>
      <c r="AM2895" s="4"/>
    </row>
    <row r="2896" customFormat="false" ht="23.85" hidden="false" customHeight="false" outlineLevel="0" collapsed="false">
      <c r="A2896" s="4" t="s">
        <v>3338</v>
      </c>
      <c r="B2896" s="4" t="s">
        <v>3873</v>
      </c>
      <c r="C2896" s="4" t="s">
        <v>3873</v>
      </c>
      <c r="D2896" s="12" t="n">
        <v>2019</v>
      </c>
      <c r="E2896" s="4"/>
      <c r="F2896" s="4" t="s">
        <v>1990</v>
      </c>
      <c r="G2896" s="4" t="s">
        <v>170</v>
      </c>
      <c r="H2896" s="4" t="s">
        <v>171</v>
      </c>
      <c r="I2896" s="4" t="s">
        <v>172</v>
      </c>
      <c r="J2896" s="4" t="s">
        <v>612</v>
      </c>
      <c r="K2896" s="4" t="s">
        <v>105</v>
      </c>
      <c r="L2896" s="4"/>
      <c r="M2896" s="4"/>
      <c r="N2896" s="4" t="s">
        <v>1994</v>
      </c>
      <c r="O2896" s="4" t="s">
        <v>2029</v>
      </c>
      <c r="P2896" s="4" t="s">
        <v>69</v>
      </c>
      <c r="Q2896" s="4" t="s">
        <v>2030</v>
      </c>
      <c r="R2896" s="4"/>
      <c r="S2896" s="4"/>
      <c r="T2896" s="4"/>
      <c r="U2896" s="4"/>
      <c r="V2896" s="4"/>
      <c r="W2896" s="4"/>
      <c r="X2896" s="4"/>
      <c r="Y2896" s="4"/>
      <c r="Z2896" s="4"/>
      <c r="AA2896" s="4"/>
      <c r="AB2896" s="4"/>
      <c r="AC2896" s="4"/>
      <c r="AD2896" s="4"/>
      <c r="AE2896" s="4"/>
      <c r="AF2896" s="4"/>
      <c r="AG2896" s="4"/>
      <c r="AH2896" s="4"/>
      <c r="AI2896" s="4"/>
      <c r="AJ2896" s="13" t="n">
        <v>0</v>
      </c>
      <c r="AK2896" s="4"/>
      <c r="AL2896" s="4"/>
      <c r="AM2896" s="4"/>
    </row>
    <row r="2897" customFormat="false" ht="23.85" hidden="false" customHeight="false" outlineLevel="0" collapsed="false">
      <c r="A2897" s="4" t="s">
        <v>3338</v>
      </c>
      <c r="B2897" s="4" t="s">
        <v>3874</v>
      </c>
      <c r="C2897" s="4" t="s">
        <v>3874</v>
      </c>
      <c r="D2897" s="12" t="n">
        <v>2019</v>
      </c>
      <c r="E2897" s="4"/>
      <c r="F2897" s="4" t="s">
        <v>1990</v>
      </c>
      <c r="G2897" s="4" t="s">
        <v>170</v>
      </c>
      <c r="H2897" s="4" t="s">
        <v>171</v>
      </c>
      <c r="I2897" s="4" t="s">
        <v>172</v>
      </c>
      <c r="J2897" s="4" t="s">
        <v>613</v>
      </c>
      <c r="K2897" s="4" t="s">
        <v>105</v>
      </c>
      <c r="L2897" s="4"/>
      <c r="M2897" s="4"/>
      <c r="N2897" s="4" t="s">
        <v>2001</v>
      </c>
      <c r="O2897" s="4" t="s">
        <v>2091</v>
      </c>
      <c r="P2897" s="4" t="s">
        <v>69</v>
      </c>
      <c r="Q2897" s="4" t="s">
        <v>2030</v>
      </c>
      <c r="R2897" s="4"/>
      <c r="S2897" s="4"/>
      <c r="T2897" s="4"/>
      <c r="U2897" s="4"/>
      <c r="V2897" s="4"/>
      <c r="W2897" s="4"/>
      <c r="X2897" s="4"/>
      <c r="Y2897" s="4"/>
      <c r="Z2897" s="4"/>
      <c r="AA2897" s="4"/>
      <c r="AB2897" s="4"/>
      <c r="AC2897" s="4"/>
      <c r="AD2897" s="4"/>
      <c r="AE2897" s="4"/>
      <c r="AF2897" s="4"/>
      <c r="AG2897" s="4"/>
      <c r="AH2897" s="4"/>
      <c r="AI2897" s="4"/>
      <c r="AJ2897" s="13" t="n">
        <v>0</v>
      </c>
      <c r="AK2897" s="4"/>
      <c r="AL2897" s="4"/>
      <c r="AM2897" s="4"/>
    </row>
    <row r="2898" customFormat="false" ht="23.85" hidden="false" customHeight="false" outlineLevel="0" collapsed="false">
      <c r="A2898" s="4" t="s">
        <v>3338</v>
      </c>
      <c r="B2898" s="4" t="s">
        <v>3875</v>
      </c>
      <c r="C2898" s="4" t="s">
        <v>3875</v>
      </c>
      <c r="D2898" s="12" t="n">
        <v>2019</v>
      </c>
      <c r="E2898" s="4"/>
      <c r="F2898" s="4" t="s">
        <v>1990</v>
      </c>
      <c r="G2898" s="4" t="s">
        <v>170</v>
      </c>
      <c r="H2898" s="4" t="s">
        <v>171</v>
      </c>
      <c r="I2898" s="4" t="s">
        <v>172</v>
      </c>
      <c r="J2898" s="4" t="s">
        <v>614</v>
      </c>
      <c r="K2898" s="4" t="s">
        <v>105</v>
      </c>
      <c r="L2898" s="4"/>
      <c r="M2898" s="4"/>
      <c r="N2898" s="4" t="s">
        <v>2001</v>
      </c>
      <c r="O2898" s="4" t="s">
        <v>2034</v>
      </c>
      <c r="P2898" s="4" t="s">
        <v>74</v>
      </c>
      <c r="Q2898" s="4" t="s">
        <v>2035</v>
      </c>
      <c r="R2898" s="4"/>
      <c r="S2898" s="4"/>
      <c r="T2898" s="4"/>
      <c r="U2898" s="4"/>
      <c r="V2898" s="4"/>
      <c r="W2898" s="4"/>
      <c r="X2898" s="4"/>
      <c r="Y2898" s="4"/>
      <c r="Z2898" s="4"/>
      <c r="AA2898" s="4"/>
      <c r="AB2898" s="4"/>
      <c r="AC2898" s="4"/>
      <c r="AD2898" s="4"/>
      <c r="AE2898" s="4"/>
      <c r="AF2898" s="4"/>
      <c r="AG2898" s="4"/>
      <c r="AH2898" s="4"/>
      <c r="AI2898" s="4"/>
      <c r="AJ2898" s="13" t="n">
        <v>0</v>
      </c>
      <c r="AK2898" s="4"/>
      <c r="AL2898" s="4"/>
      <c r="AM2898" s="4"/>
    </row>
    <row r="2899" customFormat="false" ht="23.85" hidden="false" customHeight="false" outlineLevel="0" collapsed="false">
      <c r="A2899" s="4" t="s">
        <v>3338</v>
      </c>
      <c r="B2899" s="4" t="s">
        <v>3876</v>
      </c>
      <c r="C2899" s="4" t="s">
        <v>3876</v>
      </c>
      <c r="D2899" s="12" t="n">
        <v>2019</v>
      </c>
      <c r="E2899" s="4"/>
      <c r="F2899" s="4" t="s">
        <v>1990</v>
      </c>
      <c r="G2899" s="4" t="s">
        <v>170</v>
      </c>
      <c r="H2899" s="4" t="s">
        <v>171</v>
      </c>
      <c r="I2899" s="4" t="s">
        <v>172</v>
      </c>
      <c r="J2899" s="4" t="s">
        <v>619</v>
      </c>
      <c r="K2899" s="4" t="s">
        <v>105</v>
      </c>
      <c r="L2899" s="4"/>
      <c r="M2899" s="4"/>
      <c r="N2899" s="4" t="s">
        <v>2001</v>
      </c>
      <c r="O2899" s="4" t="s">
        <v>2002</v>
      </c>
      <c r="P2899" s="4" t="s">
        <v>71</v>
      </c>
      <c r="Q2899" s="4" t="s">
        <v>2123</v>
      </c>
      <c r="R2899" s="4"/>
      <c r="S2899" s="4"/>
      <c r="T2899" s="4"/>
      <c r="U2899" s="4"/>
      <c r="V2899" s="4"/>
      <c r="W2899" s="4" t="s">
        <v>3412</v>
      </c>
      <c r="X2899" s="4" t="s">
        <v>3413</v>
      </c>
      <c r="Y2899" s="4" t="inlineStr">
        <is>
          <t>COMB_GLP</t>
        </is>
      </c>
      <c r="Z2899" s="4"/>
      <c r="AA2899" s="4"/>
      <c r="AB2899" s="4"/>
      <c r="AC2899" s="4" t="s">
        <v>3352</v>
      </c>
      <c r="AD2899" s="4"/>
      <c r="AE2899" s="4"/>
      <c r="AF2899" s="4"/>
      <c r="AG2899" s="4"/>
      <c r="AH2899" s="4"/>
      <c r="AI2899" s="4"/>
      <c r="AJ2899" s="13" t="n">
        <v>1</v>
      </c>
      <c r="AK2899" s="4"/>
      <c r="AL2899" s="4"/>
      <c r="AM2899" s="4"/>
    </row>
    <row r="2900" customFormat="false" ht="23.85" hidden="false" customHeight="false" outlineLevel="0" collapsed="false">
      <c r="A2900" s="4" t="s">
        <v>3338</v>
      </c>
      <c r="B2900" s="4" t="s">
        <v>3877</v>
      </c>
      <c r="C2900" s="4" t="s">
        <v>3877</v>
      </c>
      <c r="D2900" s="12" t="n">
        <v>2019</v>
      </c>
      <c r="E2900" s="4"/>
      <c r="F2900" s="4" t="s">
        <v>1990</v>
      </c>
      <c r="G2900" s="4" t="s">
        <v>170</v>
      </c>
      <c r="H2900" s="4" t="s">
        <v>171</v>
      </c>
      <c r="I2900" s="4" t="s">
        <v>172</v>
      </c>
      <c r="J2900" s="4" t="s">
        <v>620</v>
      </c>
      <c r="K2900" s="4" t="s">
        <v>105</v>
      </c>
      <c r="L2900" s="4"/>
      <c r="M2900" s="4"/>
      <c r="N2900" s="4" t="s">
        <v>2001</v>
      </c>
      <c r="O2900" s="4" t="s">
        <v>2074</v>
      </c>
      <c r="P2900" s="4" t="s">
        <v>73</v>
      </c>
      <c r="Q2900" s="4" t="s">
        <v>2075</v>
      </c>
      <c r="R2900" s="4"/>
      <c r="S2900" s="4"/>
      <c r="T2900" s="4"/>
      <c r="U2900" s="4"/>
      <c r="V2900" s="4"/>
      <c r="W2900" s="4" t="s">
        <v>3380</v>
      </c>
      <c r="X2900" s="4" t="s">
        <v>3381</v>
      </c>
      <c r="Y2900" s="4" t="inlineStr">
        <is>
          <t>COMB_GLP</t>
        </is>
      </c>
      <c r="Z2900" s="4"/>
      <c r="AA2900" s="4"/>
      <c r="AB2900" s="4"/>
      <c r="AC2900" s="4" t="s">
        <v>3352</v>
      </c>
      <c r="AD2900" s="4"/>
      <c r="AE2900" s="4"/>
      <c r="AF2900" s="4"/>
      <c r="AG2900" s="4"/>
      <c r="AH2900" s="4"/>
      <c r="AI2900" s="4"/>
      <c r="AJ2900" s="13" t="n">
        <v>1</v>
      </c>
      <c r="AK2900" s="4"/>
      <c r="AL2900" s="4"/>
      <c r="AM2900" s="4"/>
    </row>
    <row r="2901" customFormat="false" ht="23.85" hidden="false" customHeight="false" outlineLevel="0" collapsed="false">
      <c r="A2901" s="4" t="s">
        <v>3338</v>
      </c>
      <c r="B2901" s="4" t="s">
        <v>3878</v>
      </c>
      <c r="C2901" s="4" t="s">
        <v>3878</v>
      </c>
      <c r="D2901" s="12" t="n">
        <v>2019</v>
      </c>
      <c r="E2901" s="4"/>
      <c r="F2901" s="4" t="s">
        <v>1990</v>
      </c>
      <c r="G2901" s="4" t="s">
        <v>170</v>
      </c>
      <c r="H2901" s="4" t="s">
        <v>171</v>
      </c>
      <c r="I2901" s="4" t="s">
        <v>172</v>
      </c>
      <c r="J2901" s="4" t="s">
        <v>621</v>
      </c>
      <c r="K2901" s="4" t="s">
        <v>105</v>
      </c>
      <c r="L2901" s="4"/>
      <c r="M2901" s="4"/>
      <c r="N2901" s="4" t="s">
        <v>2001</v>
      </c>
      <c r="O2901" s="4" t="s">
        <v>2002</v>
      </c>
      <c r="P2901" s="4" t="s">
        <v>72</v>
      </c>
      <c r="Q2901" s="4" t="s">
        <v>2079</v>
      </c>
      <c r="R2901" s="4"/>
      <c r="S2901" s="4"/>
      <c r="T2901" s="4"/>
      <c r="U2901" s="4"/>
      <c r="V2901" s="4"/>
      <c r="W2901" s="4" t="s">
        <v>3383</v>
      </c>
      <c r="X2901" s="4" t="s">
        <v>3384</v>
      </c>
      <c r="Y2901" s="4" t="inlineStr">
        <is>
          <t>COMB_GLP</t>
        </is>
      </c>
      <c r="Z2901" s="4"/>
      <c r="AA2901" s="4"/>
      <c r="AB2901" s="4"/>
      <c r="AC2901" s="4" t="s">
        <v>3352</v>
      </c>
      <c r="AD2901" s="4"/>
      <c r="AE2901" s="4"/>
      <c r="AF2901" s="4"/>
      <c r="AG2901" s="4"/>
      <c r="AH2901" s="4"/>
      <c r="AI2901" s="4"/>
      <c r="AJ2901" s="13" t="n">
        <v>1</v>
      </c>
      <c r="AK2901" s="4"/>
      <c r="AL2901" s="4"/>
      <c r="AM2901" s="4"/>
    </row>
    <row r="2902" customFormat="false" ht="23.85" hidden="false" customHeight="false" outlineLevel="0" collapsed="false">
      <c r="A2902" s="4" t="s">
        <v>3338</v>
      </c>
      <c r="B2902" s="4" t="s">
        <v>3879</v>
      </c>
      <c r="C2902" s="4" t="s">
        <v>3879</v>
      </c>
      <c r="D2902" s="12" t="n">
        <v>2019</v>
      </c>
      <c r="E2902" s="4"/>
      <c r="F2902" s="4" t="s">
        <v>1990</v>
      </c>
      <c r="G2902" s="4" t="s">
        <v>170</v>
      </c>
      <c r="H2902" s="4" t="s">
        <v>171</v>
      </c>
      <c r="I2902" s="4" t="s">
        <v>172</v>
      </c>
      <c r="J2902" s="4" t="s">
        <v>622</v>
      </c>
      <c r="K2902" s="4" t="s">
        <v>105</v>
      </c>
      <c r="L2902" s="4"/>
      <c r="M2902" s="4"/>
      <c r="N2902" s="4" t="s">
        <v>2001</v>
      </c>
      <c r="O2902" s="4" t="s">
        <v>2002</v>
      </c>
      <c r="P2902" s="4" t="s">
        <v>68</v>
      </c>
      <c r="Q2902" s="4" t="s">
        <v>2111</v>
      </c>
      <c r="R2902" s="4"/>
      <c r="S2902" s="4"/>
      <c r="T2902" s="4"/>
      <c r="U2902" s="4"/>
      <c r="V2902" s="4"/>
      <c r="W2902" s="4" t="s">
        <v>3404</v>
      </c>
      <c r="X2902" s="4" t="s">
        <v>3405</v>
      </c>
      <c r="Y2902" s="4" t="inlineStr">
        <is>
          <t>COMB_GLP</t>
        </is>
      </c>
      <c r="Z2902" s="4"/>
      <c r="AA2902" s="4"/>
      <c r="AB2902" s="4"/>
      <c r="AC2902" s="4" t="s">
        <v>3352</v>
      </c>
      <c r="AD2902" s="4"/>
      <c r="AE2902" s="4"/>
      <c r="AF2902" s="4"/>
      <c r="AG2902" s="4"/>
      <c r="AH2902" s="4"/>
      <c r="AI2902" s="4"/>
      <c r="AJ2902" s="13" t="n">
        <v>1</v>
      </c>
      <c r="AK2902" s="4"/>
      <c r="AL2902" s="4"/>
      <c r="AM2902" s="4"/>
    </row>
    <row r="2903" customFormat="false" ht="23.85" hidden="false" customHeight="false" outlineLevel="0" collapsed="false">
      <c r="A2903" s="4" t="s">
        <v>3338</v>
      </c>
      <c r="B2903" s="4" t="s">
        <v>3880</v>
      </c>
      <c r="C2903" s="4" t="s">
        <v>3880</v>
      </c>
      <c r="D2903" s="12" t="n">
        <v>2019</v>
      </c>
      <c r="E2903" s="4"/>
      <c r="F2903" s="4" t="s">
        <v>1990</v>
      </c>
      <c r="G2903" s="4" t="s">
        <v>170</v>
      </c>
      <c r="H2903" s="4" t="s">
        <v>171</v>
      </c>
      <c r="I2903" s="4" t="s">
        <v>172</v>
      </c>
      <c r="J2903" s="4" t="s">
        <v>626</v>
      </c>
      <c r="K2903" s="4" t="s">
        <v>107</v>
      </c>
      <c r="L2903" s="4"/>
      <c r="M2903" s="4"/>
      <c r="N2903" s="4" t="s">
        <v>1994</v>
      </c>
      <c r="O2903" s="4" t="s">
        <v>2029</v>
      </c>
      <c r="P2903" s="4" t="s">
        <v>69</v>
      </c>
      <c r="Q2903" s="4" t="s">
        <v>2030</v>
      </c>
      <c r="R2903" s="4"/>
      <c r="S2903" s="4"/>
      <c r="T2903" s="4"/>
      <c r="U2903" s="4"/>
      <c r="V2903" s="4"/>
      <c r="W2903" s="4"/>
      <c r="X2903" s="4"/>
      <c r="Y2903" s="4"/>
      <c r="Z2903" s="4"/>
      <c r="AA2903" s="4"/>
      <c r="AB2903" s="4"/>
      <c r="AC2903" s="4"/>
      <c r="AD2903" s="4"/>
      <c r="AE2903" s="4"/>
      <c r="AF2903" s="4"/>
      <c r="AG2903" s="4"/>
      <c r="AH2903" s="4"/>
      <c r="AI2903" s="4"/>
      <c r="AJ2903" s="13" t="n">
        <v>0</v>
      </c>
      <c r="AK2903" s="4"/>
      <c r="AL2903" s="4"/>
      <c r="AM2903" s="4"/>
    </row>
    <row r="2904" customFormat="false" ht="23.85" hidden="false" customHeight="false" outlineLevel="0" collapsed="false">
      <c r="A2904" s="4" t="s">
        <v>3338</v>
      </c>
      <c r="B2904" s="4" t="s">
        <v>3881</v>
      </c>
      <c r="C2904" s="4" t="s">
        <v>3881</v>
      </c>
      <c r="D2904" s="12" t="n">
        <v>2019</v>
      </c>
      <c r="E2904" s="4"/>
      <c r="F2904" s="4" t="s">
        <v>1990</v>
      </c>
      <c r="G2904" s="4" t="s">
        <v>170</v>
      </c>
      <c r="H2904" s="4" t="s">
        <v>171</v>
      </c>
      <c r="I2904" s="4" t="s">
        <v>172</v>
      </c>
      <c r="J2904" s="4" t="s">
        <v>627</v>
      </c>
      <c r="K2904" s="4" t="s">
        <v>107</v>
      </c>
      <c r="L2904" s="4"/>
      <c r="M2904" s="4"/>
      <c r="N2904" s="4" t="s">
        <v>2001</v>
      </c>
      <c r="O2904" s="4" t="s">
        <v>2091</v>
      </c>
      <c r="P2904" s="4" t="s">
        <v>69</v>
      </c>
      <c r="Q2904" s="4" t="s">
        <v>2030</v>
      </c>
      <c r="R2904" s="4"/>
      <c r="S2904" s="4"/>
      <c r="T2904" s="4"/>
      <c r="U2904" s="4"/>
      <c r="V2904" s="4"/>
      <c r="W2904" s="4"/>
      <c r="X2904" s="4"/>
      <c r="Y2904" s="4"/>
      <c r="Z2904" s="4"/>
      <c r="AA2904" s="4"/>
      <c r="AB2904" s="4"/>
      <c r="AC2904" s="4"/>
      <c r="AD2904" s="4"/>
      <c r="AE2904" s="4"/>
      <c r="AF2904" s="4"/>
      <c r="AG2904" s="4"/>
      <c r="AH2904" s="4"/>
      <c r="AI2904" s="4"/>
      <c r="AJ2904" s="13" t="n">
        <v>0</v>
      </c>
      <c r="AK2904" s="4"/>
      <c r="AL2904" s="4"/>
      <c r="AM2904" s="4"/>
    </row>
    <row r="2905" customFormat="false" ht="23.85" hidden="false" customHeight="false" outlineLevel="0" collapsed="false">
      <c r="A2905" s="4" t="s">
        <v>3338</v>
      </c>
      <c r="B2905" s="4" t="s">
        <v>3882</v>
      </c>
      <c r="C2905" s="4" t="s">
        <v>3882</v>
      </c>
      <c r="D2905" s="12" t="n">
        <v>2019</v>
      </c>
      <c r="E2905" s="4"/>
      <c r="F2905" s="4" t="s">
        <v>1990</v>
      </c>
      <c r="G2905" s="4" t="s">
        <v>170</v>
      </c>
      <c r="H2905" s="4" t="s">
        <v>171</v>
      </c>
      <c r="I2905" s="4" t="s">
        <v>172</v>
      </c>
      <c r="J2905" s="4" t="s">
        <v>628</v>
      </c>
      <c r="K2905" s="4" t="s">
        <v>107</v>
      </c>
      <c r="L2905" s="4"/>
      <c r="M2905" s="4"/>
      <c r="N2905" s="4" t="s">
        <v>2001</v>
      </c>
      <c r="O2905" s="4" t="s">
        <v>2034</v>
      </c>
      <c r="P2905" s="4" t="s">
        <v>74</v>
      </c>
      <c r="Q2905" s="4" t="s">
        <v>2035</v>
      </c>
      <c r="R2905" s="4"/>
      <c r="S2905" s="4"/>
      <c r="T2905" s="4"/>
      <c r="U2905" s="4"/>
      <c r="V2905" s="4"/>
      <c r="W2905" s="4"/>
      <c r="X2905" s="4"/>
      <c r="Y2905" s="4"/>
      <c r="Z2905" s="4"/>
      <c r="AA2905" s="4"/>
      <c r="AB2905" s="4"/>
      <c r="AC2905" s="4"/>
      <c r="AD2905" s="4"/>
      <c r="AE2905" s="4"/>
      <c r="AF2905" s="4"/>
      <c r="AG2905" s="4"/>
      <c r="AH2905" s="4"/>
      <c r="AI2905" s="4"/>
      <c r="AJ2905" s="13" t="n">
        <v>0</v>
      </c>
      <c r="AK2905" s="4"/>
      <c r="AL2905" s="4"/>
      <c r="AM2905" s="4"/>
    </row>
    <row r="2906" customFormat="false" ht="23.85" hidden="false" customHeight="false" outlineLevel="0" collapsed="false">
      <c r="A2906" s="4" t="s">
        <v>3338</v>
      </c>
      <c r="B2906" s="4" t="s">
        <v>3883</v>
      </c>
      <c r="C2906" s="4" t="s">
        <v>3883</v>
      </c>
      <c r="D2906" s="12" t="n">
        <v>2019</v>
      </c>
      <c r="E2906" s="4"/>
      <c r="F2906" s="4" t="s">
        <v>1990</v>
      </c>
      <c r="G2906" s="4" t="s">
        <v>170</v>
      </c>
      <c r="H2906" s="4" t="s">
        <v>171</v>
      </c>
      <c r="I2906" s="4" t="s">
        <v>172</v>
      </c>
      <c r="J2906" s="4" t="s">
        <v>633</v>
      </c>
      <c r="K2906" s="4" t="s">
        <v>107</v>
      </c>
      <c r="L2906" s="4"/>
      <c r="M2906" s="4"/>
      <c r="N2906" s="4" t="s">
        <v>2001</v>
      </c>
      <c r="O2906" s="4" t="s">
        <v>2002</v>
      </c>
      <c r="P2906" s="4" t="s">
        <v>71</v>
      </c>
      <c r="Q2906" s="4" t="s">
        <v>2123</v>
      </c>
      <c r="R2906" s="4"/>
      <c r="S2906" s="4"/>
      <c r="T2906" s="4"/>
      <c r="U2906" s="4"/>
      <c r="V2906" s="4"/>
      <c r="W2906" s="4" t="s">
        <v>3412</v>
      </c>
      <c r="X2906" s="4" t="s">
        <v>3413</v>
      </c>
      <c r="Y2906" s="4" t="inlineStr">
        <is>
          <t>COMB_KER</t>
        </is>
      </c>
      <c r="Z2906" s="4"/>
      <c r="AA2906" s="4"/>
      <c r="AB2906" s="4"/>
      <c r="AC2906" s="4" t="s">
        <v>3352</v>
      </c>
      <c r="AD2906" s="4"/>
      <c r="AE2906" s="4"/>
      <c r="AF2906" s="4"/>
      <c r="AG2906" s="4"/>
      <c r="AH2906" s="4"/>
      <c r="AI2906" s="4"/>
      <c r="AJ2906" s="13" t="n">
        <v>1</v>
      </c>
      <c r="AK2906" s="4"/>
      <c r="AL2906" s="4"/>
      <c r="AM2906" s="4"/>
    </row>
    <row r="2907" customFormat="false" ht="23.85" hidden="false" customHeight="false" outlineLevel="0" collapsed="false">
      <c r="A2907" s="4" t="s">
        <v>3338</v>
      </c>
      <c r="B2907" s="4" t="s">
        <v>3884</v>
      </c>
      <c r="C2907" s="4" t="s">
        <v>3884</v>
      </c>
      <c r="D2907" s="12" t="n">
        <v>2019</v>
      </c>
      <c r="E2907" s="4"/>
      <c r="F2907" s="4" t="s">
        <v>1990</v>
      </c>
      <c r="G2907" s="4" t="s">
        <v>170</v>
      </c>
      <c r="H2907" s="4" t="s">
        <v>171</v>
      </c>
      <c r="I2907" s="4" t="s">
        <v>172</v>
      </c>
      <c r="J2907" s="4" t="s">
        <v>634</v>
      </c>
      <c r="K2907" s="4" t="s">
        <v>107</v>
      </c>
      <c r="L2907" s="4"/>
      <c r="M2907" s="4"/>
      <c r="N2907" s="4" t="s">
        <v>2001</v>
      </c>
      <c r="O2907" s="4" t="s">
        <v>2074</v>
      </c>
      <c r="P2907" s="4" t="s">
        <v>73</v>
      </c>
      <c r="Q2907" s="4" t="s">
        <v>2075</v>
      </c>
      <c r="R2907" s="4"/>
      <c r="S2907" s="4"/>
      <c r="T2907" s="4"/>
      <c r="U2907" s="4"/>
      <c r="V2907" s="4"/>
      <c r="W2907" s="4" t="s">
        <v>3380</v>
      </c>
      <c r="X2907" s="4" t="s">
        <v>3381</v>
      </c>
      <c r="Y2907" s="4" t="inlineStr">
        <is>
          <t>COMB_KER</t>
        </is>
      </c>
      <c r="Z2907" s="4"/>
      <c r="AA2907" s="4"/>
      <c r="AB2907" s="4"/>
      <c r="AC2907" s="4" t="s">
        <v>3352</v>
      </c>
      <c r="AD2907" s="4"/>
      <c r="AE2907" s="4"/>
      <c r="AF2907" s="4"/>
      <c r="AG2907" s="4"/>
      <c r="AH2907" s="4"/>
      <c r="AI2907" s="4"/>
      <c r="AJ2907" s="13" t="n">
        <v>1</v>
      </c>
      <c r="AK2907" s="4"/>
      <c r="AL2907" s="4"/>
      <c r="AM2907" s="4"/>
    </row>
    <row r="2908" customFormat="false" ht="23.85" hidden="false" customHeight="false" outlineLevel="0" collapsed="false">
      <c r="A2908" s="4" t="s">
        <v>3338</v>
      </c>
      <c r="B2908" s="4" t="s">
        <v>3885</v>
      </c>
      <c r="C2908" s="4" t="s">
        <v>3885</v>
      </c>
      <c r="D2908" s="12" t="n">
        <v>2019</v>
      </c>
      <c r="E2908" s="4"/>
      <c r="F2908" s="4" t="s">
        <v>1990</v>
      </c>
      <c r="G2908" s="4" t="s">
        <v>170</v>
      </c>
      <c r="H2908" s="4" t="s">
        <v>171</v>
      </c>
      <c r="I2908" s="4" t="s">
        <v>172</v>
      </c>
      <c r="J2908" s="4" t="s">
        <v>635</v>
      </c>
      <c r="K2908" s="4" t="s">
        <v>107</v>
      </c>
      <c r="L2908" s="4"/>
      <c r="M2908" s="4"/>
      <c r="N2908" s="4" t="s">
        <v>2001</v>
      </c>
      <c r="O2908" s="4" t="s">
        <v>2002</v>
      </c>
      <c r="P2908" s="4" t="s">
        <v>72</v>
      </c>
      <c r="Q2908" s="4" t="s">
        <v>2079</v>
      </c>
      <c r="R2908" s="4"/>
      <c r="S2908" s="4"/>
      <c r="T2908" s="4"/>
      <c r="U2908" s="4"/>
      <c r="V2908" s="4"/>
      <c r="W2908" s="4" t="s">
        <v>3383</v>
      </c>
      <c r="X2908" s="4" t="s">
        <v>3384</v>
      </c>
      <c r="Y2908" s="4" t="inlineStr">
        <is>
          <t>COMB_KER</t>
        </is>
      </c>
      <c r="Z2908" s="4"/>
      <c r="AA2908" s="4"/>
      <c r="AB2908" s="4"/>
      <c r="AC2908" s="4" t="s">
        <v>3352</v>
      </c>
      <c r="AD2908" s="4"/>
      <c r="AE2908" s="4"/>
      <c r="AF2908" s="4"/>
      <c r="AG2908" s="4"/>
      <c r="AH2908" s="4"/>
      <c r="AI2908" s="4"/>
      <c r="AJ2908" s="13" t="n">
        <v>1</v>
      </c>
      <c r="AK2908" s="4"/>
      <c r="AL2908" s="4"/>
      <c r="AM2908" s="4"/>
    </row>
    <row r="2909" customFormat="false" ht="23.85" hidden="false" customHeight="false" outlineLevel="0" collapsed="false">
      <c r="A2909" s="4" t="s">
        <v>3338</v>
      </c>
      <c r="B2909" s="4" t="s">
        <v>3886</v>
      </c>
      <c r="C2909" s="4" t="s">
        <v>3886</v>
      </c>
      <c r="D2909" s="12" t="n">
        <v>2019</v>
      </c>
      <c r="E2909" s="4"/>
      <c r="F2909" s="4" t="s">
        <v>1990</v>
      </c>
      <c r="G2909" s="4" t="s">
        <v>170</v>
      </c>
      <c r="H2909" s="4" t="s">
        <v>171</v>
      </c>
      <c r="I2909" s="4" t="s">
        <v>172</v>
      </c>
      <c r="J2909" s="4" t="s">
        <v>636</v>
      </c>
      <c r="K2909" s="4" t="s">
        <v>107</v>
      </c>
      <c r="L2909" s="4"/>
      <c r="M2909" s="4"/>
      <c r="N2909" s="4" t="s">
        <v>2001</v>
      </c>
      <c r="O2909" s="4" t="s">
        <v>2002</v>
      </c>
      <c r="P2909" s="4" t="s">
        <v>68</v>
      </c>
      <c r="Q2909" s="4" t="s">
        <v>2111</v>
      </c>
      <c r="R2909" s="4"/>
      <c r="S2909" s="4"/>
      <c r="T2909" s="4"/>
      <c r="U2909" s="4"/>
      <c r="V2909" s="4"/>
      <c r="W2909" s="4" t="s">
        <v>3404</v>
      </c>
      <c r="X2909" s="4" t="s">
        <v>3405</v>
      </c>
      <c r="Y2909" s="4" t="inlineStr">
        <is>
          <t>COMB_KER</t>
        </is>
      </c>
      <c r="Z2909" s="4"/>
      <c r="AA2909" s="4"/>
      <c r="AB2909" s="4"/>
      <c r="AC2909" s="4" t="s">
        <v>3352</v>
      </c>
      <c r="AD2909" s="4"/>
      <c r="AE2909" s="4"/>
      <c r="AF2909" s="4"/>
      <c r="AG2909" s="4"/>
      <c r="AH2909" s="4"/>
      <c r="AI2909" s="4"/>
      <c r="AJ2909" s="13" t="n">
        <v>1</v>
      </c>
      <c r="AK2909" s="4"/>
      <c r="AL2909" s="4"/>
      <c r="AM2909" s="4"/>
    </row>
    <row r="2910" customFormat="false" ht="23.85" hidden="false" customHeight="false" outlineLevel="0" collapsed="false">
      <c r="A2910" s="4" t="s">
        <v>3338</v>
      </c>
      <c r="B2910" s="4" t="s">
        <v>3887</v>
      </c>
      <c r="C2910" s="4" t="s">
        <v>3887</v>
      </c>
      <c r="D2910" s="12" t="n">
        <v>2019</v>
      </c>
      <c r="E2910" s="4"/>
      <c r="F2910" s="4" t="s">
        <v>1990</v>
      </c>
      <c r="G2910" s="4" t="s">
        <v>170</v>
      </c>
      <c r="H2910" s="4" t="s">
        <v>171</v>
      </c>
      <c r="I2910" s="4" t="s">
        <v>172</v>
      </c>
      <c r="J2910" s="4" t="s">
        <v>640</v>
      </c>
      <c r="K2910" s="4" t="s">
        <v>111</v>
      </c>
      <c r="L2910" s="4"/>
      <c r="M2910" s="4"/>
      <c r="N2910" s="4" t="s">
        <v>1994</v>
      </c>
      <c r="O2910" s="4" t="s">
        <v>2029</v>
      </c>
      <c r="P2910" s="4" t="s">
        <v>69</v>
      </c>
      <c r="Q2910" s="4" t="s">
        <v>2030</v>
      </c>
      <c r="R2910" s="4"/>
      <c r="S2910" s="4"/>
      <c r="T2910" s="4"/>
      <c r="U2910" s="4"/>
      <c r="V2910" s="4"/>
      <c r="W2910" s="4"/>
      <c r="X2910" s="4"/>
      <c r="Y2910" s="4"/>
      <c r="Z2910" s="4"/>
      <c r="AA2910" s="4"/>
      <c r="AB2910" s="4"/>
      <c r="AC2910" s="4"/>
      <c r="AD2910" s="4"/>
      <c r="AE2910" s="4"/>
      <c r="AF2910" s="4"/>
      <c r="AG2910" s="4"/>
      <c r="AH2910" s="4"/>
      <c r="AI2910" s="4"/>
      <c r="AJ2910" s="13" t="n">
        <v>0</v>
      </c>
      <c r="AK2910" s="4"/>
      <c r="AL2910" s="4"/>
      <c r="AM2910" s="4"/>
    </row>
    <row r="2911" customFormat="false" ht="23.85" hidden="false" customHeight="false" outlineLevel="0" collapsed="false">
      <c r="A2911" s="4" t="s">
        <v>3338</v>
      </c>
      <c r="B2911" s="4" t="s">
        <v>3888</v>
      </c>
      <c r="C2911" s="4" t="s">
        <v>3888</v>
      </c>
      <c r="D2911" s="12" t="n">
        <v>2019</v>
      </c>
      <c r="E2911" s="4"/>
      <c r="F2911" s="4" t="s">
        <v>1990</v>
      </c>
      <c r="G2911" s="4" t="s">
        <v>170</v>
      </c>
      <c r="H2911" s="4" t="s">
        <v>171</v>
      </c>
      <c r="I2911" s="4" t="s">
        <v>172</v>
      </c>
      <c r="J2911" s="4" t="s">
        <v>641</v>
      </c>
      <c r="K2911" s="4" t="s">
        <v>111</v>
      </c>
      <c r="L2911" s="4"/>
      <c r="M2911" s="4"/>
      <c r="N2911" s="4" t="s">
        <v>2001</v>
      </c>
      <c r="O2911" s="4" t="s">
        <v>2091</v>
      </c>
      <c r="P2911" s="4" t="s">
        <v>69</v>
      </c>
      <c r="Q2911" s="4" t="s">
        <v>2030</v>
      </c>
      <c r="R2911" s="4"/>
      <c r="S2911" s="4"/>
      <c r="T2911" s="4"/>
      <c r="U2911" s="4"/>
      <c r="V2911" s="4"/>
      <c r="W2911" s="4"/>
      <c r="X2911" s="4"/>
      <c r="Y2911" s="4"/>
      <c r="Z2911" s="4"/>
      <c r="AA2911" s="4"/>
      <c r="AB2911" s="4"/>
      <c r="AC2911" s="4"/>
      <c r="AD2911" s="4"/>
      <c r="AE2911" s="4"/>
      <c r="AF2911" s="4"/>
      <c r="AG2911" s="4"/>
      <c r="AH2911" s="4"/>
      <c r="AI2911" s="4"/>
      <c r="AJ2911" s="13" t="n">
        <v>0</v>
      </c>
      <c r="AK2911" s="4"/>
      <c r="AL2911" s="4"/>
      <c r="AM2911" s="4"/>
    </row>
    <row r="2912" customFormat="false" ht="23.85" hidden="false" customHeight="false" outlineLevel="0" collapsed="false">
      <c r="A2912" s="4" t="s">
        <v>3338</v>
      </c>
      <c r="B2912" s="4" t="s">
        <v>3889</v>
      </c>
      <c r="C2912" s="4" t="s">
        <v>3889</v>
      </c>
      <c r="D2912" s="12" t="n">
        <v>2019</v>
      </c>
      <c r="E2912" s="4"/>
      <c r="F2912" s="4" t="s">
        <v>1990</v>
      </c>
      <c r="G2912" s="4" t="s">
        <v>170</v>
      </c>
      <c r="H2912" s="4" t="s">
        <v>171</v>
      </c>
      <c r="I2912" s="4" t="s">
        <v>172</v>
      </c>
      <c r="J2912" s="4" t="s">
        <v>642</v>
      </c>
      <c r="K2912" s="4" t="s">
        <v>111</v>
      </c>
      <c r="L2912" s="4"/>
      <c r="M2912" s="4"/>
      <c r="N2912" s="4" t="s">
        <v>2001</v>
      </c>
      <c r="O2912" s="4" t="s">
        <v>2034</v>
      </c>
      <c r="P2912" s="4" t="s">
        <v>74</v>
      </c>
      <c r="Q2912" s="4" t="s">
        <v>2035</v>
      </c>
      <c r="R2912" s="4"/>
      <c r="S2912" s="4"/>
      <c r="T2912" s="4"/>
      <c r="U2912" s="4"/>
      <c r="V2912" s="4"/>
      <c r="W2912" s="4"/>
      <c r="X2912" s="4"/>
      <c r="Y2912" s="4"/>
      <c r="Z2912" s="4"/>
      <c r="AA2912" s="4"/>
      <c r="AB2912" s="4"/>
      <c r="AC2912" s="4"/>
      <c r="AD2912" s="4"/>
      <c r="AE2912" s="4"/>
      <c r="AF2912" s="4"/>
      <c r="AG2912" s="4"/>
      <c r="AH2912" s="4"/>
      <c r="AI2912" s="4"/>
      <c r="AJ2912" s="13" t="n">
        <v>0</v>
      </c>
      <c r="AK2912" s="4"/>
      <c r="AL2912" s="4"/>
      <c r="AM2912" s="4"/>
    </row>
    <row r="2913" customFormat="false" ht="23.85" hidden="false" customHeight="false" outlineLevel="0" collapsed="false">
      <c r="A2913" s="4" t="s">
        <v>3338</v>
      </c>
      <c r="B2913" s="4" t="s">
        <v>3890</v>
      </c>
      <c r="C2913" s="4" t="s">
        <v>3890</v>
      </c>
      <c r="D2913" s="12" t="n">
        <v>2019</v>
      </c>
      <c r="E2913" s="4"/>
      <c r="F2913" s="4" t="s">
        <v>1990</v>
      </c>
      <c r="G2913" s="4" t="s">
        <v>170</v>
      </c>
      <c r="H2913" s="4" t="s">
        <v>171</v>
      </c>
      <c r="I2913" s="4" t="s">
        <v>172</v>
      </c>
      <c r="J2913" s="4" t="s">
        <v>643</v>
      </c>
      <c r="K2913" s="4" t="s">
        <v>111</v>
      </c>
      <c r="L2913" s="4"/>
      <c r="M2913" s="4"/>
      <c r="N2913" s="4" t="s">
        <v>1994</v>
      </c>
      <c r="O2913" s="4" t="s">
        <v>1995</v>
      </c>
      <c r="P2913" s="4" t="s">
        <v>67</v>
      </c>
      <c r="Q2913" s="4" t="s">
        <v>2097</v>
      </c>
      <c r="R2913" s="4"/>
      <c r="S2913" s="4"/>
      <c r="T2913" s="4"/>
      <c r="U2913" s="4"/>
      <c r="V2913" s="4"/>
      <c r="W2913" s="4"/>
      <c r="X2913" s="4"/>
      <c r="Y2913" s="4"/>
      <c r="Z2913" s="4"/>
      <c r="AA2913" s="4"/>
      <c r="AB2913" s="4"/>
      <c r="AC2913" s="4"/>
      <c r="AD2913" s="4"/>
      <c r="AE2913" s="4"/>
      <c r="AF2913" s="4"/>
      <c r="AG2913" s="4"/>
      <c r="AH2913" s="4"/>
      <c r="AI2913" s="4"/>
      <c r="AJ2913" s="13" t="n">
        <v>0</v>
      </c>
      <c r="AK2913" s="4"/>
      <c r="AL2913" s="4"/>
      <c r="AM2913" s="4"/>
    </row>
    <row r="2914" customFormat="false" ht="23.85" hidden="false" customHeight="false" outlineLevel="0" collapsed="false">
      <c r="A2914" s="4" t="s">
        <v>3338</v>
      </c>
      <c r="B2914" s="4" t="s">
        <v>3891</v>
      </c>
      <c r="C2914" s="4" t="s">
        <v>3891</v>
      </c>
      <c r="D2914" s="12" t="n">
        <v>2019</v>
      </c>
      <c r="E2914" s="4"/>
      <c r="F2914" s="4" t="s">
        <v>1990</v>
      </c>
      <c r="G2914" s="4" t="s">
        <v>170</v>
      </c>
      <c r="H2914" s="4" t="s">
        <v>171</v>
      </c>
      <c r="I2914" s="4" t="s">
        <v>172</v>
      </c>
      <c r="J2914" s="4" t="s">
        <v>3124</v>
      </c>
      <c r="K2914" s="4" t="s">
        <v>97</v>
      </c>
      <c r="L2914" s="4"/>
      <c r="M2914" s="4"/>
      <c r="N2914" s="4" t="s">
        <v>2001</v>
      </c>
      <c r="O2914" s="4" t="s">
        <v>2218</v>
      </c>
      <c r="P2914" s="4" t="s">
        <v>44</v>
      </c>
      <c r="Q2914" s="4" t="s">
        <v>2219</v>
      </c>
      <c r="R2914" s="4"/>
      <c r="S2914" s="4"/>
      <c r="T2914" s="4"/>
      <c r="U2914" s="4"/>
      <c r="V2914" s="4"/>
      <c r="W2914" s="4"/>
      <c r="X2914" s="4"/>
      <c r="Y2914" s="4"/>
      <c r="Z2914" s="4"/>
      <c r="AA2914" s="4"/>
      <c r="AB2914" s="4"/>
      <c r="AC2914" s="4"/>
      <c r="AD2914" s="4"/>
      <c r="AE2914" s="4"/>
      <c r="AF2914" s="4"/>
      <c r="AG2914" s="4"/>
      <c r="AH2914" s="4"/>
      <c r="AI2914" s="4"/>
      <c r="AJ2914" s="13" t="n">
        <v>0</v>
      </c>
      <c r="AK2914" s="4"/>
      <c r="AL2914" s="4"/>
      <c r="AM2914" s="4"/>
    </row>
    <row r="2915" customFormat="false" ht="23.85" hidden="false" customHeight="false" outlineLevel="0" collapsed="false">
      <c r="A2915" s="4" t="s">
        <v>3338</v>
      </c>
      <c r="B2915" s="4" t="s">
        <v>3892</v>
      </c>
      <c r="C2915" s="4" t="s">
        <v>3892</v>
      </c>
      <c r="D2915" s="12" t="n">
        <v>2019</v>
      </c>
      <c r="E2915" s="4"/>
      <c r="F2915" s="4" t="s">
        <v>1990</v>
      </c>
      <c r="G2915" s="4" t="s">
        <v>170</v>
      </c>
      <c r="H2915" s="4" t="s">
        <v>171</v>
      </c>
      <c r="I2915" s="4" t="s">
        <v>172</v>
      </c>
      <c r="J2915" s="4" t="s">
        <v>3127</v>
      </c>
      <c r="K2915" s="4" t="s">
        <v>99</v>
      </c>
      <c r="L2915" s="4"/>
      <c r="M2915" s="4"/>
      <c r="N2915" s="4" t="s">
        <v>2001</v>
      </c>
      <c r="O2915" s="4" t="s">
        <v>2218</v>
      </c>
      <c r="P2915" s="4" t="s">
        <v>44</v>
      </c>
      <c r="Q2915" s="4" t="s">
        <v>2219</v>
      </c>
      <c r="R2915" s="4"/>
      <c r="S2915" s="4"/>
      <c r="T2915" s="4"/>
      <c r="U2915" s="4"/>
      <c r="V2915" s="4"/>
      <c r="W2915" s="4"/>
      <c r="X2915" s="4"/>
      <c r="Y2915" s="4"/>
      <c r="Z2915" s="4"/>
      <c r="AA2915" s="4"/>
      <c r="AB2915" s="4"/>
      <c r="AC2915" s="4"/>
      <c r="AD2915" s="4"/>
      <c r="AE2915" s="4"/>
      <c r="AF2915" s="4"/>
      <c r="AG2915" s="4"/>
      <c r="AH2915" s="4"/>
      <c r="AI2915" s="4"/>
      <c r="AJ2915" s="13" t="n">
        <v>0</v>
      </c>
      <c r="AK2915" s="4"/>
      <c r="AL2915" s="4"/>
      <c r="AM2915" s="4"/>
    </row>
    <row r="2916" customFormat="false" ht="46.25" hidden="false" customHeight="false" outlineLevel="0" collapsed="false">
      <c r="A2916" s="4" t="s">
        <v>3338</v>
      </c>
      <c r="B2916" s="4" t="s">
        <v>3893</v>
      </c>
      <c r="C2916" s="4" t="s">
        <v>3893</v>
      </c>
      <c r="D2916" s="12" t="n">
        <v>2019</v>
      </c>
      <c r="E2916" s="4"/>
      <c r="F2916" s="4" t="s">
        <v>3894</v>
      </c>
      <c r="G2916" s="4" t="s">
        <v>1991</v>
      </c>
      <c r="H2916" s="4" t="s">
        <v>3895</v>
      </c>
      <c r="I2916" s="4"/>
      <c r="J2916" s="4" t="s">
        <v>3130</v>
      </c>
      <c r="K2916" s="4" t="s">
        <v>103</v>
      </c>
      <c r="L2916" s="4"/>
      <c r="M2916" s="4"/>
      <c r="N2916" s="4" t="s">
        <v>2001</v>
      </c>
      <c r="O2916" s="4" t="s">
        <v>2002</v>
      </c>
      <c r="P2916" s="4" t="s">
        <v>41</v>
      </c>
      <c r="Q2916" s="4" t="s">
        <v>3131</v>
      </c>
      <c r="R2916" s="4"/>
      <c r="S2916" s="4"/>
      <c r="T2916" s="4"/>
      <c r="U2916" s="4"/>
      <c r="V2916" s="4"/>
      <c r="W2916" s="4"/>
      <c r="X2916" s="4" t="s">
        <v>3896</v>
      </c>
      <c r="Y2916" s="4" t="s">
        <v>3897</v>
      </c>
      <c r="Z2916" s="4"/>
      <c r="AA2916" s="4"/>
      <c r="AB2916" s="4"/>
      <c r="AC2916" s="4" t="s">
        <v>3352</v>
      </c>
      <c r="AD2916" s="4"/>
      <c r="AE2916" s="4"/>
      <c r="AF2916" s="4"/>
      <c r="AG2916" s="4"/>
      <c r="AH2916" s="4"/>
      <c r="AI2916" s="4"/>
      <c r="AJ2916" s="13" t="n">
        <v>1</v>
      </c>
      <c r="AK2916" s="4"/>
      <c r="AL2916" s="4"/>
      <c r="AM2916" s="4" t="s">
        <v>3898</v>
      </c>
    </row>
    <row r="2917" customFormat="false" ht="23.85" hidden="false" customHeight="false" outlineLevel="0" collapsed="false">
      <c r="A2917" s="4" t="s">
        <v>3338</v>
      </c>
      <c r="B2917" s="4" t="s">
        <v>3899</v>
      </c>
      <c r="C2917" s="4" t="s">
        <v>3899</v>
      </c>
      <c r="D2917" s="12" t="n">
        <v>2019</v>
      </c>
      <c r="E2917" s="4"/>
      <c r="F2917" s="4" t="s">
        <v>1990</v>
      </c>
      <c r="G2917" s="4" t="s">
        <v>170</v>
      </c>
      <c r="H2917" s="4" t="s">
        <v>171</v>
      </c>
      <c r="I2917" s="4" t="s">
        <v>172</v>
      </c>
      <c r="J2917" s="4" t="s">
        <v>3136</v>
      </c>
      <c r="K2917" s="4" t="s">
        <v>107</v>
      </c>
      <c r="L2917" s="4"/>
      <c r="M2917" s="4"/>
      <c r="N2917" s="4" t="s">
        <v>2001</v>
      </c>
      <c r="O2917" s="4" t="s">
        <v>2218</v>
      </c>
      <c r="P2917" s="4" t="s">
        <v>44</v>
      </c>
      <c r="Q2917" s="4" t="s">
        <v>2219</v>
      </c>
      <c r="R2917" s="4"/>
      <c r="S2917" s="4"/>
      <c r="T2917" s="4"/>
      <c r="U2917" s="4"/>
      <c r="V2917" s="4"/>
      <c r="W2917" s="4"/>
      <c r="X2917" s="4"/>
      <c r="Y2917" s="4"/>
      <c r="Z2917" s="4"/>
      <c r="AA2917" s="4"/>
      <c r="AB2917" s="4"/>
      <c r="AC2917" s="4"/>
      <c r="AD2917" s="4"/>
      <c r="AE2917" s="4"/>
      <c r="AF2917" s="4"/>
      <c r="AG2917" s="4"/>
      <c r="AH2917" s="4"/>
      <c r="AI2917" s="4"/>
      <c r="AJ2917" s="13" t="n">
        <v>0</v>
      </c>
      <c r="AK2917" s="4"/>
      <c r="AL2917" s="4"/>
      <c r="AM2917" s="4"/>
    </row>
    <row r="2918" customFormat="false" ht="35.05" hidden="false" customHeight="false" outlineLevel="0" collapsed="false">
      <c r="A2918" s="4" t="s">
        <v>3338</v>
      </c>
      <c r="B2918" s="4" t="s">
        <v>3900</v>
      </c>
      <c r="C2918" s="4" t="s">
        <v>3900</v>
      </c>
      <c r="D2918" s="12" t="n">
        <v>2019</v>
      </c>
      <c r="E2918" s="4"/>
      <c r="F2918" s="4" t="s">
        <v>1990</v>
      </c>
      <c r="G2918" s="4" t="s">
        <v>1991</v>
      </c>
      <c r="H2918" s="4" t="s">
        <v>3458</v>
      </c>
      <c r="I2918" s="4"/>
      <c r="J2918" s="4" t="s">
        <v>3139</v>
      </c>
      <c r="K2918" s="4" t="s">
        <v>111</v>
      </c>
      <c r="L2918" s="4"/>
      <c r="M2918" s="4"/>
      <c r="N2918" s="4" t="s">
        <v>2001</v>
      </c>
      <c r="O2918" s="4" t="s">
        <v>2002</v>
      </c>
      <c r="P2918" s="4" t="s">
        <v>41</v>
      </c>
      <c r="Q2918" s="4" t="s">
        <v>2228</v>
      </c>
      <c r="R2918" s="4"/>
      <c r="S2918" s="4"/>
      <c r="T2918" s="4"/>
      <c r="U2918" s="4"/>
      <c r="V2918" s="4"/>
      <c r="W2918" s="4"/>
      <c r="X2918" s="4"/>
      <c r="Y2918" s="4"/>
      <c r="Z2918" s="4"/>
      <c r="AA2918" s="4"/>
      <c r="AB2918" s="4"/>
      <c r="AC2918" s="4"/>
      <c r="AD2918" s="4"/>
      <c r="AE2918" s="4"/>
      <c r="AF2918" s="4"/>
      <c r="AG2918" s="4"/>
      <c r="AH2918" s="4"/>
      <c r="AI2918" s="4"/>
      <c r="AJ2918" s="13" t="n">
        <v>0</v>
      </c>
      <c r="AK2918" s="4"/>
      <c r="AL2918" s="4"/>
      <c r="AM2918" s="4" t="s">
        <v>3459</v>
      </c>
    </row>
    <row r="2919" customFormat="false" ht="23.85" hidden="false" customHeight="false" outlineLevel="0" collapsed="false">
      <c r="A2919" s="4" t="s">
        <v>3338</v>
      </c>
      <c r="B2919" s="4" t="s">
        <v>3901</v>
      </c>
      <c r="C2919" s="4" t="s">
        <v>3901</v>
      </c>
      <c r="D2919" s="12" t="n">
        <v>2019</v>
      </c>
      <c r="E2919" s="4"/>
      <c r="F2919" s="4" t="s">
        <v>1990</v>
      </c>
      <c r="G2919" s="4" t="s">
        <v>170</v>
      </c>
      <c r="H2919" s="4" t="s">
        <v>171</v>
      </c>
      <c r="I2919" s="4" t="s">
        <v>172</v>
      </c>
      <c r="J2919" s="4" t="s">
        <v>3142</v>
      </c>
      <c r="K2919" s="4" t="s">
        <v>86</v>
      </c>
      <c r="L2919" s="4"/>
      <c r="M2919" s="4"/>
      <c r="N2919" s="4" t="s">
        <v>2001</v>
      </c>
      <c r="O2919" s="4" t="s">
        <v>2218</v>
      </c>
      <c r="P2919" s="4" t="s">
        <v>44</v>
      </c>
      <c r="Q2919" s="4" t="s">
        <v>2219</v>
      </c>
      <c r="R2919" s="4"/>
      <c r="S2919" s="4"/>
      <c r="T2919" s="4"/>
      <c r="U2919" s="4"/>
      <c r="V2919" s="4"/>
      <c r="W2919" s="4"/>
      <c r="X2919" s="4"/>
      <c r="Y2919" s="4"/>
      <c r="Z2919" s="4"/>
      <c r="AA2919" s="4"/>
      <c r="AB2919" s="4"/>
      <c r="AC2919" s="4"/>
      <c r="AD2919" s="4"/>
      <c r="AE2919" s="4"/>
      <c r="AF2919" s="4"/>
      <c r="AG2919" s="4"/>
      <c r="AH2919" s="4"/>
      <c r="AI2919" s="4"/>
      <c r="AJ2919" s="13" t="n">
        <v>0</v>
      </c>
      <c r="AK2919" s="4"/>
      <c r="AL2919" s="4"/>
      <c r="AM2919" s="4"/>
    </row>
    <row r="2920" customFormat="false" ht="23.85" hidden="false" customHeight="false" outlineLevel="0" collapsed="false">
      <c r="A2920" s="4" t="s">
        <v>3338</v>
      </c>
      <c r="B2920" s="4" t="s">
        <v>3902</v>
      </c>
      <c r="C2920" s="4" t="s">
        <v>3902</v>
      </c>
      <c r="D2920" s="12" t="n">
        <v>2018</v>
      </c>
      <c r="E2920" s="4"/>
      <c r="F2920" s="4" t="s">
        <v>1990</v>
      </c>
      <c r="G2920" s="4" t="s">
        <v>170</v>
      </c>
      <c r="H2920" s="4" t="s">
        <v>171</v>
      </c>
      <c r="I2920" s="4" t="s">
        <v>172</v>
      </c>
      <c r="J2920" s="4" t="s">
        <v>168</v>
      </c>
      <c r="K2920" s="4" t="s">
        <v>91</v>
      </c>
      <c r="L2920" s="4"/>
      <c r="M2920" s="4"/>
      <c r="N2920" s="4" t="s">
        <v>1994</v>
      </c>
      <c r="O2920" s="4" t="s">
        <v>1995</v>
      </c>
      <c r="P2920" s="4" t="s">
        <v>68</v>
      </c>
      <c r="Q2920" s="4" t="s">
        <v>1996</v>
      </c>
      <c r="R2920" s="4"/>
      <c r="S2920" s="4"/>
      <c r="T2920" s="4"/>
      <c r="U2920" s="4"/>
      <c r="V2920" s="4"/>
      <c r="W2920" s="4"/>
      <c r="X2920" s="4"/>
      <c r="Y2920" s="4"/>
      <c r="Z2920" s="4"/>
      <c r="AA2920" s="4"/>
      <c r="AB2920" s="4"/>
      <c r="AC2920" s="4"/>
      <c r="AD2920" s="4"/>
      <c r="AE2920" s="4"/>
      <c r="AF2920" s="4"/>
      <c r="AG2920" s="4"/>
      <c r="AH2920" s="4"/>
      <c r="AI2920" s="4"/>
      <c r="AJ2920" s="13" t="n">
        <v>0</v>
      </c>
      <c r="AK2920" s="4"/>
      <c r="AL2920" s="4"/>
      <c r="AM2920" s="4"/>
    </row>
    <row r="2921" customFormat="false" ht="23.85" hidden="false" customHeight="false" outlineLevel="0" collapsed="false">
      <c r="A2921" s="4" t="s">
        <v>3338</v>
      </c>
      <c r="B2921" s="4" t="s">
        <v>3903</v>
      </c>
      <c r="C2921" s="4" t="s">
        <v>3903</v>
      </c>
      <c r="D2921" s="12" t="n">
        <v>2018</v>
      </c>
      <c r="E2921" s="4"/>
      <c r="F2921" s="4" t="s">
        <v>1990</v>
      </c>
      <c r="G2921" s="4" t="s">
        <v>170</v>
      </c>
      <c r="H2921" s="4" t="s">
        <v>171</v>
      </c>
      <c r="I2921" s="4" t="s">
        <v>172</v>
      </c>
      <c r="J2921" s="4" t="s">
        <v>180</v>
      </c>
      <c r="K2921" s="4" t="s">
        <v>91</v>
      </c>
      <c r="L2921" s="4"/>
      <c r="M2921" s="4"/>
      <c r="N2921" s="4" t="s">
        <v>2001</v>
      </c>
      <c r="O2921" s="4" t="s">
        <v>2002</v>
      </c>
      <c r="P2921" s="4" t="s">
        <v>67</v>
      </c>
      <c r="Q2921" s="4" t="s">
        <v>2003</v>
      </c>
      <c r="R2921" s="4"/>
      <c r="S2921" s="4"/>
      <c r="T2921" s="4"/>
      <c r="U2921" s="4"/>
      <c r="V2921" s="4"/>
      <c r="W2921" s="4" t="s">
        <v>3341</v>
      </c>
      <c r="X2921" s="4" t="s">
        <v>3342</v>
      </c>
      <c r="Y2921" s="4" t="inlineStr">
        <is>
          <t>COMB_BCANA</t>
        </is>
      </c>
      <c r="Z2921" s="4"/>
      <c r="AA2921" s="4"/>
      <c r="AB2921" s="4"/>
      <c r="AC2921" s="4" t="s">
        <v>3344</v>
      </c>
      <c r="AD2921" s="4"/>
      <c r="AE2921" s="4"/>
      <c r="AF2921" s="4"/>
      <c r="AG2921" s="4"/>
      <c r="AH2921" s="4"/>
      <c r="AI2921" s="4"/>
      <c r="AJ2921" s="13" t="n">
        <v>1</v>
      </c>
      <c r="AK2921" s="4"/>
      <c r="AL2921" s="4"/>
      <c r="AM2921" s="4"/>
    </row>
    <row r="2922" customFormat="false" ht="23.85" hidden="false" customHeight="false" outlineLevel="0" collapsed="false">
      <c r="A2922" s="4" t="s">
        <v>3338</v>
      </c>
      <c r="B2922" s="4" t="s">
        <v>3904</v>
      </c>
      <c r="C2922" s="4" t="s">
        <v>3904</v>
      </c>
      <c r="D2922" s="12" t="n">
        <v>2018</v>
      </c>
      <c r="E2922" s="4"/>
      <c r="F2922" s="4" t="s">
        <v>1990</v>
      </c>
      <c r="G2922" s="4" t="s">
        <v>170</v>
      </c>
      <c r="H2922" s="4" t="s">
        <v>171</v>
      </c>
      <c r="I2922" s="4" t="s">
        <v>172</v>
      </c>
      <c r="J2922" s="4" t="s">
        <v>181</v>
      </c>
      <c r="K2922" s="4" t="s">
        <v>91</v>
      </c>
      <c r="L2922" s="4"/>
      <c r="M2922" s="4"/>
      <c r="N2922" s="4" t="s">
        <v>2001</v>
      </c>
      <c r="O2922" s="4" t="s">
        <v>2002</v>
      </c>
      <c r="P2922" s="4" t="s">
        <v>67</v>
      </c>
      <c r="Q2922" s="4" t="s">
        <v>2008</v>
      </c>
      <c r="R2922" s="4"/>
      <c r="S2922" s="4"/>
      <c r="T2922" s="4"/>
      <c r="U2922" s="4"/>
      <c r="V2922" s="4"/>
      <c r="W2922" s="4" t="s">
        <v>3341</v>
      </c>
      <c r="X2922" s="4" t="s">
        <v>3342</v>
      </c>
      <c r="Y2922" s="4" t="inlineStr">
        <is>
          <t>COMB_BCANA</t>
        </is>
      </c>
      <c r="Z2922" s="4"/>
      <c r="AA2922" s="4"/>
      <c r="AB2922" s="4"/>
      <c r="AC2922" s="4" t="s">
        <v>3344</v>
      </c>
      <c r="AD2922" s="4"/>
      <c r="AE2922" s="4"/>
      <c r="AF2922" s="4"/>
      <c r="AG2922" s="4"/>
      <c r="AH2922" s="4"/>
      <c r="AI2922" s="4"/>
      <c r="AJ2922" s="13" t="n">
        <v>1</v>
      </c>
      <c r="AK2922" s="4"/>
      <c r="AL2922" s="4"/>
      <c r="AM2922" s="4"/>
    </row>
    <row r="2923" customFormat="false" ht="23.85" hidden="false" customHeight="false" outlineLevel="0" collapsed="false">
      <c r="A2923" s="4" t="s">
        <v>3338</v>
      </c>
      <c r="B2923" s="4" t="s">
        <v>3905</v>
      </c>
      <c r="C2923" s="4" t="s">
        <v>3905</v>
      </c>
      <c r="D2923" s="12" t="n">
        <v>2018</v>
      </c>
      <c r="E2923" s="4"/>
      <c r="F2923" s="4" t="s">
        <v>1990</v>
      </c>
      <c r="G2923" s="4" t="s">
        <v>170</v>
      </c>
      <c r="H2923" s="4" t="s">
        <v>171</v>
      </c>
      <c r="I2923" s="4" t="s">
        <v>172</v>
      </c>
      <c r="J2923" s="4" t="s">
        <v>189</v>
      </c>
      <c r="K2923" s="4" t="s">
        <v>93</v>
      </c>
      <c r="L2923" s="4"/>
      <c r="M2923" s="4"/>
      <c r="N2923" s="4" t="s">
        <v>1994</v>
      </c>
      <c r="O2923" s="4" t="s">
        <v>1995</v>
      </c>
      <c r="P2923" s="4" t="s">
        <v>67</v>
      </c>
      <c r="Q2923" s="4" t="s">
        <v>2012</v>
      </c>
      <c r="R2923" s="4"/>
      <c r="S2923" s="4"/>
      <c r="T2923" s="4"/>
      <c r="U2923" s="4"/>
      <c r="V2923" s="4"/>
      <c r="W2923" s="4"/>
      <c r="X2923" s="4"/>
      <c r="Y2923" s="4"/>
      <c r="Z2923" s="4"/>
      <c r="AA2923" s="4"/>
      <c r="AB2923" s="4"/>
      <c r="AC2923" s="4"/>
      <c r="AD2923" s="4"/>
      <c r="AE2923" s="4"/>
      <c r="AF2923" s="4"/>
      <c r="AG2923" s="4"/>
      <c r="AH2923" s="4"/>
      <c r="AI2923" s="4"/>
      <c r="AJ2923" s="13" t="n">
        <v>0</v>
      </c>
      <c r="AK2923" s="4"/>
      <c r="AL2923" s="4"/>
      <c r="AM2923" s="4"/>
    </row>
    <row r="2924" customFormat="false" ht="23.85" hidden="false" customHeight="false" outlineLevel="0" collapsed="false">
      <c r="A2924" s="4" t="s">
        <v>3338</v>
      </c>
      <c r="B2924" s="4" t="s">
        <v>3906</v>
      </c>
      <c r="C2924" s="4" t="s">
        <v>3906</v>
      </c>
      <c r="D2924" s="12" t="n">
        <v>2018</v>
      </c>
      <c r="E2924" s="4"/>
      <c r="F2924" s="4" t="s">
        <v>1990</v>
      </c>
      <c r="G2924" s="4" t="s">
        <v>170</v>
      </c>
      <c r="H2924" s="4" t="s">
        <v>171</v>
      </c>
      <c r="I2924" s="4" t="s">
        <v>172</v>
      </c>
      <c r="J2924" s="4" t="s">
        <v>195</v>
      </c>
      <c r="K2924" s="4" t="s">
        <v>93</v>
      </c>
      <c r="L2924" s="4"/>
      <c r="M2924" s="4"/>
      <c r="N2924" s="4" t="s">
        <v>2001</v>
      </c>
      <c r="O2924" s="4" t="s">
        <v>2002</v>
      </c>
      <c r="P2924" s="4" t="s">
        <v>67</v>
      </c>
      <c r="Q2924" s="4" t="s">
        <v>2003</v>
      </c>
      <c r="R2924" s="4"/>
      <c r="S2924" s="4"/>
      <c r="T2924" s="4"/>
      <c r="U2924" s="4"/>
      <c r="V2924" s="4"/>
      <c r="W2924" s="4" t="s">
        <v>3341</v>
      </c>
      <c r="X2924" s="4" t="s">
        <v>3342</v>
      </c>
      <c r="Y2924" s="4" t="inlineStr">
        <is>
          <t>COMB_BIOGAS</t>
        </is>
      </c>
      <c r="Z2924" s="4"/>
      <c r="AA2924" s="4"/>
      <c r="AB2924" s="4"/>
      <c r="AC2924" s="4" t="s">
        <v>3344</v>
      </c>
      <c r="AD2924" s="4"/>
      <c r="AE2924" s="4"/>
      <c r="AF2924" s="4"/>
      <c r="AG2924" s="4"/>
      <c r="AH2924" s="4"/>
      <c r="AI2924" s="4"/>
      <c r="AJ2924" s="13" t="n">
        <v>1</v>
      </c>
      <c r="AK2924" s="4"/>
      <c r="AL2924" s="4"/>
      <c r="AM2924" s="4"/>
    </row>
    <row r="2925" customFormat="false" ht="23.85" hidden="false" customHeight="false" outlineLevel="0" collapsed="false">
      <c r="A2925" s="4" t="s">
        <v>3338</v>
      </c>
      <c r="B2925" s="4" t="s">
        <v>3907</v>
      </c>
      <c r="C2925" s="4" t="s">
        <v>3907</v>
      </c>
      <c r="D2925" s="12" t="n">
        <v>2018</v>
      </c>
      <c r="E2925" s="4"/>
      <c r="F2925" s="4" t="s">
        <v>1990</v>
      </c>
      <c r="G2925" s="4" t="s">
        <v>170</v>
      </c>
      <c r="H2925" s="4" t="s">
        <v>171</v>
      </c>
      <c r="I2925" s="4" t="s">
        <v>172</v>
      </c>
      <c r="J2925" s="4" t="s">
        <v>196</v>
      </c>
      <c r="K2925" s="4" t="s">
        <v>93</v>
      </c>
      <c r="L2925" s="4"/>
      <c r="M2925" s="4"/>
      <c r="N2925" s="4" t="s">
        <v>2001</v>
      </c>
      <c r="O2925" s="4" t="s">
        <v>2002</v>
      </c>
      <c r="P2925" s="4" t="s">
        <v>67</v>
      </c>
      <c r="Q2925" s="4" t="s">
        <v>2008</v>
      </c>
      <c r="R2925" s="4"/>
      <c r="S2925" s="4"/>
      <c r="T2925" s="4"/>
      <c r="U2925" s="4"/>
      <c r="V2925" s="4"/>
      <c r="W2925" s="4" t="s">
        <v>3341</v>
      </c>
      <c r="X2925" s="4" t="s">
        <v>3342</v>
      </c>
      <c r="Y2925" s="4" t="inlineStr">
        <is>
          <t>COMB_BIOGAS</t>
        </is>
      </c>
      <c r="Z2925" s="4"/>
      <c r="AA2925" s="4"/>
      <c r="AB2925" s="4"/>
      <c r="AC2925" s="4" t="s">
        <v>3344</v>
      </c>
      <c r="AD2925" s="4"/>
      <c r="AE2925" s="4"/>
      <c r="AF2925" s="4"/>
      <c r="AG2925" s="4"/>
      <c r="AH2925" s="4"/>
      <c r="AI2925" s="4"/>
      <c r="AJ2925" s="13" t="n">
        <v>1</v>
      </c>
      <c r="AK2925" s="4"/>
      <c r="AL2925" s="4"/>
      <c r="AM2925" s="4"/>
    </row>
    <row r="2926" customFormat="false" ht="23.85" hidden="false" customHeight="false" outlineLevel="0" collapsed="false">
      <c r="A2926" s="4" t="s">
        <v>3338</v>
      </c>
      <c r="B2926" s="4" t="s">
        <v>3908</v>
      </c>
      <c r="C2926" s="4" t="s">
        <v>3908</v>
      </c>
      <c r="D2926" s="12" t="n">
        <v>2018</v>
      </c>
      <c r="E2926" s="4"/>
      <c r="F2926" s="4" t="s">
        <v>3349</v>
      </c>
      <c r="G2926" s="4" t="s">
        <v>170</v>
      </c>
      <c r="H2926" s="4" t="s">
        <v>171</v>
      </c>
      <c r="I2926" s="4" t="s">
        <v>172</v>
      </c>
      <c r="J2926" s="4" t="s">
        <v>204</v>
      </c>
      <c r="K2926" s="4" t="s">
        <v>76</v>
      </c>
      <c r="L2926" s="4"/>
      <c r="M2926" s="4"/>
      <c r="N2926" s="4" t="s">
        <v>1994</v>
      </c>
      <c r="O2926" s="4" t="s">
        <v>65</v>
      </c>
      <c r="P2926" s="4" t="s">
        <v>64</v>
      </c>
      <c r="Q2926" s="4" t="s">
        <v>2019</v>
      </c>
      <c r="R2926" s="4"/>
      <c r="S2926" s="4"/>
      <c r="T2926" s="4"/>
      <c r="U2926" s="4"/>
      <c r="V2926" s="4"/>
      <c r="W2926" s="4" t="s">
        <v>3350</v>
      </c>
      <c r="X2926" s="4" t="s">
        <v>3351</v>
      </c>
      <c r="Y2926" s="4" t="s">
        <v>3349</v>
      </c>
      <c r="Z2926" s="4"/>
      <c r="AA2926" s="4"/>
      <c r="AB2926" s="4"/>
      <c r="AC2926" s="4" t="s">
        <v>3352</v>
      </c>
      <c r="AD2926" s="4"/>
      <c r="AE2926" s="4"/>
      <c r="AF2926" s="4"/>
      <c r="AG2926" s="4"/>
      <c r="AH2926" s="4"/>
      <c r="AI2926" s="4"/>
      <c r="AJ2926" s="13" t="n">
        <v>1</v>
      </c>
      <c r="AK2926" s="4"/>
      <c r="AL2926" s="4"/>
      <c r="AM2926" s="4"/>
    </row>
    <row r="2927" customFormat="false" ht="23.85" hidden="false" customHeight="false" outlineLevel="0" collapsed="false">
      <c r="A2927" s="4" t="s">
        <v>3338</v>
      </c>
      <c r="B2927" s="4" t="s">
        <v>3909</v>
      </c>
      <c r="C2927" s="4" t="s">
        <v>3909</v>
      </c>
      <c r="D2927" s="12" t="n">
        <v>2018</v>
      </c>
      <c r="E2927" s="4"/>
      <c r="F2927" s="4" t="s">
        <v>1990</v>
      </c>
      <c r="G2927" s="4" t="s">
        <v>170</v>
      </c>
      <c r="H2927" s="4" t="s">
        <v>171</v>
      </c>
      <c r="I2927" s="4" t="s">
        <v>172</v>
      </c>
      <c r="J2927" s="4" t="s">
        <v>204</v>
      </c>
      <c r="K2927" s="4" t="s">
        <v>76</v>
      </c>
      <c r="L2927" s="4"/>
      <c r="M2927" s="4"/>
      <c r="N2927" s="4" t="s">
        <v>2001</v>
      </c>
      <c r="O2927" s="4" t="s">
        <v>66</v>
      </c>
      <c r="P2927" s="4" t="s">
        <v>66</v>
      </c>
      <c r="Q2927" s="4" t="s">
        <v>2019</v>
      </c>
      <c r="R2927" s="4"/>
      <c r="S2927" s="4"/>
      <c r="T2927" s="4"/>
      <c r="U2927" s="4"/>
      <c r="V2927" s="4"/>
      <c r="W2927" s="4"/>
      <c r="X2927" s="4"/>
      <c r="Y2927" s="4"/>
      <c r="Z2927" s="4"/>
      <c r="AA2927" s="4"/>
      <c r="AB2927" s="4"/>
      <c r="AC2927" s="4"/>
      <c r="AD2927" s="4"/>
      <c r="AE2927" s="4"/>
      <c r="AF2927" s="4"/>
      <c r="AG2927" s="4"/>
      <c r="AH2927" s="4"/>
      <c r="AI2927" s="4"/>
      <c r="AJ2927" s="13" t="n">
        <v>0</v>
      </c>
      <c r="AK2927" s="4"/>
      <c r="AL2927" s="4"/>
      <c r="AM2927" s="4"/>
    </row>
    <row r="2928" customFormat="false" ht="23.85" hidden="false" customHeight="false" outlineLevel="0" collapsed="false">
      <c r="A2928" s="4" t="s">
        <v>3338</v>
      </c>
      <c r="B2928" s="4" t="s">
        <v>3910</v>
      </c>
      <c r="C2928" s="4" t="s">
        <v>3910</v>
      </c>
      <c r="D2928" s="12" t="n">
        <v>2018</v>
      </c>
      <c r="E2928" s="4"/>
      <c r="F2928" s="4" t="s">
        <v>1990</v>
      </c>
      <c r="G2928" s="4" t="s">
        <v>170</v>
      </c>
      <c r="H2928" s="4" t="s">
        <v>171</v>
      </c>
      <c r="I2928" s="4" t="s">
        <v>172</v>
      </c>
      <c r="J2928" s="4" t="s">
        <v>204</v>
      </c>
      <c r="K2928" s="4" t="s">
        <v>76</v>
      </c>
      <c r="L2928" s="4"/>
      <c r="M2928" s="4"/>
      <c r="N2928" s="4" t="s">
        <v>1994</v>
      </c>
      <c r="O2928" s="4" t="s">
        <v>1995</v>
      </c>
      <c r="P2928" s="4" t="s">
        <v>66</v>
      </c>
      <c r="Q2928" s="4" t="s">
        <v>2019</v>
      </c>
      <c r="R2928" s="4"/>
      <c r="S2928" s="4"/>
      <c r="T2928" s="4"/>
      <c r="U2928" s="4"/>
      <c r="V2928" s="4"/>
      <c r="W2928" s="4"/>
      <c r="X2928" s="4"/>
      <c r="Y2928" s="4"/>
      <c r="Z2928" s="4"/>
      <c r="AA2928" s="4"/>
      <c r="AB2928" s="4"/>
      <c r="AC2928" s="4"/>
      <c r="AD2928" s="4"/>
      <c r="AE2928" s="4"/>
      <c r="AF2928" s="4"/>
      <c r="AG2928" s="4"/>
      <c r="AH2928" s="4"/>
      <c r="AI2928" s="4"/>
      <c r="AJ2928" s="13" t="n">
        <v>0</v>
      </c>
      <c r="AK2928" s="4"/>
      <c r="AL2928" s="4"/>
      <c r="AM2928" s="4"/>
    </row>
    <row r="2929" customFormat="false" ht="23.85" hidden="false" customHeight="false" outlineLevel="0" collapsed="false">
      <c r="A2929" s="4" t="s">
        <v>3338</v>
      </c>
      <c r="B2929" s="4" t="s">
        <v>3911</v>
      </c>
      <c r="C2929" s="4" t="s">
        <v>3911</v>
      </c>
      <c r="D2929" s="12" t="n">
        <v>2018</v>
      </c>
      <c r="E2929" s="4"/>
      <c r="F2929" s="4" t="s">
        <v>1990</v>
      </c>
      <c r="G2929" s="4" t="s">
        <v>170</v>
      </c>
      <c r="H2929" s="4" t="s">
        <v>171</v>
      </c>
      <c r="I2929" s="4" t="s">
        <v>172</v>
      </c>
      <c r="J2929" s="4" t="s">
        <v>206</v>
      </c>
      <c r="K2929" s="4" t="s">
        <v>76</v>
      </c>
      <c r="L2929" s="4"/>
      <c r="M2929" s="4"/>
      <c r="N2929" s="4" t="s">
        <v>1994</v>
      </c>
      <c r="O2929" s="4" t="s">
        <v>2029</v>
      </c>
      <c r="P2929" s="4" t="s">
        <v>69</v>
      </c>
      <c r="Q2929" s="4" t="s">
        <v>2030</v>
      </c>
      <c r="R2929" s="4"/>
      <c r="S2929" s="4"/>
      <c r="T2929" s="4"/>
      <c r="U2929" s="4"/>
      <c r="V2929" s="4"/>
      <c r="W2929" s="4"/>
      <c r="X2929" s="4"/>
      <c r="Y2929" s="4"/>
      <c r="Z2929" s="4"/>
      <c r="AA2929" s="4"/>
      <c r="AB2929" s="4"/>
      <c r="AC2929" s="4"/>
      <c r="AD2929" s="4"/>
      <c r="AE2929" s="4"/>
      <c r="AF2929" s="4"/>
      <c r="AG2929" s="4"/>
      <c r="AH2929" s="4"/>
      <c r="AI2929" s="4"/>
      <c r="AJ2929" s="13" t="n">
        <v>0</v>
      </c>
      <c r="AK2929" s="4"/>
      <c r="AL2929" s="4"/>
      <c r="AM2929" s="4"/>
    </row>
    <row r="2930" customFormat="false" ht="23.85" hidden="false" customHeight="false" outlineLevel="0" collapsed="false">
      <c r="A2930" s="4" t="s">
        <v>3338</v>
      </c>
      <c r="B2930" s="4" t="s">
        <v>3912</v>
      </c>
      <c r="C2930" s="4" t="s">
        <v>3912</v>
      </c>
      <c r="D2930" s="12" t="n">
        <v>2018</v>
      </c>
      <c r="E2930" s="4"/>
      <c r="F2930" s="4" t="s">
        <v>1990</v>
      </c>
      <c r="G2930" s="4" t="s">
        <v>170</v>
      </c>
      <c r="H2930" s="4" t="s">
        <v>171</v>
      </c>
      <c r="I2930" s="4" t="s">
        <v>172</v>
      </c>
      <c r="J2930" s="4" t="s">
        <v>208</v>
      </c>
      <c r="K2930" s="4" t="s">
        <v>76</v>
      </c>
      <c r="L2930" s="4"/>
      <c r="M2930" s="4"/>
      <c r="N2930" s="4" t="s">
        <v>2001</v>
      </c>
      <c r="O2930" s="4" t="s">
        <v>2034</v>
      </c>
      <c r="P2930" s="4" t="s">
        <v>74</v>
      </c>
      <c r="Q2930" s="4" t="s">
        <v>2035</v>
      </c>
      <c r="R2930" s="4"/>
      <c r="S2930" s="4"/>
      <c r="T2930" s="4"/>
      <c r="U2930" s="4"/>
      <c r="V2930" s="4"/>
      <c r="W2930" s="4"/>
      <c r="X2930" s="4"/>
      <c r="Y2930" s="4"/>
      <c r="Z2930" s="4"/>
      <c r="AA2930" s="4"/>
      <c r="AB2930" s="4"/>
      <c r="AC2930" s="4"/>
      <c r="AD2930" s="4"/>
      <c r="AE2930" s="4"/>
      <c r="AF2930" s="4"/>
      <c r="AG2930" s="4"/>
      <c r="AH2930" s="4"/>
      <c r="AI2930" s="4"/>
      <c r="AJ2930" s="13" t="n">
        <v>0</v>
      </c>
      <c r="AK2930" s="4"/>
      <c r="AL2930" s="4"/>
      <c r="AM2930" s="4"/>
    </row>
    <row r="2931" customFormat="false" ht="23.85" hidden="false" customHeight="false" outlineLevel="0" collapsed="false">
      <c r="A2931" s="4" t="s">
        <v>3338</v>
      </c>
      <c r="B2931" s="4" t="s">
        <v>3913</v>
      </c>
      <c r="C2931" s="4" t="s">
        <v>3913</v>
      </c>
      <c r="D2931" s="12" t="n">
        <v>2018</v>
      </c>
      <c r="E2931" s="4"/>
      <c r="F2931" s="4" t="s">
        <v>1990</v>
      </c>
      <c r="G2931" s="4" t="s">
        <v>170</v>
      </c>
      <c r="H2931" s="4" t="s">
        <v>171</v>
      </c>
      <c r="I2931" s="4" t="s">
        <v>172</v>
      </c>
      <c r="J2931" s="4" t="s">
        <v>210</v>
      </c>
      <c r="K2931" s="4" t="s">
        <v>76</v>
      </c>
      <c r="L2931" s="4"/>
      <c r="M2931" s="4"/>
      <c r="N2931" s="4" t="s">
        <v>2001</v>
      </c>
      <c r="O2931" s="4" t="s">
        <v>2002</v>
      </c>
      <c r="P2931" s="4" t="s">
        <v>67</v>
      </c>
      <c r="Q2931" s="4" t="s">
        <v>2003</v>
      </c>
      <c r="R2931" s="4"/>
      <c r="S2931" s="4"/>
      <c r="T2931" s="4"/>
      <c r="U2931" s="4"/>
      <c r="V2931" s="4"/>
      <c r="W2931" s="4" t="s">
        <v>3341</v>
      </c>
      <c r="X2931" s="4" t="s">
        <v>3342</v>
      </c>
      <c r="Y2931" s="4" t="inlineStr">
        <is>
          <t>COMB_CRBN</t>
        </is>
      </c>
      <c r="Z2931" s="4"/>
      <c r="AA2931" s="4"/>
      <c r="AB2931" s="4"/>
      <c r="AC2931" s="4" t="s">
        <v>3352</v>
      </c>
      <c r="AD2931" s="4"/>
      <c r="AE2931" s="4"/>
      <c r="AF2931" s="4"/>
      <c r="AG2931" s="4"/>
      <c r="AH2931" s="4"/>
      <c r="AI2931" s="4"/>
      <c r="AJ2931" s="13" t="n">
        <v>1</v>
      </c>
      <c r="AK2931" s="4"/>
      <c r="AL2931" s="4"/>
      <c r="AM2931" s="4"/>
    </row>
    <row r="2932" customFormat="false" ht="23.85" hidden="false" customHeight="false" outlineLevel="0" collapsed="false">
      <c r="A2932" s="4" t="s">
        <v>3338</v>
      </c>
      <c r="B2932" s="4" t="s">
        <v>3914</v>
      </c>
      <c r="C2932" s="4" t="s">
        <v>3914</v>
      </c>
      <c r="D2932" s="12" t="n">
        <v>2018</v>
      </c>
      <c r="E2932" s="4"/>
      <c r="F2932" s="4" t="s">
        <v>1990</v>
      </c>
      <c r="G2932" s="4" t="s">
        <v>170</v>
      </c>
      <c r="H2932" s="4" t="s">
        <v>171</v>
      </c>
      <c r="I2932" s="4" t="s">
        <v>172</v>
      </c>
      <c r="J2932" s="4" t="s">
        <v>219</v>
      </c>
      <c r="K2932" s="4" t="s">
        <v>78</v>
      </c>
      <c r="L2932" s="4"/>
      <c r="M2932" s="4"/>
      <c r="N2932" s="4" t="s">
        <v>1994</v>
      </c>
      <c r="O2932" s="4" t="s">
        <v>65</v>
      </c>
      <c r="P2932" s="4" t="s">
        <v>64</v>
      </c>
      <c r="Q2932" s="4" t="s">
        <v>2044</v>
      </c>
      <c r="R2932" s="4"/>
      <c r="S2932" s="4"/>
      <c r="T2932" s="4"/>
      <c r="U2932" s="4"/>
      <c r="V2932" s="4"/>
      <c r="W2932" s="4"/>
      <c r="X2932" s="4"/>
      <c r="Y2932" s="4"/>
      <c r="Z2932" s="4"/>
      <c r="AA2932" s="4"/>
      <c r="AB2932" s="4"/>
      <c r="AC2932" s="4"/>
      <c r="AD2932" s="4"/>
      <c r="AE2932" s="4"/>
      <c r="AF2932" s="4"/>
      <c r="AG2932" s="4"/>
      <c r="AH2932" s="4"/>
      <c r="AI2932" s="4"/>
      <c r="AJ2932" s="13" t="n">
        <v>0</v>
      </c>
      <c r="AK2932" s="4"/>
      <c r="AL2932" s="4"/>
      <c r="AM2932" s="4"/>
    </row>
    <row r="2933" customFormat="false" ht="23.85" hidden="false" customHeight="false" outlineLevel="0" collapsed="false">
      <c r="A2933" s="4" t="s">
        <v>3338</v>
      </c>
      <c r="B2933" s="4" t="s">
        <v>3915</v>
      </c>
      <c r="C2933" s="4" t="s">
        <v>3915</v>
      </c>
      <c r="D2933" s="12" t="n">
        <v>2018</v>
      </c>
      <c r="E2933" s="4"/>
      <c r="F2933" s="4" t="s">
        <v>1990</v>
      </c>
      <c r="G2933" s="4" t="s">
        <v>170</v>
      </c>
      <c r="H2933" s="4" t="s">
        <v>171</v>
      </c>
      <c r="I2933" s="4" t="s">
        <v>172</v>
      </c>
      <c r="J2933" s="4" t="s">
        <v>224</v>
      </c>
      <c r="K2933" s="4" t="s">
        <v>78</v>
      </c>
      <c r="L2933" s="4"/>
      <c r="M2933" s="4"/>
      <c r="N2933" s="4" t="s">
        <v>2001</v>
      </c>
      <c r="O2933" s="4" t="s">
        <v>66</v>
      </c>
      <c r="P2933" s="4" t="s">
        <v>67</v>
      </c>
      <c r="Q2933" s="4" t="s">
        <v>2003</v>
      </c>
      <c r="R2933" s="4"/>
      <c r="S2933" s="4"/>
      <c r="T2933" s="4"/>
      <c r="U2933" s="4"/>
      <c r="V2933" s="4"/>
      <c r="W2933" s="4" t="s">
        <v>3341</v>
      </c>
      <c r="X2933" s="4" t="s">
        <v>3342</v>
      </c>
      <c r="Y2933" s="4" t="s">
        <v>3362</v>
      </c>
      <c r="Z2933" s="4"/>
      <c r="AA2933" s="4"/>
      <c r="AB2933" s="4"/>
      <c r="AC2933" s="4" t="s">
        <v>3363</v>
      </c>
      <c r="AD2933" s="4"/>
      <c r="AE2933" s="4"/>
      <c r="AF2933" s="4"/>
      <c r="AG2933" s="4"/>
      <c r="AH2933" s="4"/>
      <c r="AI2933" s="4"/>
      <c r="AJ2933" s="13" t="n">
        <v>1</v>
      </c>
      <c r="AK2933" s="4"/>
      <c r="AL2933" s="4"/>
      <c r="AM2933" s="4"/>
    </row>
    <row r="2934" customFormat="false" ht="23.85" hidden="false" customHeight="false" outlineLevel="0" collapsed="false">
      <c r="A2934" s="4" t="s">
        <v>3338</v>
      </c>
      <c r="B2934" s="4" t="s">
        <v>3916</v>
      </c>
      <c r="C2934" s="4" t="s">
        <v>3916</v>
      </c>
      <c r="D2934" s="12" t="n">
        <v>2018</v>
      </c>
      <c r="E2934" s="4"/>
      <c r="F2934" s="4" t="s">
        <v>1990</v>
      </c>
      <c r="G2934" s="4" t="s">
        <v>170</v>
      </c>
      <c r="H2934" s="4" t="s">
        <v>171</v>
      </c>
      <c r="I2934" s="4" t="s">
        <v>172</v>
      </c>
      <c r="J2934" s="4" t="s">
        <v>233</v>
      </c>
      <c r="K2934" s="4" t="s">
        <v>80</v>
      </c>
      <c r="L2934" s="4"/>
      <c r="M2934" s="4"/>
      <c r="N2934" s="4" t="s">
        <v>1994</v>
      </c>
      <c r="O2934" s="4" t="s">
        <v>65</v>
      </c>
      <c r="P2934" s="4" t="s">
        <v>64</v>
      </c>
      <c r="Q2934" s="4" t="s">
        <v>2044</v>
      </c>
      <c r="R2934" s="4"/>
      <c r="S2934" s="4"/>
      <c r="T2934" s="4"/>
      <c r="U2934" s="4"/>
      <c r="V2934" s="4"/>
      <c r="W2934" s="4"/>
      <c r="X2934" s="4"/>
      <c r="Y2934" s="4"/>
      <c r="Z2934" s="4"/>
      <c r="AA2934" s="4"/>
      <c r="AB2934" s="4"/>
      <c r="AC2934" s="4"/>
      <c r="AD2934" s="4"/>
      <c r="AE2934" s="4"/>
      <c r="AF2934" s="4"/>
      <c r="AG2934" s="4"/>
      <c r="AH2934" s="4"/>
      <c r="AI2934" s="4"/>
      <c r="AJ2934" s="13" t="n">
        <v>0</v>
      </c>
      <c r="AK2934" s="4"/>
      <c r="AL2934" s="4"/>
      <c r="AM2934" s="4"/>
    </row>
    <row r="2935" customFormat="false" ht="23.85" hidden="false" customHeight="false" outlineLevel="0" collapsed="false">
      <c r="A2935" s="4" t="s">
        <v>3338</v>
      </c>
      <c r="B2935" s="4" t="s">
        <v>3917</v>
      </c>
      <c r="C2935" s="4" t="s">
        <v>3917</v>
      </c>
      <c r="D2935" s="12" t="n">
        <v>2018</v>
      </c>
      <c r="E2935" s="4"/>
      <c r="F2935" s="4" t="s">
        <v>1990</v>
      </c>
      <c r="G2935" s="4" t="s">
        <v>170</v>
      </c>
      <c r="H2935" s="4" t="s">
        <v>171</v>
      </c>
      <c r="I2935" s="4" t="s">
        <v>172</v>
      </c>
      <c r="J2935" s="4" t="s">
        <v>238</v>
      </c>
      <c r="K2935" s="4" t="s">
        <v>80</v>
      </c>
      <c r="L2935" s="4"/>
      <c r="M2935" s="4"/>
      <c r="N2935" s="4" t="s">
        <v>2001</v>
      </c>
      <c r="O2935" s="4" t="s">
        <v>66</v>
      </c>
      <c r="P2935" s="4" t="s">
        <v>67</v>
      </c>
      <c r="Q2935" s="4" t="s">
        <v>2003</v>
      </c>
      <c r="R2935" s="4"/>
      <c r="S2935" s="4"/>
      <c r="T2935" s="4"/>
      <c r="U2935" s="4"/>
      <c r="V2935" s="4"/>
      <c r="W2935" s="4" t="s">
        <v>3341</v>
      </c>
      <c r="X2935" s="4" t="s">
        <v>3342</v>
      </c>
      <c r="Y2935" s="4" t="s">
        <v>3362</v>
      </c>
      <c r="Z2935" s="4"/>
      <c r="AA2935" s="4"/>
      <c r="AB2935" s="4"/>
      <c r="AC2935" s="4" t="s">
        <v>3363</v>
      </c>
      <c r="AD2935" s="4"/>
      <c r="AE2935" s="4"/>
      <c r="AF2935" s="4"/>
      <c r="AG2935" s="4"/>
      <c r="AH2935" s="4"/>
      <c r="AI2935" s="4"/>
      <c r="AJ2935" s="13" t="n">
        <v>1</v>
      </c>
      <c r="AK2935" s="4"/>
      <c r="AL2935" s="4"/>
      <c r="AM2935" s="4"/>
    </row>
    <row r="2936" customFormat="false" ht="23.85" hidden="false" customHeight="false" outlineLevel="0" collapsed="false">
      <c r="A2936" s="4" t="s">
        <v>3338</v>
      </c>
      <c r="B2936" s="4" t="s">
        <v>3918</v>
      </c>
      <c r="C2936" s="4" t="s">
        <v>3918</v>
      </c>
      <c r="D2936" s="12" t="n">
        <v>2018</v>
      </c>
      <c r="E2936" s="4"/>
      <c r="F2936" s="4" t="s">
        <v>1990</v>
      </c>
      <c r="G2936" s="4" t="s">
        <v>170</v>
      </c>
      <c r="H2936" s="4" t="s">
        <v>171</v>
      </c>
      <c r="I2936" s="4" t="s">
        <v>172</v>
      </c>
      <c r="J2936" s="4" t="s">
        <v>247</v>
      </c>
      <c r="K2936" s="4" t="s">
        <v>84</v>
      </c>
      <c r="L2936" s="4"/>
      <c r="M2936" s="4"/>
      <c r="N2936" s="4" t="s">
        <v>1994</v>
      </c>
      <c r="O2936" s="4" t="s">
        <v>65</v>
      </c>
      <c r="P2936" s="4" t="s">
        <v>64</v>
      </c>
      <c r="Q2936" s="4" t="s">
        <v>2044</v>
      </c>
      <c r="R2936" s="4"/>
      <c r="S2936" s="4"/>
      <c r="T2936" s="4"/>
      <c r="U2936" s="4"/>
      <c r="V2936" s="4"/>
      <c r="W2936" s="4"/>
      <c r="X2936" s="4"/>
      <c r="Y2936" s="4"/>
      <c r="Z2936" s="4"/>
      <c r="AA2936" s="4"/>
      <c r="AB2936" s="4"/>
      <c r="AC2936" s="4"/>
      <c r="AD2936" s="4"/>
      <c r="AE2936" s="4"/>
      <c r="AF2936" s="4"/>
      <c r="AG2936" s="4"/>
      <c r="AH2936" s="4"/>
      <c r="AI2936" s="4"/>
      <c r="AJ2936" s="13" t="n">
        <v>0</v>
      </c>
      <c r="AK2936" s="4"/>
      <c r="AL2936" s="4"/>
      <c r="AM2936" s="4"/>
    </row>
    <row r="2937" customFormat="false" ht="23.85" hidden="false" customHeight="false" outlineLevel="0" collapsed="false">
      <c r="A2937" s="4" t="s">
        <v>3338</v>
      </c>
      <c r="B2937" s="4" t="s">
        <v>3919</v>
      </c>
      <c r="C2937" s="4" t="s">
        <v>3919</v>
      </c>
      <c r="D2937" s="12" t="n">
        <v>2018</v>
      </c>
      <c r="E2937" s="4"/>
      <c r="F2937" s="4" t="s">
        <v>1990</v>
      </c>
      <c r="G2937" s="4" t="s">
        <v>170</v>
      </c>
      <c r="H2937" s="4" t="s">
        <v>171</v>
      </c>
      <c r="I2937" s="4" t="s">
        <v>172</v>
      </c>
      <c r="J2937" s="4" t="s">
        <v>252</v>
      </c>
      <c r="K2937" s="4" t="s">
        <v>84</v>
      </c>
      <c r="L2937" s="4"/>
      <c r="M2937" s="4"/>
      <c r="N2937" s="4" t="s">
        <v>2001</v>
      </c>
      <c r="O2937" s="4" t="s">
        <v>66</v>
      </c>
      <c r="P2937" s="4" t="s">
        <v>67</v>
      </c>
      <c r="Q2937" s="4" t="s">
        <v>2003</v>
      </c>
      <c r="R2937" s="4"/>
      <c r="S2937" s="4"/>
      <c r="T2937" s="4"/>
      <c r="U2937" s="4"/>
      <c r="V2937" s="4"/>
      <c r="W2937" s="4" t="s">
        <v>3341</v>
      </c>
      <c r="X2937" s="4" t="s">
        <v>3342</v>
      </c>
      <c r="Y2937" s="4" t="s">
        <v>3362</v>
      </c>
      <c r="Z2937" s="4"/>
      <c r="AA2937" s="4"/>
      <c r="AB2937" s="4"/>
      <c r="AC2937" s="4" t="s">
        <v>3363</v>
      </c>
      <c r="AD2937" s="4"/>
      <c r="AE2937" s="4"/>
      <c r="AF2937" s="4"/>
      <c r="AG2937" s="4"/>
      <c r="AH2937" s="4"/>
      <c r="AI2937" s="4"/>
      <c r="AJ2937" s="13" t="n">
        <v>1</v>
      </c>
      <c r="AK2937" s="4"/>
      <c r="AL2937" s="4"/>
      <c r="AM2937" s="4"/>
    </row>
    <row r="2938" customFormat="false" ht="23.85" hidden="false" customHeight="false" outlineLevel="0" collapsed="false">
      <c r="A2938" s="4" t="s">
        <v>3338</v>
      </c>
      <c r="B2938" s="4" t="s">
        <v>3920</v>
      </c>
      <c r="C2938" s="4" t="s">
        <v>3920</v>
      </c>
      <c r="D2938" s="12" t="n">
        <v>2018</v>
      </c>
      <c r="E2938" s="4"/>
      <c r="F2938" s="4" t="s">
        <v>1990</v>
      </c>
      <c r="G2938" s="4" t="s">
        <v>170</v>
      </c>
      <c r="H2938" s="4" t="s">
        <v>171</v>
      </c>
      <c r="I2938" s="4" t="s">
        <v>172</v>
      </c>
      <c r="J2938" s="4" t="s">
        <v>253</v>
      </c>
      <c r="K2938" s="4" t="s">
        <v>84</v>
      </c>
      <c r="L2938" s="4"/>
      <c r="M2938" s="4"/>
      <c r="N2938" s="4" t="s">
        <v>2001</v>
      </c>
      <c r="O2938" s="4" t="s">
        <v>66</v>
      </c>
      <c r="P2938" s="4" t="s">
        <v>67</v>
      </c>
      <c r="Q2938" s="4" t="s">
        <v>2008</v>
      </c>
      <c r="R2938" s="4"/>
      <c r="S2938" s="4"/>
      <c r="T2938" s="4"/>
      <c r="U2938" s="4"/>
      <c r="V2938" s="4"/>
      <c r="W2938" s="4" t="s">
        <v>3341</v>
      </c>
      <c r="X2938" s="4" t="s">
        <v>3342</v>
      </c>
      <c r="Y2938" s="4" t="s">
        <v>3362</v>
      </c>
      <c r="Z2938" s="4"/>
      <c r="AA2938" s="4"/>
      <c r="AB2938" s="4"/>
      <c r="AC2938" s="4" t="s">
        <v>3363</v>
      </c>
      <c r="AD2938" s="4"/>
      <c r="AE2938" s="4"/>
      <c r="AF2938" s="4"/>
      <c r="AG2938" s="4"/>
      <c r="AH2938" s="4"/>
      <c r="AI2938" s="4"/>
      <c r="AJ2938" s="13" t="n">
        <v>1</v>
      </c>
      <c r="AK2938" s="4"/>
      <c r="AL2938" s="4"/>
      <c r="AM2938" s="4"/>
    </row>
    <row r="2939" customFormat="false" ht="23.85" hidden="false" customHeight="false" outlineLevel="0" collapsed="false">
      <c r="A2939" s="4" t="s">
        <v>3338</v>
      </c>
      <c r="B2939" s="4" t="s">
        <v>3921</v>
      </c>
      <c r="C2939" s="4" t="s">
        <v>3921</v>
      </c>
      <c r="D2939" s="12" t="n">
        <v>2018</v>
      </c>
      <c r="E2939" s="4"/>
      <c r="F2939" s="4" t="s">
        <v>3349</v>
      </c>
      <c r="G2939" s="4" t="s">
        <v>170</v>
      </c>
      <c r="H2939" s="4" t="s">
        <v>171</v>
      </c>
      <c r="I2939" s="4" t="s">
        <v>172</v>
      </c>
      <c r="J2939" s="4" t="s">
        <v>261</v>
      </c>
      <c r="K2939" s="4" t="s">
        <v>109</v>
      </c>
      <c r="L2939" s="4"/>
      <c r="M2939" s="4"/>
      <c r="N2939" s="4" t="s">
        <v>1994</v>
      </c>
      <c r="O2939" s="4" t="s">
        <v>1995</v>
      </c>
      <c r="P2939" s="4" t="s">
        <v>65</v>
      </c>
      <c r="Q2939" s="4" t="s">
        <v>2070</v>
      </c>
      <c r="R2939" s="4"/>
      <c r="S2939" s="4"/>
      <c r="T2939" s="4"/>
      <c r="U2939" s="4"/>
      <c r="V2939" s="4"/>
      <c r="W2939" s="4" t="s">
        <v>3377</v>
      </c>
      <c r="X2939" s="4" t="s">
        <v>3378</v>
      </c>
      <c r="Y2939" s="4" t="s">
        <v>3349</v>
      </c>
      <c r="Z2939" s="4"/>
      <c r="AA2939" s="4"/>
      <c r="AB2939" s="4"/>
      <c r="AC2939" s="4" t="s">
        <v>3344</v>
      </c>
      <c r="AD2939" s="4"/>
      <c r="AE2939" s="4"/>
      <c r="AF2939" s="4"/>
      <c r="AG2939" s="4"/>
      <c r="AH2939" s="4"/>
      <c r="AI2939" s="4"/>
      <c r="AJ2939" s="13" t="n">
        <v>1</v>
      </c>
      <c r="AK2939" s="4"/>
      <c r="AL2939" s="4"/>
      <c r="AM2939" s="4"/>
    </row>
    <row r="2940" customFormat="false" ht="23.85" hidden="false" customHeight="false" outlineLevel="0" collapsed="false">
      <c r="A2940" s="4" t="s">
        <v>3338</v>
      </c>
      <c r="B2940" s="4" t="s">
        <v>3922</v>
      </c>
      <c r="C2940" s="4" t="s">
        <v>3922</v>
      </c>
      <c r="D2940" s="12" t="n">
        <v>2018</v>
      </c>
      <c r="E2940" s="4"/>
      <c r="F2940" s="4" t="s">
        <v>1990</v>
      </c>
      <c r="G2940" s="4" t="s">
        <v>170</v>
      </c>
      <c r="H2940" s="4" t="s">
        <v>171</v>
      </c>
      <c r="I2940" s="4" t="s">
        <v>172</v>
      </c>
      <c r="J2940" s="4" t="s">
        <v>264</v>
      </c>
      <c r="K2940" s="4" t="s">
        <v>109</v>
      </c>
      <c r="L2940" s="4"/>
      <c r="M2940" s="4"/>
      <c r="N2940" s="4" t="s">
        <v>2001</v>
      </c>
      <c r="O2940" s="4" t="s">
        <v>2034</v>
      </c>
      <c r="P2940" s="4" t="s">
        <v>74</v>
      </c>
      <c r="Q2940" s="4" t="s">
        <v>2035</v>
      </c>
      <c r="R2940" s="4"/>
      <c r="S2940" s="4"/>
      <c r="T2940" s="4"/>
      <c r="U2940" s="4"/>
      <c r="V2940" s="4"/>
      <c r="W2940" s="4"/>
      <c r="X2940" s="4"/>
      <c r="Y2940" s="4"/>
      <c r="Z2940" s="4"/>
      <c r="AA2940" s="4"/>
      <c r="AB2940" s="4"/>
      <c r="AC2940" s="4"/>
      <c r="AD2940" s="4"/>
      <c r="AE2940" s="4"/>
      <c r="AF2940" s="4"/>
      <c r="AG2940" s="4"/>
      <c r="AH2940" s="4"/>
      <c r="AI2940" s="4"/>
      <c r="AJ2940" s="13" t="n">
        <v>0</v>
      </c>
      <c r="AK2940" s="4"/>
      <c r="AL2940" s="4"/>
      <c r="AM2940" s="4"/>
    </row>
    <row r="2941" customFormat="false" ht="23.85" hidden="false" customHeight="false" outlineLevel="0" collapsed="false">
      <c r="A2941" s="4" t="s">
        <v>3338</v>
      </c>
      <c r="B2941" s="4" t="s">
        <v>3923</v>
      </c>
      <c r="C2941" s="4" t="s">
        <v>3923</v>
      </c>
      <c r="D2941" s="12" t="n">
        <v>2018</v>
      </c>
      <c r="E2941" s="4"/>
      <c r="F2941" s="4" t="s">
        <v>1990</v>
      </c>
      <c r="G2941" s="4" t="s">
        <v>170</v>
      </c>
      <c r="H2941" s="4" t="s">
        <v>171</v>
      </c>
      <c r="I2941" s="4" t="s">
        <v>172</v>
      </c>
      <c r="J2941" s="4" t="s">
        <v>267</v>
      </c>
      <c r="K2941" s="4" t="s">
        <v>109</v>
      </c>
      <c r="L2941" s="4"/>
      <c r="M2941" s="4"/>
      <c r="N2941" s="4" t="s">
        <v>2001</v>
      </c>
      <c r="O2941" s="4" t="s">
        <v>2002</v>
      </c>
      <c r="P2941" s="4" t="s">
        <v>67</v>
      </c>
      <c r="Q2941" s="4" t="s">
        <v>2008</v>
      </c>
      <c r="R2941" s="4"/>
      <c r="S2941" s="4"/>
      <c r="T2941" s="4"/>
      <c r="U2941" s="4"/>
      <c r="V2941" s="4"/>
      <c r="W2941" s="4" t="s">
        <v>3341</v>
      </c>
      <c r="X2941" s="4" t="s">
        <v>3342</v>
      </c>
      <c r="Y2941" s="4" t="inlineStr">
        <is>
          <t>COMB_LENA</t>
        </is>
      </c>
      <c r="Z2941" s="4"/>
      <c r="AA2941" s="4"/>
      <c r="AB2941" s="4"/>
      <c r="AC2941" s="4" t="s">
        <v>3344</v>
      </c>
      <c r="AD2941" s="4"/>
      <c r="AE2941" s="4"/>
      <c r="AF2941" s="4"/>
      <c r="AG2941" s="4"/>
      <c r="AH2941" s="4"/>
      <c r="AI2941" s="4"/>
      <c r="AJ2941" s="13" t="n">
        <v>1</v>
      </c>
      <c r="AK2941" s="4"/>
      <c r="AL2941" s="4"/>
      <c r="AM2941" s="4"/>
    </row>
    <row r="2942" customFormat="false" ht="23.85" hidden="false" customHeight="false" outlineLevel="0" collapsed="false">
      <c r="A2942" s="4" t="s">
        <v>3338</v>
      </c>
      <c r="B2942" s="4" t="s">
        <v>3924</v>
      </c>
      <c r="C2942" s="4" t="s">
        <v>3924</v>
      </c>
      <c r="D2942" s="12" t="n">
        <v>2018</v>
      </c>
      <c r="E2942" s="4"/>
      <c r="F2942" s="4" t="s">
        <v>1990</v>
      </c>
      <c r="G2942" s="4" t="s">
        <v>170</v>
      </c>
      <c r="H2942" s="4" t="s">
        <v>171</v>
      </c>
      <c r="I2942" s="4" t="s">
        <v>172</v>
      </c>
      <c r="J2942" s="4" t="s">
        <v>270</v>
      </c>
      <c r="K2942" s="4" t="s">
        <v>109</v>
      </c>
      <c r="L2942" s="4"/>
      <c r="M2942" s="4"/>
      <c r="N2942" s="4" t="s">
        <v>2001</v>
      </c>
      <c r="O2942" s="4" t="s">
        <v>2074</v>
      </c>
      <c r="P2942" s="4" t="s">
        <v>73</v>
      </c>
      <c r="Q2942" s="4" t="s">
        <v>2075</v>
      </c>
      <c r="R2942" s="4"/>
      <c r="S2942" s="4"/>
      <c r="T2942" s="4"/>
      <c r="U2942" s="4"/>
      <c r="V2942" s="4"/>
      <c r="W2942" s="4" t="s">
        <v>3380</v>
      </c>
      <c r="X2942" s="4" t="s">
        <v>3381</v>
      </c>
      <c r="Y2942" s="4" t="s">
        <v>3343</v>
      </c>
      <c r="Z2942" s="4"/>
      <c r="AA2942" s="4"/>
      <c r="AB2942" s="4"/>
      <c r="AC2942" s="4" t="s">
        <v>3344</v>
      </c>
      <c r="AD2942" s="4"/>
      <c r="AE2942" s="4"/>
      <c r="AF2942" s="4"/>
      <c r="AG2942" s="4"/>
      <c r="AH2942" s="4"/>
      <c r="AI2942" s="4"/>
      <c r="AJ2942" s="13" t="n">
        <v>1</v>
      </c>
      <c r="AK2942" s="4"/>
      <c r="AL2942" s="4"/>
      <c r="AM2942" s="4"/>
    </row>
    <row r="2943" customFormat="false" ht="23.85" hidden="false" customHeight="false" outlineLevel="0" collapsed="false">
      <c r="A2943" s="4" t="s">
        <v>3338</v>
      </c>
      <c r="B2943" s="4" t="s">
        <v>3925</v>
      </c>
      <c r="C2943" s="4" t="s">
        <v>3925</v>
      </c>
      <c r="D2943" s="12" t="n">
        <v>2018</v>
      </c>
      <c r="E2943" s="4"/>
      <c r="F2943" s="4" t="s">
        <v>1990</v>
      </c>
      <c r="G2943" s="4" t="s">
        <v>170</v>
      </c>
      <c r="H2943" s="4" t="s">
        <v>171</v>
      </c>
      <c r="I2943" s="4" t="s">
        <v>172</v>
      </c>
      <c r="J2943" s="4" t="s">
        <v>271</v>
      </c>
      <c r="K2943" s="4" t="s">
        <v>109</v>
      </c>
      <c r="L2943" s="4"/>
      <c r="M2943" s="4"/>
      <c r="N2943" s="4" t="s">
        <v>2001</v>
      </c>
      <c r="O2943" s="4" t="s">
        <v>2002</v>
      </c>
      <c r="P2943" s="4" t="s">
        <v>72</v>
      </c>
      <c r="Q2943" s="4" t="s">
        <v>2079</v>
      </c>
      <c r="R2943" s="4"/>
      <c r="S2943" s="4"/>
      <c r="T2943" s="4"/>
      <c r="U2943" s="4"/>
      <c r="V2943" s="4"/>
      <c r="W2943" s="4" t="s">
        <v>3383</v>
      </c>
      <c r="X2943" s="4" t="s">
        <v>3384</v>
      </c>
      <c r="Y2943" s="4" t="s">
        <v>3343</v>
      </c>
      <c r="Z2943" s="4"/>
      <c r="AA2943" s="4"/>
      <c r="AB2943" s="4"/>
      <c r="AC2943" s="4" t="s">
        <v>3344</v>
      </c>
      <c r="AD2943" s="4"/>
      <c r="AE2943" s="4"/>
      <c r="AF2943" s="4"/>
      <c r="AG2943" s="4"/>
      <c r="AH2943" s="4"/>
      <c r="AI2943" s="4"/>
      <c r="AJ2943" s="13" t="n">
        <v>1</v>
      </c>
      <c r="AK2943" s="4"/>
      <c r="AL2943" s="4"/>
      <c r="AM2943" s="4"/>
    </row>
    <row r="2944" customFormat="false" ht="23.85" hidden="false" customHeight="false" outlineLevel="0" collapsed="false">
      <c r="A2944" s="4" t="s">
        <v>3338</v>
      </c>
      <c r="B2944" s="4" t="s">
        <v>3926</v>
      </c>
      <c r="C2944" s="4" t="s">
        <v>3926</v>
      </c>
      <c r="D2944" s="12" t="n">
        <v>2018</v>
      </c>
      <c r="E2944" s="4"/>
      <c r="F2944" s="4" t="s">
        <v>1990</v>
      </c>
      <c r="G2944" s="4" t="s">
        <v>170</v>
      </c>
      <c r="H2944" s="4" t="s">
        <v>171</v>
      </c>
      <c r="I2944" s="4" t="s">
        <v>172</v>
      </c>
      <c r="J2944" s="4" t="s">
        <v>275</v>
      </c>
      <c r="K2944" s="4" t="s">
        <v>86</v>
      </c>
      <c r="L2944" s="4"/>
      <c r="M2944" s="4"/>
      <c r="N2944" s="4" t="s">
        <v>1994</v>
      </c>
      <c r="O2944" s="4" t="s">
        <v>65</v>
      </c>
      <c r="P2944" s="4" t="s">
        <v>64</v>
      </c>
      <c r="Q2944" s="4" t="s">
        <v>2019</v>
      </c>
      <c r="R2944" s="4"/>
      <c r="S2944" s="4"/>
      <c r="T2944" s="4"/>
      <c r="U2944" s="4"/>
      <c r="V2944" s="4"/>
      <c r="W2944" s="4" t="s">
        <v>3386</v>
      </c>
      <c r="X2944" s="4" t="s">
        <v>3387</v>
      </c>
      <c r="Y2944" s="4" t="s">
        <v>3388</v>
      </c>
      <c r="Z2944" s="4"/>
      <c r="AA2944" s="4"/>
      <c r="AB2944" s="4"/>
      <c r="AC2944" s="4" t="s">
        <v>3352</v>
      </c>
      <c r="AD2944" s="4"/>
      <c r="AE2944" s="4"/>
      <c r="AF2944" s="4"/>
      <c r="AG2944" s="4"/>
      <c r="AH2944" s="4"/>
      <c r="AI2944" s="4"/>
      <c r="AJ2944" s="13" t="n">
        <v>1</v>
      </c>
      <c r="AK2944" s="4"/>
      <c r="AL2944" s="4"/>
      <c r="AM2944" s="4"/>
    </row>
    <row r="2945" customFormat="false" ht="23.85" hidden="false" customHeight="false" outlineLevel="0" collapsed="false">
      <c r="A2945" s="4" t="s">
        <v>3338</v>
      </c>
      <c r="B2945" s="4" t="s">
        <v>3927</v>
      </c>
      <c r="C2945" s="4" t="s">
        <v>3927</v>
      </c>
      <c r="D2945" s="12" t="n">
        <v>2018</v>
      </c>
      <c r="E2945" s="4"/>
      <c r="F2945" s="4" t="s">
        <v>1990</v>
      </c>
      <c r="G2945" s="4" t="s">
        <v>170</v>
      </c>
      <c r="H2945" s="4" t="s">
        <v>171</v>
      </c>
      <c r="I2945" s="4" t="s">
        <v>172</v>
      </c>
      <c r="J2945" s="4" t="s">
        <v>275</v>
      </c>
      <c r="K2945" s="4" t="s">
        <v>86</v>
      </c>
      <c r="L2945" s="4"/>
      <c r="M2945" s="4"/>
      <c r="N2945" s="4" t="s">
        <v>2001</v>
      </c>
      <c r="O2945" s="4" t="s">
        <v>66</v>
      </c>
      <c r="P2945" s="4" t="s">
        <v>66</v>
      </c>
      <c r="Q2945" s="4" t="s">
        <v>2019</v>
      </c>
      <c r="R2945" s="4"/>
      <c r="S2945" s="4"/>
      <c r="T2945" s="4"/>
      <c r="U2945" s="4"/>
      <c r="V2945" s="4"/>
      <c r="W2945" s="4"/>
      <c r="X2945" s="4"/>
      <c r="Y2945" s="4"/>
      <c r="Z2945" s="4"/>
      <c r="AA2945" s="4"/>
      <c r="AB2945" s="4"/>
      <c r="AC2945" s="4"/>
      <c r="AD2945" s="4"/>
      <c r="AE2945" s="4"/>
      <c r="AF2945" s="4"/>
      <c r="AG2945" s="4"/>
      <c r="AH2945" s="4"/>
      <c r="AI2945" s="4"/>
      <c r="AJ2945" s="13" t="n">
        <v>0</v>
      </c>
      <c r="AK2945" s="4"/>
      <c r="AL2945" s="4"/>
      <c r="AM2945" s="4"/>
    </row>
    <row r="2946" customFormat="false" ht="23.85" hidden="false" customHeight="false" outlineLevel="0" collapsed="false">
      <c r="A2946" s="4" t="s">
        <v>3338</v>
      </c>
      <c r="B2946" s="4" t="s">
        <v>3928</v>
      </c>
      <c r="C2946" s="4" t="s">
        <v>3928</v>
      </c>
      <c r="D2946" s="12" t="n">
        <v>2018</v>
      </c>
      <c r="E2946" s="4"/>
      <c r="F2946" s="4" t="s">
        <v>1990</v>
      </c>
      <c r="G2946" s="4" t="s">
        <v>170</v>
      </c>
      <c r="H2946" s="4" t="s">
        <v>171</v>
      </c>
      <c r="I2946" s="4" t="s">
        <v>172</v>
      </c>
      <c r="J2946" s="4" t="s">
        <v>275</v>
      </c>
      <c r="K2946" s="4" t="s">
        <v>86</v>
      </c>
      <c r="L2946" s="4"/>
      <c r="M2946" s="4"/>
      <c r="N2946" s="4" t="s">
        <v>1994</v>
      </c>
      <c r="O2946" s="4" t="s">
        <v>1995</v>
      </c>
      <c r="P2946" s="4" t="s">
        <v>66</v>
      </c>
      <c r="Q2946" s="4" t="s">
        <v>2019</v>
      </c>
      <c r="R2946" s="4"/>
      <c r="S2946" s="4"/>
      <c r="T2946" s="4"/>
      <c r="U2946" s="4"/>
      <c r="V2946" s="4"/>
      <c r="W2946" s="4"/>
      <c r="X2946" s="4"/>
      <c r="Y2946" s="4"/>
      <c r="Z2946" s="4"/>
      <c r="AA2946" s="4"/>
      <c r="AB2946" s="4"/>
      <c r="AC2946" s="4"/>
      <c r="AD2946" s="4"/>
      <c r="AE2946" s="4"/>
      <c r="AF2946" s="4"/>
      <c r="AG2946" s="4"/>
      <c r="AH2946" s="4"/>
      <c r="AI2946" s="4"/>
      <c r="AJ2946" s="13" t="n">
        <v>0</v>
      </c>
      <c r="AK2946" s="4"/>
      <c r="AL2946" s="4"/>
      <c r="AM2946" s="4"/>
    </row>
    <row r="2947" customFormat="false" ht="23.85" hidden="false" customHeight="false" outlineLevel="0" collapsed="false">
      <c r="A2947" s="4" t="s">
        <v>3338</v>
      </c>
      <c r="B2947" s="4" t="s">
        <v>3929</v>
      </c>
      <c r="C2947" s="4" t="s">
        <v>3929</v>
      </c>
      <c r="D2947" s="12" t="n">
        <v>2018</v>
      </c>
      <c r="E2947" s="4"/>
      <c r="F2947" s="4" t="s">
        <v>1990</v>
      </c>
      <c r="G2947" s="4" t="s">
        <v>170</v>
      </c>
      <c r="H2947" s="4" t="s">
        <v>171</v>
      </c>
      <c r="I2947" s="4" t="s">
        <v>172</v>
      </c>
      <c r="J2947" s="4" t="s">
        <v>277</v>
      </c>
      <c r="K2947" s="4" t="s">
        <v>86</v>
      </c>
      <c r="L2947" s="4"/>
      <c r="M2947" s="4"/>
      <c r="N2947" s="4" t="s">
        <v>2001</v>
      </c>
      <c r="O2947" s="4" t="s">
        <v>2091</v>
      </c>
      <c r="P2947" s="4" t="s">
        <v>69</v>
      </c>
      <c r="Q2947" s="4" t="s">
        <v>2030</v>
      </c>
      <c r="R2947" s="4"/>
      <c r="S2947" s="4"/>
      <c r="T2947" s="4"/>
      <c r="U2947" s="4"/>
      <c r="V2947" s="4"/>
      <c r="W2947" s="4"/>
      <c r="X2947" s="4"/>
      <c r="Y2947" s="4"/>
      <c r="Z2947" s="4"/>
      <c r="AA2947" s="4"/>
      <c r="AB2947" s="4"/>
      <c r="AC2947" s="4"/>
      <c r="AD2947" s="4"/>
      <c r="AE2947" s="4"/>
      <c r="AF2947" s="4"/>
      <c r="AG2947" s="4"/>
      <c r="AH2947" s="4"/>
      <c r="AI2947" s="4"/>
      <c r="AJ2947" s="13" t="n">
        <v>0</v>
      </c>
      <c r="AK2947" s="4"/>
      <c r="AL2947" s="4"/>
      <c r="AM2947" s="4"/>
    </row>
    <row r="2948" customFormat="false" ht="23.85" hidden="false" customHeight="false" outlineLevel="0" collapsed="false">
      <c r="A2948" s="4" t="s">
        <v>3338</v>
      </c>
      <c r="B2948" s="4" t="s">
        <v>3930</v>
      </c>
      <c r="C2948" s="4" t="s">
        <v>3930</v>
      </c>
      <c r="D2948" s="12" t="n">
        <v>2018</v>
      </c>
      <c r="E2948" s="4"/>
      <c r="F2948" s="4" t="s">
        <v>1990</v>
      </c>
      <c r="G2948" s="4" t="s">
        <v>170</v>
      </c>
      <c r="H2948" s="4" t="s">
        <v>171</v>
      </c>
      <c r="I2948" s="4" t="s">
        <v>172</v>
      </c>
      <c r="J2948" s="4" t="s">
        <v>278</v>
      </c>
      <c r="K2948" s="4" t="s">
        <v>86</v>
      </c>
      <c r="L2948" s="4"/>
      <c r="M2948" s="4"/>
      <c r="N2948" s="4" t="s">
        <v>2001</v>
      </c>
      <c r="O2948" s="4" t="s">
        <v>2034</v>
      </c>
      <c r="P2948" s="4" t="s">
        <v>74</v>
      </c>
      <c r="Q2948" s="4" t="s">
        <v>2035</v>
      </c>
      <c r="R2948" s="4"/>
      <c r="S2948" s="4"/>
      <c r="T2948" s="4"/>
      <c r="U2948" s="4"/>
      <c r="V2948" s="4"/>
      <c r="W2948" s="4"/>
      <c r="X2948" s="4"/>
      <c r="Y2948" s="4"/>
      <c r="Z2948" s="4"/>
      <c r="AA2948" s="4"/>
      <c r="AB2948" s="4"/>
      <c r="AC2948" s="4"/>
      <c r="AD2948" s="4"/>
      <c r="AE2948" s="4"/>
      <c r="AF2948" s="4"/>
      <c r="AG2948" s="4"/>
      <c r="AH2948" s="4"/>
      <c r="AI2948" s="4"/>
      <c r="AJ2948" s="13" t="n">
        <v>0</v>
      </c>
      <c r="AK2948" s="4"/>
      <c r="AL2948" s="4"/>
      <c r="AM2948" s="4"/>
    </row>
    <row r="2949" customFormat="false" ht="23.85" hidden="false" customHeight="false" outlineLevel="0" collapsed="false">
      <c r="A2949" s="4" t="s">
        <v>3338</v>
      </c>
      <c r="B2949" s="4" t="s">
        <v>3931</v>
      </c>
      <c r="C2949" s="4" t="s">
        <v>3931</v>
      </c>
      <c r="D2949" s="12" t="n">
        <v>2018</v>
      </c>
      <c r="E2949" s="4"/>
      <c r="F2949" s="4" t="s">
        <v>1990</v>
      </c>
      <c r="G2949" s="4" t="s">
        <v>170</v>
      </c>
      <c r="H2949" s="4" t="s">
        <v>171</v>
      </c>
      <c r="I2949" s="4" t="s">
        <v>172</v>
      </c>
      <c r="J2949" s="4" t="s">
        <v>279</v>
      </c>
      <c r="K2949" s="4" t="s">
        <v>86</v>
      </c>
      <c r="L2949" s="4"/>
      <c r="M2949" s="4"/>
      <c r="N2949" s="4" t="s">
        <v>2001</v>
      </c>
      <c r="O2949" s="4" t="s">
        <v>2002</v>
      </c>
      <c r="P2949" s="4" t="s">
        <v>67</v>
      </c>
      <c r="Q2949" s="4" t="s">
        <v>2097</v>
      </c>
      <c r="R2949" s="4"/>
      <c r="S2949" s="4"/>
      <c r="T2949" s="4"/>
      <c r="U2949" s="4"/>
      <c r="V2949" s="4"/>
      <c r="W2949" s="4" t="s">
        <v>3395</v>
      </c>
      <c r="X2949" s="4" t="s">
        <v>3396</v>
      </c>
      <c r="Y2949" s="4" t="s">
        <v>3397</v>
      </c>
      <c r="Z2949" s="4"/>
      <c r="AA2949" s="4"/>
      <c r="AB2949" s="4"/>
      <c r="AC2949" s="4" t="s">
        <v>3352</v>
      </c>
      <c r="AD2949" s="4"/>
      <c r="AE2949" s="4"/>
      <c r="AF2949" s="4"/>
      <c r="AG2949" s="4"/>
      <c r="AH2949" s="4"/>
      <c r="AI2949" s="4"/>
      <c r="AJ2949" s="13" t="n">
        <v>1</v>
      </c>
      <c r="AK2949" s="4"/>
      <c r="AL2949" s="4"/>
      <c r="AM2949" s="4"/>
    </row>
    <row r="2950" customFormat="false" ht="23.85" hidden="false" customHeight="false" outlineLevel="0" collapsed="false">
      <c r="A2950" s="4" t="s">
        <v>3338</v>
      </c>
      <c r="B2950" s="4" t="s">
        <v>3932</v>
      </c>
      <c r="C2950" s="4" t="s">
        <v>3932</v>
      </c>
      <c r="D2950" s="12" t="n">
        <v>2018</v>
      </c>
      <c r="E2950" s="4"/>
      <c r="F2950" s="4" t="s">
        <v>1990</v>
      </c>
      <c r="G2950" s="4" t="s">
        <v>170</v>
      </c>
      <c r="H2950" s="4" t="s">
        <v>171</v>
      </c>
      <c r="I2950" s="4" t="s">
        <v>172</v>
      </c>
      <c r="J2950" s="4" t="s">
        <v>289</v>
      </c>
      <c r="K2950" s="4" t="s">
        <v>88</v>
      </c>
      <c r="L2950" s="4"/>
      <c r="M2950" s="4"/>
      <c r="N2950" s="4" t="s">
        <v>1994</v>
      </c>
      <c r="O2950" s="4" t="s">
        <v>65</v>
      </c>
      <c r="P2950" s="4" t="s">
        <v>64</v>
      </c>
      <c r="Q2950" s="4" t="s">
        <v>2044</v>
      </c>
      <c r="R2950" s="4"/>
      <c r="S2950" s="4"/>
      <c r="T2950" s="4"/>
      <c r="U2950" s="4"/>
      <c r="V2950" s="4"/>
      <c r="W2950" s="4"/>
      <c r="X2950" s="4"/>
      <c r="Y2950" s="4"/>
      <c r="Z2950" s="4"/>
      <c r="AA2950" s="4"/>
      <c r="AB2950" s="4"/>
      <c r="AC2950" s="4"/>
      <c r="AD2950" s="4"/>
      <c r="AE2950" s="4"/>
      <c r="AF2950" s="4"/>
      <c r="AG2950" s="4"/>
      <c r="AH2950" s="4"/>
      <c r="AI2950" s="4"/>
      <c r="AJ2950" s="13" t="n">
        <v>0</v>
      </c>
      <c r="AK2950" s="4"/>
      <c r="AL2950" s="4"/>
      <c r="AM2950" s="4"/>
    </row>
    <row r="2951" customFormat="false" ht="23.85" hidden="false" customHeight="false" outlineLevel="0" collapsed="false">
      <c r="A2951" s="4" t="s">
        <v>3338</v>
      </c>
      <c r="B2951" s="4" t="s">
        <v>3933</v>
      </c>
      <c r="C2951" s="4" t="s">
        <v>3933</v>
      </c>
      <c r="D2951" s="12" t="n">
        <v>2018</v>
      </c>
      <c r="E2951" s="4"/>
      <c r="F2951" s="4" t="s">
        <v>1990</v>
      </c>
      <c r="G2951" s="4" t="s">
        <v>170</v>
      </c>
      <c r="H2951" s="4" t="s">
        <v>171</v>
      </c>
      <c r="I2951" s="4" t="s">
        <v>172</v>
      </c>
      <c r="J2951" s="4" t="s">
        <v>294</v>
      </c>
      <c r="K2951" s="4" t="s">
        <v>88</v>
      </c>
      <c r="L2951" s="4"/>
      <c r="M2951" s="4"/>
      <c r="N2951" s="4" t="s">
        <v>2001</v>
      </c>
      <c r="O2951" s="4" t="s">
        <v>66</v>
      </c>
      <c r="P2951" s="4" t="s">
        <v>67</v>
      </c>
      <c r="Q2951" s="4" t="s">
        <v>2003</v>
      </c>
      <c r="R2951" s="4"/>
      <c r="S2951" s="4"/>
      <c r="T2951" s="4"/>
      <c r="U2951" s="4"/>
      <c r="V2951" s="4"/>
      <c r="W2951" s="4" t="s">
        <v>3341</v>
      </c>
      <c r="X2951" s="4" t="s">
        <v>3342</v>
      </c>
      <c r="Y2951" s="4" t="s">
        <v>3362</v>
      </c>
      <c r="Z2951" s="4"/>
      <c r="AA2951" s="4"/>
      <c r="AB2951" s="4"/>
      <c r="AC2951" s="4" t="s">
        <v>3363</v>
      </c>
      <c r="AD2951" s="4"/>
      <c r="AE2951" s="4"/>
      <c r="AF2951" s="4"/>
      <c r="AG2951" s="4"/>
      <c r="AH2951" s="4"/>
      <c r="AI2951" s="4"/>
      <c r="AJ2951" s="13" t="n">
        <v>1</v>
      </c>
      <c r="AK2951" s="4"/>
      <c r="AL2951" s="4"/>
      <c r="AM2951" s="4"/>
    </row>
    <row r="2952" customFormat="false" ht="23.85" hidden="false" customHeight="false" outlineLevel="0" collapsed="false">
      <c r="A2952" s="4" t="s">
        <v>3338</v>
      </c>
      <c r="B2952" s="4" t="s">
        <v>3934</v>
      </c>
      <c r="C2952" s="4" t="s">
        <v>3934</v>
      </c>
      <c r="D2952" s="12" t="n">
        <v>2018</v>
      </c>
      <c r="E2952" s="4"/>
      <c r="F2952" s="4" t="s">
        <v>1990</v>
      </c>
      <c r="G2952" s="4" t="s">
        <v>170</v>
      </c>
      <c r="H2952" s="4" t="s">
        <v>171</v>
      </c>
      <c r="I2952" s="4" t="s">
        <v>172</v>
      </c>
      <c r="J2952" s="4" t="s">
        <v>304</v>
      </c>
      <c r="K2952" s="4" t="s">
        <v>95</v>
      </c>
      <c r="L2952" s="4"/>
      <c r="M2952" s="4"/>
      <c r="N2952" s="4" t="s">
        <v>1994</v>
      </c>
      <c r="O2952" s="4" t="s">
        <v>2029</v>
      </c>
      <c r="P2952" s="4" t="s">
        <v>69</v>
      </c>
      <c r="Q2952" s="4" t="s">
        <v>2030</v>
      </c>
      <c r="R2952" s="4"/>
      <c r="S2952" s="4"/>
      <c r="T2952" s="4"/>
      <c r="U2952" s="4"/>
      <c r="V2952" s="4"/>
      <c r="W2952" s="4"/>
      <c r="X2952" s="4"/>
      <c r="Y2952" s="4"/>
      <c r="Z2952" s="4"/>
      <c r="AA2952" s="4"/>
      <c r="AB2952" s="4"/>
      <c r="AC2952" s="4"/>
      <c r="AD2952" s="4"/>
      <c r="AE2952" s="4"/>
      <c r="AF2952" s="4"/>
      <c r="AG2952" s="4"/>
      <c r="AH2952" s="4"/>
      <c r="AI2952" s="4"/>
      <c r="AJ2952" s="13" t="n">
        <v>0</v>
      </c>
      <c r="AK2952" s="4"/>
      <c r="AL2952" s="4"/>
      <c r="AM2952" s="4"/>
    </row>
    <row r="2953" customFormat="false" ht="23.85" hidden="false" customHeight="false" outlineLevel="0" collapsed="false">
      <c r="A2953" s="4" t="s">
        <v>3338</v>
      </c>
      <c r="B2953" s="4" t="s">
        <v>3935</v>
      </c>
      <c r="C2953" s="4" t="s">
        <v>3935</v>
      </c>
      <c r="D2953" s="12" t="n">
        <v>2018</v>
      </c>
      <c r="E2953" s="4"/>
      <c r="F2953" s="4" t="s">
        <v>1990</v>
      </c>
      <c r="G2953" s="4" t="s">
        <v>170</v>
      </c>
      <c r="H2953" s="4" t="s">
        <v>171</v>
      </c>
      <c r="I2953" s="4" t="s">
        <v>172</v>
      </c>
      <c r="J2953" s="4" t="s">
        <v>306</v>
      </c>
      <c r="K2953" s="4" t="s">
        <v>95</v>
      </c>
      <c r="L2953" s="4"/>
      <c r="M2953" s="4"/>
      <c r="N2953" s="4" t="s">
        <v>2001</v>
      </c>
      <c r="O2953" s="4" t="s">
        <v>2034</v>
      </c>
      <c r="P2953" s="4" t="s">
        <v>74</v>
      </c>
      <c r="Q2953" s="4" t="s">
        <v>2035</v>
      </c>
      <c r="R2953" s="4"/>
      <c r="S2953" s="4"/>
      <c r="T2953" s="4"/>
      <c r="U2953" s="4"/>
      <c r="V2953" s="4"/>
      <c r="W2953" s="4"/>
      <c r="X2953" s="4"/>
      <c r="Y2953" s="4"/>
      <c r="Z2953" s="4"/>
      <c r="AA2953" s="4"/>
      <c r="AB2953" s="4"/>
      <c r="AC2953" s="4"/>
      <c r="AD2953" s="4"/>
      <c r="AE2953" s="4"/>
      <c r="AF2953" s="4"/>
      <c r="AG2953" s="4"/>
      <c r="AH2953" s="4"/>
      <c r="AI2953" s="4"/>
      <c r="AJ2953" s="13" t="n">
        <v>0</v>
      </c>
      <c r="AK2953" s="4"/>
      <c r="AL2953" s="4"/>
      <c r="AM2953" s="4"/>
    </row>
    <row r="2954" customFormat="false" ht="23.85" hidden="false" customHeight="false" outlineLevel="0" collapsed="false">
      <c r="A2954" s="4" t="s">
        <v>3338</v>
      </c>
      <c r="B2954" s="4" t="s">
        <v>3936</v>
      </c>
      <c r="C2954" s="4" t="s">
        <v>3936</v>
      </c>
      <c r="D2954" s="12" t="n">
        <v>2018</v>
      </c>
      <c r="E2954" s="4"/>
      <c r="F2954" s="4" t="s">
        <v>1990</v>
      </c>
      <c r="G2954" s="4" t="s">
        <v>170</v>
      </c>
      <c r="H2954" s="4" t="s">
        <v>171</v>
      </c>
      <c r="I2954" s="4" t="s">
        <v>172</v>
      </c>
      <c r="J2954" s="4" t="s">
        <v>308</v>
      </c>
      <c r="K2954" s="4" t="s">
        <v>95</v>
      </c>
      <c r="L2954" s="4"/>
      <c r="M2954" s="4"/>
      <c r="N2954" s="4" t="s">
        <v>2001</v>
      </c>
      <c r="O2954" s="4" t="s">
        <v>2002</v>
      </c>
      <c r="P2954" s="4" t="s">
        <v>67</v>
      </c>
      <c r="Q2954" s="4" t="s">
        <v>2003</v>
      </c>
      <c r="R2954" s="4"/>
      <c r="S2954" s="4"/>
      <c r="T2954" s="4"/>
      <c r="U2954" s="4"/>
      <c r="V2954" s="4"/>
      <c r="W2954" s="4" t="s">
        <v>3341</v>
      </c>
      <c r="X2954" s="4" t="s">
        <v>3342</v>
      </c>
      <c r="Y2954" s="4" t="inlineStr">
        <is>
          <t>COMB_COQUE</t>
        </is>
      </c>
      <c r="Z2954" s="4"/>
      <c r="AA2954" s="4"/>
      <c r="AB2954" s="4"/>
      <c r="AC2954" s="4" t="s">
        <v>3352</v>
      </c>
      <c r="AD2954" s="4"/>
      <c r="AE2954" s="4"/>
      <c r="AF2954" s="4"/>
      <c r="AG2954" s="4"/>
      <c r="AH2954" s="4"/>
      <c r="AI2954" s="4"/>
      <c r="AJ2954" s="13" t="n">
        <v>1</v>
      </c>
      <c r="AK2954" s="4"/>
      <c r="AL2954" s="4"/>
      <c r="AM2954" s="4"/>
    </row>
    <row r="2955" customFormat="false" ht="23.85" hidden="false" customHeight="false" outlineLevel="0" collapsed="false">
      <c r="A2955" s="4" t="s">
        <v>3338</v>
      </c>
      <c r="B2955" s="4" t="s">
        <v>3937</v>
      </c>
      <c r="C2955" s="4" t="s">
        <v>3937</v>
      </c>
      <c r="D2955" s="12" t="n">
        <v>2018</v>
      </c>
      <c r="E2955" s="4"/>
      <c r="F2955" s="4" t="s">
        <v>1990</v>
      </c>
      <c r="G2955" s="4" t="s">
        <v>170</v>
      </c>
      <c r="H2955" s="4" t="s">
        <v>171</v>
      </c>
      <c r="I2955" s="4" t="s">
        <v>172</v>
      </c>
      <c r="J2955" s="4" t="s">
        <v>309</v>
      </c>
      <c r="K2955" s="4" t="s">
        <v>95</v>
      </c>
      <c r="L2955" s="4"/>
      <c r="M2955" s="4"/>
      <c r="N2955" s="4" t="s">
        <v>2001</v>
      </c>
      <c r="O2955" s="4" t="s">
        <v>2002</v>
      </c>
      <c r="P2955" s="4" t="s">
        <v>67</v>
      </c>
      <c r="Q2955" s="4" t="s">
        <v>2008</v>
      </c>
      <c r="R2955" s="4"/>
      <c r="S2955" s="4"/>
      <c r="T2955" s="4"/>
      <c r="U2955" s="4"/>
      <c r="V2955" s="4"/>
      <c r="W2955" s="4" t="s">
        <v>3341</v>
      </c>
      <c r="X2955" s="4" t="s">
        <v>3342</v>
      </c>
      <c r="Y2955" s="4" t="inlineStr">
        <is>
          <t>COMB_COQUE</t>
        </is>
      </c>
      <c r="Z2955" s="4"/>
      <c r="AA2955" s="4"/>
      <c r="AB2955" s="4"/>
      <c r="AC2955" s="4" t="s">
        <v>3352</v>
      </c>
      <c r="AD2955" s="4"/>
      <c r="AE2955" s="4"/>
      <c r="AF2955" s="4"/>
      <c r="AG2955" s="4"/>
      <c r="AH2955" s="4"/>
      <c r="AI2955" s="4"/>
      <c r="AJ2955" s="13" t="n">
        <v>1</v>
      </c>
      <c r="AK2955" s="4"/>
      <c r="AL2955" s="4"/>
      <c r="AM2955" s="4"/>
    </row>
    <row r="2956" customFormat="false" ht="23.85" hidden="false" customHeight="false" outlineLevel="0" collapsed="false">
      <c r="A2956" s="4" t="s">
        <v>3338</v>
      </c>
      <c r="B2956" s="4" t="s">
        <v>3938</v>
      </c>
      <c r="C2956" s="4" t="s">
        <v>3938</v>
      </c>
      <c r="D2956" s="12" t="n">
        <v>2018</v>
      </c>
      <c r="E2956" s="4"/>
      <c r="F2956" s="4" t="s">
        <v>3349</v>
      </c>
      <c r="G2956" s="4" t="s">
        <v>170</v>
      </c>
      <c r="H2956" s="4" t="s">
        <v>171</v>
      </c>
      <c r="I2956" s="4" t="s">
        <v>172</v>
      </c>
      <c r="J2956" s="4" t="s">
        <v>310</v>
      </c>
      <c r="K2956" s="4" t="s">
        <v>95</v>
      </c>
      <c r="L2956" s="4"/>
      <c r="M2956" s="4"/>
      <c r="N2956" s="4" t="s">
        <v>2001</v>
      </c>
      <c r="O2956" s="4" t="s">
        <v>2002</v>
      </c>
      <c r="P2956" s="4" t="s">
        <v>67</v>
      </c>
      <c r="Q2956" s="4" t="s">
        <v>2139</v>
      </c>
      <c r="R2956" s="4"/>
      <c r="S2956" s="4"/>
      <c r="T2956" s="4"/>
      <c r="U2956" s="4"/>
      <c r="V2956" s="4"/>
      <c r="W2956" s="4" t="s">
        <v>3420</v>
      </c>
      <c r="X2956" s="4" t="s">
        <v>3421</v>
      </c>
      <c r="Y2956" s="4" t="s">
        <v>3349</v>
      </c>
      <c r="Z2956" s="4"/>
      <c r="AA2956" s="4"/>
      <c r="AB2956" s="4"/>
      <c r="AC2956" s="4" t="s">
        <v>3352</v>
      </c>
      <c r="AD2956" s="4"/>
      <c r="AE2956" s="4"/>
      <c r="AF2956" s="4"/>
      <c r="AG2956" s="4"/>
      <c r="AH2956" s="4"/>
      <c r="AI2956" s="4"/>
      <c r="AJ2956" s="13" t="n">
        <v>1</v>
      </c>
      <c r="AK2956" s="4"/>
      <c r="AL2956" s="4"/>
      <c r="AM2956" s="4"/>
    </row>
    <row r="2957" customFormat="false" ht="23.85" hidden="false" customHeight="false" outlineLevel="0" collapsed="false">
      <c r="A2957" s="4" t="s">
        <v>3338</v>
      </c>
      <c r="B2957" s="4" t="s">
        <v>3939</v>
      </c>
      <c r="C2957" s="4" t="s">
        <v>3939</v>
      </c>
      <c r="D2957" s="12" t="n">
        <v>2018</v>
      </c>
      <c r="E2957" s="4"/>
      <c r="F2957" s="4" t="s">
        <v>1990</v>
      </c>
      <c r="G2957" s="4" t="s">
        <v>170</v>
      </c>
      <c r="H2957" s="4" t="s">
        <v>171</v>
      </c>
      <c r="I2957" s="4" t="s">
        <v>172</v>
      </c>
      <c r="J2957" s="4" t="s">
        <v>314</v>
      </c>
      <c r="K2957" s="4" t="s">
        <v>95</v>
      </c>
      <c r="L2957" s="4"/>
      <c r="M2957" s="4"/>
      <c r="N2957" s="4" t="s">
        <v>2001</v>
      </c>
      <c r="O2957" s="4" t="s">
        <v>2002</v>
      </c>
      <c r="P2957" s="4" t="s">
        <v>68</v>
      </c>
      <c r="Q2957" s="4" t="s">
        <v>2111</v>
      </c>
      <c r="R2957" s="4"/>
      <c r="S2957" s="4"/>
      <c r="T2957" s="4"/>
      <c r="U2957" s="4"/>
      <c r="V2957" s="4"/>
      <c r="W2957" s="4" t="s">
        <v>3404</v>
      </c>
      <c r="X2957" s="4" t="s">
        <v>3405</v>
      </c>
      <c r="Y2957" s="4" t="inlineStr">
        <is>
          <t>COMB_COQUE</t>
        </is>
      </c>
      <c r="Z2957" s="4"/>
      <c r="AA2957" s="4"/>
      <c r="AB2957" s="4"/>
      <c r="AC2957" s="4" t="s">
        <v>3352</v>
      </c>
      <c r="AD2957" s="4"/>
      <c r="AE2957" s="4"/>
      <c r="AF2957" s="4"/>
      <c r="AG2957" s="4"/>
      <c r="AH2957" s="4"/>
      <c r="AI2957" s="4"/>
      <c r="AJ2957" s="13" t="n">
        <v>1</v>
      </c>
      <c r="AK2957" s="4"/>
      <c r="AL2957" s="4"/>
      <c r="AM2957" s="4"/>
    </row>
    <row r="2958" customFormat="false" ht="23.85" hidden="false" customHeight="false" outlineLevel="0" collapsed="false">
      <c r="A2958" s="4" t="s">
        <v>3338</v>
      </c>
      <c r="B2958" s="4" t="s">
        <v>3940</v>
      </c>
      <c r="C2958" s="4" t="s">
        <v>3940</v>
      </c>
      <c r="D2958" s="12" t="n">
        <v>2018</v>
      </c>
      <c r="E2958" s="4"/>
      <c r="F2958" s="4" t="s">
        <v>1990</v>
      </c>
      <c r="G2958" s="4" t="s">
        <v>170</v>
      </c>
      <c r="H2958" s="4" t="s">
        <v>171</v>
      </c>
      <c r="I2958" s="4" t="s">
        <v>172</v>
      </c>
      <c r="J2958" s="4" t="s">
        <v>318</v>
      </c>
      <c r="K2958" s="4" t="s">
        <v>97</v>
      </c>
      <c r="L2958" s="4"/>
      <c r="M2958" s="4"/>
      <c r="N2958" s="4" t="s">
        <v>1994</v>
      </c>
      <c r="O2958" s="4" t="s">
        <v>2029</v>
      </c>
      <c r="P2958" s="4" t="s">
        <v>69</v>
      </c>
      <c r="Q2958" s="4" t="s">
        <v>2030</v>
      </c>
      <c r="R2958" s="4"/>
      <c r="S2958" s="4"/>
      <c r="T2958" s="4"/>
      <c r="U2958" s="4"/>
      <c r="V2958" s="4"/>
      <c r="W2958" s="4"/>
      <c r="X2958" s="4"/>
      <c r="Y2958" s="4"/>
      <c r="Z2958" s="4"/>
      <c r="AA2958" s="4"/>
      <c r="AB2958" s="4"/>
      <c r="AC2958" s="4"/>
      <c r="AD2958" s="4"/>
      <c r="AE2958" s="4"/>
      <c r="AF2958" s="4"/>
      <c r="AG2958" s="4"/>
      <c r="AH2958" s="4"/>
      <c r="AI2958" s="4"/>
      <c r="AJ2958" s="13" t="n">
        <v>0</v>
      </c>
      <c r="AK2958" s="4"/>
      <c r="AL2958" s="4"/>
      <c r="AM2958" s="4"/>
    </row>
    <row r="2959" customFormat="false" ht="23.85" hidden="false" customHeight="false" outlineLevel="0" collapsed="false">
      <c r="A2959" s="4" t="s">
        <v>3338</v>
      </c>
      <c r="B2959" s="4" t="s">
        <v>3941</v>
      </c>
      <c r="C2959" s="4" t="s">
        <v>3941</v>
      </c>
      <c r="D2959" s="12" t="n">
        <v>2018</v>
      </c>
      <c r="E2959" s="4"/>
      <c r="F2959" s="4" t="s">
        <v>1990</v>
      </c>
      <c r="G2959" s="4" t="s">
        <v>170</v>
      </c>
      <c r="H2959" s="4" t="s">
        <v>171</v>
      </c>
      <c r="I2959" s="4" t="s">
        <v>172</v>
      </c>
      <c r="J2959" s="4" t="s">
        <v>319</v>
      </c>
      <c r="K2959" s="4" t="s">
        <v>97</v>
      </c>
      <c r="L2959" s="4"/>
      <c r="M2959" s="4"/>
      <c r="N2959" s="4" t="s">
        <v>2001</v>
      </c>
      <c r="O2959" s="4" t="s">
        <v>2091</v>
      </c>
      <c r="P2959" s="4" t="s">
        <v>69</v>
      </c>
      <c r="Q2959" s="4" t="s">
        <v>2030</v>
      </c>
      <c r="R2959" s="4"/>
      <c r="S2959" s="4"/>
      <c r="T2959" s="4"/>
      <c r="U2959" s="4"/>
      <c r="V2959" s="4"/>
      <c r="W2959" s="4"/>
      <c r="X2959" s="4"/>
      <c r="Y2959" s="4"/>
      <c r="Z2959" s="4"/>
      <c r="AA2959" s="4"/>
      <c r="AB2959" s="4"/>
      <c r="AC2959" s="4"/>
      <c r="AD2959" s="4"/>
      <c r="AE2959" s="4"/>
      <c r="AF2959" s="4"/>
      <c r="AG2959" s="4"/>
      <c r="AH2959" s="4"/>
      <c r="AI2959" s="4"/>
      <c r="AJ2959" s="13" t="n">
        <v>0</v>
      </c>
      <c r="AK2959" s="4"/>
      <c r="AL2959" s="4"/>
      <c r="AM2959" s="4"/>
    </row>
    <row r="2960" customFormat="false" ht="23.85" hidden="false" customHeight="false" outlineLevel="0" collapsed="false">
      <c r="A2960" s="4" t="s">
        <v>3338</v>
      </c>
      <c r="B2960" s="4" t="s">
        <v>3942</v>
      </c>
      <c r="C2960" s="4" t="s">
        <v>3942</v>
      </c>
      <c r="D2960" s="12" t="n">
        <v>2018</v>
      </c>
      <c r="E2960" s="4"/>
      <c r="F2960" s="4" t="s">
        <v>1990</v>
      </c>
      <c r="G2960" s="4" t="s">
        <v>170</v>
      </c>
      <c r="H2960" s="4" t="s">
        <v>171</v>
      </c>
      <c r="I2960" s="4" t="s">
        <v>172</v>
      </c>
      <c r="J2960" s="4" t="s">
        <v>320</v>
      </c>
      <c r="K2960" s="4" t="s">
        <v>97</v>
      </c>
      <c r="L2960" s="4"/>
      <c r="M2960" s="4"/>
      <c r="N2960" s="4" t="s">
        <v>2001</v>
      </c>
      <c r="O2960" s="4" t="s">
        <v>2034</v>
      </c>
      <c r="P2960" s="4" t="s">
        <v>74</v>
      </c>
      <c r="Q2960" s="4" t="s">
        <v>2035</v>
      </c>
      <c r="R2960" s="4"/>
      <c r="S2960" s="4"/>
      <c r="T2960" s="4"/>
      <c r="U2960" s="4"/>
      <c r="V2960" s="4"/>
      <c r="W2960" s="4"/>
      <c r="X2960" s="4"/>
      <c r="Y2960" s="4"/>
      <c r="Z2960" s="4"/>
      <c r="AA2960" s="4"/>
      <c r="AB2960" s="4"/>
      <c r="AC2960" s="4"/>
      <c r="AD2960" s="4"/>
      <c r="AE2960" s="4"/>
      <c r="AF2960" s="4"/>
      <c r="AG2960" s="4"/>
      <c r="AH2960" s="4"/>
      <c r="AI2960" s="4"/>
      <c r="AJ2960" s="13" t="n">
        <v>0</v>
      </c>
      <c r="AK2960" s="4"/>
      <c r="AL2960" s="4"/>
      <c r="AM2960" s="4"/>
    </row>
    <row r="2961" customFormat="false" ht="23.85" hidden="false" customHeight="false" outlineLevel="0" collapsed="false">
      <c r="A2961" s="4" t="s">
        <v>3338</v>
      </c>
      <c r="B2961" s="4" t="s">
        <v>3943</v>
      </c>
      <c r="C2961" s="4" t="s">
        <v>3943</v>
      </c>
      <c r="D2961" s="12" t="n">
        <v>2018</v>
      </c>
      <c r="E2961" s="4"/>
      <c r="F2961" s="4" t="s">
        <v>1990</v>
      </c>
      <c r="G2961" s="4" t="s">
        <v>170</v>
      </c>
      <c r="H2961" s="4" t="s">
        <v>171</v>
      </c>
      <c r="I2961" s="4" t="s">
        <v>172</v>
      </c>
      <c r="J2961" s="4" t="s">
        <v>321</v>
      </c>
      <c r="K2961" s="4" t="s">
        <v>97</v>
      </c>
      <c r="L2961" s="4"/>
      <c r="M2961" s="4"/>
      <c r="N2961" s="4" t="s">
        <v>1994</v>
      </c>
      <c r="O2961" s="4" t="s">
        <v>1995</v>
      </c>
      <c r="P2961" s="4" t="s">
        <v>67</v>
      </c>
      <c r="Q2961" s="4" t="s">
        <v>2097</v>
      </c>
      <c r="R2961" s="4"/>
      <c r="S2961" s="4"/>
      <c r="T2961" s="4"/>
      <c r="U2961" s="4"/>
      <c r="V2961" s="4"/>
      <c r="W2961" s="4"/>
      <c r="X2961" s="4"/>
      <c r="Y2961" s="4"/>
      <c r="Z2961" s="4"/>
      <c r="AA2961" s="4"/>
      <c r="AB2961" s="4"/>
      <c r="AC2961" s="4"/>
      <c r="AD2961" s="4"/>
      <c r="AE2961" s="4"/>
      <c r="AF2961" s="4"/>
      <c r="AG2961" s="4"/>
      <c r="AH2961" s="4"/>
      <c r="AI2961" s="4"/>
      <c r="AJ2961" s="13" t="n">
        <v>0</v>
      </c>
      <c r="AK2961" s="4"/>
      <c r="AL2961" s="4"/>
      <c r="AM2961" s="4"/>
    </row>
    <row r="2962" customFormat="false" ht="23.85" hidden="false" customHeight="false" outlineLevel="0" collapsed="false">
      <c r="A2962" s="4" t="s">
        <v>3338</v>
      </c>
      <c r="B2962" s="4" t="s">
        <v>3944</v>
      </c>
      <c r="C2962" s="4" t="s">
        <v>3944</v>
      </c>
      <c r="D2962" s="12" t="n">
        <v>2018</v>
      </c>
      <c r="E2962" s="4"/>
      <c r="F2962" s="4" t="s">
        <v>1990</v>
      </c>
      <c r="G2962" s="4" t="s">
        <v>170</v>
      </c>
      <c r="H2962" s="4" t="s">
        <v>171</v>
      </c>
      <c r="I2962" s="4" t="s">
        <v>172</v>
      </c>
      <c r="J2962" s="4" t="s">
        <v>322</v>
      </c>
      <c r="K2962" s="4" t="s">
        <v>97</v>
      </c>
      <c r="L2962" s="4"/>
      <c r="M2962" s="4"/>
      <c r="N2962" s="4" t="s">
        <v>2001</v>
      </c>
      <c r="O2962" s="4" t="s">
        <v>2002</v>
      </c>
      <c r="P2962" s="4" t="s">
        <v>67</v>
      </c>
      <c r="Q2962" s="4" t="s">
        <v>2003</v>
      </c>
      <c r="R2962" s="4"/>
      <c r="S2962" s="4"/>
      <c r="T2962" s="4"/>
      <c r="U2962" s="4"/>
      <c r="V2962" s="4"/>
      <c r="W2962" s="4" t="s">
        <v>3341</v>
      </c>
      <c r="X2962" s="4" t="s">
        <v>3342</v>
      </c>
      <c r="Y2962" s="4" t="inlineStr">
        <is>
          <t>COMB_DOIL</t>
        </is>
      </c>
      <c r="Z2962" s="4"/>
      <c r="AA2962" s="4"/>
      <c r="AB2962" s="4"/>
      <c r="AC2962" s="4" t="s">
        <v>3352</v>
      </c>
      <c r="AD2962" s="4"/>
      <c r="AE2962" s="4"/>
      <c r="AF2962" s="4"/>
      <c r="AG2962" s="4"/>
      <c r="AH2962" s="4"/>
      <c r="AI2962" s="4"/>
      <c r="AJ2962" s="13" t="n">
        <v>1</v>
      </c>
      <c r="AK2962" s="4"/>
      <c r="AL2962" s="4"/>
      <c r="AM2962" s="4"/>
    </row>
    <row r="2963" customFormat="false" ht="23.85" hidden="false" customHeight="false" outlineLevel="0" collapsed="false">
      <c r="A2963" s="4" t="s">
        <v>3338</v>
      </c>
      <c r="B2963" s="4" t="s">
        <v>3945</v>
      </c>
      <c r="C2963" s="4" t="s">
        <v>3945</v>
      </c>
      <c r="D2963" s="12" t="n">
        <v>2018</v>
      </c>
      <c r="E2963" s="4"/>
      <c r="F2963" s="4" t="s">
        <v>1990</v>
      </c>
      <c r="G2963" s="4" t="s">
        <v>170</v>
      </c>
      <c r="H2963" s="4" t="s">
        <v>171</v>
      </c>
      <c r="I2963" s="4" t="s">
        <v>172</v>
      </c>
      <c r="J2963" s="4" t="s">
        <v>323</v>
      </c>
      <c r="K2963" s="4" t="s">
        <v>97</v>
      </c>
      <c r="L2963" s="4"/>
      <c r="M2963" s="4"/>
      <c r="N2963" s="4" t="s">
        <v>2001</v>
      </c>
      <c r="O2963" s="4" t="s">
        <v>2002</v>
      </c>
      <c r="P2963" s="4" t="s">
        <v>67</v>
      </c>
      <c r="Q2963" s="4" t="s">
        <v>2008</v>
      </c>
      <c r="R2963" s="4"/>
      <c r="S2963" s="4"/>
      <c r="T2963" s="4"/>
      <c r="U2963" s="4"/>
      <c r="V2963" s="4"/>
      <c r="W2963" s="4" t="s">
        <v>3341</v>
      </c>
      <c r="X2963" s="4" t="s">
        <v>3342</v>
      </c>
      <c r="Y2963" s="4" t="inlineStr">
        <is>
          <t>COMB_DOIL</t>
        </is>
      </c>
      <c r="Z2963" s="4"/>
      <c r="AA2963" s="4"/>
      <c r="AB2963" s="4"/>
      <c r="AC2963" s="4" t="s">
        <v>3352</v>
      </c>
      <c r="AD2963" s="4"/>
      <c r="AE2963" s="4"/>
      <c r="AF2963" s="4"/>
      <c r="AG2963" s="4"/>
      <c r="AH2963" s="4"/>
      <c r="AI2963" s="4"/>
      <c r="AJ2963" s="13" t="n">
        <v>1</v>
      </c>
      <c r="AK2963" s="4"/>
      <c r="AL2963" s="4"/>
      <c r="AM2963" s="4"/>
    </row>
    <row r="2964" customFormat="false" ht="23.85" hidden="false" customHeight="false" outlineLevel="0" collapsed="false">
      <c r="A2964" s="4" t="s">
        <v>3338</v>
      </c>
      <c r="B2964" s="4" t="s">
        <v>3946</v>
      </c>
      <c r="C2964" s="4" t="s">
        <v>3946</v>
      </c>
      <c r="D2964" s="12" t="n">
        <v>2018</v>
      </c>
      <c r="E2964" s="4"/>
      <c r="F2964" s="4" t="s">
        <v>3349</v>
      </c>
      <c r="G2964" s="4" t="s">
        <v>170</v>
      </c>
      <c r="H2964" s="4" t="s">
        <v>171</v>
      </c>
      <c r="I2964" s="4" t="s">
        <v>172</v>
      </c>
      <c r="J2964" s="4" t="s">
        <v>324</v>
      </c>
      <c r="K2964" s="4" t="s">
        <v>97</v>
      </c>
      <c r="L2964" s="4"/>
      <c r="M2964" s="4"/>
      <c r="N2964" s="4" t="s">
        <v>2001</v>
      </c>
      <c r="O2964" s="4" t="s">
        <v>2002</v>
      </c>
      <c r="P2964" s="4" t="s">
        <v>67</v>
      </c>
      <c r="Q2964" s="4" t="s">
        <v>2139</v>
      </c>
      <c r="R2964" s="4"/>
      <c r="S2964" s="4"/>
      <c r="T2964" s="4"/>
      <c r="U2964" s="4"/>
      <c r="V2964" s="4"/>
      <c r="W2964" s="4" t="s">
        <v>3420</v>
      </c>
      <c r="X2964" s="4" t="s">
        <v>3421</v>
      </c>
      <c r="Y2964" s="4" t="s">
        <v>3349</v>
      </c>
      <c r="Z2964" s="4"/>
      <c r="AA2964" s="4"/>
      <c r="AB2964" s="4"/>
      <c r="AC2964" s="4" t="s">
        <v>3352</v>
      </c>
      <c r="AD2964" s="4"/>
      <c r="AE2964" s="4"/>
      <c r="AF2964" s="4"/>
      <c r="AG2964" s="4"/>
      <c r="AH2964" s="4"/>
      <c r="AI2964" s="4"/>
      <c r="AJ2964" s="13" t="n">
        <v>1</v>
      </c>
      <c r="AK2964" s="4"/>
      <c r="AL2964" s="4"/>
      <c r="AM2964" s="4"/>
    </row>
    <row r="2965" customFormat="false" ht="23.85" hidden="false" customHeight="false" outlineLevel="0" collapsed="false">
      <c r="A2965" s="4" t="s">
        <v>3338</v>
      </c>
      <c r="B2965" s="4" t="s">
        <v>3947</v>
      </c>
      <c r="C2965" s="4" t="s">
        <v>3947</v>
      </c>
      <c r="D2965" s="12" t="n">
        <v>2018</v>
      </c>
      <c r="E2965" s="4"/>
      <c r="F2965" s="4" t="s">
        <v>1990</v>
      </c>
      <c r="G2965" s="4" t="s">
        <v>170</v>
      </c>
      <c r="H2965" s="4" t="s">
        <v>171</v>
      </c>
      <c r="I2965" s="4" t="s">
        <v>172</v>
      </c>
      <c r="J2965" s="4" t="s">
        <v>325</v>
      </c>
      <c r="K2965" s="4" t="s">
        <v>97</v>
      </c>
      <c r="L2965" s="4"/>
      <c r="M2965" s="4"/>
      <c r="N2965" s="4" t="s">
        <v>2001</v>
      </c>
      <c r="O2965" s="4" t="s">
        <v>2002</v>
      </c>
      <c r="P2965" s="4" t="s">
        <v>71</v>
      </c>
      <c r="Q2965" s="4" t="s">
        <v>2123</v>
      </c>
      <c r="R2965" s="4"/>
      <c r="S2965" s="4"/>
      <c r="T2965" s="4"/>
      <c r="U2965" s="4"/>
      <c r="V2965" s="4"/>
      <c r="W2965" s="4" t="s">
        <v>3412</v>
      </c>
      <c r="X2965" s="4" t="s">
        <v>3413</v>
      </c>
      <c r="Y2965" s="4" t="inlineStr">
        <is>
          <t>COMB_DOIL</t>
        </is>
      </c>
      <c r="Z2965" s="4"/>
      <c r="AA2965" s="4"/>
      <c r="AB2965" s="4"/>
      <c r="AC2965" s="4" t="s">
        <v>3352</v>
      </c>
      <c r="AD2965" s="4"/>
      <c r="AE2965" s="4"/>
      <c r="AF2965" s="4"/>
      <c r="AG2965" s="4"/>
      <c r="AH2965" s="4"/>
      <c r="AI2965" s="4"/>
      <c r="AJ2965" s="13" t="n">
        <v>1</v>
      </c>
      <c r="AK2965" s="4"/>
      <c r="AL2965" s="4"/>
      <c r="AM2965" s="4"/>
    </row>
    <row r="2966" customFormat="false" ht="23.85" hidden="false" customHeight="false" outlineLevel="0" collapsed="false">
      <c r="A2966" s="4" t="s">
        <v>3338</v>
      </c>
      <c r="B2966" s="4" t="s">
        <v>3948</v>
      </c>
      <c r="C2966" s="4" t="s">
        <v>3948</v>
      </c>
      <c r="D2966" s="12" t="n">
        <v>2018</v>
      </c>
      <c r="E2966" s="4"/>
      <c r="F2966" s="4" t="s">
        <v>1990</v>
      </c>
      <c r="G2966" s="4" t="s">
        <v>170</v>
      </c>
      <c r="H2966" s="4" t="s">
        <v>171</v>
      </c>
      <c r="I2966" s="4" t="s">
        <v>172</v>
      </c>
      <c r="J2966" s="4" t="s">
        <v>328</v>
      </c>
      <c r="K2966" s="4" t="s">
        <v>97</v>
      </c>
      <c r="L2966" s="4"/>
      <c r="M2966" s="4"/>
      <c r="N2966" s="4" t="s">
        <v>2001</v>
      </c>
      <c r="O2966" s="4" t="s">
        <v>2002</v>
      </c>
      <c r="P2966" s="4" t="s">
        <v>68</v>
      </c>
      <c r="Q2966" s="4" t="s">
        <v>2111</v>
      </c>
      <c r="R2966" s="4"/>
      <c r="S2966" s="4"/>
      <c r="T2966" s="4"/>
      <c r="U2966" s="4"/>
      <c r="V2966" s="4"/>
      <c r="W2966" s="4" t="s">
        <v>3404</v>
      </c>
      <c r="X2966" s="4" t="s">
        <v>3405</v>
      </c>
      <c r="Y2966" s="4" t="inlineStr">
        <is>
          <t>COMB_DOIL</t>
        </is>
      </c>
      <c r="Z2966" s="4"/>
      <c r="AA2966" s="4"/>
      <c r="AB2966" s="4"/>
      <c r="AC2966" s="4" t="s">
        <v>3352</v>
      </c>
      <c r="AD2966" s="4"/>
      <c r="AE2966" s="4"/>
      <c r="AF2966" s="4"/>
      <c r="AG2966" s="4"/>
      <c r="AH2966" s="4"/>
      <c r="AI2966" s="4"/>
      <c r="AJ2966" s="13" t="n">
        <v>1</v>
      </c>
      <c r="AK2966" s="4"/>
      <c r="AL2966" s="4"/>
      <c r="AM2966" s="4"/>
    </row>
    <row r="2967" customFormat="false" ht="23.85" hidden="false" customHeight="false" outlineLevel="0" collapsed="false">
      <c r="A2967" s="4" t="s">
        <v>3338</v>
      </c>
      <c r="B2967" s="4" t="s">
        <v>3949</v>
      </c>
      <c r="C2967" s="4" t="s">
        <v>3949</v>
      </c>
      <c r="D2967" s="12" t="n">
        <v>2018</v>
      </c>
      <c r="E2967" s="4"/>
      <c r="F2967" s="4" t="s">
        <v>1990</v>
      </c>
      <c r="G2967" s="4" t="s">
        <v>170</v>
      </c>
      <c r="H2967" s="4" t="s">
        <v>171</v>
      </c>
      <c r="I2967" s="4" t="s">
        <v>172</v>
      </c>
      <c r="J2967" s="4" t="s">
        <v>332</v>
      </c>
      <c r="K2967" s="4" t="s">
        <v>99</v>
      </c>
      <c r="L2967" s="4"/>
      <c r="M2967" s="4"/>
      <c r="N2967" s="4" t="s">
        <v>1994</v>
      </c>
      <c r="O2967" s="4" t="s">
        <v>2029</v>
      </c>
      <c r="P2967" s="4" t="s">
        <v>69</v>
      </c>
      <c r="Q2967" s="4" t="s">
        <v>2030</v>
      </c>
      <c r="R2967" s="4"/>
      <c r="S2967" s="4"/>
      <c r="T2967" s="4"/>
      <c r="U2967" s="4"/>
      <c r="V2967" s="4"/>
      <c r="W2967" s="4"/>
      <c r="X2967" s="4"/>
      <c r="Y2967" s="4"/>
      <c r="Z2967" s="4"/>
      <c r="AA2967" s="4"/>
      <c r="AB2967" s="4"/>
      <c r="AC2967" s="4"/>
      <c r="AD2967" s="4"/>
      <c r="AE2967" s="4"/>
      <c r="AF2967" s="4"/>
      <c r="AG2967" s="4"/>
      <c r="AH2967" s="4"/>
      <c r="AI2967" s="4"/>
      <c r="AJ2967" s="13" t="n">
        <v>0</v>
      </c>
      <c r="AK2967" s="4"/>
      <c r="AL2967" s="4"/>
      <c r="AM2967" s="4"/>
    </row>
    <row r="2968" customFormat="false" ht="23.85" hidden="false" customHeight="false" outlineLevel="0" collapsed="false">
      <c r="A2968" s="4" t="s">
        <v>3338</v>
      </c>
      <c r="B2968" s="4" t="s">
        <v>3950</v>
      </c>
      <c r="C2968" s="4" t="s">
        <v>3950</v>
      </c>
      <c r="D2968" s="12" t="n">
        <v>2018</v>
      </c>
      <c r="E2968" s="4"/>
      <c r="F2968" s="4" t="s">
        <v>1990</v>
      </c>
      <c r="G2968" s="4" t="s">
        <v>170</v>
      </c>
      <c r="H2968" s="4" t="s">
        <v>171</v>
      </c>
      <c r="I2968" s="4" t="s">
        <v>172</v>
      </c>
      <c r="J2968" s="4" t="s">
        <v>333</v>
      </c>
      <c r="K2968" s="4" t="s">
        <v>99</v>
      </c>
      <c r="L2968" s="4"/>
      <c r="M2968" s="4"/>
      <c r="N2968" s="4" t="s">
        <v>2001</v>
      </c>
      <c r="O2968" s="4" t="s">
        <v>2091</v>
      </c>
      <c r="P2968" s="4" t="s">
        <v>69</v>
      </c>
      <c r="Q2968" s="4" t="s">
        <v>2030</v>
      </c>
      <c r="R2968" s="4"/>
      <c r="S2968" s="4"/>
      <c r="T2968" s="4"/>
      <c r="U2968" s="4"/>
      <c r="V2968" s="4"/>
      <c r="W2968" s="4"/>
      <c r="X2968" s="4"/>
      <c r="Y2968" s="4"/>
      <c r="Z2968" s="4"/>
      <c r="AA2968" s="4"/>
      <c r="AB2968" s="4"/>
      <c r="AC2968" s="4"/>
      <c r="AD2968" s="4"/>
      <c r="AE2968" s="4"/>
      <c r="AF2968" s="4"/>
      <c r="AG2968" s="4"/>
      <c r="AH2968" s="4"/>
      <c r="AI2968" s="4"/>
      <c r="AJ2968" s="13" t="n">
        <v>0</v>
      </c>
      <c r="AK2968" s="4"/>
      <c r="AL2968" s="4"/>
      <c r="AM2968" s="4"/>
    </row>
    <row r="2969" customFormat="false" ht="23.85" hidden="false" customHeight="false" outlineLevel="0" collapsed="false">
      <c r="A2969" s="4" t="s">
        <v>3338</v>
      </c>
      <c r="B2969" s="4" t="s">
        <v>3951</v>
      </c>
      <c r="C2969" s="4" t="s">
        <v>3951</v>
      </c>
      <c r="D2969" s="12" t="n">
        <v>2018</v>
      </c>
      <c r="E2969" s="4"/>
      <c r="F2969" s="4" t="s">
        <v>1990</v>
      </c>
      <c r="G2969" s="4" t="s">
        <v>170</v>
      </c>
      <c r="H2969" s="4" t="s">
        <v>171</v>
      </c>
      <c r="I2969" s="4" t="s">
        <v>172</v>
      </c>
      <c r="J2969" s="4" t="s">
        <v>336</v>
      </c>
      <c r="K2969" s="4" t="s">
        <v>99</v>
      </c>
      <c r="L2969" s="4"/>
      <c r="M2969" s="4"/>
      <c r="N2969" s="4" t="s">
        <v>1994</v>
      </c>
      <c r="O2969" s="4" t="s">
        <v>1995</v>
      </c>
      <c r="P2969" s="4" t="s">
        <v>67</v>
      </c>
      <c r="Q2969" s="4" t="s">
        <v>2003</v>
      </c>
      <c r="R2969" s="4"/>
      <c r="S2969" s="4"/>
      <c r="T2969" s="4"/>
      <c r="U2969" s="4"/>
      <c r="V2969" s="4"/>
      <c r="W2969" s="4" t="s">
        <v>3341</v>
      </c>
      <c r="X2969" s="4" t="s">
        <v>3342</v>
      </c>
      <c r="Y2969" s="4" t="s">
        <v>3362</v>
      </c>
      <c r="Z2969" s="4"/>
      <c r="AA2969" s="4"/>
      <c r="AB2969" s="4"/>
      <c r="AC2969" s="4" t="s">
        <v>3363</v>
      </c>
      <c r="AD2969" s="4"/>
      <c r="AE2969" s="4"/>
      <c r="AF2969" s="4"/>
      <c r="AG2969" s="4"/>
      <c r="AH2969" s="4"/>
      <c r="AI2969" s="4"/>
      <c r="AJ2969" s="13" t="n">
        <v>1</v>
      </c>
      <c r="AK2969" s="4"/>
      <c r="AL2969" s="4"/>
      <c r="AM2969" s="4"/>
    </row>
    <row r="2970" customFormat="false" ht="23.85" hidden="false" customHeight="false" outlineLevel="0" collapsed="false">
      <c r="A2970" s="4" t="s">
        <v>3338</v>
      </c>
      <c r="B2970" s="4" t="s">
        <v>3952</v>
      </c>
      <c r="C2970" s="4" t="s">
        <v>3952</v>
      </c>
      <c r="D2970" s="12" t="n">
        <v>2018</v>
      </c>
      <c r="E2970" s="4"/>
      <c r="F2970" s="4" t="s">
        <v>1990</v>
      </c>
      <c r="G2970" s="4" t="s">
        <v>170</v>
      </c>
      <c r="H2970" s="4" t="s">
        <v>171</v>
      </c>
      <c r="I2970" s="4" t="s">
        <v>172</v>
      </c>
      <c r="J2970" s="4" t="s">
        <v>337</v>
      </c>
      <c r="K2970" s="4" t="s">
        <v>99</v>
      </c>
      <c r="L2970" s="4"/>
      <c r="M2970" s="4"/>
      <c r="N2970" s="4" t="s">
        <v>1994</v>
      </c>
      <c r="O2970" s="4" t="s">
        <v>1995</v>
      </c>
      <c r="P2970" s="4" t="s">
        <v>67</v>
      </c>
      <c r="Q2970" s="4" t="s">
        <v>2008</v>
      </c>
      <c r="R2970" s="4"/>
      <c r="S2970" s="4"/>
      <c r="T2970" s="4"/>
      <c r="U2970" s="4"/>
      <c r="V2970" s="4"/>
      <c r="W2970" s="4" t="s">
        <v>3341</v>
      </c>
      <c r="X2970" s="4" t="s">
        <v>3342</v>
      </c>
      <c r="Y2970" s="4" t="s">
        <v>3362</v>
      </c>
      <c r="Z2970" s="4"/>
      <c r="AA2970" s="4"/>
      <c r="AB2970" s="4"/>
      <c r="AC2970" s="4" t="s">
        <v>3363</v>
      </c>
      <c r="AD2970" s="4"/>
      <c r="AE2970" s="4"/>
      <c r="AF2970" s="4"/>
      <c r="AG2970" s="4"/>
      <c r="AH2970" s="4"/>
      <c r="AI2970" s="4"/>
      <c r="AJ2970" s="13" t="n">
        <v>1</v>
      </c>
      <c r="AK2970" s="4"/>
      <c r="AL2970" s="4"/>
      <c r="AM2970" s="4"/>
    </row>
    <row r="2971" customFormat="false" ht="23.85" hidden="false" customHeight="false" outlineLevel="0" collapsed="false">
      <c r="A2971" s="4" t="s">
        <v>3338</v>
      </c>
      <c r="B2971" s="4" t="s">
        <v>3953</v>
      </c>
      <c r="C2971" s="4" t="s">
        <v>3953</v>
      </c>
      <c r="D2971" s="12" t="n">
        <v>2018</v>
      </c>
      <c r="E2971" s="4"/>
      <c r="F2971" s="4" t="s">
        <v>1990</v>
      </c>
      <c r="G2971" s="4" t="s">
        <v>170</v>
      </c>
      <c r="H2971" s="4" t="s">
        <v>171</v>
      </c>
      <c r="I2971" s="4" t="s">
        <v>172</v>
      </c>
      <c r="J2971" s="4" t="s">
        <v>338</v>
      </c>
      <c r="K2971" s="4" t="s">
        <v>99</v>
      </c>
      <c r="L2971" s="4"/>
      <c r="M2971" s="4"/>
      <c r="N2971" s="4" t="s">
        <v>2001</v>
      </c>
      <c r="O2971" s="4" t="s">
        <v>2002</v>
      </c>
      <c r="P2971" s="4" t="s">
        <v>67</v>
      </c>
      <c r="Q2971" s="4" t="s">
        <v>2139</v>
      </c>
      <c r="R2971" s="4"/>
      <c r="S2971" s="4"/>
      <c r="T2971" s="4"/>
      <c r="U2971" s="4"/>
      <c r="V2971" s="4"/>
      <c r="W2971" s="4" t="s">
        <v>3420</v>
      </c>
      <c r="X2971" s="4" t="s">
        <v>3421</v>
      </c>
      <c r="Y2971" s="4" t="s">
        <v>3362</v>
      </c>
      <c r="Z2971" s="4"/>
      <c r="AA2971" s="4"/>
      <c r="AB2971" s="4"/>
      <c r="AC2971" s="4" t="s">
        <v>3363</v>
      </c>
      <c r="AD2971" s="4"/>
      <c r="AE2971" s="4"/>
      <c r="AF2971" s="4"/>
      <c r="AG2971" s="4"/>
      <c r="AH2971" s="4"/>
      <c r="AI2971" s="4"/>
      <c r="AJ2971" s="13" t="n">
        <v>1</v>
      </c>
      <c r="AK2971" s="4"/>
      <c r="AL2971" s="4"/>
      <c r="AM2971" s="4"/>
    </row>
    <row r="2972" customFormat="false" ht="23.85" hidden="false" customHeight="false" outlineLevel="0" collapsed="false">
      <c r="A2972" s="4" t="s">
        <v>3338</v>
      </c>
      <c r="B2972" s="4" t="s">
        <v>3954</v>
      </c>
      <c r="C2972" s="4" t="s">
        <v>3954</v>
      </c>
      <c r="D2972" s="12" t="n">
        <v>2018</v>
      </c>
      <c r="E2972" s="4"/>
      <c r="F2972" s="4" t="s">
        <v>1990</v>
      </c>
      <c r="G2972" s="4" t="s">
        <v>170</v>
      </c>
      <c r="H2972" s="4" t="s">
        <v>171</v>
      </c>
      <c r="I2972" s="4" t="s">
        <v>172</v>
      </c>
      <c r="J2972" s="4" t="s">
        <v>340</v>
      </c>
      <c r="K2972" s="4" t="s">
        <v>99</v>
      </c>
      <c r="L2972" s="4"/>
      <c r="M2972" s="4"/>
      <c r="N2972" s="4" t="s">
        <v>2001</v>
      </c>
      <c r="O2972" s="4" t="s">
        <v>2074</v>
      </c>
      <c r="P2972" s="4" t="s">
        <v>73</v>
      </c>
      <c r="Q2972" s="4" t="s">
        <v>2075</v>
      </c>
      <c r="R2972" s="4"/>
      <c r="S2972" s="4"/>
      <c r="T2972" s="4"/>
      <c r="U2972" s="4"/>
      <c r="V2972" s="4"/>
      <c r="W2972" s="4" t="s">
        <v>3380</v>
      </c>
      <c r="X2972" s="4" t="s">
        <v>3381</v>
      </c>
      <c r="Y2972" s="4" t="s">
        <v>3362</v>
      </c>
      <c r="Z2972" s="4"/>
      <c r="AA2972" s="4"/>
      <c r="AB2972" s="4"/>
      <c r="AC2972" s="4" t="s">
        <v>3363</v>
      </c>
      <c r="AD2972" s="4"/>
      <c r="AE2972" s="4"/>
      <c r="AF2972" s="4"/>
      <c r="AG2972" s="4"/>
      <c r="AH2972" s="4"/>
      <c r="AI2972" s="4"/>
      <c r="AJ2972" s="13" t="n">
        <v>1</v>
      </c>
      <c r="AK2972" s="4"/>
      <c r="AL2972" s="4"/>
      <c r="AM2972" s="4"/>
    </row>
    <row r="2973" customFormat="false" ht="23.85" hidden="false" customHeight="false" outlineLevel="0" collapsed="false">
      <c r="A2973" s="4" t="s">
        <v>3338</v>
      </c>
      <c r="B2973" s="4" t="s">
        <v>3955</v>
      </c>
      <c r="C2973" s="4" t="s">
        <v>3955</v>
      </c>
      <c r="D2973" s="12" t="n">
        <v>2018</v>
      </c>
      <c r="E2973" s="4"/>
      <c r="F2973" s="4" t="s">
        <v>1990</v>
      </c>
      <c r="G2973" s="4" t="s">
        <v>170</v>
      </c>
      <c r="H2973" s="4" t="s">
        <v>171</v>
      </c>
      <c r="I2973" s="4" t="s">
        <v>172</v>
      </c>
      <c r="J2973" s="4" t="s">
        <v>341</v>
      </c>
      <c r="K2973" s="4" t="s">
        <v>99</v>
      </c>
      <c r="L2973" s="4"/>
      <c r="M2973" s="4"/>
      <c r="N2973" s="4" t="s">
        <v>2001</v>
      </c>
      <c r="O2973" s="4" t="s">
        <v>2002</v>
      </c>
      <c r="P2973" s="4" t="s">
        <v>72</v>
      </c>
      <c r="Q2973" s="4" t="s">
        <v>2079</v>
      </c>
      <c r="R2973" s="4"/>
      <c r="S2973" s="4"/>
      <c r="T2973" s="4"/>
      <c r="U2973" s="4"/>
      <c r="V2973" s="4"/>
      <c r="W2973" s="4" t="s">
        <v>3383</v>
      </c>
      <c r="X2973" s="4" t="s">
        <v>3384</v>
      </c>
      <c r="Y2973" s="4" t="s">
        <v>3362</v>
      </c>
      <c r="Z2973" s="4"/>
      <c r="AA2973" s="4"/>
      <c r="AB2973" s="4"/>
      <c r="AC2973" s="4" t="s">
        <v>3363</v>
      </c>
      <c r="AD2973" s="4"/>
      <c r="AE2973" s="4"/>
      <c r="AF2973" s="4"/>
      <c r="AG2973" s="4"/>
      <c r="AH2973" s="4"/>
      <c r="AI2973" s="4"/>
      <c r="AJ2973" s="13" t="n">
        <v>1</v>
      </c>
      <c r="AK2973" s="4"/>
      <c r="AL2973" s="4"/>
      <c r="AM2973" s="4"/>
    </row>
    <row r="2974" customFormat="false" ht="23.85" hidden="false" customHeight="false" outlineLevel="0" collapsed="false">
      <c r="A2974" s="4" t="s">
        <v>3338</v>
      </c>
      <c r="B2974" s="4" t="s">
        <v>3956</v>
      </c>
      <c r="C2974" s="4" t="s">
        <v>3956</v>
      </c>
      <c r="D2974" s="12" t="n">
        <v>2018</v>
      </c>
      <c r="E2974" s="4"/>
      <c r="F2974" s="4" t="s">
        <v>1990</v>
      </c>
      <c r="G2974" s="4" t="s">
        <v>170</v>
      </c>
      <c r="H2974" s="4" t="s">
        <v>171</v>
      </c>
      <c r="I2974" s="4" t="s">
        <v>172</v>
      </c>
      <c r="J2974" s="4" t="s">
        <v>342</v>
      </c>
      <c r="K2974" s="4" t="s">
        <v>99</v>
      </c>
      <c r="L2974" s="4"/>
      <c r="M2974" s="4"/>
      <c r="N2974" s="4" t="s">
        <v>2001</v>
      </c>
      <c r="O2974" s="4" t="s">
        <v>2002</v>
      </c>
      <c r="P2974" s="4" t="s">
        <v>68</v>
      </c>
      <c r="Q2974" s="4" t="s">
        <v>2111</v>
      </c>
      <c r="R2974" s="4"/>
      <c r="S2974" s="4"/>
      <c r="T2974" s="4"/>
      <c r="U2974" s="4"/>
      <c r="V2974" s="4"/>
      <c r="W2974" s="4" t="s">
        <v>3404</v>
      </c>
      <c r="X2974" s="4" t="s">
        <v>3405</v>
      </c>
      <c r="Y2974" s="4" t="s">
        <v>3362</v>
      </c>
      <c r="Z2974" s="4"/>
      <c r="AA2974" s="4"/>
      <c r="AB2974" s="4"/>
      <c r="AC2974" s="4" t="s">
        <v>3363</v>
      </c>
      <c r="AD2974" s="4"/>
      <c r="AE2974" s="4"/>
      <c r="AF2974" s="4"/>
      <c r="AG2974" s="4"/>
      <c r="AH2974" s="4"/>
      <c r="AI2974" s="4"/>
      <c r="AJ2974" s="13" t="n">
        <v>1</v>
      </c>
      <c r="AK2974" s="4"/>
      <c r="AL2974" s="4"/>
      <c r="AM2974" s="4"/>
    </row>
    <row r="2975" customFormat="false" ht="23.85" hidden="false" customHeight="false" outlineLevel="0" collapsed="false">
      <c r="A2975" s="4" t="s">
        <v>3338</v>
      </c>
      <c r="B2975" s="4" t="s">
        <v>3957</v>
      </c>
      <c r="C2975" s="4" t="s">
        <v>3957</v>
      </c>
      <c r="D2975" s="12" t="n">
        <v>2018</v>
      </c>
      <c r="E2975" s="4"/>
      <c r="F2975" s="4" t="s">
        <v>1990</v>
      </c>
      <c r="G2975" s="4" t="s">
        <v>170</v>
      </c>
      <c r="H2975" s="4" t="s">
        <v>171</v>
      </c>
      <c r="I2975" s="4" t="s">
        <v>172</v>
      </c>
      <c r="J2975" s="4" t="s">
        <v>344</v>
      </c>
      <c r="K2975" s="4" t="s">
        <v>99</v>
      </c>
      <c r="L2975" s="4"/>
      <c r="M2975" s="4"/>
      <c r="N2975" s="4" t="s">
        <v>2001</v>
      </c>
      <c r="O2975" s="4" t="s">
        <v>2002</v>
      </c>
      <c r="P2975" s="4" t="s">
        <v>67</v>
      </c>
      <c r="Q2975" s="4" t="s">
        <v>2151</v>
      </c>
      <c r="R2975" s="4"/>
      <c r="S2975" s="4"/>
      <c r="T2975" s="4"/>
      <c r="U2975" s="4"/>
      <c r="V2975" s="4"/>
      <c r="W2975" s="4"/>
      <c r="X2975" s="4"/>
      <c r="Y2975" s="4"/>
      <c r="Z2975" s="4"/>
      <c r="AA2975" s="4"/>
      <c r="AB2975" s="4"/>
      <c r="AC2975" s="4"/>
      <c r="AD2975" s="4"/>
      <c r="AE2975" s="4"/>
      <c r="AF2975" s="4"/>
      <c r="AG2975" s="4"/>
      <c r="AH2975" s="4"/>
      <c r="AI2975" s="4"/>
      <c r="AJ2975" s="13" t="n">
        <v>0</v>
      </c>
      <c r="AK2975" s="4"/>
      <c r="AL2975" s="4"/>
      <c r="AM2975" s="4"/>
    </row>
    <row r="2976" customFormat="false" ht="23.85" hidden="false" customHeight="false" outlineLevel="0" collapsed="false">
      <c r="A2976" s="4" t="s">
        <v>3338</v>
      </c>
      <c r="B2976" s="4" t="s">
        <v>3958</v>
      </c>
      <c r="C2976" s="4" t="s">
        <v>3958</v>
      </c>
      <c r="D2976" s="12" t="n">
        <v>2018</v>
      </c>
      <c r="E2976" s="4"/>
      <c r="F2976" s="4" t="s">
        <v>1990</v>
      </c>
      <c r="G2976" s="4" t="s">
        <v>170</v>
      </c>
      <c r="H2976" s="4" t="s">
        <v>171</v>
      </c>
      <c r="I2976" s="4" t="s">
        <v>172</v>
      </c>
      <c r="J2976" s="4" t="s">
        <v>344</v>
      </c>
      <c r="K2976" s="4" t="s">
        <v>99</v>
      </c>
      <c r="L2976" s="4"/>
      <c r="M2976" s="4"/>
      <c r="N2976" s="4" t="s">
        <v>1994</v>
      </c>
      <c r="O2976" s="4" t="s">
        <v>2156</v>
      </c>
      <c r="P2976" s="4" t="s">
        <v>67</v>
      </c>
      <c r="Q2976" s="4" t="s">
        <v>2151</v>
      </c>
      <c r="R2976" s="4"/>
      <c r="S2976" s="4"/>
      <c r="T2976" s="4"/>
      <c r="U2976" s="4"/>
      <c r="V2976" s="4"/>
      <c r="W2976" s="4"/>
      <c r="X2976" s="4"/>
      <c r="Y2976" s="4"/>
      <c r="Z2976" s="4"/>
      <c r="AA2976" s="4"/>
      <c r="AB2976" s="4"/>
      <c r="AC2976" s="4"/>
      <c r="AD2976" s="4"/>
      <c r="AE2976" s="4"/>
      <c r="AF2976" s="4"/>
      <c r="AG2976" s="4"/>
      <c r="AH2976" s="4"/>
      <c r="AI2976" s="4"/>
      <c r="AJ2976" s="13" t="n">
        <v>0</v>
      </c>
      <c r="AK2976" s="4"/>
      <c r="AL2976" s="4"/>
      <c r="AM2976" s="4"/>
    </row>
    <row r="2977" customFormat="false" ht="23.85" hidden="false" customHeight="false" outlineLevel="0" collapsed="false">
      <c r="A2977" s="4" t="s">
        <v>3338</v>
      </c>
      <c r="B2977" s="4" t="s">
        <v>3959</v>
      </c>
      <c r="C2977" s="4" t="s">
        <v>3959</v>
      </c>
      <c r="D2977" s="12" t="n">
        <v>2018</v>
      </c>
      <c r="E2977" s="4"/>
      <c r="F2977" s="4" t="s">
        <v>1990</v>
      </c>
      <c r="G2977" s="4" t="s">
        <v>170</v>
      </c>
      <c r="H2977" s="4" t="s">
        <v>171</v>
      </c>
      <c r="I2977" s="4" t="s">
        <v>172</v>
      </c>
      <c r="J2977" s="4" t="s">
        <v>344</v>
      </c>
      <c r="K2977" s="4" t="s">
        <v>99</v>
      </c>
      <c r="L2977" s="4"/>
      <c r="M2977" s="4"/>
      <c r="N2977" s="4" t="s">
        <v>2001</v>
      </c>
      <c r="O2977" s="4" t="s">
        <v>2160</v>
      </c>
      <c r="P2977" s="4" t="s">
        <v>64</v>
      </c>
      <c r="Q2977" s="4" t="s">
        <v>2151</v>
      </c>
      <c r="R2977" s="4"/>
      <c r="S2977" s="4"/>
      <c r="T2977" s="4"/>
      <c r="U2977" s="4"/>
      <c r="V2977" s="4"/>
      <c r="W2977" s="4"/>
      <c r="X2977" s="4"/>
      <c r="Y2977" s="4"/>
      <c r="Z2977" s="4"/>
      <c r="AA2977" s="4"/>
      <c r="AB2977" s="4"/>
      <c r="AC2977" s="4"/>
      <c r="AD2977" s="4"/>
      <c r="AE2977" s="4"/>
      <c r="AF2977" s="4"/>
      <c r="AG2977" s="4"/>
      <c r="AH2977" s="4"/>
      <c r="AI2977" s="4"/>
      <c r="AJ2977" s="13" t="n">
        <v>0</v>
      </c>
      <c r="AK2977" s="4"/>
      <c r="AL2977" s="4"/>
      <c r="AM2977" s="4"/>
    </row>
    <row r="2978" customFormat="false" ht="23.85" hidden="false" customHeight="false" outlineLevel="0" collapsed="false">
      <c r="A2978" s="4" t="s">
        <v>3338</v>
      </c>
      <c r="B2978" s="4" t="s">
        <v>3960</v>
      </c>
      <c r="C2978" s="4" t="s">
        <v>3960</v>
      </c>
      <c r="D2978" s="12" t="n">
        <v>2018</v>
      </c>
      <c r="E2978" s="4"/>
      <c r="F2978" s="4" t="s">
        <v>1990</v>
      </c>
      <c r="G2978" s="4" t="s">
        <v>170</v>
      </c>
      <c r="H2978" s="4" t="s">
        <v>171</v>
      </c>
      <c r="I2978" s="4" t="s">
        <v>172</v>
      </c>
      <c r="J2978" s="4" t="s">
        <v>346</v>
      </c>
      <c r="K2978" s="4" t="s">
        <v>101</v>
      </c>
      <c r="L2978" s="4"/>
      <c r="M2978" s="4"/>
      <c r="N2978" s="4" t="s">
        <v>1994</v>
      </c>
      <c r="O2978" s="4" t="s">
        <v>2029</v>
      </c>
      <c r="P2978" s="4" t="s">
        <v>69</v>
      </c>
      <c r="Q2978" s="4" t="s">
        <v>2030</v>
      </c>
      <c r="R2978" s="4"/>
      <c r="S2978" s="4"/>
      <c r="T2978" s="4"/>
      <c r="U2978" s="4"/>
      <c r="V2978" s="4"/>
      <c r="W2978" s="4"/>
      <c r="X2978" s="4"/>
      <c r="Y2978" s="4"/>
      <c r="Z2978" s="4"/>
      <c r="AA2978" s="4"/>
      <c r="AB2978" s="4"/>
      <c r="AC2978" s="4"/>
      <c r="AD2978" s="4"/>
      <c r="AE2978" s="4"/>
      <c r="AF2978" s="4"/>
      <c r="AG2978" s="4"/>
      <c r="AH2978" s="4"/>
      <c r="AI2978" s="4"/>
      <c r="AJ2978" s="13" t="n">
        <v>0</v>
      </c>
      <c r="AK2978" s="4"/>
      <c r="AL2978" s="4"/>
      <c r="AM2978" s="4"/>
    </row>
    <row r="2979" customFormat="false" ht="23.85" hidden="false" customHeight="false" outlineLevel="0" collapsed="false">
      <c r="A2979" s="4" t="s">
        <v>3338</v>
      </c>
      <c r="B2979" s="4" t="s">
        <v>3961</v>
      </c>
      <c r="C2979" s="4" t="s">
        <v>3961</v>
      </c>
      <c r="D2979" s="12" t="n">
        <v>2018</v>
      </c>
      <c r="E2979" s="4"/>
      <c r="F2979" s="4" t="s">
        <v>1990</v>
      </c>
      <c r="G2979" s="4" t="s">
        <v>170</v>
      </c>
      <c r="H2979" s="4" t="s">
        <v>171</v>
      </c>
      <c r="I2979" s="4" t="s">
        <v>172</v>
      </c>
      <c r="J2979" s="4" t="s">
        <v>347</v>
      </c>
      <c r="K2979" s="4" t="s">
        <v>101</v>
      </c>
      <c r="L2979" s="4"/>
      <c r="M2979" s="4"/>
      <c r="N2979" s="4" t="s">
        <v>2001</v>
      </c>
      <c r="O2979" s="4" t="s">
        <v>2091</v>
      </c>
      <c r="P2979" s="4" t="s">
        <v>69</v>
      </c>
      <c r="Q2979" s="4" t="s">
        <v>2030</v>
      </c>
      <c r="R2979" s="4"/>
      <c r="S2979" s="4"/>
      <c r="T2979" s="4"/>
      <c r="U2979" s="4"/>
      <c r="V2979" s="4"/>
      <c r="W2979" s="4"/>
      <c r="X2979" s="4"/>
      <c r="Y2979" s="4"/>
      <c r="Z2979" s="4"/>
      <c r="AA2979" s="4"/>
      <c r="AB2979" s="4"/>
      <c r="AC2979" s="4"/>
      <c r="AD2979" s="4"/>
      <c r="AE2979" s="4"/>
      <c r="AF2979" s="4"/>
      <c r="AG2979" s="4"/>
      <c r="AH2979" s="4"/>
      <c r="AI2979" s="4"/>
      <c r="AJ2979" s="13" t="n">
        <v>0</v>
      </c>
      <c r="AK2979" s="4"/>
      <c r="AL2979" s="4"/>
      <c r="AM2979" s="4"/>
    </row>
    <row r="2980" customFormat="false" ht="23.85" hidden="false" customHeight="false" outlineLevel="0" collapsed="false">
      <c r="A2980" s="4" t="s">
        <v>3338</v>
      </c>
      <c r="B2980" s="4" t="s">
        <v>3962</v>
      </c>
      <c r="C2980" s="4" t="s">
        <v>3962</v>
      </c>
      <c r="D2980" s="12" t="n">
        <v>2018</v>
      </c>
      <c r="E2980" s="4"/>
      <c r="F2980" s="4" t="s">
        <v>1990</v>
      </c>
      <c r="G2980" s="4" t="s">
        <v>170</v>
      </c>
      <c r="H2980" s="4" t="s">
        <v>171</v>
      </c>
      <c r="I2980" s="4" t="s">
        <v>172</v>
      </c>
      <c r="J2980" s="4" t="s">
        <v>348</v>
      </c>
      <c r="K2980" s="4" t="s">
        <v>101</v>
      </c>
      <c r="L2980" s="4"/>
      <c r="M2980" s="4"/>
      <c r="N2980" s="4" t="s">
        <v>2001</v>
      </c>
      <c r="O2980" s="4" t="s">
        <v>2034</v>
      </c>
      <c r="P2980" s="4" t="s">
        <v>74</v>
      </c>
      <c r="Q2980" s="4" t="s">
        <v>2035</v>
      </c>
      <c r="R2980" s="4"/>
      <c r="S2980" s="4"/>
      <c r="T2980" s="4"/>
      <c r="U2980" s="4"/>
      <c r="V2980" s="4"/>
      <c r="W2980" s="4"/>
      <c r="X2980" s="4"/>
      <c r="Y2980" s="4"/>
      <c r="Z2980" s="4"/>
      <c r="AA2980" s="4"/>
      <c r="AB2980" s="4"/>
      <c r="AC2980" s="4"/>
      <c r="AD2980" s="4"/>
      <c r="AE2980" s="4"/>
      <c r="AF2980" s="4"/>
      <c r="AG2980" s="4"/>
      <c r="AH2980" s="4"/>
      <c r="AI2980" s="4"/>
      <c r="AJ2980" s="13" t="n">
        <v>0</v>
      </c>
      <c r="AK2980" s="4"/>
      <c r="AL2980" s="4"/>
      <c r="AM2980" s="4"/>
    </row>
    <row r="2981" customFormat="false" ht="23.85" hidden="false" customHeight="false" outlineLevel="0" collapsed="false">
      <c r="A2981" s="4" t="s">
        <v>3338</v>
      </c>
      <c r="B2981" s="4" t="s">
        <v>3963</v>
      </c>
      <c r="C2981" s="4" t="s">
        <v>3963</v>
      </c>
      <c r="D2981" s="12" t="n">
        <v>2018</v>
      </c>
      <c r="E2981" s="4"/>
      <c r="F2981" s="4" t="s">
        <v>1990</v>
      </c>
      <c r="G2981" s="4" t="s">
        <v>170</v>
      </c>
      <c r="H2981" s="4" t="s">
        <v>171</v>
      </c>
      <c r="I2981" s="4" t="s">
        <v>172</v>
      </c>
      <c r="J2981" s="4" t="s">
        <v>350</v>
      </c>
      <c r="K2981" s="4" t="s">
        <v>101</v>
      </c>
      <c r="L2981" s="4"/>
      <c r="M2981" s="4"/>
      <c r="N2981" s="4" t="s">
        <v>2001</v>
      </c>
      <c r="O2981" s="4" t="s">
        <v>2002</v>
      </c>
      <c r="P2981" s="4" t="s">
        <v>67</v>
      </c>
      <c r="Q2981" s="4" t="s">
        <v>2003</v>
      </c>
      <c r="R2981" s="4"/>
      <c r="S2981" s="4"/>
      <c r="T2981" s="4"/>
      <c r="U2981" s="4"/>
      <c r="V2981" s="4"/>
      <c r="W2981" s="4" t="s">
        <v>3341</v>
      </c>
      <c r="X2981" s="4" t="s">
        <v>3342</v>
      </c>
      <c r="Y2981" s="4" t="inlineStr">
        <is>
          <t>COMB_FOIL</t>
        </is>
      </c>
      <c r="Z2981" s="4"/>
      <c r="AA2981" s="4"/>
      <c r="AB2981" s="4"/>
      <c r="AC2981" s="4" t="s">
        <v>3352</v>
      </c>
      <c r="AD2981" s="4"/>
      <c r="AE2981" s="4"/>
      <c r="AF2981" s="4"/>
      <c r="AG2981" s="4"/>
      <c r="AH2981" s="4"/>
      <c r="AI2981" s="4"/>
      <c r="AJ2981" s="13" t="n">
        <v>1</v>
      </c>
      <c r="AK2981" s="4"/>
      <c r="AL2981" s="4"/>
      <c r="AM2981" s="4"/>
    </row>
    <row r="2982" customFormat="false" ht="23.85" hidden="false" customHeight="false" outlineLevel="0" collapsed="false">
      <c r="A2982" s="4" t="s">
        <v>3338</v>
      </c>
      <c r="B2982" s="4" t="s">
        <v>3964</v>
      </c>
      <c r="C2982" s="4" t="s">
        <v>3964</v>
      </c>
      <c r="D2982" s="12" t="n">
        <v>2018</v>
      </c>
      <c r="E2982" s="4"/>
      <c r="F2982" s="4" t="s">
        <v>1990</v>
      </c>
      <c r="G2982" s="4" t="s">
        <v>170</v>
      </c>
      <c r="H2982" s="4" t="s">
        <v>171</v>
      </c>
      <c r="I2982" s="4" t="s">
        <v>172</v>
      </c>
      <c r="J2982" s="4" t="s">
        <v>356</v>
      </c>
      <c r="K2982" s="4" t="s">
        <v>101</v>
      </c>
      <c r="L2982" s="4"/>
      <c r="M2982" s="4"/>
      <c r="N2982" s="4" t="s">
        <v>2001</v>
      </c>
      <c r="O2982" s="4" t="s">
        <v>2002</v>
      </c>
      <c r="P2982" s="4" t="s">
        <v>68</v>
      </c>
      <c r="Q2982" s="4" t="s">
        <v>2111</v>
      </c>
      <c r="R2982" s="4"/>
      <c r="S2982" s="4"/>
      <c r="T2982" s="4"/>
      <c r="U2982" s="4"/>
      <c r="V2982" s="4"/>
      <c r="W2982" s="4" t="s">
        <v>3404</v>
      </c>
      <c r="X2982" s="4" t="s">
        <v>3405</v>
      </c>
      <c r="Y2982" s="4" t="inlineStr">
        <is>
          <t>COMB_FOIL</t>
        </is>
      </c>
      <c r="Z2982" s="4"/>
      <c r="AA2982" s="4"/>
      <c r="AB2982" s="4"/>
      <c r="AC2982" s="4" t="s">
        <v>3352</v>
      </c>
      <c r="AD2982" s="4"/>
      <c r="AE2982" s="4"/>
      <c r="AF2982" s="4"/>
      <c r="AG2982" s="4"/>
      <c r="AH2982" s="4"/>
      <c r="AI2982" s="4"/>
      <c r="AJ2982" s="13" t="n">
        <v>1</v>
      </c>
      <c r="AK2982" s="4"/>
      <c r="AL2982" s="4"/>
      <c r="AM2982" s="4"/>
    </row>
    <row r="2983" customFormat="false" ht="23.85" hidden="false" customHeight="false" outlineLevel="0" collapsed="false">
      <c r="A2983" s="4" t="s">
        <v>3338</v>
      </c>
      <c r="B2983" s="4" t="s">
        <v>3965</v>
      </c>
      <c r="C2983" s="4" t="s">
        <v>3965</v>
      </c>
      <c r="D2983" s="12" t="n">
        <v>2018</v>
      </c>
      <c r="E2983" s="4"/>
      <c r="F2983" s="4" t="s">
        <v>1990</v>
      </c>
      <c r="G2983" s="4" t="s">
        <v>170</v>
      </c>
      <c r="H2983" s="4" t="s">
        <v>171</v>
      </c>
      <c r="I2983" s="4" t="s">
        <v>172</v>
      </c>
      <c r="J2983" s="4" t="s">
        <v>360</v>
      </c>
      <c r="K2983" s="4" t="s">
        <v>103</v>
      </c>
      <c r="L2983" s="4"/>
      <c r="M2983" s="4"/>
      <c r="N2983" s="4" t="s">
        <v>1994</v>
      </c>
      <c r="O2983" s="4" t="s">
        <v>2029</v>
      </c>
      <c r="P2983" s="4" t="s">
        <v>69</v>
      </c>
      <c r="Q2983" s="4" t="s">
        <v>2030</v>
      </c>
      <c r="R2983" s="4"/>
      <c r="S2983" s="4"/>
      <c r="T2983" s="4"/>
      <c r="U2983" s="4"/>
      <c r="V2983" s="4"/>
      <c r="W2983" s="4"/>
      <c r="X2983" s="4"/>
      <c r="Y2983" s="4"/>
      <c r="Z2983" s="4"/>
      <c r="AA2983" s="4"/>
      <c r="AB2983" s="4"/>
      <c r="AC2983" s="4"/>
      <c r="AD2983" s="4"/>
      <c r="AE2983" s="4"/>
      <c r="AF2983" s="4"/>
      <c r="AG2983" s="4"/>
      <c r="AH2983" s="4"/>
      <c r="AI2983" s="4"/>
      <c r="AJ2983" s="13" t="n">
        <v>0</v>
      </c>
      <c r="AK2983" s="4"/>
      <c r="AL2983" s="4"/>
      <c r="AM2983" s="4"/>
    </row>
    <row r="2984" customFormat="false" ht="23.85" hidden="false" customHeight="false" outlineLevel="0" collapsed="false">
      <c r="A2984" s="4" t="s">
        <v>3338</v>
      </c>
      <c r="B2984" s="4" t="s">
        <v>3966</v>
      </c>
      <c r="C2984" s="4" t="s">
        <v>3966</v>
      </c>
      <c r="D2984" s="12" t="n">
        <v>2018</v>
      </c>
      <c r="E2984" s="4"/>
      <c r="F2984" s="4" t="s">
        <v>1990</v>
      </c>
      <c r="G2984" s="4" t="s">
        <v>170</v>
      </c>
      <c r="H2984" s="4" t="s">
        <v>171</v>
      </c>
      <c r="I2984" s="4" t="s">
        <v>172</v>
      </c>
      <c r="J2984" s="4" t="s">
        <v>361</v>
      </c>
      <c r="K2984" s="4" t="s">
        <v>103</v>
      </c>
      <c r="L2984" s="4"/>
      <c r="M2984" s="4"/>
      <c r="N2984" s="4" t="s">
        <v>2001</v>
      </c>
      <c r="O2984" s="4" t="s">
        <v>2091</v>
      </c>
      <c r="P2984" s="4" t="s">
        <v>69</v>
      </c>
      <c r="Q2984" s="4" t="s">
        <v>2030</v>
      </c>
      <c r="R2984" s="4"/>
      <c r="S2984" s="4"/>
      <c r="T2984" s="4"/>
      <c r="U2984" s="4"/>
      <c r="V2984" s="4"/>
      <c r="W2984" s="4"/>
      <c r="X2984" s="4"/>
      <c r="Y2984" s="4"/>
      <c r="Z2984" s="4"/>
      <c r="AA2984" s="4"/>
      <c r="AB2984" s="4"/>
      <c r="AC2984" s="4"/>
      <c r="AD2984" s="4"/>
      <c r="AE2984" s="4"/>
      <c r="AF2984" s="4"/>
      <c r="AG2984" s="4"/>
      <c r="AH2984" s="4"/>
      <c r="AI2984" s="4"/>
      <c r="AJ2984" s="13" t="n">
        <v>0</v>
      </c>
      <c r="AK2984" s="4"/>
      <c r="AL2984" s="4"/>
      <c r="AM2984" s="4"/>
    </row>
    <row r="2985" customFormat="false" ht="23.85" hidden="false" customHeight="false" outlineLevel="0" collapsed="false">
      <c r="A2985" s="4" t="s">
        <v>3338</v>
      </c>
      <c r="B2985" s="4" t="s">
        <v>3967</v>
      </c>
      <c r="C2985" s="4" t="s">
        <v>3967</v>
      </c>
      <c r="D2985" s="12" t="n">
        <v>2018</v>
      </c>
      <c r="E2985" s="4"/>
      <c r="F2985" s="4" t="s">
        <v>1990</v>
      </c>
      <c r="G2985" s="4" t="s">
        <v>170</v>
      </c>
      <c r="H2985" s="4" t="s">
        <v>171</v>
      </c>
      <c r="I2985" s="4" t="s">
        <v>172</v>
      </c>
      <c r="J2985" s="4" t="s">
        <v>362</v>
      </c>
      <c r="K2985" s="4" t="s">
        <v>103</v>
      </c>
      <c r="L2985" s="4"/>
      <c r="M2985" s="4"/>
      <c r="N2985" s="4" t="s">
        <v>2001</v>
      </c>
      <c r="O2985" s="4" t="s">
        <v>2034</v>
      </c>
      <c r="P2985" s="4" t="s">
        <v>74</v>
      </c>
      <c r="Q2985" s="4" t="s">
        <v>2035</v>
      </c>
      <c r="R2985" s="4"/>
      <c r="S2985" s="4"/>
      <c r="T2985" s="4"/>
      <c r="U2985" s="4"/>
      <c r="V2985" s="4"/>
      <c r="W2985" s="4"/>
      <c r="X2985" s="4"/>
      <c r="Y2985" s="4"/>
      <c r="Z2985" s="4"/>
      <c r="AA2985" s="4"/>
      <c r="AB2985" s="4"/>
      <c r="AC2985" s="4"/>
      <c r="AD2985" s="4"/>
      <c r="AE2985" s="4"/>
      <c r="AF2985" s="4"/>
      <c r="AG2985" s="4"/>
      <c r="AH2985" s="4"/>
      <c r="AI2985" s="4"/>
      <c r="AJ2985" s="13" t="n">
        <v>0</v>
      </c>
      <c r="AK2985" s="4"/>
      <c r="AL2985" s="4"/>
      <c r="AM2985" s="4"/>
    </row>
    <row r="2986" customFormat="false" ht="23.85" hidden="false" customHeight="false" outlineLevel="0" collapsed="false">
      <c r="A2986" s="4" t="s">
        <v>3338</v>
      </c>
      <c r="B2986" s="4" t="s">
        <v>3968</v>
      </c>
      <c r="C2986" s="4" t="s">
        <v>3968</v>
      </c>
      <c r="D2986" s="12" t="n">
        <v>2018</v>
      </c>
      <c r="E2986" s="4"/>
      <c r="F2986" s="4" t="s">
        <v>1990</v>
      </c>
      <c r="G2986" s="4" t="s">
        <v>170</v>
      </c>
      <c r="H2986" s="4" t="s">
        <v>171</v>
      </c>
      <c r="I2986" s="4" t="s">
        <v>172</v>
      </c>
      <c r="J2986" s="4" t="s">
        <v>367</v>
      </c>
      <c r="K2986" s="4" t="s">
        <v>103</v>
      </c>
      <c r="L2986" s="4"/>
      <c r="M2986" s="4"/>
      <c r="N2986" s="4" t="s">
        <v>2001</v>
      </c>
      <c r="O2986" s="4" t="s">
        <v>2002</v>
      </c>
      <c r="P2986" s="4" t="s">
        <v>71</v>
      </c>
      <c r="Q2986" s="4" t="s">
        <v>2123</v>
      </c>
      <c r="R2986" s="4"/>
      <c r="S2986" s="4"/>
      <c r="T2986" s="4"/>
      <c r="U2986" s="4"/>
      <c r="V2986" s="4"/>
      <c r="W2986" s="4" t="s">
        <v>3412</v>
      </c>
      <c r="X2986" s="4" t="s">
        <v>3413</v>
      </c>
      <c r="Y2986" s="4" t="inlineStr">
        <is>
          <t>COMB_GAS</t>
        </is>
      </c>
      <c r="Z2986" s="4"/>
      <c r="AA2986" s="4"/>
      <c r="AB2986" s="4"/>
      <c r="AC2986" s="4" t="s">
        <v>3352</v>
      </c>
      <c r="AD2986" s="4"/>
      <c r="AE2986" s="4"/>
      <c r="AF2986" s="4"/>
      <c r="AG2986" s="4"/>
      <c r="AH2986" s="4"/>
      <c r="AI2986" s="4"/>
      <c r="AJ2986" s="13" t="n">
        <v>1</v>
      </c>
      <c r="AK2986" s="4"/>
      <c r="AL2986" s="4"/>
      <c r="AM2986" s="4"/>
    </row>
    <row r="2987" customFormat="false" ht="23.85" hidden="false" customHeight="false" outlineLevel="0" collapsed="false">
      <c r="A2987" s="4" t="s">
        <v>3338</v>
      </c>
      <c r="B2987" s="4" t="s">
        <v>3969</v>
      </c>
      <c r="C2987" s="4" t="s">
        <v>3969</v>
      </c>
      <c r="D2987" s="12" t="n">
        <v>2018</v>
      </c>
      <c r="E2987" s="4"/>
      <c r="F2987" s="4" t="s">
        <v>1990</v>
      </c>
      <c r="G2987" s="4" t="s">
        <v>170</v>
      </c>
      <c r="H2987" s="4" t="s">
        <v>171</v>
      </c>
      <c r="I2987" s="4" t="s">
        <v>172</v>
      </c>
      <c r="J2987" s="4" t="s">
        <v>369</v>
      </c>
      <c r="K2987" s="4" t="s">
        <v>103</v>
      </c>
      <c r="L2987" s="4"/>
      <c r="M2987" s="4"/>
      <c r="N2987" s="4" t="s">
        <v>2001</v>
      </c>
      <c r="O2987" s="4" t="s">
        <v>2002</v>
      </c>
      <c r="P2987" s="4" t="s">
        <v>72</v>
      </c>
      <c r="Q2987" s="4" t="s">
        <v>2079</v>
      </c>
      <c r="R2987" s="4"/>
      <c r="S2987" s="4"/>
      <c r="T2987" s="4"/>
      <c r="U2987" s="4"/>
      <c r="V2987" s="4"/>
      <c r="W2987" s="4" t="s">
        <v>3383</v>
      </c>
      <c r="X2987" s="4" t="s">
        <v>3384</v>
      </c>
      <c r="Y2987" s="4" t="inlineStr">
        <is>
          <t>COMB_GAS</t>
        </is>
      </c>
      <c r="Z2987" s="4"/>
      <c r="AA2987" s="4"/>
      <c r="AB2987" s="4"/>
      <c r="AC2987" s="4" t="s">
        <v>3352</v>
      </c>
      <c r="AD2987" s="4"/>
      <c r="AE2987" s="4"/>
      <c r="AF2987" s="4"/>
      <c r="AG2987" s="4"/>
      <c r="AH2987" s="4"/>
      <c r="AI2987" s="4"/>
      <c r="AJ2987" s="13" t="n">
        <v>1</v>
      </c>
      <c r="AK2987" s="4"/>
      <c r="AL2987" s="4"/>
      <c r="AM2987" s="4"/>
    </row>
    <row r="2988" customFormat="false" ht="23.85" hidden="false" customHeight="false" outlineLevel="0" collapsed="false">
      <c r="A2988" s="4" t="s">
        <v>3338</v>
      </c>
      <c r="B2988" s="4" t="s">
        <v>3970</v>
      </c>
      <c r="C2988" s="4" t="s">
        <v>3970</v>
      </c>
      <c r="D2988" s="12" t="n">
        <v>2018</v>
      </c>
      <c r="E2988" s="4"/>
      <c r="F2988" s="4" t="s">
        <v>1990</v>
      </c>
      <c r="G2988" s="4" t="s">
        <v>170</v>
      </c>
      <c r="H2988" s="4" t="s">
        <v>171</v>
      </c>
      <c r="I2988" s="4" t="s">
        <v>172</v>
      </c>
      <c r="J2988" s="4" t="s">
        <v>370</v>
      </c>
      <c r="K2988" s="4" t="s">
        <v>103</v>
      </c>
      <c r="L2988" s="4"/>
      <c r="M2988" s="4"/>
      <c r="N2988" s="4" t="s">
        <v>2001</v>
      </c>
      <c r="O2988" s="4" t="s">
        <v>2002</v>
      </c>
      <c r="P2988" s="4" t="s">
        <v>68</v>
      </c>
      <c r="Q2988" s="4" t="s">
        <v>2111</v>
      </c>
      <c r="R2988" s="4"/>
      <c r="S2988" s="4"/>
      <c r="T2988" s="4"/>
      <c r="U2988" s="4"/>
      <c r="V2988" s="4"/>
      <c r="W2988" s="4" t="s">
        <v>3404</v>
      </c>
      <c r="X2988" s="4" t="s">
        <v>3405</v>
      </c>
      <c r="Y2988" s="4" t="inlineStr">
        <is>
          <t>COMB_GAS</t>
        </is>
      </c>
      <c r="Z2988" s="4"/>
      <c r="AA2988" s="4"/>
      <c r="AB2988" s="4"/>
      <c r="AC2988" s="4" t="s">
        <v>3352</v>
      </c>
      <c r="AD2988" s="4"/>
      <c r="AE2988" s="4"/>
      <c r="AF2988" s="4"/>
      <c r="AG2988" s="4"/>
      <c r="AH2988" s="4"/>
      <c r="AI2988" s="4"/>
      <c r="AJ2988" s="13" t="n">
        <v>1</v>
      </c>
      <c r="AK2988" s="4"/>
      <c r="AL2988" s="4"/>
      <c r="AM2988" s="4"/>
    </row>
    <row r="2989" customFormat="false" ht="23.85" hidden="false" customHeight="false" outlineLevel="0" collapsed="false">
      <c r="A2989" s="4" t="s">
        <v>3338</v>
      </c>
      <c r="B2989" s="4" t="s">
        <v>3971</v>
      </c>
      <c r="C2989" s="4" t="s">
        <v>3971</v>
      </c>
      <c r="D2989" s="12" t="n">
        <v>2018</v>
      </c>
      <c r="E2989" s="4"/>
      <c r="F2989" s="4" t="s">
        <v>1990</v>
      </c>
      <c r="G2989" s="4" t="s">
        <v>170</v>
      </c>
      <c r="H2989" s="4" t="s">
        <v>171</v>
      </c>
      <c r="I2989" s="4" t="s">
        <v>172</v>
      </c>
      <c r="J2989" s="4" t="s">
        <v>374</v>
      </c>
      <c r="K2989" s="4" t="s">
        <v>105</v>
      </c>
      <c r="L2989" s="4"/>
      <c r="M2989" s="4"/>
      <c r="N2989" s="4" t="s">
        <v>1994</v>
      </c>
      <c r="O2989" s="4" t="s">
        <v>2029</v>
      </c>
      <c r="P2989" s="4" t="s">
        <v>69</v>
      </c>
      <c r="Q2989" s="4" t="s">
        <v>2030</v>
      </c>
      <c r="R2989" s="4"/>
      <c r="S2989" s="4"/>
      <c r="T2989" s="4"/>
      <c r="U2989" s="4"/>
      <c r="V2989" s="4"/>
      <c r="W2989" s="4"/>
      <c r="X2989" s="4"/>
      <c r="Y2989" s="4"/>
      <c r="Z2989" s="4"/>
      <c r="AA2989" s="4"/>
      <c r="AB2989" s="4"/>
      <c r="AC2989" s="4"/>
      <c r="AD2989" s="4"/>
      <c r="AE2989" s="4"/>
      <c r="AF2989" s="4"/>
      <c r="AG2989" s="4"/>
      <c r="AH2989" s="4"/>
      <c r="AI2989" s="4"/>
      <c r="AJ2989" s="13" t="n">
        <v>0</v>
      </c>
      <c r="AK2989" s="4"/>
      <c r="AL2989" s="4"/>
      <c r="AM2989" s="4"/>
    </row>
    <row r="2990" customFormat="false" ht="23.85" hidden="false" customHeight="false" outlineLevel="0" collapsed="false">
      <c r="A2990" s="4" t="s">
        <v>3338</v>
      </c>
      <c r="B2990" s="4" t="s">
        <v>3972</v>
      </c>
      <c r="C2990" s="4" t="s">
        <v>3972</v>
      </c>
      <c r="D2990" s="12" t="n">
        <v>2018</v>
      </c>
      <c r="E2990" s="4"/>
      <c r="F2990" s="4" t="s">
        <v>1990</v>
      </c>
      <c r="G2990" s="4" t="s">
        <v>170</v>
      </c>
      <c r="H2990" s="4" t="s">
        <v>171</v>
      </c>
      <c r="I2990" s="4" t="s">
        <v>172</v>
      </c>
      <c r="J2990" s="4" t="s">
        <v>375</v>
      </c>
      <c r="K2990" s="4" t="s">
        <v>105</v>
      </c>
      <c r="L2990" s="4"/>
      <c r="M2990" s="4"/>
      <c r="N2990" s="4" t="s">
        <v>2001</v>
      </c>
      <c r="O2990" s="4" t="s">
        <v>2091</v>
      </c>
      <c r="P2990" s="4" t="s">
        <v>69</v>
      </c>
      <c r="Q2990" s="4" t="s">
        <v>2030</v>
      </c>
      <c r="R2990" s="4"/>
      <c r="S2990" s="4"/>
      <c r="T2990" s="4"/>
      <c r="U2990" s="4"/>
      <c r="V2990" s="4"/>
      <c r="W2990" s="4"/>
      <c r="X2990" s="4"/>
      <c r="Y2990" s="4"/>
      <c r="Z2990" s="4"/>
      <c r="AA2990" s="4"/>
      <c r="AB2990" s="4"/>
      <c r="AC2990" s="4"/>
      <c r="AD2990" s="4"/>
      <c r="AE2990" s="4"/>
      <c r="AF2990" s="4"/>
      <c r="AG2990" s="4"/>
      <c r="AH2990" s="4"/>
      <c r="AI2990" s="4"/>
      <c r="AJ2990" s="13" t="n">
        <v>0</v>
      </c>
      <c r="AK2990" s="4"/>
      <c r="AL2990" s="4"/>
      <c r="AM2990" s="4"/>
    </row>
    <row r="2991" customFormat="false" ht="23.85" hidden="false" customHeight="false" outlineLevel="0" collapsed="false">
      <c r="A2991" s="4" t="s">
        <v>3338</v>
      </c>
      <c r="B2991" s="4" t="s">
        <v>3973</v>
      </c>
      <c r="C2991" s="4" t="s">
        <v>3973</v>
      </c>
      <c r="D2991" s="12" t="n">
        <v>2018</v>
      </c>
      <c r="E2991" s="4"/>
      <c r="F2991" s="4" t="s">
        <v>1990</v>
      </c>
      <c r="G2991" s="4" t="s">
        <v>170</v>
      </c>
      <c r="H2991" s="4" t="s">
        <v>171</v>
      </c>
      <c r="I2991" s="4" t="s">
        <v>172</v>
      </c>
      <c r="J2991" s="4" t="s">
        <v>376</v>
      </c>
      <c r="K2991" s="4" t="s">
        <v>105</v>
      </c>
      <c r="L2991" s="4"/>
      <c r="M2991" s="4"/>
      <c r="N2991" s="4" t="s">
        <v>2001</v>
      </c>
      <c r="O2991" s="4" t="s">
        <v>2034</v>
      </c>
      <c r="P2991" s="4" t="s">
        <v>74</v>
      </c>
      <c r="Q2991" s="4" t="s">
        <v>2035</v>
      </c>
      <c r="R2991" s="4"/>
      <c r="S2991" s="4"/>
      <c r="T2991" s="4"/>
      <c r="U2991" s="4"/>
      <c r="V2991" s="4"/>
      <c r="W2991" s="4"/>
      <c r="X2991" s="4"/>
      <c r="Y2991" s="4"/>
      <c r="Z2991" s="4"/>
      <c r="AA2991" s="4"/>
      <c r="AB2991" s="4"/>
      <c r="AC2991" s="4"/>
      <c r="AD2991" s="4"/>
      <c r="AE2991" s="4"/>
      <c r="AF2991" s="4"/>
      <c r="AG2991" s="4"/>
      <c r="AH2991" s="4"/>
      <c r="AI2991" s="4"/>
      <c r="AJ2991" s="13" t="n">
        <v>0</v>
      </c>
      <c r="AK2991" s="4"/>
      <c r="AL2991" s="4"/>
      <c r="AM2991" s="4"/>
    </row>
    <row r="2992" customFormat="false" ht="23.85" hidden="false" customHeight="false" outlineLevel="0" collapsed="false">
      <c r="A2992" s="4" t="s">
        <v>3338</v>
      </c>
      <c r="B2992" s="4" t="s">
        <v>3974</v>
      </c>
      <c r="C2992" s="4" t="s">
        <v>3974</v>
      </c>
      <c r="D2992" s="12" t="n">
        <v>2018</v>
      </c>
      <c r="E2992" s="4"/>
      <c r="F2992" s="4" t="s">
        <v>1990</v>
      </c>
      <c r="G2992" s="4" t="s">
        <v>170</v>
      </c>
      <c r="H2992" s="4" t="s">
        <v>171</v>
      </c>
      <c r="I2992" s="4" t="s">
        <v>172</v>
      </c>
      <c r="J2992" s="4" t="s">
        <v>381</v>
      </c>
      <c r="K2992" s="4" t="s">
        <v>105</v>
      </c>
      <c r="L2992" s="4"/>
      <c r="M2992" s="4"/>
      <c r="N2992" s="4" t="s">
        <v>2001</v>
      </c>
      <c r="O2992" s="4" t="s">
        <v>2002</v>
      </c>
      <c r="P2992" s="4" t="s">
        <v>71</v>
      </c>
      <c r="Q2992" s="4" t="s">
        <v>2123</v>
      </c>
      <c r="R2992" s="4"/>
      <c r="S2992" s="4"/>
      <c r="T2992" s="4"/>
      <c r="U2992" s="4"/>
      <c r="V2992" s="4"/>
      <c r="W2992" s="4" t="s">
        <v>3412</v>
      </c>
      <c r="X2992" s="4" t="s">
        <v>3413</v>
      </c>
      <c r="Y2992" s="4" t="inlineStr">
        <is>
          <t>COMB_GLP</t>
        </is>
      </c>
      <c r="Z2992" s="4"/>
      <c r="AA2992" s="4"/>
      <c r="AB2992" s="4"/>
      <c r="AC2992" s="4" t="s">
        <v>3352</v>
      </c>
      <c r="AD2992" s="4"/>
      <c r="AE2992" s="4"/>
      <c r="AF2992" s="4"/>
      <c r="AG2992" s="4"/>
      <c r="AH2992" s="4"/>
      <c r="AI2992" s="4"/>
      <c r="AJ2992" s="13" t="n">
        <v>1</v>
      </c>
      <c r="AK2992" s="4"/>
      <c r="AL2992" s="4"/>
      <c r="AM2992" s="4"/>
    </row>
    <row r="2993" customFormat="false" ht="23.85" hidden="false" customHeight="false" outlineLevel="0" collapsed="false">
      <c r="A2993" s="4" t="s">
        <v>3338</v>
      </c>
      <c r="B2993" s="4" t="s">
        <v>3975</v>
      </c>
      <c r="C2993" s="4" t="s">
        <v>3975</v>
      </c>
      <c r="D2993" s="12" t="n">
        <v>2018</v>
      </c>
      <c r="E2993" s="4"/>
      <c r="F2993" s="4" t="s">
        <v>1990</v>
      </c>
      <c r="G2993" s="4" t="s">
        <v>170</v>
      </c>
      <c r="H2993" s="4" t="s">
        <v>171</v>
      </c>
      <c r="I2993" s="4" t="s">
        <v>172</v>
      </c>
      <c r="J2993" s="4" t="s">
        <v>382</v>
      </c>
      <c r="K2993" s="4" t="s">
        <v>105</v>
      </c>
      <c r="L2993" s="4"/>
      <c r="M2993" s="4"/>
      <c r="N2993" s="4" t="s">
        <v>2001</v>
      </c>
      <c r="O2993" s="4" t="s">
        <v>2074</v>
      </c>
      <c r="P2993" s="4" t="s">
        <v>73</v>
      </c>
      <c r="Q2993" s="4" t="s">
        <v>2075</v>
      </c>
      <c r="R2993" s="4"/>
      <c r="S2993" s="4"/>
      <c r="T2993" s="4"/>
      <c r="U2993" s="4"/>
      <c r="V2993" s="4"/>
      <c r="W2993" s="4" t="s">
        <v>3380</v>
      </c>
      <c r="X2993" s="4" t="s">
        <v>3381</v>
      </c>
      <c r="Y2993" s="4" t="inlineStr">
        <is>
          <t>COMB_GLP</t>
        </is>
      </c>
      <c r="Z2993" s="4"/>
      <c r="AA2993" s="4"/>
      <c r="AB2993" s="4"/>
      <c r="AC2993" s="4" t="s">
        <v>3352</v>
      </c>
      <c r="AD2993" s="4"/>
      <c r="AE2993" s="4"/>
      <c r="AF2993" s="4"/>
      <c r="AG2993" s="4"/>
      <c r="AH2993" s="4"/>
      <c r="AI2993" s="4"/>
      <c r="AJ2993" s="13" t="n">
        <v>1</v>
      </c>
      <c r="AK2993" s="4"/>
      <c r="AL2993" s="4"/>
      <c r="AM2993" s="4"/>
    </row>
    <row r="2994" customFormat="false" ht="23.85" hidden="false" customHeight="false" outlineLevel="0" collapsed="false">
      <c r="A2994" s="4" t="s">
        <v>3338</v>
      </c>
      <c r="B2994" s="4" t="s">
        <v>3976</v>
      </c>
      <c r="C2994" s="4" t="s">
        <v>3976</v>
      </c>
      <c r="D2994" s="12" t="n">
        <v>2018</v>
      </c>
      <c r="E2994" s="4"/>
      <c r="F2994" s="4" t="s">
        <v>1990</v>
      </c>
      <c r="G2994" s="4" t="s">
        <v>170</v>
      </c>
      <c r="H2994" s="4" t="s">
        <v>171</v>
      </c>
      <c r="I2994" s="4" t="s">
        <v>172</v>
      </c>
      <c r="J2994" s="4" t="s">
        <v>383</v>
      </c>
      <c r="K2994" s="4" t="s">
        <v>105</v>
      </c>
      <c r="L2994" s="4"/>
      <c r="M2994" s="4"/>
      <c r="N2994" s="4" t="s">
        <v>2001</v>
      </c>
      <c r="O2994" s="4" t="s">
        <v>2002</v>
      </c>
      <c r="P2994" s="4" t="s">
        <v>72</v>
      </c>
      <c r="Q2994" s="4" t="s">
        <v>2079</v>
      </c>
      <c r="R2994" s="4"/>
      <c r="S2994" s="4"/>
      <c r="T2994" s="4"/>
      <c r="U2994" s="4"/>
      <c r="V2994" s="4"/>
      <c r="W2994" s="4" t="s">
        <v>3383</v>
      </c>
      <c r="X2994" s="4" t="s">
        <v>3384</v>
      </c>
      <c r="Y2994" s="4" t="inlineStr">
        <is>
          <t>COMB_GLP</t>
        </is>
      </c>
      <c r="Z2994" s="4"/>
      <c r="AA2994" s="4"/>
      <c r="AB2994" s="4"/>
      <c r="AC2994" s="4" t="s">
        <v>3352</v>
      </c>
      <c r="AD2994" s="4"/>
      <c r="AE2994" s="4"/>
      <c r="AF2994" s="4"/>
      <c r="AG2994" s="4"/>
      <c r="AH2994" s="4"/>
      <c r="AI2994" s="4"/>
      <c r="AJ2994" s="13" t="n">
        <v>1</v>
      </c>
      <c r="AK2994" s="4"/>
      <c r="AL2994" s="4"/>
      <c r="AM2994" s="4"/>
    </row>
    <row r="2995" customFormat="false" ht="23.85" hidden="false" customHeight="false" outlineLevel="0" collapsed="false">
      <c r="A2995" s="4" t="s">
        <v>3338</v>
      </c>
      <c r="B2995" s="4" t="s">
        <v>3977</v>
      </c>
      <c r="C2995" s="4" t="s">
        <v>3977</v>
      </c>
      <c r="D2995" s="12" t="n">
        <v>2018</v>
      </c>
      <c r="E2995" s="4"/>
      <c r="F2995" s="4" t="s">
        <v>1990</v>
      </c>
      <c r="G2995" s="4" t="s">
        <v>170</v>
      </c>
      <c r="H2995" s="4" t="s">
        <v>171</v>
      </c>
      <c r="I2995" s="4" t="s">
        <v>172</v>
      </c>
      <c r="J2995" s="4" t="s">
        <v>384</v>
      </c>
      <c r="K2995" s="4" t="s">
        <v>105</v>
      </c>
      <c r="L2995" s="4"/>
      <c r="M2995" s="4"/>
      <c r="N2995" s="4" t="s">
        <v>2001</v>
      </c>
      <c r="O2995" s="4" t="s">
        <v>2002</v>
      </c>
      <c r="P2995" s="4" t="s">
        <v>68</v>
      </c>
      <c r="Q2995" s="4" t="s">
        <v>2111</v>
      </c>
      <c r="R2995" s="4"/>
      <c r="S2995" s="4"/>
      <c r="T2995" s="4"/>
      <c r="U2995" s="4"/>
      <c r="V2995" s="4"/>
      <c r="W2995" s="4" t="s">
        <v>3404</v>
      </c>
      <c r="X2995" s="4" t="s">
        <v>3405</v>
      </c>
      <c r="Y2995" s="4" t="inlineStr">
        <is>
          <t>COMB_GLP</t>
        </is>
      </c>
      <c r="Z2995" s="4"/>
      <c r="AA2995" s="4"/>
      <c r="AB2995" s="4"/>
      <c r="AC2995" s="4" t="s">
        <v>3352</v>
      </c>
      <c r="AD2995" s="4"/>
      <c r="AE2995" s="4"/>
      <c r="AF2995" s="4"/>
      <c r="AG2995" s="4"/>
      <c r="AH2995" s="4"/>
      <c r="AI2995" s="4"/>
      <c r="AJ2995" s="13" t="n">
        <v>1</v>
      </c>
      <c r="AK2995" s="4"/>
      <c r="AL2995" s="4"/>
      <c r="AM2995" s="4"/>
    </row>
    <row r="2996" customFormat="false" ht="23.85" hidden="false" customHeight="false" outlineLevel="0" collapsed="false">
      <c r="A2996" s="4" t="s">
        <v>3338</v>
      </c>
      <c r="B2996" s="4" t="s">
        <v>3978</v>
      </c>
      <c r="C2996" s="4" t="s">
        <v>3978</v>
      </c>
      <c r="D2996" s="12" t="n">
        <v>2018</v>
      </c>
      <c r="E2996" s="4"/>
      <c r="F2996" s="4" t="s">
        <v>1990</v>
      </c>
      <c r="G2996" s="4" t="s">
        <v>170</v>
      </c>
      <c r="H2996" s="4" t="s">
        <v>171</v>
      </c>
      <c r="I2996" s="4" t="s">
        <v>172</v>
      </c>
      <c r="J2996" s="4" t="s">
        <v>388</v>
      </c>
      <c r="K2996" s="4" t="s">
        <v>107</v>
      </c>
      <c r="L2996" s="4"/>
      <c r="M2996" s="4"/>
      <c r="N2996" s="4" t="s">
        <v>1994</v>
      </c>
      <c r="O2996" s="4" t="s">
        <v>2029</v>
      </c>
      <c r="P2996" s="4" t="s">
        <v>69</v>
      </c>
      <c r="Q2996" s="4" t="s">
        <v>2030</v>
      </c>
      <c r="R2996" s="4"/>
      <c r="S2996" s="4"/>
      <c r="T2996" s="4"/>
      <c r="U2996" s="4"/>
      <c r="V2996" s="4"/>
      <c r="W2996" s="4"/>
      <c r="X2996" s="4"/>
      <c r="Y2996" s="4"/>
      <c r="Z2996" s="4"/>
      <c r="AA2996" s="4"/>
      <c r="AB2996" s="4"/>
      <c r="AC2996" s="4"/>
      <c r="AD2996" s="4"/>
      <c r="AE2996" s="4"/>
      <c r="AF2996" s="4"/>
      <c r="AG2996" s="4"/>
      <c r="AH2996" s="4"/>
      <c r="AI2996" s="4"/>
      <c r="AJ2996" s="13" t="n">
        <v>0</v>
      </c>
      <c r="AK2996" s="4"/>
      <c r="AL2996" s="4"/>
      <c r="AM2996" s="4"/>
    </row>
    <row r="2997" customFormat="false" ht="23.85" hidden="false" customHeight="false" outlineLevel="0" collapsed="false">
      <c r="A2997" s="4" t="s">
        <v>3338</v>
      </c>
      <c r="B2997" s="4" t="s">
        <v>3979</v>
      </c>
      <c r="C2997" s="4" t="s">
        <v>3979</v>
      </c>
      <c r="D2997" s="12" t="n">
        <v>2018</v>
      </c>
      <c r="E2997" s="4"/>
      <c r="F2997" s="4" t="s">
        <v>1990</v>
      </c>
      <c r="G2997" s="4" t="s">
        <v>170</v>
      </c>
      <c r="H2997" s="4" t="s">
        <v>171</v>
      </c>
      <c r="I2997" s="4" t="s">
        <v>172</v>
      </c>
      <c r="J2997" s="4" t="s">
        <v>389</v>
      </c>
      <c r="K2997" s="4" t="s">
        <v>107</v>
      </c>
      <c r="L2997" s="4"/>
      <c r="M2997" s="4"/>
      <c r="N2997" s="4" t="s">
        <v>2001</v>
      </c>
      <c r="O2997" s="4" t="s">
        <v>2091</v>
      </c>
      <c r="P2997" s="4" t="s">
        <v>69</v>
      </c>
      <c r="Q2997" s="4" t="s">
        <v>2030</v>
      </c>
      <c r="R2997" s="4"/>
      <c r="S2997" s="4"/>
      <c r="T2997" s="4"/>
      <c r="U2997" s="4"/>
      <c r="V2997" s="4"/>
      <c r="W2997" s="4"/>
      <c r="X2997" s="4"/>
      <c r="Y2997" s="4"/>
      <c r="Z2997" s="4"/>
      <c r="AA2997" s="4"/>
      <c r="AB2997" s="4"/>
      <c r="AC2997" s="4"/>
      <c r="AD2997" s="4"/>
      <c r="AE2997" s="4"/>
      <c r="AF2997" s="4"/>
      <c r="AG2997" s="4"/>
      <c r="AH2997" s="4"/>
      <c r="AI2997" s="4"/>
      <c r="AJ2997" s="13" t="n">
        <v>0</v>
      </c>
      <c r="AK2997" s="4"/>
      <c r="AL2997" s="4"/>
      <c r="AM2997" s="4"/>
    </row>
    <row r="2998" customFormat="false" ht="23.85" hidden="false" customHeight="false" outlineLevel="0" collapsed="false">
      <c r="A2998" s="4" t="s">
        <v>3338</v>
      </c>
      <c r="B2998" s="4" t="s">
        <v>3980</v>
      </c>
      <c r="C2998" s="4" t="s">
        <v>3980</v>
      </c>
      <c r="D2998" s="12" t="n">
        <v>2018</v>
      </c>
      <c r="E2998" s="4"/>
      <c r="F2998" s="4" t="s">
        <v>1990</v>
      </c>
      <c r="G2998" s="4" t="s">
        <v>170</v>
      </c>
      <c r="H2998" s="4" t="s">
        <v>171</v>
      </c>
      <c r="I2998" s="4" t="s">
        <v>172</v>
      </c>
      <c r="J2998" s="4" t="s">
        <v>390</v>
      </c>
      <c r="K2998" s="4" t="s">
        <v>107</v>
      </c>
      <c r="L2998" s="4"/>
      <c r="M2998" s="4"/>
      <c r="N2998" s="4" t="s">
        <v>2001</v>
      </c>
      <c r="O2998" s="4" t="s">
        <v>2034</v>
      </c>
      <c r="P2998" s="4" t="s">
        <v>74</v>
      </c>
      <c r="Q2998" s="4" t="s">
        <v>2035</v>
      </c>
      <c r="R2998" s="4"/>
      <c r="S2998" s="4"/>
      <c r="T2998" s="4"/>
      <c r="U2998" s="4"/>
      <c r="V2998" s="4"/>
      <c r="W2998" s="4"/>
      <c r="X2998" s="4"/>
      <c r="Y2998" s="4"/>
      <c r="Z2998" s="4"/>
      <c r="AA2998" s="4"/>
      <c r="AB2998" s="4"/>
      <c r="AC2998" s="4"/>
      <c r="AD2998" s="4"/>
      <c r="AE2998" s="4"/>
      <c r="AF2998" s="4"/>
      <c r="AG2998" s="4"/>
      <c r="AH2998" s="4"/>
      <c r="AI2998" s="4"/>
      <c r="AJ2998" s="13" t="n">
        <v>0</v>
      </c>
      <c r="AK2998" s="4"/>
      <c r="AL2998" s="4"/>
      <c r="AM2998" s="4"/>
    </row>
    <row r="2999" customFormat="false" ht="23.85" hidden="false" customHeight="false" outlineLevel="0" collapsed="false">
      <c r="A2999" s="4" t="s">
        <v>3338</v>
      </c>
      <c r="B2999" s="4" t="s">
        <v>3981</v>
      </c>
      <c r="C2999" s="4" t="s">
        <v>3981</v>
      </c>
      <c r="D2999" s="12" t="n">
        <v>2018</v>
      </c>
      <c r="E2999" s="4"/>
      <c r="F2999" s="4" t="s">
        <v>1990</v>
      </c>
      <c r="G2999" s="4" t="s">
        <v>170</v>
      </c>
      <c r="H2999" s="4" t="s">
        <v>171</v>
      </c>
      <c r="I2999" s="4" t="s">
        <v>172</v>
      </c>
      <c r="J2999" s="4" t="s">
        <v>395</v>
      </c>
      <c r="K2999" s="4" t="s">
        <v>107</v>
      </c>
      <c r="L2999" s="4"/>
      <c r="M2999" s="4"/>
      <c r="N2999" s="4" t="s">
        <v>2001</v>
      </c>
      <c r="O2999" s="4" t="s">
        <v>2002</v>
      </c>
      <c r="P2999" s="4" t="s">
        <v>71</v>
      </c>
      <c r="Q2999" s="4" t="s">
        <v>2123</v>
      </c>
      <c r="R2999" s="4"/>
      <c r="S2999" s="4"/>
      <c r="T2999" s="4"/>
      <c r="U2999" s="4"/>
      <c r="V2999" s="4"/>
      <c r="W2999" s="4" t="s">
        <v>3412</v>
      </c>
      <c r="X2999" s="4" t="s">
        <v>3413</v>
      </c>
      <c r="Y2999" s="4" t="inlineStr">
        <is>
          <t>COMB_KER</t>
        </is>
      </c>
      <c r="Z2999" s="4"/>
      <c r="AA2999" s="4"/>
      <c r="AB2999" s="4"/>
      <c r="AC2999" s="4" t="s">
        <v>3352</v>
      </c>
      <c r="AD2999" s="4"/>
      <c r="AE2999" s="4"/>
      <c r="AF2999" s="4"/>
      <c r="AG2999" s="4"/>
      <c r="AH2999" s="4"/>
      <c r="AI2999" s="4"/>
      <c r="AJ2999" s="13" t="n">
        <v>1</v>
      </c>
      <c r="AK2999" s="4"/>
      <c r="AL2999" s="4"/>
      <c r="AM2999" s="4"/>
    </row>
    <row r="3000" customFormat="false" ht="23.85" hidden="false" customHeight="false" outlineLevel="0" collapsed="false">
      <c r="A3000" s="4" t="s">
        <v>3338</v>
      </c>
      <c r="B3000" s="4" t="s">
        <v>3982</v>
      </c>
      <c r="C3000" s="4" t="s">
        <v>3982</v>
      </c>
      <c r="D3000" s="12" t="n">
        <v>2018</v>
      </c>
      <c r="E3000" s="4"/>
      <c r="F3000" s="4" t="s">
        <v>1990</v>
      </c>
      <c r="G3000" s="4" t="s">
        <v>170</v>
      </c>
      <c r="H3000" s="4" t="s">
        <v>171</v>
      </c>
      <c r="I3000" s="4" t="s">
        <v>172</v>
      </c>
      <c r="J3000" s="4" t="s">
        <v>396</v>
      </c>
      <c r="K3000" s="4" t="s">
        <v>107</v>
      </c>
      <c r="L3000" s="4"/>
      <c r="M3000" s="4"/>
      <c r="N3000" s="4" t="s">
        <v>2001</v>
      </c>
      <c r="O3000" s="4" t="s">
        <v>2074</v>
      </c>
      <c r="P3000" s="4" t="s">
        <v>73</v>
      </c>
      <c r="Q3000" s="4" t="s">
        <v>2075</v>
      </c>
      <c r="R3000" s="4"/>
      <c r="S3000" s="4"/>
      <c r="T3000" s="4"/>
      <c r="U3000" s="4"/>
      <c r="V3000" s="4"/>
      <c r="W3000" s="4" t="s">
        <v>3380</v>
      </c>
      <c r="X3000" s="4" t="s">
        <v>3381</v>
      </c>
      <c r="Y3000" s="4" t="inlineStr">
        <is>
          <t>COMB_KER</t>
        </is>
      </c>
      <c r="Z3000" s="4"/>
      <c r="AA3000" s="4"/>
      <c r="AB3000" s="4"/>
      <c r="AC3000" s="4" t="s">
        <v>3352</v>
      </c>
      <c r="AD3000" s="4"/>
      <c r="AE3000" s="4"/>
      <c r="AF3000" s="4"/>
      <c r="AG3000" s="4"/>
      <c r="AH3000" s="4"/>
      <c r="AI3000" s="4"/>
      <c r="AJ3000" s="13" t="n">
        <v>1</v>
      </c>
      <c r="AK3000" s="4"/>
      <c r="AL3000" s="4"/>
      <c r="AM3000" s="4"/>
    </row>
    <row r="3001" customFormat="false" ht="23.85" hidden="false" customHeight="false" outlineLevel="0" collapsed="false">
      <c r="A3001" s="4" t="s">
        <v>3338</v>
      </c>
      <c r="B3001" s="4" t="s">
        <v>3983</v>
      </c>
      <c r="C3001" s="4" t="s">
        <v>3983</v>
      </c>
      <c r="D3001" s="12" t="n">
        <v>2018</v>
      </c>
      <c r="E3001" s="4"/>
      <c r="F3001" s="4" t="s">
        <v>1990</v>
      </c>
      <c r="G3001" s="4" t="s">
        <v>170</v>
      </c>
      <c r="H3001" s="4" t="s">
        <v>171</v>
      </c>
      <c r="I3001" s="4" t="s">
        <v>172</v>
      </c>
      <c r="J3001" s="4" t="s">
        <v>397</v>
      </c>
      <c r="K3001" s="4" t="s">
        <v>107</v>
      </c>
      <c r="L3001" s="4"/>
      <c r="M3001" s="4"/>
      <c r="N3001" s="4" t="s">
        <v>2001</v>
      </c>
      <c r="O3001" s="4" t="s">
        <v>2002</v>
      </c>
      <c r="P3001" s="4" t="s">
        <v>72</v>
      </c>
      <c r="Q3001" s="4" t="s">
        <v>2079</v>
      </c>
      <c r="R3001" s="4"/>
      <c r="S3001" s="4"/>
      <c r="T3001" s="4"/>
      <c r="U3001" s="4"/>
      <c r="V3001" s="4"/>
      <c r="W3001" s="4" t="s">
        <v>3383</v>
      </c>
      <c r="X3001" s="4" t="s">
        <v>3384</v>
      </c>
      <c r="Y3001" s="4" t="inlineStr">
        <is>
          <t>COMB_KER</t>
        </is>
      </c>
      <c r="Z3001" s="4"/>
      <c r="AA3001" s="4"/>
      <c r="AB3001" s="4"/>
      <c r="AC3001" s="4" t="s">
        <v>3352</v>
      </c>
      <c r="AD3001" s="4"/>
      <c r="AE3001" s="4"/>
      <c r="AF3001" s="4"/>
      <c r="AG3001" s="4"/>
      <c r="AH3001" s="4"/>
      <c r="AI3001" s="4"/>
      <c r="AJ3001" s="13" t="n">
        <v>1</v>
      </c>
      <c r="AK3001" s="4"/>
      <c r="AL3001" s="4"/>
      <c r="AM3001" s="4"/>
    </row>
    <row r="3002" customFormat="false" ht="23.85" hidden="false" customHeight="false" outlineLevel="0" collapsed="false">
      <c r="A3002" s="4" t="s">
        <v>3338</v>
      </c>
      <c r="B3002" s="4" t="s">
        <v>3984</v>
      </c>
      <c r="C3002" s="4" t="s">
        <v>3984</v>
      </c>
      <c r="D3002" s="12" t="n">
        <v>2018</v>
      </c>
      <c r="E3002" s="4"/>
      <c r="F3002" s="4" t="s">
        <v>1990</v>
      </c>
      <c r="G3002" s="4" t="s">
        <v>170</v>
      </c>
      <c r="H3002" s="4" t="s">
        <v>171</v>
      </c>
      <c r="I3002" s="4" t="s">
        <v>172</v>
      </c>
      <c r="J3002" s="4" t="s">
        <v>398</v>
      </c>
      <c r="K3002" s="4" t="s">
        <v>107</v>
      </c>
      <c r="L3002" s="4"/>
      <c r="M3002" s="4"/>
      <c r="N3002" s="4" t="s">
        <v>2001</v>
      </c>
      <c r="O3002" s="4" t="s">
        <v>2002</v>
      </c>
      <c r="P3002" s="4" t="s">
        <v>68</v>
      </c>
      <c r="Q3002" s="4" t="s">
        <v>2111</v>
      </c>
      <c r="R3002" s="4"/>
      <c r="S3002" s="4"/>
      <c r="T3002" s="4"/>
      <c r="U3002" s="4"/>
      <c r="V3002" s="4"/>
      <c r="W3002" s="4" t="s">
        <v>3404</v>
      </c>
      <c r="X3002" s="4" t="s">
        <v>3405</v>
      </c>
      <c r="Y3002" s="4" t="inlineStr">
        <is>
          <t>COMB_KER</t>
        </is>
      </c>
      <c r="Z3002" s="4"/>
      <c r="AA3002" s="4"/>
      <c r="AB3002" s="4"/>
      <c r="AC3002" s="4" t="s">
        <v>3352</v>
      </c>
      <c r="AD3002" s="4"/>
      <c r="AE3002" s="4"/>
      <c r="AF3002" s="4"/>
      <c r="AG3002" s="4"/>
      <c r="AH3002" s="4"/>
      <c r="AI3002" s="4"/>
      <c r="AJ3002" s="13" t="n">
        <v>1</v>
      </c>
      <c r="AK3002" s="4"/>
      <c r="AL3002" s="4"/>
      <c r="AM3002" s="4"/>
    </row>
    <row r="3003" customFormat="false" ht="23.85" hidden="false" customHeight="false" outlineLevel="0" collapsed="false">
      <c r="A3003" s="4" t="s">
        <v>3338</v>
      </c>
      <c r="B3003" s="4" t="s">
        <v>3985</v>
      </c>
      <c r="C3003" s="4" t="s">
        <v>3985</v>
      </c>
      <c r="D3003" s="12" t="n">
        <v>2018</v>
      </c>
      <c r="E3003" s="4"/>
      <c r="F3003" s="4" t="s">
        <v>1990</v>
      </c>
      <c r="G3003" s="4" t="s">
        <v>170</v>
      </c>
      <c r="H3003" s="4" t="s">
        <v>171</v>
      </c>
      <c r="I3003" s="4" t="s">
        <v>172</v>
      </c>
      <c r="J3003" s="4" t="s">
        <v>402</v>
      </c>
      <c r="K3003" s="4" t="s">
        <v>111</v>
      </c>
      <c r="L3003" s="4"/>
      <c r="M3003" s="4"/>
      <c r="N3003" s="4" t="s">
        <v>1994</v>
      </c>
      <c r="O3003" s="4" t="s">
        <v>2029</v>
      </c>
      <c r="P3003" s="4" t="s">
        <v>69</v>
      </c>
      <c r="Q3003" s="4" t="s">
        <v>2030</v>
      </c>
      <c r="R3003" s="4"/>
      <c r="S3003" s="4"/>
      <c r="T3003" s="4"/>
      <c r="U3003" s="4"/>
      <c r="V3003" s="4"/>
      <c r="W3003" s="4"/>
      <c r="X3003" s="4"/>
      <c r="Y3003" s="4"/>
      <c r="Z3003" s="4"/>
      <c r="AA3003" s="4"/>
      <c r="AB3003" s="4"/>
      <c r="AC3003" s="4"/>
      <c r="AD3003" s="4"/>
      <c r="AE3003" s="4"/>
      <c r="AF3003" s="4"/>
      <c r="AG3003" s="4"/>
      <c r="AH3003" s="4"/>
      <c r="AI3003" s="4"/>
      <c r="AJ3003" s="13" t="n">
        <v>0</v>
      </c>
      <c r="AK3003" s="4"/>
      <c r="AL3003" s="4"/>
      <c r="AM3003" s="4"/>
    </row>
    <row r="3004" customFormat="false" ht="23.85" hidden="false" customHeight="false" outlineLevel="0" collapsed="false">
      <c r="A3004" s="4" t="s">
        <v>3338</v>
      </c>
      <c r="B3004" s="4" t="s">
        <v>3986</v>
      </c>
      <c r="C3004" s="4" t="s">
        <v>3986</v>
      </c>
      <c r="D3004" s="12" t="n">
        <v>2018</v>
      </c>
      <c r="E3004" s="4"/>
      <c r="F3004" s="4" t="s">
        <v>1990</v>
      </c>
      <c r="G3004" s="4" t="s">
        <v>170</v>
      </c>
      <c r="H3004" s="4" t="s">
        <v>171</v>
      </c>
      <c r="I3004" s="4" t="s">
        <v>172</v>
      </c>
      <c r="J3004" s="4" t="s">
        <v>403</v>
      </c>
      <c r="K3004" s="4" t="s">
        <v>111</v>
      </c>
      <c r="L3004" s="4"/>
      <c r="M3004" s="4"/>
      <c r="N3004" s="4" t="s">
        <v>2001</v>
      </c>
      <c r="O3004" s="4" t="s">
        <v>2091</v>
      </c>
      <c r="P3004" s="4" t="s">
        <v>69</v>
      </c>
      <c r="Q3004" s="4" t="s">
        <v>2030</v>
      </c>
      <c r="R3004" s="4"/>
      <c r="S3004" s="4"/>
      <c r="T3004" s="4"/>
      <c r="U3004" s="4"/>
      <c r="V3004" s="4"/>
      <c r="W3004" s="4"/>
      <c r="X3004" s="4"/>
      <c r="Y3004" s="4"/>
      <c r="Z3004" s="4"/>
      <c r="AA3004" s="4"/>
      <c r="AB3004" s="4"/>
      <c r="AC3004" s="4"/>
      <c r="AD3004" s="4"/>
      <c r="AE3004" s="4"/>
      <c r="AF3004" s="4"/>
      <c r="AG3004" s="4"/>
      <c r="AH3004" s="4"/>
      <c r="AI3004" s="4"/>
      <c r="AJ3004" s="13" t="n">
        <v>0</v>
      </c>
      <c r="AK3004" s="4"/>
      <c r="AL3004" s="4"/>
      <c r="AM3004" s="4"/>
    </row>
    <row r="3005" customFormat="false" ht="23.85" hidden="false" customHeight="false" outlineLevel="0" collapsed="false">
      <c r="A3005" s="4" t="s">
        <v>3338</v>
      </c>
      <c r="B3005" s="4" t="s">
        <v>3987</v>
      </c>
      <c r="C3005" s="4" t="s">
        <v>3987</v>
      </c>
      <c r="D3005" s="12" t="n">
        <v>2018</v>
      </c>
      <c r="E3005" s="4"/>
      <c r="F3005" s="4" t="s">
        <v>1990</v>
      </c>
      <c r="G3005" s="4" t="s">
        <v>170</v>
      </c>
      <c r="H3005" s="4" t="s">
        <v>171</v>
      </c>
      <c r="I3005" s="4" t="s">
        <v>172</v>
      </c>
      <c r="J3005" s="4" t="s">
        <v>404</v>
      </c>
      <c r="K3005" s="4" t="s">
        <v>111</v>
      </c>
      <c r="L3005" s="4"/>
      <c r="M3005" s="4"/>
      <c r="N3005" s="4" t="s">
        <v>2001</v>
      </c>
      <c r="O3005" s="4" t="s">
        <v>2034</v>
      </c>
      <c r="P3005" s="4" t="s">
        <v>74</v>
      </c>
      <c r="Q3005" s="4" t="s">
        <v>2035</v>
      </c>
      <c r="R3005" s="4"/>
      <c r="S3005" s="4"/>
      <c r="T3005" s="4"/>
      <c r="U3005" s="4"/>
      <c r="V3005" s="4"/>
      <c r="W3005" s="4"/>
      <c r="X3005" s="4"/>
      <c r="Y3005" s="4"/>
      <c r="Z3005" s="4"/>
      <c r="AA3005" s="4"/>
      <c r="AB3005" s="4"/>
      <c r="AC3005" s="4"/>
      <c r="AD3005" s="4"/>
      <c r="AE3005" s="4"/>
      <c r="AF3005" s="4"/>
      <c r="AG3005" s="4"/>
      <c r="AH3005" s="4"/>
      <c r="AI3005" s="4"/>
      <c r="AJ3005" s="13" t="n">
        <v>0</v>
      </c>
      <c r="AK3005" s="4"/>
      <c r="AL3005" s="4"/>
      <c r="AM3005" s="4"/>
    </row>
    <row r="3006" customFormat="false" ht="23.85" hidden="false" customHeight="false" outlineLevel="0" collapsed="false">
      <c r="A3006" s="4" t="s">
        <v>3338</v>
      </c>
      <c r="B3006" s="4" t="s">
        <v>3988</v>
      </c>
      <c r="C3006" s="4" t="s">
        <v>3988</v>
      </c>
      <c r="D3006" s="12" t="n">
        <v>2018</v>
      </c>
      <c r="E3006" s="4"/>
      <c r="F3006" s="4" t="s">
        <v>1990</v>
      </c>
      <c r="G3006" s="4" t="s">
        <v>170</v>
      </c>
      <c r="H3006" s="4" t="s">
        <v>171</v>
      </c>
      <c r="I3006" s="4" t="s">
        <v>172</v>
      </c>
      <c r="J3006" s="4" t="s">
        <v>405</v>
      </c>
      <c r="K3006" s="4" t="s">
        <v>111</v>
      </c>
      <c r="L3006" s="4"/>
      <c r="M3006" s="4"/>
      <c r="N3006" s="4" t="s">
        <v>1994</v>
      </c>
      <c r="O3006" s="4" t="s">
        <v>1995</v>
      </c>
      <c r="P3006" s="4" t="s">
        <v>67</v>
      </c>
      <c r="Q3006" s="4" t="s">
        <v>2097</v>
      </c>
      <c r="R3006" s="4"/>
      <c r="S3006" s="4"/>
      <c r="T3006" s="4"/>
      <c r="U3006" s="4"/>
      <c r="V3006" s="4"/>
      <c r="W3006" s="4"/>
      <c r="X3006" s="4"/>
      <c r="Y3006" s="4"/>
      <c r="Z3006" s="4"/>
      <c r="AA3006" s="4"/>
      <c r="AB3006" s="4"/>
      <c r="AC3006" s="4"/>
      <c r="AD3006" s="4"/>
      <c r="AE3006" s="4"/>
      <c r="AF3006" s="4"/>
      <c r="AG3006" s="4"/>
      <c r="AH3006" s="4"/>
      <c r="AI3006" s="4"/>
      <c r="AJ3006" s="13" t="n">
        <v>0</v>
      </c>
      <c r="AK3006" s="4"/>
      <c r="AL3006" s="4"/>
      <c r="AM3006" s="4"/>
    </row>
    <row r="3007" customFormat="false" ht="23.85" hidden="false" customHeight="false" outlineLevel="0" collapsed="false">
      <c r="A3007" s="4" t="s">
        <v>3338</v>
      </c>
      <c r="B3007" s="4" t="s">
        <v>3989</v>
      </c>
      <c r="C3007" s="4" t="s">
        <v>3989</v>
      </c>
      <c r="D3007" s="12" t="n">
        <v>2018</v>
      </c>
      <c r="E3007" s="4"/>
      <c r="F3007" s="4" t="s">
        <v>1990</v>
      </c>
      <c r="G3007" s="4" t="s">
        <v>170</v>
      </c>
      <c r="H3007" s="4" t="s">
        <v>171</v>
      </c>
      <c r="I3007" s="4" t="s">
        <v>172</v>
      </c>
      <c r="J3007" s="4" t="s">
        <v>3319</v>
      </c>
      <c r="K3007" s="4" t="s">
        <v>97</v>
      </c>
      <c r="L3007" s="4"/>
      <c r="M3007" s="4"/>
      <c r="N3007" s="4" t="s">
        <v>2001</v>
      </c>
      <c r="O3007" s="4" t="s">
        <v>2218</v>
      </c>
      <c r="P3007" s="4" t="s">
        <v>44</v>
      </c>
      <c r="Q3007" s="4" t="s">
        <v>2219</v>
      </c>
      <c r="R3007" s="4"/>
      <c r="S3007" s="4"/>
      <c r="T3007" s="4"/>
      <c r="U3007" s="4"/>
      <c r="V3007" s="4"/>
      <c r="W3007" s="4"/>
      <c r="X3007" s="4"/>
      <c r="Y3007" s="4"/>
      <c r="Z3007" s="4"/>
      <c r="AA3007" s="4"/>
      <c r="AB3007" s="4"/>
      <c r="AC3007" s="4"/>
      <c r="AD3007" s="4"/>
      <c r="AE3007" s="4"/>
      <c r="AF3007" s="4"/>
      <c r="AG3007" s="4"/>
      <c r="AH3007" s="4"/>
      <c r="AI3007" s="4"/>
      <c r="AJ3007" s="13" t="n">
        <v>0</v>
      </c>
      <c r="AK3007" s="4"/>
      <c r="AL3007" s="4"/>
      <c r="AM3007" s="4"/>
    </row>
    <row r="3008" customFormat="false" ht="23.85" hidden="false" customHeight="false" outlineLevel="0" collapsed="false">
      <c r="A3008" s="4" t="s">
        <v>3338</v>
      </c>
      <c r="B3008" s="4" t="s">
        <v>3990</v>
      </c>
      <c r="C3008" s="4" t="s">
        <v>3990</v>
      </c>
      <c r="D3008" s="12" t="n">
        <v>2018</v>
      </c>
      <c r="E3008" s="4"/>
      <c r="F3008" s="4" t="s">
        <v>1990</v>
      </c>
      <c r="G3008" s="4" t="s">
        <v>170</v>
      </c>
      <c r="H3008" s="4" t="s">
        <v>171</v>
      </c>
      <c r="I3008" s="4" t="s">
        <v>172</v>
      </c>
      <c r="J3008" s="4" t="s">
        <v>3322</v>
      </c>
      <c r="K3008" s="4" t="s">
        <v>101</v>
      </c>
      <c r="L3008" s="4"/>
      <c r="M3008" s="4"/>
      <c r="N3008" s="4" t="s">
        <v>2001</v>
      </c>
      <c r="O3008" s="4" t="s">
        <v>2218</v>
      </c>
      <c r="P3008" s="4" t="s">
        <v>44</v>
      </c>
      <c r="Q3008" s="4" t="s">
        <v>2219</v>
      </c>
      <c r="R3008" s="4"/>
      <c r="S3008" s="4"/>
      <c r="T3008" s="4"/>
      <c r="U3008" s="4"/>
      <c r="V3008" s="4"/>
      <c r="W3008" s="4"/>
      <c r="X3008" s="4"/>
      <c r="Y3008" s="4"/>
      <c r="Z3008" s="4"/>
      <c r="AA3008" s="4"/>
      <c r="AB3008" s="4"/>
      <c r="AC3008" s="4"/>
      <c r="AD3008" s="4"/>
      <c r="AE3008" s="4"/>
      <c r="AF3008" s="4"/>
      <c r="AG3008" s="4"/>
      <c r="AH3008" s="4"/>
      <c r="AI3008" s="4"/>
      <c r="AJ3008" s="13" t="n">
        <v>0</v>
      </c>
      <c r="AK3008" s="4"/>
      <c r="AL3008" s="4"/>
      <c r="AM3008" s="4"/>
    </row>
    <row r="3009" customFormat="false" ht="23.85" hidden="false" customHeight="false" outlineLevel="0" collapsed="false">
      <c r="A3009" s="4" t="s">
        <v>3338</v>
      </c>
      <c r="B3009" s="4" t="s">
        <v>3991</v>
      </c>
      <c r="C3009" s="4" t="s">
        <v>3991</v>
      </c>
      <c r="D3009" s="12" t="n">
        <v>2018</v>
      </c>
      <c r="E3009" s="4"/>
      <c r="F3009" s="4" t="s">
        <v>1990</v>
      </c>
      <c r="G3009" s="4" t="s">
        <v>170</v>
      </c>
      <c r="H3009" s="4" t="s">
        <v>171</v>
      </c>
      <c r="I3009" s="4" t="s">
        <v>172</v>
      </c>
      <c r="J3009" s="4" t="s">
        <v>3325</v>
      </c>
      <c r="K3009" s="4" t="s">
        <v>103</v>
      </c>
      <c r="L3009" s="4"/>
      <c r="M3009" s="4"/>
      <c r="N3009" s="4" t="s">
        <v>2001</v>
      </c>
      <c r="O3009" s="4" t="s">
        <v>2218</v>
      </c>
      <c r="P3009" s="4" t="s">
        <v>44</v>
      </c>
      <c r="Q3009" s="4" t="s">
        <v>2219</v>
      </c>
      <c r="R3009" s="4"/>
      <c r="S3009" s="4"/>
      <c r="T3009" s="4"/>
      <c r="U3009" s="4"/>
      <c r="V3009" s="4"/>
      <c r="W3009" s="4"/>
      <c r="X3009" s="4"/>
      <c r="Y3009" s="4"/>
      <c r="Z3009" s="4"/>
      <c r="AA3009" s="4"/>
      <c r="AB3009" s="4"/>
      <c r="AC3009" s="4"/>
      <c r="AD3009" s="4"/>
      <c r="AE3009" s="4"/>
      <c r="AF3009" s="4"/>
      <c r="AG3009" s="4"/>
      <c r="AH3009" s="4"/>
      <c r="AI3009" s="4"/>
      <c r="AJ3009" s="13" t="n">
        <v>0</v>
      </c>
      <c r="AK3009" s="4"/>
      <c r="AL3009" s="4"/>
      <c r="AM3009" s="4"/>
    </row>
    <row r="3010" customFormat="false" ht="23.85" hidden="false" customHeight="false" outlineLevel="0" collapsed="false">
      <c r="A3010" s="4" t="s">
        <v>3338</v>
      </c>
      <c r="B3010" s="4" t="s">
        <v>3992</v>
      </c>
      <c r="C3010" s="4" t="s">
        <v>3992</v>
      </c>
      <c r="D3010" s="12" t="n">
        <v>2018</v>
      </c>
      <c r="E3010" s="4"/>
      <c r="F3010" s="4" t="s">
        <v>1990</v>
      </c>
      <c r="G3010" s="4" t="s">
        <v>170</v>
      </c>
      <c r="H3010" s="4" t="s">
        <v>171</v>
      </c>
      <c r="I3010" s="4" t="s">
        <v>172</v>
      </c>
      <c r="J3010" s="4" t="s">
        <v>3328</v>
      </c>
      <c r="K3010" s="4" t="s">
        <v>105</v>
      </c>
      <c r="L3010" s="4"/>
      <c r="M3010" s="4"/>
      <c r="N3010" s="4" t="s">
        <v>2001</v>
      </c>
      <c r="O3010" s="4" t="s">
        <v>2218</v>
      </c>
      <c r="P3010" s="4" t="s">
        <v>44</v>
      </c>
      <c r="Q3010" s="4" t="s">
        <v>2219</v>
      </c>
      <c r="R3010" s="4"/>
      <c r="S3010" s="4"/>
      <c r="T3010" s="4"/>
      <c r="U3010" s="4"/>
      <c r="V3010" s="4"/>
      <c r="W3010" s="4"/>
      <c r="X3010" s="4"/>
      <c r="Y3010" s="4"/>
      <c r="Z3010" s="4"/>
      <c r="AA3010" s="4"/>
      <c r="AB3010" s="4"/>
      <c r="AC3010" s="4"/>
      <c r="AD3010" s="4"/>
      <c r="AE3010" s="4"/>
      <c r="AF3010" s="4"/>
      <c r="AG3010" s="4"/>
      <c r="AH3010" s="4"/>
      <c r="AI3010" s="4"/>
      <c r="AJ3010" s="13" t="n">
        <v>0</v>
      </c>
      <c r="AK3010" s="4"/>
      <c r="AL3010" s="4"/>
      <c r="AM3010" s="4"/>
    </row>
    <row r="3011" customFormat="false" ht="23.85" hidden="false" customHeight="false" outlineLevel="0" collapsed="false">
      <c r="A3011" s="4" t="s">
        <v>3338</v>
      </c>
      <c r="B3011" s="4" t="s">
        <v>3993</v>
      </c>
      <c r="C3011" s="4" t="s">
        <v>3993</v>
      </c>
      <c r="D3011" s="12" t="n">
        <v>2018</v>
      </c>
      <c r="E3011" s="4"/>
      <c r="F3011" s="4" t="s">
        <v>1990</v>
      </c>
      <c r="G3011" s="4" t="s">
        <v>170</v>
      </c>
      <c r="H3011" s="4" t="s">
        <v>171</v>
      </c>
      <c r="I3011" s="4" t="s">
        <v>172</v>
      </c>
      <c r="J3011" s="4" t="s">
        <v>3331</v>
      </c>
      <c r="K3011" s="4" t="s">
        <v>107</v>
      </c>
      <c r="L3011" s="4"/>
      <c r="M3011" s="4"/>
      <c r="N3011" s="4" t="s">
        <v>2001</v>
      </c>
      <c r="O3011" s="4" t="s">
        <v>2218</v>
      </c>
      <c r="P3011" s="4" t="s">
        <v>44</v>
      </c>
      <c r="Q3011" s="4" t="s">
        <v>2219</v>
      </c>
      <c r="R3011" s="4"/>
      <c r="S3011" s="4"/>
      <c r="T3011" s="4"/>
      <c r="U3011" s="4"/>
      <c r="V3011" s="4"/>
      <c r="W3011" s="4"/>
      <c r="X3011" s="4"/>
      <c r="Y3011" s="4"/>
      <c r="Z3011" s="4"/>
      <c r="AA3011" s="4"/>
      <c r="AB3011" s="4"/>
      <c r="AC3011" s="4"/>
      <c r="AD3011" s="4"/>
      <c r="AE3011" s="4"/>
      <c r="AF3011" s="4"/>
      <c r="AG3011" s="4"/>
      <c r="AH3011" s="4"/>
      <c r="AI3011" s="4"/>
      <c r="AJ3011" s="13" t="n">
        <v>0</v>
      </c>
      <c r="AK3011" s="4"/>
      <c r="AL3011" s="4"/>
      <c r="AM3011" s="4"/>
    </row>
    <row r="3012" customFormat="false" ht="35.05" hidden="false" customHeight="false" outlineLevel="0" collapsed="false">
      <c r="A3012" s="4" t="s">
        <v>3338</v>
      </c>
      <c r="B3012" s="4" t="s">
        <v>3994</v>
      </c>
      <c r="C3012" s="4" t="s">
        <v>3994</v>
      </c>
      <c r="D3012" s="12" t="n">
        <v>2018</v>
      </c>
      <c r="E3012" s="4"/>
      <c r="F3012" s="4" t="s">
        <v>1990</v>
      </c>
      <c r="G3012" s="4" t="s">
        <v>1991</v>
      </c>
      <c r="H3012" s="4" t="s">
        <v>3458</v>
      </c>
      <c r="I3012" s="4"/>
      <c r="J3012" s="4" t="s">
        <v>3334</v>
      </c>
      <c r="K3012" s="4" t="s">
        <v>111</v>
      </c>
      <c r="L3012" s="4"/>
      <c r="M3012" s="4"/>
      <c r="N3012" s="4" t="s">
        <v>2001</v>
      </c>
      <c r="O3012" s="4" t="s">
        <v>2002</v>
      </c>
      <c r="P3012" s="4" t="s">
        <v>41</v>
      </c>
      <c r="Q3012" s="4" t="s">
        <v>2228</v>
      </c>
      <c r="R3012" s="4"/>
      <c r="S3012" s="4"/>
      <c r="T3012" s="4"/>
      <c r="U3012" s="4"/>
      <c r="V3012" s="4"/>
      <c r="W3012" s="4"/>
      <c r="X3012" s="4"/>
      <c r="Y3012" s="4"/>
      <c r="Z3012" s="4"/>
      <c r="AA3012" s="4"/>
      <c r="AB3012" s="4"/>
      <c r="AC3012" s="4"/>
      <c r="AD3012" s="4"/>
      <c r="AE3012" s="4"/>
      <c r="AF3012" s="4"/>
      <c r="AG3012" s="4"/>
      <c r="AH3012" s="4"/>
      <c r="AI3012" s="4"/>
      <c r="AJ3012" s="13" t="n">
        <v>0</v>
      </c>
      <c r="AK3012" s="4"/>
      <c r="AL3012" s="4"/>
      <c r="AM3012" s="4" t="s">
        <v>3459</v>
      </c>
    </row>
    <row r="3013" customFormat="false" ht="23.85" hidden="false" customHeight="false" outlineLevel="0" collapsed="false">
      <c r="A3013" s="4" t="s">
        <v>3338</v>
      </c>
      <c r="B3013" s="4" t="s">
        <v>3995</v>
      </c>
      <c r="C3013" s="4" t="s">
        <v>3995</v>
      </c>
      <c r="D3013" s="12" t="n">
        <v>2018</v>
      </c>
      <c r="E3013" s="4"/>
      <c r="F3013" s="4" t="s">
        <v>1990</v>
      </c>
      <c r="G3013" s="4" t="s">
        <v>170</v>
      </c>
      <c r="H3013" s="4" t="s">
        <v>171</v>
      </c>
      <c r="I3013" s="4" t="s">
        <v>172</v>
      </c>
      <c r="J3013" s="4" t="s">
        <v>3337</v>
      </c>
      <c r="K3013" s="4" t="s">
        <v>86</v>
      </c>
      <c r="L3013" s="4"/>
      <c r="M3013" s="4"/>
      <c r="N3013" s="4" t="s">
        <v>2001</v>
      </c>
      <c r="O3013" s="4" t="s">
        <v>2218</v>
      </c>
      <c r="P3013" s="4" t="s">
        <v>44</v>
      </c>
      <c r="Q3013" s="4" t="s">
        <v>2219</v>
      </c>
      <c r="R3013" s="4"/>
      <c r="S3013" s="4"/>
      <c r="T3013" s="4"/>
      <c r="U3013" s="4"/>
      <c r="V3013" s="4"/>
      <c r="W3013" s="4"/>
      <c r="X3013" s="4"/>
      <c r="Y3013" s="4"/>
      <c r="Z3013" s="4"/>
      <c r="AA3013" s="4"/>
      <c r="AB3013" s="4"/>
      <c r="AC3013" s="4"/>
      <c r="AD3013" s="4"/>
      <c r="AE3013" s="4"/>
      <c r="AF3013" s="4"/>
      <c r="AG3013" s="4"/>
      <c r="AH3013" s="4"/>
      <c r="AI3013" s="4"/>
      <c r="AJ3013" s="13" t="n">
        <v>0</v>
      </c>
      <c r="AK3013" s="4"/>
      <c r="AL3013" s="4"/>
      <c r="AM3013" s="4"/>
    </row>
    <row r="3014" customFormat="false" ht="35.05" hidden="false" customHeight="false" outlineLevel="0" collapsed="false">
      <c r="A3014" s="4" t="s">
        <v>3996</v>
      </c>
      <c r="B3014" s="4" t="s">
        <v>3997</v>
      </c>
      <c r="C3014" s="4" t="s">
        <v>3998</v>
      </c>
      <c r="D3014" s="12" t="n">
        <v>2018</v>
      </c>
      <c r="E3014" s="12" t="n">
        <v>2018</v>
      </c>
      <c r="F3014" s="4" t="s">
        <v>169</v>
      </c>
      <c r="G3014" s="4" t="s">
        <v>3999</v>
      </c>
      <c r="H3014" s="4" t="s">
        <v>4000</v>
      </c>
      <c r="I3014" s="4" t="s">
        <v>4001</v>
      </c>
      <c r="J3014" s="4" t="s">
        <v>4002</v>
      </c>
      <c r="K3014" s="4" t="s">
        <v>86</v>
      </c>
      <c r="L3014" s="4"/>
      <c r="M3014" s="4"/>
      <c r="N3014" s="4"/>
      <c r="O3014" s="4"/>
      <c r="P3014" s="4" t="s">
        <v>67</v>
      </c>
      <c r="Q3014" s="4" t="s">
        <v>2097</v>
      </c>
      <c r="R3014" s="4"/>
      <c r="S3014" s="4"/>
      <c r="T3014" s="4"/>
      <c r="U3014" s="13" t="n">
        <v>2077.9477</v>
      </c>
      <c r="V3014" s="4"/>
      <c r="W3014" s="4" t="s">
        <v>3395</v>
      </c>
      <c r="X3014" s="4" t="s">
        <v>3396</v>
      </c>
      <c r="Y3014" s="4" t="s">
        <v>3397</v>
      </c>
      <c r="Z3014" s="4"/>
      <c r="AA3014" s="4"/>
      <c r="AB3014" s="4"/>
      <c r="AC3014" s="4"/>
      <c r="AD3014" s="4"/>
      <c r="AE3014" s="4"/>
      <c r="AF3014" s="4"/>
      <c r="AG3014" s="4"/>
      <c r="AH3014" s="4"/>
      <c r="AI3014" s="4"/>
      <c r="AJ3014" s="4"/>
      <c r="AK3014" s="4"/>
      <c r="AL3014" s="4" t="s">
        <v>4003</v>
      </c>
      <c r="AM3014" s="4" t="s">
        <v>4004</v>
      </c>
    </row>
    <row r="3015" customFormat="false" ht="35.05" hidden="false" customHeight="false" outlineLevel="0" collapsed="false">
      <c r="A3015" s="4" t="s">
        <v>4005</v>
      </c>
      <c r="B3015" s="4" t="s">
        <v>4006</v>
      </c>
      <c r="C3015" s="4" t="s">
        <v>4007</v>
      </c>
      <c r="D3015" s="12" t="n">
        <v>2018</v>
      </c>
      <c r="E3015" s="12" t="n">
        <v>2018</v>
      </c>
      <c r="F3015" s="4" t="s">
        <v>169</v>
      </c>
      <c r="G3015" s="4" t="s">
        <v>3999</v>
      </c>
      <c r="H3015" s="4" t="s">
        <v>4000</v>
      </c>
      <c r="I3015" s="4" t="s">
        <v>4001</v>
      </c>
      <c r="J3015" s="4" t="s">
        <v>4008</v>
      </c>
      <c r="K3015" s="4"/>
      <c r="L3015" s="4"/>
      <c r="M3015" s="4"/>
      <c r="N3015" s="4"/>
      <c r="O3015" s="4"/>
      <c r="P3015" s="4"/>
      <c r="Q3015" s="4"/>
      <c r="R3015" s="4"/>
      <c r="S3015" s="4"/>
      <c r="T3015" s="4"/>
      <c r="U3015" s="4"/>
      <c r="V3015" s="4"/>
      <c r="W3015" s="4" t="s">
        <v>4009</v>
      </c>
      <c r="X3015" s="4" t="s">
        <v>4010</v>
      </c>
      <c r="Y3015" s="4" t="s">
        <v>4011</v>
      </c>
      <c r="Z3015" s="4" t="s">
        <v>4012</v>
      </c>
      <c r="AA3015" s="4"/>
      <c r="AB3015" s="4"/>
      <c r="AC3015" s="4" t="s">
        <v>3352</v>
      </c>
      <c r="AD3015" s="13" t="n">
        <v>37.309224652</v>
      </c>
      <c r="AE3015" s="4"/>
      <c r="AF3015" s="4"/>
      <c r="AG3015" s="4"/>
      <c r="AH3015" s="4"/>
      <c r="AI3015" s="4"/>
      <c r="AJ3015" s="13" t="n">
        <v>1</v>
      </c>
      <c r="AK3015" s="4"/>
      <c r="AL3015" s="4" t="s">
        <v>4013</v>
      </c>
      <c r="AM3015" s="4" t="s">
        <v>4014</v>
      </c>
    </row>
    <row r="3016" customFormat="false" ht="35.05" hidden="false" customHeight="false" outlineLevel="0" collapsed="false">
      <c r="A3016" s="4" t="s">
        <v>4005</v>
      </c>
      <c r="B3016" s="4" t="s">
        <v>4015</v>
      </c>
      <c r="C3016" s="4" t="s">
        <v>4016</v>
      </c>
      <c r="D3016" s="12" t="n">
        <v>2018</v>
      </c>
      <c r="E3016" s="12" t="n">
        <v>2018</v>
      </c>
      <c r="F3016" s="4" t="s">
        <v>169</v>
      </c>
      <c r="G3016" s="4" t="s">
        <v>3999</v>
      </c>
      <c r="H3016" s="4" t="s">
        <v>4000</v>
      </c>
      <c r="I3016" s="4" t="s">
        <v>4001</v>
      </c>
      <c r="J3016" s="4" t="s">
        <v>4017</v>
      </c>
      <c r="K3016" s="4"/>
      <c r="L3016" s="4"/>
      <c r="M3016" s="4"/>
      <c r="N3016" s="4"/>
      <c r="O3016" s="4"/>
      <c r="P3016" s="4"/>
      <c r="Q3016" s="4"/>
      <c r="R3016" s="4"/>
      <c r="S3016" s="4"/>
      <c r="T3016" s="4"/>
      <c r="U3016" s="4"/>
      <c r="V3016" s="4"/>
      <c r="W3016" s="4" t="s">
        <v>4009</v>
      </c>
      <c r="X3016" s="4" t="s">
        <v>4010</v>
      </c>
      <c r="Y3016" s="4" t="s">
        <v>4011</v>
      </c>
      <c r="Z3016" s="4" t="s">
        <v>4018</v>
      </c>
      <c r="AA3016" s="4"/>
      <c r="AB3016" s="4"/>
      <c r="AC3016" s="4" t="s">
        <v>4019</v>
      </c>
      <c r="AD3016" s="13" t="n">
        <v>182.954918233977</v>
      </c>
      <c r="AE3016" s="4"/>
      <c r="AF3016" s="4"/>
      <c r="AG3016" s="4"/>
      <c r="AH3016" s="4"/>
      <c r="AI3016" s="4"/>
      <c r="AJ3016" s="13" t="n">
        <v>1</v>
      </c>
      <c r="AK3016" s="4"/>
      <c r="AL3016" s="4" t="s">
        <v>4020</v>
      </c>
      <c r="AM3016" s="4" t="s">
        <v>4014</v>
      </c>
    </row>
    <row r="3017" customFormat="false" ht="35.05" hidden="false" customHeight="false" outlineLevel="0" collapsed="false">
      <c r="A3017" s="4" t="s">
        <v>4005</v>
      </c>
      <c r="B3017" s="4" t="s">
        <v>4021</v>
      </c>
      <c r="C3017" s="4" t="s">
        <v>4022</v>
      </c>
      <c r="D3017" s="12" t="n">
        <v>2018</v>
      </c>
      <c r="E3017" s="12" t="n">
        <v>2018</v>
      </c>
      <c r="F3017" s="4" t="s">
        <v>169</v>
      </c>
      <c r="G3017" s="4" t="s">
        <v>3999</v>
      </c>
      <c r="H3017" s="4" t="s">
        <v>4000</v>
      </c>
      <c r="I3017" s="4" t="s">
        <v>4001</v>
      </c>
      <c r="J3017" s="4" t="s">
        <v>4023</v>
      </c>
      <c r="K3017" s="4"/>
      <c r="L3017" s="4"/>
      <c r="M3017" s="4"/>
      <c r="N3017" s="4"/>
      <c r="O3017" s="4"/>
      <c r="P3017" s="4"/>
      <c r="Q3017" s="4"/>
      <c r="R3017" s="4"/>
      <c r="S3017" s="4"/>
      <c r="T3017" s="4"/>
      <c r="U3017" s="4"/>
      <c r="V3017" s="4"/>
      <c r="W3017" s="4" t="s">
        <v>4024</v>
      </c>
      <c r="X3017" s="4" t="s">
        <v>4025</v>
      </c>
      <c r="Y3017" s="4" t="s">
        <v>4011</v>
      </c>
      <c r="Z3017" s="4" t="s">
        <v>4018</v>
      </c>
      <c r="AA3017" s="4"/>
      <c r="AB3017" s="4"/>
      <c r="AC3017" s="4" t="s">
        <v>4019</v>
      </c>
      <c r="AD3017" s="13" t="n">
        <v>167.645486</v>
      </c>
      <c r="AE3017" s="4"/>
      <c r="AF3017" s="4"/>
      <c r="AG3017" s="4"/>
      <c r="AH3017" s="4"/>
      <c r="AI3017" s="4"/>
      <c r="AJ3017" s="13" t="n">
        <v>1</v>
      </c>
      <c r="AK3017" s="4"/>
      <c r="AL3017" s="4" t="s">
        <v>4026</v>
      </c>
      <c r="AM3017" s="4" t="s">
        <v>4014</v>
      </c>
    </row>
    <row r="3018" customFormat="false" ht="35.05" hidden="false" customHeight="false" outlineLevel="0" collapsed="false">
      <c r="A3018" s="4" t="s">
        <v>4005</v>
      </c>
      <c r="B3018" s="4" t="s">
        <v>4027</v>
      </c>
      <c r="C3018" s="4" t="s">
        <v>4028</v>
      </c>
      <c r="D3018" s="12" t="n">
        <v>2018</v>
      </c>
      <c r="E3018" s="12" t="n">
        <v>2018</v>
      </c>
      <c r="F3018" s="4" t="s">
        <v>169</v>
      </c>
      <c r="G3018" s="4" t="s">
        <v>3999</v>
      </c>
      <c r="H3018" s="4" t="s">
        <v>4000</v>
      </c>
      <c r="I3018" s="4" t="s">
        <v>4001</v>
      </c>
      <c r="J3018" s="4" t="s">
        <v>4029</v>
      </c>
      <c r="K3018" s="4"/>
      <c r="L3018" s="4"/>
      <c r="M3018" s="4"/>
      <c r="N3018" s="4"/>
      <c r="O3018" s="4"/>
      <c r="P3018" s="4"/>
      <c r="Q3018" s="4"/>
      <c r="R3018" s="4"/>
      <c r="S3018" s="4"/>
      <c r="T3018" s="4"/>
      <c r="U3018" s="4"/>
      <c r="V3018" s="4"/>
      <c r="W3018" s="4" t="s">
        <v>4030</v>
      </c>
      <c r="X3018" s="4" t="s">
        <v>4031</v>
      </c>
      <c r="Y3018" s="4" t="s">
        <v>4011</v>
      </c>
      <c r="Z3018" s="4" t="s">
        <v>4018</v>
      </c>
      <c r="AA3018" s="4"/>
      <c r="AB3018" s="4"/>
      <c r="AC3018" s="4" t="s">
        <v>4019</v>
      </c>
      <c r="AD3018" s="13" t="n">
        <v>5.91906983</v>
      </c>
      <c r="AE3018" s="4"/>
      <c r="AF3018" s="4"/>
      <c r="AG3018" s="4"/>
      <c r="AH3018" s="4"/>
      <c r="AI3018" s="4"/>
      <c r="AJ3018" s="13" t="n">
        <v>1</v>
      </c>
      <c r="AK3018" s="4"/>
      <c r="AL3018" s="4" t="s">
        <v>4032</v>
      </c>
      <c r="AM3018" s="4" t="s">
        <v>4014</v>
      </c>
    </row>
    <row r="3019" customFormat="false" ht="35.05" hidden="false" customHeight="false" outlineLevel="0" collapsed="false">
      <c r="A3019" s="4" t="s">
        <v>4005</v>
      </c>
      <c r="B3019" s="4" t="s">
        <v>4033</v>
      </c>
      <c r="C3019" s="4" t="s">
        <v>4034</v>
      </c>
      <c r="D3019" s="12" t="n">
        <v>2018</v>
      </c>
      <c r="E3019" s="12" t="n">
        <v>2018</v>
      </c>
      <c r="F3019" s="4" t="s">
        <v>169</v>
      </c>
      <c r="G3019" s="4" t="s">
        <v>3999</v>
      </c>
      <c r="H3019" s="4" t="s">
        <v>4000</v>
      </c>
      <c r="I3019" s="4" t="s">
        <v>4001</v>
      </c>
      <c r="J3019" s="4" t="s">
        <v>4035</v>
      </c>
      <c r="K3019" s="4"/>
      <c r="L3019" s="4"/>
      <c r="M3019" s="4"/>
      <c r="N3019" s="4"/>
      <c r="O3019" s="4"/>
      <c r="P3019" s="4"/>
      <c r="Q3019" s="4"/>
      <c r="R3019" s="4"/>
      <c r="S3019" s="4"/>
      <c r="T3019" s="4"/>
      <c r="U3019" s="4"/>
      <c r="V3019" s="4"/>
      <c r="W3019" s="4" t="s">
        <v>4036</v>
      </c>
      <c r="X3019" s="4" t="s">
        <v>4037</v>
      </c>
      <c r="Y3019" s="4" t="s">
        <v>4011</v>
      </c>
      <c r="Z3019" s="4" t="s">
        <v>4018</v>
      </c>
      <c r="AA3019" s="4"/>
      <c r="AB3019" s="4"/>
      <c r="AC3019" s="4" t="s">
        <v>4019</v>
      </c>
      <c r="AD3019" s="13" t="n">
        <v>0.73345698195</v>
      </c>
      <c r="AE3019" s="4"/>
      <c r="AF3019" s="4"/>
      <c r="AG3019" s="4"/>
      <c r="AH3019" s="4"/>
      <c r="AI3019" s="4"/>
      <c r="AJ3019" s="13" t="n">
        <v>1</v>
      </c>
      <c r="AK3019" s="4"/>
      <c r="AL3019" s="4" t="s">
        <v>4038</v>
      </c>
      <c r="AM3019" s="4" t="s">
        <v>4014</v>
      </c>
    </row>
    <row r="3020" customFormat="false" ht="35.05" hidden="false" customHeight="false" outlineLevel="0" collapsed="false">
      <c r="A3020" s="4" t="s">
        <v>4005</v>
      </c>
      <c r="B3020" s="4" t="s">
        <v>4039</v>
      </c>
      <c r="C3020" s="4" t="s">
        <v>4040</v>
      </c>
      <c r="D3020" s="12" t="n">
        <v>2018</v>
      </c>
      <c r="E3020" s="12" t="n">
        <v>2018</v>
      </c>
      <c r="F3020" s="4" t="s">
        <v>169</v>
      </c>
      <c r="G3020" s="4" t="s">
        <v>3999</v>
      </c>
      <c r="H3020" s="4" t="s">
        <v>4000</v>
      </c>
      <c r="I3020" s="4" t="s">
        <v>4001</v>
      </c>
      <c r="J3020" s="4" t="s">
        <v>4041</v>
      </c>
      <c r="K3020" s="4"/>
      <c r="L3020" s="4"/>
      <c r="M3020" s="4"/>
      <c r="N3020" s="4"/>
      <c r="O3020" s="4"/>
      <c r="P3020" s="4"/>
      <c r="Q3020" s="4"/>
      <c r="R3020" s="4"/>
      <c r="S3020" s="4"/>
      <c r="T3020" s="4"/>
      <c r="U3020" s="4"/>
      <c r="V3020" s="4"/>
      <c r="W3020" s="4" t="s">
        <v>4042</v>
      </c>
      <c r="X3020" s="4" t="s">
        <v>4043</v>
      </c>
      <c r="Y3020" s="4" t="s">
        <v>4011</v>
      </c>
      <c r="Z3020" s="4" t="s">
        <v>4018</v>
      </c>
      <c r="AA3020" s="4"/>
      <c r="AB3020" s="4"/>
      <c r="AC3020" s="4" t="s">
        <v>4019</v>
      </c>
      <c r="AD3020" s="13" t="n">
        <v>3.427926184194</v>
      </c>
      <c r="AE3020" s="4"/>
      <c r="AF3020" s="4"/>
      <c r="AG3020" s="4"/>
      <c r="AH3020" s="4"/>
      <c r="AI3020" s="4"/>
      <c r="AJ3020" s="13" t="n">
        <v>1</v>
      </c>
      <c r="AK3020" s="4"/>
      <c r="AL3020" s="4" t="s">
        <v>4044</v>
      </c>
      <c r="AM3020" s="4" t="s">
        <v>4014</v>
      </c>
    </row>
    <row r="3021" customFormat="false" ht="35.05" hidden="false" customHeight="false" outlineLevel="0" collapsed="false">
      <c r="A3021" s="4" t="s">
        <v>4005</v>
      </c>
      <c r="B3021" s="4" t="s">
        <v>4045</v>
      </c>
      <c r="C3021" s="4" t="s">
        <v>4046</v>
      </c>
      <c r="D3021" s="12" t="n">
        <v>2018</v>
      </c>
      <c r="E3021" s="12" t="n">
        <v>2018</v>
      </c>
      <c r="F3021" s="4" t="s">
        <v>169</v>
      </c>
      <c r="G3021" s="4" t="s">
        <v>3999</v>
      </c>
      <c r="H3021" s="4" t="s">
        <v>4000</v>
      </c>
      <c r="I3021" s="4" t="s">
        <v>4001</v>
      </c>
      <c r="J3021" s="4" t="s">
        <v>4047</v>
      </c>
      <c r="K3021" s="4"/>
      <c r="L3021" s="4"/>
      <c r="M3021" s="4"/>
      <c r="N3021" s="4"/>
      <c r="O3021" s="4"/>
      <c r="P3021" s="4"/>
      <c r="Q3021" s="4"/>
      <c r="R3021" s="4"/>
      <c r="S3021" s="4"/>
      <c r="T3021" s="4"/>
      <c r="U3021" s="4"/>
      <c r="V3021" s="4"/>
      <c r="W3021" s="4" t="s">
        <v>4009</v>
      </c>
      <c r="X3021" s="4" t="s">
        <v>4010</v>
      </c>
      <c r="Y3021" s="4" t="s">
        <v>4011</v>
      </c>
      <c r="Z3021" s="4" t="s">
        <v>4048</v>
      </c>
      <c r="AA3021" s="4"/>
      <c r="AB3021" s="4"/>
      <c r="AC3021" s="4" t="s">
        <v>4019</v>
      </c>
      <c r="AD3021" s="13" t="n">
        <v>6.83358559699465</v>
      </c>
      <c r="AE3021" s="4"/>
      <c r="AF3021" s="4"/>
      <c r="AG3021" s="4"/>
      <c r="AH3021" s="4"/>
      <c r="AI3021" s="4"/>
      <c r="AJ3021" s="13" t="n">
        <v>1</v>
      </c>
      <c r="AK3021" s="4"/>
      <c r="AL3021" s="4" t="s">
        <v>4049</v>
      </c>
      <c r="AM3021" s="4" t="s">
        <v>4014</v>
      </c>
    </row>
    <row r="3022" customFormat="false" ht="35.05" hidden="false" customHeight="false" outlineLevel="0" collapsed="false">
      <c r="A3022" s="4" t="s">
        <v>4005</v>
      </c>
      <c r="B3022" s="4" t="s">
        <v>4050</v>
      </c>
      <c r="C3022" s="4" t="s">
        <v>4051</v>
      </c>
      <c r="D3022" s="12" t="n">
        <v>2018</v>
      </c>
      <c r="E3022" s="12" t="n">
        <v>2018</v>
      </c>
      <c r="F3022" s="4" t="s">
        <v>169</v>
      </c>
      <c r="G3022" s="4" t="s">
        <v>3999</v>
      </c>
      <c r="H3022" s="4" t="s">
        <v>4000</v>
      </c>
      <c r="I3022" s="4" t="s">
        <v>4001</v>
      </c>
      <c r="J3022" s="4" t="s">
        <v>4052</v>
      </c>
      <c r="K3022" s="4"/>
      <c r="L3022" s="4"/>
      <c r="M3022" s="4"/>
      <c r="N3022" s="4"/>
      <c r="O3022" s="4"/>
      <c r="P3022" s="4"/>
      <c r="Q3022" s="4"/>
      <c r="R3022" s="4"/>
      <c r="S3022" s="4"/>
      <c r="T3022" s="4"/>
      <c r="U3022" s="4"/>
      <c r="V3022" s="4"/>
      <c r="W3022" s="4" t="s">
        <v>4030</v>
      </c>
      <c r="X3022" s="4" t="s">
        <v>4031</v>
      </c>
      <c r="Y3022" s="4" t="s">
        <v>4011</v>
      </c>
      <c r="Z3022" s="4" t="s">
        <v>4048</v>
      </c>
      <c r="AA3022" s="4"/>
      <c r="AB3022" s="4"/>
      <c r="AC3022" s="4" t="s">
        <v>4019</v>
      </c>
      <c r="AD3022" s="13" t="n">
        <v>0.868634599923576</v>
      </c>
      <c r="AE3022" s="4"/>
      <c r="AF3022" s="4"/>
      <c r="AG3022" s="4"/>
      <c r="AH3022" s="4"/>
      <c r="AI3022" s="4"/>
      <c r="AJ3022" s="13" t="n">
        <v>1</v>
      </c>
      <c r="AK3022" s="4"/>
      <c r="AL3022" s="4" t="s">
        <v>4053</v>
      </c>
      <c r="AM3022" s="4" t="s">
        <v>4014</v>
      </c>
    </row>
    <row r="3023" customFormat="false" ht="35.05" hidden="false" customHeight="false" outlineLevel="0" collapsed="false">
      <c r="A3023" s="4" t="s">
        <v>4005</v>
      </c>
      <c r="B3023" s="4" t="s">
        <v>4054</v>
      </c>
      <c r="C3023" s="4" t="s">
        <v>4055</v>
      </c>
      <c r="D3023" s="12" t="n">
        <v>2018</v>
      </c>
      <c r="E3023" s="12" t="n">
        <v>2018</v>
      </c>
      <c r="F3023" s="4" t="s">
        <v>169</v>
      </c>
      <c r="G3023" s="4" t="s">
        <v>3999</v>
      </c>
      <c r="H3023" s="4" t="s">
        <v>4000</v>
      </c>
      <c r="I3023" s="4" t="s">
        <v>4001</v>
      </c>
      <c r="J3023" s="4" t="s">
        <v>4056</v>
      </c>
      <c r="K3023" s="4"/>
      <c r="L3023" s="4"/>
      <c r="M3023" s="4"/>
      <c r="N3023" s="4"/>
      <c r="O3023" s="4"/>
      <c r="P3023" s="4"/>
      <c r="Q3023" s="4"/>
      <c r="R3023" s="4"/>
      <c r="S3023" s="4"/>
      <c r="T3023" s="4"/>
      <c r="U3023" s="4"/>
      <c r="V3023" s="4"/>
      <c r="W3023" s="4" t="s">
        <v>4057</v>
      </c>
      <c r="X3023" s="4" t="s">
        <v>4058</v>
      </c>
      <c r="Y3023" s="4" t="s">
        <v>4011</v>
      </c>
      <c r="Z3023" s="4" t="s">
        <v>4048</v>
      </c>
      <c r="AA3023" s="4"/>
      <c r="AB3023" s="4"/>
      <c r="AC3023" s="4" t="s">
        <v>4019</v>
      </c>
      <c r="AD3023" s="13" t="n">
        <v>5.51640030403902</v>
      </c>
      <c r="AE3023" s="4"/>
      <c r="AF3023" s="4"/>
      <c r="AG3023" s="4"/>
      <c r="AH3023" s="4"/>
      <c r="AI3023" s="4"/>
      <c r="AJ3023" s="13" t="n">
        <v>1</v>
      </c>
      <c r="AK3023" s="4"/>
      <c r="AL3023" s="4" t="s">
        <v>4059</v>
      </c>
      <c r="AM3023" s="4" t="s">
        <v>4014</v>
      </c>
    </row>
    <row r="3024" customFormat="false" ht="35.05" hidden="false" customHeight="false" outlineLevel="0" collapsed="false">
      <c r="A3024" s="4" t="s">
        <v>4005</v>
      </c>
      <c r="B3024" s="4" t="s">
        <v>4060</v>
      </c>
      <c r="C3024" s="4" t="s">
        <v>4061</v>
      </c>
      <c r="D3024" s="12" t="n">
        <v>2018</v>
      </c>
      <c r="E3024" s="12" t="n">
        <v>2018</v>
      </c>
      <c r="F3024" s="4" t="s">
        <v>169</v>
      </c>
      <c r="G3024" s="4" t="s">
        <v>3999</v>
      </c>
      <c r="H3024" s="4" t="s">
        <v>4000</v>
      </c>
      <c r="I3024" s="4" t="s">
        <v>4001</v>
      </c>
      <c r="J3024" s="4" t="s">
        <v>4062</v>
      </c>
      <c r="K3024" s="4"/>
      <c r="L3024" s="4"/>
      <c r="M3024" s="4"/>
      <c r="N3024" s="4"/>
      <c r="O3024" s="4"/>
      <c r="P3024" s="4"/>
      <c r="Q3024" s="4"/>
      <c r="R3024" s="4"/>
      <c r="S3024" s="4"/>
      <c r="T3024" s="4"/>
      <c r="U3024" s="4"/>
      <c r="V3024" s="4"/>
      <c r="W3024" s="4" t="s">
        <v>4042</v>
      </c>
      <c r="X3024" s="4" t="s">
        <v>4043</v>
      </c>
      <c r="Y3024" s="4" t="s">
        <v>4011</v>
      </c>
      <c r="Z3024" s="4" t="s">
        <v>4048</v>
      </c>
      <c r="AA3024" s="4"/>
      <c r="AB3024" s="4"/>
      <c r="AC3024" s="4" t="s">
        <v>4019</v>
      </c>
      <c r="AD3024" s="13" t="n">
        <v>0.3129845646438</v>
      </c>
      <c r="AE3024" s="4"/>
      <c r="AF3024" s="4"/>
      <c r="AG3024" s="4"/>
      <c r="AH3024" s="4"/>
      <c r="AI3024" s="4"/>
      <c r="AJ3024" s="13" t="n">
        <v>1</v>
      </c>
      <c r="AK3024" s="4"/>
      <c r="AL3024" s="4" t="s">
        <v>4063</v>
      </c>
      <c r="AM3024" s="4" t="s">
        <v>4014</v>
      </c>
    </row>
    <row r="3025" customFormat="false" ht="35.05" hidden="false" customHeight="false" outlineLevel="0" collapsed="false">
      <c r="A3025" s="4" t="s">
        <v>3996</v>
      </c>
      <c r="B3025" s="4" t="s">
        <v>4064</v>
      </c>
      <c r="C3025" s="4" t="s">
        <v>4065</v>
      </c>
      <c r="D3025" s="12" t="n">
        <v>2019</v>
      </c>
      <c r="E3025" s="12" t="n">
        <v>2019</v>
      </c>
      <c r="F3025" s="4" t="s">
        <v>169</v>
      </c>
      <c r="G3025" s="4" t="s">
        <v>3999</v>
      </c>
      <c r="H3025" s="4" t="s">
        <v>4000</v>
      </c>
      <c r="I3025" s="4" t="s">
        <v>4001</v>
      </c>
      <c r="J3025" s="4" t="s">
        <v>4066</v>
      </c>
      <c r="K3025" s="4" t="s">
        <v>86</v>
      </c>
      <c r="L3025" s="4"/>
      <c r="M3025" s="4"/>
      <c r="N3025" s="4"/>
      <c r="O3025" s="4"/>
      <c r="P3025" s="4" t="s">
        <v>67</v>
      </c>
      <c r="Q3025" s="4" t="s">
        <v>2097</v>
      </c>
      <c r="R3025" s="4"/>
      <c r="S3025" s="4"/>
      <c r="T3025" s="4"/>
      <c r="U3025" s="13" t="n">
        <v>7.51205924</v>
      </c>
      <c r="V3025" s="4"/>
      <c r="W3025" s="4" t="s">
        <v>3395</v>
      </c>
      <c r="X3025" s="4" t="s">
        <v>3396</v>
      </c>
      <c r="Y3025" s="4" t="s">
        <v>3397</v>
      </c>
      <c r="Z3025" s="4"/>
      <c r="AA3025" s="4"/>
      <c r="AB3025" s="4"/>
      <c r="AC3025" s="4"/>
      <c r="AD3025" s="4"/>
      <c r="AE3025" s="4"/>
      <c r="AF3025" s="4"/>
      <c r="AG3025" s="4"/>
      <c r="AH3025" s="4"/>
      <c r="AI3025" s="4"/>
      <c r="AJ3025" s="4"/>
      <c r="AK3025" s="4"/>
      <c r="AL3025" s="4" t="s">
        <v>4067</v>
      </c>
      <c r="AM3025" s="4" t="s">
        <v>4004</v>
      </c>
    </row>
    <row r="3026" customFormat="false" ht="35.05" hidden="false" customHeight="false" outlineLevel="0" collapsed="false">
      <c r="A3026" s="4" t="s">
        <v>4005</v>
      </c>
      <c r="B3026" s="4" t="s">
        <v>4068</v>
      </c>
      <c r="C3026" s="4" t="s">
        <v>4069</v>
      </c>
      <c r="D3026" s="12" t="n">
        <v>2019</v>
      </c>
      <c r="E3026" s="12" t="n">
        <v>2019</v>
      </c>
      <c r="F3026" s="4" t="s">
        <v>169</v>
      </c>
      <c r="G3026" s="4" t="s">
        <v>3999</v>
      </c>
      <c r="H3026" s="4" t="s">
        <v>4000</v>
      </c>
      <c r="I3026" s="4" t="s">
        <v>4001</v>
      </c>
      <c r="J3026" s="4" t="s">
        <v>4070</v>
      </c>
      <c r="K3026" s="4"/>
      <c r="L3026" s="4"/>
      <c r="M3026" s="4"/>
      <c r="N3026" s="4"/>
      <c r="O3026" s="4"/>
      <c r="P3026" s="4"/>
      <c r="Q3026" s="4"/>
      <c r="R3026" s="4"/>
      <c r="S3026" s="4"/>
      <c r="T3026" s="4"/>
      <c r="U3026" s="4"/>
      <c r="V3026" s="4"/>
      <c r="W3026" s="4" t="s">
        <v>4009</v>
      </c>
      <c r="X3026" s="4" t="s">
        <v>4010</v>
      </c>
      <c r="Y3026" s="4" t="s">
        <v>4011</v>
      </c>
      <c r="Z3026" s="4" t="s">
        <v>4012</v>
      </c>
      <c r="AA3026" s="4"/>
      <c r="AB3026" s="4"/>
      <c r="AC3026" s="4" t="s">
        <v>3352</v>
      </c>
      <c r="AD3026" s="13" t="n">
        <v>36.35771486</v>
      </c>
      <c r="AE3026" s="4"/>
      <c r="AF3026" s="4"/>
      <c r="AG3026" s="4"/>
      <c r="AH3026" s="4"/>
      <c r="AI3026" s="4"/>
      <c r="AJ3026" s="13" t="n">
        <v>1</v>
      </c>
      <c r="AK3026" s="4"/>
      <c r="AL3026" s="4" t="s">
        <v>4071</v>
      </c>
      <c r="AM3026" s="4" t="s">
        <v>4014</v>
      </c>
    </row>
    <row r="3027" customFormat="false" ht="35.05" hidden="false" customHeight="false" outlineLevel="0" collapsed="false">
      <c r="A3027" s="4" t="s">
        <v>4005</v>
      </c>
      <c r="B3027" s="4" t="s">
        <v>4072</v>
      </c>
      <c r="C3027" s="4" t="s">
        <v>4073</v>
      </c>
      <c r="D3027" s="12" t="n">
        <v>2019</v>
      </c>
      <c r="E3027" s="12" t="n">
        <v>2019</v>
      </c>
      <c r="F3027" s="4" t="s">
        <v>169</v>
      </c>
      <c r="G3027" s="4" t="s">
        <v>3999</v>
      </c>
      <c r="H3027" s="4" t="s">
        <v>4000</v>
      </c>
      <c r="I3027" s="4" t="s">
        <v>4001</v>
      </c>
      <c r="J3027" s="4" t="s">
        <v>4074</v>
      </c>
      <c r="K3027" s="4"/>
      <c r="L3027" s="4"/>
      <c r="M3027" s="4"/>
      <c r="N3027" s="4"/>
      <c r="O3027" s="4"/>
      <c r="P3027" s="4"/>
      <c r="Q3027" s="4"/>
      <c r="R3027" s="4"/>
      <c r="S3027" s="4"/>
      <c r="T3027" s="4"/>
      <c r="U3027" s="4"/>
      <c r="V3027" s="4"/>
      <c r="W3027" s="4" t="s">
        <v>4009</v>
      </c>
      <c r="X3027" s="4" t="s">
        <v>4010</v>
      </c>
      <c r="Y3027" s="4" t="s">
        <v>4011</v>
      </c>
      <c r="Z3027" s="4" t="s">
        <v>4018</v>
      </c>
      <c r="AA3027" s="4"/>
      <c r="AB3027" s="4"/>
      <c r="AC3027" s="4" t="s">
        <v>4019</v>
      </c>
      <c r="AD3027" s="13" t="n">
        <v>187.120623624344</v>
      </c>
      <c r="AE3027" s="4"/>
      <c r="AF3027" s="4"/>
      <c r="AG3027" s="4"/>
      <c r="AH3027" s="4"/>
      <c r="AI3027" s="4"/>
      <c r="AJ3027" s="13" t="n">
        <v>1</v>
      </c>
      <c r="AK3027" s="4"/>
      <c r="AL3027" s="4" t="s">
        <v>4075</v>
      </c>
      <c r="AM3027" s="4" t="s">
        <v>4014</v>
      </c>
    </row>
    <row r="3028" customFormat="false" ht="35.05" hidden="false" customHeight="false" outlineLevel="0" collapsed="false">
      <c r="A3028" s="4" t="s">
        <v>4005</v>
      </c>
      <c r="B3028" s="4" t="s">
        <v>4076</v>
      </c>
      <c r="C3028" s="4" t="s">
        <v>4077</v>
      </c>
      <c r="D3028" s="12" t="n">
        <v>2019</v>
      </c>
      <c r="E3028" s="12" t="n">
        <v>2019</v>
      </c>
      <c r="F3028" s="4" t="s">
        <v>169</v>
      </c>
      <c r="G3028" s="4" t="s">
        <v>3999</v>
      </c>
      <c r="H3028" s="4" t="s">
        <v>4000</v>
      </c>
      <c r="I3028" s="4" t="s">
        <v>4001</v>
      </c>
      <c r="J3028" s="4" t="s">
        <v>4078</v>
      </c>
      <c r="K3028" s="4"/>
      <c r="L3028" s="4"/>
      <c r="M3028" s="4"/>
      <c r="N3028" s="4"/>
      <c r="O3028" s="4"/>
      <c r="P3028" s="4"/>
      <c r="Q3028" s="4"/>
      <c r="R3028" s="4"/>
      <c r="S3028" s="4"/>
      <c r="T3028" s="4"/>
      <c r="U3028" s="4"/>
      <c r="V3028" s="4"/>
      <c r="W3028" s="4" t="s">
        <v>4024</v>
      </c>
      <c r="X3028" s="4" t="s">
        <v>4025</v>
      </c>
      <c r="Y3028" s="4" t="s">
        <v>4011</v>
      </c>
      <c r="Z3028" s="4" t="s">
        <v>4018</v>
      </c>
      <c r="AA3028" s="4"/>
      <c r="AB3028" s="4"/>
      <c r="AC3028" s="4" t="s">
        <v>4019</v>
      </c>
      <c r="AD3028" s="13" t="n">
        <v>169.219204</v>
      </c>
      <c r="AE3028" s="4"/>
      <c r="AF3028" s="4"/>
      <c r="AG3028" s="4"/>
      <c r="AH3028" s="4"/>
      <c r="AI3028" s="4"/>
      <c r="AJ3028" s="13" t="n">
        <v>1</v>
      </c>
      <c r="AK3028" s="4"/>
      <c r="AL3028" s="4" t="s">
        <v>4079</v>
      </c>
      <c r="AM3028" s="4" t="s">
        <v>4014</v>
      </c>
    </row>
    <row r="3029" customFormat="false" ht="35.05" hidden="false" customHeight="false" outlineLevel="0" collapsed="false">
      <c r="A3029" s="4" t="s">
        <v>4005</v>
      </c>
      <c r="B3029" s="4" t="s">
        <v>4080</v>
      </c>
      <c r="C3029" s="4" t="s">
        <v>4081</v>
      </c>
      <c r="D3029" s="12" t="n">
        <v>2019</v>
      </c>
      <c r="E3029" s="12" t="n">
        <v>2019</v>
      </c>
      <c r="F3029" s="4" t="s">
        <v>169</v>
      </c>
      <c r="G3029" s="4" t="s">
        <v>3999</v>
      </c>
      <c r="H3029" s="4" t="s">
        <v>4000</v>
      </c>
      <c r="I3029" s="4" t="s">
        <v>4001</v>
      </c>
      <c r="J3029" s="4" t="s">
        <v>4082</v>
      </c>
      <c r="K3029" s="4"/>
      <c r="L3029" s="4"/>
      <c r="M3029" s="4"/>
      <c r="N3029" s="4"/>
      <c r="O3029" s="4"/>
      <c r="P3029" s="4"/>
      <c r="Q3029" s="4"/>
      <c r="R3029" s="4"/>
      <c r="S3029" s="4"/>
      <c r="T3029" s="4"/>
      <c r="U3029" s="4"/>
      <c r="V3029" s="4"/>
      <c r="W3029" s="4" t="s">
        <v>4030</v>
      </c>
      <c r="X3029" s="4" t="s">
        <v>4031</v>
      </c>
      <c r="Y3029" s="4" t="s">
        <v>4011</v>
      </c>
      <c r="Z3029" s="4" t="s">
        <v>4018</v>
      </c>
      <c r="AA3029" s="4"/>
      <c r="AB3029" s="4"/>
      <c r="AC3029" s="4" t="s">
        <v>4019</v>
      </c>
      <c r="AD3029" s="13" t="n">
        <v>6.01047974</v>
      </c>
      <c r="AE3029" s="4"/>
      <c r="AF3029" s="4"/>
      <c r="AG3029" s="4"/>
      <c r="AH3029" s="4"/>
      <c r="AI3029" s="4"/>
      <c r="AJ3029" s="13" t="n">
        <v>1</v>
      </c>
      <c r="AK3029" s="4"/>
      <c r="AL3029" s="4" t="s">
        <v>4083</v>
      </c>
      <c r="AM3029" s="4" t="s">
        <v>4014</v>
      </c>
    </row>
    <row r="3030" customFormat="false" ht="35.05" hidden="false" customHeight="false" outlineLevel="0" collapsed="false">
      <c r="A3030" s="4" t="s">
        <v>4005</v>
      </c>
      <c r="B3030" s="4" t="s">
        <v>4084</v>
      </c>
      <c r="C3030" s="4" t="s">
        <v>4085</v>
      </c>
      <c r="D3030" s="12" t="n">
        <v>2019</v>
      </c>
      <c r="E3030" s="12" t="n">
        <v>2019</v>
      </c>
      <c r="F3030" s="4" t="s">
        <v>169</v>
      </c>
      <c r="G3030" s="4" t="s">
        <v>3999</v>
      </c>
      <c r="H3030" s="4" t="s">
        <v>4000</v>
      </c>
      <c r="I3030" s="4" t="s">
        <v>4001</v>
      </c>
      <c r="J3030" s="4" t="s">
        <v>4086</v>
      </c>
      <c r="K3030" s="4"/>
      <c r="L3030" s="4"/>
      <c r="M3030" s="4"/>
      <c r="N3030" s="4"/>
      <c r="O3030" s="4"/>
      <c r="P3030" s="4"/>
      <c r="Q3030" s="4"/>
      <c r="R3030" s="4"/>
      <c r="S3030" s="4"/>
      <c r="T3030" s="4"/>
      <c r="U3030" s="4"/>
      <c r="V3030" s="4"/>
      <c r="W3030" s="4" t="s">
        <v>4036</v>
      </c>
      <c r="X3030" s="4" t="s">
        <v>4037</v>
      </c>
      <c r="Y3030" s="4" t="s">
        <v>4011</v>
      </c>
      <c r="Z3030" s="4" t="s">
        <v>4018</v>
      </c>
      <c r="AA3030" s="4"/>
      <c r="AB3030" s="4"/>
      <c r="AC3030" s="4" t="s">
        <v>4019</v>
      </c>
      <c r="AD3030" s="13" t="n">
        <v>0.76926686298</v>
      </c>
      <c r="AE3030" s="4"/>
      <c r="AF3030" s="4"/>
      <c r="AG3030" s="4"/>
      <c r="AH3030" s="4"/>
      <c r="AI3030" s="4"/>
      <c r="AJ3030" s="13" t="n">
        <v>1</v>
      </c>
      <c r="AK3030" s="4"/>
      <c r="AL3030" s="4" t="s">
        <v>4087</v>
      </c>
      <c r="AM3030" s="4" t="s">
        <v>4014</v>
      </c>
    </row>
    <row r="3031" customFormat="false" ht="35.05" hidden="false" customHeight="false" outlineLevel="0" collapsed="false">
      <c r="A3031" s="4" t="s">
        <v>4005</v>
      </c>
      <c r="B3031" s="4" t="s">
        <v>4088</v>
      </c>
      <c r="C3031" s="4" t="s">
        <v>4089</v>
      </c>
      <c r="D3031" s="12" t="n">
        <v>2019</v>
      </c>
      <c r="E3031" s="12" t="n">
        <v>2019</v>
      </c>
      <c r="F3031" s="4" t="s">
        <v>169</v>
      </c>
      <c r="G3031" s="4" t="s">
        <v>3999</v>
      </c>
      <c r="H3031" s="4" t="s">
        <v>4000</v>
      </c>
      <c r="I3031" s="4" t="s">
        <v>4001</v>
      </c>
      <c r="J3031" s="4" t="s">
        <v>4090</v>
      </c>
      <c r="K3031" s="4"/>
      <c r="L3031" s="4"/>
      <c r="M3031" s="4"/>
      <c r="N3031" s="4"/>
      <c r="O3031" s="4"/>
      <c r="P3031" s="4"/>
      <c r="Q3031" s="4"/>
      <c r="R3031" s="4"/>
      <c r="S3031" s="4"/>
      <c r="T3031" s="4"/>
      <c r="U3031" s="4"/>
      <c r="V3031" s="4"/>
      <c r="W3031" s="4" t="s">
        <v>4042</v>
      </c>
      <c r="X3031" s="4" t="s">
        <v>4043</v>
      </c>
      <c r="Y3031" s="4" t="s">
        <v>4011</v>
      </c>
      <c r="Z3031" s="4" t="s">
        <v>4018</v>
      </c>
      <c r="AA3031" s="4"/>
      <c r="AB3031" s="4"/>
      <c r="AC3031" s="4" t="s">
        <v>4019</v>
      </c>
      <c r="AD3031" s="13" t="n">
        <v>6.415668081546</v>
      </c>
      <c r="AE3031" s="4"/>
      <c r="AF3031" s="4"/>
      <c r="AG3031" s="4"/>
      <c r="AH3031" s="4"/>
      <c r="AI3031" s="4"/>
      <c r="AJ3031" s="13" t="n">
        <v>1</v>
      </c>
      <c r="AK3031" s="4"/>
      <c r="AL3031" s="4" t="s">
        <v>4091</v>
      </c>
      <c r="AM3031" s="4" t="s">
        <v>4014</v>
      </c>
    </row>
    <row r="3032" customFormat="false" ht="35.05" hidden="false" customHeight="false" outlineLevel="0" collapsed="false">
      <c r="A3032" s="4" t="s">
        <v>4005</v>
      </c>
      <c r="B3032" s="4" t="s">
        <v>4092</v>
      </c>
      <c r="C3032" s="4" t="s">
        <v>4093</v>
      </c>
      <c r="D3032" s="12" t="n">
        <v>2019</v>
      </c>
      <c r="E3032" s="12" t="n">
        <v>2019</v>
      </c>
      <c r="F3032" s="4" t="s">
        <v>169</v>
      </c>
      <c r="G3032" s="4" t="s">
        <v>3999</v>
      </c>
      <c r="H3032" s="4" t="s">
        <v>4000</v>
      </c>
      <c r="I3032" s="4" t="s">
        <v>4001</v>
      </c>
      <c r="J3032" s="4" t="s">
        <v>4094</v>
      </c>
      <c r="K3032" s="4"/>
      <c r="L3032" s="4"/>
      <c r="M3032" s="4"/>
      <c r="N3032" s="4"/>
      <c r="O3032" s="4"/>
      <c r="P3032" s="4"/>
      <c r="Q3032" s="4"/>
      <c r="R3032" s="4"/>
      <c r="S3032" s="4"/>
      <c r="T3032" s="4"/>
      <c r="U3032" s="4"/>
      <c r="V3032" s="4"/>
      <c r="W3032" s="4" t="s">
        <v>4009</v>
      </c>
      <c r="X3032" s="4" t="s">
        <v>4010</v>
      </c>
      <c r="Y3032" s="4" t="s">
        <v>4011</v>
      </c>
      <c r="Z3032" s="4" t="s">
        <v>4048</v>
      </c>
      <c r="AA3032" s="4"/>
      <c r="AB3032" s="4"/>
      <c r="AC3032" s="4" t="s">
        <v>4019</v>
      </c>
      <c r="AD3032" s="13" t="n">
        <v>6.40749999117367</v>
      </c>
      <c r="AE3032" s="4"/>
      <c r="AF3032" s="4"/>
      <c r="AG3032" s="4"/>
      <c r="AH3032" s="4"/>
      <c r="AI3032" s="4"/>
      <c r="AJ3032" s="13" t="n">
        <v>1</v>
      </c>
      <c r="AK3032" s="4"/>
      <c r="AL3032" s="4" t="s">
        <v>4095</v>
      </c>
      <c r="AM3032" s="4" t="s">
        <v>4014</v>
      </c>
    </row>
    <row r="3033" customFormat="false" ht="35.05" hidden="false" customHeight="false" outlineLevel="0" collapsed="false">
      <c r="A3033" s="4" t="s">
        <v>4005</v>
      </c>
      <c r="B3033" s="4" t="s">
        <v>4096</v>
      </c>
      <c r="C3033" s="4" t="s">
        <v>4097</v>
      </c>
      <c r="D3033" s="12" t="n">
        <v>2019</v>
      </c>
      <c r="E3033" s="12" t="n">
        <v>2019</v>
      </c>
      <c r="F3033" s="4" t="s">
        <v>169</v>
      </c>
      <c r="G3033" s="4" t="s">
        <v>3999</v>
      </c>
      <c r="H3033" s="4" t="s">
        <v>4000</v>
      </c>
      <c r="I3033" s="4" t="s">
        <v>4001</v>
      </c>
      <c r="J3033" s="4" t="s">
        <v>4098</v>
      </c>
      <c r="K3033" s="4"/>
      <c r="L3033" s="4"/>
      <c r="M3033" s="4"/>
      <c r="N3033" s="4"/>
      <c r="O3033" s="4"/>
      <c r="P3033" s="4"/>
      <c r="Q3033" s="4"/>
      <c r="R3033" s="4"/>
      <c r="S3033" s="4"/>
      <c r="T3033" s="4"/>
      <c r="U3033" s="4"/>
      <c r="V3033" s="4"/>
      <c r="W3033" s="4" t="s">
        <v>4030</v>
      </c>
      <c r="X3033" s="4" t="s">
        <v>4031</v>
      </c>
      <c r="Y3033" s="4" t="s">
        <v>4011</v>
      </c>
      <c r="Z3033" s="4" t="s">
        <v>4048</v>
      </c>
      <c r="AA3033" s="4"/>
      <c r="AB3033" s="4"/>
      <c r="AC3033" s="4" t="s">
        <v>4019</v>
      </c>
      <c r="AD3033" s="13" t="n">
        <v>0.882510542946683</v>
      </c>
      <c r="AE3033" s="4"/>
      <c r="AF3033" s="4"/>
      <c r="AG3033" s="4"/>
      <c r="AH3033" s="4"/>
      <c r="AI3033" s="4"/>
      <c r="AJ3033" s="13" t="n">
        <v>1</v>
      </c>
      <c r="AK3033" s="4"/>
      <c r="AL3033" s="4" t="s">
        <v>4099</v>
      </c>
      <c r="AM3033" s="4" t="s">
        <v>4014</v>
      </c>
    </row>
    <row r="3034" customFormat="false" ht="35.05" hidden="false" customHeight="false" outlineLevel="0" collapsed="false">
      <c r="A3034" s="4" t="s">
        <v>4005</v>
      </c>
      <c r="B3034" s="4" t="s">
        <v>4100</v>
      </c>
      <c r="C3034" s="4" t="s">
        <v>4101</v>
      </c>
      <c r="D3034" s="12" t="n">
        <v>2019</v>
      </c>
      <c r="E3034" s="12" t="n">
        <v>2019</v>
      </c>
      <c r="F3034" s="4" t="s">
        <v>169</v>
      </c>
      <c r="G3034" s="4" t="s">
        <v>3999</v>
      </c>
      <c r="H3034" s="4" t="s">
        <v>4000</v>
      </c>
      <c r="I3034" s="4" t="s">
        <v>4001</v>
      </c>
      <c r="J3034" s="4" t="s">
        <v>4102</v>
      </c>
      <c r="K3034" s="4"/>
      <c r="L3034" s="4"/>
      <c r="M3034" s="4"/>
      <c r="N3034" s="4"/>
      <c r="O3034" s="4"/>
      <c r="P3034" s="4"/>
      <c r="Q3034" s="4"/>
      <c r="R3034" s="4"/>
      <c r="S3034" s="4"/>
      <c r="T3034" s="4"/>
      <c r="U3034" s="4"/>
      <c r="V3034" s="4"/>
      <c r="W3034" s="4" t="s">
        <v>4057</v>
      </c>
      <c r="X3034" s="4" t="s">
        <v>4058</v>
      </c>
      <c r="Y3034" s="4" t="s">
        <v>4011</v>
      </c>
      <c r="Z3034" s="4" t="s">
        <v>4048</v>
      </c>
      <c r="AA3034" s="4"/>
      <c r="AB3034" s="4"/>
      <c r="AC3034" s="4" t="s">
        <v>4019</v>
      </c>
      <c r="AD3034" s="13" t="n">
        <v>4.81720352269603</v>
      </c>
      <c r="AE3034" s="4"/>
      <c r="AF3034" s="4"/>
      <c r="AG3034" s="4"/>
      <c r="AH3034" s="4"/>
      <c r="AI3034" s="4"/>
      <c r="AJ3034" s="13" t="n">
        <v>1</v>
      </c>
      <c r="AK3034" s="4"/>
      <c r="AL3034" s="4" t="s">
        <v>4103</v>
      </c>
      <c r="AM3034" s="4" t="s">
        <v>4014</v>
      </c>
    </row>
    <row r="3035" customFormat="false" ht="35.05" hidden="false" customHeight="false" outlineLevel="0" collapsed="false">
      <c r="A3035" s="4" t="s">
        <v>4005</v>
      </c>
      <c r="B3035" s="4" t="s">
        <v>4104</v>
      </c>
      <c r="C3035" s="4" t="s">
        <v>4105</v>
      </c>
      <c r="D3035" s="12" t="n">
        <v>2019</v>
      </c>
      <c r="E3035" s="12" t="n">
        <v>2019</v>
      </c>
      <c r="F3035" s="4" t="s">
        <v>169</v>
      </c>
      <c r="G3035" s="4" t="s">
        <v>3999</v>
      </c>
      <c r="H3035" s="4" t="s">
        <v>4000</v>
      </c>
      <c r="I3035" s="4" t="s">
        <v>4001</v>
      </c>
      <c r="J3035" s="4" t="s">
        <v>4106</v>
      </c>
      <c r="K3035" s="4"/>
      <c r="L3035" s="4"/>
      <c r="M3035" s="4"/>
      <c r="N3035" s="4"/>
      <c r="O3035" s="4"/>
      <c r="P3035" s="4"/>
      <c r="Q3035" s="4"/>
      <c r="R3035" s="4"/>
      <c r="S3035" s="4"/>
      <c r="T3035" s="4"/>
      <c r="U3035" s="4"/>
      <c r="V3035" s="4"/>
      <c r="W3035" s="4" t="s">
        <v>4042</v>
      </c>
      <c r="X3035" s="4" t="s">
        <v>4043</v>
      </c>
      <c r="Y3035" s="4" t="s">
        <v>4011</v>
      </c>
      <c r="Z3035" s="4" t="s">
        <v>4048</v>
      </c>
      <c r="AA3035" s="4"/>
      <c r="AB3035" s="4"/>
      <c r="AC3035" s="4" t="s">
        <v>4019</v>
      </c>
      <c r="AD3035" s="13" t="n">
        <v>0.5857783900542</v>
      </c>
      <c r="AE3035" s="4"/>
      <c r="AF3035" s="4"/>
      <c r="AG3035" s="4"/>
      <c r="AH3035" s="4"/>
      <c r="AI3035" s="4"/>
      <c r="AJ3035" s="13" t="n">
        <v>1</v>
      </c>
      <c r="AK3035" s="4"/>
      <c r="AL3035" s="4" t="s">
        <v>4107</v>
      </c>
      <c r="AM3035" s="4" t="s">
        <v>4014</v>
      </c>
    </row>
    <row r="3036" customFormat="false" ht="35.05" hidden="false" customHeight="false" outlineLevel="0" collapsed="false">
      <c r="A3036" s="4" t="s">
        <v>3996</v>
      </c>
      <c r="B3036" s="4" t="s">
        <v>4108</v>
      </c>
      <c r="C3036" s="4" t="s">
        <v>4109</v>
      </c>
      <c r="D3036" s="12" t="n">
        <v>2020</v>
      </c>
      <c r="E3036" s="12" t="n">
        <v>2020</v>
      </c>
      <c r="F3036" s="4" t="s">
        <v>169</v>
      </c>
      <c r="G3036" s="4" t="s">
        <v>3999</v>
      </c>
      <c r="H3036" s="4" t="s">
        <v>4000</v>
      </c>
      <c r="I3036" s="4" t="s">
        <v>4001</v>
      </c>
      <c r="J3036" s="4" t="s">
        <v>4110</v>
      </c>
      <c r="K3036" s="4" t="s">
        <v>86</v>
      </c>
      <c r="L3036" s="4"/>
      <c r="M3036" s="4"/>
      <c r="N3036" s="4"/>
      <c r="O3036" s="4"/>
      <c r="P3036" s="4" t="s">
        <v>67</v>
      </c>
      <c r="Q3036" s="4" t="s">
        <v>2097</v>
      </c>
      <c r="R3036" s="4"/>
      <c r="S3036" s="4"/>
      <c r="T3036" s="4"/>
      <c r="U3036" s="13" t="n">
        <v>2.18344286</v>
      </c>
      <c r="V3036" s="4"/>
      <c r="W3036" s="4" t="s">
        <v>3395</v>
      </c>
      <c r="X3036" s="4" t="s">
        <v>3396</v>
      </c>
      <c r="Y3036" s="4" t="s">
        <v>3397</v>
      </c>
      <c r="Z3036" s="4"/>
      <c r="AA3036" s="4"/>
      <c r="AB3036" s="4"/>
      <c r="AC3036" s="4"/>
      <c r="AD3036" s="4"/>
      <c r="AE3036" s="4"/>
      <c r="AF3036" s="4"/>
      <c r="AG3036" s="4"/>
      <c r="AH3036" s="4"/>
      <c r="AI3036" s="4"/>
      <c r="AJ3036" s="4"/>
      <c r="AK3036" s="4"/>
      <c r="AL3036" s="4" t="s">
        <v>4111</v>
      </c>
      <c r="AM3036" s="4" t="s">
        <v>4004</v>
      </c>
    </row>
    <row r="3037" customFormat="false" ht="35.05" hidden="false" customHeight="false" outlineLevel="0" collapsed="false">
      <c r="A3037" s="4" t="s">
        <v>4005</v>
      </c>
      <c r="B3037" s="4" t="s">
        <v>4112</v>
      </c>
      <c r="C3037" s="4" t="s">
        <v>4113</v>
      </c>
      <c r="D3037" s="12" t="n">
        <v>2020</v>
      </c>
      <c r="E3037" s="12" t="n">
        <v>2020</v>
      </c>
      <c r="F3037" s="4" t="s">
        <v>169</v>
      </c>
      <c r="G3037" s="4" t="s">
        <v>3999</v>
      </c>
      <c r="H3037" s="4" t="s">
        <v>4000</v>
      </c>
      <c r="I3037" s="4" t="s">
        <v>4001</v>
      </c>
      <c r="J3037" s="4" t="s">
        <v>4114</v>
      </c>
      <c r="K3037" s="4"/>
      <c r="L3037" s="4"/>
      <c r="M3037" s="4"/>
      <c r="N3037" s="4"/>
      <c r="O3037" s="4"/>
      <c r="P3037" s="4"/>
      <c r="Q3037" s="4"/>
      <c r="R3037" s="4"/>
      <c r="S3037" s="4"/>
      <c r="T3037" s="4"/>
      <c r="U3037" s="4"/>
      <c r="V3037" s="4"/>
      <c r="W3037" s="4" t="s">
        <v>4009</v>
      </c>
      <c r="X3037" s="4" t="s">
        <v>4010</v>
      </c>
      <c r="Y3037" s="4" t="s">
        <v>4011</v>
      </c>
      <c r="Z3037" s="4" t="s">
        <v>4012</v>
      </c>
      <c r="AA3037" s="4"/>
      <c r="AB3037" s="4"/>
      <c r="AC3037" s="4" t="s">
        <v>3352</v>
      </c>
      <c r="AD3037" s="13" t="n">
        <v>39.370831</v>
      </c>
      <c r="AE3037" s="4"/>
      <c r="AF3037" s="4"/>
      <c r="AG3037" s="4"/>
      <c r="AH3037" s="4"/>
      <c r="AI3037" s="4"/>
      <c r="AJ3037" s="13" t="n">
        <v>1</v>
      </c>
      <c r="AK3037" s="4"/>
      <c r="AL3037" s="4" t="s">
        <v>4115</v>
      </c>
      <c r="AM3037" s="4" t="s">
        <v>4014</v>
      </c>
    </row>
    <row r="3038" customFormat="false" ht="35.05" hidden="false" customHeight="false" outlineLevel="0" collapsed="false">
      <c r="A3038" s="4" t="s">
        <v>4005</v>
      </c>
      <c r="B3038" s="4" t="s">
        <v>4116</v>
      </c>
      <c r="C3038" s="4" t="s">
        <v>4117</v>
      </c>
      <c r="D3038" s="12" t="n">
        <v>2020</v>
      </c>
      <c r="E3038" s="12" t="n">
        <v>2020</v>
      </c>
      <c r="F3038" s="4" t="s">
        <v>169</v>
      </c>
      <c r="G3038" s="4" t="s">
        <v>3999</v>
      </c>
      <c r="H3038" s="4" t="s">
        <v>4000</v>
      </c>
      <c r="I3038" s="4" t="s">
        <v>4001</v>
      </c>
      <c r="J3038" s="4" t="s">
        <v>4118</v>
      </c>
      <c r="K3038" s="4"/>
      <c r="L3038" s="4"/>
      <c r="M3038" s="4"/>
      <c r="N3038" s="4"/>
      <c r="O3038" s="4"/>
      <c r="P3038" s="4"/>
      <c r="Q3038" s="4"/>
      <c r="R3038" s="4"/>
      <c r="S3038" s="4"/>
      <c r="T3038" s="4"/>
      <c r="U3038" s="4"/>
      <c r="V3038" s="4"/>
      <c r="W3038" s="4" t="s">
        <v>4009</v>
      </c>
      <c r="X3038" s="4" t="s">
        <v>4010</v>
      </c>
      <c r="Y3038" s="4" t="s">
        <v>4011</v>
      </c>
      <c r="Z3038" s="4" t="s">
        <v>4018</v>
      </c>
      <c r="AA3038" s="4"/>
      <c r="AB3038" s="4"/>
      <c r="AC3038" s="4" t="s">
        <v>4019</v>
      </c>
      <c r="AD3038" s="13" t="n">
        <v>189.57283666848</v>
      </c>
      <c r="AE3038" s="4"/>
      <c r="AF3038" s="4"/>
      <c r="AG3038" s="4"/>
      <c r="AH3038" s="4"/>
      <c r="AI3038" s="4"/>
      <c r="AJ3038" s="13" t="n">
        <v>1</v>
      </c>
      <c r="AK3038" s="4"/>
      <c r="AL3038" s="4" t="s">
        <v>4119</v>
      </c>
      <c r="AM3038" s="4" t="s">
        <v>4014</v>
      </c>
    </row>
    <row r="3039" customFormat="false" ht="35.05" hidden="false" customHeight="false" outlineLevel="0" collapsed="false">
      <c r="A3039" s="4" t="s">
        <v>4005</v>
      </c>
      <c r="B3039" s="4" t="s">
        <v>4120</v>
      </c>
      <c r="C3039" s="4" t="s">
        <v>4121</v>
      </c>
      <c r="D3039" s="12" t="n">
        <v>2020</v>
      </c>
      <c r="E3039" s="12" t="n">
        <v>2020</v>
      </c>
      <c r="F3039" s="4" t="s">
        <v>169</v>
      </c>
      <c r="G3039" s="4" t="s">
        <v>3999</v>
      </c>
      <c r="H3039" s="4" t="s">
        <v>4000</v>
      </c>
      <c r="I3039" s="4" t="s">
        <v>4001</v>
      </c>
      <c r="J3039" s="4" t="s">
        <v>4122</v>
      </c>
      <c r="K3039" s="4"/>
      <c r="L3039" s="4"/>
      <c r="M3039" s="4"/>
      <c r="N3039" s="4"/>
      <c r="O3039" s="4"/>
      <c r="P3039" s="4"/>
      <c r="Q3039" s="4"/>
      <c r="R3039" s="4"/>
      <c r="S3039" s="4"/>
      <c r="T3039" s="4"/>
      <c r="U3039" s="4"/>
      <c r="V3039" s="4"/>
      <c r="W3039" s="4" t="s">
        <v>4024</v>
      </c>
      <c r="X3039" s="4" t="s">
        <v>4025</v>
      </c>
      <c r="Y3039" s="4" t="s">
        <v>4011</v>
      </c>
      <c r="Z3039" s="4" t="s">
        <v>4018</v>
      </c>
      <c r="AA3039" s="4"/>
      <c r="AB3039" s="4"/>
      <c r="AC3039" s="4" t="s">
        <v>4019</v>
      </c>
      <c r="AD3039" s="13" t="n">
        <v>170.792988</v>
      </c>
      <c r="AE3039" s="4"/>
      <c r="AF3039" s="4"/>
      <c r="AG3039" s="4"/>
      <c r="AH3039" s="4"/>
      <c r="AI3039" s="4"/>
      <c r="AJ3039" s="13" t="n">
        <v>1</v>
      </c>
      <c r="AK3039" s="4"/>
      <c r="AL3039" s="4" t="s">
        <v>4123</v>
      </c>
      <c r="AM3039" s="4" t="s">
        <v>4014</v>
      </c>
    </row>
    <row r="3040" customFormat="false" ht="35.05" hidden="false" customHeight="false" outlineLevel="0" collapsed="false">
      <c r="A3040" s="4" t="s">
        <v>4005</v>
      </c>
      <c r="B3040" s="4" t="s">
        <v>4124</v>
      </c>
      <c r="C3040" s="4" t="s">
        <v>4125</v>
      </c>
      <c r="D3040" s="12" t="n">
        <v>2020</v>
      </c>
      <c r="E3040" s="12" t="n">
        <v>2020</v>
      </c>
      <c r="F3040" s="4" t="s">
        <v>169</v>
      </c>
      <c r="G3040" s="4" t="s">
        <v>3999</v>
      </c>
      <c r="H3040" s="4" t="s">
        <v>4000</v>
      </c>
      <c r="I3040" s="4" t="s">
        <v>4001</v>
      </c>
      <c r="J3040" s="4" t="s">
        <v>4126</v>
      </c>
      <c r="K3040" s="4"/>
      <c r="L3040" s="4"/>
      <c r="M3040" s="4"/>
      <c r="N3040" s="4"/>
      <c r="O3040" s="4"/>
      <c r="P3040" s="4"/>
      <c r="Q3040" s="4"/>
      <c r="R3040" s="4"/>
      <c r="S3040" s="4"/>
      <c r="T3040" s="4"/>
      <c r="U3040" s="4"/>
      <c r="V3040" s="4"/>
      <c r="W3040" s="4" t="s">
        <v>4030</v>
      </c>
      <c r="X3040" s="4" t="s">
        <v>4031</v>
      </c>
      <c r="Y3040" s="4" t="s">
        <v>4011</v>
      </c>
      <c r="Z3040" s="4" t="s">
        <v>4018</v>
      </c>
      <c r="AA3040" s="4"/>
      <c r="AB3040" s="4"/>
      <c r="AC3040" s="4" t="s">
        <v>4019</v>
      </c>
      <c r="AD3040" s="13" t="n">
        <v>6.10189227</v>
      </c>
      <c r="AE3040" s="4"/>
      <c r="AF3040" s="4"/>
      <c r="AG3040" s="4"/>
      <c r="AH3040" s="4"/>
      <c r="AI3040" s="4"/>
      <c r="AJ3040" s="13" t="n">
        <v>1</v>
      </c>
      <c r="AK3040" s="4"/>
      <c r="AL3040" s="4" t="s">
        <v>4127</v>
      </c>
      <c r="AM3040" s="4" t="s">
        <v>4014</v>
      </c>
    </row>
    <row r="3041" customFormat="false" ht="35.05" hidden="false" customHeight="false" outlineLevel="0" collapsed="false">
      <c r="A3041" s="4" t="s">
        <v>4005</v>
      </c>
      <c r="B3041" s="4" t="s">
        <v>4128</v>
      </c>
      <c r="C3041" s="4" t="s">
        <v>4129</v>
      </c>
      <c r="D3041" s="12" t="n">
        <v>2020</v>
      </c>
      <c r="E3041" s="12" t="n">
        <v>2020</v>
      </c>
      <c r="F3041" s="4" t="s">
        <v>169</v>
      </c>
      <c r="G3041" s="4" t="s">
        <v>3999</v>
      </c>
      <c r="H3041" s="4" t="s">
        <v>4000</v>
      </c>
      <c r="I3041" s="4" t="s">
        <v>4001</v>
      </c>
      <c r="J3041" s="4" t="s">
        <v>4130</v>
      </c>
      <c r="K3041" s="4"/>
      <c r="L3041" s="4"/>
      <c r="M3041" s="4"/>
      <c r="N3041" s="4"/>
      <c r="O3041" s="4"/>
      <c r="P3041" s="4"/>
      <c r="Q3041" s="4"/>
      <c r="R3041" s="4"/>
      <c r="S3041" s="4"/>
      <c r="T3041" s="4"/>
      <c r="U3041" s="4"/>
      <c r="V3041" s="4"/>
      <c r="W3041" s="4" t="s">
        <v>4036</v>
      </c>
      <c r="X3041" s="4" t="s">
        <v>4037</v>
      </c>
      <c r="Y3041" s="4" t="s">
        <v>4011</v>
      </c>
      <c r="Z3041" s="4" t="s">
        <v>4018</v>
      </c>
      <c r="AA3041" s="4"/>
      <c r="AB3041" s="4"/>
      <c r="AC3041" s="4" t="s">
        <v>4019</v>
      </c>
      <c r="AD3041" s="13" t="n">
        <v>0.79179625833</v>
      </c>
      <c r="AE3041" s="4"/>
      <c r="AF3041" s="4"/>
      <c r="AG3041" s="4"/>
      <c r="AH3041" s="4"/>
      <c r="AI3041" s="4"/>
      <c r="AJ3041" s="13" t="n">
        <v>1</v>
      </c>
      <c r="AK3041" s="4"/>
      <c r="AL3041" s="4" t="s">
        <v>4131</v>
      </c>
      <c r="AM3041" s="4" t="s">
        <v>4014</v>
      </c>
    </row>
    <row r="3042" customFormat="false" ht="35.05" hidden="false" customHeight="false" outlineLevel="0" collapsed="false">
      <c r="A3042" s="4" t="s">
        <v>4005</v>
      </c>
      <c r="B3042" s="4" t="s">
        <v>4132</v>
      </c>
      <c r="C3042" s="4" t="s">
        <v>4133</v>
      </c>
      <c r="D3042" s="12" t="n">
        <v>2020</v>
      </c>
      <c r="E3042" s="12" t="n">
        <v>2020</v>
      </c>
      <c r="F3042" s="4" t="s">
        <v>169</v>
      </c>
      <c r="G3042" s="4" t="s">
        <v>3999</v>
      </c>
      <c r="H3042" s="4" t="s">
        <v>4000</v>
      </c>
      <c r="I3042" s="4" t="s">
        <v>4001</v>
      </c>
      <c r="J3042" s="4" t="s">
        <v>4134</v>
      </c>
      <c r="K3042" s="4"/>
      <c r="L3042" s="4"/>
      <c r="M3042" s="4"/>
      <c r="N3042" s="4"/>
      <c r="O3042" s="4"/>
      <c r="P3042" s="4"/>
      <c r="Q3042" s="4"/>
      <c r="R3042" s="4"/>
      <c r="S3042" s="4"/>
      <c r="T3042" s="4"/>
      <c r="U3042" s="4"/>
      <c r="V3042" s="4"/>
      <c r="W3042" s="4" t="s">
        <v>4042</v>
      </c>
      <c r="X3042" s="4" t="s">
        <v>4043</v>
      </c>
      <c r="Y3042" s="4" t="s">
        <v>4011</v>
      </c>
      <c r="Z3042" s="4" t="s">
        <v>4018</v>
      </c>
      <c r="AA3042" s="4"/>
      <c r="AB3042" s="4"/>
      <c r="AC3042" s="4" t="s">
        <v>4019</v>
      </c>
      <c r="AD3042" s="13" t="n">
        <v>7.420896541698</v>
      </c>
      <c r="AE3042" s="4"/>
      <c r="AF3042" s="4"/>
      <c r="AG3042" s="4"/>
      <c r="AH3042" s="4"/>
      <c r="AI3042" s="4"/>
      <c r="AJ3042" s="13" t="n">
        <v>1</v>
      </c>
      <c r="AK3042" s="4"/>
      <c r="AL3042" s="4" t="s">
        <v>4135</v>
      </c>
      <c r="AM3042" s="4" t="s">
        <v>4014</v>
      </c>
    </row>
    <row r="3043" customFormat="false" ht="35.05" hidden="false" customHeight="false" outlineLevel="0" collapsed="false">
      <c r="A3043" s="4" t="s">
        <v>4005</v>
      </c>
      <c r="B3043" s="4" t="s">
        <v>4136</v>
      </c>
      <c r="C3043" s="4" t="s">
        <v>4137</v>
      </c>
      <c r="D3043" s="12" t="n">
        <v>2020</v>
      </c>
      <c r="E3043" s="12" t="n">
        <v>2020</v>
      </c>
      <c r="F3043" s="4" t="s">
        <v>169</v>
      </c>
      <c r="G3043" s="4" t="s">
        <v>3999</v>
      </c>
      <c r="H3043" s="4" t="s">
        <v>4000</v>
      </c>
      <c r="I3043" s="4" t="s">
        <v>4001</v>
      </c>
      <c r="J3043" s="4" t="s">
        <v>4138</v>
      </c>
      <c r="K3043" s="4"/>
      <c r="L3043" s="4"/>
      <c r="M3043" s="4"/>
      <c r="N3043" s="4"/>
      <c r="O3043" s="4"/>
      <c r="P3043" s="4"/>
      <c r="Q3043" s="4"/>
      <c r="R3043" s="4"/>
      <c r="S3043" s="4"/>
      <c r="T3043" s="4"/>
      <c r="U3043" s="4"/>
      <c r="V3043" s="4"/>
      <c r="W3043" s="4" t="s">
        <v>4009</v>
      </c>
      <c r="X3043" s="4" t="s">
        <v>4010</v>
      </c>
      <c r="Y3043" s="4" t="s">
        <v>4011</v>
      </c>
      <c r="Z3043" s="4" t="s">
        <v>4048</v>
      </c>
      <c r="AA3043" s="4"/>
      <c r="AB3043" s="4"/>
      <c r="AC3043" s="4" t="s">
        <v>4019</v>
      </c>
      <c r="AD3043" s="13" t="n">
        <v>5.31740633326146</v>
      </c>
      <c r="AE3043" s="4"/>
      <c r="AF3043" s="4"/>
      <c r="AG3043" s="4"/>
      <c r="AH3043" s="4"/>
      <c r="AI3043" s="4"/>
      <c r="AJ3043" s="13" t="n">
        <v>1</v>
      </c>
      <c r="AK3043" s="4"/>
      <c r="AL3043" s="4" t="s">
        <v>4139</v>
      </c>
      <c r="AM3043" s="4" t="s">
        <v>4014</v>
      </c>
    </row>
    <row r="3044" customFormat="false" ht="35.05" hidden="false" customHeight="false" outlineLevel="0" collapsed="false">
      <c r="A3044" s="4" t="s">
        <v>4005</v>
      </c>
      <c r="B3044" s="4" t="s">
        <v>4140</v>
      </c>
      <c r="C3044" s="4" t="s">
        <v>4141</v>
      </c>
      <c r="D3044" s="12" t="n">
        <v>2020</v>
      </c>
      <c r="E3044" s="12" t="n">
        <v>2020</v>
      </c>
      <c r="F3044" s="4" t="s">
        <v>169</v>
      </c>
      <c r="G3044" s="4" t="s">
        <v>3999</v>
      </c>
      <c r="H3044" s="4" t="s">
        <v>4000</v>
      </c>
      <c r="I3044" s="4" t="s">
        <v>4001</v>
      </c>
      <c r="J3044" s="4" t="s">
        <v>4142</v>
      </c>
      <c r="K3044" s="4"/>
      <c r="L3044" s="4"/>
      <c r="M3044" s="4"/>
      <c r="N3044" s="4"/>
      <c r="O3044" s="4"/>
      <c r="P3044" s="4"/>
      <c r="Q3044" s="4"/>
      <c r="R3044" s="4"/>
      <c r="S3044" s="4"/>
      <c r="T3044" s="4"/>
      <c r="U3044" s="4"/>
      <c r="V3044" s="4"/>
      <c r="W3044" s="4" t="s">
        <v>4030</v>
      </c>
      <c r="X3044" s="4" t="s">
        <v>4031</v>
      </c>
      <c r="Y3044" s="4" t="s">
        <v>4011</v>
      </c>
      <c r="Z3044" s="4" t="s">
        <v>4048</v>
      </c>
      <c r="AA3044" s="4"/>
      <c r="AB3044" s="4"/>
      <c r="AC3044" s="4" t="s">
        <v>4019</v>
      </c>
      <c r="AD3044" s="13" t="n">
        <v>0.896387840223302</v>
      </c>
      <c r="AE3044" s="4"/>
      <c r="AF3044" s="4"/>
      <c r="AG3044" s="4"/>
      <c r="AH3044" s="4"/>
      <c r="AI3044" s="4"/>
      <c r="AJ3044" s="13" t="n">
        <v>1</v>
      </c>
      <c r="AK3044" s="4"/>
      <c r="AL3044" s="4" t="s">
        <v>4143</v>
      </c>
      <c r="AM3044" s="4" t="s">
        <v>4014</v>
      </c>
    </row>
    <row r="3045" customFormat="false" ht="35.05" hidden="false" customHeight="false" outlineLevel="0" collapsed="false">
      <c r="A3045" s="4" t="s">
        <v>4005</v>
      </c>
      <c r="B3045" s="4" t="s">
        <v>4144</v>
      </c>
      <c r="C3045" s="4" t="s">
        <v>4145</v>
      </c>
      <c r="D3045" s="12" t="n">
        <v>2020</v>
      </c>
      <c r="E3045" s="12" t="n">
        <v>2020</v>
      </c>
      <c r="F3045" s="4" t="s">
        <v>169</v>
      </c>
      <c r="G3045" s="4" t="s">
        <v>3999</v>
      </c>
      <c r="H3045" s="4" t="s">
        <v>4000</v>
      </c>
      <c r="I3045" s="4" t="s">
        <v>4001</v>
      </c>
      <c r="J3045" s="4" t="s">
        <v>4146</v>
      </c>
      <c r="K3045" s="4"/>
      <c r="L3045" s="4"/>
      <c r="M3045" s="4"/>
      <c r="N3045" s="4"/>
      <c r="O3045" s="4"/>
      <c r="P3045" s="4"/>
      <c r="Q3045" s="4"/>
      <c r="R3045" s="4"/>
      <c r="S3045" s="4"/>
      <c r="T3045" s="4"/>
      <c r="U3045" s="4"/>
      <c r="V3045" s="4"/>
      <c r="W3045" s="4" t="s">
        <v>4057</v>
      </c>
      <c r="X3045" s="4" t="s">
        <v>4058</v>
      </c>
      <c r="Y3045" s="4" t="s">
        <v>4011</v>
      </c>
      <c r="Z3045" s="4" t="s">
        <v>4048</v>
      </c>
      <c r="AA3045" s="4"/>
      <c r="AB3045" s="4"/>
      <c r="AC3045" s="4" t="s">
        <v>4019</v>
      </c>
      <c r="AD3045" s="13" t="n">
        <v>3.62769228072036</v>
      </c>
      <c r="AE3045" s="4"/>
      <c r="AF3045" s="4"/>
      <c r="AG3045" s="4"/>
      <c r="AH3045" s="4"/>
      <c r="AI3045" s="4"/>
      <c r="AJ3045" s="13" t="n">
        <v>1</v>
      </c>
      <c r="AK3045" s="4"/>
      <c r="AL3045" s="4" t="s">
        <v>4147</v>
      </c>
      <c r="AM3045" s="4" t="s">
        <v>4014</v>
      </c>
    </row>
    <row r="3046" customFormat="false" ht="35.05" hidden="false" customHeight="false" outlineLevel="0" collapsed="false">
      <c r="A3046" s="4" t="s">
        <v>4005</v>
      </c>
      <c r="B3046" s="4" t="s">
        <v>4148</v>
      </c>
      <c r="C3046" s="4" t="s">
        <v>4149</v>
      </c>
      <c r="D3046" s="12" t="n">
        <v>2020</v>
      </c>
      <c r="E3046" s="12" t="n">
        <v>2020</v>
      </c>
      <c r="F3046" s="4" t="s">
        <v>169</v>
      </c>
      <c r="G3046" s="4" t="s">
        <v>3999</v>
      </c>
      <c r="H3046" s="4" t="s">
        <v>4000</v>
      </c>
      <c r="I3046" s="4" t="s">
        <v>4001</v>
      </c>
      <c r="J3046" s="4" t="s">
        <v>4150</v>
      </c>
      <c r="K3046" s="4"/>
      <c r="L3046" s="4"/>
      <c r="M3046" s="4"/>
      <c r="N3046" s="4"/>
      <c r="O3046" s="4"/>
      <c r="P3046" s="4"/>
      <c r="Q3046" s="4"/>
      <c r="R3046" s="4"/>
      <c r="S3046" s="4"/>
      <c r="T3046" s="4"/>
      <c r="U3046" s="4"/>
      <c r="V3046" s="4"/>
      <c r="W3046" s="4" t="s">
        <v>4042</v>
      </c>
      <c r="X3046" s="4" t="s">
        <v>4043</v>
      </c>
      <c r="Y3046" s="4" t="s">
        <v>4011</v>
      </c>
      <c r="Z3046" s="4" t="s">
        <v>4048</v>
      </c>
      <c r="AA3046" s="4"/>
      <c r="AB3046" s="4"/>
      <c r="AC3046" s="4" t="s">
        <v>4019</v>
      </c>
      <c r="AD3046" s="13" t="n">
        <v>0.6775601190246</v>
      </c>
      <c r="AE3046" s="4"/>
      <c r="AF3046" s="4"/>
      <c r="AG3046" s="4"/>
      <c r="AH3046" s="4"/>
      <c r="AI3046" s="4"/>
      <c r="AJ3046" s="13" t="n">
        <v>1</v>
      </c>
      <c r="AK3046" s="4"/>
      <c r="AL3046" s="4" t="s">
        <v>4151</v>
      </c>
      <c r="AM3046" s="4" t="s">
        <v>4014</v>
      </c>
    </row>
    <row r="3047" customFormat="false" ht="35.05" hidden="false" customHeight="false" outlineLevel="0" collapsed="false">
      <c r="A3047" s="4" t="s">
        <v>3996</v>
      </c>
      <c r="B3047" s="4" t="s">
        <v>4152</v>
      </c>
      <c r="C3047" s="4" t="s">
        <v>4153</v>
      </c>
      <c r="D3047" s="12" t="n">
        <v>2021</v>
      </c>
      <c r="E3047" s="12" t="n">
        <v>2021</v>
      </c>
      <c r="F3047" s="4" t="s">
        <v>169</v>
      </c>
      <c r="G3047" s="4" t="s">
        <v>3999</v>
      </c>
      <c r="H3047" s="4" t="s">
        <v>4000</v>
      </c>
      <c r="I3047" s="4" t="s">
        <v>4001</v>
      </c>
      <c r="J3047" s="4" t="s">
        <v>4154</v>
      </c>
      <c r="K3047" s="4" t="s">
        <v>86</v>
      </c>
      <c r="L3047" s="4"/>
      <c r="M3047" s="4"/>
      <c r="N3047" s="4"/>
      <c r="O3047" s="4"/>
      <c r="P3047" s="4" t="s">
        <v>67</v>
      </c>
      <c r="Q3047" s="4" t="s">
        <v>2097</v>
      </c>
      <c r="R3047" s="4"/>
      <c r="S3047" s="4"/>
      <c r="T3047" s="4"/>
      <c r="U3047" s="13" t="n">
        <v>5.52012733</v>
      </c>
      <c r="V3047" s="4"/>
      <c r="W3047" s="4" t="s">
        <v>3395</v>
      </c>
      <c r="X3047" s="4" t="s">
        <v>3396</v>
      </c>
      <c r="Y3047" s="4" t="s">
        <v>3397</v>
      </c>
      <c r="Z3047" s="4"/>
      <c r="AA3047" s="4"/>
      <c r="AB3047" s="4"/>
      <c r="AC3047" s="4"/>
      <c r="AD3047" s="4"/>
      <c r="AE3047" s="4"/>
      <c r="AF3047" s="4"/>
      <c r="AG3047" s="4"/>
      <c r="AH3047" s="4"/>
      <c r="AI3047" s="4"/>
      <c r="AJ3047" s="4"/>
      <c r="AK3047" s="4"/>
      <c r="AL3047" s="4" t="s">
        <v>4155</v>
      </c>
      <c r="AM3047" s="4" t="s">
        <v>4004</v>
      </c>
    </row>
    <row r="3048" customFormat="false" ht="35.05" hidden="false" customHeight="false" outlineLevel="0" collapsed="false">
      <c r="A3048" s="4" t="s">
        <v>4005</v>
      </c>
      <c r="B3048" s="4" t="s">
        <v>4156</v>
      </c>
      <c r="C3048" s="4" t="s">
        <v>4157</v>
      </c>
      <c r="D3048" s="12" t="n">
        <v>2021</v>
      </c>
      <c r="E3048" s="12" t="n">
        <v>2021</v>
      </c>
      <c r="F3048" s="4" t="s">
        <v>169</v>
      </c>
      <c r="G3048" s="4" t="s">
        <v>3999</v>
      </c>
      <c r="H3048" s="4" t="s">
        <v>4000</v>
      </c>
      <c r="I3048" s="4" t="s">
        <v>4001</v>
      </c>
      <c r="J3048" s="4" t="s">
        <v>4158</v>
      </c>
      <c r="K3048" s="4"/>
      <c r="L3048" s="4"/>
      <c r="M3048" s="4"/>
      <c r="N3048" s="4"/>
      <c r="O3048" s="4"/>
      <c r="P3048" s="4"/>
      <c r="Q3048" s="4"/>
      <c r="R3048" s="4"/>
      <c r="S3048" s="4"/>
      <c r="T3048" s="4"/>
      <c r="U3048" s="4"/>
      <c r="V3048" s="4"/>
      <c r="W3048" s="4" t="s">
        <v>4009</v>
      </c>
      <c r="X3048" s="4" t="s">
        <v>4010</v>
      </c>
      <c r="Y3048" s="4" t="s">
        <v>4011</v>
      </c>
      <c r="Z3048" s="4" t="s">
        <v>4012</v>
      </c>
      <c r="AA3048" s="4"/>
      <c r="AB3048" s="4"/>
      <c r="AC3048" s="4" t="s">
        <v>3352</v>
      </c>
      <c r="AD3048" s="13" t="n">
        <v>38.4461308</v>
      </c>
      <c r="AE3048" s="4"/>
      <c r="AF3048" s="4"/>
      <c r="AG3048" s="4"/>
      <c r="AH3048" s="4"/>
      <c r="AI3048" s="4"/>
      <c r="AJ3048" s="13" t="n">
        <v>1</v>
      </c>
      <c r="AK3048" s="4"/>
      <c r="AL3048" s="4" t="s">
        <v>4159</v>
      </c>
      <c r="AM3048" s="4" t="s">
        <v>4014</v>
      </c>
    </row>
    <row r="3049" customFormat="false" ht="35.05" hidden="false" customHeight="false" outlineLevel="0" collapsed="false">
      <c r="A3049" s="4" t="s">
        <v>4005</v>
      </c>
      <c r="B3049" s="4" t="s">
        <v>4160</v>
      </c>
      <c r="C3049" s="4" t="s">
        <v>4161</v>
      </c>
      <c r="D3049" s="12" t="n">
        <v>2021</v>
      </c>
      <c r="E3049" s="12" t="n">
        <v>2021</v>
      </c>
      <c r="F3049" s="4" t="s">
        <v>169</v>
      </c>
      <c r="G3049" s="4" t="s">
        <v>3999</v>
      </c>
      <c r="H3049" s="4" t="s">
        <v>4000</v>
      </c>
      <c r="I3049" s="4" t="s">
        <v>4001</v>
      </c>
      <c r="J3049" s="4" t="s">
        <v>4162</v>
      </c>
      <c r="K3049" s="4"/>
      <c r="L3049" s="4"/>
      <c r="M3049" s="4"/>
      <c r="N3049" s="4"/>
      <c r="O3049" s="4"/>
      <c r="P3049" s="4"/>
      <c r="Q3049" s="4"/>
      <c r="R3049" s="4"/>
      <c r="S3049" s="4"/>
      <c r="T3049" s="4"/>
      <c r="U3049" s="4"/>
      <c r="V3049" s="4"/>
      <c r="W3049" s="4" t="s">
        <v>4009</v>
      </c>
      <c r="X3049" s="4" t="s">
        <v>4010</v>
      </c>
      <c r="Y3049" s="4" t="s">
        <v>4011</v>
      </c>
      <c r="Z3049" s="4" t="s">
        <v>4018</v>
      </c>
      <c r="AA3049" s="4"/>
      <c r="AB3049" s="4"/>
      <c r="AC3049" s="4" t="s">
        <v>4019</v>
      </c>
      <c r="AD3049" s="13" t="n">
        <v>187.828367962091</v>
      </c>
      <c r="AE3049" s="4"/>
      <c r="AF3049" s="4"/>
      <c r="AG3049" s="4"/>
      <c r="AH3049" s="4"/>
      <c r="AI3049" s="4"/>
      <c r="AJ3049" s="13" t="n">
        <v>1</v>
      </c>
      <c r="AK3049" s="4"/>
      <c r="AL3049" s="4" t="s">
        <v>4163</v>
      </c>
      <c r="AM3049" s="4" t="s">
        <v>4014</v>
      </c>
    </row>
    <row r="3050" customFormat="false" ht="35.05" hidden="false" customHeight="false" outlineLevel="0" collapsed="false">
      <c r="A3050" s="4" t="s">
        <v>4005</v>
      </c>
      <c r="B3050" s="4" t="s">
        <v>4164</v>
      </c>
      <c r="C3050" s="4" t="s">
        <v>4165</v>
      </c>
      <c r="D3050" s="12" t="n">
        <v>2021</v>
      </c>
      <c r="E3050" s="12" t="n">
        <v>2021</v>
      </c>
      <c r="F3050" s="4" t="s">
        <v>169</v>
      </c>
      <c r="G3050" s="4" t="s">
        <v>3999</v>
      </c>
      <c r="H3050" s="4" t="s">
        <v>4000</v>
      </c>
      <c r="I3050" s="4" t="s">
        <v>4001</v>
      </c>
      <c r="J3050" s="4" t="s">
        <v>4166</v>
      </c>
      <c r="K3050" s="4"/>
      <c r="L3050" s="4"/>
      <c r="M3050" s="4"/>
      <c r="N3050" s="4"/>
      <c r="O3050" s="4"/>
      <c r="P3050" s="4"/>
      <c r="Q3050" s="4"/>
      <c r="R3050" s="4"/>
      <c r="S3050" s="4"/>
      <c r="T3050" s="4"/>
      <c r="U3050" s="4"/>
      <c r="V3050" s="4"/>
      <c r="W3050" s="4" t="s">
        <v>4024</v>
      </c>
      <c r="X3050" s="4" t="s">
        <v>4025</v>
      </c>
      <c r="Y3050" s="4" t="s">
        <v>4011</v>
      </c>
      <c r="Z3050" s="4" t="s">
        <v>4018</v>
      </c>
      <c r="AA3050" s="4"/>
      <c r="AB3050" s="4"/>
      <c r="AC3050" s="4" t="s">
        <v>4019</v>
      </c>
      <c r="AD3050" s="13" t="n">
        <v>172.366697</v>
      </c>
      <c r="AE3050" s="4"/>
      <c r="AF3050" s="4"/>
      <c r="AG3050" s="4"/>
      <c r="AH3050" s="4"/>
      <c r="AI3050" s="4"/>
      <c r="AJ3050" s="13" t="n">
        <v>1</v>
      </c>
      <c r="AK3050" s="4"/>
      <c r="AL3050" s="4" t="s">
        <v>4167</v>
      </c>
      <c r="AM3050" s="4" t="s">
        <v>4014</v>
      </c>
    </row>
    <row r="3051" customFormat="false" ht="35.05" hidden="false" customHeight="false" outlineLevel="0" collapsed="false">
      <c r="A3051" s="4" t="s">
        <v>4005</v>
      </c>
      <c r="B3051" s="4" t="s">
        <v>4168</v>
      </c>
      <c r="C3051" s="4" t="s">
        <v>4169</v>
      </c>
      <c r="D3051" s="12" t="n">
        <v>2021</v>
      </c>
      <c r="E3051" s="12" t="n">
        <v>2021</v>
      </c>
      <c r="F3051" s="4" t="s">
        <v>169</v>
      </c>
      <c r="G3051" s="4" t="s">
        <v>3999</v>
      </c>
      <c r="H3051" s="4" t="s">
        <v>4000</v>
      </c>
      <c r="I3051" s="4" t="s">
        <v>4001</v>
      </c>
      <c r="J3051" s="4" t="s">
        <v>4170</v>
      </c>
      <c r="K3051" s="4"/>
      <c r="L3051" s="4"/>
      <c r="M3051" s="4"/>
      <c r="N3051" s="4"/>
      <c r="O3051" s="4"/>
      <c r="P3051" s="4"/>
      <c r="Q3051" s="4"/>
      <c r="R3051" s="4"/>
      <c r="S3051" s="4"/>
      <c r="T3051" s="4"/>
      <c r="U3051" s="4"/>
      <c r="V3051" s="4"/>
      <c r="W3051" s="4" t="s">
        <v>4030</v>
      </c>
      <c r="X3051" s="4" t="s">
        <v>4031</v>
      </c>
      <c r="Y3051" s="4" t="s">
        <v>4011</v>
      </c>
      <c r="Z3051" s="4" t="s">
        <v>4018</v>
      </c>
      <c r="AA3051" s="4"/>
      <c r="AB3051" s="4"/>
      <c r="AC3051" s="4" t="s">
        <v>4019</v>
      </c>
      <c r="AD3051" s="13" t="n">
        <v>6.07765496</v>
      </c>
      <c r="AE3051" s="4"/>
      <c r="AF3051" s="4"/>
      <c r="AG3051" s="4"/>
      <c r="AH3051" s="4"/>
      <c r="AI3051" s="4"/>
      <c r="AJ3051" s="13" t="n">
        <v>1</v>
      </c>
      <c r="AK3051" s="4"/>
      <c r="AL3051" s="4" t="s">
        <v>4171</v>
      </c>
      <c r="AM3051" s="4" t="s">
        <v>4014</v>
      </c>
    </row>
    <row r="3052" customFormat="false" ht="35.05" hidden="false" customHeight="false" outlineLevel="0" collapsed="false">
      <c r="A3052" s="4" t="s">
        <v>4005</v>
      </c>
      <c r="B3052" s="4" t="s">
        <v>4172</v>
      </c>
      <c r="C3052" s="4" t="s">
        <v>4173</v>
      </c>
      <c r="D3052" s="12" t="n">
        <v>2021</v>
      </c>
      <c r="E3052" s="12" t="n">
        <v>2021</v>
      </c>
      <c r="F3052" s="4" t="s">
        <v>169</v>
      </c>
      <c r="G3052" s="4" t="s">
        <v>3999</v>
      </c>
      <c r="H3052" s="4" t="s">
        <v>4000</v>
      </c>
      <c r="I3052" s="4" t="s">
        <v>4001</v>
      </c>
      <c r="J3052" s="4" t="s">
        <v>4174</v>
      </c>
      <c r="K3052" s="4"/>
      <c r="L3052" s="4"/>
      <c r="M3052" s="4"/>
      <c r="N3052" s="4"/>
      <c r="O3052" s="4"/>
      <c r="P3052" s="4"/>
      <c r="Q3052" s="4"/>
      <c r="R3052" s="4"/>
      <c r="S3052" s="4"/>
      <c r="T3052" s="4"/>
      <c r="U3052" s="4"/>
      <c r="V3052" s="4"/>
      <c r="W3052" s="4" t="s">
        <v>4036</v>
      </c>
      <c r="X3052" s="4" t="s">
        <v>4037</v>
      </c>
      <c r="Y3052" s="4" t="s">
        <v>4011</v>
      </c>
      <c r="Z3052" s="4" t="s">
        <v>4018</v>
      </c>
      <c r="AA3052" s="4"/>
      <c r="AB3052" s="4"/>
      <c r="AC3052" s="4" t="s">
        <v>4019</v>
      </c>
      <c r="AD3052" s="13" t="n">
        <v>0.81432565368</v>
      </c>
      <c r="AE3052" s="4"/>
      <c r="AF3052" s="4"/>
      <c r="AG3052" s="4"/>
      <c r="AH3052" s="4"/>
      <c r="AI3052" s="4"/>
      <c r="AJ3052" s="13" t="n">
        <v>1</v>
      </c>
      <c r="AK3052" s="4"/>
      <c r="AL3052" s="4" t="s">
        <v>4175</v>
      </c>
      <c r="AM3052" s="4" t="s">
        <v>4014</v>
      </c>
    </row>
    <row r="3053" customFormat="false" ht="35.05" hidden="false" customHeight="false" outlineLevel="0" collapsed="false">
      <c r="A3053" s="4" t="s">
        <v>4005</v>
      </c>
      <c r="B3053" s="4" t="s">
        <v>4176</v>
      </c>
      <c r="C3053" s="4" t="s">
        <v>4177</v>
      </c>
      <c r="D3053" s="12" t="n">
        <v>2021</v>
      </c>
      <c r="E3053" s="12" t="n">
        <v>2021</v>
      </c>
      <c r="F3053" s="4" t="s">
        <v>169</v>
      </c>
      <c r="G3053" s="4" t="s">
        <v>3999</v>
      </c>
      <c r="H3053" s="4" t="s">
        <v>4000</v>
      </c>
      <c r="I3053" s="4" t="s">
        <v>4001</v>
      </c>
      <c r="J3053" s="4" t="s">
        <v>4178</v>
      </c>
      <c r="K3053" s="4"/>
      <c r="L3053" s="4"/>
      <c r="M3053" s="4"/>
      <c r="N3053" s="4"/>
      <c r="O3053" s="4"/>
      <c r="P3053" s="4"/>
      <c r="Q3053" s="4"/>
      <c r="R3053" s="4"/>
      <c r="S3053" s="4"/>
      <c r="T3053" s="4"/>
      <c r="U3053" s="4"/>
      <c r="V3053" s="4"/>
      <c r="W3053" s="4" t="s">
        <v>4042</v>
      </c>
      <c r="X3053" s="4" t="s">
        <v>4043</v>
      </c>
      <c r="Y3053" s="4" t="s">
        <v>4011</v>
      </c>
      <c r="Z3053" s="4" t="s">
        <v>4018</v>
      </c>
      <c r="AA3053" s="4"/>
      <c r="AB3053" s="4"/>
      <c r="AC3053" s="4" t="s">
        <v>4019</v>
      </c>
      <c r="AD3053" s="13" t="n">
        <v>3.904782727656</v>
      </c>
      <c r="AE3053" s="4"/>
      <c r="AF3053" s="4"/>
      <c r="AG3053" s="4"/>
      <c r="AH3053" s="4"/>
      <c r="AI3053" s="4"/>
      <c r="AJ3053" s="13" t="n">
        <v>1</v>
      </c>
      <c r="AK3053" s="4"/>
      <c r="AL3053" s="4" t="s">
        <v>4179</v>
      </c>
      <c r="AM3053" s="4" t="s">
        <v>4014</v>
      </c>
    </row>
    <row r="3054" customFormat="false" ht="35.05" hidden="false" customHeight="false" outlineLevel="0" collapsed="false">
      <c r="A3054" s="4" t="s">
        <v>4005</v>
      </c>
      <c r="B3054" s="4" t="s">
        <v>4180</v>
      </c>
      <c r="C3054" s="4" t="s">
        <v>4181</v>
      </c>
      <c r="D3054" s="12" t="n">
        <v>2021</v>
      </c>
      <c r="E3054" s="12" t="n">
        <v>2021</v>
      </c>
      <c r="F3054" s="4" t="s">
        <v>169</v>
      </c>
      <c r="G3054" s="4" t="s">
        <v>3999</v>
      </c>
      <c r="H3054" s="4" t="s">
        <v>4000</v>
      </c>
      <c r="I3054" s="4" t="s">
        <v>4001</v>
      </c>
      <c r="J3054" s="4" t="s">
        <v>4182</v>
      </c>
      <c r="K3054" s="4"/>
      <c r="L3054" s="4"/>
      <c r="M3054" s="4"/>
      <c r="N3054" s="4"/>
      <c r="O3054" s="4"/>
      <c r="P3054" s="4"/>
      <c r="Q3054" s="4"/>
      <c r="R3054" s="4"/>
      <c r="S3054" s="4"/>
      <c r="T3054" s="4"/>
      <c r="U3054" s="4"/>
      <c r="V3054" s="4"/>
      <c r="W3054" s="4" t="s">
        <v>4009</v>
      </c>
      <c r="X3054" s="4" t="s">
        <v>4010</v>
      </c>
      <c r="Y3054" s="4" t="s">
        <v>4011</v>
      </c>
      <c r="Z3054" s="4" t="s">
        <v>4048</v>
      </c>
      <c r="AA3054" s="4"/>
      <c r="AB3054" s="4"/>
      <c r="AC3054" s="4" t="s">
        <v>4019</v>
      </c>
      <c r="AD3054" s="13" t="n">
        <v>4.87692020358256</v>
      </c>
      <c r="AE3054" s="4"/>
      <c r="AF3054" s="4"/>
      <c r="AG3054" s="4"/>
      <c r="AH3054" s="4"/>
      <c r="AI3054" s="4"/>
      <c r="AJ3054" s="13" t="n">
        <v>1</v>
      </c>
      <c r="AK3054" s="4"/>
      <c r="AL3054" s="4" t="s">
        <v>4183</v>
      </c>
      <c r="AM3054" s="4" t="s">
        <v>4014</v>
      </c>
    </row>
    <row r="3055" customFormat="false" ht="35.05" hidden="false" customHeight="false" outlineLevel="0" collapsed="false">
      <c r="A3055" s="4" t="s">
        <v>4005</v>
      </c>
      <c r="B3055" s="4" t="s">
        <v>4184</v>
      </c>
      <c r="C3055" s="4" t="s">
        <v>4185</v>
      </c>
      <c r="D3055" s="12" t="n">
        <v>2021</v>
      </c>
      <c r="E3055" s="12" t="n">
        <v>2021</v>
      </c>
      <c r="F3055" s="4" t="s">
        <v>169</v>
      </c>
      <c r="G3055" s="4" t="s">
        <v>3999</v>
      </c>
      <c r="H3055" s="4" t="s">
        <v>4000</v>
      </c>
      <c r="I3055" s="4" t="s">
        <v>4001</v>
      </c>
      <c r="J3055" s="4" t="s">
        <v>4186</v>
      </c>
      <c r="K3055" s="4"/>
      <c r="L3055" s="4"/>
      <c r="M3055" s="4"/>
      <c r="N3055" s="4"/>
      <c r="O3055" s="4"/>
      <c r="P3055" s="4"/>
      <c r="Q3055" s="4"/>
      <c r="R3055" s="4"/>
      <c r="S3055" s="4"/>
      <c r="T3055" s="4"/>
      <c r="U3055" s="4"/>
      <c r="V3055" s="4"/>
      <c r="W3055" s="4" t="s">
        <v>4030</v>
      </c>
      <c r="X3055" s="4" t="s">
        <v>4031</v>
      </c>
      <c r="Y3055" s="4" t="s">
        <v>4011</v>
      </c>
      <c r="Z3055" s="4" t="s">
        <v>4048</v>
      </c>
      <c r="AA3055" s="4"/>
      <c r="AB3055" s="4"/>
      <c r="AC3055" s="4" t="s">
        <v>4019</v>
      </c>
      <c r="AD3055" s="13" t="n">
        <v>0.893024997666326</v>
      </c>
      <c r="AE3055" s="4"/>
      <c r="AF3055" s="4"/>
      <c r="AG3055" s="4"/>
      <c r="AH3055" s="4"/>
      <c r="AI3055" s="4"/>
      <c r="AJ3055" s="13" t="n">
        <v>1</v>
      </c>
      <c r="AK3055" s="4"/>
      <c r="AL3055" s="4" t="s">
        <v>4187</v>
      </c>
      <c r="AM3055" s="4" t="s">
        <v>4014</v>
      </c>
    </row>
    <row r="3056" customFormat="false" ht="35.05" hidden="false" customHeight="false" outlineLevel="0" collapsed="false">
      <c r="A3056" s="4" t="s">
        <v>4005</v>
      </c>
      <c r="B3056" s="4" t="s">
        <v>4188</v>
      </c>
      <c r="C3056" s="4" t="s">
        <v>4189</v>
      </c>
      <c r="D3056" s="12" t="n">
        <v>2021</v>
      </c>
      <c r="E3056" s="12" t="n">
        <v>2021</v>
      </c>
      <c r="F3056" s="4" t="s">
        <v>169</v>
      </c>
      <c r="G3056" s="4" t="s">
        <v>3999</v>
      </c>
      <c r="H3056" s="4" t="s">
        <v>4000</v>
      </c>
      <c r="I3056" s="4" t="s">
        <v>4001</v>
      </c>
      <c r="J3056" s="4" t="s">
        <v>4190</v>
      </c>
      <c r="K3056" s="4"/>
      <c r="L3056" s="4"/>
      <c r="M3056" s="4"/>
      <c r="N3056" s="4"/>
      <c r="O3056" s="4"/>
      <c r="P3056" s="4"/>
      <c r="Q3056" s="4"/>
      <c r="R3056" s="4"/>
      <c r="S3056" s="4"/>
      <c r="T3056" s="4"/>
      <c r="U3056" s="4"/>
      <c r="V3056" s="4"/>
      <c r="W3056" s="4" t="s">
        <v>4057</v>
      </c>
      <c r="X3056" s="4" t="s">
        <v>4058</v>
      </c>
      <c r="Y3056" s="4" t="s">
        <v>4011</v>
      </c>
      <c r="Z3056" s="4" t="s">
        <v>4048</v>
      </c>
      <c r="AA3056" s="4"/>
      <c r="AB3056" s="4"/>
      <c r="AC3056" s="4" t="s">
        <v>4019</v>
      </c>
      <c r="AD3056" s="13" t="n">
        <v>3.50642951613805</v>
      </c>
      <c r="AE3056" s="4"/>
      <c r="AF3056" s="4"/>
      <c r="AG3056" s="4"/>
      <c r="AH3056" s="4"/>
      <c r="AI3056" s="4"/>
      <c r="AJ3056" s="13" t="n">
        <v>1</v>
      </c>
      <c r="AK3056" s="4"/>
      <c r="AL3056" s="4" t="s">
        <v>4191</v>
      </c>
      <c r="AM3056" s="4" t="s">
        <v>4014</v>
      </c>
    </row>
    <row r="3057" customFormat="false" ht="35.05" hidden="false" customHeight="false" outlineLevel="0" collapsed="false">
      <c r="A3057" s="4" t="s">
        <v>4005</v>
      </c>
      <c r="B3057" s="4" t="s">
        <v>4192</v>
      </c>
      <c r="C3057" s="4" t="s">
        <v>4193</v>
      </c>
      <c r="D3057" s="12" t="n">
        <v>2021</v>
      </c>
      <c r="E3057" s="12" t="n">
        <v>2021</v>
      </c>
      <c r="F3057" s="4" t="s">
        <v>169</v>
      </c>
      <c r="G3057" s="4" t="s">
        <v>3999</v>
      </c>
      <c r="H3057" s="4" t="s">
        <v>4000</v>
      </c>
      <c r="I3057" s="4" t="s">
        <v>4001</v>
      </c>
      <c r="J3057" s="4" t="s">
        <v>4194</v>
      </c>
      <c r="K3057" s="4"/>
      <c r="L3057" s="4"/>
      <c r="M3057" s="4"/>
      <c r="N3057" s="4"/>
      <c r="O3057" s="4"/>
      <c r="P3057" s="4"/>
      <c r="Q3057" s="4"/>
      <c r="R3057" s="4"/>
      <c r="S3057" s="4"/>
      <c r="T3057" s="4"/>
      <c r="U3057" s="4"/>
      <c r="V3057" s="4"/>
      <c r="W3057" s="4" t="s">
        <v>4042</v>
      </c>
      <c r="X3057" s="4" t="s">
        <v>4043</v>
      </c>
      <c r="Y3057" s="4" t="s">
        <v>4011</v>
      </c>
      <c r="Z3057" s="4" t="s">
        <v>4048</v>
      </c>
      <c r="AA3057" s="4"/>
      <c r="AB3057" s="4"/>
      <c r="AC3057" s="4" t="s">
        <v>4019</v>
      </c>
      <c r="AD3057" s="13" t="n">
        <v>0.3565236403512</v>
      </c>
      <c r="AE3057" s="4"/>
      <c r="AF3057" s="4"/>
      <c r="AG3057" s="4"/>
      <c r="AH3057" s="4"/>
      <c r="AI3057" s="4"/>
      <c r="AJ3057" s="13" t="n">
        <v>1</v>
      </c>
      <c r="AK3057" s="4"/>
      <c r="AL3057" s="4" t="s">
        <v>4195</v>
      </c>
      <c r="AM3057" s="4" t="s">
        <v>4014</v>
      </c>
    </row>
    <row r="3058" customFormat="false" ht="35.05" hidden="false" customHeight="false" outlineLevel="0" collapsed="false">
      <c r="A3058" s="4" t="s">
        <v>3996</v>
      </c>
      <c r="B3058" s="4" t="s">
        <v>4196</v>
      </c>
      <c r="C3058" s="4" t="s">
        <v>4197</v>
      </c>
      <c r="D3058" s="12" t="n">
        <v>2022</v>
      </c>
      <c r="E3058" s="12" t="n">
        <v>2022</v>
      </c>
      <c r="F3058" s="4" t="s">
        <v>169</v>
      </c>
      <c r="G3058" s="4" t="s">
        <v>3999</v>
      </c>
      <c r="H3058" s="4" t="s">
        <v>4000</v>
      </c>
      <c r="I3058" s="4" t="s">
        <v>4001</v>
      </c>
      <c r="J3058" s="4" t="s">
        <v>4198</v>
      </c>
      <c r="K3058" s="4" t="s">
        <v>86</v>
      </c>
      <c r="L3058" s="4"/>
      <c r="M3058" s="4"/>
      <c r="N3058" s="4"/>
      <c r="O3058" s="4"/>
      <c r="P3058" s="4" t="s">
        <v>67</v>
      </c>
      <c r="Q3058" s="4" t="s">
        <v>2097</v>
      </c>
      <c r="R3058" s="4"/>
      <c r="S3058" s="4"/>
      <c r="T3058" s="4"/>
      <c r="U3058" s="13" t="n">
        <v>24.02212068</v>
      </c>
      <c r="V3058" s="4"/>
      <c r="W3058" s="4" t="s">
        <v>3395</v>
      </c>
      <c r="X3058" s="4" t="s">
        <v>3396</v>
      </c>
      <c r="Y3058" s="4" t="s">
        <v>3397</v>
      </c>
      <c r="Z3058" s="4"/>
      <c r="AA3058" s="4"/>
      <c r="AB3058" s="4"/>
      <c r="AC3058" s="4"/>
      <c r="AD3058" s="4"/>
      <c r="AE3058" s="4"/>
      <c r="AF3058" s="4"/>
      <c r="AG3058" s="4"/>
      <c r="AH3058" s="4"/>
      <c r="AI3058" s="4"/>
      <c r="AJ3058" s="4"/>
      <c r="AK3058" s="4"/>
      <c r="AL3058" s="4" t="s">
        <v>4199</v>
      </c>
      <c r="AM3058" s="4" t="s">
        <v>4004</v>
      </c>
    </row>
    <row r="3059" customFormat="false" ht="35.05" hidden="false" customHeight="false" outlineLevel="0" collapsed="false">
      <c r="A3059" s="4" t="s">
        <v>4005</v>
      </c>
      <c r="B3059" s="4" t="s">
        <v>4200</v>
      </c>
      <c r="C3059" s="4" t="s">
        <v>4201</v>
      </c>
      <c r="D3059" s="12" t="n">
        <v>2022</v>
      </c>
      <c r="E3059" s="12" t="n">
        <v>2022</v>
      </c>
      <c r="F3059" s="4" t="s">
        <v>169</v>
      </c>
      <c r="G3059" s="4" t="s">
        <v>3999</v>
      </c>
      <c r="H3059" s="4" t="s">
        <v>4000</v>
      </c>
      <c r="I3059" s="4" t="s">
        <v>4001</v>
      </c>
      <c r="J3059" s="4" t="s">
        <v>4202</v>
      </c>
      <c r="K3059" s="4"/>
      <c r="L3059" s="4"/>
      <c r="M3059" s="4"/>
      <c r="N3059" s="4"/>
      <c r="O3059" s="4"/>
      <c r="P3059" s="4"/>
      <c r="Q3059" s="4"/>
      <c r="R3059" s="4"/>
      <c r="S3059" s="4"/>
      <c r="T3059" s="4"/>
      <c r="U3059" s="4"/>
      <c r="V3059" s="4"/>
      <c r="W3059" s="4" t="s">
        <v>4009</v>
      </c>
      <c r="X3059" s="4" t="s">
        <v>4010</v>
      </c>
      <c r="Y3059" s="4" t="s">
        <v>4011</v>
      </c>
      <c r="Z3059" s="4" t="s">
        <v>4012</v>
      </c>
      <c r="AA3059" s="4"/>
      <c r="AB3059" s="4"/>
      <c r="AC3059" s="4" t="s">
        <v>3352</v>
      </c>
      <c r="AD3059" s="13" t="n">
        <v>32.3869824</v>
      </c>
      <c r="AE3059" s="4"/>
      <c r="AF3059" s="4"/>
      <c r="AG3059" s="4"/>
      <c r="AH3059" s="4"/>
      <c r="AI3059" s="4"/>
      <c r="AJ3059" s="13" t="n">
        <v>1</v>
      </c>
      <c r="AK3059" s="4"/>
      <c r="AL3059" s="4" t="s">
        <v>4203</v>
      </c>
      <c r="AM3059" s="4" t="s">
        <v>4014</v>
      </c>
    </row>
    <row r="3060" customFormat="false" ht="35.05" hidden="false" customHeight="false" outlineLevel="0" collapsed="false">
      <c r="A3060" s="4" t="s">
        <v>4005</v>
      </c>
      <c r="B3060" s="4" t="s">
        <v>4204</v>
      </c>
      <c r="C3060" s="4" t="s">
        <v>4205</v>
      </c>
      <c r="D3060" s="12" t="n">
        <v>2022</v>
      </c>
      <c r="E3060" s="12" t="n">
        <v>2022</v>
      </c>
      <c r="F3060" s="4" t="s">
        <v>169</v>
      </c>
      <c r="G3060" s="4" t="s">
        <v>3999</v>
      </c>
      <c r="H3060" s="4" t="s">
        <v>4000</v>
      </c>
      <c r="I3060" s="4" t="s">
        <v>4001</v>
      </c>
      <c r="J3060" s="4" t="s">
        <v>4206</v>
      </c>
      <c r="K3060" s="4"/>
      <c r="L3060" s="4"/>
      <c r="M3060" s="4"/>
      <c r="N3060" s="4"/>
      <c r="O3060" s="4"/>
      <c r="P3060" s="4"/>
      <c r="Q3060" s="4"/>
      <c r="R3060" s="4"/>
      <c r="S3060" s="4"/>
      <c r="T3060" s="4"/>
      <c r="U3060" s="4"/>
      <c r="V3060" s="4"/>
      <c r="W3060" s="4" t="s">
        <v>4009</v>
      </c>
      <c r="X3060" s="4" t="s">
        <v>4010</v>
      </c>
      <c r="Y3060" s="4" t="s">
        <v>4011</v>
      </c>
      <c r="Z3060" s="4" t="s">
        <v>4018</v>
      </c>
      <c r="AA3060" s="4"/>
      <c r="AB3060" s="4"/>
      <c r="AC3060" s="4" t="s">
        <v>4019</v>
      </c>
      <c r="AD3060" s="13" t="n">
        <v>189.774637806826</v>
      </c>
      <c r="AE3060" s="4"/>
      <c r="AF3060" s="4"/>
      <c r="AG3060" s="4"/>
      <c r="AH3060" s="4"/>
      <c r="AI3060" s="4"/>
      <c r="AJ3060" s="13" t="n">
        <v>1</v>
      </c>
      <c r="AK3060" s="4"/>
      <c r="AL3060" s="4" t="s">
        <v>4207</v>
      </c>
      <c r="AM3060" s="4" t="s">
        <v>4014</v>
      </c>
    </row>
    <row r="3061" customFormat="false" ht="35.05" hidden="false" customHeight="false" outlineLevel="0" collapsed="false">
      <c r="A3061" s="4" t="s">
        <v>4005</v>
      </c>
      <c r="B3061" s="4" t="s">
        <v>4208</v>
      </c>
      <c r="C3061" s="4" t="s">
        <v>4209</v>
      </c>
      <c r="D3061" s="12" t="n">
        <v>2022</v>
      </c>
      <c r="E3061" s="12" t="n">
        <v>2022</v>
      </c>
      <c r="F3061" s="4" t="s">
        <v>169</v>
      </c>
      <c r="G3061" s="4" t="s">
        <v>3999</v>
      </c>
      <c r="H3061" s="4" t="s">
        <v>4000</v>
      </c>
      <c r="I3061" s="4" t="s">
        <v>4001</v>
      </c>
      <c r="J3061" s="4" t="s">
        <v>4210</v>
      </c>
      <c r="K3061" s="4"/>
      <c r="L3061" s="4"/>
      <c r="M3061" s="4"/>
      <c r="N3061" s="4"/>
      <c r="O3061" s="4"/>
      <c r="P3061" s="4"/>
      <c r="Q3061" s="4"/>
      <c r="R3061" s="4"/>
      <c r="S3061" s="4"/>
      <c r="T3061" s="4"/>
      <c r="U3061" s="4"/>
      <c r="V3061" s="4"/>
      <c r="W3061" s="4" t="s">
        <v>4024</v>
      </c>
      <c r="X3061" s="4" t="s">
        <v>4025</v>
      </c>
      <c r="Y3061" s="4" t="s">
        <v>4011</v>
      </c>
      <c r="Z3061" s="4" t="s">
        <v>4018</v>
      </c>
      <c r="AA3061" s="4"/>
      <c r="AB3061" s="4"/>
      <c r="AC3061" s="4" t="s">
        <v>4019</v>
      </c>
      <c r="AD3061" s="13" t="n">
        <v>173.940421</v>
      </c>
      <c r="AE3061" s="4"/>
      <c r="AF3061" s="4"/>
      <c r="AG3061" s="4"/>
      <c r="AH3061" s="4"/>
      <c r="AI3061" s="4"/>
      <c r="AJ3061" s="13" t="n">
        <v>1</v>
      </c>
      <c r="AK3061" s="4"/>
      <c r="AL3061" s="4" t="s">
        <v>4211</v>
      </c>
      <c r="AM3061" s="4" t="s">
        <v>4014</v>
      </c>
    </row>
    <row r="3062" customFormat="false" ht="35.05" hidden="false" customHeight="false" outlineLevel="0" collapsed="false">
      <c r="A3062" s="4" t="s">
        <v>4005</v>
      </c>
      <c r="B3062" s="4" t="s">
        <v>4212</v>
      </c>
      <c r="C3062" s="4" t="s">
        <v>4213</v>
      </c>
      <c r="D3062" s="12" t="n">
        <v>2022</v>
      </c>
      <c r="E3062" s="12" t="n">
        <v>2022</v>
      </c>
      <c r="F3062" s="4" t="s">
        <v>169</v>
      </c>
      <c r="G3062" s="4" t="s">
        <v>3999</v>
      </c>
      <c r="H3062" s="4" t="s">
        <v>4000</v>
      </c>
      <c r="I3062" s="4" t="s">
        <v>4001</v>
      </c>
      <c r="J3062" s="4" t="s">
        <v>4214</v>
      </c>
      <c r="K3062" s="4"/>
      <c r="L3062" s="4"/>
      <c r="M3062" s="4"/>
      <c r="N3062" s="4"/>
      <c r="O3062" s="4"/>
      <c r="P3062" s="4"/>
      <c r="Q3062" s="4"/>
      <c r="R3062" s="4"/>
      <c r="S3062" s="4"/>
      <c r="T3062" s="4"/>
      <c r="U3062" s="4"/>
      <c r="V3062" s="4"/>
      <c r="W3062" s="4" t="s">
        <v>4030</v>
      </c>
      <c r="X3062" s="4" t="s">
        <v>4031</v>
      </c>
      <c r="Y3062" s="4" t="s">
        <v>4011</v>
      </c>
      <c r="Z3062" s="4" t="s">
        <v>4018</v>
      </c>
      <c r="AA3062" s="4"/>
      <c r="AB3062" s="4"/>
      <c r="AC3062" s="4" t="s">
        <v>4019</v>
      </c>
      <c r="AD3062" s="13" t="n">
        <v>6.16906602</v>
      </c>
      <c r="AE3062" s="4"/>
      <c r="AF3062" s="4"/>
      <c r="AG3062" s="4"/>
      <c r="AH3062" s="4"/>
      <c r="AI3062" s="4"/>
      <c r="AJ3062" s="13" t="n">
        <v>1</v>
      </c>
      <c r="AK3062" s="4"/>
      <c r="AL3062" s="4" t="s">
        <v>4215</v>
      </c>
      <c r="AM3062" s="4" t="s">
        <v>4014</v>
      </c>
    </row>
    <row r="3063" customFormat="false" ht="35.05" hidden="false" customHeight="false" outlineLevel="0" collapsed="false">
      <c r="A3063" s="4" t="s">
        <v>4005</v>
      </c>
      <c r="B3063" s="4" t="s">
        <v>4216</v>
      </c>
      <c r="C3063" s="4" t="s">
        <v>4217</v>
      </c>
      <c r="D3063" s="12" t="n">
        <v>2022</v>
      </c>
      <c r="E3063" s="12" t="n">
        <v>2022</v>
      </c>
      <c r="F3063" s="4" t="s">
        <v>169</v>
      </c>
      <c r="G3063" s="4" t="s">
        <v>3999</v>
      </c>
      <c r="H3063" s="4" t="s">
        <v>4000</v>
      </c>
      <c r="I3063" s="4" t="s">
        <v>4001</v>
      </c>
      <c r="J3063" s="4" t="s">
        <v>4218</v>
      </c>
      <c r="K3063" s="4"/>
      <c r="L3063" s="4"/>
      <c r="M3063" s="4"/>
      <c r="N3063" s="4"/>
      <c r="O3063" s="4"/>
      <c r="P3063" s="4"/>
      <c r="Q3063" s="4"/>
      <c r="R3063" s="4"/>
      <c r="S3063" s="4"/>
      <c r="T3063" s="4"/>
      <c r="U3063" s="4"/>
      <c r="V3063" s="4"/>
      <c r="W3063" s="4" t="s">
        <v>4036</v>
      </c>
      <c r="X3063" s="4" t="s">
        <v>4037</v>
      </c>
      <c r="Y3063" s="4" t="s">
        <v>4011</v>
      </c>
      <c r="Z3063" s="4" t="s">
        <v>4018</v>
      </c>
      <c r="AA3063" s="4"/>
      <c r="AB3063" s="4"/>
      <c r="AC3063" s="4" t="s">
        <v>4019</v>
      </c>
      <c r="AD3063" s="13" t="n">
        <v>0.83685504903</v>
      </c>
      <c r="AE3063" s="4"/>
      <c r="AF3063" s="4"/>
      <c r="AG3063" s="4"/>
      <c r="AH3063" s="4"/>
      <c r="AI3063" s="4"/>
      <c r="AJ3063" s="13" t="n">
        <v>1</v>
      </c>
      <c r="AK3063" s="4"/>
      <c r="AL3063" s="4" t="s">
        <v>4219</v>
      </c>
      <c r="AM3063" s="4" t="s">
        <v>4014</v>
      </c>
    </row>
    <row r="3064" customFormat="false" ht="35.05" hidden="false" customHeight="false" outlineLevel="0" collapsed="false">
      <c r="A3064" s="4" t="s">
        <v>4005</v>
      </c>
      <c r="B3064" s="4" t="s">
        <v>4220</v>
      </c>
      <c r="C3064" s="4" t="s">
        <v>4221</v>
      </c>
      <c r="D3064" s="12" t="n">
        <v>2022</v>
      </c>
      <c r="E3064" s="12" t="n">
        <v>2022</v>
      </c>
      <c r="F3064" s="4" t="s">
        <v>169</v>
      </c>
      <c r="G3064" s="4" t="s">
        <v>3999</v>
      </c>
      <c r="H3064" s="4" t="s">
        <v>4000</v>
      </c>
      <c r="I3064" s="4" t="s">
        <v>4001</v>
      </c>
      <c r="J3064" s="4" t="s">
        <v>4222</v>
      </c>
      <c r="K3064" s="4"/>
      <c r="L3064" s="4"/>
      <c r="M3064" s="4"/>
      <c r="N3064" s="4"/>
      <c r="O3064" s="4"/>
      <c r="P3064" s="4"/>
      <c r="Q3064" s="4"/>
      <c r="R3064" s="4"/>
      <c r="S3064" s="4"/>
      <c r="T3064" s="4"/>
      <c r="U3064" s="4"/>
      <c r="V3064" s="4"/>
      <c r="W3064" s="4" t="s">
        <v>4042</v>
      </c>
      <c r="X3064" s="4" t="s">
        <v>4043</v>
      </c>
      <c r="Y3064" s="4" t="s">
        <v>4011</v>
      </c>
      <c r="Z3064" s="4" t="s">
        <v>4018</v>
      </c>
      <c r="AA3064" s="4"/>
      <c r="AB3064" s="4"/>
      <c r="AC3064" s="4" t="s">
        <v>4019</v>
      </c>
      <c r="AD3064" s="13" t="n">
        <v>4.385229784857</v>
      </c>
      <c r="AE3064" s="4"/>
      <c r="AF3064" s="4"/>
      <c r="AG3064" s="4"/>
      <c r="AH3064" s="4"/>
      <c r="AI3064" s="4"/>
      <c r="AJ3064" s="13" t="n">
        <v>1</v>
      </c>
      <c r="AK3064" s="4"/>
      <c r="AL3064" s="4" t="s">
        <v>4223</v>
      </c>
      <c r="AM3064" s="4" t="s">
        <v>4014</v>
      </c>
    </row>
    <row r="3065" customFormat="false" ht="35.05" hidden="false" customHeight="false" outlineLevel="0" collapsed="false">
      <c r="A3065" s="4" t="s">
        <v>4005</v>
      </c>
      <c r="B3065" s="4" t="s">
        <v>4224</v>
      </c>
      <c r="C3065" s="4" t="s">
        <v>4225</v>
      </c>
      <c r="D3065" s="12" t="n">
        <v>2022</v>
      </c>
      <c r="E3065" s="12" t="n">
        <v>2022</v>
      </c>
      <c r="F3065" s="4" t="s">
        <v>169</v>
      </c>
      <c r="G3065" s="4" t="s">
        <v>3999</v>
      </c>
      <c r="H3065" s="4" t="s">
        <v>4000</v>
      </c>
      <c r="I3065" s="4" t="s">
        <v>4001</v>
      </c>
      <c r="J3065" s="4" t="s">
        <v>4226</v>
      </c>
      <c r="K3065" s="4"/>
      <c r="L3065" s="4"/>
      <c r="M3065" s="4"/>
      <c r="N3065" s="4"/>
      <c r="O3065" s="4"/>
      <c r="P3065" s="4"/>
      <c r="Q3065" s="4"/>
      <c r="R3065" s="4"/>
      <c r="S3065" s="4"/>
      <c r="T3065" s="4"/>
      <c r="U3065" s="4"/>
      <c r="V3065" s="4"/>
      <c r="W3065" s="4" t="s">
        <v>4009</v>
      </c>
      <c r="X3065" s="4" t="s">
        <v>4010</v>
      </c>
      <c r="Y3065" s="4" t="s">
        <v>4011</v>
      </c>
      <c r="Z3065" s="4" t="s">
        <v>4048</v>
      </c>
      <c r="AA3065" s="4"/>
      <c r="AB3065" s="4"/>
      <c r="AC3065" s="4" t="s">
        <v>4019</v>
      </c>
      <c r="AD3065" s="13" t="n">
        <v>4.65041204272559</v>
      </c>
      <c r="AE3065" s="4"/>
      <c r="AF3065" s="4"/>
      <c r="AG3065" s="4"/>
      <c r="AH3065" s="4"/>
      <c r="AI3065" s="4"/>
      <c r="AJ3065" s="13" t="n">
        <v>1</v>
      </c>
      <c r="AK3065" s="4"/>
      <c r="AL3065" s="4" t="s">
        <v>4227</v>
      </c>
      <c r="AM3065" s="4" t="s">
        <v>4014</v>
      </c>
    </row>
    <row r="3066" customFormat="false" ht="35.05" hidden="false" customHeight="false" outlineLevel="0" collapsed="false">
      <c r="A3066" s="4" t="s">
        <v>4005</v>
      </c>
      <c r="B3066" s="4" t="s">
        <v>4228</v>
      </c>
      <c r="C3066" s="4" t="s">
        <v>4229</v>
      </c>
      <c r="D3066" s="12" t="n">
        <v>2022</v>
      </c>
      <c r="E3066" s="12" t="n">
        <v>2022</v>
      </c>
      <c r="F3066" s="4" t="s">
        <v>169</v>
      </c>
      <c r="G3066" s="4" t="s">
        <v>3999</v>
      </c>
      <c r="H3066" s="4" t="s">
        <v>4000</v>
      </c>
      <c r="I3066" s="4" t="s">
        <v>4001</v>
      </c>
      <c r="J3066" s="4" t="s">
        <v>4230</v>
      </c>
      <c r="K3066" s="4"/>
      <c r="L3066" s="4"/>
      <c r="M3066" s="4"/>
      <c r="N3066" s="4"/>
      <c r="O3066" s="4"/>
      <c r="P3066" s="4"/>
      <c r="Q3066" s="4"/>
      <c r="R3066" s="4"/>
      <c r="S3066" s="4"/>
      <c r="T3066" s="4"/>
      <c r="U3066" s="4"/>
      <c r="V3066" s="4"/>
      <c r="W3066" s="4" t="s">
        <v>4030</v>
      </c>
      <c r="X3066" s="4" t="s">
        <v>4031</v>
      </c>
      <c r="Y3066" s="4" t="s">
        <v>4011</v>
      </c>
      <c r="Z3066" s="4" t="s">
        <v>4048</v>
      </c>
      <c r="AA3066" s="4"/>
      <c r="AB3066" s="4"/>
      <c r="AC3066" s="4" t="s">
        <v>4019</v>
      </c>
      <c r="AD3066" s="13" t="n">
        <v>0.90690116254556</v>
      </c>
      <c r="AE3066" s="4"/>
      <c r="AF3066" s="4"/>
      <c r="AG3066" s="4"/>
      <c r="AH3066" s="4"/>
      <c r="AI3066" s="4"/>
      <c r="AJ3066" s="13" t="n">
        <v>1</v>
      </c>
      <c r="AK3066" s="4"/>
      <c r="AL3066" s="4" t="s">
        <v>4231</v>
      </c>
      <c r="AM3066" s="4" t="s">
        <v>4014</v>
      </c>
    </row>
    <row r="3067" customFormat="false" ht="35.05" hidden="false" customHeight="false" outlineLevel="0" collapsed="false">
      <c r="A3067" s="4" t="s">
        <v>4005</v>
      </c>
      <c r="B3067" s="4" t="s">
        <v>4232</v>
      </c>
      <c r="C3067" s="4" t="s">
        <v>4233</v>
      </c>
      <c r="D3067" s="12" t="n">
        <v>2022</v>
      </c>
      <c r="E3067" s="12" t="n">
        <v>2022</v>
      </c>
      <c r="F3067" s="4" t="s">
        <v>169</v>
      </c>
      <c r="G3067" s="4" t="s">
        <v>3999</v>
      </c>
      <c r="H3067" s="4" t="s">
        <v>4000</v>
      </c>
      <c r="I3067" s="4" t="s">
        <v>4001</v>
      </c>
      <c r="J3067" s="4" t="s">
        <v>4234</v>
      </c>
      <c r="K3067" s="4"/>
      <c r="L3067" s="4"/>
      <c r="M3067" s="4"/>
      <c r="N3067" s="4"/>
      <c r="O3067" s="4"/>
      <c r="P3067" s="4"/>
      <c r="Q3067" s="4"/>
      <c r="R3067" s="4"/>
      <c r="S3067" s="4"/>
      <c r="T3067" s="4"/>
      <c r="U3067" s="4"/>
      <c r="V3067" s="4"/>
      <c r="W3067" s="4" t="s">
        <v>4057</v>
      </c>
      <c r="X3067" s="4" t="s">
        <v>4058</v>
      </c>
      <c r="Y3067" s="4" t="s">
        <v>4011</v>
      </c>
      <c r="Z3067" s="4" t="s">
        <v>4048</v>
      </c>
      <c r="AA3067" s="4"/>
      <c r="AB3067" s="4"/>
      <c r="AC3067" s="4" t="s">
        <v>4019</v>
      </c>
      <c r="AD3067" s="13" t="n">
        <v>3.22792973582623</v>
      </c>
      <c r="AE3067" s="4"/>
      <c r="AF3067" s="4"/>
      <c r="AG3067" s="4"/>
      <c r="AH3067" s="4"/>
      <c r="AI3067" s="4"/>
      <c r="AJ3067" s="13" t="n">
        <v>1</v>
      </c>
      <c r="AK3067" s="4"/>
      <c r="AL3067" s="4" t="s">
        <v>4235</v>
      </c>
      <c r="AM3067" s="4" t="s">
        <v>4014</v>
      </c>
    </row>
    <row r="3068" customFormat="false" ht="35.05" hidden="false" customHeight="false" outlineLevel="0" collapsed="false">
      <c r="A3068" s="4" t="s">
        <v>4005</v>
      </c>
      <c r="B3068" s="4" t="s">
        <v>4236</v>
      </c>
      <c r="C3068" s="4" t="s">
        <v>4237</v>
      </c>
      <c r="D3068" s="12" t="n">
        <v>2022</v>
      </c>
      <c r="E3068" s="12" t="n">
        <v>2022</v>
      </c>
      <c r="F3068" s="4" t="s">
        <v>169</v>
      </c>
      <c r="G3068" s="4" t="s">
        <v>3999</v>
      </c>
      <c r="H3068" s="4" t="s">
        <v>4000</v>
      </c>
      <c r="I3068" s="4" t="s">
        <v>4001</v>
      </c>
      <c r="J3068" s="4" t="s">
        <v>4238</v>
      </c>
      <c r="K3068" s="4"/>
      <c r="L3068" s="4"/>
      <c r="M3068" s="4"/>
      <c r="N3068" s="4"/>
      <c r="O3068" s="4"/>
      <c r="P3068" s="4"/>
      <c r="Q3068" s="4"/>
      <c r="R3068" s="4"/>
      <c r="S3068" s="4"/>
      <c r="T3068" s="4"/>
      <c r="U3068" s="4"/>
      <c r="V3068" s="4"/>
      <c r="W3068" s="4" t="s">
        <v>4042</v>
      </c>
      <c r="X3068" s="4" t="s">
        <v>4043</v>
      </c>
      <c r="Y3068" s="4" t="s">
        <v>4011</v>
      </c>
      <c r="Z3068" s="4" t="s">
        <v>4048</v>
      </c>
      <c r="AA3068" s="4"/>
      <c r="AB3068" s="4"/>
      <c r="AC3068" s="4" t="s">
        <v>4019</v>
      </c>
      <c r="AD3068" s="13" t="n">
        <v>0.4003905455739</v>
      </c>
      <c r="AE3068" s="4"/>
      <c r="AF3068" s="4"/>
      <c r="AG3068" s="4"/>
      <c r="AH3068" s="4"/>
      <c r="AI3068" s="4"/>
      <c r="AJ3068" s="13" t="n">
        <v>1</v>
      </c>
      <c r="AK3068" s="4"/>
      <c r="AL3068" s="4" t="s">
        <v>4239</v>
      </c>
      <c r="AM3068" s="4" t="s">
        <v>4014</v>
      </c>
    </row>
    <row r="3069" customFormat="false" ht="68.65" hidden="false" customHeight="false" outlineLevel="0" collapsed="false">
      <c r="A3069" s="4" t="s">
        <v>4240</v>
      </c>
      <c r="B3069" s="4" t="s">
        <v>4241</v>
      </c>
      <c r="C3069" s="4" t="s">
        <v>3998</v>
      </c>
      <c r="D3069" s="12" t="n">
        <v>2018</v>
      </c>
      <c r="E3069" s="4" t="n">
        <v>2018</v>
      </c>
      <c r="F3069" s="4" t="s">
        <v>169</v>
      </c>
      <c r="G3069" s="4" t="s">
        <v>4242</v>
      </c>
      <c r="H3069" s="4" t="s">
        <v>4243</v>
      </c>
      <c r="I3069" s="4" t="s">
        <v>4244</v>
      </c>
      <c r="J3069" s="4" t="s">
        <v>4245</v>
      </c>
      <c r="K3069" s="4"/>
      <c r="L3069" s="4"/>
      <c r="M3069" s="4"/>
      <c r="N3069" s="4"/>
      <c r="O3069" s="4"/>
      <c r="P3069" s="4"/>
      <c r="Q3069" s="4"/>
      <c r="R3069" s="4"/>
      <c r="S3069" s="4"/>
      <c r="T3069" s="4"/>
      <c r="U3069" s="4"/>
      <c r="V3069" s="4"/>
      <c r="W3069" s="4"/>
      <c r="X3069" s="4"/>
      <c r="Y3069" s="4"/>
      <c r="Z3069" s="4"/>
      <c r="AA3069" s="4"/>
      <c r="AB3069" s="4"/>
      <c r="AC3069" s="4"/>
      <c r="AD3069" s="4"/>
      <c r="AE3069" s="13" t="n">
        <v>48754.1128178091</v>
      </c>
      <c r="AF3069" s="4" t="s">
        <v>4246</v>
      </c>
      <c r="AG3069" s="4"/>
      <c r="AH3069" s="4"/>
      <c r="AI3069" s="4"/>
      <c r="AJ3069" s="4"/>
      <c r="AK3069" s="4"/>
      <c r="AL3069" s="4" t="s">
        <v>4247</v>
      </c>
      <c r="AM3069" s="4" t="s">
        <v>4248</v>
      </c>
    </row>
    <row r="3070" customFormat="false" ht="68.65" hidden="false" customHeight="false" outlineLevel="0" collapsed="false">
      <c r="A3070" s="4" t="s">
        <v>4240</v>
      </c>
      <c r="B3070" s="4" t="s">
        <v>4249</v>
      </c>
      <c r="C3070" s="4" t="s">
        <v>4065</v>
      </c>
      <c r="D3070" s="12" t="n">
        <v>2019</v>
      </c>
      <c r="E3070" s="4" t="n">
        <v>2019</v>
      </c>
      <c r="F3070" s="4" t="s">
        <v>169</v>
      </c>
      <c r="G3070" s="4" t="s">
        <v>4242</v>
      </c>
      <c r="H3070" s="4" t="s">
        <v>4243</v>
      </c>
      <c r="I3070" s="4" t="s">
        <v>4244</v>
      </c>
      <c r="J3070" s="4" t="s">
        <v>4250</v>
      </c>
      <c r="K3070" s="4"/>
      <c r="L3070" s="4"/>
      <c r="M3070" s="4"/>
      <c r="N3070" s="4"/>
      <c r="O3070" s="4"/>
      <c r="P3070" s="4"/>
      <c r="Q3070" s="4"/>
      <c r="R3070" s="4"/>
      <c r="S3070" s="4"/>
      <c r="T3070" s="4"/>
      <c r="U3070" s="4"/>
      <c r="V3070" s="4"/>
      <c r="W3070" s="4"/>
      <c r="X3070" s="4"/>
      <c r="Y3070" s="4"/>
      <c r="Z3070" s="4"/>
      <c r="AA3070" s="4"/>
      <c r="AB3070" s="4"/>
      <c r="AC3070" s="4"/>
      <c r="AD3070" s="4"/>
      <c r="AE3070" s="13" t="n">
        <v>49582.3294644718</v>
      </c>
      <c r="AF3070" s="4" t="s">
        <v>4246</v>
      </c>
      <c r="AG3070" s="4"/>
      <c r="AH3070" s="4"/>
      <c r="AI3070" s="4"/>
      <c r="AJ3070" s="4"/>
      <c r="AK3070" s="4"/>
      <c r="AL3070" s="4" t="s">
        <v>4251</v>
      </c>
      <c r="AM3070" s="4" t="s">
        <v>4248</v>
      </c>
    </row>
    <row r="3071" customFormat="false" ht="68.65" hidden="false" customHeight="false" outlineLevel="0" collapsed="false">
      <c r="A3071" s="4" t="s">
        <v>4240</v>
      </c>
      <c r="B3071" s="4" t="s">
        <v>4252</v>
      </c>
      <c r="C3071" s="4" t="s">
        <v>4109</v>
      </c>
      <c r="D3071" s="12" t="n">
        <v>2020</v>
      </c>
      <c r="E3071" s="4" t="n">
        <v>2020</v>
      </c>
      <c r="F3071" s="4" t="s">
        <v>169</v>
      </c>
      <c r="G3071" s="4" t="s">
        <v>4242</v>
      </c>
      <c r="H3071" s="4" t="s">
        <v>4243</v>
      </c>
      <c r="I3071" s="4" t="s">
        <v>4244</v>
      </c>
      <c r="J3071" s="4" t="s">
        <v>4253</v>
      </c>
      <c r="K3071" s="4"/>
      <c r="L3071" s="4"/>
      <c r="M3071" s="4"/>
      <c r="N3071" s="4"/>
      <c r="O3071" s="4"/>
      <c r="P3071" s="4"/>
      <c r="Q3071" s="4"/>
      <c r="R3071" s="4"/>
      <c r="S3071" s="4"/>
      <c r="T3071" s="4"/>
      <c r="U3071" s="4"/>
      <c r="V3071" s="4"/>
      <c r="W3071" s="4"/>
      <c r="X3071" s="4"/>
      <c r="Y3071" s="4"/>
      <c r="Z3071" s="4"/>
      <c r="AA3071" s="4"/>
      <c r="AB3071" s="4"/>
      <c r="AC3071" s="4"/>
      <c r="AD3071" s="4"/>
      <c r="AE3071" s="13" t="n">
        <v>49537.7310621499</v>
      </c>
      <c r="AF3071" s="4" t="s">
        <v>4246</v>
      </c>
      <c r="AG3071" s="4"/>
      <c r="AH3071" s="4"/>
      <c r="AI3071" s="4"/>
      <c r="AJ3071" s="4"/>
      <c r="AK3071" s="4"/>
      <c r="AL3071" s="4" t="s">
        <v>4254</v>
      </c>
      <c r="AM3071" s="4" t="s">
        <v>4248</v>
      </c>
    </row>
    <row r="3072" customFormat="false" ht="68.65" hidden="false" customHeight="false" outlineLevel="0" collapsed="false">
      <c r="A3072" s="4" t="s">
        <v>4240</v>
      </c>
      <c r="B3072" s="4" t="s">
        <v>4255</v>
      </c>
      <c r="C3072" s="4" t="s">
        <v>4153</v>
      </c>
      <c r="D3072" s="12" t="n">
        <v>2021</v>
      </c>
      <c r="E3072" s="4" t="n">
        <v>2021</v>
      </c>
      <c r="F3072" s="4" t="s">
        <v>169</v>
      </c>
      <c r="G3072" s="4" t="s">
        <v>4242</v>
      </c>
      <c r="H3072" s="4" t="s">
        <v>4243</v>
      </c>
      <c r="I3072" s="4" t="s">
        <v>4244</v>
      </c>
      <c r="J3072" s="4" t="s">
        <v>4256</v>
      </c>
      <c r="K3072" s="4"/>
      <c r="L3072" s="4"/>
      <c r="M3072" s="4"/>
      <c r="N3072" s="4"/>
      <c r="O3072" s="4"/>
      <c r="P3072" s="4"/>
      <c r="Q3072" s="4"/>
      <c r="R3072" s="4"/>
      <c r="S3072" s="4"/>
      <c r="T3072" s="4"/>
      <c r="U3072" s="4"/>
      <c r="V3072" s="4"/>
      <c r="W3072" s="4"/>
      <c r="X3072" s="4"/>
      <c r="Y3072" s="4"/>
      <c r="Z3072" s="4"/>
      <c r="AA3072" s="4"/>
      <c r="AB3072" s="4"/>
      <c r="AC3072" s="4"/>
      <c r="AD3072" s="4"/>
      <c r="AE3072" s="13" t="n">
        <v>51644.165941356</v>
      </c>
      <c r="AF3072" s="4" t="s">
        <v>4246</v>
      </c>
      <c r="AG3072" s="4"/>
      <c r="AH3072" s="4"/>
      <c r="AI3072" s="4"/>
      <c r="AJ3072" s="4"/>
      <c r="AK3072" s="4"/>
      <c r="AL3072" s="4" t="s">
        <v>4257</v>
      </c>
      <c r="AM3072" s="4" t="s">
        <v>4248</v>
      </c>
    </row>
    <row r="3073" customFormat="false" ht="68.65" hidden="false" customHeight="false" outlineLevel="0" collapsed="false">
      <c r="A3073" s="4" t="s">
        <v>4240</v>
      </c>
      <c r="B3073" s="4" t="s">
        <v>4258</v>
      </c>
      <c r="C3073" s="4" t="s">
        <v>4197</v>
      </c>
      <c r="D3073" s="12" t="n">
        <v>2022</v>
      </c>
      <c r="E3073" s="4" t="n">
        <v>2022</v>
      </c>
      <c r="F3073" s="4" t="s">
        <v>169</v>
      </c>
      <c r="G3073" s="4" t="s">
        <v>4242</v>
      </c>
      <c r="H3073" s="4" t="s">
        <v>4243</v>
      </c>
      <c r="I3073" s="4" t="s">
        <v>4244</v>
      </c>
      <c r="J3073" s="4" t="s">
        <v>4259</v>
      </c>
      <c r="K3073" s="4"/>
      <c r="L3073" s="4"/>
      <c r="M3073" s="4"/>
      <c r="N3073" s="4"/>
      <c r="O3073" s="4"/>
      <c r="P3073" s="4"/>
      <c r="Q3073" s="4"/>
      <c r="R3073" s="4"/>
      <c r="S3073" s="4"/>
      <c r="T3073" s="4"/>
      <c r="U3073" s="4"/>
      <c r="V3073" s="4"/>
      <c r="W3073" s="4"/>
      <c r="X3073" s="4"/>
      <c r="Y3073" s="4"/>
      <c r="Z3073" s="4"/>
      <c r="AA3073" s="4"/>
      <c r="AB3073" s="4"/>
      <c r="AC3073" s="4"/>
      <c r="AD3073" s="4"/>
      <c r="AE3073" s="13" t="n">
        <v>52956.7041104915</v>
      </c>
      <c r="AF3073" s="4" t="s">
        <v>4246</v>
      </c>
      <c r="AG3073" s="4"/>
      <c r="AH3073" s="4"/>
      <c r="AI3073" s="4"/>
      <c r="AJ3073" s="4"/>
      <c r="AK3073" s="4"/>
      <c r="AL3073" s="4" t="s">
        <v>4260</v>
      </c>
      <c r="AM3073" s="4" t="s">
        <v>4248</v>
      </c>
    </row>
    <row r="3074" customFormat="false" ht="68.65" hidden="false" customHeight="false" outlineLevel="0" collapsed="false">
      <c r="A3074" s="4" t="s">
        <v>4240</v>
      </c>
      <c r="B3074" s="4" t="s">
        <v>4261</v>
      </c>
      <c r="C3074" s="4" t="s">
        <v>4262</v>
      </c>
      <c r="D3074" s="12" t="n">
        <v>2023</v>
      </c>
      <c r="E3074" s="4" t="n">
        <v>2023</v>
      </c>
      <c r="F3074" s="4" t="s">
        <v>169</v>
      </c>
      <c r="G3074" s="4" t="s">
        <v>4242</v>
      </c>
      <c r="H3074" s="4" t="s">
        <v>4243</v>
      </c>
      <c r="I3074" s="4" t="s">
        <v>4244</v>
      </c>
      <c r="J3074" s="4" t="s">
        <v>4263</v>
      </c>
      <c r="K3074" s="4"/>
      <c r="L3074" s="4"/>
      <c r="M3074" s="4"/>
      <c r="N3074" s="4"/>
      <c r="O3074" s="4"/>
      <c r="P3074" s="4"/>
      <c r="Q3074" s="4"/>
      <c r="R3074" s="4"/>
      <c r="S3074" s="4"/>
      <c r="T3074" s="4"/>
      <c r="U3074" s="4"/>
      <c r="V3074" s="4"/>
      <c r="W3074" s="4"/>
      <c r="X3074" s="4"/>
      <c r="Y3074" s="4"/>
      <c r="Z3074" s="4"/>
      <c r="AA3074" s="4"/>
      <c r="AB3074" s="4"/>
      <c r="AC3074" s="4"/>
      <c r="AD3074" s="4"/>
      <c r="AE3074" s="13" t="n">
        <v>53690.9655963475</v>
      </c>
      <c r="AF3074" s="4" t="s">
        <v>4246</v>
      </c>
      <c r="AG3074" s="4"/>
      <c r="AH3074" s="4"/>
      <c r="AI3074" s="4"/>
      <c r="AJ3074" s="4"/>
      <c r="AK3074" s="4"/>
      <c r="AL3074" s="4" t="s">
        <v>4264</v>
      </c>
      <c r="AM3074" s="4" t="s">
        <v>4265</v>
      </c>
    </row>
    <row r="3075" customFormat="false" ht="68.65" hidden="false" customHeight="false" outlineLevel="0" collapsed="false">
      <c r="A3075" s="4" t="s">
        <v>4240</v>
      </c>
      <c r="B3075" s="4" t="s">
        <v>4266</v>
      </c>
      <c r="C3075" s="4" t="s">
        <v>4267</v>
      </c>
      <c r="D3075" s="12" t="n">
        <v>2024</v>
      </c>
      <c r="E3075" s="4" t="n">
        <v>2024</v>
      </c>
      <c r="F3075" s="4" t="s">
        <v>169</v>
      </c>
      <c r="G3075" s="4" t="s">
        <v>4242</v>
      </c>
      <c r="H3075" s="4" t="s">
        <v>4243</v>
      </c>
      <c r="I3075" s="4" t="s">
        <v>4244</v>
      </c>
      <c r="J3075" s="4" t="s">
        <v>4268</v>
      </c>
      <c r="K3075" s="4"/>
      <c r="L3075" s="4"/>
      <c r="M3075" s="4"/>
      <c r="N3075" s="4"/>
      <c r="O3075" s="4"/>
      <c r="P3075" s="4"/>
      <c r="Q3075" s="4"/>
      <c r="R3075" s="4"/>
      <c r="S3075" s="4"/>
      <c r="T3075" s="4"/>
      <c r="U3075" s="4"/>
      <c r="V3075" s="4"/>
      <c r="W3075" s="4"/>
      <c r="X3075" s="4"/>
      <c r="Y3075" s="4"/>
      <c r="Z3075" s="4"/>
      <c r="AA3075" s="4"/>
      <c r="AB3075" s="4"/>
      <c r="AC3075" s="4"/>
      <c r="AD3075" s="4"/>
      <c r="AE3075" s="13" t="n">
        <v>53734.6603947955</v>
      </c>
      <c r="AF3075" s="4" t="s">
        <v>4246</v>
      </c>
      <c r="AG3075" s="4"/>
      <c r="AH3075" s="4"/>
      <c r="AI3075" s="4"/>
      <c r="AJ3075" s="4"/>
      <c r="AK3075" s="4"/>
      <c r="AL3075" s="4" t="s">
        <v>4269</v>
      </c>
      <c r="AM3075" s="4" t="s">
        <v>4265</v>
      </c>
    </row>
    <row r="3076" customFormat="false" ht="46.25" hidden="false" customHeight="false" outlineLevel="0" collapsed="false">
      <c r="A3076" s="4" t="s">
        <v>4270</v>
      </c>
      <c r="B3076" s="4" t="inlineStr">
        <is>
          <t>FE_COMB|2018|1.A.1.a.i|COMB_BCANA|CO2</t>
        </is>
      </c>
      <c r="C3076" s="4" t="inlineStr">
        <is>
          <t>2018|1.A.1.a.i|COMB_BCANA|CO2</t>
        </is>
      </c>
      <c r="D3076" s="12" t="n">
        <v>2018</v>
      </c>
      <c r="E3076" s="12">
        <v>2024.0</v>
      </c>
      <c r="F3076" s="4" t="inlineStr">
        <is>
          <t>PRX</t>
        </is>
      </c>
      <c r="G3076" s="4" t="inlineStr">
        <is>
          <t>MARN_GTM_BTR1_2024</t>
        </is>
      </c>
      <c r="H3076" s="4" t="inlineStr">
        <is>
          <t>Guatemala. Primer Informe Bienal de Transparencia (BTR1), 2024</t>
        </is>
      </c>
      <c r="I3076" s="4" t="inlineStr">
        <is>
          <t>https://unfccc.int/documents/646195</t>
        </is>
      </c>
      <c r="J3076" s="4" t="inlineStr">
        <is>
          <t>BTR1|2024|T3.6|BCANA|CO2</t>
        </is>
      </c>
      <c r="K3076" s="4" t="inlineStr">
        <is>
          <t>BCANA</t>
        </is>
      </c>
      <c r="L3076" s="4" t="inlineStr">
        <is>
          <t>Bagazo de caña</t>
        </is>
      </c>
      <c r="M3076" s="4"/>
      <c r="N3076" s="4"/>
      <c r="O3076" s="4"/>
      <c r="P3076" s="4"/>
      <c r="Q3076" s="4" t="inlineStr">
        <is>
          <t>FE_POR_COMBUSTIBLE_BTR1</t>
        </is>
      </c>
      <c r="R3076" s="4"/>
      <c r="S3076" s="4">
        <v>100000.0</v>
      </c>
      <c r="T3076" s="4" t="inlineStr">
        <is>
          <t>kg CO2/TJ</t>
        </is>
      </c>
      <c r="U3076" s="4"/>
      <c r="V3076" s="4"/>
      <c r="W3076" s="4" t="s">
        <v>3341</v>
      </c>
      <c r="X3076" s="4" t="inlineStr">
        <is>
          <t>Generación de electricidad</t>
        </is>
      </c>
      <c r="Y3076" s="4" t="inlineStr">
        <is>
          <t>COMB_BCANA</t>
        </is>
      </c>
      <c r="Z3076" s="4" t="s">
        <v>4012</v>
      </c>
      <c r="AA3076" s="13">
        <v>100000.0</v>
      </c>
      <c r="AB3076" s="4" t="s">
        <v>4275</v>
      </c>
      <c r="AC3076" s="4"/>
      <c r="AD3076" s="4"/>
      <c r="AE3076" s="4"/>
      <c r="AF3076" s="4"/>
      <c r="AG3076" s="4"/>
      <c r="AH3076" s="4"/>
      <c r="AI3076" s="4"/>
      <c r="AJ3076" s="4"/>
      <c r="AK3076" s="4"/>
      <c r="AL3076" s="4" t="inlineStr">
        <is>
          <t>BTR1 Guatemala 2024, tabla 3.6, p. 48; fila Otra biomasa sólida primaria; gas CO2</t>
        </is>
      </c>
      <c r="AM3076"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077" customFormat="false" ht="46.25" hidden="false" customHeight="false" outlineLevel="0" collapsed="false">
      <c r="A3077" s="4" t="s">
        <v>4270</v>
      </c>
      <c r="B3077" s="4" t="inlineStr">
        <is>
          <t>FE_COMB|2018|1.A.1.a.i|COMB_BCANA|CH4</t>
        </is>
      </c>
      <c r="C3077" s="4" t="inlineStr">
        <is>
          <t>2018|1.A.1.a.i|COMB_BCANA|CH4</t>
        </is>
      </c>
      <c r="D3077" s="12" t="n">
        <v>2018</v>
      </c>
      <c r="E3077" s="12">
        <v>2024.0</v>
      </c>
      <c r="F3077" s="4" t="inlineStr">
        <is>
          <t>PRX</t>
        </is>
      </c>
      <c r="G3077" s="4" t="inlineStr">
        <is>
          <t>MARN_GTM_BTR1_2024</t>
        </is>
      </c>
      <c r="H3077" s="4" t="inlineStr">
        <is>
          <t>Guatemala. Primer Informe Bienal de Transparencia (BTR1), 2024</t>
        </is>
      </c>
      <c r="I3077" s="4" t="inlineStr">
        <is>
          <t>https://unfccc.int/documents/646195</t>
        </is>
      </c>
      <c r="J3077" s="4" t="inlineStr">
        <is>
          <t>BTR1|2024|T3.17|BCANA|CH4</t>
        </is>
      </c>
      <c r="K3077" s="4" t="inlineStr">
        <is>
          <t>BCANA</t>
        </is>
      </c>
      <c r="L3077" s="4" t="inlineStr">
        <is>
          <t>Bagazo de caña</t>
        </is>
      </c>
      <c r="M3077" s="4"/>
      <c r="N3077" s="4"/>
      <c r="O3077" s="4"/>
      <c r="P3077" s="4"/>
      <c r="Q3077" s="4" t="inlineStr">
        <is>
          <t>FE_POR_COMBUSTIBLE_BTR1</t>
        </is>
      </c>
      <c r="R3077" s="4"/>
      <c r="S3077" s="4">
        <v>30.0</v>
      </c>
      <c r="T3077" s="4" t="inlineStr">
        <is>
          <t>kg CH4/TJ</t>
        </is>
      </c>
      <c r="U3077" s="4"/>
      <c r="V3077" s="4"/>
      <c r="W3077" s="4" t="s">
        <v>3341</v>
      </c>
      <c r="X3077" s="4" t="inlineStr">
        <is>
          <t>Generación de electricidad</t>
        </is>
      </c>
      <c r="Y3077" s="4" t="inlineStr">
        <is>
          <t>COMB_BCANA</t>
        </is>
      </c>
      <c r="Z3077" s="4" t="s">
        <v>4018</v>
      </c>
      <c r="AA3077" s="13">
        <v>30.0</v>
      </c>
      <c r="AB3077" s="4" t="s">
        <v>4281</v>
      </c>
      <c r="AC3077" s="4"/>
      <c r="AD3077" s="4"/>
      <c r="AE3077" s="4"/>
      <c r="AF3077" s="4"/>
      <c r="AG3077" s="4"/>
      <c r="AH3077" s="4"/>
      <c r="AI3077" s="4"/>
      <c r="AJ3077" s="4"/>
      <c r="AK3077" s="4"/>
      <c r="AL3077" s="4" t="inlineStr">
        <is>
          <t>BTR1 Guatemala 2024, tabla 3.17, p. 57; fila Otra biomasa sólida primaria; gas CH4</t>
        </is>
      </c>
      <c r="AM3077"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078" customFormat="false" ht="46.25" hidden="false" customHeight="false" outlineLevel="0" collapsed="false">
      <c r="A3078" s="4" t="s">
        <v>4270</v>
      </c>
      <c r="B3078" s="4" t="inlineStr">
        <is>
          <t>FE_COMB|2018|1.A.1.a.i|COMB_BCANA|N2O</t>
        </is>
      </c>
      <c r="C3078" s="4" t="inlineStr">
        <is>
          <t>2018|1.A.1.a.i|COMB_BCANA|N2O</t>
        </is>
      </c>
      <c r="D3078" s="12" t="n">
        <v>2018</v>
      </c>
      <c r="E3078" s="12">
        <v>2024.0</v>
      </c>
      <c r="F3078" s="4" t="inlineStr">
        <is>
          <t>PRX</t>
        </is>
      </c>
      <c r="G3078" s="4" t="inlineStr">
        <is>
          <t>MARN_GTM_BTR1_2024</t>
        </is>
      </c>
      <c r="H3078" s="4" t="inlineStr">
        <is>
          <t>Guatemala. Primer Informe Bienal de Transparencia (BTR1), 2024</t>
        </is>
      </c>
      <c r="I3078" s="4" t="inlineStr">
        <is>
          <t>https://unfccc.int/documents/646195</t>
        </is>
      </c>
      <c r="J3078" s="4" t="inlineStr">
        <is>
          <t>BTR1|2024|T3.17|BCANA|N2O</t>
        </is>
      </c>
      <c r="K3078" s="4" t="inlineStr">
        <is>
          <t>BCANA</t>
        </is>
      </c>
      <c r="L3078" s="4" t="inlineStr">
        <is>
          <t>Bagazo de caña</t>
        </is>
      </c>
      <c r="M3078" s="4"/>
      <c r="N3078" s="4"/>
      <c r="O3078" s="4"/>
      <c r="P3078" s="4"/>
      <c r="Q3078" s="4" t="inlineStr">
        <is>
          <t>FE_POR_COMBUSTIBLE_BTR1</t>
        </is>
      </c>
      <c r="R3078" s="4"/>
      <c r="S3078" s="4">
        <v>4.0</v>
      </c>
      <c r="T3078" s="4" t="inlineStr">
        <is>
          <t>kg N2O/TJ</t>
        </is>
      </c>
      <c r="U3078" s="4"/>
      <c r="V3078" s="4"/>
      <c r="W3078" s="4" t="s">
        <v>3341</v>
      </c>
      <c r="X3078" s="4" t="inlineStr">
        <is>
          <t>Generación de electricidad</t>
        </is>
      </c>
      <c r="Y3078" s="4" t="inlineStr">
        <is>
          <t>COMB_BCANA</t>
        </is>
      </c>
      <c r="Z3078" s="4" t="s">
        <v>4048</v>
      </c>
      <c r="AA3078" s="13">
        <v>4.0</v>
      </c>
      <c r="AB3078" s="4" t="s">
        <v>4287</v>
      </c>
      <c r="AC3078" s="4"/>
      <c r="AD3078" s="4"/>
      <c r="AE3078" s="4"/>
      <c r="AF3078" s="4"/>
      <c r="AG3078" s="4"/>
      <c r="AH3078" s="4"/>
      <c r="AI3078" s="4"/>
      <c r="AJ3078" s="4"/>
      <c r="AK3078" s="4"/>
      <c r="AL3078" s="4" t="inlineStr">
        <is>
          <t>BTR1 Guatemala 2024, tabla 3.17, p. 57; fila Otra biomasa sólida primaria; gas N2O</t>
        </is>
      </c>
      <c r="AM3078"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079" customFormat="false" ht="46.25" hidden="false" customHeight="false" outlineLevel="0" collapsed="false">
      <c r="A3079" s="4" t="s">
        <v>4270</v>
      </c>
      <c r="B3079" s="4" t="inlineStr">
        <is>
          <t>FE_COMB|2018|1.A.1.a.i|COMB_BIOGAS|CO2</t>
        </is>
      </c>
      <c r="C3079" s="4" t="inlineStr">
        <is>
          <t>2018|1.A.1.a.i|COMB_BIOGAS|CO2</t>
        </is>
      </c>
      <c r="D3079" s="12" t="n">
        <v>2018</v>
      </c>
      <c r="E3079" s="12">
        <v>2024.0</v>
      </c>
      <c r="F3079" s="4" t="inlineStr">
        <is>
          <t>PRX</t>
        </is>
      </c>
      <c r="G3079" s="4" t="inlineStr">
        <is>
          <t>MARN_GTM_BTR1_2024</t>
        </is>
      </c>
      <c r="H3079" s="4" t="inlineStr">
        <is>
          <t>Guatemala. Primer Informe Bienal de Transparencia (BTR1), 2024</t>
        </is>
      </c>
      <c r="I3079" s="4" t="inlineStr">
        <is>
          <t>https://unfccc.int/documents/646195</t>
        </is>
      </c>
      <c r="J3079" s="4" t="inlineStr">
        <is>
          <t>BTR1|2024|T3.6|BIOGAS|CO2</t>
        </is>
      </c>
      <c r="K3079" s="4" t="inlineStr">
        <is>
          <t>BIOGAS</t>
        </is>
      </c>
      <c r="L3079" s="4" t="inlineStr">
        <is>
          <t>Biogás</t>
        </is>
      </c>
      <c r="M3079" s="4"/>
      <c r="N3079" s="4"/>
      <c r="O3079" s="4"/>
      <c r="P3079" s="4"/>
      <c r="Q3079" s="4" t="inlineStr">
        <is>
          <t>FE_POR_COMBUSTIBLE_BTR1</t>
        </is>
      </c>
      <c r="R3079" s="4"/>
      <c r="S3079" s="4">
        <v>54600.0</v>
      </c>
      <c r="T3079" s="4" t="inlineStr">
        <is>
          <t>kg CO2/TJ</t>
        </is>
      </c>
      <c r="U3079" s="4"/>
      <c r="V3079" s="4"/>
      <c r="W3079" s="4" t="s">
        <v>3341</v>
      </c>
      <c r="X3079" s="4" t="inlineStr">
        <is>
          <t>Generación de electricidad</t>
        </is>
      </c>
      <c r="Y3079" s="4" t="inlineStr">
        <is>
          <t>COMB_BIOGAS</t>
        </is>
      </c>
      <c r="Z3079" s="4" t="s">
        <v>4012</v>
      </c>
      <c r="AA3079" s="13">
        <v>54600.0</v>
      </c>
      <c r="AB3079" s="4" t="s">
        <v>4275</v>
      </c>
      <c r="AC3079" s="4"/>
      <c r="AD3079" s="4"/>
      <c r="AE3079" s="4"/>
      <c r="AF3079" s="4"/>
      <c r="AG3079" s="4"/>
      <c r="AH3079" s="4"/>
      <c r="AI3079" s="4"/>
      <c r="AJ3079" s="4"/>
      <c r="AK3079" s="4"/>
      <c r="AL3079" s="4" t="inlineStr">
        <is>
          <t>BTR1 Guatemala 2024, tabla 3.6, p. 48; fila Gas de vertedero; gas CO2</t>
        </is>
      </c>
      <c r="AM3079"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080" customFormat="false" ht="46.25" hidden="false" customHeight="false" outlineLevel="0" collapsed="false">
      <c r="A3080" s="4" t="s">
        <v>4270</v>
      </c>
      <c r="B3080" s="4" t="inlineStr">
        <is>
          <t>FE_COMB|2018|1.A.1.a.i|COMB_BIOGAS|CH4</t>
        </is>
      </c>
      <c r="C3080" s="4" t="inlineStr">
        <is>
          <t>2018|1.A.1.a.i|COMB_BIOGAS|CH4</t>
        </is>
      </c>
      <c r="D3080" s="12" t="n">
        <v>2018</v>
      </c>
      <c r="E3080" s="12">
        <v>2024.0</v>
      </c>
      <c r="F3080" s="4" t="inlineStr">
        <is>
          <t>PRX</t>
        </is>
      </c>
      <c r="G3080" s="4" t="inlineStr">
        <is>
          <t>MARN_GTM_BTR1_2024</t>
        </is>
      </c>
      <c r="H3080" s="4" t="inlineStr">
        <is>
          <t>Guatemala. Primer Informe Bienal de Transparencia (BTR1), 2024</t>
        </is>
      </c>
      <c r="I3080" s="4" t="inlineStr">
        <is>
          <t>https://unfccc.int/documents/646195</t>
        </is>
      </c>
      <c r="J3080" s="4" t="inlineStr">
        <is>
          <t>BTR1|2024|T3.17|BIOGAS|CH4</t>
        </is>
      </c>
      <c r="K3080" s="4" t="inlineStr">
        <is>
          <t>BIOGAS</t>
        </is>
      </c>
      <c r="L3080" s="4" t="inlineStr">
        <is>
          <t>Biogás</t>
        </is>
      </c>
      <c r="M3080" s="4"/>
      <c r="N3080" s="4"/>
      <c r="O3080" s="4"/>
      <c r="P3080" s="4"/>
      <c r="Q3080" s="4" t="inlineStr">
        <is>
          <t>FE_POR_COMBUSTIBLE_BTR1</t>
        </is>
      </c>
      <c r="R3080" s="4"/>
      <c r="S3080" s="4">
        <v>1.0</v>
      </c>
      <c r="T3080" s="4" t="inlineStr">
        <is>
          <t>kg CH4/TJ</t>
        </is>
      </c>
      <c r="U3080" s="4"/>
      <c r="V3080" s="4"/>
      <c r="W3080" s="4" t="s">
        <v>3341</v>
      </c>
      <c r="X3080" s="4" t="inlineStr">
        <is>
          <t>Generación de electricidad</t>
        </is>
      </c>
      <c r="Y3080" s="4" t="inlineStr">
        <is>
          <t>COMB_BIOGAS</t>
        </is>
      </c>
      <c r="Z3080" s="4" t="s">
        <v>4018</v>
      </c>
      <c r="AA3080" s="13">
        <v>1.0</v>
      </c>
      <c r="AB3080" s="4" t="s">
        <v>4281</v>
      </c>
      <c r="AC3080" s="4"/>
      <c r="AD3080" s="4"/>
      <c r="AE3080" s="4"/>
      <c r="AF3080" s="4"/>
      <c r="AG3080" s="4"/>
      <c r="AH3080" s="4"/>
      <c r="AI3080" s="4"/>
      <c r="AJ3080" s="4"/>
      <c r="AK3080" s="4"/>
      <c r="AL3080" s="4" t="inlineStr">
        <is>
          <t>BTR1 Guatemala 2024, tabla 3.17, p. 57; fila Gas de vertedero; gas CH4</t>
        </is>
      </c>
      <c r="AM3080"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081" customFormat="false" ht="46.25" hidden="false" customHeight="false" outlineLevel="0" collapsed="false">
      <c r="A3081" s="4" t="s">
        <v>4270</v>
      </c>
      <c r="B3081" s="4" t="inlineStr">
        <is>
          <t>FE_COMB|2018|1.A.1.a.i|COMB_BIOGAS|N2O</t>
        </is>
      </c>
      <c r="C3081" s="4" t="inlineStr">
        <is>
          <t>2018|1.A.1.a.i|COMB_BIOGAS|N2O</t>
        </is>
      </c>
      <c r="D3081" s="12" t="n">
        <v>2018</v>
      </c>
      <c r="E3081" s="12">
        <v>2024.0</v>
      </c>
      <c r="F3081" s="4" t="inlineStr">
        <is>
          <t>PRX</t>
        </is>
      </c>
      <c r="G3081" s="4" t="inlineStr">
        <is>
          <t>MARN_GTM_BTR1_2024</t>
        </is>
      </c>
      <c r="H3081" s="4" t="inlineStr">
        <is>
          <t>Guatemala. Primer Informe Bienal de Transparencia (BTR1), 2024</t>
        </is>
      </c>
      <c r="I3081" s="4" t="inlineStr">
        <is>
          <t>https://unfccc.int/documents/646195</t>
        </is>
      </c>
      <c r="J3081" s="4" t="inlineStr">
        <is>
          <t>BTR1|2024|T3.17|BIOGAS|N2O</t>
        </is>
      </c>
      <c r="K3081" s="4" t="inlineStr">
        <is>
          <t>BIOGAS</t>
        </is>
      </c>
      <c r="L3081" s="4" t="inlineStr">
        <is>
          <t>Biogás</t>
        </is>
      </c>
      <c r="M3081" s="4"/>
      <c r="N3081" s="4"/>
      <c r="O3081" s="4"/>
      <c r="P3081" s="4"/>
      <c r="Q3081" s="4" t="inlineStr">
        <is>
          <t>FE_POR_COMBUSTIBLE_BTR1</t>
        </is>
      </c>
      <c r="R3081" s="4"/>
      <c r="S3081" s="4">
        <v>0.1</v>
      </c>
      <c r="T3081" s="4" t="inlineStr">
        <is>
          <t>kg N2O/TJ</t>
        </is>
      </c>
      <c r="U3081" s="4"/>
      <c r="V3081" s="4"/>
      <c r="W3081" s="4" t="s">
        <v>3341</v>
      </c>
      <c r="X3081" s="4" t="inlineStr">
        <is>
          <t>Generación de electricidad</t>
        </is>
      </c>
      <c r="Y3081" s="4" t="inlineStr">
        <is>
          <t>COMB_BIOGAS</t>
        </is>
      </c>
      <c r="Z3081" s="4" t="s">
        <v>4048</v>
      </c>
      <c r="AA3081" s="13">
        <v>0.1</v>
      </c>
      <c r="AB3081" s="4" t="s">
        <v>4287</v>
      </c>
      <c r="AC3081" s="4"/>
      <c r="AD3081" s="4"/>
      <c r="AE3081" s="4"/>
      <c r="AF3081" s="4"/>
      <c r="AG3081" s="4"/>
      <c r="AH3081" s="4"/>
      <c r="AI3081" s="4"/>
      <c r="AJ3081" s="4"/>
      <c r="AK3081" s="4"/>
      <c r="AL3081" s="4" t="inlineStr">
        <is>
          <t>BTR1 Guatemala 2024, tabla 3.17, p. 57; fila Gas de vertedero; gas N2O</t>
        </is>
      </c>
      <c r="AM3081"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082" customFormat="false" ht="57.45" hidden="false" customHeight="false" outlineLevel="0" collapsed="false">
      <c r="A3082" s="4" t="s">
        <v>4270</v>
      </c>
      <c r="B3082" s="4" t="inlineStr">
        <is>
          <t>FE_COMB|2018|1.A.1.a.i|COMB_COQUE|CO2</t>
        </is>
      </c>
      <c r="C3082" s="4" t="inlineStr">
        <is>
          <t>2018|1.A.1.a.i|COMB_COQUE|CO2</t>
        </is>
      </c>
      <c r="D3082" s="12" t="n">
        <v>2018</v>
      </c>
      <c r="E3082" s="12">
        <v>2024.0</v>
      </c>
      <c r="F3082" s="4" t="inlineStr">
        <is>
          <t>PRX</t>
        </is>
      </c>
      <c r="G3082" s="4" t="inlineStr">
        <is>
          <t>MARN_GTM_BTR1_2024</t>
        </is>
      </c>
      <c r="H3082" s="4" t="inlineStr">
        <is>
          <t>Guatemala. Primer Informe Bienal de Transparencia (BTR1), 2024</t>
        </is>
      </c>
      <c r="I3082" s="4" t="inlineStr">
        <is>
          <t>https://unfccc.int/documents/646195</t>
        </is>
      </c>
      <c r="J3082" s="4" t="inlineStr">
        <is>
          <t>BTR1|2024|T3.6|COQUE|CO2</t>
        </is>
      </c>
      <c r="K3082" s="4" t="inlineStr">
        <is>
          <t>COQUE</t>
        </is>
      </c>
      <c r="L3082" s="4" t="inlineStr">
        <is>
          <t>Coque</t>
        </is>
      </c>
      <c r="M3082" s="4"/>
      <c r="N3082" s="4"/>
      <c r="O3082" s="4"/>
      <c r="P3082" s="4"/>
      <c r="Q3082" s="4" t="inlineStr">
        <is>
          <t>FE_POR_COMBUSTIBLE_BTR1</t>
        </is>
      </c>
      <c r="R3082" s="4"/>
      <c r="S3082" s="4">
        <v>97500.0</v>
      </c>
      <c r="T3082" s="4" t="inlineStr">
        <is>
          <t>kg CO2/TJ</t>
        </is>
      </c>
      <c r="U3082" s="4"/>
      <c r="V3082" s="4"/>
      <c r="W3082" s="4" t="s">
        <v>3341</v>
      </c>
      <c r="X3082" s="4" t="inlineStr">
        <is>
          <t>Generación de electricidad</t>
        </is>
      </c>
      <c r="Y3082" s="4" t="inlineStr">
        <is>
          <t>COMB_COQUE</t>
        </is>
      </c>
      <c r="Z3082" s="4" t="s">
        <v>4012</v>
      </c>
      <c r="AA3082" s="13">
        <v>97500.0</v>
      </c>
      <c r="AB3082" s="4" t="s">
        <v>4275</v>
      </c>
      <c r="AC3082" s="4"/>
      <c r="AD3082" s="4"/>
      <c r="AE3082" s="4"/>
      <c r="AF3082" s="4"/>
      <c r="AG3082" s="4"/>
      <c r="AH3082" s="4"/>
      <c r="AI3082" s="4"/>
      <c r="AJ3082" s="4"/>
      <c r="AK3082" s="4"/>
      <c r="AL3082" s="4" t="inlineStr">
        <is>
          <t>BTR1 Guatemala 2024, tabla 3.6, p. 48; fila Coque de petróleo; gas CO2</t>
        </is>
      </c>
      <c r="AM3082"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083" customFormat="false" ht="57.45" hidden="false" customHeight="false" outlineLevel="0" collapsed="false">
      <c r="A3083" s="4" t="s">
        <v>4270</v>
      </c>
      <c r="B3083" s="4" t="inlineStr">
        <is>
          <t>FE_COMB|2018|1.A.1.a.i|COMB_COQUE|CH4</t>
        </is>
      </c>
      <c r="C3083" s="4" t="inlineStr">
        <is>
          <t>2018|1.A.1.a.i|COMB_COQUE|CH4</t>
        </is>
      </c>
      <c r="D3083" s="12" t="n">
        <v>2018</v>
      </c>
      <c r="E3083" s="12">
        <v>2006.0</v>
      </c>
      <c r="F3083" s="4" t="inlineStr">
        <is>
          <t>PRX</t>
        </is>
      </c>
      <c r="G3083" s="4" t="inlineStr">
        <is>
          <t>IPCC_2006_GL</t>
        </is>
      </c>
      <c r="H3083" s="4" t="inlineStr">
        <is>
          <t>IPCC. 2006 Guidelines for National Greenhouse Gas Inventories, Volume 2: Energy</t>
        </is>
      </c>
      <c r="I3083" s="4" t="inlineStr">
        <is>
          <t>https://www.ipcc-nggip.iges.or.jp/public/2006gl/pdf/2_Volume2/V2_2_Ch2_Stationary_Combustion.pdf</t>
        </is>
      </c>
      <c r="J3083" s="4" t="inlineStr">
        <is>
          <t>IPCC2006|V2|C2|T2.2|PETROLEUM_COKE|CH4</t>
        </is>
      </c>
      <c r="K3083" s="4" t="inlineStr">
        <is>
          <t>COQUE</t>
        </is>
      </c>
      <c r="L3083" s="4" t="inlineStr">
        <is>
          <t>Coque</t>
        </is>
      </c>
      <c r="M3083" s="4"/>
      <c r="N3083" s="4"/>
      <c r="O3083" s="4"/>
      <c r="P3083" s="4"/>
      <c r="Q3083" s="4" t="inlineStr">
        <is>
          <t>FE_POR_DEFECTO_IPCC_2006</t>
        </is>
      </c>
      <c r="R3083" s="4"/>
      <c r="S3083" s="4">
        <v>3.0</v>
      </c>
      <c r="T3083" s="4" t="inlineStr">
        <is>
          <t>kg CH4/TJ</t>
        </is>
      </c>
      <c r="U3083" s="4"/>
      <c r="V3083" s="4"/>
      <c r="W3083" s="4" t="s">
        <v>3341</v>
      </c>
      <c r="X3083" s="4" t="inlineStr">
        <is>
          <t>Generación de electricidad</t>
        </is>
      </c>
      <c r="Y3083" s="4" t="inlineStr">
        <is>
          <t>COMB_COQUE</t>
        </is>
      </c>
      <c r="Z3083" s="4" t="s">
        <v>4018</v>
      </c>
      <c r="AA3083" s="13">
        <v>3.0</v>
      </c>
      <c r="AB3083" s="4" t="s">
        <v>4281</v>
      </c>
      <c r="AC3083" s="4"/>
      <c r="AD3083" s="4"/>
      <c r="AE3083" s="4"/>
      <c r="AF3083" s="4"/>
      <c r="AG3083" s="4"/>
      <c r="AH3083" s="4"/>
      <c r="AI3083" s="4"/>
      <c r="AJ3083" s="4"/>
      <c r="AK3083" s="4"/>
      <c r="AL3083" s="4" t="inlineStr">
        <is>
          <t>Volumen 2, capítulo 2, tabla 2.2, p. 2.16; fila Petroleum Coke; gas CH4</t>
        </is>
      </c>
      <c r="AM3083" s="4" t="inlineStr">
        <is>
          <t>Factor por defecto de coque de petróleo para industrias de energía. El BEN 2024, tabla 11, identifica el coque utilizado; no se le asigna el factor del grupo carbón. Valor constante aplicado como aproximación a 2018–2024.</t>
        </is>
      </c>
    </row>
    <row r="3084" customFormat="false" ht="57.45" hidden="false" customHeight="false" outlineLevel="0" collapsed="false">
      <c r="A3084" s="4" t="s">
        <v>4270</v>
      </c>
      <c r="B3084" s="4" t="inlineStr">
        <is>
          <t>FE_COMB|2018|1.A.1.a.i|COMB_COQUE|N2O</t>
        </is>
      </c>
      <c r="C3084" s="4" t="inlineStr">
        <is>
          <t>2018|1.A.1.a.i|COMB_COQUE|N2O</t>
        </is>
      </c>
      <c r="D3084" s="12" t="n">
        <v>2018</v>
      </c>
      <c r="E3084" s="12">
        <v>2006.0</v>
      </c>
      <c r="F3084" s="4" t="inlineStr">
        <is>
          <t>PRX</t>
        </is>
      </c>
      <c r="G3084" s="4" t="inlineStr">
        <is>
          <t>IPCC_2006_GL</t>
        </is>
      </c>
      <c r="H3084" s="4" t="inlineStr">
        <is>
          <t>IPCC. 2006 Guidelines for National Greenhouse Gas Inventories, Volume 2: Energy</t>
        </is>
      </c>
      <c r="I3084" s="4" t="inlineStr">
        <is>
          <t>https://www.ipcc-nggip.iges.or.jp/public/2006gl/pdf/2_Volume2/V2_2_Ch2_Stationary_Combustion.pdf</t>
        </is>
      </c>
      <c r="J3084" s="4" t="inlineStr">
        <is>
          <t>IPCC2006|V2|C2|T2.2|PETROLEUM_COKE|N2O</t>
        </is>
      </c>
      <c r="K3084" s="4" t="inlineStr">
        <is>
          <t>COQUE</t>
        </is>
      </c>
      <c r="L3084" s="4" t="inlineStr">
        <is>
          <t>Coque</t>
        </is>
      </c>
      <c r="M3084" s="4"/>
      <c r="N3084" s="4"/>
      <c r="O3084" s="4"/>
      <c r="P3084" s="4"/>
      <c r="Q3084" s="4" t="inlineStr">
        <is>
          <t>FE_POR_DEFECTO_IPCC_2006</t>
        </is>
      </c>
      <c r="R3084" s="4"/>
      <c r="S3084" s="4">
        <v>0.6</v>
      </c>
      <c r="T3084" s="4" t="inlineStr">
        <is>
          <t>kg N2O/TJ</t>
        </is>
      </c>
      <c r="U3084" s="4"/>
      <c r="V3084" s="4"/>
      <c r="W3084" s="4" t="s">
        <v>3341</v>
      </c>
      <c r="X3084" s="4" t="inlineStr">
        <is>
          <t>Generación de electricidad</t>
        </is>
      </c>
      <c r="Y3084" s="4" t="inlineStr">
        <is>
          <t>COMB_COQUE</t>
        </is>
      </c>
      <c r="Z3084" s="4" t="s">
        <v>4048</v>
      </c>
      <c r="AA3084" s="13">
        <v>0.6</v>
      </c>
      <c r="AB3084" s="4" t="s">
        <v>4287</v>
      </c>
      <c r="AC3084" s="4"/>
      <c r="AD3084" s="4"/>
      <c r="AE3084" s="4"/>
      <c r="AF3084" s="4"/>
      <c r="AG3084" s="4"/>
      <c r="AH3084" s="4"/>
      <c r="AI3084" s="4"/>
      <c r="AJ3084" s="4"/>
      <c r="AK3084" s="4"/>
      <c r="AL3084" s="4" t="inlineStr">
        <is>
          <t>Volumen 2, capítulo 2, tabla 2.2, p. 2.16; fila Petroleum Coke; gas N2O</t>
        </is>
      </c>
      <c r="AM3084" s="4" t="inlineStr">
        <is>
          <t>Factor por defecto de coque de petróleo para industrias de energía. El BEN 2024, tabla 11, identifica el coque utilizado; no se le asigna el factor del grupo carbón. Valor constante aplicado como aproximación a 2018–2024.</t>
        </is>
      </c>
    </row>
    <row r="3085" customFormat="false" ht="46.25" hidden="false" customHeight="false" outlineLevel="0" collapsed="false">
      <c r="A3085" s="4" t="s">
        <v>4270</v>
      </c>
      <c r="B3085" s="4" t="inlineStr">
        <is>
          <t>FE_COMB|2018|1.A.1.a.i|COMB_CRBN|CO2</t>
        </is>
      </c>
      <c r="C3085" s="4" t="inlineStr">
        <is>
          <t>2018|1.A.1.a.i|COMB_CRBN|CO2</t>
        </is>
      </c>
      <c r="D3085" s="12" t="n">
        <v>2018</v>
      </c>
      <c r="E3085" s="12">
        <v>2024.0</v>
      </c>
      <c r="F3085" s="4" t="inlineStr">
        <is>
          <t>PRX</t>
        </is>
      </c>
      <c r="G3085" s="4" t="inlineStr">
        <is>
          <t>MARN_GTM_BTR1_2024</t>
        </is>
      </c>
      <c r="H3085" s="4" t="inlineStr">
        <is>
          <t>Guatemala. Primer Informe Bienal de Transparencia (BTR1), 2024</t>
        </is>
      </c>
      <c r="I3085" s="4" t="inlineStr">
        <is>
          <t>https://unfccc.int/documents/646195</t>
        </is>
      </c>
      <c r="J3085" s="4" t="inlineStr">
        <is>
          <t>BTR1|2024|T3.6|CRBN|CO2</t>
        </is>
      </c>
      <c r="K3085" s="4" t="inlineStr">
        <is>
          <t>CRBN</t>
        </is>
      </c>
      <c r="L3085" s="4" t="inlineStr">
        <is>
          <t>Carbón</t>
        </is>
      </c>
      <c r="M3085" s="4"/>
      <c r="N3085" s="4"/>
      <c r="O3085" s="4"/>
      <c r="P3085" s="4"/>
      <c r="Q3085" s="4" t="inlineStr">
        <is>
          <t>FE_POR_COMBUSTIBLE_BTR1</t>
        </is>
      </c>
      <c r="R3085" s="4"/>
      <c r="S3085" s="4">
        <v>98300.0</v>
      </c>
      <c r="T3085" s="4" t="inlineStr">
        <is>
          <t>kg CO2/TJ</t>
        </is>
      </c>
      <c r="U3085" s="4"/>
      <c r="V3085" s="4"/>
      <c r="W3085" s="4" t="s">
        <v>3341</v>
      </c>
      <c r="X3085" s="4" t="inlineStr">
        <is>
          <t>Generación de electricidad</t>
        </is>
      </c>
      <c r="Y3085" s="4" t="inlineStr">
        <is>
          <t>COMB_CRBN</t>
        </is>
      </c>
      <c r="Z3085" s="4" t="s">
        <v>4012</v>
      </c>
      <c r="AA3085" s="4">
        <v>98300.0</v>
      </c>
      <c r="AB3085" s="4" t="s">
        <v>4275</v>
      </c>
      <c r="AC3085" s="4"/>
      <c r="AD3085" s="4"/>
      <c r="AE3085" s="4"/>
      <c r="AF3085" s="4"/>
      <c r="AG3085" s="4"/>
      <c r="AH3085" s="4"/>
      <c r="AI3085" s="4"/>
      <c r="AJ3085" s="4"/>
      <c r="AK3085" s="4"/>
      <c r="AL3085" s="4" t="inlineStr">
        <is>
          <t>BTR1 Guatemala 2024, tabla 3.6, p. 48; fila Otro carbón bituminoso*; gas CO2</t>
        </is>
      </c>
      <c r="AM3085" s="4" t="inlineStr">
        <is>
          <t>Factor por combustible documentado en el BTR1, con origen metodológico IPCC. Se aplica como parámetro constante aproximado a 2018–2024; el año de la clave permite unirlo a la actividad, no representa una nueva observación anual. CRBN utiliza el proxy de antracita adoptado por el MEM; no se infiere un análisis de la mezcla de carbón del BEN.</t>
        </is>
      </c>
    </row>
    <row r="3086" customFormat="false" ht="46.25" hidden="false" customHeight="false" outlineLevel="0" collapsed="false">
      <c r="A3086" s="4" t="s">
        <v>4270</v>
      </c>
      <c r="B3086" s="4" t="inlineStr">
        <is>
          <t>FE_COMB|2018|1.A.1.a.i|COMB_CRBN|CH4</t>
        </is>
      </c>
      <c r="C3086" s="4" t="inlineStr">
        <is>
          <t>2018|1.A.1.a.i|COMB_CRBN|CH4</t>
        </is>
      </c>
      <c r="D3086" s="12" t="n">
        <v>2018</v>
      </c>
      <c r="E3086" s="12">
        <v>2024.0</v>
      </c>
      <c r="F3086" s="4" t="inlineStr">
        <is>
          <t>PRX</t>
        </is>
      </c>
      <c r="G3086" s="4" t="inlineStr">
        <is>
          <t>MARN_GTM_BTR1_2024</t>
        </is>
      </c>
      <c r="H3086" s="4" t="inlineStr">
        <is>
          <t>Guatemala. Primer Informe Bienal de Transparencia (BTR1), 2024</t>
        </is>
      </c>
      <c r="I3086" s="4" t="inlineStr">
        <is>
          <t>https://unfccc.int/documents/646195</t>
        </is>
      </c>
      <c r="J3086" s="4" t="inlineStr">
        <is>
          <t>BTR1|2024|T3.17|CRBN|CH4</t>
        </is>
      </c>
      <c r="K3086" s="4" t="inlineStr">
        <is>
          <t>CRBN</t>
        </is>
      </c>
      <c r="L3086" s="4" t="inlineStr">
        <is>
          <t>Carbón</t>
        </is>
      </c>
      <c r="M3086" s="4"/>
      <c r="N3086" s="4"/>
      <c r="O3086" s="4"/>
      <c r="P3086" s="4"/>
      <c r="Q3086" s="4" t="inlineStr">
        <is>
          <t>FE_POR_COMBUSTIBLE_BTR1</t>
        </is>
      </c>
      <c r="R3086" s="4"/>
      <c r="S3086" s="4">
        <v>1.0</v>
      </c>
      <c r="T3086" s="4" t="inlineStr">
        <is>
          <t>kg CH4/TJ</t>
        </is>
      </c>
      <c r="U3086" s="4"/>
      <c r="V3086" s="4"/>
      <c r="W3086" s="4" t="s">
        <v>3341</v>
      </c>
      <c r="X3086" s="4" t="inlineStr">
        <is>
          <t>Generación de electricidad</t>
        </is>
      </c>
      <c r="Y3086" s="4" t="inlineStr">
        <is>
          <t>COMB_CRBN</t>
        </is>
      </c>
      <c r="Z3086" s="4" t="s">
        <v>4018</v>
      </c>
      <c r="AA3086" s="4">
        <v>1.0</v>
      </c>
      <c r="AB3086" s="4" t="s">
        <v>4281</v>
      </c>
      <c r="AC3086" s="4"/>
      <c r="AD3086" s="4"/>
      <c r="AE3086" s="4"/>
      <c r="AF3086" s="4"/>
      <c r="AG3086" s="4"/>
      <c r="AH3086" s="4"/>
      <c r="AI3086" s="4"/>
      <c r="AJ3086" s="4"/>
      <c r="AK3086" s="4"/>
      <c r="AL3086" s="4" t="inlineStr">
        <is>
          <t>BTR1 Guatemala 2024, tabla 3.17, p. 57; fila Otro carbón bituminoso; gas CH4</t>
        </is>
      </c>
      <c r="AM3086" s="4" t="inlineStr">
        <is>
          <t>Factor por combustible documentado en el BTR1, con origen metodológico IPCC. Se aplica como parámetro constante aproximado a 2018–2024; el año de la clave permite unirlo a la actividad, no representa una nueva observación anual. CRBN utiliza el proxy de antracita adoptado por el MEM; no se infiere un análisis de la mezcla de carbón del BEN.</t>
        </is>
      </c>
    </row>
    <row r="3087" customFormat="false" ht="46.25" hidden="false" customHeight="false" outlineLevel="0" collapsed="false">
      <c r="A3087" s="4" t="s">
        <v>4270</v>
      </c>
      <c r="B3087" s="4" t="inlineStr">
        <is>
          <t>FE_COMB|2018|1.A.1.a.i|COMB_CRBN|N2O</t>
        </is>
      </c>
      <c r="C3087" s="4" t="inlineStr">
        <is>
          <t>2018|1.A.1.a.i|COMB_CRBN|N2O</t>
        </is>
      </c>
      <c r="D3087" s="12" t="n">
        <v>2018</v>
      </c>
      <c r="E3087" s="12">
        <v>2024.0</v>
      </c>
      <c r="F3087" s="4" t="inlineStr">
        <is>
          <t>PRX</t>
        </is>
      </c>
      <c r="G3087" s="4" t="inlineStr">
        <is>
          <t>MARN_GTM_BTR1_2024</t>
        </is>
      </c>
      <c r="H3087" s="4" t="inlineStr">
        <is>
          <t>Guatemala. Primer Informe Bienal de Transparencia (BTR1), 2024</t>
        </is>
      </c>
      <c r="I3087" s="4" t="inlineStr">
        <is>
          <t>https://unfccc.int/documents/646195</t>
        </is>
      </c>
      <c r="J3087" s="4" t="inlineStr">
        <is>
          <t>BTR1|2024|T3.17|CRBN|N2O</t>
        </is>
      </c>
      <c r="K3087" s="4" t="inlineStr">
        <is>
          <t>CRBN</t>
        </is>
      </c>
      <c r="L3087" s="4" t="inlineStr">
        <is>
          <t>Carbón</t>
        </is>
      </c>
      <c r="M3087" s="4"/>
      <c r="N3087" s="4"/>
      <c r="O3087" s="4"/>
      <c r="P3087" s="4"/>
      <c r="Q3087" s="4" t="inlineStr">
        <is>
          <t>FE_POR_COMBUSTIBLE_BTR1</t>
        </is>
      </c>
      <c r="R3087" s="4"/>
      <c r="S3087" s="4">
        <v>1.5</v>
      </c>
      <c r="T3087" s="4" t="inlineStr">
        <is>
          <t>kg N2O/TJ</t>
        </is>
      </c>
      <c r="U3087" s="4"/>
      <c r="V3087" s="4"/>
      <c r="W3087" s="4" t="s">
        <v>3341</v>
      </c>
      <c r="X3087" s="4" t="inlineStr">
        <is>
          <t>Generación de electricidad</t>
        </is>
      </c>
      <c r="Y3087" s="4" t="inlineStr">
        <is>
          <t>COMB_CRBN</t>
        </is>
      </c>
      <c r="Z3087" s="4" t="s">
        <v>4048</v>
      </c>
      <c r="AA3087" s="4">
        <v>1.5</v>
      </c>
      <c r="AB3087" s="4" t="s">
        <v>4287</v>
      </c>
      <c r="AC3087" s="4"/>
      <c r="AD3087" s="4"/>
      <c r="AE3087" s="4"/>
      <c r="AF3087" s="4"/>
      <c r="AG3087" s="4"/>
      <c r="AH3087" s="4"/>
      <c r="AI3087" s="4"/>
      <c r="AJ3087" s="4"/>
      <c r="AK3087" s="4"/>
      <c r="AL3087" s="4" t="inlineStr">
        <is>
          <t>BTR1 Guatemala 2024, tabla 3.17, p. 57; fila Otro carbón bituminoso; gas N2O</t>
        </is>
      </c>
      <c r="AM3087" s="4" t="inlineStr">
        <is>
          <t>Factor por combustible documentado en el BTR1, con origen metodológico IPCC. Se aplica como parámetro constante aproximado a 2018–2024; el año de la clave permite unirlo a la actividad, no representa una nueva observación anual. CRBN utiliza el proxy de antracita adoptado por el MEM; no se infiere un análisis de la mezcla de carbón del BEN.</t>
        </is>
      </c>
    </row>
    <row r="3088" customFormat="false" ht="57.45" hidden="false" customHeight="false" outlineLevel="0" collapsed="false">
      <c r="A3088" s="4" t="s">
        <v>4270</v>
      </c>
      <c r="B3088" s="4" t="inlineStr">
        <is>
          <t>FE_COMB|2018|1.A.1.a.i|COMB_DOIL|CO2</t>
        </is>
      </c>
      <c r="C3088" s="4" t="inlineStr">
        <is>
          <t>2018|1.A.1.a.i|COMB_DOIL|CO2</t>
        </is>
      </c>
      <c r="D3088" s="12" t="n">
        <v>2018</v>
      </c>
      <c r="E3088" s="12">
        <v>2024.0</v>
      </c>
      <c r="F3088" s="4" t="inlineStr">
        <is>
          <t>PRX</t>
        </is>
      </c>
      <c r="G3088" s="4" t="inlineStr">
        <is>
          <t>MARN_GTM_BTR1_2024</t>
        </is>
      </c>
      <c r="H3088" s="4" t="inlineStr">
        <is>
          <t>Guatemala. Primer Informe Bienal de Transparencia (BTR1), 2024</t>
        </is>
      </c>
      <c r="I3088" s="4" t="inlineStr">
        <is>
          <t>https://unfccc.int/documents/646195</t>
        </is>
      </c>
      <c r="J3088" s="4" t="inlineStr">
        <is>
          <t>BTR1|2024|T3.6|DOIL|CO2</t>
        </is>
      </c>
      <c r="K3088" s="4" t="inlineStr">
        <is>
          <t>DOIL</t>
        </is>
      </c>
      <c r="L3088" s="4" t="inlineStr">
        <is>
          <t>Diésel / gas oil</t>
        </is>
      </c>
      <c r="M3088" s="4"/>
      <c r="N3088" s="4"/>
      <c r="O3088" s="4"/>
      <c r="P3088" s="4"/>
      <c r="Q3088" s="4" t="inlineStr">
        <is>
          <t>FE_POR_COMBUSTIBLE_BTR1</t>
        </is>
      </c>
      <c r="R3088" s="4"/>
      <c r="S3088" s="4">
        <v>74100.0</v>
      </c>
      <c r="T3088" s="4" t="inlineStr">
        <is>
          <t>kg CO2/TJ</t>
        </is>
      </c>
      <c r="U3088" s="4"/>
      <c r="V3088" s="4"/>
      <c r="W3088" s="4" t="inlineStr">
        <is>
          <t>1.A.1.a.i</t>
        </is>
      </c>
      <c r="X3088" s="4" t="inlineStr">
        <is>
          <t>Generación de electricidad</t>
        </is>
      </c>
      <c r="Y3088" s="4" t="inlineStr">
        <is>
          <t>COMB_DOIL</t>
        </is>
      </c>
      <c r="Z3088" s="4" t="s">
        <v>4012</v>
      </c>
      <c r="AA3088" s="13">
        <v>74100.0</v>
      </c>
      <c r="AB3088" s="4" t="s">
        <v>4275</v>
      </c>
      <c r="AC3088" s="4"/>
      <c r="AD3088" s="4"/>
      <c r="AE3088" s="4"/>
      <c r="AF3088" s="4"/>
      <c r="AG3088" s="4"/>
      <c r="AH3088" s="4"/>
      <c r="AI3088" s="4"/>
      <c r="AJ3088" s="4"/>
      <c r="AK3088" s="4"/>
      <c r="AL3088" s="4" t="inlineStr">
        <is>
          <t>BTR1 Guatemala 2024, tabla 3.6, p. 48; fila Gas/Diésel oíl; gas CO2</t>
        </is>
      </c>
      <c r="AM3088" s="4" t="inlineStr">
        <is>
          <t>Factor por combustible documentado en el BTR1, con origen metodológico IPCC. Se aplica como parámetro constante aproximado a 2018–2024; el año de la clave permite unirlo a la actividad, no representa una nueva observación anual.</t>
        </is>
      </c>
    </row>
    <row r="3089" customFormat="false" ht="57.45" hidden="false" customHeight="false" outlineLevel="0" collapsed="false">
      <c r="A3089" s="4" t="s">
        <v>4270</v>
      </c>
      <c r="B3089" s="4" t="inlineStr">
        <is>
          <t>FE_COMB|2018|1.A.1.a.i|COMB_DOIL|CH4</t>
        </is>
      </c>
      <c r="C3089" s="4" t="inlineStr">
        <is>
          <t>2018|1.A.1.a.i|COMB_DOIL|CH4</t>
        </is>
      </c>
      <c r="D3089" s="12" t="n">
        <v>2018</v>
      </c>
      <c r="E3089" s="12">
        <v>2024.0</v>
      </c>
      <c r="F3089" s="4" t="inlineStr">
        <is>
          <t>PRX</t>
        </is>
      </c>
      <c r="G3089" s="4" t="inlineStr">
        <is>
          <t>MARN_GTM_BTR1_2024</t>
        </is>
      </c>
      <c r="H3089" s="4" t="inlineStr">
        <is>
          <t>Guatemala. Primer Informe Bienal de Transparencia (BTR1), 2024</t>
        </is>
      </c>
      <c r="I3089" s="4" t="inlineStr">
        <is>
          <t>https://unfccc.int/documents/646195</t>
        </is>
      </c>
      <c r="J3089" s="4" t="inlineStr">
        <is>
          <t>BTR1|2024|T3.17|DOIL|CH4</t>
        </is>
      </c>
      <c r="K3089" s="4" t="inlineStr">
        <is>
          <t>DOIL</t>
        </is>
      </c>
      <c r="L3089" s="4" t="inlineStr">
        <is>
          <t>Diésel / gas oil</t>
        </is>
      </c>
      <c r="M3089" s="4"/>
      <c r="N3089" s="4"/>
      <c r="O3089" s="4"/>
      <c r="P3089" s="4"/>
      <c r="Q3089" s="4" t="inlineStr">
        <is>
          <t>FE_POR_COMBUSTIBLE_BTR1</t>
        </is>
      </c>
      <c r="R3089" s="4"/>
      <c r="S3089" s="4">
        <v>3.0</v>
      </c>
      <c r="T3089" s="4" t="inlineStr">
        <is>
          <t>kg CH4/TJ</t>
        </is>
      </c>
      <c r="U3089" s="4"/>
      <c r="V3089" s="4"/>
      <c r="W3089" s="4" t="inlineStr">
        <is>
          <t>1.A.1.a.i</t>
        </is>
      </c>
      <c r="X3089" s="4" t="inlineStr">
        <is>
          <t>Generación de electricidad</t>
        </is>
      </c>
      <c r="Y3089" s="4" t="inlineStr">
        <is>
          <t>COMB_DOIL</t>
        </is>
      </c>
      <c r="Z3089" s="4" t="s">
        <v>4018</v>
      </c>
      <c r="AA3089" s="13">
        <v>3.0</v>
      </c>
      <c r="AB3089" s="4" t="s">
        <v>4281</v>
      </c>
      <c r="AC3089" s="4"/>
      <c r="AD3089" s="4"/>
      <c r="AE3089" s="4"/>
      <c r="AF3089" s="4"/>
      <c r="AG3089" s="4"/>
      <c r="AH3089" s="4"/>
      <c r="AI3089" s="4"/>
      <c r="AJ3089" s="4"/>
      <c r="AK3089" s="4"/>
      <c r="AL3089" s="4" t="inlineStr">
        <is>
          <t>BTR1 Guatemala 2024, tabla 3.17, p. 57; fila Diésel; gas CH4</t>
        </is>
      </c>
      <c r="AM3089" s="4" t="inlineStr">
        <is>
          <t>Factor por combustible documentado en el BTR1, con origen metodológico IPCC. Se aplica como parámetro constante aproximado a 2018–2024; el año de la clave permite unirlo a la actividad, no representa una nueva observación anual.</t>
        </is>
      </c>
    </row>
    <row r="3090" customFormat="false" ht="57.45" hidden="false" customHeight="false" outlineLevel="0" collapsed="false">
      <c r="A3090" s="4" t="s">
        <v>4270</v>
      </c>
      <c r="B3090" s="4" t="inlineStr">
        <is>
          <t>FE_COMB|2018|1.A.1.a.i|COMB_DOIL|N2O</t>
        </is>
      </c>
      <c r="C3090" s="4" t="inlineStr">
        <is>
          <t>2018|1.A.1.a.i|COMB_DOIL|N2O</t>
        </is>
      </c>
      <c r="D3090" s="12" t="n">
        <v>2018</v>
      </c>
      <c r="E3090" s="12">
        <v>2024.0</v>
      </c>
      <c r="F3090" s="4" t="inlineStr">
        <is>
          <t>PRX</t>
        </is>
      </c>
      <c r="G3090" s="4" t="inlineStr">
        <is>
          <t>MARN_GTM_BTR1_2024</t>
        </is>
      </c>
      <c r="H3090" s="4" t="inlineStr">
        <is>
          <t>Guatemala. Primer Informe Bienal de Transparencia (BTR1), 2024</t>
        </is>
      </c>
      <c r="I3090" s="4" t="inlineStr">
        <is>
          <t>https://unfccc.int/documents/646195</t>
        </is>
      </c>
      <c r="J3090" s="4" t="inlineStr">
        <is>
          <t>BTR1|2024|T3.17|DOIL|N2O</t>
        </is>
      </c>
      <c r="K3090" s="4" t="inlineStr">
        <is>
          <t>DOIL</t>
        </is>
      </c>
      <c r="L3090" s="4" t="inlineStr">
        <is>
          <t>Diésel / gas oil</t>
        </is>
      </c>
      <c r="M3090" s="4"/>
      <c r="N3090" s="4"/>
      <c r="O3090" s="4"/>
      <c r="P3090" s="4"/>
      <c r="Q3090" s="4" t="inlineStr">
        <is>
          <t>FE_POR_COMBUSTIBLE_BTR1</t>
        </is>
      </c>
      <c r="R3090" s="4"/>
      <c r="S3090" s="4">
        <v>0.6</v>
      </c>
      <c r="T3090" s="4" t="inlineStr">
        <is>
          <t>kg N2O/TJ</t>
        </is>
      </c>
      <c r="U3090" s="4"/>
      <c r="V3090" s="4"/>
      <c r="W3090" s="4" t="inlineStr">
        <is>
          <t>1.A.1.a.i</t>
        </is>
      </c>
      <c r="X3090" s="4" t="inlineStr">
        <is>
          <t>Generación de electricidad</t>
        </is>
      </c>
      <c r="Y3090" s="4" t="inlineStr">
        <is>
          <t>COMB_DOIL</t>
        </is>
      </c>
      <c r="Z3090" s="4" t="s">
        <v>4048</v>
      </c>
      <c r="AA3090" s="13">
        <v>0.6</v>
      </c>
      <c r="AB3090" s="4" t="s">
        <v>4287</v>
      </c>
      <c r="AC3090" s="4"/>
      <c r="AD3090" s="4"/>
      <c r="AE3090" s="4"/>
      <c r="AF3090" s="4"/>
      <c r="AG3090" s="4"/>
      <c r="AH3090" s="4"/>
      <c r="AI3090" s="4"/>
      <c r="AJ3090" s="4"/>
      <c r="AK3090" s="4"/>
      <c r="AL3090" s="4" t="inlineStr">
        <is>
          <t>BTR1 Guatemala 2024, tabla 3.17, p. 57; fila Diésel; gas N2O</t>
        </is>
      </c>
      <c r="AM3090" s="4" t="inlineStr">
        <is>
          <t>Factor por combustible documentado en el BTR1, con origen metodológico IPCC. Se aplica como parámetro constante aproximado a 2018–2024; el año de la clave permite unirlo a la actividad, no representa una nueva observación anual.</t>
        </is>
      </c>
    </row>
    <row r="3091" customFormat="false" ht="57.45" hidden="false" customHeight="false" outlineLevel="0" collapsed="false">
      <c r="A3091" s="4" t="s">
        <v>4270</v>
      </c>
      <c r="B3091" s="4" t="inlineStr">
        <is>
          <t>FE_COMB|2018|1.A.1.a.i|COMB_FOIL|CO2</t>
        </is>
      </c>
      <c r="C3091" s="4" t="inlineStr">
        <is>
          <t>2018|1.A.1.a.i|COMB_FOIL|CO2</t>
        </is>
      </c>
      <c r="D3091" s="12" t="n">
        <v>2018</v>
      </c>
      <c r="E3091" s="12">
        <v>2024.0</v>
      </c>
      <c r="F3091" s="4" t="inlineStr">
        <is>
          <t>PRX</t>
        </is>
      </c>
      <c r="G3091" s="4" t="inlineStr">
        <is>
          <t>MARN_GTM_BTR1_2024</t>
        </is>
      </c>
      <c r="H3091" s="4" t="inlineStr">
        <is>
          <t>Guatemala. Primer Informe Bienal de Transparencia (BTR1), 2024</t>
        </is>
      </c>
      <c r="I3091" s="4" t="inlineStr">
        <is>
          <t>https://unfccc.int/documents/646195</t>
        </is>
      </c>
      <c r="J3091" s="4" t="inlineStr">
        <is>
          <t>BTR1|2024|T3.6|FOIL|CO2</t>
        </is>
      </c>
      <c r="K3091" s="4" t="inlineStr">
        <is>
          <t>FOIL</t>
        </is>
      </c>
      <c r="L3091" s="4" t="inlineStr">
        <is>
          <t>Fuel oil</t>
        </is>
      </c>
      <c r="M3091" s="4"/>
      <c r="N3091" s="4"/>
      <c r="O3091" s="4"/>
      <c r="P3091" s="4"/>
      <c r="Q3091" s="4" t="inlineStr">
        <is>
          <t>FE_POR_COMBUSTIBLE_BTR1</t>
        </is>
      </c>
      <c r="R3091" s="4"/>
      <c r="S3091" s="4">
        <v>77400.0</v>
      </c>
      <c r="T3091" s="4" t="inlineStr">
        <is>
          <t>kg CO2/TJ</t>
        </is>
      </c>
      <c r="U3091" s="4"/>
      <c r="V3091" s="4"/>
      <c r="W3091" s="4" t="inlineStr">
        <is>
          <t>1.A.1.a.i</t>
        </is>
      </c>
      <c r="X3091" s="4" t="inlineStr">
        <is>
          <t>Generación de electricidad</t>
        </is>
      </c>
      <c r="Y3091" s="4" t="inlineStr">
        <is>
          <t>COMB_FOIL</t>
        </is>
      </c>
      <c r="Z3091" s="4" t="s">
        <v>4012</v>
      </c>
      <c r="AA3091" s="13">
        <v>77400.0</v>
      </c>
      <c r="AB3091" s="4" t="s">
        <v>4275</v>
      </c>
      <c r="AC3091" s="4"/>
      <c r="AD3091" s="4"/>
      <c r="AE3091" s="4"/>
      <c r="AF3091" s="4"/>
      <c r="AG3091" s="4"/>
      <c r="AH3091" s="4"/>
      <c r="AI3091" s="4"/>
      <c r="AJ3091" s="4"/>
      <c r="AK3091" s="4"/>
      <c r="AL3091" s="4" t="inlineStr">
        <is>
          <t>BTR1 Guatemala 2024, tabla 3.6, p. 48; fila Fuelóleo residual; gas CO2</t>
        </is>
      </c>
      <c r="AM3091" s="4" t="inlineStr">
        <is>
          <t>Factor por combustible documentado en el BTR1, con origen metodológico IPCC. Se aplica como parámetro constante aproximado a 2018–2024; el año de la clave permite unirlo a la actividad, no representa una nueva observación anual.</t>
        </is>
      </c>
    </row>
    <row r="3092" customFormat="false" ht="57.45" hidden="false" customHeight="false" outlineLevel="0" collapsed="false">
      <c r="A3092" s="4" t="s">
        <v>4270</v>
      </c>
      <c r="B3092" s="4" t="inlineStr">
        <is>
          <t>FE_COMB|2018|1.A.1.a.i|COMB_FOIL|CH4</t>
        </is>
      </c>
      <c r="C3092" s="4" t="inlineStr">
        <is>
          <t>2018|1.A.1.a.i|COMB_FOIL|CH4</t>
        </is>
      </c>
      <c r="D3092" s="12" t="n">
        <v>2018</v>
      </c>
      <c r="E3092" s="12">
        <v>2024.0</v>
      </c>
      <c r="F3092" s="4" t="inlineStr">
        <is>
          <t>PRX</t>
        </is>
      </c>
      <c r="G3092" s="4" t="inlineStr">
        <is>
          <t>MARN_GTM_BTR1_2024</t>
        </is>
      </c>
      <c r="H3092" s="4" t="inlineStr">
        <is>
          <t>Guatemala. Primer Informe Bienal de Transparencia (BTR1), 2024</t>
        </is>
      </c>
      <c r="I3092" s="4" t="inlineStr">
        <is>
          <t>https://unfccc.int/documents/646195</t>
        </is>
      </c>
      <c r="J3092" s="4" t="inlineStr">
        <is>
          <t>BTR1|2024|T3.17|FOIL|CH4</t>
        </is>
      </c>
      <c r="K3092" s="4" t="inlineStr">
        <is>
          <t>FOIL</t>
        </is>
      </c>
      <c r="L3092" s="4" t="inlineStr">
        <is>
          <t>Fuel oil</t>
        </is>
      </c>
      <c r="M3092" s="4"/>
      <c r="N3092" s="4"/>
      <c r="O3092" s="4"/>
      <c r="P3092" s="4"/>
      <c r="Q3092" s="4" t="inlineStr">
        <is>
          <t>FE_POR_COMBUSTIBLE_BTR1</t>
        </is>
      </c>
      <c r="R3092" s="4"/>
      <c r="S3092" s="4">
        <v>3.0</v>
      </c>
      <c r="T3092" s="4" t="inlineStr">
        <is>
          <t>kg CH4/TJ</t>
        </is>
      </c>
      <c r="U3092" s="4"/>
      <c r="V3092" s="4"/>
      <c r="W3092" s="4" t="inlineStr">
        <is>
          <t>1.A.1.a.i</t>
        </is>
      </c>
      <c r="X3092" s="4" t="inlineStr">
        <is>
          <t>Generación de electricidad</t>
        </is>
      </c>
      <c r="Y3092" s="4" t="inlineStr">
        <is>
          <t>COMB_FOIL</t>
        </is>
      </c>
      <c r="Z3092" s="4" t="s">
        <v>4018</v>
      </c>
      <c r="AA3092" s="13">
        <v>3.0</v>
      </c>
      <c r="AB3092" s="4" t="s">
        <v>4281</v>
      </c>
      <c r="AC3092" s="4"/>
      <c r="AD3092" s="4"/>
      <c r="AE3092" s="4"/>
      <c r="AF3092" s="4"/>
      <c r="AG3092" s="4"/>
      <c r="AH3092" s="4"/>
      <c r="AI3092" s="4"/>
      <c r="AJ3092" s="4"/>
      <c r="AK3092" s="4"/>
      <c r="AL3092" s="4" t="inlineStr">
        <is>
          <t>BTR1 Guatemala 2024, tabla 3.17, p. 57; fila Fuelóleo residual; gas CH4</t>
        </is>
      </c>
      <c r="AM3092" s="4" t="inlineStr">
        <is>
          <t>Factor por combustible documentado en el BTR1, con origen metodológico IPCC. Se aplica como parámetro constante aproximado a 2018–2024; el año de la clave permite unirlo a la actividad, no representa una nueva observación anual.</t>
        </is>
      </c>
    </row>
    <row r="3093" customFormat="false" ht="57.45" hidden="false" customHeight="false" outlineLevel="0" collapsed="false">
      <c r="A3093" s="4" t="s">
        <v>4270</v>
      </c>
      <c r="B3093" s="4" t="inlineStr">
        <is>
          <t>FE_COMB|2018|1.A.1.a.i|COMB_FOIL|N2O</t>
        </is>
      </c>
      <c r="C3093" s="4" t="inlineStr">
        <is>
          <t>2018|1.A.1.a.i|COMB_FOIL|N2O</t>
        </is>
      </c>
      <c r="D3093" s="12" t="n">
        <v>2018</v>
      </c>
      <c r="E3093" s="12">
        <v>2024.0</v>
      </c>
      <c r="F3093" s="4" t="inlineStr">
        <is>
          <t>PRX</t>
        </is>
      </c>
      <c r="G3093" s="4" t="inlineStr">
        <is>
          <t>MARN_GTM_BTR1_2024</t>
        </is>
      </c>
      <c r="H3093" s="4" t="inlineStr">
        <is>
          <t>Guatemala. Primer Informe Bienal de Transparencia (BTR1), 2024</t>
        </is>
      </c>
      <c r="I3093" s="4" t="inlineStr">
        <is>
          <t>https://unfccc.int/documents/646195</t>
        </is>
      </c>
      <c r="J3093" s="4" t="inlineStr">
        <is>
          <t>BTR1|2024|T3.17|FOIL|N2O</t>
        </is>
      </c>
      <c r="K3093" s="4" t="inlineStr">
        <is>
          <t>FOIL</t>
        </is>
      </c>
      <c r="L3093" s="4" t="inlineStr">
        <is>
          <t>Fuel oil</t>
        </is>
      </c>
      <c r="M3093" s="4"/>
      <c r="N3093" s="4"/>
      <c r="O3093" s="4"/>
      <c r="P3093" s="4"/>
      <c r="Q3093" s="4" t="inlineStr">
        <is>
          <t>FE_POR_COMBUSTIBLE_BTR1</t>
        </is>
      </c>
      <c r="R3093" s="4"/>
      <c r="S3093" s="4">
        <v>0.6</v>
      </c>
      <c r="T3093" s="4" t="inlineStr">
        <is>
          <t>kg N2O/TJ</t>
        </is>
      </c>
      <c r="U3093" s="4"/>
      <c r="V3093" s="4"/>
      <c r="W3093" s="4" t="inlineStr">
        <is>
          <t>1.A.1.a.i</t>
        </is>
      </c>
      <c r="X3093" s="4" t="inlineStr">
        <is>
          <t>Generación de electricidad</t>
        </is>
      </c>
      <c r="Y3093" s="4" t="inlineStr">
        <is>
          <t>COMB_FOIL</t>
        </is>
      </c>
      <c r="Z3093" s="4" t="s">
        <v>4048</v>
      </c>
      <c r="AA3093" s="13">
        <v>0.6</v>
      </c>
      <c r="AB3093" s="4" t="s">
        <v>4287</v>
      </c>
      <c r="AC3093" s="4"/>
      <c r="AD3093" s="4"/>
      <c r="AE3093" s="4"/>
      <c r="AF3093" s="4"/>
      <c r="AG3093" s="4"/>
      <c r="AH3093" s="4"/>
      <c r="AI3093" s="4"/>
      <c r="AJ3093" s="4"/>
      <c r="AK3093" s="4"/>
      <c r="AL3093" s="4" t="inlineStr">
        <is>
          <t>BTR1 Guatemala 2024, tabla 3.17, p. 57; fila Fuelóleo residual; gas N2O</t>
        </is>
      </c>
      <c r="AM3093" s="4" t="inlineStr">
        <is>
          <t>Factor por combustible documentado en el BTR1, con origen metodológico IPCC. Se aplica como parámetro constante aproximado a 2018–2024; el año de la clave permite unirlo a la actividad, no representa una nueva observación anual.</t>
        </is>
      </c>
    </row>
    <row r="3094" customFormat="false" ht="57.45" hidden="false" customHeight="false" outlineLevel="0" collapsed="false">
      <c r="A3094" s="4" t="s">
        <v>4270</v>
      </c>
      <c r="B3094" s="4" t="inlineStr">
        <is>
          <t>FE_COMB|2018|1.A.1.a.i|COMB_LENA|CO2</t>
        </is>
      </c>
      <c r="C3094" s="4" t="inlineStr">
        <is>
          <t>2018|1.A.1.a.i|COMB_LENA|CO2</t>
        </is>
      </c>
      <c r="D3094" s="12" t="n">
        <v>2018</v>
      </c>
      <c r="E3094" s="12">
        <v>2024.0</v>
      </c>
      <c r="F3094" s="4" t="inlineStr">
        <is>
          <t>PRX</t>
        </is>
      </c>
      <c r="G3094" s="4" t="inlineStr">
        <is>
          <t>MARN_GTM_BTR1_2024</t>
        </is>
      </c>
      <c r="H3094" s="4" t="inlineStr">
        <is>
          <t>Guatemala. Primer Informe Bienal de Transparencia (BTR1), 2024</t>
        </is>
      </c>
      <c r="I3094" s="4" t="inlineStr">
        <is>
          <t>https://unfccc.int/documents/646195</t>
        </is>
      </c>
      <c r="J3094" s="4" t="inlineStr">
        <is>
          <t>BTR1|2024|T3.6|LENA|CO2</t>
        </is>
      </c>
      <c r="K3094" s="4" t="inlineStr">
        <is>
          <t>LENA</t>
        </is>
      </c>
      <c r="L3094" s="4" t="inlineStr">
        <is>
          <t>Leña</t>
        </is>
      </c>
      <c r="M3094" s="4"/>
      <c r="N3094" s="4"/>
      <c r="O3094" s="4"/>
      <c r="P3094" s="4"/>
      <c r="Q3094" s="4" t="inlineStr">
        <is>
          <t>FE_POR_COMBUSTIBLE_BTR1</t>
        </is>
      </c>
      <c r="R3094" s="4"/>
      <c r="S3094" s="4">
        <v>112000.0</v>
      </c>
      <c r="T3094" s="4" t="inlineStr">
        <is>
          <t>kg CO2/TJ</t>
        </is>
      </c>
      <c r="U3094" s="4"/>
      <c r="V3094" s="4"/>
      <c r="W3094" s="4" t="inlineStr">
        <is>
          <t>1.A.1.a.i</t>
        </is>
      </c>
      <c r="X3094" s="4" t="inlineStr">
        <is>
          <t>Generación de electricidad</t>
        </is>
      </c>
      <c r="Y3094" s="4" t="inlineStr">
        <is>
          <t>COMB_LENA</t>
        </is>
      </c>
      <c r="Z3094" s="4" t="s">
        <v>4012</v>
      </c>
      <c r="AA3094" s="13">
        <v>112000.0</v>
      </c>
      <c r="AB3094" s="4" t="s">
        <v>4275</v>
      </c>
      <c r="AC3094" s="4"/>
      <c r="AD3094" s="4"/>
      <c r="AE3094" s="4"/>
      <c r="AF3094" s="4"/>
      <c r="AG3094" s="4"/>
      <c r="AH3094" s="4"/>
      <c r="AI3094" s="4"/>
      <c r="AJ3094" s="4"/>
      <c r="AK3094" s="4"/>
      <c r="AL3094" s="4" t="inlineStr">
        <is>
          <t>BTR1 Guatemala 2024, tabla 3.6, p. 48; fila Madera/desechos de madera; gas CO2</t>
        </is>
      </c>
      <c r="AM3094"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095" customFormat="false" ht="57.45" hidden="false" customHeight="false" outlineLevel="0" collapsed="false">
      <c r="A3095" s="4" t="s">
        <v>4270</v>
      </c>
      <c r="B3095" s="4" t="inlineStr">
        <is>
          <t>FE_COMB|2018|1.A.1.a.i|COMB_LENA|CH4</t>
        </is>
      </c>
      <c r="C3095" s="4" t="inlineStr">
        <is>
          <t>2018|1.A.1.a.i|COMB_LENA|CH4</t>
        </is>
      </c>
      <c r="D3095" s="12" t="n">
        <v>2018</v>
      </c>
      <c r="E3095" s="12">
        <v>2024.0</v>
      </c>
      <c r="F3095" s="4" t="inlineStr">
        <is>
          <t>PRX</t>
        </is>
      </c>
      <c r="G3095" s="4" t="inlineStr">
        <is>
          <t>MARN_GTM_BTR1_2024</t>
        </is>
      </c>
      <c r="H3095" s="4" t="inlineStr">
        <is>
          <t>Guatemala. Primer Informe Bienal de Transparencia (BTR1), 2024</t>
        </is>
      </c>
      <c r="I3095" s="4" t="inlineStr">
        <is>
          <t>https://unfccc.int/documents/646195</t>
        </is>
      </c>
      <c r="J3095" s="4" t="inlineStr">
        <is>
          <t>BTR1|2024|T3.17|LENA|CH4</t>
        </is>
      </c>
      <c r="K3095" s="4" t="inlineStr">
        <is>
          <t>LENA</t>
        </is>
      </c>
      <c r="L3095" s="4" t="inlineStr">
        <is>
          <t>Leña</t>
        </is>
      </c>
      <c r="M3095" s="4"/>
      <c r="N3095" s="4"/>
      <c r="O3095" s="4"/>
      <c r="P3095" s="4"/>
      <c r="Q3095" s="4" t="inlineStr">
        <is>
          <t>FE_POR_COMBUSTIBLE_BTR1</t>
        </is>
      </c>
      <c r="R3095" s="4"/>
      <c r="S3095" s="4">
        <v>30.0</v>
      </c>
      <c r="T3095" s="4" t="inlineStr">
        <is>
          <t>kg CH4/TJ</t>
        </is>
      </c>
      <c r="U3095" s="4"/>
      <c r="V3095" s="4"/>
      <c r="W3095" s="4" t="inlineStr">
        <is>
          <t>1.A.1.a.i</t>
        </is>
      </c>
      <c r="X3095" s="4" t="inlineStr">
        <is>
          <t>Generación de electricidad</t>
        </is>
      </c>
      <c r="Y3095" s="4" t="inlineStr">
        <is>
          <t>COMB_LENA</t>
        </is>
      </c>
      <c r="Z3095" s="4" t="s">
        <v>4018</v>
      </c>
      <c r="AA3095" s="13">
        <v>30.0</v>
      </c>
      <c r="AB3095" s="4" t="s">
        <v>4281</v>
      </c>
      <c r="AC3095" s="4"/>
      <c r="AD3095" s="4"/>
      <c r="AE3095" s="4"/>
      <c r="AF3095" s="4"/>
      <c r="AG3095" s="4"/>
      <c r="AH3095" s="4"/>
      <c r="AI3095" s="4"/>
      <c r="AJ3095" s="4"/>
      <c r="AK3095" s="4"/>
      <c r="AL3095" s="4" t="inlineStr">
        <is>
          <t>BTR1 Guatemala 2024, tabla 3.17, p. 57; fila Madera/desechos de madera; gas CH4</t>
        </is>
      </c>
      <c r="AM3095"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096" customFormat="false" ht="57.45" hidden="false" customHeight="false" outlineLevel="0" collapsed="false">
      <c r="A3096" s="4" t="s">
        <v>4270</v>
      </c>
      <c r="B3096" s="4" t="inlineStr">
        <is>
          <t>FE_COMB|2018|1.A.1.a.i|COMB_LENA|N2O</t>
        </is>
      </c>
      <c r="C3096" s="4" t="inlineStr">
        <is>
          <t>2018|1.A.1.a.i|COMB_LENA|N2O</t>
        </is>
      </c>
      <c r="D3096" s="12" t="n">
        <v>2018</v>
      </c>
      <c r="E3096" s="12">
        <v>2024.0</v>
      </c>
      <c r="F3096" s="4" t="inlineStr">
        <is>
          <t>PRX</t>
        </is>
      </c>
      <c r="G3096" s="4" t="inlineStr">
        <is>
          <t>MARN_GTM_BTR1_2024</t>
        </is>
      </c>
      <c r="H3096" s="4" t="inlineStr">
        <is>
          <t>Guatemala. Primer Informe Bienal de Transparencia (BTR1), 2024</t>
        </is>
      </c>
      <c r="I3096" s="4" t="inlineStr">
        <is>
          <t>https://unfccc.int/documents/646195</t>
        </is>
      </c>
      <c r="J3096" s="4" t="inlineStr">
        <is>
          <t>BTR1|2024|T3.17|LENA|N2O</t>
        </is>
      </c>
      <c r="K3096" s="4" t="inlineStr">
        <is>
          <t>LENA</t>
        </is>
      </c>
      <c r="L3096" s="4" t="inlineStr">
        <is>
          <t>Leña</t>
        </is>
      </c>
      <c r="M3096" s="4"/>
      <c r="N3096" s="4"/>
      <c r="O3096" s="4"/>
      <c r="P3096" s="4"/>
      <c r="Q3096" s="4" t="inlineStr">
        <is>
          <t>FE_POR_COMBUSTIBLE_BTR1</t>
        </is>
      </c>
      <c r="R3096" s="4"/>
      <c r="S3096" s="4">
        <v>4.0</v>
      </c>
      <c r="T3096" s="4" t="inlineStr">
        <is>
          <t>kg N2O/TJ</t>
        </is>
      </c>
      <c r="U3096" s="4"/>
      <c r="V3096" s="4"/>
      <c r="W3096" s="4" t="inlineStr">
        <is>
          <t>1.A.1.a.i</t>
        </is>
      </c>
      <c r="X3096" s="4" t="inlineStr">
        <is>
          <t>Generación de electricidad</t>
        </is>
      </c>
      <c r="Y3096" s="4" t="inlineStr">
        <is>
          <t>COMB_LENA</t>
        </is>
      </c>
      <c r="Z3096" s="4" t="s">
        <v>4048</v>
      </c>
      <c r="AA3096" s="13">
        <v>4.0</v>
      </c>
      <c r="AB3096" s="4" t="s">
        <v>4287</v>
      </c>
      <c r="AC3096" s="4"/>
      <c r="AD3096" s="4"/>
      <c r="AE3096" s="4"/>
      <c r="AF3096" s="4"/>
      <c r="AG3096" s="4"/>
      <c r="AH3096" s="4"/>
      <c r="AI3096" s="4"/>
      <c r="AJ3096" s="4"/>
      <c r="AK3096" s="4"/>
      <c r="AL3096" s="4" t="inlineStr">
        <is>
          <t>BTR1 Guatemala 2024, tabla 3.17, p. 57; fila Madera/desechos de madera; gas N2O</t>
        </is>
      </c>
      <c r="AM3096"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097" customFormat="false" ht="46.25" hidden="false" customHeight="false" outlineLevel="0" collapsed="false">
      <c r="A3097" s="4" t="s">
        <v>4270</v>
      </c>
      <c r="B3097" s="4" t="inlineStr">
        <is>
          <t>FE_COMB|2018|1.A.2|COMB_COQUE|CO2</t>
        </is>
      </c>
      <c r="C3097" s="4" t="inlineStr">
        <is>
          <t>2018|1.A.2|COMB_COQUE|CO2</t>
        </is>
      </c>
      <c r="D3097" s="12" t="n">
        <v>2018</v>
      </c>
      <c r="E3097" s="12">
        <v>2024.0</v>
      </c>
      <c r="F3097" s="4" t="inlineStr">
        <is>
          <t>PRX</t>
        </is>
      </c>
      <c r="G3097" s="4" t="inlineStr">
        <is>
          <t>MARN_GTM_BTR1_2024</t>
        </is>
      </c>
      <c r="H3097" s="4" t="inlineStr">
        <is>
          <t>Guatemala. Primer Informe Bienal de Transparencia (BTR1), 2024</t>
        </is>
      </c>
      <c r="I3097" s="4" t="inlineStr">
        <is>
          <t>https://unfccc.int/documents/646195</t>
        </is>
      </c>
      <c r="J3097" s="4" t="inlineStr">
        <is>
          <t>BTR1|2024|T3.6|COQUE|CO2</t>
        </is>
      </c>
      <c r="K3097" s="4" t="inlineStr">
        <is>
          <t>COQUE</t>
        </is>
      </c>
      <c r="L3097" s="4" t="inlineStr">
        <is>
          <t>Coque</t>
        </is>
      </c>
      <c r="M3097" s="4"/>
      <c r="N3097" s="4"/>
      <c r="O3097" s="4"/>
      <c r="P3097" s="4"/>
      <c r="Q3097" s="4" t="inlineStr">
        <is>
          <t>FE_POR_COMBUSTIBLE_BTR1</t>
        </is>
      </c>
      <c r="R3097" s="4"/>
      <c r="S3097" s="4">
        <v>97500.0</v>
      </c>
      <c r="T3097" s="4" t="inlineStr">
        <is>
          <t>kg CO2/TJ</t>
        </is>
      </c>
      <c r="U3097" s="4"/>
      <c r="V3097" s="4"/>
      <c r="W3097" s="4" t="inlineStr">
        <is>
          <t>1.A.2</t>
        </is>
      </c>
      <c r="X3097" s="4" t="inlineStr">
        <is>
          <t>Industrias manufactureras y construcción</t>
        </is>
      </c>
      <c r="Y3097" s="4" t="inlineStr">
        <is>
          <t>COMB_COQUE</t>
        </is>
      </c>
      <c r="Z3097" s="4" t="s">
        <v>4012</v>
      </c>
      <c r="AA3097" s="13">
        <v>97500.0</v>
      </c>
      <c r="AB3097" s="4" t="s">
        <v>4275</v>
      </c>
      <c r="AC3097" s="4"/>
      <c r="AD3097" s="4"/>
      <c r="AE3097" s="4"/>
      <c r="AF3097" s="4"/>
      <c r="AG3097" s="4"/>
      <c r="AH3097" s="4"/>
      <c r="AI3097" s="4"/>
      <c r="AJ3097" s="4"/>
      <c r="AK3097" s="4"/>
      <c r="AL3097" s="4" t="inlineStr">
        <is>
          <t>BTR1 Guatemala 2024, tabla 3.6, p. 48; fila Coque de petróleo; gas CO2</t>
        </is>
      </c>
      <c r="AM3097"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098" customFormat="false" ht="46.25" hidden="false" customHeight="false" outlineLevel="0" collapsed="false">
      <c r="A3098" s="4" t="s">
        <v>4270</v>
      </c>
      <c r="B3098" s="4" t="inlineStr">
        <is>
          <t>FE_COMB|2018|1.A.2|COMB_COQUE|CH4</t>
        </is>
      </c>
      <c r="C3098" s="4" t="inlineStr">
        <is>
          <t>2018|1.A.2|COMB_COQUE|CH4</t>
        </is>
      </c>
      <c r="D3098" s="12" t="n">
        <v>2018</v>
      </c>
      <c r="E3098" s="12">
        <v>2024.0</v>
      </c>
      <c r="F3098" s="4" t="inlineStr">
        <is>
          <t>PRX</t>
        </is>
      </c>
      <c r="G3098" s="4" t="inlineStr">
        <is>
          <t>MARN_GTM_BTR1_2024</t>
        </is>
      </c>
      <c r="H3098" s="4" t="inlineStr">
        <is>
          <t>Guatemala. Primer Informe Bienal de Transparencia (BTR1), 2024</t>
        </is>
      </c>
      <c r="I3098" s="4" t="inlineStr">
        <is>
          <t>https://unfccc.int/documents/646195</t>
        </is>
      </c>
      <c r="J3098" s="4" t="inlineStr">
        <is>
          <t>BTR1|2024|T3.22|COQUE|CH4</t>
        </is>
      </c>
      <c r="K3098" s="4" t="inlineStr">
        <is>
          <t>COQUE</t>
        </is>
      </c>
      <c r="L3098" s="4" t="inlineStr">
        <is>
          <t>Coque</t>
        </is>
      </c>
      <c r="M3098" s="4"/>
      <c r="N3098" s="4"/>
      <c r="O3098" s="4"/>
      <c r="P3098" s="4"/>
      <c r="Q3098" s="4" t="inlineStr">
        <is>
          <t>FE_POR_COMBUSTIBLE_BTR1</t>
        </is>
      </c>
      <c r="R3098" s="4"/>
      <c r="S3098" s="4">
        <v>3.0</v>
      </c>
      <c r="T3098" s="4" t="inlineStr">
        <is>
          <t>kg CH4/TJ</t>
        </is>
      </c>
      <c r="U3098" s="4"/>
      <c r="V3098" s="4"/>
      <c r="W3098" s="4" t="inlineStr">
        <is>
          <t>1.A.2</t>
        </is>
      </c>
      <c r="X3098" s="4" t="inlineStr">
        <is>
          <t>Industrias manufactureras y construcción</t>
        </is>
      </c>
      <c r="Y3098" s="4" t="inlineStr">
        <is>
          <t>COMB_COQUE</t>
        </is>
      </c>
      <c r="Z3098" s="4" t="s">
        <v>4018</v>
      </c>
      <c r="AA3098" s="13">
        <v>3.0</v>
      </c>
      <c r="AB3098" s="4" t="s">
        <v>4281</v>
      </c>
      <c r="AC3098" s="4"/>
      <c r="AD3098" s="4"/>
      <c r="AE3098" s="4"/>
      <c r="AF3098" s="4"/>
      <c r="AG3098" s="4"/>
      <c r="AH3098" s="4"/>
      <c r="AI3098" s="4"/>
      <c r="AJ3098" s="4"/>
      <c r="AK3098" s="4"/>
      <c r="AL3098" s="4" t="inlineStr">
        <is>
          <t>BTR1 Guatemala 2024, tabla 3.22, p. 62; fila Coque de petróleo; gas CH4</t>
        </is>
      </c>
      <c r="AM3098"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099" customFormat="false" ht="46.25" hidden="false" customHeight="false" outlineLevel="0" collapsed="false">
      <c r="A3099" s="4" t="s">
        <v>4270</v>
      </c>
      <c r="B3099" s="4" t="inlineStr">
        <is>
          <t>FE_COMB|2018|1.A.2|COMB_COQUE|N2O</t>
        </is>
      </c>
      <c r="C3099" s="4" t="inlineStr">
        <is>
          <t>2018|1.A.2|COMB_COQUE|N2O</t>
        </is>
      </c>
      <c r="D3099" s="12" t="n">
        <v>2018</v>
      </c>
      <c r="E3099" s="12">
        <v>2024.0</v>
      </c>
      <c r="F3099" s="4" t="inlineStr">
        <is>
          <t>PRX</t>
        </is>
      </c>
      <c r="G3099" s="4" t="inlineStr">
        <is>
          <t>MARN_GTM_BTR1_2024</t>
        </is>
      </c>
      <c r="H3099" s="4" t="inlineStr">
        <is>
          <t>Guatemala. Primer Informe Bienal de Transparencia (BTR1), 2024</t>
        </is>
      </c>
      <c r="I3099" s="4" t="inlineStr">
        <is>
          <t>https://unfccc.int/documents/646195</t>
        </is>
      </c>
      <c r="J3099" s="4" t="inlineStr">
        <is>
          <t>BTR1|2024|T3.22|COQUE|N2O</t>
        </is>
      </c>
      <c r="K3099" s="4" t="inlineStr">
        <is>
          <t>COQUE</t>
        </is>
      </c>
      <c r="L3099" s="4" t="inlineStr">
        <is>
          <t>Coque</t>
        </is>
      </c>
      <c r="M3099" s="4"/>
      <c r="N3099" s="4"/>
      <c r="O3099" s="4"/>
      <c r="P3099" s="4"/>
      <c r="Q3099" s="4" t="inlineStr">
        <is>
          <t>FE_POR_COMBUSTIBLE_BTR1</t>
        </is>
      </c>
      <c r="R3099" s="4"/>
      <c r="S3099" s="4">
        <v>0.6</v>
      </c>
      <c r="T3099" s="4" t="inlineStr">
        <is>
          <t>kg N2O/TJ</t>
        </is>
      </c>
      <c r="U3099" s="4"/>
      <c r="V3099" s="4"/>
      <c r="W3099" s="4" t="inlineStr">
        <is>
          <t>1.A.2</t>
        </is>
      </c>
      <c r="X3099" s="4" t="inlineStr">
        <is>
          <t>Industrias manufactureras y construcción</t>
        </is>
      </c>
      <c r="Y3099" s="4" t="inlineStr">
        <is>
          <t>COMB_COQUE</t>
        </is>
      </c>
      <c r="Z3099" s="4" t="s">
        <v>4048</v>
      </c>
      <c r="AA3099" s="13">
        <v>0.6</v>
      </c>
      <c r="AB3099" s="4" t="s">
        <v>4287</v>
      </c>
      <c r="AC3099" s="4"/>
      <c r="AD3099" s="4"/>
      <c r="AE3099" s="4"/>
      <c r="AF3099" s="4"/>
      <c r="AG3099" s="4"/>
      <c r="AH3099" s="4"/>
      <c r="AI3099" s="4"/>
      <c r="AJ3099" s="4"/>
      <c r="AK3099" s="4"/>
      <c r="AL3099" s="4" t="inlineStr">
        <is>
          <t>BTR1 Guatemala 2024, tabla 3.22, p. 62; fila Coque de petróleo; gas N2O</t>
        </is>
      </c>
      <c r="AM3099"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100" customFormat="false" ht="57.45" hidden="false" customHeight="false" outlineLevel="0" collapsed="false">
      <c r="A3100" s="4" t="s">
        <v>4270</v>
      </c>
      <c r="B3100" s="4" t="inlineStr">
        <is>
          <t>FE_COMB|2018|1.A.2|COMB_DOIL|CO2</t>
        </is>
      </c>
      <c r="C3100" s="4" t="inlineStr">
        <is>
          <t>2018|1.A.2|COMB_DOIL|CO2</t>
        </is>
      </c>
      <c r="D3100" s="12" t="n">
        <v>2018</v>
      </c>
      <c r="E3100" s="12">
        <v>2024.0</v>
      </c>
      <c r="F3100" s="4" t="inlineStr">
        <is>
          <t>PRX</t>
        </is>
      </c>
      <c r="G3100" s="4" t="inlineStr">
        <is>
          <t>MARN_GTM_BTR1_2024</t>
        </is>
      </c>
      <c r="H3100" s="4" t="inlineStr">
        <is>
          <t>Guatemala. Primer Informe Bienal de Transparencia (BTR1), 2024</t>
        </is>
      </c>
      <c r="I3100" s="4" t="inlineStr">
        <is>
          <t>https://unfccc.int/documents/646195</t>
        </is>
      </c>
      <c r="J3100" s="4" t="inlineStr">
        <is>
          <t>BTR1|2024|T3.6|DOIL|CO2</t>
        </is>
      </c>
      <c r="K3100" s="4" t="inlineStr">
        <is>
          <t>DOIL</t>
        </is>
      </c>
      <c r="L3100" s="4" t="inlineStr">
        <is>
          <t>Diésel / gas oil</t>
        </is>
      </c>
      <c r="M3100" s="4"/>
      <c r="N3100" s="4"/>
      <c r="O3100" s="4"/>
      <c r="P3100" s="4"/>
      <c r="Q3100" s="4" t="inlineStr">
        <is>
          <t>FE_POR_COMBUSTIBLE_BTR1</t>
        </is>
      </c>
      <c r="R3100" s="4"/>
      <c r="S3100" s="4">
        <v>74100.0</v>
      </c>
      <c r="T3100" s="4" t="inlineStr">
        <is>
          <t>kg CO2/TJ</t>
        </is>
      </c>
      <c r="U3100" s="4"/>
      <c r="V3100" s="4"/>
      <c r="W3100" s="4" t="inlineStr">
        <is>
          <t>1.A.2</t>
        </is>
      </c>
      <c r="X3100" s="4" t="inlineStr">
        <is>
          <t>Industrias manufactureras y construcción</t>
        </is>
      </c>
      <c r="Y3100" s="4" t="inlineStr">
        <is>
          <t>COMB_DOIL</t>
        </is>
      </c>
      <c r="Z3100" s="4" t="s">
        <v>4012</v>
      </c>
      <c r="AA3100" s="13">
        <v>74100.0</v>
      </c>
      <c r="AB3100" s="4" t="s">
        <v>4275</v>
      </c>
      <c r="AC3100" s="4"/>
      <c r="AD3100" s="4"/>
      <c r="AE3100" s="4"/>
      <c r="AF3100" s="4"/>
      <c r="AG3100" s="4"/>
      <c r="AH3100" s="4"/>
      <c r="AI3100" s="4"/>
      <c r="AJ3100" s="4"/>
      <c r="AK3100" s="4"/>
      <c r="AL3100" s="4" t="inlineStr">
        <is>
          <t>BTR1 Guatemala 2024, tabla 3.6, p. 48; fila Gas/Diésel oíl; gas CO2</t>
        </is>
      </c>
      <c r="AM3100" s="4" t="inlineStr">
        <is>
          <t>Factor por combustible documentado en el BTR1, con origen metodológico IPCC. Se aplica como parámetro constante aproximado a 2018–2024; el año de la clave permite unirlo a la actividad, no representa una nueva observación anual.</t>
        </is>
      </c>
    </row>
    <row r="3101" customFormat="false" ht="57.45" hidden="false" customHeight="false" outlineLevel="0" collapsed="false">
      <c r="A3101" s="4" t="s">
        <v>4270</v>
      </c>
      <c r="B3101" s="4" t="inlineStr">
        <is>
          <t>FE_COMB|2018|1.A.2|COMB_DOIL|CH4</t>
        </is>
      </c>
      <c r="C3101" s="4" t="inlineStr">
        <is>
          <t>2018|1.A.2|COMB_DOIL|CH4</t>
        </is>
      </c>
      <c r="D3101" s="12" t="n">
        <v>2018</v>
      </c>
      <c r="E3101" s="12">
        <v>2024.0</v>
      </c>
      <c r="F3101" s="4" t="inlineStr">
        <is>
          <t>PRX</t>
        </is>
      </c>
      <c r="G3101" s="4" t="inlineStr">
        <is>
          <t>MARN_GTM_BTR1_2024</t>
        </is>
      </c>
      <c r="H3101" s="4" t="inlineStr">
        <is>
          <t>Guatemala. Primer Informe Bienal de Transparencia (BTR1), 2024</t>
        </is>
      </c>
      <c r="I3101" s="4" t="inlineStr">
        <is>
          <t>https://unfccc.int/documents/646195</t>
        </is>
      </c>
      <c r="J3101" s="4" t="inlineStr">
        <is>
          <t>BTR1|2024|T3.22|DOIL|CH4</t>
        </is>
      </c>
      <c r="K3101" s="4" t="inlineStr">
        <is>
          <t>DOIL</t>
        </is>
      </c>
      <c r="L3101" s="4" t="inlineStr">
        <is>
          <t>Diésel / gas oil</t>
        </is>
      </c>
      <c r="M3101" s="4"/>
      <c r="N3101" s="4"/>
      <c r="O3101" s="4"/>
      <c r="P3101" s="4"/>
      <c r="Q3101" s="4" t="inlineStr">
        <is>
          <t>FE_POR_COMBUSTIBLE_BTR1</t>
        </is>
      </c>
      <c r="R3101" s="4"/>
      <c r="S3101" s="4">
        <v>3.0</v>
      </c>
      <c r="T3101" s="4" t="inlineStr">
        <is>
          <t>kg CH4/TJ</t>
        </is>
      </c>
      <c r="U3101" s="4"/>
      <c r="V3101" s="4"/>
      <c r="W3101" s="4" t="inlineStr">
        <is>
          <t>1.A.2</t>
        </is>
      </c>
      <c r="X3101" s="4" t="inlineStr">
        <is>
          <t>Industrias manufactureras y construcción</t>
        </is>
      </c>
      <c r="Y3101" s="4" t="inlineStr">
        <is>
          <t>COMB_DOIL</t>
        </is>
      </c>
      <c r="Z3101" s="4" t="s">
        <v>4018</v>
      </c>
      <c r="AA3101" s="13">
        <v>3.0</v>
      </c>
      <c r="AB3101" s="4" t="s">
        <v>4281</v>
      </c>
      <c r="AC3101" s="4"/>
      <c r="AD3101" s="4"/>
      <c r="AE3101" s="4"/>
      <c r="AF3101" s="4"/>
      <c r="AG3101" s="4"/>
      <c r="AH3101" s="4"/>
      <c r="AI3101" s="4"/>
      <c r="AJ3101" s="4"/>
      <c r="AK3101" s="4"/>
      <c r="AL3101" s="4" t="inlineStr">
        <is>
          <t>BTR1 Guatemala 2024, tabla 3.22, p. 62; fila Diésel; gas CH4</t>
        </is>
      </c>
      <c r="AM3101" s="4" t="inlineStr">
        <is>
          <t>Factor por combustible documentado en el BTR1, con origen metodológico IPCC. Se aplica como parámetro constante aproximado a 2018–2024; el año de la clave permite unirlo a la actividad, no representa una nueva observación anual.</t>
        </is>
      </c>
    </row>
    <row r="3102" customFormat="false" ht="57.45" hidden="false" customHeight="false" outlineLevel="0" collapsed="false">
      <c r="A3102" s="4" t="s">
        <v>4270</v>
      </c>
      <c r="B3102" s="4" t="inlineStr">
        <is>
          <t>FE_COMB|2018|1.A.2|COMB_DOIL|N2O</t>
        </is>
      </c>
      <c r="C3102" s="4" t="inlineStr">
        <is>
          <t>2018|1.A.2|COMB_DOIL|N2O</t>
        </is>
      </c>
      <c r="D3102" s="12" t="n">
        <v>2018</v>
      </c>
      <c r="E3102" s="12">
        <v>2024.0</v>
      </c>
      <c r="F3102" s="4" t="inlineStr">
        <is>
          <t>PRX</t>
        </is>
      </c>
      <c r="G3102" s="4" t="inlineStr">
        <is>
          <t>MARN_GTM_BTR1_2024</t>
        </is>
      </c>
      <c r="H3102" s="4" t="inlineStr">
        <is>
          <t>Guatemala. Primer Informe Bienal de Transparencia (BTR1), 2024</t>
        </is>
      </c>
      <c r="I3102" s="4" t="inlineStr">
        <is>
          <t>https://unfccc.int/documents/646195</t>
        </is>
      </c>
      <c r="J3102" s="4" t="inlineStr">
        <is>
          <t>BTR1|2024|T3.22|DOIL|N2O</t>
        </is>
      </c>
      <c r="K3102" s="4" t="inlineStr">
        <is>
          <t>DOIL</t>
        </is>
      </c>
      <c r="L3102" s="4" t="inlineStr">
        <is>
          <t>Diésel / gas oil</t>
        </is>
      </c>
      <c r="M3102" s="4"/>
      <c r="N3102" s="4"/>
      <c r="O3102" s="4"/>
      <c r="P3102" s="4"/>
      <c r="Q3102" s="4" t="inlineStr">
        <is>
          <t>FE_POR_COMBUSTIBLE_BTR1</t>
        </is>
      </c>
      <c r="R3102" s="4"/>
      <c r="S3102" s="4">
        <v>0.6</v>
      </c>
      <c r="T3102" s="4" t="inlineStr">
        <is>
          <t>kg N2O/TJ</t>
        </is>
      </c>
      <c r="U3102" s="4"/>
      <c r="V3102" s="4"/>
      <c r="W3102" s="4" t="inlineStr">
        <is>
          <t>1.A.2</t>
        </is>
      </c>
      <c r="X3102" s="4" t="inlineStr">
        <is>
          <t>Industrias manufactureras y construcción</t>
        </is>
      </c>
      <c r="Y3102" s="4" t="inlineStr">
        <is>
          <t>COMB_DOIL</t>
        </is>
      </c>
      <c r="Z3102" s="4" t="s">
        <v>4048</v>
      </c>
      <c r="AA3102" s="13">
        <v>0.6</v>
      </c>
      <c r="AB3102" s="4" t="s">
        <v>4287</v>
      </c>
      <c r="AC3102" s="4"/>
      <c r="AD3102" s="4"/>
      <c r="AE3102" s="4"/>
      <c r="AF3102" s="4"/>
      <c r="AG3102" s="4"/>
      <c r="AH3102" s="4"/>
      <c r="AI3102" s="4"/>
      <c r="AJ3102" s="4"/>
      <c r="AK3102" s="4"/>
      <c r="AL3102" s="4" t="inlineStr">
        <is>
          <t>BTR1 Guatemala 2024, tabla 3.22, p. 62; fila Diésel; gas N2O</t>
        </is>
      </c>
      <c r="AM3102" s="4" t="inlineStr">
        <is>
          <t>Factor por combustible documentado en el BTR1, con origen metodológico IPCC. Se aplica como parámetro constante aproximado a 2018–2024; el año de la clave permite unirlo a la actividad, no representa una nueva observación anual.</t>
        </is>
      </c>
    </row>
    <row r="3103" customFormat="false" ht="46.25" hidden="false" customHeight="false" outlineLevel="0" collapsed="false">
      <c r="A3103" s="4" t="s">
        <v>4270</v>
      </c>
      <c r="B3103" s="4" t="inlineStr">
        <is>
          <t>FE_COMB|2018|1.A.2|COMB_FOIL|CO2</t>
        </is>
      </c>
      <c r="C3103" s="4" t="inlineStr">
        <is>
          <t>2018|1.A.2|COMB_FOIL|CO2</t>
        </is>
      </c>
      <c r="D3103" s="12" t="n">
        <v>2018</v>
      </c>
      <c r="E3103" s="12">
        <v>2024.0</v>
      </c>
      <c r="F3103" s="4" t="inlineStr">
        <is>
          <t>PRX</t>
        </is>
      </c>
      <c r="G3103" s="4" t="inlineStr">
        <is>
          <t>MARN_GTM_BTR1_2024</t>
        </is>
      </c>
      <c r="H3103" s="4" t="inlineStr">
        <is>
          <t>Guatemala. Primer Informe Bienal de Transparencia (BTR1), 2024</t>
        </is>
      </c>
      <c r="I3103" s="4" t="inlineStr">
        <is>
          <t>https://unfccc.int/documents/646195</t>
        </is>
      </c>
      <c r="J3103" s="4" t="inlineStr">
        <is>
          <t>BTR1|2024|T3.6|FOIL|CO2</t>
        </is>
      </c>
      <c r="K3103" s="4" t="inlineStr">
        <is>
          <t>FOIL</t>
        </is>
      </c>
      <c r="L3103" s="4" t="inlineStr">
        <is>
          <t>Fuel oil</t>
        </is>
      </c>
      <c r="M3103" s="4"/>
      <c r="N3103" s="4"/>
      <c r="O3103" s="4"/>
      <c r="P3103" s="4"/>
      <c r="Q3103" s="4" t="inlineStr">
        <is>
          <t>FE_POR_COMBUSTIBLE_BTR1</t>
        </is>
      </c>
      <c r="R3103" s="4"/>
      <c r="S3103" s="4">
        <v>77400.0</v>
      </c>
      <c r="T3103" s="4" t="inlineStr">
        <is>
          <t>kg CO2/TJ</t>
        </is>
      </c>
      <c r="U3103" s="4"/>
      <c r="V3103" s="4"/>
      <c r="W3103" s="4" t="inlineStr">
        <is>
          <t>1.A.2</t>
        </is>
      </c>
      <c r="X3103" s="4" t="inlineStr">
        <is>
          <t>Industrias manufactureras y construcción</t>
        </is>
      </c>
      <c r="Y3103" s="4" t="inlineStr">
        <is>
          <t>COMB_FOIL</t>
        </is>
      </c>
      <c r="Z3103" s="4" t="s">
        <v>4012</v>
      </c>
      <c r="AA3103" s="13">
        <v>77400.0</v>
      </c>
      <c r="AB3103" s="4" t="s">
        <v>4275</v>
      </c>
      <c r="AC3103" s="4"/>
      <c r="AD3103" s="4"/>
      <c r="AE3103" s="4"/>
      <c r="AF3103" s="4"/>
      <c r="AG3103" s="4"/>
      <c r="AH3103" s="4"/>
      <c r="AI3103" s="4"/>
      <c r="AJ3103" s="4"/>
      <c r="AK3103" s="4"/>
      <c r="AL3103" s="4" t="inlineStr">
        <is>
          <t>BTR1 Guatemala 2024, tabla 3.6, p. 48; fila Fuelóleo residual; gas CO2</t>
        </is>
      </c>
      <c r="AM3103" s="4" t="inlineStr">
        <is>
          <t>Factor por combustible documentado en el BTR1, con origen metodológico IPCC. Se aplica como parámetro constante aproximado a 2018–2024; el año de la clave permite unirlo a la actividad, no representa una nueva observación anual.</t>
        </is>
      </c>
    </row>
    <row r="3104" customFormat="false" ht="46.25" hidden="false" customHeight="false" outlineLevel="0" collapsed="false">
      <c r="A3104" s="4" t="s">
        <v>4270</v>
      </c>
      <c r="B3104" s="4" t="inlineStr">
        <is>
          <t>FE_COMB|2018|1.A.2|COMB_FOIL|CH4</t>
        </is>
      </c>
      <c r="C3104" s="4" t="inlineStr">
        <is>
          <t>2018|1.A.2|COMB_FOIL|CH4</t>
        </is>
      </c>
      <c r="D3104" s="12" t="n">
        <v>2018</v>
      </c>
      <c r="E3104" s="12">
        <v>2024.0</v>
      </c>
      <c r="F3104" s="4" t="inlineStr">
        <is>
          <t>PRX</t>
        </is>
      </c>
      <c r="G3104" s="4" t="inlineStr">
        <is>
          <t>MARN_GTM_BTR1_2024</t>
        </is>
      </c>
      <c r="H3104" s="4" t="inlineStr">
        <is>
          <t>Guatemala. Primer Informe Bienal de Transparencia (BTR1), 2024</t>
        </is>
      </c>
      <c r="I3104" s="4" t="inlineStr">
        <is>
          <t>https://unfccc.int/documents/646195</t>
        </is>
      </c>
      <c r="J3104" s="4" t="inlineStr">
        <is>
          <t>BTR1|2024|T3.22|FOIL|CH4</t>
        </is>
      </c>
      <c r="K3104" s="4" t="inlineStr">
        <is>
          <t>FOIL</t>
        </is>
      </c>
      <c r="L3104" s="4" t="inlineStr">
        <is>
          <t>Fuel oil</t>
        </is>
      </c>
      <c r="M3104" s="4"/>
      <c r="N3104" s="4"/>
      <c r="O3104" s="4"/>
      <c r="P3104" s="4"/>
      <c r="Q3104" s="4" t="inlineStr">
        <is>
          <t>FE_POR_COMBUSTIBLE_BTR1</t>
        </is>
      </c>
      <c r="R3104" s="4"/>
      <c r="S3104" s="4">
        <v>3.0</v>
      </c>
      <c r="T3104" s="4" t="inlineStr">
        <is>
          <t>kg CH4/TJ</t>
        </is>
      </c>
      <c r="U3104" s="4"/>
      <c r="V3104" s="4"/>
      <c r="W3104" s="4" t="inlineStr">
        <is>
          <t>1.A.2</t>
        </is>
      </c>
      <c r="X3104" s="4" t="inlineStr">
        <is>
          <t>Industrias manufactureras y construcción</t>
        </is>
      </c>
      <c r="Y3104" s="4" t="inlineStr">
        <is>
          <t>COMB_FOIL</t>
        </is>
      </c>
      <c r="Z3104" s="4" t="s">
        <v>4018</v>
      </c>
      <c r="AA3104" s="13">
        <v>3.0</v>
      </c>
      <c r="AB3104" s="4" t="s">
        <v>4281</v>
      </c>
      <c r="AC3104" s="4"/>
      <c r="AD3104" s="4"/>
      <c r="AE3104" s="4"/>
      <c r="AF3104" s="4"/>
      <c r="AG3104" s="4"/>
      <c r="AH3104" s="4"/>
      <c r="AI3104" s="4"/>
      <c r="AJ3104" s="4"/>
      <c r="AK3104" s="4"/>
      <c r="AL3104" s="4" t="inlineStr">
        <is>
          <t>BTR1 Guatemala 2024, tabla 3.22, p. 62; fila Fuelóleo residual; gas CH4</t>
        </is>
      </c>
      <c r="AM3104" s="4" t="inlineStr">
        <is>
          <t>Factor por combustible documentado en el BTR1, con origen metodológico IPCC. Se aplica como parámetro constante aproximado a 2018–2024; el año de la clave permite unirlo a la actividad, no representa una nueva observación anual.</t>
        </is>
      </c>
    </row>
    <row r="3105" customFormat="false" ht="46.25" hidden="false" customHeight="false" outlineLevel="0" collapsed="false">
      <c r="A3105" s="4" t="s">
        <v>4270</v>
      </c>
      <c r="B3105" s="4" t="inlineStr">
        <is>
          <t>FE_COMB|2018|1.A.2|COMB_FOIL|N2O</t>
        </is>
      </c>
      <c r="C3105" s="4" t="inlineStr">
        <is>
          <t>2018|1.A.2|COMB_FOIL|N2O</t>
        </is>
      </c>
      <c r="D3105" s="12" t="n">
        <v>2018</v>
      </c>
      <c r="E3105" s="12">
        <v>2024.0</v>
      </c>
      <c r="F3105" s="4" t="inlineStr">
        <is>
          <t>PRX</t>
        </is>
      </c>
      <c r="G3105" s="4" t="inlineStr">
        <is>
          <t>MARN_GTM_BTR1_2024</t>
        </is>
      </c>
      <c r="H3105" s="4" t="inlineStr">
        <is>
          <t>Guatemala. Primer Informe Bienal de Transparencia (BTR1), 2024</t>
        </is>
      </c>
      <c r="I3105" s="4" t="inlineStr">
        <is>
          <t>https://unfccc.int/documents/646195</t>
        </is>
      </c>
      <c r="J3105" s="4" t="inlineStr">
        <is>
          <t>BTR1|2024|T3.22|FOIL|N2O</t>
        </is>
      </c>
      <c r="K3105" s="4" t="inlineStr">
        <is>
          <t>FOIL</t>
        </is>
      </c>
      <c r="L3105" s="4" t="inlineStr">
        <is>
          <t>Fuel oil</t>
        </is>
      </c>
      <c r="M3105" s="4"/>
      <c r="N3105" s="4"/>
      <c r="O3105" s="4"/>
      <c r="P3105" s="4"/>
      <c r="Q3105" s="4" t="inlineStr">
        <is>
          <t>FE_POR_COMBUSTIBLE_BTR1</t>
        </is>
      </c>
      <c r="R3105" s="4"/>
      <c r="S3105" s="4">
        <v>0.6</v>
      </c>
      <c r="T3105" s="4" t="inlineStr">
        <is>
          <t>kg N2O/TJ</t>
        </is>
      </c>
      <c r="U3105" s="4"/>
      <c r="V3105" s="4"/>
      <c r="W3105" s="4" t="inlineStr">
        <is>
          <t>1.A.2</t>
        </is>
      </c>
      <c r="X3105" s="4" t="inlineStr">
        <is>
          <t>Industrias manufactureras y construcción</t>
        </is>
      </c>
      <c r="Y3105" s="4" t="inlineStr">
        <is>
          <t>COMB_FOIL</t>
        </is>
      </c>
      <c r="Z3105" s="4" t="s">
        <v>4048</v>
      </c>
      <c r="AA3105" s="13">
        <v>0.6</v>
      </c>
      <c r="AB3105" s="4" t="s">
        <v>4287</v>
      </c>
      <c r="AC3105" s="4"/>
      <c r="AD3105" s="4"/>
      <c r="AE3105" s="4"/>
      <c r="AF3105" s="4"/>
      <c r="AG3105" s="4"/>
      <c r="AH3105" s="4"/>
      <c r="AI3105" s="4"/>
      <c r="AJ3105" s="4"/>
      <c r="AK3105" s="4"/>
      <c r="AL3105" s="4" t="inlineStr">
        <is>
          <t>BTR1 Guatemala 2024, tabla 3.22, p. 62; fila Fuelóleo residual; gas N2O</t>
        </is>
      </c>
      <c r="AM3105" s="4" t="inlineStr">
        <is>
          <t>Factor por combustible documentado en el BTR1, con origen metodológico IPCC. Se aplica como parámetro constante aproximado a 2018–2024; el año de la clave permite unirlo a la actividad, no representa una nueva observación anual.</t>
        </is>
      </c>
    </row>
    <row r="3106" customFormat="false" ht="57.45" hidden="false" customHeight="false" outlineLevel="0" collapsed="false">
      <c r="A3106" s="4" t="s">
        <v>4270</v>
      </c>
      <c r="B3106" s="4" t="inlineStr">
        <is>
          <t>FE_COMB|2018|1.A.2|COMB_GAS|CO2</t>
        </is>
      </c>
      <c r="C3106" s="4" t="inlineStr">
        <is>
          <t>2018|1.A.2|COMB_GAS|CO2</t>
        </is>
      </c>
      <c r="D3106" s="12" t="n">
        <v>2018</v>
      </c>
      <c r="E3106" s="12">
        <v>2024.0</v>
      </c>
      <c r="F3106" s="4" t="inlineStr">
        <is>
          <t>PRX</t>
        </is>
      </c>
      <c r="G3106" s="4" t="inlineStr">
        <is>
          <t>MARN_GTM_BTR1_2024</t>
        </is>
      </c>
      <c r="H3106" s="4" t="inlineStr">
        <is>
          <t>Guatemala. Primer Informe Bienal de Transparencia (BTR1), 2024</t>
        </is>
      </c>
      <c r="I3106" s="4" t="inlineStr">
        <is>
          <t>https://unfccc.int/documents/646195</t>
        </is>
      </c>
      <c r="J3106" s="4" t="inlineStr">
        <is>
          <t>BTR1|2024|T3.6|GAS|CO2</t>
        </is>
      </c>
      <c r="K3106" s="4" t="inlineStr">
        <is>
          <t>GAS</t>
        </is>
      </c>
      <c r="L3106" s="4" t="inlineStr">
        <is>
          <t>Gasolinas</t>
        </is>
      </c>
      <c r="M3106" s="4"/>
      <c r="N3106" s="4"/>
      <c r="O3106" s="4"/>
      <c r="P3106" s="4"/>
      <c r="Q3106" s="4" t="inlineStr">
        <is>
          <t>FE_POR_COMBUSTIBLE_BTR1</t>
        </is>
      </c>
      <c r="R3106" s="4"/>
      <c r="S3106" s="4">
        <v>69300.0</v>
      </c>
      <c r="T3106" s="4" t="inlineStr">
        <is>
          <t>kg CO2/TJ</t>
        </is>
      </c>
      <c r="U3106" s="4"/>
      <c r="V3106" s="4"/>
      <c r="W3106" s="4" t="inlineStr">
        <is>
          <t>1.A.2</t>
        </is>
      </c>
      <c r="X3106" s="4" t="inlineStr">
        <is>
          <t>Industrias manufactureras y construcción</t>
        </is>
      </c>
      <c r="Y3106" s="4" t="inlineStr">
        <is>
          <t>COMB_GAS</t>
        </is>
      </c>
      <c r="Z3106" s="4" t="s">
        <v>4012</v>
      </c>
      <c r="AA3106" s="13">
        <v>69300.0</v>
      </c>
      <c r="AB3106" s="4" t="s">
        <v>4275</v>
      </c>
      <c r="AC3106" s="4"/>
      <c r="AD3106" s="4"/>
      <c r="AE3106" s="4"/>
      <c r="AF3106" s="4"/>
      <c r="AG3106" s="4"/>
      <c r="AH3106" s="4"/>
      <c r="AI3106" s="4"/>
      <c r="AJ3106" s="4"/>
      <c r="AK3106" s="4"/>
      <c r="AL3106" s="4" t="inlineStr">
        <is>
          <t>BTR1 Guatemala 2024, tabla 3.6, p. 48; fila Gasolina para motores; gas CO2</t>
        </is>
      </c>
      <c r="AM3106" s="4" t="inlineStr">
        <is>
          <t>Factor por combustible documentado en el BTR1, con origen metodológico IPCC. Se aplica como parámetro constante aproximado a 2018–2024; el año de la clave permite unirlo a la actividad, no representa una nueva observación anual.</t>
        </is>
      </c>
    </row>
    <row r="3107" customFormat="false" ht="57.45" hidden="false" customHeight="false" outlineLevel="0" collapsed="false">
      <c r="A3107" s="4" t="s">
        <v>4270</v>
      </c>
      <c r="B3107" s="4" t="inlineStr">
        <is>
          <t>FE_COMB|2018|1.A.2|COMB_GAS|CH4</t>
        </is>
      </c>
      <c r="C3107" s="4" t="inlineStr">
        <is>
          <t>2018|1.A.2|COMB_GAS|CH4</t>
        </is>
      </c>
      <c r="D3107" s="12" t="n">
        <v>2018</v>
      </c>
      <c r="E3107" s="12">
        <v>2024.0</v>
      </c>
      <c r="F3107" s="4" t="inlineStr">
        <is>
          <t>PRX</t>
        </is>
      </c>
      <c r="G3107" s="4" t="inlineStr">
        <is>
          <t>MARN_GTM_BTR1_2024</t>
        </is>
      </c>
      <c r="H3107" s="4" t="inlineStr">
        <is>
          <t>Guatemala. Primer Informe Bienal de Transparencia (BTR1), 2024</t>
        </is>
      </c>
      <c r="I3107" s="4" t="inlineStr">
        <is>
          <t>https://unfccc.int/documents/646195</t>
        </is>
      </c>
      <c r="J3107" s="4" t="inlineStr">
        <is>
          <t>BTR1|2024|T3.22|GAS|CH4</t>
        </is>
      </c>
      <c r="K3107" s="4" t="inlineStr">
        <is>
          <t>GAS</t>
        </is>
      </c>
      <c r="L3107" s="4" t="inlineStr">
        <is>
          <t>Gasolinas</t>
        </is>
      </c>
      <c r="M3107" s="4"/>
      <c r="N3107" s="4"/>
      <c r="O3107" s="4"/>
      <c r="P3107" s="4"/>
      <c r="Q3107" s="4" t="inlineStr">
        <is>
          <t>FE_POR_COMBUSTIBLE_BTR1</t>
        </is>
      </c>
      <c r="R3107" s="4"/>
      <c r="S3107" s="4">
        <v>3.0</v>
      </c>
      <c r="T3107" s="4" t="inlineStr">
        <is>
          <t>kg CH4/TJ</t>
        </is>
      </c>
      <c r="U3107" s="4"/>
      <c r="V3107" s="4"/>
      <c r="W3107" s="4" t="inlineStr">
        <is>
          <t>1.A.2</t>
        </is>
      </c>
      <c r="X3107" s="4" t="inlineStr">
        <is>
          <t>Industrias manufactureras y construcción</t>
        </is>
      </c>
      <c r="Y3107" s="4" t="inlineStr">
        <is>
          <t>COMB_GAS</t>
        </is>
      </c>
      <c r="Z3107" s="4" t="s">
        <v>4018</v>
      </c>
      <c r="AA3107" s="13">
        <v>3.0</v>
      </c>
      <c r="AB3107" s="4" t="s">
        <v>4281</v>
      </c>
      <c r="AC3107" s="4"/>
      <c r="AD3107" s="4"/>
      <c r="AE3107" s="4"/>
      <c r="AF3107" s="4"/>
      <c r="AG3107" s="4"/>
      <c r="AH3107" s="4"/>
      <c r="AI3107" s="4"/>
      <c r="AJ3107" s="4"/>
      <c r="AK3107" s="4"/>
      <c r="AL3107" s="4" t="inlineStr">
        <is>
          <t>BTR1 Guatemala 2024, tabla 3.22, p. 62; fila Gasolina para motores; gas CH4</t>
        </is>
      </c>
      <c r="AM3107" s="4" t="inlineStr">
        <is>
          <t>Factor por combustible documentado en el BTR1, con origen metodológico IPCC. Se aplica como parámetro constante aproximado a 2018–2024; el año de la clave permite unirlo a la actividad, no representa una nueva observación anual.</t>
        </is>
      </c>
    </row>
    <row r="3108" customFormat="false" ht="57.45" hidden="false" customHeight="false" outlineLevel="0" collapsed="false">
      <c r="A3108" s="4" t="s">
        <v>4270</v>
      </c>
      <c r="B3108" s="4" t="inlineStr">
        <is>
          <t>FE_COMB|2018|1.A.2|COMB_GAS|N2O</t>
        </is>
      </c>
      <c r="C3108" s="4" t="inlineStr">
        <is>
          <t>2018|1.A.2|COMB_GAS|N2O</t>
        </is>
      </c>
      <c r="D3108" s="12" t="n">
        <v>2018</v>
      </c>
      <c r="E3108" s="12">
        <v>2024.0</v>
      </c>
      <c r="F3108" s="4" t="inlineStr">
        <is>
          <t>PRX</t>
        </is>
      </c>
      <c r="G3108" s="4" t="inlineStr">
        <is>
          <t>MARN_GTM_BTR1_2024</t>
        </is>
      </c>
      <c r="H3108" s="4" t="inlineStr">
        <is>
          <t>Guatemala. Primer Informe Bienal de Transparencia (BTR1), 2024</t>
        </is>
      </c>
      <c r="I3108" s="4" t="inlineStr">
        <is>
          <t>https://unfccc.int/documents/646195</t>
        </is>
      </c>
      <c r="J3108" s="4" t="inlineStr">
        <is>
          <t>BTR1|2024|T3.22|GAS|N2O</t>
        </is>
      </c>
      <c r="K3108" s="4" t="inlineStr">
        <is>
          <t>GAS</t>
        </is>
      </c>
      <c r="L3108" s="4" t="inlineStr">
        <is>
          <t>Gasolinas</t>
        </is>
      </c>
      <c r="M3108" s="4"/>
      <c r="N3108" s="4"/>
      <c r="O3108" s="4"/>
      <c r="P3108" s="4"/>
      <c r="Q3108" s="4" t="inlineStr">
        <is>
          <t>FE_POR_COMBUSTIBLE_BTR1</t>
        </is>
      </c>
      <c r="R3108" s="4"/>
      <c r="S3108" s="4">
        <v>0.6</v>
      </c>
      <c r="T3108" s="4" t="inlineStr">
        <is>
          <t>kg N2O/TJ</t>
        </is>
      </c>
      <c r="U3108" s="4"/>
      <c r="V3108" s="4"/>
      <c r="W3108" s="4" t="inlineStr">
        <is>
          <t>1.A.2</t>
        </is>
      </c>
      <c r="X3108" s="4" t="inlineStr">
        <is>
          <t>Industrias manufactureras y construcción</t>
        </is>
      </c>
      <c r="Y3108" s="4" t="inlineStr">
        <is>
          <t>COMB_GAS</t>
        </is>
      </c>
      <c r="Z3108" s="4" t="s">
        <v>4048</v>
      </c>
      <c r="AA3108" s="13">
        <v>0.6</v>
      </c>
      <c r="AB3108" s="4" t="s">
        <v>4287</v>
      </c>
      <c r="AC3108" s="4"/>
      <c r="AD3108" s="4"/>
      <c r="AE3108" s="4"/>
      <c r="AF3108" s="4"/>
      <c r="AG3108" s="4"/>
      <c r="AH3108" s="4"/>
      <c r="AI3108" s="4"/>
      <c r="AJ3108" s="4"/>
      <c r="AK3108" s="4"/>
      <c r="AL3108" s="4" t="inlineStr">
        <is>
          <t>BTR1 Guatemala 2024, tabla 3.22, p. 62; fila Gasolina para motores; gas N2O</t>
        </is>
      </c>
      <c r="AM3108" s="4" t="inlineStr">
        <is>
          <t>Factor por combustible documentado en el BTR1, con origen metodológico IPCC. Se aplica como parámetro constante aproximado a 2018–2024; el año de la clave permite unirlo a la actividad, no representa una nueva observación anual.</t>
        </is>
      </c>
    </row>
    <row r="3109" customFormat="false" ht="57.45" hidden="false" customHeight="false" outlineLevel="0" collapsed="false">
      <c r="A3109" s="4" t="s">
        <v>4270</v>
      </c>
      <c r="B3109" s="4" t="inlineStr">
        <is>
          <t>FE_COMB|2018|1.A.2|COMB_GLP|CO2</t>
        </is>
      </c>
      <c r="C3109" s="4" t="inlineStr">
        <is>
          <t>2018|1.A.2|COMB_GLP|CO2</t>
        </is>
      </c>
      <c r="D3109" s="12" t="n">
        <v>2018</v>
      </c>
      <c r="E3109" s="12">
        <v>2024.0</v>
      </c>
      <c r="F3109" s="4" t="inlineStr">
        <is>
          <t>PRX</t>
        </is>
      </c>
      <c r="G3109" s="4" t="inlineStr">
        <is>
          <t>MARN_GTM_BTR1_2024</t>
        </is>
      </c>
      <c r="H3109" s="4" t="inlineStr">
        <is>
          <t>Guatemala. Primer Informe Bienal de Transparencia (BTR1), 2024</t>
        </is>
      </c>
      <c r="I3109" s="4" t="inlineStr">
        <is>
          <t>https://unfccc.int/documents/646195</t>
        </is>
      </c>
      <c r="J3109" s="4" t="inlineStr">
        <is>
          <t>BTR1|2024|T3.6|GLP|CO2</t>
        </is>
      </c>
      <c r="K3109" s="4" t="inlineStr">
        <is>
          <t>GLP</t>
        </is>
      </c>
      <c r="L3109" s="4" t="inlineStr">
        <is>
          <t>Gas licuado de petróleo (GLP)</t>
        </is>
      </c>
      <c r="M3109" s="4"/>
      <c r="N3109" s="4"/>
      <c r="O3109" s="4"/>
      <c r="P3109" s="4"/>
      <c r="Q3109" s="4" t="inlineStr">
        <is>
          <t>FE_POR_COMBUSTIBLE_BTR1</t>
        </is>
      </c>
      <c r="R3109" s="4"/>
      <c r="S3109" s="4">
        <v>63100.0</v>
      </c>
      <c r="T3109" s="4" t="inlineStr">
        <is>
          <t>kg CO2/TJ</t>
        </is>
      </c>
      <c r="U3109" s="4"/>
      <c r="V3109" s="4"/>
      <c r="W3109" s="4" t="inlineStr">
        <is>
          <t>1.A.2</t>
        </is>
      </c>
      <c r="X3109" s="4" t="inlineStr">
        <is>
          <t>Industrias manufactureras y construcción</t>
        </is>
      </c>
      <c r="Y3109" s="4" t="inlineStr">
        <is>
          <t>COMB_GLP</t>
        </is>
      </c>
      <c r="Z3109" s="4" t="s">
        <v>4012</v>
      </c>
      <c r="AA3109" s="13">
        <v>63100.0</v>
      </c>
      <c r="AB3109" s="4" t="s">
        <v>4275</v>
      </c>
      <c r="AC3109" s="4"/>
      <c r="AD3109" s="4"/>
      <c r="AE3109" s="4"/>
      <c r="AF3109" s="4"/>
      <c r="AG3109" s="4"/>
      <c r="AH3109" s="4"/>
      <c r="AI3109" s="4"/>
      <c r="AJ3109" s="4"/>
      <c r="AK3109" s="4"/>
      <c r="AL3109" s="4" t="inlineStr">
        <is>
          <t>BTR1 Guatemala 2024, tabla 3.6, p. 48; fila Gases licuados de petróleo; gas CO2</t>
        </is>
      </c>
      <c r="AM3109" s="4" t="inlineStr">
        <is>
          <t>Factor por combustible documentado en el BTR1, con origen metodológico IPCC. Se aplica como parámetro constante aproximado a 2018–2024; el año de la clave permite unirlo a la actividad, no representa una nueva observación anual.</t>
        </is>
      </c>
    </row>
    <row r="3110" customFormat="false" ht="57.45" hidden="false" customHeight="false" outlineLevel="0" collapsed="false">
      <c r="A3110" s="4" t="s">
        <v>4270</v>
      </c>
      <c r="B3110" s="4" t="inlineStr">
        <is>
          <t>FE_COMB|2018|1.A.2|COMB_GLP|CH4</t>
        </is>
      </c>
      <c r="C3110" s="4" t="inlineStr">
        <is>
          <t>2018|1.A.2|COMB_GLP|CH4</t>
        </is>
      </c>
      <c r="D3110" s="12" t="n">
        <v>2018</v>
      </c>
      <c r="E3110" s="12">
        <v>2024.0</v>
      </c>
      <c r="F3110" s="4" t="inlineStr">
        <is>
          <t>PRX</t>
        </is>
      </c>
      <c r="G3110" s="4" t="inlineStr">
        <is>
          <t>MARN_GTM_BTR1_2024</t>
        </is>
      </c>
      <c r="H3110" s="4" t="inlineStr">
        <is>
          <t>Guatemala. Primer Informe Bienal de Transparencia (BTR1), 2024</t>
        </is>
      </c>
      <c r="I3110" s="4" t="inlineStr">
        <is>
          <t>https://unfccc.int/documents/646195</t>
        </is>
      </c>
      <c r="J3110" s="4" t="inlineStr">
        <is>
          <t>BTR1|2024|T3.22|GLP|CH4</t>
        </is>
      </c>
      <c r="K3110" s="4" t="inlineStr">
        <is>
          <t>GLP</t>
        </is>
      </c>
      <c r="L3110" s="4" t="inlineStr">
        <is>
          <t>Gas licuado de petróleo (GLP)</t>
        </is>
      </c>
      <c r="M3110" s="4"/>
      <c r="N3110" s="4"/>
      <c r="O3110" s="4"/>
      <c r="P3110" s="4"/>
      <c r="Q3110" s="4" t="inlineStr">
        <is>
          <t>FE_POR_COMBUSTIBLE_BTR1</t>
        </is>
      </c>
      <c r="R3110" s="4"/>
      <c r="S3110" s="4">
        <v>1.0</v>
      </c>
      <c r="T3110" s="4" t="inlineStr">
        <is>
          <t>kg CH4/TJ</t>
        </is>
      </c>
      <c r="U3110" s="4"/>
      <c r="V3110" s="4"/>
      <c r="W3110" s="4" t="inlineStr">
        <is>
          <t>1.A.2</t>
        </is>
      </c>
      <c r="X3110" s="4" t="inlineStr">
        <is>
          <t>Industrias manufactureras y construcción</t>
        </is>
      </c>
      <c r="Y3110" s="4" t="inlineStr">
        <is>
          <t>COMB_GLP</t>
        </is>
      </c>
      <c r="Z3110" s="4" t="s">
        <v>4018</v>
      </c>
      <c r="AA3110" s="13">
        <v>1.0</v>
      </c>
      <c r="AB3110" s="4" t="s">
        <v>4281</v>
      </c>
      <c r="AC3110" s="4"/>
      <c r="AD3110" s="4"/>
      <c r="AE3110" s="4"/>
      <c r="AF3110" s="4"/>
      <c r="AG3110" s="4"/>
      <c r="AH3110" s="4"/>
      <c r="AI3110" s="4"/>
      <c r="AJ3110" s="4"/>
      <c r="AK3110" s="4"/>
      <c r="AL3110" s="4" t="inlineStr">
        <is>
          <t>BTR1 Guatemala 2024, tabla 3.22, p. 62; fila Gases licuados de petróleo; gas CH4</t>
        </is>
      </c>
      <c r="AM3110" s="4" t="inlineStr">
        <is>
          <t>Factor por combustible documentado en el BTR1, con origen metodológico IPCC. Se aplica como parámetro constante aproximado a 2018–2024; el año de la clave permite unirlo a la actividad, no representa una nueva observación anual.</t>
        </is>
      </c>
    </row>
    <row r="3111" customFormat="false" ht="57.45" hidden="false" customHeight="false" outlineLevel="0" collapsed="false">
      <c r="A3111" s="4" t="s">
        <v>4270</v>
      </c>
      <c r="B3111" s="4" t="inlineStr">
        <is>
          <t>FE_COMB|2018|1.A.2|COMB_GLP|N2O</t>
        </is>
      </c>
      <c r="C3111" s="4" t="inlineStr">
        <is>
          <t>2018|1.A.2|COMB_GLP|N2O</t>
        </is>
      </c>
      <c r="D3111" s="12" t="n">
        <v>2018</v>
      </c>
      <c r="E3111" s="12">
        <v>2024.0</v>
      </c>
      <c r="F3111" s="4" t="inlineStr">
        <is>
          <t>PRX</t>
        </is>
      </c>
      <c r="G3111" s="4" t="inlineStr">
        <is>
          <t>MARN_GTM_BTR1_2024</t>
        </is>
      </c>
      <c r="H3111" s="4" t="inlineStr">
        <is>
          <t>Guatemala. Primer Informe Bienal de Transparencia (BTR1), 2024</t>
        </is>
      </c>
      <c r="I3111" s="4" t="inlineStr">
        <is>
          <t>https://unfccc.int/documents/646195</t>
        </is>
      </c>
      <c r="J3111" s="4" t="inlineStr">
        <is>
          <t>BTR1|2024|T3.22|GLP|N2O</t>
        </is>
      </c>
      <c r="K3111" s="4" t="inlineStr">
        <is>
          <t>GLP</t>
        </is>
      </c>
      <c r="L3111" s="4" t="inlineStr">
        <is>
          <t>Gas licuado de petróleo (GLP)</t>
        </is>
      </c>
      <c r="M3111" s="4"/>
      <c r="N3111" s="4"/>
      <c r="O3111" s="4"/>
      <c r="P3111" s="4"/>
      <c r="Q3111" s="4" t="inlineStr">
        <is>
          <t>FE_POR_COMBUSTIBLE_BTR1</t>
        </is>
      </c>
      <c r="R3111" s="4"/>
      <c r="S3111" s="4">
        <v>0.1</v>
      </c>
      <c r="T3111" s="4" t="inlineStr">
        <is>
          <t>kg N2O/TJ</t>
        </is>
      </c>
      <c r="U3111" s="4"/>
      <c r="V3111" s="4"/>
      <c r="W3111" s="4" t="inlineStr">
        <is>
          <t>1.A.2</t>
        </is>
      </c>
      <c r="X3111" s="4" t="inlineStr">
        <is>
          <t>Industrias manufactureras y construcción</t>
        </is>
      </c>
      <c r="Y3111" s="4" t="inlineStr">
        <is>
          <t>COMB_GLP</t>
        </is>
      </c>
      <c r="Z3111" s="4" t="s">
        <v>4048</v>
      </c>
      <c r="AA3111" s="13">
        <v>0.1</v>
      </c>
      <c r="AB3111" s="4" t="s">
        <v>4287</v>
      </c>
      <c r="AC3111" s="4"/>
      <c r="AD3111" s="4"/>
      <c r="AE3111" s="4"/>
      <c r="AF3111" s="4"/>
      <c r="AG3111" s="4"/>
      <c r="AH3111" s="4"/>
      <c r="AI3111" s="4"/>
      <c r="AJ3111" s="4"/>
      <c r="AK3111" s="4"/>
      <c r="AL3111" s="4" t="inlineStr">
        <is>
          <t>BTR1 Guatemala 2024, tabla 3.22, p. 62; fila Gases licuados de petróleo; gas N2O</t>
        </is>
      </c>
      <c r="AM3111" s="4" t="inlineStr">
        <is>
          <t>Factor por combustible documentado en el BTR1, con origen metodológico IPCC. Se aplica como parámetro constante aproximado a 2018–2024; el año de la clave permite unirlo a la actividad, no representa una nueva observación anual.</t>
        </is>
      </c>
    </row>
    <row r="3112" customFormat="false" ht="57.45" hidden="false" customHeight="false" outlineLevel="0" collapsed="false">
      <c r="A3112" s="4" t="s">
        <v>4270</v>
      </c>
      <c r="B3112" s="4" t="inlineStr">
        <is>
          <t>FE_COMB|2018|1.A.2|COMB_KER|CO2</t>
        </is>
      </c>
      <c r="C3112" s="4" t="inlineStr">
        <is>
          <t>2018|1.A.2|COMB_KER|CO2</t>
        </is>
      </c>
      <c r="D3112" s="12" t="n">
        <v>2018</v>
      </c>
      <c r="E3112" s="12">
        <v>2024.0</v>
      </c>
      <c r="F3112" s="4" t="inlineStr">
        <is>
          <t>PRX</t>
        </is>
      </c>
      <c r="G3112" s="4" t="inlineStr">
        <is>
          <t>MARN_GTM_BTR1_2024</t>
        </is>
      </c>
      <c r="H3112" s="4" t="inlineStr">
        <is>
          <t>Guatemala. Primer Informe Bienal de Transparencia (BTR1), 2024</t>
        </is>
      </c>
      <c r="I3112" s="4" t="inlineStr">
        <is>
          <t>https://unfccc.int/documents/646195</t>
        </is>
      </c>
      <c r="J3112" s="4" t="inlineStr">
        <is>
          <t>BTR1|2024|T3.6|KER|CO2</t>
        </is>
      </c>
      <c r="K3112" s="4" t="inlineStr">
        <is>
          <t>KER</t>
        </is>
      </c>
      <c r="L3112" s="4" t="inlineStr">
        <is>
          <t>Keroseno</t>
        </is>
      </c>
      <c r="M3112" s="4"/>
      <c r="N3112" s="4"/>
      <c r="O3112" s="4"/>
      <c r="P3112" s="4"/>
      <c r="Q3112" s="4" t="inlineStr">
        <is>
          <t>FE_POR_COMBUSTIBLE_BTR1</t>
        </is>
      </c>
      <c r="R3112" s="4"/>
      <c r="S3112" s="4">
        <v>71900.0</v>
      </c>
      <c r="T3112" s="4" t="inlineStr">
        <is>
          <t>kg CO2/TJ</t>
        </is>
      </c>
      <c r="U3112" s="4"/>
      <c r="V3112" s="4"/>
      <c r="W3112" s="4" t="inlineStr">
        <is>
          <t>1.A.2</t>
        </is>
      </c>
      <c r="X3112" s="4" t="inlineStr">
        <is>
          <t>Industrias manufactureras y construcción</t>
        </is>
      </c>
      <c r="Y3112" s="4" t="inlineStr">
        <is>
          <t>COMB_KER</t>
        </is>
      </c>
      <c r="Z3112" s="4" t="s">
        <v>4012</v>
      </c>
      <c r="AA3112" s="13">
        <v>71900.0</v>
      </c>
      <c r="AB3112" s="4" t="s">
        <v>4275</v>
      </c>
      <c r="AC3112" s="4"/>
      <c r="AD3112" s="4"/>
      <c r="AE3112" s="4"/>
      <c r="AF3112" s="4"/>
      <c r="AG3112" s="4"/>
      <c r="AH3112" s="4"/>
      <c r="AI3112" s="4"/>
      <c r="AJ3112" s="4"/>
      <c r="AK3112" s="4"/>
      <c r="AL3112" s="4" t="inlineStr">
        <is>
          <t>BTR1 Guatemala 2024, tabla 3.6, p. 48; fila Otro queroseno; gas CO2</t>
        </is>
      </c>
      <c r="AM3112" s="4" t="inlineStr">
        <is>
          <t>Factor por combustible documentado en el BTR1, con origen metodológico IPCC. Se aplica como parámetro constante aproximado a 2018–2024; el año de la clave permite unirlo a la actividad, no representa una nueva observación anual.</t>
        </is>
      </c>
    </row>
    <row r="3113" customFormat="false" ht="57.45" hidden="false" customHeight="false" outlineLevel="0" collapsed="false">
      <c r="A3113" s="4" t="s">
        <v>4270</v>
      </c>
      <c r="B3113" s="4" t="inlineStr">
        <is>
          <t>FE_COMB|2018|1.A.2|COMB_KER|CH4</t>
        </is>
      </c>
      <c r="C3113" s="4" t="inlineStr">
        <is>
          <t>2018|1.A.2|COMB_KER|CH4</t>
        </is>
      </c>
      <c r="D3113" s="12" t="n">
        <v>2018</v>
      </c>
      <c r="E3113" s="12">
        <v>2024.0</v>
      </c>
      <c r="F3113" s="4" t="inlineStr">
        <is>
          <t>PRX</t>
        </is>
      </c>
      <c r="G3113" s="4" t="inlineStr">
        <is>
          <t>MARN_GTM_BTR1_2024</t>
        </is>
      </c>
      <c r="H3113" s="4" t="inlineStr">
        <is>
          <t>Guatemala. Primer Informe Bienal de Transparencia (BTR1), 2024</t>
        </is>
      </c>
      <c r="I3113" s="4" t="inlineStr">
        <is>
          <t>https://unfccc.int/documents/646195</t>
        </is>
      </c>
      <c r="J3113" s="4" t="inlineStr">
        <is>
          <t>BTR1|2024|T3.22|KER|CH4</t>
        </is>
      </c>
      <c r="K3113" s="4" t="inlineStr">
        <is>
          <t>KER</t>
        </is>
      </c>
      <c r="L3113" s="4" t="inlineStr">
        <is>
          <t>Keroseno</t>
        </is>
      </c>
      <c r="M3113" s="4"/>
      <c r="N3113" s="4"/>
      <c r="O3113" s="4"/>
      <c r="P3113" s="4"/>
      <c r="Q3113" s="4" t="inlineStr">
        <is>
          <t>FE_POR_COMBUSTIBLE_BTR1</t>
        </is>
      </c>
      <c r="R3113" s="4"/>
      <c r="S3113" s="4">
        <v>3.0</v>
      </c>
      <c r="T3113" s="4" t="inlineStr">
        <is>
          <t>kg CH4/TJ</t>
        </is>
      </c>
      <c r="U3113" s="4"/>
      <c r="V3113" s="4"/>
      <c r="W3113" s="4" t="inlineStr">
        <is>
          <t>1.A.2</t>
        </is>
      </c>
      <c r="X3113" s="4" t="inlineStr">
        <is>
          <t>Industrias manufactureras y construcción</t>
        </is>
      </c>
      <c r="Y3113" s="4" t="inlineStr">
        <is>
          <t>COMB_KER</t>
        </is>
      </c>
      <c r="Z3113" s="4" t="s">
        <v>4018</v>
      </c>
      <c r="AA3113" s="13">
        <v>3.0</v>
      </c>
      <c r="AB3113" s="4" t="s">
        <v>4281</v>
      </c>
      <c r="AC3113" s="4"/>
      <c r="AD3113" s="4"/>
      <c r="AE3113" s="4"/>
      <c r="AF3113" s="4"/>
      <c r="AG3113" s="4"/>
      <c r="AH3113" s="4"/>
      <c r="AI3113" s="4"/>
      <c r="AJ3113" s="4"/>
      <c r="AK3113" s="4"/>
      <c r="AL3113" s="4" t="inlineStr">
        <is>
          <t>BTR1 Guatemala 2024, tabla 3.22, p. 62; fila Otro queroseno; gas CH4</t>
        </is>
      </c>
      <c r="AM3113" s="4" t="inlineStr">
        <is>
          <t>Factor por combustible documentado en el BTR1, con origen metodológico IPCC. Se aplica como parámetro constante aproximado a 2018–2024; el año de la clave permite unirlo a la actividad, no representa una nueva observación anual.</t>
        </is>
      </c>
    </row>
    <row r="3114" customFormat="false" ht="57.45" hidden="false" customHeight="false" outlineLevel="0" collapsed="false">
      <c r="A3114" s="4" t="s">
        <v>4270</v>
      </c>
      <c r="B3114" s="4" t="inlineStr">
        <is>
          <t>FE_COMB|2018|1.A.2|COMB_KER|N2O</t>
        </is>
      </c>
      <c r="C3114" s="4" t="inlineStr">
        <is>
          <t>2018|1.A.2|COMB_KER|N2O</t>
        </is>
      </c>
      <c r="D3114" s="12" t="n">
        <v>2018</v>
      </c>
      <c r="E3114" s="12">
        <v>2024.0</v>
      </c>
      <c r="F3114" s="4" t="inlineStr">
        <is>
          <t>PRX</t>
        </is>
      </c>
      <c r="G3114" s="4" t="inlineStr">
        <is>
          <t>MARN_GTM_BTR1_2024</t>
        </is>
      </c>
      <c r="H3114" s="4" t="inlineStr">
        <is>
          <t>Guatemala. Primer Informe Bienal de Transparencia (BTR1), 2024</t>
        </is>
      </c>
      <c r="I3114" s="4" t="inlineStr">
        <is>
          <t>https://unfccc.int/documents/646195</t>
        </is>
      </c>
      <c r="J3114" s="4" t="inlineStr">
        <is>
          <t>BTR1|2024|T3.22|KER|N2O</t>
        </is>
      </c>
      <c r="K3114" s="4" t="inlineStr">
        <is>
          <t>KER</t>
        </is>
      </c>
      <c r="L3114" s="4" t="inlineStr">
        <is>
          <t>Keroseno</t>
        </is>
      </c>
      <c r="M3114" s="4"/>
      <c r="N3114" s="4"/>
      <c r="O3114" s="4"/>
      <c r="P3114" s="4"/>
      <c r="Q3114" s="4" t="inlineStr">
        <is>
          <t>FE_POR_COMBUSTIBLE_BTR1</t>
        </is>
      </c>
      <c r="R3114" s="4"/>
      <c r="S3114" s="4">
        <v>0.6</v>
      </c>
      <c r="T3114" s="4" t="inlineStr">
        <is>
          <t>kg N2O/TJ</t>
        </is>
      </c>
      <c r="U3114" s="4"/>
      <c r="V3114" s="4"/>
      <c r="W3114" s="4" t="inlineStr">
        <is>
          <t>1.A.2</t>
        </is>
      </c>
      <c r="X3114" s="4" t="inlineStr">
        <is>
          <t>Industrias manufactureras y construcción</t>
        </is>
      </c>
      <c r="Y3114" s="4" t="inlineStr">
        <is>
          <t>COMB_KER</t>
        </is>
      </c>
      <c r="Z3114" s="4" t="s">
        <v>4048</v>
      </c>
      <c r="AA3114" s="13">
        <v>0.6</v>
      </c>
      <c r="AB3114" s="4" t="s">
        <v>4287</v>
      </c>
      <c r="AC3114" s="4"/>
      <c r="AD3114" s="4"/>
      <c r="AE3114" s="4"/>
      <c r="AF3114" s="4"/>
      <c r="AG3114" s="4"/>
      <c r="AH3114" s="4"/>
      <c r="AI3114" s="4"/>
      <c r="AJ3114" s="4"/>
      <c r="AK3114" s="4"/>
      <c r="AL3114" s="4" t="inlineStr">
        <is>
          <t>BTR1 Guatemala 2024, tabla 3.22, p. 62; fila Otro queroseno; gas N2O</t>
        </is>
      </c>
      <c r="AM3114" s="4" t="inlineStr">
        <is>
          <t>Factor por combustible documentado en el BTR1, con origen metodológico IPCC. Se aplica como parámetro constante aproximado a 2018–2024; el año de la clave permite unirlo a la actividad, no representa una nueva observación anual.</t>
        </is>
      </c>
    </row>
    <row r="3115" customFormat="false" ht="57.45" hidden="false" customHeight="false" outlineLevel="0" collapsed="false">
      <c r="A3115" s="4" t="s">
        <v>4270</v>
      </c>
      <c r="B3115" s="4" t="inlineStr">
        <is>
          <t>FE_COMB|2018|1.A.3|COMB_DOIL|CO2</t>
        </is>
      </c>
      <c r="C3115" s="4" t="inlineStr">
        <is>
          <t>2018|1.A.3|COMB_DOIL|CO2</t>
        </is>
      </c>
      <c r="D3115" s="12" t="n">
        <v>2018</v>
      </c>
      <c r="E3115" s="12" t="n">
        <v>2018</v>
      </c>
      <c r="F3115" s="4" t="inlineStr">
        <is>
          <t>OBS</t>
        </is>
      </c>
      <c r="G3115" s="4" t="inlineStr">
        <is>
          <t>UNFCCC_GTM_CRT_2024</t>
        </is>
      </c>
      <c r="H3115" s="4" t="inlineStr">
        <is>
          <t>Guatemala. 2024 Common Reporting Table (CRT), V0.3</t>
        </is>
      </c>
      <c r="I3115" s="4" t="inlineStr">
        <is>
          <t>https://unfccc.int/documents/646206</t>
        </is>
      </c>
      <c r="J3115" s="4" t="inlineStr">
        <is>
          <t>CRT1A|2018|1.A.3|COMB_DOIL|CO2|FILAS:22</t>
        </is>
      </c>
      <c r="K3115" s="4" t="inlineStr">
        <is>
          <t>DOIL</t>
        </is>
      </c>
      <c r="L3115" s="4" t="inlineStr">
        <is>
          <t>Diésel / gas oil</t>
        </is>
      </c>
      <c r="M3115" s="4"/>
      <c r="N3115" s="4"/>
      <c r="O3115" s="4"/>
      <c r="P3115" s="4"/>
      <c r="Q3115" s="4" t="inlineStr">
        <is>
          <t>CRT_ANUAL_COMBUSTIBLE_ESPECIFICO</t>
        </is>
      </c>
      <c r="R3115" s="4"/>
      <c r="S3115" s="4"/>
      <c r="T3115" s="4"/>
      <c r="U3115" s="4">
        <v>66323.7447</v>
      </c>
      <c r="V3115" s="4"/>
      <c r="W3115" s="4" t="inlineStr">
        <is>
          <t>1.A.3</t>
        </is>
      </c>
      <c r="X3115" s="4" t="inlineStr">
        <is>
          <t>Transporte</t>
        </is>
      </c>
      <c r="Y3115" s="4" t="inlineStr">
        <is>
          <t>COMB_DOIL</t>
        </is>
      </c>
      <c r="Z3115" s="4" t="s">
        <v>4012</v>
      </c>
      <c r="AA3115" s="13">
        <v>74099.99996577395</v>
      </c>
      <c r="AB3115" s="4" t="s">
        <v>4275</v>
      </c>
      <c r="AC3115" s="4"/>
      <c r="AD3115" s="4">
        <v>4914.58948</v>
      </c>
      <c r="AE3115" s="4"/>
      <c r="AF3115" s="4"/>
      <c r="AG3115" s="4"/>
      <c r="AH3115" s="4"/>
      <c r="AI3115" s="4"/>
      <c r="AJ3115" s="4"/>
      <c r="AK3115" s="4"/>
      <c r="AL3115" s="4" t="inlineStr">
        <is>
          <t>GTM-CRT-2024-V0.3-2018-20250304-084824_started.xlsx; Table1.A(a)s3; AD=C22; EM=H22; IEF=E22</t>
        </is>
      </c>
      <c r="AM3115" s="4" t="inlineStr">
        <is>
          <t>Combustible específico en la categoría reportada CRT 1.A.3.b. BTR1 pp. 64–65 indica que la categoría incorpora navegación no desagregable; no interpretarla como medición exclusivamente vial. Aplicar a BEN-TR conserva esa cobertura reportada. Fórmula: 1000000*(H22)/(C22). SHA-256 CRT: 1efce35f9670e4cbbd297ded271efaf4a32192bfcc9aa0eba7acb87b01dddc8d.</t>
        </is>
      </c>
    </row>
    <row r="3116" customFormat="false" ht="57.45" hidden="false" customHeight="false" outlineLevel="0" collapsed="false">
      <c r="A3116" s="4" t="s">
        <v>4270</v>
      </c>
      <c r="B3116" s="4" t="inlineStr">
        <is>
          <t>FE_COMB|2018|1.A.3|COMB_DOIL|CH4</t>
        </is>
      </c>
      <c r="C3116" s="4" t="inlineStr">
        <is>
          <t>2018|1.A.3|COMB_DOIL|CH4</t>
        </is>
      </c>
      <c r="D3116" s="12" t="n">
        <v>2018</v>
      </c>
      <c r="E3116" s="12" t="n">
        <v>2018</v>
      </c>
      <c r="F3116" s="4" t="inlineStr">
        <is>
          <t>OBS</t>
        </is>
      </c>
      <c r="G3116" s="4" t="inlineStr">
        <is>
          <t>UNFCCC_GTM_CRT_2024</t>
        </is>
      </c>
      <c r="H3116" s="4" t="inlineStr">
        <is>
          <t>Guatemala. 2024 Common Reporting Table (CRT), V0.3</t>
        </is>
      </c>
      <c r="I3116" s="4" t="inlineStr">
        <is>
          <t>https://unfccc.int/documents/646206</t>
        </is>
      </c>
      <c r="J3116" s="4" t="inlineStr">
        <is>
          <t>CRT1A|2018|1.A.3|COMB_DOIL|CH4|FILAS:22</t>
        </is>
      </c>
      <c r="K3116" s="4" t="inlineStr">
        <is>
          <t>DOIL</t>
        </is>
      </c>
      <c r="L3116" s="4" t="inlineStr">
        <is>
          <t>Diésel / gas oil</t>
        </is>
      </c>
      <c r="M3116" s="4"/>
      <c r="N3116" s="4"/>
      <c r="O3116" s="4"/>
      <c r="P3116" s="4"/>
      <c r="Q3116" s="4" t="inlineStr">
        <is>
          <t>CRT_ANUAL_COMBUSTIBLE_ESPECIFICO</t>
        </is>
      </c>
      <c r="R3116" s="4"/>
      <c r="S3116" s="4"/>
      <c r="T3116" s="4"/>
      <c r="U3116" s="4">
        <v>66323.7447</v>
      </c>
      <c r="V3116" s="4"/>
      <c r="W3116" s="4" t="inlineStr">
        <is>
          <t>1.A.3</t>
        </is>
      </c>
      <c r="X3116" s="4" t="inlineStr">
        <is>
          <t>Transporte</t>
        </is>
      </c>
      <c r="Y3116" s="4" t="inlineStr">
        <is>
          <t>COMB_DOIL</t>
        </is>
      </c>
      <c r="Z3116" s="4" t="s">
        <v>4018</v>
      </c>
      <c r="AA3116" s="13">
        <v>3.899999934714181</v>
      </c>
      <c r="AB3116" s="4" t="s">
        <v>4281</v>
      </c>
      <c r="AC3116" s="4"/>
      <c r="AD3116" s="4">
        <v>0.2586626</v>
      </c>
      <c r="AE3116" s="4"/>
      <c r="AF3116" s="4"/>
      <c r="AG3116" s="4"/>
      <c r="AH3116" s="4"/>
      <c r="AI3116" s="4"/>
      <c r="AJ3116" s="4"/>
      <c r="AK3116" s="4"/>
      <c r="AL3116" s="4" t="inlineStr">
        <is>
          <t>GTM-CRT-2024-V0.3-2018-20250304-084824_started.xlsx; Table1.A(a)s3; AD=C22; EM=I22; IEF=F22</t>
        </is>
      </c>
      <c r="AM3116" s="4" t="inlineStr">
        <is>
          <t>Combustible específico en la categoría reportada CRT 1.A.3.b. BTR1 pp. 64–65 indica que la categoría incorpora navegación no desagregable; no interpretarla como medición exclusivamente vial. Aplicar a BEN-TR conserva esa cobertura reportada. Fórmula: 1000000*(I22)/(C22). SHA-256 CRT: 1efce35f9670e4cbbd297ded271efaf4a32192bfcc9aa0eba7acb87b01dddc8d.</t>
        </is>
      </c>
    </row>
    <row r="3117" customFormat="false" ht="57.45" hidden="false" customHeight="false" outlineLevel="0" collapsed="false">
      <c r="A3117" s="4" t="s">
        <v>4270</v>
      </c>
      <c r="B3117" s="4" t="inlineStr">
        <is>
          <t>FE_COMB|2018|1.A.3|COMB_DOIL|N2O</t>
        </is>
      </c>
      <c r="C3117" s="4" t="inlineStr">
        <is>
          <t>2018|1.A.3|COMB_DOIL|N2O</t>
        </is>
      </c>
      <c r="D3117" s="12" t="n">
        <v>2018</v>
      </c>
      <c r="E3117" s="12" t="n">
        <v>2018</v>
      </c>
      <c r="F3117" s="4" t="inlineStr">
        <is>
          <t>OBS</t>
        </is>
      </c>
      <c r="G3117" s="4" t="inlineStr">
        <is>
          <t>UNFCCC_GTM_CRT_2024</t>
        </is>
      </c>
      <c r="H3117" s="4" t="inlineStr">
        <is>
          <t>Guatemala. 2024 Common Reporting Table (CRT), V0.3</t>
        </is>
      </c>
      <c r="I3117" s="4" t="inlineStr">
        <is>
          <t>https://unfccc.int/documents/646206</t>
        </is>
      </c>
      <c r="J3117" s="4" t="inlineStr">
        <is>
          <t>CRT1A|2018|1.A.3|COMB_DOIL|N2O|FILAS:22</t>
        </is>
      </c>
      <c r="K3117" s="4" t="inlineStr">
        <is>
          <t>DOIL</t>
        </is>
      </c>
      <c r="L3117" s="4" t="inlineStr">
        <is>
          <t>Diésel / gas oil</t>
        </is>
      </c>
      <c r="M3117" s="4"/>
      <c r="N3117" s="4"/>
      <c r="O3117" s="4"/>
      <c r="P3117" s="4"/>
      <c r="Q3117" s="4" t="inlineStr">
        <is>
          <t>CRT_ANUAL_COMBUSTIBLE_ESPECIFICO</t>
        </is>
      </c>
      <c r="R3117" s="4"/>
      <c r="S3117" s="4"/>
      <c r="T3117" s="4"/>
      <c r="U3117" s="4">
        <v>66323.7447</v>
      </c>
      <c r="V3117" s="4"/>
      <c r="W3117" s="4" t="inlineStr">
        <is>
          <t>1.A.3</t>
        </is>
      </c>
      <c r="X3117" s="4" t="inlineStr">
        <is>
          <t>Transporte</t>
        </is>
      </c>
      <c r="Y3117" s="4" t="inlineStr">
        <is>
          <t>COMB_DOIL</t>
        </is>
      </c>
      <c r="Z3117" s="4" t="s">
        <v>4048</v>
      </c>
      <c r="AA3117" s="13">
        <v>3.899999934714181</v>
      </c>
      <c r="AB3117" s="4" t="s">
        <v>4287</v>
      </c>
      <c r="AC3117" s="4"/>
      <c r="AD3117" s="4">
        <v>0.2586626</v>
      </c>
      <c r="AE3117" s="4"/>
      <c r="AF3117" s="4"/>
      <c r="AG3117" s="4"/>
      <c r="AH3117" s="4"/>
      <c r="AI3117" s="4"/>
      <c r="AJ3117" s="4"/>
      <c r="AK3117" s="4"/>
      <c r="AL3117" s="4" t="inlineStr">
        <is>
          <t>GTM-CRT-2024-V0.3-2018-20250304-084824_started.xlsx; Table1.A(a)s3; AD=C22; EM=J22; IEF=G22</t>
        </is>
      </c>
      <c r="AM3117" s="4" t="inlineStr">
        <is>
          <t>Combustible específico en la categoría reportada CRT 1.A.3.b. BTR1 pp. 64–65 indica que la categoría incorpora navegación no desagregable; no interpretarla como medición exclusivamente vial. Aplicar a BEN-TR conserva esa cobertura reportada. Fórmula: 1000000*(J22)/(C22). SHA-256 CRT: 1efce35f9670e4cbbd297ded271efaf4a32192bfcc9aa0eba7acb87b01dddc8d.</t>
        </is>
      </c>
    </row>
    <row r="3118" customFormat="false" ht="57.45" hidden="false" customHeight="false" outlineLevel="0" collapsed="false">
      <c r="A3118" s="4" t="s">
        <v>4270</v>
      </c>
      <c r="B3118" s="4" t="inlineStr">
        <is>
          <t>FE_COMB|2018|1.A.3|COMB_GAS|CO2</t>
        </is>
      </c>
      <c r="C3118" s="4" t="inlineStr">
        <is>
          <t>2018|1.A.3|COMB_GAS|CO2</t>
        </is>
      </c>
      <c r="D3118" s="12" t="n">
        <v>2018</v>
      </c>
      <c r="E3118" s="12" t="n">
        <v>2018</v>
      </c>
      <c r="F3118" s="4" t="inlineStr">
        <is>
          <t>PRX</t>
        </is>
      </c>
      <c r="G3118" s="4" t="inlineStr">
        <is>
          <t>UNFCCC_GTM_CRT_2024</t>
        </is>
      </c>
      <c r="H3118" s="4" t="inlineStr">
        <is>
          <t>Guatemala. 2024 Common Reporting Table (CRT), V0.3</t>
        </is>
      </c>
      <c r="I3118" s="4" t="inlineStr">
        <is>
          <t>https://unfccc.int/documents/646206</t>
        </is>
      </c>
      <c r="J3118" s="4" t="inlineStr">
        <is>
          <t>CRT1A|2018|1.A.3|COMB_GAS|CO2|FILAS:17+21</t>
        </is>
      </c>
      <c r="K3118" s="4" t="inlineStr">
        <is>
          <t>GAS</t>
        </is>
      </c>
      <c r="L3118" s="4" t="inlineStr">
        <is>
          <t>Gasolinas</t>
        </is>
      </c>
      <c r="M3118" s="4"/>
      <c r="N3118" s="4"/>
      <c r="O3118" s="4"/>
      <c r="P3118" s="4"/>
      <c r="Q3118" s="4" t="inlineStr">
        <is>
          <t>CRT_ANUAL_SUMA_EMISIONES_DIV_SUMA_ACTIVIDAD</t>
        </is>
      </c>
      <c r="R3118" s="4"/>
      <c r="S3118" s="4"/>
      <c r="T3118" s="4"/>
      <c r="U3118" s="4">
        <v>68640.30922426</v>
      </c>
      <c r="V3118" s="4"/>
      <c r="W3118" s="4" t="s">
        <v>3412</v>
      </c>
      <c r="X3118" s="4" t="inlineStr">
        <is>
          <t>Transporte</t>
        </is>
      </c>
      <c r="Y3118" s="4" t="inlineStr">
        <is>
          <t>COMB_GAS</t>
        </is>
      </c>
      <c r="Z3118" s="4" t="s">
        <v>4012</v>
      </c>
      <c r="AA3118" s="13">
        <v>69300.57767015081</v>
      </c>
      <c r="AB3118" s="4" t="s">
        <v>4275</v>
      </c>
      <c r="AC3118" s="4"/>
      <c r="AD3118" s="4">
        <v>4756.813080699</v>
      </c>
      <c r="AE3118" s="4"/>
      <c r="AF3118" s="4"/>
      <c r="AG3118" s="4"/>
      <c r="AH3118" s="4"/>
      <c r="AI3118" s="4"/>
      <c r="AJ3118" s="4"/>
      <c r="AK3118" s="4"/>
      <c r="AL3118" s="4" t="inlineStr">
        <is>
          <t>GTM-CRT-2024-V0.3-2018-20250304-084824_started.xlsx; Table1.A(a)s3; AD=C17+C21; EM=H17+H21; IEF=E17+E21</t>
        </is>
      </c>
      <c r="AM3118" s="4" t="inlineStr">
        <is>
          <t>Mezcla anual CRT de gasolina de aviación y gasolina de motor. BTR1 p. 66 confirma que GAS del BEN reúne ambos usos. Aplicar a GAS-TR supone representatividad de esa mezcla anual; no es un factor exclusivamente vial ni de un producto químicamente homogéneo. Fórmula: 1000000*(H17+H21)/(C17+C21). SHA-256 CRT: 1efce35f9670e4cbbd297ded271efaf4a32192bfcc9aa0eba7acb87b01dddc8d. El cociente es una derivación CAL; su aplicación a la mezcla GAS-TR se identifica PRX.</t>
        </is>
      </c>
    </row>
    <row r="3119" customFormat="false" ht="57.45" hidden="false" customHeight="false" outlineLevel="0" collapsed="false">
      <c r="A3119" s="4" t="s">
        <v>4270</v>
      </c>
      <c r="B3119" s="4" t="inlineStr">
        <is>
          <t>FE_COMB|2018|1.A.3|COMB_GAS|CH4</t>
        </is>
      </c>
      <c r="C3119" s="4" t="inlineStr">
        <is>
          <t>2018|1.A.3|COMB_GAS|CH4</t>
        </is>
      </c>
      <c r="D3119" s="12" t="n">
        <v>2018</v>
      </c>
      <c r="E3119" s="12" t="n">
        <v>2018</v>
      </c>
      <c r="F3119" s="4" t="inlineStr">
        <is>
          <t>PRX</t>
        </is>
      </c>
      <c r="G3119" s="4" t="inlineStr">
        <is>
          <t>UNFCCC_GTM_CRT_2024</t>
        </is>
      </c>
      <c r="H3119" s="4" t="inlineStr">
        <is>
          <t>Guatemala. 2024 Common Reporting Table (CRT), V0.3</t>
        </is>
      </c>
      <c r="I3119" s="4" t="inlineStr">
        <is>
          <t>https://unfccc.int/documents/646206</t>
        </is>
      </c>
      <c r="J3119" s="4" t="inlineStr">
        <is>
          <t>CRT1A|2018|1.A.3|COMB_GAS|CH4|FILAS:17+21</t>
        </is>
      </c>
      <c r="K3119" s="4" t="inlineStr">
        <is>
          <t>GAS</t>
        </is>
      </c>
      <c r="L3119" s="4" t="inlineStr">
        <is>
          <t>Gasolinas</t>
        </is>
      </c>
      <c r="M3119" s="4"/>
      <c r="N3119" s="4"/>
      <c r="O3119" s="4"/>
      <c r="P3119" s="4"/>
      <c r="Q3119" s="4" t="inlineStr">
        <is>
          <t>CRT_ANUAL_SUMA_EMISIONES_DIV_SUMA_ACTIVIDAD</t>
        </is>
      </c>
      <c r="R3119" s="4"/>
      <c r="S3119" s="4"/>
      <c r="T3119" s="4"/>
      <c r="U3119" s="4">
        <v>68640.30922426</v>
      </c>
      <c r="V3119" s="4"/>
      <c r="W3119" s="4" t="s">
        <v>3412</v>
      </c>
      <c r="X3119" s="4" t="inlineStr">
        <is>
          <t>Transporte</t>
        </is>
      </c>
      <c r="Y3119" s="4" t="inlineStr">
        <is>
          <t>COMB_GAS</t>
        </is>
      </c>
      <c r="Z3119" s="4" t="s">
        <v>4018</v>
      </c>
      <c r="AA3119" s="13">
        <v>32.97317728428984</v>
      </c>
      <c r="AB3119" s="4" t="s">
        <v>4281</v>
      </c>
      <c r="AC3119" s="4"/>
      <c r="AD3119" s="4">
        <v>2.2632890849</v>
      </c>
      <c r="AE3119" s="4"/>
      <c r="AF3119" s="4"/>
      <c r="AG3119" s="4"/>
      <c r="AH3119" s="4"/>
      <c r="AI3119" s="4"/>
      <c r="AJ3119" s="4"/>
      <c r="AK3119" s="4"/>
      <c r="AL3119" s="4" t="inlineStr">
        <is>
          <t>GTM-CRT-2024-V0.3-2018-20250304-084824_started.xlsx; Table1.A(a)s3; AD=C17+C21; EM=I17+I21; IEF=F17+F21</t>
        </is>
      </c>
      <c r="AM3119" s="4" t="inlineStr">
        <is>
          <t>Mezcla anual CRT de gasolina de aviación y gasolina de motor. BTR1 p. 66 confirma que GAS del BEN reúne ambos usos. Aplicar a GAS-TR supone representatividad de esa mezcla anual; no es un factor exclusivamente vial ni de un producto químicamente homogéneo. Fórmula: 1000000*(I17+I21)/(C17+C21). SHA-256 CRT: 1efce35f9670e4cbbd297ded271efaf4a32192bfcc9aa0eba7acb87b01dddc8d. El cociente es una derivación CAL; su aplicación a la mezcla GAS-TR se identifica PRX.</t>
        </is>
      </c>
    </row>
    <row r="3120" customFormat="false" ht="57.45" hidden="false" customHeight="false" outlineLevel="0" collapsed="false">
      <c r="A3120" s="4" t="s">
        <v>4270</v>
      </c>
      <c r="B3120" s="4" t="inlineStr">
        <is>
          <t>FE_COMB|2018|1.A.3|COMB_GAS|N2O</t>
        </is>
      </c>
      <c r="C3120" s="4" t="inlineStr">
        <is>
          <t>2018|1.A.3|COMB_GAS|N2O</t>
        </is>
      </c>
      <c r="D3120" s="12" t="n">
        <v>2018</v>
      </c>
      <c r="E3120" s="12" t="n">
        <v>2018</v>
      </c>
      <c r="F3120" s="4" t="inlineStr">
        <is>
          <t>PRX</t>
        </is>
      </c>
      <c r="G3120" s="4" t="inlineStr">
        <is>
          <t>UNFCCC_GTM_CRT_2024</t>
        </is>
      </c>
      <c r="H3120" s="4" t="inlineStr">
        <is>
          <t>Guatemala. 2024 Common Reporting Table (CRT), V0.3</t>
        </is>
      </c>
      <c r="I3120" s="4" t="inlineStr">
        <is>
          <t>https://unfccc.int/documents/646206</t>
        </is>
      </c>
      <c r="J3120" s="4" t="inlineStr">
        <is>
          <t>CRT1A|2018|1.A.3|COMB_GAS|N2O|FILAS:17+21</t>
        </is>
      </c>
      <c r="K3120" s="4" t="inlineStr">
        <is>
          <t>GAS</t>
        </is>
      </c>
      <c r="L3120" s="4" t="inlineStr">
        <is>
          <t>Gasolinas</t>
        </is>
      </c>
      <c r="M3120" s="4"/>
      <c r="N3120" s="4"/>
      <c r="O3120" s="4"/>
      <c r="P3120" s="4"/>
      <c r="Q3120" s="4" t="inlineStr">
        <is>
          <t>CRT_ANUAL_SUMA_EMISIONES_DIV_SUMA_ACTIVIDAD</t>
        </is>
      </c>
      <c r="R3120" s="4"/>
      <c r="S3120" s="4"/>
      <c r="T3120" s="4"/>
      <c r="U3120" s="4">
        <v>68640.30922426</v>
      </c>
      <c r="V3120" s="4"/>
      <c r="W3120" s="4" t="s">
        <v>3412</v>
      </c>
      <c r="X3120" s="4" t="inlineStr">
        <is>
          <t>Transporte</t>
        </is>
      </c>
      <c r="Y3120" s="4" t="inlineStr">
        <is>
          <t>COMB_GAS</t>
        </is>
      </c>
      <c r="Z3120" s="4" t="s">
        <v>4048</v>
      </c>
      <c r="AA3120" s="13">
        <v>3.1990096123050686</v>
      </c>
      <c r="AB3120" s="4" t="s">
        <v>4287</v>
      </c>
      <c r="AC3120" s="4"/>
      <c r="AD3120" s="4">
        <v>0.219581009</v>
      </c>
      <c r="AE3120" s="4"/>
      <c r="AF3120" s="4"/>
      <c r="AG3120" s="4"/>
      <c r="AH3120" s="4"/>
      <c r="AI3120" s="4"/>
      <c r="AJ3120" s="4"/>
      <c r="AK3120" s="4"/>
      <c r="AL3120" s="4" t="inlineStr">
        <is>
          <t>GTM-CRT-2024-V0.3-2018-20250304-084824_started.xlsx; Table1.A(a)s3; AD=C17+C21; EM=J17+J21; IEF=G17+G21</t>
        </is>
      </c>
      <c r="AM3120" s="4" t="inlineStr">
        <is>
          <t>Mezcla anual CRT de gasolina de aviación y gasolina de motor. BTR1 p. 66 confirma que GAS del BEN reúne ambos usos. Aplicar a GAS-TR supone representatividad de esa mezcla anual; no es un factor exclusivamente vial ni de un producto químicamente homogéneo. Fórmula: 1000000*(J17+J21)/(C17+C21). SHA-256 CRT: 1efce35f9670e4cbbd297ded271efaf4a32192bfcc9aa0eba7acb87b01dddc8d. El cociente es una derivación CAL; su aplicación a la mezcla GAS-TR se identifica PRX.</t>
        </is>
      </c>
    </row>
    <row r="3121" customFormat="false" ht="57.45" hidden="false" customHeight="false" outlineLevel="0" collapsed="false">
      <c r="A3121" s="4" t="s">
        <v>4270</v>
      </c>
      <c r="B3121" s="4" t="inlineStr">
        <is>
          <t>FE_COMB|2018|1.A.3|COMB_GLP|CO2</t>
        </is>
      </c>
      <c r="C3121" s="4" t="inlineStr">
        <is>
          <t>2018|1.A.3|COMB_GLP|CO2</t>
        </is>
      </c>
      <c r="D3121" s="12" t="n">
        <v>2018</v>
      </c>
      <c r="E3121" s="12" t="n">
        <v>2018</v>
      </c>
      <c r="F3121" s="4" t="inlineStr">
        <is>
          <t>OBS</t>
        </is>
      </c>
      <c r="G3121" s="4" t="inlineStr">
        <is>
          <t>UNFCCC_GTM_CRT_2024</t>
        </is>
      </c>
      <c r="H3121" s="4" t="inlineStr">
        <is>
          <t>Guatemala. 2024 Common Reporting Table (CRT), V0.3</t>
        </is>
      </c>
      <c r="I3121" s="4" t="inlineStr">
        <is>
          <t>https://unfccc.int/documents/646206</t>
        </is>
      </c>
      <c r="J3121" s="4" t="inlineStr">
        <is>
          <t>CRT1A|2018|1.A.3|COMB_GLP|CO2|FILAS:23</t>
        </is>
      </c>
      <c r="K3121" s="4" t="inlineStr">
        <is>
          <t>GLP</t>
        </is>
      </c>
      <c r="L3121" s="4" t="inlineStr">
        <is>
          <t>Gas licuado de petróleo (GLP)</t>
        </is>
      </c>
      <c r="M3121" s="4"/>
      <c r="N3121" s="4"/>
      <c r="O3121" s="4"/>
      <c r="P3121" s="4"/>
      <c r="Q3121" s="4" t="inlineStr">
        <is>
          <t>CRT_ANUAL_COMBUSTIBLE_ESPECIFICO</t>
        </is>
      </c>
      <c r="R3121" s="4"/>
      <c r="S3121" s="4"/>
      <c r="T3121" s="4"/>
      <c r="U3121" s="4">
        <v>186.617308</v>
      </c>
      <c r="V3121" s="4"/>
      <c r="W3121" s="4" t="inlineStr">
        <is>
          <t>1.A.3</t>
        </is>
      </c>
      <c r="X3121" s="4" t="inlineStr">
        <is>
          <t>Transporte</t>
        </is>
      </c>
      <c r="Y3121" s="4" t="inlineStr">
        <is>
          <t>COMB_GLP</t>
        </is>
      </c>
      <c r="Z3121" s="4" t="s">
        <v>4012</v>
      </c>
      <c r="AA3121" s="13">
        <v>63099.99981352212</v>
      </c>
      <c r="AB3121" s="4" t="s">
        <v>4275</v>
      </c>
      <c r="AC3121" s="4"/>
      <c r="AD3121" s="4">
        <v>11.7755521</v>
      </c>
      <c r="AE3121" s="4"/>
      <c r="AF3121" s="4"/>
      <c r="AG3121" s="4"/>
      <c r="AH3121" s="4"/>
      <c r="AI3121" s="4"/>
      <c r="AJ3121" s="4"/>
      <c r="AK3121" s="4"/>
      <c r="AL3121" s="4" t="inlineStr">
        <is>
          <t>GTM-CRT-2024-V0.3-2018-20250304-084824_started.xlsx; Table1.A(a)s3; AD=C23; EM=H23; IEF=E23</t>
        </is>
      </c>
      <c r="AM3121" s="4" t="inlineStr">
        <is>
          <t>Combustible específico en la categoría reportada CRT 1.A.3.b. BTR1 pp. 64–65 indica que la categoría incorpora navegación no desagregable; no interpretarla como medición exclusivamente vial. Aplicar a BEN-TR conserva esa cobertura reportada. Fórmula: 1000000*(H23)/(C23). SHA-256 CRT: 1efce35f9670e4cbbd297ded271efaf4a32192bfcc9aa0eba7acb87b01dddc8d.</t>
        </is>
      </c>
    </row>
    <row r="3122" customFormat="false" ht="57.45" hidden="false" customHeight="false" outlineLevel="0" collapsed="false">
      <c r="A3122" s="4" t="s">
        <v>4270</v>
      </c>
      <c r="B3122" s="4" t="inlineStr">
        <is>
          <t>FE_COMB|2018|1.A.3|COMB_GLP|CH4</t>
        </is>
      </c>
      <c r="C3122" s="4" t="inlineStr">
        <is>
          <t>2018|1.A.3|COMB_GLP|CH4</t>
        </is>
      </c>
      <c r="D3122" s="12" t="n">
        <v>2018</v>
      </c>
      <c r="E3122" s="12" t="n">
        <v>2018</v>
      </c>
      <c r="F3122" s="4" t="inlineStr">
        <is>
          <t>OBS</t>
        </is>
      </c>
      <c r="G3122" s="4" t="inlineStr">
        <is>
          <t>UNFCCC_GTM_CRT_2024</t>
        </is>
      </c>
      <c r="H3122" s="4" t="inlineStr">
        <is>
          <t>Guatemala. 2024 Common Reporting Table (CRT), V0.3</t>
        </is>
      </c>
      <c r="I3122" s="4" t="inlineStr">
        <is>
          <t>https://unfccc.int/documents/646206</t>
        </is>
      </c>
      <c r="J3122" s="4" t="inlineStr">
        <is>
          <t>CRT1A|2018|1.A.3|COMB_GLP|CH4|FILAS:23</t>
        </is>
      </c>
      <c r="K3122" s="4" t="inlineStr">
        <is>
          <t>GLP</t>
        </is>
      </c>
      <c r="L3122" s="4" t="inlineStr">
        <is>
          <t>Gas licuado de petróleo (GLP)</t>
        </is>
      </c>
      <c r="M3122" s="4"/>
      <c r="N3122" s="4"/>
      <c r="O3122" s="4"/>
      <c r="P3122" s="4"/>
      <c r="Q3122" s="4" t="inlineStr">
        <is>
          <t>CRT_ANUAL_COMBUSTIBLE_ESPECIFICO</t>
        </is>
      </c>
      <c r="R3122" s="4"/>
      <c r="S3122" s="4"/>
      <c r="T3122" s="4"/>
      <c r="U3122" s="4">
        <v>186.617308</v>
      </c>
      <c r="V3122" s="4"/>
      <c r="W3122" s="4" t="inlineStr">
        <is>
          <t>1.A.3</t>
        </is>
      </c>
      <c r="X3122" s="4" t="inlineStr">
        <is>
          <t>Transporte</t>
        </is>
      </c>
      <c r="Y3122" s="4" t="inlineStr">
        <is>
          <t>COMB_GLP</t>
        </is>
      </c>
      <c r="Z3122" s="4" t="s">
        <v>4018</v>
      </c>
      <c r="AA3122" s="13">
        <v>61.99998340989894</v>
      </c>
      <c r="AB3122" s="4" t="s">
        <v>4281</v>
      </c>
      <c r="AC3122" s="4"/>
      <c r="AD3122" s="4">
        <v>0.01157027</v>
      </c>
      <c r="AE3122" s="4"/>
      <c r="AF3122" s="4"/>
      <c r="AG3122" s="4"/>
      <c r="AH3122" s="4"/>
      <c r="AI3122" s="4"/>
      <c r="AJ3122" s="4"/>
      <c r="AK3122" s="4"/>
      <c r="AL3122" s="4" t="inlineStr">
        <is>
          <t>GTM-CRT-2024-V0.3-2018-20250304-084824_started.xlsx; Table1.A(a)s3; AD=C23; EM=I23; IEF=F23</t>
        </is>
      </c>
      <c r="AM3122" s="4" t="inlineStr">
        <is>
          <t>Combustible específico en la categoría reportada CRT 1.A.3.b. BTR1 pp. 64–65 indica que la categoría incorpora navegación no desagregable; no interpretarla como medición exclusivamente vial. Aplicar a BEN-TR conserva esa cobertura reportada. Fórmula: 1000000*(I23)/(C23). SHA-256 CRT: 1efce35f9670e4cbbd297ded271efaf4a32192bfcc9aa0eba7acb87b01dddc8d.</t>
        </is>
      </c>
    </row>
    <row r="3123" customFormat="false" ht="57.45" hidden="false" customHeight="false" outlineLevel="0" collapsed="false">
      <c r="A3123" s="4" t="s">
        <v>4270</v>
      </c>
      <c r="B3123" s="4" t="inlineStr">
        <is>
          <t>FE_COMB|2018|1.A.3|COMB_GLP|N2O</t>
        </is>
      </c>
      <c r="C3123" s="4" t="inlineStr">
        <is>
          <t>2018|1.A.3|COMB_GLP|N2O</t>
        </is>
      </c>
      <c r="D3123" s="12" t="n">
        <v>2018</v>
      </c>
      <c r="E3123" s="12" t="n">
        <v>2018</v>
      </c>
      <c r="F3123" s="4" t="inlineStr">
        <is>
          <t>OBS</t>
        </is>
      </c>
      <c r="G3123" s="4" t="inlineStr">
        <is>
          <t>UNFCCC_GTM_CRT_2024</t>
        </is>
      </c>
      <c r="H3123" s="4" t="inlineStr">
        <is>
          <t>Guatemala. 2024 Common Reporting Table (CRT), V0.3</t>
        </is>
      </c>
      <c r="I3123" s="4" t="inlineStr">
        <is>
          <t>https://unfccc.int/documents/646206</t>
        </is>
      </c>
      <c r="J3123" s="4" t="inlineStr">
        <is>
          <t>CRT1A|2018|1.A.3|COMB_GLP|N2O|FILAS:23</t>
        </is>
      </c>
      <c r="K3123" s="4" t="inlineStr">
        <is>
          <t>GLP</t>
        </is>
      </c>
      <c r="L3123" s="4" t="inlineStr">
        <is>
          <t>Gas licuado de petróleo (GLP)</t>
        </is>
      </c>
      <c r="M3123" s="4"/>
      <c r="N3123" s="4"/>
      <c r="O3123" s="4"/>
      <c r="P3123" s="4"/>
      <c r="Q3123" s="4" t="inlineStr">
        <is>
          <t>CRT_ANUAL_COMBUSTIBLE_ESPECIFICO</t>
        </is>
      </c>
      <c r="R3123" s="4"/>
      <c r="S3123" s="4"/>
      <c r="T3123" s="4"/>
      <c r="U3123" s="4">
        <v>186.617308</v>
      </c>
      <c r="V3123" s="4"/>
      <c r="W3123" s="4" t="inlineStr">
        <is>
          <t>1.A.3</t>
        </is>
      </c>
      <c r="X3123" s="4" t="inlineStr">
        <is>
          <t>Transporte</t>
        </is>
      </c>
      <c r="Y3123" s="4" t="inlineStr">
        <is>
          <t>COMB_GLP</t>
        </is>
      </c>
      <c r="Z3123" s="4" t="s">
        <v>4048</v>
      </c>
      <c r="AA3123" s="13">
        <v>0.19999752648880778</v>
      </c>
      <c r="AB3123" s="4" t="s">
        <v>4287</v>
      </c>
      <c r="AC3123" s="4"/>
      <c r="AD3123" s="4">
        <v>3.7323e-05</v>
      </c>
      <c r="AE3123" s="4"/>
      <c r="AF3123" s="4"/>
      <c r="AG3123" s="4"/>
      <c r="AH3123" s="4"/>
      <c r="AI3123" s="4"/>
      <c r="AJ3123" s="4"/>
      <c r="AK3123" s="4"/>
      <c r="AL3123" s="4" t="inlineStr">
        <is>
          <t>GTM-CRT-2024-V0.3-2018-20250304-084824_started.xlsx; Table1.A(a)s3; AD=C23; EM=J23; IEF=G23</t>
        </is>
      </c>
      <c r="AM3123" s="4" t="inlineStr">
        <is>
          <t>Combustible específico en la categoría reportada CRT 1.A.3.b. BTR1 pp. 64–65 indica que la categoría incorpora navegación no desagregable; no interpretarla como medición exclusivamente vial. Aplicar a BEN-TR conserva esa cobertura reportada. Fórmula: 1000000*(J23)/(C23). SHA-256 CRT: 1efce35f9670e4cbbd297ded271efaf4a32192bfcc9aa0eba7acb87b01dddc8d.</t>
        </is>
      </c>
    </row>
    <row r="3124" customFormat="false" ht="57.45" hidden="false" customHeight="false" outlineLevel="0" collapsed="false">
      <c r="A3124" s="4" t="s">
        <v>4270</v>
      </c>
      <c r="B3124" s="4" t="inlineStr">
        <is>
          <t>FE_COMB|2018|1.A.3|COMB_KER|CO2</t>
        </is>
      </c>
      <c r="C3124" s="4" t="inlineStr">
        <is>
          <t>2018|1.A.3|COMB_KER|CO2</t>
        </is>
      </c>
      <c r="D3124" s="12" t="n">
        <v>2018</v>
      </c>
      <c r="E3124" s="12">
        <v>2006.0</v>
      </c>
      <c r="F3124" s="4" t="inlineStr">
        <is>
          <t>PRX</t>
        </is>
      </c>
      <c r="G3124" s="4" t="inlineStr">
        <is>
          <t>IPCC_2006_GL</t>
        </is>
      </c>
      <c r="H3124" s="4" t="inlineStr">
        <is>
          <t>IPCC. 2006 Guidelines for National Greenhouse Gas Inventories, Volume 2: Energy</t>
        </is>
      </c>
      <c r="I3124" s="4" t="inlineStr">
        <is>
          <t>https://www.ipcc-nggip.iges.or.jp/public/2006gl/pdf/2_Volume2/V2_3_Ch3_Mobile_Combustion.pdf</t>
        </is>
      </c>
      <c r="J3124" s="4" t="inlineStr">
        <is>
          <t>IPCC2006|V2|C3|T3.6.4|JET_KEROSENE|CO2</t>
        </is>
      </c>
      <c r="K3124" s="4" t="inlineStr">
        <is>
          <t>KER</t>
        </is>
      </c>
      <c r="L3124" s="4" t="inlineStr">
        <is>
          <t>Keroseno</t>
        </is>
      </c>
      <c r="M3124" s="4"/>
      <c r="N3124" s="4"/>
      <c r="O3124" s="4"/>
      <c r="P3124" s="4"/>
      <c r="Q3124" s="4" t="inlineStr">
        <is>
          <t>FE_POR_DEFECTO_IPCC_2006</t>
        </is>
      </c>
      <c r="R3124" s="4"/>
      <c r="S3124" s="4">
        <v>71500.0</v>
      </c>
      <c r="T3124" s="4" t="inlineStr">
        <is>
          <t>kg CO2/TJ</t>
        </is>
      </c>
      <c r="U3124" s="4"/>
      <c r="V3124" s="4"/>
      <c r="W3124" s="4" t="inlineStr">
        <is>
          <t>1.A.3</t>
        </is>
      </c>
      <c r="X3124" s="4" t="inlineStr">
        <is>
          <t>Transporte</t>
        </is>
      </c>
      <c r="Y3124" s="4" t="inlineStr">
        <is>
          <t>COMB_KER</t>
        </is>
      </c>
      <c r="Z3124" s="4" t="s">
        <v>4012</v>
      </c>
      <c r="AA3124" s="13">
        <v>71500.0</v>
      </c>
      <c r="AB3124" s="4" t="s">
        <v>4275</v>
      </c>
      <c r="AC3124" s="4"/>
      <c r="AD3124" s="4"/>
      <c r="AE3124" s="4"/>
      <c r="AF3124" s="4"/>
      <c r="AG3124" s="4"/>
      <c r="AH3124" s="4"/>
      <c r="AI3124" s="4"/>
      <c r="AJ3124" s="4"/>
      <c r="AK3124" s="4"/>
      <c r="AL3124" s="4" t="inlineStr">
        <is>
          <t>Volumen 2, capítulo 3, tabla 3.6.4, p. 3.64; fila Jet Kerosene; gas CO2</t>
        </is>
      </c>
      <c r="AM3124" s="4" t="inlineStr">
        <is>
          <t>Factor por defecto de aviación aplicado como aproximación a KER-TR. BTR1 Guatemala, p. 66, sustenta el uso de queroseno de aviación. No se agrega actividad internacional de las CRT ni se altera la actividad BEN. Valor constante, no observación anual del país.</t>
        </is>
      </c>
    </row>
    <row r="3125" customFormat="false" ht="57.45" hidden="false" customHeight="false" outlineLevel="0" collapsed="false">
      <c r="A3125" s="4" t="s">
        <v>4270</v>
      </c>
      <c r="B3125" s="4" t="inlineStr">
        <is>
          <t>FE_COMB|2018|1.A.3|COMB_KER|CH4</t>
        </is>
      </c>
      <c r="C3125" s="4" t="inlineStr">
        <is>
          <t>2018|1.A.3|COMB_KER|CH4</t>
        </is>
      </c>
      <c r="D3125" s="12" t="n">
        <v>2018</v>
      </c>
      <c r="E3125" s="12">
        <v>2006.0</v>
      </c>
      <c r="F3125" s="4" t="inlineStr">
        <is>
          <t>PRX</t>
        </is>
      </c>
      <c r="G3125" s="4" t="inlineStr">
        <is>
          <t>IPCC_2006_GL</t>
        </is>
      </c>
      <c r="H3125" s="4" t="inlineStr">
        <is>
          <t>IPCC. 2006 Guidelines for National Greenhouse Gas Inventories, Volume 2: Energy</t>
        </is>
      </c>
      <c r="I3125" s="4" t="inlineStr">
        <is>
          <t>https://www.ipcc-nggip.iges.or.jp/public/2006gl/pdf/2_Volume2/V2_3_Ch3_Mobile_Combustion.pdf</t>
        </is>
      </c>
      <c r="J3125" s="4" t="inlineStr">
        <is>
          <t>IPCC2006|V2|C3|T3.6.5|JET_KEROSENE|CH4</t>
        </is>
      </c>
      <c r="K3125" s="4" t="inlineStr">
        <is>
          <t>KER</t>
        </is>
      </c>
      <c r="L3125" s="4" t="inlineStr">
        <is>
          <t>Keroseno</t>
        </is>
      </c>
      <c r="M3125" s="4"/>
      <c r="N3125" s="4"/>
      <c r="O3125" s="4"/>
      <c r="P3125" s="4"/>
      <c r="Q3125" s="4" t="inlineStr">
        <is>
          <t>FE_POR_DEFECTO_IPCC_2006</t>
        </is>
      </c>
      <c r="R3125" s="4"/>
      <c r="S3125" s="4">
        <v>0.5</v>
      </c>
      <c r="T3125" s="4" t="inlineStr">
        <is>
          <t>kg CH4/TJ</t>
        </is>
      </c>
      <c r="U3125" s="4"/>
      <c r="V3125" s="4"/>
      <c r="W3125" s="4" t="inlineStr">
        <is>
          <t>1.A.3</t>
        </is>
      </c>
      <c r="X3125" s="4" t="inlineStr">
        <is>
          <t>Transporte</t>
        </is>
      </c>
      <c r="Y3125" s="4" t="inlineStr">
        <is>
          <t>COMB_KER</t>
        </is>
      </c>
      <c r="Z3125" s="4" t="s">
        <v>4018</v>
      </c>
      <c r="AA3125" s="13">
        <v>0.5</v>
      </c>
      <c r="AB3125" s="4" t="s">
        <v>4281</v>
      </c>
      <c r="AC3125" s="4"/>
      <c r="AD3125" s="4"/>
      <c r="AE3125" s="4"/>
      <c r="AF3125" s="4"/>
      <c r="AG3125" s="4"/>
      <c r="AH3125" s="4"/>
      <c r="AI3125" s="4"/>
      <c r="AJ3125" s="4"/>
      <c r="AK3125" s="4"/>
      <c r="AL3125" s="4" t="inlineStr">
        <is>
          <t>Volumen 2, capítulo 3, tabla 3.6.5, p. 3.64; fila All fuels; gas CH4</t>
        </is>
      </c>
      <c r="AM3125" s="4" t="inlineStr">
        <is>
          <t>Factor por defecto de aviación aplicado como aproximación a KER-TR. BTR1 Guatemala, p. 66, sustenta el uso de queroseno de aviación. No se agrega actividad internacional de las CRT ni se altera la actividad BEN. Valor constante, no observación anual del país.</t>
        </is>
      </c>
    </row>
    <row r="3126" customFormat="false" ht="57.45" hidden="false" customHeight="false" outlineLevel="0" collapsed="false">
      <c r="A3126" s="4" t="s">
        <v>4270</v>
      </c>
      <c r="B3126" s="4" t="inlineStr">
        <is>
          <t>FE_COMB|2018|1.A.3|COMB_KER|N2O</t>
        </is>
      </c>
      <c r="C3126" s="4" t="inlineStr">
        <is>
          <t>2018|1.A.3|COMB_KER|N2O</t>
        </is>
      </c>
      <c r="D3126" s="12" t="n">
        <v>2018</v>
      </c>
      <c r="E3126" s="12">
        <v>2006.0</v>
      </c>
      <c r="F3126" s="4" t="inlineStr">
        <is>
          <t>PRX</t>
        </is>
      </c>
      <c r="G3126" s="4" t="inlineStr">
        <is>
          <t>IPCC_2006_GL</t>
        </is>
      </c>
      <c r="H3126" s="4" t="inlineStr">
        <is>
          <t>IPCC. 2006 Guidelines for National Greenhouse Gas Inventories, Volume 2: Energy</t>
        </is>
      </c>
      <c r="I3126" s="4" t="inlineStr">
        <is>
          <t>https://www.ipcc-nggip.iges.or.jp/public/2006gl/pdf/2_Volume2/V2_3_Ch3_Mobile_Combustion.pdf</t>
        </is>
      </c>
      <c r="J3126" s="4" t="inlineStr">
        <is>
          <t>IPCC2006|V2|C3|T3.6.5|JET_KEROSENE|N2O</t>
        </is>
      </c>
      <c r="K3126" s="4" t="inlineStr">
        <is>
          <t>KER</t>
        </is>
      </c>
      <c r="L3126" s="4" t="inlineStr">
        <is>
          <t>Keroseno</t>
        </is>
      </c>
      <c r="M3126" s="4"/>
      <c r="N3126" s="4"/>
      <c r="O3126" s="4"/>
      <c r="P3126" s="4"/>
      <c r="Q3126" s="4" t="inlineStr">
        <is>
          <t>FE_POR_DEFECTO_IPCC_2006</t>
        </is>
      </c>
      <c r="R3126" s="4"/>
      <c r="S3126" s="4">
        <v>2.0</v>
      </c>
      <c r="T3126" s="4" t="inlineStr">
        <is>
          <t>kg N2O/TJ</t>
        </is>
      </c>
      <c r="U3126" s="4"/>
      <c r="V3126" s="4"/>
      <c r="W3126" s="4" t="inlineStr">
        <is>
          <t>1.A.3</t>
        </is>
      </c>
      <c r="X3126" s="4" t="inlineStr">
        <is>
          <t>Transporte</t>
        </is>
      </c>
      <c r="Y3126" s="4" t="inlineStr">
        <is>
          <t>COMB_KER</t>
        </is>
      </c>
      <c r="Z3126" s="4" t="s">
        <v>4048</v>
      </c>
      <c r="AA3126" s="13">
        <v>2.0</v>
      </c>
      <c r="AB3126" s="4" t="s">
        <v>4287</v>
      </c>
      <c r="AC3126" s="4"/>
      <c r="AD3126" s="4"/>
      <c r="AE3126" s="4"/>
      <c r="AF3126" s="4"/>
      <c r="AG3126" s="4"/>
      <c r="AH3126" s="4"/>
      <c r="AI3126" s="4"/>
      <c r="AJ3126" s="4"/>
      <c r="AK3126" s="4"/>
      <c r="AL3126" s="4" t="inlineStr">
        <is>
          <t>Volumen 2, capítulo 3, tabla 3.6.5, p. 3.64; fila All fuels; gas N2O</t>
        </is>
      </c>
      <c r="AM3126" s="4" t="inlineStr">
        <is>
          <t>Factor por defecto de aviación aplicado como aproximación a KER-TR. BTR1 Guatemala, p. 66, sustenta el uso de queroseno de aviación. No se agrega actividad internacional de las CRT ni se altera la actividad BEN. Valor constante, no observación anual del país.</t>
        </is>
      </c>
    </row>
    <row r="3127" customFormat="false" ht="46.25" hidden="false" customHeight="false" outlineLevel="0" collapsed="false">
      <c r="A3127" s="4" t="s">
        <v>4270</v>
      </c>
      <c r="B3127" s="4" t="inlineStr">
        <is>
          <t>FE_COMB|2018|1.A.4.a|COMB_GAS|CO2</t>
        </is>
      </c>
      <c r="C3127" s="4" t="inlineStr">
        <is>
          <t>2018|1.A.4.a|COMB_GAS|CO2</t>
        </is>
      </c>
      <c r="D3127" s="12" t="n">
        <v>2018</v>
      </c>
      <c r="E3127" s="12">
        <v>2024.0</v>
      </c>
      <c r="F3127" s="4" t="inlineStr">
        <is>
          <t>PRX</t>
        </is>
      </c>
      <c r="G3127" s="4" t="inlineStr">
        <is>
          <t>MARN_GTM_BTR1_2024</t>
        </is>
      </c>
      <c r="H3127" s="4" t="inlineStr">
        <is>
          <t>Guatemala. Primer Informe Bienal de Transparencia (BTR1), 2024</t>
        </is>
      </c>
      <c r="I3127" s="4" t="inlineStr">
        <is>
          <t>https://unfccc.int/documents/646195</t>
        </is>
      </c>
      <c r="J3127" s="4" t="inlineStr">
        <is>
          <t>BTR1|2024|T3.6|GAS|CO2</t>
        </is>
      </c>
      <c r="K3127" s="4" t="inlineStr">
        <is>
          <t>GAS</t>
        </is>
      </c>
      <c r="L3127" s="4" t="inlineStr">
        <is>
          <t>Gasolinas</t>
        </is>
      </c>
      <c r="M3127" s="4"/>
      <c r="N3127" s="4"/>
      <c r="O3127" s="4"/>
      <c r="P3127" s="4"/>
      <c r="Q3127" s="4" t="inlineStr">
        <is>
          <t>FE_POR_COMBUSTIBLE_BTR1</t>
        </is>
      </c>
      <c r="R3127" s="4"/>
      <c r="S3127" s="4">
        <v>69300.0</v>
      </c>
      <c r="T3127" s="4" t="inlineStr">
        <is>
          <t>kg CO2/TJ</t>
        </is>
      </c>
      <c r="U3127" s="4"/>
      <c r="V3127" s="4"/>
      <c r="W3127" s="4" t="inlineStr">
        <is>
          <t>1.A.4.a</t>
        </is>
      </c>
      <c r="X3127" s="4" t="inlineStr">
        <is>
          <t>Comercial e institucional</t>
        </is>
      </c>
      <c r="Y3127" s="4" t="inlineStr">
        <is>
          <t>COMB_GAS</t>
        </is>
      </c>
      <c r="Z3127" s="4" t="s">
        <v>4012</v>
      </c>
      <c r="AA3127" s="4">
        <v>69300.0</v>
      </c>
      <c r="AB3127" s="4" t="s">
        <v>4275</v>
      </c>
      <c r="AC3127" s="4"/>
      <c r="AD3127" s="4"/>
      <c r="AE3127" s="4"/>
      <c r="AF3127" s="4"/>
      <c r="AG3127" s="4"/>
      <c r="AH3127" s="4"/>
      <c r="AI3127" s="4"/>
      <c r="AJ3127" s="4"/>
      <c r="AK3127" s="4"/>
      <c r="AL3127" s="4" t="inlineStr">
        <is>
          <t>BTR1 Guatemala 2024, tabla 3.6, p. 48; fila Gasolina para motores; gas CO2</t>
        </is>
      </c>
      <c r="AM3127" s="4" t="inlineStr">
        <is>
          <t>Factor por combustible documentado en el BTR1, con origen metodológico IPCC. Se aplica como parámetro constante aproximado a 2018–2024; el año de la clave permite unirlo a la actividad, no representa una nueva observación anual.</t>
        </is>
      </c>
    </row>
    <row r="3128" customFormat="false" ht="46.25" hidden="false" customHeight="false" outlineLevel="0" collapsed="false">
      <c r="A3128" s="4" t="s">
        <v>4270</v>
      </c>
      <c r="B3128" s="4" t="inlineStr">
        <is>
          <t>FE_COMB|2018|1.A.4.a|COMB_GAS|CH4</t>
        </is>
      </c>
      <c r="C3128" s="4" t="inlineStr">
        <is>
          <t>2018|1.A.4.a|COMB_GAS|CH4</t>
        </is>
      </c>
      <c r="D3128" s="12" t="n">
        <v>2018</v>
      </c>
      <c r="E3128" s="12">
        <v>2024.0</v>
      </c>
      <c r="F3128" s="4" t="inlineStr">
        <is>
          <t>PRX</t>
        </is>
      </c>
      <c r="G3128" s="4" t="inlineStr">
        <is>
          <t>MARN_GTM_BTR1_2024</t>
        </is>
      </c>
      <c r="H3128" s="4" t="inlineStr">
        <is>
          <t>Guatemala. Primer Informe Bienal de Transparencia (BTR1), 2024</t>
        </is>
      </c>
      <c r="I3128" s="4" t="inlineStr">
        <is>
          <t>https://unfccc.int/documents/646195</t>
        </is>
      </c>
      <c r="J3128" s="4" t="inlineStr">
        <is>
          <t>BTR1|2024|T3.33|GAS|CH4</t>
        </is>
      </c>
      <c r="K3128" s="4" t="inlineStr">
        <is>
          <t>GAS</t>
        </is>
      </c>
      <c r="L3128" s="4" t="inlineStr">
        <is>
          <t>Gasolinas</t>
        </is>
      </c>
      <c r="M3128" s="4"/>
      <c r="N3128" s="4"/>
      <c r="O3128" s="4"/>
      <c r="P3128" s="4"/>
      <c r="Q3128" s="4" t="inlineStr">
        <is>
          <t>FE_POR_COMBUSTIBLE_BTR1</t>
        </is>
      </c>
      <c r="R3128" s="4"/>
      <c r="S3128" s="4">
        <v>10.0</v>
      </c>
      <c r="T3128" s="4" t="inlineStr">
        <is>
          <t>kg CH4/TJ</t>
        </is>
      </c>
      <c r="U3128" s="4"/>
      <c r="V3128" s="4"/>
      <c r="W3128" s="4" t="inlineStr">
        <is>
          <t>1.A.4.a</t>
        </is>
      </c>
      <c r="X3128" s="4" t="inlineStr">
        <is>
          <t>Comercial e institucional</t>
        </is>
      </c>
      <c r="Y3128" s="4" t="inlineStr">
        <is>
          <t>COMB_GAS</t>
        </is>
      </c>
      <c r="Z3128" s="4" t="s">
        <v>4018</v>
      </c>
      <c r="AA3128" s="4">
        <v>10.0</v>
      </c>
      <c r="AB3128" s="4" t="s">
        <v>4281</v>
      </c>
      <c r="AC3128" s="4"/>
      <c r="AD3128" s="4"/>
      <c r="AE3128" s="4"/>
      <c r="AF3128" s="4"/>
      <c r="AG3128" s="4"/>
      <c r="AH3128" s="4"/>
      <c r="AI3128" s="4"/>
      <c r="AJ3128" s="4"/>
      <c r="AK3128" s="4"/>
      <c r="AL3128" s="4" t="inlineStr">
        <is>
          <t>BTR1 Guatemala 2024, tabla 3.33, p. 70; fila Gasolina para motores; gas CH4</t>
        </is>
      </c>
      <c r="AM3128" s="4" t="inlineStr">
        <is>
          <t>Factor por combustible documentado en el BTR1, con origen metodológico IPCC. Se aplica como parámetro constante aproximado a 2018–2024; el año de la clave permite unirlo a la actividad, no representa una nueva observación anual.</t>
        </is>
      </c>
    </row>
    <row r="3129" customFormat="false" ht="46.25" hidden="false" customHeight="false" outlineLevel="0" collapsed="false">
      <c r="A3129" s="4" t="s">
        <v>4270</v>
      </c>
      <c r="B3129" s="4" t="inlineStr">
        <is>
          <t>FE_COMB|2018|1.A.4.a|COMB_GAS|N2O</t>
        </is>
      </c>
      <c r="C3129" s="4" t="inlineStr">
        <is>
          <t>2018|1.A.4.a|COMB_GAS|N2O</t>
        </is>
      </c>
      <c r="D3129" s="12" t="n">
        <v>2018</v>
      </c>
      <c r="E3129" s="12">
        <v>2024.0</v>
      </c>
      <c r="F3129" s="4" t="inlineStr">
        <is>
          <t>PRX</t>
        </is>
      </c>
      <c r="G3129" s="4" t="inlineStr">
        <is>
          <t>MARN_GTM_BTR1_2024</t>
        </is>
      </c>
      <c r="H3129" s="4" t="inlineStr">
        <is>
          <t>Guatemala. Primer Informe Bienal de Transparencia (BTR1), 2024</t>
        </is>
      </c>
      <c r="I3129" s="4" t="inlineStr">
        <is>
          <t>https://unfccc.int/documents/646195</t>
        </is>
      </c>
      <c r="J3129" s="4" t="inlineStr">
        <is>
          <t>BTR1|2024|T3.33|GAS|N2O</t>
        </is>
      </c>
      <c r="K3129" s="4" t="inlineStr">
        <is>
          <t>GAS</t>
        </is>
      </c>
      <c r="L3129" s="4" t="inlineStr">
        <is>
          <t>Gasolinas</t>
        </is>
      </c>
      <c r="M3129" s="4"/>
      <c r="N3129" s="4"/>
      <c r="O3129" s="4"/>
      <c r="P3129" s="4"/>
      <c r="Q3129" s="4" t="inlineStr">
        <is>
          <t>FE_POR_COMBUSTIBLE_BTR1</t>
        </is>
      </c>
      <c r="R3129" s="4"/>
      <c r="S3129" s="4">
        <v>0.6</v>
      </c>
      <c r="T3129" s="4" t="inlineStr">
        <is>
          <t>kg N2O/TJ</t>
        </is>
      </c>
      <c r="U3129" s="4"/>
      <c r="V3129" s="4"/>
      <c r="W3129" s="4" t="inlineStr">
        <is>
          <t>1.A.4.a</t>
        </is>
      </c>
      <c r="X3129" s="4" t="inlineStr">
        <is>
          <t>Comercial e institucional</t>
        </is>
      </c>
      <c r="Y3129" s="4" t="inlineStr">
        <is>
          <t>COMB_GAS</t>
        </is>
      </c>
      <c r="Z3129" s="4" t="s">
        <v>4048</v>
      </c>
      <c r="AA3129" s="4">
        <v>0.6</v>
      </c>
      <c r="AB3129" s="4" t="s">
        <v>4287</v>
      </c>
      <c r="AC3129" s="4"/>
      <c r="AD3129" s="4"/>
      <c r="AE3129" s="4"/>
      <c r="AF3129" s="4"/>
      <c r="AG3129" s="4"/>
      <c r="AH3129" s="4"/>
      <c r="AI3129" s="4"/>
      <c r="AJ3129" s="4"/>
      <c r="AK3129" s="4"/>
      <c r="AL3129" s="4" t="inlineStr">
        <is>
          <t>BTR1 Guatemala 2024, tabla 3.33, p. 70; fila Gasolina para motores; gas N2O</t>
        </is>
      </c>
      <c r="AM3129" s="4" t="inlineStr">
        <is>
          <t>Factor por combustible documentado en el BTR1, con origen metodológico IPCC. Se aplica como parámetro constante aproximado a 2018–2024; el año de la clave permite unirlo a la actividad, no representa una nueva observación anual.</t>
        </is>
      </c>
    </row>
    <row r="3130" customFormat="false" ht="46.25" hidden="false" customHeight="false" outlineLevel="0" collapsed="false">
      <c r="A3130" s="4" t="s">
        <v>4270</v>
      </c>
      <c r="B3130" s="4" t="inlineStr">
        <is>
          <t>FE_COMB|2018|1.A.4.a|COMB_GLP|CO2</t>
        </is>
      </c>
      <c r="C3130" s="4" t="inlineStr">
        <is>
          <t>2018|1.A.4.a|COMB_GLP|CO2</t>
        </is>
      </c>
      <c r="D3130" s="12" t="n">
        <v>2018</v>
      </c>
      <c r="E3130" s="12">
        <v>2024.0</v>
      </c>
      <c r="F3130" s="4" t="inlineStr">
        <is>
          <t>PRX</t>
        </is>
      </c>
      <c r="G3130" s="4" t="inlineStr">
        <is>
          <t>MARN_GTM_BTR1_2024</t>
        </is>
      </c>
      <c r="H3130" s="4" t="inlineStr">
        <is>
          <t>Guatemala. Primer Informe Bienal de Transparencia (BTR1), 2024</t>
        </is>
      </c>
      <c r="I3130" s="4" t="inlineStr">
        <is>
          <t>https://unfccc.int/documents/646195</t>
        </is>
      </c>
      <c r="J3130" s="4" t="inlineStr">
        <is>
          <t>BTR1|2024|T3.6|GLP|CO2</t>
        </is>
      </c>
      <c r="K3130" s="4" t="inlineStr">
        <is>
          <t>GLP</t>
        </is>
      </c>
      <c r="L3130" s="4" t="inlineStr">
        <is>
          <t>Gas licuado de petróleo (GLP)</t>
        </is>
      </c>
      <c r="M3130" s="4"/>
      <c r="N3130" s="4"/>
      <c r="O3130" s="4"/>
      <c r="P3130" s="4"/>
      <c r="Q3130" s="4" t="inlineStr">
        <is>
          <t>FE_POR_COMBUSTIBLE_BTR1</t>
        </is>
      </c>
      <c r="R3130" s="4"/>
      <c r="S3130" s="4">
        <v>63100.0</v>
      </c>
      <c r="T3130" s="4" t="inlineStr">
        <is>
          <t>kg CO2/TJ</t>
        </is>
      </c>
      <c r="U3130" s="4"/>
      <c r="V3130" s="4"/>
      <c r="W3130" s="4" t="inlineStr">
        <is>
          <t>1.A.4.a</t>
        </is>
      </c>
      <c r="X3130" s="4" t="inlineStr">
        <is>
          <t>Comercial e institucional</t>
        </is>
      </c>
      <c r="Y3130" s="4" t="inlineStr">
        <is>
          <t>COMB_GLP</t>
        </is>
      </c>
      <c r="Z3130" s="4" t="s">
        <v>4012</v>
      </c>
      <c r="AA3130" s="4">
        <v>63100.0</v>
      </c>
      <c r="AB3130" s="4" t="s">
        <v>4275</v>
      </c>
      <c r="AC3130" s="4"/>
      <c r="AD3130" s="4"/>
      <c r="AE3130" s="4"/>
      <c r="AF3130" s="4"/>
      <c r="AG3130" s="4"/>
      <c r="AH3130" s="4"/>
      <c r="AI3130" s="4"/>
      <c r="AJ3130" s="4"/>
      <c r="AK3130" s="4"/>
      <c r="AL3130" s="4" t="inlineStr">
        <is>
          <t>BTR1 Guatemala 2024, tabla 3.6, p. 48; fila Gases licuados de petróleo; gas CO2</t>
        </is>
      </c>
      <c r="AM3130" s="4" t="inlineStr">
        <is>
          <t>Factor por combustible documentado en el BTR1, con origen metodológico IPCC. Se aplica como parámetro constante aproximado a 2018–2024; el año de la clave permite unirlo a la actividad, no representa una nueva observación anual.</t>
        </is>
      </c>
    </row>
    <row r="3131" customFormat="false" ht="46.25" hidden="false" customHeight="false" outlineLevel="0" collapsed="false">
      <c r="A3131" s="4" t="s">
        <v>4270</v>
      </c>
      <c r="B3131" s="4" t="inlineStr">
        <is>
          <t>FE_COMB|2018|1.A.4.a|COMB_GLP|CH4</t>
        </is>
      </c>
      <c r="C3131" s="4" t="inlineStr">
        <is>
          <t>2018|1.A.4.a|COMB_GLP|CH4</t>
        </is>
      </c>
      <c r="D3131" s="12" t="n">
        <v>2018</v>
      </c>
      <c r="E3131" s="12">
        <v>2024.0</v>
      </c>
      <c r="F3131" s="4" t="inlineStr">
        <is>
          <t>PRX</t>
        </is>
      </c>
      <c r="G3131" s="4" t="inlineStr">
        <is>
          <t>MARN_GTM_BTR1_2024</t>
        </is>
      </c>
      <c r="H3131" s="4" t="inlineStr">
        <is>
          <t>Guatemala. Primer Informe Bienal de Transparencia (BTR1), 2024</t>
        </is>
      </c>
      <c r="I3131" s="4" t="inlineStr">
        <is>
          <t>https://unfccc.int/documents/646195</t>
        </is>
      </c>
      <c r="J3131" s="4" t="inlineStr">
        <is>
          <t>BTR1|2024|T3.33|GLP|CH4</t>
        </is>
      </c>
      <c r="K3131" s="4" t="inlineStr">
        <is>
          <t>GLP</t>
        </is>
      </c>
      <c r="L3131" s="4" t="inlineStr">
        <is>
          <t>Gas licuado de petróleo (GLP)</t>
        </is>
      </c>
      <c r="M3131" s="4"/>
      <c r="N3131" s="4"/>
      <c r="O3131" s="4"/>
      <c r="P3131" s="4"/>
      <c r="Q3131" s="4" t="inlineStr">
        <is>
          <t>FE_POR_COMBUSTIBLE_BTR1</t>
        </is>
      </c>
      <c r="R3131" s="4"/>
      <c r="S3131" s="4">
        <v>5.0</v>
      </c>
      <c r="T3131" s="4" t="inlineStr">
        <is>
          <t>kg CH4/TJ</t>
        </is>
      </c>
      <c r="U3131" s="4"/>
      <c r="V3131" s="4"/>
      <c r="W3131" s="4" t="inlineStr">
        <is>
          <t>1.A.4.a</t>
        </is>
      </c>
      <c r="X3131" s="4" t="inlineStr">
        <is>
          <t>Comercial e institucional</t>
        </is>
      </c>
      <c r="Y3131" s="4" t="inlineStr">
        <is>
          <t>COMB_GLP</t>
        </is>
      </c>
      <c r="Z3131" s="4" t="s">
        <v>4018</v>
      </c>
      <c r="AA3131" s="4">
        <v>5.0</v>
      </c>
      <c r="AB3131" s="4" t="s">
        <v>4281</v>
      </c>
      <c r="AC3131" s="4"/>
      <c r="AD3131" s="4"/>
      <c r="AE3131" s="4"/>
      <c r="AF3131" s="4"/>
      <c r="AG3131" s="4"/>
      <c r="AH3131" s="4"/>
      <c r="AI3131" s="4"/>
      <c r="AJ3131" s="4"/>
      <c r="AK3131" s="4"/>
      <c r="AL3131" s="4" t="inlineStr">
        <is>
          <t>BTR1 Guatemala 2024, tabla 3.33, p. 70; fila Gases licuados de petróleo; gas CH4</t>
        </is>
      </c>
      <c r="AM3131" s="4" t="inlineStr">
        <is>
          <t>Factor por combustible documentado en el BTR1, con origen metodológico IPCC. Se aplica como parámetro constante aproximado a 2018–2024; el año de la clave permite unirlo a la actividad, no representa una nueva observación anual.</t>
        </is>
      </c>
    </row>
    <row r="3132" customFormat="false" ht="46.25" hidden="false" customHeight="false" outlineLevel="0" collapsed="false">
      <c r="A3132" s="4" t="s">
        <v>4270</v>
      </c>
      <c r="B3132" s="4" t="inlineStr">
        <is>
          <t>FE_COMB|2018|1.A.4.a|COMB_GLP|N2O</t>
        </is>
      </c>
      <c r="C3132" s="4" t="inlineStr">
        <is>
          <t>2018|1.A.4.a|COMB_GLP|N2O</t>
        </is>
      </c>
      <c r="D3132" s="12" t="n">
        <v>2018</v>
      </c>
      <c r="E3132" s="12">
        <v>2024.0</v>
      </c>
      <c r="F3132" s="4" t="inlineStr">
        <is>
          <t>PRX</t>
        </is>
      </c>
      <c r="G3132" s="4" t="inlineStr">
        <is>
          <t>MARN_GTM_BTR1_2024</t>
        </is>
      </c>
      <c r="H3132" s="4" t="inlineStr">
        <is>
          <t>Guatemala. Primer Informe Bienal de Transparencia (BTR1), 2024</t>
        </is>
      </c>
      <c r="I3132" s="4" t="inlineStr">
        <is>
          <t>https://unfccc.int/documents/646195</t>
        </is>
      </c>
      <c r="J3132" s="4" t="inlineStr">
        <is>
          <t>BTR1|2024|T3.33|GLP|N2O</t>
        </is>
      </c>
      <c r="K3132" s="4" t="inlineStr">
        <is>
          <t>GLP</t>
        </is>
      </c>
      <c r="L3132" s="4" t="inlineStr">
        <is>
          <t>Gas licuado de petróleo (GLP)</t>
        </is>
      </c>
      <c r="M3132" s="4"/>
      <c r="N3132" s="4"/>
      <c r="O3132" s="4"/>
      <c r="P3132" s="4"/>
      <c r="Q3132" s="4" t="inlineStr">
        <is>
          <t>FE_POR_COMBUSTIBLE_BTR1</t>
        </is>
      </c>
      <c r="R3132" s="4"/>
      <c r="S3132" s="4">
        <v>0.1</v>
      </c>
      <c r="T3132" s="4" t="inlineStr">
        <is>
          <t>kg N2O/TJ</t>
        </is>
      </c>
      <c r="U3132" s="4"/>
      <c r="V3132" s="4"/>
      <c r="W3132" s="4" t="inlineStr">
        <is>
          <t>1.A.4.a</t>
        </is>
      </c>
      <c r="X3132" s="4" t="inlineStr">
        <is>
          <t>Comercial e institucional</t>
        </is>
      </c>
      <c r="Y3132" s="4" t="inlineStr">
        <is>
          <t>COMB_GLP</t>
        </is>
      </c>
      <c r="Z3132" s="4" t="s">
        <v>4048</v>
      </c>
      <c r="AA3132" s="4">
        <v>0.1</v>
      </c>
      <c r="AB3132" s="4" t="s">
        <v>4287</v>
      </c>
      <c r="AC3132" s="4"/>
      <c r="AD3132" s="4"/>
      <c r="AE3132" s="4"/>
      <c r="AF3132" s="4"/>
      <c r="AG3132" s="4"/>
      <c r="AH3132" s="4"/>
      <c r="AI3132" s="4"/>
      <c r="AJ3132" s="4"/>
      <c r="AK3132" s="4"/>
      <c r="AL3132" s="4" t="inlineStr">
        <is>
          <t>BTR1 Guatemala 2024, tabla 3.33, p. 70; fila Gases licuados de petróleo; gas N2O</t>
        </is>
      </c>
      <c r="AM3132" s="4" t="inlineStr">
        <is>
          <t>Factor por combustible documentado en el BTR1, con origen metodológico IPCC. Se aplica como parámetro constante aproximado a 2018–2024; el año de la clave permite unirlo a la actividad, no representa una nueva observación anual.</t>
        </is>
      </c>
    </row>
    <row r="3133" customFormat="false" ht="46.25" hidden="false" customHeight="false" outlineLevel="0" collapsed="false">
      <c r="A3133" s="4" t="s">
        <v>4270</v>
      </c>
      <c r="B3133" s="4" t="inlineStr">
        <is>
          <t>FE_COMB|2018|1.A.4.a|COMB_KER|CO2</t>
        </is>
      </c>
      <c r="C3133" s="4" t="inlineStr">
        <is>
          <t>2018|1.A.4.a|COMB_KER|CO2</t>
        </is>
      </c>
      <c r="D3133" s="12" t="n">
        <v>2018</v>
      </c>
      <c r="E3133" s="12">
        <v>2024.0</v>
      </c>
      <c r="F3133" s="4" t="inlineStr">
        <is>
          <t>PRX</t>
        </is>
      </c>
      <c r="G3133" s="4" t="inlineStr">
        <is>
          <t>MARN_GTM_BTR1_2024</t>
        </is>
      </c>
      <c r="H3133" s="4" t="inlineStr">
        <is>
          <t>Guatemala. Primer Informe Bienal de Transparencia (BTR1), 2024</t>
        </is>
      </c>
      <c r="I3133" s="4" t="inlineStr">
        <is>
          <t>https://unfccc.int/documents/646195</t>
        </is>
      </c>
      <c r="J3133" s="4" t="inlineStr">
        <is>
          <t>BTR1|2024|T3.6|KER|CO2</t>
        </is>
      </c>
      <c r="K3133" s="4" t="inlineStr">
        <is>
          <t>KER</t>
        </is>
      </c>
      <c r="L3133" s="4" t="inlineStr">
        <is>
          <t>Keroseno</t>
        </is>
      </c>
      <c r="M3133" s="4"/>
      <c r="N3133" s="4"/>
      <c r="O3133" s="4"/>
      <c r="P3133" s="4"/>
      <c r="Q3133" s="4" t="inlineStr">
        <is>
          <t>FE_POR_COMBUSTIBLE_BTR1</t>
        </is>
      </c>
      <c r="R3133" s="4"/>
      <c r="S3133" s="4">
        <v>71900.0</v>
      </c>
      <c r="T3133" s="4" t="inlineStr">
        <is>
          <t>kg CO2/TJ</t>
        </is>
      </c>
      <c r="U3133" s="4"/>
      <c r="V3133" s="4"/>
      <c r="W3133" s="4" t="inlineStr">
        <is>
          <t>1.A.4.a</t>
        </is>
      </c>
      <c r="X3133" s="4" t="inlineStr">
        <is>
          <t>Comercial e institucional</t>
        </is>
      </c>
      <c r="Y3133" s="4" t="inlineStr">
        <is>
          <t>COMB_KER</t>
        </is>
      </c>
      <c r="Z3133" s="4" t="s">
        <v>4012</v>
      </c>
      <c r="AA3133" s="4">
        <v>71900.0</v>
      </c>
      <c r="AB3133" s="4" t="s">
        <v>4275</v>
      </c>
      <c r="AC3133" s="4"/>
      <c r="AD3133" s="4"/>
      <c r="AE3133" s="4"/>
      <c r="AF3133" s="4"/>
      <c r="AG3133" s="4"/>
      <c r="AH3133" s="4"/>
      <c r="AI3133" s="4"/>
      <c r="AJ3133" s="4"/>
      <c r="AK3133" s="4"/>
      <c r="AL3133" s="4" t="inlineStr">
        <is>
          <t>BTR1 Guatemala 2024, tabla 3.6, p. 48; fila Otro queroseno; gas CO2</t>
        </is>
      </c>
      <c r="AM3133" s="4" t="inlineStr">
        <is>
          <t>Factor por combustible documentado en el BTR1, con origen metodológico IPCC. Se aplica como parámetro constante aproximado a 2018–2024; el año de la clave permite unirlo a la actividad, no representa una nueva observación anual.</t>
        </is>
      </c>
    </row>
    <row r="3134" customFormat="false" ht="46.25" hidden="false" customHeight="false" outlineLevel="0" collapsed="false">
      <c r="A3134" s="4" t="s">
        <v>4270</v>
      </c>
      <c r="B3134" s="4" t="inlineStr">
        <is>
          <t>FE_COMB|2018|1.A.4.a|COMB_KER|CH4</t>
        </is>
      </c>
      <c r="C3134" s="4" t="inlineStr">
        <is>
          <t>2018|1.A.4.a|COMB_KER|CH4</t>
        </is>
      </c>
      <c r="D3134" s="12" t="n">
        <v>2018</v>
      </c>
      <c r="E3134" s="12">
        <v>2024.0</v>
      </c>
      <c r="F3134" s="4" t="inlineStr">
        <is>
          <t>PRX</t>
        </is>
      </c>
      <c r="G3134" s="4" t="inlineStr">
        <is>
          <t>MARN_GTM_BTR1_2024</t>
        </is>
      </c>
      <c r="H3134" s="4" t="inlineStr">
        <is>
          <t>Guatemala. Primer Informe Bienal de Transparencia (BTR1), 2024</t>
        </is>
      </c>
      <c r="I3134" s="4" t="inlineStr">
        <is>
          <t>https://unfccc.int/documents/646195</t>
        </is>
      </c>
      <c r="J3134" s="4" t="inlineStr">
        <is>
          <t>BTR1|2024|T3.33|KER|CH4</t>
        </is>
      </c>
      <c r="K3134" s="4" t="inlineStr">
        <is>
          <t>KER</t>
        </is>
      </c>
      <c r="L3134" s="4" t="inlineStr">
        <is>
          <t>Keroseno</t>
        </is>
      </c>
      <c r="M3134" s="4"/>
      <c r="N3134" s="4"/>
      <c r="O3134" s="4"/>
      <c r="P3134" s="4"/>
      <c r="Q3134" s="4" t="inlineStr">
        <is>
          <t>FE_POR_COMBUSTIBLE_BTR1</t>
        </is>
      </c>
      <c r="R3134" s="4"/>
      <c r="S3134" s="4">
        <v>10.0</v>
      </c>
      <c r="T3134" s="4" t="inlineStr">
        <is>
          <t>kg CH4/TJ</t>
        </is>
      </c>
      <c r="U3134" s="4"/>
      <c r="V3134" s="4"/>
      <c r="W3134" s="4" t="inlineStr">
        <is>
          <t>1.A.4.a</t>
        </is>
      </c>
      <c r="X3134" s="4" t="inlineStr">
        <is>
          <t>Comercial e institucional</t>
        </is>
      </c>
      <c r="Y3134" s="4" t="inlineStr">
        <is>
          <t>COMB_KER</t>
        </is>
      </c>
      <c r="Z3134" s="4" t="s">
        <v>4018</v>
      </c>
      <c r="AA3134" s="4">
        <v>10.0</v>
      </c>
      <c r="AB3134" s="4" t="s">
        <v>4281</v>
      </c>
      <c r="AC3134" s="4"/>
      <c r="AD3134" s="4"/>
      <c r="AE3134" s="4"/>
      <c r="AF3134" s="4"/>
      <c r="AG3134" s="4"/>
      <c r="AH3134" s="4"/>
      <c r="AI3134" s="4"/>
      <c r="AJ3134" s="4"/>
      <c r="AK3134" s="4"/>
      <c r="AL3134" s="4" t="inlineStr">
        <is>
          <t>BTR1 Guatemala 2024, tabla 3.33, p. 70; fila Otro queroseno; gas CH4</t>
        </is>
      </c>
      <c r="AM3134" s="4" t="inlineStr">
        <is>
          <t>Factor por combustible documentado en el BTR1, con origen metodológico IPCC. Se aplica como parámetro constante aproximado a 2018–2024; el año de la clave permite unirlo a la actividad, no representa una nueva observación anual.</t>
        </is>
      </c>
    </row>
    <row r="3135" customFormat="false" ht="46.25" hidden="false" customHeight="false" outlineLevel="0" collapsed="false">
      <c r="A3135" s="4" t="s">
        <v>4270</v>
      </c>
      <c r="B3135" s="4" t="inlineStr">
        <is>
          <t>FE_COMB|2018|1.A.4.a|COMB_KER|N2O</t>
        </is>
      </c>
      <c r="C3135" s="4" t="inlineStr">
        <is>
          <t>2018|1.A.4.a|COMB_KER|N2O</t>
        </is>
      </c>
      <c r="D3135" s="12" t="n">
        <v>2018</v>
      </c>
      <c r="E3135" s="12">
        <v>2024.0</v>
      </c>
      <c r="F3135" s="4" t="inlineStr">
        <is>
          <t>PRX</t>
        </is>
      </c>
      <c r="G3135" s="4" t="inlineStr">
        <is>
          <t>MARN_GTM_BTR1_2024</t>
        </is>
      </c>
      <c r="H3135" s="4" t="inlineStr">
        <is>
          <t>Guatemala. Primer Informe Bienal de Transparencia (BTR1), 2024</t>
        </is>
      </c>
      <c r="I3135" s="4" t="inlineStr">
        <is>
          <t>https://unfccc.int/documents/646195</t>
        </is>
      </c>
      <c r="J3135" s="4" t="inlineStr">
        <is>
          <t>BTR1|2024|T3.33|KER|N2O</t>
        </is>
      </c>
      <c r="K3135" s="4" t="inlineStr">
        <is>
          <t>KER</t>
        </is>
      </c>
      <c r="L3135" s="4" t="inlineStr">
        <is>
          <t>Keroseno</t>
        </is>
      </c>
      <c r="M3135" s="4"/>
      <c r="N3135" s="4"/>
      <c r="O3135" s="4"/>
      <c r="P3135" s="4"/>
      <c r="Q3135" s="4" t="inlineStr">
        <is>
          <t>FE_POR_COMBUSTIBLE_BTR1</t>
        </is>
      </c>
      <c r="R3135" s="4"/>
      <c r="S3135" s="4">
        <v>0.6</v>
      </c>
      <c r="T3135" s="4" t="inlineStr">
        <is>
          <t>kg N2O/TJ</t>
        </is>
      </c>
      <c r="U3135" s="4"/>
      <c r="V3135" s="4"/>
      <c r="W3135" s="4" t="inlineStr">
        <is>
          <t>1.A.4.a</t>
        </is>
      </c>
      <c r="X3135" s="4" t="inlineStr">
        <is>
          <t>Comercial e institucional</t>
        </is>
      </c>
      <c r="Y3135" s="4" t="inlineStr">
        <is>
          <t>COMB_KER</t>
        </is>
      </c>
      <c r="Z3135" s="4" t="s">
        <v>4048</v>
      </c>
      <c r="AA3135" s="4">
        <v>0.6</v>
      </c>
      <c r="AB3135" s="4" t="s">
        <v>4287</v>
      </c>
      <c r="AC3135" s="4"/>
      <c r="AD3135" s="4"/>
      <c r="AE3135" s="4"/>
      <c r="AF3135" s="4"/>
      <c r="AG3135" s="4"/>
      <c r="AH3135" s="4"/>
      <c r="AI3135" s="4"/>
      <c r="AJ3135" s="4"/>
      <c r="AK3135" s="4"/>
      <c r="AL3135" s="4" t="inlineStr">
        <is>
          <t>BTR1 Guatemala 2024, tabla 3.33, p. 70; fila Otro queroseno; gas N2O</t>
        </is>
      </c>
      <c r="AM3135" s="4" t="inlineStr">
        <is>
          <t>Factor por combustible documentado en el BTR1, con origen metodológico IPCC. Se aplica como parámetro constante aproximado a 2018–2024; el año de la clave permite unirlo a la actividad, no representa una nueva observación anual.</t>
        </is>
      </c>
    </row>
    <row r="3136" customFormat="false" ht="46.25" hidden="false" customHeight="false" outlineLevel="0" collapsed="false">
      <c r="A3136" s="4" t="s">
        <v>4270</v>
      </c>
      <c r="B3136" s="4" t="inlineStr">
        <is>
          <t>FE_COMB|2018|1.A.4.b|COMB_GLP|CO2</t>
        </is>
      </c>
      <c r="C3136" s="4" t="inlineStr">
        <is>
          <t>2018|1.A.4.b|COMB_GLP|CO2</t>
        </is>
      </c>
      <c r="D3136" s="12" t="n">
        <v>2018</v>
      </c>
      <c r="E3136" s="12">
        <v>2024.0</v>
      </c>
      <c r="F3136" s="4" t="inlineStr">
        <is>
          <t>PRX</t>
        </is>
      </c>
      <c r="G3136" s="4" t="inlineStr">
        <is>
          <t>MARN_GTM_BTR1_2024</t>
        </is>
      </c>
      <c r="H3136" s="4" t="inlineStr">
        <is>
          <t>Guatemala. Primer Informe Bienal de Transparencia (BTR1), 2024</t>
        </is>
      </c>
      <c r="I3136" s="4" t="inlineStr">
        <is>
          <t>https://unfccc.int/documents/646195</t>
        </is>
      </c>
      <c r="J3136" s="4" t="inlineStr">
        <is>
          <t>BTR1|2024|T3.6|GLP|CO2</t>
        </is>
      </c>
      <c r="K3136" s="4" t="inlineStr">
        <is>
          <t>GLP</t>
        </is>
      </c>
      <c r="L3136" s="4" t="inlineStr">
        <is>
          <t>Gas licuado de petróleo (GLP)</t>
        </is>
      </c>
      <c r="M3136" s="4"/>
      <c r="N3136" s="4"/>
      <c r="O3136" s="4"/>
      <c r="P3136" s="4"/>
      <c r="Q3136" s="4" t="inlineStr">
        <is>
          <t>FE_POR_COMBUSTIBLE_BTR1</t>
        </is>
      </c>
      <c r="R3136" s="4"/>
      <c r="S3136" s="4">
        <v>63100.0</v>
      </c>
      <c r="T3136" s="4" t="inlineStr">
        <is>
          <t>kg CO2/TJ</t>
        </is>
      </c>
      <c r="U3136" s="4"/>
      <c r="V3136" s="4"/>
      <c r="W3136" s="4" t="inlineStr">
        <is>
          <t>1.A.4.b</t>
        </is>
      </c>
      <c r="X3136" s="4" t="inlineStr">
        <is>
          <t>Residencial</t>
        </is>
      </c>
      <c r="Y3136" s="4" t="inlineStr">
        <is>
          <t>COMB_GLP</t>
        </is>
      </c>
      <c r="Z3136" s="4" t="s">
        <v>4012</v>
      </c>
      <c r="AA3136" s="4">
        <v>63100.0</v>
      </c>
      <c r="AB3136" s="4" t="s">
        <v>4275</v>
      </c>
      <c r="AC3136" s="4"/>
      <c r="AD3136" s="4"/>
      <c r="AE3136" s="4"/>
      <c r="AF3136" s="4"/>
      <c r="AG3136" s="4"/>
      <c r="AH3136" s="4"/>
      <c r="AI3136" s="4"/>
      <c r="AJ3136" s="4"/>
      <c r="AK3136" s="4"/>
      <c r="AL3136" s="4" t="inlineStr">
        <is>
          <t>BTR1 Guatemala 2024, tabla 3.6, p. 48; fila Gases licuados de petróleo; gas CO2</t>
        </is>
      </c>
      <c r="AM3136" s="4" t="inlineStr">
        <is>
          <t>Factor por combustible documentado en el BTR1, con origen metodológico IPCC. Se aplica como parámetro constante aproximado a 2018–2024; el año de la clave permite unirlo a la actividad, no representa una nueva observación anual.</t>
        </is>
      </c>
    </row>
    <row r="3137" customFormat="false" ht="46.25" hidden="false" customHeight="false" outlineLevel="0" collapsed="false">
      <c r="A3137" s="4" t="s">
        <v>4270</v>
      </c>
      <c r="B3137" s="4" t="inlineStr">
        <is>
          <t>FE_COMB|2018|1.A.4.b|COMB_GLP|CH4</t>
        </is>
      </c>
      <c r="C3137" s="4" t="inlineStr">
        <is>
          <t>2018|1.A.4.b|COMB_GLP|CH4</t>
        </is>
      </c>
      <c r="D3137" s="12" t="n">
        <v>2018</v>
      </c>
      <c r="E3137" s="12">
        <v>2024.0</v>
      </c>
      <c r="F3137" s="4" t="inlineStr">
        <is>
          <t>PRX</t>
        </is>
      </c>
      <c r="G3137" s="4" t="inlineStr">
        <is>
          <t>MARN_GTM_BTR1_2024</t>
        </is>
      </c>
      <c r="H3137" s="4" t="inlineStr">
        <is>
          <t>Guatemala. Primer Informe Bienal de Transparencia (BTR1), 2024</t>
        </is>
      </c>
      <c r="I3137" s="4" t="inlineStr">
        <is>
          <t>https://unfccc.int/documents/646195</t>
        </is>
      </c>
      <c r="J3137" s="4" t="inlineStr">
        <is>
          <t>BTR1|2024|T3.33|GLP|CH4</t>
        </is>
      </c>
      <c r="K3137" s="4" t="inlineStr">
        <is>
          <t>GLP</t>
        </is>
      </c>
      <c r="L3137" s="4" t="inlineStr">
        <is>
          <t>Gas licuado de petróleo (GLP)</t>
        </is>
      </c>
      <c r="M3137" s="4"/>
      <c r="N3137" s="4"/>
      <c r="O3137" s="4"/>
      <c r="P3137" s="4"/>
      <c r="Q3137" s="4" t="inlineStr">
        <is>
          <t>FE_POR_COMBUSTIBLE_BTR1</t>
        </is>
      </c>
      <c r="R3137" s="4"/>
      <c r="S3137" s="4">
        <v>5.0</v>
      </c>
      <c r="T3137" s="4" t="inlineStr">
        <is>
          <t>kg CH4/TJ</t>
        </is>
      </c>
      <c r="U3137" s="4"/>
      <c r="V3137" s="4"/>
      <c r="W3137" s="4" t="inlineStr">
        <is>
          <t>1.A.4.b</t>
        </is>
      </c>
      <c r="X3137" s="4" t="inlineStr">
        <is>
          <t>Residencial</t>
        </is>
      </c>
      <c r="Y3137" s="4" t="inlineStr">
        <is>
          <t>COMB_GLP</t>
        </is>
      </c>
      <c r="Z3137" s="4" t="s">
        <v>4018</v>
      </c>
      <c r="AA3137" s="4">
        <v>5.0</v>
      </c>
      <c r="AB3137" s="4" t="s">
        <v>4281</v>
      </c>
      <c r="AC3137" s="4"/>
      <c r="AD3137" s="4"/>
      <c r="AE3137" s="4"/>
      <c r="AF3137" s="4"/>
      <c r="AG3137" s="4"/>
      <c r="AH3137" s="4"/>
      <c r="AI3137" s="4"/>
      <c r="AJ3137" s="4"/>
      <c r="AK3137" s="4"/>
      <c r="AL3137" s="4" t="inlineStr">
        <is>
          <t>BTR1 Guatemala 2024, tabla 3.33, p. 70; fila Gases licuados de petróleo; gas CH4</t>
        </is>
      </c>
      <c r="AM3137" s="4" t="inlineStr">
        <is>
          <t>Factor por combustible documentado en el BTR1, con origen metodológico IPCC. Se aplica como parámetro constante aproximado a 2018–2024; el año de la clave permite unirlo a la actividad, no representa una nueva observación anual.</t>
        </is>
      </c>
    </row>
    <row r="3138" customFormat="false" ht="46.25" hidden="false" customHeight="false" outlineLevel="0" collapsed="false">
      <c r="A3138" s="4" t="s">
        <v>4270</v>
      </c>
      <c r="B3138" s="4" t="inlineStr">
        <is>
          <t>FE_COMB|2018|1.A.4.b|COMB_GLP|N2O</t>
        </is>
      </c>
      <c r="C3138" s="4" t="inlineStr">
        <is>
          <t>2018|1.A.4.b|COMB_GLP|N2O</t>
        </is>
      </c>
      <c r="D3138" s="12" t="n">
        <v>2018</v>
      </c>
      <c r="E3138" s="12">
        <v>2024.0</v>
      </c>
      <c r="F3138" s="4" t="inlineStr">
        <is>
          <t>PRX</t>
        </is>
      </c>
      <c r="G3138" s="4" t="inlineStr">
        <is>
          <t>MARN_GTM_BTR1_2024</t>
        </is>
      </c>
      <c r="H3138" s="4" t="inlineStr">
        <is>
          <t>Guatemala. Primer Informe Bienal de Transparencia (BTR1), 2024</t>
        </is>
      </c>
      <c r="I3138" s="4" t="inlineStr">
        <is>
          <t>https://unfccc.int/documents/646195</t>
        </is>
      </c>
      <c r="J3138" s="4" t="inlineStr">
        <is>
          <t>BTR1|2024|T3.33|GLP|N2O</t>
        </is>
      </c>
      <c r="K3138" s="4" t="inlineStr">
        <is>
          <t>GLP</t>
        </is>
      </c>
      <c r="L3138" s="4" t="inlineStr">
        <is>
          <t>Gas licuado de petróleo (GLP)</t>
        </is>
      </c>
      <c r="M3138" s="4"/>
      <c r="N3138" s="4"/>
      <c r="O3138" s="4"/>
      <c r="P3138" s="4"/>
      <c r="Q3138" s="4" t="inlineStr">
        <is>
          <t>FE_POR_COMBUSTIBLE_BTR1</t>
        </is>
      </c>
      <c r="R3138" s="4"/>
      <c r="S3138" s="4">
        <v>0.1</v>
      </c>
      <c r="T3138" s="4" t="inlineStr">
        <is>
          <t>kg N2O/TJ</t>
        </is>
      </c>
      <c r="U3138" s="4"/>
      <c r="V3138" s="4"/>
      <c r="W3138" s="4" t="inlineStr">
        <is>
          <t>1.A.4.b</t>
        </is>
      </c>
      <c r="X3138" s="4" t="inlineStr">
        <is>
          <t>Residencial</t>
        </is>
      </c>
      <c r="Y3138" s="4" t="inlineStr">
        <is>
          <t>COMB_GLP</t>
        </is>
      </c>
      <c r="Z3138" s="4" t="s">
        <v>4048</v>
      </c>
      <c r="AA3138" s="4">
        <v>0.1</v>
      </c>
      <c r="AB3138" s="4" t="s">
        <v>4287</v>
      </c>
      <c r="AC3138" s="4"/>
      <c r="AD3138" s="4"/>
      <c r="AE3138" s="4"/>
      <c r="AF3138" s="4"/>
      <c r="AG3138" s="4"/>
      <c r="AH3138" s="4"/>
      <c r="AI3138" s="4"/>
      <c r="AJ3138" s="4"/>
      <c r="AK3138" s="4"/>
      <c r="AL3138" s="4" t="inlineStr">
        <is>
          <t>BTR1 Guatemala 2024, tabla 3.33, p. 70; fila Gases licuados de petróleo; gas N2O</t>
        </is>
      </c>
      <c r="AM3138" s="4" t="inlineStr">
        <is>
          <t>Factor por combustible documentado en el BTR1, con origen metodológico IPCC. Se aplica como parámetro constante aproximado a 2018–2024; el año de la clave permite unirlo a la actividad, no representa una nueva observación anual.</t>
        </is>
      </c>
    </row>
    <row r="3139" customFormat="false" ht="46.25" hidden="false" customHeight="false" outlineLevel="0" collapsed="false">
      <c r="A3139" s="4" t="s">
        <v>4270</v>
      </c>
      <c r="B3139" s="4" t="inlineStr">
        <is>
          <t>FE_COMB|2018|1.A.4.b|COMB_KER|CO2</t>
        </is>
      </c>
      <c r="C3139" s="4" t="inlineStr">
        <is>
          <t>2018|1.A.4.b|COMB_KER|CO2</t>
        </is>
      </c>
      <c r="D3139" s="12" t="n">
        <v>2018</v>
      </c>
      <c r="E3139" s="12">
        <v>2024.0</v>
      </c>
      <c r="F3139" s="4" t="inlineStr">
        <is>
          <t>PRX</t>
        </is>
      </c>
      <c r="G3139" s="4" t="inlineStr">
        <is>
          <t>MARN_GTM_BTR1_2024</t>
        </is>
      </c>
      <c r="H3139" s="4" t="inlineStr">
        <is>
          <t>Guatemala. Primer Informe Bienal de Transparencia (BTR1), 2024</t>
        </is>
      </c>
      <c r="I3139" s="4" t="inlineStr">
        <is>
          <t>https://unfccc.int/documents/646195</t>
        </is>
      </c>
      <c r="J3139" s="4" t="inlineStr">
        <is>
          <t>BTR1|2024|T3.6|KER|CO2</t>
        </is>
      </c>
      <c r="K3139" s="4" t="inlineStr">
        <is>
          <t>KER</t>
        </is>
      </c>
      <c r="L3139" s="4" t="inlineStr">
        <is>
          <t>Keroseno</t>
        </is>
      </c>
      <c r="M3139" s="4"/>
      <c r="N3139" s="4"/>
      <c r="O3139" s="4"/>
      <c r="P3139" s="4"/>
      <c r="Q3139" s="4" t="inlineStr">
        <is>
          <t>FE_POR_COMBUSTIBLE_BTR1</t>
        </is>
      </c>
      <c r="R3139" s="4"/>
      <c r="S3139" s="4">
        <v>71900.0</v>
      </c>
      <c r="T3139" s="4" t="inlineStr">
        <is>
          <t>kg CO2/TJ</t>
        </is>
      </c>
      <c r="U3139" s="4"/>
      <c r="V3139" s="4"/>
      <c r="W3139" s="4" t="inlineStr">
        <is>
          <t>1.A.4.b</t>
        </is>
      </c>
      <c r="X3139" s="4" t="inlineStr">
        <is>
          <t>Residencial</t>
        </is>
      </c>
      <c r="Y3139" s="4" t="inlineStr">
        <is>
          <t>COMB_KER</t>
        </is>
      </c>
      <c r="Z3139" s="4" t="s">
        <v>4012</v>
      </c>
      <c r="AA3139" s="13">
        <v>71900.0</v>
      </c>
      <c r="AB3139" s="4" t="s">
        <v>4275</v>
      </c>
      <c r="AC3139" s="4"/>
      <c r="AD3139" s="4"/>
      <c r="AE3139" s="4"/>
      <c r="AF3139" s="4"/>
      <c r="AG3139" s="4"/>
      <c r="AH3139" s="4"/>
      <c r="AI3139" s="4"/>
      <c r="AJ3139" s="4"/>
      <c r="AK3139" s="4"/>
      <c r="AL3139" s="4" t="inlineStr">
        <is>
          <t>BTR1 Guatemala 2024, tabla 3.6, p. 48; fila Otro queroseno; gas CO2</t>
        </is>
      </c>
      <c r="AM3139" s="4" t="inlineStr">
        <is>
          <t>Factor por combustible documentado en el BTR1, con origen metodológico IPCC. Se aplica como parámetro constante aproximado a 2018–2024; el año de la clave permite unirlo a la actividad, no representa una nueva observación anual.</t>
        </is>
      </c>
    </row>
    <row r="3140" customFormat="false" ht="46.25" hidden="false" customHeight="false" outlineLevel="0" collapsed="false">
      <c r="A3140" s="4" t="s">
        <v>4270</v>
      </c>
      <c r="B3140" s="4" t="inlineStr">
        <is>
          <t>FE_COMB|2018|1.A.4.b|COMB_KER|CH4</t>
        </is>
      </c>
      <c r="C3140" s="4" t="inlineStr">
        <is>
          <t>2018|1.A.4.b|COMB_KER|CH4</t>
        </is>
      </c>
      <c r="D3140" s="12" t="n">
        <v>2018</v>
      </c>
      <c r="E3140" s="12">
        <v>2024.0</v>
      </c>
      <c r="F3140" s="4" t="inlineStr">
        <is>
          <t>PRX</t>
        </is>
      </c>
      <c r="G3140" s="4" t="inlineStr">
        <is>
          <t>MARN_GTM_BTR1_2024</t>
        </is>
      </c>
      <c r="H3140" s="4" t="inlineStr">
        <is>
          <t>Guatemala. Primer Informe Bienal de Transparencia (BTR1), 2024</t>
        </is>
      </c>
      <c r="I3140" s="4" t="inlineStr">
        <is>
          <t>https://unfccc.int/documents/646195</t>
        </is>
      </c>
      <c r="J3140" s="4" t="inlineStr">
        <is>
          <t>BTR1|2024|T3.33|KER|CH4</t>
        </is>
      </c>
      <c r="K3140" s="4" t="inlineStr">
        <is>
          <t>KER</t>
        </is>
      </c>
      <c r="L3140" s="4" t="inlineStr">
        <is>
          <t>Keroseno</t>
        </is>
      </c>
      <c r="M3140" s="4"/>
      <c r="N3140" s="4"/>
      <c r="O3140" s="4"/>
      <c r="P3140" s="4"/>
      <c r="Q3140" s="4" t="inlineStr">
        <is>
          <t>FE_POR_COMBUSTIBLE_BTR1</t>
        </is>
      </c>
      <c r="R3140" s="4"/>
      <c r="S3140" s="4">
        <v>10.0</v>
      </c>
      <c r="T3140" s="4" t="inlineStr">
        <is>
          <t>kg CH4/TJ</t>
        </is>
      </c>
      <c r="U3140" s="4"/>
      <c r="V3140" s="4"/>
      <c r="W3140" s="4" t="inlineStr">
        <is>
          <t>1.A.4.b</t>
        </is>
      </c>
      <c r="X3140" s="4" t="inlineStr">
        <is>
          <t>Residencial</t>
        </is>
      </c>
      <c r="Y3140" s="4" t="inlineStr">
        <is>
          <t>COMB_KER</t>
        </is>
      </c>
      <c r="Z3140" s="4" t="s">
        <v>4018</v>
      </c>
      <c r="AA3140" s="13">
        <v>10.0</v>
      </c>
      <c r="AB3140" s="4" t="s">
        <v>4281</v>
      </c>
      <c r="AC3140" s="4"/>
      <c r="AD3140" s="4"/>
      <c r="AE3140" s="4"/>
      <c r="AF3140" s="4"/>
      <c r="AG3140" s="4"/>
      <c r="AH3140" s="4"/>
      <c r="AI3140" s="4"/>
      <c r="AJ3140" s="4"/>
      <c r="AK3140" s="4"/>
      <c r="AL3140" s="4" t="inlineStr">
        <is>
          <t>BTR1 Guatemala 2024, tabla 3.33, p. 70; fila Otro queroseno; gas CH4</t>
        </is>
      </c>
      <c r="AM3140" s="4" t="inlineStr">
        <is>
          <t>Factor por combustible documentado en el BTR1, con origen metodológico IPCC. Se aplica como parámetro constante aproximado a 2018–2024; el año de la clave permite unirlo a la actividad, no representa una nueva observación anual.</t>
        </is>
      </c>
    </row>
    <row r="3141" customFormat="false" ht="46.25" hidden="false" customHeight="false" outlineLevel="0" collapsed="false">
      <c r="A3141" s="4" t="s">
        <v>4270</v>
      </c>
      <c r="B3141" s="4" t="inlineStr">
        <is>
          <t>FE_COMB|2018|1.A.4.b|COMB_KER|N2O</t>
        </is>
      </c>
      <c r="C3141" s="4" t="inlineStr">
        <is>
          <t>2018|1.A.4.b|COMB_KER|N2O</t>
        </is>
      </c>
      <c r="D3141" s="12" t="n">
        <v>2018</v>
      </c>
      <c r="E3141" s="12">
        <v>2024.0</v>
      </c>
      <c r="F3141" s="4" t="inlineStr">
        <is>
          <t>PRX</t>
        </is>
      </c>
      <c r="G3141" s="4" t="inlineStr">
        <is>
          <t>MARN_GTM_BTR1_2024</t>
        </is>
      </c>
      <c r="H3141" s="4" t="inlineStr">
        <is>
          <t>Guatemala. Primer Informe Bienal de Transparencia (BTR1), 2024</t>
        </is>
      </c>
      <c r="I3141" s="4" t="inlineStr">
        <is>
          <t>https://unfccc.int/documents/646195</t>
        </is>
      </c>
      <c r="J3141" s="4" t="inlineStr">
        <is>
          <t>BTR1|2024|T3.33|KER|N2O</t>
        </is>
      </c>
      <c r="K3141" s="4" t="inlineStr">
        <is>
          <t>KER</t>
        </is>
      </c>
      <c r="L3141" s="4" t="inlineStr">
        <is>
          <t>Keroseno</t>
        </is>
      </c>
      <c r="M3141" s="4"/>
      <c r="N3141" s="4"/>
      <c r="O3141" s="4"/>
      <c r="P3141" s="4"/>
      <c r="Q3141" s="4" t="inlineStr">
        <is>
          <t>FE_POR_COMBUSTIBLE_BTR1</t>
        </is>
      </c>
      <c r="R3141" s="4"/>
      <c r="S3141" s="4">
        <v>0.6</v>
      </c>
      <c r="T3141" s="4" t="inlineStr">
        <is>
          <t>kg N2O/TJ</t>
        </is>
      </c>
      <c r="U3141" s="4"/>
      <c r="V3141" s="4"/>
      <c r="W3141" s="4" t="inlineStr">
        <is>
          <t>1.A.4.b</t>
        </is>
      </c>
      <c r="X3141" s="4" t="inlineStr">
        <is>
          <t>Residencial</t>
        </is>
      </c>
      <c r="Y3141" s="4" t="inlineStr">
        <is>
          <t>COMB_KER</t>
        </is>
      </c>
      <c r="Z3141" s="4" t="s">
        <v>4048</v>
      </c>
      <c r="AA3141" s="4">
        <v>0.6</v>
      </c>
      <c r="AB3141" s="4" t="s">
        <v>4287</v>
      </c>
      <c r="AC3141" s="4"/>
      <c r="AD3141" s="4"/>
      <c r="AE3141" s="4"/>
      <c r="AF3141" s="4"/>
      <c r="AG3141" s="4"/>
      <c r="AH3141" s="4"/>
      <c r="AI3141" s="4"/>
      <c r="AJ3141" s="4"/>
      <c r="AK3141" s="4"/>
      <c r="AL3141" s="4" t="inlineStr">
        <is>
          <t>BTR1 Guatemala 2024, tabla 3.33, p. 70; fila Otro queroseno; gas N2O</t>
        </is>
      </c>
      <c r="AM3141" s="4" t="inlineStr">
        <is>
          <t>Factor por combustible documentado en el BTR1, con origen metodológico IPCC. Se aplica como parámetro constante aproximado a 2018–2024; el año de la clave permite unirlo a la actividad, no representa una nueva observación anual.</t>
        </is>
      </c>
    </row>
    <row r="3142" customFormat="false" ht="46.25" hidden="false" customHeight="false" outlineLevel="0" collapsed="false">
      <c r="A3142" s="4" t="s">
        <v>4270</v>
      </c>
      <c r="B3142" s="4" t="inlineStr">
        <is>
          <t>FE_COMB|2019|1.A.1.a.i|COMB_BCANA|CO2</t>
        </is>
      </c>
      <c r="C3142" s="4" t="inlineStr">
        <is>
          <t>2019|1.A.1.a.i|COMB_BCANA|CO2</t>
        </is>
      </c>
      <c r="D3142" s="12" t="n">
        <v>2019</v>
      </c>
      <c r="E3142" s="12">
        <v>2024.0</v>
      </c>
      <c r="F3142" s="4" t="inlineStr">
        <is>
          <t>PRX</t>
        </is>
      </c>
      <c r="G3142" s="4" t="inlineStr">
        <is>
          <t>MARN_GTM_BTR1_2024</t>
        </is>
      </c>
      <c r="H3142" s="4" t="inlineStr">
        <is>
          <t>Guatemala. Primer Informe Bienal de Transparencia (BTR1), 2024</t>
        </is>
      </c>
      <c r="I3142" s="4" t="inlineStr">
        <is>
          <t>https://unfccc.int/documents/646195</t>
        </is>
      </c>
      <c r="J3142" s="4" t="inlineStr">
        <is>
          <t>BTR1|2024|T3.6|BCANA|CO2</t>
        </is>
      </c>
      <c r="K3142" s="4" t="inlineStr">
        <is>
          <t>BCANA</t>
        </is>
      </c>
      <c r="L3142" s="4" t="inlineStr">
        <is>
          <t>Bagazo de caña</t>
        </is>
      </c>
      <c r="M3142" s="4"/>
      <c r="N3142" s="4"/>
      <c r="O3142" s="4"/>
      <c r="P3142" s="4"/>
      <c r="Q3142" s="4" t="inlineStr">
        <is>
          <t>FE_POR_COMBUSTIBLE_BTR1</t>
        </is>
      </c>
      <c r="R3142" s="4"/>
      <c r="S3142" s="4">
        <v>100000.0</v>
      </c>
      <c r="T3142" s="4" t="inlineStr">
        <is>
          <t>kg CO2/TJ</t>
        </is>
      </c>
      <c r="U3142" s="4"/>
      <c r="V3142" s="4"/>
      <c r="W3142" s="4" t="s">
        <v>3341</v>
      </c>
      <c r="X3142" s="4" t="inlineStr">
        <is>
          <t>Generación de electricidad</t>
        </is>
      </c>
      <c r="Y3142" s="4" t="inlineStr">
        <is>
          <t>COMB_BCANA</t>
        </is>
      </c>
      <c r="Z3142" s="4" t="s">
        <v>4012</v>
      </c>
      <c r="AA3142" s="13">
        <v>100000.0</v>
      </c>
      <c r="AB3142" s="4" t="s">
        <v>4275</v>
      </c>
      <c r="AC3142" s="4"/>
      <c r="AD3142" s="4"/>
      <c r="AE3142" s="4"/>
      <c r="AF3142" s="4"/>
      <c r="AG3142" s="4"/>
      <c r="AH3142" s="4"/>
      <c r="AI3142" s="4"/>
      <c r="AJ3142" s="4"/>
      <c r="AK3142" s="4"/>
      <c r="AL3142" s="4" t="inlineStr">
        <is>
          <t>BTR1 Guatemala 2024, tabla 3.6, p. 48; fila Otra biomasa sólida primaria; gas CO2</t>
        </is>
      </c>
      <c r="AM3142"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143" customFormat="false" ht="46.25" hidden="false" customHeight="false" outlineLevel="0" collapsed="false">
      <c r="A3143" s="4" t="s">
        <v>4270</v>
      </c>
      <c r="B3143" s="4" t="inlineStr">
        <is>
          <t>FE_COMB|2019|1.A.1.a.i|COMB_BCANA|CH4</t>
        </is>
      </c>
      <c r="C3143" s="4" t="inlineStr">
        <is>
          <t>2019|1.A.1.a.i|COMB_BCANA|CH4</t>
        </is>
      </c>
      <c r="D3143" s="12" t="n">
        <v>2019</v>
      </c>
      <c r="E3143" s="12">
        <v>2024.0</v>
      </c>
      <c r="F3143" s="4" t="inlineStr">
        <is>
          <t>PRX</t>
        </is>
      </c>
      <c r="G3143" s="4" t="inlineStr">
        <is>
          <t>MARN_GTM_BTR1_2024</t>
        </is>
      </c>
      <c r="H3143" s="4" t="inlineStr">
        <is>
          <t>Guatemala. Primer Informe Bienal de Transparencia (BTR1), 2024</t>
        </is>
      </c>
      <c r="I3143" s="4" t="inlineStr">
        <is>
          <t>https://unfccc.int/documents/646195</t>
        </is>
      </c>
      <c r="J3143" s="4" t="inlineStr">
        <is>
          <t>BTR1|2024|T3.17|BCANA|CH4</t>
        </is>
      </c>
      <c r="K3143" s="4" t="inlineStr">
        <is>
          <t>BCANA</t>
        </is>
      </c>
      <c r="L3143" s="4" t="inlineStr">
        <is>
          <t>Bagazo de caña</t>
        </is>
      </c>
      <c r="M3143" s="4"/>
      <c r="N3143" s="4"/>
      <c r="O3143" s="4"/>
      <c r="P3143" s="4"/>
      <c r="Q3143" s="4" t="inlineStr">
        <is>
          <t>FE_POR_COMBUSTIBLE_BTR1</t>
        </is>
      </c>
      <c r="R3143" s="4"/>
      <c r="S3143" s="4">
        <v>30.0</v>
      </c>
      <c r="T3143" s="4" t="inlineStr">
        <is>
          <t>kg CH4/TJ</t>
        </is>
      </c>
      <c r="U3143" s="4"/>
      <c r="V3143" s="4"/>
      <c r="W3143" s="4" t="s">
        <v>3341</v>
      </c>
      <c r="X3143" s="4" t="inlineStr">
        <is>
          <t>Generación de electricidad</t>
        </is>
      </c>
      <c r="Y3143" s="4" t="inlineStr">
        <is>
          <t>COMB_BCANA</t>
        </is>
      </c>
      <c r="Z3143" s="4" t="s">
        <v>4018</v>
      </c>
      <c r="AA3143" s="13">
        <v>30.0</v>
      </c>
      <c r="AB3143" s="4" t="s">
        <v>4281</v>
      </c>
      <c r="AC3143" s="4"/>
      <c r="AD3143" s="4"/>
      <c r="AE3143" s="4"/>
      <c r="AF3143" s="4"/>
      <c r="AG3143" s="4"/>
      <c r="AH3143" s="4"/>
      <c r="AI3143" s="4"/>
      <c r="AJ3143" s="4"/>
      <c r="AK3143" s="4"/>
      <c r="AL3143" s="4" t="inlineStr">
        <is>
          <t>BTR1 Guatemala 2024, tabla 3.17, p. 57; fila Otra biomasa sólida primaria; gas CH4</t>
        </is>
      </c>
      <c r="AM3143"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144" customFormat="false" ht="46.25" hidden="false" customHeight="false" outlineLevel="0" collapsed="false">
      <c r="A3144" s="4" t="s">
        <v>4270</v>
      </c>
      <c r="B3144" s="4" t="inlineStr">
        <is>
          <t>FE_COMB|2019|1.A.1.a.i|COMB_BCANA|N2O</t>
        </is>
      </c>
      <c r="C3144" s="4" t="inlineStr">
        <is>
          <t>2019|1.A.1.a.i|COMB_BCANA|N2O</t>
        </is>
      </c>
      <c r="D3144" s="12" t="n">
        <v>2019</v>
      </c>
      <c r="E3144" s="12">
        <v>2024.0</v>
      </c>
      <c r="F3144" s="4" t="inlineStr">
        <is>
          <t>PRX</t>
        </is>
      </c>
      <c r="G3144" s="4" t="inlineStr">
        <is>
          <t>MARN_GTM_BTR1_2024</t>
        </is>
      </c>
      <c r="H3144" s="4" t="inlineStr">
        <is>
          <t>Guatemala. Primer Informe Bienal de Transparencia (BTR1), 2024</t>
        </is>
      </c>
      <c r="I3144" s="4" t="inlineStr">
        <is>
          <t>https://unfccc.int/documents/646195</t>
        </is>
      </c>
      <c r="J3144" s="4" t="inlineStr">
        <is>
          <t>BTR1|2024|T3.17|BCANA|N2O</t>
        </is>
      </c>
      <c r="K3144" s="4" t="inlineStr">
        <is>
          <t>BCANA</t>
        </is>
      </c>
      <c r="L3144" s="4" t="inlineStr">
        <is>
          <t>Bagazo de caña</t>
        </is>
      </c>
      <c r="M3144" s="4"/>
      <c r="N3144" s="4"/>
      <c r="O3144" s="4"/>
      <c r="P3144" s="4"/>
      <c r="Q3144" s="4" t="inlineStr">
        <is>
          <t>FE_POR_COMBUSTIBLE_BTR1</t>
        </is>
      </c>
      <c r="R3144" s="4"/>
      <c r="S3144" s="4">
        <v>4.0</v>
      </c>
      <c r="T3144" s="4" t="inlineStr">
        <is>
          <t>kg N2O/TJ</t>
        </is>
      </c>
      <c r="U3144" s="4"/>
      <c r="V3144" s="4"/>
      <c r="W3144" s="4" t="s">
        <v>3341</v>
      </c>
      <c r="X3144" s="4" t="inlineStr">
        <is>
          <t>Generación de electricidad</t>
        </is>
      </c>
      <c r="Y3144" s="4" t="inlineStr">
        <is>
          <t>COMB_BCANA</t>
        </is>
      </c>
      <c r="Z3144" s="4" t="s">
        <v>4048</v>
      </c>
      <c r="AA3144" s="13">
        <v>4.0</v>
      </c>
      <c r="AB3144" s="4" t="s">
        <v>4287</v>
      </c>
      <c r="AC3144" s="4"/>
      <c r="AD3144" s="4"/>
      <c r="AE3144" s="4"/>
      <c r="AF3144" s="4"/>
      <c r="AG3144" s="4"/>
      <c r="AH3144" s="4"/>
      <c r="AI3144" s="4"/>
      <c r="AJ3144" s="4"/>
      <c r="AK3144" s="4"/>
      <c r="AL3144" s="4" t="inlineStr">
        <is>
          <t>BTR1 Guatemala 2024, tabla 3.17, p. 57; fila Otra biomasa sólida primaria; gas N2O</t>
        </is>
      </c>
      <c r="AM3144"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145" customFormat="false" ht="46.25" hidden="false" customHeight="false" outlineLevel="0" collapsed="false">
      <c r="A3145" s="4" t="s">
        <v>4270</v>
      </c>
      <c r="B3145" s="4" t="inlineStr">
        <is>
          <t>FE_COMB|2019|1.A.1.a.i|COMB_BIOGAS|CO2</t>
        </is>
      </c>
      <c r="C3145" s="4" t="inlineStr">
        <is>
          <t>2019|1.A.1.a.i|COMB_BIOGAS|CO2</t>
        </is>
      </c>
      <c r="D3145" s="12" t="n">
        <v>2019</v>
      </c>
      <c r="E3145" s="12">
        <v>2024.0</v>
      </c>
      <c r="F3145" s="4" t="inlineStr">
        <is>
          <t>PRX</t>
        </is>
      </c>
      <c r="G3145" s="4" t="inlineStr">
        <is>
          <t>MARN_GTM_BTR1_2024</t>
        </is>
      </c>
      <c r="H3145" s="4" t="inlineStr">
        <is>
          <t>Guatemala. Primer Informe Bienal de Transparencia (BTR1), 2024</t>
        </is>
      </c>
      <c r="I3145" s="4" t="inlineStr">
        <is>
          <t>https://unfccc.int/documents/646195</t>
        </is>
      </c>
      <c r="J3145" s="4" t="inlineStr">
        <is>
          <t>BTR1|2024|T3.6|BIOGAS|CO2</t>
        </is>
      </c>
      <c r="K3145" s="4" t="inlineStr">
        <is>
          <t>BIOGAS</t>
        </is>
      </c>
      <c r="L3145" s="4" t="inlineStr">
        <is>
          <t>Biogás</t>
        </is>
      </c>
      <c r="M3145" s="4"/>
      <c r="N3145" s="4"/>
      <c r="O3145" s="4"/>
      <c r="P3145" s="4"/>
      <c r="Q3145" s="4" t="inlineStr">
        <is>
          <t>FE_POR_COMBUSTIBLE_BTR1</t>
        </is>
      </c>
      <c r="R3145" s="4"/>
      <c r="S3145" s="4">
        <v>54600.0</v>
      </c>
      <c r="T3145" s="4" t="inlineStr">
        <is>
          <t>kg CO2/TJ</t>
        </is>
      </c>
      <c r="U3145" s="4"/>
      <c r="V3145" s="4"/>
      <c r="W3145" s="4" t="s">
        <v>3341</v>
      </c>
      <c r="X3145" s="4" t="inlineStr">
        <is>
          <t>Generación de electricidad</t>
        </is>
      </c>
      <c r="Y3145" s="4" t="inlineStr">
        <is>
          <t>COMB_BIOGAS</t>
        </is>
      </c>
      <c r="Z3145" s="4" t="s">
        <v>4012</v>
      </c>
      <c r="AA3145" s="13">
        <v>54600.0</v>
      </c>
      <c r="AB3145" s="4" t="s">
        <v>4275</v>
      </c>
      <c r="AC3145" s="4"/>
      <c r="AD3145" s="4"/>
      <c r="AE3145" s="4"/>
      <c r="AF3145" s="4"/>
      <c r="AG3145" s="4"/>
      <c r="AH3145" s="4"/>
      <c r="AI3145" s="4"/>
      <c r="AJ3145" s="4"/>
      <c r="AK3145" s="4"/>
      <c r="AL3145" s="4" t="inlineStr">
        <is>
          <t>BTR1 Guatemala 2024, tabla 3.6, p. 48; fila Gas de vertedero; gas CO2</t>
        </is>
      </c>
      <c r="AM3145"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146" customFormat="false" ht="46.25" hidden="false" customHeight="false" outlineLevel="0" collapsed="false">
      <c r="A3146" s="4" t="s">
        <v>4270</v>
      </c>
      <c r="B3146" s="4" t="inlineStr">
        <is>
          <t>FE_COMB|2019|1.A.1.a.i|COMB_BIOGAS|CH4</t>
        </is>
      </c>
      <c r="C3146" s="4" t="inlineStr">
        <is>
          <t>2019|1.A.1.a.i|COMB_BIOGAS|CH4</t>
        </is>
      </c>
      <c r="D3146" s="12" t="n">
        <v>2019</v>
      </c>
      <c r="E3146" s="12">
        <v>2024.0</v>
      </c>
      <c r="F3146" s="4" t="inlineStr">
        <is>
          <t>PRX</t>
        </is>
      </c>
      <c r="G3146" s="4" t="inlineStr">
        <is>
          <t>MARN_GTM_BTR1_2024</t>
        </is>
      </c>
      <c r="H3146" s="4" t="inlineStr">
        <is>
          <t>Guatemala. Primer Informe Bienal de Transparencia (BTR1), 2024</t>
        </is>
      </c>
      <c r="I3146" s="4" t="inlineStr">
        <is>
          <t>https://unfccc.int/documents/646195</t>
        </is>
      </c>
      <c r="J3146" s="4" t="inlineStr">
        <is>
          <t>BTR1|2024|T3.17|BIOGAS|CH4</t>
        </is>
      </c>
      <c r="K3146" s="4" t="inlineStr">
        <is>
          <t>BIOGAS</t>
        </is>
      </c>
      <c r="L3146" s="4" t="inlineStr">
        <is>
          <t>Biogás</t>
        </is>
      </c>
      <c r="M3146" s="4"/>
      <c r="N3146" s="4"/>
      <c r="O3146" s="4"/>
      <c r="P3146" s="4"/>
      <c r="Q3146" s="4" t="inlineStr">
        <is>
          <t>FE_POR_COMBUSTIBLE_BTR1</t>
        </is>
      </c>
      <c r="R3146" s="4"/>
      <c r="S3146" s="4">
        <v>1.0</v>
      </c>
      <c r="T3146" s="4" t="inlineStr">
        <is>
          <t>kg CH4/TJ</t>
        </is>
      </c>
      <c r="U3146" s="4"/>
      <c r="V3146" s="4"/>
      <c r="W3146" s="4" t="s">
        <v>3341</v>
      </c>
      <c r="X3146" s="4" t="inlineStr">
        <is>
          <t>Generación de electricidad</t>
        </is>
      </c>
      <c r="Y3146" s="4" t="inlineStr">
        <is>
          <t>COMB_BIOGAS</t>
        </is>
      </c>
      <c r="Z3146" s="4" t="s">
        <v>4018</v>
      </c>
      <c r="AA3146" s="13">
        <v>1.0</v>
      </c>
      <c r="AB3146" s="4" t="s">
        <v>4281</v>
      </c>
      <c r="AC3146" s="4"/>
      <c r="AD3146" s="4"/>
      <c r="AE3146" s="4"/>
      <c r="AF3146" s="4"/>
      <c r="AG3146" s="4"/>
      <c r="AH3146" s="4"/>
      <c r="AI3146" s="4"/>
      <c r="AJ3146" s="4"/>
      <c r="AK3146" s="4"/>
      <c r="AL3146" s="4" t="inlineStr">
        <is>
          <t>BTR1 Guatemala 2024, tabla 3.17, p. 57; fila Gas de vertedero; gas CH4</t>
        </is>
      </c>
      <c r="AM3146"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147" customFormat="false" ht="46.25" hidden="false" customHeight="false" outlineLevel="0" collapsed="false">
      <c r="A3147" s="4" t="s">
        <v>4270</v>
      </c>
      <c r="B3147" s="4" t="inlineStr">
        <is>
          <t>FE_COMB|2019|1.A.1.a.i|COMB_BIOGAS|N2O</t>
        </is>
      </c>
      <c r="C3147" s="4" t="inlineStr">
        <is>
          <t>2019|1.A.1.a.i|COMB_BIOGAS|N2O</t>
        </is>
      </c>
      <c r="D3147" s="12" t="n">
        <v>2019</v>
      </c>
      <c r="E3147" s="12">
        <v>2024.0</v>
      </c>
      <c r="F3147" s="4" t="inlineStr">
        <is>
          <t>PRX</t>
        </is>
      </c>
      <c r="G3147" s="4" t="inlineStr">
        <is>
          <t>MARN_GTM_BTR1_2024</t>
        </is>
      </c>
      <c r="H3147" s="4" t="inlineStr">
        <is>
          <t>Guatemala. Primer Informe Bienal de Transparencia (BTR1), 2024</t>
        </is>
      </c>
      <c r="I3147" s="4" t="inlineStr">
        <is>
          <t>https://unfccc.int/documents/646195</t>
        </is>
      </c>
      <c r="J3147" s="4" t="inlineStr">
        <is>
          <t>BTR1|2024|T3.17|BIOGAS|N2O</t>
        </is>
      </c>
      <c r="K3147" s="4" t="inlineStr">
        <is>
          <t>BIOGAS</t>
        </is>
      </c>
      <c r="L3147" s="4" t="inlineStr">
        <is>
          <t>Biogás</t>
        </is>
      </c>
      <c r="M3147" s="4"/>
      <c r="N3147" s="4"/>
      <c r="O3147" s="4"/>
      <c r="P3147" s="4"/>
      <c r="Q3147" s="4" t="inlineStr">
        <is>
          <t>FE_POR_COMBUSTIBLE_BTR1</t>
        </is>
      </c>
      <c r="R3147" s="4"/>
      <c r="S3147" s="4">
        <v>0.1</v>
      </c>
      <c r="T3147" s="4" t="inlineStr">
        <is>
          <t>kg N2O/TJ</t>
        </is>
      </c>
      <c r="U3147" s="4"/>
      <c r="V3147" s="4"/>
      <c r="W3147" s="4" t="s">
        <v>3341</v>
      </c>
      <c r="X3147" s="4" t="inlineStr">
        <is>
          <t>Generación de electricidad</t>
        </is>
      </c>
      <c r="Y3147" s="4" t="inlineStr">
        <is>
          <t>COMB_BIOGAS</t>
        </is>
      </c>
      <c r="Z3147" s="4" t="s">
        <v>4048</v>
      </c>
      <c r="AA3147" s="13">
        <v>0.1</v>
      </c>
      <c r="AB3147" s="4" t="s">
        <v>4287</v>
      </c>
      <c r="AC3147" s="4"/>
      <c r="AD3147" s="4"/>
      <c r="AE3147" s="4"/>
      <c r="AF3147" s="4"/>
      <c r="AG3147" s="4"/>
      <c r="AH3147" s="4"/>
      <c r="AI3147" s="4"/>
      <c r="AJ3147" s="4"/>
      <c r="AK3147" s="4"/>
      <c r="AL3147" s="4" t="inlineStr">
        <is>
          <t>BTR1 Guatemala 2024, tabla 3.17, p. 57; fila Gas de vertedero; gas N2O</t>
        </is>
      </c>
      <c r="AM3147"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148" customFormat="false" ht="57.45" hidden="false" customHeight="false" outlineLevel="0" collapsed="false">
      <c r="A3148" s="4" t="s">
        <v>4270</v>
      </c>
      <c r="B3148" s="4" t="inlineStr">
        <is>
          <t>FE_COMB|2019|1.A.1.a.i|COMB_COQUE|CO2</t>
        </is>
      </c>
      <c r="C3148" s="4" t="inlineStr">
        <is>
          <t>2019|1.A.1.a.i|COMB_COQUE|CO2</t>
        </is>
      </c>
      <c r="D3148" s="12" t="n">
        <v>2019</v>
      </c>
      <c r="E3148" s="12">
        <v>2024.0</v>
      </c>
      <c r="F3148" s="4" t="inlineStr">
        <is>
          <t>PRX</t>
        </is>
      </c>
      <c r="G3148" s="4" t="inlineStr">
        <is>
          <t>MARN_GTM_BTR1_2024</t>
        </is>
      </c>
      <c r="H3148" s="4" t="inlineStr">
        <is>
          <t>Guatemala. Primer Informe Bienal de Transparencia (BTR1), 2024</t>
        </is>
      </c>
      <c r="I3148" s="4" t="inlineStr">
        <is>
          <t>https://unfccc.int/documents/646195</t>
        </is>
      </c>
      <c r="J3148" s="4" t="inlineStr">
        <is>
          <t>BTR1|2024|T3.6|COQUE|CO2</t>
        </is>
      </c>
      <c r="K3148" s="4" t="inlineStr">
        <is>
          <t>COQUE</t>
        </is>
      </c>
      <c r="L3148" s="4" t="inlineStr">
        <is>
          <t>Coque</t>
        </is>
      </c>
      <c r="M3148" s="4"/>
      <c r="N3148" s="4"/>
      <c r="O3148" s="4"/>
      <c r="P3148" s="4"/>
      <c r="Q3148" s="4" t="inlineStr">
        <is>
          <t>FE_POR_COMBUSTIBLE_BTR1</t>
        </is>
      </c>
      <c r="R3148" s="4"/>
      <c r="S3148" s="4">
        <v>97500.0</v>
      </c>
      <c r="T3148" s="4" t="inlineStr">
        <is>
          <t>kg CO2/TJ</t>
        </is>
      </c>
      <c r="U3148" s="4"/>
      <c r="V3148" s="4"/>
      <c r="W3148" s="4" t="s">
        <v>3341</v>
      </c>
      <c r="X3148" s="4" t="inlineStr">
        <is>
          <t>Generación de electricidad</t>
        </is>
      </c>
      <c r="Y3148" s="4" t="inlineStr">
        <is>
          <t>COMB_COQUE</t>
        </is>
      </c>
      <c r="Z3148" s="4" t="s">
        <v>4012</v>
      </c>
      <c r="AA3148" s="13">
        <v>97500.0</v>
      </c>
      <c r="AB3148" s="4" t="s">
        <v>4275</v>
      </c>
      <c r="AC3148" s="4"/>
      <c r="AD3148" s="4"/>
      <c r="AE3148" s="4"/>
      <c r="AF3148" s="4"/>
      <c r="AG3148" s="4"/>
      <c r="AH3148" s="4"/>
      <c r="AI3148" s="4"/>
      <c r="AJ3148" s="4"/>
      <c r="AK3148" s="4"/>
      <c r="AL3148" s="4" t="inlineStr">
        <is>
          <t>BTR1 Guatemala 2024, tabla 3.6, p. 48; fila Coque de petróleo; gas CO2</t>
        </is>
      </c>
      <c r="AM3148"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149" customFormat="false" ht="57.45" hidden="false" customHeight="false" outlineLevel="0" collapsed="false">
      <c r="A3149" s="4" t="s">
        <v>4270</v>
      </c>
      <c r="B3149" s="4" t="inlineStr">
        <is>
          <t>FE_COMB|2019|1.A.1.a.i|COMB_COQUE|CH4</t>
        </is>
      </c>
      <c r="C3149" s="4" t="inlineStr">
        <is>
          <t>2019|1.A.1.a.i|COMB_COQUE|CH4</t>
        </is>
      </c>
      <c r="D3149" s="12" t="n">
        <v>2019</v>
      </c>
      <c r="E3149" s="12">
        <v>2006.0</v>
      </c>
      <c r="F3149" s="4" t="inlineStr">
        <is>
          <t>PRX</t>
        </is>
      </c>
      <c r="G3149" s="4" t="inlineStr">
        <is>
          <t>IPCC_2006_GL</t>
        </is>
      </c>
      <c r="H3149" s="4" t="inlineStr">
        <is>
          <t>IPCC. 2006 Guidelines for National Greenhouse Gas Inventories, Volume 2: Energy</t>
        </is>
      </c>
      <c r="I3149" s="4" t="inlineStr">
        <is>
          <t>https://www.ipcc-nggip.iges.or.jp/public/2006gl/pdf/2_Volume2/V2_2_Ch2_Stationary_Combustion.pdf</t>
        </is>
      </c>
      <c r="J3149" s="4" t="inlineStr">
        <is>
          <t>IPCC2006|V2|C2|T2.2|PETROLEUM_COKE|CH4</t>
        </is>
      </c>
      <c r="K3149" s="4" t="inlineStr">
        <is>
          <t>COQUE</t>
        </is>
      </c>
      <c r="L3149" s="4" t="inlineStr">
        <is>
          <t>Coque</t>
        </is>
      </c>
      <c r="M3149" s="4"/>
      <c r="N3149" s="4"/>
      <c r="O3149" s="4"/>
      <c r="P3149" s="4"/>
      <c r="Q3149" s="4" t="inlineStr">
        <is>
          <t>FE_POR_DEFECTO_IPCC_2006</t>
        </is>
      </c>
      <c r="R3149" s="4"/>
      <c r="S3149" s="4">
        <v>3.0</v>
      </c>
      <c r="T3149" s="4" t="inlineStr">
        <is>
          <t>kg CH4/TJ</t>
        </is>
      </c>
      <c r="U3149" s="4"/>
      <c r="V3149" s="4"/>
      <c r="W3149" s="4" t="s">
        <v>3341</v>
      </c>
      <c r="X3149" s="4" t="inlineStr">
        <is>
          <t>Generación de electricidad</t>
        </is>
      </c>
      <c r="Y3149" s="4" t="inlineStr">
        <is>
          <t>COMB_COQUE</t>
        </is>
      </c>
      <c r="Z3149" s="4" t="s">
        <v>4018</v>
      </c>
      <c r="AA3149" s="13">
        <v>3.0</v>
      </c>
      <c r="AB3149" s="4" t="s">
        <v>4281</v>
      </c>
      <c r="AC3149" s="4"/>
      <c r="AD3149" s="4"/>
      <c r="AE3149" s="4"/>
      <c r="AF3149" s="4"/>
      <c r="AG3149" s="4"/>
      <c r="AH3149" s="4"/>
      <c r="AI3149" s="4"/>
      <c r="AJ3149" s="4"/>
      <c r="AK3149" s="4"/>
      <c r="AL3149" s="4" t="inlineStr">
        <is>
          <t>Volumen 2, capítulo 2, tabla 2.2, p. 2.16; fila Petroleum Coke; gas CH4</t>
        </is>
      </c>
      <c r="AM3149" s="4" t="inlineStr">
        <is>
          <t>Factor por defecto de coque de petróleo para industrias de energía. El BEN 2024, tabla 11, identifica el coque utilizado; no se le asigna el factor del grupo carbón. Valor constante aplicado como aproximación a 2018–2024.</t>
        </is>
      </c>
    </row>
    <row r="3150" customFormat="false" ht="57.45" hidden="false" customHeight="false" outlineLevel="0" collapsed="false">
      <c r="A3150" s="4" t="s">
        <v>4270</v>
      </c>
      <c r="B3150" s="4" t="inlineStr">
        <is>
          <t>FE_COMB|2019|1.A.1.a.i|COMB_COQUE|N2O</t>
        </is>
      </c>
      <c r="C3150" s="4" t="inlineStr">
        <is>
          <t>2019|1.A.1.a.i|COMB_COQUE|N2O</t>
        </is>
      </c>
      <c r="D3150" s="12" t="n">
        <v>2019</v>
      </c>
      <c r="E3150" s="12">
        <v>2006.0</v>
      </c>
      <c r="F3150" s="4" t="inlineStr">
        <is>
          <t>PRX</t>
        </is>
      </c>
      <c r="G3150" s="4" t="inlineStr">
        <is>
          <t>IPCC_2006_GL</t>
        </is>
      </c>
      <c r="H3150" s="4" t="inlineStr">
        <is>
          <t>IPCC. 2006 Guidelines for National Greenhouse Gas Inventories, Volume 2: Energy</t>
        </is>
      </c>
      <c r="I3150" s="4" t="inlineStr">
        <is>
          <t>https://www.ipcc-nggip.iges.or.jp/public/2006gl/pdf/2_Volume2/V2_2_Ch2_Stationary_Combustion.pdf</t>
        </is>
      </c>
      <c r="J3150" s="4" t="inlineStr">
        <is>
          <t>IPCC2006|V2|C2|T2.2|PETROLEUM_COKE|N2O</t>
        </is>
      </c>
      <c r="K3150" s="4" t="inlineStr">
        <is>
          <t>COQUE</t>
        </is>
      </c>
      <c r="L3150" s="4" t="inlineStr">
        <is>
          <t>Coque</t>
        </is>
      </c>
      <c r="M3150" s="4"/>
      <c r="N3150" s="4"/>
      <c r="O3150" s="4"/>
      <c r="P3150" s="4"/>
      <c r="Q3150" s="4" t="inlineStr">
        <is>
          <t>FE_POR_DEFECTO_IPCC_2006</t>
        </is>
      </c>
      <c r="R3150" s="4"/>
      <c r="S3150" s="4">
        <v>0.6</v>
      </c>
      <c r="T3150" s="4" t="inlineStr">
        <is>
          <t>kg N2O/TJ</t>
        </is>
      </c>
      <c r="U3150" s="4"/>
      <c r="V3150" s="4"/>
      <c r="W3150" s="4" t="s">
        <v>3341</v>
      </c>
      <c r="X3150" s="4" t="inlineStr">
        <is>
          <t>Generación de electricidad</t>
        </is>
      </c>
      <c r="Y3150" s="4" t="inlineStr">
        <is>
          <t>COMB_COQUE</t>
        </is>
      </c>
      <c r="Z3150" s="4" t="s">
        <v>4048</v>
      </c>
      <c r="AA3150" s="13">
        <v>0.6</v>
      </c>
      <c r="AB3150" s="4" t="s">
        <v>4287</v>
      </c>
      <c r="AC3150" s="4"/>
      <c r="AD3150" s="4"/>
      <c r="AE3150" s="4"/>
      <c r="AF3150" s="4"/>
      <c r="AG3150" s="4"/>
      <c r="AH3150" s="4"/>
      <c r="AI3150" s="4"/>
      <c r="AJ3150" s="4"/>
      <c r="AK3150" s="4"/>
      <c r="AL3150" s="4" t="inlineStr">
        <is>
          <t>Volumen 2, capítulo 2, tabla 2.2, p. 2.16; fila Petroleum Coke; gas N2O</t>
        </is>
      </c>
      <c r="AM3150" s="4" t="inlineStr">
        <is>
          <t>Factor por defecto de coque de petróleo para industrias de energía. El BEN 2024, tabla 11, identifica el coque utilizado; no se le asigna el factor del grupo carbón. Valor constante aplicado como aproximación a 2018–2024.</t>
        </is>
      </c>
    </row>
    <row r="3151" customFormat="false" ht="46.25" hidden="false" customHeight="false" outlineLevel="0" collapsed="false">
      <c r="A3151" s="4" t="s">
        <v>4270</v>
      </c>
      <c r="B3151" s="4" t="inlineStr">
        <is>
          <t>FE_COMB|2019|1.A.1.a.i|COMB_CRBN|CO2</t>
        </is>
      </c>
      <c r="C3151" s="4" t="inlineStr">
        <is>
          <t>2019|1.A.1.a.i|COMB_CRBN|CO2</t>
        </is>
      </c>
      <c r="D3151" s="12" t="n">
        <v>2019</v>
      </c>
      <c r="E3151" s="12">
        <v>2024.0</v>
      </c>
      <c r="F3151" s="4" t="inlineStr">
        <is>
          <t>PRX</t>
        </is>
      </c>
      <c r="G3151" s="4" t="inlineStr">
        <is>
          <t>MARN_GTM_BTR1_2024</t>
        </is>
      </c>
      <c r="H3151" s="4" t="inlineStr">
        <is>
          <t>Guatemala. Primer Informe Bienal de Transparencia (BTR1), 2024</t>
        </is>
      </c>
      <c r="I3151" s="4" t="inlineStr">
        <is>
          <t>https://unfccc.int/documents/646195</t>
        </is>
      </c>
      <c r="J3151" s="4" t="inlineStr">
        <is>
          <t>BTR1|2024|T3.6|CRBN|CO2</t>
        </is>
      </c>
      <c r="K3151" s="4" t="inlineStr">
        <is>
          <t>CRBN</t>
        </is>
      </c>
      <c r="L3151" s="4" t="inlineStr">
        <is>
          <t>Carbón</t>
        </is>
      </c>
      <c r="M3151" s="4"/>
      <c r="N3151" s="4"/>
      <c r="O3151" s="4"/>
      <c r="P3151" s="4"/>
      <c r="Q3151" s="4" t="inlineStr">
        <is>
          <t>FE_POR_COMBUSTIBLE_BTR1</t>
        </is>
      </c>
      <c r="R3151" s="4"/>
      <c r="S3151" s="4">
        <v>98300.0</v>
      </c>
      <c r="T3151" s="4" t="inlineStr">
        <is>
          <t>kg CO2/TJ</t>
        </is>
      </c>
      <c r="U3151" s="4"/>
      <c r="V3151" s="4"/>
      <c r="W3151" s="4" t="s">
        <v>3341</v>
      </c>
      <c r="X3151" s="4" t="inlineStr">
        <is>
          <t>Generación de electricidad</t>
        </is>
      </c>
      <c r="Y3151" s="4" t="inlineStr">
        <is>
          <t>COMB_CRBN</t>
        </is>
      </c>
      <c r="Z3151" s="4" t="s">
        <v>4012</v>
      </c>
      <c r="AA3151" s="4">
        <v>98300.0</v>
      </c>
      <c r="AB3151" s="4" t="s">
        <v>4275</v>
      </c>
      <c r="AC3151" s="4"/>
      <c r="AD3151" s="4"/>
      <c r="AE3151" s="4"/>
      <c r="AF3151" s="4"/>
      <c r="AG3151" s="4"/>
      <c r="AH3151" s="4"/>
      <c r="AI3151" s="4"/>
      <c r="AJ3151" s="4"/>
      <c r="AK3151" s="4"/>
      <c r="AL3151" s="4" t="inlineStr">
        <is>
          <t>BTR1 Guatemala 2024, tabla 3.6, p. 48; fila Otro carbón bituminoso*; gas CO2</t>
        </is>
      </c>
      <c r="AM3151" s="4" t="inlineStr">
        <is>
          <t>Factor por combustible documentado en el BTR1, con origen metodológico IPCC. Se aplica como parámetro constante aproximado a 2018–2024; el año de la clave permite unirlo a la actividad, no representa una nueva observación anual. CRBN utiliza el proxy de antracita adoptado por el MEM; no se infiere un análisis de la mezcla de carbón del BEN.</t>
        </is>
      </c>
    </row>
    <row r="3152" customFormat="false" ht="46.25" hidden="false" customHeight="false" outlineLevel="0" collapsed="false">
      <c r="A3152" s="4" t="s">
        <v>4270</v>
      </c>
      <c r="B3152" s="4" t="inlineStr">
        <is>
          <t>FE_COMB|2019|1.A.1.a.i|COMB_CRBN|CH4</t>
        </is>
      </c>
      <c r="C3152" s="4" t="inlineStr">
        <is>
          <t>2019|1.A.1.a.i|COMB_CRBN|CH4</t>
        </is>
      </c>
      <c r="D3152" s="12" t="n">
        <v>2019</v>
      </c>
      <c r="E3152" s="12">
        <v>2024.0</v>
      </c>
      <c r="F3152" s="4" t="inlineStr">
        <is>
          <t>PRX</t>
        </is>
      </c>
      <c r="G3152" s="4" t="inlineStr">
        <is>
          <t>MARN_GTM_BTR1_2024</t>
        </is>
      </c>
      <c r="H3152" s="4" t="inlineStr">
        <is>
          <t>Guatemala. Primer Informe Bienal de Transparencia (BTR1), 2024</t>
        </is>
      </c>
      <c r="I3152" s="4" t="inlineStr">
        <is>
          <t>https://unfccc.int/documents/646195</t>
        </is>
      </c>
      <c r="J3152" s="4" t="inlineStr">
        <is>
          <t>BTR1|2024|T3.17|CRBN|CH4</t>
        </is>
      </c>
      <c r="K3152" s="4" t="inlineStr">
        <is>
          <t>CRBN</t>
        </is>
      </c>
      <c r="L3152" s="4" t="inlineStr">
        <is>
          <t>Carbón</t>
        </is>
      </c>
      <c r="M3152" s="4"/>
      <c r="N3152" s="4"/>
      <c r="O3152" s="4"/>
      <c r="P3152" s="4"/>
      <c r="Q3152" s="4" t="inlineStr">
        <is>
          <t>FE_POR_COMBUSTIBLE_BTR1</t>
        </is>
      </c>
      <c r="R3152" s="4"/>
      <c r="S3152" s="4">
        <v>1.0</v>
      </c>
      <c r="T3152" s="4" t="inlineStr">
        <is>
          <t>kg CH4/TJ</t>
        </is>
      </c>
      <c r="U3152" s="4"/>
      <c r="V3152" s="4"/>
      <c r="W3152" s="4" t="s">
        <v>3341</v>
      </c>
      <c r="X3152" s="4" t="inlineStr">
        <is>
          <t>Generación de electricidad</t>
        </is>
      </c>
      <c r="Y3152" s="4" t="inlineStr">
        <is>
          <t>COMB_CRBN</t>
        </is>
      </c>
      <c r="Z3152" s="4" t="s">
        <v>4018</v>
      </c>
      <c r="AA3152" s="4">
        <v>1.0</v>
      </c>
      <c r="AB3152" s="4" t="s">
        <v>4281</v>
      </c>
      <c r="AC3152" s="4"/>
      <c r="AD3152" s="4"/>
      <c r="AE3152" s="4"/>
      <c r="AF3152" s="4"/>
      <c r="AG3152" s="4"/>
      <c r="AH3152" s="4"/>
      <c r="AI3152" s="4"/>
      <c r="AJ3152" s="4"/>
      <c r="AK3152" s="4"/>
      <c r="AL3152" s="4" t="inlineStr">
        <is>
          <t>BTR1 Guatemala 2024, tabla 3.17, p. 57; fila Otro carbón bituminoso; gas CH4</t>
        </is>
      </c>
      <c r="AM3152" s="4" t="inlineStr">
        <is>
          <t>Factor por combustible documentado en el BTR1, con origen metodológico IPCC. Se aplica como parámetro constante aproximado a 2018–2024; el año de la clave permite unirlo a la actividad, no representa una nueva observación anual. CRBN utiliza el proxy de antracita adoptado por el MEM; no se infiere un análisis de la mezcla de carbón del BEN.</t>
        </is>
      </c>
    </row>
    <row r="3153" customFormat="false" ht="46.25" hidden="false" customHeight="false" outlineLevel="0" collapsed="false">
      <c r="A3153" s="4" t="s">
        <v>4270</v>
      </c>
      <c r="B3153" s="4" t="inlineStr">
        <is>
          <t>FE_COMB|2019|1.A.1.a.i|COMB_CRBN|N2O</t>
        </is>
      </c>
      <c r="C3153" s="4" t="inlineStr">
        <is>
          <t>2019|1.A.1.a.i|COMB_CRBN|N2O</t>
        </is>
      </c>
      <c r="D3153" s="12" t="n">
        <v>2019</v>
      </c>
      <c r="E3153" s="12">
        <v>2024.0</v>
      </c>
      <c r="F3153" s="4" t="inlineStr">
        <is>
          <t>PRX</t>
        </is>
      </c>
      <c r="G3153" s="4" t="inlineStr">
        <is>
          <t>MARN_GTM_BTR1_2024</t>
        </is>
      </c>
      <c r="H3153" s="4" t="inlineStr">
        <is>
          <t>Guatemala. Primer Informe Bienal de Transparencia (BTR1), 2024</t>
        </is>
      </c>
      <c r="I3153" s="4" t="inlineStr">
        <is>
          <t>https://unfccc.int/documents/646195</t>
        </is>
      </c>
      <c r="J3153" s="4" t="inlineStr">
        <is>
          <t>BTR1|2024|T3.17|CRBN|N2O</t>
        </is>
      </c>
      <c r="K3153" s="4" t="inlineStr">
        <is>
          <t>CRBN</t>
        </is>
      </c>
      <c r="L3153" s="4" t="inlineStr">
        <is>
          <t>Carbón</t>
        </is>
      </c>
      <c r="M3153" s="4"/>
      <c r="N3153" s="4"/>
      <c r="O3153" s="4"/>
      <c r="P3153" s="4"/>
      <c r="Q3153" s="4" t="inlineStr">
        <is>
          <t>FE_POR_COMBUSTIBLE_BTR1</t>
        </is>
      </c>
      <c r="R3153" s="4"/>
      <c r="S3153" s="4">
        <v>1.5</v>
      </c>
      <c r="T3153" s="4" t="inlineStr">
        <is>
          <t>kg N2O/TJ</t>
        </is>
      </c>
      <c r="U3153" s="4"/>
      <c r="V3153" s="4"/>
      <c r="W3153" s="4" t="s">
        <v>3341</v>
      </c>
      <c r="X3153" s="4" t="inlineStr">
        <is>
          <t>Generación de electricidad</t>
        </is>
      </c>
      <c r="Y3153" s="4" t="inlineStr">
        <is>
          <t>COMB_CRBN</t>
        </is>
      </c>
      <c r="Z3153" s="4" t="s">
        <v>4048</v>
      </c>
      <c r="AA3153" s="4">
        <v>1.5</v>
      </c>
      <c r="AB3153" s="4" t="s">
        <v>4287</v>
      </c>
      <c r="AC3153" s="4"/>
      <c r="AD3153" s="4"/>
      <c r="AE3153" s="4"/>
      <c r="AF3153" s="4"/>
      <c r="AG3153" s="4"/>
      <c r="AH3153" s="4"/>
      <c r="AI3153" s="4"/>
      <c r="AJ3153" s="4"/>
      <c r="AK3153" s="4"/>
      <c r="AL3153" s="4" t="inlineStr">
        <is>
          <t>BTR1 Guatemala 2024, tabla 3.17, p. 57; fila Otro carbón bituminoso; gas N2O</t>
        </is>
      </c>
      <c r="AM3153" s="4" t="inlineStr">
        <is>
          <t>Factor por combustible documentado en el BTR1, con origen metodológico IPCC. Se aplica como parámetro constante aproximado a 2018–2024; el año de la clave permite unirlo a la actividad, no representa una nueva observación anual. CRBN utiliza el proxy de antracita adoptado por el MEM; no se infiere un análisis de la mezcla de carbón del BEN.</t>
        </is>
      </c>
    </row>
    <row r="3154" customFormat="false" ht="57.45" hidden="false" customHeight="false" outlineLevel="0" collapsed="false">
      <c r="A3154" s="4" t="s">
        <v>4270</v>
      </c>
      <c r="B3154" s="4" t="inlineStr">
        <is>
          <t>FE_COMB|2019|1.A.1.a.i|COMB_DOIL|CO2</t>
        </is>
      </c>
      <c r="C3154" s="4" t="inlineStr">
        <is>
          <t>2019|1.A.1.a.i|COMB_DOIL|CO2</t>
        </is>
      </c>
      <c r="D3154" s="12" t="n">
        <v>2019</v>
      </c>
      <c r="E3154" s="12">
        <v>2024.0</v>
      </c>
      <c r="F3154" s="4" t="inlineStr">
        <is>
          <t>PRX</t>
        </is>
      </c>
      <c r="G3154" s="4" t="inlineStr">
        <is>
          <t>MARN_GTM_BTR1_2024</t>
        </is>
      </c>
      <c r="H3154" s="4" t="inlineStr">
        <is>
          <t>Guatemala. Primer Informe Bienal de Transparencia (BTR1), 2024</t>
        </is>
      </c>
      <c r="I3154" s="4" t="inlineStr">
        <is>
          <t>https://unfccc.int/documents/646195</t>
        </is>
      </c>
      <c r="J3154" s="4" t="inlineStr">
        <is>
          <t>BTR1|2024|T3.6|DOIL|CO2</t>
        </is>
      </c>
      <c r="K3154" s="4" t="inlineStr">
        <is>
          <t>DOIL</t>
        </is>
      </c>
      <c r="L3154" s="4" t="inlineStr">
        <is>
          <t>Diésel / gas oil</t>
        </is>
      </c>
      <c r="M3154" s="4"/>
      <c r="N3154" s="4"/>
      <c r="O3154" s="4"/>
      <c r="P3154" s="4"/>
      <c r="Q3154" s="4" t="inlineStr">
        <is>
          <t>FE_POR_COMBUSTIBLE_BTR1</t>
        </is>
      </c>
      <c r="R3154" s="4"/>
      <c r="S3154" s="4">
        <v>74100.0</v>
      </c>
      <c r="T3154" s="4" t="inlineStr">
        <is>
          <t>kg CO2/TJ</t>
        </is>
      </c>
      <c r="U3154" s="4"/>
      <c r="V3154" s="4"/>
      <c r="W3154" s="4" t="inlineStr">
        <is>
          <t>1.A.1.a.i</t>
        </is>
      </c>
      <c r="X3154" s="4" t="inlineStr">
        <is>
          <t>Generación de electricidad</t>
        </is>
      </c>
      <c r="Y3154" s="4" t="inlineStr">
        <is>
          <t>COMB_DOIL</t>
        </is>
      </c>
      <c r="Z3154" s="4" t="s">
        <v>4012</v>
      </c>
      <c r="AA3154" s="13">
        <v>74100.0</v>
      </c>
      <c r="AB3154" s="4" t="s">
        <v>4275</v>
      </c>
      <c r="AC3154" s="4"/>
      <c r="AD3154" s="4"/>
      <c r="AE3154" s="4"/>
      <c r="AF3154" s="4"/>
      <c r="AG3154" s="4"/>
      <c r="AH3154" s="4"/>
      <c r="AI3154" s="4"/>
      <c r="AJ3154" s="4"/>
      <c r="AK3154" s="4"/>
      <c r="AL3154" s="4" t="inlineStr">
        <is>
          <t>BTR1 Guatemala 2024, tabla 3.6, p. 48; fila Gas/Diésel oíl; gas CO2</t>
        </is>
      </c>
      <c r="AM3154" s="4" t="inlineStr">
        <is>
          <t>Factor por combustible documentado en el BTR1, con origen metodológico IPCC. Se aplica como parámetro constante aproximado a 2018–2024; el año de la clave permite unirlo a la actividad, no representa una nueva observación anual.</t>
        </is>
      </c>
    </row>
    <row r="3155" customFormat="false" ht="57.45" hidden="false" customHeight="false" outlineLevel="0" collapsed="false">
      <c r="A3155" s="4" t="s">
        <v>4270</v>
      </c>
      <c r="B3155" s="4" t="inlineStr">
        <is>
          <t>FE_COMB|2019|1.A.1.a.i|COMB_DOIL|CH4</t>
        </is>
      </c>
      <c r="C3155" s="4" t="inlineStr">
        <is>
          <t>2019|1.A.1.a.i|COMB_DOIL|CH4</t>
        </is>
      </c>
      <c r="D3155" s="12" t="n">
        <v>2019</v>
      </c>
      <c r="E3155" s="12">
        <v>2024.0</v>
      </c>
      <c r="F3155" s="4" t="inlineStr">
        <is>
          <t>PRX</t>
        </is>
      </c>
      <c r="G3155" s="4" t="inlineStr">
        <is>
          <t>MARN_GTM_BTR1_2024</t>
        </is>
      </c>
      <c r="H3155" s="4" t="inlineStr">
        <is>
          <t>Guatemala. Primer Informe Bienal de Transparencia (BTR1), 2024</t>
        </is>
      </c>
      <c r="I3155" s="4" t="inlineStr">
        <is>
          <t>https://unfccc.int/documents/646195</t>
        </is>
      </c>
      <c r="J3155" s="4" t="inlineStr">
        <is>
          <t>BTR1|2024|T3.17|DOIL|CH4</t>
        </is>
      </c>
      <c r="K3155" s="4" t="inlineStr">
        <is>
          <t>DOIL</t>
        </is>
      </c>
      <c r="L3155" s="4" t="inlineStr">
        <is>
          <t>Diésel / gas oil</t>
        </is>
      </c>
      <c r="M3155" s="4"/>
      <c r="N3155" s="4"/>
      <c r="O3155" s="4"/>
      <c r="P3155" s="4"/>
      <c r="Q3155" s="4" t="inlineStr">
        <is>
          <t>FE_POR_COMBUSTIBLE_BTR1</t>
        </is>
      </c>
      <c r="R3155" s="4"/>
      <c r="S3155" s="4">
        <v>3.0</v>
      </c>
      <c r="T3155" s="4" t="inlineStr">
        <is>
          <t>kg CH4/TJ</t>
        </is>
      </c>
      <c r="U3155" s="4"/>
      <c r="V3155" s="4"/>
      <c r="W3155" s="4" t="inlineStr">
        <is>
          <t>1.A.1.a.i</t>
        </is>
      </c>
      <c r="X3155" s="4" t="inlineStr">
        <is>
          <t>Generación de electricidad</t>
        </is>
      </c>
      <c r="Y3155" s="4" t="inlineStr">
        <is>
          <t>COMB_DOIL</t>
        </is>
      </c>
      <c r="Z3155" s="4" t="s">
        <v>4018</v>
      </c>
      <c r="AA3155" s="13">
        <v>3.0</v>
      </c>
      <c r="AB3155" s="4" t="s">
        <v>4281</v>
      </c>
      <c r="AC3155" s="4"/>
      <c r="AD3155" s="4"/>
      <c r="AE3155" s="4"/>
      <c r="AF3155" s="4"/>
      <c r="AG3155" s="4"/>
      <c r="AH3155" s="4"/>
      <c r="AI3155" s="4"/>
      <c r="AJ3155" s="4"/>
      <c r="AK3155" s="4"/>
      <c r="AL3155" s="4" t="inlineStr">
        <is>
          <t>BTR1 Guatemala 2024, tabla 3.17, p. 57; fila Diésel; gas CH4</t>
        </is>
      </c>
      <c r="AM3155" s="4" t="inlineStr">
        <is>
          <t>Factor por combustible documentado en el BTR1, con origen metodológico IPCC. Se aplica como parámetro constante aproximado a 2018–2024; el año de la clave permite unirlo a la actividad, no representa una nueva observación anual.</t>
        </is>
      </c>
    </row>
    <row r="3156" customFormat="false" ht="57.45" hidden="false" customHeight="false" outlineLevel="0" collapsed="false">
      <c r="A3156" s="4" t="s">
        <v>4270</v>
      </c>
      <c r="B3156" s="4" t="inlineStr">
        <is>
          <t>FE_COMB|2019|1.A.1.a.i|COMB_DOIL|N2O</t>
        </is>
      </c>
      <c r="C3156" s="4" t="inlineStr">
        <is>
          <t>2019|1.A.1.a.i|COMB_DOIL|N2O</t>
        </is>
      </c>
      <c r="D3156" s="12" t="n">
        <v>2019</v>
      </c>
      <c r="E3156" s="12">
        <v>2024.0</v>
      </c>
      <c r="F3156" s="4" t="inlineStr">
        <is>
          <t>PRX</t>
        </is>
      </c>
      <c r="G3156" s="4" t="inlineStr">
        <is>
          <t>MARN_GTM_BTR1_2024</t>
        </is>
      </c>
      <c r="H3156" s="4" t="inlineStr">
        <is>
          <t>Guatemala. Primer Informe Bienal de Transparencia (BTR1), 2024</t>
        </is>
      </c>
      <c r="I3156" s="4" t="inlineStr">
        <is>
          <t>https://unfccc.int/documents/646195</t>
        </is>
      </c>
      <c r="J3156" s="4" t="inlineStr">
        <is>
          <t>BTR1|2024|T3.17|DOIL|N2O</t>
        </is>
      </c>
      <c r="K3156" s="4" t="inlineStr">
        <is>
          <t>DOIL</t>
        </is>
      </c>
      <c r="L3156" s="4" t="inlineStr">
        <is>
          <t>Diésel / gas oil</t>
        </is>
      </c>
      <c r="M3156" s="4"/>
      <c r="N3156" s="4"/>
      <c r="O3156" s="4"/>
      <c r="P3156" s="4"/>
      <c r="Q3156" s="4" t="inlineStr">
        <is>
          <t>FE_POR_COMBUSTIBLE_BTR1</t>
        </is>
      </c>
      <c r="R3156" s="4"/>
      <c r="S3156" s="4">
        <v>0.6</v>
      </c>
      <c r="T3156" s="4" t="inlineStr">
        <is>
          <t>kg N2O/TJ</t>
        </is>
      </c>
      <c r="U3156" s="4"/>
      <c r="V3156" s="4"/>
      <c r="W3156" s="4" t="inlineStr">
        <is>
          <t>1.A.1.a.i</t>
        </is>
      </c>
      <c r="X3156" s="4" t="inlineStr">
        <is>
          <t>Generación de electricidad</t>
        </is>
      </c>
      <c r="Y3156" s="4" t="inlineStr">
        <is>
          <t>COMB_DOIL</t>
        </is>
      </c>
      <c r="Z3156" s="4" t="s">
        <v>4048</v>
      </c>
      <c r="AA3156" s="13">
        <v>0.6</v>
      </c>
      <c r="AB3156" s="4" t="s">
        <v>4287</v>
      </c>
      <c r="AC3156" s="4"/>
      <c r="AD3156" s="4"/>
      <c r="AE3156" s="4"/>
      <c r="AF3156" s="4"/>
      <c r="AG3156" s="4"/>
      <c r="AH3156" s="4"/>
      <c r="AI3156" s="4"/>
      <c r="AJ3156" s="4"/>
      <c r="AK3156" s="4"/>
      <c r="AL3156" s="4" t="inlineStr">
        <is>
          <t>BTR1 Guatemala 2024, tabla 3.17, p. 57; fila Diésel; gas N2O</t>
        </is>
      </c>
      <c r="AM3156" s="4" t="inlineStr">
        <is>
          <t>Factor por combustible documentado en el BTR1, con origen metodológico IPCC. Se aplica como parámetro constante aproximado a 2018–2024; el año de la clave permite unirlo a la actividad, no representa una nueva observación anual.</t>
        </is>
      </c>
    </row>
    <row r="3157" customFormat="false" ht="57.45" hidden="false" customHeight="false" outlineLevel="0" collapsed="false">
      <c r="A3157" s="4" t="s">
        <v>4270</v>
      </c>
      <c r="B3157" s="4" t="inlineStr">
        <is>
          <t>FE_COMB|2019|1.A.1.a.i|COMB_FOIL|CO2</t>
        </is>
      </c>
      <c r="C3157" s="4" t="inlineStr">
        <is>
          <t>2019|1.A.1.a.i|COMB_FOIL|CO2</t>
        </is>
      </c>
      <c r="D3157" s="12" t="n">
        <v>2019</v>
      </c>
      <c r="E3157" s="12">
        <v>2024.0</v>
      </c>
      <c r="F3157" s="4" t="inlineStr">
        <is>
          <t>PRX</t>
        </is>
      </c>
      <c r="G3157" s="4" t="inlineStr">
        <is>
          <t>MARN_GTM_BTR1_2024</t>
        </is>
      </c>
      <c r="H3157" s="4" t="inlineStr">
        <is>
          <t>Guatemala. Primer Informe Bienal de Transparencia (BTR1), 2024</t>
        </is>
      </c>
      <c r="I3157" s="4" t="inlineStr">
        <is>
          <t>https://unfccc.int/documents/646195</t>
        </is>
      </c>
      <c r="J3157" s="4" t="inlineStr">
        <is>
          <t>BTR1|2024|T3.6|FOIL|CO2</t>
        </is>
      </c>
      <c r="K3157" s="4" t="inlineStr">
        <is>
          <t>FOIL</t>
        </is>
      </c>
      <c r="L3157" s="4" t="inlineStr">
        <is>
          <t>Fuel oil</t>
        </is>
      </c>
      <c r="M3157" s="4"/>
      <c r="N3157" s="4"/>
      <c r="O3157" s="4"/>
      <c r="P3157" s="4"/>
      <c r="Q3157" s="4" t="inlineStr">
        <is>
          <t>FE_POR_COMBUSTIBLE_BTR1</t>
        </is>
      </c>
      <c r="R3157" s="4"/>
      <c r="S3157" s="4">
        <v>77400.0</v>
      </c>
      <c r="T3157" s="4" t="inlineStr">
        <is>
          <t>kg CO2/TJ</t>
        </is>
      </c>
      <c r="U3157" s="4"/>
      <c r="V3157" s="4"/>
      <c r="W3157" s="4" t="inlineStr">
        <is>
          <t>1.A.1.a.i</t>
        </is>
      </c>
      <c r="X3157" s="4" t="inlineStr">
        <is>
          <t>Generación de electricidad</t>
        </is>
      </c>
      <c r="Y3157" s="4" t="inlineStr">
        <is>
          <t>COMB_FOIL</t>
        </is>
      </c>
      <c r="Z3157" s="4" t="s">
        <v>4012</v>
      </c>
      <c r="AA3157" s="13">
        <v>77400.0</v>
      </c>
      <c r="AB3157" s="4" t="s">
        <v>4275</v>
      </c>
      <c r="AC3157" s="4"/>
      <c r="AD3157" s="4"/>
      <c r="AE3157" s="4"/>
      <c r="AF3157" s="4"/>
      <c r="AG3157" s="4"/>
      <c r="AH3157" s="4"/>
      <c r="AI3157" s="4"/>
      <c r="AJ3157" s="4"/>
      <c r="AK3157" s="4"/>
      <c r="AL3157" s="4" t="inlineStr">
        <is>
          <t>BTR1 Guatemala 2024, tabla 3.6, p. 48; fila Fuelóleo residual; gas CO2</t>
        </is>
      </c>
      <c r="AM3157" s="4" t="inlineStr">
        <is>
          <t>Factor por combustible documentado en el BTR1, con origen metodológico IPCC. Se aplica como parámetro constante aproximado a 2018–2024; el año de la clave permite unirlo a la actividad, no representa una nueva observación anual.</t>
        </is>
      </c>
    </row>
    <row r="3158" customFormat="false" ht="57.45" hidden="false" customHeight="false" outlineLevel="0" collapsed="false">
      <c r="A3158" s="4" t="s">
        <v>4270</v>
      </c>
      <c r="B3158" s="4" t="inlineStr">
        <is>
          <t>FE_COMB|2019|1.A.1.a.i|COMB_FOIL|CH4</t>
        </is>
      </c>
      <c r="C3158" s="4" t="inlineStr">
        <is>
          <t>2019|1.A.1.a.i|COMB_FOIL|CH4</t>
        </is>
      </c>
      <c r="D3158" s="12" t="n">
        <v>2019</v>
      </c>
      <c r="E3158" s="12">
        <v>2024.0</v>
      </c>
      <c r="F3158" s="4" t="inlineStr">
        <is>
          <t>PRX</t>
        </is>
      </c>
      <c r="G3158" s="4" t="inlineStr">
        <is>
          <t>MARN_GTM_BTR1_2024</t>
        </is>
      </c>
      <c r="H3158" s="4" t="inlineStr">
        <is>
          <t>Guatemala. Primer Informe Bienal de Transparencia (BTR1), 2024</t>
        </is>
      </c>
      <c r="I3158" s="4" t="inlineStr">
        <is>
          <t>https://unfccc.int/documents/646195</t>
        </is>
      </c>
      <c r="J3158" s="4" t="inlineStr">
        <is>
          <t>BTR1|2024|T3.17|FOIL|CH4</t>
        </is>
      </c>
      <c r="K3158" s="4" t="inlineStr">
        <is>
          <t>FOIL</t>
        </is>
      </c>
      <c r="L3158" s="4" t="inlineStr">
        <is>
          <t>Fuel oil</t>
        </is>
      </c>
      <c r="M3158" s="4"/>
      <c r="N3158" s="4"/>
      <c r="O3158" s="4"/>
      <c r="P3158" s="4"/>
      <c r="Q3158" s="4" t="inlineStr">
        <is>
          <t>FE_POR_COMBUSTIBLE_BTR1</t>
        </is>
      </c>
      <c r="R3158" s="4"/>
      <c r="S3158" s="4">
        <v>3.0</v>
      </c>
      <c r="T3158" s="4" t="inlineStr">
        <is>
          <t>kg CH4/TJ</t>
        </is>
      </c>
      <c r="U3158" s="4"/>
      <c r="V3158" s="4"/>
      <c r="W3158" s="4" t="inlineStr">
        <is>
          <t>1.A.1.a.i</t>
        </is>
      </c>
      <c r="X3158" s="4" t="inlineStr">
        <is>
          <t>Generación de electricidad</t>
        </is>
      </c>
      <c r="Y3158" s="4" t="inlineStr">
        <is>
          <t>COMB_FOIL</t>
        </is>
      </c>
      <c r="Z3158" s="4" t="s">
        <v>4018</v>
      </c>
      <c r="AA3158" s="13">
        <v>3.0</v>
      </c>
      <c r="AB3158" s="4" t="s">
        <v>4281</v>
      </c>
      <c r="AC3158" s="4"/>
      <c r="AD3158" s="4"/>
      <c r="AE3158" s="4"/>
      <c r="AF3158" s="4"/>
      <c r="AG3158" s="4"/>
      <c r="AH3158" s="4"/>
      <c r="AI3158" s="4"/>
      <c r="AJ3158" s="4"/>
      <c r="AK3158" s="4"/>
      <c r="AL3158" s="4" t="inlineStr">
        <is>
          <t>BTR1 Guatemala 2024, tabla 3.17, p. 57; fila Fuelóleo residual; gas CH4</t>
        </is>
      </c>
      <c r="AM3158" s="4" t="inlineStr">
        <is>
          <t>Factor por combustible documentado en el BTR1, con origen metodológico IPCC. Se aplica como parámetro constante aproximado a 2018–2024; el año de la clave permite unirlo a la actividad, no representa una nueva observación anual.</t>
        </is>
      </c>
    </row>
    <row r="3159" customFormat="false" ht="57.45" hidden="false" customHeight="false" outlineLevel="0" collapsed="false">
      <c r="A3159" s="4" t="s">
        <v>4270</v>
      </c>
      <c r="B3159" s="4" t="inlineStr">
        <is>
          <t>FE_COMB|2019|1.A.1.a.i|COMB_FOIL|N2O</t>
        </is>
      </c>
      <c r="C3159" s="4" t="inlineStr">
        <is>
          <t>2019|1.A.1.a.i|COMB_FOIL|N2O</t>
        </is>
      </c>
      <c r="D3159" s="12" t="n">
        <v>2019</v>
      </c>
      <c r="E3159" s="12">
        <v>2024.0</v>
      </c>
      <c r="F3159" s="4" t="inlineStr">
        <is>
          <t>PRX</t>
        </is>
      </c>
      <c r="G3159" s="4" t="inlineStr">
        <is>
          <t>MARN_GTM_BTR1_2024</t>
        </is>
      </c>
      <c r="H3159" s="4" t="inlineStr">
        <is>
          <t>Guatemala. Primer Informe Bienal de Transparencia (BTR1), 2024</t>
        </is>
      </c>
      <c r="I3159" s="4" t="inlineStr">
        <is>
          <t>https://unfccc.int/documents/646195</t>
        </is>
      </c>
      <c r="J3159" s="4" t="inlineStr">
        <is>
          <t>BTR1|2024|T3.17|FOIL|N2O</t>
        </is>
      </c>
      <c r="K3159" s="4" t="inlineStr">
        <is>
          <t>FOIL</t>
        </is>
      </c>
      <c r="L3159" s="4" t="inlineStr">
        <is>
          <t>Fuel oil</t>
        </is>
      </c>
      <c r="M3159" s="4"/>
      <c r="N3159" s="4"/>
      <c r="O3159" s="4"/>
      <c r="P3159" s="4"/>
      <c r="Q3159" s="4" t="inlineStr">
        <is>
          <t>FE_POR_COMBUSTIBLE_BTR1</t>
        </is>
      </c>
      <c r="R3159" s="4"/>
      <c r="S3159" s="4">
        <v>0.6</v>
      </c>
      <c r="T3159" s="4" t="inlineStr">
        <is>
          <t>kg N2O/TJ</t>
        </is>
      </c>
      <c r="U3159" s="4"/>
      <c r="V3159" s="4"/>
      <c r="W3159" s="4" t="inlineStr">
        <is>
          <t>1.A.1.a.i</t>
        </is>
      </c>
      <c r="X3159" s="4" t="inlineStr">
        <is>
          <t>Generación de electricidad</t>
        </is>
      </c>
      <c r="Y3159" s="4" t="inlineStr">
        <is>
          <t>COMB_FOIL</t>
        </is>
      </c>
      <c r="Z3159" s="4" t="s">
        <v>4048</v>
      </c>
      <c r="AA3159" s="13">
        <v>0.6</v>
      </c>
      <c r="AB3159" s="4" t="s">
        <v>4287</v>
      </c>
      <c r="AC3159" s="4"/>
      <c r="AD3159" s="4"/>
      <c r="AE3159" s="4"/>
      <c r="AF3159" s="4"/>
      <c r="AG3159" s="4"/>
      <c r="AH3159" s="4"/>
      <c r="AI3159" s="4"/>
      <c r="AJ3159" s="4"/>
      <c r="AK3159" s="4"/>
      <c r="AL3159" s="4" t="inlineStr">
        <is>
          <t>BTR1 Guatemala 2024, tabla 3.17, p. 57; fila Fuelóleo residual; gas N2O</t>
        </is>
      </c>
      <c r="AM3159" s="4" t="inlineStr">
        <is>
          <t>Factor por combustible documentado en el BTR1, con origen metodológico IPCC. Se aplica como parámetro constante aproximado a 2018–2024; el año de la clave permite unirlo a la actividad, no representa una nueva observación anual.</t>
        </is>
      </c>
    </row>
    <row r="3160" customFormat="false" ht="57.45" hidden="false" customHeight="false" outlineLevel="0" collapsed="false">
      <c r="A3160" s="4" t="s">
        <v>4270</v>
      </c>
      <c r="B3160" s="4" t="inlineStr">
        <is>
          <t>FE_COMB|2019|1.A.1.a.i|COMB_LENA|CO2</t>
        </is>
      </c>
      <c r="C3160" s="4" t="inlineStr">
        <is>
          <t>2019|1.A.1.a.i|COMB_LENA|CO2</t>
        </is>
      </c>
      <c r="D3160" s="12" t="n">
        <v>2019</v>
      </c>
      <c r="E3160" s="12">
        <v>2024.0</v>
      </c>
      <c r="F3160" s="4" t="inlineStr">
        <is>
          <t>PRX</t>
        </is>
      </c>
      <c r="G3160" s="4" t="inlineStr">
        <is>
          <t>MARN_GTM_BTR1_2024</t>
        </is>
      </c>
      <c r="H3160" s="4" t="inlineStr">
        <is>
          <t>Guatemala. Primer Informe Bienal de Transparencia (BTR1), 2024</t>
        </is>
      </c>
      <c r="I3160" s="4" t="inlineStr">
        <is>
          <t>https://unfccc.int/documents/646195</t>
        </is>
      </c>
      <c r="J3160" s="4" t="inlineStr">
        <is>
          <t>BTR1|2024|T3.6|LENA|CO2</t>
        </is>
      </c>
      <c r="K3160" s="4" t="inlineStr">
        <is>
          <t>LENA</t>
        </is>
      </c>
      <c r="L3160" s="4" t="inlineStr">
        <is>
          <t>Leña</t>
        </is>
      </c>
      <c r="M3160" s="4"/>
      <c r="N3160" s="4"/>
      <c r="O3160" s="4"/>
      <c r="P3160" s="4"/>
      <c r="Q3160" s="4" t="inlineStr">
        <is>
          <t>FE_POR_COMBUSTIBLE_BTR1</t>
        </is>
      </c>
      <c r="R3160" s="4"/>
      <c r="S3160" s="4">
        <v>112000.0</v>
      </c>
      <c r="T3160" s="4" t="inlineStr">
        <is>
          <t>kg CO2/TJ</t>
        </is>
      </c>
      <c r="U3160" s="4"/>
      <c r="V3160" s="4"/>
      <c r="W3160" s="4" t="inlineStr">
        <is>
          <t>1.A.1.a.i</t>
        </is>
      </c>
      <c r="X3160" s="4" t="inlineStr">
        <is>
          <t>Generación de electricidad</t>
        </is>
      </c>
      <c r="Y3160" s="4" t="inlineStr">
        <is>
          <t>COMB_LENA</t>
        </is>
      </c>
      <c r="Z3160" s="4" t="s">
        <v>4012</v>
      </c>
      <c r="AA3160" s="13">
        <v>112000.0</v>
      </c>
      <c r="AB3160" s="4" t="s">
        <v>4275</v>
      </c>
      <c r="AC3160" s="4"/>
      <c r="AD3160" s="4"/>
      <c r="AE3160" s="4"/>
      <c r="AF3160" s="4"/>
      <c r="AG3160" s="4"/>
      <c r="AH3160" s="4"/>
      <c r="AI3160" s="4"/>
      <c r="AJ3160" s="4"/>
      <c r="AK3160" s="4"/>
      <c r="AL3160" s="4" t="inlineStr">
        <is>
          <t>BTR1 Guatemala 2024, tabla 3.6, p. 48; fila Madera/desechos de madera; gas CO2</t>
        </is>
      </c>
      <c r="AM3160"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161" customFormat="false" ht="57.45" hidden="false" customHeight="false" outlineLevel="0" collapsed="false">
      <c r="A3161" s="4" t="s">
        <v>4270</v>
      </c>
      <c r="B3161" s="4" t="inlineStr">
        <is>
          <t>FE_COMB|2019|1.A.1.a.i|COMB_LENA|CH4</t>
        </is>
      </c>
      <c r="C3161" s="4" t="inlineStr">
        <is>
          <t>2019|1.A.1.a.i|COMB_LENA|CH4</t>
        </is>
      </c>
      <c r="D3161" s="12" t="n">
        <v>2019</v>
      </c>
      <c r="E3161" s="12">
        <v>2024.0</v>
      </c>
      <c r="F3161" s="4" t="inlineStr">
        <is>
          <t>PRX</t>
        </is>
      </c>
      <c r="G3161" s="4" t="inlineStr">
        <is>
          <t>MARN_GTM_BTR1_2024</t>
        </is>
      </c>
      <c r="H3161" s="4" t="inlineStr">
        <is>
          <t>Guatemala. Primer Informe Bienal de Transparencia (BTR1), 2024</t>
        </is>
      </c>
      <c r="I3161" s="4" t="inlineStr">
        <is>
          <t>https://unfccc.int/documents/646195</t>
        </is>
      </c>
      <c r="J3161" s="4" t="inlineStr">
        <is>
          <t>BTR1|2024|T3.17|LENA|CH4</t>
        </is>
      </c>
      <c r="K3161" s="4" t="inlineStr">
        <is>
          <t>LENA</t>
        </is>
      </c>
      <c r="L3161" s="4" t="inlineStr">
        <is>
          <t>Leña</t>
        </is>
      </c>
      <c r="M3161" s="4"/>
      <c r="N3161" s="4"/>
      <c r="O3161" s="4"/>
      <c r="P3161" s="4"/>
      <c r="Q3161" s="4" t="inlineStr">
        <is>
          <t>FE_POR_COMBUSTIBLE_BTR1</t>
        </is>
      </c>
      <c r="R3161" s="4"/>
      <c r="S3161" s="4">
        <v>30.0</v>
      </c>
      <c r="T3161" s="4" t="inlineStr">
        <is>
          <t>kg CH4/TJ</t>
        </is>
      </c>
      <c r="U3161" s="4"/>
      <c r="V3161" s="4"/>
      <c r="W3161" s="4" t="inlineStr">
        <is>
          <t>1.A.1.a.i</t>
        </is>
      </c>
      <c r="X3161" s="4" t="inlineStr">
        <is>
          <t>Generación de electricidad</t>
        </is>
      </c>
      <c r="Y3161" s="4" t="inlineStr">
        <is>
          <t>COMB_LENA</t>
        </is>
      </c>
      <c r="Z3161" s="4" t="s">
        <v>4018</v>
      </c>
      <c r="AA3161" s="13">
        <v>30.0</v>
      </c>
      <c r="AB3161" s="4" t="s">
        <v>4281</v>
      </c>
      <c r="AC3161" s="4"/>
      <c r="AD3161" s="4"/>
      <c r="AE3161" s="4"/>
      <c r="AF3161" s="4"/>
      <c r="AG3161" s="4"/>
      <c r="AH3161" s="4"/>
      <c r="AI3161" s="4"/>
      <c r="AJ3161" s="4"/>
      <c r="AK3161" s="4"/>
      <c r="AL3161" s="4" t="inlineStr">
        <is>
          <t>BTR1 Guatemala 2024, tabla 3.17, p. 57; fila Madera/desechos de madera; gas CH4</t>
        </is>
      </c>
      <c r="AM3161"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162" customFormat="false" ht="57.45" hidden="false" customHeight="false" outlineLevel="0" collapsed="false">
      <c r="A3162" s="4" t="s">
        <v>4270</v>
      </c>
      <c r="B3162" s="4" t="inlineStr">
        <is>
          <t>FE_COMB|2019|1.A.1.a.i|COMB_LENA|N2O</t>
        </is>
      </c>
      <c r="C3162" s="4" t="inlineStr">
        <is>
          <t>2019|1.A.1.a.i|COMB_LENA|N2O</t>
        </is>
      </c>
      <c r="D3162" s="12" t="n">
        <v>2019</v>
      </c>
      <c r="E3162" s="12">
        <v>2024.0</v>
      </c>
      <c r="F3162" s="4" t="inlineStr">
        <is>
          <t>PRX</t>
        </is>
      </c>
      <c r="G3162" s="4" t="inlineStr">
        <is>
          <t>MARN_GTM_BTR1_2024</t>
        </is>
      </c>
      <c r="H3162" s="4" t="inlineStr">
        <is>
          <t>Guatemala. Primer Informe Bienal de Transparencia (BTR1), 2024</t>
        </is>
      </c>
      <c r="I3162" s="4" t="inlineStr">
        <is>
          <t>https://unfccc.int/documents/646195</t>
        </is>
      </c>
      <c r="J3162" s="4" t="inlineStr">
        <is>
          <t>BTR1|2024|T3.17|LENA|N2O</t>
        </is>
      </c>
      <c r="K3162" s="4" t="inlineStr">
        <is>
          <t>LENA</t>
        </is>
      </c>
      <c r="L3162" s="4" t="inlineStr">
        <is>
          <t>Leña</t>
        </is>
      </c>
      <c r="M3162" s="4"/>
      <c r="N3162" s="4"/>
      <c r="O3162" s="4"/>
      <c r="P3162" s="4"/>
      <c r="Q3162" s="4" t="inlineStr">
        <is>
          <t>FE_POR_COMBUSTIBLE_BTR1</t>
        </is>
      </c>
      <c r="R3162" s="4"/>
      <c r="S3162" s="4">
        <v>4.0</v>
      </c>
      <c r="T3162" s="4" t="inlineStr">
        <is>
          <t>kg N2O/TJ</t>
        </is>
      </c>
      <c r="U3162" s="4"/>
      <c r="V3162" s="4"/>
      <c r="W3162" s="4" t="inlineStr">
        <is>
          <t>1.A.1.a.i</t>
        </is>
      </c>
      <c r="X3162" s="4" t="inlineStr">
        <is>
          <t>Generación de electricidad</t>
        </is>
      </c>
      <c r="Y3162" s="4" t="inlineStr">
        <is>
          <t>COMB_LENA</t>
        </is>
      </c>
      <c r="Z3162" s="4" t="s">
        <v>4048</v>
      </c>
      <c r="AA3162" s="13">
        <v>4.0</v>
      </c>
      <c r="AB3162" s="4" t="s">
        <v>4287</v>
      </c>
      <c r="AC3162" s="4"/>
      <c r="AD3162" s="4"/>
      <c r="AE3162" s="4"/>
      <c r="AF3162" s="4"/>
      <c r="AG3162" s="4"/>
      <c r="AH3162" s="4"/>
      <c r="AI3162" s="4"/>
      <c r="AJ3162" s="4"/>
      <c r="AK3162" s="4"/>
      <c r="AL3162" s="4" t="inlineStr">
        <is>
          <t>BTR1 Guatemala 2024, tabla 3.17, p. 57; fila Madera/desechos de madera; gas N2O</t>
        </is>
      </c>
      <c r="AM3162"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163" customFormat="false" ht="46.25" hidden="false" customHeight="false" outlineLevel="0" collapsed="false">
      <c r="A3163" s="4" t="s">
        <v>4270</v>
      </c>
      <c r="B3163" s="4" t="inlineStr">
        <is>
          <t>FE_COMB|2019|1.A.2|COMB_COQUE|CO2</t>
        </is>
      </c>
      <c r="C3163" s="4" t="inlineStr">
        <is>
          <t>2019|1.A.2|COMB_COQUE|CO2</t>
        </is>
      </c>
      <c r="D3163" s="12" t="n">
        <v>2019</v>
      </c>
      <c r="E3163" s="12">
        <v>2024.0</v>
      </c>
      <c r="F3163" s="4" t="inlineStr">
        <is>
          <t>PRX</t>
        </is>
      </c>
      <c r="G3163" s="4" t="inlineStr">
        <is>
          <t>MARN_GTM_BTR1_2024</t>
        </is>
      </c>
      <c r="H3163" s="4" t="inlineStr">
        <is>
          <t>Guatemala. Primer Informe Bienal de Transparencia (BTR1), 2024</t>
        </is>
      </c>
      <c r="I3163" s="4" t="inlineStr">
        <is>
          <t>https://unfccc.int/documents/646195</t>
        </is>
      </c>
      <c r="J3163" s="4" t="inlineStr">
        <is>
          <t>BTR1|2024|T3.6|COQUE|CO2</t>
        </is>
      </c>
      <c r="K3163" s="4" t="inlineStr">
        <is>
          <t>COQUE</t>
        </is>
      </c>
      <c r="L3163" s="4" t="inlineStr">
        <is>
          <t>Coque</t>
        </is>
      </c>
      <c r="M3163" s="4"/>
      <c r="N3163" s="4"/>
      <c r="O3163" s="4"/>
      <c r="P3163" s="4"/>
      <c r="Q3163" s="4" t="inlineStr">
        <is>
          <t>FE_POR_COMBUSTIBLE_BTR1</t>
        </is>
      </c>
      <c r="R3163" s="4"/>
      <c r="S3163" s="4">
        <v>97500.0</v>
      </c>
      <c r="T3163" s="4" t="inlineStr">
        <is>
          <t>kg CO2/TJ</t>
        </is>
      </c>
      <c r="U3163" s="4"/>
      <c r="V3163" s="4"/>
      <c r="W3163" s="4" t="inlineStr">
        <is>
          <t>1.A.2</t>
        </is>
      </c>
      <c r="X3163" s="4" t="inlineStr">
        <is>
          <t>Industrias manufactureras y construcción</t>
        </is>
      </c>
      <c r="Y3163" s="4" t="inlineStr">
        <is>
          <t>COMB_COQUE</t>
        </is>
      </c>
      <c r="Z3163" s="4" t="s">
        <v>4012</v>
      </c>
      <c r="AA3163" s="13">
        <v>97500.0</v>
      </c>
      <c r="AB3163" s="4" t="s">
        <v>4275</v>
      </c>
      <c r="AC3163" s="4"/>
      <c r="AD3163" s="4"/>
      <c r="AE3163" s="4"/>
      <c r="AF3163" s="4"/>
      <c r="AG3163" s="4"/>
      <c r="AH3163" s="4"/>
      <c r="AI3163" s="4"/>
      <c r="AJ3163" s="4"/>
      <c r="AK3163" s="4"/>
      <c r="AL3163" s="4" t="inlineStr">
        <is>
          <t>BTR1 Guatemala 2024, tabla 3.6, p. 48; fila Coque de petróleo; gas CO2</t>
        </is>
      </c>
      <c r="AM3163"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164" customFormat="false" ht="46.25" hidden="false" customHeight="false" outlineLevel="0" collapsed="false">
      <c r="A3164" s="4" t="s">
        <v>4270</v>
      </c>
      <c r="B3164" s="4" t="inlineStr">
        <is>
          <t>FE_COMB|2019|1.A.2|COMB_COQUE|CH4</t>
        </is>
      </c>
      <c r="C3164" s="4" t="inlineStr">
        <is>
          <t>2019|1.A.2|COMB_COQUE|CH4</t>
        </is>
      </c>
      <c r="D3164" s="12" t="n">
        <v>2019</v>
      </c>
      <c r="E3164" s="12">
        <v>2024.0</v>
      </c>
      <c r="F3164" s="4" t="inlineStr">
        <is>
          <t>PRX</t>
        </is>
      </c>
      <c r="G3164" s="4" t="inlineStr">
        <is>
          <t>MARN_GTM_BTR1_2024</t>
        </is>
      </c>
      <c r="H3164" s="4" t="inlineStr">
        <is>
          <t>Guatemala. Primer Informe Bienal de Transparencia (BTR1), 2024</t>
        </is>
      </c>
      <c r="I3164" s="4" t="inlineStr">
        <is>
          <t>https://unfccc.int/documents/646195</t>
        </is>
      </c>
      <c r="J3164" s="4" t="inlineStr">
        <is>
          <t>BTR1|2024|T3.22|COQUE|CH4</t>
        </is>
      </c>
      <c r="K3164" s="4" t="inlineStr">
        <is>
          <t>COQUE</t>
        </is>
      </c>
      <c r="L3164" s="4" t="inlineStr">
        <is>
          <t>Coque</t>
        </is>
      </c>
      <c r="M3164" s="4"/>
      <c r="N3164" s="4"/>
      <c r="O3164" s="4"/>
      <c r="P3164" s="4"/>
      <c r="Q3164" s="4" t="inlineStr">
        <is>
          <t>FE_POR_COMBUSTIBLE_BTR1</t>
        </is>
      </c>
      <c r="R3164" s="4"/>
      <c r="S3164" s="4">
        <v>3.0</v>
      </c>
      <c r="T3164" s="4" t="inlineStr">
        <is>
          <t>kg CH4/TJ</t>
        </is>
      </c>
      <c r="U3164" s="4"/>
      <c r="V3164" s="4"/>
      <c r="W3164" s="4" t="inlineStr">
        <is>
          <t>1.A.2</t>
        </is>
      </c>
      <c r="X3164" s="4" t="inlineStr">
        <is>
          <t>Industrias manufactureras y construcción</t>
        </is>
      </c>
      <c r="Y3164" s="4" t="inlineStr">
        <is>
          <t>COMB_COQUE</t>
        </is>
      </c>
      <c r="Z3164" s="4" t="s">
        <v>4018</v>
      </c>
      <c r="AA3164" s="13">
        <v>3.0</v>
      </c>
      <c r="AB3164" s="4" t="s">
        <v>4281</v>
      </c>
      <c r="AC3164" s="4"/>
      <c r="AD3164" s="4"/>
      <c r="AE3164" s="4"/>
      <c r="AF3164" s="4"/>
      <c r="AG3164" s="4"/>
      <c r="AH3164" s="4"/>
      <c r="AI3164" s="4"/>
      <c r="AJ3164" s="4"/>
      <c r="AK3164" s="4"/>
      <c r="AL3164" s="4" t="inlineStr">
        <is>
          <t>BTR1 Guatemala 2024, tabla 3.22, p. 62; fila Coque de petróleo; gas CH4</t>
        </is>
      </c>
      <c r="AM3164"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165" customFormat="false" ht="46.25" hidden="false" customHeight="false" outlineLevel="0" collapsed="false">
      <c r="A3165" s="4" t="s">
        <v>4270</v>
      </c>
      <c r="B3165" s="4" t="inlineStr">
        <is>
          <t>FE_COMB|2019|1.A.2|COMB_COQUE|N2O</t>
        </is>
      </c>
      <c r="C3165" s="4" t="inlineStr">
        <is>
          <t>2019|1.A.2|COMB_COQUE|N2O</t>
        </is>
      </c>
      <c r="D3165" s="12" t="n">
        <v>2019</v>
      </c>
      <c r="E3165" s="12">
        <v>2024.0</v>
      </c>
      <c r="F3165" s="4" t="inlineStr">
        <is>
          <t>PRX</t>
        </is>
      </c>
      <c r="G3165" s="4" t="inlineStr">
        <is>
          <t>MARN_GTM_BTR1_2024</t>
        </is>
      </c>
      <c r="H3165" s="4" t="inlineStr">
        <is>
          <t>Guatemala. Primer Informe Bienal de Transparencia (BTR1), 2024</t>
        </is>
      </c>
      <c r="I3165" s="4" t="inlineStr">
        <is>
          <t>https://unfccc.int/documents/646195</t>
        </is>
      </c>
      <c r="J3165" s="4" t="inlineStr">
        <is>
          <t>BTR1|2024|T3.22|COQUE|N2O</t>
        </is>
      </c>
      <c r="K3165" s="4" t="inlineStr">
        <is>
          <t>COQUE</t>
        </is>
      </c>
      <c r="L3165" s="4" t="inlineStr">
        <is>
          <t>Coque</t>
        </is>
      </c>
      <c r="M3165" s="4"/>
      <c r="N3165" s="4"/>
      <c r="O3165" s="4"/>
      <c r="P3165" s="4"/>
      <c r="Q3165" s="4" t="inlineStr">
        <is>
          <t>FE_POR_COMBUSTIBLE_BTR1</t>
        </is>
      </c>
      <c r="R3165" s="4"/>
      <c r="S3165" s="4">
        <v>0.6</v>
      </c>
      <c r="T3165" s="4" t="inlineStr">
        <is>
          <t>kg N2O/TJ</t>
        </is>
      </c>
      <c r="U3165" s="4"/>
      <c r="V3165" s="4"/>
      <c r="W3165" s="4" t="inlineStr">
        <is>
          <t>1.A.2</t>
        </is>
      </c>
      <c r="X3165" s="4" t="inlineStr">
        <is>
          <t>Industrias manufactureras y construcción</t>
        </is>
      </c>
      <c r="Y3165" s="4" t="inlineStr">
        <is>
          <t>COMB_COQUE</t>
        </is>
      </c>
      <c r="Z3165" s="4" t="s">
        <v>4048</v>
      </c>
      <c r="AA3165" s="13">
        <v>0.6</v>
      </c>
      <c r="AB3165" s="4" t="s">
        <v>4287</v>
      </c>
      <c r="AC3165" s="4"/>
      <c r="AD3165" s="4"/>
      <c r="AE3165" s="4"/>
      <c r="AF3165" s="4"/>
      <c r="AG3165" s="4"/>
      <c r="AH3165" s="4"/>
      <c r="AI3165" s="4"/>
      <c r="AJ3165" s="4"/>
      <c r="AK3165" s="4"/>
      <c r="AL3165" s="4" t="inlineStr">
        <is>
          <t>BTR1 Guatemala 2024, tabla 3.22, p. 62; fila Coque de petróleo; gas N2O</t>
        </is>
      </c>
      <c r="AM3165"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166" customFormat="false" ht="57.45" hidden="false" customHeight="false" outlineLevel="0" collapsed="false">
      <c r="A3166" s="4" t="s">
        <v>4270</v>
      </c>
      <c r="B3166" s="4" t="inlineStr">
        <is>
          <t>FE_COMB|2019|1.A.2|COMB_DOIL|CO2</t>
        </is>
      </c>
      <c r="C3166" s="4" t="inlineStr">
        <is>
          <t>2019|1.A.2|COMB_DOIL|CO2</t>
        </is>
      </c>
      <c r="D3166" s="12" t="n">
        <v>2019</v>
      </c>
      <c r="E3166" s="12">
        <v>2024.0</v>
      </c>
      <c r="F3166" s="4" t="inlineStr">
        <is>
          <t>PRX</t>
        </is>
      </c>
      <c r="G3166" s="4" t="inlineStr">
        <is>
          <t>MARN_GTM_BTR1_2024</t>
        </is>
      </c>
      <c r="H3166" s="4" t="inlineStr">
        <is>
          <t>Guatemala. Primer Informe Bienal de Transparencia (BTR1), 2024</t>
        </is>
      </c>
      <c r="I3166" s="4" t="inlineStr">
        <is>
          <t>https://unfccc.int/documents/646195</t>
        </is>
      </c>
      <c r="J3166" s="4" t="inlineStr">
        <is>
          <t>BTR1|2024|T3.6|DOIL|CO2</t>
        </is>
      </c>
      <c r="K3166" s="4" t="inlineStr">
        <is>
          <t>DOIL</t>
        </is>
      </c>
      <c r="L3166" s="4" t="inlineStr">
        <is>
          <t>Diésel / gas oil</t>
        </is>
      </c>
      <c r="M3166" s="4"/>
      <c r="N3166" s="4"/>
      <c r="O3166" s="4"/>
      <c r="P3166" s="4"/>
      <c r="Q3166" s="4" t="inlineStr">
        <is>
          <t>FE_POR_COMBUSTIBLE_BTR1</t>
        </is>
      </c>
      <c r="R3166" s="4"/>
      <c r="S3166" s="4">
        <v>74100.0</v>
      </c>
      <c r="T3166" s="4" t="inlineStr">
        <is>
          <t>kg CO2/TJ</t>
        </is>
      </c>
      <c r="U3166" s="4"/>
      <c r="V3166" s="4"/>
      <c r="W3166" s="4" t="inlineStr">
        <is>
          <t>1.A.2</t>
        </is>
      </c>
      <c r="X3166" s="4" t="inlineStr">
        <is>
          <t>Industrias manufactureras y construcción</t>
        </is>
      </c>
      <c r="Y3166" s="4" t="inlineStr">
        <is>
          <t>COMB_DOIL</t>
        </is>
      </c>
      <c r="Z3166" s="4" t="s">
        <v>4012</v>
      </c>
      <c r="AA3166" s="13">
        <v>74100.0</v>
      </c>
      <c r="AB3166" s="4" t="s">
        <v>4275</v>
      </c>
      <c r="AC3166" s="4"/>
      <c r="AD3166" s="4"/>
      <c r="AE3166" s="4"/>
      <c r="AF3166" s="4"/>
      <c r="AG3166" s="4"/>
      <c r="AH3166" s="4"/>
      <c r="AI3166" s="4"/>
      <c r="AJ3166" s="4"/>
      <c r="AK3166" s="4"/>
      <c r="AL3166" s="4" t="inlineStr">
        <is>
          <t>BTR1 Guatemala 2024, tabla 3.6, p. 48; fila Gas/Diésel oíl; gas CO2</t>
        </is>
      </c>
      <c r="AM3166" s="4" t="inlineStr">
        <is>
          <t>Factor por combustible documentado en el BTR1, con origen metodológico IPCC. Se aplica como parámetro constante aproximado a 2018–2024; el año de la clave permite unirlo a la actividad, no representa una nueva observación anual.</t>
        </is>
      </c>
    </row>
    <row r="3167" customFormat="false" ht="57.45" hidden="false" customHeight="false" outlineLevel="0" collapsed="false">
      <c r="A3167" s="4" t="s">
        <v>4270</v>
      </c>
      <c r="B3167" s="4" t="inlineStr">
        <is>
          <t>FE_COMB|2019|1.A.2|COMB_DOIL|CH4</t>
        </is>
      </c>
      <c r="C3167" s="4" t="inlineStr">
        <is>
          <t>2019|1.A.2|COMB_DOIL|CH4</t>
        </is>
      </c>
      <c r="D3167" s="12" t="n">
        <v>2019</v>
      </c>
      <c r="E3167" s="12">
        <v>2024.0</v>
      </c>
      <c r="F3167" s="4" t="inlineStr">
        <is>
          <t>PRX</t>
        </is>
      </c>
      <c r="G3167" s="4" t="inlineStr">
        <is>
          <t>MARN_GTM_BTR1_2024</t>
        </is>
      </c>
      <c r="H3167" s="4" t="inlineStr">
        <is>
          <t>Guatemala. Primer Informe Bienal de Transparencia (BTR1), 2024</t>
        </is>
      </c>
      <c r="I3167" s="4" t="inlineStr">
        <is>
          <t>https://unfccc.int/documents/646195</t>
        </is>
      </c>
      <c r="J3167" s="4" t="inlineStr">
        <is>
          <t>BTR1|2024|T3.22|DOIL|CH4</t>
        </is>
      </c>
      <c r="K3167" s="4" t="inlineStr">
        <is>
          <t>DOIL</t>
        </is>
      </c>
      <c r="L3167" s="4" t="inlineStr">
        <is>
          <t>Diésel / gas oil</t>
        </is>
      </c>
      <c r="M3167" s="4"/>
      <c r="N3167" s="4"/>
      <c r="O3167" s="4"/>
      <c r="P3167" s="4"/>
      <c r="Q3167" s="4" t="inlineStr">
        <is>
          <t>FE_POR_COMBUSTIBLE_BTR1</t>
        </is>
      </c>
      <c r="R3167" s="4"/>
      <c r="S3167" s="4">
        <v>3.0</v>
      </c>
      <c r="T3167" s="4" t="inlineStr">
        <is>
          <t>kg CH4/TJ</t>
        </is>
      </c>
      <c r="U3167" s="4"/>
      <c r="V3167" s="4"/>
      <c r="W3167" s="4" t="inlineStr">
        <is>
          <t>1.A.2</t>
        </is>
      </c>
      <c r="X3167" s="4" t="inlineStr">
        <is>
          <t>Industrias manufactureras y construcción</t>
        </is>
      </c>
      <c r="Y3167" s="4" t="inlineStr">
        <is>
          <t>COMB_DOIL</t>
        </is>
      </c>
      <c r="Z3167" s="4" t="s">
        <v>4018</v>
      </c>
      <c r="AA3167" s="13">
        <v>3.0</v>
      </c>
      <c r="AB3167" s="4" t="s">
        <v>4281</v>
      </c>
      <c r="AC3167" s="4"/>
      <c r="AD3167" s="4"/>
      <c r="AE3167" s="4"/>
      <c r="AF3167" s="4"/>
      <c r="AG3167" s="4"/>
      <c r="AH3167" s="4"/>
      <c r="AI3167" s="4"/>
      <c r="AJ3167" s="4"/>
      <c r="AK3167" s="4"/>
      <c r="AL3167" s="4" t="inlineStr">
        <is>
          <t>BTR1 Guatemala 2024, tabla 3.22, p. 62; fila Diésel; gas CH4</t>
        </is>
      </c>
      <c r="AM3167" s="4" t="inlineStr">
        <is>
          <t>Factor por combustible documentado en el BTR1, con origen metodológico IPCC. Se aplica como parámetro constante aproximado a 2018–2024; el año de la clave permite unirlo a la actividad, no representa una nueva observación anual.</t>
        </is>
      </c>
    </row>
    <row r="3168" customFormat="false" ht="57.45" hidden="false" customHeight="false" outlineLevel="0" collapsed="false">
      <c r="A3168" s="4" t="s">
        <v>4270</v>
      </c>
      <c r="B3168" s="4" t="inlineStr">
        <is>
          <t>FE_COMB|2019|1.A.2|COMB_DOIL|N2O</t>
        </is>
      </c>
      <c r="C3168" s="4" t="inlineStr">
        <is>
          <t>2019|1.A.2|COMB_DOIL|N2O</t>
        </is>
      </c>
      <c r="D3168" s="12" t="n">
        <v>2019</v>
      </c>
      <c r="E3168" s="12">
        <v>2024.0</v>
      </c>
      <c r="F3168" s="4" t="inlineStr">
        <is>
          <t>PRX</t>
        </is>
      </c>
      <c r="G3168" s="4" t="inlineStr">
        <is>
          <t>MARN_GTM_BTR1_2024</t>
        </is>
      </c>
      <c r="H3168" s="4" t="inlineStr">
        <is>
          <t>Guatemala. Primer Informe Bienal de Transparencia (BTR1), 2024</t>
        </is>
      </c>
      <c r="I3168" s="4" t="inlineStr">
        <is>
          <t>https://unfccc.int/documents/646195</t>
        </is>
      </c>
      <c r="J3168" s="4" t="inlineStr">
        <is>
          <t>BTR1|2024|T3.22|DOIL|N2O</t>
        </is>
      </c>
      <c r="K3168" s="4" t="inlineStr">
        <is>
          <t>DOIL</t>
        </is>
      </c>
      <c r="L3168" s="4" t="inlineStr">
        <is>
          <t>Diésel / gas oil</t>
        </is>
      </c>
      <c r="M3168" s="4"/>
      <c r="N3168" s="4"/>
      <c r="O3168" s="4"/>
      <c r="P3168" s="4"/>
      <c r="Q3168" s="4" t="inlineStr">
        <is>
          <t>FE_POR_COMBUSTIBLE_BTR1</t>
        </is>
      </c>
      <c r="R3168" s="4"/>
      <c r="S3168" s="4">
        <v>0.6</v>
      </c>
      <c r="T3168" s="4" t="inlineStr">
        <is>
          <t>kg N2O/TJ</t>
        </is>
      </c>
      <c r="U3168" s="4"/>
      <c r="V3168" s="4"/>
      <c r="W3168" s="4" t="inlineStr">
        <is>
          <t>1.A.2</t>
        </is>
      </c>
      <c r="X3168" s="4" t="inlineStr">
        <is>
          <t>Industrias manufactureras y construcción</t>
        </is>
      </c>
      <c r="Y3168" s="4" t="inlineStr">
        <is>
          <t>COMB_DOIL</t>
        </is>
      </c>
      <c r="Z3168" s="4" t="s">
        <v>4048</v>
      </c>
      <c r="AA3168" s="13">
        <v>0.6</v>
      </c>
      <c r="AB3168" s="4" t="s">
        <v>4287</v>
      </c>
      <c r="AC3168" s="4"/>
      <c r="AD3168" s="4"/>
      <c r="AE3168" s="4"/>
      <c r="AF3168" s="4"/>
      <c r="AG3168" s="4"/>
      <c r="AH3168" s="4"/>
      <c r="AI3168" s="4"/>
      <c r="AJ3168" s="4"/>
      <c r="AK3168" s="4"/>
      <c r="AL3168" s="4" t="inlineStr">
        <is>
          <t>BTR1 Guatemala 2024, tabla 3.22, p. 62; fila Diésel; gas N2O</t>
        </is>
      </c>
      <c r="AM3168" s="4" t="inlineStr">
        <is>
          <t>Factor por combustible documentado en el BTR1, con origen metodológico IPCC. Se aplica como parámetro constante aproximado a 2018–2024; el año de la clave permite unirlo a la actividad, no representa una nueva observación anual.</t>
        </is>
      </c>
    </row>
    <row r="3169" customFormat="false" ht="46.25" hidden="false" customHeight="false" outlineLevel="0" collapsed="false">
      <c r="A3169" s="4" t="s">
        <v>4270</v>
      </c>
      <c r="B3169" s="4" t="inlineStr">
        <is>
          <t>FE_COMB|2019|1.A.2|COMB_FOIL|CO2</t>
        </is>
      </c>
      <c r="C3169" s="4" t="inlineStr">
        <is>
          <t>2019|1.A.2|COMB_FOIL|CO2</t>
        </is>
      </c>
      <c r="D3169" s="12" t="n">
        <v>2019</v>
      </c>
      <c r="E3169" s="12">
        <v>2024.0</v>
      </c>
      <c r="F3169" s="4" t="inlineStr">
        <is>
          <t>PRX</t>
        </is>
      </c>
      <c r="G3169" s="4" t="inlineStr">
        <is>
          <t>MARN_GTM_BTR1_2024</t>
        </is>
      </c>
      <c r="H3169" s="4" t="inlineStr">
        <is>
          <t>Guatemala. Primer Informe Bienal de Transparencia (BTR1), 2024</t>
        </is>
      </c>
      <c r="I3169" s="4" t="inlineStr">
        <is>
          <t>https://unfccc.int/documents/646195</t>
        </is>
      </c>
      <c r="J3169" s="4" t="inlineStr">
        <is>
          <t>BTR1|2024|T3.6|FOIL|CO2</t>
        </is>
      </c>
      <c r="K3169" s="4" t="inlineStr">
        <is>
          <t>FOIL</t>
        </is>
      </c>
      <c r="L3169" s="4" t="inlineStr">
        <is>
          <t>Fuel oil</t>
        </is>
      </c>
      <c r="M3169" s="4"/>
      <c r="N3169" s="4"/>
      <c r="O3169" s="4"/>
      <c r="P3169" s="4"/>
      <c r="Q3169" s="4" t="inlineStr">
        <is>
          <t>FE_POR_COMBUSTIBLE_BTR1</t>
        </is>
      </c>
      <c r="R3169" s="4"/>
      <c r="S3169" s="4">
        <v>77400.0</v>
      </c>
      <c r="T3169" s="4" t="inlineStr">
        <is>
          <t>kg CO2/TJ</t>
        </is>
      </c>
      <c r="U3169" s="4"/>
      <c r="V3169" s="4"/>
      <c r="W3169" s="4" t="inlineStr">
        <is>
          <t>1.A.2</t>
        </is>
      </c>
      <c r="X3169" s="4" t="inlineStr">
        <is>
          <t>Industrias manufactureras y construcción</t>
        </is>
      </c>
      <c r="Y3169" s="4" t="inlineStr">
        <is>
          <t>COMB_FOIL</t>
        </is>
      </c>
      <c r="Z3169" s="4" t="s">
        <v>4012</v>
      </c>
      <c r="AA3169" s="13">
        <v>77400.0</v>
      </c>
      <c r="AB3169" s="4" t="s">
        <v>4275</v>
      </c>
      <c r="AC3169" s="4"/>
      <c r="AD3169" s="4"/>
      <c r="AE3169" s="4"/>
      <c r="AF3169" s="4"/>
      <c r="AG3169" s="4"/>
      <c r="AH3169" s="4"/>
      <c r="AI3169" s="4"/>
      <c r="AJ3169" s="4"/>
      <c r="AK3169" s="4"/>
      <c r="AL3169" s="4" t="inlineStr">
        <is>
          <t>BTR1 Guatemala 2024, tabla 3.6, p. 48; fila Fuelóleo residual; gas CO2</t>
        </is>
      </c>
      <c r="AM3169" s="4" t="inlineStr">
        <is>
          <t>Factor por combustible documentado en el BTR1, con origen metodológico IPCC. Se aplica como parámetro constante aproximado a 2018–2024; el año de la clave permite unirlo a la actividad, no representa una nueva observación anual.</t>
        </is>
      </c>
    </row>
    <row r="3170" customFormat="false" ht="46.25" hidden="false" customHeight="false" outlineLevel="0" collapsed="false">
      <c r="A3170" s="4" t="s">
        <v>4270</v>
      </c>
      <c r="B3170" s="4" t="inlineStr">
        <is>
          <t>FE_COMB|2019|1.A.2|COMB_FOIL|CH4</t>
        </is>
      </c>
      <c r="C3170" s="4" t="inlineStr">
        <is>
          <t>2019|1.A.2|COMB_FOIL|CH4</t>
        </is>
      </c>
      <c r="D3170" s="12" t="n">
        <v>2019</v>
      </c>
      <c r="E3170" s="12">
        <v>2024.0</v>
      </c>
      <c r="F3170" s="4" t="inlineStr">
        <is>
          <t>PRX</t>
        </is>
      </c>
      <c r="G3170" s="4" t="inlineStr">
        <is>
          <t>MARN_GTM_BTR1_2024</t>
        </is>
      </c>
      <c r="H3170" s="4" t="inlineStr">
        <is>
          <t>Guatemala. Primer Informe Bienal de Transparencia (BTR1), 2024</t>
        </is>
      </c>
      <c r="I3170" s="4" t="inlineStr">
        <is>
          <t>https://unfccc.int/documents/646195</t>
        </is>
      </c>
      <c r="J3170" s="4" t="inlineStr">
        <is>
          <t>BTR1|2024|T3.22|FOIL|CH4</t>
        </is>
      </c>
      <c r="K3170" s="4" t="inlineStr">
        <is>
          <t>FOIL</t>
        </is>
      </c>
      <c r="L3170" s="4" t="inlineStr">
        <is>
          <t>Fuel oil</t>
        </is>
      </c>
      <c r="M3170" s="4"/>
      <c r="N3170" s="4"/>
      <c r="O3170" s="4"/>
      <c r="P3170" s="4"/>
      <c r="Q3170" s="4" t="inlineStr">
        <is>
          <t>FE_POR_COMBUSTIBLE_BTR1</t>
        </is>
      </c>
      <c r="R3170" s="4"/>
      <c r="S3170" s="4">
        <v>3.0</v>
      </c>
      <c r="T3170" s="4" t="inlineStr">
        <is>
          <t>kg CH4/TJ</t>
        </is>
      </c>
      <c r="U3170" s="4"/>
      <c r="V3170" s="4"/>
      <c r="W3170" s="4" t="inlineStr">
        <is>
          <t>1.A.2</t>
        </is>
      </c>
      <c r="X3170" s="4" t="inlineStr">
        <is>
          <t>Industrias manufactureras y construcción</t>
        </is>
      </c>
      <c r="Y3170" s="4" t="inlineStr">
        <is>
          <t>COMB_FOIL</t>
        </is>
      </c>
      <c r="Z3170" s="4" t="s">
        <v>4018</v>
      </c>
      <c r="AA3170" s="13">
        <v>3.0</v>
      </c>
      <c r="AB3170" s="4" t="s">
        <v>4281</v>
      </c>
      <c r="AC3170" s="4"/>
      <c r="AD3170" s="4"/>
      <c r="AE3170" s="4"/>
      <c r="AF3170" s="4"/>
      <c r="AG3170" s="4"/>
      <c r="AH3170" s="4"/>
      <c r="AI3170" s="4"/>
      <c r="AJ3170" s="4"/>
      <c r="AK3170" s="4"/>
      <c r="AL3170" s="4" t="inlineStr">
        <is>
          <t>BTR1 Guatemala 2024, tabla 3.22, p. 62; fila Fuelóleo residual; gas CH4</t>
        </is>
      </c>
      <c r="AM3170" s="4" t="inlineStr">
        <is>
          <t>Factor por combustible documentado en el BTR1, con origen metodológico IPCC. Se aplica como parámetro constante aproximado a 2018–2024; el año de la clave permite unirlo a la actividad, no representa una nueva observación anual.</t>
        </is>
      </c>
    </row>
    <row r="3171" customFormat="false" ht="46.25" hidden="false" customHeight="false" outlineLevel="0" collapsed="false">
      <c r="A3171" s="4" t="s">
        <v>4270</v>
      </c>
      <c r="B3171" s="4" t="inlineStr">
        <is>
          <t>FE_COMB|2019|1.A.2|COMB_FOIL|N2O</t>
        </is>
      </c>
      <c r="C3171" s="4" t="inlineStr">
        <is>
          <t>2019|1.A.2|COMB_FOIL|N2O</t>
        </is>
      </c>
      <c r="D3171" s="12" t="n">
        <v>2019</v>
      </c>
      <c r="E3171" s="12">
        <v>2024.0</v>
      </c>
      <c r="F3171" s="4" t="inlineStr">
        <is>
          <t>PRX</t>
        </is>
      </c>
      <c r="G3171" s="4" t="inlineStr">
        <is>
          <t>MARN_GTM_BTR1_2024</t>
        </is>
      </c>
      <c r="H3171" s="4" t="inlineStr">
        <is>
          <t>Guatemala. Primer Informe Bienal de Transparencia (BTR1), 2024</t>
        </is>
      </c>
      <c r="I3171" s="4" t="inlineStr">
        <is>
          <t>https://unfccc.int/documents/646195</t>
        </is>
      </c>
      <c r="J3171" s="4" t="inlineStr">
        <is>
          <t>BTR1|2024|T3.22|FOIL|N2O</t>
        </is>
      </c>
      <c r="K3171" s="4" t="inlineStr">
        <is>
          <t>FOIL</t>
        </is>
      </c>
      <c r="L3171" s="4" t="inlineStr">
        <is>
          <t>Fuel oil</t>
        </is>
      </c>
      <c r="M3171" s="4"/>
      <c r="N3171" s="4"/>
      <c r="O3171" s="4"/>
      <c r="P3171" s="4"/>
      <c r="Q3171" s="4" t="inlineStr">
        <is>
          <t>FE_POR_COMBUSTIBLE_BTR1</t>
        </is>
      </c>
      <c r="R3171" s="4"/>
      <c r="S3171" s="4">
        <v>0.6</v>
      </c>
      <c r="T3171" s="4" t="inlineStr">
        <is>
          <t>kg N2O/TJ</t>
        </is>
      </c>
      <c r="U3171" s="4"/>
      <c r="V3171" s="4"/>
      <c r="W3171" s="4" t="inlineStr">
        <is>
          <t>1.A.2</t>
        </is>
      </c>
      <c r="X3171" s="4" t="inlineStr">
        <is>
          <t>Industrias manufactureras y construcción</t>
        </is>
      </c>
      <c r="Y3171" s="4" t="inlineStr">
        <is>
          <t>COMB_FOIL</t>
        </is>
      </c>
      <c r="Z3171" s="4" t="s">
        <v>4048</v>
      </c>
      <c r="AA3171" s="13">
        <v>0.6</v>
      </c>
      <c r="AB3171" s="4" t="s">
        <v>4287</v>
      </c>
      <c r="AC3171" s="4"/>
      <c r="AD3171" s="4"/>
      <c r="AE3171" s="4"/>
      <c r="AF3171" s="4"/>
      <c r="AG3171" s="4"/>
      <c r="AH3171" s="4"/>
      <c r="AI3171" s="4"/>
      <c r="AJ3171" s="4"/>
      <c r="AK3171" s="4"/>
      <c r="AL3171" s="4" t="inlineStr">
        <is>
          <t>BTR1 Guatemala 2024, tabla 3.22, p. 62; fila Fuelóleo residual; gas N2O</t>
        </is>
      </c>
      <c r="AM3171" s="4" t="inlineStr">
        <is>
          <t>Factor por combustible documentado en el BTR1, con origen metodológico IPCC. Se aplica como parámetro constante aproximado a 2018–2024; el año de la clave permite unirlo a la actividad, no representa una nueva observación anual.</t>
        </is>
      </c>
    </row>
    <row r="3172" customFormat="false" ht="57.45" hidden="false" customHeight="false" outlineLevel="0" collapsed="false">
      <c r="A3172" s="4" t="s">
        <v>4270</v>
      </c>
      <c r="B3172" s="4" t="inlineStr">
        <is>
          <t>FE_COMB|2019|1.A.2|COMB_GAS|CO2</t>
        </is>
      </c>
      <c r="C3172" s="4" t="inlineStr">
        <is>
          <t>2019|1.A.2|COMB_GAS|CO2</t>
        </is>
      </c>
      <c r="D3172" s="12" t="n">
        <v>2019</v>
      </c>
      <c r="E3172" s="12">
        <v>2024.0</v>
      </c>
      <c r="F3172" s="4" t="inlineStr">
        <is>
          <t>PRX</t>
        </is>
      </c>
      <c r="G3172" s="4" t="inlineStr">
        <is>
          <t>MARN_GTM_BTR1_2024</t>
        </is>
      </c>
      <c r="H3172" s="4" t="inlineStr">
        <is>
          <t>Guatemala. Primer Informe Bienal de Transparencia (BTR1), 2024</t>
        </is>
      </c>
      <c r="I3172" s="4" t="inlineStr">
        <is>
          <t>https://unfccc.int/documents/646195</t>
        </is>
      </c>
      <c r="J3172" s="4" t="inlineStr">
        <is>
          <t>BTR1|2024|T3.6|GAS|CO2</t>
        </is>
      </c>
      <c r="K3172" s="4" t="inlineStr">
        <is>
          <t>GAS</t>
        </is>
      </c>
      <c r="L3172" s="4" t="inlineStr">
        <is>
          <t>Gasolinas</t>
        </is>
      </c>
      <c r="M3172" s="4"/>
      <c r="N3172" s="4"/>
      <c r="O3172" s="4"/>
      <c r="P3172" s="4"/>
      <c r="Q3172" s="4" t="inlineStr">
        <is>
          <t>FE_POR_COMBUSTIBLE_BTR1</t>
        </is>
      </c>
      <c r="R3172" s="4"/>
      <c r="S3172" s="4">
        <v>69300.0</v>
      </c>
      <c r="T3172" s="4" t="inlineStr">
        <is>
          <t>kg CO2/TJ</t>
        </is>
      </c>
      <c r="U3172" s="4"/>
      <c r="V3172" s="4"/>
      <c r="W3172" s="4" t="inlineStr">
        <is>
          <t>1.A.2</t>
        </is>
      </c>
      <c r="X3172" s="4" t="inlineStr">
        <is>
          <t>Industrias manufactureras y construcción</t>
        </is>
      </c>
      <c r="Y3172" s="4" t="inlineStr">
        <is>
          <t>COMB_GAS</t>
        </is>
      </c>
      <c r="Z3172" s="4" t="s">
        <v>4012</v>
      </c>
      <c r="AA3172" s="13">
        <v>69300.0</v>
      </c>
      <c r="AB3172" s="4" t="s">
        <v>4275</v>
      </c>
      <c r="AC3172" s="4"/>
      <c r="AD3172" s="4"/>
      <c r="AE3172" s="4"/>
      <c r="AF3172" s="4"/>
      <c r="AG3172" s="4"/>
      <c r="AH3172" s="4"/>
      <c r="AI3172" s="4"/>
      <c r="AJ3172" s="4"/>
      <c r="AK3172" s="4"/>
      <c r="AL3172" s="4" t="inlineStr">
        <is>
          <t>BTR1 Guatemala 2024, tabla 3.6, p. 48; fila Gasolina para motores; gas CO2</t>
        </is>
      </c>
      <c r="AM3172" s="4" t="inlineStr">
        <is>
          <t>Factor por combustible documentado en el BTR1, con origen metodológico IPCC. Se aplica como parámetro constante aproximado a 2018–2024; el año de la clave permite unirlo a la actividad, no representa una nueva observación anual.</t>
        </is>
      </c>
    </row>
    <row r="3173" customFormat="false" ht="57.45" hidden="false" customHeight="false" outlineLevel="0" collapsed="false">
      <c r="A3173" s="4" t="s">
        <v>4270</v>
      </c>
      <c r="B3173" s="4" t="inlineStr">
        <is>
          <t>FE_COMB|2019|1.A.2|COMB_GAS|CH4</t>
        </is>
      </c>
      <c r="C3173" s="4" t="inlineStr">
        <is>
          <t>2019|1.A.2|COMB_GAS|CH4</t>
        </is>
      </c>
      <c r="D3173" s="12" t="n">
        <v>2019</v>
      </c>
      <c r="E3173" s="12">
        <v>2024.0</v>
      </c>
      <c r="F3173" s="4" t="inlineStr">
        <is>
          <t>PRX</t>
        </is>
      </c>
      <c r="G3173" s="4" t="inlineStr">
        <is>
          <t>MARN_GTM_BTR1_2024</t>
        </is>
      </c>
      <c r="H3173" s="4" t="inlineStr">
        <is>
          <t>Guatemala. Primer Informe Bienal de Transparencia (BTR1), 2024</t>
        </is>
      </c>
      <c r="I3173" s="4" t="inlineStr">
        <is>
          <t>https://unfccc.int/documents/646195</t>
        </is>
      </c>
      <c r="J3173" s="4" t="inlineStr">
        <is>
          <t>BTR1|2024|T3.22|GAS|CH4</t>
        </is>
      </c>
      <c r="K3173" s="4" t="inlineStr">
        <is>
          <t>GAS</t>
        </is>
      </c>
      <c r="L3173" s="4" t="inlineStr">
        <is>
          <t>Gasolinas</t>
        </is>
      </c>
      <c r="M3173" s="4"/>
      <c r="N3173" s="4"/>
      <c r="O3173" s="4"/>
      <c r="P3173" s="4"/>
      <c r="Q3173" s="4" t="inlineStr">
        <is>
          <t>FE_POR_COMBUSTIBLE_BTR1</t>
        </is>
      </c>
      <c r="R3173" s="4"/>
      <c r="S3173" s="4">
        <v>3.0</v>
      </c>
      <c r="T3173" s="4" t="inlineStr">
        <is>
          <t>kg CH4/TJ</t>
        </is>
      </c>
      <c r="U3173" s="4"/>
      <c r="V3173" s="4"/>
      <c r="W3173" s="4" t="inlineStr">
        <is>
          <t>1.A.2</t>
        </is>
      </c>
      <c r="X3173" s="4" t="inlineStr">
        <is>
          <t>Industrias manufactureras y construcción</t>
        </is>
      </c>
      <c r="Y3173" s="4" t="inlineStr">
        <is>
          <t>COMB_GAS</t>
        </is>
      </c>
      <c r="Z3173" s="4" t="s">
        <v>4018</v>
      </c>
      <c r="AA3173" s="13">
        <v>3.0</v>
      </c>
      <c r="AB3173" s="4" t="s">
        <v>4281</v>
      </c>
      <c r="AC3173" s="4"/>
      <c r="AD3173" s="4"/>
      <c r="AE3173" s="4"/>
      <c r="AF3173" s="4"/>
      <c r="AG3173" s="4"/>
      <c r="AH3173" s="4"/>
      <c r="AI3173" s="4"/>
      <c r="AJ3173" s="4"/>
      <c r="AK3173" s="4"/>
      <c r="AL3173" s="4" t="inlineStr">
        <is>
          <t>BTR1 Guatemala 2024, tabla 3.22, p. 62; fila Gasolina para motores; gas CH4</t>
        </is>
      </c>
      <c r="AM3173" s="4" t="inlineStr">
        <is>
          <t>Factor por combustible documentado en el BTR1, con origen metodológico IPCC. Se aplica como parámetro constante aproximado a 2018–2024; el año de la clave permite unirlo a la actividad, no representa una nueva observación anual.</t>
        </is>
      </c>
    </row>
    <row r="3174" customFormat="false" ht="57.45" hidden="false" customHeight="false" outlineLevel="0" collapsed="false">
      <c r="A3174" s="4" t="s">
        <v>4270</v>
      </c>
      <c r="B3174" s="4" t="inlineStr">
        <is>
          <t>FE_COMB|2019|1.A.2|COMB_GAS|N2O</t>
        </is>
      </c>
      <c r="C3174" s="4" t="inlineStr">
        <is>
          <t>2019|1.A.2|COMB_GAS|N2O</t>
        </is>
      </c>
      <c r="D3174" s="12" t="n">
        <v>2019</v>
      </c>
      <c r="E3174" s="12">
        <v>2024.0</v>
      </c>
      <c r="F3174" s="4" t="inlineStr">
        <is>
          <t>PRX</t>
        </is>
      </c>
      <c r="G3174" s="4" t="inlineStr">
        <is>
          <t>MARN_GTM_BTR1_2024</t>
        </is>
      </c>
      <c r="H3174" s="4" t="inlineStr">
        <is>
          <t>Guatemala. Primer Informe Bienal de Transparencia (BTR1), 2024</t>
        </is>
      </c>
      <c r="I3174" s="4" t="inlineStr">
        <is>
          <t>https://unfccc.int/documents/646195</t>
        </is>
      </c>
      <c r="J3174" s="4" t="inlineStr">
        <is>
          <t>BTR1|2024|T3.22|GAS|N2O</t>
        </is>
      </c>
      <c r="K3174" s="4" t="inlineStr">
        <is>
          <t>GAS</t>
        </is>
      </c>
      <c r="L3174" s="4" t="inlineStr">
        <is>
          <t>Gasolinas</t>
        </is>
      </c>
      <c r="M3174" s="4"/>
      <c r="N3174" s="4"/>
      <c r="O3174" s="4"/>
      <c r="P3174" s="4"/>
      <c r="Q3174" s="4" t="inlineStr">
        <is>
          <t>FE_POR_COMBUSTIBLE_BTR1</t>
        </is>
      </c>
      <c r="R3174" s="4"/>
      <c r="S3174" s="4">
        <v>0.6</v>
      </c>
      <c r="T3174" s="4" t="inlineStr">
        <is>
          <t>kg N2O/TJ</t>
        </is>
      </c>
      <c r="U3174" s="4"/>
      <c r="V3174" s="4"/>
      <c r="W3174" s="4" t="inlineStr">
        <is>
          <t>1.A.2</t>
        </is>
      </c>
      <c r="X3174" s="4" t="inlineStr">
        <is>
          <t>Industrias manufactureras y construcción</t>
        </is>
      </c>
      <c r="Y3174" s="4" t="inlineStr">
        <is>
          <t>COMB_GAS</t>
        </is>
      </c>
      <c r="Z3174" s="4" t="s">
        <v>4048</v>
      </c>
      <c r="AA3174" s="13">
        <v>0.6</v>
      </c>
      <c r="AB3174" s="4" t="s">
        <v>4287</v>
      </c>
      <c r="AC3174" s="4"/>
      <c r="AD3174" s="4"/>
      <c r="AE3174" s="4"/>
      <c r="AF3174" s="4"/>
      <c r="AG3174" s="4"/>
      <c r="AH3174" s="4"/>
      <c r="AI3174" s="4"/>
      <c r="AJ3174" s="4"/>
      <c r="AK3174" s="4"/>
      <c r="AL3174" s="4" t="inlineStr">
        <is>
          <t>BTR1 Guatemala 2024, tabla 3.22, p. 62; fila Gasolina para motores; gas N2O</t>
        </is>
      </c>
      <c r="AM3174" s="4" t="inlineStr">
        <is>
          <t>Factor por combustible documentado en el BTR1, con origen metodológico IPCC. Se aplica como parámetro constante aproximado a 2018–2024; el año de la clave permite unirlo a la actividad, no representa una nueva observación anual.</t>
        </is>
      </c>
    </row>
    <row r="3175" customFormat="false" ht="57.45" hidden="false" customHeight="false" outlineLevel="0" collapsed="false">
      <c r="A3175" s="4" t="s">
        <v>4270</v>
      </c>
      <c r="B3175" s="4" t="inlineStr">
        <is>
          <t>FE_COMB|2019|1.A.2|COMB_GLP|CO2</t>
        </is>
      </c>
      <c r="C3175" s="4" t="inlineStr">
        <is>
          <t>2019|1.A.2|COMB_GLP|CO2</t>
        </is>
      </c>
      <c r="D3175" s="12" t="n">
        <v>2019</v>
      </c>
      <c r="E3175" s="12">
        <v>2024.0</v>
      </c>
      <c r="F3175" s="4" t="inlineStr">
        <is>
          <t>PRX</t>
        </is>
      </c>
      <c r="G3175" s="4" t="inlineStr">
        <is>
          <t>MARN_GTM_BTR1_2024</t>
        </is>
      </c>
      <c r="H3175" s="4" t="inlineStr">
        <is>
          <t>Guatemala. Primer Informe Bienal de Transparencia (BTR1), 2024</t>
        </is>
      </c>
      <c r="I3175" s="4" t="inlineStr">
        <is>
          <t>https://unfccc.int/documents/646195</t>
        </is>
      </c>
      <c r="J3175" s="4" t="inlineStr">
        <is>
          <t>BTR1|2024|T3.6|GLP|CO2</t>
        </is>
      </c>
      <c r="K3175" s="4" t="inlineStr">
        <is>
          <t>GLP</t>
        </is>
      </c>
      <c r="L3175" s="4" t="inlineStr">
        <is>
          <t>Gas licuado de petróleo (GLP)</t>
        </is>
      </c>
      <c r="M3175" s="4"/>
      <c r="N3175" s="4"/>
      <c r="O3175" s="4"/>
      <c r="P3175" s="4"/>
      <c r="Q3175" s="4" t="inlineStr">
        <is>
          <t>FE_POR_COMBUSTIBLE_BTR1</t>
        </is>
      </c>
      <c r="R3175" s="4"/>
      <c r="S3175" s="4">
        <v>63100.0</v>
      </c>
      <c r="T3175" s="4" t="inlineStr">
        <is>
          <t>kg CO2/TJ</t>
        </is>
      </c>
      <c r="U3175" s="4"/>
      <c r="V3175" s="4"/>
      <c r="W3175" s="4" t="inlineStr">
        <is>
          <t>1.A.2</t>
        </is>
      </c>
      <c r="X3175" s="4" t="inlineStr">
        <is>
          <t>Industrias manufactureras y construcción</t>
        </is>
      </c>
      <c r="Y3175" s="4" t="inlineStr">
        <is>
          <t>COMB_GLP</t>
        </is>
      </c>
      <c r="Z3175" s="4" t="s">
        <v>4012</v>
      </c>
      <c r="AA3175" s="13">
        <v>63100.0</v>
      </c>
      <c r="AB3175" s="4" t="s">
        <v>4275</v>
      </c>
      <c r="AC3175" s="4"/>
      <c r="AD3175" s="4"/>
      <c r="AE3175" s="4"/>
      <c r="AF3175" s="4"/>
      <c r="AG3175" s="4"/>
      <c r="AH3175" s="4"/>
      <c r="AI3175" s="4"/>
      <c r="AJ3175" s="4"/>
      <c r="AK3175" s="4"/>
      <c r="AL3175" s="4" t="inlineStr">
        <is>
          <t>BTR1 Guatemala 2024, tabla 3.6, p. 48; fila Gases licuados de petróleo; gas CO2</t>
        </is>
      </c>
      <c r="AM3175" s="4" t="inlineStr">
        <is>
          <t>Factor por combustible documentado en el BTR1, con origen metodológico IPCC. Se aplica como parámetro constante aproximado a 2018–2024; el año de la clave permite unirlo a la actividad, no representa una nueva observación anual.</t>
        </is>
      </c>
    </row>
    <row r="3176" customFormat="false" ht="57.45" hidden="false" customHeight="false" outlineLevel="0" collapsed="false">
      <c r="A3176" s="4" t="s">
        <v>4270</v>
      </c>
      <c r="B3176" s="4" t="inlineStr">
        <is>
          <t>FE_COMB|2019|1.A.2|COMB_GLP|CH4</t>
        </is>
      </c>
      <c r="C3176" s="4" t="inlineStr">
        <is>
          <t>2019|1.A.2|COMB_GLP|CH4</t>
        </is>
      </c>
      <c r="D3176" s="12" t="n">
        <v>2019</v>
      </c>
      <c r="E3176" s="12">
        <v>2024.0</v>
      </c>
      <c r="F3176" s="4" t="inlineStr">
        <is>
          <t>PRX</t>
        </is>
      </c>
      <c r="G3176" s="4" t="inlineStr">
        <is>
          <t>MARN_GTM_BTR1_2024</t>
        </is>
      </c>
      <c r="H3176" s="4" t="inlineStr">
        <is>
          <t>Guatemala. Primer Informe Bienal de Transparencia (BTR1), 2024</t>
        </is>
      </c>
      <c r="I3176" s="4" t="inlineStr">
        <is>
          <t>https://unfccc.int/documents/646195</t>
        </is>
      </c>
      <c r="J3176" s="4" t="inlineStr">
        <is>
          <t>BTR1|2024|T3.22|GLP|CH4</t>
        </is>
      </c>
      <c r="K3176" s="4" t="inlineStr">
        <is>
          <t>GLP</t>
        </is>
      </c>
      <c r="L3176" s="4" t="inlineStr">
        <is>
          <t>Gas licuado de petróleo (GLP)</t>
        </is>
      </c>
      <c r="M3176" s="4"/>
      <c r="N3176" s="4"/>
      <c r="O3176" s="4"/>
      <c r="P3176" s="4"/>
      <c r="Q3176" s="4" t="inlineStr">
        <is>
          <t>FE_POR_COMBUSTIBLE_BTR1</t>
        </is>
      </c>
      <c r="R3176" s="4"/>
      <c r="S3176" s="4">
        <v>1.0</v>
      </c>
      <c r="T3176" s="4" t="inlineStr">
        <is>
          <t>kg CH4/TJ</t>
        </is>
      </c>
      <c r="U3176" s="4"/>
      <c r="V3176" s="4"/>
      <c r="W3176" s="4" t="inlineStr">
        <is>
          <t>1.A.2</t>
        </is>
      </c>
      <c r="X3176" s="4" t="inlineStr">
        <is>
          <t>Industrias manufactureras y construcción</t>
        </is>
      </c>
      <c r="Y3176" s="4" t="inlineStr">
        <is>
          <t>COMB_GLP</t>
        </is>
      </c>
      <c r="Z3176" s="4" t="s">
        <v>4018</v>
      </c>
      <c r="AA3176" s="13">
        <v>1.0</v>
      </c>
      <c r="AB3176" s="4" t="s">
        <v>4281</v>
      </c>
      <c r="AC3176" s="4"/>
      <c r="AD3176" s="4"/>
      <c r="AE3176" s="4"/>
      <c r="AF3176" s="4"/>
      <c r="AG3176" s="4"/>
      <c r="AH3176" s="4"/>
      <c r="AI3176" s="4"/>
      <c r="AJ3176" s="4"/>
      <c r="AK3176" s="4"/>
      <c r="AL3176" s="4" t="inlineStr">
        <is>
          <t>BTR1 Guatemala 2024, tabla 3.22, p. 62; fila Gases licuados de petróleo; gas CH4</t>
        </is>
      </c>
      <c r="AM3176" s="4" t="inlineStr">
        <is>
          <t>Factor por combustible documentado en el BTR1, con origen metodológico IPCC. Se aplica como parámetro constante aproximado a 2018–2024; el año de la clave permite unirlo a la actividad, no representa una nueva observación anual.</t>
        </is>
      </c>
    </row>
    <row r="3177" customFormat="false" ht="57.45" hidden="false" customHeight="false" outlineLevel="0" collapsed="false">
      <c r="A3177" s="4" t="s">
        <v>4270</v>
      </c>
      <c r="B3177" s="4" t="inlineStr">
        <is>
          <t>FE_COMB|2019|1.A.2|COMB_GLP|N2O</t>
        </is>
      </c>
      <c r="C3177" s="4" t="inlineStr">
        <is>
          <t>2019|1.A.2|COMB_GLP|N2O</t>
        </is>
      </c>
      <c r="D3177" s="12" t="n">
        <v>2019</v>
      </c>
      <c r="E3177" s="12">
        <v>2024.0</v>
      </c>
      <c r="F3177" s="4" t="inlineStr">
        <is>
          <t>PRX</t>
        </is>
      </c>
      <c r="G3177" s="4" t="inlineStr">
        <is>
          <t>MARN_GTM_BTR1_2024</t>
        </is>
      </c>
      <c r="H3177" s="4" t="inlineStr">
        <is>
          <t>Guatemala. Primer Informe Bienal de Transparencia (BTR1), 2024</t>
        </is>
      </c>
      <c r="I3177" s="4" t="inlineStr">
        <is>
          <t>https://unfccc.int/documents/646195</t>
        </is>
      </c>
      <c r="J3177" s="4" t="inlineStr">
        <is>
          <t>BTR1|2024|T3.22|GLP|N2O</t>
        </is>
      </c>
      <c r="K3177" s="4" t="inlineStr">
        <is>
          <t>GLP</t>
        </is>
      </c>
      <c r="L3177" s="4" t="inlineStr">
        <is>
          <t>Gas licuado de petróleo (GLP)</t>
        </is>
      </c>
      <c r="M3177" s="4"/>
      <c r="N3177" s="4"/>
      <c r="O3177" s="4"/>
      <c r="P3177" s="4"/>
      <c r="Q3177" s="4" t="inlineStr">
        <is>
          <t>FE_POR_COMBUSTIBLE_BTR1</t>
        </is>
      </c>
      <c r="R3177" s="4"/>
      <c r="S3177" s="4">
        <v>0.1</v>
      </c>
      <c r="T3177" s="4" t="inlineStr">
        <is>
          <t>kg N2O/TJ</t>
        </is>
      </c>
      <c r="U3177" s="4"/>
      <c r="V3177" s="4"/>
      <c r="W3177" s="4" t="inlineStr">
        <is>
          <t>1.A.2</t>
        </is>
      </c>
      <c r="X3177" s="4" t="inlineStr">
        <is>
          <t>Industrias manufactureras y construcción</t>
        </is>
      </c>
      <c r="Y3177" s="4" t="inlineStr">
        <is>
          <t>COMB_GLP</t>
        </is>
      </c>
      <c r="Z3177" s="4" t="s">
        <v>4048</v>
      </c>
      <c r="AA3177" s="13">
        <v>0.1</v>
      </c>
      <c r="AB3177" s="4" t="s">
        <v>4287</v>
      </c>
      <c r="AC3177" s="4"/>
      <c r="AD3177" s="4"/>
      <c r="AE3177" s="4"/>
      <c r="AF3177" s="4"/>
      <c r="AG3177" s="4"/>
      <c r="AH3177" s="4"/>
      <c r="AI3177" s="4"/>
      <c r="AJ3177" s="4"/>
      <c r="AK3177" s="4"/>
      <c r="AL3177" s="4" t="inlineStr">
        <is>
          <t>BTR1 Guatemala 2024, tabla 3.22, p. 62; fila Gases licuados de petróleo; gas N2O</t>
        </is>
      </c>
      <c r="AM3177" s="4" t="inlineStr">
        <is>
          <t>Factor por combustible documentado en el BTR1, con origen metodológico IPCC. Se aplica como parámetro constante aproximado a 2018–2024; el año de la clave permite unirlo a la actividad, no representa una nueva observación anual.</t>
        </is>
      </c>
    </row>
    <row r="3178" customFormat="false" ht="57.45" hidden="false" customHeight="false" outlineLevel="0" collapsed="false">
      <c r="A3178" s="4" t="s">
        <v>4270</v>
      </c>
      <c r="B3178" s="4" t="inlineStr">
        <is>
          <t>FE_COMB|2019|1.A.2|COMB_KER|CO2</t>
        </is>
      </c>
      <c r="C3178" s="4" t="inlineStr">
        <is>
          <t>2019|1.A.2|COMB_KER|CO2</t>
        </is>
      </c>
      <c r="D3178" s="12" t="n">
        <v>2019</v>
      </c>
      <c r="E3178" s="12">
        <v>2024.0</v>
      </c>
      <c r="F3178" s="4" t="inlineStr">
        <is>
          <t>PRX</t>
        </is>
      </c>
      <c r="G3178" s="4" t="inlineStr">
        <is>
          <t>MARN_GTM_BTR1_2024</t>
        </is>
      </c>
      <c r="H3178" s="4" t="inlineStr">
        <is>
          <t>Guatemala. Primer Informe Bienal de Transparencia (BTR1), 2024</t>
        </is>
      </c>
      <c r="I3178" s="4" t="inlineStr">
        <is>
          <t>https://unfccc.int/documents/646195</t>
        </is>
      </c>
      <c r="J3178" s="4" t="inlineStr">
        <is>
          <t>BTR1|2024|T3.6|KER|CO2</t>
        </is>
      </c>
      <c r="K3178" s="4" t="inlineStr">
        <is>
          <t>KER</t>
        </is>
      </c>
      <c r="L3178" s="4" t="inlineStr">
        <is>
          <t>Keroseno</t>
        </is>
      </c>
      <c r="M3178" s="4"/>
      <c r="N3178" s="4"/>
      <c r="O3178" s="4"/>
      <c r="P3178" s="4"/>
      <c r="Q3178" s="4" t="inlineStr">
        <is>
          <t>FE_POR_COMBUSTIBLE_BTR1</t>
        </is>
      </c>
      <c r="R3178" s="4"/>
      <c r="S3178" s="4">
        <v>71900.0</v>
      </c>
      <c r="T3178" s="4" t="inlineStr">
        <is>
          <t>kg CO2/TJ</t>
        </is>
      </c>
      <c r="U3178" s="4"/>
      <c r="V3178" s="4"/>
      <c r="W3178" s="4" t="inlineStr">
        <is>
          <t>1.A.2</t>
        </is>
      </c>
      <c r="X3178" s="4" t="inlineStr">
        <is>
          <t>Industrias manufactureras y construcción</t>
        </is>
      </c>
      <c r="Y3178" s="4" t="inlineStr">
        <is>
          <t>COMB_KER</t>
        </is>
      </c>
      <c r="Z3178" s="4" t="s">
        <v>4012</v>
      </c>
      <c r="AA3178" s="13">
        <v>71900.0</v>
      </c>
      <c r="AB3178" s="4" t="s">
        <v>4275</v>
      </c>
      <c r="AC3178" s="4"/>
      <c r="AD3178" s="4"/>
      <c r="AE3178" s="4"/>
      <c r="AF3178" s="4"/>
      <c r="AG3178" s="4"/>
      <c r="AH3178" s="4"/>
      <c r="AI3178" s="4"/>
      <c r="AJ3178" s="4"/>
      <c r="AK3178" s="4"/>
      <c r="AL3178" s="4" t="inlineStr">
        <is>
          <t>BTR1 Guatemala 2024, tabla 3.6, p. 48; fila Otro queroseno; gas CO2</t>
        </is>
      </c>
      <c r="AM3178" s="4" t="inlineStr">
        <is>
          <t>Factor por combustible documentado en el BTR1, con origen metodológico IPCC. Se aplica como parámetro constante aproximado a 2018–2024; el año de la clave permite unirlo a la actividad, no representa una nueva observación anual.</t>
        </is>
      </c>
    </row>
    <row r="3179" customFormat="false" ht="57.45" hidden="false" customHeight="false" outlineLevel="0" collapsed="false">
      <c r="A3179" s="4" t="s">
        <v>4270</v>
      </c>
      <c r="B3179" s="4" t="inlineStr">
        <is>
          <t>FE_COMB|2019|1.A.2|COMB_KER|CH4</t>
        </is>
      </c>
      <c r="C3179" s="4" t="inlineStr">
        <is>
          <t>2019|1.A.2|COMB_KER|CH4</t>
        </is>
      </c>
      <c r="D3179" s="12" t="n">
        <v>2019</v>
      </c>
      <c r="E3179" s="12">
        <v>2024.0</v>
      </c>
      <c r="F3179" s="4" t="inlineStr">
        <is>
          <t>PRX</t>
        </is>
      </c>
      <c r="G3179" s="4" t="inlineStr">
        <is>
          <t>MARN_GTM_BTR1_2024</t>
        </is>
      </c>
      <c r="H3179" s="4" t="inlineStr">
        <is>
          <t>Guatemala. Primer Informe Bienal de Transparencia (BTR1), 2024</t>
        </is>
      </c>
      <c r="I3179" s="4" t="inlineStr">
        <is>
          <t>https://unfccc.int/documents/646195</t>
        </is>
      </c>
      <c r="J3179" s="4" t="inlineStr">
        <is>
          <t>BTR1|2024|T3.22|KER|CH4</t>
        </is>
      </c>
      <c r="K3179" s="4" t="inlineStr">
        <is>
          <t>KER</t>
        </is>
      </c>
      <c r="L3179" s="4" t="inlineStr">
        <is>
          <t>Keroseno</t>
        </is>
      </c>
      <c r="M3179" s="4"/>
      <c r="N3179" s="4"/>
      <c r="O3179" s="4"/>
      <c r="P3179" s="4"/>
      <c r="Q3179" s="4" t="inlineStr">
        <is>
          <t>FE_POR_COMBUSTIBLE_BTR1</t>
        </is>
      </c>
      <c r="R3179" s="4"/>
      <c r="S3179" s="4">
        <v>3.0</v>
      </c>
      <c r="T3179" s="4" t="inlineStr">
        <is>
          <t>kg CH4/TJ</t>
        </is>
      </c>
      <c r="U3179" s="4"/>
      <c r="V3179" s="4"/>
      <c r="W3179" s="4" t="inlineStr">
        <is>
          <t>1.A.2</t>
        </is>
      </c>
      <c r="X3179" s="4" t="inlineStr">
        <is>
          <t>Industrias manufactureras y construcción</t>
        </is>
      </c>
      <c r="Y3179" s="4" t="inlineStr">
        <is>
          <t>COMB_KER</t>
        </is>
      </c>
      <c r="Z3179" s="4" t="s">
        <v>4018</v>
      </c>
      <c r="AA3179" s="13">
        <v>3.0</v>
      </c>
      <c r="AB3179" s="4" t="s">
        <v>4281</v>
      </c>
      <c r="AC3179" s="4"/>
      <c r="AD3179" s="4"/>
      <c r="AE3179" s="4"/>
      <c r="AF3179" s="4"/>
      <c r="AG3179" s="4"/>
      <c r="AH3179" s="4"/>
      <c r="AI3179" s="4"/>
      <c r="AJ3179" s="4"/>
      <c r="AK3179" s="4"/>
      <c r="AL3179" s="4" t="inlineStr">
        <is>
          <t>BTR1 Guatemala 2024, tabla 3.22, p. 62; fila Otro queroseno; gas CH4</t>
        </is>
      </c>
      <c r="AM3179" s="4" t="inlineStr">
        <is>
          <t>Factor por combustible documentado en el BTR1, con origen metodológico IPCC. Se aplica como parámetro constante aproximado a 2018–2024; el año de la clave permite unirlo a la actividad, no representa una nueva observación anual.</t>
        </is>
      </c>
    </row>
    <row r="3180" customFormat="false" ht="57.45" hidden="false" customHeight="false" outlineLevel="0" collapsed="false">
      <c r="A3180" s="4" t="s">
        <v>4270</v>
      </c>
      <c r="B3180" s="4" t="inlineStr">
        <is>
          <t>FE_COMB|2019|1.A.2|COMB_KER|N2O</t>
        </is>
      </c>
      <c r="C3180" s="4" t="inlineStr">
        <is>
          <t>2019|1.A.2|COMB_KER|N2O</t>
        </is>
      </c>
      <c r="D3180" s="12" t="n">
        <v>2019</v>
      </c>
      <c r="E3180" s="12">
        <v>2024.0</v>
      </c>
      <c r="F3180" s="4" t="inlineStr">
        <is>
          <t>PRX</t>
        </is>
      </c>
      <c r="G3180" s="4" t="inlineStr">
        <is>
          <t>MARN_GTM_BTR1_2024</t>
        </is>
      </c>
      <c r="H3180" s="4" t="inlineStr">
        <is>
          <t>Guatemala. Primer Informe Bienal de Transparencia (BTR1), 2024</t>
        </is>
      </c>
      <c r="I3180" s="4" t="inlineStr">
        <is>
          <t>https://unfccc.int/documents/646195</t>
        </is>
      </c>
      <c r="J3180" s="4" t="inlineStr">
        <is>
          <t>BTR1|2024|T3.22|KER|N2O</t>
        </is>
      </c>
      <c r="K3180" s="4" t="inlineStr">
        <is>
          <t>KER</t>
        </is>
      </c>
      <c r="L3180" s="4" t="inlineStr">
        <is>
          <t>Keroseno</t>
        </is>
      </c>
      <c r="M3180" s="4"/>
      <c r="N3180" s="4"/>
      <c r="O3180" s="4"/>
      <c r="P3180" s="4"/>
      <c r="Q3180" s="4" t="inlineStr">
        <is>
          <t>FE_POR_COMBUSTIBLE_BTR1</t>
        </is>
      </c>
      <c r="R3180" s="4"/>
      <c r="S3180" s="4">
        <v>0.6</v>
      </c>
      <c r="T3180" s="4" t="inlineStr">
        <is>
          <t>kg N2O/TJ</t>
        </is>
      </c>
      <c r="U3180" s="4"/>
      <c r="V3180" s="4"/>
      <c r="W3180" s="4" t="inlineStr">
        <is>
          <t>1.A.2</t>
        </is>
      </c>
      <c r="X3180" s="4" t="inlineStr">
        <is>
          <t>Industrias manufactureras y construcción</t>
        </is>
      </c>
      <c r="Y3180" s="4" t="inlineStr">
        <is>
          <t>COMB_KER</t>
        </is>
      </c>
      <c r="Z3180" s="4" t="s">
        <v>4048</v>
      </c>
      <c r="AA3180" s="13">
        <v>0.6</v>
      </c>
      <c r="AB3180" s="4" t="s">
        <v>4287</v>
      </c>
      <c r="AC3180" s="4"/>
      <c r="AD3180" s="4"/>
      <c r="AE3180" s="4"/>
      <c r="AF3180" s="4"/>
      <c r="AG3180" s="4"/>
      <c r="AH3180" s="4"/>
      <c r="AI3180" s="4"/>
      <c r="AJ3180" s="4"/>
      <c r="AK3180" s="4"/>
      <c r="AL3180" s="4" t="inlineStr">
        <is>
          <t>BTR1 Guatemala 2024, tabla 3.22, p. 62; fila Otro queroseno; gas N2O</t>
        </is>
      </c>
      <c r="AM3180" s="4" t="inlineStr">
        <is>
          <t>Factor por combustible documentado en el BTR1, con origen metodológico IPCC. Se aplica como parámetro constante aproximado a 2018–2024; el año de la clave permite unirlo a la actividad, no representa una nueva observación anual.</t>
        </is>
      </c>
    </row>
    <row r="3181" customFormat="false" ht="57.45" hidden="false" customHeight="false" outlineLevel="0" collapsed="false">
      <c r="A3181" s="4" t="s">
        <v>4270</v>
      </c>
      <c r="B3181" s="4" t="inlineStr">
        <is>
          <t>FE_COMB|2019|1.A.3|COMB_DOIL|CO2</t>
        </is>
      </c>
      <c r="C3181" s="4" t="inlineStr">
        <is>
          <t>2019|1.A.3|COMB_DOIL|CO2</t>
        </is>
      </c>
      <c r="D3181" s="12" t="n">
        <v>2019</v>
      </c>
      <c r="E3181" s="12" t="n">
        <v>2019</v>
      </c>
      <c r="F3181" s="4" t="inlineStr">
        <is>
          <t>OBS</t>
        </is>
      </c>
      <c r="G3181" s="4" t="inlineStr">
        <is>
          <t>UNFCCC_GTM_CRT_2024</t>
        </is>
      </c>
      <c r="H3181" s="4" t="inlineStr">
        <is>
          <t>Guatemala. 2024 Common Reporting Table (CRT), V0.3</t>
        </is>
      </c>
      <c r="I3181" s="4" t="inlineStr">
        <is>
          <t>https://unfccc.int/documents/646206</t>
        </is>
      </c>
      <c r="J3181" s="4" t="inlineStr">
        <is>
          <t>CRT1A|2019|1.A.3|COMB_DOIL|CO2|FILAS:22</t>
        </is>
      </c>
      <c r="K3181" s="4" t="inlineStr">
        <is>
          <t>DOIL</t>
        </is>
      </c>
      <c r="L3181" s="4" t="inlineStr">
        <is>
          <t>Diésel / gas oil</t>
        </is>
      </c>
      <c r="M3181" s="4"/>
      <c r="N3181" s="4"/>
      <c r="O3181" s="4"/>
      <c r="P3181" s="4"/>
      <c r="Q3181" s="4" t="inlineStr">
        <is>
          <t>CRT_ANUAL_COMBUSTIBLE_ESPECIFICO</t>
        </is>
      </c>
      <c r="R3181" s="4"/>
      <c r="S3181" s="4"/>
      <c r="T3181" s="4"/>
      <c r="U3181" s="4">
        <v>69359.1939</v>
      </c>
      <c r="V3181" s="4"/>
      <c r="W3181" s="4" t="inlineStr">
        <is>
          <t>1.A.3</t>
        </is>
      </c>
      <c r="X3181" s="4" t="inlineStr">
        <is>
          <t>Transporte</t>
        </is>
      </c>
      <c r="Y3181" s="4" t="inlineStr">
        <is>
          <t>COMB_DOIL</t>
        </is>
      </c>
      <c r="Z3181" s="4" t="s">
        <v>4012</v>
      </c>
      <c r="AA3181" s="13">
        <v>74099.99988480259</v>
      </c>
      <c r="AB3181" s="4" t="s">
        <v>4275</v>
      </c>
      <c r="AC3181" s="4"/>
      <c r="AD3181" s="4">
        <v>5139.51626</v>
      </c>
      <c r="AE3181" s="4"/>
      <c r="AF3181" s="4"/>
      <c r="AG3181" s="4"/>
      <c r="AH3181" s="4"/>
      <c r="AI3181" s="4"/>
      <c r="AJ3181" s="4"/>
      <c r="AK3181" s="4"/>
      <c r="AL3181" s="4" t="inlineStr">
        <is>
          <t>GTM-CRT-2024-V0.3-2019-20250304-084824_started.xlsx; Table1.A(a)s3; AD=C22; EM=H22; IEF=E22</t>
        </is>
      </c>
      <c r="AM3181" s="4" t="inlineStr">
        <is>
          <t>Combustible específico en la categoría reportada CRT 1.A.3.b. BTR1 pp. 64–65 indica que la categoría incorpora navegación no desagregable; no interpretarla como medición exclusivamente vial. Aplicar a BEN-TR conserva esa cobertura reportada. Fórmula: 1000000*(H22)/(C22). SHA-256 CRT: 67d581bfd7a3e19c8ef8912e47014d2b2594b633567b44db6a66a46d21778680.</t>
        </is>
      </c>
    </row>
    <row r="3182" customFormat="false" ht="57.45" hidden="false" customHeight="false" outlineLevel="0" collapsed="false">
      <c r="A3182" s="4" t="s">
        <v>4270</v>
      </c>
      <c r="B3182" s="4" t="inlineStr">
        <is>
          <t>FE_COMB|2019|1.A.3|COMB_DOIL|CH4</t>
        </is>
      </c>
      <c r="C3182" s="4" t="inlineStr">
        <is>
          <t>2019|1.A.3|COMB_DOIL|CH4</t>
        </is>
      </c>
      <c r="D3182" s="12" t="n">
        <v>2019</v>
      </c>
      <c r="E3182" s="12" t="n">
        <v>2019</v>
      </c>
      <c r="F3182" s="4" t="inlineStr">
        <is>
          <t>OBS</t>
        </is>
      </c>
      <c r="G3182" s="4" t="inlineStr">
        <is>
          <t>UNFCCC_GTM_CRT_2024</t>
        </is>
      </c>
      <c r="H3182" s="4" t="inlineStr">
        <is>
          <t>Guatemala. 2024 Common Reporting Table (CRT), V0.3</t>
        </is>
      </c>
      <c r="I3182" s="4" t="inlineStr">
        <is>
          <t>https://unfccc.int/documents/646206</t>
        </is>
      </c>
      <c r="J3182" s="4" t="inlineStr">
        <is>
          <t>CRT1A|2019|1.A.3|COMB_DOIL|CH4|FILAS:22</t>
        </is>
      </c>
      <c r="K3182" s="4" t="inlineStr">
        <is>
          <t>DOIL</t>
        </is>
      </c>
      <c r="L3182" s="4" t="inlineStr">
        <is>
          <t>Diésel / gas oil</t>
        </is>
      </c>
      <c r="M3182" s="4"/>
      <c r="N3182" s="4"/>
      <c r="O3182" s="4"/>
      <c r="P3182" s="4"/>
      <c r="Q3182" s="4" t="inlineStr">
        <is>
          <t>CRT_ANUAL_COMBUSTIBLE_ESPECIFICO</t>
        </is>
      </c>
      <c r="R3182" s="4"/>
      <c r="S3182" s="4"/>
      <c r="T3182" s="4"/>
      <c r="U3182" s="4">
        <v>69359.1939</v>
      </c>
      <c r="V3182" s="4"/>
      <c r="W3182" s="4" t="inlineStr">
        <is>
          <t>1.A.3</t>
        </is>
      </c>
      <c r="X3182" s="4" t="inlineStr">
        <is>
          <t>Transporte</t>
        </is>
      </c>
      <c r="Y3182" s="4" t="inlineStr">
        <is>
          <t>COMB_DOIL</t>
        </is>
      </c>
      <c r="Z3182" s="4" t="s">
        <v>4018</v>
      </c>
      <c r="AA3182" s="13">
        <v>3.90000005464308</v>
      </c>
      <c r="AB3182" s="4" t="s">
        <v>4281</v>
      </c>
      <c r="AC3182" s="4"/>
      <c r="AD3182" s="4">
        <v>0.27050086</v>
      </c>
      <c r="AE3182" s="4"/>
      <c r="AF3182" s="4"/>
      <c r="AG3182" s="4"/>
      <c r="AH3182" s="4"/>
      <c r="AI3182" s="4"/>
      <c r="AJ3182" s="4"/>
      <c r="AK3182" s="4"/>
      <c r="AL3182" s="4" t="inlineStr">
        <is>
          <t>GTM-CRT-2024-V0.3-2019-20250304-084824_started.xlsx; Table1.A(a)s3; AD=C22; EM=I22; IEF=F22</t>
        </is>
      </c>
      <c r="AM3182" s="4" t="inlineStr">
        <is>
          <t>Combustible específico en la categoría reportada CRT 1.A.3.b. BTR1 pp. 64–65 indica que la categoría incorpora navegación no desagregable; no interpretarla como medición exclusivamente vial. Aplicar a BEN-TR conserva esa cobertura reportada. Fórmula: 1000000*(I22)/(C22). SHA-256 CRT: 67d581bfd7a3e19c8ef8912e47014d2b2594b633567b44db6a66a46d21778680.</t>
        </is>
      </c>
    </row>
    <row r="3183" customFormat="false" ht="57.45" hidden="false" customHeight="false" outlineLevel="0" collapsed="false">
      <c r="A3183" s="4" t="s">
        <v>4270</v>
      </c>
      <c r="B3183" s="4" t="inlineStr">
        <is>
          <t>FE_COMB|2019|1.A.3|COMB_DOIL|N2O</t>
        </is>
      </c>
      <c r="C3183" s="4" t="inlineStr">
        <is>
          <t>2019|1.A.3|COMB_DOIL|N2O</t>
        </is>
      </c>
      <c r="D3183" s="12" t="n">
        <v>2019</v>
      </c>
      <c r="E3183" s="12" t="n">
        <v>2019</v>
      </c>
      <c r="F3183" s="4" t="inlineStr">
        <is>
          <t>OBS</t>
        </is>
      </c>
      <c r="G3183" s="4" t="inlineStr">
        <is>
          <t>UNFCCC_GTM_CRT_2024</t>
        </is>
      </c>
      <c r="H3183" s="4" t="inlineStr">
        <is>
          <t>Guatemala. 2024 Common Reporting Table (CRT), V0.3</t>
        </is>
      </c>
      <c r="I3183" s="4" t="inlineStr">
        <is>
          <t>https://unfccc.int/documents/646206</t>
        </is>
      </c>
      <c r="J3183" s="4" t="inlineStr">
        <is>
          <t>CRT1A|2019|1.A.3|COMB_DOIL|N2O|FILAS:22</t>
        </is>
      </c>
      <c r="K3183" s="4" t="inlineStr">
        <is>
          <t>DOIL</t>
        </is>
      </c>
      <c r="L3183" s="4" t="inlineStr">
        <is>
          <t>Diésel / gas oil</t>
        </is>
      </c>
      <c r="M3183" s="4"/>
      <c r="N3183" s="4"/>
      <c r="O3183" s="4"/>
      <c r="P3183" s="4"/>
      <c r="Q3183" s="4" t="inlineStr">
        <is>
          <t>CRT_ANUAL_COMBUSTIBLE_ESPECIFICO</t>
        </is>
      </c>
      <c r="R3183" s="4"/>
      <c r="S3183" s="4"/>
      <c r="T3183" s="4"/>
      <c r="U3183" s="4">
        <v>69359.1939</v>
      </c>
      <c r="V3183" s="4"/>
      <c r="W3183" s="4" t="inlineStr">
        <is>
          <t>1.A.3</t>
        </is>
      </c>
      <c r="X3183" s="4" t="inlineStr">
        <is>
          <t>Transporte</t>
        </is>
      </c>
      <c r="Y3183" s="4" t="inlineStr">
        <is>
          <t>COMB_DOIL</t>
        </is>
      </c>
      <c r="Z3183" s="4" t="s">
        <v>4048</v>
      </c>
      <c r="AA3183" s="13">
        <v>3.90000005464308</v>
      </c>
      <c r="AB3183" s="4" t="s">
        <v>4287</v>
      </c>
      <c r="AC3183" s="4"/>
      <c r="AD3183" s="4">
        <v>0.27050086</v>
      </c>
      <c r="AE3183" s="4"/>
      <c r="AF3183" s="4"/>
      <c r="AG3183" s="4"/>
      <c r="AH3183" s="4"/>
      <c r="AI3183" s="4"/>
      <c r="AJ3183" s="4"/>
      <c r="AK3183" s="4"/>
      <c r="AL3183" s="4" t="inlineStr">
        <is>
          <t>GTM-CRT-2024-V0.3-2019-20250304-084824_started.xlsx; Table1.A(a)s3; AD=C22; EM=J22; IEF=G22</t>
        </is>
      </c>
      <c r="AM3183" s="4" t="inlineStr">
        <is>
          <t>Combustible específico en la categoría reportada CRT 1.A.3.b. BTR1 pp. 64–65 indica que la categoría incorpora navegación no desagregable; no interpretarla como medición exclusivamente vial. Aplicar a BEN-TR conserva esa cobertura reportada. Fórmula: 1000000*(J22)/(C22). SHA-256 CRT: 67d581bfd7a3e19c8ef8912e47014d2b2594b633567b44db6a66a46d21778680.</t>
        </is>
      </c>
    </row>
    <row r="3184" customFormat="false" ht="57.45" hidden="false" customHeight="false" outlineLevel="0" collapsed="false">
      <c r="A3184" s="4" t="s">
        <v>4270</v>
      </c>
      <c r="B3184" s="4" t="inlineStr">
        <is>
          <t>FE_COMB|2019|1.A.3|COMB_GAS|CO2</t>
        </is>
      </c>
      <c r="C3184" s="4" t="inlineStr">
        <is>
          <t>2019|1.A.3|COMB_GAS|CO2</t>
        </is>
      </c>
      <c r="D3184" s="12" t="n">
        <v>2019</v>
      </c>
      <c r="E3184" s="12" t="n">
        <v>2019</v>
      </c>
      <c r="F3184" s="4" t="inlineStr">
        <is>
          <t>PRX</t>
        </is>
      </c>
      <c r="G3184" s="4" t="inlineStr">
        <is>
          <t>UNFCCC_GTM_CRT_2024</t>
        </is>
      </c>
      <c r="H3184" s="4" t="inlineStr">
        <is>
          <t>Guatemala. 2024 Common Reporting Table (CRT), V0.3</t>
        </is>
      </c>
      <c r="I3184" s="4" t="inlineStr">
        <is>
          <t>https://unfccc.int/documents/646206</t>
        </is>
      </c>
      <c r="J3184" s="4" t="inlineStr">
        <is>
          <t>CRT1A|2019|1.A.3|COMB_GAS|CO2|FILAS:17+21</t>
        </is>
      </c>
      <c r="K3184" s="4" t="inlineStr">
        <is>
          <t>GAS</t>
        </is>
      </c>
      <c r="L3184" s="4" t="inlineStr">
        <is>
          <t>Gasolinas</t>
        </is>
      </c>
      <c r="M3184" s="4"/>
      <c r="N3184" s="4"/>
      <c r="O3184" s="4"/>
      <c r="P3184" s="4"/>
      <c r="Q3184" s="4" t="inlineStr">
        <is>
          <t>CRT_ANUAL_SUMA_EMISIONES_DIV_SUMA_ACTIVIDAD</t>
        </is>
      </c>
      <c r="R3184" s="4"/>
      <c r="S3184" s="4"/>
      <c r="T3184" s="4"/>
      <c r="U3184" s="4">
        <v>64419.13290145</v>
      </c>
      <c r="V3184" s="4"/>
      <c r="W3184" s="4" t="s">
        <v>3412</v>
      </c>
      <c r="X3184" s="4" t="inlineStr">
        <is>
          <t>Transporte</t>
        </is>
      </c>
      <c r="Y3184" s="4" t="inlineStr">
        <is>
          <t>COMB_GAS</t>
        </is>
      </c>
      <c r="Z3184" s="4" t="s">
        <v>4012</v>
      </c>
      <c r="AA3184" s="13">
        <v>69300.65423158644</v>
      </c>
      <c r="AB3184" s="4" t="s">
        <v>4275</v>
      </c>
      <c r="AC3184" s="4"/>
      <c r="AD3184" s="4">
        <v>4464.288055102</v>
      </c>
      <c r="AE3184" s="4"/>
      <c r="AF3184" s="4"/>
      <c r="AG3184" s="4"/>
      <c r="AH3184" s="4"/>
      <c r="AI3184" s="4"/>
      <c r="AJ3184" s="4"/>
      <c r="AK3184" s="4"/>
      <c r="AL3184" s="4" t="inlineStr">
        <is>
          <t>GTM-CRT-2024-V0.3-2019-20250304-084824_started.xlsx; Table1.A(a)s3; AD=C17+C21; EM=H17+H21; IEF=E17+E21</t>
        </is>
      </c>
      <c r="AM3184" s="4" t="inlineStr">
        <is>
          <t>Mezcla anual CRT de gasolina de aviación y gasolina de motor. BTR1 p. 66 confirma que GAS del BEN reúne ambos usos. Aplicar a GAS-TR supone representatividad de esa mezcla anual; no es un factor exclusivamente vial ni de un producto químicamente homogéneo. Fórmula: 1000000*(H17+H21)/(C17+C21). SHA-256 CRT: 67d581bfd7a3e19c8ef8912e47014d2b2594b633567b44db6a66a46d21778680. El cociente es una derivación CAL; su aplicación a la mezcla GAS-TR se identifica PRX.</t>
        </is>
      </c>
    </row>
    <row r="3185" customFormat="false" ht="57.45" hidden="false" customHeight="false" outlineLevel="0" collapsed="false">
      <c r="A3185" s="4" t="s">
        <v>4270</v>
      </c>
      <c r="B3185" s="4" t="inlineStr">
        <is>
          <t>FE_COMB|2019|1.A.3|COMB_GAS|CH4</t>
        </is>
      </c>
      <c r="C3185" s="4" t="inlineStr">
        <is>
          <t>2019|1.A.3|COMB_GAS|CH4</t>
        </is>
      </c>
      <c r="D3185" s="12" t="n">
        <v>2019</v>
      </c>
      <c r="E3185" s="12" t="n">
        <v>2019</v>
      </c>
      <c r="F3185" s="4" t="inlineStr">
        <is>
          <t>PRX</t>
        </is>
      </c>
      <c r="G3185" s="4" t="inlineStr">
        <is>
          <t>UNFCCC_GTM_CRT_2024</t>
        </is>
      </c>
      <c r="H3185" s="4" t="inlineStr">
        <is>
          <t>Guatemala. 2024 Common Reporting Table (CRT), V0.3</t>
        </is>
      </c>
      <c r="I3185" s="4" t="inlineStr">
        <is>
          <t>https://unfccc.int/documents/646206</t>
        </is>
      </c>
      <c r="J3185" s="4" t="inlineStr">
        <is>
          <t>CRT1A|2019|1.A.3|COMB_GAS|CH4|FILAS:17+21</t>
        </is>
      </c>
      <c r="K3185" s="4" t="inlineStr">
        <is>
          <t>GAS</t>
        </is>
      </c>
      <c r="L3185" s="4" t="inlineStr">
        <is>
          <t>Gasolinas</t>
        </is>
      </c>
      <c r="M3185" s="4"/>
      <c r="N3185" s="4"/>
      <c r="O3185" s="4"/>
      <c r="P3185" s="4"/>
      <c r="Q3185" s="4" t="inlineStr">
        <is>
          <t>CRT_ANUAL_SUMA_EMISIONES_DIV_SUMA_ACTIVIDAD</t>
        </is>
      </c>
      <c r="R3185" s="4"/>
      <c r="S3185" s="4"/>
      <c r="T3185" s="4"/>
      <c r="U3185" s="4">
        <v>64419.13290145</v>
      </c>
      <c r="V3185" s="4"/>
      <c r="W3185" s="4" t="s">
        <v>3412</v>
      </c>
      <c r="X3185" s="4" t="inlineStr">
        <is>
          <t>Transporte</t>
        </is>
      </c>
      <c r="Y3185" s="4" t="inlineStr">
        <is>
          <t>COMB_GAS</t>
        </is>
      </c>
      <c r="Z3185" s="4" t="s">
        <v>4018</v>
      </c>
      <c r="AA3185" s="13">
        <v>32.969620245419264</v>
      </c>
      <c r="AB3185" s="4" t="s">
        <v>4281</v>
      </c>
      <c r="AC3185" s="4"/>
      <c r="AD3185" s="4">
        <v>2.1238743483</v>
      </c>
      <c r="AE3185" s="4"/>
      <c r="AF3185" s="4"/>
      <c r="AG3185" s="4"/>
      <c r="AH3185" s="4"/>
      <c r="AI3185" s="4"/>
      <c r="AJ3185" s="4"/>
      <c r="AK3185" s="4"/>
      <c r="AL3185" s="4" t="inlineStr">
        <is>
          <t>GTM-CRT-2024-V0.3-2019-20250304-084824_started.xlsx; Table1.A(a)s3; AD=C17+C21; EM=I17+I21; IEF=F17+F21</t>
        </is>
      </c>
      <c r="AM3185" s="4" t="inlineStr">
        <is>
          <t>Mezcla anual CRT de gasolina de aviación y gasolina de motor. BTR1 p. 66 confirma que GAS del BEN reúne ambos usos. Aplicar a GAS-TR supone representatividad de esa mezcla anual; no es un factor exclusivamente vial ni de un producto químicamente homogéneo. Fórmula: 1000000*(I17+I21)/(C17+C21). SHA-256 CRT: 67d581bfd7a3e19c8ef8912e47014d2b2594b633567b44db6a66a46d21778680. El cociente es una derivación CAL; su aplicación a la mezcla GAS-TR se identifica PRX.</t>
        </is>
      </c>
    </row>
    <row r="3186" customFormat="false" ht="57.45" hidden="false" customHeight="false" outlineLevel="0" collapsed="false">
      <c r="A3186" s="4" t="s">
        <v>4270</v>
      </c>
      <c r="B3186" s="4" t="inlineStr">
        <is>
          <t>FE_COMB|2019|1.A.3|COMB_GAS|N2O</t>
        </is>
      </c>
      <c r="C3186" s="4" t="inlineStr">
        <is>
          <t>2019|1.A.3|COMB_GAS|N2O</t>
        </is>
      </c>
      <c r="D3186" s="12" t="n">
        <v>2019</v>
      </c>
      <c r="E3186" s="12" t="n">
        <v>2019</v>
      </c>
      <c r="F3186" s="4" t="inlineStr">
        <is>
          <t>PRX</t>
        </is>
      </c>
      <c r="G3186" s="4" t="inlineStr">
        <is>
          <t>UNFCCC_GTM_CRT_2024</t>
        </is>
      </c>
      <c r="H3186" s="4" t="inlineStr">
        <is>
          <t>Guatemala. 2024 Common Reporting Table (CRT), V0.3</t>
        </is>
      </c>
      <c r="I3186" s="4" t="inlineStr">
        <is>
          <t>https://unfccc.int/documents/646206</t>
        </is>
      </c>
      <c r="J3186" s="4" t="inlineStr">
        <is>
          <t>CRT1A|2019|1.A.3|COMB_GAS|N2O|FILAS:17+21</t>
        </is>
      </c>
      <c r="K3186" s="4" t="inlineStr">
        <is>
          <t>GAS</t>
        </is>
      </c>
      <c r="L3186" s="4" t="inlineStr">
        <is>
          <t>Gasolinas</t>
        </is>
      </c>
      <c r="M3186" s="4"/>
      <c r="N3186" s="4"/>
      <c r="O3186" s="4"/>
      <c r="P3186" s="4"/>
      <c r="Q3186" s="4" t="inlineStr">
        <is>
          <t>CRT_ANUAL_SUMA_EMISIONES_DIV_SUMA_ACTIVIDAD</t>
        </is>
      </c>
      <c r="R3186" s="4"/>
      <c r="S3186" s="4"/>
      <c r="T3186" s="4"/>
      <c r="U3186" s="4">
        <v>64419.13290145</v>
      </c>
      <c r="V3186" s="4"/>
      <c r="W3186" s="4" t="s">
        <v>3412</v>
      </c>
      <c r="X3186" s="4" t="inlineStr">
        <is>
          <t>Transporte</t>
        </is>
      </c>
      <c r="Y3186" s="4" t="inlineStr">
        <is>
          <t>COMB_GAS</t>
        </is>
      </c>
      <c r="Z3186" s="4" t="s">
        <v>4048</v>
      </c>
      <c r="AA3186" s="13">
        <v>3.1988782481013747</v>
      </c>
      <c r="AB3186" s="4" t="s">
        <v>4287</v>
      </c>
      <c r="AC3186" s="4"/>
      <c r="AD3186" s="4">
        <v>0.206068963</v>
      </c>
      <c r="AE3186" s="4"/>
      <c r="AF3186" s="4"/>
      <c r="AG3186" s="4"/>
      <c r="AH3186" s="4"/>
      <c r="AI3186" s="4"/>
      <c r="AJ3186" s="4"/>
      <c r="AK3186" s="4"/>
      <c r="AL3186" s="4" t="inlineStr">
        <is>
          <t>GTM-CRT-2024-V0.3-2019-20250304-084824_started.xlsx; Table1.A(a)s3; AD=C17+C21; EM=J17+J21; IEF=G17+G21</t>
        </is>
      </c>
      <c r="AM3186" s="4" t="inlineStr">
        <is>
          <t>Mezcla anual CRT de gasolina de aviación y gasolina de motor. BTR1 p. 66 confirma que GAS del BEN reúne ambos usos. Aplicar a GAS-TR supone representatividad de esa mezcla anual; no es un factor exclusivamente vial ni de un producto químicamente homogéneo. Fórmula: 1000000*(J17+J21)/(C17+C21). SHA-256 CRT: 67d581bfd7a3e19c8ef8912e47014d2b2594b633567b44db6a66a46d21778680. El cociente es una derivación CAL; su aplicación a la mezcla GAS-TR se identifica PRX.</t>
        </is>
      </c>
    </row>
    <row r="3187" customFormat="false" ht="57.45" hidden="false" customHeight="false" outlineLevel="0" collapsed="false">
      <c r="A3187" s="4" t="s">
        <v>4270</v>
      </c>
      <c r="B3187" s="4" t="inlineStr">
        <is>
          <t>FE_COMB|2019|1.A.3|COMB_GLP|CO2</t>
        </is>
      </c>
      <c r="C3187" s="4" t="inlineStr">
        <is>
          <t>2019|1.A.3|COMB_GLP|CO2</t>
        </is>
      </c>
      <c r="D3187" s="12" t="n">
        <v>2019</v>
      </c>
      <c r="E3187" s="12" t="n">
        <v>2019</v>
      </c>
      <c r="F3187" s="4" t="inlineStr">
        <is>
          <t>OBS</t>
        </is>
      </c>
      <c r="G3187" s="4" t="inlineStr">
        <is>
          <t>UNFCCC_GTM_CRT_2024</t>
        </is>
      </c>
      <c r="H3187" s="4" t="inlineStr">
        <is>
          <t>Guatemala. 2024 Common Reporting Table (CRT), V0.3</t>
        </is>
      </c>
      <c r="I3187" s="4" t="inlineStr">
        <is>
          <t>https://unfccc.int/documents/646206</t>
        </is>
      </c>
      <c r="J3187" s="4" t="inlineStr">
        <is>
          <t>CRT1A|2019|1.A.3|COMB_GLP|CO2|FILAS:23</t>
        </is>
      </c>
      <c r="K3187" s="4" t="inlineStr">
        <is>
          <t>GLP</t>
        </is>
      </c>
      <c r="L3187" s="4" t="inlineStr">
        <is>
          <t>Gas licuado de petróleo (GLP)</t>
        </is>
      </c>
      <c r="M3187" s="4"/>
      <c r="N3187" s="4"/>
      <c r="O3187" s="4"/>
      <c r="P3187" s="4"/>
      <c r="Q3187" s="4" t="inlineStr">
        <is>
          <t>CRT_ANUAL_COMBUSTIBLE_ESPECIFICO</t>
        </is>
      </c>
      <c r="R3187" s="4"/>
      <c r="S3187" s="4"/>
      <c r="T3187" s="4"/>
      <c r="U3187" s="4">
        <v>192.224029</v>
      </c>
      <c r="V3187" s="4"/>
      <c r="W3187" s="4" t="inlineStr">
        <is>
          <t>1.A.3</t>
        </is>
      </c>
      <c r="X3187" s="4" t="inlineStr">
        <is>
          <t>Transporte</t>
        </is>
      </c>
      <c r="Y3187" s="4" t="inlineStr">
        <is>
          <t>COMB_GLP</t>
        </is>
      </c>
      <c r="Z3187" s="4" t="s">
        <v>4012</v>
      </c>
      <c r="AA3187" s="13">
        <v>63099.99984445233</v>
      </c>
      <c r="AB3187" s="4" t="s">
        <v>4275</v>
      </c>
      <c r="AC3187" s="4"/>
      <c r="AD3187" s="4">
        <v>12.1293362</v>
      </c>
      <c r="AE3187" s="4"/>
      <c r="AF3187" s="4"/>
      <c r="AG3187" s="4"/>
      <c r="AH3187" s="4"/>
      <c r="AI3187" s="4"/>
      <c r="AJ3187" s="4"/>
      <c r="AK3187" s="4"/>
      <c r="AL3187" s="4" t="inlineStr">
        <is>
          <t>GTM-CRT-2024-V0.3-2019-20250304-084824_started.xlsx; Table1.A(a)s3; AD=C23; EM=H23; IEF=E23</t>
        </is>
      </c>
      <c r="AM3187" s="4" t="inlineStr">
        <is>
          <t>Combustible específico en la categoría reportada CRT 1.A.3.b. BTR1 pp. 64–65 indica que la categoría incorpora navegación no desagregable; no interpretarla como medición exclusivamente vial. Aplicar a BEN-TR conserva esa cobertura reportada. Fórmula: 1000000*(H23)/(C23). SHA-256 CRT: 67d581bfd7a3e19c8ef8912e47014d2b2594b633567b44db6a66a46d21778680.</t>
        </is>
      </c>
    </row>
    <row r="3188" customFormat="false" ht="57.45" hidden="false" customHeight="false" outlineLevel="0" collapsed="false">
      <c r="A3188" s="4" t="s">
        <v>4270</v>
      </c>
      <c r="B3188" s="4" t="inlineStr">
        <is>
          <t>FE_COMB|2019|1.A.3|COMB_GLP|CH4</t>
        </is>
      </c>
      <c r="C3188" s="4" t="inlineStr">
        <is>
          <t>2019|1.A.3|COMB_GLP|CH4</t>
        </is>
      </c>
      <c r="D3188" s="12" t="n">
        <v>2019</v>
      </c>
      <c r="E3188" s="12" t="n">
        <v>2019</v>
      </c>
      <c r="F3188" s="4" t="inlineStr">
        <is>
          <t>OBS</t>
        </is>
      </c>
      <c r="G3188" s="4" t="inlineStr">
        <is>
          <t>UNFCCC_GTM_CRT_2024</t>
        </is>
      </c>
      <c r="H3188" s="4" t="inlineStr">
        <is>
          <t>Guatemala. 2024 Common Reporting Table (CRT), V0.3</t>
        </is>
      </c>
      <c r="I3188" s="4" t="inlineStr">
        <is>
          <t>https://unfccc.int/documents/646206</t>
        </is>
      </c>
      <c r="J3188" s="4" t="inlineStr">
        <is>
          <t>CRT1A|2019|1.A.3|COMB_GLP|CH4|FILAS:23</t>
        </is>
      </c>
      <c r="K3188" s="4" t="inlineStr">
        <is>
          <t>GLP</t>
        </is>
      </c>
      <c r="L3188" s="4" t="inlineStr">
        <is>
          <t>Gas licuado de petróleo (GLP)</t>
        </is>
      </c>
      <c r="M3188" s="4"/>
      <c r="N3188" s="4"/>
      <c r="O3188" s="4"/>
      <c r="P3188" s="4"/>
      <c r="Q3188" s="4" t="inlineStr">
        <is>
          <t>CRT_ANUAL_COMBUSTIBLE_ESPECIFICO</t>
        </is>
      </c>
      <c r="R3188" s="4"/>
      <c r="S3188" s="4"/>
      <c r="T3188" s="4"/>
      <c r="U3188" s="4">
        <v>192.224029</v>
      </c>
      <c r="V3188" s="4"/>
      <c r="W3188" s="4" t="inlineStr">
        <is>
          <t>1.A.3</t>
        </is>
      </c>
      <c r="X3188" s="4" t="inlineStr">
        <is>
          <t>Transporte</t>
        </is>
      </c>
      <c r="Y3188" s="4" t="inlineStr">
        <is>
          <t>COMB_GLP</t>
        </is>
      </c>
      <c r="Z3188" s="4" t="s">
        <v>4018</v>
      </c>
      <c r="AA3188" s="13">
        <v>62.00000105085717</v>
      </c>
      <c r="AB3188" s="4" t="s">
        <v>4281</v>
      </c>
      <c r="AC3188" s="4"/>
      <c r="AD3188" s="4">
        <v>0.01191789</v>
      </c>
      <c r="AE3188" s="4"/>
      <c r="AF3188" s="4"/>
      <c r="AG3188" s="4"/>
      <c r="AH3188" s="4"/>
      <c r="AI3188" s="4"/>
      <c r="AJ3188" s="4"/>
      <c r="AK3188" s="4"/>
      <c r="AL3188" s="4" t="inlineStr">
        <is>
          <t>GTM-CRT-2024-V0.3-2019-20250304-084824_started.xlsx; Table1.A(a)s3; AD=C23; EM=I23; IEF=F23</t>
        </is>
      </c>
      <c r="AM3188" s="4" t="inlineStr">
        <is>
          <t>Combustible específico en la categoría reportada CRT 1.A.3.b. BTR1 pp. 64–65 indica que la categoría incorpora navegación no desagregable; no interpretarla como medición exclusivamente vial. Aplicar a BEN-TR conserva esa cobertura reportada. Fórmula: 1000000*(I23)/(C23). SHA-256 CRT: 67d581bfd7a3e19c8ef8912e47014d2b2594b633567b44db6a66a46d21778680.</t>
        </is>
      </c>
    </row>
    <row r="3189" customFormat="false" ht="57.45" hidden="false" customHeight="false" outlineLevel="0" collapsed="false">
      <c r="A3189" s="4" t="s">
        <v>4270</v>
      </c>
      <c r="B3189" s="4" t="inlineStr">
        <is>
          <t>FE_COMB|2019|1.A.3|COMB_GLP|N2O</t>
        </is>
      </c>
      <c r="C3189" s="4" t="inlineStr">
        <is>
          <t>2019|1.A.3|COMB_GLP|N2O</t>
        </is>
      </c>
      <c r="D3189" s="12" t="n">
        <v>2019</v>
      </c>
      <c r="E3189" s="12" t="n">
        <v>2019</v>
      </c>
      <c r="F3189" s="4" t="inlineStr">
        <is>
          <t>OBS</t>
        </is>
      </c>
      <c r="G3189" s="4" t="inlineStr">
        <is>
          <t>UNFCCC_GTM_CRT_2024</t>
        </is>
      </c>
      <c r="H3189" s="4" t="inlineStr">
        <is>
          <t>Guatemala. 2024 Common Reporting Table (CRT), V0.3</t>
        </is>
      </c>
      <c r="I3189" s="4" t="inlineStr">
        <is>
          <t>https://unfccc.int/documents/646206</t>
        </is>
      </c>
      <c r="J3189" s="4" t="inlineStr">
        <is>
          <t>CRT1A|2019|1.A.3|COMB_GLP|N2O|FILAS:23</t>
        </is>
      </c>
      <c r="K3189" s="4" t="inlineStr">
        <is>
          <t>GLP</t>
        </is>
      </c>
      <c r="L3189" s="4" t="inlineStr">
        <is>
          <t>Gas licuado de petróleo (GLP)</t>
        </is>
      </c>
      <c r="M3189" s="4"/>
      <c r="N3189" s="4"/>
      <c r="O3189" s="4"/>
      <c r="P3189" s="4"/>
      <c r="Q3189" s="4" t="inlineStr">
        <is>
          <t>CRT_ANUAL_COMBUSTIBLE_ESPECIFICO</t>
        </is>
      </c>
      <c r="R3189" s="4"/>
      <c r="S3189" s="4"/>
      <c r="T3189" s="4"/>
      <c r="U3189" s="4">
        <v>192.224029</v>
      </c>
      <c r="V3189" s="4"/>
      <c r="W3189" s="4" t="inlineStr">
        <is>
          <t>1.A.3</t>
        </is>
      </c>
      <c r="X3189" s="4" t="inlineStr">
        <is>
          <t>Transporte</t>
        </is>
      </c>
      <c r="Y3189" s="4" t="inlineStr">
        <is>
          <t>COMB_GLP</t>
        </is>
      </c>
      <c r="Z3189" s="4" t="s">
        <v>4048</v>
      </c>
      <c r="AA3189" s="13">
        <v>0.2000010102795213</v>
      </c>
      <c r="AB3189" s="4" t="s">
        <v>4287</v>
      </c>
      <c r="AC3189" s="4"/>
      <c r="AD3189" s="4">
        <v>3.8445e-05</v>
      </c>
      <c r="AE3189" s="4"/>
      <c r="AF3189" s="4"/>
      <c r="AG3189" s="4"/>
      <c r="AH3189" s="4"/>
      <c r="AI3189" s="4"/>
      <c r="AJ3189" s="4"/>
      <c r="AK3189" s="4"/>
      <c r="AL3189" s="4" t="inlineStr">
        <is>
          <t>GTM-CRT-2024-V0.3-2019-20250304-084824_started.xlsx; Table1.A(a)s3; AD=C23; EM=J23; IEF=G23</t>
        </is>
      </c>
      <c r="AM3189" s="4" t="inlineStr">
        <is>
          <t>Combustible específico en la categoría reportada CRT 1.A.3.b. BTR1 pp. 64–65 indica que la categoría incorpora navegación no desagregable; no interpretarla como medición exclusivamente vial. Aplicar a BEN-TR conserva esa cobertura reportada. Fórmula: 1000000*(J23)/(C23). SHA-256 CRT: 67d581bfd7a3e19c8ef8912e47014d2b2594b633567b44db6a66a46d21778680.</t>
        </is>
      </c>
    </row>
    <row r="3190" customFormat="false" ht="57.45" hidden="false" customHeight="false" outlineLevel="0" collapsed="false">
      <c r="A3190" s="4" t="s">
        <v>4270</v>
      </c>
      <c r="B3190" s="4" t="inlineStr">
        <is>
          <t>FE_COMB|2019|1.A.3|COMB_KER|CO2</t>
        </is>
      </c>
      <c r="C3190" s="4" t="inlineStr">
        <is>
          <t>2019|1.A.3|COMB_KER|CO2</t>
        </is>
      </c>
      <c r="D3190" s="12" t="n">
        <v>2019</v>
      </c>
      <c r="E3190" s="12">
        <v>2006.0</v>
      </c>
      <c r="F3190" s="4" t="inlineStr">
        <is>
          <t>PRX</t>
        </is>
      </c>
      <c r="G3190" s="4" t="inlineStr">
        <is>
          <t>IPCC_2006_GL</t>
        </is>
      </c>
      <c r="H3190" s="4" t="inlineStr">
        <is>
          <t>IPCC. 2006 Guidelines for National Greenhouse Gas Inventories, Volume 2: Energy</t>
        </is>
      </c>
      <c r="I3190" s="4" t="inlineStr">
        <is>
          <t>https://www.ipcc-nggip.iges.or.jp/public/2006gl/pdf/2_Volume2/V2_3_Ch3_Mobile_Combustion.pdf</t>
        </is>
      </c>
      <c r="J3190" s="4" t="inlineStr">
        <is>
          <t>IPCC2006|V2|C3|T3.6.4|JET_KEROSENE|CO2</t>
        </is>
      </c>
      <c r="K3190" s="4" t="inlineStr">
        <is>
          <t>KER</t>
        </is>
      </c>
      <c r="L3190" s="4" t="inlineStr">
        <is>
          <t>Keroseno</t>
        </is>
      </c>
      <c r="M3190" s="4"/>
      <c r="N3190" s="4"/>
      <c r="O3190" s="4"/>
      <c r="P3190" s="4"/>
      <c r="Q3190" s="4" t="inlineStr">
        <is>
          <t>FE_POR_DEFECTO_IPCC_2006</t>
        </is>
      </c>
      <c r="R3190" s="4"/>
      <c r="S3190" s="4">
        <v>71500.0</v>
      </c>
      <c r="T3190" s="4" t="inlineStr">
        <is>
          <t>kg CO2/TJ</t>
        </is>
      </c>
      <c r="U3190" s="4"/>
      <c r="V3190" s="4"/>
      <c r="W3190" s="4" t="inlineStr">
        <is>
          <t>1.A.3</t>
        </is>
      </c>
      <c r="X3190" s="4" t="inlineStr">
        <is>
          <t>Transporte</t>
        </is>
      </c>
      <c r="Y3190" s="4" t="inlineStr">
        <is>
          <t>COMB_KER</t>
        </is>
      </c>
      <c r="Z3190" s="4" t="s">
        <v>4012</v>
      </c>
      <c r="AA3190" s="13">
        <v>71500.0</v>
      </c>
      <c r="AB3190" s="4" t="s">
        <v>4275</v>
      </c>
      <c r="AC3190" s="4"/>
      <c r="AD3190" s="4"/>
      <c r="AE3190" s="4"/>
      <c r="AF3190" s="4"/>
      <c r="AG3190" s="4"/>
      <c r="AH3190" s="4"/>
      <c r="AI3190" s="4"/>
      <c r="AJ3190" s="4"/>
      <c r="AK3190" s="4"/>
      <c r="AL3190" s="4" t="inlineStr">
        <is>
          <t>Volumen 2, capítulo 3, tabla 3.6.4, p. 3.64; fila Jet Kerosene; gas CO2</t>
        </is>
      </c>
      <c r="AM3190" s="4" t="inlineStr">
        <is>
          <t>Factor por defecto de aviación aplicado como aproximación a KER-TR. BTR1 Guatemala, p. 66, sustenta el uso de queroseno de aviación. No se agrega actividad internacional de las CRT ni se altera la actividad BEN. Valor constante, no observación anual del país.</t>
        </is>
      </c>
    </row>
    <row r="3191" customFormat="false" ht="57.45" hidden="false" customHeight="false" outlineLevel="0" collapsed="false">
      <c r="A3191" s="4" t="s">
        <v>4270</v>
      </c>
      <c r="B3191" s="4" t="inlineStr">
        <is>
          <t>FE_COMB|2019|1.A.3|COMB_KER|CH4</t>
        </is>
      </c>
      <c r="C3191" s="4" t="inlineStr">
        <is>
          <t>2019|1.A.3|COMB_KER|CH4</t>
        </is>
      </c>
      <c r="D3191" s="12" t="n">
        <v>2019</v>
      </c>
      <c r="E3191" s="12">
        <v>2006.0</v>
      </c>
      <c r="F3191" s="4" t="inlineStr">
        <is>
          <t>PRX</t>
        </is>
      </c>
      <c r="G3191" s="4" t="inlineStr">
        <is>
          <t>IPCC_2006_GL</t>
        </is>
      </c>
      <c r="H3191" s="4" t="inlineStr">
        <is>
          <t>IPCC. 2006 Guidelines for National Greenhouse Gas Inventories, Volume 2: Energy</t>
        </is>
      </c>
      <c r="I3191" s="4" t="inlineStr">
        <is>
          <t>https://www.ipcc-nggip.iges.or.jp/public/2006gl/pdf/2_Volume2/V2_3_Ch3_Mobile_Combustion.pdf</t>
        </is>
      </c>
      <c r="J3191" s="4" t="inlineStr">
        <is>
          <t>IPCC2006|V2|C3|T3.6.5|JET_KEROSENE|CH4</t>
        </is>
      </c>
      <c r="K3191" s="4" t="inlineStr">
        <is>
          <t>KER</t>
        </is>
      </c>
      <c r="L3191" s="4" t="inlineStr">
        <is>
          <t>Keroseno</t>
        </is>
      </c>
      <c r="M3191" s="4"/>
      <c r="N3191" s="4"/>
      <c r="O3191" s="4"/>
      <c r="P3191" s="4"/>
      <c r="Q3191" s="4" t="inlineStr">
        <is>
          <t>FE_POR_DEFECTO_IPCC_2006</t>
        </is>
      </c>
      <c r="R3191" s="4"/>
      <c r="S3191" s="4">
        <v>0.5</v>
      </c>
      <c r="T3191" s="4" t="inlineStr">
        <is>
          <t>kg CH4/TJ</t>
        </is>
      </c>
      <c r="U3191" s="4"/>
      <c r="V3191" s="4"/>
      <c r="W3191" s="4" t="inlineStr">
        <is>
          <t>1.A.3</t>
        </is>
      </c>
      <c r="X3191" s="4" t="inlineStr">
        <is>
          <t>Transporte</t>
        </is>
      </c>
      <c r="Y3191" s="4" t="inlineStr">
        <is>
          <t>COMB_KER</t>
        </is>
      </c>
      <c r="Z3191" s="4" t="s">
        <v>4018</v>
      </c>
      <c r="AA3191" s="13">
        <v>0.5</v>
      </c>
      <c r="AB3191" s="4" t="s">
        <v>4281</v>
      </c>
      <c r="AC3191" s="4"/>
      <c r="AD3191" s="4"/>
      <c r="AE3191" s="4"/>
      <c r="AF3191" s="4"/>
      <c r="AG3191" s="4"/>
      <c r="AH3191" s="4"/>
      <c r="AI3191" s="4"/>
      <c r="AJ3191" s="4"/>
      <c r="AK3191" s="4"/>
      <c r="AL3191" s="4" t="inlineStr">
        <is>
          <t>Volumen 2, capítulo 3, tabla 3.6.5, p. 3.64; fila All fuels; gas CH4</t>
        </is>
      </c>
      <c r="AM3191" s="4" t="inlineStr">
        <is>
          <t>Factor por defecto de aviación aplicado como aproximación a KER-TR. BTR1 Guatemala, p. 66, sustenta el uso de queroseno de aviación. No se agrega actividad internacional de las CRT ni se altera la actividad BEN. Valor constante, no observación anual del país.</t>
        </is>
      </c>
    </row>
    <row r="3192" customFormat="false" ht="57.45" hidden="false" customHeight="false" outlineLevel="0" collapsed="false">
      <c r="A3192" s="4" t="s">
        <v>4270</v>
      </c>
      <c r="B3192" s="4" t="inlineStr">
        <is>
          <t>FE_COMB|2019|1.A.3|COMB_KER|N2O</t>
        </is>
      </c>
      <c r="C3192" s="4" t="inlineStr">
        <is>
          <t>2019|1.A.3|COMB_KER|N2O</t>
        </is>
      </c>
      <c r="D3192" s="12" t="n">
        <v>2019</v>
      </c>
      <c r="E3192" s="12">
        <v>2006.0</v>
      </c>
      <c r="F3192" s="4" t="inlineStr">
        <is>
          <t>PRX</t>
        </is>
      </c>
      <c r="G3192" s="4" t="inlineStr">
        <is>
          <t>IPCC_2006_GL</t>
        </is>
      </c>
      <c r="H3192" s="4" t="inlineStr">
        <is>
          <t>IPCC. 2006 Guidelines for National Greenhouse Gas Inventories, Volume 2: Energy</t>
        </is>
      </c>
      <c r="I3192" s="4" t="inlineStr">
        <is>
          <t>https://www.ipcc-nggip.iges.or.jp/public/2006gl/pdf/2_Volume2/V2_3_Ch3_Mobile_Combustion.pdf</t>
        </is>
      </c>
      <c r="J3192" s="4" t="inlineStr">
        <is>
          <t>IPCC2006|V2|C3|T3.6.5|JET_KEROSENE|N2O</t>
        </is>
      </c>
      <c r="K3192" s="4" t="inlineStr">
        <is>
          <t>KER</t>
        </is>
      </c>
      <c r="L3192" s="4" t="inlineStr">
        <is>
          <t>Keroseno</t>
        </is>
      </c>
      <c r="M3192" s="4"/>
      <c r="N3192" s="4"/>
      <c r="O3192" s="4"/>
      <c r="P3192" s="4"/>
      <c r="Q3192" s="4" t="inlineStr">
        <is>
          <t>FE_POR_DEFECTO_IPCC_2006</t>
        </is>
      </c>
      <c r="R3192" s="4"/>
      <c r="S3192" s="4">
        <v>2.0</v>
      </c>
      <c r="T3192" s="4" t="inlineStr">
        <is>
          <t>kg N2O/TJ</t>
        </is>
      </c>
      <c r="U3192" s="4"/>
      <c r="V3192" s="4"/>
      <c r="W3192" s="4" t="inlineStr">
        <is>
          <t>1.A.3</t>
        </is>
      </c>
      <c r="X3192" s="4" t="inlineStr">
        <is>
          <t>Transporte</t>
        </is>
      </c>
      <c r="Y3192" s="4" t="inlineStr">
        <is>
          <t>COMB_KER</t>
        </is>
      </c>
      <c r="Z3192" s="4" t="s">
        <v>4048</v>
      </c>
      <c r="AA3192" s="13">
        <v>2.0</v>
      </c>
      <c r="AB3192" s="4" t="s">
        <v>4287</v>
      </c>
      <c r="AC3192" s="4"/>
      <c r="AD3192" s="4"/>
      <c r="AE3192" s="4"/>
      <c r="AF3192" s="4"/>
      <c r="AG3192" s="4"/>
      <c r="AH3192" s="4"/>
      <c r="AI3192" s="4"/>
      <c r="AJ3192" s="4"/>
      <c r="AK3192" s="4"/>
      <c r="AL3192" s="4" t="inlineStr">
        <is>
          <t>Volumen 2, capítulo 3, tabla 3.6.5, p. 3.64; fila All fuels; gas N2O</t>
        </is>
      </c>
      <c r="AM3192" s="4" t="inlineStr">
        <is>
          <t>Factor por defecto de aviación aplicado como aproximación a KER-TR. BTR1 Guatemala, p. 66, sustenta el uso de queroseno de aviación. No se agrega actividad internacional de las CRT ni se altera la actividad BEN. Valor constante, no observación anual del país.</t>
        </is>
      </c>
    </row>
    <row r="3193" customFormat="false" ht="46.25" hidden="false" customHeight="false" outlineLevel="0" collapsed="false">
      <c r="A3193" s="4" t="s">
        <v>4270</v>
      </c>
      <c r="B3193" s="4" t="inlineStr">
        <is>
          <t>FE_COMB|2019|1.A.4.a|COMB_GAS|CO2</t>
        </is>
      </c>
      <c r="C3193" s="4" t="inlineStr">
        <is>
          <t>2019|1.A.4.a|COMB_GAS|CO2</t>
        </is>
      </c>
      <c r="D3193" s="12" t="n">
        <v>2019</v>
      </c>
      <c r="E3193" s="12">
        <v>2024.0</v>
      </c>
      <c r="F3193" s="4" t="inlineStr">
        <is>
          <t>PRX</t>
        </is>
      </c>
      <c r="G3193" s="4" t="inlineStr">
        <is>
          <t>MARN_GTM_BTR1_2024</t>
        </is>
      </c>
      <c r="H3193" s="4" t="inlineStr">
        <is>
          <t>Guatemala. Primer Informe Bienal de Transparencia (BTR1), 2024</t>
        </is>
      </c>
      <c r="I3193" s="4" t="inlineStr">
        <is>
          <t>https://unfccc.int/documents/646195</t>
        </is>
      </c>
      <c r="J3193" s="4" t="inlineStr">
        <is>
          <t>BTR1|2024|T3.6|GAS|CO2</t>
        </is>
      </c>
      <c r="K3193" s="4" t="inlineStr">
        <is>
          <t>GAS</t>
        </is>
      </c>
      <c r="L3193" s="4" t="inlineStr">
        <is>
          <t>Gasolinas</t>
        </is>
      </c>
      <c r="M3193" s="4"/>
      <c r="N3193" s="4"/>
      <c r="O3193" s="4"/>
      <c r="P3193" s="4"/>
      <c r="Q3193" s="4" t="inlineStr">
        <is>
          <t>FE_POR_COMBUSTIBLE_BTR1</t>
        </is>
      </c>
      <c r="R3193" s="4"/>
      <c r="S3193" s="4">
        <v>69300.0</v>
      </c>
      <c r="T3193" s="4" t="inlineStr">
        <is>
          <t>kg CO2/TJ</t>
        </is>
      </c>
      <c r="U3193" s="4"/>
      <c r="V3193" s="4"/>
      <c r="W3193" s="4" t="inlineStr">
        <is>
          <t>1.A.4.a</t>
        </is>
      </c>
      <c r="X3193" s="4" t="inlineStr">
        <is>
          <t>Comercial e institucional</t>
        </is>
      </c>
      <c r="Y3193" s="4" t="inlineStr">
        <is>
          <t>COMB_GAS</t>
        </is>
      </c>
      <c r="Z3193" s="4" t="s">
        <v>4012</v>
      </c>
      <c r="AA3193" s="4">
        <v>69300.0</v>
      </c>
      <c r="AB3193" s="4" t="s">
        <v>4275</v>
      </c>
      <c r="AC3193" s="4"/>
      <c r="AD3193" s="4"/>
      <c r="AE3193" s="4"/>
      <c r="AF3193" s="4"/>
      <c r="AG3193" s="4"/>
      <c r="AH3193" s="4"/>
      <c r="AI3193" s="4"/>
      <c r="AJ3193" s="4"/>
      <c r="AK3193" s="4"/>
      <c r="AL3193" s="4" t="inlineStr">
        <is>
          <t>BTR1 Guatemala 2024, tabla 3.6, p. 48; fila Gasolina para motores; gas CO2</t>
        </is>
      </c>
      <c r="AM3193" s="4" t="inlineStr">
        <is>
          <t>Factor por combustible documentado en el BTR1, con origen metodológico IPCC. Se aplica como parámetro constante aproximado a 2018–2024; el año de la clave permite unirlo a la actividad, no representa una nueva observación anual.</t>
        </is>
      </c>
    </row>
    <row r="3194" customFormat="false" ht="46.25" hidden="false" customHeight="false" outlineLevel="0" collapsed="false">
      <c r="A3194" s="4" t="s">
        <v>4270</v>
      </c>
      <c r="B3194" s="4" t="inlineStr">
        <is>
          <t>FE_COMB|2019|1.A.4.a|COMB_GAS|CH4</t>
        </is>
      </c>
      <c r="C3194" s="4" t="inlineStr">
        <is>
          <t>2019|1.A.4.a|COMB_GAS|CH4</t>
        </is>
      </c>
      <c r="D3194" s="12" t="n">
        <v>2019</v>
      </c>
      <c r="E3194" s="12">
        <v>2024.0</v>
      </c>
      <c r="F3194" s="4" t="inlineStr">
        <is>
          <t>PRX</t>
        </is>
      </c>
      <c r="G3194" s="4" t="inlineStr">
        <is>
          <t>MARN_GTM_BTR1_2024</t>
        </is>
      </c>
      <c r="H3194" s="4" t="inlineStr">
        <is>
          <t>Guatemala. Primer Informe Bienal de Transparencia (BTR1), 2024</t>
        </is>
      </c>
      <c r="I3194" s="4" t="inlineStr">
        <is>
          <t>https://unfccc.int/documents/646195</t>
        </is>
      </c>
      <c r="J3194" s="4" t="inlineStr">
        <is>
          <t>BTR1|2024|T3.33|GAS|CH4</t>
        </is>
      </c>
      <c r="K3194" s="4" t="inlineStr">
        <is>
          <t>GAS</t>
        </is>
      </c>
      <c r="L3194" s="4" t="inlineStr">
        <is>
          <t>Gasolinas</t>
        </is>
      </c>
      <c r="M3194" s="4"/>
      <c r="N3194" s="4"/>
      <c r="O3194" s="4"/>
      <c r="P3194" s="4"/>
      <c r="Q3194" s="4" t="inlineStr">
        <is>
          <t>FE_POR_COMBUSTIBLE_BTR1</t>
        </is>
      </c>
      <c r="R3194" s="4"/>
      <c r="S3194" s="4">
        <v>10.0</v>
      </c>
      <c r="T3194" s="4" t="inlineStr">
        <is>
          <t>kg CH4/TJ</t>
        </is>
      </c>
      <c r="U3194" s="4"/>
      <c r="V3194" s="4"/>
      <c r="W3194" s="4" t="inlineStr">
        <is>
          <t>1.A.4.a</t>
        </is>
      </c>
      <c r="X3194" s="4" t="inlineStr">
        <is>
          <t>Comercial e institucional</t>
        </is>
      </c>
      <c r="Y3194" s="4" t="inlineStr">
        <is>
          <t>COMB_GAS</t>
        </is>
      </c>
      <c r="Z3194" s="4" t="s">
        <v>4018</v>
      </c>
      <c r="AA3194" s="4">
        <v>10.0</v>
      </c>
      <c r="AB3194" s="4" t="s">
        <v>4281</v>
      </c>
      <c r="AC3194" s="4"/>
      <c r="AD3194" s="4"/>
      <c r="AE3194" s="4"/>
      <c r="AF3194" s="4"/>
      <c r="AG3194" s="4"/>
      <c r="AH3194" s="4"/>
      <c r="AI3194" s="4"/>
      <c r="AJ3194" s="4"/>
      <c r="AK3194" s="4"/>
      <c r="AL3194" s="4" t="inlineStr">
        <is>
          <t>BTR1 Guatemala 2024, tabla 3.33, p. 70; fila Gasolina para motores; gas CH4</t>
        </is>
      </c>
      <c r="AM3194" s="4" t="inlineStr">
        <is>
          <t>Factor por combustible documentado en el BTR1, con origen metodológico IPCC. Se aplica como parámetro constante aproximado a 2018–2024; el año de la clave permite unirlo a la actividad, no representa una nueva observación anual.</t>
        </is>
      </c>
    </row>
    <row r="3195" customFormat="false" ht="46.25" hidden="false" customHeight="false" outlineLevel="0" collapsed="false">
      <c r="A3195" s="4" t="s">
        <v>4270</v>
      </c>
      <c r="B3195" s="4" t="inlineStr">
        <is>
          <t>FE_COMB|2019|1.A.4.a|COMB_GAS|N2O</t>
        </is>
      </c>
      <c r="C3195" s="4" t="inlineStr">
        <is>
          <t>2019|1.A.4.a|COMB_GAS|N2O</t>
        </is>
      </c>
      <c r="D3195" s="12" t="n">
        <v>2019</v>
      </c>
      <c r="E3195" s="12">
        <v>2024.0</v>
      </c>
      <c r="F3195" s="4" t="inlineStr">
        <is>
          <t>PRX</t>
        </is>
      </c>
      <c r="G3195" s="4" t="inlineStr">
        <is>
          <t>MARN_GTM_BTR1_2024</t>
        </is>
      </c>
      <c r="H3195" s="4" t="inlineStr">
        <is>
          <t>Guatemala. Primer Informe Bienal de Transparencia (BTR1), 2024</t>
        </is>
      </c>
      <c r="I3195" s="4" t="inlineStr">
        <is>
          <t>https://unfccc.int/documents/646195</t>
        </is>
      </c>
      <c r="J3195" s="4" t="inlineStr">
        <is>
          <t>BTR1|2024|T3.33|GAS|N2O</t>
        </is>
      </c>
      <c r="K3195" s="4" t="inlineStr">
        <is>
          <t>GAS</t>
        </is>
      </c>
      <c r="L3195" s="4" t="inlineStr">
        <is>
          <t>Gasolinas</t>
        </is>
      </c>
      <c r="M3195" s="4"/>
      <c r="N3195" s="4"/>
      <c r="O3195" s="4"/>
      <c r="P3195" s="4"/>
      <c r="Q3195" s="4" t="inlineStr">
        <is>
          <t>FE_POR_COMBUSTIBLE_BTR1</t>
        </is>
      </c>
      <c r="R3195" s="4"/>
      <c r="S3195" s="4">
        <v>0.6</v>
      </c>
      <c r="T3195" s="4" t="inlineStr">
        <is>
          <t>kg N2O/TJ</t>
        </is>
      </c>
      <c r="U3195" s="4"/>
      <c r="V3195" s="4"/>
      <c r="W3195" s="4" t="inlineStr">
        <is>
          <t>1.A.4.a</t>
        </is>
      </c>
      <c r="X3195" s="4" t="inlineStr">
        <is>
          <t>Comercial e institucional</t>
        </is>
      </c>
      <c r="Y3195" s="4" t="inlineStr">
        <is>
          <t>COMB_GAS</t>
        </is>
      </c>
      <c r="Z3195" s="4" t="s">
        <v>4048</v>
      </c>
      <c r="AA3195" s="4">
        <v>0.6</v>
      </c>
      <c r="AB3195" s="4" t="s">
        <v>4287</v>
      </c>
      <c r="AC3195" s="4"/>
      <c r="AD3195" s="4"/>
      <c r="AE3195" s="4"/>
      <c r="AF3195" s="4"/>
      <c r="AG3195" s="4"/>
      <c r="AH3195" s="4"/>
      <c r="AI3195" s="4"/>
      <c r="AJ3195" s="4"/>
      <c r="AK3195" s="4"/>
      <c r="AL3195" s="4" t="inlineStr">
        <is>
          <t>BTR1 Guatemala 2024, tabla 3.33, p. 70; fila Gasolina para motores; gas N2O</t>
        </is>
      </c>
      <c r="AM3195" s="4" t="inlineStr">
        <is>
          <t>Factor por combustible documentado en el BTR1, con origen metodológico IPCC. Se aplica como parámetro constante aproximado a 2018–2024; el año de la clave permite unirlo a la actividad, no representa una nueva observación anual.</t>
        </is>
      </c>
    </row>
    <row r="3196" customFormat="false" ht="46.25" hidden="false" customHeight="false" outlineLevel="0" collapsed="false">
      <c r="A3196" s="4" t="s">
        <v>4270</v>
      </c>
      <c r="B3196" s="4" t="inlineStr">
        <is>
          <t>FE_COMB|2019|1.A.4.a|COMB_GLP|CO2</t>
        </is>
      </c>
      <c r="C3196" s="4" t="inlineStr">
        <is>
          <t>2019|1.A.4.a|COMB_GLP|CO2</t>
        </is>
      </c>
      <c r="D3196" s="12" t="n">
        <v>2019</v>
      </c>
      <c r="E3196" s="12">
        <v>2024.0</v>
      </c>
      <c r="F3196" s="4" t="inlineStr">
        <is>
          <t>PRX</t>
        </is>
      </c>
      <c r="G3196" s="4" t="inlineStr">
        <is>
          <t>MARN_GTM_BTR1_2024</t>
        </is>
      </c>
      <c r="H3196" s="4" t="inlineStr">
        <is>
          <t>Guatemala. Primer Informe Bienal de Transparencia (BTR1), 2024</t>
        </is>
      </c>
      <c r="I3196" s="4" t="inlineStr">
        <is>
          <t>https://unfccc.int/documents/646195</t>
        </is>
      </c>
      <c r="J3196" s="4" t="inlineStr">
        <is>
          <t>BTR1|2024|T3.6|GLP|CO2</t>
        </is>
      </c>
      <c r="K3196" s="4" t="inlineStr">
        <is>
          <t>GLP</t>
        </is>
      </c>
      <c r="L3196" s="4" t="inlineStr">
        <is>
          <t>Gas licuado de petróleo (GLP)</t>
        </is>
      </c>
      <c r="M3196" s="4"/>
      <c r="N3196" s="4"/>
      <c r="O3196" s="4"/>
      <c r="P3196" s="4"/>
      <c r="Q3196" s="4" t="inlineStr">
        <is>
          <t>FE_POR_COMBUSTIBLE_BTR1</t>
        </is>
      </c>
      <c r="R3196" s="4"/>
      <c r="S3196" s="4">
        <v>63100.0</v>
      </c>
      <c r="T3196" s="4" t="inlineStr">
        <is>
          <t>kg CO2/TJ</t>
        </is>
      </c>
      <c r="U3196" s="4"/>
      <c r="V3196" s="4"/>
      <c r="W3196" s="4" t="inlineStr">
        <is>
          <t>1.A.4.a</t>
        </is>
      </c>
      <c r="X3196" s="4" t="inlineStr">
        <is>
          <t>Comercial e institucional</t>
        </is>
      </c>
      <c r="Y3196" s="4" t="inlineStr">
        <is>
          <t>COMB_GLP</t>
        </is>
      </c>
      <c r="Z3196" s="4" t="s">
        <v>4012</v>
      </c>
      <c r="AA3196" s="4">
        <v>63100.0</v>
      </c>
      <c r="AB3196" s="4" t="s">
        <v>4275</v>
      </c>
      <c r="AC3196" s="4"/>
      <c r="AD3196" s="4"/>
      <c r="AE3196" s="4"/>
      <c r="AF3196" s="4"/>
      <c r="AG3196" s="4"/>
      <c r="AH3196" s="4"/>
      <c r="AI3196" s="4"/>
      <c r="AJ3196" s="4"/>
      <c r="AK3196" s="4"/>
      <c r="AL3196" s="4" t="inlineStr">
        <is>
          <t>BTR1 Guatemala 2024, tabla 3.6, p. 48; fila Gases licuados de petróleo; gas CO2</t>
        </is>
      </c>
      <c r="AM3196" s="4" t="inlineStr">
        <is>
          <t>Factor por combustible documentado en el BTR1, con origen metodológico IPCC. Se aplica como parámetro constante aproximado a 2018–2024; el año de la clave permite unirlo a la actividad, no representa una nueva observación anual.</t>
        </is>
      </c>
    </row>
    <row r="3197" customFormat="false" ht="46.25" hidden="false" customHeight="false" outlineLevel="0" collapsed="false">
      <c r="A3197" s="4" t="s">
        <v>4270</v>
      </c>
      <c r="B3197" s="4" t="inlineStr">
        <is>
          <t>FE_COMB|2019|1.A.4.a|COMB_GLP|CH4</t>
        </is>
      </c>
      <c r="C3197" s="4" t="inlineStr">
        <is>
          <t>2019|1.A.4.a|COMB_GLP|CH4</t>
        </is>
      </c>
      <c r="D3197" s="12" t="n">
        <v>2019</v>
      </c>
      <c r="E3197" s="12">
        <v>2024.0</v>
      </c>
      <c r="F3197" s="4" t="inlineStr">
        <is>
          <t>PRX</t>
        </is>
      </c>
      <c r="G3197" s="4" t="inlineStr">
        <is>
          <t>MARN_GTM_BTR1_2024</t>
        </is>
      </c>
      <c r="H3197" s="4" t="inlineStr">
        <is>
          <t>Guatemala. Primer Informe Bienal de Transparencia (BTR1), 2024</t>
        </is>
      </c>
      <c r="I3197" s="4" t="inlineStr">
        <is>
          <t>https://unfccc.int/documents/646195</t>
        </is>
      </c>
      <c r="J3197" s="4" t="inlineStr">
        <is>
          <t>BTR1|2024|T3.33|GLP|CH4</t>
        </is>
      </c>
      <c r="K3197" s="4" t="inlineStr">
        <is>
          <t>GLP</t>
        </is>
      </c>
      <c r="L3197" s="4" t="inlineStr">
        <is>
          <t>Gas licuado de petróleo (GLP)</t>
        </is>
      </c>
      <c r="M3197" s="4"/>
      <c r="N3197" s="4"/>
      <c r="O3197" s="4"/>
      <c r="P3197" s="4"/>
      <c r="Q3197" s="4" t="inlineStr">
        <is>
          <t>FE_POR_COMBUSTIBLE_BTR1</t>
        </is>
      </c>
      <c r="R3197" s="4"/>
      <c r="S3197" s="4">
        <v>5.0</v>
      </c>
      <c r="T3197" s="4" t="inlineStr">
        <is>
          <t>kg CH4/TJ</t>
        </is>
      </c>
      <c r="U3197" s="4"/>
      <c r="V3197" s="4"/>
      <c r="W3197" s="4" t="inlineStr">
        <is>
          <t>1.A.4.a</t>
        </is>
      </c>
      <c r="X3197" s="4" t="inlineStr">
        <is>
          <t>Comercial e institucional</t>
        </is>
      </c>
      <c r="Y3197" s="4" t="inlineStr">
        <is>
          <t>COMB_GLP</t>
        </is>
      </c>
      <c r="Z3197" s="4" t="s">
        <v>4018</v>
      </c>
      <c r="AA3197" s="4">
        <v>5.0</v>
      </c>
      <c r="AB3197" s="4" t="s">
        <v>4281</v>
      </c>
      <c r="AC3197" s="4"/>
      <c r="AD3197" s="4"/>
      <c r="AE3197" s="4"/>
      <c r="AF3197" s="4"/>
      <c r="AG3197" s="4"/>
      <c r="AH3197" s="4"/>
      <c r="AI3197" s="4"/>
      <c r="AJ3197" s="4"/>
      <c r="AK3197" s="4"/>
      <c r="AL3197" s="4" t="inlineStr">
        <is>
          <t>BTR1 Guatemala 2024, tabla 3.33, p. 70; fila Gases licuados de petróleo; gas CH4</t>
        </is>
      </c>
      <c r="AM3197" s="4" t="inlineStr">
        <is>
          <t>Factor por combustible documentado en el BTR1, con origen metodológico IPCC. Se aplica como parámetro constante aproximado a 2018–2024; el año de la clave permite unirlo a la actividad, no representa una nueva observación anual.</t>
        </is>
      </c>
    </row>
    <row r="3198" customFormat="false" ht="46.25" hidden="false" customHeight="false" outlineLevel="0" collapsed="false">
      <c r="A3198" s="4" t="s">
        <v>4270</v>
      </c>
      <c r="B3198" s="4" t="inlineStr">
        <is>
          <t>FE_COMB|2019|1.A.4.a|COMB_GLP|N2O</t>
        </is>
      </c>
      <c r="C3198" s="4" t="inlineStr">
        <is>
          <t>2019|1.A.4.a|COMB_GLP|N2O</t>
        </is>
      </c>
      <c r="D3198" s="12" t="n">
        <v>2019</v>
      </c>
      <c r="E3198" s="12">
        <v>2024.0</v>
      </c>
      <c r="F3198" s="4" t="inlineStr">
        <is>
          <t>PRX</t>
        </is>
      </c>
      <c r="G3198" s="4" t="inlineStr">
        <is>
          <t>MARN_GTM_BTR1_2024</t>
        </is>
      </c>
      <c r="H3198" s="4" t="inlineStr">
        <is>
          <t>Guatemala. Primer Informe Bienal de Transparencia (BTR1), 2024</t>
        </is>
      </c>
      <c r="I3198" s="4" t="inlineStr">
        <is>
          <t>https://unfccc.int/documents/646195</t>
        </is>
      </c>
      <c r="J3198" s="4" t="inlineStr">
        <is>
          <t>BTR1|2024|T3.33|GLP|N2O</t>
        </is>
      </c>
      <c r="K3198" s="4" t="inlineStr">
        <is>
          <t>GLP</t>
        </is>
      </c>
      <c r="L3198" s="4" t="inlineStr">
        <is>
          <t>Gas licuado de petróleo (GLP)</t>
        </is>
      </c>
      <c r="M3198" s="4"/>
      <c r="N3198" s="4"/>
      <c r="O3198" s="4"/>
      <c r="P3198" s="4"/>
      <c r="Q3198" s="4" t="inlineStr">
        <is>
          <t>FE_POR_COMBUSTIBLE_BTR1</t>
        </is>
      </c>
      <c r="R3198" s="4"/>
      <c r="S3198" s="4">
        <v>0.1</v>
      </c>
      <c r="T3198" s="4" t="inlineStr">
        <is>
          <t>kg N2O/TJ</t>
        </is>
      </c>
      <c r="U3198" s="4"/>
      <c r="V3198" s="4"/>
      <c r="W3198" s="4" t="inlineStr">
        <is>
          <t>1.A.4.a</t>
        </is>
      </c>
      <c r="X3198" s="4" t="inlineStr">
        <is>
          <t>Comercial e institucional</t>
        </is>
      </c>
      <c r="Y3198" s="4" t="inlineStr">
        <is>
          <t>COMB_GLP</t>
        </is>
      </c>
      <c r="Z3198" s="4" t="s">
        <v>4048</v>
      </c>
      <c r="AA3198" s="4">
        <v>0.1</v>
      </c>
      <c r="AB3198" s="4" t="s">
        <v>4287</v>
      </c>
      <c r="AC3198" s="4"/>
      <c r="AD3198" s="4"/>
      <c r="AE3198" s="4"/>
      <c r="AF3198" s="4"/>
      <c r="AG3198" s="4"/>
      <c r="AH3198" s="4"/>
      <c r="AI3198" s="4"/>
      <c r="AJ3198" s="4"/>
      <c r="AK3198" s="4"/>
      <c r="AL3198" s="4" t="inlineStr">
        <is>
          <t>BTR1 Guatemala 2024, tabla 3.33, p. 70; fila Gases licuados de petróleo; gas N2O</t>
        </is>
      </c>
      <c r="AM3198" s="4" t="inlineStr">
        <is>
          <t>Factor por combustible documentado en el BTR1, con origen metodológico IPCC. Se aplica como parámetro constante aproximado a 2018–2024; el año de la clave permite unirlo a la actividad, no representa una nueva observación anual.</t>
        </is>
      </c>
    </row>
    <row r="3199" customFormat="false" ht="46.25" hidden="false" customHeight="false" outlineLevel="0" collapsed="false">
      <c r="A3199" s="4" t="s">
        <v>4270</v>
      </c>
      <c r="B3199" s="4" t="inlineStr">
        <is>
          <t>FE_COMB|2019|1.A.4.a|COMB_KER|CO2</t>
        </is>
      </c>
      <c r="C3199" s="4" t="inlineStr">
        <is>
          <t>2019|1.A.4.a|COMB_KER|CO2</t>
        </is>
      </c>
      <c r="D3199" s="12" t="n">
        <v>2019</v>
      </c>
      <c r="E3199" s="12">
        <v>2024.0</v>
      </c>
      <c r="F3199" s="4" t="inlineStr">
        <is>
          <t>PRX</t>
        </is>
      </c>
      <c r="G3199" s="4" t="inlineStr">
        <is>
          <t>MARN_GTM_BTR1_2024</t>
        </is>
      </c>
      <c r="H3199" s="4" t="inlineStr">
        <is>
          <t>Guatemala. Primer Informe Bienal de Transparencia (BTR1), 2024</t>
        </is>
      </c>
      <c r="I3199" s="4" t="inlineStr">
        <is>
          <t>https://unfccc.int/documents/646195</t>
        </is>
      </c>
      <c r="J3199" s="4" t="inlineStr">
        <is>
          <t>BTR1|2024|T3.6|KER|CO2</t>
        </is>
      </c>
      <c r="K3199" s="4" t="inlineStr">
        <is>
          <t>KER</t>
        </is>
      </c>
      <c r="L3199" s="4" t="inlineStr">
        <is>
          <t>Keroseno</t>
        </is>
      </c>
      <c r="M3199" s="4"/>
      <c r="N3199" s="4"/>
      <c r="O3199" s="4"/>
      <c r="P3199" s="4"/>
      <c r="Q3199" s="4" t="inlineStr">
        <is>
          <t>FE_POR_COMBUSTIBLE_BTR1</t>
        </is>
      </c>
      <c r="R3199" s="4"/>
      <c r="S3199" s="4">
        <v>71900.0</v>
      </c>
      <c r="T3199" s="4" t="inlineStr">
        <is>
          <t>kg CO2/TJ</t>
        </is>
      </c>
      <c r="U3199" s="4"/>
      <c r="V3199" s="4"/>
      <c r="W3199" s="4" t="inlineStr">
        <is>
          <t>1.A.4.a</t>
        </is>
      </c>
      <c r="X3199" s="4" t="inlineStr">
        <is>
          <t>Comercial e institucional</t>
        </is>
      </c>
      <c r="Y3199" s="4" t="inlineStr">
        <is>
          <t>COMB_KER</t>
        </is>
      </c>
      <c r="Z3199" s="4" t="s">
        <v>4012</v>
      </c>
      <c r="AA3199" s="4">
        <v>71900.0</v>
      </c>
      <c r="AB3199" s="4" t="s">
        <v>4275</v>
      </c>
      <c r="AC3199" s="4"/>
      <c r="AD3199" s="4"/>
      <c r="AE3199" s="4"/>
      <c r="AF3199" s="4"/>
      <c r="AG3199" s="4"/>
      <c r="AH3199" s="4"/>
      <c r="AI3199" s="4"/>
      <c r="AJ3199" s="4"/>
      <c r="AK3199" s="4"/>
      <c r="AL3199" s="4" t="inlineStr">
        <is>
          <t>BTR1 Guatemala 2024, tabla 3.6, p. 48; fila Otro queroseno; gas CO2</t>
        </is>
      </c>
      <c r="AM3199" s="4" t="inlineStr">
        <is>
          <t>Factor por combustible documentado en el BTR1, con origen metodológico IPCC. Se aplica como parámetro constante aproximado a 2018–2024; el año de la clave permite unirlo a la actividad, no representa una nueva observación anual.</t>
        </is>
      </c>
    </row>
    <row r="3200" customFormat="false" ht="46.25" hidden="false" customHeight="false" outlineLevel="0" collapsed="false">
      <c r="A3200" s="4" t="s">
        <v>4270</v>
      </c>
      <c r="B3200" s="4" t="inlineStr">
        <is>
          <t>FE_COMB|2019|1.A.4.a|COMB_KER|CH4</t>
        </is>
      </c>
      <c r="C3200" s="4" t="inlineStr">
        <is>
          <t>2019|1.A.4.a|COMB_KER|CH4</t>
        </is>
      </c>
      <c r="D3200" s="12" t="n">
        <v>2019</v>
      </c>
      <c r="E3200" s="12">
        <v>2024.0</v>
      </c>
      <c r="F3200" s="4" t="inlineStr">
        <is>
          <t>PRX</t>
        </is>
      </c>
      <c r="G3200" s="4" t="inlineStr">
        <is>
          <t>MARN_GTM_BTR1_2024</t>
        </is>
      </c>
      <c r="H3200" s="4" t="inlineStr">
        <is>
          <t>Guatemala. Primer Informe Bienal de Transparencia (BTR1), 2024</t>
        </is>
      </c>
      <c r="I3200" s="4" t="inlineStr">
        <is>
          <t>https://unfccc.int/documents/646195</t>
        </is>
      </c>
      <c r="J3200" s="4" t="inlineStr">
        <is>
          <t>BTR1|2024|T3.33|KER|CH4</t>
        </is>
      </c>
      <c r="K3200" s="4" t="inlineStr">
        <is>
          <t>KER</t>
        </is>
      </c>
      <c r="L3200" s="4" t="inlineStr">
        <is>
          <t>Keroseno</t>
        </is>
      </c>
      <c r="M3200" s="4"/>
      <c r="N3200" s="4"/>
      <c r="O3200" s="4"/>
      <c r="P3200" s="4"/>
      <c r="Q3200" s="4" t="inlineStr">
        <is>
          <t>FE_POR_COMBUSTIBLE_BTR1</t>
        </is>
      </c>
      <c r="R3200" s="4"/>
      <c r="S3200" s="4">
        <v>10.0</v>
      </c>
      <c r="T3200" s="4" t="inlineStr">
        <is>
          <t>kg CH4/TJ</t>
        </is>
      </c>
      <c r="U3200" s="4"/>
      <c r="V3200" s="4"/>
      <c r="W3200" s="4" t="inlineStr">
        <is>
          <t>1.A.4.a</t>
        </is>
      </c>
      <c r="X3200" s="4" t="inlineStr">
        <is>
          <t>Comercial e institucional</t>
        </is>
      </c>
      <c r="Y3200" s="4" t="inlineStr">
        <is>
          <t>COMB_KER</t>
        </is>
      </c>
      <c r="Z3200" s="4" t="s">
        <v>4018</v>
      </c>
      <c r="AA3200" s="4">
        <v>10.0</v>
      </c>
      <c r="AB3200" s="4" t="s">
        <v>4281</v>
      </c>
      <c r="AC3200" s="4"/>
      <c r="AD3200" s="4"/>
      <c r="AE3200" s="4"/>
      <c r="AF3200" s="4"/>
      <c r="AG3200" s="4"/>
      <c r="AH3200" s="4"/>
      <c r="AI3200" s="4"/>
      <c r="AJ3200" s="4"/>
      <c r="AK3200" s="4"/>
      <c r="AL3200" s="4" t="inlineStr">
        <is>
          <t>BTR1 Guatemala 2024, tabla 3.33, p. 70; fila Otro queroseno; gas CH4</t>
        </is>
      </c>
      <c r="AM3200" s="4" t="inlineStr">
        <is>
          <t>Factor por combustible documentado en el BTR1, con origen metodológico IPCC. Se aplica como parámetro constante aproximado a 2018–2024; el año de la clave permite unirlo a la actividad, no representa una nueva observación anual.</t>
        </is>
      </c>
    </row>
    <row r="3201" customFormat="false" ht="46.25" hidden="false" customHeight="false" outlineLevel="0" collapsed="false">
      <c r="A3201" s="4" t="s">
        <v>4270</v>
      </c>
      <c r="B3201" s="4" t="inlineStr">
        <is>
          <t>FE_COMB|2019|1.A.4.a|COMB_KER|N2O</t>
        </is>
      </c>
      <c r="C3201" s="4" t="inlineStr">
        <is>
          <t>2019|1.A.4.a|COMB_KER|N2O</t>
        </is>
      </c>
      <c r="D3201" s="12" t="n">
        <v>2019</v>
      </c>
      <c r="E3201" s="12">
        <v>2024.0</v>
      </c>
      <c r="F3201" s="4" t="inlineStr">
        <is>
          <t>PRX</t>
        </is>
      </c>
      <c r="G3201" s="4" t="inlineStr">
        <is>
          <t>MARN_GTM_BTR1_2024</t>
        </is>
      </c>
      <c r="H3201" s="4" t="inlineStr">
        <is>
          <t>Guatemala. Primer Informe Bienal de Transparencia (BTR1), 2024</t>
        </is>
      </c>
      <c r="I3201" s="4" t="inlineStr">
        <is>
          <t>https://unfccc.int/documents/646195</t>
        </is>
      </c>
      <c r="J3201" s="4" t="inlineStr">
        <is>
          <t>BTR1|2024|T3.33|KER|N2O</t>
        </is>
      </c>
      <c r="K3201" s="4" t="inlineStr">
        <is>
          <t>KER</t>
        </is>
      </c>
      <c r="L3201" s="4" t="inlineStr">
        <is>
          <t>Keroseno</t>
        </is>
      </c>
      <c r="M3201" s="4"/>
      <c r="N3201" s="4"/>
      <c r="O3201" s="4"/>
      <c r="P3201" s="4"/>
      <c r="Q3201" s="4" t="inlineStr">
        <is>
          <t>FE_POR_COMBUSTIBLE_BTR1</t>
        </is>
      </c>
      <c r="R3201" s="4"/>
      <c r="S3201" s="4">
        <v>0.6</v>
      </c>
      <c r="T3201" s="4" t="inlineStr">
        <is>
          <t>kg N2O/TJ</t>
        </is>
      </c>
      <c r="U3201" s="4"/>
      <c r="V3201" s="4"/>
      <c r="W3201" s="4" t="inlineStr">
        <is>
          <t>1.A.4.a</t>
        </is>
      </c>
      <c r="X3201" s="4" t="inlineStr">
        <is>
          <t>Comercial e institucional</t>
        </is>
      </c>
      <c r="Y3201" s="4" t="inlineStr">
        <is>
          <t>COMB_KER</t>
        </is>
      </c>
      <c r="Z3201" s="4" t="s">
        <v>4048</v>
      </c>
      <c r="AA3201" s="4">
        <v>0.6</v>
      </c>
      <c r="AB3201" s="4" t="s">
        <v>4287</v>
      </c>
      <c r="AC3201" s="4"/>
      <c r="AD3201" s="4"/>
      <c r="AE3201" s="4"/>
      <c r="AF3201" s="4"/>
      <c r="AG3201" s="4"/>
      <c r="AH3201" s="4"/>
      <c r="AI3201" s="4"/>
      <c r="AJ3201" s="4"/>
      <c r="AK3201" s="4"/>
      <c r="AL3201" s="4" t="inlineStr">
        <is>
          <t>BTR1 Guatemala 2024, tabla 3.33, p. 70; fila Otro queroseno; gas N2O</t>
        </is>
      </c>
      <c r="AM3201" s="4" t="inlineStr">
        <is>
          <t>Factor por combustible documentado en el BTR1, con origen metodológico IPCC. Se aplica como parámetro constante aproximado a 2018–2024; el año de la clave permite unirlo a la actividad, no representa una nueva observación anual.</t>
        </is>
      </c>
    </row>
    <row r="3202" customFormat="false" ht="46.25" hidden="false" customHeight="false" outlineLevel="0" collapsed="false">
      <c r="A3202" s="4" t="s">
        <v>4270</v>
      </c>
      <c r="B3202" s="4" t="inlineStr">
        <is>
          <t>FE_COMB|2019|1.A.4.b|COMB_GLP|CO2</t>
        </is>
      </c>
      <c r="C3202" s="4" t="inlineStr">
        <is>
          <t>2019|1.A.4.b|COMB_GLP|CO2</t>
        </is>
      </c>
      <c r="D3202" s="12" t="n">
        <v>2019</v>
      </c>
      <c r="E3202" s="12">
        <v>2024.0</v>
      </c>
      <c r="F3202" s="4" t="inlineStr">
        <is>
          <t>PRX</t>
        </is>
      </c>
      <c r="G3202" s="4" t="inlineStr">
        <is>
          <t>MARN_GTM_BTR1_2024</t>
        </is>
      </c>
      <c r="H3202" s="4" t="inlineStr">
        <is>
          <t>Guatemala. Primer Informe Bienal de Transparencia (BTR1), 2024</t>
        </is>
      </c>
      <c r="I3202" s="4" t="inlineStr">
        <is>
          <t>https://unfccc.int/documents/646195</t>
        </is>
      </c>
      <c r="J3202" s="4" t="inlineStr">
        <is>
          <t>BTR1|2024|T3.6|GLP|CO2</t>
        </is>
      </c>
      <c r="K3202" s="4" t="inlineStr">
        <is>
          <t>GLP</t>
        </is>
      </c>
      <c r="L3202" s="4" t="inlineStr">
        <is>
          <t>Gas licuado de petróleo (GLP)</t>
        </is>
      </c>
      <c r="M3202" s="4"/>
      <c r="N3202" s="4"/>
      <c r="O3202" s="4"/>
      <c r="P3202" s="4"/>
      <c r="Q3202" s="4" t="inlineStr">
        <is>
          <t>FE_POR_COMBUSTIBLE_BTR1</t>
        </is>
      </c>
      <c r="R3202" s="4"/>
      <c r="S3202" s="4">
        <v>63100.0</v>
      </c>
      <c r="T3202" s="4" t="inlineStr">
        <is>
          <t>kg CO2/TJ</t>
        </is>
      </c>
      <c r="U3202" s="4"/>
      <c r="V3202" s="4"/>
      <c r="W3202" s="4" t="inlineStr">
        <is>
          <t>1.A.4.b</t>
        </is>
      </c>
      <c r="X3202" s="4" t="inlineStr">
        <is>
          <t>Residencial</t>
        </is>
      </c>
      <c r="Y3202" s="4" t="inlineStr">
        <is>
          <t>COMB_GLP</t>
        </is>
      </c>
      <c r="Z3202" s="4" t="s">
        <v>4012</v>
      </c>
      <c r="AA3202" s="4">
        <v>63100.0</v>
      </c>
      <c r="AB3202" s="4" t="s">
        <v>4275</v>
      </c>
      <c r="AC3202" s="4"/>
      <c r="AD3202" s="4"/>
      <c r="AE3202" s="4"/>
      <c r="AF3202" s="4"/>
      <c r="AG3202" s="4"/>
      <c r="AH3202" s="4"/>
      <c r="AI3202" s="4"/>
      <c r="AJ3202" s="4"/>
      <c r="AK3202" s="4"/>
      <c r="AL3202" s="4" t="inlineStr">
        <is>
          <t>BTR1 Guatemala 2024, tabla 3.6, p. 48; fila Gases licuados de petróleo; gas CO2</t>
        </is>
      </c>
      <c r="AM3202" s="4" t="inlineStr">
        <is>
          <t>Factor por combustible documentado en el BTR1, con origen metodológico IPCC. Se aplica como parámetro constante aproximado a 2018–2024; el año de la clave permite unirlo a la actividad, no representa una nueva observación anual.</t>
        </is>
      </c>
    </row>
    <row r="3203" customFormat="false" ht="46.25" hidden="false" customHeight="false" outlineLevel="0" collapsed="false">
      <c r="A3203" s="4" t="s">
        <v>4270</v>
      </c>
      <c r="B3203" s="4" t="inlineStr">
        <is>
          <t>FE_COMB|2019|1.A.4.b|COMB_GLP|CH4</t>
        </is>
      </c>
      <c r="C3203" s="4" t="inlineStr">
        <is>
          <t>2019|1.A.4.b|COMB_GLP|CH4</t>
        </is>
      </c>
      <c r="D3203" s="12" t="n">
        <v>2019</v>
      </c>
      <c r="E3203" s="12">
        <v>2024.0</v>
      </c>
      <c r="F3203" s="4" t="inlineStr">
        <is>
          <t>PRX</t>
        </is>
      </c>
      <c r="G3203" s="4" t="inlineStr">
        <is>
          <t>MARN_GTM_BTR1_2024</t>
        </is>
      </c>
      <c r="H3203" s="4" t="inlineStr">
        <is>
          <t>Guatemala. Primer Informe Bienal de Transparencia (BTR1), 2024</t>
        </is>
      </c>
      <c r="I3203" s="4" t="inlineStr">
        <is>
          <t>https://unfccc.int/documents/646195</t>
        </is>
      </c>
      <c r="J3203" s="4" t="inlineStr">
        <is>
          <t>BTR1|2024|T3.33|GLP|CH4</t>
        </is>
      </c>
      <c r="K3203" s="4" t="inlineStr">
        <is>
          <t>GLP</t>
        </is>
      </c>
      <c r="L3203" s="4" t="inlineStr">
        <is>
          <t>Gas licuado de petróleo (GLP)</t>
        </is>
      </c>
      <c r="M3203" s="4"/>
      <c r="N3203" s="4"/>
      <c r="O3203" s="4"/>
      <c r="P3203" s="4"/>
      <c r="Q3203" s="4" t="inlineStr">
        <is>
          <t>FE_POR_COMBUSTIBLE_BTR1</t>
        </is>
      </c>
      <c r="R3203" s="4"/>
      <c r="S3203" s="4">
        <v>5.0</v>
      </c>
      <c r="T3203" s="4" t="inlineStr">
        <is>
          <t>kg CH4/TJ</t>
        </is>
      </c>
      <c r="U3203" s="4"/>
      <c r="V3203" s="4"/>
      <c r="W3203" s="4" t="inlineStr">
        <is>
          <t>1.A.4.b</t>
        </is>
      </c>
      <c r="X3203" s="4" t="inlineStr">
        <is>
          <t>Residencial</t>
        </is>
      </c>
      <c r="Y3203" s="4" t="inlineStr">
        <is>
          <t>COMB_GLP</t>
        </is>
      </c>
      <c r="Z3203" s="4" t="s">
        <v>4018</v>
      </c>
      <c r="AA3203" s="4">
        <v>5.0</v>
      </c>
      <c r="AB3203" s="4" t="s">
        <v>4281</v>
      </c>
      <c r="AC3203" s="4"/>
      <c r="AD3203" s="4"/>
      <c r="AE3203" s="4"/>
      <c r="AF3203" s="4"/>
      <c r="AG3203" s="4"/>
      <c r="AH3203" s="4"/>
      <c r="AI3203" s="4"/>
      <c r="AJ3203" s="4"/>
      <c r="AK3203" s="4"/>
      <c r="AL3203" s="4" t="inlineStr">
        <is>
          <t>BTR1 Guatemala 2024, tabla 3.33, p. 70; fila Gases licuados de petróleo; gas CH4</t>
        </is>
      </c>
      <c r="AM3203" s="4" t="inlineStr">
        <is>
          <t>Factor por combustible documentado en el BTR1, con origen metodológico IPCC. Se aplica como parámetro constante aproximado a 2018–2024; el año de la clave permite unirlo a la actividad, no representa una nueva observación anual.</t>
        </is>
      </c>
    </row>
    <row r="3204" customFormat="false" ht="46.25" hidden="false" customHeight="false" outlineLevel="0" collapsed="false">
      <c r="A3204" s="4" t="s">
        <v>4270</v>
      </c>
      <c r="B3204" s="4" t="inlineStr">
        <is>
          <t>FE_COMB|2019|1.A.4.b|COMB_GLP|N2O</t>
        </is>
      </c>
      <c r="C3204" s="4" t="inlineStr">
        <is>
          <t>2019|1.A.4.b|COMB_GLP|N2O</t>
        </is>
      </c>
      <c r="D3204" s="12" t="n">
        <v>2019</v>
      </c>
      <c r="E3204" s="12">
        <v>2024.0</v>
      </c>
      <c r="F3204" s="4" t="inlineStr">
        <is>
          <t>PRX</t>
        </is>
      </c>
      <c r="G3204" s="4" t="inlineStr">
        <is>
          <t>MARN_GTM_BTR1_2024</t>
        </is>
      </c>
      <c r="H3204" s="4" t="inlineStr">
        <is>
          <t>Guatemala. Primer Informe Bienal de Transparencia (BTR1), 2024</t>
        </is>
      </c>
      <c r="I3204" s="4" t="inlineStr">
        <is>
          <t>https://unfccc.int/documents/646195</t>
        </is>
      </c>
      <c r="J3204" s="4" t="inlineStr">
        <is>
          <t>BTR1|2024|T3.33|GLP|N2O</t>
        </is>
      </c>
      <c r="K3204" s="4" t="inlineStr">
        <is>
          <t>GLP</t>
        </is>
      </c>
      <c r="L3204" s="4" t="inlineStr">
        <is>
          <t>Gas licuado de petróleo (GLP)</t>
        </is>
      </c>
      <c r="M3204" s="4"/>
      <c r="N3204" s="4"/>
      <c r="O3204" s="4"/>
      <c r="P3204" s="4"/>
      <c r="Q3204" s="4" t="inlineStr">
        <is>
          <t>FE_POR_COMBUSTIBLE_BTR1</t>
        </is>
      </c>
      <c r="R3204" s="4"/>
      <c r="S3204" s="4">
        <v>0.1</v>
      </c>
      <c r="T3204" s="4" t="inlineStr">
        <is>
          <t>kg N2O/TJ</t>
        </is>
      </c>
      <c r="U3204" s="4"/>
      <c r="V3204" s="4"/>
      <c r="W3204" s="4" t="inlineStr">
        <is>
          <t>1.A.4.b</t>
        </is>
      </c>
      <c r="X3204" s="4" t="inlineStr">
        <is>
          <t>Residencial</t>
        </is>
      </c>
      <c r="Y3204" s="4" t="inlineStr">
        <is>
          <t>COMB_GLP</t>
        </is>
      </c>
      <c r="Z3204" s="4" t="s">
        <v>4048</v>
      </c>
      <c r="AA3204" s="4">
        <v>0.1</v>
      </c>
      <c r="AB3204" s="4" t="s">
        <v>4287</v>
      </c>
      <c r="AC3204" s="4"/>
      <c r="AD3204" s="4"/>
      <c r="AE3204" s="4"/>
      <c r="AF3204" s="4"/>
      <c r="AG3204" s="4"/>
      <c r="AH3204" s="4"/>
      <c r="AI3204" s="4"/>
      <c r="AJ3204" s="4"/>
      <c r="AK3204" s="4"/>
      <c r="AL3204" s="4" t="inlineStr">
        <is>
          <t>BTR1 Guatemala 2024, tabla 3.33, p. 70; fila Gases licuados de petróleo; gas N2O</t>
        </is>
      </c>
      <c r="AM3204" s="4" t="inlineStr">
        <is>
          <t>Factor por combustible documentado en el BTR1, con origen metodológico IPCC. Se aplica como parámetro constante aproximado a 2018–2024; el año de la clave permite unirlo a la actividad, no representa una nueva observación anual.</t>
        </is>
      </c>
    </row>
    <row r="3205" customFormat="false" ht="46.25" hidden="false" customHeight="false" outlineLevel="0" collapsed="false">
      <c r="A3205" s="4" t="s">
        <v>4270</v>
      </c>
      <c r="B3205" s="4" t="inlineStr">
        <is>
          <t>FE_COMB|2019|1.A.4.b|COMB_KER|CO2</t>
        </is>
      </c>
      <c r="C3205" s="4" t="inlineStr">
        <is>
          <t>2019|1.A.4.b|COMB_KER|CO2</t>
        </is>
      </c>
      <c r="D3205" s="12" t="n">
        <v>2019</v>
      </c>
      <c r="E3205" s="12">
        <v>2024.0</v>
      </c>
      <c r="F3205" s="4" t="inlineStr">
        <is>
          <t>PRX</t>
        </is>
      </c>
      <c r="G3205" s="4" t="inlineStr">
        <is>
          <t>MARN_GTM_BTR1_2024</t>
        </is>
      </c>
      <c r="H3205" s="4" t="inlineStr">
        <is>
          <t>Guatemala. Primer Informe Bienal de Transparencia (BTR1), 2024</t>
        </is>
      </c>
      <c r="I3205" s="4" t="inlineStr">
        <is>
          <t>https://unfccc.int/documents/646195</t>
        </is>
      </c>
      <c r="J3205" s="4" t="inlineStr">
        <is>
          <t>BTR1|2024|T3.6|KER|CO2</t>
        </is>
      </c>
      <c r="K3205" s="4" t="inlineStr">
        <is>
          <t>KER</t>
        </is>
      </c>
      <c r="L3205" s="4" t="inlineStr">
        <is>
          <t>Keroseno</t>
        </is>
      </c>
      <c r="M3205" s="4"/>
      <c r="N3205" s="4"/>
      <c r="O3205" s="4"/>
      <c r="P3205" s="4"/>
      <c r="Q3205" s="4" t="inlineStr">
        <is>
          <t>FE_POR_COMBUSTIBLE_BTR1</t>
        </is>
      </c>
      <c r="R3205" s="4"/>
      <c r="S3205" s="4">
        <v>71900.0</v>
      </c>
      <c r="T3205" s="4" t="inlineStr">
        <is>
          <t>kg CO2/TJ</t>
        </is>
      </c>
      <c r="U3205" s="4"/>
      <c r="V3205" s="4"/>
      <c r="W3205" s="4" t="inlineStr">
        <is>
          <t>1.A.4.b</t>
        </is>
      </c>
      <c r="X3205" s="4" t="inlineStr">
        <is>
          <t>Residencial</t>
        </is>
      </c>
      <c r="Y3205" s="4" t="inlineStr">
        <is>
          <t>COMB_KER</t>
        </is>
      </c>
      <c r="Z3205" s="4" t="s">
        <v>4012</v>
      </c>
      <c r="AA3205" s="13">
        <v>71900.0</v>
      </c>
      <c r="AB3205" s="4" t="s">
        <v>4275</v>
      </c>
      <c r="AC3205" s="4"/>
      <c r="AD3205" s="4"/>
      <c r="AE3205" s="4"/>
      <c r="AF3205" s="4"/>
      <c r="AG3205" s="4"/>
      <c r="AH3205" s="4"/>
      <c r="AI3205" s="4"/>
      <c r="AJ3205" s="4"/>
      <c r="AK3205" s="4"/>
      <c r="AL3205" s="4" t="inlineStr">
        <is>
          <t>BTR1 Guatemala 2024, tabla 3.6, p. 48; fila Otro queroseno; gas CO2</t>
        </is>
      </c>
      <c r="AM3205" s="4" t="inlineStr">
        <is>
          <t>Factor por combustible documentado en el BTR1, con origen metodológico IPCC. Se aplica como parámetro constante aproximado a 2018–2024; el año de la clave permite unirlo a la actividad, no representa una nueva observación anual.</t>
        </is>
      </c>
    </row>
    <row r="3206" customFormat="false" ht="46.25" hidden="false" customHeight="false" outlineLevel="0" collapsed="false">
      <c r="A3206" s="4" t="s">
        <v>4270</v>
      </c>
      <c r="B3206" s="4" t="inlineStr">
        <is>
          <t>FE_COMB|2019|1.A.4.b|COMB_KER|CH4</t>
        </is>
      </c>
      <c r="C3206" s="4" t="inlineStr">
        <is>
          <t>2019|1.A.4.b|COMB_KER|CH4</t>
        </is>
      </c>
      <c r="D3206" s="12" t="n">
        <v>2019</v>
      </c>
      <c r="E3206" s="12">
        <v>2024.0</v>
      </c>
      <c r="F3206" s="4" t="inlineStr">
        <is>
          <t>PRX</t>
        </is>
      </c>
      <c r="G3206" s="4" t="inlineStr">
        <is>
          <t>MARN_GTM_BTR1_2024</t>
        </is>
      </c>
      <c r="H3206" s="4" t="inlineStr">
        <is>
          <t>Guatemala. Primer Informe Bienal de Transparencia (BTR1), 2024</t>
        </is>
      </c>
      <c r="I3206" s="4" t="inlineStr">
        <is>
          <t>https://unfccc.int/documents/646195</t>
        </is>
      </c>
      <c r="J3206" s="4" t="inlineStr">
        <is>
          <t>BTR1|2024|T3.33|KER|CH4</t>
        </is>
      </c>
      <c r="K3206" s="4" t="inlineStr">
        <is>
          <t>KER</t>
        </is>
      </c>
      <c r="L3206" s="4" t="inlineStr">
        <is>
          <t>Keroseno</t>
        </is>
      </c>
      <c r="M3206" s="4"/>
      <c r="N3206" s="4"/>
      <c r="O3206" s="4"/>
      <c r="P3206" s="4"/>
      <c r="Q3206" s="4" t="inlineStr">
        <is>
          <t>FE_POR_COMBUSTIBLE_BTR1</t>
        </is>
      </c>
      <c r="R3206" s="4"/>
      <c r="S3206" s="4">
        <v>10.0</v>
      </c>
      <c r="T3206" s="4" t="inlineStr">
        <is>
          <t>kg CH4/TJ</t>
        </is>
      </c>
      <c r="U3206" s="4"/>
      <c r="V3206" s="4"/>
      <c r="W3206" s="4" t="inlineStr">
        <is>
          <t>1.A.4.b</t>
        </is>
      </c>
      <c r="X3206" s="4" t="inlineStr">
        <is>
          <t>Residencial</t>
        </is>
      </c>
      <c r="Y3206" s="4" t="inlineStr">
        <is>
          <t>COMB_KER</t>
        </is>
      </c>
      <c r="Z3206" s="4" t="s">
        <v>4018</v>
      </c>
      <c r="AA3206" s="13">
        <v>10.0</v>
      </c>
      <c r="AB3206" s="4" t="s">
        <v>4281</v>
      </c>
      <c r="AC3206" s="4"/>
      <c r="AD3206" s="4"/>
      <c r="AE3206" s="4"/>
      <c r="AF3206" s="4"/>
      <c r="AG3206" s="4"/>
      <c r="AH3206" s="4"/>
      <c r="AI3206" s="4"/>
      <c r="AJ3206" s="4"/>
      <c r="AK3206" s="4"/>
      <c r="AL3206" s="4" t="inlineStr">
        <is>
          <t>BTR1 Guatemala 2024, tabla 3.33, p. 70; fila Otro queroseno; gas CH4</t>
        </is>
      </c>
      <c r="AM3206" s="4" t="inlineStr">
        <is>
          <t>Factor por combustible documentado en el BTR1, con origen metodológico IPCC. Se aplica como parámetro constante aproximado a 2018–2024; el año de la clave permite unirlo a la actividad, no representa una nueva observación anual.</t>
        </is>
      </c>
    </row>
    <row r="3207" customFormat="false" ht="46.25" hidden="false" customHeight="false" outlineLevel="0" collapsed="false">
      <c r="A3207" s="4" t="s">
        <v>4270</v>
      </c>
      <c r="B3207" s="4" t="inlineStr">
        <is>
          <t>FE_COMB|2019|1.A.4.b|COMB_KER|N2O</t>
        </is>
      </c>
      <c r="C3207" s="4" t="inlineStr">
        <is>
          <t>2019|1.A.4.b|COMB_KER|N2O</t>
        </is>
      </c>
      <c r="D3207" s="12" t="n">
        <v>2019</v>
      </c>
      <c r="E3207" s="12">
        <v>2024.0</v>
      </c>
      <c r="F3207" s="4" t="inlineStr">
        <is>
          <t>PRX</t>
        </is>
      </c>
      <c r="G3207" s="4" t="inlineStr">
        <is>
          <t>MARN_GTM_BTR1_2024</t>
        </is>
      </c>
      <c r="H3207" s="4" t="inlineStr">
        <is>
          <t>Guatemala. Primer Informe Bienal de Transparencia (BTR1), 2024</t>
        </is>
      </c>
      <c r="I3207" s="4" t="inlineStr">
        <is>
          <t>https://unfccc.int/documents/646195</t>
        </is>
      </c>
      <c r="J3207" s="4" t="inlineStr">
        <is>
          <t>BTR1|2024|T3.33|KER|N2O</t>
        </is>
      </c>
      <c r="K3207" s="4" t="inlineStr">
        <is>
          <t>KER</t>
        </is>
      </c>
      <c r="L3207" s="4" t="inlineStr">
        <is>
          <t>Keroseno</t>
        </is>
      </c>
      <c r="M3207" s="4"/>
      <c r="N3207" s="4"/>
      <c r="O3207" s="4"/>
      <c r="P3207" s="4"/>
      <c r="Q3207" s="4" t="inlineStr">
        <is>
          <t>FE_POR_COMBUSTIBLE_BTR1</t>
        </is>
      </c>
      <c r="R3207" s="4"/>
      <c r="S3207" s="4">
        <v>0.6</v>
      </c>
      <c r="T3207" s="4" t="inlineStr">
        <is>
          <t>kg N2O/TJ</t>
        </is>
      </c>
      <c r="U3207" s="4"/>
      <c r="V3207" s="4"/>
      <c r="W3207" s="4" t="inlineStr">
        <is>
          <t>1.A.4.b</t>
        </is>
      </c>
      <c r="X3207" s="4" t="inlineStr">
        <is>
          <t>Residencial</t>
        </is>
      </c>
      <c r="Y3207" s="4" t="inlineStr">
        <is>
          <t>COMB_KER</t>
        </is>
      </c>
      <c r="Z3207" s="4" t="s">
        <v>4048</v>
      </c>
      <c r="AA3207" s="4">
        <v>0.6</v>
      </c>
      <c r="AB3207" s="4" t="s">
        <v>4287</v>
      </c>
      <c r="AC3207" s="4"/>
      <c r="AD3207" s="4"/>
      <c r="AE3207" s="4"/>
      <c r="AF3207" s="4"/>
      <c r="AG3207" s="4"/>
      <c r="AH3207" s="4"/>
      <c r="AI3207" s="4"/>
      <c r="AJ3207" s="4"/>
      <c r="AK3207" s="4"/>
      <c r="AL3207" s="4" t="inlineStr">
        <is>
          <t>BTR1 Guatemala 2024, tabla 3.33, p. 70; fila Otro queroseno; gas N2O</t>
        </is>
      </c>
      <c r="AM3207" s="4" t="inlineStr">
        <is>
          <t>Factor por combustible documentado en el BTR1, con origen metodológico IPCC. Se aplica como parámetro constante aproximado a 2018–2024; el año de la clave permite unirlo a la actividad, no representa una nueva observación anual.</t>
        </is>
      </c>
    </row>
    <row r="3208" customFormat="false" ht="46.25" hidden="false" customHeight="false" outlineLevel="0" collapsed="false">
      <c r="A3208" s="4" t="s">
        <v>4270</v>
      </c>
      <c r="B3208" s="4" t="inlineStr">
        <is>
          <t>FE_COMB|2020|1.A.1.a.i|COMB_BCANA|CO2</t>
        </is>
      </c>
      <c r="C3208" s="4" t="inlineStr">
        <is>
          <t>2020|1.A.1.a.i|COMB_BCANA|CO2</t>
        </is>
      </c>
      <c r="D3208" s="12" t="n">
        <v>2020</v>
      </c>
      <c r="E3208" s="12">
        <v>2024.0</v>
      </c>
      <c r="F3208" s="4" t="inlineStr">
        <is>
          <t>PRX</t>
        </is>
      </c>
      <c r="G3208" s="4" t="inlineStr">
        <is>
          <t>MARN_GTM_BTR1_2024</t>
        </is>
      </c>
      <c r="H3208" s="4" t="inlineStr">
        <is>
          <t>Guatemala. Primer Informe Bienal de Transparencia (BTR1), 2024</t>
        </is>
      </c>
      <c r="I3208" s="4" t="inlineStr">
        <is>
          <t>https://unfccc.int/documents/646195</t>
        </is>
      </c>
      <c r="J3208" s="4" t="inlineStr">
        <is>
          <t>BTR1|2024|T3.6|BCANA|CO2</t>
        </is>
      </c>
      <c r="K3208" s="4" t="inlineStr">
        <is>
          <t>BCANA</t>
        </is>
      </c>
      <c r="L3208" s="4" t="inlineStr">
        <is>
          <t>Bagazo de caña</t>
        </is>
      </c>
      <c r="M3208" s="4"/>
      <c r="N3208" s="4"/>
      <c r="O3208" s="4"/>
      <c r="P3208" s="4"/>
      <c r="Q3208" s="4" t="inlineStr">
        <is>
          <t>FE_POR_COMBUSTIBLE_BTR1</t>
        </is>
      </c>
      <c r="R3208" s="4"/>
      <c r="S3208" s="4">
        <v>100000.0</v>
      </c>
      <c r="T3208" s="4" t="inlineStr">
        <is>
          <t>kg CO2/TJ</t>
        </is>
      </c>
      <c r="U3208" s="4"/>
      <c r="V3208" s="4"/>
      <c r="W3208" s="4" t="s">
        <v>3341</v>
      </c>
      <c r="X3208" s="4" t="inlineStr">
        <is>
          <t>Generación de electricidad</t>
        </is>
      </c>
      <c r="Y3208" s="4" t="inlineStr">
        <is>
          <t>COMB_BCANA</t>
        </is>
      </c>
      <c r="Z3208" s="4" t="s">
        <v>4012</v>
      </c>
      <c r="AA3208" s="13">
        <v>100000.0</v>
      </c>
      <c r="AB3208" s="4" t="s">
        <v>4275</v>
      </c>
      <c r="AC3208" s="4"/>
      <c r="AD3208" s="4"/>
      <c r="AE3208" s="4"/>
      <c r="AF3208" s="4"/>
      <c r="AG3208" s="4"/>
      <c r="AH3208" s="4"/>
      <c r="AI3208" s="4"/>
      <c r="AJ3208" s="4"/>
      <c r="AK3208" s="4"/>
      <c r="AL3208" s="4" t="inlineStr">
        <is>
          <t>BTR1 Guatemala 2024, tabla 3.6, p. 48; fila Otra biomasa sólida primaria; gas CO2</t>
        </is>
      </c>
      <c r="AM3208"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09" customFormat="false" ht="46.25" hidden="false" customHeight="false" outlineLevel="0" collapsed="false">
      <c r="A3209" s="4" t="s">
        <v>4270</v>
      </c>
      <c r="B3209" s="4" t="inlineStr">
        <is>
          <t>FE_COMB|2020|1.A.1.a.i|COMB_BCANA|CH4</t>
        </is>
      </c>
      <c r="C3209" s="4" t="inlineStr">
        <is>
          <t>2020|1.A.1.a.i|COMB_BCANA|CH4</t>
        </is>
      </c>
      <c r="D3209" s="12" t="n">
        <v>2020</v>
      </c>
      <c r="E3209" s="12">
        <v>2024.0</v>
      </c>
      <c r="F3209" s="4" t="inlineStr">
        <is>
          <t>PRX</t>
        </is>
      </c>
      <c r="G3209" s="4" t="inlineStr">
        <is>
          <t>MARN_GTM_BTR1_2024</t>
        </is>
      </c>
      <c r="H3209" s="4" t="inlineStr">
        <is>
          <t>Guatemala. Primer Informe Bienal de Transparencia (BTR1), 2024</t>
        </is>
      </c>
      <c r="I3209" s="4" t="inlineStr">
        <is>
          <t>https://unfccc.int/documents/646195</t>
        </is>
      </c>
      <c r="J3209" s="4" t="inlineStr">
        <is>
          <t>BTR1|2024|T3.17|BCANA|CH4</t>
        </is>
      </c>
      <c r="K3209" s="4" t="inlineStr">
        <is>
          <t>BCANA</t>
        </is>
      </c>
      <c r="L3209" s="4" t="inlineStr">
        <is>
          <t>Bagazo de caña</t>
        </is>
      </c>
      <c r="M3209" s="4"/>
      <c r="N3209" s="4"/>
      <c r="O3209" s="4"/>
      <c r="P3209" s="4"/>
      <c r="Q3209" s="4" t="inlineStr">
        <is>
          <t>FE_POR_COMBUSTIBLE_BTR1</t>
        </is>
      </c>
      <c r="R3209" s="4"/>
      <c r="S3209" s="4">
        <v>30.0</v>
      </c>
      <c r="T3209" s="4" t="inlineStr">
        <is>
          <t>kg CH4/TJ</t>
        </is>
      </c>
      <c r="U3209" s="4"/>
      <c r="V3209" s="4"/>
      <c r="W3209" s="4" t="s">
        <v>3341</v>
      </c>
      <c r="X3209" s="4" t="inlineStr">
        <is>
          <t>Generación de electricidad</t>
        </is>
      </c>
      <c r="Y3209" s="4" t="inlineStr">
        <is>
          <t>COMB_BCANA</t>
        </is>
      </c>
      <c r="Z3209" s="4" t="s">
        <v>4018</v>
      </c>
      <c r="AA3209" s="13">
        <v>30.0</v>
      </c>
      <c r="AB3209" s="4" t="s">
        <v>4281</v>
      </c>
      <c r="AC3209" s="4"/>
      <c r="AD3209" s="4"/>
      <c r="AE3209" s="4"/>
      <c r="AF3209" s="4"/>
      <c r="AG3209" s="4"/>
      <c r="AH3209" s="4"/>
      <c r="AI3209" s="4"/>
      <c r="AJ3209" s="4"/>
      <c r="AK3209" s="4"/>
      <c r="AL3209" s="4" t="inlineStr">
        <is>
          <t>BTR1 Guatemala 2024, tabla 3.17, p. 57; fila Otra biomasa sólida primaria; gas CH4</t>
        </is>
      </c>
      <c r="AM3209"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10" customFormat="false" ht="46.25" hidden="false" customHeight="false" outlineLevel="0" collapsed="false">
      <c r="A3210" s="4" t="s">
        <v>4270</v>
      </c>
      <c r="B3210" s="4" t="inlineStr">
        <is>
          <t>FE_COMB|2020|1.A.1.a.i|COMB_BCANA|N2O</t>
        </is>
      </c>
      <c r="C3210" s="4" t="inlineStr">
        <is>
          <t>2020|1.A.1.a.i|COMB_BCANA|N2O</t>
        </is>
      </c>
      <c r="D3210" s="12" t="n">
        <v>2020</v>
      </c>
      <c r="E3210" s="12">
        <v>2024.0</v>
      </c>
      <c r="F3210" s="4" t="inlineStr">
        <is>
          <t>PRX</t>
        </is>
      </c>
      <c r="G3210" s="4" t="inlineStr">
        <is>
          <t>MARN_GTM_BTR1_2024</t>
        </is>
      </c>
      <c r="H3210" s="4" t="inlineStr">
        <is>
          <t>Guatemala. Primer Informe Bienal de Transparencia (BTR1), 2024</t>
        </is>
      </c>
      <c r="I3210" s="4" t="inlineStr">
        <is>
          <t>https://unfccc.int/documents/646195</t>
        </is>
      </c>
      <c r="J3210" s="4" t="inlineStr">
        <is>
          <t>BTR1|2024|T3.17|BCANA|N2O</t>
        </is>
      </c>
      <c r="K3210" s="4" t="inlineStr">
        <is>
          <t>BCANA</t>
        </is>
      </c>
      <c r="L3210" s="4" t="inlineStr">
        <is>
          <t>Bagazo de caña</t>
        </is>
      </c>
      <c r="M3210" s="4"/>
      <c r="N3210" s="4"/>
      <c r="O3210" s="4"/>
      <c r="P3210" s="4"/>
      <c r="Q3210" s="4" t="inlineStr">
        <is>
          <t>FE_POR_COMBUSTIBLE_BTR1</t>
        </is>
      </c>
      <c r="R3210" s="4"/>
      <c r="S3210" s="4">
        <v>4.0</v>
      </c>
      <c r="T3210" s="4" t="inlineStr">
        <is>
          <t>kg N2O/TJ</t>
        </is>
      </c>
      <c r="U3210" s="4"/>
      <c r="V3210" s="4"/>
      <c r="W3210" s="4" t="s">
        <v>3341</v>
      </c>
      <c r="X3210" s="4" t="inlineStr">
        <is>
          <t>Generación de electricidad</t>
        </is>
      </c>
      <c r="Y3210" s="4" t="inlineStr">
        <is>
          <t>COMB_BCANA</t>
        </is>
      </c>
      <c r="Z3210" s="4" t="s">
        <v>4048</v>
      </c>
      <c r="AA3210" s="13">
        <v>4.0</v>
      </c>
      <c r="AB3210" s="4" t="s">
        <v>4287</v>
      </c>
      <c r="AC3210" s="4"/>
      <c r="AD3210" s="4"/>
      <c r="AE3210" s="4"/>
      <c r="AF3210" s="4"/>
      <c r="AG3210" s="4"/>
      <c r="AH3210" s="4"/>
      <c r="AI3210" s="4"/>
      <c r="AJ3210" s="4"/>
      <c r="AK3210" s="4"/>
      <c r="AL3210" s="4" t="inlineStr">
        <is>
          <t>BTR1 Guatemala 2024, tabla 3.17, p. 57; fila Otra biomasa sólida primaria; gas N2O</t>
        </is>
      </c>
      <c r="AM3210"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11" customFormat="false" ht="46.25" hidden="false" customHeight="false" outlineLevel="0" collapsed="false">
      <c r="A3211" s="4" t="s">
        <v>4270</v>
      </c>
      <c r="B3211" s="4" t="inlineStr">
        <is>
          <t>FE_COMB|2020|1.A.1.a.i|COMB_BIOGAS|CO2</t>
        </is>
      </c>
      <c r="C3211" s="4" t="inlineStr">
        <is>
          <t>2020|1.A.1.a.i|COMB_BIOGAS|CO2</t>
        </is>
      </c>
      <c r="D3211" s="12" t="n">
        <v>2020</v>
      </c>
      <c r="E3211" s="12">
        <v>2024.0</v>
      </c>
      <c r="F3211" s="4" t="inlineStr">
        <is>
          <t>PRX</t>
        </is>
      </c>
      <c r="G3211" s="4" t="inlineStr">
        <is>
          <t>MARN_GTM_BTR1_2024</t>
        </is>
      </c>
      <c r="H3211" s="4" t="inlineStr">
        <is>
          <t>Guatemala. Primer Informe Bienal de Transparencia (BTR1), 2024</t>
        </is>
      </c>
      <c r="I3211" s="4" t="inlineStr">
        <is>
          <t>https://unfccc.int/documents/646195</t>
        </is>
      </c>
      <c r="J3211" s="4" t="inlineStr">
        <is>
          <t>BTR1|2024|T3.6|BIOGAS|CO2</t>
        </is>
      </c>
      <c r="K3211" s="4" t="inlineStr">
        <is>
          <t>BIOGAS</t>
        </is>
      </c>
      <c r="L3211" s="4" t="inlineStr">
        <is>
          <t>Biogás</t>
        </is>
      </c>
      <c r="M3211" s="4"/>
      <c r="N3211" s="4"/>
      <c r="O3211" s="4"/>
      <c r="P3211" s="4"/>
      <c r="Q3211" s="4" t="inlineStr">
        <is>
          <t>FE_POR_COMBUSTIBLE_BTR1</t>
        </is>
      </c>
      <c r="R3211" s="4"/>
      <c r="S3211" s="4">
        <v>54600.0</v>
      </c>
      <c r="T3211" s="4" t="inlineStr">
        <is>
          <t>kg CO2/TJ</t>
        </is>
      </c>
      <c r="U3211" s="4"/>
      <c r="V3211" s="4"/>
      <c r="W3211" s="4" t="s">
        <v>3341</v>
      </c>
      <c r="X3211" s="4" t="inlineStr">
        <is>
          <t>Generación de electricidad</t>
        </is>
      </c>
      <c r="Y3211" s="4" t="inlineStr">
        <is>
          <t>COMB_BIOGAS</t>
        </is>
      </c>
      <c r="Z3211" s="4" t="s">
        <v>4012</v>
      </c>
      <c r="AA3211" s="13">
        <v>54600.0</v>
      </c>
      <c r="AB3211" s="4" t="s">
        <v>4275</v>
      </c>
      <c r="AC3211" s="4"/>
      <c r="AD3211" s="4"/>
      <c r="AE3211" s="4"/>
      <c r="AF3211" s="4"/>
      <c r="AG3211" s="4"/>
      <c r="AH3211" s="4"/>
      <c r="AI3211" s="4"/>
      <c r="AJ3211" s="4"/>
      <c r="AK3211" s="4"/>
      <c r="AL3211" s="4" t="inlineStr">
        <is>
          <t>BTR1 Guatemala 2024, tabla 3.6, p. 48; fila Gas de vertedero; gas CO2</t>
        </is>
      </c>
      <c r="AM3211"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12" customFormat="false" ht="46.25" hidden="false" customHeight="false" outlineLevel="0" collapsed="false">
      <c r="A3212" s="4" t="s">
        <v>4270</v>
      </c>
      <c r="B3212" s="4" t="inlineStr">
        <is>
          <t>FE_COMB|2020|1.A.1.a.i|COMB_BIOGAS|CH4</t>
        </is>
      </c>
      <c r="C3212" s="4" t="inlineStr">
        <is>
          <t>2020|1.A.1.a.i|COMB_BIOGAS|CH4</t>
        </is>
      </c>
      <c r="D3212" s="12" t="n">
        <v>2020</v>
      </c>
      <c r="E3212" s="12">
        <v>2024.0</v>
      </c>
      <c r="F3212" s="4" t="inlineStr">
        <is>
          <t>PRX</t>
        </is>
      </c>
      <c r="G3212" s="4" t="inlineStr">
        <is>
          <t>MARN_GTM_BTR1_2024</t>
        </is>
      </c>
      <c r="H3212" s="4" t="inlineStr">
        <is>
          <t>Guatemala. Primer Informe Bienal de Transparencia (BTR1), 2024</t>
        </is>
      </c>
      <c r="I3212" s="4" t="inlineStr">
        <is>
          <t>https://unfccc.int/documents/646195</t>
        </is>
      </c>
      <c r="J3212" s="4" t="inlineStr">
        <is>
          <t>BTR1|2024|T3.17|BIOGAS|CH4</t>
        </is>
      </c>
      <c r="K3212" s="4" t="inlineStr">
        <is>
          <t>BIOGAS</t>
        </is>
      </c>
      <c r="L3212" s="4" t="inlineStr">
        <is>
          <t>Biogás</t>
        </is>
      </c>
      <c r="M3212" s="4"/>
      <c r="N3212" s="4"/>
      <c r="O3212" s="4"/>
      <c r="P3212" s="4"/>
      <c r="Q3212" s="4" t="inlineStr">
        <is>
          <t>FE_POR_COMBUSTIBLE_BTR1</t>
        </is>
      </c>
      <c r="R3212" s="4"/>
      <c r="S3212" s="4">
        <v>1.0</v>
      </c>
      <c r="T3212" s="4" t="inlineStr">
        <is>
          <t>kg CH4/TJ</t>
        </is>
      </c>
      <c r="U3212" s="4"/>
      <c r="V3212" s="4"/>
      <c r="W3212" s="4" t="s">
        <v>3341</v>
      </c>
      <c r="X3212" s="4" t="inlineStr">
        <is>
          <t>Generación de electricidad</t>
        </is>
      </c>
      <c r="Y3212" s="4" t="inlineStr">
        <is>
          <t>COMB_BIOGAS</t>
        </is>
      </c>
      <c r="Z3212" s="4" t="s">
        <v>4018</v>
      </c>
      <c r="AA3212" s="13">
        <v>1.0</v>
      </c>
      <c r="AB3212" s="4" t="s">
        <v>4281</v>
      </c>
      <c r="AC3212" s="4"/>
      <c r="AD3212" s="4"/>
      <c r="AE3212" s="4"/>
      <c r="AF3212" s="4"/>
      <c r="AG3212" s="4"/>
      <c r="AH3212" s="4"/>
      <c r="AI3212" s="4"/>
      <c r="AJ3212" s="4"/>
      <c r="AK3212" s="4"/>
      <c r="AL3212" s="4" t="inlineStr">
        <is>
          <t>BTR1 Guatemala 2024, tabla 3.17, p. 57; fila Gas de vertedero; gas CH4</t>
        </is>
      </c>
      <c r="AM3212"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13" customFormat="false" ht="46.25" hidden="false" customHeight="false" outlineLevel="0" collapsed="false">
      <c r="A3213" s="4" t="s">
        <v>4270</v>
      </c>
      <c r="B3213" s="4" t="inlineStr">
        <is>
          <t>FE_COMB|2020|1.A.1.a.i|COMB_BIOGAS|N2O</t>
        </is>
      </c>
      <c r="C3213" s="4" t="inlineStr">
        <is>
          <t>2020|1.A.1.a.i|COMB_BIOGAS|N2O</t>
        </is>
      </c>
      <c r="D3213" s="12" t="n">
        <v>2020</v>
      </c>
      <c r="E3213" s="12">
        <v>2024.0</v>
      </c>
      <c r="F3213" s="4" t="inlineStr">
        <is>
          <t>PRX</t>
        </is>
      </c>
      <c r="G3213" s="4" t="inlineStr">
        <is>
          <t>MARN_GTM_BTR1_2024</t>
        </is>
      </c>
      <c r="H3213" s="4" t="inlineStr">
        <is>
          <t>Guatemala. Primer Informe Bienal de Transparencia (BTR1), 2024</t>
        </is>
      </c>
      <c r="I3213" s="4" t="inlineStr">
        <is>
          <t>https://unfccc.int/documents/646195</t>
        </is>
      </c>
      <c r="J3213" s="4" t="inlineStr">
        <is>
          <t>BTR1|2024|T3.17|BIOGAS|N2O</t>
        </is>
      </c>
      <c r="K3213" s="4" t="inlineStr">
        <is>
          <t>BIOGAS</t>
        </is>
      </c>
      <c r="L3213" s="4" t="inlineStr">
        <is>
          <t>Biogás</t>
        </is>
      </c>
      <c r="M3213" s="4"/>
      <c r="N3213" s="4"/>
      <c r="O3213" s="4"/>
      <c r="P3213" s="4"/>
      <c r="Q3213" s="4" t="inlineStr">
        <is>
          <t>FE_POR_COMBUSTIBLE_BTR1</t>
        </is>
      </c>
      <c r="R3213" s="4"/>
      <c r="S3213" s="4">
        <v>0.1</v>
      </c>
      <c r="T3213" s="4" t="inlineStr">
        <is>
          <t>kg N2O/TJ</t>
        </is>
      </c>
      <c r="U3213" s="4"/>
      <c r="V3213" s="4"/>
      <c r="W3213" s="4" t="s">
        <v>3341</v>
      </c>
      <c r="X3213" s="4" t="inlineStr">
        <is>
          <t>Generación de electricidad</t>
        </is>
      </c>
      <c r="Y3213" s="4" t="inlineStr">
        <is>
          <t>COMB_BIOGAS</t>
        </is>
      </c>
      <c r="Z3213" s="4" t="s">
        <v>4048</v>
      </c>
      <c r="AA3213" s="13">
        <v>0.1</v>
      </c>
      <c r="AB3213" s="4" t="s">
        <v>4287</v>
      </c>
      <c r="AC3213" s="4"/>
      <c r="AD3213" s="4"/>
      <c r="AE3213" s="4"/>
      <c r="AF3213" s="4"/>
      <c r="AG3213" s="4"/>
      <c r="AH3213" s="4"/>
      <c r="AI3213" s="4"/>
      <c r="AJ3213" s="4"/>
      <c r="AK3213" s="4"/>
      <c r="AL3213" s="4" t="inlineStr">
        <is>
          <t>BTR1 Guatemala 2024, tabla 3.17, p. 57; fila Gas de vertedero; gas N2O</t>
        </is>
      </c>
      <c r="AM3213"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14" customFormat="false" ht="57.45" hidden="false" customHeight="false" outlineLevel="0" collapsed="false">
      <c r="A3214" s="4" t="s">
        <v>4270</v>
      </c>
      <c r="B3214" s="4" t="inlineStr">
        <is>
          <t>FE_COMB|2020|1.A.1.a.i|COMB_COQUE|CO2</t>
        </is>
      </c>
      <c r="C3214" s="4" t="inlineStr">
        <is>
          <t>2020|1.A.1.a.i|COMB_COQUE|CO2</t>
        </is>
      </c>
      <c r="D3214" s="12" t="n">
        <v>2020</v>
      </c>
      <c r="E3214" s="12">
        <v>2024.0</v>
      </c>
      <c r="F3214" s="4" t="inlineStr">
        <is>
          <t>PRX</t>
        </is>
      </c>
      <c r="G3214" s="4" t="inlineStr">
        <is>
          <t>MARN_GTM_BTR1_2024</t>
        </is>
      </c>
      <c r="H3214" s="4" t="inlineStr">
        <is>
          <t>Guatemala. Primer Informe Bienal de Transparencia (BTR1), 2024</t>
        </is>
      </c>
      <c r="I3214" s="4" t="inlineStr">
        <is>
          <t>https://unfccc.int/documents/646195</t>
        </is>
      </c>
      <c r="J3214" s="4" t="inlineStr">
        <is>
          <t>BTR1|2024|T3.6|COQUE|CO2</t>
        </is>
      </c>
      <c r="K3214" s="4" t="inlineStr">
        <is>
          <t>COQUE</t>
        </is>
      </c>
      <c r="L3214" s="4" t="inlineStr">
        <is>
          <t>Coque</t>
        </is>
      </c>
      <c r="M3214" s="4"/>
      <c r="N3214" s="4"/>
      <c r="O3214" s="4"/>
      <c r="P3214" s="4"/>
      <c r="Q3214" s="4" t="inlineStr">
        <is>
          <t>FE_POR_COMBUSTIBLE_BTR1</t>
        </is>
      </c>
      <c r="R3214" s="4"/>
      <c r="S3214" s="4">
        <v>97500.0</v>
      </c>
      <c r="T3214" s="4" t="inlineStr">
        <is>
          <t>kg CO2/TJ</t>
        </is>
      </c>
      <c r="U3214" s="4"/>
      <c r="V3214" s="4"/>
      <c r="W3214" s="4" t="s">
        <v>3341</v>
      </c>
      <c r="X3214" s="4" t="inlineStr">
        <is>
          <t>Generación de electricidad</t>
        </is>
      </c>
      <c r="Y3214" s="4" t="inlineStr">
        <is>
          <t>COMB_COQUE</t>
        </is>
      </c>
      <c r="Z3214" s="4" t="s">
        <v>4012</v>
      </c>
      <c r="AA3214" s="13">
        <v>97500.0</v>
      </c>
      <c r="AB3214" s="4" t="s">
        <v>4275</v>
      </c>
      <c r="AC3214" s="4"/>
      <c r="AD3214" s="4"/>
      <c r="AE3214" s="4"/>
      <c r="AF3214" s="4"/>
      <c r="AG3214" s="4"/>
      <c r="AH3214" s="4"/>
      <c r="AI3214" s="4"/>
      <c r="AJ3214" s="4"/>
      <c r="AK3214" s="4"/>
      <c r="AL3214" s="4" t="inlineStr">
        <is>
          <t>BTR1 Guatemala 2024, tabla 3.6, p. 48; fila Coque de petróleo; gas CO2</t>
        </is>
      </c>
      <c r="AM3214"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215" customFormat="false" ht="57.45" hidden="false" customHeight="false" outlineLevel="0" collapsed="false">
      <c r="A3215" s="4" t="s">
        <v>4270</v>
      </c>
      <c r="B3215" s="4" t="inlineStr">
        <is>
          <t>FE_COMB|2020|1.A.1.a.i|COMB_COQUE|CH4</t>
        </is>
      </c>
      <c r="C3215" s="4" t="inlineStr">
        <is>
          <t>2020|1.A.1.a.i|COMB_COQUE|CH4</t>
        </is>
      </c>
      <c r="D3215" s="12" t="n">
        <v>2020</v>
      </c>
      <c r="E3215" s="12">
        <v>2006.0</v>
      </c>
      <c r="F3215" s="4" t="inlineStr">
        <is>
          <t>PRX</t>
        </is>
      </c>
      <c r="G3215" s="4" t="inlineStr">
        <is>
          <t>IPCC_2006_GL</t>
        </is>
      </c>
      <c r="H3215" s="4" t="inlineStr">
        <is>
          <t>IPCC. 2006 Guidelines for National Greenhouse Gas Inventories, Volume 2: Energy</t>
        </is>
      </c>
      <c r="I3215" s="4" t="inlineStr">
        <is>
          <t>https://www.ipcc-nggip.iges.or.jp/public/2006gl/pdf/2_Volume2/V2_2_Ch2_Stationary_Combustion.pdf</t>
        </is>
      </c>
      <c r="J3215" s="4" t="inlineStr">
        <is>
          <t>IPCC2006|V2|C2|T2.2|PETROLEUM_COKE|CH4</t>
        </is>
      </c>
      <c r="K3215" s="4" t="inlineStr">
        <is>
          <t>COQUE</t>
        </is>
      </c>
      <c r="L3215" s="4" t="inlineStr">
        <is>
          <t>Coque</t>
        </is>
      </c>
      <c r="M3215" s="4"/>
      <c r="N3215" s="4"/>
      <c r="O3215" s="4"/>
      <c r="P3215" s="4"/>
      <c r="Q3215" s="4" t="inlineStr">
        <is>
          <t>FE_POR_DEFECTO_IPCC_2006</t>
        </is>
      </c>
      <c r="R3215" s="4"/>
      <c r="S3215" s="4">
        <v>3.0</v>
      </c>
      <c r="T3215" s="4" t="inlineStr">
        <is>
          <t>kg CH4/TJ</t>
        </is>
      </c>
      <c r="U3215" s="4"/>
      <c r="V3215" s="4"/>
      <c r="W3215" s="4" t="s">
        <v>3341</v>
      </c>
      <c r="X3215" s="4" t="inlineStr">
        <is>
          <t>Generación de electricidad</t>
        </is>
      </c>
      <c r="Y3215" s="4" t="inlineStr">
        <is>
          <t>COMB_COQUE</t>
        </is>
      </c>
      <c r="Z3215" s="4" t="s">
        <v>4018</v>
      </c>
      <c r="AA3215" s="13">
        <v>3.0</v>
      </c>
      <c r="AB3215" s="4" t="s">
        <v>4281</v>
      </c>
      <c r="AC3215" s="4"/>
      <c r="AD3215" s="4"/>
      <c r="AE3215" s="4"/>
      <c r="AF3215" s="4"/>
      <c r="AG3215" s="4"/>
      <c r="AH3215" s="4"/>
      <c r="AI3215" s="4"/>
      <c r="AJ3215" s="4"/>
      <c r="AK3215" s="4"/>
      <c r="AL3215" s="4" t="inlineStr">
        <is>
          <t>Volumen 2, capítulo 2, tabla 2.2, p. 2.16; fila Petroleum Coke; gas CH4</t>
        </is>
      </c>
      <c r="AM3215" s="4" t="inlineStr">
        <is>
          <t>Factor por defecto de coque de petróleo para industrias de energía. El BEN 2024, tabla 11, identifica el coque utilizado; no se le asigna el factor del grupo carbón. Valor constante aplicado como aproximación a 2018–2024.</t>
        </is>
      </c>
    </row>
    <row r="3216" customFormat="false" ht="57.45" hidden="false" customHeight="false" outlineLevel="0" collapsed="false">
      <c r="A3216" s="4" t="s">
        <v>4270</v>
      </c>
      <c r="B3216" s="4" t="inlineStr">
        <is>
          <t>FE_COMB|2020|1.A.1.a.i|COMB_COQUE|N2O</t>
        </is>
      </c>
      <c r="C3216" s="4" t="inlineStr">
        <is>
          <t>2020|1.A.1.a.i|COMB_COQUE|N2O</t>
        </is>
      </c>
      <c r="D3216" s="12" t="n">
        <v>2020</v>
      </c>
      <c r="E3216" s="12">
        <v>2006.0</v>
      </c>
      <c r="F3216" s="4" t="inlineStr">
        <is>
          <t>PRX</t>
        </is>
      </c>
      <c r="G3216" s="4" t="inlineStr">
        <is>
          <t>IPCC_2006_GL</t>
        </is>
      </c>
      <c r="H3216" s="4" t="inlineStr">
        <is>
          <t>IPCC. 2006 Guidelines for National Greenhouse Gas Inventories, Volume 2: Energy</t>
        </is>
      </c>
      <c r="I3216" s="4" t="inlineStr">
        <is>
          <t>https://www.ipcc-nggip.iges.or.jp/public/2006gl/pdf/2_Volume2/V2_2_Ch2_Stationary_Combustion.pdf</t>
        </is>
      </c>
      <c r="J3216" s="4" t="inlineStr">
        <is>
          <t>IPCC2006|V2|C2|T2.2|PETROLEUM_COKE|N2O</t>
        </is>
      </c>
      <c r="K3216" s="4" t="inlineStr">
        <is>
          <t>COQUE</t>
        </is>
      </c>
      <c r="L3216" s="4" t="inlineStr">
        <is>
          <t>Coque</t>
        </is>
      </c>
      <c r="M3216" s="4"/>
      <c r="N3216" s="4"/>
      <c r="O3216" s="4"/>
      <c r="P3216" s="4"/>
      <c r="Q3216" s="4" t="inlineStr">
        <is>
          <t>FE_POR_DEFECTO_IPCC_2006</t>
        </is>
      </c>
      <c r="R3216" s="4"/>
      <c r="S3216" s="4">
        <v>0.6</v>
      </c>
      <c r="T3216" s="4" t="inlineStr">
        <is>
          <t>kg N2O/TJ</t>
        </is>
      </c>
      <c r="U3216" s="4"/>
      <c r="V3216" s="4"/>
      <c r="W3216" s="4" t="s">
        <v>3341</v>
      </c>
      <c r="X3216" s="4" t="inlineStr">
        <is>
          <t>Generación de electricidad</t>
        </is>
      </c>
      <c r="Y3216" s="4" t="inlineStr">
        <is>
          <t>COMB_COQUE</t>
        </is>
      </c>
      <c r="Z3216" s="4" t="s">
        <v>4048</v>
      </c>
      <c r="AA3216" s="13">
        <v>0.6</v>
      </c>
      <c r="AB3216" s="4" t="s">
        <v>4287</v>
      </c>
      <c r="AC3216" s="4"/>
      <c r="AD3216" s="4"/>
      <c r="AE3216" s="4"/>
      <c r="AF3216" s="4"/>
      <c r="AG3216" s="4"/>
      <c r="AH3216" s="4"/>
      <c r="AI3216" s="4"/>
      <c r="AJ3216" s="4"/>
      <c r="AK3216" s="4"/>
      <c r="AL3216" s="4" t="inlineStr">
        <is>
          <t>Volumen 2, capítulo 2, tabla 2.2, p. 2.16; fila Petroleum Coke; gas N2O</t>
        </is>
      </c>
      <c r="AM3216" s="4" t="inlineStr">
        <is>
          <t>Factor por defecto de coque de petróleo para industrias de energía. El BEN 2024, tabla 11, identifica el coque utilizado; no se le asigna el factor del grupo carbón. Valor constante aplicado como aproximación a 2018–2024.</t>
        </is>
      </c>
    </row>
    <row r="3217" customFormat="false" ht="46.25" hidden="false" customHeight="false" outlineLevel="0" collapsed="false">
      <c r="A3217" s="4" t="s">
        <v>4270</v>
      </c>
      <c r="B3217" s="4" t="inlineStr">
        <is>
          <t>FE_COMB|2020|1.A.1.a.i|COMB_CRBN|CO2</t>
        </is>
      </c>
      <c r="C3217" s="4" t="inlineStr">
        <is>
          <t>2020|1.A.1.a.i|COMB_CRBN|CO2</t>
        </is>
      </c>
      <c r="D3217" s="12" t="n">
        <v>2020</v>
      </c>
      <c r="E3217" s="12">
        <v>2024.0</v>
      </c>
      <c r="F3217" s="4" t="inlineStr">
        <is>
          <t>PRX</t>
        </is>
      </c>
      <c r="G3217" s="4" t="inlineStr">
        <is>
          <t>MARN_GTM_BTR1_2024</t>
        </is>
      </c>
      <c r="H3217" s="4" t="inlineStr">
        <is>
          <t>Guatemala. Primer Informe Bienal de Transparencia (BTR1), 2024</t>
        </is>
      </c>
      <c r="I3217" s="4" t="inlineStr">
        <is>
          <t>https://unfccc.int/documents/646195</t>
        </is>
      </c>
      <c r="J3217" s="4" t="inlineStr">
        <is>
          <t>BTR1|2024|T3.6|CRBN|CO2</t>
        </is>
      </c>
      <c r="K3217" s="4" t="inlineStr">
        <is>
          <t>CRBN</t>
        </is>
      </c>
      <c r="L3217" s="4" t="inlineStr">
        <is>
          <t>Carbón</t>
        </is>
      </c>
      <c r="M3217" s="4"/>
      <c r="N3217" s="4"/>
      <c r="O3217" s="4"/>
      <c r="P3217" s="4"/>
      <c r="Q3217" s="4" t="inlineStr">
        <is>
          <t>FE_POR_COMBUSTIBLE_BTR1</t>
        </is>
      </c>
      <c r="R3217" s="4"/>
      <c r="S3217" s="4">
        <v>98300.0</v>
      </c>
      <c r="T3217" s="4" t="inlineStr">
        <is>
          <t>kg CO2/TJ</t>
        </is>
      </c>
      <c r="U3217" s="4"/>
      <c r="V3217" s="4"/>
      <c r="W3217" s="4" t="s">
        <v>3341</v>
      </c>
      <c r="X3217" s="4" t="inlineStr">
        <is>
          <t>Generación de electricidad</t>
        </is>
      </c>
      <c r="Y3217" s="4" t="inlineStr">
        <is>
          <t>COMB_CRBN</t>
        </is>
      </c>
      <c r="Z3217" s="4" t="s">
        <v>4012</v>
      </c>
      <c r="AA3217" s="4">
        <v>98300.0</v>
      </c>
      <c r="AB3217" s="4" t="s">
        <v>4275</v>
      </c>
      <c r="AC3217" s="4"/>
      <c r="AD3217" s="4"/>
      <c r="AE3217" s="4"/>
      <c r="AF3217" s="4"/>
      <c r="AG3217" s="4"/>
      <c r="AH3217" s="4"/>
      <c r="AI3217" s="4"/>
      <c r="AJ3217" s="4"/>
      <c r="AK3217" s="4"/>
      <c r="AL3217" s="4" t="inlineStr">
        <is>
          <t>BTR1 Guatemala 2024, tabla 3.6, p. 48; fila Otro carbón bituminoso*; gas CO2</t>
        </is>
      </c>
      <c r="AM3217" s="4" t="inlineStr">
        <is>
          <t>Factor por combustible documentado en el BTR1, con origen metodológico IPCC. Se aplica como parámetro constante aproximado a 2018–2024; el año de la clave permite unirlo a la actividad, no representa una nueva observación anual. CRBN utiliza el proxy de antracita adoptado por el MEM; no se infiere un análisis de la mezcla de carbón del BEN.</t>
        </is>
      </c>
    </row>
    <row r="3218" customFormat="false" ht="46.25" hidden="false" customHeight="false" outlineLevel="0" collapsed="false">
      <c r="A3218" s="4" t="s">
        <v>4270</v>
      </c>
      <c r="B3218" s="4" t="inlineStr">
        <is>
          <t>FE_COMB|2020|1.A.1.a.i|COMB_CRBN|CH4</t>
        </is>
      </c>
      <c r="C3218" s="4" t="inlineStr">
        <is>
          <t>2020|1.A.1.a.i|COMB_CRBN|CH4</t>
        </is>
      </c>
      <c r="D3218" s="12" t="n">
        <v>2020</v>
      </c>
      <c r="E3218" s="12">
        <v>2024.0</v>
      </c>
      <c r="F3218" s="4" t="inlineStr">
        <is>
          <t>PRX</t>
        </is>
      </c>
      <c r="G3218" s="4" t="inlineStr">
        <is>
          <t>MARN_GTM_BTR1_2024</t>
        </is>
      </c>
      <c r="H3218" s="4" t="inlineStr">
        <is>
          <t>Guatemala. Primer Informe Bienal de Transparencia (BTR1), 2024</t>
        </is>
      </c>
      <c r="I3218" s="4" t="inlineStr">
        <is>
          <t>https://unfccc.int/documents/646195</t>
        </is>
      </c>
      <c r="J3218" s="4" t="inlineStr">
        <is>
          <t>BTR1|2024|T3.17|CRBN|CH4</t>
        </is>
      </c>
      <c r="K3218" s="4" t="inlineStr">
        <is>
          <t>CRBN</t>
        </is>
      </c>
      <c r="L3218" s="4" t="inlineStr">
        <is>
          <t>Carbón</t>
        </is>
      </c>
      <c r="M3218" s="4"/>
      <c r="N3218" s="4"/>
      <c r="O3218" s="4"/>
      <c r="P3218" s="4"/>
      <c r="Q3218" s="4" t="inlineStr">
        <is>
          <t>FE_POR_COMBUSTIBLE_BTR1</t>
        </is>
      </c>
      <c r="R3218" s="4"/>
      <c r="S3218" s="4">
        <v>1.0</v>
      </c>
      <c r="T3218" s="4" t="inlineStr">
        <is>
          <t>kg CH4/TJ</t>
        </is>
      </c>
      <c r="U3218" s="4"/>
      <c r="V3218" s="4"/>
      <c r="W3218" s="4" t="s">
        <v>3341</v>
      </c>
      <c r="X3218" s="4" t="inlineStr">
        <is>
          <t>Generación de electricidad</t>
        </is>
      </c>
      <c r="Y3218" s="4" t="inlineStr">
        <is>
          <t>COMB_CRBN</t>
        </is>
      </c>
      <c r="Z3218" s="4" t="s">
        <v>4018</v>
      </c>
      <c r="AA3218" s="4">
        <v>1.0</v>
      </c>
      <c r="AB3218" s="4" t="s">
        <v>4281</v>
      </c>
      <c r="AC3218" s="4"/>
      <c r="AD3218" s="4"/>
      <c r="AE3218" s="4"/>
      <c r="AF3218" s="4"/>
      <c r="AG3218" s="4"/>
      <c r="AH3218" s="4"/>
      <c r="AI3218" s="4"/>
      <c r="AJ3218" s="4"/>
      <c r="AK3218" s="4"/>
      <c r="AL3218" s="4" t="inlineStr">
        <is>
          <t>BTR1 Guatemala 2024, tabla 3.17, p. 57; fila Otro carbón bituminoso; gas CH4</t>
        </is>
      </c>
      <c r="AM3218" s="4" t="inlineStr">
        <is>
          <t>Factor por combustible documentado en el BTR1, con origen metodológico IPCC. Se aplica como parámetro constante aproximado a 2018–2024; el año de la clave permite unirlo a la actividad, no representa una nueva observación anual. CRBN utiliza el proxy de antracita adoptado por el MEM; no se infiere un análisis de la mezcla de carbón del BEN.</t>
        </is>
      </c>
    </row>
    <row r="3219" customFormat="false" ht="46.25" hidden="false" customHeight="false" outlineLevel="0" collapsed="false">
      <c r="A3219" s="4" t="s">
        <v>4270</v>
      </c>
      <c r="B3219" s="4" t="inlineStr">
        <is>
          <t>FE_COMB|2020|1.A.1.a.i|COMB_CRBN|N2O</t>
        </is>
      </c>
      <c r="C3219" s="4" t="inlineStr">
        <is>
          <t>2020|1.A.1.a.i|COMB_CRBN|N2O</t>
        </is>
      </c>
      <c r="D3219" s="12" t="n">
        <v>2020</v>
      </c>
      <c r="E3219" s="12">
        <v>2024.0</v>
      </c>
      <c r="F3219" s="4" t="inlineStr">
        <is>
          <t>PRX</t>
        </is>
      </c>
      <c r="G3219" s="4" t="inlineStr">
        <is>
          <t>MARN_GTM_BTR1_2024</t>
        </is>
      </c>
      <c r="H3219" s="4" t="inlineStr">
        <is>
          <t>Guatemala. Primer Informe Bienal de Transparencia (BTR1), 2024</t>
        </is>
      </c>
      <c r="I3219" s="4" t="inlineStr">
        <is>
          <t>https://unfccc.int/documents/646195</t>
        </is>
      </c>
      <c r="J3219" s="4" t="inlineStr">
        <is>
          <t>BTR1|2024|T3.17|CRBN|N2O</t>
        </is>
      </c>
      <c r="K3219" s="4" t="inlineStr">
        <is>
          <t>CRBN</t>
        </is>
      </c>
      <c r="L3219" s="4" t="inlineStr">
        <is>
          <t>Carbón</t>
        </is>
      </c>
      <c r="M3219" s="4"/>
      <c r="N3219" s="4"/>
      <c r="O3219" s="4"/>
      <c r="P3219" s="4"/>
      <c r="Q3219" s="4" t="inlineStr">
        <is>
          <t>FE_POR_COMBUSTIBLE_BTR1</t>
        </is>
      </c>
      <c r="R3219" s="4"/>
      <c r="S3219" s="4">
        <v>1.5</v>
      </c>
      <c r="T3219" s="4" t="inlineStr">
        <is>
          <t>kg N2O/TJ</t>
        </is>
      </c>
      <c r="U3219" s="4"/>
      <c r="V3219" s="4"/>
      <c r="W3219" s="4" t="s">
        <v>3341</v>
      </c>
      <c r="X3219" s="4" t="inlineStr">
        <is>
          <t>Generación de electricidad</t>
        </is>
      </c>
      <c r="Y3219" s="4" t="inlineStr">
        <is>
          <t>COMB_CRBN</t>
        </is>
      </c>
      <c r="Z3219" s="4" t="s">
        <v>4048</v>
      </c>
      <c r="AA3219" s="4">
        <v>1.5</v>
      </c>
      <c r="AB3219" s="4" t="s">
        <v>4287</v>
      </c>
      <c r="AC3219" s="4"/>
      <c r="AD3219" s="4"/>
      <c r="AE3219" s="4"/>
      <c r="AF3219" s="4"/>
      <c r="AG3219" s="4"/>
      <c r="AH3219" s="4"/>
      <c r="AI3219" s="4"/>
      <c r="AJ3219" s="4"/>
      <c r="AK3219" s="4"/>
      <c r="AL3219" s="4" t="inlineStr">
        <is>
          <t>BTR1 Guatemala 2024, tabla 3.17, p. 57; fila Otro carbón bituminoso; gas N2O</t>
        </is>
      </c>
      <c r="AM3219" s="4" t="inlineStr">
        <is>
          <t>Factor por combustible documentado en el BTR1, con origen metodológico IPCC. Se aplica como parámetro constante aproximado a 2018–2024; el año de la clave permite unirlo a la actividad, no representa una nueva observación anual. CRBN utiliza el proxy de antracita adoptado por el MEM; no se infiere un análisis de la mezcla de carbón del BEN.</t>
        </is>
      </c>
    </row>
    <row r="3220" customFormat="false" ht="57.45" hidden="false" customHeight="false" outlineLevel="0" collapsed="false">
      <c r="A3220" s="4" t="s">
        <v>4270</v>
      </c>
      <c r="B3220" s="4" t="inlineStr">
        <is>
          <t>FE_COMB|2020|1.A.1.a.i|COMB_DOIL|CO2</t>
        </is>
      </c>
      <c r="C3220" s="4" t="inlineStr">
        <is>
          <t>2020|1.A.1.a.i|COMB_DOIL|CO2</t>
        </is>
      </c>
      <c r="D3220" s="12" t="n">
        <v>2020</v>
      </c>
      <c r="E3220" s="12">
        <v>2024.0</v>
      </c>
      <c r="F3220" s="4" t="inlineStr">
        <is>
          <t>PRX</t>
        </is>
      </c>
      <c r="G3220" s="4" t="inlineStr">
        <is>
          <t>MARN_GTM_BTR1_2024</t>
        </is>
      </c>
      <c r="H3220" s="4" t="inlineStr">
        <is>
          <t>Guatemala. Primer Informe Bienal de Transparencia (BTR1), 2024</t>
        </is>
      </c>
      <c r="I3220" s="4" t="inlineStr">
        <is>
          <t>https://unfccc.int/documents/646195</t>
        </is>
      </c>
      <c r="J3220" s="4" t="inlineStr">
        <is>
          <t>BTR1|2024|T3.6|DOIL|CO2</t>
        </is>
      </c>
      <c r="K3220" s="4" t="inlineStr">
        <is>
          <t>DOIL</t>
        </is>
      </c>
      <c r="L3220" s="4" t="inlineStr">
        <is>
          <t>Diésel / gas oil</t>
        </is>
      </c>
      <c r="M3220" s="4"/>
      <c r="N3220" s="4"/>
      <c r="O3220" s="4"/>
      <c r="P3220" s="4"/>
      <c r="Q3220" s="4" t="inlineStr">
        <is>
          <t>FE_POR_COMBUSTIBLE_BTR1</t>
        </is>
      </c>
      <c r="R3220" s="4"/>
      <c r="S3220" s="4">
        <v>74100.0</v>
      </c>
      <c r="T3220" s="4" t="inlineStr">
        <is>
          <t>kg CO2/TJ</t>
        </is>
      </c>
      <c r="U3220" s="4"/>
      <c r="V3220" s="4"/>
      <c r="W3220" s="4" t="inlineStr">
        <is>
          <t>1.A.1.a.i</t>
        </is>
      </c>
      <c r="X3220" s="4" t="inlineStr">
        <is>
          <t>Generación de electricidad</t>
        </is>
      </c>
      <c r="Y3220" s="4" t="inlineStr">
        <is>
          <t>COMB_DOIL</t>
        </is>
      </c>
      <c r="Z3220" s="4" t="s">
        <v>4012</v>
      </c>
      <c r="AA3220" s="13">
        <v>74100.0</v>
      </c>
      <c r="AB3220" s="4" t="s">
        <v>4275</v>
      </c>
      <c r="AC3220" s="4"/>
      <c r="AD3220" s="4"/>
      <c r="AE3220" s="4"/>
      <c r="AF3220" s="4"/>
      <c r="AG3220" s="4"/>
      <c r="AH3220" s="4"/>
      <c r="AI3220" s="4"/>
      <c r="AJ3220" s="4"/>
      <c r="AK3220" s="4"/>
      <c r="AL3220" s="4" t="inlineStr">
        <is>
          <t>BTR1 Guatemala 2024, tabla 3.6, p. 48; fila Gas/Diésel oíl; gas CO2</t>
        </is>
      </c>
      <c r="AM3220" s="4" t="inlineStr">
        <is>
          <t>Factor por combustible documentado en el BTR1, con origen metodológico IPCC. Se aplica como parámetro constante aproximado a 2018–2024; el año de la clave permite unirlo a la actividad, no representa una nueva observación anual.</t>
        </is>
      </c>
    </row>
    <row r="3221" customFormat="false" ht="57.45" hidden="false" customHeight="false" outlineLevel="0" collapsed="false">
      <c r="A3221" s="4" t="s">
        <v>4270</v>
      </c>
      <c r="B3221" s="4" t="inlineStr">
        <is>
          <t>FE_COMB|2020|1.A.1.a.i|COMB_DOIL|CH4</t>
        </is>
      </c>
      <c r="C3221" s="4" t="inlineStr">
        <is>
          <t>2020|1.A.1.a.i|COMB_DOIL|CH4</t>
        </is>
      </c>
      <c r="D3221" s="12" t="n">
        <v>2020</v>
      </c>
      <c r="E3221" s="12">
        <v>2024.0</v>
      </c>
      <c r="F3221" s="4" t="inlineStr">
        <is>
          <t>PRX</t>
        </is>
      </c>
      <c r="G3221" s="4" t="inlineStr">
        <is>
          <t>MARN_GTM_BTR1_2024</t>
        </is>
      </c>
      <c r="H3221" s="4" t="inlineStr">
        <is>
          <t>Guatemala. Primer Informe Bienal de Transparencia (BTR1), 2024</t>
        </is>
      </c>
      <c r="I3221" s="4" t="inlineStr">
        <is>
          <t>https://unfccc.int/documents/646195</t>
        </is>
      </c>
      <c r="J3221" s="4" t="inlineStr">
        <is>
          <t>BTR1|2024|T3.17|DOIL|CH4</t>
        </is>
      </c>
      <c r="K3221" s="4" t="inlineStr">
        <is>
          <t>DOIL</t>
        </is>
      </c>
      <c r="L3221" s="4" t="inlineStr">
        <is>
          <t>Diésel / gas oil</t>
        </is>
      </c>
      <c r="M3221" s="4"/>
      <c r="N3221" s="4"/>
      <c r="O3221" s="4"/>
      <c r="P3221" s="4"/>
      <c r="Q3221" s="4" t="inlineStr">
        <is>
          <t>FE_POR_COMBUSTIBLE_BTR1</t>
        </is>
      </c>
      <c r="R3221" s="4"/>
      <c r="S3221" s="4">
        <v>3.0</v>
      </c>
      <c r="T3221" s="4" t="inlineStr">
        <is>
          <t>kg CH4/TJ</t>
        </is>
      </c>
      <c r="U3221" s="4"/>
      <c r="V3221" s="4"/>
      <c r="W3221" s="4" t="inlineStr">
        <is>
          <t>1.A.1.a.i</t>
        </is>
      </c>
      <c r="X3221" s="4" t="inlineStr">
        <is>
          <t>Generación de electricidad</t>
        </is>
      </c>
      <c r="Y3221" s="4" t="inlineStr">
        <is>
          <t>COMB_DOIL</t>
        </is>
      </c>
      <c r="Z3221" s="4" t="s">
        <v>4018</v>
      </c>
      <c r="AA3221" s="13">
        <v>3.0</v>
      </c>
      <c r="AB3221" s="4" t="s">
        <v>4281</v>
      </c>
      <c r="AC3221" s="4"/>
      <c r="AD3221" s="4"/>
      <c r="AE3221" s="4"/>
      <c r="AF3221" s="4"/>
      <c r="AG3221" s="4"/>
      <c r="AH3221" s="4"/>
      <c r="AI3221" s="4"/>
      <c r="AJ3221" s="4"/>
      <c r="AK3221" s="4"/>
      <c r="AL3221" s="4" t="inlineStr">
        <is>
          <t>BTR1 Guatemala 2024, tabla 3.17, p. 57; fila Diésel; gas CH4</t>
        </is>
      </c>
      <c r="AM3221" s="4" t="inlineStr">
        <is>
          <t>Factor por combustible documentado en el BTR1, con origen metodológico IPCC. Se aplica como parámetro constante aproximado a 2018–2024; el año de la clave permite unirlo a la actividad, no representa una nueva observación anual.</t>
        </is>
      </c>
    </row>
    <row r="3222" customFormat="false" ht="57.45" hidden="false" customHeight="false" outlineLevel="0" collapsed="false">
      <c r="A3222" s="4" t="s">
        <v>4270</v>
      </c>
      <c r="B3222" s="4" t="inlineStr">
        <is>
          <t>FE_COMB|2020|1.A.1.a.i|COMB_DOIL|N2O</t>
        </is>
      </c>
      <c r="C3222" s="4" t="inlineStr">
        <is>
          <t>2020|1.A.1.a.i|COMB_DOIL|N2O</t>
        </is>
      </c>
      <c r="D3222" s="12" t="n">
        <v>2020</v>
      </c>
      <c r="E3222" s="12">
        <v>2024.0</v>
      </c>
      <c r="F3222" s="4" t="inlineStr">
        <is>
          <t>PRX</t>
        </is>
      </c>
      <c r="G3222" s="4" t="inlineStr">
        <is>
          <t>MARN_GTM_BTR1_2024</t>
        </is>
      </c>
      <c r="H3222" s="4" t="inlineStr">
        <is>
          <t>Guatemala. Primer Informe Bienal de Transparencia (BTR1), 2024</t>
        </is>
      </c>
      <c r="I3222" s="4" t="inlineStr">
        <is>
          <t>https://unfccc.int/documents/646195</t>
        </is>
      </c>
      <c r="J3222" s="4" t="inlineStr">
        <is>
          <t>BTR1|2024|T3.17|DOIL|N2O</t>
        </is>
      </c>
      <c r="K3222" s="4" t="inlineStr">
        <is>
          <t>DOIL</t>
        </is>
      </c>
      <c r="L3222" s="4" t="inlineStr">
        <is>
          <t>Diésel / gas oil</t>
        </is>
      </c>
      <c r="M3222" s="4"/>
      <c r="N3222" s="4"/>
      <c r="O3222" s="4"/>
      <c r="P3222" s="4"/>
      <c r="Q3222" s="4" t="inlineStr">
        <is>
          <t>FE_POR_COMBUSTIBLE_BTR1</t>
        </is>
      </c>
      <c r="R3222" s="4"/>
      <c r="S3222" s="4">
        <v>0.6</v>
      </c>
      <c r="T3222" s="4" t="inlineStr">
        <is>
          <t>kg N2O/TJ</t>
        </is>
      </c>
      <c r="U3222" s="4"/>
      <c r="V3222" s="4"/>
      <c r="W3222" s="4" t="inlineStr">
        <is>
          <t>1.A.1.a.i</t>
        </is>
      </c>
      <c r="X3222" s="4" t="inlineStr">
        <is>
          <t>Generación de electricidad</t>
        </is>
      </c>
      <c r="Y3222" s="4" t="inlineStr">
        <is>
          <t>COMB_DOIL</t>
        </is>
      </c>
      <c r="Z3222" s="4" t="s">
        <v>4048</v>
      </c>
      <c r="AA3222" s="13">
        <v>0.6</v>
      </c>
      <c r="AB3222" s="4" t="s">
        <v>4287</v>
      </c>
      <c r="AC3222" s="4"/>
      <c r="AD3222" s="4"/>
      <c r="AE3222" s="4"/>
      <c r="AF3222" s="4"/>
      <c r="AG3222" s="4"/>
      <c r="AH3222" s="4"/>
      <c r="AI3222" s="4"/>
      <c r="AJ3222" s="4"/>
      <c r="AK3222" s="4"/>
      <c r="AL3222" s="4" t="inlineStr">
        <is>
          <t>BTR1 Guatemala 2024, tabla 3.17, p. 57; fila Diésel; gas N2O</t>
        </is>
      </c>
      <c r="AM3222" s="4" t="inlineStr">
        <is>
          <t>Factor por combustible documentado en el BTR1, con origen metodológico IPCC. Se aplica como parámetro constante aproximado a 2018–2024; el año de la clave permite unirlo a la actividad, no representa una nueva observación anual.</t>
        </is>
      </c>
    </row>
    <row r="3223" customFormat="false" ht="57.45" hidden="false" customHeight="false" outlineLevel="0" collapsed="false">
      <c r="A3223" s="4" t="s">
        <v>4270</v>
      </c>
      <c r="B3223" s="4" t="inlineStr">
        <is>
          <t>FE_COMB|2020|1.A.1.a.i|COMB_FOIL|CO2</t>
        </is>
      </c>
      <c r="C3223" s="4" t="inlineStr">
        <is>
          <t>2020|1.A.1.a.i|COMB_FOIL|CO2</t>
        </is>
      </c>
      <c r="D3223" s="12" t="n">
        <v>2020</v>
      </c>
      <c r="E3223" s="12">
        <v>2024.0</v>
      </c>
      <c r="F3223" s="4" t="inlineStr">
        <is>
          <t>PRX</t>
        </is>
      </c>
      <c r="G3223" s="4" t="inlineStr">
        <is>
          <t>MARN_GTM_BTR1_2024</t>
        </is>
      </c>
      <c r="H3223" s="4" t="inlineStr">
        <is>
          <t>Guatemala. Primer Informe Bienal de Transparencia (BTR1), 2024</t>
        </is>
      </c>
      <c r="I3223" s="4" t="inlineStr">
        <is>
          <t>https://unfccc.int/documents/646195</t>
        </is>
      </c>
      <c r="J3223" s="4" t="inlineStr">
        <is>
          <t>BTR1|2024|T3.6|FOIL|CO2</t>
        </is>
      </c>
      <c r="K3223" s="4" t="inlineStr">
        <is>
          <t>FOIL</t>
        </is>
      </c>
      <c r="L3223" s="4" t="inlineStr">
        <is>
          <t>Fuel oil</t>
        </is>
      </c>
      <c r="M3223" s="4"/>
      <c r="N3223" s="4"/>
      <c r="O3223" s="4"/>
      <c r="P3223" s="4"/>
      <c r="Q3223" s="4" t="inlineStr">
        <is>
          <t>FE_POR_COMBUSTIBLE_BTR1</t>
        </is>
      </c>
      <c r="R3223" s="4"/>
      <c r="S3223" s="4">
        <v>77400.0</v>
      </c>
      <c r="T3223" s="4" t="inlineStr">
        <is>
          <t>kg CO2/TJ</t>
        </is>
      </c>
      <c r="U3223" s="4"/>
      <c r="V3223" s="4"/>
      <c r="W3223" s="4" t="inlineStr">
        <is>
          <t>1.A.1.a.i</t>
        </is>
      </c>
      <c r="X3223" s="4" t="inlineStr">
        <is>
          <t>Generación de electricidad</t>
        </is>
      </c>
      <c r="Y3223" s="4" t="inlineStr">
        <is>
          <t>COMB_FOIL</t>
        </is>
      </c>
      <c r="Z3223" s="4" t="s">
        <v>4012</v>
      </c>
      <c r="AA3223" s="13">
        <v>77400.0</v>
      </c>
      <c r="AB3223" s="4" t="s">
        <v>4275</v>
      </c>
      <c r="AC3223" s="4"/>
      <c r="AD3223" s="4"/>
      <c r="AE3223" s="4"/>
      <c r="AF3223" s="4"/>
      <c r="AG3223" s="4"/>
      <c r="AH3223" s="4"/>
      <c r="AI3223" s="4"/>
      <c r="AJ3223" s="4"/>
      <c r="AK3223" s="4"/>
      <c r="AL3223" s="4" t="inlineStr">
        <is>
          <t>BTR1 Guatemala 2024, tabla 3.6, p. 48; fila Fuelóleo residual; gas CO2</t>
        </is>
      </c>
      <c r="AM3223" s="4" t="inlineStr">
        <is>
          <t>Factor por combustible documentado en el BTR1, con origen metodológico IPCC. Se aplica como parámetro constante aproximado a 2018–2024; el año de la clave permite unirlo a la actividad, no representa una nueva observación anual.</t>
        </is>
      </c>
    </row>
    <row r="3224" customFormat="false" ht="57.45" hidden="false" customHeight="false" outlineLevel="0" collapsed="false">
      <c r="A3224" s="4" t="s">
        <v>4270</v>
      </c>
      <c r="B3224" s="4" t="inlineStr">
        <is>
          <t>FE_COMB|2020|1.A.1.a.i|COMB_FOIL|CH4</t>
        </is>
      </c>
      <c r="C3224" s="4" t="inlineStr">
        <is>
          <t>2020|1.A.1.a.i|COMB_FOIL|CH4</t>
        </is>
      </c>
      <c r="D3224" s="12" t="n">
        <v>2020</v>
      </c>
      <c r="E3224" s="12">
        <v>2024.0</v>
      </c>
      <c r="F3224" s="4" t="inlineStr">
        <is>
          <t>PRX</t>
        </is>
      </c>
      <c r="G3224" s="4" t="inlineStr">
        <is>
          <t>MARN_GTM_BTR1_2024</t>
        </is>
      </c>
      <c r="H3224" s="4" t="inlineStr">
        <is>
          <t>Guatemala. Primer Informe Bienal de Transparencia (BTR1), 2024</t>
        </is>
      </c>
      <c r="I3224" s="4" t="inlineStr">
        <is>
          <t>https://unfccc.int/documents/646195</t>
        </is>
      </c>
      <c r="J3224" s="4" t="inlineStr">
        <is>
          <t>BTR1|2024|T3.17|FOIL|CH4</t>
        </is>
      </c>
      <c r="K3224" s="4" t="inlineStr">
        <is>
          <t>FOIL</t>
        </is>
      </c>
      <c r="L3224" s="4" t="inlineStr">
        <is>
          <t>Fuel oil</t>
        </is>
      </c>
      <c r="M3224" s="4"/>
      <c r="N3224" s="4"/>
      <c r="O3224" s="4"/>
      <c r="P3224" s="4"/>
      <c r="Q3224" s="4" t="inlineStr">
        <is>
          <t>FE_POR_COMBUSTIBLE_BTR1</t>
        </is>
      </c>
      <c r="R3224" s="4"/>
      <c r="S3224" s="4">
        <v>3.0</v>
      </c>
      <c r="T3224" s="4" t="inlineStr">
        <is>
          <t>kg CH4/TJ</t>
        </is>
      </c>
      <c r="U3224" s="4"/>
      <c r="V3224" s="4"/>
      <c r="W3224" s="4" t="inlineStr">
        <is>
          <t>1.A.1.a.i</t>
        </is>
      </c>
      <c r="X3224" s="4" t="inlineStr">
        <is>
          <t>Generación de electricidad</t>
        </is>
      </c>
      <c r="Y3224" s="4" t="inlineStr">
        <is>
          <t>COMB_FOIL</t>
        </is>
      </c>
      <c r="Z3224" s="4" t="s">
        <v>4018</v>
      </c>
      <c r="AA3224" s="13">
        <v>3.0</v>
      </c>
      <c r="AB3224" s="4" t="s">
        <v>4281</v>
      </c>
      <c r="AC3224" s="4"/>
      <c r="AD3224" s="4"/>
      <c r="AE3224" s="4"/>
      <c r="AF3224" s="4"/>
      <c r="AG3224" s="4"/>
      <c r="AH3224" s="4"/>
      <c r="AI3224" s="4"/>
      <c r="AJ3224" s="4"/>
      <c r="AK3224" s="4"/>
      <c r="AL3224" s="4" t="inlineStr">
        <is>
          <t>BTR1 Guatemala 2024, tabla 3.17, p. 57; fila Fuelóleo residual; gas CH4</t>
        </is>
      </c>
      <c r="AM3224" s="4" t="inlineStr">
        <is>
          <t>Factor por combustible documentado en el BTR1, con origen metodológico IPCC. Se aplica como parámetro constante aproximado a 2018–2024; el año de la clave permite unirlo a la actividad, no representa una nueva observación anual.</t>
        </is>
      </c>
    </row>
    <row r="3225" customFormat="false" ht="57.45" hidden="false" customHeight="false" outlineLevel="0" collapsed="false">
      <c r="A3225" s="4" t="s">
        <v>4270</v>
      </c>
      <c r="B3225" s="4" t="inlineStr">
        <is>
          <t>FE_COMB|2020|1.A.1.a.i|COMB_FOIL|N2O</t>
        </is>
      </c>
      <c r="C3225" s="4" t="inlineStr">
        <is>
          <t>2020|1.A.1.a.i|COMB_FOIL|N2O</t>
        </is>
      </c>
      <c r="D3225" s="12" t="n">
        <v>2020</v>
      </c>
      <c r="E3225" s="12">
        <v>2024.0</v>
      </c>
      <c r="F3225" s="4" t="inlineStr">
        <is>
          <t>PRX</t>
        </is>
      </c>
      <c r="G3225" s="4" t="inlineStr">
        <is>
          <t>MARN_GTM_BTR1_2024</t>
        </is>
      </c>
      <c r="H3225" s="4" t="inlineStr">
        <is>
          <t>Guatemala. Primer Informe Bienal de Transparencia (BTR1), 2024</t>
        </is>
      </c>
      <c r="I3225" s="4" t="inlineStr">
        <is>
          <t>https://unfccc.int/documents/646195</t>
        </is>
      </c>
      <c r="J3225" s="4" t="inlineStr">
        <is>
          <t>BTR1|2024|T3.17|FOIL|N2O</t>
        </is>
      </c>
      <c r="K3225" s="4" t="inlineStr">
        <is>
          <t>FOIL</t>
        </is>
      </c>
      <c r="L3225" s="4" t="inlineStr">
        <is>
          <t>Fuel oil</t>
        </is>
      </c>
      <c r="M3225" s="4"/>
      <c r="N3225" s="4"/>
      <c r="O3225" s="4"/>
      <c r="P3225" s="4"/>
      <c r="Q3225" s="4" t="inlineStr">
        <is>
          <t>FE_POR_COMBUSTIBLE_BTR1</t>
        </is>
      </c>
      <c r="R3225" s="4"/>
      <c r="S3225" s="4">
        <v>0.6</v>
      </c>
      <c r="T3225" s="4" t="inlineStr">
        <is>
          <t>kg N2O/TJ</t>
        </is>
      </c>
      <c r="U3225" s="4"/>
      <c r="V3225" s="4"/>
      <c r="W3225" s="4" t="inlineStr">
        <is>
          <t>1.A.1.a.i</t>
        </is>
      </c>
      <c r="X3225" s="4" t="inlineStr">
        <is>
          <t>Generación de electricidad</t>
        </is>
      </c>
      <c r="Y3225" s="4" t="inlineStr">
        <is>
          <t>COMB_FOIL</t>
        </is>
      </c>
      <c r="Z3225" s="4" t="s">
        <v>4048</v>
      </c>
      <c r="AA3225" s="13">
        <v>0.6</v>
      </c>
      <c r="AB3225" s="4" t="s">
        <v>4287</v>
      </c>
      <c r="AC3225" s="4"/>
      <c r="AD3225" s="4"/>
      <c r="AE3225" s="4"/>
      <c r="AF3225" s="4"/>
      <c r="AG3225" s="4"/>
      <c r="AH3225" s="4"/>
      <c r="AI3225" s="4"/>
      <c r="AJ3225" s="4"/>
      <c r="AK3225" s="4"/>
      <c r="AL3225" s="4" t="inlineStr">
        <is>
          <t>BTR1 Guatemala 2024, tabla 3.17, p. 57; fila Fuelóleo residual; gas N2O</t>
        </is>
      </c>
      <c r="AM3225" s="4" t="inlineStr">
        <is>
          <t>Factor por combustible documentado en el BTR1, con origen metodológico IPCC. Se aplica como parámetro constante aproximado a 2018–2024; el año de la clave permite unirlo a la actividad, no representa una nueva observación anual.</t>
        </is>
      </c>
    </row>
    <row r="3226" customFormat="false" ht="57.45" hidden="false" customHeight="false" outlineLevel="0" collapsed="false">
      <c r="A3226" s="4" t="s">
        <v>4270</v>
      </c>
      <c r="B3226" s="4" t="inlineStr">
        <is>
          <t>FE_COMB|2020|1.A.1.a.i|COMB_LENA|CO2</t>
        </is>
      </c>
      <c r="C3226" s="4" t="inlineStr">
        <is>
          <t>2020|1.A.1.a.i|COMB_LENA|CO2</t>
        </is>
      </c>
      <c r="D3226" s="12" t="n">
        <v>2020</v>
      </c>
      <c r="E3226" s="12">
        <v>2024.0</v>
      </c>
      <c r="F3226" s="4" t="inlineStr">
        <is>
          <t>PRX</t>
        </is>
      </c>
      <c r="G3226" s="4" t="inlineStr">
        <is>
          <t>MARN_GTM_BTR1_2024</t>
        </is>
      </c>
      <c r="H3226" s="4" t="inlineStr">
        <is>
          <t>Guatemala. Primer Informe Bienal de Transparencia (BTR1), 2024</t>
        </is>
      </c>
      <c r="I3226" s="4" t="inlineStr">
        <is>
          <t>https://unfccc.int/documents/646195</t>
        </is>
      </c>
      <c r="J3226" s="4" t="inlineStr">
        <is>
          <t>BTR1|2024|T3.6|LENA|CO2</t>
        </is>
      </c>
      <c r="K3226" s="4" t="inlineStr">
        <is>
          <t>LENA</t>
        </is>
      </c>
      <c r="L3226" s="4" t="inlineStr">
        <is>
          <t>Leña</t>
        </is>
      </c>
      <c r="M3226" s="4"/>
      <c r="N3226" s="4"/>
      <c r="O3226" s="4"/>
      <c r="P3226" s="4"/>
      <c r="Q3226" s="4" t="inlineStr">
        <is>
          <t>FE_POR_COMBUSTIBLE_BTR1</t>
        </is>
      </c>
      <c r="R3226" s="4"/>
      <c r="S3226" s="4">
        <v>112000.0</v>
      </c>
      <c r="T3226" s="4" t="inlineStr">
        <is>
          <t>kg CO2/TJ</t>
        </is>
      </c>
      <c r="U3226" s="4"/>
      <c r="V3226" s="4"/>
      <c r="W3226" s="4" t="inlineStr">
        <is>
          <t>1.A.1.a.i</t>
        </is>
      </c>
      <c r="X3226" s="4" t="inlineStr">
        <is>
          <t>Generación de electricidad</t>
        </is>
      </c>
      <c r="Y3226" s="4" t="inlineStr">
        <is>
          <t>COMB_LENA</t>
        </is>
      </c>
      <c r="Z3226" s="4" t="s">
        <v>4012</v>
      </c>
      <c r="AA3226" s="13">
        <v>112000.0</v>
      </c>
      <c r="AB3226" s="4" t="s">
        <v>4275</v>
      </c>
      <c r="AC3226" s="4"/>
      <c r="AD3226" s="4"/>
      <c r="AE3226" s="4"/>
      <c r="AF3226" s="4"/>
      <c r="AG3226" s="4"/>
      <c r="AH3226" s="4"/>
      <c r="AI3226" s="4"/>
      <c r="AJ3226" s="4"/>
      <c r="AK3226" s="4"/>
      <c r="AL3226" s="4" t="inlineStr">
        <is>
          <t>BTR1 Guatemala 2024, tabla 3.6, p. 48; fila Madera/desechos de madera; gas CO2</t>
        </is>
      </c>
      <c r="AM3226"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27" customFormat="false" ht="57.45" hidden="false" customHeight="false" outlineLevel="0" collapsed="false">
      <c r="A3227" s="4" t="s">
        <v>4270</v>
      </c>
      <c r="B3227" s="4" t="inlineStr">
        <is>
          <t>FE_COMB|2020|1.A.1.a.i|COMB_LENA|CH4</t>
        </is>
      </c>
      <c r="C3227" s="4" t="inlineStr">
        <is>
          <t>2020|1.A.1.a.i|COMB_LENA|CH4</t>
        </is>
      </c>
      <c r="D3227" s="12" t="n">
        <v>2020</v>
      </c>
      <c r="E3227" s="12">
        <v>2024.0</v>
      </c>
      <c r="F3227" s="4" t="inlineStr">
        <is>
          <t>PRX</t>
        </is>
      </c>
      <c r="G3227" s="4" t="inlineStr">
        <is>
          <t>MARN_GTM_BTR1_2024</t>
        </is>
      </c>
      <c r="H3227" s="4" t="inlineStr">
        <is>
          <t>Guatemala. Primer Informe Bienal de Transparencia (BTR1), 2024</t>
        </is>
      </c>
      <c r="I3227" s="4" t="inlineStr">
        <is>
          <t>https://unfccc.int/documents/646195</t>
        </is>
      </c>
      <c r="J3227" s="4" t="inlineStr">
        <is>
          <t>BTR1|2024|T3.17|LENA|CH4</t>
        </is>
      </c>
      <c r="K3227" s="4" t="inlineStr">
        <is>
          <t>LENA</t>
        </is>
      </c>
      <c r="L3227" s="4" t="inlineStr">
        <is>
          <t>Leña</t>
        </is>
      </c>
      <c r="M3227" s="4"/>
      <c r="N3227" s="4"/>
      <c r="O3227" s="4"/>
      <c r="P3227" s="4"/>
      <c r="Q3227" s="4" t="inlineStr">
        <is>
          <t>FE_POR_COMBUSTIBLE_BTR1</t>
        </is>
      </c>
      <c r="R3227" s="4"/>
      <c r="S3227" s="4">
        <v>30.0</v>
      </c>
      <c r="T3227" s="4" t="inlineStr">
        <is>
          <t>kg CH4/TJ</t>
        </is>
      </c>
      <c r="U3227" s="4"/>
      <c r="V3227" s="4"/>
      <c r="W3227" s="4" t="inlineStr">
        <is>
          <t>1.A.1.a.i</t>
        </is>
      </c>
      <c r="X3227" s="4" t="inlineStr">
        <is>
          <t>Generación de electricidad</t>
        </is>
      </c>
      <c r="Y3227" s="4" t="inlineStr">
        <is>
          <t>COMB_LENA</t>
        </is>
      </c>
      <c r="Z3227" s="4" t="s">
        <v>4018</v>
      </c>
      <c r="AA3227" s="13">
        <v>30.0</v>
      </c>
      <c r="AB3227" s="4" t="s">
        <v>4281</v>
      </c>
      <c r="AC3227" s="4"/>
      <c r="AD3227" s="4"/>
      <c r="AE3227" s="4"/>
      <c r="AF3227" s="4"/>
      <c r="AG3227" s="4"/>
      <c r="AH3227" s="4"/>
      <c r="AI3227" s="4"/>
      <c r="AJ3227" s="4"/>
      <c r="AK3227" s="4"/>
      <c r="AL3227" s="4" t="inlineStr">
        <is>
          <t>BTR1 Guatemala 2024, tabla 3.17, p. 57; fila Madera/desechos de madera; gas CH4</t>
        </is>
      </c>
      <c r="AM3227"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28" customFormat="false" ht="57.45" hidden="false" customHeight="false" outlineLevel="0" collapsed="false">
      <c r="A3228" s="4" t="s">
        <v>4270</v>
      </c>
      <c r="B3228" s="4" t="inlineStr">
        <is>
          <t>FE_COMB|2020|1.A.1.a.i|COMB_LENA|N2O</t>
        </is>
      </c>
      <c r="C3228" s="4" t="inlineStr">
        <is>
          <t>2020|1.A.1.a.i|COMB_LENA|N2O</t>
        </is>
      </c>
      <c r="D3228" s="12" t="n">
        <v>2020</v>
      </c>
      <c r="E3228" s="12">
        <v>2024.0</v>
      </c>
      <c r="F3228" s="4" t="inlineStr">
        <is>
          <t>PRX</t>
        </is>
      </c>
      <c r="G3228" s="4" t="inlineStr">
        <is>
          <t>MARN_GTM_BTR1_2024</t>
        </is>
      </c>
      <c r="H3228" s="4" t="inlineStr">
        <is>
          <t>Guatemala. Primer Informe Bienal de Transparencia (BTR1), 2024</t>
        </is>
      </c>
      <c r="I3228" s="4" t="inlineStr">
        <is>
          <t>https://unfccc.int/documents/646195</t>
        </is>
      </c>
      <c r="J3228" s="4" t="inlineStr">
        <is>
          <t>BTR1|2024|T3.17|LENA|N2O</t>
        </is>
      </c>
      <c r="K3228" s="4" t="inlineStr">
        <is>
          <t>LENA</t>
        </is>
      </c>
      <c r="L3228" s="4" t="inlineStr">
        <is>
          <t>Leña</t>
        </is>
      </c>
      <c r="M3228" s="4"/>
      <c r="N3228" s="4"/>
      <c r="O3228" s="4"/>
      <c r="P3228" s="4"/>
      <c r="Q3228" s="4" t="inlineStr">
        <is>
          <t>FE_POR_COMBUSTIBLE_BTR1</t>
        </is>
      </c>
      <c r="R3228" s="4"/>
      <c r="S3228" s="4">
        <v>4.0</v>
      </c>
      <c r="T3228" s="4" t="inlineStr">
        <is>
          <t>kg N2O/TJ</t>
        </is>
      </c>
      <c r="U3228" s="4"/>
      <c r="V3228" s="4"/>
      <c r="W3228" s="4" t="inlineStr">
        <is>
          <t>1.A.1.a.i</t>
        </is>
      </c>
      <c r="X3228" s="4" t="inlineStr">
        <is>
          <t>Generación de electricidad</t>
        </is>
      </c>
      <c r="Y3228" s="4" t="inlineStr">
        <is>
          <t>COMB_LENA</t>
        </is>
      </c>
      <c r="Z3228" s="4" t="s">
        <v>4048</v>
      </c>
      <c r="AA3228" s="13">
        <v>4.0</v>
      </c>
      <c r="AB3228" s="4" t="s">
        <v>4287</v>
      </c>
      <c r="AC3228" s="4"/>
      <c r="AD3228" s="4"/>
      <c r="AE3228" s="4"/>
      <c r="AF3228" s="4"/>
      <c r="AG3228" s="4"/>
      <c r="AH3228" s="4"/>
      <c r="AI3228" s="4"/>
      <c r="AJ3228" s="4"/>
      <c r="AK3228" s="4"/>
      <c r="AL3228" s="4" t="inlineStr">
        <is>
          <t>BTR1 Guatemala 2024, tabla 3.17, p. 57; fila Madera/desechos de madera; gas N2O</t>
        </is>
      </c>
      <c r="AM3228"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29" customFormat="false" ht="46.25" hidden="false" customHeight="false" outlineLevel="0" collapsed="false">
      <c r="A3229" s="4" t="s">
        <v>4270</v>
      </c>
      <c r="B3229" s="4" t="inlineStr">
        <is>
          <t>FE_COMB|2020|1.A.2|COMB_COQUE|CO2</t>
        </is>
      </c>
      <c r="C3229" s="4" t="inlineStr">
        <is>
          <t>2020|1.A.2|COMB_COQUE|CO2</t>
        </is>
      </c>
      <c r="D3229" s="12" t="n">
        <v>2020</v>
      </c>
      <c r="E3229" s="12">
        <v>2024.0</v>
      </c>
      <c r="F3229" s="4" t="inlineStr">
        <is>
          <t>PRX</t>
        </is>
      </c>
      <c r="G3229" s="4" t="inlineStr">
        <is>
          <t>MARN_GTM_BTR1_2024</t>
        </is>
      </c>
      <c r="H3229" s="4" t="inlineStr">
        <is>
          <t>Guatemala. Primer Informe Bienal de Transparencia (BTR1), 2024</t>
        </is>
      </c>
      <c r="I3229" s="4" t="inlineStr">
        <is>
          <t>https://unfccc.int/documents/646195</t>
        </is>
      </c>
      <c r="J3229" s="4" t="inlineStr">
        <is>
          <t>BTR1|2024|T3.6|COQUE|CO2</t>
        </is>
      </c>
      <c r="K3229" s="4" t="inlineStr">
        <is>
          <t>COQUE</t>
        </is>
      </c>
      <c r="L3229" s="4" t="inlineStr">
        <is>
          <t>Coque</t>
        </is>
      </c>
      <c r="M3229" s="4"/>
      <c r="N3229" s="4"/>
      <c r="O3229" s="4"/>
      <c r="P3229" s="4"/>
      <c r="Q3229" s="4" t="inlineStr">
        <is>
          <t>FE_POR_COMBUSTIBLE_BTR1</t>
        </is>
      </c>
      <c r="R3229" s="4"/>
      <c r="S3229" s="4">
        <v>97500.0</v>
      </c>
      <c r="T3229" s="4" t="inlineStr">
        <is>
          <t>kg CO2/TJ</t>
        </is>
      </c>
      <c r="U3229" s="4"/>
      <c r="V3229" s="4"/>
      <c r="W3229" s="4" t="inlineStr">
        <is>
          <t>1.A.2</t>
        </is>
      </c>
      <c r="X3229" s="4" t="inlineStr">
        <is>
          <t>Industrias manufactureras y construcción</t>
        </is>
      </c>
      <c r="Y3229" s="4" t="inlineStr">
        <is>
          <t>COMB_COQUE</t>
        </is>
      </c>
      <c r="Z3229" s="4" t="s">
        <v>4012</v>
      </c>
      <c r="AA3229" s="13">
        <v>97500.0</v>
      </c>
      <c r="AB3229" s="4" t="s">
        <v>4275</v>
      </c>
      <c r="AC3229" s="4"/>
      <c r="AD3229" s="4"/>
      <c r="AE3229" s="4"/>
      <c r="AF3229" s="4"/>
      <c r="AG3229" s="4"/>
      <c r="AH3229" s="4"/>
      <c r="AI3229" s="4"/>
      <c r="AJ3229" s="4"/>
      <c r="AK3229" s="4"/>
      <c r="AL3229" s="4" t="inlineStr">
        <is>
          <t>BTR1 Guatemala 2024, tabla 3.6, p. 48; fila Coque de petróleo; gas CO2</t>
        </is>
      </c>
      <c r="AM3229"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230" customFormat="false" ht="46.25" hidden="false" customHeight="false" outlineLevel="0" collapsed="false">
      <c r="A3230" s="4" t="s">
        <v>4270</v>
      </c>
      <c r="B3230" s="4" t="inlineStr">
        <is>
          <t>FE_COMB|2020|1.A.2|COMB_COQUE|CH4</t>
        </is>
      </c>
      <c r="C3230" s="4" t="inlineStr">
        <is>
          <t>2020|1.A.2|COMB_COQUE|CH4</t>
        </is>
      </c>
      <c r="D3230" s="12" t="n">
        <v>2020</v>
      </c>
      <c r="E3230" s="12">
        <v>2024.0</v>
      </c>
      <c r="F3230" s="4" t="inlineStr">
        <is>
          <t>PRX</t>
        </is>
      </c>
      <c r="G3230" s="4" t="inlineStr">
        <is>
          <t>MARN_GTM_BTR1_2024</t>
        </is>
      </c>
      <c r="H3230" s="4" t="inlineStr">
        <is>
          <t>Guatemala. Primer Informe Bienal de Transparencia (BTR1), 2024</t>
        </is>
      </c>
      <c r="I3230" s="4" t="inlineStr">
        <is>
          <t>https://unfccc.int/documents/646195</t>
        </is>
      </c>
      <c r="J3230" s="4" t="inlineStr">
        <is>
          <t>BTR1|2024|T3.22|COQUE|CH4</t>
        </is>
      </c>
      <c r="K3230" s="4" t="inlineStr">
        <is>
          <t>COQUE</t>
        </is>
      </c>
      <c r="L3230" s="4" t="inlineStr">
        <is>
          <t>Coque</t>
        </is>
      </c>
      <c r="M3230" s="4"/>
      <c r="N3230" s="4"/>
      <c r="O3230" s="4"/>
      <c r="P3230" s="4"/>
      <c r="Q3230" s="4" t="inlineStr">
        <is>
          <t>FE_POR_COMBUSTIBLE_BTR1</t>
        </is>
      </c>
      <c r="R3230" s="4"/>
      <c r="S3230" s="4">
        <v>3.0</v>
      </c>
      <c r="T3230" s="4" t="inlineStr">
        <is>
          <t>kg CH4/TJ</t>
        </is>
      </c>
      <c r="U3230" s="4"/>
      <c r="V3230" s="4"/>
      <c r="W3230" s="4" t="inlineStr">
        <is>
          <t>1.A.2</t>
        </is>
      </c>
      <c r="X3230" s="4" t="inlineStr">
        <is>
          <t>Industrias manufactureras y construcción</t>
        </is>
      </c>
      <c r="Y3230" s="4" t="inlineStr">
        <is>
          <t>COMB_COQUE</t>
        </is>
      </c>
      <c r="Z3230" s="4" t="s">
        <v>4018</v>
      </c>
      <c r="AA3230" s="13">
        <v>3.0</v>
      </c>
      <c r="AB3230" s="4" t="s">
        <v>4281</v>
      </c>
      <c r="AC3230" s="4"/>
      <c r="AD3230" s="4"/>
      <c r="AE3230" s="4"/>
      <c r="AF3230" s="4"/>
      <c r="AG3230" s="4"/>
      <c r="AH3230" s="4"/>
      <c r="AI3230" s="4"/>
      <c r="AJ3230" s="4"/>
      <c r="AK3230" s="4"/>
      <c r="AL3230" s="4" t="inlineStr">
        <is>
          <t>BTR1 Guatemala 2024, tabla 3.22, p. 62; fila Coque de petróleo; gas CH4</t>
        </is>
      </c>
      <c r="AM3230"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231" customFormat="false" ht="46.25" hidden="false" customHeight="false" outlineLevel="0" collapsed="false">
      <c r="A3231" s="4" t="s">
        <v>4270</v>
      </c>
      <c r="B3231" s="4" t="inlineStr">
        <is>
          <t>FE_COMB|2020|1.A.2|COMB_COQUE|N2O</t>
        </is>
      </c>
      <c r="C3231" s="4" t="inlineStr">
        <is>
          <t>2020|1.A.2|COMB_COQUE|N2O</t>
        </is>
      </c>
      <c r="D3231" s="12" t="n">
        <v>2020</v>
      </c>
      <c r="E3231" s="12">
        <v>2024.0</v>
      </c>
      <c r="F3231" s="4" t="inlineStr">
        <is>
          <t>PRX</t>
        </is>
      </c>
      <c r="G3231" s="4" t="inlineStr">
        <is>
          <t>MARN_GTM_BTR1_2024</t>
        </is>
      </c>
      <c r="H3231" s="4" t="inlineStr">
        <is>
          <t>Guatemala. Primer Informe Bienal de Transparencia (BTR1), 2024</t>
        </is>
      </c>
      <c r="I3231" s="4" t="inlineStr">
        <is>
          <t>https://unfccc.int/documents/646195</t>
        </is>
      </c>
      <c r="J3231" s="4" t="inlineStr">
        <is>
          <t>BTR1|2024|T3.22|COQUE|N2O</t>
        </is>
      </c>
      <c r="K3231" s="4" t="inlineStr">
        <is>
          <t>COQUE</t>
        </is>
      </c>
      <c r="L3231" s="4" t="inlineStr">
        <is>
          <t>Coque</t>
        </is>
      </c>
      <c r="M3231" s="4"/>
      <c r="N3231" s="4"/>
      <c r="O3231" s="4"/>
      <c r="P3231" s="4"/>
      <c r="Q3231" s="4" t="inlineStr">
        <is>
          <t>FE_POR_COMBUSTIBLE_BTR1</t>
        </is>
      </c>
      <c r="R3231" s="4"/>
      <c r="S3231" s="4">
        <v>0.6</v>
      </c>
      <c r="T3231" s="4" t="inlineStr">
        <is>
          <t>kg N2O/TJ</t>
        </is>
      </c>
      <c r="U3231" s="4"/>
      <c r="V3231" s="4"/>
      <c r="W3231" s="4" t="inlineStr">
        <is>
          <t>1.A.2</t>
        </is>
      </c>
      <c r="X3231" s="4" t="inlineStr">
        <is>
          <t>Industrias manufactureras y construcción</t>
        </is>
      </c>
      <c r="Y3231" s="4" t="inlineStr">
        <is>
          <t>COMB_COQUE</t>
        </is>
      </c>
      <c r="Z3231" s="4" t="s">
        <v>4048</v>
      </c>
      <c r="AA3231" s="13">
        <v>0.6</v>
      </c>
      <c r="AB3231" s="4" t="s">
        <v>4287</v>
      </c>
      <c r="AC3231" s="4"/>
      <c r="AD3231" s="4"/>
      <c r="AE3231" s="4"/>
      <c r="AF3231" s="4"/>
      <c r="AG3231" s="4"/>
      <c r="AH3231" s="4"/>
      <c r="AI3231" s="4"/>
      <c r="AJ3231" s="4"/>
      <c r="AK3231" s="4"/>
      <c r="AL3231" s="4" t="inlineStr">
        <is>
          <t>BTR1 Guatemala 2024, tabla 3.22, p. 62; fila Coque de petróleo; gas N2O</t>
        </is>
      </c>
      <c r="AM3231"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232" customFormat="false" ht="57.45" hidden="false" customHeight="false" outlineLevel="0" collapsed="false">
      <c r="A3232" s="4" t="s">
        <v>4270</v>
      </c>
      <c r="B3232" s="4" t="inlineStr">
        <is>
          <t>FE_COMB|2020|1.A.2|COMB_DOIL|CO2</t>
        </is>
      </c>
      <c r="C3232" s="4" t="inlineStr">
        <is>
          <t>2020|1.A.2|COMB_DOIL|CO2</t>
        </is>
      </c>
      <c r="D3232" s="12" t="n">
        <v>2020</v>
      </c>
      <c r="E3232" s="12">
        <v>2024.0</v>
      </c>
      <c r="F3232" s="4" t="inlineStr">
        <is>
          <t>PRX</t>
        </is>
      </c>
      <c r="G3232" s="4" t="inlineStr">
        <is>
          <t>MARN_GTM_BTR1_2024</t>
        </is>
      </c>
      <c r="H3232" s="4" t="inlineStr">
        <is>
          <t>Guatemala. Primer Informe Bienal de Transparencia (BTR1), 2024</t>
        </is>
      </c>
      <c r="I3232" s="4" t="inlineStr">
        <is>
          <t>https://unfccc.int/documents/646195</t>
        </is>
      </c>
      <c r="J3232" s="4" t="inlineStr">
        <is>
          <t>BTR1|2024|T3.6|DOIL|CO2</t>
        </is>
      </c>
      <c r="K3232" s="4" t="inlineStr">
        <is>
          <t>DOIL</t>
        </is>
      </c>
      <c r="L3232" s="4" t="inlineStr">
        <is>
          <t>Diésel / gas oil</t>
        </is>
      </c>
      <c r="M3232" s="4"/>
      <c r="N3232" s="4"/>
      <c r="O3232" s="4"/>
      <c r="P3232" s="4"/>
      <c r="Q3232" s="4" t="inlineStr">
        <is>
          <t>FE_POR_COMBUSTIBLE_BTR1</t>
        </is>
      </c>
      <c r="R3232" s="4"/>
      <c r="S3232" s="4">
        <v>74100.0</v>
      </c>
      <c r="T3232" s="4" t="inlineStr">
        <is>
          <t>kg CO2/TJ</t>
        </is>
      </c>
      <c r="U3232" s="4"/>
      <c r="V3232" s="4"/>
      <c r="W3232" s="4" t="inlineStr">
        <is>
          <t>1.A.2</t>
        </is>
      </c>
      <c r="X3232" s="4" t="inlineStr">
        <is>
          <t>Industrias manufactureras y construcción</t>
        </is>
      </c>
      <c r="Y3232" s="4" t="inlineStr">
        <is>
          <t>COMB_DOIL</t>
        </is>
      </c>
      <c r="Z3232" s="4" t="s">
        <v>4012</v>
      </c>
      <c r="AA3232" s="13">
        <v>74100.0</v>
      </c>
      <c r="AB3232" s="4" t="s">
        <v>4275</v>
      </c>
      <c r="AC3232" s="4"/>
      <c r="AD3232" s="4"/>
      <c r="AE3232" s="4"/>
      <c r="AF3232" s="4"/>
      <c r="AG3232" s="4"/>
      <c r="AH3232" s="4"/>
      <c r="AI3232" s="4"/>
      <c r="AJ3232" s="4"/>
      <c r="AK3232" s="4"/>
      <c r="AL3232" s="4" t="inlineStr">
        <is>
          <t>BTR1 Guatemala 2024, tabla 3.6, p. 48; fila Gas/Diésel oíl; gas CO2</t>
        </is>
      </c>
      <c r="AM3232" s="4" t="inlineStr">
        <is>
          <t>Factor por combustible documentado en el BTR1, con origen metodológico IPCC. Se aplica como parámetro constante aproximado a 2018–2024; el año de la clave permite unirlo a la actividad, no representa una nueva observación anual.</t>
        </is>
      </c>
    </row>
    <row r="3233" customFormat="false" ht="57.45" hidden="false" customHeight="false" outlineLevel="0" collapsed="false">
      <c r="A3233" s="4" t="s">
        <v>4270</v>
      </c>
      <c r="B3233" s="4" t="inlineStr">
        <is>
          <t>FE_COMB|2020|1.A.2|COMB_DOIL|CH4</t>
        </is>
      </c>
      <c r="C3233" s="4" t="inlineStr">
        <is>
          <t>2020|1.A.2|COMB_DOIL|CH4</t>
        </is>
      </c>
      <c r="D3233" s="12" t="n">
        <v>2020</v>
      </c>
      <c r="E3233" s="12">
        <v>2024.0</v>
      </c>
      <c r="F3233" s="4" t="inlineStr">
        <is>
          <t>PRX</t>
        </is>
      </c>
      <c r="G3233" s="4" t="inlineStr">
        <is>
          <t>MARN_GTM_BTR1_2024</t>
        </is>
      </c>
      <c r="H3233" s="4" t="inlineStr">
        <is>
          <t>Guatemala. Primer Informe Bienal de Transparencia (BTR1), 2024</t>
        </is>
      </c>
      <c r="I3233" s="4" t="inlineStr">
        <is>
          <t>https://unfccc.int/documents/646195</t>
        </is>
      </c>
      <c r="J3233" s="4" t="inlineStr">
        <is>
          <t>BTR1|2024|T3.22|DOIL|CH4</t>
        </is>
      </c>
      <c r="K3233" s="4" t="inlineStr">
        <is>
          <t>DOIL</t>
        </is>
      </c>
      <c r="L3233" s="4" t="inlineStr">
        <is>
          <t>Diésel / gas oil</t>
        </is>
      </c>
      <c r="M3233" s="4"/>
      <c r="N3233" s="4"/>
      <c r="O3233" s="4"/>
      <c r="P3233" s="4"/>
      <c r="Q3233" s="4" t="inlineStr">
        <is>
          <t>FE_POR_COMBUSTIBLE_BTR1</t>
        </is>
      </c>
      <c r="R3233" s="4"/>
      <c r="S3233" s="4">
        <v>3.0</v>
      </c>
      <c r="T3233" s="4" t="inlineStr">
        <is>
          <t>kg CH4/TJ</t>
        </is>
      </c>
      <c r="U3233" s="4"/>
      <c r="V3233" s="4"/>
      <c r="W3233" s="4" t="inlineStr">
        <is>
          <t>1.A.2</t>
        </is>
      </c>
      <c r="X3233" s="4" t="inlineStr">
        <is>
          <t>Industrias manufactureras y construcción</t>
        </is>
      </c>
      <c r="Y3233" s="4" t="inlineStr">
        <is>
          <t>COMB_DOIL</t>
        </is>
      </c>
      <c r="Z3233" s="4" t="s">
        <v>4018</v>
      </c>
      <c r="AA3233" s="13">
        <v>3.0</v>
      </c>
      <c r="AB3233" s="4" t="s">
        <v>4281</v>
      </c>
      <c r="AC3233" s="4"/>
      <c r="AD3233" s="4"/>
      <c r="AE3233" s="4"/>
      <c r="AF3233" s="4"/>
      <c r="AG3233" s="4"/>
      <c r="AH3233" s="4"/>
      <c r="AI3233" s="4"/>
      <c r="AJ3233" s="4"/>
      <c r="AK3233" s="4"/>
      <c r="AL3233" s="4" t="inlineStr">
        <is>
          <t>BTR1 Guatemala 2024, tabla 3.22, p. 62; fila Diésel; gas CH4</t>
        </is>
      </c>
      <c r="AM3233" s="4" t="inlineStr">
        <is>
          <t>Factor por combustible documentado en el BTR1, con origen metodológico IPCC. Se aplica como parámetro constante aproximado a 2018–2024; el año de la clave permite unirlo a la actividad, no representa una nueva observación anual.</t>
        </is>
      </c>
    </row>
    <row r="3234" customFormat="false" ht="57.45" hidden="false" customHeight="false" outlineLevel="0" collapsed="false">
      <c r="A3234" s="4" t="s">
        <v>4270</v>
      </c>
      <c r="B3234" s="4" t="inlineStr">
        <is>
          <t>FE_COMB|2020|1.A.2|COMB_DOIL|N2O</t>
        </is>
      </c>
      <c r="C3234" s="4" t="inlineStr">
        <is>
          <t>2020|1.A.2|COMB_DOIL|N2O</t>
        </is>
      </c>
      <c r="D3234" s="12" t="n">
        <v>2020</v>
      </c>
      <c r="E3234" s="12">
        <v>2024.0</v>
      </c>
      <c r="F3234" s="4" t="inlineStr">
        <is>
          <t>PRX</t>
        </is>
      </c>
      <c r="G3234" s="4" t="inlineStr">
        <is>
          <t>MARN_GTM_BTR1_2024</t>
        </is>
      </c>
      <c r="H3234" s="4" t="inlineStr">
        <is>
          <t>Guatemala. Primer Informe Bienal de Transparencia (BTR1), 2024</t>
        </is>
      </c>
      <c r="I3234" s="4" t="inlineStr">
        <is>
          <t>https://unfccc.int/documents/646195</t>
        </is>
      </c>
      <c r="J3234" s="4" t="inlineStr">
        <is>
          <t>BTR1|2024|T3.22|DOIL|N2O</t>
        </is>
      </c>
      <c r="K3234" s="4" t="inlineStr">
        <is>
          <t>DOIL</t>
        </is>
      </c>
      <c r="L3234" s="4" t="inlineStr">
        <is>
          <t>Diésel / gas oil</t>
        </is>
      </c>
      <c r="M3234" s="4"/>
      <c r="N3234" s="4"/>
      <c r="O3234" s="4"/>
      <c r="P3234" s="4"/>
      <c r="Q3234" s="4" t="inlineStr">
        <is>
          <t>FE_POR_COMBUSTIBLE_BTR1</t>
        </is>
      </c>
      <c r="R3234" s="4"/>
      <c r="S3234" s="4">
        <v>0.6</v>
      </c>
      <c r="T3234" s="4" t="inlineStr">
        <is>
          <t>kg N2O/TJ</t>
        </is>
      </c>
      <c r="U3234" s="4"/>
      <c r="V3234" s="4"/>
      <c r="W3234" s="4" t="inlineStr">
        <is>
          <t>1.A.2</t>
        </is>
      </c>
      <c r="X3234" s="4" t="inlineStr">
        <is>
          <t>Industrias manufactureras y construcción</t>
        </is>
      </c>
      <c r="Y3234" s="4" t="inlineStr">
        <is>
          <t>COMB_DOIL</t>
        </is>
      </c>
      <c r="Z3234" s="4" t="s">
        <v>4048</v>
      </c>
      <c r="AA3234" s="13">
        <v>0.6</v>
      </c>
      <c r="AB3234" s="4" t="s">
        <v>4287</v>
      </c>
      <c r="AC3234" s="4"/>
      <c r="AD3234" s="4"/>
      <c r="AE3234" s="4"/>
      <c r="AF3234" s="4"/>
      <c r="AG3234" s="4"/>
      <c r="AH3234" s="4"/>
      <c r="AI3234" s="4"/>
      <c r="AJ3234" s="4"/>
      <c r="AK3234" s="4"/>
      <c r="AL3234" s="4" t="inlineStr">
        <is>
          <t>BTR1 Guatemala 2024, tabla 3.22, p. 62; fila Diésel; gas N2O</t>
        </is>
      </c>
      <c r="AM3234" s="4" t="inlineStr">
        <is>
          <t>Factor por combustible documentado en el BTR1, con origen metodológico IPCC. Se aplica como parámetro constante aproximado a 2018–2024; el año de la clave permite unirlo a la actividad, no representa una nueva observación anual.</t>
        </is>
      </c>
    </row>
    <row r="3235" customFormat="false" ht="46.25" hidden="false" customHeight="false" outlineLevel="0" collapsed="false">
      <c r="A3235" s="4" t="s">
        <v>4270</v>
      </c>
      <c r="B3235" s="4" t="inlineStr">
        <is>
          <t>FE_COMB|2020|1.A.2|COMB_FOIL|CO2</t>
        </is>
      </c>
      <c r="C3235" s="4" t="inlineStr">
        <is>
          <t>2020|1.A.2|COMB_FOIL|CO2</t>
        </is>
      </c>
      <c r="D3235" s="12" t="n">
        <v>2020</v>
      </c>
      <c r="E3235" s="12">
        <v>2024.0</v>
      </c>
      <c r="F3235" s="4" t="inlineStr">
        <is>
          <t>PRX</t>
        </is>
      </c>
      <c r="G3235" s="4" t="inlineStr">
        <is>
          <t>MARN_GTM_BTR1_2024</t>
        </is>
      </c>
      <c r="H3235" s="4" t="inlineStr">
        <is>
          <t>Guatemala. Primer Informe Bienal de Transparencia (BTR1), 2024</t>
        </is>
      </c>
      <c r="I3235" s="4" t="inlineStr">
        <is>
          <t>https://unfccc.int/documents/646195</t>
        </is>
      </c>
      <c r="J3235" s="4" t="inlineStr">
        <is>
          <t>BTR1|2024|T3.6|FOIL|CO2</t>
        </is>
      </c>
      <c r="K3235" s="4" t="inlineStr">
        <is>
          <t>FOIL</t>
        </is>
      </c>
      <c r="L3235" s="4" t="inlineStr">
        <is>
          <t>Fuel oil</t>
        </is>
      </c>
      <c r="M3235" s="4"/>
      <c r="N3235" s="4"/>
      <c r="O3235" s="4"/>
      <c r="P3235" s="4"/>
      <c r="Q3235" s="4" t="inlineStr">
        <is>
          <t>FE_POR_COMBUSTIBLE_BTR1</t>
        </is>
      </c>
      <c r="R3235" s="4"/>
      <c r="S3235" s="4">
        <v>77400.0</v>
      </c>
      <c r="T3235" s="4" t="inlineStr">
        <is>
          <t>kg CO2/TJ</t>
        </is>
      </c>
      <c r="U3235" s="4"/>
      <c r="V3235" s="4"/>
      <c r="W3235" s="4" t="inlineStr">
        <is>
          <t>1.A.2</t>
        </is>
      </c>
      <c r="X3235" s="4" t="inlineStr">
        <is>
          <t>Industrias manufactureras y construcción</t>
        </is>
      </c>
      <c r="Y3235" s="4" t="inlineStr">
        <is>
          <t>COMB_FOIL</t>
        </is>
      </c>
      <c r="Z3235" s="4" t="s">
        <v>4012</v>
      </c>
      <c r="AA3235" s="13">
        <v>77400.0</v>
      </c>
      <c r="AB3235" s="4" t="s">
        <v>4275</v>
      </c>
      <c r="AC3235" s="4"/>
      <c r="AD3235" s="4"/>
      <c r="AE3235" s="4"/>
      <c r="AF3235" s="4"/>
      <c r="AG3235" s="4"/>
      <c r="AH3235" s="4"/>
      <c r="AI3235" s="4"/>
      <c r="AJ3235" s="4"/>
      <c r="AK3235" s="4"/>
      <c r="AL3235" s="4" t="inlineStr">
        <is>
          <t>BTR1 Guatemala 2024, tabla 3.6, p. 48; fila Fuelóleo residual; gas CO2</t>
        </is>
      </c>
      <c r="AM3235" s="4" t="inlineStr">
        <is>
          <t>Factor por combustible documentado en el BTR1, con origen metodológico IPCC. Se aplica como parámetro constante aproximado a 2018–2024; el año de la clave permite unirlo a la actividad, no representa una nueva observación anual.</t>
        </is>
      </c>
    </row>
    <row r="3236" customFormat="false" ht="46.25" hidden="false" customHeight="false" outlineLevel="0" collapsed="false">
      <c r="A3236" s="4" t="s">
        <v>4270</v>
      </c>
      <c r="B3236" s="4" t="inlineStr">
        <is>
          <t>FE_COMB|2020|1.A.2|COMB_FOIL|CH4</t>
        </is>
      </c>
      <c r="C3236" s="4" t="inlineStr">
        <is>
          <t>2020|1.A.2|COMB_FOIL|CH4</t>
        </is>
      </c>
      <c r="D3236" s="12" t="n">
        <v>2020</v>
      </c>
      <c r="E3236" s="12">
        <v>2024.0</v>
      </c>
      <c r="F3236" s="4" t="inlineStr">
        <is>
          <t>PRX</t>
        </is>
      </c>
      <c r="G3236" s="4" t="inlineStr">
        <is>
          <t>MARN_GTM_BTR1_2024</t>
        </is>
      </c>
      <c r="H3236" s="4" t="inlineStr">
        <is>
          <t>Guatemala. Primer Informe Bienal de Transparencia (BTR1), 2024</t>
        </is>
      </c>
      <c r="I3236" s="4" t="inlineStr">
        <is>
          <t>https://unfccc.int/documents/646195</t>
        </is>
      </c>
      <c r="J3236" s="4" t="inlineStr">
        <is>
          <t>BTR1|2024|T3.22|FOIL|CH4</t>
        </is>
      </c>
      <c r="K3236" s="4" t="inlineStr">
        <is>
          <t>FOIL</t>
        </is>
      </c>
      <c r="L3236" s="4" t="inlineStr">
        <is>
          <t>Fuel oil</t>
        </is>
      </c>
      <c r="M3236" s="4"/>
      <c r="N3236" s="4"/>
      <c r="O3236" s="4"/>
      <c r="P3236" s="4"/>
      <c r="Q3236" s="4" t="inlineStr">
        <is>
          <t>FE_POR_COMBUSTIBLE_BTR1</t>
        </is>
      </c>
      <c r="R3236" s="4"/>
      <c r="S3236" s="4">
        <v>3.0</v>
      </c>
      <c r="T3236" s="4" t="inlineStr">
        <is>
          <t>kg CH4/TJ</t>
        </is>
      </c>
      <c r="U3236" s="4"/>
      <c r="V3236" s="4"/>
      <c r="W3236" s="4" t="inlineStr">
        <is>
          <t>1.A.2</t>
        </is>
      </c>
      <c r="X3236" s="4" t="inlineStr">
        <is>
          <t>Industrias manufactureras y construcción</t>
        </is>
      </c>
      <c r="Y3236" s="4" t="inlineStr">
        <is>
          <t>COMB_FOIL</t>
        </is>
      </c>
      <c r="Z3236" s="4" t="s">
        <v>4018</v>
      </c>
      <c r="AA3236" s="13">
        <v>3.0</v>
      </c>
      <c r="AB3236" s="4" t="s">
        <v>4281</v>
      </c>
      <c r="AC3236" s="4"/>
      <c r="AD3236" s="4"/>
      <c r="AE3236" s="4"/>
      <c r="AF3236" s="4"/>
      <c r="AG3236" s="4"/>
      <c r="AH3236" s="4"/>
      <c r="AI3236" s="4"/>
      <c r="AJ3236" s="4"/>
      <c r="AK3236" s="4"/>
      <c r="AL3236" s="4" t="inlineStr">
        <is>
          <t>BTR1 Guatemala 2024, tabla 3.22, p. 62; fila Fuelóleo residual; gas CH4</t>
        </is>
      </c>
      <c r="AM3236" s="4" t="inlineStr">
        <is>
          <t>Factor por combustible documentado en el BTR1, con origen metodológico IPCC. Se aplica como parámetro constante aproximado a 2018–2024; el año de la clave permite unirlo a la actividad, no representa una nueva observación anual.</t>
        </is>
      </c>
    </row>
    <row r="3237" customFormat="false" ht="46.25" hidden="false" customHeight="false" outlineLevel="0" collapsed="false">
      <c r="A3237" s="4" t="s">
        <v>4270</v>
      </c>
      <c r="B3237" s="4" t="inlineStr">
        <is>
          <t>FE_COMB|2020|1.A.2|COMB_FOIL|N2O</t>
        </is>
      </c>
      <c r="C3237" s="4" t="inlineStr">
        <is>
          <t>2020|1.A.2|COMB_FOIL|N2O</t>
        </is>
      </c>
      <c r="D3237" s="12" t="n">
        <v>2020</v>
      </c>
      <c r="E3237" s="12">
        <v>2024.0</v>
      </c>
      <c r="F3237" s="4" t="inlineStr">
        <is>
          <t>PRX</t>
        </is>
      </c>
      <c r="G3237" s="4" t="inlineStr">
        <is>
          <t>MARN_GTM_BTR1_2024</t>
        </is>
      </c>
      <c r="H3237" s="4" t="inlineStr">
        <is>
          <t>Guatemala. Primer Informe Bienal de Transparencia (BTR1), 2024</t>
        </is>
      </c>
      <c r="I3237" s="4" t="inlineStr">
        <is>
          <t>https://unfccc.int/documents/646195</t>
        </is>
      </c>
      <c r="J3237" s="4" t="inlineStr">
        <is>
          <t>BTR1|2024|T3.22|FOIL|N2O</t>
        </is>
      </c>
      <c r="K3237" s="4" t="inlineStr">
        <is>
          <t>FOIL</t>
        </is>
      </c>
      <c r="L3237" s="4" t="inlineStr">
        <is>
          <t>Fuel oil</t>
        </is>
      </c>
      <c r="M3237" s="4"/>
      <c r="N3237" s="4"/>
      <c r="O3237" s="4"/>
      <c r="P3237" s="4"/>
      <c r="Q3237" s="4" t="inlineStr">
        <is>
          <t>FE_POR_COMBUSTIBLE_BTR1</t>
        </is>
      </c>
      <c r="R3237" s="4"/>
      <c r="S3237" s="4">
        <v>0.6</v>
      </c>
      <c r="T3237" s="4" t="inlineStr">
        <is>
          <t>kg N2O/TJ</t>
        </is>
      </c>
      <c r="U3237" s="4"/>
      <c r="V3237" s="4"/>
      <c r="W3237" s="4" t="inlineStr">
        <is>
          <t>1.A.2</t>
        </is>
      </c>
      <c r="X3237" s="4" t="inlineStr">
        <is>
          <t>Industrias manufactureras y construcción</t>
        </is>
      </c>
      <c r="Y3237" s="4" t="inlineStr">
        <is>
          <t>COMB_FOIL</t>
        </is>
      </c>
      <c r="Z3237" s="4" t="s">
        <v>4048</v>
      </c>
      <c r="AA3237" s="13">
        <v>0.6</v>
      </c>
      <c r="AB3237" s="4" t="s">
        <v>4287</v>
      </c>
      <c r="AC3237" s="4"/>
      <c r="AD3237" s="4"/>
      <c r="AE3237" s="4"/>
      <c r="AF3237" s="4"/>
      <c r="AG3237" s="4"/>
      <c r="AH3237" s="4"/>
      <c r="AI3237" s="4"/>
      <c r="AJ3237" s="4"/>
      <c r="AK3237" s="4"/>
      <c r="AL3237" s="4" t="inlineStr">
        <is>
          <t>BTR1 Guatemala 2024, tabla 3.22, p. 62; fila Fuelóleo residual; gas N2O</t>
        </is>
      </c>
      <c r="AM3237" s="4" t="inlineStr">
        <is>
          <t>Factor por combustible documentado en el BTR1, con origen metodológico IPCC. Se aplica como parámetro constante aproximado a 2018–2024; el año de la clave permite unirlo a la actividad, no representa una nueva observación anual.</t>
        </is>
      </c>
    </row>
    <row r="3238" customFormat="false" ht="57.45" hidden="false" customHeight="false" outlineLevel="0" collapsed="false">
      <c r="A3238" s="4" t="s">
        <v>4270</v>
      </c>
      <c r="B3238" s="4" t="inlineStr">
        <is>
          <t>FE_COMB|2020|1.A.2|COMB_GAS|CO2</t>
        </is>
      </c>
      <c r="C3238" s="4" t="inlineStr">
        <is>
          <t>2020|1.A.2|COMB_GAS|CO2</t>
        </is>
      </c>
      <c r="D3238" s="12" t="n">
        <v>2020</v>
      </c>
      <c r="E3238" s="12">
        <v>2024.0</v>
      </c>
      <c r="F3238" s="4" t="inlineStr">
        <is>
          <t>PRX</t>
        </is>
      </c>
      <c r="G3238" s="4" t="inlineStr">
        <is>
          <t>MARN_GTM_BTR1_2024</t>
        </is>
      </c>
      <c r="H3238" s="4" t="inlineStr">
        <is>
          <t>Guatemala. Primer Informe Bienal de Transparencia (BTR1), 2024</t>
        </is>
      </c>
      <c r="I3238" s="4" t="inlineStr">
        <is>
          <t>https://unfccc.int/documents/646195</t>
        </is>
      </c>
      <c r="J3238" s="4" t="inlineStr">
        <is>
          <t>BTR1|2024|T3.6|GAS|CO2</t>
        </is>
      </c>
      <c r="K3238" s="4" t="inlineStr">
        <is>
          <t>GAS</t>
        </is>
      </c>
      <c r="L3238" s="4" t="inlineStr">
        <is>
          <t>Gasolinas</t>
        </is>
      </c>
      <c r="M3238" s="4"/>
      <c r="N3238" s="4"/>
      <c r="O3238" s="4"/>
      <c r="P3238" s="4"/>
      <c r="Q3238" s="4" t="inlineStr">
        <is>
          <t>FE_POR_COMBUSTIBLE_BTR1</t>
        </is>
      </c>
      <c r="R3238" s="4"/>
      <c r="S3238" s="4">
        <v>69300.0</v>
      </c>
      <c r="T3238" s="4" t="inlineStr">
        <is>
          <t>kg CO2/TJ</t>
        </is>
      </c>
      <c r="U3238" s="4"/>
      <c r="V3238" s="4"/>
      <c r="W3238" s="4" t="inlineStr">
        <is>
          <t>1.A.2</t>
        </is>
      </c>
      <c r="X3238" s="4" t="inlineStr">
        <is>
          <t>Industrias manufactureras y construcción</t>
        </is>
      </c>
      <c r="Y3238" s="4" t="inlineStr">
        <is>
          <t>COMB_GAS</t>
        </is>
      </c>
      <c r="Z3238" s="4" t="s">
        <v>4012</v>
      </c>
      <c r="AA3238" s="13">
        <v>69300.0</v>
      </c>
      <c r="AB3238" s="4" t="s">
        <v>4275</v>
      </c>
      <c r="AC3238" s="4"/>
      <c r="AD3238" s="4"/>
      <c r="AE3238" s="4"/>
      <c r="AF3238" s="4"/>
      <c r="AG3238" s="4"/>
      <c r="AH3238" s="4"/>
      <c r="AI3238" s="4"/>
      <c r="AJ3238" s="4"/>
      <c r="AK3238" s="4"/>
      <c r="AL3238" s="4" t="inlineStr">
        <is>
          <t>BTR1 Guatemala 2024, tabla 3.6, p. 48; fila Gasolina para motores; gas CO2</t>
        </is>
      </c>
      <c r="AM3238" s="4" t="inlineStr">
        <is>
          <t>Factor por combustible documentado en el BTR1, con origen metodológico IPCC. Se aplica como parámetro constante aproximado a 2018–2024; el año de la clave permite unirlo a la actividad, no representa una nueva observación anual.</t>
        </is>
      </c>
    </row>
    <row r="3239" customFormat="false" ht="57.45" hidden="false" customHeight="false" outlineLevel="0" collapsed="false">
      <c r="A3239" s="4" t="s">
        <v>4270</v>
      </c>
      <c r="B3239" s="4" t="inlineStr">
        <is>
          <t>FE_COMB|2020|1.A.2|COMB_GAS|CH4</t>
        </is>
      </c>
      <c r="C3239" s="4" t="inlineStr">
        <is>
          <t>2020|1.A.2|COMB_GAS|CH4</t>
        </is>
      </c>
      <c r="D3239" s="12" t="n">
        <v>2020</v>
      </c>
      <c r="E3239" s="12">
        <v>2024.0</v>
      </c>
      <c r="F3239" s="4" t="inlineStr">
        <is>
          <t>PRX</t>
        </is>
      </c>
      <c r="G3239" s="4" t="inlineStr">
        <is>
          <t>MARN_GTM_BTR1_2024</t>
        </is>
      </c>
      <c r="H3239" s="4" t="inlineStr">
        <is>
          <t>Guatemala. Primer Informe Bienal de Transparencia (BTR1), 2024</t>
        </is>
      </c>
      <c r="I3239" s="4" t="inlineStr">
        <is>
          <t>https://unfccc.int/documents/646195</t>
        </is>
      </c>
      <c r="J3239" s="4" t="inlineStr">
        <is>
          <t>BTR1|2024|T3.22|GAS|CH4</t>
        </is>
      </c>
      <c r="K3239" s="4" t="inlineStr">
        <is>
          <t>GAS</t>
        </is>
      </c>
      <c r="L3239" s="4" t="inlineStr">
        <is>
          <t>Gasolinas</t>
        </is>
      </c>
      <c r="M3239" s="4"/>
      <c r="N3239" s="4"/>
      <c r="O3239" s="4"/>
      <c r="P3239" s="4"/>
      <c r="Q3239" s="4" t="inlineStr">
        <is>
          <t>FE_POR_COMBUSTIBLE_BTR1</t>
        </is>
      </c>
      <c r="R3239" s="4"/>
      <c r="S3239" s="4">
        <v>3.0</v>
      </c>
      <c r="T3239" s="4" t="inlineStr">
        <is>
          <t>kg CH4/TJ</t>
        </is>
      </c>
      <c r="U3239" s="4"/>
      <c r="V3239" s="4"/>
      <c r="W3239" s="4" t="inlineStr">
        <is>
          <t>1.A.2</t>
        </is>
      </c>
      <c r="X3239" s="4" t="inlineStr">
        <is>
          <t>Industrias manufactureras y construcción</t>
        </is>
      </c>
      <c r="Y3239" s="4" t="inlineStr">
        <is>
          <t>COMB_GAS</t>
        </is>
      </c>
      <c r="Z3239" s="4" t="s">
        <v>4018</v>
      </c>
      <c r="AA3239" s="13">
        <v>3.0</v>
      </c>
      <c r="AB3239" s="4" t="s">
        <v>4281</v>
      </c>
      <c r="AC3239" s="4"/>
      <c r="AD3239" s="4"/>
      <c r="AE3239" s="4"/>
      <c r="AF3239" s="4"/>
      <c r="AG3239" s="4"/>
      <c r="AH3239" s="4"/>
      <c r="AI3239" s="4"/>
      <c r="AJ3239" s="4"/>
      <c r="AK3239" s="4"/>
      <c r="AL3239" s="4" t="inlineStr">
        <is>
          <t>BTR1 Guatemala 2024, tabla 3.22, p. 62; fila Gasolina para motores; gas CH4</t>
        </is>
      </c>
      <c r="AM3239" s="4" t="inlineStr">
        <is>
          <t>Factor por combustible documentado en el BTR1, con origen metodológico IPCC. Se aplica como parámetro constante aproximado a 2018–2024; el año de la clave permite unirlo a la actividad, no representa una nueva observación anual.</t>
        </is>
      </c>
    </row>
    <row r="3240" customFormat="false" ht="57.45" hidden="false" customHeight="false" outlineLevel="0" collapsed="false">
      <c r="A3240" s="4" t="s">
        <v>4270</v>
      </c>
      <c r="B3240" s="4" t="inlineStr">
        <is>
          <t>FE_COMB|2020|1.A.2|COMB_GAS|N2O</t>
        </is>
      </c>
      <c r="C3240" s="4" t="inlineStr">
        <is>
          <t>2020|1.A.2|COMB_GAS|N2O</t>
        </is>
      </c>
      <c r="D3240" s="12" t="n">
        <v>2020</v>
      </c>
      <c r="E3240" s="12">
        <v>2024.0</v>
      </c>
      <c r="F3240" s="4" t="inlineStr">
        <is>
          <t>PRX</t>
        </is>
      </c>
      <c r="G3240" s="4" t="inlineStr">
        <is>
          <t>MARN_GTM_BTR1_2024</t>
        </is>
      </c>
      <c r="H3240" s="4" t="inlineStr">
        <is>
          <t>Guatemala. Primer Informe Bienal de Transparencia (BTR1), 2024</t>
        </is>
      </c>
      <c r="I3240" s="4" t="inlineStr">
        <is>
          <t>https://unfccc.int/documents/646195</t>
        </is>
      </c>
      <c r="J3240" s="4" t="inlineStr">
        <is>
          <t>BTR1|2024|T3.22|GAS|N2O</t>
        </is>
      </c>
      <c r="K3240" s="4" t="inlineStr">
        <is>
          <t>GAS</t>
        </is>
      </c>
      <c r="L3240" s="4" t="inlineStr">
        <is>
          <t>Gasolinas</t>
        </is>
      </c>
      <c r="M3240" s="4"/>
      <c r="N3240" s="4"/>
      <c r="O3240" s="4"/>
      <c r="P3240" s="4"/>
      <c r="Q3240" s="4" t="inlineStr">
        <is>
          <t>FE_POR_COMBUSTIBLE_BTR1</t>
        </is>
      </c>
      <c r="R3240" s="4"/>
      <c r="S3240" s="4">
        <v>0.6</v>
      </c>
      <c r="T3240" s="4" t="inlineStr">
        <is>
          <t>kg N2O/TJ</t>
        </is>
      </c>
      <c r="U3240" s="4"/>
      <c r="V3240" s="4"/>
      <c r="W3240" s="4" t="inlineStr">
        <is>
          <t>1.A.2</t>
        </is>
      </c>
      <c r="X3240" s="4" t="inlineStr">
        <is>
          <t>Industrias manufactureras y construcción</t>
        </is>
      </c>
      <c r="Y3240" s="4" t="inlineStr">
        <is>
          <t>COMB_GAS</t>
        </is>
      </c>
      <c r="Z3240" s="4" t="s">
        <v>4048</v>
      </c>
      <c r="AA3240" s="13">
        <v>0.6</v>
      </c>
      <c r="AB3240" s="4" t="s">
        <v>4287</v>
      </c>
      <c r="AC3240" s="4"/>
      <c r="AD3240" s="4"/>
      <c r="AE3240" s="4"/>
      <c r="AF3240" s="4"/>
      <c r="AG3240" s="4"/>
      <c r="AH3240" s="4"/>
      <c r="AI3240" s="4"/>
      <c r="AJ3240" s="4"/>
      <c r="AK3240" s="4"/>
      <c r="AL3240" s="4" t="inlineStr">
        <is>
          <t>BTR1 Guatemala 2024, tabla 3.22, p. 62; fila Gasolina para motores; gas N2O</t>
        </is>
      </c>
      <c r="AM3240" s="4" t="inlineStr">
        <is>
          <t>Factor por combustible documentado en el BTR1, con origen metodológico IPCC. Se aplica como parámetro constante aproximado a 2018–2024; el año de la clave permite unirlo a la actividad, no representa una nueva observación anual.</t>
        </is>
      </c>
    </row>
    <row r="3241" customFormat="false" ht="57.45" hidden="false" customHeight="false" outlineLevel="0" collapsed="false">
      <c r="A3241" s="4" t="s">
        <v>4270</v>
      </c>
      <c r="B3241" s="4" t="inlineStr">
        <is>
          <t>FE_COMB|2020|1.A.2|COMB_GLP|CO2</t>
        </is>
      </c>
      <c r="C3241" s="4" t="inlineStr">
        <is>
          <t>2020|1.A.2|COMB_GLP|CO2</t>
        </is>
      </c>
      <c r="D3241" s="12" t="n">
        <v>2020</v>
      </c>
      <c r="E3241" s="12">
        <v>2024.0</v>
      </c>
      <c r="F3241" s="4" t="inlineStr">
        <is>
          <t>PRX</t>
        </is>
      </c>
      <c r="G3241" s="4" t="inlineStr">
        <is>
          <t>MARN_GTM_BTR1_2024</t>
        </is>
      </c>
      <c r="H3241" s="4" t="inlineStr">
        <is>
          <t>Guatemala. Primer Informe Bienal de Transparencia (BTR1), 2024</t>
        </is>
      </c>
      <c r="I3241" s="4" t="inlineStr">
        <is>
          <t>https://unfccc.int/documents/646195</t>
        </is>
      </c>
      <c r="J3241" s="4" t="inlineStr">
        <is>
          <t>BTR1|2024|T3.6|GLP|CO2</t>
        </is>
      </c>
      <c r="K3241" s="4" t="inlineStr">
        <is>
          <t>GLP</t>
        </is>
      </c>
      <c r="L3241" s="4" t="inlineStr">
        <is>
          <t>Gas licuado de petróleo (GLP)</t>
        </is>
      </c>
      <c r="M3241" s="4"/>
      <c r="N3241" s="4"/>
      <c r="O3241" s="4"/>
      <c r="P3241" s="4"/>
      <c r="Q3241" s="4" t="inlineStr">
        <is>
          <t>FE_POR_COMBUSTIBLE_BTR1</t>
        </is>
      </c>
      <c r="R3241" s="4"/>
      <c r="S3241" s="4">
        <v>63100.0</v>
      </c>
      <c r="T3241" s="4" t="inlineStr">
        <is>
          <t>kg CO2/TJ</t>
        </is>
      </c>
      <c r="U3241" s="4"/>
      <c r="V3241" s="4"/>
      <c r="W3241" s="4" t="inlineStr">
        <is>
          <t>1.A.2</t>
        </is>
      </c>
      <c r="X3241" s="4" t="inlineStr">
        <is>
          <t>Industrias manufactureras y construcción</t>
        </is>
      </c>
      <c r="Y3241" s="4" t="inlineStr">
        <is>
          <t>COMB_GLP</t>
        </is>
      </c>
      <c r="Z3241" s="4" t="s">
        <v>4012</v>
      </c>
      <c r="AA3241" s="13">
        <v>63100.0</v>
      </c>
      <c r="AB3241" s="4" t="s">
        <v>4275</v>
      </c>
      <c r="AC3241" s="4"/>
      <c r="AD3241" s="4"/>
      <c r="AE3241" s="4"/>
      <c r="AF3241" s="4"/>
      <c r="AG3241" s="4"/>
      <c r="AH3241" s="4"/>
      <c r="AI3241" s="4"/>
      <c r="AJ3241" s="4"/>
      <c r="AK3241" s="4"/>
      <c r="AL3241" s="4" t="inlineStr">
        <is>
          <t>BTR1 Guatemala 2024, tabla 3.6, p. 48; fila Gases licuados de petróleo; gas CO2</t>
        </is>
      </c>
      <c r="AM3241" s="4" t="inlineStr">
        <is>
          <t>Factor por combustible documentado en el BTR1, con origen metodológico IPCC. Se aplica como parámetro constante aproximado a 2018–2024; el año de la clave permite unirlo a la actividad, no representa una nueva observación anual.</t>
        </is>
      </c>
    </row>
    <row r="3242" customFormat="false" ht="57.45" hidden="false" customHeight="false" outlineLevel="0" collapsed="false">
      <c r="A3242" s="4" t="s">
        <v>4270</v>
      </c>
      <c r="B3242" s="4" t="inlineStr">
        <is>
          <t>FE_COMB|2020|1.A.2|COMB_GLP|CH4</t>
        </is>
      </c>
      <c r="C3242" s="4" t="inlineStr">
        <is>
          <t>2020|1.A.2|COMB_GLP|CH4</t>
        </is>
      </c>
      <c r="D3242" s="12" t="n">
        <v>2020</v>
      </c>
      <c r="E3242" s="12">
        <v>2024.0</v>
      </c>
      <c r="F3242" s="4" t="inlineStr">
        <is>
          <t>PRX</t>
        </is>
      </c>
      <c r="G3242" s="4" t="inlineStr">
        <is>
          <t>MARN_GTM_BTR1_2024</t>
        </is>
      </c>
      <c r="H3242" s="4" t="inlineStr">
        <is>
          <t>Guatemala. Primer Informe Bienal de Transparencia (BTR1), 2024</t>
        </is>
      </c>
      <c r="I3242" s="4" t="inlineStr">
        <is>
          <t>https://unfccc.int/documents/646195</t>
        </is>
      </c>
      <c r="J3242" s="4" t="inlineStr">
        <is>
          <t>BTR1|2024|T3.22|GLP|CH4</t>
        </is>
      </c>
      <c r="K3242" s="4" t="inlineStr">
        <is>
          <t>GLP</t>
        </is>
      </c>
      <c r="L3242" s="4" t="inlineStr">
        <is>
          <t>Gas licuado de petróleo (GLP)</t>
        </is>
      </c>
      <c r="M3242" s="4"/>
      <c r="N3242" s="4"/>
      <c r="O3242" s="4"/>
      <c r="P3242" s="4"/>
      <c r="Q3242" s="4" t="inlineStr">
        <is>
          <t>FE_POR_COMBUSTIBLE_BTR1</t>
        </is>
      </c>
      <c r="R3242" s="4"/>
      <c r="S3242" s="4">
        <v>1.0</v>
      </c>
      <c r="T3242" s="4" t="inlineStr">
        <is>
          <t>kg CH4/TJ</t>
        </is>
      </c>
      <c r="U3242" s="4"/>
      <c r="V3242" s="4"/>
      <c r="W3242" s="4" t="inlineStr">
        <is>
          <t>1.A.2</t>
        </is>
      </c>
      <c r="X3242" s="4" t="inlineStr">
        <is>
          <t>Industrias manufactureras y construcción</t>
        </is>
      </c>
      <c r="Y3242" s="4" t="inlineStr">
        <is>
          <t>COMB_GLP</t>
        </is>
      </c>
      <c r="Z3242" s="4" t="s">
        <v>4018</v>
      </c>
      <c r="AA3242" s="13">
        <v>1.0</v>
      </c>
      <c r="AB3242" s="4" t="s">
        <v>4281</v>
      </c>
      <c r="AC3242" s="4"/>
      <c r="AD3242" s="4"/>
      <c r="AE3242" s="4"/>
      <c r="AF3242" s="4"/>
      <c r="AG3242" s="4"/>
      <c r="AH3242" s="4"/>
      <c r="AI3242" s="4"/>
      <c r="AJ3242" s="4"/>
      <c r="AK3242" s="4"/>
      <c r="AL3242" s="4" t="inlineStr">
        <is>
          <t>BTR1 Guatemala 2024, tabla 3.22, p. 62; fila Gases licuados de petróleo; gas CH4</t>
        </is>
      </c>
      <c r="AM3242" s="4" t="inlineStr">
        <is>
          <t>Factor por combustible documentado en el BTR1, con origen metodológico IPCC. Se aplica como parámetro constante aproximado a 2018–2024; el año de la clave permite unirlo a la actividad, no representa una nueva observación anual.</t>
        </is>
      </c>
    </row>
    <row r="3243" customFormat="false" ht="57.45" hidden="false" customHeight="false" outlineLevel="0" collapsed="false">
      <c r="A3243" s="4" t="s">
        <v>4270</v>
      </c>
      <c r="B3243" s="4" t="inlineStr">
        <is>
          <t>FE_COMB|2020|1.A.2|COMB_GLP|N2O</t>
        </is>
      </c>
      <c r="C3243" s="4" t="inlineStr">
        <is>
          <t>2020|1.A.2|COMB_GLP|N2O</t>
        </is>
      </c>
      <c r="D3243" s="12" t="n">
        <v>2020</v>
      </c>
      <c r="E3243" s="12">
        <v>2024.0</v>
      </c>
      <c r="F3243" s="4" t="inlineStr">
        <is>
          <t>PRX</t>
        </is>
      </c>
      <c r="G3243" s="4" t="inlineStr">
        <is>
          <t>MARN_GTM_BTR1_2024</t>
        </is>
      </c>
      <c r="H3243" s="4" t="inlineStr">
        <is>
          <t>Guatemala. Primer Informe Bienal de Transparencia (BTR1), 2024</t>
        </is>
      </c>
      <c r="I3243" s="4" t="inlineStr">
        <is>
          <t>https://unfccc.int/documents/646195</t>
        </is>
      </c>
      <c r="J3243" s="4" t="inlineStr">
        <is>
          <t>BTR1|2024|T3.22|GLP|N2O</t>
        </is>
      </c>
      <c r="K3243" s="4" t="inlineStr">
        <is>
          <t>GLP</t>
        </is>
      </c>
      <c r="L3243" s="4" t="inlineStr">
        <is>
          <t>Gas licuado de petróleo (GLP)</t>
        </is>
      </c>
      <c r="M3243" s="4"/>
      <c r="N3243" s="4"/>
      <c r="O3243" s="4"/>
      <c r="P3243" s="4"/>
      <c r="Q3243" s="4" t="inlineStr">
        <is>
          <t>FE_POR_COMBUSTIBLE_BTR1</t>
        </is>
      </c>
      <c r="R3243" s="4"/>
      <c r="S3243" s="4">
        <v>0.1</v>
      </c>
      <c r="T3243" s="4" t="inlineStr">
        <is>
          <t>kg N2O/TJ</t>
        </is>
      </c>
      <c r="U3243" s="4"/>
      <c r="V3243" s="4"/>
      <c r="W3243" s="4" t="inlineStr">
        <is>
          <t>1.A.2</t>
        </is>
      </c>
      <c r="X3243" s="4" t="inlineStr">
        <is>
          <t>Industrias manufactureras y construcción</t>
        </is>
      </c>
      <c r="Y3243" s="4" t="inlineStr">
        <is>
          <t>COMB_GLP</t>
        </is>
      </c>
      <c r="Z3243" s="4" t="s">
        <v>4048</v>
      </c>
      <c r="AA3243" s="13">
        <v>0.1</v>
      </c>
      <c r="AB3243" s="4" t="s">
        <v>4287</v>
      </c>
      <c r="AC3243" s="4"/>
      <c r="AD3243" s="4"/>
      <c r="AE3243" s="4"/>
      <c r="AF3243" s="4"/>
      <c r="AG3243" s="4"/>
      <c r="AH3243" s="4"/>
      <c r="AI3243" s="4"/>
      <c r="AJ3243" s="4"/>
      <c r="AK3243" s="4"/>
      <c r="AL3243" s="4" t="inlineStr">
        <is>
          <t>BTR1 Guatemala 2024, tabla 3.22, p. 62; fila Gases licuados de petróleo; gas N2O</t>
        </is>
      </c>
      <c r="AM3243" s="4" t="inlineStr">
        <is>
          <t>Factor por combustible documentado en el BTR1, con origen metodológico IPCC. Se aplica como parámetro constante aproximado a 2018–2024; el año de la clave permite unirlo a la actividad, no representa una nueva observación anual.</t>
        </is>
      </c>
    </row>
    <row r="3244" customFormat="false" ht="57.45" hidden="false" customHeight="false" outlineLevel="0" collapsed="false">
      <c r="A3244" s="4" t="s">
        <v>4270</v>
      </c>
      <c r="B3244" s="4" t="inlineStr">
        <is>
          <t>FE_COMB|2020|1.A.2|COMB_KER|CO2</t>
        </is>
      </c>
      <c r="C3244" s="4" t="inlineStr">
        <is>
          <t>2020|1.A.2|COMB_KER|CO2</t>
        </is>
      </c>
      <c r="D3244" s="12" t="n">
        <v>2020</v>
      </c>
      <c r="E3244" s="12">
        <v>2024.0</v>
      </c>
      <c r="F3244" s="4" t="inlineStr">
        <is>
          <t>PRX</t>
        </is>
      </c>
      <c r="G3244" s="4" t="inlineStr">
        <is>
          <t>MARN_GTM_BTR1_2024</t>
        </is>
      </c>
      <c r="H3244" s="4" t="inlineStr">
        <is>
          <t>Guatemala. Primer Informe Bienal de Transparencia (BTR1), 2024</t>
        </is>
      </c>
      <c r="I3244" s="4" t="inlineStr">
        <is>
          <t>https://unfccc.int/documents/646195</t>
        </is>
      </c>
      <c r="J3244" s="4" t="inlineStr">
        <is>
          <t>BTR1|2024|T3.6|KER|CO2</t>
        </is>
      </c>
      <c r="K3244" s="4" t="inlineStr">
        <is>
          <t>KER</t>
        </is>
      </c>
      <c r="L3244" s="4" t="inlineStr">
        <is>
          <t>Keroseno</t>
        </is>
      </c>
      <c r="M3244" s="4"/>
      <c r="N3244" s="4"/>
      <c r="O3244" s="4"/>
      <c r="P3244" s="4"/>
      <c r="Q3244" s="4" t="inlineStr">
        <is>
          <t>FE_POR_COMBUSTIBLE_BTR1</t>
        </is>
      </c>
      <c r="R3244" s="4"/>
      <c r="S3244" s="4">
        <v>71900.0</v>
      </c>
      <c r="T3244" s="4" t="inlineStr">
        <is>
          <t>kg CO2/TJ</t>
        </is>
      </c>
      <c r="U3244" s="4"/>
      <c r="V3244" s="4"/>
      <c r="W3244" s="4" t="inlineStr">
        <is>
          <t>1.A.2</t>
        </is>
      </c>
      <c r="X3244" s="4" t="inlineStr">
        <is>
          <t>Industrias manufactureras y construcción</t>
        </is>
      </c>
      <c r="Y3244" s="4" t="inlineStr">
        <is>
          <t>COMB_KER</t>
        </is>
      </c>
      <c r="Z3244" s="4" t="s">
        <v>4012</v>
      </c>
      <c r="AA3244" s="13">
        <v>71900.0</v>
      </c>
      <c r="AB3244" s="4" t="s">
        <v>4275</v>
      </c>
      <c r="AC3244" s="4"/>
      <c r="AD3244" s="4"/>
      <c r="AE3244" s="4"/>
      <c r="AF3244" s="4"/>
      <c r="AG3244" s="4"/>
      <c r="AH3244" s="4"/>
      <c r="AI3244" s="4"/>
      <c r="AJ3244" s="4"/>
      <c r="AK3244" s="4"/>
      <c r="AL3244" s="4" t="inlineStr">
        <is>
          <t>BTR1 Guatemala 2024, tabla 3.6, p. 48; fila Otro queroseno; gas CO2</t>
        </is>
      </c>
      <c r="AM3244" s="4" t="inlineStr">
        <is>
          <t>Factor por combustible documentado en el BTR1, con origen metodológico IPCC. Se aplica como parámetro constante aproximado a 2018–2024; el año de la clave permite unirlo a la actividad, no representa una nueva observación anual.</t>
        </is>
      </c>
    </row>
    <row r="3245" customFormat="false" ht="57.45" hidden="false" customHeight="false" outlineLevel="0" collapsed="false">
      <c r="A3245" s="4" t="s">
        <v>4270</v>
      </c>
      <c r="B3245" s="4" t="inlineStr">
        <is>
          <t>FE_COMB|2020|1.A.2|COMB_KER|CH4</t>
        </is>
      </c>
      <c r="C3245" s="4" t="inlineStr">
        <is>
          <t>2020|1.A.2|COMB_KER|CH4</t>
        </is>
      </c>
      <c r="D3245" s="12" t="n">
        <v>2020</v>
      </c>
      <c r="E3245" s="12">
        <v>2024.0</v>
      </c>
      <c r="F3245" s="4" t="inlineStr">
        <is>
          <t>PRX</t>
        </is>
      </c>
      <c r="G3245" s="4" t="inlineStr">
        <is>
          <t>MARN_GTM_BTR1_2024</t>
        </is>
      </c>
      <c r="H3245" s="4" t="inlineStr">
        <is>
          <t>Guatemala. Primer Informe Bienal de Transparencia (BTR1), 2024</t>
        </is>
      </c>
      <c r="I3245" s="4" t="inlineStr">
        <is>
          <t>https://unfccc.int/documents/646195</t>
        </is>
      </c>
      <c r="J3245" s="4" t="inlineStr">
        <is>
          <t>BTR1|2024|T3.22|KER|CH4</t>
        </is>
      </c>
      <c r="K3245" s="4" t="inlineStr">
        <is>
          <t>KER</t>
        </is>
      </c>
      <c r="L3245" s="4" t="inlineStr">
        <is>
          <t>Keroseno</t>
        </is>
      </c>
      <c r="M3245" s="4"/>
      <c r="N3245" s="4"/>
      <c r="O3245" s="4"/>
      <c r="P3245" s="4"/>
      <c r="Q3245" s="4" t="inlineStr">
        <is>
          <t>FE_POR_COMBUSTIBLE_BTR1</t>
        </is>
      </c>
      <c r="R3245" s="4"/>
      <c r="S3245" s="4">
        <v>3.0</v>
      </c>
      <c r="T3245" s="4" t="inlineStr">
        <is>
          <t>kg CH4/TJ</t>
        </is>
      </c>
      <c r="U3245" s="4"/>
      <c r="V3245" s="4"/>
      <c r="W3245" s="4" t="inlineStr">
        <is>
          <t>1.A.2</t>
        </is>
      </c>
      <c r="X3245" s="4" t="inlineStr">
        <is>
          <t>Industrias manufactureras y construcción</t>
        </is>
      </c>
      <c r="Y3245" s="4" t="inlineStr">
        <is>
          <t>COMB_KER</t>
        </is>
      </c>
      <c r="Z3245" s="4" t="s">
        <v>4018</v>
      </c>
      <c r="AA3245" s="13">
        <v>3.0</v>
      </c>
      <c r="AB3245" s="4" t="s">
        <v>4281</v>
      </c>
      <c r="AC3245" s="4"/>
      <c r="AD3245" s="4"/>
      <c r="AE3245" s="4"/>
      <c r="AF3245" s="4"/>
      <c r="AG3245" s="4"/>
      <c r="AH3245" s="4"/>
      <c r="AI3245" s="4"/>
      <c r="AJ3245" s="4"/>
      <c r="AK3245" s="4"/>
      <c r="AL3245" s="4" t="inlineStr">
        <is>
          <t>BTR1 Guatemala 2024, tabla 3.22, p. 62; fila Otro queroseno; gas CH4</t>
        </is>
      </c>
      <c r="AM3245" s="4" t="inlineStr">
        <is>
          <t>Factor por combustible documentado en el BTR1, con origen metodológico IPCC. Se aplica como parámetro constante aproximado a 2018–2024; el año de la clave permite unirlo a la actividad, no representa una nueva observación anual.</t>
        </is>
      </c>
    </row>
    <row r="3246" customFormat="false" ht="57.45" hidden="false" customHeight="false" outlineLevel="0" collapsed="false">
      <c r="A3246" s="4" t="s">
        <v>4270</v>
      </c>
      <c r="B3246" s="4" t="inlineStr">
        <is>
          <t>FE_COMB|2020|1.A.2|COMB_KER|N2O</t>
        </is>
      </c>
      <c r="C3246" s="4" t="inlineStr">
        <is>
          <t>2020|1.A.2|COMB_KER|N2O</t>
        </is>
      </c>
      <c r="D3246" s="12" t="n">
        <v>2020</v>
      </c>
      <c r="E3246" s="12">
        <v>2024.0</v>
      </c>
      <c r="F3246" s="4" t="inlineStr">
        <is>
          <t>PRX</t>
        </is>
      </c>
      <c r="G3246" s="4" t="inlineStr">
        <is>
          <t>MARN_GTM_BTR1_2024</t>
        </is>
      </c>
      <c r="H3246" s="4" t="inlineStr">
        <is>
          <t>Guatemala. Primer Informe Bienal de Transparencia (BTR1), 2024</t>
        </is>
      </c>
      <c r="I3246" s="4" t="inlineStr">
        <is>
          <t>https://unfccc.int/documents/646195</t>
        </is>
      </c>
      <c r="J3246" s="4" t="inlineStr">
        <is>
          <t>BTR1|2024|T3.22|KER|N2O</t>
        </is>
      </c>
      <c r="K3246" s="4" t="inlineStr">
        <is>
          <t>KER</t>
        </is>
      </c>
      <c r="L3246" s="4" t="inlineStr">
        <is>
          <t>Keroseno</t>
        </is>
      </c>
      <c r="M3246" s="4"/>
      <c r="N3246" s="4"/>
      <c r="O3246" s="4"/>
      <c r="P3246" s="4"/>
      <c r="Q3246" s="4" t="inlineStr">
        <is>
          <t>FE_POR_COMBUSTIBLE_BTR1</t>
        </is>
      </c>
      <c r="R3246" s="4"/>
      <c r="S3246" s="4">
        <v>0.6</v>
      </c>
      <c r="T3246" s="4" t="inlineStr">
        <is>
          <t>kg N2O/TJ</t>
        </is>
      </c>
      <c r="U3246" s="4"/>
      <c r="V3246" s="4"/>
      <c r="W3246" s="4" t="inlineStr">
        <is>
          <t>1.A.2</t>
        </is>
      </c>
      <c r="X3246" s="4" t="inlineStr">
        <is>
          <t>Industrias manufactureras y construcción</t>
        </is>
      </c>
      <c r="Y3246" s="4" t="inlineStr">
        <is>
          <t>COMB_KER</t>
        </is>
      </c>
      <c r="Z3246" s="4" t="s">
        <v>4048</v>
      </c>
      <c r="AA3246" s="13">
        <v>0.6</v>
      </c>
      <c r="AB3246" s="4" t="s">
        <v>4287</v>
      </c>
      <c r="AC3246" s="4"/>
      <c r="AD3246" s="4"/>
      <c r="AE3246" s="4"/>
      <c r="AF3246" s="4"/>
      <c r="AG3246" s="4"/>
      <c r="AH3246" s="4"/>
      <c r="AI3246" s="4"/>
      <c r="AJ3246" s="4"/>
      <c r="AK3246" s="4"/>
      <c r="AL3246" s="4" t="inlineStr">
        <is>
          <t>BTR1 Guatemala 2024, tabla 3.22, p. 62; fila Otro queroseno; gas N2O</t>
        </is>
      </c>
      <c r="AM3246" s="4" t="inlineStr">
        <is>
          <t>Factor por combustible documentado en el BTR1, con origen metodológico IPCC. Se aplica como parámetro constante aproximado a 2018–2024; el año de la clave permite unirlo a la actividad, no representa una nueva observación anual.</t>
        </is>
      </c>
    </row>
    <row r="3247" customFormat="false" ht="57.45" hidden="false" customHeight="false" outlineLevel="0" collapsed="false">
      <c r="A3247" s="4" t="s">
        <v>4270</v>
      </c>
      <c r="B3247" s="4" t="inlineStr">
        <is>
          <t>FE_COMB|2020|1.A.3|COMB_DOIL|CO2</t>
        </is>
      </c>
      <c r="C3247" s="4" t="inlineStr">
        <is>
          <t>2020|1.A.3|COMB_DOIL|CO2</t>
        </is>
      </c>
      <c r="D3247" s="12" t="n">
        <v>2020</v>
      </c>
      <c r="E3247" s="12" t="n">
        <v>2020</v>
      </c>
      <c r="F3247" s="4" t="inlineStr">
        <is>
          <t>OBS</t>
        </is>
      </c>
      <c r="G3247" s="4" t="inlineStr">
        <is>
          <t>UNFCCC_GTM_CRT_2024</t>
        </is>
      </c>
      <c r="H3247" s="4" t="inlineStr">
        <is>
          <t>Guatemala. 2024 Common Reporting Table (CRT), V0.3</t>
        </is>
      </c>
      <c r="I3247" s="4" t="inlineStr">
        <is>
          <t>https://unfccc.int/documents/646206</t>
        </is>
      </c>
      <c r="J3247" s="4" t="inlineStr">
        <is>
          <t>CRT1A|2020|1.A.3|COMB_DOIL|CO2|FILAS:22</t>
        </is>
      </c>
      <c r="K3247" s="4" t="inlineStr">
        <is>
          <t>DOIL</t>
        </is>
      </c>
      <c r="L3247" s="4" t="inlineStr">
        <is>
          <t>Diésel / gas oil</t>
        </is>
      </c>
      <c r="M3247" s="4"/>
      <c r="N3247" s="4"/>
      <c r="O3247" s="4"/>
      <c r="P3247" s="4"/>
      <c r="Q3247" s="4" t="inlineStr">
        <is>
          <t>CRT_ANUAL_COMBUSTIBLE_ESPECIFICO</t>
        </is>
      </c>
      <c r="R3247" s="4"/>
      <c r="S3247" s="4"/>
      <c r="T3247" s="4"/>
      <c r="U3247" s="4">
        <v>63733.4864</v>
      </c>
      <c r="V3247" s="4"/>
      <c r="W3247" s="4" t="inlineStr">
        <is>
          <t>1.A.3</t>
        </is>
      </c>
      <c r="X3247" s="4" t="inlineStr">
        <is>
          <t>Transporte</t>
        </is>
      </c>
      <c r="Y3247" s="4" t="inlineStr">
        <is>
          <t>COMB_DOIL</t>
        </is>
      </c>
      <c r="Z3247" s="4" t="s">
        <v>4012</v>
      </c>
      <c r="AA3247" s="13">
        <v>74100.00012175702</v>
      </c>
      <c r="AB3247" s="4" t="s">
        <v>4275</v>
      </c>
      <c r="AC3247" s="4"/>
      <c r="AD3247" s="4">
        <v>4722.65135</v>
      </c>
      <c r="AE3247" s="4"/>
      <c r="AF3247" s="4"/>
      <c r="AG3247" s="4"/>
      <c r="AH3247" s="4"/>
      <c r="AI3247" s="4"/>
      <c r="AJ3247" s="4"/>
      <c r="AK3247" s="4"/>
      <c r="AL3247" s="4" t="inlineStr">
        <is>
          <t>GTM-CRT-2024-V0.3-2020-20250304-084824_started.xlsx; Table1.A(a)s3; AD=C22; EM=H22; IEF=E22</t>
        </is>
      </c>
      <c r="AM3247" s="4" t="inlineStr">
        <is>
          <t>Combustible específico en la categoría reportada CRT 1.A.3.b. BTR1 pp. 64–65 indica que la categoría incorpora navegación no desagregable; no interpretarla como medición exclusivamente vial. Aplicar a BEN-TR conserva esa cobertura reportada. Fórmula: 1000000*(H22)/(C22). SHA-256 CRT: 17f0e83d5b434cddc5e179c71e4106c1a96b35972ea36e19202a07e0219ebc6c.</t>
        </is>
      </c>
    </row>
    <row r="3248" customFormat="false" ht="57.45" hidden="false" customHeight="false" outlineLevel="0" collapsed="false">
      <c r="A3248" s="4" t="s">
        <v>4270</v>
      </c>
      <c r="B3248" s="4" t="inlineStr">
        <is>
          <t>FE_COMB|2020|1.A.3|COMB_DOIL|CH4</t>
        </is>
      </c>
      <c r="C3248" s="4" t="inlineStr">
        <is>
          <t>2020|1.A.3|COMB_DOIL|CH4</t>
        </is>
      </c>
      <c r="D3248" s="12" t="n">
        <v>2020</v>
      </c>
      <c r="E3248" s="12" t="n">
        <v>2020</v>
      </c>
      <c r="F3248" s="4" t="inlineStr">
        <is>
          <t>OBS</t>
        </is>
      </c>
      <c r="G3248" s="4" t="inlineStr">
        <is>
          <t>UNFCCC_GTM_CRT_2024</t>
        </is>
      </c>
      <c r="H3248" s="4" t="inlineStr">
        <is>
          <t>Guatemala. 2024 Common Reporting Table (CRT), V0.3</t>
        </is>
      </c>
      <c r="I3248" s="4" t="inlineStr">
        <is>
          <t>https://unfccc.int/documents/646206</t>
        </is>
      </c>
      <c r="J3248" s="4" t="inlineStr">
        <is>
          <t>CRT1A|2020|1.A.3|COMB_DOIL|CH4|FILAS:22</t>
        </is>
      </c>
      <c r="K3248" s="4" t="inlineStr">
        <is>
          <t>DOIL</t>
        </is>
      </c>
      <c r="L3248" s="4" t="inlineStr">
        <is>
          <t>Diésel / gas oil</t>
        </is>
      </c>
      <c r="M3248" s="4"/>
      <c r="N3248" s="4"/>
      <c r="O3248" s="4"/>
      <c r="P3248" s="4"/>
      <c r="Q3248" s="4" t="inlineStr">
        <is>
          <t>CRT_ANUAL_COMBUSTIBLE_ESPECIFICO</t>
        </is>
      </c>
      <c r="R3248" s="4"/>
      <c r="S3248" s="4"/>
      <c r="T3248" s="4"/>
      <c r="U3248" s="4">
        <v>63733.4864</v>
      </c>
      <c r="V3248" s="4"/>
      <c r="W3248" s="4" t="inlineStr">
        <is>
          <t>1.A.3</t>
        </is>
      </c>
      <c r="X3248" s="4" t="inlineStr">
        <is>
          <t>Transporte</t>
        </is>
      </c>
      <c r="Y3248" s="4" t="inlineStr">
        <is>
          <t>COMB_DOIL</t>
        </is>
      </c>
      <c r="Z3248" s="4" t="s">
        <v>4018</v>
      </c>
      <c r="AA3248" s="13">
        <v>3.9000000476986303</v>
      </c>
      <c r="AB3248" s="4" t="s">
        <v>4281</v>
      </c>
      <c r="AC3248" s="4"/>
      <c r="AD3248" s="4">
        <v>0.2485606</v>
      </c>
      <c r="AE3248" s="4"/>
      <c r="AF3248" s="4"/>
      <c r="AG3248" s="4"/>
      <c r="AH3248" s="4"/>
      <c r="AI3248" s="4"/>
      <c r="AJ3248" s="4"/>
      <c r="AK3248" s="4"/>
      <c r="AL3248" s="4" t="inlineStr">
        <is>
          <t>GTM-CRT-2024-V0.3-2020-20250304-084824_started.xlsx; Table1.A(a)s3; AD=C22; EM=I22; IEF=F22</t>
        </is>
      </c>
      <c r="AM3248" s="4" t="inlineStr">
        <is>
          <t>Combustible específico en la categoría reportada CRT 1.A.3.b. BTR1 pp. 64–65 indica que la categoría incorpora navegación no desagregable; no interpretarla como medición exclusivamente vial. Aplicar a BEN-TR conserva esa cobertura reportada. Fórmula: 1000000*(I22)/(C22). SHA-256 CRT: 17f0e83d5b434cddc5e179c71e4106c1a96b35972ea36e19202a07e0219ebc6c.</t>
        </is>
      </c>
    </row>
    <row r="3249" customFormat="false" ht="57.45" hidden="false" customHeight="false" outlineLevel="0" collapsed="false">
      <c r="A3249" s="4" t="s">
        <v>4270</v>
      </c>
      <c r="B3249" s="4" t="inlineStr">
        <is>
          <t>FE_COMB|2020|1.A.3|COMB_DOIL|N2O</t>
        </is>
      </c>
      <c r="C3249" s="4" t="inlineStr">
        <is>
          <t>2020|1.A.3|COMB_DOIL|N2O</t>
        </is>
      </c>
      <c r="D3249" s="12" t="n">
        <v>2020</v>
      </c>
      <c r="E3249" s="12" t="n">
        <v>2020</v>
      </c>
      <c r="F3249" s="4" t="inlineStr">
        <is>
          <t>OBS</t>
        </is>
      </c>
      <c r="G3249" s="4" t="inlineStr">
        <is>
          <t>UNFCCC_GTM_CRT_2024</t>
        </is>
      </c>
      <c r="H3249" s="4" t="inlineStr">
        <is>
          <t>Guatemala. 2024 Common Reporting Table (CRT), V0.3</t>
        </is>
      </c>
      <c r="I3249" s="4" t="inlineStr">
        <is>
          <t>https://unfccc.int/documents/646206</t>
        </is>
      </c>
      <c r="J3249" s="4" t="inlineStr">
        <is>
          <t>CRT1A|2020|1.A.3|COMB_DOIL|N2O|FILAS:22</t>
        </is>
      </c>
      <c r="K3249" s="4" t="inlineStr">
        <is>
          <t>DOIL</t>
        </is>
      </c>
      <c r="L3249" s="4" t="inlineStr">
        <is>
          <t>Diésel / gas oil</t>
        </is>
      </c>
      <c r="M3249" s="4"/>
      <c r="N3249" s="4"/>
      <c r="O3249" s="4"/>
      <c r="P3249" s="4"/>
      <c r="Q3249" s="4" t="inlineStr">
        <is>
          <t>CRT_ANUAL_COMBUSTIBLE_ESPECIFICO</t>
        </is>
      </c>
      <c r="R3249" s="4"/>
      <c r="S3249" s="4"/>
      <c r="T3249" s="4"/>
      <c r="U3249" s="4">
        <v>63733.4864</v>
      </c>
      <c r="V3249" s="4"/>
      <c r="W3249" s="4" t="inlineStr">
        <is>
          <t>1.A.3</t>
        </is>
      </c>
      <c r="X3249" s="4" t="inlineStr">
        <is>
          <t>Transporte</t>
        </is>
      </c>
      <c r="Y3249" s="4" t="inlineStr">
        <is>
          <t>COMB_DOIL</t>
        </is>
      </c>
      <c r="Z3249" s="4" t="s">
        <v>4048</v>
      </c>
      <c r="AA3249" s="13">
        <v>3.9000000476986303</v>
      </c>
      <c r="AB3249" s="4" t="s">
        <v>4287</v>
      </c>
      <c r="AC3249" s="4"/>
      <c r="AD3249" s="4">
        <v>0.2485606</v>
      </c>
      <c r="AE3249" s="4"/>
      <c r="AF3249" s="4"/>
      <c r="AG3249" s="4"/>
      <c r="AH3249" s="4"/>
      <c r="AI3249" s="4"/>
      <c r="AJ3249" s="4"/>
      <c r="AK3249" s="4"/>
      <c r="AL3249" s="4" t="inlineStr">
        <is>
          <t>GTM-CRT-2024-V0.3-2020-20250304-084824_started.xlsx; Table1.A(a)s3; AD=C22; EM=J22; IEF=G22</t>
        </is>
      </c>
      <c r="AM3249" s="4" t="inlineStr">
        <is>
          <t>Combustible específico en la categoría reportada CRT 1.A.3.b. BTR1 pp. 64–65 indica que la categoría incorpora navegación no desagregable; no interpretarla como medición exclusivamente vial. Aplicar a BEN-TR conserva esa cobertura reportada. Fórmula: 1000000*(J22)/(C22). SHA-256 CRT: 17f0e83d5b434cddc5e179c71e4106c1a96b35972ea36e19202a07e0219ebc6c.</t>
        </is>
      </c>
    </row>
    <row r="3250" customFormat="false" ht="57.45" hidden="false" customHeight="false" outlineLevel="0" collapsed="false">
      <c r="A3250" s="4" t="s">
        <v>4270</v>
      </c>
      <c r="B3250" s="4" t="inlineStr">
        <is>
          <t>FE_COMB|2020|1.A.3|COMB_GAS|CO2</t>
        </is>
      </c>
      <c r="C3250" s="4" t="inlineStr">
        <is>
          <t>2020|1.A.3|COMB_GAS|CO2</t>
        </is>
      </c>
      <c r="D3250" s="12" t="n">
        <v>2020</v>
      </c>
      <c r="E3250" s="12" t="n">
        <v>2020</v>
      </c>
      <c r="F3250" s="4" t="inlineStr">
        <is>
          <t>PRX</t>
        </is>
      </c>
      <c r="G3250" s="4" t="inlineStr">
        <is>
          <t>UNFCCC_GTM_CRT_2024</t>
        </is>
      </c>
      <c r="H3250" s="4" t="inlineStr">
        <is>
          <t>Guatemala. 2024 Common Reporting Table (CRT), V0.3</t>
        </is>
      </c>
      <c r="I3250" s="4" t="inlineStr">
        <is>
          <t>https://unfccc.int/documents/646206</t>
        </is>
      </c>
      <c r="J3250" s="4" t="inlineStr">
        <is>
          <t>CRT1A|2020|1.A.3|COMB_GAS|CO2|FILAS:17+21</t>
        </is>
      </c>
      <c r="K3250" s="4" t="inlineStr">
        <is>
          <t>GAS</t>
        </is>
      </c>
      <c r="L3250" s="4" t="inlineStr">
        <is>
          <t>Gasolinas</t>
        </is>
      </c>
      <c r="M3250" s="4"/>
      <c r="N3250" s="4"/>
      <c r="O3250" s="4"/>
      <c r="P3250" s="4"/>
      <c r="Q3250" s="4" t="inlineStr">
        <is>
          <t>CRT_ANUAL_SUMA_EMISIONES_DIV_SUMA_ACTIVIDAD</t>
        </is>
      </c>
      <c r="R3250" s="4"/>
      <c r="S3250" s="4"/>
      <c r="T3250" s="4"/>
      <c r="U3250" s="4">
        <v>69281.04151309</v>
      </c>
      <c r="V3250" s="4"/>
      <c r="W3250" s="4" t="s">
        <v>3412</v>
      </c>
      <c r="X3250" s="4" t="inlineStr">
        <is>
          <t>Transporte</t>
        </is>
      </c>
      <c r="Y3250" s="4" t="inlineStr">
        <is>
          <t>COMB_GAS</t>
        </is>
      </c>
      <c r="Z3250" s="4" t="s">
        <v>4012</v>
      </c>
      <c r="AA3250" s="13">
        <v>69300.54801512844</v>
      </c>
      <c r="AB3250" s="4" t="s">
        <v>4275</v>
      </c>
      <c r="AC3250" s="4"/>
      <c r="AD3250" s="4">
        <v>4801.214143916</v>
      </c>
      <c r="AE3250" s="4"/>
      <c r="AF3250" s="4"/>
      <c r="AG3250" s="4"/>
      <c r="AH3250" s="4"/>
      <c r="AI3250" s="4"/>
      <c r="AJ3250" s="4"/>
      <c r="AK3250" s="4"/>
      <c r="AL3250" s="4" t="inlineStr">
        <is>
          <t>GTM-CRT-2024-V0.3-2020-20250304-084824_started.xlsx; Table1.A(a)s3; AD=C17+C21; EM=H17+H21; IEF=E17+E21</t>
        </is>
      </c>
      <c r="AM3250" s="4" t="inlineStr">
        <is>
          <t>Mezcla anual CRT de gasolina de aviación y gasolina de motor. BTR1 p. 66 confirma que GAS del BEN reúne ambos usos. Aplicar a GAS-TR supone representatividad de esa mezcla anual; no es un factor exclusivamente vial ni de un producto químicamente homogéneo. Fórmula: 1000000*(H17+H21)/(C17+C21). SHA-256 CRT: 17f0e83d5b434cddc5e179c71e4106c1a96b35972ea36e19202a07e0219ebc6c. El cociente es una derivación CAL; su aplicación a la mezcla GAS-TR se identifica PRX.</t>
        </is>
      </c>
    </row>
    <row r="3251" customFormat="false" ht="57.45" hidden="false" customHeight="false" outlineLevel="0" collapsed="false">
      <c r="A3251" s="4" t="s">
        <v>4270</v>
      </c>
      <c r="B3251" s="4" t="inlineStr">
        <is>
          <t>FE_COMB|2020|1.A.3|COMB_GAS|CH4</t>
        </is>
      </c>
      <c r="C3251" s="4" t="inlineStr">
        <is>
          <t>2020|1.A.3|COMB_GAS|CH4</t>
        </is>
      </c>
      <c r="D3251" s="12" t="n">
        <v>2020</v>
      </c>
      <c r="E3251" s="12" t="n">
        <v>2020</v>
      </c>
      <c r="F3251" s="4" t="inlineStr">
        <is>
          <t>PRX</t>
        </is>
      </c>
      <c r="G3251" s="4" t="inlineStr">
        <is>
          <t>UNFCCC_GTM_CRT_2024</t>
        </is>
      </c>
      <c r="H3251" s="4" t="inlineStr">
        <is>
          <t>Guatemala. 2024 Common Reporting Table (CRT), V0.3</t>
        </is>
      </c>
      <c r="I3251" s="4" t="inlineStr">
        <is>
          <t>https://unfccc.int/documents/646206</t>
        </is>
      </c>
      <c r="J3251" s="4" t="inlineStr">
        <is>
          <t>CRT1A|2020|1.A.3|COMB_GAS|CH4|FILAS:17+21</t>
        </is>
      </c>
      <c r="K3251" s="4" t="inlineStr">
        <is>
          <t>GAS</t>
        </is>
      </c>
      <c r="L3251" s="4" t="inlineStr">
        <is>
          <t>Gasolinas</t>
        </is>
      </c>
      <c r="M3251" s="4"/>
      <c r="N3251" s="4"/>
      <c r="O3251" s="4"/>
      <c r="P3251" s="4"/>
      <c r="Q3251" s="4" t="inlineStr">
        <is>
          <t>CRT_ANUAL_SUMA_EMISIONES_DIV_SUMA_ACTIVIDAD</t>
        </is>
      </c>
      <c r="R3251" s="4"/>
      <c r="S3251" s="4"/>
      <c r="T3251" s="4"/>
      <c r="U3251" s="4">
        <v>69281.04151309</v>
      </c>
      <c r="V3251" s="4"/>
      <c r="W3251" s="4" t="s">
        <v>3412</v>
      </c>
      <c r="X3251" s="4" t="inlineStr">
        <is>
          <t>Transporte</t>
        </is>
      </c>
      <c r="Y3251" s="4" t="inlineStr">
        <is>
          <t>COMB_GAS</t>
        </is>
      </c>
      <c r="Z3251" s="4" t="s">
        <v>4018</v>
      </c>
      <c r="AA3251" s="13">
        <v>32.974554959142225</v>
      </c>
      <c r="AB3251" s="4" t="s">
        <v>4281</v>
      </c>
      <c r="AC3251" s="4"/>
      <c r="AD3251" s="4">
        <v>2.284511511</v>
      </c>
      <c r="AE3251" s="4"/>
      <c r="AF3251" s="4"/>
      <c r="AG3251" s="4"/>
      <c r="AH3251" s="4"/>
      <c r="AI3251" s="4"/>
      <c r="AJ3251" s="4"/>
      <c r="AK3251" s="4"/>
      <c r="AL3251" s="4" t="inlineStr">
        <is>
          <t>GTM-CRT-2024-V0.3-2020-20250304-084824_started.xlsx; Table1.A(a)s3; AD=C17+C21; EM=I17+I21; IEF=F17+F21</t>
        </is>
      </c>
      <c r="AM3251" s="4" t="inlineStr">
        <is>
          <t>Mezcla anual CRT de gasolina de aviación y gasolina de motor. BTR1 p. 66 confirma que GAS del BEN reúne ambos usos. Aplicar a GAS-TR supone representatividad de esa mezcla anual; no es un factor exclusivamente vial ni de un producto químicamente homogéneo. Fórmula: 1000000*(I17+I21)/(C17+C21). SHA-256 CRT: 17f0e83d5b434cddc5e179c71e4106c1a96b35972ea36e19202a07e0219ebc6c. El cociente es una derivación CAL; su aplicación a la mezcla GAS-TR se identifica PRX.</t>
        </is>
      </c>
    </row>
    <row r="3252" customFormat="false" ht="57.45" hidden="false" customHeight="false" outlineLevel="0" collapsed="false">
      <c r="A3252" s="4" t="s">
        <v>4270</v>
      </c>
      <c r="B3252" s="4" t="inlineStr">
        <is>
          <t>FE_COMB|2020|1.A.3|COMB_GAS|N2O</t>
        </is>
      </c>
      <c r="C3252" s="4" t="inlineStr">
        <is>
          <t>2020|1.A.3|COMB_GAS|N2O</t>
        </is>
      </c>
      <c r="D3252" s="12" t="n">
        <v>2020</v>
      </c>
      <c r="E3252" s="12" t="n">
        <v>2020</v>
      </c>
      <c r="F3252" s="4" t="inlineStr">
        <is>
          <t>PRX</t>
        </is>
      </c>
      <c r="G3252" s="4" t="inlineStr">
        <is>
          <t>UNFCCC_GTM_CRT_2024</t>
        </is>
      </c>
      <c r="H3252" s="4" t="inlineStr">
        <is>
          <t>Guatemala. 2024 Common Reporting Table (CRT), V0.3</t>
        </is>
      </c>
      <c r="I3252" s="4" t="inlineStr">
        <is>
          <t>https://unfccc.int/documents/646206</t>
        </is>
      </c>
      <c r="J3252" s="4" t="inlineStr">
        <is>
          <t>CRT1A|2020|1.A.3|COMB_GAS|N2O|FILAS:17+21</t>
        </is>
      </c>
      <c r="K3252" s="4" t="inlineStr">
        <is>
          <t>GAS</t>
        </is>
      </c>
      <c r="L3252" s="4" t="inlineStr">
        <is>
          <t>Gasolinas</t>
        </is>
      </c>
      <c r="M3252" s="4"/>
      <c r="N3252" s="4"/>
      <c r="O3252" s="4"/>
      <c r="P3252" s="4"/>
      <c r="Q3252" s="4" t="inlineStr">
        <is>
          <t>CRT_ANUAL_SUMA_EMISIONES_DIV_SUMA_ACTIVIDAD</t>
        </is>
      </c>
      <c r="R3252" s="4"/>
      <c r="S3252" s="4"/>
      <c r="T3252" s="4"/>
      <c r="U3252" s="4">
        <v>69281.04151309</v>
      </c>
      <c r="V3252" s="4"/>
      <c r="W3252" s="4" t="s">
        <v>3412</v>
      </c>
      <c r="X3252" s="4" t="inlineStr">
        <is>
          <t>Transporte</t>
        </is>
      </c>
      <c r="Y3252" s="4" t="inlineStr">
        <is>
          <t>COMB_GAS</t>
        </is>
      </c>
      <c r="Z3252" s="4" t="s">
        <v>4048</v>
      </c>
      <c r="AA3252" s="13">
        <v>3.199060510054894</v>
      </c>
      <c r="AB3252" s="4" t="s">
        <v>4287</v>
      </c>
      <c r="AC3252" s="4"/>
      <c r="AD3252" s="4">
        <v>0.221634244</v>
      </c>
      <c r="AE3252" s="4"/>
      <c r="AF3252" s="4"/>
      <c r="AG3252" s="4"/>
      <c r="AH3252" s="4"/>
      <c r="AI3252" s="4"/>
      <c r="AJ3252" s="4"/>
      <c r="AK3252" s="4"/>
      <c r="AL3252" s="4" t="inlineStr">
        <is>
          <t>GTM-CRT-2024-V0.3-2020-20250304-084824_started.xlsx; Table1.A(a)s3; AD=C17+C21; EM=J17+J21; IEF=G17+G21</t>
        </is>
      </c>
      <c r="AM3252" s="4" t="inlineStr">
        <is>
          <t>Mezcla anual CRT de gasolina de aviación y gasolina de motor. BTR1 p. 66 confirma que GAS del BEN reúne ambos usos. Aplicar a GAS-TR supone representatividad de esa mezcla anual; no es un factor exclusivamente vial ni de un producto químicamente homogéneo. Fórmula: 1000000*(J17+J21)/(C17+C21). SHA-256 CRT: 17f0e83d5b434cddc5e179c71e4106c1a96b35972ea36e19202a07e0219ebc6c. El cociente es una derivación CAL; su aplicación a la mezcla GAS-TR se identifica PRX.</t>
        </is>
      </c>
    </row>
    <row r="3253" customFormat="false" ht="57.45" hidden="false" customHeight="false" outlineLevel="0" collapsed="false">
      <c r="A3253" s="4" t="s">
        <v>4270</v>
      </c>
      <c r="B3253" s="4" t="inlineStr">
        <is>
          <t>FE_COMB|2020|1.A.3|COMB_GLP|CO2</t>
        </is>
      </c>
      <c r="C3253" s="4" t="inlineStr">
        <is>
          <t>2020|1.A.3|COMB_GLP|CO2</t>
        </is>
      </c>
      <c r="D3253" s="12" t="n">
        <v>2020</v>
      </c>
      <c r="E3253" s="12" t="n">
        <v>2020</v>
      </c>
      <c r="F3253" s="4" t="inlineStr">
        <is>
          <t>OBS</t>
        </is>
      </c>
      <c r="G3253" s="4" t="inlineStr">
        <is>
          <t>UNFCCC_GTM_CRT_2024</t>
        </is>
      </c>
      <c r="H3253" s="4" t="inlineStr">
        <is>
          <t>Guatemala. 2024 Common Reporting Table (CRT), V0.3</t>
        </is>
      </c>
      <c r="I3253" s="4" t="inlineStr">
        <is>
          <t>https://unfccc.int/documents/646206</t>
        </is>
      </c>
      <c r="J3253" s="4" t="inlineStr">
        <is>
          <t>CRT1A|2020|1.A.3|COMB_GLP|CO2|FILAS:23</t>
        </is>
      </c>
      <c r="K3253" s="4" t="inlineStr">
        <is>
          <t>GLP</t>
        </is>
      </c>
      <c r="L3253" s="4" t="inlineStr">
        <is>
          <t>Gas licuado de petróleo (GLP)</t>
        </is>
      </c>
      <c r="M3253" s="4"/>
      <c r="N3253" s="4"/>
      <c r="O3253" s="4"/>
      <c r="P3253" s="4"/>
      <c r="Q3253" s="4" t="inlineStr">
        <is>
          <t>CRT_ANUAL_COMBUSTIBLE_ESPECIFICO</t>
        </is>
      </c>
      <c r="R3253" s="4"/>
      <c r="S3253" s="4"/>
      <c r="T3253" s="4"/>
      <c r="U3253" s="4">
        <v>194.804226</v>
      </c>
      <c r="V3253" s="4"/>
      <c r="W3253" s="4" t="inlineStr">
        <is>
          <t>1.A.3</t>
        </is>
      </c>
      <c r="X3253" s="4" t="inlineStr">
        <is>
          <t>Transporte</t>
        </is>
      </c>
      <c r="Y3253" s="4" t="inlineStr">
        <is>
          <t>COMB_GLP</t>
        </is>
      </c>
      <c r="Z3253" s="4" t="s">
        <v>4012</v>
      </c>
      <c r="AA3253" s="13">
        <v>63100.00020225434</v>
      </c>
      <c r="AB3253" s="4" t="s">
        <v>4275</v>
      </c>
      <c r="AC3253" s="4"/>
      <c r="AD3253" s="4">
        <v>12.2921467</v>
      </c>
      <c r="AE3253" s="4"/>
      <c r="AF3253" s="4"/>
      <c r="AG3253" s="4"/>
      <c r="AH3253" s="4"/>
      <c r="AI3253" s="4"/>
      <c r="AJ3253" s="4"/>
      <c r="AK3253" s="4"/>
      <c r="AL3253" s="4" t="inlineStr">
        <is>
          <t>GTM-CRT-2024-V0.3-2020-20250304-084824_started.xlsx; Table1.A(a)s3; AD=C23; EM=H23; IEF=E23</t>
        </is>
      </c>
      <c r="AM3253" s="4" t="inlineStr">
        <is>
          <t>Combustible específico en la categoría reportada CRT 1.A.3.b. BTR1 pp. 64–65 indica que la categoría incorpora navegación no desagregable; no interpretarla como medición exclusivamente vial. Aplicar a BEN-TR conserva esa cobertura reportada. Fórmula: 1000000*(H23)/(C23). SHA-256 CRT: 17f0e83d5b434cddc5e179c71e4106c1a96b35972ea36e19202a07e0219ebc6c.</t>
        </is>
      </c>
    </row>
    <row r="3254" customFormat="false" ht="57.45" hidden="false" customHeight="false" outlineLevel="0" collapsed="false">
      <c r="A3254" s="4" t="s">
        <v>4270</v>
      </c>
      <c r="B3254" s="4" t="inlineStr">
        <is>
          <t>FE_COMB|2020|1.A.3|COMB_GLP|CH4</t>
        </is>
      </c>
      <c r="C3254" s="4" t="inlineStr">
        <is>
          <t>2020|1.A.3|COMB_GLP|CH4</t>
        </is>
      </c>
      <c r="D3254" s="12" t="n">
        <v>2020</v>
      </c>
      <c r="E3254" s="12" t="n">
        <v>2020</v>
      </c>
      <c r="F3254" s="4" t="inlineStr">
        <is>
          <t>OBS</t>
        </is>
      </c>
      <c r="G3254" s="4" t="inlineStr">
        <is>
          <t>UNFCCC_GTM_CRT_2024</t>
        </is>
      </c>
      <c r="H3254" s="4" t="inlineStr">
        <is>
          <t>Guatemala. 2024 Common Reporting Table (CRT), V0.3</t>
        </is>
      </c>
      <c r="I3254" s="4" t="inlineStr">
        <is>
          <t>https://unfccc.int/documents/646206</t>
        </is>
      </c>
      <c r="J3254" s="4" t="inlineStr">
        <is>
          <t>CRT1A|2020|1.A.3|COMB_GLP|CH4|FILAS:23</t>
        </is>
      </c>
      <c r="K3254" s="4" t="inlineStr">
        <is>
          <t>GLP</t>
        </is>
      </c>
      <c r="L3254" s="4" t="inlineStr">
        <is>
          <t>Gas licuado de petróleo (GLP)</t>
        </is>
      </c>
      <c r="M3254" s="4"/>
      <c r="N3254" s="4"/>
      <c r="O3254" s="4"/>
      <c r="P3254" s="4"/>
      <c r="Q3254" s="4" t="inlineStr">
        <is>
          <t>CRT_ANUAL_COMBUSTIBLE_ESPECIFICO</t>
        </is>
      </c>
      <c r="R3254" s="4"/>
      <c r="S3254" s="4"/>
      <c r="T3254" s="4"/>
      <c r="U3254" s="4">
        <v>194.804226</v>
      </c>
      <c r="V3254" s="4"/>
      <c r="W3254" s="4" t="inlineStr">
        <is>
          <t>1.A.3</t>
        </is>
      </c>
      <c r="X3254" s="4" t="inlineStr">
        <is>
          <t>Transporte</t>
        </is>
      </c>
      <c r="Y3254" s="4" t="inlineStr">
        <is>
          <t>COMB_GLP</t>
        </is>
      </c>
      <c r="Z3254" s="4" t="s">
        <v>4018</v>
      </c>
      <c r="AA3254" s="13">
        <v>61.999989671681966</v>
      </c>
      <c r="AB3254" s="4" t="s">
        <v>4281</v>
      </c>
      <c r="AC3254" s="4"/>
      <c r="AD3254" s="4">
        <v>0.01207786</v>
      </c>
      <c r="AE3254" s="4"/>
      <c r="AF3254" s="4"/>
      <c r="AG3254" s="4"/>
      <c r="AH3254" s="4"/>
      <c r="AI3254" s="4"/>
      <c r="AJ3254" s="4"/>
      <c r="AK3254" s="4"/>
      <c r="AL3254" s="4" t="inlineStr">
        <is>
          <t>GTM-CRT-2024-V0.3-2020-20250304-084824_started.xlsx; Table1.A(a)s3; AD=C23; EM=I23; IEF=F23</t>
        </is>
      </c>
      <c r="AM3254" s="4" t="inlineStr">
        <is>
          <t>Combustible específico en la categoría reportada CRT 1.A.3.b. BTR1 pp. 64–65 indica que la categoría incorpora navegación no desagregable; no interpretarla como medición exclusivamente vial. Aplicar a BEN-TR conserva esa cobertura reportada. Fórmula: 1000000*(I23)/(C23). SHA-256 CRT: 17f0e83d5b434cddc5e179c71e4106c1a96b35972ea36e19202a07e0219ebc6c.</t>
        </is>
      </c>
    </row>
    <row r="3255" customFormat="false" ht="57.45" hidden="false" customHeight="false" outlineLevel="0" collapsed="false">
      <c r="A3255" s="4" t="s">
        <v>4270</v>
      </c>
      <c r="B3255" s="4" t="inlineStr">
        <is>
          <t>FE_COMB|2020|1.A.3|COMB_GLP|N2O</t>
        </is>
      </c>
      <c r="C3255" s="4" t="inlineStr">
        <is>
          <t>2020|1.A.3|COMB_GLP|N2O</t>
        </is>
      </c>
      <c r="D3255" s="12" t="n">
        <v>2020</v>
      </c>
      <c r="E3255" s="12" t="n">
        <v>2020</v>
      </c>
      <c r="F3255" s="4" t="inlineStr">
        <is>
          <t>OBS</t>
        </is>
      </c>
      <c r="G3255" s="4" t="inlineStr">
        <is>
          <t>UNFCCC_GTM_CRT_2024</t>
        </is>
      </c>
      <c r="H3255" s="4" t="inlineStr">
        <is>
          <t>Guatemala. 2024 Common Reporting Table (CRT), V0.3</t>
        </is>
      </c>
      <c r="I3255" s="4" t="inlineStr">
        <is>
          <t>https://unfccc.int/documents/646206</t>
        </is>
      </c>
      <c r="J3255" s="4" t="inlineStr">
        <is>
          <t>CRT1A|2020|1.A.3|COMB_GLP|N2O|FILAS:23</t>
        </is>
      </c>
      <c r="K3255" s="4" t="inlineStr">
        <is>
          <t>GLP</t>
        </is>
      </c>
      <c r="L3255" s="4" t="inlineStr">
        <is>
          <t>Gas licuado de petróleo (GLP)</t>
        </is>
      </c>
      <c r="M3255" s="4"/>
      <c r="N3255" s="4"/>
      <c r="O3255" s="4"/>
      <c r="P3255" s="4"/>
      <c r="Q3255" s="4" t="inlineStr">
        <is>
          <t>CRT_ANUAL_COMBUSTIBLE_ESPECIFICO</t>
        </is>
      </c>
      <c r="R3255" s="4"/>
      <c r="S3255" s="4"/>
      <c r="T3255" s="4"/>
      <c r="U3255" s="4">
        <v>194.804226</v>
      </c>
      <c r="V3255" s="4"/>
      <c r="W3255" s="4" t="inlineStr">
        <is>
          <t>1.A.3</t>
        </is>
      </c>
      <c r="X3255" s="4" t="inlineStr">
        <is>
          <t>Transporte</t>
        </is>
      </c>
      <c r="Y3255" s="4" t="inlineStr">
        <is>
          <t>COMB_GLP</t>
        </is>
      </c>
      <c r="Z3255" s="4" t="s">
        <v>4048</v>
      </c>
      <c r="AA3255" s="13">
        <v>0.20000079464395193</v>
      </c>
      <c r="AB3255" s="4" t="s">
        <v>4287</v>
      </c>
      <c r="AC3255" s="4"/>
      <c r="AD3255" s="4">
        <v>3.8961e-05</v>
      </c>
      <c r="AE3255" s="4"/>
      <c r="AF3255" s="4"/>
      <c r="AG3255" s="4"/>
      <c r="AH3255" s="4"/>
      <c r="AI3255" s="4"/>
      <c r="AJ3255" s="4"/>
      <c r="AK3255" s="4"/>
      <c r="AL3255" s="4" t="inlineStr">
        <is>
          <t>GTM-CRT-2024-V0.3-2020-20250304-084824_started.xlsx; Table1.A(a)s3; AD=C23; EM=J23; IEF=G23</t>
        </is>
      </c>
      <c r="AM3255" s="4" t="inlineStr">
        <is>
          <t>Combustible específico en la categoría reportada CRT 1.A.3.b. BTR1 pp. 64–65 indica que la categoría incorpora navegación no desagregable; no interpretarla como medición exclusivamente vial. Aplicar a BEN-TR conserva esa cobertura reportada. Fórmula: 1000000*(J23)/(C23). SHA-256 CRT: 17f0e83d5b434cddc5e179c71e4106c1a96b35972ea36e19202a07e0219ebc6c.</t>
        </is>
      </c>
    </row>
    <row r="3256" customFormat="false" ht="57.45" hidden="false" customHeight="false" outlineLevel="0" collapsed="false">
      <c r="A3256" s="4" t="s">
        <v>4270</v>
      </c>
      <c r="B3256" s="4" t="inlineStr">
        <is>
          <t>FE_COMB|2020|1.A.3|COMB_KER|CO2</t>
        </is>
      </c>
      <c r="C3256" s="4" t="inlineStr">
        <is>
          <t>2020|1.A.3|COMB_KER|CO2</t>
        </is>
      </c>
      <c r="D3256" s="12" t="n">
        <v>2020</v>
      </c>
      <c r="E3256" s="12">
        <v>2006.0</v>
      </c>
      <c r="F3256" s="4" t="inlineStr">
        <is>
          <t>PRX</t>
        </is>
      </c>
      <c r="G3256" s="4" t="inlineStr">
        <is>
          <t>IPCC_2006_GL</t>
        </is>
      </c>
      <c r="H3256" s="4" t="inlineStr">
        <is>
          <t>IPCC. 2006 Guidelines for National Greenhouse Gas Inventories, Volume 2: Energy</t>
        </is>
      </c>
      <c r="I3256" s="4" t="inlineStr">
        <is>
          <t>https://www.ipcc-nggip.iges.or.jp/public/2006gl/pdf/2_Volume2/V2_3_Ch3_Mobile_Combustion.pdf</t>
        </is>
      </c>
      <c r="J3256" s="4" t="inlineStr">
        <is>
          <t>IPCC2006|V2|C3|T3.6.4|JET_KEROSENE|CO2</t>
        </is>
      </c>
      <c r="K3256" s="4" t="inlineStr">
        <is>
          <t>KER</t>
        </is>
      </c>
      <c r="L3256" s="4" t="inlineStr">
        <is>
          <t>Keroseno</t>
        </is>
      </c>
      <c r="M3256" s="4"/>
      <c r="N3256" s="4"/>
      <c r="O3256" s="4"/>
      <c r="P3256" s="4"/>
      <c r="Q3256" s="4" t="inlineStr">
        <is>
          <t>FE_POR_DEFECTO_IPCC_2006</t>
        </is>
      </c>
      <c r="R3256" s="4"/>
      <c r="S3256" s="4">
        <v>71500.0</v>
      </c>
      <c r="T3256" s="4" t="inlineStr">
        <is>
          <t>kg CO2/TJ</t>
        </is>
      </c>
      <c r="U3256" s="4"/>
      <c r="V3256" s="4"/>
      <c r="W3256" s="4" t="inlineStr">
        <is>
          <t>1.A.3</t>
        </is>
      </c>
      <c r="X3256" s="4" t="inlineStr">
        <is>
          <t>Transporte</t>
        </is>
      </c>
      <c r="Y3256" s="4" t="inlineStr">
        <is>
          <t>COMB_KER</t>
        </is>
      </c>
      <c r="Z3256" s="4" t="s">
        <v>4012</v>
      </c>
      <c r="AA3256" s="13">
        <v>71500.0</v>
      </c>
      <c r="AB3256" s="4" t="s">
        <v>4275</v>
      </c>
      <c r="AC3256" s="4"/>
      <c r="AD3256" s="4"/>
      <c r="AE3256" s="4"/>
      <c r="AF3256" s="4"/>
      <c r="AG3256" s="4"/>
      <c r="AH3256" s="4"/>
      <c r="AI3256" s="4"/>
      <c r="AJ3256" s="4"/>
      <c r="AK3256" s="4"/>
      <c r="AL3256" s="4" t="inlineStr">
        <is>
          <t>Volumen 2, capítulo 3, tabla 3.6.4, p. 3.64; fila Jet Kerosene; gas CO2</t>
        </is>
      </c>
      <c r="AM3256" s="4" t="inlineStr">
        <is>
          <t>Factor por defecto de aviación aplicado como aproximación a KER-TR. BTR1 Guatemala, p. 66, sustenta el uso de queroseno de aviación. No se agrega actividad internacional de las CRT ni se altera la actividad BEN. Valor constante, no observación anual del país.</t>
        </is>
      </c>
    </row>
    <row r="3257" customFormat="false" ht="57.45" hidden="false" customHeight="false" outlineLevel="0" collapsed="false">
      <c r="A3257" s="4" t="s">
        <v>4270</v>
      </c>
      <c r="B3257" s="4" t="inlineStr">
        <is>
          <t>FE_COMB|2020|1.A.3|COMB_KER|CH4</t>
        </is>
      </c>
      <c r="C3257" s="4" t="inlineStr">
        <is>
          <t>2020|1.A.3|COMB_KER|CH4</t>
        </is>
      </c>
      <c r="D3257" s="12" t="n">
        <v>2020</v>
      </c>
      <c r="E3257" s="12">
        <v>2006.0</v>
      </c>
      <c r="F3257" s="4" t="inlineStr">
        <is>
          <t>PRX</t>
        </is>
      </c>
      <c r="G3257" s="4" t="inlineStr">
        <is>
          <t>IPCC_2006_GL</t>
        </is>
      </c>
      <c r="H3257" s="4" t="inlineStr">
        <is>
          <t>IPCC. 2006 Guidelines for National Greenhouse Gas Inventories, Volume 2: Energy</t>
        </is>
      </c>
      <c r="I3257" s="4" t="inlineStr">
        <is>
          <t>https://www.ipcc-nggip.iges.or.jp/public/2006gl/pdf/2_Volume2/V2_3_Ch3_Mobile_Combustion.pdf</t>
        </is>
      </c>
      <c r="J3257" s="4" t="inlineStr">
        <is>
          <t>IPCC2006|V2|C3|T3.6.5|JET_KEROSENE|CH4</t>
        </is>
      </c>
      <c r="K3257" s="4" t="inlineStr">
        <is>
          <t>KER</t>
        </is>
      </c>
      <c r="L3257" s="4" t="inlineStr">
        <is>
          <t>Keroseno</t>
        </is>
      </c>
      <c r="M3257" s="4"/>
      <c r="N3257" s="4"/>
      <c r="O3257" s="4"/>
      <c r="P3257" s="4"/>
      <c r="Q3257" s="4" t="inlineStr">
        <is>
          <t>FE_POR_DEFECTO_IPCC_2006</t>
        </is>
      </c>
      <c r="R3257" s="4"/>
      <c r="S3257" s="4">
        <v>0.5</v>
      </c>
      <c r="T3257" s="4" t="inlineStr">
        <is>
          <t>kg CH4/TJ</t>
        </is>
      </c>
      <c r="U3257" s="4"/>
      <c r="V3257" s="4"/>
      <c r="W3257" s="4" t="inlineStr">
        <is>
          <t>1.A.3</t>
        </is>
      </c>
      <c r="X3257" s="4" t="inlineStr">
        <is>
          <t>Transporte</t>
        </is>
      </c>
      <c r="Y3257" s="4" t="inlineStr">
        <is>
          <t>COMB_KER</t>
        </is>
      </c>
      <c r="Z3257" s="4" t="s">
        <v>4018</v>
      </c>
      <c r="AA3257" s="13">
        <v>0.5</v>
      </c>
      <c r="AB3257" s="4" t="s">
        <v>4281</v>
      </c>
      <c r="AC3257" s="4"/>
      <c r="AD3257" s="4"/>
      <c r="AE3257" s="4"/>
      <c r="AF3257" s="4"/>
      <c r="AG3257" s="4"/>
      <c r="AH3257" s="4"/>
      <c r="AI3257" s="4"/>
      <c r="AJ3257" s="4"/>
      <c r="AK3257" s="4"/>
      <c r="AL3257" s="4" t="inlineStr">
        <is>
          <t>Volumen 2, capítulo 3, tabla 3.6.5, p. 3.64; fila All fuels; gas CH4</t>
        </is>
      </c>
      <c r="AM3257" s="4" t="inlineStr">
        <is>
          <t>Factor por defecto de aviación aplicado como aproximación a KER-TR. BTR1 Guatemala, p. 66, sustenta el uso de queroseno de aviación. No se agrega actividad internacional de las CRT ni se altera la actividad BEN. Valor constante, no observación anual del país.</t>
        </is>
      </c>
    </row>
    <row r="3258" customFormat="false" ht="57.45" hidden="false" customHeight="false" outlineLevel="0" collapsed="false">
      <c r="A3258" s="4" t="s">
        <v>4270</v>
      </c>
      <c r="B3258" s="4" t="inlineStr">
        <is>
          <t>FE_COMB|2020|1.A.3|COMB_KER|N2O</t>
        </is>
      </c>
      <c r="C3258" s="4" t="inlineStr">
        <is>
          <t>2020|1.A.3|COMB_KER|N2O</t>
        </is>
      </c>
      <c r="D3258" s="12" t="n">
        <v>2020</v>
      </c>
      <c r="E3258" s="12">
        <v>2006.0</v>
      </c>
      <c r="F3258" s="4" t="inlineStr">
        <is>
          <t>PRX</t>
        </is>
      </c>
      <c r="G3258" s="4" t="inlineStr">
        <is>
          <t>IPCC_2006_GL</t>
        </is>
      </c>
      <c r="H3258" s="4" t="inlineStr">
        <is>
          <t>IPCC. 2006 Guidelines for National Greenhouse Gas Inventories, Volume 2: Energy</t>
        </is>
      </c>
      <c r="I3258" s="4" t="inlineStr">
        <is>
          <t>https://www.ipcc-nggip.iges.or.jp/public/2006gl/pdf/2_Volume2/V2_3_Ch3_Mobile_Combustion.pdf</t>
        </is>
      </c>
      <c r="J3258" s="4" t="inlineStr">
        <is>
          <t>IPCC2006|V2|C3|T3.6.5|JET_KEROSENE|N2O</t>
        </is>
      </c>
      <c r="K3258" s="4" t="inlineStr">
        <is>
          <t>KER</t>
        </is>
      </c>
      <c r="L3258" s="4" t="inlineStr">
        <is>
          <t>Keroseno</t>
        </is>
      </c>
      <c r="M3258" s="4"/>
      <c r="N3258" s="4"/>
      <c r="O3258" s="4"/>
      <c r="P3258" s="4"/>
      <c r="Q3258" s="4" t="inlineStr">
        <is>
          <t>FE_POR_DEFECTO_IPCC_2006</t>
        </is>
      </c>
      <c r="R3258" s="4"/>
      <c r="S3258" s="4">
        <v>2.0</v>
      </c>
      <c r="T3258" s="4" t="inlineStr">
        <is>
          <t>kg N2O/TJ</t>
        </is>
      </c>
      <c r="U3258" s="4"/>
      <c r="V3258" s="4"/>
      <c r="W3258" s="4" t="inlineStr">
        <is>
          <t>1.A.3</t>
        </is>
      </c>
      <c r="X3258" s="4" t="inlineStr">
        <is>
          <t>Transporte</t>
        </is>
      </c>
      <c r="Y3258" s="4" t="inlineStr">
        <is>
          <t>COMB_KER</t>
        </is>
      </c>
      <c r="Z3258" s="4" t="s">
        <v>4048</v>
      </c>
      <c r="AA3258" s="13">
        <v>2.0</v>
      </c>
      <c r="AB3258" s="4" t="s">
        <v>4287</v>
      </c>
      <c r="AC3258" s="4"/>
      <c r="AD3258" s="4"/>
      <c r="AE3258" s="4"/>
      <c r="AF3258" s="4"/>
      <c r="AG3258" s="4"/>
      <c r="AH3258" s="4"/>
      <c r="AI3258" s="4"/>
      <c r="AJ3258" s="4"/>
      <c r="AK3258" s="4"/>
      <c r="AL3258" s="4" t="inlineStr">
        <is>
          <t>Volumen 2, capítulo 3, tabla 3.6.5, p. 3.64; fila All fuels; gas N2O</t>
        </is>
      </c>
      <c r="AM3258" s="4" t="inlineStr">
        <is>
          <t>Factor por defecto de aviación aplicado como aproximación a KER-TR. BTR1 Guatemala, p. 66, sustenta el uso de queroseno de aviación. No se agrega actividad internacional de las CRT ni se altera la actividad BEN. Valor constante, no observación anual del país.</t>
        </is>
      </c>
    </row>
    <row r="3259" customFormat="false" ht="46.25" hidden="false" customHeight="false" outlineLevel="0" collapsed="false">
      <c r="A3259" s="4" t="s">
        <v>4270</v>
      </c>
      <c r="B3259" s="4" t="inlineStr">
        <is>
          <t>FE_COMB|2020|1.A.4.a|COMB_GAS|CO2</t>
        </is>
      </c>
      <c r="C3259" s="4" t="inlineStr">
        <is>
          <t>2020|1.A.4.a|COMB_GAS|CO2</t>
        </is>
      </c>
      <c r="D3259" s="12" t="n">
        <v>2020</v>
      </c>
      <c r="E3259" s="12">
        <v>2024.0</v>
      </c>
      <c r="F3259" s="4" t="inlineStr">
        <is>
          <t>PRX</t>
        </is>
      </c>
      <c r="G3259" s="4" t="inlineStr">
        <is>
          <t>MARN_GTM_BTR1_2024</t>
        </is>
      </c>
      <c r="H3259" s="4" t="inlineStr">
        <is>
          <t>Guatemala. Primer Informe Bienal de Transparencia (BTR1), 2024</t>
        </is>
      </c>
      <c r="I3259" s="4" t="inlineStr">
        <is>
          <t>https://unfccc.int/documents/646195</t>
        </is>
      </c>
      <c r="J3259" s="4" t="inlineStr">
        <is>
          <t>BTR1|2024|T3.6|GAS|CO2</t>
        </is>
      </c>
      <c r="K3259" s="4" t="inlineStr">
        <is>
          <t>GAS</t>
        </is>
      </c>
      <c r="L3259" s="4" t="inlineStr">
        <is>
          <t>Gasolinas</t>
        </is>
      </c>
      <c r="M3259" s="4"/>
      <c r="N3259" s="4"/>
      <c r="O3259" s="4"/>
      <c r="P3259" s="4"/>
      <c r="Q3259" s="4" t="inlineStr">
        <is>
          <t>FE_POR_COMBUSTIBLE_BTR1</t>
        </is>
      </c>
      <c r="R3259" s="4"/>
      <c r="S3259" s="4">
        <v>69300.0</v>
      </c>
      <c r="T3259" s="4" t="inlineStr">
        <is>
          <t>kg CO2/TJ</t>
        </is>
      </c>
      <c r="U3259" s="4"/>
      <c r="V3259" s="4"/>
      <c r="W3259" s="4" t="inlineStr">
        <is>
          <t>1.A.4.a</t>
        </is>
      </c>
      <c r="X3259" s="4" t="inlineStr">
        <is>
          <t>Comercial e institucional</t>
        </is>
      </c>
      <c r="Y3259" s="4" t="inlineStr">
        <is>
          <t>COMB_GAS</t>
        </is>
      </c>
      <c r="Z3259" s="4" t="s">
        <v>4012</v>
      </c>
      <c r="AA3259" s="4">
        <v>69300.0</v>
      </c>
      <c r="AB3259" s="4" t="s">
        <v>4275</v>
      </c>
      <c r="AC3259" s="4"/>
      <c r="AD3259" s="4"/>
      <c r="AE3259" s="4"/>
      <c r="AF3259" s="4"/>
      <c r="AG3259" s="4"/>
      <c r="AH3259" s="4"/>
      <c r="AI3259" s="4"/>
      <c r="AJ3259" s="4"/>
      <c r="AK3259" s="4"/>
      <c r="AL3259" s="4" t="inlineStr">
        <is>
          <t>BTR1 Guatemala 2024, tabla 3.6, p. 48; fila Gasolina para motores; gas CO2</t>
        </is>
      </c>
      <c r="AM3259" s="4" t="inlineStr">
        <is>
          <t>Factor por combustible documentado en el BTR1, con origen metodológico IPCC. Se aplica como parámetro constante aproximado a 2018–2024; el año de la clave permite unirlo a la actividad, no representa una nueva observación anual.</t>
        </is>
      </c>
    </row>
    <row r="3260" customFormat="false" ht="46.25" hidden="false" customHeight="false" outlineLevel="0" collapsed="false">
      <c r="A3260" s="4" t="s">
        <v>4270</v>
      </c>
      <c r="B3260" s="4" t="inlineStr">
        <is>
          <t>FE_COMB|2020|1.A.4.a|COMB_GAS|CH4</t>
        </is>
      </c>
      <c r="C3260" s="4" t="inlineStr">
        <is>
          <t>2020|1.A.4.a|COMB_GAS|CH4</t>
        </is>
      </c>
      <c r="D3260" s="12" t="n">
        <v>2020</v>
      </c>
      <c r="E3260" s="12">
        <v>2024.0</v>
      </c>
      <c r="F3260" s="4" t="inlineStr">
        <is>
          <t>PRX</t>
        </is>
      </c>
      <c r="G3260" s="4" t="inlineStr">
        <is>
          <t>MARN_GTM_BTR1_2024</t>
        </is>
      </c>
      <c r="H3260" s="4" t="inlineStr">
        <is>
          <t>Guatemala. Primer Informe Bienal de Transparencia (BTR1), 2024</t>
        </is>
      </c>
      <c r="I3260" s="4" t="inlineStr">
        <is>
          <t>https://unfccc.int/documents/646195</t>
        </is>
      </c>
      <c r="J3260" s="4" t="inlineStr">
        <is>
          <t>BTR1|2024|T3.33|GAS|CH4</t>
        </is>
      </c>
      <c r="K3260" s="4" t="inlineStr">
        <is>
          <t>GAS</t>
        </is>
      </c>
      <c r="L3260" s="4" t="inlineStr">
        <is>
          <t>Gasolinas</t>
        </is>
      </c>
      <c r="M3260" s="4"/>
      <c r="N3260" s="4"/>
      <c r="O3260" s="4"/>
      <c r="P3260" s="4"/>
      <c r="Q3260" s="4" t="inlineStr">
        <is>
          <t>FE_POR_COMBUSTIBLE_BTR1</t>
        </is>
      </c>
      <c r="R3260" s="4"/>
      <c r="S3260" s="4">
        <v>10.0</v>
      </c>
      <c r="T3260" s="4" t="inlineStr">
        <is>
          <t>kg CH4/TJ</t>
        </is>
      </c>
      <c r="U3260" s="4"/>
      <c r="V3260" s="4"/>
      <c r="W3260" s="4" t="inlineStr">
        <is>
          <t>1.A.4.a</t>
        </is>
      </c>
      <c r="X3260" s="4" t="inlineStr">
        <is>
          <t>Comercial e institucional</t>
        </is>
      </c>
      <c r="Y3260" s="4" t="inlineStr">
        <is>
          <t>COMB_GAS</t>
        </is>
      </c>
      <c r="Z3260" s="4" t="s">
        <v>4018</v>
      </c>
      <c r="AA3260" s="4">
        <v>10.0</v>
      </c>
      <c r="AB3260" s="4" t="s">
        <v>4281</v>
      </c>
      <c r="AC3260" s="4"/>
      <c r="AD3260" s="4"/>
      <c r="AE3260" s="4"/>
      <c r="AF3260" s="4"/>
      <c r="AG3260" s="4"/>
      <c r="AH3260" s="4"/>
      <c r="AI3260" s="4"/>
      <c r="AJ3260" s="4"/>
      <c r="AK3260" s="4"/>
      <c r="AL3260" s="4" t="inlineStr">
        <is>
          <t>BTR1 Guatemala 2024, tabla 3.33, p. 70; fila Gasolina para motores; gas CH4</t>
        </is>
      </c>
      <c r="AM3260" s="4" t="inlineStr">
        <is>
          <t>Factor por combustible documentado en el BTR1, con origen metodológico IPCC. Se aplica como parámetro constante aproximado a 2018–2024; el año de la clave permite unirlo a la actividad, no representa una nueva observación anual.</t>
        </is>
      </c>
    </row>
    <row r="3261" customFormat="false" ht="46.25" hidden="false" customHeight="false" outlineLevel="0" collapsed="false">
      <c r="A3261" s="4" t="s">
        <v>4270</v>
      </c>
      <c r="B3261" s="4" t="inlineStr">
        <is>
          <t>FE_COMB|2020|1.A.4.a|COMB_GAS|N2O</t>
        </is>
      </c>
      <c r="C3261" s="4" t="inlineStr">
        <is>
          <t>2020|1.A.4.a|COMB_GAS|N2O</t>
        </is>
      </c>
      <c r="D3261" s="12" t="n">
        <v>2020</v>
      </c>
      <c r="E3261" s="12">
        <v>2024.0</v>
      </c>
      <c r="F3261" s="4" t="inlineStr">
        <is>
          <t>PRX</t>
        </is>
      </c>
      <c r="G3261" s="4" t="inlineStr">
        <is>
          <t>MARN_GTM_BTR1_2024</t>
        </is>
      </c>
      <c r="H3261" s="4" t="inlineStr">
        <is>
          <t>Guatemala. Primer Informe Bienal de Transparencia (BTR1), 2024</t>
        </is>
      </c>
      <c r="I3261" s="4" t="inlineStr">
        <is>
          <t>https://unfccc.int/documents/646195</t>
        </is>
      </c>
      <c r="J3261" s="4" t="inlineStr">
        <is>
          <t>BTR1|2024|T3.33|GAS|N2O</t>
        </is>
      </c>
      <c r="K3261" s="4" t="inlineStr">
        <is>
          <t>GAS</t>
        </is>
      </c>
      <c r="L3261" s="4" t="inlineStr">
        <is>
          <t>Gasolinas</t>
        </is>
      </c>
      <c r="M3261" s="4"/>
      <c r="N3261" s="4"/>
      <c r="O3261" s="4"/>
      <c r="P3261" s="4"/>
      <c r="Q3261" s="4" t="inlineStr">
        <is>
          <t>FE_POR_COMBUSTIBLE_BTR1</t>
        </is>
      </c>
      <c r="R3261" s="4"/>
      <c r="S3261" s="4">
        <v>0.6</v>
      </c>
      <c r="T3261" s="4" t="inlineStr">
        <is>
          <t>kg N2O/TJ</t>
        </is>
      </c>
      <c r="U3261" s="4"/>
      <c r="V3261" s="4"/>
      <c r="W3261" s="4" t="inlineStr">
        <is>
          <t>1.A.4.a</t>
        </is>
      </c>
      <c r="X3261" s="4" t="inlineStr">
        <is>
          <t>Comercial e institucional</t>
        </is>
      </c>
      <c r="Y3261" s="4" t="inlineStr">
        <is>
          <t>COMB_GAS</t>
        </is>
      </c>
      <c r="Z3261" s="4" t="s">
        <v>4048</v>
      </c>
      <c r="AA3261" s="4">
        <v>0.6</v>
      </c>
      <c r="AB3261" s="4" t="s">
        <v>4287</v>
      </c>
      <c r="AC3261" s="4"/>
      <c r="AD3261" s="4"/>
      <c r="AE3261" s="4"/>
      <c r="AF3261" s="4"/>
      <c r="AG3261" s="4"/>
      <c r="AH3261" s="4"/>
      <c r="AI3261" s="4"/>
      <c r="AJ3261" s="4"/>
      <c r="AK3261" s="4"/>
      <c r="AL3261" s="4" t="inlineStr">
        <is>
          <t>BTR1 Guatemala 2024, tabla 3.33, p. 70; fila Gasolina para motores; gas N2O</t>
        </is>
      </c>
      <c r="AM3261" s="4" t="inlineStr">
        <is>
          <t>Factor por combustible documentado en el BTR1, con origen metodológico IPCC. Se aplica como parámetro constante aproximado a 2018–2024; el año de la clave permite unirlo a la actividad, no representa una nueva observación anual.</t>
        </is>
      </c>
    </row>
    <row r="3262" customFormat="false" ht="46.25" hidden="false" customHeight="false" outlineLevel="0" collapsed="false">
      <c r="A3262" s="4" t="s">
        <v>4270</v>
      </c>
      <c r="B3262" s="4" t="inlineStr">
        <is>
          <t>FE_COMB|2020|1.A.4.a|COMB_GLP|CO2</t>
        </is>
      </c>
      <c r="C3262" s="4" t="inlineStr">
        <is>
          <t>2020|1.A.4.a|COMB_GLP|CO2</t>
        </is>
      </c>
      <c r="D3262" s="12" t="n">
        <v>2020</v>
      </c>
      <c r="E3262" s="12">
        <v>2024.0</v>
      </c>
      <c r="F3262" s="4" t="inlineStr">
        <is>
          <t>PRX</t>
        </is>
      </c>
      <c r="G3262" s="4" t="inlineStr">
        <is>
          <t>MARN_GTM_BTR1_2024</t>
        </is>
      </c>
      <c r="H3262" s="4" t="inlineStr">
        <is>
          <t>Guatemala. Primer Informe Bienal de Transparencia (BTR1), 2024</t>
        </is>
      </c>
      <c r="I3262" s="4" t="inlineStr">
        <is>
          <t>https://unfccc.int/documents/646195</t>
        </is>
      </c>
      <c r="J3262" s="4" t="inlineStr">
        <is>
          <t>BTR1|2024|T3.6|GLP|CO2</t>
        </is>
      </c>
      <c r="K3262" s="4" t="inlineStr">
        <is>
          <t>GLP</t>
        </is>
      </c>
      <c r="L3262" s="4" t="inlineStr">
        <is>
          <t>Gas licuado de petróleo (GLP)</t>
        </is>
      </c>
      <c r="M3262" s="4"/>
      <c r="N3262" s="4"/>
      <c r="O3262" s="4"/>
      <c r="P3262" s="4"/>
      <c r="Q3262" s="4" t="inlineStr">
        <is>
          <t>FE_POR_COMBUSTIBLE_BTR1</t>
        </is>
      </c>
      <c r="R3262" s="4"/>
      <c r="S3262" s="4">
        <v>63100.0</v>
      </c>
      <c r="T3262" s="4" t="inlineStr">
        <is>
          <t>kg CO2/TJ</t>
        </is>
      </c>
      <c r="U3262" s="4"/>
      <c r="V3262" s="4"/>
      <c r="W3262" s="4" t="inlineStr">
        <is>
          <t>1.A.4.a</t>
        </is>
      </c>
      <c r="X3262" s="4" t="inlineStr">
        <is>
          <t>Comercial e institucional</t>
        </is>
      </c>
      <c r="Y3262" s="4" t="inlineStr">
        <is>
          <t>COMB_GLP</t>
        </is>
      </c>
      <c r="Z3262" s="4" t="s">
        <v>4012</v>
      </c>
      <c r="AA3262" s="4">
        <v>63100.0</v>
      </c>
      <c r="AB3262" s="4" t="s">
        <v>4275</v>
      </c>
      <c r="AC3262" s="4"/>
      <c r="AD3262" s="4"/>
      <c r="AE3262" s="4"/>
      <c r="AF3262" s="4"/>
      <c r="AG3262" s="4"/>
      <c r="AH3262" s="4"/>
      <c r="AI3262" s="4"/>
      <c r="AJ3262" s="4"/>
      <c r="AK3262" s="4"/>
      <c r="AL3262" s="4" t="inlineStr">
        <is>
          <t>BTR1 Guatemala 2024, tabla 3.6, p. 48; fila Gases licuados de petróleo; gas CO2</t>
        </is>
      </c>
      <c r="AM3262" s="4" t="inlineStr">
        <is>
          <t>Factor por combustible documentado en el BTR1, con origen metodológico IPCC. Se aplica como parámetro constante aproximado a 2018–2024; el año de la clave permite unirlo a la actividad, no representa una nueva observación anual.</t>
        </is>
      </c>
    </row>
    <row r="3263" customFormat="false" ht="46.25" hidden="false" customHeight="false" outlineLevel="0" collapsed="false">
      <c r="A3263" s="4" t="s">
        <v>4270</v>
      </c>
      <c r="B3263" s="4" t="inlineStr">
        <is>
          <t>FE_COMB|2020|1.A.4.a|COMB_GLP|CH4</t>
        </is>
      </c>
      <c r="C3263" s="4" t="inlineStr">
        <is>
          <t>2020|1.A.4.a|COMB_GLP|CH4</t>
        </is>
      </c>
      <c r="D3263" s="12" t="n">
        <v>2020</v>
      </c>
      <c r="E3263" s="12">
        <v>2024.0</v>
      </c>
      <c r="F3263" s="4" t="inlineStr">
        <is>
          <t>PRX</t>
        </is>
      </c>
      <c r="G3263" s="4" t="inlineStr">
        <is>
          <t>MARN_GTM_BTR1_2024</t>
        </is>
      </c>
      <c r="H3263" s="4" t="inlineStr">
        <is>
          <t>Guatemala. Primer Informe Bienal de Transparencia (BTR1), 2024</t>
        </is>
      </c>
      <c r="I3263" s="4" t="inlineStr">
        <is>
          <t>https://unfccc.int/documents/646195</t>
        </is>
      </c>
      <c r="J3263" s="4" t="inlineStr">
        <is>
          <t>BTR1|2024|T3.33|GLP|CH4</t>
        </is>
      </c>
      <c r="K3263" s="4" t="inlineStr">
        <is>
          <t>GLP</t>
        </is>
      </c>
      <c r="L3263" s="4" t="inlineStr">
        <is>
          <t>Gas licuado de petróleo (GLP)</t>
        </is>
      </c>
      <c r="M3263" s="4"/>
      <c r="N3263" s="4"/>
      <c r="O3263" s="4"/>
      <c r="P3263" s="4"/>
      <c r="Q3263" s="4" t="inlineStr">
        <is>
          <t>FE_POR_COMBUSTIBLE_BTR1</t>
        </is>
      </c>
      <c r="R3263" s="4"/>
      <c r="S3263" s="4">
        <v>5.0</v>
      </c>
      <c r="T3263" s="4" t="inlineStr">
        <is>
          <t>kg CH4/TJ</t>
        </is>
      </c>
      <c r="U3263" s="4"/>
      <c r="V3263" s="4"/>
      <c r="W3263" s="4" t="inlineStr">
        <is>
          <t>1.A.4.a</t>
        </is>
      </c>
      <c r="X3263" s="4" t="inlineStr">
        <is>
          <t>Comercial e institucional</t>
        </is>
      </c>
      <c r="Y3263" s="4" t="inlineStr">
        <is>
          <t>COMB_GLP</t>
        </is>
      </c>
      <c r="Z3263" s="4" t="s">
        <v>4018</v>
      </c>
      <c r="AA3263" s="4">
        <v>5.0</v>
      </c>
      <c r="AB3263" s="4" t="s">
        <v>4281</v>
      </c>
      <c r="AC3263" s="4"/>
      <c r="AD3263" s="4"/>
      <c r="AE3263" s="4"/>
      <c r="AF3263" s="4"/>
      <c r="AG3263" s="4"/>
      <c r="AH3263" s="4"/>
      <c r="AI3263" s="4"/>
      <c r="AJ3263" s="4"/>
      <c r="AK3263" s="4"/>
      <c r="AL3263" s="4" t="inlineStr">
        <is>
          <t>BTR1 Guatemala 2024, tabla 3.33, p. 70; fila Gases licuados de petróleo; gas CH4</t>
        </is>
      </c>
      <c r="AM3263" s="4" t="inlineStr">
        <is>
          <t>Factor por combustible documentado en el BTR1, con origen metodológico IPCC. Se aplica como parámetro constante aproximado a 2018–2024; el año de la clave permite unirlo a la actividad, no representa una nueva observación anual.</t>
        </is>
      </c>
    </row>
    <row r="3264" customFormat="false" ht="46.25" hidden="false" customHeight="false" outlineLevel="0" collapsed="false">
      <c r="A3264" s="4" t="s">
        <v>4270</v>
      </c>
      <c r="B3264" s="4" t="inlineStr">
        <is>
          <t>FE_COMB|2020|1.A.4.a|COMB_GLP|N2O</t>
        </is>
      </c>
      <c r="C3264" s="4" t="inlineStr">
        <is>
          <t>2020|1.A.4.a|COMB_GLP|N2O</t>
        </is>
      </c>
      <c r="D3264" s="12" t="n">
        <v>2020</v>
      </c>
      <c r="E3264" s="12">
        <v>2024.0</v>
      </c>
      <c r="F3264" s="4" t="inlineStr">
        <is>
          <t>PRX</t>
        </is>
      </c>
      <c r="G3264" s="4" t="inlineStr">
        <is>
          <t>MARN_GTM_BTR1_2024</t>
        </is>
      </c>
      <c r="H3264" s="4" t="inlineStr">
        <is>
          <t>Guatemala. Primer Informe Bienal de Transparencia (BTR1), 2024</t>
        </is>
      </c>
      <c r="I3264" s="4" t="inlineStr">
        <is>
          <t>https://unfccc.int/documents/646195</t>
        </is>
      </c>
      <c r="J3264" s="4" t="inlineStr">
        <is>
          <t>BTR1|2024|T3.33|GLP|N2O</t>
        </is>
      </c>
      <c r="K3264" s="4" t="inlineStr">
        <is>
          <t>GLP</t>
        </is>
      </c>
      <c r="L3264" s="4" t="inlineStr">
        <is>
          <t>Gas licuado de petróleo (GLP)</t>
        </is>
      </c>
      <c r="M3264" s="4"/>
      <c r="N3264" s="4"/>
      <c r="O3264" s="4"/>
      <c r="P3264" s="4"/>
      <c r="Q3264" s="4" t="inlineStr">
        <is>
          <t>FE_POR_COMBUSTIBLE_BTR1</t>
        </is>
      </c>
      <c r="R3264" s="4"/>
      <c r="S3264" s="4">
        <v>0.1</v>
      </c>
      <c r="T3264" s="4" t="inlineStr">
        <is>
          <t>kg N2O/TJ</t>
        </is>
      </c>
      <c r="U3264" s="4"/>
      <c r="V3264" s="4"/>
      <c r="W3264" s="4" t="inlineStr">
        <is>
          <t>1.A.4.a</t>
        </is>
      </c>
      <c r="X3264" s="4" t="inlineStr">
        <is>
          <t>Comercial e institucional</t>
        </is>
      </c>
      <c r="Y3264" s="4" t="inlineStr">
        <is>
          <t>COMB_GLP</t>
        </is>
      </c>
      <c r="Z3264" s="4" t="s">
        <v>4048</v>
      </c>
      <c r="AA3264" s="4">
        <v>0.1</v>
      </c>
      <c r="AB3264" s="4" t="s">
        <v>4287</v>
      </c>
      <c r="AC3264" s="4"/>
      <c r="AD3264" s="4"/>
      <c r="AE3264" s="4"/>
      <c r="AF3264" s="4"/>
      <c r="AG3264" s="4"/>
      <c r="AH3264" s="4"/>
      <c r="AI3264" s="4"/>
      <c r="AJ3264" s="4"/>
      <c r="AK3264" s="4"/>
      <c r="AL3264" s="4" t="inlineStr">
        <is>
          <t>BTR1 Guatemala 2024, tabla 3.33, p. 70; fila Gases licuados de petróleo; gas N2O</t>
        </is>
      </c>
      <c r="AM3264" s="4" t="inlineStr">
        <is>
          <t>Factor por combustible documentado en el BTR1, con origen metodológico IPCC. Se aplica como parámetro constante aproximado a 2018–2024; el año de la clave permite unirlo a la actividad, no representa una nueva observación anual.</t>
        </is>
      </c>
    </row>
    <row r="3265" customFormat="false" ht="46.25" hidden="false" customHeight="false" outlineLevel="0" collapsed="false">
      <c r="A3265" s="4" t="s">
        <v>4270</v>
      </c>
      <c r="B3265" s="4" t="inlineStr">
        <is>
          <t>FE_COMB|2020|1.A.4.a|COMB_KER|CO2</t>
        </is>
      </c>
      <c r="C3265" s="4" t="inlineStr">
        <is>
          <t>2020|1.A.4.a|COMB_KER|CO2</t>
        </is>
      </c>
      <c r="D3265" s="12" t="n">
        <v>2020</v>
      </c>
      <c r="E3265" s="12">
        <v>2024.0</v>
      </c>
      <c r="F3265" s="4" t="inlineStr">
        <is>
          <t>PRX</t>
        </is>
      </c>
      <c r="G3265" s="4" t="inlineStr">
        <is>
          <t>MARN_GTM_BTR1_2024</t>
        </is>
      </c>
      <c r="H3265" s="4" t="inlineStr">
        <is>
          <t>Guatemala. Primer Informe Bienal de Transparencia (BTR1), 2024</t>
        </is>
      </c>
      <c r="I3265" s="4" t="inlineStr">
        <is>
          <t>https://unfccc.int/documents/646195</t>
        </is>
      </c>
      <c r="J3265" s="4" t="inlineStr">
        <is>
          <t>BTR1|2024|T3.6|KER|CO2</t>
        </is>
      </c>
      <c r="K3265" s="4" t="inlineStr">
        <is>
          <t>KER</t>
        </is>
      </c>
      <c r="L3265" s="4" t="inlineStr">
        <is>
          <t>Keroseno</t>
        </is>
      </c>
      <c r="M3265" s="4"/>
      <c r="N3265" s="4"/>
      <c r="O3265" s="4"/>
      <c r="P3265" s="4"/>
      <c r="Q3265" s="4" t="inlineStr">
        <is>
          <t>FE_POR_COMBUSTIBLE_BTR1</t>
        </is>
      </c>
      <c r="R3265" s="4"/>
      <c r="S3265" s="4">
        <v>71900.0</v>
      </c>
      <c r="T3265" s="4" t="inlineStr">
        <is>
          <t>kg CO2/TJ</t>
        </is>
      </c>
      <c r="U3265" s="4"/>
      <c r="V3265" s="4"/>
      <c r="W3265" s="4" t="inlineStr">
        <is>
          <t>1.A.4.a</t>
        </is>
      </c>
      <c r="X3265" s="4" t="inlineStr">
        <is>
          <t>Comercial e institucional</t>
        </is>
      </c>
      <c r="Y3265" s="4" t="inlineStr">
        <is>
          <t>COMB_KER</t>
        </is>
      </c>
      <c r="Z3265" s="4" t="s">
        <v>4012</v>
      </c>
      <c r="AA3265" s="4">
        <v>71900.0</v>
      </c>
      <c r="AB3265" s="4" t="s">
        <v>4275</v>
      </c>
      <c r="AC3265" s="4"/>
      <c r="AD3265" s="4"/>
      <c r="AE3265" s="4"/>
      <c r="AF3265" s="4"/>
      <c r="AG3265" s="4"/>
      <c r="AH3265" s="4"/>
      <c r="AI3265" s="4"/>
      <c r="AJ3265" s="4"/>
      <c r="AK3265" s="4"/>
      <c r="AL3265" s="4" t="inlineStr">
        <is>
          <t>BTR1 Guatemala 2024, tabla 3.6, p. 48; fila Otro queroseno; gas CO2</t>
        </is>
      </c>
      <c r="AM3265" s="4" t="inlineStr">
        <is>
          <t>Factor por combustible documentado en el BTR1, con origen metodológico IPCC. Se aplica como parámetro constante aproximado a 2018–2024; el año de la clave permite unirlo a la actividad, no representa una nueva observación anual.</t>
        </is>
      </c>
    </row>
    <row r="3266" customFormat="false" ht="46.25" hidden="false" customHeight="false" outlineLevel="0" collapsed="false">
      <c r="A3266" s="4" t="s">
        <v>4270</v>
      </c>
      <c r="B3266" s="4" t="inlineStr">
        <is>
          <t>FE_COMB|2020|1.A.4.a|COMB_KER|CH4</t>
        </is>
      </c>
      <c r="C3266" s="4" t="inlineStr">
        <is>
          <t>2020|1.A.4.a|COMB_KER|CH4</t>
        </is>
      </c>
      <c r="D3266" s="12" t="n">
        <v>2020</v>
      </c>
      <c r="E3266" s="12">
        <v>2024.0</v>
      </c>
      <c r="F3266" s="4" t="inlineStr">
        <is>
          <t>PRX</t>
        </is>
      </c>
      <c r="G3266" s="4" t="inlineStr">
        <is>
          <t>MARN_GTM_BTR1_2024</t>
        </is>
      </c>
      <c r="H3266" s="4" t="inlineStr">
        <is>
          <t>Guatemala. Primer Informe Bienal de Transparencia (BTR1), 2024</t>
        </is>
      </c>
      <c r="I3266" s="4" t="inlineStr">
        <is>
          <t>https://unfccc.int/documents/646195</t>
        </is>
      </c>
      <c r="J3266" s="4" t="inlineStr">
        <is>
          <t>BTR1|2024|T3.33|KER|CH4</t>
        </is>
      </c>
      <c r="K3266" s="4" t="inlineStr">
        <is>
          <t>KER</t>
        </is>
      </c>
      <c r="L3266" s="4" t="inlineStr">
        <is>
          <t>Keroseno</t>
        </is>
      </c>
      <c r="M3266" s="4"/>
      <c r="N3266" s="4"/>
      <c r="O3266" s="4"/>
      <c r="P3266" s="4"/>
      <c r="Q3266" s="4" t="inlineStr">
        <is>
          <t>FE_POR_COMBUSTIBLE_BTR1</t>
        </is>
      </c>
      <c r="R3266" s="4"/>
      <c r="S3266" s="4">
        <v>10.0</v>
      </c>
      <c r="T3266" s="4" t="inlineStr">
        <is>
          <t>kg CH4/TJ</t>
        </is>
      </c>
      <c r="U3266" s="4"/>
      <c r="V3266" s="4"/>
      <c r="W3266" s="4" t="inlineStr">
        <is>
          <t>1.A.4.a</t>
        </is>
      </c>
      <c r="X3266" s="4" t="inlineStr">
        <is>
          <t>Comercial e institucional</t>
        </is>
      </c>
      <c r="Y3266" s="4" t="inlineStr">
        <is>
          <t>COMB_KER</t>
        </is>
      </c>
      <c r="Z3266" s="4" t="s">
        <v>4018</v>
      </c>
      <c r="AA3266" s="4">
        <v>10.0</v>
      </c>
      <c r="AB3266" s="4" t="s">
        <v>4281</v>
      </c>
      <c r="AC3266" s="4"/>
      <c r="AD3266" s="4"/>
      <c r="AE3266" s="4"/>
      <c r="AF3266" s="4"/>
      <c r="AG3266" s="4"/>
      <c r="AH3266" s="4"/>
      <c r="AI3266" s="4"/>
      <c r="AJ3266" s="4"/>
      <c r="AK3266" s="4"/>
      <c r="AL3266" s="4" t="inlineStr">
        <is>
          <t>BTR1 Guatemala 2024, tabla 3.33, p. 70; fila Otro queroseno; gas CH4</t>
        </is>
      </c>
      <c r="AM3266" s="4" t="inlineStr">
        <is>
          <t>Factor por combustible documentado en el BTR1, con origen metodológico IPCC. Se aplica como parámetro constante aproximado a 2018–2024; el año de la clave permite unirlo a la actividad, no representa una nueva observación anual.</t>
        </is>
      </c>
    </row>
    <row r="3267" customFormat="false" ht="46.25" hidden="false" customHeight="false" outlineLevel="0" collapsed="false">
      <c r="A3267" s="4" t="s">
        <v>4270</v>
      </c>
      <c r="B3267" s="4" t="inlineStr">
        <is>
          <t>FE_COMB|2020|1.A.4.a|COMB_KER|N2O</t>
        </is>
      </c>
      <c r="C3267" s="4" t="inlineStr">
        <is>
          <t>2020|1.A.4.a|COMB_KER|N2O</t>
        </is>
      </c>
      <c r="D3267" s="12" t="n">
        <v>2020</v>
      </c>
      <c r="E3267" s="12">
        <v>2024.0</v>
      </c>
      <c r="F3267" s="4" t="inlineStr">
        <is>
          <t>PRX</t>
        </is>
      </c>
      <c r="G3267" s="4" t="inlineStr">
        <is>
          <t>MARN_GTM_BTR1_2024</t>
        </is>
      </c>
      <c r="H3267" s="4" t="inlineStr">
        <is>
          <t>Guatemala. Primer Informe Bienal de Transparencia (BTR1), 2024</t>
        </is>
      </c>
      <c r="I3267" s="4" t="inlineStr">
        <is>
          <t>https://unfccc.int/documents/646195</t>
        </is>
      </c>
      <c r="J3267" s="4" t="inlineStr">
        <is>
          <t>BTR1|2024|T3.33|KER|N2O</t>
        </is>
      </c>
      <c r="K3267" s="4" t="inlineStr">
        <is>
          <t>KER</t>
        </is>
      </c>
      <c r="L3267" s="4" t="inlineStr">
        <is>
          <t>Keroseno</t>
        </is>
      </c>
      <c r="M3267" s="4"/>
      <c r="N3267" s="4"/>
      <c r="O3267" s="4"/>
      <c r="P3267" s="4"/>
      <c r="Q3267" s="4" t="inlineStr">
        <is>
          <t>FE_POR_COMBUSTIBLE_BTR1</t>
        </is>
      </c>
      <c r="R3267" s="4"/>
      <c r="S3267" s="4">
        <v>0.6</v>
      </c>
      <c r="T3267" s="4" t="inlineStr">
        <is>
          <t>kg N2O/TJ</t>
        </is>
      </c>
      <c r="U3267" s="4"/>
      <c r="V3267" s="4"/>
      <c r="W3267" s="4" t="inlineStr">
        <is>
          <t>1.A.4.a</t>
        </is>
      </c>
      <c r="X3267" s="4" t="inlineStr">
        <is>
          <t>Comercial e institucional</t>
        </is>
      </c>
      <c r="Y3267" s="4" t="inlineStr">
        <is>
          <t>COMB_KER</t>
        </is>
      </c>
      <c r="Z3267" s="4" t="s">
        <v>4048</v>
      </c>
      <c r="AA3267" s="4">
        <v>0.6</v>
      </c>
      <c r="AB3267" s="4" t="s">
        <v>4287</v>
      </c>
      <c r="AC3267" s="4"/>
      <c r="AD3267" s="4"/>
      <c r="AE3267" s="4"/>
      <c r="AF3267" s="4"/>
      <c r="AG3267" s="4"/>
      <c r="AH3267" s="4"/>
      <c r="AI3267" s="4"/>
      <c r="AJ3267" s="4"/>
      <c r="AK3267" s="4"/>
      <c r="AL3267" s="4" t="inlineStr">
        <is>
          <t>BTR1 Guatemala 2024, tabla 3.33, p. 70; fila Otro queroseno; gas N2O</t>
        </is>
      </c>
      <c r="AM3267" s="4" t="inlineStr">
        <is>
          <t>Factor por combustible documentado en el BTR1, con origen metodológico IPCC. Se aplica como parámetro constante aproximado a 2018–2024; el año de la clave permite unirlo a la actividad, no representa una nueva observación anual.</t>
        </is>
      </c>
    </row>
    <row r="3268" customFormat="false" ht="46.25" hidden="false" customHeight="false" outlineLevel="0" collapsed="false">
      <c r="A3268" s="4" t="s">
        <v>4270</v>
      </c>
      <c r="B3268" s="4" t="inlineStr">
        <is>
          <t>FE_COMB|2020|1.A.4.b|COMB_GLP|CO2</t>
        </is>
      </c>
      <c r="C3268" s="4" t="inlineStr">
        <is>
          <t>2020|1.A.4.b|COMB_GLP|CO2</t>
        </is>
      </c>
      <c r="D3268" s="12" t="n">
        <v>2020</v>
      </c>
      <c r="E3268" s="12">
        <v>2024.0</v>
      </c>
      <c r="F3268" s="4" t="inlineStr">
        <is>
          <t>PRX</t>
        </is>
      </c>
      <c r="G3268" s="4" t="inlineStr">
        <is>
          <t>MARN_GTM_BTR1_2024</t>
        </is>
      </c>
      <c r="H3268" s="4" t="inlineStr">
        <is>
          <t>Guatemala. Primer Informe Bienal de Transparencia (BTR1), 2024</t>
        </is>
      </c>
      <c r="I3268" s="4" t="inlineStr">
        <is>
          <t>https://unfccc.int/documents/646195</t>
        </is>
      </c>
      <c r="J3268" s="4" t="inlineStr">
        <is>
          <t>BTR1|2024|T3.6|GLP|CO2</t>
        </is>
      </c>
      <c r="K3268" s="4" t="inlineStr">
        <is>
          <t>GLP</t>
        </is>
      </c>
      <c r="L3268" s="4" t="inlineStr">
        <is>
          <t>Gas licuado de petróleo (GLP)</t>
        </is>
      </c>
      <c r="M3268" s="4"/>
      <c r="N3268" s="4"/>
      <c r="O3268" s="4"/>
      <c r="P3268" s="4"/>
      <c r="Q3268" s="4" t="inlineStr">
        <is>
          <t>FE_POR_COMBUSTIBLE_BTR1</t>
        </is>
      </c>
      <c r="R3268" s="4"/>
      <c r="S3268" s="4">
        <v>63100.0</v>
      </c>
      <c r="T3268" s="4" t="inlineStr">
        <is>
          <t>kg CO2/TJ</t>
        </is>
      </c>
      <c r="U3268" s="4"/>
      <c r="V3268" s="4"/>
      <c r="W3268" s="4" t="inlineStr">
        <is>
          <t>1.A.4.b</t>
        </is>
      </c>
      <c r="X3268" s="4" t="inlineStr">
        <is>
          <t>Residencial</t>
        </is>
      </c>
      <c r="Y3268" s="4" t="inlineStr">
        <is>
          <t>COMB_GLP</t>
        </is>
      </c>
      <c r="Z3268" s="4" t="s">
        <v>4012</v>
      </c>
      <c r="AA3268" s="4">
        <v>63100.0</v>
      </c>
      <c r="AB3268" s="4" t="s">
        <v>4275</v>
      </c>
      <c r="AC3268" s="4"/>
      <c r="AD3268" s="4"/>
      <c r="AE3268" s="4"/>
      <c r="AF3268" s="4"/>
      <c r="AG3268" s="4"/>
      <c r="AH3268" s="4"/>
      <c r="AI3268" s="4"/>
      <c r="AJ3268" s="4"/>
      <c r="AK3268" s="4"/>
      <c r="AL3268" s="4" t="inlineStr">
        <is>
          <t>BTR1 Guatemala 2024, tabla 3.6, p. 48; fila Gases licuados de petróleo; gas CO2</t>
        </is>
      </c>
      <c r="AM3268" s="4" t="inlineStr">
        <is>
          <t>Factor por combustible documentado en el BTR1, con origen metodológico IPCC. Se aplica como parámetro constante aproximado a 2018–2024; el año de la clave permite unirlo a la actividad, no representa una nueva observación anual.</t>
        </is>
      </c>
    </row>
    <row r="3269" customFormat="false" ht="46.25" hidden="false" customHeight="false" outlineLevel="0" collapsed="false">
      <c r="A3269" s="4" t="s">
        <v>4270</v>
      </c>
      <c r="B3269" s="4" t="inlineStr">
        <is>
          <t>FE_COMB|2020|1.A.4.b|COMB_GLP|CH4</t>
        </is>
      </c>
      <c r="C3269" s="4" t="inlineStr">
        <is>
          <t>2020|1.A.4.b|COMB_GLP|CH4</t>
        </is>
      </c>
      <c r="D3269" s="12" t="n">
        <v>2020</v>
      </c>
      <c r="E3269" s="12">
        <v>2024.0</v>
      </c>
      <c r="F3269" s="4" t="inlineStr">
        <is>
          <t>PRX</t>
        </is>
      </c>
      <c r="G3269" s="4" t="inlineStr">
        <is>
          <t>MARN_GTM_BTR1_2024</t>
        </is>
      </c>
      <c r="H3269" s="4" t="inlineStr">
        <is>
          <t>Guatemala. Primer Informe Bienal de Transparencia (BTR1), 2024</t>
        </is>
      </c>
      <c r="I3269" s="4" t="inlineStr">
        <is>
          <t>https://unfccc.int/documents/646195</t>
        </is>
      </c>
      <c r="J3269" s="4" t="inlineStr">
        <is>
          <t>BTR1|2024|T3.33|GLP|CH4</t>
        </is>
      </c>
      <c r="K3269" s="4" t="inlineStr">
        <is>
          <t>GLP</t>
        </is>
      </c>
      <c r="L3269" s="4" t="inlineStr">
        <is>
          <t>Gas licuado de petróleo (GLP)</t>
        </is>
      </c>
      <c r="M3269" s="4"/>
      <c r="N3269" s="4"/>
      <c r="O3269" s="4"/>
      <c r="P3269" s="4"/>
      <c r="Q3269" s="4" t="inlineStr">
        <is>
          <t>FE_POR_COMBUSTIBLE_BTR1</t>
        </is>
      </c>
      <c r="R3269" s="4"/>
      <c r="S3269" s="4">
        <v>5.0</v>
      </c>
      <c r="T3269" s="4" t="inlineStr">
        <is>
          <t>kg CH4/TJ</t>
        </is>
      </c>
      <c r="U3269" s="4"/>
      <c r="V3269" s="4"/>
      <c r="W3269" s="4" t="inlineStr">
        <is>
          <t>1.A.4.b</t>
        </is>
      </c>
      <c r="X3269" s="4" t="inlineStr">
        <is>
          <t>Residencial</t>
        </is>
      </c>
      <c r="Y3269" s="4" t="inlineStr">
        <is>
          <t>COMB_GLP</t>
        </is>
      </c>
      <c r="Z3269" s="4" t="s">
        <v>4018</v>
      </c>
      <c r="AA3269" s="4">
        <v>5.0</v>
      </c>
      <c r="AB3269" s="4" t="s">
        <v>4281</v>
      </c>
      <c r="AC3269" s="4"/>
      <c r="AD3269" s="4"/>
      <c r="AE3269" s="4"/>
      <c r="AF3269" s="4"/>
      <c r="AG3269" s="4"/>
      <c r="AH3269" s="4"/>
      <c r="AI3269" s="4"/>
      <c r="AJ3269" s="4"/>
      <c r="AK3269" s="4"/>
      <c r="AL3269" s="4" t="inlineStr">
        <is>
          <t>BTR1 Guatemala 2024, tabla 3.33, p. 70; fila Gases licuados de petróleo; gas CH4</t>
        </is>
      </c>
      <c r="AM3269" s="4" t="inlineStr">
        <is>
          <t>Factor por combustible documentado en el BTR1, con origen metodológico IPCC. Se aplica como parámetro constante aproximado a 2018–2024; el año de la clave permite unirlo a la actividad, no representa una nueva observación anual.</t>
        </is>
      </c>
    </row>
    <row r="3270" customFormat="false" ht="46.25" hidden="false" customHeight="false" outlineLevel="0" collapsed="false">
      <c r="A3270" s="4" t="s">
        <v>4270</v>
      </c>
      <c r="B3270" s="4" t="inlineStr">
        <is>
          <t>FE_COMB|2020|1.A.4.b|COMB_GLP|N2O</t>
        </is>
      </c>
      <c r="C3270" s="4" t="inlineStr">
        <is>
          <t>2020|1.A.4.b|COMB_GLP|N2O</t>
        </is>
      </c>
      <c r="D3270" s="12" t="n">
        <v>2020</v>
      </c>
      <c r="E3270" s="12">
        <v>2024.0</v>
      </c>
      <c r="F3270" s="4" t="inlineStr">
        <is>
          <t>PRX</t>
        </is>
      </c>
      <c r="G3270" s="4" t="inlineStr">
        <is>
          <t>MARN_GTM_BTR1_2024</t>
        </is>
      </c>
      <c r="H3270" s="4" t="inlineStr">
        <is>
          <t>Guatemala. Primer Informe Bienal de Transparencia (BTR1), 2024</t>
        </is>
      </c>
      <c r="I3270" s="4" t="inlineStr">
        <is>
          <t>https://unfccc.int/documents/646195</t>
        </is>
      </c>
      <c r="J3270" s="4" t="inlineStr">
        <is>
          <t>BTR1|2024|T3.33|GLP|N2O</t>
        </is>
      </c>
      <c r="K3270" s="4" t="inlineStr">
        <is>
          <t>GLP</t>
        </is>
      </c>
      <c r="L3270" s="4" t="inlineStr">
        <is>
          <t>Gas licuado de petróleo (GLP)</t>
        </is>
      </c>
      <c r="M3270" s="4"/>
      <c r="N3270" s="4"/>
      <c r="O3270" s="4"/>
      <c r="P3270" s="4"/>
      <c r="Q3270" s="4" t="inlineStr">
        <is>
          <t>FE_POR_COMBUSTIBLE_BTR1</t>
        </is>
      </c>
      <c r="R3270" s="4"/>
      <c r="S3270" s="4">
        <v>0.1</v>
      </c>
      <c r="T3270" s="4" t="inlineStr">
        <is>
          <t>kg N2O/TJ</t>
        </is>
      </c>
      <c r="U3270" s="4"/>
      <c r="V3270" s="4"/>
      <c r="W3270" s="4" t="inlineStr">
        <is>
          <t>1.A.4.b</t>
        </is>
      </c>
      <c r="X3270" s="4" t="inlineStr">
        <is>
          <t>Residencial</t>
        </is>
      </c>
      <c r="Y3270" s="4" t="inlineStr">
        <is>
          <t>COMB_GLP</t>
        </is>
      </c>
      <c r="Z3270" s="4" t="s">
        <v>4048</v>
      </c>
      <c r="AA3270" s="4">
        <v>0.1</v>
      </c>
      <c r="AB3270" s="4" t="s">
        <v>4287</v>
      </c>
      <c r="AC3270" s="4"/>
      <c r="AD3270" s="4"/>
      <c r="AE3270" s="4"/>
      <c r="AF3270" s="4"/>
      <c r="AG3270" s="4"/>
      <c r="AH3270" s="4"/>
      <c r="AI3270" s="4"/>
      <c r="AJ3270" s="4"/>
      <c r="AK3270" s="4"/>
      <c r="AL3270" s="4" t="inlineStr">
        <is>
          <t>BTR1 Guatemala 2024, tabla 3.33, p. 70; fila Gases licuados de petróleo; gas N2O</t>
        </is>
      </c>
      <c r="AM3270" s="4" t="inlineStr">
        <is>
          <t>Factor por combustible documentado en el BTR1, con origen metodológico IPCC. Se aplica como parámetro constante aproximado a 2018–2024; el año de la clave permite unirlo a la actividad, no representa una nueva observación anual.</t>
        </is>
      </c>
    </row>
    <row r="3271" customFormat="false" ht="46.25" hidden="false" customHeight="false" outlineLevel="0" collapsed="false">
      <c r="A3271" s="4" t="s">
        <v>4270</v>
      </c>
      <c r="B3271" s="4" t="inlineStr">
        <is>
          <t>FE_COMB|2020|1.A.4.b|COMB_KER|CO2</t>
        </is>
      </c>
      <c r="C3271" s="4" t="inlineStr">
        <is>
          <t>2020|1.A.4.b|COMB_KER|CO2</t>
        </is>
      </c>
      <c r="D3271" s="12" t="n">
        <v>2020</v>
      </c>
      <c r="E3271" s="12">
        <v>2024.0</v>
      </c>
      <c r="F3271" s="4" t="inlineStr">
        <is>
          <t>PRX</t>
        </is>
      </c>
      <c r="G3271" s="4" t="inlineStr">
        <is>
          <t>MARN_GTM_BTR1_2024</t>
        </is>
      </c>
      <c r="H3271" s="4" t="inlineStr">
        <is>
          <t>Guatemala. Primer Informe Bienal de Transparencia (BTR1), 2024</t>
        </is>
      </c>
      <c r="I3271" s="4" t="inlineStr">
        <is>
          <t>https://unfccc.int/documents/646195</t>
        </is>
      </c>
      <c r="J3271" s="4" t="inlineStr">
        <is>
          <t>BTR1|2024|T3.6|KER|CO2</t>
        </is>
      </c>
      <c r="K3271" s="4" t="inlineStr">
        <is>
          <t>KER</t>
        </is>
      </c>
      <c r="L3271" s="4" t="inlineStr">
        <is>
          <t>Keroseno</t>
        </is>
      </c>
      <c r="M3271" s="4"/>
      <c r="N3271" s="4"/>
      <c r="O3271" s="4"/>
      <c r="P3271" s="4"/>
      <c r="Q3271" s="4" t="inlineStr">
        <is>
          <t>FE_POR_COMBUSTIBLE_BTR1</t>
        </is>
      </c>
      <c r="R3271" s="4"/>
      <c r="S3271" s="4">
        <v>71900.0</v>
      </c>
      <c r="T3271" s="4" t="inlineStr">
        <is>
          <t>kg CO2/TJ</t>
        </is>
      </c>
      <c r="U3271" s="4"/>
      <c r="V3271" s="4"/>
      <c r="W3271" s="4" t="inlineStr">
        <is>
          <t>1.A.4.b</t>
        </is>
      </c>
      <c r="X3271" s="4" t="inlineStr">
        <is>
          <t>Residencial</t>
        </is>
      </c>
      <c r="Y3271" s="4" t="inlineStr">
        <is>
          <t>COMB_KER</t>
        </is>
      </c>
      <c r="Z3271" s="4" t="s">
        <v>4012</v>
      </c>
      <c r="AA3271" s="13">
        <v>71900.0</v>
      </c>
      <c r="AB3271" s="4" t="s">
        <v>4275</v>
      </c>
      <c r="AC3271" s="4"/>
      <c r="AD3271" s="4"/>
      <c r="AE3271" s="4"/>
      <c r="AF3271" s="4"/>
      <c r="AG3271" s="4"/>
      <c r="AH3271" s="4"/>
      <c r="AI3271" s="4"/>
      <c r="AJ3271" s="4"/>
      <c r="AK3271" s="4"/>
      <c r="AL3271" s="4" t="inlineStr">
        <is>
          <t>BTR1 Guatemala 2024, tabla 3.6, p. 48; fila Otro queroseno; gas CO2</t>
        </is>
      </c>
      <c r="AM3271" s="4" t="inlineStr">
        <is>
          <t>Factor por combustible documentado en el BTR1, con origen metodológico IPCC. Se aplica como parámetro constante aproximado a 2018–2024; el año de la clave permite unirlo a la actividad, no representa una nueva observación anual.</t>
        </is>
      </c>
    </row>
    <row r="3272" customFormat="false" ht="46.25" hidden="false" customHeight="false" outlineLevel="0" collapsed="false">
      <c r="A3272" s="4" t="s">
        <v>4270</v>
      </c>
      <c r="B3272" s="4" t="inlineStr">
        <is>
          <t>FE_COMB|2020|1.A.4.b|COMB_KER|CH4</t>
        </is>
      </c>
      <c r="C3272" s="4" t="inlineStr">
        <is>
          <t>2020|1.A.4.b|COMB_KER|CH4</t>
        </is>
      </c>
      <c r="D3272" s="12" t="n">
        <v>2020</v>
      </c>
      <c r="E3272" s="12">
        <v>2024.0</v>
      </c>
      <c r="F3272" s="4" t="inlineStr">
        <is>
          <t>PRX</t>
        </is>
      </c>
      <c r="G3272" s="4" t="inlineStr">
        <is>
          <t>MARN_GTM_BTR1_2024</t>
        </is>
      </c>
      <c r="H3272" s="4" t="inlineStr">
        <is>
          <t>Guatemala. Primer Informe Bienal de Transparencia (BTR1), 2024</t>
        </is>
      </c>
      <c r="I3272" s="4" t="inlineStr">
        <is>
          <t>https://unfccc.int/documents/646195</t>
        </is>
      </c>
      <c r="J3272" s="4" t="inlineStr">
        <is>
          <t>BTR1|2024|T3.33|KER|CH4</t>
        </is>
      </c>
      <c r="K3272" s="4" t="inlineStr">
        <is>
          <t>KER</t>
        </is>
      </c>
      <c r="L3272" s="4" t="inlineStr">
        <is>
          <t>Keroseno</t>
        </is>
      </c>
      <c r="M3272" s="4"/>
      <c r="N3272" s="4"/>
      <c r="O3272" s="4"/>
      <c r="P3272" s="4"/>
      <c r="Q3272" s="4" t="inlineStr">
        <is>
          <t>FE_POR_COMBUSTIBLE_BTR1</t>
        </is>
      </c>
      <c r="R3272" s="4"/>
      <c r="S3272" s="4">
        <v>10.0</v>
      </c>
      <c r="T3272" s="4" t="inlineStr">
        <is>
          <t>kg CH4/TJ</t>
        </is>
      </c>
      <c r="U3272" s="4"/>
      <c r="V3272" s="4"/>
      <c r="W3272" s="4" t="inlineStr">
        <is>
          <t>1.A.4.b</t>
        </is>
      </c>
      <c r="X3272" s="4" t="inlineStr">
        <is>
          <t>Residencial</t>
        </is>
      </c>
      <c r="Y3272" s="4" t="inlineStr">
        <is>
          <t>COMB_KER</t>
        </is>
      </c>
      <c r="Z3272" s="4" t="s">
        <v>4018</v>
      </c>
      <c r="AA3272" s="13">
        <v>10.0</v>
      </c>
      <c r="AB3272" s="4" t="s">
        <v>4281</v>
      </c>
      <c r="AC3272" s="4"/>
      <c r="AD3272" s="4"/>
      <c r="AE3272" s="4"/>
      <c r="AF3272" s="4"/>
      <c r="AG3272" s="4"/>
      <c r="AH3272" s="4"/>
      <c r="AI3272" s="4"/>
      <c r="AJ3272" s="4"/>
      <c r="AK3272" s="4"/>
      <c r="AL3272" s="4" t="inlineStr">
        <is>
          <t>BTR1 Guatemala 2024, tabla 3.33, p. 70; fila Otro queroseno; gas CH4</t>
        </is>
      </c>
      <c r="AM3272" s="4" t="inlineStr">
        <is>
          <t>Factor por combustible documentado en el BTR1, con origen metodológico IPCC. Se aplica como parámetro constante aproximado a 2018–2024; el año de la clave permite unirlo a la actividad, no representa una nueva observación anual.</t>
        </is>
      </c>
    </row>
    <row r="3273" customFormat="false" ht="46.25" hidden="false" customHeight="false" outlineLevel="0" collapsed="false">
      <c r="A3273" s="4" t="s">
        <v>4270</v>
      </c>
      <c r="B3273" s="4" t="inlineStr">
        <is>
          <t>FE_COMB|2020|1.A.4.b|COMB_KER|N2O</t>
        </is>
      </c>
      <c r="C3273" s="4" t="inlineStr">
        <is>
          <t>2020|1.A.4.b|COMB_KER|N2O</t>
        </is>
      </c>
      <c r="D3273" s="12" t="n">
        <v>2020</v>
      </c>
      <c r="E3273" s="12">
        <v>2024.0</v>
      </c>
      <c r="F3273" s="4" t="inlineStr">
        <is>
          <t>PRX</t>
        </is>
      </c>
      <c r="G3273" s="4" t="inlineStr">
        <is>
          <t>MARN_GTM_BTR1_2024</t>
        </is>
      </c>
      <c r="H3273" s="4" t="inlineStr">
        <is>
          <t>Guatemala. Primer Informe Bienal de Transparencia (BTR1), 2024</t>
        </is>
      </c>
      <c r="I3273" s="4" t="inlineStr">
        <is>
          <t>https://unfccc.int/documents/646195</t>
        </is>
      </c>
      <c r="J3273" s="4" t="inlineStr">
        <is>
          <t>BTR1|2024|T3.33|KER|N2O</t>
        </is>
      </c>
      <c r="K3273" s="4" t="inlineStr">
        <is>
          <t>KER</t>
        </is>
      </c>
      <c r="L3273" s="4" t="inlineStr">
        <is>
          <t>Keroseno</t>
        </is>
      </c>
      <c r="M3273" s="4"/>
      <c r="N3273" s="4"/>
      <c r="O3273" s="4"/>
      <c r="P3273" s="4"/>
      <c r="Q3273" s="4" t="inlineStr">
        <is>
          <t>FE_POR_COMBUSTIBLE_BTR1</t>
        </is>
      </c>
      <c r="R3273" s="4"/>
      <c r="S3273" s="4">
        <v>0.6</v>
      </c>
      <c r="T3273" s="4" t="inlineStr">
        <is>
          <t>kg N2O/TJ</t>
        </is>
      </c>
      <c r="U3273" s="4"/>
      <c r="V3273" s="4"/>
      <c r="W3273" s="4" t="inlineStr">
        <is>
          <t>1.A.4.b</t>
        </is>
      </c>
      <c r="X3273" s="4" t="inlineStr">
        <is>
          <t>Residencial</t>
        </is>
      </c>
      <c r="Y3273" s="4" t="inlineStr">
        <is>
          <t>COMB_KER</t>
        </is>
      </c>
      <c r="Z3273" s="4" t="s">
        <v>4048</v>
      </c>
      <c r="AA3273" s="4">
        <v>0.6</v>
      </c>
      <c r="AB3273" s="4" t="s">
        <v>4287</v>
      </c>
      <c r="AC3273" s="4"/>
      <c r="AD3273" s="4"/>
      <c r="AE3273" s="4"/>
      <c r="AF3273" s="4"/>
      <c r="AG3273" s="4"/>
      <c r="AH3273" s="4"/>
      <c r="AI3273" s="4"/>
      <c r="AJ3273" s="4"/>
      <c r="AK3273" s="4"/>
      <c r="AL3273" s="4" t="inlineStr">
        <is>
          <t>BTR1 Guatemala 2024, tabla 3.33, p. 70; fila Otro queroseno; gas N2O</t>
        </is>
      </c>
      <c r="AM3273" s="4" t="inlineStr">
        <is>
          <t>Factor por combustible documentado en el BTR1, con origen metodológico IPCC. Se aplica como parámetro constante aproximado a 2018–2024; el año de la clave permite unirlo a la actividad, no representa una nueva observación anual.</t>
        </is>
      </c>
    </row>
    <row r="3274" customFormat="false" ht="46.25" hidden="false" customHeight="false" outlineLevel="0" collapsed="false">
      <c r="A3274" s="4" t="s">
        <v>4270</v>
      </c>
      <c r="B3274" s="4" t="inlineStr">
        <is>
          <t>FE_COMB|2021|1.A.1.a.i|COMB_BCANA|CO2</t>
        </is>
      </c>
      <c r="C3274" s="4" t="inlineStr">
        <is>
          <t>2021|1.A.1.a.i|COMB_BCANA|CO2</t>
        </is>
      </c>
      <c r="D3274" s="12" t="n">
        <v>2021</v>
      </c>
      <c r="E3274" s="12">
        <v>2024.0</v>
      </c>
      <c r="F3274" s="4" t="inlineStr">
        <is>
          <t>PRX</t>
        </is>
      </c>
      <c r="G3274" s="4" t="inlineStr">
        <is>
          <t>MARN_GTM_BTR1_2024</t>
        </is>
      </c>
      <c r="H3274" s="4" t="inlineStr">
        <is>
          <t>Guatemala. Primer Informe Bienal de Transparencia (BTR1), 2024</t>
        </is>
      </c>
      <c r="I3274" s="4" t="inlineStr">
        <is>
          <t>https://unfccc.int/documents/646195</t>
        </is>
      </c>
      <c r="J3274" s="4" t="inlineStr">
        <is>
          <t>BTR1|2024|T3.6|BCANA|CO2</t>
        </is>
      </c>
      <c r="K3274" s="4" t="inlineStr">
        <is>
          <t>BCANA</t>
        </is>
      </c>
      <c r="L3274" s="4" t="inlineStr">
        <is>
          <t>Bagazo de caña</t>
        </is>
      </c>
      <c r="M3274" s="4"/>
      <c r="N3274" s="4"/>
      <c r="O3274" s="4"/>
      <c r="P3274" s="4"/>
      <c r="Q3274" s="4" t="inlineStr">
        <is>
          <t>FE_POR_COMBUSTIBLE_BTR1</t>
        </is>
      </c>
      <c r="R3274" s="4"/>
      <c r="S3274" s="4">
        <v>100000.0</v>
      </c>
      <c r="T3274" s="4" t="inlineStr">
        <is>
          <t>kg CO2/TJ</t>
        </is>
      </c>
      <c r="U3274" s="4"/>
      <c r="V3274" s="4"/>
      <c r="W3274" s="4" t="s">
        <v>3341</v>
      </c>
      <c r="X3274" s="4" t="inlineStr">
        <is>
          <t>Generación de electricidad</t>
        </is>
      </c>
      <c r="Y3274" s="4" t="inlineStr">
        <is>
          <t>COMB_BCANA</t>
        </is>
      </c>
      <c r="Z3274" s="4" t="s">
        <v>4012</v>
      </c>
      <c r="AA3274" s="13">
        <v>100000.0</v>
      </c>
      <c r="AB3274" s="4" t="s">
        <v>4275</v>
      </c>
      <c r="AC3274" s="4"/>
      <c r="AD3274" s="4"/>
      <c r="AE3274" s="4"/>
      <c r="AF3274" s="4"/>
      <c r="AG3274" s="4"/>
      <c r="AH3274" s="4"/>
      <c r="AI3274" s="4"/>
      <c r="AJ3274" s="4"/>
      <c r="AK3274" s="4"/>
      <c r="AL3274" s="4" t="inlineStr">
        <is>
          <t>BTR1 Guatemala 2024, tabla 3.6, p. 48; fila Otra biomasa sólida primaria; gas CO2</t>
        </is>
      </c>
      <c r="AM3274"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75" customFormat="false" ht="46.25" hidden="false" customHeight="false" outlineLevel="0" collapsed="false">
      <c r="A3275" s="4" t="s">
        <v>4270</v>
      </c>
      <c r="B3275" s="4" t="inlineStr">
        <is>
          <t>FE_COMB|2021|1.A.1.a.i|COMB_BCANA|CH4</t>
        </is>
      </c>
      <c r="C3275" s="4" t="inlineStr">
        <is>
          <t>2021|1.A.1.a.i|COMB_BCANA|CH4</t>
        </is>
      </c>
      <c r="D3275" s="12" t="n">
        <v>2021</v>
      </c>
      <c r="E3275" s="12">
        <v>2024.0</v>
      </c>
      <c r="F3275" s="4" t="inlineStr">
        <is>
          <t>PRX</t>
        </is>
      </c>
      <c r="G3275" s="4" t="inlineStr">
        <is>
          <t>MARN_GTM_BTR1_2024</t>
        </is>
      </c>
      <c r="H3275" s="4" t="inlineStr">
        <is>
          <t>Guatemala. Primer Informe Bienal de Transparencia (BTR1), 2024</t>
        </is>
      </c>
      <c r="I3275" s="4" t="inlineStr">
        <is>
          <t>https://unfccc.int/documents/646195</t>
        </is>
      </c>
      <c r="J3275" s="4" t="inlineStr">
        <is>
          <t>BTR1|2024|T3.17|BCANA|CH4</t>
        </is>
      </c>
      <c r="K3275" s="4" t="inlineStr">
        <is>
          <t>BCANA</t>
        </is>
      </c>
      <c r="L3275" s="4" t="inlineStr">
        <is>
          <t>Bagazo de caña</t>
        </is>
      </c>
      <c r="M3275" s="4"/>
      <c r="N3275" s="4"/>
      <c r="O3275" s="4"/>
      <c r="P3275" s="4"/>
      <c r="Q3275" s="4" t="inlineStr">
        <is>
          <t>FE_POR_COMBUSTIBLE_BTR1</t>
        </is>
      </c>
      <c r="R3275" s="4"/>
      <c r="S3275" s="4">
        <v>30.0</v>
      </c>
      <c r="T3275" s="4" t="inlineStr">
        <is>
          <t>kg CH4/TJ</t>
        </is>
      </c>
      <c r="U3275" s="4"/>
      <c r="V3275" s="4"/>
      <c r="W3275" s="4" t="s">
        <v>3341</v>
      </c>
      <c r="X3275" s="4" t="inlineStr">
        <is>
          <t>Generación de electricidad</t>
        </is>
      </c>
      <c r="Y3275" s="4" t="inlineStr">
        <is>
          <t>COMB_BCANA</t>
        </is>
      </c>
      <c r="Z3275" s="4" t="s">
        <v>4018</v>
      </c>
      <c r="AA3275" s="13">
        <v>30.0</v>
      </c>
      <c r="AB3275" s="4" t="s">
        <v>4281</v>
      </c>
      <c r="AC3275" s="4"/>
      <c r="AD3275" s="4"/>
      <c r="AE3275" s="4"/>
      <c r="AF3275" s="4"/>
      <c r="AG3275" s="4"/>
      <c r="AH3275" s="4"/>
      <c r="AI3275" s="4"/>
      <c r="AJ3275" s="4"/>
      <c r="AK3275" s="4"/>
      <c r="AL3275" s="4" t="inlineStr">
        <is>
          <t>BTR1 Guatemala 2024, tabla 3.17, p. 57; fila Otra biomasa sólida primaria; gas CH4</t>
        </is>
      </c>
      <c r="AM3275"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76" customFormat="false" ht="46.25" hidden="false" customHeight="false" outlineLevel="0" collapsed="false">
      <c r="A3276" s="4" t="s">
        <v>4270</v>
      </c>
      <c r="B3276" s="4" t="inlineStr">
        <is>
          <t>FE_COMB|2021|1.A.1.a.i|COMB_BCANA|N2O</t>
        </is>
      </c>
      <c r="C3276" s="4" t="inlineStr">
        <is>
          <t>2021|1.A.1.a.i|COMB_BCANA|N2O</t>
        </is>
      </c>
      <c r="D3276" s="12" t="n">
        <v>2021</v>
      </c>
      <c r="E3276" s="12">
        <v>2024.0</v>
      </c>
      <c r="F3276" s="4" t="inlineStr">
        <is>
          <t>PRX</t>
        </is>
      </c>
      <c r="G3276" s="4" t="inlineStr">
        <is>
          <t>MARN_GTM_BTR1_2024</t>
        </is>
      </c>
      <c r="H3276" s="4" t="inlineStr">
        <is>
          <t>Guatemala. Primer Informe Bienal de Transparencia (BTR1), 2024</t>
        </is>
      </c>
      <c r="I3276" s="4" t="inlineStr">
        <is>
          <t>https://unfccc.int/documents/646195</t>
        </is>
      </c>
      <c r="J3276" s="4" t="inlineStr">
        <is>
          <t>BTR1|2024|T3.17|BCANA|N2O</t>
        </is>
      </c>
      <c r="K3276" s="4" t="inlineStr">
        <is>
          <t>BCANA</t>
        </is>
      </c>
      <c r="L3276" s="4" t="inlineStr">
        <is>
          <t>Bagazo de caña</t>
        </is>
      </c>
      <c r="M3276" s="4"/>
      <c r="N3276" s="4"/>
      <c r="O3276" s="4"/>
      <c r="P3276" s="4"/>
      <c r="Q3276" s="4" t="inlineStr">
        <is>
          <t>FE_POR_COMBUSTIBLE_BTR1</t>
        </is>
      </c>
      <c r="R3276" s="4"/>
      <c r="S3276" s="4">
        <v>4.0</v>
      </c>
      <c r="T3276" s="4" t="inlineStr">
        <is>
          <t>kg N2O/TJ</t>
        </is>
      </c>
      <c r="U3276" s="4"/>
      <c r="V3276" s="4"/>
      <c r="W3276" s="4" t="s">
        <v>3341</v>
      </c>
      <c r="X3276" s="4" t="inlineStr">
        <is>
          <t>Generación de electricidad</t>
        </is>
      </c>
      <c r="Y3276" s="4" t="inlineStr">
        <is>
          <t>COMB_BCANA</t>
        </is>
      </c>
      <c r="Z3276" s="4" t="s">
        <v>4048</v>
      </c>
      <c r="AA3276" s="13">
        <v>4.0</v>
      </c>
      <c r="AB3276" s="4" t="s">
        <v>4287</v>
      </c>
      <c r="AC3276" s="4"/>
      <c r="AD3276" s="4"/>
      <c r="AE3276" s="4"/>
      <c r="AF3276" s="4"/>
      <c r="AG3276" s="4"/>
      <c r="AH3276" s="4"/>
      <c r="AI3276" s="4"/>
      <c r="AJ3276" s="4"/>
      <c r="AK3276" s="4"/>
      <c r="AL3276" s="4" t="inlineStr">
        <is>
          <t>BTR1 Guatemala 2024, tabla 3.17, p. 57; fila Otra biomasa sólida primaria; gas N2O</t>
        </is>
      </c>
      <c r="AM3276"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77" customFormat="false" ht="46.25" hidden="false" customHeight="false" outlineLevel="0" collapsed="false">
      <c r="A3277" s="4" t="s">
        <v>4270</v>
      </c>
      <c r="B3277" s="4" t="inlineStr">
        <is>
          <t>FE_COMB|2021|1.A.1.a.i|COMB_BIOGAS|CO2</t>
        </is>
      </c>
      <c r="C3277" s="4" t="inlineStr">
        <is>
          <t>2021|1.A.1.a.i|COMB_BIOGAS|CO2</t>
        </is>
      </c>
      <c r="D3277" s="12" t="n">
        <v>2021</v>
      </c>
      <c r="E3277" s="12">
        <v>2024.0</v>
      </c>
      <c r="F3277" s="4" t="inlineStr">
        <is>
          <t>PRX</t>
        </is>
      </c>
      <c r="G3277" s="4" t="inlineStr">
        <is>
          <t>MARN_GTM_BTR1_2024</t>
        </is>
      </c>
      <c r="H3277" s="4" t="inlineStr">
        <is>
          <t>Guatemala. Primer Informe Bienal de Transparencia (BTR1), 2024</t>
        </is>
      </c>
      <c r="I3277" s="4" t="inlineStr">
        <is>
          <t>https://unfccc.int/documents/646195</t>
        </is>
      </c>
      <c r="J3277" s="4" t="inlineStr">
        <is>
          <t>BTR1|2024|T3.6|BIOGAS|CO2</t>
        </is>
      </c>
      <c r="K3277" s="4" t="inlineStr">
        <is>
          <t>BIOGAS</t>
        </is>
      </c>
      <c r="L3277" s="4" t="inlineStr">
        <is>
          <t>Biogás</t>
        </is>
      </c>
      <c r="M3277" s="4"/>
      <c r="N3277" s="4"/>
      <c r="O3277" s="4"/>
      <c r="P3277" s="4"/>
      <c r="Q3277" s="4" t="inlineStr">
        <is>
          <t>FE_POR_COMBUSTIBLE_BTR1</t>
        </is>
      </c>
      <c r="R3277" s="4"/>
      <c r="S3277" s="4">
        <v>54600.0</v>
      </c>
      <c r="T3277" s="4" t="inlineStr">
        <is>
          <t>kg CO2/TJ</t>
        </is>
      </c>
      <c r="U3277" s="4"/>
      <c r="V3277" s="4"/>
      <c r="W3277" s="4" t="s">
        <v>3341</v>
      </c>
      <c r="X3277" s="4" t="inlineStr">
        <is>
          <t>Generación de electricidad</t>
        </is>
      </c>
      <c r="Y3277" s="4" t="inlineStr">
        <is>
          <t>COMB_BIOGAS</t>
        </is>
      </c>
      <c r="Z3277" s="4" t="s">
        <v>4012</v>
      </c>
      <c r="AA3277" s="13">
        <v>54600.0</v>
      </c>
      <c r="AB3277" s="4" t="s">
        <v>4275</v>
      </c>
      <c r="AC3277" s="4"/>
      <c r="AD3277" s="4"/>
      <c r="AE3277" s="4"/>
      <c r="AF3277" s="4"/>
      <c r="AG3277" s="4"/>
      <c r="AH3277" s="4"/>
      <c r="AI3277" s="4"/>
      <c r="AJ3277" s="4"/>
      <c r="AK3277" s="4"/>
      <c r="AL3277" s="4" t="inlineStr">
        <is>
          <t>BTR1 Guatemala 2024, tabla 3.6, p. 48; fila Gas de vertedero; gas CO2</t>
        </is>
      </c>
      <c r="AM3277"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78" customFormat="false" ht="46.25" hidden="false" customHeight="false" outlineLevel="0" collapsed="false">
      <c r="A3278" s="4" t="s">
        <v>4270</v>
      </c>
      <c r="B3278" s="4" t="inlineStr">
        <is>
          <t>FE_COMB|2021|1.A.1.a.i|COMB_BIOGAS|CH4</t>
        </is>
      </c>
      <c r="C3278" s="4" t="inlineStr">
        <is>
          <t>2021|1.A.1.a.i|COMB_BIOGAS|CH4</t>
        </is>
      </c>
      <c r="D3278" s="12" t="n">
        <v>2021</v>
      </c>
      <c r="E3278" s="12">
        <v>2024.0</v>
      </c>
      <c r="F3278" s="4" t="inlineStr">
        <is>
          <t>PRX</t>
        </is>
      </c>
      <c r="G3278" s="4" t="inlineStr">
        <is>
          <t>MARN_GTM_BTR1_2024</t>
        </is>
      </c>
      <c r="H3278" s="4" t="inlineStr">
        <is>
          <t>Guatemala. Primer Informe Bienal de Transparencia (BTR1), 2024</t>
        </is>
      </c>
      <c r="I3278" s="4" t="inlineStr">
        <is>
          <t>https://unfccc.int/documents/646195</t>
        </is>
      </c>
      <c r="J3278" s="4" t="inlineStr">
        <is>
          <t>BTR1|2024|T3.17|BIOGAS|CH4</t>
        </is>
      </c>
      <c r="K3278" s="4" t="inlineStr">
        <is>
          <t>BIOGAS</t>
        </is>
      </c>
      <c r="L3278" s="4" t="inlineStr">
        <is>
          <t>Biogás</t>
        </is>
      </c>
      <c r="M3278" s="4"/>
      <c r="N3278" s="4"/>
      <c r="O3278" s="4"/>
      <c r="P3278" s="4"/>
      <c r="Q3278" s="4" t="inlineStr">
        <is>
          <t>FE_POR_COMBUSTIBLE_BTR1</t>
        </is>
      </c>
      <c r="R3278" s="4"/>
      <c r="S3278" s="4">
        <v>1.0</v>
      </c>
      <c r="T3278" s="4" t="inlineStr">
        <is>
          <t>kg CH4/TJ</t>
        </is>
      </c>
      <c r="U3278" s="4"/>
      <c r="V3278" s="4"/>
      <c r="W3278" s="4" t="s">
        <v>3341</v>
      </c>
      <c r="X3278" s="4" t="inlineStr">
        <is>
          <t>Generación de electricidad</t>
        </is>
      </c>
      <c r="Y3278" s="4" t="inlineStr">
        <is>
          <t>COMB_BIOGAS</t>
        </is>
      </c>
      <c r="Z3278" s="4" t="s">
        <v>4018</v>
      </c>
      <c r="AA3278" s="13">
        <v>1.0</v>
      </c>
      <c r="AB3278" s="4" t="s">
        <v>4281</v>
      </c>
      <c r="AC3278" s="4"/>
      <c r="AD3278" s="4"/>
      <c r="AE3278" s="4"/>
      <c r="AF3278" s="4"/>
      <c r="AG3278" s="4"/>
      <c r="AH3278" s="4"/>
      <c r="AI3278" s="4"/>
      <c r="AJ3278" s="4"/>
      <c r="AK3278" s="4"/>
      <c r="AL3278" s="4" t="inlineStr">
        <is>
          <t>BTR1 Guatemala 2024, tabla 3.17, p. 57; fila Gas de vertedero; gas CH4</t>
        </is>
      </c>
      <c r="AM3278"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79" customFormat="false" ht="46.25" hidden="false" customHeight="false" outlineLevel="0" collapsed="false">
      <c r="A3279" s="4" t="s">
        <v>4270</v>
      </c>
      <c r="B3279" s="4" t="inlineStr">
        <is>
          <t>FE_COMB|2021|1.A.1.a.i|COMB_BIOGAS|N2O</t>
        </is>
      </c>
      <c r="C3279" s="4" t="inlineStr">
        <is>
          <t>2021|1.A.1.a.i|COMB_BIOGAS|N2O</t>
        </is>
      </c>
      <c r="D3279" s="12" t="n">
        <v>2021</v>
      </c>
      <c r="E3279" s="12">
        <v>2024.0</v>
      </c>
      <c r="F3279" s="4" t="inlineStr">
        <is>
          <t>PRX</t>
        </is>
      </c>
      <c r="G3279" s="4" t="inlineStr">
        <is>
          <t>MARN_GTM_BTR1_2024</t>
        </is>
      </c>
      <c r="H3279" s="4" t="inlineStr">
        <is>
          <t>Guatemala. Primer Informe Bienal de Transparencia (BTR1), 2024</t>
        </is>
      </c>
      <c r="I3279" s="4" t="inlineStr">
        <is>
          <t>https://unfccc.int/documents/646195</t>
        </is>
      </c>
      <c r="J3279" s="4" t="inlineStr">
        <is>
          <t>BTR1|2024|T3.17|BIOGAS|N2O</t>
        </is>
      </c>
      <c r="K3279" s="4" t="inlineStr">
        <is>
          <t>BIOGAS</t>
        </is>
      </c>
      <c r="L3279" s="4" t="inlineStr">
        <is>
          <t>Biogás</t>
        </is>
      </c>
      <c r="M3279" s="4"/>
      <c r="N3279" s="4"/>
      <c r="O3279" s="4"/>
      <c r="P3279" s="4"/>
      <c r="Q3279" s="4" t="inlineStr">
        <is>
          <t>FE_POR_COMBUSTIBLE_BTR1</t>
        </is>
      </c>
      <c r="R3279" s="4"/>
      <c r="S3279" s="4">
        <v>0.1</v>
      </c>
      <c r="T3279" s="4" t="inlineStr">
        <is>
          <t>kg N2O/TJ</t>
        </is>
      </c>
      <c r="U3279" s="4"/>
      <c r="V3279" s="4"/>
      <c r="W3279" s="4" t="s">
        <v>3341</v>
      </c>
      <c r="X3279" s="4" t="inlineStr">
        <is>
          <t>Generación de electricidad</t>
        </is>
      </c>
      <c r="Y3279" s="4" t="inlineStr">
        <is>
          <t>COMB_BIOGAS</t>
        </is>
      </c>
      <c r="Z3279" s="4" t="s">
        <v>4048</v>
      </c>
      <c r="AA3279" s="13">
        <v>0.1</v>
      </c>
      <c r="AB3279" s="4" t="s">
        <v>4287</v>
      </c>
      <c r="AC3279" s="4"/>
      <c r="AD3279" s="4"/>
      <c r="AE3279" s="4"/>
      <c r="AF3279" s="4"/>
      <c r="AG3279" s="4"/>
      <c r="AH3279" s="4"/>
      <c r="AI3279" s="4"/>
      <c r="AJ3279" s="4"/>
      <c r="AK3279" s="4"/>
      <c r="AL3279" s="4" t="inlineStr">
        <is>
          <t>BTR1 Guatemala 2024, tabla 3.17, p. 57; fila Gas de vertedero; gas N2O</t>
        </is>
      </c>
      <c r="AM3279"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80" customFormat="false" ht="57.45" hidden="false" customHeight="false" outlineLevel="0" collapsed="false">
      <c r="A3280" s="4" t="s">
        <v>4270</v>
      </c>
      <c r="B3280" s="4" t="inlineStr">
        <is>
          <t>FE_COMB|2021|1.A.1.a.i|COMB_COQUE|CO2</t>
        </is>
      </c>
      <c r="C3280" s="4" t="inlineStr">
        <is>
          <t>2021|1.A.1.a.i|COMB_COQUE|CO2</t>
        </is>
      </c>
      <c r="D3280" s="12" t="n">
        <v>2021</v>
      </c>
      <c r="E3280" s="12">
        <v>2024.0</v>
      </c>
      <c r="F3280" s="4" t="inlineStr">
        <is>
          <t>PRX</t>
        </is>
      </c>
      <c r="G3280" s="4" t="inlineStr">
        <is>
          <t>MARN_GTM_BTR1_2024</t>
        </is>
      </c>
      <c r="H3280" s="4" t="inlineStr">
        <is>
          <t>Guatemala. Primer Informe Bienal de Transparencia (BTR1), 2024</t>
        </is>
      </c>
      <c r="I3280" s="4" t="inlineStr">
        <is>
          <t>https://unfccc.int/documents/646195</t>
        </is>
      </c>
      <c r="J3280" s="4" t="inlineStr">
        <is>
          <t>BTR1|2024|T3.6|COQUE|CO2</t>
        </is>
      </c>
      <c r="K3280" s="4" t="inlineStr">
        <is>
          <t>COQUE</t>
        </is>
      </c>
      <c r="L3280" s="4" t="inlineStr">
        <is>
          <t>Coque</t>
        </is>
      </c>
      <c r="M3280" s="4"/>
      <c r="N3280" s="4"/>
      <c r="O3280" s="4"/>
      <c r="P3280" s="4"/>
      <c r="Q3280" s="4" t="inlineStr">
        <is>
          <t>FE_POR_COMBUSTIBLE_BTR1</t>
        </is>
      </c>
      <c r="R3280" s="4"/>
      <c r="S3280" s="4">
        <v>97500.0</v>
      </c>
      <c r="T3280" s="4" t="inlineStr">
        <is>
          <t>kg CO2/TJ</t>
        </is>
      </c>
      <c r="U3280" s="4"/>
      <c r="V3280" s="4"/>
      <c r="W3280" s="4" t="s">
        <v>3341</v>
      </c>
      <c r="X3280" s="4" t="inlineStr">
        <is>
          <t>Generación de electricidad</t>
        </is>
      </c>
      <c r="Y3280" s="4" t="inlineStr">
        <is>
          <t>COMB_COQUE</t>
        </is>
      </c>
      <c r="Z3280" s="4" t="s">
        <v>4012</v>
      </c>
      <c r="AA3280" s="13">
        <v>97500.0</v>
      </c>
      <c r="AB3280" s="4" t="s">
        <v>4275</v>
      </c>
      <c r="AC3280" s="4"/>
      <c r="AD3280" s="4"/>
      <c r="AE3280" s="4"/>
      <c r="AF3280" s="4"/>
      <c r="AG3280" s="4"/>
      <c r="AH3280" s="4"/>
      <c r="AI3280" s="4"/>
      <c r="AJ3280" s="4"/>
      <c r="AK3280" s="4"/>
      <c r="AL3280" s="4" t="inlineStr">
        <is>
          <t>BTR1 Guatemala 2024, tabla 3.6, p. 48; fila Coque de petróleo; gas CO2</t>
        </is>
      </c>
      <c r="AM3280"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281" customFormat="false" ht="57.45" hidden="false" customHeight="false" outlineLevel="0" collapsed="false">
      <c r="A3281" s="4" t="s">
        <v>4270</v>
      </c>
      <c r="B3281" s="4" t="inlineStr">
        <is>
          <t>FE_COMB|2021|1.A.1.a.i|COMB_COQUE|CH4</t>
        </is>
      </c>
      <c r="C3281" s="4" t="inlineStr">
        <is>
          <t>2021|1.A.1.a.i|COMB_COQUE|CH4</t>
        </is>
      </c>
      <c r="D3281" s="12" t="n">
        <v>2021</v>
      </c>
      <c r="E3281" s="12">
        <v>2006.0</v>
      </c>
      <c r="F3281" s="4" t="inlineStr">
        <is>
          <t>PRX</t>
        </is>
      </c>
      <c r="G3281" s="4" t="inlineStr">
        <is>
          <t>IPCC_2006_GL</t>
        </is>
      </c>
      <c r="H3281" s="4" t="inlineStr">
        <is>
          <t>IPCC. 2006 Guidelines for National Greenhouse Gas Inventories, Volume 2: Energy</t>
        </is>
      </c>
      <c r="I3281" s="4" t="inlineStr">
        <is>
          <t>https://www.ipcc-nggip.iges.or.jp/public/2006gl/pdf/2_Volume2/V2_2_Ch2_Stationary_Combustion.pdf</t>
        </is>
      </c>
      <c r="J3281" s="4" t="inlineStr">
        <is>
          <t>IPCC2006|V2|C2|T2.2|PETROLEUM_COKE|CH4</t>
        </is>
      </c>
      <c r="K3281" s="4" t="inlineStr">
        <is>
          <t>COQUE</t>
        </is>
      </c>
      <c r="L3281" s="4" t="inlineStr">
        <is>
          <t>Coque</t>
        </is>
      </c>
      <c r="M3281" s="4"/>
      <c r="N3281" s="4"/>
      <c r="O3281" s="4"/>
      <c r="P3281" s="4"/>
      <c r="Q3281" s="4" t="inlineStr">
        <is>
          <t>FE_POR_DEFECTO_IPCC_2006</t>
        </is>
      </c>
      <c r="R3281" s="4"/>
      <c r="S3281" s="4">
        <v>3.0</v>
      </c>
      <c r="T3281" s="4" t="inlineStr">
        <is>
          <t>kg CH4/TJ</t>
        </is>
      </c>
      <c r="U3281" s="4"/>
      <c r="V3281" s="4"/>
      <c r="W3281" s="4" t="s">
        <v>3341</v>
      </c>
      <c r="X3281" s="4" t="inlineStr">
        <is>
          <t>Generación de electricidad</t>
        </is>
      </c>
      <c r="Y3281" s="4" t="inlineStr">
        <is>
          <t>COMB_COQUE</t>
        </is>
      </c>
      <c r="Z3281" s="4" t="s">
        <v>4018</v>
      </c>
      <c r="AA3281" s="13">
        <v>3.0</v>
      </c>
      <c r="AB3281" s="4" t="s">
        <v>4281</v>
      </c>
      <c r="AC3281" s="4"/>
      <c r="AD3281" s="4"/>
      <c r="AE3281" s="4"/>
      <c r="AF3281" s="4"/>
      <c r="AG3281" s="4"/>
      <c r="AH3281" s="4"/>
      <c r="AI3281" s="4"/>
      <c r="AJ3281" s="4"/>
      <c r="AK3281" s="4"/>
      <c r="AL3281" s="4" t="inlineStr">
        <is>
          <t>Volumen 2, capítulo 2, tabla 2.2, p. 2.16; fila Petroleum Coke; gas CH4</t>
        </is>
      </c>
      <c r="AM3281" s="4" t="inlineStr">
        <is>
          <t>Factor por defecto de coque de petróleo para industrias de energía. El BEN 2024, tabla 11, identifica el coque utilizado; no se le asigna el factor del grupo carbón. Valor constante aplicado como aproximación a 2018–2024.</t>
        </is>
      </c>
    </row>
    <row r="3282" customFormat="false" ht="57.45" hidden="false" customHeight="false" outlineLevel="0" collapsed="false">
      <c r="A3282" s="4" t="s">
        <v>4270</v>
      </c>
      <c r="B3282" s="4" t="inlineStr">
        <is>
          <t>FE_COMB|2021|1.A.1.a.i|COMB_COQUE|N2O</t>
        </is>
      </c>
      <c r="C3282" s="4" t="inlineStr">
        <is>
          <t>2021|1.A.1.a.i|COMB_COQUE|N2O</t>
        </is>
      </c>
      <c r="D3282" s="12" t="n">
        <v>2021</v>
      </c>
      <c r="E3282" s="12">
        <v>2006.0</v>
      </c>
      <c r="F3282" s="4" t="inlineStr">
        <is>
          <t>PRX</t>
        </is>
      </c>
      <c r="G3282" s="4" t="inlineStr">
        <is>
          <t>IPCC_2006_GL</t>
        </is>
      </c>
      <c r="H3282" s="4" t="inlineStr">
        <is>
          <t>IPCC. 2006 Guidelines for National Greenhouse Gas Inventories, Volume 2: Energy</t>
        </is>
      </c>
      <c r="I3282" s="4" t="inlineStr">
        <is>
          <t>https://www.ipcc-nggip.iges.or.jp/public/2006gl/pdf/2_Volume2/V2_2_Ch2_Stationary_Combustion.pdf</t>
        </is>
      </c>
      <c r="J3282" s="4" t="inlineStr">
        <is>
          <t>IPCC2006|V2|C2|T2.2|PETROLEUM_COKE|N2O</t>
        </is>
      </c>
      <c r="K3282" s="4" t="inlineStr">
        <is>
          <t>COQUE</t>
        </is>
      </c>
      <c r="L3282" s="4" t="inlineStr">
        <is>
          <t>Coque</t>
        </is>
      </c>
      <c r="M3282" s="4"/>
      <c r="N3282" s="4"/>
      <c r="O3282" s="4"/>
      <c r="P3282" s="4"/>
      <c r="Q3282" s="4" t="inlineStr">
        <is>
          <t>FE_POR_DEFECTO_IPCC_2006</t>
        </is>
      </c>
      <c r="R3282" s="4"/>
      <c r="S3282" s="4">
        <v>0.6</v>
      </c>
      <c r="T3282" s="4" t="inlineStr">
        <is>
          <t>kg N2O/TJ</t>
        </is>
      </c>
      <c r="U3282" s="4"/>
      <c r="V3282" s="4"/>
      <c r="W3282" s="4" t="s">
        <v>3341</v>
      </c>
      <c r="X3282" s="4" t="inlineStr">
        <is>
          <t>Generación de electricidad</t>
        </is>
      </c>
      <c r="Y3282" s="4" t="inlineStr">
        <is>
          <t>COMB_COQUE</t>
        </is>
      </c>
      <c r="Z3282" s="4" t="s">
        <v>4048</v>
      </c>
      <c r="AA3282" s="13">
        <v>0.6</v>
      </c>
      <c r="AB3282" s="4" t="s">
        <v>4287</v>
      </c>
      <c r="AC3282" s="4"/>
      <c r="AD3282" s="4"/>
      <c r="AE3282" s="4"/>
      <c r="AF3282" s="4"/>
      <c r="AG3282" s="4"/>
      <c r="AH3282" s="4"/>
      <c r="AI3282" s="4"/>
      <c r="AJ3282" s="4"/>
      <c r="AK3282" s="4"/>
      <c r="AL3282" s="4" t="inlineStr">
        <is>
          <t>Volumen 2, capítulo 2, tabla 2.2, p. 2.16; fila Petroleum Coke; gas N2O</t>
        </is>
      </c>
      <c r="AM3282" s="4" t="inlineStr">
        <is>
          <t>Factor por defecto de coque de petróleo para industrias de energía. El BEN 2024, tabla 11, identifica el coque utilizado; no se le asigna el factor del grupo carbón. Valor constante aplicado como aproximación a 2018–2024.</t>
        </is>
      </c>
    </row>
    <row r="3283" customFormat="false" ht="57.45" hidden="false" customHeight="false" outlineLevel="0" collapsed="false">
      <c r="A3283" s="4" t="s">
        <v>4270</v>
      </c>
      <c r="B3283" s="4" t="inlineStr">
        <is>
          <t>FE_COMB|2021|1.A.1.a.i|COMB_CRBN|CO2</t>
        </is>
      </c>
      <c r="C3283" s="4" t="inlineStr">
        <is>
          <t>2021|1.A.1.a.i|COMB_CRBN|CO2</t>
        </is>
      </c>
      <c r="D3283" s="12" t="n">
        <v>2021</v>
      </c>
      <c r="E3283" s="12">
        <v>2024.0</v>
      </c>
      <c r="F3283" s="4" t="inlineStr">
        <is>
          <t>PRX</t>
        </is>
      </c>
      <c r="G3283" s="4" t="inlineStr">
        <is>
          <t>MARN_GTM_BTR1_2024</t>
        </is>
      </c>
      <c r="H3283" s="4" t="inlineStr">
        <is>
          <t>Guatemala. Primer Informe Bienal de Transparencia (BTR1), 2024</t>
        </is>
      </c>
      <c r="I3283" s="4" t="inlineStr">
        <is>
          <t>https://unfccc.int/documents/646195</t>
        </is>
      </c>
      <c r="J3283" s="4" t="inlineStr">
        <is>
          <t>BTR1|2024|T3.6|CRBN|CO2</t>
        </is>
      </c>
      <c r="K3283" s="4" t="inlineStr">
        <is>
          <t>CRBN</t>
        </is>
      </c>
      <c r="L3283" s="4" t="inlineStr">
        <is>
          <t>Carbón</t>
        </is>
      </c>
      <c r="M3283" s="4"/>
      <c r="N3283" s="4"/>
      <c r="O3283" s="4"/>
      <c r="P3283" s="4"/>
      <c r="Q3283" s="4" t="inlineStr">
        <is>
          <t>FE_POR_COMBUSTIBLE_BTR1</t>
        </is>
      </c>
      <c r="R3283" s="4"/>
      <c r="S3283" s="4">
        <v>98300.0</v>
      </c>
      <c r="T3283" s="4" t="inlineStr">
        <is>
          <t>kg CO2/TJ</t>
        </is>
      </c>
      <c r="U3283" s="4"/>
      <c r="V3283" s="4"/>
      <c r="W3283" s="4" t="s">
        <v>3341</v>
      </c>
      <c r="X3283" s="4" t="inlineStr">
        <is>
          <t>Generación de electricidad</t>
        </is>
      </c>
      <c r="Y3283" s="4" t="inlineStr">
        <is>
          <t>COMB_CRBN</t>
        </is>
      </c>
      <c r="Z3283" s="4" t="s">
        <v>4012</v>
      </c>
      <c r="AA3283" s="13">
        <v>98300.0</v>
      </c>
      <c r="AB3283" s="4" t="s">
        <v>4275</v>
      </c>
      <c r="AC3283" s="4"/>
      <c r="AD3283" s="4"/>
      <c r="AE3283" s="4"/>
      <c r="AF3283" s="4"/>
      <c r="AG3283" s="4"/>
      <c r="AH3283" s="4"/>
      <c r="AI3283" s="4"/>
      <c r="AJ3283" s="4"/>
      <c r="AK3283" s="4"/>
      <c r="AL3283" s="4" t="inlineStr">
        <is>
          <t>BTR1 Guatemala 2024, tabla 3.6, p. 48; fila Otro carbón bituminoso*; gas CO2</t>
        </is>
      </c>
      <c r="AM3283" s="4" t="inlineStr">
        <is>
          <t>Factor por combustible documentado en el BTR1, con origen metodológico IPCC. Se aplica como parámetro constante aproximado a 2018–2024; el año de la clave permite unirlo a la actividad, no representa una nueva observación anual. CRBN utiliza el proxy de antracita adoptado por el MEM; no se infiere un análisis de la mezcla de carbón del BEN.</t>
        </is>
      </c>
    </row>
    <row r="3284" customFormat="false" ht="57.45" hidden="false" customHeight="false" outlineLevel="0" collapsed="false">
      <c r="A3284" s="4" t="s">
        <v>4270</v>
      </c>
      <c r="B3284" s="4" t="inlineStr">
        <is>
          <t>FE_COMB|2021|1.A.1.a.i|COMB_CRBN|CH4</t>
        </is>
      </c>
      <c r="C3284" s="4" t="inlineStr">
        <is>
          <t>2021|1.A.1.a.i|COMB_CRBN|CH4</t>
        </is>
      </c>
      <c r="D3284" s="12" t="n">
        <v>2021</v>
      </c>
      <c r="E3284" s="12">
        <v>2024.0</v>
      </c>
      <c r="F3284" s="4" t="inlineStr">
        <is>
          <t>PRX</t>
        </is>
      </c>
      <c r="G3284" s="4" t="inlineStr">
        <is>
          <t>MARN_GTM_BTR1_2024</t>
        </is>
      </c>
      <c r="H3284" s="4" t="inlineStr">
        <is>
          <t>Guatemala. Primer Informe Bienal de Transparencia (BTR1), 2024</t>
        </is>
      </c>
      <c r="I3284" s="4" t="inlineStr">
        <is>
          <t>https://unfccc.int/documents/646195</t>
        </is>
      </c>
      <c r="J3284" s="4" t="inlineStr">
        <is>
          <t>BTR1|2024|T3.17|CRBN|CH4</t>
        </is>
      </c>
      <c r="K3284" s="4" t="inlineStr">
        <is>
          <t>CRBN</t>
        </is>
      </c>
      <c r="L3284" s="4" t="inlineStr">
        <is>
          <t>Carbón</t>
        </is>
      </c>
      <c r="M3284" s="4"/>
      <c r="N3284" s="4"/>
      <c r="O3284" s="4"/>
      <c r="P3284" s="4"/>
      <c r="Q3284" s="4" t="inlineStr">
        <is>
          <t>FE_POR_COMBUSTIBLE_BTR1</t>
        </is>
      </c>
      <c r="R3284" s="4"/>
      <c r="S3284" s="4">
        <v>1.0</v>
      </c>
      <c r="T3284" s="4" t="inlineStr">
        <is>
          <t>kg CH4/TJ</t>
        </is>
      </c>
      <c r="U3284" s="4"/>
      <c r="V3284" s="4"/>
      <c r="W3284" s="4" t="s">
        <v>3341</v>
      </c>
      <c r="X3284" s="4" t="inlineStr">
        <is>
          <t>Generación de electricidad</t>
        </is>
      </c>
      <c r="Y3284" s="4" t="inlineStr">
        <is>
          <t>COMB_CRBN</t>
        </is>
      </c>
      <c r="Z3284" s="4" t="s">
        <v>4018</v>
      </c>
      <c r="AA3284" s="13">
        <v>1.0</v>
      </c>
      <c r="AB3284" s="4" t="s">
        <v>4281</v>
      </c>
      <c r="AC3284" s="4"/>
      <c r="AD3284" s="4"/>
      <c r="AE3284" s="4"/>
      <c r="AF3284" s="4"/>
      <c r="AG3284" s="4"/>
      <c r="AH3284" s="4"/>
      <c r="AI3284" s="4"/>
      <c r="AJ3284" s="4"/>
      <c r="AK3284" s="4"/>
      <c r="AL3284" s="4" t="inlineStr">
        <is>
          <t>BTR1 Guatemala 2024, tabla 3.17, p. 57; fila Otro carbón bituminoso; gas CH4</t>
        </is>
      </c>
      <c r="AM3284" s="4" t="inlineStr">
        <is>
          <t>Factor por combustible documentado en el BTR1, con origen metodológico IPCC. Se aplica como parámetro constante aproximado a 2018–2024; el año de la clave permite unirlo a la actividad, no representa una nueva observación anual. CRBN utiliza el proxy de antracita adoptado por el MEM; no se infiere un análisis de la mezcla de carbón del BEN.</t>
        </is>
      </c>
    </row>
    <row r="3285" customFormat="false" ht="57.45" hidden="false" customHeight="false" outlineLevel="0" collapsed="false">
      <c r="A3285" s="4" t="s">
        <v>4270</v>
      </c>
      <c r="B3285" s="4" t="inlineStr">
        <is>
          <t>FE_COMB|2021|1.A.1.a.i|COMB_CRBN|N2O</t>
        </is>
      </c>
      <c r="C3285" s="4" t="inlineStr">
        <is>
          <t>2021|1.A.1.a.i|COMB_CRBN|N2O</t>
        </is>
      </c>
      <c r="D3285" s="12" t="n">
        <v>2021</v>
      </c>
      <c r="E3285" s="12">
        <v>2024.0</v>
      </c>
      <c r="F3285" s="4" t="inlineStr">
        <is>
          <t>PRX</t>
        </is>
      </c>
      <c r="G3285" s="4" t="inlineStr">
        <is>
          <t>MARN_GTM_BTR1_2024</t>
        </is>
      </c>
      <c r="H3285" s="4" t="inlineStr">
        <is>
          <t>Guatemala. Primer Informe Bienal de Transparencia (BTR1), 2024</t>
        </is>
      </c>
      <c r="I3285" s="4" t="inlineStr">
        <is>
          <t>https://unfccc.int/documents/646195</t>
        </is>
      </c>
      <c r="J3285" s="4" t="inlineStr">
        <is>
          <t>BTR1|2024|T3.17|CRBN|N2O</t>
        </is>
      </c>
      <c r="K3285" s="4" t="inlineStr">
        <is>
          <t>CRBN</t>
        </is>
      </c>
      <c r="L3285" s="4" t="inlineStr">
        <is>
          <t>Carbón</t>
        </is>
      </c>
      <c r="M3285" s="4"/>
      <c r="N3285" s="4"/>
      <c r="O3285" s="4"/>
      <c r="P3285" s="4"/>
      <c r="Q3285" s="4" t="inlineStr">
        <is>
          <t>FE_POR_COMBUSTIBLE_BTR1</t>
        </is>
      </c>
      <c r="R3285" s="4"/>
      <c r="S3285" s="4">
        <v>1.5</v>
      </c>
      <c r="T3285" s="4" t="inlineStr">
        <is>
          <t>kg N2O/TJ</t>
        </is>
      </c>
      <c r="U3285" s="4"/>
      <c r="V3285" s="4"/>
      <c r="W3285" s="4" t="s">
        <v>3341</v>
      </c>
      <c r="X3285" s="4" t="inlineStr">
        <is>
          <t>Generación de electricidad</t>
        </is>
      </c>
      <c r="Y3285" s="4" t="inlineStr">
        <is>
          <t>COMB_CRBN</t>
        </is>
      </c>
      <c r="Z3285" s="4" t="s">
        <v>4048</v>
      </c>
      <c r="AA3285" s="13">
        <v>1.5</v>
      </c>
      <c r="AB3285" s="4" t="s">
        <v>4287</v>
      </c>
      <c r="AC3285" s="4"/>
      <c r="AD3285" s="4"/>
      <c r="AE3285" s="4"/>
      <c r="AF3285" s="4"/>
      <c r="AG3285" s="4"/>
      <c r="AH3285" s="4"/>
      <c r="AI3285" s="4"/>
      <c r="AJ3285" s="4"/>
      <c r="AK3285" s="4"/>
      <c r="AL3285" s="4" t="inlineStr">
        <is>
          <t>BTR1 Guatemala 2024, tabla 3.17, p. 57; fila Otro carbón bituminoso; gas N2O</t>
        </is>
      </c>
      <c r="AM3285" s="4" t="inlineStr">
        <is>
          <t>Factor por combustible documentado en el BTR1, con origen metodológico IPCC. Se aplica como parámetro constante aproximado a 2018–2024; el año de la clave permite unirlo a la actividad, no representa una nueva observación anual. CRBN utiliza el proxy de antracita adoptado por el MEM; no se infiere un análisis de la mezcla de carbón del BEN.</t>
        </is>
      </c>
    </row>
    <row r="3286" customFormat="false" ht="57.45" hidden="false" customHeight="false" outlineLevel="0" collapsed="false">
      <c r="A3286" s="4" t="s">
        <v>4270</v>
      </c>
      <c r="B3286" s="4" t="inlineStr">
        <is>
          <t>FE_COMB|2021|1.A.1.a.i|COMB_DOIL|CO2</t>
        </is>
      </c>
      <c r="C3286" s="4" t="inlineStr">
        <is>
          <t>2021|1.A.1.a.i|COMB_DOIL|CO2</t>
        </is>
      </c>
      <c r="D3286" s="12" t="n">
        <v>2021</v>
      </c>
      <c r="E3286" s="12">
        <v>2024.0</v>
      </c>
      <c r="F3286" s="4" t="inlineStr">
        <is>
          <t>PRX</t>
        </is>
      </c>
      <c r="G3286" s="4" t="inlineStr">
        <is>
          <t>MARN_GTM_BTR1_2024</t>
        </is>
      </c>
      <c r="H3286" s="4" t="inlineStr">
        <is>
          <t>Guatemala. Primer Informe Bienal de Transparencia (BTR1), 2024</t>
        </is>
      </c>
      <c r="I3286" s="4" t="inlineStr">
        <is>
          <t>https://unfccc.int/documents/646195</t>
        </is>
      </c>
      <c r="J3286" s="4" t="inlineStr">
        <is>
          <t>BTR1|2024|T3.6|DOIL|CO2</t>
        </is>
      </c>
      <c r="K3286" s="4" t="inlineStr">
        <is>
          <t>DOIL</t>
        </is>
      </c>
      <c r="L3286" s="4" t="inlineStr">
        <is>
          <t>Diésel / gas oil</t>
        </is>
      </c>
      <c r="M3286" s="4"/>
      <c r="N3286" s="4"/>
      <c r="O3286" s="4"/>
      <c r="P3286" s="4"/>
      <c r="Q3286" s="4" t="inlineStr">
        <is>
          <t>FE_POR_COMBUSTIBLE_BTR1</t>
        </is>
      </c>
      <c r="R3286" s="4"/>
      <c r="S3286" s="4">
        <v>74100.0</v>
      </c>
      <c r="T3286" s="4" t="inlineStr">
        <is>
          <t>kg CO2/TJ</t>
        </is>
      </c>
      <c r="U3286" s="4"/>
      <c r="V3286" s="4"/>
      <c r="W3286" s="4" t="inlineStr">
        <is>
          <t>1.A.1.a.i</t>
        </is>
      </c>
      <c r="X3286" s="4" t="inlineStr">
        <is>
          <t>Generación de electricidad</t>
        </is>
      </c>
      <c r="Y3286" s="4" t="inlineStr">
        <is>
          <t>COMB_DOIL</t>
        </is>
      </c>
      <c r="Z3286" s="4" t="s">
        <v>4012</v>
      </c>
      <c r="AA3286" s="13">
        <v>74100.0</v>
      </c>
      <c r="AB3286" s="4" t="s">
        <v>4275</v>
      </c>
      <c r="AC3286" s="4"/>
      <c r="AD3286" s="4"/>
      <c r="AE3286" s="4"/>
      <c r="AF3286" s="4"/>
      <c r="AG3286" s="4"/>
      <c r="AH3286" s="4"/>
      <c r="AI3286" s="4"/>
      <c r="AJ3286" s="4"/>
      <c r="AK3286" s="4"/>
      <c r="AL3286" s="4" t="inlineStr">
        <is>
          <t>BTR1 Guatemala 2024, tabla 3.6, p. 48; fila Gas/Diésel oíl; gas CO2</t>
        </is>
      </c>
      <c r="AM3286" s="4" t="inlineStr">
        <is>
          <t>Factor por combustible documentado en el BTR1, con origen metodológico IPCC. Se aplica como parámetro constante aproximado a 2018–2024; el año de la clave permite unirlo a la actividad, no representa una nueva observación anual.</t>
        </is>
      </c>
    </row>
    <row r="3287" customFormat="false" ht="57.45" hidden="false" customHeight="false" outlineLevel="0" collapsed="false">
      <c r="A3287" s="4" t="s">
        <v>4270</v>
      </c>
      <c r="B3287" s="4" t="inlineStr">
        <is>
          <t>FE_COMB|2021|1.A.1.a.i|COMB_DOIL|CH4</t>
        </is>
      </c>
      <c r="C3287" s="4" t="inlineStr">
        <is>
          <t>2021|1.A.1.a.i|COMB_DOIL|CH4</t>
        </is>
      </c>
      <c r="D3287" s="12" t="n">
        <v>2021</v>
      </c>
      <c r="E3287" s="12">
        <v>2024.0</v>
      </c>
      <c r="F3287" s="4" t="inlineStr">
        <is>
          <t>PRX</t>
        </is>
      </c>
      <c r="G3287" s="4" t="inlineStr">
        <is>
          <t>MARN_GTM_BTR1_2024</t>
        </is>
      </c>
      <c r="H3287" s="4" t="inlineStr">
        <is>
          <t>Guatemala. Primer Informe Bienal de Transparencia (BTR1), 2024</t>
        </is>
      </c>
      <c r="I3287" s="4" t="inlineStr">
        <is>
          <t>https://unfccc.int/documents/646195</t>
        </is>
      </c>
      <c r="J3287" s="4" t="inlineStr">
        <is>
          <t>BTR1|2024|T3.17|DOIL|CH4</t>
        </is>
      </c>
      <c r="K3287" s="4" t="inlineStr">
        <is>
          <t>DOIL</t>
        </is>
      </c>
      <c r="L3287" s="4" t="inlineStr">
        <is>
          <t>Diésel / gas oil</t>
        </is>
      </c>
      <c r="M3287" s="4"/>
      <c r="N3287" s="4"/>
      <c r="O3287" s="4"/>
      <c r="P3287" s="4"/>
      <c r="Q3287" s="4" t="inlineStr">
        <is>
          <t>FE_POR_COMBUSTIBLE_BTR1</t>
        </is>
      </c>
      <c r="R3287" s="4"/>
      <c r="S3287" s="4">
        <v>3.0</v>
      </c>
      <c r="T3287" s="4" t="inlineStr">
        <is>
          <t>kg CH4/TJ</t>
        </is>
      </c>
      <c r="U3287" s="4"/>
      <c r="V3287" s="4"/>
      <c r="W3287" s="4" t="inlineStr">
        <is>
          <t>1.A.1.a.i</t>
        </is>
      </c>
      <c r="X3287" s="4" t="inlineStr">
        <is>
          <t>Generación de electricidad</t>
        </is>
      </c>
      <c r="Y3287" s="4" t="inlineStr">
        <is>
          <t>COMB_DOIL</t>
        </is>
      </c>
      <c r="Z3287" s="4" t="s">
        <v>4018</v>
      </c>
      <c r="AA3287" s="13">
        <v>3.0</v>
      </c>
      <c r="AB3287" s="4" t="s">
        <v>4281</v>
      </c>
      <c r="AC3287" s="4"/>
      <c r="AD3287" s="4"/>
      <c r="AE3287" s="4"/>
      <c r="AF3287" s="4"/>
      <c r="AG3287" s="4"/>
      <c r="AH3287" s="4"/>
      <c r="AI3287" s="4"/>
      <c r="AJ3287" s="4"/>
      <c r="AK3287" s="4"/>
      <c r="AL3287" s="4" t="inlineStr">
        <is>
          <t>BTR1 Guatemala 2024, tabla 3.17, p. 57; fila Diésel; gas CH4</t>
        </is>
      </c>
      <c r="AM3287" s="4" t="inlineStr">
        <is>
          <t>Factor por combustible documentado en el BTR1, con origen metodológico IPCC. Se aplica como parámetro constante aproximado a 2018–2024; el año de la clave permite unirlo a la actividad, no representa una nueva observación anual.</t>
        </is>
      </c>
    </row>
    <row r="3288" customFormat="false" ht="57.45" hidden="false" customHeight="false" outlineLevel="0" collapsed="false">
      <c r="A3288" s="4" t="s">
        <v>4270</v>
      </c>
      <c r="B3288" s="4" t="inlineStr">
        <is>
          <t>FE_COMB|2021|1.A.1.a.i|COMB_DOIL|N2O</t>
        </is>
      </c>
      <c r="C3288" s="4" t="inlineStr">
        <is>
          <t>2021|1.A.1.a.i|COMB_DOIL|N2O</t>
        </is>
      </c>
      <c r="D3288" s="12" t="n">
        <v>2021</v>
      </c>
      <c r="E3288" s="12">
        <v>2024.0</v>
      </c>
      <c r="F3288" s="4" t="inlineStr">
        <is>
          <t>PRX</t>
        </is>
      </c>
      <c r="G3288" s="4" t="inlineStr">
        <is>
          <t>MARN_GTM_BTR1_2024</t>
        </is>
      </c>
      <c r="H3288" s="4" t="inlineStr">
        <is>
          <t>Guatemala. Primer Informe Bienal de Transparencia (BTR1), 2024</t>
        </is>
      </c>
      <c r="I3288" s="4" t="inlineStr">
        <is>
          <t>https://unfccc.int/documents/646195</t>
        </is>
      </c>
      <c r="J3288" s="4" t="inlineStr">
        <is>
          <t>BTR1|2024|T3.17|DOIL|N2O</t>
        </is>
      </c>
      <c r="K3288" s="4" t="inlineStr">
        <is>
          <t>DOIL</t>
        </is>
      </c>
      <c r="L3288" s="4" t="inlineStr">
        <is>
          <t>Diésel / gas oil</t>
        </is>
      </c>
      <c r="M3288" s="4"/>
      <c r="N3288" s="4"/>
      <c r="O3288" s="4"/>
      <c r="P3288" s="4"/>
      <c r="Q3288" s="4" t="inlineStr">
        <is>
          <t>FE_POR_COMBUSTIBLE_BTR1</t>
        </is>
      </c>
      <c r="R3288" s="4"/>
      <c r="S3288" s="4">
        <v>0.6</v>
      </c>
      <c r="T3288" s="4" t="inlineStr">
        <is>
          <t>kg N2O/TJ</t>
        </is>
      </c>
      <c r="U3288" s="4"/>
      <c r="V3288" s="4"/>
      <c r="W3288" s="4" t="inlineStr">
        <is>
          <t>1.A.1.a.i</t>
        </is>
      </c>
      <c r="X3288" s="4" t="inlineStr">
        <is>
          <t>Generación de electricidad</t>
        </is>
      </c>
      <c r="Y3288" s="4" t="inlineStr">
        <is>
          <t>COMB_DOIL</t>
        </is>
      </c>
      <c r="Z3288" s="4" t="s">
        <v>4048</v>
      </c>
      <c r="AA3288" s="13">
        <v>0.6</v>
      </c>
      <c r="AB3288" s="4" t="s">
        <v>4287</v>
      </c>
      <c r="AC3288" s="4"/>
      <c r="AD3288" s="4"/>
      <c r="AE3288" s="4"/>
      <c r="AF3288" s="4"/>
      <c r="AG3288" s="4"/>
      <c r="AH3288" s="4"/>
      <c r="AI3288" s="4"/>
      <c r="AJ3288" s="4"/>
      <c r="AK3288" s="4"/>
      <c r="AL3288" s="4" t="inlineStr">
        <is>
          <t>BTR1 Guatemala 2024, tabla 3.17, p. 57; fila Diésel; gas N2O</t>
        </is>
      </c>
      <c r="AM3288" s="4" t="inlineStr">
        <is>
          <t>Factor por combustible documentado en el BTR1, con origen metodológico IPCC. Se aplica como parámetro constante aproximado a 2018–2024; el año de la clave permite unirlo a la actividad, no representa una nueva observación anual.</t>
        </is>
      </c>
    </row>
    <row r="3289" customFormat="false" ht="57.45" hidden="false" customHeight="false" outlineLevel="0" collapsed="false">
      <c r="A3289" s="4" t="s">
        <v>4270</v>
      </c>
      <c r="B3289" s="4" t="inlineStr">
        <is>
          <t>FE_COMB|2021|1.A.1.a.i|COMB_FOIL|CO2</t>
        </is>
      </c>
      <c r="C3289" s="4" t="inlineStr">
        <is>
          <t>2021|1.A.1.a.i|COMB_FOIL|CO2</t>
        </is>
      </c>
      <c r="D3289" s="12" t="n">
        <v>2021</v>
      </c>
      <c r="E3289" s="12">
        <v>2024.0</v>
      </c>
      <c r="F3289" s="4" t="inlineStr">
        <is>
          <t>PRX</t>
        </is>
      </c>
      <c r="G3289" s="4" t="inlineStr">
        <is>
          <t>MARN_GTM_BTR1_2024</t>
        </is>
      </c>
      <c r="H3289" s="4" t="inlineStr">
        <is>
          <t>Guatemala. Primer Informe Bienal de Transparencia (BTR1), 2024</t>
        </is>
      </c>
      <c r="I3289" s="4" t="inlineStr">
        <is>
          <t>https://unfccc.int/documents/646195</t>
        </is>
      </c>
      <c r="J3289" s="4" t="inlineStr">
        <is>
          <t>BTR1|2024|T3.6|FOIL|CO2</t>
        </is>
      </c>
      <c r="K3289" s="4" t="inlineStr">
        <is>
          <t>FOIL</t>
        </is>
      </c>
      <c r="L3289" s="4" t="inlineStr">
        <is>
          <t>Fuel oil</t>
        </is>
      </c>
      <c r="M3289" s="4"/>
      <c r="N3289" s="4"/>
      <c r="O3289" s="4"/>
      <c r="P3289" s="4"/>
      <c r="Q3289" s="4" t="inlineStr">
        <is>
          <t>FE_POR_COMBUSTIBLE_BTR1</t>
        </is>
      </c>
      <c r="R3289" s="4"/>
      <c r="S3289" s="4">
        <v>77400.0</v>
      </c>
      <c r="T3289" s="4" t="inlineStr">
        <is>
          <t>kg CO2/TJ</t>
        </is>
      </c>
      <c r="U3289" s="4"/>
      <c r="V3289" s="4"/>
      <c r="W3289" s="4" t="inlineStr">
        <is>
          <t>1.A.1.a.i</t>
        </is>
      </c>
      <c r="X3289" s="4" t="inlineStr">
        <is>
          <t>Generación de electricidad</t>
        </is>
      </c>
      <c r="Y3289" s="4" t="inlineStr">
        <is>
          <t>COMB_FOIL</t>
        </is>
      </c>
      <c r="Z3289" s="4" t="s">
        <v>4012</v>
      </c>
      <c r="AA3289" s="13">
        <v>77400.0</v>
      </c>
      <c r="AB3289" s="4" t="s">
        <v>4275</v>
      </c>
      <c r="AC3289" s="4"/>
      <c r="AD3289" s="4"/>
      <c r="AE3289" s="4"/>
      <c r="AF3289" s="4"/>
      <c r="AG3289" s="4"/>
      <c r="AH3289" s="4"/>
      <c r="AI3289" s="4"/>
      <c r="AJ3289" s="4"/>
      <c r="AK3289" s="4"/>
      <c r="AL3289" s="4" t="inlineStr">
        <is>
          <t>BTR1 Guatemala 2024, tabla 3.6, p. 48; fila Fuelóleo residual; gas CO2</t>
        </is>
      </c>
      <c r="AM3289" s="4" t="inlineStr">
        <is>
          <t>Factor por combustible documentado en el BTR1, con origen metodológico IPCC. Se aplica como parámetro constante aproximado a 2018–2024; el año de la clave permite unirlo a la actividad, no representa una nueva observación anual.</t>
        </is>
      </c>
    </row>
    <row r="3290" customFormat="false" ht="57.45" hidden="false" customHeight="false" outlineLevel="0" collapsed="false">
      <c r="A3290" s="4" t="s">
        <v>4270</v>
      </c>
      <c r="B3290" s="4" t="inlineStr">
        <is>
          <t>FE_COMB|2021|1.A.1.a.i|COMB_FOIL|CH4</t>
        </is>
      </c>
      <c r="C3290" s="4" t="inlineStr">
        <is>
          <t>2021|1.A.1.a.i|COMB_FOIL|CH4</t>
        </is>
      </c>
      <c r="D3290" s="12" t="n">
        <v>2021</v>
      </c>
      <c r="E3290" s="12">
        <v>2024.0</v>
      </c>
      <c r="F3290" s="4" t="inlineStr">
        <is>
          <t>PRX</t>
        </is>
      </c>
      <c r="G3290" s="4" t="inlineStr">
        <is>
          <t>MARN_GTM_BTR1_2024</t>
        </is>
      </c>
      <c r="H3290" s="4" t="inlineStr">
        <is>
          <t>Guatemala. Primer Informe Bienal de Transparencia (BTR1), 2024</t>
        </is>
      </c>
      <c r="I3290" s="4" t="inlineStr">
        <is>
          <t>https://unfccc.int/documents/646195</t>
        </is>
      </c>
      <c r="J3290" s="4" t="inlineStr">
        <is>
          <t>BTR1|2024|T3.17|FOIL|CH4</t>
        </is>
      </c>
      <c r="K3290" s="4" t="inlineStr">
        <is>
          <t>FOIL</t>
        </is>
      </c>
      <c r="L3290" s="4" t="inlineStr">
        <is>
          <t>Fuel oil</t>
        </is>
      </c>
      <c r="M3290" s="4"/>
      <c r="N3290" s="4"/>
      <c r="O3290" s="4"/>
      <c r="P3290" s="4"/>
      <c r="Q3290" s="4" t="inlineStr">
        <is>
          <t>FE_POR_COMBUSTIBLE_BTR1</t>
        </is>
      </c>
      <c r="R3290" s="4"/>
      <c r="S3290" s="4">
        <v>3.0</v>
      </c>
      <c r="T3290" s="4" t="inlineStr">
        <is>
          <t>kg CH4/TJ</t>
        </is>
      </c>
      <c r="U3290" s="4"/>
      <c r="V3290" s="4"/>
      <c r="W3290" s="4" t="inlineStr">
        <is>
          <t>1.A.1.a.i</t>
        </is>
      </c>
      <c r="X3290" s="4" t="inlineStr">
        <is>
          <t>Generación de electricidad</t>
        </is>
      </c>
      <c r="Y3290" s="4" t="inlineStr">
        <is>
          <t>COMB_FOIL</t>
        </is>
      </c>
      <c r="Z3290" s="4" t="s">
        <v>4018</v>
      </c>
      <c r="AA3290" s="13">
        <v>3.0</v>
      </c>
      <c r="AB3290" s="4" t="s">
        <v>4281</v>
      </c>
      <c r="AC3290" s="4"/>
      <c r="AD3290" s="4"/>
      <c r="AE3290" s="4"/>
      <c r="AF3290" s="4"/>
      <c r="AG3290" s="4"/>
      <c r="AH3290" s="4"/>
      <c r="AI3290" s="4"/>
      <c r="AJ3290" s="4"/>
      <c r="AK3290" s="4"/>
      <c r="AL3290" s="4" t="inlineStr">
        <is>
          <t>BTR1 Guatemala 2024, tabla 3.17, p. 57; fila Fuelóleo residual; gas CH4</t>
        </is>
      </c>
      <c r="AM3290" s="4" t="inlineStr">
        <is>
          <t>Factor por combustible documentado en el BTR1, con origen metodológico IPCC. Se aplica como parámetro constante aproximado a 2018–2024; el año de la clave permite unirlo a la actividad, no representa una nueva observación anual.</t>
        </is>
      </c>
    </row>
    <row r="3291" customFormat="false" ht="57.45" hidden="false" customHeight="false" outlineLevel="0" collapsed="false">
      <c r="A3291" s="4" t="s">
        <v>4270</v>
      </c>
      <c r="B3291" s="4" t="inlineStr">
        <is>
          <t>FE_COMB|2021|1.A.1.a.i|COMB_FOIL|N2O</t>
        </is>
      </c>
      <c r="C3291" s="4" t="inlineStr">
        <is>
          <t>2021|1.A.1.a.i|COMB_FOIL|N2O</t>
        </is>
      </c>
      <c r="D3291" s="12" t="n">
        <v>2021</v>
      </c>
      <c r="E3291" s="12">
        <v>2024.0</v>
      </c>
      <c r="F3291" s="4" t="inlineStr">
        <is>
          <t>PRX</t>
        </is>
      </c>
      <c r="G3291" s="4" t="inlineStr">
        <is>
          <t>MARN_GTM_BTR1_2024</t>
        </is>
      </c>
      <c r="H3291" s="4" t="inlineStr">
        <is>
          <t>Guatemala. Primer Informe Bienal de Transparencia (BTR1), 2024</t>
        </is>
      </c>
      <c r="I3291" s="4" t="inlineStr">
        <is>
          <t>https://unfccc.int/documents/646195</t>
        </is>
      </c>
      <c r="J3291" s="4" t="inlineStr">
        <is>
          <t>BTR1|2024|T3.17|FOIL|N2O</t>
        </is>
      </c>
      <c r="K3291" s="4" t="inlineStr">
        <is>
          <t>FOIL</t>
        </is>
      </c>
      <c r="L3291" s="4" t="inlineStr">
        <is>
          <t>Fuel oil</t>
        </is>
      </c>
      <c r="M3291" s="4"/>
      <c r="N3291" s="4"/>
      <c r="O3291" s="4"/>
      <c r="P3291" s="4"/>
      <c r="Q3291" s="4" t="inlineStr">
        <is>
          <t>FE_POR_COMBUSTIBLE_BTR1</t>
        </is>
      </c>
      <c r="R3291" s="4"/>
      <c r="S3291" s="4">
        <v>0.6</v>
      </c>
      <c r="T3291" s="4" t="inlineStr">
        <is>
          <t>kg N2O/TJ</t>
        </is>
      </c>
      <c r="U3291" s="4"/>
      <c r="V3291" s="4"/>
      <c r="W3291" s="4" t="inlineStr">
        <is>
          <t>1.A.1.a.i</t>
        </is>
      </c>
      <c r="X3291" s="4" t="inlineStr">
        <is>
          <t>Generación de electricidad</t>
        </is>
      </c>
      <c r="Y3291" s="4" t="inlineStr">
        <is>
          <t>COMB_FOIL</t>
        </is>
      </c>
      <c r="Z3291" s="4" t="s">
        <v>4048</v>
      </c>
      <c r="AA3291" s="13">
        <v>0.6</v>
      </c>
      <c r="AB3291" s="4" t="s">
        <v>4287</v>
      </c>
      <c r="AC3291" s="4"/>
      <c r="AD3291" s="4"/>
      <c r="AE3291" s="4"/>
      <c r="AF3291" s="4"/>
      <c r="AG3291" s="4"/>
      <c r="AH3291" s="4"/>
      <c r="AI3291" s="4"/>
      <c r="AJ3291" s="4"/>
      <c r="AK3291" s="4"/>
      <c r="AL3291" s="4" t="inlineStr">
        <is>
          <t>BTR1 Guatemala 2024, tabla 3.17, p. 57; fila Fuelóleo residual; gas N2O</t>
        </is>
      </c>
      <c r="AM3291" s="4" t="inlineStr">
        <is>
          <t>Factor por combustible documentado en el BTR1, con origen metodológico IPCC. Se aplica como parámetro constante aproximado a 2018–2024; el año de la clave permite unirlo a la actividad, no representa una nueva observación anual.</t>
        </is>
      </c>
    </row>
    <row r="3292" customFormat="false" ht="57.45" hidden="false" customHeight="false" outlineLevel="0" collapsed="false">
      <c r="A3292" s="4" t="s">
        <v>4270</v>
      </c>
      <c r="B3292" s="4" t="inlineStr">
        <is>
          <t>FE_COMB|2021|1.A.1.a.i|COMB_LENA|CO2</t>
        </is>
      </c>
      <c r="C3292" s="4" t="inlineStr">
        <is>
          <t>2021|1.A.1.a.i|COMB_LENA|CO2</t>
        </is>
      </c>
      <c r="D3292" s="12" t="n">
        <v>2021</v>
      </c>
      <c r="E3292" s="12">
        <v>2024.0</v>
      </c>
      <c r="F3292" s="4" t="inlineStr">
        <is>
          <t>PRX</t>
        </is>
      </c>
      <c r="G3292" s="4" t="inlineStr">
        <is>
          <t>MARN_GTM_BTR1_2024</t>
        </is>
      </c>
      <c r="H3292" s="4" t="inlineStr">
        <is>
          <t>Guatemala. Primer Informe Bienal de Transparencia (BTR1), 2024</t>
        </is>
      </c>
      <c r="I3292" s="4" t="inlineStr">
        <is>
          <t>https://unfccc.int/documents/646195</t>
        </is>
      </c>
      <c r="J3292" s="4" t="inlineStr">
        <is>
          <t>BTR1|2024|T3.6|LENA|CO2</t>
        </is>
      </c>
      <c r="K3292" s="4" t="inlineStr">
        <is>
          <t>LENA</t>
        </is>
      </c>
      <c r="L3292" s="4" t="inlineStr">
        <is>
          <t>Leña</t>
        </is>
      </c>
      <c r="M3292" s="4"/>
      <c r="N3292" s="4"/>
      <c r="O3292" s="4"/>
      <c r="P3292" s="4"/>
      <c r="Q3292" s="4" t="inlineStr">
        <is>
          <t>FE_POR_COMBUSTIBLE_BTR1</t>
        </is>
      </c>
      <c r="R3292" s="4"/>
      <c r="S3292" s="4">
        <v>112000.0</v>
      </c>
      <c r="T3292" s="4" t="inlineStr">
        <is>
          <t>kg CO2/TJ</t>
        </is>
      </c>
      <c r="U3292" s="4"/>
      <c r="V3292" s="4"/>
      <c r="W3292" s="4" t="inlineStr">
        <is>
          <t>1.A.1.a.i</t>
        </is>
      </c>
      <c r="X3292" s="4" t="inlineStr">
        <is>
          <t>Generación de electricidad</t>
        </is>
      </c>
      <c r="Y3292" s="4" t="inlineStr">
        <is>
          <t>COMB_LENA</t>
        </is>
      </c>
      <c r="Z3292" s="4" t="s">
        <v>4012</v>
      </c>
      <c r="AA3292" s="13">
        <v>112000.0</v>
      </c>
      <c r="AB3292" s="4" t="s">
        <v>4275</v>
      </c>
      <c r="AC3292" s="4"/>
      <c r="AD3292" s="4"/>
      <c r="AE3292" s="4"/>
      <c r="AF3292" s="4"/>
      <c r="AG3292" s="4"/>
      <c r="AH3292" s="4"/>
      <c r="AI3292" s="4"/>
      <c r="AJ3292" s="4"/>
      <c r="AK3292" s="4"/>
      <c r="AL3292" s="4" t="inlineStr">
        <is>
          <t>BTR1 Guatemala 2024, tabla 3.6, p. 48; fila Madera/desechos de madera; gas CO2</t>
        </is>
      </c>
      <c r="AM3292"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93" customFormat="false" ht="57.45" hidden="false" customHeight="false" outlineLevel="0" collapsed="false">
      <c r="A3293" s="4" t="s">
        <v>4270</v>
      </c>
      <c r="B3293" s="4" t="inlineStr">
        <is>
          <t>FE_COMB|2021|1.A.1.a.i|COMB_LENA|CH4</t>
        </is>
      </c>
      <c r="C3293" s="4" t="inlineStr">
        <is>
          <t>2021|1.A.1.a.i|COMB_LENA|CH4</t>
        </is>
      </c>
      <c r="D3293" s="12" t="n">
        <v>2021</v>
      </c>
      <c r="E3293" s="12">
        <v>2024.0</v>
      </c>
      <c r="F3293" s="4" t="inlineStr">
        <is>
          <t>PRX</t>
        </is>
      </c>
      <c r="G3293" s="4" t="inlineStr">
        <is>
          <t>MARN_GTM_BTR1_2024</t>
        </is>
      </c>
      <c r="H3293" s="4" t="inlineStr">
        <is>
          <t>Guatemala. Primer Informe Bienal de Transparencia (BTR1), 2024</t>
        </is>
      </c>
      <c r="I3293" s="4" t="inlineStr">
        <is>
          <t>https://unfccc.int/documents/646195</t>
        </is>
      </c>
      <c r="J3293" s="4" t="inlineStr">
        <is>
          <t>BTR1|2024|T3.17|LENA|CH4</t>
        </is>
      </c>
      <c r="K3293" s="4" t="inlineStr">
        <is>
          <t>LENA</t>
        </is>
      </c>
      <c r="L3293" s="4" t="inlineStr">
        <is>
          <t>Leña</t>
        </is>
      </c>
      <c r="M3293" s="4"/>
      <c r="N3293" s="4"/>
      <c r="O3293" s="4"/>
      <c r="P3293" s="4"/>
      <c r="Q3293" s="4" t="inlineStr">
        <is>
          <t>FE_POR_COMBUSTIBLE_BTR1</t>
        </is>
      </c>
      <c r="R3293" s="4"/>
      <c r="S3293" s="4">
        <v>30.0</v>
      </c>
      <c r="T3293" s="4" t="inlineStr">
        <is>
          <t>kg CH4/TJ</t>
        </is>
      </c>
      <c r="U3293" s="4"/>
      <c r="V3293" s="4"/>
      <c r="W3293" s="4" t="inlineStr">
        <is>
          <t>1.A.1.a.i</t>
        </is>
      </c>
      <c r="X3293" s="4" t="inlineStr">
        <is>
          <t>Generación de electricidad</t>
        </is>
      </c>
      <c r="Y3293" s="4" t="inlineStr">
        <is>
          <t>COMB_LENA</t>
        </is>
      </c>
      <c r="Z3293" s="4" t="s">
        <v>4018</v>
      </c>
      <c r="AA3293" s="13">
        <v>30.0</v>
      </c>
      <c r="AB3293" s="4" t="s">
        <v>4281</v>
      </c>
      <c r="AC3293" s="4"/>
      <c r="AD3293" s="4"/>
      <c r="AE3293" s="4"/>
      <c r="AF3293" s="4"/>
      <c r="AG3293" s="4"/>
      <c r="AH3293" s="4"/>
      <c r="AI3293" s="4"/>
      <c r="AJ3293" s="4"/>
      <c r="AK3293" s="4"/>
      <c r="AL3293" s="4" t="inlineStr">
        <is>
          <t>BTR1 Guatemala 2024, tabla 3.17, p. 57; fila Madera/desechos de madera; gas CH4</t>
        </is>
      </c>
      <c r="AM3293"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94" customFormat="false" ht="57.45" hidden="false" customHeight="false" outlineLevel="0" collapsed="false">
      <c r="A3294" s="4" t="s">
        <v>4270</v>
      </c>
      <c r="B3294" s="4" t="inlineStr">
        <is>
          <t>FE_COMB|2021|1.A.1.a.i|COMB_LENA|N2O</t>
        </is>
      </c>
      <c r="C3294" s="4" t="inlineStr">
        <is>
          <t>2021|1.A.1.a.i|COMB_LENA|N2O</t>
        </is>
      </c>
      <c r="D3294" s="12" t="n">
        <v>2021</v>
      </c>
      <c r="E3294" s="12">
        <v>2024.0</v>
      </c>
      <c r="F3294" s="4" t="inlineStr">
        <is>
          <t>PRX</t>
        </is>
      </c>
      <c r="G3294" s="4" t="inlineStr">
        <is>
          <t>MARN_GTM_BTR1_2024</t>
        </is>
      </c>
      <c r="H3294" s="4" t="inlineStr">
        <is>
          <t>Guatemala. Primer Informe Bienal de Transparencia (BTR1), 2024</t>
        </is>
      </c>
      <c r="I3294" s="4" t="inlineStr">
        <is>
          <t>https://unfccc.int/documents/646195</t>
        </is>
      </c>
      <c r="J3294" s="4" t="inlineStr">
        <is>
          <t>BTR1|2024|T3.17|LENA|N2O</t>
        </is>
      </c>
      <c r="K3294" s="4" t="inlineStr">
        <is>
          <t>LENA</t>
        </is>
      </c>
      <c r="L3294" s="4" t="inlineStr">
        <is>
          <t>Leña</t>
        </is>
      </c>
      <c r="M3294" s="4"/>
      <c r="N3294" s="4"/>
      <c r="O3294" s="4"/>
      <c r="P3294" s="4"/>
      <c r="Q3294" s="4" t="inlineStr">
        <is>
          <t>FE_POR_COMBUSTIBLE_BTR1</t>
        </is>
      </c>
      <c r="R3294" s="4"/>
      <c r="S3294" s="4">
        <v>4.0</v>
      </c>
      <c r="T3294" s="4" t="inlineStr">
        <is>
          <t>kg N2O/TJ</t>
        </is>
      </c>
      <c r="U3294" s="4"/>
      <c r="V3294" s="4"/>
      <c r="W3294" s="4" t="inlineStr">
        <is>
          <t>1.A.1.a.i</t>
        </is>
      </c>
      <c r="X3294" s="4" t="inlineStr">
        <is>
          <t>Generación de electricidad</t>
        </is>
      </c>
      <c r="Y3294" s="4" t="inlineStr">
        <is>
          <t>COMB_LENA</t>
        </is>
      </c>
      <c r="Z3294" s="4" t="s">
        <v>4048</v>
      </c>
      <c r="AA3294" s="13">
        <v>4.0</v>
      </c>
      <c r="AB3294" s="4" t="s">
        <v>4287</v>
      </c>
      <c r="AC3294" s="4"/>
      <c r="AD3294" s="4"/>
      <c r="AE3294" s="4"/>
      <c r="AF3294" s="4"/>
      <c r="AG3294" s="4"/>
      <c r="AH3294" s="4"/>
      <c r="AI3294" s="4"/>
      <c r="AJ3294" s="4"/>
      <c r="AK3294" s="4"/>
      <c r="AL3294" s="4" t="inlineStr">
        <is>
          <t>BTR1 Guatemala 2024, tabla 3.17, p. 57; fila Madera/desechos de madera; gas N2O</t>
        </is>
      </c>
      <c r="AM3294"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295" customFormat="false" ht="46.25" hidden="false" customHeight="false" outlineLevel="0" collapsed="false">
      <c r="A3295" s="4" t="s">
        <v>4270</v>
      </c>
      <c r="B3295" s="4" t="inlineStr">
        <is>
          <t>FE_COMB|2021|1.A.2|COMB_COQUE|CO2</t>
        </is>
      </c>
      <c r="C3295" s="4" t="inlineStr">
        <is>
          <t>2021|1.A.2|COMB_COQUE|CO2</t>
        </is>
      </c>
      <c r="D3295" s="12" t="n">
        <v>2021</v>
      </c>
      <c r="E3295" s="12">
        <v>2024.0</v>
      </c>
      <c r="F3295" s="4" t="inlineStr">
        <is>
          <t>PRX</t>
        </is>
      </c>
      <c r="G3295" s="4" t="inlineStr">
        <is>
          <t>MARN_GTM_BTR1_2024</t>
        </is>
      </c>
      <c r="H3295" s="4" t="inlineStr">
        <is>
          <t>Guatemala. Primer Informe Bienal de Transparencia (BTR1), 2024</t>
        </is>
      </c>
      <c r="I3295" s="4" t="inlineStr">
        <is>
          <t>https://unfccc.int/documents/646195</t>
        </is>
      </c>
      <c r="J3295" s="4" t="inlineStr">
        <is>
          <t>BTR1|2024|T3.6|COQUE|CO2</t>
        </is>
      </c>
      <c r="K3295" s="4" t="inlineStr">
        <is>
          <t>COQUE</t>
        </is>
      </c>
      <c r="L3295" s="4" t="inlineStr">
        <is>
          <t>Coque</t>
        </is>
      </c>
      <c r="M3295" s="4"/>
      <c r="N3295" s="4"/>
      <c r="O3295" s="4"/>
      <c r="P3295" s="4"/>
      <c r="Q3295" s="4" t="inlineStr">
        <is>
          <t>FE_POR_COMBUSTIBLE_BTR1</t>
        </is>
      </c>
      <c r="R3295" s="4"/>
      <c r="S3295" s="4">
        <v>97500.0</v>
      </c>
      <c r="T3295" s="4" t="inlineStr">
        <is>
          <t>kg CO2/TJ</t>
        </is>
      </c>
      <c r="U3295" s="4"/>
      <c r="V3295" s="4"/>
      <c r="W3295" s="4" t="inlineStr">
        <is>
          <t>1.A.2</t>
        </is>
      </c>
      <c r="X3295" s="4" t="inlineStr">
        <is>
          <t>Industrias manufactureras y construcción</t>
        </is>
      </c>
      <c r="Y3295" s="4" t="inlineStr">
        <is>
          <t>COMB_COQUE</t>
        </is>
      </c>
      <c r="Z3295" s="4" t="s">
        <v>4012</v>
      </c>
      <c r="AA3295" s="13">
        <v>97500.0</v>
      </c>
      <c r="AB3295" s="4" t="s">
        <v>4275</v>
      </c>
      <c r="AC3295" s="4"/>
      <c r="AD3295" s="4"/>
      <c r="AE3295" s="4"/>
      <c r="AF3295" s="4"/>
      <c r="AG3295" s="4"/>
      <c r="AH3295" s="4"/>
      <c r="AI3295" s="4"/>
      <c r="AJ3295" s="4"/>
      <c r="AK3295" s="4"/>
      <c r="AL3295" s="4" t="inlineStr">
        <is>
          <t>BTR1 Guatemala 2024, tabla 3.6, p. 48; fila Coque de petróleo; gas CO2</t>
        </is>
      </c>
      <c r="AM3295"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296" customFormat="false" ht="46.25" hidden="false" customHeight="false" outlineLevel="0" collapsed="false">
      <c r="A3296" s="4" t="s">
        <v>4270</v>
      </c>
      <c r="B3296" s="4" t="inlineStr">
        <is>
          <t>FE_COMB|2021|1.A.2|COMB_COQUE|CH4</t>
        </is>
      </c>
      <c r="C3296" s="4" t="inlineStr">
        <is>
          <t>2021|1.A.2|COMB_COQUE|CH4</t>
        </is>
      </c>
      <c r="D3296" s="12" t="n">
        <v>2021</v>
      </c>
      <c r="E3296" s="12">
        <v>2024.0</v>
      </c>
      <c r="F3296" s="4" t="inlineStr">
        <is>
          <t>PRX</t>
        </is>
      </c>
      <c r="G3296" s="4" t="inlineStr">
        <is>
          <t>MARN_GTM_BTR1_2024</t>
        </is>
      </c>
      <c r="H3296" s="4" t="inlineStr">
        <is>
          <t>Guatemala. Primer Informe Bienal de Transparencia (BTR1), 2024</t>
        </is>
      </c>
      <c r="I3296" s="4" t="inlineStr">
        <is>
          <t>https://unfccc.int/documents/646195</t>
        </is>
      </c>
      <c r="J3296" s="4" t="inlineStr">
        <is>
          <t>BTR1|2024|T3.22|COQUE|CH4</t>
        </is>
      </c>
      <c r="K3296" s="4" t="inlineStr">
        <is>
          <t>COQUE</t>
        </is>
      </c>
      <c r="L3296" s="4" t="inlineStr">
        <is>
          <t>Coque</t>
        </is>
      </c>
      <c r="M3296" s="4"/>
      <c r="N3296" s="4"/>
      <c r="O3296" s="4"/>
      <c r="P3296" s="4"/>
      <c r="Q3296" s="4" t="inlineStr">
        <is>
          <t>FE_POR_COMBUSTIBLE_BTR1</t>
        </is>
      </c>
      <c r="R3296" s="4"/>
      <c r="S3296" s="4">
        <v>3.0</v>
      </c>
      <c r="T3296" s="4" t="inlineStr">
        <is>
          <t>kg CH4/TJ</t>
        </is>
      </c>
      <c r="U3296" s="4"/>
      <c r="V3296" s="4"/>
      <c r="W3296" s="4" t="inlineStr">
        <is>
          <t>1.A.2</t>
        </is>
      </c>
      <c r="X3296" s="4" t="inlineStr">
        <is>
          <t>Industrias manufactureras y construcción</t>
        </is>
      </c>
      <c r="Y3296" s="4" t="inlineStr">
        <is>
          <t>COMB_COQUE</t>
        </is>
      </c>
      <c r="Z3296" s="4" t="s">
        <v>4018</v>
      </c>
      <c r="AA3296" s="13">
        <v>3.0</v>
      </c>
      <c r="AB3296" s="4" t="s">
        <v>4281</v>
      </c>
      <c r="AC3296" s="4"/>
      <c r="AD3296" s="4"/>
      <c r="AE3296" s="4"/>
      <c r="AF3296" s="4"/>
      <c r="AG3296" s="4"/>
      <c r="AH3296" s="4"/>
      <c r="AI3296" s="4"/>
      <c r="AJ3296" s="4"/>
      <c r="AK3296" s="4"/>
      <c r="AL3296" s="4" t="inlineStr">
        <is>
          <t>BTR1 Guatemala 2024, tabla 3.22, p. 62; fila Coque de petróleo; gas CH4</t>
        </is>
      </c>
      <c r="AM3296"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297" customFormat="false" ht="46.25" hidden="false" customHeight="false" outlineLevel="0" collapsed="false">
      <c r="A3297" s="4" t="s">
        <v>4270</v>
      </c>
      <c r="B3297" s="4" t="inlineStr">
        <is>
          <t>FE_COMB|2021|1.A.2|COMB_COQUE|N2O</t>
        </is>
      </c>
      <c r="C3297" s="4" t="inlineStr">
        <is>
          <t>2021|1.A.2|COMB_COQUE|N2O</t>
        </is>
      </c>
      <c r="D3297" s="12" t="n">
        <v>2021</v>
      </c>
      <c r="E3297" s="12">
        <v>2024.0</v>
      </c>
      <c r="F3297" s="4" t="inlineStr">
        <is>
          <t>PRX</t>
        </is>
      </c>
      <c r="G3297" s="4" t="inlineStr">
        <is>
          <t>MARN_GTM_BTR1_2024</t>
        </is>
      </c>
      <c r="H3297" s="4" t="inlineStr">
        <is>
          <t>Guatemala. Primer Informe Bienal de Transparencia (BTR1), 2024</t>
        </is>
      </c>
      <c r="I3297" s="4" t="inlineStr">
        <is>
          <t>https://unfccc.int/documents/646195</t>
        </is>
      </c>
      <c r="J3297" s="4" t="inlineStr">
        <is>
          <t>BTR1|2024|T3.22|COQUE|N2O</t>
        </is>
      </c>
      <c r="K3297" s="4" t="inlineStr">
        <is>
          <t>COQUE</t>
        </is>
      </c>
      <c r="L3297" s="4" t="inlineStr">
        <is>
          <t>Coque</t>
        </is>
      </c>
      <c r="M3297" s="4"/>
      <c r="N3297" s="4"/>
      <c r="O3297" s="4"/>
      <c r="P3297" s="4"/>
      <c r="Q3297" s="4" t="inlineStr">
        <is>
          <t>FE_POR_COMBUSTIBLE_BTR1</t>
        </is>
      </c>
      <c r="R3297" s="4"/>
      <c r="S3297" s="4">
        <v>0.6</v>
      </c>
      <c r="T3297" s="4" t="inlineStr">
        <is>
          <t>kg N2O/TJ</t>
        </is>
      </c>
      <c r="U3297" s="4"/>
      <c r="V3297" s="4"/>
      <c r="W3297" s="4" t="inlineStr">
        <is>
          <t>1.A.2</t>
        </is>
      </c>
      <c r="X3297" s="4" t="inlineStr">
        <is>
          <t>Industrias manufactureras y construcción</t>
        </is>
      </c>
      <c r="Y3297" s="4" t="inlineStr">
        <is>
          <t>COMB_COQUE</t>
        </is>
      </c>
      <c r="Z3297" s="4" t="s">
        <v>4048</v>
      </c>
      <c r="AA3297" s="13">
        <v>0.6</v>
      </c>
      <c r="AB3297" s="4" t="s">
        <v>4287</v>
      </c>
      <c r="AC3297" s="4"/>
      <c r="AD3297" s="4"/>
      <c r="AE3297" s="4"/>
      <c r="AF3297" s="4"/>
      <c r="AG3297" s="4"/>
      <c r="AH3297" s="4"/>
      <c r="AI3297" s="4"/>
      <c r="AJ3297" s="4"/>
      <c r="AK3297" s="4"/>
      <c r="AL3297" s="4" t="inlineStr">
        <is>
          <t>BTR1 Guatemala 2024, tabla 3.22, p. 62; fila Coque de petróleo; gas N2O</t>
        </is>
      </c>
      <c r="AM3297"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298" customFormat="false" ht="57.45" hidden="false" customHeight="false" outlineLevel="0" collapsed="false">
      <c r="A3298" s="4" t="s">
        <v>4270</v>
      </c>
      <c r="B3298" s="4" t="inlineStr">
        <is>
          <t>FE_COMB|2021|1.A.2|COMB_DOIL|CO2</t>
        </is>
      </c>
      <c r="C3298" s="4" t="inlineStr">
        <is>
          <t>2021|1.A.2|COMB_DOIL|CO2</t>
        </is>
      </c>
      <c r="D3298" s="12" t="n">
        <v>2021</v>
      </c>
      <c r="E3298" s="12">
        <v>2024.0</v>
      </c>
      <c r="F3298" s="4" t="inlineStr">
        <is>
          <t>PRX</t>
        </is>
      </c>
      <c r="G3298" s="4" t="inlineStr">
        <is>
          <t>MARN_GTM_BTR1_2024</t>
        </is>
      </c>
      <c r="H3298" s="4" t="inlineStr">
        <is>
          <t>Guatemala. Primer Informe Bienal de Transparencia (BTR1), 2024</t>
        </is>
      </c>
      <c r="I3298" s="4" t="inlineStr">
        <is>
          <t>https://unfccc.int/documents/646195</t>
        </is>
      </c>
      <c r="J3298" s="4" t="inlineStr">
        <is>
          <t>BTR1|2024|T3.6|DOIL|CO2</t>
        </is>
      </c>
      <c r="K3298" s="4" t="inlineStr">
        <is>
          <t>DOIL</t>
        </is>
      </c>
      <c r="L3298" s="4" t="inlineStr">
        <is>
          <t>Diésel / gas oil</t>
        </is>
      </c>
      <c r="M3298" s="4"/>
      <c r="N3298" s="4"/>
      <c r="O3298" s="4"/>
      <c r="P3298" s="4"/>
      <c r="Q3298" s="4" t="inlineStr">
        <is>
          <t>FE_POR_COMBUSTIBLE_BTR1</t>
        </is>
      </c>
      <c r="R3298" s="4"/>
      <c r="S3298" s="4">
        <v>74100.0</v>
      </c>
      <c r="T3298" s="4" t="inlineStr">
        <is>
          <t>kg CO2/TJ</t>
        </is>
      </c>
      <c r="U3298" s="4"/>
      <c r="V3298" s="4"/>
      <c r="W3298" s="4" t="inlineStr">
        <is>
          <t>1.A.2</t>
        </is>
      </c>
      <c r="X3298" s="4" t="inlineStr">
        <is>
          <t>Industrias manufactureras y construcción</t>
        </is>
      </c>
      <c r="Y3298" s="4" t="inlineStr">
        <is>
          <t>COMB_DOIL</t>
        </is>
      </c>
      <c r="Z3298" s="4" t="s">
        <v>4012</v>
      </c>
      <c r="AA3298" s="13">
        <v>74100.0</v>
      </c>
      <c r="AB3298" s="4" t="s">
        <v>4275</v>
      </c>
      <c r="AC3298" s="4"/>
      <c r="AD3298" s="4"/>
      <c r="AE3298" s="4"/>
      <c r="AF3298" s="4"/>
      <c r="AG3298" s="4"/>
      <c r="AH3298" s="4"/>
      <c r="AI3298" s="4"/>
      <c r="AJ3298" s="4"/>
      <c r="AK3298" s="4"/>
      <c r="AL3298" s="4" t="inlineStr">
        <is>
          <t>BTR1 Guatemala 2024, tabla 3.6, p. 48; fila Gas/Diésel oíl; gas CO2</t>
        </is>
      </c>
      <c r="AM3298" s="4" t="inlineStr">
        <is>
          <t>Factor por combustible documentado en el BTR1, con origen metodológico IPCC. Se aplica como parámetro constante aproximado a 2018–2024; el año de la clave permite unirlo a la actividad, no representa una nueva observación anual.</t>
        </is>
      </c>
    </row>
    <row r="3299" customFormat="false" ht="57.45" hidden="false" customHeight="false" outlineLevel="0" collapsed="false">
      <c r="A3299" s="4" t="s">
        <v>4270</v>
      </c>
      <c r="B3299" s="4" t="inlineStr">
        <is>
          <t>FE_COMB|2021|1.A.2|COMB_DOIL|CH4</t>
        </is>
      </c>
      <c r="C3299" s="4" t="inlineStr">
        <is>
          <t>2021|1.A.2|COMB_DOIL|CH4</t>
        </is>
      </c>
      <c r="D3299" s="12" t="n">
        <v>2021</v>
      </c>
      <c r="E3299" s="12">
        <v>2024.0</v>
      </c>
      <c r="F3299" s="4" t="inlineStr">
        <is>
          <t>PRX</t>
        </is>
      </c>
      <c r="G3299" s="4" t="inlineStr">
        <is>
          <t>MARN_GTM_BTR1_2024</t>
        </is>
      </c>
      <c r="H3299" s="4" t="inlineStr">
        <is>
          <t>Guatemala. Primer Informe Bienal de Transparencia (BTR1), 2024</t>
        </is>
      </c>
      <c r="I3299" s="4" t="inlineStr">
        <is>
          <t>https://unfccc.int/documents/646195</t>
        </is>
      </c>
      <c r="J3299" s="4" t="inlineStr">
        <is>
          <t>BTR1|2024|T3.22|DOIL|CH4</t>
        </is>
      </c>
      <c r="K3299" s="4" t="inlineStr">
        <is>
          <t>DOIL</t>
        </is>
      </c>
      <c r="L3299" s="4" t="inlineStr">
        <is>
          <t>Diésel / gas oil</t>
        </is>
      </c>
      <c r="M3299" s="4"/>
      <c r="N3299" s="4"/>
      <c r="O3299" s="4"/>
      <c r="P3299" s="4"/>
      <c r="Q3299" s="4" t="inlineStr">
        <is>
          <t>FE_POR_COMBUSTIBLE_BTR1</t>
        </is>
      </c>
      <c r="R3299" s="4"/>
      <c r="S3299" s="4">
        <v>3.0</v>
      </c>
      <c r="T3299" s="4" t="inlineStr">
        <is>
          <t>kg CH4/TJ</t>
        </is>
      </c>
      <c r="U3299" s="4"/>
      <c r="V3299" s="4"/>
      <c r="W3299" s="4" t="inlineStr">
        <is>
          <t>1.A.2</t>
        </is>
      </c>
      <c r="X3299" s="4" t="inlineStr">
        <is>
          <t>Industrias manufactureras y construcción</t>
        </is>
      </c>
      <c r="Y3299" s="4" t="inlineStr">
        <is>
          <t>COMB_DOIL</t>
        </is>
      </c>
      <c r="Z3299" s="4" t="s">
        <v>4018</v>
      </c>
      <c r="AA3299" s="13">
        <v>3.0</v>
      </c>
      <c r="AB3299" s="4" t="s">
        <v>4281</v>
      </c>
      <c r="AC3299" s="4"/>
      <c r="AD3299" s="4"/>
      <c r="AE3299" s="4"/>
      <c r="AF3299" s="4"/>
      <c r="AG3299" s="4"/>
      <c r="AH3299" s="4"/>
      <c r="AI3299" s="4"/>
      <c r="AJ3299" s="4"/>
      <c r="AK3299" s="4"/>
      <c r="AL3299" s="4" t="inlineStr">
        <is>
          <t>BTR1 Guatemala 2024, tabla 3.22, p. 62; fila Diésel; gas CH4</t>
        </is>
      </c>
      <c r="AM3299" s="4" t="inlineStr">
        <is>
          <t>Factor por combustible documentado en el BTR1, con origen metodológico IPCC. Se aplica como parámetro constante aproximado a 2018–2024; el año de la clave permite unirlo a la actividad, no representa una nueva observación anual.</t>
        </is>
      </c>
    </row>
    <row r="3300" customFormat="false" ht="57.45" hidden="false" customHeight="false" outlineLevel="0" collapsed="false">
      <c r="A3300" s="4" t="s">
        <v>4270</v>
      </c>
      <c r="B3300" s="4" t="inlineStr">
        <is>
          <t>FE_COMB|2021|1.A.2|COMB_DOIL|N2O</t>
        </is>
      </c>
      <c r="C3300" s="4" t="inlineStr">
        <is>
          <t>2021|1.A.2|COMB_DOIL|N2O</t>
        </is>
      </c>
      <c r="D3300" s="12" t="n">
        <v>2021</v>
      </c>
      <c r="E3300" s="12">
        <v>2024.0</v>
      </c>
      <c r="F3300" s="4" t="inlineStr">
        <is>
          <t>PRX</t>
        </is>
      </c>
      <c r="G3300" s="4" t="inlineStr">
        <is>
          <t>MARN_GTM_BTR1_2024</t>
        </is>
      </c>
      <c r="H3300" s="4" t="inlineStr">
        <is>
          <t>Guatemala. Primer Informe Bienal de Transparencia (BTR1), 2024</t>
        </is>
      </c>
      <c r="I3300" s="4" t="inlineStr">
        <is>
          <t>https://unfccc.int/documents/646195</t>
        </is>
      </c>
      <c r="J3300" s="4" t="inlineStr">
        <is>
          <t>BTR1|2024|T3.22|DOIL|N2O</t>
        </is>
      </c>
      <c r="K3300" s="4" t="inlineStr">
        <is>
          <t>DOIL</t>
        </is>
      </c>
      <c r="L3300" s="4" t="inlineStr">
        <is>
          <t>Diésel / gas oil</t>
        </is>
      </c>
      <c r="M3300" s="4"/>
      <c r="N3300" s="4"/>
      <c r="O3300" s="4"/>
      <c r="P3300" s="4"/>
      <c r="Q3300" s="4" t="inlineStr">
        <is>
          <t>FE_POR_COMBUSTIBLE_BTR1</t>
        </is>
      </c>
      <c r="R3300" s="4"/>
      <c r="S3300" s="4">
        <v>0.6</v>
      </c>
      <c r="T3300" s="4" t="inlineStr">
        <is>
          <t>kg N2O/TJ</t>
        </is>
      </c>
      <c r="U3300" s="4"/>
      <c r="V3300" s="4"/>
      <c r="W3300" s="4" t="inlineStr">
        <is>
          <t>1.A.2</t>
        </is>
      </c>
      <c r="X3300" s="4" t="inlineStr">
        <is>
          <t>Industrias manufactureras y construcción</t>
        </is>
      </c>
      <c r="Y3300" s="4" t="inlineStr">
        <is>
          <t>COMB_DOIL</t>
        </is>
      </c>
      <c r="Z3300" s="4" t="s">
        <v>4048</v>
      </c>
      <c r="AA3300" s="13">
        <v>0.6</v>
      </c>
      <c r="AB3300" s="4" t="s">
        <v>4287</v>
      </c>
      <c r="AC3300" s="4"/>
      <c r="AD3300" s="4"/>
      <c r="AE3300" s="4"/>
      <c r="AF3300" s="4"/>
      <c r="AG3300" s="4"/>
      <c r="AH3300" s="4"/>
      <c r="AI3300" s="4"/>
      <c r="AJ3300" s="4"/>
      <c r="AK3300" s="4"/>
      <c r="AL3300" s="4" t="inlineStr">
        <is>
          <t>BTR1 Guatemala 2024, tabla 3.22, p. 62; fila Diésel; gas N2O</t>
        </is>
      </c>
      <c r="AM3300" s="4" t="inlineStr">
        <is>
          <t>Factor por combustible documentado en el BTR1, con origen metodológico IPCC. Se aplica como parámetro constante aproximado a 2018–2024; el año de la clave permite unirlo a la actividad, no representa una nueva observación anual.</t>
        </is>
      </c>
    </row>
    <row r="3301" customFormat="false" ht="46.25" hidden="false" customHeight="false" outlineLevel="0" collapsed="false">
      <c r="A3301" s="4" t="s">
        <v>4270</v>
      </c>
      <c r="B3301" s="4" t="inlineStr">
        <is>
          <t>FE_COMB|2021|1.A.2|COMB_FOIL|CO2</t>
        </is>
      </c>
      <c r="C3301" s="4" t="inlineStr">
        <is>
          <t>2021|1.A.2|COMB_FOIL|CO2</t>
        </is>
      </c>
      <c r="D3301" s="12" t="n">
        <v>2021</v>
      </c>
      <c r="E3301" s="12">
        <v>2024.0</v>
      </c>
      <c r="F3301" s="4" t="inlineStr">
        <is>
          <t>PRX</t>
        </is>
      </c>
      <c r="G3301" s="4" t="inlineStr">
        <is>
          <t>MARN_GTM_BTR1_2024</t>
        </is>
      </c>
      <c r="H3301" s="4" t="inlineStr">
        <is>
          <t>Guatemala. Primer Informe Bienal de Transparencia (BTR1), 2024</t>
        </is>
      </c>
      <c r="I3301" s="4" t="inlineStr">
        <is>
          <t>https://unfccc.int/documents/646195</t>
        </is>
      </c>
      <c r="J3301" s="4" t="inlineStr">
        <is>
          <t>BTR1|2024|T3.6|FOIL|CO2</t>
        </is>
      </c>
      <c r="K3301" s="4" t="inlineStr">
        <is>
          <t>FOIL</t>
        </is>
      </c>
      <c r="L3301" s="4" t="inlineStr">
        <is>
          <t>Fuel oil</t>
        </is>
      </c>
      <c r="M3301" s="4"/>
      <c r="N3301" s="4"/>
      <c r="O3301" s="4"/>
      <c r="P3301" s="4"/>
      <c r="Q3301" s="4" t="inlineStr">
        <is>
          <t>FE_POR_COMBUSTIBLE_BTR1</t>
        </is>
      </c>
      <c r="R3301" s="4"/>
      <c r="S3301" s="4">
        <v>77400.0</v>
      </c>
      <c r="T3301" s="4" t="inlineStr">
        <is>
          <t>kg CO2/TJ</t>
        </is>
      </c>
      <c r="U3301" s="4"/>
      <c r="V3301" s="4"/>
      <c r="W3301" s="4" t="inlineStr">
        <is>
          <t>1.A.2</t>
        </is>
      </c>
      <c r="X3301" s="4" t="inlineStr">
        <is>
          <t>Industrias manufactureras y construcción</t>
        </is>
      </c>
      <c r="Y3301" s="4" t="inlineStr">
        <is>
          <t>COMB_FOIL</t>
        </is>
      </c>
      <c r="Z3301" s="4" t="s">
        <v>4012</v>
      </c>
      <c r="AA3301" s="13">
        <v>77400.0</v>
      </c>
      <c r="AB3301" s="4" t="s">
        <v>4275</v>
      </c>
      <c r="AC3301" s="4"/>
      <c r="AD3301" s="4"/>
      <c r="AE3301" s="4"/>
      <c r="AF3301" s="4"/>
      <c r="AG3301" s="4"/>
      <c r="AH3301" s="4"/>
      <c r="AI3301" s="4"/>
      <c r="AJ3301" s="4"/>
      <c r="AK3301" s="4"/>
      <c r="AL3301" s="4" t="inlineStr">
        <is>
          <t>BTR1 Guatemala 2024, tabla 3.6, p. 48; fila Fuelóleo residual; gas CO2</t>
        </is>
      </c>
      <c r="AM3301" s="4" t="inlineStr">
        <is>
          <t>Factor por combustible documentado en el BTR1, con origen metodológico IPCC. Se aplica como parámetro constante aproximado a 2018–2024; el año de la clave permite unirlo a la actividad, no representa una nueva observación anual.</t>
        </is>
      </c>
    </row>
    <row r="3302" customFormat="false" ht="46.25" hidden="false" customHeight="false" outlineLevel="0" collapsed="false">
      <c r="A3302" s="4" t="s">
        <v>4270</v>
      </c>
      <c r="B3302" s="4" t="inlineStr">
        <is>
          <t>FE_COMB|2021|1.A.2|COMB_FOIL|CH4</t>
        </is>
      </c>
      <c r="C3302" s="4" t="inlineStr">
        <is>
          <t>2021|1.A.2|COMB_FOIL|CH4</t>
        </is>
      </c>
      <c r="D3302" s="12" t="n">
        <v>2021</v>
      </c>
      <c r="E3302" s="12">
        <v>2024.0</v>
      </c>
      <c r="F3302" s="4" t="inlineStr">
        <is>
          <t>PRX</t>
        </is>
      </c>
      <c r="G3302" s="4" t="inlineStr">
        <is>
          <t>MARN_GTM_BTR1_2024</t>
        </is>
      </c>
      <c r="H3302" s="4" t="inlineStr">
        <is>
          <t>Guatemala. Primer Informe Bienal de Transparencia (BTR1), 2024</t>
        </is>
      </c>
      <c r="I3302" s="4" t="inlineStr">
        <is>
          <t>https://unfccc.int/documents/646195</t>
        </is>
      </c>
      <c r="J3302" s="4" t="inlineStr">
        <is>
          <t>BTR1|2024|T3.22|FOIL|CH4</t>
        </is>
      </c>
      <c r="K3302" s="4" t="inlineStr">
        <is>
          <t>FOIL</t>
        </is>
      </c>
      <c r="L3302" s="4" t="inlineStr">
        <is>
          <t>Fuel oil</t>
        </is>
      </c>
      <c r="M3302" s="4"/>
      <c r="N3302" s="4"/>
      <c r="O3302" s="4"/>
      <c r="P3302" s="4"/>
      <c r="Q3302" s="4" t="inlineStr">
        <is>
          <t>FE_POR_COMBUSTIBLE_BTR1</t>
        </is>
      </c>
      <c r="R3302" s="4"/>
      <c r="S3302" s="4">
        <v>3.0</v>
      </c>
      <c r="T3302" s="4" t="inlineStr">
        <is>
          <t>kg CH4/TJ</t>
        </is>
      </c>
      <c r="U3302" s="4"/>
      <c r="V3302" s="4"/>
      <c r="W3302" s="4" t="inlineStr">
        <is>
          <t>1.A.2</t>
        </is>
      </c>
      <c r="X3302" s="4" t="inlineStr">
        <is>
          <t>Industrias manufactureras y construcción</t>
        </is>
      </c>
      <c r="Y3302" s="4" t="inlineStr">
        <is>
          <t>COMB_FOIL</t>
        </is>
      </c>
      <c r="Z3302" s="4" t="s">
        <v>4018</v>
      </c>
      <c r="AA3302" s="13">
        <v>3.0</v>
      </c>
      <c r="AB3302" s="4" t="s">
        <v>4281</v>
      </c>
      <c r="AC3302" s="4"/>
      <c r="AD3302" s="4"/>
      <c r="AE3302" s="4"/>
      <c r="AF3302" s="4"/>
      <c r="AG3302" s="4"/>
      <c r="AH3302" s="4"/>
      <c r="AI3302" s="4"/>
      <c r="AJ3302" s="4"/>
      <c r="AK3302" s="4"/>
      <c r="AL3302" s="4" t="inlineStr">
        <is>
          <t>BTR1 Guatemala 2024, tabla 3.22, p. 62; fila Fuelóleo residual; gas CH4</t>
        </is>
      </c>
      <c r="AM3302" s="4" t="inlineStr">
        <is>
          <t>Factor por combustible documentado en el BTR1, con origen metodológico IPCC. Se aplica como parámetro constante aproximado a 2018–2024; el año de la clave permite unirlo a la actividad, no representa una nueva observación anual.</t>
        </is>
      </c>
    </row>
    <row r="3303" customFormat="false" ht="46.25" hidden="false" customHeight="false" outlineLevel="0" collapsed="false">
      <c r="A3303" s="4" t="s">
        <v>4270</v>
      </c>
      <c r="B3303" s="4" t="inlineStr">
        <is>
          <t>FE_COMB|2021|1.A.2|COMB_FOIL|N2O</t>
        </is>
      </c>
      <c r="C3303" s="4" t="inlineStr">
        <is>
          <t>2021|1.A.2|COMB_FOIL|N2O</t>
        </is>
      </c>
      <c r="D3303" s="12" t="n">
        <v>2021</v>
      </c>
      <c r="E3303" s="12">
        <v>2024.0</v>
      </c>
      <c r="F3303" s="4" t="inlineStr">
        <is>
          <t>PRX</t>
        </is>
      </c>
      <c r="G3303" s="4" t="inlineStr">
        <is>
          <t>MARN_GTM_BTR1_2024</t>
        </is>
      </c>
      <c r="H3303" s="4" t="inlineStr">
        <is>
          <t>Guatemala. Primer Informe Bienal de Transparencia (BTR1), 2024</t>
        </is>
      </c>
      <c r="I3303" s="4" t="inlineStr">
        <is>
          <t>https://unfccc.int/documents/646195</t>
        </is>
      </c>
      <c r="J3303" s="4" t="inlineStr">
        <is>
          <t>BTR1|2024|T3.22|FOIL|N2O</t>
        </is>
      </c>
      <c r="K3303" s="4" t="inlineStr">
        <is>
          <t>FOIL</t>
        </is>
      </c>
      <c r="L3303" s="4" t="inlineStr">
        <is>
          <t>Fuel oil</t>
        </is>
      </c>
      <c r="M3303" s="4"/>
      <c r="N3303" s="4"/>
      <c r="O3303" s="4"/>
      <c r="P3303" s="4"/>
      <c r="Q3303" s="4" t="inlineStr">
        <is>
          <t>FE_POR_COMBUSTIBLE_BTR1</t>
        </is>
      </c>
      <c r="R3303" s="4"/>
      <c r="S3303" s="4">
        <v>0.6</v>
      </c>
      <c r="T3303" s="4" t="inlineStr">
        <is>
          <t>kg N2O/TJ</t>
        </is>
      </c>
      <c r="U3303" s="4"/>
      <c r="V3303" s="4"/>
      <c r="W3303" s="4" t="inlineStr">
        <is>
          <t>1.A.2</t>
        </is>
      </c>
      <c r="X3303" s="4" t="inlineStr">
        <is>
          <t>Industrias manufactureras y construcción</t>
        </is>
      </c>
      <c r="Y3303" s="4" t="inlineStr">
        <is>
          <t>COMB_FOIL</t>
        </is>
      </c>
      <c r="Z3303" s="4" t="s">
        <v>4048</v>
      </c>
      <c r="AA3303" s="13">
        <v>0.6</v>
      </c>
      <c r="AB3303" s="4" t="s">
        <v>4287</v>
      </c>
      <c r="AC3303" s="4"/>
      <c r="AD3303" s="4"/>
      <c r="AE3303" s="4"/>
      <c r="AF3303" s="4"/>
      <c r="AG3303" s="4"/>
      <c r="AH3303" s="4"/>
      <c r="AI3303" s="4"/>
      <c r="AJ3303" s="4"/>
      <c r="AK3303" s="4"/>
      <c r="AL3303" s="4" t="inlineStr">
        <is>
          <t>BTR1 Guatemala 2024, tabla 3.22, p. 62; fila Fuelóleo residual; gas N2O</t>
        </is>
      </c>
      <c r="AM3303" s="4" t="inlineStr">
        <is>
          <t>Factor por combustible documentado en el BTR1, con origen metodológico IPCC. Se aplica como parámetro constante aproximado a 2018–2024; el año de la clave permite unirlo a la actividad, no representa una nueva observación anual.</t>
        </is>
      </c>
    </row>
    <row r="3304" customFormat="false" ht="57.45" hidden="false" customHeight="false" outlineLevel="0" collapsed="false">
      <c r="A3304" s="4" t="s">
        <v>4270</v>
      </c>
      <c r="B3304" s="4" t="inlineStr">
        <is>
          <t>FE_COMB|2021|1.A.2|COMB_GAS|CO2</t>
        </is>
      </c>
      <c r="C3304" s="4" t="inlineStr">
        <is>
          <t>2021|1.A.2|COMB_GAS|CO2</t>
        </is>
      </c>
      <c r="D3304" s="12" t="n">
        <v>2021</v>
      </c>
      <c r="E3304" s="12">
        <v>2024.0</v>
      </c>
      <c r="F3304" s="4" t="inlineStr">
        <is>
          <t>PRX</t>
        </is>
      </c>
      <c r="G3304" s="4" t="inlineStr">
        <is>
          <t>MARN_GTM_BTR1_2024</t>
        </is>
      </c>
      <c r="H3304" s="4" t="inlineStr">
        <is>
          <t>Guatemala. Primer Informe Bienal de Transparencia (BTR1), 2024</t>
        </is>
      </c>
      <c r="I3304" s="4" t="inlineStr">
        <is>
          <t>https://unfccc.int/documents/646195</t>
        </is>
      </c>
      <c r="J3304" s="4" t="inlineStr">
        <is>
          <t>BTR1|2024|T3.6|GAS|CO2</t>
        </is>
      </c>
      <c r="K3304" s="4" t="inlineStr">
        <is>
          <t>GAS</t>
        </is>
      </c>
      <c r="L3304" s="4" t="inlineStr">
        <is>
          <t>Gasolinas</t>
        </is>
      </c>
      <c r="M3304" s="4"/>
      <c r="N3304" s="4"/>
      <c r="O3304" s="4"/>
      <c r="P3304" s="4"/>
      <c r="Q3304" s="4" t="inlineStr">
        <is>
          <t>FE_POR_COMBUSTIBLE_BTR1</t>
        </is>
      </c>
      <c r="R3304" s="4"/>
      <c r="S3304" s="4">
        <v>69300.0</v>
      </c>
      <c r="T3304" s="4" t="inlineStr">
        <is>
          <t>kg CO2/TJ</t>
        </is>
      </c>
      <c r="U3304" s="4"/>
      <c r="V3304" s="4"/>
      <c r="W3304" s="4" t="inlineStr">
        <is>
          <t>1.A.2</t>
        </is>
      </c>
      <c r="X3304" s="4" t="inlineStr">
        <is>
          <t>Industrias manufactureras y construcción</t>
        </is>
      </c>
      <c r="Y3304" s="4" t="inlineStr">
        <is>
          <t>COMB_GAS</t>
        </is>
      </c>
      <c r="Z3304" s="4" t="s">
        <v>4012</v>
      </c>
      <c r="AA3304" s="13">
        <v>69300.0</v>
      </c>
      <c r="AB3304" s="4" t="s">
        <v>4275</v>
      </c>
      <c r="AC3304" s="4"/>
      <c r="AD3304" s="4"/>
      <c r="AE3304" s="4"/>
      <c r="AF3304" s="4"/>
      <c r="AG3304" s="4"/>
      <c r="AH3304" s="4"/>
      <c r="AI3304" s="4"/>
      <c r="AJ3304" s="4"/>
      <c r="AK3304" s="4"/>
      <c r="AL3304" s="4" t="inlineStr">
        <is>
          <t>BTR1 Guatemala 2024, tabla 3.6, p. 48; fila Gasolina para motores; gas CO2</t>
        </is>
      </c>
      <c r="AM3304" s="4" t="inlineStr">
        <is>
          <t>Factor por combustible documentado en el BTR1, con origen metodológico IPCC. Se aplica como parámetro constante aproximado a 2018–2024; el año de la clave permite unirlo a la actividad, no representa una nueva observación anual.</t>
        </is>
      </c>
    </row>
    <row r="3305" customFormat="false" ht="57.45" hidden="false" customHeight="false" outlineLevel="0" collapsed="false">
      <c r="A3305" s="4" t="s">
        <v>4270</v>
      </c>
      <c r="B3305" s="4" t="inlineStr">
        <is>
          <t>FE_COMB|2021|1.A.2|COMB_GAS|CH4</t>
        </is>
      </c>
      <c r="C3305" s="4" t="inlineStr">
        <is>
          <t>2021|1.A.2|COMB_GAS|CH4</t>
        </is>
      </c>
      <c r="D3305" s="12" t="n">
        <v>2021</v>
      </c>
      <c r="E3305" s="12">
        <v>2024.0</v>
      </c>
      <c r="F3305" s="4" t="inlineStr">
        <is>
          <t>PRX</t>
        </is>
      </c>
      <c r="G3305" s="4" t="inlineStr">
        <is>
          <t>MARN_GTM_BTR1_2024</t>
        </is>
      </c>
      <c r="H3305" s="4" t="inlineStr">
        <is>
          <t>Guatemala. Primer Informe Bienal de Transparencia (BTR1), 2024</t>
        </is>
      </c>
      <c r="I3305" s="4" t="inlineStr">
        <is>
          <t>https://unfccc.int/documents/646195</t>
        </is>
      </c>
      <c r="J3305" s="4" t="inlineStr">
        <is>
          <t>BTR1|2024|T3.22|GAS|CH4</t>
        </is>
      </c>
      <c r="K3305" s="4" t="inlineStr">
        <is>
          <t>GAS</t>
        </is>
      </c>
      <c r="L3305" s="4" t="inlineStr">
        <is>
          <t>Gasolinas</t>
        </is>
      </c>
      <c r="M3305" s="4"/>
      <c r="N3305" s="4"/>
      <c r="O3305" s="4"/>
      <c r="P3305" s="4"/>
      <c r="Q3305" s="4" t="inlineStr">
        <is>
          <t>FE_POR_COMBUSTIBLE_BTR1</t>
        </is>
      </c>
      <c r="R3305" s="4"/>
      <c r="S3305" s="4">
        <v>3.0</v>
      </c>
      <c r="T3305" s="4" t="inlineStr">
        <is>
          <t>kg CH4/TJ</t>
        </is>
      </c>
      <c r="U3305" s="4"/>
      <c r="V3305" s="4"/>
      <c r="W3305" s="4" t="inlineStr">
        <is>
          <t>1.A.2</t>
        </is>
      </c>
      <c r="X3305" s="4" t="inlineStr">
        <is>
          <t>Industrias manufactureras y construcción</t>
        </is>
      </c>
      <c r="Y3305" s="4" t="inlineStr">
        <is>
          <t>COMB_GAS</t>
        </is>
      </c>
      <c r="Z3305" s="4" t="s">
        <v>4018</v>
      </c>
      <c r="AA3305" s="13">
        <v>3.0</v>
      </c>
      <c r="AB3305" s="4" t="s">
        <v>4281</v>
      </c>
      <c r="AC3305" s="4"/>
      <c r="AD3305" s="4"/>
      <c r="AE3305" s="4"/>
      <c r="AF3305" s="4"/>
      <c r="AG3305" s="4"/>
      <c r="AH3305" s="4"/>
      <c r="AI3305" s="4"/>
      <c r="AJ3305" s="4"/>
      <c r="AK3305" s="4"/>
      <c r="AL3305" s="4" t="inlineStr">
        <is>
          <t>BTR1 Guatemala 2024, tabla 3.22, p. 62; fila Gasolina para motores; gas CH4</t>
        </is>
      </c>
      <c r="AM3305" s="4" t="inlineStr">
        <is>
          <t>Factor por combustible documentado en el BTR1, con origen metodológico IPCC. Se aplica como parámetro constante aproximado a 2018–2024; el año de la clave permite unirlo a la actividad, no representa una nueva observación anual.</t>
        </is>
      </c>
    </row>
    <row r="3306" customFormat="false" ht="57.45" hidden="false" customHeight="false" outlineLevel="0" collapsed="false">
      <c r="A3306" s="4" t="s">
        <v>4270</v>
      </c>
      <c r="B3306" s="4" t="inlineStr">
        <is>
          <t>FE_COMB|2021|1.A.2|COMB_GAS|N2O</t>
        </is>
      </c>
      <c r="C3306" s="4" t="inlineStr">
        <is>
          <t>2021|1.A.2|COMB_GAS|N2O</t>
        </is>
      </c>
      <c r="D3306" s="12" t="n">
        <v>2021</v>
      </c>
      <c r="E3306" s="12">
        <v>2024.0</v>
      </c>
      <c r="F3306" s="4" t="inlineStr">
        <is>
          <t>PRX</t>
        </is>
      </c>
      <c r="G3306" s="4" t="inlineStr">
        <is>
          <t>MARN_GTM_BTR1_2024</t>
        </is>
      </c>
      <c r="H3306" s="4" t="inlineStr">
        <is>
          <t>Guatemala. Primer Informe Bienal de Transparencia (BTR1), 2024</t>
        </is>
      </c>
      <c r="I3306" s="4" t="inlineStr">
        <is>
          <t>https://unfccc.int/documents/646195</t>
        </is>
      </c>
      <c r="J3306" s="4" t="inlineStr">
        <is>
          <t>BTR1|2024|T3.22|GAS|N2O</t>
        </is>
      </c>
      <c r="K3306" s="4" t="inlineStr">
        <is>
          <t>GAS</t>
        </is>
      </c>
      <c r="L3306" s="4" t="inlineStr">
        <is>
          <t>Gasolinas</t>
        </is>
      </c>
      <c r="M3306" s="4"/>
      <c r="N3306" s="4"/>
      <c r="O3306" s="4"/>
      <c r="P3306" s="4"/>
      <c r="Q3306" s="4" t="inlineStr">
        <is>
          <t>FE_POR_COMBUSTIBLE_BTR1</t>
        </is>
      </c>
      <c r="R3306" s="4"/>
      <c r="S3306" s="4">
        <v>0.6</v>
      </c>
      <c r="T3306" s="4" t="inlineStr">
        <is>
          <t>kg N2O/TJ</t>
        </is>
      </c>
      <c r="U3306" s="4"/>
      <c r="V3306" s="4"/>
      <c r="W3306" s="4" t="inlineStr">
        <is>
          <t>1.A.2</t>
        </is>
      </c>
      <c r="X3306" s="4" t="inlineStr">
        <is>
          <t>Industrias manufactureras y construcción</t>
        </is>
      </c>
      <c r="Y3306" s="4" t="inlineStr">
        <is>
          <t>COMB_GAS</t>
        </is>
      </c>
      <c r="Z3306" s="4" t="s">
        <v>4048</v>
      </c>
      <c r="AA3306" s="13">
        <v>0.6</v>
      </c>
      <c r="AB3306" s="4" t="s">
        <v>4287</v>
      </c>
      <c r="AC3306" s="4"/>
      <c r="AD3306" s="4"/>
      <c r="AE3306" s="4"/>
      <c r="AF3306" s="4"/>
      <c r="AG3306" s="4"/>
      <c r="AH3306" s="4"/>
      <c r="AI3306" s="4"/>
      <c r="AJ3306" s="4"/>
      <c r="AK3306" s="4"/>
      <c r="AL3306" s="4" t="inlineStr">
        <is>
          <t>BTR1 Guatemala 2024, tabla 3.22, p. 62; fila Gasolina para motores; gas N2O</t>
        </is>
      </c>
      <c r="AM3306" s="4" t="inlineStr">
        <is>
          <t>Factor por combustible documentado en el BTR1, con origen metodológico IPCC. Se aplica como parámetro constante aproximado a 2018–2024; el año de la clave permite unirlo a la actividad, no representa una nueva observación anual.</t>
        </is>
      </c>
    </row>
    <row r="3307" customFormat="false" ht="57.45" hidden="false" customHeight="false" outlineLevel="0" collapsed="false">
      <c r="A3307" s="4" t="s">
        <v>4270</v>
      </c>
      <c r="B3307" s="4" t="inlineStr">
        <is>
          <t>FE_COMB|2021|1.A.2|COMB_GLP|CO2</t>
        </is>
      </c>
      <c r="C3307" s="4" t="inlineStr">
        <is>
          <t>2021|1.A.2|COMB_GLP|CO2</t>
        </is>
      </c>
      <c r="D3307" s="12" t="n">
        <v>2021</v>
      </c>
      <c r="E3307" s="12">
        <v>2024.0</v>
      </c>
      <c r="F3307" s="4" t="inlineStr">
        <is>
          <t>PRX</t>
        </is>
      </c>
      <c r="G3307" s="4" t="inlineStr">
        <is>
          <t>MARN_GTM_BTR1_2024</t>
        </is>
      </c>
      <c r="H3307" s="4" t="inlineStr">
        <is>
          <t>Guatemala. Primer Informe Bienal de Transparencia (BTR1), 2024</t>
        </is>
      </c>
      <c r="I3307" s="4" t="inlineStr">
        <is>
          <t>https://unfccc.int/documents/646195</t>
        </is>
      </c>
      <c r="J3307" s="4" t="inlineStr">
        <is>
          <t>BTR1|2024|T3.6|GLP|CO2</t>
        </is>
      </c>
      <c r="K3307" s="4" t="inlineStr">
        <is>
          <t>GLP</t>
        </is>
      </c>
      <c r="L3307" s="4" t="inlineStr">
        <is>
          <t>Gas licuado de petróleo (GLP)</t>
        </is>
      </c>
      <c r="M3307" s="4"/>
      <c r="N3307" s="4"/>
      <c r="O3307" s="4"/>
      <c r="P3307" s="4"/>
      <c r="Q3307" s="4" t="inlineStr">
        <is>
          <t>FE_POR_COMBUSTIBLE_BTR1</t>
        </is>
      </c>
      <c r="R3307" s="4"/>
      <c r="S3307" s="4">
        <v>63100.0</v>
      </c>
      <c r="T3307" s="4" t="inlineStr">
        <is>
          <t>kg CO2/TJ</t>
        </is>
      </c>
      <c r="U3307" s="4"/>
      <c r="V3307" s="4"/>
      <c r="W3307" s="4" t="inlineStr">
        <is>
          <t>1.A.2</t>
        </is>
      </c>
      <c r="X3307" s="4" t="inlineStr">
        <is>
          <t>Industrias manufactureras y construcción</t>
        </is>
      </c>
      <c r="Y3307" s="4" t="inlineStr">
        <is>
          <t>COMB_GLP</t>
        </is>
      </c>
      <c r="Z3307" s="4" t="s">
        <v>4012</v>
      </c>
      <c r="AA3307" s="13">
        <v>63100.0</v>
      </c>
      <c r="AB3307" s="4" t="s">
        <v>4275</v>
      </c>
      <c r="AC3307" s="4"/>
      <c r="AD3307" s="4"/>
      <c r="AE3307" s="4"/>
      <c r="AF3307" s="4"/>
      <c r="AG3307" s="4"/>
      <c r="AH3307" s="4"/>
      <c r="AI3307" s="4"/>
      <c r="AJ3307" s="4"/>
      <c r="AK3307" s="4"/>
      <c r="AL3307" s="4" t="inlineStr">
        <is>
          <t>BTR1 Guatemala 2024, tabla 3.6, p. 48; fila Gases licuados de petróleo; gas CO2</t>
        </is>
      </c>
      <c r="AM3307" s="4" t="inlineStr">
        <is>
          <t>Factor por combustible documentado en el BTR1, con origen metodológico IPCC. Se aplica como parámetro constante aproximado a 2018–2024; el año de la clave permite unirlo a la actividad, no representa una nueva observación anual.</t>
        </is>
      </c>
    </row>
    <row r="3308" customFormat="false" ht="57.45" hidden="false" customHeight="false" outlineLevel="0" collapsed="false">
      <c r="A3308" s="4" t="s">
        <v>4270</v>
      </c>
      <c r="B3308" s="4" t="inlineStr">
        <is>
          <t>FE_COMB|2021|1.A.2|COMB_GLP|CH4</t>
        </is>
      </c>
      <c r="C3308" s="4" t="inlineStr">
        <is>
          <t>2021|1.A.2|COMB_GLP|CH4</t>
        </is>
      </c>
      <c r="D3308" s="12" t="n">
        <v>2021</v>
      </c>
      <c r="E3308" s="12">
        <v>2024.0</v>
      </c>
      <c r="F3308" s="4" t="inlineStr">
        <is>
          <t>PRX</t>
        </is>
      </c>
      <c r="G3308" s="4" t="inlineStr">
        <is>
          <t>MARN_GTM_BTR1_2024</t>
        </is>
      </c>
      <c r="H3308" s="4" t="inlineStr">
        <is>
          <t>Guatemala. Primer Informe Bienal de Transparencia (BTR1), 2024</t>
        </is>
      </c>
      <c r="I3308" s="4" t="inlineStr">
        <is>
          <t>https://unfccc.int/documents/646195</t>
        </is>
      </c>
      <c r="J3308" s="4" t="inlineStr">
        <is>
          <t>BTR1|2024|T3.22|GLP|CH4</t>
        </is>
      </c>
      <c r="K3308" s="4" t="inlineStr">
        <is>
          <t>GLP</t>
        </is>
      </c>
      <c r="L3308" s="4" t="inlineStr">
        <is>
          <t>Gas licuado de petróleo (GLP)</t>
        </is>
      </c>
      <c r="M3308" s="4"/>
      <c r="N3308" s="4"/>
      <c r="O3308" s="4"/>
      <c r="P3308" s="4"/>
      <c r="Q3308" s="4" t="inlineStr">
        <is>
          <t>FE_POR_COMBUSTIBLE_BTR1</t>
        </is>
      </c>
      <c r="R3308" s="4"/>
      <c r="S3308" s="4">
        <v>1.0</v>
      </c>
      <c r="T3308" s="4" t="inlineStr">
        <is>
          <t>kg CH4/TJ</t>
        </is>
      </c>
      <c r="U3308" s="4"/>
      <c r="V3308" s="4"/>
      <c r="W3308" s="4" t="inlineStr">
        <is>
          <t>1.A.2</t>
        </is>
      </c>
      <c r="X3308" s="4" t="inlineStr">
        <is>
          <t>Industrias manufactureras y construcción</t>
        </is>
      </c>
      <c r="Y3308" s="4" t="inlineStr">
        <is>
          <t>COMB_GLP</t>
        </is>
      </c>
      <c r="Z3308" s="4" t="s">
        <v>4018</v>
      </c>
      <c r="AA3308" s="13">
        <v>1.0</v>
      </c>
      <c r="AB3308" s="4" t="s">
        <v>4281</v>
      </c>
      <c r="AC3308" s="4"/>
      <c r="AD3308" s="4"/>
      <c r="AE3308" s="4"/>
      <c r="AF3308" s="4"/>
      <c r="AG3308" s="4"/>
      <c r="AH3308" s="4"/>
      <c r="AI3308" s="4"/>
      <c r="AJ3308" s="4"/>
      <c r="AK3308" s="4"/>
      <c r="AL3308" s="4" t="inlineStr">
        <is>
          <t>BTR1 Guatemala 2024, tabla 3.22, p. 62; fila Gases licuados de petróleo; gas CH4</t>
        </is>
      </c>
      <c r="AM3308" s="4" t="inlineStr">
        <is>
          <t>Factor por combustible documentado en el BTR1, con origen metodológico IPCC. Se aplica como parámetro constante aproximado a 2018–2024; el año de la clave permite unirlo a la actividad, no representa una nueva observación anual.</t>
        </is>
      </c>
    </row>
    <row r="3309" customFormat="false" ht="57.45" hidden="false" customHeight="false" outlineLevel="0" collapsed="false">
      <c r="A3309" s="4" t="s">
        <v>4270</v>
      </c>
      <c r="B3309" s="4" t="inlineStr">
        <is>
          <t>FE_COMB|2021|1.A.2|COMB_GLP|N2O</t>
        </is>
      </c>
      <c r="C3309" s="4" t="inlineStr">
        <is>
          <t>2021|1.A.2|COMB_GLP|N2O</t>
        </is>
      </c>
      <c r="D3309" s="12" t="n">
        <v>2021</v>
      </c>
      <c r="E3309" s="12">
        <v>2024.0</v>
      </c>
      <c r="F3309" s="4" t="inlineStr">
        <is>
          <t>PRX</t>
        </is>
      </c>
      <c r="G3309" s="4" t="inlineStr">
        <is>
          <t>MARN_GTM_BTR1_2024</t>
        </is>
      </c>
      <c r="H3309" s="4" t="inlineStr">
        <is>
          <t>Guatemala. Primer Informe Bienal de Transparencia (BTR1), 2024</t>
        </is>
      </c>
      <c r="I3309" s="4" t="inlineStr">
        <is>
          <t>https://unfccc.int/documents/646195</t>
        </is>
      </c>
      <c r="J3309" s="4" t="inlineStr">
        <is>
          <t>BTR1|2024|T3.22|GLP|N2O</t>
        </is>
      </c>
      <c r="K3309" s="4" t="inlineStr">
        <is>
          <t>GLP</t>
        </is>
      </c>
      <c r="L3309" s="4" t="inlineStr">
        <is>
          <t>Gas licuado de petróleo (GLP)</t>
        </is>
      </c>
      <c r="M3309" s="4"/>
      <c r="N3309" s="4"/>
      <c r="O3309" s="4"/>
      <c r="P3309" s="4"/>
      <c r="Q3309" s="4" t="inlineStr">
        <is>
          <t>FE_POR_COMBUSTIBLE_BTR1</t>
        </is>
      </c>
      <c r="R3309" s="4"/>
      <c r="S3309" s="4">
        <v>0.1</v>
      </c>
      <c r="T3309" s="4" t="inlineStr">
        <is>
          <t>kg N2O/TJ</t>
        </is>
      </c>
      <c r="U3309" s="4"/>
      <c r="V3309" s="4"/>
      <c r="W3309" s="4" t="inlineStr">
        <is>
          <t>1.A.2</t>
        </is>
      </c>
      <c r="X3309" s="4" t="inlineStr">
        <is>
          <t>Industrias manufactureras y construcción</t>
        </is>
      </c>
      <c r="Y3309" s="4" t="inlineStr">
        <is>
          <t>COMB_GLP</t>
        </is>
      </c>
      <c r="Z3309" s="4" t="s">
        <v>4048</v>
      </c>
      <c r="AA3309" s="13">
        <v>0.1</v>
      </c>
      <c r="AB3309" s="4" t="s">
        <v>4287</v>
      </c>
      <c r="AC3309" s="4"/>
      <c r="AD3309" s="4"/>
      <c r="AE3309" s="4"/>
      <c r="AF3309" s="4"/>
      <c r="AG3309" s="4"/>
      <c r="AH3309" s="4"/>
      <c r="AI3309" s="4"/>
      <c r="AJ3309" s="4"/>
      <c r="AK3309" s="4"/>
      <c r="AL3309" s="4" t="inlineStr">
        <is>
          <t>BTR1 Guatemala 2024, tabla 3.22, p. 62; fila Gases licuados de petróleo; gas N2O</t>
        </is>
      </c>
      <c r="AM3309" s="4" t="inlineStr">
        <is>
          <t>Factor por combustible documentado en el BTR1, con origen metodológico IPCC. Se aplica como parámetro constante aproximado a 2018–2024; el año de la clave permite unirlo a la actividad, no representa una nueva observación anual.</t>
        </is>
      </c>
    </row>
    <row r="3310" customFormat="false" ht="57.45" hidden="false" customHeight="false" outlineLevel="0" collapsed="false">
      <c r="A3310" s="4" t="s">
        <v>4270</v>
      </c>
      <c r="B3310" s="4" t="inlineStr">
        <is>
          <t>FE_COMB|2021|1.A.2|COMB_KER|CO2</t>
        </is>
      </c>
      <c r="C3310" s="4" t="inlineStr">
        <is>
          <t>2021|1.A.2|COMB_KER|CO2</t>
        </is>
      </c>
      <c r="D3310" s="12" t="n">
        <v>2021</v>
      </c>
      <c r="E3310" s="12">
        <v>2024.0</v>
      </c>
      <c r="F3310" s="4" t="inlineStr">
        <is>
          <t>PRX</t>
        </is>
      </c>
      <c r="G3310" s="4" t="inlineStr">
        <is>
          <t>MARN_GTM_BTR1_2024</t>
        </is>
      </c>
      <c r="H3310" s="4" t="inlineStr">
        <is>
          <t>Guatemala. Primer Informe Bienal de Transparencia (BTR1), 2024</t>
        </is>
      </c>
      <c r="I3310" s="4" t="inlineStr">
        <is>
          <t>https://unfccc.int/documents/646195</t>
        </is>
      </c>
      <c r="J3310" s="4" t="inlineStr">
        <is>
          <t>BTR1|2024|T3.6|KER|CO2</t>
        </is>
      </c>
      <c r="K3310" s="4" t="inlineStr">
        <is>
          <t>KER</t>
        </is>
      </c>
      <c r="L3310" s="4" t="inlineStr">
        <is>
          <t>Keroseno</t>
        </is>
      </c>
      <c r="M3310" s="4"/>
      <c r="N3310" s="4"/>
      <c r="O3310" s="4"/>
      <c r="P3310" s="4"/>
      <c r="Q3310" s="4" t="inlineStr">
        <is>
          <t>FE_POR_COMBUSTIBLE_BTR1</t>
        </is>
      </c>
      <c r="R3310" s="4"/>
      <c r="S3310" s="4">
        <v>71900.0</v>
      </c>
      <c r="T3310" s="4" t="inlineStr">
        <is>
          <t>kg CO2/TJ</t>
        </is>
      </c>
      <c r="U3310" s="4"/>
      <c r="V3310" s="4"/>
      <c r="W3310" s="4" t="inlineStr">
        <is>
          <t>1.A.2</t>
        </is>
      </c>
      <c r="X3310" s="4" t="inlineStr">
        <is>
          <t>Industrias manufactureras y construcción</t>
        </is>
      </c>
      <c r="Y3310" s="4" t="inlineStr">
        <is>
          <t>COMB_KER</t>
        </is>
      </c>
      <c r="Z3310" s="4" t="s">
        <v>4012</v>
      </c>
      <c r="AA3310" s="13">
        <v>71900.0</v>
      </c>
      <c r="AB3310" s="4" t="s">
        <v>4275</v>
      </c>
      <c r="AC3310" s="4"/>
      <c r="AD3310" s="4"/>
      <c r="AE3310" s="4"/>
      <c r="AF3310" s="4"/>
      <c r="AG3310" s="4"/>
      <c r="AH3310" s="4"/>
      <c r="AI3310" s="4"/>
      <c r="AJ3310" s="4"/>
      <c r="AK3310" s="4"/>
      <c r="AL3310" s="4" t="inlineStr">
        <is>
          <t>BTR1 Guatemala 2024, tabla 3.6, p. 48; fila Otro queroseno; gas CO2</t>
        </is>
      </c>
      <c r="AM3310" s="4" t="inlineStr">
        <is>
          <t>Factor por combustible documentado en el BTR1, con origen metodológico IPCC. Se aplica como parámetro constante aproximado a 2018–2024; el año de la clave permite unirlo a la actividad, no representa una nueva observación anual.</t>
        </is>
      </c>
    </row>
    <row r="3311" customFormat="false" ht="57.45" hidden="false" customHeight="false" outlineLevel="0" collapsed="false">
      <c r="A3311" s="4" t="s">
        <v>4270</v>
      </c>
      <c r="B3311" s="4" t="inlineStr">
        <is>
          <t>FE_COMB|2021|1.A.2|COMB_KER|CH4</t>
        </is>
      </c>
      <c r="C3311" s="4" t="inlineStr">
        <is>
          <t>2021|1.A.2|COMB_KER|CH4</t>
        </is>
      </c>
      <c r="D3311" s="12" t="n">
        <v>2021</v>
      </c>
      <c r="E3311" s="12">
        <v>2024.0</v>
      </c>
      <c r="F3311" s="4" t="inlineStr">
        <is>
          <t>PRX</t>
        </is>
      </c>
      <c r="G3311" s="4" t="inlineStr">
        <is>
          <t>MARN_GTM_BTR1_2024</t>
        </is>
      </c>
      <c r="H3311" s="4" t="inlineStr">
        <is>
          <t>Guatemala. Primer Informe Bienal de Transparencia (BTR1), 2024</t>
        </is>
      </c>
      <c r="I3311" s="4" t="inlineStr">
        <is>
          <t>https://unfccc.int/documents/646195</t>
        </is>
      </c>
      <c r="J3311" s="4" t="inlineStr">
        <is>
          <t>BTR1|2024|T3.22|KER|CH4</t>
        </is>
      </c>
      <c r="K3311" s="4" t="inlineStr">
        <is>
          <t>KER</t>
        </is>
      </c>
      <c r="L3311" s="4" t="inlineStr">
        <is>
          <t>Keroseno</t>
        </is>
      </c>
      <c r="M3311" s="4"/>
      <c r="N3311" s="4"/>
      <c r="O3311" s="4"/>
      <c r="P3311" s="4"/>
      <c r="Q3311" s="4" t="inlineStr">
        <is>
          <t>FE_POR_COMBUSTIBLE_BTR1</t>
        </is>
      </c>
      <c r="R3311" s="4"/>
      <c r="S3311" s="4">
        <v>3.0</v>
      </c>
      <c r="T3311" s="4" t="inlineStr">
        <is>
          <t>kg CH4/TJ</t>
        </is>
      </c>
      <c r="U3311" s="4"/>
      <c r="V3311" s="4"/>
      <c r="W3311" s="4" t="inlineStr">
        <is>
          <t>1.A.2</t>
        </is>
      </c>
      <c r="X3311" s="4" t="inlineStr">
        <is>
          <t>Industrias manufactureras y construcción</t>
        </is>
      </c>
      <c r="Y3311" s="4" t="inlineStr">
        <is>
          <t>COMB_KER</t>
        </is>
      </c>
      <c r="Z3311" s="4" t="s">
        <v>4018</v>
      </c>
      <c r="AA3311" s="13">
        <v>3.0</v>
      </c>
      <c r="AB3311" s="4" t="s">
        <v>4281</v>
      </c>
      <c r="AC3311" s="4"/>
      <c r="AD3311" s="4"/>
      <c r="AE3311" s="4"/>
      <c r="AF3311" s="4"/>
      <c r="AG3311" s="4"/>
      <c r="AH3311" s="4"/>
      <c r="AI3311" s="4"/>
      <c r="AJ3311" s="4"/>
      <c r="AK3311" s="4"/>
      <c r="AL3311" s="4" t="inlineStr">
        <is>
          <t>BTR1 Guatemala 2024, tabla 3.22, p. 62; fila Otro queroseno; gas CH4</t>
        </is>
      </c>
      <c r="AM3311" s="4" t="inlineStr">
        <is>
          <t>Factor por combustible documentado en el BTR1, con origen metodológico IPCC. Se aplica como parámetro constante aproximado a 2018–2024; el año de la clave permite unirlo a la actividad, no representa una nueva observación anual.</t>
        </is>
      </c>
    </row>
    <row r="3312" customFormat="false" ht="57.45" hidden="false" customHeight="false" outlineLevel="0" collapsed="false">
      <c r="A3312" s="4" t="s">
        <v>4270</v>
      </c>
      <c r="B3312" s="4" t="inlineStr">
        <is>
          <t>FE_COMB|2021|1.A.2|COMB_KER|N2O</t>
        </is>
      </c>
      <c r="C3312" s="4" t="inlineStr">
        <is>
          <t>2021|1.A.2|COMB_KER|N2O</t>
        </is>
      </c>
      <c r="D3312" s="12" t="n">
        <v>2021</v>
      </c>
      <c r="E3312" s="12">
        <v>2024.0</v>
      </c>
      <c r="F3312" s="4" t="inlineStr">
        <is>
          <t>PRX</t>
        </is>
      </c>
      <c r="G3312" s="4" t="inlineStr">
        <is>
          <t>MARN_GTM_BTR1_2024</t>
        </is>
      </c>
      <c r="H3312" s="4" t="inlineStr">
        <is>
          <t>Guatemala. Primer Informe Bienal de Transparencia (BTR1), 2024</t>
        </is>
      </c>
      <c r="I3312" s="4" t="inlineStr">
        <is>
          <t>https://unfccc.int/documents/646195</t>
        </is>
      </c>
      <c r="J3312" s="4" t="inlineStr">
        <is>
          <t>BTR1|2024|T3.22|KER|N2O</t>
        </is>
      </c>
      <c r="K3312" s="4" t="inlineStr">
        <is>
          <t>KER</t>
        </is>
      </c>
      <c r="L3312" s="4" t="inlineStr">
        <is>
          <t>Keroseno</t>
        </is>
      </c>
      <c r="M3312" s="4"/>
      <c r="N3312" s="4"/>
      <c r="O3312" s="4"/>
      <c r="P3312" s="4"/>
      <c r="Q3312" s="4" t="inlineStr">
        <is>
          <t>FE_POR_COMBUSTIBLE_BTR1</t>
        </is>
      </c>
      <c r="R3312" s="4"/>
      <c r="S3312" s="4">
        <v>0.6</v>
      </c>
      <c r="T3312" s="4" t="inlineStr">
        <is>
          <t>kg N2O/TJ</t>
        </is>
      </c>
      <c r="U3312" s="4"/>
      <c r="V3312" s="4"/>
      <c r="W3312" s="4" t="inlineStr">
        <is>
          <t>1.A.2</t>
        </is>
      </c>
      <c r="X3312" s="4" t="inlineStr">
        <is>
          <t>Industrias manufactureras y construcción</t>
        </is>
      </c>
      <c r="Y3312" s="4" t="inlineStr">
        <is>
          <t>COMB_KER</t>
        </is>
      </c>
      <c r="Z3312" s="4" t="s">
        <v>4048</v>
      </c>
      <c r="AA3312" s="13">
        <v>0.6</v>
      </c>
      <c r="AB3312" s="4" t="s">
        <v>4287</v>
      </c>
      <c r="AC3312" s="4"/>
      <c r="AD3312" s="4"/>
      <c r="AE3312" s="4"/>
      <c r="AF3312" s="4"/>
      <c r="AG3312" s="4"/>
      <c r="AH3312" s="4"/>
      <c r="AI3312" s="4"/>
      <c r="AJ3312" s="4"/>
      <c r="AK3312" s="4"/>
      <c r="AL3312" s="4" t="inlineStr">
        <is>
          <t>BTR1 Guatemala 2024, tabla 3.22, p. 62; fila Otro queroseno; gas N2O</t>
        </is>
      </c>
      <c r="AM3312" s="4" t="inlineStr">
        <is>
          <t>Factor por combustible documentado en el BTR1, con origen metodológico IPCC. Se aplica como parámetro constante aproximado a 2018–2024; el año de la clave permite unirlo a la actividad, no representa una nueva observación anual.</t>
        </is>
      </c>
    </row>
    <row r="3313" customFormat="false" ht="57.45" hidden="false" customHeight="false" outlineLevel="0" collapsed="false">
      <c r="A3313" s="4" t="s">
        <v>4270</v>
      </c>
      <c r="B3313" s="4" t="inlineStr">
        <is>
          <t>FE_COMB|2021|1.A.3|COMB_DOIL|CO2</t>
        </is>
      </c>
      <c r="C3313" s="4" t="inlineStr">
        <is>
          <t>2021|1.A.3|COMB_DOIL|CO2</t>
        </is>
      </c>
      <c r="D3313" s="12" t="n">
        <v>2021</v>
      </c>
      <c r="E3313" s="12" t="n">
        <v>2021</v>
      </c>
      <c r="F3313" s="4" t="inlineStr">
        <is>
          <t>OBS</t>
        </is>
      </c>
      <c r="G3313" s="4" t="inlineStr">
        <is>
          <t>UNFCCC_GTM_CRT_2024</t>
        </is>
      </c>
      <c r="H3313" s="4" t="inlineStr">
        <is>
          <t>Guatemala. 2024 Common Reporting Table (CRT), V0.3</t>
        </is>
      </c>
      <c r="I3313" s="4" t="inlineStr">
        <is>
          <t>https://unfccc.int/documents/646206</t>
        </is>
      </c>
      <c r="J3313" s="4" t="inlineStr">
        <is>
          <t>CRT1A|2021|1.A.3|COMB_DOIL|CO2|FILAS:22</t>
        </is>
      </c>
      <c r="K3313" s="4" t="inlineStr">
        <is>
          <t>DOIL</t>
        </is>
      </c>
      <c r="L3313" s="4" t="inlineStr">
        <is>
          <t>Diésel / gas oil</t>
        </is>
      </c>
      <c r="M3313" s="4"/>
      <c r="N3313" s="4"/>
      <c r="O3313" s="4"/>
      <c r="P3313" s="4"/>
      <c r="Q3313" s="4" t="inlineStr">
        <is>
          <t>CRT_ANUAL_COMBUSTIBLE_ESPECIFICO</t>
        </is>
      </c>
      <c r="R3313" s="4"/>
      <c r="S3313" s="4"/>
      <c r="T3313" s="4"/>
      <c r="U3313" s="4">
        <v>77206.8101</v>
      </c>
      <c r="V3313" s="4"/>
      <c r="W3313" s="4" t="inlineStr">
        <is>
          <t>1.A.3</t>
        </is>
      </c>
      <c r="X3313" s="4" t="inlineStr">
        <is>
          <t>Transporte</t>
        </is>
      </c>
      <c r="Y3313" s="4" t="inlineStr">
        <is>
          <t>COMB_DOIL</t>
        </is>
      </c>
      <c r="Z3313" s="4" t="s">
        <v>4012</v>
      </c>
      <c r="AA3313" s="13">
        <v>74100.00002059405</v>
      </c>
      <c r="AB3313" s="4" t="s">
        <v>4275</v>
      </c>
      <c r="AC3313" s="4"/>
      <c r="AD3313" s="4">
        <v>5721.02463</v>
      </c>
      <c r="AE3313" s="4"/>
      <c r="AF3313" s="4"/>
      <c r="AG3313" s="4"/>
      <c r="AH3313" s="4"/>
      <c r="AI3313" s="4"/>
      <c r="AJ3313" s="4"/>
      <c r="AK3313" s="4"/>
      <c r="AL3313" s="4" t="inlineStr">
        <is>
          <t>GTM-CRT-2024-V0.3-2021-20250304-084824_started.xlsx; Table1.A(a)s3; AD=C22; EM=H22; IEF=E22</t>
        </is>
      </c>
      <c r="AM3313" s="4" t="inlineStr">
        <is>
          <t>Combustible específico en la categoría reportada CRT 1.A.3.b. BTR1 pp. 64–65 indica que la categoría incorpora navegación no desagregable; no interpretarla como medición exclusivamente vial. Aplicar a BEN-TR conserva esa cobertura reportada. Fórmula: 1000000*(H22)/(C22). SHA-256 CRT: 72387c5108bf4044dc94c41679c64bff17814c9d1691106132a67186667b88ae.</t>
        </is>
      </c>
    </row>
    <row r="3314" customFormat="false" ht="57.45" hidden="false" customHeight="false" outlineLevel="0" collapsed="false">
      <c r="A3314" s="4" t="s">
        <v>4270</v>
      </c>
      <c r="B3314" s="4" t="inlineStr">
        <is>
          <t>FE_COMB|2021|1.A.3|COMB_DOIL|CH4</t>
        </is>
      </c>
      <c r="C3314" s="4" t="inlineStr">
        <is>
          <t>2021|1.A.3|COMB_DOIL|CH4</t>
        </is>
      </c>
      <c r="D3314" s="12" t="n">
        <v>2021</v>
      </c>
      <c r="E3314" s="12" t="n">
        <v>2021</v>
      </c>
      <c r="F3314" s="4" t="inlineStr">
        <is>
          <t>OBS</t>
        </is>
      </c>
      <c r="G3314" s="4" t="inlineStr">
        <is>
          <t>UNFCCC_GTM_CRT_2024</t>
        </is>
      </c>
      <c r="H3314" s="4" t="inlineStr">
        <is>
          <t>Guatemala. 2024 Common Reporting Table (CRT), V0.3</t>
        </is>
      </c>
      <c r="I3314" s="4" t="inlineStr">
        <is>
          <t>https://unfccc.int/documents/646206</t>
        </is>
      </c>
      <c r="J3314" s="4" t="inlineStr">
        <is>
          <t>CRT1A|2021|1.A.3|COMB_DOIL|CH4|FILAS:22</t>
        </is>
      </c>
      <c r="K3314" s="4" t="inlineStr">
        <is>
          <t>DOIL</t>
        </is>
      </c>
      <c r="L3314" s="4" t="inlineStr">
        <is>
          <t>Diésel / gas oil</t>
        </is>
      </c>
      <c r="M3314" s="4"/>
      <c r="N3314" s="4"/>
      <c r="O3314" s="4"/>
      <c r="P3314" s="4"/>
      <c r="Q3314" s="4" t="inlineStr">
        <is>
          <t>CRT_ANUAL_COMBUSTIBLE_ESPECIFICO</t>
        </is>
      </c>
      <c r="R3314" s="4"/>
      <c r="S3314" s="4"/>
      <c r="T3314" s="4"/>
      <c r="U3314" s="4">
        <v>77206.8101</v>
      </c>
      <c r="V3314" s="4"/>
      <c r="W3314" s="4" t="inlineStr">
        <is>
          <t>1.A.3</t>
        </is>
      </c>
      <c r="X3314" s="4" t="inlineStr">
        <is>
          <t>Transporte</t>
        </is>
      </c>
      <c r="Y3314" s="4" t="inlineStr">
        <is>
          <t>COMB_DOIL</t>
        </is>
      </c>
      <c r="Z3314" s="4" t="s">
        <v>4018</v>
      </c>
      <c r="AA3314" s="13">
        <v>3.9000000079008577</v>
      </c>
      <c r="AB3314" s="4" t="s">
        <v>4281</v>
      </c>
      <c r="AC3314" s="4"/>
      <c r="AD3314" s="4">
        <v>0.30110656</v>
      </c>
      <c r="AE3314" s="4"/>
      <c r="AF3314" s="4"/>
      <c r="AG3314" s="4"/>
      <c r="AH3314" s="4"/>
      <c r="AI3314" s="4"/>
      <c r="AJ3314" s="4"/>
      <c r="AK3314" s="4"/>
      <c r="AL3314" s="4" t="inlineStr">
        <is>
          <t>GTM-CRT-2024-V0.3-2021-20250304-084824_started.xlsx; Table1.A(a)s3; AD=C22; EM=I22; IEF=F22</t>
        </is>
      </c>
      <c r="AM3314" s="4" t="inlineStr">
        <is>
          <t>Combustible específico en la categoría reportada CRT 1.A.3.b. BTR1 pp. 64–65 indica que la categoría incorpora navegación no desagregable; no interpretarla como medición exclusivamente vial. Aplicar a BEN-TR conserva esa cobertura reportada. Fórmula: 1000000*(I22)/(C22). SHA-256 CRT: 72387c5108bf4044dc94c41679c64bff17814c9d1691106132a67186667b88ae.</t>
        </is>
      </c>
    </row>
    <row r="3315" customFormat="false" ht="57.45" hidden="false" customHeight="false" outlineLevel="0" collapsed="false">
      <c r="A3315" s="4" t="s">
        <v>4270</v>
      </c>
      <c r="B3315" s="4" t="inlineStr">
        <is>
          <t>FE_COMB|2021|1.A.3|COMB_DOIL|N2O</t>
        </is>
      </c>
      <c r="C3315" s="4" t="inlineStr">
        <is>
          <t>2021|1.A.3|COMB_DOIL|N2O</t>
        </is>
      </c>
      <c r="D3315" s="12" t="n">
        <v>2021</v>
      </c>
      <c r="E3315" s="12" t="n">
        <v>2021</v>
      </c>
      <c r="F3315" s="4" t="inlineStr">
        <is>
          <t>OBS</t>
        </is>
      </c>
      <c r="G3315" s="4" t="inlineStr">
        <is>
          <t>UNFCCC_GTM_CRT_2024</t>
        </is>
      </c>
      <c r="H3315" s="4" t="inlineStr">
        <is>
          <t>Guatemala. 2024 Common Reporting Table (CRT), V0.3</t>
        </is>
      </c>
      <c r="I3315" s="4" t="inlineStr">
        <is>
          <t>https://unfccc.int/documents/646206</t>
        </is>
      </c>
      <c r="J3315" s="4" t="inlineStr">
        <is>
          <t>CRT1A|2021|1.A.3|COMB_DOIL|N2O|FILAS:22</t>
        </is>
      </c>
      <c r="K3315" s="4" t="inlineStr">
        <is>
          <t>DOIL</t>
        </is>
      </c>
      <c r="L3315" s="4" t="inlineStr">
        <is>
          <t>Diésel / gas oil</t>
        </is>
      </c>
      <c r="M3315" s="4"/>
      <c r="N3315" s="4"/>
      <c r="O3315" s="4"/>
      <c r="P3315" s="4"/>
      <c r="Q3315" s="4" t="inlineStr">
        <is>
          <t>CRT_ANUAL_COMBUSTIBLE_ESPECIFICO</t>
        </is>
      </c>
      <c r="R3315" s="4"/>
      <c r="S3315" s="4"/>
      <c r="T3315" s="4"/>
      <c r="U3315" s="4">
        <v>77206.8101</v>
      </c>
      <c r="V3315" s="4"/>
      <c r="W3315" s="4" t="inlineStr">
        <is>
          <t>1.A.3</t>
        </is>
      </c>
      <c r="X3315" s="4" t="inlineStr">
        <is>
          <t>Transporte</t>
        </is>
      </c>
      <c r="Y3315" s="4" t="inlineStr">
        <is>
          <t>COMB_DOIL</t>
        </is>
      </c>
      <c r="Z3315" s="4" t="s">
        <v>4048</v>
      </c>
      <c r="AA3315" s="13">
        <v>3.9000000079008577</v>
      </c>
      <c r="AB3315" s="4" t="s">
        <v>4287</v>
      </c>
      <c r="AC3315" s="4"/>
      <c r="AD3315" s="4">
        <v>0.30110656</v>
      </c>
      <c r="AE3315" s="4"/>
      <c r="AF3315" s="4"/>
      <c r="AG3315" s="4"/>
      <c r="AH3315" s="4"/>
      <c r="AI3315" s="4"/>
      <c r="AJ3315" s="4"/>
      <c r="AK3315" s="4"/>
      <c r="AL3315" s="4" t="inlineStr">
        <is>
          <t>GTM-CRT-2024-V0.3-2021-20250304-084824_started.xlsx; Table1.A(a)s3; AD=C22; EM=J22; IEF=G22</t>
        </is>
      </c>
      <c r="AM3315" s="4" t="inlineStr">
        <is>
          <t>Combustible específico en la categoría reportada CRT 1.A.3.b. BTR1 pp. 64–65 indica que la categoría incorpora navegación no desagregable; no interpretarla como medición exclusivamente vial. Aplicar a BEN-TR conserva esa cobertura reportada. Fórmula: 1000000*(J22)/(C22). SHA-256 CRT: 72387c5108bf4044dc94c41679c64bff17814c9d1691106132a67186667b88ae.</t>
        </is>
      </c>
    </row>
    <row r="3316" customFormat="false" ht="57.45" hidden="false" customHeight="false" outlineLevel="0" collapsed="false">
      <c r="A3316" s="4" t="s">
        <v>4270</v>
      </c>
      <c r="B3316" s="4" t="inlineStr">
        <is>
          <t>FE_COMB|2021|1.A.3|COMB_GAS|CO2</t>
        </is>
      </c>
      <c r="C3316" s="4" t="inlineStr">
        <is>
          <t>2021|1.A.3|COMB_GAS|CO2</t>
        </is>
      </c>
      <c r="D3316" s="12" t="n">
        <v>2021</v>
      </c>
      <c r="E3316" s="12" t="n">
        <v>2021</v>
      </c>
      <c r="F3316" s="4" t="inlineStr">
        <is>
          <t>PRX</t>
        </is>
      </c>
      <c r="G3316" s="4" t="inlineStr">
        <is>
          <t>UNFCCC_GTM_CRT_2024</t>
        </is>
      </c>
      <c r="H3316" s="4" t="inlineStr">
        <is>
          <t>Guatemala. 2024 Common Reporting Table (CRT), V0.3</t>
        </is>
      </c>
      <c r="I3316" s="4" t="inlineStr">
        <is>
          <t>https://unfccc.int/documents/646206</t>
        </is>
      </c>
      <c r="J3316" s="4" t="inlineStr">
        <is>
          <t>CRT1A|2021|1.A.3|COMB_GAS|CO2|FILAS:17+21</t>
        </is>
      </c>
      <c r="K3316" s="4" t="inlineStr">
        <is>
          <t>GAS</t>
        </is>
      </c>
      <c r="L3316" s="4" t="inlineStr">
        <is>
          <t>Gasolinas</t>
        </is>
      </c>
      <c r="M3316" s="4"/>
      <c r="N3316" s="4"/>
      <c r="O3316" s="4"/>
      <c r="P3316" s="4"/>
      <c r="Q3316" s="4" t="inlineStr">
        <is>
          <t>CRT_ANUAL_SUMA_EMISIONES_DIV_SUMA_ACTIVIDAD</t>
        </is>
      </c>
      <c r="R3316" s="4"/>
      <c r="S3316" s="4"/>
      <c r="T3316" s="4"/>
      <c r="U3316" s="4">
        <v>80993.9282662</v>
      </c>
      <c r="V3316" s="4"/>
      <c r="W3316" s="4" t="s">
        <v>3412</v>
      </c>
      <c r="X3316" s="4" t="inlineStr">
        <is>
          <t>Transporte</t>
        </is>
      </c>
      <c r="Y3316" s="4" t="inlineStr">
        <is>
          <t>COMB_GAS</t>
        </is>
      </c>
      <c r="Z3316" s="4" t="s">
        <v>4012</v>
      </c>
      <c r="AA3316" s="13">
        <v>69300.56891650184</v>
      </c>
      <c r="AB3316" s="4" t="s">
        <v>4275</v>
      </c>
      <c r="AC3316" s="4"/>
      <c r="AD3316" s="4">
        <v>5612.92530763</v>
      </c>
      <c r="AE3316" s="4"/>
      <c r="AF3316" s="4"/>
      <c r="AG3316" s="4"/>
      <c r="AH3316" s="4"/>
      <c r="AI3316" s="4"/>
      <c r="AJ3316" s="4"/>
      <c r="AK3316" s="4"/>
      <c r="AL3316" s="4" t="inlineStr">
        <is>
          <t>GTM-CRT-2024-V0.3-2021-20250304-084824_started.xlsx; Table1.A(a)s3; AD=C17+C21; EM=H17+H21; IEF=E17+E21</t>
        </is>
      </c>
      <c r="AM3316" s="4" t="inlineStr">
        <is>
          <t>Mezcla anual CRT de gasolina de aviación y gasolina de motor. BTR1 p. 66 confirma que GAS del BEN reúne ambos usos. Aplicar a GAS-TR supone representatividad de esa mezcla anual; no es un factor exclusivamente vial ni de un producto químicamente homogéneo. Fórmula: 1000000*(H17+H21)/(C17+C21). SHA-256 CRT: 72387c5108bf4044dc94c41679c64bff17814c9d1691106132a67186667b88ae. El cociente es una derivación CAL; su aplicación a la mezcla GAS-TR se identifica PRX.</t>
        </is>
      </c>
    </row>
    <row r="3317" customFormat="false" ht="57.45" hidden="false" customHeight="false" outlineLevel="0" collapsed="false">
      <c r="A3317" s="4" t="s">
        <v>4270</v>
      </c>
      <c r="B3317" s="4" t="inlineStr">
        <is>
          <t>FE_COMB|2021|1.A.3|COMB_GAS|CH4</t>
        </is>
      </c>
      <c r="C3317" s="4" t="inlineStr">
        <is>
          <t>2021|1.A.3|COMB_GAS|CH4</t>
        </is>
      </c>
      <c r="D3317" s="12" t="n">
        <v>2021</v>
      </c>
      <c r="E3317" s="12" t="n">
        <v>2021</v>
      </c>
      <c r="F3317" s="4" t="inlineStr">
        <is>
          <t>PRX</t>
        </is>
      </c>
      <c r="G3317" s="4" t="inlineStr">
        <is>
          <t>UNFCCC_GTM_CRT_2024</t>
        </is>
      </c>
      <c r="H3317" s="4" t="inlineStr">
        <is>
          <t>Guatemala. 2024 Common Reporting Table (CRT), V0.3</t>
        </is>
      </c>
      <c r="I3317" s="4" t="inlineStr">
        <is>
          <t>https://unfccc.int/documents/646206</t>
        </is>
      </c>
      <c r="J3317" s="4" t="inlineStr">
        <is>
          <t>CRT1A|2021|1.A.3|COMB_GAS|CH4|FILAS:17+21</t>
        </is>
      </c>
      <c r="K3317" s="4" t="inlineStr">
        <is>
          <t>GAS</t>
        </is>
      </c>
      <c r="L3317" s="4" t="inlineStr">
        <is>
          <t>Gasolinas</t>
        </is>
      </c>
      <c r="M3317" s="4"/>
      <c r="N3317" s="4"/>
      <c r="O3317" s="4"/>
      <c r="P3317" s="4"/>
      <c r="Q3317" s="4" t="inlineStr">
        <is>
          <t>CRT_ANUAL_SUMA_EMISIONES_DIV_SUMA_ACTIVIDAD</t>
        </is>
      </c>
      <c r="R3317" s="4"/>
      <c r="S3317" s="4"/>
      <c r="T3317" s="4"/>
      <c r="U3317" s="4">
        <v>80993.9282662</v>
      </c>
      <c r="V3317" s="4"/>
      <c r="W3317" s="4" t="s">
        <v>3412</v>
      </c>
      <c r="X3317" s="4" t="inlineStr">
        <is>
          <t>Transporte</t>
        </is>
      </c>
      <c r="Y3317" s="4" t="inlineStr">
        <is>
          <t>COMB_GAS</t>
        </is>
      </c>
      <c r="Z3317" s="4" t="s">
        <v>4018</v>
      </c>
      <c r="AA3317" s="13">
        <v>32.97358920810002</v>
      </c>
      <c r="AB3317" s="4" t="s">
        <v>4281</v>
      </c>
      <c r="AC3317" s="4"/>
      <c r="AD3317" s="4">
        <v>2.670660519</v>
      </c>
      <c r="AE3317" s="4"/>
      <c r="AF3317" s="4"/>
      <c r="AG3317" s="4"/>
      <c r="AH3317" s="4"/>
      <c r="AI3317" s="4"/>
      <c r="AJ3317" s="4"/>
      <c r="AK3317" s="4"/>
      <c r="AL3317" s="4" t="inlineStr">
        <is>
          <t>GTM-CRT-2024-V0.3-2021-20250304-084824_started.xlsx; Table1.A(a)s3; AD=C17+C21; EM=I17+I21; IEF=F17+F21</t>
        </is>
      </c>
      <c r="AM3317" s="4" t="inlineStr">
        <is>
          <t>Mezcla anual CRT de gasolina de aviación y gasolina de motor. BTR1 p. 66 confirma que GAS del BEN reúne ambos usos. Aplicar a GAS-TR supone representatividad de esa mezcla anual; no es un factor exclusivamente vial ni de un producto químicamente homogéneo. Fórmula: 1000000*(I17+I21)/(C17+C21). SHA-256 CRT: 72387c5108bf4044dc94c41679c64bff17814c9d1691106132a67186667b88ae. El cociente es una derivación CAL; su aplicación a la mezcla GAS-TR se identifica PRX.</t>
        </is>
      </c>
    </row>
    <row r="3318" customFormat="false" ht="57.45" hidden="false" customHeight="false" outlineLevel="0" collapsed="false">
      <c r="A3318" s="4" t="s">
        <v>4270</v>
      </c>
      <c r="B3318" s="4" t="inlineStr">
        <is>
          <t>FE_COMB|2021|1.A.3|COMB_GAS|N2O</t>
        </is>
      </c>
      <c r="C3318" s="4" t="inlineStr">
        <is>
          <t>2021|1.A.3|COMB_GAS|N2O</t>
        </is>
      </c>
      <c r="D3318" s="12" t="n">
        <v>2021</v>
      </c>
      <c r="E3318" s="12" t="n">
        <v>2021</v>
      </c>
      <c r="F3318" s="4" t="inlineStr">
        <is>
          <t>PRX</t>
        </is>
      </c>
      <c r="G3318" s="4" t="inlineStr">
        <is>
          <t>UNFCCC_GTM_CRT_2024</t>
        </is>
      </c>
      <c r="H3318" s="4" t="inlineStr">
        <is>
          <t>Guatemala. 2024 Common Reporting Table (CRT), V0.3</t>
        </is>
      </c>
      <c r="I3318" s="4" t="inlineStr">
        <is>
          <t>https://unfccc.int/documents/646206</t>
        </is>
      </c>
      <c r="J3318" s="4" t="inlineStr">
        <is>
          <t>CRT1A|2021|1.A.3|COMB_GAS|N2O|FILAS:17+21</t>
        </is>
      </c>
      <c r="K3318" s="4" t="inlineStr">
        <is>
          <t>GAS</t>
        </is>
      </c>
      <c r="L3318" s="4" t="inlineStr">
        <is>
          <t>Gasolinas</t>
        </is>
      </c>
      <c r="M3318" s="4"/>
      <c r="N3318" s="4"/>
      <c r="O3318" s="4"/>
      <c r="P3318" s="4"/>
      <c r="Q3318" s="4" t="inlineStr">
        <is>
          <t>CRT_ANUAL_SUMA_EMISIONES_DIV_SUMA_ACTIVIDAD</t>
        </is>
      </c>
      <c r="R3318" s="4"/>
      <c r="S3318" s="4"/>
      <c r="T3318" s="4"/>
      <c r="U3318" s="4">
        <v>80993.9282662</v>
      </c>
      <c r="V3318" s="4"/>
      <c r="W3318" s="4" t="s">
        <v>3412</v>
      </c>
      <c r="X3318" s="4" t="inlineStr">
        <is>
          <t>Transporte</t>
        </is>
      </c>
      <c r="Y3318" s="4" t="inlineStr">
        <is>
          <t>COMB_GAS</t>
        </is>
      </c>
      <c r="Z3318" s="4" t="s">
        <v>4048</v>
      </c>
      <c r="AA3318" s="13">
        <v>3.1990248595971242</v>
      </c>
      <c r="AB3318" s="4" t="s">
        <v>4287</v>
      </c>
      <c r="AC3318" s="4"/>
      <c r="AD3318" s="4">
        <v>0.25910159</v>
      </c>
      <c r="AE3318" s="4"/>
      <c r="AF3318" s="4"/>
      <c r="AG3318" s="4"/>
      <c r="AH3318" s="4"/>
      <c r="AI3318" s="4"/>
      <c r="AJ3318" s="4"/>
      <c r="AK3318" s="4"/>
      <c r="AL3318" s="4" t="inlineStr">
        <is>
          <t>GTM-CRT-2024-V0.3-2021-20250304-084824_started.xlsx; Table1.A(a)s3; AD=C17+C21; EM=J17+J21; IEF=G17+G21</t>
        </is>
      </c>
      <c r="AM3318" s="4" t="inlineStr">
        <is>
          <t>Mezcla anual CRT de gasolina de aviación y gasolina de motor. BTR1 p. 66 confirma que GAS del BEN reúne ambos usos. Aplicar a GAS-TR supone representatividad de esa mezcla anual; no es un factor exclusivamente vial ni de un producto químicamente homogéneo. Fórmula: 1000000*(J17+J21)/(C17+C21). SHA-256 CRT: 72387c5108bf4044dc94c41679c64bff17814c9d1691106132a67186667b88ae. El cociente es una derivación CAL; su aplicación a la mezcla GAS-TR se identifica PRX.</t>
        </is>
      </c>
    </row>
    <row r="3319" customFormat="false" ht="57.45" hidden="false" customHeight="false" outlineLevel="0" collapsed="false">
      <c r="A3319" s="4" t="s">
        <v>4270</v>
      </c>
      <c r="B3319" s="4" t="inlineStr">
        <is>
          <t>FE_COMB|2021|1.A.3|COMB_GLP|CO2</t>
        </is>
      </c>
      <c r="C3319" s="4" t="inlineStr">
        <is>
          <t>2021|1.A.3|COMB_GLP|CO2</t>
        </is>
      </c>
      <c r="D3319" s="12" t="n">
        <v>2021</v>
      </c>
      <c r="E3319" s="12" t="n">
        <v>2021</v>
      </c>
      <c r="F3319" s="4" t="inlineStr">
        <is>
          <t>OBS</t>
        </is>
      </c>
      <c r="G3319" s="4" t="inlineStr">
        <is>
          <t>UNFCCC_GTM_CRT_2024</t>
        </is>
      </c>
      <c r="H3319" s="4" t="inlineStr">
        <is>
          <t>Guatemala. 2024 Common Reporting Table (CRT), V0.3</t>
        </is>
      </c>
      <c r="I3319" s="4" t="inlineStr">
        <is>
          <t>https://unfccc.int/documents/646206</t>
        </is>
      </c>
      <c r="J3319" s="4" t="inlineStr">
        <is>
          <t>CRT1A|2021|1.A.3|COMB_GLP|CO2|FILAS:23</t>
        </is>
      </c>
      <c r="K3319" s="4" t="inlineStr">
        <is>
          <t>GLP</t>
        </is>
      </c>
      <c r="L3319" s="4" t="inlineStr">
        <is>
          <t>Gas licuado de petróleo (GLP)</t>
        </is>
      </c>
      <c r="M3319" s="4"/>
      <c r="N3319" s="4"/>
      <c r="O3319" s="4"/>
      <c r="P3319" s="4"/>
      <c r="Q3319" s="4" t="inlineStr">
        <is>
          <t>CRT_ANUAL_COMBUSTIBLE_ESPECIFICO</t>
        </is>
      </c>
      <c r="R3319" s="4"/>
      <c r="S3319" s="4"/>
      <c r="T3319" s="4"/>
      <c r="U3319" s="4">
        <v>224.292253</v>
      </c>
      <c r="V3319" s="4"/>
      <c r="W3319" s="4" t="inlineStr">
        <is>
          <t>1.A.3</t>
        </is>
      </c>
      <c r="X3319" s="4" t="inlineStr">
        <is>
          <t>Transporte</t>
        </is>
      </c>
      <c r="Y3319" s="4" t="inlineStr">
        <is>
          <t>COMB_GLP</t>
        </is>
      </c>
      <c r="Z3319" s="4" t="s">
        <v>4012</v>
      </c>
      <c r="AA3319" s="13">
        <v>63100.000159167335</v>
      </c>
      <c r="AB3319" s="4" t="s">
        <v>4275</v>
      </c>
      <c r="AC3319" s="4"/>
      <c r="AD3319" s="4">
        <v>14.1528412</v>
      </c>
      <c r="AE3319" s="4"/>
      <c r="AF3319" s="4"/>
      <c r="AG3319" s="4"/>
      <c r="AH3319" s="4"/>
      <c r="AI3319" s="4"/>
      <c r="AJ3319" s="4"/>
      <c r="AK3319" s="4"/>
      <c r="AL3319" s="4" t="inlineStr">
        <is>
          <t>GTM-CRT-2024-V0.3-2021-20250304-084824_started.xlsx; Table1.A(a)s3; AD=C23; EM=H23; IEF=E23</t>
        </is>
      </c>
      <c r="AM3319" s="4" t="inlineStr">
        <is>
          <t>Combustible específico en la categoría reportada CRT 1.A.3.b. BTR1 pp. 64–65 indica que la categoría incorpora navegación no desagregable; no interpretarla como medición exclusivamente vial. Aplicar a BEN-TR conserva esa cobertura reportada. Fórmula: 1000000*(H23)/(C23). SHA-256 CRT: 72387c5108bf4044dc94c41679c64bff17814c9d1691106132a67186667b88ae.</t>
        </is>
      </c>
    </row>
    <row r="3320" customFormat="false" ht="57.45" hidden="false" customHeight="false" outlineLevel="0" collapsed="false">
      <c r="A3320" s="4" t="s">
        <v>4270</v>
      </c>
      <c r="B3320" s="4" t="inlineStr">
        <is>
          <t>FE_COMB|2021|1.A.3|COMB_GLP|CH4</t>
        </is>
      </c>
      <c r="C3320" s="4" t="inlineStr">
        <is>
          <t>2021|1.A.3|COMB_GLP|CH4</t>
        </is>
      </c>
      <c r="D3320" s="12" t="n">
        <v>2021</v>
      </c>
      <c r="E3320" s="12" t="n">
        <v>2021</v>
      </c>
      <c r="F3320" s="4" t="inlineStr">
        <is>
          <t>OBS</t>
        </is>
      </c>
      <c r="G3320" s="4" t="inlineStr">
        <is>
          <t>UNFCCC_GTM_CRT_2024</t>
        </is>
      </c>
      <c r="H3320" s="4" t="inlineStr">
        <is>
          <t>Guatemala. 2024 Common Reporting Table (CRT), V0.3</t>
        </is>
      </c>
      <c r="I3320" s="4" t="inlineStr">
        <is>
          <t>https://unfccc.int/documents/646206</t>
        </is>
      </c>
      <c r="J3320" s="4" t="inlineStr">
        <is>
          <t>CRT1A|2021|1.A.3|COMB_GLP|CH4|FILAS:23</t>
        </is>
      </c>
      <c r="K3320" s="4" t="inlineStr">
        <is>
          <t>GLP</t>
        </is>
      </c>
      <c r="L3320" s="4" t="inlineStr">
        <is>
          <t>Gas licuado de petróleo (GLP)</t>
        </is>
      </c>
      <c r="M3320" s="4"/>
      <c r="N3320" s="4"/>
      <c r="O3320" s="4"/>
      <c r="P3320" s="4"/>
      <c r="Q3320" s="4" t="inlineStr">
        <is>
          <t>CRT_ANUAL_COMBUSTIBLE_ESPECIFICO</t>
        </is>
      </c>
      <c r="R3320" s="4"/>
      <c r="S3320" s="4"/>
      <c r="T3320" s="4"/>
      <c r="U3320" s="4">
        <v>224.292253</v>
      </c>
      <c r="V3320" s="4"/>
      <c r="W3320" s="4" t="inlineStr">
        <is>
          <t>1.A.3</t>
        </is>
      </c>
      <c r="X3320" s="4" t="inlineStr">
        <is>
          <t>Transporte</t>
        </is>
      </c>
      <c r="Y3320" s="4" t="inlineStr">
        <is>
          <t>COMB_GLP</t>
        </is>
      </c>
      <c r="Z3320" s="4" t="s">
        <v>4018</v>
      </c>
      <c r="AA3320" s="13">
        <v>62.00000139995919</v>
      </c>
      <c r="AB3320" s="4" t="s">
        <v>4281</v>
      </c>
      <c r="AC3320" s="4"/>
      <c r="AD3320" s="4">
        <v>0.01390612</v>
      </c>
      <c r="AE3320" s="4"/>
      <c r="AF3320" s="4"/>
      <c r="AG3320" s="4"/>
      <c r="AH3320" s="4"/>
      <c r="AI3320" s="4"/>
      <c r="AJ3320" s="4"/>
      <c r="AK3320" s="4"/>
      <c r="AL3320" s="4" t="inlineStr">
        <is>
          <t>GTM-CRT-2024-V0.3-2021-20250304-084824_started.xlsx; Table1.A(a)s3; AD=C23; EM=I23; IEF=F23</t>
        </is>
      </c>
      <c r="AM3320" s="4" t="inlineStr">
        <is>
          <t>Combustible específico en la categoría reportada CRT 1.A.3.b. BTR1 pp. 64–65 indica que la categoría incorpora navegación no desagregable; no interpretarla como medición exclusivamente vial. Aplicar a BEN-TR conserva esa cobertura reportada. Fórmula: 1000000*(I23)/(C23). SHA-256 CRT: 72387c5108bf4044dc94c41679c64bff17814c9d1691106132a67186667b88ae.</t>
        </is>
      </c>
    </row>
    <row r="3321" customFormat="false" ht="57.45" hidden="false" customHeight="false" outlineLevel="0" collapsed="false">
      <c r="A3321" s="4" t="s">
        <v>4270</v>
      </c>
      <c r="B3321" s="4" t="inlineStr">
        <is>
          <t>FE_COMB|2021|1.A.3|COMB_GLP|N2O</t>
        </is>
      </c>
      <c r="C3321" s="4" t="inlineStr">
        <is>
          <t>2021|1.A.3|COMB_GLP|N2O</t>
        </is>
      </c>
      <c r="D3321" s="12" t="n">
        <v>2021</v>
      </c>
      <c r="E3321" s="12" t="n">
        <v>2021</v>
      </c>
      <c r="F3321" s="4" t="inlineStr">
        <is>
          <t>OBS</t>
        </is>
      </c>
      <c r="G3321" s="4" t="inlineStr">
        <is>
          <t>UNFCCC_GTM_CRT_2024</t>
        </is>
      </c>
      <c r="H3321" s="4" t="inlineStr">
        <is>
          <t>Guatemala. 2024 Common Reporting Table (CRT), V0.3</t>
        </is>
      </c>
      <c r="I3321" s="4" t="inlineStr">
        <is>
          <t>https://unfccc.int/documents/646206</t>
        </is>
      </c>
      <c r="J3321" s="4" t="inlineStr">
        <is>
          <t>CRT1A|2021|1.A.3|COMB_GLP|N2O|FILAS:23</t>
        </is>
      </c>
      <c r="K3321" s="4" t="inlineStr">
        <is>
          <t>GLP</t>
        </is>
      </c>
      <c r="L3321" s="4" t="inlineStr">
        <is>
          <t>Gas licuado de petróleo (GLP)</t>
        </is>
      </c>
      <c r="M3321" s="4"/>
      <c r="N3321" s="4"/>
      <c r="O3321" s="4"/>
      <c r="P3321" s="4"/>
      <c r="Q3321" s="4" t="inlineStr">
        <is>
          <t>CRT_ANUAL_COMBUSTIBLE_ESPECIFICO</t>
        </is>
      </c>
      <c r="R3321" s="4"/>
      <c r="S3321" s="4"/>
      <c r="T3321" s="4"/>
      <c r="U3321" s="4">
        <v>224.292253</v>
      </c>
      <c r="V3321" s="4"/>
      <c r="W3321" s="4" t="inlineStr">
        <is>
          <t>1.A.3</t>
        </is>
      </c>
      <c r="X3321" s="4" t="inlineStr">
        <is>
          <t>Transporte</t>
        </is>
      </c>
      <c r="Y3321" s="4" t="inlineStr">
        <is>
          <t>COMB_GLP</t>
        </is>
      </c>
      <c r="Z3321" s="4" t="s">
        <v>4048</v>
      </c>
      <c r="AA3321" s="13">
        <v>0.199997991013983</v>
      </c>
      <c r="AB3321" s="4" t="s">
        <v>4287</v>
      </c>
      <c r="AC3321" s="4"/>
      <c r="AD3321" s="4">
        <v>4.4858e-05</v>
      </c>
      <c r="AE3321" s="4"/>
      <c r="AF3321" s="4"/>
      <c r="AG3321" s="4"/>
      <c r="AH3321" s="4"/>
      <c r="AI3321" s="4"/>
      <c r="AJ3321" s="4"/>
      <c r="AK3321" s="4"/>
      <c r="AL3321" s="4" t="inlineStr">
        <is>
          <t>GTM-CRT-2024-V0.3-2021-20250304-084824_started.xlsx; Table1.A(a)s3; AD=C23; EM=J23; IEF=G23</t>
        </is>
      </c>
      <c r="AM3321" s="4" t="inlineStr">
        <is>
          <t>Combustible específico en la categoría reportada CRT 1.A.3.b. BTR1 pp. 64–65 indica que la categoría incorpora navegación no desagregable; no interpretarla como medición exclusivamente vial. Aplicar a BEN-TR conserva esa cobertura reportada. Fórmula: 1000000*(J23)/(C23). SHA-256 CRT: 72387c5108bf4044dc94c41679c64bff17814c9d1691106132a67186667b88ae.</t>
        </is>
      </c>
    </row>
    <row r="3322" customFormat="false" ht="57.45" hidden="false" customHeight="false" outlineLevel="0" collapsed="false">
      <c r="A3322" s="4" t="s">
        <v>4270</v>
      </c>
      <c r="B3322" s="4" t="inlineStr">
        <is>
          <t>FE_COMB|2021|1.A.3|COMB_KER|CO2</t>
        </is>
      </c>
      <c r="C3322" s="4" t="inlineStr">
        <is>
          <t>2021|1.A.3|COMB_KER|CO2</t>
        </is>
      </c>
      <c r="D3322" s="12" t="n">
        <v>2021</v>
      </c>
      <c r="E3322" s="12">
        <v>2006.0</v>
      </c>
      <c r="F3322" s="4" t="inlineStr">
        <is>
          <t>PRX</t>
        </is>
      </c>
      <c r="G3322" s="4" t="inlineStr">
        <is>
          <t>IPCC_2006_GL</t>
        </is>
      </c>
      <c r="H3322" s="4" t="inlineStr">
        <is>
          <t>IPCC. 2006 Guidelines for National Greenhouse Gas Inventories, Volume 2: Energy</t>
        </is>
      </c>
      <c r="I3322" s="4" t="inlineStr">
        <is>
          <t>https://www.ipcc-nggip.iges.or.jp/public/2006gl/pdf/2_Volume2/V2_3_Ch3_Mobile_Combustion.pdf</t>
        </is>
      </c>
      <c r="J3322" s="4" t="inlineStr">
        <is>
          <t>IPCC2006|V2|C3|T3.6.4|JET_KEROSENE|CO2</t>
        </is>
      </c>
      <c r="K3322" s="4" t="inlineStr">
        <is>
          <t>KER</t>
        </is>
      </c>
      <c r="L3322" s="4" t="inlineStr">
        <is>
          <t>Keroseno</t>
        </is>
      </c>
      <c r="M3322" s="4"/>
      <c r="N3322" s="4"/>
      <c r="O3322" s="4"/>
      <c r="P3322" s="4"/>
      <c r="Q3322" s="4" t="inlineStr">
        <is>
          <t>FE_POR_DEFECTO_IPCC_2006</t>
        </is>
      </c>
      <c r="R3322" s="4"/>
      <c r="S3322" s="4">
        <v>71500.0</v>
      </c>
      <c r="T3322" s="4" t="inlineStr">
        <is>
          <t>kg CO2/TJ</t>
        </is>
      </c>
      <c r="U3322" s="4"/>
      <c r="V3322" s="4"/>
      <c r="W3322" s="4" t="inlineStr">
        <is>
          <t>1.A.3</t>
        </is>
      </c>
      <c r="X3322" s="4" t="inlineStr">
        <is>
          <t>Transporte</t>
        </is>
      </c>
      <c r="Y3322" s="4" t="inlineStr">
        <is>
          <t>COMB_KER</t>
        </is>
      </c>
      <c r="Z3322" s="4" t="s">
        <v>4012</v>
      </c>
      <c r="AA3322" s="13">
        <v>71500.0</v>
      </c>
      <c r="AB3322" s="4" t="s">
        <v>4275</v>
      </c>
      <c r="AC3322" s="4"/>
      <c r="AD3322" s="4"/>
      <c r="AE3322" s="4"/>
      <c r="AF3322" s="4"/>
      <c r="AG3322" s="4"/>
      <c r="AH3322" s="4"/>
      <c r="AI3322" s="4"/>
      <c r="AJ3322" s="4"/>
      <c r="AK3322" s="4"/>
      <c r="AL3322" s="4" t="inlineStr">
        <is>
          <t>Volumen 2, capítulo 3, tabla 3.6.4, p. 3.64; fila Jet Kerosene; gas CO2</t>
        </is>
      </c>
      <c r="AM3322" s="4" t="inlineStr">
        <is>
          <t>Factor por defecto de aviación aplicado como aproximación a KER-TR. BTR1 Guatemala, p. 66, sustenta el uso de queroseno de aviación. No se agrega actividad internacional de las CRT ni se altera la actividad BEN. Valor constante, no observación anual del país.</t>
        </is>
      </c>
    </row>
    <row r="3323" customFormat="false" ht="57.45" hidden="false" customHeight="false" outlineLevel="0" collapsed="false">
      <c r="A3323" s="4" t="s">
        <v>4270</v>
      </c>
      <c r="B3323" s="4" t="inlineStr">
        <is>
          <t>FE_COMB|2021|1.A.3|COMB_KER|CH4</t>
        </is>
      </c>
      <c r="C3323" s="4" t="inlineStr">
        <is>
          <t>2021|1.A.3|COMB_KER|CH4</t>
        </is>
      </c>
      <c r="D3323" s="12" t="n">
        <v>2021</v>
      </c>
      <c r="E3323" s="12">
        <v>2006.0</v>
      </c>
      <c r="F3323" s="4" t="inlineStr">
        <is>
          <t>PRX</t>
        </is>
      </c>
      <c r="G3323" s="4" t="inlineStr">
        <is>
          <t>IPCC_2006_GL</t>
        </is>
      </c>
      <c r="H3323" s="4" t="inlineStr">
        <is>
          <t>IPCC. 2006 Guidelines for National Greenhouse Gas Inventories, Volume 2: Energy</t>
        </is>
      </c>
      <c r="I3323" s="4" t="inlineStr">
        <is>
          <t>https://www.ipcc-nggip.iges.or.jp/public/2006gl/pdf/2_Volume2/V2_3_Ch3_Mobile_Combustion.pdf</t>
        </is>
      </c>
      <c r="J3323" s="4" t="inlineStr">
        <is>
          <t>IPCC2006|V2|C3|T3.6.5|JET_KEROSENE|CH4</t>
        </is>
      </c>
      <c r="K3323" s="4" t="inlineStr">
        <is>
          <t>KER</t>
        </is>
      </c>
      <c r="L3323" s="4" t="inlineStr">
        <is>
          <t>Keroseno</t>
        </is>
      </c>
      <c r="M3323" s="4"/>
      <c r="N3323" s="4"/>
      <c r="O3323" s="4"/>
      <c r="P3323" s="4"/>
      <c r="Q3323" s="4" t="inlineStr">
        <is>
          <t>FE_POR_DEFECTO_IPCC_2006</t>
        </is>
      </c>
      <c r="R3323" s="4"/>
      <c r="S3323" s="4">
        <v>0.5</v>
      </c>
      <c r="T3323" s="4" t="inlineStr">
        <is>
          <t>kg CH4/TJ</t>
        </is>
      </c>
      <c r="U3323" s="4"/>
      <c r="V3323" s="4"/>
      <c r="W3323" s="4" t="inlineStr">
        <is>
          <t>1.A.3</t>
        </is>
      </c>
      <c r="X3323" s="4" t="inlineStr">
        <is>
          <t>Transporte</t>
        </is>
      </c>
      <c r="Y3323" s="4" t="inlineStr">
        <is>
          <t>COMB_KER</t>
        </is>
      </c>
      <c r="Z3323" s="4" t="s">
        <v>4018</v>
      </c>
      <c r="AA3323" s="13">
        <v>0.5</v>
      </c>
      <c r="AB3323" s="4" t="s">
        <v>4281</v>
      </c>
      <c r="AC3323" s="4"/>
      <c r="AD3323" s="4"/>
      <c r="AE3323" s="4"/>
      <c r="AF3323" s="4"/>
      <c r="AG3323" s="4"/>
      <c r="AH3323" s="4"/>
      <c r="AI3323" s="4"/>
      <c r="AJ3323" s="4"/>
      <c r="AK3323" s="4"/>
      <c r="AL3323" s="4" t="inlineStr">
        <is>
          <t>Volumen 2, capítulo 3, tabla 3.6.5, p. 3.64; fila All fuels; gas CH4</t>
        </is>
      </c>
      <c r="AM3323" s="4" t="inlineStr">
        <is>
          <t>Factor por defecto de aviación aplicado como aproximación a KER-TR. BTR1 Guatemala, p. 66, sustenta el uso de queroseno de aviación. No se agrega actividad internacional de las CRT ni se altera la actividad BEN. Valor constante, no observación anual del país.</t>
        </is>
      </c>
    </row>
    <row r="3324" customFormat="false" ht="57.45" hidden="false" customHeight="false" outlineLevel="0" collapsed="false">
      <c r="A3324" s="4" t="s">
        <v>4270</v>
      </c>
      <c r="B3324" s="4" t="inlineStr">
        <is>
          <t>FE_COMB|2021|1.A.3|COMB_KER|N2O</t>
        </is>
      </c>
      <c r="C3324" s="4" t="inlineStr">
        <is>
          <t>2021|1.A.3|COMB_KER|N2O</t>
        </is>
      </c>
      <c r="D3324" s="12" t="n">
        <v>2021</v>
      </c>
      <c r="E3324" s="12">
        <v>2006.0</v>
      </c>
      <c r="F3324" s="4" t="inlineStr">
        <is>
          <t>PRX</t>
        </is>
      </c>
      <c r="G3324" s="4" t="inlineStr">
        <is>
          <t>IPCC_2006_GL</t>
        </is>
      </c>
      <c r="H3324" s="4" t="inlineStr">
        <is>
          <t>IPCC. 2006 Guidelines for National Greenhouse Gas Inventories, Volume 2: Energy</t>
        </is>
      </c>
      <c r="I3324" s="4" t="inlineStr">
        <is>
          <t>https://www.ipcc-nggip.iges.or.jp/public/2006gl/pdf/2_Volume2/V2_3_Ch3_Mobile_Combustion.pdf</t>
        </is>
      </c>
      <c r="J3324" s="4" t="inlineStr">
        <is>
          <t>IPCC2006|V2|C3|T3.6.5|JET_KEROSENE|N2O</t>
        </is>
      </c>
      <c r="K3324" s="4" t="inlineStr">
        <is>
          <t>KER</t>
        </is>
      </c>
      <c r="L3324" s="4" t="inlineStr">
        <is>
          <t>Keroseno</t>
        </is>
      </c>
      <c r="M3324" s="4"/>
      <c r="N3324" s="4"/>
      <c r="O3324" s="4"/>
      <c r="P3324" s="4"/>
      <c r="Q3324" s="4" t="inlineStr">
        <is>
          <t>FE_POR_DEFECTO_IPCC_2006</t>
        </is>
      </c>
      <c r="R3324" s="4"/>
      <c r="S3324" s="4">
        <v>2.0</v>
      </c>
      <c r="T3324" s="4" t="inlineStr">
        <is>
          <t>kg N2O/TJ</t>
        </is>
      </c>
      <c r="U3324" s="4"/>
      <c r="V3324" s="4"/>
      <c r="W3324" s="4" t="inlineStr">
        <is>
          <t>1.A.3</t>
        </is>
      </c>
      <c r="X3324" s="4" t="inlineStr">
        <is>
          <t>Transporte</t>
        </is>
      </c>
      <c r="Y3324" s="4" t="inlineStr">
        <is>
          <t>COMB_KER</t>
        </is>
      </c>
      <c r="Z3324" s="4" t="s">
        <v>4048</v>
      </c>
      <c r="AA3324" s="13">
        <v>2.0</v>
      </c>
      <c r="AB3324" s="4" t="s">
        <v>4287</v>
      </c>
      <c r="AC3324" s="4"/>
      <c r="AD3324" s="4"/>
      <c r="AE3324" s="4"/>
      <c r="AF3324" s="4"/>
      <c r="AG3324" s="4"/>
      <c r="AH3324" s="4"/>
      <c r="AI3324" s="4"/>
      <c r="AJ3324" s="4"/>
      <c r="AK3324" s="4"/>
      <c r="AL3324" s="4" t="inlineStr">
        <is>
          <t>Volumen 2, capítulo 3, tabla 3.6.5, p. 3.64; fila All fuels; gas N2O</t>
        </is>
      </c>
      <c r="AM3324" s="4" t="inlineStr">
        <is>
          <t>Factor por defecto de aviación aplicado como aproximación a KER-TR. BTR1 Guatemala, p. 66, sustenta el uso de queroseno de aviación. No se agrega actividad internacional de las CRT ni se altera la actividad BEN. Valor constante, no observación anual del país.</t>
        </is>
      </c>
    </row>
    <row r="3325" customFormat="false" ht="46.25" hidden="false" customHeight="false" outlineLevel="0" collapsed="false">
      <c r="A3325" s="4" t="s">
        <v>4270</v>
      </c>
      <c r="B3325" s="4" t="inlineStr">
        <is>
          <t>FE_COMB|2021|1.A.4.a|COMB_GAS|CO2</t>
        </is>
      </c>
      <c r="C3325" s="4" t="inlineStr">
        <is>
          <t>2021|1.A.4.a|COMB_GAS|CO2</t>
        </is>
      </c>
      <c r="D3325" s="12" t="n">
        <v>2021</v>
      </c>
      <c r="E3325" s="12">
        <v>2024.0</v>
      </c>
      <c r="F3325" s="4" t="inlineStr">
        <is>
          <t>PRX</t>
        </is>
      </c>
      <c r="G3325" s="4" t="inlineStr">
        <is>
          <t>MARN_GTM_BTR1_2024</t>
        </is>
      </c>
      <c r="H3325" s="4" t="inlineStr">
        <is>
          <t>Guatemala. Primer Informe Bienal de Transparencia (BTR1), 2024</t>
        </is>
      </c>
      <c r="I3325" s="4" t="inlineStr">
        <is>
          <t>https://unfccc.int/documents/646195</t>
        </is>
      </c>
      <c r="J3325" s="4" t="inlineStr">
        <is>
          <t>BTR1|2024|T3.6|GAS|CO2</t>
        </is>
      </c>
      <c r="K3325" s="4" t="inlineStr">
        <is>
          <t>GAS</t>
        </is>
      </c>
      <c r="L3325" s="4" t="inlineStr">
        <is>
          <t>Gasolinas</t>
        </is>
      </c>
      <c r="M3325" s="4"/>
      <c r="N3325" s="4"/>
      <c r="O3325" s="4"/>
      <c r="P3325" s="4"/>
      <c r="Q3325" s="4" t="inlineStr">
        <is>
          <t>FE_POR_COMBUSTIBLE_BTR1</t>
        </is>
      </c>
      <c r="R3325" s="4"/>
      <c r="S3325" s="4">
        <v>69300.0</v>
      </c>
      <c r="T3325" s="4" t="inlineStr">
        <is>
          <t>kg CO2/TJ</t>
        </is>
      </c>
      <c r="U3325" s="4"/>
      <c r="V3325" s="4"/>
      <c r="W3325" s="4" t="inlineStr">
        <is>
          <t>1.A.4.a</t>
        </is>
      </c>
      <c r="X3325" s="4" t="inlineStr">
        <is>
          <t>Comercial e institucional</t>
        </is>
      </c>
      <c r="Y3325" s="4" t="inlineStr">
        <is>
          <t>COMB_GAS</t>
        </is>
      </c>
      <c r="Z3325" s="4" t="s">
        <v>4012</v>
      </c>
      <c r="AA3325" s="4">
        <v>69300.0</v>
      </c>
      <c r="AB3325" s="4" t="s">
        <v>4275</v>
      </c>
      <c r="AC3325" s="4"/>
      <c r="AD3325" s="4"/>
      <c r="AE3325" s="4"/>
      <c r="AF3325" s="4"/>
      <c r="AG3325" s="4"/>
      <c r="AH3325" s="4"/>
      <c r="AI3325" s="4"/>
      <c r="AJ3325" s="4"/>
      <c r="AK3325" s="4"/>
      <c r="AL3325" s="4" t="inlineStr">
        <is>
          <t>BTR1 Guatemala 2024, tabla 3.6, p. 48; fila Gasolina para motores; gas CO2</t>
        </is>
      </c>
      <c r="AM3325" s="4" t="inlineStr">
        <is>
          <t>Factor por combustible documentado en el BTR1, con origen metodológico IPCC. Se aplica como parámetro constante aproximado a 2018–2024; el año de la clave permite unirlo a la actividad, no representa una nueva observación anual.</t>
        </is>
      </c>
    </row>
    <row r="3326" customFormat="false" ht="46.25" hidden="false" customHeight="false" outlineLevel="0" collapsed="false">
      <c r="A3326" s="4" t="s">
        <v>4270</v>
      </c>
      <c r="B3326" s="4" t="inlineStr">
        <is>
          <t>FE_COMB|2021|1.A.4.a|COMB_GAS|CH4</t>
        </is>
      </c>
      <c r="C3326" s="4" t="inlineStr">
        <is>
          <t>2021|1.A.4.a|COMB_GAS|CH4</t>
        </is>
      </c>
      <c r="D3326" s="12" t="n">
        <v>2021</v>
      </c>
      <c r="E3326" s="12">
        <v>2024.0</v>
      </c>
      <c r="F3326" s="4" t="inlineStr">
        <is>
          <t>PRX</t>
        </is>
      </c>
      <c r="G3326" s="4" t="inlineStr">
        <is>
          <t>MARN_GTM_BTR1_2024</t>
        </is>
      </c>
      <c r="H3326" s="4" t="inlineStr">
        <is>
          <t>Guatemala. Primer Informe Bienal de Transparencia (BTR1), 2024</t>
        </is>
      </c>
      <c r="I3326" s="4" t="inlineStr">
        <is>
          <t>https://unfccc.int/documents/646195</t>
        </is>
      </c>
      <c r="J3326" s="4" t="inlineStr">
        <is>
          <t>BTR1|2024|T3.33|GAS|CH4</t>
        </is>
      </c>
      <c r="K3326" s="4" t="inlineStr">
        <is>
          <t>GAS</t>
        </is>
      </c>
      <c r="L3326" s="4" t="inlineStr">
        <is>
          <t>Gasolinas</t>
        </is>
      </c>
      <c r="M3326" s="4"/>
      <c r="N3326" s="4"/>
      <c r="O3326" s="4"/>
      <c r="P3326" s="4"/>
      <c r="Q3326" s="4" t="inlineStr">
        <is>
          <t>FE_POR_COMBUSTIBLE_BTR1</t>
        </is>
      </c>
      <c r="R3326" s="4"/>
      <c r="S3326" s="4">
        <v>10.0</v>
      </c>
      <c r="T3326" s="4" t="inlineStr">
        <is>
          <t>kg CH4/TJ</t>
        </is>
      </c>
      <c r="U3326" s="4"/>
      <c r="V3326" s="4"/>
      <c r="W3326" s="4" t="inlineStr">
        <is>
          <t>1.A.4.a</t>
        </is>
      </c>
      <c r="X3326" s="4" t="inlineStr">
        <is>
          <t>Comercial e institucional</t>
        </is>
      </c>
      <c r="Y3326" s="4" t="inlineStr">
        <is>
          <t>COMB_GAS</t>
        </is>
      </c>
      <c r="Z3326" s="4" t="s">
        <v>4018</v>
      </c>
      <c r="AA3326" s="4">
        <v>10.0</v>
      </c>
      <c r="AB3326" s="4" t="s">
        <v>4281</v>
      </c>
      <c r="AC3326" s="4"/>
      <c r="AD3326" s="4"/>
      <c r="AE3326" s="4"/>
      <c r="AF3326" s="4"/>
      <c r="AG3326" s="4"/>
      <c r="AH3326" s="4"/>
      <c r="AI3326" s="4"/>
      <c r="AJ3326" s="4"/>
      <c r="AK3326" s="4"/>
      <c r="AL3326" s="4" t="inlineStr">
        <is>
          <t>BTR1 Guatemala 2024, tabla 3.33, p. 70; fila Gasolina para motores; gas CH4</t>
        </is>
      </c>
      <c r="AM3326" s="4" t="inlineStr">
        <is>
          <t>Factor por combustible documentado en el BTR1, con origen metodológico IPCC. Se aplica como parámetro constante aproximado a 2018–2024; el año de la clave permite unirlo a la actividad, no representa una nueva observación anual.</t>
        </is>
      </c>
    </row>
    <row r="3327" customFormat="false" ht="46.25" hidden="false" customHeight="false" outlineLevel="0" collapsed="false">
      <c r="A3327" s="4" t="s">
        <v>4270</v>
      </c>
      <c r="B3327" s="4" t="inlineStr">
        <is>
          <t>FE_COMB|2021|1.A.4.a|COMB_GAS|N2O</t>
        </is>
      </c>
      <c r="C3327" s="4" t="inlineStr">
        <is>
          <t>2021|1.A.4.a|COMB_GAS|N2O</t>
        </is>
      </c>
      <c r="D3327" s="12" t="n">
        <v>2021</v>
      </c>
      <c r="E3327" s="12">
        <v>2024.0</v>
      </c>
      <c r="F3327" s="4" t="inlineStr">
        <is>
          <t>PRX</t>
        </is>
      </c>
      <c r="G3327" s="4" t="inlineStr">
        <is>
          <t>MARN_GTM_BTR1_2024</t>
        </is>
      </c>
      <c r="H3327" s="4" t="inlineStr">
        <is>
          <t>Guatemala. Primer Informe Bienal de Transparencia (BTR1), 2024</t>
        </is>
      </c>
      <c r="I3327" s="4" t="inlineStr">
        <is>
          <t>https://unfccc.int/documents/646195</t>
        </is>
      </c>
      <c r="J3327" s="4" t="inlineStr">
        <is>
          <t>BTR1|2024|T3.33|GAS|N2O</t>
        </is>
      </c>
      <c r="K3327" s="4" t="inlineStr">
        <is>
          <t>GAS</t>
        </is>
      </c>
      <c r="L3327" s="4" t="inlineStr">
        <is>
          <t>Gasolinas</t>
        </is>
      </c>
      <c r="M3327" s="4"/>
      <c r="N3327" s="4"/>
      <c r="O3327" s="4"/>
      <c r="P3327" s="4"/>
      <c r="Q3327" s="4" t="inlineStr">
        <is>
          <t>FE_POR_COMBUSTIBLE_BTR1</t>
        </is>
      </c>
      <c r="R3327" s="4"/>
      <c r="S3327" s="4">
        <v>0.6</v>
      </c>
      <c r="T3327" s="4" t="inlineStr">
        <is>
          <t>kg N2O/TJ</t>
        </is>
      </c>
      <c r="U3327" s="4"/>
      <c r="V3327" s="4"/>
      <c r="W3327" s="4" t="inlineStr">
        <is>
          <t>1.A.4.a</t>
        </is>
      </c>
      <c r="X3327" s="4" t="inlineStr">
        <is>
          <t>Comercial e institucional</t>
        </is>
      </c>
      <c r="Y3327" s="4" t="inlineStr">
        <is>
          <t>COMB_GAS</t>
        </is>
      </c>
      <c r="Z3327" s="4" t="s">
        <v>4048</v>
      </c>
      <c r="AA3327" s="4">
        <v>0.6</v>
      </c>
      <c r="AB3327" s="4" t="s">
        <v>4287</v>
      </c>
      <c r="AC3327" s="4"/>
      <c r="AD3327" s="4"/>
      <c r="AE3327" s="4"/>
      <c r="AF3327" s="4"/>
      <c r="AG3327" s="4"/>
      <c r="AH3327" s="4"/>
      <c r="AI3327" s="4"/>
      <c r="AJ3327" s="4"/>
      <c r="AK3327" s="4"/>
      <c r="AL3327" s="4" t="inlineStr">
        <is>
          <t>BTR1 Guatemala 2024, tabla 3.33, p. 70; fila Gasolina para motores; gas N2O</t>
        </is>
      </c>
      <c r="AM3327" s="4" t="inlineStr">
        <is>
          <t>Factor por combustible documentado en el BTR1, con origen metodológico IPCC. Se aplica como parámetro constante aproximado a 2018–2024; el año de la clave permite unirlo a la actividad, no representa una nueva observación anual.</t>
        </is>
      </c>
    </row>
    <row r="3328" customFormat="false" ht="46.25" hidden="false" customHeight="false" outlineLevel="0" collapsed="false">
      <c r="A3328" s="4" t="s">
        <v>4270</v>
      </c>
      <c r="B3328" s="4" t="inlineStr">
        <is>
          <t>FE_COMB|2021|1.A.4.a|COMB_GLP|CO2</t>
        </is>
      </c>
      <c r="C3328" s="4" t="inlineStr">
        <is>
          <t>2021|1.A.4.a|COMB_GLP|CO2</t>
        </is>
      </c>
      <c r="D3328" s="12" t="n">
        <v>2021</v>
      </c>
      <c r="E3328" s="12">
        <v>2024.0</v>
      </c>
      <c r="F3328" s="4" t="inlineStr">
        <is>
          <t>PRX</t>
        </is>
      </c>
      <c r="G3328" s="4" t="inlineStr">
        <is>
          <t>MARN_GTM_BTR1_2024</t>
        </is>
      </c>
      <c r="H3328" s="4" t="inlineStr">
        <is>
          <t>Guatemala. Primer Informe Bienal de Transparencia (BTR1), 2024</t>
        </is>
      </c>
      <c r="I3328" s="4" t="inlineStr">
        <is>
          <t>https://unfccc.int/documents/646195</t>
        </is>
      </c>
      <c r="J3328" s="4" t="inlineStr">
        <is>
          <t>BTR1|2024|T3.6|GLP|CO2</t>
        </is>
      </c>
      <c r="K3328" s="4" t="inlineStr">
        <is>
          <t>GLP</t>
        </is>
      </c>
      <c r="L3328" s="4" t="inlineStr">
        <is>
          <t>Gas licuado de petróleo (GLP)</t>
        </is>
      </c>
      <c r="M3328" s="4"/>
      <c r="N3328" s="4"/>
      <c r="O3328" s="4"/>
      <c r="P3328" s="4"/>
      <c r="Q3328" s="4" t="inlineStr">
        <is>
          <t>FE_POR_COMBUSTIBLE_BTR1</t>
        </is>
      </c>
      <c r="R3328" s="4"/>
      <c r="S3328" s="4">
        <v>63100.0</v>
      </c>
      <c r="T3328" s="4" t="inlineStr">
        <is>
          <t>kg CO2/TJ</t>
        </is>
      </c>
      <c r="U3328" s="4"/>
      <c r="V3328" s="4"/>
      <c r="W3328" s="4" t="inlineStr">
        <is>
          <t>1.A.4.a</t>
        </is>
      </c>
      <c r="X3328" s="4" t="inlineStr">
        <is>
          <t>Comercial e institucional</t>
        </is>
      </c>
      <c r="Y3328" s="4" t="inlineStr">
        <is>
          <t>COMB_GLP</t>
        </is>
      </c>
      <c r="Z3328" s="4" t="s">
        <v>4012</v>
      </c>
      <c r="AA3328" s="4">
        <v>63100.0</v>
      </c>
      <c r="AB3328" s="4" t="s">
        <v>4275</v>
      </c>
      <c r="AC3328" s="4"/>
      <c r="AD3328" s="4"/>
      <c r="AE3328" s="4"/>
      <c r="AF3328" s="4"/>
      <c r="AG3328" s="4"/>
      <c r="AH3328" s="4"/>
      <c r="AI3328" s="4"/>
      <c r="AJ3328" s="4"/>
      <c r="AK3328" s="4"/>
      <c r="AL3328" s="4" t="inlineStr">
        <is>
          <t>BTR1 Guatemala 2024, tabla 3.6, p. 48; fila Gases licuados de petróleo; gas CO2</t>
        </is>
      </c>
      <c r="AM3328" s="4" t="inlineStr">
        <is>
          <t>Factor por combustible documentado en el BTR1, con origen metodológico IPCC. Se aplica como parámetro constante aproximado a 2018–2024; el año de la clave permite unirlo a la actividad, no representa una nueva observación anual.</t>
        </is>
      </c>
    </row>
    <row r="3329" customFormat="false" ht="46.25" hidden="false" customHeight="false" outlineLevel="0" collapsed="false">
      <c r="A3329" s="4" t="s">
        <v>4270</v>
      </c>
      <c r="B3329" s="4" t="inlineStr">
        <is>
          <t>FE_COMB|2021|1.A.4.a|COMB_GLP|CH4</t>
        </is>
      </c>
      <c r="C3329" s="4" t="inlineStr">
        <is>
          <t>2021|1.A.4.a|COMB_GLP|CH4</t>
        </is>
      </c>
      <c r="D3329" s="12" t="n">
        <v>2021</v>
      </c>
      <c r="E3329" s="12">
        <v>2024.0</v>
      </c>
      <c r="F3329" s="4" t="inlineStr">
        <is>
          <t>PRX</t>
        </is>
      </c>
      <c r="G3329" s="4" t="inlineStr">
        <is>
          <t>MARN_GTM_BTR1_2024</t>
        </is>
      </c>
      <c r="H3329" s="4" t="inlineStr">
        <is>
          <t>Guatemala. Primer Informe Bienal de Transparencia (BTR1), 2024</t>
        </is>
      </c>
      <c r="I3329" s="4" t="inlineStr">
        <is>
          <t>https://unfccc.int/documents/646195</t>
        </is>
      </c>
      <c r="J3329" s="4" t="inlineStr">
        <is>
          <t>BTR1|2024|T3.33|GLP|CH4</t>
        </is>
      </c>
      <c r="K3329" s="4" t="inlineStr">
        <is>
          <t>GLP</t>
        </is>
      </c>
      <c r="L3329" s="4" t="inlineStr">
        <is>
          <t>Gas licuado de petróleo (GLP)</t>
        </is>
      </c>
      <c r="M3329" s="4"/>
      <c r="N3329" s="4"/>
      <c r="O3329" s="4"/>
      <c r="P3329" s="4"/>
      <c r="Q3329" s="4" t="inlineStr">
        <is>
          <t>FE_POR_COMBUSTIBLE_BTR1</t>
        </is>
      </c>
      <c r="R3329" s="4"/>
      <c r="S3329" s="4">
        <v>5.0</v>
      </c>
      <c r="T3329" s="4" t="inlineStr">
        <is>
          <t>kg CH4/TJ</t>
        </is>
      </c>
      <c r="U3329" s="4"/>
      <c r="V3329" s="4"/>
      <c r="W3329" s="4" t="inlineStr">
        <is>
          <t>1.A.4.a</t>
        </is>
      </c>
      <c r="X3329" s="4" t="inlineStr">
        <is>
          <t>Comercial e institucional</t>
        </is>
      </c>
      <c r="Y3329" s="4" t="inlineStr">
        <is>
          <t>COMB_GLP</t>
        </is>
      </c>
      <c r="Z3329" s="4" t="s">
        <v>4018</v>
      </c>
      <c r="AA3329" s="4">
        <v>5.0</v>
      </c>
      <c r="AB3329" s="4" t="s">
        <v>4281</v>
      </c>
      <c r="AC3329" s="4"/>
      <c r="AD3329" s="4"/>
      <c r="AE3329" s="4"/>
      <c r="AF3329" s="4"/>
      <c r="AG3329" s="4"/>
      <c r="AH3329" s="4"/>
      <c r="AI3329" s="4"/>
      <c r="AJ3329" s="4"/>
      <c r="AK3329" s="4"/>
      <c r="AL3329" s="4" t="inlineStr">
        <is>
          <t>BTR1 Guatemala 2024, tabla 3.33, p. 70; fila Gases licuados de petróleo; gas CH4</t>
        </is>
      </c>
      <c r="AM3329" s="4" t="inlineStr">
        <is>
          <t>Factor por combustible documentado en el BTR1, con origen metodológico IPCC. Se aplica como parámetro constante aproximado a 2018–2024; el año de la clave permite unirlo a la actividad, no representa una nueva observación anual.</t>
        </is>
      </c>
    </row>
    <row r="3330" customFormat="false" ht="46.25" hidden="false" customHeight="false" outlineLevel="0" collapsed="false">
      <c r="A3330" s="4" t="s">
        <v>4270</v>
      </c>
      <c r="B3330" s="4" t="inlineStr">
        <is>
          <t>FE_COMB|2021|1.A.4.a|COMB_GLP|N2O</t>
        </is>
      </c>
      <c r="C3330" s="4" t="inlineStr">
        <is>
          <t>2021|1.A.4.a|COMB_GLP|N2O</t>
        </is>
      </c>
      <c r="D3330" s="12" t="n">
        <v>2021</v>
      </c>
      <c r="E3330" s="12">
        <v>2024.0</v>
      </c>
      <c r="F3330" s="4" t="inlineStr">
        <is>
          <t>PRX</t>
        </is>
      </c>
      <c r="G3330" s="4" t="inlineStr">
        <is>
          <t>MARN_GTM_BTR1_2024</t>
        </is>
      </c>
      <c r="H3330" s="4" t="inlineStr">
        <is>
          <t>Guatemala. Primer Informe Bienal de Transparencia (BTR1), 2024</t>
        </is>
      </c>
      <c r="I3330" s="4" t="inlineStr">
        <is>
          <t>https://unfccc.int/documents/646195</t>
        </is>
      </c>
      <c r="J3330" s="4" t="inlineStr">
        <is>
          <t>BTR1|2024|T3.33|GLP|N2O</t>
        </is>
      </c>
      <c r="K3330" s="4" t="inlineStr">
        <is>
          <t>GLP</t>
        </is>
      </c>
      <c r="L3330" s="4" t="inlineStr">
        <is>
          <t>Gas licuado de petróleo (GLP)</t>
        </is>
      </c>
      <c r="M3330" s="4"/>
      <c r="N3330" s="4"/>
      <c r="O3330" s="4"/>
      <c r="P3330" s="4"/>
      <c r="Q3330" s="4" t="inlineStr">
        <is>
          <t>FE_POR_COMBUSTIBLE_BTR1</t>
        </is>
      </c>
      <c r="R3330" s="4"/>
      <c r="S3330" s="4">
        <v>0.1</v>
      </c>
      <c r="T3330" s="4" t="inlineStr">
        <is>
          <t>kg N2O/TJ</t>
        </is>
      </c>
      <c r="U3330" s="4"/>
      <c r="V3330" s="4"/>
      <c r="W3330" s="4" t="inlineStr">
        <is>
          <t>1.A.4.a</t>
        </is>
      </c>
      <c r="X3330" s="4" t="inlineStr">
        <is>
          <t>Comercial e institucional</t>
        </is>
      </c>
      <c r="Y3330" s="4" t="inlineStr">
        <is>
          <t>COMB_GLP</t>
        </is>
      </c>
      <c r="Z3330" s="4" t="s">
        <v>4048</v>
      </c>
      <c r="AA3330" s="4">
        <v>0.1</v>
      </c>
      <c r="AB3330" s="4" t="s">
        <v>4287</v>
      </c>
      <c r="AC3330" s="4"/>
      <c r="AD3330" s="4"/>
      <c r="AE3330" s="4"/>
      <c r="AF3330" s="4"/>
      <c r="AG3330" s="4"/>
      <c r="AH3330" s="4"/>
      <c r="AI3330" s="4"/>
      <c r="AJ3330" s="4"/>
      <c r="AK3330" s="4"/>
      <c r="AL3330" s="4" t="inlineStr">
        <is>
          <t>BTR1 Guatemala 2024, tabla 3.33, p. 70; fila Gases licuados de petróleo; gas N2O</t>
        </is>
      </c>
      <c r="AM3330" s="4" t="inlineStr">
        <is>
          <t>Factor por combustible documentado en el BTR1, con origen metodológico IPCC. Se aplica como parámetro constante aproximado a 2018–2024; el año de la clave permite unirlo a la actividad, no representa una nueva observación anual.</t>
        </is>
      </c>
    </row>
    <row r="3331" customFormat="false" ht="46.25" hidden="false" customHeight="false" outlineLevel="0" collapsed="false">
      <c r="A3331" s="4" t="s">
        <v>4270</v>
      </c>
      <c r="B3331" s="4" t="inlineStr">
        <is>
          <t>FE_COMB|2021|1.A.4.a|COMB_KER|CO2</t>
        </is>
      </c>
      <c r="C3331" s="4" t="inlineStr">
        <is>
          <t>2021|1.A.4.a|COMB_KER|CO2</t>
        </is>
      </c>
      <c r="D3331" s="12" t="n">
        <v>2021</v>
      </c>
      <c r="E3331" s="12">
        <v>2024.0</v>
      </c>
      <c r="F3331" s="4" t="inlineStr">
        <is>
          <t>PRX</t>
        </is>
      </c>
      <c r="G3331" s="4" t="inlineStr">
        <is>
          <t>MARN_GTM_BTR1_2024</t>
        </is>
      </c>
      <c r="H3331" s="4" t="inlineStr">
        <is>
          <t>Guatemala. Primer Informe Bienal de Transparencia (BTR1), 2024</t>
        </is>
      </c>
      <c r="I3331" s="4" t="inlineStr">
        <is>
          <t>https://unfccc.int/documents/646195</t>
        </is>
      </c>
      <c r="J3331" s="4" t="inlineStr">
        <is>
          <t>BTR1|2024|T3.6|KER|CO2</t>
        </is>
      </c>
      <c r="K3331" s="4" t="inlineStr">
        <is>
          <t>KER</t>
        </is>
      </c>
      <c r="L3331" s="4" t="inlineStr">
        <is>
          <t>Keroseno</t>
        </is>
      </c>
      <c r="M3331" s="4"/>
      <c r="N3331" s="4"/>
      <c r="O3331" s="4"/>
      <c r="P3331" s="4"/>
      <c r="Q3331" s="4" t="inlineStr">
        <is>
          <t>FE_POR_COMBUSTIBLE_BTR1</t>
        </is>
      </c>
      <c r="R3331" s="4"/>
      <c r="S3331" s="4">
        <v>71900.0</v>
      </c>
      <c r="T3331" s="4" t="inlineStr">
        <is>
          <t>kg CO2/TJ</t>
        </is>
      </c>
      <c r="U3331" s="4"/>
      <c r="V3331" s="4"/>
      <c r="W3331" s="4" t="inlineStr">
        <is>
          <t>1.A.4.a</t>
        </is>
      </c>
      <c r="X3331" s="4" t="inlineStr">
        <is>
          <t>Comercial e institucional</t>
        </is>
      </c>
      <c r="Y3331" s="4" t="inlineStr">
        <is>
          <t>COMB_KER</t>
        </is>
      </c>
      <c r="Z3331" s="4" t="s">
        <v>4012</v>
      </c>
      <c r="AA3331" s="4">
        <v>71900.0</v>
      </c>
      <c r="AB3331" s="4" t="s">
        <v>4275</v>
      </c>
      <c r="AC3331" s="4"/>
      <c r="AD3331" s="4"/>
      <c r="AE3331" s="4"/>
      <c r="AF3331" s="4"/>
      <c r="AG3331" s="4"/>
      <c r="AH3331" s="4"/>
      <c r="AI3331" s="4"/>
      <c r="AJ3331" s="4"/>
      <c r="AK3331" s="4"/>
      <c r="AL3331" s="4" t="inlineStr">
        <is>
          <t>BTR1 Guatemala 2024, tabla 3.6, p. 48; fila Otro queroseno; gas CO2</t>
        </is>
      </c>
      <c r="AM3331" s="4" t="inlineStr">
        <is>
          <t>Factor por combustible documentado en el BTR1, con origen metodológico IPCC. Se aplica como parámetro constante aproximado a 2018–2024; el año de la clave permite unirlo a la actividad, no representa una nueva observación anual.</t>
        </is>
      </c>
    </row>
    <row r="3332" customFormat="false" ht="46.25" hidden="false" customHeight="false" outlineLevel="0" collapsed="false">
      <c r="A3332" s="4" t="s">
        <v>4270</v>
      </c>
      <c r="B3332" s="4" t="inlineStr">
        <is>
          <t>FE_COMB|2021|1.A.4.a|COMB_KER|CH4</t>
        </is>
      </c>
      <c r="C3332" s="4" t="inlineStr">
        <is>
          <t>2021|1.A.4.a|COMB_KER|CH4</t>
        </is>
      </c>
      <c r="D3332" s="12" t="n">
        <v>2021</v>
      </c>
      <c r="E3332" s="12">
        <v>2024.0</v>
      </c>
      <c r="F3332" s="4" t="inlineStr">
        <is>
          <t>PRX</t>
        </is>
      </c>
      <c r="G3332" s="4" t="inlineStr">
        <is>
          <t>MARN_GTM_BTR1_2024</t>
        </is>
      </c>
      <c r="H3332" s="4" t="inlineStr">
        <is>
          <t>Guatemala. Primer Informe Bienal de Transparencia (BTR1), 2024</t>
        </is>
      </c>
      <c r="I3332" s="4" t="inlineStr">
        <is>
          <t>https://unfccc.int/documents/646195</t>
        </is>
      </c>
      <c r="J3332" s="4" t="inlineStr">
        <is>
          <t>BTR1|2024|T3.33|KER|CH4</t>
        </is>
      </c>
      <c r="K3332" s="4" t="inlineStr">
        <is>
          <t>KER</t>
        </is>
      </c>
      <c r="L3332" s="4" t="inlineStr">
        <is>
          <t>Keroseno</t>
        </is>
      </c>
      <c r="M3332" s="4"/>
      <c r="N3332" s="4"/>
      <c r="O3332" s="4"/>
      <c r="P3332" s="4"/>
      <c r="Q3332" s="4" t="inlineStr">
        <is>
          <t>FE_POR_COMBUSTIBLE_BTR1</t>
        </is>
      </c>
      <c r="R3332" s="4"/>
      <c r="S3332" s="4">
        <v>10.0</v>
      </c>
      <c r="T3332" s="4" t="inlineStr">
        <is>
          <t>kg CH4/TJ</t>
        </is>
      </c>
      <c r="U3332" s="4"/>
      <c r="V3332" s="4"/>
      <c r="W3332" s="4" t="inlineStr">
        <is>
          <t>1.A.4.a</t>
        </is>
      </c>
      <c r="X3332" s="4" t="inlineStr">
        <is>
          <t>Comercial e institucional</t>
        </is>
      </c>
      <c r="Y3332" s="4" t="inlineStr">
        <is>
          <t>COMB_KER</t>
        </is>
      </c>
      <c r="Z3332" s="4" t="s">
        <v>4018</v>
      </c>
      <c r="AA3332" s="4">
        <v>10.0</v>
      </c>
      <c r="AB3332" s="4" t="s">
        <v>4281</v>
      </c>
      <c r="AC3332" s="4"/>
      <c r="AD3332" s="4"/>
      <c r="AE3332" s="4"/>
      <c r="AF3332" s="4"/>
      <c r="AG3332" s="4"/>
      <c r="AH3332" s="4"/>
      <c r="AI3332" s="4"/>
      <c r="AJ3332" s="4"/>
      <c r="AK3332" s="4"/>
      <c r="AL3332" s="4" t="inlineStr">
        <is>
          <t>BTR1 Guatemala 2024, tabla 3.33, p. 70; fila Otro queroseno; gas CH4</t>
        </is>
      </c>
      <c r="AM3332" s="4" t="inlineStr">
        <is>
          <t>Factor por combustible documentado en el BTR1, con origen metodológico IPCC. Se aplica como parámetro constante aproximado a 2018–2024; el año de la clave permite unirlo a la actividad, no representa una nueva observación anual.</t>
        </is>
      </c>
    </row>
    <row r="3333" customFormat="false" ht="46.25" hidden="false" customHeight="false" outlineLevel="0" collapsed="false">
      <c r="A3333" s="4" t="s">
        <v>4270</v>
      </c>
      <c r="B3333" s="4" t="inlineStr">
        <is>
          <t>FE_COMB|2021|1.A.4.a|COMB_KER|N2O</t>
        </is>
      </c>
      <c r="C3333" s="4" t="inlineStr">
        <is>
          <t>2021|1.A.4.a|COMB_KER|N2O</t>
        </is>
      </c>
      <c r="D3333" s="12" t="n">
        <v>2021</v>
      </c>
      <c r="E3333" s="12">
        <v>2024.0</v>
      </c>
      <c r="F3333" s="4" t="inlineStr">
        <is>
          <t>PRX</t>
        </is>
      </c>
      <c r="G3333" s="4" t="inlineStr">
        <is>
          <t>MARN_GTM_BTR1_2024</t>
        </is>
      </c>
      <c r="H3333" s="4" t="inlineStr">
        <is>
          <t>Guatemala. Primer Informe Bienal de Transparencia (BTR1), 2024</t>
        </is>
      </c>
      <c r="I3333" s="4" t="inlineStr">
        <is>
          <t>https://unfccc.int/documents/646195</t>
        </is>
      </c>
      <c r="J3333" s="4" t="inlineStr">
        <is>
          <t>BTR1|2024|T3.33|KER|N2O</t>
        </is>
      </c>
      <c r="K3333" s="4" t="inlineStr">
        <is>
          <t>KER</t>
        </is>
      </c>
      <c r="L3333" s="4" t="inlineStr">
        <is>
          <t>Keroseno</t>
        </is>
      </c>
      <c r="M3333" s="4"/>
      <c r="N3333" s="4"/>
      <c r="O3333" s="4"/>
      <c r="P3333" s="4"/>
      <c r="Q3333" s="4" t="inlineStr">
        <is>
          <t>FE_POR_COMBUSTIBLE_BTR1</t>
        </is>
      </c>
      <c r="R3333" s="4"/>
      <c r="S3333" s="4">
        <v>0.6</v>
      </c>
      <c r="T3333" s="4" t="inlineStr">
        <is>
          <t>kg N2O/TJ</t>
        </is>
      </c>
      <c r="U3333" s="4"/>
      <c r="V3333" s="4"/>
      <c r="W3333" s="4" t="inlineStr">
        <is>
          <t>1.A.4.a</t>
        </is>
      </c>
      <c r="X3333" s="4" t="inlineStr">
        <is>
          <t>Comercial e institucional</t>
        </is>
      </c>
      <c r="Y3333" s="4" t="inlineStr">
        <is>
          <t>COMB_KER</t>
        </is>
      </c>
      <c r="Z3333" s="4" t="s">
        <v>4048</v>
      </c>
      <c r="AA3333" s="4">
        <v>0.6</v>
      </c>
      <c r="AB3333" s="4" t="s">
        <v>4287</v>
      </c>
      <c r="AC3333" s="4"/>
      <c r="AD3333" s="4"/>
      <c r="AE3333" s="4"/>
      <c r="AF3333" s="4"/>
      <c r="AG3333" s="4"/>
      <c r="AH3333" s="4"/>
      <c r="AI3333" s="4"/>
      <c r="AJ3333" s="4"/>
      <c r="AK3333" s="4"/>
      <c r="AL3333" s="4" t="inlineStr">
        <is>
          <t>BTR1 Guatemala 2024, tabla 3.33, p. 70; fila Otro queroseno; gas N2O</t>
        </is>
      </c>
      <c r="AM3333" s="4" t="inlineStr">
        <is>
          <t>Factor por combustible documentado en el BTR1, con origen metodológico IPCC. Se aplica como parámetro constante aproximado a 2018–2024; el año de la clave permite unirlo a la actividad, no representa una nueva observación anual.</t>
        </is>
      </c>
    </row>
    <row r="3334" customFormat="false" ht="46.25" hidden="false" customHeight="false" outlineLevel="0" collapsed="false">
      <c r="A3334" s="4" t="s">
        <v>4270</v>
      </c>
      <c r="B3334" s="4" t="inlineStr">
        <is>
          <t>FE_COMB|2021|1.A.4.b|COMB_GLP|CO2</t>
        </is>
      </c>
      <c r="C3334" s="4" t="inlineStr">
        <is>
          <t>2021|1.A.4.b|COMB_GLP|CO2</t>
        </is>
      </c>
      <c r="D3334" s="12" t="n">
        <v>2021</v>
      </c>
      <c r="E3334" s="12">
        <v>2024.0</v>
      </c>
      <c r="F3334" s="4" t="inlineStr">
        <is>
          <t>PRX</t>
        </is>
      </c>
      <c r="G3334" s="4" t="inlineStr">
        <is>
          <t>MARN_GTM_BTR1_2024</t>
        </is>
      </c>
      <c r="H3334" s="4" t="inlineStr">
        <is>
          <t>Guatemala. Primer Informe Bienal de Transparencia (BTR1), 2024</t>
        </is>
      </c>
      <c r="I3334" s="4" t="inlineStr">
        <is>
          <t>https://unfccc.int/documents/646195</t>
        </is>
      </c>
      <c r="J3334" s="4" t="inlineStr">
        <is>
          <t>BTR1|2024|T3.6|GLP|CO2</t>
        </is>
      </c>
      <c r="K3334" s="4" t="inlineStr">
        <is>
          <t>GLP</t>
        </is>
      </c>
      <c r="L3334" s="4" t="inlineStr">
        <is>
          <t>Gas licuado de petróleo (GLP)</t>
        </is>
      </c>
      <c r="M3334" s="4"/>
      <c r="N3334" s="4"/>
      <c r="O3334" s="4"/>
      <c r="P3334" s="4"/>
      <c r="Q3334" s="4" t="inlineStr">
        <is>
          <t>FE_POR_COMBUSTIBLE_BTR1</t>
        </is>
      </c>
      <c r="R3334" s="4"/>
      <c r="S3334" s="4">
        <v>63100.0</v>
      </c>
      <c r="T3334" s="4" t="inlineStr">
        <is>
          <t>kg CO2/TJ</t>
        </is>
      </c>
      <c r="U3334" s="4"/>
      <c r="V3334" s="4"/>
      <c r="W3334" s="4" t="inlineStr">
        <is>
          <t>1.A.4.b</t>
        </is>
      </c>
      <c r="X3334" s="4" t="inlineStr">
        <is>
          <t>Residencial</t>
        </is>
      </c>
      <c r="Y3334" s="4" t="inlineStr">
        <is>
          <t>COMB_GLP</t>
        </is>
      </c>
      <c r="Z3334" s="4" t="s">
        <v>4012</v>
      </c>
      <c r="AA3334" s="4">
        <v>63100.0</v>
      </c>
      <c r="AB3334" s="4" t="s">
        <v>4275</v>
      </c>
      <c r="AC3334" s="4"/>
      <c r="AD3334" s="4"/>
      <c r="AE3334" s="4"/>
      <c r="AF3334" s="4"/>
      <c r="AG3334" s="4"/>
      <c r="AH3334" s="4"/>
      <c r="AI3334" s="4"/>
      <c r="AJ3334" s="4"/>
      <c r="AK3334" s="4"/>
      <c r="AL3334" s="4" t="inlineStr">
        <is>
          <t>BTR1 Guatemala 2024, tabla 3.6, p. 48; fila Gases licuados de petróleo; gas CO2</t>
        </is>
      </c>
      <c r="AM3334" s="4" t="inlineStr">
        <is>
          <t>Factor por combustible documentado en el BTR1, con origen metodológico IPCC. Se aplica como parámetro constante aproximado a 2018–2024; el año de la clave permite unirlo a la actividad, no representa una nueva observación anual.</t>
        </is>
      </c>
    </row>
    <row r="3335" customFormat="false" ht="46.25" hidden="false" customHeight="false" outlineLevel="0" collapsed="false">
      <c r="A3335" s="4" t="s">
        <v>4270</v>
      </c>
      <c r="B3335" s="4" t="inlineStr">
        <is>
          <t>FE_COMB|2021|1.A.4.b|COMB_GLP|CH4</t>
        </is>
      </c>
      <c r="C3335" s="4" t="inlineStr">
        <is>
          <t>2021|1.A.4.b|COMB_GLP|CH4</t>
        </is>
      </c>
      <c r="D3335" s="12" t="n">
        <v>2021</v>
      </c>
      <c r="E3335" s="12">
        <v>2024.0</v>
      </c>
      <c r="F3335" s="4" t="inlineStr">
        <is>
          <t>PRX</t>
        </is>
      </c>
      <c r="G3335" s="4" t="inlineStr">
        <is>
          <t>MARN_GTM_BTR1_2024</t>
        </is>
      </c>
      <c r="H3335" s="4" t="inlineStr">
        <is>
          <t>Guatemala. Primer Informe Bienal de Transparencia (BTR1), 2024</t>
        </is>
      </c>
      <c r="I3335" s="4" t="inlineStr">
        <is>
          <t>https://unfccc.int/documents/646195</t>
        </is>
      </c>
      <c r="J3335" s="4" t="inlineStr">
        <is>
          <t>BTR1|2024|T3.33|GLP|CH4</t>
        </is>
      </c>
      <c r="K3335" s="4" t="inlineStr">
        <is>
          <t>GLP</t>
        </is>
      </c>
      <c r="L3335" s="4" t="inlineStr">
        <is>
          <t>Gas licuado de petróleo (GLP)</t>
        </is>
      </c>
      <c r="M3335" s="4"/>
      <c r="N3335" s="4"/>
      <c r="O3335" s="4"/>
      <c r="P3335" s="4"/>
      <c r="Q3335" s="4" t="inlineStr">
        <is>
          <t>FE_POR_COMBUSTIBLE_BTR1</t>
        </is>
      </c>
      <c r="R3335" s="4"/>
      <c r="S3335" s="4">
        <v>5.0</v>
      </c>
      <c r="T3335" s="4" t="inlineStr">
        <is>
          <t>kg CH4/TJ</t>
        </is>
      </c>
      <c r="U3335" s="4"/>
      <c r="V3335" s="4"/>
      <c r="W3335" s="4" t="inlineStr">
        <is>
          <t>1.A.4.b</t>
        </is>
      </c>
      <c r="X3335" s="4" t="inlineStr">
        <is>
          <t>Residencial</t>
        </is>
      </c>
      <c r="Y3335" s="4" t="inlineStr">
        <is>
          <t>COMB_GLP</t>
        </is>
      </c>
      <c r="Z3335" s="4" t="s">
        <v>4018</v>
      </c>
      <c r="AA3335" s="4">
        <v>5.0</v>
      </c>
      <c r="AB3335" s="4" t="s">
        <v>4281</v>
      </c>
      <c r="AC3335" s="4"/>
      <c r="AD3335" s="4"/>
      <c r="AE3335" s="4"/>
      <c r="AF3335" s="4"/>
      <c r="AG3335" s="4"/>
      <c r="AH3335" s="4"/>
      <c r="AI3335" s="4"/>
      <c r="AJ3335" s="4"/>
      <c r="AK3335" s="4"/>
      <c r="AL3335" s="4" t="inlineStr">
        <is>
          <t>BTR1 Guatemala 2024, tabla 3.33, p. 70; fila Gases licuados de petróleo; gas CH4</t>
        </is>
      </c>
      <c r="AM3335" s="4" t="inlineStr">
        <is>
          <t>Factor por combustible documentado en el BTR1, con origen metodológico IPCC. Se aplica como parámetro constante aproximado a 2018–2024; el año de la clave permite unirlo a la actividad, no representa una nueva observación anual.</t>
        </is>
      </c>
    </row>
    <row r="3336" customFormat="false" ht="46.25" hidden="false" customHeight="false" outlineLevel="0" collapsed="false">
      <c r="A3336" s="4" t="s">
        <v>4270</v>
      </c>
      <c r="B3336" s="4" t="inlineStr">
        <is>
          <t>FE_COMB|2021|1.A.4.b|COMB_GLP|N2O</t>
        </is>
      </c>
      <c r="C3336" s="4" t="inlineStr">
        <is>
          <t>2021|1.A.4.b|COMB_GLP|N2O</t>
        </is>
      </c>
      <c r="D3336" s="12" t="n">
        <v>2021</v>
      </c>
      <c r="E3336" s="12">
        <v>2024.0</v>
      </c>
      <c r="F3336" s="4" t="inlineStr">
        <is>
          <t>PRX</t>
        </is>
      </c>
      <c r="G3336" s="4" t="inlineStr">
        <is>
          <t>MARN_GTM_BTR1_2024</t>
        </is>
      </c>
      <c r="H3336" s="4" t="inlineStr">
        <is>
          <t>Guatemala. Primer Informe Bienal de Transparencia (BTR1), 2024</t>
        </is>
      </c>
      <c r="I3336" s="4" t="inlineStr">
        <is>
          <t>https://unfccc.int/documents/646195</t>
        </is>
      </c>
      <c r="J3336" s="4" t="inlineStr">
        <is>
          <t>BTR1|2024|T3.33|GLP|N2O</t>
        </is>
      </c>
      <c r="K3336" s="4" t="inlineStr">
        <is>
          <t>GLP</t>
        </is>
      </c>
      <c r="L3336" s="4" t="inlineStr">
        <is>
          <t>Gas licuado de petróleo (GLP)</t>
        </is>
      </c>
      <c r="M3336" s="4"/>
      <c r="N3336" s="4"/>
      <c r="O3336" s="4"/>
      <c r="P3336" s="4"/>
      <c r="Q3336" s="4" t="inlineStr">
        <is>
          <t>FE_POR_COMBUSTIBLE_BTR1</t>
        </is>
      </c>
      <c r="R3336" s="4"/>
      <c r="S3336" s="4">
        <v>0.1</v>
      </c>
      <c r="T3336" s="4" t="inlineStr">
        <is>
          <t>kg N2O/TJ</t>
        </is>
      </c>
      <c r="U3336" s="4"/>
      <c r="V3336" s="4"/>
      <c r="W3336" s="4" t="inlineStr">
        <is>
          <t>1.A.4.b</t>
        </is>
      </c>
      <c r="X3336" s="4" t="inlineStr">
        <is>
          <t>Residencial</t>
        </is>
      </c>
      <c r="Y3336" s="4" t="inlineStr">
        <is>
          <t>COMB_GLP</t>
        </is>
      </c>
      <c r="Z3336" s="4" t="s">
        <v>4048</v>
      </c>
      <c r="AA3336" s="4">
        <v>0.1</v>
      </c>
      <c r="AB3336" s="4" t="s">
        <v>4287</v>
      </c>
      <c r="AC3336" s="4"/>
      <c r="AD3336" s="4"/>
      <c r="AE3336" s="4"/>
      <c r="AF3336" s="4"/>
      <c r="AG3336" s="4"/>
      <c r="AH3336" s="4"/>
      <c r="AI3336" s="4"/>
      <c r="AJ3336" s="4"/>
      <c r="AK3336" s="4"/>
      <c r="AL3336" s="4" t="inlineStr">
        <is>
          <t>BTR1 Guatemala 2024, tabla 3.33, p. 70; fila Gases licuados de petróleo; gas N2O</t>
        </is>
      </c>
      <c r="AM3336" s="4" t="inlineStr">
        <is>
          <t>Factor por combustible documentado en el BTR1, con origen metodológico IPCC. Se aplica como parámetro constante aproximado a 2018–2024; el año de la clave permite unirlo a la actividad, no representa una nueva observación anual.</t>
        </is>
      </c>
    </row>
    <row r="3337" customFormat="false" ht="46.25" hidden="false" customHeight="false" outlineLevel="0" collapsed="false">
      <c r="A3337" s="4" t="s">
        <v>4270</v>
      </c>
      <c r="B3337" s="4" t="inlineStr">
        <is>
          <t>FE_COMB|2021|1.A.4.b|COMB_KER|CO2</t>
        </is>
      </c>
      <c r="C3337" s="4" t="inlineStr">
        <is>
          <t>2021|1.A.4.b|COMB_KER|CO2</t>
        </is>
      </c>
      <c r="D3337" s="12" t="n">
        <v>2021</v>
      </c>
      <c r="E3337" s="12">
        <v>2024.0</v>
      </c>
      <c r="F3337" s="4" t="inlineStr">
        <is>
          <t>PRX</t>
        </is>
      </c>
      <c r="G3337" s="4" t="inlineStr">
        <is>
          <t>MARN_GTM_BTR1_2024</t>
        </is>
      </c>
      <c r="H3337" s="4" t="inlineStr">
        <is>
          <t>Guatemala. Primer Informe Bienal de Transparencia (BTR1), 2024</t>
        </is>
      </c>
      <c r="I3337" s="4" t="inlineStr">
        <is>
          <t>https://unfccc.int/documents/646195</t>
        </is>
      </c>
      <c r="J3337" s="4" t="inlineStr">
        <is>
          <t>BTR1|2024|T3.6|KER|CO2</t>
        </is>
      </c>
      <c r="K3337" s="4" t="inlineStr">
        <is>
          <t>KER</t>
        </is>
      </c>
      <c r="L3337" s="4" t="inlineStr">
        <is>
          <t>Keroseno</t>
        </is>
      </c>
      <c r="M3337" s="4"/>
      <c r="N3337" s="4"/>
      <c r="O3337" s="4"/>
      <c r="P3337" s="4"/>
      <c r="Q3337" s="4" t="inlineStr">
        <is>
          <t>FE_POR_COMBUSTIBLE_BTR1</t>
        </is>
      </c>
      <c r="R3337" s="4"/>
      <c r="S3337" s="4">
        <v>71900.0</v>
      </c>
      <c r="T3337" s="4" t="inlineStr">
        <is>
          <t>kg CO2/TJ</t>
        </is>
      </c>
      <c r="U3337" s="4"/>
      <c r="V3337" s="4"/>
      <c r="W3337" s="4" t="inlineStr">
        <is>
          <t>1.A.4.b</t>
        </is>
      </c>
      <c r="X3337" s="4" t="inlineStr">
        <is>
          <t>Residencial</t>
        </is>
      </c>
      <c r="Y3337" s="4" t="inlineStr">
        <is>
          <t>COMB_KER</t>
        </is>
      </c>
      <c r="Z3337" s="4" t="s">
        <v>4012</v>
      </c>
      <c r="AA3337" s="13">
        <v>71900.0</v>
      </c>
      <c r="AB3337" s="4" t="s">
        <v>4275</v>
      </c>
      <c r="AC3337" s="4"/>
      <c r="AD3337" s="4"/>
      <c r="AE3337" s="4"/>
      <c r="AF3337" s="4"/>
      <c r="AG3337" s="4"/>
      <c r="AH3337" s="4"/>
      <c r="AI3337" s="4"/>
      <c r="AJ3337" s="4"/>
      <c r="AK3337" s="4"/>
      <c r="AL3337" s="4" t="inlineStr">
        <is>
          <t>BTR1 Guatemala 2024, tabla 3.6, p. 48; fila Otro queroseno; gas CO2</t>
        </is>
      </c>
      <c r="AM3337" s="4" t="inlineStr">
        <is>
          <t>Factor por combustible documentado en el BTR1, con origen metodológico IPCC. Se aplica como parámetro constante aproximado a 2018–2024; el año de la clave permite unirlo a la actividad, no representa una nueva observación anual.</t>
        </is>
      </c>
    </row>
    <row r="3338" customFormat="false" ht="46.25" hidden="false" customHeight="false" outlineLevel="0" collapsed="false">
      <c r="A3338" s="4" t="s">
        <v>4270</v>
      </c>
      <c r="B3338" s="4" t="inlineStr">
        <is>
          <t>FE_COMB|2021|1.A.4.b|COMB_KER|CH4</t>
        </is>
      </c>
      <c r="C3338" s="4" t="inlineStr">
        <is>
          <t>2021|1.A.4.b|COMB_KER|CH4</t>
        </is>
      </c>
      <c r="D3338" s="12" t="n">
        <v>2021</v>
      </c>
      <c r="E3338" s="12">
        <v>2024.0</v>
      </c>
      <c r="F3338" s="4" t="inlineStr">
        <is>
          <t>PRX</t>
        </is>
      </c>
      <c r="G3338" s="4" t="inlineStr">
        <is>
          <t>MARN_GTM_BTR1_2024</t>
        </is>
      </c>
      <c r="H3338" s="4" t="inlineStr">
        <is>
          <t>Guatemala. Primer Informe Bienal de Transparencia (BTR1), 2024</t>
        </is>
      </c>
      <c r="I3338" s="4" t="inlineStr">
        <is>
          <t>https://unfccc.int/documents/646195</t>
        </is>
      </c>
      <c r="J3338" s="4" t="inlineStr">
        <is>
          <t>BTR1|2024|T3.33|KER|CH4</t>
        </is>
      </c>
      <c r="K3338" s="4" t="inlineStr">
        <is>
          <t>KER</t>
        </is>
      </c>
      <c r="L3338" s="4" t="inlineStr">
        <is>
          <t>Keroseno</t>
        </is>
      </c>
      <c r="M3338" s="4"/>
      <c r="N3338" s="4"/>
      <c r="O3338" s="4"/>
      <c r="P3338" s="4"/>
      <c r="Q3338" s="4" t="inlineStr">
        <is>
          <t>FE_POR_COMBUSTIBLE_BTR1</t>
        </is>
      </c>
      <c r="R3338" s="4"/>
      <c r="S3338" s="4">
        <v>10.0</v>
      </c>
      <c r="T3338" s="4" t="inlineStr">
        <is>
          <t>kg CH4/TJ</t>
        </is>
      </c>
      <c r="U3338" s="4"/>
      <c r="V3338" s="4"/>
      <c r="W3338" s="4" t="inlineStr">
        <is>
          <t>1.A.4.b</t>
        </is>
      </c>
      <c r="X3338" s="4" t="inlineStr">
        <is>
          <t>Residencial</t>
        </is>
      </c>
      <c r="Y3338" s="4" t="inlineStr">
        <is>
          <t>COMB_KER</t>
        </is>
      </c>
      <c r="Z3338" s="4" t="s">
        <v>4018</v>
      </c>
      <c r="AA3338" s="13">
        <v>10.0</v>
      </c>
      <c r="AB3338" s="4" t="s">
        <v>4281</v>
      </c>
      <c r="AC3338" s="4"/>
      <c r="AD3338" s="4"/>
      <c r="AE3338" s="4"/>
      <c r="AF3338" s="4"/>
      <c r="AG3338" s="4"/>
      <c r="AH3338" s="4"/>
      <c r="AI3338" s="4"/>
      <c r="AJ3338" s="4"/>
      <c r="AK3338" s="4"/>
      <c r="AL3338" s="4" t="inlineStr">
        <is>
          <t>BTR1 Guatemala 2024, tabla 3.33, p. 70; fila Otro queroseno; gas CH4</t>
        </is>
      </c>
      <c r="AM3338" s="4" t="inlineStr">
        <is>
          <t>Factor por combustible documentado en el BTR1, con origen metodológico IPCC. Se aplica como parámetro constante aproximado a 2018–2024; el año de la clave permite unirlo a la actividad, no representa una nueva observación anual.</t>
        </is>
      </c>
    </row>
    <row r="3339" customFormat="false" ht="46.25" hidden="false" customHeight="false" outlineLevel="0" collapsed="false">
      <c r="A3339" s="4" t="s">
        <v>4270</v>
      </c>
      <c r="B3339" s="4" t="inlineStr">
        <is>
          <t>FE_COMB|2021|1.A.4.b|COMB_KER|N2O</t>
        </is>
      </c>
      <c r="C3339" s="4" t="inlineStr">
        <is>
          <t>2021|1.A.4.b|COMB_KER|N2O</t>
        </is>
      </c>
      <c r="D3339" s="12" t="n">
        <v>2021</v>
      </c>
      <c r="E3339" s="12">
        <v>2024.0</v>
      </c>
      <c r="F3339" s="4" t="inlineStr">
        <is>
          <t>PRX</t>
        </is>
      </c>
      <c r="G3339" s="4" t="inlineStr">
        <is>
          <t>MARN_GTM_BTR1_2024</t>
        </is>
      </c>
      <c r="H3339" s="4" t="inlineStr">
        <is>
          <t>Guatemala. Primer Informe Bienal de Transparencia (BTR1), 2024</t>
        </is>
      </c>
      <c r="I3339" s="4" t="inlineStr">
        <is>
          <t>https://unfccc.int/documents/646195</t>
        </is>
      </c>
      <c r="J3339" s="4" t="inlineStr">
        <is>
          <t>BTR1|2024|T3.33|KER|N2O</t>
        </is>
      </c>
      <c r="K3339" s="4" t="inlineStr">
        <is>
          <t>KER</t>
        </is>
      </c>
      <c r="L3339" s="4" t="inlineStr">
        <is>
          <t>Keroseno</t>
        </is>
      </c>
      <c r="M3339" s="4"/>
      <c r="N3339" s="4"/>
      <c r="O3339" s="4"/>
      <c r="P3339" s="4"/>
      <c r="Q3339" s="4" t="inlineStr">
        <is>
          <t>FE_POR_COMBUSTIBLE_BTR1</t>
        </is>
      </c>
      <c r="R3339" s="4"/>
      <c r="S3339" s="4">
        <v>0.6</v>
      </c>
      <c r="T3339" s="4" t="inlineStr">
        <is>
          <t>kg N2O/TJ</t>
        </is>
      </c>
      <c r="U3339" s="4"/>
      <c r="V3339" s="4"/>
      <c r="W3339" s="4" t="inlineStr">
        <is>
          <t>1.A.4.b</t>
        </is>
      </c>
      <c r="X3339" s="4" t="inlineStr">
        <is>
          <t>Residencial</t>
        </is>
      </c>
      <c r="Y3339" s="4" t="inlineStr">
        <is>
          <t>COMB_KER</t>
        </is>
      </c>
      <c r="Z3339" s="4" t="s">
        <v>4048</v>
      </c>
      <c r="AA3339" s="4">
        <v>0.6</v>
      </c>
      <c r="AB3339" s="4" t="s">
        <v>4287</v>
      </c>
      <c r="AC3339" s="4"/>
      <c r="AD3339" s="4"/>
      <c r="AE3339" s="4"/>
      <c r="AF3339" s="4"/>
      <c r="AG3339" s="4"/>
      <c r="AH3339" s="4"/>
      <c r="AI3339" s="4"/>
      <c r="AJ3339" s="4"/>
      <c r="AK3339" s="4"/>
      <c r="AL3339" s="4" t="inlineStr">
        <is>
          <t>BTR1 Guatemala 2024, tabla 3.33, p. 70; fila Otro queroseno; gas N2O</t>
        </is>
      </c>
      <c r="AM3339" s="4" t="inlineStr">
        <is>
          <t>Factor por combustible documentado en el BTR1, con origen metodológico IPCC. Se aplica como parámetro constante aproximado a 2018–2024; el año de la clave permite unirlo a la actividad, no representa una nueva observación anual.</t>
        </is>
      </c>
    </row>
    <row r="3340" customFormat="false" ht="46.25" hidden="false" customHeight="false" outlineLevel="0" collapsed="false">
      <c r="A3340" s="4" t="s">
        <v>4270</v>
      </c>
      <c r="B3340" s="4" t="inlineStr">
        <is>
          <t>FE_COMB|2022|1.A.1.a.i|COMB_BCANA|CO2</t>
        </is>
      </c>
      <c r="C3340" s="4" t="inlineStr">
        <is>
          <t>2022|1.A.1.a.i|COMB_BCANA|CO2</t>
        </is>
      </c>
      <c r="D3340" s="12" t="n">
        <v>2022</v>
      </c>
      <c r="E3340" s="12">
        <v>2024.0</v>
      </c>
      <c r="F3340" s="4" t="inlineStr">
        <is>
          <t>PRX</t>
        </is>
      </c>
      <c r="G3340" s="4" t="inlineStr">
        <is>
          <t>MARN_GTM_BTR1_2024</t>
        </is>
      </c>
      <c r="H3340" s="4" t="inlineStr">
        <is>
          <t>Guatemala. Primer Informe Bienal de Transparencia (BTR1), 2024</t>
        </is>
      </c>
      <c r="I3340" s="4" t="inlineStr">
        <is>
          <t>https://unfccc.int/documents/646195</t>
        </is>
      </c>
      <c r="J3340" s="4" t="inlineStr">
        <is>
          <t>BTR1|2024|T3.6|BCANA|CO2</t>
        </is>
      </c>
      <c r="K3340" s="4" t="inlineStr">
        <is>
          <t>BCANA</t>
        </is>
      </c>
      <c r="L3340" s="4" t="inlineStr">
        <is>
          <t>Bagazo de caña</t>
        </is>
      </c>
      <c r="M3340" s="4"/>
      <c r="N3340" s="4"/>
      <c r="O3340" s="4"/>
      <c r="P3340" s="4"/>
      <c r="Q3340" s="4" t="inlineStr">
        <is>
          <t>FE_POR_COMBUSTIBLE_BTR1</t>
        </is>
      </c>
      <c r="R3340" s="4"/>
      <c r="S3340" s="4">
        <v>100000.0</v>
      </c>
      <c r="T3340" s="4" t="inlineStr">
        <is>
          <t>kg CO2/TJ</t>
        </is>
      </c>
      <c r="U3340" s="4"/>
      <c r="V3340" s="4"/>
      <c r="W3340" s="4" t="s">
        <v>3341</v>
      </c>
      <c r="X3340" s="4" t="inlineStr">
        <is>
          <t>Generación de electricidad</t>
        </is>
      </c>
      <c r="Y3340" s="4" t="inlineStr">
        <is>
          <t>COMB_BCANA</t>
        </is>
      </c>
      <c r="Z3340" s="4" t="s">
        <v>4012</v>
      </c>
      <c r="AA3340" s="13">
        <v>100000.0</v>
      </c>
      <c r="AB3340" s="4" t="s">
        <v>4275</v>
      </c>
      <c r="AC3340" s="4"/>
      <c r="AD3340" s="4"/>
      <c r="AE3340" s="4"/>
      <c r="AF3340" s="4"/>
      <c r="AG3340" s="4"/>
      <c r="AH3340" s="4"/>
      <c r="AI3340" s="4"/>
      <c r="AJ3340" s="4"/>
      <c r="AK3340" s="4"/>
      <c r="AL3340" s="4" t="inlineStr">
        <is>
          <t>BTR1 Guatemala 2024, tabla 3.6, p. 48; fila Otra biomasa sólida primaria; gas CO2</t>
        </is>
      </c>
      <c r="AM3340"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341" customFormat="false" ht="46.25" hidden="false" customHeight="false" outlineLevel="0" collapsed="false">
      <c r="A3341" s="4" t="s">
        <v>4270</v>
      </c>
      <c r="B3341" s="4" t="inlineStr">
        <is>
          <t>FE_COMB|2022|1.A.1.a.i|COMB_BCANA|CH4</t>
        </is>
      </c>
      <c r="C3341" s="4" t="inlineStr">
        <is>
          <t>2022|1.A.1.a.i|COMB_BCANA|CH4</t>
        </is>
      </c>
      <c r="D3341" s="12" t="n">
        <v>2022</v>
      </c>
      <c r="E3341" s="12">
        <v>2024.0</v>
      </c>
      <c r="F3341" s="4" t="inlineStr">
        <is>
          <t>PRX</t>
        </is>
      </c>
      <c r="G3341" s="4" t="inlineStr">
        <is>
          <t>MARN_GTM_BTR1_2024</t>
        </is>
      </c>
      <c r="H3341" s="4" t="inlineStr">
        <is>
          <t>Guatemala. Primer Informe Bienal de Transparencia (BTR1), 2024</t>
        </is>
      </c>
      <c r="I3341" s="4" t="inlineStr">
        <is>
          <t>https://unfccc.int/documents/646195</t>
        </is>
      </c>
      <c r="J3341" s="4" t="inlineStr">
        <is>
          <t>BTR1|2024|T3.17|BCANA|CH4</t>
        </is>
      </c>
      <c r="K3341" s="4" t="inlineStr">
        <is>
          <t>BCANA</t>
        </is>
      </c>
      <c r="L3341" s="4" t="inlineStr">
        <is>
          <t>Bagazo de caña</t>
        </is>
      </c>
      <c r="M3341" s="4"/>
      <c r="N3341" s="4"/>
      <c r="O3341" s="4"/>
      <c r="P3341" s="4"/>
      <c r="Q3341" s="4" t="inlineStr">
        <is>
          <t>FE_POR_COMBUSTIBLE_BTR1</t>
        </is>
      </c>
      <c r="R3341" s="4"/>
      <c r="S3341" s="4">
        <v>30.0</v>
      </c>
      <c r="T3341" s="4" t="inlineStr">
        <is>
          <t>kg CH4/TJ</t>
        </is>
      </c>
      <c r="U3341" s="4"/>
      <c r="V3341" s="4"/>
      <c r="W3341" s="4" t="s">
        <v>3341</v>
      </c>
      <c r="X3341" s="4" t="inlineStr">
        <is>
          <t>Generación de electricidad</t>
        </is>
      </c>
      <c r="Y3341" s="4" t="inlineStr">
        <is>
          <t>COMB_BCANA</t>
        </is>
      </c>
      <c r="Z3341" s="4" t="s">
        <v>4018</v>
      </c>
      <c r="AA3341" s="13">
        <v>30.0</v>
      </c>
      <c r="AB3341" s="4" t="s">
        <v>4281</v>
      </c>
      <c r="AC3341" s="4"/>
      <c r="AD3341" s="4"/>
      <c r="AE3341" s="4"/>
      <c r="AF3341" s="4"/>
      <c r="AG3341" s="4"/>
      <c r="AH3341" s="4"/>
      <c r="AI3341" s="4"/>
      <c r="AJ3341" s="4"/>
      <c r="AK3341" s="4"/>
      <c r="AL3341" s="4" t="inlineStr">
        <is>
          <t>BTR1 Guatemala 2024, tabla 3.17, p. 57; fila Otra biomasa sólida primaria; gas CH4</t>
        </is>
      </c>
      <c r="AM3341"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342" customFormat="false" ht="46.25" hidden="false" customHeight="false" outlineLevel="0" collapsed="false">
      <c r="A3342" s="4" t="s">
        <v>4270</v>
      </c>
      <c r="B3342" s="4" t="inlineStr">
        <is>
          <t>FE_COMB|2022|1.A.1.a.i|COMB_BCANA|N2O</t>
        </is>
      </c>
      <c r="C3342" s="4" t="inlineStr">
        <is>
          <t>2022|1.A.1.a.i|COMB_BCANA|N2O</t>
        </is>
      </c>
      <c r="D3342" s="12" t="n">
        <v>2022</v>
      </c>
      <c r="E3342" s="12">
        <v>2024.0</v>
      </c>
      <c r="F3342" s="4" t="inlineStr">
        <is>
          <t>PRX</t>
        </is>
      </c>
      <c r="G3342" s="4" t="inlineStr">
        <is>
          <t>MARN_GTM_BTR1_2024</t>
        </is>
      </c>
      <c r="H3342" s="4" t="inlineStr">
        <is>
          <t>Guatemala. Primer Informe Bienal de Transparencia (BTR1), 2024</t>
        </is>
      </c>
      <c r="I3342" s="4" t="inlineStr">
        <is>
          <t>https://unfccc.int/documents/646195</t>
        </is>
      </c>
      <c r="J3342" s="4" t="inlineStr">
        <is>
          <t>BTR1|2024|T3.17|BCANA|N2O</t>
        </is>
      </c>
      <c r="K3342" s="4" t="inlineStr">
        <is>
          <t>BCANA</t>
        </is>
      </c>
      <c r="L3342" s="4" t="inlineStr">
        <is>
          <t>Bagazo de caña</t>
        </is>
      </c>
      <c r="M3342" s="4"/>
      <c r="N3342" s="4"/>
      <c r="O3342" s="4"/>
      <c r="P3342" s="4"/>
      <c r="Q3342" s="4" t="inlineStr">
        <is>
          <t>FE_POR_COMBUSTIBLE_BTR1</t>
        </is>
      </c>
      <c r="R3342" s="4"/>
      <c r="S3342" s="4">
        <v>4.0</v>
      </c>
      <c r="T3342" s="4" t="inlineStr">
        <is>
          <t>kg N2O/TJ</t>
        </is>
      </c>
      <c r="U3342" s="4"/>
      <c r="V3342" s="4"/>
      <c r="W3342" s="4" t="s">
        <v>3341</v>
      </c>
      <c r="X3342" s="4" t="inlineStr">
        <is>
          <t>Generación de electricidad</t>
        </is>
      </c>
      <c r="Y3342" s="4" t="inlineStr">
        <is>
          <t>COMB_BCANA</t>
        </is>
      </c>
      <c r="Z3342" s="4" t="s">
        <v>4048</v>
      </c>
      <c r="AA3342" s="13">
        <v>4.0</v>
      </c>
      <c r="AB3342" s="4" t="s">
        <v>4287</v>
      </c>
      <c r="AC3342" s="4"/>
      <c r="AD3342" s="4"/>
      <c r="AE3342" s="4"/>
      <c r="AF3342" s="4"/>
      <c r="AG3342" s="4"/>
      <c r="AH3342" s="4"/>
      <c r="AI3342" s="4"/>
      <c r="AJ3342" s="4"/>
      <c r="AK3342" s="4"/>
      <c r="AL3342" s="4" t="inlineStr">
        <is>
          <t>BTR1 Guatemala 2024, tabla 3.17, p. 57; fila Otra biomasa sólida primaria; gas N2O</t>
        </is>
      </c>
      <c r="AM3342"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343" customFormat="false" ht="46.25" hidden="false" customHeight="false" outlineLevel="0" collapsed="false">
      <c r="A3343" s="4" t="s">
        <v>4270</v>
      </c>
      <c r="B3343" s="4" t="inlineStr">
        <is>
          <t>FE_COMB|2022|1.A.1.a.i|COMB_BIOGAS|CO2</t>
        </is>
      </c>
      <c r="C3343" s="4" t="inlineStr">
        <is>
          <t>2022|1.A.1.a.i|COMB_BIOGAS|CO2</t>
        </is>
      </c>
      <c r="D3343" s="12" t="n">
        <v>2022</v>
      </c>
      <c r="E3343" s="12">
        <v>2024.0</v>
      </c>
      <c r="F3343" s="4" t="inlineStr">
        <is>
          <t>PRX</t>
        </is>
      </c>
      <c r="G3343" s="4" t="inlineStr">
        <is>
          <t>MARN_GTM_BTR1_2024</t>
        </is>
      </c>
      <c r="H3343" s="4" t="inlineStr">
        <is>
          <t>Guatemala. Primer Informe Bienal de Transparencia (BTR1), 2024</t>
        </is>
      </c>
      <c r="I3343" s="4" t="inlineStr">
        <is>
          <t>https://unfccc.int/documents/646195</t>
        </is>
      </c>
      <c r="J3343" s="4" t="inlineStr">
        <is>
          <t>BTR1|2024|T3.6|BIOGAS|CO2</t>
        </is>
      </c>
      <c r="K3343" s="4" t="inlineStr">
        <is>
          <t>BIOGAS</t>
        </is>
      </c>
      <c r="L3343" s="4" t="inlineStr">
        <is>
          <t>Biogás</t>
        </is>
      </c>
      <c r="M3343" s="4"/>
      <c r="N3343" s="4"/>
      <c r="O3343" s="4"/>
      <c r="P3343" s="4"/>
      <c r="Q3343" s="4" t="inlineStr">
        <is>
          <t>FE_POR_COMBUSTIBLE_BTR1</t>
        </is>
      </c>
      <c r="R3343" s="4"/>
      <c r="S3343" s="4">
        <v>54600.0</v>
      </c>
      <c r="T3343" s="4" t="inlineStr">
        <is>
          <t>kg CO2/TJ</t>
        </is>
      </c>
      <c r="U3343" s="4"/>
      <c r="V3343" s="4"/>
      <c r="W3343" s="4" t="s">
        <v>3341</v>
      </c>
      <c r="X3343" s="4" t="inlineStr">
        <is>
          <t>Generación de electricidad</t>
        </is>
      </c>
      <c r="Y3343" s="4" t="inlineStr">
        <is>
          <t>COMB_BIOGAS</t>
        </is>
      </c>
      <c r="Z3343" s="4" t="s">
        <v>4012</v>
      </c>
      <c r="AA3343" s="13">
        <v>54600.0</v>
      </c>
      <c r="AB3343" s="4" t="s">
        <v>4275</v>
      </c>
      <c r="AC3343" s="4"/>
      <c r="AD3343" s="4"/>
      <c r="AE3343" s="4"/>
      <c r="AF3343" s="4"/>
      <c r="AG3343" s="4"/>
      <c r="AH3343" s="4"/>
      <c r="AI3343" s="4"/>
      <c r="AJ3343" s="4"/>
      <c r="AK3343" s="4"/>
      <c r="AL3343" s="4" t="inlineStr">
        <is>
          <t>BTR1 Guatemala 2024, tabla 3.6, p. 48; fila Gas de vertedero; gas CO2</t>
        </is>
      </c>
      <c r="AM3343"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344" customFormat="false" ht="46.25" hidden="false" customHeight="false" outlineLevel="0" collapsed="false">
      <c r="A3344" s="4" t="s">
        <v>4270</v>
      </c>
      <c r="B3344" s="4" t="inlineStr">
        <is>
          <t>FE_COMB|2022|1.A.1.a.i|COMB_BIOGAS|CH4</t>
        </is>
      </c>
      <c r="C3344" s="4" t="inlineStr">
        <is>
          <t>2022|1.A.1.a.i|COMB_BIOGAS|CH4</t>
        </is>
      </c>
      <c r="D3344" s="12" t="n">
        <v>2022</v>
      </c>
      <c r="E3344" s="12">
        <v>2024.0</v>
      </c>
      <c r="F3344" s="4" t="inlineStr">
        <is>
          <t>PRX</t>
        </is>
      </c>
      <c r="G3344" s="4" t="inlineStr">
        <is>
          <t>MARN_GTM_BTR1_2024</t>
        </is>
      </c>
      <c r="H3344" s="4" t="inlineStr">
        <is>
          <t>Guatemala. Primer Informe Bienal de Transparencia (BTR1), 2024</t>
        </is>
      </c>
      <c r="I3344" s="4" t="inlineStr">
        <is>
          <t>https://unfccc.int/documents/646195</t>
        </is>
      </c>
      <c r="J3344" s="4" t="inlineStr">
        <is>
          <t>BTR1|2024|T3.17|BIOGAS|CH4</t>
        </is>
      </c>
      <c r="K3344" s="4" t="inlineStr">
        <is>
          <t>BIOGAS</t>
        </is>
      </c>
      <c r="L3344" s="4" t="inlineStr">
        <is>
          <t>Biogás</t>
        </is>
      </c>
      <c r="M3344" s="4"/>
      <c r="N3344" s="4"/>
      <c r="O3344" s="4"/>
      <c r="P3344" s="4"/>
      <c r="Q3344" s="4" t="inlineStr">
        <is>
          <t>FE_POR_COMBUSTIBLE_BTR1</t>
        </is>
      </c>
      <c r="R3344" s="4"/>
      <c r="S3344" s="4">
        <v>1.0</v>
      </c>
      <c r="T3344" s="4" t="inlineStr">
        <is>
          <t>kg CH4/TJ</t>
        </is>
      </c>
      <c r="U3344" s="4"/>
      <c r="V3344" s="4"/>
      <c r="W3344" s="4" t="s">
        <v>3341</v>
      </c>
      <c r="X3344" s="4" t="inlineStr">
        <is>
          <t>Generación de electricidad</t>
        </is>
      </c>
      <c r="Y3344" s="4" t="inlineStr">
        <is>
          <t>COMB_BIOGAS</t>
        </is>
      </c>
      <c r="Z3344" s="4" t="s">
        <v>4018</v>
      </c>
      <c r="AA3344" s="13">
        <v>1.0</v>
      </c>
      <c r="AB3344" s="4" t="s">
        <v>4281</v>
      </c>
      <c r="AC3344" s="4"/>
      <c r="AD3344" s="4"/>
      <c r="AE3344" s="4"/>
      <c r="AF3344" s="4"/>
      <c r="AG3344" s="4"/>
      <c r="AH3344" s="4"/>
      <c r="AI3344" s="4"/>
      <c r="AJ3344" s="4"/>
      <c r="AK3344" s="4"/>
      <c r="AL3344" s="4" t="inlineStr">
        <is>
          <t>BTR1 Guatemala 2024, tabla 3.17, p. 57; fila Gas de vertedero; gas CH4</t>
        </is>
      </c>
      <c r="AM3344"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345" customFormat="false" ht="46.25" hidden="false" customHeight="false" outlineLevel="0" collapsed="false">
      <c r="A3345" s="4" t="s">
        <v>4270</v>
      </c>
      <c r="B3345" s="4" t="inlineStr">
        <is>
          <t>FE_COMB|2022|1.A.1.a.i|COMB_BIOGAS|N2O</t>
        </is>
      </c>
      <c r="C3345" s="4" t="inlineStr">
        <is>
          <t>2022|1.A.1.a.i|COMB_BIOGAS|N2O</t>
        </is>
      </c>
      <c r="D3345" s="12" t="n">
        <v>2022</v>
      </c>
      <c r="E3345" s="12">
        <v>2024.0</v>
      </c>
      <c r="F3345" s="4" t="inlineStr">
        <is>
          <t>PRX</t>
        </is>
      </c>
      <c r="G3345" s="4" t="inlineStr">
        <is>
          <t>MARN_GTM_BTR1_2024</t>
        </is>
      </c>
      <c r="H3345" s="4" t="inlineStr">
        <is>
          <t>Guatemala. Primer Informe Bienal de Transparencia (BTR1), 2024</t>
        </is>
      </c>
      <c r="I3345" s="4" t="inlineStr">
        <is>
          <t>https://unfccc.int/documents/646195</t>
        </is>
      </c>
      <c r="J3345" s="4" t="inlineStr">
        <is>
          <t>BTR1|2024|T3.17|BIOGAS|N2O</t>
        </is>
      </c>
      <c r="K3345" s="4" t="inlineStr">
        <is>
          <t>BIOGAS</t>
        </is>
      </c>
      <c r="L3345" s="4" t="inlineStr">
        <is>
          <t>Biogás</t>
        </is>
      </c>
      <c r="M3345" s="4"/>
      <c r="N3345" s="4"/>
      <c r="O3345" s="4"/>
      <c r="P3345" s="4"/>
      <c r="Q3345" s="4" t="inlineStr">
        <is>
          <t>FE_POR_COMBUSTIBLE_BTR1</t>
        </is>
      </c>
      <c r="R3345" s="4"/>
      <c r="S3345" s="4">
        <v>0.1</v>
      </c>
      <c r="T3345" s="4" t="inlineStr">
        <is>
          <t>kg N2O/TJ</t>
        </is>
      </c>
      <c r="U3345" s="4"/>
      <c r="V3345" s="4"/>
      <c r="W3345" s="4" t="s">
        <v>3341</v>
      </c>
      <c r="X3345" s="4" t="inlineStr">
        <is>
          <t>Generación de electricidad</t>
        </is>
      </c>
      <c r="Y3345" s="4" t="inlineStr">
        <is>
          <t>COMB_BIOGAS</t>
        </is>
      </c>
      <c r="Z3345" s="4" t="s">
        <v>4048</v>
      </c>
      <c r="AA3345" s="13">
        <v>0.1</v>
      </c>
      <c r="AB3345" s="4" t="s">
        <v>4287</v>
      </c>
      <c r="AC3345" s="4"/>
      <c r="AD3345" s="4"/>
      <c r="AE3345" s="4"/>
      <c r="AF3345" s="4"/>
      <c r="AG3345" s="4"/>
      <c r="AH3345" s="4"/>
      <c r="AI3345" s="4"/>
      <c r="AJ3345" s="4"/>
      <c r="AK3345" s="4"/>
      <c r="AL3345" s="4" t="inlineStr">
        <is>
          <t>BTR1 Guatemala 2024, tabla 3.17, p. 57; fila Gas de vertedero; gas N2O</t>
        </is>
      </c>
      <c r="AM3345"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346" customFormat="false" ht="57.45" hidden="false" customHeight="false" outlineLevel="0" collapsed="false">
      <c r="A3346" s="4" t="s">
        <v>4270</v>
      </c>
      <c r="B3346" s="4" t="inlineStr">
        <is>
          <t>FE_COMB|2022|1.A.1.a.i|COMB_COQUE|CO2</t>
        </is>
      </c>
      <c r="C3346" s="4" t="inlineStr">
        <is>
          <t>2022|1.A.1.a.i|COMB_COQUE|CO2</t>
        </is>
      </c>
      <c r="D3346" s="12" t="n">
        <v>2022</v>
      </c>
      <c r="E3346" s="12">
        <v>2024.0</v>
      </c>
      <c r="F3346" s="4" t="inlineStr">
        <is>
          <t>PRX</t>
        </is>
      </c>
      <c r="G3346" s="4" t="inlineStr">
        <is>
          <t>MARN_GTM_BTR1_2024</t>
        </is>
      </c>
      <c r="H3346" s="4" t="inlineStr">
        <is>
          <t>Guatemala. Primer Informe Bienal de Transparencia (BTR1), 2024</t>
        </is>
      </c>
      <c r="I3346" s="4" t="inlineStr">
        <is>
          <t>https://unfccc.int/documents/646195</t>
        </is>
      </c>
      <c r="J3346" s="4" t="inlineStr">
        <is>
          <t>BTR1|2024|T3.6|COQUE|CO2</t>
        </is>
      </c>
      <c r="K3346" s="4" t="inlineStr">
        <is>
          <t>COQUE</t>
        </is>
      </c>
      <c r="L3346" s="4" t="inlineStr">
        <is>
          <t>Coque</t>
        </is>
      </c>
      <c r="M3346" s="4"/>
      <c r="N3346" s="4"/>
      <c r="O3346" s="4"/>
      <c r="P3346" s="4"/>
      <c r="Q3346" s="4" t="inlineStr">
        <is>
          <t>FE_POR_COMBUSTIBLE_BTR1</t>
        </is>
      </c>
      <c r="R3346" s="4"/>
      <c r="S3346" s="4">
        <v>97500.0</v>
      </c>
      <c r="T3346" s="4" t="inlineStr">
        <is>
          <t>kg CO2/TJ</t>
        </is>
      </c>
      <c r="U3346" s="4"/>
      <c r="V3346" s="4"/>
      <c r="W3346" s="4" t="s">
        <v>3341</v>
      </c>
      <c r="X3346" s="4" t="inlineStr">
        <is>
          <t>Generación de electricidad</t>
        </is>
      </c>
      <c r="Y3346" s="4" t="inlineStr">
        <is>
          <t>COMB_COQUE</t>
        </is>
      </c>
      <c r="Z3346" s="4" t="s">
        <v>4012</v>
      </c>
      <c r="AA3346" s="13">
        <v>97500.0</v>
      </c>
      <c r="AB3346" s="4" t="s">
        <v>4275</v>
      </c>
      <c r="AC3346" s="4"/>
      <c r="AD3346" s="4"/>
      <c r="AE3346" s="4"/>
      <c r="AF3346" s="4"/>
      <c r="AG3346" s="4"/>
      <c r="AH3346" s="4"/>
      <c r="AI3346" s="4"/>
      <c r="AJ3346" s="4"/>
      <c r="AK3346" s="4"/>
      <c r="AL3346" s="4" t="inlineStr">
        <is>
          <t>BTR1 Guatemala 2024, tabla 3.6, p. 48; fila Coque de petróleo; gas CO2</t>
        </is>
      </c>
      <c r="AM3346"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347" customFormat="false" ht="57.45" hidden="false" customHeight="false" outlineLevel="0" collapsed="false">
      <c r="A3347" s="4" t="s">
        <v>4270</v>
      </c>
      <c r="B3347" s="4" t="inlineStr">
        <is>
          <t>FE_COMB|2022|1.A.1.a.i|COMB_COQUE|CH4</t>
        </is>
      </c>
      <c r="C3347" s="4" t="inlineStr">
        <is>
          <t>2022|1.A.1.a.i|COMB_COQUE|CH4</t>
        </is>
      </c>
      <c r="D3347" s="12" t="n">
        <v>2022</v>
      </c>
      <c r="E3347" s="12">
        <v>2006.0</v>
      </c>
      <c r="F3347" s="4" t="inlineStr">
        <is>
          <t>PRX</t>
        </is>
      </c>
      <c r="G3347" s="4" t="inlineStr">
        <is>
          <t>IPCC_2006_GL</t>
        </is>
      </c>
      <c r="H3347" s="4" t="inlineStr">
        <is>
          <t>IPCC. 2006 Guidelines for National Greenhouse Gas Inventories, Volume 2: Energy</t>
        </is>
      </c>
      <c r="I3347" s="4" t="inlineStr">
        <is>
          <t>https://www.ipcc-nggip.iges.or.jp/public/2006gl/pdf/2_Volume2/V2_2_Ch2_Stationary_Combustion.pdf</t>
        </is>
      </c>
      <c r="J3347" s="4" t="inlineStr">
        <is>
          <t>IPCC2006|V2|C2|T2.2|PETROLEUM_COKE|CH4</t>
        </is>
      </c>
      <c r="K3347" s="4" t="inlineStr">
        <is>
          <t>COQUE</t>
        </is>
      </c>
      <c r="L3347" s="4" t="inlineStr">
        <is>
          <t>Coque</t>
        </is>
      </c>
      <c r="M3347" s="4"/>
      <c r="N3347" s="4"/>
      <c r="O3347" s="4"/>
      <c r="P3347" s="4"/>
      <c r="Q3347" s="4" t="inlineStr">
        <is>
          <t>FE_POR_DEFECTO_IPCC_2006</t>
        </is>
      </c>
      <c r="R3347" s="4"/>
      <c r="S3347" s="4">
        <v>3.0</v>
      </c>
      <c r="T3347" s="4" t="inlineStr">
        <is>
          <t>kg CH4/TJ</t>
        </is>
      </c>
      <c r="U3347" s="4"/>
      <c r="V3347" s="4"/>
      <c r="W3347" s="4" t="s">
        <v>3341</v>
      </c>
      <c r="X3347" s="4" t="inlineStr">
        <is>
          <t>Generación de electricidad</t>
        </is>
      </c>
      <c r="Y3347" s="4" t="inlineStr">
        <is>
          <t>COMB_COQUE</t>
        </is>
      </c>
      <c r="Z3347" s="4" t="s">
        <v>4018</v>
      </c>
      <c r="AA3347" s="13">
        <v>3.0</v>
      </c>
      <c r="AB3347" s="4" t="s">
        <v>4281</v>
      </c>
      <c r="AC3347" s="4"/>
      <c r="AD3347" s="4"/>
      <c r="AE3347" s="4"/>
      <c r="AF3347" s="4"/>
      <c r="AG3347" s="4"/>
      <c r="AH3347" s="4"/>
      <c r="AI3347" s="4"/>
      <c r="AJ3347" s="4"/>
      <c r="AK3347" s="4"/>
      <c r="AL3347" s="4" t="inlineStr">
        <is>
          <t>Volumen 2, capítulo 2, tabla 2.2, p. 2.16; fila Petroleum Coke; gas CH4</t>
        </is>
      </c>
      <c r="AM3347" s="4" t="inlineStr">
        <is>
          <t>Factor por defecto de coque de petróleo para industrias de energía. El BEN 2024, tabla 11, identifica el coque utilizado; no se le asigna el factor del grupo carbón. Valor constante aplicado como aproximación a 2018–2024.</t>
        </is>
      </c>
    </row>
    <row r="3348" customFormat="false" ht="57.45" hidden="false" customHeight="false" outlineLevel="0" collapsed="false">
      <c r="A3348" s="4" t="s">
        <v>4270</v>
      </c>
      <c r="B3348" s="4" t="inlineStr">
        <is>
          <t>FE_COMB|2022|1.A.1.a.i|COMB_COQUE|N2O</t>
        </is>
      </c>
      <c r="C3348" s="4" t="inlineStr">
        <is>
          <t>2022|1.A.1.a.i|COMB_COQUE|N2O</t>
        </is>
      </c>
      <c r="D3348" s="12" t="n">
        <v>2022</v>
      </c>
      <c r="E3348" s="12">
        <v>2006.0</v>
      </c>
      <c r="F3348" s="4" t="inlineStr">
        <is>
          <t>PRX</t>
        </is>
      </c>
      <c r="G3348" s="4" t="inlineStr">
        <is>
          <t>IPCC_2006_GL</t>
        </is>
      </c>
      <c r="H3348" s="4" t="inlineStr">
        <is>
          <t>IPCC. 2006 Guidelines for National Greenhouse Gas Inventories, Volume 2: Energy</t>
        </is>
      </c>
      <c r="I3348" s="4" t="inlineStr">
        <is>
          <t>https://www.ipcc-nggip.iges.or.jp/public/2006gl/pdf/2_Volume2/V2_2_Ch2_Stationary_Combustion.pdf</t>
        </is>
      </c>
      <c r="J3348" s="4" t="inlineStr">
        <is>
          <t>IPCC2006|V2|C2|T2.2|PETROLEUM_COKE|N2O</t>
        </is>
      </c>
      <c r="K3348" s="4" t="inlineStr">
        <is>
          <t>COQUE</t>
        </is>
      </c>
      <c r="L3348" s="4" t="inlineStr">
        <is>
          <t>Coque</t>
        </is>
      </c>
      <c r="M3348" s="4"/>
      <c r="N3348" s="4"/>
      <c r="O3348" s="4"/>
      <c r="P3348" s="4"/>
      <c r="Q3348" s="4" t="inlineStr">
        <is>
          <t>FE_POR_DEFECTO_IPCC_2006</t>
        </is>
      </c>
      <c r="R3348" s="4"/>
      <c r="S3348" s="4">
        <v>0.6</v>
      </c>
      <c r="T3348" s="4" t="inlineStr">
        <is>
          <t>kg N2O/TJ</t>
        </is>
      </c>
      <c r="U3348" s="4"/>
      <c r="V3348" s="4"/>
      <c r="W3348" s="4" t="s">
        <v>3341</v>
      </c>
      <c r="X3348" s="4" t="inlineStr">
        <is>
          <t>Generación de electricidad</t>
        </is>
      </c>
      <c r="Y3348" s="4" t="inlineStr">
        <is>
          <t>COMB_COQUE</t>
        </is>
      </c>
      <c r="Z3348" s="4" t="s">
        <v>4048</v>
      </c>
      <c r="AA3348" s="13">
        <v>0.6</v>
      </c>
      <c r="AB3348" s="4" t="s">
        <v>4287</v>
      </c>
      <c r="AC3348" s="4"/>
      <c r="AD3348" s="4"/>
      <c r="AE3348" s="4"/>
      <c r="AF3348" s="4"/>
      <c r="AG3348" s="4"/>
      <c r="AH3348" s="4"/>
      <c r="AI3348" s="4"/>
      <c r="AJ3348" s="4"/>
      <c r="AK3348" s="4"/>
      <c r="AL3348" s="4" t="inlineStr">
        <is>
          <t>Volumen 2, capítulo 2, tabla 2.2, p. 2.16; fila Petroleum Coke; gas N2O</t>
        </is>
      </c>
      <c r="AM3348" s="4" t="inlineStr">
        <is>
          <t>Factor por defecto de coque de petróleo para industrias de energía. El BEN 2024, tabla 11, identifica el coque utilizado; no se le asigna el factor del grupo carbón. Valor constante aplicado como aproximación a 2018–2024.</t>
        </is>
      </c>
    </row>
    <row r="3349" customFormat="false" ht="57.45" hidden="false" customHeight="false" outlineLevel="0" collapsed="false">
      <c r="A3349" s="4" t="s">
        <v>4270</v>
      </c>
      <c r="B3349" s="4" t="inlineStr">
        <is>
          <t>FE_COMB|2022|1.A.1.a.i|COMB_CRBN|CO2</t>
        </is>
      </c>
      <c r="C3349" s="4" t="inlineStr">
        <is>
          <t>2022|1.A.1.a.i|COMB_CRBN|CO2</t>
        </is>
      </c>
      <c r="D3349" s="12" t="n">
        <v>2022</v>
      </c>
      <c r="E3349" s="12">
        <v>2024.0</v>
      </c>
      <c r="F3349" s="4" t="inlineStr">
        <is>
          <t>PRX</t>
        </is>
      </c>
      <c r="G3349" s="4" t="inlineStr">
        <is>
          <t>MARN_GTM_BTR1_2024</t>
        </is>
      </c>
      <c r="H3349" s="4" t="inlineStr">
        <is>
          <t>Guatemala. Primer Informe Bienal de Transparencia (BTR1), 2024</t>
        </is>
      </c>
      <c r="I3349" s="4" t="inlineStr">
        <is>
          <t>https://unfccc.int/documents/646195</t>
        </is>
      </c>
      <c r="J3349" s="4" t="inlineStr">
        <is>
          <t>BTR1|2024|T3.6|CRBN|CO2</t>
        </is>
      </c>
      <c r="K3349" s="4" t="inlineStr">
        <is>
          <t>CRBN</t>
        </is>
      </c>
      <c r="L3349" s="4" t="inlineStr">
        <is>
          <t>Carbón</t>
        </is>
      </c>
      <c r="M3349" s="4"/>
      <c r="N3349" s="4"/>
      <c r="O3349" s="4"/>
      <c r="P3349" s="4"/>
      <c r="Q3349" s="4" t="inlineStr">
        <is>
          <t>FE_POR_COMBUSTIBLE_BTR1</t>
        </is>
      </c>
      <c r="R3349" s="4"/>
      <c r="S3349" s="4">
        <v>98300.0</v>
      </c>
      <c r="T3349" s="4" t="inlineStr">
        <is>
          <t>kg CO2/TJ</t>
        </is>
      </c>
      <c r="U3349" s="4"/>
      <c r="V3349" s="4"/>
      <c r="W3349" s="4" t="s">
        <v>3341</v>
      </c>
      <c r="X3349" s="4" t="inlineStr">
        <is>
          <t>Generación de electricidad</t>
        </is>
      </c>
      <c r="Y3349" s="4" t="inlineStr">
        <is>
          <t>COMB_CRBN</t>
        </is>
      </c>
      <c r="Z3349" s="4" t="s">
        <v>4012</v>
      </c>
      <c r="AA3349" s="13">
        <v>98300.0</v>
      </c>
      <c r="AB3349" s="4" t="s">
        <v>4275</v>
      </c>
      <c r="AC3349" s="4"/>
      <c r="AD3349" s="4"/>
      <c r="AE3349" s="4"/>
      <c r="AF3349" s="4"/>
      <c r="AG3349" s="4"/>
      <c r="AH3349" s="4"/>
      <c r="AI3349" s="4"/>
      <c r="AJ3349" s="4"/>
      <c r="AK3349" s="4"/>
      <c r="AL3349" s="4" t="inlineStr">
        <is>
          <t>BTR1 Guatemala 2024, tabla 3.6, p. 48; fila Otro carbón bituminoso*; gas CO2</t>
        </is>
      </c>
      <c r="AM3349" s="4" t="inlineStr">
        <is>
          <t>Factor por combustible documentado en el BTR1, con origen metodológico IPCC. Se aplica como parámetro constante aproximado a 2018–2024; el año de la clave permite unirlo a la actividad, no representa una nueva observación anual. CRBN utiliza el proxy de antracita adoptado por el MEM; no se infiere un análisis de la mezcla de carbón del BEN.</t>
        </is>
      </c>
    </row>
    <row r="3350" customFormat="false" ht="57.45" hidden="false" customHeight="false" outlineLevel="0" collapsed="false">
      <c r="A3350" s="4" t="s">
        <v>4270</v>
      </c>
      <c r="B3350" s="4" t="inlineStr">
        <is>
          <t>FE_COMB|2022|1.A.1.a.i|COMB_CRBN|CH4</t>
        </is>
      </c>
      <c r="C3350" s="4" t="inlineStr">
        <is>
          <t>2022|1.A.1.a.i|COMB_CRBN|CH4</t>
        </is>
      </c>
      <c r="D3350" s="12" t="n">
        <v>2022</v>
      </c>
      <c r="E3350" s="12">
        <v>2024.0</v>
      </c>
      <c r="F3350" s="4" t="inlineStr">
        <is>
          <t>PRX</t>
        </is>
      </c>
      <c r="G3350" s="4" t="inlineStr">
        <is>
          <t>MARN_GTM_BTR1_2024</t>
        </is>
      </c>
      <c r="H3350" s="4" t="inlineStr">
        <is>
          <t>Guatemala. Primer Informe Bienal de Transparencia (BTR1), 2024</t>
        </is>
      </c>
      <c r="I3350" s="4" t="inlineStr">
        <is>
          <t>https://unfccc.int/documents/646195</t>
        </is>
      </c>
      <c r="J3350" s="4" t="inlineStr">
        <is>
          <t>BTR1|2024|T3.17|CRBN|CH4</t>
        </is>
      </c>
      <c r="K3350" s="4" t="inlineStr">
        <is>
          <t>CRBN</t>
        </is>
      </c>
      <c r="L3350" s="4" t="inlineStr">
        <is>
          <t>Carbón</t>
        </is>
      </c>
      <c r="M3350" s="4"/>
      <c r="N3350" s="4"/>
      <c r="O3350" s="4"/>
      <c r="P3350" s="4"/>
      <c r="Q3350" s="4" t="inlineStr">
        <is>
          <t>FE_POR_COMBUSTIBLE_BTR1</t>
        </is>
      </c>
      <c r="R3350" s="4"/>
      <c r="S3350" s="4">
        <v>1.0</v>
      </c>
      <c r="T3350" s="4" t="inlineStr">
        <is>
          <t>kg CH4/TJ</t>
        </is>
      </c>
      <c r="U3350" s="4"/>
      <c r="V3350" s="4"/>
      <c r="W3350" s="4" t="s">
        <v>3341</v>
      </c>
      <c r="X3350" s="4" t="inlineStr">
        <is>
          <t>Generación de electricidad</t>
        </is>
      </c>
      <c r="Y3350" s="4" t="inlineStr">
        <is>
          <t>COMB_CRBN</t>
        </is>
      </c>
      <c r="Z3350" s="4" t="s">
        <v>4018</v>
      </c>
      <c r="AA3350" s="13">
        <v>1.0</v>
      </c>
      <c r="AB3350" s="4" t="s">
        <v>4281</v>
      </c>
      <c r="AC3350" s="4"/>
      <c r="AD3350" s="4"/>
      <c r="AE3350" s="4"/>
      <c r="AF3350" s="4"/>
      <c r="AG3350" s="4"/>
      <c r="AH3350" s="4"/>
      <c r="AI3350" s="4"/>
      <c r="AJ3350" s="4"/>
      <c r="AK3350" s="4"/>
      <c r="AL3350" s="4" t="inlineStr">
        <is>
          <t>BTR1 Guatemala 2024, tabla 3.17, p. 57; fila Otro carbón bituminoso; gas CH4</t>
        </is>
      </c>
      <c r="AM3350" s="4" t="inlineStr">
        <is>
          <t>Factor por combustible documentado en el BTR1, con origen metodológico IPCC. Se aplica como parámetro constante aproximado a 2018–2024; el año de la clave permite unirlo a la actividad, no representa una nueva observación anual. CRBN utiliza el proxy de antracita adoptado por el MEM; no se infiere un análisis de la mezcla de carbón del BEN.</t>
        </is>
      </c>
    </row>
    <row r="3351" customFormat="false" ht="57.45" hidden="false" customHeight="false" outlineLevel="0" collapsed="false">
      <c r="A3351" s="4" t="s">
        <v>4270</v>
      </c>
      <c r="B3351" s="4" t="inlineStr">
        <is>
          <t>FE_COMB|2022|1.A.1.a.i|COMB_CRBN|N2O</t>
        </is>
      </c>
      <c r="C3351" s="4" t="inlineStr">
        <is>
          <t>2022|1.A.1.a.i|COMB_CRBN|N2O</t>
        </is>
      </c>
      <c r="D3351" s="12" t="n">
        <v>2022</v>
      </c>
      <c r="E3351" s="12">
        <v>2024.0</v>
      </c>
      <c r="F3351" s="4" t="inlineStr">
        <is>
          <t>PRX</t>
        </is>
      </c>
      <c r="G3351" s="4" t="inlineStr">
        <is>
          <t>MARN_GTM_BTR1_2024</t>
        </is>
      </c>
      <c r="H3351" s="4" t="inlineStr">
        <is>
          <t>Guatemala. Primer Informe Bienal de Transparencia (BTR1), 2024</t>
        </is>
      </c>
      <c r="I3351" s="4" t="inlineStr">
        <is>
          <t>https://unfccc.int/documents/646195</t>
        </is>
      </c>
      <c r="J3351" s="4" t="inlineStr">
        <is>
          <t>BTR1|2024|T3.17|CRBN|N2O</t>
        </is>
      </c>
      <c r="K3351" s="4" t="inlineStr">
        <is>
          <t>CRBN</t>
        </is>
      </c>
      <c r="L3351" s="4" t="inlineStr">
        <is>
          <t>Carbón</t>
        </is>
      </c>
      <c r="M3351" s="4"/>
      <c r="N3351" s="4"/>
      <c r="O3351" s="4"/>
      <c r="P3351" s="4"/>
      <c r="Q3351" s="4" t="inlineStr">
        <is>
          <t>FE_POR_COMBUSTIBLE_BTR1</t>
        </is>
      </c>
      <c r="R3351" s="4"/>
      <c r="S3351" s="4">
        <v>1.5</v>
      </c>
      <c r="T3351" s="4" t="inlineStr">
        <is>
          <t>kg N2O/TJ</t>
        </is>
      </c>
      <c r="U3351" s="4"/>
      <c r="V3351" s="4"/>
      <c r="W3351" s="4" t="s">
        <v>3341</v>
      </c>
      <c r="X3351" s="4" t="inlineStr">
        <is>
          <t>Generación de electricidad</t>
        </is>
      </c>
      <c r="Y3351" s="4" t="inlineStr">
        <is>
          <t>COMB_CRBN</t>
        </is>
      </c>
      <c r="Z3351" s="4" t="s">
        <v>4048</v>
      </c>
      <c r="AA3351" s="13">
        <v>1.5</v>
      </c>
      <c r="AB3351" s="4" t="s">
        <v>4287</v>
      </c>
      <c r="AC3351" s="4"/>
      <c r="AD3351" s="4"/>
      <c r="AE3351" s="4"/>
      <c r="AF3351" s="4"/>
      <c r="AG3351" s="4"/>
      <c r="AH3351" s="4"/>
      <c r="AI3351" s="4"/>
      <c r="AJ3351" s="4"/>
      <c r="AK3351" s="4"/>
      <c r="AL3351" s="4" t="inlineStr">
        <is>
          <t>BTR1 Guatemala 2024, tabla 3.17, p. 57; fila Otro carbón bituminoso; gas N2O</t>
        </is>
      </c>
      <c r="AM3351" s="4" t="inlineStr">
        <is>
          <t>Factor por combustible documentado en el BTR1, con origen metodológico IPCC. Se aplica como parámetro constante aproximado a 2018–2024; el año de la clave permite unirlo a la actividad, no representa una nueva observación anual. CRBN utiliza el proxy de antracita adoptado por el MEM; no se infiere un análisis de la mezcla de carbón del BEN.</t>
        </is>
      </c>
    </row>
    <row r="3352" customFormat="false" ht="57.45" hidden="false" customHeight="false" outlineLevel="0" collapsed="false">
      <c r="A3352" s="4" t="s">
        <v>4270</v>
      </c>
      <c r="B3352" s="4" t="inlineStr">
        <is>
          <t>FE_COMB|2022|1.A.1.a.i|COMB_DOIL|CO2</t>
        </is>
      </c>
      <c r="C3352" s="4" t="inlineStr">
        <is>
          <t>2022|1.A.1.a.i|COMB_DOIL|CO2</t>
        </is>
      </c>
      <c r="D3352" s="12" t="n">
        <v>2022</v>
      </c>
      <c r="E3352" s="12">
        <v>2024.0</v>
      </c>
      <c r="F3352" s="4" t="inlineStr">
        <is>
          <t>PRX</t>
        </is>
      </c>
      <c r="G3352" s="4" t="inlineStr">
        <is>
          <t>MARN_GTM_BTR1_2024</t>
        </is>
      </c>
      <c r="H3352" s="4" t="inlineStr">
        <is>
          <t>Guatemala. Primer Informe Bienal de Transparencia (BTR1), 2024</t>
        </is>
      </c>
      <c r="I3352" s="4" t="inlineStr">
        <is>
          <t>https://unfccc.int/documents/646195</t>
        </is>
      </c>
      <c r="J3352" s="4" t="inlineStr">
        <is>
          <t>BTR1|2024|T3.6|DOIL|CO2</t>
        </is>
      </c>
      <c r="K3352" s="4" t="inlineStr">
        <is>
          <t>DOIL</t>
        </is>
      </c>
      <c r="L3352" s="4" t="inlineStr">
        <is>
          <t>Diésel / gas oil</t>
        </is>
      </c>
      <c r="M3352" s="4"/>
      <c r="N3352" s="4"/>
      <c r="O3352" s="4"/>
      <c r="P3352" s="4"/>
      <c r="Q3352" s="4" t="inlineStr">
        <is>
          <t>FE_POR_COMBUSTIBLE_BTR1</t>
        </is>
      </c>
      <c r="R3352" s="4"/>
      <c r="S3352" s="4">
        <v>74100.0</v>
      </c>
      <c r="T3352" s="4" t="inlineStr">
        <is>
          <t>kg CO2/TJ</t>
        </is>
      </c>
      <c r="U3352" s="4"/>
      <c r="V3352" s="4"/>
      <c r="W3352" s="4" t="inlineStr">
        <is>
          <t>1.A.1.a.i</t>
        </is>
      </c>
      <c r="X3352" s="4" t="inlineStr">
        <is>
          <t>Generación de electricidad</t>
        </is>
      </c>
      <c r="Y3352" s="4" t="inlineStr">
        <is>
          <t>COMB_DOIL</t>
        </is>
      </c>
      <c r="Z3352" s="4" t="s">
        <v>4012</v>
      </c>
      <c r="AA3352" s="13">
        <v>74100.0</v>
      </c>
      <c r="AB3352" s="4" t="s">
        <v>4275</v>
      </c>
      <c r="AC3352" s="4"/>
      <c r="AD3352" s="4"/>
      <c r="AE3352" s="4"/>
      <c r="AF3352" s="4"/>
      <c r="AG3352" s="4"/>
      <c r="AH3352" s="4"/>
      <c r="AI3352" s="4"/>
      <c r="AJ3352" s="4"/>
      <c r="AK3352" s="4"/>
      <c r="AL3352" s="4" t="inlineStr">
        <is>
          <t>BTR1 Guatemala 2024, tabla 3.6, p. 48; fila Gas/Diésel oíl; gas CO2</t>
        </is>
      </c>
      <c r="AM3352" s="4" t="inlineStr">
        <is>
          <t>Factor por combustible documentado en el BTR1, con origen metodológico IPCC. Se aplica como parámetro constante aproximado a 2018–2024; el año de la clave permite unirlo a la actividad, no representa una nueva observación anual.</t>
        </is>
      </c>
    </row>
    <row r="3353" customFormat="false" ht="57.45" hidden="false" customHeight="false" outlineLevel="0" collapsed="false">
      <c r="A3353" s="4" t="s">
        <v>4270</v>
      </c>
      <c r="B3353" s="4" t="inlineStr">
        <is>
          <t>FE_COMB|2022|1.A.1.a.i|COMB_DOIL|CH4</t>
        </is>
      </c>
      <c r="C3353" s="4" t="inlineStr">
        <is>
          <t>2022|1.A.1.a.i|COMB_DOIL|CH4</t>
        </is>
      </c>
      <c r="D3353" s="12" t="n">
        <v>2022</v>
      </c>
      <c r="E3353" s="12">
        <v>2024.0</v>
      </c>
      <c r="F3353" s="4" t="inlineStr">
        <is>
          <t>PRX</t>
        </is>
      </c>
      <c r="G3353" s="4" t="inlineStr">
        <is>
          <t>MARN_GTM_BTR1_2024</t>
        </is>
      </c>
      <c r="H3353" s="4" t="inlineStr">
        <is>
          <t>Guatemala. Primer Informe Bienal de Transparencia (BTR1), 2024</t>
        </is>
      </c>
      <c r="I3353" s="4" t="inlineStr">
        <is>
          <t>https://unfccc.int/documents/646195</t>
        </is>
      </c>
      <c r="J3353" s="4" t="inlineStr">
        <is>
          <t>BTR1|2024|T3.17|DOIL|CH4</t>
        </is>
      </c>
      <c r="K3353" s="4" t="inlineStr">
        <is>
          <t>DOIL</t>
        </is>
      </c>
      <c r="L3353" s="4" t="inlineStr">
        <is>
          <t>Diésel / gas oil</t>
        </is>
      </c>
      <c r="M3353" s="4"/>
      <c r="N3353" s="4"/>
      <c r="O3353" s="4"/>
      <c r="P3353" s="4"/>
      <c r="Q3353" s="4" t="inlineStr">
        <is>
          <t>FE_POR_COMBUSTIBLE_BTR1</t>
        </is>
      </c>
      <c r="R3353" s="4"/>
      <c r="S3353" s="4">
        <v>3.0</v>
      </c>
      <c r="T3353" s="4" t="inlineStr">
        <is>
          <t>kg CH4/TJ</t>
        </is>
      </c>
      <c r="U3353" s="4"/>
      <c r="V3353" s="4"/>
      <c r="W3353" s="4" t="inlineStr">
        <is>
          <t>1.A.1.a.i</t>
        </is>
      </c>
      <c r="X3353" s="4" t="inlineStr">
        <is>
          <t>Generación de electricidad</t>
        </is>
      </c>
      <c r="Y3353" s="4" t="inlineStr">
        <is>
          <t>COMB_DOIL</t>
        </is>
      </c>
      <c r="Z3353" s="4" t="s">
        <v>4018</v>
      </c>
      <c r="AA3353" s="13">
        <v>3.0</v>
      </c>
      <c r="AB3353" s="4" t="s">
        <v>4281</v>
      </c>
      <c r="AC3353" s="4"/>
      <c r="AD3353" s="4"/>
      <c r="AE3353" s="4"/>
      <c r="AF3353" s="4"/>
      <c r="AG3353" s="4"/>
      <c r="AH3353" s="4"/>
      <c r="AI3353" s="4"/>
      <c r="AJ3353" s="4"/>
      <c r="AK3353" s="4"/>
      <c r="AL3353" s="4" t="inlineStr">
        <is>
          <t>BTR1 Guatemala 2024, tabla 3.17, p. 57; fila Diésel; gas CH4</t>
        </is>
      </c>
      <c r="AM3353" s="4" t="inlineStr">
        <is>
          <t>Factor por combustible documentado en el BTR1, con origen metodológico IPCC. Se aplica como parámetro constante aproximado a 2018–2024; el año de la clave permite unirlo a la actividad, no representa una nueva observación anual.</t>
        </is>
      </c>
    </row>
    <row r="3354" customFormat="false" ht="57.45" hidden="false" customHeight="false" outlineLevel="0" collapsed="false">
      <c r="A3354" s="4" t="s">
        <v>4270</v>
      </c>
      <c r="B3354" s="4" t="inlineStr">
        <is>
          <t>FE_COMB|2022|1.A.1.a.i|COMB_DOIL|N2O</t>
        </is>
      </c>
      <c r="C3354" s="4" t="inlineStr">
        <is>
          <t>2022|1.A.1.a.i|COMB_DOIL|N2O</t>
        </is>
      </c>
      <c r="D3354" s="12" t="n">
        <v>2022</v>
      </c>
      <c r="E3354" s="12">
        <v>2024.0</v>
      </c>
      <c r="F3354" s="4" t="inlineStr">
        <is>
          <t>PRX</t>
        </is>
      </c>
      <c r="G3354" s="4" t="inlineStr">
        <is>
          <t>MARN_GTM_BTR1_2024</t>
        </is>
      </c>
      <c r="H3354" s="4" t="inlineStr">
        <is>
          <t>Guatemala. Primer Informe Bienal de Transparencia (BTR1), 2024</t>
        </is>
      </c>
      <c r="I3354" s="4" t="inlineStr">
        <is>
          <t>https://unfccc.int/documents/646195</t>
        </is>
      </c>
      <c r="J3354" s="4" t="inlineStr">
        <is>
          <t>BTR1|2024|T3.17|DOIL|N2O</t>
        </is>
      </c>
      <c r="K3354" s="4" t="inlineStr">
        <is>
          <t>DOIL</t>
        </is>
      </c>
      <c r="L3354" s="4" t="inlineStr">
        <is>
          <t>Diésel / gas oil</t>
        </is>
      </c>
      <c r="M3354" s="4"/>
      <c r="N3354" s="4"/>
      <c r="O3354" s="4"/>
      <c r="P3354" s="4"/>
      <c r="Q3354" s="4" t="inlineStr">
        <is>
          <t>FE_POR_COMBUSTIBLE_BTR1</t>
        </is>
      </c>
      <c r="R3354" s="4"/>
      <c r="S3354" s="4">
        <v>0.6</v>
      </c>
      <c r="T3354" s="4" t="inlineStr">
        <is>
          <t>kg N2O/TJ</t>
        </is>
      </c>
      <c r="U3354" s="4"/>
      <c r="V3354" s="4"/>
      <c r="W3354" s="4" t="inlineStr">
        <is>
          <t>1.A.1.a.i</t>
        </is>
      </c>
      <c r="X3354" s="4" t="inlineStr">
        <is>
          <t>Generación de electricidad</t>
        </is>
      </c>
      <c r="Y3354" s="4" t="inlineStr">
        <is>
          <t>COMB_DOIL</t>
        </is>
      </c>
      <c r="Z3354" s="4" t="s">
        <v>4048</v>
      </c>
      <c r="AA3354" s="13">
        <v>0.6</v>
      </c>
      <c r="AB3354" s="4" t="s">
        <v>4287</v>
      </c>
      <c r="AC3354" s="4"/>
      <c r="AD3354" s="4"/>
      <c r="AE3354" s="4"/>
      <c r="AF3354" s="4"/>
      <c r="AG3354" s="4"/>
      <c r="AH3354" s="4"/>
      <c r="AI3354" s="4"/>
      <c r="AJ3354" s="4"/>
      <c r="AK3354" s="4"/>
      <c r="AL3354" s="4" t="inlineStr">
        <is>
          <t>BTR1 Guatemala 2024, tabla 3.17, p. 57; fila Diésel; gas N2O</t>
        </is>
      </c>
      <c r="AM3354" s="4" t="inlineStr">
        <is>
          <t>Factor por combustible documentado en el BTR1, con origen metodológico IPCC. Se aplica como parámetro constante aproximado a 2018–2024; el año de la clave permite unirlo a la actividad, no representa una nueva observación anual.</t>
        </is>
      </c>
    </row>
    <row r="3355" customFormat="false" ht="57.45" hidden="false" customHeight="false" outlineLevel="0" collapsed="false">
      <c r="A3355" s="4" t="s">
        <v>4270</v>
      </c>
      <c r="B3355" s="4" t="inlineStr">
        <is>
          <t>FE_COMB|2022|1.A.1.a.i|COMB_FOIL|CO2</t>
        </is>
      </c>
      <c r="C3355" s="4" t="inlineStr">
        <is>
          <t>2022|1.A.1.a.i|COMB_FOIL|CO2</t>
        </is>
      </c>
      <c r="D3355" s="12" t="n">
        <v>2022</v>
      </c>
      <c r="E3355" s="12">
        <v>2024.0</v>
      </c>
      <c r="F3355" s="4" t="inlineStr">
        <is>
          <t>PRX</t>
        </is>
      </c>
      <c r="G3355" s="4" t="inlineStr">
        <is>
          <t>MARN_GTM_BTR1_2024</t>
        </is>
      </c>
      <c r="H3355" s="4" t="inlineStr">
        <is>
          <t>Guatemala. Primer Informe Bienal de Transparencia (BTR1), 2024</t>
        </is>
      </c>
      <c r="I3355" s="4" t="inlineStr">
        <is>
          <t>https://unfccc.int/documents/646195</t>
        </is>
      </c>
      <c r="J3355" s="4" t="inlineStr">
        <is>
          <t>BTR1|2024|T3.6|FOIL|CO2</t>
        </is>
      </c>
      <c r="K3355" s="4" t="inlineStr">
        <is>
          <t>FOIL</t>
        </is>
      </c>
      <c r="L3355" s="4" t="inlineStr">
        <is>
          <t>Fuel oil</t>
        </is>
      </c>
      <c r="M3355" s="4"/>
      <c r="N3355" s="4"/>
      <c r="O3355" s="4"/>
      <c r="P3355" s="4"/>
      <c r="Q3355" s="4" t="inlineStr">
        <is>
          <t>FE_POR_COMBUSTIBLE_BTR1</t>
        </is>
      </c>
      <c r="R3355" s="4"/>
      <c r="S3355" s="4">
        <v>77400.0</v>
      </c>
      <c r="T3355" s="4" t="inlineStr">
        <is>
          <t>kg CO2/TJ</t>
        </is>
      </c>
      <c r="U3355" s="4"/>
      <c r="V3355" s="4"/>
      <c r="W3355" s="4" t="inlineStr">
        <is>
          <t>1.A.1.a.i</t>
        </is>
      </c>
      <c r="X3355" s="4" t="inlineStr">
        <is>
          <t>Generación de electricidad</t>
        </is>
      </c>
      <c r="Y3355" s="4" t="inlineStr">
        <is>
          <t>COMB_FOIL</t>
        </is>
      </c>
      <c r="Z3355" s="4" t="s">
        <v>4012</v>
      </c>
      <c r="AA3355" s="13">
        <v>77400.0</v>
      </c>
      <c r="AB3355" s="4" t="s">
        <v>4275</v>
      </c>
      <c r="AC3355" s="4"/>
      <c r="AD3355" s="4"/>
      <c r="AE3355" s="4"/>
      <c r="AF3355" s="4"/>
      <c r="AG3355" s="4"/>
      <c r="AH3355" s="4"/>
      <c r="AI3355" s="4"/>
      <c r="AJ3355" s="4"/>
      <c r="AK3355" s="4"/>
      <c r="AL3355" s="4" t="inlineStr">
        <is>
          <t>BTR1 Guatemala 2024, tabla 3.6, p. 48; fila Fuelóleo residual; gas CO2</t>
        </is>
      </c>
      <c r="AM3355" s="4" t="inlineStr">
        <is>
          <t>Factor por combustible documentado en el BTR1, con origen metodológico IPCC. Se aplica como parámetro constante aproximado a 2018–2024; el año de la clave permite unirlo a la actividad, no representa una nueva observación anual.</t>
        </is>
      </c>
    </row>
    <row r="3356" customFormat="false" ht="57.45" hidden="false" customHeight="false" outlineLevel="0" collapsed="false">
      <c r="A3356" s="4" t="s">
        <v>4270</v>
      </c>
      <c r="B3356" s="4" t="inlineStr">
        <is>
          <t>FE_COMB|2022|1.A.1.a.i|COMB_FOIL|CH4</t>
        </is>
      </c>
      <c r="C3356" s="4" t="inlineStr">
        <is>
          <t>2022|1.A.1.a.i|COMB_FOIL|CH4</t>
        </is>
      </c>
      <c r="D3356" s="12" t="n">
        <v>2022</v>
      </c>
      <c r="E3356" s="12">
        <v>2024.0</v>
      </c>
      <c r="F3356" s="4" t="inlineStr">
        <is>
          <t>PRX</t>
        </is>
      </c>
      <c r="G3356" s="4" t="inlineStr">
        <is>
          <t>MARN_GTM_BTR1_2024</t>
        </is>
      </c>
      <c r="H3356" s="4" t="inlineStr">
        <is>
          <t>Guatemala. Primer Informe Bienal de Transparencia (BTR1), 2024</t>
        </is>
      </c>
      <c r="I3356" s="4" t="inlineStr">
        <is>
          <t>https://unfccc.int/documents/646195</t>
        </is>
      </c>
      <c r="J3356" s="4" t="inlineStr">
        <is>
          <t>BTR1|2024|T3.17|FOIL|CH4</t>
        </is>
      </c>
      <c r="K3356" s="4" t="inlineStr">
        <is>
          <t>FOIL</t>
        </is>
      </c>
      <c r="L3356" s="4" t="inlineStr">
        <is>
          <t>Fuel oil</t>
        </is>
      </c>
      <c r="M3356" s="4"/>
      <c r="N3356" s="4"/>
      <c r="O3356" s="4"/>
      <c r="P3356" s="4"/>
      <c r="Q3356" s="4" t="inlineStr">
        <is>
          <t>FE_POR_COMBUSTIBLE_BTR1</t>
        </is>
      </c>
      <c r="R3356" s="4"/>
      <c r="S3356" s="4">
        <v>3.0</v>
      </c>
      <c r="T3356" s="4" t="inlineStr">
        <is>
          <t>kg CH4/TJ</t>
        </is>
      </c>
      <c r="U3356" s="4"/>
      <c r="V3356" s="4"/>
      <c r="W3356" s="4" t="inlineStr">
        <is>
          <t>1.A.1.a.i</t>
        </is>
      </c>
      <c r="X3356" s="4" t="inlineStr">
        <is>
          <t>Generación de electricidad</t>
        </is>
      </c>
      <c r="Y3356" s="4" t="inlineStr">
        <is>
          <t>COMB_FOIL</t>
        </is>
      </c>
      <c r="Z3356" s="4" t="s">
        <v>4018</v>
      </c>
      <c r="AA3356" s="13">
        <v>3.0</v>
      </c>
      <c r="AB3356" s="4" t="s">
        <v>4281</v>
      </c>
      <c r="AC3356" s="4"/>
      <c r="AD3356" s="4"/>
      <c r="AE3356" s="4"/>
      <c r="AF3356" s="4"/>
      <c r="AG3356" s="4"/>
      <c r="AH3356" s="4"/>
      <c r="AI3356" s="4"/>
      <c r="AJ3356" s="4"/>
      <c r="AK3356" s="4"/>
      <c r="AL3356" s="4" t="inlineStr">
        <is>
          <t>BTR1 Guatemala 2024, tabla 3.17, p. 57; fila Fuelóleo residual; gas CH4</t>
        </is>
      </c>
      <c r="AM3356" s="4" t="inlineStr">
        <is>
          <t>Factor por combustible documentado en el BTR1, con origen metodológico IPCC. Se aplica como parámetro constante aproximado a 2018–2024; el año de la clave permite unirlo a la actividad, no representa una nueva observación anual.</t>
        </is>
      </c>
    </row>
    <row r="3357" customFormat="false" ht="57.45" hidden="false" customHeight="false" outlineLevel="0" collapsed="false">
      <c r="A3357" s="4" t="s">
        <v>4270</v>
      </c>
      <c r="B3357" s="4" t="inlineStr">
        <is>
          <t>FE_COMB|2022|1.A.1.a.i|COMB_FOIL|N2O</t>
        </is>
      </c>
      <c r="C3357" s="4" t="inlineStr">
        <is>
          <t>2022|1.A.1.a.i|COMB_FOIL|N2O</t>
        </is>
      </c>
      <c r="D3357" s="12" t="n">
        <v>2022</v>
      </c>
      <c r="E3357" s="12">
        <v>2024.0</v>
      </c>
      <c r="F3357" s="4" t="inlineStr">
        <is>
          <t>PRX</t>
        </is>
      </c>
      <c r="G3357" s="4" t="inlineStr">
        <is>
          <t>MARN_GTM_BTR1_2024</t>
        </is>
      </c>
      <c r="H3357" s="4" t="inlineStr">
        <is>
          <t>Guatemala. Primer Informe Bienal de Transparencia (BTR1), 2024</t>
        </is>
      </c>
      <c r="I3357" s="4" t="inlineStr">
        <is>
          <t>https://unfccc.int/documents/646195</t>
        </is>
      </c>
      <c r="J3357" s="4" t="inlineStr">
        <is>
          <t>BTR1|2024|T3.17|FOIL|N2O</t>
        </is>
      </c>
      <c r="K3357" s="4" t="inlineStr">
        <is>
          <t>FOIL</t>
        </is>
      </c>
      <c r="L3357" s="4" t="inlineStr">
        <is>
          <t>Fuel oil</t>
        </is>
      </c>
      <c r="M3357" s="4"/>
      <c r="N3357" s="4"/>
      <c r="O3357" s="4"/>
      <c r="P3357" s="4"/>
      <c r="Q3357" s="4" t="inlineStr">
        <is>
          <t>FE_POR_COMBUSTIBLE_BTR1</t>
        </is>
      </c>
      <c r="R3357" s="4"/>
      <c r="S3357" s="4">
        <v>0.6</v>
      </c>
      <c r="T3357" s="4" t="inlineStr">
        <is>
          <t>kg N2O/TJ</t>
        </is>
      </c>
      <c r="U3357" s="4"/>
      <c r="V3357" s="4"/>
      <c r="W3357" s="4" t="inlineStr">
        <is>
          <t>1.A.1.a.i</t>
        </is>
      </c>
      <c r="X3357" s="4" t="inlineStr">
        <is>
          <t>Generación de electricidad</t>
        </is>
      </c>
      <c r="Y3357" s="4" t="inlineStr">
        <is>
          <t>COMB_FOIL</t>
        </is>
      </c>
      <c r="Z3357" s="4" t="s">
        <v>4048</v>
      </c>
      <c r="AA3357" s="13">
        <v>0.6</v>
      </c>
      <c r="AB3357" s="4" t="s">
        <v>4287</v>
      </c>
      <c r="AC3357" s="4"/>
      <c r="AD3357" s="4"/>
      <c r="AE3357" s="4"/>
      <c r="AF3357" s="4"/>
      <c r="AG3357" s="4"/>
      <c r="AH3357" s="4"/>
      <c r="AI3357" s="4"/>
      <c r="AJ3357" s="4"/>
      <c r="AK3357" s="4"/>
      <c r="AL3357" s="4" t="inlineStr">
        <is>
          <t>BTR1 Guatemala 2024, tabla 3.17, p. 57; fila Fuelóleo residual; gas N2O</t>
        </is>
      </c>
      <c r="AM3357" s="4" t="inlineStr">
        <is>
          <t>Factor por combustible documentado en el BTR1, con origen metodológico IPCC. Se aplica como parámetro constante aproximado a 2018–2024; el año de la clave permite unirlo a la actividad, no representa una nueva observación anual.</t>
        </is>
      </c>
    </row>
    <row r="3358" customFormat="false" ht="57.45" hidden="false" customHeight="false" outlineLevel="0" collapsed="false">
      <c r="A3358" s="4" t="s">
        <v>4270</v>
      </c>
      <c r="B3358" s="4" t="inlineStr">
        <is>
          <t>FE_COMB|2022|1.A.1.a.i|COMB_LENA|CO2</t>
        </is>
      </c>
      <c r="C3358" s="4" t="inlineStr">
        <is>
          <t>2022|1.A.1.a.i|COMB_LENA|CO2</t>
        </is>
      </c>
      <c r="D3358" s="12" t="n">
        <v>2022</v>
      </c>
      <c r="E3358" s="12">
        <v>2024.0</v>
      </c>
      <c r="F3358" s="4" t="inlineStr">
        <is>
          <t>PRX</t>
        </is>
      </c>
      <c r="G3358" s="4" t="inlineStr">
        <is>
          <t>MARN_GTM_BTR1_2024</t>
        </is>
      </c>
      <c r="H3358" s="4" t="inlineStr">
        <is>
          <t>Guatemala. Primer Informe Bienal de Transparencia (BTR1), 2024</t>
        </is>
      </c>
      <c r="I3358" s="4" t="inlineStr">
        <is>
          <t>https://unfccc.int/documents/646195</t>
        </is>
      </c>
      <c r="J3358" s="4" t="inlineStr">
        <is>
          <t>BTR1|2024|T3.6|LENA|CO2</t>
        </is>
      </c>
      <c r="K3358" s="4" t="inlineStr">
        <is>
          <t>LENA</t>
        </is>
      </c>
      <c r="L3358" s="4" t="inlineStr">
        <is>
          <t>Leña</t>
        </is>
      </c>
      <c r="M3358" s="4"/>
      <c r="N3358" s="4"/>
      <c r="O3358" s="4"/>
      <c r="P3358" s="4"/>
      <c r="Q3358" s="4" t="inlineStr">
        <is>
          <t>FE_POR_COMBUSTIBLE_BTR1</t>
        </is>
      </c>
      <c r="R3358" s="4"/>
      <c r="S3358" s="4">
        <v>112000.0</v>
      </c>
      <c r="T3358" s="4" t="inlineStr">
        <is>
          <t>kg CO2/TJ</t>
        </is>
      </c>
      <c r="U3358" s="4"/>
      <c r="V3358" s="4"/>
      <c r="W3358" s="4" t="inlineStr">
        <is>
          <t>1.A.1.a.i</t>
        </is>
      </c>
      <c r="X3358" s="4" t="inlineStr">
        <is>
          <t>Generación de electricidad</t>
        </is>
      </c>
      <c r="Y3358" s="4" t="inlineStr">
        <is>
          <t>COMB_LENA</t>
        </is>
      </c>
      <c r="Z3358" s="4" t="s">
        <v>4012</v>
      </c>
      <c r="AA3358" s="13">
        <v>112000.0</v>
      </c>
      <c r="AB3358" s="4" t="s">
        <v>4275</v>
      </c>
      <c r="AC3358" s="4"/>
      <c r="AD3358" s="4"/>
      <c r="AE3358" s="4"/>
      <c r="AF3358" s="4"/>
      <c r="AG3358" s="4"/>
      <c r="AH3358" s="4"/>
      <c r="AI3358" s="4"/>
      <c r="AJ3358" s="4"/>
      <c r="AK3358" s="4"/>
      <c r="AL3358" s="4" t="inlineStr">
        <is>
          <t>BTR1 Guatemala 2024, tabla 3.6, p. 48; fila Madera/desechos de madera; gas CO2</t>
        </is>
      </c>
      <c r="AM3358"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359" customFormat="false" ht="57.45" hidden="false" customHeight="false" outlineLevel="0" collapsed="false">
      <c r="A3359" s="4" t="s">
        <v>4270</v>
      </c>
      <c r="B3359" s="4" t="inlineStr">
        <is>
          <t>FE_COMB|2022|1.A.1.a.i|COMB_LENA|CH4</t>
        </is>
      </c>
      <c r="C3359" s="4" t="inlineStr">
        <is>
          <t>2022|1.A.1.a.i|COMB_LENA|CH4</t>
        </is>
      </c>
      <c r="D3359" s="12" t="n">
        <v>2022</v>
      </c>
      <c r="E3359" s="12">
        <v>2024.0</v>
      </c>
      <c r="F3359" s="4" t="inlineStr">
        <is>
          <t>PRX</t>
        </is>
      </c>
      <c r="G3359" s="4" t="inlineStr">
        <is>
          <t>MARN_GTM_BTR1_2024</t>
        </is>
      </c>
      <c r="H3359" s="4" t="inlineStr">
        <is>
          <t>Guatemala. Primer Informe Bienal de Transparencia (BTR1), 2024</t>
        </is>
      </c>
      <c r="I3359" s="4" t="inlineStr">
        <is>
          <t>https://unfccc.int/documents/646195</t>
        </is>
      </c>
      <c r="J3359" s="4" t="inlineStr">
        <is>
          <t>BTR1|2024|T3.17|LENA|CH4</t>
        </is>
      </c>
      <c r="K3359" s="4" t="inlineStr">
        <is>
          <t>LENA</t>
        </is>
      </c>
      <c r="L3359" s="4" t="inlineStr">
        <is>
          <t>Leña</t>
        </is>
      </c>
      <c r="M3359" s="4"/>
      <c r="N3359" s="4"/>
      <c r="O3359" s="4"/>
      <c r="P3359" s="4"/>
      <c r="Q3359" s="4" t="inlineStr">
        <is>
          <t>FE_POR_COMBUSTIBLE_BTR1</t>
        </is>
      </c>
      <c r="R3359" s="4"/>
      <c r="S3359" s="4">
        <v>30.0</v>
      </c>
      <c r="T3359" s="4" t="inlineStr">
        <is>
          <t>kg CH4/TJ</t>
        </is>
      </c>
      <c r="U3359" s="4"/>
      <c r="V3359" s="4"/>
      <c r="W3359" s="4" t="inlineStr">
        <is>
          <t>1.A.1.a.i</t>
        </is>
      </c>
      <c r="X3359" s="4" t="inlineStr">
        <is>
          <t>Generación de electricidad</t>
        </is>
      </c>
      <c r="Y3359" s="4" t="inlineStr">
        <is>
          <t>COMB_LENA</t>
        </is>
      </c>
      <c r="Z3359" s="4" t="s">
        <v>4018</v>
      </c>
      <c r="AA3359" s="13">
        <v>30.0</v>
      </c>
      <c r="AB3359" s="4" t="s">
        <v>4281</v>
      </c>
      <c r="AC3359" s="4"/>
      <c r="AD3359" s="4"/>
      <c r="AE3359" s="4"/>
      <c r="AF3359" s="4"/>
      <c r="AG3359" s="4"/>
      <c r="AH3359" s="4"/>
      <c r="AI3359" s="4"/>
      <c r="AJ3359" s="4"/>
      <c r="AK3359" s="4"/>
      <c r="AL3359" s="4" t="inlineStr">
        <is>
          <t>BTR1 Guatemala 2024, tabla 3.17, p. 57; fila Madera/desechos de madera; gas CH4</t>
        </is>
      </c>
      <c r="AM3359"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360" customFormat="false" ht="57.45" hidden="false" customHeight="false" outlineLevel="0" collapsed="false">
      <c r="A3360" s="4" t="s">
        <v>4270</v>
      </c>
      <c r="B3360" s="4" t="inlineStr">
        <is>
          <t>FE_COMB|2022|1.A.1.a.i|COMB_LENA|N2O</t>
        </is>
      </c>
      <c r="C3360" s="4" t="inlineStr">
        <is>
          <t>2022|1.A.1.a.i|COMB_LENA|N2O</t>
        </is>
      </c>
      <c r="D3360" s="12" t="n">
        <v>2022</v>
      </c>
      <c r="E3360" s="12">
        <v>2024.0</v>
      </c>
      <c r="F3360" s="4" t="inlineStr">
        <is>
          <t>PRX</t>
        </is>
      </c>
      <c r="G3360" s="4" t="inlineStr">
        <is>
          <t>MARN_GTM_BTR1_2024</t>
        </is>
      </c>
      <c r="H3360" s="4" t="inlineStr">
        <is>
          <t>Guatemala. Primer Informe Bienal de Transparencia (BTR1), 2024</t>
        </is>
      </c>
      <c r="I3360" s="4" t="inlineStr">
        <is>
          <t>https://unfccc.int/documents/646195</t>
        </is>
      </c>
      <c r="J3360" s="4" t="inlineStr">
        <is>
          <t>BTR1|2024|T3.17|LENA|N2O</t>
        </is>
      </c>
      <c r="K3360" s="4" t="inlineStr">
        <is>
          <t>LENA</t>
        </is>
      </c>
      <c r="L3360" s="4" t="inlineStr">
        <is>
          <t>Leña</t>
        </is>
      </c>
      <c r="M3360" s="4"/>
      <c r="N3360" s="4"/>
      <c r="O3360" s="4"/>
      <c r="P3360" s="4"/>
      <c r="Q3360" s="4" t="inlineStr">
        <is>
          <t>FE_POR_COMBUSTIBLE_BTR1</t>
        </is>
      </c>
      <c r="R3360" s="4"/>
      <c r="S3360" s="4">
        <v>4.0</v>
      </c>
      <c r="T3360" s="4" t="inlineStr">
        <is>
          <t>kg N2O/TJ</t>
        </is>
      </c>
      <c r="U3360" s="4"/>
      <c r="V3360" s="4"/>
      <c r="W3360" s="4" t="inlineStr">
        <is>
          <t>1.A.1.a.i</t>
        </is>
      </c>
      <c r="X3360" s="4" t="inlineStr">
        <is>
          <t>Generación de electricidad</t>
        </is>
      </c>
      <c r="Y3360" s="4" t="inlineStr">
        <is>
          <t>COMB_LENA</t>
        </is>
      </c>
      <c r="Z3360" s="4" t="s">
        <v>4048</v>
      </c>
      <c r="AA3360" s="13">
        <v>4.0</v>
      </c>
      <c r="AB3360" s="4" t="s">
        <v>4287</v>
      </c>
      <c r="AC3360" s="4"/>
      <c r="AD3360" s="4"/>
      <c r="AE3360" s="4"/>
      <c r="AF3360" s="4"/>
      <c r="AG3360" s="4"/>
      <c r="AH3360" s="4"/>
      <c r="AI3360" s="4"/>
      <c r="AJ3360" s="4"/>
      <c r="AK3360" s="4"/>
      <c r="AL3360" s="4" t="inlineStr">
        <is>
          <t>BTR1 Guatemala 2024, tabla 3.17, p. 57; fila Madera/desechos de madera; gas N2O</t>
        </is>
      </c>
      <c r="AM3360" s="4" t="inlineStr">
        <is>
          <t>Factor por combustible documentado en el BTR1, con origen metodológico IPCC. Se aplica como parámetro constante aproximado a 2018–2024; el año de la clave permite unirlo a la actividad, no representa una nueva observación anual. El CO2 biogénico se presenta como partida informativa y se excluye de CO2e; CH4 y N2O sí se incluyen.</t>
        </is>
      </c>
    </row>
    <row r="3361" customFormat="false" ht="46.25" hidden="false" customHeight="false" outlineLevel="0" collapsed="false">
      <c r="A3361" s="4" t="s">
        <v>4270</v>
      </c>
      <c r="B3361" s="4" t="inlineStr">
        <is>
          <t>FE_COMB|2022|1.A.2|COMB_COQUE|CO2</t>
        </is>
      </c>
      <c r="C3361" s="4" t="inlineStr">
        <is>
          <t>2022|1.A.2|COMB_COQUE|CO2</t>
        </is>
      </c>
      <c r="D3361" s="12" t="n">
        <v>2022</v>
      </c>
      <c r="E3361" s="12">
        <v>2024.0</v>
      </c>
      <c r="F3361" s="4" t="inlineStr">
        <is>
          <t>PRX</t>
        </is>
      </c>
      <c r="G3361" s="4" t="inlineStr">
        <is>
          <t>MARN_GTM_BTR1_2024</t>
        </is>
      </c>
      <c r="H3361" s="4" t="inlineStr">
        <is>
          <t>Guatemala. Primer Informe Bienal de Transparencia (BTR1), 2024</t>
        </is>
      </c>
      <c r="I3361" s="4" t="inlineStr">
        <is>
          <t>https://unfccc.int/documents/646195</t>
        </is>
      </c>
      <c r="J3361" s="4" t="inlineStr">
        <is>
          <t>BTR1|2024|T3.6|COQUE|CO2</t>
        </is>
      </c>
      <c r="K3361" s="4" t="inlineStr">
        <is>
          <t>COQUE</t>
        </is>
      </c>
      <c r="L3361" s="4" t="inlineStr">
        <is>
          <t>Coque</t>
        </is>
      </c>
      <c r="M3361" s="4"/>
      <c r="N3361" s="4"/>
      <c r="O3361" s="4"/>
      <c r="P3361" s="4"/>
      <c r="Q3361" s="4" t="inlineStr">
        <is>
          <t>FE_POR_COMBUSTIBLE_BTR1</t>
        </is>
      </c>
      <c r="R3361" s="4"/>
      <c r="S3361" s="4">
        <v>97500.0</v>
      </c>
      <c r="T3361" s="4" t="inlineStr">
        <is>
          <t>kg CO2/TJ</t>
        </is>
      </c>
      <c r="U3361" s="4"/>
      <c r="V3361" s="4"/>
      <c r="W3361" s="4" t="inlineStr">
        <is>
          <t>1.A.2</t>
        </is>
      </c>
      <c r="X3361" s="4" t="inlineStr">
        <is>
          <t>Industrias manufactureras y construcción</t>
        </is>
      </c>
      <c r="Y3361" s="4" t="inlineStr">
        <is>
          <t>COMB_COQUE</t>
        </is>
      </c>
      <c r="Z3361" s="4" t="s">
        <v>4012</v>
      </c>
      <c r="AA3361" s="13">
        <v>97500.0</v>
      </c>
      <c r="AB3361" s="4" t="s">
        <v>4275</v>
      </c>
      <c r="AC3361" s="4"/>
      <c r="AD3361" s="4"/>
      <c r="AE3361" s="4"/>
      <c r="AF3361" s="4"/>
      <c r="AG3361" s="4"/>
      <c r="AH3361" s="4"/>
      <c r="AI3361" s="4"/>
      <c r="AJ3361" s="4"/>
      <c r="AK3361" s="4"/>
      <c r="AL3361" s="4" t="inlineStr">
        <is>
          <t>BTR1 Guatemala 2024, tabla 3.6, p. 48; fila Coque de petróleo; gas CO2</t>
        </is>
      </c>
      <c r="AM3361"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362" customFormat="false" ht="46.25" hidden="false" customHeight="false" outlineLevel="0" collapsed="false">
      <c r="A3362" s="4" t="s">
        <v>4270</v>
      </c>
      <c r="B3362" s="4" t="inlineStr">
        <is>
          <t>FE_COMB|2022|1.A.2|COMB_COQUE|CH4</t>
        </is>
      </c>
      <c r="C3362" s="4" t="inlineStr">
        <is>
          <t>2022|1.A.2|COMB_COQUE|CH4</t>
        </is>
      </c>
      <c r="D3362" s="12" t="n">
        <v>2022</v>
      </c>
      <c r="E3362" s="12">
        <v>2024.0</v>
      </c>
      <c r="F3362" s="4" t="inlineStr">
        <is>
          <t>PRX</t>
        </is>
      </c>
      <c r="G3362" s="4" t="inlineStr">
        <is>
          <t>MARN_GTM_BTR1_2024</t>
        </is>
      </c>
      <c r="H3362" s="4" t="inlineStr">
        <is>
          <t>Guatemala. Primer Informe Bienal de Transparencia (BTR1), 2024</t>
        </is>
      </c>
      <c r="I3362" s="4" t="inlineStr">
        <is>
          <t>https://unfccc.int/documents/646195</t>
        </is>
      </c>
      <c r="J3362" s="4" t="inlineStr">
        <is>
          <t>BTR1|2024|T3.22|COQUE|CH4</t>
        </is>
      </c>
      <c r="K3362" s="4" t="inlineStr">
        <is>
          <t>COQUE</t>
        </is>
      </c>
      <c r="L3362" s="4" t="inlineStr">
        <is>
          <t>Coque</t>
        </is>
      </c>
      <c r="M3362" s="4"/>
      <c r="N3362" s="4"/>
      <c r="O3362" s="4"/>
      <c r="P3362" s="4"/>
      <c r="Q3362" s="4" t="inlineStr">
        <is>
          <t>FE_POR_COMBUSTIBLE_BTR1</t>
        </is>
      </c>
      <c r="R3362" s="4"/>
      <c r="S3362" s="4">
        <v>3.0</v>
      </c>
      <c r="T3362" s="4" t="inlineStr">
        <is>
          <t>kg CH4/TJ</t>
        </is>
      </c>
      <c r="U3362" s="4"/>
      <c r="V3362" s="4"/>
      <c r="W3362" s="4" t="inlineStr">
        <is>
          <t>1.A.2</t>
        </is>
      </c>
      <c r="X3362" s="4" t="inlineStr">
        <is>
          <t>Industrias manufactureras y construcción</t>
        </is>
      </c>
      <c r="Y3362" s="4" t="inlineStr">
        <is>
          <t>COMB_COQUE</t>
        </is>
      </c>
      <c r="Z3362" s="4" t="s">
        <v>4018</v>
      </c>
      <c r="AA3362" s="13">
        <v>3.0</v>
      </c>
      <c r="AB3362" s="4" t="s">
        <v>4281</v>
      </c>
      <c r="AC3362" s="4"/>
      <c r="AD3362" s="4"/>
      <c r="AE3362" s="4"/>
      <c r="AF3362" s="4"/>
      <c r="AG3362" s="4"/>
      <c r="AH3362" s="4"/>
      <c r="AI3362" s="4"/>
      <c r="AJ3362" s="4"/>
      <c r="AK3362" s="4"/>
      <c r="AL3362" s="4" t="inlineStr">
        <is>
          <t>BTR1 Guatemala 2024, tabla 3.22, p. 62; fila Coque de petróleo; gas CH4</t>
        </is>
      </c>
      <c r="AM3362"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363" customFormat="false" ht="46.25" hidden="false" customHeight="false" outlineLevel="0" collapsed="false">
      <c r="A3363" s="4" t="s">
        <v>4270</v>
      </c>
      <c r="B3363" s="4" t="inlineStr">
        <is>
          <t>FE_COMB|2022|1.A.2|COMB_COQUE|N2O</t>
        </is>
      </c>
      <c r="C3363" s="4" t="inlineStr">
        <is>
          <t>2022|1.A.2|COMB_COQUE|N2O</t>
        </is>
      </c>
      <c r="D3363" s="12" t="n">
        <v>2022</v>
      </c>
      <c r="E3363" s="12">
        <v>2024.0</v>
      </c>
      <c r="F3363" s="4" t="inlineStr">
        <is>
          <t>PRX</t>
        </is>
      </c>
      <c r="G3363" s="4" t="inlineStr">
        <is>
          <t>MARN_GTM_BTR1_2024</t>
        </is>
      </c>
      <c r="H3363" s="4" t="inlineStr">
        <is>
          <t>Guatemala. Primer Informe Bienal de Transparencia (BTR1), 2024</t>
        </is>
      </c>
      <c r="I3363" s="4" t="inlineStr">
        <is>
          <t>https://unfccc.int/documents/646195</t>
        </is>
      </c>
      <c r="J3363" s="4" t="inlineStr">
        <is>
          <t>BTR1|2024|T3.22|COQUE|N2O</t>
        </is>
      </c>
      <c r="K3363" s="4" t="inlineStr">
        <is>
          <t>COQUE</t>
        </is>
      </c>
      <c r="L3363" s="4" t="inlineStr">
        <is>
          <t>Coque</t>
        </is>
      </c>
      <c r="M3363" s="4"/>
      <c r="N3363" s="4"/>
      <c r="O3363" s="4"/>
      <c r="P3363" s="4"/>
      <c r="Q3363" s="4" t="inlineStr">
        <is>
          <t>FE_POR_COMBUSTIBLE_BTR1</t>
        </is>
      </c>
      <c r="R3363" s="4"/>
      <c r="S3363" s="4">
        <v>0.6</v>
      </c>
      <c r="T3363" s="4" t="inlineStr">
        <is>
          <t>kg N2O/TJ</t>
        </is>
      </c>
      <c r="U3363" s="4"/>
      <c r="V3363" s="4"/>
      <c r="W3363" s="4" t="inlineStr">
        <is>
          <t>1.A.2</t>
        </is>
      </c>
      <c r="X3363" s="4" t="inlineStr">
        <is>
          <t>Industrias manufactureras y construcción</t>
        </is>
      </c>
      <c r="Y3363" s="4" t="inlineStr">
        <is>
          <t>COMB_COQUE</t>
        </is>
      </c>
      <c r="Z3363" s="4" t="s">
        <v>4048</v>
      </c>
      <c r="AA3363" s="13">
        <v>0.6</v>
      </c>
      <c r="AB3363" s="4" t="s">
        <v>4287</v>
      </c>
      <c r="AC3363" s="4"/>
      <c r="AD3363" s="4"/>
      <c r="AE3363" s="4"/>
      <c r="AF3363" s="4"/>
      <c r="AG3363" s="4"/>
      <c r="AH3363" s="4"/>
      <c r="AI3363" s="4"/>
      <c r="AJ3363" s="4"/>
      <c r="AK3363" s="4"/>
      <c r="AL3363" s="4" t="inlineStr">
        <is>
          <t>BTR1 Guatemala 2024, tabla 3.22, p. 62; fila Coque de petróleo; gas N2O</t>
        </is>
      </c>
      <c r="AM3363" s="4" t="inlineStr">
        <is>
          <t>Factor por combustible documentado en el BTR1, con origen metodológico IPCC. Se aplica como parámetro constante aproximado a 2018–2024; el año de la clave permite unirlo a la actividad, no representa una nueva observación anual. El BEN 2024, tabla 11, identifica coque de petróleo; no corresponde al factor de carbón.</t>
        </is>
      </c>
    </row>
    <row r="3364" customFormat="false" ht="57.45" hidden="false" customHeight="false" outlineLevel="0" collapsed="false">
      <c r="A3364" s="4" t="s">
        <v>4270</v>
      </c>
      <c r="B3364" s="4" t="inlineStr">
        <is>
          <t>FE_COMB|2022|1.A.2|COMB_DOIL|CO2</t>
        </is>
      </c>
      <c r="C3364" s="4" t="inlineStr">
        <is>
          <t>2022|1.A.2|COMB_DOIL|CO2</t>
        </is>
      </c>
      <c r="D3364" s="12" t="n">
        <v>2022</v>
      </c>
      <c r="E3364" s="12">
        <v>2024.0</v>
      </c>
      <c r="F3364" s="4" t="inlineStr">
        <is>
          <t>PRX</t>
        </is>
      </c>
      <c r="G3364" s="4" t="inlineStr">
        <is>
          <t>MARN_GTM_BTR1_2024</t>
        </is>
      </c>
      <c r="H3364" s="4" t="inlineStr">
        <is>
          <t>Guatemala. Primer Informe Bienal de Transparencia (BTR1), 2024</t>
        </is>
      </c>
      <c r="I3364" s="4" t="inlineStr">
        <is>
          <t>https://unfccc.int/documents/646195</t>
        </is>
      </c>
      <c r="J3364" s="4" t="inlineStr">
        <is>
          <t>BTR1|2024|T3.6|DOIL|CO2</t>
        </is>
      </c>
      <c r="K3364" s="4" t="inlineStr">
        <is>
          <t>DOIL</t>
        </is>
      </c>
      <c r="L3364" s="4" t="inlineStr">
        <is>
          <t>Diésel / gas oil</t>
        </is>
      </c>
      <c r="M3364" s="4"/>
      <c r="N3364" s="4"/>
      <c r="O3364" s="4"/>
      <c r="P3364" s="4"/>
      <c r="Q3364" s="4" t="inlineStr">
        <is>
          <t>FE_POR_COMBUSTIBLE_BTR1</t>
        </is>
      </c>
      <c r="R3364" s="4"/>
      <c r="S3364" s="4">
        <v>74100.0</v>
      </c>
      <c r="T3364" s="4" t="inlineStr">
        <is>
          <t>kg CO2/TJ</t>
        </is>
      </c>
      <c r="U3364" s="4"/>
      <c r="V3364" s="4"/>
      <c r="W3364" s="4" t="inlineStr">
        <is>
          <t>1.A.2</t>
        </is>
      </c>
      <c r="X3364" s="4" t="inlineStr">
        <is>
          <t>Industrias manufactureras y construcción</t>
        </is>
      </c>
      <c r="Y3364" s="4" t="inlineStr">
        <is>
          <t>COMB_DOIL</t>
        </is>
      </c>
      <c r="Z3364" s="4" t="s">
        <v>4012</v>
      </c>
      <c r="AA3364" s="13">
        <v>74100.0</v>
      </c>
      <c r="AB3364" s="4" t="s">
        <v>4275</v>
      </c>
      <c r="AC3364" s="4"/>
      <c r="AD3364" s="4"/>
      <c r="AE3364" s="4"/>
      <c r="AF3364" s="4"/>
      <c r="AG3364" s="4"/>
      <c r="AH3364" s="4"/>
      <c r="AI3364" s="4"/>
      <c r="AJ3364" s="4"/>
      <c r="AK3364" s="4"/>
      <c r="AL3364" s="4" t="inlineStr">
        <is>
          <t>BTR1 Guatemala 2024, tabla 3.6, p. 48; fila Gas/Diésel oíl; gas CO2</t>
        </is>
      </c>
      <c r="AM3364" s="4" t="inlineStr">
        <is>
          <t>Factor por combustible documentado en el BTR1, con origen metodológico IPCC. Se aplica como parámetro constante aproximado a 2018–2024; el año de la clave permite unirlo a la actividad, no representa una nueva observación anual.</t>
        </is>
      </c>
    </row>
    <row r="3365" customFormat="false" ht="57.45" hidden="false" customHeight="false" outlineLevel="0" collapsed="false">
      <c r="A3365" s="4" t="s">
        <v>4270</v>
      </c>
      <c r="B3365" s="4" t="inlineStr">
        <is>
          <t>FE_COMB|2022|1.A.2|COMB_DOIL|CH4</t>
        </is>
      </c>
      <c r="C3365" s="4" t="inlineStr">
        <is>
          <t>2022|1.A.2|COMB_DOIL|CH4</t>
        </is>
      </c>
      <c r="D3365" s="12" t="n">
        <v>2022</v>
      </c>
      <c r="E3365" s="12">
        <v>2024.0</v>
      </c>
      <c r="F3365" s="4" t="inlineStr">
        <is>
          <t>PRX</t>
        </is>
      </c>
      <c r="G3365" s="4" t="inlineStr">
        <is>
          <t>MARN_GTM_BTR1_2024</t>
        </is>
      </c>
      <c r="H3365" s="4" t="inlineStr">
        <is>
          <t>Guatemala. Primer Informe Bienal de Transparencia (BTR1), 2024</t>
        </is>
      </c>
      <c r="I3365" s="4" t="inlineStr">
        <is>
          <t>https://unfccc.int/documents/646195</t>
        </is>
      </c>
      <c r="J3365" s="4" t="inlineStr">
        <is>
          <t>BTR1|2024|T3.22|DOIL|CH4</t>
        </is>
      </c>
      <c r="K3365" s="4" t="inlineStr">
        <is>
          <t>DOIL</t>
        </is>
      </c>
      <c r="L3365" s="4" t="inlineStr">
        <is>
          <t>Diésel / gas oil</t>
        </is>
      </c>
      <c r="M3365" s="4"/>
      <c r="N3365" s="4"/>
      <c r="O3365" s="4"/>
      <c r="P3365" s="4"/>
      <c r="Q3365" s="4" t="inlineStr">
        <is>
          <t>FE_POR_COMBUSTIBLE_BTR1</t>
        </is>
      </c>
      <c r="R3365" s="4"/>
      <c r="S3365" s="4">
        <v>3.0</v>
      </c>
      <c r="T3365" s="4" t="inlineStr">
        <is>
          <t>kg CH4/TJ</t>
        </is>
      </c>
      <c r="U3365" s="4"/>
      <c r="V3365" s="4"/>
      <c r="W3365" s="4" t="inlineStr">
        <is>
          <t>1.A.2</t>
        </is>
      </c>
      <c r="X3365" s="4" t="inlineStr">
        <is>
          <t>Industrias manufactureras y construcción</t>
        </is>
      </c>
      <c r="Y3365" s="4" t="inlineStr">
        <is>
          <t>COMB_DOIL</t>
        </is>
      </c>
      <c r="Z3365" s="4" t="s">
        <v>4018</v>
      </c>
      <c r="AA3365" s="13">
        <v>3.0</v>
      </c>
      <c r="AB3365" s="4" t="s">
        <v>4281</v>
      </c>
      <c r="AC3365" s="4"/>
      <c r="AD3365" s="4"/>
      <c r="AE3365" s="4"/>
      <c r="AF3365" s="4"/>
      <c r="AG3365" s="4"/>
      <c r="AH3365" s="4"/>
      <c r="AI3365" s="4"/>
      <c r="AJ3365" s="4"/>
      <c r="AK3365" s="4"/>
      <c r="AL3365" s="4" t="inlineStr">
        <is>
          <t>BTR1 Guatemala 2024, tabla 3.22, p. 62; fila Diésel; gas CH4</t>
        </is>
      </c>
      <c r="AM3365" s="4" t="inlineStr">
        <is>
          <t>Factor por combustible documentado en el BTR1, con origen metodológico IPCC. Se aplica como parámetro constante aproximado a 2018–2024; el año de la clave permite unirlo a la actividad, no representa una nueva observación anual.</t>
        </is>
      </c>
    </row>
    <row r="3366" customFormat="false" ht="57.45" hidden="false" customHeight="false" outlineLevel="0" collapsed="false">
      <c r="A3366" s="4" t="s">
        <v>4270</v>
      </c>
      <c r="B3366" s="4" t="inlineStr">
        <is>
          <t>FE_COMB|2022|1.A.2|COMB_DOIL|N2O</t>
        </is>
      </c>
      <c r="C3366" s="4" t="inlineStr">
        <is>
          <t>2022|1.A.2|COMB_DOIL|N2O</t>
        </is>
      </c>
      <c r="D3366" s="12" t="n">
        <v>2022</v>
      </c>
      <c r="E3366" s="12">
        <v>2024.0</v>
      </c>
      <c r="F3366" s="4" t="inlineStr">
        <is>
          <t>PRX</t>
        </is>
      </c>
      <c r="G3366" s="4" t="inlineStr">
        <is>
          <t>MARN_GTM_BTR1_2024</t>
        </is>
      </c>
      <c r="H3366" s="4" t="inlineStr">
        <is>
          <t>Guatemala. Primer Informe Bienal de Transparencia (BTR1), 2024</t>
        </is>
      </c>
      <c r="I3366" s="4" t="inlineStr">
        <is>
          <t>https://unfccc.int/documents/646195</t>
        </is>
      </c>
      <c r="J3366" s="4" t="inlineStr">
        <is>
          <t>BTR1|2024|T3.22|DOIL|N2O</t>
        </is>
      </c>
      <c r="K3366" s="4" t="inlineStr">
        <is>
          <t>DOIL</t>
        </is>
      </c>
      <c r="L3366" s="4" t="inlineStr">
        <is>
          <t>Diésel / gas oil</t>
        </is>
      </c>
      <c r="M3366" s="4"/>
      <c r="N3366" s="4"/>
      <c r="O3366" s="4"/>
      <c r="P3366" s="4"/>
      <c r="Q3366" s="4" t="inlineStr">
        <is>
          <t>FE_POR_COMBUSTIBLE_BTR1</t>
        </is>
      </c>
      <c r="R3366" s="4"/>
      <c r="S3366" s="4">
        <v>0.6</v>
      </c>
      <c r="T3366" s="4" t="inlineStr">
        <is>
          <t>kg N2O/TJ</t>
        </is>
      </c>
      <c r="U3366" s="4"/>
      <c r="V3366" s="4"/>
      <c r="W3366" s="4" t="inlineStr">
        <is>
          <t>1.A.2</t>
        </is>
      </c>
      <c r="X3366" s="4" t="inlineStr">
        <is>
          <t>Industrias manufactureras y construcción</t>
        </is>
      </c>
      <c r="Y3366" s="4" t="inlineStr">
        <is>
          <t>COMB_DOIL</t>
        </is>
      </c>
      <c r="Z3366" s="4" t="s">
        <v>4048</v>
      </c>
      <c r="AA3366" s="13">
        <v>0.6</v>
      </c>
      <c r="AB3366" s="4" t="s">
        <v>4287</v>
      </c>
      <c r="AC3366" s="4"/>
      <c r="AD3366" s="4"/>
      <c r="AE3366" s="4"/>
      <c r="AF3366" s="4"/>
      <c r="AG3366" s="4"/>
      <c r="AH3366" s="4"/>
      <c r="AI3366" s="4"/>
      <c r="AJ3366" s="4"/>
      <c r="AK3366" s="4"/>
      <c r="AL3366" s="4" t="inlineStr">
        <is>
          <t>BTR1 Guatemala 2024, tabla 3.22, p. 62; fila Diésel; gas N2O</t>
        </is>
      </c>
      <c r="AM3366" s="4" t="inlineStr">
        <is>
          <t>Factor por combustible documentado en el BTR1, con origen metodológico IPCC. Se aplica como parámetro constante aproximado a 2018–2024; el año de la clave permite unirlo a la actividad, no representa una nueva observación anual.</t>
        </is>
      </c>
    </row>
    <row r="3367" customFormat="false" ht="46.25" hidden="false" customHeight="false" outlineLevel="0" collapsed="false">
      <c r="A3367" s="4" t="s">
        <v>4270</v>
      </c>
      <c r="B3367" s="4" t="inlineStr">
        <is>
          <t>FE_COMB|2022|1.A.2|COMB_FOIL|CO2</t>
        </is>
      </c>
      <c r="C3367" s="4" t="inlineStr">
        <is>
          <t>2022|1.A.2|COMB_FOIL|CO2</t>
        </is>
      </c>
      <c r="D3367" s="12" t="n">
        <v>2022</v>
      </c>
      <c r="E3367" s="12">
        <v>2024.0</v>
      </c>
      <c r="F3367" s="4" t="inlineStr">
        <is>
          <t>PRX</t>
        </is>
      </c>
      <c r="G3367" s="4" t="inlineStr">
        <is>
          <t>MARN_GTM_BTR1_2024</t>
        </is>
      </c>
      <c r="H3367" s="4" t="inlineStr">
        <is>
          <t>Guatemala. Primer Informe Bienal de Transparencia (BTR1), 2024</t>
        </is>
      </c>
      <c r="I3367" s="4" t="inlineStr">
        <is>
          <t>https://unfccc.int/documents/646195</t>
        </is>
      </c>
      <c r="J3367" s="4" t="inlineStr">
        <is>
          <t>BTR1|2024|T3.6|FOIL|CO2</t>
        </is>
      </c>
      <c r="K3367" s="4" t="inlineStr">
        <is>
          <t>FOIL</t>
        </is>
      </c>
      <c r="L3367" s="4" t="inlineStr">
        <is>
          <t>Fuel oil</t>
        </is>
      </c>
      <c r="M3367" s="4"/>
      <c r="N3367" s="4"/>
      <c r="O3367" s="4"/>
      <c r="P3367" s="4"/>
      <c r="Q3367" s="4" t="inlineStr">
        <is>
          <t>FE_POR_COMBUSTIBLE_BTR1</t>
        </is>
      </c>
      <c r="R3367" s="4"/>
      <c r="S3367" s="4">
        <v>77400.0</v>
      </c>
      <c r="T3367" s="4" t="inlineStr">
        <is>
          <t>kg CO2/TJ</t>
        </is>
      </c>
      <c r="U3367" s="4"/>
      <c r="V3367" s="4"/>
      <c r="W3367" s="4" t="inlineStr">
        <is>
          <t>1.A.2</t>
        </is>
      </c>
      <c r="X3367" s="4" t="inlineStr">
        <is>
          <t>Industrias manufactureras y construcción</t>
        </is>
      </c>
      <c r="Y3367" s="4" t="inlineStr">
        <is>
          <t>COMB_FOIL</t>
        </is>
      </c>
      <c r="Z3367" s="4" t="s">
        <v>4012</v>
      </c>
      <c r="AA3367" s="13">
        <v>77400.0</v>
      </c>
      <c r="AB3367" s="4" t="s">
        <v>4275</v>
      </c>
      <c r="AC3367" s="4"/>
      <c r="AD3367" s="4"/>
      <c r="AE3367" s="4"/>
      <c r="AF3367" s="4"/>
      <c r="AG3367" s="4"/>
      <c r="AH3367" s="4"/>
      <c r="AI3367" s="4"/>
      <c r="AJ3367" s="4"/>
      <c r="AK3367" s="4"/>
      <c r="AL3367" s="4" t="inlineStr">
        <is>
          <t>BTR1 Guatemala 2024, tabla 3.6, p. 48; fila Fuelóleo residual; gas CO2</t>
        </is>
      </c>
      <c r="AM3367" s="4" t="inlineStr">
        <is>
          <t>Factor por combustible documentado en el BTR1, con origen metodológico IPCC. Se aplica como parámetro constante aproximado a 2018–2024; el año de la clave permite unirlo a la actividad, no representa una nueva observación anual.</t>
        </is>
      </c>
    </row>
    <row r="3368" customFormat="false" ht="46.25" hidden="false" customHeight="false" outlineLevel="0" collapsed="false">
      <c r="A3368" s="4" t="s">
        <v>4270</v>
      </c>
      <c r="B3368" s="4" t="inlineStr">
        <is>
          <t>FE_COMB|2022|1.A.2|COMB_FOIL|CH4</t>
        </is>
      </c>
      <c r="C3368" s="4" t="inlineStr">
        <is>
          <t>2022|1.A.2|COMB_FOIL|CH4</t>
        </is>
      </c>
      <c r="D3368" s="12" t="n">
        <v>2022</v>
      </c>
      <c r="E3368" s="12">
        <v>2024.0</v>
      </c>
      <c r="F3368" s="4" t="inlineStr">
        <is>
          <t>PRX</t>
        </is>
      </c>
      <c r="G3368" s="4" t="inlineStr">
        <is>
          <t>MARN_GTM_BTR1_2024</t>
        </is>
      </c>
      <c r="H3368" s="4" t="inlineStr">
        <is>
          <t>Guatemala. Primer Informe Bienal de Transparencia (BTR1), 2024</t>
        </is>
      </c>
      <c r="I3368" s="4" t="inlineStr">
        <is>
          <t>https://unfccc.int/documents/646195</t>
        </is>
      </c>
      <c r="J3368" s="4" t="inlineStr">
        <is>
          <t>BTR1|2024|T3.22|FOIL|CH4</t>
        </is>
      </c>
      <c r="K3368" s="4" t="inlineStr">
        <is>
          <t>FOIL</t>
        </is>
      </c>
      <c r="L3368" s="4" t="inlineStr">
        <is>
          <t>Fuel oil</t>
        </is>
      </c>
      <c r="M3368" s="4"/>
      <c r="N3368" s="4"/>
      <c r="O3368" s="4"/>
      <c r="P3368" s="4"/>
      <c r="Q3368" s="4" t="inlineStr">
        <is>
          <t>FE_POR_COMBUSTIBLE_BTR1</t>
        </is>
      </c>
      <c r="R3368" s="4"/>
      <c r="S3368" s="4">
        <v>3.0</v>
      </c>
      <c r="T3368" s="4" t="inlineStr">
        <is>
          <t>kg CH4/TJ</t>
        </is>
      </c>
      <c r="U3368" s="4"/>
      <c r="V3368" s="4"/>
      <c r="W3368" s="4" t="inlineStr">
        <is>
          <t>1.A.2</t>
        </is>
      </c>
      <c r="X3368" s="4" t="inlineStr">
        <is>
          <t>Industrias manufactureras y construcción</t>
        </is>
      </c>
      <c r="Y3368" s="4" t="inlineStr">
        <is>
          <t>COMB_FOIL</t>
        </is>
      </c>
      <c r="Z3368" s="4" t="s">
        <v>4018</v>
      </c>
      <c r="AA3368" s="13">
        <v>3.0</v>
      </c>
      <c r="AB3368" s="4" t="s">
        <v>4281</v>
      </c>
      <c r="AC3368" s="4"/>
      <c r="AD3368" s="4"/>
      <c r="AE3368" s="4"/>
      <c r="AF3368" s="4"/>
      <c r="AG3368" s="4"/>
      <c r="AH3368" s="4"/>
      <c r="AI3368" s="4"/>
      <c r="AJ3368" s="4"/>
      <c r="AK3368" s="4"/>
      <c r="AL3368" s="4" t="inlineStr">
        <is>
          <t>BTR1 Guatemala 2024, tabla 3.22, p. 62; fila Fuelóleo residual; gas CH4</t>
        </is>
      </c>
      <c r="AM3368" s="4" t="inlineStr">
        <is>
          <t>Factor por combustible documentado en el BTR1, con origen metodológico IPCC. Se aplica como parámetro constante aproximado a 2018–2024; el año de la clave permite unirlo a la actividad, no representa una nueva observación anual.</t>
        </is>
      </c>
    </row>
    <row r="3369" customFormat="false" ht="46.25" hidden="false" customHeight="false" outlineLevel="0" collapsed="false">
      <c r="A3369" s="4" t="s">
        <v>4270</v>
      </c>
      <c r="B3369" s="4" t="inlineStr">
        <is>
          <t>FE_COMB|2022|1.A.2|COMB_FOIL|N2O</t>
        </is>
      </c>
      <c r="C3369" s="4" t="inlineStr">
        <is>
          <t>2022|1.A.2|COMB_FOIL|N2O</t>
        </is>
      </c>
      <c r="D3369" s="12" t="n">
        <v>2022</v>
      </c>
      <c r="E3369" s="12">
        <v>2024.0</v>
      </c>
      <c r="F3369" s="4" t="inlineStr">
        <is>
          <t>PRX</t>
        </is>
      </c>
      <c r="G3369" s="4" t="inlineStr">
        <is>
          <t>MARN_GTM_BTR1_2024</t>
        </is>
      </c>
      <c r="H3369" s="4" t="inlineStr">
        <is>
          <t>Guatemala. Primer Informe Bienal de Transparencia (BTR1), 2024</t>
        </is>
      </c>
      <c r="I3369" s="4" t="inlineStr">
        <is>
          <t>https://unfccc.int/documents/646195</t>
        </is>
      </c>
      <c r="J3369" s="4" t="inlineStr">
        <is>
          <t>BTR1|2024|T3.22|FOIL|N2O</t>
        </is>
      </c>
      <c r="K3369" s="4" t="inlineStr">
        <is>
          <t>FOIL</t>
        </is>
      </c>
      <c r="L3369" s="4" t="inlineStr">
        <is>
          <t>Fuel oil</t>
        </is>
      </c>
      <c r="M3369" s="4"/>
      <c r="N3369" s="4"/>
      <c r="O3369" s="4"/>
      <c r="P3369" s="4"/>
      <c r="Q3369" s="4" t="inlineStr">
        <is>
          <t>FE_POR_COMBUSTIBLE_BTR1</t>
        </is>
      </c>
      <c r="R3369" s="4"/>
      <c r="S3369" s="4">
        <v>0.6</v>
      </c>
      <c r="T3369" s="4" t="inlineStr">
        <is>
          <t>kg N2O/TJ</t>
        </is>
      </c>
      <c r="U3369" s="4"/>
      <c r="V3369" s="4"/>
      <c r="W3369" s="4" t="inlineStr">
        <is>
          <t>1.A.2</t>
        </is>
      </c>
      <c r="X3369" s="4" t="inlineStr">
        <is>
          <t>Industrias manufactureras y construcción</t>
        </is>
      </c>
      <c r="Y3369" s="4" t="inlineStr">
        <is>
          <t>COMB_FOIL</t>
        </is>
      </c>
      <c r="Z3369" s="4" t="s">
        <v>4048</v>
      </c>
      <c r="AA3369" s="13">
        <v>0.6</v>
      </c>
      <c r="AB3369" s="4" t="s">
        <v>4287</v>
      </c>
      <c r="AC3369" s="4"/>
      <c r="AD3369" s="4"/>
      <c r="AE3369" s="4"/>
      <c r="AF3369" s="4"/>
      <c r="AG3369" s="4"/>
      <c r="AH3369" s="4"/>
      <c r="AI3369" s="4"/>
      <c r="AJ3369" s="4"/>
      <c r="AK3369" s="4"/>
      <c r="AL3369" s="4" t="inlineStr">
        <is>
          <t>BTR1 Guatemala 2024, tabla 3.22, p. 62; fila Fuelóleo residual; gas N2O</t>
        </is>
      </c>
      <c r="AM3369" s="4" t="inlineStr">
        <is>
          <t>Factor por combustible documentado en el BTR1, con origen metodológico IPCC. Se aplica como parámetro constante aproximado a 2018–2024; el año de la clave permite unirlo a la actividad, no representa una nueva observación anual.</t>
        </is>
      </c>
    </row>
    <row r="3370" customFormat="false" ht="57.45" hidden="false" customHeight="false" outlineLevel="0" collapsed="false">
      <c r="A3370" s="4" t="s">
        <v>4270</v>
      </c>
      <c r="B3370" s="4" t="inlineStr">
        <is>
          <t>FE_COMB|2022|1.A.2|COMB_GAS|CO2</t>
        </is>
      </c>
      <c r="C3370" s="4" t="inlineStr">
        <is>
          <t>2022|1.A.2|COMB_GAS|CO2</t>
        </is>
      </c>
      <c r="D3370" s="12" t="n">
        <v>2022</v>
      </c>
      <c r="E3370" s="12">
        <v>2024.0</v>
      </c>
      <c r="F3370" s="4" t="inlineStr">
        <is>
          <t>PRX</t>
        </is>
      </c>
      <c r="G3370" s="4" t="inlineStr">
        <is>
          <t>MARN_GTM_BTR1_2024</t>
        </is>
      </c>
      <c r="H3370" s="4" t="inlineStr">
        <is>
          <t>Guatemala. Primer Informe Bienal de Transparencia (BTR1), 2024</t>
        </is>
      </c>
      <c r="I3370" s="4" t="inlineStr">
        <is>
          <t>https://unfccc.int/documents/646195</t>
        </is>
      </c>
      <c r="J3370" s="4" t="inlineStr">
        <is>
          <t>BTR1|2024|T3.6|GAS|CO2</t>
        </is>
      </c>
      <c r="K3370" s="4" t="inlineStr">
        <is>
          <t>GAS</t>
        </is>
      </c>
      <c r="L3370" s="4" t="inlineStr">
        <is>
          <t>Gasolinas</t>
        </is>
      </c>
      <c r="M3370" s="4"/>
      <c r="N3370" s="4"/>
      <c r="O3370" s="4"/>
      <c r="P3370" s="4"/>
      <c r="Q3370" s="4" t="inlineStr">
        <is>
          <t>FE_POR_COMBUSTIBLE_BTR1</t>
        </is>
      </c>
      <c r="R3370" s="4"/>
      <c r="S3370" s="4">
        <v>69300.0</v>
      </c>
      <c r="T3370" s="4" t="inlineStr">
        <is>
          <t>kg CO2/TJ</t>
        </is>
      </c>
      <c r="U3370" s="4"/>
      <c r="V3370" s="4"/>
      <c r="W3370" s="4" t="inlineStr">
        <is>
          <t>1.A.2</t>
        </is>
      </c>
      <c r="X3370" s="4" t="inlineStr">
        <is>
          <t>Industrias manufactureras y construcción</t>
        </is>
      </c>
      <c r="Y3370" s="4" t="inlineStr">
        <is>
          <t>COMB_GAS</t>
        </is>
      </c>
      <c r="Z3370" s="4" t="s">
        <v>4012</v>
      </c>
      <c r="AA3370" s="13">
        <v>69300.0</v>
      </c>
      <c r="AB3370" s="4" t="s">
        <v>4275</v>
      </c>
      <c r="AC3370" s="4"/>
      <c r="AD3370" s="4"/>
      <c r="AE3370" s="4"/>
      <c r="AF3370" s="4"/>
      <c r="AG3370" s="4"/>
      <c r="AH3370" s="4"/>
      <c r="AI3370" s="4"/>
      <c r="AJ3370" s="4"/>
      <c r="AK3370" s="4"/>
      <c r="AL3370" s="4" t="inlineStr">
        <is>
          <t>BTR1 Guatemala 2024, tabla 3.6, p. 48; fila Gasolina para motores; gas CO2</t>
        </is>
      </c>
      <c r="AM3370" s="4" t="inlineStr">
        <is>
          <t>Factor por combustible documentado en el BTR1, con origen metodológico IPCC. Se aplica como parámetro constante aproximado a 2018–2024; el año de la clave permite unirlo a la actividad, no representa una nueva observación anual.</t>
        </is>
      </c>
    </row>
    <row r="3371" customFormat="false" ht="57.45" hidden="false" customHeight="false" outlineLevel="0" collapsed="false">
      <c r="A3371" s="4" t="s">
        <v>4270</v>
      </c>
      <c r="B3371" s="4" t="inlineStr">
        <is>
          <t>FE_COMB|2022|1.A.2|COMB_GAS|CH4</t>
        </is>
      </c>
      <c r="C3371" s="4" t="inlineStr">
        <is>
          <t>2022|1.A.2|COMB_GAS|CH4</t>
        </is>
      </c>
      <c r="D3371" s="12" t="n">
        <v>2022</v>
      </c>
      <c r="E3371" s="12">
        <v>2024.0</v>
      </c>
      <c r="F3371" s="4" t="inlineStr">
        <is>
          <t>PRX</t>
        </is>
      </c>
      <c r="G3371" s="4" t="inlineStr">
        <is>
          <t>MARN_GTM_BTR1_2024</t>
        </is>
      </c>
      <c r="H3371" s="4" t="inlineStr">
        <is>
          <t>Guatemala. Primer Informe Bienal de Transparencia (BTR1), 2024</t>
        </is>
      </c>
      <c r="I3371" s="4" t="inlineStr">
        <is>
          <t>https://unfccc.int/documents/646195</t>
        </is>
      </c>
      <c r="J3371" s="4" t="inlineStr">
        <is>
          <t>BTR1|2024|T3.22|GAS|CH4</t>
        </is>
      </c>
      <c r="K3371" s="4" t="inlineStr">
        <is>
          <t>GAS</t>
        </is>
      </c>
      <c r="L3371" s="4" t="inlineStr">
        <is>
          <t>Gasolinas</t>
        </is>
      </c>
      <c r="M3371" s="4"/>
      <c r="N3371" s="4"/>
      <c r="O3371" s="4"/>
      <c r="P3371" s="4"/>
      <c r="Q3371" s="4" t="inlineStr">
        <is>
          <t>FE_POR_COMBUSTIBLE_BTR1</t>
        </is>
      </c>
      <c r="R3371" s="4"/>
      <c r="S3371" s="4">
        <v>3.0</v>
      </c>
      <c r="T3371" s="4" t="inlineStr">
        <is>
          <t>kg CH4/TJ</t>
        </is>
      </c>
      <c r="U3371" s="4"/>
      <c r="V3371" s="4"/>
      <c r="W3371" s="4" t="inlineStr">
        <is>
          <t>1.A.2</t>
        </is>
      </c>
      <c r="X3371" s="4" t="inlineStr">
        <is>
          <t>Industrias manufactureras y construcción</t>
        </is>
      </c>
      <c r="Y3371" s="4" t="inlineStr">
        <is>
          <t>COMB_GAS</t>
        </is>
      </c>
      <c r="Z3371" s="4" t="s">
        <v>4018</v>
      </c>
      <c r="AA3371" s="13">
        <v>3.0</v>
      </c>
      <c r="AB3371" s="4" t="s">
        <v>4281</v>
      </c>
      <c r="AC3371" s="4"/>
      <c r="AD3371" s="4"/>
      <c r="AE3371" s="4"/>
      <c r="AF3371" s="4"/>
      <c r="AG3371" s="4"/>
      <c r="AH3371" s="4"/>
      <c r="AI3371" s="4"/>
      <c r="AJ3371" s="4"/>
      <c r="AK3371" s="4"/>
      <c r="AL3371" s="4" t="inlineStr">
        <is>
          <t>BTR1 Guatemala 2024, tabla 3.22, p. 62; fila Gasolina para motores; gas CH4</t>
        </is>
      </c>
      <c r="AM3371" s="4" t="inlineStr">
        <is>
          <t>Factor por combustible documentado en el BTR1, con origen metodológico IPCC. Se aplica como parámetro constante aproximado a 2018–2024; el año de la clave permite unirlo a la actividad, no representa una nueva observación anual.</t>
        </is>
      </c>
    </row>
    <row r="3372" customFormat="false" ht="57.45" hidden="false" customHeight="false" outlineLevel="0" collapsed="false">
      <c r="A3372" s="4" t="s">
        <v>4270</v>
      </c>
      <c r="B3372" s="4" t="inlineStr">
        <is>
          <t>FE_COMB|2022|1.A.2|COMB_GAS|N2O</t>
        </is>
      </c>
      <c r="C3372" s="4" t="inlineStr">
        <is>
          <t>2022|1.A.2|COMB_GAS|N2O</t>
        </is>
      </c>
      <c r="D3372" s="12" t="n">
        <v>2022</v>
      </c>
      <c r="E3372" s="12">
        <v>2024.0</v>
      </c>
      <c r="F3372" s="4" t="inlineStr">
        <is>
          <t>PRX</t>
        </is>
      </c>
      <c r="G3372" s="4" t="inlineStr">
        <is>
          <t>MARN_GTM_BTR1_2024</t>
        </is>
      </c>
      <c r="H3372" s="4" t="inlineStr">
        <is>
          <t>Guatemala. Primer Informe Bienal de Transparencia (BTR1), 2024</t>
        </is>
      </c>
      <c r="I3372" s="4" t="inlineStr">
        <is>
          <t>https://unfccc.int/documents/646195</t>
        </is>
      </c>
      <c r="J3372" s="4" t="inlineStr">
        <is>
          <t>BTR1|2024|T3.22|GAS|N2O</t>
        </is>
      </c>
      <c r="K3372" s="4" t="inlineStr">
        <is>
          <t>GAS</t>
        </is>
      </c>
      <c r="L3372" s="4" t="inlineStr">
        <is>
          <t>Gasolinas</t>
        </is>
      </c>
      <c r="M3372" s="4"/>
      <c r="N3372" s="4"/>
      <c r="O3372" s="4"/>
      <c r="P3372" s="4"/>
      <c r="Q3372" s="4" t="inlineStr">
        <is>
          <t>FE_POR_COMBUSTIBLE_BTR1</t>
        </is>
      </c>
      <c r="R3372" s="4"/>
      <c r="S3372" s="4">
        <v>0.6</v>
      </c>
      <c r="T3372" s="4" t="inlineStr">
        <is>
          <t>kg N2O/TJ</t>
        </is>
      </c>
      <c r="U3372" s="4"/>
      <c r="V3372" s="4"/>
      <c r="W3372" s="4" t="inlineStr">
        <is>
          <t>1.A.2</t>
        </is>
      </c>
      <c r="X3372" s="4" t="inlineStr">
        <is>
          <t>Industrias manufactureras y construcción</t>
        </is>
      </c>
      <c r="Y3372" s="4" t="inlineStr">
        <is>
          <t>COMB_GAS</t>
        </is>
      </c>
      <c r="Z3372" s="4" t="s">
        <v>4048</v>
      </c>
      <c r="AA3372" s="13">
        <v>0.6</v>
      </c>
      <c r="AB3372" s="4" t="s">
        <v>4287</v>
      </c>
      <c r="AC3372" s="4"/>
      <c r="AD3372" s="4"/>
      <c r="AE3372" s="4"/>
      <c r="AF3372" s="4"/>
      <c r="AG3372" s="4"/>
      <c r="AH3372" s="4"/>
      <c r="AI3372" s="4"/>
      <c r="AJ3372" s="4"/>
      <c r="AK3372" s="4"/>
      <c r="AL3372" s="4" t="inlineStr">
        <is>
          <t>BTR1 Guatemala 2024, tabla 3.22, p. 62; fila Gasolina para motores; gas N2O</t>
        </is>
      </c>
      <c r="AM3372" s="4" t="inlineStr">
        <is>
          <t>Factor por combustible documentado en el BTR1, con origen metodológico IPCC. Se aplica como parámetro constante aproximado a 2018–2024; el año de la clave permite unirlo a la actividad, no representa una nueva observación anual.</t>
        </is>
      </c>
    </row>
    <row r="3373" customFormat="false" ht="57.45" hidden="false" customHeight="false" outlineLevel="0" collapsed="false">
      <c r="A3373" s="4" t="s">
        <v>4270</v>
      </c>
      <c r="B3373" s="4" t="inlineStr">
        <is>
          <t>FE_COMB|2022|1.A.2|COMB_GLP|CO2</t>
        </is>
      </c>
      <c r="C3373" s="4" t="inlineStr">
        <is>
          <t>2022|1.A.2|COMB_GLP|CO2</t>
        </is>
      </c>
      <c r="D3373" s="12" t="n">
        <v>2022</v>
      </c>
      <c r="E3373" s="12">
        <v>2024.0</v>
      </c>
      <c r="F3373" s="4" t="inlineStr">
        <is>
          <t>PRX</t>
        </is>
      </c>
      <c r="G3373" s="4" t="inlineStr">
        <is>
          <t>MARN_GTM_BTR1_2024</t>
        </is>
      </c>
      <c r="H3373" s="4" t="inlineStr">
        <is>
          <t>Guatemala. Primer Informe Bienal de Transparencia (BTR1), 2024</t>
        </is>
      </c>
      <c r="I3373" s="4" t="inlineStr">
        <is>
          <t>https://unfccc.int/documents/646195</t>
        </is>
      </c>
      <c r="J3373" s="4" t="inlineStr">
        <is>
          <t>BTR1|2024|T3.6|GLP|CO2</t>
        </is>
      </c>
      <c r="K3373" s="4" t="inlineStr">
        <is>
          <t>GLP</t>
        </is>
      </c>
      <c r="L3373" s="4" t="inlineStr">
        <is>
          <t>Gas licuado de petróleo (GLP)</t>
        </is>
      </c>
      <c r="M3373" s="4"/>
      <c r="N3373" s="4"/>
      <c r="O3373" s="4"/>
      <c r="P3373" s="4"/>
      <c r="Q3373" s="4" t="inlineStr">
        <is>
          <t>FE_POR_COMBUSTIBLE_BTR1</t>
        </is>
      </c>
      <c r="R3373" s="4"/>
      <c r="S3373" s="4">
        <v>63100.0</v>
      </c>
      <c r="T3373" s="4" t="inlineStr">
        <is>
          <t>kg CO2/TJ</t>
        </is>
      </c>
      <c r="U3373" s="4"/>
      <c r="V3373" s="4"/>
      <c r="W3373" s="4" t="inlineStr">
        <is>
          <t>1.A.2</t>
        </is>
      </c>
      <c r="X3373" s="4" t="inlineStr">
        <is>
          <t>Industrias manufactureras y construcción</t>
        </is>
      </c>
      <c r="Y3373" s="4" t="inlineStr">
        <is>
          <t>COMB_GLP</t>
        </is>
      </c>
      <c r="Z3373" s="4" t="s">
        <v>4012</v>
      </c>
      <c r="AA3373" s="13">
        <v>63100.0</v>
      </c>
      <c r="AB3373" s="4" t="s">
        <v>4275</v>
      </c>
      <c r="AC3373" s="4"/>
      <c r="AD3373" s="4"/>
      <c r="AE3373" s="4"/>
      <c r="AF3373" s="4"/>
      <c r="AG3373" s="4"/>
      <c r="AH3373" s="4"/>
      <c r="AI3373" s="4"/>
      <c r="AJ3373" s="4"/>
      <c r="AK3373" s="4"/>
      <c r="AL3373" s="4" t="inlineStr">
        <is>
          <t>BTR1 Guatemala 2024, tabla 3.6, p. 48; fila Gases licuados de petróleo; gas CO2</t>
        </is>
      </c>
      <c r="AM3373" s="4" t="inlineStr">
        <is>
          <t>Factor por combustible documentado en el BTR1, con origen metodológico IPCC. Se aplica como parámetro constante aproximado a 2018–2024; el año de la clave permite unirlo a la actividad, no representa una nueva observación anual.</t>
        </is>
      </c>
    </row>
    <row r="3374" customFormat="false" ht="57.45" hidden="false" customHeight="false" outlineLevel="0" collapsed="false">
      <c r="A3374" s="4" t="s">
        <v>4270</v>
      </c>
      <c r="B3374" s="4" t="inlineStr">
        <is>
          <t>FE_COMB|2022|1.A.2|COMB_GLP|CH4</t>
        </is>
      </c>
      <c r="C3374" s="4" t="inlineStr">
        <is>
          <t>2022|1.A.2|COMB_GLP|CH4</t>
        </is>
      </c>
      <c r="D3374" s="12" t="n">
        <v>2022</v>
      </c>
      <c r="E3374" s="12">
        <v>2024.0</v>
      </c>
      <c r="F3374" s="4" t="inlineStr">
        <is>
          <t>PRX</t>
        </is>
      </c>
      <c r="G3374" s="4" t="inlineStr">
        <is>
          <t>MARN_GTM_BTR1_2024</t>
        </is>
      </c>
      <c r="H3374" s="4" t="inlineStr">
        <is>
          <t>Guatemala. Primer Informe Bienal de Transparencia (BTR1), 2024</t>
        </is>
      </c>
      <c r="I3374" s="4" t="inlineStr">
        <is>
          <t>https://unfccc.int/documents/646195</t>
        </is>
      </c>
      <c r="J3374" s="4" t="inlineStr">
        <is>
          <t>BTR1|2024|T3.22|GLP|CH4</t>
        </is>
      </c>
      <c r="K3374" s="4" t="inlineStr">
        <is>
          <t>GLP</t>
        </is>
      </c>
      <c r="L3374" s="4" t="inlineStr">
        <is>
          <t>Gas licuado de petróleo (GLP)</t>
        </is>
      </c>
      <c r="M3374" s="4"/>
      <c r="N3374" s="4"/>
      <c r="O3374" s="4"/>
      <c r="P3374" s="4"/>
      <c r="Q3374" s="4" t="inlineStr">
        <is>
          <t>FE_POR_COMBUSTIBLE_BTR1</t>
        </is>
      </c>
      <c r="R3374" s="4"/>
      <c r="S3374" s="4">
        <v>1.0</v>
      </c>
      <c r="T3374" s="4" t="inlineStr">
        <is>
          <t>kg CH4/TJ</t>
        </is>
      </c>
      <c r="U3374" s="4"/>
      <c r="V3374" s="4"/>
      <c r="W3374" s="4" t="inlineStr">
        <is>
          <t>1.A.2</t>
        </is>
      </c>
      <c r="X3374" s="4" t="inlineStr">
        <is>
          <t>Industrias manufactureras y construcción</t>
        </is>
      </c>
      <c r="Y3374" s="4" t="inlineStr">
        <is>
          <t>COMB_GLP</t>
        </is>
      </c>
      <c r="Z3374" s="4" t="s">
        <v>4018</v>
      </c>
      <c r="AA3374" s="13">
        <v>1.0</v>
      </c>
      <c r="AB3374" s="4" t="s">
        <v>4281</v>
      </c>
      <c r="AC3374" s="4"/>
      <c r="AD3374" s="4"/>
      <c r="AE3374" s="4"/>
      <c r="AF3374" s="4"/>
      <c r="AG3374" s="4"/>
      <c r="AH3374" s="4"/>
      <c r="AI3374" s="4"/>
      <c r="AJ3374" s="4"/>
      <c r="AK3374" s="4"/>
      <c r="AL3374" s="4" t="inlineStr">
        <is>
          <t>BTR1 Guatemala 2024, tabla 3.22, p. 62; fila Gases licuados de petróleo; gas CH4</t>
        </is>
      </c>
      <c r="AM3374" s="4" t="inlineStr">
        <is>
          <t>Factor por combustible documentado en el BTR1, con origen metodológico IPCC. Se aplica como parámetro constante aproximado a 2018–2024; el año de la clave permite unirlo a la actividad, no representa una nueva observación anual.</t>
        </is>
      </c>
    </row>
    <row r="3375" customFormat="false" ht="57.45" hidden="false" customHeight="false" outlineLevel="0" collapsed="false">
      <c r="A3375" s="4" t="s">
        <v>4270</v>
      </c>
      <c r="B3375" s="4" t="inlineStr">
        <is>
          <t>FE_COMB|2022|1.A.2|COMB_GLP|N2O</t>
        </is>
      </c>
      <c r="C3375" s="4" t="inlineStr">
        <is>
          <t>2022|1.A.2|COMB_GLP|N2O</t>
        </is>
      </c>
      <c r="D3375" s="12" t="n">
        <v>2022</v>
      </c>
      <c r="E3375" s="12">
        <v>2024.0</v>
      </c>
      <c r="F3375" s="4" t="inlineStr">
        <is>
          <t>PRX</t>
        </is>
      </c>
      <c r="G3375" s="4" t="inlineStr">
        <is>
          <t>MARN_GTM_BTR1_2024</t>
        </is>
      </c>
      <c r="H3375" s="4" t="inlineStr">
        <is>
          <t>Guatemala. Primer Informe Bienal de Transparencia (BTR1), 2024</t>
        </is>
      </c>
      <c r="I3375" s="4" t="inlineStr">
        <is>
          <t>https://unfccc.int/documents/646195</t>
        </is>
      </c>
      <c r="J3375" s="4" t="inlineStr">
        <is>
          <t>BTR1|2024|T3.22|GLP|N2O</t>
        </is>
      </c>
      <c r="K3375" s="4" t="inlineStr">
        <is>
          <t>GLP</t>
        </is>
      </c>
      <c r="L3375" s="4" t="inlineStr">
        <is>
          <t>Gas licuado de petróleo (GLP)</t>
        </is>
      </c>
      <c r="M3375" s="4"/>
      <c r="N3375" s="4"/>
      <c r="O3375" s="4"/>
      <c r="P3375" s="4"/>
      <c r="Q3375" s="4" t="inlineStr">
        <is>
          <t>FE_POR_COMBUSTIBLE_BTR1</t>
        </is>
      </c>
      <c r="R3375" s="4"/>
      <c r="S3375" s="4">
        <v>0.1</v>
      </c>
      <c r="T3375" s="4" t="inlineStr">
        <is>
          <t>kg N2O/TJ</t>
        </is>
      </c>
      <c r="U3375" s="4"/>
      <c r="V3375" s="4"/>
      <c r="W3375" s="4" t="inlineStr">
        <is>
          <t>1.A.2</t>
        </is>
      </c>
      <c r="X3375" s="4" t="inlineStr">
        <is>
          <t>Industrias manufactureras y construcción</t>
        </is>
      </c>
      <c r="Y3375" s="4" t="inlineStr">
        <is>
          <t>COMB_GLP</t>
        </is>
      </c>
      <c r="Z3375" s="4" t="s">
        <v>4048</v>
      </c>
      <c r="AA3375" s="13">
        <v>0.1</v>
      </c>
      <c r="AB3375" s="4" t="s">
        <v>4287</v>
      </c>
      <c r="AC3375" s="4"/>
      <c r="AD3375" s="4"/>
      <c r="AE3375" s="4"/>
      <c r="AF3375" s="4"/>
      <c r="AG3375" s="4"/>
      <c r="AH3375" s="4"/>
      <c r="AI3375" s="4"/>
      <c r="AJ3375" s="4"/>
      <c r="AK3375" s="4"/>
      <c r="AL3375" s="4" t="inlineStr">
        <is>
          <t>BTR1 Guatemala 2024, tabla 3.22, p. 62; fila Gases licuados de petróleo; gas N2O</t>
        </is>
      </c>
      <c r="AM3375" s="4" t="inlineStr">
        <is>
          <t>Factor por combustible documentado en el BTR1, con origen metodológico IPCC. Se aplica como parámetro constante aproximado a 2018–2024; el año de la clave permite unirlo a la actividad, no representa una nueva observación anual.</t>
        </is>
      </c>
    </row>
    <row r="3376" customFormat="false" ht="57.45" hidden="false" customHeight="false" outlineLevel="0" collapsed="false">
      <c r="A3376" s="4" t="s">
        <v>4270</v>
      </c>
      <c r="B3376" s="4" t="inlineStr">
        <is>
          <t>FE_COMB|2022|1.A.2|COMB_KER|CO2</t>
        </is>
      </c>
      <c r="C3376" s="4" t="inlineStr">
        <is>
          <t>2022|1.A.2|COMB_KER|CO2</t>
        </is>
      </c>
      <c r="D3376" s="12" t="n">
        <v>2022</v>
      </c>
      <c r="E3376" s="12">
        <v>2024.0</v>
      </c>
      <c r="F3376" s="4" t="inlineStr">
        <is>
          <t>PRX</t>
        </is>
      </c>
      <c r="G3376" s="4" t="inlineStr">
        <is>
          <t>MARN_GTM_BTR1_2024</t>
        </is>
      </c>
      <c r="H3376" s="4" t="inlineStr">
        <is>
          <t>Guatemala. Primer Informe Bienal de Transparencia (BTR1), 2024</t>
        </is>
      </c>
      <c r="I3376" s="4" t="inlineStr">
        <is>
          <t>https://unfccc.int/documents/646195</t>
        </is>
      </c>
      <c r="J3376" s="4" t="inlineStr">
        <is>
          <t>BTR1|2024|T3.6|KER|CO2</t>
        </is>
      </c>
      <c r="K3376" s="4" t="inlineStr">
        <is>
          <t>KER</t>
        </is>
      </c>
      <c r="L3376" s="4" t="inlineStr">
        <is>
          <t>Keroseno</t>
        </is>
      </c>
      <c r="M3376" s="4"/>
      <c r="N3376" s="4"/>
      <c r="O3376" s="4"/>
      <c r="P3376" s="4"/>
      <c r="Q3376" s="4" t="inlineStr">
        <is>
          <t>FE_POR_COMBUSTIBLE_BTR1</t>
        </is>
      </c>
      <c r="R3376" s="4"/>
      <c r="S3376" s="4">
        <v>71900.0</v>
      </c>
      <c r="T3376" s="4" t="inlineStr">
        <is>
          <t>kg CO2/TJ</t>
        </is>
      </c>
      <c r="U3376" s="4"/>
      <c r="V3376" s="4"/>
      <c r="W3376" s="4" t="inlineStr">
        <is>
          <t>1.A.2</t>
        </is>
      </c>
      <c r="X3376" s="4" t="inlineStr">
        <is>
          <t>Industrias manufactureras y construcción</t>
        </is>
      </c>
      <c r="Y3376" s="4" t="inlineStr">
        <is>
          <t>COMB_KER</t>
        </is>
      </c>
      <c r="Z3376" s="4" t="s">
        <v>4012</v>
      </c>
      <c r="AA3376" s="13">
        <v>71900.0</v>
      </c>
      <c r="AB3376" s="4" t="s">
        <v>4275</v>
      </c>
      <c r="AC3376" s="4"/>
      <c r="AD3376" s="4"/>
      <c r="AE3376" s="4"/>
      <c r="AF3376" s="4"/>
      <c r="AG3376" s="4"/>
      <c r="AH3376" s="4"/>
      <c r="AI3376" s="4"/>
      <c r="AJ3376" s="4"/>
      <c r="AK3376" s="4"/>
      <c r="AL3376" s="4" t="inlineStr">
        <is>
          <t>BTR1 Guatemala 2024, tabla 3.6, p. 48; fila Otro queroseno; gas CO2</t>
        </is>
      </c>
      <c r="AM3376" s="4" t="inlineStr">
        <is>
          <t>Factor por combustible documentado en el BTR1, con origen metodológico IPCC. Se aplica como parámetro constante aproximado a 2018–2024; el año de la clave permite unirlo a la actividad, no representa una nueva observación anual.</t>
        </is>
      </c>
    </row>
    <row r="3377" customFormat="false" ht="57.45" hidden="false" customHeight="false" outlineLevel="0" collapsed="false">
      <c r="A3377" s="4" t="s">
        <v>4270</v>
      </c>
      <c r="B3377" s="4" t="inlineStr">
        <is>
          <t>FE_COMB|2022|1.A.2|COMB_KER|CH4</t>
        </is>
      </c>
      <c r="C3377" s="4" t="inlineStr">
        <is>
          <t>2022|1.A.2|COMB_KER|CH4</t>
        </is>
      </c>
      <c r="D3377" s="12" t="n">
        <v>2022</v>
      </c>
      <c r="E3377" s="12">
        <v>2024.0</v>
      </c>
      <c r="F3377" s="4" t="inlineStr">
        <is>
          <t>PRX</t>
        </is>
      </c>
      <c r="G3377" s="4" t="inlineStr">
        <is>
          <t>MARN_GTM_BTR1_2024</t>
        </is>
      </c>
      <c r="H3377" s="4" t="inlineStr">
        <is>
          <t>Guatemala. Primer Informe Bienal de Transparencia (BTR1), 2024</t>
        </is>
      </c>
      <c r="I3377" s="4" t="inlineStr">
        <is>
          <t>https://unfccc.int/documents/646195</t>
        </is>
      </c>
      <c r="J3377" s="4" t="inlineStr">
        <is>
          <t>BTR1|2024|T3.22|KER|CH4</t>
        </is>
      </c>
      <c r="K3377" s="4" t="inlineStr">
        <is>
          <t>KER</t>
        </is>
      </c>
      <c r="L3377" s="4" t="inlineStr">
        <is>
          <t>Keroseno</t>
        </is>
      </c>
      <c r="M3377" s="4"/>
      <c r="N3377" s="4"/>
      <c r="O3377" s="4"/>
      <c r="P3377" s="4"/>
      <c r="Q3377" s="4" t="inlineStr">
        <is>
          <t>FE_POR_COMBUSTIBLE_BTR1</t>
        </is>
      </c>
      <c r="R3377" s="4"/>
      <c r="S3377" s="4">
        <v>3.0</v>
      </c>
      <c r="T3377" s="4" t="inlineStr">
        <is>
          <t>kg CH4/TJ</t>
        </is>
      </c>
      <c r="U3377" s="4"/>
      <c r="V3377" s="4"/>
      <c r="W3377" s="4" t="inlineStr">
        <is>
          <t>1.A.2</t>
        </is>
      </c>
      <c r="X3377" s="4" t="inlineStr">
        <is>
          <t>Industrias manufactureras y construcción</t>
        </is>
      </c>
      <c r="Y3377" s="4" t="inlineStr">
        <is>
          <t>COMB_KER</t>
        </is>
      </c>
      <c r="Z3377" s="4" t="s">
        <v>4018</v>
      </c>
      <c r="AA3377" s="13">
        <v>3.0</v>
      </c>
      <c r="AB3377" s="4" t="s">
        <v>4281</v>
      </c>
      <c r="AC3377" s="4"/>
      <c r="AD3377" s="4"/>
      <c r="AE3377" s="4"/>
      <c r="AF3377" s="4"/>
      <c r="AG3377" s="4"/>
      <c r="AH3377" s="4"/>
      <c r="AI3377" s="4"/>
      <c r="AJ3377" s="4"/>
      <c r="AK3377" s="4"/>
      <c r="AL3377" s="4" t="inlineStr">
        <is>
          <t>BTR1 Guatemala 2024, tabla 3.22, p. 62; fila Otro queroseno; gas CH4</t>
        </is>
      </c>
      <c r="AM3377" s="4" t="inlineStr">
        <is>
          <t>Factor por combustible documentado en el BTR1, con origen metodológico IPCC. Se aplica como parámetro constante aproximado a 2018–2024; el año de la clave permite unirlo a la actividad, no representa una nueva observación anual.</t>
        </is>
      </c>
    </row>
    <row r="3378" customFormat="false" ht="57.45" hidden="false" customHeight="false" outlineLevel="0" collapsed="false">
      <c r="A3378" s="4" t="s">
        <v>4270</v>
      </c>
      <c r="B3378" s="4" t="inlineStr">
        <is>
          <t>FE_COMB|2022|1.A.2|COMB_KER|N2O</t>
        </is>
      </c>
      <c r="C3378" s="4" t="inlineStr">
        <is>
          <t>2022|1.A.2|COMB_KER|N2O</t>
        </is>
      </c>
      <c r="D3378" s="12" t="n">
        <v>2022</v>
      </c>
      <c r="E3378" s="12">
        <v>2024.0</v>
      </c>
      <c r="F3378" s="4" t="inlineStr">
        <is>
          <t>PRX</t>
        </is>
      </c>
      <c r="G3378" s="4" t="inlineStr">
        <is>
          <t>MARN_GTM_BTR1_2024</t>
        </is>
      </c>
      <c r="H3378" s="4" t="inlineStr">
        <is>
          <t>Guatemala. Primer Informe Bienal de Transparencia (BTR1), 2024</t>
        </is>
      </c>
      <c r="I3378" s="4" t="inlineStr">
        <is>
          <t>https://unfccc.int/documents/646195</t>
        </is>
      </c>
      <c r="J3378" s="4" t="inlineStr">
        <is>
          <t>BTR1|2024|T3.22|KER|N2O</t>
        </is>
      </c>
      <c r="K3378" s="4" t="inlineStr">
        <is>
          <t>KER</t>
        </is>
      </c>
      <c r="L3378" s="4" t="inlineStr">
        <is>
          <t>Keroseno</t>
        </is>
      </c>
      <c r="M3378" s="4"/>
      <c r="N3378" s="4"/>
      <c r="O3378" s="4"/>
      <c r="P3378" s="4"/>
      <c r="Q3378" s="4" t="inlineStr">
        <is>
          <t>FE_POR_COMBUSTIBLE_BTR1</t>
        </is>
      </c>
      <c r="R3378" s="4"/>
      <c r="S3378" s="4">
        <v>0.6</v>
      </c>
      <c r="T3378" s="4" t="inlineStr">
        <is>
          <t>kg N2O/TJ</t>
        </is>
      </c>
      <c r="U3378" s="4"/>
      <c r="V3378" s="4"/>
      <c r="W3378" s="4" t="inlineStr">
        <is>
          <t>1.A.2</t>
        </is>
      </c>
      <c r="X3378" s="4" t="inlineStr">
        <is>
          <t>Industrias manufactureras y construcción</t>
        </is>
      </c>
      <c r="Y3378" s="4" t="inlineStr">
        <is>
          <t>COMB_KER</t>
        </is>
      </c>
      <c r="Z3378" s="4" t="s">
        <v>4048</v>
      </c>
      <c r="AA3378" s="13">
        <v>0.6</v>
      </c>
      <c r="AB3378" s="4" t="s">
        <v>4287</v>
      </c>
      <c r="AC3378" s="4"/>
      <c r="AD3378" s="4"/>
      <c r="AE3378" s="4"/>
      <c r="AF3378" s="4"/>
      <c r="AG3378" s="4"/>
      <c r="AH3378" s="4"/>
      <c r="AI3378" s="4"/>
      <c r="AJ3378" s="4"/>
      <c r="AK3378" s="4"/>
      <c r="AL3378" s="4" t="inlineStr">
        <is>
          <t>BTR1 Guatemala 2024, tabla 3.22, p. 62; fila Otro queroseno; gas N2O</t>
        </is>
      </c>
      <c r="AM3378" s="4" t="inlineStr">
        <is>
          <t>Factor por combustible documentado en el BTR1, con origen metodológico IPCC. Se aplica como parámetro constante aproximado a 2018–2024; el año de la clave permite unirlo a la actividad, no representa una nueva observación anual.</t>
        </is>
      </c>
    </row>
    <row r="3379" customFormat="false" ht="57.45" hidden="false" customHeight="false" outlineLevel="0" collapsed="false">
      <c r="A3379" s="4" t="s">
        <v>4270</v>
      </c>
      <c r="B3379" s="4" t="inlineStr">
        <is>
          <t>FE_COMB|2022|1.A.3|COMB_DOIL|CO2</t>
        </is>
      </c>
      <c r="C3379" s="4" t="inlineStr">
        <is>
          <t>2022|1.A.3|COMB_DOIL|CO2</t>
        </is>
      </c>
      <c r="D3379" s="12" t="n">
        <v>2022</v>
      </c>
      <c r="E3379" s="12" t="n">
        <v>2022</v>
      </c>
      <c r="F3379" s="4" t="inlineStr">
        <is>
          <t>OBS</t>
        </is>
      </c>
      <c r="G3379" s="4" t="inlineStr">
        <is>
          <t>UNFCCC_GTM_CRT_2024</t>
        </is>
      </c>
      <c r="H3379" s="4" t="inlineStr">
        <is>
          <t>Guatemala. 2024 Common Reporting Table (CRT), V0.3</t>
        </is>
      </c>
      <c r="I3379" s="4" t="inlineStr">
        <is>
          <t>https://unfccc.int/documents/646206</t>
        </is>
      </c>
      <c r="J3379" s="4" t="inlineStr">
        <is>
          <t>CRT1A|2022|1.A.3|COMB_DOIL|CO2|FILAS:22</t>
        </is>
      </c>
      <c r="K3379" s="4" t="inlineStr">
        <is>
          <t>DOIL</t>
        </is>
      </c>
      <c r="L3379" s="4" t="inlineStr">
        <is>
          <t>Diésel / gas oil</t>
        </is>
      </c>
      <c r="M3379" s="4"/>
      <c r="N3379" s="4"/>
      <c r="O3379" s="4"/>
      <c r="P3379" s="4"/>
      <c r="Q3379" s="4" t="inlineStr">
        <is>
          <t>CRT_ANUAL_COMBUSTIBLE_ESPECIFICO</t>
        </is>
      </c>
      <c r="R3379" s="4"/>
      <c r="S3379" s="4"/>
      <c r="T3379" s="4"/>
      <c r="U3379" s="4">
        <v>74649.8906</v>
      </c>
      <c r="V3379" s="4"/>
      <c r="W3379" s="4" t="inlineStr">
        <is>
          <t>1.A.3</t>
        </is>
      </c>
      <c r="X3379" s="4" t="inlineStr">
        <is>
          <t>Transporte</t>
        </is>
      </c>
      <c r="Y3379" s="4" t="inlineStr">
        <is>
          <t>COMB_DOIL</t>
        </is>
      </c>
      <c r="Z3379" s="4" t="s">
        <v>4012</v>
      </c>
      <c r="AA3379" s="13">
        <v>74100.00008760898</v>
      </c>
      <c r="AB3379" s="4" t="s">
        <v>4275</v>
      </c>
      <c r="AC3379" s="4"/>
      <c r="AD3379" s="4">
        <v>5531.5569</v>
      </c>
      <c r="AE3379" s="4"/>
      <c r="AF3379" s="4"/>
      <c r="AG3379" s="4"/>
      <c r="AH3379" s="4"/>
      <c r="AI3379" s="4"/>
      <c r="AJ3379" s="4"/>
      <c r="AK3379" s="4"/>
      <c r="AL3379" s="4" t="inlineStr">
        <is>
          <t>GTM-CRT-2024-V0.3-2022-20250304-084824_started.xlsx; Table1.A(a)s3; AD=C22; EM=H22; IEF=E22</t>
        </is>
      </c>
      <c r="AM3379" s="4" t="inlineStr">
        <is>
          <t>Combustible específico en la categoría reportada CRT 1.A.3.b. BTR1 pp. 64–65 indica que la categoría incorpora navegación no desagregable; no interpretarla como medición exclusivamente vial. Aplicar a BEN-TR conserva esa cobertura reportada. Fórmula: 1000000*(H22)/(C22). SHA-256 CRT: 55ea0ebf9c029a3bbd56aa5b6faff643d67df4d0b3987e778786d73d18c4d22e.</t>
        </is>
      </c>
    </row>
    <row r="3380" customFormat="false" ht="57.45" hidden="false" customHeight="false" outlineLevel="0" collapsed="false">
      <c r="A3380" s="4" t="s">
        <v>4270</v>
      </c>
      <c r="B3380" s="4" t="inlineStr">
        <is>
          <t>FE_COMB|2022|1.A.3|COMB_DOIL|CH4</t>
        </is>
      </c>
      <c r="C3380" s="4" t="inlineStr">
        <is>
          <t>2022|1.A.3|COMB_DOIL|CH4</t>
        </is>
      </c>
      <c r="D3380" s="12" t="n">
        <v>2022</v>
      </c>
      <c r="E3380" s="12" t="n">
        <v>2022</v>
      </c>
      <c r="F3380" s="4" t="inlineStr">
        <is>
          <t>OBS</t>
        </is>
      </c>
      <c r="G3380" s="4" t="inlineStr">
        <is>
          <t>UNFCCC_GTM_CRT_2024</t>
        </is>
      </c>
      <c r="H3380" s="4" t="inlineStr">
        <is>
          <t>Guatemala. 2024 Common Reporting Table (CRT), V0.3</t>
        </is>
      </c>
      <c r="I3380" s="4" t="inlineStr">
        <is>
          <t>https://unfccc.int/documents/646206</t>
        </is>
      </c>
      <c r="J3380" s="4" t="inlineStr">
        <is>
          <t>CRT1A|2022|1.A.3|COMB_DOIL|CH4|FILAS:22</t>
        </is>
      </c>
      <c r="K3380" s="4" t="inlineStr">
        <is>
          <t>DOIL</t>
        </is>
      </c>
      <c r="L3380" s="4" t="inlineStr">
        <is>
          <t>Diésel / gas oil</t>
        </is>
      </c>
      <c r="M3380" s="4"/>
      <c r="N3380" s="4"/>
      <c r="O3380" s="4"/>
      <c r="P3380" s="4"/>
      <c r="Q3380" s="4" t="inlineStr">
        <is>
          <t>CRT_ANUAL_COMBUSTIBLE_ESPECIFICO</t>
        </is>
      </c>
      <c r="R3380" s="4"/>
      <c r="S3380" s="4"/>
      <c r="T3380" s="4"/>
      <c r="U3380" s="4">
        <v>74649.8906</v>
      </c>
      <c r="V3380" s="4"/>
      <c r="W3380" s="4" t="inlineStr">
        <is>
          <t>1.A.3</t>
        </is>
      </c>
      <c r="X3380" s="4" t="inlineStr">
        <is>
          <t>Transporte</t>
        </is>
      </c>
      <c r="Y3380" s="4" t="inlineStr">
        <is>
          <t>COMB_DOIL</t>
        </is>
      </c>
      <c r="Z3380" s="4" t="s">
        <v>4018</v>
      </c>
      <c r="AA3380" s="13">
        <v>3.8999999552578046</v>
      </c>
      <c r="AB3380" s="4" t="s">
        <v>4281</v>
      </c>
      <c r="AC3380" s="4"/>
      <c r="AD3380" s="4">
        <v>0.29113457</v>
      </c>
      <c r="AE3380" s="4"/>
      <c r="AF3380" s="4"/>
      <c r="AG3380" s="4"/>
      <c r="AH3380" s="4"/>
      <c r="AI3380" s="4"/>
      <c r="AJ3380" s="4"/>
      <c r="AK3380" s="4"/>
      <c r="AL3380" s="4" t="inlineStr">
        <is>
          <t>GTM-CRT-2024-V0.3-2022-20250304-084824_started.xlsx; Table1.A(a)s3; AD=C22; EM=I22; IEF=F22</t>
        </is>
      </c>
      <c r="AM3380" s="4" t="inlineStr">
        <is>
          <t>Combustible específico en la categoría reportada CRT 1.A.3.b. BTR1 pp. 64–65 indica que la categoría incorpora navegación no desagregable; no interpretarla como medición exclusivamente vial. Aplicar a BEN-TR conserva esa cobertura reportada. Fórmula: 1000000*(I22)/(C22). SHA-256 CRT: 55ea0ebf9c029a3bbd56aa5b6faff643d67df4d0b3987e778786d73d18c4d22e.</t>
        </is>
      </c>
    </row>
    <row r="3381" customFormat="false" ht="57.45" hidden="false" customHeight="false" outlineLevel="0" collapsed="false">
      <c r="A3381" s="4" t="s">
        <v>4270</v>
      </c>
      <c r="B3381" s="4" t="inlineStr">
        <is>
          <t>FE_COMB|2022|1.A.3|COMB_DOIL|N2O</t>
        </is>
      </c>
      <c r="C3381" s="4" t="inlineStr">
        <is>
          <t>2022|1.A.3|COMB_DOIL|N2O</t>
        </is>
      </c>
      <c r="D3381" s="12" t="n">
        <v>2022</v>
      </c>
      <c r="E3381" s="12" t="n">
        <v>2022</v>
      </c>
      <c r="F3381" s="4" t="inlineStr">
        <is>
          <t>OBS</t>
        </is>
      </c>
      <c r="G3381" s="4" t="inlineStr">
        <is>
          <t>UNFCCC_GTM_CRT_2024</t>
        </is>
      </c>
      <c r="H3381" s="4" t="inlineStr">
        <is>
          <t>Guatemala. 2024 Common Reporting Table (CRT), V0.3</t>
        </is>
      </c>
      <c r="I3381" s="4" t="inlineStr">
        <is>
          <t>https://unfccc.int/documents/646206</t>
        </is>
      </c>
      <c r="J3381" s="4" t="inlineStr">
        <is>
          <t>CRT1A|2022|1.A.3|COMB_DOIL|N2O|FILAS:22</t>
        </is>
      </c>
      <c r="K3381" s="4" t="inlineStr">
        <is>
          <t>DOIL</t>
        </is>
      </c>
      <c r="L3381" s="4" t="inlineStr">
        <is>
          <t>Diésel / gas oil</t>
        </is>
      </c>
      <c r="M3381" s="4"/>
      <c r="N3381" s="4"/>
      <c r="O3381" s="4"/>
      <c r="P3381" s="4"/>
      <c r="Q3381" s="4" t="inlineStr">
        <is>
          <t>CRT_ANUAL_COMBUSTIBLE_ESPECIFICO</t>
        </is>
      </c>
      <c r="R3381" s="4"/>
      <c r="S3381" s="4"/>
      <c r="T3381" s="4"/>
      <c r="U3381" s="4">
        <v>74649.8906</v>
      </c>
      <c r="V3381" s="4"/>
      <c r="W3381" s="4" t="inlineStr">
        <is>
          <t>1.A.3</t>
        </is>
      </c>
      <c r="X3381" s="4" t="inlineStr">
        <is>
          <t>Transporte</t>
        </is>
      </c>
      <c r="Y3381" s="4" t="inlineStr">
        <is>
          <t>COMB_DOIL</t>
        </is>
      </c>
      <c r="Z3381" s="4" t="s">
        <v>4048</v>
      </c>
      <c r="AA3381" s="13">
        <v>3.8999999552578046</v>
      </c>
      <c r="AB3381" s="4" t="s">
        <v>4287</v>
      </c>
      <c r="AC3381" s="4"/>
      <c r="AD3381" s="4">
        <v>0.29113457</v>
      </c>
      <c r="AE3381" s="4"/>
      <c r="AF3381" s="4"/>
      <c r="AG3381" s="4"/>
      <c r="AH3381" s="4"/>
      <c r="AI3381" s="4"/>
      <c r="AJ3381" s="4"/>
      <c r="AK3381" s="4"/>
      <c r="AL3381" s="4" t="inlineStr">
        <is>
          <t>GTM-CRT-2024-V0.3-2022-20250304-084824_started.xlsx; Table1.A(a)s3; AD=C22; EM=J22; IEF=G22</t>
        </is>
      </c>
      <c r="AM3381" s="4" t="inlineStr">
        <is>
          <t>Combustible específico en la categoría reportada CRT 1.A.3.b. BTR1 pp. 64–65 indica que la categoría incorpora navegación no desagregable; no interpretarla como medición exclusivamente vial. Aplicar a BEN-TR conserva esa cobertura reportada. Fórmula: 1000000*(J22)/(C22). SHA-256 CRT: 55ea0ebf9c029a3bbd56aa5b6faff643d67df4d0b3987e778786d73d18c4d22e.</t>
        </is>
      </c>
    </row>
    <row r="3382" customFormat="false" ht="57.45" hidden="false" customHeight="false" outlineLevel="0" collapsed="false">
      <c r="A3382" s="4" t="s">
        <v>4270</v>
      </c>
      <c r="B3382" s="4" t="inlineStr">
        <is>
          <t>FE_COMB|2022|1.A.3|COMB_GAS|CO2</t>
        </is>
      </c>
      <c r="C3382" s="4" t="inlineStr">
        <is>
          <t>2022|1.A.3|COMB_GAS|CO2</t>
        </is>
      </c>
      <c r="D3382" s="12" t="n">
        <v>2022</v>
      </c>
      <c r="E3382" s="12" t="n">
        <v>2022</v>
      </c>
      <c r="F3382" s="4" t="inlineStr">
        <is>
          <t>PRX</t>
        </is>
      </c>
      <c r="G3382" s="4" t="inlineStr">
        <is>
          <t>UNFCCC_GTM_CRT_2024</t>
        </is>
      </c>
      <c r="H3382" s="4" t="inlineStr">
        <is>
          <t>Guatemala. 2024 Common Reporting Table (CRT), V0.3</t>
        </is>
      </c>
      <c r="I3382" s="4" t="inlineStr">
        <is>
          <t>https://unfccc.int/documents/646206</t>
        </is>
      </c>
      <c r="J3382" s="4" t="inlineStr">
        <is>
          <t>CRT1A|2022|1.A.3|COMB_GAS|CO2|FILAS:17+21</t>
        </is>
      </c>
      <c r="K3382" s="4" t="inlineStr">
        <is>
          <t>GAS</t>
        </is>
      </c>
      <c r="L3382" s="4" t="inlineStr">
        <is>
          <t>Gasolinas</t>
        </is>
      </c>
      <c r="M3382" s="4"/>
      <c r="N3382" s="4"/>
      <c r="O3382" s="4"/>
      <c r="P3382" s="4"/>
      <c r="Q3382" s="4" t="inlineStr">
        <is>
          <t>CRT_ANUAL_SUMA_EMISIONES_DIV_SUMA_ACTIVIDAD</t>
        </is>
      </c>
      <c r="R3382" s="4"/>
      <c r="S3382" s="4"/>
      <c r="T3382" s="4"/>
      <c r="U3382" s="4">
        <v>79655.2259599</v>
      </c>
      <c r="V3382" s="4"/>
      <c r="W3382" s="4" t="s">
        <v>3412</v>
      </c>
      <c r="X3382" s="4" t="inlineStr">
        <is>
          <t>Transporte</t>
        </is>
      </c>
      <c r="Y3382" s="4" t="inlineStr">
        <is>
          <t>COMB_GAS</t>
        </is>
      </c>
      <c r="Z3382" s="4" t="s">
        <v>4012</v>
      </c>
      <c r="AA3382" s="13">
        <v>69300.69128130974</v>
      </c>
      <c r="AB3382" s="4" t="s">
        <v>4275</v>
      </c>
      <c r="AC3382" s="4"/>
      <c r="AD3382" s="4">
        <v>5520.16222319</v>
      </c>
      <c r="AE3382" s="4"/>
      <c r="AF3382" s="4"/>
      <c r="AG3382" s="4"/>
      <c r="AH3382" s="4"/>
      <c r="AI3382" s="4"/>
      <c r="AJ3382" s="4"/>
      <c r="AK3382" s="4"/>
      <c r="AL3382" s="4" t="inlineStr">
        <is>
          <t>GTM-CRT-2024-V0.3-2022-20250304-084824_started.xlsx; Table1.A(a)s3; AD=C17+C21; EM=H17+H21; IEF=E17+E21</t>
        </is>
      </c>
      <c r="AM3382" s="4" t="inlineStr">
        <is>
          <t>Mezcla anual CRT de gasolina de aviación y gasolina de motor. BTR1 p. 66 confirma que GAS del BEN reúne ambos usos. Aplicar a GAS-TR supone representatividad de esa mezcla anual; no es un factor exclusivamente vial ni de un producto químicamente homogéneo. Fórmula: 1000000*(H17+H21)/(C17+C21). SHA-256 CRT: 55ea0ebf9c029a3bbd56aa5b6faff643d67df4d0b3987e778786d73d18c4d22e. El cociente es una derivación CAL; su aplicación a la mezcla GAS-TR se identifica PRX.</t>
        </is>
      </c>
    </row>
    <row r="3383" customFormat="false" ht="57.45" hidden="false" customHeight="false" outlineLevel="0" collapsed="false">
      <c r="A3383" s="4" t="s">
        <v>4270</v>
      </c>
      <c r="B3383" s="4" t="inlineStr">
        <is>
          <t>FE_COMB|2022|1.A.3|COMB_GAS|CH4</t>
        </is>
      </c>
      <c r="C3383" s="4" t="inlineStr">
        <is>
          <t>2022|1.A.3|COMB_GAS|CH4</t>
        </is>
      </c>
      <c r="D3383" s="12" t="n">
        <v>2022</v>
      </c>
      <c r="E3383" s="12" t="n">
        <v>2022</v>
      </c>
      <c r="F3383" s="4" t="inlineStr">
        <is>
          <t>PRX</t>
        </is>
      </c>
      <c r="G3383" s="4" t="inlineStr">
        <is>
          <t>UNFCCC_GTM_CRT_2024</t>
        </is>
      </c>
      <c r="H3383" s="4" t="inlineStr">
        <is>
          <t>Guatemala. 2024 Common Reporting Table (CRT), V0.3</t>
        </is>
      </c>
      <c r="I3383" s="4" t="inlineStr">
        <is>
          <t>https://unfccc.int/documents/646206</t>
        </is>
      </c>
      <c r="J3383" s="4" t="inlineStr">
        <is>
          <t>CRT1A|2022|1.A.3|COMB_GAS|CH4|FILAS:17+21</t>
        </is>
      </c>
      <c r="K3383" s="4" t="inlineStr">
        <is>
          <t>GAS</t>
        </is>
      </c>
      <c r="L3383" s="4" t="inlineStr">
        <is>
          <t>Gasolinas</t>
        </is>
      </c>
      <c r="M3383" s="4"/>
      <c r="N3383" s="4"/>
      <c r="O3383" s="4"/>
      <c r="P3383" s="4"/>
      <c r="Q3383" s="4" t="inlineStr">
        <is>
          <t>CRT_ANUAL_SUMA_EMISIONES_DIV_SUMA_ACTIVIDAD</t>
        </is>
      </c>
      <c r="R3383" s="4"/>
      <c r="S3383" s="4"/>
      <c r="T3383" s="4"/>
      <c r="U3383" s="4">
        <v>79655.2259599</v>
      </c>
      <c r="V3383" s="4"/>
      <c r="W3383" s="4" t="s">
        <v>3412</v>
      </c>
      <c r="X3383" s="4" t="inlineStr">
        <is>
          <t>Transporte</t>
        </is>
      </c>
      <c r="Y3383" s="4" t="inlineStr">
        <is>
          <t>COMB_GAS</t>
        </is>
      </c>
      <c r="Z3383" s="4" t="s">
        <v>4018</v>
      </c>
      <c r="AA3383" s="13">
        <v>32.96790325247477</v>
      </c>
      <c r="AB3383" s="4" t="s">
        <v>4281</v>
      </c>
      <c r="AC3383" s="4"/>
      <c r="AD3383" s="4">
        <v>2.626065783</v>
      </c>
      <c r="AE3383" s="4"/>
      <c r="AF3383" s="4"/>
      <c r="AG3383" s="4"/>
      <c r="AH3383" s="4"/>
      <c r="AI3383" s="4"/>
      <c r="AJ3383" s="4"/>
      <c r="AK3383" s="4"/>
      <c r="AL3383" s="4" t="inlineStr">
        <is>
          <t>GTM-CRT-2024-V0.3-2022-20250304-084824_started.xlsx; Table1.A(a)s3; AD=C17+C21; EM=I17+I21; IEF=F17+F21</t>
        </is>
      </c>
      <c r="AM3383" s="4" t="inlineStr">
        <is>
          <t>Mezcla anual CRT de gasolina de aviación y gasolina de motor. BTR1 p. 66 confirma que GAS del BEN reúne ambos usos. Aplicar a GAS-TR supone representatividad de esa mezcla anual; no es un factor exclusivamente vial ni de un producto químicamente homogéneo. Fórmula: 1000000*(I17+I21)/(C17+C21). SHA-256 CRT: 55ea0ebf9c029a3bbd56aa5b6faff643d67df4d0b3987e778786d73d18c4d22e. El cociente es una derivación CAL; su aplicación a la mezcla GAS-TR se identifica PRX.</t>
        </is>
      </c>
    </row>
    <row r="3384" customFormat="false" ht="57.45" hidden="false" customHeight="false" outlineLevel="0" collapsed="false">
      <c r="A3384" s="4" t="s">
        <v>4270</v>
      </c>
      <c r="B3384" s="4" t="inlineStr">
        <is>
          <t>FE_COMB|2022|1.A.3|COMB_GAS|N2O</t>
        </is>
      </c>
      <c r="C3384" s="4" t="inlineStr">
        <is>
          <t>2022|1.A.3|COMB_GAS|N2O</t>
        </is>
      </c>
      <c r="D3384" s="12" t="n">
        <v>2022</v>
      </c>
      <c r="E3384" s="12" t="n">
        <v>2022</v>
      </c>
      <c r="F3384" s="4" t="inlineStr">
        <is>
          <t>PRX</t>
        </is>
      </c>
      <c r="G3384" s="4" t="inlineStr">
        <is>
          <t>UNFCCC_GTM_CRT_2024</t>
        </is>
      </c>
      <c r="H3384" s="4" t="inlineStr">
        <is>
          <t>Guatemala. 2024 Common Reporting Table (CRT), V0.3</t>
        </is>
      </c>
      <c r="I3384" s="4" t="inlineStr">
        <is>
          <t>https://unfccc.int/documents/646206</t>
        </is>
      </c>
      <c r="J3384" s="4" t="inlineStr">
        <is>
          <t>CRT1A|2022|1.A.3|COMB_GAS|N2O|FILAS:17+21</t>
        </is>
      </c>
      <c r="K3384" s="4" t="inlineStr">
        <is>
          <t>GAS</t>
        </is>
      </c>
      <c r="L3384" s="4" t="inlineStr">
        <is>
          <t>Gasolinas</t>
        </is>
      </c>
      <c r="M3384" s="4"/>
      <c r="N3384" s="4"/>
      <c r="O3384" s="4"/>
      <c r="P3384" s="4"/>
      <c r="Q3384" s="4" t="inlineStr">
        <is>
          <t>CRT_ANUAL_SUMA_EMISIONES_DIV_SUMA_ACTIVIDAD</t>
        </is>
      </c>
      <c r="R3384" s="4"/>
      <c r="S3384" s="4"/>
      <c r="T3384" s="4"/>
      <c r="U3384" s="4">
        <v>79655.2259599</v>
      </c>
      <c r="V3384" s="4"/>
      <c r="W3384" s="4" t="s">
        <v>3412</v>
      </c>
      <c r="X3384" s="4" t="inlineStr">
        <is>
          <t>Transporte</t>
        </is>
      </c>
      <c r="Y3384" s="4" t="inlineStr">
        <is>
          <t>COMB_GAS</t>
        </is>
      </c>
      <c r="Z3384" s="4" t="s">
        <v>4048</v>
      </c>
      <c r="AA3384" s="13">
        <v>3.198814854009359</v>
      </c>
      <c r="AB3384" s="4" t="s">
        <v>4287</v>
      </c>
      <c r="AC3384" s="4"/>
      <c r="AD3384" s="4">
        <v>0.25480232</v>
      </c>
      <c r="AE3384" s="4"/>
      <c r="AF3384" s="4"/>
      <c r="AG3384" s="4"/>
      <c r="AH3384" s="4"/>
      <c r="AI3384" s="4"/>
      <c r="AJ3384" s="4"/>
      <c r="AK3384" s="4"/>
      <c r="AL3384" s="4" t="inlineStr">
        <is>
          <t>GTM-CRT-2024-V0.3-2022-20250304-084824_started.xlsx; Table1.A(a)s3; AD=C17+C21; EM=J17+J21; IEF=G17+G21</t>
        </is>
      </c>
      <c r="AM3384" s="4" t="inlineStr">
        <is>
          <t>Mezcla anual CRT de gasolina de aviación y gasolina de motor. BTR1 p. 66 confirma que GAS del BEN reúne ambos usos. Aplicar a GAS-TR supone representatividad de esa mezcla anual; no es un factor exclusivamente vial ni de un producto químicamente homogéneo. Fórmula: 1000000*(J17+J21)/(C17+C21). SHA-256 CRT: 55ea0ebf9c029a3bbd56aa5b6faff643d67df4d0b3987e778786d73d18c4d22e. El cociente es una derivación CAL; su aplicación a la mezcla GAS-TR se identifica PRX.</t>
        </is>
      </c>
    </row>
    <row r="3385" customFormat="false" ht="57.45" hidden="false" customHeight="false" outlineLevel="0" collapsed="false">
      <c r="A3385" s="4" t="s">
        <v>4270</v>
      </c>
      <c r="B3385" s="4" t="inlineStr">
        <is>
          <t>FE_COMB|2022|1.A.3|COMB_GLP|CO2</t>
        </is>
      </c>
      <c r="C3385" s="4" t="inlineStr">
        <is>
          <t>2022|1.A.3|COMB_GLP|CO2</t>
        </is>
      </c>
      <c r="D3385" s="12" t="n">
        <v>2022</v>
      </c>
      <c r="E3385" s="12" t="n">
        <v>2022</v>
      </c>
      <c r="F3385" s="4" t="inlineStr">
        <is>
          <t>OBS</t>
        </is>
      </c>
      <c r="G3385" s="4" t="inlineStr">
        <is>
          <t>UNFCCC_GTM_CRT_2024</t>
        </is>
      </c>
      <c r="H3385" s="4" t="inlineStr">
        <is>
          <t>Guatemala. 2024 Common Reporting Table (CRT), V0.3</t>
        </is>
      </c>
      <c r="I3385" s="4" t="inlineStr">
        <is>
          <t>https://unfccc.int/documents/646206</t>
        </is>
      </c>
      <c r="J3385" s="4" t="inlineStr">
        <is>
          <t>CRT1A|2022|1.A.3|COMB_GLP|CO2|FILAS:23</t>
        </is>
      </c>
      <c r="K3385" s="4" t="inlineStr">
        <is>
          <t>GLP</t>
        </is>
      </c>
      <c r="L3385" s="4" t="inlineStr">
        <is>
          <t>Gas licuado de petróleo (GLP)</t>
        </is>
      </c>
      <c r="M3385" s="4"/>
      <c r="N3385" s="4"/>
      <c r="O3385" s="4"/>
      <c r="P3385" s="4"/>
      <c r="Q3385" s="4" t="inlineStr">
        <is>
          <t>CRT_ANUAL_COMBUSTIBLE_ESPECIFICO</t>
        </is>
      </c>
      <c r="R3385" s="4"/>
      <c r="S3385" s="4"/>
      <c r="T3385" s="4"/>
      <c r="U3385" s="4">
        <v>237.023782</v>
      </c>
      <c r="V3385" s="4"/>
      <c r="W3385" s="4" t="inlineStr">
        <is>
          <t>1.A.3</t>
        </is>
      </c>
      <c r="X3385" s="4" t="inlineStr">
        <is>
          <t>Transporte</t>
        </is>
      </c>
      <c r="Y3385" s="4" t="inlineStr">
        <is>
          <t>COMB_GLP</t>
        </is>
      </c>
      <c r="Z3385" s="4" t="s">
        <v>4012</v>
      </c>
      <c r="AA3385" s="13">
        <v>63100.000235419415</v>
      </c>
      <c r="AB3385" s="4" t="s">
        <v>4275</v>
      </c>
      <c r="AC3385" s="4"/>
      <c r="AD3385" s="4">
        <v>14.9562007</v>
      </c>
      <c r="AE3385" s="4"/>
      <c r="AF3385" s="4"/>
      <c r="AG3385" s="4"/>
      <c r="AH3385" s="4"/>
      <c r="AI3385" s="4"/>
      <c r="AJ3385" s="4"/>
      <c r="AK3385" s="4"/>
      <c r="AL3385" s="4" t="inlineStr">
        <is>
          <t>GTM-CRT-2024-V0.3-2022-20250304-084824_started.xlsx; Table1.A(a)s3; AD=C23; EM=H23; IEF=E23</t>
        </is>
      </c>
      <c r="AM3385" s="4" t="inlineStr">
        <is>
          <t>Combustible específico en la categoría reportada CRT 1.A.3.b. BTR1 pp. 64–65 indica que la categoría incorpora navegación no desagregable; no interpretarla como medición exclusivamente vial. Aplicar a BEN-TR conserva esa cobertura reportada. Fórmula: 1000000*(H23)/(C23). SHA-256 CRT: 55ea0ebf9c029a3bbd56aa5b6faff643d67df4d0b3987e778786d73d18c4d22e.</t>
        </is>
      </c>
    </row>
    <row r="3386" customFormat="false" ht="57.45" hidden="false" customHeight="false" outlineLevel="0" collapsed="false">
      <c r="A3386" s="4" t="s">
        <v>4270</v>
      </c>
      <c r="B3386" s="4" t="inlineStr">
        <is>
          <t>FE_COMB|2022|1.A.3|COMB_GLP|CH4</t>
        </is>
      </c>
      <c r="C3386" s="4" t="inlineStr">
        <is>
          <t>2022|1.A.3|COMB_GLP|CH4</t>
        </is>
      </c>
      <c r="D3386" s="12" t="n">
        <v>2022</v>
      </c>
      <c r="E3386" s="12" t="n">
        <v>2022</v>
      </c>
      <c r="F3386" s="4" t="inlineStr">
        <is>
          <t>OBS</t>
        </is>
      </c>
      <c r="G3386" s="4" t="inlineStr">
        <is>
          <t>UNFCCC_GTM_CRT_2024</t>
        </is>
      </c>
      <c r="H3386" s="4" t="inlineStr">
        <is>
          <t>Guatemala. 2024 Common Reporting Table (CRT), V0.3</t>
        </is>
      </c>
      <c r="I3386" s="4" t="inlineStr">
        <is>
          <t>https://unfccc.int/documents/646206</t>
        </is>
      </c>
      <c r="J3386" s="4" t="inlineStr">
        <is>
          <t>CRT1A|2022|1.A.3|COMB_GLP|CH4|FILAS:23</t>
        </is>
      </c>
      <c r="K3386" s="4" t="inlineStr">
        <is>
          <t>GLP</t>
        </is>
      </c>
      <c r="L3386" s="4" t="inlineStr">
        <is>
          <t>Gas licuado de petróleo (GLP)</t>
        </is>
      </c>
      <c r="M3386" s="4"/>
      <c r="N3386" s="4"/>
      <c r="O3386" s="4"/>
      <c r="P3386" s="4"/>
      <c r="Q3386" s="4" t="inlineStr">
        <is>
          <t>CRT_ANUAL_COMBUSTIBLE_ESPECIFICO</t>
        </is>
      </c>
      <c r="R3386" s="4"/>
      <c r="S3386" s="4"/>
      <c r="T3386" s="4"/>
      <c r="U3386" s="4">
        <v>237.023782</v>
      </c>
      <c r="V3386" s="4"/>
      <c r="W3386" s="4" t="inlineStr">
        <is>
          <t>1.A.3</t>
        </is>
      </c>
      <c r="X3386" s="4" t="inlineStr">
        <is>
          <t>Transporte</t>
        </is>
      </c>
      <c r="Y3386" s="4" t="inlineStr">
        <is>
          <t>COMB_GLP</t>
        </is>
      </c>
      <c r="Z3386" s="4" t="s">
        <v>4018</v>
      </c>
      <c r="AA3386" s="13">
        <v>61.999981082067116</v>
      </c>
      <c r="AB3386" s="4" t="s">
        <v>4281</v>
      </c>
      <c r="AC3386" s="4"/>
      <c r="AD3386" s="4">
        <v>0.01469547</v>
      </c>
      <c r="AE3386" s="4"/>
      <c r="AF3386" s="4"/>
      <c r="AG3386" s="4"/>
      <c r="AH3386" s="4"/>
      <c r="AI3386" s="4"/>
      <c r="AJ3386" s="4"/>
      <c r="AK3386" s="4"/>
      <c r="AL3386" s="4" t="inlineStr">
        <is>
          <t>GTM-CRT-2024-V0.3-2022-20250304-084824_started.xlsx; Table1.A(a)s3; AD=C23; EM=I23; IEF=F23</t>
        </is>
      </c>
      <c r="AM3386" s="4" t="inlineStr">
        <is>
          <t>Combustible específico en la categoría reportada CRT 1.A.3.b. BTR1 pp. 64–65 indica que la categoría incorpora navegación no desagregable; no interpretarla como medición exclusivamente vial. Aplicar a BEN-TR conserva esa cobertura reportada. Fórmula: 1000000*(I23)/(C23). SHA-256 CRT: 55ea0ebf9c029a3bbd56aa5b6faff643d67df4d0b3987e778786d73d18c4d22e.</t>
        </is>
      </c>
    </row>
    <row r="3387" customFormat="false" ht="57.45" hidden="false" customHeight="false" outlineLevel="0" collapsed="false">
      <c r="A3387" s="4" t="s">
        <v>4270</v>
      </c>
      <c r="B3387" s="4" t="inlineStr">
        <is>
          <t>FE_COMB|2022|1.A.3|COMB_GLP|N2O</t>
        </is>
      </c>
      <c r="C3387" s="4" t="inlineStr">
        <is>
          <t>2022|1.A.3|COMB_GLP|N2O</t>
        </is>
      </c>
      <c r="D3387" s="12" t="n">
        <v>2022</v>
      </c>
      <c r="E3387" s="12" t="n">
        <v>2022</v>
      </c>
      <c r="F3387" s="4" t="inlineStr">
        <is>
          <t>OBS</t>
        </is>
      </c>
      <c r="G3387" s="4" t="inlineStr">
        <is>
          <t>UNFCCC_GTM_CRT_2024</t>
        </is>
      </c>
      <c r="H3387" s="4" t="inlineStr">
        <is>
          <t>Guatemala. 2024 Common Reporting Table (CRT), V0.3</t>
        </is>
      </c>
      <c r="I3387" s="4" t="inlineStr">
        <is>
          <t>https://unfccc.int/documents/646206</t>
        </is>
      </c>
      <c r="J3387" s="4" t="inlineStr">
        <is>
          <t>CRT1A|2022|1.A.3|COMB_GLP|N2O|FILAS:23</t>
        </is>
      </c>
      <c r="K3387" s="4" t="inlineStr">
        <is>
          <t>GLP</t>
        </is>
      </c>
      <c r="L3387" s="4" t="inlineStr">
        <is>
          <t>Gas licuado de petróleo (GLP)</t>
        </is>
      </c>
      <c r="M3387" s="4"/>
      <c r="N3387" s="4"/>
      <c r="O3387" s="4"/>
      <c r="P3387" s="4"/>
      <c r="Q3387" s="4" t="inlineStr">
        <is>
          <t>CRT_ANUAL_COMBUSTIBLE_ESPECIFICO</t>
        </is>
      </c>
      <c r="R3387" s="4"/>
      <c r="S3387" s="4"/>
      <c r="T3387" s="4"/>
      <c r="U3387" s="4">
        <v>237.023782</v>
      </c>
      <c r="V3387" s="4"/>
      <c r="W3387" s="4" t="inlineStr">
        <is>
          <t>1.A.3</t>
        </is>
      </c>
      <c r="X3387" s="4" t="inlineStr">
        <is>
          <t>Transporte</t>
        </is>
      </c>
      <c r="Y3387" s="4" t="inlineStr">
        <is>
          <t>COMB_GLP</t>
        </is>
      </c>
      <c r="Z3387" s="4" t="s">
        <v>4048</v>
      </c>
      <c r="AA3387" s="13">
        <v>0.20000102774497117</v>
      </c>
      <c r="AB3387" s="4" t="s">
        <v>4287</v>
      </c>
      <c r="AC3387" s="4"/>
      <c r="AD3387" s="4">
        <v>4.7405e-05</v>
      </c>
      <c r="AE3387" s="4"/>
      <c r="AF3387" s="4"/>
      <c r="AG3387" s="4"/>
      <c r="AH3387" s="4"/>
      <c r="AI3387" s="4"/>
      <c r="AJ3387" s="4"/>
      <c r="AK3387" s="4"/>
      <c r="AL3387" s="4" t="inlineStr">
        <is>
          <t>GTM-CRT-2024-V0.3-2022-20250304-084824_started.xlsx; Table1.A(a)s3; AD=C23; EM=J23; IEF=G23</t>
        </is>
      </c>
      <c r="AM3387" s="4" t="inlineStr">
        <is>
          <t>Combustible específico en la categoría reportada CRT 1.A.3.b. BTR1 pp. 64–65 indica que la categoría incorpora navegación no desagregable; no interpretarla como medición exclusivamente vial. Aplicar a BEN-TR conserva esa cobertura reportada. Fórmula: 1000000*(J23)/(C23). SHA-256 CRT: 55ea0ebf9c029a3bbd56aa5b6faff643d67df4d0b3987e778786d73d18c4d22e.</t>
        </is>
      </c>
    </row>
    <row r="3388" customFormat="false" ht="57.45" hidden="false" customHeight="false" outlineLevel="0" collapsed="false">
      <c r="A3388" s="4" t="s">
        <v>4270</v>
      </c>
      <c r="B3388" s="4" t="inlineStr">
        <is>
          <t>FE_COMB|2022|1.A.3|COMB_KER|CO2</t>
        </is>
      </c>
      <c r="C3388" s="4" t="inlineStr">
        <is>
          <t>2022|1.A.3|COMB_KER|CO2</t>
        </is>
      </c>
      <c r="D3388" s="12" t="n">
        <v>2022</v>
      </c>
      <c r="E3388" s="12">
        <v>2006.0</v>
      </c>
      <c r="F3388" s="4" t="inlineStr">
        <is>
          <t>PRX</t>
        </is>
      </c>
      <c r="G3388" s="4" t="inlineStr">
        <is>
          <t>IPCC_2006_GL</t>
        </is>
      </c>
      <c r="H3388" s="4" t="inlineStr">
        <is>
          <t>IPCC. 2006 Guidelines for National Greenhouse Gas Inventories, Volume 2: Energy</t>
        </is>
      </c>
      <c r="I3388" s="4" t="inlineStr">
        <is>
          <t>https://www.ipcc-nggip.iges.or.jp/public/2006gl/pdf/2_Volume2/V2_3_Ch3_Mobile_Combustion.pdf</t>
        </is>
      </c>
      <c r="J3388" s="4" t="inlineStr">
        <is>
          <t>IPCC2006|V2|C3|T3.6.4|JET_KEROSENE|CO2</t>
        </is>
      </c>
      <c r="K3388" s="4" t="inlineStr">
        <is>
          <t>KER</t>
        </is>
      </c>
      <c r="L3388" s="4" t="inlineStr">
        <is>
          <t>Keroseno</t>
        </is>
      </c>
      <c r="M3388" s="4"/>
      <c r="N3388" s="4"/>
      <c r="O3388" s="4"/>
      <c r="P3388" s="4"/>
      <c r="Q3388" s="4" t="inlineStr">
        <is>
          <t>FE_POR_DEFECTO_IPCC_2006</t>
        </is>
      </c>
      <c r="R3388" s="4"/>
      <c r="S3388" s="4">
        <v>71500.0</v>
      </c>
      <c r="T3388" s="4" t="inlineStr">
        <is>
          <t>kg CO2/TJ</t>
        </is>
      </c>
      <c r="U3388" s="4"/>
      <c r="V3388" s="4"/>
      <c r="W3388" s="4" t="inlineStr">
        <is>
          <t>1.A.3</t>
        </is>
      </c>
      <c r="X3388" s="4" t="inlineStr">
        <is>
          <t>Transporte</t>
        </is>
      </c>
      <c r="Y3388" s="4" t="inlineStr">
        <is>
          <t>COMB_KER</t>
        </is>
      </c>
      <c r="Z3388" s="4" t="s">
        <v>4012</v>
      </c>
      <c r="AA3388" s="13">
        <v>71500.0</v>
      </c>
      <c r="AB3388" s="4" t="s">
        <v>4275</v>
      </c>
      <c r="AC3388" s="4"/>
      <c r="AD3388" s="4"/>
      <c r="AE3388" s="4"/>
      <c r="AF3388" s="4"/>
      <c r="AG3388" s="4"/>
      <c r="AH3388" s="4"/>
      <c r="AI3388" s="4"/>
      <c r="AJ3388" s="4"/>
      <c r="AK3388" s="4"/>
      <c r="AL3388" s="4" t="inlineStr">
        <is>
          <t>Volumen 2, capítulo 3, tabla 3.6.4, p. 3.64; fila Jet Kerosene; gas CO2</t>
        </is>
      </c>
      <c r="AM3388" s="4" t="inlineStr">
        <is>
          <t>Factor por defecto de aviación aplicado como aproximación a KER-TR. BTR1 Guatemala, p. 66, sustenta el uso de queroseno de aviación. No se agrega actividad internacional de las CRT ni se altera la actividad BEN. Valor constante, no observación anual del país.</t>
        </is>
      </c>
    </row>
    <row r="3389" customFormat="false" ht="57.45" hidden="false" customHeight="false" outlineLevel="0" collapsed="false">
      <c r="A3389" s="4" t="s">
        <v>4270</v>
      </c>
      <c r="B3389" s="4" t="inlineStr">
        <is>
          <t>FE_COMB|2022|1.A.3|COMB_KER|CH4</t>
        </is>
      </c>
      <c r="C3389" s="4" t="inlineStr">
        <is>
          <t>2022|1.A.3|COMB_KER|CH4</t>
        </is>
      </c>
      <c r="D3389" s="12" t="n">
        <v>2022</v>
      </c>
      <c r="E3389" s="12">
        <v>2006.0</v>
      </c>
      <c r="F3389" s="4" t="inlineStr">
        <is>
          <t>PRX</t>
        </is>
      </c>
      <c r="G3389" s="4" t="inlineStr">
        <is>
          <t>IPCC_2006_GL</t>
        </is>
      </c>
      <c r="H3389" s="4" t="inlineStr">
        <is>
          <t>IPCC. 2006 Guidelines for National Greenhouse Gas Inventories, Volume 2: Energy</t>
        </is>
      </c>
      <c r="I3389" s="4" t="inlineStr">
        <is>
          <t>https://www.ipcc-nggip.iges.or.jp/public/2006gl/pdf/2_Volume2/V2_3_Ch3_Mobile_Combustion.pdf</t>
        </is>
      </c>
      <c r="J3389" s="4" t="inlineStr">
        <is>
          <t>IPCC2006|V2|C3|T3.6.5|JET_KEROSENE|CH4</t>
        </is>
      </c>
      <c r="K3389" s="4" t="inlineStr">
        <is>
          <t>KER</t>
        </is>
      </c>
      <c r="L3389" s="4" t="inlineStr">
        <is>
          <t>Keroseno</t>
        </is>
      </c>
      <c r="M3389" s="4"/>
      <c r="N3389" s="4"/>
      <c r="O3389" s="4"/>
      <c r="P3389" s="4"/>
      <c r="Q3389" s="4" t="inlineStr">
        <is>
          <t>FE_POR_DEFECTO_IPCC_2006</t>
        </is>
      </c>
      <c r="R3389" s="4"/>
      <c r="S3389" s="4">
        <v>0.5</v>
      </c>
      <c r="T3389" s="4" t="inlineStr">
        <is>
          <t>kg CH4/TJ</t>
        </is>
      </c>
      <c r="U3389" s="4"/>
      <c r="V3389" s="4"/>
      <c r="W3389" s="4" t="inlineStr">
        <is>
          <t>1.A.3</t>
        </is>
      </c>
      <c r="X3389" s="4" t="inlineStr">
        <is>
          <t>Transporte</t>
        </is>
      </c>
      <c r="Y3389" s="4" t="inlineStr">
        <is>
          <t>COMB_KER</t>
        </is>
      </c>
      <c r="Z3389" s="4" t="s">
        <v>4018</v>
      </c>
      <c r="AA3389" s="13">
        <v>0.5</v>
      </c>
      <c r="AB3389" s="4" t="s">
        <v>4281</v>
      </c>
      <c r="AC3389" s="4"/>
      <c r="AD3389" s="4"/>
      <c r="AE3389" s="4"/>
      <c r="AF3389" s="4"/>
      <c r="AG3389" s="4"/>
      <c r="AH3389" s="4"/>
      <c r="AI3389" s="4"/>
      <c r="AJ3389" s="4"/>
      <c r="AK3389" s="4"/>
      <c r="AL3389" s="4" t="inlineStr">
        <is>
          <t>Volumen 2, capítulo 3, tabla 3.6.5, p. 3.64; fila All fuels; gas CH4</t>
        </is>
      </c>
      <c r="AM3389" s="4" t="inlineStr">
        <is>
          <t>Factor por defecto de aviación aplicado como aproximación a KER-TR. BTR1 Guatemala, p. 66, sustenta el uso de queroseno de aviación. No se agrega actividad internacional de las CRT ni se altera la actividad BEN. Valor constante, no observación anual del país.</t>
        </is>
      </c>
    </row>
    <row r="3390" customFormat="false" ht="57.45" hidden="false" customHeight="false" outlineLevel="0" collapsed="false">
      <c r="A3390" s="4" t="s">
        <v>4270</v>
      </c>
      <c r="B3390" s="4" t="inlineStr">
        <is>
          <t>FE_COMB|2022|1.A.3|COMB_KER|N2O</t>
        </is>
      </c>
      <c r="C3390" s="4" t="inlineStr">
        <is>
          <t>2022|1.A.3|COMB_KER|N2O</t>
        </is>
      </c>
      <c r="D3390" s="12" t="n">
        <v>2022</v>
      </c>
      <c r="E3390" s="12">
        <v>2006.0</v>
      </c>
      <c r="F3390" s="4" t="inlineStr">
        <is>
          <t>PRX</t>
        </is>
      </c>
      <c r="G3390" s="4" t="inlineStr">
        <is>
          <t>IPCC_2006_GL</t>
        </is>
      </c>
      <c r="H3390" s="4" t="inlineStr">
        <is>
          <t>IPCC. 2006 Guidelines for National Greenhouse Gas Inventories, Volume 2: Energy</t>
        </is>
      </c>
      <c r="I3390" s="4" t="inlineStr">
        <is>
          <t>https://www.ipcc-nggip.iges.or.jp/public/2006gl/pdf/2_Volume2/V2_3_Ch3_Mobile_Combustion.pdf</t>
        </is>
      </c>
      <c r="J3390" s="4" t="inlineStr">
        <is>
          <t>IPCC2006|V2|C3|T3.6.5|JET_KEROSENE|N2O</t>
        </is>
      </c>
      <c r="K3390" s="4" t="inlineStr">
        <is>
          <t>KER</t>
        </is>
      </c>
      <c r="L3390" s="4" t="inlineStr">
        <is>
          <t>Keroseno</t>
        </is>
      </c>
      <c r="M3390" s="4"/>
      <c r="N3390" s="4"/>
      <c r="O3390" s="4"/>
      <c r="P3390" s="4"/>
      <c r="Q3390" s="4" t="inlineStr">
        <is>
          <t>FE_POR_DEFECTO_IPCC_2006</t>
        </is>
      </c>
      <c r="R3390" s="4"/>
      <c r="S3390" s="4">
        <v>2.0</v>
      </c>
      <c r="T3390" s="4" t="inlineStr">
        <is>
          <t>kg N2O/TJ</t>
        </is>
      </c>
      <c r="U3390" s="4"/>
      <c r="V3390" s="4"/>
      <c r="W3390" s="4" t="inlineStr">
        <is>
          <t>1.A.3</t>
        </is>
      </c>
      <c r="X3390" s="4" t="inlineStr">
        <is>
          <t>Transporte</t>
        </is>
      </c>
      <c r="Y3390" s="4" t="inlineStr">
        <is>
          <t>COMB_KER</t>
        </is>
      </c>
      <c r="Z3390" s="4" t="s">
        <v>4048</v>
      </c>
      <c r="AA3390" s="13">
        <v>2.0</v>
      </c>
      <c r="AB3390" s="4" t="s">
        <v>4287</v>
      </c>
      <c r="AC3390" s="4"/>
      <c r="AD3390" s="4"/>
      <c r="AE3390" s="4"/>
      <c r="AF3390" s="4"/>
      <c r="AG3390" s="4"/>
      <c r="AH3390" s="4"/>
      <c r="AI3390" s="4"/>
      <c r="AJ3390" s="4"/>
      <c r="AK3390" s="4"/>
      <c r="AL3390" s="4" t="inlineStr">
        <is>
          <t>Volumen 2, capítulo 3, tabla 3.6.5, p. 3.64; fila All fuels; gas N2O</t>
        </is>
      </c>
      <c r="AM3390" s="4" t="inlineStr">
        <is>
          <t>Factor por defecto de aviación aplicado como aproximación a KER-TR. BTR1 Guatemala, p. 66, sustenta el uso de queroseno de aviación. No se agrega actividad internacional de las CRT ni se altera la actividad BEN. Valor constante, no observación anual del país.</t>
        </is>
      </c>
    </row>
    <row r="3391" customFormat="false" ht="46.25" hidden="false" customHeight="false" outlineLevel="0" collapsed="false">
      <c r="A3391" s="4" t="s">
        <v>4270</v>
      </c>
      <c r="B3391" s="4" t="inlineStr">
        <is>
          <t>FE_COMB|2022|1.A.4.a|COMB_GAS|CO2</t>
        </is>
      </c>
      <c r="C3391" s="4" t="inlineStr">
        <is>
          <t>2022|1.A.4.a|COMB_GAS|CO2</t>
        </is>
      </c>
      <c r="D3391" s="12" t="n">
        <v>2022</v>
      </c>
      <c r="E3391" s="12">
        <v>2024.0</v>
      </c>
      <c r="F3391" s="4" t="inlineStr">
        <is>
          <t>PRX</t>
        </is>
      </c>
      <c r="G3391" s="4" t="inlineStr">
        <is>
          <t>MARN_GTM_BTR1_2024</t>
        </is>
      </c>
      <c r="H3391" s="4" t="inlineStr">
        <is>
          <t>Guatemala. Primer Informe Bienal de Transparencia (BTR1), 2024</t>
        </is>
      </c>
      <c r="I3391" s="4" t="inlineStr">
        <is>
          <t>https://unfccc.int/documents/646195</t>
        </is>
      </c>
      <c r="J3391" s="4" t="inlineStr">
        <is>
          <t>BTR1|2024|T3.6|GAS|CO2</t>
        </is>
      </c>
      <c r="K3391" s="4" t="inlineStr">
        <is>
          <t>GAS</t>
        </is>
      </c>
      <c r="L3391" s="4" t="inlineStr">
        <is>
          <t>Gasolinas</t>
        </is>
      </c>
      <c r="M3391" s="4"/>
      <c r="N3391" s="4"/>
      <c r="O3391" s="4"/>
      <c r="P3391" s="4"/>
      <c r="Q3391" s="4" t="inlineStr">
        <is>
          <t>FE_POR_COMBUSTIBLE_BTR1</t>
        </is>
      </c>
      <c r="R3391" s="4"/>
      <c r="S3391" s="4">
        <v>69300.0</v>
      </c>
      <c r="T3391" s="4" t="inlineStr">
        <is>
          <t>kg CO2/TJ</t>
        </is>
      </c>
      <c r="U3391" s="4"/>
      <c r="V3391" s="4"/>
      <c r="W3391" s="4" t="inlineStr">
        <is>
          <t>1.A.4.a</t>
        </is>
      </c>
      <c r="X3391" s="4" t="inlineStr">
        <is>
          <t>Comercial e institucional</t>
        </is>
      </c>
      <c r="Y3391" s="4" t="inlineStr">
        <is>
          <t>COMB_GAS</t>
        </is>
      </c>
      <c r="Z3391" s="4" t="s">
        <v>4012</v>
      </c>
      <c r="AA3391" s="4">
        <v>69300.0</v>
      </c>
      <c r="AB3391" s="4" t="s">
        <v>4275</v>
      </c>
      <c r="AC3391" s="4"/>
      <c r="AD3391" s="4"/>
      <c r="AE3391" s="4"/>
      <c r="AF3391" s="4"/>
      <c r="AG3391" s="4"/>
      <c r="AH3391" s="4"/>
      <c r="AI3391" s="4"/>
      <c r="AJ3391" s="4"/>
      <c r="AK3391" s="4"/>
      <c r="AL3391" s="4" t="inlineStr">
        <is>
          <t>BTR1 Guatemala 2024, tabla 3.6, p. 48; fila Gasolina para motores; gas CO2</t>
        </is>
      </c>
      <c r="AM3391" s="4" t="inlineStr">
        <is>
          <t>Factor por combustible documentado en el BTR1, con origen metodológico IPCC. Se aplica como parámetro constante aproximado a 2018–2024; el año de la clave permite unirlo a la actividad, no representa una nueva observación anual.</t>
        </is>
      </c>
    </row>
    <row r="3392" customFormat="false" ht="46.25" hidden="false" customHeight="false" outlineLevel="0" collapsed="false">
      <c r="A3392" s="4" t="s">
        <v>4270</v>
      </c>
      <c r="B3392" s="4" t="inlineStr">
        <is>
          <t>FE_COMB|2022|1.A.4.a|COMB_GAS|CH4</t>
        </is>
      </c>
      <c r="C3392" s="4" t="inlineStr">
        <is>
          <t>2022|1.A.4.a|COMB_GAS|CH4</t>
        </is>
      </c>
      <c r="D3392" s="12" t="n">
        <v>2022</v>
      </c>
      <c r="E3392" s="12">
        <v>2024.0</v>
      </c>
      <c r="F3392" s="4" t="inlineStr">
        <is>
          <t>PRX</t>
        </is>
      </c>
      <c r="G3392" s="4" t="inlineStr">
        <is>
          <t>MARN_GTM_BTR1_2024</t>
        </is>
      </c>
      <c r="H3392" s="4" t="inlineStr">
        <is>
          <t>Guatemala. Primer Informe Bienal de Transparencia (BTR1), 2024</t>
        </is>
      </c>
      <c r="I3392" s="4" t="inlineStr">
        <is>
          <t>https://unfccc.int/documents/646195</t>
        </is>
      </c>
      <c r="J3392" s="4" t="inlineStr">
        <is>
          <t>BTR1|2024|T3.33|GAS|CH4</t>
        </is>
      </c>
      <c r="K3392" s="4" t="inlineStr">
        <is>
          <t>GAS</t>
        </is>
      </c>
      <c r="L3392" s="4" t="inlineStr">
        <is>
          <t>Gasolinas</t>
        </is>
      </c>
      <c r="M3392" s="4"/>
      <c r="N3392" s="4"/>
      <c r="O3392" s="4"/>
      <c r="P3392" s="4"/>
      <c r="Q3392" s="4" t="inlineStr">
        <is>
          <t>FE_POR_COMBUSTIBLE_BTR1</t>
        </is>
      </c>
      <c r="R3392" s="4"/>
      <c r="S3392" s="4">
        <v>10.0</v>
      </c>
      <c r="T3392" s="4" t="inlineStr">
        <is>
          <t>kg CH4/TJ</t>
        </is>
      </c>
      <c r="U3392" s="4"/>
      <c r="V3392" s="4"/>
      <c r="W3392" s="4" t="inlineStr">
        <is>
          <t>1.A.4.a</t>
        </is>
      </c>
      <c r="X3392" s="4" t="inlineStr">
        <is>
          <t>Comercial e institucional</t>
        </is>
      </c>
      <c r="Y3392" s="4" t="inlineStr">
        <is>
          <t>COMB_GAS</t>
        </is>
      </c>
      <c r="Z3392" s="4" t="s">
        <v>4018</v>
      </c>
      <c r="AA3392" s="4">
        <v>10.0</v>
      </c>
      <c r="AB3392" s="4" t="s">
        <v>4281</v>
      </c>
      <c r="AC3392" s="4"/>
      <c r="AD3392" s="4"/>
      <c r="AE3392" s="4"/>
      <c r="AF3392" s="4"/>
      <c r="AG3392" s="4"/>
      <c r="AH3392" s="4"/>
      <c r="AI3392" s="4"/>
      <c r="AJ3392" s="4"/>
      <c r="AK3392" s="4"/>
      <c r="AL3392" s="4" t="inlineStr">
        <is>
          <t>BTR1 Guatemala 2024, tabla 3.33, p. 70; fila Gasolina para motores; gas CH4</t>
        </is>
      </c>
      <c r="AM3392" s="4" t="inlineStr">
        <is>
          <t>Factor por combustible documentado en el BTR1, con origen metodológico IPCC. Se aplica como parámetro constante aproximado a 2018–2024; el año de la clave permite unirlo a la actividad, no representa una nueva observación anual.</t>
        </is>
      </c>
    </row>
    <row r="3393" customFormat="false" ht="46.25" hidden="false" customHeight="false" outlineLevel="0" collapsed="false">
      <c r="A3393" s="4" t="s">
        <v>4270</v>
      </c>
      <c r="B3393" s="4" t="inlineStr">
        <is>
          <t>FE_COMB|2022|1.A.4.a|COMB_GAS|N2O</t>
        </is>
      </c>
      <c r="C3393" s="4" t="inlineStr">
        <is>
          <t>2022|1.A.4.a|COMB_GAS|N2O</t>
        </is>
      </c>
      <c r="D3393" s="12" t="n">
        <v>2022</v>
      </c>
      <c r="E3393" s="12">
        <v>2024.0</v>
      </c>
      <c r="F3393" s="4" t="inlineStr">
        <is>
          <t>PRX</t>
        </is>
      </c>
      <c r="G3393" s="4" t="inlineStr">
        <is>
          <t>MARN_GTM_BTR1_2024</t>
        </is>
      </c>
      <c r="H3393" s="4" t="inlineStr">
        <is>
          <t>Guatemala. Primer Informe Bienal de Transparencia (BTR1), 2024</t>
        </is>
      </c>
      <c r="I3393" s="4" t="inlineStr">
        <is>
          <t>https://unfccc.int/documents/646195</t>
        </is>
      </c>
      <c r="J3393" s="4" t="inlineStr">
        <is>
          <t>BTR1|2024|T3.33|GAS|N2O</t>
        </is>
      </c>
      <c r="K3393" s="4" t="inlineStr">
        <is>
          <t>GAS</t>
        </is>
      </c>
      <c r="L3393" s="4" t="inlineStr">
        <is>
          <t>Gasolinas</t>
        </is>
      </c>
      <c r="M3393" s="4"/>
      <c r="N3393" s="4"/>
      <c r="O3393" s="4"/>
      <c r="P3393" s="4"/>
      <c r="Q3393" s="4" t="inlineStr">
        <is>
          <t>FE_POR_COMBUSTIBLE_BTR1</t>
        </is>
      </c>
      <c r="R3393" s="4"/>
      <c r="S3393" s="4">
        <v>0.6</v>
      </c>
      <c r="T3393" s="4" t="inlineStr">
        <is>
          <t>kg N2O/TJ</t>
        </is>
      </c>
      <c r="U3393" s="4"/>
      <c r="V3393" s="4"/>
      <c r="W3393" s="4" t="inlineStr">
        <is>
          <t>1.A.4.a</t>
        </is>
      </c>
      <c r="X3393" s="4" t="inlineStr">
        <is>
          <t>Comercial e institucional</t>
        </is>
      </c>
      <c r="Y3393" s="4" t="inlineStr">
        <is>
          <t>COMB_GAS</t>
        </is>
      </c>
      <c r="Z3393" s="4" t="s">
        <v>4048</v>
      </c>
      <c r="AA3393" s="4">
        <v>0.6</v>
      </c>
      <c r="AB3393" s="4" t="s">
        <v>4287</v>
      </c>
      <c r="AC3393" s="4"/>
      <c r="AD3393" s="4"/>
      <c r="AE3393" s="4"/>
      <c r="AF3393" s="4"/>
      <c r="AG3393" s="4"/>
      <c r="AH3393" s="4"/>
      <c r="AI3393" s="4"/>
      <c r="AJ3393" s="4"/>
      <c r="AK3393" s="4"/>
      <c r="AL3393" s="4" t="inlineStr">
        <is>
          <t>BTR1 Guatemala 2024, tabla 3.33, p. 70; fila Gasolina para motores; gas N2O</t>
        </is>
      </c>
      <c r="AM3393" s="4" t="inlineStr">
        <is>
          <t>Factor por combustible documentado en el BTR1, con origen metodológico IPCC. Se aplica como parámetro constante aproximado a 2018–2024; el año de la clave permite unirlo a la actividad, no representa una nueva observación anual.</t>
        </is>
      </c>
    </row>
    <row r="3394" customFormat="false" ht="46.25" hidden="false" customHeight="false" outlineLevel="0" collapsed="false">
      <c r="A3394" s="4" t="s">
        <v>4270</v>
      </c>
      <c r="B3394" s="4" t="inlineStr">
        <is>
          <t>FE_COMB|2022|1.A.4.a|COMB_GLP|CO2</t>
        </is>
      </c>
      <c r="C3394" s="4" t="inlineStr">
        <is>
          <t>2022|1.A.4.a|COMB_GLP|CO2</t>
        </is>
      </c>
      <c r="D3394" s="12" t="n">
        <v>2022</v>
      </c>
      <c r="E3394" s="12">
        <v>2024.0</v>
      </c>
      <c r="F3394" s="4" t="inlineStr">
        <is>
          <t>PRX</t>
        </is>
      </c>
      <c r="G3394" s="4" t="inlineStr">
        <is>
          <t>MARN_GTM_BTR1_2024</t>
        </is>
      </c>
      <c r="H3394" s="4" t="inlineStr">
        <is>
          <t>Guatemala. Primer Informe Bienal de Transparencia (BTR1), 2024</t>
        </is>
      </c>
      <c r="I3394" s="4" t="inlineStr">
        <is>
          <t>https://unfccc.int/documents/646195</t>
        </is>
      </c>
      <c r="J3394" s="4" t="inlineStr">
        <is>
          <t>BTR1|2024|T3.6|GLP|CO2</t>
        </is>
      </c>
      <c r="K3394" s="4" t="inlineStr">
        <is>
          <t>GLP</t>
        </is>
      </c>
      <c r="L3394" s="4" t="inlineStr">
        <is>
          <t>Gas licuado de petróleo (GLP)</t>
        </is>
      </c>
      <c r="M3394" s="4"/>
      <c r="N3394" s="4"/>
      <c r="O3394" s="4"/>
      <c r="P3394" s="4"/>
      <c r="Q3394" s="4" t="inlineStr">
        <is>
          <t>FE_POR_COMBUSTIBLE_BTR1</t>
        </is>
      </c>
      <c r="R3394" s="4"/>
      <c r="S3394" s="4">
        <v>63100.0</v>
      </c>
      <c r="T3394" s="4" t="inlineStr">
        <is>
          <t>kg CO2/TJ</t>
        </is>
      </c>
      <c r="U3394" s="4"/>
      <c r="V3394" s="4"/>
      <c r="W3394" s="4" t="inlineStr">
        <is>
          <t>1.A.4.a</t>
        </is>
      </c>
      <c r="X3394" s="4" t="inlineStr">
        <is>
          <t>Comercial e institucional</t>
        </is>
      </c>
      <c r="Y3394" s="4" t="inlineStr">
        <is>
          <t>COMB_GLP</t>
        </is>
      </c>
      <c r="Z3394" s="4" t="s">
        <v>4012</v>
      </c>
      <c r="AA3394" s="4">
        <v>63100.0</v>
      </c>
      <c r="AB3394" s="4" t="s">
        <v>4275</v>
      </c>
      <c r="AC3394" s="4"/>
      <c r="AD3394" s="4"/>
      <c r="AE3394" s="4"/>
      <c r="AF3394" s="4"/>
      <c r="AG3394" s="4"/>
      <c r="AH3394" s="4"/>
      <c r="AI3394" s="4"/>
      <c r="AJ3394" s="4"/>
      <c r="AK3394" s="4"/>
      <c r="AL3394" s="4" t="inlineStr">
        <is>
          <t>BTR1 Guatemala 2024, tabla 3.6, p. 48; fila Gases licuados de petróleo; gas CO2</t>
        </is>
      </c>
      <c r="AM3394" s="4" t="inlineStr">
        <is>
          <t>Factor por combustible documentado en el BTR1, con origen metodológico IPCC. Se aplica como parámetro constante aproximado a 2018–2024; el año de la clave permite unirlo a la actividad, no representa una nueva observación anual.</t>
        </is>
      </c>
    </row>
    <row r="3395" customFormat="false" ht="46.25" hidden="false" customHeight="false" outlineLevel="0" collapsed="false">
      <c r="A3395" s="4" t="s">
        <v>4270</v>
      </c>
      <c r="B3395" s="4" t="inlineStr">
        <is>
          <t>FE_COMB|2022|1.A.4.a|COMB_GLP|CH4</t>
        </is>
      </c>
      <c r="C3395" s="4" t="inlineStr">
        <is>
          <t>2022|1.A.4.a|COMB_GLP|CH4</t>
        </is>
      </c>
      <c r="D3395" s="12" t="n">
        <v>2022</v>
      </c>
      <c r="E3395" s="12">
        <v>2024.0</v>
      </c>
      <c r="F3395" s="4" t="inlineStr">
        <is>
          <t>PRX</t>
        </is>
      </c>
      <c r="G3395" s="4" t="inlineStr">
        <is>
          <t>MARN_GTM_BTR1_2024</t>
        </is>
      </c>
      <c r="H3395" s="4" t="inlineStr">
        <is>
          <t>Guatemala. Primer Informe Bienal de Transparencia (BTR1), 2024</t>
        </is>
      </c>
      <c r="I3395" s="4" t="inlineStr">
        <is>
          <t>https://unfccc.int/documents/646195</t>
        </is>
      </c>
      <c r="J3395" s="4" t="inlineStr">
        <is>
          <t>BTR1|2024|T3.33|GLP|CH4</t>
        </is>
      </c>
      <c r="K3395" s="4" t="inlineStr">
        <is>
          <t>GLP</t>
        </is>
      </c>
      <c r="L3395" s="4" t="inlineStr">
        <is>
          <t>Gas licuado de petróleo (GLP)</t>
        </is>
      </c>
      <c r="M3395" s="4"/>
      <c r="N3395" s="4"/>
      <c r="O3395" s="4"/>
      <c r="P3395" s="4"/>
      <c r="Q3395" s="4" t="inlineStr">
        <is>
          <t>FE_POR_COMBUSTIBLE_BTR1</t>
        </is>
      </c>
      <c r="R3395" s="4"/>
      <c r="S3395" s="4">
        <v>5.0</v>
      </c>
      <c r="T3395" s="4" t="inlineStr">
        <is>
          <t>kg CH4/TJ</t>
        </is>
      </c>
      <c r="U3395" s="4"/>
      <c r="V3395" s="4"/>
      <c r="W3395" s="4" t="inlineStr">
        <is>
          <t>1.A.4.a</t>
        </is>
      </c>
      <c r="X3395" s="4" t="inlineStr">
        <is>
          <t>Comercial e institucional</t>
        </is>
      </c>
      <c r="Y3395" s="4" t="inlineStr">
        <is>
          <t>COMB_GLP</t>
        </is>
      </c>
      <c r="Z3395" s="4" t="s">
        <v>4018</v>
      </c>
      <c r="AA3395" s="4">
        <v>5.0</v>
      </c>
      <c r="AB3395" s="4" t="s">
        <v>4281</v>
      </c>
      <c r="AC3395" s="4"/>
      <c r="AD3395" s="4"/>
      <c r="AE3395" s="4"/>
      <c r="AF3395" s="4"/>
      <c r="AG3395" s="4"/>
      <c r="AH3395" s="4"/>
      <c r="AI3395" s="4"/>
      <c r="AJ3395" s="4"/>
      <c r="AK3395" s="4"/>
      <c r="AL3395" s="4" t="inlineStr">
        <is>
          <t>BTR1 Guatemala 2024, tabla 3.33, p. 70; fila Gases licuados de petróleo; gas CH4</t>
        </is>
      </c>
      <c r="AM3395" s="4" t="inlineStr">
        <is>
          <t>Factor por combustible documentado en el BTR1, con origen metodológico IPCC. Se aplica como parámetro constante aproximado a 2018–2024; el año de la clave permite unirlo a la actividad, no representa una nueva observación anual.</t>
        </is>
      </c>
    </row>
    <row r="3396" customFormat="false" ht="46.25" hidden="false" customHeight="false" outlineLevel="0" collapsed="false">
      <c r="A3396" s="4" t="s">
        <v>4270</v>
      </c>
      <c r="B3396" s="4" t="inlineStr">
        <is>
          <t>FE_COMB|2022|1.A.4.a|COMB_GLP|N2O</t>
        </is>
      </c>
      <c r="C3396" s="4" t="inlineStr">
        <is>
          <t>2022|1.A.4.a|COMB_GLP|N2O</t>
        </is>
      </c>
      <c r="D3396" s="12" t="n">
        <v>2022</v>
      </c>
      <c r="E3396" s="12">
        <v>2024.0</v>
      </c>
      <c r="F3396" s="4" t="inlineStr">
        <is>
          <t>PRX</t>
        </is>
      </c>
      <c r="G3396" s="4" t="inlineStr">
        <is>
          <t>MARN_GTM_BTR1_2024</t>
        </is>
      </c>
      <c r="H3396" s="4" t="inlineStr">
        <is>
          <t>Guatemala. Primer Informe Bienal de Transparencia (BTR1), 2024</t>
        </is>
      </c>
      <c r="I3396" s="4" t="inlineStr">
        <is>
          <t>https://unfccc.int/documents/646195</t>
        </is>
      </c>
      <c r="J3396" s="4" t="inlineStr">
        <is>
          <t>BTR1|2024|T3.33|GLP|N2O</t>
        </is>
      </c>
      <c r="K3396" s="4" t="inlineStr">
        <is>
          <t>GLP</t>
        </is>
      </c>
      <c r="L3396" s="4" t="inlineStr">
        <is>
          <t>Gas licuado de petróleo (GLP)</t>
        </is>
      </c>
      <c r="M3396" s="4"/>
      <c r="N3396" s="4"/>
      <c r="O3396" s="4"/>
      <c r="P3396" s="4"/>
      <c r="Q3396" s="4" t="inlineStr">
        <is>
          <t>FE_POR_COMBUSTIBLE_BTR1</t>
        </is>
      </c>
      <c r="R3396" s="4"/>
      <c r="S3396" s="4">
        <v>0.1</v>
      </c>
      <c r="T3396" s="4" t="inlineStr">
        <is>
          <t>kg N2O/TJ</t>
        </is>
      </c>
      <c r="U3396" s="4"/>
      <c r="V3396" s="4"/>
      <c r="W3396" s="4" t="inlineStr">
        <is>
          <t>1.A.4.a</t>
        </is>
      </c>
      <c r="X3396" s="4" t="inlineStr">
        <is>
          <t>Comercial e institucional</t>
        </is>
      </c>
      <c r="Y3396" s="4" t="inlineStr">
        <is>
          <t>COMB_GLP</t>
        </is>
      </c>
      <c r="Z3396" s="4" t="s">
        <v>4048</v>
      </c>
      <c r="AA3396" s="4">
        <v>0.1</v>
      </c>
      <c r="AB3396" s="4" t="s">
        <v>4287</v>
      </c>
      <c r="AC3396" s="4"/>
      <c r="AD3396" s="4"/>
      <c r="AE3396" s="4"/>
      <c r="AF3396" s="4"/>
      <c r="AG3396" s="4"/>
      <c r="AH3396" s="4"/>
      <c r="AI3396" s="4"/>
      <c r="AJ3396" s="4"/>
      <c r="AK3396" s="4"/>
      <c r="AL3396" s="4" t="inlineStr">
        <is>
          <t>BTR1 Guatemala 2024, tabla 3.33, p. 70; fila Gases licuados de petróleo; gas N2O</t>
        </is>
      </c>
      <c r="AM3396" s="4" t="inlineStr">
        <is>
          <t>Factor por combustible documentado en el BTR1, con origen metodológico IPCC. Se aplica como parámetro constante aproximado a 2018–2024; el año de la clave permite unirlo a la actividad, no representa una nueva observación anual.</t>
        </is>
      </c>
    </row>
    <row r="3397" customFormat="false" ht="46.25" hidden="false" customHeight="false" outlineLevel="0" collapsed="false">
      <c r="A3397" s="4" t="s">
        <v>4270</v>
      </c>
      <c r="B3397" s="4" t="inlineStr">
        <is>
          <t>FE_COMB|2022|1.A.4.a|COMB_KER|CO2</t>
        </is>
      </c>
      <c r="C3397" s="4" t="inlineStr">
        <is>
          <t>2022|1.A.4.a|COMB_KER|CO2</t>
        </is>
      </c>
      <c r="D3397" s="12" t="n">
        <v>2022</v>
      </c>
      <c r="E3397" s="12">
        <v>2024.0</v>
      </c>
      <c r="F3397" s="4" t="inlineStr">
        <is>
          <t>PRX</t>
        </is>
      </c>
      <c r="G3397" s="4" t="inlineStr">
        <is>
          <t>MARN_GTM_BTR1_2024</t>
        </is>
      </c>
      <c r="H3397" s="4" t="inlineStr">
        <is>
          <t>Guatemala. Primer Informe Bienal de Transparencia (BTR1), 2024</t>
        </is>
      </c>
      <c r="I3397" s="4" t="inlineStr">
        <is>
          <t>https://unfccc.int/documents/646195</t>
        </is>
      </c>
      <c r="J3397" s="4" t="inlineStr">
        <is>
          <t>BTR1|2024|T3.6|KER|CO2</t>
        </is>
      </c>
      <c r="K3397" s="4" t="inlineStr">
        <is>
          <t>KER</t>
        </is>
      </c>
      <c r="L3397" s="4" t="inlineStr">
        <is>
          <t>Keroseno</t>
        </is>
      </c>
      <c r="M3397" s="4"/>
      <c r="N3397" s="4"/>
      <c r="O3397" s="4"/>
      <c r="P3397" s="4"/>
      <c r="Q3397" s="4" t="inlineStr">
        <is>
          <t>FE_POR_COMBUSTIBLE_BTR1</t>
        </is>
      </c>
      <c r="R3397" s="4"/>
      <c r="S3397" s="4">
        <v>71900.0</v>
      </c>
      <c r="T3397" s="4" t="inlineStr">
        <is>
          <t>kg CO2/TJ</t>
        </is>
      </c>
      <c r="U3397" s="4"/>
      <c r="V3397" s="4"/>
      <c r="W3397" s="4" t="inlineStr">
        <is>
          <t>1.A.4.a</t>
        </is>
      </c>
      <c r="X3397" s="4" t="inlineStr">
        <is>
          <t>Comercial e institucional</t>
        </is>
      </c>
      <c r="Y3397" s="4" t="inlineStr">
        <is>
          <t>COMB_KER</t>
        </is>
      </c>
      <c r="Z3397" s="4" t="s">
        <v>4012</v>
      </c>
      <c r="AA3397" s="4">
        <v>71900.0</v>
      </c>
      <c r="AB3397" s="4" t="s">
        <v>4275</v>
      </c>
      <c r="AC3397" s="4"/>
      <c r="AD3397" s="4"/>
      <c r="AE3397" s="4"/>
      <c r="AF3397" s="4"/>
      <c r="AG3397" s="4"/>
      <c r="AH3397" s="4"/>
      <c r="AI3397" s="4"/>
      <c r="AJ3397" s="4"/>
      <c r="AK3397" s="4"/>
      <c r="AL3397" s="4" t="inlineStr">
        <is>
          <t>BTR1 Guatemala 2024, tabla 3.6, p. 48; fila Otro queroseno; gas CO2</t>
        </is>
      </c>
      <c r="AM3397" s="4" t="inlineStr">
        <is>
          <t>Factor por combustible documentado en el BTR1, con origen metodológico IPCC. Se aplica como parámetro constante aproximado a 2018–2024; el año de la clave permite unirlo a la actividad, no representa una nueva observación anual.</t>
        </is>
      </c>
    </row>
    <row r="3398" customFormat="false" ht="46.25" hidden="false" customHeight="false" outlineLevel="0" collapsed="false">
      <c r="A3398" s="4" t="s">
        <v>4270</v>
      </c>
      <c r="B3398" s="4" t="inlineStr">
        <is>
          <t>FE_COMB|2022|1.A.4.a|COMB_KER|CH4</t>
        </is>
      </c>
      <c r="C3398" s="4" t="inlineStr">
        <is>
          <t>2022|1.A.4.a|COMB_KER|CH4</t>
        </is>
      </c>
      <c r="D3398" s="12" t="n">
        <v>2022</v>
      </c>
      <c r="E3398" s="12">
        <v>2024.0</v>
      </c>
      <c r="F3398" s="4" t="inlineStr">
        <is>
          <t>PRX</t>
        </is>
      </c>
      <c r="G3398" s="4" t="inlineStr">
        <is>
          <t>MARN_GTM_BTR1_2024</t>
        </is>
      </c>
      <c r="H3398" s="4" t="inlineStr">
        <is>
          <t>Guatemala. Primer Informe Bienal de Transparencia (BTR1), 2024</t>
        </is>
      </c>
      <c r="I3398" s="4" t="inlineStr">
        <is>
          <t>https://unfccc.int/documents/646195</t>
        </is>
      </c>
      <c r="J3398" s="4" t="inlineStr">
        <is>
          <t>BTR1|2024|T3.33|KER|CH4</t>
        </is>
      </c>
      <c r="K3398" s="4" t="inlineStr">
        <is>
          <t>KER</t>
        </is>
      </c>
      <c r="L3398" s="4" t="inlineStr">
        <is>
          <t>Keroseno</t>
        </is>
      </c>
      <c r="M3398" s="4"/>
      <c r="N3398" s="4"/>
      <c r="O3398" s="4"/>
      <c r="P3398" s="4"/>
      <c r="Q3398" s="4" t="inlineStr">
        <is>
          <t>FE_POR_COMBUSTIBLE_BTR1</t>
        </is>
      </c>
      <c r="R3398" s="4"/>
      <c r="S3398" s="4">
        <v>10.0</v>
      </c>
      <c r="T3398" s="4" t="inlineStr">
        <is>
          <t>kg CH4/TJ</t>
        </is>
      </c>
      <c r="U3398" s="4"/>
      <c r="V3398" s="4"/>
      <c r="W3398" s="4" t="inlineStr">
        <is>
          <t>1.A.4.a</t>
        </is>
      </c>
      <c r="X3398" s="4" t="inlineStr">
        <is>
          <t>Comercial e institucional</t>
        </is>
      </c>
      <c r="Y3398" s="4" t="inlineStr">
        <is>
          <t>COMB_KER</t>
        </is>
      </c>
      <c r="Z3398" s="4" t="s">
        <v>4018</v>
      </c>
      <c r="AA3398" s="4">
        <v>10.0</v>
      </c>
      <c r="AB3398" s="4" t="s">
        <v>4281</v>
      </c>
      <c r="AC3398" s="4"/>
      <c r="AD3398" s="4"/>
      <c r="AE3398" s="4"/>
      <c r="AF3398" s="4"/>
      <c r="AG3398" s="4"/>
      <c r="AH3398" s="4"/>
      <c r="AI3398" s="4"/>
      <c r="AJ3398" s="4"/>
      <c r="AK3398" s="4"/>
      <c r="AL3398" s="4" t="inlineStr">
        <is>
          <t>BTR1 Guatemala 2024, tabla 3.33, p. 70; fila Otro queroseno; gas CH4</t>
        </is>
      </c>
      <c r="AM3398" s="4" t="inlineStr">
        <is>
          <t>Factor por combustible documentado en el BTR1, con origen metodológico IPCC. Se aplica como parámetro constante aproximado a 2018–2024; el año de la clave permite unirlo a la actividad, no representa una nueva observación anual.</t>
        </is>
      </c>
    </row>
    <row r="3399" customFormat="false" ht="46.25" hidden="false" customHeight="false" outlineLevel="0" collapsed="false">
      <c r="A3399" s="4" t="s">
        <v>4270</v>
      </c>
      <c r="B3399" s="4" t="inlineStr">
        <is>
          <t>FE_COMB|2022|1.A.4.a|COMB_KER|N2O</t>
        </is>
      </c>
      <c r="C3399" s="4" t="inlineStr">
        <is>
          <t>2022|1.A.4.a|COMB_KER|N2O</t>
        </is>
      </c>
      <c r="D3399" s="12" t="n">
        <v>2022</v>
      </c>
      <c r="E3399" s="12">
        <v>2024.0</v>
      </c>
      <c r="F3399" s="4" t="inlineStr">
        <is>
          <t>PRX</t>
        </is>
      </c>
      <c r="G3399" s="4" t="inlineStr">
        <is>
          <t>MARN_GTM_BTR1_2024</t>
        </is>
      </c>
      <c r="H3399" s="4" t="inlineStr">
        <is>
          <t>Guatemala. Primer Informe Bienal de Transparencia (BTR1), 2024</t>
        </is>
      </c>
      <c r="I3399" s="4" t="inlineStr">
        <is>
          <t>https://unfccc.int/documents/646195</t>
        </is>
      </c>
      <c r="J3399" s="4" t="inlineStr">
        <is>
          <t>BTR1|2024|T3.33|KER|N2O</t>
        </is>
      </c>
      <c r="K3399" s="4" t="inlineStr">
        <is>
          <t>KER</t>
        </is>
      </c>
      <c r="L3399" s="4" t="inlineStr">
        <is>
          <t>Keroseno</t>
        </is>
      </c>
      <c r="M3399" s="4"/>
      <c r="N3399" s="4"/>
      <c r="O3399" s="4"/>
      <c r="P3399" s="4"/>
      <c r="Q3399" s="4" t="inlineStr">
        <is>
          <t>FE_POR_COMBUSTIBLE_BTR1</t>
        </is>
      </c>
      <c r="R3399" s="4"/>
      <c r="S3399" s="4">
        <v>0.6</v>
      </c>
      <c r="T3399" s="4" t="inlineStr">
        <is>
          <t>kg N2O/TJ</t>
        </is>
      </c>
      <c r="U3399" s="4"/>
      <c r="V3399" s="4"/>
      <c r="W3399" s="4" t="inlineStr">
        <is>
          <t>1.A.4.a</t>
        </is>
      </c>
      <c r="X3399" s="4" t="inlineStr">
        <is>
          <t>Comercial e institucional</t>
        </is>
      </c>
      <c r="Y3399" s="4" t="inlineStr">
        <is>
          <t>COMB_KER</t>
        </is>
      </c>
      <c r="Z3399" s="4" t="s">
        <v>4048</v>
      </c>
      <c r="AA3399" s="4">
        <v>0.6</v>
      </c>
      <c r="AB3399" s="4" t="s">
        <v>4287</v>
      </c>
      <c r="AC3399" s="4"/>
      <c r="AD3399" s="4"/>
      <c r="AE3399" s="4"/>
      <c r="AF3399" s="4"/>
      <c r="AG3399" s="4"/>
      <c r="AH3399" s="4"/>
      <c r="AI3399" s="4"/>
      <c r="AJ3399" s="4"/>
      <c r="AK3399" s="4"/>
      <c r="AL3399" s="4" t="inlineStr">
        <is>
          <t>BTR1 Guatemala 2024, tabla 3.33, p. 70; fila Otro queroseno; gas N2O</t>
        </is>
      </c>
      <c r="AM3399" s="4" t="inlineStr">
        <is>
          <t>Factor por combustible documentado en el BTR1, con origen metodológico IPCC. Se aplica como parámetro constante aproximado a 2018–2024; el año de la clave permite unirlo a la actividad, no representa una nueva observación anual.</t>
        </is>
      </c>
    </row>
    <row r="3400" customFormat="false" ht="46.25" hidden="false" customHeight="false" outlineLevel="0" collapsed="false">
      <c r="A3400" s="4" t="s">
        <v>4270</v>
      </c>
      <c r="B3400" s="4" t="inlineStr">
        <is>
          <t>FE_COMB|2022|1.A.4.b|COMB_GLP|CO2</t>
        </is>
      </c>
      <c r="C3400" s="4" t="inlineStr">
        <is>
          <t>2022|1.A.4.b|COMB_GLP|CO2</t>
        </is>
      </c>
      <c r="D3400" s="12" t="n">
        <v>2022</v>
      </c>
      <c r="E3400" s="12">
        <v>2024.0</v>
      </c>
      <c r="F3400" s="4" t="inlineStr">
        <is>
          <t>PRX</t>
        </is>
      </c>
      <c r="G3400" s="4" t="inlineStr">
        <is>
          <t>MARN_GTM_BTR1_2024</t>
        </is>
      </c>
      <c r="H3400" s="4" t="inlineStr">
        <is>
          <t>Guatemala. Primer Informe Bienal de Transparencia (BTR1), 2024</t>
        </is>
      </c>
      <c r="I3400" s="4" t="inlineStr">
        <is>
          <t>https://unfccc.int/documents/646195</t>
        </is>
      </c>
      <c r="J3400" s="4" t="inlineStr">
        <is>
          <t>BTR1|2024|T3.6|GLP|CO2</t>
        </is>
      </c>
      <c r="K3400" s="4" t="inlineStr">
        <is>
          <t>GLP</t>
        </is>
      </c>
      <c r="L3400" s="4" t="inlineStr">
        <is>
          <t>Gas licuado de petróleo (GLP)</t>
        </is>
      </c>
      <c r="M3400" s="4"/>
      <c r="N3400" s="4"/>
      <c r="O3400" s="4"/>
      <c r="P3400" s="4"/>
      <c r="Q3400" s="4" t="inlineStr">
        <is>
          <t>FE_POR_COMBUSTIBLE_BTR1</t>
        </is>
      </c>
      <c r="R3400" s="4"/>
      <c r="S3400" s="4">
        <v>63100.0</v>
      </c>
      <c r="T3400" s="4" t="inlineStr">
        <is>
          <t>kg CO2/TJ</t>
        </is>
      </c>
      <c r="U3400" s="4"/>
      <c r="V3400" s="4"/>
      <c r="W3400" s="4" t="inlineStr">
        <is>
          <t>1.A.4.b</t>
        </is>
      </c>
      <c r="X3400" s="4" t="inlineStr">
        <is>
          <t>Residencial</t>
        </is>
      </c>
      <c r="Y3400" s="4" t="inlineStr">
        <is>
          <t>COMB_GLP</t>
        </is>
      </c>
      <c r="Z3400" s="4" t="s">
        <v>4012</v>
      </c>
      <c r="AA3400" s="4">
        <v>63100.0</v>
      </c>
      <c r="AB3400" s="4" t="s">
        <v>4275</v>
      </c>
      <c r="AC3400" s="4"/>
      <c r="AD3400" s="4"/>
      <c r="AE3400" s="4"/>
      <c r="AF3400" s="4"/>
      <c r="AG3400" s="4"/>
      <c r="AH3400" s="4"/>
      <c r="AI3400" s="4"/>
      <c r="AJ3400" s="4"/>
      <c r="AK3400" s="4"/>
      <c r="AL3400" s="4" t="inlineStr">
        <is>
          <t>BTR1 Guatemala 2024, tabla 3.6, p. 48; fila Gases licuados de petróleo; gas CO2</t>
        </is>
      </c>
      <c r="AM3400" s="4" t="inlineStr">
        <is>
          <t>Factor por combustible documentado en el BTR1, con origen metodológico IPCC. Se aplica como parámetro constante aproximado a 2018–2024; el año de la clave permite unirlo a la actividad, no representa una nueva observación anual.</t>
        </is>
      </c>
    </row>
    <row r="3401" customFormat="false" ht="46.25" hidden="false" customHeight="false" outlineLevel="0" collapsed="false">
      <c r="A3401" s="4" t="s">
        <v>4270</v>
      </c>
      <c r="B3401" s="4" t="inlineStr">
        <is>
          <t>FE_COMB|2022|1.A.4.b|COMB_GLP|CH4</t>
        </is>
      </c>
      <c r="C3401" s="4" t="inlineStr">
        <is>
          <t>2022|1.A.4.b|COMB_GLP|CH4</t>
        </is>
      </c>
      <c r="D3401" s="12" t="n">
        <v>2022</v>
      </c>
      <c r="E3401" s="12">
        <v>2024.0</v>
      </c>
      <c r="F3401" s="4" t="inlineStr">
        <is>
          <t>PRX</t>
        </is>
      </c>
      <c r="G3401" s="4" t="inlineStr">
        <is>
          <t>MARN_GTM_BTR1_2024</t>
        </is>
      </c>
      <c r="H3401" s="4" t="inlineStr">
        <is>
          <t>Guatemala. Primer Informe Bienal de Transparencia (BTR1), 2024</t>
        </is>
      </c>
      <c r="I3401" s="4" t="inlineStr">
        <is>
          <t>https://unfccc.int/documents/646195</t>
        </is>
      </c>
      <c r="J3401" s="4" t="inlineStr">
        <is>
          <t>BTR1|2024|T3.33|GLP|CH4</t>
        </is>
      </c>
      <c r="K3401" s="4" t="inlineStr">
        <is>
          <t>GLP</t>
        </is>
      </c>
      <c r="L3401" s="4" t="inlineStr">
        <is>
          <t>Gas licuado de petróleo (GLP)</t>
        </is>
      </c>
      <c r="M3401" s="4"/>
      <c r="N3401" s="4"/>
      <c r="O3401" s="4"/>
      <c r="P3401" s="4"/>
      <c r="Q3401" s="4" t="inlineStr">
        <is>
          <t>FE_POR_COMBUSTIBLE_BTR1</t>
        </is>
      </c>
      <c r="R3401" s="4"/>
      <c r="S3401" s="4">
        <v>5.0</v>
      </c>
      <c r="T3401" s="4" t="inlineStr">
        <is>
          <t>kg CH4/TJ</t>
        </is>
      </c>
      <c r="U3401" s="4"/>
      <c r="V3401" s="4"/>
      <c r="W3401" s="4" t="inlineStr">
        <is>
          <t>1.A.4.b</t>
        </is>
      </c>
      <c r="X3401" s="4" t="inlineStr">
        <is>
          <t>Residencial</t>
        </is>
      </c>
      <c r="Y3401" s="4" t="inlineStr">
        <is>
          <t>COMB_GLP</t>
        </is>
      </c>
      <c r="Z3401" s="4" t="s">
        <v>4018</v>
      </c>
      <c r="AA3401" s="4">
        <v>5.0</v>
      </c>
      <c r="AB3401" s="4" t="s">
        <v>4281</v>
      </c>
      <c r="AC3401" s="4"/>
      <c r="AD3401" s="4"/>
      <c r="AE3401" s="4"/>
      <c r="AF3401" s="4"/>
      <c r="AG3401" s="4"/>
      <c r="AH3401" s="4"/>
      <c r="AI3401" s="4"/>
      <c r="AJ3401" s="4"/>
      <c r="AK3401" s="4"/>
      <c r="AL3401" s="4" t="inlineStr">
        <is>
          <t>BTR1 Guatemala 2024, tabla 3.33, p. 70; fila Gases licuados de petróleo; gas CH4</t>
        </is>
      </c>
      <c r="AM3401" s="4" t="inlineStr">
        <is>
          <t>Factor por combustible documentado en el BTR1, con origen metodológico IPCC. Se aplica como parámetro constante aproximado a 2018–2024; el año de la clave permite unirlo a la actividad, no representa una nueva observación anual.</t>
        </is>
      </c>
    </row>
    <row r="3402" customFormat="false" ht="46.25" hidden="false" customHeight="false" outlineLevel="0" collapsed="false">
      <c r="A3402" s="4" t="s">
        <v>4270</v>
      </c>
      <c r="B3402" s="4" t="inlineStr">
        <is>
          <t>FE_COMB|2022|1.A.4.b|COMB_GLP|N2O</t>
        </is>
      </c>
      <c r="C3402" s="4" t="inlineStr">
        <is>
          <t>2022|1.A.4.b|COMB_GLP|N2O</t>
        </is>
      </c>
      <c r="D3402" s="12" t="n">
        <v>2022</v>
      </c>
      <c r="E3402" s="12">
        <v>2024.0</v>
      </c>
      <c r="F3402" s="4" t="inlineStr">
        <is>
          <t>PRX</t>
        </is>
      </c>
      <c r="G3402" s="4" t="inlineStr">
        <is>
          <t>MARN_GTM_BTR1_2024</t>
        </is>
      </c>
      <c r="H3402" s="4" t="inlineStr">
        <is>
          <t>Guatemala. Primer Informe Bienal de Transparencia (BTR1), 2024</t>
        </is>
      </c>
      <c r="I3402" s="4" t="inlineStr">
        <is>
          <t>https://unfccc.int/documents/646195</t>
        </is>
      </c>
      <c r="J3402" s="4" t="inlineStr">
        <is>
          <t>BTR1|2024|T3.33|GLP|N2O</t>
        </is>
      </c>
      <c r="K3402" s="4" t="inlineStr">
        <is>
          <t>GLP</t>
        </is>
      </c>
      <c r="L3402" s="4" t="inlineStr">
        <is>
          <t>Gas licuado de petróleo (GLP)</t>
        </is>
      </c>
      <c r="M3402" s="4"/>
      <c r="N3402" s="4"/>
      <c r="O3402" s="4"/>
      <c r="P3402" s="4"/>
      <c r="Q3402" s="4" t="inlineStr">
        <is>
          <t>FE_POR_COMBUSTIBLE_BTR1</t>
        </is>
      </c>
      <c r="R3402" s="4"/>
      <c r="S3402" s="4">
        <v>0.1</v>
      </c>
      <c r="T3402" s="4" t="inlineStr">
        <is>
          <t>kg N2O/TJ</t>
        </is>
      </c>
      <c r="U3402" s="4"/>
      <c r="V3402" s="4"/>
      <c r="W3402" s="4" t="inlineStr">
        <is>
          <t>1.A.4.b</t>
        </is>
      </c>
      <c r="X3402" s="4" t="inlineStr">
        <is>
          <t>Residencial</t>
        </is>
      </c>
      <c r="Y3402" s="4" t="inlineStr">
        <is>
          <t>COMB_GLP</t>
        </is>
      </c>
      <c r="Z3402" s="4" t="s">
        <v>4048</v>
      </c>
      <c r="AA3402" s="4">
        <v>0.1</v>
      </c>
      <c r="AB3402" s="4" t="s">
        <v>4287</v>
      </c>
      <c r="AC3402" s="4"/>
      <c r="AD3402" s="4"/>
      <c r="AE3402" s="4"/>
      <c r="AF3402" s="4"/>
      <c r="AG3402" s="4"/>
      <c r="AH3402" s="4"/>
      <c r="AI3402" s="4"/>
      <c r="AJ3402" s="4"/>
      <c r="AK3402" s="4"/>
      <c r="AL3402" s="4" t="inlineStr">
        <is>
          <t>BTR1 Guatemala 2024, tabla 3.33, p. 70; fila Gases licuados de petróleo; gas N2O</t>
        </is>
      </c>
      <c r="AM3402" s="4" t="inlineStr">
        <is>
          <t>Factor por combustible documentado en el BTR1, con origen metodológico IPCC. Se aplica como parámetro constante aproximado a 2018–2024; el año de la clave permite unirlo a la actividad, no representa una nueva observación anual.</t>
        </is>
      </c>
    </row>
    <row r="3403" customFormat="false" ht="46.25" hidden="false" customHeight="false" outlineLevel="0" collapsed="false">
      <c r="A3403" s="4" t="s">
        <v>4270</v>
      </c>
      <c r="B3403" s="4" t="inlineStr">
        <is>
          <t>FE_COMB|2022|1.A.4.b|COMB_KER|CO2</t>
        </is>
      </c>
      <c r="C3403" s="4" t="inlineStr">
        <is>
          <t>2022|1.A.4.b|COMB_KER|CO2</t>
        </is>
      </c>
      <c r="D3403" s="12" t="n">
        <v>2022</v>
      </c>
      <c r="E3403" s="12">
        <v>2024.0</v>
      </c>
      <c r="F3403" s="4" t="inlineStr">
        <is>
          <t>PRX</t>
        </is>
      </c>
      <c r="G3403" s="4" t="inlineStr">
        <is>
          <t>MARN_GTM_BTR1_2024</t>
        </is>
      </c>
      <c r="H3403" s="4" t="inlineStr">
        <is>
          <t>Guatemala. Primer Informe Bienal de Transparencia (BTR1), 2024</t>
        </is>
      </c>
      <c r="I3403" s="4" t="inlineStr">
        <is>
          <t>https://unfccc.int/documents/646195</t>
        </is>
      </c>
      <c r="J3403" s="4" t="inlineStr">
        <is>
          <t>BTR1|2024|T3.6|KER|CO2</t>
        </is>
      </c>
      <c r="K3403" s="4" t="inlineStr">
        <is>
          <t>KER</t>
        </is>
      </c>
      <c r="L3403" s="4" t="inlineStr">
        <is>
          <t>Keroseno</t>
        </is>
      </c>
      <c r="M3403" s="4"/>
      <c r="N3403" s="4"/>
      <c r="O3403" s="4"/>
      <c r="P3403" s="4"/>
      <c r="Q3403" s="4" t="inlineStr">
        <is>
          <t>FE_POR_COMBUSTIBLE_BTR1</t>
        </is>
      </c>
      <c r="R3403" s="4"/>
      <c r="S3403" s="4">
        <v>71900.0</v>
      </c>
      <c r="T3403" s="4" t="inlineStr">
        <is>
          <t>kg CO2/TJ</t>
        </is>
      </c>
      <c r="U3403" s="4"/>
      <c r="V3403" s="4"/>
      <c r="W3403" s="4" t="inlineStr">
        <is>
          <t>1.A.4.b</t>
        </is>
      </c>
      <c r="X3403" s="4" t="inlineStr">
        <is>
          <t>Residencial</t>
        </is>
      </c>
      <c r="Y3403" s="4" t="inlineStr">
        <is>
          <t>COMB_KER</t>
        </is>
      </c>
      <c r="Z3403" s="4" t="s">
        <v>4012</v>
      </c>
      <c r="AA3403" s="13">
        <v>71900.0</v>
      </c>
      <c r="AB3403" s="4" t="s">
        <v>4275</v>
      </c>
      <c r="AC3403" s="4"/>
      <c r="AD3403" s="4"/>
      <c r="AE3403" s="4"/>
      <c r="AF3403" s="4"/>
      <c r="AG3403" s="4"/>
      <c r="AH3403" s="4"/>
      <c r="AI3403" s="4"/>
      <c r="AJ3403" s="4"/>
      <c r="AK3403" s="4"/>
      <c r="AL3403" s="4" t="inlineStr">
        <is>
          <t>BTR1 Guatemala 2024, tabla 3.6, p. 48; fila Otro queroseno; gas CO2</t>
        </is>
      </c>
      <c r="AM3403" s="4" t="inlineStr">
        <is>
          <t>Factor por combustible documentado en el BTR1, con origen metodológico IPCC. Se aplica como parámetro constante aproximado a 2018–2024; el año de la clave permite unirlo a la actividad, no representa una nueva observación anual.</t>
        </is>
      </c>
    </row>
    <row r="3404" customFormat="false" ht="46.25" hidden="false" customHeight="false" outlineLevel="0" collapsed="false">
      <c r="A3404" s="4" t="s">
        <v>4270</v>
      </c>
      <c r="B3404" s="4" t="inlineStr">
        <is>
          <t>FE_COMB|2022|1.A.4.b|COMB_KER|CH4</t>
        </is>
      </c>
      <c r="C3404" s="4" t="inlineStr">
        <is>
          <t>2022|1.A.4.b|COMB_KER|CH4</t>
        </is>
      </c>
      <c r="D3404" s="12" t="n">
        <v>2022</v>
      </c>
      <c r="E3404" s="12">
        <v>2024.0</v>
      </c>
      <c r="F3404" s="4" t="inlineStr">
        <is>
          <t>PRX</t>
        </is>
      </c>
      <c r="G3404" s="4" t="inlineStr">
        <is>
          <t>MARN_GTM_BTR1_2024</t>
        </is>
      </c>
      <c r="H3404" s="4" t="inlineStr">
        <is>
          <t>Guatemala. Primer Informe Bienal de Transparencia (BTR1), 2024</t>
        </is>
      </c>
      <c r="I3404" s="4" t="inlineStr">
        <is>
          <t>https://unfccc.int/documents/646195</t>
        </is>
      </c>
      <c r="J3404" s="4" t="inlineStr">
        <is>
          <t>BTR1|2024|T3.33|KER|CH4</t>
        </is>
      </c>
      <c r="K3404" s="4" t="inlineStr">
        <is>
          <t>KER</t>
        </is>
      </c>
      <c r="L3404" s="4" t="inlineStr">
        <is>
          <t>Keroseno</t>
        </is>
      </c>
      <c r="M3404" s="4"/>
      <c r="N3404" s="4"/>
      <c r="O3404" s="4"/>
      <c r="P3404" s="4"/>
      <c r="Q3404" s="4" t="inlineStr">
        <is>
          <t>FE_POR_COMBUSTIBLE_BTR1</t>
        </is>
      </c>
      <c r="R3404" s="4"/>
      <c r="S3404" s="4">
        <v>10.0</v>
      </c>
      <c r="T3404" s="4" t="inlineStr">
        <is>
          <t>kg CH4/TJ</t>
        </is>
      </c>
      <c r="U3404" s="4"/>
      <c r="V3404" s="4"/>
      <c r="W3404" s="4" t="inlineStr">
        <is>
          <t>1.A.4.b</t>
        </is>
      </c>
      <c r="X3404" s="4" t="inlineStr">
        <is>
          <t>Residencial</t>
        </is>
      </c>
      <c r="Y3404" s="4" t="inlineStr">
        <is>
          <t>COMB_KER</t>
        </is>
      </c>
      <c r="Z3404" s="4" t="s">
        <v>4018</v>
      </c>
      <c r="AA3404" s="13">
        <v>10.0</v>
      </c>
      <c r="AB3404" s="4" t="s">
        <v>4281</v>
      </c>
      <c r="AC3404" s="4"/>
      <c r="AD3404" s="4"/>
      <c r="AE3404" s="4"/>
      <c r="AF3404" s="4"/>
      <c r="AG3404" s="4"/>
      <c r="AH3404" s="4"/>
      <c r="AI3404" s="4"/>
      <c r="AJ3404" s="4"/>
      <c r="AK3404" s="4"/>
      <c r="AL3404" s="4" t="inlineStr">
        <is>
          <t>BTR1 Guatemala 2024, tabla 3.33, p. 70; fila Otro queroseno; gas CH4</t>
        </is>
      </c>
      <c r="AM3404" s="4" t="inlineStr">
        <is>
          <t>Factor por combustible documentado en el BTR1, con origen metodológico IPCC. Se aplica como parámetro constante aproximado a 2018–2024; el año de la clave permite unirlo a la actividad, no representa una nueva observación anual.</t>
        </is>
      </c>
    </row>
    <row r="3405" customFormat="false" ht="46.25" hidden="false" customHeight="false" outlineLevel="0" collapsed="false">
      <c r="A3405" s="4" t="s">
        <v>4270</v>
      </c>
      <c r="B3405" s="4" t="inlineStr">
        <is>
          <t>FE_COMB|2022|1.A.4.b|COMB_KER|N2O</t>
        </is>
      </c>
      <c r="C3405" s="4" t="inlineStr">
        <is>
          <t>2022|1.A.4.b|COMB_KER|N2O</t>
        </is>
      </c>
      <c r="D3405" s="12" t="n">
        <v>2022</v>
      </c>
      <c r="E3405" s="12">
        <v>2024.0</v>
      </c>
      <c r="F3405" s="4" t="inlineStr">
        <is>
          <t>PRX</t>
        </is>
      </c>
      <c r="G3405" s="4" t="inlineStr">
        <is>
          <t>MARN_GTM_BTR1_2024</t>
        </is>
      </c>
      <c r="H3405" s="4" t="inlineStr">
        <is>
          <t>Guatemala. Primer Informe Bienal de Transparencia (BTR1), 2024</t>
        </is>
      </c>
      <c r="I3405" s="4" t="inlineStr">
        <is>
          <t>https://unfccc.int/documents/646195</t>
        </is>
      </c>
      <c r="J3405" s="4" t="inlineStr">
        <is>
          <t>BTR1|2024|T3.33|KER|N2O</t>
        </is>
      </c>
      <c r="K3405" s="4" t="inlineStr">
        <is>
          <t>KER</t>
        </is>
      </c>
      <c r="L3405" s="4" t="inlineStr">
        <is>
          <t>Keroseno</t>
        </is>
      </c>
      <c r="M3405" s="4"/>
      <c r="N3405" s="4"/>
      <c r="O3405" s="4"/>
      <c r="P3405" s="4"/>
      <c r="Q3405" s="4" t="inlineStr">
        <is>
          <t>FE_POR_COMBUSTIBLE_BTR1</t>
        </is>
      </c>
      <c r="R3405" s="4"/>
      <c r="S3405" s="4">
        <v>0.6</v>
      </c>
      <c r="T3405" s="4" t="inlineStr">
        <is>
          <t>kg N2O/TJ</t>
        </is>
      </c>
      <c r="U3405" s="4"/>
      <c r="V3405" s="4"/>
      <c r="W3405" s="4" t="inlineStr">
        <is>
          <t>1.A.4.b</t>
        </is>
      </c>
      <c r="X3405" s="4" t="inlineStr">
        <is>
          <t>Residencial</t>
        </is>
      </c>
      <c r="Y3405" s="4" t="inlineStr">
        <is>
          <t>COMB_KER</t>
        </is>
      </c>
      <c r="Z3405" s="4" t="s">
        <v>4048</v>
      </c>
      <c r="AA3405" s="4">
        <v>0.6</v>
      </c>
      <c r="AB3405" s="4" t="s">
        <v>4287</v>
      </c>
      <c r="AC3405" s="4"/>
      <c r="AD3405" s="4"/>
      <c r="AE3405" s="4"/>
      <c r="AF3405" s="4"/>
      <c r="AG3405" s="4"/>
      <c r="AH3405" s="4"/>
      <c r="AI3405" s="4"/>
      <c r="AJ3405" s="4"/>
      <c r="AK3405" s="4"/>
      <c r="AL3405" s="4" t="inlineStr">
        <is>
          <t>BTR1 Guatemala 2024, tabla 3.33, p. 70; fila Otro queroseno; gas N2O</t>
        </is>
      </c>
      <c r="AM3405" s="4" t="inlineStr">
        <is>
          <t>Factor por combustible documentado en el BTR1, con origen metodológico IPCC. Se aplica como parámetro constante aproximado a 2018–2024; el año de la clave permite unirlo a la actividad, no representa una nueva observación anual.</t>
        </is>
      </c>
    </row>
    <row r="3406" customFormat="false" ht="15" hidden="false" customHeight="false" outlineLevel="0" collapsed="false">
      <c r="A3406" s="4" t="inlineStr">
        <is>
          <t>FACTOR_EMISION_OBS</t>
        </is>
      </c>
      <c r="B3406" s="4" t="inlineStr">
        <is>
          <t>FE_COMB|2018|1.A.1.a.i|GASEOUS_FUELS|CO2</t>
        </is>
      </c>
      <c r="C3406" s="4" t="inlineStr">
        <is>
          <t>2018|1.A.1.a.i|GASEOUS_FUELS|CO2</t>
        </is>
      </c>
      <c r="D3406" s="4">
        <v>2018.0</v>
      </c>
      <c r="E3406" s="4">
        <v>2018.0</v>
      </c>
      <c r="F3406" s="4" t="inlineStr">
        <is>
          <t>NO</t>
        </is>
      </c>
      <c r="G3406" s="4" t="inlineStr">
        <is>
          <t>UNFCCC_GTM_CRT_2024</t>
        </is>
      </c>
      <c r="H3406" s="4" t="inlineStr">
        <is>
          <t>Guatemala. 2024 Common Reporting Table (CRT)</t>
        </is>
      </c>
      <c r="I3406" s="4" t="inlineStr">
        <is>
          <t>https://unfccc.int/reports?f%5B0%5D=corporate_author%3A206</t>
        </is>
      </c>
      <c r="J3406" s="4" t="inlineStr">
        <is>
          <t>FE_COMB|2018|1.A.1.a.i|GASEOUS_FUELS|CO2</t>
        </is>
      </c>
      <c r="K3406" s="4"/>
      <c r="L3406" s="4"/>
      <c r="M3406" s="4"/>
      <c r="N3406" s="4"/>
      <c r="O3406" s="4"/>
      <c r="P3406" s="4"/>
      <c r="Q3406" s="4" t="inlineStr">
        <is>
          <t>CRT_ANUAL</t>
        </is>
      </c>
      <c r="R3406" s="4"/>
      <c r="S3406" s="4"/>
      <c r="T3406" s="4"/>
      <c r="U3406" s="4"/>
      <c r="V3406" s="4"/>
      <c r="W3406" s="4" t="inlineStr">
        <is>
          <t>1.A.1.a.i</t>
        </is>
      </c>
      <c r="X3406" s="4"/>
      <c r="Y3406" s="4" t="inlineStr">
        <is>
          <t>GASEOUS_FUELS</t>
        </is>
      </c>
      <c r="Z3406" s="4" t="inlineStr">
        <is>
          <t>CO2</t>
        </is>
      </c>
      <c r="AA3406" s="4"/>
      <c r="AB3406" s="4" t="inlineStr">
        <is>
          <t>kg CO2/TJ</t>
        </is>
      </c>
      <c r="AC3406" s="4"/>
      <c r="AD3406" s="4"/>
      <c r="AE3406" s="4"/>
      <c r="AF3406" s="4"/>
      <c r="AG3406" s="4"/>
      <c r="AH3406" s="13"/>
      <c r="AI3406" s="4"/>
      <c r="AJ3406" s="4"/>
      <c r="AK3406" s="4"/>
      <c r="AL3406" s="4" t="inlineStr">
        <is>
          <t>Table1.A; localizador a nivel de tabla; sin registro numérico</t>
        </is>
      </c>
      <c r="AM3406" s="4" t="inlineStr">
        <is>
          <t>Se conserva el estado NO porque la fuente no aporta un factor numérico para la clave interna FE_COMB|2018|1.A.1.a.i|GASEOUS_FUELS|CO2.</t>
        </is>
      </c>
    </row>
    <row r="3407" customFormat="false" ht="15" hidden="false" customHeight="false" outlineLevel="0" collapsed="false">
      <c r="A3407" s="4" t="inlineStr">
        <is>
          <t>FACTOR_EMISION_OBS</t>
        </is>
      </c>
      <c r="B3407" s="4" t="inlineStr">
        <is>
          <t>FE_COMB|2018|1.A.1.a.i|GASEOUS_FUELS|CH4</t>
        </is>
      </c>
      <c r="C3407" s="4" t="inlineStr">
        <is>
          <t>2018|1.A.1.a.i|GASEOUS_FUELS|CH4</t>
        </is>
      </c>
      <c r="D3407" s="4">
        <v>2018.0</v>
      </c>
      <c r="E3407" s="4">
        <v>2018.0</v>
      </c>
      <c r="F3407" s="4" t="inlineStr">
        <is>
          <t>NO</t>
        </is>
      </c>
      <c r="G3407" s="4" t="inlineStr">
        <is>
          <t>UNFCCC_GTM_CRT_2024</t>
        </is>
      </c>
      <c r="H3407" s="4" t="inlineStr">
        <is>
          <t>Guatemala. 2024 Common Reporting Table (CRT)</t>
        </is>
      </c>
      <c r="I3407" s="4" t="inlineStr">
        <is>
          <t>https://unfccc.int/reports?f%5B0%5D=corporate_author%3A206</t>
        </is>
      </c>
      <c r="J3407" s="4" t="inlineStr">
        <is>
          <t>FE_COMB|2018|1.A.1.a.i|GASEOUS_FUELS|CH4</t>
        </is>
      </c>
      <c r="K3407" s="4"/>
      <c r="L3407" s="4"/>
      <c r="M3407" s="4"/>
      <c r="N3407" s="4"/>
      <c r="O3407" s="4"/>
      <c r="P3407" s="4"/>
      <c r="Q3407" s="4" t="inlineStr">
        <is>
          <t>CRT_ANUAL</t>
        </is>
      </c>
      <c r="R3407" s="4"/>
      <c r="S3407" s="4"/>
      <c r="T3407" s="4"/>
      <c r="U3407" s="4"/>
      <c r="V3407" s="4"/>
      <c r="W3407" s="4" t="inlineStr">
        <is>
          <t>1.A.1.a.i</t>
        </is>
      </c>
      <c r="X3407" s="4"/>
      <c r="Y3407" s="4" t="inlineStr">
        <is>
          <t>GASEOUS_FUELS</t>
        </is>
      </c>
      <c r="Z3407" s="4" t="inlineStr">
        <is>
          <t>CH4</t>
        </is>
      </c>
      <c r="AA3407" s="4"/>
      <c r="AB3407" s="4" t="inlineStr">
        <is>
          <t>kg CH4/TJ</t>
        </is>
      </c>
      <c r="AC3407" s="4"/>
      <c r="AD3407" s="4"/>
      <c r="AE3407" s="4"/>
      <c r="AF3407" s="4"/>
      <c r="AG3407" s="4"/>
      <c r="AH3407" s="13"/>
      <c r="AI3407" s="4"/>
      <c r="AJ3407" s="4"/>
      <c r="AK3407" s="4"/>
      <c r="AL3407" s="4" t="inlineStr">
        <is>
          <t>Table1.A; localizador a nivel de tabla; sin registro numérico</t>
        </is>
      </c>
      <c r="AM3407" s="4" t="inlineStr">
        <is>
          <t>Se conserva el estado NO porque la fuente no aporta un factor numérico para la clave interna FE_COMB|2018|1.A.1.a.i|GASEOUS_FUELS|CH4.</t>
        </is>
      </c>
    </row>
    <row r="3408" customFormat="false" ht="15" hidden="false" customHeight="false" outlineLevel="0" collapsed="false">
      <c r="A3408" s="4" t="inlineStr">
        <is>
          <t>FACTOR_EMISION_OBS</t>
        </is>
      </c>
      <c r="B3408" s="4" t="inlineStr">
        <is>
          <t>FE_COMB|2018|1.A.1.a.i|GASEOUS_FUELS|N2O</t>
        </is>
      </c>
      <c r="C3408" s="4" t="inlineStr">
        <is>
          <t>2018|1.A.1.a.i|GASEOUS_FUELS|N2O</t>
        </is>
      </c>
      <c r="D3408" s="4">
        <v>2018.0</v>
      </c>
      <c r="E3408" s="4">
        <v>2018.0</v>
      </c>
      <c r="F3408" s="4" t="inlineStr">
        <is>
          <t>NO</t>
        </is>
      </c>
      <c r="G3408" s="4" t="inlineStr">
        <is>
          <t>UNFCCC_GTM_CRT_2024</t>
        </is>
      </c>
      <c r="H3408" s="4" t="inlineStr">
        <is>
          <t>Guatemala. 2024 Common Reporting Table (CRT)</t>
        </is>
      </c>
      <c r="I3408" s="4" t="inlineStr">
        <is>
          <t>https://unfccc.int/reports?f%5B0%5D=corporate_author%3A206</t>
        </is>
      </c>
      <c r="J3408" s="4" t="inlineStr">
        <is>
          <t>FE_COMB|2018|1.A.1.a.i|GASEOUS_FUELS|N2O</t>
        </is>
      </c>
      <c r="K3408" s="4"/>
      <c r="L3408" s="4"/>
      <c r="M3408" s="4"/>
      <c r="N3408" s="4"/>
      <c r="O3408" s="4"/>
      <c r="P3408" s="4"/>
      <c r="Q3408" s="4" t="inlineStr">
        <is>
          <t>CRT_ANUAL</t>
        </is>
      </c>
      <c r="R3408" s="4"/>
      <c r="S3408" s="4"/>
      <c r="T3408" s="4"/>
      <c r="U3408" s="4"/>
      <c r="V3408" s="4"/>
      <c r="W3408" s="4" t="inlineStr">
        <is>
          <t>1.A.1.a.i</t>
        </is>
      </c>
      <c r="X3408" s="4"/>
      <c r="Y3408" s="4" t="inlineStr">
        <is>
          <t>GASEOUS_FUELS</t>
        </is>
      </c>
      <c r="Z3408" s="4" t="inlineStr">
        <is>
          <t>N2O</t>
        </is>
      </c>
      <c r="AA3408" s="4"/>
      <c r="AB3408" s="4" t="inlineStr">
        <is>
          <t>kg N2O/TJ</t>
        </is>
      </c>
      <c r="AC3408" s="4"/>
      <c r="AD3408" s="4"/>
      <c r="AE3408" s="4"/>
      <c r="AF3408" s="4"/>
      <c r="AG3408" s="4"/>
      <c r="AH3408" s="13"/>
      <c r="AI3408" s="4"/>
      <c r="AJ3408" s="4"/>
      <c r="AK3408" s="4"/>
      <c r="AL3408" s="4" t="inlineStr">
        <is>
          <t>Table1.A; localizador a nivel de tabla; sin registro numérico</t>
        </is>
      </c>
      <c r="AM3408" s="4" t="inlineStr">
        <is>
          <t>Se conserva el estado NO porque la fuente no aporta un factor numérico para la clave interna FE_COMB|2018|1.A.1.a.i|GASEOUS_FUELS|N2O.</t>
        </is>
      </c>
    </row>
    <row r="3409" customFormat="false" ht="15" hidden="false" customHeight="false" outlineLevel="0" collapsed="false">
      <c r="A3409" s="4" t="inlineStr">
        <is>
          <t>FACTOR_EMISION_OBS</t>
        </is>
      </c>
      <c r="B3409" s="4" t="inlineStr">
        <is>
          <t>FE_COMB|2018|1.A.1.b|LIQUID_FUELS|CO2</t>
        </is>
      </c>
      <c r="C3409" s="4" t="inlineStr">
        <is>
          <t>2018|1.A.1.b|LIQUID_FUELS|CO2</t>
        </is>
      </c>
      <c r="D3409" s="4">
        <v>2018.0</v>
      </c>
      <c r="E3409" s="4">
        <v>2018.0</v>
      </c>
      <c r="F3409" s="4" t="inlineStr">
        <is>
          <t>OBS</t>
        </is>
      </c>
      <c r="G3409" s="4" t="inlineStr">
        <is>
          <t>UNFCCC_GTM_CRT_2024</t>
        </is>
      </c>
      <c r="H3409" s="4" t="inlineStr">
        <is>
          <t>Guatemala. 2024 Common Reporting Table (CRT)</t>
        </is>
      </c>
      <c r="I3409" s="4" t="inlineStr">
        <is>
          <t>https://unfccc.int/reports?f%5B0%5D=corporate_author%3A206</t>
        </is>
      </c>
      <c r="J3409" s="4" t="inlineStr">
        <is>
          <t>CRT1A|2018|1.A.1.b|LIQUID_FUELS|CO2</t>
        </is>
      </c>
      <c r="K3409" s="4"/>
      <c r="L3409" s="4"/>
      <c r="M3409" s="4"/>
      <c r="N3409" s="4"/>
      <c r="O3409" s="4"/>
      <c r="P3409" s="4"/>
      <c r="Q3409" s="4" t="inlineStr">
        <is>
          <t>CRT_ANUAL</t>
        </is>
      </c>
      <c r="R3409" s="4"/>
      <c r="S3409" s="4"/>
      <c r="T3409" s="4"/>
      <c r="U3409" s="4"/>
      <c r="V3409" s="4"/>
      <c r="W3409" s="4" t="inlineStr">
        <is>
          <t>1.A.1.b</t>
        </is>
      </c>
      <c r="X3409" s="4"/>
      <c r="Y3409" s="4" t="inlineStr">
        <is>
          <t>LIQUID_FUELS</t>
        </is>
      </c>
      <c r="Z3409" s="4" t="inlineStr">
        <is>
          <t>CO2</t>
        </is>
      </c>
      <c r="AA3409" s="4">
        <v>74099.99972569088</v>
      </c>
      <c r="AB3409" s="4" t="inlineStr">
        <is>
          <t>kg CO2/TJ</t>
        </is>
      </c>
      <c r="AC3409" s="4"/>
      <c r="AD3409" s="4"/>
      <c r="AE3409" s="4"/>
      <c r="AF3409" s="4"/>
      <c r="AG3409" s="4"/>
      <c r="AH3409" s="13"/>
      <c r="AI3409" s="4"/>
      <c r="AJ3409" s="4"/>
      <c r="AK3409" s="4"/>
      <c r="AL3409" s="4" t="inlineStr">
        <is>
          <t>Table1.A(a)s1; registro CRT1A|2018|1.A.1.b|LIQUID_FUELS|CO2</t>
        </is>
      </c>
      <c r="AM3409" s="4" t="inlineStr">
        <is>
          <t>Factor implícito anual derivado de actividad y emisión CRT del mismo año, categoría, grupo y gas. Registro CRT: CRT1A|2018|1.A.1.b|LIQUID_FUELS|CO2.</t>
        </is>
      </c>
    </row>
    <row r="3410" customFormat="false" ht="15" hidden="false" customHeight="false" outlineLevel="0" collapsed="false">
      <c r="A3410" s="4" t="inlineStr">
        <is>
          <t>FACTOR_EMISION_OBS</t>
        </is>
      </c>
      <c r="B3410" s="4" t="inlineStr">
        <is>
          <t>FE_COMB|2018|1.A.1.b|LIQUID_FUELS|CH4</t>
        </is>
      </c>
      <c r="C3410" s="4" t="inlineStr">
        <is>
          <t>2018|1.A.1.b|LIQUID_FUELS|CH4</t>
        </is>
      </c>
      <c r="D3410" s="4">
        <v>2018.0</v>
      </c>
      <c r="E3410" s="4">
        <v>2018.0</v>
      </c>
      <c r="F3410" s="4" t="inlineStr">
        <is>
          <t>OBS</t>
        </is>
      </c>
      <c r="G3410" s="4" t="inlineStr">
        <is>
          <t>UNFCCC_GTM_CRT_2024</t>
        </is>
      </c>
      <c r="H3410" s="4" t="inlineStr">
        <is>
          <t>Guatemala. 2024 Common Reporting Table (CRT)</t>
        </is>
      </c>
      <c r="I3410" s="4" t="inlineStr">
        <is>
          <t>https://unfccc.int/reports?f%5B0%5D=corporate_author%3A206</t>
        </is>
      </c>
      <c r="J3410" s="4" t="inlineStr">
        <is>
          <t>CRT1A|2018|1.A.1.b|LIQUID_FUELS|CH4</t>
        </is>
      </c>
      <c r="K3410" s="4"/>
      <c r="L3410" s="4"/>
      <c r="M3410" s="4"/>
      <c r="N3410" s="4"/>
      <c r="O3410" s="4"/>
      <c r="P3410" s="4"/>
      <c r="Q3410" s="4" t="inlineStr">
        <is>
          <t>CRT_ANUAL</t>
        </is>
      </c>
      <c r="R3410" s="4"/>
      <c r="S3410" s="4"/>
      <c r="T3410" s="4"/>
      <c r="U3410" s="4"/>
      <c r="V3410" s="4"/>
      <c r="W3410" s="4" t="inlineStr">
        <is>
          <t>1.A.1.b</t>
        </is>
      </c>
      <c r="X3410" s="4"/>
      <c r="Y3410" s="4" t="inlineStr">
        <is>
          <t>LIQUID_FUELS</t>
        </is>
      </c>
      <c r="Z3410" s="4" t="inlineStr">
        <is>
          <t>CH4</t>
        </is>
      </c>
      <c r="AA3410" s="4">
        <v>2.9999985081433955</v>
      </c>
      <c r="AB3410" s="4" t="inlineStr">
        <is>
          <t>kg CH4/TJ</t>
        </is>
      </c>
      <c r="AC3410" s="4"/>
      <c r="AD3410" s="4"/>
      <c r="AE3410" s="4"/>
      <c r="AF3410" s="4"/>
      <c r="AG3410" s="4"/>
      <c r="AH3410" s="13"/>
      <c r="AI3410" s="4"/>
      <c r="AJ3410" s="4"/>
      <c r="AK3410" s="4"/>
      <c r="AL3410" s="4" t="inlineStr">
        <is>
          <t>Table1.A(a)s1; registro CRT1A|2018|1.A.1.b|LIQUID_FUELS|CH4</t>
        </is>
      </c>
      <c r="AM3410" s="4" t="inlineStr">
        <is>
          <t>Factor implícito anual derivado de actividad y emisión CRT del mismo año, categoría, grupo y gas. Registro CRT: CRT1A|2018|1.A.1.b|LIQUID_FUELS|CH4.</t>
        </is>
      </c>
    </row>
    <row r="3411" customFormat="false" ht="15" hidden="false" customHeight="false" outlineLevel="0" collapsed="false">
      <c r="A3411" s="4" t="inlineStr">
        <is>
          <t>FACTOR_EMISION_OBS</t>
        </is>
      </c>
      <c r="B3411" s="4" t="inlineStr">
        <is>
          <t>FE_COMB|2018|1.A.1.b|LIQUID_FUELS|N2O</t>
        </is>
      </c>
      <c r="C3411" s="4" t="inlineStr">
        <is>
          <t>2018|1.A.1.b|LIQUID_FUELS|N2O</t>
        </is>
      </c>
      <c r="D3411" s="4">
        <v>2018.0</v>
      </c>
      <c r="E3411" s="4">
        <v>2018.0</v>
      </c>
      <c r="F3411" s="4" t="inlineStr">
        <is>
          <t>OBS</t>
        </is>
      </c>
      <c r="G3411" s="4" t="inlineStr">
        <is>
          <t>UNFCCC_GTM_CRT_2024</t>
        </is>
      </c>
      <c r="H3411" s="4" t="inlineStr">
        <is>
          <t>Guatemala. 2024 Common Reporting Table (CRT)</t>
        </is>
      </c>
      <c r="I3411" s="4" t="inlineStr">
        <is>
          <t>https://unfccc.int/reports?f%5B0%5D=corporate_author%3A206</t>
        </is>
      </c>
      <c r="J3411" s="4" t="inlineStr">
        <is>
          <t>CRT1A|2018|1.A.1.b|LIQUID_FUELS|N2O</t>
        </is>
      </c>
      <c r="K3411" s="4"/>
      <c r="L3411" s="4"/>
      <c r="M3411" s="4"/>
      <c r="N3411" s="4"/>
      <c r="O3411" s="4"/>
      <c r="P3411" s="4"/>
      <c r="Q3411" s="4" t="inlineStr">
        <is>
          <t>CRT_ANUAL</t>
        </is>
      </c>
      <c r="R3411" s="4"/>
      <c r="S3411" s="4"/>
      <c r="T3411" s="4"/>
      <c r="U3411" s="4"/>
      <c r="V3411" s="4"/>
      <c r="W3411" s="4" t="inlineStr">
        <is>
          <t>1.A.1.b</t>
        </is>
      </c>
      <c r="X3411" s="4"/>
      <c r="Y3411" s="4" t="inlineStr">
        <is>
          <t>LIQUID_FUELS</t>
        </is>
      </c>
      <c r="Z3411" s="4" t="inlineStr">
        <is>
          <t>N2O</t>
        </is>
      </c>
      <c r="AA3411" s="4">
        <v>0.600000664116811</v>
      </c>
      <c r="AB3411" s="4" t="inlineStr">
        <is>
          <t>kg N2O/TJ</t>
        </is>
      </c>
      <c r="AC3411" s="4"/>
      <c r="AD3411" s="4"/>
      <c r="AE3411" s="4"/>
      <c r="AF3411" s="4"/>
      <c r="AG3411" s="4"/>
      <c r="AH3411" s="13"/>
      <c r="AI3411" s="4"/>
      <c r="AJ3411" s="4"/>
      <c r="AK3411" s="4"/>
      <c r="AL3411" s="4" t="inlineStr">
        <is>
          <t>Table1.A(a)s1; registro CRT1A|2018|1.A.1.b|LIQUID_FUELS|N2O</t>
        </is>
      </c>
      <c r="AM3411" s="4" t="inlineStr">
        <is>
          <t>Factor implícito anual derivado de actividad y emisión CRT del mismo año, categoría, grupo y gas. Registro CRT: CRT1A|2018|1.A.1.b|LIQUID_FUELS|N2O.</t>
        </is>
      </c>
    </row>
    <row r="3412" customFormat="false" ht="15" hidden="false" customHeight="false" outlineLevel="0" collapsed="false">
      <c r="A3412" s="4" t="inlineStr">
        <is>
          <t>FACTOR_EMISION_OBS</t>
        </is>
      </c>
      <c r="B3412" s="4" t="inlineStr">
        <is>
          <t>FE_COMB|2018|1.A.4.a|BIOMASS|CO2</t>
        </is>
      </c>
      <c r="C3412" s="4" t="inlineStr">
        <is>
          <t>2018|1.A.4.a|BIOMASS|CO2</t>
        </is>
      </c>
      <c r="D3412" s="4">
        <v>2018.0</v>
      </c>
      <c r="E3412" s="4">
        <v>2018.0</v>
      </c>
      <c r="F3412" s="4" t="inlineStr">
        <is>
          <t>OBS</t>
        </is>
      </c>
      <c r="G3412" s="4" t="inlineStr">
        <is>
          <t>UNFCCC_GTM_CRT_2024</t>
        </is>
      </c>
      <c r="H3412" s="4" t="inlineStr">
        <is>
          <t>Guatemala. 2024 Common Reporting Table (CRT)</t>
        </is>
      </c>
      <c r="I3412" s="4" t="inlineStr">
        <is>
          <t>https://unfccc.int/reports?f%5B0%5D=corporate_author%3A206</t>
        </is>
      </c>
      <c r="J3412" s="4" t="inlineStr">
        <is>
          <t>CRT1A|2018|1.A.4.a|BIOMASS|CO2</t>
        </is>
      </c>
      <c r="K3412" s="4"/>
      <c r="L3412" s="4"/>
      <c r="M3412" s="4"/>
      <c r="N3412" s="4"/>
      <c r="O3412" s="4"/>
      <c r="P3412" s="4"/>
      <c r="Q3412" s="4" t="inlineStr">
        <is>
          <t>CRT_ANUAL</t>
        </is>
      </c>
      <c r="R3412" s="4"/>
      <c r="S3412" s="4"/>
      <c r="T3412" s="4"/>
      <c r="U3412" s="4"/>
      <c r="V3412" s="4"/>
      <c r="W3412" s="4" t="inlineStr">
        <is>
          <t>1.A.4.a</t>
        </is>
      </c>
      <c r="X3412" s="4"/>
      <c r="Y3412" s="4" t="inlineStr">
        <is>
          <t>BIOMASS</t>
        </is>
      </c>
      <c r="Z3412" s="4" t="inlineStr">
        <is>
          <t>CO2</t>
        </is>
      </c>
      <c r="AA3412" s="4">
        <v>112000.00010123511</v>
      </c>
      <c r="AB3412" s="4" t="inlineStr">
        <is>
          <t>kg CO2/TJ</t>
        </is>
      </c>
      <c r="AC3412" s="4"/>
      <c r="AD3412" s="4"/>
      <c r="AE3412" s="4"/>
      <c r="AF3412" s="4"/>
      <c r="AG3412" s="4"/>
      <c r="AH3412" s="13"/>
      <c r="AI3412" s="4"/>
      <c r="AJ3412" s="4"/>
      <c r="AK3412" s="4"/>
      <c r="AL3412" s="4" t="inlineStr">
        <is>
          <t>Table1.A(a)s4; registro CRT1A|2018|1.A.4.a|BIOMASS|CO2</t>
        </is>
      </c>
      <c r="AM3412" s="4" t="inlineStr">
        <is>
          <t>Factor implícito anual derivado de actividad y emisión CRT del mismo año, categoría, grupo y gas. Registro CRT: CRT1A|2018|1.A.4.a|BIOMASS|CO2.</t>
        </is>
      </c>
    </row>
    <row r="3413" customFormat="false" ht="15" hidden="false" customHeight="false" outlineLevel="0" collapsed="false">
      <c r="A3413" s="4" t="inlineStr">
        <is>
          <t>FACTOR_EMISION_OBS</t>
        </is>
      </c>
      <c r="B3413" s="4" t="inlineStr">
        <is>
          <t>FE_COMB|2018|1.A.4.a|BIOMASS|CH4</t>
        </is>
      </c>
      <c r="C3413" s="4" t="inlineStr">
        <is>
          <t>2018|1.A.4.a|BIOMASS|CH4</t>
        </is>
      </c>
      <c r="D3413" s="4">
        <v>2018.0</v>
      </c>
      <c r="E3413" s="4">
        <v>2018.0</v>
      </c>
      <c r="F3413" s="4" t="inlineStr">
        <is>
          <t>OBS</t>
        </is>
      </c>
      <c r="G3413" s="4" t="inlineStr">
        <is>
          <t>UNFCCC_GTM_CRT_2024</t>
        </is>
      </c>
      <c r="H3413" s="4" t="inlineStr">
        <is>
          <t>Guatemala. 2024 Common Reporting Table (CRT)</t>
        </is>
      </c>
      <c r="I3413" s="4" t="inlineStr">
        <is>
          <t>https://unfccc.int/reports?f%5B0%5D=corporate_author%3A206</t>
        </is>
      </c>
      <c r="J3413" s="4" t="inlineStr">
        <is>
          <t>CRT1A|2018|1.A.4.a|BIOMASS|CH4</t>
        </is>
      </c>
      <c r="K3413" s="4"/>
      <c r="L3413" s="4"/>
      <c r="M3413" s="4"/>
      <c r="N3413" s="4"/>
      <c r="O3413" s="4"/>
      <c r="P3413" s="4"/>
      <c r="Q3413" s="4" t="inlineStr">
        <is>
          <t>CRT_ANUAL</t>
        </is>
      </c>
      <c r="R3413" s="4"/>
      <c r="S3413" s="4"/>
      <c r="T3413" s="4"/>
      <c r="U3413" s="4"/>
      <c r="V3413" s="4"/>
      <c r="W3413" s="4" t="inlineStr">
        <is>
          <t>1.A.4.a</t>
        </is>
      </c>
      <c r="X3413" s="4"/>
      <c r="Y3413" s="4" t="inlineStr">
        <is>
          <t>BIOMASS</t>
        </is>
      </c>
      <c r="Z3413" s="4" t="inlineStr">
        <is>
          <t>CH4</t>
        </is>
      </c>
      <c r="AA3413" s="4">
        <v>299.9999996548803</v>
      </c>
      <c r="AB3413" s="4" t="inlineStr">
        <is>
          <t>kg CH4/TJ</t>
        </is>
      </c>
      <c r="AC3413" s="4"/>
      <c r="AD3413" s="4"/>
      <c r="AE3413" s="4"/>
      <c r="AF3413" s="4"/>
      <c r="AG3413" s="4"/>
      <c r="AH3413" s="13"/>
      <c r="AI3413" s="4"/>
      <c r="AJ3413" s="4"/>
      <c r="AK3413" s="4"/>
      <c r="AL3413" s="4" t="inlineStr">
        <is>
          <t>Table1.A(a)s4; registro CRT1A|2018|1.A.4.a|BIOMASS|CH4</t>
        </is>
      </c>
      <c r="AM3413" s="4" t="inlineStr">
        <is>
          <t>Factor implícito anual derivado de actividad y emisión CRT del mismo año, categoría, grupo y gas. Registro CRT: CRT1A|2018|1.A.4.a|BIOMASS|CH4.</t>
        </is>
      </c>
    </row>
    <row r="3414" customFormat="false" ht="15" hidden="false" customHeight="false" outlineLevel="0" collapsed="false">
      <c r="A3414" s="4" t="inlineStr">
        <is>
          <t>FACTOR_EMISION_OBS</t>
        </is>
      </c>
      <c r="B3414" s="4" t="inlineStr">
        <is>
          <t>FE_COMB|2018|1.A.4.a|BIOMASS|N2O</t>
        </is>
      </c>
      <c r="C3414" s="4" t="inlineStr">
        <is>
          <t>2018|1.A.4.a|BIOMASS|N2O</t>
        </is>
      </c>
      <c r="D3414" s="4">
        <v>2018.0</v>
      </c>
      <c r="E3414" s="4">
        <v>2018.0</v>
      </c>
      <c r="F3414" s="4" t="inlineStr">
        <is>
          <t>OBS</t>
        </is>
      </c>
      <c r="G3414" s="4" t="inlineStr">
        <is>
          <t>UNFCCC_GTM_CRT_2024</t>
        </is>
      </c>
      <c r="H3414" s="4" t="inlineStr">
        <is>
          <t>Guatemala. 2024 Common Reporting Table (CRT)</t>
        </is>
      </c>
      <c r="I3414" s="4" t="inlineStr">
        <is>
          <t>https://unfccc.int/reports?f%5B0%5D=corporate_author%3A206</t>
        </is>
      </c>
      <c r="J3414" s="4" t="inlineStr">
        <is>
          <t>CRT1A|2018|1.A.4.a|BIOMASS|N2O</t>
        </is>
      </c>
      <c r="K3414" s="4"/>
      <c r="L3414" s="4"/>
      <c r="M3414" s="4"/>
      <c r="N3414" s="4"/>
      <c r="O3414" s="4"/>
      <c r="P3414" s="4"/>
      <c r="Q3414" s="4" t="inlineStr">
        <is>
          <t>CRT_ANUAL</t>
        </is>
      </c>
      <c r="R3414" s="4"/>
      <c r="S3414" s="4"/>
      <c r="T3414" s="4"/>
      <c r="U3414" s="4"/>
      <c r="V3414" s="4"/>
      <c r="W3414" s="4" t="inlineStr">
        <is>
          <t>1.A.4.a</t>
        </is>
      </c>
      <c r="X3414" s="4"/>
      <c r="Y3414" s="4" t="inlineStr">
        <is>
          <t>BIOMASS</t>
        </is>
      </c>
      <c r="Z3414" s="4" t="inlineStr">
        <is>
          <t>N2O</t>
        </is>
      </c>
      <c r="AA3414" s="4">
        <v>4.000000455557988</v>
      </c>
      <c r="AB3414" s="4" t="inlineStr">
        <is>
          <t>kg N2O/TJ</t>
        </is>
      </c>
      <c r="AC3414" s="4"/>
      <c r="AD3414" s="4"/>
      <c r="AE3414" s="4"/>
      <c r="AF3414" s="4"/>
      <c r="AG3414" s="4"/>
      <c r="AH3414" s="4"/>
      <c r="AI3414" s="4"/>
      <c r="AJ3414" s="4"/>
      <c r="AK3414" s="4"/>
      <c r="AL3414" s="4" t="inlineStr">
        <is>
          <t>Table1.A(a)s4; registro CRT1A|2018|1.A.4.a|BIOMASS|N2O</t>
        </is>
      </c>
      <c r="AM3414" s="4" t="inlineStr">
        <is>
          <t>Factor implícito anual derivado de actividad y emisión CRT del mismo año, categoría, grupo y gas. Registro CRT: CRT1A|2018|1.A.4.a|BIOMASS|N2O.</t>
        </is>
      </c>
    </row>
    <row r="3415" customFormat="false" ht="15" hidden="false" customHeight="false" outlineLevel="0" collapsed="false">
      <c r="A3415" s="4" t="inlineStr">
        <is>
          <t>FACTOR_EMISION_OBS</t>
        </is>
      </c>
      <c r="B3415" s="4" t="inlineStr">
        <is>
          <t>FE_COMB|2018|1.A.4.b|BIOMASS|CO2</t>
        </is>
      </c>
      <c r="C3415" s="4" t="inlineStr">
        <is>
          <t>2018|1.A.4.b|BIOMASS|CO2</t>
        </is>
      </c>
      <c r="D3415" s="4">
        <v>2018.0</v>
      </c>
      <c r="E3415" s="4">
        <v>2018.0</v>
      </c>
      <c r="F3415" s="4" t="inlineStr">
        <is>
          <t>OBS</t>
        </is>
      </c>
      <c r="G3415" s="4" t="inlineStr">
        <is>
          <t>UNFCCC_GTM_CRT_2024</t>
        </is>
      </c>
      <c r="H3415" s="4" t="inlineStr">
        <is>
          <t>Guatemala. 2024 Common Reporting Table (CRT)</t>
        </is>
      </c>
      <c r="I3415" s="4" t="inlineStr">
        <is>
          <t>https://unfccc.int/reports?f%5B0%5D=corporate_author%3A206</t>
        </is>
      </c>
      <c r="J3415" s="4" t="inlineStr">
        <is>
          <t>CRT1A|2018|1.A.4.b|BIOMASS|CO2</t>
        </is>
      </c>
      <c r="K3415" s="4"/>
      <c r="L3415" s="4"/>
      <c r="M3415" s="4"/>
      <c r="N3415" s="4"/>
      <c r="O3415" s="4"/>
      <c r="P3415" s="4"/>
      <c r="Q3415" s="4" t="inlineStr">
        <is>
          <t>CRT_ANUAL</t>
        </is>
      </c>
      <c r="R3415" s="4"/>
      <c r="S3415" s="4"/>
      <c r="T3415" s="4"/>
      <c r="U3415" s="4"/>
      <c r="V3415" s="4"/>
      <c r="W3415" s="4" t="inlineStr">
        <is>
          <t>1.A.4.b</t>
        </is>
      </c>
      <c r="X3415" s="4"/>
      <c r="Y3415" s="4" t="inlineStr">
        <is>
          <t>BIOMASS</t>
        </is>
      </c>
      <c r="Z3415" s="4" t="inlineStr">
        <is>
          <t>CO2</t>
        </is>
      </c>
      <c r="AA3415" s="4">
        <v>112000.00009962199</v>
      </c>
      <c r="AB3415" s="4" t="inlineStr">
        <is>
          <t>kg CO2/TJ</t>
        </is>
      </c>
      <c r="AC3415" s="4"/>
      <c r="AD3415" s="4"/>
      <c r="AE3415" s="4"/>
      <c r="AF3415" s="4"/>
      <c r="AG3415" s="4"/>
      <c r="AH3415" s="4"/>
      <c r="AI3415" s="4"/>
      <c r="AJ3415" s="4"/>
      <c r="AK3415" s="4"/>
      <c r="AL3415" s="4" t="inlineStr">
        <is>
          <t>Table1.A(a)s4; registro CRT1A|2018|1.A.4.b|BIOMASS|CO2</t>
        </is>
      </c>
      <c r="AM3415" s="4" t="inlineStr">
        <is>
          <t>Factor implícito anual derivado de actividad y emisión CRT del mismo año, categoría, grupo y gas. Registro CRT: CRT1A|2018|1.A.4.b|BIOMASS|CO2.</t>
        </is>
      </c>
    </row>
    <row r="3416" customFormat="false" ht="15" hidden="false" customHeight="false" outlineLevel="0" collapsed="false">
      <c r="A3416" s="4" t="inlineStr">
        <is>
          <t>FACTOR_EMISION_OBS</t>
        </is>
      </c>
      <c r="B3416" s="4" t="inlineStr">
        <is>
          <t>FE_COMB|2018|1.A.4.b|BIOMASS|CH4</t>
        </is>
      </c>
      <c r="C3416" s="4" t="inlineStr">
        <is>
          <t>2018|1.A.4.b|BIOMASS|CH4</t>
        </is>
      </c>
      <c r="D3416" s="4">
        <v>2018.0</v>
      </c>
      <c r="E3416" s="4">
        <v>2018.0</v>
      </c>
      <c r="F3416" s="4" t="inlineStr">
        <is>
          <t>OBS</t>
        </is>
      </c>
      <c r="G3416" s="4" t="inlineStr">
        <is>
          <t>UNFCCC_GTM_CRT_2024</t>
        </is>
      </c>
      <c r="H3416" s="4" t="inlineStr">
        <is>
          <t>Guatemala. 2024 Common Reporting Table (CRT)</t>
        </is>
      </c>
      <c r="I3416" s="4" t="inlineStr">
        <is>
          <t>https://unfccc.int/reports?f%5B0%5D=corporate_author%3A206</t>
        </is>
      </c>
      <c r="J3416" s="4" t="inlineStr">
        <is>
          <t>CRT1A|2018|1.A.4.b|BIOMASS|CH4</t>
        </is>
      </c>
      <c r="K3416" s="4"/>
      <c r="L3416" s="4"/>
      <c r="M3416" s="4"/>
      <c r="N3416" s="4"/>
      <c r="O3416" s="4"/>
      <c r="P3416" s="4"/>
      <c r="Q3416" s="4" t="inlineStr">
        <is>
          <t>CRT_ANUAL</t>
        </is>
      </c>
      <c r="R3416" s="4"/>
      <c r="S3416" s="4"/>
      <c r="T3416" s="4"/>
      <c r="U3416" s="4"/>
      <c r="V3416" s="4"/>
      <c r="W3416" s="4" t="inlineStr">
        <is>
          <t>1.A.4.b</t>
        </is>
      </c>
      <c r="X3416" s="4"/>
      <c r="Y3416" s="4" t="inlineStr">
        <is>
          <t>BIOMASS</t>
        </is>
      </c>
      <c r="Z3416" s="4" t="inlineStr">
        <is>
          <t>CH4</t>
        </is>
      </c>
      <c r="AA3416" s="4">
        <v>300.00000035579285</v>
      </c>
      <c r="AB3416" s="4" t="inlineStr">
        <is>
          <t>kg CH4/TJ</t>
        </is>
      </c>
      <c r="AC3416" s="4"/>
      <c r="AD3416" s="4"/>
      <c r="AE3416" s="4"/>
      <c r="AF3416" s="4"/>
      <c r="AG3416" s="4"/>
      <c r="AH3416" s="4"/>
      <c r="AI3416" s="4"/>
      <c r="AJ3416" s="4"/>
      <c r="AK3416" s="4"/>
      <c r="AL3416" s="4" t="inlineStr">
        <is>
          <t>Table1.A(a)s4; registro CRT1A|2018|1.A.4.b|BIOMASS|CH4</t>
        </is>
      </c>
      <c r="AM3416" s="4" t="inlineStr">
        <is>
          <t>Factor implícito anual derivado de actividad y emisión CRT del mismo año, categoría, grupo y gas. Registro CRT: CRT1A|2018|1.A.4.b|BIOMASS|CH4.</t>
        </is>
      </c>
    </row>
    <row r="3417" customFormat="false" ht="15" hidden="false" customHeight="false" outlineLevel="0" collapsed="false">
      <c r="A3417" s="4" t="inlineStr">
        <is>
          <t>FACTOR_EMISION_OBS</t>
        </is>
      </c>
      <c r="B3417" s="4" t="inlineStr">
        <is>
          <t>FE_COMB|2018|1.A.4.b|BIOMASS|N2O</t>
        </is>
      </c>
      <c r="C3417" s="4" t="inlineStr">
        <is>
          <t>2018|1.A.4.b|BIOMASS|N2O</t>
        </is>
      </c>
      <c r="D3417" s="4">
        <v>2018.0</v>
      </c>
      <c r="E3417" s="4">
        <v>2018.0</v>
      </c>
      <c r="F3417" s="4" t="inlineStr">
        <is>
          <t>OBS</t>
        </is>
      </c>
      <c r="G3417" s="4" t="inlineStr">
        <is>
          <t>UNFCCC_GTM_CRT_2024</t>
        </is>
      </c>
      <c r="H3417" s="4" t="inlineStr">
        <is>
          <t>Guatemala. 2024 Common Reporting Table (CRT)</t>
        </is>
      </c>
      <c r="I3417" s="4" t="inlineStr">
        <is>
          <t>https://unfccc.int/reports?f%5B0%5D=corporate_author%3A206</t>
        </is>
      </c>
      <c r="J3417" s="4" t="inlineStr">
        <is>
          <t>CRT1A|2018|1.A.4.b|BIOMASS|N2O</t>
        </is>
      </c>
      <c r="K3417" s="4"/>
      <c r="L3417" s="4"/>
      <c r="M3417" s="4"/>
      <c r="N3417" s="4"/>
      <c r="O3417" s="4"/>
      <c r="P3417" s="4"/>
      <c r="Q3417" s="4" t="inlineStr">
        <is>
          <t>CRT_ANUAL</t>
        </is>
      </c>
      <c r="R3417" s="4"/>
      <c r="S3417" s="4"/>
      <c r="T3417" s="4"/>
      <c r="U3417" s="4"/>
      <c r="V3417" s="4"/>
      <c r="W3417" s="4" t="inlineStr">
        <is>
          <t>1.A.4.b</t>
        </is>
      </c>
      <c r="X3417" s="4"/>
      <c r="Y3417" s="4" t="inlineStr">
        <is>
          <t>BIOMASS</t>
        </is>
      </c>
      <c r="Z3417" s="4" t="inlineStr">
        <is>
          <t>N2O</t>
        </is>
      </c>
      <c r="AA3417" s="4">
        <v>3.9999999857682877</v>
      </c>
      <c r="AB3417" s="4" t="inlineStr">
        <is>
          <t>kg N2O/TJ</t>
        </is>
      </c>
      <c r="AC3417" s="4"/>
      <c r="AD3417" s="4"/>
      <c r="AE3417" s="4"/>
      <c r="AF3417" s="4"/>
      <c r="AG3417" s="4"/>
      <c r="AH3417" s="4"/>
      <c r="AI3417" s="4"/>
      <c r="AJ3417" s="4"/>
      <c r="AK3417" s="4"/>
      <c r="AL3417" s="4" t="inlineStr">
        <is>
          <t>Table1.A(a)s4; registro CRT1A|2018|1.A.4.b|BIOMASS|N2O</t>
        </is>
      </c>
      <c r="AM3417" s="4" t="inlineStr">
        <is>
          <t>Factor implícito anual derivado de actividad y emisión CRT del mismo año, categoría, grupo y gas. Registro CRT: CRT1A|2018|1.A.4.b|BIOMASS|N2O.</t>
        </is>
      </c>
    </row>
    <row r="3418" customFormat="false" ht="15" hidden="false" customHeight="false" outlineLevel="0" collapsed="false">
      <c r="A3418" s="4" t="inlineStr">
        <is>
          <t>FACTOR_EMISION_OBS</t>
        </is>
      </c>
      <c r="B3418" s="4" t="inlineStr">
        <is>
          <t>FE_COMB|2018|1.A.1.a.i|CERO_DIRECTO|CO2</t>
        </is>
      </c>
      <c r="C3418" s="4" t="inlineStr">
        <is>
          <t>2018|1.A.1.a.i|CERO_DIRECTO|CO2</t>
        </is>
      </c>
      <c r="D3418" s="4">
        <v>2018.0</v>
      </c>
      <c r="E3418" s="4">
        <v>2018.0</v>
      </c>
      <c r="F3418" s="4" t="s">
        <v>1990</v>
      </c>
      <c r="G3418" s="4" t="inlineStr">
        <is>
          <t>METODO_EMISIONES</t>
        </is>
      </c>
      <c r="H3418" s="4" t="inlineStr">
        <is>
          <t>Regla metodológica de emisión directa cero</t>
        </is>
      </c>
      <c r="I3418" s="4"/>
      <c r="J3418" s="4" t="inlineStr">
        <is>
          <t>PARAM|CERO|1.A.1.a.i|CO2</t>
        </is>
      </c>
      <c r="K3418" s="4"/>
      <c r="L3418" s="4"/>
      <c r="M3418" s="4"/>
      <c r="N3418" s="4"/>
      <c r="O3418" s="4"/>
      <c r="P3418" s="4"/>
      <c r="Q3418" s="4" t="inlineStr">
        <is>
          <t>CERO_DIRECTO</t>
        </is>
      </c>
      <c r="R3418" s="4"/>
      <c r="S3418" s="4"/>
      <c r="T3418" s="4"/>
      <c r="U3418" s="4"/>
      <c r="V3418" s="4"/>
      <c r="W3418" s="4" t="inlineStr">
        <is>
          <t>1.A.1.a.i</t>
        </is>
      </c>
      <c r="X3418" s="4"/>
      <c r="Y3418" s="4" t="inlineStr">
        <is>
          <t>CERO_DIRECTO</t>
        </is>
      </c>
      <c r="Z3418" s="4" t="inlineStr">
        <is>
          <t>CO2</t>
        </is>
      </c>
      <c r="AA3418" s="4">
        <v>0.0</v>
      </c>
      <c r="AB3418" s="4" t="inlineStr">
        <is>
          <t>kg CO2/TJ</t>
        </is>
      </c>
      <c r="AC3418" s="4"/>
      <c r="AD3418" s="4"/>
      <c r="AE3418" s="4"/>
      <c r="AF3418" s="4"/>
      <c r="AG3418" s="4"/>
      <c r="AH3418" s="4"/>
      <c r="AI3418" s="4"/>
      <c r="AJ3418" s="4"/>
      <c r="AK3418" s="4"/>
      <c r="AL3418" s="4" t="inlineStr">
        <is>
          <t>No aplica — regla interna CERO_DIRECTO; NT-02, sección 9; hoja PARAMETROS</t>
        </is>
      </c>
      <c r="AM3418" s="4" t="inlineStr">
        <is>
          <t>Cero metodológico definido por la correspondencia contable; no procede de una celda numérica independiente de la CRT.</t>
        </is>
      </c>
    </row>
    <row r="3419" customFormat="false" ht="15" hidden="false" customHeight="false" outlineLevel="0" collapsed="false">
      <c r="A3419" s="4" t="inlineStr">
        <is>
          <t>FACTOR_EMISION_OBS</t>
        </is>
      </c>
      <c r="B3419" s="4" t="inlineStr">
        <is>
          <t>FE_COMB|2018|1.A.1.a.i|CERO_DIRECTO|CH4</t>
        </is>
      </c>
      <c r="C3419" s="4" t="inlineStr">
        <is>
          <t>2018|1.A.1.a.i|CERO_DIRECTO|CH4</t>
        </is>
      </c>
      <c r="D3419" s="4">
        <v>2018.0</v>
      </c>
      <c r="E3419" s="4">
        <v>2018.0</v>
      </c>
      <c r="F3419" s="4" t="s">
        <v>1990</v>
      </c>
      <c r="G3419" s="4" t="inlineStr">
        <is>
          <t>METODO_EMISIONES</t>
        </is>
      </c>
      <c r="H3419" s="4" t="inlineStr">
        <is>
          <t>Regla metodológica de emisión directa cero</t>
        </is>
      </c>
      <c r="I3419" s="4"/>
      <c r="J3419" s="4" t="inlineStr">
        <is>
          <t>PARAM|CERO|1.A.1.a.i|CH4</t>
        </is>
      </c>
      <c r="K3419" s="4"/>
      <c r="L3419" s="4"/>
      <c r="M3419" s="4"/>
      <c r="N3419" s="4"/>
      <c r="O3419" s="4"/>
      <c r="P3419" s="4"/>
      <c r="Q3419" s="4" t="inlineStr">
        <is>
          <t>CERO_DIRECTO</t>
        </is>
      </c>
      <c r="R3419" s="4"/>
      <c r="S3419" s="4"/>
      <c r="T3419" s="4"/>
      <c r="U3419" s="4"/>
      <c r="V3419" s="4"/>
      <c r="W3419" s="4" t="inlineStr">
        <is>
          <t>1.A.1.a.i</t>
        </is>
      </c>
      <c r="X3419" s="4"/>
      <c r="Y3419" s="4" t="inlineStr">
        <is>
          <t>CERO_DIRECTO</t>
        </is>
      </c>
      <c r="Z3419" s="4" t="inlineStr">
        <is>
          <t>CH4</t>
        </is>
      </c>
      <c r="AA3419" s="4">
        <v>0.0</v>
      </c>
      <c r="AB3419" s="4" t="inlineStr">
        <is>
          <t>kg CH4/TJ</t>
        </is>
      </c>
      <c r="AC3419" s="4"/>
      <c r="AD3419" s="4"/>
      <c r="AE3419" s="4"/>
      <c r="AF3419" s="4"/>
      <c r="AG3419" s="4"/>
      <c r="AH3419" s="4"/>
      <c r="AI3419" s="4"/>
      <c r="AJ3419" s="4"/>
      <c r="AK3419" s="4"/>
      <c r="AL3419" s="4" t="inlineStr">
        <is>
          <t>No aplica — regla interna CERO_DIRECTO; NT-02, sección 9; hoja PARAMETROS</t>
        </is>
      </c>
      <c r="AM3419" s="4" t="inlineStr">
        <is>
          <t>Cero metodológico definido por la correspondencia contable; no procede de una celda numérica independiente de la CRT.</t>
        </is>
      </c>
    </row>
    <row r="3420" customFormat="false" ht="15" hidden="false" customHeight="false" outlineLevel="0" collapsed="false">
      <c r="A3420" s="4" t="inlineStr">
        <is>
          <t>FACTOR_EMISION_OBS</t>
        </is>
      </c>
      <c r="B3420" s="4" t="inlineStr">
        <is>
          <t>FE_COMB|2018|1.A.1.a.i|CERO_DIRECTO|N2O</t>
        </is>
      </c>
      <c r="C3420" s="4" t="inlineStr">
        <is>
          <t>2018|1.A.1.a.i|CERO_DIRECTO|N2O</t>
        </is>
      </c>
      <c r="D3420" s="4">
        <v>2018.0</v>
      </c>
      <c r="E3420" s="4">
        <v>2018.0</v>
      </c>
      <c r="F3420" s="4" t="s">
        <v>1990</v>
      </c>
      <c r="G3420" s="4" t="inlineStr">
        <is>
          <t>METODO_EMISIONES</t>
        </is>
      </c>
      <c r="H3420" s="4" t="inlineStr">
        <is>
          <t>Regla metodológica de emisión directa cero</t>
        </is>
      </c>
      <c r="I3420" s="4"/>
      <c r="J3420" s="4" t="inlineStr">
        <is>
          <t>PARAM|CERO|1.A.1.a.i|N2O</t>
        </is>
      </c>
      <c r="K3420" s="4"/>
      <c r="L3420" s="4"/>
      <c r="M3420" s="4"/>
      <c r="N3420" s="4"/>
      <c r="O3420" s="4"/>
      <c r="P3420" s="4"/>
      <c r="Q3420" s="4" t="inlineStr">
        <is>
          <t>CERO_DIRECTO</t>
        </is>
      </c>
      <c r="R3420" s="4"/>
      <c r="S3420" s="4"/>
      <c r="T3420" s="4"/>
      <c r="U3420" s="4"/>
      <c r="V3420" s="4"/>
      <c r="W3420" s="4" t="inlineStr">
        <is>
          <t>1.A.1.a.i</t>
        </is>
      </c>
      <c r="X3420" s="4"/>
      <c r="Y3420" s="4" t="inlineStr">
        <is>
          <t>CERO_DIRECTO</t>
        </is>
      </c>
      <c r="Z3420" s="4" t="inlineStr">
        <is>
          <t>N2O</t>
        </is>
      </c>
      <c r="AA3420" s="4">
        <v>0.0</v>
      </c>
      <c r="AB3420" s="4" t="inlineStr">
        <is>
          <t>kg N2O/TJ</t>
        </is>
      </c>
      <c r="AC3420" s="4"/>
      <c r="AD3420" s="4"/>
      <c r="AE3420" s="4"/>
      <c r="AF3420" s="4"/>
      <c r="AG3420" s="4"/>
      <c r="AH3420" s="4"/>
      <c r="AI3420" s="4"/>
      <c r="AJ3420" s="4"/>
      <c r="AK3420" s="4"/>
      <c r="AL3420" s="4" t="inlineStr">
        <is>
          <t>No aplica — regla interna CERO_DIRECTO; NT-02, sección 9; hoja PARAMETROS</t>
        </is>
      </c>
      <c r="AM3420" s="4" t="inlineStr">
        <is>
          <t>Cero metodológico definido por la correspondencia contable; no procede de una celda numérica independiente de la CRT.</t>
        </is>
      </c>
    </row>
    <row r="3421" customFormat="false" ht="15" hidden="false" customHeight="false" outlineLevel="0" collapsed="false">
      <c r="A3421" s="4" t="inlineStr">
        <is>
          <t>FACTOR_EMISION_OBS</t>
        </is>
      </c>
      <c r="B3421" s="4" t="inlineStr">
        <is>
          <t>FE_COMB|2018|1.A.1.c|CERO_DIRECTO|CO2</t>
        </is>
      </c>
      <c r="C3421" s="4" t="inlineStr">
        <is>
          <t>2018|1.A.1.c|CERO_DIRECTO|CO2</t>
        </is>
      </c>
      <c r="D3421" s="4">
        <v>2018.0</v>
      </c>
      <c r="E3421" s="4">
        <v>2018.0</v>
      </c>
      <c r="F3421" s="4" t="s">
        <v>1990</v>
      </c>
      <c r="G3421" s="4" t="inlineStr">
        <is>
          <t>METODO_EMISIONES</t>
        </is>
      </c>
      <c r="H3421" s="4" t="inlineStr">
        <is>
          <t>Regla metodológica de emisión directa cero</t>
        </is>
      </c>
      <c r="I3421" s="4"/>
      <c r="J3421" s="4" t="inlineStr">
        <is>
          <t>PARAM|CERO|1.A.1.c|CO2</t>
        </is>
      </c>
      <c r="K3421" s="4"/>
      <c r="L3421" s="4"/>
      <c r="M3421" s="4"/>
      <c r="N3421" s="4"/>
      <c r="O3421" s="4"/>
      <c r="P3421" s="4"/>
      <c r="Q3421" s="4" t="inlineStr">
        <is>
          <t>CERO_DIRECTO</t>
        </is>
      </c>
      <c r="R3421" s="4"/>
      <c r="S3421" s="4"/>
      <c r="T3421" s="4"/>
      <c r="U3421" s="4"/>
      <c r="V3421" s="4"/>
      <c r="W3421" s="4" t="inlineStr">
        <is>
          <t>1.A.1.c</t>
        </is>
      </c>
      <c r="X3421" s="4"/>
      <c r="Y3421" s="4" t="inlineStr">
        <is>
          <t>CERO_DIRECTO</t>
        </is>
      </c>
      <c r="Z3421" s="4" t="inlineStr">
        <is>
          <t>CO2</t>
        </is>
      </c>
      <c r="AA3421" s="4">
        <v>0.0</v>
      </c>
      <c r="AB3421" s="4" t="inlineStr">
        <is>
          <t>kg CO2/TJ</t>
        </is>
      </c>
      <c r="AC3421" s="4"/>
      <c r="AD3421" s="4"/>
      <c r="AE3421" s="4"/>
      <c r="AF3421" s="4"/>
      <c r="AG3421" s="4"/>
      <c r="AH3421" s="4"/>
      <c r="AI3421" s="4"/>
      <c r="AJ3421" s="4"/>
      <c r="AK3421" s="4"/>
      <c r="AL3421" s="4" t="inlineStr">
        <is>
          <t>No aplica — regla interna CERO_DIRECTO; NT-02, sección 9; hoja PARAMETROS</t>
        </is>
      </c>
      <c r="AM3421" s="4" t="inlineStr">
        <is>
          <t>Cero metodológico definido por la correspondencia contable; no procede de una celda numérica independiente de la CRT.</t>
        </is>
      </c>
    </row>
    <row r="3422" customFormat="false" ht="15" hidden="false" customHeight="false" outlineLevel="0" collapsed="false">
      <c r="A3422" s="4" t="inlineStr">
        <is>
          <t>FACTOR_EMISION_OBS</t>
        </is>
      </c>
      <c r="B3422" s="4" t="inlineStr">
        <is>
          <t>FE_COMB|2018|1.A.1.c|CERO_DIRECTO|CH4</t>
        </is>
      </c>
      <c r="C3422" s="4" t="inlineStr">
        <is>
          <t>2018|1.A.1.c|CERO_DIRECTO|CH4</t>
        </is>
      </c>
      <c r="D3422" s="4">
        <v>2018.0</v>
      </c>
      <c r="E3422" s="4">
        <v>2018.0</v>
      </c>
      <c r="F3422" s="4" t="s">
        <v>1990</v>
      </c>
      <c r="G3422" s="4" t="inlineStr">
        <is>
          <t>METODO_EMISIONES</t>
        </is>
      </c>
      <c r="H3422" s="4" t="inlineStr">
        <is>
          <t>Regla metodológica de emisión directa cero</t>
        </is>
      </c>
      <c r="I3422" s="4"/>
      <c r="J3422" s="4" t="inlineStr">
        <is>
          <t>PARAM|CERO|1.A.1.c|CH4</t>
        </is>
      </c>
      <c r="K3422" s="4"/>
      <c r="L3422" s="4"/>
      <c r="M3422" s="4"/>
      <c r="N3422" s="4"/>
      <c r="O3422" s="4"/>
      <c r="P3422" s="4"/>
      <c r="Q3422" s="4" t="inlineStr">
        <is>
          <t>CERO_DIRECTO</t>
        </is>
      </c>
      <c r="R3422" s="4"/>
      <c r="S3422" s="4"/>
      <c r="T3422" s="4"/>
      <c r="U3422" s="4"/>
      <c r="V3422" s="4"/>
      <c r="W3422" s="4" t="inlineStr">
        <is>
          <t>1.A.1.c</t>
        </is>
      </c>
      <c r="X3422" s="4"/>
      <c r="Y3422" s="4" t="inlineStr">
        <is>
          <t>CERO_DIRECTO</t>
        </is>
      </c>
      <c r="Z3422" s="4" t="inlineStr">
        <is>
          <t>CH4</t>
        </is>
      </c>
      <c r="AA3422" s="4">
        <v>0.0</v>
      </c>
      <c r="AB3422" s="4" t="inlineStr">
        <is>
          <t>kg CH4/TJ</t>
        </is>
      </c>
      <c r="AC3422" s="4"/>
      <c r="AD3422" s="4"/>
      <c r="AE3422" s="4"/>
      <c r="AF3422" s="4"/>
      <c r="AG3422" s="4"/>
      <c r="AH3422" s="4"/>
      <c r="AI3422" s="4"/>
      <c r="AJ3422" s="4"/>
      <c r="AK3422" s="4"/>
      <c r="AL3422" s="4" t="inlineStr">
        <is>
          <t>No aplica — regla interna CERO_DIRECTO; NT-02, sección 9; hoja PARAMETROS</t>
        </is>
      </c>
      <c r="AM3422" s="4" t="inlineStr">
        <is>
          <t>Cero metodológico definido por la correspondencia contable; no procede de una celda numérica independiente de la CRT.</t>
        </is>
      </c>
    </row>
    <row r="3423" customFormat="false" ht="15" hidden="false" customHeight="false" outlineLevel="0" collapsed="false">
      <c r="A3423" s="4" t="inlineStr">
        <is>
          <t>FACTOR_EMISION_OBS</t>
        </is>
      </c>
      <c r="B3423" s="4" t="inlineStr">
        <is>
          <t>FE_COMB|2018|1.A.1.c|CERO_DIRECTO|N2O</t>
        </is>
      </c>
      <c r="C3423" s="4" t="inlineStr">
        <is>
          <t>2018|1.A.1.c|CERO_DIRECTO|N2O</t>
        </is>
      </c>
      <c r="D3423" s="4">
        <v>2018.0</v>
      </c>
      <c r="E3423" s="4">
        <v>2018.0</v>
      </c>
      <c r="F3423" s="4" t="s">
        <v>1990</v>
      </c>
      <c r="G3423" s="4" t="inlineStr">
        <is>
          <t>METODO_EMISIONES</t>
        </is>
      </c>
      <c r="H3423" s="4" t="inlineStr">
        <is>
          <t>Regla metodológica de emisión directa cero</t>
        </is>
      </c>
      <c r="I3423" s="4"/>
      <c r="J3423" s="4" t="inlineStr">
        <is>
          <t>PARAM|CERO|1.A.1.c|N2O</t>
        </is>
      </c>
      <c r="K3423" s="4"/>
      <c r="L3423" s="4"/>
      <c r="M3423" s="4"/>
      <c r="N3423" s="4"/>
      <c r="O3423" s="4"/>
      <c r="P3423" s="4"/>
      <c r="Q3423" s="4" t="inlineStr">
        <is>
          <t>CERO_DIRECTO</t>
        </is>
      </c>
      <c r="R3423" s="4"/>
      <c r="S3423" s="4"/>
      <c r="T3423" s="4"/>
      <c r="U3423" s="4"/>
      <c r="V3423" s="4"/>
      <c r="W3423" s="4" t="inlineStr">
        <is>
          <t>1.A.1.c</t>
        </is>
      </c>
      <c r="X3423" s="4"/>
      <c r="Y3423" s="4" t="inlineStr">
        <is>
          <t>CERO_DIRECTO</t>
        </is>
      </c>
      <c r="Z3423" s="4" t="inlineStr">
        <is>
          <t>N2O</t>
        </is>
      </c>
      <c r="AA3423" s="4">
        <v>0.0</v>
      </c>
      <c r="AB3423" s="4" t="inlineStr">
        <is>
          <t>kg N2O/TJ</t>
        </is>
      </c>
      <c r="AC3423" s="4"/>
      <c r="AD3423" s="4"/>
      <c r="AE3423" s="4"/>
      <c r="AF3423" s="4"/>
      <c r="AG3423" s="4"/>
      <c r="AH3423" s="4"/>
      <c r="AI3423" s="4"/>
      <c r="AJ3423" s="4"/>
      <c r="AK3423" s="4"/>
      <c r="AL3423" s="4" t="inlineStr">
        <is>
          <t>No aplica — regla interna CERO_DIRECTO; NT-02, sección 9; hoja PARAMETROS</t>
        </is>
      </c>
      <c r="AM3423" s="4" t="inlineStr">
        <is>
          <t>Cero metodológico definido por la correspondencia contable; no procede de una celda numérica independiente de la CRT.</t>
        </is>
      </c>
    </row>
    <row r="3424" customFormat="false" ht="15" hidden="false" customHeight="false" outlineLevel="0" collapsed="false">
      <c r="A3424" s="4" t="inlineStr">
        <is>
          <t>FACTOR_EMISION_OBS</t>
        </is>
      </c>
      <c r="B3424" s="4" t="inlineStr">
        <is>
          <t>FE_COMB|2018|1.A.2|CERO_DIRECTO|CO2</t>
        </is>
      </c>
      <c r="C3424" s="4" t="inlineStr">
        <is>
          <t>2018|1.A.2|CERO_DIRECTO|CO2</t>
        </is>
      </c>
      <c r="D3424" s="4">
        <v>2018.0</v>
      </c>
      <c r="E3424" s="4">
        <v>2018.0</v>
      </c>
      <c r="F3424" s="4" t="s">
        <v>1990</v>
      </c>
      <c r="G3424" s="4" t="inlineStr">
        <is>
          <t>METODO_EMISIONES</t>
        </is>
      </c>
      <c r="H3424" s="4" t="inlineStr">
        <is>
          <t>Regla metodológica de emisión directa cero</t>
        </is>
      </c>
      <c r="I3424" s="4"/>
      <c r="J3424" s="4" t="inlineStr">
        <is>
          <t>PARAM|CERO|1.A.2|CO2</t>
        </is>
      </c>
      <c r="K3424" s="4"/>
      <c r="L3424" s="4"/>
      <c r="M3424" s="4"/>
      <c r="N3424" s="4"/>
      <c r="O3424" s="4"/>
      <c r="P3424" s="4"/>
      <c r="Q3424" s="4" t="inlineStr">
        <is>
          <t>CERO_DIRECTO</t>
        </is>
      </c>
      <c r="R3424" s="4"/>
      <c r="S3424" s="4"/>
      <c r="T3424" s="4"/>
      <c r="U3424" s="4"/>
      <c r="V3424" s="4"/>
      <c r="W3424" s="4" t="inlineStr">
        <is>
          <t>1.A.2</t>
        </is>
      </c>
      <c r="X3424" s="4"/>
      <c r="Y3424" s="4" t="inlineStr">
        <is>
          <t>CERO_DIRECTO</t>
        </is>
      </c>
      <c r="Z3424" s="4" t="inlineStr">
        <is>
          <t>CO2</t>
        </is>
      </c>
      <c r="AA3424" s="4">
        <v>0.0</v>
      </c>
      <c r="AB3424" s="4" t="inlineStr">
        <is>
          <t>kg CO2/TJ</t>
        </is>
      </c>
      <c r="AC3424" s="4"/>
      <c r="AD3424" s="4"/>
      <c r="AE3424" s="4"/>
      <c r="AF3424" s="4"/>
      <c r="AG3424" s="4"/>
      <c r="AH3424" s="4"/>
      <c r="AI3424" s="4"/>
      <c r="AJ3424" s="4"/>
      <c r="AK3424" s="4"/>
      <c r="AL3424" s="4" t="inlineStr">
        <is>
          <t>No aplica — regla interna CERO_DIRECTO; NT-02, sección 9; hoja PARAMETROS</t>
        </is>
      </c>
      <c r="AM3424" s="4" t="inlineStr">
        <is>
          <t>Cero metodológico definido por la correspondencia contable; no procede de una celda numérica independiente de la CRT.</t>
        </is>
      </c>
    </row>
    <row r="3425" customFormat="false" ht="15" hidden="false" customHeight="false" outlineLevel="0" collapsed="false">
      <c r="A3425" s="4" t="inlineStr">
        <is>
          <t>FACTOR_EMISION_OBS</t>
        </is>
      </c>
      <c r="B3425" s="4" t="inlineStr">
        <is>
          <t>FE_COMB|2018|1.A.2|CERO_DIRECTO|CH4</t>
        </is>
      </c>
      <c r="C3425" s="4" t="inlineStr">
        <is>
          <t>2018|1.A.2|CERO_DIRECTO|CH4</t>
        </is>
      </c>
      <c r="D3425" s="4">
        <v>2018.0</v>
      </c>
      <c r="E3425" s="4">
        <v>2018.0</v>
      </c>
      <c r="F3425" s="4" t="s">
        <v>1990</v>
      </c>
      <c r="G3425" s="4" t="inlineStr">
        <is>
          <t>METODO_EMISIONES</t>
        </is>
      </c>
      <c r="H3425" s="4" t="inlineStr">
        <is>
          <t>Regla metodológica de emisión directa cero</t>
        </is>
      </c>
      <c r="I3425" s="4"/>
      <c r="J3425" s="4" t="inlineStr">
        <is>
          <t>PARAM|CERO|1.A.2|CH4</t>
        </is>
      </c>
      <c r="K3425" s="4"/>
      <c r="L3425" s="4"/>
      <c r="M3425" s="4"/>
      <c r="N3425" s="4"/>
      <c r="O3425" s="4"/>
      <c r="P3425" s="4"/>
      <c r="Q3425" s="4" t="inlineStr">
        <is>
          <t>CERO_DIRECTO</t>
        </is>
      </c>
      <c r="R3425" s="4"/>
      <c r="S3425" s="4"/>
      <c r="T3425" s="4"/>
      <c r="U3425" s="4"/>
      <c r="V3425" s="4"/>
      <c r="W3425" s="4" t="inlineStr">
        <is>
          <t>1.A.2</t>
        </is>
      </c>
      <c r="X3425" s="4"/>
      <c r="Y3425" s="4" t="inlineStr">
        <is>
          <t>CERO_DIRECTO</t>
        </is>
      </c>
      <c r="Z3425" s="4" t="inlineStr">
        <is>
          <t>CH4</t>
        </is>
      </c>
      <c r="AA3425" s="4">
        <v>0.0</v>
      </c>
      <c r="AB3425" s="4" t="inlineStr">
        <is>
          <t>kg CH4/TJ</t>
        </is>
      </c>
      <c r="AC3425" s="4"/>
      <c r="AD3425" s="4"/>
      <c r="AE3425" s="4"/>
      <c r="AF3425" s="4"/>
      <c r="AG3425" s="4"/>
      <c r="AH3425" s="4"/>
      <c r="AI3425" s="4"/>
      <c r="AJ3425" s="4"/>
      <c r="AK3425" s="4"/>
      <c r="AL3425" s="4" t="inlineStr">
        <is>
          <t>No aplica — regla interna CERO_DIRECTO; NT-02, sección 9; hoja PARAMETROS</t>
        </is>
      </c>
      <c r="AM3425" s="4" t="inlineStr">
        <is>
          <t>Cero metodológico definido por la correspondencia contable; no procede de una celda numérica independiente de la CRT.</t>
        </is>
      </c>
    </row>
    <row r="3426" customFormat="false" ht="15" hidden="false" customHeight="false" outlineLevel="0" collapsed="false">
      <c r="A3426" s="4" t="inlineStr">
        <is>
          <t>FACTOR_EMISION_OBS</t>
        </is>
      </c>
      <c r="B3426" s="4" t="inlineStr">
        <is>
          <t>FE_COMB|2018|1.A.2|CERO_DIRECTO|N2O</t>
        </is>
      </c>
      <c r="C3426" s="4" t="inlineStr">
        <is>
          <t>2018|1.A.2|CERO_DIRECTO|N2O</t>
        </is>
      </c>
      <c r="D3426" s="4">
        <v>2018.0</v>
      </c>
      <c r="E3426" s="4">
        <v>2018.0</v>
      </c>
      <c r="F3426" s="4" t="s">
        <v>1990</v>
      </c>
      <c r="G3426" s="4" t="inlineStr">
        <is>
          <t>METODO_EMISIONES</t>
        </is>
      </c>
      <c r="H3426" s="4" t="inlineStr">
        <is>
          <t>Regla metodológica de emisión directa cero</t>
        </is>
      </c>
      <c r="I3426" s="4"/>
      <c r="J3426" s="4" t="inlineStr">
        <is>
          <t>PARAM|CERO|1.A.2|N2O</t>
        </is>
      </c>
      <c r="K3426" s="4"/>
      <c r="L3426" s="4"/>
      <c r="M3426" s="4"/>
      <c r="N3426" s="4"/>
      <c r="O3426" s="4"/>
      <c r="P3426" s="4"/>
      <c r="Q3426" s="4" t="inlineStr">
        <is>
          <t>CERO_DIRECTO</t>
        </is>
      </c>
      <c r="R3426" s="4"/>
      <c r="S3426" s="4"/>
      <c r="T3426" s="4"/>
      <c r="U3426" s="4"/>
      <c r="V3426" s="4"/>
      <c r="W3426" s="4" t="inlineStr">
        <is>
          <t>1.A.2</t>
        </is>
      </c>
      <c r="X3426" s="4"/>
      <c r="Y3426" s="4" t="inlineStr">
        <is>
          <t>CERO_DIRECTO</t>
        </is>
      </c>
      <c r="Z3426" s="4" t="inlineStr">
        <is>
          <t>N2O</t>
        </is>
      </c>
      <c r="AA3426" s="4">
        <v>0.0</v>
      </c>
      <c r="AB3426" s="4" t="inlineStr">
        <is>
          <t>kg N2O/TJ</t>
        </is>
      </c>
      <c r="AC3426" s="4"/>
      <c r="AD3426" s="4"/>
      <c r="AE3426" s="4"/>
      <c r="AF3426" s="4"/>
      <c r="AG3426" s="4"/>
      <c r="AH3426" s="4"/>
      <c r="AI3426" s="4"/>
      <c r="AJ3426" s="4"/>
      <c r="AK3426" s="4"/>
      <c r="AL3426" s="4" t="inlineStr">
        <is>
          <t>No aplica — regla interna CERO_DIRECTO; NT-02, sección 9; hoja PARAMETROS</t>
        </is>
      </c>
      <c r="AM3426" s="4" t="inlineStr">
        <is>
          <t>Cero metodológico definido por la correspondencia contable; no procede de una celda numérica independiente de la CRT.</t>
        </is>
      </c>
    </row>
    <row r="3427" customFormat="false" ht="15" hidden="false" customHeight="false" outlineLevel="0" collapsed="false">
      <c r="A3427" s="4" t="inlineStr">
        <is>
          <t>FACTOR_EMISION_OBS</t>
        </is>
      </c>
      <c r="B3427" s="4" t="inlineStr">
        <is>
          <t>FE_COMB|2018|1.A.3|CERO_DIRECTO|CO2</t>
        </is>
      </c>
      <c r="C3427" s="4" t="inlineStr">
        <is>
          <t>2018|1.A.3|CERO_DIRECTO|CO2</t>
        </is>
      </c>
      <c r="D3427" s="4">
        <v>2018.0</v>
      </c>
      <c r="E3427" s="4">
        <v>2018.0</v>
      </c>
      <c r="F3427" s="4" t="s">
        <v>1990</v>
      </c>
      <c r="G3427" s="4" t="inlineStr">
        <is>
          <t>METODO_EMISIONES</t>
        </is>
      </c>
      <c r="H3427" s="4" t="inlineStr">
        <is>
          <t>Regla metodológica de emisión directa cero</t>
        </is>
      </c>
      <c r="I3427" s="4"/>
      <c r="J3427" s="4" t="inlineStr">
        <is>
          <t>PARAM|CERO|1.A.3|CO2</t>
        </is>
      </c>
      <c r="K3427" s="4"/>
      <c r="L3427" s="4"/>
      <c r="M3427" s="4"/>
      <c r="N3427" s="4"/>
      <c r="O3427" s="4"/>
      <c r="P3427" s="4"/>
      <c r="Q3427" s="4" t="inlineStr">
        <is>
          <t>CERO_DIRECTO</t>
        </is>
      </c>
      <c r="R3427" s="4"/>
      <c r="S3427" s="4"/>
      <c r="T3427" s="4"/>
      <c r="U3427" s="4"/>
      <c r="V3427" s="4"/>
      <c r="W3427" s="4" t="inlineStr">
        <is>
          <t>1.A.3</t>
        </is>
      </c>
      <c r="X3427" s="4"/>
      <c r="Y3427" s="4" t="inlineStr">
        <is>
          <t>CERO_DIRECTO</t>
        </is>
      </c>
      <c r="Z3427" s="4" t="inlineStr">
        <is>
          <t>CO2</t>
        </is>
      </c>
      <c r="AA3427" s="4">
        <v>0.0</v>
      </c>
      <c r="AB3427" s="4" t="inlineStr">
        <is>
          <t>kg CO2/TJ</t>
        </is>
      </c>
      <c r="AC3427" s="4"/>
      <c r="AD3427" s="4"/>
      <c r="AE3427" s="4"/>
      <c r="AF3427" s="4"/>
      <c r="AG3427" s="4"/>
      <c r="AH3427" s="4"/>
      <c r="AI3427" s="4"/>
      <c r="AJ3427" s="4"/>
      <c r="AK3427" s="4"/>
      <c r="AL3427" s="4" t="inlineStr">
        <is>
          <t>No aplica — regla interna CERO_DIRECTO; NT-02, sección 9; hoja PARAMETROS</t>
        </is>
      </c>
      <c r="AM3427" s="4" t="inlineStr">
        <is>
          <t>Cero metodológico definido por la correspondencia contable; no procede de una celda numérica independiente de la CRT.</t>
        </is>
      </c>
    </row>
    <row r="3428" customFormat="false" ht="15" hidden="false" customHeight="false" outlineLevel="0" collapsed="false">
      <c r="A3428" s="4" t="inlineStr">
        <is>
          <t>FACTOR_EMISION_OBS</t>
        </is>
      </c>
      <c r="B3428" s="4" t="inlineStr">
        <is>
          <t>FE_COMB|2018|1.A.3|CERO_DIRECTO|CH4</t>
        </is>
      </c>
      <c r="C3428" s="4" t="inlineStr">
        <is>
          <t>2018|1.A.3|CERO_DIRECTO|CH4</t>
        </is>
      </c>
      <c r="D3428" s="4">
        <v>2018.0</v>
      </c>
      <c r="E3428" s="4">
        <v>2018.0</v>
      </c>
      <c r="F3428" s="4" t="s">
        <v>1990</v>
      </c>
      <c r="G3428" s="4" t="inlineStr">
        <is>
          <t>METODO_EMISIONES</t>
        </is>
      </c>
      <c r="H3428" s="4" t="inlineStr">
        <is>
          <t>Regla metodológica de emisión directa cero</t>
        </is>
      </c>
      <c r="I3428" s="4"/>
      <c r="J3428" s="4" t="inlineStr">
        <is>
          <t>PARAM|CERO|1.A.3|CH4</t>
        </is>
      </c>
      <c r="K3428" s="4"/>
      <c r="L3428" s="4"/>
      <c r="M3428" s="4"/>
      <c r="N3428" s="4"/>
      <c r="O3428" s="4"/>
      <c r="P3428" s="4"/>
      <c r="Q3428" s="4" t="inlineStr">
        <is>
          <t>CERO_DIRECTO</t>
        </is>
      </c>
      <c r="R3428" s="4"/>
      <c r="S3428" s="4"/>
      <c r="T3428" s="4"/>
      <c r="U3428" s="4"/>
      <c r="V3428" s="4"/>
      <c r="W3428" s="4" t="inlineStr">
        <is>
          <t>1.A.3</t>
        </is>
      </c>
      <c r="X3428" s="4"/>
      <c r="Y3428" s="4" t="inlineStr">
        <is>
          <t>CERO_DIRECTO</t>
        </is>
      </c>
      <c r="Z3428" s="4" t="inlineStr">
        <is>
          <t>CH4</t>
        </is>
      </c>
      <c r="AA3428" s="4">
        <v>0.0</v>
      </c>
      <c r="AB3428" s="4" t="inlineStr">
        <is>
          <t>kg CH4/TJ</t>
        </is>
      </c>
      <c r="AC3428" s="4"/>
      <c r="AD3428" s="4"/>
      <c r="AE3428" s="4"/>
      <c r="AF3428" s="4"/>
      <c r="AG3428" s="4"/>
      <c r="AH3428" s="4"/>
      <c r="AI3428" s="4"/>
      <c r="AJ3428" s="4"/>
      <c r="AK3428" s="4"/>
      <c r="AL3428" s="4" t="inlineStr">
        <is>
          <t>No aplica — regla interna CERO_DIRECTO; NT-02, sección 9; hoja PARAMETROS</t>
        </is>
      </c>
      <c r="AM3428" s="4" t="inlineStr">
        <is>
          <t>Cero metodológico definido por la correspondencia contable; no procede de una celda numérica independiente de la CRT.</t>
        </is>
      </c>
    </row>
    <row r="3429" customFormat="false" ht="15" hidden="false" customHeight="false" outlineLevel="0" collapsed="false">
      <c r="A3429" s="4" t="inlineStr">
        <is>
          <t>FACTOR_EMISION_OBS</t>
        </is>
      </c>
      <c r="B3429" s="4" t="inlineStr">
        <is>
          <t>FE_COMB|2018|1.A.3|CERO_DIRECTO|N2O</t>
        </is>
      </c>
      <c r="C3429" s="4" t="inlineStr">
        <is>
          <t>2018|1.A.3|CERO_DIRECTO|N2O</t>
        </is>
      </c>
      <c r="D3429" s="4">
        <v>2018.0</v>
      </c>
      <c r="E3429" s="4">
        <v>2018.0</v>
      </c>
      <c r="F3429" s="4" t="s">
        <v>1990</v>
      </c>
      <c r="G3429" s="4" t="inlineStr">
        <is>
          <t>METODO_EMISIONES</t>
        </is>
      </c>
      <c r="H3429" s="4" t="inlineStr">
        <is>
          <t>Regla metodológica de emisión directa cero</t>
        </is>
      </c>
      <c r="I3429" s="4"/>
      <c r="J3429" s="4" t="inlineStr">
        <is>
          <t>PARAM|CERO|1.A.3|N2O</t>
        </is>
      </c>
      <c r="K3429" s="4"/>
      <c r="L3429" s="4"/>
      <c r="M3429" s="4"/>
      <c r="N3429" s="4"/>
      <c r="O3429" s="4"/>
      <c r="P3429" s="4"/>
      <c r="Q3429" s="4" t="inlineStr">
        <is>
          <t>CERO_DIRECTO</t>
        </is>
      </c>
      <c r="R3429" s="4"/>
      <c r="S3429" s="4"/>
      <c r="T3429" s="4"/>
      <c r="U3429" s="4"/>
      <c r="V3429" s="4"/>
      <c r="W3429" s="4" t="inlineStr">
        <is>
          <t>1.A.3</t>
        </is>
      </c>
      <c r="X3429" s="4"/>
      <c r="Y3429" s="4" t="inlineStr">
        <is>
          <t>CERO_DIRECTO</t>
        </is>
      </c>
      <c r="Z3429" s="4" t="inlineStr">
        <is>
          <t>N2O</t>
        </is>
      </c>
      <c r="AA3429" s="4">
        <v>0.0</v>
      </c>
      <c r="AB3429" s="4" t="inlineStr">
        <is>
          <t>kg N2O/TJ</t>
        </is>
      </c>
      <c r="AC3429" s="4"/>
      <c r="AD3429" s="4"/>
      <c r="AE3429" s="4"/>
      <c r="AF3429" s="4"/>
      <c r="AG3429" s="4"/>
      <c r="AH3429" s="4"/>
      <c r="AI3429" s="4"/>
      <c r="AJ3429" s="4"/>
      <c r="AK3429" s="4"/>
      <c r="AL3429" s="4" t="inlineStr">
        <is>
          <t>No aplica — regla interna CERO_DIRECTO; NT-02, sección 9; hoja PARAMETROS</t>
        </is>
      </c>
      <c r="AM3429" s="4" t="inlineStr">
        <is>
          <t>Cero metodológico definido por la correspondencia contable; no procede de una celda numérica independiente de la CRT.</t>
        </is>
      </c>
    </row>
    <row r="3430" customFormat="false" ht="15" hidden="false" customHeight="false" outlineLevel="0" collapsed="false">
      <c r="A3430" s="4" t="inlineStr">
        <is>
          <t>FACTOR_EMISION_OBS</t>
        </is>
      </c>
      <c r="B3430" s="4" t="inlineStr">
        <is>
          <t>FE_COMB|2018|1.A.4.a|CERO_DIRECTO|CO2</t>
        </is>
      </c>
      <c r="C3430" s="4" t="inlineStr">
        <is>
          <t>2018|1.A.4.a|CERO_DIRECTO|CO2</t>
        </is>
      </c>
      <c r="D3430" s="4">
        <v>2018.0</v>
      </c>
      <c r="E3430" s="4">
        <v>2018.0</v>
      </c>
      <c r="F3430" s="4" t="s">
        <v>1990</v>
      </c>
      <c r="G3430" s="4" t="inlineStr">
        <is>
          <t>METODO_EMISIONES</t>
        </is>
      </c>
      <c r="H3430" s="4" t="inlineStr">
        <is>
          <t>Regla metodológica de emisión directa cero</t>
        </is>
      </c>
      <c r="I3430" s="4"/>
      <c r="J3430" s="4" t="inlineStr">
        <is>
          <t>PARAM|CERO|1.A.4.a|CO2</t>
        </is>
      </c>
      <c r="K3430" s="4"/>
      <c r="L3430" s="4"/>
      <c r="M3430" s="4"/>
      <c r="N3430" s="4"/>
      <c r="O3430" s="4"/>
      <c r="P3430" s="4"/>
      <c r="Q3430" s="4" t="inlineStr">
        <is>
          <t>CERO_DIRECTO</t>
        </is>
      </c>
      <c r="R3430" s="4"/>
      <c r="S3430" s="4"/>
      <c r="T3430" s="4"/>
      <c r="U3430" s="4"/>
      <c r="V3430" s="4"/>
      <c r="W3430" s="4" t="inlineStr">
        <is>
          <t>1.A.4.a</t>
        </is>
      </c>
      <c r="X3430" s="4"/>
      <c r="Y3430" s="4" t="inlineStr">
        <is>
          <t>CERO_DIRECTO</t>
        </is>
      </c>
      <c r="Z3430" s="4" t="inlineStr">
        <is>
          <t>CO2</t>
        </is>
      </c>
      <c r="AA3430" s="4">
        <v>0.0</v>
      </c>
      <c r="AB3430" s="4" t="inlineStr">
        <is>
          <t>kg CO2/TJ</t>
        </is>
      </c>
      <c r="AC3430" s="4"/>
      <c r="AD3430" s="4"/>
      <c r="AE3430" s="4"/>
      <c r="AF3430" s="4"/>
      <c r="AG3430" s="4"/>
      <c r="AH3430" s="4"/>
      <c r="AI3430" s="4"/>
      <c r="AJ3430" s="4"/>
      <c r="AK3430" s="4"/>
      <c r="AL3430" s="4" t="inlineStr">
        <is>
          <t>No aplica — regla interna CERO_DIRECTO; NT-02, sección 9; hoja PARAMETROS</t>
        </is>
      </c>
      <c r="AM3430" s="4" t="inlineStr">
        <is>
          <t>Cero metodológico definido por la correspondencia contable; no procede de una celda numérica independiente de la CRT.</t>
        </is>
      </c>
    </row>
    <row r="3431" customFormat="false" ht="15" hidden="false" customHeight="false" outlineLevel="0" collapsed="false">
      <c r="A3431" s="4" t="inlineStr">
        <is>
          <t>FACTOR_EMISION_OBS</t>
        </is>
      </c>
      <c r="B3431" s="4" t="inlineStr">
        <is>
          <t>FE_COMB|2018|1.A.4.a|CERO_DIRECTO|CH4</t>
        </is>
      </c>
      <c r="C3431" s="4" t="inlineStr">
        <is>
          <t>2018|1.A.4.a|CERO_DIRECTO|CH4</t>
        </is>
      </c>
      <c r="D3431" s="4">
        <v>2018.0</v>
      </c>
      <c r="E3431" s="4">
        <v>2018.0</v>
      </c>
      <c r="F3431" s="4" t="s">
        <v>1990</v>
      </c>
      <c r="G3431" s="4" t="inlineStr">
        <is>
          <t>METODO_EMISIONES</t>
        </is>
      </c>
      <c r="H3431" s="4" t="inlineStr">
        <is>
          <t>Regla metodológica de emisión directa cero</t>
        </is>
      </c>
      <c r="I3431" s="4"/>
      <c r="J3431" s="4" t="inlineStr">
        <is>
          <t>PARAM|CERO|1.A.4.a|CH4</t>
        </is>
      </c>
      <c r="K3431" s="4"/>
      <c r="L3431" s="4"/>
      <c r="M3431" s="4"/>
      <c r="N3431" s="4"/>
      <c r="O3431" s="4"/>
      <c r="P3431" s="4"/>
      <c r="Q3431" s="4" t="inlineStr">
        <is>
          <t>CERO_DIRECTO</t>
        </is>
      </c>
      <c r="R3431" s="4"/>
      <c r="S3431" s="4"/>
      <c r="T3431" s="4"/>
      <c r="U3431" s="4"/>
      <c r="V3431" s="4"/>
      <c r="W3431" s="4" t="inlineStr">
        <is>
          <t>1.A.4.a</t>
        </is>
      </c>
      <c r="X3431" s="4"/>
      <c r="Y3431" s="4" t="inlineStr">
        <is>
          <t>CERO_DIRECTO</t>
        </is>
      </c>
      <c r="Z3431" s="4" t="inlineStr">
        <is>
          <t>CH4</t>
        </is>
      </c>
      <c r="AA3431" s="4">
        <v>0.0</v>
      </c>
      <c r="AB3431" s="4" t="inlineStr">
        <is>
          <t>kg CH4/TJ</t>
        </is>
      </c>
      <c r="AC3431" s="4"/>
      <c r="AD3431" s="4"/>
      <c r="AE3431" s="4"/>
      <c r="AF3431" s="4"/>
      <c r="AG3431" s="4"/>
      <c r="AH3431" s="4"/>
      <c r="AI3431" s="4"/>
      <c r="AJ3431" s="4"/>
      <c r="AK3431" s="4"/>
      <c r="AL3431" s="4" t="inlineStr">
        <is>
          <t>No aplica — regla interna CERO_DIRECTO; NT-02, sección 9; hoja PARAMETROS</t>
        </is>
      </c>
      <c r="AM3431" s="4" t="inlineStr">
        <is>
          <t>Cero metodológico definido por la correspondencia contable; no procede de una celda numérica independiente de la CRT.</t>
        </is>
      </c>
    </row>
    <row r="3432" customFormat="false" ht="15" hidden="false" customHeight="false" outlineLevel="0" collapsed="false">
      <c r="A3432" s="4" t="inlineStr">
        <is>
          <t>FACTOR_EMISION_OBS</t>
        </is>
      </c>
      <c r="B3432" s="4" t="inlineStr">
        <is>
          <t>FE_COMB|2018|1.A.4.a|CERO_DIRECTO|N2O</t>
        </is>
      </c>
      <c r="C3432" s="4" t="inlineStr">
        <is>
          <t>2018|1.A.4.a|CERO_DIRECTO|N2O</t>
        </is>
      </c>
      <c r="D3432" s="4">
        <v>2018.0</v>
      </c>
      <c r="E3432" s="4">
        <v>2018.0</v>
      </c>
      <c r="F3432" s="4" t="s">
        <v>1990</v>
      </c>
      <c r="G3432" s="4" t="inlineStr">
        <is>
          <t>METODO_EMISIONES</t>
        </is>
      </c>
      <c r="H3432" s="4" t="inlineStr">
        <is>
          <t>Regla metodológica de emisión directa cero</t>
        </is>
      </c>
      <c r="I3432" s="4"/>
      <c r="J3432" s="4" t="inlineStr">
        <is>
          <t>PARAM|CERO|1.A.4.a|N2O</t>
        </is>
      </c>
      <c r="K3432" s="4"/>
      <c r="L3432" s="4"/>
      <c r="M3432" s="4"/>
      <c r="N3432" s="4"/>
      <c r="O3432" s="4"/>
      <c r="P3432" s="4"/>
      <c r="Q3432" s="4" t="inlineStr">
        <is>
          <t>CERO_DIRECTO</t>
        </is>
      </c>
      <c r="R3432" s="4"/>
      <c r="S3432" s="4"/>
      <c r="T3432" s="4"/>
      <c r="U3432" s="4"/>
      <c r="V3432" s="4"/>
      <c r="W3432" s="4" t="inlineStr">
        <is>
          <t>1.A.4.a</t>
        </is>
      </c>
      <c r="X3432" s="4"/>
      <c r="Y3432" s="4" t="inlineStr">
        <is>
          <t>CERO_DIRECTO</t>
        </is>
      </c>
      <c r="Z3432" s="4" t="inlineStr">
        <is>
          <t>N2O</t>
        </is>
      </c>
      <c r="AA3432" s="4">
        <v>0.0</v>
      </c>
      <c r="AB3432" s="4" t="inlineStr">
        <is>
          <t>kg N2O/TJ</t>
        </is>
      </c>
      <c r="AC3432" s="4"/>
      <c r="AD3432" s="4"/>
      <c r="AE3432" s="4"/>
      <c r="AF3432" s="4"/>
      <c r="AG3432" s="4"/>
      <c r="AH3432" s="4"/>
      <c r="AI3432" s="4"/>
      <c r="AJ3432" s="4"/>
      <c r="AK3432" s="4"/>
      <c r="AL3432" s="4" t="inlineStr">
        <is>
          <t>No aplica — regla interna CERO_DIRECTO; NT-02, sección 9; hoja PARAMETROS</t>
        </is>
      </c>
      <c r="AM3432" s="4" t="inlineStr">
        <is>
          <t>Cero metodológico definido por la correspondencia contable; no procede de una celda numérica independiente de la CRT.</t>
        </is>
      </c>
    </row>
    <row r="3433" customFormat="false" ht="15" hidden="false" customHeight="false" outlineLevel="0" collapsed="false">
      <c r="A3433" s="4" t="inlineStr">
        <is>
          <t>FACTOR_EMISION_OBS</t>
        </is>
      </c>
      <c r="B3433" s="4" t="inlineStr">
        <is>
          <t>FE_COMB|2018|1.A.4.b|CERO_DIRECTO|CO2</t>
        </is>
      </c>
      <c r="C3433" s="4" t="inlineStr">
        <is>
          <t>2018|1.A.4.b|CERO_DIRECTO|CO2</t>
        </is>
      </c>
      <c r="D3433" s="4">
        <v>2018.0</v>
      </c>
      <c r="E3433" s="4">
        <v>2018.0</v>
      </c>
      <c r="F3433" s="4" t="s">
        <v>1990</v>
      </c>
      <c r="G3433" s="4" t="inlineStr">
        <is>
          <t>METODO_EMISIONES</t>
        </is>
      </c>
      <c r="H3433" s="4" t="inlineStr">
        <is>
          <t>Regla metodológica de emisión directa cero</t>
        </is>
      </c>
      <c r="I3433" s="4"/>
      <c r="J3433" s="4" t="inlineStr">
        <is>
          <t>PARAM|CERO|1.A.4.b|CO2</t>
        </is>
      </c>
      <c r="K3433" s="4"/>
      <c r="L3433" s="4"/>
      <c r="M3433" s="4"/>
      <c r="N3433" s="4"/>
      <c r="O3433" s="4"/>
      <c r="P3433" s="4"/>
      <c r="Q3433" s="4" t="inlineStr">
        <is>
          <t>CERO_DIRECTO</t>
        </is>
      </c>
      <c r="R3433" s="4"/>
      <c r="S3433" s="4"/>
      <c r="T3433" s="4"/>
      <c r="U3433" s="4"/>
      <c r="V3433" s="4"/>
      <c r="W3433" s="4" t="inlineStr">
        <is>
          <t>1.A.4.b</t>
        </is>
      </c>
      <c r="X3433" s="4"/>
      <c r="Y3433" s="4" t="inlineStr">
        <is>
          <t>CERO_DIRECTO</t>
        </is>
      </c>
      <c r="Z3433" s="4" t="inlineStr">
        <is>
          <t>CO2</t>
        </is>
      </c>
      <c r="AA3433" s="4">
        <v>0.0</v>
      </c>
      <c r="AB3433" s="4" t="inlineStr">
        <is>
          <t>kg CO2/TJ</t>
        </is>
      </c>
      <c r="AC3433" s="4"/>
      <c r="AD3433" s="4"/>
      <c r="AE3433" s="4"/>
      <c r="AF3433" s="4"/>
      <c r="AG3433" s="4"/>
      <c r="AH3433" s="4"/>
      <c r="AI3433" s="4"/>
      <c r="AJ3433" s="4"/>
      <c r="AK3433" s="4"/>
      <c r="AL3433" s="4" t="inlineStr">
        <is>
          <t>No aplica — regla interna CERO_DIRECTO; NT-02, sección 9; hoja PARAMETROS</t>
        </is>
      </c>
      <c r="AM3433" s="4" t="inlineStr">
        <is>
          <t>Cero metodológico definido por la correspondencia contable; no procede de una celda numérica independiente de la CRT.</t>
        </is>
      </c>
    </row>
    <row r="3434" customFormat="false" ht="15" hidden="false" customHeight="false" outlineLevel="0" collapsed="false">
      <c r="A3434" s="4" t="inlineStr">
        <is>
          <t>FACTOR_EMISION_OBS</t>
        </is>
      </c>
      <c r="B3434" s="4" t="inlineStr">
        <is>
          <t>FE_COMB|2018|1.A.4.b|CERO_DIRECTO|CH4</t>
        </is>
      </c>
      <c r="C3434" s="4" t="inlineStr">
        <is>
          <t>2018|1.A.4.b|CERO_DIRECTO|CH4</t>
        </is>
      </c>
      <c r="D3434" s="4">
        <v>2018.0</v>
      </c>
      <c r="E3434" s="4">
        <v>2018.0</v>
      </c>
      <c r="F3434" s="4" t="s">
        <v>1990</v>
      </c>
      <c r="G3434" s="4" t="inlineStr">
        <is>
          <t>METODO_EMISIONES</t>
        </is>
      </c>
      <c r="H3434" s="4" t="inlineStr">
        <is>
          <t>Regla metodológica de emisión directa cero</t>
        </is>
      </c>
      <c r="I3434" s="4"/>
      <c r="J3434" s="4" t="inlineStr">
        <is>
          <t>PARAM|CERO|1.A.4.b|CH4</t>
        </is>
      </c>
      <c r="K3434" s="4"/>
      <c r="L3434" s="4"/>
      <c r="M3434" s="4"/>
      <c r="N3434" s="4"/>
      <c r="O3434" s="4"/>
      <c r="P3434" s="4"/>
      <c r="Q3434" s="4" t="inlineStr">
        <is>
          <t>CERO_DIRECTO</t>
        </is>
      </c>
      <c r="R3434" s="4"/>
      <c r="S3434" s="4"/>
      <c r="T3434" s="4"/>
      <c r="U3434" s="4"/>
      <c r="V3434" s="4"/>
      <c r="W3434" s="4" t="inlineStr">
        <is>
          <t>1.A.4.b</t>
        </is>
      </c>
      <c r="X3434" s="4"/>
      <c r="Y3434" s="4" t="inlineStr">
        <is>
          <t>CERO_DIRECTO</t>
        </is>
      </c>
      <c r="Z3434" s="4" t="inlineStr">
        <is>
          <t>CH4</t>
        </is>
      </c>
      <c r="AA3434" s="4">
        <v>0.0</v>
      </c>
      <c r="AB3434" s="4" t="inlineStr">
        <is>
          <t>kg CH4/TJ</t>
        </is>
      </c>
      <c r="AC3434" s="4"/>
      <c r="AD3434" s="4"/>
      <c r="AE3434" s="4"/>
      <c r="AF3434" s="4"/>
      <c r="AG3434" s="4"/>
      <c r="AH3434" s="4"/>
      <c r="AI3434" s="4"/>
      <c r="AJ3434" s="4"/>
      <c r="AK3434" s="4"/>
      <c r="AL3434" s="4" t="inlineStr">
        <is>
          <t>No aplica — regla interna CERO_DIRECTO; NT-02, sección 9; hoja PARAMETROS</t>
        </is>
      </c>
      <c r="AM3434" s="4" t="inlineStr">
        <is>
          <t>Cero metodológico definido por la correspondencia contable; no procede de una celda numérica independiente de la CRT.</t>
        </is>
      </c>
    </row>
    <row r="3435" customFormat="false" ht="15" hidden="false" customHeight="false" outlineLevel="0" collapsed="false">
      <c r="A3435" s="4" t="inlineStr">
        <is>
          <t>FACTOR_EMISION_OBS</t>
        </is>
      </c>
      <c r="B3435" s="4" t="inlineStr">
        <is>
          <t>FE_COMB|2018|1.A.4.b|CERO_DIRECTO|N2O</t>
        </is>
      </c>
      <c r="C3435" s="4" t="inlineStr">
        <is>
          <t>2018|1.A.4.b|CERO_DIRECTO|N2O</t>
        </is>
      </c>
      <c r="D3435" s="4">
        <v>2018.0</v>
      </c>
      <c r="E3435" s="4">
        <v>2018.0</v>
      </c>
      <c r="F3435" s="4" t="s">
        <v>1990</v>
      </c>
      <c r="G3435" s="4" t="inlineStr">
        <is>
          <t>METODO_EMISIONES</t>
        </is>
      </c>
      <c r="H3435" s="4" t="inlineStr">
        <is>
          <t>Regla metodológica de emisión directa cero</t>
        </is>
      </c>
      <c r="I3435" s="4"/>
      <c r="J3435" s="4" t="inlineStr">
        <is>
          <t>PARAM|CERO|1.A.4.b|N2O</t>
        </is>
      </c>
      <c r="K3435" s="4"/>
      <c r="L3435" s="4"/>
      <c r="M3435" s="4"/>
      <c r="N3435" s="4"/>
      <c r="O3435" s="4"/>
      <c r="P3435" s="4"/>
      <c r="Q3435" s="4" t="inlineStr">
        <is>
          <t>CERO_DIRECTO</t>
        </is>
      </c>
      <c r="R3435" s="4"/>
      <c r="S3435" s="4"/>
      <c r="T3435" s="4"/>
      <c r="U3435" s="4"/>
      <c r="V3435" s="4"/>
      <c r="W3435" s="4" t="inlineStr">
        <is>
          <t>1.A.4.b</t>
        </is>
      </c>
      <c r="X3435" s="4"/>
      <c r="Y3435" s="4" t="inlineStr">
        <is>
          <t>CERO_DIRECTO</t>
        </is>
      </c>
      <c r="Z3435" s="4" t="inlineStr">
        <is>
          <t>N2O</t>
        </is>
      </c>
      <c r="AA3435" s="4">
        <v>0.0</v>
      </c>
      <c r="AB3435" s="4" t="inlineStr">
        <is>
          <t>kg N2O/TJ</t>
        </is>
      </c>
      <c r="AC3435" s="4"/>
      <c r="AD3435" s="4"/>
      <c r="AE3435" s="4"/>
      <c r="AF3435" s="4"/>
      <c r="AG3435" s="4"/>
      <c r="AH3435" s="4"/>
      <c r="AI3435" s="4"/>
      <c r="AJ3435" s="4"/>
      <c r="AK3435" s="4"/>
      <c r="AL3435" s="4" t="inlineStr">
        <is>
          <t>No aplica — regla interna CERO_DIRECTO; NT-02, sección 9; hoja PARAMETROS</t>
        </is>
      </c>
      <c r="AM3435" s="4" t="inlineStr">
        <is>
          <t>Cero metodológico definido por la correspondencia contable; no procede de una celda numérica independiente de la CRT.</t>
        </is>
      </c>
    </row>
    <row r="3436" customFormat="false" ht="15" hidden="false" customHeight="false" outlineLevel="0" collapsed="false">
      <c r="A3436" s="4" t="inlineStr">
        <is>
          <t>FACTOR_EMISION_OBS</t>
        </is>
      </c>
      <c r="B3436" s="4" t="inlineStr">
        <is>
          <t>FE_NO|2018|1.A.1.c|NO|CO2</t>
        </is>
      </c>
      <c r="C3436" s="4" t="inlineStr">
        <is>
          <t>2018|1.A.1.c|NO|CO2</t>
        </is>
      </c>
      <c r="D3436" s="4">
        <v>2018.0</v>
      </c>
      <c r="E3436" s="4">
        <v>2018.0</v>
      </c>
      <c r="F3436" s="4" t="inlineStr">
        <is>
          <t>NO</t>
        </is>
      </c>
      <c r="G3436" s="4" t="inlineStr">
        <is>
          <t>UNFCCC_GTM_CRT_2024</t>
        </is>
      </c>
      <c r="H3436" s="4" t="inlineStr">
        <is>
          <t>Guatemala. 2024 Common Reporting Table (CRT)</t>
        </is>
      </c>
      <c r="I3436" s="4" t="inlineStr">
        <is>
          <t>https://unfccc.int/reports?f%5B0%5D=corporate_author%3A206</t>
        </is>
      </c>
      <c r="J3436" s="4" t="inlineStr">
        <is>
          <t>FE_NO|2018|1.A.1.c|NO|CO2</t>
        </is>
      </c>
      <c r="K3436" s="4"/>
      <c r="L3436" s="4"/>
      <c r="M3436" s="4"/>
      <c r="N3436" s="4"/>
      <c r="O3436" s="4"/>
      <c r="P3436" s="4"/>
      <c r="Q3436" s="4" t="inlineStr">
        <is>
          <t>SIN_FACTOR_NUMERICO</t>
        </is>
      </c>
      <c r="R3436" s="4"/>
      <c r="S3436" s="4"/>
      <c r="T3436" s="4"/>
      <c r="U3436" s="4"/>
      <c r="V3436" s="4"/>
      <c r="W3436" s="4" t="inlineStr">
        <is>
          <t>1.A.1.c</t>
        </is>
      </c>
      <c r="X3436" s="4"/>
      <c r="Y3436" s="4" t="inlineStr">
        <is>
          <t>NO</t>
        </is>
      </c>
      <c r="Z3436" s="4" t="inlineStr">
        <is>
          <t>CO2</t>
        </is>
      </c>
      <c r="AA3436" s="4"/>
      <c r="AB3436" s="4" t="inlineStr">
        <is>
          <t>kg CO2/TJ</t>
        </is>
      </c>
      <c r="AC3436" s="4"/>
      <c r="AD3436" s="4"/>
      <c r="AE3436" s="4"/>
      <c r="AF3436" s="4"/>
      <c r="AG3436" s="4"/>
      <c r="AH3436" s="4"/>
      <c r="AI3436" s="4"/>
      <c r="AJ3436" s="4"/>
      <c r="AK3436" s="4"/>
      <c r="AL3436" s="4" t="inlineStr">
        <is>
          <t>Table1.A; localizador a nivel de tabla; sin registro numérico</t>
        </is>
      </c>
      <c r="AM3436" s="4" t="inlineStr">
        <is>
          <t>Se conserva el estado NO porque la fuente no aporta un factor numérico para la clave interna FE_NO|2018|1.A.1.c|NO|CO2.</t>
        </is>
      </c>
    </row>
    <row r="3437" customFormat="false" ht="15" hidden="false" customHeight="false" outlineLevel="0" collapsed="false">
      <c r="A3437" s="4" t="inlineStr">
        <is>
          <t>FACTOR_EMISION_OBS</t>
        </is>
      </c>
      <c r="B3437" s="4" t="inlineStr">
        <is>
          <t>FE_NO|2018|1.A.1.c|NO|CH4</t>
        </is>
      </c>
      <c r="C3437" s="4" t="inlineStr">
        <is>
          <t>2018|1.A.1.c|NO|CH4</t>
        </is>
      </c>
      <c r="D3437" s="4">
        <v>2018.0</v>
      </c>
      <c r="E3437" s="4">
        <v>2018.0</v>
      </c>
      <c r="F3437" s="4" t="inlineStr">
        <is>
          <t>NO</t>
        </is>
      </c>
      <c r="G3437" s="4" t="inlineStr">
        <is>
          <t>UNFCCC_GTM_CRT_2024</t>
        </is>
      </c>
      <c r="H3437" s="4" t="inlineStr">
        <is>
          <t>Guatemala. 2024 Common Reporting Table (CRT)</t>
        </is>
      </c>
      <c r="I3437" s="4" t="inlineStr">
        <is>
          <t>https://unfccc.int/reports?f%5B0%5D=corporate_author%3A206</t>
        </is>
      </c>
      <c r="J3437" s="4" t="inlineStr">
        <is>
          <t>FE_NO|2018|1.A.1.c|NO|CH4</t>
        </is>
      </c>
      <c r="K3437" s="4"/>
      <c r="L3437" s="4"/>
      <c r="M3437" s="4"/>
      <c r="N3437" s="4"/>
      <c r="O3437" s="4"/>
      <c r="P3437" s="4"/>
      <c r="Q3437" s="4" t="inlineStr">
        <is>
          <t>SIN_FACTOR_NUMERICO</t>
        </is>
      </c>
      <c r="R3437" s="4"/>
      <c r="S3437" s="4"/>
      <c r="T3437" s="4"/>
      <c r="U3437" s="4"/>
      <c r="V3437" s="4"/>
      <c r="W3437" s="4" t="inlineStr">
        <is>
          <t>1.A.1.c</t>
        </is>
      </c>
      <c r="X3437" s="4"/>
      <c r="Y3437" s="4" t="inlineStr">
        <is>
          <t>NO</t>
        </is>
      </c>
      <c r="Z3437" s="4" t="inlineStr">
        <is>
          <t>CH4</t>
        </is>
      </c>
      <c r="AA3437" s="4"/>
      <c r="AB3437" s="4" t="inlineStr">
        <is>
          <t>kg CH4/TJ</t>
        </is>
      </c>
      <c r="AC3437" s="4"/>
      <c r="AD3437" s="4"/>
      <c r="AE3437" s="4"/>
      <c r="AF3437" s="4"/>
      <c r="AG3437" s="4"/>
      <c r="AH3437" s="4"/>
      <c r="AI3437" s="4"/>
      <c r="AJ3437" s="4"/>
      <c r="AK3437" s="4"/>
      <c r="AL3437" s="4" t="inlineStr">
        <is>
          <t>Table1.A; localizador a nivel de tabla; sin registro numérico</t>
        </is>
      </c>
      <c r="AM3437" s="4" t="inlineStr">
        <is>
          <t>Se conserva el estado NO porque la fuente no aporta un factor numérico para la clave interna FE_NO|2018|1.A.1.c|NO|CH4.</t>
        </is>
      </c>
    </row>
    <row r="3438" customFormat="false" ht="15" hidden="false" customHeight="false" outlineLevel="0" collapsed="false">
      <c r="A3438" s="4" t="inlineStr">
        <is>
          <t>FACTOR_EMISION_OBS</t>
        </is>
      </c>
      <c r="B3438" s="4" t="inlineStr">
        <is>
          <t>FE_NO|2018|1.A.1.c|NO|N2O</t>
        </is>
      </c>
      <c r="C3438" s="4" t="inlineStr">
        <is>
          <t>2018|1.A.1.c|NO|N2O</t>
        </is>
      </c>
      <c r="D3438" s="4">
        <v>2018.0</v>
      </c>
      <c r="E3438" s="4">
        <v>2018.0</v>
      </c>
      <c r="F3438" s="4" t="inlineStr">
        <is>
          <t>NO</t>
        </is>
      </c>
      <c r="G3438" s="4" t="inlineStr">
        <is>
          <t>UNFCCC_GTM_CRT_2024</t>
        </is>
      </c>
      <c r="H3438" s="4" t="inlineStr">
        <is>
          <t>Guatemala. 2024 Common Reporting Table (CRT)</t>
        </is>
      </c>
      <c r="I3438" s="4" t="inlineStr">
        <is>
          <t>https://unfccc.int/reports?f%5B0%5D=corporate_author%3A206</t>
        </is>
      </c>
      <c r="J3438" s="4" t="inlineStr">
        <is>
          <t>FE_NO|2018|1.A.1.c|NO|N2O</t>
        </is>
      </c>
      <c r="K3438" s="4"/>
      <c r="L3438" s="4"/>
      <c r="M3438" s="4"/>
      <c r="N3438" s="4"/>
      <c r="O3438" s="4"/>
      <c r="P3438" s="4"/>
      <c r="Q3438" s="4" t="inlineStr">
        <is>
          <t>SIN_FACTOR_NUMERICO</t>
        </is>
      </c>
      <c r="R3438" s="4"/>
      <c r="S3438" s="4"/>
      <c r="T3438" s="4"/>
      <c r="U3438" s="4"/>
      <c r="V3438" s="4"/>
      <c r="W3438" s="4" t="inlineStr">
        <is>
          <t>1.A.1.c</t>
        </is>
      </c>
      <c r="X3438" s="4"/>
      <c r="Y3438" s="4" t="inlineStr">
        <is>
          <t>NO</t>
        </is>
      </c>
      <c r="Z3438" s="4" t="inlineStr">
        <is>
          <t>N2O</t>
        </is>
      </c>
      <c r="AA3438" s="4"/>
      <c r="AB3438" s="4" t="inlineStr">
        <is>
          <t>kg N2O/TJ</t>
        </is>
      </c>
      <c r="AC3438" s="4"/>
      <c r="AD3438" s="4"/>
      <c r="AE3438" s="4"/>
      <c r="AF3438" s="4"/>
      <c r="AG3438" s="4"/>
      <c r="AH3438" s="4"/>
      <c r="AI3438" s="4"/>
      <c r="AJ3438" s="4"/>
      <c r="AK3438" s="4"/>
      <c r="AL3438" s="4" t="inlineStr">
        <is>
          <t>Table1.A; localizador a nivel de tabla; sin registro numérico</t>
        </is>
      </c>
      <c r="AM3438" s="4" t="inlineStr">
        <is>
          <t>Se conserva el estado NO porque la fuente no aporta un factor numérico para la clave interna FE_NO|2018|1.A.1.c|NO|N2O.</t>
        </is>
      </c>
    </row>
    <row r="3439" customFormat="false" ht="15" hidden="false" customHeight="false" outlineLevel="0" collapsed="false">
      <c r="A3439" s="4" t="inlineStr">
        <is>
          <t>FACTOR_EMISION_OBS</t>
        </is>
      </c>
      <c r="B3439" s="4" t="inlineStr">
        <is>
          <t>FE_NO|2018|1.A.4.c|NO|CO2</t>
        </is>
      </c>
      <c r="C3439" s="4" t="inlineStr">
        <is>
          <t>2018|1.A.4.c|NO|CO2</t>
        </is>
      </c>
      <c r="D3439" s="4">
        <v>2018.0</v>
      </c>
      <c r="E3439" s="4">
        <v>2018.0</v>
      </c>
      <c r="F3439" s="4" t="inlineStr">
        <is>
          <t>NO</t>
        </is>
      </c>
      <c r="G3439" s="4" t="inlineStr">
        <is>
          <t>UNFCCC_GTM_CRT_2024</t>
        </is>
      </c>
      <c r="H3439" s="4" t="inlineStr">
        <is>
          <t>Guatemala. 2024 Common Reporting Table (CRT)</t>
        </is>
      </c>
      <c r="I3439" s="4" t="inlineStr">
        <is>
          <t>https://unfccc.int/reports?f%5B0%5D=corporate_author%3A206</t>
        </is>
      </c>
      <c r="J3439" s="4" t="inlineStr">
        <is>
          <t>FE_NO|2018|1.A.4.c|NO|CO2</t>
        </is>
      </c>
      <c r="K3439" s="4"/>
      <c r="L3439" s="4"/>
      <c r="M3439" s="4"/>
      <c r="N3439" s="4"/>
      <c r="O3439" s="4"/>
      <c r="P3439" s="4"/>
      <c r="Q3439" s="4" t="inlineStr">
        <is>
          <t>SIN_FACTOR_NUMERICO</t>
        </is>
      </c>
      <c r="R3439" s="4"/>
      <c r="S3439" s="4"/>
      <c r="T3439" s="4"/>
      <c r="U3439" s="4"/>
      <c r="V3439" s="4"/>
      <c r="W3439" s="4" t="inlineStr">
        <is>
          <t>1.A.4.c</t>
        </is>
      </c>
      <c r="X3439" s="4"/>
      <c r="Y3439" s="4" t="inlineStr">
        <is>
          <t>NO</t>
        </is>
      </c>
      <c r="Z3439" s="4" t="inlineStr">
        <is>
          <t>CO2</t>
        </is>
      </c>
      <c r="AA3439" s="4"/>
      <c r="AB3439" s="4" t="inlineStr">
        <is>
          <t>kg CO2/TJ</t>
        </is>
      </c>
      <c r="AC3439" s="4"/>
      <c r="AD3439" s="4"/>
      <c r="AE3439" s="4"/>
      <c r="AF3439" s="4"/>
      <c r="AG3439" s="4"/>
      <c r="AH3439" s="4"/>
      <c r="AI3439" s="4"/>
      <c r="AJ3439" s="4"/>
      <c r="AK3439" s="4"/>
      <c r="AL3439" s="4" t="inlineStr">
        <is>
          <t>Table1.A; localizador a nivel de tabla; sin registro numérico</t>
        </is>
      </c>
      <c r="AM3439" s="4" t="inlineStr">
        <is>
          <t>Se conserva el estado NO porque la fuente no aporta un factor numérico para la clave interna FE_NO|2018|1.A.4.c|NO|CO2.</t>
        </is>
      </c>
    </row>
    <row r="3440" customFormat="false" ht="15" hidden="false" customHeight="false" outlineLevel="0" collapsed="false">
      <c r="A3440" s="4" t="inlineStr">
        <is>
          <t>FACTOR_EMISION_OBS</t>
        </is>
      </c>
      <c r="B3440" s="4" t="inlineStr">
        <is>
          <t>FE_NO|2018|1.A.4.c|NO|CH4</t>
        </is>
      </c>
      <c r="C3440" s="4" t="inlineStr">
        <is>
          <t>2018|1.A.4.c|NO|CH4</t>
        </is>
      </c>
      <c r="D3440" s="4">
        <v>2018.0</v>
      </c>
      <c r="E3440" s="4">
        <v>2018.0</v>
      </c>
      <c r="F3440" s="4" t="inlineStr">
        <is>
          <t>NO</t>
        </is>
      </c>
      <c r="G3440" s="4" t="inlineStr">
        <is>
          <t>UNFCCC_GTM_CRT_2024</t>
        </is>
      </c>
      <c r="H3440" s="4" t="inlineStr">
        <is>
          <t>Guatemala. 2024 Common Reporting Table (CRT)</t>
        </is>
      </c>
      <c r="I3440" s="4" t="inlineStr">
        <is>
          <t>https://unfccc.int/reports?f%5B0%5D=corporate_author%3A206</t>
        </is>
      </c>
      <c r="J3440" s="4" t="inlineStr">
        <is>
          <t>FE_NO|2018|1.A.4.c|NO|CH4</t>
        </is>
      </c>
      <c r="K3440" s="4"/>
      <c r="L3440" s="4"/>
      <c r="M3440" s="4"/>
      <c r="N3440" s="4"/>
      <c r="O3440" s="4"/>
      <c r="P3440" s="4"/>
      <c r="Q3440" s="4" t="inlineStr">
        <is>
          <t>SIN_FACTOR_NUMERICO</t>
        </is>
      </c>
      <c r="R3440" s="4"/>
      <c r="S3440" s="4"/>
      <c r="T3440" s="4"/>
      <c r="U3440" s="4"/>
      <c r="V3440" s="4"/>
      <c r="W3440" s="4" t="inlineStr">
        <is>
          <t>1.A.4.c</t>
        </is>
      </c>
      <c r="X3440" s="4"/>
      <c r="Y3440" s="4" t="inlineStr">
        <is>
          <t>NO</t>
        </is>
      </c>
      <c r="Z3440" s="4" t="inlineStr">
        <is>
          <t>CH4</t>
        </is>
      </c>
      <c r="AA3440" s="4"/>
      <c r="AB3440" s="4" t="inlineStr">
        <is>
          <t>kg CH4/TJ</t>
        </is>
      </c>
      <c r="AC3440" s="4"/>
      <c r="AD3440" s="4"/>
      <c r="AE3440" s="4"/>
      <c r="AF3440" s="4"/>
      <c r="AG3440" s="4"/>
      <c r="AH3440" s="4"/>
      <c r="AI3440" s="4"/>
      <c r="AJ3440" s="4"/>
      <c r="AK3440" s="4"/>
      <c r="AL3440" s="4" t="inlineStr">
        <is>
          <t>Table1.A; localizador a nivel de tabla; sin registro numérico</t>
        </is>
      </c>
      <c r="AM3440" s="4" t="inlineStr">
        <is>
          <t>Se conserva el estado NO porque la fuente no aporta un factor numérico para la clave interna FE_NO|2018|1.A.4.c|NO|CH4.</t>
        </is>
      </c>
    </row>
    <row r="3441" customFormat="false" ht="23.85" hidden="false" customHeight="false" outlineLevel="0" collapsed="false">
      <c r="A3441" s="4" t="inlineStr">
        <is>
          <t>FACTOR_EMISION_OBS</t>
        </is>
      </c>
      <c r="B3441" s="4" t="inlineStr">
        <is>
          <t>FE_NO|2018|1.A.4.c|NO|N2O</t>
        </is>
      </c>
      <c r="C3441" s="4" t="inlineStr">
        <is>
          <t>2018|1.A.4.c|NO|N2O</t>
        </is>
      </c>
      <c r="D3441" s="4">
        <v>2018.0</v>
      </c>
      <c r="E3441" s="4">
        <v>2018.0</v>
      </c>
      <c r="F3441" s="4" t="inlineStr">
        <is>
          <t>NO</t>
        </is>
      </c>
      <c r="G3441" s="4" t="inlineStr">
        <is>
          <t>UNFCCC_GTM_CRT_2024</t>
        </is>
      </c>
      <c r="H3441" s="4" t="inlineStr">
        <is>
          <t>Guatemala. 2024 Common Reporting Table (CRT)</t>
        </is>
      </c>
      <c r="I3441" s="4" t="inlineStr">
        <is>
          <t>https://unfccc.int/reports?f%5B0%5D=corporate_author%3A206</t>
        </is>
      </c>
      <c r="J3441" s="4" t="inlineStr">
        <is>
          <t>FE_NO|2018|1.A.4.c|NO|N2O</t>
        </is>
      </c>
      <c r="K3441" s="4"/>
      <c r="L3441" s="4"/>
      <c r="M3441" s="4"/>
      <c r="N3441" s="4"/>
      <c r="O3441" s="4"/>
      <c r="P3441" s="4"/>
      <c r="Q3441" s="4" t="inlineStr">
        <is>
          <t>SIN_FACTOR_NUMERICO</t>
        </is>
      </c>
      <c r="R3441" s="4"/>
      <c r="S3441" s="4"/>
      <c r="T3441" s="4"/>
      <c r="U3441" s="4"/>
      <c r="V3441" s="4"/>
      <c r="W3441" s="4" t="inlineStr">
        <is>
          <t>1.A.4.c</t>
        </is>
      </c>
      <c r="X3441" s="4"/>
      <c r="Y3441" s="4" t="inlineStr">
        <is>
          <t>NO</t>
        </is>
      </c>
      <c r="Z3441" s="4" t="inlineStr">
        <is>
          <t>N2O</t>
        </is>
      </c>
      <c r="AA3441" s="4"/>
      <c r="AB3441" s="4" t="inlineStr">
        <is>
          <t>kg N2O/TJ</t>
        </is>
      </c>
      <c r="AC3441" s="4"/>
      <c r="AD3441" s="4"/>
      <c r="AE3441" s="4"/>
      <c r="AF3441" s="4"/>
      <c r="AG3441" s="4"/>
      <c r="AH3441" s="4"/>
      <c r="AI3441" s="4"/>
      <c r="AJ3441" s="4"/>
      <c r="AK3441" s="4"/>
      <c r="AL3441" s="4" t="inlineStr">
        <is>
          <t>Table1.A; localizador a nivel de tabla; sin registro numérico</t>
        </is>
      </c>
      <c r="AM3441" s="4" t="inlineStr">
        <is>
          <t>Se conserva el estado NO porque la fuente no aporta un factor numérico para la clave interna FE_NO|2018|1.A.4.c|NO|N2O.</t>
        </is>
      </c>
    </row>
    <row r="3442" customFormat="false" ht="15" hidden="false" customHeight="false" outlineLevel="0" collapsed="false">
      <c r="A3442" s="4" t="inlineStr">
        <is>
          <t>FACTOR_EMISION_OBS</t>
        </is>
      </c>
      <c r="B3442" s="4" t="inlineStr">
        <is>
          <t>FE_NO|2018|1.B.1.a|NO|CO2</t>
        </is>
      </c>
      <c r="C3442" s="4" t="inlineStr">
        <is>
          <t>2018|1.B.1.a|NO|CO2</t>
        </is>
      </c>
      <c r="D3442" s="4">
        <v>2018.0</v>
      </c>
      <c r="E3442" s="4">
        <v>2018.0</v>
      </c>
      <c r="F3442" s="4" t="inlineStr">
        <is>
          <t>NO</t>
        </is>
      </c>
      <c r="G3442" s="4" t="inlineStr">
        <is>
          <t>UNFCCC_GTM_CRT_2024</t>
        </is>
      </c>
      <c r="H3442" s="4" t="inlineStr">
        <is>
          <t>Guatemala. 2024 Common Reporting Table (CRT)</t>
        </is>
      </c>
      <c r="I3442" s="4" t="inlineStr">
        <is>
          <t>https://unfccc.int/reports?f%5B0%5D=corporate_author%3A206</t>
        </is>
      </c>
      <c r="J3442" s="4" t="inlineStr">
        <is>
          <t>FE_NO|2018|1.B.1.a|NO|CO2</t>
        </is>
      </c>
      <c r="K3442" s="4"/>
      <c r="L3442" s="4"/>
      <c r="M3442" s="4"/>
      <c r="N3442" s="4"/>
      <c r="O3442" s="4"/>
      <c r="P3442" s="4"/>
      <c r="Q3442" s="4" t="inlineStr">
        <is>
          <t>SIN_FACTOR_NUMERICO</t>
        </is>
      </c>
      <c r="R3442" s="4"/>
      <c r="S3442" s="4"/>
      <c r="T3442" s="4"/>
      <c r="U3442" s="4"/>
      <c r="V3442" s="4"/>
      <c r="W3442" s="4" t="inlineStr">
        <is>
          <t>1.B.1.a</t>
        </is>
      </c>
      <c r="X3442" s="4"/>
      <c r="Y3442" s="4" t="inlineStr">
        <is>
          <t>NO</t>
        </is>
      </c>
      <c r="Z3442" s="4" t="inlineStr">
        <is>
          <t>CO2</t>
        </is>
      </c>
      <c r="AA3442" s="4"/>
      <c r="AB3442" s="4" t="inlineStr">
        <is>
          <t>kg CO2/TJ</t>
        </is>
      </c>
      <c r="AC3442" s="4"/>
      <c r="AD3442" s="4"/>
      <c r="AE3442" s="4"/>
      <c r="AF3442" s="4"/>
      <c r="AG3442" s="4"/>
      <c r="AH3442" s="4"/>
      <c r="AI3442" s="4"/>
      <c r="AJ3442" s="4"/>
      <c r="AK3442" s="4"/>
      <c r="AL3442" s="4" t="inlineStr">
        <is>
          <t>Table1.B.2; localizador a nivel de tabla; sin registro numérico</t>
        </is>
      </c>
      <c r="AM3442" s="4" t="inlineStr">
        <is>
          <t>Se conserva el estado NO porque la fuente no aporta un factor numérico para la clave interna FE_NO|2018|1.B.1.a|NO|CO2.</t>
        </is>
      </c>
    </row>
    <row r="3443" customFormat="false" ht="15" hidden="false" customHeight="false" outlineLevel="0" collapsed="false">
      <c r="A3443" s="4" t="inlineStr">
        <is>
          <t>FACTOR_EMISION_OBS</t>
        </is>
      </c>
      <c r="B3443" s="4" t="inlineStr">
        <is>
          <t>FE_NO|2018|1.B.1.a|NO|CH4</t>
        </is>
      </c>
      <c r="C3443" s="4" t="inlineStr">
        <is>
          <t>2018|1.B.1.a|NO|CH4</t>
        </is>
      </c>
      <c r="D3443" s="4">
        <v>2018.0</v>
      </c>
      <c r="E3443" s="4">
        <v>2018.0</v>
      </c>
      <c r="F3443" s="4" t="inlineStr">
        <is>
          <t>NO</t>
        </is>
      </c>
      <c r="G3443" s="4" t="inlineStr">
        <is>
          <t>UNFCCC_GTM_CRT_2024</t>
        </is>
      </c>
      <c r="H3443" s="4" t="inlineStr">
        <is>
          <t>Guatemala. 2024 Common Reporting Table (CRT)</t>
        </is>
      </c>
      <c r="I3443" s="4" t="inlineStr">
        <is>
          <t>https://unfccc.int/reports?f%5B0%5D=corporate_author%3A206</t>
        </is>
      </c>
      <c r="J3443" s="4" t="inlineStr">
        <is>
          <t>FE_NO|2018|1.B.1.a|NO|CH4</t>
        </is>
      </c>
      <c r="K3443" s="4"/>
      <c r="L3443" s="4"/>
      <c r="M3443" s="4"/>
      <c r="N3443" s="4"/>
      <c r="O3443" s="4"/>
      <c r="P3443" s="4"/>
      <c r="Q3443" s="4" t="inlineStr">
        <is>
          <t>SIN_FACTOR_NUMERICO</t>
        </is>
      </c>
      <c r="R3443" s="4"/>
      <c r="S3443" s="4"/>
      <c r="T3443" s="4"/>
      <c r="U3443" s="4"/>
      <c r="V3443" s="4"/>
      <c r="W3443" s="4" t="inlineStr">
        <is>
          <t>1.B.1.a</t>
        </is>
      </c>
      <c r="X3443" s="4"/>
      <c r="Y3443" s="4" t="inlineStr">
        <is>
          <t>NO</t>
        </is>
      </c>
      <c r="Z3443" s="4" t="inlineStr">
        <is>
          <t>CH4</t>
        </is>
      </c>
      <c r="AA3443" s="4"/>
      <c r="AB3443" s="4" t="inlineStr">
        <is>
          <t>kg CH4/TJ</t>
        </is>
      </c>
      <c r="AC3443" s="4"/>
      <c r="AD3443" s="4"/>
      <c r="AE3443" s="4"/>
      <c r="AF3443" s="4"/>
      <c r="AG3443" s="4"/>
      <c r="AH3443" s="4"/>
      <c r="AI3443" s="4"/>
      <c r="AJ3443" s="4"/>
      <c r="AK3443" s="4"/>
      <c r="AL3443" s="4" t="inlineStr">
        <is>
          <t>Table1.B.2; localizador a nivel de tabla; sin registro numérico</t>
        </is>
      </c>
      <c r="AM3443" s="4" t="inlineStr">
        <is>
          <t>Se conserva el estado NO porque la fuente no aporta un factor numérico para la clave interna FE_NO|2018|1.B.1.a|NO|CH4.</t>
        </is>
      </c>
    </row>
    <row r="3444" customFormat="false" ht="15" hidden="false" customHeight="false" outlineLevel="0" collapsed="false">
      <c r="A3444" s="4" t="inlineStr">
        <is>
          <t>FACTOR_EMISION_OBS</t>
        </is>
      </c>
      <c r="B3444" s="4" t="inlineStr">
        <is>
          <t>FE_NO|2018|1.B.1.a|NO|N2O</t>
        </is>
      </c>
      <c r="C3444" s="4" t="inlineStr">
        <is>
          <t>2018|1.B.1.a|NO|N2O</t>
        </is>
      </c>
      <c r="D3444" s="4">
        <v>2018.0</v>
      </c>
      <c r="E3444" s="4">
        <v>2018.0</v>
      </c>
      <c r="F3444" s="4" t="inlineStr">
        <is>
          <t>NO</t>
        </is>
      </c>
      <c r="G3444" s="4" t="inlineStr">
        <is>
          <t>UNFCCC_GTM_CRT_2024</t>
        </is>
      </c>
      <c r="H3444" s="4" t="inlineStr">
        <is>
          <t>Guatemala. 2024 Common Reporting Table (CRT)</t>
        </is>
      </c>
      <c r="I3444" s="4" t="inlineStr">
        <is>
          <t>https://unfccc.int/reports?f%5B0%5D=corporate_author%3A206</t>
        </is>
      </c>
      <c r="J3444" s="4" t="inlineStr">
        <is>
          <t>FE_NO|2018|1.B.1.a|NO|N2O</t>
        </is>
      </c>
      <c r="K3444" s="4"/>
      <c r="L3444" s="4"/>
      <c r="M3444" s="4"/>
      <c r="N3444" s="4"/>
      <c r="O3444" s="4"/>
      <c r="P3444" s="4"/>
      <c r="Q3444" s="4" t="inlineStr">
        <is>
          <t>SIN_FACTOR_NUMERICO</t>
        </is>
      </c>
      <c r="R3444" s="4"/>
      <c r="S3444" s="4"/>
      <c r="T3444" s="4"/>
      <c r="U3444" s="4"/>
      <c r="V3444" s="4"/>
      <c r="W3444" s="4" t="inlineStr">
        <is>
          <t>1.B.1.a</t>
        </is>
      </c>
      <c r="X3444" s="4"/>
      <c r="Y3444" s="4" t="inlineStr">
        <is>
          <t>NO</t>
        </is>
      </c>
      <c r="Z3444" s="4" t="inlineStr">
        <is>
          <t>N2O</t>
        </is>
      </c>
      <c r="AA3444" s="4"/>
      <c r="AB3444" s="4" t="inlineStr">
        <is>
          <t>kg N2O/TJ</t>
        </is>
      </c>
      <c r="AC3444" s="4"/>
      <c r="AD3444" s="4"/>
      <c r="AE3444" s="4"/>
      <c r="AF3444" s="4"/>
      <c r="AG3444" s="4"/>
      <c r="AH3444" s="4"/>
      <c r="AI3444" s="4"/>
      <c r="AJ3444" s="4"/>
      <c r="AK3444" s="4"/>
      <c r="AL3444" s="4" t="inlineStr">
        <is>
          <t>Table1.B.2; localizador a nivel de tabla; sin registro numérico</t>
        </is>
      </c>
      <c r="AM3444" s="4" t="inlineStr">
        <is>
          <t>Se conserva el estado NO porque la fuente no aporta un factor numérico para la clave interna FE_NO|2018|1.B.1.a|NO|N2O.</t>
        </is>
      </c>
    </row>
    <row r="3445" customFormat="false" ht="15" hidden="false" customHeight="false" outlineLevel="0" collapsed="false">
      <c r="A3445" s="4" t="inlineStr">
        <is>
          <t>FACTOR_EMISION_OBS</t>
        </is>
      </c>
      <c r="B3445" s="4" t="inlineStr">
        <is>
          <t>FE_NO|2018|1.B.2.b.ii|NO|CO2</t>
        </is>
      </c>
      <c r="C3445" s="4" t="inlineStr">
        <is>
          <t>2018|1.B.2.b.ii|NO|CO2</t>
        </is>
      </c>
      <c r="D3445" s="4">
        <v>2018.0</v>
      </c>
      <c r="E3445" s="4">
        <v>2018.0</v>
      </c>
      <c r="F3445" s="4" t="inlineStr">
        <is>
          <t>NO</t>
        </is>
      </c>
      <c r="G3445" s="4" t="inlineStr">
        <is>
          <t>UNFCCC_GTM_CRT_2024</t>
        </is>
      </c>
      <c r="H3445" s="4" t="inlineStr">
        <is>
          <t>Guatemala. 2024 Common Reporting Table (CRT)</t>
        </is>
      </c>
      <c r="I3445" s="4" t="inlineStr">
        <is>
          <t>https://unfccc.int/reports?f%5B0%5D=corporate_author%3A206</t>
        </is>
      </c>
      <c r="J3445" s="4" t="inlineStr">
        <is>
          <t>FE_NO|2018|1.B.2.b.ii|NO|CO2</t>
        </is>
      </c>
      <c r="K3445" s="4"/>
      <c r="L3445" s="4"/>
      <c r="M3445" s="4"/>
      <c r="N3445" s="4"/>
      <c r="O3445" s="4"/>
      <c r="P3445" s="4"/>
      <c r="Q3445" s="4" t="inlineStr">
        <is>
          <t>SIN_FACTOR_NUMERICO</t>
        </is>
      </c>
      <c r="R3445" s="4"/>
      <c r="S3445" s="4"/>
      <c r="T3445" s="4"/>
      <c r="U3445" s="4"/>
      <c r="V3445" s="4"/>
      <c r="W3445" s="4" t="inlineStr">
        <is>
          <t>1.B.2.b.ii</t>
        </is>
      </c>
      <c r="X3445" s="4"/>
      <c r="Y3445" s="4" t="inlineStr">
        <is>
          <t>NO</t>
        </is>
      </c>
      <c r="Z3445" s="4" t="inlineStr">
        <is>
          <t>CO2</t>
        </is>
      </c>
      <c r="AA3445" s="4"/>
      <c r="AB3445" s="4" t="inlineStr">
        <is>
          <t>kg CO2/TJ</t>
        </is>
      </c>
      <c r="AC3445" s="4"/>
      <c r="AD3445" s="4"/>
      <c r="AE3445" s="4"/>
      <c r="AF3445" s="4"/>
      <c r="AG3445" s="4"/>
      <c r="AH3445" s="4"/>
      <c r="AI3445" s="4"/>
      <c r="AJ3445" s="4"/>
      <c r="AK3445" s="4"/>
      <c r="AL3445" s="4" t="inlineStr">
        <is>
          <t>Table1.B.2; localizador a nivel de tabla; sin registro numérico</t>
        </is>
      </c>
      <c r="AM3445" s="4" t="inlineStr">
        <is>
          <t>Se conserva el estado NO porque la fuente no aporta un factor numérico para la clave interna FE_NO|2018|1.B.2.b.ii|NO|CO2.</t>
        </is>
      </c>
    </row>
    <row r="3446" customFormat="false" ht="15" hidden="false" customHeight="false" outlineLevel="0" collapsed="false">
      <c r="A3446" s="4" t="inlineStr">
        <is>
          <t>FACTOR_EMISION_OBS</t>
        </is>
      </c>
      <c r="B3446" s="4" t="inlineStr">
        <is>
          <t>FE_NO|2018|1.B.2.b.ii|NO|CH4</t>
        </is>
      </c>
      <c r="C3446" s="4" t="inlineStr">
        <is>
          <t>2018|1.B.2.b.ii|NO|CH4</t>
        </is>
      </c>
      <c r="D3446" s="4">
        <v>2018.0</v>
      </c>
      <c r="E3446" s="4">
        <v>2018.0</v>
      </c>
      <c r="F3446" s="4" t="inlineStr">
        <is>
          <t>NO</t>
        </is>
      </c>
      <c r="G3446" s="4" t="inlineStr">
        <is>
          <t>UNFCCC_GTM_CRT_2024</t>
        </is>
      </c>
      <c r="H3446" s="4" t="inlineStr">
        <is>
          <t>Guatemala. 2024 Common Reporting Table (CRT)</t>
        </is>
      </c>
      <c r="I3446" s="4" t="inlineStr">
        <is>
          <t>https://unfccc.int/reports?f%5B0%5D=corporate_author%3A206</t>
        </is>
      </c>
      <c r="J3446" s="4" t="inlineStr">
        <is>
          <t>FE_NO|2018|1.B.2.b.ii|NO|CH4</t>
        </is>
      </c>
      <c r="K3446" s="4"/>
      <c r="L3446" s="4"/>
      <c r="M3446" s="4"/>
      <c r="N3446" s="4"/>
      <c r="O3446" s="4"/>
      <c r="P3446" s="4"/>
      <c r="Q3446" s="4" t="inlineStr">
        <is>
          <t>SIN_FACTOR_NUMERICO</t>
        </is>
      </c>
      <c r="R3446" s="4"/>
      <c r="S3446" s="4"/>
      <c r="T3446" s="4"/>
      <c r="U3446" s="4"/>
      <c r="V3446" s="4"/>
      <c r="W3446" s="4" t="inlineStr">
        <is>
          <t>1.B.2.b.ii</t>
        </is>
      </c>
      <c r="X3446" s="4"/>
      <c r="Y3446" s="4" t="inlineStr">
        <is>
          <t>NO</t>
        </is>
      </c>
      <c r="Z3446" s="4" t="inlineStr">
        <is>
          <t>CH4</t>
        </is>
      </c>
      <c r="AA3446" s="4"/>
      <c r="AB3446" s="4" t="inlineStr">
        <is>
          <t>kg CH4/TJ</t>
        </is>
      </c>
      <c r="AC3446" s="4"/>
      <c r="AD3446" s="4"/>
      <c r="AE3446" s="4"/>
      <c r="AF3446" s="4"/>
      <c r="AG3446" s="4"/>
      <c r="AH3446" s="4"/>
      <c r="AI3446" s="4"/>
      <c r="AJ3446" s="4"/>
      <c r="AK3446" s="4"/>
      <c r="AL3446" s="4" t="inlineStr">
        <is>
          <t>Table1.B.2; localizador a nivel de tabla; sin registro numérico</t>
        </is>
      </c>
      <c r="AM3446" s="4" t="inlineStr">
        <is>
          <t>Se conserva el estado NO porque la fuente no aporta un factor numérico para la clave interna FE_NO|2018|1.B.2.b.ii|NO|CH4.</t>
        </is>
      </c>
    </row>
    <row r="3447" customFormat="false" ht="15" hidden="false" customHeight="false" outlineLevel="0" collapsed="false">
      <c r="A3447" s="4" t="inlineStr">
        <is>
          <t>FACTOR_EMISION_OBS</t>
        </is>
      </c>
      <c r="B3447" s="4" t="inlineStr">
        <is>
          <t>FE_NO|2018|1.B.2.b.ii|NO|N2O</t>
        </is>
      </c>
      <c r="C3447" s="4" t="inlineStr">
        <is>
          <t>2018|1.B.2.b.ii|NO|N2O</t>
        </is>
      </c>
      <c r="D3447" s="4">
        <v>2018.0</v>
      </c>
      <c r="E3447" s="4">
        <v>2018.0</v>
      </c>
      <c r="F3447" s="4" t="inlineStr">
        <is>
          <t>NO</t>
        </is>
      </c>
      <c r="G3447" s="4" t="inlineStr">
        <is>
          <t>UNFCCC_GTM_CRT_2024</t>
        </is>
      </c>
      <c r="H3447" s="4" t="inlineStr">
        <is>
          <t>Guatemala. 2024 Common Reporting Table (CRT)</t>
        </is>
      </c>
      <c r="I3447" s="4" t="inlineStr">
        <is>
          <t>https://unfccc.int/reports?f%5B0%5D=corporate_author%3A206</t>
        </is>
      </c>
      <c r="J3447" s="4" t="inlineStr">
        <is>
          <t>FE_NO|2018|1.B.2.b.ii|NO|N2O</t>
        </is>
      </c>
      <c r="K3447" s="4"/>
      <c r="L3447" s="4"/>
      <c r="M3447" s="4"/>
      <c r="N3447" s="4"/>
      <c r="O3447" s="4"/>
      <c r="P3447" s="4"/>
      <c r="Q3447" s="4" t="inlineStr">
        <is>
          <t>SIN_FACTOR_NUMERICO</t>
        </is>
      </c>
      <c r="R3447" s="4"/>
      <c r="S3447" s="4"/>
      <c r="T3447" s="4"/>
      <c r="U3447" s="4"/>
      <c r="V3447" s="4"/>
      <c r="W3447" s="4" t="inlineStr">
        <is>
          <t>1.B.2.b.ii</t>
        </is>
      </c>
      <c r="X3447" s="4"/>
      <c r="Y3447" s="4" t="inlineStr">
        <is>
          <t>NO</t>
        </is>
      </c>
      <c r="Z3447" s="4" t="inlineStr">
        <is>
          <t>N2O</t>
        </is>
      </c>
      <c r="AA3447" s="4"/>
      <c r="AB3447" s="4" t="inlineStr">
        <is>
          <t>kg N2O/TJ</t>
        </is>
      </c>
      <c r="AC3447" s="4"/>
      <c r="AD3447" s="4"/>
      <c r="AE3447" s="4"/>
      <c r="AF3447" s="4"/>
      <c r="AG3447" s="4"/>
      <c r="AH3447" s="4"/>
      <c r="AI3447" s="4"/>
      <c r="AJ3447" s="4"/>
      <c r="AK3447" s="4"/>
      <c r="AL3447" s="4" t="inlineStr">
        <is>
          <t>Table1.B.2; localizador a nivel de tabla; sin registro numérico</t>
        </is>
      </c>
      <c r="AM3447" s="4" t="inlineStr">
        <is>
          <t>Se conserva el estado NO porque la fuente no aporta un factor numérico para la clave interna FE_NO|2018|1.B.2.b.ii|NO|N2O.</t>
        </is>
      </c>
    </row>
    <row r="3448">
      <c r="A3448" s="4" t="inlineStr">
        <is>
          <t>FACTOR_EMISION_OBS</t>
        </is>
      </c>
      <c r="B3448" s="4" t="inlineStr">
        <is>
          <t>FE_FUG|2018|1.B.2.a.ii|FUGITIVA_PETROLEO|CO2</t>
        </is>
      </c>
      <c r="C3448" s="4" t="inlineStr">
        <is>
          <t>2018|1.B.2.a.ii|FUGITIVA_PETROLEO|CO2</t>
        </is>
      </c>
      <c r="D3448" s="12">
        <v>2018.0</v>
      </c>
      <c r="E3448" s="12">
        <v>2018.0</v>
      </c>
      <c r="F3448" s="4" t="inlineStr">
        <is>
          <t>OBS</t>
        </is>
      </c>
      <c r="G3448" s="4" t="inlineStr">
        <is>
          <t>UNFCCC_GTM_CRT_2024</t>
        </is>
      </c>
      <c r="H3448" s="4" t="inlineStr">
        <is>
          <t>Guatemala. 2024 Common Reporting Table (CRT)</t>
        </is>
      </c>
      <c r="I3448" s="4" t="inlineStr">
        <is>
          <t>https://unfccc.int/reports?f%5B0%5D=corporate_author%3A206</t>
        </is>
      </c>
      <c r="J3448" s="4" t="inlineStr">
        <is>
          <t>CRT1B2|2018|1.B.2.a.ii|CO2</t>
        </is>
      </c>
      <c r="Q3448" s="4" t="inlineStr">
        <is>
          <t>EMISION_CRT_DIV_PSUT_EXTRACCION</t>
        </is>
      </c>
      <c r="W3448" s="4" t="inlineStr">
        <is>
          <t>1.B.2.a.ii</t>
        </is>
      </c>
      <c r="Y3448" s="4" t="inlineStr">
        <is>
          <t>FUGITIVA_PETROLEO</t>
        </is>
      </c>
      <c r="Z3448" s="4" t="inlineStr">
        <is>
          <t>CO2</t>
        </is>
      </c>
      <c r="AA3448" s="13">
        <v>0.006885350559588466</v>
      </c>
      <c r="AB3448" s="4" t="inlineStr">
        <is>
          <t>kg CO2/TJ</t>
        </is>
      </c>
      <c r="AL3448" s="4" t="inlineStr">
        <is>
          <t>Table1.B.2; registro CRT1B2|2018|1.B.2.a.ii|CO2</t>
        </is>
      </c>
      <c r="AM3448" s="4" t="inlineStr">
        <is>
          <t>Factor fugitivo anual derivado de la emisión CRT y de la extracción PETR de la PSUT. Registro CRT: CRT1B2|2018|1.B.2.a.ii|CO2.</t>
        </is>
      </c>
    </row>
    <row r="3449">
      <c r="A3449" s="4" t="inlineStr">
        <is>
          <t>FACTOR_EMISION_OBS</t>
        </is>
      </c>
      <c r="B3449" s="4" t="inlineStr">
        <is>
          <t>FE_FUG|2018|1.B.2.a.ii|FUGITIVA_PETROLEO|CH4</t>
        </is>
      </c>
      <c r="C3449" s="4" t="inlineStr">
        <is>
          <t>2018|1.B.2.a.ii|FUGITIVA_PETROLEO|CH4</t>
        </is>
      </c>
      <c r="D3449" s="12">
        <v>2018.0</v>
      </c>
      <c r="E3449" s="12">
        <v>2018.0</v>
      </c>
      <c r="F3449" s="4" t="inlineStr">
        <is>
          <t>OBS</t>
        </is>
      </c>
      <c r="G3449" s="4" t="inlineStr">
        <is>
          <t>UNFCCC_GTM_CRT_2024</t>
        </is>
      </c>
      <c r="H3449" s="4" t="inlineStr">
        <is>
          <t>Guatemala. 2024 Common Reporting Table (CRT)</t>
        </is>
      </c>
      <c r="I3449" s="4" t="inlineStr">
        <is>
          <t>https://unfccc.int/reports?f%5B0%5D=corporate_author%3A206</t>
        </is>
      </c>
      <c r="J3449" s="4" t="inlineStr">
        <is>
          <t>CRT1B2|2018|1.B.2.a.ii|CH4</t>
        </is>
      </c>
      <c r="Q3449" s="4" t="inlineStr">
        <is>
          <t>EMISION_CRT_DIV_PSUT_EXTRACCION</t>
        </is>
      </c>
      <c r="W3449" s="4" t="inlineStr">
        <is>
          <t>1.B.2.a.ii</t>
        </is>
      </c>
      <c r="Y3449" s="4" t="inlineStr">
        <is>
          <t>FUGITIVA_PETROLEO</t>
        </is>
      </c>
      <c r="Z3449" s="4" t="inlineStr">
        <is>
          <t>CH4</t>
        </is>
      </c>
      <c r="AA3449" s="13">
        <v>0.0944734146548185</v>
      </c>
      <c r="AB3449" s="4" t="inlineStr">
        <is>
          <t>kg CH4/TJ</t>
        </is>
      </c>
      <c r="AL3449" s="4" t="inlineStr">
        <is>
          <t>Table1.B.2; registro CRT1B2|2018|1.B.2.a.ii|CH4</t>
        </is>
      </c>
      <c r="AM3449" s="4" t="inlineStr">
        <is>
          <t>Factor fugitivo anual derivado de la emisión CRT y de la extracción PETR de la PSUT. Registro CRT: CRT1B2|2018|1.B.2.a.ii|CH4.</t>
        </is>
      </c>
    </row>
    <row r="3450">
      <c r="A3450" s="4" t="inlineStr">
        <is>
          <t>FACTOR_EMISION_OBS</t>
        </is>
      </c>
      <c r="B3450" s="4" t="inlineStr">
        <is>
          <t>FE_FUG|2018|1.B.2.a.ii|FUGITIVA_PETROLEO|N2O</t>
        </is>
      </c>
      <c r="C3450" s="4" t="inlineStr">
        <is>
          <t>2018|1.B.2.a.ii|FUGITIVA_PETROLEO|N2O</t>
        </is>
      </c>
      <c r="D3450" s="12">
        <v>2018.0</v>
      </c>
      <c r="E3450" s="12">
        <v>2018.0</v>
      </c>
      <c r="F3450" s="4" t="inlineStr">
        <is>
          <t>NO</t>
        </is>
      </c>
      <c r="G3450" s="4" t="inlineStr">
        <is>
          <t>UNFCCC_GTM_CRT_2024</t>
        </is>
      </c>
      <c r="H3450" s="4" t="inlineStr">
        <is>
          <t>Guatemala. 2024 Common Reporting Table (CRT)</t>
        </is>
      </c>
      <c r="I3450" s="4" t="inlineStr">
        <is>
          <t>https://unfccc.int/reports?f%5B0%5D=corporate_author%3A206</t>
        </is>
      </c>
      <c r="J3450" s="4" t="inlineStr">
        <is>
          <t>CRT1B2|2018|1.B.2.a.ii|N2O</t>
        </is>
      </c>
      <c r="Q3450" s="4" t="inlineStr">
        <is>
          <t>EMISION_CRT_DIV_PSUT_EXTRACCION</t>
        </is>
      </c>
      <c r="W3450" s="4" t="inlineStr">
        <is>
          <t>1.B.2.a.ii</t>
        </is>
      </c>
      <c r="Y3450" s="4" t="inlineStr">
        <is>
          <t>FUGITIVA_PETROLEO</t>
        </is>
      </c>
      <c r="Z3450" s="4" t="inlineStr">
        <is>
          <t>N2O</t>
        </is>
      </c>
      <c r="AB3450" s="4" t="inlineStr">
        <is>
          <t>kg N2O/TJ</t>
        </is>
      </c>
      <c r="AK3450" s="4" t="inlineStr">
        <is>
          <t>NO</t>
        </is>
      </c>
      <c r="AL3450" s="4" t="inlineStr">
        <is>
          <t>Table1.B.2; registro CRT1B2|2018|1.B.2.a.ii|N2O</t>
        </is>
      </c>
      <c r="AM3450" s="4" t="inlineStr">
        <is>
          <t>Factor fugitivo anual derivado de la emisión CRT y de la extracción PETR de la PSUT. Registro CRT: CRT1B2|2018|1.B.2.a.ii|N2O.</t>
        </is>
      </c>
    </row>
    <row r="3451">
      <c r="A3451" s="4" t="inlineStr">
        <is>
          <t>FACTOR_EMISION_OBS</t>
        </is>
      </c>
      <c r="B3451" s="4" t="inlineStr">
        <is>
          <t>FE_COMB|2019|1.A.1.a.i|GASEOUS_FUELS|CO2</t>
        </is>
      </c>
      <c r="C3451" s="4" t="inlineStr">
        <is>
          <t>2019|1.A.1.a.i|GASEOUS_FUELS|CO2</t>
        </is>
      </c>
      <c r="D3451" s="12">
        <v>2019.0</v>
      </c>
      <c r="E3451" s="12">
        <v>2019.0</v>
      </c>
      <c r="F3451" s="4" t="inlineStr">
        <is>
          <t>NO</t>
        </is>
      </c>
      <c r="G3451" s="4" t="inlineStr">
        <is>
          <t>UNFCCC_GTM_CRT_2024</t>
        </is>
      </c>
      <c r="H3451" s="4" t="inlineStr">
        <is>
          <t>Guatemala. 2024 Common Reporting Table (CRT)</t>
        </is>
      </c>
      <c r="I3451" s="4" t="inlineStr">
        <is>
          <t>https://unfccc.int/reports?f%5B0%5D=corporate_author%3A206</t>
        </is>
      </c>
      <c r="J3451" s="4" t="inlineStr">
        <is>
          <t>FE_COMB|2019|1.A.1.a.i|GASEOUS_FUELS|CO2</t>
        </is>
      </c>
      <c r="Q3451" s="4" t="inlineStr">
        <is>
          <t>CRT_ANUAL</t>
        </is>
      </c>
      <c r="W3451" s="4" t="inlineStr">
        <is>
          <t>1.A.1.a.i</t>
        </is>
      </c>
      <c r="Y3451" s="4" t="inlineStr">
        <is>
          <t>GASEOUS_FUELS</t>
        </is>
      </c>
      <c r="Z3451" s="4" t="inlineStr">
        <is>
          <t>CO2</t>
        </is>
      </c>
      <c r="AB3451" s="4" t="inlineStr">
        <is>
          <t>kg CO2/TJ</t>
        </is>
      </c>
      <c r="AL3451" s="4" t="inlineStr">
        <is>
          <t>Table1.A; localizador a nivel de tabla; sin registro numérico</t>
        </is>
      </c>
      <c r="AM3451" s="4" t="inlineStr">
        <is>
          <t>Se conserva el estado NO porque la fuente no aporta un factor numérico para la clave interna FE_COMB|2019|1.A.1.a.i|GASEOUS_FUELS|CO2.</t>
        </is>
      </c>
    </row>
    <row r="3452">
      <c r="A3452" s="4" t="inlineStr">
        <is>
          <t>FACTOR_EMISION_OBS</t>
        </is>
      </c>
      <c r="B3452" s="4" t="inlineStr">
        <is>
          <t>FE_COMB|2019|1.A.1.a.i|GASEOUS_FUELS|CH4</t>
        </is>
      </c>
      <c r="C3452" s="4" t="inlineStr">
        <is>
          <t>2019|1.A.1.a.i|GASEOUS_FUELS|CH4</t>
        </is>
      </c>
      <c r="D3452" s="12">
        <v>2019.0</v>
      </c>
      <c r="E3452" s="12">
        <v>2019.0</v>
      </c>
      <c r="F3452" s="4" t="inlineStr">
        <is>
          <t>NO</t>
        </is>
      </c>
      <c r="G3452" s="4" t="inlineStr">
        <is>
          <t>UNFCCC_GTM_CRT_2024</t>
        </is>
      </c>
      <c r="H3452" s="4" t="inlineStr">
        <is>
          <t>Guatemala. 2024 Common Reporting Table (CRT)</t>
        </is>
      </c>
      <c r="I3452" s="4" t="inlineStr">
        <is>
          <t>https://unfccc.int/reports?f%5B0%5D=corporate_author%3A206</t>
        </is>
      </c>
      <c r="J3452" s="4" t="inlineStr">
        <is>
          <t>FE_COMB|2019|1.A.1.a.i|GASEOUS_FUELS|CH4</t>
        </is>
      </c>
      <c r="Q3452" s="4" t="inlineStr">
        <is>
          <t>CRT_ANUAL</t>
        </is>
      </c>
      <c r="W3452" s="4" t="inlineStr">
        <is>
          <t>1.A.1.a.i</t>
        </is>
      </c>
      <c r="Y3452" s="4" t="inlineStr">
        <is>
          <t>GASEOUS_FUELS</t>
        </is>
      </c>
      <c r="Z3452" s="4" t="inlineStr">
        <is>
          <t>CH4</t>
        </is>
      </c>
      <c r="AB3452" s="4" t="inlineStr">
        <is>
          <t>kg CH4/TJ</t>
        </is>
      </c>
      <c r="AL3452" s="4" t="inlineStr">
        <is>
          <t>Table1.A; localizador a nivel de tabla; sin registro numérico</t>
        </is>
      </c>
      <c r="AM3452" s="4" t="inlineStr">
        <is>
          <t>Se conserva el estado NO porque la fuente no aporta un factor numérico para la clave interna FE_COMB|2019|1.A.1.a.i|GASEOUS_FUELS|CH4.</t>
        </is>
      </c>
    </row>
    <row r="3453">
      <c r="A3453" s="4" t="inlineStr">
        <is>
          <t>FACTOR_EMISION_OBS</t>
        </is>
      </c>
      <c r="B3453" s="4" t="inlineStr">
        <is>
          <t>FE_COMB|2019|1.A.1.a.i|GASEOUS_FUELS|N2O</t>
        </is>
      </c>
      <c r="C3453" s="4" t="inlineStr">
        <is>
          <t>2019|1.A.1.a.i|GASEOUS_FUELS|N2O</t>
        </is>
      </c>
      <c r="D3453" s="12">
        <v>2019.0</v>
      </c>
      <c r="E3453" s="12">
        <v>2019.0</v>
      </c>
      <c r="F3453" s="4" t="inlineStr">
        <is>
          <t>NO</t>
        </is>
      </c>
      <c r="G3453" s="4" t="inlineStr">
        <is>
          <t>UNFCCC_GTM_CRT_2024</t>
        </is>
      </c>
      <c r="H3453" s="4" t="inlineStr">
        <is>
          <t>Guatemala. 2024 Common Reporting Table (CRT)</t>
        </is>
      </c>
      <c r="I3453" s="4" t="inlineStr">
        <is>
          <t>https://unfccc.int/reports?f%5B0%5D=corporate_author%3A206</t>
        </is>
      </c>
      <c r="J3453" s="4" t="inlineStr">
        <is>
          <t>FE_COMB|2019|1.A.1.a.i|GASEOUS_FUELS|N2O</t>
        </is>
      </c>
      <c r="Q3453" s="4" t="inlineStr">
        <is>
          <t>CRT_ANUAL</t>
        </is>
      </c>
      <c r="W3453" s="4" t="inlineStr">
        <is>
          <t>1.A.1.a.i</t>
        </is>
      </c>
      <c r="Y3453" s="4" t="inlineStr">
        <is>
          <t>GASEOUS_FUELS</t>
        </is>
      </c>
      <c r="Z3453" s="4" t="inlineStr">
        <is>
          <t>N2O</t>
        </is>
      </c>
      <c r="AB3453" s="4" t="inlineStr">
        <is>
          <t>kg N2O/TJ</t>
        </is>
      </c>
      <c r="AL3453" s="4" t="inlineStr">
        <is>
          <t>Table1.A; localizador a nivel de tabla; sin registro numérico</t>
        </is>
      </c>
      <c r="AM3453" s="4" t="inlineStr">
        <is>
          <t>Se conserva el estado NO porque la fuente no aporta un factor numérico para la clave interna FE_COMB|2019|1.A.1.a.i|GASEOUS_FUELS|N2O.</t>
        </is>
      </c>
    </row>
    <row r="3454">
      <c r="A3454" s="4" t="inlineStr">
        <is>
          <t>FACTOR_EMISION_OBS</t>
        </is>
      </c>
      <c r="B3454" s="4" t="inlineStr">
        <is>
          <t>FE_COMB|2019|1.A.1.b|LIQUID_FUELS|CO2</t>
        </is>
      </c>
      <c r="C3454" s="4" t="inlineStr">
        <is>
          <t>2019|1.A.1.b|LIQUID_FUELS|CO2</t>
        </is>
      </c>
      <c r="D3454" s="12">
        <v>2019.0</v>
      </c>
      <c r="E3454" s="12">
        <v>2019.0</v>
      </c>
      <c r="F3454" s="4" t="inlineStr">
        <is>
          <t>OBS</t>
        </is>
      </c>
      <c r="G3454" s="4" t="inlineStr">
        <is>
          <t>UNFCCC_GTM_CRT_2024</t>
        </is>
      </c>
      <c r="H3454" s="4" t="inlineStr">
        <is>
          <t>Guatemala. 2024 Common Reporting Table (CRT)</t>
        </is>
      </c>
      <c r="I3454" s="4" t="inlineStr">
        <is>
          <t>https://unfccc.int/reports?f%5B0%5D=corporate_author%3A206</t>
        </is>
      </c>
      <c r="J3454" s="4" t="inlineStr">
        <is>
          <t>CRT1A|2019|1.A.1.b|LIQUID_FUELS|CO2</t>
        </is>
      </c>
      <c r="Q3454" s="4" t="inlineStr">
        <is>
          <t>CRT_ANUAL</t>
        </is>
      </c>
      <c r="W3454" s="4" t="inlineStr">
        <is>
          <t>1.A.1.b</t>
        </is>
      </c>
      <c r="Y3454" s="4" t="inlineStr">
        <is>
          <t>LIQUID_FUELS</t>
        </is>
      </c>
      <c r="Z3454" s="4" t="inlineStr">
        <is>
          <t>CO2</t>
        </is>
      </c>
      <c r="AA3454" s="13">
        <v>72715.11745959021</v>
      </c>
      <c r="AB3454" s="4" t="inlineStr">
        <is>
          <t>kg CO2/TJ</t>
        </is>
      </c>
      <c r="AL3454" s="4" t="inlineStr">
        <is>
          <t>Table1.A(a)s1; registro CRT1A|2019|1.A.1.b|LIQUID_FUELS|CO2</t>
        </is>
      </c>
      <c r="AM3454" s="4" t="inlineStr">
        <is>
          <t>Factor implícito anual derivado de actividad y emisión CRT del mismo año, categoría, grupo y gas. Registro CRT: CRT1A|2019|1.A.1.b|LIQUID_FUELS|CO2.</t>
        </is>
      </c>
    </row>
    <row r="3455">
      <c r="A3455" s="4" t="inlineStr">
        <is>
          <t>FACTOR_EMISION_OBS</t>
        </is>
      </c>
      <c r="B3455" s="4" t="inlineStr">
        <is>
          <t>FE_COMB|2019|1.A.1.b|LIQUID_FUELS|CH4</t>
        </is>
      </c>
      <c r="C3455" s="4" t="inlineStr">
        <is>
          <t>2019|1.A.1.b|LIQUID_FUELS|CH4</t>
        </is>
      </c>
      <c r="D3455" s="12">
        <v>2019.0</v>
      </c>
      <c r="E3455" s="12">
        <v>2019.0</v>
      </c>
      <c r="F3455" s="4" t="inlineStr">
        <is>
          <t>OBS</t>
        </is>
      </c>
      <c r="G3455" s="4" t="inlineStr">
        <is>
          <t>UNFCCC_GTM_CRT_2024</t>
        </is>
      </c>
      <c r="H3455" s="4" t="inlineStr">
        <is>
          <t>Guatemala. 2024 Common Reporting Table (CRT)</t>
        </is>
      </c>
      <c r="I3455" s="4" t="inlineStr">
        <is>
          <t>https://unfccc.int/reports?f%5B0%5D=corporate_author%3A206</t>
        </is>
      </c>
      <c r="J3455" s="4" t="inlineStr">
        <is>
          <t>CRT1A|2019|1.A.1.b|LIQUID_FUELS|CH4</t>
        </is>
      </c>
      <c r="Q3455" s="4" t="inlineStr">
        <is>
          <t>CRT_ANUAL</t>
        </is>
      </c>
      <c r="W3455" s="4" t="inlineStr">
        <is>
          <t>1.A.1.b</t>
        </is>
      </c>
      <c r="Y3455" s="4" t="inlineStr">
        <is>
          <t>LIQUID_FUELS</t>
        </is>
      </c>
      <c r="Z3455" s="4" t="inlineStr">
        <is>
          <t>CH4</t>
        </is>
      </c>
      <c r="AA3455" s="13">
        <v>2.9999763420396026</v>
      </c>
      <c r="AB3455" s="4" t="inlineStr">
        <is>
          <t>kg CH4/TJ</t>
        </is>
      </c>
      <c r="AL3455" s="4" t="inlineStr">
        <is>
          <t>Table1.A(a)s1; registro CRT1A|2019|1.A.1.b|LIQUID_FUELS|CH4</t>
        </is>
      </c>
      <c r="AM3455" s="4" t="inlineStr">
        <is>
          <t>Factor implícito anual derivado de actividad y emisión CRT del mismo año, categoría, grupo y gas. Registro CRT: CRT1A|2019|1.A.1.b|LIQUID_FUELS|CH4.</t>
        </is>
      </c>
    </row>
    <row r="3456">
      <c r="A3456" s="4" t="inlineStr">
        <is>
          <t>FACTOR_EMISION_OBS</t>
        </is>
      </c>
      <c r="B3456" s="4" t="inlineStr">
        <is>
          <t>FE_COMB|2019|1.A.1.b|LIQUID_FUELS|N2O</t>
        </is>
      </c>
      <c r="C3456" s="4" t="inlineStr">
        <is>
          <t>2019|1.A.1.b|LIQUID_FUELS|N2O</t>
        </is>
      </c>
      <c r="D3456" s="12">
        <v>2019.0</v>
      </c>
      <c r="E3456" s="12">
        <v>2019.0</v>
      </c>
      <c r="F3456" s="4" t="inlineStr">
        <is>
          <t>OBS</t>
        </is>
      </c>
      <c r="G3456" s="4" t="inlineStr">
        <is>
          <t>UNFCCC_GTM_CRT_2024</t>
        </is>
      </c>
      <c r="H3456" s="4" t="inlineStr">
        <is>
          <t>Guatemala. 2024 Common Reporting Table (CRT)</t>
        </is>
      </c>
      <c r="I3456" s="4" t="inlineStr">
        <is>
          <t>https://unfccc.int/reports?f%5B0%5D=corporate_author%3A206</t>
        </is>
      </c>
      <c r="J3456" s="4" t="inlineStr">
        <is>
          <t>CRT1A|2019|1.A.1.b|LIQUID_FUELS|N2O</t>
        </is>
      </c>
      <c r="Q3456" s="4" t="inlineStr">
        <is>
          <t>CRT_ANUAL</t>
        </is>
      </c>
      <c r="W3456" s="4" t="inlineStr">
        <is>
          <t>1.A.1.b</t>
        </is>
      </c>
      <c r="Y3456" s="4" t="inlineStr">
        <is>
          <t>LIQUID_FUELS</t>
        </is>
      </c>
      <c r="Z3456" s="4" t="inlineStr">
        <is>
          <t>N2O</t>
        </is>
      </c>
      <c r="AA3456" s="13">
        <v>0.5999952684079206</v>
      </c>
      <c r="AB3456" s="4" t="inlineStr">
        <is>
          <t>kg N2O/TJ</t>
        </is>
      </c>
      <c r="AL3456" s="4" t="inlineStr">
        <is>
          <t>Table1.A(a)s1; registro CRT1A|2019|1.A.1.b|LIQUID_FUELS|N2O</t>
        </is>
      </c>
      <c r="AM3456" s="4" t="inlineStr">
        <is>
          <t>Factor implícito anual derivado de actividad y emisión CRT del mismo año, categoría, grupo y gas. Registro CRT: CRT1A|2019|1.A.1.b|LIQUID_FUELS|N2O.</t>
        </is>
      </c>
    </row>
    <row r="3457">
      <c r="A3457" s="4" t="inlineStr">
        <is>
          <t>FACTOR_EMISION_OBS</t>
        </is>
      </c>
      <c r="B3457" s="4" t="inlineStr">
        <is>
          <t>FE_COMB|2019|1.A.4.a|BIOMASS|CO2</t>
        </is>
      </c>
      <c r="C3457" s="4" t="inlineStr">
        <is>
          <t>2019|1.A.4.a|BIOMASS|CO2</t>
        </is>
      </c>
      <c r="D3457" s="12">
        <v>2019.0</v>
      </c>
      <c r="E3457" s="12">
        <v>2019.0</v>
      </c>
      <c r="F3457" s="4" t="inlineStr">
        <is>
          <t>OBS</t>
        </is>
      </c>
      <c r="G3457" s="4" t="inlineStr">
        <is>
          <t>UNFCCC_GTM_CRT_2024</t>
        </is>
      </c>
      <c r="H3457" s="4" t="inlineStr">
        <is>
          <t>Guatemala. 2024 Common Reporting Table (CRT)</t>
        </is>
      </c>
      <c r="I3457" s="4" t="inlineStr">
        <is>
          <t>https://unfccc.int/reports?f%5B0%5D=corporate_author%3A206</t>
        </is>
      </c>
      <c r="J3457" s="4" t="inlineStr">
        <is>
          <t>CRT1A|2019|1.A.4.a|BIOMASS|CO2</t>
        </is>
      </c>
      <c r="Q3457" s="4" t="inlineStr">
        <is>
          <t>CRT_ANUAL</t>
        </is>
      </c>
      <c r="W3457" s="4" t="inlineStr">
        <is>
          <t>1.A.4.a</t>
        </is>
      </c>
      <c r="Y3457" s="4" t="inlineStr">
        <is>
          <t>BIOMASS</t>
        </is>
      </c>
      <c r="Z3457" s="4" t="inlineStr">
        <is>
          <t>CO2</t>
        </is>
      </c>
      <c r="AA3457" s="13">
        <v>111999.99994029917</v>
      </c>
      <c r="AB3457" s="4" t="inlineStr">
        <is>
          <t>kg CO2/TJ</t>
        </is>
      </c>
      <c r="AL3457" s="4" t="inlineStr">
        <is>
          <t>Table1.A(a)s4; registro CRT1A|2019|1.A.4.a|BIOMASS|CO2</t>
        </is>
      </c>
      <c r="AM3457" s="4" t="inlineStr">
        <is>
          <t>Factor implícito anual derivado de actividad y emisión CRT del mismo año, categoría, grupo y gas. Registro CRT: CRT1A|2019|1.A.4.a|BIOMASS|CO2.</t>
        </is>
      </c>
    </row>
    <row r="3458">
      <c r="A3458" s="4" t="inlineStr">
        <is>
          <t>FACTOR_EMISION_OBS</t>
        </is>
      </c>
      <c r="B3458" s="4" t="inlineStr">
        <is>
          <t>FE_COMB|2019|1.A.4.a|BIOMASS|CH4</t>
        </is>
      </c>
      <c r="C3458" s="4" t="inlineStr">
        <is>
          <t>2019|1.A.4.a|BIOMASS|CH4</t>
        </is>
      </c>
      <c r="D3458" s="12">
        <v>2019.0</v>
      </c>
      <c r="E3458" s="12">
        <v>2019.0</v>
      </c>
      <c r="F3458" s="4" t="inlineStr">
        <is>
          <t>OBS</t>
        </is>
      </c>
      <c r="G3458" s="4" t="inlineStr">
        <is>
          <t>UNFCCC_GTM_CRT_2024</t>
        </is>
      </c>
      <c r="H3458" s="4" t="inlineStr">
        <is>
          <t>Guatemala. 2024 Common Reporting Table (CRT)</t>
        </is>
      </c>
      <c r="I3458" s="4" t="inlineStr">
        <is>
          <t>https://unfccc.int/reports?f%5B0%5D=corporate_author%3A206</t>
        </is>
      </c>
      <c r="J3458" s="4" t="inlineStr">
        <is>
          <t>CRT1A|2019|1.A.4.a|BIOMASS|CH4</t>
        </is>
      </c>
      <c r="Q3458" s="4" t="inlineStr">
        <is>
          <t>CRT_ANUAL</t>
        </is>
      </c>
      <c r="W3458" s="4" t="inlineStr">
        <is>
          <t>1.A.4.a</t>
        </is>
      </c>
      <c r="Y3458" s="4" t="inlineStr">
        <is>
          <t>BIOMASS</t>
        </is>
      </c>
      <c r="Z3458" s="4" t="inlineStr">
        <is>
          <t>CH4</t>
        </is>
      </c>
      <c r="AA3458" s="13">
        <v>300.0000002296185</v>
      </c>
      <c r="AB3458" s="4" t="inlineStr">
        <is>
          <t>kg CH4/TJ</t>
        </is>
      </c>
      <c r="AL3458" s="4" t="inlineStr">
        <is>
          <t>Table1.A(a)s4; registro CRT1A|2019|1.A.4.a|BIOMASS|CH4</t>
        </is>
      </c>
      <c r="AM3458" s="4" t="inlineStr">
        <is>
          <t>Factor implícito anual derivado de actividad y emisión CRT del mismo año, categoría, grupo y gas. Registro CRT: CRT1A|2019|1.A.4.a|BIOMASS|CH4.</t>
        </is>
      </c>
    </row>
    <row r="3459">
      <c r="A3459" s="4" t="inlineStr">
        <is>
          <t>FACTOR_EMISION_OBS</t>
        </is>
      </c>
      <c r="B3459" s="4" t="inlineStr">
        <is>
          <t>FE_COMB|2019|1.A.4.a|BIOMASS|N2O</t>
        </is>
      </c>
      <c r="C3459" s="4" t="inlineStr">
        <is>
          <t>2019|1.A.4.a|BIOMASS|N2O</t>
        </is>
      </c>
      <c r="D3459" s="12">
        <v>2019.0</v>
      </c>
      <c r="E3459" s="12">
        <v>2019.0</v>
      </c>
      <c r="F3459" s="4" t="inlineStr">
        <is>
          <t>OBS</t>
        </is>
      </c>
      <c r="G3459" s="4" t="inlineStr">
        <is>
          <t>UNFCCC_GTM_CRT_2024</t>
        </is>
      </c>
      <c r="H3459" s="4" t="inlineStr">
        <is>
          <t>Guatemala. 2024 Common Reporting Table (CRT)</t>
        </is>
      </c>
      <c r="I3459" s="4" t="inlineStr">
        <is>
          <t>https://unfccc.int/reports?f%5B0%5D=corporate_author%3A206</t>
        </is>
      </c>
      <c r="J3459" s="4" t="inlineStr">
        <is>
          <t>CRT1A|2019|1.A.4.a|BIOMASS|N2O</t>
        </is>
      </c>
      <c r="Q3459" s="4" t="inlineStr">
        <is>
          <t>CRT_ANUAL</t>
        </is>
      </c>
      <c r="W3459" s="4" t="inlineStr">
        <is>
          <t>1.A.4.a</t>
        </is>
      </c>
      <c r="Y3459" s="4" t="inlineStr">
        <is>
          <t>BIOMASS</t>
        </is>
      </c>
      <c r="Z3459" s="4" t="inlineStr">
        <is>
          <t>N2O</t>
        </is>
      </c>
      <c r="AA3459" s="13">
        <v>4.000000018369484</v>
      </c>
      <c r="AB3459" s="4" t="inlineStr">
        <is>
          <t>kg N2O/TJ</t>
        </is>
      </c>
      <c r="AL3459" s="4" t="inlineStr">
        <is>
          <t>Table1.A(a)s4; registro CRT1A|2019|1.A.4.a|BIOMASS|N2O</t>
        </is>
      </c>
      <c r="AM3459" s="4" t="inlineStr">
        <is>
          <t>Factor implícito anual derivado de actividad y emisión CRT del mismo año, categoría, grupo y gas. Registro CRT: CRT1A|2019|1.A.4.a|BIOMASS|N2O.</t>
        </is>
      </c>
    </row>
    <row r="3460">
      <c r="A3460" s="4" t="inlineStr">
        <is>
          <t>FACTOR_EMISION_OBS</t>
        </is>
      </c>
      <c r="B3460" s="4" t="inlineStr">
        <is>
          <t>FE_COMB|2019|1.A.4.b|BIOMASS|CO2</t>
        </is>
      </c>
      <c r="C3460" s="4" t="inlineStr">
        <is>
          <t>2019|1.A.4.b|BIOMASS|CO2</t>
        </is>
      </c>
      <c r="D3460" s="12">
        <v>2019.0</v>
      </c>
      <c r="E3460" s="12">
        <v>2019.0</v>
      </c>
      <c r="F3460" s="4" t="inlineStr">
        <is>
          <t>OBS</t>
        </is>
      </c>
      <c r="G3460" s="4" t="inlineStr">
        <is>
          <t>UNFCCC_GTM_CRT_2024</t>
        </is>
      </c>
      <c r="H3460" s="4" t="inlineStr">
        <is>
          <t>Guatemala. 2024 Common Reporting Table (CRT)</t>
        </is>
      </c>
      <c r="I3460" s="4" t="inlineStr">
        <is>
          <t>https://unfccc.int/reports?f%5B0%5D=corporate_author%3A206</t>
        </is>
      </c>
      <c r="J3460" s="4" t="inlineStr">
        <is>
          <t>CRT1A|2019|1.A.4.b|BIOMASS|CO2</t>
        </is>
      </c>
      <c r="Q3460" s="4" t="inlineStr">
        <is>
          <t>CRT_ANUAL</t>
        </is>
      </c>
      <c r="W3460" s="4" t="inlineStr">
        <is>
          <t>1.A.4.b</t>
        </is>
      </c>
      <c r="Y3460" s="4" t="inlineStr">
        <is>
          <t>BIOMASS</t>
        </is>
      </c>
      <c r="Z3460" s="4" t="inlineStr">
        <is>
          <t>CO2</t>
        </is>
      </c>
      <c r="AA3460" s="13">
        <v>112000.00032667382</v>
      </c>
      <c r="AB3460" s="4" t="inlineStr">
        <is>
          <t>kg CO2/TJ</t>
        </is>
      </c>
      <c r="AL3460" s="4" t="inlineStr">
        <is>
          <t>Table1.A(a)s4; registro CRT1A|2019|1.A.4.b|BIOMASS|CO2</t>
        </is>
      </c>
      <c r="AM3460" s="4" t="inlineStr">
        <is>
          <t>Factor implícito anual derivado de actividad y emisión CRT del mismo año, categoría, grupo y gas. Registro CRT: CRT1A|2019|1.A.4.b|BIOMASS|CO2.</t>
        </is>
      </c>
    </row>
    <row r="3461">
      <c r="A3461" s="4" t="inlineStr">
        <is>
          <t>FACTOR_EMISION_OBS</t>
        </is>
      </c>
      <c r="B3461" s="4" t="inlineStr">
        <is>
          <t>FE_COMB|2019|1.A.4.b|BIOMASS|CH4</t>
        </is>
      </c>
      <c r="C3461" s="4" t="inlineStr">
        <is>
          <t>2019|1.A.4.b|BIOMASS|CH4</t>
        </is>
      </c>
      <c r="D3461" s="12">
        <v>2019.0</v>
      </c>
      <c r="E3461" s="12">
        <v>2019.0</v>
      </c>
      <c r="F3461" s="4" t="inlineStr">
        <is>
          <t>OBS</t>
        </is>
      </c>
      <c r="G3461" s="4" t="inlineStr">
        <is>
          <t>UNFCCC_GTM_CRT_2024</t>
        </is>
      </c>
      <c r="H3461" s="4" t="inlineStr">
        <is>
          <t>Guatemala. 2024 Common Reporting Table (CRT)</t>
        </is>
      </c>
      <c r="I3461" s="4" t="inlineStr">
        <is>
          <t>https://unfccc.int/reports?f%5B0%5D=corporate_author%3A206</t>
        </is>
      </c>
      <c r="J3461" s="4" t="inlineStr">
        <is>
          <t>CRT1A|2019|1.A.4.b|BIOMASS|CH4</t>
        </is>
      </c>
      <c r="Q3461" s="4" t="inlineStr">
        <is>
          <t>CRT_ANUAL</t>
        </is>
      </c>
      <c r="W3461" s="4" t="inlineStr">
        <is>
          <t>1.A.4.b</t>
        </is>
      </c>
      <c r="Y3461" s="4" t="inlineStr">
        <is>
          <t>BIOMASS</t>
        </is>
      </c>
      <c r="Z3461" s="4" t="inlineStr">
        <is>
          <t>CH4</t>
        </is>
      </c>
      <c r="AA3461" s="13">
        <v>300.00000035508026</v>
      </c>
      <c r="AB3461" s="4" t="inlineStr">
        <is>
          <t>kg CH4/TJ</t>
        </is>
      </c>
      <c r="AL3461" s="4" t="inlineStr">
        <is>
          <t>Table1.A(a)s4; registro CRT1A|2019|1.A.4.b|BIOMASS|CH4</t>
        </is>
      </c>
      <c r="AM3461" s="4" t="inlineStr">
        <is>
          <t>Factor implícito anual derivado de actividad y emisión CRT del mismo año, categoría, grupo y gas. Registro CRT: CRT1A|2019|1.A.4.b|BIOMASS|CH4.</t>
        </is>
      </c>
    </row>
    <row r="3462">
      <c r="A3462" s="4" t="inlineStr">
        <is>
          <t>FACTOR_EMISION_OBS</t>
        </is>
      </c>
      <c r="B3462" s="4" t="inlineStr">
        <is>
          <t>FE_COMB|2019|1.A.4.b|BIOMASS|N2O</t>
        </is>
      </c>
      <c r="C3462" s="4" t="inlineStr">
        <is>
          <t>2019|1.A.4.b|BIOMASS|N2O</t>
        </is>
      </c>
      <c r="D3462" s="12">
        <v>2019.0</v>
      </c>
      <c r="E3462" s="12">
        <v>2019.0</v>
      </c>
      <c r="F3462" s="4" t="inlineStr">
        <is>
          <t>OBS</t>
        </is>
      </c>
      <c r="G3462" s="4" t="inlineStr">
        <is>
          <t>UNFCCC_GTM_CRT_2024</t>
        </is>
      </c>
      <c r="H3462" s="4" t="inlineStr">
        <is>
          <t>Guatemala. 2024 Common Reporting Table (CRT)</t>
        </is>
      </c>
      <c r="I3462" s="4" t="inlineStr">
        <is>
          <t>https://unfccc.int/reports?f%5B0%5D=corporate_author%3A206</t>
        </is>
      </c>
      <c r="J3462" s="4" t="inlineStr">
        <is>
          <t>CRT1A|2019|1.A.4.b|BIOMASS|N2O</t>
        </is>
      </c>
      <c r="Q3462" s="4" t="inlineStr">
        <is>
          <t>CRT_ANUAL</t>
        </is>
      </c>
      <c r="W3462" s="4" t="inlineStr">
        <is>
          <t>1.A.4.b</t>
        </is>
      </c>
      <c r="Y3462" s="4" t="inlineStr">
        <is>
          <t>BIOMASS</t>
        </is>
      </c>
      <c r="Z3462" s="4" t="inlineStr">
        <is>
          <t>N2O</t>
        </is>
      </c>
      <c r="AA3462" s="13">
        <v>4.000000014203209</v>
      </c>
      <c r="AB3462" s="4" t="inlineStr">
        <is>
          <t>kg N2O/TJ</t>
        </is>
      </c>
      <c r="AL3462" s="4" t="inlineStr">
        <is>
          <t>Table1.A(a)s4; registro CRT1A|2019|1.A.4.b|BIOMASS|N2O</t>
        </is>
      </c>
      <c r="AM3462" s="4" t="inlineStr">
        <is>
          <t>Factor implícito anual derivado de actividad y emisión CRT del mismo año, categoría, grupo y gas. Registro CRT: CRT1A|2019|1.A.4.b|BIOMASS|N2O.</t>
        </is>
      </c>
    </row>
    <row r="3463">
      <c r="A3463" s="4" t="inlineStr">
        <is>
          <t>FACTOR_EMISION_OBS</t>
        </is>
      </c>
      <c r="B3463" s="4" t="inlineStr">
        <is>
          <t>FE_COMB|2019|1.A.1.a.i|CERO_DIRECTO|CO2</t>
        </is>
      </c>
      <c r="C3463" s="4" t="inlineStr">
        <is>
          <t>2019|1.A.1.a.i|CERO_DIRECTO|CO2</t>
        </is>
      </c>
      <c r="D3463" s="12">
        <v>2019.0</v>
      </c>
      <c r="E3463" s="12">
        <v>2019.0</v>
      </c>
      <c r="F3463" s="4" t="inlineStr">
        <is>
          <t>CAL</t>
        </is>
      </c>
      <c r="G3463" s="4" t="inlineStr">
        <is>
          <t>METODO_EMISIONES</t>
        </is>
      </c>
      <c r="H3463" s="4" t="inlineStr">
        <is>
          <t>Regla metodológica de emisión directa cero</t>
        </is>
      </c>
      <c r="J3463" s="4" t="inlineStr">
        <is>
          <t>PARAM|CERO|1.A.1.a.i|CO2</t>
        </is>
      </c>
      <c r="Q3463" s="4" t="inlineStr">
        <is>
          <t>CERO_DIRECTO</t>
        </is>
      </c>
      <c r="W3463" s="4" t="inlineStr">
        <is>
          <t>1.A.1.a.i</t>
        </is>
      </c>
      <c r="Y3463" s="4" t="inlineStr">
        <is>
          <t>CERO_DIRECTO</t>
        </is>
      </c>
      <c r="Z3463" s="4" t="inlineStr">
        <is>
          <t>CO2</t>
        </is>
      </c>
      <c r="AA3463" s="13">
        <v>0.0</v>
      </c>
      <c r="AB3463" s="4" t="inlineStr">
        <is>
          <t>kg CO2/TJ</t>
        </is>
      </c>
      <c r="AL3463" s="4" t="inlineStr">
        <is>
          <t>No aplica — regla interna CERO_DIRECTO; NT-02, sección 9; hoja PARAMETROS</t>
        </is>
      </c>
      <c r="AM3463" s="4" t="inlineStr">
        <is>
          <t>Cero metodológico definido por la correspondencia contable; no procede de una celda numérica independiente de la CRT.</t>
        </is>
      </c>
    </row>
    <row r="3464">
      <c r="A3464" s="4" t="inlineStr">
        <is>
          <t>FACTOR_EMISION_OBS</t>
        </is>
      </c>
      <c r="B3464" s="4" t="inlineStr">
        <is>
          <t>FE_COMB|2019|1.A.1.a.i|CERO_DIRECTO|CH4</t>
        </is>
      </c>
      <c r="C3464" s="4" t="inlineStr">
        <is>
          <t>2019|1.A.1.a.i|CERO_DIRECTO|CH4</t>
        </is>
      </c>
      <c r="D3464" s="12">
        <v>2019.0</v>
      </c>
      <c r="E3464" s="12">
        <v>2019.0</v>
      </c>
      <c r="F3464" s="4" t="inlineStr">
        <is>
          <t>CAL</t>
        </is>
      </c>
      <c r="G3464" s="4" t="inlineStr">
        <is>
          <t>METODO_EMISIONES</t>
        </is>
      </c>
      <c r="H3464" s="4" t="inlineStr">
        <is>
          <t>Regla metodológica de emisión directa cero</t>
        </is>
      </c>
      <c r="J3464" s="4" t="inlineStr">
        <is>
          <t>PARAM|CERO|1.A.1.a.i|CH4</t>
        </is>
      </c>
      <c r="Q3464" s="4" t="inlineStr">
        <is>
          <t>CERO_DIRECTO</t>
        </is>
      </c>
      <c r="W3464" s="4" t="inlineStr">
        <is>
          <t>1.A.1.a.i</t>
        </is>
      </c>
      <c r="Y3464" s="4" t="inlineStr">
        <is>
          <t>CERO_DIRECTO</t>
        </is>
      </c>
      <c r="Z3464" s="4" t="inlineStr">
        <is>
          <t>CH4</t>
        </is>
      </c>
      <c r="AA3464" s="13">
        <v>0.0</v>
      </c>
      <c r="AB3464" s="4" t="inlineStr">
        <is>
          <t>kg CH4/TJ</t>
        </is>
      </c>
      <c r="AL3464" s="4" t="inlineStr">
        <is>
          <t>No aplica — regla interna CERO_DIRECTO; NT-02, sección 9; hoja PARAMETROS</t>
        </is>
      </c>
      <c r="AM3464" s="4" t="inlineStr">
        <is>
          <t>Cero metodológico definido por la correspondencia contable; no procede de una celda numérica independiente de la CRT.</t>
        </is>
      </c>
    </row>
    <row r="3465">
      <c r="A3465" s="4" t="inlineStr">
        <is>
          <t>FACTOR_EMISION_OBS</t>
        </is>
      </c>
      <c r="B3465" s="4" t="inlineStr">
        <is>
          <t>FE_COMB|2019|1.A.1.a.i|CERO_DIRECTO|N2O</t>
        </is>
      </c>
      <c r="C3465" s="4" t="inlineStr">
        <is>
          <t>2019|1.A.1.a.i|CERO_DIRECTO|N2O</t>
        </is>
      </c>
      <c r="D3465" s="12">
        <v>2019.0</v>
      </c>
      <c r="E3465" s="12">
        <v>2019.0</v>
      </c>
      <c r="F3465" s="4" t="inlineStr">
        <is>
          <t>CAL</t>
        </is>
      </c>
      <c r="G3465" s="4" t="inlineStr">
        <is>
          <t>METODO_EMISIONES</t>
        </is>
      </c>
      <c r="H3465" s="4" t="inlineStr">
        <is>
          <t>Regla metodológica de emisión directa cero</t>
        </is>
      </c>
      <c r="J3465" s="4" t="inlineStr">
        <is>
          <t>PARAM|CERO|1.A.1.a.i|N2O</t>
        </is>
      </c>
      <c r="Q3465" s="4" t="inlineStr">
        <is>
          <t>CERO_DIRECTO</t>
        </is>
      </c>
      <c r="W3465" s="4" t="inlineStr">
        <is>
          <t>1.A.1.a.i</t>
        </is>
      </c>
      <c r="Y3465" s="4" t="inlineStr">
        <is>
          <t>CERO_DIRECTO</t>
        </is>
      </c>
      <c r="Z3465" s="4" t="inlineStr">
        <is>
          <t>N2O</t>
        </is>
      </c>
      <c r="AA3465" s="13">
        <v>0.0</v>
      </c>
      <c r="AB3465" s="4" t="inlineStr">
        <is>
          <t>kg N2O/TJ</t>
        </is>
      </c>
      <c r="AL3465" s="4" t="inlineStr">
        <is>
          <t>No aplica — regla interna CERO_DIRECTO; NT-02, sección 9; hoja PARAMETROS</t>
        </is>
      </c>
      <c r="AM3465" s="4" t="inlineStr">
        <is>
          <t>Cero metodológico definido por la correspondencia contable; no procede de una celda numérica independiente de la CRT.</t>
        </is>
      </c>
    </row>
    <row r="3466">
      <c r="A3466" s="4" t="inlineStr">
        <is>
          <t>FACTOR_EMISION_OBS</t>
        </is>
      </c>
      <c r="B3466" s="4" t="inlineStr">
        <is>
          <t>FE_COMB|2019|1.A.1.c|CERO_DIRECTO|CO2</t>
        </is>
      </c>
      <c r="C3466" s="4" t="inlineStr">
        <is>
          <t>2019|1.A.1.c|CERO_DIRECTO|CO2</t>
        </is>
      </c>
      <c r="D3466" s="12">
        <v>2019.0</v>
      </c>
      <c r="E3466" s="12">
        <v>2019.0</v>
      </c>
      <c r="F3466" s="4" t="inlineStr">
        <is>
          <t>CAL</t>
        </is>
      </c>
      <c r="G3466" s="4" t="inlineStr">
        <is>
          <t>METODO_EMISIONES</t>
        </is>
      </c>
      <c r="H3466" s="4" t="inlineStr">
        <is>
          <t>Regla metodológica de emisión directa cero</t>
        </is>
      </c>
      <c r="J3466" s="4" t="inlineStr">
        <is>
          <t>PARAM|CERO|1.A.1.c|CO2</t>
        </is>
      </c>
      <c r="Q3466" s="4" t="inlineStr">
        <is>
          <t>CERO_DIRECTO</t>
        </is>
      </c>
      <c r="W3466" s="4" t="inlineStr">
        <is>
          <t>1.A.1.c</t>
        </is>
      </c>
      <c r="Y3466" s="4" t="inlineStr">
        <is>
          <t>CERO_DIRECTO</t>
        </is>
      </c>
      <c r="Z3466" s="4" t="inlineStr">
        <is>
          <t>CO2</t>
        </is>
      </c>
      <c r="AA3466" s="13">
        <v>0.0</v>
      </c>
      <c r="AB3466" s="4" t="inlineStr">
        <is>
          <t>kg CO2/TJ</t>
        </is>
      </c>
      <c r="AL3466" s="4" t="inlineStr">
        <is>
          <t>No aplica — regla interna CERO_DIRECTO; NT-02, sección 9; hoja PARAMETROS</t>
        </is>
      </c>
      <c r="AM3466" s="4" t="inlineStr">
        <is>
          <t>Cero metodológico definido por la correspondencia contable; no procede de una celda numérica independiente de la CRT.</t>
        </is>
      </c>
    </row>
    <row r="3467">
      <c r="A3467" s="4" t="inlineStr">
        <is>
          <t>FACTOR_EMISION_OBS</t>
        </is>
      </c>
      <c r="B3467" s="4" t="inlineStr">
        <is>
          <t>FE_COMB|2019|1.A.1.c|CERO_DIRECTO|CH4</t>
        </is>
      </c>
      <c r="C3467" s="4" t="inlineStr">
        <is>
          <t>2019|1.A.1.c|CERO_DIRECTO|CH4</t>
        </is>
      </c>
      <c r="D3467" s="12">
        <v>2019.0</v>
      </c>
      <c r="E3467" s="12">
        <v>2019.0</v>
      </c>
      <c r="F3467" s="4" t="inlineStr">
        <is>
          <t>CAL</t>
        </is>
      </c>
      <c r="G3467" s="4" t="inlineStr">
        <is>
          <t>METODO_EMISIONES</t>
        </is>
      </c>
      <c r="H3467" s="4" t="inlineStr">
        <is>
          <t>Regla metodológica de emisión directa cero</t>
        </is>
      </c>
      <c r="J3467" s="4" t="inlineStr">
        <is>
          <t>PARAM|CERO|1.A.1.c|CH4</t>
        </is>
      </c>
      <c r="Q3467" s="4" t="inlineStr">
        <is>
          <t>CERO_DIRECTO</t>
        </is>
      </c>
      <c r="W3467" s="4" t="inlineStr">
        <is>
          <t>1.A.1.c</t>
        </is>
      </c>
      <c r="Y3467" s="4" t="inlineStr">
        <is>
          <t>CERO_DIRECTO</t>
        </is>
      </c>
      <c r="Z3467" s="4" t="inlineStr">
        <is>
          <t>CH4</t>
        </is>
      </c>
      <c r="AA3467" s="13">
        <v>0.0</v>
      </c>
      <c r="AB3467" s="4" t="inlineStr">
        <is>
          <t>kg CH4/TJ</t>
        </is>
      </c>
      <c r="AL3467" s="4" t="inlineStr">
        <is>
          <t>No aplica — regla interna CERO_DIRECTO; NT-02, sección 9; hoja PARAMETROS</t>
        </is>
      </c>
      <c r="AM3467" s="4" t="inlineStr">
        <is>
          <t>Cero metodológico definido por la correspondencia contable; no procede de una celda numérica independiente de la CRT.</t>
        </is>
      </c>
    </row>
    <row r="3468">
      <c r="A3468" s="4" t="inlineStr">
        <is>
          <t>FACTOR_EMISION_OBS</t>
        </is>
      </c>
      <c r="B3468" s="4" t="inlineStr">
        <is>
          <t>FE_COMB|2019|1.A.1.c|CERO_DIRECTO|N2O</t>
        </is>
      </c>
      <c r="C3468" s="4" t="inlineStr">
        <is>
          <t>2019|1.A.1.c|CERO_DIRECTO|N2O</t>
        </is>
      </c>
      <c r="D3468" s="12">
        <v>2019.0</v>
      </c>
      <c r="E3468" s="12">
        <v>2019.0</v>
      </c>
      <c r="F3468" s="4" t="inlineStr">
        <is>
          <t>CAL</t>
        </is>
      </c>
      <c r="G3468" s="4" t="inlineStr">
        <is>
          <t>METODO_EMISIONES</t>
        </is>
      </c>
      <c r="H3468" s="4" t="inlineStr">
        <is>
          <t>Regla metodológica de emisión directa cero</t>
        </is>
      </c>
      <c r="J3468" s="4" t="inlineStr">
        <is>
          <t>PARAM|CERO|1.A.1.c|N2O</t>
        </is>
      </c>
      <c r="Q3468" s="4" t="inlineStr">
        <is>
          <t>CERO_DIRECTO</t>
        </is>
      </c>
      <c r="W3468" s="4" t="inlineStr">
        <is>
          <t>1.A.1.c</t>
        </is>
      </c>
      <c r="Y3468" s="4" t="inlineStr">
        <is>
          <t>CERO_DIRECTO</t>
        </is>
      </c>
      <c r="Z3468" s="4" t="inlineStr">
        <is>
          <t>N2O</t>
        </is>
      </c>
      <c r="AA3468" s="13">
        <v>0.0</v>
      </c>
      <c r="AB3468" s="4" t="inlineStr">
        <is>
          <t>kg N2O/TJ</t>
        </is>
      </c>
      <c r="AL3468" s="4" t="inlineStr">
        <is>
          <t>No aplica — regla interna CERO_DIRECTO; NT-02, sección 9; hoja PARAMETROS</t>
        </is>
      </c>
      <c r="AM3468" s="4" t="inlineStr">
        <is>
          <t>Cero metodológico definido por la correspondencia contable; no procede de una celda numérica independiente de la CRT.</t>
        </is>
      </c>
    </row>
    <row r="3469">
      <c r="A3469" s="4" t="inlineStr">
        <is>
          <t>FACTOR_EMISION_OBS</t>
        </is>
      </c>
      <c r="B3469" s="4" t="inlineStr">
        <is>
          <t>FE_COMB|2019|1.A.2|CERO_DIRECTO|CO2</t>
        </is>
      </c>
      <c r="C3469" s="4" t="inlineStr">
        <is>
          <t>2019|1.A.2|CERO_DIRECTO|CO2</t>
        </is>
      </c>
      <c r="D3469" s="12">
        <v>2019.0</v>
      </c>
      <c r="E3469" s="12">
        <v>2019.0</v>
      </c>
      <c r="F3469" s="4" t="inlineStr">
        <is>
          <t>CAL</t>
        </is>
      </c>
      <c r="G3469" s="4" t="inlineStr">
        <is>
          <t>METODO_EMISIONES</t>
        </is>
      </c>
      <c r="H3469" s="4" t="inlineStr">
        <is>
          <t>Regla metodológica de emisión directa cero</t>
        </is>
      </c>
      <c r="J3469" s="4" t="inlineStr">
        <is>
          <t>PARAM|CERO|1.A.2|CO2</t>
        </is>
      </c>
      <c r="Q3469" s="4" t="inlineStr">
        <is>
          <t>CERO_DIRECTO</t>
        </is>
      </c>
      <c r="W3469" s="4" t="inlineStr">
        <is>
          <t>1.A.2</t>
        </is>
      </c>
      <c r="Y3469" s="4" t="inlineStr">
        <is>
          <t>CERO_DIRECTO</t>
        </is>
      </c>
      <c r="Z3469" s="4" t="inlineStr">
        <is>
          <t>CO2</t>
        </is>
      </c>
      <c r="AA3469" s="13">
        <v>0.0</v>
      </c>
      <c r="AB3469" s="4" t="inlineStr">
        <is>
          <t>kg CO2/TJ</t>
        </is>
      </c>
      <c r="AL3469" s="4" t="inlineStr">
        <is>
          <t>No aplica — regla interna CERO_DIRECTO; NT-02, sección 9; hoja PARAMETROS</t>
        </is>
      </c>
      <c r="AM3469" s="4" t="inlineStr">
        <is>
          <t>Cero metodológico definido por la correspondencia contable; no procede de una celda numérica independiente de la CRT.</t>
        </is>
      </c>
    </row>
    <row r="3470">
      <c r="A3470" s="4" t="inlineStr">
        <is>
          <t>FACTOR_EMISION_OBS</t>
        </is>
      </c>
      <c r="B3470" s="4" t="inlineStr">
        <is>
          <t>FE_COMB|2019|1.A.2|CERO_DIRECTO|CH4</t>
        </is>
      </c>
      <c r="C3470" s="4" t="inlineStr">
        <is>
          <t>2019|1.A.2|CERO_DIRECTO|CH4</t>
        </is>
      </c>
      <c r="D3470" s="12">
        <v>2019.0</v>
      </c>
      <c r="E3470" s="12">
        <v>2019.0</v>
      </c>
      <c r="F3470" s="4" t="inlineStr">
        <is>
          <t>CAL</t>
        </is>
      </c>
      <c r="G3470" s="4" t="inlineStr">
        <is>
          <t>METODO_EMISIONES</t>
        </is>
      </c>
      <c r="H3470" s="4" t="inlineStr">
        <is>
          <t>Regla metodológica de emisión directa cero</t>
        </is>
      </c>
      <c r="J3470" s="4" t="inlineStr">
        <is>
          <t>PARAM|CERO|1.A.2|CH4</t>
        </is>
      </c>
      <c r="Q3470" s="4" t="inlineStr">
        <is>
          <t>CERO_DIRECTO</t>
        </is>
      </c>
      <c r="W3470" s="4" t="inlineStr">
        <is>
          <t>1.A.2</t>
        </is>
      </c>
      <c r="Y3470" s="4" t="inlineStr">
        <is>
          <t>CERO_DIRECTO</t>
        </is>
      </c>
      <c r="Z3470" s="4" t="inlineStr">
        <is>
          <t>CH4</t>
        </is>
      </c>
      <c r="AA3470" s="13">
        <v>0.0</v>
      </c>
      <c r="AB3470" s="4" t="inlineStr">
        <is>
          <t>kg CH4/TJ</t>
        </is>
      </c>
      <c r="AL3470" s="4" t="inlineStr">
        <is>
          <t>No aplica — regla interna CERO_DIRECTO; NT-02, sección 9; hoja PARAMETROS</t>
        </is>
      </c>
      <c r="AM3470" s="4" t="inlineStr">
        <is>
          <t>Cero metodológico definido por la correspondencia contable; no procede de una celda numérica independiente de la CRT.</t>
        </is>
      </c>
    </row>
    <row r="3471">
      <c r="A3471" s="4" t="inlineStr">
        <is>
          <t>FACTOR_EMISION_OBS</t>
        </is>
      </c>
      <c r="B3471" s="4" t="inlineStr">
        <is>
          <t>FE_COMB|2019|1.A.2|CERO_DIRECTO|N2O</t>
        </is>
      </c>
      <c r="C3471" s="4" t="inlineStr">
        <is>
          <t>2019|1.A.2|CERO_DIRECTO|N2O</t>
        </is>
      </c>
      <c r="D3471" s="12">
        <v>2019.0</v>
      </c>
      <c r="E3471" s="12">
        <v>2019.0</v>
      </c>
      <c r="F3471" s="4" t="inlineStr">
        <is>
          <t>CAL</t>
        </is>
      </c>
      <c r="G3471" s="4" t="inlineStr">
        <is>
          <t>METODO_EMISIONES</t>
        </is>
      </c>
      <c r="H3471" s="4" t="inlineStr">
        <is>
          <t>Regla metodológica de emisión directa cero</t>
        </is>
      </c>
      <c r="J3471" s="4" t="inlineStr">
        <is>
          <t>PARAM|CERO|1.A.2|N2O</t>
        </is>
      </c>
      <c r="Q3471" s="4" t="inlineStr">
        <is>
          <t>CERO_DIRECTO</t>
        </is>
      </c>
      <c r="W3471" s="4" t="inlineStr">
        <is>
          <t>1.A.2</t>
        </is>
      </c>
      <c r="Y3471" s="4" t="inlineStr">
        <is>
          <t>CERO_DIRECTO</t>
        </is>
      </c>
      <c r="Z3471" s="4" t="inlineStr">
        <is>
          <t>N2O</t>
        </is>
      </c>
      <c r="AA3471" s="13">
        <v>0.0</v>
      </c>
      <c r="AB3471" s="4" t="inlineStr">
        <is>
          <t>kg N2O/TJ</t>
        </is>
      </c>
      <c r="AL3471" s="4" t="inlineStr">
        <is>
          <t>No aplica — regla interna CERO_DIRECTO; NT-02, sección 9; hoja PARAMETROS</t>
        </is>
      </c>
      <c r="AM3471" s="4" t="inlineStr">
        <is>
          <t>Cero metodológico definido por la correspondencia contable; no procede de una celda numérica independiente de la CRT.</t>
        </is>
      </c>
    </row>
    <row r="3472">
      <c r="A3472" s="4" t="inlineStr">
        <is>
          <t>FACTOR_EMISION_OBS</t>
        </is>
      </c>
      <c r="B3472" s="4" t="inlineStr">
        <is>
          <t>FE_COMB|2019|1.A.3|CERO_DIRECTO|CO2</t>
        </is>
      </c>
      <c r="C3472" s="4" t="inlineStr">
        <is>
          <t>2019|1.A.3|CERO_DIRECTO|CO2</t>
        </is>
      </c>
      <c r="D3472" s="12">
        <v>2019.0</v>
      </c>
      <c r="E3472" s="12">
        <v>2019.0</v>
      </c>
      <c r="F3472" s="4" t="inlineStr">
        <is>
          <t>CAL</t>
        </is>
      </c>
      <c r="G3472" s="4" t="inlineStr">
        <is>
          <t>METODO_EMISIONES</t>
        </is>
      </c>
      <c r="H3472" s="4" t="inlineStr">
        <is>
          <t>Regla metodológica de emisión directa cero</t>
        </is>
      </c>
      <c r="J3472" s="4" t="inlineStr">
        <is>
          <t>PARAM|CERO|1.A.3|CO2</t>
        </is>
      </c>
      <c r="Q3472" s="4" t="inlineStr">
        <is>
          <t>CERO_DIRECTO</t>
        </is>
      </c>
      <c r="W3472" s="4" t="inlineStr">
        <is>
          <t>1.A.3</t>
        </is>
      </c>
      <c r="Y3472" s="4" t="inlineStr">
        <is>
          <t>CERO_DIRECTO</t>
        </is>
      </c>
      <c r="Z3472" s="4" t="inlineStr">
        <is>
          <t>CO2</t>
        </is>
      </c>
      <c r="AA3472" s="13">
        <v>0.0</v>
      </c>
      <c r="AB3472" s="4" t="inlineStr">
        <is>
          <t>kg CO2/TJ</t>
        </is>
      </c>
      <c r="AL3472" s="4" t="inlineStr">
        <is>
          <t>No aplica — regla interna CERO_DIRECTO; NT-02, sección 9; hoja PARAMETROS</t>
        </is>
      </c>
      <c r="AM3472" s="4" t="inlineStr">
        <is>
          <t>Cero metodológico definido por la correspondencia contable; no procede de una celda numérica independiente de la CRT.</t>
        </is>
      </c>
    </row>
    <row r="3473">
      <c r="A3473" s="4" t="inlineStr">
        <is>
          <t>FACTOR_EMISION_OBS</t>
        </is>
      </c>
      <c r="B3473" s="4" t="inlineStr">
        <is>
          <t>FE_COMB|2019|1.A.3|CERO_DIRECTO|CH4</t>
        </is>
      </c>
      <c r="C3473" s="4" t="inlineStr">
        <is>
          <t>2019|1.A.3|CERO_DIRECTO|CH4</t>
        </is>
      </c>
      <c r="D3473" s="12">
        <v>2019.0</v>
      </c>
      <c r="E3473" s="12">
        <v>2019.0</v>
      </c>
      <c r="F3473" s="4" t="inlineStr">
        <is>
          <t>CAL</t>
        </is>
      </c>
      <c r="G3473" s="4" t="inlineStr">
        <is>
          <t>METODO_EMISIONES</t>
        </is>
      </c>
      <c r="H3473" s="4" t="inlineStr">
        <is>
          <t>Regla metodológica de emisión directa cero</t>
        </is>
      </c>
      <c r="J3473" s="4" t="inlineStr">
        <is>
          <t>PARAM|CERO|1.A.3|CH4</t>
        </is>
      </c>
      <c r="Q3473" s="4" t="inlineStr">
        <is>
          <t>CERO_DIRECTO</t>
        </is>
      </c>
      <c r="W3473" s="4" t="inlineStr">
        <is>
          <t>1.A.3</t>
        </is>
      </c>
      <c r="Y3473" s="4" t="inlineStr">
        <is>
          <t>CERO_DIRECTO</t>
        </is>
      </c>
      <c r="Z3473" s="4" t="inlineStr">
        <is>
          <t>CH4</t>
        </is>
      </c>
      <c r="AA3473" s="13">
        <v>0.0</v>
      </c>
      <c r="AB3473" s="4" t="inlineStr">
        <is>
          <t>kg CH4/TJ</t>
        </is>
      </c>
      <c r="AL3473" s="4" t="inlineStr">
        <is>
          <t>No aplica — regla interna CERO_DIRECTO; NT-02, sección 9; hoja PARAMETROS</t>
        </is>
      </c>
      <c r="AM3473" s="4" t="inlineStr">
        <is>
          <t>Cero metodológico definido por la correspondencia contable; no procede de una celda numérica independiente de la CRT.</t>
        </is>
      </c>
    </row>
    <row r="3474">
      <c r="A3474" s="4" t="inlineStr">
        <is>
          <t>FACTOR_EMISION_OBS</t>
        </is>
      </c>
      <c r="B3474" s="4" t="inlineStr">
        <is>
          <t>FE_COMB|2019|1.A.3|CERO_DIRECTO|N2O</t>
        </is>
      </c>
      <c r="C3474" s="4" t="inlineStr">
        <is>
          <t>2019|1.A.3|CERO_DIRECTO|N2O</t>
        </is>
      </c>
      <c r="D3474" s="12">
        <v>2019.0</v>
      </c>
      <c r="E3474" s="12">
        <v>2019.0</v>
      </c>
      <c r="F3474" s="4" t="inlineStr">
        <is>
          <t>CAL</t>
        </is>
      </c>
      <c r="G3474" s="4" t="inlineStr">
        <is>
          <t>METODO_EMISIONES</t>
        </is>
      </c>
      <c r="H3474" s="4" t="inlineStr">
        <is>
          <t>Regla metodológica de emisión directa cero</t>
        </is>
      </c>
      <c r="J3474" s="4" t="inlineStr">
        <is>
          <t>PARAM|CERO|1.A.3|N2O</t>
        </is>
      </c>
      <c r="Q3474" s="4" t="inlineStr">
        <is>
          <t>CERO_DIRECTO</t>
        </is>
      </c>
      <c r="W3474" s="4" t="inlineStr">
        <is>
          <t>1.A.3</t>
        </is>
      </c>
      <c r="Y3474" s="4" t="inlineStr">
        <is>
          <t>CERO_DIRECTO</t>
        </is>
      </c>
      <c r="Z3474" s="4" t="inlineStr">
        <is>
          <t>N2O</t>
        </is>
      </c>
      <c r="AA3474" s="13">
        <v>0.0</v>
      </c>
      <c r="AB3474" s="4" t="inlineStr">
        <is>
          <t>kg N2O/TJ</t>
        </is>
      </c>
      <c r="AL3474" s="4" t="inlineStr">
        <is>
          <t>No aplica — regla interna CERO_DIRECTO; NT-02, sección 9; hoja PARAMETROS</t>
        </is>
      </c>
      <c r="AM3474" s="4" t="inlineStr">
        <is>
          <t>Cero metodológico definido por la correspondencia contable; no procede de una celda numérica independiente de la CRT.</t>
        </is>
      </c>
    </row>
    <row r="3475">
      <c r="A3475" s="4" t="inlineStr">
        <is>
          <t>FACTOR_EMISION_OBS</t>
        </is>
      </c>
      <c r="B3475" s="4" t="inlineStr">
        <is>
          <t>FE_COMB|2019|1.A.4.a|CERO_DIRECTO|CO2</t>
        </is>
      </c>
      <c r="C3475" s="4" t="inlineStr">
        <is>
          <t>2019|1.A.4.a|CERO_DIRECTO|CO2</t>
        </is>
      </c>
      <c r="D3475" s="12">
        <v>2019.0</v>
      </c>
      <c r="E3475" s="12">
        <v>2019.0</v>
      </c>
      <c r="F3475" s="4" t="inlineStr">
        <is>
          <t>CAL</t>
        </is>
      </c>
      <c r="G3475" s="4" t="inlineStr">
        <is>
          <t>METODO_EMISIONES</t>
        </is>
      </c>
      <c r="H3475" s="4" t="inlineStr">
        <is>
          <t>Regla metodológica de emisión directa cero</t>
        </is>
      </c>
      <c r="J3475" s="4" t="inlineStr">
        <is>
          <t>PARAM|CERO|1.A.4.a|CO2</t>
        </is>
      </c>
      <c r="Q3475" s="4" t="inlineStr">
        <is>
          <t>CERO_DIRECTO</t>
        </is>
      </c>
      <c r="W3475" s="4" t="inlineStr">
        <is>
          <t>1.A.4.a</t>
        </is>
      </c>
      <c r="Y3475" s="4" t="inlineStr">
        <is>
          <t>CERO_DIRECTO</t>
        </is>
      </c>
      <c r="Z3475" s="4" t="inlineStr">
        <is>
          <t>CO2</t>
        </is>
      </c>
      <c r="AA3475" s="13">
        <v>0.0</v>
      </c>
      <c r="AB3475" s="4" t="inlineStr">
        <is>
          <t>kg CO2/TJ</t>
        </is>
      </c>
      <c r="AL3475" s="4" t="inlineStr">
        <is>
          <t>No aplica — regla interna CERO_DIRECTO; NT-02, sección 9; hoja PARAMETROS</t>
        </is>
      </c>
      <c r="AM3475" s="4" t="inlineStr">
        <is>
          <t>Cero metodológico definido por la correspondencia contable; no procede de una celda numérica independiente de la CRT.</t>
        </is>
      </c>
    </row>
    <row r="3476">
      <c r="A3476" s="4" t="inlineStr">
        <is>
          <t>FACTOR_EMISION_OBS</t>
        </is>
      </c>
      <c r="B3476" s="4" t="inlineStr">
        <is>
          <t>FE_COMB|2019|1.A.4.a|CERO_DIRECTO|CH4</t>
        </is>
      </c>
      <c r="C3476" s="4" t="inlineStr">
        <is>
          <t>2019|1.A.4.a|CERO_DIRECTO|CH4</t>
        </is>
      </c>
      <c r="D3476" s="12">
        <v>2019.0</v>
      </c>
      <c r="E3476" s="12">
        <v>2019.0</v>
      </c>
      <c r="F3476" s="4" t="inlineStr">
        <is>
          <t>CAL</t>
        </is>
      </c>
      <c r="G3476" s="4" t="inlineStr">
        <is>
          <t>METODO_EMISIONES</t>
        </is>
      </c>
      <c r="H3476" s="4" t="inlineStr">
        <is>
          <t>Regla metodológica de emisión directa cero</t>
        </is>
      </c>
      <c r="J3476" s="4" t="inlineStr">
        <is>
          <t>PARAM|CERO|1.A.4.a|CH4</t>
        </is>
      </c>
      <c r="Q3476" s="4" t="inlineStr">
        <is>
          <t>CERO_DIRECTO</t>
        </is>
      </c>
      <c r="W3476" s="4" t="inlineStr">
        <is>
          <t>1.A.4.a</t>
        </is>
      </c>
      <c r="Y3476" s="4" t="inlineStr">
        <is>
          <t>CERO_DIRECTO</t>
        </is>
      </c>
      <c r="Z3476" s="4" t="inlineStr">
        <is>
          <t>CH4</t>
        </is>
      </c>
      <c r="AA3476" s="13">
        <v>0.0</v>
      </c>
      <c r="AB3476" s="4" t="inlineStr">
        <is>
          <t>kg CH4/TJ</t>
        </is>
      </c>
      <c r="AL3476" s="4" t="inlineStr">
        <is>
          <t>No aplica — regla interna CERO_DIRECTO; NT-02, sección 9; hoja PARAMETROS</t>
        </is>
      </c>
      <c r="AM3476" s="4" t="inlineStr">
        <is>
          <t>Cero metodológico definido por la correspondencia contable; no procede de una celda numérica independiente de la CRT.</t>
        </is>
      </c>
    </row>
    <row r="3477">
      <c r="A3477" s="4" t="inlineStr">
        <is>
          <t>FACTOR_EMISION_OBS</t>
        </is>
      </c>
      <c r="B3477" s="4" t="inlineStr">
        <is>
          <t>FE_COMB|2019|1.A.4.a|CERO_DIRECTO|N2O</t>
        </is>
      </c>
      <c r="C3477" s="4" t="inlineStr">
        <is>
          <t>2019|1.A.4.a|CERO_DIRECTO|N2O</t>
        </is>
      </c>
      <c r="D3477" s="12">
        <v>2019.0</v>
      </c>
      <c r="E3477" s="12">
        <v>2019.0</v>
      </c>
      <c r="F3477" s="4" t="inlineStr">
        <is>
          <t>CAL</t>
        </is>
      </c>
      <c r="G3477" s="4" t="inlineStr">
        <is>
          <t>METODO_EMISIONES</t>
        </is>
      </c>
      <c r="H3477" s="4" t="inlineStr">
        <is>
          <t>Regla metodológica de emisión directa cero</t>
        </is>
      </c>
      <c r="J3477" s="4" t="inlineStr">
        <is>
          <t>PARAM|CERO|1.A.4.a|N2O</t>
        </is>
      </c>
      <c r="Q3477" s="4" t="inlineStr">
        <is>
          <t>CERO_DIRECTO</t>
        </is>
      </c>
      <c r="W3477" s="4" t="inlineStr">
        <is>
          <t>1.A.4.a</t>
        </is>
      </c>
      <c r="Y3477" s="4" t="inlineStr">
        <is>
          <t>CERO_DIRECTO</t>
        </is>
      </c>
      <c r="Z3477" s="4" t="inlineStr">
        <is>
          <t>N2O</t>
        </is>
      </c>
      <c r="AA3477" s="13">
        <v>0.0</v>
      </c>
      <c r="AB3477" s="4" t="inlineStr">
        <is>
          <t>kg N2O/TJ</t>
        </is>
      </c>
      <c r="AL3477" s="4" t="inlineStr">
        <is>
          <t>No aplica — regla interna CERO_DIRECTO; NT-02, sección 9; hoja PARAMETROS</t>
        </is>
      </c>
      <c r="AM3477" s="4" t="inlineStr">
        <is>
          <t>Cero metodológico definido por la correspondencia contable; no procede de una celda numérica independiente de la CRT.</t>
        </is>
      </c>
    </row>
    <row r="3478">
      <c r="A3478" s="4" t="inlineStr">
        <is>
          <t>FACTOR_EMISION_OBS</t>
        </is>
      </c>
      <c r="B3478" s="4" t="inlineStr">
        <is>
          <t>FE_COMB|2019|1.A.4.b|CERO_DIRECTO|CO2</t>
        </is>
      </c>
      <c r="C3478" s="4" t="inlineStr">
        <is>
          <t>2019|1.A.4.b|CERO_DIRECTO|CO2</t>
        </is>
      </c>
      <c r="D3478" s="12">
        <v>2019.0</v>
      </c>
      <c r="E3478" s="12">
        <v>2019.0</v>
      </c>
      <c r="F3478" s="4" t="inlineStr">
        <is>
          <t>CAL</t>
        </is>
      </c>
      <c r="G3478" s="4" t="inlineStr">
        <is>
          <t>METODO_EMISIONES</t>
        </is>
      </c>
      <c r="H3478" s="4" t="inlineStr">
        <is>
          <t>Regla metodológica de emisión directa cero</t>
        </is>
      </c>
      <c r="J3478" s="4" t="inlineStr">
        <is>
          <t>PARAM|CERO|1.A.4.b|CO2</t>
        </is>
      </c>
      <c r="Q3478" s="4" t="inlineStr">
        <is>
          <t>CERO_DIRECTO</t>
        </is>
      </c>
      <c r="W3478" s="4" t="inlineStr">
        <is>
          <t>1.A.4.b</t>
        </is>
      </c>
      <c r="Y3478" s="4" t="inlineStr">
        <is>
          <t>CERO_DIRECTO</t>
        </is>
      </c>
      <c r="Z3478" s="4" t="inlineStr">
        <is>
          <t>CO2</t>
        </is>
      </c>
      <c r="AA3478" s="13">
        <v>0.0</v>
      </c>
      <c r="AB3478" s="4" t="inlineStr">
        <is>
          <t>kg CO2/TJ</t>
        </is>
      </c>
      <c r="AL3478" s="4" t="inlineStr">
        <is>
          <t>No aplica — regla interna CERO_DIRECTO; NT-02, sección 9; hoja PARAMETROS</t>
        </is>
      </c>
      <c r="AM3478" s="4" t="inlineStr">
        <is>
          <t>Cero metodológico definido por la correspondencia contable; no procede de una celda numérica independiente de la CRT.</t>
        </is>
      </c>
    </row>
    <row r="3479">
      <c r="A3479" s="4" t="inlineStr">
        <is>
          <t>FACTOR_EMISION_OBS</t>
        </is>
      </c>
      <c r="B3479" s="4" t="inlineStr">
        <is>
          <t>FE_COMB|2019|1.A.4.b|CERO_DIRECTO|CH4</t>
        </is>
      </c>
      <c r="C3479" s="4" t="inlineStr">
        <is>
          <t>2019|1.A.4.b|CERO_DIRECTO|CH4</t>
        </is>
      </c>
      <c r="D3479" s="12">
        <v>2019.0</v>
      </c>
      <c r="E3479" s="12">
        <v>2019.0</v>
      </c>
      <c r="F3479" s="4" t="inlineStr">
        <is>
          <t>CAL</t>
        </is>
      </c>
      <c r="G3479" s="4" t="inlineStr">
        <is>
          <t>METODO_EMISIONES</t>
        </is>
      </c>
      <c r="H3479" s="4" t="inlineStr">
        <is>
          <t>Regla metodológica de emisión directa cero</t>
        </is>
      </c>
      <c r="J3479" s="4" t="inlineStr">
        <is>
          <t>PARAM|CERO|1.A.4.b|CH4</t>
        </is>
      </c>
      <c r="Q3479" s="4" t="inlineStr">
        <is>
          <t>CERO_DIRECTO</t>
        </is>
      </c>
      <c r="W3479" s="4" t="inlineStr">
        <is>
          <t>1.A.4.b</t>
        </is>
      </c>
      <c r="Y3479" s="4" t="inlineStr">
        <is>
          <t>CERO_DIRECTO</t>
        </is>
      </c>
      <c r="Z3479" s="4" t="inlineStr">
        <is>
          <t>CH4</t>
        </is>
      </c>
      <c r="AA3479" s="13">
        <v>0.0</v>
      </c>
      <c r="AB3479" s="4" t="inlineStr">
        <is>
          <t>kg CH4/TJ</t>
        </is>
      </c>
      <c r="AL3479" s="4" t="inlineStr">
        <is>
          <t>No aplica — regla interna CERO_DIRECTO; NT-02, sección 9; hoja PARAMETROS</t>
        </is>
      </c>
      <c r="AM3479" s="4" t="inlineStr">
        <is>
          <t>Cero metodológico definido por la correspondencia contable; no procede de una celda numérica independiente de la CRT.</t>
        </is>
      </c>
    </row>
    <row r="3480">
      <c r="A3480" s="4" t="inlineStr">
        <is>
          <t>FACTOR_EMISION_OBS</t>
        </is>
      </c>
      <c r="B3480" s="4" t="inlineStr">
        <is>
          <t>FE_COMB|2019|1.A.4.b|CERO_DIRECTO|N2O</t>
        </is>
      </c>
      <c r="C3480" s="4" t="inlineStr">
        <is>
          <t>2019|1.A.4.b|CERO_DIRECTO|N2O</t>
        </is>
      </c>
      <c r="D3480" s="12">
        <v>2019.0</v>
      </c>
      <c r="E3480" s="12">
        <v>2019.0</v>
      </c>
      <c r="F3480" s="4" t="inlineStr">
        <is>
          <t>CAL</t>
        </is>
      </c>
      <c r="G3480" s="4" t="inlineStr">
        <is>
          <t>METODO_EMISIONES</t>
        </is>
      </c>
      <c r="H3480" s="4" t="inlineStr">
        <is>
          <t>Regla metodológica de emisión directa cero</t>
        </is>
      </c>
      <c r="J3480" s="4" t="inlineStr">
        <is>
          <t>PARAM|CERO|1.A.4.b|N2O</t>
        </is>
      </c>
      <c r="Q3480" s="4" t="inlineStr">
        <is>
          <t>CERO_DIRECTO</t>
        </is>
      </c>
      <c r="W3480" s="4" t="inlineStr">
        <is>
          <t>1.A.4.b</t>
        </is>
      </c>
      <c r="Y3480" s="4" t="inlineStr">
        <is>
          <t>CERO_DIRECTO</t>
        </is>
      </c>
      <c r="Z3480" s="4" t="inlineStr">
        <is>
          <t>N2O</t>
        </is>
      </c>
      <c r="AA3480" s="13">
        <v>0.0</v>
      </c>
      <c r="AB3480" s="4" t="inlineStr">
        <is>
          <t>kg N2O/TJ</t>
        </is>
      </c>
      <c r="AL3480" s="4" t="inlineStr">
        <is>
          <t>No aplica — regla interna CERO_DIRECTO; NT-02, sección 9; hoja PARAMETROS</t>
        </is>
      </c>
      <c r="AM3480" s="4" t="inlineStr">
        <is>
          <t>Cero metodológico definido por la correspondencia contable; no procede de una celda numérica independiente de la CRT.</t>
        </is>
      </c>
    </row>
    <row r="3481">
      <c r="A3481" s="4" t="inlineStr">
        <is>
          <t>FACTOR_EMISION_OBS</t>
        </is>
      </c>
      <c r="B3481" s="4" t="inlineStr">
        <is>
          <t>FE_NO|2019|1.A.1.c|NO|CO2</t>
        </is>
      </c>
      <c r="C3481" s="4" t="inlineStr">
        <is>
          <t>2019|1.A.1.c|NO|CO2</t>
        </is>
      </c>
      <c r="D3481" s="12">
        <v>2019.0</v>
      </c>
      <c r="E3481" s="12">
        <v>2019.0</v>
      </c>
      <c r="F3481" s="4" t="inlineStr">
        <is>
          <t>NO</t>
        </is>
      </c>
      <c r="G3481" s="4" t="inlineStr">
        <is>
          <t>UNFCCC_GTM_CRT_2024</t>
        </is>
      </c>
      <c r="H3481" s="4" t="inlineStr">
        <is>
          <t>Guatemala. 2024 Common Reporting Table (CRT)</t>
        </is>
      </c>
      <c r="I3481" s="4" t="inlineStr">
        <is>
          <t>https://unfccc.int/reports?f%5B0%5D=corporate_author%3A206</t>
        </is>
      </c>
      <c r="J3481" s="4" t="inlineStr">
        <is>
          <t>FE_NO|2019|1.A.1.c|NO|CO2</t>
        </is>
      </c>
      <c r="Q3481" s="4" t="inlineStr">
        <is>
          <t>SIN_FACTOR_NUMERICO</t>
        </is>
      </c>
      <c r="W3481" s="4" t="inlineStr">
        <is>
          <t>1.A.1.c</t>
        </is>
      </c>
      <c r="Y3481" s="4" t="inlineStr">
        <is>
          <t>NO</t>
        </is>
      </c>
      <c r="Z3481" s="4" t="inlineStr">
        <is>
          <t>CO2</t>
        </is>
      </c>
      <c r="AB3481" s="4" t="inlineStr">
        <is>
          <t>kg CO2/TJ</t>
        </is>
      </c>
      <c r="AL3481" s="4" t="inlineStr">
        <is>
          <t>Table1.A; localizador a nivel de tabla; sin registro numérico</t>
        </is>
      </c>
      <c r="AM3481" s="4" t="inlineStr">
        <is>
          <t>Se conserva el estado NO porque la fuente no aporta un factor numérico para la clave interna FE_NO|2019|1.A.1.c|NO|CO2.</t>
        </is>
      </c>
    </row>
    <row r="3482">
      <c r="A3482" s="4" t="inlineStr">
        <is>
          <t>FACTOR_EMISION_OBS</t>
        </is>
      </c>
      <c r="B3482" s="4" t="inlineStr">
        <is>
          <t>FE_NO|2019|1.A.1.c|NO|CH4</t>
        </is>
      </c>
      <c r="C3482" s="4" t="inlineStr">
        <is>
          <t>2019|1.A.1.c|NO|CH4</t>
        </is>
      </c>
      <c r="D3482" s="12">
        <v>2019.0</v>
      </c>
      <c r="E3482" s="12">
        <v>2019.0</v>
      </c>
      <c r="F3482" s="4" t="inlineStr">
        <is>
          <t>NO</t>
        </is>
      </c>
      <c r="G3482" s="4" t="inlineStr">
        <is>
          <t>UNFCCC_GTM_CRT_2024</t>
        </is>
      </c>
      <c r="H3482" s="4" t="inlineStr">
        <is>
          <t>Guatemala. 2024 Common Reporting Table (CRT)</t>
        </is>
      </c>
      <c r="I3482" s="4" t="inlineStr">
        <is>
          <t>https://unfccc.int/reports?f%5B0%5D=corporate_author%3A206</t>
        </is>
      </c>
      <c r="J3482" s="4" t="inlineStr">
        <is>
          <t>FE_NO|2019|1.A.1.c|NO|CH4</t>
        </is>
      </c>
      <c r="Q3482" s="4" t="inlineStr">
        <is>
          <t>SIN_FACTOR_NUMERICO</t>
        </is>
      </c>
      <c r="W3482" s="4" t="inlineStr">
        <is>
          <t>1.A.1.c</t>
        </is>
      </c>
      <c r="Y3482" s="4" t="inlineStr">
        <is>
          <t>NO</t>
        </is>
      </c>
      <c r="Z3482" s="4" t="inlineStr">
        <is>
          <t>CH4</t>
        </is>
      </c>
      <c r="AB3482" s="4" t="inlineStr">
        <is>
          <t>kg CH4/TJ</t>
        </is>
      </c>
      <c r="AL3482" s="4" t="inlineStr">
        <is>
          <t>Table1.A; localizador a nivel de tabla; sin registro numérico</t>
        </is>
      </c>
      <c r="AM3482" s="4" t="inlineStr">
        <is>
          <t>Se conserva el estado NO porque la fuente no aporta un factor numérico para la clave interna FE_NO|2019|1.A.1.c|NO|CH4.</t>
        </is>
      </c>
    </row>
    <row r="3483">
      <c r="A3483" s="4" t="inlineStr">
        <is>
          <t>FACTOR_EMISION_OBS</t>
        </is>
      </c>
      <c r="B3483" s="4" t="inlineStr">
        <is>
          <t>FE_NO|2019|1.A.1.c|NO|N2O</t>
        </is>
      </c>
      <c r="C3483" s="4" t="inlineStr">
        <is>
          <t>2019|1.A.1.c|NO|N2O</t>
        </is>
      </c>
      <c r="D3483" s="12">
        <v>2019.0</v>
      </c>
      <c r="E3483" s="12">
        <v>2019.0</v>
      </c>
      <c r="F3483" s="4" t="inlineStr">
        <is>
          <t>NO</t>
        </is>
      </c>
      <c r="G3483" s="4" t="inlineStr">
        <is>
          <t>UNFCCC_GTM_CRT_2024</t>
        </is>
      </c>
      <c r="H3483" s="4" t="inlineStr">
        <is>
          <t>Guatemala. 2024 Common Reporting Table (CRT)</t>
        </is>
      </c>
      <c r="I3483" s="4" t="inlineStr">
        <is>
          <t>https://unfccc.int/reports?f%5B0%5D=corporate_author%3A206</t>
        </is>
      </c>
      <c r="J3483" s="4" t="inlineStr">
        <is>
          <t>FE_NO|2019|1.A.1.c|NO|N2O</t>
        </is>
      </c>
      <c r="Q3483" s="4" t="inlineStr">
        <is>
          <t>SIN_FACTOR_NUMERICO</t>
        </is>
      </c>
      <c r="W3483" s="4" t="inlineStr">
        <is>
          <t>1.A.1.c</t>
        </is>
      </c>
      <c r="Y3483" s="4" t="inlineStr">
        <is>
          <t>NO</t>
        </is>
      </c>
      <c r="Z3483" s="4" t="inlineStr">
        <is>
          <t>N2O</t>
        </is>
      </c>
      <c r="AB3483" s="4" t="inlineStr">
        <is>
          <t>kg N2O/TJ</t>
        </is>
      </c>
      <c r="AL3483" s="4" t="inlineStr">
        <is>
          <t>Table1.A; localizador a nivel de tabla; sin registro numérico</t>
        </is>
      </c>
      <c r="AM3483" s="4" t="inlineStr">
        <is>
          <t>Se conserva el estado NO porque la fuente no aporta un factor numérico para la clave interna FE_NO|2019|1.A.1.c|NO|N2O.</t>
        </is>
      </c>
    </row>
    <row r="3484">
      <c r="A3484" s="4" t="inlineStr">
        <is>
          <t>FACTOR_EMISION_OBS</t>
        </is>
      </c>
      <c r="B3484" s="4" t="inlineStr">
        <is>
          <t>FE_NO|2019|1.A.4.c|NO|CO2</t>
        </is>
      </c>
      <c r="C3484" s="4" t="inlineStr">
        <is>
          <t>2019|1.A.4.c|NO|CO2</t>
        </is>
      </c>
      <c r="D3484" s="12">
        <v>2019.0</v>
      </c>
      <c r="E3484" s="12">
        <v>2019.0</v>
      </c>
      <c r="F3484" s="4" t="inlineStr">
        <is>
          <t>NO</t>
        </is>
      </c>
      <c r="G3484" s="4" t="inlineStr">
        <is>
          <t>UNFCCC_GTM_CRT_2024</t>
        </is>
      </c>
      <c r="H3484" s="4" t="inlineStr">
        <is>
          <t>Guatemala. 2024 Common Reporting Table (CRT)</t>
        </is>
      </c>
      <c r="I3484" s="4" t="inlineStr">
        <is>
          <t>https://unfccc.int/reports?f%5B0%5D=corporate_author%3A206</t>
        </is>
      </c>
      <c r="J3484" s="4" t="inlineStr">
        <is>
          <t>FE_NO|2019|1.A.4.c|NO|CO2</t>
        </is>
      </c>
      <c r="Q3484" s="4" t="inlineStr">
        <is>
          <t>SIN_FACTOR_NUMERICO</t>
        </is>
      </c>
      <c r="W3484" s="4" t="inlineStr">
        <is>
          <t>1.A.4.c</t>
        </is>
      </c>
      <c r="Y3484" s="4" t="inlineStr">
        <is>
          <t>NO</t>
        </is>
      </c>
      <c r="Z3484" s="4" t="inlineStr">
        <is>
          <t>CO2</t>
        </is>
      </c>
      <c r="AB3484" s="4" t="inlineStr">
        <is>
          <t>kg CO2/TJ</t>
        </is>
      </c>
      <c r="AL3484" s="4" t="inlineStr">
        <is>
          <t>Table1.A; localizador a nivel de tabla; sin registro numérico</t>
        </is>
      </c>
      <c r="AM3484" s="4" t="inlineStr">
        <is>
          <t>Se conserva el estado NO porque la fuente no aporta un factor numérico para la clave interna FE_NO|2019|1.A.4.c|NO|CO2.</t>
        </is>
      </c>
    </row>
    <row r="3485">
      <c r="A3485" s="4" t="inlineStr">
        <is>
          <t>FACTOR_EMISION_OBS</t>
        </is>
      </c>
      <c r="B3485" s="4" t="inlineStr">
        <is>
          <t>FE_NO|2019|1.A.4.c|NO|CH4</t>
        </is>
      </c>
      <c r="C3485" s="4" t="inlineStr">
        <is>
          <t>2019|1.A.4.c|NO|CH4</t>
        </is>
      </c>
      <c r="D3485" s="12">
        <v>2019.0</v>
      </c>
      <c r="E3485" s="12">
        <v>2019.0</v>
      </c>
      <c r="F3485" s="4" t="inlineStr">
        <is>
          <t>NO</t>
        </is>
      </c>
      <c r="G3485" s="4" t="inlineStr">
        <is>
          <t>UNFCCC_GTM_CRT_2024</t>
        </is>
      </c>
      <c r="H3485" s="4" t="inlineStr">
        <is>
          <t>Guatemala. 2024 Common Reporting Table (CRT)</t>
        </is>
      </c>
      <c r="I3485" s="4" t="inlineStr">
        <is>
          <t>https://unfccc.int/reports?f%5B0%5D=corporate_author%3A206</t>
        </is>
      </c>
      <c r="J3485" s="4" t="inlineStr">
        <is>
          <t>FE_NO|2019|1.A.4.c|NO|CH4</t>
        </is>
      </c>
      <c r="Q3485" s="4" t="inlineStr">
        <is>
          <t>SIN_FACTOR_NUMERICO</t>
        </is>
      </c>
      <c r="W3485" s="4" t="inlineStr">
        <is>
          <t>1.A.4.c</t>
        </is>
      </c>
      <c r="Y3485" s="4" t="inlineStr">
        <is>
          <t>NO</t>
        </is>
      </c>
      <c r="Z3485" s="4" t="inlineStr">
        <is>
          <t>CH4</t>
        </is>
      </c>
      <c r="AB3485" s="4" t="inlineStr">
        <is>
          <t>kg CH4/TJ</t>
        </is>
      </c>
      <c r="AL3485" s="4" t="inlineStr">
        <is>
          <t>Table1.A; localizador a nivel de tabla; sin registro numérico</t>
        </is>
      </c>
      <c r="AM3485" s="4" t="inlineStr">
        <is>
          <t>Se conserva el estado NO porque la fuente no aporta un factor numérico para la clave interna FE_NO|2019|1.A.4.c|NO|CH4.</t>
        </is>
      </c>
    </row>
    <row r="3486">
      <c r="A3486" s="4" t="inlineStr">
        <is>
          <t>FACTOR_EMISION_OBS</t>
        </is>
      </c>
      <c r="B3486" s="4" t="inlineStr">
        <is>
          <t>FE_NO|2019|1.A.4.c|NO|N2O</t>
        </is>
      </c>
      <c r="C3486" s="4" t="inlineStr">
        <is>
          <t>2019|1.A.4.c|NO|N2O</t>
        </is>
      </c>
      <c r="D3486" s="12">
        <v>2019.0</v>
      </c>
      <c r="E3486" s="12">
        <v>2019.0</v>
      </c>
      <c r="F3486" s="4" t="inlineStr">
        <is>
          <t>NO</t>
        </is>
      </c>
      <c r="G3486" s="4" t="inlineStr">
        <is>
          <t>UNFCCC_GTM_CRT_2024</t>
        </is>
      </c>
      <c r="H3486" s="4" t="inlineStr">
        <is>
          <t>Guatemala. 2024 Common Reporting Table (CRT)</t>
        </is>
      </c>
      <c r="I3486" s="4" t="inlineStr">
        <is>
          <t>https://unfccc.int/reports?f%5B0%5D=corporate_author%3A206</t>
        </is>
      </c>
      <c r="J3486" s="4" t="inlineStr">
        <is>
          <t>FE_NO|2019|1.A.4.c|NO|N2O</t>
        </is>
      </c>
      <c r="Q3486" s="4" t="inlineStr">
        <is>
          <t>SIN_FACTOR_NUMERICO</t>
        </is>
      </c>
      <c r="W3486" s="4" t="inlineStr">
        <is>
          <t>1.A.4.c</t>
        </is>
      </c>
      <c r="Y3486" s="4" t="inlineStr">
        <is>
          <t>NO</t>
        </is>
      </c>
      <c r="Z3486" s="4" t="inlineStr">
        <is>
          <t>N2O</t>
        </is>
      </c>
      <c r="AB3486" s="4" t="inlineStr">
        <is>
          <t>kg N2O/TJ</t>
        </is>
      </c>
      <c r="AL3486" s="4" t="inlineStr">
        <is>
          <t>Table1.A; localizador a nivel de tabla; sin registro numérico</t>
        </is>
      </c>
      <c r="AM3486" s="4" t="inlineStr">
        <is>
          <t>Se conserva el estado NO porque la fuente no aporta un factor numérico para la clave interna FE_NO|2019|1.A.4.c|NO|N2O.</t>
        </is>
      </c>
    </row>
    <row r="3487">
      <c r="A3487" s="4" t="inlineStr">
        <is>
          <t>FACTOR_EMISION_OBS</t>
        </is>
      </c>
      <c r="B3487" s="4" t="inlineStr">
        <is>
          <t>FE_NO|2019|1.B.1.a|NO|CO2</t>
        </is>
      </c>
      <c r="C3487" s="4" t="inlineStr">
        <is>
          <t>2019|1.B.1.a|NO|CO2</t>
        </is>
      </c>
      <c r="D3487" s="12">
        <v>2019.0</v>
      </c>
      <c r="E3487" s="12">
        <v>2019.0</v>
      </c>
      <c r="F3487" s="4" t="inlineStr">
        <is>
          <t>NO</t>
        </is>
      </c>
      <c r="G3487" s="4" t="inlineStr">
        <is>
          <t>UNFCCC_GTM_CRT_2024</t>
        </is>
      </c>
      <c r="H3487" s="4" t="inlineStr">
        <is>
          <t>Guatemala. 2024 Common Reporting Table (CRT)</t>
        </is>
      </c>
      <c r="I3487" s="4" t="inlineStr">
        <is>
          <t>https://unfccc.int/reports?f%5B0%5D=corporate_author%3A206</t>
        </is>
      </c>
      <c r="J3487" s="4" t="inlineStr">
        <is>
          <t>FE_NO|2019|1.B.1.a|NO|CO2</t>
        </is>
      </c>
      <c r="Q3487" s="4" t="inlineStr">
        <is>
          <t>SIN_FACTOR_NUMERICO</t>
        </is>
      </c>
      <c r="W3487" s="4" t="inlineStr">
        <is>
          <t>1.B.1.a</t>
        </is>
      </c>
      <c r="Y3487" s="4" t="inlineStr">
        <is>
          <t>NO</t>
        </is>
      </c>
      <c r="Z3487" s="4" t="inlineStr">
        <is>
          <t>CO2</t>
        </is>
      </c>
      <c r="AB3487" s="4" t="inlineStr">
        <is>
          <t>kg CO2/TJ</t>
        </is>
      </c>
      <c r="AL3487" s="4" t="inlineStr">
        <is>
          <t>Table1.B.2; localizador a nivel de tabla; sin registro numérico</t>
        </is>
      </c>
      <c r="AM3487" s="4" t="inlineStr">
        <is>
          <t>Se conserva el estado NO porque la fuente no aporta un factor numérico para la clave interna FE_NO|2019|1.B.1.a|NO|CO2.</t>
        </is>
      </c>
    </row>
    <row r="3488">
      <c r="A3488" s="4" t="inlineStr">
        <is>
          <t>FACTOR_EMISION_OBS</t>
        </is>
      </c>
      <c r="B3488" s="4" t="inlineStr">
        <is>
          <t>FE_NO|2019|1.B.1.a|NO|CH4</t>
        </is>
      </c>
      <c r="C3488" s="4" t="inlineStr">
        <is>
          <t>2019|1.B.1.a|NO|CH4</t>
        </is>
      </c>
      <c r="D3488" s="12">
        <v>2019.0</v>
      </c>
      <c r="E3488" s="12">
        <v>2019.0</v>
      </c>
      <c r="F3488" s="4" t="inlineStr">
        <is>
          <t>NO</t>
        </is>
      </c>
      <c r="G3488" s="4" t="inlineStr">
        <is>
          <t>UNFCCC_GTM_CRT_2024</t>
        </is>
      </c>
      <c r="H3488" s="4" t="inlineStr">
        <is>
          <t>Guatemala. 2024 Common Reporting Table (CRT)</t>
        </is>
      </c>
      <c r="I3488" s="4" t="inlineStr">
        <is>
          <t>https://unfccc.int/reports?f%5B0%5D=corporate_author%3A206</t>
        </is>
      </c>
      <c r="J3488" s="4" t="inlineStr">
        <is>
          <t>FE_NO|2019|1.B.1.a|NO|CH4</t>
        </is>
      </c>
      <c r="Q3488" s="4" t="inlineStr">
        <is>
          <t>SIN_FACTOR_NUMERICO</t>
        </is>
      </c>
      <c r="W3488" s="4" t="inlineStr">
        <is>
          <t>1.B.1.a</t>
        </is>
      </c>
      <c r="Y3488" s="4" t="inlineStr">
        <is>
          <t>NO</t>
        </is>
      </c>
      <c r="Z3488" s="4" t="inlineStr">
        <is>
          <t>CH4</t>
        </is>
      </c>
      <c r="AB3488" s="4" t="inlineStr">
        <is>
          <t>kg CH4/TJ</t>
        </is>
      </c>
      <c r="AL3488" s="4" t="inlineStr">
        <is>
          <t>Table1.B.2; localizador a nivel de tabla; sin registro numérico</t>
        </is>
      </c>
      <c r="AM3488" s="4" t="inlineStr">
        <is>
          <t>Se conserva el estado NO porque la fuente no aporta un factor numérico para la clave interna FE_NO|2019|1.B.1.a|NO|CH4.</t>
        </is>
      </c>
    </row>
    <row r="3489">
      <c r="A3489" s="4" t="inlineStr">
        <is>
          <t>FACTOR_EMISION_OBS</t>
        </is>
      </c>
      <c r="B3489" s="4" t="inlineStr">
        <is>
          <t>FE_NO|2019|1.B.1.a|NO|N2O</t>
        </is>
      </c>
      <c r="C3489" s="4" t="inlineStr">
        <is>
          <t>2019|1.B.1.a|NO|N2O</t>
        </is>
      </c>
      <c r="D3489" s="12">
        <v>2019.0</v>
      </c>
      <c r="E3489" s="12">
        <v>2019.0</v>
      </c>
      <c r="F3489" s="4" t="inlineStr">
        <is>
          <t>NO</t>
        </is>
      </c>
      <c r="G3489" s="4" t="inlineStr">
        <is>
          <t>UNFCCC_GTM_CRT_2024</t>
        </is>
      </c>
      <c r="H3489" s="4" t="inlineStr">
        <is>
          <t>Guatemala. 2024 Common Reporting Table (CRT)</t>
        </is>
      </c>
      <c r="I3489" s="4" t="inlineStr">
        <is>
          <t>https://unfccc.int/reports?f%5B0%5D=corporate_author%3A206</t>
        </is>
      </c>
      <c r="J3489" s="4" t="inlineStr">
        <is>
          <t>FE_NO|2019|1.B.1.a|NO|N2O</t>
        </is>
      </c>
      <c r="Q3489" s="4" t="inlineStr">
        <is>
          <t>SIN_FACTOR_NUMERICO</t>
        </is>
      </c>
      <c r="W3489" s="4" t="inlineStr">
        <is>
          <t>1.B.1.a</t>
        </is>
      </c>
      <c r="Y3489" s="4" t="inlineStr">
        <is>
          <t>NO</t>
        </is>
      </c>
      <c r="Z3489" s="4" t="inlineStr">
        <is>
          <t>N2O</t>
        </is>
      </c>
      <c r="AB3489" s="4" t="inlineStr">
        <is>
          <t>kg N2O/TJ</t>
        </is>
      </c>
      <c r="AL3489" s="4" t="inlineStr">
        <is>
          <t>Table1.B.2; localizador a nivel de tabla; sin registro numérico</t>
        </is>
      </c>
      <c r="AM3489" s="4" t="inlineStr">
        <is>
          <t>Se conserva el estado NO porque la fuente no aporta un factor numérico para la clave interna FE_NO|2019|1.B.1.a|NO|N2O.</t>
        </is>
      </c>
    </row>
    <row r="3490">
      <c r="A3490" s="4" t="inlineStr">
        <is>
          <t>FACTOR_EMISION_OBS</t>
        </is>
      </c>
      <c r="B3490" s="4" t="inlineStr">
        <is>
          <t>FE_NO|2019|1.B.2.b.ii|NO|CO2</t>
        </is>
      </c>
      <c r="C3490" s="4" t="inlineStr">
        <is>
          <t>2019|1.B.2.b.ii|NO|CO2</t>
        </is>
      </c>
      <c r="D3490" s="12">
        <v>2019.0</v>
      </c>
      <c r="E3490" s="12">
        <v>2019.0</v>
      </c>
      <c r="F3490" s="4" t="inlineStr">
        <is>
          <t>NO</t>
        </is>
      </c>
      <c r="G3490" s="4" t="inlineStr">
        <is>
          <t>UNFCCC_GTM_CRT_2024</t>
        </is>
      </c>
      <c r="H3490" s="4" t="inlineStr">
        <is>
          <t>Guatemala. 2024 Common Reporting Table (CRT)</t>
        </is>
      </c>
      <c r="I3490" s="4" t="inlineStr">
        <is>
          <t>https://unfccc.int/reports?f%5B0%5D=corporate_author%3A206</t>
        </is>
      </c>
      <c r="J3490" s="4" t="inlineStr">
        <is>
          <t>FE_NO|2019|1.B.2.b.ii|NO|CO2</t>
        </is>
      </c>
      <c r="Q3490" s="4" t="inlineStr">
        <is>
          <t>SIN_FACTOR_NUMERICO</t>
        </is>
      </c>
      <c r="W3490" s="4" t="inlineStr">
        <is>
          <t>1.B.2.b.ii</t>
        </is>
      </c>
      <c r="Y3490" s="4" t="inlineStr">
        <is>
          <t>NO</t>
        </is>
      </c>
      <c r="Z3490" s="4" t="inlineStr">
        <is>
          <t>CO2</t>
        </is>
      </c>
      <c r="AB3490" s="4" t="inlineStr">
        <is>
          <t>kg CO2/TJ</t>
        </is>
      </c>
      <c r="AL3490" s="4" t="inlineStr">
        <is>
          <t>Table1.B.2; localizador a nivel de tabla; sin registro numérico</t>
        </is>
      </c>
      <c r="AM3490" s="4" t="inlineStr">
        <is>
          <t>Se conserva el estado NO porque la fuente no aporta un factor numérico para la clave interna FE_NO|2019|1.B.2.b.ii|NO|CO2.</t>
        </is>
      </c>
    </row>
    <row r="3491">
      <c r="A3491" s="4" t="inlineStr">
        <is>
          <t>FACTOR_EMISION_OBS</t>
        </is>
      </c>
      <c r="B3491" s="4" t="inlineStr">
        <is>
          <t>FE_NO|2019|1.B.2.b.ii|NO|CH4</t>
        </is>
      </c>
      <c r="C3491" s="4" t="inlineStr">
        <is>
          <t>2019|1.B.2.b.ii|NO|CH4</t>
        </is>
      </c>
      <c r="D3491" s="12">
        <v>2019.0</v>
      </c>
      <c r="E3491" s="12">
        <v>2019.0</v>
      </c>
      <c r="F3491" s="4" t="inlineStr">
        <is>
          <t>NO</t>
        </is>
      </c>
      <c r="G3491" s="4" t="inlineStr">
        <is>
          <t>UNFCCC_GTM_CRT_2024</t>
        </is>
      </c>
      <c r="H3491" s="4" t="inlineStr">
        <is>
          <t>Guatemala. 2024 Common Reporting Table (CRT)</t>
        </is>
      </c>
      <c r="I3491" s="4" t="inlineStr">
        <is>
          <t>https://unfccc.int/reports?f%5B0%5D=corporate_author%3A206</t>
        </is>
      </c>
      <c r="J3491" s="4" t="inlineStr">
        <is>
          <t>FE_NO|2019|1.B.2.b.ii|NO|CH4</t>
        </is>
      </c>
      <c r="Q3491" s="4" t="inlineStr">
        <is>
          <t>SIN_FACTOR_NUMERICO</t>
        </is>
      </c>
      <c r="W3491" s="4" t="inlineStr">
        <is>
          <t>1.B.2.b.ii</t>
        </is>
      </c>
      <c r="Y3491" s="4" t="inlineStr">
        <is>
          <t>NO</t>
        </is>
      </c>
      <c r="Z3491" s="4" t="inlineStr">
        <is>
          <t>CH4</t>
        </is>
      </c>
      <c r="AB3491" s="4" t="inlineStr">
        <is>
          <t>kg CH4/TJ</t>
        </is>
      </c>
      <c r="AL3491" s="4" t="inlineStr">
        <is>
          <t>Table1.B.2; localizador a nivel de tabla; sin registro numérico</t>
        </is>
      </c>
      <c r="AM3491" s="4" t="inlineStr">
        <is>
          <t>Se conserva el estado NO porque la fuente no aporta un factor numérico para la clave interna FE_NO|2019|1.B.2.b.ii|NO|CH4.</t>
        </is>
      </c>
    </row>
    <row r="3492">
      <c r="A3492" s="4" t="inlineStr">
        <is>
          <t>FACTOR_EMISION_OBS</t>
        </is>
      </c>
      <c r="B3492" s="4" t="inlineStr">
        <is>
          <t>FE_NO|2019|1.B.2.b.ii|NO|N2O</t>
        </is>
      </c>
      <c r="C3492" s="4" t="inlineStr">
        <is>
          <t>2019|1.B.2.b.ii|NO|N2O</t>
        </is>
      </c>
      <c r="D3492" s="12">
        <v>2019.0</v>
      </c>
      <c r="E3492" s="12">
        <v>2019.0</v>
      </c>
      <c r="F3492" s="4" t="inlineStr">
        <is>
          <t>NO</t>
        </is>
      </c>
      <c r="G3492" s="4" t="inlineStr">
        <is>
          <t>UNFCCC_GTM_CRT_2024</t>
        </is>
      </c>
      <c r="H3492" s="4" t="inlineStr">
        <is>
          <t>Guatemala. 2024 Common Reporting Table (CRT)</t>
        </is>
      </c>
      <c r="I3492" s="4" t="inlineStr">
        <is>
          <t>https://unfccc.int/reports?f%5B0%5D=corporate_author%3A206</t>
        </is>
      </c>
      <c r="J3492" s="4" t="inlineStr">
        <is>
          <t>FE_NO|2019|1.B.2.b.ii|NO|N2O</t>
        </is>
      </c>
      <c r="Q3492" s="4" t="inlineStr">
        <is>
          <t>SIN_FACTOR_NUMERICO</t>
        </is>
      </c>
      <c r="W3492" s="4" t="inlineStr">
        <is>
          <t>1.B.2.b.ii</t>
        </is>
      </c>
      <c r="Y3492" s="4" t="inlineStr">
        <is>
          <t>NO</t>
        </is>
      </c>
      <c r="Z3492" s="4" t="inlineStr">
        <is>
          <t>N2O</t>
        </is>
      </c>
      <c r="AB3492" s="4" t="inlineStr">
        <is>
          <t>kg N2O/TJ</t>
        </is>
      </c>
      <c r="AL3492" s="4" t="inlineStr">
        <is>
          <t>Table1.B.2; localizador a nivel de tabla; sin registro numérico</t>
        </is>
      </c>
      <c r="AM3492" s="4" t="inlineStr">
        <is>
          <t>Se conserva el estado NO porque la fuente no aporta un factor numérico para la clave interna FE_NO|2019|1.B.2.b.ii|NO|N2O.</t>
        </is>
      </c>
    </row>
    <row r="3493">
      <c r="A3493" s="4" t="inlineStr">
        <is>
          <t>FACTOR_EMISION_OBS</t>
        </is>
      </c>
      <c r="B3493" s="4" t="inlineStr">
        <is>
          <t>FE_FUG|2019|1.B.2.a.ii|FUGITIVA_PETROLEO|CO2</t>
        </is>
      </c>
      <c r="C3493" s="4" t="inlineStr">
        <is>
          <t>2019|1.B.2.a.ii|FUGITIVA_PETROLEO|CO2</t>
        </is>
      </c>
      <c r="D3493" s="12">
        <v>2019.0</v>
      </c>
      <c r="E3493" s="12">
        <v>2019.0</v>
      </c>
      <c r="F3493" s="4" t="inlineStr">
        <is>
          <t>OBS</t>
        </is>
      </c>
      <c r="G3493" s="4" t="inlineStr">
        <is>
          <t>UNFCCC_GTM_CRT_2024</t>
        </is>
      </c>
      <c r="H3493" s="4" t="inlineStr">
        <is>
          <t>Guatemala. 2024 Common Reporting Table (CRT)</t>
        </is>
      </c>
      <c r="I3493" s="4" t="inlineStr">
        <is>
          <t>https://unfccc.int/reports?f%5B0%5D=corporate_author%3A206</t>
        </is>
      </c>
      <c r="J3493" s="4" t="inlineStr">
        <is>
          <t>CRT1B2|2019|1.B.2.a.ii|CO2</t>
        </is>
      </c>
      <c r="Q3493" s="4" t="inlineStr">
        <is>
          <t>EMISION_CRT_DIV_PSUT_EXTRACCION</t>
        </is>
      </c>
      <c r="W3493" s="4" t="inlineStr">
        <is>
          <t>1.B.2.a.ii</t>
        </is>
      </c>
      <c r="Y3493" s="4" t="inlineStr">
        <is>
          <t>FUGITIVA_PETROLEO</t>
        </is>
      </c>
      <c r="Z3493" s="4" t="inlineStr">
        <is>
          <t>CO2</t>
        </is>
      </c>
      <c r="AA3493" s="13">
        <v>0.0067692008674573294</v>
      </c>
      <c r="AB3493" s="4" t="inlineStr">
        <is>
          <t>kg CO2/TJ</t>
        </is>
      </c>
      <c r="AL3493" s="4" t="inlineStr">
        <is>
          <t>Table1.B.2; registro CRT1B2|2019|1.B.2.a.ii|CO2</t>
        </is>
      </c>
      <c r="AM3493" s="4" t="inlineStr">
        <is>
          <t>Factor fugitivo anual derivado de la emisión CRT y de la extracción PETR de la PSUT. Registro CRT: CRT1B2|2019|1.B.2.a.ii|CO2.</t>
        </is>
      </c>
    </row>
    <row r="3494">
      <c r="A3494" s="4" t="inlineStr">
        <is>
          <t>FACTOR_EMISION_OBS</t>
        </is>
      </c>
      <c r="B3494" s="4" t="inlineStr">
        <is>
          <t>FE_FUG|2019|1.B.2.a.ii|FUGITIVA_PETROLEO|CH4</t>
        </is>
      </c>
      <c r="C3494" s="4" t="inlineStr">
        <is>
          <t>2019|1.B.2.a.ii|FUGITIVA_PETROLEO|CH4</t>
        </is>
      </c>
      <c r="D3494" s="12">
        <v>2019.0</v>
      </c>
      <c r="E3494" s="12">
        <v>2019.0</v>
      </c>
      <c r="F3494" s="4" t="inlineStr">
        <is>
          <t>OBS</t>
        </is>
      </c>
      <c r="G3494" s="4" t="inlineStr">
        <is>
          <t>UNFCCC_GTM_CRT_2024</t>
        </is>
      </c>
      <c r="H3494" s="4" t="inlineStr">
        <is>
          <t>Guatemala. 2024 Common Reporting Table (CRT)</t>
        </is>
      </c>
      <c r="I3494" s="4" t="inlineStr">
        <is>
          <t>https://unfccc.int/reports?f%5B0%5D=corporate_author%3A206</t>
        </is>
      </c>
      <c r="J3494" s="4" t="inlineStr">
        <is>
          <t>CRT1B2|2019|1.B.2.a.ii|CH4</t>
        </is>
      </c>
      <c r="Q3494" s="4" t="inlineStr">
        <is>
          <t>EMISION_CRT_DIV_PSUT_EXTRACCION</t>
        </is>
      </c>
      <c r="W3494" s="4" t="inlineStr">
        <is>
          <t>1.B.2.a.ii</t>
        </is>
      </c>
      <c r="Y3494" s="4" t="inlineStr">
        <is>
          <t>FUGITIVA_PETROLEO</t>
        </is>
      </c>
      <c r="Z3494" s="4" t="inlineStr">
        <is>
          <t>CH4</t>
        </is>
      </c>
      <c r="AA3494" s="13">
        <v>0.09287745417120123</v>
      </c>
      <c r="AB3494" s="4" t="inlineStr">
        <is>
          <t>kg CH4/TJ</t>
        </is>
      </c>
      <c r="AL3494" s="4" t="inlineStr">
        <is>
          <t>Table1.B.2; registro CRT1B2|2019|1.B.2.a.ii|CH4</t>
        </is>
      </c>
      <c r="AM3494" s="4" t="inlineStr">
        <is>
          <t>Factor fugitivo anual derivado de la emisión CRT y de la extracción PETR de la PSUT. Registro CRT: CRT1B2|2019|1.B.2.a.ii|CH4.</t>
        </is>
      </c>
    </row>
    <row r="3495">
      <c r="A3495" s="4" t="inlineStr">
        <is>
          <t>FACTOR_EMISION_OBS</t>
        </is>
      </c>
      <c r="B3495" s="4" t="inlineStr">
        <is>
          <t>FE_FUG|2019|1.B.2.a.ii|FUGITIVA_PETROLEO|N2O</t>
        </is>
      </c>
      <c r="C3495" s="4" t="inlineStr">
        <is>
          <t>2019|1.B.2.a.ii|FUGITIVA_PETROLEO|N2O</t>
        </is>
      </c>
      <c r="D3495" s="12">
        <v>2019.0</v>
      </c>
      <c r="E3495" s="12">
        <v>2019.0</v>
      </c>
      <c r="F3495" s="4" t="inlineStr">
        <is>
          <t>NO</t>
        </is>
      </c>
      <c r="G3495" s="4" t="inlineStr">
        <is>
          <t>UNFCCC_GTM_CRT_2024</t>
        </is>
      </c>
      <c r="H3495" s="4" t="inlineStr">
        <is>
          <t>Guatemala. 2024 Common Reporting Table (CRT)</t>
        </is>
      </c>
      <c r="I3495" s="4" t="inlineStr">
        <is>
          <t>https://unfccc.int/reports?f%5B0%5D=corporate_author%3A206</t>
        </is>
      </c>
      <c r="J3495" s="4" t="inlineStr">
        <is>
          <t>CRT1B2|2019|1.B.2.a.ii|N2O</t>
        </is>
      </c>
      <c r="Q3495" s="4" t="inlineStr">
        <is>
          <t>EMISION_CRT_DIV_PSUT_EXTRACCION</t>
        </is>
      </c>
      <c r="W3495" s="4" t="inlineStr">
        <is>
          <t>1.B.2.a.ii</t>
        </is>
      </c>
      <c r="Y3495" s="4" t="inlineStr">
        <is>
          <t>FUGITIVA_PETROLEO</t>
        </is>
      </c>
      <c r="Z3495" s="4" t="inlineStr">
        <is>
          <t>N2O</t>
        </is>
      </c>
      <c r="AB3495" s="4" t="inlineStr">
        <is>
          <t>kg N2O/TJ</t>
        </is>
      </c>
      <c r="AK3495" s="4" t="inlineStr">
        <is>
          <t>NO</t>
        </is>
      </c>
      <c r="AL3495" s="4" t="inlineStr">
        <is>
          <t>Table1.B.2; registro CRT1B2|2019|1.B.2.a.ii|N2O</t>
        </is>
      </c>
      <c r="AM3495" s="4" t="inlineStr">
        <is>
          <t>Factor fugitivo anual derivado de la emisión CRT y de la extracción PETR de la PSUT. Registro CRT: CRT1B2|2019|1.B.2.a.ii|N2O.</t>
        </is>
      </c>
    </row>
    <row r="3496">
      <c r="A3496" s="4" t="inlineStr">
        <is>
          <t>FACTOR_EMISION_OBS</t>
        </is>
      </c>
      <c r="B3496" s="4" t="inlineStr">
        <is>
          <t>FE_COMB|2020|1.A.1.a.i|GASEOUS_FUELS|CO2</t>
        </is>
      </c>
      <c r="C3496" s="4" t="inlineStr">
        <is>
          <t>2020|1.A.1.a.i|GASEOUS_FUELS|CO2</t>
        </is>
      </c>
      <c r="D3496" s="12">
        <v>2020.0</v>
      </c>
      <c r="E3496" s="12">
        <v>2020.0</v>
      </c>
      <c r="F3496" s="4" t="inlineStr">
        <is>
          <t>NO</t>
        </is>
      </c>
      <c r="G3496" s="4" t="inlineStr">
        <is>
          <t>UNFCCC_GTM_CRT_2024</t>
        </is>
      </c>
      <c r="H3496" s="4" t="inlineStr">
        <is>
          <t>Guatemala. 2024 Common Reporting Table (CRT)</t>
        </is>
      </c>
      <c r="I3496" s="4" t="inlineStr">
        <is>
          <t>https://unfccc.int/reports?f%5B0%5D=corporate_author%3A206</t>
        </is>
      </c>
      <c r="J3496" s="4" t="inlineStr">
        <is>
          <t>FE_COMB|2020|1.A.1.a.i|GASEOUS_FUELS|CO2</t>
        </is>
      </c>
      <c r="Q3496" s="4" t="inlineStr">
        <is>
          <t>CRT_ANUAL</t>
        </is>
      </c>
      <c r="W3496" s="4" t="inlineStr">
        <is>
          <t>1.A.1.a.i</t>
        </is>
      </c>
      <c r="Y3496" s="4" t="inlineStr">
        <is>
          <t>GASEOUS_FUELS</t>
        </is>
      </c>
      <c r="Z3496" s="4" t="inlineStr">
        <is>
          <t>CO2</t>
        </is>
      </c>
      <c r="AB3496" s="4" t="inlineStr">
        <is>
          <t>kg CO2/TJ</t>
        </is>
      </c>
      <c r="AL3496" s="4" t="inlineStr">
        <is>
          <t>Table1.A; localizador a nivel de tabla; sin registro numérico</t>
        </is>
      </c>
      <c r="AM3496" s="4" t="inlineStr">
        <is>
          <t>Se conserva el estado NO porque la fuente no aporta un factor numérico para la clave interna FE_COMB|2020|1.A.1.a.i|GASEOUS_FUELS|CO2.</t>
        </is>
      </c>
    </row>
    <row r="3497">
      <c r="A3497" s="4" t="inlineStr">
        <is>
          <t>FACTOR_EMISION_OBS</t>
        </is>
      </c>
      <c r="B3497" s="4" t="inlineStr">
        <is>
          <t>FE_COMB|2020|1.A.1.a.i|GASEOUS_FUELS|CH4</t>
        </is>
      </c>
      <c r="C3497" s="4" t="inlineStr">
        <is>
          <t>2020|1.A.1.a.i|GASEOUS_FUELS|CH4</t>
        </is>
      </c>
      <c r="D3497" s="12">
        <v>2020.0</v>
      </c>
      <c r="E3497" s="12">
        <v>2020.0</v>
      </c>
      <c r="F3497" s="4" t="inlineStr">
        <is>
          <t>NO</t>
        </is>
      </c>
      <c r="G3497" s="4" t="inlineStr">
        <is>
          <t>UNFCCC_GTM_CRT_2024</t>
        </is>
      </c>
      <c r="H3497" s="4" t="inlineStr">
        <is>
          <t>Guatemala. 2024 Common Reporting Table (CRT)</t>
        </is>
      </c>
      <c r="I3497" s="4" t="inlineStr">
        <is>
          <t>https://unfccc.int/reports?f%5B0%5D=corporate_author%3A206</t>
        </is>
      </c>
      <c r="J3497" s="4" t="inlineStr">
        <is>
          <t>FE_COMB|2020|1.A.1.a.i|GASEOUS_FUELS|CH4</t>
        </is>
      </c>
      <c r="Q3497" s="4" t="inlineStr">
        <is>
          <t>CRT_ANUAL</t>
        </is>
      </c>
      <c r="W3497" s="4" t="inlineStr">
        <is>
          <t>1.A.1.a.i</t>
        </is>
      </c>
      <c r="Y3497" s="4" t="inlineStr">
        <is>
          <t>GASEOUS_FUELS</t>
        </is>
      </c>
      <c r="Z3497" s="4" t="inlineStr">
        <is>
          <t>CH4</t>
        </is>
      </c>
      <c r="AB3497" s="4" t="inlineStr">
        <is>
          <t>kg CH4/TJ</t>
        </is>
      </c>
      <c r="AL3497" s="4" t="inlineStr">
        <is>
          <t>Table1.A; localizador a nivel de tabla; sin registro numérico</t>
        </is>
      </c>
      <c r="AM3497" s="4" t="inlineStr">
        <is>
          <t>Se conserva el estado NO porque la fuente no aporta un factor numérico para la clave interna FE_COMB|2020|1.A.1.a.i|GASEOUS_FUELS|CH4.</t>
        </is>
      </c>
    </row>
    <row r="3498">
      <c r="A3498" s="4" t="inlineStr">
        <is>
          <t>FACTOR_EMISION_OBS</t>
        </is>
      </c>
      <c r="B3498" s="4" t="inlineStr">
        <is>
          <t>FE_COMB|2020|1.A.1.a.i|GASEOUS_FUELS|N2O</t>
        </is>
      </c>
      <c r="C3498" s="4" t="inlineStr">
        <is>
          <t>2020|1.A.1.a.i|GASEOUS_FUELS|N2O</t>
        </is>
      </c>
      <c r="D3498" s="12">
        <v>2020.0</v>
      </c>
      <c r="E3498" s="12">
        <v>2020.0</v>
      </c>
      <c r="F3498" s="4" t="inlineStr">
        <is>
          <t>NO</t>
        </is>
      </c>
      <c r="G3498" s="4" t="inlineStr">
        <is>
          <t>UNFCCC_GTM_CRT_2024</t>
        </is>
      </c>
      <c r="H3498" s="4" t="inlineStr">
        <is>
          <t>Guatemala. 2024 Common Reporting Table (CRT)</t>
        </is>
      </c>
      <c r="I3498" s="4" t="inlineStr">
        <is>
          <t>https://unfccc.int/reports?f%5B0%5D=corporate_author%3A206</t>
        </is>
      </c>
      <c r="J3498" s="4" t="inlineStr">
        <is>
          <t>FE_COMB|2020|1.A.1.a.i|GASEOUS_FUELS|N2O</t>
        </is>
      </c>
      <c r="Q3498" s="4" t="inlineStr">
        <is>
          <t>CRT_ANUAL</t>
        </is>
      </c>
      <c r="W3498" s="4" t="inlineStr">
        <is>
          <t>1.A.1.a.i</t>
        </is>
      </c>
      <c r="Y3498" s="4" t="inlineStr">
        <is>
          <t>GASEOUS_FUELS</t>
        </is>
      </c>
      <c r="Z3498" s="4" t="inlineStr">
        <is>
          <t>N2O</t>
        </is>
      </c>
      <c r="AB3498" s="4" t="inlineStr">
        <is>
          <t>kg N2O/TJ</t>
        </is>
      </c>
      <c r="AL3498" s="4" t="inlineStr">
        <is>
          <t>Table1.A; localizador a nivel de tabla; sin registro numérico</t>
        </is>
      </c>
      <c r="AM3498" s="4" t="inlineStr">
        <is>
          <t>Se conserva el estado NO porque la fuente no aporta un factor numérico para la clave interna FE_COMB|2020|1.A.1.a.i|GASEOUS_FUELS|N2O.</t>
        </is>
      </c>
    </row>
    <row r="3499">
      <c r="A3499" s="4" t="inlineStr">
        <is>
          <t>FACTOR_EMISION_OBS</t>
        </is>
      </c>
      <c r="B3499" s="4" t="inlineStr">
        <is>
          <t>FE_COMB|2020|1.A.1.b|LIQUID_FUELS|CO2</t>
        </is>
      </c>
      <c r="C3499" s="4" t="inlineStr">
        <is>
          <t>2020|1.A.1.b|LIQUID_FUELS|CO2</t>
        </is>
      </c>
      <c r="D3499" s="12">
        <v>2020.0</v>
      </c>
      <c r="E3499" s="12">
        <v>2020.0</v>
      </c>
      <c r="F3499" s="4" t="inlineStr">
        <is>
          <t>OBS</t>
        </is>
      </c>
      <c r="G3499" s="4" t="inlineStr">
        <is>
          <t>UNFCCC_GTM_CRT_2024</t>
        </is>
      </c>
      <c r="H3499" s="4" t="inlineStr">
        <is>
          <t>Guatemala. 2024 Common Reporting Table (CRT)</t>
        </is>
      </c>
      <c r="I3499" s="4" t="inlineStr">
        <is>
          <t>https://unfccc.int/reports?f%5B0%5D=corporate_author%3A206</t>
        </is>
      </c>
      <c r="J3499" s="4" t="inlineStr">
        <is>
          <t>CRT1A|2020|1.A.1.b|LIQUID_FUELS|CO2</t>
        </is>
      </c>
      <c r="Q3499" s="4" t="inlineStr">
        <is>
          <t>CRT_ANUAL</t>
        </is>
      </c>
      <c r="W3499" s="4" t="inlineStr">
        <is>
          <t>1.A.1.b</t>
        </is>
      </c>
      <c r="Y3499" s="4" t="inlineStr">
        <is>
          <t>LIQUID_FUELS</t>
        </is>
      </c>
      <c r="Z3499" s="4" t="inlineStr">
        <is>
          <t>CO2</t>
        </is>
      </c>
      <c r="AA3499" s="13">
        <v>73104.46402064308</v>
      </c>
      <c r="AB3499" s="4" t="inlineStr">
        <is>
          <t>kg CO2/TJ</t>
        </is>
      </c>
      <c r="AL3499" s="4" t="inlineStr">
        <is>
          <t>Table1.A(a)s1; registro CRT1A|2020|1.A.1.b|LIQUID_FUELS|CO2</t>
        </is>
      </c>
      <c r="AM3499" s="4" t="inlineStr">
        <is>
          <t>Factor implícito anual derivado de actividad y emisión CRT del mismo año, categoría, grupo y gas. Registro CRT: CRT1A|2020|1.A.1.b|LIQUID_FUELS|CO2.</t>
        </is>
      </c>
    </row>
    <row r="3500">
      <c r="A3500" s="4" t="inlineStr">
        <is>
          <t>FACTOR_EMISION_OBS</t>
        </is>
      </c>
      <c r="B3500" s="4" t="inlineStr">
        <is>
          <t>FE_COMB|2020|1.A.1.b|LIQUID_FUELS|CH4</t>
        </is>
      </c>
      <c r="C3500" s="4" t="inlineStr">
        <is>
          <t>2020|1.A.1.b|LIQUID_FUELS|CH4</t>
        </is>
      </c>
      <c r="D3500" s="12">
        <v>2020.0</v>
      </c>
      <c r="E3500" s="12">
        <v>2020.0</v>
      </c>
      <c r="F3500" s="4" t="inlineStr">
        <is>
          <t>OBS</t>
        </is>
      </c>
      <c r="G3500" s="4" t="inlineStr">
        <is>
          <t>UNFCCC_GTM_CRT_2024</t>
        </is>
      </c>
      <c r="H3500" s="4" t="inlineStr">
        <is>
          <t>Guatemala. 2024 Common Reporting Table (CRT)</t>
        </is>
      </c>
      <c r="I3500" s="4" t="inlineStr">
        <is>
          <t>https://unfccc.int/reports?f%5B0%5D=corporate_author%3A206</t>
        </is>
      </c>
      <c r="J3500" s="4" t="inlineStr">
        <is>
          <t>CRT1A|2020|1.A.1.b|LIQUID_FUELS|CH4</t>
        </is>
      </c>
      <c r="Q3500" s="4" t="inlineStr">
        <is>
          <t>CRT_ANUAL</t>
        </is>
      </c>
      <c r="W3500" s="4" t="inlineStr">
        <is>
          <t>1.A.1.b</t>
        </is>
      </c>
      <c r="Y3500" s="4" t="inlineStr">
        <is>
          <t>LIQUID_FUELS</t>
        </is>
      </c>
      <c r="Z3500" s="4" t="inlineStr">
        <is>
          <t>CH4</t>
        </is>
      </c>
      <c r="AA3500" s="13">
        <v>2.999986910580293</v>
      </c>
      <c r="AB3500" s="4" t="inlineStr">
        <is>
          <t>kg CH4/TJ</t>
        </is>
      </c>
      <c r="AL3500" s="4" t="inlineStr">
        <is>
          <t>Table1.A(a)s1; registro CRT1A|2020|1.A.1.b|LIQUID_FUELS|CH4</t>
        </is>
      </c>
      <c r="AM3500" s="4" t="inlineStr">
        <is>
          <t>Factor implícito anual derivado de actividad y emisión CRT del mismo año, categoría, grupo y gas. Registro CRT: CRT1A|2020|1.A.1.b|LIQUID_FUELS|CH4.</t>
        </is>
      </c>
    </row>
    <row r="3501">
      <c r="A3501" s="4" t="inlineStr">
        <is>
          <t>FACTOR_EMISION_OBS</t>
        </is>
      </c>
      <c r="B3501" s="4" t="inlineStr">
        <is>
          <t>FE_COMB|2020|1.A.1.b|LIQUID_FUELS|N2O</t>
        </is>
      </c>
      <c r="C3501" s="4" t="inlineStr">
        <is>
          <t>2020|1.A.1.b|LIQUID_FUELS|N2O</t>
        </is>
      </c>
      <c r="D3501" s="12">
        <v>2020.0</v>
      </c>
      <c r="E3501" s="12">
        <v>2020.0</v>
      </c>
      <c r="F3501" s="4" t="inlineStr">
        <is>
          <t>OBS</t>
        </is>
      </c>
      <c r="G3501" s="4" t="inlineStr">
        <is>
          <t>UNFCCC_GTM_CRT_2024</t>
        </is>
      </c>
      <c r="H3501" s="4" t="inlineStr">
        <is>
          <t>Guatemala. 2024 Common Reporting Table (CRT)</t>
        </is>
      </c>
      <c r="I3501" s="4" t="inlineStr">
        <is>
          <t>https://unfccc.int/reports?f%5B0%5D=corporate_author%3A206</t>
        </is>
      </c>
      <c r="J3501" s="4" t="inlineStr">
        <is>
          <t>CRT1A|2020|1.A.1.b|LIQUID_FUELS|N2O</t>
        </is>
      </c>
      <c r="Q3501" s="4" t="inlineStr">
        <is>
          <t>CRT_ANUAL</t>
        </is>
      </c>
      <c r="W3501" s="4" t="inlineStr">
        <is>
          <t>1.A.1.b</t>
        </is>
      </c>
      <c r="Y3501" s="4" t="inlineStr">
        <is>
          <t>LIQUID_FUELS</t>
        </is>
      </c>
      <c r="Z3501" s="4" t="inlineStr">
        <is>
          <t>N2O</t>
        </is>
      </c>
      <c r="AA3501" s="13">
        <v>0.6000157018077404</v>
      </c>
      <c r="AB3501" s="4" t="inlineStr">
        <is>
          <t>kg N2O/TJ</t>
        </is>
      </c>
      <c r="AL3501" s="4" t="inlineStr">
        <is>
          <t>Table1.A(a)s1; registro CRT1A|2020|1.A.1.b|LIQUID_FUELS|N2O</t>
        </is>
      </c>
      <c r="AM3501" s="4" t="inlineStr">
        <is>
          <t>Factor implícito anual derivado de actividad y emisión CRT del mismo año, categoría, grupo y gas. Registro CRT: CRT1A|2020|1.A.1.b|LIQUID_FUELS|N2O.</t>
        </is>
      </c>
    </row>
    <row r="3502">
      <c r="A3502" s="4" t="inlineStr">
        <is>
          <t>FACTOR_EMISION_OBS</t>
        </is>
      </c>
      <c r="B3502" s="4" t="inlineStr">
        <is>
          <t>FE_COMB|2020|1.A.4.a|BIOMASS|CO2</t>
        </is>
      </c>
      <c r="C3502" s="4" t="inlineStr">
        <is>
          <t>2020|1.A.4.a|BIOMASS|CO2</t>
        </is>
      </c>
      <c r="D3502" s="12">
        <v>2020.0</v>
      </c>
      <c r="E3502" s="12">
        <v>2020.0</v>
      </c>
      <c r="F3502" s="4" t="inlineStr">
        <is>
          <t>OBS</t>
        </is>
      </c>
      <c r="G3502" s="4" t="inlineStr">
        <is>
          <t>UNFCCC_GTM_CRT_2024</t>
        </is>
      </c>
      <c r="H3502" s="4" t="inlineStr">
        <is>
          <t>Guatemala. 2024 Common Reporting Table (CRT)</t>
        </is>
      </c>
      <c r="I3502" s="4" t="inlineStr">
        <is>
          <t>https://unfccc.int/reports?f%5B0%5D=corporate_author%3A206</t>
        </is>
      </c>
      <c r="J3502" s="4" t="inlineStr">
        <is>
          <t>CRT1A|2020|1.A.4.a|BIOMASS|CO2</t>
        </is>
      </c>
      <c r="Q3502" s="4" t="inlineStr">
        <is>
          <t>CRT_ANUAL</t>
        </is>
      </c>
      <c r="W3502" s="4" t="inlineStr">
        <is>
          <t>1.A.4.a</t>
        </is>
      </c>
      <c r="Y3502" s="4" t="inlineStr">
        <is>
          <t>BIOMASS</t>
        </is>
      </c>
      <c r="Z3502" s="4" t="inlineStr">
        <is>
          <t>CO2</t>
        </is>
      </c>
      <c r="AA3502" s="13">
        <v>112000.00027639496</v>
      </c>
      <c r="AB3502" s="4" t="inlineStr">
        <is>
          <t>kg CO2/TJ</t>
        </is>
      </c>
      <c r="AL3502" s="4" t="inlineStr">
        <is>
          <t>Table1.A(a)s4; registro CRT1A|2020|1.A.4.a|BIOMASS|CO2</t>
        </is>
      </c>
      <c r="AM3502" s="4" t="inlineStr">
        <is>
          <t>Factor implícito anual derivado de actividad y emisión CRT del mismo año, categoría, grupo y gas. Registro CRT: CRT1A|2020|1.A.4.a|BIOMASS|CO2.</t>
        </is>
      </c>
    </row>
    <row r="3503">
      <c r="A3503" s="4" t="inlineStr">
        <is>
          <t>FACTOR_EMISION_OBS</t>
        </is>
      </c>
      <c r="B3503" s="4" t="inlineStr">
        <is>
          <t>FE_COMB|2020|1.A.4.a|BIOMASS|CH4</t>
        </is>
      </c>
      <c r="C3503" s="4" t="inlineStr">
        <is>
          <t>2020|1.A.4.a|BIOMASS|CH4</t>
        </is>
      </c>
      <c r="D3503" s="12">
        <v>2020.0</v>
      </c>
      <c r="E3503" s="12">
        <v>2020.0</v>
      </c>
      <c r="F3503" s="4" t="inlineStr">
        <is>
          <t>OBS</t>
        </is>
      </c>
      <c r="G3503" s="4" t="inlineStr">
        <is>
          <t>UNFCCC_GTM_CRT_2024</t>
        </is>
      </c>
      <c r="H3503" s="4" t="inlineStr">
        <is>
          <t>Guatemala. 2024 Common Reporting Table (CRT)</t>
        </is>
      </c>
      <c r="I3503" s="4" t="inlineStr">
        <is>
          <t>https://unfccc.int/reports?f%5B0%5D=corporate_author%3A206</t>
        </is>
      </c>
      <c r="J3503" s="4" t="inlineStr">
        <is>
          <t>CRT1A|2020|1.A.4.a|BIOMASS|CH4</t>
        </is>
      </c>
      <c r="Q3503" s="4" t="inlineStr">
        <is>
          <t>CRT_ANUAL</t>
        </is>
      </c>
      <c r="W3503" s="4" t="inlineStr">
        <is>
          <t>1.A.4.a</t>
        </is>
      </c>
      <c r="Y3503" s="4" t="inlineStr">
        <is>
          <t>BIOMASS</t>
        </is>
      </c>
      <c r="Z3503" s="4" t="inlineStr">
        <is>
          <t>CH4</t>
        </is>
      </c>
      <c r="AA3503" s="13">
        <v>299.9999996656513</v>
      </c>
      <c r="AB3503" s="4" t="inlineStr">
        <is>
          <t>kg CH4/TJ</t>
        </is>
      </c>
      <c r="AL3503" s="4" t="inlineStr">
        <is>
          <t>Table1.A(a)s4; registro CRT1A|2020|1.A.4.a|BIOMASS|CH4</t>
        </is>
      </c>
      <c r="AM3503" s="4" t="inlineStr">
        <is>
          <t>Factor implícito anual derivado de actividad y emisión CRT del mismo año, categoría, grupo y gas. Registro CRT: CRT1A|2020|1.A.4.a|BIOMASS|CH4.</t>
        </is>
      </c>
    </row>
    <row r="3504">
      <c r="A3504" s="4" t="inlineStr">
        <is>
          <t>FACTOR_EMISION_OBS</t>
        </is>
      </c>
      <c r="B3504" s="4" t="inlineStr">
        <is>
          <t>FE_COMB|2020|1.A.4.a|BIOMASS|N2O</t>
        </is>
      </c>
      <c r="C3504" s="4" t="inlineStr">
        <is>
          <t>2020|1.A.4.a|BIOMASS|N2O</t>
        </is>
      </c>
      <c r="D3504" s="12">
        <v>2020.0</v>
      </c>
      <c r="E3504" s="12">
        <v>2020.0</v>
      </c>
      <c r="F3504" s="4" t="inlineStr">
        <is>
          <t>OBS</t>
        </is>
      </c>
      <c r="G3504" s="4" t="inlineStr">
        <is>
          <t>UNFCCC_GTM_CRT_2024</t>
        </is>
      </c>
      <c r="H3504" s="4" t="inlineStr">
        <is>
          <t>Guatemala. 2024 Common Reporting Table (CRT)</t>
        </is>
      </c>
      <c r="I3504" s="4" t="inlineStr">
        <is>
          <t>https://unfccc.int/reports?f%5B0%5D=corporate_author%3A206</t>
        </is>
      </c>
      <c r="J3504" s="4" t="inlineStr">
        <is>
          <t>CRT1A|2020|1.A.4.a|BIOMASS|N2O</t>
        </is>
      </c>
      <c r="Q3504" s="4" t="inlineStr">
        <is>
          <t>CRT_ANUAL</t>
        </is>
      </c>
      <c r="W3504" s="4" t="inlineStr">
        <is>
          <t>1.A.4.a</t>
        </is>
      </c>
      <c r="Y3504" s="4" t="inlineStr">
        <is>
          <t>BIOMASS</t>
        </is>
      </c>
      <c r="Z3504" s="4" t="inlineStr">
        <is>
          <t>N2O</t>
        </is>
      </c>
      <c r="AA3504" s="13">
        <v>4.0000001292815135</v>
      </c>
      <c r="AB3504" s="4" t="inlineStr">
        <is>
          <t>kg N2O/TJ</t>
        </is>
      </c>
      <c r="AL3504" s="4" t="inlineStr">
        <is>
          <t>Table1.A(a)s4; registro CRT1A|2020|1.A.4.a|BIOMASS|N2O</t>
        </is>
      </c>
      <c r="AM3504" s="4" t="inlineStr">
        <is>
          <t>Factor implícito anual derivado de actividad y emisión CRT del mismo año, categoría, grupo y gas. Registro CRT: CRT1A|2020|1.A.4.a|BIOMASS|N2O.</t>
        </is>
      </c>
    </row>
    <row r="3505">
      <c r="A3505" s="4" t="inlineStr">
        <is>
          <t>FACTOR_EMISION_OBS</t>
        </is>
      </c>
      <c r="B3505" s="4" t="inlineStr">
        <is>
          <t>FE_COMB|2020|1.A.4.b|BIOMASS|CO2</t>
        </is>
      </c>
      <c r="C3505" s="4" t="inlineStr">
        <is>
          <t>2020|1.A.4.b|BIOMASS|CO2</t>
        </is>
      </c>
      <c r="D3505" s="12">
        <v>2020.0</v>
      </c>
      <c r="E3505" s="12">
        <v>2020.0</v>
      </c>
      <c r="F3505" s="4" t="inlineStr">
        <is>
          <t>OBS</t>
        </is>
      </c>
      <c r="G3505" s="4" t="inlineStr">
        <is>
          <t>UNFCCC_GTM_CRT_2024</t>
        </is>
      </c>
      <c r="H3505" s="4" t="inlineStr">
        <is>
          <t>Guatemala. 2024 Common Reporting Table (CRT)</t>
        </is>
      </c>
      <c r="I3505" s="4" t="inlineStr">
        <is>
          <t>https://unfccc.int/reports?f%5B0%5D=corporate_author%3A206</t>
        </is>
      </c>
      <c r="J3505" s="4" t="inlineStr">
        <is>
          <t>CRT1A|2020|1.A.4.b|BIOMASS|CO2</t>
        </is>
      </c>
      <c r="Q3505" s="4" t="inlineStr">
        <is>
          <t>CRT_ANUAL</t>
        </is>
      </c>
      <c r="W3505" s="4" t="inlineStr">
        <is>
          <t>1.A.4.b</t>
        </is>
      </c>
      <c r="Y3505" s="4" t="inlineStr">
        <is>
          <t>BIOMASS</t>
        </is>
      </c>
      <c r="Z3505" s="4" t="inlineStr">
        <is>
          <t>CO2</t>
        </is>
      </c>
      <c r="AA3505" s="13">
        <v>112000.00006893788</v>
      </c>
      <c r="AB3505" s="4" t="inlineStr">
        <is>
          <t>kg CO2/TJ</t>
        </is>
      </c>
      <c r="AL3505" s="4" t="inlineStr">
        <is>
          <t>Table1.A(a)s4; registro CRT1A|2020|1.A.4.b|BIOMASS|CO2</t>
        </is>
      </c>
      <c r="AM3505" s="4" t="inlineStr">
        <is>
          <t>Factor implícito anual derivado de actividad y emisión CRT del mismo año, categoría, grupo y gas. Registro CRT: CRT1A|2020|1.A.4.b|BIOMASS|CO2.</t>
        </is>
      </c>
    </row>
    <row r="3506">
      <c r="A3506" s="4" t="inlineStr">
        <is>
          <t>FACTOR_EMISION_OBS</t>
        </is>
      </c>
      <c r="B3506" s="4" t="inlineStr">
        <is>
          <t>FE_COMB|2020|1.A.4.b|BIOMASS|CH4</t>
        </is>
      </c>
      <c r="C3506" s="4" t="inlineStr">
        <is>
          <t>2020|1.A.4.b|BIOMASS|CH4</t>
        </is>
      </c>
      <c r="D3506" s="12">
        <v>2020.0</v>
      </c>
      <c r="E3506" s="12">
        <v>2020.0</v>
      </c>
      <c r="F3506" s="4" t="inlineStr">
        <is>
          <t>OBS</t>
        </is>
      </c>
      <c r="G3506" s="4" t="inlineStr">
        <is>
          <t>UNFCCC_GTM_CRT_2024</t>
        </is>
      </c>
      <c r="H3506" s="4" t="inlineStr">
        <is>
          <t>Guatemala. 2024 Common Reporting Table (CRT)</t>
        </is>
      </c>
      <c r="I3506" s="4" t="inlineStr">
        <is>
          <t>https://unfccc.int/reports?f%5B0%5D=corporate_author%3A206</t>
        </is>
      </c>
      <c r="J3506" s="4" t="inlineStr">
        <is>
          <t>CRT1A|2020|1.A.4.b|BIOMASS|CH4</t>
        </is>
      </c>
      <c r="Q3506" s="4" t="inlineStr">
        <is>
          <t>CRT_ANUAL</t>
        </is>
      </c>
      <c r="W3506" s="4" t="inlineStr">
        <is>
          <t>1.A.4.b</t>
        </is>
      </c>
      <c r="Y3506" s="4" t="inlineStr">
        <is>
          <t>BIOMASS</t>
        </is>
      </c>
      <c r="Z3506" s="4" t="inlineStr">
        <is>
          <t>CH4</t>
        </is>
      </c>
      <c r="AA3506" s="13">
        <v>299.9999996553106</v>
      </c>
      <c r="AB3506" s="4" t="inlineStr">
        <is>
          <t>kg CH4/TJ</t>
        </is>
      </c>
      <c r="AL3506" s="4" t="inlineStr">
        <is>
          <t>Table1.A(a)s4; registro CRT1A|2020|1.A.4.b|BIOMASS|CH4</t>
        </is>
      </c>
      <c r="AM3506" s="4" t="inlineStr">
        <is>
          <t>Factor implícito anual derivado de actividad y emisión CRT del mismo año, categoría, grupo y gas. Registro CRT: CRT1A|2020|1.A.4.b|BIOMASS|CH4.</t>
        </is>
      </c>
    </row>
    <row r="3507">
      <c r="A3507" s="4" t="inlineStr">
        <is>
          <t>FACTOR_EMISION_OBS</t>
        </is>
      </c>
      <c r="B3507" s="4" t="inlineStr">
        <is>
          <t>FE_COMB|2020|1.A.4.b|BIOMASS|N2O</t>
        </is>
      </c>
      <c r="C3507" s="4" t="inlineStr">
        <is>
          <t>2020|1.A.4.b|BIOMASS|N2O</t>
        </is>
      </c>
      <c r="D3507" s="12">
        <v>2020.0</v>
      </c>
      <c r="E3507" s="12">
        <v>2020.0</v>
      </c>
      <c r="F3507" s="4" t="inlineStr">
        <is>
          <t>OBS</t>
        </is>
      </c>
      <c r="G3507" s="4" t="inlineStr">
        <is>
          <t>UNFCCC_GTM_CRT_2024</t>
        </is>
      </c>
      <c r="H3507" s="4" t="inlineStr">
        <is>
          <t>Guatemala. 2024 Common Reporting Table (CRT)</t>
        </is>
      </c>
      <c r="I3507" s="4" t="inlineStr">
        <is>
          <t>https://unfccc.int/reports?f%5B0%5D=corporate_author%3A206</t>
        </is>
      </c>
      <c r="J3507" s="4" t="inlineStr">
        <is>
          <t>CRT1A|2020|1.A.4.b|BIOMASS|N2O</t>
        </is>
      </c>
      <c r="Q3507" s="4" t="inlineStr">
        <is>
          <t>CRT_ANUAL</t>
        </is>
      </c>
      <c r="W3507" s="4" t="inlineStr">
        <is>
          <t>1.A.4.b</t>
        </is>
      </c>
      <c r="Y3507" s="4" t="inlineStr">
        <is>
          <t>BIOMASS</t>
        </is>
      </c>
      <c r="Z3507" s="4" t="inlineStr">
        <is>
          <t>N2O</t>
        </is>
      </c>
      <c r="AA3507" s="13">
        <v>4.000000000000001</v>
      </c>
      <c r="AB3507" s="4" t="inlineStr">
        <is>
          <t>kg N2O/TJ</t>
        </is>
      </c>
      <c r="AL3507" s="4" t="inlineStr">
        <is>
          <t>Table1.A(a)s4; registro CRT1A|2020|1.A.4.b|BIOMASS|N2O</t>
        </is>
      </c>
      <c r="AM3507" s="4" t="inlineStr">
        <is>
          <t>Factor implícito anual derivado de actividad y emisión CRT del mismo año, categoría, grupo y gas. Registro CRT: CRT1A|2020|1.A.4.b|BIOMASS|N2O.</t>
        </is>
      </c>
    </row>
    <row r="3508">
      <c r="A3508" s="4" t="inlineStr">
        <is>
          <t>FACTOR_EMISION_OBS</t>
        </is>
      </c>
      <c r="B3508" s="4" t="inlineStr">
        <is>
          <t>FE_COMB|2020|1.A.1.a.i|CERO_DIRECTO|CO2</t>
        </is>
      </c>
      <c r="C3508" s="4" t="inlineStr">
        <is>
          <t>2020|1.A.1.a.i|CERO_DIRECTO|CO2</t>
        </is>
      </c>
      <c r="D3508" s="12">
        <v>2020.0</v>
      </c>
      <c r="E3508" s="12">
        <v>2020.0</v>
      </c>
      <c r="F3508" s="4" t="inlineStr">
        <is>
          <t>CAL</t>
        </is>
      </c>
      <c r="G3508" s="4" t="inlineStr">
        <is>
          <t>METODO_EMISIONES</t>
        </is>
      </c>
      <c r="H3508" s="4" t="inlineStr">
        <is>
          <t>Regla metodológica de emisión directa cero</t>
        </is>
      </c>
      <c r="J3508" s="4" t="inlineStr">
        <is>
          <t>PARAM|CERO|1.A.1.a.i|CO2</t>
        </is>
      </c>
      <c r="Q3508" s="4" t="inlineStr">
        <is>
          <t>CERO_DIRECTO</t>
        </is>
      </c>
      <c r="W3508" s="4" t="inlineStr">
        <is>
          <t>1.A.1.a.i</t>
        </is>
      </c>
      <c r="Y3508" s="4" t="inlineStr">
        <is>
          <t>CERO_DIRECTO</t>
        </is>
      </c>
      <c r="Z3508" s="4" t="inlineStr">
        <is>
          <t>CO2</t>
        </is>
      </c>
      <c r="AA3508" s="13">
        <v>0.0</v>
      </c>
      <c r="AB3508" s="4" t="inlineStr">
        <is>
          <t>kg CO2/TJ</t>
        </is>
      </c>
      <c r="AL3508" s="4" t="inlineStr">
        <is>
          <t>No aplica — regla interna CERO_DIRECTO; NT-02, sección 9; hoja PARAMETROS</t>
        </is>
      </c>
      <c r="AM3508" s="4" t="inlineStr">
        <is>
          <t>Cero metodológico definido por la correspondencia contable; no procede de una celda numérica independiente de la CRT.</t>
        </is>
      </c>
    </row>
    <row r="3509">
      <c r="A3509" s="4" t="inlineStr">
        <is>
          <t>FACTOR_EMISION_OBS</t>
        </is>
      </c>
      <c r="B3509" s="4" t="inlineStr">
        <is>
          <t>FE_COMB|2020|1.A.1.a.i|CERO_DIRECTO|CH4</t>
        </is>
      </c>
      <c r="C3509" s="4" t="inlineStr">
        <is>
          <t>2020|1.A.1.a.i|CERO_DIRECTO|CH4</t>
        </is>
      </c>
      <c r="D3509" s="12">
        <v>2020.0</v>
      </c>
      <c r="E3509" s="12">
        <v>2020.0</v>
      </c>
      <c r="F3509" s="4" t="inlineStr">
        <is>
          <t>CAL</t>
        </is>
      </c>
      <c r="G3509" s="4" t="inlineStr">
        <is>
          <t>METODO_EMISIONES</t>
        </is>
      </c>
      <c r="H3509" s="4" t="inlineStr">
        <is>
          <t>Regla metodológica de emisión directa cero</t>
        </is>
      </c>
      <c r="J3509" s="4" t="inlineStr">
        <is>
          <t>PARAM|CERO|1.A.1.a.i|CH4</t>
        </is>
      </c>
      <c r="Q3509" s="4" t="inlineStr">
        <is>
          <t>CERO_DIRECTO</t>
        </is>
      </c>
      <c r="W3509" s="4" t="inlineStr">
        <is>
          <t>1.A.1.a.i</t>
        </is>
      </c>
      <c r="Y3509" s="4" t="inlineStr">
        <is>
          <t>CERO_DIRECTO</t>
        </is>
      </c>
      <c r="Z3509" s="4" t="inlineStr">
        <is>
          <t>CH4</t>
        </is>
      </c>
      <c r="AA3509" s="13">
        <v>0.0</v>
      </c>
      <c r="AB3509" s="4" t="inlineStr">
        <is>
          <t>kg CH4/TJ</t>
        </is>
      </c>
      <c r="AL3509" s="4" t="inlineStr">
        <is>
          <t>No aplica — regla interna CERO_DIRECTO; NT-02, sección 9; hoja PARAMETROS</t>
        </is>
      </c>
      <c r="AM3509" s="4" t="inlineStr">
        <is>
          <t>Cero metodológico definido por la correspondencia contable; no procede de una celda numérica independiente de la CRT.</t>
        </is>
      </c>
    </row>
    <row r="3510">
      <c r="A3510" s="4" t="inlineStr">
        <is>
          <t>FACTOR_EMISION_OBS</t>
        </is>
      </c>
      <c r="B3510" s="4" t="inlineStr">
        <is>
          <t>FE_COMB|2020|1.A.1.a.i|CERO_DIRECTO|N2O</t>
        </is>
      </c>
      <c r="C3510" s="4" t="inlineStr">
        <is>
          <t>2020|1.A.1.a.i|CERO_DIRECTO|N2O</t>
        </is>
      </c>
      <c r="D3510" s="12">
        <v>2020.0</v>
      </c>
      <c r="E3510" s="12">
        <v>2020.0</v>
      </c>
      <c r="F3510" s="4" t="inlineStr">
        <is>
          <t>CAL</t>
        </is>
      </c>
      <c r="G3510" s="4" t="inlineStr">
        <is>
          <t>METODO_EMISIONES</t>
        </is>
      </c>
      <c r="H3510" s="4" t="inlineStr">
        <is>
          <t>Regla metodológica de emisión directa cero</t>
        </is>
      </c>
      <c r="J3510" s="4" t="inlineStr">
        <is>
          <t>PARAM|CERO|1.A.1.a.i|N2O</t>
        </is>
      </c>
      <c r="Q3510" s="4" t="inlineStr">
        <is>
          <t>CERO_DIRECTO</t>
        </is>
      </c>
      <c r="W3510" s="4" t="inlineStr">
        <is>
          <t>1.A.1.a.i</t>
        </is>
      </c>
      <c r="Y3510" s="4" t="inlineStr">
        <is>
          <t>CERO_DIRECTO</t>
        </is>
      </c>
      <c r="Z3510" s="4" t="inlineStr">
        <is>
          <t>N2O</t>
        </is>
      </c>
      <c r="AA3510" s="13">
        <v>0.0</v>
      </c>
      <c r="AB3510" s="4" t="inlineStr">
        <is>
          <t>kg N2O/TJ</t>
        </is>
      </c>
      <c r="AL3510" s="4" t="inlineStr">
        <is>
          <t>No aplica — regla interna CERO_DIRECTO; NT-02, sección 9; hoja PARAMETROS</t>
        </is>
      </c>
      <c r="AM3510" s="4" t="inlineStr">
        <is>
          <t>Cero metodológico definido por la correspondencia contable; no procede de una celda numérica independiente de la CRT.</t>
        </is>
      </c>
    </row>
    <row r="3511">
      <c r="A3511" s="4" t="inlineStr">
        <is>
          <t>FACTOR_EMISION_OBS</t>
        </is>
      </c>
      <c r="B3511" s="4" t="inlineStr">
        <is>
          <t>FE_COMB|2020|1.A.1.c|CERO_DIRECTO|CO2</t>
        </is>
      </c>
      <c r="C3511" s="4" t="inlineStr">
        <is>
          <t>2020|1.A.1.c|CERO_DIRECTO|CO2</t>
        </is>
      </c>
      <c r="D3511" s="12">
        <v>2020.0</v>
      </c>
      <c r="E3511" s="12">
        <v>2020.0</v>
      </c>
      <c r="F3511" s="4" t="inlineStr">
        <is>
          <t>CAL</t>
        </is>
      </c>
      <c r="G3511" s="4" t="inlineStr">
        <is>
          <t>METODO_EMISIONES</t>
        </is>
      </c>
      <c r="H3511" s="4" t="inlineStr">
        <is>
          <t>Regla metodológica de emisión directa cero</t>
        </is>
      </c>
      <c r="J3511" s="4" t="inlineStr">
        <is>
          <t>PARAM|CERO|1.A.1.c|CO2</t>
        </is>
      </c>
      <c r="Q3511" s="4" t="inlineStr">
        <is>
          <t>CERO_DIRECTO</t>
        </is>
      </c>
      <c r="W3511" s="4" t="inlineStr">
        <is>
          <t>1.A.1.c</t>
        </is>
      </c>
      <c r="Y3511" s="4" t="inlineStr">
        <is>
          <t>CERO_DIRECTO</t>
        </is>
      </c>
      <c r="Z3511" s="4" t="inlineStr">
        <is>
          <t>CO2</t>
        </is>
      </c>
      <c r="AA3511" s="13">
        <v>0.0</v>
      </c>
      <c r="AB3511" s="4" t="inlineStr">
        <is>
          <t>kg CO2/TJ</t>
        </is>
      </c>
      <c r="AL3511" s="4" t="inlineStr">
        <is>
          <t>No aplica — regla interna CERO_DIRECTO; NT-02, sección 9; hoja PARAMETROS</t>
        </is>
      </c>
      <c r="AM3511" s="4" t="inlineStr">
        <is>
          <t>Cero metodológico definido por la correspondencia contable; no procede de una celda numérica independiente de la CRT.</t>
        </is>
      </c>
    </row>
    <row r="3512">
      <c r="A3512" s="4" t="inlineStr">
        <is>
          <t>FACTOR_EMISION_OBS</t>
        </is>
      </c>
      <c r="B3512" s="4" t="inlineStr">
        <is>
          <t>FE_COMB|2020|1.A.1.c|CERO_DIRECTO|CH4</t>
        </is>
      </c>
      <c r="C3512" s="4" t="inlineStr">
        <is>
          <t>2020|1.A.1.c|CERO_DIRECTO|CH4</t>
        </is>
      </c>
      <c r="D3512" s="12">
        <v>2020.0</v>
      </c>
      <c r="E3512" s="12">
        <v>2020.0</v>
      </c>
      <c r="F3512" s="4" t="inlineStr">
        <is>
          <t>CAL</t>
        </is>
      </c>
      <c r="G3512" s="4" t="inlineStr">
        <is>
          <t>METODO_EMISIONES</t>
        </is>
      </c>
      <c r="H3512" s="4" t="inlineStr">
        <is>
          <t>Regla metodológica de emisión directa cero</t>
        </is>
      </c>
      <c r="J3512" s="4" t="inlineStr">
        <is>
          <t>PARAM|CERO|1.A.1.c|CH4</t>
        </is>
      </c>
      <c r="Q3512" s="4" t="inlineStr">
        <is>
          <t>CERO_DIRECTO</t>
        </is>
      </c>
      <c r="W3512" s="4" t="inlineStr">
        <is>
          <t>1.A.1.c</t>
        </is>
      </c>
      <c r="Y3512" s="4" t="inlineStr">
        <is>
          <t>CERO_DIRECTO</t>
        </is>
      </c>
      <c r="Z3512" s="4" t="inlineStr">
        <is>
          <t>CH4</t>
        </is>
      </c>
      <c r="AA3512" s="13">
        <v>0.0</v>
      </c>
      <c r="AB3512" s="4" t="inlineStr">
        <is>
          <t>kg CH4/TJ</t>
        </is>
      </c>
      <c r="AL3512" s="4" t="inlineStr">
        <is>
          <t>No aplica — regla interna CERO_DIRECTO; NT-02, sección 9; hoja PARAMETROS</t>
        </is>
      </c>
      <c r="AM3512" s="4" t="inlineStr">
        <is>
          <t>Cero metodológico definido por la correspondencia contable; no procede de una celda numérica independiente de la CRT.</t>
        </is>
      </c>
    </row>
    <row r="3513">
      <c r="A3513" s="4" t="inlineStr">
        <is>
          <t>FACTOR_EMISION_OBS</t>
        </is>
      </c>
      <c r="B3513" s="4" t="inlineStr">
        <is>
          <t>FE_COMB|2020|1.A.1.c|CERO_DIRECTO|N2O</t>
        </is>
      </c>
      <c r="C3513" s="4" t="inlineStr">
        <is>
          <t>2020|1.A.1.c|CERO_DIRECTO|N2O</t>
        </is>
      </c>
      <c r="D3513" s="12">
        <v>2020.0</v>
      </c>
      <c r="E3513" s="12">
        <v>2020.0</v>
      </c>
      <c r="F3513" s="4" t="inlineStr">
        <is>
          <t>CAL</t>
        </is>
      </c>
      <c r="G3513" s="4" t="inlineStr">
        <is>
          <t>METODO_EMISIONES</t>
        </is>
      </c>
      <c r="H3513" s="4" t="inlineStr">
        <is>
          <t>Regla metodológica de emisión directa cero</t>
        </is>
      </c>
      <c r="J3513" s="4" t="inlineStr">
        <is>
          <t>PARAM|CERO|1.A.1.c|N2O</t>
        </is>
      </c>
      <c r="Q3513" s="4" t="inlineStr">
        <is>
          <t>CERO_DIRECTO</t>
        </is>
      </c>
      <c r="W3513" s="4" t="inlineStr">
        <is>
          <t>1.A.1.c</t>
        </is>
      </c>
      <c r="Y3513" s="4" t="inlineStr">
        <is>
          <t>CERO_DIRECTO</t>
        </is>
      </c>
      <c r="Z3513" s="4" t="inlineStr">
        <is>
          <t>N2O</t>
        </is>
      </c>
      <c r="AA3513" s="13">
        <v>0.0</v>
      </c>
      <c r="AB3513" s="4" t="inlineStr">
        <is>
          <t>kg N2O/TJ</t>
        </is>
      </c>
      <c r="AL3513" s="4" t="inlineStr">
        <is>
          <t>No aplica — regla interna CERO_DIRECTO; NT-02, sección 9; hoja PARAMETROS</t>
        </is>
      </c>
      <c r="AM3513" s="4" t="inlineStr">
        <is>
          <t>Cero metodológico definido por la correspondencia contable; no procede de una celda numérica independiente de la CRT.</t>
        </is>
      </c>
    </row>
    <row r="3514">
      <c r="A3514" s="4" t="inlineStr">
        <is>
          <t>FACTOR_EMISION_OBS</t>
        </is>
      </c>
      <c r="B3514" s="4" t="inlineStr">
        <is>
          <t>FE_COMB|2020|1.A.2|CERO_DIRECTO|CO2</t>
        </is>
      </c>
      <c r="C3514" s="4" t="inlineStr">
        <is>
          <t>2020|1.A.2|CERO_DIRECTO|CO2</t>
        </is>
      </c>
      <c r="D3514" s="12">
        <v>2020.0</v>
      </c>
      <c r="E3514" s="12">
        <v>2020.0</v>
      </c>
      <c r="F3514" s="4" t="inlineStr">
        <is>
          <t>CAL</t>
        </is>
      </c>
      <c r="G3514" s="4" t="inlineStr">
        <is>
          <t>METODO_EMISIONES</t>
        </is>
      </c>
      <c r="H3514" s="4" t="inlineStr">
        <is>
          <t>Regla metodológica de emisión directa cero</t>
        </is>
      </c>
      <c r="J3514" s="4" t="inlineStr">
        <is>
          <t>PARAM|CERO|1.A.2|CO2</t>
        </is>
      </c>
      <c r="Q3514" s="4" t="inlineStr">
        <is>
          <t>CERO_DIRECTO</t>
        </is>
      </c>
      <c r="W3514" s="4" t="inlineStr">
        <is>
          <t>1.A.2</t>
        </is>
      </c>
      <c r="Y3514" s="4" t="inlineStr">
        <is>
          <t>CERO_DIRECTO</t>
        </is>
      </c>
      <c r="Z3514" s="4" t="inlineStr">
        <is>
          <t>CO2</t>
        </is>
      </c>
      <c r="AA3514" s="13">
        <v>0.0</v>
      </c>
      <c r="AB3514" s="4" t="inlineStr">
        <is>
          <t>kg CO2/TJ</t>
        </is>
      </c>
      <c r="AL3514" s="4" t="inlineStr">
        <is>
          <t>No aplica — regla interna CERO_DIRECTO; NT-02, sección 9; hoja PARAMETROS</t>
        </is>
      </c>
      <c r="AM3514" s="4" t="inlineStr">
        <is>
          <t>Cero metodológico definido por la correspondencia contable; no procede de una celda numérica independiente de la CRT.</t>
        </is>
      </c>
    </row>
    <row r="3515">
      <c r="A3515" s="4" t="inlineStr">
        <is>
          <t>FACTOR_EMISION_OBS</t>
        </is>
      </c>
      <c r="B3515" s="4" t="inlineStr">
        <is>
          <t>FE_COMB|2020|1.A.2|CERO_DIRECTO|CH4</t>
        </is>
      </c>
      <c r="C3515" s="4" t="inlineStr">
        <is>
          <t>2020|1.A.2|CERO_DIRECTO|CH4</t>
        </is>
      </c>
      <c r="D3515" s="12">
        <v>2020.0</v>
      </c>
      <c r="E3515" s="12">
        <v>2020.0</v>
      </c>
      <c r="F3515" s="4" t="inlineStr">
        <is>
          <t>CAL</t>
        </is>
      </c>
      <c r="G3515" s="4" t="inlineStr">
        <is>
          <t>METODO_EMISIONES</t>
        </is>
      </c>
      <c r="H3515" s="4" t="inlineStr">
        <is>
          <t>Regla metodológica de emisión directa cero</t>
        </is>
      </c>
      <c r="J3515" s="4" t="inlineStr">
        <is>
          <t>PARAM|CERO|1.A.2|CH4</t>
        </is>
      </c>
      <c r="Q3515" s="4" t="inlineStr">
        <is>
          <t>CERO_DIRECTO</t>
        </is>
      </c>
      <c r="W3515" s="4" t="inlineStr">
        <is>
          <t>1.A.2</t>
        </is>
      </c>
      <c r="Y3515" s="4" t="inlineStr">
        <is>
          <t>CERO_DIRECTO</t>
        </is>
      </c>
      <c r="Z3515" s="4" t="inlineStr">
        <is>
          <t>CH4</t>
        </is>
      </c>
      <c r="AA3515" s="13">
        <v>0.0</v>
      </c>
      <c r="AB3515" s="4" t="inlineStr">
        <is>
          <t>kg CH4/TJ</t>
        </is>
      </c>
      <c r="AL3515" s="4" t="inlineStr">
        <is>
          <t>No aplica — regla interna CERO_DIRECTO; NT-02, sección 9; hoja PARAMETROS</t>
        </is>
      </c>
      <c r="AM3515" s="4" t="inlineStr">
        <is>
          <t>Cero metodológico definido por la correspondencia contable; no procede de una celda numérica independiente de la CRT.</t>
        </is>
      </c>
    </row>
    <row r="3516">
      <c r="A3516" s="4" t="inlineStr">
        <is>
          <t>FACTOR_EMISION_OBS</t>
        </is>
      </c>
      <c r="B3516" s="4" t="inlineStr">
        <is>
          <t>FE_COMB|2020|1.A.2|CERO_DIRECTO|N2O</t>
        </is>
      </c>
      <c r="C3516" s="4" t="inlineStr">
        <is>
          <t>2020|1.A.2|CERO_DIRECTO|N2O</t>
        </is>
      </c>
      <c r="D3516" s="12">
        <v>2020.0</v>
      </c>
      <c r="E3516" s="12">
        <v>2020.0</v>
      </c>
      <c r="F3516" s="4" t="inlineStr">
        <is>
          <t>CAL</t>
        </is>
      </c>
      <c r="G3516" s="4" t="inlineStr">
        <is>
          <t>METODO_EMISIONES</t>
        </is>
      </c>
      <c r="H3516" s="4" t="inlineStr">
        <is>
          <t>Regla metodológica de emisión directa cero</t>
        </is>
      </c>
      <c r="J3516" s="4" t="inlineStr">
        <is>
          <t>PARAM|CERO|1.A.2|N2O</t>
        </is>
      </c>
      <c r="Q3516" s="4" t="inlineStr">
        <is>
          <t>CERO_DIRECTO</t>
        </is>
      </c>
      <c r="W3516" s="4" t="inlineStr">
        <is>
          <t>1.A.2</t>
        </is>
      </c>
      <c r="Y3516" s="4" t="inlineStr">
        <is>
          <t>CERO_DIRECTO</t>
        </is>
      </c>
      <c r="Z3516" s="4" t="inlineStr">
        <is>
          <t>N2O</t>
        </is>
      </c>
      <c r="AA3516" s="13">
        <v>0.0</v>
      </c>
      <c r="AB3516" s="4" t="inlineStr">
        <is>
          <t>kg N2O/TJ</t>
        </is>
      </c>
      <c r="AL3516" s="4" t="inlineStr">
        <is>
          <t>No aplica — regla interna CERO_DIRECTO; NT-02, sección 9; hoja PARAMETROS</t>
        </is>
      </c>
      <c r="AM3516" s="4" t="inlineStr">
        <is>
          <t>Cero metodológico definido por la correspondencia contable; no procede de una celda numérica independiente de la CRT.</t>
        </is>
      </c>
    </row>
    <row r="3517">
      <c r="A3517" s="4" t="inlineStr">
        <is>
          <t>FACTOR_EMISION_OBS</t>
        </is>
      </c>
      <c r="B3517" s="4" t="inlineStr">
        <is>
          <t>FE_COMB|2020|1.A.3|CERO_DIRECTO|CO2</t>
        </is>
      </c>
      <c r="C3517" s="4" t="inlineStr">
        <is>
          <t>2020|1.A.3|CERO_DIRECTO|CO2</t>
        </is>
      </c>
      <c r="D3517" s="12">
        <v>2020.0</v>
      </c>
      <c r="E3517" s="12">
        <v>2020.0</v>
      </c>
      <c r="F3517" s="4" t="inlineStr">
        <is>
          <t>CAL</t>
        </is>
      </c>
      <c r="G3517" s="4" t="inlineStr">
        <is>
          <t>METODO_EMISIONES</t>
        </is>
      </c>
      <c r="H3517" s="4" t="inlineStr">
        <is>
          <t>Regla metodológica de emisión directa cero</t>
        </is>
      </c>
      <c r="J3517" s="4" t="inlineStr">
        <is>
          <t>PARAM|CERO|1.A.3|CO2</t>
        </is>
      </c>
      <c r="Q3517" s="4" t="inlineStr">
        <is>
          <t>CERO_DIRECTO</t>
        </is>
      </c>
      <c r="W3517" s="4" t="inlineStr">
        <is>
          <t>1.A.3</t>
        </is>
      </c>
      <c r="Y3517" s="4" t="inlineStr">
        <is>
          <t>CERO_DIRECTO</t>
        </is>
      </c>
      <c r="Z3517" s="4" t="inlineStr">
        <is>
          <t>CO2</t>
        </is>
      </c>
      <c r="AA3517" s="13">
        <v>0.0</v>
      </c>
      <c r="AB3517" s="4" t="inlineStr">
        <is>
          <t>kg CO2/TJ</t>
        </is>
      </c>
      <c r="AL3517" s="4" t="inlineStr">
        <is>
          <t>No aplica — regla interna CERO_DIRECTO; NT-02, sección 9; hoja PARAMETROS</t>
        </is>
      </c>
      <c r="AM3517" s="4" t="inlineStr">
        <is>
          <t>Cero metodológico definido por la correspondencia contable; no procede de una celda numérica independiente de la CRT.</t>
        </is>
      </c>
    </row>
    <row r="3518">
      <c r="A3518" s="4" t="inlineStr">
        <is>
          <t>FACTOR_EMISION_OBS</t>
        </is>
      </c>
      <c r="B3518" s="4" t="inlineStr">
        <is>
          <t>FE_COMB|2020|1.A.3|CERO_DIRECTO|CH4</t>
        </is>
      </c>
      <c r="C3518" s="4" t="inlineStr">
        <is>
          <t>2020|1.A.3|CERO_DIRECTO|CH4</t>
        </is>
      </c>
      <c r="D3518" s="12">
        <v>2020.0</v>
      </c>
      <c r="E3518" s="12">
        <v>2020.0</v>
      </c>
      <c r="F3518" s="4" t="inlineStr">
        <is>
          <t>CAL</t>
        </is>
      </c>
      <c r="G3518" s="4" t="inlineStr">
        <is>
          <t>METODO_EMISIONES</t>
        </is>
      </c>
      <c r="H3518" s="4" t="inlineStr">
        <is>
          <t>Regla metodológica de emisión directa cero</t>
        </is>
      </c>
      <c r="J3518" s="4" t="inlineStr">
        <is>
          <t>PARAM|CERO|1.A.3|CH4</t>
        </is>
      </c>
      <c r="Q3518" s="4" t="inlineStr">
        <is>
          <t>CERO_DIRECTO</t>
        </is>
      </c>
      <c r="W3518" s="4" t="inlineStr">
        <is>
          <t>1.A.3</t>
        </is>
      </c>
      <c r="Y3518" s="4" t="inlineStr">
        <is>
          <t>CERO_DIRECTO</t>
        </is>
      </c>
      <c r="Z3518" s="4" t="inlineStr">
        <is>
          <t>CH4</t>
        </is>
      </c>
      <c r="AA3518" s="13">
        <v>0.0</v>
      </c>
      <c r="AB3518" s="4" t="inlineStr">
        <is>
          <t>kg CH4/TJ</t>
        </is>
      </c>
      <c r="AL3518" s="4" t="inlineStr">
        <is>
          <t>No aplica — regla interna CERO_DIRECTO; NT-02, sección 9; hoja PARAMETROS</t>
        </is>
      </c>
      <c r="AM3518" s="4" t="inlineStr">
        <is>
          <t>Cero metodológico definido por la correspondencia contable; no procede de una celda numérica independiente de la CRT.</t>
        </is>
      </c>
    </row>
    <row r="3519">
      <c r="A3519" s="4" t="inlineStr">
        <is>
          <t>FACTOR_EMISION_OBS</t>
        </is>
      </c>
      <c r="B3519" s="4" t="inlineStr">
        <is>
          <t>FE_COMB|2020|1.A.3|CERO_DIRECTO|N2O</t>
        </is>
      </c>
      <c r="C3519" s="4" t="inlineStr">
        <is>
          <t>2020|1.A.3|CERO_DIRECTO|N2O</t>
        </is>
      </c>
      <c r="D3519" s="12">
        <v>2020.0</v>
      </c>
      <c r="E3519" s="12">
        <v>2020.0</v>
      </c>
      <c r="F3519" s="4" t="inlineStr">
        <is>
          <t>CAL</t>
        </is>
      </c>
      <c r="G3519" s="4" t="inlineStr">
        <is>
          <t>METODO_EMISIONES</t>
        </is>
      </c>
      <c r="H3519" s="4" t="inlineStr">
        <is>
          <t>Regla metodológica de emisión directa cero</t>
        </is>
      </c>
      <c r="J3519" s="4" t="inlineStr">
        <is>
          <t>PARAM|CERO|1.A.3|N2O</t>
        </is>
      </c>
      <c r="Q3519" s="4" t="inlineStr">
        <is>
          <t>CERO_DIRECTO</t>
        </is>
      </c>
      <c r="W3519" s="4" t="inlineStr">
        <is>
          <t>1.A.3</t>
        </is>
      </c>
      <c r="Y3519" s="4" t="inlineStr">
        <is>
          <t>CERO_DIRECTO</t>
        </is>
      </c>
      <c r="Z3519" s="4" t="inlineStr">
        <is>
          <t>N2O</t>
        </is>
      </c>
      <c r="AA3519" s="13">
        <v>0.0</v>
      </c>
      <c r="AB3519" s="4" t="inlineStr">
        <is>
          <t>kg N2O/TJ</t>
        </is>
      </c>
      <c r="AL3519" s="4" t="inlineStr">
        <is>
          <t>No aplica — regla interna CERO_DIRECTO; NT-02, sección 9; hoja PARAMETROS</t>
        </is>
      </c>
      <c r="AM3519" s="4" t="inlineStr">
        <is>
          <t>Cero metodológico definido por la correspondencia contable; no procede de una celda numérica independiente de la CRT.</t>
        </is>
      </c>
    </row>
    <row r="3520">
      <c r="A3520" s="4" t="inlineStr">
        <is>
          <t>FACTOR_EMISION_OBS</t>
        </is>
      </c>
      <c r="B3520" s="4" t="inlineStr">
        <is>
          <t>FE_COMB|2020|1.A.4.a|CERO_DIRECTO|CO2</t>
        </is>
      </c>
      <c r="C3520" s="4" t="inlineStr">
        <is>
          <t>2020|1.A.4.a|CERO_DIRECTO|CO2</t>
        </is>
      </c>
      <c r="D3520" s="12">
        <v>2020.0</v>
      </c>
      <c r="E3520" s="12">
        <v>2020.0</v>
      </c>
      <c r="F3520" s="4" t="inlineStr">
        <is>
          <t>CAL</t>
        </is>
      </c>
      <c r="G3520" s="4" t="inlineStr">
        <is>
          <t>METODO_EMISIONES</t>
        </is>
      </c>
      <c r="H3520" s="4" t="inlineStr">
        <is>
          <t>Regla metodológica de emisión directa cero</t>
        </is>
      </c>
      <c r="J3520" s="4" t="inlineStr">
        <is>
          <t>PARAM|CERO|1.A.4.a|CO2</t>
        </is>
      </c>
      <c r="Q3520" s="4" t="inlineStr">
        <is>
          <t>CERO_DIRECTO</t>
        </is>
      </c>
      <c r="W3520" s="4" t="inlineStr">
        <is>
          <t>1.A.4.a</t>
        </is>
      </c>
      <c r="Y3520" s="4" t="inlineStr">
        <is>
          <t>CERO_DIRECTO</t>
        </is>
      </c>
      <c r="Z3520" s="4" t="inlineStr">
        <is>
          <t>CO2</t>
        </is>
      </c>
      <c r="AA3520" s="13">
        <v>0.0</v>
      </c>
      <c r="AB3520" s="4" t="inlineStr">
        <is>
          <t>kg CO2/TJ</t>
        </is>
      </c>
      <c r="AL3520" s="4" t="inlineStr">
        <is>
          <t>No aplica — regla interna CERO_DIRECTO; NT-02, sección 9; hoja PARAMETROS</t>
        </is>
      </c>
      <c r="AM3520" s="4" t="inlineStr">
        <is>
          <t>Cero metodológico definido por la correspondencia contable; no procede de una celda numérica independiente de la CRT.</t>
        </is>
      </c>
    </row>
    <row r="3521">
      <c r="A3521" s="4" t="inlineStr">
        <is>
          <t>FACTOR_EMISION_OBS</t>
        </is>
      </c>
      <c r="B3521" s="4" t="inlineStr">
        <is>
          <t>FE_COMB|2020|1.A.4.a|CERO_DIRECTO|CH4</t>
        </is>
      </c>
      <c r="C3521" s="4" t="inlineStr">
        <is>
          <t>2020|1.A.4.a|CERO_DIRECTO|CH4</t>
        </is>
      </c>
      <c r="D3521" s="12">
        <v>2020.0</v>
      </c>
      <c r="E3521" s="12">
        <v>2020.0</v>
      </c>
      <c r="F3521" s="4" t="inlineStr">
        <is>
          <t>CAL</t>
        </is>
      </c>
      <c r="G3521" s="4" t="inlineStr">
        <is>
          <t>METODO_EMISIONES</t>
        </is>
      </c>
      <c r="H3521" s="4" t="inlineStr">
        <is>
          <t>Regla metodológica de emisión directa cero</t>
        </is>
      </c>
      <c r="J3521" s="4" t="inlineStr">
        <is>
          <t>PARAM|CERO|1.A.4.a|CH4</t>
        </is>
      </c>
      <c r="Q3521" s="4" t="inlineStr">
        <is>
          <t>CERO_DIRECTO</t>
        </is>
      </c>
      <c r="W3521" s="4" t="inlineStr">
        <is>
          <t>1.A.4.a</t>
        </is>
      </c>
      <c r="Y3521" s="4" t="inlineStr">
        <is>
          <t>CERO_DIRECTO</t>
        </is>
      </c>
      <c r="Z3521" s="4" t="inlineStr">
        <is>
          <t>CH4</t>
        </is>
      </c>
      <c r="AA3521" s="13">
        <v>0.0</v>
      </c>
      <c r="AB3521" s="4" t="inlineStr">
        <is>
          <t>kg CH4/TJ</t>
        </is>
      </c>
      <c r="AL3521" s="4" t="inlineStr">
        <is>
          <t>No aplica — regla interna CERO_DIRECTO; NT-02, sección 9; hoja PARAMETROS</t>
        </is>
      </c>
      <c r="AM3521" s="4" t="inlineStr">
        <is>
          <t>Cero metodológico definido por la correspondencia contable; no procede de una celda numérica independiente de la CRT.</t>
        </is>
      </c>
    </row>
    <row r="3522">
      <c r="A3522" s="4" t="inlineStr">
        <is>
          <t>FACTOR_EMISION_OBS</t>
        </is>
      </c>
      <c r="B3522" s="4" t="inlineStr">
        <is>
          <t>FE_COMB|2020|1.A.4.a|CERO_DIRECTO|N2O</t>
        </is>
      </c>
      <c r="C3522" s="4" t="inlineStr">
        <is>
          <t>2020|1.A.4.a|CERO_DIRECTO|N2O</t>
        </is>
      </c>
      <c r="D3522" s="12">
        <v>2020.0</v>
      </c>
      <c r="E3522" s="12">
        <v>2020.0</v>
      </c>
      <c r="F3522" s="4" t="inlineStr">
        <is>
          <t>CAL</t>
        </is>
      </c>
      <c r="G3522" s="4" t="inlineStr">
        <is>
          <t>METODO_EMISIONES</t>
        </is>
      </c>
      <c r="H3522" s="4" t="inlineStr">
        <is>
          <t>Regla metodológica de emisión directa cero</t>
        </is>
      </c>
      <c r="J3522" s="4" t="inlineStr">
        <is>
          <t>PARAM|CERO|1.A.4.a|N2O</t>
        </is>
      </c>
      <c r="Q3522" s="4" t="inlineStr">
        <is>
          <t>CERO_DIRECTO</t>
        </is>
      </c>
      <c r="W3522" s="4" t="inlineStr">
        <is>
          <t>1.A.4.a</t>
        </is>
      </c>
      <c r="Y3522" s="4" t="inlineStr">
        <is>
          <t>CERO_DIRECTO</t>
        </is>
      </c>
      <c r="Z3522" s="4" t="inlineStr">
        <is>
          <t>N2O</t>
        </is>
      </c>
      <c r="AA3522" s="13">
        <v>0.0</v>
      </c>
      <c r="AB3522" s="4" t="inlineStr">
        <is>
          <t>kg N2O/TJ</t>
        </is>
      </c>
      <c r="AL3522" s="4" t="inlineStr">
        <is>
          <t>No aplica — regla interna CERO_DIRECTO; NT-02, sección 9; hoja PARAMETROS</t>
        </is>
      </c>
      <c r="AM3522" s="4" t="inlineStr">
        <is>
          <t>Cero metodológico definido por la correspondencia contable; no procede de una celda numérica independiente de la CRT.</t>
        </is>
      </c>
    </row>
    <row r="3523">
      <c r="A3523" s="4" t="inlineStr">
        <is>
          <t>FACTOR_EMISION_OBS</t>
        </is>
      </c>
      <c r="B3523" s="4" t="inlineStr">
        <is>
          <t>FE_COMB|2020|1.A.4.b|CERO_DIRECTO|CO2</t>
        </is>
      </c>
      <c r="C3523" s="4" t="inlineStr">
        <is>
          <t>2020|1.A.4.b|CERO_DIRECTO|CO2</t>
        </is>
      </c>
      <c r="D3523" s="12">
        <v>2020.0</v>
      </c>
      <c r="E3523" s="12">
        <v>2020.0</v>
      </c>
      <c r="F3523" s="4" t="inlineStr">
        <is>
          <t>CAL</t>
        </is>
      </c>
      <c r="G3523" s="4" t="inlineStr">
        <is>
          <t>METODO_EMISIONES</t>
        </is>
      </c>
      <c r="H3523" s="4" t="inlineStr">
        <is>
          <t>Regla metodológica de emisión directa cero</t>
        </is>
      </c>
      <c r="J3523" s="4" t="inlineStr">
        <is>
          <t>PARAM|CERO|1.A.4.b|CO2</t>
        </is>
      </c>
      <c r="Q3523" s="4" t="inlineStr">
        <is>
          <t>CERO_DIRECTO</t>
        </is>
      </c>
      <c r="W3523" s="4" t="inlineStr">
        <is>
          <t>1.A.4.b</t>
        </is>
      </c>
      <c r="Y3523" s="4" t="inlineStr">
        <is>
          <t>CERO_DIRECTO</t>
        </is>
      </c>
      <c r="Z3523" s="4" t="inlineStr">
        <is>
          <t>CO2</t>
        </is>
      </c>
      <c r="AA3523" s="13">
        <v>0.0</v>
      </c>
      <c r="AB3523" s="4" t="inlineStr">
        <is>
          <t>kg CO2/TJ</t>
        </is>
      </c>
      <c r="AL3523" s="4" t="inlineStr">
        <is>
          <t>No aplica — regla interna CERO_DIRECTO; NT-02, sección 9; hoja PARAMETROS</t>
        </is>
      </c>
      <c r="AM3523" s="4" t="inlineStr">
        <is>
          <t>Cero metodológico definido por la correspondencia contable; no procede de una celda numérica independiente de la CRT.</t>
        </is>
      </c>
    </row>
    <row r="3524">
      <c r="A3524" s="4" t="inlineStr">
        <is>
          <t>FACTOR_EMISION_OBS</t>
        </is>
      </c>
      <c r="B3524" s="4" t="inlineStr">
        <is>
          <t>FE_COMB|2020|1.A.4.b|CERO_DIRECTO|CH4</t>
        </is>
      </c>
      <c r="C3524" s="4" t="inlineStr">
        <is>
          <t>2020|1.A.4.b|CERO_DIRECTO|CH4</t>
        </is>
      </c>
      <c r="D3524" s="12">
        <v>2020.0</v>
      </c>
      <c r="E3524" s="12">
        <v>2020.0</v>
      </c>
      <c r="F3524" s="4" t="inlineStr">
        <is>
          <t>CAL</t>
        </is>
      </c>
      <c r="G3524" s="4" t="inlineStr">
        <is>
          <t>METODO_EMISIONES</t>
        </is>
      </c>
      <c r="H3524" s="4" t="inlineStr">
        <is>
          <t>Regla metodológica de emisión directa cero</t>
        </is>
      </c>
      <c r="J3524" s="4" t="inlineStr">
        <is>
          <t>PARAM|CERO|1.A.4.b|CH4</t>
        </is>
      </c>
      <c r="Q3524" s="4" t="inlineStr">
        <is>
          <t>CERO_DIRECTO</t>
        </is>
      </c>
      <c r="W3524" s="4" t="inlineStr">
        <is>
          <t>1.A.4.b</t>
        </is>
      </c>
      <c r="Y3524" s="4" t="inlineStr">
        <is>
          <t>CERO_DIRECTO</t>
        </is>
      </c>
      <c r="Z3524" s="4" t="inlineStr">
        <is>
          <t>CH4</t>
        </is>
      </c>
      <c r="AA3524" s="13">
        <v>0.0</v>
      </c>
      <c r="AB3524" s="4" t="inlineStr">
        <is>
          <t>kg CH4/TJ</t>
        </is>
      </c>
      <c r="AL3524" s="4" t="inlineStr">
        <is>
          <t>No aplica — regla interna CERO_DIRECTO; NT-02, sección 9; hoja PARAMETROS</t>
        </is>
      </c>
      <c r="AM3524" s="4" t="inlineStr">
        <is>
          <t>Cero metodológico definido por la correspondencia contable; no procede de una celda numérica independiente de la CRT.</t>
        </is>
      </c>
    </row>
    <row r="3525">
      <c r="A3525" s="4" t="inlineStr">
        <is>
          <t>FACTOR_EMISION_OBS</t>
        </is>
      </c>
      <c r="B3525" s="4" t="inlineStr">
        <is>
          <t>FE_COMB|2020|1.A.4.b|CERO_DIRECTO|N2O</t>
        </is>
      </c>
      <c r="C3525" s="4" t="inlineStr">
        <is>
          <t>2020|1.A.4.b|CERO_DIRECTO|N2O</t>
        </is>
      </c>
      <c r="D3525" s="12">
        <v>2020.0</v>
      </c>
      <c r="E3525" s="12">
        <v>2020.0</v>
      </c>
      <c r="F3525" s="4" t="inlineStr">
        <is>
          <t>CAL</t>
        </is>
      </c>
      <c r="G3525" s="4" t="inlineStr">
        <is>
          <t>METODO_EMISIONES</t>
        </is>
      </c>
      <c r="H3525" s="4" t="inlineStr">
        <is>
          <t>Regla metodológica de emisión directa cero</t>
        </is>
      </c>
      <c r="J3525" s="4" t="inlineStr">
        <is>
          <t>PARAM|CERO|1.A.4.b|N2O</t>
        </is>
      </c>
      <c r="Q3525" s="4" t="inlineStr">
        <is>
          <t>CERO_DIRECTO</t>
        </is>
      </c>
      <c r="W3525" s="4" t="inlineStr">
        <is>
          <t>1.A.4.b</t>
        </is>
      </c>
      <c r="Y3525" s="4" t="inlineStr">
        <is>
          <t>CERO_DIRECTO</t>
        </is>
      </c>
      <c r="Z3525" s="4" t="inlineStr">
        <is>
          <t>N2O</t>
        </is>
      </c>
      <c r="AA3525" s="13">
        <v>0.0</v>
      </c>
      <c r="AB3525" s="4" t="inlineStr">
        <is>
          <t>kg N2O/TJ</t>
        </is>
      </c>
      <c r="AL3525" s="4" t="inlineStr">
        <is>
          <t>No aplica — regla interna CERO_DIRECTO; NT-02, sección 9; hoja PARAMETROS</t>
        </is>
      </c>
      <c r="AM3525" s="4" t="inlineStr">
        <is>
          <t>Cero metodológico definido por la correspondencia contable; no procede de una celda numérica independiente de la CRT.</t>
        </is>
      </c>
    </row>
    <row r="3526">
      <c r="A3526" s="4" t="inlineStr">
        <is>
          <t>FACTOR_EMISION_OBS</t>
        </is>
      </c>
      <c r="B3526" s="4" t="inlineStr">
        <is>
          <t>FE_NO|2020|1.A.1.c|NO|CO2</t>
        </is>
      </c>
      <c r="C3526" s="4" t="inlineStr">
        <is>
          <t>2020|1.A.1.c|NO|CO2</t>
        </is>
      </c>
      <c r="D3526" s="12">
        <v>2020.0</v>
      </c>
      <c r="E3526" s="12">
        <v>2020.0</v>
      </c>
      <c r="F3526" s="4" t="inlineStr">
        <is>
          <t>NO</t>
        </is>
      </c>
      <c r="G3526" s="4" t="inlineStr">
        <is>
          <t>UNFCCC_GTM_CRT_2024</t>
        </is>
      </c>
      <c r="H3526" s="4" t="inlineStr">
        <is>
          <t>Guatemala. 2024 Common Reporting Table (CRT)</t>
        </is>
      </c>
      <c r="I3526" s="4" t="inlineStr">
        <is>
          <t>https://unfccc.int/reports?f%5B0%5D=corporate_author%3A206</t>
        </is>
      </c>
      <c r="J3526" s="4" t="inlineStr">
        <is>
          <t>FE_NO|2020|1.A.1.c|NO|CO2</t>
        </is>
      </c>
      <c r="Q3526" s="4" t="inlineStr">
        <is>
          <t>SIN_FACTOR_NUMERICO</t>
        </is>
      </c>
      <c r="W3526" s="4" t="inlineStr">
        <is>
          <t>1.A.1.c</t>
        </is>
      </c>
      <c r="Y3526" s="4" t="inlineStr">
        <is>
          <t>NO</t>
        </is>
      </c>
      <c r="Z3526" s="4" t="inlineStr">
        <is>
          <t>CO2</t>
        </is>
      </c>
      <c r="AB3526" s="4" t="inlineStr">
        <is>
          <t>kg CO2/TJ</t>
        </is>
      </c>
      <c r="AL3526" s="4" t="inlineStr">
        <is>
          <t>Table1.A; localizador a nivel de tabla; sin registro numérico</t>
        </is>
      </c>
      <c r="AM3526" s="4" t="inlineStr">
        <is>
          <t>Se conserva el estado NO porque la fuente no aporta un factor numérico para la clave interna FE_NO|2020|1.A.1.c|NO|CO2.</t>
        </is>
      </c>
    </row>
    <row r="3527">
      <c r="A3527" s="4" t="inlineStr">
        <is>
          <t>FACTOR_EMISION_OBS</t>
        </is>
      </c>
      <c r="B3527" s="4" t="inlineStr">
        <is>
          <t>FE_NO|2020|1.A.1.c|NO|CH4</t>
        </is>
      </c>
      <c r="C3527" s="4" t="inlineStr">
        <is>
          <t>2020|1.A.1.c|NO|CH4</t>
        </is>
      </c>
      <c r="D3527" s="12">
        <v>2020.0</v>
      </c>
      <c r="E3527" s="12">
        <v>2020.0</v>
      </c>
      <c r="F3527" s="4" t="inlineStr">
        <is>
          <t>NO</t>
        </is>
      </c>
      <c r="G3527" s="4" t="inlineStr">
        <is>
          <t>UNFCCC_GTM_CRT_2024</t>
        </is>
      </c>
      <c r="H3527" s="4" t="inlineStr">
        <is>
          <t>Guatemala. 2024 Common Reporting Table (CRT)</t>
        </is>
      </c>
      <c r="I3527" s="4" t="inlineStr">
        <is>
          <t>https://unfccc.int/reports?f%5B0%5D=corporate_author%3A206</t>
        </is>
      </c>
      <c r="J3527" s="4" t="inlineStr">
        <is>
          <t>FE_NO|2020|1.A.1.c|NO|CH4</t>
        </is>
      </c>
      <c r="Q3527" s="4" t="inlineStr">
        <is>
          <t>SIN_FACTOR_NUMERICO</t>
        </is>
      </c>
      <c r="W3527" s="4" t="inlineStr">
        <is>
          <t>1.A.1.c</t>
        </is>
      </c>
      <c r="Y3527" s="4" t="inlineStr">
        <is>
          <t>NO</t>
        </is>
      </c>
      <c r="Z3527" s="4" t="inlineStr">
        <is>
          <t>CH4</t>
        </is>
      </c>
      <c r="AB3527" s="4" t="inlineStr">
        <is>
          <t>kg CH4/TJ</t>
        </is>
      </c>
      <c r="AL3527" s="4" t="inlineStr">
        <is>
          <t>Table1.A; localizador a nivel de tabla; sin registro numérico</t>
        </is>
      </c>
      <c r="AM3527" s="4" t="inlineStr">
        <is>
          <t>Se conserva el estado NO porque la fuente no aporta un factor numérico para la clave interna FE_NO|2020|1.A.1.c|NO|CH4.</t>
        </is>
      </c>
    </row>
    <row r="3528">
      <c r="A3528" s="4" t="inlineStr">
        <is>
          <t>FACTOR_EMISION_OBS</t>
        </is>
      </c>
      <c r="B3528" s="4" t="inlineStr">
        <is>
          <t>FE_NO|2020|1.A.1.c|NO|N2O</t>
        </is>
      </c>
      <c r="C3528" s="4" t="inlineStr">
        <is>
          <t>2020|1.A.1.c|NO|N2O</t>
        </is>
      </c>
      <c r="D3528" s="12">
        <v>2020.0</v>
      </c>
      <c r="E3528" s="12">
        <v>2020.0</v>
      </c>
      <c r="F3528" s="4" t="inlineStr">
        <is>
          <t>NO</t>
        </is>
      </c>
      <c r="G3528" s="4" t="inlineStr">
        <is>
          <t>UNFCCC_GTM_CRT_2024</t>
        </is>
      </c>
      <c r="H3528" s="4" t="inlineStr">
        <is>
          <t>Guatemala. 2024 Common Reporting Table (CRT)</t>
        </is>
      </c>
      <c r="I3528" s="4" t="inlineStr">
        <is>
          <t>https://unfccc.int/reports?f%5B0%5D=corporate_author%3A206</t>
        </is>
      </c>
      <c r="J3528" s="4" t="inlineStr">
        <is>
          <t>FE_NO|2020|1.A.1.c|NO|N2O</t>
        </is>
      </c>
      <c r="Q3528" s="4" t="inlineStr">
        <is>
          <t>SIN_FACTOR_NUMERICO</t>
        </is>
      </c>
      <c r="W3528" s="4" t="inlineStr">
        <is>
          <t>1.A.1.c</t>
        </is>
      </c>
      <c r="Y3528" s="4" t="inlineStr">
        <is>
          <t>NO</t>
        </is>
      </c>
      <c r="Z3528" s="4" t="inlineStr">
        <is>
          <t>N2O</t>
        </is>
      </c>
      <c r="AB3528" s="4" t="inlineStr">
        <is>
          <t>kg N2O/TJ</t>
        </is>
      </c>
      <c r="AL3528" s="4" t="inlineStr">
        <is>
          <t>Table1.A; localizador a nivel de tabla; sin registro numérico</t>
        </is>
      </c>
      <c r="AM3528" s="4" t="inlineStr">
        <is>
          <t>Se conserva el estado NO porque la fuente no aporta un factor numérico para la clave interna FE_NO|2020|1.A.1.c|NO|N2O.</t>
        </is>
      </c>
    </row>
    <row r="3529">
      <c r="A3529" s="4" t="inlineStr">
        <is>
          <t>FACTOR_EMISION_OBS</t>
        </is>
      </c>
      <c r="B3529" s="4" t="inlineStr">
        <is>
          <t>FE_NO|2020|1.A.4.c|NO|CO2</t>
        </is>
      </c>
      <c r="C3529" s="4" t="inlineStr">
        <is>
          <t>2020|1.A.4.c|NO|CO2</t>
        </is>
      </c>
      <c r="D3529" s="12">
        <v>2020.0</v>
      </c>
      <c r="E3529" s="12">
        <v>2020.0</v>
      </c>
      <c r="F3529" s="4" t="inlineStr">
        <is>
          <t>NO</t>
        </is>
      </c>
      <c r="G3529" s="4" t="inlineStr">
        <is>
          <t>UNFCCC_GTM_CRT_2024</t>
        </is>
      </c>
      <c r="H3529" s="4" t="inlineStr">
        <is>
          <t>Guatemala. 2024 Common Reporting Table (CRT)</t>
        </is>
      </c>
      <c r="I3529" s="4" t="inlineStr">
        <is>
          <t>https://unfccc.int/reports?f%5B0%5D=corporate_author%3A206</t>
        </is>
      </c>
      <c r="J3529" s="4" t="inlineStr">
        <is>
          <t>FE_NO|2020|1.A.4.c|NO|CO2</t>
        </is>
      </c>
      <c r="Q3529" s="4" t="inlineStr">
        <is>
          <t>SIN_FACTOR_NUMERICO</t>
        </is>
      </c>
      <c r="W3529" s="4" t="inlineStr">
        <is>
          <t>1.A.4.c</t>
        </is>
      </c>
      <c r="Y3529" s="4" t="inlineStr">
        <is>
          <t>NO</t>
        </is>
      </c>
      <c r="Z3529" s="4" t="inlineStr">
        <is>
          <t>CO2</t>
        </is>
      </c>
      <c r="AB3529" s="4" t="inlineStr">
        <is>
          <t>kg CO2/TJ</t>
        </is>
      </c>
      <c r="AL3529" s="4" t="inlineStr">
        <is>
          <t>Table1.A; localizador a nivel de tabla; sin registro numérico</t>
        </is>
      </c>
      <c r="AM3529" s="4" t="inlineStr">
        <is>
          <t>Se conserva el estado NO porque la fuente no aporta un factor numérico para la clave interna FE_NO|2020|1.A.4.c|NO|CO2.</t>
        </is>
      </c>
    </row>
    <row r="3530">
      <c r="A3530" s="4" t="inlineStr">
        <is>
          <t>FACTOR_EMISION_OBS</t>
        </is>
      </c>
      <c r="B3530" s="4" t="inlineStr">
        <is>
          <t>FE_NO|2020|1.A.4.c|NO|CH4</t>
        </is>
      </c>
      <c r="C3530" s="4" t="inlineStr">
        <is>
          <t>2020|1.A.4.c|NO|CH4</t>
        </is>
      </c>
      <c r="D3530" s="12">
        <v>2020.0</v>
      </c>
      <c r="E3530" s="12">
        <v>2020.0</v>
      </c>
      <c r="F3530" s="4" t="inlineStr">
        <is>
          <t>NO</t>
        </is>
      </c>
      <c r="G3530" s="4" t="inlineStr">
        <is>
          <t>UNFCCC_GTM_CRT_2024</t>
        </is>
      </c>
      <c r="H3530" s="4" t="inlineStr">
        <is>
          <t>Guatemala. 2024 Common Reporting Table (CRT)</t>
        </is>
      </c>
      <c r="I3530" s="4" t="inlineStr">
        <is>
          <t>https://unfccc.int/reports?f%5B0%5D=corporate_author%3A206</t>
        </is>
      </c>
      <c r="J3530" s="4" t="inlineStr">
        <is>
          <t>FE_NO|2020|1.A.4.c|NO|CH4</t>
        </is>
      </c>
      <c r="Q3530" s="4" t="inlineStr">
        <is>
          <t>SIN_FACTOR_NUMERICO</t>
        </is>
      </c>
      <c r="W3530" s="4" t="inlineStr">
        <is>
          <t>1.A.4.c</t>
        </is>
      </c>
      <c r="Y3530" s="4" t="inlineStr">
        <is>
          <t>NO</t>
        </is>
      </c>
      <c r="Z3530" s="4" t="inlineStr">
        <is>
          <t>CH4</t>
        </is>
      </c>
      <c r="AB3530" s="4" t="inlineStr">
        <is>
          <t>kg CH4/TJ</t>
        </is>
      </c>
      <c r="AL3530" s="4" t="inlineStr">
        <is>
          <t>Table1.A; localizador a nivel de tabla; sin registro numérico</t>
        </is>
      </c>
      <c r="AM3530" s="4" t="inlineStr">
        <is>
          <t>Se conserva el estado NO porque la fuente no aporta un factor numérico para la clave interna FE_NO|2020|1.A.4.c|NO|CH4.</t>
        </is>
      </c>
    </row>
    <row r="3531">
      <c r="A3531" s="4" t="inlineStr">
        <is>
          <t>FACTOR_EMISION_OBS</t>
        </is>
      </c>
      <c r="B3531" s="4" t="inlineStr">
        <is>
          <t>FE_NO|2020|1.A.4.c|NO|N2O</t>
        </is>
      </c>
      <c r="C3531" s="4" t="inlineStr">
        <is>
          <t>2020|1.A.4.c|NO|N2O</t>
        </is>
      </c>
      <c r="D3531" s="12">
        <v>2020.0</v>
      </c>
      <c r="E3531" s="12">
        <v>2020.0</v>
      </c>
      <c r="F3531" s="4" t="inlineStr">
        <is>
          <t>NO</t>
        </is>
      </c>
      <c r="G3531" s="4" t="inlineStr">
        <is>
          <t>UNFCCC_GTM_CRT_2024</t>
        </is>
      </c>
      <c r="H3531" s="4" t="inlineStr">
        <is>
          <t>Guatemala. 2024 Common Reporting Table (CRT)</t>
        </is>
      </c>
      <c r="I3531" s="4" t="inlineStr">
        <is>
          <t>https://unfccc.int/reports?f%5B0%5D=corporate_author%3A206</t>
        </is>
      </c>
      <c r="J3531" s="4" t="inlineStr">
        <is>
          <t>FE_NO|2020|1.A.4.c|NO|N2O</t>
        </is>
      </c>
      <c r="Q3531" s="4" t="inlineStr">
        <is>
          <t>SIN_FACTOR_NUMERICO</t>
        </is>
      </c>
      <c r="W3531" s="4" t="inlineStr">
        <is>
          <t>1.A.4.c</t>
        </is>
      </c>
      <c r="Y3531" s="4" t="inlineStr">
        <is>
          <t>NO</t>
        </is>
      </c>
      <c r="Z3531" s="4" t="inlineStr">
        <is>
          <t>N2O</t>
        </is>
      </c>
      <c r="AB3531" s="4" t="inlineStr">
        <is>
          <t>kg N2O/TJ</t>
        </is>
      </c>
      <c r="AL3531" s="4" t="inlineStr">
        <is>
          <t>Table1.A; localizador a nivel de tabla; sin registro numérico</t>
        </is>
      </c>
      <c r="AM3531" s="4" t="inlineStr">
        <is>
          <t>Se conserva el estado NO porque la fuente no aporta un factor numérico para la clave interna FE_NO|2020|1.A.4.c|NO|N2O.</t>
        </is>
      </c>
    </row>
    <row r="3532">
      <c r="A3532" s="4" t="inlineStr">
        <is>
          <t>FACTOR_EMISION_OBS</t>
        </is>
      </c>
      <c r="B3532" s="4" t="inlineStr">
        <is>
          <t>FE_NO|2020|1.B.1.a|NO|CO2</t>
        </is>
      </c>
      <c r="C3532" s="4" t="inlineStr">
        <is>
          <t>2020|1.B.1.a|NO|CO2</t>
        </is>
      </c>
      <c r="D3532" s="12">
        <v>2020.0</v>
      </c>
      <c r="E3532" s="12">
        <v>2020.0</v>
      </c>
      <c r="F3532" s="4" t="inlineStr">
        <is>
          <t>NO</t>
        </is>
      </c>
      <c r="G3532" s="4" t="inlineStr">
        <is>
          <t>UNFCCC_GTM_CRT_2024</t>
        </is>
      </c>
      <c r="H3532" s="4" t="inlineStr">
        <is>
          <t>Guatemala. 2024 Common Reporting Table (CRT)</t>
        </is>
      </c>
      <c r="I3532" s="4" t="inlineStr">
        <is>
          <t>https://unfccc.int/reports?f%5B0%5D=corporate_author%3A206</t>
        </is>
      </c>
      <c r="J3532" s="4" t="inlineStr">
        <is>
          <t>FE_NO|2020|1.B.1.a|NO|CO2</t>
        </is>
      </c>
      <c r="Q3532" s="4" t="inlineStr">
        <is>
          <t>SIN_FACTOR_NUMERICO</t>
        </is>
      </c>
      <c r="W3532" s="4" t="inlineStr">
        <is>
          <t>1.B.1.a</t>
        </is>
      </c>
      <c r="Y3532" s="4" t="inlineStr">
        <is>
          <t>NO</t>
        </is>
      </c>
      <c r="Z3532" s="4" t="inlineStr">
        <is>
          <t>CO2</t>
        </is>
      </c>
      <c r="AB3532" s="4" t="inlineStr">
        <is>
          <t>kg CO2/TJ</t>
        </is>
      </c>
      <c r="AL3532" s="4" t="inlineStr">
        <is>
          <t>Table1.B.2; localizador a nivel de tabla; sin registro numérico</t>
        </is>
      </c>
      <c r="AM3532" s="4" t="inlineStr">
        <is>
          <t>Se conserva el estado NO porque la fuente no aporta un factor numérico para la clave interna FE_NO|2020|1.B.1.a|NO|CO2.</t>
        </is>
      </c>
    </row>
    <row r="3533">
      <c r="A3533" s="4" t="inlineStr">
        <is>
          <t>FACTOR_EMISION_OBS</t>
        </is>
      </c>
      <c r="B3533" s="4" t="inlineStr">
        <is>
          <t>FE_NO|2020|1.B.1.a|NO|CH4</t>
        </is>
      </c>
      <c r="C3533" s="4" t="inlineStr">
        <is>
          <t>2020|1.B.1.a|NO|CH4</t>
        </is>
      </c>
      <c r="D3533" s="12">
        <v>2020.0</v>
      </c>
      <c r="E3533" s="12">
        <v>2020.0</v>
      </c>
      <c r="F3533" s="4" t="inlineStr">
        <is>
          <t>NO</t>
        </is>
      </c>
      <c r="G3533" s="4" t="inlineStr">
        <is>
          <t>UNFCCC_GTM_CRT_2024</t>
        </is>
      </c>
      <c r="H3533" s="4" t="inlineStr">
        <is>
          <t>Guatemala. 2024 Common Reporting Table (CRT)</t>
        </is>
      </c>
      <c r="I3533" s="4" t="inlineStr">
        <is>
          <t>https://unfccc.int/reports?f%5B0%5D=corporate_author%3A206</t>
        </is>
      </c>
      <c r="J3533" s="4" t="inlineStr">
        <is>
          <t>FE_NO|2020|1.B.1.a|NO|CH4</t>
        </is>
      </c>
      <c r="Q3533" s="4" t="inlineStr">
        <is>
          <t>SIN_FACTOR_NUMERICO</t>
        </is>
      </c>
      <c r="W3533" s="4" t="inlineStr">
        <is>
          <t>1.B.1.a</t>
        </is>
      </c>
      <c r="Y3533" s="4" t="inlineStr">
        <is>
          <t>NO</t>
        </is>
      </c>
      <c r="Z3533" s="4" t="inlineStr">
        <is>
          <t>CH4</t>
        </is>
      </c>
      <c r="AB3533" s="4" t="inlineStr">
        <is>
          <t>kg CH4/TJ</t>
        </is>
      </c>
      <c r="AL3533" s="4" t="inlineStr">
        <is>
          <t>Table1.B.2; localizador a nivel de tabla; sin registro numérico</t>
        </is>
      </c>
      <c r="AM3533" s="4" t="inlineStr">
        <is>
          <t>Se conserva el estado NO porque la fuente no aporta un factor numérico para la clave interna FE_NO|2020|1.B.1.a|NO|CH4.</t>
        </is>
      </c>
    </row>
    <row r="3534">
      <c r="A3534" s="4" t="inlineStr">
        <is>
          <t>FACTOR_EMISION_OBS</t>
        </is>
      </c>
      <c r="B3534" s="4" t="inlineStr">
        <is>
          <t>FE_NO|2020|1.B.1.a|NO|N2O</t>
        </is>
      </c>
      <c r="C3534" s="4" t="inlineStr">
        <is>
          <t>2020|1.B.1.a|NO|N2O</t>
        </is>
      </c>
      <c r="D3534" s="12">
        <v>2020.0</v>
      </c>
      <c r="E3534" s="12">
        <v>2020.0</v>
      </c>
      <c r="F3534" s="4" t="inlineStr">
        <is>
          <t>NO</t>
        </is>
      </c>
      <c r="G3534" s="4" t="inlineStr">
        <is>
          <t>UNFCCC_GTM_CRT_2024</t>
        </is>
      </c>
      <c r="H3534" s="4" t="inlineStr">
        <is>
          <t>Guatemala. 2024 Common Reporting Table (CRT)</t>
        </is>
      </c>
      <c r="I3534" s="4" t="inlineStr">
        <is>
          <t>https://unfccc.int/reports?f%5B0%5D=corporate_author%3A206</t>
        </is>
      </c>
      <c r="J3534" s="4" t="inlineStr">
        <is>
          <t>FE_NO|2020|1.B.1.a|NO|N2O</t>
        </is>
      </c>
      <c r="Q3534" s="4" t="inlineStr">
        <is>
          <t>SIN_FACTOR_NUMERICO</t>
        </is>
      </c>
      <c r="W3534" s="4" t="inlineStr">
        <is>
          <t>1.B.1.a</t>
        </is>
      </c>
      <c r="Y3534" s="4" t="inlineStr">
        <is>
          <t>NO</t>
        </is>
      </c>
      <c r="Z3534" s="4" t="inlineStr">
        <is>
          <t>N2O</t>
        </is>
      </c>
      <c r="AB3534" s="4" t="inlineStr">
        <is>
          <t>kg N2O/TJ</t>
        </is>
      </c>
      <c r="AL3534" s="4" t="inlineStr">
        <is>
          <t>Table1.B.2; localizador a nivel de tabla; sin registro numérico</t>
        </is>
      </c>
      <c r="AM3534" s="4" t="inlineStr">
        <is>
          <t>Se conserva el estado NO porque la fuente no aporta un factor numérico para la clave interna FE_NO|2020|1.B.1.a|NO|N2O.</t>
        </is>
      </c>
    </row>
    <row r="3535">
      <c r="A3535" s="4" t="inlineStr">
        <is>
          <t>FACTOR_EMISION_OBS</t>
        </is>
      </c>
      <c r="B3535" s="4" t="inlineStr">
        <is>
          <t>FE_NO|2020|1.B.2.b.ii|NO|CO2</t>
        </is>
      </c>
      <c r="C3535" s="4" t="inlineStr">
        <is>
          <t>2020|1.B.2.b.ii|NO|CO2</t>
        </is>
      </c>
      <c r="D3535" s="12">
        <v>2020.0</v>
      </c>
      <c r="E3535" s="12">
        <v>2020.0</v>
      </c>
      <c r="F3535" s="4" t="inlineStr">
        <is>
          <t>NO</t>
        </is>
      </c>
      <c r="G3535" s="4" t="inlineStr">
        <is>
          <t>UNFCCC_GTM_CRT_2024</t>
        </is>
      </c>
      <c r="H3535" s="4" t="inlineStr">
        <is>
          <t>Guatemala. 2024 Common Reporting Table (CRT)</t>
        </is>
      </c>
      <c r="I3535" s="4" t="inlineStr">
        <is>
          <t>https://unfccc.int/reports?f%5B0%5D=corporate_author%3A206</t>
        </is>
      </c>
      <c r="J3535" s="4" t="inlineStr">
        <is>
          <t>FE_NO|2020|1.B.2.b.ii|NO|CO2</t>
        </is>
      </c>
      <c r="Q3535" s="4" t="inlineStr">
        <is>
          <t>SIN_FACTOR_NUMERICO</t>
        </is>
      </c>
      <c r="W3535" s="4" t="inlineStr">
        <is>
          <t>1.B.2.b.ii</t>
        </is>
      </c>
      <c r="Y3535" s="4" t="inlineStr">
        <is>
          <t>NO</t>
        </is>
      </c>
      <c r="Z3535" s="4" t="inlineStr">
        <is>
          <t>CO2</t>
        </is>
      </c>
      <c r="AB3535" s="4" t="inlineStr">
        <is>
          <t>kg CO2/TJ</t>
        </is>
      </c>
      <c r="AL3535" s="4" t="inlineStr">
        <is>
          <t>Table1.B.2; localizador a nivel de tabla; sin registro numérico</t>
        </is>
      </c>
      <c r="AM3535" s="4" t="inlineStr">
        <is>
          <t>Se conserva el estado NO porque la fuente no aporta un factor numérico para la clave interna FE_NO|2020|1.B.2.b.ii|NO|CO2.</t>
        </is>
      </c>
    </row>
    <row r="3536">
      <c r="A3536" s="4" t="inlineStr">
        <is>
          <t>FACTOR_EMISION_OBS</t>
        </is>
      </c>
      <c r="B3536" s="4" t="inlineStr">
        <is>
          <t>FE_NO|2020|1.B.2.b.ii|NO|CH4</t>
        </is>
      </c>
      <c r="C3536" s="4" t="inlineStr">
        <is>
          <t>2020|1.B.2.b.ii|NO|CH4</t>
        </is>
      </c>
      <c r="D3536" s="12">
        <v>2020.0</v>
      </c>
      <c r="E3536" s="12">
        <v>2020.0</v>
      </c>
      <c r="F3536" s="4" t="inlineStr">
        <is>
          <t>NO</t>
        </is>
      </c>
      <c r="G3536" s="4" t="inlineStr">
        <is>
          <t>UNFCCC_GTM_CRT_2024</t>
        </is>
      </c>
      <c r="H3536" s="4" t="inlineStr">
        <is>
          <t>Guatemala. 2024 Common Reporting Table (CRT)</t>
        </is>
      </c>
      <c r="I3536" s="4" t="inlineStr">
        <is>
          <t>https://unfccc.int/reports?f%5B0%5D=corporate_author%3A206</t>
        </is>
      </c>
      <c r="J3536" s="4" t="inlineStr">
        <is>
          <t>FE_NO|2020|1.B.2.b.ii|NO|CH4</t>
        </is>
      </c>
      <c r="Q3536" s="4" t="inlineStr">
        <is>
          <t>SIN_FACTOR_NUMERICO</t>
        </is>
      </c>
      <c r="W3536" s="4" t="inlineStr">
        <is>
          <t>1.B.2.b.ii</t>
        </is>
      </c>
      <c r="Y3536" s="4" t="inlineStr">
        <is>
          <t>NO</t>
        </is>
      </c>
      <c r="Z3536" s="4" t="inlineStr">
        <is>
          <t>CH4</t>
        </is>
      </c>
      <c r="AB3536" s="4" t="inlineStr">
        <is>
          <t>kg CH4/TJ</t>
        </is>
      </c>
      <c r="AL3536" s="4" t="inlineStr">
        <is>
          <t>Table1.B.2; localizador a nivel de tabla; sin registro numérico</t>
        </is>
      </c>
      <c r="AM3536" s="4" t="inlineStr">
        <is>
          <t>Se conserva el estado NO porque la fuente no aporta un factor numérico para la clave interna FE_NO|2020|1.B.2.b.ii|NO|CH4.</t>
        </is>
      </c>
    </row>
    <row r="3537">
      <c r="A3537" s="4" t="inlineStr">
        <is>
          <t>FACTOR_EMISION_OBS</t>
        </is>
      </c>
      <c r="B3537" s="4" t="inlineStr">
        <is>
          <t>FE_NO|2020|1.B.2.b.ii|NO|N2O</t>
        </is>
      </c>
      <c r="C3537" s="4" t="inlineStr">
        <is>
          <t>2020|1.B.2.b.ii|NO|N2O</t>
        </is>
      </c>
      <c r="D3537" s="12">
        <v>2020.0</v>
      </c>
      <c r="E3537" s="12">
        <v>2020.0</v>
      </c>
      <c r="F3537" s="4" t="inlineStr">
        <is>
          <t>NO</t>
        </is>
      </c>
      <c r="G3537" s="4" t="inlineStr">
        <is>
          <t>UNFCCC_GTM_CRT_2024</t>
        </is>
      </c>
      <c r="H3537" s="4" t="inlineStr">
        <is>
          <t>Guatemala. 2024 Common Reporting Table (CRT)</t>
        </is>
      </c>
      <c r="I3537" s="4" t="inlineStr">
        <is>
          <t>https://unfccc.int/reports?f%5B0%5D=corporate_author%3A206</t>
        </is>
      </c>
      <c r="J3537" s="4" t="inlineStr">
        <is>
          <t>FE_NO|2020|1.B.2.b.ii|NO|N2O</t>
        </is>
      </c>
      <c r="Q3537" s="4" t="inlineStr">
        <is>
          <t>SIN_FACTOR_NUMERICO</t>
        </is>
      </c>
      <c r="W3537" s="4" t="inlineStr">
        <is>
          <t>1.B.2.b.ii</t>
        </is>
      </c>
      <c r="Y3537" s="4" t="inlineStr">
        <is>
          <t>NO</t>
        </is>
      </c>
      <c r="Z3537" s="4" t="inlineStr">
        <is>
          <t>N2O</t>
        </is>
      </c>
      <c r="AB3537" s="4" t="inlineStr">
        <is>
          <t>kg N2O/TJ</t>
        </is>
      </c>
      <c r="AL3537" s="4" t="inlineStr">
        <is>
          <t>Table1.B.2; localizador a nivel de tabla; sin registro numérico</t>
        </is>
      </c>
      <c r="AM3537" s="4" t="inlineStr">
        <is>
          <t>Se conserva el estado NO porque la fuente no aporta un factor numérico para la clave interna FE_NO|2020|1.B.2.b.ii|NO|N2O.</t>
        </is>
      </c>
    </row>
    <row r="3538">
      <c r="A3538" s="4" t="inlineStr">
        <is>
          <t>FACTOR_EMISION_OBS</t>
        </is>
      </c>
      <c r="B3538" s="4" t="inlineStr">
        <is>
          <t>FE_FUG|2020|1.B.2.a.ii|FUGITIVA_PETROLEO|CO2</t>
        </is>
      </c>
      <c r="C3538" s="4" t="inlineStr">
        <is>
          <t>2020|1.B.2.a.ii|FUGITIVA_PETROLEO|CO2</t>
        </is>
      </c>
      <c r="D3538" s="12">
        <v>2020.0</v>
      </c>
      <c r="E3538" s="12">
        <v>2020.0</v>
      </c>
      <c r="F3538" s="4" t="inlineStr">
        <is>
          <t>OBS</t>
        </is>
      </c>
      <c r="G3538" s="4" t="inlineStr">
        <is>
          <t>UNFCCC_GTM_CRT_2024</t>
        </is>
      </c>
      <c r="H3538" s="4" t="inlineStr">
        <is>
          <t>Guatemala. 2024 Common Reporting Table (CRT)</t>
        </is>
      </c>
      <c r="I3538" s="4" t="inlineStr">
        <is>
          <t>https://unfccc.int/reports?f%5B0%5D=corporate_author%3A206</t>
        </is>
      </c>
      <c r="J3538" s="4" t="inlineStr">
        <is>
          <t>CRT1B2|2020|1.B.2.a.ii|CO2</t>
        </is>
      </c>
      <c r="Q3538" s="4" t="inlineStr">
        <is>
          <t>EMISION_CRT_DIV_PSUT_EXTRACCION</t>
        </is>
      </c>
      <c r="W3538" s="4" t="inlineStr">
        <is>
          <t>1.B.2.a.ii</t>
        </is>
      </c>
      <c r="Y3538" s="4" t="inlineStr">
        <is>
          <t>FUGITIVA_PETROLEO</t>
        </is>
      </c>
      <c r="Z3538" s="4" t="inlineStr">
        <is>
          <t>CO2</t>
        </is>
      </c>
      <c r="AA3538" s="13">
        <v>0.006769303192556056</v>
      </c>
      <c r="AB3538" s="4" t="inlineStr">
        <is>
          <t>kg CO2/TJ</t>
        </is>
      </c>
      <c r="AL3538" s="4" t="inlineStr">
        <is>
          <t>Table1.B.2; registro CRT1B2|2020|1.B.2.a.ii|CO2</t>
        </is>
      </c>
      <c r="AM3538" s="4" t="inlineStr">
        <is>
          <t>Factor fugitivo anual derivado de la emisión CRT y de la extracción PETR de la PSUT. Registro CRT: CRT1B2|2020|1.B.2.a.ii|CO2.</t>
        </is>
      </c>
    </row>
    <row r="3539">
      <c r="A3539" s="4" t="inlineStr">
        <is>
          <t>FACTOR_EMISION_OBS</t>
        </is>
      </c>
      <c r="B3539" s="4" t="inlineStr">
        <is>
          <t>FE_FUG|2020|1.B.2.a.ii|FUGITIVA_PETROLEO|CH4</t>
        </is>
      </c>
      <c r="C3539" s="4" t="inlineStr">
        <is>
          <t>2020|1.B.2.a.ii|FUGITIVA_PETROLEO|CH4</t>
        </is>
      </c>
      <c r="D3539" s="12">
        <v>2020.0</v>
      </c>
      <c r="E3539" s="12">
        <v>2020.0</v>
      </c>
      <c r="F3539" s="4" t="inlineStr">
        <is>
          <t>OBS</t>
        </is>
      </c>
      <c r="G3539" s="4" t="inlineStr">
        <is>
          <t>UNFCCC_GTM_CRT_2024</t>
        </is>
      </c>
      <c r="H3539" s="4" t="inlineStr">
        <is>
          <t>Guatemala. 2024 Common Reporting Table (CRT)</t>
        </is>
      </c>
      <c r="I3539" s="4" t="inlineStr">
        <is>
          <t>https://unfccc.int/reports?f%5B0%5D=corporate_author%3A206</t>
        </is>
      </c>
      <c r="J3539" s="4" t="inlineStr">
        <is>
          <t>CRT1B2|2020|1.B.2.a.ii|CH4</t>
        </is>
      </c>
      <c r="Q3539" s="4" t="inlineStr">
        <is>
          <t>EMISION_CRT_DIV_PSUT_EXTRACCION</t>
        </is>
      </c>
      <c r="W3539" s="4" t="inlineStr">
        <is>
          <t>1.B.2.a.ii</t>
        </is>
      </c>
      <c r="Y3539" s="4" t="inlineStr">
        <is>
          <t>FUGITIVA_PETROLEO</t>
        </is>
      </c>
      <c r="Z3539" s="4" t="inlineStr">
        <is>
          <t>CH4</t>
        </is>
      </c>
      <c r="AA3539" s="13">
        <v>0.09287765983839391</v>
      </c>
      <c r="AB3539" s="4" t="inlineStr">
        <is>
          <t>kg CH4/TJ</t>
        </is>
      </c>
      <c r="AL3539" s="4" t="inlineStr">
        <is>
          <t>Table1.B.2; registro CRT1B2|2020|1.B.2.a.ii|CH4</t>
        </is>
      </c>
      <c r="AM3539" s="4" t="inlineStr">
        <is>
          <t>Factor fugitivo anual derivado de la emisión CRT y de la extracción PETR de la PSUT. Registro CRT: CRT1B2|2020|1.B.2.a.ii|CH4.</t>
        </is>
      </c>
    </row>
    <row r="3540">
      <c r="A3540" s="4" t="inlineStr">
        <is>
          <t>FACTOR_EMISION_OBS</t>
        </is>
      </c>
      <c r="B3540" s="4" t="inlineStr">
        <is>
          <t>FE_FUG|2020|1.B.2.a.ii|FUGITIVA_PETROLEO|N2O</t>
        </is>
      </c>
      <c r="C3540" s="4" t="inlineStr">
        <is>
          <t>2020|1.B.2.a.ii|FUGITIVA_PETROLEO|N2O</t>
        </is>
      </c>
      <c r="D3540" s="12">
        <v>2020.0</v>
      </c>
      <c r="E3540" s="12">
        <v>2020.0</v>
      </c>
      <c r="F3540" s="4" t="inlineStr">
        <is>
          <t>NO</t>
        </is>
      </c>
      <c r="G3540" s="4" t="inlineStr">
        <is>
          <t>UNFCCC_GTM_CRT_2024</t>
        </is>
      </c>
      <c r="H3540" s="4" t="inlineStr">
        <is>
          <t>Guatemala. 2024 Common Reporting Table (CRT)</t>
        </is>
      </c>
      <c r="I3540" s="4" t="inlineStr">
        <is>
          <t>https://unfccc.int/reports?f%5B0%5D=corporate_author%3A206</t>
        </is>
      </c>
      <c r="J3540" s="4" t="inlineStr">
        <is>
          <t>CRT1B2|2020|1.B.2.a.ii|N2O</t>
        </is>
      </c>
      <c r="Q3540" s="4" t="inlineStr">
        <is>
          <t>EMISION_CRT_DIV_PSUT_EXTRACCION</t>
        </is>
      </c>
      <c r="W3540" s="4" t="inlineStr">
        <is>
          <t>1.B.2.a.ii</t>
        </is>
      </c>
      <c r="Y3540" s="4" t="inlineStr">
        <is>
          <t>FUGITIVA_PETROLEO</t>
        </is>
      </c>
      <c r="Z3540" s="4" t="inlineStr">
        <is>
          <t>N2O</t>
        </is>
      </c>
      <c r="AB3540" s="4" t="inlineStr">
        <is>
          <t>kg N2O/TJ</t>
        </is>
      </c>
      <c r="AK3540" s="4" t="inlineStr">
        <is>
          <t>NO</t>
        </is>
      </c>
      <c r="AL3540" s="4" t="inlineStr">
        <is>
          <t>Table1.B.2; registro CRT1B2|2020|1.B.2.a.ii|N2O</t>
        </is>
      </c>
      <c r="AM3540" s="4" t="inlineStr">
        <is>
          <t>Factor fugitivo anual derivado de la emisión CRT y de la extracción PETR de la PSUT. Registro CRT: CRT1B2|2020|1.B.2.a.ii|N2O.</t>
        </is>
      </c>
    </row>
    <row r="3541">
      <c r="A3541" s="4" t="inlineStr">
        <is>
          <t>FACTOR_EMISION_OBS</t>
        </is>
      </c>
      <c r="B3541" s="4" t="inlineStr">
        <is>
          <t>FE_COMB|2021|1.A.1.a.i|GASEOUS_FUELS|CO2</t>
        </is>
      </c>
      <c r="C3541" s="4" t="inlineStr">
        <is>
          <t>2021|1.A.1.a.i|GASEOUS_FUELS|CO2</t>
        </is>
      </c>
      <c r="D3541" s="12">
        <v>2021.0</v>
      </c>
      <c r="E3541" s="12">
        <v>2021.0</v>
      </c>
      <c r="F3541" s="4" t="inlineStr">
        <is>
          <t>OBS</t>
        </is>
      </c>
      <c r="G3541" s="4" t="inlineStr">
        <is>
          <t>UNFCCC_GTM_CRT_2024</t>
        </is>
      </c>
      <c r="H3541" s="4" t="inlineStr">
        <is>
          <t>Guatemala. 2024 Common Reporting Table (CRT)</t>
        </is>
      </c>
      <c r="I3541" s="4" t="inlineStr">
        <is>
          <t>https://unfccc.int/reports?f%5B0%5D=corporate_author%3A206</t>
        </is>
      </c>
      <c r="J3541" s="4" t="inlineStr">
        <is>
          <t>CRT1A|2021|1.A.1.a.i|GASEOUS_FUELS|CO2</t>
        </is>
      </c>
      <c r="Q3541" s="4" t="inlineStr">
        <is>
          <t>CRT_ANUAL</t>
        </is>
      </c>
      <c r="W3541" s="4" t="inlineStr">
        <is>
          <t>1.A.1.a.i</t>
        </is>
      </c>
      <c r="Y3541" s="4" t="inlineStr">
        <is>
          <t>GASEOUS_FUELS</t>
        </is>
      </c>
      <c r="Z3541" s="4" t="inlineStr">
        <is>
          <t>CO2</t>
        </is>
      </c>
      <c r="AA3541" s="13">
        <v>56099.9999988003</v>
      </c>
      <c r="AB3541" s="4" t="inlineStr">
        <is>
          <t>kg CO2/TJ</t>
        </is>
      </c>
      <c r="AL3541" s="4" t="inlineStr">
        <is>
          <t>Table1.A(a)s1; registro CRT1A|2021|1.A.1.a.i|GASEOUS_FUELS|CO2</t>
        </is>
      </c>
      <c r="AM3541" s="4" t="inlineStr">
        <is>
          <t>Factor implícito anual derivado de actividad y emisión CRT del mismo año, categoría, grupo y gas. Registro CRT: CRT1A|2021|1.A.1.a.i|GASEOUS_FUELS|CO2.</t>
        </is>
      </c>
    </row>
    <row r="3542">
      <c r="A3542" s="4" t="inlineStr">
        <is>
          <t>FACTOR_EMISION_OBS</t>
        </is>
      </c>
      <c r="B3542" s="4" t="inlineStr">
        <is>
          <t>FE_COMB|2021|1.A.1.a.i|GASEOUS_FUELS|CH4</t>
        </is>
      </c>
      <c r="C3542" s="4" t="inlineStr">
        <is>
          <t>2021|1.A.1.a.i|GASEOUS_FUELS|CH4</t>
        </is>
      </c>
      <c r="D3542" s="12">
        <v>2021.0</v>
      </c>
      <c r="E3542" s="12">
        <v>2021.0</v>
      </c>
      <c r="F3542" s="4" t="inlineStr">
        <is>
          <t>OBS</t>
        </is>
      </c>
      <c r="G3542" s="4" t="inlineStr">
        <is>
          <t>UNFCCC_GTM_CRT_2024</t>
        </is>
      </c>
      <c r="H3542" s="4" t="inlineStr">
        <is>
          <t>Guatemala. 2024 Common Reporting Table (CRT)</t>
        </is>
      </c>
      <c r="I3542" s="4" t="inlineStr">
        <is>
          <t>https://unfccc.int/reports?f%5B0%5D=corporate_author%3A206</t>
        </is>
      </c>
      <c r="J3542" s="4" t="inlineStr">
        <is>
          <t>CRT1A|2021|1.A.1.a.i|GASEOUS_FUELS|CH4</t>
        </is>
      </c>
      <c r="Q3542" s="4" t="inlineStr">
        <is>
          <t>CRT_ANUAL</t>
        </is>
      </c>
      <c r="W3542" s="4" t="inlineStr">
        <is>
          <t>1.A.1.a.i</t>
        </is>
      </c>
      <c r="Y3542" s="4" t="inlineStr">
        <is>
          <t>GASEOUS_FUELS</t>
        </is>
      </c>
      <c r="Z3542" s="4" t="inlineStr">
        <is>
          <t>CH4</t>
        </is>
      </c>
      <c r="AA3542" s="13">
        <v>0.9999997114634661</v>
      </c>
      <c r="AB3542" s="4" t="inlineStr">
        <is>
          <t>kg CH4/TJ</t>
        </is>
      </c>
      <c r="AL3542" s="4" t="inlineStr">
        <is>
          <t>Table1.A(a)s1; registro CRT1A|2021|1.A.1.a.i|GASEOUS_FUELS|CH4</t>
        </is>
      </c>
      <c r="AM3542" s="4" t="inlineStr">
        <is>
          <t>Factor implícito anual derivado de actividad y emisión CRT del mismo año, categoría, grupo y gas. Registro CRT: CRT1A|2021|1.A.1.a.i|GASEOUS_FUELS|CH4.</t>
        </is>
      </c>
    </row>
    <row r="3543">
      <c r="A3543" s="4" t="inlineStr">
        <is>
          <t>FACTOR_EMISION_OBS</t>
        </is>
      </c>
      <c r="B3543" s="4" t="inlineStr">
        <is>
          <t>FE_COMB|2021|1.A.1.a.i|GASEOUS_FUELS|N2O</t>
        </is>
      </c>
      <c r="C3543" s="4" t="inlineStr">
        <is>
          <t>2021|1.A.1.a.i|GASEOUS_FUELS|N2O</t>
        </is>
      </c>
      <c r="D3543" s="12">
        <v>2021.0</v>
      </c>
      <c r="E3543" s="12">
        <v>2021.0</v>
      </c>
      <c r="F3543" s="4" t="inlineStr">
        <is>
          <t>OBS</t>
        </is>
      </c>
      <c r="G3543" s="4" t="inlineStr">
        <is>
          <t>UNFCCC_GTM_CRT_2024</t>
        </is>
      </c>
      <c r="H3543" s="4" t="inlineStr">
        <is>
          <t>Guatemala. 2024 Common Reporting Table (CRT)</t>
        </is>
      </c>
      <c r="I3543" s="4" t="inlineStr">
        <is>
          <t>https://unfccc.int/reports?f%5B0%5D=corporate_author%3A206</t>
        </is>
      </c>
      <c r="J3543" s="4" t="inlineStr">
        <is>
          <t>CRT1A|2021|1.A.1.a.i|GASEOUS_FUELS|N2O</t>
        </is>
      </c>
      <c r="Q3543" s="4" t="inlineStr">
        <is>
          <t>CRT_ANUAL</t>
        </is>
      </c>
      <c r="W3543" s="4" t="inlineStr">
        <is>
          <t>1.A.1.a.i</t>
        </is>
      </c>
      <c r="Y3543" s="4" t="inlineStr">
        <is>
          <t>GASEOUS_FUELS</t>
        </is>
      </c>
      <c r="Z3543" s="4" t="inlineStr">
        <is>
          <t>N2O</t>
        </is>
      </c>
      <c r="AA3543" s="13">
        <v>0.0999999711463466</v>
      </c>
      <c r="AB3543" s="4" t="inlineStr">
        <is>
          <t>kg N2O/TJ</t>
        </is>
      </c>
      <c r="AL3543" s="4" t="inlineStr">
        <is>
          <t>Table1.A(a)s1; registro CRT1A|2021|1.A.1.a.i|GASEOUS_FUELS|N2O</t>
        </is>
      </c>
      <c r="AM3543" s="4" t="inlineStr">
        <is>
          <t>Factor implícito anual derivado de actividad y emisión CRT del mismo año, categoría, grupo y gas. Registro CRT: CRT1A|2021|1.A.1.a.i|GASEOUS_FUELS|N2O.</t>
        </is>
      </c>
    </row>
    <row r="3544">
      <c r="A3544" s="4" t="inlineStr">
        <is>
          <t>FACTOR_EMISION_OBS</t>
        </is>
      </c>
      <c r="B3544" s="4" t="inlineStr">
        <is>
          <t>FE_COMB|2021|1.A.1.b|LIQUID_FUELS|CO2</t>
        </is>
      </c>
      <c r="C3544" s="4" t="inlineStr">
        <is>
          <t>2021|1.A.1.b|LIQUID_FUELS|CO2</t>
        </is>
      </c>
      <c r="D3544" s="12">
        <v>2021.0</v>
      </c>
      <c r="E3544" s="12">
        <v>2021.0</v>
      </c>
      <c r="F3544" s="4" t="inlineStr">
        <is>
          <t>OBS</t>
        </is>
      </c>
      <c r="G3544" s="4" t="inlineStr">
        <is>
          <t>UNFCCC_GTM_CRT_2024</t>
        </is>
      </c>
      <c r="H3544" s="4" t="inlineStr">
        <is>
          <t>Guatemala. 2024 Common Reporting Table (CRT)</t>
        </is>
      </c>
      <c r="I3544" s="4" t="inlineStr">
        <is>
          <t>https://unfccc.int/reports?f%5B0%5D=corporate_author%3A206</t>
        </is>
      </c>
      <c r="J3544" s="4" t="inlineStr">
        <is>
          <t>CRT1A|2021|1.A.1.b|LIQUID_FUELS|CO2</t>
        </is>
      </c>
      <c r="Q3544" s="4" t="inlineStr">
        <is>
          <t>CRT_ANUAL</t>
        </is>
      </c>
      <c r="W3544" s="4" t="inlineStr">
        <is>
          <t>1.A.1.b</t>
        </is>
      </c>
      <c r="Y3544" s="4" t="inlineStr">
        <is>
          <t>LIQUID_FUELS</t>
        </is>
      </c>
      <c r="Z3544" s="4" t="inlineStr">
        <is>
          <t>CO2</t>
        </is>
      </c>
      <c r="AA3544" s="13">
        <v>73299.99940418042</v>
      </c>
      <c r="AB3544" s="4" t="inlineStr">
        <is>
          <t>kg CO2/TJ</t>
        </is>
      </c>
      <c r="AL3544" s="4" t="inlineStr">
        <is>
          <t>Table1.A(a)s1; registro CRT1A|2021|1.A.1.b|LIQUID_FUELS|CO2</t>
        </is>
      </c>
      <c r="AM3544" s="4" t="inlineStr">
        <is>
          <t>Factor implícito anual derivado de actividad y emisión CRT del mismo año, categoría, grupo y gas. Registro CRT: CRT1A|2021|1.A.1.b|LIQUID_FUELS|CO2.</t>
        </is>
      </c>
    </row>
    <row r="3545">
      <c r="A3545" s="4" t="inlineStr">
        <is>
          <t>FACTOR_EMISION_OBS</t>
        </is>
      </c>
      <c r="B3545" s="4" t="inlineStr">
        <is>
          <t>FE_COMB|2021|1.A.1.b|LIQUID_FUELS|CH4</t>
        </is>
      </c>
      <c r="C3545" s="4" t="inlineStr">
        <is>
          <t>2021|1.A.1.b|LIQUID_FUELS|CH4</t>
        </is>
      </c>
      <c r="D3545" s="12">
        <v>2021.0</v>
      </c>
      <c r="E3545" s="12">
        <v>2021.0</v>
      </c>
      <c r="F3545" s="4" t="inlineStr">
        <is>
          <t>OBS</t>
        </is>
      </c>
      <c r="G3545" s="4" t="inlineStr">
        <is>
          <t>UNFCCC_GTM_CRT_2024</t>
        </is>
      </c>
      <c r="H3545" s="4" t="inlineStr">
        <is>
          <t>Guatemala. 2024 Common Reporting Table (CRT)</t>
        </is>
      </c>
      <c r="I3545" s="4" t="inlineStr">
        <is>
          <t>https://unfccc.int/reports?f%5B0%5D=corporate_author%3A206</t>
        </is>
      </c>
      <c r="J3545" s="4" t="inlineStr">
        <is>
          <t>CRT1A|2021|1.A.1.b|LIQUID_FUELS|CH4</t>
        </is>
      </c>
      <c r="Q3545" s="4" t="inlineStr">
        <is>
          <t>CRT_ANUAL</t>
        </is>
      </c>
      <c r="W3545" s="4" t="inlineStr">
        <is>
          <t>1.A.1.b</t>
        </is>
      </c>
      <c r="Y3545" s="4" t="inlineStr">
        <is>
          <t>LIQUID_FUELS</t>
        </is>
      </c>
      <c r="Z3545" s="4" t="inlineStr">
        <is>
          <t>CH4</t>
        </is>
      </c>
      <c r="AA3545" s="13">
        <v>2.9999308005092704</v>
      </c>
      <c r="AB3545" s="4" t="inlineStr">
        <is>
          <t>kg CH4/TJ</t>
        </is>
      </c>
      <c r="AL3545" s="4" t="inlineStr">
        <is>
          <t>Table1.A(a)s1; registro CRT1A|2021|1.A.1.b|LIQUID_FUELS|CH4</t>
        </is>
      </c>
      <c r="AM3545" s="4" t="inlineStr">
        <is>
          <t>Factor implícito anual derivado de actividad y emisión CRT del mismo año, categoría, grupo y gas. Registro CRT: CRT1A|2021|1.A.1.b|LIQUID_FUELS|CH4.</t>
        </is>
      </c>
    </row>
    <row r="3546">
      <c r="A3546" s="4" t="inlineStr">
        <is>
          <t>FACTOR_EMISION_OBS</t>
        </is>
      </c>
      <c r="B3546" s="4" t="inlineStr">
        <is>
          <t>FE_COMB|2021|1.A.1.b|LIQUID_FUELS|N2O</t>
        </is>
      </c>
      <c r="C3546" s="4" t="inlineStr">
        <is>
          <t>2021|1.A.1.b|LIQUID_FUELS|N2O</t>
        </is>
      </c>
      <c r="D3546" s="12">
        <v>2021.0</v>
      </c>
      <c r="E3546" s="12">
        <v>2021.0</v>
      </c>
      <c r="F3546" s="4" t="inlineStr">
        <is>
          <t>OBS</t>
        </is>
      </c>
      <c r="G3546" s="4" t="inlineStr">
        <is>
          <t>UNFCCC_GTM_CRT_2024</t>
        </is>
      </c>
      <c r="H3546" s="4" t="inlineStr">
        <is>
          <t>Guatemala. 2024 Common Reporting Table (CRT)</t>
        </is>
      </c>
      <c r="I3546" s="4" t="inlineStr">
        <is>
          <t>https://unfccc.int/reports?f%5B0%5D=corporate_author%3A206</t>
        </is>
      </c>
      <c r="J3546" s="4" t="inlineStr">
        <is>
          <t>CRT1A|2021|1.A.1.b|LIQUID_FUELS|N2O</t>
        </is>
      </c>
      <c r="Q3546" s="4" t="inlineStr">
        <is>
          <t>CRT_ANUAL</t>
        </is>
      </c>
      <c r="W3546" s="4" t="inlineStr">
        <is>
          <t>1.A.1.b</t>
        </is>
      </c>
      <c r="Y3546" s="4" t="inlineStr">
        <is>
          <t>LIQUID_FUELS</t>
        </is>
      </c>
      <c r="Z3546" s="4" t="inlineStr">
        <is>
          <t>N2O</t>
        </is>
      </c>
      <c r="AA3546" s="13">
        <v>0.6000042756260117</v>
      </c>
      <c r="AB3546" s="4" t="inlineStr">
        <is>
          <t>kg N2O/TJ</t>
        </is>
      </c>
      <c r="AL3546" s="4" t="inlineStr">
        <is>
          <t>Table1.A(a)s1; registro CRT1A|2021|1.A.1.b|LIQUID_FUELS|N2O</t>
        </is>
      </c>
      <c r="AM3546" s="4" t="inlineStr">
        <is>
          <t>Factor implícito anual derivado de actividad y emisión CRT del mismo año, categoría, grupo y gas. Registro CRT: CRT1A|2021|1.A.1.b|LIQUID_FUELS|N2O.</t>
        </is>
      </c>
    </row>
    <row r="3547">
      <c r="A3547" s="4" t="inlineStr">
        <is>
          <t>FACTOR_EMISION_OBS</t>
        </is>
      </c>
      <c r="B3547" s="4" t="inlineStr">
        <is>
          <t>FE_COMB|2021|1.A.4.a|BIOMASS|CO2</t>
        </is>
      </c>
      <c r="C3547" s="4" t="inlineStr">
        <is>
          <t>2021|1.A.4.a|BIOMASS|CO2</t>
        </is>
      </c>
      <c r="D3547" s="12">
        <v>2021.0</v>
      </c>
      <c r="E3547" s="12">
        <v>2021.0</v>
      </c>
      <c r="F3547" s="4" t="inlineStr">
        <is>
          <t>OBS</t>
        </is>
      </c>
      <c r="G3547" s="4" t="inlineStr">
        <is>
          <t>UNFCCC_GTM_CRT_2024</t>
        </is>
      </c>
      <c r="H3547" s="4" t="inlineStr">
        <is>
          <t>Guatemala. 2024 Common Reporting Table (CRT)</t>
        </is>
      </c>
      <c r="I3547" s="4" t="inlineStr">
        <is>
          <t>https://unfccc.int/reports?f%5B0%5D=corporate_author%3A206</t>
        </is>
      </c>
      <c r="J3547" s="4" t="inlineStr">
        <is>
          <t>CRT1A|2021|1.A.4.a|BIOMASS|CO2</t>
        </is>
      </c>
      <c r="Q3547" s="4" t="inlineStr">
        <is>
          <t>CRT_ANUAL</t>
        </is>
      </c>
      <c r="W3547" s="4" t="inlineStr">
        <is>
          <t>1.A.4.a</t>
        </is>
      </c>
      <c r="Y3547" s="4" t="inlineStr">
        <is>
          <t>BIOMASS</t>
        </is>
      </c>
      <c r="Z3547" s="4" t="inlineStr">
        <is>
          <t>CO2</t>
        </is>
      </c>
      <c r="AA3547" s="13">
        <v>111999.99978362363</v>
      </c>
      <c r="AB3547" s="4" t="inlineStr">
        <is>
          <t>kg CO2/TJ</t>
        </is>
      </c>
      <c r="AL3547" s="4" t="inlineStr">
        <is>
          <t>Table1.A(a)s4; registro CRT1A|2021|1.A.4.a|BIOMASS|CO2</t>
        </is>
      </c>
      <c r="AM3547" s="4" t="inlineStr">
        <is>
          <t>Factor implícito anual derivado de actividad y emisión CRT del mismo año, categoría, grupo y gas. Registro CRT: CRT1A|2021|1.A.4.a|BIOMASS|CO2.</t>
        </is>
      </c>
    </row>
    <row r="3548">
      <c r="A3548" s="4" t="inlineStr">
        <is>
          <t>FACTOR_EMISION_OBS</t>
        </is>
      </c>
      <c r="B3548" s="4" t="inlineStr">
        <is>
          <t>FE_COMB|2021|1.A.4.a|BIOMASS|CH4</t>
        </is>
      </c>
      <c r="C3548" s="4" t="inlineStr">
        <is>
          <t>2021|1.A.4.a|BIOMASS|CH4</t>
        </is>
      </c>
      <c r="D3548" s="12">
        <v>2021.0</v>
      </c>
      <c r="E3548" s="12">
        <v>2021.0</v>
      </c>
      <c r="F3548" s="4" t="inlineStr">
        <is>
          <t>OBS</t>
        </is>
      </c>
      <c r="G3548" s="4" t="inlineStr">
        <is>
          <t>UNFCCC_GTM_CRT_2024</t>
        </is>
      </c>
      <c r="H3548" s="4" t="inlineStr">
        <is>
          <t>Guatemala. 2024 Common Reporting Table (CRT)</t>
        </is>
      </c>
      <c r="I3548" s="4" t="inlineStr">
        <is>
          <t>https://unfccc.int/reports?f%5B0%5D=corporate_author%3A206</t>
        </is>
      </c>
      <c r="J3548" s="4" t="inlineStr">
        <is>
          <t>CRT1A|2021|1.A.4.a|BIOMASS|CH4</t>
        </is>
      </c>
      <c r="Q3548" s="4" t="inlineStr">
        <is>
          <t>CRT_ANUAL</t>
        </is>
      </c>
      <c r="W3548" s="4" t="inlineStr">
        <is>
          <t>1.A.4.a</t>
        </is>
      </c>
      <c r="Y3548" s="4" t="inlineStr">
        <is>
          <t>BIOMASS</t>
        </is>
      </c>
      <c r="Z3548" s="4" t="inlineStr">
        <is>
          <t>CH4</t>
        </is>
      </c>
      <c r="AA3548" s="13">
        <v>299.99999945905904</v>
      </c>
      <c r="AB3548" s="4" t="inlineStr">
        <is>
          <t>kg CH4/TJ</t>
        </is>
      </c>
      <c r="AL3548" s="4" t="inlineStr">
        <is>
          <t>Table1.A(a)s4; registro CRT1A|2021|1.A.4.a|BIOMASS|CH4</t>
        </is>
      </c>
      <c r="AM3548" s="4" t="inlineStr">
        <is>
          <t>Factor implícito anual derivado de actividad y emisión CRT del mismo año, categoría, grupo y gas. Registro CRT: CRT1A|2021|1.A.4.a|BIOMASS|CH4.</t>
        </is>
      </c>
    </row>
    <row r="3549">
      <c r="A3549" s="4" t="inlineStr">
        <is>
          <t>FACTOR_EMISION_OBS</t>
        </is>
      </c>
      <c r="B3549" s="4" t="inlineStr">
        <is>
          <t>FE_COMB|2021|1.A.4.a|BIOMASS|N2O</t>
        </is>
      </c>
      <c r="C3549" s="4" t="inlineStr">
        <is>
          <t>2021|1.A.4.a|BIOMASS|N2O</t>
        </is>
      </c>
      <c r="D3549" s="12">
        <v>2021.0</v>
      </c>
      <c r="E3549" s="12">
        <v>2021.0</v>
      </c>
      <c r="F3549" s="4" t="inlineStr">
        <is>
          <t>OBS</t>
        </is>
      </c>
      <c r="G3549" s="4" t="inlineStr">
        <is>
          <t>UNFCCC_GTM_CRT_2024</t>
        </is>
      </c>
      <c r="H3549" s="4" t="inlineStr">
        <is>
          <t>Guatemala. 2024 Common Reporting Table (CRT)</t>
        </is>
      </c>
      <c r="I3549" s="4" t="inlineStr">
        <is>
          <t>https://unfccc.int/reports?f%5B0%5D=corporate_author%3A206</t>
        </is>
      </c>
      <c r="J3549" s="4" t="inlineStr">
        <is>
          <t>CRT1A|2021|1.A.4.a|BIOMASS|N2O</t>
        </is>
      </c>
      <c r="Q3549" s="4" t="inlineStr">
        <is>
          <t>CRT_ANUAL</t>
        </is>
      </c>
      <c r="W3549" s="4" t="inlineStr">
        <is>
          <t>1.A.4.a</t>
        </is>
      </c>
      <c r="Y3549" s="4" t="inlineStr">
        <is>
          <t>BIOMASS</t>
        </is>
      </c>
      <c r="Z3549" s="4" t="inlineStr">
        <is>
          <t>N2O</t>
        </is>
      </c>
      <c r="AA3549" s="13">
        <v>4.0000001081882</v>
      </c>
      <c r="AB3549" s="4" t="inlineStr">
        <is>
          <t>kg N2O/TJ</t>
        </is>
      </c>
      <c r="AL3549" s="4" t="inlineStr">
        <is>
          <t>Table1.A(a)s4; registro CRT1A|2021|1.A.4.a|BIOMASS|N2O</t>
        </is>
      </c>
      <c r="AM3549" s="4" t="inlineStr">
        <is>
          <t>Factor implícito anual derivado de actividad y emisión CRT del mismo año, categoría, grupo y gas. Registro CRT: CRT1A|2021|1.A.4.a|BIOMASS|N2O.</t>
        </is>
      </c>
    </row>
    <row r="3550">
      <c r="A3550" s="4" t="inlineStr">
        <is>
          <t>FACTOR_EMISION_OBS</t>
        </is>
      </c>
      <c r="B3550" s="4" t="inlineStr">
        <is>
          <t>FE_COMB|2021|1.A.4.b|BIOMASS|CO2</t>
        </is>
      </c>
      <c r="C3550" s="4" t="inlineStr">
        <is>
          <t>2021|1.A.4.b|BIOMASS|CO2</t>
        </is>
      </c>
      <c r="D3550" s="12">
        <v>2021.0</v>
      </c>
      <c r="E3550" s="12">
        <v>2021.0</v>
      </c>
      <c r="F3550" s="4" t="inlineStr">
        <is>
          <t>OBS</t>
        </is>
      </c>
      <c r="G3550" s="4" t="inlineStr">
        <is>
          <t>UNFCCC_GTM_CRT_2024</t>
        </is>
      </c>
      <c r="H3550" s="4" t="inlineStr">
        <is>
          <t>Guatemala. 2024 Common Reporting Table (CRT)</t>
        </is>
      </c>
      <c r="I3550" s="4" t="inlineStr">
        <is>
          <t>https://unfccc.int/reports?f%5B0%5D=corporate_author%3A206</t>
        </is>
      </c>
      <c r="J3550" s="4" t="inlineStr">
        <is>
          <t>CRT1A|2021|1.A.4.b|BIOMASS|CO2</t>
        </is>
      </c>
      <c r="Q3550" s="4" t="inlineStr">
        <is>
          <t>CRT_ANUAL</t>
        </is>
      </c>
      <c r="W3550" s="4" t="inlineStr">
        <is>
          <t>1.A.4.b</t>
        </is>
      </c>
      <c r="Y3550" s="4" t="inlineStr">
        <is>
          <t>BIOMASS</t>
        </is>
      </c>
      <c r="Z3550" s="4" t="inlineStr">
        <is>
          <t>CO2</t>
        </is>
      </c>
      <c r="AA3550" s="13">
        <v>111999.99974570196</v>
      </c>
      <c r="AB3550" s="4" t="inlineStr">
        <is>
          <t>kg CO2/TJ</t>
        </is>
      </c>
      <c r="AL3550" s="4" t="inlineStr">
        <is>
          <t>Table1.A(a)s4; registro CRT1A|2021|1.A.4.b|BIOMASS|CO2</t>
        </is>
      </c>
      <c r="AM3550" s="4" t="inlineStr">
        <is>
          <t>Factor implícito anual derivado de actividad y emisión CRT del mismo año, categoría, grupo y gas. Registro CRT: CRT1A|2021|1.A.4.b|BIOMASS|CO2.</t>
        </is>
      </c>
    </row>
    <row r="3551">
      <c r="A3551" s="4" t="inlineStr">
        <is>
          <t>FACTOR_EMISION_OBS</t>
        </is>
      </c>
      <c r="B3551" s="4" t="inlineStr">
        <is>
          <t>FE_COMB|2021|1.A.4.b|BIOMASS|CH4</t>
        </is>
      </c>
      <c r="C3551" s="4" t="inlineStr">
        <is>
          <t>2021|1.A.4.b|BIOMASS|CH4</t>
        </is>
      </c>
      <c r="D3551" s="12">
        <v>2021.0</v>
      </c>
      <c r="E3551" s="12">
        <v>2021.0</v>
      </c>
      <c r="F3551" s="4" t="inlineStr">
        <is>
          <t>OBS</t>
        </is>
      </c>
      <c r="G3551" s="4" t="inlineStr">
        <is>
          <t>UNFCCC_GTM_CRT_2024</t>
        </is>
      </c>
      <c r="H3551" s="4" t="inlineStr">
        <is>
          <t>Guatemala. 2024 Common Reporting Table (CRT)</t>
        </is>
      </c>
      <c r="I3551" s="4" t="inlineStr">
        <is>
          <t>https://unfccc.int/reports?f%5B0%5D=corporate_author%3A206</t>
        </is>
      </c>
      <c r="J3551" s="4" t="inlineStr">
        <is>
          <t>CRT1A|2021|1.A.4.b|BIOMASS|CH4</t>
        </is>
      </c>
      <c r="Q3551" s="4" t="inlineStr">
        <is>
          <t>CRT_ANUAL</t>
        </is>
      </c>
      <c r="W3551" s="4" t="inlineStr">
        <is>
          <t>1.A.4.b</t>
        </is>
      </c>
      <c r="Y3551" s="4" t="inlineStr">
        <is>
          <t>BIOMASS</t>
        </is>
      </c>
      <c r="Z3551" s="4" t="inlineStr">
        <is>
          <t>CH4</t>
        </is>
      </c>
      <c r="AA3551" s="13">
        <v>299.99999966539735</v>
      </c>
      <c r="AB3551" s="4" t="inlineStr">
        <is>
          <t>kg CH4/TJ</t>
        </is>
      </c>
      <c r="AL3551" s="4" t="inlineStr">
        <is>
          <t>Table1.A(a)s4; registro CRT1A|2021|1.A.4.b|BIOMASS|CH4</t>
        </is>
      </c>
      <c r="AM3551" s="4" t="inlineStr">
        <is>
          <t>Factor implícito anual derivado de actividad y emisión CRT del mismo año, categoría, grupo y gas. Registro CRT: CRT1A|2021|1.A.4.b|BIOMASS|CH4.</t>
        </is>
      </c>
    </row>
    <row r="3552">
      <c r="A3552" s="4" t="inlineStr">
        <is>
          <t>FACTOR_EMISION_OBS</t>
        </is>
      </c>
      <c r="B3552" s="4" t="inlineStr">
        <is>
          <t>FE_COMB|2021|1.A.4.b|BIOMASS|N2O</t>
        </is>
      </c>
      <c r="C3552" s="4" t="inlineStr">
        <is>
          <t>2021|1.A.4.b|BIOMASS|N2O</t>
        </is>
      </c>
      <c r="D3552" s="12">
        <v>2021.0</v>
      </c>
      <c r="E3552" s="12">
        <v>2021.0</v>
      </c>
      <c r="F3552" s="4" t="inlineStr">
        <is>
          <t>OBS</t>
        </is>
      </c>
      <c r="G3552" s="4" t="inlineStr">
        <is>
          <t>UNFCCC_GTM_CRT_2024</t>
        </is>
      </c>
      <c r="H3552" s="4" t="inlineStr">
        <is>
          <t>Guatemala. 2024 Common Reporting Table (CRT)</t>
        </is>
      </c>
      <c r="I3552" s="4" t="inlineStr">
        <is>
          <t>https://unfccc.int/reports?f%5B0%5D=corporate_author%3A206</t>
        </is>
      </c>
      <c r="J3552" s="4" t="inlineStr">
        <is>
          <t>CRT1A|2021|1.A.4.b|BIOMASS|N2O</t>
        </is>
      </c>
      <c r="Q3552" s="4" t="inlineStr">
        <is>
          <t>CRT_ANUAL</t>
        </is>
      </c>
      <c r="W3552" s="4" t="inlineStr">
        <is>
          <t>1.A.4.b</t>
        </is>
      </c>
      <c r="Y3552" s="4" t="inlineStr">
        <is>
          <t>BIOMASS</t>
        </is>
      </c>
      <c r="Z3552" s="4" t="inlineStr">
        <is>
          <t>N2O</t>
        </is>
      </c>
      <c r="AA3552" s="13">
        <v>3.999999993307946</v>
      </c>
      <c r="AB3552" s="4" t="inlineStr">
        <is>
          <t>kg N2O/TJ</t>
        </is>
      </c>
      <c r="AL3552" s="4" t="inlineStr">
        <is>
          <t>Table1.A(a)s4; registro CRT1A|2021|1.A.4.b|BIOMASS|N2O</t>
        </is>
      </c>
      <c r="AM3552" s="4" t="inlineStr">
        <is>
          <t>Factor implícito anual derivado de actividad y emisión CRT del mismo año, categoría, grupo y gas. Registro CRT: CRT1A|2021|1.A.4.b|BIOMASS|N2O.</t>
        </is>
      </c>
    </row>
    <row r="3553">
      <c r="A3553" s="4" t="inlineStr">
        <is>
          <t>FACTOR_EMISION_OBS</t>
        </is>
      </c>
      <c r="B3553" s="4" t="inlineStr">
        <is>
          <t>FE_COMB|2021|1.A.1.a.i|CERO_DIRECTO|CO2</t>
        </is>
      </c>
      <c r="C3553" s="4" t="inlineStr">
        <is>
          <t>2021|1.A.1.a.i|CERO_DIRECTO|CO2</t>
        </is>
      </c>
      <c r="D3553" s="12">
        <v>2021.0</v>
      </c>
      <c r="E3553" s="12">
        <v>2021.0</v>
      </c>
      <c r="F3553" s="4" t="inlineStr">
        <is>
          <t>CAL</t>
        </is>
      </c>
      <c r="G3553" s="4" t="inlineStr">
        <is>
          <t>METODO_EMISIONES</t>
        </is>
      </c>
      <c r="H3553" s="4" t="inlineStr">
        <is>
          <t>Regla metodológica de emisión directa cero</t>
        </is>
      </c>
      <c r="J3553" s="4" t="inlineStr">
        <is>
          <t>PARAM|CERO|1.A.1.a.i|CO2</t>
        </is>
      </c>
      <c r="Q3553" s="4" t="inlineStr">
        <is>
          <t>CERO_DIRECTO</t>
        </is>
      </c>
      <c r="W3553" s="4" t="inlineStr">
        <is>
          <t>1.A.1.a.i</t>
        </is>
      </c>
      <c r="Y3553" s="4" t="inlineStr">
        <is>
          <t>CERO_DIRECTO</t>
        </is>
      </c>
      <c r="Z3553" s="4" t="inlineStr">
        <is>
          <t>CO2</t>
        </is>
      </c>
      <c r="AA3553" s="13">
        <v>0.0</v>
      </c>
      <c r="AB3553" s="4" t="inlineStr">
        <is>
          <t>kg CO2/TJ</t>
        </is>
      </c>
      <c r="AL3553" s="4" t="inlineStr">
        <is>
          <t>No aplica — regla interna CERO_DIRECTO; NT-02, sección 9; hoja PARAMETROS</t>
        </is>
      </c>
      <c r="AM3553" s="4" t="inlineStr">
        <is>
          <t>Cero metodológico definido por la correspondencia contable; no procede de una celda numérica independiente de la CRT.</t>
        </is>
      </c>
    </row>
    <row r="3554">
      <c r="A3554" s="4" t="inlineStr">
        <is>
          <t>FACTOR_EMISION_OBS</t>
        </is>
      </c>
      <c r="B3554" s="4" t="inlineStr">
        <is>
          <t>FE_COMB|2021|1.A.1.a.i|CERO_DIRECTO|CH4</t>
        </is>
      </c>
      <c r="C3554" s="4" t="inlineStr">
        <is>
          <t>2021|1.A.1.a.i|CERO_DIRECTO|CH4</t>
        </is>
      </c>
      <c r="D3554" s="12">
        <v>2021.0</v>
      </c>
      <c r="E3554" s="12">
        <v>2021.0</v>
      </c>
      <c r="F3554" s="4" t="inlineStr">
        <is>
          <t>CAL</t>
        </is>
      </c>
      <c r="G3554" s="4" t="inlineStr">
        <is>
          <t>METODO_EMISIONES</t>
        </is>
      </c>
      <c r="H3554" s="4" t="inlineStr">
        <is>
          <t>Regla metodológica de emisión directa cero</t>
        </is>
      </c>
      <c r="J3554" s="4" t="inlineStr">
        <is>
          <t>PARAM|CERO|1.A.1.a.i|CH4</t>
        </is>
      </c>
      <c r="Q3554" s="4" t="inlineStr">
        <is>
          <t>CERO_DIRECTO</t>
        </is>
      </c>
      <c r="W3554" s="4" t="inlineStr">
        <is>
          <t>1.A.1.a.i</t>
        </is>
      </c>
      <c r="Y3554" s="4" t="inlineStr">
        <is>
          <t>CERO_DIRECTO</t>
        </is>
      </c>
      <c r="Z3554" s="4" t="inlineStr">
        <is>
          <t>CH4</t>
        </is>
      </c>
      <c r="AA3554" s="13">
        <v>0.0</v>
      </c>
      <c r="AB3554" s="4" t="inlineStr">
        <is>
          <t>kg CH4/TJ</t>
        </is>
      </c>
      <c r="AL3554" s="4" t="inlineStr">
        <is>
          <t>No aplica — regla interna CERO_DIRECTO; NT-02, sección 9; hoja PARAMETROS</t>
        </is>
      </c>
      <c r="AM3554" s="4" t="inlineStr">
        <is>
          <t>Cero metodológico definido por la correspondencia contable; no procede de una celda numérica independiente de la CRT.</t>
        </is>
      </c>
    </row>
    <row r="3555">
      <c r="A3555" s="4" t="inlineStr">
        <is>
          <t>FACTOR_EMISION_OBS</t>
        </is>
      </c>
      <c r="B3555" s="4" t="inlineStr">
        <is>
          <t>FE_COMB|2021|1.A.1.a.i|CERO_DIRECTO|N2O</t>
        </is>
      </c>
      <c r="C3555" s="4" t="inlineStr">
        <is>
          <t>2021|1.A.1.a.i|CERO_DIRECTO|N2O</t>
        </is>
      </c>
      <c r="D3555" s="12">
        <v>2021.0</v>
      </c>
      <c r="E3555" s="12">
        <v>2021.0</v>
      </c>
      <c r="F3555" s="4" t="inlineStr">
        <is>
          <t>CAL</t>
        </is>
      </c>
      <c r="G3555" s="4" t="inlineStr">
        <is>
          <t>METODO_EMISIONES</t>
        </is>
      </c>
      <c r="H3555" s="4" t="inlineStr">
        <is>
          <t>Regla metodológica de emisión directa cero</t>
        </is>
      </c>
      <c r="J3555" s="4" t="inlineStr">
        <is>
          <t>PARAM|CERO|1.A.1.a.i|N2O</t>
        </is>
      </c>
      <c r="Q3555" s="4" t="inlineStr">
        <is>
          <t>CERO_DIRECTO</t>
        </is>
      </c>
      <c r="W3555" s="4" t="inlineStr">
        <is>
          <t>1.A.1.a.i</t>
        </is>
      </c>
      <c r="Y3555" s="4" t="inlineStr">
        <is>
          <t>CERO_DIRECTO</t>
        </is>
      </c>
      <c r="Z3555" s="4" t="inlineStr">
        <is>
          <t>N2O</t>
        </is>
      </c>
      <c r="AA3555" s="13">
        <v>0.0</v>
      </c>
      <c r="AB3555" s="4" t="inlineStr">
        <is>
          <t>kg N2O/TJ</t>
        </is>
      </c>
      <c r="AL3555" s="4" t="inlineStr">
        <is>
          <t>No aplica — regla interna CERO_DIRECTO; NT-02, sección 9; hoja PARAMETROS</t>
        </is>
      </c>
      <c r="AM3555" s="4" t="inlineStr">
        <is>
          <t>Cero metodológico definido por la correspondencia contable; no procede de una celda numérica independiente de la CRT.</t>
        </is>
      </c>
    </row>
    <row r="3556">
      <c r="A3556" s="4" t="inlineStr">
        <is>
          <t>FACTOR_EMISION_OBS</t>
        </is>
      </c>
      <c r="B3556" s="4" t="inlineStr">
        <is>
          <t>FE_COMB|2021|1.A.1.c|CERO_DIRECTO|CO2</t>
        </is>
      </c>
      <c r="C3556" s="4" t="inlineStr">
        <is>
          <t>2021|1.A.1.c|CERO_DIRECTO|CO2</t>
        </is>
      </c>
      <c r="D3556" s="12">
        <v>2021.0</v>
      </c>
      <c r="E3556" s="12">
        <v>2021.0</v>
      </c>
      <c r="F3556" s="4" t="inlineStr">
        <is>
          <t>CAL</t>
        </is>
      </c>
      <c r="G3556" s="4" t="inlineStr">
        <is>
          <t>METODO_EMISIONES</t>
        </is>
      </c>
      <c r="H3556" s="4" t="inlineStr">
        <is>
          <t>Regla metodológica de emisión directa cero</t>
        </is>
      </c>
      <c r="J3556" s="4" t="inlineStr">
        <is>
          <t>PARAM|CERO|1.A.1.c|CO2</t>
        </is>
      </c>
      <c r="Q3556" s="4" t="inlineStr">
        <is>
          <t>CERO_DIRECTO</t>
        </is>
      </c>
      <c r="W3556" s="4" t="inlineStr">
        <is>
          <t>1.A.1.c</t>
        </is>
      </c>
      <c r="Y3556" s="4" t="inlineStr">
        <is>
          <t>CERO_DIRECTO</t>
        </is>
      </c>
      <c r="Z3556" s="4" t="inlineStr">
        <is>
          <t>CO2</t>
        </is>
      </c>
      <c r="AA3556" s="13">
        <v>0.0</v>
      </c>
      <c r="AB3556" s="4" t="inlineStr">
        <is>
          <t>kg CO2/TJ</t>
        </is>
      </c>
      <c r="AL3556" s="4" t="inlineStr">
        <is>
          <t>No aplica — regla interna CERO_DIRECTO; NT-02, sección 9; hoja PARAMETROS</t>
        </is>
      </c>
      <c r="AM3556" s="4" t="inlineStr">
        <is>
          <t>Cero metodológico definido por la correspondencia contable; no procede de una celda numérica independiente de la CRT.</t>
        </is>
      </c>
    </row>
    <row r="3557">
      <c r="A3557" s="4" t="inlineStr">
        <is>
          <t>FACTOR_EMISION_OBS</t>
        </is>
      </c>
      <c r="B3557" s="4" t="inlineStr">
        <is>
          <t>FE_COMB|2021|1.A.1.c|CERO_DIRECTO|CH4</t>
        </is>
      </c>
      <c r="C3557" s="4" t="inlineStr">
        <is>
          <t>2021|1.A.1.c|CERO_DIRECTO|CH4</t>
        </is>
      </c>
      <c r="D3557" s="12">
        <v>2021.0</v>
      </c>
      <c r="E3557" s="12">
        <v>2021.0</v>
      </c>
      <c r="F3557" s="4" t="inlineStr">
        <is>
          <t>CAL</t>
        </is>
      </c>
      <c r="G3557" s="4" t="inlineStr">
        <is>
          <t>METODO_EMISIONES</t>
        </is>
      </c>
      <c r="H3557" s="4" t="inlineStr">
        <is>
          <t>Regla metodológica de emisión directa cero</t>
        </is>
      </c>
      <c r="J3557" s="4" t="inlineStr">
        <is>
          <t>PARAM|CERO|1.A.1.c|CH4</t>
        </is>
      </c>
      <c r="Q3557" s="4" t="inlineStr">
        <is>
          <t>CERO_DIRECTO</t>
        </is>
      </c>
      <c r="W3557" s="4" t="inlineStr">
        <is>
          <t>1.A.1.c</t>
        </is>
      </c>
      <c r="Y3557" s="4" t="inlineStr">
        <is>
          <t>CERO_DIRECTO</t>
        </is>
      </c>
      <c r="Z3557" s="4" t="inlineStr">
        <is>
          <t>CH4</t>
        </is>
      </c>
      <c r="AA3557" s="13">
        <v>0.0</v>
      </c>
      <c r="AB3557" s="4" t="inlineStr">
        <is>
          <t>kg CH4/TJ</t>
        </is>
      </c>
      <c r="AL3557" s="4" t="inlineStr">
        <is>
          <t>No aplica — regla interna CERO_DIRECTO; NT-02, sección 9; hoja PARAMETROS</t>
        </is>
      </c>
      <c r="AM3557" s="4" t="inlineStr">
        <is>
          <t>Cero metodológico definido por la correspondencia contable; no procede de una celda numérica independiente de la CRT.</t>
        </is>
      </c>
    </row>
    <row r="3558">
      <c r="A3558" s="4" t="inlineStr">
        <is>
          <t>FACTOR_EMISION_OBS</t>
        </is>
      </c>
      <c r="B3558" s="4" t="inlineStr">
        <is>
          <t>FE_COMB|2021|1.A.1.c|CERO_DIRECTO|N2O</t>
        </is>
      </c>
      <c r="C3558" s="4" t="inlineStr">
        <is>
          <t>2021|1.A.1.c|CERO_DIRECTO|N2O</t>
        </is>
      </c>
      <c r="D3558" s="12">
        <v>2021.0</v>
      </c>
      <c r="E3558" s="12">
        <v>2021.0</v>
      </c>
      <c r="F3558" s="4" t="inlineStr">
        <is>
          <t>CAL</t>
        </is>
      </c>
      <c r="G3558" s="4" t="inlineStr">
        <is>
          <t>METODO_EMISIONES</t>
        </is>
      </c>
      <c r="H3558" s="4" t="inlineStr">
        <is>
          <t>Regla metodológica de emisión directa cero</t>
        </is>
      </c>
      <c r="J3558" s="4" t="inlineStr">
        <is>
          <t>PARAM|CERO|1.A.1.c|N2O</t>
        </is>
      </c>
      <c r="Q3558" s="4" t="inlineStr">
        <is>
          <t>CERO_DIRECTO</t>
        </is>
      </c>
      <c r="W3558" s="4" t="inlineStr">
        <is>
          <t>1.A.1.c</t>
        </is>
      </c>
      <c r="Y3558" s="4" t="inlineStr">
        <is>
          <t>CERO_DIRECTO</t>
        </is>
      </c>
      <c r="Z3558" s="4" t="inlineStr">
        <is>
          <t>N2O</t>
        </is>
      </c>
      <c r="AA3558" s="13">
        <v>0.0</v>
      </c>
      <c r="AB3558" s="4" t="inlineStr">
        <is>
          <t>kg N2O/TJ</t>
        </is>
      </c>
      <c r="AL3558" s="4" t="inlineStr">
        <is>
          <t>No aplica — regla interna CERO_DIRECTO; NT-02, sección 9; hoja PARAMETROS</t>
        </is>
      </c>
      <c r="AM3558" s="4" t="inlineStr">
        <is>
          <t>Cero metodológico definido por la correspondencia contable; no procede de una celda numérica independiente de la CRT.</t>
        </is>
      </c>
    </row>
    <row r="3559">
      <c r="A3559" s="4" t="inlineStr">
        <is>
          <t>FACTOR_EMISION_OBS</t>
        </is>
      </c>
      <c r="B3559" s="4" t="inlineStr">
        <is>
          <t>FE_COMB|2021|1.A.2|CERO_DIRECTO|CO2</t>
        </is>
      </c>
      <c r="C3559" s="4" t="inlineStr">
        <is>
          <t>2021|1.A.2|CERO_DIRECTO|CO2</t>
        </is>
      </c>
      <c r="D3559" s="12">
        <v>2021.0</v>
      </c>
      <c r="E3559" s="12">
        <v>2021.0</v>
      </c>
      <c r="F3559" s="4" t="inlineStr">
        <is>
          <t>CAL</t>
        </is>
      </c>
      <c r="G3559" s="4" t="inlineStr">
        <is>
          <t>METODO_EMISIONES</t>
        </is>
      </c>
      <c r="H3559" s="4" t="inlineStr">
        <is>
          <t>Regla metodológica de emisión directa cero</t>
        </is>
      </c>
      <c r="J3559" s="4" t="inlineStr">
        <is>
          <t>PARAM|CERO|1.A.2|CO2</t>
        </is>
      </c>
      <c r="Q3559" s="4" t="inlineStr">
        <is>
          <t>CERO_DIRECTO</t>
        </is>
      </c>
      <c r="W3559" s="4" t="inlineStr">
        <is>
          <t>1.A.2</t>
        </is>
      </c>
      <c r="Y3559" s="4" t="inlineStr">
        <is>
          <t>CERO_DIRECTO</t>
        </is>
      </c>
      <c r="Z3559" s="4" t="inlineStr">
        <is>
          <t>CO2</t>
        </is>
      </c>
      <c r="AA3559" s="13">
        <v>0.0</v>
      </c>
      <c r="AB3559" s="4" t="inlineStr">
        <is>
          <t>kg CO2/TJ</t>
        </is>
      </c>
      <c r="AL3559" s="4" t="inlineStr">
        <is>
          <t>No aplica — regla interna CERO_DIRECTO; NT-02, sección 9; hoja PARAMETROS</t>
        </is>
      </c>
      <c r="AM3559" s="4" t="inlineStr">
        <is>
          <t>Cero metodológico definido por la correspondencia contable; no procede de una celda numérica independiente de la CRT.</t>
        </is>
      </c>
    </row>
    <row r="3560">
      <c r="A3560" s="4" t="inlineStr">
        <is>
          <t>FACTOR_EMISION_OBS</t>
        </is>
      </c>
      <c r="B3560" s="4" t="inlineStr">
        <is>
          <t>FE_COMB|2021|1.A.2|CERO_DIRECTO|CH4</t>
        </is>
      </c>
      <c r="C3560" s="4" t="inlineStr">
        <is>
          <t>2021|1.A.2|CERO_DIRECTO|CH4</t>
        </is>
      </c>
      <c r="D3560" s="12">
        <v>2021.0</v>
      </c>
      <c r="E3560" s="12">
        <v>2021.0</v>
      </c>
      <c r="F3560" s="4" t="inlineStr">
        <is>
          <t>CAL</t>
        </is>
      </c>
      <c r="G3560" s="4" t="inlineStr">
        <is>
          <t>METODO_EMISIONES</t>
        </is>
      </c>
      <c r="H3560" s="4" t="inlineStr">
        <is>
          <t>Regla metodológica de emisión directa cero</t>
        </is>
      </c>
      <c r="J3560" s="4" t="inlineStr">
        <is>
          <t>PARAM|CERO|1.A.2|CH4</t>
        </is>
      </c>
      <c r="Q3560" s="4" t="inlineStr">
        <is>
          <t>CERO_DIRECTO</t>
        </is>
      </c>
      <c r="W3560" s="4" t="inlineStr">
        <is>
          <t>1.A.2</t>
        </is>
      </c>
      <c r="Y3560" s="4" t="inlineStr">
        <is>
          <t>CERO_DIRECTO</t>
        </is>
      </c>
      <c r="Z3560" s="4" t="inlineStr">
        <is>
          <t>CH4</t>
        </is>
      </c>
      <c r="AA3560" s="13">
        <v>0.0</v>
      </c>
      <c r="AB3560" s="4" t="inlineStr">
        <is>
          <t>kg CH4/TJ</t>
        </is>
      </c>
      <c r="AL3560" s="4" t="inlineStr">
        <is>
          <t>No aplica — regla interna CERO_DIRECTO; NT-02, sección 9; hoja PARAMETROS</t>
        </is>
      </c>
      <c r="AM3560" s="4" t="inlineStr">
        <is>
          <t>Cero metodológico definido por la correspondencia contable; no procede de una celda numérica independiente de la CRT.</t>
        </is>
      </c>
    </row>
    <row r="3561">
      <c r="A3561" s="4" t="inlineStr">
        <is>
          <t>FACTOR_EMISION_OBS</t>
        </is>
      </c>
      <c r="B3561" s="4" t="inlineStr">
        <is>
          <t>FE_COMB|2021|1.A.2|CERO_DIRECTO|N2O</t>
        </is>
      </c>
      <c r="C3561" s="4" t="inlineStr">
        <is>
          <t>2021|1.A.2|CERO_DIRECTO|N2O</t>
        </is>
      </c>
      <c r="D3561" s="12">
        <v>2021.0</v>
      </c>
      <c r="E3561" s="12">
        <v>2021.0</v>
      </c>
      <c r="F3561" s="4" t="inlineStr">
        <is>
          <t>CAL</t>
        </is>
      </c>
      <c r="G3561" s="4" t="inlineStr">
        <is>
          <t>METODO_EMISIONES</t>
        </is>
      </c>
      <c r="H3561" s="4" t="inlineStr">
        <is>
          <t>Regla metodológica de emisión directa cero</t>
        </is>
      </c>
      <c r="J3561" s="4" t="inlineStr">
        <is>
          <t>PARAM|CERO|1.A.2|N2O</t>
        </is>
      </c>
      <c r="Q3561" s="4" t="inlineStr">
        <is>
          <t>CERO_DIRECTO</t>
        </is>
      </c>
      <c r="W3561" s="4" t="inlineStr">
        <is>
          <t>1.A.2</t>
        </is>
      </c>
      <c r="Y3561" s="4" t="inlineStr">
        <is>
          <t>CERO_DIRECTO</t>
        </is>
      </c>
      <c r="Z3561" s="4" t="inlineStr">
        <is>
          <t>N2O</t>
        </is>
      </c>
      <c r="AA3561" s="13">
        <v>0.0</v>
      </c>
      <c r="AB3561" s="4" t="inlineStr">
        <is>
          <t>kg N2O/TJ</t>
        </is>
      </c>
      <c r="AL3561" s="4" t="inlineStr">
        <is>
          <t>No aplica — regla interna CERO_DIRECTO; NT-02, sección 9; hoja PARAMETROS</t>
        </is>
      </c>
      <c r="AM3561" s="4" t="inlineStr">
        <is>
          <t>Cero metodológico definido por la correspondencia contable; no procede de una celda numérica independiente de la CRT.</t>
        </is>
      </c>
    </row>
    <row r="3562">
      <c r="A3562" s="4" t="inlineStr">
        <is>
          <t>FACTOR_EMISION_OBS</t>
        </is>
      </c>
      <c r="B3562" s="4" t="inlineStr">
        <is>
          <t>FE_COMB|2021|1.A.3|CERO_DIRECTO|CO2</t>
        </is>
      </c>
      <c r="C3562" s="4" t="inlineStr">
        <is>
          <t>2021|1.A.3|CERO_DIRECTO|CO2</t>
        </is>
      </c>
      <c r="D3562" s="12">
        <v>2021.0</v>
      </c>
      <c r="E3562" s="12">
        <v>2021.0</v>
      </c>
      <c r="F3562" s="4" t="inlineStr">
        <is>
          <t>CAL</t>
        </is>
      </c>
      <c r="G3562" s="4" t="inlineStr">
        <is>
          <t>METODO_EMISIONES</t>
        </is>
      </c>
      <c r="H3562" s="4" t="inlineStr">
        <is>
          <t>Regla metodológica de emisión directa cero</t>
        </is>
      </c>
      <c r="J3562" s="4" t="inlineStr">
        <is>
          <t>PARAM|CERO|1.A.3|CO2</t>
        </is>
      </c>
      <c r="Q3562" s="4" t="inlineStr">
        <is>
          <t>CERO_DIRECTO</t>
        </is>
      </c>
      <c r="W3562" s="4" t="inlineStr">
        <is>
          <t>1.A.3</t>
        </is>
      </c>
      <c r="Y3562" s="4" t="inlineStr">
        <is>
          <t>CERO_DIRECTO</t>
        </is>
      </c>
      <c r="Z3562" s="4" t="inlineStr">
        <is>
          <t>CO2</t>
        </is>
      </c>
      <c r="AA3562" s="13">
        <v>0.0</v>
      </c>
      <c r="AB3562" s="4" t="inlineStr">
        <is>
          <t>kg CO2/TJ</t>
        </is>
      </c>
      <c r="AL3562" s="4" t="inlineStr">
        <is>
          <t>No aplica — regla interna CERO_DIRECTO; NT-02, sección 9; hoja PARAMETROS</t>
        </is>
      </c>
      <c r="AM3562" s="4" t="inlineStr">
        <is>
          <t>Cero metodológico definido por la correspondencia contable; no procede de una celda numérica independiente de la CRT.</t>
        </is>
      </c>
    </row>
    <row r="3563">
      <c r="A3563" s="4" t="inlineStr">
        <is>
          <t>FACTOR_EMISION_OBS</t>
        </is>
      </c>
      <c r="B3563" s="4" t="inlineStr">
        <is>
          <t>FE_COMB|2021|1.A.3|CERO_DIRECTO|CH4</t>
        </is>
      </c>
      <c r="C3563" s="4" t="inlineStr">
        <is>
          <t>2021|1.A.3|CERO_DIRECTO|CH4</t>
        </is>
      </c>
      <c r="D3563" s="12">
        <v>2021.0</v>
      </c>
      <c r="E3563" s="12">
        <v>2021.0</v>
      </c>
      <c r="F3563" s="4" t="inlineStr">
        <is>
          <t>CAL</t>
        </is>
      </c>
      <c r="G3563" s="4" t="inlineStr">
        <is>
          <t>METODO_EMISIONES</t>
        </is>
      </c>
      <c r="H3563" s="4" t="inlineStr">
        <is>
          <t>Regla metodológica de emisión directa cero</t>
        </is>
      </c>
      <c r="J3563" s="4" t="inlineStr">
        <is>
          <t>PARAM|CERO|1.A.3|CH4</t>
        </is>
      </c>
      <c r="Q3563" s="4" t="inlineStr">
        <is>
          <t>CERO_DIRECTO</t>
        </is>
      </c>
      <c r="W3563" s="4" t="inlineStr">
        <is>
          <t>1.A.3</t>
        </is>
      </c>
      <c r="Y3563" s="4" t="inlineStr">
        <is>
          <t>CERO_DIRECTO</t>
        </is>
      </c>
      <c r="Z3563" s="4" t="inlineStr">
        <is>
          <t>CH4</t>
        </is>
      </c>
      <c r="AA3563" s="13">
        <v>0.0</v>
      </c>
      <c r="AB3563" s="4" t="inlineStr">
        <is>
          <t>kg CH4/TJ</t>
        </is>
      </c>
      <c r="AL3563" s="4" t="inlineStr">
        <is>
          <t>No aplica — regla interna CERO_DIRECTO; NT-02, sección 9; hoja PARAMETROS</t>
        </is>
      </c>
      <c r="AM3563" s="4" t="inlineStr">
        <is>
          <t>Cero metodológico definido por la correspondencia contable; no procede de una celda numérica independiente de la CRT.</t>
        </is>
      </c>
    </row>
    <row r="3564">
      <c r="A3564" s="4" t="inlineStr">
        <is>
          <t>FACTOR_EMISION_OBS</t>
        </is>
      </c>
      <c r="B3564" s="4" t="inlineStr">
        <is>
          <t>FE_COMB|2021|1.A.3|CERO_DIRECTO|N2O</t>
        </is>
      </c>
      <c r="C3564" s="4" t="inlineStr">
        <is>
          <t>2021|1.A.3|CERO_DIRECTO|N2O</t>
        </is>
      </c>
      <c r="D3564" s="12">
        <v>2021.0</v>
      </c>
      <c r="E3564" s="12">
        <v>2021.0</v>
      </c>
      <c r="F3564" s="4" t="inlineStr">
        <is>
          <t>CAL</t>
        </is>
      </c>
      <c r="G3564" s="4" t="inlineStr">
        <is>
          <t>METODO_EMISIONES</t>
        </is>
      </c>
      <c r="H3564" s="4" t="inlineStr">
        <is>
          <t>Regla metodológica de emisión directa cero</t>
        </is>
      </c>
      <c r="J3564" s="4" t="inlineStr">
        <is>
          <t>PARAM|CERO|1.A.3|N2O</t>
        </is>
      </c>
      <c r="Q3564" s="4" t="inlineStr">
        <is>
          <t>CERO_DIRECTO</t>
        </is>
      </c>
      <c r="W3564" s="4" t="inlineStr">
        <is>
          <t>1.A.3</t>
        </is>
      </c>
      <c r="Y3564" s="4" t="inlineStr">
        <is>
          <t>CERO_DIRECTO</t>
        </is>
      </c>
      <c r="Z3564" s="4" t="inlineStr">
        <is>
          <t>N2O</t>
        </is>
      </c>
      <c r="AA3564" s="13">
        <v>0.0</v>
      </c>
      <c r="AB3564" s="4" t="inlineStr">
        <is>
          <t>kg N2O/TJ</t>
        </is>
      </c>
      <c r="AL3564" s="4" t="inlineStr">
        <is>
          <t>No aplica — regla interna CERO_DIRECTO; NT-02, sección 9; hoja PARAMETROS</t>
        </is>
      </c>
      <c r="AM3564" s="4" t="inlineStr">
        <is>
          <t>Cero metodológico definido por la correspondencia contable; no procede de una celda numérica independiente de la CRT.</t>
        </is>
      </c>
    </row>
    <row r="3565">
      <c r="A3565" s="4" t="inlineStr">
        <is>
          <t>FACTOR_EMISION_OBS</t>
        </is>
      </c>
      <c r="B3565" s="4" t="inlineStr">
        <is>
          <t>FE_COMB|2021|1.A.4.a|CERO_DIRECTO|CO2</t>
        </is>
      </c>
      <c r="C3565" s="4" t="inlineStr">
        <is>
          <t>2021|1.A.4.a|CERO_DIRECTO|CO2</t>
        </is>
      </c>
      <c r="D3565" s="12">
        <v>2021.0</v>
      </c>
      <c r="E3565" s="12">
        <v>2021.0</v>
      </c>
      <c r="F3565" s="4" t="inlineStr">
        <is>
          <t>CAL</t>
        </is>
      </c>
      <c r="G3565" s="4" t="inlineStr">
        <is>
          <t>METODO_EMISIONES</t>
        </is>
      </c>
      <c r="H3565" s="4" t="inlineStr">
        <is>
          <t>Regla metodológica de emisión directa cero</t>
        </is>
      </c>
      <c r="J3565" s="4" t="inlineStr">
        <is>
          <t>PARAM|CERO|1.A.4.a|CO2</t>
        </is>
      </c>
      <c r="Q3565" s="4" t="inlineStr">
        <is>
          <t>CERO_DIRECTO</t>
        </is>
      </c>
      <c r="W3565" s="4" t="inlineStr">
        <is>
          <t>1.A.4.a</t>
        </is>
      </c>
      <c r="Y3565" s="4" t="inlineStr">
        <is>
          <t>CERO_DIRECTO</t>
        </is>
      </c>
      <c r="Z3565" s="4" t="inlineStr">
        <is>
          <t>CO2</t>
        </is>
      </c>
      <c r="AA3565" s="13">
        <v>0.0</v>
      </c>
      <c r="AB3565" s="4" t="inlineStr">
        <is>
          <t>kg CO2/TJ</t>
        </is>
      </c>
      <c r="AL3565" s="4" t="inlineStr">
        <is>
          <t>No aplica — regla interna CERO_DIRECTO; NT-02, sección 9; hoja PARAMETROS</t>
        </is>
      </c>
      <c r="AM3565" s="4" t="inlineStr">
        <is>
          <t>Cero metodológico definido por la correspondencia contable; no procede de una celda numérica independiente de la CRT.</t>
        </is>
      </c>
    </row>
    <row r="3566">
      <c r="A3566" s="4" t="inlineStr">
        <is>
          <t>FACTOR_EMISION_OBS</t>
        </is>
      </c>
      <c r="B3566" s="4" t="inlineStr">
        <is>
          <t>FE_COMB|2021|1.A.4.a|CERO_DIRECTO|CH4</t>
        </is>
      </c>
      <c r="C3566" s="4" t="inlineStr">
        <is>
          <t>2021|1.A.4.a|CERO_DIRECTO|CH4</t>
        </is>
      </c>
      <c r="D3566" s="12">
        <v>2021.0</v>
      </c>
      <c r="E3566" s="12">
        <v>2021.0</v>
      </c>
      <c r="F3566" s="4" t="inlineStr">
        <is>
          <t>CAL</t>
        </is>
      </c>
      <c r="G3566" s="4" t="inlineStr">
        <is>
          <t>METODO_EMISIONES</t>
        </is>
      </c>
      <c r="H3566" s="4" t="inlineStr">
        <is>
          <t>Regla metodológica de emisión directa cero</t>
        </is>
      </c>
      <c r="J3566" s="4" t="inlineStr">
        <is>
          <t>PARAM|CERO|1.A.4.a|CH4</t>
        </is>
      </c>
      <c r="Q3566" s="4" t="inlineStr">
        <is>
          <t>CERO_DIRECTO</t>
        </is>
      </c>
      <c r="W3566" s="4" t="inlineStr">
        <is>
          <t>1.A.4.a</t>
        </is>
      </c>
      <c r="Y3566" s="4" t="inlineStr">
        <is>
          <t>CERO_DIRECTO</t>
        </is>
      </c>
      <c r="Z3566" s="4" t="inlineStr">
        <is>
          <t>CH4</t>
        </is>
      </c>
      <c r="AA3566" s="13">
        <v>0.0</v>
      </c>
      <c r="AB3566" s="4" t="inlineStr">
        <is>
          <t>kg CH4/TJ</t>
        </is>
      </c>
      <c r="AL3566" s="4" t="inlineStr">
        <is>
          <t>No aplica — regla interna CERO_DIRECTO; NT-02, sección 9; hoja PARAMETROS</t>
        </is>
      </c>
      <c r="AM3566" s="4" t="inlineStr">
        <is>
          <t>Cero metodológico definido por la correspondencia contable; no procede de una celda numérica independiente de la CRT.</t>
        </is>
      </c>
    </row>
    <row r="3567">
      <c r="A3567" s="4" t="inlineStr">
        <is>
          <t>FACTOR_EMISION_OBS</t>
        </is>
      </c>
      <c r="B3567" s="4" t="inlineStr">
        <is>
          <t>FE_COMB|2021|1.A.4.a|CERO_DIRECTO|N2O</t>
        </is>
      </c>
      <c r="C3567" s="4" t="inlineStr">
        <is>
          <t>2021|1.A.4.a|CERO_DIRECTO|N2O</t>
        </is>
      </c>
      <c r="D3567" s="12">
        <v>2021.0</v>
      </c>
      <c r="E3567" s="12">
        <v>2021.0</v>
      </c>
      <c r="F3567" s="4" t="inlineStr">
        <is>
          <t>CAL</t>
        </is>
      </c>
      <c r="G3567" s="4" t="inlineStr">
        <is>
          <t>METODO_EMISIONES</t>
        </is>
      </c>
      <c r="H3567" s="4" t="inlineStr">
        <is>
          <t>Regla metodológica de emisión directa cero</t>
        </is>
      </c>
      <c r="J3567" s="4" t="inlineStr">
        <is>
          <t>PARAM|CERO|1.A.4.a|N2O</t>
        </is>
      </c>
      <c r="Q3567" s="4" t="inlineStr">
        <is>
          <t>CERO_DIRECTO</t>
        </is>
      </c>
      <c r="W3567" s="4" t="inlineStr">
        <is>
          <t>1.A.4.a</t>
        </is>
      </c>
      <c r="Y3567" s="4" t="inlineStr">
        <is>
          <t>CERO_DIRECTO</t>
        </is>
      </c>
      <c r="Z3567" s="4" t="inlineStr">
        <is>
          <t>N2O</t>
        </is>
      </c>
      <c r="AA3567" s="13">
        <v>0.0</v>
      </c>
      <c r="AB3567" s="4" t="inlineStr">
        <is>
          <t>kg N2O/TJ</t>
        </is>
      </c>
      <c r="AL3567" s="4" t="inlineStr">
        <is>
          <t>No aplica — regla interna CERO_DIRECTO; NT-02, sección 9; hoja PARAMETROS</t>
        </is>
      </c>
      <c r="AM3567" s="4" t="inlineStr">
        <is>
          <t>Cero metodológico definido por la correspondencia contable; no procede de una celda numérica independiente de la CRT.</t>
        </is>
      </c>
    </row>
    <row r="3568">
      <c r="A3568" s="4" t="inlineStr">
        <is>
          <t>FACTOR_EMISION_OBS</t>
        </is>
      </c>
      <c r="B3568" s="4" t="inlineStr">
        <is>
          <t>FE_COMB|2021|1.A.4.b|CERO_DIRECTO|CO2</t>
        </is>
      </c>
      <c r="C3568" s="4" t="inlineStr">
        <is>
          <t>2021|1.A.4.b|CERO_DIRECTO|CO2</t>
        </is>
      </c>
      <c r="D3568" s="12">
        <v>2021.0</v>
      </c>
      <c r="E3568" s="12">
        <v>2021.0</v>
      </c>
      <c r="F3568" s="4" t="inlineStr">
        <is>
          <t>CAL</t>
        </is>
      </c>
      <c r="G3568" s="4" t="inlineStr">
        <is>
          <t>METODO_EMISIONES</t>
        </is>
      </c>
      <c r="H3568" s="4" t="inlineStr">
        <is>
          <t>Regla metodológica de emisión directa cero</t>
        </is>
      </c>
      <c r="J3568" s="4" t="inlineStr">
        <is>
          <t>PARAM|CERO|1.A.4.b|CO2</t>
        </is>
      </c>
      <c r="Q3568" s="4" t="inlineStr">
        <is>
          <t>CERO_DIRECTO</t>
        </is>
      </c>
      <c r="W3568" s="4" t="inlineStr">
        <is>
          <t>1.A.4.b</t>
        </is>
      </c>
      <c r="Y3568" s="4" t="inlineStr">
        <is>
          <t>CERO_DIRECTO</t>
        </is>
      </c>
      <c r="Z3568" s="4" t="inlineStr">
        <is>
          <t>CO2</t>
        </is>
      </c>
      <c r="AA3568" s="13">
        <v>0.0</v>
      </c>
      <c r="AB3568" s="4" t="inlineStr">
        <is>
          <t>kg CO2/TJ</t>
        </is>
      </c>
      <c r="AL3568" s="4" t="inlineStr">
        <is>
          <t>No aplica — regla interna CERO_DIRECTO; NT-02, sección 9; hoja PARAMETROS</t>
        </is>
      </c>
      <c r="AM3568" s="4" t="inlineStr">
        <is>
          <t>Cero metodológico definido por la correspondencia contable; no procede de una celda numérica independiente de la CRT.</t>
        </is>
      </c>
    </row>
    <row r="3569">
      <c r="A3569" s="4" t="inlineStr">
        <is>
          <t>FACTOR_EMISION_OBS</t>
        </is>
      </c>
      <c r="B3569" s="4" t="inlineStr">
        <is>
          <t>FE_COMB|2021|1.A.4.b|CERO_DIRECTO|CH4</t>
        </is>
      </c>
      <c r="C3569" s="4" t="inlineStr">
        <is>
          <t>2021|1.A.4.b|CERO_DIRECTO|CH4</t>
        </is>
      </c>
      <c r="D3569" s="12">
        <v>2021.0</v>
      </c>
      <c r="E3569" s="12">
        <v>2021.0</v>
      </c>
      <c r="F3569" s="4" t="inlineStr">
        <is>
          <t>CAL</t>
        </is>
      </c>
      <c r="G3569" s="4" t="inlineStr">
        <is>
          <t>METODO_EMISIONES</t>
        </is>
      </c>
      <c r="H3569" s="4" t="inlineStr">
        <is>
          <t>Regla metodológica de emisión directa cero</t>
        </is>
      </c>
      <c r="J3569" s="4" t="inlineStr">
        <is>
          <t>PARAM|CERO|1.A.4.b|CH4</t>
        </is>
      </c>
      <c r="Q3569" s="4" t="inlineStr">
        <is>
          <t>CERO_DIRECTO</t>
        </is>
      </c>
      <c r="W3569" s="4" t="inlineStr">
        <is>
          <t>1.A.4.b</t>
        </is>
      </c>
      <c r="Y3569" s="4" t="inlineStr">
        <is>
          <t>CERO_DIRECTO</t>
        </is>
      </c>
      <c r="Z3569" s="4" t="inlineStr">
        <is>
          <t>CH4</t>
        </is>
      </c>
      <c r="AA3569" s="13">
        <v>0.0</v>
      </c>
      <c r="AB3569" s="4" t="inlineStr">
        <is>
          <t>kg CH4/TJ</t>
        </is>
      </c>
      <c r="AL3569" s="4" t="inlineStr">
        <is>
          <t>No aplica — regla interna CERO_DIRECTO; NT-02, sección 9; hoja PARAMETROS</t>
        </is>
      </c>
      <c r="AM3569" s="4" t="inlineStr">
        <is>
          <t>Cero metodológico definido por la correspondencia contable; no procede de una celda numérica independiente de la CRT.</t>
        </is>
      </c>
    </row>
    <row r="3570">
      <c r="A3570" s="4" t="inlineStr">
        <is>
          <t>FACTOR_EMISION_OBS</t>
        </is>
      </c>
      <c r="B3570" s="4" t="inlineStr">
        <is>
          <t>FE_COMB|2021|1.A.4.b|CERO_DIRECTO|N2O</t>
        </is>
      </c>
      <c r="C3570" s="4" t="inlineStr">
        <is>
          <t>2021|1.A.4.b|CERO_DIRECTO|N2O</t>
        </is>
      </c>
      <c r="D3570" s="12">
        <v>2021.0</v>
      </c>
      <c r="E3570" s="12">
        <v>2021.0</v>
      </c>
      <c r="F3570" s="4" t="inlineStr">
        <is>
          <t>CAL</t>
        </is>
      </c>
      <c r="G3570" s="4" t="inlineStr">
        <is>
          <t>METODO_EMISIONES</t>
        </is>
      </c>
      <c r="H3570" s="4" t="inlineStr">
        <is>
          <t>Regla metodológica de emisión directa cero</t>
        </is>
      </c>
      <c r="J3570" s="4" t="inlineStr">
        <is>
          <t>PARAM|CERO|1.A.4.b|N2O</t>
        </is>
      </c>
      <c r="Q3570" s="4" t="inlineStr">
        <is>
          <t>CERO_DIRECTO</t>
        </is>
      </c>
      <c r="W3570" s="4" t="inlineStr">
        <is>
          <t>1.A.4.b</t>
        </is>
      </c>
      <c r="Y3570" s="4" t="inlineStr">
        <is>
          <t>CERO_DIRECTO</t>
        </is>
      </c>
      <c r="Z3570" s="4" t="inlineStr">
        <is>
          <t>N2O</t>
        </is>
      </c>
      <c r="AA3570" s="13">
        <v>0.0</v>
      </c>
      <c r="AB3570" s="4" t="inlineStr">
        <is>
          <t>kg N2O/TJ</t>
        </is>
      </c>
      <c r="AL3570" s="4" t="inlineStr">
        <is>
          <t>No aplica — regla interna CERO_DIRECTO; NT-02, sección 9; hoja PARAMETROS</t>
        </is>
      </c>
      <c r="AM3570" s="4" t="inlineStr">
        <is>
          <t>Cero metodológico definido por la correspondencia contable; no procede de una celda numérica independiente de la CRT.</t>
        </is>
      </c>
    </row>
    <row r="3571">
      <c r="A3571" s="4" t="inlineStr">
        <is>
          <t>FACTOR_EMISION_OBS</t>
        </is>
      </c>
      <c r="B3571" s="4" t="inlineStr">
        <is>
          <t>FE_NO|2021|1.A.1.c|NO|CO2</t>
        </is>
      </c>
      <c r="C3571" s="4" t="inlineStr">
        <is>
          <t>2021|1.A.1.c|NO|CO2</t>
        </is>
      </c>
      <c r="D3571" s="12">
        <v>2021.0</v>
      </c>
      <c r="E3571" s="12">
        <v>2021.0</v>
      </c>
      <c r="F3571" s="4" t="inlineStr">
        <is>
          <t>NO</t>
        </is>
      </c>
      <c r="G3571" s="4" t="inlineStr">
        <is>
          <t>UNFCCC_GTM_CRT_2024</t>
        </is>
      </c>
      <c r="H3571" s="4" t="inlineStr">
        <is>
          <t>Guatemala. 2024 Common Reporting Table (CRT)</t>
        </is>
      </c>
      <c r="I3571" s="4" t="inlineStr">
        <is>
          <t>https://unfccc.int/reports?f%5B0%5D=corporate_author%3A206</t>
        </is>
      </c>
      <c r="J3571" s="4" t="inlineStr">
        <is>
          <t>FE_NO|2021|1.A.1.c|NO|CO2</t>
        </is>
      </c>
      <c r="Q3571" s="4" t="inlineStr">
        <is>
          <t>SIN_FACTOR_NUMERICO</t>
        </is>
      </c>
      <c r="W3571" s="4" t="inlineStr">
        <is>
          <t>1.A.1.c</t>
        </is>
      </c>
      <c r="Y3571" s="4" t="inlineStr">
        <is>
          <t>NO</t>
        </is>
      </c>
      <c r="Z3571" s="4" t="inlineStr">
        <is>
          <t>CO2</t>
        </is>
      </c>
      <c r="AB3571" s="4" t="inlineStr">
        <is>
          <t>kg CO2/TJ</t>
        </is>
      </c>
      <c r="AL3571" s="4" t="inlineStr">
        <is>
          <t>Table1.A; localizador a nivel de tabla; sin registro numérico</t>
        </is>
      </c>
      <c r="AM3571" s="4" t="inlineStr">
        <is>
          <t>Se conserva el estado NO porque la fuente no aporta un factor numérico para la clave interna FE_NO|2021|1.A.1.c|NO|CO2.</t>
        </is>
      </c>
    </row>
    <row r="3572">
      <c r="A3572" s="4" t="inlineStr">
        <is>
          <t>FACTOR_EMISION_OBS</t>
        </is>
      </c>
      <c r="B3572" s="4" t="inlineStr">
        <is>
          <t>FE_NO|2021|1.A.1.c|NO|CH4</t>
        </is>
      </c>
      <c r="C3572" s="4" t="inlineStr">
        <is>
          <t>2021|1.A.1.c|NO|CH4</t>
        </is>
      </c>
      <c r="D3572" s="12">
        <v>2021.0</v>
      </c>
      <c r="E3572" s="12">
        <v>2021.0</v>
      </c>
      <c r="F3572" s="4" t="inlineStr">
        <is>
          <t>NO</t>
        </is>
      </c>
      <c r="G3572" s="4" t="inlineStr">
        <is>
          <t>UNFCCC_GTM_CRT_2024</t>
        </is>
      </c>
      <c r="H3572" s="4" t="inlineStr">
        <is>
          <t>Guatemala. 2024 Common Reporting Table (CRT)</t>
        </is>
      </c>
      <c r="I3572" s="4" t="inlineStr">
        <is>
          <t>https://unfccc.int/reports?f%5B0%5D=corporate_author%3A206</t>
        </is>
      </c>
      <c r="J3572" s="4" t="inlineStr">
        <is>
          <t>FE_NO|2021|1.A.1.c|NO|CH4</t>
        </is>
      </c>
      <c r="Q3572" s="4" t="inlineStr">
        <is>
          <t>SIN_FACTOR_NUMERICO</t>
        </is>
      </c>
      <c r="W3572" s="4" t="inlineStr">
        <is>
          <t>1.A.1.c</t>
        </is>
      </c>
      <c r="Y3572" s="4" t="inlineStr">
        <is>
          <t>NO</t>
        </is>
      </c>
      <c r="Z3572" s="4" t="inlineStr">
        <is>
          <t>CH4</t>
        </is>
      </c>
      <c r="AB3572" s="4" t="inlineStr">
        <is>
          <t>kg CH4/TJ</t>
        </is>
      </c>
      <c r="AL3572" s="4" t="inlineStr">
        <is>
          <t>Table1.A; localizador a nivel de tabla; sin registro numérico</t>
        </is>
      </c>
      <c r="AM3572" s="4" t="inlineStr">
        <is>
          <t>Se conserva el estado NO porque la fuente no aporta un factor numérico para la clave interna FE_NO|2021|1.A.1.c|NO|CH4.</t>
        </is>
      </c>
    </row>
    <row r="3573">
      <c r="A3573" s="4" t="inlineStr">
        <is>
          <t>FACTOR_EMISION_OBS</t>
        </is>
      </c>
      <c r="B3573" s="4" t="inlineStr">
        <is>
          <t>FE_NO|2021|1.A.1.c|NO|N2O</t>
        </is>
      </c>
      <c r="C3573" s="4" t="inlineStr">
        <is>
          <t>2021|1.A.1.c|NO|N2O</t>
        </is>
      </c>
      <c r="D3573" s="12">
        <v>2021.0</v>
      </c>
      <c r="E3573" s="12">
        <v>2021.0</v>
      </c>
      <c r="F3573" s="4" t="inlineStr">
        <is>
          <t>NO</t>
        </is>
      </c>
      <c r="G3573" s="4" t="inlineStr">
        <is>
          <t>UNFCCC_GTM_CRT_2024</t>
        </is>
      </c>
      <c r="H3573" s="4" t="inlineStr">
        <is>
          <t>Guatemala. 2024 Common Reporting Table (CRT)</t>
        </is>
      </c>
      <c r="I3573" s="4" t="inlineStr">
        <is>
          <t>https://unfccc.int/reports?f%5B0%5D=corporate_author%3A206</t>
        </is>
      </c>
      <c r="J3573" s="4" t="inlineStr">
        <is>
          <t>FE_NO|2021|1.A.1.c|NO|N2O</t>
        </is>
      </c>
      <c r="Q3573" s="4" t="inlineStr">
        <is>
          <t>SIN_FACTOR_NUMERICO</t>
        </is>
      </c>
      <c r="W3573" s="4" t="inlineStr">
        <is>
          <t>1.A.1.c</t>
        </is>
      </c>
      <c r="Y3573" s="4" t="inlineStr">
        <is>
          <t>NO</t>
        </is>
      </c>
      <c r="Z3573" s="4" t="inlineStr">
        <is>
          <t>N2O</t>
        </is>
      </c>
      <c r="AB3573" s="4" t="inlineStr">
        <is>
          <t>kg N2O/TJ</t>
        </is>
      </c>
      <c r="AL3573" s="4" t="inlineStr">
        <is>
          <t>Table1.A; localizador a nivel de tabla; sin registro numérico</t>
        </is>
      </c>
      <c r="AM3573" s="4" t="inlineStr">
        <is>
          <t>Se conserva el estado NO porque la fuente no aporta un factor numérico para la clave interna FE_NO|2021|1.A.1.c|NO|N2O.</t>
        </is>
      </c>
    </row>
    <row r="3574">
      <c r="A3574" s="4" t="inlineStr">
        <is>
          <t>FACTOR_EMISION_OBS</t>
        </is>
      </c>
      <c r="B3574" s="4" t="inlineStr">
        <is>
          <t>FE_NO|2021|1.A.4.c|NO|CO2</t>
        </is>
      </c>
      <c r="C3574" s="4" t="inlineStr">
        <is>
          <t>2021|1.A.4.c|NO|CO2</t>
        </is>
      </c>
      <c r="D3574" s="12">
        <v>2021.0</v>
      </c>
      <c r="E3574" s="12">
        <v>2021.0</v>
      </c>
      <c r="F3574" s="4" t="inlineStr">
        <is>
          <t>NO</t>
        </is>
      </c>
      <c r="G3574" s="4" t="inlineStr">
        <is>
          <t>UNFCCC_GTM_CRT_2024</t>
        </is>
      </c>
      <c r="H3574" s="4" t="inlineStr">
        <is>
          <t>Guatemala. 2024 Common Reporting Table (CRT)</t>
        </is>
      </c>
      <c r="I3574" s="4" t="inlineStr">
        <is>
          <t>https://unfccc.int/reports?f%5B0%5D=corporate_author%3A206</t>
        </is>
      </c>
      <c r="J3574" s="4" t="inlineStr">
        <is>
          <t>FE_NO|2021|1.A.4.c|NO|CO2</t>
        </is>
      </c>
      <c r="Q3574" s="4" t="inlineStr">
        <is>
          <t>SIN_FACTOR_NUMERICO</t>
        </is>
      </c>
      <c r="W3574" s="4" t="inlineStr">
        <is>
          <t>1.A.4.c</t>
        </is>
      </c>
      <c r="Y3574" s="4" t="inlineStr">
        <is>
          <t>NO</t>
        </is>
      </c>
      <c r="Z3574" s="4" t="inlineStr">
        <is>
          <t>CO2</t>
        </is>
      </c>
      <c r="AB3574" s="4" t="inlineStr">
        <is>
          <t>kg CO2/TJ</t>
        </is>
      </c>
      <c r="AL3574" s="4" t="inlineStr">
        <is>
          <t>Table1.A; localizador a nivel de tabla; sin registro numérico</t>
        </is>
      </c>
      <c r="AM3574" s="4" t="inlineStr">
        <is>
          <t>Se conserva el estado NO porque la fuente no aporta un factor numérico para la clave interna FE_NO|2021|1.A.4.c|NO|CO2.</t>
        </is>
      </c>
    </row>
    <row r="3575">
      <c r="A3575" s="4" t="inlineStr">
        <is>
          <t>FACTOR_EMISION_OBS</t>
        </is>
      </c>
      <c r="B3575" s="4" t="inlineStr">
        <is>
          <t>FE_NO|2021|1.A.4.c|NO|CH4</t>
        </is>
      </c>
      <c r="C3575" s="4" t="inlineStr">
        <is>
          <t>2021|1.A.4.c|NO|CH4</t>
        </is>
      </c>
      <c r="D3575" s="12">
        <v>2021.0</v>
      </c>
      <c r="E3575" s="12">
        <v>2021.0</v>
      </c>
      <c r="F3575" s="4" t="inlineStr">
        <is>
          <t>NO</t>
        </is>
      </c>
      <c r="G3575" s="4" t="inlineStr">
        <is>
          <t>UNFCCC_GTM_CRT_2024</t>
        </is>
      </c>
      <c r="H3575" s="4" t="inlineStr">
        <is>
          <t>Guatemala. 2024 Common Reporting Table (CRT)</t>
        </is>
      </c>
      <c r="I3575" s="4" t="inlineStr">
        <is>
          <t>https://unfccc.int/reports?f%5B0%5D=corporate_author%3A206</t>
        </is>
      </c>
      <c r="J3575" s="4" t="inlineStr">
        <is>
          <t>FE_NO|2021|1.A.4.c|NO|CH4</t>
        </is>
      </c>
      <c r="Q3575" s="4" t="inlineStr">
        <is>
          <t>SIN_FACTOR_NUMERICO</t>
        </is>
      </c>
      <c r="W3575" s="4" t="inlineStr">
        <is>
          <t>1.A.4.c</t>
        </is>
      </c>
      <c r="Y3575" s="4" t="inlineStr">
        <is>
          <t>NO</t>
        </is>
      </c>
      <c r="Z3575" s="4" t="inlineStr">
        <is>
          <t>CH4</t>
        </is>
      </c>
      <c r="AB3575" s="4" t="inlineStr">
        <is>
          <t>kg CH4/TJ</t>
        </is>
      </c>
      <c r="AL3575" s="4" t="inlineStr">
        <is>
          <t>Table1.A; localizador a nivel de tabla; sin registro numérico</t>
        </is>
      </c>
      <c r="AM3575" s="4" t="inlineStr">
        <is>
          <t>Se conserva el estado NO porque la fuente no aporta un factor numérico para la clave interna FE_NO|2021|1.A.4.c|NO|CH4.</t>
        </is>
      </c>
    </row>
    <row r="3576">
      <c r="A3576" s="4" t="inlineStr">
        <is>
          <t>FACTOR_EMISION_OBS</t>
        </is>
      </c>
      <c r="B3576" s="4" t="inlineStr">
        <is>
          <t>FE_NO|2021|1.A.4.c|NO|N2O</t>
        </is>
      </c>
      <c r="C3576" s="4" t="inlineStr">
        <is>
          <t>2021|1.A.4.c|NO|N2O</t>
        </is>
      </c>
      <c r="D3576" s="12">
        <v>2021.0</v>
      </c>
      <c r="E3576" s="12">
        <v>2021.0</v>
      </c>
      <c r="F3576" s="4" t="inlineStr">
        <is>
          <t>NO</t>
        </is>
      </c>
      <c r="G3576" s="4" t="inlineStr">
        <is>
          <t>UNFCCC_GTM_CRT_2024</t>
        </is>
      </c>
      <c r="H3576" s="4" t="inlineStr">
        <is>
          <t>Guatemala. 2024 Common Reporting Table (CRT)</t>
        </is>
      </c>
      <c r="I3576" s="4" t="inlineStr">
        <is>
          <t>https://unfccc.int/reports?f%5B0%5D=corporate_author%3A206</t>
        </is>
      </c>
      <c r="J3576" s="4" t="inlineStr">
        <is>
          <t>FE_NO|2021|1.A.4.c|NO|N2O</t>
        </is>
      </c>
      <c r="Q3576" s="4" t="inlineStr">
        <is>
          <t>SIN_FACTOR_NUMERICO</t>
        </is>
      </c>
      <c r="W3576" s="4" t="inlineStr">
        <is>
          <t>1.A.4.c</t>
        </is>
      </c>
      <c r="Y3576" s="4" t="inlineStr">
        <is>
          <t>NO</t>
        </is>
      </c>
      <c r="Z3576" s="4" t="inlineStr">
        <is>
          <t>N2O</t>
        </is>
      </c>
      <c r="AB3576" s="4" t="inlineStr">
        <is>
          <t>kg N2O/TJ</t>
        </is>
      </c>
      <c r="AL3576" s="4" t="inlineStr">
        <is>
          <t>Table1.A; localizador a nivel de tabla; sin registro numérico</t>
        </is>
      </c>
      <c r="AM3576" s="4" t="inlineStr">
        <is>
          <t>Se conserva el estado NO porque la fuente no aporta un factor numérico para la clave interna FE_NO|2021|1.A.4.c|NO|N2O.</t>
        </is>
      </c>
    </row>
    <row r="3577">
      <c r="A3577" s="4" t="inlineStr">
        <is>
          <t>FACTOR_EMISION_OBS</t>
        </is>
      </c>
      <c r="B3577" s="4" t="inlineStr">
        <is>
          <t>FE_NO|2021|1.B.1.a|NO|CO2</t>
        </is>
      </c>
      <c r="C3577" s="4" t="inlineStr">
        <is>
          <t>2021|1.B.1.a|NO|CO2</t>
        </is>
      </c>
      <c r="D3577" s="12">
        <v>2021.0</v>
      </c>
      <c r="E3577" s="12">
        <v>2021.0</v>
      </c>
      <c r="F3577" s="4" t="inlineStr">
        <is>
          <t>NO</t>
        </is>
      </c>
      <c r="G3577" s="4" t="inlineStr">
        <is>
          <t>UNFCCC_GTM_CRT_2024</t>
        </is>
      </c>
      <c r="H3577" s="4" t="inlineStr">
        <is>
          <t>Guatemala. 2024 Common Reporting Table (CRT)</t>
        </is>
      </c>
      <c r="I3577" s="4" t="inlineStr">
        <is>
          <t>https://unfccc.int/reports?f%5B0%5D=corporate_author%3A206</t>
        </is>
      </c>
      <c r="J3577" s="4" t="inlineStr">
        <is>
          <t>FE_NO|2021|1.B.1.a|NO|CO2</t>
        </is>
      </c>
      <c r="Q3577" s="4" t="inlineStr">
        <is>
          <t>SIN_FACTOR_NUMERICO</t>
        </is>
      </c>
      <c r="W3577" s="4" t="inlineStr">
        <is>
          <t>1.B.1.a</t>
        </is>
      </c>
      <c r="Y3577" s="4" t="inlineStr">
        <is>
          <t>NO</t>
        </is>
      </c>
      <c r="Z3577" s="4" t="inlineStr">
        <is>
          <t>CO2</t>
        </is>
      </c>
      <c r="AB3577" s="4" t="inlineStr">
        <is>
          <t>kg CO2/TJ</t>
        </is>
      </c>
      <c r="AL3577" s="4" t="inlineStr">
        <is>
          <t>Table1.B.2; localizador a nivel de tabla; sin registro numérico</t>
        </is>
      </c>
      <c r="AM3577" s="4" t="inlineStr">
        <is>
          <t>Se conserva el estado NO porque la fuente no aporta un factor numérico para la clave interna FE_NO|2021|1.B.1.a|NO|CO2.</t>
        </is>
      </c>
    </row>
    <row r="3578">
      <c r="A3578" s="4" t="inlineStr">
        <is>
          <t>FACTOR_EMISION_OBS</t>
        </is>
      </c>
      <c r="B3578" s="4" t="inlineStr">
        <is>
          <t>FE_NO|2021|1.B.1.a|NO|CH4</t>
        </is>
      </c>
      <c r="C3578" s="4" t="inlineStr">
        <is>
          <t>2021|1.B.1.a|NO|CH4</t>
        </is>
      </c>
      <c r="D3578" s="12">
        <v>2021.0</v>
      </c>
      <c r="E3578" s="12">
        <v>2021.0</v>
      </c>
      <c r="F3578" s="4" t="inlineStr">
        <is>
          <t>NO</t>
        </is>
      </c>
      <c r="G3578" s="4" t="inlineStr">
        <is>
          <t>UNFCCC_GTM_CRT_2024</t>
        </is>
      </c>
      <c r="H3578" s="4" t="inlineStr">
        <is>
          <t>Guatemala. 2024 Common Reporting Table (CRT)</t>
        </is>
      </c>
      <c r="I3578" s="4" t="inlineStr">
        <is>
          <t>https://unfccc.int/reports?f%5B0%5D=corporate_author%3A206</t>
        </is>
      </c>
      <c r="J3578" s="4" t="inlineStr">
        <is>
          <t>FE_NO|2021|1.B.1.a|NO|CH4</t>
        </is>
      </c>
      <c r="Q3578" s="4" t="inlineStr">
        <is>
          <t>SIN_FACTOR_NUMERICO</t>
        </is>
      </c>
      <c r="W3578" s="4" t="inlineStr">
        <is>
          <t>1.B.1.a</t>
        </is>
      </c>
      <c r="Y3578" s="4" t="inlineStr">
        <is>
          <t>NO</t>
        </is>
      </c>
      <c r="Z3578" s="4" t="inlineStr">
        <is>
          <t>CH4</t>
        </is>
      </c>
      <c r="AB3578" s="4" t="inlineStr">
        <is>
          <t>kg CH4/TJ</t>
        </is>
      </c>
      <c r="AL3578" s="4" t="inlineStr">
        <is>
          <t>Table1.B.2; localizador a nivel de tabla; sin registro numérico</t>
        </is>
      </c>
      <c r="AM3578" s="4" t="inlineStr">
        <is>
          <t>Se conserva el estado NO porque la fuente no aporta un factor numérico para la clave interna FE_NO|2021|1.B.1.a|NO|CH4.</t>
        </is>
      </c>
    </row>
    <row r="3579">
      <c r="A3579" s="4" t="inlineStr">
        <is>
          <t>FACTOR_EMISION_OBS</t>
        </is>
      </c>
      <c r="B3579" s="4" t="inlineStr">
        <is>
          <t>FE_NO|2021|1.B.1.a|NO|N2O</t>
        </is>
      </c>
      <c r="C3579" s="4" t="inlineStr">
        <is>
          <t>2021|1.B.1.a|NO|N2O</t>
        </is>
      </c>
      <c r="D3579" s="12">
        <v>2021.0</v>
      </c>
      <c r="E3579" s="12">
        <v>2021.0</v>
      </c>
      <c r="F3579" s="4" t="inlineStr">
        <is>
          <t>NO</t>
        </is>
      </c>
      <c r="G3579" s="4" t="inlineStr">
        <is>
          <t>UNFCCC_GTM_CRT_2024</t>
        </is>
      </c>
      <c r="H3579" s="4" t="inlineStr">
        <is>
          <t>Guatemala. 2024 Common Reporting Table (CRT)</t>
        </is>
      </c>
      <c r="I3579" s="4" t="inlineStr">
        <is>
          <t>https://unfccc.int/reports?f%5B0%5D=corporate_author%3A206</t>
        </is>
      </c>
      <c r="J3579" s="4" t="inlineStr">
        <is>
          <t>FE_NO|2021|1.B.1.a|NO|N2O</t>
        </is>
      </c>
      <c r="Q3579" s="4" t="inlineStr">
        <is>
          <t>SIN_FACTOR_NUMERICO</t>
        </is>
      </c>
      <c r="W3579" s="4" t="inlineStr">
        <is>
          <t>1.B.1.a</t>
        </is>
      </c>
      <c r="Y3579" s="4" t="inlineStr">
        <is>
          <t>NO</t>
        </is>
      </c>
      <c r="Z3579" s="4" t="inlineStr">
        <is>
          <t>N2O</t>
        </is>
      </c>
      <c r="AB3579" s="4" t="inlineStr">
        <is>
          <t>kg N2O/TJ</t>
        </is>
      </c>
      <c r="AL3579" s="4" t="inlineStr">
        <is>
          <t>Table1.B.2; localizador a nivel de tabla; sin registro numérico</t>
        </is>
      </c>
      <c r="AM3579" s="4" t="inlineStr">
        <is>
          <t>Se conserva el estado NO porque la fuente no aporta un factor numérico para la clave interna FE_NO|2021|1.B.1.a|NO|N2O.</t>
        </is>
      </c>
    </row>
    <row r="3580">
      <c r="A3580" s="4" t="inlineStr">
        <is>
          <t>FACTOR_EMISION_OBS</t>
        </is>
      </c>
      <c r="B3580" s="4" t="inlineStr">
        <is>
          <t>FE_NO|2021|1.B.2.b.ii|NO|CO2</t>
        </is>
      </c>
      <c r="C3580" s="4" t="inlineStr">
        <is>
          <t>2021|1.B.2.b.ii|NO|CO2</t>
        </is>
      </c>
      <c r="D3580" s="12">
        <v>2021.0</v>
      </c>
      <c r="E3580" s="12">
        <v>2021.0</v>
      </c>
      <c r="F3580" s="4" t="inlineStr">
        <is>
          <t>NO</t>
        </is>
      </c>
      <c r="G3580" s="4" t="inlineStr">
        <is>
          <t>UNFCCC_GTM_CRT_2024</t>
        </is>
      </c>
      <c r="H3580" s="4" t="inlineStr">
        <is>
          <t>Guatemala. 2024 Common Reporting Table (CRT)</t>
        </is>
      </c>
      <c r="I3580" s="4" t="inlineStr">
        <is>
          <t>https://unfccc.int/reports?f%5B0%5D=corporate_author%3A206</t>
        </is>
      </c>
      <c r="J3580" s="4" t="inlineStr">
        <is>
          <t>FE_NO|2021|1.B.2.b.ii|NO|CO2</t>
        </is>
      </c>
      <c r="Q3580" s="4" t="inlineStr">
        <is>
          <t>SIN_FACTOR_NUMERICO</t>
        </is>
      </c>
      <c r="W3580" s="4" t="inlineStr">
        <is>
          <t>1.B.2.b.ii</t>
        </is>
      </c>
      <c r="Y3580" s="4" t="inlineStr">
        <is>
          <t>NO</t>
        </is>
      </c>
      <c r="Z3580" s="4" t="inlineStr">
        <is>
          <t>CO2</t>
        </is>
      </c>
      <c r="AB3580" s="4" t="inlineStr">
        <is>
          <t>kg CO2/TJ</t>
        </is>
      </c>
      <c r="AL3580" s="4" t="inlineStr">
        <is>
          <t>Table1.B.2; localizador a nivel de tabla; sin registro numérico</t>
        </is>
      </c>
      <c r="AM3580" s="4" t="inlineStr">
        <is>
          <t>Se conserva el estado NO porque la fuente no aporta un factor numérico para la clave interna FE_NO|2021|1.B.2.b.ii|NO|CO2.</t>
        </is>
      </c>
    </row>
    <row r="3581">
      <c r="A3581" s="4" t="inlineStr">
        <is>
          <t>FACTOR_EMISION_OBS</t>
        </is>
      </c>
      <c r="B3581" s="4" t="inlineStr">
        <is>
          <t>FE_NO|2021|1.B.2.b.ii|NO|CH4</t>
        </is>
      </c>
      <c r="C3581" s="4" t="inlineStr">
        <is>
          <t>2021|1.B.2.b.ii|NO|CH4</t>
        </is>
      </c>
      <c r="D3581" s="12">
        <v>2021.0</v>
      </c>
      <c r="E3581" s="12">
        <v>2021.0</v>
      </c>
      <c r="F3581" s="4" t="inlineStr">
        <is>
          <t>NO</t>
        </is>
      </c>
      <c r="G3581" s="4" t="inlineStr">
        <is>
          <t>UNFCCC_GTM_CRT_2024</t>
        </is>
      </c>
      <c r="H3581" s="4" t="inlineStr">
        <is>
          <t>Guatemala. 2024 Common Reporting Table (CRT)</t>
        </is>
      </c>
      <c r="I3581" s="4" t="inlineStr">
        <is>
          <t>https://unfccc.int/reports?f%5B0%5D=corporate_author%3A206</t>
        </is>
      </c>
      <c r="J3581" s="4" t="inlineStr">
        <is>
          <t>FE_NO|2021|1.B.2.b.ii|NO|CH4</t>
        </is>
      </c>
      <c r="Q3581" s="4" t="inlineStr">
        <is>
          <t>SIN_FACTOR_NUMERICO</t>
        </is>
      </c>
      <c r="W3581" s="4" t="inlineStr">
        <is>
          <t>1.B.2.b.ii</t>
        </is>
      </c>
      <c r="Y3581" s="4" t="inlineStr">
        <is>
          <t>NO</t>
        </is>
      </c>
      <c r="Z3581" s="4" t="inlineStr">
        <is>
          <t>CH4</t>
        </is>
      </c>
      <c r="AB3581" s="4" t="inlineStr">
        <is>
          <t>kg CH4/TJ</t>
        </is>
      </c>
      <c r="AL3581" s="4" t="inlineStr">
        <is>
          <t>Table1.B.2; localizador a nivel de tabla; sin registro numérico</t>
        </is>
      </c>
      <c r="AM3581" s="4" t="inlineStr">
        <is>
          <t>Se conserva el estado NO porque la fuente no aporta un factor numérico para la clave interna FE_NO|2021|1.B.2.b.ii|NO|CH4.</t>
        </is>
      </c>
    </row>
    <row r="3582">
      <c r="A3582" s="4" t="inlineStr">
        <is>
          <t>FACTOR_EMISION_OBS</t>
        </is>
      </c>
      <c r="B3582" s="4" t="inlineStr">
        <is>
          <t>FE_NO|2021|1.B.2.b.ii|NO|N2O</t>
        </is>
      </c>
      <c r="C3582" s="4" t="inlineStr">
        <is>
          <t>2021|1.B.2.b.ii|NO|N2O</t>
        </is>
      </c>
      <c r="D3582" s="12">
        <v>2021.0</v>
      </c>
      <c r="E3582" s="12">
        <v>2021.0</v>
      </c>
      <c r="F3582" s="4" t="inlineStr">
        <is>
          <t>NO</t>
        </is>
      </c>
      <c r="G3582" s="4" t="inlineStr">
        <is>
          <t>UNFCCC_GTM_CRT_2024</t>
        </is>
      </c>
      <c r="H3582" s="4" t="inlineStr">
        <is>
          <t>Guatemala. 2024 Common Reporting Table (CRT)</t>
        </is>
      </c>
      <c r="I3582" s="4" t="inlineStr">
        <is>
          <t>https://unfccc.int/reports?f%5B0%5D=corporate_author%3A206</t>
        </is>
      </c>
      <c r="J3582" s="4" t="inlineStr">
        <is>
          <t>FE_NO|2021|1.B.2.b.ii|NO|N2O</t>
        </is>
      </c>
      <c r="Q3582" s="4" t="inlineStr">
        <is>
          <t>SIN_FACTOR_NUMERICO</t>
        </is>
      </c>
      <c r="W3582" s="4" t="inlineStr">
        <is>
          <t>1.B.2.b.ii</t>
        </is>
      </c>
      <c r="Y3582" s="4" t="inlineStr">
        <is>
          <t>NO</t>
        </is>
      </c>
      <c r="Z3582" s="4" t="inlineStr">
        <is>
          <t>N2O</t>
        </is>
      </c>
      <c r="AB3582" s="4" t="inlineStr">
        <is>
          <t>kg N2O/TJ</t>
        </is>
      </c>
      <c r="AL3582" s="4" t="inlineStr">
        <is>
          <t>Table1.B.2; localizador a nivel de tabla; sin registro numérico</t>
        </is>
      </c>
      <c r="AM3582" s="4" t="inlineStr">
        <is>
          <t>Se conserva el estado NO porque la fuente no aporta un factor numérico para la clave interna FE_NO|2021|1.B.2.b.ii|NO|N2O.</t>
        </is>
      </c>
    </row>
    <row r="3583">
      <c r="A3583" s="4" t="inlineStr">
        <is>
          <t>FACTOR_EMISION_OBS</t>
        </is>
      </c>
      <c r="B3583" s="4" t="inlineStr">
        <is>
          <t>FE_FUG|2021|1.B.2.a.ii|FUGITIVA_PETROLEO|CO2</t>
        </is>
      </c>
      <c r="C3583" s="4" t="inlineStr">
        <is>
          <t>2021|1.B.2.a.ii|FUGITIVA_PETROLEO|CO2</t>
        </is>
      </c>
      <c r="D3583" s="12">
        <v>2021.0</v>
      </c>
      <c r="E3583" s="12">
        <v>2021.0</v>
      </c>
      <c r="F3583" s="4" t="inlineStr">
        <is>
          <t>OBS</t>
        </is>
      </c>
      <c r="G3583" s="4" t="inlineStr">
        <is>
          <t>UNFCCC_GTM_CRT_2024</t>
        </is>
      </c>
      <c r="H3583" s="4" t="inlineStr">
        <is>
          <t>Guatemala. 2024 Common Reporting Table (CRT)</t>
        </is>
      </c>
      <c r="I3583" s="4" t="inlineStr">
        <is>
          <t>https://unfccc.int/reports?f%5B0%5D=corporate_author%3A206</t>
        </is>
      </c>
      <c r="J3583" s="4" t="inlineStr">
        <is>
          <t>CRT1B2|2021|1.B.2.a.ii|CO2</t>
        </is>
      </c>
      <c r="Q3583" s="4" t="inlineStr">
        <is>
          <t>EMISION_CRT_DIV_PSUT_EXTRACCION</t>
        </is>
      </c>
      <c r="W3583" s="4" t="inlineStr">
        <is>
          <t>1.B.2.a.ii</t>
        </is>
      </c>
      <c r="Y3583" s="4" t="inlineStr">
        <is>
          <t>FUGITIVA_PETROLEO</t>
        </is>
      </c>
      <c r="Z3583" s="4" t="inlineStr">
        <is>
          <t>CO2</t>
        </is>
      </c>
      <c r="AA3583" s="13">
        <v>0.006769050354207612</v>
      </c>
      <c r="AB3583" s="4" t="inlineStr">
        <is>
          <t>kg CO2/TJ</t>
        </is>
      </c>
      <c r="AL3583" s="4" t="inlineStr">
        <is>
          <t>Table1.B.2; registro CRT1B2|2021|1.B.2.a.ii|CO2</t>
        </is>
      </c>
      <c r="AM3583" s="4" t="inlineStr">
        <is>
          <t>Factor fugitivo anual derivado de la emisión CRT y de la extracción PETR de la PSUT. Registro CRT: CRT1B2|2021|1.B.2.a.ii|CO2.</t>
        </is>
      </c>
    </row>
    <row r="3584">
      <c r="A3584" s="4" t="inlineStr">
        <is>
          <t>FACTOR_EMISION_OBS</t>
        </is>
      </c>
      <c r="B3584" s="4" t="inlineStr">
        <is>
          <t>FE_FUG|2021|1.B.2.a.ii|FUGITIVA_PETROLEO|CH4</t>
        </is>
      </c>
      <c r="C3584" s="4" t="inlineStr">
        <is>
          <t>2021|1.B.2.a.ii|FUGITIVA_PETROLEO|CH4</t>
        </is>
      </c>
      <c r="D3584" s="12">
        <v>2021.0</v>
      </c>
      <c r="E3584" s="12">
        <v>2021.0</v>
      </c>
      <c r="F3584" s="4" t="inlineStr">
        <is>
          <t>OBS</t>
        </is>
      </c>
      <c r="G3584" s="4" t="inlineStr">
        <is>
          <t>UNFCCC_GTM_CRT_2024</t>
        </is>
      </c>
      <c r="H3584" s="4" t="inlineStr">
        <is>
          <t>Guatemala. 2024 Common Reporting Table (CRT)</t>
        </is>
      </c>
      <c r="I3584" s="4" t="inlineStr">
        <is>
          <t>https://unfccc.int/reports?f%5B0%5D=corporate_author%3A206</t>
        </is>
      </c>
      <c r="J3584" s="4" t="inlineStr">
        <is>
          <t>CRT1B2|2021|1.B.2.a.ii|CH4</t>
        </is>
      </c>
      <c r="Q3584" s="4" t="inlineStr">
        <is>
          <t>EMISION_CRT_DIV_PSUT_EXTRACCION</t>
        </is>
      </c>
      <c r="W3584" s="4" t="inlineStr">
        <is>
          <t>1.B.2.a.ii</t>
        </is>
      </c>
      <c r="Y3584" s="4" t="inlineStr">
        <is>
          <t>FUGITIVA_PETROLEO</t>
        </is>
      </c>
      <c r="Z3584" s="4" t="inlineStr">
        <is>
          <t>CH4</t>
        </is>
      </c>
      <c r="AA3584" s="13">
        <v>0.09287772018588887</v>
      </c>
      <c r="AB3584" s="4" t="inlineStr">
        <is>
          <t>kg CH4/TJ</t>
        </is>
      </c>
      <c r="AL3584" s="4" t="inlineStr">
        <is>
          <t>Table1.B.2; registro CRT1B2|2021|1.B.2.a.ii|CH4</t>
        </is>
      </c>
      <c r="AM3584" s="4" t="inlineStr">
        <is>
          <t>Factor fugitivo anual derivado de la emisión CRT y de la extracción PETR de la PSUT. Registro CRT: CRT1B2|2021|1.B.2.a.ii|CH4.</t>
        </is>
      </c>
    </row>
    <row r="3585">
      <c r="A3585" s="4" t="inlineStr">
        <is>
          <t>FACTOR_EMISION_OBS</t>
        </is>
      </c>
      <c r="B3585" s="4" t="inlineStr">
        <is>
          <t>FE_FUG|2021|1.B.2.a.ii|FUGITIVA_PETROLEO|N2O</t>
        </is>
      </c>
      <c r="C3585" s="4" t="inlineStr">
        <is>
          <t>2021|1.B.2.a.ii|FUGITIVA_PETROLEO|N2O</t>
        </is>
      </c>
      <c r="D3585" s="12">
        <v>2021.0</v>
      </c>
      <c r="E3585" s="12">
        <v>2021.0</v>
      </c>
      <c r="F3585" s="4" t="inlineStr">
        <is>
          <t>NO</t>
        </is>
      </c>
      <c r="G3585" s="4" t="inlineStr">
        <is>
          <t>UNFCCC_GTM_CRT_2024</t>
        </is>
      </c>
      <c r="H3585" s="4" t="inlineStr">
        <is>
          <t>Guatemala. 2024 Common Reporting Table (CRT)</t>
        </is>
      </c>
      <c r="I3585" s="4" t="inlineStr">
        <is>
          <t>https://unfccc.int/reports?f%5B0%5D=corporate_author%3A206</t>
        </is>
      </c>
      <c r="J3585" s="4" t="inlineStr">
        <is>
          <t>CRT1B2|2021|1.B.2.a.ii|N2O</t>
        </is>
      </c>
      <c r="Q3585" s="4" t="inlineStr">
        <is>
          <t>EMISION_CRT_DIV_PSUT_EXTRACCION</t>
        </is>
      </c>
      <c r="W3585" s="4" t="inlineStr">
        <is>
          <t>1.B.2.a.ii</t>
        </is>
      </c>
      <c r="Y3585" s="4" t="inlineStr">
        <is>
          <t>FUGITIVA_PETROLEO</t>
        </is>
      </c>
      <c r="Z3585" s="4" t="inlineStr">
        <is>
          <t>N2O</t>
        </is>
      </c>
      <c r="AB3585" s="4" t="inlineStr">
        <is>
          <t>kg N2O/TJ</t>
        </is>
      </c>
      <c r="AK3585" s="4" t="inlineStr">
        <is>
          <t>NO</t>
        </is>
      </c>
      <c r="AL3585" s="4" t="inlineStr">
        <is>
          <t>Table1.B.2; registro CRT1B2|2021|1.B.2.a.ii|N2O</t>
        </is>
      </c>
      <c r="AM3585" s="4" t="inlineStr">
        <is>
          <t>Factor fugitivo anual derivado de la emisión CRT y de la extracción PETR de la PSUT. Registro CRT: CRT1B2|2021|1.B.2.a.ii|N2O.</t>
        </is>
      </c>
    </row>
    <row r="3586">
      <c r="A3586" s="4" t="inlineStr">
        <is>
          <t>FACTOR_EMISION_OBS</t>
        </is>
      </c>
      <c r="B3586" s="4" t="inlineStr">
        <is>
          <t>FE_COMB|2022|1.A.1.a.i|GASEOUS_FUELS|CO2</t>
        </is>
      </c>
      <c r="C3586" s="4" t="inlineStr">
        <is>
          <t>2022|1.A.1.a.i|GASEOUS_FUELS|CO2</t>
        </is>
      </c>
      <c r="D3586" s="12">
        <v>2022.0</v>
      </c>
      <c r="E3586" s="12">
        <v>2022.0</v>
      </c>
      <c r="F3586" s="4" t="inlineStr">
        <is>
          <t>OBS</t>
        </is>
      </c>
      <c r="G3586" s="4" t="inlineStr">
        <is>
          <t>UNFCCC_GTM_CRT_2024</t>
        </is>
      </c>
      <c r="H3586" s="4" t="inlineStr">
        <is>
          <t>Guatemala. 2024 Common Reporting Table (CRT)</t>
        </is>
      </c>
      <c r="I3586" s="4" t="inlineStr">
        <is>
          <t>https://unfccc.int/reports?f%5B0%5D=corporate_author%3A206</t>
        </is>
      </c>
      <c r="J3586" s="4" t="inlineStr">
        <is>
          <t>CRT1A|2022|1.A.1.a.i|GASEOUS_FUELS|CO2</t>
        </is>
      </c>
      <c r="Q3586" s="4" t="inlineStr">
        <is>
          <t>CRT_ANUAL</t>
        </is>
      </c>
      <c r="W3586" s="4" t="inlineStr">
        <is>
          <t>1.A.1.a.i</t>
        </is>
      </c>
      <c r="Y3586" s="4" t="inlineStr">
        <is>
          <t>GASEOUS_FUELS</t>
        </is>
      </c>
      <c r="Z3586" s="4" t="inlineStr">
        <is>
          <t>CO2</t>
        </is>
      </c>
      <c r="AA3586" s="13">
        <v>56100.0000037876</v>
      </c>
      <c r="AB3586" s="4" t="inlineStr">
        <is>
          <t>kg CO2/TJ</t>
        </is>
      </c>
      <c r="AL3586" s="4" t="inlineStr">
        <is>
          <t>Table1.A(a)s1; registro CRT1A|2022|1.A.1.a.i|GASEOUS_FUELS|CO2</t>
        </is>
      </c>
      <c r="AM3586" s="4" t="inlineStr">
        <is>
          <t>Factor implícito anual derivado de actividad y emisión CRT del mismo año, categoría, grupo y gas. Registro CRT: CRT1A|2022|1.A.1.a.i|GASEOUS_FUELS|CO2.</t>
        </is>
      </c>
    </row>
    <row r="3587">
      <c r="A3587" s="4" t="inlineStr">
        <is>
          <t>FACTOR_EMISION_OBS</t>
        </is>
      </c>
      <c r="B3587" s="4" t="inlineStr">
        <is>
          <t>FE_COMB|2022|1.A.1.a.i|GASEOUS_FUELS|CH4</t>
        </is>
      </c>
      <c r="C3587" s="4" t="inlineStr">
        <is>
          <t>2022|1.A.1.a.i|GASEOUS_FUELS|CH4</t>
        </is>
      </c>
      <c r="D3587" s="12">
        <v>2022.0</v>
      </c>
      <c r="E3587" s="12">
        <v>2022.0</v>
      </c>
      <c r="F3587" s="4" t="inlineStr">
        <is>
          <t>OBS</t>
        </is>
      </c>
      <c r="G3587" s="4" t="inlineStr">
        <is>
          <t>UNFCCC_GTM_CRT_2024</t>
        </is>
      </c>
      <c r="H3587" s="4" t="inlineStr">
        <is>
          <t>Guatemala. 2024 Common Reporting Table (CRT)</t>
        </is>
      </c>
      <c r="I3587" s="4" t="inlineStr">
        <is>
          <t>https://unfccc.int/reports?f%5B0%5D=corporate_author%3A206</t>
        </is>
      </c>
      <c r="J3587" s="4" t="inlineStr">
        <is>
          <t>CRT1A|2022|1.A.1.a.i|GASEOUS_FUELS|CH4</t>
        </is>
      </c>
      <c r="Q3587" s="4" t="inlineStr">
        <is>
          <t>CRT_ANUAL</t>
        </is>
      </c>
      <c r="W3587" s="4" t="inlineStr">
        <is>
          <t>1.A.1.a.i</t>
        </is>
      </c>
      <c r="Y3587" s="4" t="inlineStr">
        <is>
          <t>GASEOUS_FUELS</t>
        </is>
      </c>
      <c r="Z3587" s="4" t="inlineStr">
        <is>
          <t>CH4</t>
        </is>
      </c>
      <c r="AA3587" s="13">
        <v>1.0000006118981515</v>
      </c>
      <c r="AB3587" s="4" t="inlineStr">
        <is>
          <t>kg CH4/TJ</t>
        </is>
      </c>
      <c r="AL3587" s="4" t="inlineStr">
        <is>
          <t>Table1.A(a)s1; registro CRT1A|2022|1.A.1.a.i|GASEOUS_FUELS|CH4</t>
        </is>
      </c>
      <c r="AM3587" s="4" t="inlineStr">
        <is>
          <t>Factor implícito anual derivado de actividad y emisión CRT del mismo año, categoría, grupo y gas. Registro CRT: CRT1A|2022|1.A.1.a.i|GASEOUS_FUELS|CH4.</t>
        </is>
      </c>
    </row>
    <row r="3588">
      <c r="A3588" s="4" t="inlineStr">
        <is>
          <t>FACTOR_EMISION_OBS</t>
        </is>
      </c>
      <c r="B3588" s="4" t="inlineStr">
        <is>
          <t>FE_COMB|2022|1.A.1.a.i|GASEOUS_FUELS|N2O</t>
        </is>
      </c>
      <c r="C3588" s="4" t="inlineStr">
        <is>
          <t>2022|1.A.1.a.i|GASEOUS_FUELS|N2O</t>
        </is>
      </c>
      <c r="D3588" s="12">
        <v>2022.0</v>
      </c>
      <c r="E3588" s="12">
        <v>2022.0</v>
      </c>
      <c r="F3588" s="4" t="inlineStr">
        <is>
          <t>OBS</t>
        </is>
      </c>
      <c r="G3588" s="4" t="inlineStr">
        <is>
          <t>UNFCCC_GTM_CRT_2024</t>
        </is>
      </c>
      <c r="H3588" s="4" t="inlineStr">
        <is>
          <t>Guatemala. 2024 Common Reporting Table (CRT)</t>
        </is>
      </c>
      <c r="I3588" s="4" t="inlineStr">
        <is>
          <t>https://unfccc.int/reports?f%5B0%5D=corporate_author%3A206</t>
        </is>
      </c>
      <c r="J3588" s="4" t="inlineStr">
        <is>
          <t>CRT1A|2022|1.A.1.a.i|GASEOUS_FUELS|N2O</t>
        </is>
      </c>
      <c r="Q3588" s="4" t="inlineStr">
        <is>
          <t>CRT_ANUAL</t>
        </is>
      </c>
      <c r="W3588" s="4" t="inlineStr">
        <is>
          <t>1.A.1.a.i</t>
        </is>
      </c>
      <c r="Y3588" s="4" t="inlineStr">
        <is>
          <t>GASEOUS_FUELS</t>
        </is>
      </c>
      <c r="Z3588" s="4" t="inlineStr">
        <is>
          <t>N2O</t>
        </is>
      </c>
      <c r="AA3588" s="13">
        <v>0.10000006118981514</v>
      </c>
      <c r="AB3588" s="4" t="inlineStr">
        <is>
          <t>kg N2O/TJ</t>
        </is>
      </c>
      <c r="AL3588" s="4" t="inlineStr">
        <is>
          <t>Table1.A(a)s1; registro CRT1A|2022|1.A.1.a.i|GASEOUS_FUELS|N2O</t>
        </is>
      </c>
      <c r="AM3588" s="4" t="inlineStr">
        <is>
          <t>Factor implícito anual derivado de actividad y emisión CRT del mismo año, categoría, grupo y gas. Registro CRT: CRT1A|2022|1.A.1.a.i|GASEOUS_FUELS|N2O.</t>
        </is>
      </c>
    </row>
    <row r="3589">
      <c r="A3589" s="4" t="inlineStr">
        <is>
          <t>FACTOR_EMISION_OBS</t>
        </is>
      </c>
      <c r="B3589" s="4" t="inlineStr">
        <is>
          <t>FE_COMB|2022|1.A.1.b|LIQUID_FUELS|CO2</t>
        </is>
      </c>
      <c r="C3589" s="4" t="inlineStr">
        <is>
          <t>2022|1.A.1.b|LIQUID_FUELS|CO2</t>
        </is>
      </c>
      <c r="D3589" s="12">
        <v>2022.0</v>
      </c>
      <c r="E3589" s="12">
        <v>2022.0</v>
      </c>
      <c r="F3589" s="4" t="inlineStr">
        <is>
          <t>OBS</t>
        </is>
      </c>
      <c r="G3589" s="4" t="inlineStr">
        <is>
          <t>UNFCCC_GTM_CRT_2024</t>
        </is>
      </c>
      <c r="H3589" s="4" t="inlineStr">
        <is>
          <t>Guatemala. 2024 Common Reporting Table (CRT)</t>
        </is>
      </c>
      <c r="I3589" s="4" t="inlineStr">
        <is>
          <t>https://unfccc.int/reports?f%5B0%5D=corporate_author%3A206</t>
        </is>
      </c>
      <c r="J3589" s="4" t="inlineStr">
        <is>
          <t>CRT1A|2022|1.A.1.b|LIQUID_FUELS|CO2</t>
        </is>
      </c>
      <c r="Q3589" s="4" t="inlineStr">
        <is>
          <t>CRT_ANUAL</t>
        </is>
      </c>
      <c r="W3589" s="4" t="inlineStr">
        <is>
          <t>1.A.1.b</t>
        </is>
      </c>
      <c r="Y3589" s="4" t="inlineStr">
        <is>
          <t>LIQUID_FUELS</t>
        </is>
      </c>
      <c r="Z3589" s="4" t="inlineStr">
        <is>
          <t>CO2</t>
        </is>
      </c>
      <c r="AA3589" s="13">
        <v>72251.08191405522</v>
      </c>
      <c r="AB3589" s="4" t="inlineStr">
        <is>
          <t>kg CO2/TJ</t>
        </is>
      </c>
      <c r="AL3589" s="4" t="inlineStr">
        <is>
          <t>Table1.A(a)s1; registro CRT1A|2022|1.A.1.b|LIQUID_FUELS|CO2</t>
        </is>
      </c>
      <c r="AM3589" s="4" t="inlineStr">
        <is>
          <t>Factor implícito anual derivado de actividad y emisión CRT del mismo año, categoría, grupo y gas. Registro CRT: CRT1A|2022|1.A.1.b|LIQUID_FUELS|CO2.</t>
        </is>
      </c>
    </row>
    <row r="3590">
      <c r="A3590" s="4" t="inlineStr">
        <is>
          <t>FACTOR_EMISION_OBS</t>
        </is>
      </c>
      <c r="B3590" s="4" t="inlineStr">
        <is>
          <t>FE_COMB|2022|1.A.1.b|LIQUID_FUELS|CH4</t>
        </is>
      </c>
      <c r="C3590" s="4" t="inlineStr">
        <is>
          <t>2022|1.A.1.b|LIQUID_FUELS|CH4</t>
        </is>
      </c>
      <c r="D3590" s="12">
        <v>2022.0</v>
      </c>
      <c r="E3590" s="12">
        <v>2022.0</v>
      </c>
      <c r="F3590" s="4" t="inlineStr">
        <is>
          <t>OBS</t>
        </is>
      </c>
      <c r="G3590" s="4" t="inlineStr">
        <is>
          <t>UNFCCC_GTM_CRT_2024</t>
        </is>
      </c>
      <c r="H3590" s="4" t="inlineStr">
        <is>
          <t>Guatemala. 2024 Common Reporting Table (CRT)</t>
        </is>
      </c>
      <c r="I3590" s="4" t="inlineStr">
        <is>
          <t>https://unfccc.int/reports?f%5B0%5D=corporate_author%3A206</t>
        </is>
      </c>
      <c r="J3590" s="4" t="inlineStr">
        <is>
          <t>CRT1A|2022|1.A.1.b|LIQUID_FUELS|CH4</t>
        </is>
      </c>
      <c r="Q3590" s="4" t="inlineStr">
        <is>
          <t>CRT_ANUAL</t>
        </is>
      </c>
      <c r="W3590" s="4" t="inlineStr">
        <is>
          <t>1.A.1.b</t>
        </is>
      </c>
      <c r="Y3590" s="4" t="inlineStr">
        <is>
          <t>LIQUID_FUELS</t>
        </is>
      </c>
      <c r="Z3590" s="4" t="inlineStr">
        <is>
          <t>CH4</t>
        </is>
      </c>
      <c r="AA3590" s="13">
        <v>3.0000015802101947</v>
      </c>
      <c r="AB3590" s="4" t="inlineStr">
        <is>
          <t>kg CH4/TJ</t>
        </is>
      </c>
      <c r="AL3590" s="4" t="inlineStr">
        <is>
          <t>Table1.A(a)s1; registro CRT1A|2022|1.A.1.b|LIQUID_FUELS|CH4</t>
        </is>
      </c>
      <c r="AM3590" s="4" t="inlineStr">
        <is>
          <t>Factor implícito anual derivado de actividad y emisión CRT del mismo año, categoría, grupo y gas. Registro CRT: CRT1A|2022|1.A.1.b|LIQUID_FUELS|CH4.</t>
        </is>
      </c>
    </row>
    <row r="3591">
      <c r="A3591" s="4" t="inlineStr">
        <is>
          <t>FACTOR_EMISION_OBS</t>
        </is>
      </c>
      <c r="B3591" s="4" t="inlineStr">
        <is>
          <t>FE_COMB|2022|1.A.1.b|LIQUID_FUELS|N2O</t>
        </is>
      </c>
      <c r="C3591" s="4" t="inlineStr">
        <is>
          <t>2022|1.A.1.b|LIQUID_FUELS|N2O</t>
        </is>
      </c>
      <c r="D3591" s="12">
        <v>2022.0</v>
      </c>
      <c r="E3591" s="12">
        <v>2022.0</v>
      </c>
      <c r="F3591" s="4" t="inlineStr">
        <is>
          <t>OBS</t>
        </is>
      </c>
      <c r="G3591" s="4" t="inlineStr">
        <is>
          <t>UNFCCC_GTM_CRT_2024</t>
        </is>
      </c>
      <c r="H3591" s="4" t="inlineStr">
        <is>
          <t>Guatemala. 2024 Common Reporting Table (CRT)</t>
        </is>
      </c>
      <c r="I3591" s="4" t="inlineStr">
        <is>
          <t>https://unfccc.int/reports?f%5B0%5D=corporate_author%3A206</t>
        </is>
      </c>
      <c r="J3591" s="4" t="inlineStr">
        <is>
          <t>CRT1A|2022|1.A.1.b|LIQUID_FUELS|N2O</t>
        </is>
      </c>
      <c r="Q3591" s="4" t="inlineStr">
        <is>
          <t>CRT_ANUAL</t>
        </is>
      </c>
      <c r="W3591" s="4" t="inlineStr">
        <is>
          <t>1.A.1.b</t>
        </is>
      </c>
      <c r="Y3591" s="4" t="inlineStr">
        <is>
          <t>LIQUID_FUELS</t>
        </is>
      </c>
      <c r="Z3591" s="4" t="inlineStr">
        <is>
          <t>N2O</t>
        </is>
      </c>
      <c r="AA3591" s="13">
        <v>0.6000011486080004</v>
      </c>
      <c r="AB3591" s="4" t="inlineStr">
        <is>
          <t>kg N2O/TJ</t>
        </is>
      </c>
      <c r="AL3591" s="4" t="inlineStr">
        <is>
          <t>Table1.A(a)s1; registro CRT1A|2022|1.A.1.b|LIQUID_FUELS|N2O</t>
        </is>
      </c>
      <c r="AM3591" s="4" t="inlineStr">
        <is>
          <t>Factor implícito anual derivado de actividad y emisión CRT del mismo año, categoría, grupo y gas. Registro CRT: CRT1A|2022|1.A.1.b|LIQUID_FUELS|N2O.</t>
        </is>
      </c>
    </row>
    <row r="3592">
      <c r="A3592" s="4" t="inlineStr">
        <is>
          <t>FACTOR_EMISION_OBS</t>
        </is>
      </c>
      <c r="B3592" s="4" t="inlineStr">
        <is>
          <t>FE_COMB|2022|1.A.4.a|BIOMASS|CO2</t>
        </is>
      </c>
      <c r="C3592" s="4" t="inlineStr">
        <is>
          <t>2022|1.A.4.a|BIOMASS|CO2</t>
        </is>
      </c>
      <c r="D3592" s="12">
        <v>2022.0</v>
      </c>
      <c r="E3592" s="12">
        <v>2022.0</v>
      </c>
      <c r="F3592" s="4" t="inlineStr">
        <is>
          <t>OBS</t>
        </is>
      </c>
      <c r="G3592" s="4" t="inlineStr">
        <is>
          <t>UNFCCC_GTM_CRT_2024</t>
        </is>
      </c>
      <c r="H3592" s="4" t="inlineStr">
        <is>
          <t>Guatemala. 2024 Common Reporting Table (CRT)</t>
        </is>
      </c>
      <c r="I3592" s="4" t="inlineStr">
        <is>
          <t>https://unfccc.int/reports?f%5B0%5D=corporate_author%3A206</t>
        </is>
      </c>
      <c r="J3592" s="4" t="inlineStr">
        <is>
          <t>CRT1A|2022|1.A.4.a|BIOMASS|CO2</t>
        </is>
      </c>
      <c r="Q3592" s="4" t="inlineStr">
        <is>
          <t>CRT_ANUAL</t>
        </is>
      </c>
      <c r="W3592" s="4" t="inlineStr">
        <is>
          <t>1.A.4.a</t>
        </is>
      </c>
      <c r="Y3592" s="4" t="inlineStr">
        <is>
          <t>BIOMASS</t>
        </is>
      </c>
      <c r="Z3592" s="4" t="inlineStr">
        <is>
          <t>CO2</t>
        </is>
      </c>
      <c r="AA3592" s="13">
        <v>111999.99977315193</v>
      </c>
      <c r="AB3592" s="4" t="inlineStr">
        <is>
          <t>kg CO2/TJ</t>
        </is>
      </c>
      <c r="AL3592" s="4" t="inlineStr">
        <is>
          <t>Table1.A(a)s4; registro CRT1A|2022|1.A.4.a|BIOMASS|CO2</t>
        </is>
      </c>
      <c r="AM3592" s="4" t="inlineStr">
        <is>
          <t>Factor implícito anual derivado de actividad y emisión CRT del mismo año, categoría, grupo y gas. Registro CRT: CRT1A|2022|1.A.4.a|BIOMASS|CO2.</t>
        </is>
      </c>
    </row>
    <row r="3593">
      <c r="A3593" s="4" t="inlineStr">
        <is>
          <t>FACTOR_EMISION_OBS</t>
        </is>
      </c>
      <c r="B3593" s="4" t="inlineStr">
        <is>
          <t>FE_COMB|2022|1.A.4.a|BIOMASS|CH4</t>
        </is>
      </c>
      <c r="C3593" s="4" t="inlineStr">
        <is>
          <t>2022|1.A.4.a|BIOMASS|CH4</t>
        </is>
      </c>
      <c r="D3593" s="12">
        <v>2022.0</v>
      </c>
      <c r="E3593" s="12">
        <v>2022.0</v>
      </c>
      <c r="F3593" s="4" t="inlineStr">
        <is>
          <t>OBS</t>
        </is>
      </c>
      <c r="G3593" s="4" t="inlineStr">
        <is>
          <t>UNFCCC_GTM_CRT_2024</t>
        </is>
      </c>
      <c r="H3593" s="4" t="inlineStr">
        <is>
          <t>Guatemala. 2024 Common Reporting Table (CRT)</t>
        </is>
      </c>
      <c r="I3593" s="4" t="inlineStr">
        <is>
          <t>https://unfccc.int/reports?f%5B0%5D=corporate_author%3A206</t>
        </is>
      </c>
      <c r="J3593" s="4" t="inlineStr">
        <is>
          <t>CRT1A|2022|1.A.4.a|BIOMASS|CH4</t>
        </is>
      </c>
      <c r="Q3593" s="4" t="inlineStr">
        <is>
          <t>CRT_ANUAL</t>
        </is>
      </c>
      <c r="W3593" s="4" t="inlineStr">
        <is>
          <t>1.A.4.a</t>
        </is>
      </c>
      <c r="Y3593" s="4" t="inlineStr">
        <is>
          <t>BIOMASS</t>
        </is>
      </c>
      <c r="Z3593" s="4" t="inlineStr">
        <is>
          <t>CH4</t>
        </is>
      </c>
      <c r="AA3593" s="13">
        <v>299.999999579911</v>
      </c>
      <c r="AB3593" s="4" t="inlineStr">
        <is>
          <t>kg CH4/TJ</t>
        </is>
      </c>
      <c r="AL3593" s="4" t="inlineStr">
        <is>
          <t>Table1.A(a)s4; registro CRT1A|2022|1.A.4.a|BIOMASS|CH4</t>
        </is>
      </c>
      <c r="AM3593" s="4" t="inlineStr">
        <is>
          <t>Factor implícito anual derivado de actividad y emisión CRT del mismo año, categoría, grupo y gas. Registro CRT: CRT1A|2022|1.A.4.a|BIOMASS|CH4.</t>
        </is>
      </c>
    </row>
    <row r="3594">
      <c r="A3594" s="4" t="inlineStr">
        <is>
          <t>FACTOR_EMISION_OBS</t>
        </is>
      </c>
      <c r="B3594" s="4" t="inlineStr">
        <is>
          <t>FE_COMB|2022|1.A.4.a|BIOMASS|N2O</t>
        </is>
      </c>
      <c r="C3594" s="4" t="inlineStr">
        <is>
          <t>2022|1.A.4.a|BIOMASS|N2O</t>
        </is>
      </c>
      <c r="D3594" s="12">
        <v>2022.0</v>
      </c>
      <c r="E3594" s="12">
        <v>2022.0</v>
      </c>
      <c r="F3594" s="4" t="inlineStr">
        <is>
          <t>OBS</t>
        </is>
      </c>
      <c r="G3594" s="4" t="inlineStr">
        <is>
          <t>UNFCCC_GTM_CRT_2024</t>
        </is>
      </c>
      <c r="H3594" s="4" t="inlineStr">
        <is>
          <t>Guatemala. 2024 Common Reporting Table (CRT)</t>
        </is>
      </c>
      <c r="I3594" s="4" t="inlineStr">
        <is>
          <t>https://unfccc.int/reports?f%5B0%5D=corporate_author%3A206</t>
        </is>
      </c>
      <c r="J3594" s="4" t="inlineStr">
        <is>
          <t>CRT1A|2022|1.A.4.a|BIOMASS|N2O</t>
        </is>
      </c>
      <c r="Q3594" s="4" t="inlineStr">
        <is>
          <t>CRT_ANUAL</t>
        </is>
      </c>
      <c r="W3594" s="4" t="inlineStr">
        <is>
          <t>1.A.4.a</t>
        </is>
      </c>
      <c r="Y3594" s="4" t="inlineStr">
        <is>
          <t>BIOMASS</t>
        </is>
      </c>
      <c r="Z3594" s="4" t="inlineStr">
        <is>
          <t>N2O</t>
        </is>
      </c>
      <c r="AA3594" s="13">
        <v>3.9999995042949474</v>
      </c>
      <c r="AB3594" s="4" t="inlineStr">
        <is>
          <t>kg N2O/TJ</t>
        </is>
      </c>
      <c r="AL3594" s="4" t="inlineStr">
        <is>
          <t>Table1.A(a)s4; registro CRT1A|2022|1.A.4.a|BIOMASS|N2O</t>
        </is>
      </c>
      <c r="AM3594" s="4" t="inlineStr">
        <is>
          <t>Factor implícito anual derivado de actividad y emisión CRT del mismo año, categoría, grupo y gas. Registro CRT: CRT1A|2022|1.A.4.a|BIOMASS|N2O.</t>
        </is>
      </c>
    </row>
    <row r="3595">
      <c r="A3595" s="4" t="inlineStr">
        <is>
          <t>FACTOR_EMISION_OBS</t>
        </is>
      </c>
      <c r="B3595" s="4" t="inlineStr">
        <is>
          <t>FE_COMB|2022|1.A.4.b|BIOMASS|CO2</t>
        </is>
      </c>
      <c r="C3595" s="4" t="inlineStr">
        <is>
          <t>2022|1.A.4.b|BIOMASS|CO2</t>
        </is>
      </c>
      <c r="D3595" s="12">
        <v>2022.0</v>
      </c>
      <c r="E3595" s="12">
        <v>2022.0</v>
      </c>
      <c r="F3595" s="4" t="inlineStr">
        <is>
          <t>OBS</t>
        </is>
      </c>
      <c r="G3595" s="4" t="inlineStr">
        <is>
          <t>UNFCCC_GTM_CRT_2024</t>
        </is>
      </c>
      <c r="H3595" s="4" t="inlineStr">
        <is>
          <t>Guatemala. 2024 Common Reporting Table (CRT)</t>
        </is>
      </c>
      <c r="I3595" s="4" t="inlineStr">
        <is>
          <t>https://unfccc.int/reports?f%5B0%5D=corporate_author%3A206</t>
        </is>
      </c>
      <c r="J3595" s="4" t="inlineStr">
        <is>
          <t>CRT1A|2022|1.A.4.b|BIOMASS|CO2</t>
        </is>
      </c>
      <c r="Q3595" s="4" t="inlineStr">
        <is>
          <t>CRT_ANUAL</t>
        </is>
      </c>
      <c r="W3595" s="4" t="inlineStr">
        <is>
          <t>1.A.4.b</t>
        </is>
      </c>
      <c r="Y3595" s="4" t="inlineStr">
        <is>
          <t>BIOMASS</t>
        </is>
      </c>
      <c r="Z3595" s="4" t="inlineStr">
        <is>
          <t>CO2</t>
        </is>
      </c>
      <c r="AA3595" s="13">
        <v>112000.00007795465</v>
      </c>
      <c r="AB3595" s="4" t="inlineStr">
        <is>
          <t>kg CO2/TJ</t>
        </is>
      </c>
      <c r="AL3595" s="4" t="inlineStr">
        <is>
          <t>Table1.A(a)s4; registro CRT1A|2022|1.A.4.b|BIOMASS|CO2</t>
        </is>
      </c>
      <c r="AM3595" s="4" t="inlineStr">
        <is>
          <t>Factor implícito anual derivado de actividad y emisión CRT del mismo año, categoría, grupo y gas. Registro CRT: CRT1A|2022|1.A.4.b|BIOMASS|CO2.</t>
        </is>
      </c>
    </row>
    <row r="3596">
      <c r="A3596" s="4" t="inlineStr">
        <is>
          <t>FACTOR_EMISION_OBS</t>
        </is>
      </c>
      <c r="B3596" s="4" t="inlineStr">
        <is>
          <t>FE_COMB|2022|1.A.4.b|BIOMASS|CH4</t>
        </is>
      </c>
      <c r="C3596" s="4" t="inlineStr">
        <is>
          <t>2022|1.A.4.b|BIOMASS|CH4</t>
        </is>
      </c>
      <c r="D3596" s="12">
        <v>2022.0</v>
      </c>
      <c r="E3596" s="12">
        <v>2022.0</v>
      </c>
      <c r="F3596" s="4" t="inlineStr">
        <is>
          <t>OBS</t>
        </is>
      </c>
      <c r="G3596" s="4" t="inlineStr">
        <is>
          <t>UNFCCC_GTM_CRT_2024</t>
        </is>
      </c>
      <c r="H3596" s="4" t="inlineStr">
        <is>
          <t>Guatemala. 2024 Common Reporting Table (CRT)</t>
        </is>
      </c>
      <c r="I3596" s="4" t="inlineStr">
        <is>
          <t>https://unfccc.int/reports?f%5B0%5D=corporate_author%3A206</t>
        </is>
      </c>
      <c r="J3596" s="4" t="inlineStr">
        <is>
          <t>CRT1A|2022|1.A.4.b|BIOMASS|CH4</t>
        </is>
      </c>
      <c r="Q3596" s="4" t="inlineStr">
        <is>
          <t>CRT_ANUAL</t>
        </is>
      </c>
      <c r="W3596" s="4" t="inlineStr">
        <is>
          <t>1.A.4.b</t>
        </is>
      </c>
      <c r="Y3596" s="4" t="inlineStr">
        <is>
          <t>BIOMASS</t>
        </is>
      </c>
      <c r="Z3596" s="4" t="inlineStr">
        <is>
          <t>CH4</t>
        </is>
      </c>
      <c r="AA3596" s="13">
        <v>300.0</v>
      </c>
      <c r="AB3596" s="4" t="inlineStr">
        <is>
          <t>kg CH4/TJ</t>
        </is>
      </c>
      <c r="AL3596" s="4" t="inlineStr">
        <is>
          <t>Table1.A(a)s4; registro CRT1A|2022|1.A.4.b|BIOMASS|CH4</t>
        </is>
      </c>
      <c r="AM3596" s="4" t="inlineStr">
        <is>
          <t>Factor implícito anual derivado de actividad y emisión CRT del mismo año, categoría, grupo y gas. Registro CRT: CRT1A|2022|1.A.4.b|BIOMASS|CH4.</t>
        </is>
      </c>
    </row>
    <row r="3597">
      <c r="A3597" s="4" t="inlineStr">
        <is>
          <t>FACTOR_EMISION_OBS</t>
        </is>
      </c>
      <c r="B3597" s="4" t="inlineStr">
        <is>
          <t>FE_COMB|2022|1.A.4.b|BIOMASS|N2O</t>
        </is>
      </c>
      <c r="C3597" s="4" t="inlineStr">
        <is>
          <t>2022|1.A.4.b|BIOMASS|N2O</t>
        </is>
      </c>
      <c r="D3597" s="12">
        <v>2022.0</v>
      </c>
      <c r="E3597" s="12">
        <v>2022.0</v>
      </c>
      <c r="F3597" s="4" t="inlineStr">
        <is>
          <t>OBS</t>
        </is>
      </c>
      <c r="G3597" s="4" t="inlineStr">
        <is>
          <t>UNFCCC_GTM_CRT_2024</t>
        </is>
      </c>
      <c r="H3597" s="4" t="inlineStr">
        <is>
          <t>Guatemala. 2024 Common Reporting Table (CRT)</t>
        </is>
      </c>
      <c r="I3597" s="4" t="inlineStr">
        <is>
          <t>https://unfccc.int/reports?f%5B0%5D=corporate_author%3A206</t>
        </is>
      </c>
      <c r="J3597" s="4" t="inlineStr">
        <is>
          <t>CRT1A|2022|1.A.4.b|BIOMASS|N2O</t>
        </is>
      </c>
      <c r="Q3597" s="4" t="inlineStr">
        <is>
          <t>CRT_ANUAL</t>
        </is>
      </c>
      <c r="W3597" s="4" t="inlineStr">
        <is>
          <t>1.A.4.b</t>
        </is>
      </c>
      <c r="Y3597" s="4" t="inlineStr">
        <is>
          <t>BIOMASS</t>
        </is>
      </c>
      <c r="Z3597" s="4" t="inlineStr">
        <is>
          <t>N2O</t>
        </is>
      </c>
      <c r="AA3597" s="13">
        <v>3.9999999935037778</v>
      </c>
      <c r="AB3597" s="4" t="inlineStr">
        <is>
          <t>kg N2O/TJ</t>
        </is>
      </c>
      <c r="AL3597" s="4" t="inlineStr">
        <is>
          <t>Table1.A(a)s4; registro CRT1A|2022|1.A.4.b|BIOMASS|N2O</t>
        </is>
      </c>
      <c r="AM3597" s="4" t="inlineStr">
        <is>
          <t>Factor implícito anual derivado de actividad y emisión CRT del mismo año, categoría, grupo y gas. Registro CRT: CRT1A|2022|1.A.4.b|BIOMASS|N2O.</t>
        </is>
      </c>
    </row>
    <row r="3598">
      <c r="A3598" s="4" t="inlineStr">
        <is>
          <t>FACTOR_EMISION_OBS</t>
        </is>
      </c>
      <c r="B3598" s="4" t="inlineStr">
        <is>
          <t>FE_COMB|2022|1.A.1.a.i|CERO_DIRECTO|CO2</t>
        </is>
      </c>
      <c r="C3598" s="4" t="inlineStr">
        <is>
          <t>2022|1.A.1.a.i|CERO_DIRECTO|CO2</t>
        </is>
      </c>
      <c r="D3598" s="12">
        <v>2022.0</v>
      </c>
      <c r="E3598" s="12">
        <v>2022.0</v>
      </c>
      <c r="F3598" s="4" t="inlineStr">
        <is>
          <t>CAL</t>
        </is>
      </c>
      <c r="G3598" s="4" t="inlineStr">
        <is>
          <t>METODO_EMISIONES</t>
        </is>
      </c>
      <c r="H3598" s="4" t="inlineStr">
        <is>
          <t>Regla metodológica de emisión directa cero</t>
        </is>
      </c>
      <c r="J3598" s="4" t="inlineStr">
        <is>
          <t>PARAM|CERO|1.A.1.a.i|CO2</t>
        </is>
      </c>
      <c r="Q3598" s="4" t="inlineStr">
        <is>
          <t>CERO_DIRECTO</t>
        </is>
      </c>
      <c r="W3598" s="4" t="inlineStr">
        <is>
          <t>1.A.1.a.i</t>
        </is>
      </c>
      <c r="Y3598" s="4" t="inlineStr">
        <is>
          <t>CERO_DIRECTO</t>
        </is>
      </c>
      <c r="Z3598" s="4" t="inlineStr">
        <is>
          <t>CO2</t>
        </is>
      </c>
      <c r="AA3598" s="13">
        <v>0.0</v>
      </c>
      <c r="AB3598" s="4" t="inlineStr">
        <is>
          <t>kg CO2/TJ</t>
        </is>
      </c>
      <c r="AL3598" s="4" t="inlineStr">
        <is>
          <t>No aplica — regla interna CERO_DIRECTO; NT-02, sección 9; hoja PARAMETROS</t>
        </is>
      </c>
      <c r="AM3598" s="4" t="inlineStr">
        <is>
          <t>Cero metodológico definido por la correspondencia contable; no procede de una celda numérica independiente de la CRT.</t>
        </is>
      </c>
    </row>
    <row r="3599">
      <c r="A3599" s="4" t="inlineStr">
        <is>
          <t>FACTOR_EMISION_OBS</t>
        </is>
      </c>
      <c r="B3599" s="4" t="inlineStr">
        <is>
          <t>FE_COMB|2022|1.A.1.a.i|CERO_DIRECTO|CH4</t>
        </is>
      </c>
      <c r="C3599" s="4" t="inlineStr">
        <is>
          <t>2022|1.A.1.a.i|CERO_DIRECTO|CH4</t>
        </is>
      </c>
      <c r="D3599" s="12">
        <v>2022.0</v>
      </c>
      <c r="E3599" s="12">
        <v>2022.0</v>
      </c>
      <c r="F3599" s="4" t="inlineStr">
        <is>
          <t>CAL</t>
        </is>
      </c>
      <c r="G3599" s="4" t="inlineStr">
        <is>
          <t>METODO_EMISIONES</t>
        </is>
      </c>
      <c r="H3599" s="4" t="inlineStr">
        <is>
          <t>Regla metodológica de emisión directa cero</t>
        </is>
      </c>
      <c r="J3599" s="4" t="inlineStr">
        <is>
          <t>PARAM|CERO|1.A.1.a.i|CH4</t>
        </is>
      </c>
      <c r="Q3599" s="4" t="inlineStr">
        <is>
          <t>CERO_DIRECTO</t>
        </is>
      </c>
      <c r="W3599" s="4" t="inlineStr">
        <is>
          <t>1.A.1.a.i</t>
        </is>
      </c>
      <c r="Y3599" s="4" t="inlineStr">
        <is>
          <t>CERO_DIRECTO</t>
        </is>
      </c>
      <c r="Z3599" s="4" t="inlineStr">
        <is>
          <t>CH4</t>
        </is>
      </c>
      <c r="AA3599" s="13">
        <v>0.0</v>
      </c>
      <c r="AB3599" s="4" t="inlineStr">
        <is>
          <t>kg CH4/TJ</t>
        </is>
      </c>
      <c r="AL3599" s="4" t="inlineStr">
        <is>
          <t>No aplica — regla interna CERO_DIRECTO; NT-02, sección 9; hoja PARAMETROS</t>
        </is>
      </c>
      <c r="AM3599" s="4" t="inlineStr">
        <is>
          <t>Cero metodológico definido por la correspondencia contable; no procede de una celda numérica independiente de la CRT.</t>
        </is>
      </c>
    </row>
    <row r="3600">
      <c r="A3600" s="4" t="inlineStr">
        <is>
          <t>FACTOR_EMISION_OBS</t>
        </is>
      </c>
      <c r="B3600" s="4" t="inlineStr">
        <is>
          <t>FE_COMB|2022|1.A.1.a.i|CERO_DIRECTO|N2O</t>
        </is>
      </c>
      <c r="C3600" s="4" t="inlineStr">
        <is>
          <t>2022|1.A.1.a.i|CERO_DIRECTO|N2O</t>
        </is>
      </c>
      <c r="D3600" s="12">
        <v>2022.0</v>
      </c>
      <c r="E3600" s="12">
        <v>2022.0</v>
      </c>
      <c r="F3600" s="4" t="inlineStr">
        <is>
          <t>CAL</t>
        </is>
      </c>
      <c r="G3600" s="4" t="inlineStr">
        <is>
          <t>METODO_EMISIONES</t>
        </is>
      </c>
      <c r="H3600" s="4" t="inlineStr">
        <is>
          <t>Regla metodológica de emisión directa cero</t>
        </is>
      </c>
      <c r="J3600" s="4" t="inlineStr">
        <is>
          <t>PARAM|CERO|1.A.1.a.i|N2O</t>
        </is>
      </c>
      <c r="Q3600" s="4" t="inlineStr">
        <is>
          <t>CERO_DIRECTO</t>
        </is>
      </c>
      <c r="W3600" s="4" t="inlineStr">
        <is>
          <t>1.A.1.a.i</t>
        </is>
      </c>
      <c r="Y3600" s="4" t="inlineStr">
        <is>
          <t>CERO_DIRECTO</t>
        </is>
      </c>
      <c r="Z3600" s="4" t="inlineStr">
        <is>
          <t>N2O</t>
        </is>
      </c>
      <c r="AA3600" s="13">
        <v>0.0</v>
      </c>
      <c r="AB3600" s="4" t="inlineStr">
        <is>
          <t>kg N2O/TJ</t>
        </is>
      </c>
      <c r="AL3600" s="4" t="inlineStr">
        <is>
          <t>No aplica — regla interna CERO_DIRECTO; NT-02, sección 9; hoja PARAMETROS</t>
        </is>
      </c>
      <c r="AM3600" s="4" t="inlineStr">
        <is>
          <t>Cero metodológico definido por la correspondencia contable; no procede de una celda numérica independiente de la CRT.</t>
        </is>
      </c>
    </row>
    <row r="3601">
      <c r="A3601" s="4" t="inlineStr">
        <is>
          <t>FACTOR_EMISION_OBS</t>
        </is>
      </c>
      <c r="B3601" s="4" t="inlineStr">
        <is>
          <t>FE_COMB|2022|1.A.1.c|CERO_DIRECTO|CO2</t>
        </is>
      </c>
      <c r="C3601" s="4" t="inlineStr">
        <is>
          <t>2022|1.A.1.c|CERO_DIRECTO|CO2</t>
        </is>
      </c>
      <c r="D3601" s="12">
        <v>2022.0</v>
      </c>
      <c r="E3601" s="12">
        <v>2022.0</v>
      </c>
      <c r="F3601" s="4" t="inlineStr">
        <is>
          <t>CAL</t>
        </is>
      </c>
      <c r="G3601" s="4" t="inlineStr">
        <is>
          <t>METODO_EMISIONES</t>
        </is>
      </c>
      <c r="H3601" s="4" t="inlineStr">
        <is>
          <t>Regla metodológica de emisión directa cero</t>
        </is>
      </c>
      <c r="J3601" s="4" t="inlineStr">
        <is>
          <t>PARAM|CERO|1.A.1.c|CO2</t>
        </is>
      </c>
      <c r="Q3601" s="4" t="inlineStr">
        <is>
          <t>CERO_DIRECTO</t>
        </is>
      </c>
      <c r="W3601" s="4" t="inlineStr">
        <is>
          <t>1.A.1.c</t>
        </is>
      </c>
      <c r="Y3601" s="4" t="inlineStr">
        <is>
          <t>CERO_DIRECTO</t>
        </is>
      </c>
      <c r="Z3601" s="4" t="inlineStr">
        <is>
          <t>CO2</t>
        </is>
      </c>
      <c r="AA3601" s="13">
        <v>0.0</v>
      </c>
      <c r="AB3601" s="4" t="inlineStr">
        <is>
          <t>kg CO2/TJ</t>
        </is>
      </c>
      <c r="AL3601" s="4" t="inlineStr">
        <is>
          <t>No aplica — regla interna CERO_DIRECTO; NT-02, sección 9; hoja PARAMETROS</t>
        </is>
      </c>
      <c r="AM3601" s="4" t="inlineStr">
        <is>
          <t>Cero metodológico definido por la correspondencia contable; no procede de una celda numérica independiente de la CRT.</t>
        </is>
      </c>
    </row>
    <row r="3602">
      <c r="A3602" s="4" t="inlineStr">
        <is>
          <t>FACTOR_EMISION_OBS</t>
        </is>
      </c>
      <c r="B3602" s="4" t="inlineStr">
        <is>
          <t>FE_COMB|2022|1.A.1.c|CERO_DIRECTO|CH4</t>
        </is>
      </c>
      <c r="C3602" s="4" t="inlineStr">
        <is>
          <t>2022|1.A.1.c|CERO_DIRECTO|CH4</t>
        </is>
      </c>
      <c r="D3602" s="12">
        <v>2022.0</v>
      </c>
      <c r="E3602" s="12">
        <v>2022.0</v>
      </c>
      <c r="F3602" s="4" t="inlineStr">
        <is>
          <t>CAL</t>
        </is>
      </c>
      <c r="G3602" s="4" t="inlineStr">
        <is>
          <t>METODO_EMISIONES</t>
        </is>
      </c>
      <c r="H3602" s="4" t="inlineStr">
        <is>
          <t>Regla metodológica de emisión directa cero</t>
        </is>
      </c>
      <c r="J3602" s="4" t="inlineStr">
        <is>
          <t>PARAM|CERO|1.A.1.c|CH4</t>
        </is>
      </c>
      <c r="Q3602" s="4" t="inlineStr">
        <is>
          <t>CERO_DIRECTO</t>
        </is>
      </c>
      <c r="W3602" s="4" t="inlineStr">
        <is>
          <t>1.A.1.c</t>
        </is>
      </c>
      <c r="Y3602" s="4" t="inlineStr">
        <is>
          <t>CERO_DIRECTO</t>
        </is>
      </c>
      <c r="Z3602" s="4" t="inlineStr">
        <is>
          <t>CH4</t>
        </is>
      </c>
      <c r="AA3602" s="13">
        <v>0.0</v>
      </c>
      <c r="AB3602" s="4" t="inlineStr">
        <is>
          <t>kg CH4/TJ</t>
        </is>
      </c>
      <c r="AL3602" s="4" t="inlineStr">
        <is>
          <t>No aplica — regla interna CERO_DIRECTO; NT-02, sección 9; hoja PARAMETROS</t>
        </is>
      </c>
      <c r="AM3602" s="4" t="inlineStr">
        <is>
          <t>Cero metodológico definido por la correspondencia contable; no procede de una celda numérica independiente de la CRT.</t>
        </is>
      </c>
    </row>
    <row r="3603">
      <c r="A3603" s="4" t="inlineStr">
        <is>
          <t>FACTOR_EMISION_OBS</t>
        </is>
      </c>
      <c r="B3603" s="4" t="inlineStr">
        <is>
          <t>FE_COMB|2022|1.A.1.c|CERO_DIRECTO|N2O</t>
        </is>
      </c>
      <c r="C3603" s="4" t="inlineStr">
        <is>
          <t>2022|1.A.1.c|CERO_DIRECTO|N2O</t>
        </is>
      </c>
      <c r="D3603" s="12">
        <v>2022.0</v>
      </c>
      <c r="E3603" s="12">
        <v>2022.0</v>
      </c>
      <c r="F3603" s="4" t="inlineStr">
        <is>
          <t>CAL</t>
        </is>
      </c>
      <c r="G3603" s="4" t="inlineStr">
        <is>
          <t>METODO_EMISIONES</t>
        </is>
      </c>
      <c r="H3603" s="4" t="inlineStr">
        <is>
          <t>Regla metodológica de emisión directa cero</t>
        </is>
      </c>
      <c r="J3603" s="4" t="inlineStr">
        <is>
          <t>PARAM|CERO|1.A.1.c|N2O</t>
        </is>
      </c>
      <c r="Q3603" s="4" t="inlineStr">
        <is>
          <t>CERO_DIRECTO</t>
        </is>
      </c>
      <c r="W3603" s="4" t="inlineStr">
        <is>
          <t>1.A.1.c</t>
        </is>
      </c>
      <c r="Y3603" s="4" t="inlineStr">
        <is>
          <t>CERO_DIRECTO</t>
        </is>
      </c>
      <c r="Z3603" s="4" t="inlineStr">
        <is>
          <t>N2O</t>
        </is>
      </c>
      <c r="AA3603" s="13">
        <v>0.0</v>
      </c>
      <c r="AB3603" s="4" t="inlineStr">
        <is>
          <t>kg N2O/TJ</t>
        </is>
      </c>
      <c r="AL3603" s="4" t="inlineStr">
        <is>
          <t>No aplica — regla interna CERO_DIRECTO; NT-02, sección 9; hoja PARAMETROS</t>
        </is>
      </c>
      <c r="AM3603" s="4" t="inlineStr">
        <is>
          <t>Cero metodológico definido por la correspondencia contable; no procede de una celda numérica independiente de la CRT.</t>
        </is>
      </c>
    </row>
    <row r="3604">
      <c r="A3604" s="4" t="inlineStr">
        <is>
          <t>FACTOR_EMISION_OBS</t>
        </is>
      </c>
      <c r="B3604" s="4" t="inlineStr">
        <is>
          <t>FE_COMB|2022|1.A.2|CERO_DIRECTO|CO2</t>
        </is>
      </c>
      <c r="C3604" s="4" t="inlineStr">
        <is>
          <t>2022|1.A.2|CERO_DIRECTO|CO2</t>
        </is>
      </c>
      <c r="D3604" s="12">
        <v>2022.0</v>
      </c>
      <c r="E3604" s="12">
        <v>2022.0</v>
      </c>
      <c r="F3604" s="4" t="inlineStr">
        <is>
          <t>CAL</t>
        </is>
      </c>
      <c r="G3604" s="4" t="inlineStr">
        <is>
          <t>METODO_EMISIONES</t>
        </is>
      </c>
      <c r="H3604" s="4" t="inlineStr">
        <is>
          <t>Regla metodológica de emisión directa cero</t>
        </is>
      </c>
      <c r="J3604" s="4" t="inlineStr">
        <is>
          <t>PARAM|CERO|1.A.2|CO2</t>
        </is>
      </c>
      <c r="Q3604" s="4" t="inlineStr">
        <is>
          <t>CERO_DIRECTO</t>
        </is>
      </c>
      <c r="W3604" s="4" t="inlineStr">
        <is>
          <t>1.A.2</t>
        </is>
      </c>
      <c r="Y3604" s="4" t="inlineStr">
        <is>
          <t>CERO_DIRECTO</t>
        </is>
      </c>
      <c r="Z3604" s="4" t="inlineStr">
        <is>
          <t>CO2</t>
        </is>
      </c>
      <c r="AA3604" s="13">
        <v>0.0</v>
      </c>
      <c r="AB3604" s="4" t="inlineStr">
        <is>
          <t>kg CO2/TJ</t>
        </is>
      </c>
      <c r="AL3604" s="4" t="inlineStr">
        <is>
          <t>No aplica — regla interna CERO_DIRECTO; NT-02, sección 9; hoja PARAMETROS</t>
        </is>
      </c>
      <c r="AM3604" s="4" t="inlineStr">
        <is>
          <t>Cero metodológico definido por la correspondencia contable; no procede de una celda numérica independiente de la CRT.</t>
        </is>
      </c>
    </row>
    <row r="3605">
      <c r="A3605" s="4" t="inlineStr">
        <is>
          <t>FACTOR_EMISION_OBS</t>
        </is>
      </c>
      <c r="B3605" s="4" t="inlineStr">
        <is>
          <t>FE_COMB|2022|1.A.2|CERO_DIRECTO|CH4</t>
        </is>
      </c>
      <c r="C3605" s="4" t="inlineStr">
        <is>
          <t>2022|1.A.2|CERO_DIRECTO|CH4</t>
        </is>
      </c>
      <c r="D3605" s="12">
        <v>2022.0</v>
      </c>
      <c r="E3605" s="12">
        <v>2022.0</v>
      </c>
      <c r="F3605" s="4" t="inlineStr">
        <is>
          <t>CAL</t>
        </is>
      </c>
      <c r="G3605" s="4" t="inlineStr">
        <is>
          <t>METODO_EMISIONES</t>
        </is>
      </c>
      <c r="H3605" s="4" t="inlineStr">
        <is>
          <t>Regla metodológica de emisión directa cero</t>
        </is>
      </c>
      <c r="J3605" s="4" t="inlineStr">
        <is>
          <t>PARAM|CERO|1.A.2|CH4</t>
        </is>
      </c>
      <c r="Q3605" s="4" t="inlineStr">
        <is>
          <t>CERO_DIRECTO</t>
        </is>
      </c>
      <c r="W3605" s="4" t="inlineStr">
        <is>
          <t>1.A.2</t>
        </is>
      </c>
      <c r="Y3605" s="4" t="inlineStr">
        <is>
          <t>CERO_DIRECTO</t>
        </is>
      </c>
      <c r="Z3605" s="4" t="inlineStr">
        <is>
          <t>CH4</t>
        </is>
      </c>
      <c r="AA3605" s="13">
        <v>0.0</v>
      </c>
      <c r="AB3605" s="4" t="inlineStr">
        <is>
          <t>kg CH4/TJ</t>
        </is>
      </c>
      <c r="AL3605" s="4" t="inlineStr">
        <is>
          <t>No aplica — regla interna CERO_DIRECTO; NT-02, sección 9; hoja PARAMETROS</t>
        </is>
      </c>
      <c r="AM3605" s="4" t="inlineStr">
        <is>
          <t>Cero metodológico definido por la correspondencia contable; no procede de una celda numérica independiente de la CRT.</t>
        </is>
      </c>
    </row>
    <row r="3606">
      <c r="A3606" s="4" t="inlineStr">
        <is>
          <t>FACTOR_EMISION_OBS</t>
        </is>
      </c>
      <c r="B3606" s="4" t="inlineStr">
        <is>
          <t>FE_COMB|2022|1.A.2|CERO_DIRECTO|N2O</t>
        </is>
      </c>
      <c r="C3606" s="4" t="inlineStr">
        <is>
          <t>2022|1.A.2|CERO_DIRECTO|N2O</t>
        </is>
      </c>
      <c r="D3606" s="12">
        <v>2022.0</v>
      </c>
      <c r="E3606" s="12">
        <v>2022.0</v>
      </c>
      <c r="F3606" s="4" t="inlineStr">
        <is>
          <t>CAL</t>
        </is>
      </c>
      <c r="G3606" s="4" t="inlineStr">
        <is>
          <t>METODO_EMISIONES</t>
        </is>
      </c>
      <c r="H3606" s="4" t="inlineStr">
        <is>
          <t>Regla metodológica de emisión directa cero</t>
        </is>
      </c>
      <c r="J3606" s="4" t="inlineStr">
        <is>
          <t>PARAM|CERO|1.A.2|N2O</t>
        </is>
      </c>
      <c r="Q3606" s="4" t="inlineStr">
        <is>
          <t>CERO_DIRECTO</t>
        </is>
      </c>
      <c r="W3606" s="4" t="inlineStr">
        <is>
          <t>1.A.2</t>
        </is>
      </c>
      <c r="Y3606" s="4" t="inlineStr">
        <is>
          <t>CERO_DIRECTO</t>
        </is>
      </c>
      <c r="Z3606" s="4" t="inlineStr">
        <is>
          <t>N2O</t>
        </is>
      </c>
      <c r="AA3606" s="13">
        <v>0.0</v>
      </c>
      <c r="AB3606" s="4" t="inlineStr">
        <is>
          <t>kg N2O/TJ</t>
        </is>
      </c>
      <c r="AL3606" s="4" t="inlineStr">
        <is>
          <t>No aplica — regla interna CERO_DIRECTO; NT-02, sección 9; hoja PARAMETROS</t>
        </is>
      </c>
      <c r="AM3606" s="4" t="inlineStr">
        <is>
          <t>Cero metodológico definido por la correspondencia contable; no procede de una celda numérica independiente de la CRT.</t>
        </is>
      </c>
    </row>
    <row r="3607">
      <c r="A3607" s="4" t="inlineStr">
        <is>
          <t>FACTOR_EMISION_OBS</t>
        </is>
      </c>
      <c r="B3607" s="4" t="inlineStr">
        <is>
          <t>FE_COMB|2022|1.A.3|CERO_DIRECTO|CO2</t>
        </is>
      </c>
      <c r="C3607" s="4" t="inlineStr">
        <is>
          <t>2022|1.A.3|CERO_DIRECTO|CO2</t>
        </is>
      </c>
      <c r="D3607" s="12">
        <v>2022.0</v>
      </c>
      <c r="E3607" s="12">
        <v>2022.0</v>
      </c>
      <c r="F3607" s="4" t="inlineStr">
        <is>
          <t>CAL</t>
        </is>
      </c>
      <c r="G3607" s="4" t="inlineStr">
        <is>
          <t>METODO_EMISIONES</t>
        </is>
      </c>
      <c r="H3607" s="4" t="inlineStr">
        <is>
          <t>Regla metodológica de emisión directa cero</t>
        </is>
      </c>
      <c r="J3607" s="4" t="inlineStr">
        <is>
          <t>PARAM|CERO|1.A.3|CO2</t>
        </is>
      </c>
      <c r="Q3607" s="4" t="inlineStr">
        <is>
          <t>CERO_DIRECTO</t>
        </is>
      </c>
      <c r="W3607" s="4" t="inlineStr">
        <is>
          <t>1.A.3</t>
        </is>
      </c>
      <c r="Y3607" s="4" t="inlineStr">
        <is>
          <t>CERO_DIRECTO</t>
        </is>
      </c>
      <c r="Z3607" s="4" t="inlineStr">
        <is>
          <t>CO2</t>
        </is>
      </c>
      <c r="AA3607" s="13">
        <v>0.0</v>
      </c>
      <c r="AB3607" s="4" t="inlineStr">
        <is>
          <t>kg CO2/TJ</t>
        </is>
      </c>
      <c r="AL3607" s="4" t="inlineStr">
        <is>
          <t>No aplica — regla interna CERO_DIRECTO; NT-02, sección 9; hoja PARAMETROS</t>
        </is>
      </c>
      <c r="AM3607" s="4" t="inlineStr">
        <is>
          <t>Cero metodológico definido por la correspondencia contable; no procede de una celda numérica independiente de la CRT.</t>
        </is>
      </c>
    </row>
    <row r="3608">
      <c r="A3608" s="4" t="inlineStr">
        <is>
          <t>FACTOR_EMISION_OBS</t>
        </is>
      </c>
      <c r="B3608" s="4" t="inlineStr">
        <is>
          <t>FE_COMB|2022|1.A.3|CERO_DIRECTO|CH4</t>
        </is>
      </c>
      <c r="C3608" s="4" t="inlineStr">
        <is>
          <t>2022|1.A.3|CERO_DIRECTO|CH4</t>
        </is>
      </c>
      <c r="D3608" s="12">
        <v>2022.0</v>
      </c>
      <c r="E3608" s="12">
        <v>2022.0</v>
      </c>
      <c r="F3608" s="4" t="inlineStr">
        <is>
          <t>CAL</t>
        </is>
      </c>
      <c r="G3608" s="4" t="inlineStr">
        <is>
          <t>METODO_EMISIONES</t>
        </is>
      </c>
      <c r="H3608" s="4" t="inlineStr">
        <is>
          <t>Regla metodológica de emisión directa cero</t>
        </is>
      </c>
      <c r="J3608" s="4" t="inlineStr">
        <is>
          <t>PARAM|CERO|1.A.3|CH4</t>
        </is>
      </c>
      <c r="Q3608" s="4" t="inlineStr">
        <is>
          <t>CERO_DIRECTO</t>
        </is>
      </c>
      <c r="W3608" s="4" t="inlineStr">
        <is>
          <t>1.A.3</t>
        </is>
      </c>
      <c r="Y3608" s="4" t="inlineStr">
        <is>
          <t>CERO_DIRECTO</t>
        </is>
      </c>
      <c r="Z3608" s="4" t="inlineStr">
        <is>
          <t>CH4</t>
        </is>
      </c>
      <c r="AA3608" s="13">
        <v>0.0</v>
      </c>
      <c r="AB3608" s="4" t="inlineStr">
        <is>
          <t>kg CH4/TJ</t>
        </is>
      </c>
      <c r="AL3608" s="4" t="inlineStr">
        <is>
          <t>No aplica — regla interna CERO_DIRECTO; NT-02, sección 9; hoja PARAMETROS</t>
        </is>
      </c>
      <c r="AM3608" s="4" t="inlineStr">
        <is>
          <t>Cero metodológico definido por la correspondencia contable; no procede de una celda numérica independiente de la CRT.</t>
        </is>
      </c>
    </row>
    <row r="3609">
      <c r="A3609" s="4" t="inlineStr">
        <is>
          <t>FACTOR_EMISION_OBS</t>
        </is>
      </c>
      <c r="B3609" s="4" t="inlineStr">
        <is>
          <t>FE_COMB|2022|1.A.3|CERO_DIRECTO|N2O</t>
        </is>
      </c>
      <c r="C3609" s="4" t="inlineStr">
        <is>
          <t>2022|1.A.3|CERO_DIRECTO|N2O</t>
        </is>
      </c>
      <c r="D3609" s="12">
        <v>2022.0</v>
      </c>
      <c r="E3609" s="12">
        <v>2022.0</v>
      </c>
      <c r="F3609" s="4" t="inlineStr">
        <is>
          <t>CAL</t>
        </is>
      </c>
      <c r="G3609" s="4" t="inlineStr">
        <is>
          <t>METODO_EMISIONES</t>
        </is>
      </c>
      <c r="H3609" s="4" t="inlineStr">
        <is>
          <t>Regla metodológica de emisión directa cero</t>
        </is>
      </c>
      <c r="J3609" s="4" t="inlineStr">
        <is>
          <t>PARAM|CERO|1.A.3|N2O</t>
        </is>
      </c>
      <c r="Q3609" s="4" t="inlineStr">
        <is>
          <t>CERO_DIRECTO</t>
        </is>
      </c>
      <c r="W3609" s="4" t="inlineStr">
        <is>
          <t>1.A.3</t>
        </is>
      </c>
      <c r="Y3609" s="4" t="inlineStr">
        <is>
          <t>CERO_DIRECTO</t>
        </is>
      </c>
      <c r="Z3609" s="4" t="inlineStr">
        <is>
          <t>N2O</t>
        </is>
      </c>
      <c r="AA3609" s="13">
        <v>0.0</v>
      </c>
      <c r="AB3609" s="4" t="inlineStr">
        <is>
          <t>kg N2O/TJ</t>
        </is>
      </c>
      <c r="AL3609" s="4" t="inlineStr">
        <is>
          <t>No aplica — regla interna CERO_DIRECTO; NT-02, sección 9; hoja PARAMETROS</t>
        </is>
      </c>
      <c r="AM3609" s="4" t="inlineStr">
        <is>
          <t>Cero metodológico definido por la correspondencia contable; no procede de una celda numérica independiente de la CRT.</t>
        </is>
      </c>
    </row>
    <row r="3610">
      <c r="A3610" s="4" t="inlineStr">
        <is>
          <t>FACTOR_EMISION_OBS</t>
        </is>
      </c>
      <c r="B3610" s="4" t="inlineStr">
        <is>
          <t>FE_COMB|2022|1.A.4.a|CERO_DIRECTO|CO2</t>
        </is>
      </c>
      <c r="C3610" s="4" t="inlineStr">
        <is>
          <t>2022|1.A.4.a|CERO_DIRECTO|CO2</t>
        </is>
      </c>
      <c r="D3610" s="12">
        <v>2022.0</v>
      </c>
      <c r="E3610" s="12">
        <v>2022.0</v>
      </c>
      <c r="F3610" s="4" t="inlineStr">
        <is>
          <t>CAL</t>
        </is>
      </c>
      <c r="G3610" s="4" t="inlineStr">
        <is>
          <t>METODO_EMISIONES</t>
        </is>
      </c>
      <c r="H3610" s="4" t="inlineStr">
        <is>
          <t>Regla metodológica de emisión directa cero</t>
        </is>
      </c>
      <c r="J3610" s="4" t="inlineStr">
        <is>
          <t>PARAM|CERO|1.A.4.a|CO2</t>
        </is>
      </c>
      <c r="Q3610" s="4" t="inlineStr">
        <is>
          <t>CERO_DIRECTO</t>
        </is>
      </c>
      <c r="W3610" s="4" t="inlineStr">
        <is>
          <t>1.A.4.a</t>
        </is>
      </c>
      <c r="Y3610" s="4" t="inlineStr">
        <is>
          <t>CERO_DIRECTO</t>
        </is>
      </c>
      <c r="Z3610" s="4" t="inlineStr">
        <is>
          <t>CO2</t>
        </is>
      </c>
      <c r="AA3610" s="13">
        <v>0.0</v>
      </c>
      <c r="AB3610" s="4" t="inlineStr">
        <is>
          <t>kg CO2/TJ</t>
        </is>
      </c>
      <c r="AL3610" s="4" t="inlineStr">
        <is>
          <t>No aplica — regla interna CERO_DIRECTO; NT-02, sección 9; hoja PARAMETROS</t>
        </is>
      </c>
      <c r="AM3610" s="4" t="inlineStr">
        <is>
          <t>Cero metodológico definido por la correspondencia contable; no procede de una celda numérica independiente de la CRT.</t>
        </is>
      </c>
    </row>
    <row r="3611">
      <c r="A3611" s="4" t="inlineStr">
        <is>
          <t>FACTOR_EMISION_OBS</t>
        </is>
      </c>
      <c r="B3611" s="4" t="inlineStr">
        <is>
          <t>FE_COMB|2022|1.A.4.a|CERO_DIRECTO|CH4</t>
        </is>
      </c>
      <c r="C3611" s="4" t="inlineStr">
        <is>
          <t>2022|1.A.4.a|CERO_DIRECTO|CH4</t>
        </is>
      </c>
      <c r="D3611" s="12">
        <v>2022.0</v>
      </c>
      <c r="E3611" s="12">
        <v>2022.0</v>
      </c>
      <c r="F3611" s="4" t="inlineStr">
        <is>
          <t>CAL</t>
        </is>
      </c>
      <c r="G3611" s="4" t="inlineStr">
        <is>
          <t>METODO_EMISIONES</t>
        </is>
      </c>
      <c r="H3611" s="4" t="inlineStr">
        <is>
          <t>Regla metodológica de emisión directa cero</t>
        </is>
      </c>
      <c r="J3611" s="4" t="inlineStr">
        <is>
          <t>PARAM|CERO|1.A.4.a|CH4</t>
        </is>
      </c>
      <c r="Q3611" s="4" t="inlineStr">
        <is>
          <t>CERO_DIRECTO</t>
        </is>
      </c>
      <c r="W3611" s="4" t="inlineStr">
        <is>
          <t>1.A.4.a</t>
        </is>
      </c>
      <c r="Y3611" s="4" t="inlineStr">
        <is>
          <t>CERO_DIRECTO</t>
        </is>
      </c>
      <c r="Z3611" s="4" t="inlineStr">
        <is>
          <t>CH4</t>
        </is>
      </c>
      <c r="AA3611" s="13">
        <v>0.0</v>
      </c>
      <c r="AB3611" s="4" t="inlineStr">
        <is>
          <t>kg CH4/TJ</t>
        </is>
      </c>
      <c r="AL3611" s="4" t="inlineStr">
        <is>
          <t>No aplica — regla interna CERO_DIRECTO; NT-02, sección 9; hoja PARAMETROS</t>
        </is>
      </c>
      <c r="AM3611" s="4" t="inlineStr">
        <is>
          <t>Cero metodológico definido por la correspondencia contable; no procede de una celda numérica independiente de la CRT.</t>
        </is>
      </c>
    </row>
    <row r="3612">
      <c r="A3612" s="4" t="inlineStr">
        <is>
          <t>FACTOR_EMISION_OBS</t>
        </is>
      </c>
      <c r="B3612" s="4" t="inlineStr">
        <is>
          <t>FE_COMB|2022|1.A.4.a|CERO_DIRECTO|N2O</t>
        </is>
      </c>
      <c r="C3612" s="4" t="inlineStr">
        <is>
          <t>2022|1.A.4.a|CERO_DIRECTO|N2O</t>
        </is>
      </c>
      <c r="D3612" s="12">
        <v>2022.0</v>
      </c>
      <c r="E3612" s="12">
        <v>2022.0</v>
      </c>
      <c r="F3612" s="4" t="inlineStr">
        <is>
          <t>CAL</t>
        </is>
      </c>
      <c r="G3612" s="4" t="inlineStr">
        <is>
          <t>METODO_EMISIONES</t>
        </is>
      </c>
      <c r="H3612" s="4" t="inlineStr">
        <is>
          <t>Regla metodológica de emisión directa cero</t>
        </is>
      </c>
      <c r="J3612" s="4" t="inlineStr">
        <is>
          <t>PARAM|CERO|1.A.4.a|N2O</t>
        </is>
      </c>
      <c r="Q3612" s="4" t="inlineStr">
        <is>
          <t>CERO_DIRECTO</t>
        </is>
      </c>
      <c r="W3612" s="4" t="inlineStr">
        <is>
          <t>1.A.4.a</t>
        </is>
      </c>
      <c r="Y3612" s="4" t="inlineStr">
        <is>
          <t>CERO_DIRECTO</t>
        </is>
      </c>
      <c r="Z3612" s="4" t="inlineStr">
        <is>
          <t>N2O</t>
        </is>
      </c>
      <c r="AA3612" s="13">
        <v>0.0</v>
      </c>
      <c r="AB3612" s="4" t="inlineStr">
        <is>
          <t>kg N2O/TJ</t>
        </is>
      </c>
      <c r="AL3612" s="4" t="inlineStr">
        <is>
          <t>No aplica — regla interna CERO_DIRECTO; NT-02, sección 9; hoja PARAMETROS</t>
        </is>
      </c>
      <c r="AM3612" s="4" t="inlineStr">
        <is>
          <t>Cero metodológico definido por la correspondencia contable; no procede de una celda numérica independiente de la CRT.</t>
        </is>
      </c>
    </row>
    <row r="3613">
      <c r="A3613" s="4" t="inlineStr">
        <is>
          <t>FACTOR_EMISION_OBS</t>
        </is>
      </c>
      <c r="B3613" s="4" t="inlineStr">
        <is>
          <t>FE_COMB|2022|1.A.4.b|CERO_DIRECTO|CO2</t>
        </is>
      </c>
      <c r="C3613" s="4" t="inlineStr">
        <is>
          <t>2022|1.A.4.b|CERO_DIRECTO|CO2</t>
        </is>
      </c>
      <c r="D3613" s="12">
        <v>2022.0</v>
      </c>
      <c r="E3613" s="12">
        <v>2022.0</v>
      </c>
      <c r="F3613" s="4" t="inlineStr">
        <is>
          <t>CAL</t>
        </is>
      </c>
      <c r="G3613" s="4" t="inlineStr">
        <is>
          <t>METODO_EMISIONES</t>
        </is>
      </c>
      <c r="H3613" s="4" t="inlineStr">
        <is>
          <t>Regla metodológica de emisión directa cero</t>
        </is>
      </c>
      <c r="J3613" s="4" t="inlineStr">
        <is>
          <t>PARAM|CERO|1.A.4.b|CO2</t>
        </is>
      </c>
      <c r="Q3613" s="4" t="inlineStr">
        <is>
          <t>CERO_DIRECTO</t>
        </is>
      </c>
      <c r="W3613" s="4" t="inlineStr">
        <is>
          <t>1.A.4.b</t>
        </is>
      </c>
      <c r="Y3613" s="4" t="inlineStr">
        <is>
          <t>CERO_DIRECTO</t>
        </is>
      </c>
      <c r="Z3613" s="4" t="inlineStr">
        <is>
          <t>CO2</t>
        </is>
      </c>
      <c r="AA3613" s="13">
        <v>0.0</v>
      </c>
      <c r="AB3613" s="4" t="inlineStr">
        <is>
          <t>kg CO2/TJ</t>
        </is>
      </c>
      <c r="AL3613" s="4" t="inlineStr">
        <is>
          <t>No aplica — regla interna CERO_DIRECTO; NT-02, sección 9; hoja PARAMETROS</t>
        </is>
      </c>
      <c r="AM3613" s="4" t="inlineStr">
        <is>
          <t>Cero metodológico definido por la correspondencia contable; no procede de una celda numérica independiente de la CRT.</t>
        </is>
      </c>
    </row>
    <row r="3614">
      <c r="A3614" s="4" t="inlineStr">
        <is>
          <t>FACTOR_EMISION_OBS</t>
        </is>
      </c>
      <c r="B3614" s="4" t="inlineStr">
        <is>
          <t>FE_COMB|2022|1.A.4.b|CERO_DIRECTO|CH4</t>
        </is>
      </c>
      <c r="C3614" s="4" t="inlineStr">
        <is>
          <t>2022|1.A.4.b|CERO_DIRECTO|CH4</t>
        </is>
      </c>
      <c r="D3614" s="12">
        <v>2022.0</v>
      </c>
      <c r="E3614" s="12">
        <v>2022.0</v>
      </c>
      <c r="F3614" s="4" t="inlineStr">
        <is>
          <t>CAL</t>
        </is>
      </c>
      <c r="G3614" s="4" t="inlineStr">
        <is>
          <t>METODO_EMISIONES</t>
        </is>
      </c>
      <c r="H3614" s="4" t="inlineStr">
        <is>
          <t>Regla metodológica de emisión directa cero</t>
        </is>
      </c>
      <c r="J3614" s="4" t="inlineStr">
        <is>
          <t>PARAM|CERO|1.A.4.b|CH4</t>
        </is>
      </c>
      <c r="Q3614" s="4" t="inlineStr">
        <is>
          <t>CERO_DIRECTO</t>
        </is>
      </c>
      <c r="W3614" s="4" t="inlineStr">
        <is>
          <t>1.A.4.b</t>
        </is>
      </c>
      <c r="Y3614" s="4" t="inlineStr">
        <is>
          <t>CERO_DIRECTO</t>
        </is>
      </c>
      <c r="Z3614" s="4" t="inlineStr">
        <is>
          <t>CH4</t>
        </is>
      </c>
      <c r="AA3614" s="13">
        <v>0.0</v>
      </c>
      <c r="AB3614" s="4" t="inlineStr">
        <is>
          <t>kg CH4/TJ</t>
        </is>
      </c>
      <c r="AL3614" s="4" t="inlineStr">
        <is>
          <t>No aplica — regla interna CERO_DIRECTO; NT-02, sección 9; hoja PARAMETROS</t>
        </is>
      </c>
      <c r="AM3614" s="4" t="inlineStr">
        <is>
          <t>Cero metodológico definido por la correspondencia contable; no procede de una celda numérica independiente de la CRT.</t>
        </is>
      </c>
    </row>
    <row r="3615">
      <c r="A3615" s="4" t="inlineStr">
        <is>
          <t>FACTOR_EMISION_OBS</t>
        </is>
      </c>
      <c r="B3615" s="4" t="inlineStr">
        <is>
          <t>FE_COMB|2022|1.A.4.b|CERO_DIRECTO|N2O</t>
        </is>
      </c>
      <c r="C3615" s="4" t="inlineStr">
        <is>
          <t>2022|1.A.4.b|CERO_DIRECTO|N2O</t>
        </is>
      </c>
      <c r="D3615" s="12">
        <v>2022.0</v>
      </c>
      <c r="E3615" s="12">
        <v>2022.0</v>
      </c>
      <c r="F3615" s="4" t="inlineStr">
        <is>
          <t>CAL</t>
        </is>
      </c>
      <c r="G3615" s="4" t="inlineStr">
        <is>
          <t>METODO_EMISIONES</t>
        </is>
      </c>
      <c r="H3615" s="4" t="inlineStr">
        <is>
          <t>Regla metodológica de emisión directa cero</t>
        </is>
      </c>
      <c r="J3615" s="4" t="inlineStr">
        <is>
          <t>PARAM|CERO|1.A.4.b|N2O</t>
        </is>
      </c>
      <c r="Q3615" s="4" t="inlineStr">
        <is>
          <t>CERO_DIRECTO</t>
        </is>
      </c>
      <c r="W3615" s="4" t="inlineStr">
        <is>
          <t>1.A.4.b</t>
        </is>
      </c>
      <c r="Y3615" s="4" t="inlineStr">
        <is>
          <t>CERO_DIRECTO</t>
        </is>
      </c>
      <c r="Z3615" s="4" t="inlineStr">
        <is>
          <t>N2O</t>
        </is>
      </c>
      <c r="AA3615" s="13">
        <v>0.0</v>
      </c>
      <c r="AB3615" s="4" t="inlineStr">
        <is>
          <t>kg N2O/TJ</t>
        </is>
      </c>
      <c r="AL3615" s="4" t="inlineStr">
        <is>
          <t>No aplica — regla interna CERO_DIRECTO; NT-02, sección 9; hoja PARAMETROS</t>
        </is>
      </c>
      <c r="AM3615" s="4" t="inlineStr">
        <is>
          <t>Cero metodológico definido por la correspondencia contable; no procede de una celda numérica independiente de la CRT.</t>
        </is>
      </c>
    </row>
    <row r="3616">
      <c r="A3616" s="4" t="inlineStr">
        <is>
          <t>FACTOR_EMISION_OBS</t>
        </is>
      </c>
      <c r="B3616" s="4" t="inlineStr">
        <is>
          <t>FE_NO|2022|1.A.1.c|NO|CO2</t>
        </is>
      </c>
      <c r="C3616" s="4" t="inlineStr">
        <is>
          <t>2022|1.A.1.c|NO|CO2</t>
        </is>
      </c>
      <c r="D3616" s="12">
        <v>2022.0</v>
      </c>
      <c r="E3616" s="12">
        <v>2022.0</v>
      </c>
      <c r="F3616" s="4" t="inlineStr">
        <is>
          <t>NO</t>
        </is>
      </c>
      <c r="G3616" s="4" t="inlineStr">
        <is>
          <t>UNFCCC_GTM_CRT_2024</t>
        </is>
      </c>
      <c r="H3616" s="4" t="inlineStr">
        <is>
          <t>Guatemala. 2024 Common Reporting Table (CRT)</t>
        </is>
      </c>
      <c r="I3616" s="4" t="inlineStr">
        <is>
          <t>https://unfccc.int/reports?f%5B0%5D=corporate_author%3A206</t>
        </is>
      </c>
      <c r="J3616" s="4" t="inlineStr">
        <is>
          <t>FE_NO|2022|1.A.1.c|NO|CO2</t>
        </is>
      </c>
      <c r="Q3616" s="4" t="inlineStr">
        <is>
          <t>SIN_FACTOR_NUMERICO</t>
        </is>
      </c>
      <c r="W3616" s="4" t="inlineStr">
        <is>
          <t>1.A.1.c</t>
        </is>
      </c>
      <c r="Y3616" s="4" t="inlineStr">
        <is>
          <t>NO</t>
        </is>
      </c>
      <c r="Z3616" s="4" t="inlineStr">
        <is>
          <t>CO2</t>
        </is>
      </c>
      <c r="AB3616" s="4" t="inlineStr">
        <is>
          <t>kg CO2/TJ</t>
        </is>
      </c>
      <c r="AL3616" s="4" t="inlineStr">
        <is>
          <t>Table1.A; localizador a nivel de tabla; sin registro numérico</t>
        </is>
      </c>
      <c r="AM3616" s="4" t="inlineStr">
        <is>
          <t>Se conserva el estado NO porque la fuente no aporta un factor numérico para la clave interna FE_NO|2022|1.A.1.c|NO|CO2.</t>
        </is>
      </c>
    </row>
    <row r="3617">
      <c r="A3617" s="4" t="inlineStr">
        <is>
          <t>FACTOR_EMISION_OBS</t>
        </is>
      </c>
      <c r="B3617" s="4" t="inlineStr">
        <is>
          <t>FE_NO|2022|1.A.1.c|NO|CH4</t>
        </is>
      </c>
      <c r="C3617" s="4" t="inlineStr">
        <is>
          <t>2022|1.A.1.c|NO|CH4</t>
        </is>
      </c>
      <c r="D3617" s="12">
        <v>2022.0</v>
      </c>
      <c r="E3617" s="12">
        <v>2022.0</v>
      </c>
      <c r="F3617" s="4" t="inlineStr">
        <is>
          <t>NO</t>
        </is>
      </c>
      <c r="G3617" s="4" t="inlineStr">
        <is>
          <t>UNFCCC_GTM_CRT_2024</t>
        </is>
      </c>
      <c r="H3617" s="4" t="inlineStr">
        <is>
          <t>Guatemala. 2024 Common Reporting Table (CRT)</t>
        </is>
      </c>
      <c r="I3617" s="4" t="inlineStr">
        <is>
          <t>https://unfccc.int/reports?f%5B0%5D=corporate_author%3A206</t>
        </is>
      </c>
      <c r="J3617" s="4" t="inlineStr">
        <is>
          <t>FE_NO|2022|1.A.1.c|NO|CH4</t>
        </is>
      </c>
      <c r="Q3617" s="4" t="inlineStr">
        <is>
          <t>SIN_FACTOR_NUMERICO</t>
        </is>
      </c>
      <c r="W3617" s="4" t="inlineStr">
        <is>
          <t>1.A.1.c</t>
        </is>
      </c>
      <c r="Y3617" s="4" t="inlineStr">
        <is>
          <t>NO</t>
        </is>
      </c>
      <c r="Z3617" s="4" t="inlineStr">
        <is>
          <t>CH4</t>
        </is>
      </c>
      <c r="AB3617" s="4" t="inlineStr">
        <is>
          <t>kg CH4/TJ</t>
        </is>
      </c>
      <c r="AL3617" s="4" t="inlineStr">
        <is>
          <t>Table1.A; localizador a nivel de tabla; sin registro numérico</t>
        </is>
      </c>
      <c r="AM3617" s="4" t="inlineStr">
        <is>
          <t>Se conserva el estado NO porque la fuente no aporta un factor numérico para la clave interna FE_NO|2022|1.A.1.c|NO|CH4.</t>
        </is>
      </c>
    </row>
    <row r="3618">
      <c r="A3618" s="4" t="inlineStr">
        <is>
          <t>FACTOR_EMISION_OBS</t>
        </is>
      </c>
      <c r="B3618" s="4" t="inlineStr">
        <is>
          <t>FE_NO|2022|1.A.1.c|NO|N2O</t>
        </is>
      </c>
      <c r="C3618" s="4" t="inlineStr">
        <is>
          <t>2022|1.A.1.c|NO|N2O</t>
        </is>
      </c>
      <c r="D3618" s="12">
        <v>2022.0</v>
      </c>
      <c r="E3618" s="12">
        <v>2022.0</v>
      </c>
      <c r="F3618" s="4" t="inlineStr">
        <is>
          <t>NO</t>
        </is>
      </c>
      <c r="G3618" s="4" t="inlineStr">
        <is>
          <t>UNFCCC_GTM_CRT_2024</t>
        </is>
      </c>
      <c r="H3618" s="4" t="inlineStr">
        <is>
          <t>Guatemala. 2024 Common Reporting Table (CRT)</t>
        </is>
      </c>
      <c r="I3618" s="4" t="inlineStr">
        <is>
          <t>https://unfccc.int/reports?f%5B0%5D=corporate_author%3A206</t>
        </is>
      </c>
      <c r="J3618" s="4" t="inlineStr">
        <is>
          <t>FE_NO|2022|1.A.1.c|NO|N2O</t>
        </is>
      </c>
      <c r="Q3618" s="4" t="inlineStr">
        <is>
          <t>SIN_FACTOR_NUMERICO</t>
        </is>
      </c>
      <c r="W3618" s="4" t="inlineStr">
        <is>
          <t>1.A.1.c</t>
        </is>
      </c>
      <c r="Y3618" s="4" t="inlineStr">
        <is>
          <t>NO</t>
        </is>
      </c>
      <c r="Z3618" s="4" t="inlineStr">
        <is>
          <t>N2O</t>
        </is>
      </c>
      <c r="AB3618" s="4" t="inlineStr">
        <is>
          <t>kg N2O/TJ</t>
        </is>
      </c>
      <c r="AL3618" s="4" t="inlineStr">
        <is>
          <t>Table1.A; localizador a nivel de tabla; sin registro numérico</t>
        </is>
      </c>
      <c r="AM3618" s="4" t="inlineStr">
        <is>
          <t>Se conserva el estado NO porque la fuente no aporta un factor numérico para la clave interna FE_NO|2022|1.A.1.c|NO|N2O.</t>
        </is>
      </c>
    </row>
    <row r="3619">
      <c r="A3619" s="4" t="inlineStr">
        <is>
          <t>FACTOR_EMISION_OBS</t>
        </is>
      </c>
      <c r="B3619" s="4" t="inlineStr">
        <is>
          <t>FE_NO|2022|1.A.4.c|NO|CO2</t>
        </is>
      </c>
      <c r="C3619" s="4" t="inlineStr">
        <is>
          <t>2022|1.A.4.c|NO|CO2</t>
        </is>
      </c>
      <c r="D3619" s="12">
        <v>2022.0</v>
      </c>
      <c r="E3619" s="12">
        <v>2022.0</v>
      </c>
      <c r="F3619" s="4" t="inlineStr">
        <is>
          <t>NO</t>
        </is>
      </c>
      <c r="G3619" s="4" t="inlineStr">
        <is>
          <t>UNFCCC_GTM_CRT_2024</t>
        </is>
      </c>
      <c r="H3619" s="4" t="inlineStr">
        <is>
          <t>Guatemala. 2024 Common Reporting Table (CRT)</t>
        </is>
      </c>
      <c r="I3619" s="4" t="inlineStr">
        <is>
          <t>https://unfccc.int/reports?f%5B0%5D=corporate_author%3A206</t>
        </is>
      </c>
      <c r="J3619" s="4" t="inlineStr">
        <is>
          <t>FE_NO|2022|1.A.4.c|NO|CO2</t>
        </is>
      </c>
      <c r="Q3619" s="4" t="inlineStr">
        <is>
          <t>SIN_FACTOR_NUMERICO</t>
        </is>
      </c>
      <c r="W3619" s="4" t="inlineStr">
        <is>
          <t>1.A.4.c</t>
        </is>
      </c>
      <c r="Y3619" s="4" t="inlineStr">
        <is>
          <t>NO</t>
        </is>
      </c>
      <c r="Z3619" s="4" t="inlineStr">
        <is>
          <t>CO2</t>
        </is>
      </c>
      <c r="AB3619" s="4" t="inlineStr">
        <is>
          <t>kg CO2/TJ</t>
        </is>
      </c>
      <c r="AL3619" s="4" t="inlineStr">
        <is>
          <t>Table1.A; localizador a nivel de tabla; sin registro numérico</t>
        </is>
      </c>
      <c r="AM3619" s="4" t="inlineStr">
        <is>
          <t>Se conserva el estado NO porque la fuente no aporta un factor numérico para la clave interna FE_NO|2022|1.A.4.c|NO|CO2.</t>
        </is>
      </c>
    </row>
    <row r="3620">
      <c r="A3620" s="4" t="inlineStr">
        <is>
          <t>FACTOR_EMISION_OBS</t>
        </is>
      </c>
      <c r="B3620" s="4" t="inlineStr">
        <is>
          <t>FE_NO|2022|1.A.4.c|NO|CH4</t>
        </is>
      </c>
      <c r="C3620" s="4" t="inlineStr">
        <is>
          <t>2022|1.A.4.c|NO|CH4</t>
        </is>
      </c>
      <c r="D3620" s="12">
        <v>2022.0</v>
      </c>
      <c r="E3620" s="12">
        <v>2022.0</v>
      </c>
      <c r="F3620" s="4" t="inlineStr">
        <is>
          <t>NO</t>
        </is>
      </c>
      <c r="G3620" s="4" t="inlineStr">
        <is>
          <t>UNFCCC_GTM_CRT_2024</t>
        </is>
      </c>
      <c r="H3620" s="4" t="inlineStr">
        <is>
          <t>Guatemala. 2024 Common Reporting Table (CRT)</t>
        </is>
      </c>
      <c r="I3620" s="4" t="inlineStr">
        <is>
          <t>https://unfccc.int/reports?f%5B0%5D=corporate_author%3A206</t>
        </is>
      </c>
      <c r="J3620" s="4" t="inlineStr">
        <is>
          <t>FE_NO|2022|1.A.4.c|NO|CH4</t>
        </is>
      </c>
      <c r="Q3620" s="4" t="inlineStr">
        <is>
          <t>SIN_FACTOR_NUMERICO</t>
        </is>
      </c>
      <c r="W3620" s="4" t="inlineStr">
        <is>
          <t>1.A.4.c</t>
        </is>
      </c>
      <c r="Y3620" s="4" t="inlineStr">
        <is>
          <t>NO</t>
        </is>
      </c>
      <c r="Z3620" s="4" t="inlineStr">
        <is>
          <t>CH4</t>
        </is>
      </c>
      <c r="AB3620" s="4" t="inlineStr">
        <is>
          <t>kg CH4/TJ</t>
        </is>
      </c>
      <c r="AL3620" s="4" t="inlineStr">
        <is>
          <t>Table1.A; localizador a nivel de tabla; sin registro numérico</t>
        </is>
      </c>
      <c r="AM3620" s="4" t="inlineStr">
        <is>
          <t>Se conserva el estado NO porque la fuente no aporta un factor numérico para la clave interna FE_NO|2022|1.A.4.c|NO|CH4.</t>
        </is>
      </c>
    </row>
    <row r="3621">
      <c r="A3621" s="4" t="inlineStr">
        <is>
          <t>FACTOR_EMISION_OBS</t>
        </is>
      </c>
      <c r="B3621" s="4" t="inlineStr">
        <is>
          <t>FE_NO|2022|1.A.4.c|NO|N2O</t>
        </is>
      </c>
      <c r="C3621" s="4" t="inlineStr">
        <is>
          <t>2022|1.A.4.c|NO|N2O</t>
        </is>
      </c>
      <c r="D3621" s="12">
        <v>2022.0</v>
      </c>
      <c r="E3621" s="12">
        <v>2022.0</v>
      </c>
      <c r="F3621" s="4" t="inlineStr">
        <is>
          <t>NO</t>
        </is>
      </c>
      <c r="G3621" s="4" t="inlineStr">
        <is>
          <t>UNFCCC_GTM_CRT_2024</t>
        </is>
      </c>
      <c r="H3621" s="4" t="inlineStr">
        <is>
          <t>Guatemala. 2024 Common Reporting Table (CRT)</t>
        </is>
      </c>
      <c r="I3621" s="4" t="inlineStr">
        <is>
          <t>https://unfccc.int/reports?f%5B0%5D=corporate_author%3A206</t>
        </is>
      </c>
      <c r="J3621" s="4" t="inlineStr">
        <is>
          <t>FE_NO|2022|1.A.4.c|NO|N2O</t>
        </is>
      </c>
      <c r="Q3621" s="4" t="inlineStr">
        <is>
          <t>SIN_FACTOR_NUMERICO</t>
        </is>
      </c>
      <c r="W3621" s="4" t="inlineStr">
        <is>
          <t>1.A.4.c</t>
        </is>
      </c>
      <c r="Y3621" s="4" t="inlineStr">
        <is>
          <t>NO</t>
        </is>
      </c>
      <c r="Z3621" s="4" t="inlineStr">
        <is>
          <t>N2O</t>
        </is>
      </c>
      <c r="AB3621" s="4" t="inlineStr">
        <is>
          <t>kg N2O/TJ</t>
        </is>
      </c>
      <c r="AL3621" s="4" t="inlineStr">
        <is>
          <t>Table1.A; localizador a nivel de tabla; sin registro numérico</t>
        </is>
      </c>
      <c r="AM3621" s="4" t="inlineStr">
        <is>
          <t>Se conserva el estado NO porque la fuente no aporta un factor numérico para la clave interna FE_NO|2022|1.A.4.c|NO|N2O.</t>
        </is>
      </c>
    </row>
    <row r="3622">
      <c r="A3622" s="4" t="inlineStr">
        <is>
          <t>FACTOR_EMISION_OBS</t>
        </is>
      </c>
      <c r="B3622" s="4" t="inlineStr">
        <is>
          <t>FE_NO|2022|1.B.1.a|NO|CO2</t>
        </is>
      </c>
      <c r="C3622" s="4" t="inlineStr">
        <is>
          <t>2022|1.B.1.a|NO|CO2</t>
        </is>
      </c>
      <c r="D3622" s="12">
        <v>2022.0</v>
      </c>
      <c r="E3622" s="12">
        <v>2022.0</v>
      </c>
      <c r="F3622" s="4" t="inlineStr">
        <is>
          <t>NO</t>
        </is>
      </c>
      <c r="G3622" s="4" t="inlineStr">
        <is>
          <t>UNFCCC_GTM_CRT_2024</t>
        </is>
      </c>
      <c r="H3622" s="4" t="inlineStr">
        <is>
          <t>Guatemala. 2024 Common Reporting Table (CRT)</t>
        </is>
      </c>
      <c r="I3622" s="4" t="inlineStr">
        <is>
          <t>https://unfccc.int/reports?f%5B0%5D=corporate_author%3A206</t>
        </is>
      </c>
      <c r="J3622" s="4" t="inlineStr">
        <is>
          <t>FE_NO|2022|1.B.1.a|NO|CO2</t>
        </is>
      </c>
      <c r="Q3622" s="4" t="inlineStr">
        <is>
          <t>SIN_FACTOR_NUMERICO</t>
        </is>
      </c>
      <c r="W3622" s="4" t="inlineStr">
        <is>
          <t>1.B.1.a</t>
        </is>
      </c>
      <c r="Y3622" s="4" t="inlineStr">
        <is>
          <t>NO</t>
        </is>
      </c>
      <c r="Z3622" s="4" t="inlineStr">
        <is>
          <t>CO2</t>
        </is>
      </c>
      <c r="AB3622" s="4" t="inlineStr">
        <is>
          <t>kg CO2/TJ</t>
        </is>
      </c>
      <c r="AL3622" s="4" t="inlineStr">
        <is>
          <t>Table1.B.2; localizador a nivel de tabla; sin registro numérico</t>
        </is>
      </c>
      <c r="AM3622" s="4" t="inlineStr">
        <is>
          <t>Se conserva el estado NO porque la fuente no aporta un factor numérico para la clave interna FE_NO|2022|1.B.1.a|NO|CO2.</t>
        </is>
      </c>
    </row>
    <row r="3623">
      <c r="A3623" s="4" t="inlineStr">
        <is>
          <t>FACTOR_EMISION_OBS</t>
        </is>
      </c>
      <c r="B3623" s="4" t="inlineStr">
        <is>
          <t>FE_NO|2022|1.B.1.a|NO|CH4</t>
        </is>
      </c>
      <c r="C3623" s="4" t="inlineStr">
        <is>
          <t>2022|1.B.1.a|NO|CH4</t>
        </is>
      </c>
      <c r="D3623" s="12">
        <v>2022.0</v>
      </c>
      <c r="E3623" s="12">
        <v>2022.0</v>
      </c>
      <c r="F3623" s="4" t="inlineStr">
        <is>
          <t>NO</t>
        </is>
      </c>
      <c r="G3623" s="4" t="inlineStr">
        <is>
          <t>UNFCCC_GTM_CRT_2024</t>
        </is>
      </c>
      <c r="H3623" s="4" t="inlineStr">
        <is>
          <t>Guatemala. 2024 Common Reporting Table (CRT)</t>
        </is>
      </c>
      <c r="I3623" s="4" t="inlineStr">
        <is>
          <t>https://unfccc.int/reports?f%5B0%5D=corporate_author%3A206</t>
        </is>
      </c>
      <c r="J3623" s="4" t="inlineStr">
        <is>
          <t>FE_NO|2022|1.B.1.a|NO|CH4</t>
        </is>
      </c>
      <c r="Q3623" s="4" t="inlineStr">
        <is>
          <t>SIN_FACTOR_NUMERICO</t>
        </is>
      </c>
      <c r="W3623" s="4" t="inlineStr">
        <is>
          <t>1.B.1.a</t>
        </is>
      </c>
      <c r="Y3623" s="4" t="inlineStr">
        <is>
          <t>NO</t>
        </is>
      </c>
      <c r="Z3623" s="4" t="inlineStr">
        <is>
          <t>CH4</t>
        </is>
      </c>
      <c r="AB3623" s="4" t="inlineStr">
        <is>
          <t>kg CH4/TJ</t>
        </is>
      </c>
      <c r="AL3623" s="4" t="inlineStr">
        <is>
          <t>Table1.B.2; localizador a nivel de tabla; sin registro numérico</t>
        </is>
      </c>
      <c r="AM3623" s="4" t="inlineStr">
        <is>
          <t>Se conserva el estado NO porque la fuente no aporta un factor numérico para la clave interna FE_NO|2022|1.B.1.a|NO|CH4.</t>
        </is>
      </c>
    </row>
    <row r="3624">
      <c r="A3624" s="4" t="inlineStr">
        <is>
          <t>FACTOR_EMISION_OBS</t>
        </is>
      </c>
      <c r="B3624" s="4" t="inlineStr">
        <is>
          <t>FE_NO|2022|1.B.1.a|NO|N2O</t>
        </is>
      </c>
      <c r="C3624" s="4" t="inlineStr">
        <is>
          <t>2022|1.B.1.a|NO|N2O</t>
        </is>
      </c>
      <c r="D3624" s="12">
        <v>2022.0</v>
      </c>
      <c r="E3624" s="12">
        <v>2022.0</v>
      </c>
      <c r="F3624" s="4" t="inlineStr">
        <is>
          <t>NO</t>
        </is>
      </c>
      <c r="G3624" s="4" t="inlineStr">
        <is>
          <t>UNFCCC_GTM_CRT_2024</t>
        </is>
      </c>
      <c r="H3624" s="4" t="inlineStr">
        <is>
          <t>Guatemala. 2024 Common Reporting Table (CRT)</t>
        </is>
      </c>
      <c r="I3624" s="4" t="inlineStr">
        <is>
          <t>https://unfccc.int/reports?f%5B0%5D=corporate_author%3A206</t>
        </is>
      </c>
      <c r="J3624" s="4" t="inlineStr">
        <is>
          <t>FE_NO|2022|1.B.1.a|NO|N2O</t>
        </is>
      </c>
      <c r="Q3624" s="4" t="inlineStr">
        <is>
          <t>SIN_FACTOR_NUMERICO</t>
        </is>
      </c>
      <c r="W3624" s="4" t="inlineStr">
        <is>
          <t>1.B.1.a</t>
        </is>
      </c>
      <c r="Y3624" s="4" t="inlineStr">
        <is>
          <t>NO</t>
        </is>
      </c>
      <c r="Z3624" s="4" t="inlineStr">
        <is>
          <t>N2O</t>
        </is>
      </c>
      <c r="AB3624" s="4" t="inlineStr">
        <is>
          <t>kg N2O/TJ</t>
        </is>
      </c>
      <c r="AL3624" s="4" t="inlineStr">
        <is>
          <t>Table1.B.2; localizador a nivel de tabla; sin registro numérico</t>
        </is>
      </c>
      <c r="AM3624" s="4" t="inlineStr">
        <is>
          <t>Se conserva el estado NO porque la fuente no aporta un factor numérico para la clave interna FE_NO|2022|1.B.1.a|NO|N2O.</t>
        </is>
      </c>
    </row>
    <row r="3625">
      <c r="A3625" s="4" t="inlineStr">
        <is>
          <t>FACTOR_EMISION_OBS</t>
        </is>
      </c>
      <c r="B3625" s="4" t="inlineStr">
        <is>
          <t>FE_NO|2022|1.B.2.b.ii|NO|CO2</t>
        </is>
      </c>
      <c r="C3625" s="4" t="inlineStr">
        <is>
          <t>2022|1.B.2.b.ii|NO|CO2</t>
        </is>
      </c>
      <c r="D3625" s="12">
        <v>2022.0</v>
      </c>
      <c r="E3625" s="12">
        <v>2022.0</v>
      </c>
      <c r="F3625" s="4" t="inlineStr">
        <is>
          <t>NO</t>
        </is>
      </c>
      <c r="G3625" s="4" t="inlineStr">
        <is>
          <t>UNFCCC_GTM_CRT_2024</t>
        </is>
      </c>
      <c r="H3625" s="4" t="inlineStr">
        <is>
          <t>Guatemala. 2024 Common Reporting Table (CRT)</t>
        </is>
      </c>
      <c r="I3625" s="4" t="inlineStr">
        <is>
          <t>https://unfccc.int/reports?f%5B0%5D=corporate_author%3A206</t>
        </is>
      </c>
      <c r="J3625" s="4" t="inlineStr">
        <is>
          <t>FE_NO|2022|1.B.2.b.ii|NO|CO2</t>
        </is>
      </c>
      <c r="Q3625" s="4" t="inlineStr">
        <is>
          <t>SIN_FACTOR_NUMERICO</t>
        </is>
      </c>
      <c r="W3625" s="4" t="inlineStr">
        <is>
          <t>1.B.2.b.ii</t>
        </is>
      </c>
      <c r="Y3625" s="4" t="inlineStr">
        <is>
          <t>NO</t>
        </is>
      </c>
      <c r="Z3625" s="4" t="inlineStr">
        <is>
          <t>CO2</t>
        </is>
      </c>
      <c r="AB3625" s="4" t="inlineStr">
        <is>
          <t>kg CO2/TJ</t>
        </is>
      </c>
      <c r="AL3625" s="4" t="inlineStr">
        <is>
          <t>Table1.B.2; localizador a nivel de tabla; sin registro numérico</t>
        </is>
      </c>
      <c r="AM3625" s="4" t="inlineStr">
        <is>
          <t>Se conserva el estado NO porque la fuente no aporta un factor numérico para la clave interna FE_NO|2022|1.B.2.b.ii|NO|CO2.</t>
        </is>
      </c>
    </row>
    <row r="3626">
      <c r="A3626" s="4" t="inlineStr">
        <is>
          <t>FACTOR_EMISION_OBS</t>
        </is>
      </c>
      <c r="B3626" s="4" t="inlineStr">
        <is>
          <t>FE_NO|2022|1.B.2.b.ii|NO|CH4</t>
        </is>
      </c>
      <c r="C3626" s="4" t="inlineStr">
        <is>
          <t>2022|1.B.2.b.ii|NO|CH4</t>
        </is>
      </c>
      <c r="D3626" s="12">
        <v>2022.0</v>
      </c>
      <c r="E3626" s="12">
        <v>2022.0</v>
      </c>
      <c r="F3626" s="4" t="inlineStr">
        <is>
          <t>NO</t>
        </is>
      </c>
      <c r="G3626" s="4" t="inlineStr">
        <is>
          <t>UNFCCC_GTM_CRT_2024</t>
        </is>
      </c>
      <c r="H3626" s="4" t="inlineStr">
        <is>
          <t>Guatemala. 2024 Common Reporting Table (CRT)</t>
        </is>
      </c>
      <c r="I3626" s="4" t="inlineStr">
        <is>
          <t>https://unfccc.int/reports?f%5B0%5D=corporate_author%3A206</t>
        </is>
      </c>
      <c r="J3626" s="4" t="inlineStr">
        <is>
          <t>FE_NO|2022|1.B.2.b.ii|NO|CH4</t>
        </is>
      </c>
      <c r="Q3626" s="4" t="inlineStr">
        <is>
          <t>SIN_FACTOR_NUMERICO</t>
        </is>
      </c>
      <c r="W3626" s="4" t="inlineStr">
        <is>
          <t>1.B.2.b.ii</t>
        </is>
      </c>
      <c r="Y3626" s="4" t="inlineStr">
        <is>
          <t>NO</t>
        </is>
      </c>
      <c r="Z3626" s="4" t="inlineStr">
        <is>
          <t>CH4</t>
        </is>
      </c>
      <c r="AB3626" s="4" t="inlineStr">
        <is>
          <t>kg CH4/TJ</t>
        </is>
      </c>
      <c r="AL3626" s="4" t="inlineStr">
        <is>
          <t>Table1.B.2; localizador a nivel de tabla; sin registro numérico</t>
        </is>
      </c>
      <c r="AM3626" s="4" t="inlineStr">
        <is>
          <t>Se conserva el estado NO porque la fuente no aporta un factor numérico para la clave interna FE_NO|2022|1.B.2.b.ii|NO|CH4.</t>
        </is>
      </c>
    </row>
    <row r="3627">
      <c r="A3627" s="4" t="inlineStr">
        <is>
          <t>FACTOR_EMISION_OBS</t>
        </is>
      </c>
      <c r="B3627" s="4" t="inlineStr">
        <is>
          <t>FE_NO|2022|1.B.2.b.ii|NO|N2O</t>
        </is>
      </c>
      <c r="C3627" s="4" t="inlineStr">
        <is>
          <t>2022|1.B.2.b.ii|NO|N2O</t>
        </is>
      </c>
      <c r="D3627" s="12">
        <v>2022.0</v>
      </c>
      <c r="E3627" s="12">
        <v>2022.0</v>
      </c>
      <c r="F3627" s="4" t="inlineStr">
        <is>
          <t>NO</t>
        </is>
      </c>
      <c r="G3627" s="4" t="inlineStr">
        <is>
          <t>UNFCCC_GTM_CRT_2024</t>
        </is>
      </c>
      <c r="H3627" s="4" t="inlineStr">
        <is>
          <t>Guatemala. 2024 Common Reporting Table (CRT)</t>
        </is>
      </c>
      <c r="I3627" s="4" t="inlineStr">
        <is>
          <t>https://unfccc.int/reports?f%5B0%5D=corporate_author%3A206</t>
        </is>
      </c>
      <c r="J3627" s="4" t="inlineStr">
        <is>
          <t>FE_NO|2022|1.B.2.b.ii|NO|N2O</t>
        </is>
      </c>
      <c r="Q3627" s="4" t="inlineStr">
        <is>
          <t>SIN_FACTOR_NUMERICO</t>
        </is>
      </c>
      <c r="W3627" s="4" t="inlineStr">
        <is>
          <t>1.B.2.b.ii</t>
        </is>
      </c>
      <c r="Y3627" s="4" t="inlineStr">
        <is>
          <t>NO</t>
        </is>
      </c>
      <c r="Z3627" s="4" t="inlineStr">
        <is>
          <t>N2O</t>
        </is>
      </c>
      <c r="AB3627" s="4" t="inlineStr">
        <is>
          <t>kg N2O/TJ</t>
        </is>
      </c>
      <c r="AL3627" s="4" t="inlineStr">
        <is>
          <t>Table1.B.2; localizador a nivel de tabla; sin registro numérico</t>
        </is>
      </c>
      <c r="AM3627" s="4" t="inlineStr">
        <is>
          <t>Se conserva el estado NO porque la fuente no aporta un factor numérico para la clave interna FE_NO|2022|1.B.2.b.ii|NO|N2O.</t>
        </is>
      </c>
    </row>
    <row r="3628">
      <c r="A3628" s="4" t="inlineStr">
        <is>
          <t>FACTOR_EMISION_OBS</t>
        </is>
      </c>
      <c r="B3628" s="4" t="inlineStr">
        <is>
          <t>FE_FUG|2022|1.B.2.a.ii|FUGITIVA_PETROLEO|CO2</t>
        </is>
      </c>
      <c r="C3628" s="4" t="inlineStr">
        <is>
          <t>2022|1.B.2.a.ii|FUGITIVA_PETROLEO|CO2</t>
        </is>
      </c>
      <c r="D3628" s="12">
        <v>2022.0</v>
      </c>
      <c r="E3628" s="12">
        <v>2022.0</v>
      </c>
      <c r="F3628" s="4" t="inlineStr">
        <is>
          <t>OBS</t>
        </is>
      </c>
      <c r="G3628" s="4" t="inlineStr">
        <is>
          <t>UNFCCC_GTM_CRT_2024</t>
        </is>
      </c>
      <c r="H3628" s="4" t="inlineStr">
        <is>
          <t>Guatemala. 2024 Common Reporting Table (CRT)</t>
        </is>
      </c>
      <c r="I3628" s="4" t="inlineStr">
        <is>
          <t>https://unfccc.int/reports?f%5B0%5D=corporate_author%3A206</t>
        </is>
      </c>
      <c r="J3628" s="4" t="inlineStr">
        <is>
          <t>CRT1B2|2022|1.B.2.a.ii|CO2</t>
        </is>
      </c>
      <c r="Q3628" s="4" t="inlineStr">
        <is>
          <t>EMISION_CRT_DIV_PSUT_EXTRACCION</t>
        </is>
      </c>
      <c r="W3628" s="4" t="inlineStr">
        <is>
          <t>1.B.2.a.ii</t>
        </is>
      </c>
      <c r="Y3628" s="4" t="inlineStr">
        <is>
          <t>FUGITIVA_PETROLEO</t>
        </is>
      </c>
      <c r="Z3628" s="4" t="inlineStr">
        <is>
          <t>CO2</t>
        </is>
      </c>
      <c r="AA3628" s="13">
        <v>0.0067690934306081614</v>
      </c>
      <c r="AB3628" s="4" t="inlineStr">
        <is>
          <t>kg CO2/TJ</t>
        </is>
      </c>
      <c r="AL3628" s="4" t="inlineStr">
        <is>
          <t>Table1.B.2; registro CRT1B2|2022|1.B.2.a.ii|CO2</t>
        </is>
      </c>
      <c r="AM3628" s="4" t="inlineStr">
        <is>
          <t>Factor fugitivo anual derivado de la emisión CRT y de la extracción PETR de la PSUT. Registro CRT: CRT1B2|2022|1.B.2.a.ii|CO2.</t>
        </is>
      </c>
    </row>
    <row r="3629">
      <c r="A3629" s="4" t="inlineStr">
        <is>
          <t>FACTOR_EMISION_OBS</t>
        </is>
      </c>
      <c r="B3629" s="4" t="inlineStr">
        <is>
          <t>FE_FUG|2022|1.B.2.a.ii|FUGITIVA_PETROLEO|CH4</t>
        </is>
      </c>
      <c r="C3629" s="4" t="inlineStr">
        <is>
          <t>2022|1.B.2.a.ii|FUGITIVA_PETROLEO|CH4</t>
        </is>
      </c>
      <c r="D3629" s="12">
        <v>2022.0</v>
      </c>
      <c r="E3629" s="12">
        <v>2022.0</v>
      </c>
      <c r="F3629" s="4" t="inlineStr">
        <is>
          <t>OBS</t>
        </is>
      </c>
      <c r="G3629" s="4" t="inlineStr">
        <is>
          <t>UNFCCC_GTM_CRT_2024</t>
        </is>
      </c>
      <c r="H3629" s="4" t="inlineStr">
        <is>
          <t>Guatemala. 2024 Common Reporting Table (CRT)</t>
        </is>
      </c>
      <c r="I3629" s="4" t="inlineStr">
        <is>
          <t>https://unfccc.int/reports?f%5B0%5D=corporate_author%3A206</t>
        </is>
      </c>
      <c r="J3629" s="4" t="inlineStr">
        <is>
          <t>CRT1B2|2022|1.B.2.a.ii|CH4</t>
        </is>
      </c>
      <c r="Q3629" s="4" t="inlineStr">
        <is>
          <t>EMISION_CRT_DIV_PSUT_EXTRACCION</t>
        </is>
      </c>
      <c r="W3629" s="4" t="inlineStr">
        <is>
          <t>1.B.2.a.ii</t>
        </is>
      </c>
      <c r="Y3629" s="4" t="inlineStr">
        <is>
          <t>FUGITIVA_PETROLEO</t>
        </is>
      </c>
      <c r="Z3629" s="4" t="inlineStr">
        <is>
          <t>CH4</t>
        </is>
      </c>
      <c r="AA3629" s="13">
        <v>0.09287780039660215</v>
      </c>
      <c r="AB3629" s="4" t="inlineStr">
        <is>
          <t>kg CH4/TJ</t>
        </is>
      </c>
      <c r="AL3629" s="4" t="inlineStr">
        <is>
          <t>Table1.B.2; registro CRT1B2|2022|1.B.2.a.ii|CH4</t>
        </is>
      </c>
      <c r="AM3629" s="4" t="inlineStr">
        <is>
          <t>Factor fugitivo anual derivado de la emisión CRT y de la extracción PETR de la PSUT. Registro CRT: CRT1B2|2022|1.B.2.a.ii|CH4.</t>
        </is>
      </c>
    </row>
    <row r="3630">
      <c r="A3630" s="4" t="inlineStr">
        <is>
          <t>FACTOR_EMISION_OBS</t>
        </is>
      </c>
      <c r="B3630" s="4" t="inlineStr">
        <is>
          <t>FE_FUG|2022|1.B.2.a.ii|FUGITIVA_PETROLEO|N2O</t>
        </is>
      </c>
      <c r="C3630" s="4" t="inlineStr">
        <is>
          <t>2022|1.B.2.a.ii|FUGITIVA_PETROLEO|N2O</t>
        </is>
      </c>
      <c r="D3630" s="12">
        <v>2022.0</v>
      </c>
      <c r="E3630" s="12">
        <v>2022.0</v>
      </c>
      <c r="F3630" s="4" t="inlineStr">
        <is>
          <t>NO</t>
        </is>
      </c>
      <c r="G3630" s="4" t="inlineStr">
        <is>
          <t>UNFCCC_GTM_CRT_2024</t>
        </is>
      </c>
      <c r="H3630" s="4" t="inlineStr">
        <is>
          <t>Guatemala. 2024 Common Reporting Table (CRT)</t>
        </is>
      </c>
      <c r="I3630" s="4" t="inlineStr">
        <is>
          <t>https://unfccc.int/reports?f%5B0%5D=corporate_author%3A206</t>
        </is>
      </c>
      <c r="J3630" s="4" t="inlineStr">
        <is>
          <t>CRT1B2|2022|1.B.2.a.ii|N2O</t>
        </is>
      </c>
      <c r="Q3630" s="4" t="inlineStr">
        <is>
          <t>EMISION_CRT_DIV_PSUT_EXTRACCION</t>
        </is>
      </c>
      <c r="W3630" s="4" t="inlineStr">
        <is>
          <t>1.B.2.a.ii</t>
        </is>
      </c>
      <c r="Y3630" s="4" t="inlineStr">
        <is>
          <t>FUGITIVA_PETROLEO</t>
        </is>
      </c>
      <c r="Z3630" s="4" t="inlineStr">
        <is>
          <t>N2O</t>
        </is>
      </c>
      <c r="AB3630" s="4" t="inlineStr">
        <is>
          <t>kg N2O/TJ</t>
        </is>
      </c>
      <c r="AK3630" s="4" t="inlineStr">
        <is>
          <t>NO</t>
        </is>
      </c>
      <c r="AL3630" s="4" t="inlineStr">
        <is>
          <t>Table1.B.2; registro CRT1B2|2022|1.B.2.a.ii|N2O</t>
        </is>
      </c>
      <c r="AM3630" s="4" t="inlineStr">
        <is>
          <t>Factor fugitivo anual derivado de la emisión CRT y de la extracción PETR de la PSUT. Registro CRT: CRT1B2|2022|1.B.2.a.ii|N2O.</t>
        </is>
      </c>
    </row>
    <row r="3631">
      <c r="A3631" s="4" t="inlineStr">
        <is>
          <t>PARAMETRO</t>
        </is>
      </c>
      <c r="B3631" s="4" t="inlineStr">
        <is>
          <t>PAR_001</t>
        </is>
      </c>
      <c r="C3631" s="4" t="inlineStr">
        <is>
          <t>factor_kbep_tj</t>
        </is>
      </c>
      <c r="F3631" s="4" t="inlineStr">
        <is>
          <t>CAL</t>
        </is>
      </c>
      <c r="G3631" s="4" t="inlineStr">
        <is>
          <t>MEM_BEN</t>
        </is>
      </c>
      <c r="H3631" s="4" t="inlineStr">
        <is>
          <t>Balance energético nacional</t>
        </is>
      </c>
      <c r="I3631" s="4" t="inlineStr">
        <is>
          <t>https://mem.gob.gt/que-hacemos/area-energetica/publicaciones/estadisticas/balance-energetico/</t>
        </is>
      </c>
      <c r="AG3631" s="4" t="inlineStr">
        <is>
          <t>factor_kbep_tj</t>
        </is>
      </c>
      <c r="AH3631" s="4">
        <v>5.81</v>
      </c>
      <c r="AI3631" s="4" t="inlineStr">
        <is>
          <t>TJ/kBEP</t>
        </is>
      </c>
    </row>
    <row r="3632">
      <c r="A3632" s="4" t="inlineStr">
        <is>
          <t>PARAMETRO</t>
        </is>
      </c>
      <c r="B3632" s="4" t="inlineStr">
        <is>
          <t>PAR_002</t>
        </is>
      </c>
      <c r="C3632" s="4" t="inlineStr">
        <is>
          <t>redondeo_kbep</t>
        </is>
      </c>
      <c r="F3632" s="4" t="inlineStr">
        <is>
          <t>CAL</t>
        </is>
      </c>
      <c r="G3632" s="4" t="inlineStr">
        <is>
          <t>METODO_PSUT</t>
        </is>
      </c>
      <c r="H3632" s="4" t="inlineStr">
        <is>
          <t>Criterio de redondeo del balance</t>
        </is>
      </c>
      <c r="AG3632" s="4" t="inlineStr">
        <is>
          <t>redondeo_kbep</t>
        </is>
      </c>
      <c r="AH3632" s="4">
        <v>0.005</v>
      </c>
      <c r="AI3632" s="4" t="inlineStr">
        <is>
          <t>kBEP</t>
        </is>
      </c>
    </row>
    <row r="3633">
      <c r="A3633" s="4" t="inlineStr">
        <is>
          <t>PARAMETRO</t>
        </is>
      </c>
      <c r="B3633" s="4" t="inlineStr">
        <is>
          <t>PAR_003</t>
        </is>
      </c>
      <c r="C3633" s="4" t="inlineStr">
        <is>
          <t>tolerancia_cierre_modelo_tj</t>
        </is>
      </c>
      <c r="F3633" s="4" t="inlineStr">
        <is>
          <t>CAL</t>
        </is>
      </c>
      <c r="G3633" s="4" t="inlineStr">
        <is>
          <t>METODO_PSUT</t>
        </is>
      </c>
      <c r="H3633" s="4" t="inlineStr">
        <is>
          <t>Criterios metodológicos del producto</t>
        </is>
      </c>
      <c r="AG3633" s="4" t="inlineStr">
        <is>
          <t>tolerancia_cierre_modelo_tj</t>
        </is>
      </c>
      <c r="AH3633" s="4">
        <v>1e-08</v>
      </c>
      <c r="AI3633" s="4" t="inlineStr">
        <is>
          <t>TJ</t>
        </is>
      </c>
    </row>
    <row r="3634">
      <c r="A3634" s="4" t="inlineStr">
        <is>
          <t>PARAMETRO</t>
        </is>
      </c>
      <c r="B3634" s="4" t="inlineStr">
        <is>
          <t>PAR_004</t>
        </is>
      </c>
      <c r="C3634" s="4" t="inlineStr">
        <is>
          <t>kg_por_kt</t>
        </is>
      </c>
      <c r="F3634" s="4" t="inlineStr">
        <is>
          <t>CAL</t>
        </is>
      </c>
      <c r="G3634" s="4" t="inlineStr">
        <is>
          <t>CONVERSION</t>
        </is>
      </c>
      <c r="H3634" s="4" t="inlineStr">
        <is>
          <t>Conversión de unidades de masa</t>
        </is>
      </c>
      <c r="AG3634" s="4" t="inlineStr">
        <is>
          <t>kg_por_kt</t>
        </is>
      </c>
      <c r="AH3634" s="4">
        <v>1000000.0</v>
      </c>
      <c r="AI3634" s="4" t="inlineStr">
        <is>
          <t>kg/kt</t>
        </is>
      </c>
    </row>
    <row r="3635">
      <c r="A3635" s="4" t="inlineStr">
        <is>
          <t>PARAMETRO</t>
        </is>
      </c>
      <c r="B3635" s="4" t="inlineStr">
        <is>
          <t>PAR_005</t>
        </is>
      </c>
      <c r="C3635" s="4" t="inlineStr">
        <is>
          <t>gwp_ch4</t>
        </is>
      </c>
      <c r="F3635" s="4" t="inlineStr">
        <is>
          <t>CAL</t>
        </is>
      </c>
      <c r="G3635" s="4" t="inlineStr">
        <is>
          <t>IPCC_AR5</t>
        </is>
      </c>
      <c r="H3635" s="4" t="inlineStr">
        <is>
          <t>Quinto Informe de Evaluación del IPCC</t>
        </is>
      </c>
      <c r="I3635" s="4" t="inlineStr">
        <is>
          <t>https://www.ipcc.ch/report/ar5/syr/</t>
        </is>
      </c>
      <c r="AG3635" s="4" t="inlineStr">
        <is>
          <t>gwp_ch4</t>
        </is>
      </c>
      <c r="AH3635" s="4">
        <v>28.0</v>
      </c>
      <c r="AI3635" s="4" t="inlineStr">
        <is>
          <t>kg CO2e/kg CH4</t>
        </is>
      </c>
    </row>
    <row r="3636">
      <c r="A3636" s="4" t="inlineStr">
        <is>
          <t>PARAMETRO</t>
        </is>
      </c>
      <c r="B3636" s="4" t="inlineStr">
        <is>
          <t>PAR_006</t>
        </is>
      </c>
      <c r="C3636" s="4" t="inlineStr">
        <is>
          <t>gwp_n2o</t>
        </is>
      </c>
      <c r="F3636" s="4" t="inlineStr">
        <is>
          <t>CAL</t>
        </is>
      </c>
      <c r="G3636" s="4" t="inlineStr">
        <is>
          <t>IPCC_AR5</t>
        </is>
      </c>
      <c r="H3636" s="4" t="inlineStr">
        <is>
          <t>Quinto Informe de Evaluación del IPCC</t>
        </is>
      </c>
      <c r="I3636" s="4" t="inlineStr">
        <is>
          <t>https://www.ipcc.ch/report/ar5/syr/</t>
        </is>
      </c>
      <c r="AG3636" s="4" t="inlineStr">
        <is>
          <t>gwp_n2o</t>
        </is>
      </c>
      <c r="AH3636" s="4">
        <v>265.0</v>
      </c>
      <c r="AI3636" s="4" t="inlineStr">
        <is>
          <t>kg CO2e/kg N2O</t>
        </is>
      </c>
    </row>
    <row r="3637">
      <c r="A3637" s="4" t="inlineStr">
        <is>
          <t>PARAMETRO</t>
        </is>
      </c>
      <c r="B3637" s="4" t="inlineStr">
        <is>
          <t>PAR_007</t>
        </is>
      </c>
      <c r="C3637" s="4" t="inlineStr">
        <is>
          <t>tolerancia_qa_psut_tj</t>
        </is>
      </c>
      <c r="F3637" s="4" t="inlineStr">
        <is>
          <t>CAL</t>
        </is>
      </c>
      <c r="G3637" s="4" t="inlineStr">
        <is>
          <t>CONTROL</t>
        </is>
      </c>
      <c r="H3637" s="4" t="inlineStr">
        <is>
          <t>Tolerancia de verificación PSUT</t>
        </is>
      </c>
      <c r="AG3637" s="4" t="inlineStr">
        <is>
          <t>tolerancia_qa_psut_tj</t>
        </is>
      </c>
      <c r="AH3637" s="4">
        <v>1e-06</v>
      </c>
      <c r="AI3637" s="4" t="inlineStr">
        <is>
          <t>TJ</t>
        </is>
      </c>
    </row>
    <row r="3638">
      <c r="A3638" s="4" t="inlineStr">
        <is>
          <t>PARAMETRO</t>
        </is>
      </c>
      <c r="B3638" s="4" t="inlineStr">
        <is>
          <t>PAR_008</t>
        </is>
      </c>
      <c r="C3638" s="4" t="inlineStr">
        <is>
          <t>tolerancia_qa_emisiones_kt</t>
        </is>
      </c>
      <c r="F3638" s="4" t="inlineStr">
        <is>
          <t>CAL</t>
        </is>
      </c>
      <c r="G3638" s="4" t="inlineStr">
        <is>
          <t>CONTROL</t>
        </is>
      </c>
      <c r="H3638" s="4" t="inlineStr">
        <is>
          <t>Tolerancia de verificación de emisiones</t>
        </is>
      </c>
      <c r="AG3638" s="4" t="inlineStr">
        <is>
          <t>tolerancia_qa_emisiones_kt</t>
        </is>
      </c>
      <c r="AH3638" s="4">
        <v>1e-09</v>
      </c>
      <c r="AI3638" s="4" t="inlineStr">
        <is>
          <t>kt</t>
        </is>
      </c>
    </row>
    <row r="3639">
      <c r="A3639" s="4" t="inlineStr">
        <is>
          <t>CATALOGO_PRODUCTO</t>
        </is>
      </c>
      <c r="B3639" s="4" t="inlineStr">
        <is>
          <t>PROD_BCANA</t>
        </is>
      </c>
      <c r="C3639" s="4" t="inlineStr">
        <is>
          <t>BCANA</t>
        </is>
      </c>
      <c r="F3639" s="4" t="inlineStr">
        <is>
          <t>CAL</t>
        </is>
      </c>
      <c r="G3639" s="4" t="inlineStr">
        <is>
          <t>METODO_PSUT</t>
        </is>
      </c>
      <c r="H3639" s="4" t="inlineStr">
        <is>
          <t>Catálogo de productos energéticos</t>
        </is>
      </c>
      <c r="K3639" s="4" t="inlineStr">
        <is>
          <t>BCANA</t>
        </is>
      </c>
      <c r="L3639" s="4" t="inlineStr">
        <is>
          <t>Bagazo de caña</t>
        </is>
      </c>
    </row>
    <row r="3640">
      <c r="A3640" s="4" t="inlineStr">
        <is>
          <t>CATALOGO_PRODUCTO</t>
        </is>
      </c>
      <c r="B3640" s="4" t="inlineStr">
        <is>
          <t>PROD_BIOGAS</t>
        </is>
      </c>
      <c r="C3640" s="4" t="inlineStr">
        <is>
          <t>BIOGAS</t>
        </is>
      </c>
      <c r="F3640" s="4" t="inlineStr">
        <is>
          <t>CAL</t>
        </is>
      </c>
      <c r="G3640" s="4" t="inlineStr">
        <is>
          <t>METODO_PSUT</t>
        </is>
      </c>
      <c r="H3640" s="4" t="inlineStr">
        <is>
          <t>Catálogo de productos energéticos</t>
        </is>
      </c>
      <c r="K3640" s="4" t="inlineStr">
        <is>
          <t>BIOGAS</t>
        </is>
      </c>
      <c r="L3640" s="4" t="inlineStr">
        <is>
          <t>Biogás</t>
        </is>
      </c>
    </row>
    <row r="3641">
      <c r="A3641" s="4" t="inlineStr">
        <is>
          <t>CATALOGO_PRODUCTO</t>
        </is>
      </c>
      <c r="B3641" s="4" t="inlineStr">
        <is>
          <t>PROD_COQUE</t>
        </is>
      </c>
      <c r="C3641" s="4" t="inlineStr">
        <is>
          <t>COQUE</t>
        </is>
      </c>
      <c r="F3641" s="4" t="inlineStr">
        <is>
          <t>CAL</t>
        </is>
      </c>
      <c r="G3641" s="4" t="inlineStr">
        <is>
          <t>METODO_PSUT</t>
        </is>
      </c>
      <c r="H3641" s="4" t="inlineStr">
        <is>
          <t>Catálogo de productos energéticos</t>
        </is>
      </c>
      <c r="K3641" s="4" t="inlineStr">
        <is>
          <t>COQUE</t>
        </is>
      </c>
      <c r="L3641" s="4" t="inlineStr">
        <is>
          <t>Coque</t>
        </is>
      </c>
    </row>
    <row r="3642">
      <c r="A3642" s="4" t="inlineStr">
        <is>
          <t>CATALOGO_PRODUCTO</t>
        </is>
      </c>
      <c r="B3642" s="4" t="inlineStr">
        <is>
          <t>PROD_CRBN</t>
        </is>
      </c>
      <c r="C3642" s="4" t="inlineStr">
        <is>
          <t>CRBN</t>
        </is>
      </c>
      <c r="F3642" s="4" t="inlineStr">
        <is>
          <t>CAL</t>
        </is>
      </c>
      <c r="G3642" s="4" t="inlineStr">
        <is>
          <t>METODO_PSUT</t>
        </is>
      </c>
      <c r="H3642" s="4" t="inlineStr">
        <is>
          <t>Catálogo de productos energéticos</t>
        </is>
      </c>
      <c r="K3642" s="4" t="inlineStr">
        <is>
          <t>CRBN</t>
        </is>
      </c>
      <c r="L3642" s="4" t="inlineStr">
        <is>
          <t>Carbón</t>
        </is>
      </c>
    </row>
    <row r="3643">
      <c r="A3643" s="4" t="inlineStr">
        <is>
          <t>CATALOGO_PRODUCTO</t>
        </is>
      </c>
      <c r="B3643" s="4" t="inlineStr">
        <is>
          <t>PROD_DOIL</t>
        </is>
      </c>
      <c r="C3643" s="4" t="inlineStr">
        <is>
          <t>DOIL</t>
        </is>
      </c>
      <c r="F3643" s="4" t="inlineStr">
        <is>
          <t>CAL</t>
        </is>
      </c>
      <c r="G3643" s="4" t="inlineStr">
        <is>
          <t>METODO_PSUT</t>
        </is>
      </c>
      <c r="H3643" s="4" t="inlineStr">
        <is>
          <t>Catálogo de productos energéticos</t>
        </is>
      </c>
      <c r="K3643" s="4" t="inlineStr">
        <is>
          <t>DOIL</t>
        </is>
      </c>
      <c r="L3643" s="4" t="inlineStr">
        <is>
          <t>Diésel / gas oil</t>
        </is>
      </c>
    </row>
    <row r="3644">
      <c r="A3644" s="4" t="inlineStr">
        <is>
          <t>CATALOGO_PRODUCTO</t>
        </is>
      </c>
      <c r="B3644" s="4" t="inlineStr">
        <is>
          <t>PROD_ELEC</t>
        </is>
      </c>
      <c r="C3644" s="4" t="inlineStr">
        <is>
          <t>ELEC</t>
        </is>
      </c>
      <c r="F3644" s="4" t="inlineStr">
        <is>
          <t>CAL</t>
        </is>
      </c>
      <c r="G3644" s="4" t="inlineStr">
        <is>
          <t>METODO_PSUT</t>
        </is>
      </c>
      <c r="H3644" s="4" t="inlineStr">
        <is>
          <t>Catálogo de productos energéticos</t>
        </is>
      </c>
      <c r="K3644" s="4" t="inlineStr">
        <is>
          <t>ELEC</t>
        </is>
      </c>
      <c r="L3644" s="4" t="inlineStr">
        <is>
          <t>Electricidad</t>
        </is>
      </c>
    </row>
    <row r="3645">
      <c r="A3645" s="4" t="inlineStr">
        <is>
          <t>CATALOGO_PRODUCTO</t>
        </is>
      </c>
      <c r="B3645" s="4" t="inlineStr">
        <is>
          <t>PROD_EOLICA</t>
        </is>
      </c>
      <c r="C3645" s="4" t="inlineStr">
        <is>
          <t>EOLICA</t>
        </is>
      </c>
      <c r="F3645" s="4" t="inlineStr">
        <is>
          <t>CAL</t>
        </is>
      </c>
      <c r="G3645" s="4" t="inlineStr">
        <is>
          <t>METODO_PSUT</t>
        </is>
      </c>
      <c r="H3645" s="4" t="inlineStr">
        <is>
          <t>Catálogo de productos energéticos</t>
        </is>
      </c>
      <c r="K3645" s="4" t="inlineStr">
        <is>
          <t>EOLICA</t>
        </is>
      </c>
      <c r="L3645" s="4" t="inlineStr">
        <is>
          <t>Energía eólica</t>
        </is>
      </c>
    </row>
    <row r="3646">
      <c r="A3646" s="4" t="inlineStr">
        <is>
          <t>CATALOGO_PRODUCTO</t>
        </is>
      </c>
      <c r="B3646" s="4" t="inlineStr">
        <is>
          <t>PROD_FOIL</t>
        </is>
      </c>
      <c r="C3646" s="4" t="inlineStr">
        <is>
          <t>FOIL</t>
        </is>
      </c>
      <c r="F3646" s="4" t="inlineStr">
        <is>
          <t>CAL</t>
        </is>
      </c>
      <c r="G3646" s="4" t="inlineStr">
        <is>
          <t>METODO_PSUT</t>
        </is>
      </c>
      <c r="H3646" s="4" t="inlineStr">
        <is>
          <t>Catálogo de productos energéticos</t>
        </is>
      </c>
      <c r="K3646" s="4" t="inlineStr">
        <is>
          <t>FOIL</t>
        </is>
      </c>
      <c r="L3646" s="4" t="inlineStr">
        <is>
          <t>Fuel oil</t>
        </is>
      </c>
    </row>
    <row r="3647">
      <c r="A3647" s="4" t="inlineStr">
        <is>
          <t>CATALOGO_PRODUCTO</t>
        </is>
      </c>
      <c r="B3647" s="4" t="inlineStr">
        <is>
          <t>PROD_GAS</t>
        </is>
      </c>
      <c r="C3647" s="4" t="inlineStr">
        <is>
          <t>GAS</t>
        </is>
      </c>
      <c r="F3647" s="4" t="inlineStr">
        <is>
          <t>CAL</t>
        </is>
      </c>
      <c r="G3647" s="4" t="inlineStr">
        <is>
          <t>METODO_PSUT</t>
        </is>
      </c>
      <c r="H3647" s="4" t="inlineStr">
        <is>
          <t>Catálogo de productos energéticos</t>
        </is>
      </c>
      <c r="K3647" s="4" t="inlineStr">
        <is>
          <t>GAS</t>
        </is>
      </c>
      <c r="L3647" s="4" t="inlineStr">
        <is>
          <t>Gasolinas</t>
        </is>
      </c>
    </row>
    <row r="3648">
      <c r="A3648" s="4" t="inlineStr">
        <is>
          <t>CATALOGO_PRODUCTO</t>
        </is>
      </c>
      <c r="B3648" s="4" t="inlineStr">
        <is>
          <t>PROD_GEOE</t>
        </is>
      </c>
      <c r="C3648" s="4" t="inlineStr">
        <is>
          <t>GEOE</t>
        </is>
      </c>
      <c r="F3648" s="4" t="inlineStr">
        <is>
          <t>CAL</t>
        </is>
      </c>
      <c r="G3648" s="4" t="inlineStr">
        <is>
          <t>METODO_PSUT</t>
        </is>
      </c>
      <c r="H3648" s="4" t="inlineStr">
        <is>
          <t>Catálogo de productos energéticos</t>
        </is>
      </c>
      <c r="K3648" s="4" t="inlineStr">
        <is>
          <t>GEOE</t>
        </is>
      </c>
      <c r="L3648" s="4" t="inlineStr">
        <is>
          <t>Geoenergía / geotermia</t>
        </is>
      </c>
    </row>
    <row r="3649">
      <c r="A3649" s="4" t="inlineStr">
        <is>
          <t>CATALOGO_PRODUCTO</t>
        </is>
      </c>
      <c r="B3649" s="4" t="inlineStr">
        <is>
          <t>PROD_GLP</t>
        </is>
      </c>
      <c r="C3649" s="4" t="inlineStr">
        <is>
          <t>GLP</t>
        </is>
      </c>
      <c r="F3649" s="4" t="inlineStr">
        <is>
          <t>CAL</t>
        </is>
      </c>
      <c r="G3649" s="4" t="inlineStr">
        <is>
          <t>METODO_PSUT</t>
        </is>
      </c>
      <c r="H3649" s="4" t="inlineStr">
        <is>
          <t>Catálogo de productos energéticos</t>
        </is>
      </c>
      <c r="K3649" s="4" t="inlineStr">
        <is>
          <t>GLP</t>
        </is>
      </c>
      <c r="L3649" s="4" t="inlineStr">
        <is>
          <t>Gas licuado de petróleo (GLP)</t>
        </is>
      </c>
    </row>
    <row r="3650">
      <c r="A3650" s="4" t="inlineStr">
        <is>
          <t>CATALOGO_PRODUCTO</t>
        </is>
      </c>
      <c r="B3650" s="4" t="inlineStr">
        <is>
          <t>PROD_GN</t>
        </is>
      </c>
      <c r="C3650" s="4" t="inlineStr">
        <is>
          <t>GN</t>
        </is>
      </c>
      <c r="F3650" s="4" t="inlineStr">
        <is>
          <t>CAL</t>
        </is>
      </c>
      <c r="G3650" s="4" t="inlineStr">
        <is>
          <t>METODO_PSUT</t>
        </is>
      </c>
      <c r="H3650" s="4" t="inlineStr">
        <is>
          <t>Catálogo de productos energéticos</t>
        </is>
      </c>
      <c r="K3650" s="4" t="inlineStr">
        <is>
          <t>GN</t>
        </is>
      </c>
      <c r="L3650" s="4" t="inlineStr">
        <is>
          <t>Gas natural</t>
        </is>
      </c>
    </row>
    <row r="3651">
      <c r="A3651" s="4" t="inlineStr">
        <is>
          <t>CATALOGO_PRODUCTO</t>
        </is>
      </c>
      <c r="B3651" s="4" t="inlineStr">
        <is>
          <t>PROD_HYDR</t>
        </is>
      </c>
      <c r="C3651" s="4" t="inlineStr">
        <is>
          <t>HYDR</t>
        </is>
      </c>
      <c r="F3651" s="4" t="inlineStr">
        <is>
          <t>CAL</t>
        </is>
      </c>
      <c r="G3651" s="4" t="inlineStr">
        <is>
          <t>METODO_PSUT</t>
        </is>
      </c>
      <c r="H3651" s="4" t="inlineStr">
        <is>
          <t>Catálogo de productos energéticos</t>
        </is>
      </c>
      <c r="K3651" s="4" t="inlineStr">
        <is>
          <t>HYDR</t>
        </is>
      </c>
      <c r="L3651" s="4" t="inlineStr">
        <is>
          <t>Energía hídrica</t>
        </is>
      </c>
    </row>
    <row r="3652">
      <c r="A3652" s="4" t="inlineStr">
        <is>
          <t>CATALOGO_PRODUCTO</t>
        </is>
      </c>
      <c r="B3652" s="4" t="inlineStr">
        <is>
          <t>PROD_KER</t>
        </is>
      </c>
      <c r="C3652" s="4" t="inlineStr">
        <is>
          <t>KER</t>
        </is>
      </c>
      <c r="F3652" s="4" t="inlineStr">
        <is>
          <t>CAL</t>
        </is>
      </c>
      <c r="G3652" s="4" t="inlineStr">
        <is>
          <t>METODO_PSUT</t>
        </is>
      </c>
      <c r="H3652" s="4" t="inlineStr">
        <is>
          <t>Catálogo de productos energéticos</t>
        </is>
      </c>
      <c r="K3652" s="4" t="inlineStr">
        <is>
          <t>KER</t>
        </is>
      </c>
      <c r="L3652" s="4" t="inlineStr">
        <is>
          <t>Keroseno</t>
        </is>
      </c>
    </row>
    <row r="3653">
      <c r="A3653" s="4" t="inlineStr">
        <is>
          <t>CATALOGO_PRODUCTO</t>
        </is>
      </c>
      <c r="B3653" s="4" t="inlineStr">
        <is>
          <t>PROD_LENA</t>
        </is>
      </c>
      <c r="C3653" s="4" t="inlineStr">
        <is>
          <t>LENA</t>
        </is>
      </c>
      <c r="F3653" s="4" t="inlineStr">
        <is>
          <t>CAL</t>
        </is>
      </c>
      <c r="G3653" s="4" t="inlineStr">
        <is>
          <t>METODO_PSUT</t>
        </is>
      </c>
      <c r="H3653" s="4" t="inlineStr">
        <is>
          <t>Catálogo de productos energéticos</t>
        </is>
      </c>
      <c r="K3653" s="4" t="inlineStr">
        <is>
          <t>LENA</t>
        </is>
      </c>
      <c r="L3653" s="4" t="inlineStr">
        <is>
          <t>Leña</t>
        </is>
      </c>
    </row>
    <row r="3654">
      <c r="A3654" s="4" t="inlineStr">
        <is>
          <t>CATALOGO_PRODUCTO</t>
        </is>
      </c>
      <c r="B3654" s="4" t="inlineStr">
        <is>
          <t>PROD_NOEN</t>
        </is>
      </c>
      <c r="C3654" s="4" t="inlineStr">
        <is>
          <t>NOEN</t>
        </is>
      </c>
      <c r="F3654" s="4" t="inlineStr">
        <is>
          <t>CAL</t>
        </is>
      </c>
      <c r="G3654" s="4" t="inlineStr">
        <is>
          <t>METODO_PSUT</t>
        </is>
      </c>
      <c r="H3654" s="4" t="inlineStr">
        <is>
          <t>Catálogo de productos energéticos</t>
        </is>
      </c>
      <c r="K3654" s="4" t="inlineStr">
        <is>
          <t>NOEN</t>
        </is>
      </c>
      <c r="L3654" s="4" t="inlineStr">
        <is>
          <t>Usos no energéticos</t>
        </is>
      </c>
    </row>
    <row r="3655">
      <c r="A3655" s="4" t="inlineStr">
        <is>
          <t>CATALOGO_PRODUCTO</t>
        </is>
      </c>
      <c r="B3655" s="4" t="inlineStr">
        <is>
          <t>PROD_ORIM</t>
        </is>
      </c>
      <c r="C3655" s="4" t="inlineStr">
        <is>
          <t>ORIM</t>
        </is>
      </c>
      <c r="F3655" s="4" t="inlineStr">
        <is>
          <t>CAL</t>
        </is>
      </c>
      <c r="G3655" s="4" t="inlineStr">
        <is>
          <t>METODO_PSUT</t>
        </is>
      </c>
      <c r="H3655" s="4" t="inlineStr">
        <is>
          <t>Catálogo de productos energéticos</t>
        </is>
      </c>
      <c r="K3655" s="4" t="inlineStr">
        <is>
          <t>ORIM</t>
        </is>
      </c>
      <c r="L3655" s="4" t="inlineStr">
        <is>
          <t>Orimulsión</t>
        </is>
      </c>
    </row>
    <row r="3656">
      <c r="A3656" s="4" t="inlineStr">
        <is>
          <t>CATALOGO_PRODUCTO</t>
        </is>
      </c>
      <c r="B3656" s="4" t="inlineStr">
        <is>
          <t>PROD_PETR</t>
        </is>
      </c>
      <c r="C3656" s="4" t="inlineStr">
        <is>
          <t>PETR</t>
        </is>
      </c>
      <c r="F3656" s="4" t="inlineStr">
        <is>
          <t>CAL</t>
        </is>
      </c>
      <c r="G3656" s="4" t="inlineStr">
        <is>
          <t>METODO_PSUT</t>
        </is>
      </c>
      <c r="H3656" s="4" t="inlineStr">
        <is>
          <t>Catálogo de productos energéticos</t>
        </is>
      </c>
      <c r="K3656" s="4" t="inlineStr">
        <is>
          <t>PETR</t>
        </is>
      </c>
      <c r="L3656" s="4" t="inlineStr">
        <is>
          <t>Petróleo crudo</t>
        </is>
      </c>
    </row>
    <row r="3657">
      <c r="A3657" s="4" t="inlineStr">
        <is>
          <t>CATALOGO_PRODUCTO</t>
        </is>
      </c>
      <c r="B3657" s="4" t="inlineStr">
        <is>
          <t>PROD_SOLAR</t>
        </is>
      </c>
      <c r="C3657" s="4" t="inlineStr">
        <is>
          <t>SOLAR</t>
        </is>
      </c>
      <c r="F3657" s="4" t="inlineStr">
        <is>
          <t>CAL</t>
        </is>
      </c>
      <c r="G3657" s="4" t="inlineStr">
        <is>
          <t>METODO_PSUT</t>
        </is>
      </c>
      <c r="H3657" s="4" t="inlineStr">
        <is>
          <t>Catálogo de productos energéticos</t>
        </is>
      </c>
      <c r="K3657" s="4" t="inlineStr">
        <is>
          <t>SOLAR</t>
        </is>
      </c>
      <c r="L3657" s="4" t="inlineStr">
        <is>
          <t>Energía solar</t>
        </is>
      </c>
    </row>
    <row r="3658">
      <c r="A3658" s="4" t="inlineStr">
        <is>
          <t>CATALOGO_UNIDAD</t>
        </is>
      </c>
      <c r="B3658" s="4" t="inlineStr">
        <is>
          <t>UNIDAD_A</t>
        </is>
      </c>
      <c r="C3658" s="4" t="inlineStr">
        <is>
          <t>A</t>
        </is>
      </c>
      <c r="F3658" s="4" t="inlineStr">
        <is>
          <t>CAL</t>
        </is>
      </c>
      <c r="G3658" s="4" t="inlineStr">
        <is>
          <t>METODO_PSUT</t>
        </is>
      </c>
      <c r="H3658" s="4" t="inlineStr">
        <is>
          <t>Agregación sectorial</t>
        </is>
      </c>
      <c r="L3658" s="4" t="inlineStr">
        <is>
          <t>Agricultura, silvicultura y pesca</t>
        </is>
      </c>
      <c r="P3658" s="4" t="inlineStr">
        <is>
          <t>A</t>
        </is>
      </c>
    </row>
    <row r="3659">
      <c r="A3659" s="4" t="inlineStr">
        <is>
          <t>CATALOGO_UNIDAD</t>
        </is>
      </c>
      <c r="B3659" s="4" t="inlineStr">
        <is>
          <t>UNIDAD_B</t>
        </is>
      </c>
      <c r="C3659" s="4" t="inlineStr">
        <is>
          <t>B</t>
        </is>
      </c>
      <c r="F3659" s="4" t="inlineStr">
        <is>
          <t>CAL</t>
        </is>
      </c>
      <c r="G3659" s="4" t="inlineStr">
        <is>
          <t>METODO_PSUT</t>
        </is>
      </c>
      <c r="H3659" s="4" t="inlineStr">
        <is>
          <t>Agregación sectorial</t>
        </is>
      </c>
      <c r="L3659" s="4" t="inlineStr">
        <is>
          <t>Minería y canteras</t>
        </is>
      </c>
      <c r="P3659" s="4" t="inlineStr">
        <is>
          <t>B</t>
        </is>
      </c>
    </row>
    <row r="3660">
      <c r="A3660" s="4" t="inlineStr">
        <is>
          <t>CATALOGO_UNIDAD</t>
        </is>
      </c>
      <c r="B3660" s="4" t="inlineStr">
        <is>
          <t>UNIDAD_ENER</t>
        </is>
      </c>
      <c r="C3660" s="4" t="inlineStr">
        <is>
          <t>ENER</t>
        </is>
      </c>
      <c r="F3660" s="4" t="inlineStr">
        <is>
          <t>CAL</t>
        </is>
      </c>
      <c r="G3660" s="4" t="inlineStr">
        <is>
          <t>METODO_PSUT</t>
        </is>
      </c>
      <c r="H3660" s="4" t="inlineStr">
        <is>
          <t>Agregación sectorial</t>
        </is>
      </c>
      <c r="L3660" s="4" t="inlineStr">
        <is>
          <t>Industrias de energía</t>
        </is>
      </c>
      <c r="P3660" s="4" t="inlineStr">
        <is>
          <t>ENER</t>
        </is>
      </c>
    </row>
    <row r="3661">
      <c r="A3661" s="4" t="inlineStr">
        <is>
          <t>CATALOGO_UNIDAD</t>
        </is>
      </c>
      <c r="B3661" s="4" t="inlineStr">
        <is>
          <t>UNIDAD_IND_BEN</t>
        </is>
      </c>
      <c r="C3661" s="4" t="inlineStr">
        <is>
          <t>IND_BEN</t>
        </is>
      </c>
      <c r="F3661" s="4" t="inlineStr">
        <is>
          <t>CAL</t>
        </is>
      </c>
      <c r="G3661" s="4" t="inlineStr">
        <is>
          <t>METODO_PSUT</t>
        </is>
      </c>
      <c r="H3661" s="4" t="inlineStr">
        <is>
          <t>Agregación sectorial</t>
        </is>
      </c>
      <c r="L3661" s="4" t="inlineStr">
        <is>
          <t>Industria — agregado BEN</t>
        </is>
      </c>
      <c r="P3661" s="4" t="inlineStr">
        <is>
          <t>IND_BEN</t>
        </is>
      </c>
    </row>
    <row r="3662">
      <c r="A3662" s="4" t="inlineStr">
        <is>
          <t>CATALOGO_UNIDAD</t>
        </is>
      </c>
      <c r="B3662" s="4" t="inlineStr">
        <is>
          <t>UNIDAD_TR_BEN</t>
        </is>
      </c>
      <c r="C3662" s="4" t="inlineStr">
        <is>
          <t>TR_BEN</t>
        </is>
      </c>
      <c r="F3662" s="4" t="inlineStr">
        <is>
          <t>CAL</t>
        </is>
      </c>
      <c r="G3662" s="4" t="inlineStr">
        <is>
          <t>METODO_PSUT</t>
        </is>
      </c>
      <c r="H3662" s="4" t="inlineStr">
        <is>
          <t>Agregación sectorial</t>
        </is>
      </c>
      <c r="L3662" s="4" t="inlineStr">
        <is>
          <t>Transporte — agregado BEN</t>
        </is>
      </c>
      <c r="P3662" s="4" t="inlineStr">
        <is>
          <t>TR_BEN</t>
        </is>
      </c>
    </row>
    <row r="3663">
      <c r="A3663" s="4" t="inlineStr">
        <is>
          <t>CATALOGO_UNIDAD</t>
        </is>
      </c>
      <c r="B3663" s="4" t="inlineStr">
        <is>
          <t>UNIDAD_SERV</t>
        </is>
      </c>
      <c r="C3663" s="4" t="inlineStr">
        <is>
          <t>SERV</t>
        </is>
      </c>
      <c r="F3663" s="4" t="inlineStr">
        <is>
          <t>CAL</t>
        </is>
      </c>
      <c r="G3663" s="4" t="inlineStr">
        <is>
          <t>METODO_PSUT</t>
        </is>
      </c>
      <c r="H3663" s="4" t="inlineStr">
        <is>
          <t>Agregación sectorial</t>
        </is>
      </c>
      <c r="L3663" s="4" t="inlineStr">
        <is>
          <t>Comercio y servicios</t>
        </is>
      </c>
      <c r="P3663" s="4" t="inlineStr">
        <is>
          <t>SERV</t>
        </is>
      </c>
    </row>
    <row r="3664">
      <c r="A3664" s="4" t="inlineStr">
        <is>
          <t>CATALOGO_UNIDAD</t>
        </is>
      </c>
      <c r="B3664" s="4" t="inlineStr">
        <is>
          <t>UNIDAD_HH</t>
        </is>
      </c>
      <c r="C3664" s="4" t="inlineStr">
        <is>
          <t>HH</t>
        </is>
      </c>
      <c r="F3664" s="4" t="inlineStr">
        <is>
          <t>CAL</t>
        </is>
      </c>
      <c r="G3664" s="4" t="inlineStr">
        <is>
          <t>METODO_PSUT</t>
        </is>
      </c>
      <c r="H3664" s="4" t="inlineStr">
        <is>
          <t>Agregación sectorial</t>
        </is>
      </c>
      <c r="L3664" s="4" t="inlineStr">
        <is>
          <t>Hogares</t>
        </is>
      </c>
      <c r="P3664" s="4" t="inlineStr">
        <is>
          <t>HH</t>
        </is>
      </c>
    </row>
    <row r="3665">
      <c r="A3665" s="4" t="inlineStr">
        <is>
          <t>CATALOGO_UNIDAD</t>
        </is>
      </c>
      <c r="B3665" s="4" t="inlineStr">
        <is>
          <t>UNIDAD_C</t>
        </is>
      </c>
      <c r="C3665" s="4" t="inlineStr">
        <is>
          <t>C</t>
        </is>
      </c>
      <c r="F3665" s="4" t="inlineStr">
        <is>
          <t>CAL</t>
        </is>
      </c>
      <c r="G3665" s="4" t="inlineStr">
        <is>
          <t>METODO_PSUT</t>
        </is>
      </c>
      <c r="H3665" s="4" t="inlineStr">
        <is>
          <t>Agregación sectorial</t>
        </is>
      </c>
      <c r="L3665" s="4" t="inlineStr">
        <is>
          <t>Manufactura</t>
        </is>
      </c>
      <c r="P3665" s="4" t="inlineStr">
        <is>
          <t>C</t>
        </is>
      </c>
    </row>
    <row r="3666">
      <c r="A3666" s="4" t="inlineStr">
        <is>
          <t>CATALOGO_UNIDAD</t>
        </is>
      </c>
      <c r="B3666" s="4" t="inlineStr">
        <is>
          <t>UNIDAD_D</t>
        </is>
      </c>
      <c r="C3666" s="4" t="inlineStr">
        <is>
          <t>D</t>
        </is>
      </c>
      <c r="F3666" s="4" t="inlineStr">
        <is>
          <t>CAL</t>
        </is>
      </c>
      <c r="G3666" s="4" t="inlineStr">
        <is>
          <t>METODO_PSUT</t>
        </is>
      </c>
      <c r="H3666" s="4" t="inlineStr">
        <is>
          <t>Agregación sectorial</t>
        </is>
      </c>
      <c r="L3666" s="4" t="inlineStr">
        <is>
          <t>Electricidad, gas, vapor y aire acondicionado</t>
        </is>
      </c>
      <c r="P3666" s="4" t="inlineStr">
        <is>
          <t>D</t>
        </is>
      </c>
    </row>
    <row r="3667">
      <c r="A3667" s="4" t="inlineStr">
        <is>
          <t>CATALOGO_UNIDAD</t>
        </is>
      </c>
      <c r="B3667" s="4" t="inlineStr">
        <is>
          <t>UNIDAD_H</t>
        </is>
      </c>
      <c r="C3667" s="4" t="inlineStr">
        <is>
          <t>H</t>
        </is>
      </c>
      <c r="F3667" s="4" t="inlineStr">
        <is>
          <t>CAL</t>
        </is>
      </c>
      <c r="G3667" s="4" t="inlineStr">
        <is>
          <t>METODO_PSUT</t>
        </is>
      </c>
      <c r="H3667" s="4" t="inlineStr">
        <is>
          <t>Agregación sectorial</t>
        </is>
      </c>
      <c r="L3667" s="4" t="inlineStr">
        <is>
          <t>Transporte y almacenamiento</t>
        </is>
      </c>
      <c r="P3667" s="4" t="inlineStr">
        <is>
          <t>H</t>
        </is>
      </c>
    </row>
    <row r="3668">
      <c r="A3668" s="4" t="inlineStr">
        <is>
          <t>CATALOGO_UNIDAD</t>
        </is>
      </c>
      <c r="B3668" s="4" t="inlineStr">
        <is>
          <t>UNIDAD_ACC</t>
        </is>
      </c>
      <c r="C3668" s="4" t="inlineStr">
        <is>
          <t>ACC</t>
        </is>
      </c>
      <c r="F3668" s="4" t="inlineStr">
        <is>
          <t>CAL</t>
        </is>
      </c>
      <c r="G3668" s="4" t="inlineStr">
        <is>
          <t>METODO_PSUT</t>
        </is>
      </c>
      <c r="H3668" s="4" t="inlineStr">
        <is>
          <t>Agregación sectorial</t>
        </is>
      </c>
      <c r="L3668" s="4" t="inlineStr">
        <is>
          <t>Acumulación</t>
        </is>
      </c>
      <c r="P3668" s="4" t="inlineStr">
        <is>
          <t>ACC</t>
        </is>
      </c>
    </row>
    <row r="3669">
      <c r="A3669" s="4" t="inlineStr">
        <is>
          <t>CATALOGO_UNIDAD</t>
        </is>
      </c>
      <c r="B3669" s="4" t="inlineStr">
        <is>
          <t>UNIDAD_ROW</t>
        </is>
      </c>
      <c r="C3669" s="4" t="inlineStr">
        <is>
          <t>ROW</t>
        </is>
      </c>
      <c r="F3669" s="4" t="inlineStr">
        <is>
          <t>CAL</t>
        </is>
      </c>
      <c r="G3669" s="4" t="inlineStr">
        <is>
          <t>METODO_PSUT</t>
        </is>
      </c>
      <c r="H3669" s="4" t="inlineStr">
        <is>
          <t>Agregación sectorial</t>
        </is>
      </c>
      <c r="L3669" s="4" t="inlineStr">
        <is>
          <t>Resto del mundo</t>
        </is>
      </c>
      <c r="P3669" s="4" t="inlineStr">
        <is>
          <t>ROW</t>
        </is>
      </c>
    </row>
    <row r="3670">
      <c r="A3670" s="4" t="inlineStr">
        <is>
          <t>CATALOGO_UNIDAD</t>
        </is>
      </c>
      <c r="B3670" s="4" t="inlineStr">
        <is>
          <t>UNIDAD_ENV</t>
        </is>
      </c>
      <c r="C3670" s="4" t="inlineStr">
        <is>
          <t>ENV</t>
        </is>
      </c>
      <c r="F3670" s="4" t="inlineStr">
        <is>
          <t>CAL</t>
        </is>
      </c>
      <c r="G3670" s="4" t="inlineStr">
        <is>
          <t>METODO_PSUT</t>
        </is>
      </c>
      <c r="H3670" s="4" t="inlineStr">
        <is>
          <t>Agregación sectorial</t>
        </is>
      </c>
      <c r="L3670" s="4" t="inlineStr">
        <is>
          <t>Ambiente</t>
        </is>
      </c>
      <c r="P3670" s="4" t="inlineStr">
        <is>
          <t>ENV</t>
        </is>
      </c>
    </row>
    <row r="3671">
      <c r="A3671" s="4" t="inlineStr">
        <is>
          <t>CATALOGO_UNIDAD</t>
        </is>
      </c>
      <c r="B3671" s="4" t="inlineStr">
        <is>
          <t>UNIDAD_STAT</t>
        </is>
      </c>
      <c r="C3671" s="4" t="inlineStr">
        <is>
          <t>STAT</t>
        </is>
      </c>
      <c r="F3671" s="4" t="inlineStr">
        <is>
          <t>CAL</t>
        </is>
      </c>
      <c r="G3671" s="4" t="inlineStr">
        <is>
          <t>METODO_PSUT</t>
        </is>
      </c>
      <c r="H3671" s="4" t="inlineStr">
        <is>
          <t>Agregación sectorial</t>
        </is>
      </c>
      <c r="L3671" s="4" t="inlineStr">
        <is>
          <t>Discrepancia estadística</t>
        </is>
      </c>
      <c r="P3671" s="4" t="inlineStr">
        <is>
          <t>STAT</t>
        </is>
      </c>
    </row>
    <row r="3672">
      <c r="A3672" s="4" t="inlineStr">
        <is>
          <t>CATALOGO_UNIDAD</t>
        </is>
      </c>
      <c r="B3672" s="4" t="inlineStr">
        <is>
          <t>UNIDAD_NO_ASIG</t>
        </is>
      </c>
      <c r="C3672" s="4" t="inlineStr">
        <is>
          <t>NO_ASIG</t>
        </is>
      </c>
      <c r="F3672" s="4" t="inlineStr">
        <is>
          <t>CAL</t>
        </is>
      </c>
      <c r="G3672" s="4" t="inlineStr">
        <is>
          <t>METODO_PSUT</t>
        </is>
      </c>
      <c r="H3672" s="4" t="inlineStr">
        <is>
          <t>Agregación sectorial</t>
        </is>
      </c>
      <c r="L3672" s="4" t="inlineStr">
        <is>
          <t>Uso interno no asignado</t>
        </is>
      </c>
      <c r="P3672" s="4" t="inlineStr">
        <is>
          <t>NO_ASIG</t>
        </is>
      </c>
    </row>
  </sheetData>
  <autoFilter ref="A1:AM3672"/>
  <hyperlinks>
    <hyperlink ref="I2" r:id="rId1" display="https://mem.gob.gt/que-hacemos/area-energetica/publicaciones/estadisticas/balance-energetico/"/>
    <hyperlink ref="I3" r:id="rId2" display="https://mem.gob.gt/que-hacemos/area-energetica/publicaciones/estadisticas/balance-energetico/"/>
    <hyperlink ref="I4" r:id="rId3" display="https://mem.gob.gt/que-hacemos/area-energetica/publicaciones/estadisticas/balance-energetico/"/>
    <hyperlink ref="I5" r:id="rId4" display="https://mem.gob.gt/que-hacemos/area-energetica/publicaciones/estadisticas/balance-energetico/"/>
    <hyperlink ref="I6" r:id="rId5" display="https://mem.gob.gt/que-hacemos/area-energetica/publicaciones/estadisticas/balance-energetico/"/>
    <hyperlink ref="I7" r:id="rId6" display="https://mem.gob.gt/que-hacemos/area-energetica/publicaciones/estadisticas/balance-energetico/"/>
    <hyperlink ref="I8" r:id="rId7" display="https://mem.gob.gt/que-hacemos/area-energetica/publicaciones/estadisticas/balance-energetico/"/>
    <hyperlink ref="I9" r:id="rId8" display="https://mem.gob.gt/que-hacemos/area-energetica/publicaciones/estadisticas/balance-energetico/"/>
    <hyperlink ref="I10" r:id="rId9" display="https://mem.gob.gt/que-hacemos/area-energetica/publicaciones/estadisticas/balance-energetico/"/>
    <hyperlink ref="I11" r:id="rId10" display="https://mem.gob.gt/que-hacemos/area-energetica/publicaciones/estadisticas/balance-energetico/"/>
    <hyperlink ref="I12" r:id="rId11" display="https://mem.gob.gt/que-hacemos/area-energetica/publicaciones/estadisticas/balance-energetico/"/>
    <hyperlink ref="I13" r:id="rId12" display="https://mem.gob.gt/que-hacemos/area-energetica/publicaciones/estadisticas/balance-energetico/"/>
    <hyperlink ref="I14" r:id="rId13" display="https://mem.gob.gt/que-hacemos/area-energetica/publicaciones/estadisticas/balance-energetico/"/>
    <hyperlink ref="I15" r:id="rId14" display="https://mem.gob.gt/que-hacemos/area-energetica/publicaciones/estadisticas/balance-energetico/"/>
    <hyperlink ref="I16" r:id="rId15" display="https://mem.gob.gt/que-hacemos/area-energetica/publicaciones/estadisticas/balance-energetico/"/>
    <hyperlink ref="I17" r:id="rId16" display="https://mem.gob.gt/que-hacemos/area-energetica/publicaciones/estadisticas/balance-energetico/"/>
    <hyperlink ref="I18" r:id="rId17" display="https://mem.gob.gt/que-hacemos/area-energetica/publicaciones/estadisticas/balance-energetico/"/>
    <hyperlink ref="I19" r:id="rId18" display="https://mem.gob.gt/que-hacemos/area-energetica/publicaciones/estadisticas/balance-energetico/"/>
    <hyperlink ref="I20" r:id="rId19" display="https://mem.gob.gt/que-hacemos/area-energetica/publicaciones/estadisticas/balance-energetico/"/>
    <hyperlink ref="I21" r:id="rId20" display="https://mem.gob.gt/que-hacemos/area-energetica/publicaciones/estadisticas/balance-energetico/"/>
    <hyperlink ref="I22" r:id="rId21" display="https://mem.gob.gt/que-hacemos/area-energetica/publicaciones/estadisticas/balance-energetico/"/>
    <hyperlink ref="I23" r:id="rId22" display="https://mem.gob.gt/que-hacemos/area-energetica/publicaciones/estadisticas/balance-energetico/"/>
    <hyperlink ref="I24" r:id="rId23" display="https://mem.gob.gt/que-hacemos/area-energetica/publicaciones/estadisticas/balance-energetico/"/>
    <hyperlink ref="I25" r:id="rId24" display="https://mem.gob.gt/que-hacemos/area-energetica/publicaciones/estadisticas/balance-energetico/"/>
    <hyperlink ref="I26" r:id="rId25" display="https://mem.gob.gt/que-hacemos/area-energetica/publicaciones/estadisticas/balance-energetico/"/>
    <hyperlink ref="I27" r:id="rId26" display="https://mem.gob.gt/que-hacemos/area-energetica/publicaciones/estadisticas/balance-energetico/"/>
    <hyperlink ref="I28" r:id="rId27" display="https://mem.gob.gt/que-hacemos/area-energetica/publicaciones/estadisticas/balance-energetico/"/>
    <hyperlink ref="I29" r:id="rId28" display="https://mem.gob.gt/que-hacemos/area-energetica/publicaciones/estadisticas/balance-energetico/"/>
    <hyperlink ref="I30" r:id="rId29" display="https://mem.gob.gt/que-hacemos/area-energetica/publicaciones/estadisticas/balance-energetico/"/>
    <hyperlink ref="I31" r:id="rId30" display="https://mem.gob.gt/que-hacemos/area-energetica/publicaciones/estadisticas/balance-energetico/"/>
    <hyperlink ref="I32" r:id="rId31" display="https://mem.gob.gt/que-hacemos/area-energetica/publicaciones/estadisticas/balance-energetico/"/>
    <hyperlink ref="I33" r:id="rId32" display="https://mem.gob.gt/que-hacemos/area-energetica/publicaciones/estadisticas/balance-energetico/"/>
    <hyperlink ref="I34" r:id="rId33" display="https://mem.gob.gt/que-hacemos/area-energetica/publicaciones/estadisticas/balance-energetico/"/>
    <hyperlink ref="I35" r:id="rId34" display="https://mem.gob.gt/que-hacemos/area-energetica/publicaciones/estadisticas/balance-energetico/"/>
    <hyperlink ref="I36" r:id="rId35" display="https://mem.gob.gt/que-hacemos/area-energetica/publicaciones/estadisticas/balance-energetico/"/>
    <hyperlink ref="I37" r:id="rId36" display="https://mem.gob.gt/que-hacemos/area-energetica/publicaciones/estadisticas/balance-energetico/"/>
    <hyperlink ref="I38" r:id="rId37" display="https://mem.gob.gt/que-hacemos/area-energetica/publicaciones/estadisticas/balance-energetico/"/>
    <hyperlink ref="I39" r:id="rId38" display="https://mem.gob.gt/que-hacemos/area-energetica/publicaciones/estadisticas/balance-energetico/"/>
    <hyperlink ref="I40" r:id="rId39" display="https://mem.gob.gt/que-hacemos/area-energetica/publicaciones/estadisticas/balance-energetico/"/>
    <hyperlink ref="I41" r:id="rId40" display="https://mem.gob.gt/que-hacemos/area-energetica/publicaciones/estadisticas/balance-energetico/"/>
    <hyperlink ref="I42" r:id="rId41" display="https://mem.gob.gt/que-hacemos/area-energetica/publicaciones/estadisticas/balance-energetico/"/>
    <hyperlink ref="I43" r:id="rId42" display="https://mem.gob.gt/que-hacemos/area-energetica/publicaciones/estadisticas/balance-energetico/"/>
    <hyperlink ref="I44" r:id="rId43" display="https://mem.gob.gt/que-hacemos/area-energetica/publicaciones/estadisticas/balance-energetico/"/>
    <hyperlink ref="I45" r:id="rId44" display="https://mem.gob.gt/que-hacemos/area-energetica/publicaciones/estadisticas/balance-energetico/"/>
    <hyperlink ref="I46" r:id="rId45" display="https://mem.gob.gt/que-hacemos/area-energetica/publicaciones/estadisticas/balance-energetico/"/>
    <hyperlink ref="I47" r:id="rId46" display="https://mem.gob.gt/que-hacemos/area-energetica/publicaciones/estadisticas/balance-energetico/"/>
    <hyperlink ref="I48" r:id="rId47" display="https://mem.gob.gt/que-hacemos/area-energetica/publicaciones/estadisticas/balance-energetico/"/>
    <hyperlink ref="I49" r:id="rId48" display="https://mem.gob.gt/que-hacemos/area-energetica/publicaciones/estadisticas/balance-energetico/"/>
    <hyperlink ref="I50" r:id="rId49" display="https://mem.gob.gt/que-hacemos/area-energetica/publicaciones/estadisticas/balance-energetico/"/>
    <hyperlink ref="I51" r:id="rId50" display="https://mem.gob.gt/que-hacemos/area-energetica/publicaciones/estadisticas/balance-energetico/"/>
    <hyperlink ref="I52" r:id="rId51" display="https://mem.gob.gt/que-hacemos/area-energetica/publicaciones/estadisticas/balance-energetico/"/>
    <hyperlink ref="I53" r:id="rId52" display="https://mem.gob.gt/que-hacemos/area-energetica/publicaciones/estadisticas/balance-energetico/"/>
    <hyperlink ref="I54" r:id="rId53" display="https://mem.gob.gt/que-hacemos/area-energetica/publicaciones/estadisticas/balance-energetico/"/>
    <hyperlink ref="I55" r:id="rId54" display="https://mem.gob.gt/que-hacemos/area-energetica/publicaciones/estadisticas/balance-energetico/"/>
    <hyperlink ref="I56" r:id="rId55" display="https://mem.gob.gt/que-hacemos/area-energetica/publicaciones/estadisticas/balance-energetico/"/>
    <hyperlink ref="I57" r:id="rId56" display="https://mem.gob.gt/que-hacemos/area-energetica/publicaciones/estadisticas/balance-energetico/"/>
    <hyperlink ref="I58" r:id="rId57" display="https://mem.gob.gt/que-hacemos/area-energetica/publicaciones/estadisticas/balance-energetico/"/>
    <hyperlink ref="I59" r:id="rId58" display="https://mem.gob.gt/que-hacemos/area-energetica/publicaciones/estadisticas/balance-energetico/"/>
    <hyperlink ref="I60" r:id="rId59" display="https://mem.gob.gt/que-hacemos/area-energetica/publicaciones/estadisticas/balance-energetico/"/>
    <hyperlink ref="I61" r:id="rId60" display="https://mem.gob.gt/que-hacemos/area-energetica/publicaciones/estadisticas/balance-energetico/"/>
    <hyperlink ref="I62" r:id="rId61" display="https://mem.gob.gt/que-hacemos/area-energetica/publicaciones/estadisticas/balance-energetico/"/>
    <hyperlink ref="I63" r:id="rId62" display="https://mem.gob.gt/que-hacemos/area-energetica/publicaciones/estadisticas/balance-energetico/"/>
    <hyperlink ref="I64" r:id="rId63" display="https://mem.gob.gt/que-hacemos/area-energetica/publicaciones/estadisticas/balance-energetico/"/>
    <hyperlink ref="I65" r:id="rId64" display="https://mem.gob.gt/que-hacemos/area-energetica/publicaciones/estadisticas/balance-energetico/"/>
    <hyperlink ref="I66" r:id="rId65" display="https://mem.gob.gt/que-hacemos/area-energetica/publicaciones/estadisticas/balance-energetico/"/>
    <hyperlink ref="I67" r:id="rId66" display="https://mem.gob.gt/que-hacemos/area-energetica/publicaciones/estadisticas/balance-energetico/"/>
    <hyperlink ref="I68" r:id="rId67" display="https://mem.gob.gt/que-hacemos/area-energetica/publicaciones/estadisticas/balance-energetico/"/>
    <hyperlink ref="I69" r:id="rId68" display="https://mem.gob.gt/que-hacemos/area-energetica/publicaciones/estadisticas/balance-energetico/"/>
    <hyperlink ref="I70" r:id="rId69" display="https://mem.gob.gt/que-hacemos/area-energetica/publicaciones/estadisticas/balance-energetico/"/>
    <hyperlink ref="I71" r:id="rId70" display="https://mem.gob.gt/que-hacemos/area-energetica/publicaciones/estadisticas/balance-energetico/"/>
    <hyperlink ref="I72" r:id="rId71" display="https://mem.gob.gt/que-hacemos/area-energetica/publicaciones/estadisticas/balance-energetico/"/>
    <hyperlink ref="I73" r:id="rId72" display="https://mem.gob.gt/que-hacemos/area-energetica/publicaciones/estadisticas/balance-energetico/"/>
    <hyperlink ref="I74" r:id="rId73" display="https://mem.gob.gt/que-hacemos/area-energetica/publicaciones/estadisticas/balance-energetico/"/>
    <hyperlink ref="I75" r:id="rId74" display="https://mem.gob.gt/que-hacemos/area-energetica/publicaciones/estadisticas/balance-energetico/"/>
    <hyperlink ref="I76" r:id="rId75" display="https://mem.gob.gt/que-hacemos/area-energetica/publicaciones/estadisticas/balance-energetico/"/>
    <hyperlink ref="I77" r:id="rId76" display="https://mem.gob.gt/que-hacemos/area-energetica/publicaciones/estadisticas/balance-energetico/"/>
    <hyperlink ref="I78" r:id="rId77" display="https://mem.gob.gt/que-hacemos/area-energetica/publicaciones/estadisticas/balance-energetico/"/>
    <hyperlink ref="I79" r:id="rId78" display="https://mem.gob.gt/que-hacemos/area-energetica/publicaciones/estadisticas/balance-energetico/"/>
    <hyperlink ref="I80" r:id="rId79" display="https://mem.gob.gt/que-hacemos/area-energetica/publicaciones/estadisticas/balance-energetico/"/>
    <hyperlink ref="I81" r:id="rId80" display="https://mem.gob.gt/que-hacemos/area-energetica/publicaciones/estadisticas/balance-energetico/"/>
    <hyperlink ref="I82" r:id="rId81" display="https://mem.gob.gt/que-hacemos/area-energetica/publicaciones/estadisticas/balance-energetico/"/>
    <hyperlink ref="I83" r:id="rId82" display="https://mem.gob.gt/que-hacemos/area-energetica/publicaciones/estadisticas/balance-energetico/"/>
    <hyperlink ref="I84" r:id="rId83" display="https://mem.gob.gt/que-hacemos/area-energetica/publicaciones/estadisticas/balance-energetico/"/>
    <hyperlink ref="I85" r:id="rId84" display="https://mem.gob.gt/que-hacemos/area-energetica/publicaciones/estadisticas/balance-energetico/"/>
    <hyperlink ref="I86" r:id="rId85" display="https://mem.gob.gt/que-hacemos/area-energetica/publicaciones/estadisticas/balance-energetico/"/>
    <hyperlink ref="I87" r:id="rId86" display="https://mem.gob.gt/que-hacemos/area-energetica/publicaciones/estadisticas/balance-energetico/"/>
    <hyperlink ref="I88" r:id="rId87" display="https://mem.gob.gt/que-hacemos/area-energetica/publicaciones/estadisticas/balance-energetico/"/>
    <hyperlink ref="I89" r:id="rId88" display="https://mem.gob.gt/que-hacemos/area-energetica/publicaciones/estadisticas/balance-energetico/"/>
    <hyperlink ref="I90" r:id="rId89" display="https://mem.gob.gt/que-hacemos/area-energetica/publicaciones/estadisticas/balance-energetico/"/>
    <hyperlink ref="I91" r:id="rId90" display="https://mem.gob.gt/que-hacemos/area-energetica/publicaciones/estadisticas/balance-energetico/"/>
    <hyperlink ref="I92" r:id="rId91" display="https://mem.gob.gt/que-hacemos/area-energetica/publicaciones/estadisticas/balance-energetico/"/>
    <hyperlink ref="I93" r:id="rId92" display="https://mem.gob.gt/que-hacemos/area-energetica/publicaciones/estadisticas/balance-energetico/"/>
    <hyperlink ref="I94" r:id="rId93" display="https://mem.gob.gt/que-hacemos/area-energetica/publicaciones/estadisticas/balance-energetico/"/>
    <hyperlink ref="I95" r:id="rId94" display="https://mem.gob.gt/que-hacemos/area-energetica/publicaciones/estadisticas/balance-energetico/"/>
    <hyperlink ref="I96" r:id="rId95" display="https://mem.gob.gt/que-hacemos/area-energetica/publicaciones/estadisticas/balance-energetico/"/>
    <hyperlink ref="I97" r:id="rId96" display="https://mem.gob.gt/que-hacemos/area-energetica/publicaciones/estadisticas/balance-energetico/"/>
    <hyperlink ref="I98" r:id="rId97" display="https://mem.gob.gt/que-hacemos/area-energetica/publicaciones/estadisticas/balance-energetico/"/>
    <hyperlink ref="I99" r:id="rId98" display="https://mem.gob.gt/que-hacemos/area-energetica/publicaciones/estadisticas/balance-energetico/"/>
    <hyperlink ref="I100" r:id="rId99" display="https://mem.gob.gt/que-hacemos/area-energetica/publicaciones/estadisticas/balance-energetico/"/>
    <hyperlink ref="I101" r:id="rId100" display="https://mem.gob.gt/que-hacemos/area-energetica/publicaciones/estadisticas/balance-energetico/"/>
    <hyperlink ref="I102" r:id="rId101" display="https://mem.gob.gt/que-hacemos/area-energetica/publicaciones/estadisticas/balance-energetico/"/>
    <hyperlink ref="I103" r:id="rId102" display="https://mem.gob.gt/que-hacemos/area-energetica/publicaciones/estadisticas/balance-energetico/"/>
    <hyperlink ref="I104" r:id="rId103" display="https://mem.gob.gt/que-hacemos/area-energetica/publicaciones/estadisticas/balance-energetico/"/>
    <hyperlink ref="I105" r:id="rId104" display="https://mem.gob.gt/que-hacemos/area-energetica/publicaciones/estadisticas/balance-energetico/"/>
    <hyperlink ref="I106" r:id="rId105" display="https://mem.gob.gt/que-hacemos/area-energetica/publicaciones/estadisticas/balance-energetico/"/>
    <hyperlink ref="I107" r:id="rId106" display="https://mem.gob.gt/que-hacemos/area-energetica/publicaciones/estadisticas/balance-energetico/"/>
    <hyperlink ref="I108" r:id="rId107" display="https://mem.gob.gt/que-hacemos/area-energetica/publicaciones/estadisticas/balance-energetico/"/>
    <hyperlink ref="I109" r:id="rId108" display="https://mem.gob.gt/que-hacemos/area-energetica/publicaciones/estadisticas/balance-energetico/"/>
    <hyperlink ref="I110" r:id="rId109" display="https://mem.gob.gt/que-hacemos/area-energetica/publicaciones/estadisticas/balance-energetico/"/>
    <hyperlink ref="I111" r:id="rId110" display="https://mem.gob.gt/que-hacemos/area-energetica/publicaciones/estadisticas/balance-energetico/"/>
    <hyperlink ref="I112" r:id="rId111" display="https://mem.gob.gt/que-hacemos/area-energetica/publicaciones/estadisticas/balance-energetico/"/>
    <hyperlink ref="I113" r:id="rId112" display="https://mem.gob.gt/que-hacemos/area-energetica/publicaciones/estadisticas/balance-energetico/"/>
    <hyperlink ref="I114" r:id="rId113" display="https://mem.gob.gt/que-hacemos/area-energetica/publicaciones/estadisticas/balance-energetico/"/>
    <hyperlink ref="I115" r:id="rId114" display="https://mem.gob.gt/que-hacemos/area-energetica/publicaciones/estadisticas/balance-energetico/"/>
    <hyperlink ref="I116" r:id="rId115" display="https://mem.gob.gt/que-hacemos/area-energetica/publicaciones/estadisticas/balance-energetico/"/>
    <hyperlink ref="I117" r:id="rId116" display="https://mem.gob.gt/que-hacemos/area-energetica/publicaciones/estadisticas/balance-energetico/"/>
    <hyperlink ref="I118" r:id="rId117" display="https://mem.gob.gt/que-hacemos/area-energetica/publicaciones/estadisticas/balance-energetico/"/>
    <hyperlink ref="I119" r:id="rId118" display="https://mem.gob.gt/que-hacemos/area-energetica/publicaciones/estadisticas/balance-energetico/"/>
    <hyperlink ref="I120" r:id="rId119" display="https://mem.gob.gt/que-hacemos/area-energetica/publicaciones/estadisticas/balance-energetico/"/>
    <hyperlink ref="I121" r:id="rId120" display="https://mem.gob.gt/que-hacemos/area-energetica/publicaciones/estadisticas/balance-energetico/"/>
    <hyperlink ref="I122" r:id="rId121" display="https://mem.gob.gt/que-hacemos/area-energetica/publicaciones/estadisticas/balance-energetico/"/>
    <hyperlink ref="I123" r:id="rId122" display="https://mem.gob.gt/que-hacemos/area-energetica/publicaciones/estadisticas/balance-energetico/"/>
    <hyperlink ref="I124" r:id="rId123" display="https://mem.gob.gt/que-hacemos/area-energetica/publicaciones/estadisticas/balance-energetico/"/>
    <hyperlink ref="I125" r:id="rId124" display="https://mem.gob.gt/que-hacemos/area-energetica/publicaciones/estadisticas/balance-energetico/"/>
    <hyperlink ref="I126" r:id="rId125" display="https://mem.gob.gt/que-hacemos/area-energetica/publicaciones/estadisticas/balance-energetico/"/>
    <hyperlink ref="I127" r:id="rId126" display="https://mem.gob.gt/que-hacemos/area-energetica/publicaciones/estadisticas/balance-energetico/"/>
    <hyperlink ref="I128" r:id="rId127" display="https://mem.gob.gt/que-hacemos/area-energetica/publicaciones/estadisticas/balance-energetico/"/>
    <hyperlink ref="I129" r:id="rId128" display="https://mem.gob.gt/que-hacemos/area-energetica/publicaciones/estadisticas/balance-energetico/"/>
    <hyperlink ref="I130" r:id="rId129" display="https://mem.gob.gt/que-hacemos/area-energetica/publicaciones/estadisticas/balance-energetico/"/>
    <hyperlink ref="I131" r:id="rId130" display="https://mem.gob.gt/que-hacemos/area-energetica/publicaciones/estadisticas/balance-energetico/"/>
    <hyperlink ref="I132" r:id="rId131" display="https://mem.gob.gt/que-hacemos/area-energetica/publicaciones/estadisticas/balance-energetico/"/>
    <hyperlink ref="I133" r:id="rId132" display="https://mem.gob.gt/que-hacemos/area-energetica/publicaciones/estadisticas/balance-energetico/"/>
    <hyperlink ref="I134" r:id="rId133" display="https://mem.gob.gt/que-hacemos/area-energetica/publicaciones/estadisticas/balance-energetico/"/>
    <hyperlink ref="I135" r:id="rId134" display="https://mem.gob.gt/que-hacemos/area-energetica/publicaciones/estadisticas/balance-energetico/"/>
    <hyperlink ref="I136" r:id="rId135" display="https://mem.gob.gt/que-hacemos/area-energetica/publicaciones/estadisticas/balance-energetico/"/>
    <hyperlink ref="I137" r:id="rId136" display="https://mem.gob.gt/que-hacemos/area-energetica/publicaciones/estadisticas/balance-energetico/"/>
    <hyperlink ref="I138" r:id="rId137" display="https://mem.gob.gt/que-hacemos/area-energetica/publicaciones/estadisticas/balance-energetico/"/>
    <hyperlink ref="I139" r:id="rId138" display="https://mem.gob.gt/que-hacemos/area-energetica/publicaciones/estadisticas/balance-energetico/"/>
    <hyperlink ref="I140" r:id="rId139" display="https://mem.gob.gt/que-hacemos/area-energetica/publicaciones/estadisticas/balance-energetico/"/>
    <hyperlink ref="I141" r:id="rId140" display="https://mem.gob.gt/que-hacemos/area-energetica/publicaciones/estadisticas/balance-energetico/"/>
    <hyperlink ref="I142" r:id="rId141" display="https://mem.gob.gt/que-hacemos/area-energetica/publicaciones/estadisticas/balance-energetico/"/>
    <hyperlink ref="I143" r:id="rId142" display="https://mem.gob.gt/que-hacemos/area-energetica/publicaciones/estadisticas/balance-energetico/"/>
    <hyperlink ref="I144" r:id="rId143" display="https://mem.gob.gt/que-hacemos/area-energetica/publicaciones/estadisticas/balance-energetico/"/>
    <hyperlink ref="I145" r:id="rId144" display="https://mem.gob.gt/que-hacemos/area-energetica/publicaciones/estadisticas/balance-energetico/"/>
    <hyperlink ref="I146" r:id="rId145" display="https://mem.gob.gt/que-hacemos/area-energetica/publicaciones/estadisticas/balance-energetico/"/>
    <hyperlink ref="I147" r:id="rId146" display="https://mem.gob.gt/que-hacemos/area-energetica/publicaciones/estadisticas/balance-energetico/"/>
    <hyperlink ref="I148" r:id="rId147" display="https://mem.gob.gt/que-hacemos/area-energetica/publicaciones/estadisticas/balance-energetico/"/>
    <hyperlink ref="I149" r:id="rId148" display="https://mem.gob.gt/que-hacemos/area-energetica/publicaciones/estadisticas/balance-energetico/"/>
    <hyperlink ref="I150" r:id="rId149" display="https://mem.gob.gt/que-hacemos/area-energetica/publicaciones/estadisticas/balance-energetico/"/>
    <hyperlink ref="I151" r:id="rId150" display="https://mem.gob.gt/que-hacemos/area-energetica/publicaciones/estadisticas/balance-energetico/"/>
    <hyperlink ref="I152" r:id="rId151" display="https://mem.gob.gt/que-hacemos/area-energetica/publicaciones/estadisticas/balance-energetico/"/>
    <hyperlink ref="I153" r:id="rId152" display="https://mem.gob.gt/que-hacemos/area-energetica/publicaciones/estadisticas/balance-energetico/"/>
    <hyperlink ref="I154" r:id="rId153" display="https://mem.gob.gt/que-hacemos/area-energetica/publicaciones/estadisticas/balance-energetico/"/>
    <hyperlink ref="I155" r:id="rId154" display="https://mem.gob.gt/que-hacemos/area-energetica/publicaciones/estadisticas/balance-energetico/"/>
    <hyperlink ref="I156" r:id="rId155" display="https://mem.gob.gt/que-hacemos/area-energetica/publicaciones/estadisticas/balance-energetico/"/>
    <hyperlink ref="I157" r:id="rId156" display="https://mem.gob.gt/que-hacemos/area-energetica/publicaciones/estadisticas/balance-energetico/"/>
    <hyperlink ref="I158" r:id="rId157" display="https://mem.gob.gt/que-hacemos/area-energetica/publicaciones/estadisticas/balance-energetico/"/>
    <hyperlink ref="I159" r:id="rId158" display="https://mem.gob.gt/que-hacemos/area-energetica/publicaciones/estadisticas/balance-energetico/"/>
    <hyperlink ref="I160" r:id="rId159" display="https://mem.gob.gt/que-hacemos/area-energetica/publicaciones/estadisticas/balance-energetico/"/>
    <hyperlink ref="I161" r:id="rId160" display="https://mem.gob.gt/que-hacemos/area-energetica/publicaciones/estadisticas/balance-energetico/"/>
    <hyperlink ref="I162" r:id="rId161" display="https://mem.gob.gt/que-hacemos/area-energetica/publicaciones/estadisticas/balance-energetico/"/>
    <hyperlink ref="I163" r:id="rId162" display="https://mem.gob.gt/que-hacemos/area-energetica/publicaciones/estadisticas/balance-energetico/"/>
    <hyperlink ref="I164" r:id="rId163" display="https://mem.gob.gt/que-hacemos/area-energetica/publicaciones/estadisticas/balance-energetico/"/>
    <hyperlink ref="I165" r:id="rId164" display="https://mem.gob.gt/que-hacemos/area-energetica/publicaciones/estadisticas/balance-energetico/"/>
    <hyperlink ref="I166" r:id="rId165" display="https://mem.gob.gt/que-hacemos/area-energetica/publicaciones/estadisticas/balance-energetico/"/>
    <hyperlink ref="I167" r:id="rId166" display="https://mem.gob.gt/que-hacemos/area-energetica/publicaciones/estadisticas/balance-energetico/"/>
    <hyperlink ref="I168" r:id="rId167" display="https://mem.gob.gt/que-hacemos/area-energetica/publicaciones/estadisticas/balance-energetico/"/>
    <hyperlink ref="I169" r:id="rId168" display="https://mem.gob.gt/que-hacemos/area-energetica/publicaciones/estadisticas/balance-energetico/"/>
    <hyperlink ref="I170" r:id="rId169" display="https://mem.gob.gt/que-hacemos/area-energetica/publicaciones/estadisticas/balance-energetico/"/>
    <hyperlink ref="I171" r:id="rId170" display="https://mem.gob.gt/que-hacemos/area-energetica/publicaciones/estadisticas/balance-energetico/"/>
    <hyperlink ref="I172" r:id="rId171" display="https://mem.gob.gt/que-hacemos/area-energetica/publicaciones/estadisticas/balance-energetico/"/>
    <hyperlink ref="I173" r:id="rId172" display="https://mem.gob.gt/que-hacemos/area-energetica/publicaciones/estadisticas/balance-energetico/"/>
    <hyperlink ref="I174" r:id="rId173" display="https://mem.gob.gt/que-hacemos/area-energetica/publicaciones/estadisticas/balance-energetico/"/>
    <hyperlink ref="I175" r:id="rId174" display="https://mem.gob.gt/que-hacemos/area-energetica/publicaciones/estadisticas/balance-energetico/"/>
    <hyperlink ref="I176" r:id="rId175" display="https://mem.gob.gt/que-hacemos/area-energetica/publicaciones/estadisticas/balance-energetico/"/>
    <hyperlink ref="I177" r:id="rId176" display="https://mem.gob.gt/que-hacemos/area-energetica/publicaciones/estadisticas/balance-energetico/"/>
    <hyperlink ref="I178" r:id="rId177" display="https://mem.gob.gt/que-hacemos/area-energetica/publicaciones/estadisticas/balance-energetico/"/>
    <hyperlink ref="I179" r:id="rId178" display="https://mem.gob.gt/que-hacemos/area-energetica/publicaciones/estadisticas/balance-energetico/"/>
    <hyperlink ref="I180" r:id="rId179" display="https://mem.gob.gt/que-hacemos/area-energetica/publicaciones/estadisticas/balance-energetico/"/>
    <hyperlink ref="I181" r:id="rId180" display="https://mem.gob.gt/que-hacemos/area-energetica/publicaciones/estadisticas/balance-energetico/"/>
    <hyperlink ref="I182" r:id="rId181" display="https://mem.gob.gt/que-hacemos/area-energetica/publicaciones/estadisticas/balance-energetico/"/>
    <hyperlink ref="I183" r:id="rId182" display="https://mem.gob.gt/que-hacemos/area-energetica/publicaciones/estadisticas/balance-energetico/"/>
    <hyperlink ref="I184" r:id="rId183" display="https://mem.gob.gt/que-hacemos/area-energetica/publicaciones/estadisticas/balance-energetico/"/>
    <hyperlink ref="I185" r:id="rId184" display="https://mem.gob.gt/que-hacemos/area-energetica/publicaciones/estadisticas/balance-energetico/"/>
    <hyperlink ref="I186" r:id="rId185" display="https://mem.gob.gt/que-hacemos/area-energetica/publicaciones/estadisticas/balance-energetico/"/>
    <hyperlink ref="I187" r:id="rId186" display="https://mem.gob.gt/que-hacemos/area-energetica/publicaciones/estadisticas/balance-energetico/"/>
    <hyperlink ref="I188" r:id="rId187" display="https://mem.gob.gt/que-hacemos/area-energetica/publicaciones/estadisticas/balance-energetico/"/>
    <hyperlink ref="I189" r:id="rId188" display="https://mem.gob.gt/que-hacemos/area-energetica/publicaciones/estadisticas/balance-energetico/"/>
    <hyperlink ref="I190" r:id="rId189" display="https://mem.gob.gt/que-hacemos/area-energetica/publicaciones/estadisticas/balance-energetico/"/>
    <hyperlink ref="I191" r:id="rId190" display="https://mem.gob.gt/que-hacemos/area-energetica/publicaciones/estadisticas/balance-energetico/"/>
    <hyperlink ref="I192" r:id="rId191" display="https://mem.gob.gt/que-hacemos/area-energetica/publicaciones/estadisticas/balance-energetico/"/>
    <hyperlink ref="I193" r:id="rId192" display="https://mem.gob.gt/que-hacemos/area-energetica/publicaciones/estadisticas/balance-energetico/"/>
    <hyperlink ref="I194" r:id="rId193" display="https://mem.gob.gt/que-hacemos/area-energetica/publicaciones/estadisticas/balance-energetico/"/>
    <hyperlink ref="I195" r:id="rId194" display="https://mem.gob.gt/que-hacemos/area-energetica/publicaciones/estadisticas/balance-energetico/"/>
    <hyperlink ref="I196" r:id="rId195" display="https://mem.gob.gt/que-hacemos/area-energetica/publicaciones/estadisticas/balance-energetico/"/>
    <hyperlink ref="I197" r:id="rId196" display="https://mem.gob.gt/que-hacemos/area-energetica/publicaciones/estadisticas/balance-energetico/"/>
    <hyperlink ref="I198" r:id="rId197" display="https://mem.gob.gt/que-hacemos/area-energetica/publicaciones/estadisticas/balance-energetico/"/>
    <hyperlink ref="I199" r:id="rId198" display="https://mem.gob.gt/que-hacemos/area-energetica/publicaciones/estadisticas/balance-energetico/"/>
    <hyperlink ref="I200" r:id="rId199" display="https://mem.gob.gt/que-hacemos/area-energetica/publicaciones/estadisticas/balance-energetico/"/>
    <hyperlink ref="I201" r:id="rId200" display="https://mem.gob.gt/que-hacemos/area-energetica/publicaciones/estadisticas/balance-energetico/"/>
    <hyperlink ref="I202" r:id="rId201" display="https://mem.gob.gt/que-hacemos/area-energetica/publicaciones/estadisticas/balance-energetico/"/>
    <hyperlink ref="I203" r:id="rId202" display="https://mem.gob.gt/que-hacemos/area-energetica/publicaciones/estadisticas/balance-energetico/"/>
    <hyperlink ref="I204" r:id="rId203" display="https://mem.gob.gt/que-hacemos/area-energetica/publicaciones/estadisticas/balance-energetico/"/>
    <hyperlink ref="I205" r:id="rId204" display="https://mem.gob.gt/que-hacemos/area-energetica/publicaciones/estadisticas/balance-energetico/"/>
    <hyperlink ref="I206" r:id="rId205" display="https://mem.gob.gt/que-hacemos/area-energetica/publicaciones/estadisticas/balance-energetico/"/>
    <hyperlink ref="I207" r:id="rId206" display="https://mem.gob.gt/que-hacemos/area-energetica/publicaciones/estadisticas/balance-energetico/"/>
    <hyperlink ref="I208" r:id="rId207" display="https://mem.gob.gt/que-hacemos/area-energetica/publicaciones/estadisticas/balance-energetico/"/>
    <hyperlink ref="I209" r:id="rId208" display="https://mem.gob.gt/que-hacemos/area-energetica/publicaciones/estadisticas/balance-energetico/"/>
    <hyperlink ref="I210" r:id="rId209" display="https://mem.gob.gt/que-hacemos/area-energetica/publicaciones/estadisticas/balance-energetico/"/>
    <hyperlink ref="I211" r:id="rId210" display="https://mem.gob.gt/que-hacemos/area-energetica/publicaciones/estadisticas/balance-energetico/"/>
    <hyperlink ref="I212" r:id="rId211" display="https://mem.gob.gt/que-hacemos/area-energetica/publicaciones/estadisticas/balance-energetico/"/>
    <hyperlink ref="I213" r:id="rId212" display="https://mem.gob.gt/que-hacemos/area-energetica/publicaciones/estadisticas/balance-energetico/"/>
    <hyperlink ref="I214" r:id="rId213" display="https://mem.gob.gt/que-hacemos/area-energetica/publicaciones/estadisticas/balance-energetico/"/>
    <hyperlink ref="I215" r:id="rId214" display="https://mem.gob.gt/que-hacemos/area-energetica/publicaciones/estadisticas/balance-energetico/"/>
    <hyperlink ref="I216" r:id="rId215" display="https://mem.gob.gt/que-hacemos/area-energetica/publicaciones/estadisticas/balance-energetico/"/>
    <hyperlink ref="I217" r:id="rId216" display="https://mem.gob.gt/que-hacemos/area-energetica/publicaciones/estadisticas/balance-energetico/"/>
    <hyperlink ref="I218" r:id="rId217" display="https://mem.gob.gt/que-hacemos/area-energetica/publicaciones/estadisticas/balance-energetico/"/>
    <hyperlink ref="I219" r:id="rId218" display="https://mem.gob.gt/que-hacemos/area-energetica/publicaciones/estadisticas/balance-energetico/"/>
    <hyperlink ref="I220" r:id="rId219" display="https://mem.gob.gt/que-hacemos/area-energetica/publicaciones/estadisticas/balance-energetico/"/>
    <hyperlink ref="I221" r:id="rId220" display="https://mem.gob.gt/que-hacemos/area-energetica/publicaciones/estadisticas/balance-energetico/"/>
    <hyperlink ref="I222" r:id="rId221" display="https://mem.gob.gt/que-hacemos/area-energetica/publicaciones/estadisticas/balance-energetico/"/>
    <hyperlink ref="I223" r:id="rId222" display="https://mem.gob.gt/que-hacemos/area-energetica/publicaciones/estadisticas/balance-energetico/"/>
    <hyperlink ref="I224" r:id="rId223" display="https://mem.gob.gt/que-hacemos/area-energetica/publicaciones/estadisticas/balance-energetico/"/>
    <hyperlink ref="I225" r:id="rId224" display="https://mem.gob.gt/que-hacemos/area-energetica/publicaciones/estadisticas/balance-energetico/"/>
    <hyperlink ref="I226" r:id="rId225" display="https://mem.gob.gt/que-hacemos/area-energetica/publicaciones/estadisticas/balance-energetico/"/>
    <hyperlink ref="I227" r:id="rId226" display="https://mem.gob.gt/que-hacemos/area-energetica/publicaciones/estadisticas/balance-energetico/"/>
    <hyperlink ref="I228" r:id="rId227" display="https://mem.gob.gt/que-hacemos/area-energetica/publicaciones/estadisticas/balance-energetico/"/>
    <hyperlink ref="I229" r:id="rId228" display="https://mem.gob.gt/que-hacemos/area-energetica/publicaciones/estadisticas/balance-energetico/"/>
    <hyperlink ref="I230" r:id="rId229" display="https://mem.gob.gt/que-hacemos/area-energetica/publicaciones/estadisticas/balance-energetico/"/>
    <hyperlink ref="I231" r:id="rId230" display="https://mem.gob.gt/que-hacemos/area-energetica/publicaciones/estadisticas/balance-energetico/"/>
    <hyperlink ref="I232" r:id="rId231" display="https://mem.gob.gt/que-hacemos/area-energetica/publicaciones/estadisticas/balance-energetico/"/>
    <hyperlink ref="I233" r:id="rId232" display="https://mem.gob.gt/que-hacemos/area-energetica/publicaciones/estadisticas/balance-energetico/"/>
    <hyperlink ref="I234" r:id="rId233" display="https://mem.gob.gt/que-hacemos/area-energetica/publicaciones/estadisticas/balance-energetico/"/>
    <hyperlink ref="I235" r:id="rId234" display="https://mem.gob.gt/que-hacemos/area-energetica/publicaciones/estadisticas/balance-energetico/"/>
    <hyperlink ref="I236" r:id="rId235" display="https://mem.gob.gt/que-hacemos/area-energetica/publicaciones/estadisticas/balance-energetico/"/>
    <hyperlink ref="I237" r:id="rId236" display="https://mem.gob.gt/que-hacemos/area-energetica/publicaciones/estadisticas/balance-energetico/"/>
    <hyperlink ref="I238" r:id="rId237" display="https://mem.gob.gt/que-hacemos/area-energetica/publicaciones/estadisticas/balance-energetico/"/>
    <hyperlink ref="I239" r:id="rId238" display="https://mem.gob.gt/que-hacemos/area-energetica/publicaciones/estadisticas/balance-energetico/"/>
    <hyperlink ref="I240" r:id="rId239" display="https://mem.gob.gt/que-hacemos/area-energetica/publicaciones/estadisticas/balance-energetico/"/>
    <hyperlink ref="I241" r:id="rId240" display="https://mem.gob.gt/que-hacemos/area-energetica/publicaciones/estadisticas/balance-energetico/"/>
    <hyperlink ref="I242" r:id="rId241" display="https://mem.gob.gt/que-hacemos/area-energetica/publicaciones/estadisticas/balance-energetico/"/>
    <hyperlink ref="I243" r:id="rId242" display="https://mem.gob.gt/que-hacemos/area-energetica/publicaciones/estadisticas/balance-energetico/"/>
    <hyperlink ref="I244" r:id="rId243" display="https://mem.gob.gt/que-hacemos/area-energetica/publicaciones/estadisticas/balance-energetico/"/>
    <hyperlink ref="I245" r:id="rId244" display="https://mem.gob.gt/que-hacemos/area-energetica/publicaciones/estadisticas/balance-energetico/"/>
    <hyperlink ref="I246" r:id="rId245" display="https://mem.gob.gt/que-hacemos/area-energetica/publicaciones/estadisticas/balance-energetico/"/>
    <hyperlink ref="I247" r:id="rId246" display="https://mem.gob.gt/que-hacemos/area-energetica/publicaciones/estadisticas/balance-energetico/"/>
    <hyperlink ref="I248" r:id="rId247" display="https://mem.gob.gt/que-hacemos/area-energetica/publicaciones/estadisticas/balance-energetico/"/>
    <hyperlink ref="I249" r:id="rId248" display="https://mem.gob.gt/que-hacemos/area-energetica/publicaciones/estadisticas/balance-energetico/"/>
    <hyperlink ref="I250" r:id="rId249" display="https://mem.gob.gt/que-hacemos/area-energetica/publicaciones/estadisticas/balance-energetico/"/>
    <hyperlink ref="I251" r:id="rId250" display="https://mem.gob.gt/que-hacemos/area-energetica/publicaciones/estadisticas/balance-energetico/"/>
    <hyperlink ref="I252" r:id="rId251" display="https://mem.gob.gt/que-hacemos/area-energetica/publicaciones/estadisticas/balance-energetico/"/>
    <hyperlink ref="I253" r:id="rId252" display="https://mem.gob.gt/que-hacemos/area-energetica/publicaciones/estadisticas/balance-energetico/"/>
    <hyperlink ref="I254" r:id="rId253" display="https://mem.gob.gt/que-hacemos/area-energetica/publicaciones/estadisticas/balance-energetico/"/>
    <hyperlink ref="I255" r:id="rId254" display="https://mem.gob.gt/que-hacemos/area-energetica/publicaciones/estadisticas/balance-energetico/"/>
    <hyperlink ref="I256" r:id="rId255" display="https://mem.gob.gt/que-hacemos/area-energetica/publicaciones/estadisticas/balance-energetico/"/>
    <hyperlink ref="I257" r:id="rId256" display="https://mem.gob.gt/que-hacemos/area-energetica/publicaciones/estadisticas/balance-energetico/"/>
    <hyperlink ref="I258" r:id="rId257" display="https://mem.gob.gt/que-hacemos/area-energetica/publicaciones/estadisticas/balance-energetico/"/>
    <hyperlink ref="I259" r:id="rId258" display="https://mem.gob.gt/que-hacemos/area-energetica/publicaciones/estadisticas/balance-energetico/"/>
    <hyperlink ref="I260" r:id="rId259" display="https://mem.gob.gt/que-hacemos/area-energetica/publicaciones/estadisticas/balance-energetico/"/>
    <hyperlink ref="I261" r:id="rId260" display="https://mem.gob.gt/que-hacemos/area-energetica/publicaciones/estadisticas/balance-energetico/"/>
    <hyperlink ref="I262" r:id="rId261" display="https://mem.gob.gt/que-hacemos/area-energetica/publicaciones/estadisticas/balance-energetico/"/>
    <hyperlink ref="I263" r:id="rId262" display="https://mem.gob.gt/que-hacemos/area-energetica/publicaciones/estadisticas/balance-energetico/"/>
    <hyperlink ref="I264" r:id="rId263" display="https://mem.gob.gt/que-hacemos/area-energetica/publicaciones/estadisticas/balance-energetico/"/>
    <hyperlink ref="I265" r:id="rId264" display="https://mem.gob.gt/que-hacemos/area-energetica/publicaciones/estadisticas/balance-energetico/"/>
    <hyperlink ref="I266" r:id="rId265" display="https://mem.gob.gt/que-hacemos/area-energetica/publicaciones/estadisticas/balance-energetico/"/>
    <hyperlink ref="I267" r:id="rId266" display="https://mem.gob.gt/que-hacemos/area-energetica/publicaciones/estadisticas/balance-energetico/"/>
    <hyperlink ref="I268" r:id="rId267" display="https://mem.gob.gt/que-hacemos/area-energetica/publicaciones/estadisticas/balance-energetico/"/>
    <hyperlink ref="I269" r:id="rId268" display="https://mem.gob.gt/que-hacemos/area-energetica/publicaciones/estadisticas/balance-energetico/"/>
    <hyperlink ref="I270" r:id="rId269" display="https://mem.gob.gt/que-hacemos/area-energetica/publicaciones/estadisticas/balance-energetico/"/>
    <hyperlink ref="I271" r:id="rId270" display="https://mem.gob.gt/que-hacemos/area-energetica/publicaciones/estadisticas/balance-energetico/"/>
    <hyperlink ref="I272" r:id="rId271" display="https://mem.gob.gt/que-hacemos/area-energetica/publicaciones/estadisticas/balance-energetico/"/>
    <hyperlink ref="I273" r:id="rId272" display="https://mem.gob.gt/que-hacemos/area-energetica/publicaciones/estadisticas/balance-energetico/"/>
    <hyperlink ref="I274" r:id="rId273" display="https://mem.gob.gt/que-hacemos/area-energetica/publicaciones/estadisticas/balance-energetico/"/>
    <hyperlink ref="I275" r:id="rId274" display="https://mem.gob.gt/que-hacemos/area-energetica/publicaciones/estadisticas/balance-energetico/"/>
    <hyperlink ref="I276" r:id="rId275" display="https://mem.gob.gt/que-hacemos/area-energetica/publicaciones/estadisticas/balance-energetico/"/>
    <hyperlink ref="I277" r:id="rId276" display="https://mem.gob.gt/que-hacemos/area-energetica/publicaciones/estadisticas/balance-energetico/"/>
    <hyperlink ref="I278" r:id="rId277" display="https://mem.gob.gt/que-hacemos/area-energetica/publicaciones/estadisticas/balance-energetico/"/>
    <hyperlink ref="I279" r:id="rId278" display="https://mem.gob.gt/que-hacemos/area-energetica/publicaciones/estadisticas/balance-energetico/"/>
    <hyperlink ref="I280" r:id="rId279" display="https://mem.gob.gt/que-hacemos/area-energetica/publicaciones/estadisticas/balance-energetico/"/>
    <hyperlink ref="I281" r:id="rId280" display="https://mem.gob.gt/que-hacemos/area-energetica/publicaciones/estadisticas/balance-energetico/"/>
    <hyperlink ref="I282" r:id="rId281" display="https://mem.gob.gt/que-hacemos/area-energetica/publicaciones/estadisticas/balance-energetico/"/>
    <hyperlink ref="I283" r:id="rId282" display="https://mem.gob.gt/que-hacemos/area-energetica/publicaciones/estadisticas/balance-energetico/"/>
    <hyperlink ref="I284" r:id="rId283" display="https://mem.gob.gt/que-hacemos/area-energetica/publicaciones/estadisticas/balance-energetico/"/>
    <hyperlink ref="I285" r:id="rId284" display="https://mem.gob.gt/que-hacemos/area-energetica/publicaciones/estadisticas/balance-energetico/"/>
    <hyperlink ref="I286" r:id="rId285" display="https://mem.gob.gt/que-hacemos/area-energetica/publicaciones/estadisticas/balance-energetico/"/>
    <hyperlink ref="I287" r:id="rId286" display="https://mem.gob.gt/que-hacemos/area-energetica/publicaciones/estadisticas/balance-energetico/"/>
    <hyperlink ref="I288" r:id="rId287" display="https://mem.gob.gt/que-hacemos/area-energetica/publicaciones/estadisticas/balance-energetico/"/>
    <hyperlink ref="I289" r:id="rId288" display="https://mem.gob.gt/que-hacemos/area-energetica/publicaciones/estadisticas/balance-energetico/"/>
    <hyperlink ref="I290" r:id="rId289" display="https://mem.gob.gt/que-hacemos/area-energetica/publicaciones/estadisticas/balance-energetico/"/>
    <hyperlink ref="I291" r:id="rId290" display="https://mem.gob.gt/que-hacemos/area-energetica/publicaciones/estadisticas/balance-energetico/"/>
    <hyperlink ref="I292" r:id="rId291" display="https://mem.gob.gt/que-hacemos/area-energetica/publicaciones/estadisticas/balance-energetico/"/>
    <hyperlink ref="I293" r:id="rId292" display="https://mem.gob.gt/que-hacemos/area-energetica/publicaciones/estadisticas/balance-energetico/"/>
    <hyperlink ref="I294" r:id="rId293" display="https://mem.gob.gt/que-hacemos/area-energetica/publicaciones/estadisticas/balance-energetico/"/>
    <hyperlink ref="I295" r:id="rId294" display="https://mem.gob.gt/que-hacemos/area-energetica/publicaciones/estadisticas/balance-energetico/"/>
    <hyperlink ref="I296" r:id="rId295" display="https://mem.gob.gt/que-hacemos/area-energetica/publicaciones/estadisticas/balance-energetico/"/>
    <hyperlink ref="I297" r:id="rId296" display="https://mem.gob.gt/que-hacemos/area-energetica/publicaciones/estadisticas/balance-energetico/"/>
    <hyperlink ref="I298" r:id="rId297" display="https://mem.gob.gt/que-hacemos/area-energetica/publicaciones/estadisticas/balance-energetico/"/>
    <hyperlink ref="I299" r:id="rId298" display="https://mem.gob.gt/que-hacemos/area-energetica/publicaciones/estadisticas/balance-energetico/"/>
    <hyperlink ref="I300" r:id="rId299" display="https://mem.gob.gt/que-hacemos/area-energetica/publicaciones/estadisticas/balance-energetico/"/>
    <hyperlink ref="I301" r:id="rId300" display="https://mem.gob.gt/que-hacemos/area-energetica/publicaciones/estadisticas/balance-energetico/"/>
    <hyperlink ref="I302" r:id="rId301" display="https://mem.gob.gt/que-hacemos/area-energetica/publicaciones/estadisticas/balance-energetico/"/>
    <hyperlink ref="I303" r:id="rId302" display="https://mem.gob.gt/que-hacemos/area-energetica/publicaciones/estadisticas/balance-energetico/"/>
    <hyperlink ref="I304" r:id="rId303" display="https://mem.gob.gt/que-hacemos/area-energetica/publicaciones/estadisticas/balance-energetico/"/>
    <hyperlink ref="I305" r:id="rId304" display="https://mem.gob.gt/que-hacemos/area-energetica/publicaciones/estadisticas/balance-energetico/"/>
    <hyperlink ref="I306" r:id="rId305" display="https://mem.gob.gt/que-hacemos/area-energetica/publicaciones/estadisticas/balance-energetico/"/>
    <hyperlink ref="I307" r:id="rId306" display="https://mem.gob.gt/que-hacemos/area-energetica/publicaciones/estadisticas/balance-energetico/"/>
    <hyperlink ref="I308" r:id="rId307" display="https://mem.gob.gt/que-hacemos/area-energetica/publicaciones/estadisticas/balance-energetico/"/>
    <hyperlink ref="I309" r:id="rId308" display="https://mem.gob.gt/que-hacemos/area-energetica/publicaciones/estadisticas/balance-energetico/"/>
    <hyperlink ref="I310" r:id="rId309" display="https://mem.gob.gt/que-hacemos/area-energetica/publicaciones/estadisticas/balance-energetico/"/>
    <hyperlink ref="I311" r:id="rId310" display="https://mem.gob.gt/que-hacemos/area-energetica/publicaciones/estadisticas/balance-energetico/"/>
    <hyperlink ref="I312" r:id="rId311" display="https://mem.gob.gt/que-hacemos/area-energetica/publicaciones/estadisticas/balance-energetico/"/>
    <hyperlink ref="I313" r:id="rId312" display="https://mem.gob.gt/que-hacemos/area-energetica/publicaciones/estadisticas/balance-energetico/"/>
    <hyperlink ref="I314" r:id="rId313" display="https://mem.gob.gt/que-hacemos/area-energetica/publicaciones/estadisticas/balance-energetico/"/>
    <hyperlink ref="I315" r:id="rId314" display="https://mem.gob.gt/que-hacemos/area-energetica/publicaciones/estadisticas/balance-energetico/"/>
    <hyperlink ref="I316" r:id="rId315" display="https://mem.gob.gt/que-hacemos/area-energetica/publicaciones/estadisticas/balance-energetico/"/>
    <hyperlink ref="I317" r:id="rId316" display="https://mem.gob.gt/que-hacemos/area-energetica/publicaciones/estadisticas/balance-energetico/"/>
    <hyperlink ref="I318" r:id="rId317" display="https://mem.gob.gt/que-hacemos/area-energetica/publicaciones/estadisticas/balance-energetico/"/>
    <hyperlink ref="I319" r:id="rId318" display="https://mem.gob.gt/que-hacemos/area-energetica/publicaciones/estadisticas/balance-energetico/"/>
    <hyperlink ref="I320" r:id="rId319" display="https://mem.gob.gt/que-hacemos/area-energetica/publicaciones/estadisticas/balance-energetico/"/>
    <hyperlink ref="I321" r:id="rId320" display="https://mem.gob.gt/que-hacemos/area-energetica/publicaciones/estadisticas/balance-energetico/"/>
    <hyperlink ref="I322" r:id="rId321" display="https://mem.gob.gt/que-hacemos/area-energetica/publicaciones/estadisticas/balance-energetico/"/>
    <hyperlink ref="I323" r:id="rId322" display="https://mem.gob.gt/que-hacemos/area-energetica/publicaciones/estadisticas/balance-energetico/"/>
    <hyperlink ref="I324" r:id="rId323" display="https://mem.gob.gt/que-hacemos/area-energetica/publicaciones/estadisticas/balance-energetico/"/>
    <hyperlink ref="I325" r:id="rId324" display="https://mem.gob.gt/que-hacemos/area-energetica/publicaciones/estadisticas/balance-energetico/"/>
    <hyperlink ref="I326" r:id="rId325" display="https://mem.gob.gt/que-hacemos/area-energetica/publicaciones/estadisticas/balance-energetico/"/>
    <hyperlink ref="I327" r:id="rId326" display="https://mem.gob.gt/que-hacemos/area-energetica/publicaciones/estadisticas/balance-energetico/"/>
    <hyperlink ref="I328" r:id="rId327" display="https://mem.gob.gt/que-hacemos/area-energetica/publicaciones/estadisticas/balance-energetico/"/>
    <hyperlink ref="I329" r:id="rId328" display="https://mem.gob.gt/que-hacemos/area-energetica/publicaciones/estadisticas/balance-energetico/"/>
    <hyperlink ref="I330" r:id="rId329" display="https://mem.gob.gt/que-hacemos/area-energetica/publicaciones/estadisticas/balance-energetico/"/>
    <hyperlink ref="I331" r:id="rId330" display="https://mem.gob.gt/que-hacemos/area-energetica/publicaciones/estadisticas/balance-energetico/"/>
    <hyperlink ref="I332" r:id="rId331" display="https://mem.gob.gt/que-hacemos/area-energetica/publicaciones/estadisticas/balance-energetico/"/>
    <hyperlink ref="I333" r:id="rId332" display="https://mem.gob.gt/que-hacemos/area-energetica/publicaciones/estadisticas/balance-energetico/"/>
    <hyperlink ref="I334" r:id="rId333" display="https://mem.gob.gt/que-hacemos/area-energetica/publicaciones/estadisticas/balance-energetico/"/>
    <hyperlink ref="I335" r:id="rId334" display="https://mem.gob.gt/que-hacemos/area-energetica/publicaciones/estadisticas/balance-energetico/"/>
    <hyperlink ref="I336" r:id="rId335" display="https://mem.gob.gt/que-hacemos/area-energetica/publicaciones/estadisticas/balance-energetico/"/>
    <hyperlink ref="I337" r:id="rId336" display="https://mem.gob.gt/que-hacemos/area-energetica/publicaciones/estadisticas/balance-energetico/"/>
    <hyperlink ref="I338" r:id="rId337" display="https://mem.gob.gt/que-hacemos/area-energetica/publicaciones/estadisticas/balance-energetico/"/>
    <hyperlink ref="I339" r:id="rId338" display="https://mem.gob.gt/que-hacemos/area-energetica/publicaciones/estadisticas/balance-energetico/"/>
    <hyperlink ref="I340" r:id="rId339" display="https://mem.gob.gt/que-hacemos/area-energetica/publicaciones/estadisticas/balance-energetico/"/>
    <hyperlink ref="I341" r:id="rId340" display="https://mem.gob.gt/que-hacemos/area-energetica/publicaciones/estadisticas/balance-energetico/"/>
    <hyperlink ref="I342" r:id="rId341" display="https://mem.gob.gt/que-hacemos/area-energetica/publicaciones/estadisticas/balance-energetico/"/>
    <hyperlink ref="I343" r:id="rId342" display="https://mem.gob.gt/que-hacemos/area-energetica/publicaciones/estadisticas/balance-energetico/"/>
    <hyperlink ref="I344" r:id="rId343" display="https://mem.gob.gt/que-hacemos/area-energetica/publicaciones/estadisticas/balance-energetico/"/>
    <hyperlink ref="I345" r:id="rId344" display="https://mem.gob.gt/que-hacemos/area-energetica/publicaciones/estadisticas/balance-energetico/"/>
    <hyperlink ref="I346" r:id="rId345" display="https://mem.gob.gt/que-hacemos/area-energetica/publicaciones/estadisticas/balance-energetico/"/>
    <hyperlink ref="I347" r:id="rId346" display="https://mem.gob.gt/que-hacemos/area-energetica/publicaciones/estadisticas/balance-energetico/"/>
    <hyperlink ref="I348" r:id="rId347" display="https://mem.gob.gt/que-hacemos/area-energetica/publicaciones/estadisticas/balance-energetico/"/>
    <hyperlink ref="I349" r:id="rId348" display="https://mem.gob.gt/que-hacemos/area-energetica/publicaciones/estadisticas/balance-energetico/"/>
    <hyperlink ref="I350" r:id="rId349" display="https://mem.gob.gt/que-hacemos/area-energetica/publicaciones/estadisticas/balance-energetico/"/>
    <hyperlink ref="I351" r:id="rId350" display="https://mem.gob.gt/que-hacemos/area-energetica/publicaciones/estadisticas/balance-energetico/"/>
    <hyperlink ref="I352" r:id="rId351" display="https://mem.gob.gt/que-hacemos/area-energetica/publicaciones/estadisticas/balance-energetico/"/>
    <hyperlink ref="I353" r:id="rId352" display="https://mem.gob.gt/que-hacemos/area-energetica/publicaciones/estadisticas/balance-energetico/"/>
    <hyperlink ref="I354" r:id="rId353" display="https://mem.gob.gt/que-hacemos/area-energetica/publicaciones/estadisticas/balance-energetico/"/>
    <hyperlink ref="I355" r:id="rId354" display="https://mem.gob.gt/que-hacemos/area-energetica/publicaciones/estadisticas/balance-energetico/"/>
    <hyperlink ref="I356" r:id="rId355" display="https://mem.gob.gt/que-hacemos/area-energetica/publicaciones/estadisticas/balance-energetico/"/>
    <hyperlink ref="I357" r:id="rId356" display="https://mem.gob.gt/que-hacemos/area-energetica/publicaciones/estadisticas/balance-energetico/"/>
    <hyperlink ref="I358" r:id="rId357" display="https://mem.gob.gt/que-hacemos/area-energetica/publicaciones/estadisticas/balance-energetico/"/>
    <hyperlink ref="I359" r:id="rId358" display="https://mem.gob.gt/que-hacemos/area-energetica/publicaciones/estadisticas/balance-energetico/"/>
    <hyperlink ref="I360" r:id="rId359" display="https://mem.gob.gt/que-hacemos/area-energetica/publicaciones/estadisticas/balance-energetico/"/>
    <hyperlink ref="I361" r:id="rId360" display="https://mem.gob.gt/que-hacemos/area-energetica/publicaciones/estadisticas/balance-energetico/"/>
    <hyperlink ref="I362" r:id="rId361" display="https://mem.gob.gt/que-hacemos/area-energetica/publicaciones/estadisticas/balance-energetico/"/>
    <hyperlink ref="I363" r:id="rId362" display="https://mem.gob.gt/que-hacemos/area-energetica/publicaciones/estadisticas/balance-energetico/"/>
    <hyperlink ref="I364" r:id="rId363" display="https://mem.gob.gt/que-hacemos/area-energetica/publicaciones/estadisticas/balance-energetico/"/>
    <hyperlink ref="I365" r:id="rId364" display="https://mem.gob.gt/que-hacemos/area-energetica/publicaciones/estadisticas/balance-energetico/"/>
    <hyperlink ref="I366" r:id="rId365" display="https://mem.gob.gt/que-hacemos/area-energetica/publicaciones/estadisticas/balance-energetico/"/>
    <hyperlink ref="I367" r:id="rId366" display="https://mem.gob.gt/que-hacemos/area-energetica/publicaciones/estadisticas/balance-energetico/"/>
    <hyperlink ref="I368" r:id="rId367" display="https://mem.gob.gt/que-hacemos/area-energetica/publicaciones/estadisticas/balance-energetico/"/>
    <hyperlink ref="I369" r:id="rId368" display="https://mem.gob.gt/que-hacemos/area-energetica/publicaciones/estadisticas/balance-energetico/"/>
    <hyperlink ref="I370" r:id="rId369" display="https://mem.gob.gt/que-hacemos/area-energetica/publicaciones/estadisticas/balance-energetico/"/>
    <hyperlink ref="I371" r:id="rId370" display="https://mem.gob.gt/que-hacemos/area-energetica/publicaciones/estadisticas/balance-energetico/"/>
    <hyperlink ref="I372" r:id="rId371" display="https://mem.gob.gt/que-hacemos/area-energetica/publicaciones/estadisticas/balance-energetico/"/>
    <hyperlink ref="I373" r:id="rId372" display="https://mem.gob.gt/que-hacemos/area-energetica/publicaciones/estadisticas/balance-energetico/"/>
    <hyperlink ref="I374" r:id="rId373" display="https://mem.gob.gt/que-hacemos/area-energetica/publicaciones/estadisticas/balance-energetico/"/>
    <hyperlink ref="I375" r:id="rId374" display="https://mem.gob.gt/que-hacemos/area-energetica/publicaciones/estadisticas/balance-energetico/"/>
    <hyperlink ref="I376" r:id="rId375" display="https://mem.gob.gt/que-hacemos/area-energetica/publicaciones/estadisticas/balance-energetico/"/>
    <hyperlink ref="I377" r:id="rId376" display="https://mem.gob.gt/que-hacemos/area-energetica/publicaciones/estadisticas/balance-energetico/"/>
    <hyperlink ref="I378" r:id="rId377" display="https://mem.gob.gt/que-hacemos/area-energetica/publicaciones/estadisticas/balance-energetico/"/>
    <hyperlink ref="I379" r:id="rId378" display="https://mem.gob.gt/que-hacemos/area-energetica/publicaciones/estadisticas/balance-energetico/"/>
    <hyperlink ref="I380" r:id="rId379" display="https://mem.gob.gt/que-hacemos/area-energetica/publicaciones/estadisticas/balance-energetico/"/>
    <hyperlink ref="I381" r:id="rId380" display="https://mem.gob.gt/que-hacemos/area-energetica/publicaciones/estadisticas/balance-energetico/"/>
    <hyperlink ref="I382" r:id="rId381" display="https://mem.gob.gt/que-hacemos/area-energetica/publicaciones/estadisticas/balance-energetico/"/>
    <hyperlink ref="I383" r:id="rId382" display="https://mem.gob.gt/que-hacemos/area-energetica/publicaciones/estadisticas/balance-energetico/"/>
    <hyperlink ref="I384" r:id="rId383" display="https://mem.gob.gt/que-hacemos/area-energetica/publicaciones/estadisticas/balance-energetico/"/>
    <hyperlink ref="I385" r:id="rId384" display="https://mem.gob.gt/que-hacemos/area-energetica/publicaciones/estadisticas/balance-energetico/"/>
    <hyperlink ref="I386" r:id="rId385" display="https://mem.gob.gt/que-hacemos/area-energetica/publicaciones/estadisticas/balance-energetico/"/>
    <hyperlink ref="I387" r:id="rId386" display="https://mem.gob.gt/que-hacemos/area-energetica/publicaciones/estadisticas/balance-energetico/"/>
    <hyperlink ref="I388" r:id="rId387" display="https://mem.gob.gt/que-hacemos/area-energetica/publicaciones/estadisticas/balance-energetico/"/>
    <hyperlink ref="I389" r:id="rId388" display="https://mem.gob.gt/que-hacemos/area-energetica/publicaciones/estadisticas/balance-energetico/"/>
    <hyperlink ref="I390" r:id="rId389" display="https://mem.gob.gt/que-hacemos/area-energetica/publicaciones/estadisticas/balance-energetico/"/>
    <hyperlink ref="I391" r:id="rId390" display="https://mem.gob.gt/que-hacemos/area-energetica/publicaciones/estadisticas/balance-energetico/"/>
    <hyperlink ref="I392" r:id="rId391" display="https://mem.gob.gt/que-hacemos/area-energetica/publicaciones/estadisticas/balance-energetico/"/>
    <hyperlink ref="I393" r:id="rId392" display="https://mem.gob.gt/que-hacemos/area-energetica/publicaciones/estadisticas/balance-energetico/"/>
    <hyperlink ref="I394" r:id="rId393" display="https://mem.gob.gt/que-hacemos/area-energetica/publicaciones/estadisticas/balance-energetico/"/>
    <hyperlink ref="I395" r:id="rId394" display="https://mem.gob.gt/que-hacemos/area-energetica/publicaciones/estadisticas/balance-energetico/"/>
    <hyperlink ref="I396" r:id="rId395" display="https://mem.gob.gt/que-hacemos/area-energetica/publicaciones/estadisticas/balance-energetico/"/>
    <hyperlink ref="I397" r:id="rId396" display="https://mem.gob.gt/que-hacemos/area-energetica/publicaciones/estadisticas/balance-energetico/"/>
    <hyperlink ref="I398" r:id="rId397" display="https://mem.gob.gt/que-hacemos/area-energetica/publicaciones/estadisticas/balance-energetico/"/>
    <hyperlink ref="I399" r:id="rId398" display="https://mem.gob.gt/que-hacemos/area-energetica/publicaciones/estadisticas/balance-energetico/"/>
    <hyperlink ref="I400" r:id="rId399" display="https://mem.gob.gt/que-hacemos/area-energetica/publicaciones/estadisticas/balance-energetico/"/>
    <hyperlink ref="I401" r:id="rId400" display="https://mem.gob.gt/que-hacemos/area-energetica/publicaciones/estadisticas/balance-energetico/"/>
    <hyperlink ref="I402" r:id="rId401" display="https://mem.gob.gt/que-hacemos/area-energetica/publicaciones/estadisticas/balance-energetico/"/>
    <hyperlink ref="I403" r:id="rId402" display="https://mem.gob.gt/que-hacemos/area-energetica/publicaciones/estadisticas/balance-energetico/"/>
    <hyperlink ref="I404" r:id="rId403" display="https://mem.gob.gt/que-hacemos/area-energetica/publicaciones/estadisticas/balance-energetico/"/>
    <hyperlink ref="I405" r:id="rId404" display="https://mem.gob.gt/que-hacemos/area-energetica/publicaciones/estadisticas/balance-energetico/"/>
    <hyperlink ref="I406" r:id="rId405" display="https://mem.gob.gt/que-hacemos/area-energetica/publicaciones/estadisticas/balance-energetico/"/>
    <hyperlink ref="I407" r:id="rId406" display="https://mem.gob.gt/que-hacemos/area-energetica/publicaciones/estadisticas/balance-energetico/"/>
    <hyperlink ref="I408" r:id="rId407" display="https://mem.gob.gt/que-hacemos/area-energetica/publicaciones/estadisticas/balance-energetico/"/>
    <hyperlink ref="I409" r:id="rId408" display="https://mem.gob.gt/que-hacemos/area-energetica/publicaciones/estadisticas/balance-energetico/"/>
    <hyperlink ref="I410" r:id="rId409" display="https://mem.gob.gt/que-hacemos/area-energetica/publicaciones/estadisticas/balance-energetico/"/>
    <hyperlink ref="I411" r:id="rId410" display="https://mem.gob.gt/que-hacemos/area-energetica/publicaciones/estadisticas/balance-energetico/"/>
    <hyperlink ref="I412" r:id="rId411" display="https://mem.gob.gt/que-hacemos/area-energetica/publicaciones/estadisticas/balance-energetico/"/>
    <hyperlink ref="I413" r:id="rId412" display="https://mem.gob.gt/que-hacemos/area-energetica/publicaciones/estadisticas/balance-energetico/"/>
    <hyperlink ref="I414" r:id="rId413" display="https://mem.gob.gt/que-hacemos/area-energetica/publicaciones/estadisticas/balance-energetico/"/>
    <hyperlink ref="I415" r:id="rId414" display="https://mem.gob.gt/que-hacemos/area-energetica/publicaciones/estadisticas/balance-energetico/"/>
    <hyperlink ref="I416" r:id="rId415" display="https://mem.gob.gt/que-hacemos/area-energetica/publicaciones/estadisticas/balance-energetico/"/>
    <hyperlink ref="I417" r:id="rId416" display="https://mem.gob.gt/que-hacemos/area-energetica/publicaciones/estadisticas/balance-energetico/"/>
    <hyperlink ref="I418" r:id="rId417" display="https://mem.gob.gt/que-hacemos/area-energetica/publicaciones/estadisticas/balance-energetico/"/>
    <hyperlink ref="I419" r:id="rId418" display="https://mem.gob.gt/que-hacemos/area-energetica/publicaciones/estadisticas/balance-energetico/"/>
    <hyperlink ref="I420" r:id="rId419" display="https://mem.gob.gt/que-hacemos/area-energetica/publicaciones/estadisticas/balance-energetico/"/>
    <hyperlink ref="I421" r:id="rId420" display="https://mem.gob.gt/que-hacemos/area-energetica/publicaciones/estadisticas/balance-energetico/"/>
    <hyperlink ref="I422" r:id="rId421" display="https://mem.gob.gt/que-hacemos/area-energetica/publicaciones/estadisticas/balance-energetico/"/>
    <hyperlink ref="I423" r:id="rId422" display="https://mem.gob.gt/que-hacemos/area-energetica/publicaciones/estadisticas/balance-energetico/"/>
    <hyperlink ref="I424" r:id="rId423" display="https://mem.gob.gt/que-hacemos/area-energetica/publicaciones/estadisticas/balance-energetico/"/>
    <hyperlink ref="I425" r:id="rId424" display="https://mem.gob.gt/que-hacemos/area-energetica/publicaciones/estadisticas/balance-energetico/"/>
    <hyperlink ref="I426" r:id="rId425" display="https://mem.gob.gt/que-hacemos/area-energetica/publicaciones/estadisticas/balance-energetico/"/>
    <hyperlink ref="I427" r:id="rId426" display="https://mem.gob.gt/que-hacemos/area-energetica/publicaciones/estadisticas/balance-energetico/"/>
    <hyperlink ref="I428" r:id="rId427" display="https://mem.gob.gt/que-hacemos/area-energetica/publicaciones/estadisticas/balance-energetico/"/>
    <hyperlink ref="I429" r:id="rId428" display="https://mem.gob.gt/que-hacemos/area-energetica/publicaciones/estadisticas/balance-energetico/"/>
    <hyperlink ref="I430" r:id="rId429" display="https://mem.gob.gt/que-hacemos/area-energetica/publicaciones/estadisticas/balance-energetico/"/>
    <hyperlink ref="I431" r:id="rId430" display="https://mem.gob.gt/que-hacemos/area-energetica/publicaciones/estadisticas/balance-energetico/"/>
    <hyperlink ref="I432" r:id="rId431" display="https://mem.gob.gt/que-hacemos/area-energetica/publicaciones/estadisticas/balance-energetico/"/>
    <hyperlink ref="I433" r:id="rId432" display="https://mem.gob.gt/que-hacemos/area-energetica/publicaciones/estadisticas/balance-energetico/"/>
    <hyperlink ref="I434" r:id="rId433" display="https://mem.gob.gt/que-hacemos/area-energetica/publicaciones/estadisticas/balance-energetico/"/>
    <hyperlink ref="I435" r:id="rId434" display="https://mem.gob.gt/que-hacemos/area-energetica/publicaciones/estadisticas/balance-energetico/"/>
    <hyperlink ref="I436" r:id="rId435" display="https://mem.gob.gt/que-hacemos/area-energetica/publicaciones/estadisticas/balance-energetico/"/>
    <hyperlink ref="I437" r:id="rId436" display="https://mem.gob.gt/que-hacemos/area-energetica/publicaciones/estadisticas/balance-energetico/"/>
    <hyperlink ref="I438" r:id="rId437" display="https://mem.gob.gt/que-hacemos/area-energetica/publicaciones/estadisticas/balance-energetico/"/>
    <hyperlink ref="I439" r:id="rId438" display="https://mem.gob.gt/que-hacemos/area-energetica/publicaciones/estadisticas/balance-energetico/"/>
    <hyperlink ref="I440" r:id="rId439" display="https://mem.gob.gt/que-hacemos/area-energetica/publicaciones/estadisticas/balance-energetico/"/>
    <hyperlink ref="I441" r:id="rId440" display="https://mem.gob.gt/que-hacemos/area-energetica/publicaciones/estadisticas/balance-energetico/"/>
    <hyperlink ref="I442" r:id="rId441" display="https://mem.gob.gt/que-hacemos/area-energetica/publicaciones/estadisticas/balance-energetico/"/>
    <hyperlink ref="I443" r:id="rId442" display="https://mem.gob.gt/que-hacemos/area-energetica/publicaciones/estadisticas/balance-energetico/"/>
    <hyperlink ref="I444" r:id="rId443" display="https://mem.gob.gt/que-hacemos/area-energetica/publicaciones/estadisticas/balance-energetico/"/>
    <hyperlink ref="I445" r:id="rId444" display="https://mem.gob.gt/que-hacemos/area-energetica/publicaciones/estadisticas/balance-energetico/"/>
    <hyperlink ref="I446" r:id="rId445" display="https://mem.gob.gt/que-hacemos/area-energetica/publicaciones/estadisticas/balance-energetico/"/>
    <hyperlink ref="I447" r:id="rId446" display="https://mem.gob.gt/que-hacemos/area-energetica/publicaciones/estadisticas/balance-energetico/"/>
    <hyperlink ref="I448" r:id="rId447" display="https://mem.gob.gt/que-hacemos/area-energetica/publicaciones/estadisticas/balance-energetico/"/>
    <hyperlink ref="I449" r:id="rId448" display="https://mem.gob.gt/que-hacemos/area-energetica/publicaciones/estadisticas/balance-energetico/"/>
    <hyperlink ref="I450" r:id="rId449" display="https://mem.gob.gt/que-hacemos/area-energetica/publicaciones/estadisticas/balance-energetico/"/>
    <hyperlink ref="I451" r:id="rId450" display="https://mem.gob.gt/que-hacemos/area-energetica/publicaciones/estadisticas/balance-energetico/"/>
    <hyperlink ref="I452" r:id="rId451" display="https://mem.gob.gt/que-hacemos/area-energetica/publicaciones/estadisticas/balance-energetico/"/>
    <hyperlink ref="I453" r:id="rId452" display="https://mem.gob.gt/que-hacemos/area-energetica/publicaciones/estadisticas/balance-energetico/"/>
    <hyperlink ref="I454" r:id="rId453" display="https://mem.gob.gt/que-hacemos/area-energetica/publicaciones/estadisticas/balance-energetico/"/>
    <hyperlink ref="I455" r:id="rId454" display="https://mem.gob.gt/que-hacemos/area-energetica/publicaciones/estadisticas/balance-energetico/"/>
    <hyperlink ref="I456" r:id="rId455" display="https://mem.gob.gt/que-hacemos/area-energetica/publicaciones/estadisticas/balance-energetico/"/>
    <hyperlink ref="I457" r:id="rId456" display="https://mem.gob.gt/que-hacemos/area-energetica/publicaciones/estadisticas/balance-energetico/"/>
    <hyperlink ref="I458" r:id="rId457" display="https://mem.gob.gt/que-hacemos/area-energetica/publicaciones/estadisticas/balance-energetico/"/>
    <hyperlink ref="I459" r:id="rId458" display="https://mem.gob.gt/que-hacemos/area-energetica/publicaciones/estadisticas/balance-energetico/"/>
    <hyperlink ref="I460" r:id="rId459" display="https://mem.gob.gt/que-hacemos/area-energetica/publicaciones/estadisticas/balance-energetico/"/>
    <hyperlink ref="I461" r:id="rId460" display="https://mem.gob.gt/que-hacemos/area-energetica/publicaciones/estadisticas/balance-energetico/"/>
    <hyperlink ref="I462" r:id="rId461" display="https://mem.gob.gt/que-hacemos/area-energetica/publicaciones/estadisticas/balance-energetico/"/>
    <hyperlink ref="I463" r:id="rId462" display="https://mem.gob.gt/que-hacemos/area-energetica/publicaciones/estadisticas/balance-energetico/"/>
    <hyperlink ref="I464" r:id="rId463" display="https://mem.gob.gt/que-hacemos/area-energetica/publicaciones/estadisticas/balance-energetico/"/>
    <hyperlink ref="I465" r:id="rId464" display="https://mem.gob.gt/que-hacemos/area-energetica/publicaciones/estadisticas/balance-energetico/"/>
    <hyperlink ref="I466" r:id="rId465" display="https://mem.gob.gt/que-hacemos/area-energetica/publicaciones/estadisticas/balance-energetico/"/>
    <hyperlink ref="I467" r:id="rId466" display="https://mem.gob.gt/que-hacemos/area-energetica/publicaciones/estadisticas/balance-energetico/"/>
    <hyperlink ref="I468" r:id="rId467" display="https://mem.gob.gt/que-hacemos/area-energetica/publicaciones/estadisticas/balance-energetico/"/>
    <hyperlink ref="I469" r:id="rId468" display="https://mem.gob.gt/que-hacemos/area-energetica/publicaciones/estadisticas/balance-energetico/"/>
    <hyperlink ref="I470" r:id="rId469" display="https://mem.gob.gt/que-hacemos/area-energetica/publicaciones/estadisticas/balance-energetico/"/>
    <hyperlink ref="I471" r:id="rId470" display="https://mem.gob.gt/que-hacemos/area-energetica/publicaciones/estadisticas/balance-energetico/"/>
    <hyperlink ref="I472" r:id="rId471" display="https://mem.gob.gt/que-hacemos/area-energetica/publicaciones/estadisticas/balance-energetico/"/>
    <hyperlink ref="I473" r:id="rId472" display="https://mem.gob.gt/que-hacemos/area-energetica/publicaciones/estadisticas/balance-energetico/"/>
    <hyperlink ref="I474" r:id="rId473" display="https://mem.gob.gt/que-hacemos/area-energetica/publicaciones/estadisticas/balance-energetico/"/>
    <hyperlink ref="I475" r:id="rId474" display="https://mem.gob.gt/que-hacemos/area-energetica/publicaciones/estadisticas/balance-energetico/"/>
    <hyperlink ref="I476" r:id="rId475" display="https://mem.gob.gt/que-hacemos/area-energetica/publicaciones/estadisticas/balance-energetico/"/>
    <hyperlink ref="I477" r:id="rId476" display="https://mem.gob.gt/que-hacemos/area-energetica/publicaciones/estadisticas/balance-energetico/"/>
    <hyperlink ref="I478" r:id="rId477" display="https://mem.gob.gt/que-hacemos/area-energetica/publicaciones/estadisticas/balance-energetico/"/>
    <hyperlink ref="I479" r:id="rId478" display="https://mem.gob.gt/que-hacemos/area-energetica/publicaciones/estadisticas/balance-energetico/"/>
    <hyperlink ref="I480" r:id="rId479" display="https://mem.gob.gt/que-hacemos/area-energetica/publicaciones/estadisticas/balance-energetico/"/>
    <hyperlink ref="I481" r:id="rId480" display="https://mem.gob.gt/que-hacemos/area-energetica/publicaciones/estadisticas/balance-energetico/"/>
    <hyperlink ref="I482" r:id="rId481" display="https://mem.gob.gt/que-hacemos/area-energetica/publicaciones/estadisticas/balance-energetico/"/>
    <hyperlink ref="I483" r:id="rId482" display="https://mem.gob.gt/que-hacemos/area-energetica/publicaciones/estadisticas/balance-energetico/"/>
    <hyperlink ref="I484" r:id="rId483" display="https://mem.gob.gt/que-hacemos/area-energetica/publicaciones/estadisticas/balance-energetico/"/>
    <hyperlink ref="I485" r:id="rId484" display="https://mem.gob.gt/que-hacemos/area-energetica/publicaciones/estadisticas/balance-energetico/"/>
    <hyperlink ref="I486" r:id="rId485" display="https://mem.gob.gt/que-hacemos/area-energetica/publicaciones/estadisticas/balance-energetico/"/>
    <hyperlink ref="I487" r:id="rId486" display="https://mem.gob.gt/que-hacemos/area-energetica/publicaciones/estadisticas/balance-energetico/"/>
    <hyperlink ref="I488" r:id="rId487" display="https://mem.gob.gt/que-hacemos/area-energetica/publicaciones/estadisticas/balance-energetico/"/>
    <hyperlink ref="I489" r:id="rId488" display="https://mem.gob.gt/que-hacemos/area-energetica/publicaciones/estadisticas/balance-energetico/"/>
    <hyperlink ref="I490" r:id="rId489" display="https://mem.gob.gt/que-hacemos/area-energetica/publicaciones/estadisticas/balance-energetico/"/>
    <hyperlink ref="I491" r:id="rId490" display="https://mem.gob.gt/que-hacemos/area-energetica/publicaciones/estadisticas/balance-energetico/"/>
    <hyperlink ref="I492" r:id="rId491" display="https://mem.gob.gt/que-hacemos/area-energetica/publicaciones/estadisticas/balance-energetico/"/>
    <hyperlink ref="I493" r:id="rId492" display="https://mem.gob.gt/que-hacemos/area-energetica/publicaciones/estadisticas/balance-energetico/"/>
    <hyperlink ref="I494" r:id="rId493" display="https://mem.gob.gt/que-hacemos/area-energetica/publicaciones/estadisticas/balance-energetico/"/>
    <hyperlink ref="I495" r:id="rId494" display="https://mem.gob.gt/que-hacemos/area-energetica/publicaciones/estadisticas/balance-energetico/"/>
    <hyperlink ref="I496" r:id="rId495" display="https://mem.gob.gt/que-hacemos/area-energetica/publicaciones/estadisticas/balance-energetico/"/>
    <hyperlink ref="I497" r:id="rId496" display="https://mem.gob.gt/que-hacemos/area-energetica/publicaciones/estadisticas/balance-energetico/"/>
    <hyperlink ref="I498" r:id="rId497" display="https://mem.gob.gt/que-hacemos/area-energetica/publicaciones/estadisticas/balance-energetico/"/>
    <hyperlink ref="I499" r:id="rId498" display="https://mem.gob.gt/que-hacemos/area-energetica/publicaciones/estadisticas/balance-energetico/"/>
    <hyperlink ref="I500" r:id="rId499" display="https://mem.gob.gt/que-hacemos/area-energetica/publicaciones/estadisticas/balance-energetico/"/>
    <hyperlink ref="I501" r:id="rId500" display="https://mem.gob.gt/que-hacemos/area-energetica/publicaciones/estadisticas/balance-energetico/"/>
    <hyperlink ref="I502" r:id="rId501" display="https://mem.gob.gt/que-hacemos/area-energetica/publicaciones/estadisticas/balance-energetico/"/>
    <hyperlink ref="I503" r:id="rId502" display="https://mem.gob.gt/que-hacemos/area-energetica/publicaciones/estadisticas/balance-energetico/"/>
    <hyperlink ref="I504" r:id="rId503" display="https://mem.gob.gt/que-hacemos/area-energetica/publicaciones/estadisticas/balance-energetico/"/>
    <hyperlink ref="I505" r:id="rId504" display="https://mem.gob.gt/que-hacemos/area-energetica/publicaciones/estadisticas/balance-energetico/"/>
    <hyperlink ref="I506" r:id="rId505" display="https://mem.gob.gt/que-hacemos/area-energetica/publicaciones/estadisticas/balance-energetico/"/>
    <hyperlink ref="I507" r:id="rId506" display="https://mem.gob.gt/que-hacemos/area-energetica/publicaciones/estadisticas/balance-energetico/"/>
    <hyperlink ref="I508" r:id="rId507" display="https://mem.gob.gt/que-hacemos/area-energetica/publicaciones/estadisticas/balance-energetico/"/>
    <hyperlink ref="I509" r:id="rId508" display="https://mem.gob.gt/que-hacemos/area-energetica/publicaciones/estadisticas/balance-energetico/"/>
    <hyperlink ref="I510" r:id="rId509" display="https://mem.gob.gt/que-hacemos/area-energetica/publicaciones/estadisticas/balance-energetico/"/>
    <hyperlink ref="I511" r:id="rId510" display="https://mem.gob.gt/que-hacemos/area-energetica/publicaciones/estadisticas/balance-energetico/"/>
    <hyperlink ref="I512" r:id="rId511" display="https://mem.gob.gt/que-hacemos/area-energetica/publicaciones/estadisticas/balance-energetico/"/>
    <hyperlink ref="I513" r:id="rId512" display="https://mem.gob.gt/que-hacemos/area-energetica/publicaciones/estadisticas/balance-energetico/"/>
    <hyperlink ref="I514" r:id="rId513" display="https://mem.gob.gt/que-hacemos/area-energetica/publicaciones/estadisticas/balance-energetico/"/>
    <hyperlink ref="I515" r:id="rId514" display="https://mem.gob.gt/que-hacemos/area-energetica/publicaciones/estadisticas/balance-energetico/"/>
    <hyperlink ref="I516" r:id="rId515" display="https://mem.gob.gt/que-hacemos/area-energetica/publicaciones/estadisticas/balance-energetico/"/>
    <hyperlink ref="I517" r:id="rId516" display="https://mem.gob.gt/que-hacemos/area-energetica/publicaciones/estadisticas/balance-energetico/"/>
    <hyperlink ref="I518" r:id="rId517" display="https://mem.gob.gt/que-hacemos/area-energetica/publicaciones/estadisticas/balance-energetico/"/>
    <hyperlink ref="I519" r:id="rId518" display="https://mem.gob.gt/que-hacemos/area-energetica/publicaciones/estadisticas/balance-energetico/"/>
    <hyperlink ref="I520" r:id="rId519" display="https://mem.gob.gt/que-hacemos/area-energetica/publicaciones/estadisticas/balance-energetico/"/>
    <hyperlink ref="I521" r:id="rId520" display="https://mem.gob.gt/que-hacemos/area-energetica/publicaciones/estadisticas/balance-energetico/"/>
    <hyperlink ref="I522" r:id="rId521" display="https://mem.gob.gt/que-hacemos/area-energetica/publicaciones/estadisticas/balance-energetico/"/>
    <hyperlink ref="I523" r:id="rId522" display="https://mem.gob.gt/que-hacemos/area-energetica/publicaciones/estadisticas/balance-energetico/"/>
    <hyperlink ref="I524" r:id="rId523" display="https://mem.gob.gt/que-hacemos/area-energetica/publicaciones/estadisticas/balance-energetico/"/>
    <hyperlink ref="I525" r:id="rId524" display="https://mem.gob.gt/que-hacemos/area-energetica/publicaciones/estadisticas/balance-energetico/"/>
    <hyperlink ref="I526" r:id="rId525" display="https://mem.gob.gt/que-hacemos/area-energetica/publicaciones/estadisticas/balance-energetico/"/>
    <hyperlink ref="I527" r:id="rId526" display="https://mem.gob.gt/que-hacemos/area-energetica/publicaciones/estadisticas/balance-energetico/"/>
    <hyperlink ref="I528" r:id="rId527" display="https://mem.gob.gt/que-hacemos/area-energetica/publicaciones/estadisticas/balance-energetico/"/>
    <hyperlink ref="I529" r:id="rId528" display="https://mem.gob.gt/que-hacemos/area-energetica/publicaciones/estadisticas/balance-energetico/"/>
    <hyperlink ref="I530" r:id="rId529" display="https://mem.gob.gt/que-hacemos/area-energetica/publicaciones/estadisticas/balance-energetico/"/>
    <hyperlink ref="I531" r:id="rId530" display="https://mem.gob.gt/que-hacemos/area-energetica/publicaciones/estadisticas/balance-energetico/"/>
    <hyperlink ref="I532" r:id="rId531" display="https://mem.gob.gt/que-hacemos/area-energetica/publicaciones/estadisticas/balance-energetico/"/>
    <hyperlink ref="I533" r:id="rId532" display="https://mem.gob.gt/que-hacemos/area-energetica/publicaciones/estadisticas/balance-energetico/"/>
    <hyperlink ref="I534" r:id="rId533" display="https://mem.gob.gt/que-hacemos/area-energetica/publicaciones/estadisticas/balance-energetico/"/>
    <hyperlink ref="I535" r:id="rId534" display="https://mem.gob.gt/que-hacemos/area-energetica/publicaciones/estadisticas/balance-energetico/"/>
    <hyperlink ref="I536" r:id="rId535" display="https://mem.gob.gt/que-hacemos/area-energetica/publicaciones/estadisticas/balance-energetico/"/>
    <hyperlink ref="I537" r:id="rId536" display="https://mem.gob.gt/que-hacemos/area-energetica/publicaciones/estadisticas/balance-energetico/"/>
    <hyperlink ref="I538" r:id="rId537" display="https://mem.gob.gt/que-hacemos/area-energetica/publicaciones/estadisticas/balance-energetico/"/>
    <hyperlink ref="I539" r:id="rId538" display="https://mem.gob.gt/que-hacemos/area-energetica/publicaciones/estadisticas/balance-energetico/"/>
    <hyperlink ref="I540" r:id="rId539" display="https://mem.gob.gt/que-hacemos/area-energetica/publicaciones/estadisticas/balance-energetico/"/>
    <hyperlink ref="I541" r:id="rId540" display="https://mem.gob.gt/que-hacemos/area-energetica/publicaciones/estadisticas/balance-energetico/"/>
    <hyperlink ref="I542" r:id="rId541" display="https://mem.gob.gt/que-hacemos/area-energetica/publicaciones/estadisticas/balance-energetico/"/>
    <hyperlink ref="I543" r:id="rId542" display="https://mem.gob.gt/que-hacemos/area-energetica/publicaciones/estadisticas/balance-energetico/"/>
    <hyperlink ref="I544" r:id="rId543" display="https://mem.gob.gt/que-hacemos/area-energetica/publicaciones/estadisticas/balance-energetico/"/>
    <hyperlink ref="I545" r:id="rId544" display="https://mem.gob.gt/que-hacemos/area-energetica/publicaciones/estadisticas/balance-energetico/"/>
    <hyperlink ref="I546" r:id="rId545" display="https://mem.gob.gt/que-hacemos/area-energetica/publicaciones/estadisticas/balance-energetico/"/>
    <hyperlink ref="I547" r:id="rId546" display="https://mem.gob.gt/que-hacemos/area-energetica/publicaciones/estadisticas/balance-energetico/"/>
    <hyperlink ref="I548" r:id="rId547" display="https://mem.gob.gt/que-hacemos/area-energetica/publicaciones/estadisticas/balance-energetico/"/>
    <hyperlink ref="I549" r:id="rId548" display="https://mem.gob.gt/que-hacemos/area-energetica/publicaciones/estadisticas/balance-energetico/"/>
    <hyperlink ref="I550" r:id="rId549" display="https://mem.gob.gt/que-hacemos/area-energetica/publicaciones/estadisticas/balance-energetico/"/>
    <hyperlink ref="I551" r:id="rId550" display="https://mem.gob.gt/que-hacemos/area-energetica/publicaciones/estadisticas/balance-energetico/"/>
    <hyperlink ref="I552" r:id="rId551" display="https://mem.gob.gt/que-hacemos/area-energetica/publicaciones/estadisticas/balance-energetico/"/>
    <hyperlink ref="I553" r:id="rId552" display="https://mem.gob.gt/que-hacemos/area-energetica/publicaciones/estadisticas/balance-energetico/"/>
    <hyperlink ref="I554" r:id="rId553" display="https://mem.gob.gt/que-hacemos/area-energetica/publicaciones/estadisticas/balance-energetico/"/>
    <hyperlink ref="I555" r:id="rId554" display="https://mem.gob.gt/que-hacemos/area-energetica/publicaciones/estadisticas/balance-energetico/"/>
    <hyperlink ref="I556" r:id="rId555" display="https://mem.gob.gt/que-hacemos/area-energetica/publicaciones/estadisticas/balance-energetico/"/>
    <hyperlink ref="I557" r:id="rId556" display="https://mem.gob.gt/que-hacemos/area-energetica/publicaciones/estadisticas/balance-energetico/"/>
    <hyperlink ref="I558" r:id="rId557" display="https://mem.gob.gt/que-hacemos/area-energetica/publicaciones/estadisticas/balance-energetico/"/>
    <hyperlink ref="I559" r:id="rId558" display="https://mem.gob.gt/que-hacemos/area-energetica/publicaciones/estadisticas/balance-energetico/"/>
    <hyperlink ref="I560" r:id="rId559" display="https://mem.gob.gt/que-hacemos/area-energetica/publicaciones/estadisticas/balance-energetico/"/>
    <hyperlink ref="I561" r:id="rId560" display="https://mem.gob.gt/que-hacemos/area-energetica/publicaciones/estadisticas/balance-energetico/"/>
    <hyperlink ref="I562" r:id="rId561" display="https://mem.gob.gt/que-hacemos/area-energetica/publicaciones/estadisticas/balance-energetico/"/>
    <hyperlink ref="I563" r:id="rId562" display="https://mem.gob.gt/que-hacemos/area-energetica/publicaciones/estadisticas/balance-energetico/"/>
    <hyperlink ref="I564" r:id="rId563" display="https://mem.gob.gt/que-hacemos/area-energetica/publicaciones/estadisticas/balance-energetico/"/>
    <hyperlink ref="I565" r:id="rId564" display="https://mem.gob.gt/que-hacemos/area-energetica/publicaciones/estadisticas/balance-energetico/"/>
    <hyperlink ref="I566" r:id="rId565" display="https://mem.gob.gt/que-hacemos/area-energetica/publicaciones/estadisticas/balance-energetico/"/>
    <hyperlink ref="I567" r:id="rId566" display="https://mem.gob.gt/que-hacemos/area-energetica/publicaciones/estadisticas/balance-energetico/"/>
    <hyperlink ref="I568" r:id="rId567" display="https://mem.gob.gt/que-hacemos/area-energetica/publicaciones/estadisticas/balance-energetico/"/>
    <hyperlink ref="I569" r:id="rId568" display="https://mem.gob.gt/que-hacemos/area-energetica/publicaciones/estadisticas/balance-energetico/"/>
    <hyperlink ref="I570" r:id="rId569" display="https://mem.gob.gt/que-hacemos/area-energetica/publicaciones/estadisticas/balance-energetico/"/>
    <hyperlink ref="I571" r:id="rId570" display="https://mem.gob.gt/que-hacemos/area-energetica/publicaciones/estadisticas/balance-energetico/"/>
    <hyperlink ref="I572" r:id="rId571" display="https://mem.gob.gt/que-hacemos/area-energetica/publicaciones/estadisticas/balance-energetico/"/>
    <hyperlink ref="I573" r:id="rId572" display="https://mem.gob.gt/que-hacemos/area-energetica/publicaciones/estadisticas/balance-energetico/"/>
    <hyperlink ref="I574" r:id="rId573" display="https://mem.gob.gt/que-hacemos/area-energetica/publicaciones/estadisticas/balance-energetico/"/>
    <hyperlink ref="I575" r:id="rId574" display="https://mem.gob.gt/que-hacemos/area-energetica/publicaciones/estadisticas/balance-energetico/"/>
    <hyperlink ref="I576" r:id="rId575" display="https://mem.gob.gt/que-hacemos/area-energetica/publicaciones/estadisticas/balance-energetico/"/>
    <hyperlink ref="I577" r:id="rId576" display="https://mem.gob.gt/que-hacemos/area-energetica/publicaciones/estadisticas/balance-energetico/"/>
    <hyperlink ref="I578" r:id="rId577" display="https://mem.gob.gt/que-hacemos/area-energetica/publicaciones/estadisticas/balance-energetico/"/>
    <hyperlink ref="I579" r:id="rId578" display="https://mem.gob.gt/que-hacemos/area-energetica/publicaciones/estadisticas/balance-energetico/"/>
    <hyperlink ref="I580" r:id="rId579" display="https://mem.gob.gt/que-hacemos/area-energetica/publicaciones/estadisticas/balance-energetico/"/>
    <hyperlink ref="I581" r:id="rId580" display="https://mem.gob.gt/que-hacemos/area-energetica/publicaciones/estadisticas/balance-energetico/"/>
    <hyperlink ref="I582" r:id="rId581" display="https://mem.gob.gt/que-hacemos/area-energetica/publicaciones/estadisticas/balance-energetico/"/>
    <hyperlink ref="I583" r:id="rId582" display="https://mem.gob.gt/que-hacemos/area-energetica/publicaciones/estadisticas/balance-energetico/"/>
    <hyperlink ref="I584" r:id="rId583" display="https://mem.gob.gt/que-hacemos/area-energetica/publicaciones/estadisticas/balance-energetico/"/>
    <hyperlink ref="I585" r:id="rId584" display="https://mem.gob.gt/que-hacemos/area-energetica/publicaciones/estadisticas/balance-energetico/"/>
    <hyperlink ref="I586" r:id="rId585" display="https://mem.gob.gt/que-hacemos/area-energetica/publicaciones/estadisticas/balance-energetico/"/>
    <hyperlink ref="I587" r:id="rId586" display="https://mem.gob.gt/que-hacemos/area-energetica/publicaciones/estadisticas/balance-energetico/"/>
    <hyperlink ref="I588" r:id="rId587" display="https://mem.gob.gt/que-hacemos/area-energetica/publicaciones/estadisticas/balance-energetico/"/>
    <hyperlink ref="I589" r:id="rId588" display="https://mem.gob.gt/que-hacemos/area-energetica/publicaciones/estadisticas/balance-energetico/"/>
    <hyperlink ref="I590" r:id="rId589" display="https://mem.gob.gt/que-hacemos/area-energetica/publicaciones/estadisticas/balance-energetico/"/>
    <hyperlink ref="I591" r:id="rId590" display="https://mem.gob.gt/que-hacemos/area-energetica/publicaciones/estadisticas/balance-energetico/"/>
    <hyperlink ref="I592" r:id="rId591" display="https://mem.gob.gt/que-hacemos/area-energetica/publicaciones/estadisticas/balance-energetico/"/>
    <hyperlink ref="I593" r:id="rId592" display="https://mem.gob.gt/que-hacemos/area-energetica/publicaciones/estadisticas/balance-energetico/"/>
    <hyperlink ref="I594" r:id="rId593" display="https://mem.gob.gt/que-hacemos/area-energetica/publicaciones/estadisticas/balance-energetico/"/>
    <hyperlink ref="I595" r:id="rId594" display="https://mem.gob.gt/que-hacemos/area-energetica/publicaciones/estadisticas/balance-energetico/"/>
    <hyperlink ref="I596" r:id="rId595" display="https://mem.gob.gt/que-hacemos/area-energetica/publicaciones/estadisticas/balance-energetico/"/>
    <hyperlink ref="I597" r:id="rId596" display="https://mem.gob.gt/que-hacemos/area-energetica/publicaciones/estadisticas/balance-energetico/"/>
    <hyperlink ref="I598" r:id="rId597" display="https://mem.gob.gt/que-hacemos/area-energetica/publicaciones/estadisticas/balance-energetico/"/>
    <hyperlink ref="I599" r:id="rId598" display="https://mem.gob.gt/que-hacemos/area-energetica/publicaciones/estadisticas/balance-energetico/"/>
    <hyperlink ref="I600" r:id="rId599" display="https://mem.gob.gt/que-hacemos/area-energetica/publicaciones/estadisticas/balance-energetico/"/>
    <hyperlink ref="I601" r:id="rId600" display="https://mem.gob.gt/que-hacemos/area-energetica/publicaciones/estadisticas/balance-energetico/"/>
    <hyperlink ref="I602" r:id="rId601" display="https://mem.gob.gt/que-hacemos/area-energetica/publicaciones/estadisticas/balance-energetico/"/>
    <hyperlink ref="I603" r:id="rId602" display="https://mem.gob.gt/que-hacemos/area-energetica/publicaciones/estadisticas/balance-energetico/"/>
    <hyperlink ref="I604" r:id="rId603" display="https://mem.gob.gt/que-hacemos/area-energetica/publicaciones/estadisticas/balance-energetico/"/>
    <hyperlink ref="I605" r:id="rId604" display="https://mem.gob.gt/que-hacemos/area-energetica/publicaciones/estadisticas/balance-energetico/"/>
    <hyperlink ref="I606" r:id="rId605" display="https://mem.gob.gt/que-hacemos/area-energetica/publicaciones/estadisticas/balance-energetico/"/>
    <hyperlink ref="I607" r:id="rId606" display="https://mem.gob.gt/que-hacemos/area-energetica/publicaciones/estadisticas/balance-energetico/"/>
    <hyperlink ref="I608" r:id="rId607" display="https://mem.gob.gt/que-hacemos/area-energetica/publicaciones/estadisticas/balance-energetico/"/>
    <hyperlink ref="I609" r:id="rId608" display="https://mem.gob.gt/que-hacemos/area-energetica/publicaciones/estadisticas/balance-energetico/"/>
    <hyperlink ref="I610" r:id="rId609" display="https://mem.gob.gt/que-hacemos/area-energetica/publicaciones/estadisticas/balance-energetico/"/>
    <hyperlink ref="I611" r:id="rId610" display="https://mem.gob.gt/que-hacemos/area-energetica/publicaciones/estadisticas/balance-energetico/"/>
    <hyperlink ref="I612" r:id="rId611" display="https://mem.gob.gt/que-hacemos/area-energetica/publicaciones/estadisticas/balance-energetico/"/>
    <hyperlink ref="I613" r:id="rId612" display="https://mem.gob.gt/que-hacemos/area-energetica/publicaciones/estadisticas/balance-energetico/"/>
    <hyperlink ref="I614" r:id="rId613" display="https://mem.gob.gt/que-hacemos/area-energetica/publicaciones/estadisticas/balance-energetico/"/>
    <hyperlink ref="I615" r:id="rId614" display="https://mem.gob.gt/que-hacemos/area-energetica/publicaciones/estadisticas/balance-energetico/"/>
    <hyperlink ref="I616" r:id="rId615" display="https://mem.gob.gt/que-hacemos/area-energetica/publicaciones/estadisticas/balance-energetico/"/>
    <hyperlink ref="I617" r:id="rId616" display="https://mem.gob.gt/que-hacemos/area-energetica/publicaciones/estadisticas/balance-energetico/"/>
    <hyperlink ref="I618" r:id="rId617" display="https://mem.gob.gt/que-hacemos/area-energetica/publicaciones/estadisticas/balance-energetico/"/>
    <hyperlink ref="I619" r:id="rId618" display="https://mem.gob.gt/que-hacemos/area-energetica/publicaciones/estadisticas/balance-energetico/"/>
    <hyperlink ref="I620" r:id="rId619" display="https://mem.gob.gt/que-hacemos/area-energetica/publicaciones/estadisticas/balance-energetico/"/>
    <hyperlink ref="I621" r:id="rId620" display="https://mem.gob.gt/que-hacemos/area-energetica/publicaciones/estadisticas/balance-energetico/"/>
    <hyperlink ref="I622" r:id="rId621" display="https://mem.gob.gt/que-hacemos/area-energetica/publicaciones/estadisticas/balance-energetico/"/>
    <hyperlink ref="I623" r:id="rId622" display="https://mem.gob.gt/que-hacemos/area-energetica/publicaciones/estadisticas/balance-energetico/"/>
    <hyperlink ref="I624" r:id="rId623" display="https://mem.gob.gt/que-hacemos/area-energetica/publicaciones/estadisticas/balance-energetico/"/>
    <hyperlink ref="I625" r:id="rId624" display="https://mem.gob.gt/que-hacemos/area-energetica/publicaciones/estadisticas/balance-energetico/"/>
    <hyperlink ref="I626" r:id="rId625" display="https://mem.gob.gt/que-hacemos/area-energetica/publicaciones/estadisticas/balance-energetico/"/>
    <hyperlink ref="I627" r:id="rId626" display="https://mem.gob.gt/que-hacemos/area-energetica/publicaciones/estadisticas/balance-energetico/"/>
    <hyperlink ref="I628" r:id="rId627" display="https://mem.gob.gt/que-hacemos/area-energetica/publicaciones/estadisticas/balance-energetico/"/>
    <hyperlink ref="I629" r:id="rId628" display="https://mem.gob.gt/que-hacemos/area-energetica/publicaciones/estadisticas/balance-energetico/"/>
    <hyperlink ref="I630" r:id="rId629" display="https://mem.gob.gt/que-hacemos/area-energetica/publicaciones/estadisticas/balance-energetico/"/>
    <hyperlink ref="I631" r:id="rId630" display="https://mem.gob.gt/que-hacemos/area-energetica/publicaciones/estadisticas/balance-energetico/"/>
    <hyperlink ref="I632" r:id="rId631" display="https://mem.gob.gt/que-hacemos/area-energetica/publicaciones/estadisticas/balance-energetico/"/>
    <hyperlink ref="I633" r:id="rId632" display="https://mem.gob.gt/que-hacemos/area-energetica/publicaciones/estadisticas/balance-energetico/"/>
    <hyperlink ref="I634" r:id="rId633" display="https://mem.gob.gt/que-hacemos/area-energetica/publicaciones/estadisticas/balance-energetico/"/>
    <hyperlink ref="I635" r:id="rId634" display="https://mem.gob.gt/que-hacemos/area-energetica/publicaciones/estadisticas/balance-energetico/"/>
    <hyperlink ref="I636" r:id="rId635" display="https://mem.gob.gt/que-hacemos/area-energetica/publicaciones/estadisticas/balance-energetico/"/>
    <hyperlink ref="I637" r:id="rId636" display="https://mem.gob.gt/que-hacemos/area-energetica/publicaciones/estadisticas/balance-energetico/"/>
    <hyperlink ref="I638" r:id="rId637" display="https://mem.gob.gt/que-hacemos/area-energetica/publicaciones/estadisticas/balance-energetico/"/>
    <hyperlink ref="I639" r:id="rId638" display="https://mem.gob.gt/que-hacemos/area-energetica/publicaciones/estadisticas/balance-energetico/"/>
    <hyperlink ref="I640" r:id="rId639" display="https://mem.gob.gt/que-hacemos/area-energetica/publicaciones/estadisticas/balance-energetico/"/>
    <hyperlink ref="I641" r:id="rId640" display="https://mem.gob.gt/que-hacemos/area-energetica/publicaciones/estadisticas/balance-energetico/"/>
    <hyperlink ref="I642" r:id="rId641" display="https://mem.gob.gt/que-hacemos/area-energetica/publicaciones/estadisticas/balance-energetico/"/>
    <hyperlink ref="I643" r:id="rId642" display="https://mem.gob.gt/que-hacemos/area-energetica/publicaciones/estadisticas/balance-energetico/"/>
    <hyperlink ref="I644" r:id="rId643" display="https://mem.gob.gt/que-hacemos/area-energetica/publicaciones/estadisticas/balance-energetico/"/>
    <hyperlink ref="I645" r:id="rId644" display="https://mem.gob.gt/que-hacemos/area-energetica/publicaciones/estadisticas/balance-energetico/"/>
    <hyperlink ref="I646" r:id="rId645" display="https://mem.gob.gt/que-hacemos/area-energetica/publicaciones/estadisticas/balance-energetico/"/>
    <hyperlink ref="I647" r:id="rId646" display="https://mem.gob.gt/que-hacemos/area-energetica/publicaciones/estadisticas/balance-energetico/"/>
    <hyperlink ref="I648" r:id="rId647" display="https://mem.gob.gt/que-hacemos/area-energetica/publicaciones/estadisticas/balance-energetico/"/>
    <hyperlink ref="I649" r:id="rId648" display="https://mem.gob.gt/que-hacemos/area-energetica/publicaciones/estadisticas/balance-energetico/"/>
    <hyperlink ref="I650" r:id="rId649" display="https://mem.gob.gt/que-hacemos/area-energetica/publicaciones/estadisticas/balance-energetico/"/>
    <hyperlink ref="I651" r:id="rId650" display="https://mem.gob.gt/que-hacemos/area-energetica/publicaciones/estadisticas/balance-energetico/"/>
    <hyperlink ref="I652" r:id="rId651" display="https://mem.gob.gt/que-hacemos/area-energetica/publicaciones/estadisticas/balance-energetico/"/>
    <hyperlink ref="I653" r:id="rId652" display="https://mem.gob.gt/que-hacemos/area-energetica/publicaciones/estadisticas/balance-energetico/"/>
    <hyperlink ref="I654" r:id="rId653" display="https://mem.gob.gt/que-hacemos/area-energetica/publicaciones/estadisticas/balance-energetico/"/>
    <hyperlink ref="I655" r:id="rId654" display="https://mem.gob.gt/que-hacemos/area-energetica/publicaciones/estadisticas/balance-energetico/"/>
    <hyperlink ref="I656" r:id="rId655" display="https://mem.gob.gt/que-hacemos/area-energetica/publicaciones/estadisticas/balance-energetico/"/>
    <hyperlink ref="I657" r:id="rId656" display="https://mem.gob.gt/que-hacemos/area-energetica/publicaciones/estadisticas/balance-energetico/"/>
    <hyperlink ref="I658" r:id="rId657" display="https://mem.gob.gt/que-hacemos/area-energetica/publicaciones/estadisticas/balance-energetico/"/>
    <hyperlink ref="I659" r:id="rId658" display="https://mem.gob.gt/que-hacemos/area-energetica/publicaciones/estadisticas/balance-energetico/"/>
    <hyperlink ref="I660" r:id="rId659" display="https://mem.gob.gt/que-hacemos/area-energetica/publicaciones/estadisticas/balance-energetico/"/>
    <hyperlink ref="I661" r:id="rId660" display="https://mem.gob.gt/que-hacemos/area-energetica/publicaciones/estadisticas/balance-energetico/"/>
    <hyperlink ref="I662" r:id="rId661" display="https://mem.gob.gt/que-hacemos/area-energetica/publicaciones/estadisticas/balance-energetico/"/>
    <hyperlink ref="I663" r:id="rId662" display="https://mem.gob.gt/que-hacemos/area-energetica/publicaciones/estadisticas/balance-energetico/"/>
    <hyperlink ref="I664" r:id="rId663" display="https://mem.gob.gt/que-hacemos/area-energetica/publicaciones/estadisticas/balance-energetico/"/>
    <hyperlink ref="I665" r:id="rId664" display="https://mem.gob.gt/que-hacemos/area-energetica/publicaciones/estadisticas/balance-energetico/"/>
    <hyperlink ref="I666" r:id="rId665" display="https://mem.gob.gt/que-hacemos/area-energetica/publicaciones/estadisticas/balance-energetico/"/>
    <hyperlink ref="I667" r:id="rId666" display="https://mem.gob.gt/que-hacemos/area-energetica/publicaciones/estadisticas/balance-energetico/"/>
    <hyperlink ref="I668" r:id="rId667" display="https://mem.gob.gt/que-hacemos/area-energetica/publicaciones/estadisticas/balance-energetico/"/>
    <hyperlink ref="I669" r:id="rId668" display="https://mem.gob.gt/que-hacemos/area-energetica/publicaciones/estadisticas/balance-energetico/"/>
    <hyperlink ref="I670" r:id="rId669" display="https://mem.gob.gt/que-hacemos/area-energetica/publicaciones/estadisticas/balance-energetico/"/>
    <hyperlink ref="I671" r:id="rId670" display="https://mem.gob.gt/que-hacemos/area-energetica/publicaciones/estadisticas/balance-energetico/"/>
    <hyperlink ref="I672" r:id="rId671" display="https://mem.gob.gt/que-hacemos/area-energetica/publicaciones/estadisticas/balance-energetico/"/>
    <hyperlink ref="I673" r:id="rId672" display="https://mem.gob.gt/que-hacemos/area-energetica/publicaciones/estadisticas/balance-energetico/"/>
    <hyperlink ref="I674" r:id="rId673" display="https://mem.gob.gt/que-hacemos/area-energetica/publicaciones/estadisticas/balance-energetico/"/>
    <hyperlink ref="I675" r:id="rId674" display="https://mem.gob.gt/que-hacemos/area-energetica/publicaciones/estadisticas/balance-energetico/"/>
    <hyperlink ref="I676" r:id="rId675" display="https://mem.gob.gt/que-hacemos/area-energetica/publicaciones/estadisticas/balance-energetico/"/>
    <hyperlink ref="I677" r:id="rId676" display="https://mem.gob.gt/que-hacemos/area-energetica/publicaciones/estadisticas/balance-energetico/"/>
    <hyperlink ref="I678" r:id="rId677" display="https://mem.gob.gt/que-hacemos/area-energetica/publicaciones/estadisticas/balance-energetico/"/>
    <hyperlink ref="I679" r:id="rId678" display="https://mem.gob.gt/que-hacemos/area-energetica/publicaciones/estadisticas/balance-energetico/"/>
    <hyperlink ref="I680" r:id="rId679" display="https://mem.gob.gt/que-hacemos/area-energetica/publicaciones/estadisticas/balance-energetico/"/>
    <hyperlink ref="I681" r:id="rId680" display="https://mem.gob.gt/que-hacemos/area-energetica/publicaciones/estadisticas/balance-energetico/"/>
    <hyperlink ref="I682" r:id="rId681" display="https://mem.gob.gt/que-hacemos/area-energetica/publicaciones/estadisticas/balance-energetico/"/>
    <hyperlink ref="I683" r:id="rId682" display="https://mem.gob.gt/que-hacemos/area-energetica/publicaciones/estadisticas/balance-energetico/"/>
    <hyperlink ref="I684" r:id="rId683" display="https://mem.gob.gt/que-hacemos/area-energetica/publicaciones/estadisticas/balance-energetico/"/>
    <hyperlink ref="I685" r:id="rId684" display="https://mem.gob.gt/que-hacemos/area-energetica/publicaciones/estadisticas/balance-energetico/"/>
    <hyperlink ref="I686" r:id="rId685" display="https://mem.gob.gt/que-hacemos/area-energetica/publicaciones/estadisticas/balance-energetico/"/>
    <hyperlink ref="I687" r:id="rId686" display="https://mem.gob.gt/que-hacemos/area-energetica/publicaciones/estadisticas/balance-energetico/"/>
    <hyperlink ref="I688" r:id="rId687" display="https://mem.gob.gt/que-hacemos/area-energetica/publicaciones/estadisticas/balance-energetico/"/>
    <hyperlink ref="I689" r:id="rId688" display="https://mem.gob.gt/que-hacemos/area-energetica/publicaciones/estadisticas/balance-energetico/"/>
    <hyperlink ref="I690" r:id="rId689" display="https://mem.gob.gt/que-hacemos/area-energetica/publicaciones/estadisticas/balance-energetico/"/>
    <hyperlink ref="I691" r:id="rId690" display="https://mem.gob.gt/que-hacemos/area-energetica/publicaciones/estadisticas/balance-energetico/"/>
    <hyperlink ref="I692" r:id="rId691" display="https://mem.gob.gt/que-hacemos/area-energetica/publicaciones/estadisticas/balance-energetico/"/>
    <hyperlink ref="I693" r:id="rId692" display="https://mem.gob.gt/que-hacemos/area-energetica/publicaciones/estadisticas/balance-energetico/"/>
    <hyperlink ref="I694" r:id="rId693" display="https://mem.gob.gt/que-hacemos/area-energetica/publicaciones/estadisticas/balance-energetico/"/>
    <hyperlink ref="I695" r:id="rId694" display="https://mem.gob.gt/que-hacemos/area-energetica/publicaciones/estadisticas/balance-energetico/"/>
    <hyperlink ref="I696" r:id="rId695" display="https://mem.gob.gt/que-hacemos/area-energetica/publicaciones/estadisticas/balance-energetico/"/>
    <hyperlink ref="I697" r:id="rId696" display="https://mem.gob.gt/que-hacemos/area-energetica/publicaciones/estadisticas/balance-energetico/"/>
    <hyperlink ref="I698" r:id="rId697" display="https://mem.gob.gt/que-hacemos/area-energetica/publicaciones/estadisticas/balance-energetico/"/>
    <hyperlink ref="I699" r:id="rId698" display="https://mem.gob.gt/que-hacemos/area-energetica/publicaciones/estadisticas/balance-energetico/"/>
    <hyperlink ref="I700" r:id="rId699" display="https://mem.gob.gt/que-hacemos/area-energetica/publicaciones/estadisticas/balance-energetico/"/>
    <hyperlink ref="I701" r:id="rId700" display="https://mem.gob.gt/que-hacemos/area-energetica/publicaciones/estadisticas/balance-energetico/"/>
    <hyperlink ref="I702" r:id="rId701" display="https://mem.gob.gt/que-hacemos/area-energetica/publicaciones/estadisticas/balance-energetico/"/>
    <hyperlink ref="I703" r:id="rId702" display="https://mem.gob.gt/que-hacemos/area-energetica/publicaciones/estadisticas/balance-energetico/"/>
    <hyperlink ref="I704" r:id="rId703" display="https://mem.gob.gt/que-hacemos/area-energetica/publicaciones/estadisticas/balance-energetico/"/>
    <hyperlink ref="I705" r:id="rId704" display="https://mem.gob.gt/que-hacemos/area-energetica/publicaciones/estadisticas/balance-energetico/"/>
    <hyperlink ref="I706" r:id="rId705" display="https://mem.gob.gt/que-hacemos/area-energetica/publicaciones/estadisticas/balance-energetico/"/>
    <hyperlink ref="I707" r:id="rId706" display="https://mem.gob.gt/que-hacemos/area-energetica/publicaciones/estadisticas/balance-energetico/"/>
    <hyperlink ref="I708" r:id="rId707" display="https://mem.gob.gt/que-hacemos/area-energetica/publicaciones/estadisticas/balance-energetico/"/>
    <hyperlink ref="I709" r:id="rId708" display="https://mem.gob.gt/que-hacemos/area-energetica/publicaciones/estadisticas/balance-energetico/"/>
    <hyperlink ref="I710" r:id="rId709" display="https://mem.gob.gt/que-hacemos/area-energetica/publicaciones/estadisticas/balance-energetico/"/>
    <hyperlink ref="I711" r:id="rId710" display="https://mem.gob.gt/que-hacemos/area-energetica/publicaciones/estadisticas/balance-energetico/"/>
    <hyperlink ref="I712" r:id="rId711" display="https://mem.gob.gt/que-hacemos/area-energetica/publicaciones/estadisticas/balance-energetico/"/>
    <hyperlink ref="I713" r:id="rId712" display="https://mem.gob.gt/que-hacemos/area-energetica/publicaciones/estadisticas/balance-energetico/"/>
    <hyperlink ref="I714" r:id="rId713" display="https://mem.gob.gt/que-hacemos/area-energetica/publicaciones/estadisticas/balance-energetico/"/>
    <hyperlink ref="I715" r:id="rId714" display="https://mem.gob.gt/que-hacemos/area-energetica/publicaciones/estadisticas/balance-energetico/"/>
    <hyperlink ref="I716" r:id="rId715" display="https://mem.gob.gt/que-hacemos/area-energetica/publicaciones/estadisticas/balance-energetico/"/>
    <hyperlink ref="I717" r:id="rId716" display="https://mem.gob.gt/que-hacemos/area-energetica/publicaciones/estadisticas/balance-energetico/"/>
    <hyperlink ref="I718" r:id="rId717" display="https://mem.gob.gt/que-hacemos/area-energetica/publicaciones/estadisticas/balance-energetico/"/>
    <hyperlink ref="I719" r:id="rId718" display="https://mem.gob.gt/que-hacemos/area-energetica/publicaciones/estadisticas/balance-energetico/"/>
    <hyperlink ref="I720" r:id="rId719" display="https://mem.gob.gt/que-hacemos/area-energetica/publicaciones/estadisticas/balance-energetico/"/>
    <hyperlink ref="I721" r:id="rId720" display="https://mem.gob.gt/que-hacemos/area-energetica/publicaciones/estadisticas/balance-energetico/"/>
    <hyperlink ref="I722" r:id="rId721" display="https://mem.gob.gt/que-hacemos/area-energetica/publicaciones/estadisticas/balance-energetico/"/>
    <hyperlink ref="I723" r:id="rId722" display="https://mem.gob.gt/que-hacemos/area-energetica/publicaciones/estadisticas/balance-energetico/"/>
    <hyperlink ref="I724" r:id="rId723" display="https://mem.gob.gt/que-hacemos/area-energetica/publicaciones/estadisticas/balance-energetico/"/>
    <hyperlink ref="I725" r:id="rId724" display="https://mem.gob.gt/que-hacemos/area-energetica/publicaciones/estadisticas/balance-energetico/"/>
    <hyperlink ref="I726" r:id="rId725" display="https://mem.gob.gt/que-hacemos/area-energetica/publicaciones/estadisticas/balance-energetico/"/>
    <hyperlink ref="I727" r:id="rId726" display="https://mem.gob.gt/que-hacemos/area-energetica/publicaciones/estadisticas/balance-energetico/"/>
    <hyperlink ref="I728" r:id="rId727" display="https://mem.gob.gt/que-hacemos/area-energetica/publicaciones/estadisticas/balance-energetico/"/>
    <hyperlink ref="I729" r:id="rId728" display="https://mem.gob.gt/que-hacemos/area-energetica/publicaciones/estadisticas/balance-energetico/"/>
    <hyperlink ref="I730" r:id="rId729" display="https://mem.gob.gt/que-hacemos/area-energetica/publicaciones/estadisticas/balance-energetico/"/>
    <hyperlink ref="I731" r:id="rId730" display="https://mem.gob.gt/que-hacemos/area-energetica/publicaciones/estadisticas/balance-energetico/"/>
    <hyperlink ref="I732" r:id="rId731" display="https://mem.gob.gt/que-hacemos/area-energetica/publicaciones/estadisticas/balance-energetico/"/>
    <hyperlink ref="I733" r:id="rId732" display="https://mem.gob.gt/que-hacemos/area-energetica/publicaciones/estadisticas/balance-energetico/"/>
    <hyperlink ref="I734" r:id="rId733" display="https://mem.gob.gt/que-hacemos/area-energetica/publicaciones/estadisticas/balance-energetico/"/>
    <hyperlink ref="I735" r:id="rId734" display="https://mem.gob.gt/que-hacemos/area-energetica/publicaciones/estadisticas/balance-energetico/"/>
    <hyperlink ref="I736" r:id="rId735" display="https://mem.gob.gt/que-hacemos/area-energetica/publicaciones/estadisticas/balance-energetico/"/>
    <hyperlink ref="I737" r:id="rId736" display="https://mem.gob.gt/que-hacemos/area-energetica/publicaciones/estadisticas/balance-energetico/"/>
    <hyperlink ref="I738" r:id="rId737" display="https://mem.gob.gt/que-hacemos/area-energetica/publicaciones/estadisticas/balance-energetico/"/>
    <hyperlink ref="I739" r:id="rId738" display="https://mem.gob.gt/que-hacemos/area-energetica/publicaciones/estadisticas/balance-energetico/"/>
    <hyperlink ref="I740" r:id="rId739" display="https://mem.gob.gt/que-hacemos/area-energetica/publicaciones/estadisticas/balance-energetico/"/>
    <hyperlink ref="I741" r:id="rId740" display="https://mem.gob.gt/que-hacemos/area-energetica/publicaciones/estadisticas/balance-energetico/"/>
    <hyperlink ref="I742" r:id="rId741" display="https://mem.gob.gt/que-hacemos/area-energetica/publicaciones/estadisticas/balance-energetico/"/>
    <hyperlink ref="I743" r:id="rId742" display="https://mem.gob.gt/que-hacemos/area-energetica/publicaciones/estadisticas/balance-energetico/"/>
    <hyperlink ref="I744" r:id="rId743" display="https://mem.gob.gt/que-hacemos/area-energetica/publicaciones/estadisticas/balance-energetico/"/>
    <hyperlink ref="I745" r:id="rId744" display="https://mem.gob.gt/que-hacemos/area-energetica/publicaciones/estadisticas/balance-energetico/"/>
    <hyperlink ref="I746" r:id="rId745" display="https://mem.gob.gt/que-hacemos/area-energetica/publicaciones/estadisticas/balance-energetico/"/>
    <hyperlink ref="I747" r:id="rId746" display="https://mem.gob.gt/que-hacemos/area-energetica/publicaciones/estadisticas/balance-energetico/"/>
    <hyperlink ref="I748" r:id="rId747" display="https://mem.gob.gt/que-hacemos/area-energetica/publicaciones/estadisticas/balance-energetico/"/>
    <hyperlink ref="I749" r:id="rId748" display="https://mem.gob.gt/que-hacemos/area-energetica/publicaciones/estadisticas/balance-energetico/"/>
    <hyperlink ref="I750" r:id="rId749" display="https://mem.gob.gt/que-hacemos/area-energetica/publicaciones/estadisticas/balance-energetico/"/>
    <hyperlink ref="I751" r:id="rId750" display="https://mem.gob.gt/que-hacemos/area-energetica/publicaciones/estadisticas/balance-energetico/"/>
    <hyperlink ref="I752" r:id="rId751" display="https://mem.gob.gt/que-hacemos/area-energetica/publicaciones/estadisticas/balance-energetico/"/>
    <hyperlink ref="I753" r:id="rId752" display="https://mem.gob.gt/que-hacemos/area-energetica/publicaciones/estadisticas/balance-energetico/"/>
    <hyperlink ref="I754" r:id="rId753" display="https://mem.gob.gt/que-hacemos/area-energetica/publicaciones/estadisticas/balance-energetico/"/>
    <hyperlink ref="I755" r:id="rId754" display="https://mem.gob.gt/que-hacemos/area-energetica/publicaciones/estadisticas/balance-energetico/"/>
    <hyperlink ref="I756" r:id="rId755" display="https://mem.gob.gt/que-hacemos/area-energetica/publicaciones/estadisticas/balance-energetico/"/>
    <hyperlink ref="I757" r:id="rId756" display="https://mem.gob.gt/que-hacemos/area-energetica/publicaciones/estadisticas/balance-energetico/"/>
    <hyperlink ref="I758" r:id="rId757" display="https://mem.gob.gt/que-hacemos/area-energetica/publicaciones/estadisticas/balance-energetico/"/>
    <hyperlink ref="I759" r:id="rId758" display="https://mem.gob.gt/que-hacemos/area-energetica/publicaciones/estadisticas/balance-energetico/"/>
    <hyperlink ref="I760" r:id="rId759" display="https://mem.gob.gt/que-hacemos/area-energetica/publicaciones/estadisticas/balance-energetico/"/>
    <hyperlink ref="I761" r:id="rId760" display="https://mem.gob.gt/que-hacemos/area-energetica/publicaciones/estadisticas/balance-energetico/"/>
    <hyperlink ref="I762" r:id="rId761" display="https://mem.gob.gt/que-hacemos/area-energetica/publicaciones/estadisticas/balance-energetico/"/>
    <hyperlink ref="I763" r:id="rId762" display="https://mem.gob.gt/que-hacemos/area-energetica/publicaciones/estadisticas/balance-energetico/"/>
    <hyperlink ref="I764" r:id="rId763" display="https://mem.gob.gt/que-hacemos/area-energetica/publicaciones/estadisticas/balance-energetico/"/>
    <hyperlink ref="I765" r:id="rId764" display="https://mem.gob.gt/que-hacemos/area-energetica/publicaciones/estadisticas/balance-energetico/"/>
    <hyperlink ref="I766" r:id="rId765" display="https://mem.gob.gt/que-hacemos/area-energetica/publicaciones/estadisticas/balance-energetico/"/>
    <hyperlink ref="I767" r:id="rId766" display="https://mem.gob.gt/que-hacemos/area-energetica/publicaciones/estadisticas/balance-energetico/"/>
    <hyperlink ref="I768" r:id="rId767" display="https://mem.gob.gt/que-hacemos/area-energetica/publicaciones/estadisticas/balance-energetico/"/>
    <hyperlink ref="I769" r:id="rId768" display="https://mem.gob.gt/que-hacemos/area-energetica/publicaciones/estadisticas/balance-energetico/"/>
    <hyperlink ref="I770" r:id="rId769" display="https://mem.gob.gt/que-hacemos/area-energetica/publicaciones/estadisticas/balance-energetico/"/>
    <hyperlink ref="I771" r:id="rId770" display="https://mem.gob.gt/que-hacemos/area-energetica/publicaciones/estadisticas/balance-energetico/"/>
    <hyperlink ref="I772" r:id="rId771" display="https://mem.gob.gt/que-hacemos/area-energetica/publicaciones/estadisticas/balance-energetico/"/>
    <hyperlink ref="I773" r:id="rId772" display="https://mem.gob.gt/que-hacemos/area-energetica/publicaciones/estadisticas/balance-energetico/"/>
    <hyperlink ref="I774" r:id="rId773" display="https://mem.gob.gt/que-hacemos/area-energetica/publicaciones/estadisticas/balance-energetico/"/>
    <hyperlink ref="I775" r:id="rId774" display="https://mem.gob.gt/que-hacemos/area-energetica/publicaciones/estadisticas/balance-energetico/"/>
    <hyperlink ref="I776" r:id="rId775" display="https://mem.gob.gt/que-hacemos/area-energetica/publicaciones/estadisticas/balance-energetico/"/>
    <hyperlink ref="I777" r:id="rId776" display="https://mem.gob.gt/que-hacemos/area-energetica/publicaciones/estadisticas/balance-energetico/"/>
    <hyperlink ref="I778" r:id="rId777" display="https://mem.gob.gt/que-hacemos/area-energetica/publicaciones/estadisticas/balance-energetico/"/>
    <hyperlink ref="I779" r:id="rId778" display="https://mem.gob.gt/que-hacemos/area-energetica/publicaciones/estadisticas/balance-energetico/"/>
    <hyperlink ref="I780" r:id="rId779" display="https://mem.gob.gt/que-hacemos/area-energetica/publicaciones/estadisticas/balance-energetico/"/>
    <hyperlink ref="I781" r:id="rId780" display="https://mem.gob.gt/que-hacemos/area-energetica/publicaciones/estadisticas/balance-energetico/"/>
    <hyperlink ref="I782" r:id="rId781" display="https://mem.gob.gt/que-hacemos/area-energetica/publicaciones/estadisticas/balance-energetico/"/>
    <hyperlink ref="I783" r:id="rId782" display="https://mem.gob.gt/que-hacemos/area-energetica/publicaciones/estadisticas/balance-energetico/"/>
    <hyperlink ref="I784" r:id="rId783" display="https://mem.gob.gt/que-hacemos/area-energetica/publicaciones/estadisticas/balance-energetico/"/>
    <hyperlink ref="I785" r:id="rId784" display="https://mem.gob.gt/que-hacemos/area-energetica/publicaciones/estadisticas/balance-energetico/"/>
    <hyperlink ref="I786" r:id="rId785" display="https://mem.gob.gt/que-hacemos/area-energetica/publicaciones/estadisticas/balance-energetico/"/>
    <hyperlink ref="I787" r:id="rId786" display="https://mem.gob.gt/que-hacemos/area-energetica/publicaciones/estadisticas/balance-energetico/"/>
    <hyperlink ref="I788" r:id="rId787" display="https://mem.gob.gt/que-hacemos/area-energetica/publicaciones/estadisticas/balance-energetico/"/>
    <hyperlink ref="I789" r:id="rId788" display="https://mem.gob.gt/que-hacemos/area-energetica/publicaciones/estadisticas/balance-energetico/"/>
    <hyperlink ref="I790" r:id="rId789" display="https://mem.gob.gt/que-hacemos/area-energetica/publicaciones/estadisticas/balance-energetico/"/>
    <hyperlink ref="I791" r:id="rId790" display="https://mem.gob.gt/que-hacemos/area-energetica/publicaciones/estadisticas/balance-energetico/"/>
    <hyperlink ref="I792" r:id="rId791" display="https://mem.gob.gt/que-hacemos/area-energetica/publicaciones/estadisticas/balance-energetico/"/>
    <hyperlink ref="I793" r:id="rId792" display="https://mem.gob.gt/que-hacemos/area-energetica/publicaciones/estadisticas/balance-energetico/"/>
    <hyperlink ref="I794" r:id="rId793" display="https://mem.gob.gt/que-hacemos/area-energetica/publicaciones/estadisticas/balance-energetico/"/>
    <hyperlink ref="I795" r:id="rId794" display="https://mem.gob.gt/que-hacemos/area-energetica/publicaciones/estadisticas/balance-energetico/"/>
    <hyperlink ref="I796" r:id="rId795" display="https://mem.gob.gt/que-hacemos/area-energetica/publicaciones/estadisticas/balance-energetico/"/>
    <hyperlink ref="I797" r:id="rId796" display="https://mem.gob.gt/que-hacemos/area-energetica/publicaciones/estadisticas/balance-energetico/"/>
    <hyperlink ref="I798" r:id="rId797" display="https://mem.gob.gt/que-hacemos/area-energetica/publicaciones/estadisticas/balance-energetico/"/>
    <hyperlink ref="I799" r:id="rId798" display="https://mem.gob.gt/que-hacemos/area-energetica/publicaciones/estadisticas/balance-energetico/"/>
    <hyperlink ref="I800" r:id="rId799" display="https://mem.gob.gt/que-hacemos/area-energetica/publicaciones/estadisticas/balance-energetico/"/>
    <hyperlink ref="I801" r:id="rId800" display="https://mem.gob.gt/que-hacemos/area-energetica/publicaciones/estadisticas/balance-energetico/"/>
    <hyperlink ref="I802" r:id="rId801" display="https://mem.gob.gt/que-hacemos/area-energetica/publicaciones/estadisticas/balance-energetico/"/>
    <hyperlink ref="I803" r:id="rId802" display="https://mem.gob.gt/que-hacemos/area-energetica/publicaciones/estadisticas/balance-energetico/"/>
    <hyperlink ref="I804" r:id="rId803" display="https://mem.gob.gt/que-hacemos/area-energetica/publicaciones/estadisticas/balance-energetico/"/>
    <hyperlink ref="I805" r:id="rId804" display="https://mem.gob.gt/que-hacemos/area-energetica/publicaciones/estadisticas/balance-energetico/"/>
    <hyperlink ref="I806" r:id="rId805" display="https://mem.gob.gt/que-hacemos/area-energetica/publicaciones/estadisticas/balance-energetico/"/>
    <hyperlink ref="I807" r:id="rId806" display="https://mem.gob.gt/que-hacemos/area-energetica/publicaciones/estadisticas/balance-energetico/"/>
    <hyperlink ref="I808" r:id="rId807" display="https://mem.gob.gt/que-hacemos/area-energetica/publicaciones/estadisticas/balance-energetico/"/>
    <hyperlink ref="I809" r:id="rId808" display="https://mem.gob.gt/que-hacemos/area-energetica/publicaciones/estadisticas/balance-energetico/"/>
    <hyperlink ref="I810" r:id="rId809" display="https://mem.gob.gt/que-hacemos/area-energetica/publicaciones/estadisticas/balance-energetico/"/>
    <hyperlink ref="I811" r:id="rId810" display="https://mem.gob.gt/que-hacemos/area-energetica/publicaciones/estadisticas/balance-energetico/"/>
    <hyperlink ref="I812" r:id="rId811" display="https://mem.gob.gt/que-hacemos/area-energetica/publicaciones/estadisticas/balance-energetico/"/>
    <hyperlink ref="I813" r:id="rId812" display="https://mem.gob.gt/que-hacemos/area-energetica/publicaciones/estadisticas/balance-energetico/"/>
    <hyperlink ref="I814" r:id="rId813" display="https://mem.gob.gt/que-hacemos/area-energetica/publicaciones/estadisticas/balance-energetico/"/>
    <hyperlink ref="I815" r:id="rId814" display="https://mem.gob.gt/que-hacemos/area-energetica/publicaciones/estadisticas/balance-energetico/"/>
    <hyperlink ref="I816" r:id="rId815" display="https://mem.gob.gt/que-hacemos/area-energetica/publicaciones/estadisticas/balance-energetico/"/>
    <hyperlink ref="I817" r:id="rId816" display="https://mem.gob.gt/que-hacemos/area-energetica/publicaciones/estadisticas/balance-energetico/"/>
    <hyperlink ref="I818" r:id="rId817" display="https://mem.gob.gt/que-hacemos/area-energetica/publicaciones/estadisticas/balance-energetico/"/>
    <hyperlink ref="I819" r:id="rId818" display="https://mem.gob.gt/que-hacemos/area-energetica/publicaciones/estadisticas/balance-energetico/"/>
    <hyperlink ref="I820" r:id="rId819" display="https://mem.gob.gt/que-hacemos/area-energetica/publicaciones/estadisticas/balance-energetico/"/>
    <hyperlink ref="I821" r:id="rId820" display="https://mem.gob.gt/que-hacemos/area-energetica/publicaciones/estadisticas/balance-energetico/"/>
    <hyperlink ref="I822" r:id="rId821" display="https://mem.gob.gt/que-hacemos/area-energetica/publicaciones/estadisticas/balance-energetico/"/>
    <hyperlink ref="I823" r:id="rId822" display="https://mem.gob.gt/que-hacemos/area-energetica/publicaciones/estadisticas/balance-energetico/"/>
    <hyperlink ref="I824" r:id="rId823" display="https://mem.gob.gt/que-hacemos/area-energetica/publicaciones/estadisticas/balance-energetico/"/>
    <hyperlink ref="I825" r:id="rId824" display="https://mem.gob.gt/que-hacemos/area-energetica/publicaciones/estadisticas/balance-energetico/"/>
    <hyperlink ref="I826" r:id="rId825" display="https://mem.gob.gt/que-hacemos/area-energetica/publicaciones/estadisticas/balance-energetico/"/>
    <hyperlink ref="I827" r:id="rId826" display="https://mem.gob.gt/que-hacemos/area-energetica/publicaciones/estadisticas/balance-energetico/"/>
    <hyperlink ref="I828" r:id="rId827" display="https://mem.gob.gt/que-hacemos/area-energetica/publicaciones/estadisticas/balance-energetico/"/>
    <hyperlink ref="I829" r:id="rId828" display="https://mem.gob.gt/que-hacemos/area-energetica/publicaciones/estadisticas/balance-energetico/"/>
    <hyperlink ref="I830" r:id="rId829" display="https://mem.gob.gt/que-hacemos/area-energetica/publicaciones/estadisticas/balance-energetico/"/>
    <hyperlink ref="I831" r:id="rId830" display="https://mem.gob.gt/que-hacemos/area-energetica/publicaciones/estadisticas/balance-energetico/"/>
    <hyperlink ref="I832" r:id="rId831" display="https://mem.gob.gt/que-hacemos/area-energetica/publicaciones/estadisticas/balance-energetico/"/>
    <hyperlink ref="I833" r:id="rId832" display="https://mem.gob.gt/que-hacemos/area-energetica/publicaciones/estadisticas/balance-energetico/"/>
    <hyperlink ref="I834" r:id="rId833" display="https://mem.gob.gt/que-hacemos/area-energetica/publicaciones/estadisticas/balance-energetico/"/>
    <hyperlink ref="I835" r:id="rId834" display="https://mem.gob.gt/que-hacemos/area-energetica/publicaciones/estadisticas/balance-energetico/"/>
    <hyperlink ref="I836" r:id="rId835" display="https://mem.gob.gt/que-hacemos/area-energetica/publicaciones/estadisticas/balance-energetico/"/>
    <hyperlink ref="I837" r:id="rId836" display="https://mem.gob.gt/que-hacemos/area-energetica/publicaciones/estadisticas/balance-energetico/"/>
    <hyperlink ref="I838" r:id="rId837" display="https://mem.gob.gt/que-hacemos/area-energetica/publicaciones/estadisticas/balance-energetico/"/>
    <hyperlink ref="I839" r:id="rId838" display="https://mem.gob.gt/que-hacemos/area-energetica/publicaciones/estadisticas/balance-energetico/"/>
    <hyperlink ref="I840" r:id="rId839" display="https://mem.gob.gt/que-hacemos/area-energetica/publicaciones/estadisticas/balance-energetico/"/>
    <hyperlink ref="I841" r:id="rId840" display="https://mem.gob.gt/que-hacemos/area-energetica/publicaciones/estadisticas/balance-energetico/"/>
    <hyperlink ref="I842" r:id="rId841" display="https://mem.gob.gt/que-hacemos/area-energetica/publicaciones/estadisticas/balance-energetico/"/>
    <hyperlink ref="I843" r:id="rId842" display="https://mem.gob.gt/que-hacemos/area-energetica/publicaciones/estadisticas/balance-energetico/"/>
    <hyperlink ref="I844" r:id="rId843" display="https://mem.gob.gt/que-hacemos/area-energetica/publicaciones/estadisticas/balance-energetico/"/>
    <hyperlink ref="I845" r:id="rId844" display="https://mem.gob.gt/que-hacemos/area-energetica/publicaciones/estadisticas/balance-energetico/"/>
    <hyperlink ref="I846" r:id="rId845" display="https://mem.gob.gt/que-hacemos/area-energetica/publicaciones/estadisticas/balance-energetico/"/>
    <hyperlink ref="I847" r:id="rId846" display="https://mem.gob.gt/que-hacemos/area-energetica/publicaciones/estadisticas/balance-energetico/"/>
    <hyperlink ref="I848" r:id="rId847" display="https://mem.gob.gt/que-hacemos/area-energetica/publicaciones/estadisticas/balance-energetico/"/>
    <hyperlink ref="I849" r:id="rId848" display="https://mem.gob.gt/que-hacemos/area-energetica/publicaciones/estadisticas/balance-energetico/"/>
    <hyperlink ref="I850" r:id="rId849" display="https://mem.gob.gt/que-hacemos/area-energetica/publicaciones/estadisticas/balance-energetico/"/>
    <hyperlink ref="I851" r:id="rId850" display="https://mem.gob.gt/que-hacemos/area-energetica/publicaciones/estadisticas/balance-energetico/"/>
    <hyperlink ref="I852" r:id="rId851" display="https://mem.gob.gt/que-hacemos/area-energetica/publicaciones/estadisticas/balance-energetico/"/>
    <hyperlink ref="I853" r:id="rId852" display="https://mem.gob.gt/que-hacemos/area-energetica/publicaciones/estadisticas/balance-energetico/"/>
    <hyperlink ref="I854" r:id="rId853" display="https://mem.gob.gt/que-hacemos/area-energetica/publicaciones/estadisticas/balance-energetico/"/>
    <hyperlink ref="I855" r:id="rId854" display="https://mem.gob.gt/que-hacemos/area-energetica/publicaciones/estadisticas/balance-energetico/"/>
    <hyperlink ref="I856" r:id="rId855" display="https://mem.gob.gt/que-hacemos/area-energetica/publicaciones/estadisticas/balance-energetico/"/>
    <hyperlink ref="I857" r:id="rId856" display="https://mem.gob.gt/que-hacemos/area-energetica/publicaciones/estadisticas/balance-energetico/"/>
    <hyperlink ref="I858" r:id="rId857" display="https://mem.gob.gt/que-hacemos/area-energetica/publicaciones/estadisticas/balance-energetico/"/>
    <hyperlink ref="I859" r:id="rId858" display="https://mem.gob.gt/que-hacemos/area-energetica/publicaciones/estadisticas/balance-energetico/"/>
    <hyperlink ref="I860" r:id="rId859" display="https://mem.gob.gt/que-hacemos/area-energetica/publicaciones/estadisticas/balance-energetico/"/>
    <hyperlink ref="I861" r:id="rId860" display="https://mem.gob.gt/que-hacemos/area-energetica/publicaciones/estadisticas/balance-energetico/"/>
    <hyperlink ref="I862" r:id="rId861" display="https://mem.gob.gt/que-hacemos/area-energetica/publicaciones/estadisticas/balance-energetico/"/>
    <hyperlink ref="I863" r:id="rId862" display="https://mem.gob.gt/que-hacemos/area-energetica/publicaciones/estadisticas/balance-energetico/"/>
    <hyperlink ref="I864" r:id="rId863" display="https://mem.gob.gt/que-hacemos/area-energetica/publicaciones/estadisticas/balance-energetico/"/>
    <hyperlink ref="I865" r:id="rId864" display="https://mem.gob.gt/que-hacemos/area-energetica/publicaciones/estadisticas/balance-energetico/"/>
    <hyperlink ref="I866" r:id="rId865" display="https://mem.gob.gt/que-hacemos/area-energetica/publicaciones/estadisticas/balance-energetico/"/>
    <hyperlink ref="I867" r:id="rId866" display="https://mem.gob.gt/que-hacemos/area-energetica/publicaciones/estadisticas/balance-energetico/"/>
    <hyperlink ref="I868" r:id="rId867" display="https://mem.gob.gt/que-hacemos/area-energetica/publicaciones/estadisticas/balance-energetico/"/>
    <hyperlink ref="I869" r:id="rId868" display="https://mem.gob.gt/que-hacemos/area-energetica/publicaciones/estadisticas/balance-energetico/"/>
    <hyperlink ref="I870" r:id="rId869" display="https://mem.gob.gt/que-hacemos/area-energetica/publicaciones/estadisticas/balance-energetico/"/>
    <hyperlink ref="I871" r:id="rId870" display="https://mem.gob.gt/que-hacemos/area-energetica/publicaciones/estadisticas/balance-energetico/"/>
    <hyperlink ref="I872" r:id="rId871" display="https://mem.gob.gt/que-hacemos/area-energetica/publicaciones/estadisticas/balance-energetico/"/>
    <hyperlink ref="I873" r:id="rId872" display="https://mem.gob.gt/que-hacemos/area-energetica/publicaciones/estadisticas/balance-energetico/"/>
    <hyperlink ref="I874" r:id="rId873" display="https://mem.gob.gt/que-hacemos/area-energetica/publicaciones/estadisticas/balance-energetico/"/>
    <hyperlink ref="I875" r:id="rId874" display="https://mem.gob.gt/que-hacemos/area-energetica/publicaciones/estadisticas/balance-energetico/"/>
    <hyperlink ref="I876" r:id="rId875" display="https://mem.gob.gt/que-hacemos/area-energetica/publicaciones/estadisticas/balance-energetico/"/>
    <hyperlink ref="I877" r:id="rId876" display="https://mem.gob.gt/que-hacemos/area-energetica/publicaciones/estadisticas/balance-energetico/"/>
    <hyperlink ref="I878" r:id="rId877" display="https://mem.gob.gt/que-hacemos/area-energetica/publicaciones/estadisticas/balance-energetico/"/>
    <hyperlink ref="I879" r:id="rId878" display="https://mem.gob.gt/que-hacemos/area-energetica/publicaciones/estadisticas/balance-energetico/"/>
    <hyperlink ref="I880" r:id="rId879" display="https://mem.gob.gt/que-hacemos/area-energetica/publicaciones/estadisticas/balance-energetico/"/>
    <hyperlink ref="I881" r:id="rId880" display="https://mem.gob.gt/que-hacemos/area-energetica/publicaciones/estadisticas/balance-energetico/"/>
    <hyperlink ref="I882" r:id="rId881" display="https://mem.gob.gt/que-hacemos/area-energetica/publicaciones/estadisticas/balance-energetico/"/>
    <hyperlink ref="I883" r:id="rId882" display="https://mem.gob.gt/que-hacemos/area-energetica/publicaciones/estadisticas/balance-energetico/"/>
    <hyperlink ref="I884" r:id="rId883" display="https://mem.gob.gt/que-hacemos/area-energetica/publicaciones/estadisticas/balance-energetico/"/>
    <hyperlink ref="I885" r:id="rId884" display="https://mem.gob.gt/que-hacemos/area-energetica/publicaciones/estadisticas/balance-energetico/"/>
    <hyperlink ref="I886" r:id="rId885" display="https://mem.gob.gt/que-hacemos/area-energetica/publicaciones/estadisticas/balance-energetico/"/>
    <hyperlink ref="I887" r:id="rId886" display="https://mem.gob.gt/que-hacemos/area-energetica/publicaciones/estadisticas/balance-energetico/"/>
    <hyperlink ref="I888" r:id="rId887" display="https://mem.gob.gt/que-hacemos/area-energetica/publicaciones/estadisticas/balance-energetico/"/>
    <hyperlink ref="I889" r:id="rId888" display="https://mem.gob.gt/que-hacemos/area-energetica/publicaciones/estadisticas/balance-energetico/"/>
    <hyperlink ref="I890" r:id="rId889" display="https://mem.gob.gt/que-hacemos/area-energetica/publicaciones/estadisticas/balance-energetico/"/>
    <hyperlink ref="I891" r:id="rId890" display="https://mem.gob.gt/que-hacemos/area-energetica/publicaciones/estadisticas/balance-energetico/"/>
    <hyperlink ref="I892" r:id="rId891" display="https://mem.gob.gt/que-hacemos/area-energetica/publicaciones/estadisticas/balance-energetico/"/>
    <hyperlink ref="I893" r:id="rId892" display="https://mem.gob.gt/que-hacemos/area-energetica/publicaciones/estadisticas/balance-energetico/"/>
    <hyperlink ref="I894" r:id="rId893" display="https://mem.gob.gt/que-hacemos/area-energetica/publicaciones/estadisticas/balance-energetico/"/>
    <hyperlink ref="I895" r:id="rId894" display="https://mem.gob.gt/que-hacemos/area-energetica/publicaciones/estadisticas/balance-energetico/"/>
    <hyperlink ref="I896" r:id="rId895" display="https://mem.gob.gt/que-hacemos/area-energetica/publicaciones/estadisticas/balance-energetico/"/>
    <hyperlink ref="I897" r:id="rId896" display="https://mem.gob.gt/que-hacemos/area-energetica/publicaciones/estadisticas/balance-energetico/"/>
    <hyperlink ref="I898" r:id="rId897" display="https://mem.gob.gt/que-hacemos/area-energetica/publicaciones/estadisticas/balance-energetico/"/>
    <hyperlink ref="I899" r:id="rId898" display="https://mem.gob.gt/que-hacemos/area-energetica/publicaciones/estadisticas/balance-energetico/"/>
    <hyperlink ref="I900" r:id="rId899" display="https://mem.gob.gt/que-hacemos/area-energetica/publicaciones/estadisticas/balance-energetico/"/>
    <hyperlink ref="I901" r:id="rId900" display="https://mem.gob.gt/que-hacemos/area-energetica/publicaciones/estadisticas/balance-energetico/"/>
    <hyperlink ref="I902" r:id="rId901" display="https://mem.gob.gt/que-hacemos/area-energetica/publicaciones/estadisticas/balance-energetico/"/>
    <hyperlink ref="I903" r:id="rId902" display="https://mem.gob.gt/que-hacemos/area-energetica/publicaciones/estadisticas/balance-energetico/"/>
    <hyperlink ref="I904" r:id="rId903" display="https://mem.gob.gt/que-hacemos/area-energetica/publicaciones/estadisticas/balance-energetico/"/>
    <hyperlink ref="I905" r:id="rId904" display="https://mem.gob.gt/que-hacemos/area-energetica/publicaciones/estadisticas/balance-energetico/"/>
    <hyperlink ref="I906" r:id="rId905" display="https://mem.gob.gt/que-hacemos/area-energetica/publicaciones/estadisticas/balance-energetico/"/>
    <hyperlink ref="I907" r:id="rId906" display="https://mem.gob.gt/que-hacemos/area-energetica/publicaciones/estadisticas/balance-energetico/"/>
    <hyperlink ref="I908" r:id="rId907" display="https://mem.gob.gt/que-hacemos/area-energetica/publicaciones/estadisticas/balance-energetico/"/>
    <hyperlink ref="I909" r:id="rId908" display="https://mem.gob.gt/que-hacemos/area-energetica/publicaciones/estadisticas/balance-energetico/"/>
    <hyperlink ref="I910" r:id="rId909" display="https://mem.gob.gt/que-hacemos/area-energetica/publicaciones/estadisticas/balance-energetico/"/>
    <hyperlink ref="I911" r:id="rId910" display="https://mem.gob.gt/que-hacemos/area-energetica/publicaciones/estadisticas/balance-energetico/"/>
    <hyperlink ref="I912" r:id="rId911" display="https://mem.gob.gt/que-hacemos/area-energetica/publicaciones/estadisticas/balance-energetico/"/>
    <hyperlink ref="I913" r:id="rId912" display="https://mem.gob.gt/que-hacemos/area-energetica/publicaciones/estadisticas/balance-energetico/"/>
    <hyperlink ref="I914" r:id="rId913" display="https://mem.gob.gt/que-hacemos/area-energetica/publicaciones/estadisticas/balance-energetico/"/>
    <hyperlink ref="I915" r:id="rId914" display="https://mem.gob.gt/que-hacemos/area-energetica/publicaciones/estadisticas/balance-energetico/"/>
    <hyperlink ref="I916" r:id="rId915" display="https://mem.gob.gt/que-hacemos/area-energetica/publicaciones/estadisticas/balance-energetico/"/>
    <hyperlink ref="I917" r:id="rId916" display="https://mem.gob.gt/que-hacemos/area-energetica/publicaciones/estadisticas/balance-energetico/"/>
    <hyperlink ref="I918" r:id="rId917" display="https://mem.gob.gt/que-hacemos/area-energetica/publicaciones/estadisticas/balance-energetico/"/>
    <hyperlink ref="I919" r:id="rId918" display="https://mem.gob.gt/que-hacemos/area-energetica/publicaciones/estadisticas/balance-energetico/"/>
    <hyperlink ref="I920" r:id="rId919" display="https://mem.gob.gt/que-hacemos/area-energetica/publicaciones/estadisticas/balance-energetico/"/>
    <hyperlink ref="I921" r:id="rId920" display="https://mem.gob.gt/que-hacemos/area-energetica/publicaciones/estadisticas/balance-energetico/"/>
    <hyperlink ref="I922" r:id="rId921" display="https://mem.gob.gt/que-hacemos/area-energetica/publicaciones/estadisticas/balance-energetico/"/>
    <hyperlink ref="I923" r:id="rId922" display="https://mem.gob.gt/que-hacemos/area-energetica/publicaciones/estadisticas/balance-energetico/"/>
    <hyperlink ref="I924" r:id="rId923" display="https://mem.gob.gt/que-hacemos/area-energetica/publicaciones/estadisticas/balance-energetico/"/>
    <hyperlink ref="I925" r:id="rId924" display="https://mem.gob.gt/que-hacemos/area-energetica/publicaciones/estadisticas/balance-energetico/"/>
    <hyperlink ref="I926" r:id="rId925" display="https://mem.gob.gt/que-hacemos/area-energetica/publicaciones/estadisticas/balance-energetico/"/>
    <hyperlink ref="I927" r:id="rId926" display="https://mem.gob.gt/que-hacemos/area-energetica/publicaciones/estadisticas/balance-energetico/"/>
    <hyperlink ref="I928" r:id="rId927" display="https://mem.gob.gt/que-hacemos/area-energetica/publicaciones/estadisticas/balance-energetico/"/>
    <hyperlink ref="I929" r:id="rId928" display="https://mem.gob.gt/que-hacemos/area-energetica/publicaciones/estadisticas/balance-energetico/"/>
    <hyperlink ref="I930" r:id="rId929" display="https://mem.gob.gt/que-hacemos/area-energetica/publicaciones/estadisticas/balance-energetico/"/>
    <hyperlink ref="I931" r:id="rId930" display="https://mem.gob.gt/que-hacemos/area-energetica/publicaciones/estadisticas/balance-energetico/"/>
    <hyperlink ref="I932" r:id="rId931" display="https://mem.gob.gt/que-hacemos/area-energetica/publicaciones/estadisticas/balance-energetico/"/>
    <hyperlink ref="I933" r:id="rId932" display="https://mem.gob.gt/que-hacemos/area-energetica/publicaciones/estadisticas/balance-energetico/"/>
    <hyperlink ref="I934" r:id="rId933" display="https://mem.gob.gt/que-hacemos/area-energetica/publicaciones/estadisticas/balance-energetico/"/>
    <hyperlink ref="I935" r:id="rId934" display="https://mem.gob.gt/que-hacemos/area-energetica/publicaciones/estadisticas/balance-energetico/"/>
    <hyperlink ref="I936" r:id="rId935" display="https://mem.gob.gt/que-hacemos/area-energetica/publicaciones/estadisticas/balance-energetico/"/>
    <hyperlink ref="I937" r:id="rId936" display="https://mem.gob.gt/que-hacemos/area-energetica/publicaciones/estadisticas/balance-energetico/"/>
    <hyperlink ref="I938" r:id="rId937" display="https://mem.gob.gt/que-hacemos/area-energetica/publicaciones/estadisticas/balance-energetico/"/>
    <hyperlink ref="I939" r:id="rId938" display="https://mem.gob.gt/que-hacemos/area-energetica/publicaciones/estadisticas/balance-energetico/"/>
    <hyperlink ref="I940" r:id="rId939" display="https://mem.gob.gt/que-hacemos/area-energetica/publicaciones/estadisticas/balance-energetico/"/>
    <hyperlink ref="I941" r:id="rId940" display="https://mem.gob.gt/que-hacemos/area-energetica/publicaciones/estadisticas/balance-energetico/"/>
    <hyperlink ref="I942" r:id="rId941" display="https://mem.gob.gt/que-hacemos/area-energetica/publicaciones/estadisticas/balance-energetico/"/>
    <hyperlink ref="I943" r:id="rId942" display="https://mem.gob.gt/que-hacemos/area-energetica/publicaciones/estadisticas/balance-energetico/"/>
    <hyperlink ref="I944" r:id="rId943" display="https://mem.gob.gt/que-hacemos/area-energetica/publicaciones/estadisticas/balance-energetico/"/>
    <hyperlink ref="I945" r:id="rId944" display="https://mem.gob.gt/que-hacemos/area-energetica/publicaciones/estadisticas/balance-energetico/"/>
    <hyperlink ref="I946" r:id="rId945" display="https://mem.gob.gt/que-hacemos/area-energetica/publicaciones/estadisticas/balance-energetico/"/>
    <hyperlink ref="I947" r:id="rId946" display="https://mem.gob.gt/que-hacemos/area-energetica/publicaciones/estadisticas/balance-energetico/"/>
    <hyperlink ref="I948" r:id="rId947" display="https://mem.gob.gt/que-hacemos/area-energetica/publicaciones/estadisticas/balance-energetico/"/>
    <hyperlink ref="I949" r:id="rId948" display="https://mem.gob.gt/que-hacemos/area-energetica/publicaciones/estadisticas/balance-energetico/"/>
    <hyperlink ref="I950" r:id="rId949" display="https://mem.gob.gt/que-hacemos/area-energetica/publicaciones/estadisticas/balance-energetico/"/>
    <hyperlink ref="I951" r:id="rId950" display="https://mem.gob.gt/que-hacemos/area-energetica/publicaciones/estadisticas/balance-energetico/"/>
    <hyperlink ref="I952" r:id="rId951" display="https://mem.gob.gt/que-hacemos/area-energetica/publicaciones/estadisticas/balance-energetico/"/>
    <hyperlink ref="I953" r:id="rId952" display="https://mem.gob.gt/que-hacemos/area-energetica/publicaciones/estadisticas/balance-energetico/"/>
    <hyperlink ref="I954" r:id="rId953" display="https://mem.gob.gt/que-hacemos/area-energetica/publicaciones/estadisticas/balance-energetico/"/>
    <hyperlink ref="I955" r:id="rId954" display="https://mem.gob.gt/que-hacemos/area-energetica/publicaciones/estadisticas/balance-energetico/"/>
    <hyperlink ref="I956" r:id="rId955" display="https://mem.gob.gt/que-hacemos/area-energetica/publicaciones/estadisticas/balance-energetico/"/>
    <hyperlink ref="I957" r:id="rId956" display="https://mem.gob.gt/que-hacemos/area-energetica/publicaciones/estadisticas/balance-energetico/"/>
    <hyperlink ref="I958" r:id="rId957" display="https://mem.gob.gt/que-hacemos/area-energetica/publicaciones/estadisticas/balance-energetico/"/>
    <hyperlink ref="I959" r:id="rId958" display="https://mem.gob.gt/que-hacemos/area-energetica/publicaciones/estadisticas/balance-energetico/"/>
    <hyperlink ref="I960" r:id="rId959" display="https://mem.gob.gt/que-hacemos/area-energetica/publicaciones/estadisticas/balance-energetico/"/>
    <hyperlink ref="I961" r:id="rId960" display="https://mem.gob.gt/que-hacemos/area-energetica/publicaciones/estadisticas/balance-energetico/"/>
    <hyperlink ref="I962" r:id="rId961" display="https://mem.gob.gt/que-hacemos/area-energetica/publicaciones/estadisticas/balance-energetico/"/>
    <hyperlink ref="I963" r:id="rId962" display="https://mem.gob.gt/que-hacemos/area-energetica/publicaciones/estadisticas/balance-energetico/"/>
    <hyperlink ref="I964" r:id="rId963" display="https://mem.gob.gt/que-hacemos/area-energetica/publicaciones/estadisticas/balance-energetico/"/>
    <hyperlink ref="I965" r:id="rId964" display="https://mem.gob.gt/que-hacemos/area-energetica/publicaciones/estadisticas/balance-energetico/"/>
    <hyperlink ref="I966" r:id="rId965" display="https://mem.gob.gt/que-hacemos/area-energetica/publicaciones/estadisticas/balance-energetico/"/>
    <hyperlink ref="I967" r:id="rId966" display="https://mem.gob.gt/que-hacemos/area-energetica/publicaciones/estadisticas/balance-energetico/"/>
    <hyperlink ref="I968" r:id="rId967" display="https://mem.gob.gt/que-hacemos/area-energetica/publicaciones/estadisticas/balance-energetico/"/>
    <hyperlink ref="I969" r:id="rId968" display="https://mem.gob.gt/que-hacemos/area-energetica/publicaciones/estadisticas/balance-energetico/"/>
    <hyperlink ref="I970" r:id="rId969" display="https://mem.gob.gt/que-hacemos/area-energetica/publicaciones/estadisticas/balance-energetico/"/>
    <hyperlink ref="I971" r:id="rId970" display="https://mem.gob.gt/que-hacemos/area-energetica/publicaciones/estadisticas/balance-energetico/"/>
    <hyperlink ref="I972" r:id="rId971" display="https://mem.gob.gt/que-hacemos/area-energetica/publicaciones/estadisticas/balance-energetico/"/>
    <hyperlink ref="I973" r:id="rId972" display="https://mem.gob.gt/que-hacemos/area-energetica/publicaciones/estadisticas/balance-energetico/"/>
    <hyperlink ref="I974" r:id="rId973" display="https://mem.gob.gt/que-hacemos/area-energetica/publicaciones/estadisticas/balance-energetico/"/>
    <hyperlink ref="I975" r:id="rId974" display="https://mem.gob.gt/que-hacemos/area-energetica/publicaciones/estadisticas/balance-energetico/"/>
    <hyperlink ref="I976" r:id="rId975" display="https://mem.gob.gt/que-hacemos/area-energetica/publicaciones/estadisticas/balance-energetico/"/>
    <hyperlink ref="I977" r:id="rId976" display="https://mem.gob.gt/que-hacemos/area-energetica/publicaciones/estadisticas/balance-energetico/"/>
    <hyperlink ref="I978" r:id="rId977" display="https://mem.gob.gt/que-hacemos/area-energetica/publicaciones/estadisticas/balance-energetico/"/>
    <hyperlink ref="I979" r:id="rId978" display="https://mem.gob.gt/que-hacemos/area-energetica/publicaciones/estadisticas/balance-energetico/"/>
    <hyperlink ref="I980" r:id="rId979" display="https://mem.gob.gt/que-hacemos/area-energetica/publicaciones/estadisticas/balance-energetico/"/>
    <hyperlink ref="I981" r:id="rId980" display="https://mem.gob.gt/que-hacemos/area-energetica/publicaciones/estadisticas/balance-energetico/"/>
    <hyperlink ref="I982" r:id="rId981" display="https://mem.gob.gt/que-hacemos/area-energetica/publicaciones/estadisticas/balance-energetico/"/>
    <hyperlink ref="I983" r:id="rId982" display="https://mem.gob.gt/que-hacemos/area-energetica/publicaciones/estadisticas/balance-energetico/"/>
    <hyperlink ref="I984" r:id="rId983" display="https://mem.gob.gt/que-hacemos/area-energetica/publicaciones/estadisticas/balance-energetico/"/>
    <hyperlink ref="I985" r:id="rId984" display="https://mem.gob.gt/que-hacemos/area-energetica/publicaciones/estadisticas/balance-energetico/"/>
    <hyperlink ref="I986" r:id="rId985" display="https://mem.gob.gt/que-hacemos/area-energetica/publicaciones/estadisticas/balance-energetico/"/>
    <hyperlink ref="I987" r:id="rId986" display="https://mem.gob.gt/que-hacemos/area-energetica/publicaciones/estadisticas/balance-energetico/"/>
    <hyperlink ref="I988" r:id="rId987" display="https://mem.gob.gt/que-hacemos/area-energetica/publicaciones/estadisticas/balance-energetico/"/>
    <hyperlink ref="I989" r:id="rId988" display="https://mem.gob.gt/que-hacemos/area-energetica/publicaciones/estadisticas/balance-energetico/"/>
    <hyperlink ref="I990" r:id="rId989" display="https://mem.gob.gt/que-hacemos/area-energetica/publicaciones/estadisticas/balance-energetico/"/>
    <hyperlink ref="I991" r:id="rId990" display="https://mem.gob.gt/que-hacemos/area-energetica/publicaciones/estadisticas/balance-energetico/"/>
    <hyperlink ref="I992" r:id="rId991" display="https://mem.gob.gt/que-hacemos/area-energetica/publicaciones/estadisticas/balance-energetico/"/>
    <hyperlink ref="I993" r:id="rId992" display="https://mem.gob.gt/que-hacemos/area-energetica/publicaciones/estadisticas/balance-energetico/"/>
    <hyperlink ref="I994" r:id="rId993" display="https://mem.gob.gt/que-hacemos/area-energetica/publicaciones/estadisticas/balance-energetico/"/>
    <hyperlink ref="I995" r:id="rId994" display="https://mem.gob.gt/que-hacemos/area-energetica/publicaciones/estadisticas/balance-energetico/"/>
    <hyperlink ref="I996" r:id="rId995" display="https://mem.gob.gt/que-hacemos/area-energetica/publicaciones/estadisticas/balance-energetico/"/>
    <hyperlink ref="I997" r:id="rId996" display="https://mem.gob.gt/que-hacemos/area-energetica/publicaciones/estadisticas/balance-energetico/"/>
    <hyperlink ref="I998" r:id="rId997" display="https://mem.gob.gt/que-hacemos/area-energetica/publicaciones/estadisticas/balance-energetico/"/>
    <hyperlink ref="I999" r:id="rId998" display="https://mem.gob.gt/que-hacemos/area-energetica/publicaciones/estadisticas/balance-energetico/"/>
    <hyperlink ref="I1000" r:id="rId999" display="https://mem.gob.gt/que-hacemos/area-energetica/publicaciones/estadisticas/balance-energetico/"/>
    <hyperlink ref="I1001" r:id="rId1000" display="https://mem.gob.gt/que-hacemos/area-energetica/publicaciones/estadisticas/balance-energetico/"/>
    <hyperlink ref="I1002" r:id="rId1001" display="https://mem.gob.gt/que-hacemos/area-energetica/publicaciones/estadisticas/balance-energetico/"/>
    <hyperlink ref="I1003" r:id="rId1002" display="https://mem.gob.gt/que-hacemos/area-energetica/publicaciones/estadisticas/balance-energetico/"/>
    <hyperlink ref="I1004" r:id="rId1003" display="https://mem.gob.gt/que-hacemos/area-energetica/publicaciones/estadisticas/balance-energetico/"/>
    <hyperlink ref="I1005" r:id="rId1004" display="https://mem.gob.gt/que-hacemos/area-energetica/publicaciones/estadisticas/balance-energetico/"/>
    <hyperlink ref="I1006" r:id="rId1005" display="https://mem.gob.gt/que-hacemos/area-energetica/publicaciones/estadisticas/balance-energetico/"/>
    <hyperlink ref="I1007" r:id="rId1006" display="https://mem.gob.gt/que-hacemos/area-energetica/publicaciones/estadisticas/balance-energetico/"/>
    <hyperlink ref="I1008" r:id="rId1007" display="https://mem.gob.gt/que-hacemos/area-energetica/publicaciones/estadisticas/balance-energetico/"/>
    <hyperlink ref="I1009" r:id="rId1008" display="https://mem.gob.gt/que-hacemos/area-energetica/publicaciones/estadisticas/balance-energetico/"/>
    <hyperlink ref="I1010" r:id="rId1009" display="https://mem.gob.gt/que-hacemos/area-energetica/publicaciones/estadisticas/balance-energetico/"/>
    <hyperlink ref="I1011" r:id="rId1010" display="https://mem.gob.gt/que-hacemos/area-energetica/publicaciones/estadisticas/balance-energetico/"/>
    <hyperlink ref="I1012" r:id="rId1011" display="https://mem.gob.gt/que-hacemos/area-energetica/publicaciones/estadisticas/balance-energetico/"/>
    <hyperlink ref="I1013" r:id="rId1012" display="https://mem.gob.gt/que-hacemos/area-energetica/publicaciones/estadisticas/balance-energetico/"/>
    <hyperlink ref="I1014" r:id="rId1013" display="https://mem.gob.gt/que-hacemos/area-energetica/publicaciones/estadisticas/balance-energetico/"/>
    <hyperlink ref="I1015" r:id="rId1014" display="https://mem.gob.gt/que-hacemos/area-energetica/publicaciones/estadisticas/balance-energetico/"/>
    <hyperlink ref="I1016" r:id="rId1015" display="https://mem.gob.gt/que-hacemos/area-energetica/publicaciones/estadisticas/balance-energetico/"/>
    <hyperlink ref="I1017" r:id="rId1016" display="https://mem.gob.gt/que-hacemos/area-energetica/publicaciones/estadisticas/balance-energetico/"/>
    <hyperlink ref="I1018" r:id="rId1017" display="https://mem.gob.gt/que-hacemos/area-energetica/publicaciones/estadisticas/balance-energetico/"/>
    <hyperlink ref="I1019" r:id="rId1018" display="https://mem.gob.gt/que-hacemos/area-energetica/publicaciones/estadisticas/balance-energetico/"/>
    <hyperlink ref="I1020" r:id="rId1019" display="https://mem.gob.gt/que-hacemos/area-energetica/publicaciones/estadisticas/balance-energetico/"/>
    <hyperlink ref="I1021" r:id="rId1020" display="https://mem.gob.gt/que-hacemos/area-energetica/publicaciones/estadisticas/balance-energetico/"/>
    <hyperlink ref="I1022" r:id="rId1021" display="https://mem.gob.gt/que-hacemos/area-energetica/publicaciones/estadisticas/balance-energetico/"/>
    <hyperlink ref="I1023" r:id="rId1022" display="https://mem.gob.gt/que-hacemos/area-energetica/publicaciones/estadisticas/balance-energetico/"/>
    <hyperlink ref="I1024" r:id="rId1023" display="https://mem.gob.gt/que-hacemos/area-energetica/publicaciones/estadisticas/balance-energetico/"/>
    <hyperlink ref="I1025" r:id="rId1024" display="https://mem.gob.gt/que-hacemos/area-energetica/publicaciones/estadisticas/balance-energetico/"/>
    <hyperlink ref="I1026" r:id="rId1025" display="https://mem.gob.gt/que-hacemos/area-energetica/publicaciones/estadisticas/balance-energetico/"/>
    <hyperlink ref="I1027" r:id="rId1026" display="https://mem.gob.gt/que-hacemos/area-energetica/publicaciones/estadisticas/balance-energetico/"/>
    <hyperlink ref="I1028" r:id="rId1027" display="https://mem.gob.gt/que-hacemos/area-energetica/publicaciones/estadisticas/balance-energetico/"/>
    <hyperlink ref="I1029" r:id="rId1028" display="https://mem.gob.gt/que-hacemos/area-energetica/publicaciones/estadisticas/balance-energetico/"/>
    <hyperlink ref="I1030" r:id="rId1029" display="https://mem.gob.gt/que-hacemos/area-energetica/publicaciones/estadisticas/balance-energetico/"/>
    <hyperlink ref="I1031" r:id="rId1030" display="https://mem.gob.gt/que-hacemos/area-energetica/publicaciones/estadisticas/balance-energetico/"/>
    <hyperlink ref="I1032" r:id="rId1031" display="https://mem.gob.gt/que-hacemos/area-energetica/publicaciones/estadisticas/balance-energetico/"/>
    <hyperlink ref="I1033" r:id="rId1032" display="https://mem.gob.gt/que-hacemos/area-energetica/publicaciones/estadisticas/balance-energetico/"/>
    <hyperlink ref="I1034" r:id="rId1033" display="https://mem.gob.gt/que-hacemos/area-energetica/publicaciones/estadisticas/balance-energetico/"/>
    <hyperlink ref="I1035" r:id="rId1034" display="https://mem.gob.gt/que-hacemos/area-energetica/publicaciones/estadisticas/balance-energetico/"/>
    <hyperlink ref="I1036" r:id="rId1035" display="https://mem.gob.gt/que-hacemos/area-energetica/publicaciones/estadisticas/balance-energetico/"/>
    <hyperlink ref="I1037" r:id="rId1036" display="https://mem.gob.gt/que-hacemos/area-energetica/publicaciones/estadisticas/balance-energetico/"/>
    <hyperlink ref="I1038" r:id="rId1037" display="https://mem.gob.gt/que-hacemos/area-energetica/publicaciones/estadisticas/balance-energetico/"/>
    <hyperlink ref="I1039" r:id="rId1038" display="https://mem.gob.gt/que-hacemos/area-energetica/publicaciones/estadisticas/balance-energetico/"/>
    <hyperlink ref="I1040" r:id="rId1039" display="https://mem.gob.gt/que-hacemos/area-energetica/publicaciones/estadisticas/balance-energetico/"/>
    <hyperlink ref="I1041" r:id="rId1040" display="https://mem.gob.gt/que-hacemos/area-energetica/publicaciones/estadisticas/balance-energetico/"/>
    <hyperlink ref="I1042" r:id="rId1041" display="https://mem.gob.gt/que-hacemos/area-energetica/publicaciones/estadisticas/balance-energetico/"/>
    <hyperlink ref="I1043" r:id="rId1042" display="https://mem.gob.gt/que-hacemos/area-energetica/publicaciones/estadisticas/balance-energetico/"/>
    <hyperlink ref="I1044" r:id="rId1043" display="https://mem.gob.gt/que-hacemos/area-energetica/publicaciones/estadisticas/balance-energetico/"/>
    <hyperlink ref="I1045" r:id="rId1044" display="https://mem.gob.gt/que-hacemos/area-energetica/publicaciones/estadisticas/balance-energetico/"/>
    <hyperlink ref="I1046" r:id="rId1045" display="https://mem.gob.gt/que-hacemos/area-energetica/publicaciones/estadisticas/balance-energetico/"/>
    <hyperlink ref="I1047" r:id="rId1046" display="https://mem.gob.gt/que-hacemos/area-energetica/publicaciones/estadisticas/balance-energetico/"/>
    <hyperlink ref="I1048" r:id="rId1047" display="https://mem.gob.gt/que-hacemos/area-energetica/publicaciones/estadisticas/balance-energetico/"/>
    <hyperlink ref="I1049" r:id="rId1048" display="https://mem.gob.gt/que-hacemos/area-energetica/publicaciones/estadisticas/balance-energetico/"/>
    <hyperlink ref="I1050" r:id="rId1049" display="https://mem.gob.gt/que-hacemos/area-energetica/publicaciones/estadisticas/balance-energetico/"/>
    <hyperlink ref="I1051" r:id="rId1050" display="https://mem.gob.gt/que-hacemos/area-energetica/publicaciones/estadisticas/balance-energetico/"/>
    <hyperlink ref="I1052" r:id="rId1051" display="https://mem.gob.gt/que-hacemos/area-energetica/publicaciones/estadisticas/balance-energetico/"/>
    <hyperlink ref="I1053" r:id="rId1052" display="https://mem.gob.gt/que-hacemos/area-energetica/publicaciones/estadisticas/balance-energetico/"/>
    <hyperlink ref="I1054" r:id="rId1053" display="https://mem.gob.gt/que-hacemos/area-energetica/publicaciones/estadisticas/balance-energetico/"/>
    <hyperlink ref="I1055" r:id="rId1054" display="https://mem.gob.gt/que-hacemos/area-energetica/publicaciones/estadisticas/balance-energetico/"/>
    <hyperlink ref="I1056" r:id="rId1055" display="https://mem.gob.gt/que-hacemos/area-energetica/publicaciones/estadisticas/balance-energetico/"/>
    <hyperlink ref="I1057" r:id="rId1056" display="https://mem.gob.gt/que-hacemos/area-energetica/publicaciones/estadisticas/balance-energetico/"/>
    <hyperlink ref="I1058" r:id="rId1057" display="https://mem.gob.gt/que-hacemos/area-energetica/publicaciones/estadisticas/balance-energetico/"/>
    <hyperlink ref="I1059" r:id="rId1058" display="https://mem.gob.gt/que-hacemos/area-energetica/publicaciones/estadisticas/balance-energetico/"/>
    <hyperlink ref="I1060" r:id="rId1059" display="https://mem.gob.gt/que-hacemos/area-energetica/publicaciones/estadisticas/balance-energetico/"/>
    <hyperlink ref="I1061" r:id="rId1060" display="https://mem.gob.gt/que-hacemos/area-energetica/publicaciones/estadisticas/balance-energetico/"/>
    <hyperlink ref="I1062" r:id="rId1061" display="https://mem.gob.gt/que-hacemos/area-energetica/publicaciones/estadisticas/balance-energetico/"/>
    <hyperlink ref="I1063" r:id="rId1062" display="https://mem.gob.gt/que-hacemos/area-energetica/publicaciones/estadisticas/balance-energetico/"/>
    <hyperlink ref="I1064" r:id="rId1063" display="https://mem.gob.gt/que-hacemos/area-energetica/publicaciones/estadisticas/balance-energetico/"/>
    <hyperlink ref="I1065" r:id="rId1064" display="https://mem.gob.gt/que-hacemos/area-energetica/publicaciones/estadisticas/balance-energetico/"/>
    <hyperlink ref="I1066" r:id="rId1065" display="https://mem.gob.gt/que-hacemos/area-energetica/publicaciones/estadisticas/balance-energetico/"/>
    <hyperlink ref="I1067" r:id="rId1066" display="https://mem.gob.gt/que-hacemos/area-energetica/publicaciones/estadisticas/balance-energetico/"/>
    <hyperlink ref="I1068" r:id="rId1067" display="https://mem.gob.gt/que-hacemos/area-energetica/publicaciones/estadisticas/balance-energetico/"/>
    <hyperlink ref="I1069" r:id="rId1068" display="https://mem.gob.gt/que-hacemos/area-energetica/publicaciones/estadisticas/balance-energetico/"/>
    <hyperlink ref="I1070" r:id="rId1069" display="https://mem.gob.gt/que-hacemos/area-energetica/publicaciones/estadisticas/balance-energetico/"/>
    <hyperlink ref="I1071" r:id="rId1070" display="https://mem.gob.gt/que-hacemos/area-energetica/publicaciones/estadisticas/balance-energetico/"/>
    <hyperlink ref="I1072" r:id="rId1071" display="https://mem.gob.gt/que-hacemos/area-energetica/publicaciones/estadisticas/balance-energetico/"/>
    <hyperlink ref="I1073" r:id="rId1072" display="https://mem.gob.gt/que-hacemos/area-energetica/publicaciones/estadisticas/balance-energetico/"/>
    <hyperlink ref="I1074" r:id="rId1073" display="https://mem.gob.gt/que-hacemos/area-energetica/publicaciones/estadisticas/balance-energetico/"/>
    <hyperlink ref="I1075" r:id="rId1074" display="https://mem.gob.gt/que-hacemos/area-energetica/publicaciones/estadisticas/balance-energetico/"/>
    <hyperlink ref="I1076" r:id="rId1075" display="https://mem.gob.gt/que-hacemos/area-energetica/publicaciones/estadisticas/balance-energetico/"/>
    <hyperlink ref="I1077" r:id="rId1076" display="https://mem.gob.gt/que-hacemos/area-energetica/publicaciones/estadisticas/balance-energetico/"/>
    <hyperlink ref="I1078" r:id="rId1077" display="https://mem.gob.gt/que-hacemos/area-energetica/publicaciones/estadisticas/balance-energetico/"/>
    <hyperlink ref="I1079" r:id="rId1078" display="https://mem.gob.gt/que-hacemos/area-energetica/publicaciones/estadisticas/balance-energetico/"/>
    <hyperlink ref="I1080" r:id="rId1079" display="https://mem.gob.gt/que-hacemos/area-energetica/publicaciones/estadisticas/balance-energetico/"/>
    <hyperlink ref="I1081" r:id="rId1080" display="https://mem.gob.gt/que-hacemos/area-energetica/publicaciones/estadisticas/balance-energetico/"/>
    <hyperlink ref="I1082" r:id="rId1081" display="https://mem.gob.gt/que-hacemos/area-energetica/publicaciones/estadisticas/balance-energetico/"/>
    <hyperlink ref="I1083" r:id="rId1082" display="https://mem.gob.gt/que-hacemos/area-energetica/publicaciones/estadisticas/balance-energetico/"/>
    <hyperlink ref="I1084" r:id="rId1083" display="https://mem.gob.gt/que-hacemos/area-energetica/publicaciones/estadisticas/balance-energetico/"/>
    <hyperlink ref="I1085" r:id="rId1084" display="https://mem.gob.gt/que-hacemos/area-energetica/publicaciones/estadisticas/balance-energetico/"/>
    <hyperlink ref="I1086" r:id="rId1085" display="https://mem.gob.gt/que-hacemos/area-energetica/publicaciones/estadisticas/balance-energetico/"/>
    <hyperlink ref="I1087" r:id="rId1086" display="https://mem.gob.gt/que-hacemos/area-energetica/publicaciones/estadisticas/balance-energetico/"/>
    <hyperlink ref="I1088" r:id="rId1087" display="https://mem.gob.gt/que-hacemos/area-energetica/publicaciones/estadisticas/balance-energetico/"/>
    <hyperlink ref="I1089" r:id="rId1088" display="https://mem.gob.gt/que-hacemos/area-energetica/publicaciones/estadisticas/balance-energetico/"/>
    <hyperlink ref="I1090" r:id="rId1089" display="https://mem.gob.gt/que-hacemos/area-energetica/publicaciones/estadisticas/balance-energetico/"/>
    <hyperlink ref="I1091" r:id="rId1090" display="https://mem.gob.gt/que-hacemos/area-energetica/publicaciones/estadisticas/balance-energetico/"/>
    <hyperlink ref="I1092" r:id="rId1091" display="https://mem.gob.gt/que-hacemos/area-energetica/publicaciones/estadisticas/balance-energetico/"/>
    <hyperlink ref="I1093" r:id="rId1092" display="https://mem.gob.gt/que-hacemos/area-energetica/publicaciones/estadisticas/balance-energetico/"/>
    <hyperlink ref="I1094" r:id="rId1093" display="https://mem.gob.gt/que-hacemos/area-energetica/publicaciones/estadisticas/balance-energetico/"/>
    <hyperlink ref="I1095" r:id="rId1094" display="https://mem.gob.gt/que-hacemos/area-energetica/publicaciones/estadisticas/balance-energetico/"/>
    <hyperlink ref="I1096" r:id="rId1095" display="https://mem.gob.gt/que-hacemos/area-energetica/publicaciones/estadisticas/balance-energetico/"/>
    <hyperlink ref="I1097" r:id="rId1096" display="https://mem.gob.gt/que-hacemos/area-energetica/publicaciones/estadisticas/balance-energetico/"/>
    <hyperlink ref="I1098" r:id="rId1097" display="https://mem.gob.gt/que-hacemos/area-energetica/publicaciones/estadisticas/balance-energetico/"/>
    <hyperlink ref="I1099" r:id="rId1098" display="https://mem.gob.gt/que-hacemos/area-energetica/publicaciones/estadisticas/balance-energetico/"/>
    <hyperlink ref="I1100" r:id="rId1099" display="https://mem.gob.gt/que-hacemos/area-energetica/publicaciones/estadisticas/balance-energetico/"/>
    <hyperlink ref="I1101" r:id="rId1100" display="https://mem.gob.gt/que-hacemos/area-energetica/publicaciones/estadisticas/balance-energetico/"/>
    <hyperlink ref="I1102" r:id="rId1101" display="https://mem.gob.gt/que-hacemos/area-energetica/publicaciones/estadisticas/balance-energetico/"/>
    <hyperlink ref="I1103" r:id="rId1102" display="https://mem.gob.gt/que-hacemos/area-energetica/publicaciones/estadisticas/balance-energetico/"/>
    <hyperlink ref="I1104" r:id="rId1103" display="https://mem.gob.gt/que-hacemos/area-energetica/publicaciones/estadisticas/balance-energetico/"/>
    <hyperlink ref="I1105" r:id="rId1104" display="https://mem.gob.gt/que-hacemos/area-energetica/publicaciones/estadisticas/balance-energetico/"/>
    <hyperlink ref="I1106" r:id="rId1105" display="https://mem.gob.gt/que-hacemos/area-energetica/publicaciones/estadisticas/balance-energetico/"/>
    <hyperlink ref="I1107" r:id="rId1106" display="https://mem.gob.gt/que-hacemos/area-energetica/publicaciones/estadisticas/balance-energetico/"/>
    <hyperlink ref="I1108" r:id="rId1107" display="https://mem.gob.gt/que-hacemos/area-energetica/publicaciones/estadisticas/balance-energetico/"/>
    <hyperlink ref="I1109" r:id="rId1108" display="https://mem.gob.gt/que-hacemos/area-energetica/publicaciones/estadisticas/balance-energetico/"/>
    <hyperlink ref="I1110" r:id="rId1109" display="https://mem.gob.gt/que-hacemos/area-energetica/publicaciones/estadisticas/balance-energetico/"/>
    <hyperlink ref="I1111" r:id="rId1110" display="https://mem.gob.gt/que-hacemos/area-energetica/publicaciones/estadisticas/balance-energetico/"/>
    <hyperlink ref="I1112" r:id="rId1111" display="https://mem.gob.gt/que-hacemos/area-energetica/publicaciones/estadisticas/balance-energetico/"/>
    <hyperlink ref="I1113" r:id="rId1112" display="https://mem.gob.gt/que-hacemos/area-energetica/publicaciones/estadisticas/balance-energetico/"/>
    <hyperlink ref="I1114" r:id="rId1113" display="https://mem.gob.gt/que-hacemos/area-energetica/publicaciones/estadisticas/balance-energetico/"/>
    <hyperlink ref="I1115" r:id="rId1114" display="https://mem.gob.gt/que-hacemos/area-energetica/publicaciones/estadisticas/balance-energetico/"/>
    <hyperlink ref="I1116" r:id="rId1115" display="https://mem.gob.gt/que-hacemos/area-energetica/publicaciones/estadisticas/balance-energetico/"/>
    <hyperlink ref="I1117" r:id="rId1116" display="https://mem.gob.gt/que-hacemos/area-energetica/publicaciones/estadisticas/balance-energetico/"/>
    <hyperlink ref="I1118" r:id="rId1117" display="https://mem.gob.gt/que-hacemos/area-energetica/publicaciones/estadisticas/balance-energetico/"/>
    <hyperlink ref="I1119" r:id="rId1118" display="https://mem.gob.gt/que-hacemos/area-energetica/publicaciones/estadisticas/balance-energetico/"/>
    <hyperlink ref="I1120" r:id="rId1119" display="https://mem.gob.gt/que-hacemos/area-energetica/publicaciones/estadisticas/balance-energetico/"/>
    <hyperlink ref="I1121" r:id="rId1120" display="https://mem.gob.gt/que-hacemos/area-energetica/publicaciones/estadisticas/balance-energetico/"/>
    <hyperlink ref="I1122" r:id="rId1121" display="https://mem.gob.gt/que-hacemos/area-energetica/publicaciones/estadisticas/balance-energetico/"/>
    <hyperlink ref="I1123" r:id="rId1122" display="https://mem.gob.gt/que-hacemos/area-energetica/publicaciones/estadisticas/balance-energetico/"/>
    <hyperlink ref="I1124" r:id="rId1123" display="https://mem.gob.gt/que-hacemos/area-energetica/publicaciones/estadisticas/balance-energetico/"/>
    <hyperlink ref="I1125" r:id="rId1124" display="https://mem.gob.gt/que-hacemos/area-energetica/publicaciones/estadisticas/balance-energetico/"/>
    <hyperlink ref="I1126" r:id="rId1125" display="https://mem.gob.gt/que-hacemos/area-energetica/publicaciones/estadisticas/balance-energetico/"/>
    <hyperlink ref="I1127" r:id="rId1126" display="https://mem.gob.gt/que-hacemos/area-energetica/publicaciones/estadisticas/balance-energetico/"/>
    <hyperlink ref="I1128" r:id="rId1127" display="https://mem.gob.gt/que-hacemos/area-energetica/publicaciones/estadisticas/balance-energetico/"/>
    <hyperlink ref="I1129" r:id="rId1128" display="https://mem.gob.gt/que-hacemos/area-energetica/publicaciones/estadisticas/balance-energetico/"/>
    <hyperlink ref="I1130" r:id="rId1129" display="https://mem.gob.gt/que-hacemos/area-energetica/publicaciones/estadisticas/balance-energetico/"/>
    <hyperlink ref="I1131" r:id="rId1130" display="https://mem.gob.gt/que-hacemos/area-energetica/publicaciones/estadisticas/balance-energetico/"/>
    <hyperlink ref="I1132" r:id="rId1131" display="https://mem.gob.gt/que-hacemos/area-energetica/publicaciones/estadisticas/balance-energetico/"/>
    <hyperlink ref="I1133" r:id="rId1132" display="https://mem.gob.gt/que-hacemos/area-energetica/publicaciones/estadisticas/balance-energetico/"/>
    <hyperlink ref="I1134" r:id="rId1133" display="https://mem.gob.gt/que-hacemos/area-energetica/publicaciones/estadisticas/balance-energetico/"/>
    <hyperlink ref="I1135" r:id="rId1134" display="https://mem.gob.gt/que-hacemos/area-energetica/publicaciones/estadisticas/balance-energetico/"/>
    <hyperlink ref="I1136" r:id="rId1135" display="https://mem.gob.gt/que-hacemos/area-energetica/publicaciones/estadisticas/balance-energetico/"/>
    <hyperlink ref="I1137" r:id="rId1136" display="https://mem.gob.gt/que-hacemos/area-energetica/publicaciones/estadisticas/balance-energetico/"/>
    <hyperlink ref="I1138" r:id="rId1137" display="https://mem.gob.gt/que-hacemos/area-energetica/publicaciones/estadisticas/balance-energetico/"/>
    <hyperlink ref="I1139" r:id="rId1138" display="https://mem.gob.gt/que-hacemos/area-energetica/publicaciones/estadisticas/balance-energetico/"/>
    <hyperlink ref="I1140" r:id="rId1139" display="https://mem.gob.gt/que-hacemos/area-energetica/publicaciones/estadisticas/balance-energetico/"/>
    <hyperlink ref="I1141" r:id="rId1140" display="https://mem.gob.gt/que-hacemos/area-energetica/publicaciones/estadisticas/balance-energetico/"/>
    <hyperlink ref="I1142" r:id="rId1141" display="https://mem.gob.gt/que-hacemos/area-energetica/publicaciones/estadisticas/balance-energetico/"/>
    <hyperlink ref="I1143" r:id="rId1142" display="https://mem.gob.gt/que-hacemos/area-energetica/publicaciones/estadisticas/balance-energetico/"/>
    <hyperlink ref="I1144" r:id="rId1143" display="https://mem.gob.gt/que-hacemos/area-energetica/publicaciones/estadisticas/balance-energetico/"/>
    <hyperlink ref="I1145" r:id="rId1144" display="https://mem.gob.gt/que-hacemos/area-energetica/publicaciones/estadisticas/balance-energetico/"/>
    <hyperlink ref="I1146" r:id="rId1145" display="https://mem.gob.gt/que-hacemos/area-energetica/publicaciones/estadisticas/balance-energetico/"/>
    <hyperlink ref="I1147" r:id="rId1146" display="https://mem.gob.gt/que-hacemos/area-energetica/publicaciones/estadisticas/balance-energetico/"/>
    <hyperlink ref="I1148" r:id="rId1147" display="https://mem.gob.gt/que-hacemos/area-energetica/publicaciones/estadisticas/balance-energetico/"/>
    <hyperlink ref="I1149" r:id="rId1148" display="https://mem.gob.gt/que-hacemos/area-energetica/publicaciones/estadisticas/balance-energetico/"/>
    <hyperlink ref="I1150" r:id="rId1149" display="https://mem.gob.gt/que-hacemos/area-energetica/publicaciones/estadisticas/balance-energetico/"/>
    <hyperlink ref="I1151" r:id="rId1150" display="https://mem.gob.gt/que-hacemos/area-energetica/publicaciones/estadisticas/balance-energetico/"/>
    <hyperlink ref="I1152" r:id="rId1151" display="https://mem.gob.gt/que-hacemos/area-energetica/publicaciones/estadisticas/balance-energetico/"/>
    <hyperlink ref="I1153" r:id="rId1152" display="https://mem.gob.gt/que-hacemos/area-energetica/publicaciones/estadisticas/balance-energetico/"/>
    <hyperlink ref="I1154" r:id="rId1153" display="https://mem.gob.gt/que-hacemos/area-energetica/publicaciones/estadisticas/balance-energetico/"/>
    <hyperlink ref="I1155" r:id="rId1154" display="https://mem.gob.gt/que-hacemos/area-energetica/publicaciones/estadisticas/balance-energetico/"/>
    <hyperlink ref="I1156" r:id="rId1155" display="https://mem.gob.gt/que-hacemos/area-energetica/publicaciones/estadisticas/balance-energetico/"/>
    <hyperlink ref="I1157" r:id="rId1156" display="https://mem.gob.gt/que-hacemos/area-energetica/publicaciones/estadisticas/balance-energetico/"/>
    <hyperlink ref="I1158" r:id="rId1157" display="https://mem.gob.gt/que-hacemos/area-energetica/publicaciones/estadisticas/balance-energetico/"/>
    <hyperlink ref="I1159" r:id="rId1158" display="https://mem.gob.gt/que-hacemos/area-energetica/publicaciones/estadisticas/balance-energetico/"/>
    <hyperlink ref="I1160" r:id="rId1159" display="https://mem.gob.gt/que-hacemos/area-energetica/publicaciones/estadisticas/balance-energetico/"/>
    <hyperlink ref="I1161" r:id="rId1160" display="https://mem.gob.gt/que-hacemos/area-energetica/publicaciones/estadisticas/balance-energetico/"/>
    <hyperlink ref="I1162" r:id="rId1161" display="https://mem.gob.gt/que-hacemos/area-energetica/publicaciones/estadisticas/balance-energetico/"/>
    <hyperlink ref="I1163" r:id="rId1162" display="https://mem.gob.gt/que-hacemos/area-energetica/publicaciones/estadisticas/balance-energetico/"/>
    <hyperlink ref="I1164" r:id="rId1163" display="https://mem.gob.gt/que-hacemos/area-energetica/publicaciones/estadisticas/balance-energetico/"/>
    <hyperlink ref="I1165" r:id="rId1164" display="https://mem.gob.gt/que-hacemos/area-energetica/publicaciones/estadisticas/balance-energetico/"/>
    <hyperlink ref="I1166" r:id="rId1165" display="https://mem.gob.gt/que-hacemos/area-energetica/publicaciones/estadisticas/balance-energetico/"/>
    <hyperlink ref="I1167" r:id="rId1166" display="https://mem.gob.gt/que-hacemos/area-energetica/publicaciones/estadisticas/balance-energetico/"/>
    <hyperlink ref="I1168" r:id="rId1167" display="https://mem.gob.gt/que-hacemos/area-energetica/publicaciones/estadisticas/balance-energetico/"/>
    <hyperlink ref="I1169" r:id="rId1168" display="https://mem.gob.gt/que-hacemos/area-energetica/publicaciones/estadisticas/balance-energetico/"/>
    <hyperlink ref="I1170" r:id="rId1169" display="https://mem.gob.gt/que-hacemos/area-energetica/publicaciones/estadisticas/balance-energetico/"/>
    <hyperlink ref="I1171" r:id="rId1170" display="https://mem.gob.gt/que-hacemos/area-energetica/publicaciones/estadisticas/balance-energetico/"/>
    <hyperlink ref="I1172" r:id="rId1171" display="https://mem.gob.gt/que-hacemos/area-energetica/publicaciones/estadisticas/balance-energetico/"/>
    <hyperlink ref="I1173" r:id="rId1172" display="https://mem.gob.gt/que-hacemos/area-energetica/publicaciones/estadisticas/balance-energetico/"/>
    <hyperlink ref="I1174" r:id="rId1173" display="https://mem.gob.gt/que-hacemos/area-energetica/publicaciones/estadisticas/balance-energetico/"/>
    <hyperlink ref="I1175" r:id="rId1174" display="https://mem.gob.gt/que-hacemos/area-energetica/publicaciones/estadisticas/balance-energetico/"/>
    <hyperlink ref="I1176" r:id="rId1175" display="https://mem.gob.gt/que-hacemos/area-energetica/publicaciones/estadisticas/balance-energetico/"/>
    <hyperlink ref="I1177" r:id="rId1176" display="https://mem.gob.gt/que-hacemos/area-energetica/publicaciones/estadisticas/balance-energetico/"/>
    <hyperlink ref="I1178" r:id="rId1177" display="https://mem.gob.gt/que-hacemos/area-energetica/publicaciones/estadisticas/balance-energetico/"/>
    <hyperlink ref="I1179" r:id="rId1178" display="https://mem.gob.gt/que-hacemos/area-energetica/publicaciones/estadisticas/balance-energetico/"/>
    <hyperlink ref="I1180" r:id="rId1179" display="https://mem.gob.gt/que-hacemos/area-energetica/publicaciones/estadisticas/balance-energetico/"/>
    <hyperlink ref="I1181" r:id="rId1180" display="https://mem.gob.gt/que-hacemos/area-energetica/publicaciones/estadisticas/balance-energetico/"/>
    <hyperlink ref="I1182" r:id="rId1181" display="https://mem.gob.gt/que-hacemos/area-energetica/publicaciones/estadisticas/balance-energetico/"/>
    <hyperlink ref="I1183" r:id="rId1182" display="https://mem.gob.gt/que-hacemos/area-energetica/publicaciones/estadisticas/balance-energetico/"/>
    <hyperlink ref="I1184" r:id="rId1183" display="https://mem.gob.gt/que-hacemos/area-energetica/publicaciones/estadisticas/balance-energetico/"/>
    <hyperlink ref="I1185" r:id="rId1184" display="https://mem.gob.gt/que-hacemos/area-energetica/publicaciones/estadisticas/balance-energetico/"/>
    <hyperlink ref="I1186" r:id="rId1185" display="https://mem.gob.gt/que-hacemos/area-energetica/publicaciones/estadisticas/balance-energetico/"/>
    <hyperlink ref="I1187" r:id="rId1186" display="https://mem.gob.gt/que-hacemos/area-energetica/publicaciones/estadisticas/balance-energetico/"/>
    <hyperlink ref="I1188" r:id="rId1187" display="https://mem.gob.gt/que-hacemos/area-energetica/publicaciones/estadisticas/balance-energetico/"/>
    <hyperlink ref="I1189" r:id="rId1188" display="https://mem.gob.gt/que-hacemos/area-energetica/publicaciones/estadisticas/balance-energetico/"/>
    <hyperlink ref="I1190" r:id="rId1189" display="https://mem.gob.gt/que-hacemos/area-energetica/publicaciones/estadisticas/balance-energetico/"/>
    <hyperlink ref="I1191" r:id="rId1190" display="https://mem.gob.gt/que-hacemos/area-energetica/publicaciones/estadisticas/balance-energetico/"/>
    <hyperlink ref="I1192" r:id="rId1191" display="https://mem.gob.gt/que-hacemos/area-energetica/publicaciones/estadisticas/balance-energetico/"/>
    <hyperlink ref="I1193" r:id="rId1192" display="https://mem.gob.gt/que-hacemos/area-energetica/publicaciones/estadisticas/balance-energetico/"/>
    <hyperlink ref="I1194" r:id="rId1193" display="https://mem.gob.gt/que-hacemos/area-energetica/publicaciones/estadisticas/balance-energetico/"/>
    <hyperlink ref="I1195" r:id="rId1194" display="https://mem.gob.gt/que-hacemos/area-energetica/publicaciones/estadisticas/balance-energetico/"/>
    <hyperlink ref="I1196" r:id="rId1195" display="https://mem.gob.gt/que-hacemos/area-energetica/publicaciones/estadisticas/balance-energetico/"/>
    <hyperlink ref="I1197" r:id="rId1196" display="https://mem.gob.gt/que-hacemos/area-energetica/publicaciones/estadisticas/balance-energetico/"/>
    <hyperlink ref="I1198" r:id="rId1197" display="https://mem.gob.gt/que-hacemos/area-energetica/publicaciones/estadisticas/balance-energetico/"/>
    <hyperlink ref="I1199" r:id="rId1198" display="https://mem.gob.gt/que-hacemos/area-energetica/publicaciones/estadisticas/balance-energetico/"/>
    <hyperlink ref="I1200" r:id="rId1199" display="https://mem.gob.gt/que-hacemos/area-energetica/publicaciones/estadisticas/balance-energetico/"/>
    <hyperlink ref="I1201" r:id="rId1200" display="https://mem.gob.gt/que-hacemos/area-energetica/publicaciones/estadisticas/balance-energetico/"/>
    <hyperlink ref="I1202" r:id="rId1201" display="https://mem.gob.gt/que-hacemos/area-energetica/publicaciones/estadisticas/balance-energetico/"/>
    <hyperlink ref="I1203" r:id="rId1202" display="https://mem.gob.gt/que-hacemos/area-energetica/publicaciones/estadisticas/balance-energetico/"/>
    <hyperlink ref="I1204" r:id="rId1203" display="https://mem.gob.gt/que-hacemos/area-energetica/publicaciones/estadisticas/balance-energetico/"/>
    <hyperlink ref="I1205" r:id="rId1204" display="https://mem.gob.gt/que-hacemos/area-energetica/publicaciones/estadisticas/balance-energetico/"/>
    <hyperlink ref="I1206" r:id="rId1205" display="https://mem.gob.gt/que-hacemos/area-energetica/publicaciones/estadisticas/balance-energetico/"/>
    <hyperlink ref="I1207" r:id="rId1206" display="https://mem.gob.gt/que-hacemos/area-energetica/publicaciones/estadisticas/balance-energetico/"/>
    <hyperlink ref="I1208" r:id="rId1207" display="https://mem.gob.gt/que-hacemos/area-energetica/publicaciones/estadisticas/balance-energetico/"/>
    <hyperlink ref="I1209" r:id="rId1208" display="https://mem.gob.gt/que-hacemos/area-energetica/publicaciones/estadisticas/balance-energetico/"/>
    <hyperlink ref="I1210" r:id="rId1209" display="https://mem.gob.gt/que-hacemos/area-energetica/publicaciones/estadisticas/balance-energetico/"/>
    <hyperlink ref="I1211" r:id="rId1210" display="https://mem.gob.gt/que-hacemos/area-energetica/publicaciones/estadisticas/balance-energetico/"/>
    <hyperlink ref="I1212" r:id="rId1211" display="https://mem.gob.gt/que-hacemos/area-energetica/publicaciones/estadisticas/balance-energetico/"/>
    <hyperlink ref="I1213" r:id="rId1212" display="https://mem.gob.gt/que-hacemos/area-energetica/publicaciones/estadisticas/balance-energetico/"/>
    <hyperlink ref="I1214" r:id="rId1213" display="https://mem.gob.gt/que-hacemos/area-energetica/publicaciones/estadisticas/balance-energetico/"/>
    <hyperlink ref="I1215" r:id="rId1214" display="https://mem.gob.gt/que-hacemos/area-energetica/publicaciones/estadisticas/balance-energetico/"/>
    <hyperlink ref="I1216" r:id="rId1215" display="https://mem.gob.gt/que-hacemos/area-energetica/publicaciones/estadisticas/balance-energetico/"/>
    <hyperlink ref="I1217" r:id="rId1216" display="https://mem.gob.gt/que-hacemos/area-energetica/publicaciones/estadisticas/balance-energetico/"/>
    <hyperlink ref="I1218" r:id="rId1217" display="https://mem.gob.gt/que-hacemos/area-energetica/publicaciones/estadisticas/balance-energetico/"/>
    <hyperlink ref="I1219" r:id="rId1218" display="https://mem.gob.gt/que-hacemos/area-energetica/publicaciones/estadisticas/balance-energetico/"/>
    <hyperlink ref="I1220" r:id="rId1219" display="https://mem.gob.gt/que-hacemos/area-energetica/publicaciones/estadisticas/balance-energetico/"/>
    <hyperlink ref="I1221" r:id="rId1220" display="https://mem.gob.gt/que-hacemos/area-energetica/publicaciones/estadisticas/balance-energetico/"/>
    <hyperlink ref="I1222" r:id="rId1221" display="https://mem.gob.gt/que-hacemos/area-energetica/publicaciones/estadisticas/balance-energetico/"/>
    <hyperlink ref="I1223" r:id="rId1222" display="https://mem.gob.gt/que-hacemos/area-energetica/publicaciones/estadisticas/balance-energetico/"/>
    <hyperlink ref="I1224" r:id="rId1223" display="https://mem.gob.gt/que-hacemos/area-energetica/publicaciones/estadisticas/balance-energetico/"/>
    <hyperlink ref="I1225" r:id="rId1224" display="https://mem.gob.gt/que-hacemos/area-energetica/publicaciones/estadisticas/balance-energetico/"/>
    <hyperlink ref="I1226" r:id="rId1225" display="https://mem.gob.gt/que-hacemos/area-energetica/publicaciones/estadisticas/balance-energetico/"/>
    <hyperlink ref="I1227" r:id="rId1226" display="https://mem.gob.gt/que-hacemos/area-energetica/publicaciones/estadisticas/balance-energetico/"/>
    <hyperlink ref="I1228" r:id="rId1227" display="https://mem.gob.gt/que-hacemos/area-energetica/publicaciones/estadisticas/balance-energetico/"/>
    <hyperlink ref="I1229" r:id="rId1228" display="https://mem.gob.gt/que-hacemos/area-energetica/publicaciones/estadisticas/balance-energetico/"/>
    <hyperlink ref="I1230" r:id="rId1229" display="https://mem.gob.gt/que-hacemos/area-energetica/publicaciones/estadisticas/balance-energetico/"/>
    <hyperlink ref="I1231" r:id="rId1230" display="https://mem.gob.gt/que-hacemos/area-energetica/publicaciones/estadisticas/balance-energetico/"/>
    <hyperlink ref="I1232" r:id="rId1231" display="https://mem.gob.gt/que-hacemos/area-energetica/publicaciones/estadisticas/balance-energetico/"/>
    <hyperlink ref="I1233" r:id="rId1232" display="https://mem.gob.gt/que-hacemos/area-energetica/publicaciones/estadisticas/balance-energetico/"/>
    <hyperlink ref="I1234" r:id="rId1233" display="https://mem.gob.gt/que-hacemos/area-energetica/publicaciones/estadisticas/balance-energetico/"/>
    <hyperlink ref="I1235" r:id="rId1234" display="https://mem.gob.gt/que-hacemos/area-energetica/publicaciones/estadisticas/balance-energetico/"/>
    <hyperlink ref="I1236" r:id="rId1235" display="https://mem.gob.gt/que-hacemos/area-energetica/publicaciones/estadisticas/balance-energetico/"/>
    <hyperlink ref="I1237" r:id="rId1236" display="https://mem.gob.gt/que-hacemos/area-energetica/publicaciones/estadisticas/balance-energetico/"/>
    <hyperlink ref="I1238" r:id="rId1237" display="https://mem.gob.gt/que-hacemos/area-energetica/publicaciones/estadisticas/balance-energetico/"/>
    <hyperlink ref="I1239" r:id="rId1238" display="https://mem.gob.gt/que-hacemos/area-energetica/publicaciones/estadisticas/balance-energetico/"/>
    <hyperlink ref="I1240" r:id="rId1239" display="https://mem.gob.gt/que-hacemos/area-energetica/publicaciones/estadisticas/balance-energetico/"/>
    <hyperlink ref="I1241" r:id="rId1240" display="https://mem.gob.gt/que-hacemos/area-energetica/publicaciones/estadisticas/balance-energetico/"/>
    <hyperlink ref="I1242" r:id="rId1241" display="https://mem.gob.gt/que-hacemos/area-energetica/publicaciones/estadisticas/balance-energetico/"/>
    <hyperlink ref="I1243" r:id="rId1242" display="https://mem.gob.gt/que-hacemos/area-energetica/publicaciones/estadisticas/balance-energetico/"/>
    <hyperlink ref="I1244" r:id="rId1243" display="https://mem.gob.gt/que-hacemos/area-energetica/publicaciones/estadisticas/balance-energetico/"/>
    <hyperlink ref="I1245" r:id="rId1244" display="https://mem.gob.gt/que-hacemos/area-energetica/publicaciones/estadisticas/balance-energetico/"/>
    <hyperlink ref="I1246" r:id="rId1245" display="https://mem.gob.gt/que-hacemos/area-energetica/publicaciones/estadisticas/balance-energetico/"/>
    <hyperlink ref="I1247" r:id="rId1246" display="https://mem.gob.gt/que-hacemos/area-energetica/publicaciones/estadisticas/balance-energetico/"/>
    <hyperlink ref="I1248" r:id="rId1247" display="https://mem.gob.gt/que-hacemos/area-energetica/publicaciones/estadisticas/balance-energetico/"/>
    <hyperlink ref="I1249" r:id="rId1248" display="https://mem.gob.gt/que-hacemos/area-energetica/publicaciones/estadisticas/balance-energetico/"/>
    <hyperlink ref="I1250" r:id="rId1249" display="https://mem.gob.gt/que-hacemos/area-energetica/publicaciones/estadisticas/balance-energetico/"/>
    <hyperlink ref="I1251" r:id="rId1250" display="https://mem.gob.gt/que-hacemos/area-energetica/publicaciones/estadisticas/balance-energetico/"/>
    <hyperlink ref="I1252" r:id="rId1251" display="https://mem.gob.gt/que-hacemos/area-energetica/publicaciones/estadisticas/balance-energetico/"/>
    <hyperlink ref="I1253" r:id="rId1252" display="https://mem.gob.gt/que-hacemos/area-energetica/publicaciones/estadisticas/balance-energetico/"/>
    <hyperlink ref="I1254" r:id="rId1253" display="https://mem.gob.gt/que-hacemos/area-energetica/publicaciones/estadisticas/balance-energetico/"/>
    <hyperlink ref="I1255" r:id="rId1254" display="https://mem.gob.gt/que-hacemos/area-energetica/publicaciones/estadisticas/balance-energetico/"/>
    <hyperlink ref="I1256" r:id="rId1255" display="https://mem.gob.gt/que-hacemos/area-energetica/publicaciones/estadisticas/balance-energetico/"/>
    <hyperlink ref="I1257" r:id="rId1256" display="https://mem.gob.gt/que-hacemos/area-energetica/publicaciones/estadisticas/balance-energetico/"/>
    <hyperlink ref="I1258" r:id="rId1257" display="https://mem.gob.gt/que-hacemos/area-energetica/publicaciones/estadisticas/balance-energetico/"/>
    <hyperlink ref="I1259" r:id="rId1258" display="https://mem.gob.gt/que-hacemos/area-energetica/publicaciones/estadisticas/balance-energetico/"/>
    <hyperlink ref="I1260" r:id="rId1259" display="https://mem.gob.gt/que-hacemos/area-energetica/publicaciones/estadisticas/balance-energetico/"/>
    <hyperlink ref="I1261" r:id="rId1260" display="https://mem.gob.gt/que-hacemos/area-energetica/publicaciones/estadisticas/balance-energetico/"/>
    <hyperlink ref="I1262" r:id="rId1261" display="https://mem.gob.gt/que-hacemos/area-energetica/publicaciones/estadisticas/balance-energetico/"/>
    <hyperlink ref="I1263" r:id="rId1262" display="https://mem.gob.gt/que-hacemos/area-energetica/publicaciones/estadisticas/balance-energetico/"/>
    <hyperlink ref="I1264" r:id="rId1263" display="https://mem.gob.gt/que-hacemos/area-energetica/publicaciones/estadisticas/balance-energetico/"/>
    <hyperlink ref="I1265" r:id="rId1264" display="https://mem.gob.gt/que-hacemos/area-energetica/publicaciones/estadisticas/balance-energetico/"/>
    <hyperlink ref="I1266" r:id="rId1265" display="https://mem.gob.gt/que-hacemos/area-energetica/publicaciones/estadisticas/balance-energetico/"/>
    <hyperlink ref="I1267" r:id="rId1266" display="https://mem.gob.gt/que-hacemos/area-energetica/publicaciones/estadisticas/balance-energetico/"/>
    <hyperlink ref="I1268" r:id="rId1267" display="https://mem.gob.gt/que-hacemos/area-energetica/publicaciones/estadisticas/balance-energetico/"/>
    <hyperlink ref="I1269" r:id="rId1268" display="https://mem.gob.gt/que-hacemos/area-energetica/publicaciones/estadisticas/balance-energetico/"/>
    <hyperlink ref="I1270" r:id="rId1269" display="https://mem.gob.gt/que-hacemos/area-energetica/publicaciones/estadisticas/balance-energetico/"/>
    <hyperlink ref="I1271" r:id="rId1270" display="https://mem.gob.gt/que-hacemos/area-energetica/publicaciones/estadisticas/balance-energetico/"/>
    <hyperlink ref="I1272" r:id="rId1271" display="https://mem.gob.gt/que-hacemos/area-energetica/publicaciones/estadisticas/balance-energetico/"/>
    <hyperlink ref="I1273" r:id="rId1272" display="https://mem.gob.gt/que-hacemos/area-energetica/publicaciones/estadisticas/balance-energetico/"/>
    <hyperlink ref="I1274" r:id="rId1273" display="https://mem.gob.gt/que-hacemos/area-energetica/publicaciones/estadisticas/balance-energetico/"/>
    <hyperlink ref="I1275" r:id="rId1274" display="https://mem.gob.gt/que-hacemos/area-energetica/publicaciones/estadisticas/balance-energetico/"/>
    <hyperlink ref="I1276" r:id="rId1275" display="https://mem.gob.gt/que-hacemos/area-energetica/publicaciones/estadisticas/balance-energetico/"/>
    <hyperlink ref="I1277" r:id="rId1276" display="https://mem.gob.gt/que-hacemos/area-energetica/publicaciones/estadisticas/balance-energetico/"/>
    <hyperlink ref="I1278" r:id="rId1277" display="https://mem.gob.gt/que-hacemos/area-energetica/publicaciones/estadisticas/balance-energetico/"/>
    <hyperlink ref="I1279" r:id="rId1278" display="https://mem.gob.gt/que-hacemos/area-energetica/publicaciones/estadisticas/balance-energetico/"/>
    <hyperlink ref="I1280" r:id="rId1279" display="https://mem.gob.gt/que-hacemos/area-energetica/publicaciones/estadisticas/balance-energetico/"/>
    <hyperlink ref="I1281" r:id="rId1280" display="https://mem.gob.gt/que-hacemos/area-energetica/publicaciones/estadisticas/balance-energetico/"/>
    <hyperlink ref="I1282" r:id="rId1281" display="https://mem.gob.gt/que-hacemos/area-energetica/publicaciones/estadisticas/balance-energetico/"/>
    <hyperlink ref="I1283" r:id="rId1282" display="https://mem.gob.gt/que-hacemos/area-energetica/publicaciones/estadisticas/balance-energetico/"/>
    <hyperlink ref="I1284" r:id="rId1283" display="https://mem.gob.gt/que-hacemos/area-energetica/publicaciones/estadisticas/balance-energetico/"/>
    <hyperlink ref="I1285" r:id="rId1284" display="https://mem.gob.gt/que-hacemos/area-energetica/publicaciones/estadisticas/balance-energetico/"/>
    <hyperlink ref="I1286" r:id="rId1285" display="https://mem.gob.gt/que-hacemos/area-energetica/publicaciones/estadisticas/balance-energetico/"/>
    <hyperlink ref="I1287" r:id="rId1286" display="https://mem.gob.gt/que-hacemos/area-energetica/publicaciones/estadisticas/balance-energetico/"/>
    <hyperlink ref="I1288" r:id="rId1287" display="https://mem.gob.gt/que-hacemos/area-energetica/publicaciones/estadisticas/balance-energetico/"/>
    <hyperlink ref="I1289" r:id="rId1288" display="https://mem.gob.gt/que-hacemos/area-energetica/publicaciones/estadisticas/balance-energetico/"/>
    <hyperlink ref="I1290" r:id="rId1289" display="https://mem.gob.gt/que-hacemos/area-energetica/publicaciones/estadisticas/balance-energetico/"/>
    <hyperlink ref="I1291" r:id="rId1290" display="https://mem.gob.gt/que-hacemos/area-energetica/publicaciones/estadisticas/balance-energetico/"/>
    <hyperlink ref="I1292" r:id="rId1291" display="https://mem.gob.gt/que-hacemos/area-energetica/publicaciones/estadisticas/balance-energetico/"/>
    <hyperlink ref="I1293" r:id="rId1292" display="https://mem.gob.gt/que-hacemos/area-energetica/publicaciones/estadisticas/balance-energetico/"/>
    <hyperlink ref="I1294" r:id="rId1293" display="https://mem.gob.gt/que-hacemos/area-energetica/publicaciones/estadisticas/balance-energetico/"/>
    <hyperlink ref="I1295" r:id="rId1294" display="https://mem.gob.gt/que-hacemos/area-energetica/publicaciones/estadisticas/balance-energetico/"/>
    <hyperlink ref="I1296" r:id="rId1295" display="https://mem.gob.gt/que-hacemos/area-energetica/publicaciones/estadisticas/balance-energetico/"/>
    <hyperlink ref="I1297" r:id="rId1296" display="https://mem.gob.gt/que-hacemos/area-energetica/publicaciones/estadisticas/balance-energetico/"/>
    <hyperlink ref="I1298" r:id="rId1297" display="https://mem.gob.gt/que-hacemos/area-energetica/publicaciones/estadisticas/balance-energetico/"/>
    <hyperlink ref="I1299" r:id="rId1298" display="https://mem.gob.gt/que-hacemos/area-energetica/publicaciones/estadisticas/balance-energetico/"/>
    <hyperlink ref="I1300" r:id="rId1299" display="https://mem.gob.gt/que-hacemos/area-energetica/publicaciones/estadisticas/balance-energetico/"/>
    <hyperlink ref="I1301" r:id="rId1300" display="https://mem.gob.gt/que-hacemos/area-energetica/publicaciones/estadisticas/balance-energetico/"/>
    <hyperlink ref="I1302" r:id="rId1301" display="https://mem.gob.gt/que-hacemos/area-energetica/publicaciones/estadisticas/balance-energetico/"/>
    <hyperlink ref="I1303" r:id="rId1302" display="https://mem.gob.gt/que-hacemos/area-energetica/publicaciones/estadisticas/balance-energetico/"/>
    <hyperlink ref="I1304" r:id="rId1303" display="https://mem.gob.gt/que-hacemos/area-energetica/publicaciones/estadisticas/balance-energetico/"/>
    <hyperlink ref="I1305" r:id="rId1304" display="https://mem.gob.gt/que-hacemos/area-energetica/publicaciones/estadisticas/balance-energetico/"/>
    <hyperlink ref="I1306" r:id="rId1305" display="https://mem.gob.gt/que-hacemos/area-energetica/publicaciones/estadisticas/balance-energetico/"/>
    <hyperlink ref="I1307" r:id="rId1306" display="https://mem.gob.gt/que-hacemos/area-energetica/publicaciones/estadisticas/balance-energetico/"/>
    <hyperlink ref="I1308" r:id="rId1307" display="https://mem.gob.gt/que-hacemos/area-energetica/publicaciones/estadisticas/balance-energetico/"/>
    <hyperlink ref="I1309" r:id="rId1308" display="https://mem.gob.gt/que-hacemos/area-energetica/publicaciones/estadisticas/balance-energetico/"/>
    <hyperlink ref="I1310" r:id="rId1309" display="https://mem.gob.gt/que-hacemos/area-energetica/publicaciones/estadisticas/balance-energetico/"/>
    <hyperlink ref="I1311" r:id="rId1310" display="https://mem.gob.gt/que-hacemos/area-energetica/publicaciones/estadisticas/balance-energetico/"/>
    <hyperlink ref="I1312" r:id="rId1311" display="https://mem.gob.gt/que-hacemos/area-energetica/publicaciones/estadisticas/balance-energetico/"/>
    <hyperlink ref="I1313" r:id="rId1312" display="https://mem.gob.gt/que-hacemos/area-energetica/publicaciones/estadisticas/balance-energetico/"/>
    <hyperlink ref="I1314" r:id="rId1313" display="https://mem.gob.gt/que-hacemos/area-energetica/publicaciones/estadisticas/balance-energetico/"/>
    <hyperlink ref="I1315" r:id="rId1314" display="https://mem.gob.gt/que-hacemos/area-energetica/publicaciones/estadisticas/balance-energetico/"/>
    <hyperlink ref="I1316" r:id="rId1315" display="https://mem.gob.gt/que-hacemos/area-energetica/publicaciones/estadisticas/balance-energetico/"/>
    <hyperlink ref="I1317" r:id="rId1316" display="https://mem.gob.gt/que-hacemos/area-energetica/publicaciones/estadisticas/balance-energetico/"/>
    <hyperlink ref="I1318" r:id="rId1317" display="https://mem.gob.gt/que-hacemos/area-energetica/publicaciones/estadisticas/balance-energetico/"/>
    <hyperlink ref="I1319" r:id="rId1318" display="https://mem.gob.gt/que-hacemos/area-energetica/publicaciones/estadisticas/balance-energetico/"/>
    <hyperlink ref="I1320" r:id="rId1319" display="https://mem.gob.gt/que-hacemos/area-energetica/publicaciones/estadisticas/balance-energetico/"/>
    <hyperlink ref="I1321" r:id="rId1320" display="https://mem.gob.gt/que-hacemos/area-energetica/publicaciones/estadisticas/balance-energetico/"/>
    <hyperlink ref="I1322" r:id="rId1321" display="https://mem.gob.gt/que-hacemos/area-energetica/publicaciones/estadisticas/balance-energetico/"/>
    <hyperlink ref="I1323" r:id="rId1322" display="https://mem.gob.gt/que-hacemos/area-energetica/publicaciones/estadisticas/balance-energetico/"/>
    <hyperlink ref="I1324" r:id="rId1323" display="https://mem.gob.gt/que-hacemos/area-energetica/publicaciones/estadisticas/balance-energetico/"/>
    <hyperlink ref="I1325" r:id="rId1324" display="https://mem.gob.gt/que-hacemos/area-energetica/publicaciones/estadisticas/balance-energetico/"/>
    <hyperlink ref="I1326" r:id="rId1325" display="https://mem.gob.gt/que-hacemos/area-energetica/publicaciones/estadisticas/balance-energetico/"/>
    <hyperlink ref="I1327" r:id="rId1326" display="https://mem.gob.gt/que-hacemos/area-energetica/publicaciones/estadisticas/balance-energetico/"/>
    <hyperlink ref="I1328" r:id="rId1327" display="https://mem.gob.gt/que-hacemos/area-energetica/publicaciones/estadisticas/balance-energetico/"/>
    <hyperlink ref="I1329" r:id="rId1328" display="https://mem.gob.gt/que-hacemos/area-energetica/publicaciones/estadisticas/balance-energetico/"/>
    <hyperlink ref="I1330" r:id="rId1329" display="https://mem.gob.gt/que-hacemos/area-energetica/publicaciones/estadisticas/balance-energetico/"/>
    <hyperlink ref="I1331" r:id="rId1330" display="https://mem.gob.gt/que-hacemos/area-energetica/publicaciones/estadisticas/balance-energetico/"/>
    <hyperlink ref="I1332" r:id="rId1331" display="https://mem.gob.gt/que-hacemos/area-energetica/publicaciones/estadisticas/balance-energetico/"/>
    <hyperlink ref="I1333" r:id="rId1332" display="https://mem.gob.gt/que-hacemos/area-energetica/publicaciones/estadisticas/balance-energetico/"/>
    <hyperlink ref="I1334" r:id="rId1333" display="https://mem.gob.gt/que-hacemos/area-energetica/publicaciones/estadisticas/balance-energetico/"/>
    <hyperlink ref="I1335" r:id="rId1334" display="https://mem.gob.gt/que-hacemos/area-energetica/publicaciones/estadisticas/balance-energetico/"/>
    <hyperlink ref="I1336" r:id="rId1335" display="https://mem.gob.gt/que-hacemos/area-energetica/publicaciones/estadisticas/balance-energetico/"/>
    <hyperlink ref="I1337" r:id="rId1336" display="https://mem.gob.gt/que-hacemos/area-energetica/publicaciones/estadisticas/balance-energetico/"/>
    <hyperlink ref="I1338" r:id="rId1337" display="https://mem.gob.gt/que-hacemos/area-energetica/publicaciones/estadisticas/balance-energetico/"/>
    <hyperlink ref="I1339" r:id="rId1338" display="https://mem.gob.gt/que-hacemos/area-energetica/publicaciones/estadisticas/balance-energetico/"/>
    <hyperlink ref="I1340" r:id="rId1339" display="https://mem.gob.gt/que-hacemos/area-energetica/publicaciones/estadisticas/balance-energetico/"/>
    <hyperlink ref="I1341" r:id="rId1340" display="https://mem.gob.gt/que-hacemos/area-energetica/publicaciones/estadisticas/balance-energetico/"/>
    <hyperlink ref="I1342" r:id="rId1341" display="https://mem.gob.gt/que-hacemos/area-energetica/publicaciones/estadisticas/balance-energetico/"/>
    <hyperlink ref="I1343" r:id="rId1342" display="https://mem.gob.gt/que-hacemos/area-energetica/publicaciones/estadisticas/balance-energetico/"/>
    <hyperlink ref="I1344" r:id="rId1343" display="https://mem.gob.gt/que-hacemos/area-energetica/publicaciones/estadisticas/balance-energetico/"/>
    <hyperlink ref="I1345" r:id="rId1344" display="https://mem.gob.gt/que-hacemos/area-energetica/publicaciones/estadisticas/balance-energetico/"/>
    <hyperlink ref="I1346" r:id="rId1345" display="https://mem.gob.gt/que-hacemos/area-energetica/publicaciones/estadisticas/balance-energetico/"/>
    <hyperlink ref="I1347" r:id="rId1346" display="https://mem.gob.gt/que-hacemos/area-energetica/publicaciones/estadisticas/balance-energetico/"/>
    <hyperlink ref="I1348" r:id="rId1347" display="https://mem.gob.gt/que-hacemos/area-energetica/publicaciones/estadisticas/balance-energetico/"/>
    <hyperlink ref="I1349" r:id="rId1348" display="https://mem.gob.gt/que-hacemos/area-energetica/publicaciones/estadisticas/balance-energetico/"/>
    <hyperlink ref="I1350" r:id="rId1349" display="https://mem.gob.gt/que-hacemos/area-energetica/publicaciones/estadisticas/balance-energetico/"/>
    <hyperlink ref="I1351" r:id="rId1350" display="https://mem.gob.gt/que-hacemos/area-energetica/publicaciones/estadisticas/balance-energetico/"/>
    <hyperlink ref="I1352" r:id="rId1351" display="https://mem.gob.gt/que-hacemos/area-energetica/publicaciones/estadisticas/balance-energetico/"/>
    <hyperlink ref="I1353" r:id="rId1352" display="https://mem.gob.gt/que-hacemos/area-energetica/publicaciones/estadisticas/balance-energetico/"/>
    <hyperlink ref="I1354" r:id="rId1353" display="https://mem.gob.gt/que-hacemos/area-energetica/publicaciones/estadisticas/balance-energetico/"/>
    <hyperlink ref="I1355" r:id="rId1354" display="https://mem.gob.gt/que-hacemos/area-energetica/publicaciones/estadisticas/balance-energetico/"/>
    <hyperlink ref="I1356" r:id="rId1355" display="https://mem.gob.gt/que-hacemos/area-energetica/publicaciones/estadisticas/balance-energetico/"/>
    <hyperlink ref="I1357" r:id="rId1356" display="https://mem.gob.gt/que-hacemos/area-energetica/publicaciones/estadisticas/balance-energetico/"/>
    <hyperlink ref="I1358" r:id="rId1357" display="https://mem.gob.gt/que-hacemos/area-energetica/publicaciones/estadisticas/balance-energetico/"/>
    <hyperlink ref="I1359" r:id="rId1358" display="https://mem.gob.gt/que-hacemos/area-energetica/publicaciones/estadisticas/balance-energetico/"/>
    <hyperlink ref="I1360" r:id="rId1359" display="https://mem.gob.gt/que-hacemos/area-energetica/publicaciones/estadisticas/balance-energetico/"/>
    <hyperlink ref="I1361" r:id="rId1360" display="https://mem.gob.gt/que-hacemos/area-energetica/publicaciones/estadisticas/balance-energetico/"/>
    <hyperlink ref="I1362" r:id="rId1361" display="https://mem.gob.gt/que-hacemos/area-energetica/publicaciones/estadisticas/balance-energetico/"/>
    <hyperlink ref="I1363" r:id="rId1362" display="https://mem.gob.gt/que-hacemos/area-energetica/publicaciones/estadisticas/balance-energetico/"/>
    <hyperlink ref="I1364" r:id="rId1363" display="https://mem.gob.gt/que-hacemos/area-energetica/publicaciones/estadisticas/balance-energetico/"/>
    <hyperlink ref="I1365" r:id="rId1364" display="https://mem.gob.gt/que-hacemos/area-energetica/publicaciones/estadisticas/balance-energetico/"/>
    <hyperlink ref="I1366" r:id="rId1365" display="https://mem.gob.gt/que-hacemos/area-energetica/publicaciones/estadisticas/balance-energetico/"/>
    <hyperlink ref="I1367" r:id="rId1366" display="https://mem.gob.gt/que-hacemos/area-energetica/publicaciones/estadisticas/balance-energetico/"/>
    <hyperlink ref="I1368" r:id="rId1367" display="https://mem.gob.gt/que-hacemos/area-energetica/publicaciones/estadisticas/balance-energetico/"/>
    <hyperlink ref="I1369" r:id="rId1368" display="https://mem.gob.gt/que-hacemos/area-energetica/publicaciones/estadisticas/balance-energetico/"/>
    <hyperlink ref="I1370" r:id="rId1369" display="https://mem.gob.gt/que-hacemos/area-energetica/publicaciones/estadisticas/balance-energetico/"/>
    <hyperlink ref="I1371" r:id="rId1370" display="https://mem.gob.gt/que-hacemos/area-energetica/publicaciones/estadisticas/balance-energetico/"/>
    <hyperlink ref="I1372" r:id="rId1371" display="https://mem.gob.gt/que-hacemos/area-energetica/publicaciones/estadisticas/balance-energetico/"/>
    <hyperlink ref="I1373" r:id="rId1372" display="https://mem.gob.gt/que-hacemos/area-energetica/publicaciones/estadisticas/balance-energetico/"/>
    <hyperlink ref="I1374" r:id="rId1373" display="https://mem.gob.gt/que-hacemos/area-energetica/publicaciones/estadisticas/balance-energetico/"/>
    <hyperlink ref="I1375" r:id="rId1374" display="https://mem.gob.gt/que-hacemos/area-energetica/publicaciones/estadisticas/balance-energetico/"/>
    <hyperlink ref="I1376" r:id="rId1375" display="https://mem.gob.gt/que-hacemos/area-energetica/publicaciones/estadisticas/balance-energetico/"/>
    <hyperlink ref="I1377" r:id="rId1376" display="https://mem.gob.gt/que-hacemos/area-energetica/publicaciones/estadisticas/balance-energetico/"/>
    <hyperlink ref="I1378" r:id="rId1377" display="https://mem.gob.gt/que-hacemos/area-energetica/publicaciones/estadisticas/balance-energetico/"/>
    <hyperlink ref="I1379" r:id="rId1378" display="https://mem.gob.gt/que-hacemos/area-energetica/publicaciones/estadisticas/balance-energetico/"/>
    <hyperlink ref="I1380" r:id="rId1379" display="https://mem.gob.gt/que-hacemos/area-energetica/publicaciones/estadisticas/balance-energetico/"/>
    <hyperlink ref="I1381" r:id="rId1380" display="https://mem.gob.gt/que-hacemos/area-energetica/publicaciones/estadisticas/balance-energetico/"/>
    <hyperlink ref="I1382" r:id="rId1381" display="https://mem.gob.gt/que-hacemos/area-energetica/publicaciones/estadisticas/balance-energetico/"/>
    <hyperlink ref="I1383" r:id="rId1382" display="https://mem.gob.gt/que-hacemos/area-energetica/publicaciones/estadisticas/balance-energetico/"/>
    <hyperlink ref="I1384" r:id="rId1383" display="https://mem.gob.gt/que-hacemos/area-energetica/publicaciones/estadisticas/balance-energetico/"/>
    <hyperlink ref="I1385" r:id="rId1384" display="https://mem.gob.gt/que-hacemos/area-energetica/publicaciones/estadisticas/balance-energetico/"/>
    <hyperlink ref="I1386" r:id="rId1385" display="https://mem.gob.gt/que-hacemos/area-energetica/publicaciones/estadisticas/balance-energetico/"/>
    <hyperlink ref="I1387" r:id="rId1386" display="https://mem.gob.gt/que-hacemos/area-energetica/publicaciones/estadisticas/balance-energetico/"/>
    <hyperlink ref="I1388" r:id="rId1387" display="https://mem.gob.gt/que-hacemos/area-energetica/publicaciones/estadisticas/balance-energetico/"/>
    <hyperlink ref="I1389" r:id="rId1388" display="https://mem.gob.gt/que-hacemos/area-energetica/publicaciones/estadisticas/balance-energetico/"/>
    <hyperlink ref="I1390" r:id="rId1389" display="https://mem.gob.gt/que-hacemos/area-energetica/publicaciones/estadisticas/balance-energetico/"/>
    <hyperlink ref="I1391" r:id="rId1390" display="https://mem.gob.gt/que-hacemos/area-energetica/publicaciones/estadisticas/balance-energetico/"/>
    <hyperlink ref="I1392" r:id="rId1391" display="https://mem.gob.gt/que-hacemos/area-energetica/publicaciones/estadisticas/balance-energetico/"/>
    <hyperlink ref="I1393" r:id="rId1392" display="https://mem.gob.gt/que-hacemos/area-energetica/publicaciones/estadisticas/balance-energetico/"/>
    <hyperlink ref="I1394" r:id="rId1393" display="https://mem.gob.gt/que-hacemos/area-energetica/publicaciones/estadisticas/balance-energetico/"/>
    <hyperlink ref="I1395" r:id="rId1394" display="https://mem.gob.gt/que-hacemos/area-energetica/publicaciones/estadisticas/balance-energetico/"/>
    <hyperlink ref="I1396" r:id="rId1395" display="https://mem.gob.gt/que-hacemos/area-energetica/publicaciones/estadisticas/balance-energetico/"/>
    <hyperlink ref="I1397" r:id="rId1396" display="https://mem.gob.gt/que-hacemos/area-energetica/publicaciones/estadisticas/balance-energetico/"/>
    <hyperlink ref="I1398" r:id="rId1397" display="https://mem.gob.gt/que-hacemos/area-energetica/publicaciones/estadisticas/balance-energetico/"/>
    <hyperlink ref="I1399" r:id="rId1398" display="https://mem.gob.gt/que-hacemos/area-energetica/publicaciones/estadisticas/balance-energetico/"/>
    <hyperlink ref="I1400" r:id="rId1399" display="https://mem.gob.gt/que-hacemos/area-energetica/publicaciones/estadisticas/balance-energetico/"/>
    <hyperlink ref="I1401" r:id="rId1400" display="https://mem.gob.gt/que-hacemos/area-energetica/publicaciones/estadisticas/balance-energetico/"/>
    <hyperlink ref="I1402" r:id="rId1401" display="https://mem.gob.gt/que-hacemos/area-energetica/publicaciones/estadisticas/balance-energetico/"/>
    <hyperlink ref="I1403" r:id="rId1402" display="https://mem.gob.gt/que-hacemos/area-energetica/publicaciones/estadisticas/balance-energetico/"/>
    <hyperlink ref="I1404" r:id="rId1403" display="https://mem.gob.gt/que-hacemos/area-energetica/publicaciones/estadisticas/balance-energetico/"/>
    <hyperlink ref="I1405" r:id="rId1404" display="https://mem.gob.gt/que-hacemos/area-energetica/publicaciones/estadisticas/balance-energetico/"/>
    <hyperlink ref="I1406" r:id="rId1405" display="https://mem.gob.gt/que-hacemos/area-energetica/publicaciones/estadisticas/balance-energetico/"/>
    <hyperlink ref="I1407" r:id="rId1406" display="https://mem.gob.gt/que-hacemos/area-energetica/publicaciones/estadisticas/balance-energetico/"/>
    <hyperlink ref="I1408" r:id="rId1407" display="https://mem.gob.gt/que-hacemos/area-energetica/publicaciones/estadisticas/balance-energetico/"/>
    <hyperlink ref="I1409" r:id="rId1408" display="https://mem.gob.gt/que-hacemos/area-energetica/publicaciones/estadisticas/balance-energetico/"/>
    <hyperlink ref="I1410" r:id="rId1409" display="https://mem.gob.gt/que-hacemos/area-energetica/publicaciones/estadisticas/balance-energetico/"/>
    <hyperlink ref="I1411" r:id="rId1410" display="https://mem.gob.gt/que-hacemos/area-energetica/publicaciones/estadisticas/balance-energetico/"/>
    <hyperlink ref="I1412" r:id="rId1411" display="https://mem.gob.gt/que-hacemos/area-energetica/publicaciones/estadisticas/balance-energetico/"/>
    <hyperlink ref="I1413" r:id="rId1412" display="https://mem.gob.gt/que-hacemos/area-energetica/publicaciones/estadisticas/balance-energetico/"/>
    <hyperlink ref="I1414" r:id="rId1413" display="https://mem.gob.gt/que-hacemos/area-energetica/publicaciones/estadisticas/balance-energetico/"/>
    <hyperlink ref="I1415" r:id="rId1414" display="https://mem.gob.gt/que-hacemos/area-energetica/publicaciones/estadisticas/balance-energetico/"/>
    <hyperlink ref="I1416" r:id="rId1415" display="https://mem.gob.gt/que-hacemos/area-energetica/publicaciones/estadisticas/balance-energetico/"/>
    <hyperlink ref="I1417" r:id="rId1416" display="https://mem.gob.gt/que-hacemos/area-energetica/publicaciones/estadisticas/balance-energetico/"/>
    <hyperlink ref="I1418" r:id="rId1417" display="https://mem.gob.gt/que-hacemos/area-energetica/publicaciones/estadisticas/balance-energetico/"/>
    <hyperlink ref="I1419" r:id="rId1418" display="https://mem.gob.gt/que-hacemos/area-energetica/publicaciones/estadisticas/balance-energetico/"/>
    <hyperlink ref="I1420" r:id="rId1419" display="https://mem.gob.gt/que-hacemos/area-energetica/publicaciones/estadisticas/balance-energetico/"/>
    <hyperlink ref="I1421" r:id="rId1420" display="https://mem.gob.gt/que-hacemos/area-energetica/publicaciones/estadisticas/balance-energetico/"/>
    <hyperlink ref="I1422" r:id="rId1421" display="https://mem.gob.gt/que-hacemos/area-energetica/publicaciones/estadisticas/balance-energetico/"/>
    <hyperlink ref="I1423" r:id="rId1422" display="https://mem.gob.gt/que-hacemos/area-energetica/publicaciones/estadisticas/balance-energetico/"/>
    <hyperlink ref="I1424" r:id="rId1423" display="https://mem.gob.gt/que-hacemos/area-energetica/publicaciones/estadisticas/balance-energetico/"/>
    <hyperlink ref="I1425" r:id="rId1424" display="https://mem.gob.gt/que-hacemos/area-energetica/publicaciones/estadisticas/balance-energetico/"/>
    <hyperlink ref="I1426" r:id="rId1425" display="https://mem.gob.gt/que-hacemos/area-energetica/publicaciones/estadisticas/balance-energetico/"/>
    <hyperlink ref="I1427" r:id="rId1426" display="https://mem.gob.gt/que-hacemos/area-energetica/publicaciones/estadisticas/balance-energetico/"/>
    <hyperlink ref="I1428" r:id="rId1427" display="https://mem.gob.gt/que-hacemos/area-energetica/publicaciones/estadisticas/balance-energetico/"/>
    <hyperlink ref="I1429" r:id="rId1428" display="https://mem.gob.gt/que-hacemos/area-energetica/publicaciones/estadisticas/balance-energetico/"/>
    <hyperlink ref="I1430" r:id="rId1429" display="https://mem.gob.gt/que-hacemos/area-energetica/publicaciones/estadisticas/balance-energetico/"/>
    <hyperlink ref="I1431" r:id="rId1430" display="https://mem.gob.gt/que-hacemos/area-energetica/publicaciones/estadisticas/balance-energetico/"/>
    <hyperlink ref="I1432" r:id="rId1431" display="https://mem.gob.gt/que-hacemos/area-energetica/publicaciones/estadisticas/balance-energetico/"/>
    <hyperlink ref="I1433" r:id="rId1432" display="https://mem.gob.gt/que-hacemos/area-energetica/publicaciones/estadisticas/balance-energetico/"/>
    <hyperlink ref="I1434" r:id="rId1433" display="https://mem.gob.gt/que-hacemos/area-energetica/publicaciones/estadisticas/balance-energetico/"/>
    <hyperlink ref="I1435" r:id="rId1434" display="https://mem.gob.gt/que-hacemos/area-energetica/publicaciones/estadisticas/balance-energetico/"/>
    <hyperlink ref="I1436" r:id="rId1435" display="https://mem.gob.gt/que-hacemos/area-energetica/publicaciones/estadisticas/balance-energetico/"/>
    <hyperlink ref="I1437" r:id="rId1436" display="https://mem.gob.gt/que-hacemos/area-energetica/publicaciones/estadisticas/balance-energetico/"/>
    <hyperlink ref="I1438" r:id="rId1437" display="https://mem.gob.gt/que-hacemos/area-energetica/publicaciones/estadisticas/balance-energetico/"/>
    <hyperlink ref="I1439" r:id="rId1438" display="https://mem.gob.gt/que-hacemos/area-energetica/publicaciones/estadisticas/balance-energetico/"/>
    <hyperlink ref="I1440" r:id="rId1439" display="https://mem.gob.gt/que-hacemos/area-energetica/publicaciones/estadisticas/balance-energetico/"/>
    <hyperlink ref="I1441" r:id="rId1440" display="https://mem.gob.gt/que-hacemos/area-energetica/publicaciones/estadisticas/balance-energetico/"/>
    <hyperlink ref="I1442" r:id="rId1441" display="https://mem.gob.gt/que-hacemos/area-energetica/publicaciones/estadisticas/balance-energetico/"/>
    <hyperlink ref="I1443" r:id="rId1442" display="https://mem.gob.gt/que-hacemos/area-energetica/publicaciones/estadisticas/balance-energetico/"/>
    <hyperlink ref="I1444" r:id="rId1443" display="https://mem.gob.gt/que-hacemos/area-energetica/publicaciones/estadisticas/balance-energetico/"/>
    <hyperlink ref="I1445" r:id="rId1444" display="https://mem.gob.gt/que-hacemos/area-energetica/publicaciones/estadisticas/balance-energetico/"/>
    <hyperlink ref="I1446" r:id="rId1445" display="https://mem.gob.gt/que-hacemos/area-energetica/publicaciones/estadisticas/balance-energetico/"/>
    <hyperlink ref="I1447" r:id="rId1446" display="https://mem.gob.gt/que-hacemos/area-energetica/publicaciones/estadisticas/balance-energetico/"/>
    <hyperlink ref="I1448" r:id="rId1447" display="https://mem.gob.gt/que-hacemos/area-energetica/publicaciones/estadisticas/balance-energetico/"/>
    <hyperlink ref="I1449" r:id="rId1448" display="https://mem.gob.gt/que-hacemos/area-energetica/publicaciones/estadisticas/balance-energetico/"/>
    <hyperlink ref="I1450" r:id="rId1449" display="https://mem.gob.gt/que-hacemos/area-energetica/publicaciones/estadisticas/balance-energetico/"/>
    <hyperlink ref="I1451" r:id="rId1450" display="https://mem.gob.gt/que-hacemos/area-energetica/publicaciones/estadisticas/balance-energetico/"/>
    <hyperlink ref="I1452" r:id="rId1451" display="https://mem.gob.gt/que-hacemos/area-energetica/publicaciones/estadisticas/balance-energetico/"/>
    <hyperlink ref="I1453" r:id="rId1452" display="https://mem.gob.gt/que-hacemos/area-energetica/publicaciones/estadisticas/balance-energetico/"/>
    <hyperlink ref="I1454" r:id="rId1453" display="https://mem.gob.gt/que-hacemos/area-energetica/publicaciones/estadisticas/balance-energetico/"/>
    <hyperlink ref="I1455" r:id="rId1454" display="https://mem.gob.gt/que-hacemos/area-energetica/publicaciones/estadisticas/balance-energetico/"/>
    <hyperlink ref="I1456" r:id="rId1455" display="https://mem.gob.gt/que-hacemos/area-energetica/publicaciones/estadisticas/balance-energetico/"/>
    <hyperlink ref="I1457" r:id="rId1456" display="https://mem.gob.gt/que-hacemos/area-energetica/publicaciones/estadisticas/balance-energetico/"/>
    <hyperlink ref="I1458" r:id="rId1457" display="https://mem.gob.gt/que-hacemos/area-energetica/publicaciones/estadisticas/balance-energetico/"/>
    <hyperlink ref="I1459" r:id="rId1458" display="https://mem.gob.gt/que-hacemos/area-energetica/publicaciones/estadisticas/balance-energetico/"/>
    <hyperlink ref="I1460" r:id="rId1459" display="https://mem.gob.gt/que-hacemos/area-energetica/publicaciones/estadisticas/balance-energetico/"/>
    <hyperlink ref="I1461" r:id="rId1460" display="https://mem.gob.gt/que-hacemos/area-energetica/publicaciones/estadisticas/balance-energetico/"/>
    <hyperlink ref="I1462" r:id="rId1461" display="https://mem.gob.gt/que-hacemos/area-energetica/publicaciones/estadisticas/balance-energetico/"/>
    <hyperlink ref="I1463" r:id="rId1462" display="https://mem.gob.gt/que-hacemos/area-energetica/publicaciones/estadisticas/balance-energetico/"/>
    <hyperlink ref="I1464" r:id="rId1463" display="https://mem.gob.gt/que-hacemos/area-energetica/publicaciones/estadisticas/balance-energetico/"/>
    <hyperlink ref="I1465" r:id="rId1464" display="https://mem.gob.gt/que-hacemos/area-energetica/publicaciones/estadisticas/balance-energetico/"/>
    <hyperlink ref="I1466" r:id="rId1465" display="https://mem.gob.gt/que-hacemos/area-energetica/publicaciones/estadisticas/balance-energetico/"/>
    <hyperlink ref="I1467" r:id="rId1466" display="https://mem.gob.gt/que-hacemos/area-energetica/publicaciones/estadisticas/balance-energetico/"/>
    <hyperlink ref="I1468" r:id="rId1467" display="https://mem.gob.gt/que-hacemos/area-energetica/publicaciones/estadisticas/balance-energetico/"/>
    <hyperlink ref="I1469" r:id="rId1468" display="https://mem.gob.gt/que-hacemos/area-energetica/publicaciones/estadisticas/balance-energetico/"/>
    <hyperlink ref="I1470" r:id="rId1469" display="https://mem.gob.gt/que-hacemos/area-energetica/publicaciones/estadisticas/balance-energetico/"/>
    <hyperlink ref="I1471" r:id="rId1470" display="https://mem.gob.gt/que-hacemos/area-energetica/publicaciones/estadisticas/balance-energetico/"/>
    <hyperlink ref="I1472" r:id="rId1471" display="https://mem.gob.gt/que-hacemos/area-energetica/publicaciones/estadisticas/balance-energetico/"/>
    <hyperlink ref="I1473" r:id="rId1472" display="https://mem.gob.gt/que-hacemos/area-energetica/publicaciones/estadisticas/balance-energetico/"/>
    <hyperlink ref="I1474" r:id="rId1473" display="https://mem.gob.gt/que-hacemos/area-energetica/publicaciones/estadisticas/balance-energetico/"/>
    <hyperlink ref="I1475" r:id="rId1474" display="https://mem.gob.gt/que-hacemos/area-energetica/publicaciones/estadisticas/balance-energetico/"/>
    <hyperlink ref="I1476" r:id="rId1475" display="https://mem.gob.gt/que-hacemos/area-energetica/publicaciones/estadisticas/balance-energetico/"/>
    <hyperlink ref="I1477" r:id="rId1476" display="https://mem.gob.gt/que-hacemos/area-energetica/publicaciones/estadisticas/balance-energetico/"/>
    <hyperlink ref="I1478" r:id="rId1477" display="https://mem.gob.gt/que-hacemos/area-energetica/publicaciones/estadisticas/balance-energetico/"/>
    <hyperlink ref="I1479" r:id="rId1478" display="https://mem.gob.gt/que-hacemos/area-energetica/publicaciones/estadisticas/balance-energetico/"/>
    <hyperlink ref="I1480" r:id="rId1479" display="https://mem.gob.gt/que-hacemos/area-energetica/publicaciones/estadisticas/balance-energetico/"/>
    <hyperlink ref="I1481" r:id="rId1480" display="https://mem.gob.gt/que-hacemos/area-energetica/publicaciones/estadisticas/balance-energetico/"/>
    <hyperlink ref="I1482" r:id="rId1481" display="https://mem.gob.gt/que-hacemos/area-energetica/publicaciones/estadisticas/balance-energetico/"/>
    <hyperlink ref="I1483" r:id="rId1482" display="https://mem.gob.gt/que-hacemos/area-energetica/publicaciones/estadisticas/balance-energetico/"/>
    <hyperlink ref="I1484" r:id="rId1483" display="https://mem.gob.gt/que-hacemos/area-energetica/publicaciones/estadisticas/balance-energetico/"/>
    <hyperlink ref="I1485" r:id="rId1484" display="https://mem.gob.gt/que-hacemos/area-energetica/publicaciones/estadisticas/balance-energetico/"/>
    <hyperlink ref="I1486" r:id="rId1485" display="https://mem.gob.gt/que-hacemos/area-energetica/publicaciones/estadisticas/balance-energetico/"/>
    <hyperlink ref="I1487" r:id="rId1486" display="https://mem.gob.gt/que-hacemos/area-energetica/publicaciones/estadisticas/balance-energetico/"/>
    <hyperlink ref="I1488" r:id="rId1487" display="https://mem.gob.gt/que-hacemos/area-energetica/publicaciones/estadisticas/balance-energetico/"/>
    <hyperlink ref="I1489" r:id="rId1488" display="https://mem.gob.gt/que-hacemos/area-energetica/publicaciones/estadisticas/balance-energetico/"/>
    <hyperlink ref="I1490" r:id="rId1489" display="https://mem.gob.gt/que-hacemos/area-energetica/publicaciones/estadisticas/balance-energetico/"/>
    <hyperlink ref="I1491" r:id="rId1490" display="https://mem.gob.gt/que-hacemos/area-energetica/publicaciones/estadisticas/balance-energetico/"/>
    <hyperlink ref="I1492" r:id="rId1491" display="https://mem.gob.gt/que-hacemos/area-energetica/publicaciones/estadisticas/balance-energetico/"/>
    <hyperlink ref="I1493" r:id="rId1492" display="https://mem.gob.gt/que-hacemos/area-energetica/publicaciones/estadisticas/balance-energetico/"/>
    <hyperlink ref="I1494" r:id="rId1493" display="https://mem.gob.gt/que-hacemos/area-energetica/publicaciones/estadisticas/balance-energetico/"/>
    <hyperlink ref="I1495" r:id="rId1494" display="https://mem.gob.gt/que-hacemos/area-energetica/publicaciones/estadisticas/balance-energetico/"/>
    <hyperlink ref="I1496" r:id="rId1495" display="https://mem.gob.gt/que-hacemos/area-energetica/publicaciones/estadisticas/balance-energetico/"/>
    <hyperlink ref="I1497" r:id="rId1496" display="https://mem.gob.gt/que-hacemos/area-energetica/publicaciones/estadisticas/balance-energetico/"/>
    <hyperlink ref="I1498" r:id="rId1497" display="https://mem.gob.gt/que-hacemos/area-energetica/publicaciones/estadisticas/balance-energetico/"/>
    <hyperlink ref="I1499" r:id="rId1498" display="https://mem.gob.gt/que-hacemos/area-energetica/publicaciones/estadisticas/balance-energetico/"/>
    <hyperlink ref="I1500" r:id="rId1499" display="https://mem.gob.gt/que-hacemos/area-energetica/publicaciones/estadisticas/balance-energetico/"/>
    <hyperlink ref="I1501" r:id="rId1500" display="https://mem.gob.gt/que-hacemos/area-energetica/publicaciones/estadisticas/balance-energetico/"/>
    <hyperlink ref="I1502" r:id="rId1501" display="https://mem.gob.gt/que-hacemos/area-energetica/publicaciones/estadisticas/balance-energetico/"/>
    <hyperlink ref="I1503" r:id="rId1502" display="https://mem.gob.gt/que-hacemos/area-energetica/publicaciones/estadisticas/balance-energetico/"/>
    <hyperlink ref="I1504" r:id="rId1503" display="https://mem.gob.gt/que-hacemos/area-energetica/publicaciones/estadisticas/balance-energetico/"/>
    <hyperlink ref="I1505" r:id="rId1504" display="https://mem.gob.gt/que-hacemos/area-energetica/publicaciones/estadisticas/balance-energetico/"/>
    <hyperlink ref="I1506" r:id="rId1505" display="https://mem.gob.gt/que-hacemos/area-energetica/publicaciones/estadisticas/balance-energetico/"/>
    <hyperlink ref="I1507" r:id="rId1506" display="https://mem.gob.gt/que-hacemos/area-energetica/publicaciones/estadisticas/balance-energetico/"/>
    <hyperlink ref="I1508" r:id="rId1507" display="https://mem.gob.gt/que-hacemos/area-energetica/publicaciones/estadisticas/balance-energetico/"/>
    <hyperlink ref="I1509" r:id="rId1508" display="https://mem.gob.gt/que-hacemos/area-energetica/publicaciones/estadisticas/balance-energetico/"/>
    <hyperlink ref="I1510" r:id="rId1509" display="https://mem.gob.gt/que-hacemos/area-energetica/publicaciones/estadisticas/balance-energetico/"/>
    <hyperlink ref="I1511" r:id="rId1510" display="https://mem.gob.gt/que-hacemos/area-energetica/publicaciones/estadisticas/balance-energetico/"/>
    <hyperlink ref="I1512" r:id="rId1511" display="https://mem.gob.gt/que-hacemos/area-energetica/publicaciones/estadisticas/balance-energetico/"/>
    <hyperlink ref="I1513" r:id="rId1512" display="https://mem.gob.gt/que-hacemos/area-energetica/publicaciones/estadisticas/balance-energetico/"/>
    <hyperlink ref="I1514" r:id="rId1513" display="https://mem.gob.gt/que-hacemos/area-energetica/publicaciones/estadisticas/balance-energetico/"/>
    <hyperlink ref="I1515" r:id="rId1514" display="https://mem.gob.gt/que-hacemos/area-energetica/publicaciones/estadisticas/balance-energetico/"/>
    <hyperlink ref="I1516" r:id="rId1515" display="https://mem.gob.gt/que-hacemos/area-energetica/publicaciones/estadisticas/balance-energetico/"/>
    <hyperlink ref="I1517" r:id="rId1516" display="https://mem.gob.gt/que-hacemos/area-energetica/publicaciones/estadisticas/balance-energetico/"/>
    <hyperlink ref="I1518" r:id="rId1517" display="https://mem.gob.gt/que-hacemos/area-energetica/publicaciones/estadisticas/balance-energetico/"/>
    <hyperlink ref="I1519" r:id="rId1518" display="https://mem.gob.gt/que-hacemos/area-energetica/publicaciones/estadisticas/balance-energetico/"/>
    <hyperlink ref="I1520" r:id="rId1519" display="https://mem.gob.gt/que-hacemos/area-energetica/publicaciones/estadisticas/balance-energetico/"/>
    <hyperlink ref="I1521" r:id="rId1520" display="https://mem.gob.gt/que-hacemos/area-energetica/publicaciones/estadisticas/balance-energetico/"/>
    <hyperlink ref="I1522" r:id="rId1521" display="https://mem.gob.gt/que-hacemos/area-energetica/publicaciones/estadisticas/balance-energetico/"/>
    <hyperlink ref="I1523" r:id="rId1522" display="https://mem.gob.gt/que-hacemos/area-energetica/publicaciones/estadisticas/balance-energetico/"/>
    <hyperlink ref="I1524" r:id="rId1523" display="https://mem.gob.gt/que-hacemos/area-energetica/publicaciones/estadisticas/balance-energetico/"/>
    <hyperlink ref="I1525" r:id="rId1524" display="https://mem.gob.gt/que-hacemos/area-energetica/publicaciones/estadisticas/balance-energetico/"/>
    <hyperlink ref="I1526" r:id="rId1525" display="https://mem.gob.gt/que-hacemos/area-energetica/publicaciones/estadisticas/balance-energetico/"/>
    <hyperlink ref="I1527" r:id="rId1526" display="https://mem.gob.gt/que-hacemos/area-energetica/publicaciones/estadisticas/balance-energetico/"/>
    <hyperlink ref="I1528" r:id="rId1527" display="https://mem.gob.gt/que-hacemos/area-energetica/publicaciones/estadisticas/balance-energetico/"/>
    <hyperlink ref="I1529" r:id="rId1528" display="https://mem.gob.gt/que-hacemos/area-energetica/publicaciones/estadisticas/balance-energetico/"/>
    <hyperlink ref="I1530" r:id="rId1529" display="https://mem.gob.gt/que-hacemos/area-energetica/publicaciones/estadisticas/balance-energetico/"/>
    <hyperlink ref="I1531" r:id="rId1530" display="https://mem.gob.gt/que-hacemos/area-energetica/publicaciones/estadisticas/balance-energetico/"/>
    <hyperlink ref="I1532" r:id="rId1531" display="https://mem.gob.gt/que-hacemos/area-energetica/publicaciones/estadisticas/balance-energetico/"/>
    <hyperlink ref="I1533" r:id="rId1532" display="https://mem.gob.gt/que-hacemos/area-energetica/publicaciones/estadisticas/balance-energetico/"/>
    <hyperlink ref="I1534" r:id="rId1533" display="https://mem.gob.gt/que-hacemos/area-energetica/publicaciones/estadisticas/balance-energetico/"/>
    <hyperlink ref="I1535" r:id="rId1534" display="https://mem.gob.gt/que-hacemos/area-energetica/publicaciones/estadisticas/balance-energetico/"/>
    <hyperlink ref="I1536" r:id="rId1535" display="https://mem.gob.gt/que-hacemos/area-energetica/publicaciones/estadisticas/balance-energetico/"/>
    <hyperlink ref="I1537" r:id="rId1536" display="https://mem.gob.gt/que-hacemos/area-energetica/publicaciones/estadisticas/balance-energetico/"/>
    <hyperlink ref="I1538" r:id="rId1537" display="https://mem.gob.gt/que-hacemos/area-energetica/publicaciones/estadisticas/balance-energetico/"/>
    <hyperlink ref="I1539" r:id="rId1538" display="https://mem.gob.gt/que-hacemos/area-energetica/publicaciones/estadisticas/balance-energetico/"/>
    <hyperlink ref="I1540" r:id="rId1539" display="https://mem.gob.gt/que-hacemos/area-energetica/publicaciones/estadisticas/balance-energetico/"/>
    <hyperlink ref="I1541" r:id="rId1540" display="https://mem.gob.gt/que-hacemos/area-energetica/publicaciones/estadisticas/balance-energetico/"/>
    <hyperlink ref="I1542" r:id="rId1541" display="https://mem.gob.gt/que-hacemos/area-energetica/publicaciones/estadisticas/balance-energetico/"/>
    <hyperlink ref="I1543" r:id="rId1542" display="https://mem.gob.gt/que-hacemos/area-energetica/publicaciones/estadisticas/balance-energetico/"/>
    <hyperlink ref="I1544" r:id="rId1543" display="https://mem.gob.gt/que-hacemos/area-energetica/publicaciones/estadisticas/balance-energetico/"/>
    <hyperlink ref="I1545" r:id="rId1544" display="https://mem.gob.gt/que-hacemos/area-energetica/publicaciones/estadisticas/balance-energetico/"/>
    <hyperlink ref="I1546" r:id="rId1545" display="https://mem.gob.gt/que-hacemos/area-energetica/publicaciones/estadisticas/balance-energetico/"/>
    <hyperlink ref="I1547" r:id="rId1546" display="https://mem.gob.gt/que-hacemos/area-energetica/publicaciones/estadisticas/balance-energetico/"/>
    <hyperlink ref="I1548" r:id="rId1547" display="https://mem.gob.gt/que-hacemos/area-energetica/publicaciones/estadisticas/balance-energetico/"/>
    <hyperlink ref="I1549" r:id="rId1548" display="https://mem.gob.gt/que-hacemos/area-energetica/publicaciones/estadisticas/balance-energetico/"/>
    <hyperlink ref="I1550" r:id="rId1549" display="https://mem.gob.gt/que-hacemos/area-energetica/publicaciones/estadisticas/balance-energetico/"/>
    <hyperlink ref="I1551" r:id="rId1550" display="https://mem.gob.gt/que-hacemos/area-energetica/publicaciones/estadisticas/balance-energetico/"/>
    <hyperlink ref="I1552" r:id="rId1551" display="https://mem.gob.gt/que-hacemos/area-energetica/publicaciones/estadisticas/balance-energetico/"/>
    <hyperlink ref="I1553" r:id="rId1552" display="https://mem.gob.gt/que-hacemos/area-energetica/publicaciones/estadisticas/balance-energetico/"/>
    <hyperlink ref="I1554" r:id="rId1553" display="https://mem.gob.gt/que-hacemos/area-energetica/publicaciones/estadisticas/balance-energetico/"/>
    <hyperlink ref="I1555" r:id="rId1554" display="https://mem.gob.gt/que-hacemos/area-energetica/publicaciones/estadisticas/balance-energetico/"/>
    <hyperlink ref="I1556" r:id="rId1555" display="https://mem.gob.gt/que-hacemos/area-energetica/publicaciones/estadisticas/balance-energetico/"/>
    <hyperlink ref="I1557" r:id="rId1556" display="https://mem.gob.gt/que-hacemos/area-energetica/publicaciones/estadisticas/balance-energetico/"/>
    <hyperlink ref="I1558" r:id="rId1557" display="https://mem.gob.gt/que-hacemos/area-energetica/publicaciones/estadisticas/balance-energetico/"/>
    <hyperlink ref="I1559" r:id="rId1558" display="https://mem.gob.gt/que-hacemos/area-energetica/publicaciones/estadisticas/balance-energetico/"/>
    <hyperlink ref="I1560" r:id="rId1559" display="https://mem.gob.gt/que-hacemos/area-energetica/publicaciones/estadisticas/balance-energetico/"/>
    <hyperlink ref="I1561" r:id="rId1560" display="https://mem.gob.gt/que-hacemos/area-energetica/publicaciones/estadisticas/balance-energetico/"/>
    <hyperlink ref="I1562" r:id="rId1561" display="https://mem.gob.gt/que-hacemos/area-energetica/publicaciones/estadisticas/balance-energetico/"/>
    <hyperlink ref="I1563" r:id="rId1562" display="https://mem.gob.gt/que-hacemos/area-energetica/publicaciones/estadisticas/balance-energetico/"/>
    <hyperlink ref="I1564" r:id="rId1563" display="https://mem.gob.gt/que-hacemos/area-energetica/publicaciones/estadisticas/balance-energetico/"/>
    <hyperlink ref="I1565" r:id="rId1564" display="https://mem.gob.gt/que-hacemos/area-energetica/publicaciones/estadisticas/balance-energetico/"/>
    <hyperlink ref="I1566" r:id="rId1565" display="https://mem.gob.gt/que-hacemos/area-energetica/publicaciones/estadisticas/balance-energetico/"/>
    <hyperlink ref="I1567" r:id="rId1566" display="https://mem.gob.gt/que-hacemos/area-energetica/publicaciones/estadisticas/balance-energetico/"/>
    <hyperlink ref="I1568" r:id="rId1567" display="https://mem.gob.gt/que-hacemos/area-energetica/publicaciones/estadisticas/balance-energetico/"/>
    <hyperlink ref="I1569" r:id="rId1568" display="https://mem.gob.gt/que-hacemos/area-energetica/publicaciones/estadisticas/balance-energetico/"/>
    <hyperlink ref="I1570" r:id="rId1569" display="https://mem.gob.gt/que-hacemos/area-energetica/publicaciones/estadisticas/balance-energetico/"/>
    <hyperlink ref="I1571" r:id="rId1570" display="https://mem.gob.gt/que-hacemos/area-energetica/publicaciones/estadisticas/balance-energetico/"/>
    <hyperlink ref="I1572" r:id="rId1571" display="https://mem.gob.gt/que-hacemos/area-energetica/publicaciones/estadisticas/balance-energetico/"/>
    <hyperlink ref="I1573" r:id="rId1572" display="https://mem.gob.gt/que-hacemos/area-energetica/publicaciones/estadisticas/balance-energetico/"/>
    <hyperlink ref="I1574" r:id="rId1573" display="https://mem.gob.gt/que-hacemos/area-energetica/publicaciones/estadisticas/balance-energetico/"/>
    <hyperlink ref="I1575" r:id="rId1574" display="https://mem.gob.gt/que-hacemos/area-energetica/publicaciones/estadisticas/balance-energetico/"/>
    <hyperlink ref="I1576" r:id="rId1575" display="https://mem.gob.gt/que-hacemos/area-energetica/publicaciones/estadisticas/balance-energetico/"/>
    <hyperlink ref="I1577" r:id="rId1576" display="https://mem.gob.gt/que-hacemos/area-energetica/publicaciones/estadisticas/balance-energetico/"/>
    <hyperlink ref="I1578" r:id="rId1577" display="https://mem.gob.gt/que-hacemos/area-energetica/publicaciones/estadisticas/balance-energetico/"/>
    <hyperlink ref="I1579" r:id="rId1578" display="https://mem.gob.gt/que-hacemos/area-energetica/publicaciones/estadisticas/balance-energetico/"/>
    <hyperlink ref="I1580" r:id="rId1579" display="https://mem.gob.gt/que-hacemos/area-energetica/publicaciones/estadisticas/balance-energetico/"/>
    <hyperlink ref="I1581" r:id="rId1580" display="https://mem.gob.gt/que-hacemos/area-energetica/publicaciones/estadisticas/balance-energetico/"/>
    <hyperlink ref="I1582" r:id="rId1581" display="https://mem.gob.gt/que-hacemos/area-energetica/publicaciones/estadisticas/balance-energetico/"/>
    <hyperlink ref="I1583" r:id="rId1582" display="https://mem.gob.gt/que-hacemos/area-energetica/publicaciones/estadisticas/balance-energetico/"/>
    <hyperlink ref="I1584" r:id="rId1583" display="https://mem.gob.gt/que-hacemos/area-energetica/publicaciones/estadisticas/balance-energetico/"/>
    <hyperlink ref="I1585" r:id="rId1584" display="https://mem.gob.gt/que-hacemos/area-energetica/publicaciones/estadisticas/balance-energetico/"/>
    <hyperlink ref="I1586" r:id="rId1585" display="https://mem.gob.gt/que-hacemos/area-energetica/publicaciones/estadisticas/balance-energetico/"/>
    <hyperlink ref="I1587" r:id="rId1586" display="https://mem.gob.gt/que-hacemos/area-energetica/publicaciones/estadisticas/balance-energetico/"/>
    <hyperlink ref="I1588" r:id="rId1587" display="https://mem.gob.gt/que-hacemos/area-energetica/publicaciones/estadisticas/balance-energetico/"/>
    <hyperlink ref="I1589" r:id="rId1588" display="https://mem.gob.gt/que-hacemos/area-energetica/publicaciones/estadisticas/balance-energetico/"/>
    <hyperlink ref="I1590" r:id="rId1589" display="https://mem.gob.gt/que-hacemos/area-energetica/publicaciones/estadisticas/balance-energetico/"/>
    <hyperlink ref="I1591" r:id="rId1590" display="https://mem.gob.gt/que-hacemos/area-energetica/publicaciones/estadisticas/balance-energetico/"/>
    <hyperlink ref="I1592" r:id="rId1591" display="https://mem.gob.gt/que-hacemos/area-energetica/publicaciones/estadisticas/balance-energetico/"/>
    <hyperlink ref="I1593" r:id="rId1592" display="https://mem.gob.gt/que-hacemos/area-energetica/publicaciones/estadisticas/balance-energetico/"/>
    <hyperlink ref="I1594" r:id="rId1593" display="https://mem.gob.gt/que-hacemos/area-energetica/publicaciones/estadisticas/balance-energetico/"/>
    <hyperlink ref="I1595" r:id="rId1594" display="https://mem.gob.gt/que-hacemos/area-energetica/publicaciones/estadisticas/balance-energetico/"/>
    <hyperlink ref="I1596" r:id="rId1595" display="https://mem.gob.gt/que-hacemos/area-energetica/publicaciones/estadisticas/balance-energetico/"/>
    <hyperlink ref="I1597" r:id="rId1596" display="https://mem.gob.gt/que-hacemos/area-energetica/publicaciones/estadisticas/balance-energetico/"/>
    <hyperlink ref="I1598" r:id="rId1597" display="https://mem.gob.gt/que-hacemos/area-energetica/publicaciones/estadisticas/balance-energetico/"/>
    <hyperlink ref="I1599" r:id="rId1598" display="https://mem.gob.gt/que-hacemos/area-energetica/publicaciones/estadisticas/balance-energetico/"/>
    <hyperlink ref="I1600" r:id="rId1599" display="https://mem.gob.gt/que-hacemos/area-energetica/publicaciones/estadisticas/balance-energetico/"/>
    <hyperlink ref="I1601" r:id="rId1600" display="https://mem.gob.gt/que-hacemos/area-energetica/publicaciones/estadisticas/balance-energetico/"/>
    <hyperlink ref="I1602" r:id="rId1601" display="https://mem.gob.gt/que-hacemos/area-energetica/publicaciones/estadisticas/balance-energetico/"/>
    <hyperlink ref="I1603" r:id="rId1602" display="https://mem.gob.gt/que-hacemos/area-energetica/publicaciones/estadisticas/balance-energetico/"/>
    <hyperlink ref="I1604" r:id="rId1603" display="https://mem.gob.gt/que-hacemos/area-energetica/publicaciones/estadisticas/balance-energetico/"/>
    <hyperlink ref="I1605" r:id="rId1604" display="https://mem.gob.gt/que-hacemos/area-energetica/publicaciones/estadisticas/balance-energetico/"/>
    <hyperlink ref="I1606" r:id="rId1605" display="https://mem.gob.gt/que-hacemos/area-energetica/publicaciones/estadisticas/balance-energetico/"/>
    <hyperlink ref="I1607" r:id="rId1606" display="https://mem.gob.gt/que-hacemos/area-energetica/publicaciones/estadisticas/balance-energetico/"/>
    <hyperlink ref="I1608" r:id="rId1607" display="https://mem.gob.gt/que-hacemos/area-energetica/publicaciones/estadisticas/balance-energetico/"/>
    <hyperlink ref="I1609" r:id="rId1608" display="https://mem.gob.gt/que-hacemos/area-energetica/publicaciones/estadisticas/balance-energetico/"/>
    <hyperlink ref="I1610" r:id="rId1609" display="https://mem.gob.gt/que-hacemos/area-energetica/publicaciones/estadisticas/balance-energetico/"/>
    <hyperlink ref="I1611" r:id="rId1610" display="https://mem.gob.gt/que-hacemos/area-energetica/publicaciones/estadisticas/balance-energetico/"/>
    <hyperlink ref="I1612" r:id="rId1611" display="https://mem.gob.gt/que-hacemos/area-energetica/publicaciones/estadisticas/balance-energetico/"/>
    <hyperlink ref="I1613" r:id="rId1612" display="https://mem.gob.gt/que-hacemos/area-energetica/publicaciones/estadisticas/balance-energetico/"/>
    <hyperlink ref="I1614" r:id="rId1613" display="https://mem.gob.gt/que-hacemos/area-energetica/publicaciones/estadisticas/balance-energetico/"/>
    <hyperlink ref="I1615" r:id="rId1614" display="https://mem.gob.gt/que-hacemos/area-energetica/publicaciones/estadisticas/balance-energetico/"/>
    <hyperlink ref="I1616" r:id="rId1615" display="https://mem.gob.gt/que-hacemos/area-energetica/publicaciones/estadisticas/balance-energetico/"/>
    <hyperlink ref="I1617" r:id="rId1616" display="https://mem.gob.gt/que-hacemos/area-energetica/publicaciones/estadisticas/balance-energetico/"/>
    <hyperlink ref="I1618" r:id="rId1617" display="https://mem.gob.gt/que-hacemos/area-energetica/publicaciones/estadisticas/balance-energetico/"/>
    <hyperlink ref="I1619" r:id="rId1618" display="https://mem.gob.gt/que-hacemos/area-energetica/publicaciones/estadisticas/balance-energetico/"/>
    <hyperlink ref="I1620" r:id="rId1619" display="https://mem.gob.gt/que-hacemos/area-energetica/publicaciones/estadisticas/balance-energetico/"/>
    <hyperlink ref="I1621" r:id="rId1620" display="https://mem.gob.gt/que-hacemos/area-energetica/publicaciones/estadisticas/balance-energetico/"/>
    <hyperlink ref="I1622" r:id="rId1621" display="https://mem.gob.gt/que-hacemos/area-energetica/publicaciones/estadisticas/balance-energetico/"/>
    <hyperlink ref="I1623" r:id="rId1622" display="https://mem.gob.gt/que-hacemos/area-energetica/publicaciones/estadisticas/balance-energetico/"/>
    <hyperlink ref="I1624" r:id="rId1623" display="https://mem.gob.gt/que-hacemos/area-energetica/publicaciones/estadisticas/balance-energetico/"/>
    <hyperlink ref="I1625" r:id="rId1624" display="https://mem.gob.gt/que-hacemos/area-energetica/publicaciones/estadisticas/balance-energetico/"/>
    <hyperlink ref="I1626" r:id="rId1625" display="https://mem.gob.gt/que-hacemos/area-energetica/publicaciones/estadisticas/balance-energetico/"/>
    <hyperlink ref="I1627" r:id="rId1626" display="https://mem.gob.gt/que-hacemos/area-energetica/publicaciones/estadisticas/balance-energetico/"/>
    <hyperlink ref="I1628" r:id="rId1627" display="https://mem.gob.gt/que-hacemos/area-energetica/publicaciones/estadisticas/balance-energetico/"/>
    <hyperlink ref="I1629" r:id="rId1628" display="https://mem.gob.gt/que-hacemos/area-energetica/publicaciones/estadisticas/balance-energetico/"/>
    <hyperlink ref="I1630" r:id="rId1629" display="https://mem.gob.gt/que-hacemos/area-energetica/publicaciones/estadisticas/balance-energetico/"/>
    <hyperlink ref="I1631" r:id="rId1630" display="https://mem.gob.gt/que-hacemos/area-energetica/publicaciones/estadisticas/balance-energetico/"/>
    <hyperlink ref="I1632" r:id="rId1631" display="https://mem.gob.gt/que-hacemos/area-energetica/publicaciones/estadisticas/balance-energetico/"/>
    <hyperlink ref="I1633" r:id="rId1632" display="https://mem.gob.gt/que-hacemos/area-energetica/publicaciones/estadisticas/balance-energetico/"/>
    <hyperlink ref="I1634" r:id="rId1633" display="https://mem.gob.gt/que-hacemos/area-energetica/publicaciones/estadisticas/balance-energetico/"/>
    <hyperlink ref="I1635" r:id="rId1634" display="https://mem.gob.gt/que-hacemos/area-energetica/publicaciones/estadisticas/balance-energetico/"/>
    <hyperlink ref="I1636" r:id="rId1635" display="https://mem.gob.gt/que-hacemos/area-energetica/publicaciones/estadisticas/balance-energetico/"/>
    <hyperlink ref="I1637" r:id="rId1636" display="https://mem.gob.gt/que-hacemos/area-energetica/publicaciones/estadisticas/balance-energetico/"/>
    <hyperlink ref="I1638" r:id="rId1637" display="https://mem.gob.gt/que-hacemos/area-energetica/publicaciones/estadisticas/balance-energetico/"/>
    <hyperlink ref="I1639" r:id="rId1638" display="https://mem.gob.gt/que-hacemos/area-energetica/publicaciones/estadisticas/balance-energetico/"/>
    <hyperlink ref="I1640" r:id="rId1639" display="https://mem.gob.gt/que-hacemos/area-energetica/publicaciones/estadisticas/balance-energetico/"/>
    <hyperlink ref="I1641" r:id="rId1640" display="https://mem.gob.gt/que-hacemos/area-energetica/publicaciones/estadisticas/balance-energetico/"/>
    <hyperlink ref="I1642" r:id="rId1641" display="https://mem.gob.gt/que-hacemos/area-energetica/publicaciones/estadisticas/balance-energetico/"/>
    <hyperlink ref="I1643" r:id="rId1642" display="https://mem.gob.gt/que-hacemos/area-energetica/publicaciones/estadisticas/balance-energetico/"/>
    <hyperlink ref="I1644" r:id="rId1643" display="https://mem.gob.gt/que-hacemos/area-energetica/publicaciones/estadisticas/balance-energetico/"/>
    <hyperlink ref="I1645" r:id="rId1644" display="https://mem.gob.gt/que-hacemos/area-energetica/publicaciones/estadisticas/balance-energetico/"/>
    <hyperlink ref="I1646" r:id="rId1645" display="https://mem.gob.gt/que-hacemos/area-energetica/publicaciones/estadisticas/balance-energetico/"/>
    <hyperlink ref="I1647" r:id="rId1646" display="https://mem.gob.gt/que-hacemos/area-energetica/publicaciones/estadisticas/balance-energetico/"/>
    <hyperlink ref="I1648" r:id="rId1647" display="https://mem.gob.gt/que-hacemos/area-energetica/publicaciones/estadisticas/balance-energetico/"/>
    <hyperlink ref="I1649" r:id="rId1648" display="https://mem.gob.gt/que-hacemos/area-energetica/publicaciones/estadisticas/balance-energetico/"/>
    <hyperlink ref="I1650" r:id="rId1649" display="https://mem.gob.gt/que-hacemos/area-energetica/publicaciones/estadisticas/balance-energetico/"/>
    <hyperlink ref="I1651" r:id="rId1650" display="https://mem.gob.gt/que-hacemos/area-energetica/publicaciones/estadisticas/balance-energetico/"/>
    <hyperlink ref="I1652" r:id="rId1651" display="https://mem.gob.gt/que-hacemos/area-energetica/publicaciones/estadisticas/balance-energetico/"/>
    <hyperlink ref="I1653" r:id="rId1652" display="https://mem.gob.gt/que-hacemos/area-energetica/publicaciones/estadisticas/balance-energetico/"/>
    <hyperlink ref="I1654" r:id="rId1653" display="https://mem.gob.gt/que-hacemos/area-energetica/publicaciones/estadisticas/balance-energetico/"/>
    <hyperlink ref="I1655" r:id="rId1654" display="https://mem.gob.gt/que-hacemos/area-energetica/publicaciones/estadisticas/balance-energetico/"/>
    <hyperlink ref="I1656" r:id="rId1655" display="https://mem.gob.gt/que-hacemos/area-energetica/publicaciones/estadisticas/balance-energetico/"/>
    <hyperlink ref="I1657" r:id="rId1656" display="https://mem.gob.gt/que-hacemos/area-energetica/publicaciones/estadisticas/balance-energetico/"/>
    <hyperlink ref="I1658" r:id="rId1657" display="https://mem.gob.gt/que-hacemos/area-energetica/publicaciones/estadisticas/balance-energetico/"/>
    <hyperlink ref="I1659" r:id="rId1658" display="https://mem.gob.gt/que-hacemos/area-energetica/publicaciones/estadisticas/balance-energetico/"/>
    <hyperlink ref="I1660" r:id="rId1659" display="https://mem.gob.gt/que-hacemos/area-energetica/publicaciones/estadisticas/balance-energetico/"/>
    <hyperlink ref="I1661" r:id="rId1660" display="https://mem.gob.gt/que-hacemos/area-energetica/publicaciones/estadisticas/balance-energetico/"/>
    <hyperlink ref="I1662" r:id="rId1661" display="https://mem.gob.gt/que-hacemos/area-energetica/publicaciones/estadisticas/balance-energetico/"/>
    <hyperlink ref="I1663" r:id="rId1662" display="https://mem.gob.gt/que-hacemos/area-energetica/publicaciones/estadisticas/balance-energetico/"/>
    <hyperlink ref="I1664" r:id="rId1663" display="https://mem.gob.gt/que-hacemos/area-energetica/publicaciones/estadisticas/balance-energetico/"/>
    <hyperlink ref="I1665" r:id="rId1664" display="https://mem.gob.gt/que-hacemos/area-energetica/publicaciones/estadisticas/balance-energetico/"/>
    <hyperlink ref="I1666" r:id="rId1665" display="https://mem.gob.gt/que-hacemos/area-energetica/publicaciones/estadisticas/balance-energetico/"/>
    <hyperlink ref="I1667" r:id="rId1666" display="https://mem.gob.gt/que-hacemos/area-energetica/publicaciones/estadisticas/balance-energetico/"/>
    <hyperlink ref="I1668" r:id="rId1667" display="https://mem.gob.gt/que-hacemos/area-energetica/publicaciones/estadisticas/balance-energetico/"/>
    <hyperlink ref="I1669" r:id="rId1668" display="https://mem.gob.gt/que-hacemos/area-energetica/publicaciones/estadisticas/balance-energetico/"/>
    <hyperlink ref="I1670" r:id="rId1669" display="https://mem.gob.gt/que-hacemos/area-energetica/publicaciones/estadisticas/balance-energetico/"/>
    <hyperlink ref="I1671" r:id="rId1670" display="https://mem.gob.gt/que-hacemos/area-energetica/publicaciones/estadisticas/balance-energetico/"/>
    <hyperlink ref="I1672" r:id="rId1671" display="https://mem.gob.gt/que-hacemos/area-energetica/publicaciones/estadisticas/balance-energetico/"/>
    <hyperlink ref="I1673" r:id="rId1672" display="https://mem.gob.gt/que-hacemos/area-energetica/publicaciones/estadisticas/balance-energetico/"/>
    <hyperlink ref="I1674" r:id="rId1673" display="https://mem.gob.gt/que-hacemos/area-energetica/publicaciones/estadisticas/balance-energetico/"/>
    <hyperlink ref="I1675" r:id="rId1674" display="https://mem.gob.gt/que-hacemos/area-energetica/publicaciones/estadisticas/balance-energetico/"/>
    <hyperlink ref="I1676" r:id="rId1675" display="https://mem.gob.gt/que-hacemos/area-energetica/publicaciones/estadisticas/balance-energetico/"/>
    <hyperlink ref="I1677" r:id="rId1676" display="https://mem.gob.gt/que-hacemos/area-energetica/publicaciones/estadisticas/balance-energetico/"/>
    <hyperlink ref="I1678" r:id="rId1677" display="https://mem.gob.gt/que-hacemos/area-energetica/publicaciones/estadisticas/balance-energetico/"/>
    <hyperlink ref="I1679" r:id="rId1678" display="https://mem.gob.gt/que-hacemos/area-energetica/publicaciones/estadisticas/balance-energetico/"/>
    <hyperlink ref="I1680" r:id="rId1679" display="https://mem.gob.gt/que-hacemos/area-energetica/publicaciones/estadisticas/balance-energetico/"/>
    <hyperlink ref="I1681" r:id="rId1680" display="https://mem.gob.gt/que-hacemos/area-energetica/publicaciones/estadisticas/balance-energetico/"/>
    <hyperlink ref="I1682" r:id="rId1681" display="https://mem.gob.gt/que-hacemos/area-energetica/publicaciones/estadisticas/balance-energetico/"/>
    <hyperlink ref="I1683" r:id="rId1682" display="https://mem.gob.gt/que-hacemos/area-energetica/publicaciones/estadisticas/balance-energetico/"/>
    <hyperlink ref="I1684" r:id="rId1683" display="https://mem.gob.gt/que-hacemos/area-energetica/publicaciones/estadisticas/balance-energetico/"/>
    <hyperlink ref="I1685" r:id="rId1684" display="https://mem.gob.gt/que-hacemos/area-energetica/publicaciones/estadisticas/balance-energetico/"/>
    <hyperlink ref="I1686" r:id="rId1685" display="https://mem.gob.gt/que-hacemos/area-energetica/publicaciones/estadisticas/balance-energetico/"/>
    <hyperlink ref="I1687" r:id="rId1686" display="https://mem.gob.gt/que-hacemos/area-energetica/publicaciones/estadisticas/balance-energetico/"/>
    <hyperlink ref="I1688" r:id="rId1687" display="https://mem.gob.gt/que-hacemos/area-energetica/publicaciones/estadisticas/balance-energetico/"/>
    <hyperlink ref="I1689" r:id="rId1688" display="https://mem.gob.gt/que-hacemos/area-energetica/publicaciones/estadisticas/balance-energetico/"/>
    <hyperlink ref="I1690" r:id="rId1689" display="https://mem.gob.gt/que-hacemos/area-energetica/publicaciones/estadisticas/balance-energetico/"/>
    <hyperlink ref="I1691" r:id="rId1690" display="https://mem.gob.gt/que-hacemos/area-energetica/publicaciones/estadisticas/balance-energetico/"/>
    <hyperlink ref="I1692" r:id="rId1691" display="https://mem.gob.gt/que-hacemos/area-energetica/publicaciones/estadisticas/balance-energetico/"/>
    <hyperlink ref="I1693" r:id="rId1692" display="https://mem.gob.gt/que-hacemos/area-energetica/publicaciones/estadisticas/balance-energetico/"/>
    <hyperlink ref="I1694" r:id="rId1693" display="https://mem.gob.gt/que-hacemos/area-energetica/publicaciones/estadisticas/balance-energetico/"/>
    <hyperlink ref="I1695" r:id="rId1694" display="https://mem.gob.gt/que-hacemos/area-energetica/publicaciones/estadisticas/balance-energetico/"/>
    <hyperlink ref="I1696" r:id="rId1695" display="https://mem.gob.gt/que-hacemos/area-energetica/publicaciones/estadisticas/balance-energetico/"/>
    <hyperlink ref="I1697" r:id="rId1696" display="https://mem.gob.gt/que-hacemos/area-energetica/publicaciones/estadisticas/balance-energetico/"/>
    <hyperlink ref="I1698" r:id="rId1697" display="https://mem.gob.gt/que-hacemos/area-energetica/publicaciones/estadisticas/balance-energetico/"/>
    <hyperlink ref="I1699" r:id="rId1698" display="https://mem.gob.gt/que-hacemos/area-energetica/publicaciones/estadisticas/balance-energetico/"/>
    <hyperlink ref="I1700" r:id="rId1699" display="https://mem.gob.gt/que-hacemos/area-energetica/publicaciones/estadisticas/balance-energetico/"/>
    <hyperlink ref="I1701" r:id="rId1700" display="https://mem.gob.gt/que-hacemos/area-energetica/publicaciones/estadisticas/balance-energetico/"/>
    <hyperlink ref="I1702" r:id="rId1701" display="https://mem.gob.gt/que-hacemos/area-energetica/publicaciones/estadisticas/balance-energetico/"/>
    <hyperlink ref="I1703" r:id="rId1702" display="https://mem.gob.gt/que-hacemos/area-energetica/publicaciones/estadisticas/balance-energetico/"/>
    <hyperlink ref="I1704" r:id="rId1703" display="https://mem.gob.gt/que-hacemos/area-energetica/publicaciones/estadisticas/balance-energetico/"/>
    <hyperlink ref="I1705" r:id="rId1704" display="https://mem.gob.gt/que-hacemos/area-energetica/publicaciones/estadisticas/balance-energetico/"/>
    <hyperlink ref="I1706" r:id="rId1705" display="https://mem.gob.gt/que-hacemos/area-energetica/publicaciones/estadisticas/balance-energetico/"/>
    <hyperlink ref="I1707" r:id="rId1706" display="https://mem.gob.gt/que-hacemos/area-energetica/publicaciones/estadisticas/balance-energetico/"/>
    <hyperlink ref="I1708" r:id="rId1707" display="https://mem.gob.gt/que-hacemos/area-energetica/publicaciones/estadisticas/balance-energetico/"/>
    <hyperlink ref="I1709" r:id="rId1708" display="https://mem.gob.gt/que-hacemos/area-energetica/publicaciones/estadisticas/balance-energetico/"/>
    <hyperlink ref="I1710" r:id="rId1709" display="https://mem.gob.gt/que-hacemos/area-energetica/publicaciones/estadisticas/balance-energetico/"/>
    <hyperlink ref="I1711" r:id="rId1710" display="https://mem.gob.gt/que-hacemos/area-energetica/publicaciones/estadisticas/balance-energetico/"/>
    <hyperlink ref="I1712" r:id="rId1711" display="https://mem.gob.gt/que-hacemos/area-energetica/publicaciones/estadisticas/balance-energetico/"/>
    <hyperlink ref="I1713" r:id="rId1712" display="https://mem.gob.gt/que-hacemos/area-energetica/publicaciones/estadisticas/balance-energetico/"/>
    <hyperlink ref="I1714" r:id="rId1713" display="https://mem.gob.gt/que-hacemos/area-energetica/publicaciones/estadisticas/balance-energetico/"/>
    <hyperlink ref="I1715" r:id="rId1714" display="https://mem.gob.gt/que-hacemos/area-energetica/publicaciones/estadisticas/balance-energetico/"/>
    <hyperlink ref="I1716" r:id="rId1715" display="https://mem.gob.gt/que-hacemos/area-energetica/publicaciones/estadisticas/balance-energetico/"/>
    <hyperlink ref="I1717" r:id="rId1716" display="https://mem.gob.gt/que-hacemos/area-energetica/publicaciones/estadisticas/balance-energetico/"/>
    <hyperlink ref="I1718" r:id="rId1717" display="https://mem.gob.gt/que-hacemos/area-energetica/publicaciones/estadisticas/balance-energetico/"/>
    <hyperlink ref="I1719" r:id="rId1718" display="https://mem.gob.gt/que-hacemos/area-energetica/publicaciones/estadisticas/balance-energetico/"/>
    <hyperlink ref="I1720" r:id="rId1719" display="https://mem.gob.gt/que-hacemos/area-energetica/publicaciones/estadisticas/balance-energetico/"/>
    <hyperlink ref="I1721" r:id="rId1720" display="https://mem.gob.gt/que-hacemos/area-energetica/publicaciones/estadisticas/balance-energetico/"/>
    <hyperlink ref="I1722" r:id="rId1721" display="https://mem.gob.gt/que-hacemos/area-energetica/publicaciones/estadisticas/balance-energetico/"/>
    <hyperlink ref="I1723" r:id="rId1722" display="https://mem.gob.gt/que-hacemos/area-energetica/publicaciones/estadisticas/balance-energetico/"/>
    <hyperlink ref="I1724" r:id="rId1723" display="https://mem.gob.gt/que-hacemos/area-energetica/publicaciones/estadisticas/balance-energetico/"/>
    <hyperlink ref="I1725" r:id="rId1724" display="https://mem.gob.gt/que-hacemos/area-energetica/publicaciones/estadisticas/balance-energetico/"/>
    <hyperlink ref="I1726" r:id="rId1725" display="https://mem.gob.gt/que-hacemos/area-energetica/publicaciones/estadisticas/balance-energetico/"/>
    <hyperlink ref="I1727" r:id="rId1726" display="https://mem.gob.gt/que-hacemos/area-energetica/publicaciones/estadisticas/balance-energetico/"/>
    <hyperlink ref="I1728" r:id="rId1727" display="https://mem.gob.gt/que-hacemos/area-energetica/publicaciones/estadisticas/balance-energetico/"/>
    <hyperlink ref="I1729" r:id="rId1728" display="https://mem.gob.gt/que-hacemos/area-energetica/publicaciones/estadisticas/balance-energetico/"/>
    <hyperlink ref="I1730" r:id="rId1729" display="https://mem.gob.gt/que-hacemos/area-energetica/publicaciones/estadisticas/balance-energetico/"/>
    <hyperlink ref="I1731" r:id="rId1730" display="https://mem.gob.gt/que-hacemos/area-energetica/publicaciones/estadisticas/balance-energetico/"/>
    <hyperlink ref="I1732" r:id="rId1731" display="https://mem.gob.gt/que-hacemos/area-energetica/publicaciones/estadisticas/balance-energetico/"/>
    <hyperlink ref="I1733" r:id="rId1732" display="https://mem.gob.gt/que-hacemos/area-energetica/publicaciones/estadisticas/balance-energetico/"/>
    <hyperlink ref="I1734" r:id="rId1733" display="https://mem.gob.gt/que-hacemos/area-energetica/publicaciones/estadisticas/balance-energetico/"/>
    <hyperlink ref="I1735" r:id="rId1734" display="https://mem.gob.gt/que-hacemos/area-energetica/publicaciones/estadisticas/balance-energetico/"/>
    <hyperlink ref="I1736" r:id="rId1735" display="https://mem.gob.gt/que-hacemos/area-energetica/publicaciones/estadisticas/balance-energetico/"/>
    <hyperlink ref="I1737" r:id="rId1736" display="https://mem.gob.gt/que-hacemos/area-energetica/publicaciones/estadisticas/balance-energetico/"/>
    <hyperlink ref="I1738" r:id="rId1737" display="https://mem.gob.gt/que-hacemos/area-energetica/publicaciones/estadisticas/balance-energetico/"/>
    <hyperlink ref="I1739" r:id="rId1738" display="https://mem.gob.gt/que-hacemos/area-energetica/publicaciones/estadisticas/balance-energetico/"/>
    <hyperlink ref="I1740" r:id="rId1739" display="https://mem.gob.gt/que-hacemos/area-energetica/publicaciones/estadisticas/balance-energetico/"/>
    <hyperlink ref="I1741" r:id="rId1740" display="https://mem.gob.gt/que-hacemos/area-energetica/publicaciones/estadisticas/balance-energetico/"/>
    <hyperlink ref="I1742" r:id="rId1741" display="https://mem.gob.gt/que-hacemos/area-energetica/publicaciones/estadisticas/balance-energetico/"/>
    <hyperlink ref="I1743" r:id="rId1742" display="https://mem.gob.gt/que-hacemos/area-energetica/publicaciones/estadisticas/balance-energetico/"/>
    <hyperlink ref="I1744" r:id="rId1743" display="https://mem.gob.gt/que-hacemos/area-energetica/publicaciones/estadisticas/balance-energetico/"/>
    <hyperlink ref="I1745" r:id="rId1744" display="https://mem.gob.gt/que-hacemos/area-energetica/publicaciones/estadisticas/balance-energetico/"/>
    <hyperlink ref="I1746" r:id="rId1745" display="https://mem.gob.gt/que-hacemos/area-energetica/publicaciones/estadisticas/balance-energetico/"/>
    <hyperlink ref="I1747" r:id="rId1746" display="https://mem.gob.gt/que-hacemos/area-energetica/publicaciones/estadisticas/balance-energetico/"/>
    <hyperlink ref="I1748" r:id="rId1747" display="https://mem.gob.gt/que-hacemos/area-energetica/publicaciones/estadisticas/balance-energetico/"/>
    <hyperlink ref="I1749" r:id="rId1748" display="https://mem.gob.gt/que-hacemos/area-energetica/publicaciones/estadisticas/balance-energetico/"/>
    <hyperlink ref="I1750" r:id="rId1749" display="https://mem.gob.gt/que-hacemos/area-energetica/publicaciones/estadisticas/balance-energetico/"/>
    <hyperlink ref="I1751" r:id="rId1750" display="https://mem.gob.gt/que-hacemos/area-energetica/publicaciones/estadisticas/balance-energetico/"/>
    <hyperlink ref="I1752" r:id="rId1751" display="https://mem.gob.gt/que-hacemos/area-energetica/publicaciones/estadisticas/balance-energetico/"/>
    <hyperlink ref="I1753" r:id="rId1752" display="https://mem.gob.gt/que-hacemos/area-energetica/publicaciones/estadisticas/balance-energetico/"/>
    <hyperlink ref="I1754" r:id="rId1753" display="https://mem.gob.gt/que-hacemos/area-energetica/publicaciones/estadisticas/balance-energetico/"/>
    <hyperlink ref="I1755" r:id="rId1754" display="https://mem.gob.gt/que-hacemos/area-energetica/publicaciones/estadisticas/balance-energetico/"/>
    <hyperlink ref="I1756" r:id="rId1755" display="https://mem.gob.gt/que-hacemos/area-energetica/publicaciones/estadisticas/balance-energetico/"/>
    <hyperlink ref="I1757" r:id="rId1756" display="https://mem.gob.gt/que-hacemos/area-energetica/publicaciones/estadisticas/balance-energetico/"/>
    <hyperlink ref="I1758" r:id="rId1757" display="https://mem.gob.gt/que-hacemos/area-energetica/publicaciones/estadisticas/balance-energetico/"/>
    <hyperlink ref="I1759" r:id="rId1758" display="https://mem.gob.gt/que-hacemos/area-energetica/publicaciones/estadisticas/balance-energetico/"/>
    <hyperlink ref="I1760" r:id="rId1759" display="https://mem.gob.gt/que-hacemos/area-energetica/publicaciones/estadisticas/balance-energetico/"/>
    <hyperlink ref="I1761" r:id="rId1760" display="https://mem.gob.gt/que-hacemos/area-energetica/publicaciones/estadisticas/balance-energetico/"/>
    <hyperlink ref="I1762" r:id="rId1761" display="https://mem.gob.gt/que-hacemos/area-energetica/publicaciones/estadisticas/balance-energetico/"/>
    <hyperlink ref="I1763" r:id="rId1762" display="https://mem.gob.gt/que-hacemos/area-energetica/publicaciones/estadisticas/balance-energetico/"/>
    <hyperlink ref="I1764" r:id="rId1763" display="https://mem.gob.gt/que-hacemos/area-energetica/publicaciones/estadisticas/balance-energetico/"/>
    <hyperlink ref="I1765" r:id="rId1764" display="https://mem.gob.gt/que-hacemos/area-energetica/publicaciones/estadisticas/balance-energetico/"/>
    <hyperlink ref="I1766" r:id="rId1765" display="https://mem.gob.gt/que-hacemos/area-energetica/publicaciones/estadisticas/balance-energetico/"/>
    <hyperlink ref="I1767" r:id="rId1766" display="https://mem.gob.gt/que-hacemos/area-energetica/publicaciones/estadisticas/balance-energetico/"/>
    <hyperlink ref="I1768" r:id="rId1767" display="https://mem.gob.gt/que-hacemos/area-energetica/publicaciones/estadisticas/balance-energetico/"/>
    <hyperlink ref="I1769" r:id="rId1768" display="https://mem.gob.gt/que-hacemos/area-energetica/publicaciones/estadisticas/balance-energetico/"/>
    <hyperlink ref="I1770" r:id="rId1769" display="https://mem.gob.gt/que-hacemos/area-energetica/publicaciones/estadisticas/balance-energetico/"/>
    <hyperlink ref="I1771" r:id="rId1770" display="https://mem.gob.gt/que-hacemos/area-energetica/publicaciones/estadisticas/balance-energetico/"/>
    <hyperlink ref="I1772" r:id="rId1771" display="https://mem.gob.gt/que-hacemos/area-energetica/publicaciones/estadisticas/balance-energetico/"/>
    <hyperlink ref="I1773" r:id="rId1772" display="https://mem.gob.gt/que-hacemos/area-energetica/publicaciones/estadisticas/balance-energetico/"/>
    <hyperlink ref="I1774" r:id="rId1773" display="https://mem.gob.gt/que-hacemos/area-energetica/publicaciones/estadisticas/balance-energetico/"/>
    <hyperlink ref="I1775" r:id="rId1774" display="https://mem.gob.gt/que-hacemos/area-energetica/publicaciones/estadisticas/balance-energetico/"/>
    <hyperlink ref="I1776" r:id="rId1775" display="https://mem.gob.gt/que-hacemos/area-energetica/publicaciones/estadisticas/balance-energetico/"/>
    <hyperlink ref="I1777" r:id="rId1776" display="https://mem.gob.gt/que-hacemos/area-energetica/publicaciones/estadisticas/balance-energetico/"/>
    <hyperlink ref="I1778" r:id="rId1777" display="https://mem.gob.gt/que-hacemos/area-energetica/publicaciones/estadisticas/balance-energetico/"/>
    <hyperlink ref="I1779" r:id="rId1778" display="https://mem.gob.gt/que-hacemos/area-energetica/publicaciones/estadisticas/balance-energetico/"/>
    <hyperlink ref="I2397" r:id="rId1779" display="https://mem.gob.gt/que-hacemos/area-energetica/publicaciones/estadisticas/balance-energetico/"/>
    <hyperlink ref="I2398" r:id="rId1780" display="https://mem.gob.gt/que-hacemos/area-energetica/publicaciones/estadisticas/balance-energetico/"/>
    <hyperlink ref="I2399" r:id="rId1781" display="https://mem.gob.gt/que-hacemos/area-energetica/publicaciones/estadisticas/balance-energetico/"/>
    <hyperlink ref="I2400" r:id="rId1782" display="https://mem.gob.gt/que-hacemos/area-energetica/publicaciones/estadisticas/balance-energetico/"/>
    <hyperlink ref="I2401" r:id="rId1783" display="https://mem.gob.gt/que-hacemos/area-energetica/publicaciones/estadisticas/balance-energetico/"/>
    <hyperlink ref="I2402" r:id="rId1784" display="https://mem.gob.gt/que-hacemos/area-energetica/publicaciones/estadisticas/balance-energetico/"/>
    <hyperlink ref="I2403" r:id="rId1785" display="https://mem.gob.gt/que-hacemos/area-energetica/publicaciones/estadisticas/balance-energetico/"/>
    <hyperlink ref="I2404" r:id="rId1786" display="https://mem.gob.gt/que-hacemos/area-energetica/publicaciones/estadisticas/balance-energetico/"/>
    <hyperlink ref="I2405" r:id="rId1787" display="https://mem.gob.gt/que-hacemos/area-energetica/publicaciones/estadisticas/balance-energetico/"/>
    <hyperlink ref="I2406" r:id="rId1788" display="https://mem.gob.gt/que-hacemos/area-energetica/publicaciones/estadisticas/balance-energetico/"/>
    <hyperlink ref="I2407" r:id="rId1789" display="https://mem.gob.gt/que-hacemos/area-energetica/publicaciones/estadisticas/balance-energetico/"/>
    <hyperlink ref="I2408" r:id="rId1790" display="https://mem.gob.gt/que-hacemos/area-energetica/publicaciones/estadisticas/balance-energetico/"/>
    <hyperlink ref="I2409" r:id="rId1791" display="https://mem.gob.gt/que-hacemos/area-energetica/publicaciones/estadisticas/balance-energetico/"/>
    <hyperlink ref="I2410" r:id="rId1792" display="https://mem.gob.gt/que-hacemos/area-energetica/publicaciones/estadisticas/balance-energetico/"/>
    <hyperlink ref="I2411" r:id="rId1793" display="https://mem.gob.gt/que-hacemos/area-energetica/publicaciones/estadisticas/balance-energetico/"/>
    <hyperlink ref="I2412" r:id="rId1794" display="https://mem.gob.gt/que-hacemos/area-energetica/publicaciones/estadisticas/balance-energetico/"/>
    <hyperlink ref="I2413" r:id="rId1795" display="https://mem.gob.gt/que-hacemos/area-energetica/publicaciones/estadisticas/balance-energetico/"/>
    <hyperlink ref="I2414" r:id="rId1796" display="https://mem.gob.gt/que-hacemos/area-energetica/publicaciones/estadisticas/balance-energetico/"/>
    <hyperlink ref="I2415" r:id="rId1797" display="https://mem.gob.gt/que-hacemos/area-energetica/publicaciones/estadisticas/balance-energetico/"/>
    <hyperlink ref="I2416" r:id="rId1798" display="https://mem.gob.gt/que-hacemos/area-energetica/publicaciones/estadisticas/balance-energetico/"/>
    <hyperlink ref="I2417" r:id="rId1799" display="https://mem.gob.gt/que-hacemos/area-energetica/publicaciones/estadisticas/balance-energetico/"/>
    <hyperlink ref="I2418" r:id="rId1800" display="https://mem.gob.gt/que-hacemos/area-energetica/publicaciones/estadisticas/balance-energetico/"/>
    <hyperlink ref="I2419" r:id="rId1801" display="https://mem.gob.gt/que-hacemos/area-energetica/publicaciones/estadisticas/balance-energetico/"/>
    <hyperlink ref="I2420" r:id="rId1802" display="https://mem.gob.gt/que-hacemos/area-energetica/publicaciones/estadisticas/balance-energetico/"/>
    <hyperlink ref="I2421" r:id="rId1803" display="https://mem.gob.gt/que-hacemos/area-energetica/publicaciones/estadisticas/balance-energetico/"/>
    <hyperlink ref="I2422" r:id="rId1804" display="https://mem.gob.gt/que-hacemos/area-energetica/publicaciones/estadisticas/balance-energetico/"/>
    <hyperlink ref="I2423" r:id="rId1805" display="https://mem.gob.gt/que-hacemos/area-energetica/publicaciones/estadisticas/balance-energetico/"/>
    <hyperlink ref="I2424" r:id="rId1806" display="https://mem.gob.gt/que-hacemos/area-energetica/publicaciones/estadisticas/balance-energetico/"/>
    <hyperlink ref="I2425" r:id="rId1807" display="https://mem.gob.gt/que-hacemos/area-energetica/publicaciones/estadisticas/balance-energetico/"/>
    <hyperlink ref="I2426" r:id="rId1808" display="https://mem.gob.gt/que-hacemos/area-energetica/publicaciones/estadisticas/balance-energetico/"/>
    <hyperlink ref="I2427" r:id="rId1809" display="https://mem.gob.gt/que-hacemos/area-energetica/publicaciones/estadisticas/balance-energetico/"/>
    <hyperlink ref="I2428" r:id="rId1810" display="https://mem.gob.gt/que-hacemos/area-energetica/publicaciones/estadisticas/balance-energetico/"/>
    <hyperlink ref="I2429" r:id="rId1811" display="https://mem.gob.gt/que-hacemos/area-energetica/publicaciones/estadisticas/balance-energetico/"/>
    <hyperlink ref="I2430" r:id="rId1812" display="https://mem.gob.gt/que-hacemos/area-energetica/publicaciones/estadisticas/balance-energetico/"/>
    <hyperlink ref="I2431" r:id="rId1813" display="https://mem.gob.gt/que-hacemos/area-energetica/publicaciones/estadisticas/balance-energetico/"/>
    <hyperlink ref="I2432" r:id="rId1814" display="https://mem.gob.gt/que-hacemos/area-energetica/publicaciones/estadisticas/balance-energetico/"/>
    <hyperlink ref="I2433" r:id="rId1815" display="https://mem.gob.gt/que-hacemos/area-energetica/publicaciones/estadisticas/balance-energetico/"/>
    <hyperlink ref="I2434" r:id="rId1816" display="https://mem.gob.gt/que-hacemos/area-energetica/publicaciones/estadisticas/balance-energetico/"/>
    <hyperlink ref="I2435" r:id="rId1817" display="https://mem.gob.gt/que-hacemos/area-energetica/publicaciones/estadisticas/balance-energetico/"/>
    <hyperlink ref="I2436" r:id="rId1818" display="https://mem.gob.gt/que-hacemos/area-energetica/publicaciones/estadisticas/balance-energetico/"/>
    <hyperlink ref="I2437" r:id="rId1819" display="https://mem.gob.gt/que-hacemos/area-energetica/publicaciones/estadisticas/balance-energetico/"/>
    <hyperlink ref="I2438" r:id="rId1820" display="https://mem.gob.gt/que-hacemos/area-energetica/publicaciones/estadisticas/balance-energetico/"/>
    <hyperlink ref="I2439" r:id="rId1821" display="https://mem.gob.gt/que-hacemos/area-energetica/publicaciones/estadisticas/balance-energetico/"/>
    <hyperlink ref="I2440" r:id="rId1822" display="https://mem.gob.gt/que-hacemos/area-energetica/publicaciones/estadisticas/balance-energetico/"/>
    <hyperlink ref="I2441" r:id="rId1823" display="https://mem.gob.gt/que-hacemos/area-energetica/publicaciones/estadisticas/balance-energetico/"/>
    <hyperlink ref="I2442" r:id="rId1824" display="https://mem.gob.gt/que-hacemos/area-energetica/publicaciones/estadisticas/balance-energetico/"/>
    <hyperlink ref="I2443" r:id="rId1825" display="https://mem.gob.gt/que-hacemos/area-energetica/publicaciones/estadisticas/balance-energetico/"/>
    <hyperlink ref="I2444" r:id="rId1826" display="https://mem.gob.gt/que-hacemos/area-energetica/publicaciones/estadisticas/balance-energetico/"/>
    <hyperlink ref="I2445" r:id="rId1827" display="https://mem.gob.gt/que-hacemos/area-energetica/publicaciones/estadisticas/balance-energetico/"/>
    <hyperlink ref="I2446" r:id="rId1828" display="https://mem.gob.gt/que-hacemos/area-energetica/publicaciones/estadisticas/balance-energetico/"/>
    <hyperlink ref="I2447" r:id="rId1829" display="https://mem.gob.gt/que-hacemos/area-energetica/publicaciones/estadisticas/balance-energetico/"/>
    <hyperlink ref="I2448" r:id="rId1830" display="https://mem.gob.gt/que-hacemos/area-energetica/publicaciones/estadisticas/balance-energetico/"/>
    <hyperlink ref="I2449" r:id="rId1831" display="https://mem.gob.gt/que-hacemos/area-energetica/publicaciones/estadisticas/balance-energetico/"/>
    <hyperlink ref="I2450" r:id="rId1832" display="https://mem.gob.gt/que-hacemos/area-energetica/publicaciones/estadisticas/balance-energetico/"/>
    <hyperlink ref="I2451" r:id="rId1833" display="https://mem.gob.gt/que-hacemos/area-energetica/publicaciones/estadisticas/balance-energetico/"/>
    <hyperlink ref="I2452" r:id="rId1834" display="https://mem.gob.gt/que-hacemos/area-energetica/publicaciones/estadisticas/balance-energetico/"/>
    <hyperlink ref="I2453" r:id="rId1835" display="https://mem.gob.gt/que-hacemos/area-energetica/publicaciones/estadisticas/balance-energetico/"/>
    <hyperlink ref="I2454" r:id="rId1836" display="https://mem.gob.gt/que-hacemos/area-energetica/publicaciones/estadisticas/balance-energetico/"/>
    <hyperlink ref="I2455" r:id="rId1837" display="https://mem.gob.gt/que-hacemos/area-energetica/publicaciones/estadisticas/balance-energetico/"/>
    <hyperlink ref="I2456" r:id="rId1838" display="https://mem.gob.gt/que-hacemos/area-energetica/publicaciones/estadisticas/balance-energetico/"/>
    <hyperlink ref="I2457" r:id="rId1839" display="https://mem.gob.gt/que-hacemos/area-energetica/publicaciones/estadisticas/balance-energetico/"/>
    <hyperlink ref="I2458" r:id="rId1840" display="https://mem.gob.gt/que-hacemos/area-energetica/publicaciones/estadisticas/balance-energetico/"/>
    <hyperlink ref="I2459" r:id="rId1841" display="https://mem.gob.gt/que-hacemos/area-energetica/publicaciones/estadisticas/balance-energetico/"/>
    <hyperlink ref="I2460" r:id="rId1842" display="https://mem.gob.gt/que-hacemos/area-energetica/publicaciones/estadisticas/balance-energetico/"/>
    <hyperlink ref="I2461" r:id="rId1843" display="https://mem.gob.gt/que-hacemos/area-energetica/publicaciones/estadisticas/balance-energetico/"/>
    <hyperlink ref="I2462" r:id="rId1844" display="https://mem.gob.gt/que-hacemos/area-energetica/publicaciones/estadisticas/balance-energetico/"/>
    <hyperlink ref="I2463" r:id="rId1845" display="https://mem.gob.gt/que-hacemos/area-energetica/publicaciones/estadisticas/balance-energetico/"/>
    <hyperlink ref="I2464" r:id="rId1846" display="https://mem.gob.gt/que-hacemos/area-energetica/publicaciones/estadisticas/balance-energetico/"/>
    <hyperlink ref="I2465" r:id="rId1847" display="https://mem.gob.gt/que-hacemos/area-energetica/publicaciones/estadisticas/balance-energetico/"/>
    <hyperlink ref="I2466" r:id="rId1848" display="https://mem.gob.gt/que-hacemos/area-energetica/publicaciones/estadisticas/balance-energetico/"/>
    <hyperlink ref="I2467" r:id="rId1849" display="https://mem.gob.gt/que-hacemos/area-energetica/publicaciones/estadisticas/balance-energetico/"/>
    <hyperlink ref="I2468" r:id="rId1850" display="https://mem.gob.gt/que-hacemos/area-energetica/publicaciones/estadisticas/balance-energetico/"/>
    <hyperlink ref="I2469" r:id="rId1851" display="https://mem.gob.gt/que-hacemos/area-energetica/publicaciones/estadisticas/balance-energetico/"/>
    <hyperlink ref="I2470" r:id="rId1852" display="https://mem.gob.gt/que-hacemos/area-energetica/publicaciones/estadisticas/balance-energetico/"/>
    <hyperlink ref="I2471" r:id="rId1853" display="https://mem.gob.gt/que-hacemos/area-energetica/publicaciones/estadisticas/balance-energetico/"/>
    <hyperlink ref="I2472" r:id="rId1854" display="https://mem.gob.gt/que-hacemos/area-energetica/publicaciones/estadisticas/balance-energetico/"/>
    <hyperlink ref="I2473" r:id="rId1855" display="https://mem.gob.gt/que-hacemos/area-energetica/publicaciones/estadisticas/balance-energetico/"/>
    <hyperlink ref="I2474" r:id="rId1856" display="https://mem.gob.gt/que-hacemos/area-energetica/publicaciones/estadisticas/balance-energetico/"/>
    <hyperlink ref="I2475" r:id="rId1857" display="https://mem.gob.gt/que-hacemos/area-energetica/publicaciones/estadisticas/balance-energetico/"/>
    <hyperlink ref="I2476" r:id="rId1858" display="https://mem.gob.gt/que-hacemos/area-energetica/publicaciones/estadisticas/balance-energetico/"/>
    <hyperlink ref="I2477" r:id="rId1859" display="https://mem.gob.gt/que-hacemos/area-energetica/publicaciones/estadisticas/balance-energetico/"/>
    <hyperlink ref="I2478" r:id="rId1860" display="https://mem.gob.gt/que-hacemos/area-energetica/publicaciones/estadisticas/balance-energetico/"/>
    <hyperlink ref="I2479" r:id="rId1861" display="https://mem.gob.gt/que-hacemos/area-energetica/publicaciones/estadisticas/balance-energetico/"/>
    <hyperlink ref="I2480" r:id="rId1862" display="https://mem.gob.gt/que-hacemos/area-energetica/publicaciones/estadisticas/balance-energetico/"/>
    <hyperlink ref="I2481" r:id="rId1863" display="https://mem.gob.gt/que-hacemos/area-energetica/publicaciones/estadisticas/balance-energetico/"/>
    <hyperlink ref="I2483" r:id="rId1864" display="https://mem.gob.gt/que-hacemos/area-energetica/publicaciones/estadisticas/balance-energetico/"/>
    <hyperlink ref="I2484" r:id="rId1865" display="https://mem.gob.gt/que-hacemos/area-energetica/publicaciones/estadisticas/balance-energetico/"/>
    <hyperlink ref="I2485" r:id="rId1866" display="https://mem.gob.gt/que-hacemos/area-energetica/publicaciones/estadisticas/balance-energetico/"/>
    <hyperlink ref="I2486" r:id="rId1867" display="https://mem.gob.gt/que-hacemos/area-energetica/publicaciones/estadisticas/balance-energetico/"/>
    <hyperlink ref="I2487" r:id="rId1868" display="https://mem.gob.gt/que-hacemos/area-energetica/publicaciones/estadisticas/balance-energetico/"/>
    <hyperlink ref="I2488" r:id="rId1869" display="https://mem.gob.gt/que-hacemos/area-energetica/publicaciones/estadisticas/balance-energetico/"/>
    <hyperlink ref="I2489" r:id="rId1870" display="https://mem.gob.gt/que-hacemos/area-energetica/publicaciones/estadisticas/balance-energetico/"/>
    <hyperlink ref="I2490" r:id="rId1871" display="https://mem.gob.gt/que-hacemos/area-energetica/publicaciones/estadisticas/balance-energetico/"/>
    <hyperlink ref="I2491" r:id="rId1872" display="https://mem.gob.gt/que-hacemos/area-energetica/publicaciones/estadisticas/balance-energetico/"/>
    <hyperlink ref="I2492" r:id="rId1873" display="https://mem.gob.gt/que-hacemos/area-energetica/publicaciones/estadisticas/balance-energetico/"/>
    <hyperlink ref="I2493" r:id="rId1874" display="https://mem.gob.gt/que-hacemos/area-energetica/publicaciones/estadisticas/balance-energetico/"/>
    <hyperlink ref="I2494" r:id="rId1875" display="https://mem.gob.gt/que-hacemos/area-energetica/publicaciones/estadisticas/balance-energetico/"/>
    <hyperlink ref="I2495" r:id="rId1876" display="https://mem.gob.gt/que-hacemos/area-energetica/publicaciones/estadisticas/balance-energetico/"/>
    <hyperlink ref="I2496" r:id="rId1877" display="https://mem.gob.gt/que-hacemos/area-energetica/publicaciones/estadisticas/balance-energetico/"/>
    <hyperlink ref="I2497" r:id="rId1878" display="https://mem.gob.gt/que-hacemos/area-energetica/publicaciones/estadisticas/balance-energetico/"/>
    <hyperlink ref="I2498" r:id="rId1879" display="https://mem.gob.gt/que-hacemos/area-energetica/publicaciones/estadisticas/balance-energetico/"/>
    <hyperlink ref="I2499" r:id="rId1880" display="https://mem.gob.gt/que-hacemos/area-energetica/publicaciones/estadisticas/balance-energetico/"/>
    <hyperlink ref="I2500" r:id="rId1881" display="https://mem.gob.gt/que-hacemos/area-energetica/publicaciones/estadisticas/balance-energetico/"/>
    <hyperlink ref="I2501" r:id="rId1882" display="https://mem.gob.gt/que-hacemos/area-energetica/publicaciones/estadisticas/balance-energetico/"/>
    <hyperlink ref="I2502" r:id="rId1883" display="https://mem.gob.gt/que-hacemos/area-energetica/publicaciones/estadisticas/balance-energetico/"/>
    <hyperlink ref="I2503" r:id="rId1884" display="https://mem.gob.gt/que-hacemos/area-energetica/publicaciones/estadisticas/balance-energetico/"/>
    <hyperlink ref="I2504" r:id="rId1885" display="https://mem.gob.gt/que-hacemos/area-energetica/publicaciones/estadisticas/balance-energetico/"/>
    <hyperlink ref="I2505" r:id="rId1886" display="https://mem.gob.gt/que-hacemos/area-energetica/publicaciones/estadisticas/balance-energetico/"/>
    <hyperlink ref="I2506" r:id="rId1887" display="https://mem.gob.gt/que-hacemos/area-energetica/publicaciones/estadisticas/balance-energetico/"/>
    <hyperlink ref="I2507" r:id="rId1888" display="https://mem.gob.gt/que-hacemos/area-energetica/publicaciones/estadisticas/balance-energetico/"/>
    <hyperlink ref="I2508" r:id="rId1889" display="https://mem.gob.gt/que-hacemos/area-energetica/publicaciones/estadisticas/balance-energetico/"/>
    <hyperlink ref="I2509" r:id="rId1890" display="https://mem.gob.gt/que-hacemos/area-energetica/publicaciones/estadisticas/balance-energetico/"/>
    <hyperlink ref="I2510" r:id="rId1891" display="https://mem.gob.gt/que-hacemos/area-energetica/publicaciones/estadisticas/balance-energetico/"/>
    <hyperlink ref="I2511" r:id="rId1892" display="https://mem.gob.gt/que-hacemos/area-energetica/publicaciones/estadisticas/balance-energetico/"/>
    <hyperlink ref="I2512" r:id="rId1893" display="https://mem.gob.gt/que-hacemos/area-energetica/publicaciones/estadisticas/balance-energetico/"/>
    <hyperlink ref="I2513" r:id="rId1894" display="https://mem.gob.gt/que-hacemos/area-energetica/publicaciones/estadisticas/balance-energetico/"/>
    <hyperlink ref="I2514" r:id="rId1895" display="https://mem.gob.gt/que-hacemos/area-energetica/publicaciones/estadisticas/balance-energetico/"/>
    <hyperlink ref="I2515" r:id="rId1896" display="https://mem.gob.gt/que-hacemos/area-energetica/publicaciones/estadisticas/balance-energetico/"/>
    <hyperlink ref="I2516" r:id="rId1897" display="https://mem.gob.gt/que-hacemos/area-energetica/publicaciones/estadisticas/balance-energetico/"/>
    <hyperlink ref="I2517" r:id="rId1898" display="https://mem.gob.gt/que-hacemos/area-energetica/publicaciones/estadisticas/balance-energetico/"/>
    <hyperlink ref="I2518" r:id="rId1899" display="https://mem.gob.gt/que-hacemos/area-energetica/publicaciones/estadisticas/balance-energetico/"/>
    <hyperlink ref="I2519" r:id="rId1900" display="https://mem.gob.gt/que-hacemos/area-energetica/publicaciones/estadisticas/balance-energetico/"/>
    <hyperlink ref="I2520" r:id="rId1901" display="https://mem.gob.gt/que-hacemos/area-energetica/publicaciones/estadisticas/balance-energetico/"/>
    <hyperlink ref="I2521" r:id="rId1902" display="https://mem.gob.gt/que-hacemos/area-energetica/publicaciones/estadisticas/balance-energetico/"/>
    <hyperlink ref="I2522" r:id="rId1903" display="https://mem.gob.gt/que-hacemos/area-energetica/publicaciones/estadisticas/balance-energetico/"/>
    <hyperlink ref="I2523" r:id="rId1904" display="https://mem.gob.gt/que-hacemos/area-energetica/publicaciones/estadisticas/balance-energetico/"/>
    <hyperlink ref="I2524" r:id="rId1905" display="https://mem.gob.gt/que-hacemos/area-energetica/publicaciones/estadisticas/balance-energetico/"/>
    <hyperlink ref="I2525" r:id="rId1906" display="https://mem.gob.gt/que-hacemos/area-energetica/publicaciones/estadisticas/balance-energetico/"/>
    <hyperlink ref="I2526" r:id="rId1907" display="https://mem.gob.gt/que-hacemos/area-energetica/publicaciones/estadisticas/balance-energetico/"/>
    <hyperlink ref="I2527" r:id="rId1908" display="https://mem.gob.gt/que-hacemos/area-energetica/publicaciones/estadisticas/balance-energetico/"/>
    <hyperlink ref="I2528" r:id="rId1909" display="https://mem.gob.gt/que-hacemos/area-energetica/publicaciones/estadisticas/balance-energetico/"/>
    <hyperlink ref="I2529" r:id="rId1910" display="https://mem.gob.gt/que-hacemos/area-energetica/publicaciones/estadisticas/balance-energetico/"/>
    <hyperlink ref="I2530" r:id="rId1911" display="https://mem.gob.gt/que-hacemos/area-energetica/publicaciones/estadisticas/balance-energetico/"/>
    <hyperlink ref="I2531" r:id="rId1912" display="https://mem.gob.gt/que-hacemos/area-energetica/publicaciones/estadisticas/balance-energetico/"/>
    <hyperlink ref="I2532" r:id="rId1913" display="https://mem.gob.gt/que-hacemos/area-energetica/publicaciones/estadisticas/balance-energetico/"/>
    <hyperlink ref="I2533" r:id="rId1914" display="https://mem.gob.gt/que-hacemos/area-energetica/publicaciones/estadisticas/balance-energetico/"/>
    <hyperlink ref="I2534" r:id="rId1915" display="https://mem.gob.gt/que-hacemos/area-energetica/publicaciones/estadisticas/balance-energetico/"/>
    <hyperlink ref="I2535" r:id="rId1916" display="https://mem.gob.gt/que-hacemos/area-energetica/publicaciones/estadisticas/balance-energetico/"/>
    <hyperlink ref="I2536" r:id="rId1917" display="https://mem.gob.gt/que-hacemos/area-energetica/publicaciones/estadisticas/balance-energetico/"/>
    <hyperlink ref="I2537" r:id="rId1918" display="https://mem.gob.gt/que-hacemos/area-energetica/publicaciones/estadisticas/balance-energetico/"/>
    <hyperlink ref="I2538" r:id="rId1919" display="https://mem.gob.gt/que-hacemos/area-energetica/publicaciones/estadisticas/balance-energetico/"/>
    <hyperlink ref="I2539" r:id="rId1920" display="https://mem.gob.gt/que-hacemos/area-energetica/publicaciones/estadisticas/balance-energetico/"/>
    <hyperlink ref="I2540" r:id="rId1921" display="https://mem.gob.gt/que-hacemos/area-energetica/publicaciones/estadisticas/balance-energetico/"/>
    <hyperlink ref="I2541" r:id="rId1922" display="https://mem.gob.gt/que-hacemos/area-energetica/publicaciones/estadisticas/balance-energetico/"/>
    <hyperlink ref="I2542" r:id="rId1923" display="https://mem.gob.gt/que-hacemos/area-energetica/publicaciones/estadisticas/balance-energetico/"/>
    <hyperlink ref="I2543" r:id="rId1924" display="https://mem.gob.gt/que-hacemos/area-energetica/publicaciones/estadisticas/balance-energetico/"/>
    <hyperlink ref="I2544" r:id="rId1925" display="https://mem.gob.gt/que-hacemos/area-energetica/publicaciones/estadisticas/balance-energetico/"/>
    <hyperlink ref="I2545" r:id="rId1926" display="https://mem.gob.gt/que-hacemos/area-energetica/publicaciones/estadisticas/balance-energetico/"/>
    <hyperlink ref="I2546" r:id="rId1927" display="https://mem.gob.gt/que-hacemos/area-energetica/publicaciones/estadisticas/balance-energetico/"/>
    <hyperlink ref="I2547" r:id="rId1928" display="https://mem.gob.gt/que-hacemos/area-energetica/publicaciones/estadisticas/balance-energetico/"/>
    <hyperlink ref="I2548" r:id="rId1929" display="https://mem.gob.gt/que-hacemos/area-energetica/publicaciones/estadisticas/balance-energetico/"/>
    <hyperlink ref="I2549" r:id="rId1930" display="https://mem.gob.gt/que-hacemos/area-energetica/publicaciones/estadisticas/balance-energetico/"/>
    <hyperlink ref="I2550" r:id="rId1931" display="https://mem.gob.gt/que-hacemos/area-energetica/publicaciones/estadisticas/balance-energetico/"/>
    <hyperlink ref="I2551" r:id="rId1932" display="https://mem.gob.gt/que-hacemos/area-energetica/publicaciones/estadisticas/balance-energetico/"/>
    <hyperlink ref="I2552" r:id="rId1933" display="https://mem.gob.gt/que-hacemos/area-energetica/publicaciones/estadisticas/balance-energetico/"/>
    <hyperlink ref="I2553" r:id="rId1934" display="https://mem.gob.gt/que-hacemos/area-energetica/publicaciones/estadisticas/balance-energetico/"/>
    <hyperlink ref="I2554" r:id="rId1935" display="https://mem.gob.gt/que-hacemos/area-energetica/publicaciones/estadisticas/balance-energetico/"/>
    <hyperlink ref="I2555" r:id="rId1936" display="https://mem.gob.gt/que-hacemos/area-energetica/publicaciones/estadisticas/balance-energetico/"/>
    <hyperlink ref="I2556" r:id="rId1937" display="https://mem.gob.gt/que-hacemos/area-energetica/publicaciones/estadisticas/balance-energetico/"/>
    <hyperlink ref="I2557" r:id="rId1938" display="https://mem.gob.gt/que-hacemos/area-energetica/publicaciones/estadisticas/balance-energetico/"/>
    <hyperlink ref="I2558" r:id="rId1939" display="https://mem.gob.gt/que-hacemos/area-energetica/publicaciones/estadisticas/balance-energetico/"/>
    <hyperlink ref="I2559" r:id="rId1940" display="https://mem.gob.gt/que-hacemos/area-energetica/publicaciones/estadisticas/balance-energetico/"/>
    <hyperlink ref="I2560" r:id="rId1941" display="https://mem.gob.gt/que-hacemos/area-energetica/publicaciones/estadisticas/balance-energetico/"/>
    <hyperlink ref="I2561" r:id="rId1942" display="https://mem.gob.gt/que-hacemos/area-energetica/publicaciones/estadisticas/balance-energetico/"/>
    <hyperlink ref="I2562" r:id="rId1943" display="https://mem.gob.gt/que-hacemos/area-energetica/publicaciones/estadisticas/balance-energetico/"/>
    <hyperlink ref="I2563" r:id="rId1944" display="https://mem.gob.gt/que-hacemos/area-energetica/publicaciones/estadisticas/balance-energetico/"/>
    <hyperlink ref="I2564" r:id="rId1945" display="https://mem.gob.gt/que-hacemos/area-energetica/publicaciones/estadisticas/balance-energetico/"/>
    <hyperlink ref="I2565" r:id="rId1946" display="https://mem.gob.gt/que-hacemos/area-energetica/publicaciones/estadisticas/balance-energetico/"/>
    <hyperlink ref="I2566" r:id="rId1947" display="https://mem.gob.gt/que-hacemos/area-energetica/publicaciones/estadisticas/balance-energetico/"/>
    <hyperlink ref="I2567" r:id="rId1948" display="https://mem.gob.gt/que-hacemos/area-energetica/publicaciones/estadisticas/balance-energetico/"/>
    <hyperlink ref="I2569" r:id="rId1949" display="https://mem.gob.gt/que-hacemos/area-energetica/publicaciones/estadisticas/balance-energetico/"/>
    <hyperlink ref="I2570" r:id="rId1950" display="https://mem.gob.gt/que-hacemos/area-energetica/publicaciones/estadisticas/balance-energetico/"/>
    <hyperlink ref="I2571" r:id="rId1951" display="https://mem.gob.gt/que-hacemos/area-energetica/publicaciones/estadisticas/balance-energetico/"/>
    <hyperlink ref="I2572" r:id="rId1952" display="https://mem.gob.gt/que-hacemos/area-energetica/publicaciones/estadisticas/balance-energetico/"/>
    <hyperlink ref="I2573" r:id="rId1953" display="https://mem.gob.gt/que-hacemos/area-energetica/publicaciones/estadisticas/balance-energetico/"/>
    <hyperlink ref="I2574" r:id="rId1954" display="https://mem.gob.gt/que-hacemos/area-energetica/publicaciones/estadisticas/balance-energetico/"/>
    <hyperlink ref="I2575" r:id="rId1955" display="https://mem.gob.gt/que-hacemos/area-energetica/publicaciones/estadisticas/balance-energetico/"/>
    <hyperlink ref="I2576" r:id="rId1956" display="https://mem.gob.gt/que-hacemos/area-energetica/publicaciones/estadisticas/balance-energetico/"/>
    <hyperlink ref="I2577" r:id="rId1957" display="https://mem.gob.gt/que-hacemos/area-energetica/publicaciones/estadisticas/balance-energetico/"/>
    <hyperlink ref="I2578" r:id="rId1958" display="https://mem.gob.gt/que-hacemos/area-energetica/publicaciones/estadisticas/balance-energetico/"/>
    <hyperlink ref="I2579" r:id="rId1959" display="https://mem.gob.gt/que-hacemos/area-energetica/publicaciones/estadisticas/balance-energetico/"/>
    <hyperlink ref="I2580" r:id="rId1960" display="https://mem.gob.gt/que-hacemos/area-energetica/publicaciones/estadisticas/balance-energetico/"/>
    <hyperlink ref="I2581" r:id="rId1961" display="https://mem.gob.gt/que-hacemos/area-energetica/publicaciones/estadisticas/balance-energetico/"/>
    <hyperlink ref="I2582" r:id="rId1962" display="https://mem.gob.gt/que-hacemos/area-energetica/publicaciones/estadisticas/balance-energetico/"/>
    <hyperlink ref="I2583" r:id="rId1963" display="https://mem.gob.gt/que-hacemos/area-energetica/publicaciones/estadisticas/balance-energetico/"/>
    <hyperlink ref="I2584" r:id="rId1964" display="https://mem.gob.gt/que-hacemos/area-energetica/publicaciones/estadisticas/balance-energetico/"/>
    <hyperlink ref="I2585" r:id="rId1965" display="https://mem.gob.gt/que-hacemos/area-energetica/publicaciones/estadisticas/balance-energetico/"/>
    <hyperlink ref="I2586" r:id="rId1966" display="https://mem.gob.gt/que-hacemos/area-energetica/publicaciones/estadisticas/balance-energetico/"/>
    <hyperlink ref="I2587" r:id="rId1967" display="https://mem.gob.gt/que-hacemos/area-energetica/publicaciones/estadisticas/balance-energetico/"/>
    <hyperlink ref="I2588" r:id="rId1968" display="https://mem.gob.gt/que-hacemos/area-energetica/publicaciones/estadisticas/balance-energetico/"/>
    <hyperlink ref="I2589" r:id="rId1969" display="https://mem.gob.gt/que-hacemos/area-energetica/publicaciones/estadisticas/balance-energetico/"/>
    <hyperlink ref="I2590" r:id="rId1970" display="https://mem.gob.gt/que-hacemos/area-energetica/publicaciones/estadisticas/balance-energetico/"/>
    <hyperlink ref="I2591" r:id="rId1971" display="https://mem.gob.gt/que-hacemos/area-energetica/publicaciones/estadisticas/balance-energetico/"/>
    <hyperlink ref="I2592" r:id="rId1972" display="https://mem.gob.gt/que-hacemos/area-energetica/publicaciones/estadisticas/balance-energetico/"/>
    <hyperlink ref="I2593" r:id="rId1973" display="https://mem.gob.gt/que-hacemos/area-energetica/publicaciones/estadisticas/balance-energetico/"/>
    <hyperlink ref="I2594" r:id="rId1974" display="https://mem.gob.gt/que-hacemos/area-energetica/publicaciones/estadisticas/balance-energetico/"/>
    <hyperlink ref="I2595" r:id="rId1975" display="https://mem.gob.gt/que-hacemos/area-energetica/publicaciones/estadisticas/balance-energetico/"/>
    <hyperlink ref="I2596" r:id="rId1976" display="https://mem.gob.gt/que-hacemos/area-energetica/publicaciones/estadisticas/balance-energetico/"/>
    <hyperlink ref="I2597" r:id="rId1977" display="https://mem.gob.gt/que-hacemos/area-energetica/publicaciones/estadisticas/balance-energetico/"/>
    <hyperlink ref="I2598" r:id="rId1978" display="https://mem.gob.gt/que-hacemos/area-energetica/publicaciones/estadisticas/balance-energetico/"/>
    <hyperlink ref="I2599" r:id="rId1979" display="https://mem.gob.gt/que-hacemos/area-energetica/publicaciones/estadisticas/balance-energetico/"/>
    <hyperlink ref="I2600" r:id="rId1980" display="https://mem.gob.gt/que-hacemos/area-energetica/publicaciones/estadisticas/balance-energetico/"/>
    <hyperlink ref="I2601" r:id="rId1981" display="https://mem.gob.gt/que-hacemos/area-energetica/publicaciones/estadisticas/balance-energetico/"/>
    <hyperlink ref="I2602" r:id="rId1982" display="https://mem.gob.gt/que-hacemos/area-energetica/publicaciones/estadisticas/balance-energetico/"/>
    <hyperlink ref="I2603" r:id="rId1983" display="https://mem.gob.gt/que-hacemos/area-energetica/publicaciones/estadisticas/balance-energetico/"/>
    <hyperlink ref="I2604" r:id="rId1984" display="https://mem.gob.gt/que-hacemos/area-energetica/publicaciones/estadisticas/balance-energetico/"/>
    <hyperlink ref="I2605" r:id="rId1985" display="https://mem.gob.gt/que-hacemos/area-energetica/publicaciones/estadisticas/balance-energetico/"/>
    <hyperlink ref="I2606" r:id="rId1986" display="https://mem.gob.gt/que-hacemos/area-energetica/publicaciones/estadisticas/balance-energetico/"/>
    <hyperlink ref="I2607" r:id="rId1987" display="https://mem.gob.gt/que-hacemos/area-energetica/publicaciones/estadisticas/balance-energetico/"/>
    <hyperlink ref="I2608" r:id="rId1988" display="https://mem.gob.gt/que-hacemos/area-energetica/publicaciones/estadisticas/balance-energetico/"/>
    <hyperlink ref="I2609" r:id="rId1989" display="https://mem.gob.gt/que-hacemos/area-energetica/publicaciones/estadisticas/balance-energetico/"/>
    <hyperlink ref="I2610" r:id="rId1990" display="https://mem.gob.gt/que-hacemos/area-energetica/publicaciones/estadisticas/balance-energetico/"/>
    <hyperlink ref="I2611" r:id="rId1991" display="https://mem.gob.gt/que-hacemos/area-energetica/publicaciones/estadisticas/balance-energetico/"/>
    <hyperlink ref="I2612" r:id="rId1992" display="https://mem.gob.gt/que-hacemos/area-energetica/publicaciones/estadisticas/balance-energetico/"/>
    <hyperlink ref="I2613" r:id="rId1993" display="https://mem.gob.gt/que-hacemos/area-energetica/publicaciones/estadisticas/balance-energetico/"/>
    <hyperlink ref="I2614" r:id="rId1994" display="https://mem.gob.gt/que-hacemos/area-energetica/publicaciones/estadisticas/balance-energetico/"/>
    <hyperlink ref="I2615" r:id="rId1995" display="https://mem.gob.gt/que-hacemos/area-energetica/publicaciones/estadisticas/balance-energetico/"/>
    <hyperlink ref="I2616" r:id="rId1996" display="https://mem.gob.gt/que-hacemos/area-energetica/publicaciones/estadisticas/balance-energetico/"/>
    <hyperlink ref="I2617" r:id="rId1997" display="https://mem.gob.gt/que-hacemos/area-energetica/publicaciones/estadisticas/balance-energetico/"/>
    <hyperlink ref="I2618" r:id="rId1998" display="https://mem.gob.gt/que-hacemos/area-energetica/publicaciones/estadisticas/balance-energetico/"/>
    <hyperlink ref="I2619" r:id="rId1999" display="https://mem.gob.gt/que-hacemos/area-energetica/publicaciones/estadisticas/balance-energetico/"/>
    <hyperlink ref="I2620" r:id="rId2000" display="https://mem.gob.gt/que-hacemos/area-energetica/publicaciones/estadisticas/balance-energetico/"/>
    <hyperlink ref="I2621" r:id="rId2001" display="https://mem.gob.gt/que-hacemos/area-energetica/publicaciones/estadisticas/balance-energetico/"/>
    <hyperlink ref="I2622" r:id="rId2002" display="https://mem.gob.gt/que-hacemos/area-energetica/publicaciones/estadisticas/balance-energetico/"/>
    <hyperlink ref="I2623" r:id="rId2003" display="https://mem.gob.gt/que-hacemos/area-energetica/publicaciones/estadisticas/balance-energetico/"/>
    <hyperlink ref="I2624" r:id="rId2004" display="https://mem.gob.gt/que-hacemos/area-energetica/publicaciones/estadisticas/balance-energetico/"/>
    <hyperlink ref="I2625" r:id="rId2005" display="https://mem.gob.gt/que-hacemos/area-energetica/publicaciones/estadisticas/balance-energetico/"/>
    <hyperlink ref="I2626" r:id="rId2006" display="https://mem.gob.gt/que-hacemos/area-energetica/publicaciones/estadisticas/balance-energetico/"/>
    <hyperlink ref="I2627" r:id="rId2007" display="https://mem.gob.gt/que-hacemos/area-energetica/publicaciones/estadisticas/balance-energetico/"/>
    <hyperlink ref="I2628" r:id="rId2008" display="https://mem.gob.gt/que-hacemos/area-energetica/publicaciones/estadisticas/balance-energetico/"/>
    <hyperlink ref="I2629" r:id="rId2009" display="https://mem.gob.gt/que-hacemos/area-energetica/publicaciones/estadisticas/balance-energetico/"/>
    <hyperlink ref="I2630" r:id="rId2010" display="https://mem.gob.gt/que-hacemos/area-energetica/publicaciones/estadisticas/balance-energetico/"/>
    <hyperlink ref="I2631" r:id="rId2011" display="https://mem.gob.gt/que-hacemos/area-energetica/publicaciones/estadisticas/balance-energetico/"/>
    <hyperlink ref="I2632" r:id="rId2012" display="https://mem.gob.gt/que-hacemos/area-energetica/publicaciones/estadisticas/balance-energetico/"/>
    <hyperlink ref="I2633" r:id="rId2013" display="https://mem.gob.gt/que-hacemos/area-energetica/publicaciones/estadisticas/balance-energetico/"/>
    <hyperlink ref="I2634" r:id="rId2014" display="https://mem.gob.gt/que-hacemos/area-energetica/publicaciones/estadisticas/balance-energetico/"/>
    <hyperlink ref="I2635" r:id="rId2015" display="https://mem.gob.gt/que-hacemos/area-energetica/publicaciones/estadisticas/balance-energetico/"/>
    <hyperlink ref="I2636" r:id="rId2016" display="https://mem.gob.gt/que-hacemos/area-energetica/publicaciones/estadisticas/balance-energetico/"/>
    <hyperlink ref="I2637" r:id="rId2017" display="https://mem.gob.gt/que-hacemos/area-energetica/publicaciones/estadisticas/balance-energetico/"/>
    <hyperlink ref="I2638" r:id="rId2018" display="https://mem.gob.gt/que-hacemos/area-energetica/publicaciones/estadisticas/balance-energetico/"/>
    <hyperlink ref="I2639" r:id="rId2019" display="https://mem.gob.gt/que-hacemos/area-energetica/publicaciones/estadisticas/balance-energetico/"/>
    <hyperlink ref="I2640" r:id="rId2020" display="https://mem.gob.gt/que-hacemos/area-energetica/publicaciones/estadisticas/balance-energetico/"/>
    <hyperlink ref="I2641" r:id="rId2021" display="https://mem.gob.gt/que-hacemos/area-energetica/publicaciones/estadisticas/balance-energetico/"/>
    <hyperlink ref="I2642" r:id="rId2022" display="https://mem.gob.gt/que-hacemos/area-energetica/publicaciones/estadisticas/balance-energetico/"/>
    <hyperlink ref="I2643" r:id="rId2023" display="https://mem.gob.gt/que-hacemos/area-energetica/publicaciones/estadisticas/balance-energetico/"/>
    <hyperlink ref="I2644" r:id="rId2024" display="https://mem.gob.gt/que-hacemos/area-energetica/publicaciones/estadisticas/balance-energetico/"/>
    <hyperlink ref="I2645" r:id="rId2025" display="https://mem.gob.gt/que-hacemos/area-energetica/publicaciones/estadisticas/balance-energetico/"/>
    <hyperlink ref="I2646" r:id="rId2026" display="https://mem.gob.gt/que-hacemos/area-energetica/publicaciones/estadisticas/balance-energetico/"/>
    <hyperlink ref="I2647" r:id="rId2027" display="https://mem.gob.gt/que-hacemos/area-energetica/publicaciones/estadisticas/balance-energetico/"/>
    <hyperlink ref="I2648" r:id="rId2028" display="https://mem.gob.gt/que-hacemos/area-energetica/publicaciones/estadisticas/balance-energetico/"/>
    <hyperlink ref="I2649" r:id="rId2029" display="https://mem.gob.gt/que-hacemos/area-energetica/publicaciones/estadisticas/balance-energetico/"/>
    <hyperlink ref="I2650" r:id="rId2030" display="https://mem.gob.gt/que-hacemos/area-energetica/publicaciones/estadisticas/balance-energetico/"/>
    <hyperlink ref="I2651" r:id="rId2031" display="https://mem.gob.gt/que-hacemos/area-energetica/publicaciones/estadisticas/balance-energetico/"/>
    <hyperlink ref="I2652" r:id="rId2032" display="https://mem.gob.gt/que-hacemos/area-energetica/publicaciones/estadisticas/balance-energetico/"/>
    <hyperlink ref="I2653" r:id="rId2033" display="https://mem.gob.gt/que-hacemos/area-energetica/publicaciones/estadisticas/balance-energetico/"/>
    <hyperlink ref="I2654" r:id="rId2034" display="https://mem.gob.gt/que-hacemos/area-energetica/publicaciones/estadisticas/balance-energetico/"/>
    <hyperlink ref="I2655" r:id="rId2035" display="https://mem.gob.gt/que-hacemos/area-energetica/publicaciones/estadisticas/balance-energetico/"/>
    <hyperlink ref="I2656" r:id="rId2036" display="https://mem.gob.gt/que-hacemos/area-energetica/publicaciones/estadisticas/balance-energetico/"/>
    <hyperlink ref="I2657" r:id="rId2037" display="https://mem.gob.gt/que-hacemos/area-energetica/publicaciones/estadisticas/balance-energetico/"/>
    <hyperlink ref="I2659" r:id="rId2038" display="https://mem.gob.gt/que-hacemos/area-energetica/publicaciones/estadisticas/balance-energetico/"/>
    <hyperlink ref="I2660" r:id="rId2039" display="https://mem.gob.gt/que-hacemos/area-energetica/publicaciones/estadisticas/balance-energetico/"/>
    <hyperlink ref="I2661" r:id="rId2040" display="https://mem.gob.gt/que-hacemos/area-energetica/publicaciones/estadisticas/balance-energetico/"/>
    <hyperlink ref="I2662" r:id="rId2041" display="https://mem.gob.gt/que-hacemos/area-energetica/publicaciones/estadisticas/balance-energetico/"/>
    <hyperlink ref="I2663" r:id="rId2042" display="https://mem.gob.gt/que-hacemos/area-energetica/publicaciones/estadisticas/balance-energetico/"/>
    <hyperlink ref="I2664" r:id="rId2043" display="https://mem.gob.gt/que-hacemos/area-energetica/publicaciones/estadisticas/balance-energetico/"/>
    <hyperlink ref="I2665" r:id="rId2044" display="https://mem.gob.gt/que-hacemos/area-energetica/publicaciones/estadisticas/balance-energetico/"/>
    <hyperlink ref="I2666" r:id="rId2045" display="https://mem.gob.gt/que-hacemos/area-energetica/publicaciones/estadisticas/balance-energetico/"/>
    <hyperlink ref="I2667" r:id="rId2046" display="https://mem.gob.gt/que-hacemos/area-energetica/publicaciones/estadisticas/balance-energetico/"/>
    <hyperlink ref="I2668" r:id="rId2047" display="https://mem.gob.gt/que-hacemos/area-energetica/publicaciones/estadisticas/balance-energetico/"/>
    <hyperlink ref="I2669" r:id="rId2048" display="https://mem.gob.gt/que-hacemos/area-energetica/publicaciones/estadisticas/balance-energetico/"/>
    <hyperlink ref="I2670" r:id="rId2049" display="https://mem.gob.gt/que-hacemos/area-energetica/publicaciones/estadisticas/balance-energetico/"/>
    <hyperlink ref="I2671" r:id="rId2050" display="https://mem.gob.gt/que-hacemos/area-energetica/publicaciones/estadisticas/balance-energetico/"/>
    <hyperlink ref="I2672" r:id="rId2051" display="https://mem.gob.gt/que-hacemos/area-energetica/publicaciones/estadisticas/balance-energetico/"/>
    <hyperlink ref="I2673" r:id="rId2052" display="https://mem.gob.gt/que-hacemos/area-energetica/publicaciones/estadisticas/balance-energetico/"/>
    <hyperlink ref="I2674" r:id="rId2053" display="https://mem.gob.gt/que-hacemos/area-energetica/publicaciones/estadisticas/balance-energetico/"/>
    <hyperlink ref="I2675" r:id="rId2054" display="https://mem.gob.gt/que-hacemos/area-energetica/publicaciones/estadisticas/balance-energetico/"/>
    <hyperlink ref="I2676" r:id="rId2055" display="https://mem.gob.gt/que-hacemos/area-energetica/publicaciones/estadisticas/balance-energetico/"/>
    <hyperlink ref="I2677" r:id="rId2056" display="https://mem.gob.gt/que-hacemos/area-energetica/publicaciones/estadisticas/balance-energetico/"/>
    <hyperlink ref="I2678" r:id="rId2057" display="https://mem.gob.gt/que-hacemos/area-energetica/publicaciones/estadisticas/balance-energetico/"/>
    <hyperlink ref="I2679" r:id="rId2058" display="https://mem.gob.gt/que-hacemos/area-energetica/publicaciones/estadisticas/balance-energetico/"/>
    <hyperlink ref="I2680" r:id="rId2059" display="https://mem.gob.gt/que-hacemos/area-energetica/publicaciones/estadisticas/balance-energetico/"/>
    <hyperlink ref="I2681" r:id="rId2060" display="https://mem.gob.gt/que-hacemos/area-energetica/publicaciones/estadisticas/balance-energetico/"/>
    <hyperlink ref="I2682" r:id="rId2061" display="https://mem.gob.gt/que-hacemos/area-energetica/publicaciones/estadisticas/balance-energetico/"/>
    <hyperlink ref="I2683" r:id="rId2062" display="https://mem.gob.gt/que-hacemos/area-energetica/publicaciones/estadisticas/balance-energetico/"/>
    <hyperlink ref="I2684" r:id="rId2063" display="https://mem.gob.gt/que-hacemos/area-energetica/publicaciones/estadisticas/balance-energetico/"/>
    <hyperlink ref="I2685" r:id="rId2064" display="https://mem.gob.gt/que-hacemos/area-energetica/publicaciones/estadisticas/balance-energetico/"/>
    <hyperlink ref="I2686" r:id="rId2065" display="https://mem.gob.gt/que-hacemos/area-energetica/publicaciones/estadisticas/balance-energetico/"/>
    <hyperlink ref="I2687" r:id="rId2066" display="https://mem.gob.gt/que-hacemos/area-energetica/publicaciones/estadisticas/balance-energetico/"/>
    <hyperlink ref="I2688" r:id="rId2067" display="https://mem.gob.gt/que-hacemos/area-energetica/publicaciones/estadisticas/balance-energetico/"/>
    <hyperlink ref="I2689" r:id="rId2068" display="https://mem.gob.gt/que-hacemos/area-energetica/publicaciones/estadisticas/balance-energetico/"/>
    <hyperlink ref="I2690" r:id="rId2069" display="https://mem.gob.gt/que-hacemos/area-energetica/publicaciones/estadisticas/balance-energetico/"/>
    <hyperlink ref="I2691" r:id="rId2070" display="https://mem.gob.gt/que-hacemos/area-energetica/publicaciones/estadisticas/balance-energetico/"/>
    <hyperlink ref="I2692" r:id="rId2071" display="https://mem.gob.gt/que-hacemos/area-energetica/publicaciones/estadisticas/balance-energetico/"/>
    <hyperlink ref="I2693" r:id="rId2072" display="https://mem.gob.gt/que-hacemos/area-energetica/publicaciones/estadisticas/balance-energetico/"/>
    <hyperlink ref="I2694" r:id="rId2073" display="https://mem.gob.gt/que-hacemos/area-energetica/publicaciones/estadisticas/balance-energetico/"/>
    <hyperlink ref="I2695" r:id="rId2074" display="https://mem.gob.gt/que-hacemos/area-energetica/publicaciones/estadisticas/balance-energetico/"/>
    <hyperlink ref="I2696" r:id="rId2075" display="https://mem.gob.gt/que-hacemos/area-energetica/publicaciones/estadisticas/balance-energetico/"/>
    <hyperlink ref="I2697" r:id="rId2076" display="https://mem.gob.gt/que-hacemos/area-energetica/publicaciones/estadisticas/balance-energetico/"/>
    <hyperlink ref="I2698" r:id="rId2077" display="https://mem.gob.gt/que-hacemos/area-energetica/publicaciones/estadisticas/balance-energetico/"/>
    <hyperlink ref="I2699" r:id="rId2078" display="https://mem.gob.gt/que-hacemos/area-energetica/publicaciones/estadisticas/balance-energetico/"/>
    <hyperlink ref="I2700" r:id="rId2079" display="https://mem.gob.gt/que-hacemos/area-energetica/publicaciones/estadisticas/balance-energetico/"/>
    <hyperlink ref="I2701" r:id="rId2080" display="https://mem.gob.gt/que-hacemos/area-energetica/publicaciones/estadisticas/balance-energetico/"/>
    <hyperlink ref="I2702" r:id="rId2081" display="https://mem.gob.gt/que-hacemos/area-energetica/publicaciones/estadisticas/balance-energetico/"/>
    <hyperlink ref="I2703" r:id="rId2082" display="https://mem.gob.gt/que-hacemos/area-energetica/publicaciones/estadisticas/balance-energetico/"/>
    <hyperlink ref="I2704" r:id="rId2083" display="https://mem.gob.gt/que-hacemos/area-energetica/publicaciones/estadisticas/balance-energetico/"/>
    <hyperlink ref="I2705" r:id="rId2084" display="https://mem.gob.gt/que-hacemos/area-energetica/publicaciones/estadisticas/balance-energetico/"/>
    <hyperlink ref="I2706" r:id="rId2085" display="https://mem.gob.gt/que-hacemos/area-energetica/publicaciones/estadisticas/balance-energetico/"/>
    <hyperlink ref="I2707" r:id="rId2086" display="https://mem.gob.gt/que-hacemos/area-energetica/publicaciones/estadisticas/balance-energetico/"/>
    <hyperlink ref="I2708" r:id="rId2087" display="https://mem.gob.gt/que-hacemos/area-energetica/publicaciones/estadisticas/balance-energetico/"/>
    <hyperlink ref="I2709" r:id="rId2088" display="https://mem.gob.gt/que-hacemos/area-energetica/publicaciones/estadisticas/balance-energetico/"/>
    <hyperlink ref="I2710" r:id="rId2089" display="https://mem.gob.gt/que-hacemos/area-energetica/publicaciones/estadisticas/balance-energetico/"/>
    <hyperlink ref="I2711" r:id="rId2090" display="https://mem.gob.gt/que-hacemos/area-energetica/publicaciones/estadisticas/balance-energetico/"/>
    <hyperlink ref="I2712" r:id="rId2091" display="https://mem.gob.gt/que-hacemos/area-energetica/publicaciones/estadisticas/balance-energetico/"/>
    <hyperlink ref="I2713" r:id="rId2092" display="https://mem.gob.gt/que-hacemos/area-energetica/publicaciones/estadisticas/balance-energetico/"/>
    <hyperlink ref="I2714" r:id="rId2093" display="https://mem.gob.gt/que-hacemos/area-energetica/publicaciones/estadisticas/balance-energetico/"/>
    <hyperlink ref="I2715" r:id="rId2094" display="https://mem.gob.gt/que-hacemos/area-energetica/publicaciones/estadisticas/balance-energetico/"/>
    <hyperlink ref="I2716" r:id="rId2095" display="https://mem.gob.gt/que-hacemos/area-energetica/publicaciones/estadisticas/balance-energetico/"/>
    <hyperlink ref="I2717" r:id="rId2096" display="https://mem.gob.gt/que-hacemos/area-energetica/publicaciones/estadisticas/balance-energetico/"/>
    <hyperlink ref="I2718" r:id="rId2097" display="https://mem.gob.gt/que-hacemos/area-energetica/publicaciones/estadisticas/balance-energetico/"/>
    <hyperlink ref="I2719" r:id="rId2098" display="https://mem.gob.gt/que-hacemos/area-energetica/publicaciones/estadisticas/balance-energetico/"/>
    <hyperlink ref="I2720" r:id="rId2099" display="https://mem.gob.gt/que-hacemos/area-energetica/publicaciones/estadisticas/balance-energetico/"/>
    <hyperlink ref="I2721" r:id="rId2100" display="https://mem.gob.gt/que-hacemos/area-energetica/publicaciones/estadisticas/balance-energetico/"/>
    <hyperlink ref="I2722" r:id="rId2101" display="https://mem.gob.gt/que-hacemos/area-energetica/publicaciones/estadisticas/balance-energetico/"/>
    <hyperlink ref="I2723" r:id="rId2102" display="https://mem.gob.gt/que-hacemos/area-energetica/publicaciones/estadisticas/balance-energetico/"/>
    <hyperlink ref="I2724" r:id="rId2103" display="https://mem.gob.gt/que-hacemos/area-energetica/publicaciones/estadisticas/balance-energetico/"/>
    <hyperlink ref="I2725" r:id="rId2104" display="https://mem.gob.gt/que-hacemos/area-energetica/publicaciones/estadisticas/balance-energetico/"/>
    <hyperlink ref="I2726" r:id="rId2105" display="https://mem.gob.gt/que-hacemos/area-energetica/publicaciones/estadisticas/balance-energetico/"/>
    <hyperlink ref="I2727" r:id="rId2106" display="https://mem.gob.gt/que-hacemos/area-energetica/publicaciones/estadisticas/balance-energetico/"/>
    <hyperlink ref="I2728" r:id="rId2107" display="https://mem.gob.gt/que-hacemos/area-energetica/publicaciones/estadisticas/balance-energetico/"/>
    <hyperlink ref="I2729" r:id="rId2108" display="https://mem.gob.gt/que-hacemos/area-energetica/publicaciones/estadisticas/balance-energetico/"/>
    <hyperlink ref="I2730" r:id="rId2109" display="https://mem.gob.gt/que-hacemos/area-energetica/publicaciones/estadisticas/balance-energetico/"/>
    <hyperlink ref="I2731" r:id="rId2110" display="https://mem.gob.gt/que-hacemos/area-energetica/publicaciones/estadisticas/balance-energetico/"/>
    <hyperlink ref="I2732" r:id="rId2111" display="https://mem.gob.gt/que-hacemos/area-energetica/publicaciones/estadisticas/balance-energetico/"/>
    <hyperlink ref="I2733" r:id="rId2112" display="https://mem.gob.gt/que-hacemos/area-energetica/publicaciones/estadisticas/balance-energetico/"/>
    <hyperlink ref="I2734" r:id="rId2113" display="https://mem.gob.gt/que-hacemos/area-energetica/publicaciones/estadisticas/balance-energetico/"/>
    <hyperlink ref="I2735" r:id="rId2114" display="https://mem.gob.gt/que-hacemos/area-energetica/publicaciones/estadisticas/balance-energetico/"/>
    <hyperlink ref="I2736" r:id="rId2115" display="https://mem.gob.gt/que-hacemos/area-energetica/publicaciones/estadisticas/balance-energetico/"/>
    <hyperlink ref="I2737" r:id="rId2116" display="https://mem.gob.gt/que-hacemos/area-energetica/publicaciones/estadisticas/balance-energetico/"/>
    <hyperlink ref="I2738" r:id="rId2117" display="https://mem.gob.gt/que-hacemos/area-energetica/publicaciones/estadisticas/balance-energetico/"/>
    <hyperlink ref="I2739" r:id="rId2118" display="https://mem.gob.gt/que-hacemos/area-energetica/publicaciones/estadisticas/balance-energetico/"/>
    <hyperlink ref="I2740" r:id="rId2119" display="https://mem.gob.gt/que-hacemos/area-energetica/publicaciones/estadisticas/balance-energetico/"/>
    <hyperlink ref="I2741" r:id="rId2120" display="https://mem.gob.gt/que-hacemos/area-energetica/publicaciones/estadisticas/balance-energetico/"/>
    <hyperlink ref="I2742" r:id="rId2121" display="https://mem.gob.gt/que-hacemos/area-energetica/publicaciones/estadisticas/balance-energetico/"/>
    <hyperlink ref="I2743" r:id="rId2122" display="https://mem.gob.gt/que-hacemos/area-energetica/publicaciones/estadisticas/balance-energetico/"/>
    <hyperlink ref="I2744" r:id="rId2123" display="https://mem.gob.gt/que-hacemos/area-energetica/publicaciones/estadisticas/balance-energetico/"/>
    <hyperlink ref="I2745" r:id="rId2124" display="https://mem.gob.gt/que-hacemos/area-energetica/publicaciones/estadisticas/balance-energetico/"/>
    <hyperlink ref="I2747" r:id="rId2125" display="https://mem.gob.gt/que-hacemos/area-energetica/publicaciones/estadisticas/balance-energetico/"/>
    <hyperlink ref="I2748" r:id="rId2126" display="https://mem.gob.gt/que-hacemos/area-energetica/publicaciones/estadisticas/balance-energetico/"/>
    <hyperlink ref="I2749" r:id="rId2127" display="https://mem.gob.gt/que-hacemos/area-energetica/publicaciones/estadisticas/balance-energetico/"/>
    <hyperlink ref="I2750" r:id="rId2128" display="https://mem.gob.gt/que-hacemos/area-energetica/publicaciones/estadisticas/balance-energetico/"/>
    <hyperlink ref="I2751" r:id="rId2129" display="https://mem.gob.gt/que-hacemos/area-energetica/publicaciones/estadisticas/balance-energetico/"/>
    <hyperlink ref="I2752" r:id="rId2130" display="https://mem.gob.gt/que-hacemos/area-energetica/publicaciones/estadisticas/balance-energetico/"/>
    <hyperlink ref="I2753" r:id="rId2131" display="https://mem.gob.gt/que-hacemos/area-energetica/publicaciones/estadisticas/balance-energetico/"/>
    <hyperlink ref="I2754" r:id="rId2132" display="https://mem.gob.gt/que-hacemos/area-energetica/publicaciones/estadisticas/balance-energetico/"/>
    <hyperlink ref="I2755" r:id="rId2133" display="https://mem.gob.gt/que-hacemos/area-energetica/publicaciones/estadisticas/balance-energetico/"/>
    <hyperlink ref="I2756" r:id="rId2134" display="https://mem.gob.gt/que-hacemos/area-energetica/publicaciones/estadisticas/balance-energetico/"/>
    <hyperlink ref="I2757" r:id="rId2135" display="https://mem.gob.gt/que-hacemos/area-energetica/publicaciones/estadisticas/balance-energetico/"/>
    <hyperlink ref="I2758" r:id="rId2136" display="https://mem.gob.gt/que-hacemos/area-energetica/publicaciones/estadisticas/balance-energetico/"/>
    <hyperlink ref="I2759" r:id="rId2137" display="https://mem.gob.gt/que-hacemos/area-energetica/publicaciones/estadisticas/balance-energetico/"/>
    <hyperlink ref="I2760" r:id="rId2138" display="https://mem.gob.gt/que-hacemos/area-energetica/publicaciones/estadisticas/balance-energetico/"/>
    <hyperlink ref="I2761" r:id="rId2139" display="https://mem.gob.gt/que-hacemos/area-energetica/publicaciones/estadisticas/balance-energetico/"/>
    <hyperlink ref="I2762" r:id="rId2140" display="https://mem.gob.gt/que-hacemos/area-energetica/publicaciones/estadisticas/balance-energetico/"/>
    <hyperlink ref="I2763" r:id="rId2141" display="https://mem.gob.gt/que-hacemos/area-energetica/publicaciones/estadisticas/balance-energetico/"/>
    <hyperlink ref="I2764" r:id="rId2142" display="https://mem.gob.gt/que-hacemos/area-energetica/publicaciones/estadisticas/balance-energetico/"/>
    <hyperlink ref="I2765" r:id="rId2143" display="https://mem.gob.gt/que-hacemos/area-energetica/publicaciones/estadisticas/balance-energetico/"/>
    <hyperlink ref="I2766" r:id="rId2144" display="https://mem.gob.gt/que-hacemos/area-energetica/publicaciones/estadisticas/balance-energetico/"/>
    <hyperlink ref="I2767" r:id="rId2145" display="https://mem.gob.gt/que-hacemos/area-energetica/publicaciones/estadisticas/balance-energetico/"/>
    <hyperlink ref="I2768" r:id="rId2146" display="https://mem.gob.gt/que-hacemos/area-energetica/publicaciones/estadisticas/balance-energetico/"/>
    <hyperlink ref="I2769" r:id="rId2147" display="https://mem.gob.gt/que-hacemos/area-energetica/publicaciones/estadisticas/balance-energetico/"/>
    <hyperlink ref="I2770" r:id="rId2148" display="https://mem.gob.gt/que-hacemos/area-energetica/publicaciones/estadisticas/balance-energetico/"/>
    <hyperlink ref="I2771" r:id="rId2149" display="https://mem.gob.gt/que-hacemos/area-energetica/publicaciones/estadisticas/balance-energetico/"/>
    <hyperlink ref="I2772" r:id="rId2150" display="https://mem.gob.gt/que-hacemos/area-energetica/publicaciones/estadisticas/balance-energetico/"/>
    <hyperlink ref="I2773" r:id="rId2151" display="https://mem.gob.gt/que-hacemos/area-energetica/publicaciones/estadisticas/balance-energetico/"/>
    <hyperlink ref="I2774" r:id="rId2152" display="https://mem.gob.gt/que-hacemos/area-energetica/publicaciones/estadisticas/balance-energetico/"/>
    <hyperlink ref="I2775" r:id="rId2153" display="https://mem.gob.gt/que-hacemos/area-energetica/publicaciones/estadisticas/balance-energetico/"/>
    <hyperlink ref="I2776" r:id="rId2154" display="https://mem.gob.gt/que-hacemos/area-energetica/publicaciones/estadisticas/balance-energetico/"/>
    <hyperlink ref="I2777" r:id="rId2155" display="https://mem.gob.gt/que-hacemos/area-energetica/publicaciones/estadisticas/balance-energetico/"/>
    <hyperlink ref="I2778" r:id="rId2156" display="https://mem.gob.gt/que-hacemos/area-energetica/publicaciones/estadisticas/balance-energetico/"/>
    <hyperlink ref="I2779" r:id="rId2157" display="https://mem.gob.gt/que-hacemos/area-energetica/publicaciones/estadisticas/balance-energetico/"/>
    <hyperlink ref="I2780" r:id="rId2158" display="https://mem.gob.gt/que-hacemos/area-energetica/publicaciones/estadisticas/balance-energetico/"/>
    <hyperlink ref="I2781" r:id="rId2159" display="https://mem.gob.gt/que-hacemos/area-energetica/publicaciones/estadisticas/balance-energetico/"/>
    <hyperlink ref="I2782" r:id="rId2160" display="https://mem.gob.gt/que-hacemos/area-energetica/publicaciones/estadisticas/balance-energetico/"/>
    <hyperlink ref="I2783" r:id="rId2161" display="https://mem.gob.gt/que-hacemos/area-energetica/publicaciones/estadisticas/balance-energetico/"/>
    <hyperlink ref="I2784" r:id="rId2162" display="https://mem.gob.gt/que-hacemos/area-energetica/publicaciones/estadisticas/balance-energetico/"/>
    <hyperlink ref="I2785" r:id="rId2163" display="https://mem.gob.gt/que-hacemos/area-energetica/publicaciones/estadisticas/balance-energetico/"/>
    <hyperlink ref="I2786" r:id="rId2164" display="https://mem.gob.gt/que-hacemos/area-energetica/publicaciones/estadisticas/balance-energetico/"/>
    <hyperlink ref="I2787" r:id="rId2165" display="https://mem.gob.gt/que-hacemos/area-energetica/publicaciones/estadisticas/balance-energetico/"/>
    <hyperlink ref="I2788" r:id="rId2166" display="https://mem.gob.gt/que-hacemos/area-energetica/publicaciones/estadisticas/balance-energetico/"/>
    <hyperlink ref="I2789" r:id="rId2167" display="https://mem.gob.gt/que-hacemos/area-energetica/publicaciones/estadisticas/balance-energetico/"/>
    <hyperlink ref="I2790" r:id="rId2168" display="https://mem.gob.gt/que-hacemos/area-energetica/publicaciones/estadisticas/balance-energetico/"/>
    <hyperlink ref="I2791" r:id="rId2169" display="https://mem.gob.gt/que-hacemos/area-energetica/publicaciones/estadisticas/balance-energetico/"/>
    <hyperlink ref="I2792" r:id="rId2170" display="https://mem.gob.gt/que-hacemos/area-energetica/publicaciones/estadisticas/balance-energetico/"/>
    <hyperlink ref="I2793" r:id="rId2171" display="https://mem.gob.gt/que-hacemos/area-energetica/publicaciones/estadisticas/balance-energetico/"/>
    <hyperlink ref="I2794" r:id="rId2172" display="https://mem.gob.gt/que-hacemos/area-energetica/publicaciones/estadisticas/balance-energetico/"/>
    <hyperlink ref="I2795" r:id="rId2173" display="https://mem.gob.gt/que-hacemos/area-energetica/publicaciones/estadisticas/balance-energetico/"/>
    <hyperlink ref="I2796" r:id="rId2174" display="https://mem.gob.gt/que-hacemos/area-energetica/publicaciones/estadisticas/balance-energetico/"/>
    <hyperlink ref="I2797" r:id="rId2175" display="https://mem.gob.gt/que-hacemos/area-energetica/publicaciones/estadisticas/balance-energetico/"/>
    <hyperlink ref="I2798" r:id="rId2176" display="https://mem.gob.gt/que-hacemos/area-energetica/publicaciones/estadisticas/balance-energetico/"/>
    <hyperlink ref="I2799" r:id="rId2177" display="https://mem.gob.gt/que-hacemos/area-energetica/publicaciones/estadisticas/balance-energetico/"/>
    <hyperlink ref="I2800" r:id="rId2178" display="https://mem.gob.gt/que-hacemos/area-energetica/publicaciones/estadisticas/balance-energetico/"/>
    <hyperlink ref="I2801" r:id="rId2179" display="https://mem.gob.gt/que-hacemos/area-energetica/publicaciones/estadisticas/balance-energetico/"/>
    <hyperlink ref="I2802" r:id="rId2180" display="https://mem.gob.gt/que-hacemos/area-energetica/publicaciones/estadisticas/balance-energetico/"/>
    <hyperlink ref="I2803" r:id="rId2181" display="https://mem.gob.gt/que-hacemos/area-energetica/publicaciones/estadisticas/balance-energetico/"/>
    <hyperlink ref="I2804" r:id="rId2182" display="https://mem.gob.gt/que-hacemos/area-energetica/publicaciones/estadisticas/balance-energetico/"/>
    <hyperlink ref="I2805" r:id="rId2183" display="https://mem.gob.gt/que-hacemos/area-energetica/publicaciones/estadisticas/balance-energetico/"/>
    <hyperlink ref="I2806" r:id="rId2184" display="https://mem.gob.gt/que-hacemos/area-energetica/publicaciones/estadisticas/balance-energetico/"/>
    <hyperlink ref="I2807" r:id="rId2185" display="https://mem.gob.gt/que-hacemos/area-energetica/publicaciones/estadisticas/balance-energetico/"/>
    <hyperlink ref="I2808" r:id="rId2186" display="https://mem.gob.gt/que-hacemos/area-energetica/publicaciones/estadisticas/balance-energetico/"/>
    <hyperlink ref="I2809" r:id="rId2187" display="https://mem.gob.gt/que-hacemos/area-energetica/publicaciones/estadisticas/balance-energetico/"/>
    <hyperlink ref="I2810" r:id="rId2188" display="https://mem.gob.gt/que-hacemos/area-energetica/publicaciones/estadisticas/balance-energetico/"/>
    <hyperlink ref="I2811" r:id="rId2189" display="https://mem.gob.gt/que-hacemos/area-energetica/publicaciones/estadisticas/balance-energetico/"/>
    <hyperlink ref="I2812" r:id="rId2190" display="https://mem.gob.gt/que-hacemos/area-energetica/publicaciones/estadisticas/balance-energetico/"/>
    <hyperlink ref="I2813" r:id="rId2191" display="https://mem.gob.gt/que-hacemos/area-energetica/publicaciones/estadisticas/balance-energetico/"/>
    <hyperlink ref="I2814" r:id="rId2192" display="https://mem.gob.gt/que-hacemos/area-energetica/publicaciones/estadisticas/balance-energetico/"/>
    <hyperlink ref="I2815" r:id="rId2193" display="https://mem.gob.gt/que-hacemos/area-energetica/publicaciones/estadisticas/balance-energetico/"/>
    <hyperlink ref="I2816" r:id="rId2194" display="https://mem.gob.gt/que-hacemos/area-energetica/publicaciones/estadisticas/balance-energetico/"/>
    <hyperlink ref="I2817" r:id="rId2195" display="https://mem.gob.gt/que-hacemos/area-energetica/publicaciones/estadisticas/balance-energetico/"/>
    <hyperlink ref="I2818" r:id="rId2196" display="https://mem.gob.gt/que-hacemos/area-energetica/publicaciones/estadisticas/balance-energetico/"/>
    <hyperlink ref="I2819" r:id="rId2197" display="https://mem.gob.gt/que-hacemos/area-energetica/publicaciones/estadisticas/balance-energetico/"/>
    <hyperlink ref="I2820" r:id="rId2198" display="https://mem.gob.gt/que-hacemos/area-energetica/publicaciones/estadisticas/balance-energetico/"/>
    <hyperlink ref="I2821" r:id="rId2199" display="https://mem.gob.gt/que-hacemos/area-energetica/publicaciones/estadisticas/balance-energetico/"/>
    <hyperlink ref="I2822" r:id="rId2200" display="https://mem.gob.gt/que-hacemos/area-energetica/publicaciones/estadisticas/balance-energetico/"/>
    <hyperlink ref="I2823" r:id="rId2201" display="https://mem.gob.gt/que-hacemos/area-energetica/publicaciones/estadisticas/balance-energetico/"/>
    <hyperlink ref="I2824" r:id="rId2202" display="https://mem.gob.gt/que-hacemos/area-energetica/publicaciones/estadisticas/balance-energetico/"/>
    <hyperlink ref="I2825" r:id="rId2203" display="https://mem.gob.gt/que-hacemos/area-energetica/publicaciones/estadisticas/balance-energetico/"/>
    <hyperlink ref="I2826" r:id="rId2204" display="https://mem.gob.gt/que-hacemos/area-energetica/publicaciones/estadisticas/balance-energetico/"/>
    <hyperlink ref="I2827" r:id="rId2205" display="https://mem.gob.gt/que-hacemos/area-energetica/publicaciones/estadisticas/balance-energetico/"/>
    <hyperlink ref="I2828" r:id="rId2206" display="https://mem.gob.gt/que-hacemos/area-energetica/publicaciones/estadisticas/balance-energetico/"/>
    <hyperlink ref="I2829" r:id="rId2207" display="https://mem.gob.gt/que-hacemos/area-energetica/publicaciones/estadisticas/balance-energetico/"/>
    <hyperlink ref="I2830" r:id="rId2208" display="https://mem.gob.gt/que-hacemos/area-energetica/publicaciones/estadisticas/balance-energetico/"/>
    <hyperlink ref="I2831" r:id="rId2209" display="https://mem.gob.gt/que-hacemos/area-energetica/publicaciones/estadisticas/balance-energetico/"/>
    <hyperlink ref="I2832" r:id="rId2210" display="https://mem.gob.gt/que-hacemos/area-energetica/publicaciones/estadisticas/balance-energetico/"/>
    <hyperlink ref="I2834" r:id="rId2211" display="https://mem.gob.gt/que-hacemos/area-energetica/publicaciones/estadisticas/balance-energetico/"/>
    <hyperlink ref="I2835" r:id="rId2212" display="https://mem.gob.gt/que-hacemos/area-energetica/publicaciones/estadisticas/balance-energetico/"/>
    <hyperlink ref="I2836" r:id="rId2213" display="https://mem.gob.gt/que-hacemos/area-energetica/publicaciones/estadisticas/balance-energetico/"/>
    <hyperlink ref="I2837" r:id="rId2214" display="https://mem.gob.gt/que-hacemos/area-energetica/publicaciones/estadisticas/balance-energetico/"/>
    <hyperlink ref="I2838" r:id="rId2215" display="https://mem.gob.gt/que-hacemos/area-energetica/publicaciones/estadisticas/balance-energetico/"/>
    <hyperlink ref="I2839" r:id="rId2216" display="https://mem.gob.gt/que-hacemos/area-energetica/publicaciones/estadisticas/balance-energetico/"/>
    <hyperlink ref="I2840" r:id="rId2217" display="https://mem.gob.gt/que-hacemos/area-energetica/publicaciones/estadisticas/balance-energetico/"/>
    <hyperlink ref="I2841" r:id="rId2218" display="https://mem.gob.gt/que-hacemos/area-energetica/publicaciones/estadisticas/balance-energetico/"/>
    <hyperlink ref="I2842" r:id="rId2219" display="https://mem.gob.gt/que-hacemos/area-energetica/publicaciones/estadisticas/balance-energetico/"/>
    <hyperlink ref="I2843" r:id="rId2220" display="https://mem.gob.gt/que-hacemos/area-energetica/publicaciones/estadisticas/balance-energetico/"/>
    <hyperlink ref="I2844" r:id="rId2221" display="https://mem.gob.gt/que-hacemos/area-energetica/publicaciones/estadisticas/balance-energetico/"/>
    <hyperlink ref="I2845" r:id="rId2222" display="https://mem.gob.gt/que-hacemos/area-energetica/publicaciones/estadisticas/balance-energetico/"/>
    <hyperlink ref="I2846" r:id="rId2223" display="https://mem.gob.gt/que-hacemos/area-energetica/publicaciones/estadisticas/balance-energetico/"/>
    <hyperlink ref="I2847" r:id="rId2224" display="https://mem.gob.gt/que-hacemos/area-energetica/publicaciones/estadisticas/balance-energetico/"/>
    <hyperlink ref="I2848" r:id="rId2225" display="https://mem.gob.gt/que-hacemos/area-energetica/publicaciones/estadisticas/balance-energetico/"/>
    <hyperlink ref="I2849" r:id="rId2226" display="https://mem.gob.gt/que-hacemos/area-energetica/publicaciones/estadisticas/balance-energetico/"/>
    <hyperlink ref="I2850" r:id="rId2227" display="https://mem.gob.gt/que-hacemos/area-energetica/publicaciones/estadisticas/balance-energetico/"/>
    <hyperlink ref="I2851" r:id="rId2228" display="https://mem.gob.gt/que-hacemos/area-energetica/publicaciones/estadisticas/balance-energetico/"/>
    <hyperlink ref="I2852" r:id="rId2229" display="https://mem.gob.gt/que-hacemos/area-energetica/publicaciones/estadisticas/balance-energetico/"/>
    <hyperlink ref="I2853" r:id="rId2230" display="https://mem.gob.gt/que-hacemos/area-energetica/publicaciones/estadisticas/balance-energetico/"/>
    <hyperlink ref="I2854" r:id="rId2231" display="https://mem.gob.gt/que-hacemos/area-energetica/publicaciones/estadisticas/balance-energetico/"/>
    <hyperlink ref="I2855" r:id="rId2232" display="https://mem.gob.gt/que-hacemos/area-energetica/publicaciones/estadisticas/balance-energetico/"/>
    <hyperlink ref="I2856" r:id="rId2233" display="https://mem.gob.gt/que-hacemos/area-energetica/publicaciones/estadisticas/balance-energetico/"/>
    <hyperlink ref="I2857" r:id="rId2234" display="https://mem.gob.gt/que-hacemos/area-energetica/publicaciones/estadisticas/balance-energetico/"/>
    <hyperlink ref="I2858" r:id="rId2235" display="https://mem.gob.gt/que-hacemos/area-energetica/publicaciones/estadisticas/balance-energetico/"/>
    <hyperlink ref="I2859" r:id="rId2236" display="https://mem.gob.gt/que-hacemos/area-energetica/publicaciones/estadisticas/balance-energetico/"/>
    <hyperlink ref="I2860" r:id="rId2237" display="https://mem.gob.gt/que-hacemos/area-energetica/publicaciones/estadisticas/balance-energetico/"/>
    <hyperlink ref="I2861" r:id="rId2238" display="https://mem.gob.gt/que-hacemos/area-energetica/publicaciones/estadisticas/balance-energetico/"/>
    <hyperlink ref="I2862" r:id="rId2239" display="https://mem.gob.gt/que-hacemos/area-energetica/publicaciones/estadisticas/balance-energetico/"/>
    <hyperlink ref="I2863" r:id="rId2240" display="https://mem.gob.gt/que-hacemos/area-energetica/publicaciones/estadisticas/balance-energetico/"/>
    <hyperlink ref="I2864" r:id="rId2241" display="https://mem.gob.gt/que-hacemos/area-energetica/publicaciones/estadisticas/balance-energetico/"/>
    <hyperlink ref="I2865" r:id="rId2242" display="https://mem.gob.gt/que-hacemos/area-energetica/publicaciones/estadisticas/balance-energetico/"/>
    <hyperlink ref="I2866" r:id="rId2243" display="https://mem.gob.gt/que-hacemos/area-energetica/publicaciones/estadisticas/balance-energetico/"/>
    <hyperlink ref="I2867" r:id="rId2244" display="https://mem.gob.gt/que-hacemos/area-energetica/publicaciones/estadisticas/balance-energetico/"/>
    <hyperlink ref="I2868" r:id="rId2245" display="https://mem.gob.gt/que-hacemos/area-energetica/publicaciones/estadisticas/balance-energetico/"/>
    <hyperlink ref="I2869" r:id="rId2246" display="https://mem.gob.gt/que-hacemos/area-energetica/publicaciones/estadisticas/balance-energetico/"/>
    <hyperlink ref="I2870" r:id="rId2247" display="https://mem.gob.gt/que-hacemos/area-energetica/publicaciones/estadisticas/balance-energetico/"/>
    <hyperlink ref="I2871" r:id="rId2248" display="https://mem.gob.gt/que-hacemos/area-energetica/publicaciones/estadisticas/balance-energetico/"/>
    <hyperlink ref="I2872" r:id="rId2249" display="https://mem.gob.gt/que-hacemos/area-energetica/publicaciones/estadisticas/balance-energetico/"/>
    <hyperlink ref="I2873" r:id="rId2250" display="https://mem.gob.gt/que-hacemos/area-energetica/publicaciones/estadisticas/balance-energetico/"/>
    <hyperlink ref="I2874" r:id="rId2251" display="https://mem.gob.gt/que-hacemos/area-energetica/publicaciones/estadisticas/balance-energetico/"/>
    <hyperlink ref="I2875" r:id="rId2252" display="https://mem.gob.gt/que-hacemos/area-energetica/publicaciones/estadisticas/balance-energetico/"/>
    <hyperlink ref="I2876" r:id="rId2253" display="https://mem.gob.gt/que-hacemos/area-energetica/publicaciones/estadisticas/balance-energetico/"/>
    <hyperlink ref="I2877" r:id="rId2254" display="https://mem.gob.gt/que-hacemos/area-energetica/publicaciones/estadisticas/balance-energetico/"/>
    <hyperlink ref="I2878" r:id="rId2255" display="https://mem.gob.gt/que-hacemos/area-energetica/publicaciones/estadisticas/balance-energetico/"/>
    <hyperlink ref="I2879" r:id="rId2256" display="https://mem.gob.gt/que-hacemos/area-energetica/publicaciones/estadisticas/balance-energetico/"/>
    <hyperlink ref="I2880" r:id="rId2257" display="https://mem.gob.gt/que-hacemos/area-energetica/publicaciones/estadisticas/balance-energetico/"/>
    <hyperlink ref="I2881" r:id="rId2258" display="https://mem.gob.gt/que-hacemos/area-energetica/publicaciones/estadisticas/balance-energetico/"/>
    <hyperlink ref="I2882" r:id="rId2259" display="https://mem.gob.gt/que-hacemos/area-energetica/publicaciones/estadisticas/balance-energetico/"/>
    <hyperlink ref="I2883" r:id="rId2260" display="https://mem.gob.gt/que-hacemos/area-energetica/publicaciones/estadisticas/balance-energetico/"/>
    <hyperlink ref="I2884" r:id="rId2261" display="https://mem.gob.gt/que-hacemos/area-energetica/publicaciones/estadisticas/balance-energetico/"/>
    <hyperlink ref="I2885" r:id="rId2262" display="https://mem.gob.gt/que-hacemos/area-energetica/publicaciones/estadisticas/balance-energetico/"/>
    <hyperlink ref="I2886" r:id="rId2263" display="https://mem.gob.gt/que-hacemos/area-energetica/publicaciones/estadisticas/balance-energetico/"/>
    <hyperlink ref="I2887" r:id="rId2264" display="https://mem.gob.gt/que-hacemos/area-energetica/publicaciones/estadisticas/balance-energetico/"/>
    <hyperlink ref="I2888" r:id="rId2265" display="https://mem.gob.gt/que-hacemos/area-energetica/publicaciones/estadisticas/balance-energetico/"/>
    <hyperlink ref="I2889" r:id="rId2266" display="https://mem.gob.gt/que-hacemos/area-energetica/publicaciones/estadisticas/balance-energetico/"/>
    <hyperlink ref="I2890" r:id="rId2267" display="https://mem.gob.gt/que-hacemos/area-energetica/publicaciones/estadisticas/balance-energetico/"/>
    <hyperlink ref="I2891" r:id="rId2268" display="https://mem.gob.gt/que-hacemos/area-energetica/publicaciones/estadisticas/balance-energetico/"/>
    <hyperlink ref="I2892" r:id="rId2269" display="https://mem.gob.gt/que-hacemos/area-energetica/publicaciones/estadisticas/balance-energetico/"/>
    <hyperlink ref="I2893" r:id="rId2270" display="https://mem.gob.gt/que-hacemos/area-energetica/publicaciones/estadisticas/balance-energetico/"/>
    <hyperlink ref="I2894" r:id="rId2271" display="https://mem.gob.gt/que-hacemos/area-energetica/publicaciones/estadisticas/balance-energetico/"/>
    <hyperlink ref="I2895" r:id="rId2272" display="https://mem.gob.gt/que-hacemos/area-energetica/publicaciones/estadisticas/balance-energetico/"/>
    <hyperlink ref="I2896" r:id="rId2273" display="https://mem.gob.gt/que-hacemos/area-energetica/publicaciones/estadisticas/balance-energetico/"/>
    <hyperlink ref="I2897" r:id="rId2274" display="https://mem.gob.gt/que-hacemos/area-energetica/publicaciones/estadisticas/balance-energetico/"/>
    <hyperlink ref="I2898" r:id="rId2275" display="https://mem.gob.gt/que-hacemos/area-energetica/publicaciones/estadisticas/balance-energetico/"/>
    <hyperlink ref="I2899" r:id="rId2276" display="https://mem.gob.gt/que-hacemos/area-energetica/publicaciones/estadisticas/balance-energetico/"/>
    <hyperlink ref="I2900" r:id="rId2277" display="https://mem.gob.gt/que-hacemos/area-energetica/publicaciones/estadisticas/balance-energetico/"/>
    <hyperlink ref="I2901" r:id="rId2278" display="https://mem.gob.gt/que-hacemos/area-energetica/publicaciones/estadisticas/balance-energetico/"/>
    <hyperlink ref="I2902" r:id="rId2279" display="https://mem.gob.gt/que-hacemos/area-energetica/publicaciones/estadisticas/balance-energetico/"/>
    <hyperlink ref="I2903" r:id="rId2280" display="https://mem.gob.gt/que-hacemos/area-energetica/publicaciones/estadisticas/balance-energetico/"/>
    <hyperlink ref="I2904" r:id="rId2281" display="https://mem.gob.gt/que-hacemos/area-energetica/publicaciones/estadisticas/balance-energetico/"/>
    <hyperlink ref="I2905" r:id="rId2282" display="https://mem.gob.gt/que-hacemos/area-energetica/publicaciones/estadisticas/balance-energetico/"/>
    <hyperlink ref="I2906" r:id="rId2283" display="https://mem.gob.gt/que-hacemos/area-energetica/publicaciones/estadisticas/balance-energetico/"/>
    <hyperlink ref="I2907" r:id="rId2284" display="https://mem.gob.gt/que-hacemos/area-energetica/publicaciones/estadisticas/balance-energetico/"/>
    <hyperlink ref="I2908" r:id="rId2285" display="https://mem.gob.gt/que-hacemos/area-energetica/publicaciones/estadisticas/balance-energetico/"/>
    <hyperlink ref="I2909" r:id="rId2286" display="https://mem.gob.gt/que-hacemos/area-energetica/publicaciones/estadisticas/balance-energetico/"/>
    <hyperlink ref="I2910" r:id="rId2287" display="https://mem.gob.gt/que-hacemos/area-energetica/publicaciones/estadisticas/balance-energetico/"/>
    <hyperlink ref="I2911" r:id="rId2288" display="https://mem.gob.gt/que-hacemos/area-energetica/publicaciones/estadisticas/balance-energetico/"/>
    <hyperlink ref="I2912" r:id="rId2289" display="https://mem.gob.gt/que-hacemos/area-energetica/publicaciones/estadisticas/balance-energetico/"/>
    <hyperlink ref="I2913" r:id="rId2290" display="https://mem.gob.gt/que-hacemos/area-energetica/publicaciones/estadisticas/balance-energetico/"/>
    <hyperlink ref="I2914" r:id="rId2291" display="https://mem.gob.gt/que-hacemos/area-energetica/publicaciones/estadisticas/balance-energetico/"/>
    <hyperlink ref="I2915" r:id="rId2292" display="https://mem.gob.gt/que-hacemos/area-energetica/publicaciones/estadisticas/balance-energetico/"/>
    <hyperlink ref="I2917" r:id="rId2293" display="https://mem.gob.gt/que-hacemos/area-energetica/publicaciones/estadisticas/balance-energetico/"/>
    <hyperlink ref="I2919" r:id="rId2294" display="https://mem.gob.gt/que-hacemos/area-energetica/publicaciones/estadisticas/balance-energetico/"/>
    <hyperlink ref="I2920" r:id="rId2295" display="https://mem.gob.gt/que-hacemos/area-energetica/publicaciones/estadisticas/balance-energetico/"/>
    <hyperlink ref="I2921" r:id="rId2296" display="https://mem.gob.gt/que-hacemos/area-energetica/publicaciones/estadisticas/balance-energetico/"/>
    <hyperlink ref="I2922" r:id="rId2297" display="https://mem.gob.gt/que-hacemos/area-energetica/publicaciones/estadisticas/balance-energetico/"/>
    <hyperlink ref="I2923" r:id="rId2298" display="https://mem.gob.gt/que-hacemos/area-energetica/publicaciones/estadisticas/balance-energetico/"/>
    <hyperlink ref="I2924" r:id="rId2299" display="https://mem.gob.gt/que-hacemos/area-energetica/publicaciones/estadisticas/balance-energetico/"/>
    <hyperlink ref="I2925" r:id="rId2300" display="https://mem.gob.gt/que-hacemos/area-energetica/publicaciones/estadisticas/balance-energetico/"/>
    <hyperlink ref="I2926" r:id="rId2301" display="https://mem.gob.gt/que-hacemos/area-energetica/publicaciones/estadisticas/balance-energetico/"/>
    <hyperlink ref="I2927" r:id="rId2302" display="https://mem.gob.gt/que-hacemos/area-energetica/publicaciones/estadisticas/balance-energetico/"/>
    <hyperlink ref="I2928" r:id="rId2303" display="https://mem.gob.gt/que-hacemos/area-energetica/publicaciones/estadisticas/balance-energetico/"/>
    <hyperlink ref="I2929" r:id="rId2304" display="https://mem.gob.gt/que-hacemos/area-energetica/publicaciones/estadisticas/balance-energetico/"/>
    <hyperlink ref="I2930" r:id="rId2305" display="https://mem.gob.gt/que-hacemos/area-energetica/publicaciones/estadisticas/balance-energetico/"/>
    <hyperlink ref="I2931" r:id="rId2306" display="https://mem.gob.gt/que-hacemos/area-energetica/publicaciones/estadisticas/balance-energetico/"/>
    <hyperlink ref="I2932" r:id="rId2307" display="https://mem.gob.gt/que-hacemos/area-energetica/publicaciones/estadisticas/balance-energetico/"/>
    <hyperlink ref="I2933" r:id="rId2308" display="https://mem.gob.gt/que-hacemos/area-energetica/publicaciones/estadisticas/balance-energetico/"/>
    <hyperlink ref="I2934" r:id="rId2309" display="https://mem.gob.gt/que-hacemos/area-energetica/publicaciones/estadisticas/balance-energetico/"/>
    <hyperlink ref="I2935" r:id="rId2310" display="https://mem.gob.gt/que-hacemos/area-energetica/publicaciones/estadisticas/balance-energetico/"/>
    <hyperlink ref="I2936" r:id="rId2311" display="https://mem.gob.gt/que-hacemos/area-energetica/publicaciones/estadisticas/balance-energetico/"/>
    <hyperlink ref="I2937" r:id="rId2312" display="https://mem.gob.gt/que-hacemos/area-energetica/publicaciones/estadisticas/balance-energetico/"/>
    <hyperlink ref="I2938" r:id="rId2313" display="https://mem.gob.gt/que-hacemos/area-energetica/publicaciones/estadisticas/balance-energetico/"/>
    <hyperlink ref="I2939" r:id="rId2314" display="https://mem.gob.gt/que-hacemos/area-energetica/publicaciones/estadisticas/balance-energetico/"/>
    <hyperlink ref="I2940" r:id="rId2315" display="https://mem.gob.gt/que-hacemos/area-energetica/publicaciones/estadisticas/balance-energetico/"/>
    <hyperlink ref="I2941" r:id="rId2316" display="https://mem.gob.gt/que-hacemos/area-energetica/publicaciones/estadisticas/balance-energetico/"/>
    <hyperlink ref="I2942" r:id="rId2317" display="https://mem.gob.gt/que-hacemos/area-energetica/publicaciones/estadisticas/balance-energetico/"/>
    <hyperlink ref="I2943" r:id="rId2318" display="https://mem.gob.gt/que-hacemos/area-energetica/publicaciones/estadisticas/balance-energetico/"/>
    <hyperlink ref="I2944" r:id="rId2319" display="https://mem.gob.gt/que-hacemos/area-energetica/publicaciones/estadisticas/balance-energetico/"/>
    <hyperlink ref="I2945" r:id="rId2320" display="https://mem.gob.gt/que-hacemos/area-energetica/publicaciones/estadisticas/balance-energetico/"/>
    <hyperlink ref="I2946" r:id="rId2321" display="https://mem.gob.gt/que-hacemos/area-energetica/publicaciones/estadisticas/balance-energetico/"/>
    <hyperlink ref="I2947" r:id="rId2322" display="https://mem.gob.gt/que-hacemos/area-energetica/publicaciones/estadisticas/balance-energetico/"/>
    <hyperlink ref="I2948" r:id="rId2323" display="https://mem.gob.gt/que-hacemos/area-energetica/publicaciones/estadisticas/balance-energetico/"/>
    <hyperlink ref="I2949" r:id="rId2324" display="https://mem.gob.gt/que-hacemos/area-energetica/publicaciones/estadisticas/balance-energetico/"/>
    <hyperlink ref="I2950" r:id="rId2325" display="https://mem.gob.gt/que-hacemos/area-energetica/publicaciones/estadisticas/balance-energetico/"/>
    <hyperlink ref="I2951" r:id="rId2326" display="https://mem.gob.gt/que-hacemos/area-energetica/publicaciones/estadisticas/balance-energetico/"/>
    <hyperlink ref="I2952" r:id="rId2327" display="https://mem.gob.gt/que-hacemos/area-energetica/publicaciones/estadisticas/balance-energetico/"/>
    <hyperlink ref="I2953" r:id="rId2328" display="https://mem.gob.gt/que-hacemos/area-energetica/publicaciones/estadisticas/balance-energetico/"/>
    <hyperlink ref="I2954" r:id="rId2329" display="https://mem.gob.gt/que-hacemos/area-energetica/publicaciones/estadisticas/balance-energetico/"/>
    <hyperlink ref="I2955" r:id="rId2330" display="https://mem.gob.gt/que-hacemos/area-energetica/publicaciones/estadisticas/balance-energetico/"/>
    <hyperlink ref="I2956" r:id="rId2331" display="https://mem.gob.gt/que-hacemos/area-energetica/publicaciones/estadisticas/balance-energetico/"/>
    <hyperlink ref="I2957" r:id="rId2332" display="https://mem.gob.gt/que-hacemos/area-energetica/publicaciones/estadisticas/balance-energetico/"/>
    <hyperlink ref="I2958" r:id="rId2333" display="https://mem.gob.gt/que-hacemos/area-energetica/publicaciones/estadisticas/balance-energetico/"/>
    <hyperlink ref="I2959" r:id="rId2334" display="https://mem.gob.gt/que-hacemos/area-energetica/publicaciones/estadisticas/balance-energetico/"/>
    <hyperlink ref="I2960" r:id="rId2335" display="https://mem.gob.gt/que-hacemos/area-energetica/publicaciones/estadisticas/balance-energetico/"/>
    <hyperlink ref="I2961" r:id="rId2336" display="https://mem.gob.gt/que-hacemos/area-energetica/publicaciones/estadisticas/balance-energetico/"/>
    <hyperlink ref="I2962" r:id="rId2337" display="https://mem.gob.gt/que-hacemos/area-energetica/publicaciones/estadisticas/balance-energetico/"/>
    <hyperlink ref="I2963" r:id="rId2338" display="https://mem.gob.gt/que-hacemos/area-energetica/publicaciones/estadisticas/balance-energetico/"/>
    <hyperlink ref="I2964" r:id="rId2339" display="https://mem.gob.gt/que-hacemos/area-energetica/publicaciones/estadisticas/balance-energetico/"/>
    <hyperlink ref="I2965" r:id="rId2340" display="https://mem.gob.gt/que-hacemos/area-energetica/publicaciones/estadisticas/balance-energetico/"/>
    <hyperlink ref="I2966" r:id="rId2341" display="https://mem.gob.gt/que-hacemos/area-energetica/publicaciones/estadisticas/balance-energetico/"/>
    <hyperlink ref="I2967" r:id="rId2342" display="https://mem.gob.gt/que-hacemos/area-energetica/publicaciones/estadisticas/balance-energetico/"/>
    <hyperlink ref="I2968" r:id="rId2343" display="https://mem.gob.gt/que-hacemos/area-energetica/publicaciones/estadisticas/balance-energetico/"/>
    <hyperlink ref="I2969" r:id="rId2344" display="https://mem.gob.gt/que-hacemos/area-energetica/publicaciones/estadisticas/balance-energetico/"/>
    <hyperlink ref="I2970" r:id="rId2345" display="https://mem.gob.gt/que-hacemos/area-energetica/publicaciones/estadisticas/balance-energetico/"/>
    <hyperlink ref="I2971" r:id="rId2346" display="https://mem.gob.gt/que-hacemos/area-energetica/publicaciones/estadisticas/balance-energetico/"/>
    <hyperlink ref="I2972" r:id="rId2347" display="https://mem.gob.gt/que-hacemos/area-energetica/publicaciones/estadisticas/balance-energetico/"/>
    <hyperlink ref="I2973" r:id="rId2348" display="https://mem.gob.gt/que-hacemos/area-energetica/publicaciones/estadisticas/balance-energetico/"/>
    <hyperlink ref="I2974" r:id="rId2349" display="https://mem.gob.gt/que-hacemos/area-energetica/publicaciones/estadisticas/balance-energetico/"/>
    <hyperlink ref="I2975" r:id="rId2350" display="https://mem.gob.gt/que-hacemos/area-energetica/publicaciones/estadisticas/balance-energetico/"/>
    <hyperlink ref="I2976" r:id="rId2351" display="https://mem.gob.gt/que-hacemos/area-energetica/publicaciones/estadisticas/balance-energetico/"/>
    <hyperlink ref="I2977" r:id="rId2352" display="https://mem.gob.gt/que-hacemos/area-energetica/publicaciones/estadisticas/balance-energetico/"/>
    <hyperlink ref="I2978" r:id="rId2353" display="https://mem.gob.gt/que-hacemos/area-energetica/publicaciones/estadisticas/balance-energetico/"/>
    <hyperlink ref="I2979" r:id="rId2354" display="https://mem.gob.gt/que-hacemos/area-energetica/publicaciones/estadisticas/balance-energetico/"/>
    <hyperlink ref="I2980" r:id="rId2355" display="https://mem.gob.gt/que-hacemos/area-energetica/publicaciones/estadisticas/balance-energetico/"/>
    <hyperlink ref="I2981" r:id="rId2356" display="https://mem.gob.gt/que-hacemos/area-energetica/publicaciones/estadisticas/balance-energetico/"/>
    <hyperlink ref="I2982" r:id="rId2357" display="https://mem.gob.gt/que-hacemos/area-energetica/publicaciones/estadisticas/balance-energetico/"/>
    <hyperlink ref="I2983" r:id="rId2358" display="https://mem.gob.gt/que-hacemos/area-energetica/publicaciones/estadisticas/balance-energetico/"/>
    <hyperlink ref="I2984" r:id="rId2359" display="https://mem.gob.gt/que-hacemos/area-energetica/publicaciones/estadisticas/balance-energetico/"/>
    <hyperlink ref="I2985" r:id="rId2360" display="https://mem.gob.gt/que-hacemos/area-energetica/publicaciones/estadisticas/balance-energetico/"/>
    <hyperlink ref="I2986" r:id="rId2361" display="https://mem.gob.gt/que-hacemos/area-energetica/publicaciones/estadisticas/balance-energetico/"/>
    <hyperlink ref="I2987" r:id="rId2362" display="https://mem.gob.gt/que-hacemos/area-energetica/publicaciones/estadisticas/balance-energetico/"/>
    <hyperlink ref="I2988" r:id="rId2363" display="https://mem.gob.gt/que-hacemos/area-energetica/publicaciones/estadisticas/balance-energetico/"/>
    <hyperlink ref="I2989" r:id="rId2364" display="https://mem.gob.gt/que-hacemos/area-energetica/publicaciones/estadisticas/balance-energetico/"/>
    <hyperlink ref="I2990" r:id="rId2365" display="https://mem.gob.gt/que-hacemos/area-energetica/publicaciones/estadisticas/balance-energetico/"/>
    <hyperlink ref="I2991" r:id="rId2366" display="https://mem.gob.gt/que-hacemos/area-energetica/publicaciones/estadisticas/balance-energetico/"/>
    <hyperlink ref="I2992" r:id="rId2367" display="https://mem.gob.gt/que-hacemos/area-energetica/publicaciones/estadisticas/balance-energetico/"/>
    <hyperlink ref="I2993" r:id="rId2368" display="https://mem.gob.gt/que-hacemos/area-energetica/publicaciones/estadisticas/balance-energetico/"/>
    <hyperlink ref="I2994" r:id="rId2369" display="https://mem.gob.gt/que-hacemos/area-energetica/publicaciones/estadisticas/balance-energetico/"/>
    <hyperlink ref="I2995" r:id="rId2370" display="https://mem.gob.gt/que-hacemos/area-energetica/publicaciones/estadisticas/balance-energetico/"/>
    <hyperlink ref="I2996" r:id="rId2371" display="https://mem.gob.gt/que-hacemos/area-energetica/publicaciones/estadisticas/balance-energetico/"/>
    <hyperlink ref="I2997" r:id="rId2372" display="https://mem.gob.gt/que-hacemos/area-energetica/publicaciones/estadisticas/balance-energetico/"/>
    <hyperlink ref="I2998" r:id="rId2373" display="https://mem.gob.gt/que-hacemos/area-energetica/publicaciones/estadisticas/balance-energetico/"/>
    <hyperlink ref="I2999" r:id="rId2374" display="https://mem.gob.gt/que-hacemos/area-energetica/publicaciones/estadisticas/balance-energetico/"/>
    <hyperlink ref="I3000" r:id="rId2375" display="https://mem.gob.gt/que-hacemos/area-energetica/publicaciones/estadisticas/balance-energetico/"/>
    <hyperlink ref="I3001" r:id="rId2376" display="https://mem.gob.gt/que-hacemos/area-energetica/publicaciones/estadisticas/balance-energetico/"/>
    <hyperlink ref="I3002" r:id="rId2377" display="https://mem.gob.gt/que-hacemos/area-energetica/publicaciones/estadisticas/balance-energetico/"/>
    <hyperlink ref="I3003" r:id="rId2378" display="https://mem.gob.gt/que-hacemos/area-energetica/publicaciones/estadisticas/balance-energetico/"/>
    <hyperlink ref="I3004" r:id="rId2379" display="https://mem.gob.gt/que-hacemos/area-energetica/publicaciones/estadisticas/balance-energetico/"/>
    <hyperlink ref="I3005" r:id="rId2380" display="https://mem.gob.gt/que-hacemos/area-energetica/publicaciones/estadisticas/balance-energetico/"/>
    <hyperlink ref="I3006" r:id="rId2381" display="https://mem.gob.gt/que-hacemos/area-energetica/publicaciones/estadisticas/balance-energetico/"/>
    <hyperlink ref="I3007" r:id="rId2382" display="https://mem.gob.gt/que-hacemos/area-energetica/publicaciones/estadisticas/balance-energetico/"/>
    <hyperlink ref="I3008" r:id="rId2383" display="https://mem.gob.gt/que-hacemos/area-energetica/publicaciones/estadisticas/balance-energetico/"/>
    <hyperlink ref="I3009" r:id="rId2384" display="https://mem.gob.gt/que-hacemos/area-energetica/publicaciones/estadisticas/balance-energetico/"/>
    <hyperlink ref="I3010" r:id="rId2385" display="https://mem.gob.gt/que-hacemos/area-energetica/publicaciones/estadisticas/balance-energetico/"/>
    <hyperlink ref="I3011" r:id="rId2386" display="https://mem.gob.gt/que-hacemos/area-energetica/publicaciones/estadisticas/balance-energetico/"/>
    <hyperlink ref="I3013" r:id="rId2387" display="https://mem.gob.gt/que-hacemos/area-energetica/publicaciones/estadisticas/balance-energetico/"/>
    <hyperlink ref="I3014" r:id="rId2388" display="https://unfccc.int/reports?f%5B0%5D=corporate_author%3A206"/>
    <hyperlink ref="I3015" r:id="rId2389" display="https://unfccc.int/reports?f%5B0%5D=corporate_author%3A206"/>
    <hyperlink ref="I3016" r:id="rId2390" display="https://unfccc.int/reports?f%5B0%5D=corporate_author%3A206"/>
    <hyperlink ref="I3017" r:id="rId2391" display="https://unfccc.int/reports?f%5B0%5D=corporate_author%3A206"/>
    <hyperlink ref="I3018" r:id="rId2392" display="https://unfccc.int/reports?f%5B0%5D=corporate_author%3A206"/>
    <hyperlink ref="I3019" r:id="rId2393" display="https://unfccc.int/reports?f%5B0%5D=corporate_author%3A206"/>
    <hyperlink ref="I3020" r:id="rId2394" display="https://unfccc.int/reports?f%5B0%5D=corporate_author%3A206"/>
    <hyperlink ref="I3021" r:id="rId2395" display="https://unfccc.int/reports?f%5B0%5D=corporate_author%3A206"/>
    <hyperlink ref="I3022" r:id="rId2396" display="https://unfccc.int/reports?f%5B0%5D=corporate_author%3A206"/>
    <hyperlink ref="I3023" r:id="rId2397" display="https://unfccc.int/reports?f%5B0%5D=corporate_author%3A206"/>
    <hyperlink ref="I3024" r:id="rId2398" display="https://unfccc.int/reports?f%5B0%5D=corporate_author%3A206"/>
    <hyperlink ref="I3025" r:id="rId2399" display="https://unfccc.int/reports?f%5B0%5D=corporate_author%3A206"/>
    <hyperlink ref="I3026" r:id="rId2400" display="https://unfccc.int/reports?f%5B0%5D=corporate_author%3A206"/>
    <hyperlink ref="I3027" r:id="rId2401" display="https://unfccc.int/reports?f%5B0%5D=corporate_author%3A206"/>
    <hyperlink ref="I3028" r:id="rId2402" display="https://unfccc.int/reports?f%5B0%5D=corporate_author%3A206"/>
    <hyperlink ref="I3029" r:id="rId2403" display="https://unfccc.int/reports?f%5B0%5D=corporate_author%3A206"/>
    <hyperlink ref="I3030" r:id="rId2404" display="https://unfccc.int/reports?f%5B0%5D=corporate_author%3A206"/>
    <hyperlink ref="I3031" r:id="rId2405" display="https://unfccc.int/reports?f%5B0%5D=corporate_author%3A206"/>
    <hyperlink ref="I3032" r:id="rId2406" display="https://unfccc.int/reports?f%5B0%5D=corporate_author%3A206"/>
    <hyperlink ref="I3033" r:id="rId2407" display="https://unfccc.int/reports?f%5B0%5D=corporate_author%3A206"/>
    <hyperlink ref="I3034" r:id="rId2408" display="https://unfccc.int/reports?f%5B0%5D=corporate_author%3A206"/>
    <hyperlink ref="I3035" r:id="rId2409" display="https://unfccc.int/reports?f%5B0%5D=corporate_author%3A206"/>
    <hyperlink ref="I3036" r:id="rId2410" display="https://unfccc.int/reports?f%5B0%5D=corporate_author%3A206"/>
    <hyperlink ref="I3037" r:id="rId2411" display="https://unfccc.int/reports?f%5B0%5D=corporate_author%3A206"/>
    <hyperlink ref="I3038" r:id="rId2412" display="https://unfccc.int/reports?f%5B0%5D=corporate_author%3A206"/>
    <hyperlink ref="I3039" r:id="rId2413" display="https://unfccc.int/reports?f%5B0%5D=corporate_author%3A206"/>
    <hyperlink ref="I3040" r:id="rId2414" display="https://unfccc.int/reports?f%5B0%5D=corporate_author%3A206"/>
    <hyperlink ref="I3041" r:id="rId2415" display="https://unfccc.int/reports?f%5B0%5D=corporate_author%3A206"/>
    <hyperlink ref="I3042" r:id="rId2416" display="https://unfccc.int/reports?f%5B0%5D=corporate_author%3A206"/>
    <hyperlink ref="I3043" r:id="rId2417" display="https://unfccc.int/reports?f%5B0%5D=corporate_author%3A206"/>
    <hyperlink ref="I3044" r:id="rId2418" display="https://unfccc.int/reports?f%5B0%5D=corporate_author%3A206"/>
    <hyperlink ref="I3045" r:id="rId2419" display="https://unfccc.int/reports?f%5B0%5D=corporate_author%3A206"/>
    <hyperlink ref="I3046" r:id="rId2420" display="https://unfccc.int/reports?f%5B0%5D=corporate_author%3A206"/>
    <hyperlink ref="I3047" r:id="rId2421" display="https://unfccc.int/reports?f%5B0%5D=corporate_author%3A206"/>
    <hyperlink ref="I3048" r:id="rId2422" display="https://unfccc.int/reports?f%5B0%5D=corporate_author%3A206"/>
    <hyperlink ref="I3049" r:id="rId2423" display="https://unfccc.int/reports?f%5B0%5D=corporate_author%3A206"/>
    <hyperlink ref="I3050" r:id="rId2424" display="https://unfccc.int/reports?f%5B0%5D=corporate_author%3A206"/>
    <hyperlink ref="I3051" r:id="rId2425" display="https://unfccc.int/reports?f%5B0%5D=corporate_author%3A206"/>
    <hyperlink ref="I3052" r:id="rId2426" display="https://unfccc.int/reports?f%5B0%5D=corporate_author%3A206"/>
    <hyperlink ref="I3053" r:id="rId2427" display="https://unfccc.int/reports?f%5B0%5D=corporate_author%3A206"/>
    <hyperlink ref="I3054" r:id="rId2428" display="https://unfccc.int/reports?f%5B0%5D=corporate_author%3A206"/>
    <hyperlink ref="I3055" r:id="rId2429" display="https://unfccc.int/reports?f%5B0%5D=corporate_author%3A206"/>
    <hyperlink ref="I3056" r:id="rId2430" display="https://unfccc.int/reports?f%5B0%5D=corporate_author%3A206"/>
    <hyperlink ref="I3057" r:id="rId2431" display="https://unfccc.int/reports?f%5B0%5D=corporate_author%3A206"/>
    <hyperlink ref="I3058" r:id="rId2432" display="https://unfccc.int/reports?f%5B0%5D=corporate_author%3A206"/>
    <hyperlink ref="I3059" r:id="rId2433" display="https://unfccc.int/reports?f%5B0%5D=corporate_author%3A206"/>
    <hyperlink ref="I3060" r:id="rId2434" display="https://unfccc.int/reports?f%5B0%5D=corporate_author%3A206"/>
    <hyperlink ref="I3061" r:id="rId2435" display="https://unfccc.int/reports?f%5B0%5D=corporate_author%3A206"/>
    <hyperlink ref="I3062" r:id="rId2436" display="https://unfccc.int/reports?f%5B0%5D=corporate_author%3A206"/>
    <hyperlink ref="I3063" r:id="rId2437" display="https://unfccc.int/reports?f%5B0%5D=corporate_author%3A206"/>
    <hyperlink ref="I3064" r:id="rId2438" display="https://unfccc.int/reports?f%5B0%5D=corporate_author%3A206"/>
    <hyperlink ref="I3065" r:id="rId2439" display="https://unfccc.int/reports?f%5B0%5D=corporate_author%3A206"/>
    <hyperlink ref="I3066" r:id="rId2440" display="https://unfccc.int/reports?f%5B0%5D=corporate_author%3A206"/>
    <hyperlink ref="I3067" r:id="rId2441" display="https://unfccc.int/reports?f%5B0%5D=corporate_author%3A206"/>
    <hyperlink ref="I3068" r:id="rId2442" display="https://unfccc.int/reports?f%5B0%5D=corporate_author%3A206"/>
    <hyperlink ref="I3069" r:id="rId2443" display="https://banguat.gob.gt/page/producto-interno-bruto-anual"/>
    <hyperlink ref="I3070" r:id="rId2444" display="https://banguat.gob.gt/page/producto-interno-bruto-anual"/>
    <hyperlink ref="I3071" r:id="rId2445" display="https://banguat.gob.gt/page/producto-interno-bruto-anual"/>
    <hyperlink ref="I3072" r:id="rId2446" display="https://banguat.gob.gt/page/producto-interno-bruto-anual"/>
    <hyperlink ref="I3073" r:id="rId2447" display="https://banguat.gob.gt/page/producto-interno-bruto-anual"/>
    <hyperlink ref="I3074" r:id="rId2448" display="https://banguat.gob.gt/page/producto-interno-bruto-anual"/>
    <hyperlink ref="I3075" r:id="rId2449" display="https://banguat.gob.gt/page/producto-interno-bruto-anual"/>
    <hyperlink ref="I3076" r:id="rId2450" display="https://unfccc.int/reports?f%5B0%5D=corporate_author%3A206"/>
    <hyperlink ref="I3077" r:id="rId2451" display="https://unfccc.int/reports?f%5B0%5D=corporate_author%3A206"/>
    <hyperlink ref="I3078" r:id="rId2452" display="https://unfccc.int/reports?f%5B0%5D=corporate_author%3A206"/>
    <hyperlink ref="I3079" r:id="rId2453" display="https://unfccc.int/reports?f%5B0%5D=corporate_author%3A206"/>
    <hyperlink ref="I3080" r:id="rId2454" display="https://unfccc.int/reports?f%5B0%5D=corporate_author%3A206"/>
    <hyperlink ref="I3081" r:id="rId2455" display="https://unfccc.int/reports?f%5B0%5D=corporate_author%3A206"/>
    <hyperlink ref="I3082" r:id="rId2456" display="https://unfccc.int/reports?f%5B0%5D=corporate_author%3A206"/>
    <hyperlink ref="I3083" r:id="rId2457" display="https://unfccc.int/reports?f%5B0%5D=corporate_author%3A206"/>
    <hyperlink ref="I3084" r:id="rId2458" display="https://unfccc.int/reports?f%5B0%5D=corporate_author%3A206"/>
    <hyperlink ref="I3085" r:id="rId2459" display="https://unfccc.int/reports?f%5B0%5D=corporate_author%3A206"/>
    <hyperlink ref="I3086" r:id="rId2460" display="https://unfccc.int/reports?f%5B0%5D=corporate_author%3A206"/>
    <hyperlink ref="I3087" r:id="rId2461" display="https://unfccc.int/reports?f%5B0%5D=corporate_author%3A206"/>
    <hyperlink ref="I3088" r:id="rId2462" display="https://unfccc.int/reports?f%5B0%5D=corporate_author%3A206"/>
    <hyperlink ref="I3089" r:id="rId2463" display="https://unfccc.int/reports?f%5B0%5D=corporate_author%3A206"/>
    <hyperlink ref="I3090" r:id="rId2464" display="https://unfccc.int/reports?f%5B0%5D=corporate_author%3A206"/>
    <hyperlink ref="I3091" r:id="rId2465" display="https://unfccc.int/reports?f%5B0%5D=corporate_author%3A206"/>
    <hyperlink ref="I3092" r:id="rId2466" display="https://unfccc.int/reports?f%5B0%5D=corporate_author%3A206"/>
    <hyperlink ref="I3093" r:id="rId2467" display="https://unfccc.int/reports?f%5B0%5D=corporate_author%3A206"/>
    <hyperlink ref="I3094" r:id="rId2468" display="https://unfccc.int/reports?f%5B0%5D=corporate_author%3A206"/>
    <hyperlink ref="I3095" r:id="rId2469" display="https://unfccc.int/reports?f%5B0%5D=corporate_author%3A206"/>
    <hyperlink ref="I3096" r:id="rId2470" display="https://unfccc.int/reports?f%5B0%5D=corporate_author%3A206"/>
    <hyperlink ref="I3097" r:id="rId2471" display="https://unfccc.int/reports?f%5B0%5D=corporate_author%3A206"/>
    <hyperlink ref="I3098" r:id="rId2472" display="https://unfccc.int/reports?f%5B0%5D=corporate_author%3A206"/>
    <hyperlink ref="I3099" r:id="rId2473" display="https://unfccc.int/reports?f%5B0%5D=corporate_author%3A206"/>
    <hyperlink ref="I3100" r:id="rId2474" display="https://unfccc.int/reports?f%5B0%5D=corporate_author%3A206"/>
    <hyperlink ref="I3101" r:id="rId2475" display="https://unfccc.int/reports?f%5B0%5D=corporate_author%3A206"/>
    <hyperlink ref="I3102" r:id="rId2476" display="https://unfccc.int/reports?f%5B0%5D=corporate_author%3A206"/>
    <hyperlink ref="I3103" r:id="rId2477" display="https://unfccc.int/reports?f%5B0%5D=corporate_author%3A206"/>
    <hyperlink ref="I3104" r:id="rId2478" display="https://unfccc.int/reports?f%5B0%5D=corporate_author%3A206"/>
    <hyperlink ref="I3105" r:id="rId2479" display="https://unfccc.int/reports?f%5B0%5D=corporate_author%3A206"/>
    <hyperlink ref="I3106" r:id="rId2480" display="https://unfccc.int/reports?f%5B0%5D=corporate_author%3A206"/>
    <hyperlink ref="I3107" r:id="rId2481" display="https://unfccc.int/reports?f%5B0%5D=corporate_author%3A206"/>
    <hyperlink ref="I3108" r:id="rId2482" display="https://unfccc.int/reports?f%5B0%5D=corporate_author%3A206"/>
    <hyperlink ref="I3127" r:id="rId2483" display="https://unfccc.int/reports?f%5B0%5D=corporate_author%3A206"/>
    <hyperlink ref="I3128" r:id="rId2484" display="https://unfccc.int/reports?f%5B0%5D=corporate_author%3A206"/>
    <hyperlink ref="I3129" r:id="rId2485" display="https://unfccc.int/reports?f%5B0%5D=corporate_author%3A206"/>
    <hyperlink ref="I3130" r:id="rId2486" display="https://unfccc.int/reports?f%5B0%5D=corporate_author%3A206"/>
    <hyperlink ref="I3131" r:id="rId2487" display="https://unfccc.int/reports?f%5B0%5D=corporate_author%3A206"/>
    <hyperlink ref="I3132" r:id="rId2488" display="https://unfccc.int/reports?f%5B0%5D=corporate_author%3A206"/>
    <hyperlink ref="I3133" r:id="rId2489" display="https://unfccc.int/reports?f%5B0%5D=corporate_author%3A206"/>
    <hyperlink ref="I3134" r:id="rId2490" display="https://unfccc.int/reports?f%5B0%5D=corporate_author%3A206"/>
    <hyperlink ref="I3135" r:id="rId2491" display="https://unfccc.int/reports?f%5B0%5D=corporate_author%3A206"/>
    <hyperlink ref="I3136" r:id="rId2492" display="https://unfccc.int/reports?f%5B0%5D=corporate_author%3A206"/>
    <hyperlink ref="I3137" r:id="rId2493" display="https://unfccc.int/reports?f%5B0%5D=corporate_author%3A206"/>
    <hyperlink ref="I3138" r:id="rId2494" display="https://unfccc.int/reports?f%5B0%5D=corporate_author%3A206"/>
    <hyperlink ref="I3139" r:id="rId2495" display="https://unfccc.int/reports?f%5B0%5D=corporate_author%3A206"/>
    <hyperlink ref="I3140" r:id="rId2496" display="https://unfccc.int/reports?f%5B0%5D=corporate_author%3A206"/>
    <hyperlink ref="I3141" r:id="rId2497" display="https://unfccc.int/reports?f%5B0%5D=corporate_author%3A206"/>
    <hyperlink ref="I3142" r:id="rId2498" display="https://unfccc.int/reports?f%5B0%5D=corporate_author%3A206"/>
    <hyperlink ref="I3143" r:id="rId2499" display="https://unfccc.int/reports?f%5B0%5D=corporate_author%3A206"/>
    <hyperlink ref="I3144" r:id="rId2500" display="https://unfccc.int/reports?f%5B0%5D=corporate_author%3A206"/>
    <hyperlink ref="I3145" r:id="rId2501" display="https://unfccc.int/reports?f%5B0%5D=corporate_author%3A206"/>
    <hyperlink ref="I3146" r:id="rId2502" display="https://unfccc.int/reports?f%5B0%5D=corporate_author%3A206"/>
    <hyperlink ref="I3147" r:id="rId2503" display="https://unfccc.int/reports?f%5B0%5D=corporate_author%3A206"/>
    <hyperlink ref="I3148" r:id="rId2504" display="https://unfccc.int/reports?f%5B0%5D=corporate_author%3A206"/>
    <hyperlink ref="I3149" r:id="rId2505" display="https://unfccc.int/reports?f%5B0%5D=corporate_author%3A206"/>
    <hyperlink ref="I3150" r:id="rId2506" display="https://unfccc.int/reports?f%5B0%5D=corporate_author%3A206"/>
    <hyperlink ref="I3151" r:id="rId2507" display="https://unfccc.int/reports?f%5B0%5D=corporate_author%3A206"/>
    <hyperlink ref="I3152" r:id="rId2508" display="https://unfccc.int/reports?f%5B0%5D=corporate_author%3A206"/>
    <hyperlink ref="I3153" r:id="rId2509" display="https://unfccc.int/reports?f%5B0%5D=corporate_author%3A206"/>
    <hyperlink ref="I3154" r:id="rId2510" display="https://unfccc.int/reports?f%5B0%5D=corporate_author%3A206"/>
    <hyperlink ref="I3155" r:id="rId2511" display="https://unfccc.int/reports?f%5B0%5D=corporate_author%3A206"/>
    <hyperlink ref="I3156" r:id="rId2512" display="https://unfccc.int/reports?f%5B0%5D=corporate_author%3A206"/>
    <hyperlink ref="I3157" r:id="rId2513" display="https://unfccc.int/reports?f%5B0%5D=corporate_author%3A206"/>
    <hyperlink ref="I3158" r:id="rId2514" display="https://unfccc.int/reports?f%5B0%5D=corporate_author%3A206"/>
    <hyperlink ref="I3159" r:id="rId2515" display="https://unfccc.int/reports?f%5B0%5D=corporate_author%3A206"/>
    <hyperlink ref="I3160" r:id="rId2516" display="https://unfccc.int/reports?f%5B0%5D=corporate_author%3A206"/>
    <hyperlink ref="I3161" r:id="rId2517" display="https://unfccc.int/reports?f%5B0%5D=corporate_author%3A206"/>
    <hyperlink ref="I3162" r:id="rId2518" display="https://unfccc.int/reports?f%5B0%5D=corporate_author%3A206"/>
    <hyperlink ref="I3163" r:id="rId2519" display="https://unfccc.int/reports?f%5B0%5D=corporate_author%3A206"/>
    <hyperlink ref="I3164" r:id="rId2520" display="https://unfccc.int/reports?f%5B0%5D=corporate_author%3A206"/>
    <hyperlink ref="I3165" r:id="rId2521" display="https://unfccc.int/reports?f%5B0%5D=corporate_author%3A206"/>
    <hyperlink ref="I3166" r:id="rId2522" display="https://unfccc.int/reports?f%5B0%5D=corporate_author%3A206"/>
    <hyperlink ref="I3167" r:id="rId2523" display="https://unfccc.int/reports?f%5B0%5D=corporate_author%3A206"/>
    <hyperlink ref="I3168" r:id="rId2524" display="https://unfccc.int/reports?f%5B0%5D=corporate_author%3A206"/>
    <hyperlink ref="I3169" r:id="rId2525" display="https://unfccc.int/reports?f%5B0%5D=corporate_author%3A206"/>
    <hyperlink ref="I3170" r:id="rId2526" display="https://unfccc.int/reports?f%5B0%5D=corporate_author%3A206"/>
    <hyperlink ref="I3171" r:id="rId2527" display="https://unfccc.int/reports?f%5B0%5D=corporate_author%3A206"/>
    <hyperlink ref="I3172" r:id="rId2528" display="https://unfccc.int/reports?f%5B0%5D=corporate_author%3A206"/>
    <hyperlink ref="I3173" r:id="rId2529" display="https://unfccc.int/reports?f%5B0%5D=corporate_author%3A206"/>
    <hyperlink ref="I3174" r:id="rId2530" display="https://unfccc.int/reports?f%5B0%5D=corporate_author%3A206"/>
    <hyperlink ref="I3193" r:id="rId2531" display="https://unfccc.int/reports?f%5B0%5D=corporate_author%3A206"/>
    <hyperlink ref="I3194" r:id="rId2532" display="https://unfccc.int/reports?f%5B0%5D=corporate_author%3A206"/>
    <hyperlink ref="I3195" r:id="rId2533" display="https://unfccc.int/reports?f%5B0%5D=corporate_author%3A206"/>
    <hyperlink ref="I3196" r:id="rId2534" display="https://unfccc.int/reports?f%5B0%5D=corporate_author%3A206"/>
    <hyperlink ref="I3197" r:id="rId2535" display="https://unfccc.int/reports?f%5B0%5D=corporate_author%3A206"/>
    <hyperlink ref="I3198" r:id="rId2536" display="https://unfccc.int/reports?f%5B0%5D=corporate_author%3A206"/>
    <hyperlink ref="I3199" r:id="rId2537" display="https://unfccc.int/reports?f%5B0%5D=corporate_author%3A206"/>
    <hyperlink ref="I3200" r:id="rId2538" display="https://unfccc.int/reports?f%5B0%5D=corporate_author%3A206"/>
    <hyperlink ref="I3201" r:id="rId2539" display="https://unfccc.int/reports?f%5B0%5D=corporate_author%3A206"/>
    <hyperlink ref="I3202" r:id="rId2540" display="https://unfccc.int/reports?f%5B0%5D=corporate_author%3A206"/>
    <hyperlink ref="I3203" r:id="rId2541" display="https://unfccc.int/reports?f%5B0%5D=corporate_author%3A206"/>
    <hyperlink ref="I3204" r:id="rId2542" display="https://unfccc.int/reports?f%5B0%5D=corporate_author%3A206"/>
    <hyperlink ref="I3205" r:id="rId2543" display="https://unfccc.int/reports?f%5B0%5D=corporate_author%3A206"/>
    <hyperlink ref="I3206" r:id="rId2544" display="https://unfccc.int/reports?f%5B0%5D=corporate_author%3A206"/>
    <hyperlink ref="I3207" r:id="rId2545" display="https://unfccc.int/reports?f%5B0%5D=corporate_author%3A206"/>
    <hyperlink ref="I3208" r:id="rId2546" display="https://unfccc.int/reports?f%5B0%5D=corporate_author%3A206"/>
    <hyperlink ref="I3209" r:id="rId2547" display="https://unfccc.int/reports?f%5B0%5D=corporate_author%3A206"/>
    <hyperlink ref="I3210" r:id="rId2548" display="https://unfccc.int/reports?f%5B0%5D=corporate_author%3A206"/>
    <hyperlink ref="I3211" r:id="rId2549" display="https://unfccc.int/reports?f%5B0%5D=corporate_author%3A206"/>
    <hyperlink ref="I3212" r:id="rId2550" display="https://unfccc.int/reports?f%5B0%5D=corporate_author%3A206"/>
    <hyperlink ref="I3213" r:id="rId2551" display="https://unfccc.int/reports?f%5B0%5D=corporate_author%3A206"/>
    <hyperlink ref="I3214" r:id="rId2552" display="https://unfccc.int/reports?f%5B0%5D=corporate_author%3A206"/>
    <hyperlink ref="I3215" r:id="rId2553" display="https://unfccc.int/reports?f%5B0%5D=corporate_author%3A206"/>
    <hyperlink ref="I3216" r:id="rId2554" display="https://unfccc.int/reports?f%5B0%5D=corporate_author%3A206"/>
    <hyperlink ref="I3217" r:id="rId2555" display="https://unfccc.int/reports?f%5B0%5D=corporate_author%3A206"/>
    <hyperlink ref="I3218" r:id="rId2556" display="https://unfccc.int/reports?f%5B0%5D=corporate_author%3A206"/>
    <hyperlink ref="I3219" r:id="rId2557" display="https://unfccc.int/reports?f%5B0%5D=corporate_author%3A206"/>
    <hyperlink ref="I3220" r:id="rId2558" display="https://unfccc.int/reports?f%5B0%5D=corporate_author%3A206"/>
    <hyperlink ref="I3221" r:id="rId2559" display="https://unfccc.int/reports?f%5B0%5D=corporate_author%3A206"/>
    <hyperlink ref="I3222" r:id="rId2560" display="https://unfccc.int/reports?f%5B0%5D=corporate_author%3A206"/>
    <hyperlink ref="I3223" r:id="rId2561" display="https://unfccc.int/reports?f%5B0%5D=corporate_author%3A206"/>
    <hyperlink ref="I3224" r:id="rId2562" display="https://unfccc.int/reports?f%5B0%5D=corporate_author%3A206"/>
    <hyperlink ref="I3225" r:id="rId2563" display="https://unfccc.int/reports?f%5B0%5D=corporate_author%3A206"/>
    <hyperlink ref="I3226" r:id="rId2564" display="https://unfccc.int/reports?f%5B0%5D=corporate_author%3A206"/>
    <hyperlink ref="I3227" r:id="rId2565" display="https://unfccc.int/reports?f%5B0%5D=corporate_author%3A206"/>
    <hyperlink ref="I3228" r:id="rId2566" display="https://unfccc.int/reports?f%5B0%5D=corporate_author%3A206"/>
    <hyperlink ref="I3229" r:id="rId2567" display="https://unfccc.int/reports?f%5B0%5D=corporate_author%3A206"/>
    <hyperlink ref="I3230" r:id="rId2568" display="https://unfccc.int/reports?f%5B0%5D=corporate_author%3A206"/>
    <hyperlink ref="I3231" r:id="rId2569" display="https://unfccc.int/reports?f%5B0%5D=corporate_author%3A206"/>
    <hyperlink ref="I3232" r:id="rId2570" display="https://unfccc.int/reports?f%5B0%5D=corporate_author%3A206"/>
    <hyperlink ref="I3233" r:id="rId2571" display="https://unfccc.int/reports?f%5B0%5D=corporate_author%3A206"/>
    <hyperlink ref="I3234" r:id="rId2572" display="https://unfccc.int/reports?f%5B0%5D=corporate_author%3A206"/>
    <hyperlink ref="I3235" r:id="rId2573" display="https://unfccc.int/reports?f%5B0%5D=corporate_author%3A206"/>
    <hyperlink ref="I3236" r:id="rId2574" display="https://unfccc.int/reports?f%5B0%5D=corporate_author%3A206"/>
    <hyperlink ref="I3237" r:id="rId2575" display="https://unfccc.int/reports?f%5B0%5D=corporate_author%3A206"/>
    <hyperlink ref="I3238" r:id="rId2576" display="https://unfccc.int/reports?f%5B0%5D=corporate_author%3A206"/>
    <hyperlink ref="I3239" r:id="rId2577" display="https://unfccc.int/reports?f%5B0%5D=corporate_author%3A206"/>
    <hyperlink ref="I3240" r:id="rId2578" display="https://unfccc.int/reports?f%5B0%5D=corporate_author%3A206"/>
    <hyperlink ref="I3259" r:id="rId2579" display="https://unfccc.int/reports?f%5B0%5D=corporate_author%3A206"/>
    <hyperlink ref="I3260" r:id="rId2580" display="https://unfccc.int/reports?f%5B0%5D=corporate_author%3A206"/>
    <hyperlink ref="I3261" r:id="rId2581" display="https://unfccc.int/reports?f%5B0%5D=corporate_author%3A206"/>
    <hyperlink ref="I3262" r:id="rId2582" display="https://unfccc.int/reports?f%5B0%5D=corporate_author%3A206"/>
    <hyperlink ref="I3263" r:id="rId2583" display="https://unfccc.int/reports?f%5B0%5D=corporate_author%3A206"/>
    <hyperlink ref="I3264" r:id="rId2584" display="https://unfccc.int/reports?f%5B0%5D=corporate_author%3A206"/>
    <hyperlink ref="I3265" r:id="rId2585" display="https://unfccc.int/reports?f%5B0%5D=corporate_author%3A206"/>
    <hyperlink ref="I3266" r:id="rId2586" display="https://unfccc.int/reports?f%5B0%5D=corporate_author%3A206"/>
    <hyperlink ref="I3267" r:id="rId2587" display="https://unfccc.int/reports?f%5B0%5D=corporate_author%3A206"/>
    <hyperlink ref="I3268" r:id="rId2588" display="https://unfccc.int/reports?f%5B0%5D=corporate_author%3A206"/>
    <hyperlink ref="I3269" r:id="rId2589" display="https://unfccc.int/reports?f%5B0%5D=corporate_author%3A206"/>
    <hyperlink ref="I3270" r:id="rId2590" display="https://unfccc.int/reports?f%5B0%5D=corporate_author%3A206"/>
    <hyperlink ref="I3271" r:id="rId2591" display="https://unfccc.int/reports?f%5B0%5D=corporate_author%3A206"/>
    <hyperlink ref="I3272" r:id="rId2592" display="https://unfccc.int/reports?f%5B0%5D=corporate_author%3A206"/>
    <hyperlink ref="I3273" r:id="rId2593" display="https://unfccc.int/reports?f%5B0%5D=corporate_author%3A206"/>
    <hyperlink ref="I3274" r:id="rId2594" display="https://unfccc.int/reports?f%5B0%5D=corporate_author%3A206"/>
    <hyperlink ref="I3275" r:id="rId2595" display="https://unfccc.int/reports?f%5B0%5D=corporate_author%3A206"/>
    <hyperlink ref="I3276" r:id="rId2596" display="https://unfccc.int/reports?f%5B0%5D=corporate_author%3A206"/>
    <hyperlink ref="I3277" r:id="rId2597" display="https://unfccc.int/reports?f%5B0%5D=corporate_author%3A206"/>
    <hyperlink ref="I3278" r:id="rId2598" display="https://unfccc.int/reports?f%5B0%5D=corporate_author%3A206"/>
    <hyperlink ref="I3279" r:id="rId2599" display="https://unfccc.int/reports?f%5B0%5D=corporate_author%3A206"/>
    <hyperlink ref="I3280" r:id="rId2600" display="https://unfccc.int/reports?f%5B0%5D=corporate_author%3A206"/>
    <hyperlink ref="I3281" r:id="rId2601" display="https://unfccc.int/reports?f%5B0%5D=corporate_author%3A206"/>
    <hyperlink ref="I3282" r:id="rId2602" display="https://unfccc.int/reports?f%5B0%5D=corporate_author%3A206"/>
    <hyperlink ref="I3283" r:id="rId2603" display="https://unfccc.int/reports?f%5B0%5D=corporate_author%3A206"/>
    <hyperlink ref="I3284" r:id="rId2604" display="https://unfccc.int/reports?f%5B0%5D=corporate_author%3A206"/>
    <hyperlink ref="I3285" r:id="rId2605" display="https://unfccc.int/reports?f%5B0%5D=corporate_author%3A206"/>
    <hyperlink ref="I3286" r:id="rId2606" display="https://unfccc.int/reports?f%5B0%5D=corporate_author%3A206"/>
    <hyperlink ref="I3287" r:id="rId2607" display="https://unfccc.int/reports?f%5B0%5D=corporate_author%3A206"/>
    <hyperlink ref="I3288" r:id="rId2608" display="https://unfccc.int/reports?f%5B0%5D=corporate_author%3A206"/>
    <hyperlink ref="I3289" r:id="rId2609" display="https://unfccc.int/reports?f%5B0%5D=corporate_author%3A206"/>
    <hyperlink ref="I3290" r:id="rId2610" display="https://unfccc.int/reports?f%5B0%5D=corporate_author%3A206"/>
    <hyperlink ref="I3291" r:id="rId2611" display="https://unfccc.int/reports?f%5B0%5D=corporate_author%3A206"/>
    <hyperlink ref="I3292" r:id="rId2612" display="https://unfccc.int/reports?f%5B0%5D=corporate_author%3A206"/>
    <hyperlink ref="I3293" r:id="rId2613" display="https://unfccc.int/reports?f%5B0%5D=corporate_author%3A206"/>
    <hyperlink ref="I3294" r:id="rId2614" display="https://unfccc.int/reports?f%5B0%5D=corporate_author%3A206"/>
    <hyperlink ref="I3295" r:id="rId2615" display="https://unfccc.int/reports?f%5B0%5D=corporate_author%3A206"/>
    <hyperlink ref="I3296" r:id="rId2616" display="https://unfccc.int/reports?f%5B0%5D=corporate_author%3A206"/>
    <hyperlink ref="I3297" r:id="rId2617" display="https://unfccc.int/reports?f%5B0%5D=corporate_author%3A206"/>
    <hyperlink ref="I3298" r:id="rId2618" display="https://unfccc.int/reports?f%5B0%5D=corporate_author%3A206"/>
    <hyperlink ref="I3299" r:id="rId2619" display="https://unfccc.int/reports?f%5B0%5D=corporate_author%3A206"/>
    <hyperlink ref="I3300" r:id="rId2620" display="https://unfccc.int/reports?f%5B0%5D=corporate_author%3A206"/>
    <hyperlink ref="I3301" r:id="rId2621" display="https://unfccc.int/reports?f%5B0%5D=corporate_author%3A206"/>
    <hyperlink ref="I3302" r:id="rId2622" display="https://unfccc.int/reports?f%5B0%5D=corporate_author%3A206"/>
    <hyperlink ref="I3303" r:id="rId2623" display="https://unfccc.int/reports?f%5B0%5D=corporate_author%3A206"/>
    <hyperlink ref="I3304" r:id="rId2624" display="https://unfccc.int/reports?f%5B0%5D=corporate_author%3A206"/>
    <hyperlink ref="I3305" r:id="rId2625" display="https://unfccc.int/reports?f%5B0%5D=corporate_author%3A206"/>
    <hyperlink ref="I3306" r:id="rId2626" display="https://unfccc.int/reports?f%5B0%5D=corporate_author%3A206"/>
    <hyperlink ref="I3325" r:id="rId2627" display="https://unfccc.int/reports?f%5B0%5D=corporate_author%3A206"/>
    <hyperlink ref="I3326" r:id="rId2628" display="https://unfccc.int/reports?f%5B0%5D=corporate_author%3A206"/>
    <hyperlink ref="I3327" r:id="rId2629" display="https://unfccc.int/reports?f%5B0%5D=corporate_author%3A206"/>
    <hyperlink ref="I3328" r:id="rId2630" display="https://unfccc.int/reports?f%5B0%5D=corporate_author%3A206"/>
    <hyperlink ref="I3329" r:id="rId2631" display="https://unfccc.int/reports?f%5B0%5D=corporate_author%3A206"/>
    <hyperlink ref="I3330" r:id="rId2632" display="https://unfccc.int/reports?f%5B0%5D=corporate_author%3A206"/>
    <hyperlink ref="I3331" r:id="rId2633" display="https://unfccc.int/reports?f%5B0%5D=corporate_author%3A206"/>
    <hyperlink ref="I3332" r:id="rId2634" display="https://unfccc.int/reports?f%5B0%5D=corporate_author%3A206"/>
    <hyperlink ref="I3333" r:id="rId2635" display="https://unfccc.int/reports?f%5B0%5D=corporate_author%3A206"/>
    <hyperlink ref="I3334" r:id="rId2636" display="https://unfccc.int/reports?f%5B0%5D=corporate_author%3A206"/>
    <hyperlink ref="I3335" r:id="rId2637" display="https://unfccc.int/reports?f%5B0%5D=corporate_author%3A206"/>
    <hyperlink ref="I3336" r:id="rId2638" display="https://unfccc.int/reports?f%5B0%5D=corporate_author%3A206"/>
    <hyperlink ref="I3337" r:id="rId2639" display="https://unfccc.int/reports?f%5B0%5D=corporate_author%3A206"/>
    <hyperlink ref="I3338" r:id="rId2640" display="https://unfccc.int/reports?f%5B0%5D=corporate_author%3A206"/>
    <hyperlink ref="I3339" r:id="rId2641" display="https://unfccc.int/reports?f%5B0%5D=corporate_author%3A206"/>
    <hyperlink ref="I3340" r:id="rId2642" display="https://unfccc.int/reports?f%5B0%5D=corporate_author%3A206"/>
    <hyperlink ref="I3341" r:id="rId2643" display="https://unfccc.int/reports?f%5B0%5D=corporate_author%3A206"/>
    <hyperlink ref="I3342" r:id="rId2644" display="https://unfccc.int/reports?f%5B0%5D=corporate_author%3A206"/>
    <hyperlink ref="I3343" r:id="rId2645" display="https://unfccc.int/reports?f%5B0%5D=corporate_author%3A206"/>
    <hyperlink ref="I3344" r:id="rId2646" display="https://unfccc.int/reports?f%5B0%5D=corporate_author%3A206"/>
    <hyperlink ref="I3345" r:id="rId2647" display="https://unfccc.int/reports?f%5B0%5D=corporate_author%3A206"/>
    <hyperlink ref="I3346" r:id="rId2648" display="https://unfccc.int/reports?f%5B0%5D=corporate_author%3A206"/>
    <hyperlink ref="I3347" r:id="rId2649" display="https://unfccc.int/reports?f%5B0%5D=corporate_author%3A206"/>
    <hyperlink ref="I3348" r:id="rId2650" display="https://unfccc.int/reports?f%5B0%5D=corporate_author%3A206"/>
    <hyperlink ref="I3349" r:id="rId2651" display="https://unfccc.int/reports?f%5B0%5D=corporate_author%3A206"/>
    <hyperlink ref="I3350" r:id="rId2652" display="https://unfccc.int/reports?f%5B0%5D=corporate_author%3A206"/>
    <hyperlink ref="I3351" r:id="rId2653" display="https://unfccc.int/reports?f%5B0%5D=corporate_author%3A206"/>
    <hyperlink ref="I3352" r:id="rId2654" display="https://unfccc.int/reports?f%5B0%5D=corporate_author%3A206"/>
    <hyperlink ref="I3353" r:id="rId2655" display="https://unfccc.int/reports?f%5B0%5D=corporate_author%3A206"/>
    <hyperlink ref="I3354" r:id="rId2656" display="https://unfccc.int/reports?f%5B0%5D=corporate_author%3A206"/>
    <hyperlink ref="I3355" r:id="rId2657" display="https://unfccc.int/reports?f%5B0%5D=corporate_author%3A206"/>
    <hyperlink ref="I3356" r:id="rId2658" display="https://unfccc.int/reports?f%5B0%5D=corporate_author%3A206"/>
    <hyperlink ref="I3357" r:id="rId2659" display="https://unfccc.int/reports?f%5B0%5D=corporate_author%3A206"/>
    <hyperlink ref="I3358" r:id="rId2660" display="https://unfccc.int/reports?f%5B0%5D=corporate_author%3A206"/>
    <hyperlink ref="I3359" r:id="rId2661" display="https://unfccc.int/reports?f%5B0%5D=corporate_author%3A206"/>
    <hyperlink ref="I3360" r:id="rId2662" display="https://unfccc.int/reports?f%5B0%5D=corporate_author%3A206"/>
    <hyperlink ref="I3361" r:id="rId2663" display="https://unfccc.int/reports?f%5B0%5D=corporate_author%3A206"/>
    <hyperlink ref="I3362" r:id="rId2664" display="https://unfccc.int/reports?f%5B0%5D=corporate_author%3A206"/>
    <hyperlink ref="I3363" r:id="rId2665" display="https://unfccc.int/reports?f%5B0%5D=corporate_author%3A206"/>
    <hyperlink ref="I3364" r:id="rId2666" display="https://unfccc.int/reports?f%5B0%5D=corporate_author%3A206"/>
    <hyperlink ref="I3365" r:id="rId2667" display="https://unfccc.int/reports?f%5B0%5D=corporate_author%3A206"/>
    <hyperlink ref="I3366" r:id="rId2668" display="https://unfccc.int/reports?f%5B0%5D=corporate_author%3A206"/>
    <hyperlink ref="I3367" r:id="rId2669" display="https://unfccc.int/reports?f%5B0%5D=corporate_author%3A206"/>
    <hyperlink ref="I3368" r:id="rId2670" display="https://unfccc.int/reports?f%5B0%5D=corporate_author%3A206"/>
    <hyperlink ref="I3369" r:id="rId2671" display="https://unfccc.int/reports?f%5B0%5D=corporate_author%3A206"/>
    <hyperlink ref="I3370" r:id="rId2672" display="https://unfccc.int/reports?f%5B0%5D=corporate_author%3A206"/>
    <hyperlink ref="I3371" r:id="rId2673" display="https://unfccc.int/reports?f%5B0%5D=corporate_author%3A206"/>
    <hyperlink ref="I3372" r:id="rId2674" display="https://unfccc.int/reports?f%5B0%5D=corporate_author%3A206"/>
    <hyperlink ref="I3391" r:id="rId2675" display="https://unfccc.int/reports?f%5B0%5D=corporate_author%3A206"/>
    <hyperlink ref="I3392" r:id="rId2676" display="https://unfccc.int/reports?f%5B0%5D=corporate_author%3A206"/>
    <hyperlink ref="I3393" r:id="rId2677" display="https://unfccc.int/reports?f%5B0%5D=corporate_author%3A206"/>
    <hyperlink ref="I3394" r:id="rId2678" display="https://unfccc.int/reports?f%5B0%5D=corporate_author%3A206"/>
    <hyperlink ref="I3395" r:id="rId2679" display="https://unfccc.int/reports?f%5B0%5D=corporate_author%3A206"/>
    <hyperlink ref="I3396" r:id="rId2680" display="https://unfccc.int/reports?f%5B0%5D=corporate_author%3A206"/>
    <hyperlink ref="I3397" r:id="rId2681" display="https://unfccc.int/reports?f%5B0%5D=corporate_author%3A206"/>
    <hyperlink ref="I3398" r:id="rId2682" display="https://unfccc.int/reports?f%5B0%5D=corporate_author%3A206"/>
    <hyperlink ref="I3399" r:id="rId2683" display="https://unfccc.int/reports?f%5B0%5D=corporate_author%3A206"/>
    <hyperlink ref="I3400" r:id="rId2684" display="https://unfccc.int/reports?f%5B0%5D=corporate_author%3A206"/>
    <hyperlink ref="I3401" r:id="rId2685" display="https://unfccc.int/reports?f%5B0%5D=corporate_author%3A206"/>
    <hyperlink ref="I3402" r:id="rId2686" display="https://unfccc.int/reports?f%5B0%5D=corporate_author%3A206"/>
    <hyperlink ref="I3403" r:id="rId2687" display="https://unfccc.int/reports?f%5B0%5D=corporate_author%3A206"/>
    <hyperlink ref="I3404" r:id="rId2688" display="https://unfccc.int/reports?f%5B0%5D=corporate_author%3A206"/>
    <hyperlink ref="I3405" r:id="rId2689" display="https://unfccc.int/reports?f%5B0%5D=corporate_author%3A206"/>
    <hyperlink ref="I3406" r:id="rId2690" display="https://mem.gob.gt/que-hacemos/area-energetica/publicaciones/estadisticas/balance-energetico/"/>
    <hyperlink ref="I3410" r:id="rId2691" display="https://www.ipcc.ch/report/ar5/syr/"/>
    <hyperlink ref="I3411" r:id="rId2692" display="https://www.ipcc.ch/report/ar5/syr/"/>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69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38.71"/>
    <col collapsed="false" customWidth="true" hidden="false" outlineLevel="0" max="3" min="2" style="1" width="20.71"/>
    <col collapsed="false" customWidth="true" hidden="false" outlineLevel="0" max="4" min="4" style="1" width="14.71"/>
    <col collapsed="false" customWidth="true" hidden="false" outlineLevel="0" max="5" min="5" style="1" width="50.71"/>
    <col collapsed="false" customWidth="true" hidden="false" outlineLevel="0" max="6" min="6" style="1" width="30.71"/>
  </cols>
  <sheetData>
    <row r="1" customFormat="false" ht="19.7" hidden="false" customHeight="false" outlineLevel="0" collapsed="false">
      <c r="A1" s="2" t="s">
        <v>5627</v>
      </c>
      <c r="B1" s="2"/>
      <c r="C1" s="2"/>
      <c r="D1" s="2"/>
      <c r="E1" s="2"/>
      <c r="F1" s="2"/>
    </row>
    <row r="3" customFormat="false" ht="15" hidden="false" customHeight="false" outlineLevel="0" collapsed="false">
      <c r="A3" s="5" t="s">
        <v>5628</v>
      </c>
      <c r="B3" s="5" t="s">
        <v>5629</v>
      </c>
      <c r="C3" s="5" t="s">
        <v>5630</v>
      </c>
      <c r="D3" s="5" t="s">
        <v>5631</v>
      </c>
      <c r="E3" s="5" t="s">
        <v>5632</v>
      </c>
      <c r="F3" s="5" t="s">
        <v>5633</v>
      </c>
    </row>
    <row r="4" customFormat="false" ht="15" hidden="false" customHeight="false" outlineLevel="0" collapsed="false">
      <c r="A4" s="4" t="s">
        <v>5545</v>
      </c>
      <c r="B4" s="14">
        <f>INDEX(DATOS_MODELO!$AH$2:$AH$3672,MATCH($A4,DATOS_MODELO!$AG$2:$AG$3672,0))</f>
        <v>5.81</v>
      </c>
      <c r="C4" s="4" t="s">
        <v>5546</v>
      </c>
      <c r="D4" s="4" t="s">
        <v>5634</v>
      </c>
      <c r="E4" s="4" t="s">
        <v>5635</v>
      </c>
      <c r="F4" s="8" t="str">
        <f>INDEX(DATOS_MODELO!$H$2:$H$3672,MATCH($A4,DATOS_MODELO!$AG$2:$AG$3672,0))</f>
        <v>Balance energético nacional</v>
      </c>
    </row>
    <row r="5" customFormat="false" ht="15" hidden="false" customHeight="false" outlineLevel="0" collapsed="false">
      <c r="A5" s="4" t="s">
        <v>5548</v>
      </c>
      <c r="B5" s="14">
        <f>INDEX(DATOS_MODELO!$AH$2:$AH$3672,MATCH($A5,DATOS_MODELO!$AG$2:$AG$3672,0))</f>
        <v>0.005</v>
      </c>
      <c r="C5" s="4" t="s">
        <v>173</v>
      </c>
      <c r="D5" s="4" t="s">
        <v>5634</v>
      </c>
      <c r="E5" s="4" t="s">
        <v>5636</v>
      </c>
      <c r="F5" s="8" t="str">
        <f>INDEX(DATOS_MODELO!$H$2:$H$3672,MATCH($A5,DATOS_MODELO!$AG$2:$AG$3672,0))</f>
        <v>Criterio de redondeo del balance</v>
      </c>
    </row>
    <row r="6" customFormat="false" ht="15" hidden="false" customHeight="false" outlineLevel="0" collapsed="false">
      <c r="A6" s="4" t="s">
        <v>5637</v>
      </c>
      <c r="B6" s="14" t="n">
        <f aca="false">B4*B5</f>
        <v>0.02905</v>
      </c>
      <c r="C6" s="4" t="s">
        <v>55</v>
      </c>
      <c r="D6" s="4" t="s">
        <v>5638</v>
      </c>
      <c r="E6" s="4" t="s">
        <v>5639</v>
      </c>
      <c r="F6" s="8" t="s">
        <v>5640</v>
      </c>
    </row>
    <row r="7" customFormat="false" ht="23.85" hidden="false" customHeight="false" outlineLevel="0" collapsed="false">
      <c r="A7" s="4" t="s">
        <v>5551</v>
      </c>
      <c r="B7" s="14">
        <f>INDEX(DATOS_MODELO!$AH$2:$AH$3672,MATCH($A7,DATOS_MODELO!$AG$2:$AG$3672,0))</f>
        <v>1e-08</v>
      </c>
      <c r="C7" s="4" t="s">
        <v>55</v>
      </c>
      <c r="D7" s="4" t="s">
        <v>5569</v>
      </c>
      <c r="E7" s="4" t="s">
        <v>5641</v>
      </c>
      <c r="F7" s="8" t="str">
        <f>INDEX(DATOS_MODELO!$H$2:$H$3672,MATCH($A7,DATOS_MODELO!$AG$2:$AG$3672,0))</f>
        <v>Criterios metodológicos del producto</v>
      </c>
    </row>
    <row r="8" customFormat="false" ht="15" hidden="false" customHeight="false" outlineLevel="0" collapsed="false">
      <c r="A8" s="4" t="s">
        <v>5554</v>
      </c>
      <c r="B8" s="14">
        <f>INDEX(DATOS_MODELO!$AH$2:$AH$3672,MATCH($A8,DATOS_MODELO!$AG$2:$AG$3672,0))</f>
        <v>1000000.0</v>
      </c>
      <c r="C8" s="4" t="s">
        <v>5557</v>
      </c>
      <c r="D8" s="4" t="s">
        <v>5634</v>
      </c>
      <c r="E8" s="4" t="s">
        <v>5642</v>
      </c>
      <c r="F8" s="8" t="str">
        <f>INDEX(DATOS_MODELO!$H$2:$H$3672,MATCH($A8,DATOS_MODELO!$AG$2:$AG$3672,0))</f>
        <v>Conversión de unidades de masa</v>
      </c>
    </row>
    <row r="9" customFormat="false" ht="23.85" hidden="false" customHeight="false" outlineLevel="0" collapsed="false">
      <c r="A9" s="4" t="s">
        <v>5559</v>
      </c>
      <c r="B9" s="14">
        <f>INDEX(DATOS_MODELO!$AH$2:$AH$3672,MATCH($A9,DATOS_MODELO!$AG$2:$AG$3672,0))</f>
        <v>28.0</v>
      </c>
      <c r="C9" s="4" t="s">
        <v>5563</v>
      </c>
      <c r="D9" s="4" t="s">
        <v>5634</v>
      </c>
      <c r="E9" s="4" t="s">
        <v>5643</v>
      </c>
      <c r="F9" s="8" t="str">
        <f>INDEX(DATOS_MODELO!$H$2:$H$3672,MATCH($A9,DATOS_MODELO!$AG$2:$AG$3672,0))</f>
        <v>Quinto Informe de Evaluación del IPCC</v>
      </c>
    </row>
    <row r="10" customFormat="false" ht="23.85" hidden="false" customHeight="false" outlineLevel="0" collapsed="false">
      <c r="A10" s="4" t="s">
        <v>5565</v>
      </c>
      <c r="B10" s="14">
        <f>INDEX(DATOS_MODELO!$AH$2:$AH$3672,MATCH($A10,DATOS_MODELO!$AG$2:$AG$3672,0))</f>
        <v>265.0</v>
      </c>
      <c r="C10" s="4" t="s">
        <v>5566</v>
      </c>
      <c r="D10" s="4" t="s">
        <v>5634</v>
      </c>
      <c r="E10" s="4" t="s">
        <v>5644</v>
      </c>
      <c r="F10" s="8" t="str">
        <f>INDEX(DATOS_MODELO!$H$2:$H$3672,MATCH($A10,DATOS_MODELO!$AG$2:$AG$3672,0))</f>
        <v>Quinto Informe de Evaluación del IPCC</v>
      </c>
    </row>
    <row r="11" customFormat="false" ht="15" hidden="false" customHeight="false" outlineLevel="0" collapsed="false">
      <c r="A11" s="4" t="s">
        <v>5568</v>
      </c>
      <c r="B11" s="14">
        <f>INDEX(DATOS_MODELO!$AH$2:$AH$3672,MATCH($A11,DATOS_MODELO!$AG$2:$AG$3672,0))</f>
        <v>1e-06</v>
      </c>
      <c r="C11" s="4" t="s">
        <v>55</v>
      </c>
      <c r="D11" s="4" t="s">
        <v>5569</v>
      </c>
      <c r="E11" s="4" t="s">
        <v>5645</v>
      </c>
      <c r="F11" s="8" t="str">
        <f>INDEX(DATOS_MODELO!$H$2:$H$3672,MATCH($A11,DATOS_MODELO!$AG$2:$AG$3672,0))</f>
        <v>Tolerancia de verificación PSUT</v>
      </c>
    </row>
    <row r="12" customFormat="false" ht="23.85" hidden="false" customHeight="false" outlineLevel="0" collapsed="false">
      <c r="A12" s="4" t="s">
        <v>5572</v>
      </c>
      <c r="B12" s="14">
        <f>INDEX(DATOS_MODELO!$AH$2:$AH$3672,MATCH($A12,DATOS_MODELO!$AG$2:$AG$3672,0))</f>
        <v>1e-09</v>
      </c>
      <c r="C12" s="4" t="s">
        <v>5574</v>
      </c>
      <c r="D12" s="4" t="s">
        <v>5569</v>
      </c>
      <c r="E12" s="4" t="s">
        <v>5646</v>
      </c>
      <c r="F12" s="8" t="str">
        <f>INDEX(DATOS_MODELO!$H$2:$H$3672,MATCH($A12,DATOS_MODELO!$AG$2:$AG$3672,0))</f>
        <v>Tolerancia de verificación de emisiones</v>
      </c>
    </row>
    <row r="16" customFormat="false" ht="15" hidden="false" customHeight="false" outlineLevel="0" collapsed="false">
      <c r="A16" s="5" t="s">
        <v>5647</v>
      </c>
      <c r="B16" s="5" t="s">
        <v>5648</v>
      </c>
      <c r="C16" s="5" t="s">
        <v>5649</v>
      </c>
      <c r="D16" s="5" t="s">
        <v>133</v>
      </c>
      <c r="E16" s="5" t="s">
        <v>5633</v>
      </c>
    </row>
    <row r="17" customFormat="false" ht="15" hidden="false" customHeight="false" outlineLevel="0" collapsed="false">
      <c r="A17" s="12" t="n">
        <v>2018</v>
      </c>
      <c r="B17" s="14">
        <f>SUMIFS(DATOS_MODELO!$AE$2:$AE$3672,DATOS_MODELO!$A$2:$A$3672,"VAB_AGRICULTURA",DATOS_MODELO!$D$2:$D$3672,$A17)</f>
        <v>48754.1128178091</v>
      </c>
      <c r="C17" s="14" t="n">
        <f aca="false">B17/$B$21</f>
        <v>0.920640996012254</v>
      </c>
      <c r="D17" s="4" t="s">
        <v>169</v>
      </c>
      <c r="E17" s="4" t="s">
        <v>5650</v>
      </c>
    </row>
    <row r="18" customFormat="false" ht="15" hidden="false" customHeight="false" outlineLevel="0" collapsed="false">
      <c r="A18" s="12" t="n">
        <v>2019</v>
      </c>
      <c r="B18" s="14">
        <f>SUMIFS(DATOS_MODELO!$AE$2:$AE$3672,DATOS_MODELO!$A$2:$A$3672,"VAB_AGRICULTURA",DATOS_MODELO!$D$2:$D$3672,$A18)</f>
        <v>49582.3294644718</v>
      </c>
      <c r="C18" s="14" t="n">
        <f aca="false">B18/$B$21</f>
        <v>0.936280501162247</v>
      </c>
      <c r="D18" s="4" t="s">
        <v>169</v>
      </c>
      <c r="E18" s="4" t="s">
        <v>5650</v>
      </c>
    </row>
    <row r="19" customFormat="false" ht="15" hidden="false" customHeight="false" outlineLevel="0" collapsed="false">
      <c r="A19" s="12" t="n">
        <v>2020</v>
      </c>
      <c r="B19" s="14">
        <f>SUMIFS(DATOS_MODELO!$AE$2:$AE$3672,DATOS_MODELO!$A$2:$A$3672,"VAB_AGRICULTURA",DATOS_MODELO!$D$2:$D$3672,$A19)</f>
        <v>49537.7310621499</v>
      </c>
      <c r="C19" s="14" t="n">
        <f aca="false">B19/$B$21</f>
        <v>0.935438333903711</v>
      </c>
      <c r="D19" s="4" t="s">
        <v>169</v>
      </c>
      <c r="E19" s="4" t="s">
        <v>5650</v>
      </c>
    </row>
    <row r="20" customFormat="false" ht="15" hidden="false" customHeight="false" outlineLevel="0" collapsed="false">
      <c r="A20" s="12" t="n">
        <v>2021</v>
      </c>
      <c r="B20" s="14">
        <f>SUMIFS(DATOS_MODELO!$AE$2:$AE$3672,DATOS_MODELO!$A$2:$A$3672,"VAB_AGRICULTURA",DATOS_MODELO!$D$2:$D$3672,$A20)</f>
        <v>51644.165941356</v>
      </c>
      <c r="C20" s="14" t="n">
        <f aca="false">B20/$B$21</f>
        <v>0.975214881832583</v>
      </c>
      <c r="D20" s="4" t="s">
        <v>169</v>
      </c>
      <c r="E20" s="4" t="s">
        <v>5650</v>
      </c>
    </row>
    <row r="21" customFormat="false" ht="15" hidden="false" customHeight="false" outlineLevel="0" collapsed="false">
      <c r="A21" s="12" t="n">
        <v>2022</v>
      </c>
      <c r="B21" s="14">
        <f>SUMIFS(DATOS_MODELO!$AE$2:$AE$3672,DATOS_MODELO!$A$2:$A$3672,"VAB_AGRICULTURA",DATOS_MODELO!$D$2:$D$3672,$A21)</f>
        <v>52956.7041104915</v>
      </c>
      <c r="C21" s="14" t="n">
        <f aca="false">B21/$B$21</f>
        <v>1</v>
      </c>
      <c r="D21" s="4" t="s">
        <v>169</v>
      </c>
      <c r="E21" s="4" t="s">
        <v>5650</v>
      </c>
    </row>
    <row r="22" customFormat="false" ht="15" hidden="false" customHeight="false" outlineLevel="0" collapsed="false">
      <c r="A22" s="12" t="n">
        <v>2023</v>
      </c>
      <c r="B22" s="14">
        <f>SUMIFS(DATOS_MODELO!$AE$2:$AE$3672,DATOS_MODELO!$A$2:$A$3672,"VAB_AGRICULTURA",DATOS_MODELO!$D$2:$D$3672,$A22)</f>
        <v>53690.9655963475</v>
      </c>
      <c r="C22" s="14" t="n">
        <f aca="false">B22/$B$21</f>
        <v>1.01386531692614</v>
      </c>
      <c r="D22" s="4" t="s">
        <v>169</v>
      </c>
      <c r="E22" s="4" t="s">
        <v>5650</v>
      </c>
    </row>
    <row r="23" customFormat="false" ht="15" hidden="false" customHeight="false" outlineLevel="0" collapsed="false">
      <c r="A23" s="12" t="n">
        <v>2024</v>
      </c>
      <c r="B23" s="14">
        <f>SUMIFS(DATOS_MODELO!$AE$2:$AE$3672,DATOS_MODELO!$A$2:$A$3672,"VAB_AGRICULTURA",DATOS_MODELO!$D$2:$D$3672,$A23)</f>
        <v>53734.6603947955</v>
      </c>
      <c r="C23" s="14" t="n">
        <f aca="false">B23/$B$21</f>
        <v>1.0146904211161</v>
      </c>
      <c r="D23" s="4" t="s">
        <v>169</v>
      </c>
      <c r="E23" s="4" t="s">
        <v>5650</v>
      </c>
    </row>
    <row r="26" customFormat="false" ht="23.85" hidden="false" customHeight="false" outlineLevel="0" collapsed="false">
      <c r="A26" s="5" t="s">
        <v>5647</v>
      </c>
      <c r="B26" s="5" t="s">
        <v>5651</v>
      </c>
      <c r="C26" s="5" t="s">
        <v>5652</v>
      </c>
      <c r="D26" s="5" t="s">
        <v>133</v>
      </c>
      <c r="E26" s="5" t="s">
        <v>5633</v>
      </c>
    </row>
    <row r="27" customFormat="false" ht="15" hidden="false" customHeight="false" outlineLevel="0" collapsed="false">
      <c r="A27" s="12" t="n">
        <v>2018</v>
      </c>
      <c r="B27" s="14" t="n">
        <f aca="false">SUMIFS(PSUT_LARGA!$K$2:$K$618,PSUT_LARGA!$B$2:$B$618,$A27,PSUT_LARGA!$C$2:$C$618,"PETR",PSUT_LARGA!$E$2:$E$618,"Use",PSUT_LARGA!$I$2:$I$618,"TRANSFORMACION_REFINERIA")</f>
        <v>5767.2965</v>
      </c>
      <c r="C27" s="14">
        <f>SUMIFS(DATOS_MODELO!$U$2:$U$3672,DATOS_MODELO!$A$2:$A$3672,"ACTIVIDAD_REFINACION_OBS",DATOS_MODELO!$D$2:$D$3672,$A27)/B27</f>
        <v>0.360298399778822</v>
      </c>
      <c r="D27" s="4" t="s">
        <v>169</v>
      </c>
      <c r="E27" s="4" t="s">
        <v>5653</v>
      </c>
    </row>
    <row r="28" customFormat="false" ht="15" hidden="false" customHeight="false" outlineLevel="0" collapsed="false">
      <c r="A28" s="12" t="n">
        <v>2019</v>
      </c>
      <c r="B28" s="14" t="n">
        <f aca="false">SUMIFS(PSUT_LARGA!$K$2:$K$618,PSUT_LARGA!$B$2:$B$618,$A28,PSUT_LARGA!$C$2:$C$618,"PETR",PSUT_LARGA!$E$2:$E$618,"Use",PSUT_LARGA!$I$2:$I$618,"TRANSFORMACION_REFINERIA")</f>
        <v>5391.6219</v>
      </c>
      <c r="C28" s="14">
        <f>SUMIFS(DATOS_MODELO!$U$2:$U$3672,DATOS_MODELO!$A$2:$A$3672,"ACTIVIDAD_REFINACION_OBS",DATOS_MODELO!$D$2:$D$3672,$A28)/B28</f>
        <v>0.00139328376123704</v>
      </c>
      <c r="D28" s="4" t="s">
        <v>169</v>
      </c>
      <c r="E28" s="4" t="s">
        <v>5653</v>
      </c>
    </row>
    <row r="29" customFormat="false" ht="15" hidden="false" customHeight="false" outlineLevel="0" collapsed="false">
      <c r="A29" s="12" t="n">
        <v>2020</v>
      </c>
      <c r="B29" s="14" t="n">
        <f aca="false">SUMIFS(PSUT_LARGA!$K$2:$K$618,PSUT_LARGA!$B$2:$B$618,$A29,PSUT_LARGA!$C$2:$C$618,"PETR",PSUT_LARGA!$E$2:$E$618,"Use",PSUT_LARGA!$I$2:$I$618,"TRANSFORMACION_REFINERIA")</f>
        <v>4064.5598</v>
      </c>
      <c r="C29" s="14">
        <f>SUMIFS(DATOS_MODELO!$U$2:$U$3672,DATOS_MODELO!$A$2:$A$3672,"ACTIVIDAD_REFINACION_OBS",DATOS_MODELO!$D$2:$D$3672,$A29)/B29</f>
        <v>0.000537190487393001</v>
      </c>
      <c r="D29" s="4" t="s">
        <v>169</v>
      </c>
      <c r="E29" s="4" t="s">
        <v>5653</v>
      </c>
    </row>
    <row r="30" customFormat="false" ht="15" hidden="false" customHeight="false" outlineLevel="0" collapsed="false">
      <c r="A30" s="12" t="n">
        <v>2021</v>
      </c>
      <c r="B30" s="14" t="n">
        <f aca="false">SUMIFS(PSUT_LARGA!$K$2:$K$618,PSUT_LARGA!$B$2:$B$618,$A30,PSUT_LARGA!$C$2:$C$618,"PETR",PSUT_LARGA!$E$2:$E$618,"Use",PSUT_LARGA!$I$2:$I$618,"TRANSFORMACION_REFINERIA")</f>
        <v>4866.5722</v>
      </c>
      <c r="C30" s="14">
        <f>SUMIFS(DATOS_MODELO!$U$2:$U$3672,DATOS_MODELO!$A$2:$A$3672,"ACTIVIDAD_REFINACION_OBS",DATOS_MODELO!$D$2:$D$3672,$A30)/B30</f>
        <v>0.00113429475679001</v>
      </c>
      <c r="D30" s="4" t="s">
        <v>169</v>
      </c>
      <c r="E30" s="4" t="s">
        <v>5653</v>
      </c>
    </row>
    <row r="31" customFormat="false" ht="15" hidden="false" customHeight="false" outlineLevel="0" collapsed="false">
      <c r="A31" s="12" t="n">
        <v>2022</v>
      </c>
      <c r="B31" s="14" t="n">
        <f aca="false">SUMIFS(PSUT_LARGA!$K$2:$K$618,PSUT_LARGA!$B$2:$B$618,$A31,PSUT_LARGA!$C$2:$C$618,"PETR",PSUT_LARGA!$E$2:$E$618,"Use",PSUT_LARGA!$I$2:$I$618,"TRANSFORMACION_REFINERIA")</f>
        <v>5029.2522</v>
      </c>
      <c r="C31" s="14">
        <f>SUMIFS(DATOS_MODELO!$U$2:$U$3672,DATOS_MODELO!$A$2:$A$3672,"ACTIVIDAD_REFINACION_OBS",DATOS_MODELO!$D$2:$D$3672,$A31)/B31</f>
        <v>0.00477647962852211</v>
      </c>
      <c r="D31" s="4" t="s">
        <v>169</v>
      </c>
      <c r="E31" s="4" t="s">
        <v>5653</v>
      </c>
    </row>
    <row r="32" customFormat="false" ht="15" hidden="false" customHeight="false" outlineLevel="0" collapsed="false">
      <c r="A32" s="12" t="n">
        <v>2023</v>
      </c>
      <c r="B32" s="14" t="n">
        <f aca="false">SUMIFS(PSUT_LARGA!$K$2:$K$618,PSUT_LARGA!$B$2:$B$618,$A32,PSUT_LARGA!$C$2:$C$618,"PETR",PSUT_LARGA!$E$2:$E$618,"Use",PSUT_LARGA!$I$2:$I$618,"TRANSFORMACION_REFINERIA")</f>
        <v>4305.2681</v>
      </c>
      <c r="C32" s="14" t="n">
        <f aca="false">$C$31</f>
        <v>0.00477647962852211</v>
      </c>
      <c r="D32" s="4" t="s">
        <v>3894</v>
      </c>
      <c r="E32" s="4" t="s">
        <v>5654</v>
      </c>
    </row>
    <row r="33" customFormat="false" ht="15" hidden="false" customHeight="false" outlineLevel="0" collapsed="false">
      <c r="A33" s="12" t="n">
        <v>2024</v>
      </c>
      <c r="B33" s="14" t="n">
        <f aca="false">SUMIFS(PSUT_LARGA!$K$2:$K$618,PSUT_LARGA!$B$2:$B$618,$A33,PSUT_LARGA!$C$2:$C$618,"PETR",PSUT_LARGA!$E$2:$E$618,"Use",PSUT_LARGA!$I$2:$I$618,"TRANSFORMACION_REFINERIA")</f>
        <v>2930.0992</v>
      </c>
      <c r="C33" s="14" t="n">
        <f aca="false">$C$31</f>
        <v>0.00477647962852211</v>
      </c>
      <c r="D33" s="4" t="s">
        <v>3894</v>
      </c>
      <c r="E33" s="4" t="s">
        <v>5654</v>
      </c>
    </row>
  </sheetData>
  <mergeCells count="1">
    <mergeCell ref="A1:F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6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8.71"/>
    <col collapsed="false" customWidth="true" hidden="false" outlineLevel="0" max="2" min="2" style="1" width="9.71"/>
    <col collapsed="false" customWidth="true" hidden="false" outlineLevel="0" max="3" min="3" style="1" width="12.71"/>
    <col collapsed="false" customWidth="true" hidden="false" outlineLevel="0" max="4" min="4" style="1" width="24.71"/>
    <col collapsed="false" customWidth="true" hidden="false" outlineLevel="0" max="5" min="5" style="1" width="12.71"/>
    <col collapsed="false" customWidth="true" hidden="false" outlineLevel="0" max="6" min="6" style="1" width="10.71"/>
    <col collapsed="false" customWidth="true" hidden="false" outlineLevel="0" max="7" min="7" style="1" width="18.71"/>
    <col collapsed="false" customWidth="true" hidden="false" outlineLevel="0" max="8" min="8" style="1" width="20.71"/>
    <col collapsed="false" customWidth="true" hidden="false" outlineLevel="0" max="9" min="9" style="1" width="30.71"/>
    <col collapsed="false" customWidth="true" hidden="false" outlineLevel="0" max="10" min="10" style="1" width="22.71"/>
    <col collapsed="false" customWidth="true" hidden="false" outlineLevel="0" max="11" min="11" style="1" width="16.71"/>
    <col collapsed="false" customWidth="true" hidden="false" outlineLevel="0" max="12" min="12" style="1" width="22.71"/>
    <col collapsed="false" customWidth="true" hidden="false" outlineLevel="0" max="13" min="13" style="1" width="16.71"/>
  </cols>
  <sheetData>
    <row r="1" customFormat="false" ht="15" hidden="false" customHeight="false" outlineLevel="0" collapsed="false">
      <c r="A1" s="5" t="s">
        <v>5655</v>
      </c>
      <c r="B1" s="5" t="s">
        <v>131</v>
      </c>
      <c r="C1" s="5" t="s">
        <v>138</v>
      </c>
      <c r="D1" s="5" t="s">
        <v>140</v>
      </c>
      <c r="E1" s="5" t="s">
        <v>141</v>
      </c>
      <c r="F1" s="5" t="s">
        <v>142</v>
      </c>
      <c r="G1" s="5" t="s">
        <v>143</v>
      </c>
      <c r="H1" s="5" t="s">
        <v>137</v>
      </c>
      <c r="I1" s="5" t="s">
        <v>144</v>
      </c>
      <c r="J1" s="5" t="s">
        <v>145</v>
      </c>
      <c r="K1" s="5" t="s">
        <v>55</v>
      </c>
      <c r="L1" s="5" t="s">
        <v>5656</v>
      </c>
      <c r="M1" s="5" t="s">
        <v>5657</v>
      </c>
    </row>
    <row r="2" customFormat="false" ht="15" hidden="false" customHeight="false" outlineLevel="0" collapsed="false">
      <c r="A2" s="4" t="s">
        <v>1988</v>
      </c>
      <c r="B2" s="12" t="n">
        <v>2024</v>
      </c>
      <c r="C2" s="4" t="s">
        <v>91</v>
      </c>
      <c r="D2" s="4" t="s">
        <v>1993</v>
      </c>
      <c r="E2" s="4" t="s">
        <v>1994</v>
      </c>
      <c r="F2" s="4" t="s">
        <v>1995</v>
      </c>
      <c r="G2" s="4" t="s">
        <v>68</v>
      </c>
      <c r="H2" s="4" t="s">
        <v>1691</v>
      </c>
      <c r="I2" s="4" t="s">
        <v>1996</v>
      </c>
      <c r="J2" s="4" t="s">
        <v>1997</v>
      </c>
      <c r="K2" s="14">
        <f>IF(OR($I2="USO_NO_ENERGETICO_APARENTE",$I2="USO_ENERGETICO_INTERNO_APARENTE"),ROUND(SUMIFS($K$2:$K$618,$B$2:$B$618,$B2,$C$2:$C$618,$C2,$D$2:$D$618,"Energy products",$E$2:$E$618,"Supply",$G$2:$G$618,"&lt;&gt;STAT")-SUMIFS($K$2:$K$618,$B$2:$B$618,$B2,$C$2:$C$618,$C2,$D$2:$D$618,"Energy products",$E$2:$E$618,"Use",$G$2:$G$618,"&lt;&gt;STAT",$I$2:$I$618,"&lt;&gt;USO_NO_ENERGETICO_APARENTE",$I$2:$I$618,"&lt;&gt;USO_ENERGETICO_INTERNO_APARENTE"),10),IF(LEFT($H2,5)="STAT_",ROUND(SUMIFS($K$2:$K$618,$B$2:$B$618,$B2,$C$2:$C$618,$C2,$D$2:$D$618,"Energy products",$E$2:$E$618,"Supply",$G$2:$G$618,"&lt;&gt;STAT")-SUMIFS($K$2:$K$618,$B$2:$B$618,$B2,$C$2:$C$618,$C2,$D$2:$D$618,"Energy products",$E$2:$E$618,"Use",$G$2:$G$618,"&lt;&gt;STAT"),10),IF($J2="cambio de signo",-INDEX(DATOS_MODELO!$U$2:$U$3672,MATCH($H2,DATOS_MODELO!$B$2:$B$3672,0)),IF($J2="valor absoluto",ABS(INDEX(DATOS_MODELO!$U$2:$U$3672,MATCH($H2,DATOS_MODELO!$B$2:$B$3672,0))),INDEX(DATOS_MODELO!$U$2:$U$3672,MATCH($H2,DATOS_MODELO!$B$2:$B$3672,0))))))</f>
        <v>77138.789</v>
      </c>
      <c r="L2" s="8" t="str">
        <f aca="false">IF(LEFT($H2,5)&lt;&gt;"STAT_","",IF(ABS($K2)&lt;=COUNTIFS($B$2:$B$618,$B2,$C$2:$C$618,$C2,$D$2:$D$618,"Energy products",$G$2:$G$618,"&lt;&gt;STAT")*PARAMETROS!$B$6,"redondeo","residuo_estadistico"))</f>
        <v/>
      </c>
      <c r="M2" s="8" t="str">
        <f>IF(OR($I2="USO_NO_ENERGETICO_APARENTE",$I2="USO_ENERGETICO_INTERNO_APARENTE"),"CAL",IF(LEFT($H2,5)="STAT_","FORMULA",IF(COUNTIF(DATOS_MODELO!$B$2:$B$3672,$H2)=1,"OK","REVISAR")))</f>
        <v>OK</v>
      </c>
    </row>
    <row r="3" customFormat="false" ht="15" hidden="false" customHeight="false" outlineLevel="0" collapsed="false">
      <c r="A3" s="4" t="s">
        <v>1999</v>
      </c>
      <c r="B3" s="12" t="n">
        <v>2024</v>
      </c>
      <c r="C3" s="4" t="s">
        <v>91</v>
      </c>
      <c r="D3" s="4" t="s">
        <v>1993</v>
      </c>
      <c r="E3" s="4" t="s">
        <v>2001</v>
      </c>
      <c r="F3" s="4" t="s">
        <v>2002</v>
      </c>
      <c r="G3" s="4" t="s">
        <v>67</v>
      </c>
      <c r="H3" s="4" t="s">
        <v>1699</v>
      </c>
      <c r="I3" s="4" t="s">
        <v>2003</v>
      </c>
      <c r="J3" s="4" t="s">
        <v>2004</v>
      </c>
      <c r="K3" s="14">
        <f>IF(OR($I3="USO_NO_ENERGETICO_APARENTE",$I3="USO_ENERGETICO_INTERNO_APARENTE"),ROUND(SUMIFS($K$2:$K$618,$B$2:$B$618,$B3,$C$2:$C$618,$C3,$D$2:$D$618,"Energy products",$E$2:$E$618,"Supply",$G$2:$G$618,"&lt;&gt;STAT")-SUMIFS($K$2:$K$618,$B$2:$B$618,$B3,$C$2:$C$618,$C3,$D$2:$D$618,"Energy products",$E$2:$E$618,"Use",$G$2:$G$618,"&lt;&gt;STAT",$I$2:$I$618,"&lt;&gt;USO_NO_ENERGETICO_APARENTE",$I$2:$I$618,"&lt;&gt;USO_ENERGETICO_INTERNO_APARENTE"),10),IF(LEFT($H3,5)="STAT_",ROUND(SUMIFS($K$2:$K$618,$B$2:$B$618,$B3,$C$2:$C$618,$C3,$D$2:$D$618,"Energy products",$E$2:$E$618,"Supply",$G$2:$G$618,"&lt;&gt;STAT")-SUMIFS($K$2:$K$618,$B$2:$B$618,$B3,$C$2:$C$618,$C3,$D$2:$D$618,"Energy products",$E$2:$E$618,"Use",$G$2:$G$618,"&lt;&gt;STAT"),10),IF($J3="cambio de signo",-INDEX(DATOS_MODELO!$U$2:$U$3672,MATCH($H3,DATOS_MODELO!$B$2:$B$3672,0)),IF($J3="valor absoluto",ABS(INDEX(DATOS_MODELO!$U$2:$U$3672,MATCH($H3,DATOS_MODELO!$B$2:$B$3672,0))),INDEX(DATOS_MODELO!$U$2:$U$3672,MATCH($H3,DATOS_MODELO!$B$2:$B$3672,0))))))</f>
        <v>49781.0096</v>
      </c>
      <c r="L3" s="8" t="str">
        <f aca="false">IF(LEFT($H3,5)&lt;&gt;"STAT_","",IF(ABS($K3)&lt;=COUNTIFS($B$2:$B$618,$B3,$C$2:$C$618,$C3,$D$2:$D$618,"Energy products",$G$2:$G$618,"&lt;&gt;STAT")*PARAMETROS!$B$6,"redondeo","residuo_estadistico"))</f>
        <v/>
      </c>
      <c r="M3" s="8" t="str">
        <f>IF(OR($I3="USO_NO_ENERGETICO_APARENTE",$I3="USO_ENERGETICO_INTERNO_APARENTE"),"CAL",IF(LEFT($H3,5)="STAT_","FORMULA",IF(COUNTIF(DATOS_MODELO!$B$2:$B$3672,$H3)=1,"OK","REVISAR")))</f>
        <v>OK</v>
      </c>
    </row>
    <row r="4" customFormat="false" ht="15" hidden="false" customHeight="false" outlineLevel="0" collapsed="false">
      <c r="A4" s="4" t="s">
        <v>2006</v>
      </c>
      <c r="B4" s="12" t="n">
        <v>2024</v>
      </c>
      <c r="C4" s="4" t="s">
        <v>91</v>
      </c>
      <c r="D4" s="4" t="s">
        <v>1993</v>
      </c>
      <c r="E4" s="4" t="s">
        <v>2001</v>
      </c>
      <c r="F4" s="4" t="s">
        <v>2002</v>
      </c>
      <c r="G4" s="4" t="s">
        <v>67</v>
      </c>
      <c r="H4" s="4" t="s">
        <v>1701</v>
      </c>
      <c r="I4" s="4" t="s">
        <v>2008</v>
      </c>
      <c r="J4" s="4" t="s">
        <v>2004</v>
      </c>
      <c r="K4" s="14">
        <f>IF(OR($I4="USO_NO_ENERGETICO_APARENTE",$I4="USO_ENERGETICO_INTERNO_APARENTE"),ROUND(SUMIFS($K$2:$K$618,$B$2:$B$618,$B4,$C$2:$C$618,$C4,$D$2:$D$618,"Energy products",$E$2:$E$618,"Supply",$G$2:$G$618,"&lt;&gt;STAT")-SUMIFS($K$2:$K$618,$B$2:$B$618,$B4,$C$2:$C$618,$C4,$D$2:$D$618,"Energy products",$E$2:$E$618,"Use",$G$2:$G$618,"&lt;&gt;STAT",$I$2:$I$618,"&lt;&gt;USO_NO_ENERGETICO_APARENTE",$I$2:$I$618,"&lt;&gt;USO_ENERGETICO_INTERNO_APARENTE"),10),IF(LEFT($H4,5)="STAT_",ROUND(SUMIFS($K$2:$K$618,$B$2:$B$618,$B4,$C$2:$C$618,$C4,$D$2:$D$618,"Energy products",$E$2:$E$618,"Supply",$G$2:$G$618,"&lt;&gt;STAT")-SUMIFS($K$2:$K$618,$B$2:$B$618,$B4,$C$2:$C$618,$C4,$D$2:$D$618,"Energy products",$E$2:$E$618,"Use",$G$2:$G$618,"&lt;&gt;STAT"),10),IF($J4="cambio de signo",-INDEX(DATOS_MODELO!$U$2:$U$3672,MATCH($H4,DATOS_MODELO!$B$2:$B$3672,0)),IF($J4="valor absoluto",ABS(INDEX(DATOS_MODELO!$U$2:$U$3672,MATCH($H4,DATOS_MODELO!$B$2:$B$3672,0))),INDEX(DATOS_MODELO!$U$2:$U$3672,MATCH($H4,DATOS_MODELO!$B$2:$B$3672,0))))))</f>
        <v>27357.7794</v>
      </c>
      <c r="L4" s="8" t="str">
        <f aca="false">IF(LEFT($H4,5)&lt;&gt;"STAT_","",IF(ABS($K4)&lt;=COUNTIFS($B$2:$B$618,$B4,$C$2:$C$618,$C4,$D$2:$D$618,"Energy products",$G$2:$G$618,"&lt;&gt;STAT")*PARAMETROS!$B$6,"redondeo","residuo_estadistico"))</f>
        <v/>
      </c>
      <c r="M4" s="8" t="str">
        <f>IF(OR($I4="USO_NO_ENERGETICO_APARENTE",$I4="USO_ENERGETICO_INTERNO_APARENTE"),"CAL",IF(LEFT($H4,5)="STAT_","FORMULA",IF(COUNTIF(DATOS_MODELO!$B$2:$B$3672,$H4)=1,"OK","REVISAR")))</f>
        <v>OK</v>
      </c>
    </row>
    <row r="5" customFormat="false" ht="15" hidden="false" customHeight="false" outlineLevel="0" collapsed="false">
      <c r="A5" s="4" t="s">
        <v>2010</v>
      </c>
      <c r="B5" s="12" t="n">
        <v>2024</v>
      </c>
      <c r="C5" s="4" t="s">
        <v>93</v>
      </c>
      <c r="D5" s="4" t="s">
        <v>1993</v>
      </c>
      <c r="E5" s="4" t="s">
        <v>1994</v>
      </c>
      <c r="F5" s="4" t="s">
        <v>1995</v>
      </c>
      <c r="G5" s="4" t="s">
        <v>67</v>
      </c>
      <c r="H5" s="4" t="s">
        <v>1715</v>
      </c>
      <c r="I5" s="4" t="s">
        <v>2012</v>
      </c>
      <c r="J5" s="4" t="s">
        <v>1997</v>
      </c>
      <c r="K5" s="14">
        <f>IF(OR($I5="USO_NO_ENERGETICO_APARENTE",$I5="USO_ENERGETICO_INTERNO_APARENTE"),ROUND(SUMIFS($K$2:$K$618,$B$2:$B$618,$B5,$C$2:$C$618,$C5,$D$2:$D$618,"Energy products",$E$2:$E$618,"Supply",$G$2:$G$618,"&lt;&gt;STAT")-SUMIFS($K$2:$K$618,$B$2:$B$618,$B5,$C$2:$C$618,$C5,$D$2:$D$618,"Energy products",$E$2:$E$618,"Use",$G$2:$G$618,"&lt;&gt;STAT",$I$2:$I$618,"&lt;&gt;USO_NO_ENERGETICO_APARENTE",$I$2:$I$618,"&lt;&gt;USO_ENERGETICO_INTERNO_APARENTE"),10),IF(LEFT($H5,5)="STAT_",ROUND(SUMIFS($K$2:$K$618,$B$2:$B$618,$B5,$C$2:$C$618,$C5,$D$2:$D$618,"Energy products",$E$2:$E$618,"Supply",$G$2:$G$618,"&lt;&gt;STAT")-SUMIFS($K$2:$K$618,$B$2:$B$618,$B5,$C$2:$C$618,$C5,$D$2:$D$618,"Energy products",$E$2:$E$618,"Use",$G$2:$G$618,"&lt;&gt;STAT"),10),IF($J5="cambio de signo",-INDEX(DATOS_MODELO!$U$2:$U$3672,MATCH($H5,DATOS_MODELO!$B$2:$B$3672,0)),IF($J5="valor absoluto",ABS(INDEX(DATOS_MODELO!$U$2:$U$3672,MATCH($H5,DATOS_MODELO!$B$2:$B$3672,0))),INDEX(DATOS_MODELO!$U$2:$U$3672,MATCH($H5,DATOS_MODELO!$B$2:$B$3672,0))))))</f>
        <v>355.9206</v>
      </c>
      <c r="L5" s="8" t="str">
        <f aca="false">IF(LEFT($H5,5)&lt;&gt;"STAT_","",IF(ABS($K5)&lt;=COUNTIFS($B$2:$B$618,$B5,$C$2:$C$618,$C5,$D$2:$D$618,"Energy products",$G$2:$G$618,"&lt;&gt;STAT")*PARAMETROS!$B$6,"redondeo","residuo_estadistico"))</f>
        <v/>
      </c>
      <c r="M5" s="8" t="str">
        <f>IF(OR($I5="USO_NO_ENERGETICO_APARENTE",$I5="USO_ENERGETICO_INTERNO_APARENTE"),"CAL",IF(LEFT($H5,5)="STAT_","FORMULA",IF(COUNTIF(DATOS_MODELO!$B$2:$B$3672,$H5)=1,"OK","REVISAR")))</f>
        <v>OK</v>
      </c>
    </row>
    <row r="6" customFormat="false" ht="15" hidden="false" customHeight="false" outlineLevel="0" collapsed="false">
      <c r="A6" s="4" t="s">
        <v>2014</v>
      </c>
      <c r="B6" s="12" t="n">
        <v>2024</v>
      </c>
      <c r="C6" s="4" t="s">
        <v>93</v>
      </c>
      <c r="D6" s="4" t="s">
        <v>1993</v>
      </c>
      <c r="E6" s="4" t="s">
        <v>2001</v>
      </c>
      <c r="F6" s="4" t="s">
        <v>2002</v>
      </c>
      <c r="G6" s="4" t="s">
        <v>67</v>
      </c>
      <c r="H6" s="4" t="s">
        <v>1721</v>
      </c>
      <c r="I6" s="4" t="s">
        <v>2003</v>
      </c>
      <c r="J6" s="4" t="s">
        <v>2004</v>
      </c>
      <c r="K6" s="14">
        <f>IF(OR($I6="USO_NO_ENERGETICO_APARENTE",$I6="USO_ENERGETICO_INTERNO_APARENTE"),ROUND(SUMIFS($K$2:$K$618,$B$2:$B$618,$B6,$C$2:$C$618,$C6,$D$2:$D$618,"Energy products",$E$2:$E$618,"Supply",$G$2:$G$618,"&lt;&gt;STAT")-SUMIFS($K$2:$K$618,$B$2:$B$618,$B6,$C$2:$C$618,$C6,$D$2:$D$618,"Energy products",$E$2:$E$618,"Use",$G$2:$G$618,"&lt;&gt;STAT",$I$2:$I$618,"&lt;&gt;USO_NO_ENERGETICO_APARENTE",$I$2:$I$618,"&lt;&gt;USO_ENERGETICO_INTERNO_APARENTE"),10),IF(LEFT($H6,5)="STAT_",ROUND(SUMIFS($K$2:$K$618,$B$2:$B$618,$B6,$C$2:$C$618,$C6,$D$2:$D$618,"Energy products",$E$2:$E$618,"Supply",$G$2:$G$618,"&lt;&gt;STAT")-SUMIFS($K$2:$K$618,$B$2:$B$618,$B6,$C$2:$C$618,$C6,$D$2:$D$618,"Energy products",$E$2:$E$618,"Use",$G$2:$G$618,"&lt;&gt;STAT"),10),IF($J6="cambio de signo",-INDEX(DATOS_MODELO!$U$2:$U$3672,MATCH($H6,DATOS_MODELO!$B$2:$B$3672,0)),IF($J6="valor absoluto",ABS(INDEX(DATOS_MODELO!$U$2:$U$3672,MATCH($H6,DATOS_MODELO!$B$2:$B$3672,0))),INDEX(DATOS_MODELO!$U$2:$U$3672,MATCH($H6,DATOS_MODELO!$B$2:$B$3672,0))))))</f>
        <v>355.9206</v>
      </c>
      <c r="L6" s="8" t="str">
        <f aca="false">IF(LEFT($H6,5)&lt;&gt;"STAT_","",IF(ABS($K6)&lt;=COUNTIFS($B$2:$B$618,$B6,$C$2:$C$618,$C6,$D$2:$D$618,"Energy products",$G$2:$G$618,"&lt;&gt;STAT")*PARAMETROS!$B$6,"redondeo","residuo_estadistico"))</f>
        <v/>
      </c>
      <c r="M6" s="8" t="str">
        <f>IF(OR($I6="USO_NO_ENERGETICO_APARENTE",$I6="USO_ENERGETICO_INTERNO_APARENTE"),"CAL",IF(LEFT($H6,5)="STAT_","FORMULA",IF(COUNTIF(DATOS_MODELO!$B$2:$B$3672,$H6)=1,"OK","REVISAR")))</f>
        <v>OK</v>
      </c>
    </row>
    <row r="7" customFormat="false" ht="15" hidden="false" customHeight="false" outlineLevel="0" collapsed="false">
      <c r="A7" s="4" t="s">
        <v>2016</v>
      </c>
      <c r="B7" s="12" t="n">
        <v>2024</v>
      </c>
      <c r="C7" s="4" t="s">
        <v>76</v>
      </c>
      <c r="D7" s="4" t="s">
        <v>2018</v>
      </c>
      <c r="E7" s="4" t="s">
        <v>1994</v>
      </c>
      <c r="F7" s="4" t="s">
        <v>65</v>
      </c>
      <c r="G7" s="4" t="s">
        <v>64</v>
      </c>
      <c r="H7" s="4" t="s">
        <v>1731</v>
      </c>
      <c r="I7" s="4" t="s">
        <v>2019</v>
      </c>
      <c r="J7" s="4" t="s">
        <v>1997</v>
      </c>
      <c r="K7" s="14">
        <f>IF(OR($I7="USO_NO_ENERGETICO_APARENTE",$I7="USO_ENERGETICO_INTERNO_APARENTE"),ROUND(SUMIFS($K$2:$K$618,$B$2:$B$618,$B7,$C$2:$C$618,$C7,$D$2:$D$618,"Energy products",$E$2:$E$618,"Supply",$G$2:$G$618,"&lt;&gt;STAT")-SUMIFS($K$2:$K$618,$B$2:$B$618,$B7,$C$2:$C$618,$C7,$D$2:$D$618,"Energy products",$E$2:$E$618,"Use",$G$2:$G$618,"&lt;&gt;STAT",$I$2:$I$618,"&lt;&gt;USO_NO_ENERGETICO_APARENTE",$I$2:$I$618,"&lt;&gt;USO_ENERGETICO_INTERNO_APARENTE"),10),IF(LEFT($H7,5)="STAT_",ROUND(SUMIFS($K$2:$K$618,$B$2:$B$618,$B7,$C$2:$C$618,$C7,$D$2:$D$618,"Energy products",$E$2:$E$618,"Supply",$G$2:$G$618,"&lt;&gt;STAT")-SUMIFS($K$2:$K$618,$B$2:$B$618,$B7,$C$2:$C$618,$C7,$D$2:$D$618,"Energy products",$E$2:$E$618,"Use",$G$2:$G$618,"&lt;&gt;STAT"),10),IF($J7="cambio de signo",-INDEX(DATOS_MODELO!$U$2:$U$3672,MATCH($H7,DATOS_MODELO!$B$2:$B$3672,0)),IF($J7="valor absoluto",ABS(INDEX(DATOS_MODELO!$U$2:$U$3672,MATCH($H7,DATOS_MODELO!$B$2:$B$3672,0))),INDEX(DATOS_MODELO!$U$2:$U$3672,MATCH($H7,DATOS_MODELO!$B$2:$B$3672,0))))))</f>
        <v>0.0</v>
      </c>
      <c r="L7" s="8" t="str">
        <f aca="false">IF(LEFT($H7,5)&lt;&gt;"STAT_","",IF(ABS($K7)&lt;=COUNTIFS($B$2:$B$618,$B7,$C$2:$C$618,$C7,$D$2:$D$618,"Energy products",$G$2:$G$618,"&lt;&gt;STAT")*PARAMETROS!$B$6,"redondeo","residuo_estadistico"))</f>
        <v/>
      </c>
      <c r="M7" s="8" t="str">
        <f>IF(OR($I7="USO_NO_ENERGETICO_APARENTE",$I7="USO_ENERGETICO_INTERNO_APARENTE"),"CAL",IF(LEFT($H7,5)="STAT_","FORMULA",IF(COUNTIF(DATOS_MODELO!$B$2:$B$3672,$H7)=1,"OK","REVISAR")))</f>
        <v>OK</v>
      </c>
    </row>
    <row r="8" customFormat="false" ht="15" hidden="false" customHeight="false" outlineLevel="0" collapsed="false">
      <c r="A8" s="4" t="s">
        <v>2021</v>
      </c>
      <c r="B8" s="12" t="n">
        <v>2024</v>
      </c>
      <c r="C8" s="4" t="s">
        <v>76</v>
      </c>
      <c r="D8" s="4" t="s">
        <v>2018</v>
      </c>
      <c r="E8" s="4" t="s">
        <v>2001</v>
      </c>
      <c r="F8" s="4" t="s">
        <v>66</v>
      </c>
      <c r="G8" s="4" t="s">
        <v>66</v>
      </c>
      <c r="H8" s="4" t="s">
        <v>1731</v>
      </c>
      <c r="I8" s="4" t="s">
        <v>2019</v>
      </c>
      <c r="J8" s="4" t="s">
        <v>1997</v>
      </c>
      <c r="K8" s="14">
        <f>IF(OR($I8="USO_NO_ENERGETICO_APARENTE",$I8="USO_ENERGETICO_INTERNO_APARENTE"),ROUND(SUMIFS($K$2:$K$618,$B$2:$B$618,$B8,$C$2:$C$618,$C8,$D$2:$D$618,"Energy products",$E$2:$E$618,"Supply",$G$2:$G$618,"&lt;&gt;STAT")-SUMIFS($K$2:$K$618,$B$2:$B$618,$B8,$C$2:$C$618,$C8,$D$2:$D$618,"Energy products",$E$2:$E$618,"Use",$G$2:$G$618,"&lt;&gt;STAT",$I$2:$I$618,"&lt;&gt;USO_NO_ENERGETICO_APARENTE",$I$2:$I$618,"&lt;&gt;USO_ENERGETICO_INTERNO_APARENTE"),10),IF(LEFT($H8,5)="STAT_",ROUND(SUMIFS($K$2:$K$618,$B$2:$B$618,$B8,$C$2:$C$618,$C8,$D$2:$D$618,"Energy products",$E$2:$E$618,"Supply",$G$2:$G$618,"&lt;&gt;STAT")-SUMIFS($K$2:$K$618,$B$2:$B$618,$B8,$C$2:$C$618,$C8,$D$2:$D$618,"Energy products",$E$2:$E$618,"Use",$G$2:$G$618,"&lt;&gt;STAT"),10),IF($J8="cambio de signo",-INDEX(DATOS_MODELO!$U$2:$U$3672,MATCH($H8,DATOS_MODELO!$B$2:$B$3672,0)),IF($J8="valor absoluto",ABS(INDEX(DATOS_MODELO!$U$2:$U$3672,MATCH($H8,DATOS_MODELO!$B$2:$B$3672,0))),INDEX(DATOS_MODELO!$U$2:$U$3672,MATCH($H8,DATOS_MODELO!$B$2:$B$3672,0))))))</f>
        <v>0.0</v>
      </c>
      <c r="L8" s="8" t="str">
        <f aca="false">IF(LEFT($H8,5)&lt;&gt;"STAT_","",IF(ABS($K8)&lt;=COUNTIFS($B$2:$B$618,$B8,$C$2:$C$618,$C8,$D$2:$D$618,"Energy products",$G$2:$G$618,"&lt;&gt;STAT")*PARAMETROS!$B$6,"redondeo","residuo_estadistico"))</f>
        <v/>
      </c>
      <c r="M8" s="8" t="str">
        <f>IF(OR($I8="USO_NO_ENERGETICO_APARENTE",$I8="USO_ENERGETICO_INTERNO_APARENTE"),"CAL",IF(LEFT($H8,5)="STAT_","FORMULA",IF(COUNTIF(DATOS_MODELO!$B$2:$B$3672,$H8)=1,"OK","REVISAR")))</f>
        <v>OK</v>
      </c>
    </row>
    <row r="9" customFormat="false" ht="15" hidden="false" customHeight="false" outlineLevel="0" collapsed="false">
      <c r="A9" s="4" t="s">
        <v>2024</v>
      </c>
      <c r="B9" s="12" t="n">
        <v>2024</v>
      </c>
      <c r="C9" s="4" t="s">
        <v>76</v>
      </c>
      <c r="D9" s="4" t="s">
        <v>1993</v>
      </c>
      <c r="E9" s="4" t="s">
        <v>1994</v>
      </c>
      <c r="F9" s="4" t="s">
        <v>1995</v>
      </c>
      <c r="G9" s="4" t="s">
        <v>66</v>
      </c>
      <c r="H9" s="4" t="s">
        <v>1731</v>
      </c>
      <c r="I9" s="4" t="s">
        <v>2019</v>
      </c>
      <c r="J9" s="4" t="s">
        <v>1997</v>
      </c>
      <c r="K9" s="14">
        <f>IF(OR($I9="USO_NO_ENERGETICO_APARENTE",$I9="USO_ENERGETICO_INTERNO_APARENTE"),ROUND(SUMIFS($K$2:$K$618,$B$2:$B$618,$B9,$C$2:$C$618,$C9,$D$2:$D$618,"Energy products",$E$2:$E$618,"Supply",$G$2:$G$618,"&lt;&gt;STAT")-SUMIFS($K$2:$K$618,$B$2:$B$618,$B9,$C$2:$C$618,$C9,$D$2:$D$618,"Energy products",$E$2:$E$618,"Use",$G$2:$G$618,"&lt;&gt;STAT",$I$2:$I$618,"&lt;&gt;USO_NO_ENERGETICO_APARENTE",$I$2:$I$618,"&lt;&gt;USO_ENERGETICO_INTERNO_APARENTE"),10),IF(LEFT($H9,5)="STAT_",ROUND(SUMIFS($K$2:$K$618,$B$2:$B$618,$B9,$C$2:$C$618,$C9,$D$2:$D$618,"Energy products",$E$2:$E$618,"Supply",$G$2:$G$618,"&lt;&gt;STAT")-SUMIFS($K$2:$K$618,$B$2:$B$618,$B9,$C$2:$C$618,$C9,$D$2:$D$618,"Energy products",$E$2:$E$618,"Use",$G$2:$G$618,"&lt;&gt;STAT"),10),IF($J9="cambio de signo",-INDEX(DATOS_MODELO!$U$2:$U$3672,MATCH($H9,DATOS_MODELO!$B$2:$B$3672,0)),IF($J9="valor absoluto",ABS(INDEX(DATOS_MODELO!$U$2:$U$3672,MATCH($H9,DATOS_MODELO!$B$2:$B$3672,0))),INDEX(DATOS_MODELO!$U$2:$U$3672,MATCH($H9,DATOS_MODELO!$B$2:$B$3672,0))))))</f>
        <v>0.0</v>
      </c>
      <c r="L9" s="8" t="str">
        <f aca="false">IF(LEFT($H9,5)&lt;&gt;"STAT_","",IF(ABS($K9)&lt;=COUNTIFS($B$2:$B$618,$B9,$C$2:$C$618,$C9,$D$2:$D$618,"Energy products",$G$2:$G$618,"&lt;&gt;STAT")*PARAMETROS!$B$6,"redondeo","residuo_estadistico"))</f>
        <v/>
      </c>
      <c r="M9" s="8" t="str">
        <f>IF(OR($I9="USO_NO_ENERGETICO_APARENTE",$I9="USO_ENERGETICO_INTERNO_APARENTE"),"CAL",IF(LEFT($H9,5)="STAT_","FORMULA",IF(COUNTIF(DATOS_MODELO!$B$2:$B$3672,$H9)=1,"OK","REVISAR")))</f>
        <v>OK</v>
      </c>
    </row>
    <row r="10" customFormat="false" ht="15" hidden="false" customHeight="false" outlineLevel="0" collapsed="false">
      <c r="A10" s="4" t="s">
        <v>2027</v>
      </c>
      <c r="B10" s="12" t="n">
        <v>2024</v>
      </c>
      <c r="C10" s="4" t="s">
        <v>76</v>
      </c>
      <c r="D10" s="4" t="s">
        <v>1993</v>
      </c>
      <c r="E10" s="4" t="s">
        <v>1994</v>
      </c>
      <c r="F10" s="4" t="s">
        <v>2029</v>
      </c>
      <c r="G10" s="4" t="s">
        <v>69</v>
      </c>
      <c r="H10" s="4" t="s">
        <v>1733</v>
      </c>
      <c r="I10" s="4" t="s">
        <v>2030</v>
      </c>
      <c r="J10" s="4" t="s">
        <v>1997</v>
      </c>
      <c r="K10" s="14">
        <f>IF(OR($I10="USO_NO_ENERGETICO_APARENTE",$I10="USO_ENERGETICO_INTERNO_APARENTE"),ROUND(SUMIFS($K$2:$K$618,$B$2:$B$618,$B10,$C$2:$C$618,$C10,$D$2:$D$618,"Energy products",$E$2:$E$618,"Supply",$G$2:$G$618,"&lt;&gt;STAT")-SUMIFS($K$2:$K$618,$B$2:$B$618,$B10,$C$2:$C$618,$C10,$D$2:$D$618,"Energy products",$E$2:$E$618,"Use",$G$2:$G$618,"&lt;&gt;STAT",$I$2:$I$618,"&lt;&gt;USO_NO_ENERGETICO_APARENTE",$I$2:$I$618,"&lt;&gt;USO_ENERGETICO_INTERNO_APARENTE"),10),IF(LEFT($H10,5)="STAT_",ROUND(SUMIFS($K$2:$K$618,$B$2:$B$618,$B10,$C$2:$C$618,$C10,$D$2:$D$618,"Energy products",$E$2:$E$618,"Supply",$G$2:$G$618,"&lt;&gt;STAT")-SUMIFS($K$2:$K$618,$B$2:$B$618,$B10,$C$2:$C$618,$C10,$D$2:$D$618,"Energy products",$E$2:$E$618,"Use",$G$2:$G$618,"&lt;&gt;STAT"),10),IF($J10="cambio de signo",-INDEX(DATOS_MODELO!$U$2:$U$3672,MATCH($H10,DATOS_MODELO!$B$2:$B$3672,0)),IF($J10="valor absoluto",ABS(INDEX(DATOS_MODELO!$U$2:$U$3672,MATCH($H10,DATOS_MODELO!$B$2:$B$3672,0))),INDEX(DATOS_MODELO!$U$2:$U$3672,MATCH($H10,DATOS_MODELO!$B$2:$B$3672,0))))))</f>
        <v>42753.5241</v>
      </c>
      <c r="L10" s="8" t="str">
        <f aca="false">IF(LEFT($H10,5)&lt;&gt;"STAT_","",IF(ABS($K10)&lt;=COUNTIFS($B$2:$B$618,$B10,$C$2:$C$618,$C10,$D$2:$D$618,"Energy products",$G$2:$G$618,"&lt;&gt;STAT")*PARAMETROS!$B$6,"redondeo","residuo_estadistico"))</f>
        <v/>
      </c>
      <c r="M10" s="8" t="str">
        <f>IF(OR($I10="USO_NO_ENERGETICO_APARENTE",$I10="USO_ENERGETICO_INTERNO_APARENTE"),"CAL",IF(LEFT($H10,5)="STAT_","FORMULA",IF(COUNTIF(DATOS_MODELO!$B$2:$B$3672,$H10)=1,"OK","REVISAR")))</f>
        <v>OK</v>
      </c>
    </row>
    <row r="11" customFormat="false" ht="15" hidden="false" customHeight="false" outlineLevel="0" collapsed="false">
      <c r="A11" s="4" t="s">
        <v>2032</v>
      </c>
      <c r="B11" s="12" t="n">
        <v>2024</v>
      </c>
      <c r="C11" s="4" t="s">
        <v>76</v>
      </c>
      <c r="D11" s="4" t="s">
        <v>1993</v>
      </c>
      <c r="E11" s="4" t="s">
        <v>2001</v>
      </c>
      <c r="F11" s="4" t="s">
        <v>2034</v>
      </c>
      <c r="G11" s="4" t="s">
        <v>74</v>
      </c>
      <c r="H11" s="4" t="s">
        <v>1735</v>
      </c>
      <c r="I11" s="4" t="s">
        <v>2035</v>
      </c>
      <c r="J11" s="4" t="s">
        <v>2036</v>
      </c>
      <c r="K11" s="14">
        <f>IF(OR($I11="USO_NO_ENERGETICO_APARENTE",$I11="USO_ENERGETICO_INTERNO_APARENTE"),ROUND(SUMIFS($K$2:$K$618,$B$2:$B$618,$B11,$C$2:$C$618,$C11,$D$2:$D$618,"Energy products",$E$2:$E$618,"Supply",$G$2:$G$618,"&lt;&gt;STAT")-SUMIFS($K$2:$K$618,$B$2:$B$618,$B11,$C$2:$C$618,$C11,$D$2:$D$618,"Energy products",$E$2:$E$618,"Use",$G$2:$G$618,"&lt;&gt;STAT",$I$2:$I$618,"&lt;&gt;USO_NO_ENERGETICO_APARENTE",$I$2:$I$618,"&lt;&gt;USO_ENERGETICO_INTERNO_APARENTE"),10),IF(LEFT($H11,5)="STAT_",ROUND(SUMIFS($K$2:$K$618,$B$2:$B$618,$B11,$C$2:$C$618,$C11,$D$2:$D$618,"Energy products",$E$2:$E$618,"Supply",$G$2:$G$618,"&lt;&gt;STAT")-SUMIFS($K$2:$K$618,$B$2:$B$618,$B11,$C$2:$C$618,$C11,$D$2:$D$618,"Energy products",$E$2:$E$618,"Use",$G$2:$G$618,"&lt;&gt;STAT"),10),IF($J11="cambio de signo",-INDEX(DATOS_MODELO!$U$2:$U$3672,MATCH($H11,DATOS_MODELO!$B$2:$B$3672,0)),IF($J11="valor absoluto",ABS(INDEX(DATOS_MODELO!$U$2:$U$3672,MATCH($H11,DATOS_MODELO!$B$2:$B$3672,0))),INDEX(DATOS_MODELO!$U$2:$U$3672,MATCH($H11,DATOS_MODELO!$B$2:$B$3672,0))))))</f>
        <v>6627.2927</v>
      </c>
      <c r="L11" s="8" t="str">
        <f aca="false">IF(LEFT($H11,5)&lt;&gt;"STAT_","",IF(ABS($K11)&lt;=COUNTIFS($B$2:$B$618,$B11,$C$2:$C$618,$C11,$D$2:$D$618,"Energy products",$G$2:$G$618,"&lt;&gt;STAT")*PARAMETROS!$B$6,"redondeo","residuo_estadistico"))</f>
        <v/>
      </c>
      <c r="M11" s="8" t="str">
        <f>IF(OR($I11="USO_NO_ENERGETICO_APARENTE",$I11="USO_ENERGETICO_INTERNO_APARENTE"),"CAL",IF(LEFT($H11,5)="STAT_","FORMULA",IF(COUNTIF(DATOS_MODELO!$B$2:$B$3672,$H11)=1,"OK","REVISAR")))</f>
        <v>OK</v>
      </c>
    </row>
    <row r="12" customFormat="false" ht="15" hidden="false" customHeight="false" outlineLevel="0" collapsed="false">
      <c r="A12" s="4" t="s">
        <v>2038</v>
      </c>
      <c r="B12" s="12" t="n">
        <v>2024</v>
      </c>
      <c r="C12" s="4" t="s">
        <v>76</v>
      </c>
      <c r="D12" s="4" t="s">
        <v>1993</v>
      </c>
      <c r="E12" s="4" t="s">
        <v>2001</v>
      </c>
      <c r="F12" s="4" t="s">
        <v>2002</v>
      </c>
      <c r="G12" s="4" t="s">
        <v>67</v>
      </c>
      <c r="H12" s="4" t="s">
        <v>1737</v>
      </c>
      <c r="I12" s="4" t="s">
        <v>2003</v>
      </c>
      <c r="J12" s="4" t="s">
        <v>2004</v>
      </c>
      <c r="K12" s="14">
        <f>IF(OR($I12="USO_NO_ENERGETICO_APARENTE",$I12="USO_ENERGETICO_INTERNO_APARENTE"),ROUND(SUMIFS($K$2:$K$618,$B$2:$B$618,$B12,$C$2:$C$618,$C12,$D$2:$D$618,"Energy products",$E$2:$E$618,"Supply",$G$2:$G$618,"&lt;&gt;STAT")-SUMIFS($K$2:$K$618,$B$2:$B$618,$B12,$C$2:$C$618,$C12,$D$2:$D$618,"Energy products",$E$2:$E$618,"Use",$G$2:$G$618,"&lt;&gt;STAT",$I$2:$I$618,"&lt;&gt;USO_NO_ENERGETICO_APARENTE",$I$2:$I$618,"&lt;&gt;USO_ENERGETICO_INTERNO_APARENTE"),10),IF(LEFT($H12,5)="STAT_",ROUND(SUMIFS($K$2:$K$618,$B$2:$B$618,$B12,$C$2:$C$618,$C12,$D$2:$D$618,"Energy products",$E$2:$E$618,"Supply",$G$2:$G$618,"&lt;&gt;STAT")-SUMIFS($K$2:$K$618,$B$2:$B$618,$B12,$C$2:$C$618,$C12,$D$2:$D$618,"Energy products",$E$2:$E$618,"Use",$G$2:$G$618,"&lt;&gt;STAT"),10),IF($J12="cambio de signo",-INDEX(DATOS_MODELO!$U$2:$U$3672,MATCH($H12,DATOS_MODELO!$B$2:$B$3672,0)),IF($J12="valor absoluto",ABS(INDEX(DATOS_MODELO!$U$2:$U$3672,MATCH($H12,DATOS_MODELO!$B$2:$B$3672,0))),INDEX(DATOS_MODELO!$U$2:$U$3672,MATCH($H12,DATOS_MODELO!$B$2:$B$3672,0))))))</f>
        <v>34437.3225</v>
      </c>
      <c r="L12" s="8" t="str">
        <f aca="false">IF(LEFT($H12,5)&lt;&gt;"STAT_","",IF(ABS($K12)&lt;=COUNTIFS($B$2:$B$618,$B12,$C$2:$C$618,$C12,$D$2:$D$618,"Energy products",$G$2:$G$618,"&lt;&gt;STAT")*PARAMETROS!$B$6,"redondeo","residuo_estadistico"))</f>
        <v/>
      </c>
      <c r="M12" s="8" t="str">
        <f>IF(OR($I12="USO_NO_ENERGETICO_APARENTE",$I12="USO_ENERGETICO_INTERNO_APARENTE"),"CAL",IF(LEFT($H12,5)="STAT_","FORMULA",IF(COUNTIF(DATOS_MODELO!$B$2:$B$3672,$H12)=1,"OK","REVISAR")))</f>
        <v>OK</v>
      </c>
    </row>
    <row r="13" customFormat="false" ht="15" hidden="false" customHeight="false" outlineLevel="0" collapsed="false">
      <c r="A13" s="4" t="s">
        <v>2040</v>
      </c>
      <c r="B13" s="12" t="n">
        <v>2024</v>
      </c>
      <c r="C13" s="4" t="s">
        <v>76</v>
      </c>
      <c r="D13" s="4" t="s">
        <v>1993</v>
      </c>
      <c r="E13" s="4" t="s">
        <v>2001</v>
      </c>
      <c r="F13" s="4" t="s">
        <v>2002</v>
      </c>
      <c r="G13" s="4" t="s">
        <v>67</v>
      </c>
      <c r="H13" s="4" t="s">
        <v>1738</v>
      </c>
      <c r="I13" s="4" t="s">
        <v>2008</v>
      </c>
      <c r="J13" s="4" t="s">
        <v>2004</v>
      </c>
      <c r="K13" s="14">
        <f>IF(OR($I13="USO_NO_ENERGETICO_APARENTE",$I13="USO_ENERGETICO_INTERNO_APARENTE"),ROUND(SUMIFS($K$2:$K$618,$B$2:$B$618,$B13,$C$2:$C$618,$C13,$D$2:$D$618,"Energy products",$E$2:$E$618,"Supply",$G$2:$G$618,"&lt;&gt;STAT")-SUMIFS($K$2:$K$618,$B$2:$B$618,$B13,$C$2:$C$618,$C13,$D$2:$D$618,"Energy products",$E$2:$E$618,"Use",$G$2:$G$618,"&lt;&gt;STAT",$I$2:$I$618,"&lt;&gt;USO_NO_ENERGETICO_APARENTE",$I$2:$I$618,"&lt;&gt;USO_ENERGETICO_INTERNO_APARENTE"),10),IF(LEFT($H13,5)="STAT_",ROUND(SUMIFS($K$2:$K$618,$B$2:$B$618,$B13,$C$2:$C$618,$C13,$D$2:$D$618,"Energy products",$E$2:$E$618,"Supply",$G$2:$G$618,"&lt;&gt;STAT")-SUMIFS($K$2:$K$618,$B$2:$B$618,$B13,$C$2:$C$618,$C13,$D$2:$D$618,"Energy products",$E$2:$E$618,"Use",$G$2:$G$618,"&lt;&gt;STAT"),10),IF($J13="cambio de signo",-INDEX(DATOS_MODELO!$U$2:$U$3672,MATCH($H13,DATOS_MODELO!$B$2:$B$3672,0)),IF($J13="valor absoluto",ABS(INDEX(DATOS_MODELO!$U$2:$U$3672,MATCH($H13,DATOS_MODELO!$B$2:$B$3672,0))),INDEX(DATOS_MODELO!$U$2:$U$3672,MATCH($H13,DATOS_MODELO!$B$2:$B$3672,0))))))</f>
        <v>1688.9089</v>
      </c>
      <c r="L13" s="8" t="str">
        <f aca="false">IF(LEFT($H13,5)&lt;&gt;"STAT_","",IF(ABS($K13)&lt;=COUNTIFS($B$2:$B$618,$B13,$C$2:$C$618,$C13,$D$2:$D$618,"Energy products",$G$2:$G$618,"&lt;&gt;STAT")*PARAMETROS!$B$6,"redondeo","residuo_estadistico"))</f>
        <v/>
      </c>
      <c r="M13" s="8" t="str">
        <f>IF(OR($I13="USO_NO_ENERGETICO_APARENTE",$I13="USO_ENERGETICO_INTERNO_APARENTE"),"CAL",IF(LEFT($H13,5)="STAT_","FORMULA",IF(COUNTIF(DATOS_MODELO!$B$2:$B$3672,$H13)=1,"OK","REVISAR")))</f>
        <v>OK</v>
      </c>
    </row>
    <row r="14" customFormat="false" ht="15" hidden="false" customHeight="false" outlineLevel="0" collapsed="false">
      <c r="A14" s="4" t="s">
        <v>2042</v>
      </c>
      <c r="B14" s="12" t="n">
        <v>2024</v>
      </c>
      <c r="C14" s="4" t="s">
        <v>78</v>
      </c>
      <c r="D14" s="4" t="s">
        <v>2018</v>
      </c>
      <c r="E14" s="4" t="s">
        <v>1994</v>
      </c>
      <c r="F14" s="4" t="s">
        <v>65</v>
      </c>
      <c r="G14" s="4" t="s">
        <v>64</v>
      </c>
      <c r="H14" s="4" t="s">
        <v>1746</v>
      </c>
      <c r="I14" s="4" t="s">
        <v>2044</v>
      </c>
      <c r="J14" s="4" t="s">
        <v>1997</v>
      </c>
      <c r="K14" s="14">
        <f>IF(OR($I14="USO_NO_ENERGETICO_APARENTE",$I14="USO_ENERGETICO_INTERNO_APARENTE"),ROUND(SUMIFS($K$2:$K$618,$B$2:$B$618,$B14,$C$2:$C$618,$C14,$D$2:$D$618,"Energy products",$E$2:$E$618,"Supply",$G$2:$G$618,"&lt;&gt;STAT")-SUMIFS($K$2:$K$618,$B$2:$B$618,$B14,$C$2:$C$618,$C14,$D$2:$D$618,"Energy products",$E$2:$E$618,"Use",$G$2:$G$618,"&lt;&gt;STAT",$I$2:$I$618,"&lt;&gt;USO_NO_ENERGETICO_APARENTE",$I$2:$I$618,"&lt;&gt;USO_ENERGETICO_INTERNO_APARENTE"),10),IF(LEFT($H14,5)="STAT_",ROUND(SUMIFS($K$2:$K$618,$B$2:$B$618,$B14,$C$2:$C$618,$C14,$D$2:$D$618,"Energy products",$E$2:$E$618,"Supply",$G$2:$G$618,"&lt;&gt;STAT")-SUMIFS($K$2:$K$618,$B$2:$B$618,$B14,$C$2:$C$618,$C14,$D$2:$D$618,"Energy products",$E$2:$E$618,"Use",$G$2:$G$618,"&lt;&gt;STAT"),10),IF($J14="cambio de signo",-INDEX(DATOS_MODELO!$U$2:$U$3672,MATCH($H14,DATOS_MODELO!$B$2:$B$3672,0)),IF($J14="valor absoluto",ABS(INDEX(DATOS_MODELO!$U$2:$U$3672,MATCH($H14,DATOS_MODELO!$B$2:$B$3672,0))),INDEX(DATOS_MODELO!$U$2:$U$3672,MATCH($H14,DATOS_MODELO!$B$2:$B$3672,0))))))</f>
        <v>1044.9866</v>
      </c>
      <c r="L14" s="8" t="str">
        <f aca="false">IF(LEFT($H14,5)&lt;&gt;"STAT_","",IF(ABS($K14)&lt;=COUNTIFS($B$2:$B$618,$B14,$C$2:$C$618,$C14,$D$2:$D$618,"Energy products",$G$2:$G$618,"&lt;&gt;STAT")*PARAMETROS!$B$6,"redondeo","residuo_estadistico"))</f>
        <v/>
      </c>
      <c r="M14" s="8" t="str">
        <f>IF(OR($I14="USO_NO_ENERGETICO_APARENTE",$I14="USO_ENERGETICO_INTERNO_APARENTE"),"CAL",IF(LEFT($H14,5)="STAT_","FORMULA",IF(COUNTIF(DATOS_MODELO!$B$2:$B$3672,$H14)=1,"OK","REVISAR")))</f>
        <v>OK</v>
      </c>
    </row>
    <row r="15" customFormat="false" ht="15" hidden="false" customHeight="false" outlineLevel="0" collapsed="false">
      <c r="A15" s="4" t="s">
        <v>2046</v>
      </c>
      <c r="B15" s="12" t="n">
        <v>2024</v>
      </c>
      <c r="C15" s="4" t="s">
        <v>78</v>
      </c>
      <c r="D15" s="4" t="s">
        <v>2018</v>
      </c>
      <c r="E15" s="4" t="s">
        <v>2001</v>
      </c>
      <c r="F15" s="4" t="s">
        <v>66</v>
      </c>
      <c r="G15" s="4" t="s">
        <v>67</v>
      </c>
      <c r="H15" s="4" t="s">
        <v>1752</v>
      </c>
      <c r="I15" s="4" t="s">
        <v>2003</v>
      </c>
      <c r="J15" s="4" t="s">
        <v>2004</v>
      </c>
      <c r="K15" s="14">
        <f>IF(OR($I15="USO_NO_ENERGETICO_APARENTE",$I15="USO_ENERGETICO_INTERNO_APARENTE"),ROUND(SUMIFS($K$2:$K$618,$B$2:$B$618,$B15,$C$2:$C$618,$C15,$D$2:$D$618,"Energy products",$E$2:$E$618,"Supply",$G$2:$G$618,"&lt;&gt;STAT")-SUMIFS($K$2:$K$618,$B$2:$B$618,$B15,$C$2:$C$618,$C15,$D$2:$D$618,"Energy products",$E$2:$E$618,"Use",$G$2:$G$618,"&lt;&gt;STAT",$I$2:$I$618,"&lt;&gt;USO_NO_ENERGETICO_APARENTE",$I$2:$I$618,"&lt;&gt;USO_ENERGETICO_INTERNO_APARENTE"),10),IF(LEFT($H15,5)="STAT_",ROUND(SUMIFS($K$2:$K$618,$B$2:$B$618,$B15,$C$2:$C$618,$C15,$D$2:$D$618,"Energy products",$E$2:$E$618,"Supply",$G$2:$G$618,"&lt;&gt;STAT")-SUMIFS($K$2:$K$618,$B$2:$B$618,$B15,$C$2:$C$618,$C15,$D$2:$D$618,"Energy products",$E$2:$E$618,"Use",$G$2:$G$618,"&lt;&gt;STAT"),10),IF($J15="cambio de signo",-INDEX(DATOS_MODELO!$U$2:$U$3672,MATCH($H15,DATOS_MODELO!$B$2:$B$3672,0)),IF($J15="valor absoluto",ABS(INDEX(DATOS_MODELO!$U$2:$U$3672,MATCH($H15,DATOS_MODELO!$B$2:$B$3672,0))),INDEX(DATOS_MODELO!$U$2:$U$3672,MATCH($H15,DATOS_MODELO!$B$2:$B$3672,0))))))</f>
        <v>1044.9866</v>
      </c>
      <c r="L15" s="8" t="str">
        <f aca="false">IF(LEFT($H15,5)&lt;&gt;"STAT_","",IF(ABS($K15)&lt;=COUNTIFS($B$2:$B$618,$B15,$C$2:$C$618,$C15,$D$2:$D$618,"Energy products",$G$2:$G$618,"&lt;&gt;STAT")*PARAMETROS!$B$6,"redondeo","residuo_estadistico"))</f>
        <v/>
      </c>
      <c r="M15" s="8" t="str">
        <f>IF(OR($I15="USO_NO_ENERGETICO_APARENTE",$I15="USO_ENERGETICO_INTERNO_APARENTE"),"CAL",IF(LEFT($H15,5)="STAT_","FORMULA",IF(COUNTIF(DATOS_MODELO!$B$2:$B$3672,$H15)=1,"OK","REVISAR")))</f>
        <v>OK</v>
      </c>
    </row>
    <row r="16" customFormat="false" ht="15" hidden="false" customHeight="false" outlineLevel="0" collapsed="false">
      <c r="A16" s="4" t="s">
        <v>2049</v>
      </c>
      <c r="B16" s="12" t="n">
        <v>2024</v>
      </c>
      <c r="C16" s="4" t="s">
        <v>80</v>
      </c>
      <c r="D16" s="4" t="s">
        <v>2018</v>
      </c>
      <c r="E16" s="4" t="s">
        <v>1994</v>
      </c>
      <c r="F16" s="4" t="s">
        <v>65</v>
      </c>
      <c r="G16" s="4" t="s">
        <v>64</v>
      </c>
      <c r="H16" s="4" t="s">
        <v>1761</v>
      </c>
      <c r="I16" s="4" t="s">
        <v>2044</v>
      </c>
      <c r="J16" s="4" t="s">
        <v>1997</v>
      </c>
      <c r="K16" s="14">
        <f>IF(OR($I16="USO_NO_ENERGETICO_APARENTE",$I16="USO_ENERGETICO_INTERNO_APARENTE"),ROUND(SUMIFS($K$2:$K$618,$B$2:$B$618,$B16,$C$2:$C$618,$C16,$D$2:$D$618,"Energy products",$E$2:$E$618,"Supply",$G$2:$G$618,"&lt;&gt;STAT")-SUMIFS($K$2:$K$618,$B$2:$B$618,$B16,$C$2:$C$618,$C16,$D$2:$D$618,"Energy products",$E$2:$E$618,"Use",$G$2:$G$618,"&lt;&gt;STAT",$I$2:$I$618,"&lt;&gt;USO_NO_ENERGETICO_APARENTE",$I$2:$I$618,"&lt;&gt;USO_ENERGETICO_INTERNO_APARENTE"),10),IF(LEFT($H16,5)="STAT_",ROUND(SUMIFS($K$2:$K$618,$B$2:$B$618,$B16,$C$2:$C$618,$C16,$D$2:$D$618,"Energy products",$E$2:$E$618,"Supply",$G$2:$G$618,"&lt;&gt;STAT")-SUMIFS($K$2:$K$618,$B$2:$B$618,$B16,$C$2:$C$618,$C16,$D$2:$D$618,"Energy products",$E$2:$E$618,"Use",$G$2:$G$618,"&lt;&gt;STAT"),10),IF($J16="cambio de signo",-INDEX(DATOS_MODELO!$U$2:$U$3672,MATCH($H16,DATOS_MODELO!$B$2:$B$3672,0)),IF($J16="valor absoluto",ABS(INDEX(DATOS_MODELO!$U$2:$U$3672,MATCH($H16,DATOS_MODELO!$B$2:$B$3672,0))),INDEX(DATOS_MODELO!$U$2:$U$3672,MATCH($H16,DATOS_MODELO!$B$2:$B$3672,0))))))</f>
        <v>11449.0698</v>
      </c>
      <c r="L16" s="8" t="str">
        <f aca="false">IF(LEFT($H16,5)&lt;&gt;"STAT_","",IF(ABS($K16)&lt;=COUNTIFS($B$2:$B$618,$B16,$C$2:$C$618,$C16,$D$2:$D$618,"Energy products",$G$2:$G$618,"&lt;&gt;STAT")*PARAMETROS!$B$6,"redondeo","residuo_estadistico"))</f>
        <v/>
      </c>
      <c r="M16" s="8" t="str">
        <f>IF(OR($I16="USO_NO_ENERGETICO_APARENTE",$I16="USO_ENERGETICO_INTERNO_APARENTE"),"CAL",IF(LEFT($H16,5)="STAT_","FORMULA",IF(COUNTIF(DATOS_MODELO!$B$2:$B$3672,$H16)=1,"OK","REVISAR")))</f>
        <v>OK</v>
      </c>
    </row>
    <row r="17" customFormat="false" ht="15" hidden="false" customHeight="false" outlineLevel="0" collapsed="false">
      <c r="A17" s="4" t="s">
        <v>2051</v>
      </c>
      <c r="B17" s="12" t="n">
        <v>2024</v>
      </c>
      <c r="C17" s="4" t="s">
        <v>80</v>
      </c>
      <c r="D17" s="4" t="s">
        <v>2018</v>
      </c>
      <c r="E17" s="4" t="s">
        <v>2001</v>
      </c>
      <c r="F17" s="4" t="s">
        <v>66</v>
      </c>
      <c r="G17" s="4" t="s">
        <v>67</v>
      </c>
      <c r="H17" s="4" t="s">
        <v>1767</v>
      </c>
      <c r="I17" s="4" t="s">
        <v>2003</v>
      </c>
      <c r="J17" s="4" t="s">
        <v>2004</v>
      </c>
      <c r="K17" s="14">
        <f>IF(OR($I17="USO_NO_ENERGETICO_APARENTE",$I17="USO_ENERGETICO_INTERNO_APARENTE"),ROUND(SUMIFS($K$2:$K$618,$B$2:$B$618,$B17,$C$2:$C$618,$C17,$D$2:$D$618,"Energy products",$E$2:$E$618,"Supply",$G$2:$G$618,"&lt;&gt;STAT")-SUMIFS($K$2:$K$618,$B$2:$B$618,$B17,$C$2:$C$618,$C17,$D$2:$D$618,"Energy products",$E$2:$E$618,"Use",$G$2:$G$618,"&lt;&gt;STAT",$I$2:$I$618,"&lt;&gt;USO_NO_ENERGETICO_APARENTE",$I$2:$I$618,"&lt;&gt;USO_ENERGETICO_INTERNO_APARENTE"),10),IF(LEFT($H17,5)="STAT_",ROUND(SUMIFS($K$2:$K$618,$B$2:$B$618,$B17,$C$2:$C$618,$C17,$D$2:$D$618,"Energy products",$E$2:$E$618,"Supply",$G$2:$G$618,"&lt;&gt;STAT")-SUMIFS($K$2:$K$618,$B$2:$B$618,$B17,$C$2:$C$618,$C17,$D$2:$D$618,"Energy products",$E$2:$E$618,"Use",$G$2:$G$618,"&lt;&gt;STAT"),10),IF($J17="cambio de signo",-INDEX(DATOS_MODELO!$U$2:$U$3672,MATCH($H17,DATOS_MODELO!$B$2:$B$3672,0)),IF($J17="valor absoluto",ABS(INDEX(DATOS_MODELO!$U$2:$U$3672,MATCH($H17,DATOS_MODELO!$B$2:$B$3672,0))),INDEX(DATOS_MODELO!$U$2:$U$3672,MATCH($H17,DATOS_MODELO!$B$2:$B$3672,0))))))</f>
        <v>11449.0698</v>
      </c>
      <c r="L17" s="8" t="str">
        <f aca="false">IF(LEFT($H17,5)&lt;&gt;"STAT_","",IF(ABS($K17)&lt;=COUNTIFS($B$2:$B$618,$B17,$C$2:$C$618,$C17,$D$2:$D$618,"Energy products",$G$2:$G$618,"&lt;&gt;STAT")*PARAMETROS!$B$6,"redondeo","residuo_estadistico"))</f>
        <v/>
      </c>
      <c r="M17" s="8" t="str">
        <f>IF(OR($I17="USO_NO_ENERGETICO_APARENTE",$I17="USO_ENERGETICO_INTERNO_APARENTE"),"CAL",IF(LEFT($H17,5)="STAT_","FORMULA",IF(COUNTIF(DATOS_MODELO!$B$2:$B$3672,$H17)=1,"OK","REVISAR")))</f>
        <v>OK</v>
      </c>
    </row>
    <row r="18" customFormat="false" ht="15" hidden="false" customHeight="false" outlineLevel="0" collapsed="false">
      <c r="A18" s="4" t="s">
        <v>2053</v>
      </c>
      <c r="B18" s="12" t="n">
        <v>2024</v>
      </c>
      <c r="C18" s="4" t="s">
        <v>82</v>
      </c>
      <c r="D18" s="4" t="s">
        <v>2018</v>
      </c>
      <c r="E18" s="4" t="s">
        <v>1994</v>
      </c>
      <c r="F18" s="4" t="s">
        <v>65</v>
      </c>
      <c r="G18" s="4" t="s">
        <v>64</v>
      </c>
      <c r="H18" s="4" t="s">
        <v>1776</v>
      </c>
      <c r="I18" s="4" t="s">
        <v>2019</v>
      </c>
      <c r="J18" s="4" t="s">
        <v>1997</v>
      </c>
      <c r="K18" s="14">
        <f>IF(OR($I18="USO_NO_ENERGETICO_APARENTE",$I18="USO_ENERGETICO_INTERNO_APARENTE"),ROUND(SUMIFS($K$2:$K$618,$B$2:$B$618,$B18,$C$2:$C$618,$C18,$D$2:$D$618,"Energy products",$E$2:$E$618,"Supply",$G$2:$G$618,"&lt;&gt;STAT")-SUMIFS($K$2:$K$618,$B$2:$B$618,$B18,$C$2:$C$618,$C18,$D$2:$D$618,"Energy products",$E$2:$E$618,"Use",$G$2:$G$618,"&lt;&gt;STAT",$I$2:$I$618,"&lt;&gt;USO_NO_ENERGETICO_APARENTE",$I$2:$I$618,"&lt;&gt;USO_ENERGETICO_INTERNO_APARENTE"),10),IF(LEFT($H18,5)="STAT_",ROUND(SUMIFS($K$2:$K$618,$B$2:$B$618,$B18,$C$2:$C$618,$C18,$D$2:$D$618,"Energy products",$E$2:$E$618,"Supply",$G$2:$G$618,"&lt;&gt;STAT")-SUMIFS($K$2:$K$618,$B$2:$B$618,$B18,$C$2:$C$618,$C18,$D$2:$D$618,"Energy products",$E$2:$E$618,"Use",$G$2:$G$618,"&lt;&gt;STAT"),10),IF($J18="cambio de signo",-INDEX(DATOS_MODELO!$U$2:$U$3672,MATCH($H18,DATOS_MODELO!$B$2:$B$3672,0)),IF($J18="valor absoluto",ABS(INDEX(DATOS_MODELO!$U$2:$U$3672,MATCH($H18,DATOS_MODELO!$B$2:$B$3672,0))),INDEX(DATOS_MODELO!$U$2:$U$3672,MATCH($H18,DATOS_MODELO!$B$2:$B$3672,0))))))</f>
        <v>736.0108</v>
      </c>
      <c r="L18" s="8" t="str">
        <f aca="false">IF(LEFT($H18,5)&lt;&gt;"STAT_","",IF(ABS($K18)&lt;=COUNTIFS($B$2:$B$618,$B18,$C$2:$C$618,$C18,$D$2:$D$618,"Energy products",$G$2:$G$618,"&lt;&gt;STAT")*PARAMETROS!$B$6,"redondeo","residuo_estadistico"))</f>
        <v/>
      </c>
      <c r="M18" s="8" t="str">
        <f>IF(OR($I18="USO_NO_ENERGETICO_APARENTE",$I18="USO_ENERGETICO_INTERNO_APARENTE"),"CAL",IF(LEFT($H18,5)="STAT_","FORMULA",IF(COUNTIF(DATOS_MODELO!$B$2:$B$3672,$H18)=1,"OK","REVISAR")))</f>
        <v>OK</v>
      </c>
    </row>
    <row r="19" customFormat="false" ht="15" hidden="false" customHeight="false" outlineLevel="0" collapsed="false">
      <c r="A19" s="4" t="s">
        <v>2055</v>
      </c>
      <c r="B19" s="12" t="n">
        <v>2024</v>
      </c>
      <c r="C19" s="4" t="s">
        <v>82</v>
      </c>
      <c r="D19" s="4" t="s">
        <v>2018</v>
      </c>
      <c r="E19" s="4" t="s">
        <v>2001</v>
      </c>
      <c r="F19" s="4" t="s">
        <v>66</v>
      </c>
      <c r="G19" s="4" t="s">
        <v>66</v>
      </c>
      <c r="H19" s="4" t="s">
        <v>1776</v>
      </c>
      <c r="I19" s="4" t="s">
        <v>2019</v>
      </c>
      <c r="J19" s="4" t="s">
        <v>1997</v>
      </c>
      <c r="K19" s="14">
        <f>IF(OR($I19="USO_NO_ENERGETICO_APARENTE",$I19="USO_ENERGETICO_INTERNO_APARENTE"),ROUND(SUMIFS($K$2:$K$618,$B$2:$B$618,$B19,$C$2:$C$618,$C19,$D$2:$D$618,"Energy products",$E$2:$E$618,"Supply",$G$2:$G$618,"&lt;&gt;STAT")-SUMIFS($K$2:$K$618,$B$2:$B$618,$B19,$C$2:$C$618,$C19,$D$2:$D$618,"Energy products",$E$2:$E$618,"Use",$G$2:$G$618,"&lt;&gt;STAT",$I$2:$I$618,"&lt;&gt;USO_NO_ENERGETICO_APARENTE",$I$2:$I$618,"&lt;&gt;USO_ENERGETICO_INTERNO_APARENTE"),10),IF(LEFT($H19,5)="STAT_",ROUND(SUMIFS($K$2:$K$618,$B$2:$B$618,$B19,$C$2:$C$618,$C19,$D$2:$D$618,"Energy products",$E$2:$E$618,"Supply",$G$2:$G$618,"&lt;&gt;STAT")-SUMIFS($K$2:$K$618,$B$2:$B$618,$B19,$C$2:$C$618,$C19,$D$2:$D$618,"Energy products",$E$2:$E$618,"Use",$G$2:$G$618,"&lt;&gt;STAT"),10),IF($J19="cambio de signo",-INDEX(DATOS_MODELO!$U$2:$U$3672,MATCH($H19,DATOS_MODELO!$B$2:$B$3672,0)),IF($J19="valor absoluto",ABS(INDEX(DATOS_MODELO!$U$2:$U$3672,MATCH($H19,DATOS_MODELO!$B$2:$B$3672,0))),INDEX(DATOS_MODELO!$U$2:$U$3672,MATCH($H19,DATOS_MODELO!$B$2:$B$3672,0))))))</f>
        <v>736.0108</v>
      </c>
      <c r="L19" s="8" t="str">
        <f aca="false">IF(LEFT($H19,5)&lt;&gt;"STAT_","",IF(ABS($K19)&lt;=COUNTIFS($B$2:$B$618,$B19,$C$2:$C$618,$C19,$D$2:$D$618,"Energy products",$G$2:$G$618,"&lt;&gt;STAT")*PARAMETROS!$B$6,"redondeo","residuo_estadistico"))</f>
        <v/>
      </c>
      <c r="M19" s="8" t="str">
        <f>IF(OR($I19="USO_NO_ENERGETICO_APARENTE",$I19="USO_ENERGETICO_INTERNO_APARENTE"),"CAL",IF(LEFT($H19,5)="STAT_","FORMULA",IF(COUNTIF(DATOS_MODELO!$B$2:$B$3672,$H19)=1,"OK","REVISAR")))</f>
        <v>OK</v>
      </c>
    </row>
    <row r="20" customFormat="false" ht="15" hidden="false" customHeight="false" outlineLevel="0" collapsed="false">
      <c r="A20" s="4" t="s">
        <v>2057</v>
      </c>
      <c r="B20" s="12" t="n">
        <v>2024</v>
      </c>
      <c r="C20" s="4" t="s">
        <v>82</v>
      </c>
      <c r="D20" s="4" t="s">
        <v>1993</v>
      </c>
      <c r="E20" s="4" t="s">
        <v>1994</v>
      </c>
      <c r="F20" s="4" t="s">
        <v>1995</v>
      </c>
      <c r="G20" s="4" t="s">
        <v>66</v>
      </c>
      <c r="H20" s="4" t="s">
        <v>1776</v>
      </c>
      <c r="I20" s="4" t="s">
        <v>2019</v>
      </c>
      <c r="J20" s="4" t="s">
        <v>1997</v>
      </c>
      <c r="K20" s="14">
        <f>IF(OR($I20="USO_NO_ENERGETICO_APARENTE",$I20="USO_ENERGETICO_INTERNO_APARENTE"),ROUND(SUMIFS($K$2:$K$618,$B$2:$B$618,$B20,$C$2:$C$618,$C20,$D$2:$D$618,"Energy products",$E$2:$E$618,"Supply",$G$2:$G$618,"&lt;&gt;STAT")-SUMIFS($K$2:$K$618,$B$2:$B$618,$B20,$C$2:$C$618,$C20,$D$2:$D$618,"Energy products",$E$2:$E$618,"Use",$G$2:$G$618,"&lt;&gt;STAT",$I$2:$I$618,"&lt;&gt;USO_NO_ENERGETICO_APARENTE",$I$2:$I$618,"&lt;&gt;USO_ENERGETICO_INTERNO_APARENTE"),10),IF(LEFT($H20,5)="STAT_",ROUND(SUMIFS($K$2:$K$618,$B$2:$B$618,$B20,$C$2:$C$618,$C20,$D$2:$D$618,"Energy products",$E$2:$E$618,"Supply",$G$2:$G$618,"&lt;&gt;STAT")-SUMIFS($K$2:$K$618,$B$2:$B$618,$B20,$C$2:$C$618,$C20,$D$2:$D$618,"Energy products",$E$2:$E$618,"Use",$G$2:$G$618,"&lt;&gt;STAT"),10),IF($J20="cambio de signo",-INDEX(DATOS_MODELO!$U$2:$U$3672,MATCH($H20,DATOS_MODELO!$B$2:$B$3672,0)),IF($J20="valor absoluto",ABS(INDEX(DATOS_MODELO!$U$2:$U$3672,MATCH($H20,DATOS_MODELO!$B$2:$B$3672,0))),INDEX(DATOS_MODELO!$U$2:$U$3672,MATCH($H20,DATOS_MODELO!$B$2:$B$3672,0))))))</f>
        <v>736.0108</v>
      </c>
      <c r="L20" s="8" t="str">
        <f aca="false">IF(LEFT($H20,5)&lt;&gt;"STAT_","",IF(ABS($K20)&lt;=COUNTIFS($B$2:$B$618,$B20,$C$2:$C$618,$C20,$D$2:$D$618,"Energy products",$G$2:$G$618,"&lt;&gt;STAT")*PARAMETROS!$B$6,"redondeo","residuo_estadistico"))</f>
        <v/>
      </c>
      <c r="M20" s="8" t="str">
        <f>IF(OR($I20="USO_NO_ENERGETICO_APARENTE",$I20="USO_ENERGETICO_INTERNO_APARENTE"),"CAL",IF(LEFT($H20,5)="STAT_","FORMULA",IF(COUNTIF(DATOS_MODELO!$B$2:$B$3672,$H20)=1,"OK","REVISAR")))</f>
        <v>OK</v>
      </c>
    </row>
    <row r="21" customFormat="false" ht="15" hidden="false" customHeight="false" outlineLevel="0" collapsed="false">
      <c r="A21" s="4" t="s">
        <v>2059</v>
      </c>
      <c r="B21" s="12" t="n">
        <v>2024</v>
      </c>
      <c r="C21" s="4" t="s">
        <v>82</v>
      </c>
      <c r="D21" s="4" t="s">
        <v>1993</v>
      </c>
      <c r="E21" s="4" t="s">
        <v>2001</v>
      </c>
      <c r="F21" s="4" t="s">
        <v>2002</v>
      </c>
      <c r="G21" s="4" t="s">
        <v>67</v>
      </c>
      <c r="H21" s="4" t="s">
        <v>1782</v>
      </c>
      <c r="I21" s="4" t="s">
        <v>2003</v>
      </c>
      <c r="J21" s="4" t="s">
        <v>2004</v>
      </c>
      <c r="K21" s="14">
        <f>IF(OR($I21="USO_NO_ENERGETICO_APARENTE",$I21="USO_ENERGETICO_INTERNO_APARENTE"),ROUND(SUMIFS($K$2:$K$618,$B$2:$B$618,$B21,$C$2:$C$618,$C21,$D$2:$D$618,"Energy products",$E$2:$E$618,"Supply",$G$2:$G$618,"&lt;&gt;STAT")-SUMIFS($K$2:$K$618,$B$2:$B$618,$B21,$C$2:$C$618,$C21,$D$2:$D$618,"Energy products",$E$2:$E$618,"Use",$G$2:$G$618,"&lt;&gt;STAT",$I$2:$I$618,"&lt;&gt;USO_NO_ENERGETICO_APARENTE",$I$2:$I$618,"&lt;&gt;USO_ENERGETICO_INTERNO_APARENTE"),10),IF(LEFT($H21,5)="STAT_",ROUND(SUMIFS($K$2:$K$618,$B$2:$B$618,$B21,$C$2:$C$618,$C21,$D$2:$D$618,"Energy products",$E$2:$E$618,"Supply",$G$2:$G$618,"&lt;&gt;STAT")-SUMIFS($K$2:$K$618,$B$2:$B$618,$B21,$C$2:$C$618,$C21,$D$2:$D$618,"Energy products",$E$2:$E$618,"Use",$G$2:$G$618,"&lt;&gt;STAT"),10),IF($J21="cambio de signo",-INDEX(DATOS_MODELO!$U$2:$U$3672,MATCH($H21,DATOS_MODELO!$B$2:$B$3672,0)),IF($J21="valor absoluto",ABS(INDEX(DATOS_MODELO!$U$2:$U$3672,MATCH($H21,DATOS_MODELO!$B$2:$B$3672,0))),INDEX(DATOS_MODELO!$U$2:$U$3672,MATCH($H21,DATOS_MODELO!$B$2:$B$3672,0))))))</f>
        <v>736.0108</v>
      </c>
      <c r="L21" s="8" t="str">
        <f aca="false">IF(LEFT($H21,5)&lt;&gt;"STAT_","",IF(ABS($K21)&lt;=COUNTIFS($B$2:$B$618,$B21,$C$2:$C$618,$C21,$D$2:$D$618,"Energy products",$G$2:$G$618,"&lt;&gt;STAT")*PARAMETROS!$B$6,"redondeo","residuo_estadistico"))</f>
        <v/>
      </c>
      <c r="M21" s="8" t="str">
        <f>IF(OR($I21="USO_NO_ENERGETICO_APARENTE",$I21="USO_ENERGETICO_INTERNO_APARENTE"),"CAL",IF(LEFT($H21,5)="STAT_","FORMULA",IF(COUNTIF(DATOS_MODELO!$B$2:$B$3672,$H21)=1,"OK","REVISAR")))</f>
        <v>OK</v>
      </c>
    </row>
    <row r="22" customFormat="false" ht="15" hidden="false" customHeight="false" outlineLevel="0" collapsed="false">
      <c r="A22" s="4" t="s">
        <v>2061</v>
      </c>
      <c r="B22" s="12" t="n">
        <v>2024</v>
      </c>
      <c r="C22" s="4" t="s">
        <v>84</v>
      </c>
      <c r="D22" s="4" t="s">
        <v>2018</v>
      </c>
      <c r="E22" s="4" t="s">
        <v>1994</v>
      </c>
      <c r="F22" s="4" t="s">
        <v>65</v>
      </c>
      <c r="G22" s="4" t="s">
        <v>64</v>
      </c>
      <c r="H22" s="4" t="s">
        <v>1791</v>
      </c>
      <c r="I22" s="4" t="s">
        <v>2044</v>
      </c>
      <c r="J22" s="4" t="s">
        <v>1997</v>
      </c>
      <c r="K22" s="14">
        <f>IF(OR($I22="USO_NO_ENERGETICO_APARENTE",$I22="USO_ENERGETICO_INTERNO_APARENTE"),ROUND(SUMIFS($K$2:$K$618,$B$2:$B$618,$B22,$C$2:$C$618,$C22,$D$2:$D$618,"Energy products",$E$2:$E$618,"Supply",$G$2:$G$618,"&lt;&gt;STAT")-SUMIFS($K$2:$K$618,$B$2:$B$618,$B22,$C$2:$C$618,$C22,$D$2:$D$618,"Energy products",$E$2:$E$618,"Use",$G$2:$G$618,"&lt;&gt;STAT",$I$2:$I$618,"&lt;&gt;USO_NO_ENERGETICO_APARENTE",$I$2:$I$618,"&lt;&gt;USO_ENERGETICO_INTERNO_APARENTE"),10),IF(LEFT($H22,5)="STAT_",ROUND(SUMIFS($K$2:$K$618,$B$2:$B$618,$B22,$C$2:$C$618,$C22,$D$2:$D$618,"Energy products",$E$2:$E$618,"Supply",$G$2:$G$618,"&lt;&gt;STAT")-SUMIFS($K$2:$K$618,$B$2:$B$618,$B22,$C$2:$C$618,$C22,$D$2:$D$618,"Energy products",$E$2:$E$618,"Use",$G$2:$G$618,"&lt;&gt;STAT"),10),IF($J22="cambio de signo",-INDEX(DATOS_MODELO!$U$2:$U$3672,MATCH($H22,DATOS_MODELO!$B$2:$B$3672,0)),IF($J22="valor absoluto",ABS(INDEX(DATOS_MODELO!$U$2:$U$3672,MATCH($H22,DATOS_MODELO!$B$2:$B$3672,0))),INDEX(DATOS_MODELO!$U$2:$U$3672,MATCH($H22,DATOS_MODELO!$B$2:$B$3672,0))))))</f>
        <v>24578.4497</v>
      </c>
      <c r="L22" s="8" t="str">
        <f aca="false">IF(LEFT($H22,5)&lt;&gt;"STAT_","",IF(ABS($K22)&lt;=COUNTIFS($B$2:$B$618,$B22,$C$2:$C$618,$C22,$D$2:$D$618,"Energy products",$G$2:$G$618,"&lt;&gt;STAT")*PARAMETROS!$B$6,"redondeo","residuo_estadistico"))</f>
        <v/>
      </c>
      <c r="M22" s="8" t="str">
        <f>IF(OR($I22="USO_NO_ENERGETICO_APARENTE",$I22="USO_ENERGETICO_INTERNO_APARENTE"),"CAL",IF(LEFT($H22,5)="STAT_","FORMULA",IF(COUNTIF(DATOS_MODELO!$B$2:$B$3672,$H22)=1,"OK","REVISAR")))</f>
        <v>OK</v>
      </c>
    </row>
    <row r="23" customFormat="false" ht="15" hidden="false" customHeight="false" outlineLevel="0" collapsed="false">
      <c r="A23" s="4" t="s">
        <v>2063</v>
      </c>
      <c r="B23" s="12" t="n">
        <v>2024</v>
      </c>
      <c r="C23" s="4" t="s">
        <v>84</v>
      </c>
      <c r="D23" s="4" t="s">
        <v>2018</v>
      </c>
      <c r="E23" s="4" t="s">
        <v>2001</v>
      </c>
      <c r="F23" s="4" t="s">
        <v>66</v>
      </c>
      <c r="G23" s="4" t="s">
        <v>67</v>
      </c>
      <c r="H23" s="4" t="s">
        <v>1797</v>
      </c>
      <c r="I23" s="4" t="s">
        <v>2003</v>
      </c>
      <c r="J23" s="4" t="s">
        <v>2004</v>
      </c>
      <c r="K23" s="14">
        <f>IF(OR($I23="USO_NO_ENERGETICO_APARENTE",$I23="USO_ENERGETICO_INTERNO_APARENTE"),ROUND(SUMIFS($K$2:$K$618,$B$2:$B$618,$B23,$C$2:$C$618,$C23,$D$2:$D$618,"Energy products",$E$2:$E$618,"Supply",$G$2:$G$618,"&lt;&gt;STAT")-SUMIFS($K$2:$K$618,$B$2:$B$618,$B23,$C$2:$C$618,$C23,$D$2:$D$618,"Energy products",$E$2:$E$618,"Use",$G$2:$G$618,"&lt;&gt;STAT",$I$2:$I$618,"&lt;&gt;USO_NO_ENERGETICO_APARENTE",$I$2:$I$618,"&lt;&gt;USO_ENERGETICO_INTERNO_APARENTE"),10),IF(LEFT($H23,5)="STAT_",ROUND(SUMIFS($K$2:$K$618,$B$2:$B$618,$B23,$C$2:$C$618,$C23,$D$2:$D$618,"Energy products",$E$2:$E$618,"Supply",$G$2:$G$618,"&lt;&gt;STAT")-SUMIFS($K$2:$K$618,$B$2:$B$618,$B23,$C$2:$C$618,$C23,$D$2:$D$618,"Energy products",$E$2:$E$618,"Use",$G$2:$G$618,"&lt;&gt;STAT"),10),IF($J23="cambio de signo",-INDEX(DATOS_MODELO!$U$2:$U$3672,MATCH($H23,DATOS_MODELO!$B$2:$B$3672,0)),IF($J23="valor absoluto",ABS(INDEX(DATOS_MODELO!$U$2:$U$3672,MATCH($H23,DATOS_MODELO!$B$2:$B$3672,0))),INDEX(DATOS_MODELO!$U$2:$U$3672,MATCH($H23,DATOS_MODELO!$B$2:$B$3672,0))))))</f>
        <v>24483.3981</v>
      </c>
      <c r="L23" s="8" t="str">
        <f aca="false">IF(LEFT($H23,5)&lt;&gt;"STAT_","",IF(ABS($K23)&lt;=COUNTIFS($B$2:$B$618,$B23,$C$2:$C$618,$C23,$D$2:$D$618,"Energy products",$G$2:$G$618,"&lt;&gt;STAT")*PARAMETROS!$B$6,"redondeo","residuo_estadistico"))</f>
        <v/>
      </c>
      <c r="M23" s="8" t="str">
        <f>IF(OR($I23="USO_NO_ENERGETICO_APARENTE",$I23="USO_ENERGETICO_INTERNO_APARENTE"),"CAL",IF(LEFT($H23,5)="STAT_","FORMULA",IF(COUNTIF(DATOS_MODELO!$B$2:$B$3672,$H23)=1,"OK","REVISAR")))</f>
        <v>OK</v>
      </c>
    </row>
    <row r="24" customFormat="false" ht="15" hidden="false" customHeight="false" outlineLevel="0" collapsed="false">
      <c r="A24" s="4" t="s">
        <v>2065</v>
      </c>
      <c r="B24" s="12" t="n">
        <v>2024</v>
      </c>
      <c r="C24" s="4" t="s">
        <v>84</v>
      </c>
      <c r="D24" s="4" t="s">
        <v>2018</v>
      </c>
      <c r="E24" s="4" t="s">
        <v>2001</v>
      </c>
      <c r="F24" s="4" t="s">
        <v>66</v>
      </c>
      <c r="G24" s="4" t="s">
        <v>67</v>
      </c>
      <c r="H24" s="4" t="s">
        <v>1798</v>
      </c>
      <c r="I24" s="4" t="s">
        <v>2008</v>
      </c>
      <c r="J24" s="4" t="s">
        <v>2004</v>
      </c>
      <c r="K24" s="14">
        <f>IF(OR($I24="USO_NO_ENERGETICO_APARENTE",$I24="USO_ENERGETICO_INTERNO_APARENTE"),ROUND(SUMIFS($K$2:$K$618,$B$2:$B$618,$B24,$C$2:$C$618,$C24,$D$2:$D$618,"Energy products",$E$2:$E$618,"Supply",$G$2:$G$618,"&lt;&gt;STAT")-SUMIFS($K$2:$K$618,$B$2:$B$618,$B24,$C$2:$C$618,$C24,$D$2:$D$618,"Energy products",$E$2:$E$618,"Use",$G$2:$G$618,"&lt;&gt;STAT",$I$2:$I$618,"&lt;&gt;USO_NO_ENERGETICO_APARENTE",$I$2:$I$618,"&lt;&gt;USO_ENERGETICO_INTERNO_APARENTE"),10),IF(LEFT($H24,5)="STAT_",ROUND(SUMIFS($K$2:$K$618,$B$2:$B$618,$B24,$C$2:$C$618,$C24,$D$2:$D$618,"Energy products",$E$2:$E$618,"Supply",$G$2:$G$618,"&lt;&gt;STAT")-SUMIFS($K$2:$K$618,$B$2:$B$618,$B24,$C$2:$C$618,$C24,$D$2:$D$618,"Energy products",$E$2:$E$618,"Use",$G$2:$G$618,"&lt;&gt;STAT"),10),IF($J24="cambio de signo",-INDEX(DATOS_MODELO!$U$2:$U$3672,MATCH($H24,DATOS_MODELO!$B$2:$B$3672,0)),IF($J24="valor absoluto",ABS(INDEX(DATOS_MODELO!$U$2:$U$3672,MATCH($H24,DATOS_MODELO!$B$2:$B$3672,0))),INDEX(DATOS_MODELO!$U$2:$U$3672,MATCH($H24,DATOS_MODELO!$B$2:$B$3672,0))))))</f>
        <v>95.0516</v>
      </c>
      <c r="L24" s="8" t="str">
        <f aca="false">IF(LEFT($H24,5)&lt;&gt;"STAT_","",IF(ABS($K24)&lt;=COUNTIFS($B$2:$B$618,$B24,$C$2:$C$618,$C24,$D$2:$D$618,"Energy products",$G$2:$G$618,"&lt;&gt;STAT")*PARAMETROS!$B$6,"redondeo","residuo_estadistico"))</f>
        <v/>
      </c>
      <c r="M24" s="8" t="str">
        <f>IF(OR($I24="USO_NO_ENERGETICO_APARENTE",$I24="USO_ENERGETICO_INTERNO_APARENTE"),"CAL",IF(LEFT($H24,5)="STAT_","FORMULA",IF(COUNTIF(DATOS_MODELO!$B$2:$B$3672,$H24)=1,"OK","REVISAR")))</f>
        <v>OK</v>
      </c>
    </row>
    <row r="25" customFormat="false" ht="15" hidden="false" customHeight="false" outlineLevel="0" collapsed="false">
      <c r="A25" s="4" t="s">
        <v>2068</v>
      </c>
      <c r="B25" s="12" t="n">
        <v>2024</v>
      </c>
      <c r="C25" s="4" t="s">
        <v>109</v>
      </c>
      <c r="D25" s="4" t="s">
        <v>1993</v>
      </c>
      <c r="E25" s="4" t="s">
        <v>1994</v>
      </c>
      <c r="F25" s="4" t="s">
        <v>1995</v>
      </c>
      <c r="G25" s="4" t="s">
        <v>65</v>
      </c>
      <c r="H25" s="4" t="s">
        <v>1806</v>
      </c>
      <c r="I25" s="4" t="s">
        <v>2070</v>
      </c>
      <c r="J25" s="4" t="s">
        <v>1997</v>
      </c>
      <c r="K25" s="14">
        <f>IF(OR($I25="USO_NO_ENERGETICO_APARENTE",$I25="USO_ENERGETICO_INTERNO_APARENTE"),ROUND(SUMIFS($K$2:$K$618,$B$2:$B$618,$B25,$C$2:$C$618,$C25,$D$2:$D$618,"Energy products",$E$2:$E$618,"Supply",$G$2:$G$618,"&lt;&gt;STAT")-SUMIFS($K$2:$K$618,$B$2:$B$618,$B25,$C$2:$C$618,$C25,$D$2:$D$618,"Energy products",$E$2:$E$618,"Use",$G$2:$G$618,"&lt;&gt;STAT",$I$2:$I$618,"&lt;&gt;USO_NO_ENERGETICO_APARENTE",$I$2:$I$618,"&lt;&gt;USO_ENERGETICO_INTERNO_APARENTE"),10),IF(LEFT($H25,5)="STAT_",ROUND(SUMIFS($K$2:$K$618,$B$2:$B$618,$B25,$C$2:$C$618,$C25,$D$2:$D$618,"Energy products",$E$2:$E$618,"Supply",$G$2:$G$618,"&lt;&gt;STAT")-SUMIFS($K$2:$K$618,$B$2:$B$618,$B25,$C$2:$C$618,$C25,$D$2:$D$618,"Energy products",$E$2:$E$618,"Use",$G$2:$G$618,"&lt;&gt;STAT"),10),IF($J25="cambio de signo",-INDEX(DATOS_MODELO!$U$2:$U$3672,MATCH($H25,DATOS_MODELO!$B$2:$B$3672,0)),IF($J25="valor absoluto",ABS(INDEX(DATOS_MODELO!$U$2:$U$3672,MATCH($H25,DATOS_MODELO!$B$2:$B$3672,0))),INDEX(DATOS_MODELO!$U$2:$U$3672,MATCH($H25,DATOS_MODELO!$B$2:$B$3672,0))))))</f>
        <v>342603.9638</v>
      </c>
      <c r="L25" s="8" t="str">
        <f aca="false">IF(LEFT($H25,5)&lt;&gt;"STAT_","",IF(ABS($K25)&lt;=COUNTIFS($B$2:$B$618,$B25,$C$2:$C$618,$C25,$D$2:$D$618,"Energy products",$G$2:$G$618,"&lt;&gt;STAT")*PARAMETROS!$B$6,"redondeo","residuo_estadistico"))</f>
        <v/>
      </c>
      <c r="M25" s="8" t="str">
        <f>IF(OR($I25="USO_NO_ENERGETICO_APARENTE",$I25="USO_ENERGETICO_INTERNO_APARENTE"),"CAL",IF(LEFT($H25,5)="STAT_","FORMULA",IF(COUNTIF(DATOS_MODELO!$B$2:$B$3672,$H25)=1,"OK","REVISAR")))</f>
        <v>OK</v>
      </c>
    </row>
    <row r="26" customFormat="false" ht="15" hidden="false" customHeight="false" outlineLevel="0" collapsed="false">
      <c r="A26" s="4" t="s">
        <v>2072</v>
      </c>
      <c r="B26" s="12" t="n">
        <v>2024</v>
      </c>
      <c r="C26" s="4" t="s">
        <v>109</v>
      </c>
      <c r="D26" s="4" t="s">
        <v>1993</v>
      </c>
      <c r="E26" s="4" t="s">
        <v>2001</v>
      </c>
      <c r="F26" s="4" t="s">
        <v>2074</v>
      </c>
      <c r="G26" s="4" t="s">
        <v>73</v>
      </c>
      <c r="H26" s="4" t="s">
        <v>1817</v>
      </c>
      <c r="I26" s="4" t="s">
        <v>2075</v>
      </c>
      <c r="J26" s="4" t="s">
        <v>1997</v>
      </c>
      <c r="K26" s="14">
        <f>IF(OR($I26="USO_NO_ENERGETICO_APARENTE",$I26="USO_ENERGETICO_INTERNO_APARENTE"),ROUND(SUMIFS($K$2:$K$618,$B$2:$B$618,$B26,$C$2:$C$618,$C26,$D$2:$D$618,"Energy products",$E$2:$E$618,"Supply",$G$2:$G$618,"&lt;&gt;STAT")-SUMIFS($K$2:$K$618,$B$2:$B$618,$B26,$C$2:$C$618,$C26,$D$2:$D$618,"Energy products",$E$2:$E$618,"Use",$G$2:$G$618,"&lt;&gt;STAT",$I$2:$I$618,"&lt;&gt;USO_NO_ENERGETICO_APARENTE",$I$2:$I$618,"&lt;&gt;USO_ENERGETICO_INTERNO_APARENTE"),10),IF(LEFT($H26,5)="STAT_",ROUND(SUMIFS($K$2:$K$618,$B$2:$B$618,$B26,$C$2:$C$618,$C26,$D$2:$D$618,"Energy products",$E$2:$E$618,"Supply",$G$2:$G$618,"&lt;&gt;STAT")-SUMIFS($K$2:$K$618,$B$2:$B$618,$B26,$C$2:$C$618,$C26,$D$2:$D$618,"Energy products",$E$2:$E$618,"Use",$G$2:$G$618,"&lt;&gt;STAT"),10),IF($J26="cambio de signo",-INDEX(DATOS_MODELO!$U$2:$U$3672,MATCH($H26,DATOS_MODELO!$B$2:$B$3672,0)),IF($J26="valor absoluto",ABS(INDEX(DATOS_MODELO!$U$2:$U$3672,MATCH($H26,DATOS_MODELO!$B$2:$B$3672,0))),INDEX(DATOS_MODELO!$U$2:$U$3672,MATCH($H26,DATOS_MODELO!$B$2:$B$3672,0))))))</f>
        <v>332325.8414</v>
      </c>
      <c r="L26" s="8" t="str">
        <f aca="false">IF(LEFT($H26,5)&lt;&gt;"STAT_","",IF(ABS($K26)&lt;=COUNTIFS($B$2:$B$618,$B26,$C$2:$C$618,$C26,$D$2:$D$618,"Energy products",$G$2:$G$618,"&lt;&gt;STAT")*PARAMETROS!$B$6,"redondeo","residuo_estadistico"))</f>
        <v/>
      </c>
      <c r="M26" s="8" t="str">
        <f>IF(OR($I26="USO_NO_ENERGETICO_APARENTE",$I26="USO_ENERGETICO_INTERNO_APARENTE"),"CAL",IF(LEFT($H26,5)="STAT_","FORMULA",IF(COUNTIF(DATOS_MODELO!$B$2:$B$3672,$H26)=1,"OK","REVISAR")))</f>
        <v>OK</v>
      </c>
    </row>
    <row r="27" customFormat="false" ht="15" hidden="false" customHeight="false" outlineLevel="0" collapsed="false">
      <c r="A27" s="4" t="s">
        <v>2077</v>
      </c>
      <c r="B27" s="12" t="n">
        <v>2024</v>
      </c>
      <c r="C27" s="4" t="s">
        <v>109</v>
      </c>
      <c r="D27" s="4" t="s">
        <v>1993</v>
      </c>
      <c r="E27" s="4" t="s">
        <v>2001</v>
      </c>
      <c r="F27" s="4" t="s">
        <v>2002</v>
      </c>
      <c r="G27" s="4" t="s">
        <v>72</v>
      </c>
      <c r="H27" s="4" t="s">
        <v>1819</v>
      </c>
      <c r="I27" s="4" t="s">
        <v>2079</v>
      </c>
      <c r="J27" s="4" t="s">
        <v>1997</v>
      </c>
      <c r="K27" s="14">
        <f>IF(OR($I27="USO_NO_ENERGETICO_APARENTE",$I27="USO_ENERGETICO_INTERNO_APARENTE"),ROUND(SUMIFS($K$2:$K$618,$B$2:$B$618,$B27,$C$2:$C$618,$C27,$D$2:$D$618,"Energy products",$E$2:$E$618,"Supply",$G$2:$G$618,"&lt;&gt;STAT")-SUMIFS($K$2:$K$618,$B$2:$B$618,$B27,$C$2:$C$618,$C27,$D$2:$D$618,"Energy products",$E$2:$E$618,"Use",$G$2:$G$618,"&lt;&gt;STAT",$I$2:$I$618,"&lt;&gt;USO_NO_ENERGETICO_APARENTE",$I$2:$I$618,"&lt;&gt;USO_ENERGETICO_INTERNO_APARENTE"),10),IF(LEFT($H27,5)="STAT_",ROUND(SUMIFS($K$2:$K$618,$B$2:$B$618,$B27,$C$2:$C$618,$C27,$D$2:$D$618,"Energy products",$E$2:$E$618,"Supply",$G$2:$G$618,"&lt;&gt;STAT")-SUMIFS($K$2:$K$618,$B$2:$B$618,$B27,$C$2:$C$618,$C27,$D$2:$D$618,"Energy products",$E$2:$E$618,"Use",$G$2:$G$618,"&lt;&gt;STAT"),10),IF($J27="cambio de signo",-INDEX(DATOS_MODELO!$U$2:$U$3672,MATCH($H27,DATOS_MODELO!$B$2:$B$3672,0)),IF($J27="valor absoluto",ABS(INDEX(DATOS_MODELO!$U$2:$U$3672,MATCH($H27,DATOS_MODELO!$B$2:$B$3672,0))),INDEX(DATOS_MODELO!$U$2:$U$3672,MATCH($H27,DATOS_MODELO!$B$2:$B$3672,0))))))</f>
        <v>10278.1224</v>
      </c>
      <c r="L27" s="8" t="str">
        <f aca="false">IF(LEFT($H27,5)&lt;&gt;"STAT_","",IF(ABS($K27)&lt;=COUNTIFS($B$2:$B$618,$B27,$C$2:$C$618,$C27,$D$2:$D$618,"Energy products",$G$2:$G$618,"&lt;&gt;STAT")*PARAMETROS!$B$6,"redondeo","residuo_estadistico"))</f>
        <v/>
      </c>
      <c r="M27" s="8" t="str">
        <f>IF(OR($I27="USO_NO_ENERGETICO_APARENTE",$I27="USO_ENERGETICO_INTERNO_APARENTE"),"CAL",IF(LEFT($H27,5)="STAT_","FORMULA",IF(COUNTIF(DATOS_MODELO!$B$2:$B$3672,$H27)=1,"OK","REVISAR")))</f>
        <v>OK</v>
      </c>
    </row>
    <row r="28" customFormat="false" ht="15" hidden="false" customHeight="false" outlineLevel="0" collapsed="false">
      <c r="A28" s="4" t="s">
        <v>2081</v>
      </c>
      <c r="B28" s="12" t="n">
        <v>2024</v>
      </c>
      <c r="C28" s="4" t="s">
        <v>86</v>
      </c>
      <c r="D28" s="4" t="s">
        <v>2018</v>
      </c>
      <c r="E28" s="4" t="s">
        <v>1994</v>
      </c>
      <c r="F28" s="4" t="s">
        <v>65</v>
      </c>
      <c r="G28" s="4" t="s">
        <v>64</v>
      </c>
      <c r="H28" s="4" t="s">
        <v>1824</v>
      </c>
      <c r="I28" s="4" t="s">
        <v>2019</v>
      </c>
      <c r="J28" s="4" t="s">
        <v>1997</v>
      </c>
      <c r="K28" s="14">
        <f>IF(OR($I28="USO_NO_ENERGETICO_APARENTE",$I28="USO_ENERGETICO_INTERNO_APARENTE"),ROUND(SUMIFS($K$2:$K$618,$B$2:$B$618,$B28,$C$2:$C$618,$C28,$D$2:$D$618,"Energy products",$E$2:$E$618,"Supply",$G$2:$G$618,"&lt;&gt;STAT")-SUMIFS($K$2:$K$618,$B$2:$B$618,$B28,$C$2:$C$618,$C28,$D$2:$D$618,"Energy products",$E$2:$E$618,"Use",$G$2:$G$618,"&lt;&gt;STAT",$I$2:$I$618,"&lt;&gt;USO_NO_ENERGETICO_APARENTE",$I$2:$I$618,"&lt;&gt;USO_ENERGETICO_INTERNO_APARENTE"),10),IF(LEFT($H28,5)="STAT_",ROUND(SUMIFS($K$2:$K$618,$B$2:$B$618,$B28,$C$2:$C$618,$C28,$D$2:$D$618,"Energy products",$E$2:$E$618,"Supply",$G$2:$G$618,"&lt;&gt;STAT")-SUMIFS($K$2:$K$618,$B$2:$B$618,$B28,$C$2:$C$618,$C28,$D$2:$D$618,"Energy products",$E$2:$E$618,"Use",$G$2:$G$618,"&lt;&gt;STAT"),10),IF($J28="cambio de signo",-INDEX(DATOS_MODELO!$U$2:$U$3672,MATCH($H28,DATOS_MODELO!$B$2:$B$3672,0)),IF($J28="valor absoluto",ABS(INDEX(DATOS_MODELO!$U$2:$U$3672,MATCH($H28,DATOS_MODELO!$B$2:$B$3672,0))),INDEX(DATOS_MODELO!$U$2:$U$3672,MATCH($H28,DATOS_MODELO!$B$2:$B$3672,0))))))</f>
        <v>10735.3113</v>
      </c>
      <c r="L28" s="8" t="str">
        <f aca="false">IF(LEFT($H28,5)&lt;&gt;"STAT_","",IF(ABS($K28)&lt;=COUNTIFS($B$2:$B$618,$B28,$C$2:$C$618,$C28,$D$2:$D$618,"Energy products",$G$2:$G$618,"&lt;&gt;STAT")*PARAMETROS!$B$6,"redondeo","residuo_estadistico"))</f>
        <v/>
      </c>
      <c r="M28" s="8" t="str">
        <f>IF(OR($I28="USO_NO_ENERGETICO_APARENTE",$I28="USO_ENERGETICO_INTERNO_APARENTE"),"CAL",IF(LEFT($H28,5)="STAT_","FORMULA",IF(COUNTIF(DATOS_MODELO!$B$2:$B$3672,$H28)=1,"OK","REVISAR")))</f>
        <v>OK</v>
      </c>
    </row>
    <row r="29" customFormat="false" ht="15" hidden="false" customHeight="false" outlineLevel="0" collapsed="false">
      <c r="A29" s="4" t="s">
        <v>2083</v>
      </c>
      <c r="B29" s="12" t="n">
        <v>2024</v>
      </c>
      <c r="C29" s="4" t="s">
        <v>86</v>
      </c>
      <c r="D29" s="4" t="s">
        <v>2018</v>
      </c>
      <c r="E29" s="4" t="s">
        <v>2001</v>
      </c>
      <c r="F29" s="4" t="s">
        <v>66</v>
      </c>
      <c r="G29" s="4" t="s">
        <v>66</v>
      </c>
      <c r="H29" s="4" t="s">
        <v>1824</v>
      </c>
      <c r="I29" s="4" t="s">
        <v>2019</v>
      </c>
      <c r="J29" s="4" t="s">
        <v>1997</v>
      </c>
      <c r="K29" s="14">
        <f>IF(OR($I29="USO_NO_ENERGETICO_APARENTE",$I29="USO_ENERGETICO_INTERNO_APARENTE"),ROUND(SUMIFS($K$2:$K$618,$B$2:$B$618,$B29,$C$2:$C$618,$C29,$D$2:$D$618,"Energy products",$E$2:$E$618,"Supply",$G$2:$G$618,"&lt;&gt;STAT")-SUMIFS($K$2:$K$618,$B$2:$B$618,$B29,$C$2:$C$618,$C29,$D$2:$D$618,"Energy products",$E$2:$E$618,"Use",$G$2:$G$618,"&lt;&gt;STAT",$I$2:$I$618,"&lt;&gt;USO_NO_ENERGETICO_APARENTE",$I$2:$I$618,"&lt;&gt;USO_ENERGETICO_INTERNO_APARENTE"),10),IF(LEFT($H29,5)="STAT_",ROUND(SUMIFS($K$2:$K$618,$B$2:$B$618,$B29,$C$2:$C$618,$C29,$D$2:$D$618,"Energy products",$E$2:$E$618,"Supply",$G$2:$G$618,"&lt;&gt;STAT")-SUMIFS($K$2:$K$618,$B$2:$B$618,$B29,$C$2:$C$618,$C29,$D$2:$D$618,"Energy products",$E$2:$E$618,"Use",$G$2:$G$618,"&lt;&gt;STAT"),10),IF($J29="cambio de signo",-INDEX(DATOS_MODELO!$U$2:$U$3672,MATCH($H29,DATOS_MODELO!$B$2:$B$3672,0)),IF($J29="valor absoluto",ABS(INDEX(DATOS_MODELO!$U$2:$U$3672,MATCH($H29,DATOS_MODELO!$B$2:$B$3672,0))),INDEX(DATOS_MODELO!$U$2:$U$3672,MATCH($H29,DATOS_MODELO!$B$2:$B$3672,0))))))</f>
        <v>10735.3113</v>
      </c>
      <c r="L29" s="8" t="str">
        <f aca="false">IF(LEFT($H29,5)&lt;&gt;"STAT_","",IF(ABS($K29)&lt;=COUNTIFS($B$2:$B$618,$B29,$C$2:$C$618,$C29,$D$2:$D$618,"Energy products",$G$2:$G$618,"&lt;&gt;STAT")*PARAMETROS!$B$6,"redondeo","residuo_estadistico"))</f>
        <v/>
      </c>
      <c r="M29" s="8" t="str">
        <f>IF(OR($I29="USO_NO_ENERGETICO_APARENTE",$I29="USO_ENERGETICO_INTERNO_APARENTE"),"CAL",IF(LEFT($H29,5)="STAT_","FORMULA",IF(COUNTIF(DATOS_MODELO!$B$2:$B$3672,$H29)=1,"OK","REVISAR")))</f>
        <v>OK</v>
      </c>
    </row>
    <row r="30" customFormat="false" ht="15" hidden="false" customHeight="false" outlineLevel="0" collapsed="false">
      <c r="A30" s="4" t="s">
        <v>2085</v>
      </c>
      <c r="B30" s="12" t="n">
        <v>2024</v>
      </c>
      <c r="C30" s="4" t="s">
        <v>86</v>
      </c>
      <c r="D30" s="4" t="s">
        <v>1993</v>
      </c>
      <c r="E30" s="4" t="s">
        <v>1994</v>
      </c>
      <c r="F30" s="4" t="s">
        <v>1995</v>
      </c>
      <c r="G30" s="4" t="s">
        <v>66</v>
      </c>
      <c r="H30" s="4" t="s">
        <v>1824</v>
      </c>
      <c r="I30" s="4" t="s">
        <v>2019</v>
      </c>
      <c r="J30" s="4" t="s">
        <v>1997</v>
      </c>
      <c r="K30" s="14">
        <f>IF(OR($I30="USO_NO_ENERGETICO_APARENTE",$I30="USO_ENERGETICO_INTERNO_APARENTE"),ROUND(SUMIFS($K$2:$K$618,$B$2:$B$618,$B30,$C$2:$C$618,$C30,$D$2:$D$618,"Energy products",$E$2:$E$618,"Supply",$G$2:$G$618,"&lt;&gt;STAT")-SUMIFS($K$2:$K$618,$B$2:$B$618,$B30,$C$2:$C$618,$C30,$D$2:$D$618,"Energy products",$E$2:$E$618,"Use",$G$2:$G$618,"&lt;&gt;STAT",$I$2:$I$618,"&lt;&gt;USO_NO_ENERGETICO_APARENTE",$I$2:$I$618,"&lt;&gt;USO_ENERGETICO_INTERNO_APARENTE"),10),IF(LEFT($H30,5)="STAT_",ROUND(SUMIFS($K$2:$K$618,$B$2:$B$618,$B30,$C$2:$C$618,$C30,$D$2:$D$618,"Energy products",$E$2:$E$618,"Supply",$G$2:$G$618,"&lt;&gt;STAT")-SUMIFS($K$2:$K$618,$B$2:$B$618,$B30,$C$2:$C$618,$C30,$D$2:$D$618,"Energy products",$E$2:$E$618,"Use",$G$2:$G$618,"&lt;&gt;STAT"),10),IF($J30="cambio de signo",-INDEX(DATOS_MODELO!$U$2:$U$3672,MATCH($H30,DATOS_MODELO!$B$2:$B$3672,0)),IF($J30="valor absoluto",ABS(INDEX(DATOS_MODELO!$U$2:$U$3672,MATCH($H30,DATOS_MODELO!$B$2:$B$3672,0))),INDEX(DATOS_MODELO!$U$2:$U$3672,MATCH($H30,DATOS_MODELO!$B$2:$B$3672,0))))))</f>
        <v>10735.3113</v>
      </c>
      <c r="L30" s="8" t="str">
        <f aca="false">IF(LEFT($H30,5)&lt;&gt;"STAT_","",IF(ABS($K30)&lt;=COUNTIFS($B$2:$B$618,$B30,$C$2:$C$618,$C30,$D$2:$D$618,"Energy products",$G$2:$G$618,"&lt;&gt;STAT")*PARAMETROS!$B$6,"redondeo","residuo_estadistico"))</f>
        <v/>
      </c>
      <c r="M30" s="8" t="str">
        <f>IF(OR($I30="USO_NO_ENERGETICO_APARENTE",$I30="USO_ENERGETICO_INTERNO_APARENTE"),"CAL",IF(LEFT($H30,5)="STAT_","FORMULA",IF(COUNTIF(DATOS_MODELO!$B$2:$B$3672,$H30)=1,"OK","REVISAR")))</f>
        <v>OK</v>
      </c>
    </row>
    <row r="31" customFormat="false" ht="15" hidden="false" customHeight="false" outlineLevel="0" collapsed="false">
      <c r="A31" s="4" t="s">
        <v>2087</v>
      </c>
      <c r="B31" s="12" t="n">
        <v>2024</v>
      </c>
      <c r="C31" s="4" t="s">
        <v>86</v>
      </c>
      <c r="D31" s="4" t="s">
        <v>1993</v>
      </c>
      <c r="E31" s="4" t="s">
        <v>1994</v>
      </c>
      <c r="F31" s="4" t="s">
        <v>2029</v>
      </c>
      <c r="G31" s="4" t="s">
        <v>69</v>
      </c>
      <c r="H31" s="4" t="s">
        <v>1826</v>
      </c>
      <c r="I31" s="4" t="s">
        <v>2030</v>
      </c>
      <c r="J31" s="4" t="s">
        <v>1997</v>
      </c>
      <c r="K31" s="14">
        <f>IF(OR($I31="USO_NO_ENERGETICO_APARENTE",$I31="USO_ENERGETICO_INTERNO_APARENTE"),ROUND(SUMIFS($K$2:$K$618,$B$2:$B$618,$B31,$C$2:$C$618,$C31,$D$2:$D$618,"Energy products",$E$2:$E$618,"Supply",$G$2:$G$618,"&lt;&gt;STAT")-SUMIFS($K$2:$K$618,$B$2:$B$618,$B31,$C$2:$C$618,$C31,$D$2:$D$618,"Energy products",$E$2:$E$618,"Use",$G$2:$G$618,"&lt;&gt;STAT",$I$2:$I$618,"&lt;&gt;USO_NO_ENERGETICO_APARENTE",$I$2:$I$618,"&lt;&gt;USO_ENERGETICO_INTERNO_APARENTE"),10),IF(LEFT($H31,5)="STAT_",ROUND(SUMIFS($K$2:$K$618,$B$2:$B$618,$B31,$C$2:$C$618,$C31,$D$2:$D$618,"Energy products",$E$2:$E$618,"Supply",$G$2:$G$618,"&lt;&gt;STAT")-SUMIFS($K$2:$K$618,$B$2:$B$618,$B31,$C$2:$C$618,$C31,$D$2:$D$618,"Energy products",$E$2:$E$618,"Use",$G$2:$G$618,"&lt;&gt;STAT"),10),IF($J31="cambio de signo",-INDEX(DATOS_MODELO!$U$2:$U$3672,MATCH($H31,DATOS_MODELO!$B$2:$B$3672,0)),IF($J31="valor absoluto",ABS(INDEX(DATOS_MODELO!$U$2:$U$3672,MATCH($H31,DATOS_MODELO!$B$2:$B$3672,0))),INDEX(DATOS_MODELO!$U$2:$U$3672,MATCH($H31,DATOS_MODELO!$B$2:$B$3672,0))))))</f>
        <v>191.6138</v>
      </c>
      <c r="L31" s="8" t="str">
        <f aca="false">IF(LEFT($H31,5)&lt;&gt;"STAT_","",IF(ABS($K31)&lt;=COUNTIFS($B$2:$B$618,$B31,$C$2:$C$618,$C31,$D$2:$D$618,"Energy products",$G$2:$G$618,"&lt;&gt;STAT")*PARAMETROS!$B$6,"redondeo","residuo_estadistico"))</f>
        <v/>
      </c>
      <c r="M31" s="8" t="str">
        <f>IF(OR($I31="USO_NO_ENERGETICO_APARENTE",$I31="USO_ENERGETICO_INTERNO_APARENTE"),"CAL",IF(LEFT($H31,5)="STAT_","FORMULA",IF(COUNTIF(DATOS_MODELO!$B$2:$B$3672,$H31)=1,"OK","REVISAR")))</f>
        <v>OK</v>
      </c>
    </row>
    <row r="32" customFormat="false" ht="15" hidden="false" customHeight="false" outlineLevel="0" collapsed="false">
      <c r="A32" s="4" t="s">
        <v>2089</v>
      </c>
      <c r="B32" s="12" t="n">
        <v>2024</v>
      </c>
      <c r="C32" s="4" t="s">
        <v>86</v>
      </c>
      <c r="D32" s="4" t="s">
        <v>1993</v>
      </c>
      <c r="E32" s="4" t="s">
        <v>2001</v>
      </c>
      <c r="F32" s="4" t="s">
        <v>2091</v>
      </c>
      <c r="G32" s="4" t="s">
        <v>69</v>
      </c>
      <c r="H32" s="4" t="s">
        <v>1827</v>
      </c>
      <c r="I32" s="4" t="s">
        <v>2030</v>
      </c>
      <c r="J32" s="4" t="s">
        <v>1997</v>
      </c>
      <c r="K32" s="14">
        <f>IF(OR($I32="USO_NO_ENERGETICO_APARENTE",$I32="USO_ENERGETICO_INTERNO_APARENTE"),ROUND(SUMIFS($K$2:$K$618,$B$2:$B$618,$B32,$C$2:$C$618,$C32,$D$2:$D$618,"Energy products",$E$2:$E$618,"Supply",$G$2:$G$618,"&lt;&gt;STAT")-SUMIFS($K$2:$K$618,$B$2:$B$618,$B32,$C$2:$C$618,$C32,$D$2:$D$618,"Energy products",$E$2:$E$618,"Use",$G$2:$G$618,"&lt;&gt;STAT",$I$2:$I$618,"&lt;&gt;USO_NO_ENERGETICO_APARENTE",$I$2:$I$618,"&lt;&gt;USO_ENERGETICO_INTERNO_APARENTE"),10),IF(LEFT($H32,5)="STAT_",ROUND(SUMIFS($K$2:$K$618,$B$2:$B$618,$B32,$C$2:$C$618,$C32,$D$2:$D$618,"Energy products",$E$2:$E$618,"Supply",$G$2:$G$618,"&lt;&gt;STAT")-SUMIFS($K$2:$K$618,$B$2:$B$618,$B32,$C$2:$C$618,$C32,$D$2:$D$618,"Energy products",$E$2:$E$618,"Use",$G$2:$G$618,"&lt;&gt;STAT"),10),IF($J32="cambio de signo",-INDEX(DATOS_MODELO!$U$2:$U$3672,MATCH($H32,DATOS_MODELO!$B$2:$B$3672,0)),IF($J32="valor absoluto",ABS(INDEX(DATOS_MODELO!$U$2:$U$3672,MATCH($H32,DATOS_MODELO!$B$2:$B$3672,0))),INDEX(DATOS_MODELO!$U$2:$U$3672,MATCH($H32,DATOS_MODELO!$B$2:$B$3672,0))))))</f>
        <v>6505.2246</v>
      </c>
      <c r="L32" s="8" t="str">
        <f aca="false">IF(LEFT($H32,5)&lt;&gt;"STAT_","",IF(ABS($K32)&lt;=COUNTIFS($B$2:$B$618,$B32,$C$2:$C$618,$C32,$D$2:$D$618,"Energy products",$G$2:$G$618,"&lt;&gt;STAT")*PARAMETROS!$B$6,"redondeo","residuo_estadistico"))</f>
        <v/>
      </c>
      <c r="M32" s="8" t="str">
        <f>IF(OR($I32="USO_NO_ENERGETICO_APARENTE",$I32="USO_ENERGETICO_INTERNO_APARENTE"),"CAL",IF(LEFT($H32,5)="STAT_","FORMULA",IF(COUNTIF(DATOS_MODELO!$B$2:$B$3672,$H32)=1,"OK","REVISAR")))</f>
        <v>OK</v>
      </c>
    </row>
    <row r="33" customFormat="false" ht="15" hidden="false" customHeight="false" outlineLevel="0" collapsed="false">
      <c r="A33" s="4" t="s">
        <v>2093</v>
      </c>
      <c r="B33" s="12" t="n">
        <v>2024</v>
      </c>
      <c r="C33" s="4" t="s">
        <v>86</v>
      </c>
      <c r="D33" s="4" t="s">
        <v>1993</v>
      </c>
      <c r="E33" s="4" t="s">
        <v>2001</v>
      </c>
      <c r="F33" s="4" t="s">
        <v>2034</v>
      </c>
      <c r="G33" s="4" t="s">
        <v>74</v>
      </c>
      <c r="H33" s="4" t="s">
        <v>1828</v>
      </c>
      <c r="I33" s="4" t="s">
        <v>2035</v>
      </c>
      <c r="J33" s="4" t="s">
        <v>2036</v>
      </c>
      <c r="K33" s="14">
        <f>IF(OR($I33="USO_NO_ENERGETICO_APARENTE",$I33="USO_ENERGETICO_INTERNO_APARENTE"),ROUND(SUMIFS($K$2:$K$618,$B$2:$B$618,$B33,$C$2:$C$618,$C33,$D$2:$D$618,"Energy products",$E$2:$E$618,"Supply",$G$2:$G$618,"&lt;&gt;STAT")-SUMIFS($K$2:$K$618,$B$2:$B$618,$B33,$C$2:$C$618,$C33,$D$2:$D$618,"Energy products",$E$2:$E$618,"Use",$G$2:$G$618,"&lt;&gt;STAT",$I$2:$I$618,"&lt;&gt;USO_NO_ENERGETICO_APARENTE",$I$2:$I$618,"&lt;&gt;USO_ENERGETICO_INTERNO_APARENTE"),10),IF(LEFT($H33,5)="STAT_",ROUND(SUMIFS($K$2:$K$618,$B$2:$B$618,$B33,$C$2:$C$618,$C33,$D$2:$D$618,"Energy products",$E$2:$E$618,"Supply",$G$2:$G$618,"&lt;&gt;STAT")-SUMIFS($K$2:$K$618,$B$2:$B$618,$B33,$C$2:$C$618,$C33,$D$2:$D$618,"Energy products",$E$2:$E$618,"Use",$G$2:$G$618,"&lt;&gt;STAT"),10),IF($J33="cambio de signo",-INDEX(DATOS_MODELO!$U$2:$U$3672,MATCH($H33,DATOS_MODELO!$B$2:$B$3672,0)),IF($J33="valor absoluto",ABS(INDEX(DATOS_MODELO!$U$2:$U$3672,MATCH($H33,DATOS_MODELO!$B$2:$B$3672,0))),INDEX(DATOS_MODELO!$U$2:$U$3672,MATCH($H33,DATOS_MODELO!$B$2:$B$3672,0))))))</f>
        <v>1491.6013</v>
      </c>
      <c r="L33" s="8" t="str">
        <f aca="false">IF(LEFT($H33,5)&lt;&gt;"STAT_","",IF(ABS($K33)&lt;=COUNTIFS($B$2:$B$618,$B33,$C$2:$C$618,$C33,$D$2:$D$618,"Energy products",$G$2:$G$618,"&lt;&gt;STAT")*PARAMETROS!$B$6,"redondeo","residuo_estadistico"))</f>
        <v/>
      </c>
      <c r="M33" s="8" t="str">
        <f>IF(OR($I33="USO_NO_ENERGETICO_APARENTE",$I33="USO_ENERGETICO_INTERNO_APARENTE"),"CAL",IF(LEFT($H33,5)="STAT_","FORMULA",IF(COUNTIF(DATOS_MODELO!$B$2:$B$3672,$H33)=1,"OK","REVISAR")))</f>
        <v>OK</v>
      </c>
    </row>
    <row r="34" customFormat="false" ht="15" hidden="false" customHeight="false" outlineLevel="0" collapsed="false">
      <c r="A34" s="4" t="s">
        <v>2095</v>
      </c>
      <c r="B34" s="12" t="n">
        <v>2024</v>
      </c>
      <c r="C34" s="4" t="s">
        <v>86</v>
      </c>
      <c r="D34" s="4" t="s">
        <v>1993</v>
      </c>
      <c r="E34" s="4" t="s">
        <v>2001</v>
      </c>
      <c r="F34" s="4" t="s">
        <v>2002</v>
      </c>
      <c r="G34" s="4" t="s">
        <v>67</v>
      </c>
      <c r="H34" s="4" t="s">
        <v>1829</v>
      </c>
      <c r="I34" s="4" t="s">
        <v>2097</v>
      </c>
      <c r="J34" s="4" t="s">
        <v>2004</v>
      </c>
      <c r="K34" s="14">
        <f>IF(OR($I34="USO_NO_ENERGETICO_APARENTE",$I34="USO_ENERGETICO_INTERNO_APARENTE"),ROUND(SUMIFS($K$2:$K$618,$B$2:$B$618,$B34,$C$2:$C$618,$C34,$D$2:$D$618,"Energy products",$E$2:$E$618,"Supply",$G$2:$G$618,"&lt;&gt;STAT")-SUMIFS($K$2:$K$618,$B$2:$B$618,$B34,$C$2:$C$618,$C34,$D$2:$D$618,"Energy products",$E$2:$E$618,"Use",$G$2:$G$618,"&lt;&gt;STAT",$I$2:$I$618,"&lt;&gt;USO_NO_ENERGETICO_APARENTE",$I$2:$I$618,"&lt;&gt;USO_ENERGETICO_INTERNO_APARENTE"),10),IF(LEFT($H34,5)="STAT_",ROUND(SUMIFS($K$2:$K$618,$B$2:$B$618,$B34,$C$2:$C$618,$C34,$D$2:$D$618,"Energy products",$E$2:$E$618,"Supply",$G$2:$G$618,"&lt;&gt;STAT")-SUMIFS($K$2:$K$618,$B$2:$B$618,$B34,$C$2:$C$618,$C34,$D$2:$D$618,"Energy products",$E$2:$E$618,"Use",$G$2:$G$618,"&lt;&gt;STAT"),10),IF($J34="cambio de signo",-INDEX(DATOS_MODELO!$U$2:$U$3672,MATCH($H34,DATOS_MODELO!$B$2:$B$3672,0)),IF($J34="valor absoluto",ABS(INDEX(DATOS_MODELO!$U$2:$U$3672,MATCH($H34,DATOS_MODELO!$B$2:$B$3672,0))),INDEX(DATOS_MODELO!$U$2:$U$3672,MATCH($H34,DATOS_MODELO!$B$2:$B$3672,0))))))</f>
        <v>2930.0992</v>
      </c>
      <c r="L34" s="8" t="str">
        <f aca="false">IF(LEFT($H34,5)&lt;&gt;"STAT_","",IF(ABS($K34)&lt;=COUNTIFS($B$2:$B$618,$B34,$C$2:$C$618,$C34,$D$2:$D$618,"Energy products",$G$2:$G$618,"&lt;&gt;STAT")*PARAMETROS!$B$6,"redondeo","residuo_estadistico"))</f>
        <v/>
      </c>
      <c r="M34" s="8" t="str">
        <f>IF(OR($I34="USO_NO_ENERGETICO_APARENTE",$I34="USO_ENERGETICO_INTERNO_APARENTE"),"CAL",IF(LEFT($H34,5)="STAT_","FORMULA",IF(COUNTIF(DATOS_MODELO!$B$2:$B$3672,$H34)=1,"OK","REVISAR")))</f>
        <v>OK</v>
      </c>
    </row>
    <row r="35" customFormat="false" ht="15" hidden="false" customHeight="false" outlineLevel="0" collapsed="false">
      <c r="A35" s="4" t="s">
        <v>2099</v>
      </c>
      <c r="B35" s="12" t="n">
        <v>2024</v>
      </c>
      <c r="C35" s="4" t="s">
        <v>88</v>
      </c>
      <c r="D35" s="4" t="s">
        <v>2018</v>
      </c>
      <c r="E35" s="4" t="s">
        <v>1994</v>
      </c>
      <c r="F35" s="4" t="s">
        <v>65</v>
      </c>
      <c r="G35" s="4" t="s">
        <v>64</v>
      </c>
      <c r="H35" s="4" t="s">
        <v>1840</v>
      </c>
      <c r="I35" s="4" t="s">
        <v>2044</v>
      </c>
      <c r="J35" s="4" t="s">
        <v>1997</v>
      </c>
      <c r="K35" s="14">
        <f>IF(OR($I35="USO_NO_ENERGETICO_APARENTE",$I35="USO_ENERGETICO_INTERNO_APARENTE"),ROUND(SUMIFS($K$2:$K$618,$B$2:$B$618,$B35,$C$2:$C$618,$C35,$D$2:$D$618,"Energy products",$E$2:$E$618,"Supply",$G$2:$G$618,"&lt;&gt;STAT")-SUMIFS($K$2:$K$618,$B$2:$B$618,$B35,$C$2:$C$618,$C35,$D$2:$D$618,"Energy products",$E$2:$E$618,"Use",$G$2:$G$618,"&lt;&gt;STAT",$I$2:$I$618,"&lt;&gt;USO_NO_ENERGETICO_APARENTE",$I$2:$I$618,"&lt;&gt;USO_ENERGETICO_INTERNO_APARENTE"),10),IF(LEFT($H35,5)="STAT_",ROUND(SUMIFS($K$2:$K$618,$B$2:$B$618,$B35,$C$2:$C$618,$C35,$D$2:$D$618,"Energy products",$E$2:$E$618,"Supply",$G$2:$G$618,"&lt;&gt;STAT")-SUMIFS($K$2:$K$618,$B$2:$B$618,$B35,$C$2:$C$618,$C35,$D$2:$D$618,"Energy products",$E$2:$E$618,"Use",$G$2:$G$618,"&lt;&gt;STAT"),10),IF($J35="cambio de signo",-INDEX(DATOS_MODELO!$U$2:$U$3672,MATCH($H35,DATOS_MODELO!$B$2:$B$3672,0)),IF($J35="valor absoluto",ABS(INDEX(DATOS_MODELO!$U$2:$U$3672,MATCH($H35,DATOS_MODELO!$B$2:$B$3672,0))),INDEX(DATOS_MODELO!$U$2:$U$3672,MATCH($H35,DATOS_MODELO!$B$2:$B$3672,0))))))</f>
        <v>909.6136</v>
      </c>
      <c r="L35" s="8" t="str">
        <f aca="false">IF(LEFT($H35,5)&lt;&gt;"STAT_","",IF(ABS($K35)&lt;=COUNTIFS($B$2:$B$618,$B35,$C$2:$C$618,$C35,$D$2:$D$618,"Energy products",$G$2:$G$618,"&lt;&gt;STAT")*PARAMETROS!$B$6,"redondeo","residuo_estadistico"))</f>
        <v/>
      </c>
      <c r="M35" s="8" t="str">
        <f>IF(OR($I35="USO_NO_ENERGETICO_APARENTE",$I35="USO_ENERGETICO_INTERNO_APARENTE"),"CAL",IF(LEFT($H35,5)="STAT_","FORMULA",IF(COUNTIF(DATOS_MODELO!$B$2:$B$3672,$H35)=1,"OK","REVISAR")))</f>
        <v>OK</v>
      </c>
    </row>
    <row r="36" customFormat="false" ht="15" hidden="false" customHeight="false" outlineLevel="0" collapsed="false">
      <c r="A36" s="4" t="s">
        <v>2101</v>
      </c>
      <c r="B36" s="12" t="n">
        <v>2024</v>
      </c>
      <c r="C36" s="4" t="s">
        <v>88</v>
      </c>
      <c r="D36" s="4" t="s">
        <v>2018</v>
      </c>
      <c r="E36" s="4" t="s">
        <v>2001</v>
      </c>
      <c r="F36" s="4" t="s">
        <v>66</v>
      </c>
      <c r="G36" s="4" t="s">
        <v>67</v>
      </c>
      <c r="H36" s="4" t="s">
        <v>1846</v>
      </c>
      <c r="I36" s="4" t="s">
        <v>2003</v>
      </c>
      <c r="J36" s="4" t="s">
        <v>2004</v>
      </c>
      <c r="K36" s="14">
        <f>IF(OR($I36="USO_NO_ENERGETICO_APARENTE",$I36="USO_ENERGETICO_INTERNO_APARENTE"),ROUND(SUMIFS($K$2:$K$618,$B$2:$B$618,$B36,$C$2:$C$618,$C36,$D$2:$D$618,"Energy products",$E$2:$E$618,"Supply",$G$2:$G$618,"&lt;&gt;STAT")-SUMIFS($K$2:$K$618,$B$2:$B$618,$B36,$C$2:$C$618,$C36,$D$2:$D$618,"Energy products",$E$2:$E$618,"Use",$G$2:$G$618,"&lt;&gt;STAT",$I$2:$I$618,"&lt;&gt;USO_NO_ENERGETICO_APARENTE",$I$2:$I$618,"&lt;&gt;USO_ENERGETICO_INTERNO_APARENTE"),10),IF(LEFT($H36,5)="STAT_",ROUND(SUMIFS($K$2:$K$618,$B$2:$B$618,$B36,$C$2:$C$618,$C36,$D$2:$D$618,"Energy products",$E$2:$E$618,"Supply",$G$2:$G$618,"&lt;&gt;STAT")-SUMIFS($K$2:$K$618,$B$2:$B$618,$B36,$C$2:$C$618,$C36,$D$2:$D$618,"Energy products",$E$2:$E$618,"Use",$G$2:$G$618,"&lt;&gt;STAT"),10),IF($J36="cambio de signo",-INDEX(DATOS_MODELO!$U$2:$U$3672,MATCH($H36,DATOS_MODELO!$B$2:$B$3672,0)),IF($J36="valor absoluto",ABS(INDEX(DATOS_MODELO!$U$2:$U$3672,MATCH($H36,DATOS_MODELO!$B$2:$B$3672,0))),INDEX(DATOS_MODELO!$U$2:$U$3672,MATCH($H36,DATOS_MODELO!$B$2:$B$3672,0))))))</f>
        <v>909.6136</v>
      </c>
      <c r="L36" s="8" t="str">
        <f aca="false">IF(LEFT($H36,5)&lt;&gt;"STAT_","",IF(ABS($K36)&lt;=COUNTIFS($B$2:$B$618,$B36,$C$2:$C$618,$C36,$D$2:$D$618,"Energy products",$G$2:$G$618,"&lt;&gt;STAT")*PARAMETROS!$B$6,"redondeo","residuo_estadistico"))</f>
        <v/>
      </c>
      <c r="M36" s="8" t="str">
        <f>IF(OR($I36="USO_NO_ENERGETICO_APARENTE",$I36="USO_ENERGETICO_INTERNO_APARENTE"),"CAL",IF(LEFT($H36,5)="STAT_","FORMULA",IF(COUNTIF(DATOS_MODELO!$B$2:$B$3672,$H36)=1,"OK","REVISAR")))</f>
        <v>OK</v>
      </c>
    </row>
    <row r="37" customFormat="false" ht="15" hidden="false" customHeight="false" outlineLevel="0" collapsed="false">
      <c r="A37" s="4" t="s">
        <v>2103</v>
      </c>
      <c r="B37" s="12" t="n">
        <v>2024</v>
      </c>
      <c r="C37" s="4" t="s">
        <v>95</v>
      </c>
      <c r="D37" s="4" t="s">
        <v>1993</v>
      </c>
      <c r="E37" s="4" t="s">
        <v>1994</v>
      </c>
      <c r="F37" s="4" t="s">
        <v>2029</v>
      </c>
      <c r="G37" s="4" t="s">
        <v>69</v>
      </c>
      <c r="H37" s="4" t="s">
        <v>1857</v>
      </c>
      <c r="I37" s="4" t="s">
        <v>2030</v>
      </c>
      <c r="J37" s="4" t="s">
        <v>1997</v>
      </c>
      <c r="K37" s="14">
        <f>IF(OR($I37="USO_NO_ENERGETICO_APARENTE",$I37="USO_ENERGETICO_INTERNO_APARENTE"),ROUND(SUMIFS($K$2:$K$618,$B$2:$B$618,$B37,$C$2:$C$618,$C37,$D$2:$D$618,"Energy products",$E$2:$E$618,"Supply",$G$2:$G$618,"&lt;&gt;STAT")-SUMIFS($K$2:$K$618,$B$2:$B$618,$B37,$C$2:$C$618,$C37,$D$2:$D$618,"Energy products",$E$2:$E$618,"Use",$G$2:$G$618,"&lt;&gt;STAT",$I$2:$I$618,"&lt;&gt;USO_NO_ENERGETICO_APARENTE",$I$2:$I$618,"&lt;&gt;USO_ENERGETICO_INTERNO_APARENTE"),10),IF(LEFT($H37,5)="STAT_",ROUND(SUMIFS($K$2:$K$618,$B$2:$B$618,$B37,$C$2:$C$618,$C37,$D$2:$D$618,"Energy products",$E$2:$E$618,"Supply",$G$2:$G$618,"&lt;&gt;STAT")-SUMIFS($K$2:$K$618,$B$2:$B$618,$B37,$C$2:$C$618,$C37,$D$2:$D$618,"Energy products",$E$2:$E$618,"Use",$G$2:$G$618,"&lt;&gt;STAT"),10),IF($J37="cambio de signo",-INDEX(DATOS_MODELO!$U$2:$U$3672,MATCH($H37,DATOS_MODELO!$B$2:$B$3672,0)),IF($J37="valor absoluto",ABS(INDEX(DATOS_MODELO!$U$2:$U$3672,MATCH($H37,DATOS_MODELO!$B$2:$B$3672,0))),INDEX(DATOS_MODELO!$U$2:$U$3672,MATCH($H37,DATOS_MODELO!$B$2:$B$3672,0))))))</f>
        <v>25354.7819</v>
      </c>
      <c r="L37" s="8" t="str">
        <f aca="false">IF(LEFT($H37,5)&lt;&gt;"STAT_","",IF(ABS($K37)&lt;=COUNTIFS($B$2:$B$618,$B37,$C$2:$C$618,$C37,$D$2:$D$618,"Energy products",$G$2:$G$618,"&lt;&gt;STAT")*PARAMETROS!$B$6,"redondeo","residuo_estadistico"))</f>
        <v/>
      </c>
      <c r="M37" s="8" t="str">
        <f>IF(OR($I37="USO_NO_ENERGETICO_APARENTE",$I37="USO_ENERGETICO_INTERNO_APARENTE"),"CAL",IF(LEFT($H37,5)="STAT_","FORMULA",IF(COUNTIF(DATOS_MODELO!$B$2:$B$3672,$H37)=1,"OK","REVISAR")))</f>
        <v>OK</v>
      </c>
    </row>
    <row r="38" customFormat="false" ht="15" hidden="false" customHeight="false" outlineLevel="0" collapsed="false">
      <c r="A38" s="4" t="s">
        <v>2105</v>
      </c>
      <c r="B38" s="12" t="n">
        <v>2024</v>
      </c>
      <c r="C38" s="4" t="s">
        <v>95</v>
      </c>
      <c r="D38" s="4" t="s">
        <v>1993</v>
      </c>
      <c r="E38" s="4" t="s">
        <v>2001</v>
      </c>
      <c r="F38" s="4" t="s">
        <v>2034</v>
      </c>
      <c r="G38" s="4" t="s">
        <v>74</v>
      </c>
      <c r="H38" s="4" t="s">
        <v>1859</v>
      </c>
      <c r="I38" s="4" t="s">
        <v>2035</v>
      </c>
      <c r="J38" s="4" t="s">
        <v>2036</v>
      </c>
      <c r="K38" s="14">
        <f>IF(OR($I38="USO_NO_ENERGETICO_APARENTE",$I38="USO_ENERGETICO_INTERNO_APARENTE"),ROUND(SUMIFS($K$2:$K$618,$B$2:$B$618,$B38,$C$2:$C$618,$C38,$D$2:$D$618,"Energy products",$E$2:$E$618,"Supply",$G$2:$G$618,"&lt;&gt;STAT")-SUMIFS($K$2:$K$618,$B$2:$B$618,$B38,$C$2:$C$618,$C38,$D$2:$D$618,"Energy products",$E$2:$E$618,"Use",$G$2:$G$618,"&lt;&gt;STAT",$I$2:$I$618,"&lt;&gt;USO_NO_ENERGETICO_APARENTE",$I$2:$I$618,"&lt;&gt;USO_ENERGETICO_INTERNO_APARENTE"),10),IF(LEFT($H38,5)="STAT_",ROUND(SUMIFS($K$2:$K$618,$B$2:$B$618,$B38,$C$2:$C$618,$C38,$D$2:$D$618,"Energy products",$E$2:$E$618,"Supply",$G$2:$G$618,"&lt;&gt;STAT")-SUMIFS($K$2:$K$618,$B$2:$B$618,$B38,$C$2:$C$618,$C38,$D$2:$D$618,"Energy products",$E$2:$E$618,"Use",$G$2:$G$618,"&lt;&gt;STAT"),10),IF($J38="cambio de signo",-INDEX(DATOS_MODELO!$U$2:$U$3672,MATCH($H38,DATOS_MODELO!$B$2:$B$3672,0)),IF($J38="valor absoluto",ABS(INDEX(DATOS_MODELO!$U$2:$U$3672,MATCH($H38,DATOS_MODELO!$B$2:$B$3672,0))),INDEX(DATOS_MODELO!$U$2:$U$3672,MATCH($H38,DATOS_MODELO!$B$2:$B$3672,0))))))</f>
        <v>-4737.9388</v>
      </c>
      <c r="L38" s="8" t="str">
        <f aca="false">IF(LEFT($H38,5)&lt;&gt;"STAT_","",IF(ABS($K38)&lt;=COUNTIFS($B$2:$B$618,$B38,$C$2:$C$618,$C38,$D$2:$D$618,"Energy products",$G$2:$G$618,"&lt;&gt;STAT")*PARAMETROS!$B$6,"redondeo","residuo_estadistico"))</f>
        <v/>
      </c>
      <c r="M38" s="8" t="str">
        <f>IF(OR($I38="USO_NO_ENERGETICO_APARENTE",$I38="USO_ENERGETICO_INTERNO_APARENTE"),"CAL",IF(LEFT($H38,5)="STAT_","FORMULA",IF(COUNTIF(DATOS_MODELO!$B$2:$B$3672,$H38)=1,"OK","REVISAR")))</f>
        <v>OK</v>
      </c>
    </row>
    <row r="39" customFormat="false" ht="15" hidden="false" customHeight="false" outlineLevel="0" collapsed="false">
      <c r="A39" s="4" t="s">
        <v>2107</v>
      </c>
      <c r="B39" s="12" t="n">
        <v>2024</v>
      </c>
      <c r="C39" s="4" t="s">
        <v>95</v>
      </c>
      <c r="D39" s="4" t="s">
        <v>1993</v>
      </c>
      <c r="E39" s="4" t="s">
        <v>2001</v>
      </c>
      <c r="F39" s="4" t="s">
        <v>2002</v>
      </c>
      <c r="G39" s="4" t="s">
        <v>67</v>
      </c>
      <c r="H39" s="4" t="s">
        <v>1861</v>
      </c>
      <c r="I39" s="4" t="s">
        <v>2003</v>
      </c>
      <c r="J39" s="4" t="s">
        <v>2004</v>
      </c>
      <c r="K39" s="14">
        <f>IF(OR($I39="USO_NO_ENERGETICO_APARENTE",$I39="USO_ENERGETICO_INTERNO_APARENTE"),ROUND(SUMIFS($K$2:$K$618,$B$2:$B$618,$B39,$C$2:$C$618,$C39,$D$2:$D$618,"Energy products",$E$2:$E$618,"Supply",$G$2:$G$618,"&lt;&gt;STAT")-SUMIFS($K$2:$K$618,$B$2:$B$618,$B39,$C$2:$C$618,$C39,$D$2:$D$618,"Energy products",$E$2:$E$618,"Use",$G$2:$G$618,"&lt;&gt;STAT",$I$2:$I$618,"&lt;&gt;USO_NO_ENERGETICO_APARENTE",$I$2:$I$618,"&lt;&gt;USO_ENERGETICO_INTERNO_APARENTE"),10),IF(LEFT($H39,5)="STAT_",ROUND(SUMIFS($K$2:$K$618,$B$2:$B$618,$B39,$C$2:$C$618,$C39,$D$2:$D$618,"Energy products",$E$2:$E$618,"Supply",$G$2:$G$618,"&lt;&gt;STAT")-SUMIFS($K$2:$K$618,$B$2:$B$618,$B39,$C$2:$C$618,$C39,$D$2:$D$618,"Energy products",$E$2:$E$618,"Use",$G$2:$G$618,"&lt;&gt;STAT"),10),IF($J39="cambio de signo",-INDEX(DATOS_MODELO!$U$2:$U$3672,MATCH($H39,DATOS_MODELO!$B$2:$B$3672,0)),IF($J39="valor absoluto",ABS(INDEX(DATOS_MODELO!$U$2:$U$3672,MATCH($H39,DATOS_MODELO!$B$2:$B$3672,0))),INDEX(DATOS_MODELO!$U$2:$U$3672,MATCH($H39,DATOS_MODELO!$B$2:$B$3672,0))))))</f>
        <v>54.0911</v>
      </c>
      <c r="L39" s="8" t="str">
        <f aca="false">IF(LEFT($H39,5)&lt;&gt;"STAT_","",IF(ABS($K39)&lt;=COUNTIFS($B$2:$B$618,$B39,$C$2:$C$618,$C39,$D$2:$D$618,"Energy products",$G$2:$G$618,"&lt;&gt;STAT")*PARAMETROS!$B$6,"redondeo","residuo_estadistico"))</f>
        <v/>
      </c>
      <c r="M39" s="8" t="str">
        <f>IF(OR($I39="USO_NO_ENERGETICO_APARENTE",$I39="USO_ENERGETICO_INTERNO_APARENTE"),"CAL",IF(LEFT($H39,5)="STAT_","FORMULA",IF(COUNTIF(DATOS_MODELO!$B$2:$B$3672,$H39)=1,"OK","REVISAR")))</f>
        <v>OK</v>
      </c>
    </row>
    <row r="40" customFormat="false" ht="15" hidden="false" customHeight="false" outlineLevel="0" collapsed="false">
      <c r="A40" s="4" t="s">
        <v>2109</v>
      </c>
      <c r="B40" s="12" t="n">
        <v>2024</v>
      </c>
      <c r="C40" s="4" t="s">
        <v>95</v>
      </c>
      <c r="D40" s="4" t="s">
        <v>1993</v>
      </c>
      <c r="E40" s="4" t="s">
        <v>2001</v>
      </c>
      <c r="F40" s="4" t="s">
        <v>2002</v>
      </c>
      <c r="G40" s="4" t="s">
        <v>68</v>
      </c>
      <c r="H40" s="4" t="s">
        <v>1867</v>
      </c>
      <c r="I40" s="4" t="s">
        <v>2111</v>
      </c>
      <c r="J40" s="4" t="s">
        <v>1997</v>
      </c>
      <c r="K40" s="14">
        <f>IF(OR($I40="USO_NO_ENERGETICO_APARENTE",$I40="USO_ENERGETICO_INTERNO_APARENTE"),ROUND(SUMIFS($K$2:$K$618,$B$2:$B$618,$B40,$C$2:$C$618,$C40,$D$2:$D$618,"Energy products",$E$2:$E$618,"Supply",$G$2:$G$618,"&lt;&gt;STAT")-SUMIFS($K$2:$K$618,$B$2:$B$618,$B40,$C$2:$C$618,$C40,$D$2:$D$618,"Energy products",$E$2:$E$618,"Use",$G$2:$G$618,"&lt;&gt;STAT",$I$2:$I$618,"&lt;&gt;USO_NO_ENERGETICO_APARENTE",$I$2:$I$618,"&lt;&gt;USO_ENERGETICO_INTERNO_APARENTE"),10),IF(LEFT($H40,5)="STAT_",ROUND(SUMIFS($K$2:$K$618,$B$2:$B$618,$B40,$C$2:$C$618,$C40,$D$2:$D$618,"Energy products",$E$2:$E$618,"Supply",$G$2:$G$618,"&lt;&gt;STAT")-SUMIFS($K$2:$K$618,$B$2:$B$618,$B40,$C$2:$C$618,$C40,$D$2:$D$618,"Energy products",$E$2:$E$618,"Use",$G$2:$G$618,"&lt;&gt;STAT"),10),IF($J40="cambio de signo",-INDEX(DATOS_MODELO!$U$2:$U$3672,MATCH($H40,DATOS_MODELO!$B$2:$B$3672,0)),IF($J40="valor absoluto",ABS(INDEX(DATOS_MODELO!$U$2:$U$3672,MATCH($H40,DATOS_MODELO!$B$2:$B$3672,0))),INDEX(DATOS_MODELO!$U$2:$U$3672,MATCH($H40,DATOS_MODELO!$B$2:$B$3672,0))))))</f>
        <v>30038.6296</v>
      </c>
      <c r="L40" s="8" t="str">
        <f aca="false">IF(LEFT($H40,5)&lt;&gt;"STAT_","",IF(ABS($K40)&lt;=COUNTIFS($B$2:$B$618,$B40,$C$2:$C$618,$C40,$D$2:$D$618,"Energy products",$G$2:$G$618,"&lt;&gt;STAT")*PARAMETROS!$B$6,"redondeo","residuo_estadistico"))</f>
        <v/>
      </c>
      <c r="M40" s="8" t="str">
        <f>IF(OR($I40="USO_NO_ENERGETICO_APARENTE",$I40="USO_ENERGETICO_INTERNO_APARENTE"),"CAL",IF(LEFT($H40,5)="STAT_","FORMULA",IF(COUNTIF(DATOS_MODELO!$B$2:$B$3672,$H40)=1,"OK","REVISAR")))</f>
        <v>OK</v>
      </c>
    </row>
    <row r="41" customFormat="false" ht="15" hidden="false" customHeight="false" outlineLevel="0" collapsed="false">
      <c r="A41" s="4" t="s">
        <v>2113</v>
      </c>
      <c r="B41" s="12" t="n">
        <v>2024</v>
      </c>
      <c r="C41" s="4" t="s">
        <v>97</v>
      </c>
      <c r="D41" s="4" t="s">
        <v>1993</v>
      </c>
      <c r="E41" s="4" t="s">
        <v>1994</v>
      </c>
      <c r="F41" s="4" t="s">
        <v>2029</v>
      </c>
      <c r="G41" s="4" t="s">
        <v>69</v>
      </c>
      <c r="H41" s="4" t="s">
        <v>1872</v>
      </c>
      <c r="I41" s="4" t="s">
        <v>2030</v>
      </c>
      <c r="J41" s="4" t="s">
        <v>1997</v>
      </c>
      <c r="K41" s="14">
        <f>IF(OR($I41="USO_NO_ENERGETICO_APARENTE",$I41="USO_ENERGETICO_INTERNO_APARENTE"),ROUND(SUMIFS($K$2:$K$618,$B$2:$B$618,$B41,$C$2:$C$618,$C41,$D$2:$D$618,"Energy products",$E$2:$E$618,"Supply",$G$2:$G$618,"&lt;&gt;STAT")-SUMIFS($K$2:$K$618,$B$2:$B$618,$B41,$C$2:$C$618,$C41,$D$2:$D$618,"Energy products",$E$2:$E$618,"Use",$G$2:$G$618,"&lt;&gt;STAT",$I$2:$I$618,"&lt;&gt;USO_NO_ENERGETICO_APARENTE",$I$2:$I$618,"&lt;&gt;USO_ENERGETICO_INTERNO_APARENTE"),10),IF(LEFT($H41,5)="STAT_",ROUND(SUMIFS($K$2:$K$618,$B$2:$B$618,$B41,$C$2:$C$618,$C41,$D$2:$D$618,"Energy products",$E$2:$E$618,"Supply",$G$2:$G$618,"&lt;&gt;STAT")-SUMIFS($K$2:$K$618,$B$2:$B$618,$B41,$C$2:$C$618,$C41,$D$2:$D$618,"Energy products",$E$2:$E$618,"Use",$G$2:$G$618,"&lt;&gt;STAT"),10),IF($J41="cambio de signo",-INDEX(DATOS_MODELO!$U$2:$U$3672,MATCH($H41,DATOS_MODELO!$B$2:$B$3672,0)),IF($J41="valor absoluto",ABS(INDEX(DATOS_MODELO!$U$2:$U$3672,MATCH($H41,DATOS_MODELO!$B$2:$B$3672,0))),INDEX(DATOS_MODELO!$U$2:$U$3672,MATCH($H41,DATOS_MODELO!$B$2:$B$3672,0))))))</f>
        <v>93364.8408</v>
      </c>
      <c r="L41" s="8" t="str">
        <f aca="false">IF(LEFT($H41,5)&lt;&gt;"STAT_","",IF(ABS($K41)&lt;=COUNTIFS($B$2:$B$618,$B41,$C$2:$C$618,$C41,$D$2:$D$618,"Energy products",$G$2:$G$618,"&lt;&gt;STAT")*PARAMETROS!$B$6,"redondeo","residuo_estadistico"))</f>
        <v/>
      </c>
      <c r="M41" s="8" t="str">
        <f>IF(OR($I41="USO_NO_ENERGETICO_APARENTE",$I41="USO_ENERGETICO_INTERNO_APARENTE"),"CAL",IF(LEFT($H41,5)="STAT_","FORMULA",IF(COUNTIF(DATOS_MODELO!$B$2:$B$3672,$H41)=1,"OK","REVISAR")))</f>
        <v>OK</v>
      </c>
    </row>
    <row r="42" customFormat="false" ht="15" hidden="false" customHeight="false" outlineLevel="0" collapsed="false">
      <c r="A42" s="4" t="s">
        <v>2115</v>
      </c>
      <c r="B42" s="12" t="n">
        <v>2024</v>
      </c>
      <c r="C42" s="4" t="s">
        <v>97</v>
      </c>
      <c r="D42" s="4" t="s">
        <v>1993</v>
      </c>
      <c r="E42" s="4" t="s">
        <v>2001</v>
      </c>
      <c r="F42" s="4" t="s">
        <v>2091</v>
      </c>
      <c r="G42" s="4" t="s">
        <v>69</v>
      </c>
      <c r="H42" s="4" t="s">
        <v>1873</v>
      </c>
      <c r="I42" s="4" t="s">
        <v>2030</v>
      </c>
      <c r="J42" s="4" t="s">
        <v>1997</v>
      </c>
      <c r="K42" s="14">
        <f>IF(OR($I42="USO_NO_ENERGETICO_APARENTE",$I42="USO_ENERGETICO_INTERNO_APARENTE"),ROUND(SUMIFS($K$2:$K$618,$B$2:$B$618,$B42,$C$2:$C$618,$C42,$D$2:$D$618,"Energy products",$E$2:$E$618,"Supply",$G$2:$G$618,"&lt;&gt;STAT")-SUMIFS($K$2:$K$618,$B$2:$B$618,$B42,$C$2:$C$618,$C42,$D$2:$D$618,"Energy products",$E$2:$E$618,"Use",$G$2:$G$618,"&lt;&gt;STAT",$I$2:$I$618,"&lt;&gt;USO_NO_ENERGETICO_APARENTE",$I$2:$I$618,"&lt;&gt;USO_ENERGETICO_INTERNO_APARENTE"),10),IF(LEFT($H42,5)="STAT_",ROUND(SUMIFS($K$2:$K$618,$B$2:$B$618,$B42,$C$2:$C$618,$C42,$D$2:$D$618,"Energy products",$E$2:$E$618,"Supply",$G$2:$G$618,"&lt;&gt;STAT")-SUMIFS($K$2:$K$618,$B$2:$B$618,$B42,$C$2:$C$618,$C42,$D$2:$D$618,"Energy products",$E$2:$E$618,"Use",$G$2:$G$618,"&lt;&gt;STAT"),10),IF($J42="cambio de signo",-INDEX(DATOS_MODELO!$U$2:$U$3672,MATCH($H42,DATOS_MODELO!$B$2:$B$3672,0)),IF($J42="valor absoluto",ABS(INDEX(DATOS_MODELO!$U$2:$U$3672,MATCH($H42,DATOS_MODELO!$B$2:$B$3672,0))),INDEX(DATOS_MODELO!$U$2:$U$3672,MATCH($H42,DATOS_MODELO!$B$2:$B$3672,0))))))</f>
        <v>887.8842</v>
      </c>
      <c r="L42" s="8" t="str">
        <f aca="false">IF(LEFT($H42,5)&lt;&gt;"STAT_","",IF(ABS($K42)&lt;=COUNTIFS($B$2:$B$618,$B42,$C$2:$C$618,$C42,$D$2:$D$618,"Energy products",$G$2:$G$618,"&lt;&gt;STAT")*PARAMETROS!$B$6,"redondeo","residuo_estadistico"))</f>
        <v/>
      </c>
      <c r="M42" s="8" t="str">
        <f>IF(OR($I42="USO_NO_ENERGETICO_APARENTE",$I42="USO_ENERGETICO_INTERNO_APARENTE"),"CAL",IF(LEFT($H42,5)="STAT_","FORMULA",IF(COUNTIF(DATOS_MODELO!$B$2:$B$3672,$H42)=1,"OK","REVISAR")))</f>
        <v>OK</v>
      </c>
    </row>
    <row r="43" customFormat="false" ht="15" hidden="false" customHeight="false" outlineLevel="0" collapsed="false">
      <c r="A43" s="4" t="s">
        <v>2117</v>
      </c>
      <c r="B43" s="12" t="n">
        <v>2024</v>
      </c>
      <c r="C43" s="4" t="s">
        <v>97</v>
      </c>
      <c r="D43" s="4" t="s">
        <v>1993</v>
      </c>
      <c r="E43" s="4" t="s">
        <v>2001</v>
      </c>
      <c r="F43" s="4" t="s">
        <v>2034</v>
      </c>
      <c r="G43" s="4" t="s">
        <v>74</v>
      </c>
      <c r="H43" s="4" t="s">
        <v>1874</v>
      </c>
      <c r="I43" s="4" t="s">
        <v>2035</v>
      </c>
      <c r="J43" s="4" t="s">
        <v>2036</v>
      </c>
      <c r="K43" s="14">
        <f>IF(OR($I43="USO_NO_ENERGETICO_APARENTE",$I43="USO_ENERGETICO_INTERNO_APARENTE"),ROUND(SUMIFS($K$2:$K$618,$B$2:$B$618,$B43,$C$2:$C$618,$C43,$D$2:$D$618,"Energy products",$E$2:$E$618,"Supply",$G$2:$G$618,"&lt;&gt;STAT")-SUMIFS($K$2:$K$618,$B$2:$B$618,$B43,$C$2:$C$618,$C43,$D$2:$D$618,"Energy products",$E$2:$E$618,"Use",$G$2:$G$618,"&lt;&gt;STAT",$I$2:$I$618,"&lt;&gt;USO_NO_ENERGETICO_APARENTE",$I$2:$I$618,"&lt;&gt;USO_ENERGETICO_INTERNO_APARENTE"),10),IF(LEFT($H43,5)="STAT_",ROUND(SUMIFS($K$2:$K$618,$B$2:$B$618,$B43,$C$2:$C$618,$C43,$D$2:$D$618,"Energy products",$E$2:$E$618,"Supply",$G$2:$G$618,"&lt;&gt;STAT")-SUMIFS($K$2:$K$618,$B$2:$B$618,$B43,$C$2:$C$618,$C43,$D$2:$D$618,"Energy products",$E$2:$E$618,"Use",$G$2:$G$618,"&lt;&gt;STAT"),10),IF($J43="cambio de signo",-INDEX(DATOS_MODELO!$U$2:$U$3672,MATCH($H43,DATOS_MODELO!$B$2:$B$3672,0)),IF($J43="valor absoluto",ABS(INDEX(DATOS_MODELO!$U$2:$U$3672,MATCH($H43,DATOS_MODELO!$B$2:$B$3672,0))),INDEX(DATOS_MODELO!$U$2:$U$3672,MATCH($H43,DATOS_MODELO!$B$2:$B$3672,0))))))</f>
        <v>224.1498</v>
      </c>
      <c r="L43" s="8" t="str">
        <f aca="false">IF(LEFT($H43,5)&lt;&gt;"STAT_","",IF(ABS($K43)&lt;=COUNTIFS($B$2:$B$618,$B43,$C$2:$C$618,$C43,$D$2:$D$618,"Energy products",$G$2:$G$618,"&lt;&gt;STAT")*PARAMETROS!$B$6,"redondeo","residuo_estadistico"))</f>
        <v/>
      </c>
      <c r="M43" s="8" t="str">
        <f>IF(OR($I43="USO_NO_ENERGETICO_APARENTE",$I43="USO_ENERGETICO_INTERNO_APARENTE"),"CAL",IF(LEFT($H43,5)="STAT_","FORMULA",IF(COUNTIF(DATOS_MODELO!$B$2:$B$3672,$H43)=1,"OK","REVISAR")))</f>
        <v>OK</v>
      </c>
    </row>
    <row r="44" customFormat="false" ht="15" hidden="false" customHeight="false" outlineLevel="0" collapsed="false">
      <c r="A44" s="4" t="s">
        <v>2119</v>
      </c>
      <c r="B44" s="12" t="n">
        <v>2024</v>
      </c>
      <c r="C44" s="4" t="s">
        <v>97</v>
      </c>
      <c r="D44" s="4" t="s">
        <v>1993</v>
      </c>
      <c r="E44" s="4" t="s">
        <v>2001</v>
      </c>
      <c r="F44" s="4" t="s">
        <v>2002</v>
      </c>
      <c r="G44" s="4" t="s">
        <v>67</v>
      </c>
      <c r="H44" s="4" t="s">
        <v>1876</v>
      </c>
      <c r="I44" s="4" t="s">
        <v>2003</v>
      </c>
      <c r="J44" s="4" t="s">
        <v>2004</v>
      </c>
      <c r="K44" s="14">
        <f>IF(OR($I44="USO_NO_ENERGETICO_APARENTE",$I44="USO_ENERGETICO_INTERNO_APARENTE"),ROUND(SUMIFS($K$2:$K$618,$B$2:$B$618,$B44,$C$2:$C$618,$C44,$D$2:$D$618,"Energy products",$E$2:$E$618,"Supply",$G$2:$G$618,"&lt;&gt;STAT")-SUMIFS($K$2:$K$618,$B$2:$B$618,$B44,$C$2:$C$618,$C44,$D$2:$D$618,"Energy products",$E$2:$E$618,"Use",$G$2:$G$618,"&lt;&gt;STAT",$I$2:$I$618,"&lt;&gt;USO_NO_ENERGETICO_APARENTE",$I$2:$I$618,"&lt;&gt;USO_ENERGETICO_INTERNO_APARENTE"),10),IF(LEFT($H44,5)="STAT_",ROUND(SUMIFS($K$2:$K$618,$B$2:$B$618,$B44,$C$2:$C$618,$C44,$D$2:$D$618,"Energy products",$E$2:$E$618,"Supply",$G$2:$G$618,"&lt;&gt;STAT")-SUMIFS($K$2:$K$618,$B$2:$B$618,$B44,$C$2:$C$618,$C44,$D$2:$D$618,"Energy products",$E$2:$E$618,"Use",$G$2:$G$618,"&lt;&gt;STAT"),10),IF($J44="cambio de signo",-INDEX(DATOS_MODELO!$U$2:$U$3672,MATCH($H44,DATOS_MODELO!$B$2:$B$3672,0)),IF($J44="valor absoluto",ABS(INDEX(DATOS_MODELO!$U$2:$U$3672,MATCH($H44,DATOS_MODELO!$B$2:$B$3672,0))),INDEX(DATOS_MODELO!$U$2:$U$3672,MATCH($H44,DATOS_MODELO!$B$2:$B$3672,0))))))</f>
        <v>434.7042</v>
      </c>
      <c r="L44" s="8" t="str">
        <f aca="false">IF(LEFT($H44,5)&lt;&gt;"STAT_","",IF(ABS($K44)&lt;=COUNTIFS($B$2:$B$618,$B44,$C$2:$C$618,$C44,$D$2:$D$618,"Energy products",$G$2:$G$618,"&lt;&gt;STAT")*PARAMETROS!$B$6,"redondeo","residuo_estadistico"))</f>
        <v/>
      </c>
      <c r="M44" s="8" t="str">
        <f>IF(OR($I44="USO_NO_ENERGETICO_APARENTE",$I44="USO_ENERGETICO_INTERNO_APARENTE"),"CAL",IF(LEFT($H44,5)="STAT_","FORMULA",IF(COUNTIF(DATOS_MODELO!$B$2:$B$3672,$H44)=1,"OK","REVISAR")))</f>
        <v>OK</v>
      </c>
    </row>
    <row r="45" customFormat="false" ht="15" hidden="false" customHeight="false" outlineLevel="0" collapsed="false">
      <c r="A45" s="4" t="s">
        <v>2121</v>
      </c>
      <c r="B45" s="12" t="n">
        <v>2024</v>
      </c>
      <c r="C45" s="4" t="s">
        <v>97</v>
      </c>
      <c r="D45" s="4" t="s">
        <v>1993</v>
      </c>
      <c r="E45" s="4" t="s">
        <v>2001</v>
      </c>
      <c r="F45" s="4" t="s">
        <v>2002</v>
      </c>
      <c r="G45" s="4" t="s">
        <v>71</v>
      </c>
      <c r="H45" s="4" t="s">
        <v>1879</v>
      </c>
      <c r="I45" s="4" t="s">
        <v>2123</v>
      </c>
      <c r="J45" s="4" t="s">
        <v>1997</v>
      </c>
      <c r="K45" s="14">
        <f>IF(OR($I45="USO_NO_ENERGETICO_APARENTE",$I45="USO_ENERGETICO_INTERNO_APARENTE"),ROUND(SUMIFS($K$2:$K$618,$B$2:$B$618,$B45,$C$2:$C$618,$C45,$D$2:$D$618,"Energy products",$E$2:$E$618,"Supply",$G$2:$G$618,"&lt;&gt;STAT")-SUMIFS($K$2:$K$618,$B$2:$B$618,$B45,$C$2:$C$618,$C45,$D$2:$D$618,"Energy products",$E$2:$E$618,"Use",$G$2:$G$618,"&lt;&gt;STAT",$I$2:$I$618,"&lt;&gt;USO_NO_ENERGETICO_APARENTE",$I$2:$I$618,"&lt;&gt;USO_ENERGETICO_INTERNO_APARENTE"),10),IF(LEFT($H45,5)="STAT_",ROUND(SUMIFS($K$2:$K$618,$B$2:$B$618,$B45,$C$2:$C$618,$C45,$D$2:$D$618,"Energy products",$E$2:$E$618,"Supply",$G$2:$G$618,"&lt;&gt;STAT")-SUMIFS($K$2:$K$618,$B$2:$B$618,$B45,$C$2:$C$618,$C45,$D$2:$D$618,"Energy products",$E$2:$E$618,"Use",$G$2:$G$618,"&lt;&gt;STAT"),10),IF($J45="cambio de signo",-INDEX(DATOS_MODELO!$U$2:$U$3672,MATCH($H45,DATOS_MODELO!$B$2:$B$3672,0)),IF($J45="valor absoluto",ABS(INDEX(DATOS_MODELO!$U$2:$U$3672,MATCH($H45,DATOS_MODELO!$B$2:$B$3672,0))),INDEX(DATOS_MODELO!$U$2:$U$3672,MATCH($H45,DATOS_MODELO!$B$2:$B$3672,0))))))</f>
        <v>84472.6358</v>
      </c>
      <c r="L45" s="8" t="str">
        <f aca="false">IF(LEFT($H45,5)&lt;&gt;"STAT_","",IF(ABS($K45)&lt;=COUNTIFS($B$2:$B$618,$B45,$C$2:$C$618,$C45,$D$2:$D$618,"Energy products",$G$2:$G$618,"&lt;&gt;STAT")*PARAMETROS!$B$6,"redondeo","residuo_estadistico"))</f>
        <v/>
      </c>
      <c r="M45" s="8" t="str">
        <f>IF(OR($I45="USO_NO_ENERGETICO_APARENTE",$I45="USO_ENERGETICO_INTERNO_APARENTE"),"CAL",IF(LEFT($H45,5)="STAT_","FORMULA",IF(COUNTIF(DATOS_MODELO!$B$2:$B$3672,$H45)=1,"OK","REVISAR")))</f>
        <v>OK</v>
      </c>
    </row>
    <row r="46" customFormat="false" ht="15" hidden="false" customHeight="false" outlineLevel="0" collapsed="false">
      <c r="A46" s="4" t="s">
        <v>2125</v>
      </c>
      <c r="B46" s="12" t="n">
        <v>2024</v>
      </c>
      <c r="C46" s="4" t="s">
        <v>97</v>
      </c>
      <c r="D46" s="4" t="s">
        <v>1993</v>
      </c>
      <c r="E46" s="4" t="s">
        <v>2001</v>
      </c>
      <c r="F46" s="4" t="s">
        <v>2002</v>
      </c>
      <c r="G46" s="4" t="s">
        <v>68</v>
      </c>
      <c r="H46" s="4" t="s">
        <v>1882</v>
      </c>
      <c r="I46" s="4" t="s">
        <v>2111</v>
      </c>
      <c r="J46" s="4" t="s">
        <v>1997</v>
      </c>
      <c r="K46" s="14">
        <f>IF(OR($I46="USO_NO_ENERGETICO_APARENTE",$I46="USO_ENERGETICO_INTERNO_APARENTE"),ROUND(SUMIFS($K$2:$K$618,$B$2:$B$618,$B46,$C$2:$C$618,$C46,$D$2:$D$618,"Energy products",$E$2:$E$618,"Supply",$G$2:$G$618,"&lt;&gt;STAT")-SUMIFS($K$2:$K$618,$B$2:$B$618,$B46,$C$2:$C$618,$C46,$D$2:$D$618,"Energy products",$E$2:$E$618,"Use",$G$2:$G$618,"&lt;&gt;STAT",$I$2:$I$618,"&lt;&gt;USO_NO_ENERGETICO_APARENTE",$I$2:$I$618,"&lt;&gt;USO_ENERGETICO_INTERNO_APARENTE"),10),IF(LEFT($H46,5)="STAT_",ROUND(SUMIFS($K$2:$K$618,$B$2:$B$618,$B46,$C$2:$C$618,$C46,$D$2:$D$618,"Energy products",$E$2:$E$618,"Supply",$G$2:$G$618,"&lt;&gt;STAT")-SUMIFS($K$2:$K$618,$B$2:$B$618,$B46,$C$2:$C$618,$C46,$D$2:$D$618,"Energy products",$E$2:$E$618,"Use",$G$2:$G$618,"&lt;&gt;STAT"),10),IF($J46="cambio de signo",-INDEX(DATOS_MODELO!$U$2:$U$3672,MATCH($H46,DATOS_MODELO!$B$2:$B$3672,0)),IF($J46="valor absoluto",ABS(INDEX(DATOS_MODELO!$U$2:$U$3672,MATCH($H46,DATOS_MODELO!$B$2:$B$3672,0))),INDEX(DATOS_MODELO!$U$2:$U$3672,MATCH($H46,DATOS_MODELO!$B$2:$B$3672,0))))))</f>
        <v>7345.4668</v>
      </c>
      <c r="L46" s="8" t="str">
        <f aca="false">IF(LEFT($H46,5)&lt;&gt;"STAT_","",IF(ABS($K46)&lt;=COUNTIFS($B$2:$B$618,$B46,$C$2:$C$618,$C46,$D$2:$D$618,"Energy products",$G$2:$G$618,"&lt;&gt;STAT")*PARAMETROS!$B$6,"redondeo","residuo_estadistico"))</f>
        <v/>
      </c>
      <c r="M46" s="8" t="str">
        <f>IF(OR($I46="USO_NO_ENERGETICO_APARENTE",$I46="USO_ENERGETICO_INTERNO_APARENTE"),"CAL",IF(LEFT($H46,5)="STAT_","FORMULA",IF(COUNTIF(DATOS_MODELO!$B$2:$B$3672,$H46)=1,"OK","REVISAR")))</f>
        <v>OK</v>
      </c>
    </row>
    <row r="47" customFormat="false" ht="15" hidden="false" customHeight="false" outlineLevel="0" collapsed="false">
      <c r="A47" s="4" t="s">
        <v>2127</v>
      </c>
      <c r="B47" s="12" t="n">
        <v>2024</v>
      </c>
      <c r="C47" s="4" t="s">
        <v>99</v>
      </c>
      <c r="D47" s="4" t="s">
        <v>1993</v>
      </c>
      <c r="E47" s="4" t="s">
        <v>1994</v>
      </c>
      <c r="F47" s="4" t="s">
        <v>2029</v>
      </c>
      <c r="G47" s="4" t="s">
        <v>69</v>
      </c>
      <c r="H47" s="4" t="s">
        <v>1886</v>
      </c>
      <c r="I47" s="4" t="s">
        <v>2030</v>
      </c>
      <c r="J47" s="4" t="s">
        <v>1997</v>
      </c>
      <c r="K47" s="14">
        <f>IF(OR($I47="USO_NO_ENERGETICO_APARENTE",$I47="USO_ENERGETICO_INTERNO_APARENTE"),ROUND(SUMIFS($K$2:$K$618,$B$2:$B$618,$B47,$C$2:$C$618,$C47,$D$2:$D$618,"Energy products",$E$2:$E$618,"Supply",$G$2:$G$618,"&lt;&gt;STAT")-SUMIFS($K$2:$K$618,$B$2:$B$618,$B47,$C$2:$C$618,$C47,$D$2:$D$618,"Energy products",$E$2:$E$618,"Use",$G$2:$G$618,"&lt;&gt;STAT",$I$2:$I$618,"&lt;&gt;USO_NO_ENERGETICO_APARENTE",$I$2:$I$618,"&lt;&gt;USO_ENERGETICO_INTERNO_APARENTE"),10),IF(LEFT($H47,5)="STAT_",ROUND(SUMIFS($K$2:$K$618,$B$2:$B$618,$B47,$C$2:$C$618,$C47,$D$2:$D$618,"Energy products",$E$2:$E$618,"Supply",$G$2:$G$618,"&lt;&gt;STAT")-SUMIFS($K$2:$K$618,$B$2:$B$618,$B47,$C$2:$C$618,$C47,$D$2:$D$618,"Energy products",$E$2:$E$618,"Use",$G$2:$G$618,"&lt;&gt;STAT"),10),IF($J47="cambio de signo",-INDEX(DATOS_MODELO!$U$2:$U$3672,MATCH($H47,DATOS_MODELO!$B$2:$B$3672,0)),IF($J47="valor absoluto",ABS(INDEX(DATOS_MODELO!$U$2:$U$3672,MATCH($H47,DATOS_MODELO!$B$2:$B$3672,0))),INDEX(DATOS_MODELO!$U$2:$U$3672,MATCH($H47,DATOS_MODELO!$B$2:$B$3672,0))))))</f>
        <v>6706.1344</v>
      </c>
      <c r="L47" s="8" t="str">
        <f aca="false">IF(LEFT($H47,5)&lt;&gt;"STAT_","",IF(ABS($K47)&lt;=COUNTIFS($B$2:$B$618,$B47,$C$2:$C$618,$C47,$D$2:$D$618,"Energy products",$G$2:$G$618,"&lt;&gt;STAT")*PARAMETROS!$B$6,"redondeo","residuo_estadistico"))</f>
        <v/>
      </c>
      <c r="M47" s="8" t="str">
        <f>IF(OR($I47="USO_NO_ENERGETICO_APARENTE",$I47="USO_ENERGETICO_INTERNO_APARENTE"),"CAL",IF(LEFT($H47,5)="STAT_","FORMULA",IF(COUNTIF(DATOS_MODELO!$B$2:$B$3672,$H47)=1,"OK","REVISAR")))</f>
        <v>OK</v>
      </c>
    </row>
    <row r="48" customFormat="false" ht="15" hidden="false" customHeight="false" outlineLevel="0" collapsed="false">
      <c r="A48" s="4" t="s">
        <v>2129</v>
      </c>
      <c r="B48" s="12" t="n">
        <v>2024</v>
      </c>
      <c r="C48" s="4" t="s">
        <v>99</v>
      </c>
      <c r="D48" s="4" t="s">
        <v>1993</v>
      </c>
      <c r="E48" s="4" t="s">
        <v>2001</v>
      </c>
      <c r="F48" s="4" t="s">
        <v>2091</v>
      </c>
      <c r="G48" s="4" t="s">
        <v>69</v>
      </c>
      <c r="H48" s="4" t="s">
        <v>1887</v>
      </c>
      <c r="I48" s="4" t="s">
        <v>2030</v>
      </c>
      <c r="J48" s="4" t="s">
        <v>1997</v>
      </c>
      <c r="K48" s="14">
        <f>IF(OR($I48="USO_NO_ENERGETICO_APARENTE",$I48="USO_ENERGETICO_INTERNO_APARENTE"),ROUND(SUMIFS($K$2:$K$618,$B$2:$B$618,$B48,$C$2:$C$618,$C48,$D$2:$D$618,"Energy products",$E$2:$E$618,"Supply",$G$2:$G$618,"&lt;&gt;STAT")-SUMIFS($K$2:$K$618,$B$2:$B$618,$B48,$C$2:$C$618,$C48,$D$2:$D$618,"Energy products",$E$2:$E$618,"Use",$G$2:$G$618,"&lt;&gt;STAT",$I$2:$I$618,"&lt;&gt;USO_NO_ENERGETICO_APARENTE",$I$2:$I$618,"&lt;&gt;USO_ENERGETICO_INTERNO_APARENTE"),10),IF(LEFT($H48,5)="STAT_",ROUND(SUMIFS($K$2:$K$618,$B$2:$B$618,$B48,$C$2:$C$618,$C48,$D$2:$D$618,"Energy products",$E$2:$E$618,"Supply",$G$2:$G$618,"&lt;&gt;STAT")-SUMIFS($K$2:$K$618,$B$2:$B$618,$B48,$C$2:$C$618,$C48,$D$2:$D$618,"Energy products",$E$2:$E$618,"Use",$G$2:$G$618,"&lt;&gt;STAT"),10),IF($J48="cambio de signo",-INDEX(DATOS_MODELO!$U$2:$U$3672,MATCH($H48,DATOS_MODELO!$B$2:$B$3672,0)),IF($J48="valor absoluto",ABS(INDEX(DATOS_MODELO!$U$2:$U$3672,MATCH($H48,DATOS_MODELO!$B$2:$B$3672,0))),INDEX(DATOS_MODELO!$U$2:$U$3672,MATCH($H48,DATOS_MODELO!$B$2:$B$3672,0))))))</f>
        <v>3694.8114</v>
      </c>
      <c r="L48" s="8" t="str">
        <f aca="false">IF(LEFT($H48,5)&lt;&gt;"STAT_","",IF(ABS($K48)&lt;=COUNTIFS($B$2:$B$618,$B48,$C$2:$C$618,$C48,$D$2:$D$618,"Energy products",$G$2:$G$618,"&lt;&gt;STAT")*PARAMETROS!$B$6,"redondeo","residuo_estadistico"))</f>
        <v/>
      </c>
      <c r="M48" s="8" t="str">
        <f>IF(OR($I48="USO_NO_ENERGETICO_APARENTE",$I48="USO_ENERGETICO_INTERNO_APARENTE"),"CAL",IF(LEFT($H48,5)="STAT_","FORMULA",IF(COUNTIF(DATOS_MODELO!$B$2:$B$3672,$H48)=1,"OK","REVISAR")))</f>
        <v>OK</v>
      </c>
    </row>
    <row r="49" customFormat="false" ht="15" hidden="false" customHeight="false" outlineLevel="0" collapsed="false">
      <c r="A49" s="4" t="s">
        <v>2131</v>
      </c>
      <c r="B49" s="12" t="n">
        <v>2024</v>
      </c>
      <c r="C49" s="4" t="s">
        <v>99</v>
      </c>
      <c r="D49" s="4" t="s">
        <v>1993</v>
      </c>
      <c r="E49" s="4" t="s">
        <v>1994</v>
      </c>
      <c r="F49" s="4" t="s">
        <v>1995</v>
      </c>
      <c r="G49" s="4" t="s">
        <v>67</v>
      </c>
      <c r="H49" s="4" t="s">
        <v>1890</v>
      </c>
      <c r="I49" s="4" t="s">
        <v>2003</v>
      </c>
      <c r="J49" s="4" t="s">
        <v>1997</v>
      </c>
      <c r="K49" s="14">
        <f>IF(OR($I49="USO_NO_ENERGETICO_APARENTE",$I49="USO_ENERGETICO_INTERNO_APARENTE"),ROUND(SUMIFS($K$2:$K$618,$B$2:$B$618,$B49,$C$2:$C$618,$C49,$D$2:$D$618,"Energy products",$E$2:$E$618,"Supply",$G$2:$G$618,"&lt;&gt;STAT")-SUMIFS($K$2:$K$618,$B$2:$B$618,$B49,$C$2:$C$618,$C49,$D$2:$D$618,"Energy products",$E$2:$E$618,"Use",$G$2:$G$618,"&lt;&gt;STAT",$I$2:$I$618,"&lt;&gt;USO_NO_ENERGETICO_APARENTE",$I$2:$I$618,"&lt;&gt;USO_ENERGETICO_INTERNO_APARENTE"),10),IF(LEFT($H49,5)="STAT_",ROUND(SUMIFS($K$2:$K$618,$B$2:$B$618,$B49,$C$2:$C$618,$C49,$D$2:$D$618,"Energy products",$E$2:$E$618,"Supply",$G$2:$G$618,"&lt;&gt;STAT")-SUMIFS($K$2:$K$618,$B$2:$B$618,$B49,$C$2:$C$618,$C49,$D$2:$D$618,"Energy products",$E$2:$E$618,"Use",$G$2:$G$618,"&lt;&gt;STAT"),10),IF($J49="cambio de signo",-INDEX(DATOS_MODELO!$U$2:$U$3672,MATCH($H49,DATOS_MODELO!$B$2:$B$3672,0)),IF($J49="valor absoluto",ABS(INDEX(DATOS_MODELO!$U$2:$U$3672,MATCH($H49,DATOS_MODELO!$B$2:$B$3672,0))),INDEX(DATOS_MODELO!$U$2:$U$3672,MATCH($H49,DATOS_MODELO!$B$2:$B$3672,0))))))</f>
        <v>49633.4356</v>
      </c>
      <c r="L49" s="8" t="str">
        <f aca="false">IF(LEFT($H49,5)&lt;&gt;"STAT_","",IF(ABS($K49)&lt;=COUNTIFS($B$2:$B$618,$B49,$C$2:$C$618,$C49,$D$2:$D$618,"Energy products",$G$2:$G$618,"&lt;&gt;STAT")*PARAMETROS!$B$6,"redondeo","residuo_estadistico"))</f>
        <v/>
      </c>
      <c r="M49" s="8" t="str">
        <f>IF(OR($I49="USO_NO_ENERGETICO_APARENTE",$I49="USO_ENERGETICO_INTERNO_APARENTE"),"CAL",IF(LEFT($H49,5)="STAT_","FORMULA",IF(COUNTIF(DATOS_MODELO!$B$2:$B$3672,$H49)=1,"OK","REVISAR")))</f>
        <v>OK</v>
      </c>
    </row>
    <row r="50" customFormat="false" ht="15" hidden="false" customHeight="false" outlineLevel="0" collapsed="false">
      <c r="A50" s="4" t="s">
        <v>2134</v>
      </c>
      <c r="B50" s="12" t="n">
        <v>2024</v>
      </c>
      <c r="C50" s="4" t="s">
        <v>99</v>
      </c>
      <c r="D50" s="4" t="s">
        <v>1993</v>
      </c>
      <c r="E50" s="4" t="s">
        <v>1994</v>
      </c>
      <c r="F50" s="4" t="s">
        <v>1995</v>
      </c>
      <c r="G50" s="4" t="s">
        <v>67</v>
      </c>
      <c r="H50" s="4" t="s">
        <v>1891</v>
      </c>
      <c r="I50" s="4" t="s">
        <v>2008</v>
      </c>
      <c r="J50" s="4" t="s">
        <v>1997</v>
      </c>
      <c r="K50" s="14">
        <f>IF(OR($I50="USO_NO_ENERGETICO_APARENTE",$I50="USO_ENERGETICO_INTERNO_APARENTE"),ROUND(SUMIFS($K$2:$K$618,$B$2:$B$618,$B50,$C$2:$C$618,$C50,$D$2:$D$618,"Energy products",$E$2:$E$618,"Supply",$G$2:$G$618,"&lt;&gt;STAT")-SUMIFS($K$2:$K$618,$B$2:$B$618,$B50,$C$2:$C$618,$C50,$D$2:$D$618,"Energy products",$E$2:$E$618,"Use",$G$2:$G$618,"&lt;&gt;STAT",$I$2:$I$618,"&lt;&gt;USO_NO_ENERGETICO_APARENTE",$I$2:$I$618,"&lt;&gt;USO_ENERGETICO_INTERNO_APARENTE"),10),IF(LEFT($H50,5)="STAT_",ROUND(SUMIFS($K$2:$K$618,$B$2:$B$618,$B50,$C$2:$C$618,$C50,$D$2:$D$618,"Energy products",$E$2:$E$618,"Supply",$G$2:$G$618,"&lt;&gt;STAT")-SUMIFS($K$2:$K$618,$B$2:$B$618,$B50,$C$2:$C$618,$C50,$D$2:$D$618,"Energy products",$E$2:$E$618,"Use",$G$2:$G$618,"&lt;&gt;STAT"),10),IF($J50="cambio de signo",-INDEX(DATOS_MODELO!$U$2:$U$3672,MATCH($H50,DATOS_MODELO!$B$2:$B$3672,0)),IF($J50="valor absoluto",ABS(INDEX(DATOS_MODELO!$U$2:$U$3672,MATCH($H50,DATOS_MODELO!$B$2:$B$3672,0))),INDEX(DATOS_MODELO!$U$2:$U$3672,MATCH($H50,DATOS_MODELO!$B$2:$B$3672,0))))))</f>
        <v>3575.9969</v>
      </c>
      <c r="L50" s="8" t="str">
        <f aca="false">IF(LEFT($H50,5)&lt;&gt;"STAT_","",IF(ABS($K50)&lt;=COUNTIFS($B$2:$B$618,$B50,$C$2:$C$618,$C50,$D$2:$D$618,"Energy products",$G$2:$G$618,"&lt;&gt;STAT")*PARAMETROS!$B$6,"redondeo","residuo_estadistico"))</f>
        <v/>
      </c>
      <c r="M50" s="8" t="str">
        <f>IF(OR($I50="USO_NO_ENERGETICO_APARENTE",$I50="USO_ENERGETICO_INTERNO_APARENTE"),"CAL",IF(LEFT($H50,5)="STAT_","FORMULA",IF(COUNTIF(DATOS_MODELO!$B$2:$B$3672,$H50)=1,"OK","REVISAR")))</f>
        <v>OK</v>
      </c>
    </row>
    <row r="51" customFormat="false" ht="15" hidden="false" customHeight="false" outlineLevel="0" collapsed="false">
      <c r="A51" s="4" t="s">
        <v>2137</v>
      </c>
      <c r="B51" s="12" t="n">
        <v>2024</v>
      </c>
      <c r="C51" s="4" t="s">
        <v>99</v>
      </c>
      <c r="D51" s="4" t="s">
        <v>1993</v>
      </c>
      <c r="E51" s="4" t="s">
        <v>2001</v>
      </c>
      <c r="F51" s="4" t="s">
        <v>2002</v>
      </c>
      <c r="G51" s="4" t="s">
        <v>67</v>
      </c>
      <c r="H51" s="4" t="s">
        <v>1892</v>
      </c>
      <c r="I51" s="4" t="s">
        <v>2139</v>
      </c>
      <c r="J51" s="4" t="s">
        <v>1997</v>
      </c>
      <c r="K51" s="14">
        <f>IF(OR($I51="USO_NO_ENERGETICO_APARENTE",$I51="USO_ENERGETICO_INTERNO_APARENTE"),ROUND(SUMIFS($K$2:$K$618,$B$2:$B$618,$B51,$C$2:$C$618,$C51,$D$2:$D$618,"Energy products",$E$2:$E$618,"Supply",$G$2:$G$618,"&lt;&gt;STAT")-SUMIFS($K$2:$K$618,$B$2:$B$618,$B51,$C$2:$C$618,$C51,$D$2:$D$618,"Energy products",$E$2:$E$618,"Use",$G$2:$G$618,"&lt;&gt;STAT",$I$2:$I$618,"&lt;&gt;USO_NO_ENERGETICO_APARENTE",$I$2:$I$618,"&lt;&gt;USO_ENERGETICO_INTERNO_APARENTE"),10),IF(LEFT($H51,5)="STAT_",ROUND(SUMIFS($K$2:$K$618,$B$2:$B$618,$B51,$C$2:$C$618,$C51,$D$2:$D$618,"Energy products",$E$2:$E$618,"Supply",$G$2:$G$618,"&lt;&gt;STAT")-SUMIFS($K$2:$K$618,$B$2:$B$618,$B51,$C$2:$C$618,$C51,$D$2:$D$618,"Energy products",$E$2:$E$618,"Use",$G$2:$G$618,"&lt;&gt;STAT"),10),IF($J51="cambio de signo",-INDEX(DATOS_MODELO!$U$2:$U$3672,MATCH($H51,DATOS_MODELO!$B$2:$B$3672,0)),IF($J51="valor absoluto",ABS(INDEX(DATOS_MODELO!$U$2:$U$3672,MATCH($H51,DATOS_MODELO!$B$2:$B$3672,0))),INDEX(DATOS_MODELO!$U$2:$U$3672,MATCH($H51,DATOS_MODELO!$B$2:$B$3672,0))))))</f>
        <v>2928.5886</v>
      </c>
      <c r="L51" s="8" t="str">
        <f aca="false">IF(LEFT($H51,5)&lt;&gt;"STAT_","",IF(ABS($K51)&lt;=COUNTIFS($B$2:$B$618,$B51,$C$2:$C$618,$C51,$D$2:$D$618,"Energy products",$G$2:$G$618,"&lt;&gt;STAT")*PARAMETROS!$B$6,"redondeo","residuo_estadistico"))</f>
        <v/>
      </c>
      <c r="M51" s="8" t="str">
        <f>IF(OR($I51="USO_NO_ENERGETICO_APARENTE",$I51="USO_ENERGETICO_INTERNO_APARENTE"),"CAL",IF(LEFT($H51,5)="STAT_","FORMULA",IF(COUNTIF(DATOS_MODELO!$B$2:$B$3672,$H51)=1,"OK","REVISAR")))</f>
        <v>OK</v>
      </c>
    </row>
    <row r="52" customFormat="false" ht="15" hidden="false" customHeight="false" outlineLevel="0" collapsed="false">
      <c r="A52" s="4" t="s">
        <v>2141</v>
      </c>
      <c r="B52" s="12" t="n">
        <v>2024</v>
      </c>
      <c r="C52" s="4" t="s">
        <v>99</v>
      </c>
      <c r="D52" s="4" t="s">
        <v>1993</v>
      </c>
      <c r="E52" s="4" t="s">
        <v>2001</v>
      </c>
      <c r="F52" s="4" t="s">
        <v>2002</v>
      </c>
      <c r="G52" s="4" t="s">
        <v>71</v>
      </c>
      <c r="H52" s="4" t="s">
        <v>1894</v>
      </c>
      <c r="I52" s="4" t="s">
        <v>2123</v>
      </c>
      <c r="J52" s="4" t="s">
        <v>1997</v>
      </c>
      <c r="K52" s="14">
        <f>IF(OR($I52="USO_NO_ENERGETICO_APARENTE",$I52="USO_ENERGETICO_INTERNO_APARENTE"),ROUND(SUMIFS($K$2:$K$618,$B$2:$B$618,$B52,$C$2:$C$618,$C52,$D$2:$D$618,"Energy products",$E$2:$E$618,"Supply",$G$2:$G$618,"&lt;&gt;STAT")-SUMIFS($K$2:$K$618,$B$2:$B$618,$B52,$C$2:$C$618,$C52,$D$2:$D$618,"Energy products",$E$2:$E$618,"Use",$G$2:$G$618,"&lt;&gt;STAT",$I$2:$I$618,"&lt;&gt;USO_NO_ENERGETICO_APARENTE",$I$2:$I$618,"&lt;&gt;USO_ENERGETICO_INTERNO_APARENTE"),10),IF(LEFT($H52,5)="STAT_",ROUND(SUMIFS($K$2:$K$618,$B$2:$B$618,$B52,$C$2:$C$618,$C52,$D$2:$D$618,"Energy products",$E$2:$E$618,"Supply",$G$2:$G$618,"&lt;&gt;STAT")-SUMIFS($K$2:$K$618,$B$2:$B$618,$B52,$C$2:$C$618,$C52,$D$2:$D$618,"Energy products",$E$2:$E$618,"Use",$G$2:$G$618,"&lt;&gt;STAT"),10),IF($J52="cambio de signo",-INDEX(DATOS_MODELO!$U$2:$U$3672,MATCH($H52,DATOS_MODELO!$B$2:$B$3672,0)),IF($J52="valor absoluto",ABS(INDEX(DATOS_MODELO!$U$2:$U$3672,MATCH($H52,DATOS_MODELO!$B$2:$B$3672,0))),INDEX(DATOS_MODELO!$U$2:$U$3672,MATCH($H52,DATOS_MODELO!$B$2:$B$3672,0))))))</f>
        <v>29.2243</v>
      </c>
      <c r="L52" s="8" t="str">
        <f aca="false">IF(LEFT($H52,5)&lt;&gt;"STAT_","",IF(ABS($K52)&lt;=COUNTIFS($B$2:$B$618,$B52,$C$2:$C$618,$C52,$D$2:$D$618,"Energy products",$G$2:$G$618,"&lt;&gt;STAT")*PARAMETROS!$B$6,"redondeo","residuo_estadistico"))</f>
        <v/>
      </c>
      <c r="M52" s="8" t="str">
        <f>IF(OR($I52="USO_NO_ENERGETICO_APARENTE",$I52="USO_ENERGETICO_INTERNO_APARENTE"),"CAL",IF(LEFT($H52,5)="STAT_","FORMULA",IF(COUNTIF(DATOS_MODELO!$B$2:$B$3672,$H52)=1,"OK","REVISAR")))</f>
        <v>OK</v>
      </c>
    </row>
    <row r="53" customFormat="false" ht="15" hidden="false" customHeight="false" outlineLevel="0" collapsed="false">
      <c r="A53" s="4" t="s">
        <v>2143</v>
      </c>
      <c r="B53" s="12" t="n">
        <v>2024</v>
      </c>
      <c r="C53" s="4" t="s">
        <v>99</v>
      </c>
      <c r="D53" s="4" t="s">
        <v>1993</v>
      </c>
      <c r="E53" s="4" t="s">
        <v>2001</v>
      </c>
      <c r="F53" s="4" t="s">
        <v>2074</v>
      </c>
      <c r="G53" s="4" t="s">
        <v>73</v>
      </c>
      <c r="H53" s="4" t="s">
        <v>1895</v>
      </c>
      <c r="I53" s="4" t="s">
        <v>2075</v>
      </c>
      <c r="J53" s="4" t="s">
        <v>1997</v>
      </c>
      <c r="K53" s="14">
        <f>IF(OR($I53="USO_NO_ENERGETICO_APARENTE",$I53="USO_ENERGETICO_INTERNO_APARENTE"),ROUND(SUMIFS($K$2:$K$618,$B$2:$B$618,$B53,$C$2:$C$618,$C53,$D$2:$D$618,"Energy products",$E$2:$E$618,"Supply",$G$2:$G$618,"&lt;&gt;STAT")-SUMIFS($K$2:$K$618,$B$2:$B$618,$B53,$C$2:$C$618,$C53,$D$2:$D$618,"Energy products",$E$2:$E$618,"Use",$G$2:$G$618,"&lt;&gt;STAT",$I$2:$I$618,"&lt;&gt;USO_NO_ENERGETICO_APARENTE",$I$2:$I$618,"&lt;&gt;USO_ENERGETICO_INTERNO_APARENTE"),10),IF(LEFT($H53,5)="STAT_",ROUND(SUMIFS($K$2:$K$618,$B$2:$B$618,$B53,$C$2:$C$618,$C53,$D$2:$D$618,"Energy products",$E$2:$E$618,"Supply",$G$2:$G$618,"&lt;&gt;STAT")-SUMIFS($K$2:$K$618,$B$2:$B$618,$B53,$C$2:$C$618,$C53,$D$2:$D$618,"Energy products",$E$2:$E$618,"Use",$G$2:$G$618,"&lt;&gt;STAT"),10),IF($J53="cambio de signo",-INDEX(DATOS_MODELO!$U$2:$U$3672,MATCH($H53,DATOS_MODELO!$B$2:$B$3672,0)),IF($J53="valor absoluto",ABS(INDEX(DATOS_MODELO!$U$2:$U$3672,MATCH($H53,DATOS_MODELO!$B$2:$B$3672,0))),INDEX(DATOS_MODELO!$U$2:$U$3672,MATCH($H53,DATOS_MODELO!$B$2:$B$3672,0))))))</f>
        <v>16781.9526</v>
      </c>
      <c r="L53" s="8" t="str">
        <f aca="false">IF(LEFT($H53,5)&lt;&gt;"STAT_","",IF(ABS($K53)&lt;=COUNTIFS($B$2:$B$618,$B53,$C$2:$C$618,$C53,$D$2:$D$618,"Energy products",$G$2:$G$618,"&lt;&gt;STAT")*PARAMETROS!$B$6,"redondeo","residuo_estadistico"))</f>
        <v/>
      </c>
      <c r="M53" s="8" t="str">
        <f>IF(OR($I53="USO_NO_ENERGETICO_APARENTE",$I53="USO_ENERGETICO_INTERNO_APARENTE"),"CAL",IF(LEFT($H53,5)="STAT_","FORMULA",IF(COUNTIF(DATOS_MODELO!$B$2:$B$3672,$H53)=1,"OK","REVISAR")))</f>
        <v>OK</v>
      </c>
    </row>
    <row r="54" customFormat="false" ht="15" hidden="false" customHeight="false" outlineLevel="0" collapsed="false">
      <c r="A54" s="4" t="s">
        <v>2145</v>
      </c>
      <c r="B54" s="12" t="n">
        <v>2024</v>
      </c>
      <c r="C54" s="4" t="s">
        <v>99</v>
      </c>
      <c r="D54" s="4" t="s">
        <v>1993</v>
      </c>
      <c r="E54" s="4" t="s">
        <v>2001</v>
      </c>
      <c r="F54" s="4" t="s">
        <v>2002</v>
      </c>
      <c r="G54" s="4" t="s">
        <v>72</v>
      </c>
      <c r="H54" s="4" t="s">
        <v>1896</v>
      </c>
      <c r="I54" s="4" t="s">
        <v>2079</v>
      </c>
      <c r="J54" s="4" t="s">
        <v>1997</v>
      </c>
      <c r="K54" s="14">
        <f>IF(OR($I54="USO_NO_ENERGETICO_APARENTE",$I54="USO_ENERGETICO_INTERNO_APARENTE"),ROUND(SUMIFS($K$2:$K$618,$B$2:$B$618,$B54,$C$2:$C$618,$C54,$D$2:$D$618,"Energy products",$E$2:$E$618,"Supply",$G$2:$G$618,"&lt;&gt;STAT")-SUMIFS($K$2:$K$618,$B$2:$B$618,$B54,$C$2:$C$618,$C54,$D$2:$D$618,"Energy products",$E$2:$E$618,"Use",$G$2:$G$618,"&lt;&gt;STAT",$I$2:$I$618,"&lt;&gt;USO_NO_ENERGETICO_APARENTE",$I$2:$I$618,"&lt;&gt;USO_ENERGETICO_INTERNO_APARENTE"),10),IF(LEFT($H54,5)="STAT_",ROUND(SUMIFS($K$2:$K$618,$B$2:$B$618,$B54,$C$2:$C$618,$C54,$D$2:$D$618,"Energy products",$E$2:$E$618,"Supply",$G$2:$G$618,"&lt;&gt;STAT")-SUMIFS($K$2:$K$618,$B$2:$B$618,$B54,$C$2:$C$618,$C54,$D$2:$D$618,"Energy products",$E$2:$E$618,"Use",$G$2:$G$618,"&lt;&gt;STAT"),10),IF($J54="cambio de signo",-INDEX(DATOS_MODELO!$U$2:$U$3672,MATCH($H54,DATOS_MODELO!$B$2:$B$3672,0)),IF($J54="valor absoluto",ABS(INDEX(DATOS_MODELO!$U$2:$U$3672,MATCH($H54,DATOS_MODELO!$B$2:$B$3672,0))),INDEX(DATOS_MODELO!$U$2:$U$3672,MATCH($H54,DATOS_MODELO!$B$2:$B$3672,0))))))</f>
        <v>12059.1779</v>
      </c>
      <c r="L54" s="8" t="str">
        <f aca="false">IF(LEFT($H54,5)&lt;&gt;"STAT_","",IF(ABS($K54)&lt;=COUNTIFS($B$2:$B$618,$B54,$C$2:$C$618,$C54,$D$2:$D$618,"Energy products",$G$2:$G$618,"&lt;&gt;STAT")*PARAMETROS!$B$6,"redondeo","residuo_estadistico"))</f>
        <v/>
      </c>
      <c r="M54" s="8" t="str">
        <f>IF(OR($I54="USO_NO_ENERGETICO_APARENTE",$I54="USO_ENERGETICO_INTERNO_APARENTE"),"CAL",IF(LEFT($H54,5)="STAT_","FORMULA",IF(COUNTIF(DATOS_MODELO!$B$2:$B$3672,$H54)=1,"OK","REVISAR")))</f>
        <v>OK</v>
      </c>
    </row>
    <row r="55" customFormat="false" ht="15" hidden="false" customHeight="false" outlineLevel="0" collapsed="false">
      <c r="A55" s="4" t="s">
        <v>2147</v>
      </c>
      <c r="B55" s="12" t="n">
        <v>2024</v>
      </c>
      <c r="C55" s="4" t="s">
        <v>99</v>
      </c>
      <c r="D55" s="4" t="s">
        <v>1993</v>
      </c>
      <c r="E55" s="4" t="s">
        <v>2001</v>
      </c>
      <c r="F55" s="4" t="s">
        <v>2002</v>
      </c>
      <c r="G55" s="4" t="s">
        <v>68</v>
      </c>
      <c r="H55" s="4" t="s">
        <v>1897</v>
      </c>
      <c r="I55" s="4" t="s">
        <v>2111</v>
      </c>
      <c r="J55" s="4" t="s">
        <v>1997</v>
      </c>
      <c r="K55" s="14">
        <f>IF(OR($I55="USO_NO_ENERGETICO_APARENTE",$I55="USO_ENERGETICO_INTERNO_APARENTE"),ROUND(SUMIFS($K$2:$K$618,$B$2:$B$618,$B55,$C$2:$C$618,$C55,$D$2:$D$618,"Energy products",$E$2:$E$618,"Supply",$G$2:$G$618,"&lt;&gt;STAT")-SUMIFS($K$2:$K$618,$B$2:$B$618,$B55,$C$2:$C$618,$C55,$D$2:$D$618,"Energy products",$E$2:$E$618,"Use",$G$2:$G$618,"&lt;&gt;STAT",$I$2:$I$618,"&lt;&gt;USO_NO_ENERGETICO_APARENTE",$I$2:$I$618,"&lt;&gt;USO_ENERGETICO_INTERNO_APARENTE"),10),IF(LEFT($H55,5)="STAT_",ROUND(SUMIFS($K$2:$K$618,$B$2:$B$618,$B55,$C$2:$C$618,$C55,$D$2:$D$618,"Energy products",$E$2:$E$618,"Supply",$G$2:$G$618,"&lt;&gt;STAT")-SUMIFS($K$2:$K$618,$B$2:$B$618,$B55,$C$2:$C$618,$C55,$D$2:$D$618,"Energy products",$E$2:$E$618,"Use",$G$2:$G$618,"&lt;&gt;STAT"),10),IF($J55="cambio de signo",-INDEX(DATOS_MODELO!$U$2:$U$3672,MATCH($H55,DATOS_MODELO!$B$2:$B$3672,0)),IF($J55="valor absoluto",ABS(INDEX(DATOS_MODELO!$U$2:$U$3672,MATCH($H55,DATOS_MODELO!$B$2:$B$3672,0))),INDEX(DATOS_MODELO!$U$2:$U$3672,MATCH($H55,DATOS_MODELO!$B$2:$B$3672,0))))))</f>
        <v>17403.2159</v>
      </c>
      <c r="L55" s="8" t="str">
        <f aca="false">IF(LEFT($H55,5)&lt;&gt;"STAT_","",IF(ABS($K55)&lt;=COUNTIFS($B$2:$B$618,$B55,$C$2:$C$618,$C55,$D$2:$D$618,"Energy products",$G$2:$G$618,"&lt;&gt;STAT")*PARAMETROS!$B$6,"redondeo","residuo_estadistico"))</f>
        <v/>
      </c>
      <c r="M55" s="8" t="str">
        <f>IF(OR($I55="USO_NO_ENERGETICO_APARENTE",$I55="USO_ENERGETICO_INTERNO_APARENTE"),"CAL",IF(LEFT($H55,5)="STAT_","FORMULA",IF(COUNTIF(DATOS_MODELO!$B$2:$B$3672,$H55)=1,"OK","REVISAR")))</f>
        <v>OK</v>
      </c>
    </row>
    <row r="56" customFormat="false" ht="15" hidden="false" customHeight="false" outlineLevel="0" collapsed="false">
      <c r="A56" s="4" t="s">
        <v>2149</v>
      </c>
      <c r="B56" s="12" t="n">
        <v>2024</v>
      </c>
      <c r="C56" s="4" t="s">
        <v>99</v>
      </c>
      <c r="D56" s="4" t="s">
        <v>1993</v>
      </c>
      <c r="E56" s="4" t="s">
        <v>2001</v>
      </c>
      <c r="F56" s="4" t="s">
        <v>2002</v>
      </c>
      <c r="G56" s="4" t="s">
        <v>67</v>
      </c>
      <c r="H56" s="4" t="s">
        <v>1899</v>
      </c>
      <c r="I56" s="4" t="s">
        <v>2151</v>
      </c>
      <c r="J56" s="4" t="s">
        <v>1997</v>
      </c>
      <c r="K56" s="14">
        <f>IF(OR($I56="USO_NO_ENERGETICO_APARENTE",$I56="USO_ENERGETICO_INTERNO_APARENTE"),ROUND(SUMIFS($K$2:$K$618,$B$2:$B$618,$B56,$C$2:$C$618,$C56,$D$2:$D$618,"Energy products",$E$2:$E$618,"Supply",$G$2:$G$618,"&lt;&gt;STAT")-SUMIFS($K$2:$K$618,$B$2:$B$618,$B56,$C$2:$C$618,$C56,$D$2:$D$618,"Energy products",$E$2:$E$618,"Use",$G$2:$G$618,"&lt;&gt;STAT",$I$2:$I$618,"&lt;&gt;USO_NO_ENERGETICO_APARENTE",$I$2:$I$618,"&lt;&gt;USO_ENERGETICO_INTERNO_APARENTE"),10),IF(LEFT($H56,5)="STAT_",ROUND(SUMIFS($K$2:$K$618,$B$2:$B$618,$B56,$C$2:$C$618,$C56,$D$2:$D$618,"Energy products",$E$2:$E$618,"Supply",$G$2:$G$618,"&lt;&gt;STAT")-SUMIFS($K$2:$K$618,$B$2:$B$618,$B56,$C$2:$C$618,$C56,$D$2:$D$618,"Energy products",$E$2:$E$618,"Use",$G$2:$G$618,"&lt;&gt;STAT"),10),IF($J56="cambio de signo",-INDEX(DATOS_MODELO!$U$2:$U$3672,MATCH($H56,DATOS_MODELO!$B$2:$B$3672,0)),IF($J56="valor absoluto",ABS(INDEX(DATOS_MODELO!$U$2:$U$3672,MATCH($H56,DATOS_MODELO!$B$2:$B$3672,0))),INDEX(DATOS_MODELO!$U$2:$U$3672,MATCH($H56,DATOS_MODELO!$B$2:$B$3672,0))))))</f>
        <v>7018.5381</v>
      </c>
      <c r="L56" s="8" t="str">
        <f aca="false">IF(LEFT($H56,5)&lt;&gt;"STAT_","",IF(ABS($K56)&lt;=COUNTIFS($B$2:$B$618,$B56,$C$2:$C$618,$C56,$D$2:$D$618,"Energy products",$G$2:$G$618,"&lt;&gt;STAT")*PARAMETROS!$B$6,"redondeo","residuo_estadistico"))</f>
        <v/>
      </c>
      <c r="M56" s="8" t="str">
        <f>IF(OR($I56="USO_NO_ENERGETICO_APARENTE",$I56="USO_ENERGETICO_INTERNO_APARENTE"),"CAL",IF(LEFT($H56,5)="STAT_","FORMULA",IF(COUNTIF(DATOS_MODELO!$B$2:$B$3672,$H56)=1,"OK","REVISAR")))</f>
        <v>OK</v>
      </c>
    </row>
    <row r="57" customFormat="false" ht="15" hidden="false" customHeight="false" outlineLevel="0" collapsed="false">
      <c r="A57" s="4" t="s">
        <v>2153</v>
      </c>
      <c r="B57" s="12" t="n">
        <v>2024</v>
      </c>
      <c r="C57" s="4" t="s">
        <v>99</v>
      </c>
      <c r="D57" s="4" t="s">
        <v>2155</v>
      </c>
      <c r="E57" s="4" t="s">
        <v>1994</v>
      </c>
      <c r="F57" s="4" t="s">
        <v>2156</v>
      </c>
      <c r="G57" s="4" t="s">
        <v>67</v>
      </c>
      <c r="H57" s="4" t="s">
        <v>1899</v>
      </c>
      <c r="I57" s="4" t="s">
        <v>2151</v>
      </c>
      <c r="J57" s="4" t="s">
        <v>1997</v>
      </c>
      <c r="K57" s="14">
        <f>IF(OR($I57="USO_NO_ENERGETICO_APARENTE",$I57="USO_ENERGETICO_INTERNO_APARENTE"),ROUND(SUMIFS($K$2:$K$618,$B$2:$B$618,$B57,$C$2:$C$618,$C57,$D$2:$D$618,"Energy products",$E$2:$E$618,"Supply",$G$2:$G$618,"&lt;&gt;STAT")-SUMIFS($K$2:$K$618,$B$2:$B$618,$B57,$C$2:$C$618,$C57,$D$2:$D$618,"Energy products",$E$2:$E$618,"Use",$G$2:$G$618,"&lt;&gt;STAT",$I$2:$I$618,"&lt;&gt;USO_NO_ENERGETICO_APARENTE",$I$2:$I$618,"&lt;&gt;USO_ENERGETICO_INTERNO_APARENTE"),10),IF(LEFT($H57,5)="STAT_",ROUND(SUMIFS($K$2:$K$618,$B$2:$B$618,$B57,$C$2:$C$618,$C57,$D$2:$D$618,"Energy products",$E$2:$E$618,"Supply",$G$2:$G$618,"&lt;&gt;STAT")-SUMIFS($K$2:$K$618,$B$2:$B$618,$B57,$C$2:$C$618,$C57,$D$2:$D$618,"Energy products",$E$2:$E$618,"Use",$G$2:$G$618,"&lt;&gt;STAT"),10),IF($J57="cambio de signo",-INDEX(DATOS_MODELO!$U$2:$U$3672,MATCH($H57,DATOS_MODELO!$B$2:$B$3672,0)),IF($J57="valor absoluto",ABS(INDEX(DATOS_MODELO!$U$2:$U$3672,MATCH($H57,DATOS_MODELO!$B$2:$B$3672,0))),INDEX(DATOS_MODELO!$U$2:$U$3672,MATCH($H57,DATOS_MODELO!$B$2:$B$3672,0))))))</f>
        <v>7018.5381</v>
      </c>
      <c r="L57" s="8" t="str">
        <f aca="false">IF(LEFT($H57,5)&lt;&gt;"STAT_","",IF(ABS($K57)&lt;=COUNTIFS($B$2:$B$618,$B57,$C$2:$C$618,$C57,$D$2:$D$618,"Energy products",$G$2:$G$618,"&lt;&gt;STAT")*PARAMETROS!$B$6,"redondeo","residuo_estadistico"))</f>
        <v/>
      </c>
      <c r="M57" s="8" t="str">
        <f>IF(OR($I57="USO_NO_ENERGETICO_APARENTE",$I57="USO_ENERGETICO_INTERNO_APARENTE"),"CAL",IF(LEFT($H57,5)="STAT_","FORMULA",IF(COUNTIF(DATOS_MODELO!$B$2:$B$3672,$H57)=1,"OK","REVISAR")))</f>
        <v>OK</v>
      </c>
    </row>
    <row r="58" customFormat="false" ht="15" hidden="false" customHeight="false" outlineLevel="0" collapsed="false">
      <c r="A58" s="4" t="s">
        <v>2158</v>
      </c>
      <c r="B58" s="12" t="n">
        <v>2024</v>
      </c>
      <c r="C58" s="4" t="s">
        <v>99</v>
      </c>
      <c r="D58" s="4" t="s">
        <v>2155</v>
      </c>
      <c r="E58" s="4" t="s">
        <v>2001</v>
      </c>
      <c r="F58" s="4" t="s">
        <v>2160</v>
      </c>
      <c r="G58" s="4" t="s">
        <v>64</v>
      </c>
      <c r="H58" s="4" t="s">
        <v>1899</v>
      </c>
      <c r="I58" s="4" t="s">
        <v>2151</v>
      </c>
      <c r="J58" s="4" t="s">
        <v>1997</v>
      </c>
      <c r="K58" s="14">
        <f>IF(OR($I58="USO_NO_ENERGETICO_APARENTE",$I58="USO_ENERGETICO_INTERNO_APARENTE"),ROUND(SUMIFS($K$2:$K$618,$B$2:$B$618,$B58,$C$2:$C$618,$C58,$D$2:$D$618,"Energy products",$E$2:$E$618,"Supply",$G$2:$G$618,"&lt;&gt;STAT")-SUMIFS($K$2:$K$618,$B$2:$B$618,$B58,$C$2:$C$618,$C58,$D$2:$D$618,"Energy products",$E$2:$E$618,"Use",$G$2:$G$618,"&lt;&gt;STAT",$I$2:$I$618,"&lt;&gt;USO_NO_ENERGETICO_APARENTE",$I$2:$I$618,"&lt;&gt;USO_ENERGETICO_INTERNO_APARENTE"),10),IF(LEFT($H58,5)="STAT_",ROUND(SUMIFS($K$2:$K$618,$B$2:$B$618,$B58,$C$2:$C$618,$C58,$D$2:$D$618,"Energy products",$E$2:$E$618,"Supply",$G$2:$G$618,"&lt;&gt;STAT")-SUMIFS($K$2:$K$618,$B$2:$B$618,$B58,$C$2:$C$618,$C58,$D$2:$D$618,"Energy products",$E$2:$E$618,"Use",$G$2:$G$618,"&lt;&gt;STAT"),10),IF($J58="cambio de signo",-INDEX(DATOS_MODELO!$U$2:$U$3672,MATCH($H58,DATOS_MODELO!$B$2:$B$3672,0)),IF($J58="valor absoluto",ABS(INDEX(DATOS_MODELO!$U$2:$U$3672,MATCH($H58,DATOS_MODELO!$B$2:$B$3672,0))),INDEX(DATOS_MODELO!$U$2:$U$3672,MATCH($H58,DATOS_MODELO!$B$2:$B$3672,0))))))</f>
        <v>7018.5381</v>
      </c>
      <c r="L58" s="8" t="str">
        <f aca="false">IF(LEFT($H58,5)&lt;&gt;"STAT_","",IF(ABS($K58)&lt;=COUNTIFS($B$2:$B$618,$B58,$C$2:$C$618,$C58,$D$2:$D$618,"Energy products",$G$2:$G$618,"&lt;&gt;STAT")*PARAMETROS!$B$6,"redondeo","residuo_estadistico"))</f>
        <v/>
      </c>
      <c r="M58" s="8" t="str">
        <f>IF(OR($I58="USO_NO_ENERGETICO_APARENTE",$I58="USO_ENERGETICO_INTERNO_APARENTE"),"CAL",IF(LEFT($H58,5)="STAT_","FORMULA",IF(COUNTIF(DATOS_MODELO!$B$2:$B$3672,$H58)=1,"OK","REVISAR")))</f>
        <v>OK</v>
      </c>
    </row>
    <row r="59" customFormat="false" ht="15" hidden="false" customHeight="false" outlineLevel="0" collapsed="false">
      <c r="A59" s="4" t="s">
        <v>2162</v>
      </c>
      <c r="B59" s="12" t="n">
        <v>2024</v>
      </c>
      <c r="C59" s="4" t="s">
        <v>101</v>
      </c>
      <c r="D59" s="4" t="s">
        <v>1993</v>
      </c>
      <c r="E59" s="4" t="s">
        <v>1994</v>
      </c>
      <c r="F59" s="4" t="s">
        <v>2029</v>
      </c>
      <c r="G59" s="4" t="s">
        <v>69</v>
      </c>
      <c r="H59" s="4" t="s">
        <v>1902</v>
      </c>
      <c r="I59" s="4" t="s">
        <v>2030</v>
      </c>
      <c r="J59" s="4" t="s">
        <v>1997</v>
      </c>
      <c r="K59" s="14">
        <f>IF(OR($I59="USO_NO_ENERGETICO_APARENTE",$I59="USO_ENERGETICO_INTERNO_APARENTE"),ROUND(SUMIFS($K$2:$K$618,$B$2:$B$618,$B59,$C$2:$C$618,$C59,$D$2:$D$618,"Energy products",$E$2:$E$618,"Supply",$G$2:$G$618,"&lt;&gt;STAT")-SUMIFS($K$2:$K$618,$B$2:$B$618,$B59,$C$2:$C$618,$C59,$D$2:$D$618,"Energy products",$E$2:$E$618,"Use",$G$2:$G$618,"&lt;&gt;STAT",$I$2:$I$618,"&lt;&gt;USO_NO_ENERGETICO_APARENTE",$I$2:$I$618,"&lt;&gt;USO_ENERGETICO_INTERNO_APARENTE"),10),IF(LEFT($H59,5)="STAT_",ROUND(SUMIFS($K$2:$K$618,$B$2:$B$618,$B59,$C$2:$C$618,$C59,$D$2:$D$618,"Energy products",$E$2:$E$618,"Supply",$G$2:$G$618,"&lt;&gt;STAT")-SUMIFS($K$2:$K$618,$B$2:$B$618,$B59,$C$2:$C$618,$C59,$D$2:$D$618,"Energy products",$E$2:$E$618,"Use",$G$2:$G$618,"&lt;&gt;STAT"),10),IF($J59="cambio de signo",-INDEX(DATOS_MODELO!$U$2:$U$3672,MATCH($H59,DATOS_MODELO!$B$2:$B$3672,0)),IF($J59="valor absoluto",ABS(INDEX(DATOS_MODELO!$U$2:$U$3672,MATCH($H59,DATOS_MODELO!$B$2:$B$3672,0))),INDEX(DATOS_MODELO!$U$2:$U$3672,MATCH($H59,DATOS_MODELO!$B$2:$B$3672,0))))))</f>
        <v>13499.8255</v>
      </c>
      <c r="L59" s="8" t="str">
        <f aca="false">IF(LEFT($H59,5)&lt;&gt;"STAT_","",IF(ABS($K59)&lt;=COUNTIFS($B$2:$B$618,$B59,$C$2:$C$618,$C59,$D$2:$D$618,"Energy products",$G$2:$G$618,"&lt;&gt;STAT")*PARAMETROS!$B$6,"redondeo","residuo_estadistico"))</f>
        <v/>
      </c>
      <c r="M59" s="8" t="str">
        <f>IF(OR($I59="USO_NO_ENERGETICO_APARENTE",$I59="USO_ENERGETICO_INTERNO_APARENTE"),"CAL",IF(LEFT($H59,5)="STAT_","FORMULA",IF(COUNTIF(DATOS_MODELO!$B$2:$B$3672,$H59)=1,"OK","REVISAR")))</f>
        <v>OK</v>
      </c>
    </row>
    <row r="60" customFormat="false" ht="15" hidden="false" customHeight="false" outlineLevel="0" collapsed="false">
      <c r="A60" s="4" t="s">
        <v>2164</v>
      </c>
      <c r="B60" s="12" t="n">
        <v>2024</v>
      </c>
      <c r="C60" s="4" t="s">
        <v>101</v>
      </c>
      <c r="D60" s="4" t="s">
        <v>1993</v>
      </c>
      <c r="E60" s="4" t="s">
        <v>2001</v>
      </c>
      <c r="F60" s="4" t="s">
        <v>2091</v>
      </c>
      <c r="G60" s="4" t="s">
        <v>69</v>
      </c>
      <c r="H60" s="4" t="s">
        <v>1903</v>
      </c>
      <c r="I60" s="4" t="s">
        <v>2030</v>
      </c>
      <c r="J60" s="4" t="s">
        <v>1997</v>
      </c>
      <c r="K60" s="14">
        <f>IF(OR($I60="USO_NO_ENERGETICO_APARENTE",$I60="USO_ENERGETICO_INTERNO_APARENTE"),ROUND(SUMIFS($K$2:$K$618,$B$2:$B$618,$B60,$C$2:$C$618,$C60,$D$2:$D$618,"Energy products",$E$2:$E$618,"Supply",$G$2:$G$618,"&lt;&gt;STAT")-SUMIFS($K$2:$K$618,$B$2:$B$618,$B60,$C$2:$C$618,$C60,$D$2:$D$618,"Energy products",$E$2:$E$618,"Use",$G$2:$G$618,"&lt;&gt;STAT",$I$2:$I$618,"&lt;&gt;USO_NO_ENERGETICO_APARENTE",$I$2:$I$618,"&lt;&gt;USO_ENERGETICO_INTERNO_APARENTE"),10),IF(LEFT($H60,5)="STAT_",ROUND(SUMIFS($K$2:$K$618,$B$2:$B$618,$B60,$C$2:$C$618,$C60,$D$2:$D$618,"Energy products",$E$2:$E$618,"Supply",$G$2:$G$618,"&lt;&gt;STAT")-SUMIFS($K$2:$K$618,$B$2:$B$618,$B60,$C$2:$C$618,$C60,$D$2:$D$618,"Energy products",$E$2:$E$618,"Use",$G$2:$G$618,"&lt;&gt;STAT"),10),IF($J60="cambio de signo",-INDEX(DATOS_MODELO!$U$2:$U$3672,MATCH($H60,DATOS_MODELO!$B$2:$B$3672,0)),IF($J60="valor absoluto",ABS(INDEX(DATOS_MODELO!$U$2:$U$3672,MATCH($H60,DATOS_MODELO!$B$2:$B$3672,0))),INDEX(DATOS_MODELO!$U$2:$U$3672,MATCH($H60,DATOS_MODELO!$B$2:$B$3672,0))))))</f>
        <v>127.4133</v>
      </c>
      <c r="L60" s="8" t="str">
        <f aca="false">IF(LEFT($H60,5)&lt;&gt;"STAT_","",IF(ABS($K60)&lt;=COUNTIFS($B$2:$B$618,$B60,$C$2:$C$618,$C60,$D$2:$D$618,"Energy products",$G$2:$G$618,"&lt;&gt;STAT")*PARAMETROS!$B$6,"redondeo","residuo_estadistico"))</f>
        <v/>
      </c>
      <c r="M60" s="8" t="str">
        <f>IF(OR($I60="USO_NO_ENERGETICO_APARENTE",$I60="USO_ENERGETICO_INTERNO_APARENTE"),"CAL",IF(LEFT($H60,5)="STAT_","FORMULA",IF(COUNTIF(DATOS_MODELO!$B$2:$B$3672,$H60)=1,"OK","REVISAR")))</f>
        <v>OK</v>
      </c>
    </row>
    <row r="61" customFormat="false" ht="15" hidden="false" customHeight="false" outlineLevel="0" collapsed="false">
      <c r="A61" s="4" t="s">
        <v>2166</v>
      </c>
      <c r="B61" s="12" t="n">
        <v>2024</v>
      </c>
      <c r="C61" s="4" t="s">
        <v>101</v>
      </c>
      <c r="D61" s="4" t="s">
        <v>1993</v>
      </c>
      <c r="E61" s="4" t="s">
        <v>2001</v>
      </c>
      <c r="F61" s="4" t="s">
        <v>2034</v>
      </c>
      <c r="G61" s="4" t="s">
        <v>74</v>
      </c>
      <c r="H61" s="4" t="s">
        <v>1904</v>
      </c>
      <c r="I61" s="4" t="s">
        <v>2035</v>
      </c>
      <c r="J61" s="4" t="s">
        <v>2036</v>
      </c>
      <c r="K61" s="14">
        <f>IF(OR($I61="USO_NO_ENERGETICO_APARENTE",$I61="USO_ENERGETICO_INTERNO_APARENTE"),ROUND(SUMIFS($K$2:$K$618,$B$2:$B$618,$B61,$C$2:$C$618,$C61,$D$2:$D$618,"Energy products",$E$2:$E$618,"Supply",$G$2:$G$618,"&lt;&gt;STAT")-SUMIFS($K$2:$K$618,$B$2:$B$618,$B61,$C$2:$C$618,$C61,$D$2:$D$618,"Energy products",$E$2:$E$618,"Use",$G$2:$G$618,"&lt;&gt;STAT",$I$2:$I$618,"&lt;&gt;USO_NO_ENERGETICO_APARENTE",$I$2:$I$618,"&lt;&gt;USO_ENERGETICO_INTERNO_APARENTE"),10),IF(LEFT($H61,5)="STAT_",ROUND(SUMIFS($K$2:$K$618,$B$2:$B$618,$B61,$C$2:$C$618,$C61,$D$2:$D$618,"Energy products",$E$2:$E$618,"Supply",$G$2:$G$618,"&lt;&gt;STAT")-SUMIFS($K$2:$K$618,$B$2:$B$618,$B61,$C$2:$C$618,$C61,$D$2:$D$618,"Energy products",$E$2:$E$618,"Use",$G$2:$G$618,"&lt;&gt;STAT"),10),IF($J61="cambio de signo",-INDEX(DATOS_MODELO!$U$2:$U$3672,MATCH($H61,DATOS_MODELO!$B$2:$B$3672,0)),IF($J61="valor absoluto",ABS(INDEX(DATOS_MODELO!$U$2:$U$3672,MATCH($H61,DATOS_MODELO!$B$2:$B$3672,0))),INDEX(DATOS_MODELO!$U$2:$U$3672,MATCH($H61,DATOS_MODELO!$B$2:$B$3672,0))))))</f>
        <v>-1112.4988</v>
      </c>
      <c r="L61" s="8" t="str">
        <f aca="false">IF(LEFT($H61,5)&lt;&gt;"STAT_","",IF(ABS($K61)&lt;=COUNTIFS($B$2:$B$618,$B61,$C$2:$C$618,$C61,$D$2:$D$618,"Energy products",$G$2:$G$618,"&lt;&gt;STAT")*PARAMETROS!$B$6,"redondeo","residuo_estadistico"))</f>
        <v/>
      </c>
      <c r="M61" s="8" t="str">
        <f>IF(OR($I61="USO_NO_ENERGETICO_APARENTE",$I61="USO_ENERGETICO_INTERNO_APARENTE"),"CAL",IF(LEFT($H61,5)="STAT_","FORMULA",IF(COUNTIF(DATOS_MODELO!$B$2:$B$3672,$H61)=1,"OK","REVISAR")))</f>
        <v>OK</v>
      </c>
    </row>
    <row r="62" customFormat="false" ht="15" hidden="false" customHeight="false" outlineLevel="0" collapsed="false">
      <c r="A62" s="4" t="s">
        <v>2168</v>
      </c>
      <c r="B62" s="12" t="n">
        <v>2024</v>
      </c>
      <c r="C62" s="4" t="s">
        <v>101</v>
      </c>
      <c r="D62" s="4" t="s">
        <v>1993</v>
      </c>
      <c r="E62" s="4" t="s">
        <v>2001</v>
      </c>
      <c r="F62" s="4" t="s">
        <v>2002</v>
      </c>
      <c r="G62" s="4" t="s">
        <v>67</v>
      </c>
      <c r="H62" s="4" t="s">
        <v>1906</v>
      </c>
      <c r="I62" s="4" t="s">
        <v>2003</v>
      </c>
      <c r="J62" s="4" t="s">
        <v>2004</v>
      </c>
      <c r="K62" s="14">
        <f>IF(OR($I62="USO_NO_ENERGETICO_APARENTE",$I62="USO_ENERGETICO_INTERNO_APARENTE"),ROUND(SUMIFS($K$2:$K$618,$B$2:$B$618,$B62,$C$2:$C$618,$C62,$D$2:$D$618,"Energy products",$E$2:$E$618,"Supply",$G$2:$G$618,"&lt;&gt;STAT")-SUMIFS($K$2:$K$618,$B$2:$B$618,$B62,$C$2:$C$618,$C62,$D$2:$D$618,"Energy products",$E$2:$E$618,"Use",$G$2:$G$618,"&lt;&gt;STAT",$I$2:$I$618,"&lt;&gt;USO_NO_ENERGETICO_APARENTE",$I$2:$I$618,"&lt;&gt;USO_ENERGETICO_INTERNO_APARENTE"),10),IF(LEFT($H62,5)="STAT_",ROUND(SUMIFS($K$2:$K$618,$B$2:$B$618,$B62,$C$2:$C$618,$C62,$D$2:$D$618,"Energy products",$E$2:$E$618,"Supply",$G$2:$G$618,"&lt;&gt;STAT")-SUMIFS($K$2:$K$618,$B$2:$B$618,$B62,$C$2:$C$618,$C62,$D$2:$D$618,"Energy products",$E$2:$E$618,"Use",$G$2:$G$618,"&lt;&gt;STAT"),10),IF($J62="cambio de signo",-INDEX(DATOS_MODELO!$U$2:$U$3672,MATCH($H62,DATOS_MODELO!$B$2:$B$3672,0)),IF($J62="valor absoluto",ABS(INDEX(DATOS_MODELO!$U$2:$U$3672,MATCH($H62,DATOS_MODELO!$B$2:$B$3672,0))),INDEX(DATOS_MODELO!$U$2:$U$3672,MATCH($H62,DATOS_MODELO!$B$2:$B$3672,0))))))</f>
        <v>7216.3686</v>
      </c>
      <c r="L62" s="8" t="str">
        <f aca="false">IF(LEFT($H62,5)&lt;&gt;"STAT_","",IF(ABS($K62)&lt;=COUNTIFS($B$2:$B$618,$B62,$C$2:$C$618,$C62,$D$2:$D$618,"Energy products",$G$2:$G$618,"&lt;&gt;STAT")*PARAMETROS!$B$6,"redondeo","residuo_estadistico"))</f>
        <v/>
      </c>
      <c r="M62" s="8" t="str">
        <f>IF(OR($I62="USO_NO_ENERGETICO_APARENTE",$I62="USO_ENERGETICO_INTERNO_APARENTE"),"CAL",IF(LEFT($H62,5)="STAT_","FORMULA",IF(COUNTIF(DATOS_MODELO!$B$2:$B$3672,$H62)=1,"OK","REVISAR")))</f>
        <v>OK</v>
      </c>
    </row>
    <row r="63" customFormat="false" ht="15" hidden="false" customHeight="false" outlineLevel="0" collapsed="false">
      <c r="A63" s="4" t="s">
        <v>2170</v>
      </c>
      <c r="B63" s="12" t="n">
        <v>2024</v>
      </c>
      <c r="C63" s="4" t="s">
        <v>101</v>
      </c>
      <c r="D63" s="4" t="s">
        <v>1993</v>
      </c>
      <c r="E63" s="4" t="s">
        <v>2001</v>
      </c>
      <c r="F63" s="4" t="s">
        <v>2002</v>
      </c>
      <c r="G63" s="4" t="s">
        <v>67</v>
      </c>
      <c r="H63" s="4" t="s">
        <v>1907</v>
      </c>
      <c r="I63" s="4" t="s">
        <v>2008</v>
      </c>
      <c r="J63" s="4" t="s">
        <v>2004</v>
      </c>
      <c r="K63" s="14">
        <f>IF(OR($I63="USO_NO_ENERGETICO_APARENTE",$I63="USO_ENERGETICO_INTERNO_APARENTE"),ROUND(SUMIFS($K$2:$K$618,$B$2:$B$618,$B63,$C$2:$C$618,$C63,$D$2:$D$618,"Energy products",$E$2:$E$618,"Supply",$G$2:$G$618,"&lt;&gt;STAT")-SUMIFS($K$2:$K$618,$B$2:$B$618,$B63,$C$2:$C$618,$C63,$D$2:$D$618,"Energy products",$E$2:$E$618,"Use",$G$2:$G$618,"&lt;&gt;STAT",$I$2:$I$618,"&lt;&gt;USO_NO_ENERGETICO_APARENTE",$I$2:$I$618,"&lt;&gt;USO_ENERGETICO_INTERNO_APARENTE"),10),IF(LEFT($H63,5)="STAT_",ROUND(SUMIFS($K$2:$K$618,$B$2:$B$618,$B63,$C$2:$C$618,$C63,$D$2:$D$618,"Energy products",$E$2:$E$618,"Supply",$G$2:$G$618,"&lt;&gt;STAT")-SUMIFS($K$2:$K$618,$B$2:$B$618,$B63,$C$2:$C$618,$C63,$D$2:$D$618,"Energy products",$E$2:$E$618,"Use",$G$2:$G$618,"&lt;&gt;STAT"),10),IF($J63="cambio de signo",-INDEX(DATOS_MODELO!$U$2:$U$3672,MATCH($H63,DATOS_MODELO!$B$2:$B$3672,0)),IF($J63="valor absoluto",ABS(INDEX(DATOS_MODELO!$U$2:$U$3672,MATCH($H63,DATOS_MODELO!$B$2:$B$3672,0))),INDEX(DATOS_MODELO!$U$2:$U$3672,MATCH($H63,DATOS_MODELO!$B$2:$B$3672,0))))))</f>
        <v>9.296</v>
      </c>
      <c r="L63" s="8" t="str">
        <f aca="false">IF(LEFT($H63,5)&lt;&gt;"STAT_","",IF(ABS($K63)&lt;=COUNTIFS($B$2:$B$618,$B63,$C$2:$C$618,$C63,$D$2:$D$618,"Energy products",$G$2:$G$618,"&lt;&gt;STAT")*PARAMETROS!$B$6,"redondeo","residuo_estadistico"))</f>
        <v/>
      </c>
      <c r="M63" s="8" t="str">
        <f>IF(OR($I63="USO_NO_ENERGETICO_APARENTE",$I63="USO_ENERGETICO_INTERNO_APARENTE"),"CAL",IF(LEFT($H63,5)="STAT_","FORMULA",IF(COUNTIF(DATOS_MODELO!$B$2:$B$3672,$H63)=1,"OK","REVISAR")))</f>
        <v>OK</v>
      </c>
    </row>
    <row r="64" customFormat="false" ht="15" hidden="false" customHeight="false" outlineLevel="0" collapsed="false">
      <c r="A64" s="4" t="s">
        <v>2172</v>
      </c>
      <c r="B64" s="12" t="n">
        <v>2024</v>
      </c>
      <c r="C64" s="4" t="s">
        <v>101</v>
      </c>
      <c r="D64" s="4" t="s">
        <v>1993</v>
      </c>
      <c r="E64" s="4" t="s">
        <v>2001</v>
      </c>
      <c r="F64" s="4" t="s">
        <v>2002</v>
      </c>
      <c r="G64" s="4" t="s">
        <v>68</v>
      </c>
      <c r="H64" s="4" t="s">
        <v>1912</v>
      </c>
      <c r="I64" s="4" t="s">
        <v>2111</v>
      </c>
      <c r="J64" s="4" t="s">
        <v>1997</v>
      </c>
      <c r="K64" s="14">
        <f>IF(OR($I64="USO_NO_ENERGETICO_APARENTE",$I64="USO_ENERGETICO_INTERNO_APARENTE"),ROUND(SUMIFS($K$2:$K$618,$B$2:$B$618,$B64,$C$2:$C$618,$C64,$D$2:$D$618,"Energy products",$E$2:$E$618,"Supply",$G$2:$G$618,"&lt;&gt;STAT")-SUMIFS($K$2:$K$618,$B$2:$B$618,$B64,$C$2:$C$618,$C64,$D$2:$D$618,"Energy products",$E$2:$E$618,"Use",$G$2:$G$618,"&lt;&gt;STAT",$I$2:$I$618,"&lt;&gt;USO_NO_ENERGETICO_APARENTE",$I$2:$I$618,"&lt;&gt;USO_ENERGETICO_INTERNO_APARENTE"),10),IF(LEFT($H64,5)="STAT_",ROUND(SUMIFS($K$2:$K$618,$B$2:$B$618,$B64,$C$2:$C$618,$C64,$D$2:$D$618,"Energy products",$E$2:$E$618,"Supply",$G$2:$G$618,"&lt;&gt;STAT")-SUMIFS($K$2:$K$618,$B$2:$B$618,$B64,$C$2:$C$618,$C64,$D$2:$D$618,"Energy products",$E$2:$E$618,"Use",$G$2:$G$618,"&lt;&gt;STAT"),10),IF($J64="cambio de signo",-INDEX(DATOS_MODELO!$U$2:$U$3672,MATCH($H64,DATOS_MODELO!$B$2:$B$3672,0)),IF($J64="valor absoluto",ABS(INDEX(DATOS_MODELO!$U$2:$U$3672,MATCH($H64,DATOS_MODELO!$B$2:$B$3672,0))),INDEX(DATOS_MODELO!$U$2:$U$3672,MATCH($H64,DATOS_MODELO!$B$2:$B$3672,0))))))</f>
        <v>7259.2464</v>
      </c>
      <c r="L64" s="8" t="str">
        <f aca="false">IF(LEFT($H64,5)&lt;&gt;"STAT_","",IF(ABS($K64)&lt;=COUNTIFS($B$2:$B$618,$B64,$C$2:$C$618,$C64,$D$2:$D$618,"Energy products",$G$2:$G$618,"&lt;&gt;STAT")*PARAMETROS!$B$6,"redondeo","residuo_estadistico"))</f>
        <v/>
      </c>
      <c r="M64" s="8" t="str">
        <f>IF(OR($I64="USO_NO_ENERGETICO_APARENTE",$I64="USO_ENERGETICO_INTERNO_APARENTE"),"CAL",IF(LEFT($H64,5)="STAT_","FORMULA",IF(COUNTIF(DATOS_MODELO!$B$2:$B$3672,$H64)=1,"OK","REVISAR")))</f>
        <v>OK</v>
      </c>
    </row>
    <row r="65" customFormat="false" ht="15" hidden="false" customHeight="false" outlineLevel="0" collapsed="false">
      <c r="A65" s="4" t="s">
        <v>2174</v>
      </c>
      <c r="B65" s="12" t="n">
        <v>2024</v>
      </c>
      <c r="C65" s="4" t="s">
        <v>103</v>
      </c>
      <c r="D65" s="4" t="s">
        <v>1993</v>
      </c>
      <c r="E65" s="4" t="s">
        <v>1994</v>
      </c>
      <c r="F65" s="4" t="s">
        <v>2029</v>
      </c>
      <c r="G65" s="4" t="s">
        <v>69</v>
      </c>
      <c r="H65" s="4" t="s">
        <v>1916</v>
      </c>
      <c r="I65" s="4" t="s">
        <v>2030</v>
      </c>
      <c r="J65" s="4" t="s">
        <v>1997</v>
      </c>
      <c r="K65" s="14">
        <f>IF(OR($I65="USO_NO_ENERGETICO_APARENTE",$I65="USO_ENERGETICO_INTERNO_APARENTE"),ROUND(SUMIFS($K$2:$K$618,$B$2:$B$618,$B65,$C$2:$C$618,$C65,$D$2:$D$618,"Energy products",$E$2:$E$618,"Supply",$G$2:$G$618,"&lt;&gt;STAT")-SUMIFS($K$2:$K$618,$B$2:$B$618,$B65,$C$2:$C$618,$C65,$D$2:$D$618,"Energy products",$E$2:$E$618,"Use",$G$2:$G$618,"&lt;&gt;STAT",$I$2:$I$618,"&lt;&gt;USO_NO_ENERGETICO_APARENTE",$I$2:$I$618,"&lt;&gt;USO_ENERGETICO_INTERNO_APARENTE"),10),IF(LEFT($H65,5)="STAT_",ROUND(SUMIFS($K$2:$K$618,$B$2:$B$618,$B65,$C$2:$C$618,$C65,$D$2:$D$618,"Energy products",$E$2:$E$618,"Supply",$G$2:$G$618,"&lt;&gt;STAT")-SUMIFS($K$2:$K$618,$B$2:$B$618,$B65,$C$2:$C$618,$C65,$D$2:$D$618,"Energy products",$E$2:$E$618,"Use",$G$2:$G$618,"&lt;&gt;STAT"),10),IF($J65="cambio de signo",-INDEX(DATOS_MODELO!$U$2:$U$3672,MATCH($H65,DATOS_MODELO!$B$2:$B$3672,0)),IF($J65="valor absoluto",ABS(INDEX(DATOS_MODELO!$U$2:$U$3672,MATCH($H65,DATOS_MODELO!$B$2:$B$3672,0))),INDEX(DATOS_MODELO!$U$2:$U$3672,MATCH($H65,DATOS_MODELO!$B$2:$B$3672,0))))))</f>
        <v>97933.1857</v>
      </c>
      <c r="L65" s="8" t="str">
        <f aca="false">IF(LEFT($H65,5)&lt;&gt;"STAT_","",IF(ABS($K65)&lt;=COUNTIFS($B$2:$B$618,$B65,$C$2:$C$618,$C65,$D$2:$D$618,"Energy products",$G$2:$G$618,"&lt;&gt;STAT")*PARAMETROS!$B$6,"redondeo","residuo_estadistico"))</f>
        <v/>
      </c>
      <c r="M65" s="8" t="str">
        <f>IF(OR($I65="USO_NO_ENERGETICO_APARENTE",$I65="USO_ENERGETICO_INTERNO_APARENTE"),"CAL",IF(LEFT($H65,5)="STAT_","FORMULA",IF(COUNTIF(DATOS_MODELO!$B$2:$B$3672,$H65)=1,"OK","REVISAR")))</f>
        <v>OK</v>
      </c>
    </row>
    <row r="66" customFormat="false" ht="15" hidden="false" customHeight="false" outlineLevel="0" collapsed="false">
      <c r="A66" s="4" t="s">
        <v>2176</v>
      </c>
      <c r="B66" s="12" t="n">
        <v>2024</v>
      </c>
      <c r="C66" s="4" t="s">
        <v>103</v>
      </c>
      <c r="D66" s="4" t="s">
        <v>1993</v>
      </c>
      <c r="E66" s="4" t="s">
        <v>2001</v>
      </c>
      <c r="F66" s="4" t="s">
        <v>2091</v>
      </c>
      <c r="G66" s="4" t="s">
        <v>69</v>
      </c>
      <c r="H66" s="4" t="s">
        <v>1917</v>
      </c>
      <c r="I66" s="4" t="s">
        <v>2030</v>
      </c>
      <c r="J66" s="4" t="s">
        <v>1997</v>
      </c>
      <c r="K66" s="14">
        <f>IF(OR($I66="USO_NO_ENERGETICO_APARENTE",$I66="USO_ENERGETICO_INTERNO_APARENTE"),ROUND(SUMIFS($K$2:$K$618,$B$2:$B$618,$B66,$C$2:$C$618,$C66,$D$2:$D$618,"Energy products",$E$2:$E$618,"Supply",$G$2:$G$618,"&lt;&gt;STAT")-SUMIFS($K$2:$K$618,$B$2:$B$618,$B66,$C$2:$C$618,$C66,$D$2:$D$618,"Energy products",$E$2:$E$618,"Use",$G$2:$G$618,"&lt;&gt;STAT",$I$2:$I$618,"&lt;&gt;USO_NO_ENERGETICO_APARENTE",$I$2:$I$618,"&lt;&gt;USO_ENERGETICO_INTERNO_APARENTE"),10),IF(LEFT($H66,5)="STAT_",ROUND(SUMIFS($K$2:$K$618,$B$2:$B$618,$B66,$C$2:$C$618,$C66,$D$2:$D$618,"Energy products",$E$2:$E$618,"Supply",$G$2:$G$618,"&lt;&gt;STAT")-SUMIFS($K$2:$K$618,$B$2:$B$618,$B66,$C$2:$C$618,$C66,$D$2:$D$618,"Energy products",$E$2:$E$618,"Use",$G$2:$G$618,"&lt;&gt;STAT"),10),IF($J66="cambio de signo",-INDEX(DATOS_MODELO!$U$2:$U$3672,MATCH($H66,DATOS_MODELO!$B$2:$B$3672,0)),IF($J66="valor absoluto",ABS(INDEX(DATOS_MODELO!$U$2:$U$3672,MATCH($H66,DATOS_MODELO!$B$2:$B$3672,0))),INDEX(DATOS_MODELO!$U$2:$U$3672,MATCH($H66,DATOS_MODELO!$B$2:$B$3672,0))))))</f>
        <v>752.5112</v>
      </c>
      <c r="L66" s="8" t="str">
        <f aca="false">IF(LEFT($H66,5)&lt;&gt;"STAT_","",IF(ABS($K66)&lt;=COUNTIFS($B$2:$B$618,$B66,$C$2:$C$618,$C66,$D$2:$D$618,"Energy products",$G$2:$G$618,"&lt;&gt;STAT")*PARAMETROS!$B$6,"redondeo","residuo_estadistico"))</f>
        <v/>
      </c>
      <c r="M66" s="8" t="str">
        <f>IF(OR($I66="USO_NO_ENERGETICO_APARENTE",$I66="USO_ENERGETICO_INTERNO_APARENTE"),"CAL",IF(LEFT($H66,5)="STAT_","FORMULA",IF(COUNTIF(DATOS_MODELO!$B$2:$B$3672,$H66)=1,"OK","REVISAR")))</f>
        <v>OK</v>
      </c>
    </row>
    <row r="67" customFormat="false" ht="15" hidden="false" customHeight="false" outlineLevel="0" collapsed="false">
      <c r="A67" s="4" t="s">
        <v>2178</v>
      </c>
      <c r="B67" s="12" t="n">
        <v>2024</v>
      </c>
      <c r="C67" s="4" t="s">
        <v>103</v>
      </c>
      <c r="D67" s="4" t="s">
        <v>1993</v>
      </c>
      <c r="E67" s="4" t="s">
        <v>2001</v>
      </c>
      <c r="F67" s="4" t="s">
        <v>2034</v>
      </c>
      <c r="G67" s="4" t="s">
        <v>74</v>
      </c>
      <c r="H67" s="4" t="s">
        <v>1918</v>
      </c>
      <c r="I67" s="4" t="s">
        <v>2035</v>
      </c>
      <c r="J67" s="4" t="s">
        <v>2036</v>
      </c>
      <c r="K67" s="14">
        <f>IF(OR($I67="USO_NO_ENERGETICO_APARENTE",$I67="USO_ENERGETICO_INTERNO_APARENTE"),ROUND(SUMIFS($K$2:$K$618,$B$2:$B$618,$B67,$C$2:$C$618,$C67,$D$2:$D$618,"Energy products",$E$2:$E$618,"Supply",$G$2:$G$618,"&lt;&gt;STAT")-SUMIFS($K$2:$K$618,$B$2:$B$618,$B67,$C$2:$C$618,$C67,$D$2:$D$618,"Energy products",$E$2:$E$618,"Use",$G$2:$G$618,"&lt;&gt;STAT",$I$2:$I$618,"&lt;&gt;USO_NO_ENERGETICO_APARENTE",$I$2:$I$618,"&lt;&gt;USO_ENERGETICO_INTERNO_APARENTE"),10),IF(LEFT($H67,5)="STAT_",ROUND(SUMIFS($K$2:$K$618,$B$2:$B$618,$B67,$C$2:$C$618,$C67,$D$2:$D$618,"Energy products",$E$2:$E$618,"Supply",$G$2:$G$618,"&lt;&gt;STAT")-SUMIFS($K$2:$K$618,$B$2:$B$618,$B67,$C$2:$C$618,$C67,$D$2:$D$618,"Energy products",$E$2:$E$618,"Use",$G$2:$G$618,"&lt;&gt;STAT"),10),IF($J67="cambio de signo",-INDEX(DATOS_MODELO!$U$2:$U$3672,MATCH($H67,DATOS_MODELO!$B$2:$B$3672,0)),IF($J67="valor absoluto",ABS(INDEX(DATOS_MODELO!$U$2:$U$3672,MATCH($H67,DATOS_MODELO!$B$2:$B$3672,0))),INDEX(DATOS_MODELO!$U$2:$U$3672,MATCH($H67,DATOS_MODELO!$B$2:$B$3672,0))))))</f>
        <v>788.1265</v>
      </c>
      <c r="L67" s="8" t="str">
        <f aca="false">IF(LEFT($H67,5)&lt;&gt;"STAT_","",IF(ABS($K67)&lt;=COUNTIFS($B$2:$B$618,$B67,$C$2:$C$618,$C67,$D$2:$D$618,"Energy products",$G$2:$G$618,"&lt;&gt;STAT")*PARAMETROS!$B$6,"redondeo","residuo_estadistico"))</f>
        <v/>
      </c>
      <c r="M67" s="8" t="str">
        <f>IF(OR($I67="USO_NO_ENERGETICO_APARENTE",$I67="USO_ENERGETICO_INTERNO_APARENTE"),"CAL",IF(LEFT($H67,5)="STAT_","FORMULA",IF(COUNTIF(DATOS_MODELO!$B$2:$B$3672,$H67)=1,"OK","REVISAR")))</f>
        <v>OK</v>
      </c>
    </row>
    <row r="68" customFormat="false" ht="15" hidden="false" customHeight="false" outlineLevel="0" collapsed="false">
      <c r="A68" s="4" t="s">
        <v>2180</v>
      </c>
      <c r="B68" s="12" t="n">
        <v>2024</v>
      </c>
      <c r="C68" s="4" t="s">
        <v>103</v>
      </c>
      <c r="D68" s="4" t="s">
        <v>1993</v>
      </c>
      <c r="E68" s="4" t="s">
        <v>2001</v>
      </c>
      <c r="F68" s="4" t="s">
        <v>2002</v>
      </c>
      <c r="G68" s="4" t="s">
        <v>71</v>
      </c>
      <c r="H68" s="4" t="s">
        <v>1923</v>
      </c>
      <c r="I68" s="4" t="s">
        <v>2123</v>
      </c>
      <c r="J68" s="4" t="s">
        <v>1997</v>
      </c>
      <c r="K68" s="14">
        <f>IF(OR($I68="USO_NO_ENERGETICO_APARENTE",$I68="USO_ENERGETICO_INTERNO_APARENTE"),ROUND(SUMIFS($K$2:$K$618,$B$2:$B$618,$B68,$C$2:$C$618,$C68,$D$2:$D$618,"Energy products",$E$2:$E$618,"Supply",$G$2:$G$618,"&lt;&gt;STAT")-SUMIFS($K$2:$K$618,$B$2:$B$618,$B68,$C$2:$C$618,$C68,$D$2:$D$618,"Energy products",$E$2:$E$618,"Use",$G$2:$G$618,"&lt;&gt;STAT",$I$2:$I$618,"&lt;&gt;USO_NO_ENERGETICO_APARENTE",$I$2:$I$618,"&lt;&gt;USO_ENERGETICO_INTERNO_APARENTE"),10),IF(LEFT($H68,5)="STAT_",ROUND(SUMIFS($K$2:$K$618,$B$2:$B$618,$B68,$C$2:$C$618,$C68,$D$2:$D$618,"Energy products",$E$2:$E$618,"Supply",$G$2:$G$618,"&lt;&gt;STAT")-SUMIFS($K$2:$K$618,$B$2:$B$618,$B68,$C$2:$C$618,$C68,$D$2:$D$618,"Energy products",$E$2:$E$618,"Use",$G$2:$G$618,"&lt;&gt;STAT"),10),IF($J68="cambio de signo",-INDEX(DATOS_MODELO!$U$2:$U$3672,MATCH($H68,DATOS_MODELO!$B$2:$B$3672,0)),IF($J68="valor absoluto",ABS(INDEX(DATOS_MODELO!$U$2:$U$3672,MATCH($H68,DATOS_MODELO!$B$2:$B$3672,0))),INDEX(DATOS_MODELO!$U$2:$U$3672,MATCH($H68,DATOS_MODELO!$B$2:$B$3672,0))))))</f>
        <v>93990.3454</v>
      </c>
      <c r="L68" s="8" t="str">
        <f aca="false">IF(LEFT($H68,5)&lt;&gt;"STAT_","",IF(ABS($K68)&lt;=COUNTIFS($B$2:$B$618,$B68,$C$2:$C$618,$C68,$D$2:$D$618,"Energy products",$G$2:$G$618,"&lt;&gt;STAT")*PARAMETROS!$B$6,"redondeo","residuo_estadistico"))</f>
        <v/>
      </c>
      <c r="M68" s="8" t="str">
        <f>IF(OR($I68="USO_NO_ENERGETICO_APARENTE",$I68="USO_ENERGETICO_INTERNO_APARENTE"),"CAL",IF(LEFT($H68,5)="STAT_","FORMULA",IF(COUNTIF(DATOS_MODELO!$B$2:$B$3672,$H68)=1,"OK","REVISAR")))</f>
        <v>OK</v>
      </c>
    </row>
    <row r="69" customFormat="false" ht="15" hidden="false" customHeight="false" outlineLevel="0" collapsed="false">
      <c r="A69" s="4" t="s">
        <v>2182</v>
      </c>
      <c r="B69" s="12" t="n">
        <v>2024</v>
      </c>
      <c r="C69" s="4" t="s">
        <v>103</v>
      </c>
      <c r="D69" s="4" t="s">
        <v>1993</v>
      </c>
      <c r="E69" s="4" t="s">
        <v>2001</v>
      </c>
      <c r="F69" s="4" t="s">
        <v>2002</v>
      </c>
      <c r="G69" s="4" t="s">
        <v>72</v>
      </c>
      <c r="H69" s="4" t="s">
        <v>1925</v>
      </c>
      <c r="I69" s="4" t="s">
        <v>2079</v>
      </c>
      <c r="J69" s="4" t="s">
        <v>1997</v>
      </c>
      <c r="K69" s="14">
        <f>IF(OR($I69="USO_NO_ENERGETICO_APARENTE",$I69="USO_ENERGETICO_INTERNO_APARENTE"),ROUND(SUMIFS($K$2:$K$618,$B$2:$B$618,$B69,$C$2:$C$618,$C69,$D$2:$D$618,"Energy products",$E$2:$E$618,"Supply",$G$2:$G$618,"&lt;&gt;STAT")-SUMIFS($K$2:$K$618,$B$2:$B$618,$B69,$C$2:$C$618,$C69,$D$2:$D$618,"Energy products",$E$2:$E$618,"Use",$G$2:$G$618,"&lt;&gt;STAT",$I$2:$I$618,"&lt;&gt;USO_NO_ENERGETICO_APARENTE",$I$2:$I$618,"&lt;&gt;USO_ENERGETICO_INTERNO_APARENTE"),10),IF(LEFT($H69,5)="STAT_",ROUND(SUMIFS($K$2:$K$618,$B$2:$B$618,$B69,$C$2:$C$618,$C69,$D$2:$D$618,"Energy products",$E$2:$E$618,"Supply",$G$2:$G$618,"&lt;&gt;STAT")-SUMIFS($K$2:$K$618,$B$2:$B$618,$B69,$C$2:$C$618,$C69,$D$2:$D$618,"Energy products",$E$2:$E$618,"Use",$G$2:$G$618,"&lt;&gt;STAT"),10),IF($J69="cambio de signo",-INDEX(DATOS_MODELO!$U$2:$U$3672,MATCH($H69,DATOS_MODELO!$B$2:$B$3672,0)),IF($J69="valor absoluto",ABS(INDEX(DATOS_MODELO!$U$2:$U$3672,MATCH($H69,DATOS_MODELO!$B$2:$B$3672,0))),INDEX(DATOS_MODELO!$U$2:$U$3672,MATCH($H69,DATOS_MODELO!$B$2:$B$3672,0))))))</f>
        <v>480.4289</v>
      </c>
      <c r="L69" s="8" t="str">
        <f aca="false">IF(LEFT($H69,5)&lt;&gt;"STAT_","",IF(ABS($K69)&lt;=COUNTIFS($B$2:$B$618,$B69,$C$2:$C$618,$C69,$D$2:$D$618,"Energy products",$G$2:$G$618,"&lt;&gt;STAT")*PARAMETROS!$B$6,"redondeo","residuo_estadistico"))</f>
        <v/>
      </c>
      <c r="M69" s="8" t="str">
        <f>IF(OR($I69="USO_NO_ENERGETICO_APARENTE",$I69="USO_ENERGETICO_INTERNO_APARENTE"),"CAL",IF(LEFT($H69,5)="STAT_","FORMULA",IF(COUNTIF(DATOS_MODELO!$B$2:$B$3672,$H69)=1,"OK","REVISAR")))</f>
        <v>OK</v>
      </c>
    </row>
    <row r="70" customFormat="false" ht="15" hidden="false" customHeight="false" outlineLevel="0" collapsed="false">
      <c r="A70" s="4" t="s">
        <v>2184</v>
      </c>
      <c r="B70" s="12" t="n">
        <v>2024</v>
      </c>
      <c r="C70" s="4" t="s">
        <v>103</v>
      </c>
      <c r="D70" s="4" t="s">
        <v>1993</v>
      </c>
      <c r="E70" s="4" t="s">
        <v>2001</v>
      </c>
      <c r="F70" s="4" t="s">
        <v>2002</v>
      </c>
      <c r="G70" s="4" t="s">
        <v>68</v>
      </c>
      <c r="H70" s="4" t="s">
        <v>1926</v>
      </c>
      <c r="I70" s="4" t="s">
        <v>2111</v>
      </c>
      <c r="J70" s="4" t="s">
        <v>1997</v>
      </c>
      <c r="K70" s="14">
        <f>IF(OR($I70="USO_NO_ENERGETICO_APARENTE",$I70="USO_ENERGETICO_INTERNO_APARENTE"),ROUND(SUMIFS($K$2:$K$618,$B$2:$B$618,$B70,$C$2:$C$618,$C70,$D$2:$D$618,"Energy products",$E$2:$E$618,"Supply",$G$2:$G$618,"&lt;&gt;STAT")-SUMIFS($K$2:$K$618,$B$2:$B$618,$B70,$C$2:$C$618,$C70,$D$2:$D$618,"Energy products",$E$2:$E$618,"Use",$G$2:$G$618,"&lt;&gt;STAT",$I$2:$I$618,"&lt;&gt;USO_NO_ENERGETICO_APARENTE",$I$2:$I$618,"&lt;&gt;USO_ENERGETICO_INTERNO_APARENTE"),10),IF(LEFT($H70,5)="STAT_",ROUND(SUMIFS($K$2:$K$618,$B$2:$B$618,$B70,$C$2:$C$618,$C70,$D$2:$D$618,"Energy products",$E$2:$E$618,"Supply",$G$2:$G$618,"&lt;&gt;STAT")-SUMIFS($K$2:$K$618,$B$2:$B$618,$B70,$C$2:$C$618,$C70,$D$2:$D$618,"Energy products",$E$2:$E$618,"Use",$G$2:$G$618,"&lt;&gt;STAT"),10),IF($J70="cambio de signo",-INDEX(DATOS_MODELO!$U$2:$U$3672,MATCH($H70,DATOS_MODELO!$B$2:$B$3672,0)),IF($J70="valor absoluto",ABS(INDEX(DATOS_MODELO!$U$2:$U$3672,MATCH($H70,DATOS_MODELO!$B$2:$B$3672,0))),INDEX(DATOS_MODELO!$U$2:$U$3672,MATCH($H70,DATOS_MODELO!$B$2:$B$3672,0))))))</f>
        <v>1921.7156</v>
      </c>
      <c r="L70" s="8" t="str">
        <f aca="false">IF(LEFT($H70,5)&lt;&gt;"STAT_","",IF(ABS($K70)&lt;=COUNTIFS($B$2:$B$618,$B70,$C$2:$C$618,$C70,$D$2:$D$618,"Energy products",$G$2:$G$618,"&lt;&gt;STAT")*PARAMETROS!$B$6,"redondeo","residuo_estadistico"))</f>
        <v/>
      </c>
      <c r="M70" s="8" t="str">
        <f>IF(OR($I70="USO_NO_ENERGETICO_APARENTE",$I70="USO_ENERGETICO_INTERNO_APARENTE"),"CAL",IF(LEFT($H70,5)="STAT_","FORMULA",IF(COUNTIF(DATOS_MODELO!$B$2:$B$3672,$H70)=1,"OK","REVISAR")))</f>
        <v>OK</v>
      </c>
    </row>
    <row r="71" customFormat="false" ht="15" hidden="false" customHeight="false" outlineLevel="0" collapsed="false">
      <c r="A71" s="4" t="s">
        <v>2186</v>
      </c>
      <c r="B71" s="12" t="n">
        <v>2024</v>
      </c>
      <c r="C71" s="4" t="s">
        <v>105</v>
      </c>
      <c r="D71" s="4" t="s">
        <v>1993</v>
      </c>
      <c r="E71" s="4" t="s">
        <v>1994</v>
      </c>
      <c r="F71" s="4" t="s">
        <v>2029</v>
      </c>
      <c r="G71" s="4" t="s">
        <v>69</v>
      </c>
      <c r="H71" s="4" t="s">
        <v>1930</v>
      </c>
      <c r="I71" s="4" t="s">
        <v>2030</v>
      </c>
      <c r="J71" s="4" t="s">
        <v>1997</v>
      </c>
      <c r="K71" s="14">
        <f>IF(OR($I71="USO_NO_ENERGETICO_APARENTE",$I71="USO_ENERGETICO_INTERNO_APARENTE"),ROUND(SUMIFS($K$2:$K$618,$B$2:$B$618,$B71,$C$2:$C$618,$C71,$D$2:$D$618,"Energy products",$E$2:$E$618,"Supply",$G$2:$G$618,"&lt;&gt;STAT")-SUMIFS($K$2:$K$618,$B$2:$B$618,$B71,$C$2:$C$618,$C71,$D$2:$D$618,"Energy products",$E$2:$E$618,"Use",$G$2:$G$618,"&lt;&gt;STAT",$I$2:$I$618,"&lt;&gt;USO_NO_ENERGETICO_APARENTE",$I$2:$I$618,"&lt;&gt;USO_ENERGETICO_INTERNO_APARENTE"),10),IF(LEFT($H71,5)="STAT_",ROUND(SUMIFS($K$2:$K$618,$B$2:$B$618,$B71,$C$2:$C$618,$C71,$D$2:$D$618,"Energy products",$E$2:$E$618,"Supply",$G$2:$G$618,"&lt;&gt;STAT")-SUMIFS($K$2:$K$618,$B$2:$B$618,$B71,$C$2:$C$618,$C71,$D$2:$D$618,"Energy products",$E$2:$E$618,"Use",$G$2:$G$618,"&lt;&gt;STAT"),10),IF($J71="cambio de signo",-INDEX(DATOS_MODELO!$U$2:$U$3672,MATCH($H71,DATOS_MODELO!$B$2:$B$3672,0)),IF($J71="valor absoluto",ABS(INDEX(DATOS_MODELO!$U$2:$U$3672,MATCH($H71,DATOS_MODELO!$B$2:$B$3672,0))),INDEX(DATOS_MODELO!$U$2:$U$3672,MATCH($H71,DATOS_MODELO!$B$2:$B$3672,0))))))</f>
        <v>34095.3459</v>
      </c>
      <c r="L71" s="8" t="str">
        <f aca="false">IF(LEFT($H71,5)&lt;&gt;"STAT_","",IF(ABS($K71)&lt;=COUNTIFS($B$2:$B$618,$B71,$C$2:$C$618,$C71,$D$2:$D$618,"Energy products",$G$2:$G$618,"&lt;&gt;STAT")*PARAMETROS!$B$6,"redondeo","residuo_estadistico"))</f>
        <v/>
      </c>
      <c r="M71" s="8" t="str">
        <f>IF(OR($I71="USO_NO_ENERGETICO_APARENTE",$I71="USO_ENERGETICO_INTERNO_APARENTE"),"CAL",IF(LEFT($H71,5)="STAT_","FORMULA",IF(COUNTIF(DATOS_MODELO!$B$2:$B$3672,$H71)=1,"OK","REVISAR")))</f>
        <v>OK</v>
      </c>
    </row>
    <row r="72" customFormat="false" ht="15" hidden="false" customHeight="false" outlineLevel="0" collapsed="false">
      <c r="A72" s="4" t="s">
        <v>2188</v>
      </c>
      <c r="B72" s="12" t="n">
        <v>2024</v>
      </c>
      <c r="C72" s="4" t="s">
        <v>105</v>
      </c>
      <c r="D72" s="4" t="s">
        <v>1993</v>
      </c>
      <c r="E72" s="4" t="s">
        <v>2001</v>
      </c>
      <c r="F72" s="4" t="s">
        <v>2091</v>
      </c>
      <c r="G72" s="4" t="s">
        <v>69</v>
      </c>
      <c r="H72" s="4" t="s">
        <v>1931</v>
      </c>
      <c r="I72" s="4" t="s">
        <v>2030</v>
      </c>
      <c r="J72" s="4" t="s">
        <v>1997</v>
      </c>
      <c r="K72" s="14">
        <f>IF(OR($I72="USO_NO_ENERGETICO_APARENTE",$I72="USO_ENERGETICO_INTERNO_APARENTE"),ROUND(SUMIFS($K$2:$K$618,$B$2:$B$618,$B72,$C$2:$C$618,$C72,$D$2:$D$618,"Energy products",$E$2:$E$618,"Supply",$G$2:$G$618,"&lt;&gt;STAT")-SUMIFS($K$2:$K$618,$B$2:$B$618,$B72,$C$2:$C$618,$C72,$D$2:$D$618,"Energy products",$E$2:$E$618,"Use",$G$2:$G$618,"&lt;&gt;STAT",$I$2:$I$618,"&lt;&gt;USO_NO_ENERGETICO_APARENTE",$I$2:$I$618,"&lt;&gt;USO_ENERGETICO_INTERNO_APARENTE"),10),IF(LEFT($H72,5)="STAT_",ROUND(SUMIFS($K$2:$K$618,$B$2:$B$618,$B72,$C$2:$C$618,$C72,$D$2:$D$618,"Energy products",$E$2:$E$618,"Supply",$G$2:$G$618,"&lt;&gt;STAT")-SUMIFS($K$2:$K$618,$B$2:$B$618,$B72,$C$2:$C$618,$C72,$D$2:$D$618,"Energy products",$E$2:$E$618,"Use",$G$2:$G$618,"&lt;&gt;STAT"),10),IF($J72="cambio de signo",-INDEX(DATOS_MODELO!$U$2:$U$3672,MATCH($H72,DATOS_MODELO!$B$2:$B$3672,0)),IF($J72="valor absoluto",ABS(INDEX(DATOS_MODELO!$U$2:$U$3672,MATCH($H72,DATOS_MODELO!$B$2:$B$3672,0))),INDEX(DATOS_MODELO!$U$2:$U$3672,MATCH($H72,DATOS_MODELO!$B$2:$B$3672,0))))))</f>
        <v>7869.645</v>
      </c>
      <c r="L72" s="8" t="str">
        <f aca="false">IF(LEFT($H72,5)&lt;&gt;"STAT_","",IF(ABS($K72)&lt;=COUNTIFS($B$2:$B$618,$B72,$C$2:$C$618,$C72,$D$2:$D$618,"Energy products",$G$2:$G$618,"&lt;&gt;STAT")*PARAMETROS!$B$6,"redondeo","residuo_estadistico"))</f>
        <v/>
      </c>
      <c r="M72" s="8" t="str">
        <f>IF(OR($I72="USO_NO_ENERGETICO_APARENTE",$I72="USO_ENERGETICO_INTERNO_APARENTE"),"CAL",IF(LEFT($H72,5)="STAT_","FORMULA",IF(COUNTIF(DATOS_MODELO!$B$2:$B$3672,$H72)=1,"OK","REVISAR")))</f>
        <v>OK</v>
      </c>
    </row>
    <row r="73" customFormat="false" ht="15" hidden="false" customHeight="false" outlineLevel="0" collapsed="false">
      <c r="A73" s="4" t="s">
        <v>2190</v>
      </c>
      <c r="B73" s="12" t="n">
        <v>2024</v>
      </c>
      <c r="C73" s="4" t="s">
        <v>105</v>
      </c>
      <c r="D73" s="4" t="s">
        <v>1993</v>
      </c>
      <c r="E73" s="4" t="s">
        <v>2001</v>
      </c>
      <c r="F73" s="4" t="s">
        <v>2034</v>
      </c>
      <c r="G73" s="4" t="s">
        <v>74</v>
      </c>
      <c r="H73" s="4" t="s">
        <v>1932</v>
      </c>
      <c r="I73" s="4" t="s">
        <v>2035</v>
      </c>
      <c r="J73" s="4" t="s">
        <v>2036</v>
      </c>
      <c r="K73" s="14">
        <f>IF(OR($I73="USO_NO_ENERGETICO_APARENTE",$I73="USO_ENERGETICO_INTERNO_APARENTE"),ROUND(SUMIFS($K$2:$K$618,$B$2:$B$618,$B73,$C$2:$C$618,$C73,$D$2:$D$618,"Energy products",$E$2:$E$618,"Supply",$G$2:$G$618,"&lt;&gt;STAT")-SUMIFS($K$2:$K$618,$B$2:$B$618,$B73,$C$2:$C$618,$C73,$D$2:$D$618,"Energy products",$E$2:$E$618,"Use",$G$2:$G$618,"&lt;&gt;STAT",$I$2:$I$618,"&lt;&gt;USO_NO_ENERGETICO_APARENTE",$I$2:$I$618,"&lt;&gt;USO_ENERGETICO_INTERNO_APARENTE"),10),IF(LEFT($H73,5)="STAT_",ROUND(SUMIFS($K$2:$K$618,$B$2:$B$618,$B73,$C$2:$C$618,$C73,$D$2:$D$618,"Energy products",$E$2:$E$618,"Supply",$G$2:$G$618,"&lt;&gt;STAT")-SUMIFS($K$2:$K$618,$B$2:$B$618,$B73,$C$2:$C$618,$C73,$D$2:$D$618,"Energy products",$E$2:$E$618,"Use",$G$2:$G$618,"&lt;&gt;STAT"),10),IF($J73="cambio de signo",-INDEX(DATOS_MODELO!$U$2:$U$3672,MATCH($H73,DATOS_MODELO!$B$2:$B$3672,0)),IF($J73="valor absoluto",ABS(INDEX(DATOS_MODELO!$U$2:$U$3672,MATCH($H73,DATOS_MODELO!$B$2:$B$3672,0))),INDEX(DATOS_MODELO!$U$2:$U$3672,MATCH($H73,DATOS_MODELO!$B$2:$B$3672,0))))))</f>
        <v>459.4548</v>
      </c>
      <c r="L73" s="8" t="str">
        <f aca="false">IF(LEFT($H73,5)&lt;&gt;"STAT_","",IF(ABS($K73)&lt;=COUNTIFS($B$2:$B$618,$B73,$C$2:$C$618,$C73,$D$2:$D$618,"Energy products",$G$2:$G$618,"&lt;&gt;STAT")*PARAMETROS!$B$6,"redondeo","residuo_estadistico"))</f>
        <v/>
      </c>
      <c r="M73" s="8" t="str">
        <f>IF(OR($I73="USO_NO_ENERGETICO_APARENTE",$I73="USO_ENERGETICO_INTERNO_APARENTE"),"CAL",IF(LEFT($H73,5)="STAT_","FORMULA",IF(COUNTIF(DATOS_MODELO!$B$2:$B$3672,$H73)=1,"OK","REVISAR")))</f>
        <v>OK</v>
      </c>
    </row>
    <row r="74" customFormat="false" ht="15" hidden="false" customHeight="false" outlineLevel="0" collapsed="false">
      <c r="A74" s="4" t="s">
        <v>2192</v>
      </c>
      <c r="B74" s="12" t="n">
        <v>2024</v>
      </c>
      <c r="C74" s="4" t="s">
        <v>105</v>
      </c>
      <c r="D74" s="4" t="s">
        <v>1993</v>
      </c>
      <c r="E74" s="4" t="s">
        <v>2001</v>
      </c>
      <c r="F74" s="4" t="s">
        <v>2002</v>
      </c>
      <c r="G74" s="4" t="s">
        <v>71</v>
      </c>
      <c r="H74" s="4" t="s">
        <v>1937</v>
      </c>
      <c r="I74" s="4" t="s">
        <v>2123</v>
      </c>
      <c r="J74" s="4" t="s">
        <v>1997</v>
      </c>
      <c r="K74" s="14">
        <f>IF(OR($I74="USO_NO_ENERGETICO_APARENTE",$I74="USO_ENERGETICO_INTERNO_APARENTE"),ROUND(SUMIFS($K$2:$K$618,$B$2:$B$618,$B74,$C$2:$C$618,$C74,$D$2:$D$618,"Energy products",$E$2:$E$618,"Supply",$G$2:$G$618,"&lt;&gt;STAT")-SUMIFS($K$2:$K$618,$B$2:$B$618,$B74,$C$2:$C$618,$C74,$D$2:$D$618,"Energy products",$E$2:$E$618,"Use",$G$2:$G$618,"&lt;&gt;STAT",$I$2:$I$618,"&lt;&gt;USO_NO_ENERGETICO_APARENTE",$I$2:$I$618,"&lt;&gt;USO_ENERGETICO_INTERNO_APARENTE"),10),IF(LEFT($H74,5)="STAT_",ROUND(SUMIFS($K$2:$K$618,$B$2:$B$618,$B74,$C$2:$C$618,$C74,$D$2:$D$618,"Energy products",$E$2:$E$618,"Supply",$G$2:$G$618,"&lt;&gt;STAT")-SUMIFS($K$2:$K$618,$B$2:$B$618,$B74,$C$2:$C$618,$C74,$D$2:$D$618,"Energy products",$E$2:$E$618,"Use",$G$2:$G$618,"&lt;&gt;STAT"),10),IF($J74="cambio de signo",-INDEX(DATOS_MODELO!$U$2:$U$3672,MATCH($H74,DATOS_MODELO!$B$2:$B$3672,0)),IF($J74="valor absoluto",ABS(INDEX(DATOS_MODELO!$U$2:$U$3672,MATCH($H74,DATOS_MODELO!$B$2:$B$3672,0))),INDEX(DATOS_MODELO!$U$2:$U$3672,MATCH($H74,DATOS_MODELO!$B$2:$B$3672,0))))))</f>
        <v>257.6735</v>
      </c>
      <c r="L74" s="8" t="str">
        <f aca="false">IF(LEFT($H74,5)&lt;&gt;"STAT_","",IF(ABS($K74)&lt;=COUNTIFS($B$2:$B$618,$B74,$C$2:$C$618,$C74,$D$2:$D$618,"Energy products",$G$2:$G$618,"&lt;&gt;STAT")*PARAMETROS!$B$6,"redondeo","residuo_estadistico"))</f>
        <v/>
      </c>
      <c r="M74" s="8" t="str">
        <f>IF(OR($I74="USO_NO_ENERGETICO_APARENTE",$I74="USO_ENERGETICO_INTERNO_APARENTE"),"CAL",IF(LEFT($H74,5)="STAT_","FORMULA",IF(COUNTIF(DATOS_MODELO!$B$2:$B$3672,$H74)=1,"OK","REVISAR")))</f>
        <v>OK</v>
      </c>
    </row>
    <row r="75" customFormat="false" ht="15" hidden="false" customHeight="false" outlineLevel="0" collapsed="false">
      <c r="A75" s="4" t="s">
        <v>2194</v>
      </c>
      <c r="B75" s="12" t="n">
        <v>2024</v>
      </c>
      <c r="C75" s="4" t="s">
        <v>105</v>
      </c>
      <c r="D75" s="4" t="s">
        <v>1993</v>
      </c>
      <c r="E75" s="4" t="s">
        <v>2001</v>
      </c>
      <c r="F75" s="4" t="s">
        <v>2074</v>
      </c>
      <c r="G75" s="4" t="s">
        <v>73</v>
      </c>
      <c r="H75" s="4" t="s">
        <v>1938</v>
      </c>
      <c r="I75" s="4" t="s">
        <v>2075</v>
      </c>
      <c r="J75" s="4" t="s">
        <v>1997</v>
      </c>
      <c r="K75" s="14">
        <f>IF(OR($I75="USO_NO_ENERGETICO_APARENTE",$I75="USO_ENERGETICO_INTERNO_APARENTE"),ROUND(SUMIFS($K$2:$K$618,$B$2:$B$618,$B75,$C$2:$C$618,$C75,$D$2:$D$618,"Energy products",$E$2:$E$618,"Supply",$G$2:$G$618,"&lt;&gt;STAT")-SUMIFS($K$2:$K$618,$B$2:$B$618,$B75,$C$2:$C$618,$C75,$D$2:$D$618,"Energy products",$E$2:$E$618,"Use",$G$2:$G$618,"&lt;&gt;STAT",$I$2:$I$618,"&lt;&gt;USO_NO_ENERGETICO_APARENTE",$I$2:$I$618,"&lt;&gt;USO_ENERGETICO_INTERNO_APARENTE"),10),IF(LEFT($H75,5)="STAT_",ROUND(SUMIFS($K$2:$K$618,$B$2:$B$618,$B75,$C$2:$C$618,$C75,$D$2:$D$618,"Energy products",$E$2:$E$618,"Supply",$G$2:$G$618,"&lt;&gt;STAT")-SUMIFS($K$2:$K$618,$B$2:$B$618,$B75,$C$2:$C$618,$C75,$D$2:$D$618,"Energy products",$E$2:$E$618,"Use",$G$2:$G$618,"&lt;&gt;STAT"),10),IF($J75="cambio de signo",-INDEX(DATOS_MODELO!$U$2:$U$3672,MATCH($H75,DATOS_MODELO!$B$2:$B$3672,0)),IF($J75="valor absoluto",ABS(INDEX(DATOS_MODELO!$U$2:$U$3672,MATCH($H75,DATOS_MODELO!$B$2:$B$3672,0))),INDEX(DATOS_MODELO!$U$2:$U$3672,MATCH($H75,DATOS_MODELO!$B$2:$B$3672,0))))))</f>
        <v>19839.988</v>
      </c>
      <c r="L75" s="8" t="str">
        <f aca="false">IF(LEFT($H75,5)&lt;&gt;"STAT_","",IF(ABS($K75)&lt;=COUNTIFS($B$2:$B$618,$B75,$C$2:$C$618,$C75,$D$2:$D$618,"Energy products",$G$2:$G$618,"&lt;&gt;STAT")*PARAMETROS!$B$6,"redondeo","residuo_estadistico"))</f>
        <v/>
      </c>
      <c r="M75" s="8" t="str">
        <f>IF(OR($I75="USO_NO_ENERGETICO_APARENTE",$I75="USO_ENERGETICO_INTERNO_APARENTE"),"CAL",IF(LEFT($H75,5)="STAT_","FORMULA",IF(COUNTIF(DATOS_MODELO!$B$2:$B$3672,$H75)=1,"OK","REVISAR")))</f>
        <v>OK</v>
      </c>
    </row>
    <row r="76" customFormat="false" ht="15" hidden="false" customHeight="false" outlineLevel="0" collapsed="false">
      <c r="A76" s="4" t="s">
        <v>2196</v>
      </c>
      <c r="B76" s="12" t="n">
        <v>2024</v>
      </c>
      <c r="C76" s="4" t="s">
        <v>105</v>
      </c>
      <c r="D76" s="4" t="s">
        <v>1993</v>
      </c>
      <c r="E76" s="4" t="s">
        <v>2001</v>
      </c>
      <c r="F76" s="4" t="s">
        <v>2002</v>
      </c>
      <c r="G76" s="4" t="s">
        <v>72</v>
      </c>
      <c r="H76" s="4" t="s">
        <v>1939</v>
      </c>
      <c r="I76" s="4" t="s">
        <v>2079</v>
      </c>
      <c r="J76" s="4" t="s">
        <v>1997</v>
      </c>
      <c r="K76" s="14">
        <f>IF(OR($I76="USO_NO_ENERGETICO_APARENTE",$I76="USO_ENERGETICO_INTERNO_APARENTE"),ROUND(SUMIFS($K$2:$K$618,$B$2:$B$618,$B76,$C$2:$C$618,$C76,$D$2:$D$618,"Energy products",$E$2:$E$618,"Supply",$G$2:$G$618,"&lt;&gt;STAT")-SUMIFS($K$2:$K$618,$B$2:$B$618,$B76,$C$2:$C$618,$C76,$D$2:$D$618,"Energy products",$E$2:$E$618,"Use",$G$2:$G$618,"&lt;&gt;STAT",$I$2:$I$618,"&lt;&gt;USO_NO_ENERGETICO_APARENTE",$I$2:$I$618,"&lt;&gt;USO_ENERGETICO_INTERNO_APARENTE"),10),IF(LEFT($H76,5)="STAT_",ROUND(SUMIFS($K$2:$K$618,$B$2:$B$618,$B76,$C$2:$C$618,$C76,$D$2:$D$618,"Energy products",$E$2:$E$618,"Supply",$G$2:$G$618,"&lt;&gt;STAT")-SUMIFS($K$2:$K$618,$B$2:$B$618,$B76,$C$2:$C$618,$C76,$D$2:$D$618,"Energy products",$E$2:$E$618,"Use",$G$2:$G$618,"&lt;&gt;STAT"),10),IF($J76="cambio de signo",-INDEX(DATOS_MODELO!$U$2:$U$3672,MATCH($H76,DATOS_MODELO!$B$2:$B$3672,0)),IF($J76="valor absoluto",ABS(INDEX(DATOS_MODELO!$U$2:$U$3672,MATCH($H76,DATOS_MODELO!$B$2:$B$3672,0))),INDEX(DATOS_MODELO!$U$2:$U$3672,MATCH($H76,DATOS_MODELO!$B$2:$B$3672,0))))))</f>
        <v>515.347</v>
      </c>
      <c r="L76" s="8" t="str">
        <f aca="false">IF(LEFT($H76,5)&lt;&gt;"STAT_","",IF(ABS($K76)&lt;=COUNTIFS($B$2:$B$618,$B76,$C$2:$C$618,$C76,$D$2:$D$618,"Energy products",$G$2:$G$618,"&lt;&gt;STAT")*PARAMETROS!$B$6,"redondeo","residuo_estadistico"))</f>
        <v/>
      </c>
      <c r="M76" s="8" t="str">
        <f>IF(OR($I76="USO_NO_ENERGETICO_APARENTE",$I76="USO_ENERGETICO_INTERNO_APARENTE"),"CAL",IF(LEFT($H76,5)="STAT_","FORMULA",IF(COUNTIF(DATOS_MODELO!$B$2:$B$3672,$H76)=1,"OK","REVISAR")))</f>
        <v>OK</v>
      </c>
    </row>
    <row r="77" customFormat="false" ht="15" hidden="false" customHeight="false" outlineLevel="0" collapsed="false">
      <c r="A77" s="4" t="s">
        <v>2198</v>
      </c>
      <c r="B77" s="12" t="n">
        <v>2024</v>
      </c>
      <c r="C77" s="4" t="s">
        <v>105</v>
      </c>
      <c r="D77" s="4" t="s">
        <v>1993</v>
      </c>
      <c r="E77" s="4" t="s">
        <v>2001</v>
      </c>
      <c r="F77" s="4" t="s">
        <v>2002</v>
      </c>
      <c r="G77" s="4" t="s">
        <v>68</v>
      </c>
      <c r="H77" s="4" t="s">
        <v>1940</v>
      </c>
      <c r="I77" s="4" t="s">
        <v>2111</v>
      </c>
      <c r="J77" s="4" t="s">
        <v>1997</v>
      </c>
      <c r="K77" s="14">
        <f>IF(OR($I77="USO_NO_ENERGETICO_APARENTE",$I77="USO_ENERGETICO_INTERNO_APARENTE"),ROUND(SUMIFS($K$2:$K$618,$B$2:$B$618,$B77,$C$2:$C$618,$C77,$D$2:$D$618,"Energy products",$E$2:$E$618,"Supply",$G$2:$G$618,"&lt;&gt;STAT")-SUMIFS($K$2:$K$618,$B$2:$B$618,$B77,$C$2:$C$618,$C77,$D$2:$D$618,"Energy products",$E$2:$E$618,"Use",$G$2:$G$618,"&lt;&gt;STAT",$I$2:$I$618,"&lt;&gt;USO_NO_ENERGETICO_APARENTE",$I$2:$I$618,"&lt;&gt;USO_ENERGETICO_INTERNO_APARENTE"),10),IF(LEFT($H77,5)="STAT_",ROUND(SUMIFS($K$2:$K$618,$B$2:$B$618,$B77,$C$2:$C$618,$C77,$D$2:$D$618,"Energy products",$E$2:$E$618,"Supply",$G$2:$G$618,"&lt;&gt;STAT")-SUMIFS($K$2:$K$618,$B$2:$B$618,$B77,$C$2:$C$618,$C77,$D$2:$D$618,"Energy products",$E$2:$E$618,"Use",$G$2:$G$618,"&lt;&gt;STAT"),10),IF($J77="cambio de signo",-INDEX(DATOS_MODELO!$U$2:$U$3672,MATCH($H77,DATOS_MODELO!$B$2:$B$3672,0)),IF($J77="valor absoluto",ABS(INDEX(DATOS_MODELO!$U$2:$U$3672,MATCH($H77,DATOS_MODELO!$B$2:$B$3672,0))),INDEX(DATOS_MODELO!$U$2:$U$3672,MATCH($H77,DATOS_MODELO!$B$2:$B$3672,0))))))</f>
        <v>5153.2376</v>
      </c>
      <c r="L77" s="8" t="str">
        <f aca="false">IF(LEFT($H77,5)&lt;&gt;"STAT_","",IF(ABS($K77)&lt;=COUNTIFS($B$2:$B$618,$B77,$C$2:$C$618,$C77,$D$2:$D$618,"Energy products",$G$2:$G$618,"&lt;&gt;STAT")*PARAMETROS!$B$6,"redondeo","residuo_estadistico"))</f>
        <v/>
      </c>
      <c r="M77" s="8" t="str">
        <f>IF(OR($I77="USO_NO_ENERGETICO_APARENTE",$I77="USO_ENERGETICO_INTERNO_APARENTE"),"CAL",IF(LEFT($H77,5)="STAT_","FORMULA",IF(COUNTIF(DATOS_MODELO!$B$2:$B$3672,$H77)=1,"OK","REVISAR")))</f>
        <v>OK</v>
      </c>
    </row>
    <row r="78" customFormat="false" ht="15" hidden="false" customHeight="false" outlineLevel="0" collapsed="false">
      <c r="A78" s="4" t="s">
        <v>2200</v>
      </c>
      <c r="B78" s="12" t="n">
        <v>2024</v>
      </c>
      <c r="C78" s="4" t="s">
        <v>107</v>
      </c>
      <c r="D78" s="4" t="s">
        <v>1993</v>
      </c>
      <c r="E78" s="4" t="s">
        <v>1994</v>
      </c>
      <c r="F78" s="4" t="s">
        <v>2029</v>
      </c>
      <c r="G78" s="4" t="s">
        <v>69</v>
      </c>
      <c r="H78" s="4" t="s">
        <v>1944</v>
      </c>
      <c r="I78" s="4" t="s">
        <v>2030</v>
      </c>
      <c r="J78" s="4" t="s">
        <v>1997</v>
      </c>
      <c r="K78" s="14">
        <f>IF(OR($I78="USO_NO_ENERGETICO_APARENTE",$I78="USO_ENERGETICO_INTERNO_APARENTE"),ROUND(SUMIFS($K$2:$K$618,$B$2:$B$618,$B78,$C$2:$C$618,$C78,$D$2:$D$618,"Energy products",$E$2:$E$618,"Supply",$G$2:$G$618,"&lt;&gt;STAT")-SUMIFS($K$2:$K$618,$B$2:$B$618,$B78,$C$2:$C$618,$C78,$D$2:$D$618,"Energy products",$E$2:$E$618,"Use",$G$2:$G$618,"&lt;&gt;STAT",$I$2:$I$618,"&lt;&gt;USO_NO_ENERGETICO_APARENTE",$I$2:$I$618,"&lt;&gt;USO_ENERGETICO_INTERNO_APARENTE"),10),IF(LEFT($H78,5)="STAT_",ROUND(SUMIFS($K$2:$K$618,$B$2:$B$618,$B78,$C$2:$C$618,$C78,$D$2:$D$618,"Energy products",$E$2:$E$618,"Supply",$G$2:$G$618,"&lt;&gt;STAT")-SUMIFS($K$2:$K$618,$B$2:$B$618,$B78,$C$2:$C$618,$C78,$D$2:$D$618,"Energy products",$E$2:$E$618,"Use",$G$2:$G$618,"&lt;&gt;STAT"),10),IF($J78="cambio de signo",-INDEX(DATOS_MODELO!$U$2:$U$3672,MATCH($H78,DATOS_MODELO!$B$2:$B$3672,0)),IF($J78="valor absoluto",ABS(INDEX(DATOS_MODELO!$U$2:$U$3672,MATCH($H78,DATOS_MODELO!$B$2:$B$3672,0))),INDEX(DATOS_MODELO!$U$2:$U$3672,MATCH($H78,DATOS_MODELO!$B$2:$B$3672,0))))))</f>
        <v>5536.2909</v>
      </c>
      <c r="L78" s="8" t="str">
        <f aca="false">IF(LEFT($H78,5)&lt;&gt;"STAT_","",IF(ABS($K78)&lt;=COUNTIFS($B$2:$B$618,$B78,$C$2:$C$618,$C78,$D$2:$D$618,"Energy products",$G$2:$G$618,"&lt;&gt;STAT")*PARAMETROS!$B$6,"redondeo","residuo_estadistico"))</f>
        <v/>
      </c>
      <c r="M78" s="8" t="str">
        <f>IF(OR($I78="USO_NO_ENERGETICO_APARENTE",$I78="USO_ENERGETICO_INTERNO_APARENTE"),"CAL",IF(LEFT($H78,5)="STAT_","FORMULA",IF(COUNTIF(DATOS_MODELO!$B$2:$B$3672,$H78)=1,"OK","REVISAR")))</f>
        <v>OK</v>
      </c>
    </row>
    <row r="79" customFormat="false" ht="15" hidden="false" customHeight="false" outlineLevel="0" collapsed="false">
      <c r="A79" s="4" t="s">
        <v>2202</v>
      </c>
      <c r="B79" s="12" t="n">
        <v>2024</v>
      </c>
      <c r="C79" s="4" t="s">
        <v>107</v>
      </c>
      <c r="D79" s="4" t="s">
        <v>1993</v>
      </c>
      <c r="E79" s="4" t="s">
        <v>2001</v>
      </c>
      <c r="F79" s="4" t="s">
        <v>2034</v>
      </c>
      <c r="G79" s="4" t="s">
        <v>74</v>
      </c>
      <c r="H79" s="4" t="s">
        <v>1946</v>
      </c>
      <c r="I79" s="4" t="s">
        <v>2035</v>
      </c>
      <c r="J79" s="4" t="s">
        <v>2036</v>
      </c>
      <c r="K79" s="14">
        <f>IF(OR($I79="USO_NO_ENERGETICO_APARENTE",$I79="USO_ENERGETICO_INTERNO_APARENTE"),ROUND(SUMIFS($K$2:$K$618,$B$2:$B$618,$B79,$C$2:$C$618,$C79,$D$2:$D$618,"Energy products",$E$2:$E$618,"Supply",$G$2:$G$618,"&lt;&gt;STAT")-SUMIFS($K$2:$K$618,$B$2:$B$618,$B79,$C$2:$C$618,$C79,$D$2:$D$618,"Energy products",$E$2:$E$618,"Use",$G$2:$G$618,"&lt;&gt;STAT",$I$2:$I$618,"&lt;&gt;USO_NO_ENERGETICO_APARENTE",$I$2:$I$618,"&lt;&gt;USO_ENERGETICO_INTERNO_APARENTE"),10),IF(LEFT($H79,5)="STAT_",ROUND(SUMIFS($K$2:$K$618,$B$2:$B$618,$B79,$C$2:$C$618,$C79,$D$2:$D$618,"Energy products",$E$2:$E$618,"Supply",$G$2:$G$618,"&lt;&gt;STAT")-SUMIFS($K$2:$K$618,$B$2:$B$618,$B79,$C$2:$C$618,$C79,$D$2:$D$618,"Energy products",$E$2:$E$618,"Use",$G$2:$G$618,"&lt;&gt;STAT"),10),IF($J79="cambio de signo",-INDEX(DATOS_MODELO!$U$2:$U$3672,MATCH($H79,DATOS_MODELO!$B$2:$B$3672,0)),IF($J79="valor absoluto",ABS(INDEX(DATOS_MODELO!$U$2:$U$3672,MATCH($H79,DATOS_MODELO!$B$2:$B$3672,0))),INDEX(DATOS_MODELO!$U$2:$U$3672,MATCH($H79,DATOS_MODELO!$B$2:$B$3672,0))))))</f>
        <v>-74.8328</v>
      </c>
      <c r="L79" s="8" t="str">
        <f aca="false">IF(LEFT($H79,5)&lt;&gt;"STAT_","",IF(ABS($K79)&lt;=COUNTIFS($B$2:$B$618,$B79,$C$2:$C$618,$C79,$D$2:$D$618,"Energy products",$G$2:$G$618,"&lt;&gt;STAT")*PARAMETROS!$B$6,"redondeo","residuo_estadistico"))</f>
        <v/>
      </c>
      <c r="M79" s="8" t="str">
        <f>IF(OR($I79="USO_NO_ENERGETICO_APARENTE",$I79="USO_ENERGETICO_INTERNO_APARENTE"),"CAL",IF(LEFT($H79,5)="STAT_","FORMULA",IF(COUNTIF(DATOS_MODELO!$B$2:$B$3672,$H79)=1,"OK","REVISAR")))</f>
        <v>OK</v>
      </c>
    </row>
    <row r="80" customFormat="false" ht="15" hidden="false" customHeight="false" outlineLevel="0" collapsed="false">
      <c r="A80" s="4" t="s">
        <v>2204</v>
      </c>
      <c r="B80" s="12" t="n">
        <v>2024</v>
      </c>
      <c r="C80" s="4" t="s">
        <v>107</v>
      </c>
      <c r="D80" s="4" t="s">
        <v>1993</v>
      </c>
      <c r="E80" s="4" t="s">
        <v>2001</v>
      </c>
      <c r="F80" s="4" t="s">
        <v>2002</v>
      </c>
      <c r="G80" s="4" t="s">
        <v>71</v>
      </c>
      <c r="H80" s="4" t="s">
        <v>1951</v>
      </c>
      <c r="I80" s="4" t="s">
        <v>2123</v>
      </c>
      <c r="J80" s="4" t="s">
        <v>1997</v>
      </c>
      <c r="K80" s="14">
        <f>IF(OR($I80="USO_NO_ENERGETICO_APARENTE",$I80="USO_ENERGETICO_INTERNO_APARENTE"),ROUND(SUMIFS($K$2:$K$618,$B$2:$B$618,$B80,$C$2:$C$618,$C80,$D$2:$D$618,"Energy products",$E$2:$E$618,"Supply",$G$2:$G$618,"&lt;&gt;STAT")-SUMIFS($K$2:$K$618,$B$2:$B$618,$B80,$C$2:$C$618,$C80,$D$2:$D$618,"Energy products",$E$2:$E$618,"Use",$G$2:$G$618,"&lt;&gt;STAT",$I$2:$I$618,"&lt;&gt;USO_NO_ENERGETICO_APARENTE",$I$2:$I$618,"&lt;&gt;USO_ENERGETICO_INTERNO_APARENTE"),10),IF(LEFT($H80,5)="STAT_",ROUND(SUMIFS($K$2:$K$618,$B$2:$B$618,$B80,$C$2:$C$618,$C80,$D$2:$D$618,"Energy products",$E$2:$E$618,"Supply",$G$2:$G$618,"&lt;&gt;STAT")-SUMIFS($K$2:$K$618,$B$2:$B$618,$B80,$C$2:$C$618,$C80,$D$2:$D$618,"Energy products",$E$2:$E$618,"Use",$G$2:$G$618,"&lt;&gt;STAT"),10),IF($J80="cambio de signo",-INDEX(DATOS_MODELO!$U$2:$U$3672,MATCH($H80,DATOS_MODELO!$B$2:$B$3672,0)),IF($J80="valor absoluto",ABS(INDEX(DATOS_MODELO!$U$2:$U$3672,MATCH($H80,DATOS_MODELO!$B$2:$B$3672,0))),INDEX(DATOS_MODELO!$U$2:$U$3672,MATCH($H80,DATOS_MODELO!$B$2:$B$3672,0))))))</f>
        <v>5611.1237</v>
      </c>
      <c r="L80" s="8" t="str">
        <f aca="false">IF(LEFT($H80,5)&lt;&gt;"STAT_","",IF(ABS($K80)&lt;=COUNTIFS($B$2:$B$618,$B80,$C$2:$C$618,$C80,$D$2:$D$618,"Energy products",$G$2:$G$618,"&lt;&gt;STAT")*PARAMETROS!$B$6,"redondeo","residuo_estadistico"))</f>
        <v/>
      </c>
      <c r="M80" s="8" t="str">
        <f>IF(OR($I80="USO_NO_ENERGETICO_APARENTE",$I80="USO_ENERGETICO_INTERNO_APARENTE"),"CAL",IF(LEFT($H80,5)="STAT_","FORMULA",IF(COUNTIF(DATOS_MODELO!$B$2:$B$3672,$H80)=1,"OK","REVISAR")))</f>
        <v>OK</v>
      </c>
    </row>
    <row r="81" customFormat="false" ht="15" hidden="false" customHeight="false" outlineLevel="0" collapsed="false">
      <c r="A81" s="4" t="s">
        <v>2206</v>
      </c>
      <c r="B81" s="12" t="n">
        <v>2024</v>
      </c>
      <c r="C81" s="4" t="s">
        <v>111</v>
      </c>
      <c r="D81" s="4" t="s">
        <v>1993</v>
      </c>
      <c r="E81" s="4" t="s">
        <v>1994</v>
      </c>
      <c r="F81" s="4" t="s">
        <v>2029</v>
      </c>
      <c r="G81" s="4" t="s">
        <v>69</v>
      </c>
      <c r="H81" s="4" t="s">
        <v>1959</v>
      </c>
      <c r="I81" s="4" t="s">
        <v>2030</v>
      </c>
      <c r="J81" s="4" t="s">
        <v>1997</v>
      </c>
      <c r="K81" s="14">
        <f>IF(OR($I81="USO_NO_ENERGETICO_APARENTE",$I81="USO_ENERGETICO_INTERNO_APARENTE"),ROUND(SUMIFS($K$2:$K$618,$B$2:$B$618,$B81,$C$2:$C$618,$C81,$D$2:$D$618,"Energy products",$E$2:$E$618,"Supply",$G$2:$G$618,"&lt;&gt;STAT")-SUMIFS($K$2:$K$618,$B$2:$B$618,$B81,$C$2:$C$618,$C81,$D$2:$D$618,"Energy products",$E$2:$E$618,"Use",$G$2:$G$618,"&lt;&gt;STAT",$I$2:$I$618,"&lt;&gt;USO_NO_ENERGETICO_APARENTE",$I$2:$I$618,"&lt;&gt;USO_ENERGETICO_INTERNO_APARENTE"),10),IF(LEFT($H81,5)="STAT_",ROUND(SUMIFS($K$2:$K$618,$B$2:$B$618,$B81,$C$2:$C$618,$C81,$D$2:$D$618,"Energy products",$E$2:$E$618,"Supply",$G$2:$G$618,"&lt;&gt;STAT")-SUMIFS($K$2:$K$618,$B$2:$B$618,$B81,$C$2:$C$618,$C81,$D$2:$D$618,"Energy products",$E$2:$E$618,"Use",$G$2:$G$618,"&lt;&gt;STAT"),10),IF($J81="cambio de signo",-INDEX(DATOS_MODELO!$U$2:$U$3672,MATCH($H81,DATOS_MODELO!$B$2:$B$3672,0)),IF($J81="valor absoluto",ABS(INDEX(DATOS_MODELO!$U$2:$U$3672,MATCH($H81,DATOS_MODELO!$B$2:$B$3672,0))),INDEX(DATOS_MODELO!$U$2:$U$3672,MATCH($H81,DATOS_MODELO!$B$2:$B$3672,0))))))</f>
        <v>444.7555</v>
      </c>
      <c r="L81" s="8" t="str">
        <f aca="false">IF(LEFT($H81,5)&lt;&gt;"STAT_","",IF(ABS($K81)&lt;=COUNTIFS($B$2:$B$618,$B81,$C$2:$C$618,$C81,$D$2:$D$618,"Energy products",$G$2:$G$618,"&lt;&gt;STAT")*PARAMETROS!$B$6,"redondeo","residuo_estadistico"))</f>
        <v/>
      </c>
      <c r="M81" s="8" t="str">
        <f>IF(OR($I81="USO_NO_ENERGETICO_APARENTE",$I81="USO_ENERGETICO_INTERNO_APARENTE"),"CAL",IF(LEFT($H81,5)="STAT_","FORMULA",IF(COUNTIF(DATOS_MODELO!$B$2:$B$3672,$H81)=1,"OK","REVISAR")))</f>
        <v>OK</v>
      </c>
    </row>
    <row r="82" customFormat="false" ht="15" hidden="false" customHeight="false" outlineLevel="0" collapsed="false">
      <c r="A82" s="4" t="s">
        <v>2208</v>
      </c>
      <c r="B82" s="12" t="n">
        <v>2024</v>
      </c>
      <c r="C82" s="4" t="s">
        <v>111</v>
      </c>
      <c r="D82" s="4" t="s">
        <v>1993</v>
      </c>
      <c r="E82" s="4" t="s">
        <v>2001</v>
      </c>
      <c r="F82" s="4" t="s">
        <v>2091</v>
      </c>
      <c r="G82" s="4" t="s">
        <v>69</v>
      </c>
      <c r="H82" s="4" t="s">
        <v>1960</v>
      </c>
      <c r="I82" s="4" t="s">
        <v>2030</v>
      </c>
      <c r="J82" s="4" t="s">
        <v>1997</v>
      </c>
      <c r="K82" s="14">
        <f>IF(OR($I82="USO_NO_ENERGETICO_APARENTE",$I82="USO_ENERGETICO_INTERNO_APARENTE"),ROUND(SUMIFS($K$2:$K$618,$B$2:$B$618,$B82,$C$2:$C$618,$C82,$D$2:$D$618,"Energy products",$E$2:$E$618,"Supply",$G$2:$G$618,"&lt;&gt;STAT")-SUMIFS($K$2:$K$618,$B$2:$B$618,$B82,$C$2:$C$618,$C82,$D$2:$D$618,"Energy products",$E$2:$E$618,"Use",$G$2:$G$618,"&lt;&gt;STAT",$I$2:$I$618,"&lt;&gt;USO_NO_ENERGETICO_APARENTE",$I$2:$I$618,"&lt;&gt;USO_ENERGETICO_INTERNO_APARENTE"),10),IF(LEFT($H82,5)="STAT_",ROUND(SUMIFS($K$2:$K$618,$B$2:$B$618,$B82,$C$2:$C$618,$C82,$D$2:$D$618,"Energy products",$E$2:$E$618,"Supply",$G$2:$G$618,"&lt;&gt;STAT")-SUMIFS($K$2:$K$618,$B$2:$B$618,$B82,$C$2:$C$618,$C82,$D$2:$D$618,"Energy products",$E$2:$E$618,"Use",$G$2:$G$618,"&lt;&gt;STAT"),10),IF($J82="cambio de signo",-INDEX(DATOS_MODELO!$U$2:$U$3672,MATCH($H82,DATOS_MODELO!$B$2:$B$3672,0)),IF($J82="valor absoluto",ABS(INDEX(DATOS_MODELO!$U$2:$U$3672,MATCH($H82,DATOS_MODELO!$B$2:$B$3672,0))),INDEX(DATOS_MODELO!$U$2:$U$3672,MATCH($H82,DATOS_MODELO!$B$2:$B$3672,0))))))</f>
        <v>1991.5518</v>
      </c>
      <c r="L82" s="8" t="str">
        <f aca="false">IF(LEFT($H82,5)&lt;&gt;"STAT_","",IF(ABS($K82)&lt;=COUNTIFS($B$2:$B$618,$B82,$C$2:$C$618,$C82,$D$2:$D$618,"Energy products",$G$2:$G$618,"&lt;&gt;STAT")*PARAMETROS!$B$6,"redondeo","residuo_estadistico"))</f>
        <v/>
      </c>
      <c r="M82" s="8" t="str">
        <f>IF(OR($I82="USO_NO_ENERGETICO_APARENTE",$I82="USO_ENERGETICO_INTERNO_APARENTE"),"CAL",IF(LEFT($H82,5)="STAT_","FORMULA",IF(COUNTIF(DATOS_MODELO!$B$2:$B$3672,$H82)=1,"OK","REVISAR")))</f>
        <v>OK</v>
      </c>
    </row>
    <row r="83" customFormat="false" ht="15" hidden="false" customHeight="false" outlineLevel="0" collapsed="false">
      <c r="A83" s="4" t="s">
        <v>2210</v>
      </c>
      <c r="B83" s="12" t="n">
        <v>2024</v>
      </c>
      <c r="C83" s="4" t="s">
        <v>111</v>
      </c>
      <c r="D83" s="4" t="s">
        <v>1993</v>
      </c>
      <c r="E83" s="4" t="s">
        <v>2001</v>
      </c>
      <c r="F83" s="4" t="s">
        <v>2034</v>
      </c>
      <c r="G83" s="4" t="s">
        <v>74</v>
      </c>
      <c r="H83" s="4" t="s">
        <v>1961</v>
      </c>
      <c r="I83" s="4" t="s">
        <v>2035</v>
      </c>
      <c r="J83" s="4" t="s">
        <v>2036</v>
      </c>
      <c r="K83" s="14">
        <f>IF(OR($I83="USO_NO_ENERGETICO_APARENTE",$I83="USO_ENERGETICO_INTERNO_APARENTE"),ROUND(SUMIFS($K$2:$K$618,$B$2:$B$618,$B83,$C$2:$C$618,$C83,$D$2:$D$618,"Energy products",$E$2:$E$618,"Supply",$G$2:$G$618,"&lt;&gt;STAT")-SUMIFS($K$2:$K$618,$B$2:$B$618,$B83,$C$2:$C$618,$C83,$D$2:$D$618,"Energy products",$E$2:$E$618,"Use",$G$2:$G$618,"&lt;&gt;STAT",$I$2:$I$618,"&lt;&gt;USO_NO_ENERGETICO_APARENTE",$I$2:$I$618,"&lt;&gt;USO_ENERGETICO_INTERNO_APARENTE"),10),IF(LEFT($H83,5)="STAT_",ROUND(SUMIFS($K$2:$K$618,$B$2:$B$618,$B83,$C$2:$C$618,$C83,$D$2:$D$618,"Energy products",$E$2:$E$618,"Supply",$G$2:$G$618,"&lt;&gt;STAT")-SUMIFS($K$2:$K$618,$B$2:$B$618,$B83,$C$2:$C$618,$C83,$D$2:$D$618,"Energy products",$E$2:$E$618,"Use",$G$2:$G$618,"&lt;&gt;STAT"),10),IF($J83="cambio de signo",-INDEX(DATOS_MODELO!$U$2:$U$3672,MATCH($H83,DATOS_MODELO!$B$2:$B$3672,0)),IF($J83="valor absoluto",ABS(INDEX(DATOS_MODELO!$U$2:$U$3672,MATCH($H83,DATOS_MODELO!$B$2:$B$3672,0))),INDEX(DATOS_MODELO!$U$2:$U$3672,MATCH($H83,DATOS_MODELO!$B$2:$B$3672,0))))))</f>
        <v>19.754</v>
      </c>
      <c r="L83" s="8" t="str">
        <f aca="false">IF(LEFT($H83,5)&lt;&gt;"STAT_","",IF(ABS($K83)&lt;=COUNTIFS($B$2:$B$618,$B83,$C$2:$C$618,$C83,$D$2:$D$618,"Energy products",$G$2:$G$618,"&lt;&gt;STAT")*PARAMETROS!$B$6,"redondeo","residuo_estadistico"))</f>
        <v/>
      </c>
      <c r="M83" s="8" t="str">
        <f>IF(OR($I83="USO_NO_ENERGETICO_APARENTE",$I83="USO_ENERGETICO_INTERNO_APARENTE"),"CAL",IF(LEFT($H83,5)="STAT_","FORMULA",IF(COUNTIF(DATOS_MODELO!$B$2:$B$3672,$H83)=1,"OK","REVISAR")))</f>
        <v>OK</v>
      </c>
    </row>
    <row r="84" customFormat="false" ht="15" hidden="false" customHeight="false" outlineLevel="0" collapsed="false">
      <c r="A84" s="4" t="s">
        <v>2212</v>
      </c>
      <c r="B84" s="12" t="n">
        <v>2024</v>
      </c>
      <c r="C84" s="4" t="s">
        <v>111</v>
      </c>
      <c r="D84" s="4" t="s">
        <v>1993</v>
      </c>
      <c r="E84" s="4" t="s">
        <v>1994</v>
      </c>
      <c r="F84" s="4" t="s">
        <v>1995</v>
      </c>
      <c r="G84" s="4" t="s">
        <v>67</v>
      </c>
      <c r="H84" s="4" t="s">
        <v>1962</v>
      </c>
      <c r="I84" s="4" t="s">
        <v>2097</v>
      </c>
      <c r="J84" s="4" t="s">
        <v>1997</v>
      </c>
      <c r="K84" s="14">
        <f>IF(OR($I84="USO_NO_ENERGETICO_APARENTE",$I84="USO_ENERGETICO_INTERNO_APARENTE"),ROUND(SUMIFS($K$2:$K$618,$B$2:$B$618,$B84,$C$2:$C$618,$C84,$D$2:$D$618,"Energy products",$E$2:$E$618,"Supply",$G$2:$G$618,"&lt;&gt;STAT")-SUMIFS($K$2:$K$618,$B$2:$B$618,$B84,$C$2:$C$618,$C84,$D$2:$D$618,"Energy products",$E$2:$E$618,"Use",$G$2:$G$618,"&lt;&gt;STAT",$I$2:$I$618,"&lt;&gt;USO_NO_ENERGETICO_APARENTE",$I$2:$I$618,"&lt;&gt;USO_ENERGETICO_INTERNO_APARENTE"),10),IF(LEFT($H84,5)="STAT_",ROUND(SUMIFS($K$2:$K$618,$B$2:$B$618,$B84,$C$2:$C$618,$C84,$D$2:$D$618,"Energy products",$E$2:$E$618,"Supply",$G$2:$G$618,"&lt;&gt;STAT")-SUMIFS($K$2:$K$618,$B$2:$B$618,$B84,$C$2:$C$618,$C84,$D$2:$D$618,"Energy products",$E$2:$E$618,"Use",$G$2:$G$618,"&lt;&gt;STAT"),10),IF($J84="cambio de signo",-INDEX(DATOS_MODELO!$U$2:$U$3672,MATCH($H84,DATOS_MODELO!$B$2:$B$3672,0)),IF($J84="valor absoluto",ABS(INDEX(DATOS_MODELO!$U$2:$U$3672,MATCH($H84,DATOS_MODELO!$B$2:$B$3672,0))),INDEX(DATOS_MODELO!$U$2:$U$3672,MATCH($H84,DATOS_MODELO!$B$2:$B$3672,0))))))</f>
        <v>2783.571</v>
      </c>
      <c r="L84" s="8" t="str">
        <f aca="false">IF(LEFT($H84,5)&lt;&gt;"STAT_","",IF(ABS($K84)&lt;=COUNTIFS($B$2:$B$618,$B84,$C$2:$C$618,$C84,$D$2:$D$618,"Energy products",$G$2:$G$618,"&lt;&gt;STAT")*PARAMETROS!$B$6,"redondeo","residuo_estadistico"))</f>
        <v/>
      </c>
      <c r="M84" s="8" t="str">
        <f>IF(OR($I84="USO_NO_ENERGETICO_APARENTE",$I84="USO_ENERGETICO_INTERNO_APARENTE"),"CAL",IF(LEFT($H84,5)="STAT_","FORMULA",IF(COUNTIF(DATOS_MODELO!$B$2:$B$3672,$H84)=1,"OK","REVISAR")))</f>
        <v>OK</v>
      </c>
    </row>
    <row r="85" customFormat="false" ht="23.85" hidden="false" customHeight="false" outlineLevel="0" collapsed="false">
      <c r="A85" s="4" t="s">
        <v>2215</v>
      </c>
      <c r="B85" s="12" t="n">
        <v>2024</v>
      </c>
      <c r="C85" s="4" t="s">
        <v>99</v>
      </c>
      <c r="D85" s="4" t="s">
        <v>1993</v>
      </c>
      <c r="E85" s="4" t="s">
        <v>2001</v>
      </c>
      <c r="F85" s="4" t="s">
        <v>2218</v>
      </c>
      <c r="G85" s="4" t="s">
        <v>44</v>
      </c>
      <c r="H85" s="4" t="s">
        <v>2217</v>
      </c>
      <c r="I85" s="4" t="s">
        <v>2219</v>
      </c>
      <c r="J85" s="4" t="s">
        <v>2220</v>
      </c>
      <c r="K85" s="14">
        <f>IF(OR($I85="USO_NO_ENERGETICO_APARENTE",$I85="USO_ENERGETICO_INTERNO_APARENTE"),ROUND(SUMIFS($K$2:$K$618,$B$2:$B$618,$B85,$C$2:$C$618,$C85,$D$2:$D$618,"Energy products",$E$2:$E$618,"Supply",$G$2:$G$618,"&lt;&gt;STAT")-SUMIFS($K$2:$K$618,$B$2:$B$618,$B85,$C$2:$C$618,$C85,$D$2:$D$618,"Energy products",$E$2:$E$618,"Use",$G$2:$G$618,"&lt;&gt;STAT",$I$2:$I$618,"&lt;&gt;USO_NO_ENERGETICO_APARENTE",$I$2:$I$618,"&lt;&gt;USO_ENERGETICO_INTERNO_APARENTE"),10),IF(LEFT($H85,5)="STAT_",ROUND(SUMIFS($K$2:$K$618,$B$2:$B$618,$B85,$C$2:$C$618,$C85,$D$2:$D$618,"Energy products",$E$2:$E$618,"Supply",$G$2:$G$618,"&lt;&gt;STAT")-SUMIFS($K$2:$K$618,$B$2:$B$618,$B85,$C$2:$C$618,$C85,$D$2:$D$618,"Energy products",$E$2:$E$618,"Use",$G$2:$G$618,"&lt;&gt;STAT"),10),IF($J85="cambio de signo",-INDEX(DATOS_MODELO!$U$2:$U$3672,MATCH($H85,DATOS_MODELO!$B$2:$B$3672,0)),IF($J85="valor absoluto",ABS(INDEX(DATOS_MODELO!$U$2:$U$3672,MATCH($H85,DATOS_MODELO!$B$2:$B$3672,0))),INDEX(DATOS_MODELO!$U$2:$U$3672,MATCH($H85,DATOS_MODELO!$B$2:$B$3672,0))))))</f>
        <v>0.0581</v>
      </c>
      <c r="L85" s="8" t="str">
        <f aca="false">IF(LEFT($H85,5)&lt;&gt;"STAT_","",IF(ABS($K85)&lt;=COUNTIFS($B$2:$B$618,$B85,$C$2:$C$618,$C85,$D$2:$D$618,"Energy products",$G$2:$G$618,"&lt;&gt;STAT")*PARAMETROS!$B$6,"redondeo","residuo_estadistico"))</f>
        <v>redondeo</v>
      </c>
      <c r="M85" s="8" t="str">
        <f>IF(OR($I85="USO_NO_ENERGETICO_APARENTE",$I85="USO_ENERGETICO_INTERNO_APARENTE"),"CAL",IF(LEFT($H85,5)="STAT_","FORMULA",IF(COUNTIF(DATOS_MODELO!$B$2:$B$3672,$H85)=1,"OK","REVISAR")))</f>
        <v>FORMULA</v>
      </c>
    </row>
    <row r="86" customFormat="false" ht="23.85" hidden="false" customHeight="false" outlineLevel="0" collapsed="false">
      <c r="A86" s="4" t="s">
        <v>2222</v>
      </c>
      <c r="B86" s="12" t="n">
        <v>2024</v>
      </c>
      <c r="C86" s="4" t="s">
        <v>103</v>
      </c>
      <c r="D86" s="4" t="s">
        <v>1993</v>
      </c>
      <c r="E86" s="4" t="s">
        <v>2001</v>
      </c>
      <c r="F86" s="4" t="s">
        <v>2218</v>
      </c>
      <c r="G86" s="4" t="s">
        <v>44</v>
      </c>
      <c r="H86" s="4" t="s">
        <v>2224</v>
      </c>
      <c r="I86" s="4" t="s">
        <v>2219</v>
      </c>
      <c r="J86" s="4" t="s">
        <v>2220</v>
      </c>
      <c r="K86" s="14">
        <f>IF(OR($I86="USO_NO_ENERGETICO_APARENTE",$I86="USO_ENERGETICO_INTERNO_APARENTE"),ROUND(SUMIFS($K$2:$K$618,$B$2:$B$618,$B86,$C$2:$C$618,$C86,$D$2:$D$618,"Energy products",$E$2:$E$618,"Supply",$G$2:$G$618,"&lt;&gt;STAT")-SUMIFS($K$2:$K$618,$B$2:$B$618,$B86,$C$2:$C$618,$C86,$D$2:$D$618,"Energy products",$E$2:$E$618,"Use",$G$2:$G$618,"&lt;&gt;STAT",$I$2:$I$618,"&lt;&gt;USO_NO_ENERGETICO_APARENTE",$I$2:$I$618,"&lt;&gt;USO_ENERGETICO_INTERNO_APARENTE"),10),IF(LEFT($H86,5)="STAT_",ROUND(SUMIFS($K$2:$K$618,$B$2:$B$618,$B86,$C$2:$C$618,$C86,$D$2:$D$618,"Energy products",$E$2:$E$618,"Supply",$G$2:$G$618,"&lt;&gt;STAT")-SUMIFS($K$2:$K$618,$B$2:$B$618,$B86,$C$2:$C$618,$C86,$D$2:$D$618,"Energy products",$E$2:$E$618,"Use",$G$2:$G$618,"&lt;&gt;STAT"),10),IF($J86="cambio de signo",-INDEX(DATOS_MODELO!$U$2:$U$3672,MATCH($H86,DATOS_MODELO!$B$2:$B$3672,0)),IF($J86="valor absoluto",ABS(INDEX(DATOS_MODELO!$U$2:$U$3672,MATCH($H86,DATOS_MODELO!$B$2:$B$3672,0))),INDEX(DATOS_MODELO!$U$2:$U$3672,MATCH($H86,DATOS_MODELO!$B$2:$B$3672,0))))))</f>
        <v>0.0581</v>
      </c>
      <c r="L86" s="8" t="str">
        <f aca="false">IF(LEFT($H86,5)&lt;&gt;"STAT_","",IF(ABS($K86)&lt;=COUNTIFS($B$2:$B$618,$B86,$C$2:$C$618,$C86,$D$2:$D$618,"Energy products",$G$2:$G$618,"&lt;&gt;STAT")*PARAMETROS!$B$6,"redondeo","residuo_estadistico"))</f>
        <v>redondeo</v>
      </c>
      <c r="M86" s="8" t="str">
        <f>IF(OR($I86="USO_NO_ENERGETICO_APARENTE",$I86="USO_ENERGETICO_INTERNO_APARENTE"),"CAL",IF(LEFT($H86,5)="STAT_","FORMULA",IF(COUNTIF(DATOS_MODELO!$B$2:$B$3672,$H86)=1,"OK","REVISAR")))</f>
        <v>FORMULA</v>
      </c>
    </row>
    <row r="87" customFormat="false" ht="23.85" hidden="false" customHeight="false" outlineLevel="0" collapsed="false">
      <c r="A87" s="4" t="s">
        <v>2225</v>
      </c>
      <c r="B87" s="12" t="n">
        <v>2024</v>
      </c>
      <c r="C87" s="4" t="s">
        <v>111</v>
      </c>
      <c r="D87" s="4" t="s">
        <v>1993</v>
      </c>
      <c r="E87" s="4" t="s">
        <v>2001</v>
      </c>
      <c r="F87" s="4" t="s">
        <v>2002</v>
      </c>
      <c r="G87" s="4" t="s">
        <v>41</v>
      </c>
      <c r="H87" s="4" t="s">
        <v>2227</v>
      </c>
      <c r="I87" s="4" t="s">
        <v>2228</v>
      </c>
      <c r="J87" s="4" t="s">
        <v>1997</v>
      </c>
      <c r="K87" s="14">
        <f>IF(OR($I87="USO_NO_ENERGETICO_APARENTE",$I87="USO_ENERGETICO_INTERNO_APARENTE"),ROUND(SUMIFS($K$2:$K$618,$B$2:$B$618,$B87,$C$2:$C$618,$C87,$D$2:$D$618,"Energy products",$E$2:$E$618,"Supply",$G$2:$G$618,"&lt;&gt;STAT")-SUMIFS($K$2:$K$618,$B$2:$B$618,$B87,$C$2:$C$618,$C87,$D$2:$D$618,"Energy products",$E$2:$E$618,"Use",$G$2:$G$618,"&lt;&gt;STAT",$I$2:$I$618,"&lt;&gt;USO_NO_ENERGETICO_APARENTE",$I$2:$I$618,"&lt;&gt;USO_ENERGETICO_INTERNO_APARENTE"),10),IF(LEFT($H87,5)="STAT_",ROUND(SUMIFS($K$2:$K$618,$B$2:$B$618,$B87,$C$2:$C$618,$C87,$D$2:$D$618,"Energy products",$E$2:$E$618,"Supply",$G$2:$G$618,"&lt;&gt;STAT")-SUMIFS($K$2:$K$618,$B$2:$B$618,$B87,$C$2:$C$618,$C87,$D$2:$D$618,"Energy products",$E$2:$E$618,"Use",$G$2:$G$618,"&lt;&gt;STAT"),10),IF($J87="cambio de signo",-INDEX(DATOS_MODELO!$U$2:$U$3672,MATCH($H87,DATOS_MODELO!$B$2:$B$3672,0)),IF($J87="valor absoluto",ABS(INDEX(DATOS_MODELO!$U$2:$U$3672,MATCH($H87,DATOS_MODELO!$B$2:$B$3672,0))),INDEX(DATOS_MODELO!$U$2:$U$3672,MATCH($H87,DATOS_MODELO!$B$2:$B$3672,0))))))</f>
        <v>1217.0207</v>
      </c>
      <c r="L87" s="8" t="str">
        <f aca="false">IF(LEFT($H87,5)&lt;&gt;"STAT_","",IF(ABS($K87)&lt;=COUNTIFS($B$2:$B$618,$B87,$C$2:$C$618,$C87,$D$2:$D$618,"Energy products",$G$2:$G$618,"&lt;&gt;STAT")*PARAMETROS!$B$6,"redondeo","residuo_estadistico"))</f>
        <v/>
      </c>
      <c r="M87" s="8" t="str">
        <f>IF(OR($I87="USO_NO_ENERGETICO_APARENTE",$I87="USO_ENERGETICO_INTERNO_APARENTE"),"CAL",IF(LEFT($H87,5)="STAT_","FORMULA",IF(COUNTIF(DATOS_MODELO!$B$2:$B$3672,$H87)=1,"OK","REVISAR")))</f>
        <v>CAL</v>
      </c>
    </row>
    <row r="88" customFormat="false" ht="15" hidden="false" customHeight="false" outlineLevel="0" collapsed="false">
      <c r="A88" s="4" t="s">
        <v>2230</v>
      </c>
      <c r="B88" s="12" t="n">
        <v>2023</v>
      </c>
      <c r="C88" s="4" t="s">
        <v>91</v>
      </c>
      <c r="D88" s="4" t="s">
        <v>1993</v>
      </c>
      <c r="E88" s="4" t="s">
        <v>1994</v>
      </c>
      <c r="F88" s="4" t="s">
        <v>1995</v>
      </c>
      <c r="G88" s="4" t="s">
        <v>68</v>
      </c>
      <c r="H88" s="4" t="s">
        <v>1425</v>
      </c>
      <c r="I88" s="4" t="s">
        <v>1996</v>
      </c>
      <c r="J88" s="4" t="s">
        <v>1997</v>
      </c>
      <c r="K88" s="14">
        <f>IF(OR($I88="USO_NO_ENERGETICO_APARENTE",$I88="USO_ENERGETICO_INTERNO_APARENTE"),ROUND(SUMIFS($K$2:$K$618,$B$2:$B$618,$B88,$C$2:$C$618,$C88,$D$2:$D$618,"Energy products",$E$2:$E$618,"Supply",$G$2:$G$618,"&lt;&gt;STAT")-SUMIFS($K$2:$K$618,$B$2:$B$618,$B88,$C$2:$C$618,$C88,$D$2:$D$618,"Energy products",$E$2:$E$618,"Use",$G$2:$G$618,"&lt;&gt;STAT",$I$2:$I$618,"&lt;&gt;USO_NO_ENERGETICO_APARENTE",$I$2:$I$618,"&lt;&gt;USO_ENERGETICO_INTERNO_APARENTE"),10),IF(LEFT($H88,5)="STAT_",ROUND(SUMIFS($K$2:$K$618,$B$2:$B$618,$B88,$C$2:$C$618,$C88,$D$2:$D$618,"Energy products",$E$2:$E$618,"Supply",$G$2:$G$618,"&lt;&gt;STAT")-SUMIFS($K$2:$K$618,$B$2:$B$618,$B88,$C$2:$C$618,$C88,$D$2:$D$618,"Energy products",$E$2:$E$618,"Use",$G$2:$G$618,"&lt;&gt;STAT"),10),IF($J88="cambio de signo",-INDEX(DATOS_MODELO!$U$2:$U$3672,MATCH($H88,DATOS_MODELO!$B$2:$B$3672,0)),IF($J88="valor absoluto",ABS(INDEX(DATOS_MODELO!$U$2:$U$3672,MATCH($H88,DATOS_MODELO!$B$2:$B$3672,0))),INDEX(DATOS_MODELO!$U$2:$U$3672,MATCH($H88,DATOS_MODELO!$B$2:$B$3672,0))))))</f>
        <v>89068.5201</v>
      </c>
      <c r="L88" s="8" t="str">
        <f aca="false">IF(LEFT($H88,5)&lt;&gt;"STAT_","",IF(ABS($K88)&lt;=COUNTIFS($B$2:$B$618,$B88,$C$2:$C$618,$C88,$D$2:$D$618,"Energy products",$G$2:$G$618,"&lt;&gt;STAT")*PARAMETROS!$B$6,"redondeo","residuo_estadistico"))</f>
        <v/>
      </c>
      <c r="M88" s="8" t="str">
        <f>IF(OR($I88="USO_NO_ENERGETICO_APARENTE",$I88="USO_ENERGETICO_INTERNO_APARENTE"),"CAL",IF(LEFT($H88,5)="STAT_","FORMULA",IF(COUNTIF(DATOS_MODELO!$B$2:$B$3672,$H88)=1,"OK","REVISAR")))</f>
        <v>OK</v>
      </c>
    </row>
    <row r="89" customFormat="false" ht="15" hidden="false" customHeight="false" outlineLevel="0" collapsed="false">
      <c r="A89" s="4" t="s">
        <v>2232</v>
      </c>
      <c r="B89" s="12" t="n">
        <v>2023</v>
      </c>
      <c r="C89" s="4" t="s">
        <v>91</v>
      </c>
      <c r="D89" s="4" t="s">
        <v>1993</v>
      </c>
      <c r="E89" s="4" t="s">
        <v>2001</v>
      </c>
      <c r="F89" s="4" t="s">
        <v>2002</v>
      </c>
      <c r="G89" s="4" t="s">
        <v>67</v>
      </c>
      <c r="H89" s="4" t="s">
        <v>1430</v>
      </c>
      <c r="I89" s="4" t="s">
        <v>2003</v>
      </c>
      <c r="J89" s="4" t="s">
        <v>2004</v>
      </c>
      <c r="K89" s="14">
        <f>IF(OR($I89="USO_NO_ENERGETICO_APARENTE",$I89="USO_ENERGETICO_INTERNO_APARENTE"),ROUND(SUMIFS($K$2:$K$618,$B$2:$B$618,$B89,$C$2:$C$618,$C89,$D$2:$D$618,"Energy products",$E$2:$E$618,"Supply",$G$2:$G$618,"&lt;&gt;STAT")-SUMIFS($K$2:$K$618,$B$2:$B$618,$B89,$C$2:$C$618,$C89,$D$2:$D$618,"Energy products",$E$2:$E$618,"Use",$G$2:$G$618,"&lt;&gt;STAT",$I$2:$I$618,"&lt;&gt;USO_NO_ENERGETICO_APARENTE",$I$2:$I$618,"&lt;&gt;USO_ENERGETICO_INTERNO_APARENTE"),10),IF(LEFT($H89,5)="STAT_",ROUND(SUMIFS($K$2:$K$618,$B$2:$B$618,$B89,$C$2:$C$618,$C89,$D$2:$D$618,"Energy products",$E$2:$E$618,"Supply",$G$2:$G$618,"&lt;&gt;STAT")-SUMIFS($K$2:$K$618,$B$2:$B$618,$B89,$C$2:$C$618,$C89,$D$2:$D$618,"Energy products",$E$2:$E$618,"Use",$G$2:$G$618,"&lt;&gt;STAT"),10),IF($J89="cambio de signo",-INDEX(DATOS_MODELO!$U$2:$U$3672,MATCH($H89,DATOS_MODELO!$B$2:$B$3672,0)),IF($J89="valor absoluto",ABS(INDEX(DATOS_MODELO!$U$2:$U$3672,MATCH($H89,DATOS_MODELO!$B$2:$B$3672,0))),INDEX(DATOS_MODELO!$U$2:$U$3672,MATCH($H89,DATOS_MODELO!$B$2:$B$3672,0))))))</f>
        <v>58056.7155</v>
      </c>
      <c r="L89" s="8" t="str">
        <f aca="false">IF(LEFT($H89,5)&lt;&gt;"STAT_","",IF(ABS($K89)&lt;=COUNTIFS($B$2:$B$618,$B89,$C$2:$C$618,$C89,$D$2:$D$618,"Energy products",$G$2:$G$618,"&lt;&gt;STAT")*PARAMETROS!$B$6,"redondeo","residuo_estadistico"))</f>
        <v/>
      </c>
      <c r="M89" s="8" t="str">
        <f>IF(OR($I89="USO_NO_ENERGETICO_APARENTE",$I89="USO_ENERGETICO_INTERNO_APARENTE"),"CAL",IF(LEFT($H89,5)="STAT_","FORMULA",IF(COUNTIF(DATOS_MODELO!$B$2:$B$3672,$H89)=1,"OK","REVISAR")))</f>
        <v>OK</v>
      </c>
    </row>
    <row r="90" customFormat="false" ht="15" hidden="false" customHeight="false" outlineLevel="0" collapsed="false">
      <c r="A90" s="4" t="s">
        <v>2234</v>
      </c>
      <c r="B90" s="12" t="n">
        <v>2023</v>
      </c>
      <c r="C90" s="4" t="s">
        <v>91</v>
      </c>
      <c r="D90" s="4" t="s">
        <v>1993</v>
      </c>
      <c r="E90" s="4" t="s">
        <v>2001</v>
      </c>
      <c r="F90" s="4" t="s">
        <v>2002</v>
      </c>
      <c r="G90" s="4" t="s">
        <v>67</v>
      </c>
      <c r="H90" s="4" t="s">
        <v>1431</v>
      </c>
      <c r="I90" s="4" t="s">
        <v>2008</v>
      </c>
      <c r="J90" s="4" t="s">
        <v>2004</v>
      </c>
      <c r="K90" s="14">
        <f>IF(OR($I90="USO_NO_ENERGETICO_APARENTE",$I90="USO_ENERGETICO_INTERNO_APARENTE"),ROUND(SUMIFS($K$2:$K$618,$B$2:$B$618,$B90,$C$2:$C$618,$C90,$D$2:$D$618,"Energy products",$E$2:$E$618,"Supply",$G$2:$G$618,"&lt;&gt;STAT")-SUMIFS($K$2:$K$618,$B$2:$B$618,$B90,$C$2:$C$618,$C90,$D$2:$D$618,"Energy products",$E$2:$E$618,"Use",$G$2:$G$618,"&lt;&gt;STAT",$I$2:$I$618,"&lt;&gt;USO_NO_ENERGETICO_APARENTE",$I$2:$I$618,"&lt;&gt;USO_ENERGETICO_INTERNO_APARENTE"),10),IF(LEFT($H90,5)="STAT_",ROUND(SUMIFS($K$2:$K$618,$B$2:$B$618,$B90,$C$2:$C$618,$C90,$D$2:$D$618,"Energy products",$E$2:$E$618,"Supply",$G$2:$G$618,"&lt;&gt;STAT")-SUMIFS($K$2:$K$618,$B$2:$B$618,$B90,$C$2:$C$618,$C90,$D$2:$D$618,"Energy products",$E$2:$E$618,"Use",$G$2:$G$618,"&lt;&gt;STAT"),10),IF($J90="cambio de signo",-INDEX(DATOS_MODELO!$U$2:$U$3672,MATCH($H90,DATOS_MODELO!$B$2:$B$3672,0)),IF($J90="valor absoluto",ABS(INDEX(DATOS_MODELO!$U$2:$U$3672,MATCH($H90,DATOS_MODELO!$B$2:$B$3672,0))),INDEX(DATOS_MODELO!$U$2:$U$3672,MATCH($H90,DATOS_MODELO!$B$2:$B$3672,0))))))</f>
        <v>31011.8046</v>
      </c>
      <c r="L90" s="8" t="str">
        <f aca="false">IF(LEFT($H90,5)&lt;&gt;"STAT_","",IF(ABS($K90)&lt;=COUNTIFS($B$2:$B$618,$B90,$C$2:$C$618,$C90,$D$2:$D$618,"Energy products",$G$2:$G$618,"&lt;&gt;STAT")*PARAMETROS!$B$6,"redondeo","residuo_estadistico"))</f>
        <v/>
      </c>
      <c r="M90" s="8" t="str">
        <f>IF(OR($I90="USO_NO_ENERGETICO_APARENTE",$I90="USO_ENERGETICO_INTERNO_APARENTE"),"CAL",IF(LEFT($H90,5)="STAT_","FORMULA",IF(COUNTIF(DATOS_MODELO!$B$2:$B$3672,$H90)=1,"OK","REVISAR")))</f>
        <v>OK</v>
      </c>
    </row>
    <row r="91" customFormat="false" ht="15" hidden="false" customHeight="false" outlineLevel="0" collapsed="false">
      <c r="A91" s="4" t="s">
        <v>2236</v>
      </c>
      <c r="B91" s="12" t="n">
        <v>2023</v>
      </c>
      <c r="C91" s="4" t="s">
        <v>93</v>
      </c>
      <c r="D91" s="4" t="s">
        <v>1993</v>
      </c>
      <c r="E91" s="4" t="s">
        <v>1994</v>
      </c>
      <c r="F91" s="4" t="s">
        <v>1995</v>
      </c>
      <c r="G91" s="4" t="s">
        <v>67</v>
      </c>
      <c r="H91" s="4" t="s">
        <v>1439</v>
      </c>
      <c r="I91" s="4" t="s">
        <v>2012</v>
      </c>
      <c r="J91" s="4" t="s">
        <v>1997</v>
      </c>
      <c r="K91" s="14">
        <f>IF(OR($I91="USO_NO_ENERGETICO_APARENTE",$I91="USO_ENERGETICO_INTERNO_APARENTE"),ROUND(SUMIFS($K$2:$K$618,$B$2:$B$618,$B91,$C$2:$C$618,$C91,$D$2:$D$618,"Energy products",$E$2:$E$618,"Supply",$G$2:$G$618,"&lt;&gt;STAT")-SUMIFS($K$2:$K$618,$B$2:$B$618,$B91,$C$2:$C$618,$C91,$D$2:$D$618,"Energy products",$E$2:$E$618,"Use",$G$2:$G$618,"&lt;&gt;STAT",$I$2:$I$618,"&lt;&gt;USO_NO_ENERGETICO_APARENTE",$I$2:$I$618,"&lt;&gt;USO_ENERGETICO_INTERNO_APARENTE"),10),IF(LEFT($H91,5)="STAT_",ROUND(SUMIFS($K$2:$K$618,$B$2:$B$618,$B91,$C$2:$C$618,$C91,$D$2:$D$618,"Energy products",$E$2:$E$618,"Supply",$G$2:$G$618,"&lt;&gt;STAT")-SUMIFS($K$2:$K$618,$B$2:$B$618,$B91,$C$2:$C$618,$C91,$D$2:$D$618,"Energy products",$E$2:$E$618,"Use",$G$2:$G$618,"&lt;&gt;STAT"),10),IF($J91="cambio de signo",-INDEX(DATOS_MODELO!$U$2:$U$3672,MATCH($H91,DATOS_MODELO!$B$2:$B$3672,0)),IF($J91="valor absoluto",ABS(INDEX(DATOS_MODELO!$U$2:$U$3672,MATCH($H91,DATOS_MODELO!$B$2:$B$3672,0))),INDEX(DATOS_MODELO!$U$2:$U$3672,MATCH($H91,DATOS_MODELO!$B$2:$B$3672,0))))))</f>
        <v>362.4278</v>
      </c>
      <c r="L91" s="8" t="str">
        <f aca="false">IF(LEFT($H91,5)&lt;&gt;"STAT_","",IF(ABS($K91)&lt;=COUNTIFS($B$2:$B$618,$B91,$C$2:$C$618,$C91,$D$2:$D$618,"Energy products",$G$2:$G$618,"&lt;&gt;STAT")*PARAMETROS!$B$6,"redondeo","residuo_estadistico"))</f>
        <v/>
      </c>
      <c r="M91" s="8" t="str">
        <f>IF(OR($I91="USO_NO_ENERGETICO_APARENTE",$I91="USO_ENERGETICO_INTERNO_APARENTE"),"CAL",IF(LEFT($H91,5)="STAT_","FORMULA",IF(COUNTIF(DATOS_MODELO!$B$2:$B$3672,$H91)=1,"OK","REVISAR")))</f>
        <v>OK</v>
      </c>
    </row>
    <row r="92" customFormat="false" ht="15" hidden="false" customHeight="false" outlineLevel="0" collapsed="false">
      <c r="A92" s="4" t="s">
        <v>2238</v>
      </c>
      <c r="B92" s="12" t="n">
        <v>2023</v>
      </c>
      <c r="C92" s="4" t="s">
        <v>93</v>
      </c>
      <c r="D92" s="4" t="s">
        <v>1993</v>
      </c>
      <c r="E92" s="4" t="s">
        <v>2001</v>
      </c>
      <c r="F92" s="4" t="s">
        <v>2002</v>
      </c>
      <c r="G92" s="4" t="s">
        <v>67</v>
      </c>
      <c r="H92" s="4" t="s">
        <v>1444</v>
      </c>
      <c r="I92" s="4" t="s">
        <v>2003</v>
      </c>
      <c r="J92" s="4" t="s">
        <v>2004</v>
      </c>
      <c r="K92" s="14">
        <f>IF(OR($I92="USO_NO_ENERGETICO_APARENTE",$I92="USO_ENERGETICO_INTERNO_APARENTE"),ROUND(SUMIFS($K$2:$K$618,$B$2:$B$618,$B92,$C$2:$C$618,$C92,$D$2:$D$618,"Energy products",$E$2:$E$618,"Supply",$G$2:$G$618,"&lt;&gt;STAT")-SUMIFS($K$2:$K$618,$B$2:$B$618,$B92,$C$2:$C$618,$C92,$D$2:$D$618,"Energy products",$E$2:$E$618,"Use",$G$2:$G$618,"&lt;&gt;STAT",$I$2:$I$618,"&lt;&gt;USO_NO_ENERGETICO_APARENTE",$I$2:$I$618,"&lt;&gt;USO_ENERGETICO_INTERNO_APARENTE"),10),IF(LEFT($H92,5)="STAT_",ROUND(SUMIFS($K$2:$K$618,$B$2:$B$618,$B92,$C$2:$C$618,$C92,$D$2:$D$618,"Energy products",$E$2:$E$618,"Supply",$G$2:$G$618,"&lt;&gt;STAT")-SUMIFS($K$2:$K$618,$B$2:$B$618,$B92,$C$2:$C$618,$C92,$D$2:$D$618,"Energy products",$E$2:$E$618,"Use",$G$2:$G$618,"&lt;&gt;STAT"),10),IF($J92="cambio de signo",-INDEX(DATOS_MODELO!$U$2:$U$3672,MATCH($H92,DATOS_MODELO!$B$2:$B$3672,0)),IF($J92="valor absoluto",ABS(INDEX(DATOS_MODELO!$U$2:$U$3672,MATCH($H92,DATOS_MODELO!$B$2:$B$3672,0))),INDEX(DATOS_MODELO!$U$2:$U$3672,MATCH($H92,DATOS_MODELO!$B$2:$B$3672,0))))))</f>
        <v>362.4278</v>
      </c>
      <c r="L92" s="8" t="str">
        <f aca="false">IF(LEFT($H92,5)&lt;&gt;"STAT_","",IF(ABS($K92)&lt;=COUNTIFS($B$2:$B$618,$B92,$C$2:$C$618,$C92,$D$2:$D$618,"Energy products",$G$2:$G$618,"&lt;&gt;STAT")*PARAMETROS!$B$6,"redondeo","residuo_estadistico"))</f>
        <v/>
      </c>
      <c r="M92" s="8" t="str">
        <f>IF(OR($I92="USO_NO_ENERGETICO_APARENTE",$I92="USO_ENERGETICO_INTERNO_APARENTE"),"CAL",IF(LEFT($H92,5)="STAT_","FORMULA",IF(COUNTIF(DATOS_MODELO!$B$2:$B$3672,$H92)=1,"OK","REVISAR")))</f>
        <v>OK</v>
      </c>
    </row>
    <row r="93" customFormat="false" ht="15" hidden="false" customHeight="false" outlineLevel="0" collapsed="false">
      <c r="A93" s="4" t="s">
        <v>2240</v>
      </c>
      <c r="B93" s="12" t="n">
        <v>2023</v>
      </c>
      <c r="C93" s="4" t="s">
        <v>76</v>
      </c>
      <c r="D93" s="4" t="s">
        <v>2018</v>
      </c>
      <c r="E93" s="4" t="s">
        <v>1994</v>
      </c>
      <c r="F93" s="4" t="s">
        <v>65</v>
      </c>
      <c r="G93" s="4" t="s">
        <v>64</v>
      </c>
      <c r="H93" s="4" t="s">
        <v>1453</v>
      </c>
      <c r="I93" s="4" t="s">
        <v>2019</v>
      </c>
      <c r="J93" s="4" t="s">
        <v>1997</v>
      </c>
      <c r="K93" s="14">
        <f>IF(OR($I93="USO_NO_ENERGETICO_APARENTE",$I93="USO_ENERGETICO_INTERNO_APARENTE"),ROUND(SUMIFS($K$2:$K$618,$B$2:$B$618,$B93,$C$2:$C$618,$C93,$D$2:$D$618,"Energy products",$E$2:$E$618,"Supply",$G$2:$G$618,"&lt;&gt;STAT")-SUMIFS($K$2:$K$618,$B$2:$B$618,$B93,$C$2:$C$618,$C93,$D$2:$D$618,"Energy products",$E$2:$E$618,"Use",$G$2:$G$618,"&lt;&gt;STAT",$I$2:$I$618,"&lt;&gt;USO_NO_ENERGETICO_APARENTE",$I$2:$I$618,"&lt;&gt;USO_ENERGETICO_INTERNO_APARENTE"),10),IF(LEFT($H93,5)="STAT_",ROUND(SUMIFS($K$2:$K$618,$B$2:$B$618,$B93,$C$2:$C$618,$C93,$D$2:$D$618,"Energy products",$E$2:$E$618,"Supply",$G$2:$G$618,"&lt;&gt;STAT")-SUMIFS($K$2:$K$618,$B$2:$B$618,$B93,$C$2:$C$618,$C93,$D$2:$D$618,"Energy products",$E$2:$E$618,"Use",$G$2:$G$618,"&lt;&gt;STAT"),10),IF($J93="cambio de signo",-INDEX(DATOS_MODELO!$U$2:$U$3672,MATCH($H93,DATOS_MODELO!$B$2:$B$3672,0)),IF($J93="valor absoluto",ABS(INDEX(DATOS_MODELO!$U$2:$U$3672,MATCH($H93,DATOS_MODELO!$B$2:$B$3672,0))),INDEX(DATOS_MODELO!$U$2:$U$3672,MATCH($H93,DATOS_MODELO!$B$2:$B$3672,0))))))</f>
        <v>0.0</v>
      </c>
      <c r="L93" s="8" t="str">
        <f aca="false">IF(LEFT($H93,5)&lt;&gt;"STAT_","",IF(ABS($K93)&lt;=COUNTIFS($B$2:$B$618,$B93,$C$2:$C$618,$C93,$D$2:$D$618,"Energy products",$G$2:$G$618,"&lt;&gt;STAT")*PARAMETROS!$B$6,"redondeo","residuo_estadistico"))</f>
        <v/>
      </c>
      <c r="M93" s="8" t="str">
        <f>IF(OR($I93="USO_NO_ENERGETICO_APARENTE",$I93="USO_ENERGETICO_INTERNO_APARENTE"),"CAL",IF(LEFT($H93,5)="STAT_","FORMULA",IF(COUNTIF(DATOS_MODELO!$B$2:$B$3672,$H93)=1,"OK","REVISAR")))</f>
        <v>OK</v>
      </c>
    </row>
    <row r="94" customFormat="false" ht="15" hidden="false" customHeight="false" outlineLevel="0" collapsed="false">
      <c r="A94" s="4" t="s">
        <v>2242</v>
      </c>
      <c r="B94" s="12" t="n">
        <v>2023</v>
      </c>
      <c r="C94" s="4" t="s">
        <v>76</v>
      </c>
      <c r="D94" s="4" t="s">
        <v>2018</v>
      </c>
      <c r="E94" s="4" t="s">
        <v>2001</v>
      </c>
      <c r="F94" s="4" t="s">
        <v>66</v>
      </c>
      <c r="G94" s="4" t="s">
        <v>66</v>
      </c>
      <c r="H94" s="4" t="s">
        <v>1453</v>
      </c>
      <c r="I94" s="4" t="s">
        <v>2019</v>
      </c>
      <c r="J94" s="4" t="s">
        <v>1997</v>
      </c>
      <c r="K94" s="14">
        <f>IF(OR($I94="USO_NO_ENERGETICO_APARENTE",$I94="USO_ENERGETICO_INTERNO_APARENTE"),ROUND(SUMIFS($K$2:$K$618,$B$2:$B$618,$B94,$C$2:$C$618,$C94,$D$2:$D$618,"Energy products",$E$2:$E$618,"Supply",$G$2:$G$618,"&lt;&gt;STAT")-SUMIFS($K$2:$K$618,$B$2:$B$618,$B94,$C$2:$C$618,$C94,$D$2:$D$618,"Energy products",$E$2:$E$618,"Use",$G$2:$G$618,"&lt;&gt;STAT",$I$2:$I$618,"&lt;&gt;USO_NO_ENERGETICO_APARENTE",$I$2:$I$618,"&lt;&gt;USO_ENERGETICO_INTERNO_APARENTE"),10),IF(LEFT($H94,5)="STAT_",ROUND(SUMIFS($K$2:$K$618,$B$2:$B$618,$B94,$C$2:$C$618,$C94,$D$2:$D$618,"Energy products",$E$2:$E$618,"Supply",$G$2:$G$618,"&lt;&gt;STAT")-SUMIFS($K$2:$K$618,$B$2:$B$618,$B94,$C$2:$C$618,$C94,$D$2:$D$618,"Energy products",$E$2:$E$618,"Use",$G$2:$G$618,"&lt;&gt;STAT"),10),IF($J94="cambio de signo",-INDEX(DATOS_MODELO!$U$2:$U$3672,MATCH($H94,DATOS_MODELO!$B$2:$B$3672,0)),IF($J94="valor absoluto",ABS(INDEX(DATOS_MODELO!$U$2:$U$3672,MATCH($H94,DATOS_MODELO!$B$2:$B$3672,0))),INDEX(DATOS_MODELO!$U$2:$U$3672,MATCH($H94,DATOS_MODELO!$B$2:$B$3672,0))))))</f>
        <v>0.0</v>
      </c>
      <c r="L94" s="8" t="str">
        <f aca="false">IF(LEFT($H94,5)&lt;&gt;"STAT_","",IF(ABS($K94)&lt;=COUNTIFS($B$2:$B$618,$B94,$C$2:$C$618,$C94,$D$2:$D$618,"Energy products",$G$2:$G$618,"&lt;&gt;STAT")*PARAMETROS!$B$6,"redondeo","residuo_estadistico"))</f>
        <v/>
      </c>
      <c r="M94" s="8" t="str">
        <f>IF(OR($I94="USO_NO_ENERGETICO_APARENTE",$I94="USO_ENERGETICO_INTERNO_APARENTE"),"CAL",IF(LEFT($H94,5)="STAT_","FORMULA",IF(COUNTIF(DATOS_MODELO!$B$2:$B$3672,$H94)=1,"OK","REVISAR")))</f>
        <v>OK</v>
      </c>
    </row>
    <row r="95" customFormat="false" ht="15" hidden="false" customHeight="false" outlineLevel="0" collapsed="false">
      <c r="A95" s="4" t="s">
        <v>2244</v>
      </c>
      <c r="B95" s="12" t="n">
        <v>2023</v>
      </c>
      <c r="C95" s="4" t="s">
        <v>76</v>
      </c>
      <c r="D95" s="4" t="s">
        <v>1993</v>
      </c>
      <c r="E95" s="4" t="s">
        <v>1994</v>
      </c>
      <c r="F95" s="4" t="s">
        <v>1995</v>
      </c>
      <c r="G95" s="4" t="s">
        <v>66</v>
      </c>
      <c r="H95" s="4" t="s">
        <v>1453</v>
      </c>
      <c r="I95" s="4" t="s">
        <v>2019</v>
      </c>
      <c r="J95" s="4" t="s">
        <v>1997</v>
      </c>
      <c r="K95" s="14">
        <f>IF(OR($I95="USO_NO_ENERGETICO_APARENTE",$I95="USO_ENERGETICO_INTERNO_APARENTE"),ROUND(SUMIFS($K$2:$K$618,$B$2:$B$618,$B95,$C$2:$C$618,$C95,$D$2:$D$618,"Energy products",$E$2:$E$618,"Supply",$G$2:$G$618,"&lt;&gt;STAT")-SUMIFS($K$2:$K$618,$B$2:$B$618,$B95,$C$2:$C$618,$C95,$D$2:$D$618,"Energy products",$E$2:$E$618,"Use",$G$2:$G$618,"&lt;&gt;STAT",$I$2:$I$618,"&lt;&gt;USO_NO_ENERGETICO_APARENTE",$I$2:$I$618,"&lt;&gt;USO_ENERGETICO_INTERNO_APARENTE"),10),IF(LEFT($H95,5)="STAT_",ROUND(SUMIFS($K$2:$K$618,$B$2:$B$618,$B95,$C$2:$C$618,$C95,$D$2:$D$618,"Energy products",$E$2:$E$618,"Supply",$G$2:$G$618,"&lt;&gt;STAT")-SUMIFS($K$2:$K$618,$B$2:$B$618,$B95,$C$2:$C$618,$C95,$D$2:$D$618,"Energy products",$E$2:$E$618,"Use",$G$2:$G$618,"&lt;&gt;STAT"),10),IF($J95="cambio de signo",-INDEX(DATOS_MODELO!$U$2:$U$3672,MATCH($H95,DATOS_MODELO!$B$2:$B$3672,0)),IF($J95="valor absoluto",ABS(INDEX(DATOS_MODELO!$U$2:$U$3672,MATCH($H95,DATOS_MODELO!$B$2:$B$3672,0))),INDEX(DATOS_MODELO!$U$2:$U$3672,MATCH($H95,DATOS_MODELO!$B$2:$B$3672,0))))))</f>
        <v>0.0</v>
      </c>
      <c r="L95" s="8" t="str">
        <f aca="false">IF(LEFT($H95,5)&lt;&gt;"STAT_","",IF(ABS($K95)&lt;=COUNTIFS($B$2:$B$618,$B95,$C$2:$C$618,$C95,$D$2:$D$618,"Energy products",$G$2:$G$618,"&lt;&gt;STAT")*PARAMETROS!$B$6,"redondeo","residuo_estadistico"))</f>
        <v/>
      </c>
      <c r="M95" s="8" t="str">
        <f>IF(OR($I95="USO_NO_ENERGETICO_APARENTE",$I95="USO_ENERGETICO_INTERNO_APARENTE"),"CAL",IF(LEFT($H95,5)="STAT_","FORMULA",IF(COUNTIF(DATOS_MODELO!$B$2:$B$3672,$H95)=1,"OK","REVISAR")))</f>
        <v>OK</v>
      </c>
    </row>
    <row r="96" customFormat="false" ht="15" hidden="false" customHeight="false" outlineLevel="0" collapsed="false">
      <c r="A96" s="4" t="s">
        <v>2246</v>
      </c>
      <c r="B96" s="12" t="n">
        <v>2023</v>
      </c>
      <c r="C96" s="4" t="s">
        <v>76</v>
      </c>
      <c r="D96" s="4" t="s">
        <v>1993</v>
      </c>
      <c r="E96" s="4" t="s">
        <v>1994</v>
      </c>
      <c r="F96" s="4" t="s">
        <v>2029</v>
      </c>
      <c r="G96" s="4" t="s">
        <v>69</v>
      </c>
      <c r="H96" s="4" t="s">
        <v>1454</v>
      </c>
      <c r="I96" s="4" t="s">
        <v>2030</v>
      </c>
      <c r="J96" s="4" t="s">
        <v>1997</v>
      </c>
      <c r="K96" s="14">
        <f>IF(OR($I96="USO_NO_ENERGETICO_APARENTE",$I96="USO_ENERGETICO_INTERNO_APARENTE"),ROUND(SUMIFS($K$2:$K$618,$B$2:$B$618,$B96,$C$2:$C$618,$C96,$D$2:$D$618,"Energy products",$E$2:$E$618,"Supply",$G$2:$G$618,"&lt;&gt;STAT")-SUMIFS($K$2:$K$618,$B$2:$B$618,$B96,$C$2:$C$618,$C96,$D$2:$D$618,"Energy products",$E$2:$E$618,"Use",$G$2:$G$618,"&lt;&gt;STAT",$I$2:$I$618,"&lt;&gt;USO_NO_ENERGETICO_APARENTE",$I$2:$I$618,"&lt;&gt;USO_ENERGETICO_INTERNO_APARENTE"),10),IF(LEFT($H96,5)="STAT_",ROUND(SUMIFS($K$2:$K$618,$B$2:$B$618,$B96,$C$2:$C$618,$C96,$D$2:$D$618,"Energy products",$E$2:$E$618,"Supply",$G$2:$G$618,"&lt;&gt;STAT")-SUMIFS($K$2:$K$618,$B$2:$B$618,$B96,$C$2:$C$618,$C96,$D$2:$D$618,"Energy products",$E$2:$E$618,"Use",$G$2:$G$618,"&lt;&gt;STAT"),10),IF($J96="cambio de signo",-INDEX(DATOS_MODELO!$U$2:$U$3672,MATCH($H96,DATOS_MODELO!$B$2:$B$3672,0)),IF($J96="valor absoluto",ABS(INDEX(DATOS_MODELO!$U$2:$U$3672,MATCH($H96,DATOS_MODELO!$B$2:$B$3672,0))),INDEX(DATOS_MODELO!$U$2:$U$3672,MATCH($H96,DATOS_MODELO!$B$2:$B$3672,0))))))</f>
        <v>39409.5786</v>
      </c>
      <c r="L96" s="8" t="str">
        <f aca="false">IF(LEFT($H96,5)&lt;&gt;"STAT_","",IF(ABS($K96)&lt;=COUNTIFS($B$2:$B$618,$B96,$C$2:$C$618,$C96,$D$2:$D$618,"Energy products",$G$2:$G$618,"&lt;&gt;STAT")*PARAMETROS!$B$6,"redondeo","residuo_estadistico"))</f>
        <v/>
      </c>
      <c r="M96" s="8" t="str">
        <f>IF(OR($I96="USO_NO_ENERGETICO_APARENTE",$I96="USO_ENERGETICO_INTERNO_APARENTE"),"CAL",IF(LEFT($H96,5)="STAT_","FORMULA",IF(COUNTIF(DATOS_MODELO!$B$2:$B$3672,$H96)=1,"OK","REVISAR")))</f>
        <v>OK</v>
      </c>
    </row>
    <row r="97" customFormat="false" ht="15" hidden="false" customHeight="false" outlineLevel="0" collapsed="false">
      <c r="A97" s="4" t="s">
        <v>2248</v>
      </c>
      <c r="B97" s="12" t="n">
        <v>2023</v>
      </c>
      <c r="C97" s="4" t="s">
        <v>76</v>
      </c>
      <c r="D97" s="4" t="s">
        <v>1993</v>
      </c>
      <c r="E97" s="4" t="s">
        <v>2001</v>
      </c>
      <c r="F97" s="4" t="s">
        <v>2034</v>
      </c>
      <c r="G97" s="4" t="s">
        <v>74</v>
      </c>
      <c r="H97" s="4" t="s">
        <v>1456</v>
      </c>
      <c r="I97" s="4" t="s">
        <v>2035</v>
      </c>
      <c r="J97" s="4" t="s">
        <v>2036</v>
      </c>
      <c r="K97" s="14">
        <f>IF(OR($I97="USO_NO_ENERGETICO_APARENTE",$I97="USO_ENERGETICO_INTERNO_APARENTE"),ROUND(SUMIFS($K$2:$K$618,$B$2:$B$618,$B97,$C$2:$C$618,$C97,$D$2:$D$618,"Energy products",$E$2:$E$618,"Supply",$G$2:$G$618,"&lt;&gt;STAT")-SUMIFS($K$2:$K$618,$B$2:$B$618,$B97,$C$2:$C$618,$C97,$D$2:$D$618,"Energy products",$E$2:$E$618,"Use",$G$2:$G$618,"&lt;&gt;STAT",$I$2:$I$618,"&lt;&gt;USO_NO_ENERGETICO_APARENTE",$I$2:$I$618,"&lt;&gt;USO_ENERGETICO_INTERNO_APARENTE"),10),IF(LEFT($H97,5)="STAT_",ROUND(SUMIFS($K$2:$K$618,$B$2:$B$618,$B97,$C$2:$C$618,$C97,$D$2:$D$618,"Energy products",$E$2:$E$618,"Supply",$G$2:$G$618,"&lt;&gt;STAT")-SUMIFS($K$2:$K$618,$B$2:$B$618,$B97,$C$2:$C$618,$C97,$D$2:$D$618,"Energy products",$E$2:$E$618,"Use",$G$2:$G$618,"&lt;&gt;STAT"),10),IF($J97="cambio de signo",-INDEX(DATOS_MODELO!$U$2:$U$3672,MATCH($H97,DATOS_MODELO!$B$2:$B$3672,0)),IF($J97="valor absoluto",ABS(INDEX(DATOS_MODELO!$U$2:$U$3672,MATCH($H97,DATOS_MODELO!$B$2:$B$3672,0))),INDEX(DATOS_MODELO!$U$2:$U$3672,MATCH($H97,DATOS_MODELO!$B$2:$B$3672,0))))))</f>
        <v>9004.8028</v>
      </c>
      <c r="L97" s="8" t="str">
        <f aca="false">IF(LEFT($H97,5)&lt;&gt;"STAT_","",IF(ABS($K97)&lt;=COUNTIFS($B$2:$B$618,$B97,$C$2:$C$618,$C97,$D$2:$D$618,"Energy products",$G$2:$G$618,"&lt;&gt;STAT")*PARAMETROS!$B$6,"redondeo","residuo_estadistico"))</f>
        <v/>
      </c>
      <c r="M97" s="8" t="str">
        <f>IF(OR($I97="USO_NO_ENERGETICO_APARENTE",$I97="USO_ENERGETICO_INTERNO_APARENTE"),"CAL",IF(LEFT($H97,5)="STAT_","FORMULA",IF(COUNTIF(DATOS_MODELO!$B$2:$B$3672,$H97)=1,"OK","REVISAR")))</f>
        <v>OK</v>
      </c>
    </row>
    <row r="98" customFormat="false" ht="15" hidden="false" customHeight="false" outlineLevel="0" collapsed="false">
      <c r="A98" s="4" t="s">
        <v>2250</v>
      </c>
      <c r="B98" s="12" t="n">
        <v>2023</v>
      </c>
      <c r="C98" s="4" t="s">
        <v>76</v>
      </c>
      <c r="D98" s="4" t="s">
        <v>1993</v>
      </c>
      <c r="E98" s="4" t="s">
        <v>2001</v>
      </c>
      <c r="F98" s="4" t="s">
        <v>2002</v>
      </c>
      <c r="G98" s="4" t="s">
        <v>67</v>
      </c>
      <c r="H98" s="4" t="s">
        <v>1458</v>
      </c>
      <c r="I98" s="4" t="s">
        <v>2003</v>
      </c>
      <c r="J98" s="4" t="s">
        <v>2004</v>
      </c>
      <c r="K98" s="14">
        <f>IF(OR($I98="USO_NO_ENERGETICO_APARENTE",$I98="USO_ENERGETICO_INTERNO_APARENTE"),ROUND(SUMIFS($K$2:$K$618,$B$2:$B$618,$B98,$C$2:$C$618,$C98,$D$2:$D$618,"Energy products",$E$2:$E$618,"Supply",$G$2:$G$618,"&lt;&gt;STAT")-SUMIFS($K$2:$K$618,$B$2:$B$618,$B98,$C$2:$C$618,$C98,$D$2:$D$618,"Energy products",$E$2:$E$618,"Use",$G$2:$G$618,"&lt;&gt;STAT",$I$2:$I$618,"&lt;&gt;USO_NO_ENERGETICO_APARENTE",$I$2:$I$618,"&lt;&gt;USO_ENERGETICO_INTERNO_APARENTE"),10),IF(LEFT($H98,5)="STAT_",ROUND(SUMIFS($K$2:$K$618,$B$2:$B$618,$B98,$C$2:$C$618,$C98,$D$2:$D$618,"Energy products",$E$2:$E$618,"Supply",$G$2:$G$618,"&lt;&gt;STAT")-SUMIFS($K$2:$K$618,$B$2:$B$618,$B98,$C$2:$C$618,$C98,$D$2:$D$618,"Energy products",$E$2:$E$618,"Use",$G$2:$G$618,"&lt;&gt;STAT"),10),IF($J98="cambio de signo",-INDEX(DATOS_MODELO!$U$2:$U$3672,MATCH($H98,DATOS_MODELO!$B$2:$B$3672,0)),IF($J98="valor absoluto",ABS(INDEX(DATOS_MODELO!$U$2:$U$3672,MATCH($H98,DATOS_MODELO!$B$2:$B$3672,0))),INDEX(DATOS_MODELO!$U$2:$U$3672,MATCH($H98,DATOS_MODELO!$B$2:$B$3672,0))))))</f>
        <v>25264.9012</v>
      </c>
      <c r="L98" s="8" t="str">
        <f aca="false">IF(LEFT($H98,5)&lt;&gt;"STAT_","",IF(ABS($K98)&lt;=COUNTIFS($B$2:$B$618,$B98,$C$2:$C$618,$C98,$D$2:$D$618,"Energy products",$G$2:$G$618,"&lt;&gt;STAT")*PARAMETROS!$B$6,"redondeo","residuo_estadistico"))</f>
        <v/>
      </c>
      <c r="M98" s="8" t="str">
        <f>IF(OR($I98="USO_NO_ENERGETICO_APARENTE",$I98="USO_ENERGETICO_INTERNO_APARENTE"),"CAL",IF(LEFT($H98,5)="STAT_","FORMULA",IF(COUNTIF(DATOS_MODELO!$B$2:$B$3672,$H98)=1,"OK","REVISAR")))</f>
        <v>OK</v>
      </c>
    </row>
    <row r="99" customFormat="false" ht="15" hidden="false" customHeight="false" outlineLevel="0" collapsed="false">
      <c r="A99" s="4" t="s">
        <v>2252</v>
      </c>
      <c r="B99" s="12" t="n">
        <v>2023</v>
      </c>
      <c r="C99" s="4" t="s">
        <v>76</v>
      </c>
      <c r="D99" s="4" t="s">
        <v>1993</v>
      </c>
      <c r="E99" s="4" t="s">
        <v>2001</v>
      </c>
      <c r="F99" s="4" t="s">
        <v>2002</v>
      </c>
      <c r="G99" s="4" t="s">
        <v>67</v>
      </c>
      <c r="H99" s="4" t="s">
        <v>1459</v>
      </c>
      <c r="I99" s="4" t="s">
        <v>2008</v>
      </c>
      <c r="J99" s="4" t="s">
        <v>2004</v>
      </c>
      <c r="K99" s="14">
        <f>IF(OR($I99="USO_NO_ENERGETICO_APARENTE",$I99="USO_ENERGETICO_INTERNO_APARENTE"),ROUND(SUMIFS($K$2:$K$618,$B$2:$B$618,$B99,$C$2:$C$618,$C99,$D$2:$D$618,"Energy products",$E$2:$E$618,"Supply",$G$2:$G$618,"&lt;&gt;STAT")-SUMIFS($K$2:$K$618,$B$2:$B$618,$B99,$C$2:$C$618,$C99,$D$2:$D$618,"Energy products",$E$2:$E$618,"Use",$G$2:$G$618,"&lt;&gt;STAT",$I$2:$I$618,"&lt;&gt;USO_NO_ENERGETICO_APARENTE",$I$2:$I$618,"&lt;&gt;USO_ENERGETICO_INTERNO_APARENTE"),10),IF(LEFT($H99,5)="STAT_",ROUND(SUMIFS($K$2:$K$618,$B$2:$B$618,$B99,$C$2:$C$618,$C99,$D$2:$D$618,"Energy products",$E$2:$E$618,"Supply",$G$2:$G$618,"&lt;&gt;STAT")-SUMIFS($K$2:$K$618,$B$2:$B$618,$B99,$C$2:$C$618,$C99,$D$2:$D$618,"Energy products",$E$2:$E$618,"Use",$G$2:$G$618,"&lt;&gt;STAT"),10),IF($J99="cambio de signo",-INDEX(DATOS_MODELO!$U$2:$U$3672,MATCH($H99,DATOS_MODELO!$B$2:$B$3672,0)),IF($J99="valor absoluto",ABS(INDEX(DATOS_MODELO!$U$2:$U$3672,MATCH($H99,DATOS_MODELO!$B$2:$B$3672,0))),INDEX(DATOS_MODELO!$U$2:$U$3672,MATCH($H99,DATOS_MODELO!$B$2:$B$3672,0))))))</f>
        <v>5139.8165</v>
      </c>
      <c r="L99" s="8" t="str">
        <f aca="false">IF(LEFT($H99,5)&lt;&gt;"STAT_","",IF(ABS($K99)&lt;=COUNTIFS($B$2:$B$618,$B99,$C$2:$C$618,$C99,$D$2:$D$618,"Energy products",$G$2:$G$618,"&lt;&gt;STAT")*PARAMETROS!$B$6,"redondeo","residuo_estadistico"))</f>
        <v/>
      </c>
      <c r="M99" s="8" t="str">
        <f>IF(OR($I99="USO_NO_ENERGETICO_APARENTE",$I99="USO_ENERGETICO_INTERNO_APARENTE"),"CAL",IF(LEFT($H99,5)="STAT_","FORMULA",IF(COUNTIF(DATOS_MODELO!$B$2:$B$3672,$H99)=1,"OK","REVISAR")))</f>
        <v>OK</v>
      </c>
    </row>
    <row r="100" customFormat="false" ht="15" hidden="false" customHeight="false" outlineLevel="0" collapsed="false">
      <c r="A100" s="4" t="s">
        <v>2254</v>
      </c>
      <c r="B100" s="12" t="n">
        <v>2023</v>
      </c>
      <c r="C100" s="4" t="s">
        <v>78</v>
      </c>
      <c r="D100" s="4" t="s">
        <v>2018</v>
      </c>
      <c r="E100" s="4" t="s">
        <v>1994</v>
      </c>
      <c r="F100" s="4" t="s">
        <v>65</v>
      </c>
      <c r="G100" s="4" t="s">
        <v>64</v>
      </c>
      <c r="H100" s="4" t="s">
        <v>1467</v>
      </c>
      <c r="I100" s="4" t="s">
        <v>2044</v>
      </c>
      <c r="J100" s="4" t="s">
        <v>1997</v>
      </c>
      <c r="K100" s="14">
        <f>IF(OR($I100="USO_NO_ENERGETICO_APARENTE",$I100="USO_ENERGETICO_INTERNO_APARENTE"),ROUND(SUMIFS($K$2:$K$618,$B$2:$B$618,$B100,$C$2:$C$618,$C100,$D$2:$D$618,"Energy products",$E$2:$E$618,"Supply",$G$2:$G$618,"&lt;&gt;STAT")-SUMIFS($K$2:$K$618,$B$2:$B$618,$B100,$C$2:$C$618,$C100,$D$2:$D$618,"Energy products",$E$2:$E$618,"Use",$G$2:$G$618,"&lt;&gt;STAT",$I$2:$I$618,"&lt;&gt;USO_NO_ENERGETICO_APARENTE",$I$2:$I$618,"&lt;&gt;USO_ENERGETICO_INTERNO_APARENTE"),10),IF(LEFT($H100,5)="STAT_",ROUND(SUMIFS($K$2:$K$618,$B$2:$B$618,$B100,$C$2:$C$618,$C100,$D$2:$D$618,"Energy products",$E$2:$E$618,"Supply",$G$2:$G$618,"&lt;&gt;STAT")-SUMIFS($K$2:$K$618,$B$2:$B$618,$B100,$C$2:$C$618,$C100,$D$2:$D$618,"Energy products",$E$2:$E$618,"Use",$G$2:$G$618,"&lt;&gt;STAT"),10),IF($J100="cambio de signo",-INDEX(DATOS_MODELO!$U$2:$U$3672,MATCH($H100,DATOS_MODELO!$B$2:$B$3672,0)),IF($J100="valor absoluto",ABS(INDEX(DATOS_MODELO!$U$2:$U$3672,MATCH($H100,DATOS_MODELO!$B$2:$B$3672,0))),INDEX(DATOS_MODELO!$U$2:$U$3672,MATCH($H100,DATOS_MODELO!$B$2:$B$3672,0))))))</f>
        <v>1248.5109</v>
      </c>
      <c r="L100" s="8" t="str">
        <f aca="false">IF(LEFT($H100,5)&lt;&gt;"STAT_","",IF(ABS($K100)&lt;=COUNTIFS($B$2:$B$618,$B100,$C$2:$C$618,$C100,$D$2:$D$618,"Energy products",$G$2:$G$618,"&lt;&gt;STAT")*PARAMETROS!$B$6,"redondeo","residuo_estadistico"))</f>
        <v/>
      </c>
      <c r="M100" s="8" t="str">
        <f>IF(OR($I100="USO_NO_ENERGETICO_APARENTE",$I100="USO_ENERGETICO_INTERNO_APARENTE"),"CAL",IF(LEFT($H100,5)="STAT_","FORMULA",IF(COUNTIF(DATOS_MODELO!$B$2:$B$3672,$H100)=1,"OK","REVISAR")))</f>
        <v>OK</v>
      </c>
    </row>
    <row r="101" customFormat="false" ht="15" hidden="false" customHeight="false" outlineLevel="0" collapsed="false">
      <c r="A101" s="4" t="s">
        <v>2256</v>
      </c>
      <c r="B101" s="12" t="n">
        <v>2023</v>
      </c>
      <c r="C101" s="4" t="s">
        <v>78</v>
      </c>
      <c r="D101" s="4" t="s">
        <v>2018</v>
      </c>
      <c r="E101" s="4" t="s">
        <v>2001</v>
      </c>
      <c r="F101" s="4" t="s">
        <v>66</v>
      </c>
      <c r="G101" s="4" t="s">
        <v>67</v>
      </c>
      <c r="H101" s="4" t="s">
        <v>1472</v>
      </c>
      <c r="I101" s="4" t="s">
        <v>2003</v>
      </c>
      <c r="J101" s="4" t="s">
        <v>2004</v>
      </c>
      <c r="K101" s="14">
        <f>IF(OR($I101="USO_NO_ENERGETICO_APARENTE",$I101="USO_ENERGETICO_INTERNO_APARENTE"),ROUND(SUMIFS($K$2:$K$618,$B$2:$B$618,$B101,$C$2:$C$618,$C101,$D$2:$D$618,"Energy products",$E$2:$E$618,"Supply",$G$2:$G$618,"&lt;&gt;STAT")-SUMIFS($K$2:$K$618,$B$2:$B$618,$B101,$C$2:$C$618,$C101,$D$2:$D$618,"Energy products",$E$2:$E$618,"Use",$G$2:$G$618,"&lt;&gt;STAT",$I$2:$I$618,"&lt;&gt;USO_NO_ENERGETICO_APARENTE",$I$2:$I$618,"&lt;&gt;USO_ENERGETICO_INTERNO_APARENTE"),10),IF(LEFT($H101,5)="STAT_",ROUND(SUMIFS($K$2:$K$618,$B$2:$B$618,$B101,$C$2:$C$618,$C101,$D$2:$D$618,"Energy products",$E$2:$E$618,"Supply",$G$2:$G$618,"&lt;&gt;STAT")-SUMIFS($K$2:$K$618,$B$2:$B$618,$B101,$C$2:$C$618,$C101,$D$2:$D$618,"Energy products",$E$2:$E$618,"Use",$G$2:$G$618,"&lt;&gt;STAT"),10),IF($J101="cambio de signo",-INDEX(DATOS_MODELO!$U$2:$U$3672,MATCH($H101,DATOS_MODELO!$B$2:$B$3672,0)),IF($J101="valor absoluto",ABS(INDEX(DATOS_MODELO!$U$2:$U$3672,MATCH($H101,DATOS_MODELO!$B$2:$B$3672,0))),INDEX(DATOS_MODELO!$U$2:$U$3672,MATCH($H101,DATOS_MODELO!$B$2:$B$3672,0))))))</f>
        <v>1248.5109</v>
      </c>
      <c r="L101" s="8" t="str">
        <f aca="false">IF(LEFT($H101,5)&lt;&gt;"STAT_","",IF(ABS($K101)&lt;=COUNTIFS($B$2:$B$618,$B101,$C$2:$C$618,$C101,$D$2:$D$618,"Energy products",$G$2:$G$618,"&lt;&gt;STAT")*PARAMETROS!$B$6,"redondeo","residuo_estadistico"))</f>
        <v/>
      </c>
      <c r="M101" s="8" t="str">
        <f>IF(OR($I101="USO_NO_ENERGETICO_APARENTE",$I101="USO_ENERGETICO_INTERNO_APARENTE"),"CAL",IF(LEFT($H101,5)="STAT_","FORMULA",IF(COUNTIF(DATOS_MODELO!$B$2:$B$3672,$H101)=1,"OK","REVISAR")))</f>
        <v>OK</v>
      </c>
    </row>
    <row r="102" customFormat="false" ht="15" hidden="false" customHeight="false" outlineLevel="0" collapsed="false">
      <c r="A102" s="4" t="s">
        <v>2258</v>
      </c>
      <c r="B102" s="12" t="n">
        <v>2023</v>
      </c>
      <c r="C102" s="4" t="s">
        <v>80</v>
      </c>
      <c r="D102" s="4" t="s">
        <v>2018</v>
      </c>
      <c r="E102" s="4" t="s">
        <v>1994</v>
      </c>
      <c r="F102" s="4" t="s">
        <v>65</v>
      </c>
      <c r="G102" s="4" t="s">
        <v>64</v>
      </c>
      <c r="H102" s="4" t="s">
        <v>1481</v>
      </c>
      <c r="I102" s="4" t="s">
        <v>2044</v>
      </c>
      <c r="J102" s="4" t="s">
        <v>1997</v>
      </c>
      <c r="K102" s="14">
        <f>IF(OR($I102="USO_NO_ENERGETICO_APARENTE",$I102="USO_ENERGETICO_INTERNO_APARENTE"),ROUND(SUMIFS($K$2:$K$618,$B$2:$B$618,$B102,$C$2:$C$618,$C102,$D$2:$D$618,"Energy products",$E$2:$E$618,"Supply",$G$2:$G$618,"&lt;&gt;STAT")-SUMIFS($K$2:$K$618,$B$2:$B$618,$B102,$C$2:$C$618,$C102,$D$2:$D$618,"Energy products",$E$2:$E$618,"Use",$G$2:$G$618,"&lt;&gt;STAT",$I$2:$I$618,"&lt;&gt;USO_NO_ENERGETICO_APARENTE",$I$2:$I$618,"&lt;&gt;USO_ENERGETICO_INTERNO_APARENTE"),10),IF(LEFT($H102,5)="STAT_",ROUND(SUMIFS($K$2:$K$618,$B$2:$B$618,$B102,$C$2:$C$618,$C102,$D$2:$D$618,"Energy products",$E$2:$E$618,"Supply",$G$2:$G$618,"&lt;&gt;STAT")-SUMIFS($K$2:$K$618,$B$2:$B$618,$B102,$C$2:$C$618,$C102,$D$2:$D$618,"Energy products",$E$2:$E$618,"Use",$G$2:$G$618,"&lt;&gt;STAT"),10),IF($J102="cambio de signo",-INDEX(DATOS_MODELO!$U$2:$U$3672,MATCH($H102,DATOS_MODELO!$B$2:$B$3672,0)),IF($J102="valor absoluto",ABS(INDEX(DATOS_MODELO!$U$2:$U$3672,MATCH($H102,DATOS_MODELO!$B$2:$B$3672,0))),INDEX(DATOS_MODELO!$U$2:$U$3672,MATCH($H102,DATOS_MODELO!$B$2:$B$3672,0))))))</f>
        <v>11880.869</v>
      </c>
      <c r="L102" s="8" t="str">
        <f aca="false">IF(LEFT($H102,5)&lt;&gt;"STAT_","",IF(ABS($K102)&lt;=COUNTIFS($B$2:$B$618,$B102,$C$2:$C$618,$C102,$D$2:$D$618,"Energy products",$G$2:$G$618,"&lt;&gt;STAT")*PARAMETROS!$B$6,"redondeo","residuo_estadistico"))</f>
        <v/>
      </c>
      <c r="M102" s="8" t="str">
        <f>IF(OR($I102="USO_NO_ENERGETICO_APARENTE",$I102="USO_ENERGETICO_INTERNO_APARENTE"),"CAL",IF(LEFT($H102,5)="STAT_","FORMULA",IF(COUNTIF(DATOS_MODELO!$B$2:$B$3672,$H102)=1,"OK","REVISAR")))</f>
        <v>OK</v>
      </c>
    </row>
    <row r="103" customFormat="false" ht="15" hidden="false" customHeight="false" outlineLevel="0" collapsed="false">
      <c r="A103" s="4" t="s">
        <v>2260</v>
      </c>
      <c r="B103" s="12" t="n">
        <v>2023</v>
      </c>
      <c r="C103" s="4" t="s">
        <v>80</v>
      </c>
      <c r="D103" s="4" t="s">
        <v>2018</v>
      </c>
      <c r="E103" s="4" t="s">
        <v>2001</v>
      </c>
      <c r="F103" s="4" t="s">
        <v>66</v>
      </c>
      <c r="G103" s="4" t="s">
        <v>67</v>
      </c>
      <c r="H103" s="4" t="s">
        <v>1486</v>
      </c>
      <c r="I103" s="4" t="s">
        <v>2003</v>
      </c>
      <c r="J103" s="4" t="s">
        <v>2004</v>
      </c>
      <c r="K103" s="14">
        <f>IF(OR($I103="USO_NO_ENERGETICO_APARENTE",$I103="USO_ENERGETICO_INTERNO_APARENTE"),ROUND(SUMIFS($K$2:$K$618,$B$2:$B$618,$B103,$C$2:$C$618,$C103,$D$2:$D$618,"Energy products",$E$2:$E$618,"Supply",$G$2:$G$618,"&lt;&gt;STAT")-SUMIFS($K$2:$K$618,$B$2:$B$618,$B103,$C$2:$C$618,$C103,$D$2:$D$618,"Energy products",$E$2:$E$618,"Use",$G$2:$G$618,"&lt;&gt;STAT",$I$2:$I$618,"&lt;&gt;USO_NO_ENERGETICO_APARENTE",$I$2:$I$618,"&lt;&gt;USO_ENERGETICO_INTERNO_APARENTE"),10),IF(LEFT($H103,5)="STAT_",ROUND(SUMIFS($K$2:$K$618,$B$2:$B$618,$B103,$C$2:$C$618,$C103,$D$2:$D$618,"Energy products",$E$2:$E$618,"Supply",$G$2:$G$618,"&lt;&gt;STAT")-SUMIFS($K$2:$K$618,$B$2:$B$618,$B103,$C$2:$C$618,$C103,$D$2:$D$618,"Energy products",$E$2:$E$618,"Use",$G$2:$G$618,"&lt;&gt;STAT"),10),IF($J103="cambio de signo",-INDEX(DATOS_MODELO!$U$2:$U$3672,MATCH($H103,DATOS_MODELO!$B$2:$B$3672,0)),IF($J103="valor absoluto",ABS(INDEX(DATOS_MODELO!$U$2:$U$3672,MATCH($H103,DATOS_MODELO!$B$2:$B$3672,0))),INDEX(DATOS_MODELO!$U$2:$U$3672,MATCH($H103,DATOS_MODELO!$B$2:$B$3672,0))))))</f>
        <v>11880.869</v>
      </c>
      <c r="L103" s="8" t="str">
        <f aca="false">IF(LEFT($H103,5)&lt;&gt;"STAT_","",IF(ABS($K103)&lt;=COUNTIFS($B$2:$B$618,$B103,$C$2:$C$618,$C103,$D$2:$D$618,"Energy products",$G$2:$G$618,"&lt;&gt;STAT")*PARAMETROS!$B$6,"redondeo","residuo_estadistico"))</f>
        <v/>
      </c>
      <c r="M103" s="8" t="str">
        <f>IF(OR($I103="USO_NO_ENERGETICO_APARENTE",$I103="USO_ENERGETICO_INTERNO_APARENTE"),"CAL",IF(LEFT($H103,5)="STAT_","FORMULA",IF(COUNTIF(DATOS_MODELO!$B$2:$B$3672,$H103)=1,"OK","REVISAR")))</f>
        <v>OK</v>
      </c>
    </row>
    <row r="104" customFormat="false" ht="15" hidden="false" customHeight="false" outlineLevel="0" collapsed="false">
      <c r="A104" s="4" t="s">
        <v>2262</v>
      </c>
      <c r="B104" s="12" t="n">
        <v>2023</v>
      </c>
      <c r="C104" s="4" t="s">
        <v>82</v>
      </c>
      <c r="D104" s="4" t="s">
        <v>2018</v>
      </c>
      <c r="E104" s="4" t="s">
        <v>1994</v>
      </c>
      <c r="F104" s="4" t="s">
        <v>65</v>
      </c>
      <c r="G104" s="4" t="s">
        <v>64</v>
      </c>
      <c r="H104" s="4" t="s">
        <v>1495</v>
      </c>
      <c r="I104" s="4" t="s">
        <v>2019</v>
      </c>
      <c r="J104" s="4" t="s">
        <v>1997</v>
      </c>
      <c r="K104" s="14">
        <f>IF(OR($I104="USO_NO_ENERGETICO_APARENTE",$I104="USO_ENERGETICO_INTERNO_APARENTE"),ROUND(SUMIFS($K$2:$K$618,$B$2:$B$618,$B104,$C$2:$C$618,$C104,$D$2:$D$618,"Energy products",$E$2:$E$618,"Supply",$G$2:$G$618,"&lt;&gt;STAT")-SUMIFS($K$2:$K$618,$B$2:$B$618,$B104,$C$2:$C$618,$C104,$D$2:$D$618,"Energy products",$E$2:$E$618,"Use",$G$2:$G$618,"&lt;&gt;STAT",$I$2:$I$618,"&lt;&gt;USO_NO_ENERGETICO_APARENTE",$I$2:$I$618,"&lt;&gt;USO_ENERGETICO_INTERNO_APARENTE"),10),IF(LEFT($H104,5)="STAT_",ROUND(SUMIFS($K$2:$K$618,$B$2:$B$618,$B104,$C$2:$C$618,$C104,$D$2:$D$618,"Energy products",$E$2:$E$618,"Supply",$G$2:$G$618,"&lt;&gt;STAT")-SUMIFS($K$2:$K$618,$B$2:$B$618,$B104,$C$2:$C$618,$C104,$D$2:$D$618,"Energy products",$E$2:$E$618,"Use",$G$2:$G$618,"&lt;&gt;STAT"),10),IF($J104="cambio de signo",-INDEX(DATOS_MODELO!$U$2:$U$3672,MATCH($H104,DATOS_MODELO!$B$2:$B$3672,0)),IF($J104="valor absoluto",ABS(INDEX(DATOS_MODELO!$U$2:$U$3672,MATCH($H104,DATOS_MODELO!$B$2:$B$3672,0))),INDEX(DATOS_MODELO!$U$2:$U$3672,MATCH($H104,DATOS_MODELO!$B$2:$B$3672,0))))))</f>
        <v>0.0</v>
      </c>
      <c r="L104" s="8" t="str">
        <f aca="false">IF(LEFT($H104,5)&lt;&gt;"STAT_","",IF(ABS($K104)&lt;=COUNTIFS($B$2:$B$618,$B104,$C$2:$C$618,$C104,$D$2:$D$618,"Energy products",$G$2:$G$618,"&lt;&gt;STAT")*PARAMETROS!$B$6,"redondeo","residuo_estadistico"))</f>
        <v/>
      </c>
      <c r="M104" s="8" t="str">
        <f>IF(OR($I104="USO_NO_ENERGETICO_APARENTE",$I104="USO_ENERGETICO_INTERNO_APARENTE"),"CAL",IF(LEFT($H104,5)="STAT_","FORMULA",IF(COUNTIF(DATOS_MODELO!$B$2:$B$3672,$H104)=1,"OK","REVISAR")))</f>
        <v>OK</v>
      </c>
    </row>
    <row r="105" customFormat="false" ht="15" hidden="false" customHeight="false" outlineLevel="0" collapsed="false">
      <c r="A105" s="4" t="s">
        <v>2264</v>
      </c>
      <c r="B105" s="12" t="n">
        <v>2023</v>
      </c>
      <c r="C105" s="4" t="s">
        <v>82</v>
      </c>
      <c r="D105" s="4" t="s">
        <v>2018</v>
      </c>
      <c r="E105" s="4" t="s">
        <v>2001</v>
      </c>
      <c r="F105" s="4" t="s">
        <v>66</v>
      </c>
      <c r="G105" s="4" t="s">
        <v>66</v>
      </c>
      <c r="H105" s="4" t="s">
        <v>1495</v>
      </c>
      <c r="I105" s="4" t="s">
        <v>2019</v>
      </c>
      <c r="J105" s="4" t="s">
        <v>1997</v>
      </c>
      <c r="K105" s="14">
        <f>IF(OR($I105="USO_NO_ENERGETICO_APARENTE",$I105="USO_ENERGETICO_INTERNO_APARENTE"),ROUND(SUMIFS($K$2:$K$618,$B$2:$B$618,$B105,$C$2:$C$618,$C105,$D$2:$D$618,"Energy products",$E$2:$E$618,"Supply",$G$2:$G$618,"&lt;&gt;STAT")-SUMIFS($K$2:$K$618,$B$2:$B$618,$B105,$C$2:$C$618,$C105,$D$2:$D$618,"Energy products",$E$2:$E$618,"Use",$G$2:$G$618,"&lt;&gt;STAT",$I$2:$I$618,"&lt;&gt;USO_NO_ENERGETICO_APARENTE",$I$2:$I$618,"&lt;&gt;USO_ENERGETICO_INTERNO_APARENTE"),10),IF(LEFT($H105,5)="STAT_",ROUND(SUMIFS($K$2:$K$618,$B$2:$B$618,$B105,$C$2:$C$618,$C105,$D$2:$D$618,"Energy products",$E$2:$E$618,"Supply",$G$2:$G$618,"&lt;&gt;STAT")-SUMIFS($K$2:$K$618,$B$2:$B$618,$B105,$C$2:$C$618,$C105,$D$2:$D$618,"Energy products",$E$2:$E$618,"Use",$G$2:$G$618,"&lt;&gt;STAT"),10),IF($J105="cambio de signo",-INDEX(DATOS_MODELO!$U$2:$U$3672,MATCH($H105,DATOS_MODELO!$B$2:$B$3672,0)),IF($J105="valor absoluto",ABS(INDEX(DATOS_MODELO!$U$2:$U$3672,MATCH($H105,DATOS_MODELO!$B$2:$B$3672,0))),INDEX(DATOS_MODELO!$U$2:$U$3672,MATCH($H105,DATOS_MODELO!$B$2:$B$3672,0))))))</f>
        <v>0.0</v>
      </c>
      <c r="L105" s="8" t="str">
        <f aca="false">IF(LEFT($H105,5)&lt;&gt;"STAT_","",IF(ABS($K105)&lt;=COUNTIFS($B$2:$B$618,$B105,$C$2:$C$618,$C105,$D$2:$D$618,"Energy products",$G$2:$G$618,"&lt;&gt;STAT")*PARAMETROS!$B$6,"redondeo","residuo_estadistico"))</f>
        <v/>
      </c>
      <c r="M105" s="8" t="str">
        <f>IF(OR($I105="USO_NO_ENERGETICO_APARENTE",$I105="USO_ENERGETICO_INTERNO_APARENTE"),"CAL",IF(LEFT($H105,5)="STAT_","FORMULA",IF(COUNTIF(DATOS_MODELO!$B$2:$B$3672,$H105)=1,"OK","REVISAR")))</f>
        <v>OK</v>
      </c>
    </row>
    <row r="106" customFormat="false" ht="15" hidden="false" customHeight="false" outlineLevel="0" collapsed="false">
      <c r="A106" s="4" t="s">
        <v>2266</v>
      </c>
      <c r="B106" s="12" t="n">
        <v>2023</v>
      </c>
      <c r="C106" s="4" t="s">
        <v>82</v>
      </c>
      <c r="D106" s="4" t="s">
        <v>1993</v>
      </c>
      <c r="E106" s="4" t="s">
        <v>1994</v>
      </c>
      <c r="F106" s="4" t="s">
        <v>1995</v>
      </c>
      <c r="G106" s="4" t="s">
        <v>66</v>
      </c>
      <c r="H106" s="4" t="s">
        <v>1495</v>
      </c>
      <c r="I106" s="4" t="s">
        <v>2019</v>
      </c>
      <c r="J106" s="4" t="s">
        <v>1997</v>
      </c>
      <c r="K106" s="14">
        <f>IF(OR($I106="USO_NO_ENERGETICO_APARENTE",$I106="USO_ENERGETICO_INTERNO_APARENTE"),ROUND(SUMIFS($K$2:$K$618,$B$2:$B$618,$B106,$C$2:$C$618,$C106,$D$2:$D$618,"Energy products",$E$2:$E$618,"Supply",$G$2:$G$618,"&lt;&gt;STAT")-SUMIFS($K$2:$K$618,$B$2:$B$618,$B106,$C$2:$C$618,$C106,$D$2:$D$618,"Energy products",$E$2:$E$618,"Use",$G$2:$G$618,"&lt;&gt;STAT",$I$2:$I$618,"&lt;&gt;USO_NO_ENERGETICO_APARENTE",$I$2:$I$618,"&lt;&gt;USO_ENERGETICO_INTERNO_APARENTE"),10),IF(LEFT($H106,5)="STAT_",ROUND(SUMIFS($K$2:$K$618,$B$2:$B$618,$B106,$C$2:$C$618,$C106,$D$2:$D$618,"Energy products",$E$2:$E$618,"Supply",$G$2:$G$618,"&lt;&gt;STAT")-SUMIFS($K$2:$K$618,$B$2:$B$618,$B106,$C$2:$C$618,$C106,$D$2:$D$618,"Energy products",$E$2:$E$618,"Use",$G$2:$G$618,"&lt;&gt;STAT"),10),IF($J106="cambio de signo",-INDEX(DATOS_MODELO!$U$2:$U$3672,MATCH($H106,DATOS_MODELO!$B$2:$B$3672,0)),IF($J106="valor absoluto",ABS(INDEX(DATOS_MODELO!$U$2:$U$3672,MATCH($H106,DATOS_MODELO!$B$2:$B$3672,0))),INDEX(DATOS_MODELO!$U$2:$U$3672,MATCH($H106,DATOS_MODELO!$B$2:$B$3672,0))))))</f>
        <v>0.0</v>
      </c>
      <c r="L106" s="8" t="str">
        <f aca="false">IF(LEFT($H106,5)&lt;&gt;"STAT_","",IF(ABS($K106)&lt;=COUNTIFS($B$2:$B$618,$B106,$C$2:$C$618,$C106,$D$2:$D$618,"Energy products",$G$2:$G$618,"&lt;&gt;STAT")*PARAMETROS!$B$6,"redondeo","residuo_estadistico"))</f>
        <v/>
      </c>
      <c r="M106" s="8" t="str">
        <f>IF(OR($I106="USO_NO_ENERGETICO_APARENTE",$I106="USO_ENERGETICO_INTERNO_APARENTE"),"CAL",IF(LEFT($H106,5)="STAT_","FORMULA",IF(COUNTIF(DATOS_MODELO!$B$2:$B$3672,$H106)=1,"OK","REVISAR")))</f>
        <v>OK</v>
      </c>
    </row>
    <row r="107" customFormat="false" ht="15" hidden="false" customHeight="false" outlineLevel="0" collapsed="false">
      <c r="A107" s="4" t="s">
        <v>2268</v>
      </c>
      <c r="B107" s="12" t="n">
        <v>2023</v>
      </c>
      <c r="C107" s="4" t="s">
        <v>84</v>
      </c>
      <c r="D107" s="4" t="s">
        <v>2018</v>
      </c>
      <c r="E107" s="4" t="s">
        <v>1994</v>
      </c>
      <c r="F107" s="4" t="s">
        <v>65</v>
      </c>
      <c r="G107" s="4" t="s">
        <v>64</v>
      </c>
      <c r="H107" s="4" t="s">
        <v>1509</v>
      </c>
      <c r="I107" s="4" t="s">
        <v>2044</v>
      </c>
      <c r="J107" s="4" t="s">
        <v>1997</v>
      </c>
      <c r="K107" s="14">
        <f>IF(OR($I107="USO_NO_ENERGETICO_APARENTE",$I107="USO_ENERGETICO_INTERNO_APARENTE"),ROUND(SUMIFS($K$2:$K$618,$B$2:$B$618,$B107,$C$2:$C$618,$C107,$D$2:$D$618,"Energy products",$E$2:$E$618,"Supply",$G$2:$G$618,"&lt;&gt;STAT")-SUMIFS($K$2:$K$618,$B$2:$B$618,$B107,$C$2:$C$618,$C107,$D$2:$D$618,"Energy products",$E$2:$E$618,"Use",$G$2:$G$618,"&lt;&gt;STAT",$I$2:$I$618,"&lt;&gt;USO_NO_ENERGETICO_APARENTE",$I$2:$I$618,"&lt;&gt;USO_ENERGETICO_INTERNO_APARENTE"),10),IF(LEFT($H107,5)="STAT_",ROUND(SUMIFS($K$2:$K$618,$B$2:$B$618,$B107,$C$2:$C$618,$C107,$D$2:$D$618,"Energy products",$E$2:$E$618,"Supply",$G$2:$G$618,"&lt;&gt;STAT")-SUMIFS($K$2:$K$618,$B$2:$B$618,$B107,$C$2:$C$618,$C107,$D$2:$D$618,"Energy products",$E$2:$E$618,"Use",$G$2:$G$618,"&lt;&gt;STAT"),10),IF($J107="cambio de signo",-INDEX(DATOS_MODELO!$U$2:$U$3672,MATCH($H107,DATOS_MODELO!$B$2:$B$3672,0)),IF($J107="valor absoluto",ABS(INDEX(DATOS_MODELO!$U$2:$U$3672,MATCH($H107,DATOS_MODELO!$B$2:$B$3672,0))),INDEX(DATOS_MODELO!$U$2:$U$3672,MATCH($H107,DATOS_MODELO!$B$2:$B$3672,0))))))</f>
        <v>25764.0383</v>
      </c>
      <c r="L107" s="8" t="str">
        <f aca="false">IF(LEFT($H107,5)&lt;&gt;"STAT_","",IF(ABS($K107)&lt;=COUNTIFS($B$2:$B$618,$B107,$C$2:$C$618,$C107,$D$2:$D$618,"Energy products",$G$2:$G$618,"&lt;&gt;STAT")*PARAMETROS!$B$6,"redondeo","residuo_estadistico"))</f>
        <v/>
      </c>
      <c r="M107" s="8" t="str">
        <f>IF(OR($I107="USO_NO_ENERGETICO_APARENTE",$I107="USO_ENERGETICO_INTERNO_APARENTE"),"CAL",IF(LEFT($H107,5)="STAT_","FORMULA",IF(COUNTIF(DATOS_MODELO!$B$2:$B$3672,$H107)=1,"OK","REVISAR")))</f>
        <v>OK</v>
      </c>
    </row>
    <row r="108" customFormat="false" ht="15" hidden="false" customHeight="false" outlineLevel="0" collapsed="false">
      <c r="A108" s="4" t="s">
        <v>2270</v>
      </c>
      <c r="B108" s="12" t="n">
        <v>2023</v>
      </c>
      <c r="C108" s="4" t="s">
        <v>84</v>
      </c>
      <c r="D108" s="4" t="s">
        <v>2018</v>
      </c>
      <c r="E108" s="4" t="s">
        <v>2001</v>
      </c>
      <c r="F108" s="4" t="s">
        <v>66</v>
      </c>
      <c r="G108" s="4" t="s">
        <v>67</v>
      </c>
      <c r="H108" s="4" t="s">
        <v>1514</v>
      </c>
      <c r="I108" s="4" t="s">
        <v>2003</v>
      </c>
      <c r="J108" s="4" t="s">
        <v>2004</v>
      </c>
      <c r="K108" s="14">
        <f>IF(OR($I108="USO_NO_ENERGETICO_APARENTE",$I108="USO_ENERGETICO_INTERNO_APARENTE"),ROUND(SUMIFS($K$2:$K$618,$B$2:$B$618,$B108,$C$2:$C$618,$C108,$D$2:$D$618,"Energy products",$E$2:$E$618,"Supply",$G$2:$G$618,"&lt;&gt;STAT")-SUMIFS($K$2:$K$618,$B$2:$B$618,$B108,$C$2:$C$618,$C108,$D$2:$D$618,"Energy products",$E$2:$E$618,"Use",$G$2:$G$618,"&lt;&gt;STAT",$I$2:$I$618,"&lt;&gt;USO_NO_ENERGETICO_APARENTE",$I$2:$I$618,"&lt;&gt;USO_ENERGETICO_INTERNO_APARENTE"),10),IF(LEFT($H108,5)="STAT_",ROUND(SUMIFS($K$2:$K$618,$B$2:$B$618,$B108,$C$2:$C$618,$C108,$D$2:$D$618,"Energy products",$E$2:$E$618,"Supply",$G$2:$G$618,"&lt;&gt;STAT")-SUMIFS($K$2:$K$618,$B$2:$B$618,$B108,$C$2:$C$618,$C108,$D$2:$D$618,"Energy products",$E$2:$E$618,"Use",$G$2:$G$618,"&lt;&gt;STAT"),10),IF($J108="cambio de signo",-INDEX(DATOS_MODELO!$U$2:$U$3672,MATCH($H108,DATOS_MODELO!$B$2:$B$3672,0)),IF($J108="valor absoluto",ABS(INDEX(DATOS_MODELO!$U$2:$U$3672,MATCH($H108,DATOS_MODELO!$B$2:$B$3672,0))),INDEX(DATOS_MODELO!$U$2:$U$3672,MATCH($H108,DATOS_MODELO!$B$2:$B$3672,0))))))</f>
        <v>25658.7611</v>
      </c>
      <c r="L108" s="8" t="str">
        <f aca="false">IF(LEFT($H108,5)&lt;&gt;"STAT_","",IF(ABS($K108)&lt;=COUNTIFS($B$2:$B$618,$B108,$C$2:$C$618,$C108,$D$2:$D$618,"Energy products",$G$2:$G$618,"&lt;&gt;STAT")*PARAMETROS!$B$6,"redondeo","residuo_estadistico"))</f>
        <v/>
      </c>
      <c r="M108" s="8" t="str">
        <f>IF(OR($I108="USO_NO_ENERGETICO_APARENTE",$I108="USO_ENERGETICO_INTERNO_APARENTE"),"CAL",IF(LEFT($H108,5)="STAT_","FORMULA",IF(COUNTIF(DATOS_MODELO!$B$2:$B$3672,$H108)=1,"OK","REVISAR")))</f>
        <v>OK</v>
      </c>
    </row>
    <row r="109" customFormat="false" ht="15" hidden="false" customHeight="false" outlineLevel="0" collapsed="false">
      <c r="A109" s="4" t="s">
        <v>2272</v>
      </c>
      <c r="B109" s="12" t="n">
        <v>2023</v>
      </c>
      <c r="C109" s="4" t="s">
        <v>84</v>
      </c>
      <c r="D109" s="4" t="s">
        <v>2018</v>
      </c>
      <c r="E109" s="4" t="s">
        <v>2001</v>
      </c>
      <c r="F109" s="4" t="s">
        <v>66</v>
      </c>
      <c r="G109" s="4" t="s">
        <v>67</v>
      </c>
      <c r="H109" s="4" t="s">
        <v>1515</v>
      </c>
      <c r="I109" s="4" t="s">
        <v>2008</v>
      </c>
      <c r="J109" s="4" t="s">
        <v>2004</v>
      </c>
      <c r="K109" s="14">
        <f>IF(OR($I109="USO_NO_ENERGETICO_APARENTE",$I109="USO_ENERGETICO_INTERNO_APARENTE"),ROUND(SUMIFS($K$2:$K$618,$B$2:$B$618,$B109,$C$2:$C$618,$C109,$D$2:$D$618,"Energy products",$E$2:$E$618,"Supply",$G$2:$G$618,"&lt;&gt;STAT")-SUMIFS($K$2:$K$618,$B$2:$B$618,$B109,$C$2:$C$618,$C109,$D$2:$D$618,"Energy products",$E$2:$E$618,"Use",$G$2:$G$618,"&lt;&gt;STAT",$I$2:$I$618,"&lt;&gt;USO_NO_ENERGETICO_APARENTE",$I$2:$I$618,"&lt;&gt;USO_ENERGETICO_INTERNO_APARENTE"),10),IF(LEFT($H109,5)="STAT_",ROUND(SUMIFS($K$2:$K$618,$B$2:$B$618,$B109,$C$2:$C$618,$C109,$D$2:$D$618,"Energy products",$E$2:$E$618,"Supply",$G$2:$G$618,"&lt;&gt;STAT")-SUMIFS($K$2:$K$618,$B$2:$B$618,$B109,$C$2:$C$618,$C109,$D$2:$D$618,"Energy products",$E$2:$E$618,"Use",$G$2:$G$618,"&lt;&gt;STAT"),10),IF($J109="cambio de signo",-INDEX(DATOS_MODELO!$U$2:$U$3672,MATCH($H109,DATOS_MODELO!$B$2:$B$3672,0)),IF($J109="valor absoluto",ABS(INDEX(DATOS_MODELO!$U$2:$U$3672,MATCH($H109,DATOS_MODELO!$B$2:$B$3672,0))),INDEX(DATOS_MODELO!$U$2:$U$3672,MATCH($H109,DATOS_MODELO!$B$2:$B$3672,0))))))</f>
        <v>105.2772</v>
      </c>
      <c r="L109" s="8" t="str">
        <f aca="false">IF(LEFT($H109,5)&lt;&gt;"STAT_","",IF(ABS($K109)&lt;=COUNTIFS($B$2:$B$618,$B109,$C$2:$C$618,$C109,$D$2:$D$618,"Energy products",$G$2:$G$618,"&lt;&gt;STAT")*PARAMETROS!$B$6,"redondeo","residuo_estadistico"))</f>
        <v/>
      </c>
      <c r="M109" s="8" t="str">
        <f>IF(OR($I109="USO_NO_ENERGETICO_APARENTE",$I109="USO_ENERGETICO_INTERNO_APARENTE"),"CAL",IF(LEFT($H109,5)="STAT_","FORMULA",IF(COUNTIF(DATOS_MODELO!$B$2:$B$3672,$H109)=1,"OK","REVISAR")))</f>
        <v>OK</v>
      </c>
    </row>
    <row r="110" customFormat="false" ht="15" hidden="false" customHeight="false" outlineLevel="0" collapsed="false">
      <c r="A110" s="4" t="s">
        <v>2274</v>
      </c>
      <c r="B110" s="12" t="n">
        <v>2023</v>
      </c>
      <c r="C110" s="4" t="s">
        <v>109</v>
      </c>
      <c r="D110" s="4" t="s">
        <v>1993</v>
      </c>
      <c r="E110" s="4" t="s">
        <v>1994</v>
      </c>
      <c r="F110" s="4" t="s">
        <v>1995</v>
      </c>
      <c r="G110" s="4" t="s">
        <v>65</v>
      </c>
      <c r="H110" s="4" t="s">
        <v>1523</v>
      </c>
      <c r="I110" s="4" t="s">
        <v>2070</v>
      </c>
      <c r="J110" s="4" t="s">
        <v>1997</v>
      </c>
      <c r="K110" s="14">
        <f>IF(OR($I110="USO_NO_ENERGETICO_APARENTE",$I110="USO_ENERGETICO_INTERNO_APARENTE"),ROUND(SUMIFS($K$2:$K$618,$B$2:$B$618,$B110,$C$2:$C$618,$C110,$D$2:$D$618,"Energy products",$E$2:$E$618,"Supply",$G$2:$G$618,"&lt;&gt;STAT")-SUMIFS($K$2:$K$618,$B$2:$B$618,$B110,$C$2:$C$618,$C110,$D$2:$D$618,"Energy products",$E$2:$E$618,"Use",$G$2:$G$618,"&lt;&gt;STAT",$I$2:$I$618,"&lt;&gt;USO_NO_ENERGETICO_APARENTE",$I$2:$I$618,"&lt;&gt;USO_ENERGETICO_INTERNO_APARENTE"),10),IF(LEFT($H110,5)="STAT_",ROUND(SUMIFS($K$2:$K$618,$B$2:$B$618,$B110,$C$2:$C$618,$C110,$D$2:$D$618,"Energy products",$E$2:$E$618,"Supply",$G$2:$G$618,"&lt;&gt;STAT")-SUMIFS($K$2:$K$618,$B$2:$B$618,$B110,$C$2:$C$618,$C110,$D$2:$D$618,"Energy products",$E$2:$E$618,"Use",$G$2:$G$618,"&lt;&gt;STAT"),10),IF($J110="cambio de signo",-INDEX(DATOS_MODELO!$U$2:$U$3672,MATCH($H110,DATOS_MODELO!$B$2:$B$3672,0)),IF($J110="valor absoluto",ABS(INDEX(DATOS_MODELO!$U$2:$U$3672,MATCH($H110,DATOS_MODELO!$B$2:$B$3672,0))),INDEX(DATOS_MODELO!$U$2:$U$3672,MATCH($H110,DATOS_MODELO!$B$2:$B$3672,0))))))</f>
        <v>332578.2278</v>
      </c>
      <c r="L110" s="8" t="str">
        <f aca="false">IF(LEFT($H110,5)&lt;&gt;"STAT_","",IF(ABS($K110)&lt;=COUNTIFS($B$2:$B$618,$B110,$C$2:$C$618,$C110,$D$2:$D$618,"Energy products",$G$2:$G$618,"&lt;&gt;STAT")*PARAMETROS!$B$6,"redondeo","residuo_estadistico"))</f>
        <v/>
      </c>
      <c r="M110" s="8" t="str">
        <f>IF(OR($I110="USO_NO_ENERGETICO_APARENTE",$I110="USO_ENERGETICO_INTERNO_APARENTE"),"CAL",IF(LEFT($H110,5)="STAT_","FORMULA",IF(COUNTIF(DATOS_MODELO!$B$2:$B$3672,$H110)=1,"OK","REVISAR")))</f>
        <v>OK</v>
      </c>
    </row>
    <row r="111" customFormat="false" ht="15" hidden="false" customHeight="false" outlineLevel="0" collapsed="false">
      <c r="A111" s="4" t="s">
        <v>2276</v>
      </c>
      <c r="B111" s="12" t="n">
        <v>2023</v>
      </c>
      <c r="C111" s="4" t="s">
        <v>109</v>
      </c>
      <c r="D111" s="4" t="s">
        <v>1993</v>
      </c>
      <c r="E111" s="4" t="s">
        <v>2001</v>
      </c>
      <c r="F111" s="4" t="s">
        <v>2074</v>
      </c>
      <c r="G111" s="4" t="s">
        <v>73</v>
      </c>
      <c r="H111" s="4" t="s">
        <v>1532</v>
      </c>
      <c r="I111" s="4" t="s">
        <v>2075</v>
      </c>
      <c r="J111" s="4" t="s">
        <v>1997</v>
      </c>
      <c r="K111" s="14">
        <f>IF(OR($I111="USO_NO_ENERGETICO_APARENTE",$I111="USO_ENERGETICO_INTERNO_APARENTE"),ROUND(SUMIFS($K$2:$K$618,$B$2:$B$618,$B111,$C$2:$C$618,$C111,$D$2:$D$618,"Energy products",$E$2:$E$618,"Supply",$G$2:$G$618,"&lt;&gt;STAT")-SUMIFS($K$2:$K$618,$B$2:$B$618,$B111,$C$2:$C$618,$C111,$D$2:$D$618,"Energy products",$E$2:$E$618,"Use",$G$2:$G$618,"&lt;&gt;STAT",$I$2:$I$618,"&lt;&gt;USO_NO_ENERGETICO_APARENTE",$I$2:$I$618,"&lt;&gt;USO_ENERGETICO_INTERNO_APARENTE"),10),IF(LEFT($H111,5)="STAT_",ROUND(SUMIFS($K$2:$K$618,$B$2:$B$618,$B111,$C$2:$C$618,$C111,$D$2:$D$618,"Energy products",$E$2:$E$618,"Supply",$G$2:$G$618,"&lt;&gt;STAT")-SUMIFS($K$2:$K$618,$B$2:$B$618,$B111,$C$2:$C$618,$C111,$D$2:$D$618,"Energy products",$E$2:$E$618,"Use",$G$2:$G$618,"&lt;&gt;STAT"),10),IF($J111="cambio de signo",-INDEX(DATOS_MODELO!$U$2:$U$3672,MATCH($H111,DATOS_MODELO!$B$2:$B$3672,0)),IF($J111="valor absoluto",ABS(INDEX(DATOS_MODELO!$U$2:$U$3672,MATCH($H111,DATOS_MODELO!$B$2:$B$3672,0))),INDEX(DATOS_MODELO!$U$2:$U$3672,MATCH($H111,DATOS_MODELO!$B$2:$B$3672,0))))))</f>
        <v>322600.8891</v>
      </c>
      <c r="L111" s="8" t="str">
        <f aca="false">IF(LEFT($H111,5)&lt;&gt;"STAT_","",IF(ABS($K111)&lt;=COUNTIFS($B$2:$B$618,$B111,$C$2:$C$618,$C111,$D$2:$D$618,"Energy products",$G$2:$G$618,"&lt;&gt;STAT")*PARAMETROS!$B$6,"redondeo","residuo_estadistico"))</f>
        <v/>
      </c>
      <c r="M111" s="8" t="str">
        <f>IF(OR($I111="USO_NO_ENERGETICO_APARENTE",$I111="USO_ENERGETICO_INTERNO_APARENTE"),"CAL",IF(LEFT($H111,5)="STAT_","FORMULA",IF(COUNTIF(DATOS_MODELO!$B$2:$B$3672,$H111)=1,"OK","REVISAR")))</f>
        <v>OK</v>
      </c>
    </row>
    <row r="112" customFormat="false" ht="15" hidden="false" customHeight="false" outlineLevel="0" collapsed="false">
      <c r="A112" s="4" t="s">
        <v>2278</v>
      </c>
      <c r="B112" s="12" t="n">
        <v>2023</v>
      </c>
      <c r="C112" s="4" t="s">
        <v>109</v>
      </c>
      <c r="D112" s="4" t="s">
        <v>1993</v>
      </c>
      <c r="E112" s="4" t="s">
        <v>2001</v>
      </c>
      <c r="F112" s="4" t="s">
        <v>2002</v>
      </c>
      <c r="G112" s="4" t="s">
        <v>72</v>
      </c>
      <c r="H112" s="4" t="s">
        <v>1533</v>
      </c>
      <c r="I112" s="4" t="s">
        <v>2079</v>
      </c>
      <c r="J112" s="4" t="s">
        <v>1997</v>
      </c>
      <c r="K112" s="14">
        <f>IF(OR($I112="USO_NO_ENERGETICO_APARENTE",$I112="USO_ENERGETICO_INTERNO_APARENTE"),ROUND(SUMIFS($K$2:$K$618,$B$2:$B$618,$B112,$C$2:$C$618,$C112,$D$2:$D$618,"Energy products",$E$2:$E$618,"Supply",$G$2:$G$618,"&lt;&gt;STAT")-SUMIFS($K$2:$K$618,$B$2:$B$618,$B112,$C$2:$C$618,$C112,$D$2:$D$618,"Energy products",$E$2:$E$618,"Use",$G$2:$G$618,"&lt;&gt;STAT",$I$2:$I$618,"&lt;&gt;USO_NO_ENERGETICO_APARENTE",$I$2:$I$618,"&lt;&gt;USO_ENERGETICO_INTERNO_APARENTE"),10),IF(LEFT($H112,5)="STAT_",ROUND(SUMIFS($K$2:$K$618,$B$2:$B$618,$B112,$C$2:$C$618,$C112,$D$2:$D$618,"Energy products",$E$2:$E$618,"Supply",$G$2:$G$618,"&lt;&gt;STAT")-SUMIFS($K$2:$K$618,$B$2:$B$618,$B112,$C$2:$C$618,$C112,$D$2:$D$618,"Energy products",$E$2:$E$618,"Use",$G$2:$G$618,"&lt;&gt;STAT"),10),IF($J112="cambio de signo",-INDEX(DATOS_MODELO!$U$2:$U$3672,MATCH($H112,DATOS_MODELO!$B$2:$B$3672,0)),IF($J112="valor absoluto",ABS(INDEX(DATOS_MODELO!$U$2:$U$3672,MATCH($H112,DATOS_MODELO!$B$2:$B$3672,0))),INDEX(DATOS_MODELO!$U$2:$U$3672,MATCH($H112,DATOS_MODELO!$B$2:$B$3672,0))))))</f>
        <v>9977.3387</v>
      </c>
      <c r="L112" s="8" t="str">
        <f aca="false">IF(LEFT($H112,5)&lt;&gt;"STAT_","",IF(ABS($K112)&lt;=COUNTIFS($B$2:$B$618,$B112,$C$2:$C$618,$C112,$D$2:$D$618,"Energy products",$G$2:$G$618,"&lt;&gt;STAT")*PARAMETROS!$B$6,"redondeo","residuo_estadistico"))</f>
        <v/>
      </c>
      <c r="M112" s="8" t="str">
        <f>IF(OR($I112="USO_NO_ENERGETICO_APARENTE",$I112="USO_ENERGETICO_INTERNO_APARENTE"),"CAL",IF(LEFT($H112,5)="STAT_","FORMULA",IF(COUNTIF(DATOS_MODELO!$B$2:$B$3672,$H112)=1,"OK","REVISAR")))</f>
        <v>OK</v>
      </c>
    </row>
    <row r="113" customFormat="false" ht="15" hidden="false" customHeight="false" outlineLevel="0" collapsed="false">
      <c r="A113" s="4" t="s">
        <v>2280</v>
      </c>
      <c r="B113" s="12" t="n">
        <v>2023</v>
      </c>
      <c r="C113" s="4" t="s">
        <v>86</v>
      </c>
      <c r="D113" s="4" t="s">
        <v>2018</v>
      </c>
      <c r="E113" s="4" t="s">
        <v>1994</v>
      </c>
      <c r="F113" s="4" t="s">
        <v>65</v>
      </c>
      <c r="G113" s="4" t="s">
        <v>64</v>
      </c>
      <c r="H113" s="4" t="s">
        <v>1537</v>
      </c>
      <c r="I113" s="4" t="s">
        <v>2019</v>
      </c>
      <c r="J113" s="4" t="s">
        <v>1997</v>
      </c>
      <c r="K113" s="14">
        <f>IF(OR($I113="USO_NO_ENERGETICO_APARENTE",$I113="USO_ENERGETICO_INTERNO_APARENTE"),ROUND(SUMIFS($K$2:$K$618,$B$2:$B$618,$B113,$C$2:$C$618,$C113,$D$2:$D$618,"Energy products",$E$2:$E$618,"Supply",$G$2:$G$618,"&lt;&gt;STAT")-SUMIFS($K$2:$K$618,$B$2:$B$618,$B113,$C$2:$C$618,$C113,$D$2:$D$618,"Energy products",$E$2:$E$618,"Use",$G$2:$G$618,"&lt;&gt;STAT",$I$2:$I$618,"&lt;&gt;USO_NO_ENERGETICO_APARENTE",$I$2:$I$618,"&lt;&gt;USO_ENERGETICO_INTERNO_APARENTE"),10),IF(LEFT($H113,5)="STAT_",ROUND(SUMIFS($K$2:$K$618,$B$2:$B$618,$B113,$C$2:$C$618,$C113,$D$2:$D$618,"Energy products",$E$2:$E$618,"Supply",$G$2:$G$618,"&lt;&gt;STAT")-SUMIFS($K$2:$K$618,$B$2:$B$618,$B113,$C$2:$C$618,$C113,$D$2:$D$618,"Energy products",$E$2:$E$618,"Use",$G$2:$G$618,"&lt;&gt;STAT"),10),IF($J113="cambio de signo",-INDEX(DATOS_MODELO!$U$2:$U$3672,MATCH($H113,DATOS_MODELO!$B$2:$B$3672,0)),IF($J113="valor absoluto",ABS(INDEX(DATOS_MODELO!$U$2:$U$3672,MATCH($H113,DATOS_MODELO!$B$2:$B$3672,0))),INDEX(DATOS_MODELO!$U$2:$U$3672,MATCH($H113,DATOS_MODELO!$B$2:$B$3672,0))))))</f>
        <v>10510.2319</v>
      </c>
      <c r="L113" s="8" t="str">
        <f aca="false">IF(LEFT($H113,5)&lt;&gt;"STAT_","",IF(ABS($K113)&lt;=COUNTIFS($B$2:$B$618,$B113,$C$2:$C$618,$C113,$D$2:$D$618,"Energy products",$G$2:$G$618,"&lt;&gt;STAT")*PARAMETROS!$B$6,"redondeo","residuo_estadistico"))</f>
        <v/>
      </c>
      <c r="M113" s="8" t="str">
        <f>IF(OR($I113="USO_NO_ENERGETICO_APARENTE",$I113="USO_ENERGETICO_INTERNO_APARENTE"),"CAL",IF(LEFT($H113,5)="STAT_","FORMULA",IF(COUNTIF(DATOS_MODELO!$B$2:$B$3672,$H113)=1,"OK","REVISAR")))</f>
        <v>OK</v>
      </c>
    </row>
    <row r="114" customFormat="false" ht="15" hidden="false" customHeight="false" outlineLevel="0" collapsed="false">
      <c r="A114" s="4" t="s">
        <v>2282</v>
      </c>
      <c r="B114" s="12" t="n">
        <v>2023</v>
      </c>
      <c r="C114" s="4" t="s">
        <v>86</v>
      </c>
      <c r="D114" s="4" t="s">
        <v>2018</v>
      </c>
      <c r="E114" s="4" t="s">
        <v>2001</v>
      </c>
      <c r="F114" s="4" t="s">
        <v>66</v>
      </c>
      <c r="G114" s="4" t="s">
        <v>66</v>
      </c>
      <c r="H114" s="4" t="s">
        <v>1537</v>
      </c>
      <c r="I114" s="4" t="s">
        <v>2019</v>
      </c>
      <c r="J114" s="4" t="s">
        <v>1997</v>
      </c>
      <c r="K114" s="14">
        <f>IF(OR($I114="USO_NO_ENERGETICO_APARENTE",$I114="USO_ENERGETICO_INTERNO_APARENTE"),ROUND(SUMIFS($K$2:$K$618,$B$2:$B$618,$B114,$C$2:$C$618,$C114,$D$2:$D$618,"Energy products",$E$2:$E$618,"Supply",$G$2:$G$618,"&lt;&gt;STAT")-SUMIFS($K$2:$K$618,$B$2:$B$618,$B114,$C$2:$C$618,$C114,$D$2:$D$618,"Energy products",$E$2:$E$618,"Use",$G$2:$G$618,"&lt;&gt;STAT",$I$2:$I$618,"&lt;&gt;USO_NO_ENERGETICO_APARENTE",$I$2:$I$618,"&lt;&gt;USO_ENERGETICO_INTERNO_APARENTE"),10),IF(LEFT($H114,5)="STAT_",ROUND(SUMIFS($K$2:$K$618,$B$2:$B$618,$B114,$C$2:$C$618,$C114,$D$2:$D$618,"Energy products",$E$2:$E$618,"Supply",$G$2:$G$618,"&lt;&gt;STAT")-SUMIFS($K$2:$K$618,$B$2:$B$618,$B114,$C$2:$C$618,$C114,$D$2:$D$618,"Energy products",$E$2:$E$618,"Use",$G$2:$G$618,"&lt;&gt;STAT"),10),IF($J114="cambio de signo",-INDEX(DATOS_MODELO!$U$2:$U$3672,MATCH($H114,DATOS_MODELO!$B$2:$B$3672,0)),IF($J114="valor absoluto",ABS(INDEX(DATOS_MODELO!$U$2:$U$3672,MATCH($H114,DATOS_MODELO!$B$2:$B$3672,0))),INDEX(DATOS_MODELO!$U$2:$U$3672,MATCH($H114,DATOS_MODELO!$B$2:$B$3672,0))))))</f>
        <v>10510.2319</v>
      </c>
      <c r="L114" s="8" t="str">
        <f aca="false">IF(LEFT($H114,5)&lt;&gt;"STAT_","",IF(ABS($K114)&lt;=COUNTIFS($B$2:$B$618,$B114,$C$2:$C$618,$C114,$D$2:$D$618,"Energy products",$G$2:$G$618,"&lt;&gt;STAT")*PARAMETROS!$B$6,"redondeo","residuo_estadistico"))</f>
        <v/>
      </c>
      <c r="M114" s="8" t="str">
        <f>IF(OR($I114="USO_NO_ENERGETICO_APARENTE",$I114="USO_ENERGETICO_INTERNO_APARENTE"),"CAL",IF(LEFT($H114,5)="STAT_","FORMULA",IF(COUNTIF(DATOS_MODELO!$B$2:$B$3672,$H114)=1,"OK","REVISAR")))</f>
        <v>OK</v>
      </c>
    </row>
    <row r="115" customFormat="false" ht="15" hidden="false" customHeight="false" outlineLevel="0" collapsed="false">
      <c r="A115" s="4" t="s">
        <v>2284</v>
      </c>
      <c r="B115" s="12" t="n">
        <v>2023</v>
      </c>
      <c r="C115" s="4" t="s">
        <v>86</v>
      </c>
      <c r="D115" s="4" t="s">
        <v>1993</v>
      </c>
      <c r="E115" s="4" t="s">
        <v>1994</v>
      </c>
      <c r="F115" s="4" t="s">
        <v>1995</v>
      </c>
      <c r="G115" s="4" t="s">
        <v>66</v>
      </c>
      <c r="H115" s="4" t="s">
        <v>1537</v>
      </c>
      <c r="I115" s="4" t="s">
        <v>2019</v>
      </c>
      <c r="J115" s="4" t="s">
        <v>1997</v>
      </c>
      <c r="K115" s="14">
        <f>IF(OR($I115="USO_NO_ENERGETICO_APARENTE",$I115="USO_ENERGETICO_INTERNO_APARENTE"),ROUND(SUMIFS($K$2:$K$618,$B$2:$B$618,$B115,$C$2:$C$618,$C115,$D$2:$D$618,"Energy products",$E$2:$E$618,"Supply",$G$2:$G$618,"&lt;&gt;STAT")-SUMIFS($K$2:$K$618,$B$2:$B$618,$B115,$C$2:$C$618,$C115,$D$2:$D$618,"Energy products",$E$2:$E$618,"Use",$G$2:$G$618,"&lt;&gt;STAT",$I$2:$I$618,"&lt;&gt;USO_NO_ENERGETICO_APARENTE",$I$2:$I$618,"&lt;&gt;USO_ENERGETICO_INTERNO_APARENTE"),10),IF(LEFT($H115,5)="STAT_",ROUND(SUMIFS($K$2:$K$618,$B$2:$B$618,$B115,$C$2:$C$618,$C115,$D$2:$D$618,"Energy products",$E$2:$E$618,"Supply",$G$2:$G$618,"&lt;&gt;STAT")-SUMIFS($K$2:$K$618,$B$2:$B$618,$B115,$C$2:$C$618,$C115,$D$2:$D$618,"Energy products",$E$2:$E$618,"Use",$G$2:$G$618,"&lt;&gt;STAT"),10),IF($J115="cambio de signo",-INDEX(DATOS_MODELO!$U$2:$U$3672,MATCH($H115,DATOS_MODELO!$B$2:$B$3672,0)),IF($J115="valor absoluto",ABS(INDEX(DATOS_MODELO!$U$2:$U$3672,MATCH($H115,DATOS_MODELO!$B$2:$B$3672,0))),INDEX(DATOS_MODELO!$U$2:$U$3672,MATCH($H115,DATOS_MODELO!$B$2:$B$3672,0))))))</f>
        <v>10510.2319</v>
      </c>
      <c r="L115" s="8" t="str">
        <f aca="false">IF(LEFT($H115,5)&lt;&gt;"STAT_","",IF(ABS($K115)&lt;=COUNTIFS($B$2:$B$618,$B115,$C$2:$C$618,$C115,$D$2:$D$618,"Energy products",$G$2:$G$618,"&lt;&gt;STAT")*PARAMETROS!$B$6,"redondeo","residuo_estadistico"))</f>
        <v/>
      </c>
      <c r="M115" s="8" t="str">
        <f>IF(OR($I115="USO_NO_ENERGETICO_APARENTE",$I115="USO_ENERGETICO_INTERNO_APARENTE"),"CAL",IF(LEFT($H115,5)="STAT_","FORMULA",IF(COUNTIF(DATOS_MODELO!$B$2:$B$3672,$H115)=1,"OK","REVISAR")))</f>
        <v>OK</v>
      </c>
    </row>
    <row r="116" customFormat="false" ht="15" hidden="false" customHeight="false" outlineLevel="0" collapsed="false">
      <c r="A116" s="4" t="s">
        <v>2286</v>
      </c>
      <c r="B116" s="12" t="n">
        <v>2023</v>
      </c>
      <c r="C116" s="4" t="s">
        <v>86</v>
      </c>
      <c r="D116" s="4" t="s">
        <v>1993</v>
      </c>
      <c r="E116" s="4" t="s">
        <v>1994</v>
      </c>
      <c r="F116" s="4" t="s">
        <v>2029</v>
      </c>
      <c r="G116" s="4" t="s">
        <v>69</v>
      </c>
      <c r="H116" s="4" t="s">
        <v>1538</v>
      </c>
      <c r="I116" s="4" t="s">
        <v>2030</v>
      </c>
      <c r="J116" s="4" t="s">
        <v>1997</v>
      </c>
      <c r="K116" s="14">
        <f>IF(OR($I116="USO_NO_ENERGETICO_APARENTE",$I116="USO_ENERGETICO_INTERNO_APARENTE"),ROUND(SUMIFS($K$2:$K$618,$B$2:$B$618,$B116,$C$2:$C$618,$C116,$D$2:$D$618,"Energy products",$E$2:$E$618,"Supply",$G$2:$G$618,"&lt;&gt;STAT")-SUMIFS($K$2:$K$618,$B$2:$B$618,$B116,$C$2:$C$618,$C116,$D$2:$D$618,"Energy products",$E$2:$E$618,"Use",$G$2:$G$618,"&lt;&gt;STAT",$I$2:$I$618,"&lt;&gt;USO_NO_ENERGETICO_APARENTE",$I$2:$I$618,"&lt;&gt;USO_ENERGETICO_INTERNO_APARENTE"),10),IF(LEFT($H116,5)="STAT_",ROUND(SUMIFS($K$2:$K$618,$B$2:$B$618,$B116,$C$2:$C$618,$C116,$D$2:$D$618,"Energy products",$E$2:$E$618,"Supply",$G$2:$G$618,"&lt;&gt;STAT")-SUMIFS($K$2:$K$618,$B$2:$B$618,$B116,$C$2:$C$618,$C116,$D$2:$D$618,"Energy products",$E$2:$E$618,"Use",$G$2:$G$618,"&lt;&gt;STAT"),10),IF($J116="cambio de signo",-INDEX(DATOS_MODELO!$U$2:$U$3672,MATCH($H116,DATOS_MODELO!$B$2:$B$3672,0)),IF($J116="valor absoluto",ABS(INDEX(DATOS_MODELO!$U$2:$U$3672,MATCH($H116,DATOS_MODELO!$B$2:$B$3672,0))),INDEX(DATOS_MODELO!$U$2:$U$3672,MATCH($H116,DATOS_MODELO!$B$2:$B$3672,0))))))</f>
        <v>101.0359</v>
      </c>
      <c r="L116" s="8" t="str">
        <f aca="false">IF(LEFT($H116,5)&lt;&gt;"STAT_","",IF(ABS($K116)&lt;=COUNTIFS($B$2:$B$618,$B116,$C$2:$C$618,$C116,$D$2:$D$618,"Energy products",$G$2:$G$618,"&lt;&gt;STAT")*PARAMETROS!$B$6,"redondeo","residuo_estadistico"))</f>
        <v/>
      </c>
      <c r="M116" s="8" t="str">
        <f>IF(OR($I116="USO_NO_ENERGETICO_APARENTE",$I116="USO_ENERGETICO_INTERNO_APARENTE"),"CAL",IF(LEFT($H116,5)="STAT_","FORMULA",IF(COUNTIF(DATOS_MODELO!$B$2:$B$3672,$H116)=1,"OK","REVISAR")))</f>
        <v>OK</v>
      </c>
    </row>
    <row r="117" customFormat="false" ht="15" hidden="false" customHeight="false" outlineLevel="0" collapsed="false">
      <c r="A117" s="4" t="s">
        <v>2288</v>
      </c>
      <c r="B117" s="12" t="n">
        <v>2023</v>
      </c>
      <c r="C117" s="4" t="s">
        <v>86</v>
      </c>
      <c r="D117" s="4" t="s">
        <v>1993</v>
      </c>
      <c r="E117" s="4" t="s">
        <v>2001</v>
      </c>
      <c r="F117" s="4" t="s">
        <v>2091</v>
      </c>
      <c r="G117" s="4" t="s">
        <v>69</v>
      </c>
      <c r="H117" s="4" t="s">
        <v>1539</v>
      </c>
      <c r="I117" s="4" t="s">
        <v>2030</v>
      </c>
      <c r="J117" s="4" t="s">
        <v>1997</v>
      </c>
      <c r="K117" s="14">
        <f>IF(OR($I117="USO_NO_ENERGETICO_APARENTE",$I117="USO_ENERGETICO_INTERNO_APARENTE"),ROUND(SUMIFS($K$2:$K$618,$B$2:$B$618,$B117,$C$2:$C$618,$C117,$D$2:$D$618,"Energy products",$E$2:$E$618,"Supply",$G$2:$G$618,"&lt;&gt;STAT")-SUMIFS($K$2:$K$618,$B$2:$B$618,$B117,$C$2:$C$618,$C117,$D$2:$D$618,"Energy products",$E$2:$E$618,"Use",$G$2:$G$618,"&lt;&gt;STAT",$I$2:$I$618,"&lt;&gt;USO_NO_ENERGETICO_APARENTE",$I$2:$I$618,"&lt;&gt;USO_ENERGETICO_INTERNO_APARENTE"),10),IF(LEFT($H117,5)="STAT_",ROUND(SUMIFS($K$2:$K$618,$B$2:$B$618,$B117,$C$2:$C$618,$C117,$D$2:$D$618,"Energy products",$E$2:$E$618,"Supply",$G$2:$G$618,"&lt;&gt;STAT")-SUMIFS($K$2:$K$618,$B$2:$B$618,$B117,$C$2:$C$618,$C117,$D$2:$D$618,"Energy products",$E$2:$E$618,"Use",$G$2:$G$618,"&lt;&gt;STAT"),10),IF($J117="cambio de signo",-INDEX(DATOS_MODELO!$U$2:$U$3672,MATCH($H117,DATOS_MODELO!$B$2:$B$3672,0)),IF($J117="valor absoluto",ABS(INDEX(DATOS_MODELO!$U$2:$U$3672,MATCH($H117,DATOS_MODELO!$B$2:$B$3672,0))),INDEX(DATOS_MODELO!$U$2:$U$3672,MATCH($H117,DATOS_MODELO!$B$2:$B$3672,0))))))</f>
        <v>3235.7052</v>
      </c>
      <c r="L117" s="8" t="str">
        <f aca="false">IF(LEFT($H117,5)&lt;&gt;"STAT_","",IF(ABS($K117)&lt;=COUNTIFS($B$2:$B$618,$B117,$C$2:$C$618,$C117,$D$2:$D$618,"Energy products",$G$2:$G$618,"&lt;&gt;STAT")*PARAMETROS!$B$6,"redondeo","residuo_estadistico"))</f>
        <v/>
      </c>
      <c r="M117" s="8" t="str">
        <f>IF(OR($I117="USO_NO_ENERGETICO_APARENTE",$I117="USO_ENERGETICO_INTERNO_APARENTE"),"CAL",IF(LEFT($H117,5)="STAT_","FORMULA",IF(COUNTIF(DATOS_MODELO!$B$2:$B$3672,$H117)=1,"OK","REVISAR")))</f>
        <v>OK</v>
      </c>
    </row>
    <row r="118" customFormat="false" ht="15" hidden="false" customHeight="false" outlineLevel="0" collapsed="false">
      <c r="A118" s="4" t="s">
        <v>2290</v>
      </c>
      <c r="B118" s="12" t="n">
        <v>2023</v>
      </c>
      <c r="C118" s="4" t="s">
        <v>86</v>
      </c>
      <c r="D118" s="4" t="s">
        <v>1993</v>
      </c>
      <c r="E118" s="4" t="s">
        <v>2001</v>
      </c>
      <c r="F118" s="4" t="s">
        <v>2034</v>
      </c>
      <c r="G118" s="4" t="s">
        <v>74</v>
      </c>
      <c r="H118" s="4" t="s">
        <v>1540</v>
      </c>
      <c r="I118" s="4" t="s">
        <v>2035</v>
      </c>
      <c r="J118" s="4" t="s">
        <v>2036</v>
      </c>
      <c r="K118" s="14">
        <f>IF(OR($I118="USO_NO_ENERGETICO_APARENTE",$I118="USO_ENERGETICO_INTERNO_APARENTE"),ROUND(SUMIFS($K$2:$K$618,$B$2:$B$618,$B118,$C$2:$C$618,$C118,$D$2:$D$618,"Energy products",$E$2:$E$618,"Supply",$G$2:$G$618,"&lt;&gt;STAT")-SUMIFS($K$2:$K$618,$B$2:$B$618,$B118,$C$2:$C$618,$C118,$D$2:$D$618,"Energy products",$E$2:$E$618,"Use",$G$2:$G$618,"&lt;&gt;STAT",$I$2:$I$618,"&lt;&gt;USO_NO_ENERGETICO_APARENTE",$I$2:$I$618,"&lt;&gt;USO_ENERGETICO_INTERNO_APARENTE"),10),IF(LEFT($H118,5)="STAT_",ROUND(SUMIFS($K$2:$K$618,$B$2:$B$618,$B118,$C$2:$C$618,$C118,$D$2:$D$618,"Energy products",$E$2:$E$618,"Supply",$G$2:$G$618,"&lt;&gt;STAT")-SUMIFS($K$2:$K$618,$B$2:$B$618,$B118,$C$2:$C$618,$C118,$D$2:$D$618,"Energy products",$E$2:$E$618,"Use",$G$2:$G$618,"&lt;&gt;STAT"),10),IF($J118="cambio de signo",-INDEX(DATOS_MODELO!$U$2:$U$3672,MATCH($H118,DATOS_MODELO!$B$2:$B$3672,0)),IF($J118="valor absoluto",ABS(INDEX(DATOS_MODELO!$U$2:$U$3672,MATCH($H118,DATOS_MODELO!$B$2:$B$3672,0))),INDEX(DATOS_MODELO!$U$2:$U$3672,MATCH($H118,DATOS_MODELO!$B$2:$B$3672,0))))))</f>
        <v>3070.2364</v>
      </c>
      <c r="L118" s="8" t="str">
        <f aca="false">IF(LEFT($H118,5)&lt;&gt;"STAT_","",IF(ABS($K118)&lt;=COUNTIFS($B$2:$B$618,$B118,$C$2:$C$618,$C118,$D$2:$D$618,"Energy products",$G$2:$G$618,"&lt;&gt;STAT")*PARAMETROS!$B$6,"redondeo","residuo_estadistico"))</f>
        <v/>
      </c>
      <c r="M118" s="8" t="str">
        <f>IF(OR($I118="USO_NO_ENERGETICO_APARENTE",$I118="USO_ENERGETICO_INTERNO_APARENTE"),"CAL",IF(LEFT($H118,5)="STAT_","FORMULA",IF(COUNTIF(DATOS_MODELO!$B$2:$B$3672,$H118)=1,"OK","REVISAR")))</f>
        <v>OK</v>
      </c>
    </row>
    <row r="119" customFormat="false" ht="15" hidden="false" customHeight="false" outlineLevel="0" collapsed="false">
      <c r="A119" s="4" t="s">
        <v>2292</v>
      </c>
      <c r="B119" s="12" t="n">
        <v>2023</v>
      </c>
      <c r="C119" s="4" t="s">
        <v>86</v>
      </c>
      <c r="D119" s="4" t="s">
        <v>1993</v>
      </c>
      <c r="E119" s="4" t="s">
        <v>2001</v>
      </c>
      <c r="F119" s="4" t="s">
        <v>2002</v>
      </c>
      <c r="G119" s="4" t="s">
        <v>67</v>
      </c>
      <c r="H119" s="4" t="s">
        <v>1541</v>
      </c>
      <c r="I119" s="4" t="s">
        <v>2097</v>
      </c>
      <c r="J119" s="4" t="s">
        <v>2004</v>
      </c>
      <c r="K119" s="14">
        <f>IF(OR($I119="USO_NO_ENERGETICO_APARENTE",$I119="USO_ENERGETICO_INTERNO_APARENTE"),ROUND(SUMIFS($K$2:$K$618,$B$2:$B$618,$B119,$C$2:$C$618,$C119,$D$2:$D$618,"Energy products",$E$2:$E$618,"Supply",$G$2:$G$618,"&lt;&gt;STAT")-SUMIFS($K$2:$K$618,$B$2:$B$618,$B119,$C$2:$C$618,$C119,$D$2:$D$618,"Energy products",$E$2:$E$618,"Use",$G$2:$G$618,"&lt;&gt;STAT",$I$2:$I$618,"&lt;&gt;USO_NO_ENERGETICO_APARENTE",$I$2:$I$618,"&lt;&gt;USO_ENERGETICO_INTERNO_APARENTE"),10),IF(LEFT($H119,5)="STAT_",ROUND(SUMIFS($K$2:$K$618,$B$2:$B$618,$B119,$C$2:$C$618,$C119,$D$2:$D$618,"Energy products",$E$2:$E$618,"Supply",$G$2:$G$618,"&lt;&gt;STAT")-SUMIFS($K$2:$K$618,$B$2:$B$618,$B119,$C$2:$C$618,$C119,$D$2:$D$618,"Energy products",$E$2:$E$618,"Use",$G$2:$G$618,"&lt;&gt;STAT"),10),IF($J119="cambio de signo",-INDEX(DATOS_MODELO!$U$2:$U$3672,MATCH($H119,DATOS_MODELO!$B$2:$B$3672,0)),IF($J119="valor absoluto",ABS(INDEX(DATOS_MODELO!$U$2:$U$3672,MATCH($H119,DATOS_MODELO!$B$2:$B$3672,0))),INDEX(DATOS_MODELO!$U$2:$U$3672,MATCH($H119,DATOS_MODELO!$B$2:$B$3672,0))))))</f>
        <v>4305.2681</v>
      </c>
      <c r="L119" s="8" t="str">
        <f aca="false">IF(LEFT($H119,5)&lt;&gt;"STAT_","",IF(ABS($K119)&lt;=COUNTIFS($B$2:$B$618,$B119,$C$2:$C$618,$C119,$D$2:$D$618,"Energy products",$G$2:$G$618,"&lt;&gt;STAT")*PARAMETROS!$B$6,"redondeo","residuo_estadistico"))</f>
        <v/>
      </c>
      <c r="M119" s="8" t="str">
        <f>IF(OR($I119="USO_NO_ENERGETICO_APARENTE",$I119="USO_ENERGETICO_INTERNO_APARENTE"),"CAL",IF(LEFT($H119,5)="STAT_","FORMULA",IF(COUNTIF(DATOS_MODELO!$B$2:$B$3672,$H119)=1,"OK","REVISAR")))</f>
        <v>OK</v>
      </c>
    </row>
    <row r="120" customFormat="false" ht="15" hidden="false" customHeight="false" outlineLevel="0" collapsed="false">
      <c r="A120" s="4" t="s">
        <v>2294</v>
      </c>
      <c r="B120" s="12" t="n">
        <v>2023</v>
      </c>
      <c r="C120" s="4" t="s">
        <v>88</v>
      </c>
      <c r="D120" s="4" t="s">
        <v>2018</v>
      </c>
      <c r="E120" s="4" t="s">
        <v>1994</v>
      </c>
      <c r="F120" s="4" t="s">
        <v>65</v>
      </c>
      <c r="G120" s="4" t="s">
        <v>64</v>
      </c>
      <c r="H120" s="4" t="s">
        <v>1551</v>
      </c>
      <c r="I120" s="4" t="s">
        <v>2044</v>
      </c>
      <c r="J120" s="4" t="s">
        <v>1997</v>
      </c>
      <c r="K120" s="14">
        <f>IF(OR($I120="USO_NO_ENERGETICO_APARENTE",$I120="USO_ENERGETICO_INTERNO_APARENTE"),ROUND(SUMIFS($K$2:$K$618,$B$2:$B$618,$B120,$C$2:$C$618,$C120,$D$2:$D$618,"Energy products",$E$2:$E$618,"Supply",$G$2:$G$618,"&lt;&gt;STAT")-SUMIFS($K$2:$K$618,$B$2:$B$618,$B120,$C$2:$C$618,$C120,$D$2:$D$618,"Energy products",$E$2:$E$618,"Use",$G$2:$G$618,"&lt;&gt;STAT",$I$2:$I$618,"&lt;&gt;USO_NO_ENERGETICO_APARENTE",$I$2:$I$618,"&lt;&gt;USO_ENERGETICO_INTERNO_APARENTE"),10),IF(LEFT($H120,5)="STAT_",ROUND(SUMIFS($K$2:$K$618,$B$2:$B$618,$B120,$C$2:$C$618,$C120,$D$2:$D$618,"Energy products",$E$2:$E$618,"Supply",$G$2:$G$618,"&lt;&gt;STAT")-SUMIFS($K$2:$K$618,$B$2:$B$618,$B120,$C$2:$C$618,$C120,$D$2:$D$618,"Energy products",$E$2:$E$618,"Use",$G$2:$G$618,"&lt;&gt;STAT"),10),IF($J120="cambio de signo",-INDEX(DATOS_MODELO!$U$2:$U$3672,MATCH($H120,DATOS_MODELO!$B$2:$B$3672,0)),IF($J120="valor absoluto",ABS(INDEX(DATOS_MODELO!$U$2:$U$3672,MATCH($H120,DATOS_MODELO!$B$2:$B$3672,0))),INDEX(DATOS_MODELO!$U$2:$U$3672,MATCH($H120,DATOS_MODELO!$B$2:$B$3672,0))))))</f>
        <v>887.187</v>
      </c>
      <c r="L120" s="8" t="str">
        <f aca="false">IF(LEFT($H120,5)&lt;&gt;"STAT_","",IF(ABS($K120)&lt;=COUNTIFS($B$2:$B$618,$B120,$C$2:$C$618,$C120,$D$2:$D$618,"Energy products",$G$2:$G$618,"&lt;&gt;STAT")*PARAMETROS!$B$6,"redondeo","residuo_estadistico"))</f>
        <v/>
      </c>
      <c r="M120" s="8" t="str">
        <f>IF(OR($I120="USO_NO_ENERGETICO_APARENTE",$I120="USO_ENERGETICO_INTERNO_APARENTE"),"CAL",IF(LEFT($H120,5)="STAT_","FORMULA",IF(COUNTIF(DATOS_MODELO!$B$2:$B$3672,$H120)=1,"OK","REVISAR")))</f>
        <v>OK</v>
      </c>
    </row>
    <row r="121" customFormat="false" ht="15" hidden="false" customHeight="false" outlineLevel="0" collapsed="false">
      <c r="A121" s="4" t="s">
        <v>2296</v>
      </c>
      <c r="B121" s="12" t="n">
        <v>2023</v>
      </c>
      <c r="C121" s="4" t="s">
        <v>88</v>
      </c>
      <c r="D121" s="4" t="s">
        <v>2018</v>
      </c>
      <c r="E121" s="4" t="s">
        <v>2001</v>
      </c>
      <c r="F121" s="4" t="s">
        <v>66</v>
      </c>
      <c r="G121" s="4" t="s">
        <v>67</v>
      </c>
      <c r="H121" s="4" t="s">
        <v>1556</v>
      </c>
      <c r="I121" s="4" t="s">
        <v>2003</v>
      </c>
      <c r="J121" s="4" t="s">
        <v>2004</v>
      </c>
      <c r="K121" s="14">
        <f>IF(OR($I121="USO_NO_ENERGETICO_APARENTE",$I121="USO_ENERGETICO_INTERNO_APARENTE"),ROUND(SUMIFS($K$2:$K$618,$B$2:$B$618,$B121,$C$2:$C$618,$C121,$D$2:$D$618,"Energy products",$E$2:$E$618,"Supply",$G$2:$G$618,"&lt;&gt;STAT")-SUMIFS($K$2:$K$618,$B$2:$B$618,$B121,$C$2:$C$618,$C121,$D$2:$D$618,"Energy products",$E$2:$E$618,"Use",$G$2:$G$618,"&lt;&gt;STAT",$I$2:$I$618,"&lt;&gt;USO_NO_ENERGETICO_APARENTE",$I$2:$I$618,"&lt;&gt;USO_ENERGETICO_INTERNO_APARENTE"),10),IF(LEFT($H121,5)="STAT_",ROUND(SUMIFS($K$2:$K$618,$B$2:$B$618,$B121,$C$2:$C$618,$C121,$D$2:$D$618,"Energy products",$E$2:$E$618,"Supply",$G$2:$G$618,"&lt;&gt;STAT")-SUMIFS($K$2:$K$618,$B$2:$B$618,$B121,$C$2:$C$618,$C121,$D$2:$D$618,"Energy products",$E$2:$E$618,"Use",$G$2:$G$618,"&lt;&gt;STAT"),10),IF($J121="cambio de signo",-INDEX(DATOS_MODELO!$U$2:$U$3672,MATCH($H121,DATOS_MODELO!$B$2:$B$3672,0)),IF($J121="valor absoluto",ABS(INDEX(DATOS_MODELO!$U$2:$U$3672,MATCH($H121,DATOS_MODELO!$B$2:$B$3672,0))),INDEX(DATOS_MODELO!$U$2:$U$3672,MATCH($H121,DATOS_MODELO!$B$2:$B$3672,0))))))</f>
        <v>887.187</v>
      </c>
      <c r="L121" s="8" t="str">
        <f aca="false">IF(LEFT($H121,5)&lt;&gt;"STAT_","",IF(ABS($K121)&lt;=COUNTIFS($B$2:$B$618,$B121,$C$2:$C$618,$C121,$D$2:$D$618,"Energy products",$G$2:$G$618,"&lt;&gt;STAT")*PARAMETROS!$B$6,"redondeo","residuo_estadistico"))</f>
        <v/>
      </c>
      <c r="M121" s="8" t="str">
        <f>IF(OR($I121="USO_NO_ENERGETICO_APARENTE",$I121="USO_ENERGETICO_INTERNO_APARENTE"),"CAL",IF(LEFT($H121,5)="STAT_","FORMULA",IF(COUNTIF(DATOS_MODELO!$B$2:$B$3672,$H121)=1,"OK","REVISAR")))</f>
        <v>OK</v>
      </c>
    </row>
    <row r="122" customFormat="false" ht="15" hidden="false" customHeight="false" outlineLevel="0" collapsed="false">
      <c r="A122" s="4" t="s">
        <v>2298</v>
      </c>
      <c r="B122" s="12" t="n">
        <v>2023</v>
      </c>
      <c r="C122" s="4" t="s">
        <v>95</v>
      </c>
      <c r="D122" s="4" t="s">
        <v>1993</v>
      </c>
      <c r="E122" s="4" t="s">
        <v>1994</v>
      </c>
      <c r="F122" s="4" t="s">
        <v>2029</v>
      </c>
      <c r="G122" s="4" t="s">
        <v>69</v>
      </c>
      <c r="H122" s="4" t="s">
        <v>1566</v>
      </c>
      <c r="I122" s="4" t="s">
        <v>2030</v>
      </c>
      <c r="J122" s="4" t="s">
        <v>1997</v>
      </c>
      <c r="K122" s="14">
        <f>IF(OR($I122="USO_NO_ENERGETICO_APARENTE",$I122="USO_ENERGETICO_INTERNO_APARENTE"),ROUND(SUMIFS($K$2:$K$618,$B$2:$B$618,$B122,$C$2:$C$618,$C122,$D$2:$D$618,"Energy products",$E$2:$E$618,"Supply",$G$2:$G$618,"&lt;&gt;STAT")-SUMIFS($K$2:$K$618,$B$2:$B$618,$B122,$C$2:$C$618,$C122,$D$2:$D$618,"Energy products",$E$2:$E$618,"Use",$G$2:$G$618,"&lt;&gt;STAT",$I$2:$I$618,"&lt;&gt;USO_NO_ENERGETICO_APARENTE",$I$2:$I$618,"&lt;&gt;USO_ENERGETICO_INTERNO_APARENTE"),10),IF(LEFT($H122,5)="STAT_",ROUND(SUMIFS($K$2:$K$618,$B$2:$B$618,$B122,$C$2:$C$618,$C122,$D$2:$D$618,"Energy products",$E$2:$E$618,"Supply",$G$2:$G$618,"&lt;&gt;STAT")-SUMIFS($K$2:$K$618,$B$2:$B$618,$B122,$C$2:$C$618,$C122,$D$2:$D$618,"Energy products",$E$2:$E$618,"Use",$G$2:$G$618,"&lt;&gt;STAT"),10),IF($J122="cambio de signo",-INDEX(DATOS_MODELO!$U$2:$U$3672,MATCH($H122,DATOS_MODELO!$B$2:$B$3672,0)),IF($J122="valor absoluto",ABS(INDEX(DATOS_MODELO!$U$2:$U$3672,MATCH($H122,DATOS_MODELO!$B$2:$B$3672,0))),INDEX(DATOS_MODELO!$U$2:$U$3672,MATCH($H122,DATOS_MODELO!$B$2:$B$3672,0))))))</f>
        <v>24907.5862</v>
      </c>
      <c r="L122" s="8" t="str">
        <f aca="false">IF(LEFT($H122,5)&lt;&gt;"STAT_","",IF(ABS($K122)&lt;=COUNTIFS($B$2:$B$618,$B122,$C$2:$C$618,$C122,$D$2:$D$618,"Energy products",$G$2:$G$618,"&lt;&gt;STAT")*PARAMETROS!$B$6,"redondeo","residuo_estadistico"))</f>
        <v/>
      </c>
      <c r="M122" s="8" t="str">
        <f>IF(OR($I122="USO_NO_ENERGETICO_APARENTE",$I122="USO_ENERGETICO_INTERNO_APARENTE"),"CAL",IF(LEFT($H122,5)="STAT_","FORMULA",IF(COUNTIF(DATOS_MODELO!$B$2:$B$3672,$H122)=1,"OK","REVISAR")))</f>
        <v>OK</v>
      </c>
    </row>
    <row r="123" customFormat="false" ht="15" hidden="false" customHeight="false" outlineLevel="0" collapsed="false">
      <c r="A123" s="4" t="s">
        <v>2300</v>
      </c>
      <c r="B123" s="12" t="n">
        <v>2023</v>
      </c>
      <c r="C123" s="4" t="s">
        <v>95</v>
      </c>
      <c r="D123" s="4" t="s">
        <v>1993</v>
      </c>
      <c r="E123" s="4" t="s">
        <v>2001</v>
      </c>
      <c r="F123" s="4" t="s">
        <v>2034</v>
      </c>
      <c r="G123" s="4" t="s">
        <v>74</v>
      </c>
      <c r="H123" s="4" t="s">
        <v>1568</v>
      </c>
      <c r="I123" s="4" t="s">
        <v>2035</v>
      </c>
      <c r="J123" s="4" t="s">
        <v>2036</v>
      </c>
      <c r="K123" s="14">
        <f>IF(OR($I123="USO_NO_ENERGETICO_APARENTE",$I123="USO_ENERGETICO_INTERNO_APARENTE"),ROUND(SUMIFS($K$2:$K$618,$B$2:$B$618,$B123,$C$2:$C$618,$C123,$D$2:$D$618,"Energy products",$E$2:$E$618,"Supply",$G$2:$G$618,"&lt;&gt;STAT")-SUMIFS($K$2:$K$618,$B$2:$B$618,$B123,$C$2:$C$618,$C123,$D$2:$D$618,"Energy products",$E$2:$E$618,"Use",$G$2:$G$618,"&lt;&gt;STAT",$I$2:$I$618,"&lt;&gt;USO_NO_ENERGETICO_APARENTE",$I$2:$I$618,"&lt;&gt;USO_ENERGETICO_INTERNO_APARENTE"),10),IF(LEFT($H123,5)="STAT_",ROUND(SUMIFS($K$2:$K$618,$B$2:$B$618,$B123,$C$2:$C$618,$C123,$D$2:$D$618,"Energy products",$E$2:$E$618,"Supply",$G$2:$G$618,"&lt;&gt;STAT")-SUMIFS($K$2:$K$618,$B$2:$B$618,$B123,$C$2:$C$618,$C123,$D$2:$D$618,"Energy products",$E$2:$E$618,"Use",$G$2:$G$618,"&lt;&gt;STAT"),10),IF($J123="cambio de signo",-INDEX(DATOS_MODELO!$U$2:$U$3672,MATCH($H123,DATOS_MODELO!$B$2:$B$3672,0)),IF($J123="valor absoluto",ABS(INDEX(DATOS_MODELO!$U$2:$U$3672,MATCH($H123,DATOS_MODELO!$B$2:$B$3672,0))),INDEX(DATOS_MODELO!$U$2:$U$3672,MATCH($H123,DATOS_MODELO!$B$2:$B$3672,0))))))</f>
        <v>-131.1898</v>
      </c>
      <c r="L123" s="8" t="str">
        <f aca="false">IF(LEFT($H123,5)&lt;&gt;"STAT_","",IF(ABS($K123)&lt;=COUNTIFS($B$2:$B$618,$B123,$C$2:$C$618,$C123,$D$2:$D$618,"Energy products",$G$2:$G$618,"&lt;&gt;STAT")*PARAMETROS!$B$6,"redondeo","residuo_estadistico"))</f>
        <v/>
      </c>
      <c r="M123" s="8" t="str">
        <f>IF(OR($I123="USO_NO_ENERGETICO_APARENTE",$I123="USO_ENERGETICO_INTERNO_APARENTE"),"CAL",IF(LEFT($H123,5)="STAT_","FORMULA",IF(COUNTIF(DATOS_MODELO!$B$2:$B$3672,$H123)=1,"OK","REVISAR")))</f>
        <v>OK</v>
      </c>
    </row>
    <row r="124" customFormat="false" ht="15" hidden="false" customHeight="false" outlineLevel="0" collapsed="false">
      <c r="A124" s="4" t="s">
        <v>2302</v>
      </c>
      <c r="B124" s="12" t="n">
        <v>2023</v>
      </c>
      <c r="C124" s="4" t="s">
        <v>95</v>
      </c>
      <c r="D124" s="4" t="s">
        <v>1993</v>
      </c>
      <c r="E124" s="4" t="s">
        <v>2001</v>
      </c>
      <c r="F124" s="4" t="s">
        <v>2002</v>
      </c>
      <c r="G124" s="4" t="s">
        <v>68</v>
      </c>
      <c r="H124" s="4" t="s">
        <v>1576</v>
      </c>
      <c r="I124" s="4" t="s">
        <v>2111</v>
      </c>
      <c r="J124" s="4" t="s">
        <v>1997</v>
      </c>
      <c r="K124" s="14">
        <f>IF(OR($I124="USO_NO_ENERGETICO_APARENTE",$I124="USO_ENERGETICO_INTERNO_APARENTE"),ROUND(SUMIFS($K$2:$K$618,$B$2:$B$618,$B124,$C$2:$C$618,$C124,$D$2:$D$618,"Energy products",$E$2:$E$618,"Supply",$G$2:$G$618,"&lt;&gt;STAT")-SUMIFS($K$2:$K$618,$B$2:$B$618,$B124,$C$2:$C$618,$C124,$D$2:$D$618,"Energy products",$E$2:$E$618,"Use",$G$2:$G$618,"&lt;&gt;STAT",$I$2:$I$618,"&lt;&gt;USO_NO_ENERGETICO_APARENTE",$I$2:$I$618,"&lt;&gt;USO_ENERGETICO_INTERNO_APARENTE"),10),IF(LEFT($H124,5)="STAT_",ROUND(SUMIFS($K$2:$K$618,$B$2:$B$618,$B124,$C$2:$C$618,$C124,$D$2:$D$618,"Energy products",$E$2:$E$618,"Supply",$G$2:$G$618,"&lt;&gt;STAT")-SUMIFS($K$2:$K$618,$B$2:$B$618,$B124,$C$2:$C$618,$C124,$D$2:$D$618,"Energy products",$E$2:$E$618,"Use",$G$2:$G$618,"&lt;&gt;STAT"),10),IF($J124="cambio de signo",-INDEX(DATOS_MODELO!$U$2:$U$3672,MATCH($H124,DATOS_MODELO!$B$2:$B$3672,0)),IF($J124="valor absoluto",ABS(INDEX(DATOS_MODELO!$U$2:$U$3672,MATCH($H124,DATOS_MODELO!$B$2:$B$3672,0))),INDEX(DATOS_MODELO!$U$2:$U$3672,MATCH($H124,DATOS_MODELO!$B$2:$B$3672,0))))))</f>
        <v>25038.7179</v>
      </c>
      <c r="L124" s="8" t="str">
        <f aca="false">IF(LEFT($H124,5)&lt;&gt;"STAT_","",IF(ABS($K124)&lt;=COUNTIFS($B$2:$B$618,$B124,$C$2:$C$618,$C124,$D$2:$D$618,"Energy products",$G$2:$G$618,"&lt;&gt;STAT")*PARAMETROS!$B$6,"redondeo","residuo_estadistico"))</f>
        <v/>
      </c>
      <c r="M124" s="8" t="str">
        <f>IF(OR($I124="USO_NO_ENERGETICO_APARENTE",$I124="USO_ENERGETICO_INTERNO_APARENTE"),"CAL",IF(LEFT($H124,5)="STAT_","FORMULA",IF(COUNTIF(DATOS_MODELO!$B$2:$B$3672,$H124)=1,"OK","REVISAR")))</f>
        <v>OK</v>
      </c>
    </row>
    <row r="125" customFormat="false" ht="15" hidden="false" customHeight="false" outlineLevel="0" collapsed="false">
      <c r="A125" s="4" t="s">
        <v>2304</v>
      </c>
      <c r="B125" s="12" t="n">
        <v>2023</v>
      </c>
      <c r="C125" s="4" t="s">
        <v>97</v>
      </c>
      <c r="D125" s="4" t="s">
        <v>1993</v>
      </c>
      <c r="E125" s="4" t="s">
        <v>1994</v>
      </c>
      <c r="F125" s="4" t="s">
        <v>2029</v>
      </c>
      <c r="G125" s="4" t="s">
        <v>69</v>
      </c>
      <c r="H125" s="4" t="s">
        <v>1580</v>
      </c>
      <c r="I125" s="4" t="s">
        <v>2030</v>
      </c>
      <c r="J125" s="4" t="s">
        <v>1997</v>
      </c>
      <c r="K125" s="14">
        <f>IF(OR($I125="USO_NO_ENERGETICO_APARENTE",$I125="USO_ENERGETICO_INTERNO_APARENTE"),ROUND(SUMIFS($K$2:$K$618,$B$2:$B$618,$B125,$C$2:$C$618,$C125,$D$2:$D$618,"Energy products",$E$2:$E$618,"Supply",$G$2:$G$618,"&lt;&gt;STAT")-SUMIFS($K$2:$K$618,$B$2:$B$618,$B125,$C$2:$C$618,$C125,$D$2:$D$618,"Energy products",$E$2:$E$618,"Use",$G$2:$G$618,"&lt;&gt;STAT",$I$2:$I$618,"&lt;&gt;USO_NO_ENERGETICO_APARENTE",$I$2:$I$618,"&lt;&gt;USO_ENERGETICO_INTERNO_APARENTE"),10),IF(LEFT($H125,5)="STAT_",ROUND(SUMIFS($K$2:$K$618,$B$2:$B$618,$B125,$C$2:$C$618,$C125,$D$2:$D$618,"Energy products",$E$2:$E$618,"Supply",$G$2:$G$618,"&lt;&gt;STAT")-SUMIFS($K$2:$K$618,$B$2:$B$618,$B125,$C$2:$C$618,$C125,$D$2:$D$618,"Energy products",$E$2:$E$618,"Use",$G$2:$G$618,"&lt;&gt;STAT"),10),IF($J125="cambio de signo",-INDEX(DATOS_MODELO!$U$2:$U$3672,MATCH($H125,DATOS_MODELO!$B$2:$B$3672,0)),IF($J125="valor absoluto",ABS(INDEX(DATOS_MODELO!$U$2:$U$3672,MATCH($H125,DATOS_MODELO!$B$2:$B$3672,0))),INDEX(DATOS_MODELO!$U$2:$U$3672,MATCH($H125,DATOS_MODELO!$B$2:$B$3672,0))))))</f>
        <v>89072.9357</v>
      </c>
      <c r="L125" s="8" t="str">
        <f aca="false">IF(LEFT($H125,5)&lt;&gt;"STAT_","",IF(ABS($K125)&lt;=COUNTIFS($B$2:$B$618,$B125,$C$2:$C$618,$C125,$D$2:$D$618,"Energy products",$G$2:$G$618,"&lt;&gt;STAT")*PARAMETROS!$B$6,"redondeo","residuo_estadistico"))</f>
        <v/>
      </c>
      <c r="M125" s="8" t="str">
        <f>IF(OR($I125="USO_NO_ENERGETICO_APARENTE",$I125="USO_ENERGETICO_INTERNO_APARENTE"),"CAL",IF(LEFT($H125,5)="STAT_","FORMULA",IF(COUNTIF(DATOS_MODELO!$B$2:$B$3672,$H125)=1,"OK","REVISAR")))</f>
        <v>OK</v>
      </c>
    </row>
    <row r="126" customFormat="false" ht="15" hidden="false" customHeight="false" outlineLevel="0" collapsed="false">
      <c r="A126" s="4" t="s">
        <v>2306</v>
      </c>
      <c r="B126" s="12" t="n">
        <v>2023</v>
      </c>
      <c r="C126" s="4" t="s">
        <v>97</v>
      </c>
      <c r="D126" s="4" t="s">
        <v>1993</v>
      </c>
      <c r="E126" s="4" t="s">
        <v>2001</v>
      </c>
      <c r="F126" s="4" t="s">
        <v>2091</v>
      </c>
      <c r="G126" s="4" t="s">
        <v>69</v>
      </c>
      <c r="H126" s="4" t="s">
        <v>1581</v>
      </c>
      <c r="I126" s="4" t="s">
        <v>2030</v>
      </c>
      <c r="J126" s="4" t="s">
        <v>1997</v>
      </c>
      <c r="K126" s="14">
        <f>IF(OR($I126="USO_NO_ENERGETICO_APARENTE",$I126="USO_ENERGETICO_INTERNO_APARENTE"),ROUND(SUMIFS($K$2:$K$618,$B$2:$B$618,$B126,$C$2:$C$618,$C126,$D$2:$D$618,"Energy products",$E$2:$E$618,"Supply",$G$2:$G$618,"&lt;&gt;STAT")-SUMIFS($K$2:$K$618,$B$2:$B$618,$B126,$C$2:$C$618,$C126,$D$2:$D$618,"Energy products",$E$2:$E$618,"Use",$G$2:$G$618,"&lt;&gt;STAT",$I$2:$I$618,"&lt;&gt;USO_NO_ENERGETICO_APARENTE",$I$2:$I$618,"&lt;&gt;USO_ENERGETICO_INTERNO_APARENTE"),10),IF(LEFT($H126,5)="STAT_",ROUND(SUMIFS($K$2:$K$618,$B$2:$B$618,$B126,$C$2:$C$618,$C126,$D$2:$D$618,"Energy products",$E$2:$E$618,"Supply",$G$2:$G$618,"&lt;&gt;STAT")-SUMIFS($K$2:$K$618,$B$2:$B$618,$B126,$C$2:$C$618,$C126,$D$2:$D$618,"Energy products",$E$2:$E$618,"Use",$G$2:$G$618,"&lt;&gt;STAT"),10),IF($J126="cambio de signo",-INDEX(DATOS_MODELO!$U$2:$U$3672,MATCH($H126,DATOS_MODELO!$B$2:$B$3672,0)),IF($J126="valor absoluto",ABS(INDEX(DATOS_MODELO!$U$2:$U$3672,MATCH($H126,DATOS_MODELO!$B$2:$B$3672,0))),INDEX(DATOS_MODELO!$U$2:$U$3672,MATCH($H126,DATOS_MODELO!$B$2:$B$3672,0))))))</f>
        <v>1253.798</v>
      </c>
      <c r="L126" s="8" t="str">
        <f aca="false">IF(LEFT($H126,5)&lt;&gt;"STAT_","",IF(ABS($K126)&lt;=COUNTIFS($B$2:$B$618,$B126,$C$2:$C$618,$C126,$D$2:$D$618,"Energy products",$G$2:$G$618,"&lt;&gt;STAT")*PARAMETROS!$B$6,"redondeo","residuo_estadistico"))</f>
        <v/>
      </c>
      <c r="M126" s="8" t="str">
        <f>IF(OR($I126="USO_NO_ENERGETICO_APARENTE",$I126="USO_ENERGETICO_INTERNO_APARENTE"),"CAL",IF(LEFT($H126,5)="STAT_","FORMULA",IF(COUNTIF(DATOS_MODELO!$B$2:$B$3672,$H126)=1,"OK","REVISAR")))</f>
        <v>OK</v>
      </c>
    </row>
    <row r="127" customFormat="false" ht="15" hidden="false" customHeight="false" outlineLevel="0" collapsed="false">
      <c r="A127" s="4" t="s">
        <v>2308</v>
      </c>
      <c r="B127" s="12" t="n">
        <v>2023</v>
      </c>
      <c r="C127" s="4" t="s">
        <v>97</v>
      </c>
      <c r="D127" s="4" t="s">
        <v>1993</v>
      </c>
      <c r="E127" s="4" t="s">
        <v>2001</v>
      </c>
      <c r="F127" s="4" t="s">
        <v>2034</v>
      </c>
      <c r="G127" s="4" t="s">
        <v>74</v>
      </c>
      <c r="H127" s="4" t="s">
        <v>1582</v>
      </c>
      <c r="I127" s="4" t="s">
        <v>2035</v>
      </c>
      <c r="J127" s="4" t="s">
        <v>2036</v>
      </c>
      <c r="K127" s="14">
        <f>IF(OR($I127="USO_NO_ENERGETICO_APARENTE",$I127="USO_ENERGETICO_INTERNO_APARENTE"),ROUND(SUMIFS($K$2:$K$618,$B$2:$B$618,$B127,$C$2:$C$618,$C127,$D$2:$D$618,"Energy products",$E$2:$E$618,"Supply",$G$2:$G$618,"&lt;&gt;STAT")-SUMIFS($K$2:$K$618,$B$2:$B$618,$B127,$C$2:$C$618,$C127,$D$2:$D$618,"Energy products",$E$2:$E$618,"Use",$G$2:$G$618,"&lt;&gt;STAT",$I$2:$I$618,"&lt;&gt;USO_NO_ENERGETICO_APARENTE",$I$2:$I$618,"&lt;&gt;USO_ENERGETICO_INTERNO_APARENTE"),10),IF(LEFT($H127,5)="STAT_",ROUND(SUMIFS($K$2:$K$618,$B$2:$B$618,$B127,$C$2:$C$618,$C127,$D$2:$D$618,"Energy products",$E$2:$E$618,"Supply",$G$2:$G$618,"&lt;&gt;STAT")-SUMIFS($K$2:$K$618,$B$2:$B$618,$B127,$C$2:$C$618,$C127,$D$2:$D$618,"Energy products",$E$2:$E$618,"Use",$G$2:$G$618,"&lt;&gt;STAT"),10),IF($J127="cambio de signo",-INDEX(DATOS_MODELO!$U$2:$U$3672,MATCH($H127,DATOS_MODELO!$B$2:$B$3672,0)),IF($J127="valor absoluto",ABS(INDEX(DATOS_MODELO!$U$2:$U$3672,MATCH($H127,DATOS_MODELO!$B$2:$B$3672,0))),INDEX(DATOS_MODELO!$U$2:$U$3672,MATCH($H127,DATOS_MODELO!$B$2:$B$3672,0))))))</f>
        <v>1624.3598</v>
      </c>
      <c r="L127" s="8" t="str">
        <f aca="false">IF(LEFT($H127,5)&lt;&gt;"STAT_","",IF(ABS($K127)&lt;=COUNTIFS($B$2:$B$618,$B127,$C$2:$C$618,$C127,$D$2:$D$618,"Energy products",$G$2:$G$618,"&lt;&gt;STAT")*PARAMETROS!$B$6,"redondeo","residuo_estadistico"))</f>
        <v/>
      </c>
      <c r="M127" s="8" t="str">
        <f>IF(OR($I127="USO_NO_ENERGETICO_APARENTE",$I127="USO_ENERGETICO_INTERNO_APARENTE"),"CAL",IF(LEFT($H127,5)="STAT_","FORMULA",IF(COUNTIF(DATOS_MODELO!$B$2:$B$3672,$H127)=1,"OK","REVISAR")))</f>
        <v>OK</v>
      </c>
    </row>
    <row r="128" customFormat="false" ht="15" hidden="false" customHeight="false" outlineLevel="0" collapsed="false">
      <c r="A128" s="4" t="s">
        <v>2310</v>
      </c>
      <c r="B128" s="12" t="n">
        <v>2023</v>
      </c>
      <c r="C128" s="4" t="s">
        <v>97</v>
      </c>
      <c r="D128" s="4" t="s">
        <v>1993</v>
      </c>
      <c r="E128" s="4" t="s">
        <v>2001</v>
      </c>
      <c r="F128" s="4" t="s">
        <v>2002</v>
      </c>
      <c r="G128" s="4" t="s">
        <v>67</v>
      </c>
      <c r="H128" s="4" t="s">
        <v>1584</v>
      </c>
      <c r="I128" s="4" t="s">
        <v>2003</v>
      </c>
      <c r="J128" s="4" t="s">
        <v>2004</v>
      </c>
      <c r="K128" s="14">
        <f>IF(OR($I128="USO_NO_ENERGETICO_APARENTE",$I128="USO_ENERGETICO_INTERNO_APARENTE"),ROUND(SUMIFS($K$2:$K$618,$B$2:$B$618,$B128,$C$2:$C$618,$C128,$D$2:$D$618,"Energy products",$E$2:$E$618,"Supply",$G$2:$G$618,"&lt;&gt;STAT")-SUMIFS($K$2:$K$618,$B$2:$B$618,$B128,$C$2:$C$618,$C128,$D$2:$D$618,"Energy products",$E$2:$E$618,"Use",$G$2:$G$618,"&lt;&gt;STAT",$I$2:$I$618,"&lt;&gt;USO_NO_ENERGETICO_APARENTE",$I$2:$I$618,"&lt;&gt;USO_ENERGETICO_INTERNO_APARENTE"),10),IF(LEFT($H128,5)="STAT_",ROUND(SUMIFS($K$2:$K$618,$B$2:$B$618,$B128,$C$2:$C$618,$C128,$D$2:$D$618,"Energy products",$E$2:$E$618,"Supply",$G$2:$G$618,"&lt;&gt;STAT")-SUMIFS($K$2:$K$618,$B$2:$B$618,$B128,$C$2:$C$618,$C128,$D$2:$D$618,"Energy products",$E$2:$E$618,"Use",$G$2:$G$618,"&lt;&gt;STAT"),10),IF($J128="cambio de signo",-INDEX(DATOS_MODELO!$U$2:$U$3672,MATCH($H128,DATOS_MODELO!$B$2:$B$3672,0)),IF($J128="valor absoluto",ABS(INDEX(DATOS_MODELO!$U$2:$U$3672,MATCH($H128,DATOS_MODELO!$B$2:$B$3672,0))),INDEX(DATOS_MODELO!$U$2:$U$3672,MATCH($H128,DATOS_MODELO!$B$2:$B$3672,0))))))</f>
        <v>98.189</v>
      </c>
      <c r="L128" s="8" t="str">
        <f aca="false">IF(LEFT($H128,5)&lt;&gt;"STAT_","",IF(ABS($K128)&lt;=COUNTIFS($B$2:$B$618,$B128,$C$2:$C$618,$C128,$D$2:$D$618,"Energy products",$G$2:$G$618,"&lt;&gt;STAT")*PARAMETROS!$B$6,"redondeo","residuo_estadistico"))</f>
        <v/>
      </c>
      <c r="M128" s="8" t="str">
        <f>IF(OR($I128="USO_NO_ENERGETICO_APARENTE",$I128="USO_ENERGETICO_INTERNO_APARENTE"),"CAL",IF(LEFT($H128,5)="STAT_","FORMULA",IF(COUNTIF(DATOS_MODELO!$B$2:$B$3672,$H128)=1,"OK","REVISAR")))</f>
        <v>OK</v>
      </c>
    </row>
    <row r="129" customFormat="false" ht="15" hidden="false" customHeight="false" outlineLevel="0" collapsed="false">
      <c r="A129" s="4" t="s">
        <v>2312</v>
      </c>
      <c r="B129" s="12" t="n">
        <v>2023</v>
      </c>
      <c r="C129" s="4" t="s">
        <v>97</v>
      </c>
      <c r="D129" s="4" t="s">
        <v>1993</v>
      </c>
      <c r="E129" s="4" t="s">
        <v>2001</v>
      </c>
      <c r="F129" s="4" t="s">
        <v>2002</v>
      </c>
      <c r="G129" s="4" t="s">
        <v>71</v>
      </c>
      <c r="H129" s="4" t="s">
        <v>1587</v>
      </c>
      <c r="I129" s="4" t="s">
        <v>2123</v>
      </c>
      <c r="J129" s="4" t="s">
        <v>1997</v>
      </c>
      <c r="K129" s="14">
        <f>IF(OR($I129="USO_NO_ENERGETICO_APARENTE",$I129="USO_ENERGETICO_INTERNO_APARENTE"),ROUND(SUMIFS($K$2:$K$618,$B$2:$B$618,$B129,$C$2:$C$618,$C129,$D$2:$D$618,"Energy products",$E$2:$E$618,"Supply",$G$2:$G$618,"&lt;&gt;STAT")-SUMIFS($K$2:$K$618,$B$2:$B$618,$B129,$C$2:$C$618,$C129,$D$2:$D$618,"Energy products",$E$2:$E$618,"Use",$G$2:$G$618,"&lt;&gt;STAT",$I$2:$I$618,"&lt;&gt;USO_NO_ENERGETICO_APARENTE",$I$2:$I$618,"&lt;&gt;USO_ENERGETICO_INTERNO_APARENTE"),10),IF(LEFT($H129,5)="STAT_",ROUND(SUMIFS($K$2:$K$618,$B$2:$B$618,$B129,$C$2:$C$618,$C129,$D$2:$D$618,"Energy products",$E$2:$E$618,"Supply",$G$2:$G$618,"&lt;&gt;STAT")-SUMIFS($K$2:$K$618,$B$2:$B$618,$B129,$C$2:$C$618,$C129,$D$2:$D$618,"Energy products",$E$2:$E$618,"Use",$G$2:$G$618,"&lt;&gt;STAT"),10),IF($J129="cambio de signo",-INDEX(DATOS_MODELO!$U$2:$U$3672,MATCH($H129,DATOS_MODELO!$B$2:$B$3672,0)),IF($J129="valor absoluto",ABS(INDEX(DATOS_MODELO!$U$2:$U$3672,MATCH($H129,DATOS_MODELO!$B$2:$B$3672,0))),INDEX(DATOS_MODELO!$U$2:$U$3672,MATCH($H129,DATOS_MODELO!$B$2:$B$3672,0))))))</f>
        <v>79208.892</v>
      </c>
      <c r="L129" s="8" t="str">
        <f aca="false">IF(LEFT($H129,5)&lt;&gt;"STAT_","",IF(ABS($K129)&lt;=COUNTIFS($B$2:$B$618,$B129,$C$2:$C$618,$C129,$D$2:$D$618,"Energy products",$G$2:$G$618,"&lt;&gt;STAT")*PARAMETROS!$B$6,"redondeo","residuo_estadistico"))</f>
        <v/>
      </c>
      <c r="M129" s="8" t="str">
        <f>IF(OR($I129="USO_NO_ENERGETICO_APARENTE",$I129="USO_ENERGETICO_INTERNO_APARENTE"),"CAL",IF(LEFT($H129,5)="STAT_","FORMULA",IF(COUNTIF(DATOS_MODELO!$B$2:$B$3672,$H129)=1,"OK","REVISAR")))</f>
        <v>OK</v>
      </c>
    </row>
    <row r="130" customFormat="false" ht="15" hidden="false" customHeight="false" outlineLevel="0" collapsed="false">
      <c r="A130" s="4" t="s">
        <v>2314</v>
      </c>
      <c r="B130" s="12" t="n">
        <v>2023</v>
      </c>
      <c r="C130" s="4" t="s">
        <v>97</v>
      </c>
      <c r="D130" s="4" t="s">
        <v>1993</v>
      </c>
      <c r="E130" s="4" t="s">
        <v>2001</v>
      </c>
      <c r="F130" s="4" t="s">
        <v>2002</v>
      </c>
      <c r="G130" s="4" t="s">
        <v>68</v>
      </c>
      <c r="H130" s="4" t="s">
        <v>1590</v>
      </c>
      <c r="I130" s="4" t="s">
        <v>2111</v>
      </c>
      <c r="J130" s="4" t="s">
        <v>1997</v>
      </c>
      <c r="K130" s="14">
        <f>IF(OR($I130="USO_NO_ENERGETICO_APARENTE",$I130="USO_ENERGETICO_INTERNO_APARENTE"),ROUND(SUMIFS($K$2:$K$618,$B$2:$B$618,$B130,$C$2:$C$618,$C130,$D$2:$D$618,"Energy products",$E$2:$E$618,"Supply",$G$2:$G$618,"&lt;&gt;STAT")-SUMIFS($K$2:$K$618,$B$2:$B$618,$B130,$C$2:$C$618,$C130,$D$2:$D$618,"Energy products",$E$2:$E$618,"Use",$G$2:$G$618,"&lt;&gt;STAT",$I$2:$I$618,"&lt;&gt;USO_NO_ENERGETICO_APARENTE",$I$2:$I$618,"&lt;&gt;USO_ENERGETICO_INTERNO_APARENTE"),10),IF(LEFT($H130,5)="STAT_",ROUND(SUMIFS($K$2:$K$618,$B$2:$B$618,$B130,$C$2:$C$618,$C130,$D$2:$D$618,"Energy products",$E$2:$E$618,"Supply",$G$2:$G$618,"&lt;&gt;STAT")-SUMIFS($K$2:$K$618,$B$2:$B$618,$B130,$C$2:$C$618,$C130,$D$2:$D$618,"Energy products",$E$2:$E$618,"Use",$G$2:$G$618,"&lt;&gt;STAT"),10),IF($J130="cambio de signo",-INDEX(DATOS_MODELO!$U$2:$U$3672,MATCH($H130,DATOS_MODELO!$B$2:$B$3672,0)),IF($J130="valor absoluto",ABS(INDEX(DATOS_MODELO!$U$2:$U$3672,MATCH($H130,DATOS_MODELO!$B$2:$B$3672,0))),INDEX(DATOS_MODELO!$U$2:$U$3672,MATCH($H130,DATOS_MODELO!$B$2:$B$3672,0))))))</f>
        <v>6887.755</v>
      </c>
      <c r="L130" s="8" t="str">
        <f aca="false">IF(LEFT($H130,5)&lt;&gt;"STAT_","",IF(ABS($K130)&lt;=COUNTIFS($B$2:$B$618,$B130,$C$2:$C$618,$C130,$D$2:$D$618,"Energy products",$G$2:$G$618,"&lt;&gt;STAT")*PARAMETROS!$B$6,"redondeo","residuo_estadistico"))</f>
        <v/>
      </c>
      <c r="M130" s="8" t="str">
        <f>IF(OR($I130="USO_NO_ENERGETICO_APARENTE",$I130="USO_ENERGETICO_INTERNO_APARENTE"),"CAL",IF(LEFT($H130,5)="STAT_","FORMULA",IF(COUNTIF(DATOS_MODELO!$B$2:$B$3672,$H130)=1,"OK","REVISAR")))</f>
        <v>OK</v>
      </c>
    </row>
    <row r="131" customFormat="false" ht="15" hidden="false" customHeight="false" outlineLevel="0" collapsed="false">
      <c r="A131" s="4" t="s">
        <v>2316</v>
      </c>
      <c r="B131" s="12" t="n">
        <v>2023</v>
      </c>
      <c r="C131" s="4" t="s">
        <v>99</v>
      </c>
      <c r="D131" s="4" t="s">
        <v>1993</v>
      </c>
      <c r="E131" s="4" t="s">
        <v>1994</v>
      </c>
      <c r="F131" s="4" t="s">
        <v>2029</v>
      </c>
      <c r="G131" s="4" t="s">
        <v>69</v>
      </c>
      <c r="H131" s="4" t="s">
        <v>1594</v>
      </c>
      <c r="I131" s="4" t="s">
        <v>2030</v>
      </c>
      <c r="J131" s="4" t="s">
        <v>1997</v>
      </c>
      <c r="K131" s="14">
        <f>IF(OR($I131="USO_NO_ENERGETICO_APARENTE",$I131="USO_ENERGETICO_INTERNO_APARENTE"),ROUND(SUMIFS($K$2:$K$618,$B$2:$B$618,$B131,$C$2:$C$618,$C131,$D$2:$D$618,"Energy products",$E$2:$E$618,"Supply",$G$2:$G$618,"&lt;&gt;STAT")-SUMIFS($K$2:$K$618,$B$2:$B$618,$B131,$C$2:$C$618,$C131,$D$2:$D$618,"Energy products",$E$2:$E$618,"Use",$G$2:$G$618,"&lt;&gt;STAT",$I$2:$I$618,"&lt;&gt;USO_NO_ENERGETICO_APARENTE",$I$2:$I$618,"&lt;&gt;USO_ENERGETICO_INTERNO_APARENTE"),10),IF(LEFT($H131,5)="STAT_",ROUND(SUMIFS($K$2:$K$618,$B$2:$B$618,$B131,$C$2:$C$618,$C131,$D$2:$D$618,"Energy products",$E$2:$E$618,"Supply",$G$2:$G$618,"&lt;&gt;STAT")-SUMIFS($K$2:$K$618,$B$2:$B$618,$B131,$C$2:$C$618,$C131,$D$2:$D$618,"Energy products",$E$2:$E$618,"Use",$G$2:$G$618,"&lt;&gt;STAT"),10),IF($J131="cambio de signo",-INDEX(DATOS_MODELO!$U$2:$U$3672,MATCH($H131,DATOS_MODELO!$B$2:$B$3672,0)),IF($J131="valor absoluto",ABS(INDEX(DATOS_MODELO!$U$2:$U$3672,MATCH($H131,DATOS_MODELO!$B$2:$B$3672,0))),INDEX(DATOS_MODELO!$U$2:$U$3672,MATCH($H131,DATOS_MODELO!$B$2:$B$3672,0))))))</f>
        <v>6999.0746</v>
      </c>
      <c r="L131" s="8" t="str">
        <f aca="false">IF(LEFT($H131,5)&lt;&gt;"STAT_","",IF(ABS($K131)&lt;=COUNTIFS($B$2:$B$618,$B131,$C$2:$C$618,$C131,$D$2:$D$618,"Energy products",$G$2:$G$618,"&lt;&gt;STAT")*PARAMETROS!$B$6,"redondeo","residuo_estadistico"))</f>
        <v/>
      </c>
      <c r="M131" s="8" t="str">
        <f>IF(OR($I131="USO_NO_ENERGETICO_APARENTE",$I131="USO_ENERGETICO_INTERNO_APARENTE"),"CAL",IF(LEFT($H131,5)="STAT_","FORMULA",IF(COUNTIF(DATOS_MODELO!$B$2:$B$3672,$H131)=1,"OK","REVISAR")))</f>
        <v>OK</v>
      </c>
    </row>
    <row r="132" customFormat="false" ht="15" hidden="false" customHeight="false" outlineLevel="0" collapsed="false">
      <c r="A132" s="4" t="s">
        <v>2318</v>
      </c>
      <c r="B132" s="12" t="n">
        <v>2023</v>
      </c>
      <c r="C132" s="4" t="s">
        <v>99</v>
      </c>
      <c r="D132" s="4" t="s">
        <v>1993</v>
      </c>
      <c r="E132" s="4" t="s">
        <v>2001</v>
      </c>
      <c r="F132" s="4" t="s">
        <v>2091</v>
      </c>
      <c r="G132" s="4" t="s">
        <v>69</v>
      </c>
      <c r="H132" s="4" t="s">
        <v>1595</v>
      </c>
      <c r="I132" s="4" t="s">
        <v>2030</v>
      </c>
      <c r="J132" s="4" t="s">
        <v>1997</v>
      </c>
      <c r="K132" s="14">
        <f>IF(OR($I132="USO_NO_ENERGETICO_APARENTE",$I132="USO_ENERGETICO_INTERNO_APARENTE"),ROUND(SUMIFS($K$2:$K$618,$B$2:$B$618,$B132,$C$2:$C$618,$C132,$D$2:$D$618,"Energy products",$E$2:$E$618,"Supply",$G$2:$G$618,"&lt;&gt;STAT")-SUMIFS($K$2:$K$618,$B$2:$B$618,$B132,$C$2:$C$618,$C132,$D$2:$D$618,"Energy products",$E$2:$E$618,"Use",$G$2:$G$618,"&lt;&gt;STAT",$I$2:$I$618,"&lt;&gt;USO_NO_ENERGETICO_APARENTE",$I$2:$I$618,"&lt;&gt;USO_ENERGETICO_INTERNO_APARENTE"),10),IF(LEFT($H132,5)="STAT_",ROUND(SUMIFS($K$2:$K$618,$B$2:$B$618,$B132,$C$2:$C$618,$C132,$D$2:$D$618,"Energy products",$E$2:$E$618,"Supply",$G$2:$G$618,"&lt;&gt;STAT")-SUMIFS($K$2:$K$618,$B$2:$B$618,$B132,$C$2:$C$618,$C132,$D$2:$D$618,"Energy products",$E$2:$E$618,"Use",$G$2:$G$618,"&lt;&gt;STAT"),10),IF($J132="cambio de signo",-INDEX(DATOS_MODELO!$U$2:$U$3672,MATCH($H132,DATOS_MODELO!$B$2:$B$3672,0)),IF($J132="valor absoluto",ABS(INDEX(DATOS_MODELO!$U$2:$U$3672,MATCH($H132,DATOS_MODELO!$B$2:$B$3672,0))),INDEX(DATOS_MODELO!$U$2:$U$3672,MATCH($H132,DATOS_MODELO!$B$2:$B$3672,0))))))</f>
        <v>3831.1721</v>
      </c>
      <c r="L132" s="8" t="str">
        <f aca="false">IF(LEFT($H132,5)&lt;&gt;"STAT_","",IF(ABS($K132)&lt;=COUNTIFS($B$2:$B$618,$B132,$C$2:$C$618,$C132,$D$2:$D$618,"Energy products",$G$2:$G$618,"&lt;&gt;STAT")*PARAMETROS!$B$6,"redondeo","residuo_estadistico"))</f>
        <v/>
      </c>
      <c r="M132" s="8" t="str">
        <f>IF(OR($I132="USO_NO_ENERGETICO_APARENTE",$I132="USO_ENERGETICO_INTERNO_APARENTE"),"CAL",IF(LEFT($H132,5)="STAT_","FORMULA",IF(COUNTIF(DATOS_MODELO!$B$2:$B$3672,$H132)=1,"OK","REVISAR")))</f>
        <v>OK</v>
      </c>
    </row>
    <row r="133" customFormat="false" ht="15" hidden="false" customHeight="false" outlineLevel="0" collapsed="false">
      <c r="A133" s="4" t="s">
        <v>2320</v>
      </c>
      <c r="B133" s="12" t="n">
        <v>2023</v>
      </c>
      <c r="C133" s="4" t="s">
        <v>99</v>
      </c>
      <c r="D133" s="4" t="s">
        <v>1993</v>
      </c>
      <c r="E133" s="4" t="s">
        <v>1994</v>
      </c>
      <c r="F133" s="4" t="s">
        <v>1995</v>
      </c>
      <c r="G133" s="4" t="s">
        <v>67</v>
      </c>
      <c r="H133" s="4" t="s">
        <v>1598</v>
      </c>
      <c r="I133" s="4" t="s">
        <v>2003</v>
      </c>
      <c r="J133" s="4" t="s">
        <v>1997</v>
      </c>
      <c r="K133" s="14">
        <f>IF(OR($I133="USO_NO_ENERGETICO_APARENTE",$I133="USO_ENERGETICO_INTERNO_APARENTE"),ROUND(SUMIFS($K$2:$K$618,$B$2:$B$618,$B133,$C$2:$C$618,$C133,$D$2:$D$618,"Energy products",$E$2:$E$618,"Supply",$G$2:$G$618,"&lt;&gt;STAT")-SUMIFS($K$2:$K$618,$B$2:$B$618,$B133,$C$2:$C$618,$C133,$D$2:$D$618,"Energy products",$E$2:$E$618,"Use",$G$2:$G$618,"&lt;&gt;STAT",$I$2:$I$618,"&lt;&gt;USO_NO_ENERGETICO_APARENTE",$I$2:$I$618,"&lt;&gt;USO_ENERGETICO_INTERNO_APARENTE"),10),IF(LEFT($H133,5)="STAT_",ROUND(SUMIFS($K$2:$K$618,$B$2:$B$618,$B133,$C$2:$C$618,$C133,$D$2:$D$618,"Energy products",$E$2:$E$618,"Supply",$G$2:$G$618,"&lt;&gt;STAT")-SUMIFS($K$2:$K$618,$B$2:$B$618,$B133,$C$2:$C$618,$C133,$D$2:$D$618,"Energy products",$E$2:$E$618,"Use",$G$2:$G$618,"&lt;&gt;STAT"),10),IF($J133="cambio de signo",-INDEX(DATOS_MODELO!$U$2:$U$3672,MATCH($H133,DATOS_MODELO!$B$2:$B$3672,0)),IF($J133="valor absoluto",ABS(INDEX(DATOS_MODELO!$U$2:$U$3672,MATCH($H133,DATOS_MODELO!$B$2:$B$3672,0))),INDEX(DATOS_MODELO!$U$2:$U$3672,MATCH($H133,DATOS_MODELO!$B$2:$B$3672,0))))))</f>
        <v>45301.8482</v>
      </c>
      <c r="L133" s="8" t="str">
        <f aca="false">IF(LEFT($H133,5)&lt;&gt;"STAT_","",IF(ABS($K133)&lt;=COUNTIFS($B$2:$B$618,$B133,$C$2:$C$618,$C133,$D$2:$D$618,"Energy products",$G$2:$G$618,"&lt;&gt;STAT")*PARAMETROS!$B$6,"redondeo","residuo_estadistico"))</f>
        <v/>
      </c>
      <c r="M133" s="8" t="str">
        <f>IF(OR($I133="USO_NO_ENERGETICO_APARENTE",$I133="USO_ENERGETICO_INTERNO_APARENTE"),"CAL",IF(LEFT($H133,5)="STAT_","FORMULA",IF(COUNTIF(DATOS_MODELO!$B$2:$B$3672,$H133)=1,"OK","REVISAR")))</f>
        <v>OK</v>
      </c>
    </row>
    <row r="134" customFormat="false" ht="15" hidden="false" customHeight="false" outlineLevel="0" collapsed="false">
      <c r="A134" s="4" t="s">
        <v>2322</v>
      </c>
      <c r="B134" s="12" t="n">
        <v>2023</v>
      </c>
      <c r="C134" s="4" t="s">
        <v>99</v>
      </c>
      <c r="D134" s="4" t="s">
        <v>1993</v>
      </c>
      <c r="E134" s="4" t="s">
        <v>1994</v>
      </c>
      <c r="F134" s="4" t="s">
        <v>1995</v>
      </c>
      <c r="G134" s="4" t="s">
        <v>67</v>
      </c>
      <c r="H134" s="4" t="s">
        <v>1599</v>
      </c>
      <c r="I134" s="4" t="s">
        <v>2008</v>
      </c>
      <c r="J134" s="4" t="s">
        <v>1997</v>
      </c>
      <c r="K134" s="14">
        <f>IF(OR($I134="USO_NO_ENERGETICO_APARENTE",$I134="USO_ENERGETICO_INTERNO_APARENTE"),ROUND(SUMIFS($K$2:$K$618,$B$2:$B$618,$B134,$C$2:$C$618,$C134,$D$2:$D$618,"Energy products",$E$2:$E$618,"Supply",$G$2:$G$618,"&lt;&gt;STAT")-SUMIFS($K$2:$K$618,$B$2:$B$618,$B134,$C$2:$C$618,$C134,$D$2:$D$618,"Energy products",$E$2:$E$618,"Use",$G$2:$G$618,"&lt;&gt;STAT",$I$2:$I$618,"&lt;&gt;USO_NO_ENERGETICO_APARENTE",$I$2:$I$618,"&lt;&gt;USO_ENERGETICO_INTERNO_APARENTE"),10),IF(LEFT($H134,5)="STAT_",ROUND(SUMIFS($K$2:$K$618,$B$2:$B$618,$B134,$C$2:$C$618,$C134,$D$2:$D$618,"Energy products",$E$2:$E$618,"Supply",$G$2:$G$618,"&lt;&gt;STAT")-SUMIFS($K$2:$K$618,$B$2:$B$618,$B134,$C$2:$C$618,$C134,$D$2:$D$618,"Energy products",$E$2:$E$618,"Use",$G$2:$G$618,"&lt;&gt;STAT"),10),IF($J134="cambio de signo",-INDEX(DATOS_MODELO!$U$2:$U$3672,MATCH($H134,DATOS_MODELO!$B$2:$B$3672,0)),IF($J134="valor absoluto",ABS(INDEX(DATOS_MODELO!$U$2:$U$3672,MATCH($H134,DATOS_MODELO!$B$2:$B$3672,0))),INDEX(DATOS_MODELO!$U$2:$U$3672,MATCH($H134,DATOS_MODELO!$B$2:$B$3672,0))))))</f>
        <v>3732.8669</v>
      </c>
      <c r="L134" s="8" t="str">
        <f aca="false">IF(LEFT($H134,5)&lt;&gt;"STAT_","",IF(ABS($K134)&lt;=COUNTIFS($B$2:$B$618,$B134,$C$2:$C$618,$C134,$D$2:$D$618,"Energy products",$G$2:$G$618,"&lt;&gt;STAT")*PARAMETROS!$B$6,"redondeo","residuo_estadistico"))</f>
        <v/>
      </c>
      <c r="M134" s="8" t="str">
        <f>IF(OR($I134="USO_NO_ENERGETICO_APARENTE",$I134="USO_ENERGETICO_INTERNO_APARENTE"),"CAL",IF(LEFT($H134,5)="STAT_","FORMULA",IF(COUNTIF(DATOS_MODELO!$B$2:$B$3672,$H134)=1,"OK","REVISAR")))</f>
        <v>OK</v>
      </c>
    </row>
    <row r="135" customFormat="false" ht="15" hidden="false" customHeight="false" outlineLevel="0" collapsed="false">
      <c r="A135" s="4" t="s">
        <v>2324</v>
      </c>
      <c r="B135" s="12" t="n">
        <v>2023</v>
      </c>
      <c r="C135" s="4" t="s">
        <v>99</v>
      </c>
      <c r="D135" s="4" t="s">
        <v>1993</v>
      </c>
      <c r="E135" s="4" t="s">
        <v>2001</v>
      </c>
      <c r="F135" s="4" t="s">
        <v>2002</v>
      </c>
      <c r="G135" s="4" t="s">
        <v>67</v>
      </c>
      <c r="H135" s="4" t="s">
        <v>1600</v>
      </c>
      <c r="I135" s="4" t="s">
        <v>2139</v>
      </c>
      <c r="J135" s="4" t="s">
        <v>1997</v>
      </c>
      <c r="K135" s="14">
        <f>IF(OR($I135="USO_NO_ENERGETICO_APARENTE",$I135="USO_ENERGETICO_INTERNO_APARENTE"),ROUND(SUMIFS($K$2:$K$618,$B$2:$B$618,$B135,$C$2:$C$618,$C135,$D$2:$D$618,"Energy products",$E$2:$E$618,"Supply",$G$2:$G$618,"&lt;&gt;STAT")-SUMIFS($K$2:$K$618,$B$2:$B$618,$B135,$C$2:$C$618,$C135,$D$2:$D$618,"Energy products",$E$2:$E$618,"Use",$G$2:$G$618,"&lt;&gt;STAT",$I$2:$I$618,"&lt;&gt;USO_NO_ENERGETICO_APARENTE",$I$2:$I$618,"&lt;&gt;USO_ENERGETICO_INTERNO_APARENTE"),10),IF(LEFT($H135,5)="STAT_",ROUND(SUMIFS($K$2:$K$618,$B$2:$B$618,$B135,$C$2:$C$618,$C135,$D$2:$D$618,"Energy products",$E$2:$E$618,"Supply",$G$2:$G$618,"&lt;&gt;STAT")-SUMIFS($K$2:$K$618,$B$2:$B$618,$B135,$C$2:$C$618,$C135,$D$2:$D$618,"Energy products",$E$2:$E$618,"Use",$G$2:$G$618,"&lt;&gt;STAT"),10),IF($J135="cambio de signo",-INDEX(DATOS_MODELO!$U$2:$U$3672,MATCH($H135,DATOS_MODELO!$B$2:$B$3672,0)),IF($J135="valor absoluto",ABS(INDEX(DATOS_MODELO!$U$2:$U$3672,MATCH($H135,DATOS_MODELO!$B$2:$B$3672,0))),INDEX(DATOS_MODELO!$U$2:$U$3672,MATCH($H135,DATOS_MODELO!$B$2:$B$3672,0))))))</f>
        <v>1834.5075</v>
      </c>
      <c r="L135" s="8" t="str">
        <f aca="false">IF(LEFT($H135,5)&lt;&gt;"STAT_","",IF(ABS($K135)&lt;=COUNTIFS($B$2:$B$618,$B135,$C$2:$C$618,$C135,$D$2:$D$618,"Energy products",$G$2:$G$618,"&lt;&gt;STAT")*PARAMETROS!$B$6,"redondeo","residuo_estadistico"))</f>
        <v/>
      </c>
      <c r="M135" s="8" t="str">
        <f>IF(OR($I135="USO_NO_ENERGETICO_APARENTE",$I135="USO_ENERGETICO_INTERNO_APARENTE"),"CAL",IF(LEFT($H135,5)="STAT_","FORMULA",IF(COUNTIF(DATOS_MODELO!$B$2:$B$3672,$H135)=1,"OK","REVISAR")))</f>
        <v>OK</v>
      </c>
    </row>
    <row r="136" customFormat="false" ht="15" hidden="false" customHeight="false" outlineLevel="0" collapsed="false">
      <c r="A136" s="4" t="s">
        <v>2326</v>
      </c>
      <c r="B136" s="12" t="n">
        <v>2023</v>
      </c>
      <c r="C136" s="4" t="s">
        <v>99</v>
      </c>
      <c r="D136" s="4" t="s">
        <v>1993</v>
      </c>
      <c r="E136" s="4" t="s">
        <v>2001</v>
      </c>
      <c r="F136" s="4" t="s">
        <v>2002</v>
      </c>
      <c r="G136" s="4" t="s">
        <v>71</v>
      </c>
      <c r="H136" s="4" t="s">
        <v>1601</v>
      </c>
      <c r="I136" s="4" t="s">
        <v>2123</v>
      </c>
      <c r="J136" s="4" t="s">
        <v>1997</v>
      </c>
      <c r="K136" s="14">
        <f>IF(OR($I136="USO_NO_ENERGETICO_APARENTE",$I136="USO_ENERGETICO_INTERNO_APARENTE"),ROUND(SUMIFS($K$2:$K$618,$B$2:$B$618,$B136,$C$2:$C$618,$C136,$D$2:$D$618,"Energy products",$E$2:$E$618,"Supply",$G$2:$G$618,"&lt;&gt;STAT")-SUMIFS($K$2:$K$618,$B$2:$B$618,$B136,$C$2:$C$618,$C136,$D$2:$D$618,"Energy products",$E$2:$E$618,"Use",$G$2:$G$618,"&lt;&gt;STAT",$I$2:$I$618,"&lt;&gt;USO_NO_ENERGETICO_APARENTE",$I$2:$I$618,"&lt;&gt;USO_ENERGETICO_INTERNO_APARENTE"),10),IF(LEFT($H136,5)="STAT_",ROUND(SUMIFS($K$2:$K$618,$B$2:$B$618,$B136,$C$2:$C$618,$C136,$D$2:$D$618,"Energy products",$E$2:$E$618,"Supply",$G$2:$G$618,"&lt;&gt;STAT")-SUMIFS($K$2:$K$618,$B$2:$B$618,$B136,$C$2:$C$618,$C136,$D$2:$D$618,"Energy products",$E$2:$E$618,"Use",$G$2:$G$618,"&lt;&gt;STAT"),10),IF($J136="cambio de signo",-INDEX(DATOS_MODELO!$U$2:$U$3672,MATCH($H136,DATOS_MODELO!$B$2:$B$3672,0)),IF($J136="valor absoluto",ABS(INDEX(DATOS_MODELO!$U$2:$U$3672,MATCH($H136,DATOS_MODELO!$B$2:$B$3672,0))),INDEX(DATOS_MODELO!$U$2:$U$3672,MATCH($H136,DATOS_MODELO!$B$2:$B$3672,0))))))</f>
        <v>11.5619</v>
      </c>
      <c r="L136" s="8" t="str">
        <f aca="false">IF(LEFT($H136,5)&lt;&gt;"STAT_","",IF(ABS($K136)&lt;=COUNTIFS($B$2:$B$618,$B136,$C$2:$C$618,$C136,$D$2:$D$618,"Energy products",$G$2:$G$618,"&lt;&gt;STAT")*PARAMETROS!$B$6,"redondeo","residuo_estadistico"))</f>
        <v/>
      </c>
      <c r="M136" s="8" t="str">
        <f>IF(OR($I136="USO_NO_ENERGETICO_APARENTE",$I136="USO_ENERGETICO_INTERNO_APARENTE"),"CAL",IF(LEFT($H136,5)="STAT_","FORMULA",IF(COUNTIF(DATOS_MODELO!$B$2:$B$3672,$H136)=1,"OK","REVISAR")))</f>
        <v>OK</v>
      </c>
    </row>
    <row r="137" customFormat="false" ht="15" hidden="false" customHeight="false" outlineLevel="0" collapsed="false">
      <c r="A137" s="4" t="s">
        <v>2328</v>
      </c>
      <c r="B137" s="12" t="n">
        <v>2023</v>
      </c>
      <c r="C137" s="4" t="s">
        <v>99</v>
      </c>
      <c r="D137" s="4" t="s">
        <v>1993</v>
      </c>
      <c r="E137" s="4" t="s">
        <v>2001</v>
      </c>
      <c r="F137" s="4" t="s">
        <v>2074</v>
      </c>
      <c r="G137" s="4" t="s">
        <v>73</v>
      </c>
      <c r="H137" s="4" t="s">
        <v>1602</v>
      </c>
      <c r="I137" s="4" t="s">
        <v>2075</v>
      </c>
      <c r="J137" s="4" t="s">
        <v>1997</v>
      </c>
      <c r="K137" s="14">
        <f>IF(OR($I137="USO_NO_ENERGETICO_APARENTE",$I137="USO_ENERGETICO_INTERNO_APARENTE"),ROUND(SUMIFS($K$2:$K$618,$B$2:$B$618,$B137,$C$2:$C$618,$C137,$D$2:$D$618,"Energy products",$E$2:$E$618,"Supply",$G$2:$G$618,"&lt;&gt;STAT")-SUMIFS($K$2:$K$618,$B$2:$B$618,$B137,$C$2:$C$618,$C137,$D$2:$D$618,"Energy products",$E$2:$E$618,"Use",$G$2:$G$618,"&lt;&gt;STAT",$I$2:$I$618,"&lt;&gt;USO_NO_ENERGETICO_APARENTE",$I$2:$I$618,"&lt;&gt;USO_ENERGETICO_INTERNO_APARENTE"),10),IF(LEFT($H137,5)="STAT_",ROUND(SUMIFS($K$2:$K$618,$B$2:$B$618,$B137,$C$2:$C$618,$C137,$D$2:$D$618,"Energy products",$E$2:$E$618,"Supply",$G$2:$G$618,"&lt;&gt;STAT")-SUMIFS($K$2:$K$618,$B$2:$B$618,$B137,$C$2:$C$618,$C137,$D$2:$D$618,"Energy products",$E$2:$E$618,"Use",$G$2:$G$618,"&lt;&gt;STAT"),10),IF($J137="cambio de signo",-INDEX(DATOS_MODELO!$U$2:$U$3672,MATCH($H137,DATOS_MODELO!$B$2:$B$3672,0)),IF($J137="valor absoluto",ABS(INDEX(DATOS_MODELO!$U$2:$U$3672,MATCH($H137,DATOS_MODELO!$B$2:$B$3672,0))),INDEX(DATOS_MODELO!$U$2:$U$3672,MATCH($H137,DATOS_MODELO!$B$2:$B$3672,0))))))</f>
        <v>15575.2156</v>
      </c>
      <c r="L137" s="8" t="str">
        <f aca="false">IF(LEFT($H137,5)&lt;&gt;"STAT_","",IF(ABS($K137)&lt;=COUNTIFS($B$2:$B$618,$B137,$C$2:$C$618,$C137,$D$2:$D$618,"Energy products",$G$2:$G$618,"&lt;&gt;STAT")*PARAMETROS!$B$6,"redondeo","residuo_estadistico"))</f>
        <v/>
      </c>
      <c r="M137" s="8" t="str">
        <f>IF(OR($I137="USO_NO_ENERGETICO_APARENTE",$I137="USO_ENERGETICO_INTERNO_APARENTE"),"CAL",IF(LEFT($H137,5)="STAT_","FORMULA",IF(COUNTIF(DATOS_MODELO!$B$2:$B$3672,$H137)=1,"OK","REVISAR")))</f>
        <v>OK</v>
      </c>
    </row>
    <row r="138" customFormat="false" ht="15" hidden="false" customHeight="false" outlineLevel="0" collapsed="false">
      <c r="A138" s="4" t="s">
        <v>2330</v>
      </c>
      <c r="B138" s="12" t="n">
        <v>2023</v>
      </c>
      <c r="C138" s="4" t="s">
        <v>99</v>
      </c>
      <c r="D138" s="4" t="s">
        <v>1993</v>
      </c>
      <c r="E138" s="4" t="s">
        <v>2001</v>
      </c>
      <c r="F138" s="4" t="s">
        <v>2002</v>
      </c>
      <c r="G138" s="4" t="s">
        <v>72</v>
      </c>
      <c r="H138" s="4" t="s">
        <v>1603</v>
      </c>
      <c r="I138" s="4" t="s">
        <v>2079</v>
      </c>
      <c r="J138" s="4" t="s">
        <v>1997</v>
      </c>
      <c r="K138" s="14">
        <f>IF(OR($I138="USO_NO_ENERGETICO_APARENTE",$I138="USO_ENERGETICO_INTERNO_APARENTE"),ROUND(SUMIFS($K$2:$K$618,$B$2:$B$618,$B138,$C$2:$C$618,$C138,$D$2:$D$618,"Energy products",$E$2:$E$618,"Supply",$G$2:$G$618,"&lt;&gt;STAT")-SUMIFS($K$2:$K$618,$B$2:$B$618,$B138,$C$2:$C$618,$C138,$D$2:$D$618,"Energy products",$E$2:$E$618,"Use",$G$2:$G$618,"&lt;&gt;STAT",$I$2:$I$618,"&lt;&gt;USO_NO_ENERGETICO_APARENTE",$I$2:$I$618,"&lt;&gt;USO_ENERGETICO_INTERNO_APARENTE"),10),IF(LEFT($H138,5)="STAT_",ROUND(SUMIFS($K$2:$K$618,$B$2:$B$618,$B138,$C$2:$C$618,$C138,$D$2:$D$618,"Energy products",$E$2:$E$618,"Supply",$G$2:$G$618,"&lt;&gt;STAT")-SUMIFS($K$2:$K$618,$B$2:$B$618,$B138,$C$2:$C$618,$C138,$D$2:$D$618,"Energy products",$E$2:$E$618,"Use",$G$2:$G$618,"&lt;&gt;STAT"),10),IF($J138="cambio de signo",-INDEX(DATOS_MODELO!$U$2:$U$3672,MATCH($H138,DATOS_MODELO!$B$2:$B$3672,0)),IF($J138="valor absoluto",ABS(INDEX(DATOS_MODELO!$U$2:$U$3672,MATCH($H138,DATOS_MODELO!$B$2:$B$3672,0))),INDEX(DATOS_MODELO!$U$2:$U$3672,MATCH($H138,DATOS_MODELO!$B$2:$B$3672,0))))))</f>
        <v>11459.0049</v>
      </c>
      <c r="L138" s="8" t="str">
        <f aca="false">IF(LEFT($H138,5)&lt;&gt;"STAT_","",IF(ABS($K138)&lt;=COUNTIFS($B$2:$B$618,$B138,$C$2:$C$618,$C138,$D$2:$D$618,"Energy products",$G$2:$G$618,"&lt;&gt;STAT")*PARAMETROS!$B$6,"redondeo","residuo_estadistico"))</f>
        <v/>
      </c>
      <c r="M138" s="8" t="str">
        <f>IF(OR($I138="USO_NO_ENERGETICO_APARENTE",$I138="USO_ENERGETICO_INTERNO_APARENTE"),"CAL",IF(LEFT($H138,5)="STAT_","FORMULA",IF(COUNTIF(DATOS_MODELO!$B$2:$B$3672,$H138)=1,"OK","REVISAR")))</f>
        <v>OK</v>
      </c>
    </row>
    <row r="139" customFormat="false" ht="15" hidden="false" customHeight="false" outlineLevel="0" collapsed="false">
      <c r="A139" s="4" t="s">
        <v>2332</v>
      </c>
      <c r="B139" s="12" t="n">
        <v>2023</v>
      </c>
      <c r="C139" s="4" t="s">
        <v>99</v>
      </c>
      <c r="D139" s="4" t="s">
        <v>1993</v>
      </c>
      <c r="E139" s="4" t="s">
        <v>2001</v>
      </c>
      <c r="F139" s="4" t="s">
        <v>2002</v>
      </c>
      <c r="G139" s="4" t="s">
        <v>68</v>
      </c>
      <c r="H139" s="4" t="s">
        <v>1604</v>
      </c>
      <c r="I139" s="4" t="s">
        <v>2111</v>
      </c>
      <c r="J139" s="4" t="s">
        <v>1997</v>
      </c>
      <c r="K139" s="14">
        <f>IF(OR($I139="USO_NO_ENERGETICO_APARENTE",$I139="USO_ENERGETICO_INTERNO_APARENTE"),ROUND(SUMIFS($K$2:$K$618,$B$2:$B$618,$B139,$C$2:$C$618,$C139,$D$2:$D$618,"Energy products",$E$2:$E$618,"Supply",$G$2:$G$618,"&lt;&gt;STAT")-SUMIFS($K$2:$K$618,$B$2:$B$618,$B139,$C$2:$C$618,$C139,$D$2:$D$618,"Energy products",$E$2:$E$618,"Use",$G$2:$G$618,"&lt;&gt;STAT",$I$2:$I$618,"&lt;&gt;USO_NO_ENERGETICO_APARENTE",$I$2:$I$618,"&lt;&gt;USO_ENERGETICO_INTERNO_APARENTE"),10),IF(LEFT($H139,5)="STAT_",ROUND(SUMIFS($K$2:$K$618,$B$2:$B$618,$B139,$C$2:$C$618,$C139,$D$2:$D$618,"Energy products",$E$2:$E$618,"Supply",$G$2:$G$618,"&lt;&gt;STAT")-SUMIFS($K$2:$K$618,$B$2:$B$618,$B139,$C$2:$C$618,$C139,$D$2:$D$618,"Energy products",$E$2:$E$618,"Use",$G$2:$G$618,"&lt;&gt;STAT"),10),IF($J139="cambio de signo",-INDEX(DATOS_MODELO!$U$2:$U$3672,MATCH($H139,DATOS_MODELO!$B$2:$B$3672,0)),IF($J139="valor absoluto",ABS(INDEX(DATOS_MODELO!$U$2:$U$3672,MATCH($H139,DATOS_MODELO!$B$2:$B$3672,0))),INDEX(DATOS_MODELO!$U$2:$U$3672,MATCH($H139,DATOS_MODELO!$B$2:$B$3672,0))))))</f>
        <v>16973.6245</v>
      </c>
      <c r="L139" s="8" t="str">
        <f aca="false">IF(LEFT($H139,5)&lt;&gt;"STAT_","",IF(ABS($K139)&lt;=COUNTIFS($B$2:$B$618,$B139,$C$2:$C$618,$C139,$D$2:$D$618,"Energy products",$G$2:$G$618,"&lt;&gt;STAT")*PARAMETROS!$B$6,"redondeo","residuo_estadistico"))</f>
        <v/>
      </c>
      <c r="M139" s="8" t="str">
        <f>IF(OR($I139="USO_NO_ENERGETICO_APARENTE",$I139="USO_ENERGETICO_INTERNO_APARENTE"),"CAL",IF(LEFT($H139,5)="STAT_","FORMULA",IF(COUNTIF(DATOS_MODELO!$B$2:$B$3672,$H139)=1,"OK","REVISAR")))</f>
        <v>OK</v>
      </c>
    </row>
    <row r="140" customFormat="false" ht="15" hidden="false" customHeight="false" outlineLevel="0" collapsed="false">
      <c r="A140" s="4" t="s">
        <v>2334</v>
      </c>
      <c r="B140" s="12" t="n">
        <v>2023</v>
      </c>
      <c r="C140" s="4" t="s">
        <v>99</v>
      </c>
      <c r="D140" s="4" t="s">
        <v>1993</v>
      </c>
      <c r="E140" s="4" t="s">
        <v>2001</v>
      </c>
      <c r="F140" s="4" t="s">
        <v>2002</v>
      </c>
      <c r="G140" s="4" t="s">
        <v>67</v>
      </c>
      <c r="H140" s="4" t="s">
        <v>1606</v>
      </c>
      <c r="I140" s="4" t="s">
        <v>2151</v>
      </c>
      <c r="J140" s="4" t="s">
        <v>1997</v>
      </c>
      <c r="K140" s="14">
        <f>IF(OR($I140="USO_NO_ENERGETICO_APARENTE",$I140="USO_ENERGETICO_INTERNO_APARENTE"),ROUND(SUMIFS($K$2:$K$618,$B$2:$B$618,$B140,$C$2:$C$618,$C140,$D$2:$D$618,"Energy products",$E$2:$E$618,"Supply",$G$2:$G$618,"&lt;&gt;STAT")-SUMIFS($K$2:$K$618,$B$2:$B$618,$B140,$C$2:$C$618,$C140,$D$2:$D$618,"Energy products",$E$2:$E$618,"Use",$G$2:$G$618,"&lt;&gt;STAT",$I$2:$I$618,"&lt;&gt;USO_NO_ENERGETICO_APARENTE",$I$2:$I$618,"&lt;&gt;USO_ENERGETICO_INTERNO_APARENTE"),10),IF(LEFT($H140,5)="STAT_",ROUND(SUMIFS($K$2:$K$618,$B$2:$B$618,$B140,$C$2:$C$618,$C140,$D$2:$D$618,"Energy products",$E$2:$E$618,"Supply",$G$2:$G$618,"&lt;&gt;STAT")-SUMIFS($K$2:$K$618,$B$2:$B$618,$B140,$C$2:$C$618,$C140,$D$2:$D$618,"Energy products",$E$2:$E$618,"Use",$G$2:$G$618,"&lt;&gt;STAT"),10),IF($J140="cambio de signo",-INDEX(DATOS_MODELO!$U$2:$U$3672,MATCH($H140,DATOS_MODELO!$B$2:$B$3672,0)),IF($J140="valor absoluto",ABS(INDEX(DATOS_MODELO!$U$2:$U$3672,MATCH($H140,DATOS_MODELO!$B$2:$B$3672,0))),INDEX(DATOS_MODELO!$U$2:$U$3672,MATCH($H140,DATOS_MODELO!$B$2:$B$3672,0))))))</f>
        <v>6348.7032</v>
      </c>
      <c r="L140" s="8" t="str">
        <f aca="false">IF(LEFT($H140,5)&lt;&gt;"STAT_","",IF(ABS($K140)&lt;=COUNTIFS($B$2:$B$618,$B140,$C$2:$C$618,$C140,$D$2:$D$618,"Energy products",$G$2:$G$618,"&lt;&gt;STAT")*PARAMETROS!$B$6,"redondeo","residuo_estadistico"))</f>
        <v/>
      </c>
      <c r="M140" s="8" t="str">
        <f>IF(OR($I140="USO_NO_ENERGETICO_APARENTE",$I140="USO_ENERGETICO_INTERNO_APARENTE"),"CAL",IF(LEFT($H140,5)="STAT_","FORMULA",IF(COUNTIF(DATOS_MODELO!$B$2:$B$3672,$H140)=1,"OK","REVISAR")))</f>
        <v>OK</v>
      </c>
    </row>
    <row r="141" customFormat="false" ht="15" hidden="false" customHeight="false" outlineLevel="0" collapsed="false">
      <c r="A141" s="4" t="s">
        <v>2336</v>
      </c>
      <c r="B141" s="12" t="n">
        <v>2023</v>
      </c>
      <c r="C141" s="4" t="s">
        <v>99</v>
      </c>
      <c r="D141" s="4" t="s">
        <v>2155</v>
      </c>
      <c r="E141" s="4" t="s">
        <v>1994</v>
      </c>
      <c r="F141" s="4" t="s">
        <v>2156</v>
      </c>
      <c r="G141" s="4" t="s">
        <v>67</v>
      </c>
      <c r="H141" s="4" t="s">
        <v>1606</v>
      </c>
      <c r="I141" s="4" t="s">
        <v>2151</v>
      </c>
      <c r="J141" s="4" t="s">
        <v>1997</v>
      </c>
      <c r="K141" s="14">
        <f>IF(OR($I141="USO_NO_ENERGETICO_APARENTE",$I141="USO_ENERGETICO_INTERNO_APARENTE"),ROUND(SUMIFS($K$2:$K$618,$B$2:$B$618,$B141,$C$2:$C$618,$C141,$D$2:$D$618,"Energy products",$E$2:$E$618,"Supply",$G$2:$G$618,"&lt;&gt;STAT")-SUMIFS($K$2:$K$618,$B$2:$B$618,$B141,$C$2:$C$618,$C141,$D$2:$D$618,"Energy products",$E$2:$E$618,"Use",$G$2:$G$618,"&lt;&gt;STAT",$I$2:$I$618,"&lt;&gt;USO_NO_ENERGETICO_APARENTE",$I$2:$I$618,"&lt;&gt;USO_ENERGETICO_INTERNO_APARENTE"),10),IF(LEFT($H141,5)="STAT_",ROUND(SUMIFS($K$2:$K$618,$B$2:$B$618,$B141,$C$2:$C$618,$C141,$D$2:$D$618,"Energy products",$E$2:$E$618,"Supply",$G$2:$G$618,"&lt;&gt;STAT")-SUMIFS($K$2:$K$618,$B$2:$B$618,$B141,$C$2:$C$618,$C141,$D$2:$D$618,"Energy products",$E$2:$E$618,"Use",$G$2:$G$618,"&lt;&gt;STAT"),10),IF($J141="cambio de signo",-INDEX(DATOS_MODELO!$U$2:$U$3672,MATCH($H141,DATOS_MODELO!$B$2:$B$3672,0)),IF($J141="valor absoluto",ABS(INDEX(DATOS_MODELO!$U$2:$U$3672,MATCH($H141,DATOS_MODELO!$B$2:$B$3672,0))),INDEX(DATOS_MODELO!$U$2:$U$3672,MATCH($H141,DATOS_MODELO!$B$2:$B$3672,0))))))</f>
        <v>6348.7032</v>
      </c>
      <c r="L141" s="8" t="str">
        <f aca="false">IF(LEFT($H141,5)&lt;&gt;"STAT_","",IF(ABS($K141)&lt;=COUNTIFS($B$2:$B$618,$B141,$C$2:$C$618,$C141,$D$2:$D$618,"Energy products",$G$2:$G$618,"&lt;&gt;STAT")*PARAMETROS!$B$6,"redondeo","residuo_estadistico"))</f>
        <v/>
      </c>
      <c r="M141" s="8" t="str">
        <f>IF(OR($I141="USO_NO_ENERGETICO_APARENTE",$I141="USO_ENERGETICO_INTERNO_APARENTE"),"CAL",IF(LEFT($H141,5)="STAT_","FORMULA",IF(COUNTIF(DATOS_MODELO!$B$2:$B$3672,$H141)=1,"OK","REVISAR")))</f>
        <v>OK</v>
      </c>
    </row>
    <row r="142" customFormat="false" ht="15" hidden="false" customHeight="false" outlineLevel="0" collapsed="false">
      <c r="A142" s="4" t="s">
        <v>2338</v>
      </c>
      <c r="B142" s="12" t="n">
        <v>2023</v>
      </c>
      <c r="C142" s="4" t="s">
        <v>99</v>
      </c>
      <c r="D142" s="4" t="s">
        <v>2155</v>
      </c>
      <c r="E142" s="4" t="s">
        <v>2001</v>
      </c>
      <c r="F142" s="4" t="s">
        <v>2160</v>
      </c>
      <c r="G142" s="4" t="s">
        <v>64</v>
      </c>
      <c r="H142" s="4" t="s">
        <v>1606</v>
      </c>
      <c r="I142" s="4" t="s">
        <v>2151</v>
      </c>
      <c r="J142" s="4" t="s">
        <v>1997</v>
      </c>
      <c r="K142" s="14">
        <f>IF(OR($I142="USO_NO_ENERGETICO_APARENTE",$I142="USO_ENERGETICO_INTERNO_APARENTE"),ROUND(SUMIFS($K$2:$K$618,$B$2:$B$618,$B142,$C$2:$C$618,$C142,$D$2:$D$618,"Energy products",$E$2:$E$618,"Supply",$G$2:$G$618,"&lt;&gt;STAT")-SUMIFS($K$2:$K$618,$B$2:$B$618,$B142,$C$2:$C$618,$C142,$D$2:$D$618,"Energy products",$E$2:$E$618,"Use",$G$2:$G$618,"&lt;&gt;STAT",$I$2:$I$618,"&lt;&gt;USO_NO_ENERGETICO_APARENTE",$I$2:$I$618,"&lt;&gt;USO_ENERGETICO_INTERNO_APARENTE"),10),IF(LEFT($H142,5)="STAT_",ROUND(SUMIFS($K$2:$K$618,$B$2:$B$618,$B142,$C$2:$C$618,$C142,$D$2:$D$618,"Energy products",$E$2:$E$618,"Supply",$G$2:$G$618,"&lt;&gt;STAT")-SUMIFS($K$2:$K$618,$B$2:$B$618,$B142,$C$2:$C$618,$C142,$D$2:$D$618,"Energy products",$E$2:$E$618,"Use",$G$2:$G$618,"&lt;&gt;STAT"),10),IF($J142="cambio de signo",-INDEX(DATOS_MODELO!$U$2:$U$3672,MATCH($H142,DATOS_MODELO!$B$2:$B$3672,0)),IF($J142="valor absoluto",ABS(INDEX(DATOS_MODELO!$U$2:$U$3672,MATCH($H142,DATOS_MODELO!$B$2:$B$3672,0))),INDEX(DATOS_MODELO!$U$2:$U$3672,MATCH($H142,DATOS_MODELO!$B$2:$B$3672,0))))))</f>
        <v>6348.7032</v>
      </c>
      <c r="L142" s="8" t="str">
        <f aca="false">IF(LEFT($H142,5)&lt;&gt;"STAT_","",IF(ABS($K142)&lt;=COUNTIFS($B$2:$B$618,$B142,$C$2:$C$618,$C142,$D$2:$D$618,"Energy products",$G$2:$G$618,"&lt;&gt;STAT")*PARAMETROS!$B$6,"redondeo","residuo_estadistico"))</f>
        <v/>
      </c>
      <c r="M142" s="8" t="str">
        <f>IF(OR($I142="USO_NO_ENERGETICO_APARENTE",$I142="USO_ENERGETICO_INTERNO_APARENTE"),"CAL",IF(LEFT($H142,5)="STAT_","FORMULA",IF(COUNTIF(DATOS_MODELO!$B$2:$B$3672,$H142)=1,"OK","REVISAR")))</f>
        <v>OK</v>
      </c>
    </row>
    <row r="143" customFormat="false" ht="15" hidden="false" customHeight="false" outlineLevel="0" collapsed="false">
      <c r="A143" s="4" t="s">
        <v>2340</v>
      </c>
      <c r="B143" s="12" t="n">
        <v>2023</v>
      </c>
      <c r="C143" s="4" t="s">
        <v>101</v>
      </c>
      <c r="D143" s="4" t="s">
        <v>1993</v>
      </c>
      <c r="E143" s="4" t="s">
        <v>1994</v>
      </c>
      <c r="F143" s="4" t="s">
        <v>2029</v>
      </c>
      <c r="G143" s="4" t="s">
        <v>69</v>
      </c>
      <c r="H143" s="4" t="s">
        <v>1608</v>
      </c>
      <c r="I143" s="4" t="s">
        <v>2030</v>
      </c>
      <c r="J143" s="4" t="s">
        <v>1997</v>
      </c>
      <c r="K143" s="14">
        <f>IF(OR($I143="USO_NO_ENERGETICO_APARENTE",$I143="USO_ENERGETICO_INTERNO_APARENTE"),ROUND(SUMIFS($K$2:$K$618,$B$2:$B$618,$B143,$C$2:$C$618,$C143,$D$2:$D$618,"Energy products",$E$2:$E$618,"Supply",$G$2:$G$618,"&lt;&gt;STAT")-SUMIFS($K$2:$K$618,$B$2:$B$618,$B143,$C$2:$C$618,$C143,$D$2:$D$618,"Energy products",$E$2:$E$618,"Use",$G$2:$G$618,"&lt;&gt;STAT",$I$2:$I$618,"&lt;&gt;USO_NO_ENERGETICO_APARENTE",$I$2:$I$618,"&lt;&gt;USO_ENERGETICO_INTERNO_APARENTE"),10),IF(LEFT($H143,5)="STAT_",ROUND(SUMIFS($K$2:$K$618,$B$2:$B$618,$B143,$C$2:$C$618,$C143,$D$2:$D$618,"Energy products",$E$2:$E$618,"Supply",$G$2:$G$618,"&lt;&gt;STAT")-SUMIFS($K$2:$K$618,$B$2:$B$618,$B143,$C$2:$C$618,$C143,$D$2:$D$618,"Energy products",$E$2:$E$618,"Use",$G$2:$G$618,"&lt;&gt;STAT"),10),IF($J143="cambio de signo",-INDEX(DATOS_MODELO!$U$2:$U$3672,MATCH($H143,DATOS_MODELO!$B$2:$B$3672,0)),IF($J143="valor absoluto",ABS(INDEX(DATOS_MODELO!$U$2:$U$3672,MATCH($H143,DATOS_MODELO!$B$2:$B$3672,0))),INDEX(DATOS_MODELO!$U$2:$U$3672,MATCH($H143,DATOS_MODELO!$B$2:$B$3672,0))))))</f>
        <v>13818.5621</v>
      </c>
      <c r="L143" s="8" t="str">
        <f aca="false">IF(LEFT($H143,5)&lt;&gt;"STAT_","",IF(ABS($K143)&lt;=COUNTIFS($B$2:$B$618,$B143,$C$2:$C$618,$C143,$D$2:$D$618,"Energy products",$G$2:$G$618,"&lt;&gt;STAT")*PARAMETROS!$B$6,"redondeo","residuo_estadistico"))</f>
        <v/>
      </c>
      <c r="M143" s="8" t="str">
        <f>IF(OR($I143="USO_NO_ENERGETICO_APARENTE",$I143="USO_ENERGETICO_INTERNO_APARENTE"),"CAL",IF(LEFT($H143,5)="STAT_","FORMULA",IF(COUNTIF(DATOS_MODELO!$B$2:$B$3672,$H143)=1,"OK","REVISAR")))</f>
        <v>OK</v>
      </c>
    </row>
    <row r="144" customFormat="false" ht="15" hidden="false" customHeight="false" outlineLevel="0" collapsed="false">
      <c r="A144" s="4" t="s">
        <v>2342</v>
      </c>
      <c r="B144" s="12" t="n">
        <v>2023</v>
      </c>
      <c r="C144" s="4" t="s">
        <v>101</v>
      </c>
      <c r="D144" s="4" t="s">
        <v>1993</v>
      </c>
      <c r="E144" s="4" t="s">
        <v>2001</v>
      </c>
      <c r="F144" s="4" t="s">
        <v>2034</v>
      </c>
      <c r="G144" s="4" t="s">
        <v>74</v>
      </c>
      <c r="H144" s="4" t="s">
        <v>1610</v>
      </c>
      <c r="I144" s="4" t="s">
        <v>2035</v>
      </c>
      <c r="J144" s="4" t="s">
        <v>2036</v>
      </c>
      <c r="K144" s="14">
        <f>IF(OR($I144="USO_NO_ENERGETICO_APARENTE",$I144="USO_ENERGETICO_INTERNO_APARENTE"),ROUND(SUMIFS($K$2:$K$618,$B$2:$B$618,$B144,$C$2:$C$618,$C144,$D$2:$D$618,"Energy products",$E$2:$E$618,"Supply",$G$2:$G$618,"&lt;&gt;STAT")-SUMIFS($K$2:$K$618,$B$2:$B$618,$B144,$C$2:$C$618,$C144,$D$2:$D$618,"Energy products",$E$2:$E$618,"Use",$G$2:$G$618,"&lt;&gt;STAT",$I$2:$I$618,"&lt;&gt;USO_NO_ENERGETICO_APARENTE",$I$2:$I$618,"&lt;&gt;USO_ENERGETICO_INTERNO_APARENTE"),10),IF(LEFT($H144,5)="STAT_",ROUND(SUMIFS($K$2:$K$618,$B$2:$B$618,$B144,$C$2:$C$618,$C144,$D$2:$D$618,"Energy products",$E$2:$E$618,"Supply",$G$2:$G$618,"&lt;&gt;STAT")-SUMIFS($K$2:$K$618,$B$2:$B$618,$B144,$C$2:$C$618,$C144,$D$2:$D$618,"Energy products",$E$2:$E$618,"Use",$G$2:$G$618,"&lt;&gt;STAT"),10),IF($J144="cambio de signo",-INDEX(DATOS_MODELO!$U$2:$U$3672,MATCH($H144,DATOS_MODELO!$B$2:$B$3672,0)),IF($J144="valor absoluto",ABS(INDEX(DATOS_MODELO!$U$2:$U$3672,MATCH($H144,DATOS_MODELO!$B$2:$B$3672,0))),INDEX(DATOS_MODELO!$U$2:$U$3672,MATCH($H144,DATOS_MODELO!$B$2:$B$3672,0))))))</f>
        <v>1108.3737</v>
      </c>
      <c r="L144" s="8" t="str">
        <f aca="false">IF(LEFT($H144,5)&lt;&gt;"STAT_","",IF(ABS($K144)&lt;=COUNTIFS($B$2:$B$618,$B144,$C$2:$C$618,$C144,$D$2:$D$618,"Energy products",$G$2:$G$618,"&lt;&gt;STAT")*PARAMETROS!$B$6,"redondeo","residuo_estadistico"))</f>
        <v/>
      </c>
      <c r="M144" s="8" t="str">
        <f>IF(OR($I144="USO_NO_ENERGETICO_APARENTE",$I144="USO_ENERGETICO_INTERNO_APARENTE"),"CAL",IF(LEFT($H144,5)="STAT_","FORMULA",IF(COUNTIF(DATOS_MODELO!$B$2:$B$3672,$H144)=1,"OK","REVISAR")))</f>
        <v>OK</v>
      </c>
    </row>
    <row r="145" customFormat="false" ht="15" hidden="false" customHeight="false" outlineLevel="0" collapsed="false">
      <c r="A145" s="4" t="s">
        <v>2344</v>
      </c>
      <c r="B145" s="12" t="n">
        <v>2023</v>
      </c>
      <c r="C145" s="4" t="s">
        <v>101</v>
      </c>
      <c r="D145" s="4" t="s">
        <v>1993</v>
      </c>
      <c r="E145" s="4" t="s">
        <v>2001</v>
      </c>
      <c r="F145" s="4" t="s">
        <v>2002</v>
      </c>
      <c r="G145" s="4" t="s">
        <v>67</v>
      </c>
      <c r="H145" s="4" t="s">
        <v>1612</v>
      </c>
      <c r="I145" s="4" t="s">
        <v>2003</v>
      </c>
      <c r="J145" s="4" t="s">
        <v>2004</v>
      </c>
      <c r="K145" s="14">
        <f>IF(OR($I145="USO_NO_ENERGETICO_APARENTE",$I145="USO_ENERGETICO_INTERNO_APARENTE"),ROUND(SUMIFS($K$2:$K$618,$B$2:$B$618,$B145,$C$2:$C$618,$C145,$D$2:$D$618,"Energy products",$E$2:$E$618,"Supply",$G$2:$G$618,"&lt;&gt;STAT")-SUMIFS($K$2:$K$618,$B$2:$B$618,$B145,$C$2:$C$618,$C145,$D$2:$D$618,"Energy products",$E$2:$E$618,"Use",$G$2:$G$618,"&lt;&gt;STAT",$I$2:$I$618,"&lt;&gt;USO_NO_ENERGETICO_APARENTE",$I$2:$I$618,"&lt;&gt;USO_ENERGETICO_INTERNO_APARENTE"),10),IF(LEFT($H145,5)="STAT_",ROUND(SUMIFS($K$2:$K$618,$B$2:$B$618,$B145,$C$2:$C$618,$C145,$D$2:$D$618,"Energy products",$E$2:$E$618,"Supply",$G$2:$G$618,"&lt;&gt;STAT")-SUMIFS($K$2:$K$618,$B$2:$B$618,$B145,$C$2:$C$618,$C145,$D$2:$D$618,"Energy products",$E$2:$E$618,"Use",$G$2:$G$618,"&lt;&gt;STAT"),10),IF($J145="cambio de signo",-INDEX(DATOS_MODELO!$U$2:$U$3672,MATCH($H145,DATOS_MODELO!$B$2:$B$3672,0)),IF($J145="valor absoluto",ABS(INDEX(DATOS_MODELO!$U$2:$U$3672,MATCH($H145,DATOS_MODELO!$B$2:$B$3672,0))),INDEX(DATOS_MODELO!$U$2:$U$3672,MATCH($H145,DATOS_MODELO!$B$2:$B$3672,0))))))</f>
        <v>4479.8586</v>
      </c>
      <c r="L145" s="8" t="str">
        <f aca="false">IF(LEFT($H145,5)&lt;&gt;"STAT_","",IF(ABS($K145)&lt;=COUNTIFS($B$2:$B$618,$B145,$C$2:$C$618,$C145,$D$2:$D$618,"Energy products",$G$2:$G$618,"&lt;&gt;STAT")*PARAMETROS!$B$6,"redondeo","residuo_estadistico"))</f>
        <v/>
      </c>
      <c r="M145" s="8" t="str">
        <f>IF(OR($I145="USO_NO_ENERGETICO_APARENTE",$I145="USO_ENERGETICO_INTERNO_APARENTE"),"CAL",IF(LEFT($H145,5)="STAT_","FORMULA",IF(COUNTIF(DATOS_MODELO!$B$2:$B$3672,$H145)=1,"OK","REVISAR")))</f>
        <v>OK</v>
      </c>
    </row>
    <row r="146" customFormat="false" ht="15" hidden="false" customHeight="false" outlineLevel="0" collapsed="false">
      <c r="A146" s="4" t="s">
        <v>2346</v>
      </c>
      <c r="B146" s="12" t="n">
        <v>2023</v>
      </c>
      <c r="C146" s="4" t="s">
        <v>101</v>
      </c>
      <c r="D146" s="4" t="s">
        <v>1993</v>
      </c>
      <c r="E146" s="4" t="s">
        <v>2001</v>
      </c>
      <c r="F146" s="4" t="s">
        <v>2002</v>
      </c>
      <c r="G146" s="4" t="s">
        <v>67</v>
      </c>
      <c r="H146" s="4" t="s">
        <v>1613</v>
      </c>
      <c r="I146" s="4" t="s">
        <v>2008</v>
      </c>
      <c r="J146" s="4" t="s">
        <v>2004</v>
      </c>
      <c r="K146" s="14">
        <f>IF(OR($I146="USO_NO_ENERGETICO_APARENTE",$I146="USO_ENERGETICO_INTERNO_APARENTE"),ROUND(SUMIFS($K$2:$K$618,$B$2:$B$618,$B146,$C$2:$C$618,$C146,$D$2:$D$618,"Energy products",$E$2:$E$618,"Supply",$G$2:$G$618,"&lt;&gt;STAT")-SUMIFS($K$2:$K$618,$B$2:$B$618,$B146,$C$2:$C$618,$C146,$D$2:$D$618,"Energy products",$E$2:$E$618,"Use",$G$2:$G$618,"&lt;&gt;STAT",$I$2:$I$618,"&lt;&gt;USO_NO_ENERGETICO_APARENTE",$I$2:$I$618,"&lt;&gt;USO_ENERGETICO_INTERNO_APARENTE"),10),IF(LEFT($H146,5)="STAT_",ROUND(SUMIFS($K$2:$K$618,$B$2:$B$618,$B146,$C$2:$C$618,$C146,$D$2:$D$618,"Energy products",$E$2:$E$618,"Supply",$G$2:$G$618,"&lt;&gt;STAT")-SUMIFS($K$2:$K$618,$B$2:$B$618,$B146,$C$2:$C$618,$C146,$D$2:$D$618,"Energy products",$E$2:$E$618,"Use",$G$2:$G$618,"&lt;&gt;STAT"),10),IF($J146="cambio de signo",-INDEX(DATOS_MODELO!$U$2:$U$3672,MATCH($H146,DATOS_MODELO!$B$2:$B$3672,0)),IF($J146="valor absoluto",ABS(INDEX(DATOS_MODELO!$U$2:$U$3672,MATCH($H146,DATOS_MODELO!$B$2:$B$3672,0))),INDEX(DATOS_MODELO!$U$2:$U$3672,MATCH($H146,DATOS_MODELO!$B$2:$B$3672,0))))))</f>
        <v>67.4541</v>
      </c>
      <c r="L146" s="8" t="str">
        <f aca="false">IF(LEFT($H146,5)&lt;&gt;"STAT_","",IF(ABS($K146)&lt;=COUNTIFS($B$2:$B$618,$B146,$C$2:$C$618,$C146,$D$2:$D$618,"Energy products",$G$2:$G$618,"&lt;&gt;STAT")*PARAMETROS!$B$6,"redondeo","residuo_estadistico"))</f>
        <v/>
      </c>
      <c r="M146" s="8" t="str">
        <f>IF(OR($I146="USO_NO_ENERGETICO_APARENTE",$I146="USO_ENERGETICO_INTERNO_APARENTE"),"CAL",IF(LEFT($H146,5)="STAT_","FORMULA",IF(COUNTIF(DATOS_MODELO!$B$2:$B$3672,$H146)=1,"OK","REVISAR")))</f>
        <v>OK</v>
      </c>
    </row>
    <row r="147" customFormat="false" ht="15" hidden="false" customHeight="false" outlineLevel="0" collapsed="false">
      <c r="A147" s="4" t="s">
        <v>2348</v>
      </c>
      <c r="B147" s="12" t="n">
        <v>2023</v>
      </c>
      <c r="C147" s="4" t="s">
        <v>101</v>
      </c>
      <c r="D147" s="4" t="s">
        <v>1993</v>
      </c>
      <c r="E147" s="4" t="s">
        <v>2001</v>
      </c>
      <c r="F147" s="4" t="s">
        <v>2002</v>
      </c>
      <c r="G147" s="4" t="s">
        <v>68</v>
      </c>
      <c r="H147" s="4" t="s">
        <v>1618</v>
      </c>
      <c r="I147" s="4" t="s">
        <v>2111</v>
      </c>
      <c r="J147" s="4" t="s">
        <v>1997</v>
      </c>
      <c r="K147" s="14">
        <f>IF(OR($I147="USO_NO_ENERGETICO_APARENTE",$I147="USO_ENERGETICO_INTERNO_APARENTE"),ROUND(SUMIFS($K$2:$K$618,$B$2:$B$618,$B147,$C$2:$C$618,$C147,$D$2:$D$618,"Energy products",$E$2:$E$618,"Supply",$G$2:$G$618,"&lt;&gt;STAT")-SUMIFS($K$2:$K$618,$B$2:$B$618,$B147,$C$2:$C$618,$C147,$D$2:$D$618,"Energy products",$E$2:$E$618,"Use",$G$2:$G$618,"&lt;&gt;STAT",$I$2:$I$618,"&lt;&gt;USO_NO_ENERGETICO_APARENTE",$I$2:$I$618,"&lt;&gt;USO_ENERGETICO_INTERNO_APARENTE"),10),IF(LEFT($H147,5)="STAT_",ROUND(SUMIFS($K$2:$K$618,$B$2:$B$618,$B147,$C$2:$C$618,$C147,$D$2:$D$618,"Energy products",$E$2:$E$618,"Supply",$G$2:$G$618,"&lt;&gt;STAT")-SUMIFS($K$2:$K$618,$B$2:$B$618,$B147,$C$2:$C$618,$C147,$D$2:$D$618,"Energy products",$E$2:$E$618,"Use",$G$2:$G$618,"&lt;&gt;STAT"),10),IF($J147="cambio de signo",-INDEX(DATOS_MODELO!$U$2:$U$3672,MATCH($H147,DATOS_MODELO!$B$2:$B$3672,0)),IF($J147="valor absoluto",ABS(INDEX(DATOS_MODELO!$U$2:$U$3672,MATCH($H147,DATOS_MODELO!$B$2:$B$3672,0))),INDEX(DATOS_MODELO!$U$2:$U$3672,MATCH($H147,DATOS_MODELO!$B$2:$B$3672,0))))))</f>
        <v>8162.8757</v>
      </c>
      <c r="L147" s="8" t="str">
        <f aca="false">IF(LEFT($H147,5)&lt;&gt;"STAT_","",IF(ABS($K147)&lt;=COUNTIFS($B$2:$B$618,$B147,$C$2:$C$618,$C147,$D$2:$D$618,"Energy products",$G$2:$G$618,"&lt;&gt;STAT")*PARAMETROS!$B$6,"redondeo","residuo_estadistico"))</f>
        <v/>
      </c>
      <c r="M147" s="8" t="str">
        <f>IF(OR($I147="USO_NO_ENERGETICO_APARENTE",$I147="USO_ENERGETICO_INTERNO_APARENTE"),"CAL",IF(LEFT($H147,5)="STAT_","FORMULA",IF(COUNTIF(DATOS_MODELO!$B$2:$B$3672,$H147)=1,"OK","REVISAR")))</f>
        <v>OK</v>
      </c>
    </row>
    <row r="148" customFormat="false" ht="15" hidden="false" customHeight="false" outlineLevel="0" collapsed="false">
      <c r="A148" s="4" t="s">
        <v>2350</v>
      </c>
      <c r="B148" s="12" t="n">
        <v>2023</v>
      </c>
      <c r="C148" s="4" t="s">
        <v>103</v>
      </c>
      <c r="D148" s="4" t="s">
        <v>1993</v>
      </c>
      <c r="E148" s="4" t="s">
        <v>1994</v>
      </c>
      <c r="F148" s="4" t="s">
        <v>2029</v>
      </c>
      <c r="G148" s="4" t="s">
        <v>69</v>
      </c>
      <c r="H148" s="4" t="s">
        <v>1622</v>
      </c>
      <c r="I148" s="4" t="s">
        <v>2030</v>
      </c>
      <c r="J148" s="4" t="s">
        <v>1997</v>
      </c>
      <c r="K148" s="14">
        <f>IF(OR($I148="USO_NO_ENERGETICO_APARENTE",$I148="USO_ENERGETICO_INTERNO_APARENTE"),ROUND(SUMIFS($K$2:$K$618,$B$2:$B$618,$B148,$C$2:$C$618,$C148,$D$2:$D$618,"Energy products",$E$2:$E$618,"Supply",$G$2:$G$618,"&lt;&gt;STAT")-SUMIFS($K$2:$K$618,$B$2:$B$618,$B148,$C$2:$C$618,$C148,$D$2:$D$618,"Energy products",$E$2:$E$618,"Use",$G$2:$G$618,"&lt;&gt;STAT",$I$2:$I$618,"&lt;&gt;USO_NO_ENERGETICO_APARENTE",$I$2:$I$618,"&lt;&gt;USO_ENERGETICO_INTERNO_APARENTE"),10),IF(LEFT($H148,5)="STAT_",ROUND(SUMIFS($K$2:$K$618,$B$2:$B$618,$B148,$C$2:$C$618,$C148,$D$2:$D$618,"Energy products",$E$2:$E$618,"Supply",$G$2:$G$618,"&lt;&gt;STAT")-SUMIFS($K$2:$K$618,$B$2:$B$618,$B148,$C$2:$C$618,$C148,$D$2:$D$618,"Energy products",$E$2:$E$618,"Use",$G$2:$G$618,"&lt;&gt;STAT"),10),IF($J148="cambio de signo",-INDEX(DATOS_MODELO!$U$2:$U$3672,MATCH($H148,DATOS_MODELO!$B$2:$B$3672,0)),IF($J148="valor absoluto",ABS(INDEX(DATOS_MODELO!$U$2:$U$3672,MATCH($H148,DATOS_MODELO!$B$2:$B$3672,0))),INDEX(DATOS_MODELO!$U$2:$U$3672,MATCH($H148,DATOS_MODELO!$B$2:$B$3672,0))))))</f>
        <v>91175.0518</v>
      </c>
      <c r="L148" s="8" t="str">
        <f aca="false">IF(LEFT($H148,5)&lt;&gt;"STAT_","",IF(ABS($K148)&lt;=COUNTIFS($B$2:$B$618,$B148,$C$2:$C$618,$C148,$D$2:$D$618,"Energy products",$G$2:$G$618,"&lt;&gt;STAT")*PARAMETROS!$B$6,"redondeo","residuo_estadistico"))</f>
        <v/>
      </c>
      <c r="M148" s="8" t="str">
        <f>IF(OR($I148="USO_NO_ENERGETICO_APARENTE",$I148="USO_ENERGETICO_INTERNO_APARENTE"),"CAL",IF(LEFT($H148,5)="STAT_","FORMULA",IF(COUNTIF(DATOS_MODELO!$B$2:$B$3672,$H148)=1,"OK","REVISAR")))</f>
        <v>OK</v>
      </c>
    </row>
    <row r="149" customFormat="false" ht="15" hidden="false" customHeight="false" outlineLevel="0" collapsed="false">
      <c r="A149" s="4" t="s">
        <v>2352</v>
      </c>
      <c r="B149" s="12" t="n">
        <v>2023</v>
      </c>
      <c r="C149" s="4" t="s">
        <v>103</v>
      </c>
      <c r="D149" s="4" t="s">
        <v>1993</v>
      </c>
      <c r="E149" s="4" t="s">
        <v>2001</v>
      </c>
      <c r="F149" s="4" t="s">
        <v>2091</v>
      </c>
      <c r="G149" s="4" t="s">
        <v>69</v>
      </c>
      <c r="H149" s="4" t="s">
        <v>1623</v>
      </c>
      <c r="I149" s="4" t="s">
        <v>2030</v>
      </c>
      <c r="J149" s="4" t="s">
        <v>1997</v>
      </c>
      <c r="K149" s="14">
        <f>IF(OR($I149="USO_NO_ENERGETICO_APARENTE",$I149="USO_ENERGETICO_INTERNO_APARENTE"),ROUND(SUMIFS($K$2:$K$618,$B$2:$B$618,$B149,$C$2:$C$618,$C149,$D$2:$D$618,"Energy products",$E$2:$E$618,"Supply",$G$2:$G$618,"&lt;&gt;STAT")-SUMIFS($K$2:$K$618,$B$2:$B$618,$B149,$C$2:$C$618,$C149,$D$2:$D$618,"Energy products",$E$2:$E$618,"Use",$G$2:$G$618,"&lt;&gt;STAT",$I$2:$I$618,"&lt;&gt;USO_NO_ENERGETICO_APARENTE",$I$2:$I$618,"&lt;&gt;USO_ENERGETICO_INTERNO_APARENTE"),10),IF(LEFT($H149,5)="STAT_",ROUND(SUMIFS($K$2:$K$618,$B$2:$B$618,$B149,$C$2:$C$618,$C149,$D$2:$D$618,"Energy products",$E$2:$E$618,"Supply",$G$2:$G$618,"&lt;&gt;STAT")-SUMIFS($K$2:$K$618,$B$2:$B$618,$B149,$C$2:$C$618,$C149,$D$2:$D$618,"Energy products",$E$2:$E$618,"Use",$G$2:$G$618,"&lt;&gt;STAT"),10),IF($J149="cambio de signo",-INDEX(DATOS_MODELO!$U$2:$U$3672,MATCH($H149,DATOS_MODELO!$B$2:$B$3672,0)),IF($J149="valor absoluto",ABS(INDEX(DATOS_MODELO!$U$2:$U$3672,MATCH($H149,DATOS_MODELO!$B$2:$B$3672,0))),INDEX(DATOS_MODELO!$U$2:$U$3672,MATCH($H149,DATOS_MODELO!$B$2:$B$3672,0))))))</f>
        <v>1660.4399</v>
      </c>
      <c r="L149" s="8" t="str">
        <f aca="false">IF(LEFT($H149,5)&lt;&gt;"STAT_","",IF(ABS($K149)&lt;=COUNTIFS($B$2:$B$618,$B149,$C$2:$C$618,$C149,$D$2:$D$618,"Energy products",$G$2:$G$618,"&lt;&gt;STAT")*PARAMETROS!$B$6,"redondeo","residuo_estadistico"))</f>
        <v/>
      </c>
      <c r="M149" s="8" t="str">
        <f>IF(OR($I149="USO_NO_ENERGETICO_APARENTE",$I149="USO_ENERGETICO_INTERNO_APARENTE"),"CAL",IF(LEFT($H149,5)="STAT_","FORMULA",IF(COUNTIF(DATOS_MODELO!$B$2:$B$3672,$H149)=1,"OK","REVISAR")))</f>
        <v>OK</v>
      </c>
    </row>
    <row r="150" customFormat="false" ht="15" hidden="false" customHeight="false" outlineLevel="0" collapsed="false">
      <c r="A150" s="4" t="s">
        <v>2354</v>
      </c>
      <c r="B150" s="12" t="n">
        <v>2023</v>
      </c>
      <c r="C150" s="4" t="s">
        <v>103</v>
      </c>
      <c r="D150" s="4" t="s">
        <v>1993</v>
      </c>
      <c r="E150" s="4" t="s">
        <v>2001</v>
      </c>
      <c r="F150" s="4" t="s">
        <v>2034</v>
      </c>
      <c r="G150" s="4" t="s">
        <v>74</v>
      </c>
      <c r="H150" s="4" t="s">
        <v>1624</v>
      </c>
      <c r="I150" s="4" t="s">
        <v>2035</v>
      </c>
      <c r="J150" s="4" t="s">
        <v>2036</v>
      </c>
      <c r="K150" s="14">
        <f>IF(OR($I150="USO_NO_ENERGETICO_APARENTE",$I150="USO_ENERGETICO_INTERNO_APARENTE"),ROUND(SUMIFS($K$2:$K$618,$B$2:$B$618,$B150,$C$2:$C$618,$C150,$D$2:$D$618,"Energy products",$E$2:$E$618,"Supply",$G$2:$G$618,"&lt;&gt;STAT")-SUMIFS($K$2:$K$618,$B$2:$B$618,$B150,$C$2:$C$618,$C150,$D$2:$D$618,"Energy products",$E$2:$E$618,"Use",$G$2:$G$618,"&lt;&gt;STAT",$I$2:$I$618,"&lt;&gt;USO_NO_ENERGETICO_APARENTE",$I$2:$I$618,"&lt;&gt;USO_ENERGETICO_INTERNO_APARENTE"),10),IF(LEFT($H150,5)="STAT_",ROUND(SUMIFS($K$2:$K$618,$B$2:$B$618,$B150,$C$2:$C$618,$C150,$D$2:$D$618,"Energy products",$E$2:$E$618,"Supply",$G$2:$G$618,"&lt;&gt;STAT")-SUMIFS($K$2:$K$618,$B$2:$B$618,$B150,$C$2:$C$618,$C150,$D$2:$D$618,"Energy products",$E$2:$E$618,"Use",$G$2:$G$618,"&lt;&gt;STAT"),10),IF($J150="cambio de signo",-INDEX(DATOS_MODELO!$U$2:$U$3672,MATCH($H150,DATOS_MODELO!$B$2:$B$3672,0)),IF($J150="valor absoluto",ABS(INDEX(DATOS_MODELO!$U$2:$U$3672,MATCH($H150,DATOS_MODELO!$B$2:$B$3672,0))),INDEX(DATOS_MODELO!$U$2:$U$3672,MATCH($H150,DATOS_MODELO!$B$2:$B$3672,0))))))</f>
        <v>688.1364</v>
      </c>
      <c r="L150" s="8" t="str">
        <f aca="false">IF(LEFT($H150,5)&lt;&gt;"STAT_","",IF(ABS($K150)&lt;=COUNTIFS($B$2:$B$618,$B150,$C$2:$C$618,$C150,$D$2:$D$618,"Energy products",$G$2:$G$618,"&lt;&gt;STAT")*PARAMETROS!$B$6,"redondeo","residuo_estadistico"))</f>
        <v/>
      </c>
      <c r="M150" s="8" t="str">
        <f>IF(OR($I150="USO_NO_ENERGETICO_APARENTE",$I150="USO_ENERGETICO_INTERNO_APARENTE"),"CAL",IF(LEFT($H150,5)="STAT_","FORMULA",IF(COUNTIF(DATOS_MODELO!$B$2:$B$3672,$H150)=1,"OK","REVISAR")))</f>
        <v>OK</v>
      </c>
    </row>
    <row r="151" customFormat="false" ht="15" hidden="false" customHeight="false" outlineLevel="0" collapsed="false">
      <c r="A151" s="4" t="s">
        <v>2356</v>
      </c>
      <c r="B151" s="12" t="n">
        <v>2023</v>
      </c>
      <c r="C151" s="4" t="s">
        <v>103</v>
      </c>
      <c r="D151" s="4" t="s">
        <v>1993</v>
      </c>
      <c r="E151" s="4" t="s">
        <v>2001</v>
      </c>
      <c r="F151" s="4" t="s">
        <v>2002</v>
      </c>
      <c r="G151" s="4" t="s">
        <v>71</v>
      </c>
      <c r="H151" s="4" t="s">
        <v>1629</v>
      </c>
      <c r="I151" s="4" t="s">
        <v>2123</v>
      </c>
      <c r="J151" s="4" t="s">
        <v>1997</v>
      </c>
      <c r="K151" s="14">
        <f>IF(OR($I151="USO_NO_ENERGETICO_APARENTE",$I151="USO_ENERGETICO_INTERNO_APARENTE"),ROUND(SUMIFS($K$2:$K$618,$B$2:$B$618,$B151,$C$2:$C$618,$C151,$D$2:$D$618,"Energy products",$E$2:$E$618,"Supply",$G$2:$G$618,"&lt;&gt;STAT")-SUMIFS($K$2:$K$618,$B$2:$B$618,$B151,$C$2:$C$618,$C151,$D$2:$D$618,"Energy products",$E$2:$E$618,"Use",$G$2:$G$618,"&lt;&gt;STAT",$I$2:$I$618,"&lt;&gt;USO_NO_ENERGETICO_APARENTE",$I$2:$I$618,"&lt;&gt;USO_ENERGETICO_INTERNO_APARENTE"),10),IF(LEFT($H151,5)="STAT_",ROUND(SUMIFS($K$2:$K$618,$B$2:$B$618,$B151,$C$2:$C$618,$C151,$D$2:$D$618,"Energy products",$E$2:$E$618,"Supply",$G$2:$G$618,"&lt;&gt;STAT")-SUMIFS($K$2:$K$618,$B$2:$B$618,$B151,$C$2:$C$618,$C151,$D$2:$D$618,"Energy products",$E$2:$E$618,"Use",$G$2:$G$618,"&lt;&gt;STAT"),10),IF($J151="cambio de signo",-INDEX(DATOS_MODELO!$U$2:$U$3672,MATCH($H151,DATOS_MODELO!$B$2:$B$3672,0)),IF($J151="valor absoluto",ABS(INDEX(DATOS_MODELO!$U$2:$U$3672,MATCH($H151,DATOS_MODELO!$B$2:$B$3672,0))),INDEX(DATOS_MODELO!$U$2:$U$3672,MATCH($H151,DATOS_MODELO!$B$2:$B$3672,0))))))</f>
        <v>86608.1594</v>
      </c>
      <c r="L151" s="8" t="str">
        <f aca="false">IF(LEFT($H151,5)&lt;&gt;"STAT_","",IF(ABS($K151)&lt;=COUNTIFS($B$2:$B$618,$B151,$C$2:$C$618,$C151,$D$2:$D$618,"Energy products",$G$2:$G$618,"&lt;&gt;STAT")*PARAMETROS!$B$6,"redondeo","residuo_estadistico"))</f>
        <v/>
      </c>
      <c r="M151" s="8" t="str">
        <f>IF(OR($I151="USO_NO_ENERGETICO_APARENTE",$I151="USO_ENERGETICO_INTERNO_APARENTE"),"CAL",IF(LEFT($H151,5)="STAT_","FORMULA",IF(COUNTIF(DATOS_MODELO!$B$2:$B$3672,$H151)=1,"OK","REVISAR")))</f>
        <v>OK</v>
      </c>
    </row>
    <row r="152" customFormat="false" ht="15" hidden="false" customHeight="false" outlineLevel="0" collapsed="false">
      <c r="A152" s="4" t="s">
        <v>2358</v>
      </c>
      <c r="B152" s="12" t="n">
        <v>2023</v>
      </c>
      <c r="C152" s="4" t="s">
        <v>103</v>
      </c>
      <c r="D152" s="4" t="s">
        <v>1993</v>
      </c>
      <c r="E152" s="4" t="s">
        <v>2001</v>
      </c>
      <c r="F152" s="4" t="s">
        <v>2002</v>
      </c>
      <c r="G152" s="4" t="s">
        <v>72</v>
      </c>
      <c r="H152" s="4" t="s">
        <v>1631</v>
      </c>
      <c r="I152" s="4" t="s">
        <v>2079</v>
      </c>
      <c r="J152" s="4" t="s">
        <v>1997</v>
      </c>
      <c r="K152" s="14">
        <f>IF(OR($I152="USO_NO_ENERGETICO_APARENTE",$I152="USO_ENERGETICO_INTERNO_APARENTE"),ROUND(SUMIFS($K$2:$K$618,$B$2:$B$618,$B152,$C$2:$C$618,$C152,$D$2:$D$618,"Energy products",$E$2:$E$618,"Supply",$G$2:$G$618,"&lt;&gt;STAT")-SUMIFS($K$2:$K$618,$B$2:$B$618,$B152,$C$2:$C$618,$C152,$D$2:$D$618,"Energy products",$E$2:$E$618,"Use",$G$2:$G$618,"&lt;&gt;STAT",$I$2:$I$618,"&lt;&gt;USO_NO_ENERGETICO_APARENTE",$I$2:$I$618,"&lt;&gt;USO_ENERGETICO_INTERNO_APARENTE"),10),IF(LEFT($H152,5)="STAT_",ROUND(SUMIFS($K$2:$K$618,$B$2:$B$618,$B152,$C$2:$C$618,$C152,$D$2:$D$618,"Energy products",$E$2:$E$618,"Supply",$G$2:$G$618,"&lt;&gt;STAT")-SUMIFS($K$2:$K$618,$B$2:$B$618,$B152,$C$2:$C$618,$C152,$D$2:$D$618,"Energy products",$E$2:$E$618,"Use",$G$2:$G$618,"&lt;&gt;STAT"),10),IF($J152="cambio de signo",-INDEX(DATOS_MODELO!$U$2:$U$3672,MATCH($H152,DATOS_MODELO!$B$2:$B$3672,0)),IF($J152="valor absoluto",ABS(INDEX(DATOS_MODELO!$U$2:$U$3672,MATCH($H152,DATOS_MODELO!$B$2:$B$3672,0))),INDEX(DATOS_MODELO!$U$2:$U$3672,MATCH($H152,DATOS_MODELO!$B$2:$B$3672,0))))))</f>
        <v>443.6516</v>
      </c>
      <c r="L152" s="8" t="str">
        <f aca="false">IF(LEFT($H152,5)&lt;&gt;"STAT_","",IF(ABS($K152)&lt;=COUNTIFS($B$2:$B$618,$B152,$C$2:$C$618,$C152,$D$2:$D$618,"Energy products",$G$2:$G$618,"&lt;&gt;STAT")*PARAMETROS!$B$6,"redondeo","residuo_estadistico"))</f>
        <v/>
      </c>
      <c r="M152" s="8" t="str">
        <f>IF(OR($I152="USO_NO_ENERGETICO_APARENTE",$I152="USO_ENERGETICO_INTERNO_APARENTE"),"CAL",IF(LEFT($H152,5)="STAT_","FORMULA",IF(COUNTIF(DATOS_MODELO!$B$2:$B$3672,$H152)=1,"OK","REVISAR")))</f>
        <v>OK</v>
      </c>
    </row>
    <row r="153" customFormat="false" ht="15" hidden="false" customHeight="false" outlineLevel="0" collapsed="false">
      <c r="A153" s="4" t="s">
        <v>2360</v>
      </c>
      <c r="B153" s="12" t="n">
        <v>2023</v>
      </c>
      <c r="C153" s="4" t="s">
        <v>103</v>
      </c>
      <c r="D153" s="4" t="s">
        <v>1993</v>
      </c>
      <c r="E153" s="4" t="s">
        <v>2001</v>
      </c>
      <c r="F153" s="4" t="s">
        <v>2002</v>
      </c>
      <c r="G153" s="4" t="s">
        <v>68</v>
      </c>
      <c r="H153" s="4" t="s">
        <v>1632</v>
      </c>
      <c r="I153" s="4" t="s">
        <v>2111</v>
      </c>
      <c r="J153" s="4" t="s">
        <v>1997</v>
      </c>
      <c r="K153" s="14">
        <f>IF(OR($I153="USO_NO_ENERGETICO_APARENTE",$I153="USO_ENERGETICO_INTERNO_APARENTE"),ROUND(SUMIFS($K$2:$K$618,$B$2:$B$618,$B153,$C$2:$C$618,$C153,$D$2:$D$618,"Energy products",$E$2:$E$618,"Supply",$G$2:$G$618,"&lt;&gt;STAT")-SUMIFS($K$2:$K$618,$B$2:$B$618,$B153,$C$2:$C$618,$C153,$D$2:$D$618,"Energy products",$E$2:$E$618,"Use",$G$2:$G$618,"&lt;&gt;STAT",$I$2:$I$618,"&lt;&gt;USO_NO_ENERGETICO_APARENTE",$I$2:$I$618,"&lt;&gt;USO_ENERGETICO_INTERNO_APARENTE"),10),IF(LEFT($H153,5)="STAT_",ROUND(SUMIFS($K$2:$K$618,$B$2:$B$618,$B153,$C$2:$C$618,$C153,$D$2:$D$618,"Energy products",$E$2:$E$618,"Supply",$G$2:$G$618,"&lt;&gt;STAT")-SUMIFS($K$2:$K$618,$B$2:$B$618,$B153,$C$2:$C$618,$C153,$D$2:$D$618,"Energy products",$E$2:$E$618,"Use",$G$2:$G$618,"&lt;&gt;STAT"),10),IF($J153="cambio de signo",-INDEX(DATOS_MODELO!$U$2:$U$3672,MATCH($H153,DATOS_MODELO!$B$2:$B$3672,0)),IF($J153="valor absoluto",ABS(INDEX(DATOS_MODELO!$U$2:$U$3672,MATCH($H153,DATOS_MODELO!$B$2:$B$3672,0))),INDEX(DATOS_MODELO!$U$2:$U$3672,MATCH($H153,DATOS_MODELO!$B$2:$B$3672,0))))))</f>
        <v>1774.6645</v>
      </c>
      <c r="L153" s="8" t="str">
        <f aca="false">IF(LEFT($H153,5)&lt;&gt;"STAT_","",IF(ABS($K153)&lt;=COUNTIFS($B$2:$B$618,$B153,$C$2:$C$618,$C153,$D$2:$D$618,"Energy products",$G$2:$G$618,"&lt;&gt;STAT")*PARAMETROS!$B$6,"redondeo","residuo_estadistico"))</f>
        <v/>
      </c>
      <c r="M153" s="8" t="str">
        <f>IF(OR($I153="USO_NO_ENERGETICO_APARENTE",$I153="USO_ENERGETICO_INTERNO_APARENTE"),"CAL",IF(LEFT($H153,5)="STAT_","FORMULA",IF(COUNTIF(DATOS_MODELO!$B$2:$B$3672,$H153)=1,"OK","REVISAR")))</f>
        <v>OK</v>
      </c>
    </row>
    <row r="154" customFormat="false" ht="15" hidden="false" customHeight="false" outlineLevel="0" collapsed="false">
      <c r="A154" s="4" t="s">
        <v>2362</v>
      </c>
      <c r="B154" s="12" t="n">
        <v>2023</v>
      </c>
      <c r="C154" s="4" t="s">
        <v>105</v>
      </c>
      <c r="D154" s="4" t="s">
        <v>1993</v>
      </c>
      <c r="E154" s="4" t="s">
        <v>1994</v>
      </c>
      <c r="F154" s="4" t="s">
        <v>2029</v>
      </c>
      <c r="G154" s="4" t="s">
        <v>69</v>
      </c>
      <c r="H154" s="4" t="s">
        <v>1636</v>
      </c>
      <c r="I154" s="4" t="s">
        <v>2030</v>
      </c>
      <c r="J154" s="4" t="s">
        <v>1997</v>
      </c>
      <c r="K154" s="14">
        <f>IF(OR($I154="USO_NO_ENERGETICO_APARENTE",$I154="USO_ENERGETICO_INTERNO_APARENTE"),ROUND(SUMIFS($K$2:$K$618,$B$2:$B$618,$B154,$C$2:$C$618,$C154,$D$2:$D$618,"Energy products",$E$2:$E$618,"Supply",$G$2:$G$618,"&lt;&gt;STAT")-SUMIFS($K$2:$K$618,$B$2:$B$618,$B154,$C$2:$C$618,$C154,$D$2:$D$618,"Energy products",$E$2:$E$618,"Use",$G$2:$G$618,"&lt;&gt;STAT",$I$2:$I$618,"&lt;&gt;USO_NO_ENERGETICO_APARENTE",$I$2:$I$618,"&lt;&gt;USO_ENERGETICO_INTERNO_APARENTE"),10),IF(LEFT($H154,5)="STAT_",ROUND(SUMIFS($K$2:$K$618,$B$2:$B$618,$B154,$C$2:$C$618,$C154,$D$2:$D$618,"Energy products",$E$2:$E$618,"Supply",$G$2:$G$618,"&lt;&gt;STAT")-SUMIFS($K$2:$K$618,$B$2:$B$618,$B154,$C$2:$C$618,$C154,$D$2:$D$618,"Energy products",$E$2:$E$618,"Use",$G$2:$G$618,"&lt;&gt;STAT"),10),IF($J154="cambio de signo",-INDEX(DATOS_MODELO!$U$2:$U$3672,MATCH($H154,DATOS_MODELO!$B$2:$B$3672,0)),IF($J154="valor absoluto",ABS(INDEX(DATOS_MODELO!$U$2:$U$3672,MATCH($H154,DATOS_MODELO!$B$2:$B$3672,0))),INDEX(DATOS_MODELO!$U$2:$U$3672,MATCH($H154,DATOS_MODELO!$B$2:$B$3672,0))))))</f>
        <v>28802.2616</v>
      </c>
      <c r="L154" s="8" t="str">
        <f aca="false">IF(LEFT($H154,5)&lt;&gt;"STAT_","",IF(ABS($K154)&lt;=COUNTIFS($B$2:$B$618,$B154,$C$2:$C$618,$C154,$D$2:$D$618,"Energy products",$G$2:$G$618,"&lt;&gt;STAT")*PARAMETROS!$B$6,"redondeo","residuo_estadistico"))</f>
        <v/>
      </c>
      <c r="M154" s="8" t="str">
        <f>IF(OR($I154="USO_NO_ENERGETICO_APARENTE",$I154="USO_ENERGETICO_INTERNO_APARENTE"),"CAL",IF(LEFT($H154,5)="STAT_","FORMULA",IF(COUNTIF(DATOS_MODELO!$B$2:$B$3672,$H154)=1,"OK","REVISAR")))</f>
        <v>OK</v>
      </c>
    </row>
    <row r="155" customFormat="false" ht="15" hidden="false" customHeight="false" outlineLevel="0" collapsed="false">
      <c r="A155" s="4" t="s">
        <v>2364</v>
      </c>
      <c r="B155" s="12" t="n">
        <v>2023</v>
      </c>
      <c r="C155" s="4" t="s">
        <v>105</v>
      </c>
      <c r="D155" s="4" t="s">
        <v>1993</v>
      </c>
      <c r="E155" s="4" t="s">
        <v>2001</v>
      </c>
      <c r="F155" s="4" t="s">
        <v>2091</v>
      </c>
      <c r="G155" s="4" t="s">
        <v>69</v>
      </c>
      <c r="H155" s="4" t="s">
        <v>1637</v>
      </c>
      <c r="I155" s="4" t="s">
        <v>2030</v>
      </c>
      <c r="J155" s="4" t="s">
        <v>1997</v>
      </c>
      <c r="K155" s="14">
        <f>IF(OR($I155="USO_NO_ENERGETICO_APARENTE",$I155="USO_ENERGETICO_INTERNO_APARENTE"),ROUND(SUMIFS($K$2:$K$618,$B$2:$B$618,$B155,$C$2:$C$618,$C155,$D$2:$D$618,"Energy products",$E$2:$E$618,"Supply",$G$2:$G$618,"&lt;&gt;STAT")-SUMIFS($K$2:$K$618,$B$2:$B$618,$B155,$C$2:$C$618,$C155,$D$2:$D$618,"Energy products",$E$2:$E$618,"Use",$G$2:$G$618,"&lt;&gt;STAT",$I$2:$I$618,"&lt;&gt;USO_NO_ENERGETICO_APARENTE",$I$2:$I$618,"&lt;&gt;USO_ENERGETICO_INTERNO_APARENTE"),10),IF(LEFT($H155,5)="STAT_",ROUND(SUMIFS($K$2:$K$618,$B$2:$B$618,$B155,$C$2:$C$618,$C155,$D$2:$D$618,"Energy products",$E$2:$E$618,"Supply",$G$2:$G$618,"&lt;&gt;STAT")-SUMIFS($K$2:$K$618,$B$2:$B$618,$B155,$C$2:$C$618,$C155,$D$2:$D$618,"Energy products",$E$2:$E$618,"Use",$G$2:$G$618,"&lt;&gt;STAT"),10),IF($J155="cambio de signo",-INDEX(DATOS_MODELO!$U$2:$U$3672,MATCH($H155,DATOS_MODELO!$B$2:$B$3672,0)),IF($J155="valor absoluto",ABS(INDEX(DATOS_MODELO!$U$2:$U$3672,MATCH($H155,DATOS_MODELO!$B$2:$B$3672,0))),INDEX(DATOS_MODELO!$U$2:$U$3672,MATCH($H155,DATOS_MODELO!$B$2:$B$3672,0))))))</f>
        <v>5094.1499</v>
      </c>
      <c r="L155" s="8" t="str">
        <f aca="false">IF(LEFT($H155,5)&lt;&gt;"STAT_","",IF(ABS($K155)&lt;=COUNTIFS($B$2:$B$618,$B155,$C$2:$C$618,$C155,$D$2:$D$618,"Energy products",$G$2:$G$618,"&lt;&gt;STAT")*PARAMETROS!$B$6,"redondeo","residuo_estadistico"))</f>
        <v/>
      </c>
      <c r="M155" s="8" t="str">
        <f>IF(OR($I155="USO_NO_ENERGETICO_APARENTE",$I155="USO_ENERGETICO_INTERNO_APARENTE"),"CAL",IF(LEFT($H155,5)="STAT_","FORMULA",IF(COUNTIF(DATOS_MODELO!$B$2:$B$3672,$H155)=1,"OK","REVISAR")))</f>
        <v>OK</v>
      </c>
    </row>
    <row r="156" customFormat="false" ht="15" hidden="false" customHeight="false" outlineLevel="0" collapsed="false">
      <c r="A156" s="4" t="s">
        <v>2366</v>
      </c>
      <c r="B156" s="12" t="n">
        <v>2023</v>
      </c>
      <c r="C156" s="4" t="s">
        <v>105</v>
      </c>
      <c r="D156" s="4" t="s">
        <v>1993</v>
      </c>
      <c r="E156" s="4" t="s">
        <v>2001</v>
      </c>
      <c r="F156" s="4" t="s">
        <v>2034</v>
      </c>
      <c r="G156" s="4" t="s">
        <v>74</v>
      </c>
      <c r="H156" s="4" t="s">
        <v>1638</v>
      </c>
      <c r="I156" s="4" t="s">
        <v>2035</v>
      </c>
      <c r="J156" s="4" t="s">
        <v>2036</v>
      </c>
      <c r="K156" s="14">
        <f>IF(OR($I156="USO_NO_ENERGETICO_APARENTE",$I156="USO_ENERGETICO_INTERNO_APARENTE"),ROUND(SUMIFS($K$2:$K$618,$B$2:$B$618,$B156,$C$2:$C$618,$C156,$D$2:$D$618,"Energy products",$E$2:$E$618,"Supply",$G$2:$G$618,"&lt;&gt;STAT")-SUMIFS($K$2:$K$618,$B$2:$B$618,$B156,$C$2:$C$618,$C156,$D$2:$D$618,"Energy products",$E$2:$E$618,"Use",$G$2:$G$618,"&lt;&gt;STAT",$I$2:$I$618,"&lt;&gt;USO_NO_ENERGETICO_APARENTE",$I$2:$I$618,"&lt;&gt;USO_ENERGETICO_INTERNO_APARENTE"),10),IF(LEFT($H156,5)="STAT_",ROUND(SUMIFS($K$2:$K$618,$B$2:$B$618,$B156,$C$2:$C$618,$C156,$D$2:$D$618,"Energy products",$E$2:$E$618,"Supply",$G$2:$G$618,"&lt;&gt;STAT")-SUMIFS($K$2:$K$618,$B$2:$B$618,$B156,$C$2:$C$618,$C156,$D$2:$D$618,"Energy products",$E$2:$E$618,"Use",$G$2:$G$618,"&lt;&gt;STAT"),10),IF($J156="cambio de signo",-INDEX(DATOS_MODELO!$U$2:$U$3672,MATCH($H156,DATOS_MODELO!$B$2:$B$3672,0)),IF($J156="valor absoluto",ABS(INDEX(DATOS_MODELO!$U$2:$U$3672,MATCH($H156,DATOS_MODELO!$B$2:$B$3672,0))),INDEX(DATOS_MODELO!$U$2:$U$3672,MATCH($H156,DATOS_MODELO!$B$2:$B$3672,0))))))</f>
        <v>-1281.1631</v>
      </c>
      <c r="L156" s="8" t="str">
        <f aca="false">IF(LEFT($H156,5)&lt;&gt;"STAT_","",IF(ABS($K156)&lt;=COUNTIFS($B$2:$B$618,$B156,$C$2:$C$618,$C156,$D$2:$D$618,"Energy products",$G$2:$G$618,"&lt;&gt;STAT")*PARAMETROS!$B$6,"redondeo","residuo_estadistico"))</f>
        <v/>
      </c>
      <c r="M156" s="8" t="str">
        <f>IF(OR($I156="USO_NO_ENERGETICO_APARENTE",$I156="USO_ENERGETICO_INTERNO_APARENTE"),"CAL",IF(LEFT($H156,5)="STAT_","FORMULA",IF(COUNTIF(DATOS_MODELO!$B$2:$B$3672,$H156)=1,"OK","REVISAR")))</f>
        <v>OK</v>
      </c>
    </row>
    <row r="157" customFormat="false" ht="15" hidden="false" customHeight="false" outlineLevel="0" collapsed="false">
      <c r="A157" s="4" t="s">
        <v>2368</v>
      </c>
      <c r="B157" s="12" t="n">
        <v>2023</v>
      </c>
      <c r="C157" s="4" t="s">
        <v>105</v>
      </c>
      <c r="D157" s="4" t="s">
        <v>1993</v>
      </c>
      <c r="E157" s="4" t="s">
        <v>2001</v>
      </c>
      <c r="F157" s="4" t="s">
        <v>2002</v>
      </c>
      <c r="G157" s="4" t="s">
        <v>71</v>
      </c>
      <c r="H157" s="4" t="s">
        <v>1643</v>
      </c>
      <c r="I157" s="4" t="s">
        <v>2123</v>
      </c>
      <c r="J157" s="4" t="s">
        <v>1997</v>
      </c>
      <c r="K157" s="14">
        <f>IF(OR($I157="USO_NO_ENERGETICO_APARENTE",$I157="USO_ENERGETICO_INTERNO_APARENTE"),ROUND(SUMIFS($K$2:$K$618,$B$2:$B$618,$B157,$C$2:$C$618,$C157,$D$2:$D$618,"Energy products",$E$2:$E$618,"Supply",$G$2:$G$618,"&lt;&gt;STAT")-SUMIFS($K$2:$K$618,$B$2:$B$618,$B157,$C$2:$C$618,$C157,$D$2:$D$618,"Energy products",$E$2:$E$618,"Use",$G$2:$G$618,"&lt;&gt;STAT",$I$2:$I$618,"&lt;&gt;USO_NO_ENERGETICO_APARENTE",$I$2:$I$618,"&lt;&gt;USO_ENERGETICO_INTERNO_APARENTE"),10),IF(LEFT($H157,5)="STAT_",ROUND(SUMIFS($K$2:$K$618,$B$2:$B$618,$B157,$C$2:$C$618,$C157,$D$2:$D$618,"Energy products",$E$2:$E$618,"Supply",$G$2:$G$618,"&lt;&gt;STAT")-SUMIFS($K$2:$K$618,$B$2:$B$618,$B157,$C$2:$C$618,$C157,$D$2:$D$618,"Energy products",$E$2:$E$618,"Use",$G$2:$G$618,"&lt;&gt;STAT"),10),IF($J157="cambio de signo",-INDEX(DATOS_MODELO!$U$2:$U$3672,MATCH($H157,DATOS_MODELO!$B$2:$B$3672,0)),IF($J157="valor absoluto",ABS(INDEX(DATOS_MODELO!$U$2:$U$3672,MATCH($H157,DATOS_MODELO!$B$2:$B$3672,0))),INDEX(DATOS_MODELO!$U$2:$U$3672,MATCH($H157,DATOS_MODELO!$B$2:$B$3672,0))))))</f>
        <v>249.8881</v>
      </c>
      <c r="L157" s="8" t="str">
        <f aca="false">IF(LEFT($H157,5)&lt;&gt;"STAT_","",IF(ABS($K157)&lt;=COUNTIFS($B$2:$B$618,$B157,$C$2:$C$618,$C157,$D$2:$D$618,"Energy products",$G$2:$G$618,"&lt;&gt;STAT")*PARAMETROS!$B$6,"redondeo","residuo_estadistico"))</f>
        <v/>
      </c>
      <c r="M157" s="8" t="str">
        <f>IF(OR($I157="USO_NO_ENERGETICO_APARENTE",$I157="USO_ENERGETICO_INTERNO_APARENTE"),"CAL",IF(LEFT($H157,5)="STAT_","FORMULA",IF(COUNTIF(DATOS_MODELO!$B$2:$B$3672,$H157)=1,"OK","REVISAR")))</f>
        <v>OK</v>
      </c>
    </row>
    <row r="158" customFormat="false" ht="15" hidden="false" customHeight="false" outlineLevel="0" collapsed="false">
      <c r="A158" s="4" t="s">
        <v>2370</v>
      </c>
      <c r="B158" s="12" t="n">
        <v>2023</v>
      </c>
      <c r="C158" s="4" t="s">
        <v>105</v>
      </c>
      <c r="D158" s="4" t="s">
        <v>1993</v>
      </c>
      <c r="E158" s="4" t="s">
        <v>2001</v>
      </c>
      <c r="F158" s="4" t="s">
        <v>2074</v>
      </c>
      <c r="G158" s="4" t="s">
        <v>73</v>
      </c>
      <c r="H158" s="4" t="s">
        <v>1644</v>
      </c>
      <c r="I158" s="4" t="s">
        <v>2075</v>
      </c>
      <c r="J158" s="4" t="s">
        <v>1997</v>
      </c>
      <c r="K158" s="14">
        <f>IF(OR($I158="USO_NO_ENERGETICO_APARENTE",$I158="USO_ENERGETICO_INTERNO_APARENTE"),ROUND(SUMIFS($K$2:$K$618,$B$2:$B$618,$B158,$C$2:$C$618,$C158,$D$2:$D$618,"Energy products",$E$2:$E$618,"Supply",$G$2:$G$618,"&lt;&gt;STAT")-SUMIFS($K$2:$K$618,$B$2:$B$618,$B158,$C$2:$C$618,$C158,$D$2:$D$618,"Energy products",$E$2:$E$618,"Use",$G$2:$G$618,"&lt;&gt;STAT",$I$2:$I$618,"&lt;&gt;USO_NO_ENERGETICO_APARENTE",$I$2:$I$618,"&lt;&gt;USO_ENERGETICO_INTERNO_APARENTE"),10),IF(LEFT($H158,5)="STAT_",ROUND(SUMIFS($K$2:$K$618,$B$2:$B$618,$B158,$C$2:$C$618,$C158,$D$2:$D$618,"Energy products",$E$2:$E$618,"Supply",$G$2:$G$618,"&lt;&gt;STAT")-SUMIFS($K$2:$K$618,$B$2:$B$618,$B158,$C$2:$C$618,$C158,$D$2:$D$618,"Energy products",$E$2:$E$618,"Use",$G$2:$G$618,"&lt;&gt;STAT"),10),IF($J158="cambio de signo",-INDEX(DATOS_MODELO!$U$2:$U$3672,MATCH($H158,DATOS_MODELO!$B$2:$B$3672,0)),IF($J158="valor absoluto",ABS(INDEX(DATOS_MODELO!$U$2:$U$3672,MATCH($H158,DATOS_MODELO!$B$2:$B$3672,0))),INDEX(DATOS_MODELO!$U$2:$U$3672,MATCH($H158,DATOS_MODELO!$B$2:$B$3672,0))))))</f>
        <v>19241.7323</v>
      </c>
      <c r="L158" s="8" t="str">
        <f aca="false">IF(LEFT($H158,5)&lt;&gt;"STAT_","",IF(ABS($K158)&lt;=COUNTIFS($B$2:$B$618,$B158,$C$2:$C$618,$C158,$D$2:$D$618,"Energy products",$G$2:$G$618,"&lt;&gt;STAT")*PARAMETROS!$B$6,"redondeo","residuo_estadistico"))</f>
        <v/>
      </c>
      <c r="M158" s="8" t="str">
        <f>IF(OR($I158="USO_NO_ENERGETICO_APARENTE",$I158="USO_ENERGETICO_INTERNO_APARENTE"),"CAL",IF(LEFT($H158,5)="STAT_","FORMULA",IF(COUNTIF(DATOS_MODELO!$B$2:$B$3672,$H158)=1,"OK","REVISAR")))</f>
        <v>OK</v>
      </c>
    </row>
    <row r="159" customFormat="false" ht="15" hidden="false" customHeight="false" outlineLevel="0" collapsed="false">
      <c r="A159" s="4" t="s">
        <v>2372</v>
      </c>
      <c r="B159" s="12" t="n">
        <v>2023</v>
      </c>
      <c r="C159" s="4" t="s">
        <v>105</v>
      </c>
      <c r="D159" s="4" t="s">
        <v>1993</v>
      </c>
      <c r="E159" s="4" t="s">
        <v>2001</v>
      </c>
      <c r="F159" s="4" t="s">
        <v>2002</v>
      </c>
      <c r="G159" s="4" t="s">
        <v>72</v>
      </c>
      <c r="H159" s="4" t="s">
        <v>1645</v>
      </c>
      <c r="I159" s="4" t="s">
        <v>2079</v>
      </c>
      <c r="J159" s="4" t="s">
        <v>1997</v>
      </c>
      <c r="K159" s="14">
        <f>IF(OR($I159="USO_NO_ENERGETICO_APARENTE",$I159="USO_ENERGETICO_INTERNO_APARENTE"),ROUND(SUMIFS($K$2:$K$618,$B$2:$B$618,$B159,$C$2:$C$618,$C159,$D$2:$D$618,"Energy products",$E$2:$E$618,"Supply",$G$2:$G$618,"&lt;&gt;STAT")-SUMIFS($K$2:$K$618,$B$2:$B$618,$B159,$C$2:$C$618,$C159,$D$2:$D$618,"Energy products",$E$2:$E$618,"Use",$G$2:$G$618,"&lt;&gt;STAT",$I$2:$I$618,"&lt;&gt;USO_NO_ENERGETICO_APARENTE",$I$2:$I$618,"&lt;&gt;USO_ENERGETICO_INTERNO_APARENTE"),10),IF(LEFT($H159,5)="STAT_",ROUND(SUMIFS($K$2:$K$618,$B$2:$B$618,$B159,$C$2:$C$618,$C159,$D$2:$D$618,"Energy products",$E$2:$E$618,"Supply",$G$2:$G$618,"&lt;&gt;STAT")-SUMIFS($K$2:$K$618,$B$2:$B$618,$B159,$C$2:$C$618,$C159,$D$2:$D$618,"Energy products",$E$2:$E$618,"Use",$G$2:$G$618,"&lt;&gt;STAT"),10),IF($J159="cambio de signo",-INDEX(DATOS_MODELO!$U$2:$U$3672,MATCH($H159,DATOS_MODELO!$B$2:$B$3672,0)),IF($J159="valor absoluto",ABS(INDEX(DATOS_MODELO!$U$2:$U$3672,MATCH($H159,DATOS_MODELO!$B$2:$B$3672,0))),INDEX(DATOS_MODELO!$U$2:$U$3672,MATCH($H159,DATOS_MODELO!$B$2:$B$3672,0))))))</f>
        <v>499.7762</v>
      </c>
      <c r="L159" s="8" t="str">
        <f aca="false">IF(LEFT($H159,5)&lt;&gt;"STAT_","",IF(ABS($K159)&lt;=COUNTIFS($B$2:$B$618,$B159,$C$2:$C$618,$C159,$D$2:$D$618,"Energy products",$G$2:$G$618,"&lt;&gt;STAT")*PARAMETROS!$B$6,"redondeo","residuo_estadistico"))</f>
        <v/>
      </c>
      <c r="M159" s="8" t="str">
        <f>IF(OR($I159="USO_NO_ENERGETICO_APARENTE",$I159="USO_ENERGETICO_INTERNO_APARENTE"),"CAL",IF(LEFT($H159,5)="STAT_","FORMULA",IF(COUNTIF(DATOS_MODELO!$B$2:$B$3672,$H159)=1,"OK","REVISAR")))</f>
        <v>OK</v>
      </c>
    </row>
    <row r="160" customFormat="false" ht="15" hidden="false" customHeight="false" outlineLevel="0" collapsed="false">
      <c r="A160" s="4" t="s">
        <v>2374</v>
      </c>
      <c r="B160" s="12" t="n">
        <v>2023</v>
      </c>
      <c r="C160" s="4" t="s">
        <v>105</v>
      </c>
      <c r="D160" s="4" t="s">
        <v>1993</v>
      </c>
      <c r="E160" s="4" t="s">
        <v>2001</v>
      </c>
      <c r="F160" s="4" t="s">
        <v>2002</v>
      </c>
      <c r="G160" s="4" t="s">
        <v>68</v>
      </c>
      <c r="H160" s="4" t="s">
        <v>1646</v>
      </c>
      <c r="I160" s="4" t="s">
        <v>2111</v>
      </c>
      <c r="J160" s="4" t="s">
        <v>1997</v>
      </c>
      <c r="K160" s="14">
        <f>IF(OR($I160="USO_NO_ENERGETICO_APARENTE",$I160="USO_ENERGETICO_INTERNO_APARENTE"),ROUND(SUMIFS($K$2:$K$618,$B$2:$B$618,$B160,$C$2:$C$618,$C160,$D$2:$D$618,"Energy products",$E$2:$E$618,"Supply",$G$2:$G$618,"&lt;&gt;STAT")-SUMIFS($K$2:$K$618,$B$2:$B$618,$B160,$C$2:$C$618,$C160,$D$2:$D$618,"Energy products",$E$2:$E$618,"Use",$G$2:$G$618,"&lt;&gt;STAT",$I$2:$I$618,"&lt;&gt;USO_NO_ENERGETICO_APARENTE",$I$2:$I$618,"&lt;&gt;USO_ENERGETICO_INTERNO_APARENTE"),10),IF(LEFT($H160,5)="STAT_",ROUND(SUMIFS($K$2:$K$618,$B$2:$B$618,$B160,$C$2:$C$618,$C160,$D$2:$D$618,"Energy products",$E$2:$E$618,"Supply",$G$2:$G$618,"&lt;&gt;STAT")-SUMIFS($K$2:$K$618,$B$2:$B$618,$B160,$C$2:$C$618,$C160,$D$2:$D$618,"Energy products",$E$2:$E$618,"Use",$G$2:$G$618,"&lt;&gt;STAT"),10),IF($J160="cambio de signo",-INDEX(DATOS_MODELO!$U$2:$U$3672,MATCH($H160,DATOS_MODELO!$B$2:$B$3672,0)),IF($J160="valor absoluto",ABS(INDEX(DATOS_MODELO!$U$2:$U$3672,MATCH($H160,DATOS_MODELO!$B$2:$B$3672,0))),INDEX(DATOS_MODELO!$U$2:$U$3672,MATCH($H160,DATOS_MODELO!$B$2:$B$3672,0))))))</f>
        <v>4997.8782</v>
      </c>
      <c r="L160" s="8" t="str">
        <f aca="false">IF(LEFT($H160,5)&lt;&gt;"STAT_","",IF(ABS($K160)&lt;=COUNTIFS($B$2:$B$618,$B160,$C$2:$C$618,$C160,$D$2:$D$618,"Energy products",$G$2:$G$618,"&lt;&gt;STAT")*PARAMETROS!$B$6,"redondeo","residuo_estadistico"))</f>
        <v/>
      </c>
      <c r="M160" s="8" t="str">
        <f>IF(OR($I160="USO_NO_ENERGETICO_APARENTE",$I160="USO_ENERGETICO_INTERNO_APARENTE"),"CAL",IF(LEFT($H160,5)="STAT_","FORMULA",IF(COUNTIF(DATOS_MODELO!$B$2:$B$3672,$H160)=1,"OK","REVISAR")))</f>
        <v>OK</v>
      </c>
    </row>
    <row r="161" customFormat="false" ht="15" hidden="false" customHeight="false" outlineLevel="0" collapsed="false">
      <c r="A161" s="4" t="s">
        <v>2376</v>
      </c>
      <c r="B161" s="12" t="n">
        <v>2023</v>
      </c>
      <c r="C161" s="4" t="s">
        <v>107</v>
      </c>
      <c r="D161" s="4" t="s">
        <v>1993</v>
      </c>
      <c r="E161" s="4" t="s">
        <v>1994</v>
      </c>
      <c r="F161" s="4" t="s">
        <v>2029</v>
      </c>
      <c r="G161" s="4" t="s">
        <v>69</v>
      </c>
      <c r="H161" s="4" t="s">
        <v>1650</v>
      </c>
      <c r="I161" s="4" t="s">
        <v>2030</v>
      </c>
      <c r="J161" s="4" t="s">
        <v>1997</v>
      </c>
      <c r="K161" s="14">
        <f>IF(OR($I161="USO_NO_ENERGETICO_APARENTE",$I161="USO_ENERGETICO_INTERNO_APARENTE"),ROUND(SUMIFS($K$2:$K$618,$B$2:$B$618,$B161,$C$2:$C$618,$C161,$D$2:$D$618,"Energy products",$E$2:$E$618,"Supply",$G$2:$G$618,"&lt;&gt;STAT")-SUMIFS($K$2:$K$618,$B$2:$B$618,$B161,$C$2:$C$618,$C161,$D$2:$D$618,"Energy products",$E$2:$E$618,"Use",$G$2:$G$618,"&lt;&gt;STAT",$I$2:$I$618,"&lt;&gt;USO_NO_ENERGETICO_APARENTE",$I$2:$I$618,"&lt;&gt;USO_ENERGETICO_INTERNO_APARENTE"),10),IF(LEFT($H161,5)="STAT_",ROUND(SUMIFS($K$2:$K$618,$B$2:$B$618,$B161,$C$2:$C$618,$C161,$D$2:$D$618,"Energy products",$E$2:$E$618,"Supply",$G$2:$G$618,"&lt;&gt;STAT")-SUMIFS($K$2:$K$618,$B$2:$B$618,$B161,$C$2:$C$618,$C161,$D$2:$D$618,"Energy products",$E$2:$E$618,"Use",$G$2:$G$618,"&lt;&gt;STAT"),10),IF($J161="cambio de signo",-INDEX(DATOS_MODELO!$U$2:$U$3672,MATCH($H161,DATOS_MODELO!$B$2:$B$3672,0)),IF($J161="valor absoluto",ABS(INDEX(DATOS_MODELO!$U$2:$U$3672,MATCH($H161,DATOS_MODELO!$B$2:$B$3672,0))),INDEX(DATOS_MODELO!$U$2:$U$3672,MATCH($H161,DATOS_MODELO!$B$2:$B$3672,0))))))</f>
        <v>5822.0267</v>
      </c>
      <c r="L161" s="8" t="str">
        <f aca="false">IF(LEFT($H161,5)&lt;&gt;"STAT_","",IF(ABS($K161)&lt;=COUNTIFS($B$2:$B$618,$B161,$C$2:$C$618,$C161,$D$2:$D$618,"Energy products",$G$2:$G$618,"&lt;&gt;STAT")*PARAMETROS!$B$6,"redondeo","residuo_estadistico"))</f>
        <v/>
      </c>
      <c r="M161" s="8" t="str">
        <f>IF(OR($I161="USO_NO_ENERGETICO_APARENTE",$I161="USO_ENERGETICO_INTERNO_APARENTE"),"CAL",IF(LEFT($H161,5)="STAT_","FORMULA",IF(COUNTIF(DATOS_MODELO!$B$2:$B$3672,$H161)=1,"OK","REVISAR")))</f>
        <v>OK</v>
      </c>
    </row>
    <row r="162" customFormat="false" ht="15" hidden="false" customHeight="false" outlineLevel="0" collapsed="false">
      <c r="A162" s="4" t="s">
        <v>2378</v>
      </c>
      <c r="B162" s="12" t="n">
        <v>2023</v>
      </c>
      <c r="C162" s="4" t="s">
        <v>107</v>
      </c>
      <c r="D162" s="4" t="s">
        <v>1993</v>
      </c>
      <c r="E162" s="4" t="s">
        <v>2001</v>
      </c>
      <c r="F162" s="4" t="s">
        <v>2091</v>
      </c>
      <c r="G162" s="4" t="s">
        <v>69</v>
      </c>
      <c r="H162" s="4" t="s">
        <v>1651</v>
      </c>
      <c r="I162" s="4" t="s">
        <v>2030</v>
      </c>
      <c r="J162" s="4" t="s">
        <v>1997</v>
      </c>
      <c r="K162" s="14">
        <f>IF(OR($I162="USO_NO_ENERGETICO_APARENTE",$I162="USO_ENERGETICO_INTERNO_APARENTE"),ROUND(SUMIFS($K$2:$K$618,$B$2:$B$618,$B162,$C$2:$C$618,$C162,$D$2:$D$618,"Energy products",$E$2:$E$618,"Supply",$G$2:$G$618,"&lt;&gt;STAT")-SUMIFS($K$2:$K$618,$B$2:$B$618,$B162,$C$2:$C$618,$C162,$D$2:$D$618,"Energy products",$E$2:$E$618,"Use",$G$2:$G$618,"&lt;&gt;STAT",$I$2:$I$618,"&lt;&gt;USO_NO_ENERGETICO_APARENTE",$I$2:$I$618,"&lt;&gt;USO_ENERGETICO_INTERNO_APARENTE"),10),IF(LEFT($H162,5)="STAT_",ROUND(SUMIFS($K$2:$K$618,$B$2:$B$618,$B162,$C$2:$C$618,$C162,$D$2:$D$618,"Energy products",$E$2:$E$618,"Supply",$G$2:$G$618,"&lt;&gt;STAT")-SUMIFS($K$2:$K$618,$B$2:$B$618,$B162,$C$2:$C$618,$C162,$D$2:$D$618,"Energy products",$E$2:$E$618,"Use",$G$2:$G$618,"&lt;&gt;STAT"),10),IF($J162="cambio de signo",-INDEX(DATOS_MODELO!$U$2:$U$3672,MATCH($H162,DATOS_MODELO!$B$2:$B$3672,0)),IF($J162="valor absoluto",ABS(INDEX(DATOS_MODELO!$U$2:$U$3672,MATCH($H162,DATOS_MODELO!$B$2:$B$3672,0))),INDEX(DATOS_MODELO!$U$2:$U$3672,MATCH($H162,DATOS_MODELO!$B$2:$B$3672,0))))))</f>
        <v>532.6027</v>
      </c>
      <c r="L162" s="8" t="str">
        <f aca="false">IF(LEFT($H162,5)&lt;&gt;"STAT_","",IF(ABS($K162)&lt;=COUNTIFS($B$2:$B$618,$B162,$C$2:$C$618,$C162,$D$2:$D$618,"Energy products",$G$2:$G$618,"&lt;&gt;STAT")*PARAMETROS!$B$6,"redondeo","residuo_estadistico"))</f>
        <v/>
      </c>
      <c r="M162" s="8" t="str">
        <f>IF(OR($I162="USO_NO_ENERGETICO_APARENTE",$I162="USO_ENERGETICO_INTERNO_APARENTE"),"CAL",IF(LEFT($H162,5)="STAT_","FORMULA",IF(COUNTIF(DATOS_MODELO!$B$2:$B$3672,$H162)=1,"OK","REVISAR")))</f>
        <v>OK</v>
      </c>
    </row>
    <row r="163" customFormat="false" ht="15" hidden="false" customHeight="false" outlineLevel="0" collapsed="false">
      <c r="A163" s="4" t="s">
        <v>2380</v>
      </c>
      <c r="B163" s="12" t="n">
        <v>2023</v>
      </c>
      <c r="C163" s="4" t="s">
        <v>107</v>
      </c>
      <c r="D163" s="4" t="s">
        <v>1993</v>
      </c>
      <c r="E163" s="4" t="s">
        <v>2001</v>
      </c>
      <c r="F163" s="4" t="s">
        <v>2034</v>
      </c>
      <c r="G163" s="4" t="s">
        <v>74</v>
      </c>
      <c r="H163" s="4" t="s">
        <v>1652</v>
      </c>
      <c r="I163" s="4" t="s">
        <v>2035</v>
      </c>
      <c r="J163" s="4" t="s">
        <v>2036</v>
      </c>
      <c r="K163" s="14">
        <f>IF(OR($I163="USO_NO_ENERGETICO_APARENTE",$I163="USO_ENERGETICO_INTERNO_APARENTE"),ROUND(SUMIFS($K$2:$K$618,$B$2:$B$618,$B163,$C$2:$C$618,$C163,$D$2:$D$618,"Energy products",$E$2:$E$618,"Supply",$G$2:$G$618,"&lt;&gt;STAT")-SUMIFS($K$2:$K$618,$B$2:$B$618,$B163,$C$2:$C$618,$C163,$D$2:$D$618,"Energy products",$E$2:$E$618,"Use",$G$2:$G$618,"&lt;&gt;STAT",$I$2:$I$618,"&lt;&gt;USO_NO_ENERGETICO_APARENTE",$I$2:$I$618,"&lt;&gt;USO_ENERGETICO_INTERNO_APARENTE"),10),IF(LEFT($H163,5)="STAT_",ROUND(SUMIFS($K$2:$K$618,$B$2:$B$618,$B163,$C$2:$C$618,$C163,$D$2:$D$618,"Energy products",$E$2:$E$618,"Supply",$G$2:$G$618,"&lt;&gt;STAT")-SUMIFS($K$2:$K$618,$B$2:$B$618,$B163,$C$2:$C$618,$C163,$D$2:$D$618,"Energy products",$E$2:$E$618,"Use",$G$2:$G$618,"&lt;&gt;STAT"),10),IF($J163="cambio de signo",-INDEX(DATOS_MODELO!$U$2:$U$3672,MATCH($H163,DATOS_MODELO!$B$2:$B$3672,0)),IF($J163="valor absoluto",ABS(INDEX(DATOS_MODELO!$U$2:$U$3672,MATCH($H163,DATOS_MODELO!$B$2:$B$3672,0))),INDEX(DATOS_MODELO!$U$2:$U$3672,MATCH($H163,DATOS_MODELO!$B$2:$B$3672,0))))))</f>
        <v>26.6098</v>
      </c>
      <c r="L163" s="8" t="str">
        <f aca="false">IF(LEFT($H163,5)&lt;&gt;"STAT_","",IF(ABS($K163)&lt;=COUNTIFS($B$2:$B$618,$B163,$C$2:$C$618,$C163,$D$2:$D$618,"Energy products",$G$2:$G$618,"&lt;&gt;STAT")*PARAMETROS!$B$6,"redondeo","residuo_estadistico"))</f>
        <v/>
      </c>
      <c r="M163" s="8" t="str">
        <f>IF(OR($I163="USO_NO_ENERGETICO_APARENTE",$I163="USO_ENERGETICO_INTERNO_APARENTE"),"CAL",IF(LEFT($H163,5)="STAT_","FORMULA",IF(COUNTIF(DATOS_MODELO!$B$2:$B$3672,$H163)=1,"OK","REVISAR")))</f>
        <v>OK</v>
      </c>
    </row>
    <row r="164" customFormat="false" ht="15" hidden="false" customHeight="false" outlineLevel="0" collapsed="false">
      <c r="A164" s="4" t="s">
        <v>2382</v>
      </c>
      <c r="B164" s="12" t="n">
        <v>2023</v>
      </c>
      <c r="C164" s="4" t="s">
        <v>107</v>
      </c>
      <c r="D164" s="4" t="s">
        <v>1993</v>
      </c>
      <c r="E164" s="4" t="s">
        <v>2001</v>
      </c>
      <c r="F164" s="4" t="s">
        <v>2002</v>
      </c>
      <c r="G164" s="4" t="s">
        <v>71</v>
      </c>
      <c r="H164" s="4" t="s">
        <v>1657</v>
      </c>
      <c r="I164" s="4" t="s">
        <v>2123</v>
      </c>
      <c r="J164" s="4" t="s">
        <v>1997</v>
      </c>
      <c r="K164" s="14">
        <f>IF(OR($I164="USO_NO_ENERGETICO_APARENTE",$I164="USO_ENERGETICO_INTERNO_APARENTE"),ROUND(SUMIFS($K$2:$K$618,$B$2:$B$618,$B164,$C$2:$C$618,$C164,$D$2:$D$618,"Energy products",$E$2:$E$618,"Supply",$G$2:$G$618,"&lt;&gt;STAT")-SUMIFS($K$2:$K$618,$B$2:$B$618,$B164,$C$2:$C$618,$C164,$D$2:$D$618,"Energy products",$E$2:$E$618,"Use",$G$2:$G$618,"&lt;&gt;STAT",$I$2:$I$618,"&lt;&gt;USO_NO_ENERGETICO_APARENTE",$I$2:$I$618,"&lt;&gt;USO_ENERGETICO_INTERNO_APARENTE"),10),IF(LEFT($H164,5)="STAT_",ROUND(SUMIFS($K$2:$K$618,$B$2:$B$618,$B164,$C$2:$C$618,$C164,$D$2:$D$618,"Energy products",$E$2:$E$618,"Supply",$G$2:$G$618,"&lt;&gt;STAT")-SUMIFS($K$2:$K$618,$B$2:$B$618,$B164,$C$2:$C$618,$C164,$D$2:$D$618,"Energy products",$E$2:$E$618,"Use",$G$2:$G$618,"&lt;&gt;STAT"),10),IF($J164="cambio de signo",-INDEX(DATOS_MODELO!$U$2:$U$3672,MATCH($H164,DATOS_MODELO!$B$2:$B$3672,0)),IF($J164="valor absoluto",ABS(INDEX(DATOS_MODELO!$U$2:$U$3672,MATCH($H164,DATOS_MODELO!$B$2:$B$3672,0))),INDEX(DATOS_MODELO!$U$2:$U$3672,MATCH($H164,DATOS_MODELO!$B$2:$B$3672,0))))))</f>
        <v>5262.7561</v>
      </c>
      <c r="L164" s="8" t="str">
        <f aca="false">IF(LEFT($H164,5)&lt;&gt;"STAT_","",IF(ABS($K164)&lt;=COUNTIFS($B$2:$B$618,$B164,$C$2:$C$618,$C164,$D$2:$D$618,"Energy products",$G$2:$G$618,"&lt;&gt;STAT")*PARAMETROS!$B$6,"redondeo","residuo_estadistico"))</f>
        <v/>
      </c>
      <c r="M164" s="8" t="str">
        <f>IF(OR($I164="USO_NO_ENERGETICO_APARENTE",$I164="USO_ENERGETICO_INTERNO_APARENTE"),"CAL",IF(LEFT($H164,5)="STAT_","FORMULA",IF(COUNTIF(DATOS_MODELO!$B$2:$B$3672,$H164)=1,"OK","REVISAR")))</f>
        <v>OK</v>
      </c>
    </row>
    <row r="165" customFormat="false" ht="15" hidden="false" customHeight="false" outlineLevel="0" collapsed="false">
      <c r="A165" s="4" t="s">
        <v>2384</v>
      </c>
      <c r="B165" s="12" t="n">
        <v>2023</v>
      </c>
      <c r="C165" s="4" t="s">
        <v>111</v>
      </c>
      <c r="D165" s="4" t="s">
        <v>1993</v>
      </c>
      <c r="E165" s="4" t="s">
        <v>1994</v>
      </c>
      <c r="F165" s="4" t="s">
        <v>2029</v>
      </c>
      <c r="G165" s="4" t="s">
        <v>69</v>
      </c>
      <c r="H165" s="4" t="s">
        <v>1664</v>
      </c>
      <c r="I165" s="4" t="s">
        <v>2030</v>
      </c>
      <c r="J165" s="4" t="s">
        <v>1997</v>
      </c>
      <c r="K165" s="14">
        <f>IF(OR($I165="USO_NO_ENERGETICO_APARENTE",$I165="USO_ENERGETICO_INTERNO_APARENTE"),ROUND(SUMIFS($K$2:$K$618,$B$2:$B$618,$B165,$C$2:$C$618,$C165,$D$2:$D$618,"Energy products",$E$2:$E$618,"Supply",$G$2:$G$618,"&lt;&gt;STAT")-SUMIFS($K$2:$K$618,$B$2:$B$618,$B165,$C$2:$C$618,$C165,$D$2:$D$618,"Energy products",$E$2:$E$618,"Use",$G$2:$G$618,"&lt;&gt;STAT",$I$2:$I$618,"&lt;&gt;USO_NO_ENERGETICO_APARENTE",$I$2:$I$618,"&lt;&gt;USO_ENERGETICO_INTERNO_APARENTE"),10),IF(LEFT($H165,5)="STAT_",ROUND(SUMIFS($K$2:$K$618,$B$2:$B$618,$B165,$C$2:$C$618,$C165,$D$2:$D$618,"Energy products",$E$2:$E$618,"Supply",$G$2:$G$618,"&lt;&gt;STAT")-SUMIFS($K$2:$K$618,$B$2:$B$618,$B165,$C$2:$C$618,$C165,$D$2:$D$618,"Energy products",$E$2:$E$618,"Use",$G$2:$G$618,"&lt;&gt;STAT"),10),IF($J165="cambio de signo",-INDEX(DATOS_MODELO!$U$2:$U$3672,MATCH($H165,DATOS_MODELO!$B$2:$B$3672,0)),IF($J165="valor absoluto",ABS(INDEX(DATOS_MODELO!$U$2:$U$3672,MATCH($H165,DATOS_MODELO!$B$2:$B$3672,0))),INDEX(DATOS_MODELO!$U$2:$U$3672,MATCH($H165,DATOS_MODELO!$B$2:$B$3672,0))))))</f>
        <v>10524.1178</v>
      </c>
      <c r="L165" s="8" t="str">
        <f aca="false">IF(LEFT($H165,5)&lt;&gt;"STAT_","",IF(ABS($K165)&lt;=COUNTIFS($B$2:$B$618,$B165,$C$2:$C$618,$C165,$D$2:$D$618,"Energy products",$G$2:$G$618,"&lt;&gt;STAT")*PARAMETROS!$B$6,"redondeo","residuo_estadistico"))</f>
        <v/>
      </c>
      <c r="M165" s="8" t="str">
        <f>IF(OR($I165="USO_NO_ENERGETICO_APARENTE",$I165="USO_ENERGETICO_INTERNO_APARENTE"),"CAL",IF(LEFT($H165,5)="STAT_","FORMULA",IF(COUNTIF(DATOS_MODELO!$B$2:$B$3672,$H165)=1,"OK","REVISAR")))</f>
        <v>OK</v>
      </c>
    </row>
    <row r="166" customFormat="false" ht="15" hidden="false" customHeight="false" outlineLevel="0" collapsed="false">
      <c r="A166" s="4" t="s">
        <v>2386</v>
      </c>
      <c r="B166" s="12" t="n">
        <v>2023</v>
      </c>
      <c r="C166" s="4" t="s">
        <v>111</v>
      </c>
      <c r="D166" s="4" t="s">
        <v>1993</v>
      </c>
      <c r="E166" s="4" t="s">
        <v>2001</v>
      </c>
      <c r="F166" s="4" t="s">
        <v>2091</v>
      </c>
      <c r="G166" s="4" t="s">
        <v>69</v>
      </c>
      <c r="H166" s="4" t="s">
        <v>1665</v>
      </c>
      <c r="I166" s="4" t="s">
        <v>2030</v>
      </c>
      <c r="J166" s="4" t="s">
        <v>1997</v>
      </c>
      <c r="K166" s="14">
        <f>IF(OR($I166="USO_NO_ENERGETICO_APARENTE",$I166="USO_ENERGETICO_INTERNO_APARENTE"),ROUND(SUMIFS($K$2:$K$618,$B$2:$B$618,$B166,$C$2:$C$618,$C166,$D$2:$D$618,"Energy products",$E$2:$E$618,"Supply",$G$2:$G$618,"&lt;&gt;STAT")-SUMIFS($K$2:$K$618,$B$2:$B$618,$B166,$C$2:$C$618,$C166,$D$2:$D$618,"Energy products",$E$2:$E$618,"Use",$G$2:$G$618,"&lt;&gt;STAT",$I$2:$I$618,"&lt;&gt;USO_NO_ENERGETICO_APARENTE",$I$2:$I$618,"&lt;&gt;USO_ENERGETICO_INTERNO_APARENTE"),10),IF(LEFT($H166,5)="STAT_",ROUND(SUMIFS($K$2:$K$618,$B$2:$B$618,$B166,$C$2:$C$618,$C166,$D$2:$D$618,"Energy products",$E$2:$E$618,"Supply",$G$2:$G$618,"&lt;&gt;STAT")-SUMIFS($K$2:$K$618,$B$2:$B$618,$B166,$C$2:$C$618,$C166,$D$2:$D$618,"Energy products",$E$2:$E$618,"Use",$G$2:$G$618,"&lt;&gt;STAT"),10),IF($J166="cambio de signo",-INDEX(DATOS_MODELO!$U$2:$U$3672,MATCH($H166,DATOS_MODELO!$B$2:$B$3672,0)),IF($J166="valor absoluto",ABS(INDEX(DATOS_MODELO!$U$2:$U$3672,MATCH($H166,DATOS_MODELO!$B$2:$B$3672,0))),INDEX(DATOS_MODELO!$U$2:$U$3672,MATCH($H166,DATOS_MODELO!$B$2:$B$3672,0))))))</f>
        <v>1372.0315</v>
      </c>
      <c r="L166" s="8" t="str">
        <f aca="false">IF(LEFT($H166,5)&lt;&gt;"STAT_","",IF(ABS($K166)&lt;=COUNTIFS($B$2:$B$618,$B166,$C$2:$C$618,$C166,$D$2:$D$618,"Energy products",$G$2:$G$618,"&lt;&gt;STAT")*PARAMETROS!$B$6,"redondeo","residuo_estadistico"))</f>
        <v/>
      </c>
      <c r="M166" s="8" t="str">
        <f>IF(OR($I166="USO_NO_ENERGETICO_APARENTE",$I166="USO_ENERGETICO_INTERNO_APARENTE"),"CAL",IF(LEFT($H166,5)="STAT_","FORMULA",IF(COUNTIF(DATOS_MODELO!$B$2:$B$3672,$H166)=1,"OK","REVISAR")))</f>
        <v>OK</v>
      </c>
    </row>
    <row r="167" customFormat="false" ht="15" hidden="false" customHeight="false" outlineLevel="0" collapsed="false">
      <c r="A167" s="4" t="s">
        <v>2388</v>
      </c>
      <c r="B167" s="12" t="n">
        <v>2023</v>
      </c>
      <c r="C167" s="4" t="s">
        <v>111</v>
      </c>
      <c r="D167" s="4" t="s">
        <v>1993</v>
      </c>
      <c r="E167" s="4" t="s">
        <v>2001</v>
      </c>
      <c r="F167" s="4" t="s">
        <v>2034</v>
      </c>
      <c r="G167" s="4" t="s">
        <v>74</v>
      </c>
      <c r="H167" s="4" t="s">
        <v>1666</v>
      </c>
      <c r="I167" s="4" t="s">
        <v>2035</v>
      </c>
      <c r="J167" s="4" t="s">
        <v>2036</v>
      </c>
      <c r="K167" s="14">
        <f>IF(OR($I167="USO_NO_ENERGETICO_APARENTE",$I167="USO_ENERGETICO_INTERNO_APARENTE"),ROUND(SUMIFS($K$2:$K$618,$B$2:$B$618,$B167,$C$2:$C$618,$C167,$D$2:$D$618,"Energy products",$E$2:$E$618,"Supply",$G$2:$G$618,"&lt;&gt;STAT")-SUMIFS($K$2:$K$618,$B$2:$B$618,$B167,$C$2:$C$618,$C167,$D$2:$D$618,"Energy products",$E$2:$E$618,"Use",$G$2:$G$618,"&lt;&gt;STAT",$I$2:$I$618,"&lt;&gt;USO_NO_ENERGETICO_APARENTE",$I$2:$I$618,"&lt;&gt;USO_ENERGETICO_INTERNO_APARENTE"),10),IF(LEFT($H167,5)="STAT_",ROUND(SUMIFS($K$2:$K$618,$B$2:$B$618,$B167,$C$2:$C$618,$C167,$D$2:$D$618,"Energy products",$E$2:$E$618,"Supply",$G$2:$G$618,"&lt;&gt;STAT")-SUMIFS($K$2:$K$618,$B$2:$B$618,$B167,$C$2:$C$618,$C167,$D$2:$D$618,"Energy products",$E$2:$E$618,"Use",$G$2:$G$618,"&lt;&gt;STAT"),10),IF($J167="cambio de signo",-INDEX(DATOS_MODELO!$U$2:$U$3672,MATCH($H167,DATOS_MODELO!$B$2:$B$3672,0)),IF($J167="valor absoluto",ABS(INDEX(DATOS_MODELO!$U$2:$U$3672,MATCH($H167,DATOS_MODELO!$B$2:$B$3672,0))),INDEX(DATOS_MODELO!$U$2:$U$3672,MATCH($H167,DATOS_MODELO!$B$2:$B$3672,0))))))</f>
        <v>9756.3263</v>
      </c>
      <c r="L167" s="8" t="str">
        <f aca="false">IF(LEFT($H167,5)&lt;&gt;"STAT_","",IF(ABS($K167)&lt;=COUNTIFS($B$2:$B$618,$B167,$C$2:$C$618,$C167,$D$2:$D$618,"Energy products",$G$2:$G$618,"&lt;&gt;STAT")*PARAMETROS!$B$6,"redondeo","residuo_estadistico"))</f>
        <v/>
      </c>
      <c r="M167" s="8" t="str">
        <f>IF(OR($I167="USO_NO_ENERGETICO_APARENTE",$I167="USO_ENERGETICO_INTERNO_APARENTE"),"CAL",IF(LEFT($H167,5)="STAT_","FORMULA",IF(COUNTIF(DATOS_MODELO!$B$2:$B$3672,$H167)=1,"OK","REVISAR")))</f>
        <v>OK</v>
      </c>
    </row>
    <row r="168" customFormat="false" ht="15" hidden="false" customHeight="false" outlineLevel="0" collapsed="false">
      <c r="A168" s="4" t="s">
        <v>2390</v>
      </c>
      <c r="B168" s="12" t="n">
        <v>2023</v>
      </c>
      <c r="C168" s="4" t="s">
        <v>111</v>
      </c>
      <c r="D168" s="4" t="s">
        <v>1993</v>
      </c>
      <c r="E168" s="4" t="s">
        <v>1994</v>
      </c>
      <c r="F168" s="4" t="s">
        <v>1995</v>
      </c>
      <c r="G168" s="4" t="s">
        <v>67</v>
      </c>
      <c r="H168" s="4" t="s">
        <v>1667</v>
      </c>
      <c r="I168" s="4" t="s">
        <v>2097</v>
      </c>
      <c r="J168" s="4" t="s">
        <v>1997</v>
      </c>
      <c r="K168" s="14">
        <f>IF(OR($I168="USO_NO_ENERGETICO_APARENTE",$I168="USO_ENERGETICO_INTERNO_APARENTE"),ROUND(SUMIFS($K$2:$K$618,$B$2:$B$618,$B168,$C$2:$C$618,$C168,$D$2:$D$618,"Energy products",$E$2:$E$618,"Supply",$G$2:$G$618,"&lt;&gt;STAT")-SUMIFS($K$2:$K$618,$B$2:$B$618,$B168,$C$2:$C$618,$C168,$D$2:$D$618,"Energy products",$E$2:$E$618,"Use",$G$2:$G$618,"&lt;&gt;STAT",$I$2:$I$618,"&lt;&gt;USO_NO_ENERGETICO_APARENTE",$I$2:$I$618,"&lt;&gt;USO_ENERGETICO_INTERNO_APARENTE"),10),IF(LEFT($H168,5)="STAT_",ROUND(SUMIFS($K$2:$K$618,$B$2:$B$618,$B168,$C$2:$C$618,$C168,$D$2:$D$618,"Energy products",$E$2:$E$618,"Supply",$G$2:$G$618,"&lt;&gt;STAT")-SUMIFS($K$2:$K$618,$B$2:$B$618,$B168,$C$2:$C$618,$C168,$D$2:$D$618,"Energy products",$E$2:$E$618,"Use",$G$2:$G$618,"&lt;&gt;STAT"),10),IF($J168="cambio de signo",-INDEX(DATOS_MODELO!$U$2:$U$3672,MATCH($H168,DATOS_MODELO!$B$2:$B$3672,0)),IF($J168="valor absoluto",ABS(INDEX(DATOS_MODELO!$U$2:$U$3672,MATCH($H168,DATOS_MODELO!$B$2:$B$3672,0))),INDEX(DATOS_MODELO!$U$2:$U$3672,MATCH($H168,DATOS_MODELO!$B$2:$B$3672,0))))))</f>
        <v>4090.0076</v>
      </c>
      <c r="L168" s="8" t="str">
        <f aca="false">IF(LEFT($H168,5)&lt;&gt;"STAT_","",IF(ABS($K168)&lt;=COUNTIFS($B$2:$B$618,$B168,$C$2:$C$618,$C168,$D$2:$D$618,"Energy products",$G$2:$G$618,"&lt;&gt;STAT")*PARAMETROS!$B$6,"redondeo","residuo_estadistico"))</f>
        <v/>
      </c>
      <c r="M168" s="8" t="str">
        <f>IF(OR($I168="USO_NO_ENERGETICO_APARENTE",$I168="USO_ENERGETICO_INTERNO_APARENTE"),"CAL",IF(LEFT($H168,5)="STAT_","FORMULA",IF(COUNTIF(DATOS_MODELO!$B$2:$B$3672,$H168)=1,"OK","REVISAR")))</f>
        <v>OK</v>
      </c>
    </row>
    <row r="169" customFormat="false" ht="23.85" hidden="false" customHeight="false" outlineLevel="0" collapsed="false">
      <c r="A169" s="4" t="s">
        <v>2392</v>
      </c>
      <c r="B169" s="12" t="n">
        <v>2023</v>
      </c>
      <c r="C169" s="4" t="s">
        <v>95</v>
      </c>
      <c r="D169" s="4" t="s">
        <v>1993</v>
      </c>
      <c r="E169" s="4" t="s">
        <v>2001</v>
      </c>
      <c r="F169" s="4" t="s">
        <v>2218</v>
      </c>
      <c r="G169" s="4" t="s">
        <v>44</v>
      </c>
      <c r="H169" s="4" t="s">
        <v>2394</v>
      </c>
      <c r="I169" s="4" t="s">
        <v>2219</v>
      </c>
      <c r="J169" s="4" t="s">
        <v>2220</v>
      </c>
      <c r="K169" s="14">
        <f>IF(OR($I169="USO_NO_ENERGETICO_APARENTE",$I169="USO_ENERGETICO_INTERNO_APARENTE"),ROUND(SUMIFS($K$2:$K$618,$B$2:$B$618,$B169,$C$2:$C$618,$C169,$D$2:$D$618,"Energy products",$E$2:$E$618,"Supply",$G$2:$G$618,"&lt;&gt;STAT")-SUMIFS($K$2:$K$618,$B$2:$B$618,$B169,$C$2:$C$618,$C169,$D$2:$D$618,"Energy products",$E$2:$E$618,"Use",$G$2:$G$618,"&lt;&gt;STAT",$I$2:$I$618,"&lt;&gt;USO_NO_ENERGETICO_APARENTE",$I$2:$I$618,"&lt;&gt;USO_ENERGETICO_INTERNO_APARENTE"),10),IF(LEFT($H169,5)="STAT_",ROUND(SUMIFS($K$2:$K$618,$B$2:$B$618,$B169,$C$2:$C$618,$C169,$D$2:$D$618,"Energy products",$E$2:$E$618,"Supply",$G$2:$G$618,"&lt;&gt;STAT")-SUMIFS($K$2:$K$618,$B$2:$B$618,$B169,$C$2:$C$618,$C169,$D$2:$D$618,"Energy products",$E$2:$E$618,"Use",$G$2:$G$618,"&lt;&gt;STAT"),10),IF($J169="cambio de signo",-INDEX(DATOS_MODELO!$U$2:$U$3672,MATCH($H169,DATOS_MODELO!$B$2:$B$3672,0)),IF($J169="valor absoluto",ABS(INDEX(DATOS_MODELO!$U$2:$U$3672,MATCH($H169,DATOS_MODELO!$B$2:$B$3672,0))),INDEX(DATOS_MODELO!$U$2:$U$3672,MATCH($H169,DATOS_MODELO!$B$2:$B$3672,0))))))</f>
        <v>0.0581</v>
      </c>
      <c r="L169" s="8" t="str">
        <f aca="false">IF(LEFT($H169,5)&lt;&gt;"STAT_","",IF(ABS($K169)&lt;=COUNTIFS($B$2:$B$618,$B169,$C$2:$C$618,$C169,$D$2:$D$618,"Energy products",$G$2:$G$618,"&lt;&gt;STAT")*PARAMETROS!$B$6,"redondeo","residuo_estadistico"))</f>
        <v>redondeo</v>
      </c>
      <c r="M169" s="8" t="str">
        <f>IF(OR($I169="USO_NO_ENERGETICO_APARENTE",$I169="USO_ENERGETICO_INTERNO_APARENTE"),"CAL",IF(LEFT($H169,5)="STAT_","FORMULA",IF(COUNTIF(DATOS_MODELO!$B$2:$B$3672,$H169)=1,"OK","REVISAR")))</f>
        <v>FORMULA</v>
      </c>
    </row>
    <row r="170" customFormat="false" ht="23.85" hidden="false" customHeight="false" outlineLevel="0" collapsed="false">
      <c r="A170" s="4" t="s">
        <v>2395</v>
      </c>
      <c r="B170" s="12" t="n">
        <v>2023</v>
      </c>
      <c r="C170" s="4" t="s">
        <v>76</v>
      </c>
      <c r="D170" s="4" t="s">
        <v>1993</v>
      </c>
      <c r="E170" s="4" t="s">
        <v>2001</v>
      </c>
      <c r="F170" s="4" t="s">
        <v>2218</v>
      </c>
      <c r="G170" s="4" t="s">
        <v>44</v>
      </c>
      <c r="H170" s="4" t="s">
        <v>2397</v>
      </c>
      <c r="I170" s="4" t="s">
        <v>2219</v>
      </c>
      <c r="J170" s="4" t="s">
        <v>2220</v>
      </c>
      <c r="K170" s="14">
        <f>IF(OR($I170="USO_NO_ENERGETICO_APARENTE",$I170="USO_ENERGETICO_INTERNO_APARENTE"),ROUND(SUMIFS($K$2:$K$618,$B$2:$B$618,$B170,$C$2:$C$618,$C170,$D$2:$D$618,"Energy products",$E$2:$E$618,"Supply",$G$2:$G$618,"&lt;&gt;STAT")-SUMIFS($K$2:$K$618,$B$2:$B$618,$B170,$C$2:$C$618,$C170,$D$2:$D$618,"Energy products",$E$2:$E$618,"Use",$G$2:$G$618,"&lt;&gt;STAT",$I$2:$I$618,"&lt;&gt;USO_NO_ENERGETICO_APARENTE",$I$2:$I$618,"&lt;&gt;USO_ENERGETICO_INTERNO_APARENTE"),10),IF(LEFT($H170,5)="STAT_",ROUND(SUMIFS($K$2:$K$618,$B$2:$B$618,$B170,$C$2:$C$618,$C170,$D$2:$D$618,"Energy products",$E$2:$E$618,"Supply",$G$2:$G$618,"&lt;&gt;STAT")-SUMIFS($K$2:$K$618,$B$2:$B$618,$B170,$C$2:$C$618,$C170,$D$2:$D$618,"Energy products",$E$2:$E$618,"Use",$G$2:$G$618,"&lt;&gt;STAT"),10),IF($J170="cambio de signo",-INDEX(DATOS_MODELO!$U$2:$U$3672,MATCH($H170,DATOS_MODELO!$B$2:$B$3672,0)),IF($J170="valor absoluto",ABS(INDEX(DATOS_MODELO!$U$2:$U$3672,MATCH($H170,DATOS_MODELO!$B$2:$B$3672,0))),INDEX(DATOS_MODELO!$U$2:$U$3672,MATCH($H170,DATOS_MODELO!$B$2:$B$3672,0))))))</f>
        <v>0.0581</v>
      </c>
      <c r="L170" s="8" t="str">
        <f aca="false">IF(LEFT($H170,5)&lt;&gt;"STAT_","",IF(ABS($K170)&lt;=COUNTIFS($B$2:$B$618,$B170,$C$2:$C$618,$C170,$D$2:$D$618,"Energy products",$G$2:$G$618,"&lt;&gt;STAT")*PARAMETROS!$B$6,"redondeo","residuo_estadistico"))</f>
        <v>redondeo</v>
      </c>
      <c r="M170" s="8" t="str">
        <f>IF(OR($I170="USO_NO_ENERGETICO_APARENTE",$I170="USO_ENERGETICO_INTERNO_APARENTE"),"CAL",IF(LEFT($H170,5)="STAT_","FORMULA",IF(COUNTIF(DATOS_MODELO!$B$2:$B$3672,$H170)=1,"OK","REVISAR")))</f>
        <v>FORMULA</v>
      </c>
    </row>
    <row r="171" customFormat="false" ht="23.85" hidden="false" customHeight="false" outlineLevel="0" collapsed="false">
      <c r="A171" s="4" t="s">
        <v>2398</v>
      </c>
      <c r="B171" s="12" t="n">
        <v>2023</v>
      </c>
      <c r="C171" s="4" t="s">
        <v>97</v>
      </c>
      <c r="D171" s="4" t="s">
        <v>1993</v>
      </c>
      <c r="E171" s="4" t="s">
        <v>2001</v>
      </c>
      <c r="F171" s="4" t="s">
        <v>2218</v>
      </c>
      <c r="G171" s="4" t="s">
        <v>44</v>
      </c>
      <c r="H171" s="4" t="s">
        <v>2400</v>
      </c>
      <c r="I171" s="4" t="s">
        <v>2219</v>
      </c>
      <c r="J171" s="4" t="s">
        <v>2220</v>
      </c>
      <c r="K171" s="14">
        <f>IF(OR($I171="USO_NO_ENERGETICO_APARENTE",$I171="USO_ENERGETICO_INTERNO_APARENTE"),ROUND(SUMIFS($K$2:$K$618,$B$2:$B$618,$B171,$C$2:$C$618,$C171,$D$2:$D$618,"Energy products",$E$2:$E$618,"Supply",$G$2:$G$618,"&lt;&gt;STAT")-SUMIFS($K$2:$K$618,$B$2:$B$618,$B171,$C$2:$C$618,$C171,$D$2:$D$618,"Energy products",$E$2:$E$618,"Use",$G$2:$G$618,"&lt;&gt;STAT",$I$2:$I$618,"&lt;&gt;USO_NO_ENERGETICO_APARENTE",$I$2:$I$618,"&lt;&gt;USO_ENERGETICO_INTERNO_APARENTE"),10),IF(LEFT($H171,5)="STAT_",ROUND(SUMIFS($K$2:$K$618,$B$2:$B$618,$B171,$C$2:$C$618,$C171,$D$2:$D$618,"Energy products",$E$2:$E$618,"Supply",$G$2:$G$618,"&lt;&gt;STAT")-SUMIFS($K$2:$K$618,$B$2:$B$618,$B171,$C$2:$C$618,$C171,$D$2:$D$618,"Energy products",$E$2:$E$618,"Use",$G$2:$G$618,"&lt;&gt;STAT"),10),IF($J171="cambio de signo",-INDEX(DATOS_MODELO!$U$2:$U$3672,MATCH($H171,DATOS_MODELO!$B$2:$B$3672,0)),IF($J171="valor absoluto",ABS(INDEX(DATOS_MODELO!$U$2:$U$3672,MATCH($H171,DATOS_MODELO!$B$2:$B$3672,0))),INDEX(DATOS_MODELO!$U$2:$U$3672,MATCH($H171,DATOS_MODELO!$B$2:$B$3672,0))))))</f>
        <v>-0.0581</v>
      </c>
      <c r="L171" s="8" t="str">
        <f aca="false">IF(LEFT($H171,5)&lt;&gt;"STAT_","",IF(ABS($K171)&lt;=COUNTIFS($B$2:$B$618,$B171,$C$2:$C$618,$C171,$D$2:$D$618,"Energy products",$G$2:$G$618,"&lt;&gt;STAT")*PARAMETROS!$B$6,"redondeo","residuo_estadistico"))</f>
        <v>redondeo</v>
      </c>
      <c r="M171" s="8" t="str">
        <f>IF(OR($I171="USO_NO_ENERGETICO_APARENTE",$I171="USO_ENERGETICO_INTERNO_APARENTE"),"CAL",IF(LEFT($H171,5)="STAT_","FORMULA",IF(COUNTIF(DATOS_MODELO!$B$2:$B$3672,$H171)=1,"OK","REVISAR")))</f>
        <v>FORMULA</v>
      </c>
    </row>
    <row r="172" customFormat="false" ht="23.85" hidden="false" customHeight="false" outlineLevel="0" collapsed="false">
      <c r="A172" s="4" t="s">
        <v>2401</v>
      </c>
      <c r="B172" s="12" t="n">
        <v>2023</v>
      </c>
      <c r="C172" s="4" t="s">
        <v>107</v>
      </c>
      <c r="D172" s="4" t="s">
        <v>1993</v>
      </c>
      <c r="E172" s="4" t="s">
        <v>2001</v>
      </c>
      <c r="F172" s="4" t="s">
        <v>2218</v>
      </c>
      <c r="G172" s="4" t="s">
        <v>44</v>
      </c>
      <c r="H172" s="4" t="s">
        <v>2403</v>
      </c>
      <c r="I172" s="4" t="s">
        <v>2219</v>
      </c>
      <c r="J172" s="4" t="s">
        <v>2220</v>
      </c>
      <c r="K172" s="14">
        <f>IF(OR($I172="USO_NO_ENERGETICO_APARENTE",$I172="USO_ENERGETICO_INTERNO_APARENTE"),ROUND(SUMIFS($K$2:$K$618,$B$2:$B$618,$B172,$C$2:$C$618,$C172,$D$2:$D$618,"Energy products",$E$2:$E$618,"Supply",$G$2:$G$618,"&lt;&gt;STAT")-SUMIFS($K$2:$K$618,$B$2:$B$618,$B172,$C$2:$C$618,$C172,$D$2:$D$618,"Energy products",$E$2:$E$618,"Use",$G$2:$G$618,"&lt;&gt;STAT",$I$2:$I$618,"&lt;&gt;USO_NO_ENERGETICO_APARENTE",$I$2:$I$618,"&lt;&gt;USO_ENERGETICO_INTERNO_APARENTE"),10),IF(LEFT($H172,5)="STAT_",ROUND(SUMIFS($K$2:$K$618,$B$2:$B$618,$B172,$C$2:$C$618,$C172,$D$2:$D$618,"Energy products",$E$2:$E$618,"Supply",$G$2:$G$618,"&lt;&gt;STAT")-SUMIFS($K$2:$K$618,$B$2:$B$618,$B172,$C$2:$C$618,$C172,$D$2:$D$618,"Energy products",$E$2:$E$618,"Use",$G$2:$G$618,"&lt;&gt;STAT"),10),IF($J172="cambio de signo",-INDEX(DATOS_MODELO!$U$2:$U$3672,MATCH($H172,DATOS_MODELO!$B$2:$B$3672,0)),IF($J172="valor absoluto",ABS(INDEX(DATOS_MODELO!$U$2:$U$3672,MATCH($H172,DATOS_MODELO!$B$2:$B$3672,0))),INDEX(DATOS_MODELO!$U$2:$U$3672,MATCH($H172,DATOS_MODELO!$B$2:$B$3672,0))))))</f>
        <v>0.0581</v>
      </c>
      <c r="L172" s="8" t="str">
        <f aca="false">IF(LEFT($H172,5)&lt;&gt;"STAT_","",IF(ABS($K172)&lt;=COUNTIFS($B$2:$B$618,$B172,$C$2:$C$618,$C172,$D$2:$D$618,"Energy products",$G$2:$G$618,"&lt;&gt;STAT")*PARAMETROS!$B$6,"redondeo","residuo_estadistico"))</f>
        <v>redondeo</v>
      </c>
      <c r="M172" s="8" t="str">
        <f>IF(OR($I172="USO_NO_ENERGETICO_APARENTE",$I172="USO_ENERGETICO_INTERNO_APARENTE"),"CAL",IF(LEFT($H172,5)="STAT_","FORMULA",IF(COUNTIF(DATOS_MODELO!$B$2:$B$3672,$H172)=1,"OK","REVISAR")))</f>
        <v>FORMULA</v>
      </c>
    </row>
    <row r="173" customFormat="false" ht="23.85" hidden="false" customHeight="false" outlineLevel="0" collapsed="false">
      <c r="A173" s="4" t="s">
        <v>2404</v>
      </c>
      <c r="B173" s="12" t="n">
        <v>2023</v>
      </c>
      <c r="C173" s="4" t="s">
        <v>111</v>
      </c>
      <c r="D173" s="4" t="s">
        <v>1993</v>
      </c>
      <c r="E173" s="4" t="s">
        <v>2001</v>
      </c>
      <c r="F173" s="4" t="s">
        <v>2002</v>
      </c>
      <c r="G173" s="4" t="s">
        <v>41</v>
      </c>
      <c r="H173" s="4" t="s">
        <v>2406</v>
      </c>
      <c r="I173" s="4" t="s">
        <v>2228</v>
      </c>
      <c r="J173" s="4" t="s">
        <v>1997</v>
      </c>
      <c r="K173" s="14">
        <f>IF(OR($I173="USO_NO_ENERGETICO_APARENTE",$I173="USO_ENERGETICO_INTERNO_APARENTE"),ROUND(SUMIFS($K$2:$K$618,$B$2:$B$618,$B173,$C$2:$C$618,$C173,$D$2:$D$618,"Energy products",$E$2:$E$618,"Supply",$G$2:$G$618,"&lt;&gt;STAT")-SUMIFS($K$2:$K$618,$B$2:$B$618,$B173,$C$2:$C$618,$C173,$D$2:$D$618,"Energy products",$E$2:$E$618,"Use",$G$2:$G$618,"&lt;&gt;STAT",$I$2:$I$618,"&lt;&gt;USO_NO_ENERGETICO_APARENTE",$I$2:$I$618,"&lt;&gt;USO_ENERGETICO_INTERNO_APARENTE"),10),IF(LEFT($H173,5)="STAT_",ROUND(SUMIFS($K$2:$K$618,$B$2:$B$618,$B173,$C$2:$C$618,$C173,$D$2:$D$618,"Energy products",$E$2:$E$618,"Supply",$G$2:$G$618,"&lt;&gt;STAT")-SUMIFS($K$2:$K$618,$B$2:$B$618,$B173,$C$2:$C$618,$C173,$D$2:$D$618,"Energy products",$E$2:$E$618,"Use",$G$2:$G$618,"&lt;&gt;STAT"),10),IF($J173="cambio de signo",-INDEX(DATOS_MODELO!$U$2:$U$3672,MATCH($H173,DATOS_MODELO!$B$2:$B$3672,0)),IF($J173="valor absoluto",ABS(INDEX(DATOS_MODELO!$U$2:$U$3672,MATCH($H173,DATOS_MODELO!$B$2:$B$3672,0))),INDEX(DATOS_MODELO!$U$2:$U$3672,MATCH($H173,DATOS_MODELO!$B$2:$B$3672,0))))))</f>
        <v>3485.7676</v>
      </c>
      <c r="L173" s="8" t="str">
        <f aca="false">IF(LEFT($H173,5)&lt;&gt;"STAT_","",IF(ABS($K173)&lt;=COUNTIFS($B$2:$B$618,$B173,$C$2:$C$618,$C173,$D$2:$D$618,"Energy products",$G$2:$G$618,"&lt;&gt;STAT")*PARAMETROS!$B$6,"redondeo","residuo_estadistico"))</f>
        <v/>
      </c>
      <c r="M173" s="8" t="str">
        <f>IF(OR($I173="USO_NO_ENERGETICO_APARENTE",$I173="USO_ENERGETICO_INTERNO_APARENTE"),"CAL",IF(LEFT($H173,5)="STAT_","FORMULA",IF(COUNTIF(DATOS_MODELO!$B$2:$B$3672,$H173)=1,"OK","REVISAR")))</f>
        <v>CAL</v>
      </c>
    </row>
    <row r="174" customFormat="false" ht="23.85" hidden="false" customHeight="false" outlineLevel="0" collapsed="false">
      <c r="A174" s="4" t="s">
        <v>2407</v>
      </c>
      <c r="B174" s="12" t="n">
        <v>2023</v>
      </c>
      <c r="C174" s="4" t="s">
        <v>86</v>
      </c>
      <c r="D174" s="4" t="s">
        <v>1993</v>
      </c>
      <c r="E174" s="4" t="s">
        <v>2001</v>
      </c>
      <c r="F174" s="4" t="s">
        <v>2218</v>
      </c>
      <c r="G174" s="4" t="s">
        <v>44</v>
      </c>
      <c r="H174" s="4" t="s">
        <v>2409</v>
      </c>
      <c r="I174" s="4" t="s">
        <v>2219</v>
      </c>
      <c r="J174" s="4" t="s">
        <v>2220</v>
      </c>
      <c r="K174" s="14">
        <f>IF(OR($I174="USO_NO_ENERGETICO_APARENTE",$I174="USO_ENERGETICO_INTERNO_APARENTE"),ROUND(SUMIFS($K$2:$K$618,$B$2:$B$618,$B174,$C$2:$C$618,$C174,$D$2:$D$618,"Energy products",$E$2:$E$618,"Supply",$G$2:$G$618,"&lt;&gt;STAT")-SUMIFS($K$2:$K$618,$B$2:$B$618,$B174,$C$2:$C$618,$C174,$D$2:$D$618,"Energy products",$E$2:$E$618,"Use",$G$2:$G$618,"&lt;&gt;STAT",$I$2:$I$618,"&lt;&gt;USO_NO_ENERGETICO_APARENTE",$I$2:$I$618,"&lt;&gt;USO_ENERGETICO_INTERNO_APARENTE"),10),IF(LEFT($H174,5)="STAT_",ROUND(SUMIFS($K$2:$K$618,$B$2:$B$618,$B174,$C$2:$C$618,$C174,$D$2:$D$618,"Energy products",$E$2:$E$618,"Supply",$G$2:$G$618,"&lt;&gt;STAT")-SUMIFS($K$2:$K$618,$B$2:$B$618,$B174,$C$2:$C$618,$C174,$D$2:$D$618,"Energy products",$E$2:$E$618,"Use",$G$2:$G$618,"&lt;&gt;STAT"),10),IF($J174="cambio de signo",-INDEX(DATOS_MODELO!$U$2:$U$3672,MATCH($H174,DATOS_MODELO!$B$2:$B$3672,0)),IF($J174="valor absoluto",ABS(INDEX(DATOS_MODELO!$U$2:$U$3672,MATCH($H174,DATOS_MODELO!$B$2:$B$3672,0))),INDEX(DATOS_MODELO!$U$2:$U$3672,MATCH($H174,DATOS_MODELO!$B$2:$B$3672,0))))))</f>
        <v>0.0581</v>
      </c>
      <c r="L174" s="8" t="str">
        <f aca="false">IF(LEFT($H174,5)&lt;&gt;"STAT_","",IF(ABS($K174)&lt;=COUNTIFS($B$2:$B$618,$B174,$C$2:$C$618,$C174,$D$2:$D$618,"Energy products",$G$2:$G$618,"&lt;&gt;STAT")*PARAMETROS!$B$6,"redondeo","residuo_estadistico"))</f>
        <v>redondeo</v>
      </c>
      <c r="M174" s="8" t="str">
        <f>IF(OR($I174="USO_NO_ENERGETICO_APARENTE",$I174="USO_ENERGETICO_INTERNO_APARENTE"),"CAL",IF(LEFT($H174,5)="STAT_","FORMULA",IF(COUNTIF(DATOS_MODELO!$B$2:$B$3672,$H174)=1,"OK","REVISAR")))</f>
        <v>FORMULA</v>
      </c>
    </row>
    <row r="175" customFormat="false" ht="15" hidden="false" customHeight="false" outlineLevel="0" collapsed="false">
      <c r="A175" s="4" t="s">
        <v>2410</v>
      </c>
      <c r="B175" s="12" t="n">
        <v>2022</v>
      </c>
      <c r="C175" s="4" t="s">
        <v>91</v>
      </c>
      <c r="D175" s="4" t="s">
        <v>1993</v>
      </c>
      <c r="E175" s="4" t="s">
        <v>1994</v>
      </c>
      <c r="F175" s="4" t="s">
        <v>1995</v>
      </c>
      <c r="G175" s="4" t="s">
        <v>68</v>
      </c>
      <c r="H175" s="4" t="s">
        <v>1159</v>
      </c>
      <c r="I175" s="4" t="s">
        <v>1996</v>
      </c>
      <c r="J175" s="4" t="s">
        <v>1997</v>
      </c>
      <c r="K175" s="14">
        <f>IF(OR($I175="USO_NO_ENERGETICO_APARENTE",$I175="USO_ENERGETICO_INTERNO_APARENTE"),ROUND(SUMIFS($K$2:$K$618,$B$2:$B$618,$B175,$C$2:$C$618,$C175,$D$2:$D$618,"Energy products",$E$2:$E$618,"Supply",$G$2:$G$618,"&lt;&gt;STAT")-SUMIFS($K$2:$K$618,$B$2:$B$618,$B175,$C$2:$C$618,$C175,$D$2:$D$618,"Energy products",$E$2:$E$618,"Use",$G$2:$G$618,"&lt;&gt;STAT",$I$2:$I$618,"&lt;&gt;USO_NO_ENERGETICO_APARENTE",$I$2:$I$618,"&lt;&gt;USO_ENERGETICO_INTERNO_APARENTE"),10),IF(LEFT($H175,5)="STAT_",ROUND(SUMIFS($K$2:$K$618,$B$2:$B$618,$B175,$C$2:$C$618,$C175,$D$2:$D$618,"Energy products",$E$2:$E$618,"Supply",$G$2:$G$618,"&lt;&gt;STAT")-SUMIFS($K$2:$K$618,$B$2:$B$618,$B175,$C$2:$C$618,$C175,$D$2:$D$618,"Energy products",$E$2:$E$618,"Use",$G$2:$G$618,"&lt;&gt;STAT"),10),IF($J175="cambio de signo",-INDEX(DATOS_MODELO!$U$2:$U$3672,MATCH($H175,DATOS_MODELO!$B$2:$B$3672,0)),IF($J175="valor absoluto",ABS(INDEX(DATOS_MODELO!$U$2:$U$3672,MATCH($H175,DATOS_MODELO!$B$2:$B$3672,0))),INDEX(DATOS_MODELO!$U$2:$U$3672,MATCH($H175,DATOS_MODELO!$B$2:$B$3672,0))))))</f>
        <v>74640.0242</v>
      </c>
      <c r="L175" s="8" t="str">
        <f aca="false">IF(LEFT($H175,5)&lt;&gt;"STAT_","",IF(ABS($K175)&lt;=COUNTIFS($B$2:$B$618,$B175,$C$2:$C$618,$C175,$D$2:$D$618,"Energy products",$G$2:$G$618,"&lt;&gt;STAT")*PARAMETROS!$B$6,"redondeo","residuo_estadistico"))</f>
        <v/>
      </c>
      <c r="M175" s="8" t="str">
        <f>IF(OR($I175="USO_NO_ENERGETICO_APARENTE",$I175="USO_ENERGETICO_INTERNO_APARENTE"),"CAL",IF(LEFT($H175,5)="STAT_","FORMULA",IF(COUNTIF(DATOS_MODELO!$B$2:$B$3672,$H175)=1,"OK","REVISAR")))</f>
        <v>OK</v>
      </c>
    </row>
    <row r="176" customFormat="false" ht="15" hidden="false" customHeight="false" outlineLevel="0" collapsed="false">
      <c r="A176" s="4" t="s">
        <v>2412</v>
      </c>
      <c r="B176" s="12" t="n">
        <v>2022</v>
      </c>
      <c r="C176" s="4" t="s">
        <v>91</v>
      </c>
      <c r="D176" s="4" t="s">
        <v>1993</v>
      </c>
      <c r="E176" s="4" t="s">
        <v>2001</v>
      </c>
      <c r="F176" s="4" t="s">
        <v>2002</v>
      </c>
      <c r="G176" s="4" t="s">
        <v>67</v>
      </c>
      <c r="H176" s="4" t="s">
        <v>1164</v>
      </c>
      <c r="I176" s="4" t="s">
        <v>2003</v>
      </c>
      <c r="J176" s="4" t="s">
        <v>2004</v>
      </c>
      <c r="K176" s="14">
        <f>IF(OR($I176="USO_NO_ENERGETICO_APARENTE",$I176="USO_ENERGETICO_INTERNO_APARENTE"),ROUND(SUMIFS($K$2:$K$618,$B$2:$B$618,$B176,$C$2:$C$618,$C176,$D$2:$D$618,"Energy products",$E$2:$E$618,"Supply",$G$2:$G$618,"&lt;&gt;STAT")-SUMIFS($K$2:$K$618,$B$2:$B$618,$B176,$C$2:$C$618,$C176,$D$2:$D$618,"Energy products",$E$2:$E$618,"Use",$G$2:$G$618,"&lt;&gt;STAT",$I$2:$I$618,"&lt;&gt;USO_NO_ENERGETICO_APARENTE",$I$2:$I$618,"&lt;&gt;USO_ENERGETICO_INTERNO_APARENTE"),10),IF(LEFT($H176,5)="STAT_",ROUND(SUMIFS($K$2:$K$618,$B$2:$B$618,$B176,$C$2:$C$618,$C176,$D$2:$D$618,"Energy products",$E$2:$E$618,"Supply",$G$2:$G$618,"&lt;&gt;STAT")-SUMIFS($K$2:$K$618,$B$2:$B$618,$B176,$C$2:$C$618,$C176,$D$2:$D$618,"Energy products",$E$2:$E$618,"Use",$G$2:$G$618,"&lt;&gt;STAT"),10),IF($J176="cambio de signo",-INDEX(DATOS_MODELO!$U$2:$U$3672,MATCH($H176,DATOS_MODELO!$B$2:$B$3672,0)),IF($J176="valor absoluto",ABS(INDEX(DATOS_MODELO!$U$2:$U$3672,MATCH($H176,DATOS_MODELO!$B$2:$B$3672,0))),INDEX(DATOS_MODELO!$U$2:$U$3672,MATCH($H176,DATOS_MODELO!$B$2:$B$3672,0))))))</f>
        <v>52745.5621</v>
      </c>
      <c r="L176" s="8" t="str">
        <f aca="false">IF(LEFT($H176,5)&lt;&gt;"STAT_","",IF(ABS($K176)&lt;=COUNTIFS($B$2:$B$618,$B176,$C$2:$C$618,$C176,$D$2:$D$618,"Energy products",$G$2:$G$618,"&lt;&gt;STAT")*PARAMETROS!$B$6,"redondeo","residuo_estadistico"))</f>
        <v/>
      </c>
      <c r="M176" s="8" t="str">
        <f>IF(OR($I176="USO_NO_ENERGETICO_APARENTE",$I176="USO_ENERGETICO_INTERNO_APARENTE"),"CAL",IF(LEFT($H176,5)="STAT_","FORMULA",IF(COUNTIF(DATOS_MODELO!$B$2:$B$3672,$H176)=1,"OK","REVISAR")))</f>
        <v>OK</v>
      </c>
    </row>
    <row r="177" customFormat="false" ht="15" hidden="false" customHeight="false" outlineLevel="0" collapsed="false">
      <c r="A177" s="4" t="s">
        <v>2414</v>
      </c>
      <c r="B177" s="12" t="n">
        <v>2022</v>
      </c>
      <c r="C177" s="4" t="s">
        <v>91</v>
      </c>
      <c r="D177" s="4" t="s">
        <v>1993</v>
      </c>
      <c r="E177" s="4" t="s">
        <v>2001</v>
      </c>
      <c r="F177" s="4" t="s">
        <v>2002</v>
      </c>
      <c r="G177" s="4" t="s">
        <v>67</v>
      </c>
      <c r="H177" s="4" t="s">
        <v>1165</v>
      </c>
      <c r="I177" s="4" t="s">
        <v>2008</v>
      </c>
      <c r="J177" s="4" t="s">
        <v>2004</v>
      </c>
      <c r="K177" s="14">
        <f>IF(OR($I177="USO_NO_ENERGETICO_APARENTE",$I177="USO_ENERGETICO_INTERNO_APARENTE"),ROUND(SUMIFS($K$2:$K$618,$B$2:$B$618,$B177,$C$2:$C$618,$C177,$D$2:$D$618,"Energy products",$E$2:$E$618,"Supply",$G$2:$G$618,"&lt;&gt;STAT")-SUMIFS($K$2:$K$618,$B$2:$B$618,$B177,$C$2:$C$618,$C177,$D$2:$D$618,"Energy products",$E$2:$E$618,"Use",$G$2:$G$618,"&lt;&gt;STAT",$I$2:$I$618,"&lt;&gt;USO_NO_ENERGETICO_APARENTE",$I$2:$I$618,"&lt;&gt;USO_ENERGETICO_INTERNO_APARENTE"),10),IF(LEFT($H177,5)="STAT_",ROUND(SUMIFS($K$2:$K$618,$B$2:$B$618,$B177,$C$2:$C$618,$C177,$D$2:$D$618,"Energy products",$E$2:$E$618,"Supply",$G$2:$G$618,"&lt;&gt;STAT")-SUMIFS($K$2:$K$618,$B$2:$B$618,$B177,$C$2:$C$618,$C177,$D$2:$D$618,"Energy products",$E$2:$E$618,"Use",$G$2:$G$618,"&lt;&gt;STAT"),10),IF($J177="cambio de signo",-INDEX(DATOS_MODELO!$U$2:$U$3672,MATCH($H177,DATOS_MODELO!$B$2:$B$3672,0)),IF($J177="valor absoluto",ABS(INDEX(DATOS_MODELO!$U$2:$U$3672,MATCH($H177,DATOS_MODELO!$B$2:$B$3672,0))),INDEX(DATOS_MODELO!$U$2:$U$3672,MATCH($H177,DATOS_MODELO!$B$2:$B$3672,0))))))</f>
        <v>21894.404</v>
      </c>
      <c r="L177" s="8" t="str">
        <f aca="false">IF(LEFT($H177,5)&lt;&gt;"STAT_","",IF(ABS($K177)&lt;=COUNTIFS($B$2:$B$618,$B177,$C$2:$C$618,$C177,$D$2:$D$618,"Energy products",$G$2:$G$618,"&lt;&gt;STAT")*PARAMETROS!$B$6,"redondeo","residuo_estadistico"))</f>
        <v/>
      </c>
      <c r="M177" s="8" t="str">
        <f>IF(OR($I177="USO_NO_ENERGETICO_APARENTE",$I177="USO_ENERGETICO_INTERNO_APARENTE"),"CAL",IF(LEFT($H177,5)="STAT_","FORMULA",IF(COUNTIF(DATOS_MODELO!$B$2:$B$3672,$H177)=1,"OK","REVISAR")))</f>
        <v>OK</v>
      </c>
    </row>
    <row r="178" customFormat="false" ht="15" hidden="false" customHeight="false" outlineLevel="0" collapsed="false">
      <c r="A178" s="4" t="s">
        <v>2416</v>
      </c>
      <c r="B178" s="12" t="n">
        <v>2022</v>
      </c>
      <c r="C178" s="4" t="s">
        <v>93</v>
      </c>
      <c r="D178" s="4" t="s">
        <v>1993</v>
      </c>
      <c r="E178" s="4" t="s">
        <v>1994</v>
      </c>
      <c r="F178" s="4" t="s">
        <v>1995</v>
      </c>
      <c r="G178" s="4" t="s">
        <v>67</v>
      </c>
      <c r="H178" s="4" t="s">
        <v>1173</v>
      </c>
      <c r="I178" s="4" t="s">
        <v>2012</v>
      </c>
      <c r="J178" s="4" t="s">
        <v>1997</v>
      </c>
      <c r="K178" s="14">
        <f>IF(OR($I178="USO_NO_ENERGETICO_APARENTE",$I178="USO_ENERGETICO_INTERNO_APARENTE"),ROUND(SUMIFS($K$2:$K$618,$B$2:$B$618,$B178,$C$2:$C$618,$C178,$D$2:$D$618,"Energy products",$E$2:$E$618,"Supply",$G$2:$G$618,"&lt;&gt;STAT")-SUMIFS($K$2:$K$618,$B$2:$B$618,$B178,$C$2:$C$618,$C178,$D$2:$D$618,"Energy products",$E$2:$E$618,"Use",$G$2:$G$618,"&lt;&gt;STAT",$I$2:$I$618,"&lt;&gt;USO_NO_ENERGETICO_APARENTE",$I$2:$I$618,"&lt;&gt;USO_ENERGETICO_INTERNO_APARENTE"),10),IF(LEFT($H178,5)="STAT_",ROUND(SUMIFS($K$2:$K$618,$B$2:$B$618,$B178,$C$2:$C$618,$C178,$D$2:$D$618,"Energy products",$E$2:$E$618,"Supply",$G$2:$G$618,"&lt;&gt;STAT")-SUMIFS($K$2:$K$618,$B$2:$B$618,$B178,$C$2:$C$618,$C178,$D$2:$D$618,"Energy products",$E$2:$E$618,"Use",$G$2:$G$618,"&lt;&gt;STAT"),10),IF($J178="cambio de signo",-INDEX(DATOS_MODELO!$U$2:$U$3672,MATCH($H178,DATOS_MODELO!$B$2:$B$3672,0)),IF($J178="valor absoluto",ABS(INDEX(DATOS_MODELO!$U$2:$U$3672,MATCH($H178,DATOS_MODELO!$B$2:$B$3672,0))),INDEX(DATOS_MODELO!$U$2:$U$3672,MATCH($H178,DATOS_MODELO!$B$2:$B$3672,0))))))</f>
        <v>294.0441</v>
      </c>
      <c r="L178" s="8" t="str">
        <f aca="false">IF(LEFT($H178,5)&lt;&gt;"STAT_","",IF(ABS($K178)&lt;=COUNTIFS($B$2:$B$618,$B178,$C$2:$C$618,$C178,$D$2:$D$618,"Energy products",$G$2:$G$618,"&lt;&gt;STAT")*PARAMETROS!$B$6,"redondeo","residuo_estadistico"))</f>
        <v/>
      </c>
      <c r="M178" s="8" t="str">
        <f>IF(OR($I178="USO_NO_ENERGETICO_APARENTE",$I178="USO_ENERGETICO_INTERNO_APARENTE"),"CAL",IF(LEFT($H178,5)="STAT_","FORMULA",IF(COUNTIF(DATOS_MODELO!$B$2:$B$3672,$H178)=1,"OK","REVISAR")))</f>
        <v>OK</v>
      </c>
    </row>
    <row r="179" customFormat="false" ht="15" hidden="false" customHeight="false" outlineLevel="0" collapsed="false">
      <c r="A179" s="4" t="s">
        <v>2418</v>
      </c>
      <c r="B179" s="12" t="n">
        <v>2022</v>
      </c>
      <c r="C179" s="4" t="s">
        <v>93</v>
      </c>
      <c r="D179" s="4" t="s">
        <v>1993</v>
      </c>
      <c r="E179" s="4" t="s">
        <v>2001</v>
      </c>
      <c r="F179" s="4" t="s">
        <v>2002</v>
      </c>
      <c r="G179" s="4" t="s">
        <v>67</v>
      </c>
      <c r="H179" s="4" t="s">
        <v>1178</v>
      </c>
      <c r="I179" s="4" t="s">
        <v>2003</v>
      </c>
      <c r="J179" s="4" t="s">
        <v>2004</v>
      </c>
      <c r="K179" s="14">
        <f>IF(OR($I179="USO_NO_ENERGETICO_APARENTE",$I179="USO_ENERGETICO_INTERNO_APARENTE"),ROUND(SUMIFS($K$2:$K$618,$B$2:$B$618,$B179,$C$2:$C$618,$C179,$D$2:$D$618,"Energy products",$E$2:$E$618,"Supply",$G$2:$G$618,"&lt;&gt;STAT")-SUMIFS($K$2:$K$618,$B$2:$B$618,$B179,$C$2:$C$618,$C179,$D$2:$D$618,"Energy products",$E$2:$E$618,"Use",$G$2:$G$618,"&lt;&gt;STAT",$I$2:$I$618,"&lt;&gt;USO_NO_ENERGETICO_APARENTE",$I$2:$I$618,"&lt;&gt;USO_ENERGETICO_INTERNO_APARENTE"),10),IF(LEFT($H179,5)="STAT_",ROUND(SUMIFS($K$2:$K$618,$B$2:$B$618,$B179,$C$2:$C$618,$C179,$D$2:$D$618,"Energy products",$E$2:$E$618,"Supply",$G$2:$G$618,"&lt;&gt;STAT")-SUMIFS($K$2:$K$618,$B$2:$B$618,$B179,$C$2:$C$618,$C179,$D$2:$D$618,"Energy products",$E$2:$E$618,"Use",$G$2:$G$618,"&lt;&gt;STAT"),10),IF($J179="cambio de signo",-INDEX(DATOS_MODELO!$U$2:$U$3672,MATCH($H179,DATOS_MODELO!$B$2:$B$3672,0)),IF($J179="valor absoluto",ABS(INDEX(DATOS_MODELO!$U$2:$U$3672,MATCH($H179,DATOS_MODELO!$B$2:$B$3672,0))),INDEX(DATOS_MODELO!$U$2:$U$3672,MATCH($H179,DATOS_MODELO!$B$2:$B$3672,0))))))</f>
        <v>294.0441</v>
      </c>
      <c r="L179" s="8" t="str">
        <f aca="false">IF(LEFT($H179,5)&lt;&gt;"STAT_","",IF(ABS($K179)&lt;=COUNTIFS($B$2:$B$618,$B179,$C$2:$C$618,$C179,$D$2:$D$618,"Energy products",$G$2:$G$618,"&lt;&gt;STAT")*PARAMETROS!$B$6,"redondeo","residuo_estadistico"))</f>
        <v/>
      </c>
      <c r="M179" s="8" t="str">
        <f>IF(OR($I179="USO_NO_ENERGETICO_APARENTE",$I179="USO_ENERGETICO_INTERNO_APARENTE"),"CAL",IF(LEFT($H179,5)="STAT_","FORMULA",IF(COUNTIF(DATOS_MODELO!$B$2:$B$3672,$H179)=1,"OK","REVISAR")))</f>
        <v>OK</v>
      </c>
    </row>
    <row r="180" customFormat="false" ht="15" hidden="false" customHeight="false" outlineLevel="0" collapsed="false">
      <c r="A180" s="4" t="s">
        <v>2420</v>
      </c>
      <c r="B180" s="12" t="n">
        <v>2022</v>
      </c>
      <c r="C180" s="4" t="s">
        <v>76</v>
      </c>
      <c r="D180" s="4" t="s">
        <v>2018</v>
      </c>
      <c r="E180" s="4" t="s">
        <v>1994</v>
      </c>
      <c r="F180" s="4" t="s">
        <v>65</v>
      </c>
      <c r="G180" s="4" t="s">
        <v>64</v>
      </c>
      <c r="H180" s="4" t="s">
        <v>1187</v>
      </c>
      <c r="I180" s="4" t="s">
        <v>2019</v>
      </c>
      <c r="J180" s="4" t="s">
        <v>1997</v>
      </c>
      <c r="K180" s="14">
        <f>IF(OR($I180="USO_NO_ENERGETICO_APARENTE",$I180="USO_ENERGETICO_INTERNO_APARENTE"),ROUND(SUMIFS($K$2:$K$618,$B$2:$B$618,$B180,$C$2:$C$618,$C180,$D$2:$D$618,"Energy products",$E$2:$E$618,"Supply",$G$2:$G$618,"&lt;&gt;STAT")-SUMIFS($K$2:$K$618,$B$2:$B$618,$B180,$C$2:$C$618,$C180,$D$2:$D$618,"Energy products",$E$2:$E$618,"Use",$G$2:$G$618,"&lt;&gt;STAT",$I$2:$I$618,"&lt;&gt;USO_NO_ENERGETICO_APARENTE",$I$2:$I$618,"&lt;&gt;USO_ENERGETICO_INTERNO_APARENTE"),10),IF(LEFT($H180,5)="STAT_",ROUND(SUMIFS($K$2:$K$618,$B$2:$B$618,$B180,$C$2:$C$618,$C180,$D$2:$D$618,"Energy products",$E$2:$E$618,"Supply",$G$2:$G$618,"&lt;&gt;STAT")-SUMIFS($K$2:$K$618,$B$2:$B$618,$B180,$C$2:$C$618,$C180,$D$2:$D$618,"Energy products",$E$2:$E$618,"Use",$G$2:$G$618,"&lt;&gt;STAT"),10),IF($J180="cambio de signo",-INDEX(DATOS_MODELO!$U$2:$U$3672,MATCH($H180,DATOS_MODELO!$B$2:$B$3672,0)),IF($J180="valor absoluto",ABS(INDEX(DATOS_MODELO!$U$2:$U$3672,MATCH($H180,DATOS_MODELO!$B$2:$B$3672,0))),INDEX(DATOS_MODELO!$U$2:$U$3672,MATCH($H180,DATOS_MODELO!$B$2:$B$3672,0))))))</f>
        <v>0.0</v>
      </c>
      <c r="L180" s="8" t="str">
        <f aca="false">IF(LEFT($H180,5)&lt;&gt;"STAT_","",IF(ABS($K180)&lt;=COUNTIFS($B$2:$B$618,$B180,$C$2:$C$618,$C180,$D$2:$D$618,"Energy products",$G$2:$G$618,"&lt;&gt;STAT")*PARAMETROS!$B$6,"redondeo","residuo_estadistico"))</f>
        <v/>
      </c>
      <c r="M180" s="8" t="str">
        <f>IF(OR($I180="USO_NO_ENERGETICO_APARENTE",$I180="USO_ENERGETICO_INTERNO_APARENTE"),"CAL",IF(LEFT($H180,5)="STAT_","FORMULA",IF(COUNTIF(DATOS_MODELO!$B$2:$B$3672,$H180)=1,"OK","REVISAR")))</f>
        <v>OK</v>
      </c>
    </row>
    <row r="181" customFormat="false" ht="15" hidden="false" customHeight="false" outlineLevel="0" collapsed="false">
      <c r="A181" s="4" t="s">
        <v>2422</v>
      </c>
      <c r="B181" s="12" t="n">
        <v>2022</v>
      </c>
      <c r="C181" s="4" t="s">
        <v>76</v>
      </c>
      <c r="D181" s="4" t="s">
        <v>2018</v>
      </c>
      <c r="E181" s="4" t="s">
        <v>2001</v>
      </c>
      <c r="F181" s="4" t="s">
        <v>66</v>
      </c>
      <c r="G181" s="4" t="s">
        <v>66</v>
      </c>
      <c r="H181" s="4" t="s">
        <v>1187</v>
      </c>
      <c r="I181" s="4" t="s">
        <v>2019</v>
      </c>
      <c r="J181" s="4" t="s">
        <v>1997</v>
      </c>
      <c r="K181" s="14">
        <f>IF(OR($I181="USO_NO_ENERGETICO_APARENTE",$I181="USO_ENERGETICO_INTERNO_APARENTE"),ROUND(SUMIFS($K$2:$K$618,$B$2:$B$618,$B181,$C$2:$C$618,$C181,$D$2:$D$618,"Energy products",$E$2:$E$618,"Supply",$G$2:$G$618,"&lt;&gt;STAT")-SUMIFS($K$2:$K$618,$B$2:$B$618,$B181,$C$2:$C$618,$C181,$D$2:$D$618,"Energy products",$E$2:$E$618,"Use",$G$2:$G$618,"&lt;&gt;STAT",$I$2:$I$618,"&lt;&gt;USO_NO_ENERGETICO_APARENTE",$I$2:$I$618,"&lt;&gt;USO_ENERGETICO_INTERNO_APARENTE"),10),IF(LEFT($H181,5)="STAT_",ROUND(SUMIFS($K$2:$K$618,$B$2:$B$618,$B181,$C$2:$C$618,$C181,$D$2:$D$618,"Energy products",$E$2:$E$618,"Supply",$G$2:$G$618,"&lt;&gt;STAT")-SUMIFS($K$2:$K$618,$B$2:$B$618,$B181,$C$2:$C$618,$C181,$D$2:$D$618,"Energy products",$E$2:$E$618,"Use",$G$2:$G$618,"&lt;&gt;STAT"),10),IF($J181="cambio de signo",-INDEX(DATOS_MODELO!$U$2:$U$3672,MATCH($H181,DATOS_MODELO!$B$2:$B$3672,0)),IF($J181="valor absoluto",ABS(INDEX(DATOS_MODELO!$U$2:$U$3672,MATCH($H181,DATOS_MODELO!$B$2:$B$3672,0))),INDEX(DATOS_MODELO!$U$2:$U$3672,MATCH($H181,DATOS_MODELO!$B$2:$B$3672,0))))))</f>
        <v>0.0</v>
      </c>
      <c r="L181" s="8" t="str">
        <f aca="false">IF(LEFT($H181,5)&lt;&gt;"STAT_","",IF(ABS($K181)&lt;=COUNTIFS($B$2:$B$618,$B181,$C$2:$C$618,$C181,$D$2:$D$618,"Energy products",$G$2:$G$618,"&lt;&gt;STAT")*PARAMETROS!$B$6,"redondeo","residuo_estadistico"))</f>
        <v/>
      </c>
      <c r="M181" s="8" t="str">
        <f>IF(OR($I181="USO_NO_ENERGETICO_APARENTE",$I181="USO_ENERGETICO_INTERNO_APARENTE"),"CAL",IF(LEFT($H181,5)="STAT_","FORMULA",IF(COUNTIF(DATOS_MODELO!$B$2:$B$3672,$H181)=1,"OK","REVISAR")))</f>
        <v>OK</v>
      </c>
    </row>
    <row r="182" customFormat="false" ht="15" hidden="false" customHeight="false" outlineLevel="0" collapsed="false">
      <c r="A182" s="4" t="s">
        <v>2424</v>
      </c>
      <c r="B182" s="12" t="n">
        <v>2022</v>
      </c>
      <c r="C182" s="4" t="s">
        <v>76</v>
      </c>
      <c r="D182" s="4" t="s">
        <v>1993</v>
      </c>
      <c r="E182" s="4" t="s">
        <v>1994</v>
      </c>
      <c r="F182" s="4" t="s">
        <v>1995</v>
      </c>
      <c r="G182" s="4" t="s">
        <v>66</v>
      </c>
      <c r="H182" s="4" t="s">
        <v>1187</v>
      </c>
      <c r="I182" s="4" t="s">
        <v>2019</v>
      </c>
      <c r="J182" s="4" t="s">
        <v>1997</v>
      </c>
      <c r="K182" s="14">
        <f>IF(OR($I182="USO_NO_ENERGETICO_APARENTE",$I182="USO_ENERGETICO_INTERNO_APARENTE"),ROUND(SUMIFS($K$2:$K$618,$B$2:$B$618,$B182,$C$2:$C$618,$C182,$D$2:$D$618,"Energy products",$E$2:$E$618,"Supply",$G$2:$G$618,"&lt;&gt;STAT")-SUMIFS($K$2:$K$618,$B$2:$B$618,$B182,$C$2:$C$618,$C182,$D$2:$D$618,"Energy products",$E$2:$E$618,"Use",$G$2:$G$618,"&lt;&gt;STAT",$I$2:$I$618,"&lt;&gt;USO_NO_ENERGETICO_APARENTE",$I$2:$I$618,"&lt;&gt;USO_ENERGETICO_INTERNO_APARENTE"),10),IF(LEFT($H182,5)="STAT_",ROUND(SUMIFS($K$2:$K$618,$B$2:$B$618,$B182,$C$2:$C$618,$C182,$D$2:$D$618,"Energy products",$E$2:$E$618,"Supply",$G$2:$G$618,"&lt;&gt;STAT")-SUMIFS($K$2:$K$618,$B$2:$B$618,$B182,$C$2:$C$618,$C182,$D$2:$D$618,"Energy products",$E$2:$E$618,"Use",$G$2:$G$618,"&lt;&gt;STAT"),10),IF($J182="cambio de signo",-INDEX(DATOS_MODELO!$U$2:$U$3672,MATCH($H182,DATOS_MODELO!$B$2:$B$3672,0)),IF($J182="valor absoluto",ABS(INDEX(DATOS_MODELO!$U$2:$U$3672,MATCH($H182,DATOS_MODELO!$B$2:$B$3672,0))),INDEX(DATOS_MODELO!$U$2:$U$3672,MATCH($H182,DATOS_MODELO!$B$2:$B$3672,0))))))</f>
        <v>0.0</v>
      </c>
      <c r="L182" s="8" t="str">
        <f aca="false">IF(LEFT($H182,5)&lt;&gt;"STAT_","",IF(ABS($K182)&lt;=COUNTIFS($B$2:$B$618,$B182,$C$2:$C$618,$C182,$D$2:$D$618,"Energy products",$G$2:$G$618,"&lt;&gt;STAT")*PARAMETROS!$B$6,"redondeo","residuo_estadistico"))</f>
        <v/>
      </c>
      <c r="M182" s="8" t="str">
        <f>IF(OR($I182="USO_NO_ENERGETICO_APARENTE",$I182="USO_ENERGETICO_INTERNO_APARENTE"),"CAL",IF(LEFT($H182,5)="STAT_","FORMULA",IF(COUNTIF(DATOS_MODELO!$B$2:$B$3672,$H182)=1,"OK","REVISAR")))</f>
        <v>OK</v>
      </c>
    </row>
    <row r="183" customFormat="false" ht="15" hidden="false" customHeight="false" outlineLevel="0" collapsed="false">
      <c r="A183" s="4" t="s">
        <v>2426</v>
      </c>
      <c r="B183" s="12" t="n">
        <v>2022</v>
      </c>
      <c r="C183" s="4" t="s">
        <v>76</v>
      </c>
      <c r="D183" s="4" t="s">
        <v>1993</v>
      </c>
      <c r="E183" s="4" t="s">
        <v>1994</v>
      </c>
      <c r="F183" s="4" t="s">
        <v>2029</v>
      </c>
      <c r="G183" s="4" t="s">
        <v>69</v>
      </c>
      <c r="H183" s="4" t="s">
        <v>1188</v>
      </c>
      <c r="I183" s="4" t="s">
        <v>2030</v>
      </c>
      <c r="J183" s="4" t="s">
        <v>1997</v>
      </c>
      <c r="K183" s="14">
        <f>IF(OR($I183="USO_NO_ENERGETICO_APARENTE",$I183="USO_ENERGETICO_INTERNO_APARENTE"),ROUND(SUMIFS($K$2:$K$618,$B$2:$B$618,$B183,$C$2:$C$618,$C183,$D$2:$D$618,"Energy products",$E$2:$E$618,"Supply",$G$2:$G$618,"&lt;&gt;STAT")-SUMIFS($K$2:$K$618,$B$2:$B$618,$B183,$C$2:$C$618,$C183,$D$2:$D$618,"Energy products",$E$2:$E$618,"Use",$G$2:$G$618,"&lt;&gt;STAT",$I$2:$I$618,"&lt;&gt;USO_NO_ENERGETICO_APARENTE",$I$2:$I$618,"&lt;&gt;USO_ENERGETICO_INTERNO_APARENTE"),10),IF(LEFT($H183,5)="STAT_",ROUND(SUMIFS($K$2:$K$618,$B$2:$B$618,$B183,$C$2:$C$618,$C183,$D$2:$D$618,"Energy products",$E$2:$E$618,"Supply",$G$2:$G$618,"&lt;&gt;STAT")-SUMIFS($K$2:$K$618,$B$2:$B$618,$B183,$C$2:$C$618,$C183,$D$2:$D$618,"Energy products",$E$2:$E$618,"Use",$G$2:$G$618,"&lt;&gt;STAT"),10),IF($J183="cambio de signo",-INDEX(DATOS_MODELO!$U$2:$U$3672,MATCH($H183,DATOS_MODELO!$B$2:$B$3672,0)),IF($J183="valor absoluto",ABS(INDEX(DATOS_MODELO!$U$2:$U$3672,MATCH($H183,DATOS_MODELO!$B$2:$B$3672,0))),INDEX(DATOS_MODELO!$U$2:$U$3672,MATCH($H183,DATOS_MODELO!$B$2:$B$3672,0))))))</f>
        <v>26414.2354</v>
      </c>
      <c r="L183" s="8" t="str">
        <f aca="false">IF(LEFT($H183,5)&lt;&gt;"STAT_","",IF(ABS($K183)&lt;=COUNTIFS($B$2:$B$618,$B183,$C$2:$C$618,$C183,$D$2:$D$618,"Energy products",$G$2:$G$618,"&lt;&gt;STAT")*PARAMETROS!$B$6,"redondeo","residuo_estadistico"))</f>
        <v/>
      </c>
      <c r="M183" s="8" t="str">
        <f>IF(OR($I183="USO_NO_ENERGETICO_APARENTE",$I183="USO_ENERGETICO_INTERNO_APARENTE"),"CAL",IF(LEFT($H183,5)="STAT_","FORMULA",IF(COUNTIF(DATOS_MODELO!$B$2:$B$3672,$H183)=1,"OK","REVISAR")))</f>
        <v>OK</v>
      </c>
    </row>
    <row r="184" customFormat="false" ht="15" hidden="false" customHeight="false" outlineLevel="0" collapsed="false">
      <c r="A184" s="4" t="s">
        <v>2428</v>
      </c>
      <c r="B184" s="12" t="n">
        <v>2022</v>
      </c>
      <c r="C184" s="4" t="s">
        <v>76</v>
      </c>
      <c r="D184" s="4" t="s">
        <v>1993</v>
      </c>
      <c r="E184" s="4" t="s">
        <v>2001</v>
      </c>
      <c r="F184" s="4" t="s">
        <v>2034</v>
      </c>
      <c r="G184" s="4" t="s">
        <v>74</v>
      </c>
      <c r="H184" s="4" t="s">
        <v>1190</v>
      </c>
      <c r="I184" s="4" t="s">
        <v>2035</v>
      </c>
      <c r="J184" s="4" t="s">
        <v>2036</v>
      </c>
      <c r="K184" s="14">
        <f>IF(OR($I184="USO_NO_ENERGETICO_APARENTE",$I184="USO_ENERGETICO_INTERNO_APARENTE"),ROUND(SUMIFS($K$2:$K$618,$B$2:$B$618,$B184,$C$2:$C$618,$C184,$D$2:$D$618,"Energy products",$E$2:$E$618,"Supply",$G$2:$G$618,"&lt;&gt;STAT")-SUMIFS($K$2:$K$618,$B$2:$B$618,$B184,$C$2:$C$618,$C184,$D$2:$D$618,"Energy products",$E$2:$E$618,"Use",$G$2:$G$618,"&lt;&gt;STAT",$I$2:$I$618,"&lt;&gt;USO_NO_ENERGETICO_APARENTE",$I$2:$I$618,"&lt;&gt;USO_ENERGETICO_INTERNO_APARENTE"),10),IF(LEFT($H184,5)="STAT_",ROUND(SUMIFS($K$2:$K$618,$B$2:$B$618,$B184,$C$2:$C$618,$C184,$D$2:$D$618,"Energy products",$E$2:$E$618,"Supply",$G$2:$G$618,"&lt;&gt;STAT")-SUMIFS($K$2:$K$618,$B$2:$B$618,$B184,$C$2:$C$618,$C184,$D$2:$D$618,"Energy products",$E$2:$E$618,"Use",$G$2:$G$618,"&lt;&gt;STAT"),10),IF($J184="cambio de signo",-INDEX(DATOS_MODELO!$U$2:$U$3672,MATCH($H184,DATOS_MODELO!$B$2:$B$3672,0)),IF($J184="valor absoluto",ABS(INDEX(DATOS_MODELO!$U$2:$U$3672,MATCH($H184,DATOS_MODELO!$B$2:$B$3672,0))),INDEX(DATOS_MODELO!$U$2:$U$3672,MATCH($H184,DATOS_MODELO!$B$2:$B$3672,0))))))</f>
        <v>10465.0882</v>
      </c>
      <c r="L184" s="8" t="str">
        <f aca="false">IF(LEFT($H184,5)&lt;&gt;"STAT_","",IF(ABS($K184)&lt;=COUNTIFS($B$2:$B$618,$B184,$C$2:$C$618,$C184,$D$2:$D$618,"Energy products",$G$2:$G$618,"&lt;&gt;STAT")*PARAMETROS!$B$6,"redondeo","residuo_estadistico"))</f>
        <v/>
      </c>
      <c r="M184" s="8" t="str">
        <f>IF(OR($I184="USO_NO_ENERGETICO_APARENTE",$I184="USO_ENERGETICO_INTERNO_APARENTE"),"CAL",IF(LEFT($H184,5)="STAT_","FORMULA",IF(COUNTIF(DATOS_MODELO!$B$2:$B$3672,$H184)=1,"OK","REVISAR")))</f>
        <v>OK</v>
      </c>
    </row>
    <row r="185" customFormat="false" ht="15" hidden="false" customHeight="false" outlineLevel="0" collapsed="false">
      <c r="A185" s="4" t="s">
        <v>2430</v>
      </c>
      <c r="B185" s="12" t="n">
        <v>2022</v>
      </c>
      <c r="C185" s="4" t="s">
        <v>76</v>
      </c>
      <c r="D185" s="4" t="s">
        <v>1993</v>
      </c>
      <c r="E185" s="4" t="s">
        <v>2001</v>
      </c>
      <c r="F185" s="4" t="s">
        <v>2002</v>
      </c>
      <c r="G185" s="4" t="s">
        <v>67</v>
      </c>
      <c r="H185" s="4" t="s">
        <v>1192</v>
      </c>
      <c r="I185" s="4" t="s">
        <v>2003</v>
      </c>
      <c r="J185" s="4" t="s">
        <v>2004</v>
      </c>
      <c r="K185" s="14">
        <f>IF(OR($I185="USO_NO_ENERGETICO_APARENTE",$I185="USO_ENERGETICO_INTERNO_APARENTE"),ROUND(SUMIFS($K$2:$K$618,$B$2:$B$618,$B185,$C$2:$C$618,$C185,$D$2:$D$618,"Energy products",$E$2:$E$618,"Supply",$G$2:$G$618,"&lt;&gt;STAT")-SUMIFS($K$2:$K$618,$B$2:$B$618,$B185,$C$2:$C$618,$C185,$D$2:$D$618,"Energy products",$E$2:$E$618,"Use",$G$2:$G$618,"&lt;&gt;STAT",$I$2:$I$618,"&lt;&gt;USO_NO_ENERGETICO_APARENTE",$I$2:$I$618,"&lt;&gt;USO_ENERGETICO_INTERNO_APARENTE"),10),IF(LEFT($H185,5)="STAT_",ROUND(SUMIFS($K$2:$K$618,$B$2:$B$618,$B185,$C$2:$C$618,$C185,$D$2:$D$618,"Energy products",$E$2:$E$618,"Supply",$G$2:$G$618,"&lt;&gt;STAT")-SUMIFS($K$2:$K$618,$B$2:$B$618,$B185,$C$2:$C$618,$C185,$D$2:$D$618,"Energy products",$E$2:$E$618,"Use",$G$2:$G$618,"&lt;&gt;STAT"),10),IF($J185="cambio de signo",-INDEX(DATOS_MODELO!$U$2:$U$3672,MATCH($H185,DATOS_MODELO!$B$2:$B$3672,0)),IF($J185="valor absoluto",ABS(INDEX(DATOS_MODELO!$U$2:$U$3672,MATCH($H185,DATOS_MODELO!$B$2:$B$3672,0))),INDEX(DATOS_MODELO!$U$2:$U$3672,MATCH($H185,DATOS_MODELO!$B$2:$B$3672,0))))))</f>
        <v>15343.1061</v>
      </c>
      <c r="L185" s="8" t="str">
        <f aca="false">IF(LEFT($H185,5)&lt;&gt;"STAT_","",IF(ABS($K185)&lt;=COUNTIFS($B$2:$B$618,$B185,$C$2:$C$618,$C185,$D$2:$D$618,"Energy products",$G$2:$G$618,"&lt;&gt;STAT")*PARAMETROS!$B$6,"redondeo","residuo_estadistico"))</f>
        <v/>
      </c>
      <c r="M185" s="8" t="str">
        <f>IF(OR($I185="USO_NO_ENERGETICO_APARENTE",$I185="USO_ENERGETICO_INTERNO_APARENTE"),"CAL",IF(LEFT($H185,5)="STAT_","FORMULA",IF(COUNTIF(DATOS_MODELO!$B$2:$B$3672,$H185)=1,"OK","REVISAR")))</f>
        <v>OK</v>
      </c>
    </row>
    <row r="186" customFormat="false" ht="15" hidden="false" customHeight="false" outlineLevel="0" collapsed="false">
      <c r="A186" s="4" t="s">
        <v>2432</v>
      </c>
      <c r="B186" s="12" t="n">
        <v>2022</v>
      </c>
      <c r="C186" s="4" t="s">
        <v>76</v>
      </c>
      <c r="D186" s="4" t="s">
        <v>1993</v>
      </c>
      <c r="E186" s="4" t="s">
        <v>2001</v>
      </c>
      <c r="F186" s="4" t="s">
        <v>2002</v>
      </c>
      <c r="G186" s="4" t="s">
        <v>67</v>
      </c>
      <c r="H186" s="4" t="s">
        <v>1193</v>
      </c>
      <c r="I186" s="4" t="s">
        <v>2008</v>
      </c>
      <c r="J186" s="4" t="s">
        <v>2004</v>
      </c>
      <c r="K186" s="14">
        <f>IF(OR($I186="USO_NO_ENERGETICO_APARENTE",$I186="USO_ENERGETICO_INTERNO_APARENTE"),ROUND(SUMIFS($K$2:$K$618,$B$2:$B$618,$B186,$C$2:$C$618,$C186,$D$2:$D$618,"Energy products",$E$2:$E$618,"Supply",$G$2:$G$618,"&lt;&gt;STAT")-SUMIFS($K$2:$K$618,$B$2:$B$618,$B186,$C$2:$C$618,$C186,$D$2:$D$618,"Energy products",$E$2:$E$618,"Use",$G$2:$G$618,"&lt;&gt;STAT",$I$2:$I$618,"&lt;&gt;USO_NO_ENERGETICO_APARENTE",$I$2:$I$618,"&lt;&gt;USO_ENERGETICO_INTERNO_APARENTE"),10),IF(LEFT($H186,5)="STAT_",ROUND(SUMIFS($K$2:$K$618,$B$2:$B$618,$B186,$C$2:$C$618,$C186,$D$2:$D$618,"Energy products",$E$2:$E$618,"Supply",$G$2:$G$618,"&lt;&gt;STAT")-SUMIFS($K$2:$K$618,$B$2:$B$618,$B186,$C$2:$C$618,$C186,$D$2:$D$618,"Energy products",$E$2:$E$618,"Use",$G$2:$G$618,"&lt;&gt;STAT"),10),IF($J186="cambio de signo",-INDEX(DATOS_MODELO!$U$2:$U$3672,MATCH($H186,DATOS_MODELO!$B$2:$B$3672,0)),IF($J186="valor absoluto",ABS(INDEX(DATOS_MODELO!$U$2:$U$3672,MATCH($H186,DATOS_MODELO!$B$2:$B$3672,0))),INDEX(DATOS_MODELO!$U$2:$U$3672,MATCH($H186,DATOS_MODELO!$B$2:$B$3672,0))))))</f>
        <v>605.983</v>
      </c>
      <c r="L186" s="8" t="str">
        <f aca="false">IF(LEFT($H186,5)&lt;&gt;"STAT_","",IF(ABS($K186)&lt;=COUNTIFS($B$2:$B$618,$B186,$C$2:$C$618,$C186,$D$2:$D$618,"Energy products",$G$2:$G$618,"&lt;&gt;STAT")*PARAMETROS!$B$6,"redondeo","residuo_estadistico"))</f>
        <v/>
      </c>
      <c r="M186" s="8" t="str">
        <f>IF(OR($I186="USO_NO_ENERGETICO_APARENTE",$I186="USO_ENERGETICO_INTERNO_APARENTE"),"CAL",IF(LEFT($H186,5)="STAT_","FORMULA",IF(COUNTIF(DATOS_MODELO!$B$2:$B$3672,$H186)=1,"OK","REVISAR")))</f>
        <v>OK</v>
      </c>
    </row>
    <row r="187" customFormat="false" ht="15" hidden="false" customHeight="false" outlineLevel="0" collapsed="false">
      <c r="A187" s="4" t="s">
        <v>2434</v>
      </c>
      <c r="B187" s="12" t="n">
        <v>2022</v>
      </c>
      <c r="C187" s="4" t="s">
        <v>78</v>
      </c>
      <c r="D187" s="4" t="s">
        <v>2018</v>
      </c>
      <c r="E187" s="4" t="s">
        <v>1994</v>
      </c>
      <c r="F187" s="4" t="s">
        <v>65</v>
      </c>
      <c r="G187" s="4" t="s">
        <v>64</v>
      </c>
      <c r="H187" s="4" t="s">
        <v>1201</v>
      </c>
      <c r="I187" s="4" t="s">
        <v>2044</v>
      </c>
      <c r="J187" s="4" t="s">
        <v>1997</v>
      </c>
      <c r="K187" s="14">
        <f>IF(OR($I187="USO_NO_ENERGETICO_APARENTE",$I187="USO_ENERGETICO_INTERNO_APARENTE"),ROUND(SUMIFS($K$2:$K$618,$B$2:$B$618,$B187,$C$2:$C$618,$C187,$D$2:$D$618,"Energy products",$E$2:$E$618,"Supply",$G$2:$G$618,"&lt;&gt;STAT")-SUMIFS($K$2:$K$618,$B$2:$B$618,$B187,$C$2:$C$618,$C187,$D$2:$D$618,"Energy products",$E$2:$E$618,"Use",$G$2:$G$618,"&lt;&gt;STAT",$I$2:$I$618,"&lt;&gt;USO_NO_ENERGETICO_APARENTE",$I$2:$I$618,"&lt;&gt;USO_ENERGETICO_INTERNO_APARENTE"),10),IF(LEFT($H187,5)="STAT_",ROUND(SUMIFS($K$2:$K$618,$B$2:$B$618,$B187,$C$2:$C$618,$C187,$D$2:$D$618,"Energy products",$E$2:$E$618,"Supply",$G$2:$G$618,"&lt;&gt;STAT")-SUMIFS($K$2:$K$618,$B$2:$B$618,$B187,$C$2:$C$618,$C187,$D$2:$D$618,"Energy products",$E$2:$E$618,"Use",$G$2:$G$618,"&lt;&gt;STAT"),10),IF($J187="cambio de signo",-INDEX(DATOS_MODELO!$U$2:$U$3672,MATCH($H187,DATOS_MODELO!$B$2:$B$3672,0)),IF($J187="valor absoluto",ABS(INDEX(DATOS_MODELO!$U$2:$U$3672,MATCH($H187,DATOS_MODELO!$B$2:$B$3672,0))),INDEX(DATOS_MODELO!$U$2:$U$3672,MATCH($H187,DATOS_MODELO!$B$2:$B$3672,0))))))</f>
        <v>1135.2159</v>
      </c>
      <c r="L187" s="8" t="str">
        <f aca="false">IF(LEFT($H187,5)&lt;&gt;"STAT_","",IF(ABS($K187)&lt;=COUNTIFS($B$2:$B$618,$B187,$C$2:$C$618,$C187,$D$2:$D$618,"Energy products",$G$2:$G$618,"&lt;&gt;STAT")*PARAMETROS!$B$6,"redondeo","residuo_estadistico"))</f>
        <v/>
      </c>
      <c r="M187" s="8" t="str">
        <f>IF(OR($I187="USO_NO_ENERGETICO_APARENTE",$I187="USO_ENERGETICO_INTERNO_APARENTE"),"CAL",IF(LEFT($H187,5)="STAT_","FORMULA",IF(COUNTIF(DATOS_MODELO!$B$2:$B$3672,$H187)=1,"OK","REVISAR")))</f>
        <v>OK</v>
      </c>
    </row>
    <row r="188" customFormat="false" ht="15" hidden="false" customHeight="false" outlineLevel="0" collapsed="false">
      <c r="A188" s="4" t="s">
        <v>2436</v>
      </c>
      <c r="B188" s="12" t="n">
        <v>2022</v>
      </c>
      <c r="C188" s="4" t="s">
        <v>78</v>
      </c>
      <c r="D188" s="4" t="s">
        <v>2018</v>
      </c>
      <c r="E188" s="4" t="s">
        <v>2001</v>
      </c>
      <c r="F188" s="4" t="s">
        <v>66</v>
      </c>
      <c r="G188" s="4" t="s">
        <v>67</v>
      </c>
      <c r="H188" s="4" t="s">
        <v>1206</v>
      </c>
      <c r="I188" s="4" t="s">
        <v>2003</v>
      </c>
      <c r="J188" s="4" t="s">
        <v>2004</v>
      </c>
      <c r="K188" s="14">
        <f>IF(OR($I188="USO_NO_ENERGETICO_APARENTE",$I188="USO_ENERGETICO_INTERNO_APARENTE"),ROUND(SUMIFS($K$2:$K$618,$B$2:$B$618,$B188,$C$2:$C$618,$C188,$D$2:$D$618,"Energy products",$E$2:$E$618,"Supply",$G$2:$G$618,"&lt;&gt;STAT")-SUMIFS($K$2:$K$618,$B$2:$B$618,$B188,$C$2:$C$618,$C188,$D$2:$D$618,"Energy products",$E$2:$E$618,"Use",$G$2:$G$618,"&lt;&gt;STAT",$I$2:$I$618,"&lt;&gt;USO_NO_ENERGETICO_APARENTE",$I$2:$I$618,"&lt;&gt;USO_ENERGETICO_INTERNO_APARENTE"),10),IF(LEFT($H188,5)="STAT_",ROUND(SUMIFS($K$2:$K$618,$B$2:$B$618,$B188,$C$2:$C$618,$C188,$D$2:$D$618,"Energy products",$E$2:$E$618,"Supply",$G$2:$G$618,"&lt;&gt;STAT")-SUMIFS($K$2:$K$618,$B$2:$B$618,$B188,$C$2:$C$618,$C188,$D$2:$D$618,"Energy products",$E$2:$E$618,"Use",$G$2:$G$618,"&lt;&gt;STAT"),10),IF($J188="cambio de signo",-INDEX(DATOS_MODELO!$U$2:$U$3672,MATCH($H188,DATOS_MODELO!$B$2:$B$3672,0)),IF($J188="valor absoluto",ABS(INDEX(DATOS_MODELO!$U$2:$U$3672,MATCH($H188,DATOS_MODELO!$B$2:$B$3672,0))),INDEX(DATOS_MODELO!$U$2:$U$3672,MATCH($H188,DATOS_MODELO!$B$2:$B$3672,0))))))</f>
        <v>1135.2159</v>
      </c>
      <c r="L188" s="8" t="str">
        <f aca="false">IF(LEFT($H188,5)&lt;&gt;"STAT_","",IF(ABS($K188)&lt;=COUNTIFS($B$2:$B$618,$B188,$C$2:$C$618,$C188,$D$2:$D$618,"Energy products",$G$2:$G$618,"&lt;&gt;STAT")*PARAMETROS!$B$6,"redondeo","residuo_estadistico"))</f>
        <v/>
      </c>
      <c r="M188" s="8" t="str">
        <f>IF(OR($I188="USO_NO_ENERGETICO_APARENTE",$I188="USO_ENERGETICO_INTERNO_APARENTE"),"CAL",IF(LEFT($H188,5)="STAT_","FORMULA",IF(COUNTIF(DATOS_MODELO!$B$2:$B$3672,$H188)=1,"OK","REVISAR")))</f>
        <v>OK</v>
      </c>
    </row>
    <row r="189" customFormat="false" ht="15" hidden="false" customHeight="false" outlineLevel="0" collapsed="false">
      <c r="A189" s="4" t="s">
        <v>2438</v>
      </c>
      <c r="B189" s="12" t="n">
        <v>2022</v>
      </c>
      <c r="C189" s="4" t="s">
        <v>80</v>
      </c>
      <c r="D189" s="4" t="s">
        <v>2018</v>
      </c>
      <c r="E189" s="4" t="s">
        <v>1994</v>
      </c>
      <c r="F189" s="4" t="s">
        <v>65</v>
      </c>
      <c r="G189" s="4" t="s">
        <v>64</v>
      </c>
      <c r="H189" s="4" t="s">
        <v>1215</v>
      </c>
      <c r="I189" s="4" t="s">
        <v>2044</v>
      </c>
      <c r="J189" s="4" t="s">
        <v>1997</v>
      </c>
      <c r="K189" s="14">
        <f>IF(OR($I189="USO_NO_ENERGETICO_APARENTE",$I189="USO_ENERGETICO_INTERNO_APARENTE"),ROUND(SUMIFS($K$2:$K$618,$B$2:$B$618,$B189,$C$2:$C$618,$C189,$D$2:$D$618,"Energy products",$E$2:$E$618,"Supply",$G$2:$G$618,"&lt;&gt;STAT")-SUMIFS($K$2:$K$618,$B$2:$B$618,$B189,$C$2:$C$618,$C189,$D$2:$D$618,"Energy products",$E$2:$E$618,"Use",$G$2:$G$618,"&lt;&gt;STAT",$I$2:$I$618,"&lt;&gt;USO_NO_ENERGETICO_APARENTE",$I$2:$I$618,"&lt;&gt;USO_ENERGETICO_INTERNO_APARENTE"),10),IF(LEFT($H189,5)="STAT_",ROUND(SUMIFS($K$2:$K$618,$B$2:$B$618,$B189,$C$2:$C$618,$C189,$D$2:$D$618,"Energy products",$E$2:$E$618,"Supply",$G$2:$G$618,"&lt;&gt;STAT")-SUMIFS($K$2:$K$618,$B$2:$B$618,$B189,$C$2:$C$618,$C189,$D$2:$D$618,"Energy products",$E$2:$E$618,"Use",$G$2:$G$618,"&lt;&gt;STAT"),10),IF($J189="cambio de signo",-INDEX(DATOS_MODELO!$U$2:$U$3672,MATCH($H189,DATOS_MODELO!$B$2:$B$3672,0)),IF($J189="valor absoluto",ABS(INDEX(DATOS_MODELO!$U$2:$U$3672,MATCH($H189,DATOS_MODELO!$B$2:$B$3672,0))),INDEX(DATOS_MODELO!$U$2:$U$3672,MATCH($H189,DATOS_MODELO!$B$2:$B$3672,0))))))</f>
        <v>11866.4602</v>
      </c>
      <c r="L189" s="8" t="str">
        <f aca="false">IF(LEFT($H189,5)&lt;&gt;"STAT_","",IF(ABS($K189)&lt;=COUNTIFS($B$2:$B$618,$B189,$C$2:$C$618,$C189,$D$2:$D$618,"Energy products",$G$2:$G$618,"&lt;&gt;STAT")*PARAMETROS!$B$6,"redondeo","residuo_estadistico"))</f>
        <v/>
      </c>
      <c r="M189" s="8" t="str">
        <f>IF(OR($I189="USO_NO_ENERGETICO_APARENTE",$I189="USO_ENERGETICO_INTERNO_APARENTE"),"CAL",IF(LEFT($H189,5)="STAT_","FORMULA",IF(COUNTIF(DATOS_MODELO!$B$2:$B$3672,$H189)=1,"OK","REVISAR")))</f>
        <v>OK</v>
      </c>
    </row>
    <row r="190" customFormat="false" ht="15" hidden="false" customHeight="false" outlineLevel="0" collapsed="false">
      <c r="A190" s="4" t="s">
        <v>2440</v>
      </c>
      <c r="B190" s="12" t="n">
        <v>2022</v>
      </c>
      <c r="C190" s="4" t="s">
        <v>80</v>
      </c>
      <c r="D190" s="4" t="s">
        <v>2018</v>
      </c>
      <c r="E190" s="4" t="s">
        <v>2001</v>
      </c>
      <c r="F190" s="4" t="s">
        <v>66</v>
      </c>
      <c r="G190" s="4" t="s">
        <v>67</v>
      </c>
      <c r="H190" s="4" t="s">
        <v>1220</v>
      </c>
      <c r="I190" s="4" t="s">
        <v>2003</v>
      </c>
      <c r="J190" s="4" t="s">
        <v>2004</v>
      </c>
      <c r="K190" s="14">
        <f>IF(OR($I190="USO_NO_ENERGETICO_APARENTE",$I190="USO_ENERGETICO_INTERNO_APARENTE"),ROUND(SUMIFS($K$2:$K$618,$B$2:$B$618,$B190,$C$2:$C$618,$C190,$D$2:$D$618,"Energy products",$E$2:$E$618,"Supply",$G$2:$G$618,"&lt;&gt;STAT")-SUMIFS($K$2:$K$618,$B$2:$B$618,$B190,$C$2:$C$618,$C190,$D$2:$D$618,"Energy products",$E$2:$E$618,"Use",$G$2:$G$618,"&lt;&gt;STAT",$I$2:$I$618,"&lt;&gt;USO_NO_ENERGETICO_APARENTE",$I$2:$I$618,"&lt;&gt;USO_ENERGETICO_INTERNO_APARENTE"),10),IF(LEFT($H190,5)="STAT_",ROUND(SUMIFS($K$2:$K$618,$B$2:$B$618,$B190,$C$2:$C$618,$C190,$D$2:$D$618,"Energy products",$E$2:$E$618,"Supply",$G$2:$G$618,"&lt;&gt;STAT")-SUMIFS($K$2:$K$618,$B$2:$B$618,$B190,$C$2:$C$618,$C190,$D$2:$D$618,"Energy products",$E$2:$E$618,"Use",$G$2:$G$618,"&lt;&gt;STAT"),10),IF($J190="cambio de signo",-INDEX(DATOS_MODELO!$U$2:$U$3672,MATCH($H190,DATOS_MODELO!$B$2:$B$3672,0)),IF($J190="valor absoluto",ABS(INDEX(DATOS_MODELO!$U$2:$U$3672,MATCH($H190,DATOS_MODELO!$B$2:$B$3672,0))),INDEX(DATOS_MODELO!$U$2:$U$3672,MATCH($H190,DATOS_MODELO!$B$2:$B$3672,0))))))</f>
        <v>11866.4602</v>
      </c>
      <c r="L190" s="8" t="str">
        <f aca="false">IF(LEFT($H190,5)&lt;&gt;"STAT_","",IF(ABS($K190)&lt;=COUNTIFS($B$2:$B$618,$B190,$C$2:$C$618,$C190,$D$2:$D$618,"Energy products",$G$2:$G$618,"&lt;&gt;STAT")*PARAMETROS!$B$6,"redondeo","residuo_estadistico"))</f>
        <v/>
      </c>
      <c r="M190" s="8" t="str">
        <f>IF(OR($I190="USO_NO_ENERGETICO_APARENTE",$I190="USO_ENERGETICO_INTERNO_APARENTE"),"CAL",IF(LEFT($H190,5)="STAT_","FORMULA",IF(COUNTIF(DATOS_MODELO!$B$2:$B$3672,$H190)=1,"OK","REVISAR")))</f>
        <v>OK</v>
      </c>
    </row>
    <row r="191" customFormat="false" ht="15" hidden="false" customHeight="false" outlineLevel="0" collapsed="false">
      <c r="A191" s="4" t="s">
        <v>2442</v>
      </c>
      <c r="B191" s="12" t="n">
        <v>2022</v>
      </c>
      <c r="C191" s="4" t="s">
        <v>82</v>
      </c>
      <c r="D191" s="4" t="s">
        <v>2018</v>
      </c>
      <c r="E191" s="4" t="s">
        <v>1994</v>
      </c>
      <c r="F191" s="4" t="s">
        <v>65</v>
      </c>
      <c r="G191" s="4" t="s">
        <v>64</v>
      </c>
      <c r="H191" s="4" t="s">
        <v>1229</v>
      </c>
      <c r="I191" s="4" t="s">
        <v>2019</v>
      </c>
      <c r="J191" s="4" t="s">
        <v>1997</v>
      </c>
      <c r="K191" s="14">
        <f>IF(OR($I191="USO_NO_ENERGETICO_APARENTE",$I191="USO_ENERGETICO_INTERNO_APARENTE"),ROUND(SUMIFS($K$2:$K$618,$B$2:$B$618,$B191,$C$2:$C$618,$C191,$D$2:$D$618,"Energy products",$E$2:$E$618,"Supply",$G$2:$G$618,"&lt;&gt;STAT")-SUMIFS($K$2:$K$618,$B$2:$B$618,$B191,$C$2:$C$618,$C191,$D$2:$D$618,"Energy products",$E$2:$E$618,"Use",$G$2:$G$618,"&lt;&gt;STAT",$I$2:$I$618,"&lt;&gt;USO_NO_ENERGETICO_APARENTE",$I$2:$I$618,"&lt;&gt;USO_ENERGETICO_INTERNO_APARENTE"),10),IF(LEFT($H191,5)="STAT_",ROUND(SUMIFS($K$2:$K$618,$B$2:$B$618,$B191,$C$2:$C$618,$C191,$D$2:$D$618,"Energy products",$E$2:$E$618,"Supply",$G$2:$G$618,"&lt;&gt;STAT")-SUMIFS($K$2:$K$618,$B$2:$B$618,$B191,$C$2:$C$618,$C191,$D$2:$D$618,"Energy products",$E$2:$E$618,"Use",$G$2:$G$618,"&lt;&gt;STAT"),10),IF($J191="cambio de signo",-INDEX(DATOS_MODELO!$U$2:$U$3672,MATCH($H191,DATOS_MODELO!$B$2:$B$3672,0)),IF($J191="valor absoluto",ABS(INDEX(DATOS_MODELO!$U$2:$U$3672,MATCH($H191,DATOS_MODELO!$B$2:$B$3672,0))),INDEX(DATOS_MODELO!$U$2:$U$3672,MATCH($H191,DATOS_MODELO!$B$2:$B$3672,0))))))</f>
        <v>43.2264</v>
      </c>
      <c r="L191" s="8" t="str">
        <f aca="false">IF(LEFT($H191,5)&lt;&gt;"STAT_","",IF(ABS($K191)&lt;=COUNTIFS($B$2:$B$618,$B191,$C$2:$C$618,$C191,$D$2:$D$618,"Energy products",$G$2:$G$618,"&lt;&gt;STAT")*PARAMETROS!$B$6,"redondeo","residuo_estadistico"))</f>
        <v/>
      </c>
      <c r="M191" s="8" t="str">
        <f>IF(OR($I191="USO_NO_ENERGETICO_APARENTE",$I191="USO_ENERGETICO_INTERNO_APARENTE"),"CAL",IF(LEFT($H191,5)="STAT_","FORMULA",IF(COUNTIF(DATOS_MODELO!$B$2:$B$3672,$H191)=1,"OK","REVISAR")))</f>
        <v>OK</v>
      </c>
    </row>
    <row r="192" customFormat="false" ht="15" hidden="false" customHeight="false" outlineLevel="0" collapsed="false">
      <c r="A192" s="4" t="s">
        <v>2444</v>
      </c>
      <c r="B192" s="12" t="n">
        <v>2022</v>
      </c>
      <c r="C192" s="4" t="s">
        <v>82</v>
      </c>
      <c r="D192" s="4" t="s">
        <v>2018</v>
      </c>
      <c r="E192" s="4" t="s">
        <v>2001</v>
      </c>
      <c r="F192" s="4" t="s">
        <v>66</v>
      </c>
      <c r="G192" s="4" t="s">
        <v>66</v>
      </c>
      <c r="H192" s="4" t="s">
        <v>1229</v>
      </c>
      <c r="I192" s="4" t="s">
        <v>2019</v>
      </c>
      <c r="J192" s="4" t="s">
        <v>1997</v>
      </c>
      <c r="K192" s="14">
        <f>IF(OR($I192="USO_NO_ENERGETICO_APARENTE",$I192="USO_ENERGETICO_INTERNO_APARENTE"),ROUND(SUMIFS($K$2:$K$618,$B$2:$B$618,$B192,$C$2:$C$618,$C192,$D$2:$D$618,"Energy products",$E$2:$E$618,"Supply",$G$2:$G$618,"&lt;&gt;STAT")-SUMIFS($K$2:$K$618,$B$2:$B$618,$B192,$C$2:$C$618,$C192,$D$2:$D$618,"Energy products",$E$2:$E$618,"Use",$G$2:$G$618,"&lt;&gt;STAT",$I$2:$I$618,"&lt;&gt;USO_NO_ENERGETICO_APARENTE",$I$2:$I$618,"&lt;&gt;USO_ENERGETICO_INTERNO_APARENTE"),10),IF(LEFT($H192,5)="STAT_",ROUND(SUMIFS($K$2:$K$618,$B$2:$B$618,$B192,$C$2:$C$618,$C192,$D$2:$D$618,"Energy products",$E$2:$E$618,"Supply",$G$2:$G$618,"&lt;&gt;STAT")-SUMIFS($K$2:$K$618,$B$2:$B$618,$B192,$C$2:$C$618,$C192,$D$2:$D$618,"Energy products",$E$2:$E$618,"Use",$G$2:$G$618,"&lt;&gt;STAT"),10),IF($J192="cambio de signo",-INDEX(DATOS_MODELO!$U$2:$U$3672,MATCH($H192,DATOS_MODELO!$B$2:$B$3672,0)),IF($J192="valor absoluto",ABS(INDEX(DATOS_MODELO!$U$2:$U$3672,MATCH($H192,DATOS_MODELO!$B$2:$B$3672,0))),INDEX(DATOS_MODELO!$U$2:$U$3672,MATCH($H192,DATOS_MODELO!$B$2:$B$3672,0))))))</f>
        <v>43.2264</v>
      </c>
      <c r="L192" s="8" t="str">
        <f aca="false">IF(LEFT($H192,5)&lt;&gt;"STAT_","",IF(ABS($K192)&lt;=COUNTIFS($B$2:$B$618,$B192,$C$2:$C$618,$C192,$D$2:$D$618,"Energy products",$G$2:$G$618,"&lt;&gt;STAT")*PARAMETROS!$B$6,"redondeo","residuo_estadistico"))</f>
        <v/>
      </c>
      <c r="M192" s="8" t="str">
        <f>IF(OR($I192="USO_NO_ENERGETICO_APARENTE",$I192="USO_ENERGETICO_INTERNO_APARENTE"),"CAL",IF(LEFT($H192,5)="STAT_","FORMULA",IF(COUNTIF(DATOS_MODELO!$B$2:$B$3672,$H192)=1,"OK","REVISAR")))</f>
        <v>OK</v>
      </c>
    </row>
    <row r="193" customFormat="false" ht="15" hidden="false" customHeight="false" outlineLevel="0" collapsed="false">
      <c r="A193" s="4" t="s">
        <v>2446</v>
      </c>
      <c r="B193" s="12" t="n">
        <v>2022</v>
      </c>
      <c r="C193" s="4" t="s">
        <v>82</v>
      </c>
      <c r="D193" s="4" t="s">
        <v>1993</v>
      </c>
      <c r="E193" s="4" t="s">
        <v>1994</v>
      </c>
      <c r="F193" s="4" t="s">
        <v>1995</v>
      </c>
      <c r="G193" s="4" t="s">
        <v>66</v>
      </c>
      <c r="H193" s="4" t="s">
        <v>1229</v>
      </c>
      <c r="I193" s="4" t="s">
        <v>2019</v>
      </c>
      <c r="J193" s="4" t="s">
        <v>1997</v>
      </c>
      <c r="K193" s="14">
        <f>IF(OR($I193="USO_NO_ENERGETICO_APARENTE",$I193="USO_ENERGETICO_INTERNO_APARENTE"),ROUND(SUMIFS($K$2:$K$618,$B$2:$B$618,$B193,$C$2:$C$618,$C193,$D$2:$D$618,"Energy products",$E$2:$E$618,"Supply",$G$2:$G$618,"&lt;&gt;STAT")-SUMIFS($K$2:$K$618,$B$2:$B$618,$B193,$C$2:$C$618,$C193,$D$2:$D$618,"Energy products",$E$2:$E$618,"Use",$G$2:$G$618,"&lt;&gt;STAT",$I$2:$I$618,"&lt;&gt;USO_NO_ENERGETICO_APARENTE",$I$2:$I$618,"&lt;&gt;USO_ENERGETICO_INTERNO_APARENTE"),10),IF(LEFT($H193,5)="STAT_",ROUND(SUMIFS($K$2:$K$618,$B$2:$B$618,$B193,$C$2:$C$618,$C193,$D$2:$D$618,"Energy products",$E$2:$E$618,"Supply",$G$2:$G$618,"&lt;&gt;STAT")-SUMIFS($K$2:$K$618,$B$2:$B$618,$B193,$C$2:$C$618,$C193,$D$2:$D$618,"Energy products",$E$2:$E$618,"Use",$G$2:$G$618,"&lt;&gt;STAT"),10),IF($J193="cambio de signo",-INDEX(DATOS_MODELO!$U$2:$U$3672,MATCH($H193,DATOS_MODELO!$B$2:$B$3672,0)),IF($J193="valor absoluto",ABS(INDEX(DATOS_MODELO!$U$2:$U$3672,MATCH($H193,DATOS_MODELO!$B$2:$B$3672,0))),INDEX(DATOS_MODELO!$U$2:$U$3672,MATCH($H193,DATOS_MODELO!$B$2:$B$3672,0))))))</f>
        <v>43.2264</v>
      </c>
      <c r="L193" s="8" t="str">
        <f aca="false">IF(LEFT($H193,5)&lt;&gt;"STAT_","",IF(ABS($K193)&lt;=COUNTIFS($B$2:$B$618,$B193,$C$2:$C$618,$C193,$D$2:$D$618,"Energy products",$G$2:$G$618,"&lt;&gt;STAT")*PARAMETROS!$B$6,"redondeo","residuo_estadistico"))</f>
        <v/>
      </c>
      <c r="M193" s="8" t="str">
        <f>IF(OR($I193="USO_NO_ENERGETICO_APARENTE",$I193="USO_ENERGETICO_INTERNO_APARENTE"),"CAL",IF(LEFT($H193,5)="STAT_","FORMULA",IF(COUNTIF(DATOS_MODELO!$B$2:$B$3672,$H193)=1,"OK","REVISAR")))</f>
        <v>OK</v>
      </c>
    </row>
    <row r="194" customFormat="false" ht="15" hidden="false" customHeight="false" outlineLevel="0" collapsed="false">
      <c r="A194" s="4" t="s">
        <v>2448</v>
      </c>
      <c r="B194" s="12" t="n">
        <v>2022</v>
      </c>
      <c r="C194" s="4" t="s">
        <v>82</v>
      </c>
      <c r="D194" s="4" t="s">
        <v>1993</v>
      </c>
      <c r="E194" s="4" t="s">
        <v>2001</v>
      </c>
      <c r="F194" s="4" t="s">
        <v>2002</v>
      </c>
      <c r="G194" s="4" t="s">
        <v>67</v>
      </c>
      <c r="H194" s="4" t="s">
        <v>1234</v>
      </c>
      <c r="I194" s="4" t="s">
        <v>2003</v>
      </c>
      <c r="J194" s="4" t="s">
        <v>2004</v>
      </c>
      <c r="K194" s="14">
        <f>IF(OR($I194="USO_NO_ENERGETICO_APARENTE",$I194="USO_ENERGETICO_INTERNO_APARENTE"),ROUND(SUMIFS($K$2:$K$618,$B$2:$B$618,$B194,$C$2:$C$618,$C194,$D$2:$D$618,"Energy products",$E$2:$E$618,"Supply",$G$2:$G$618,"&lt;&gt;STAT")-SUMIFS($K$2:$K$618,$B$2:$B$618,$B194,$C$2:$C$618,$C194,$D$2:$D$618,"Energy products",$E$2:$E$618,"Use",$G$2:$G$618,"&lt;&gt;STAT",$I$2:$I$618,"&lt;&gt;USO_NO_ENERGETICO_APARENTE",$I$2:$I$618,"&lt;&gt;USO_ENERGETICO_INTERNO_APARENTE"),10),IF(LEFT($H194,5)="STAT_",ROUND(SUMIFS($K$2:$K$618,$B$2:$B$618,$B194,$C$2:$C$618,$C194,$D$2:$D$618,"Energy products",$E$2:$E$618,"Supply",$G$2:$G$618,"&lt;&gt;STAT")-SUMIFS($K$2:$K$618,$B$2:$B$618,$B194,$C$2:$C$618,$C194,$D$2:$D$618,"Energy products",$E$2:$E$618,"Use",$G$2:$G$618,"&lt;&gt;STAT"),10),IF($J194="cambio de signo",-INDEX(DATOS_MODELO!$U$2:$U$3672,MATCH($H194,DATOS_MODELO!$B$2:$B$3672,0)),IF($J194="valor absoluto",ABS(INDEX(DATOS_MODELO!$U$2:$U$3672,MATCH($H194,DATOS_MODELO!$B$2:$B$3672,0))),INDEX(DATOS_MODELO!$U$2:$U$3672,MATCH($H194,DATOS_MODELO!$B$2:$B$3672,0))))))</f>
        <v>43.2264</v>
      </c>
      <c r="L194" s="8" t="str">
        <f aca="false">IF(LEFT($H194,5)&lt;&gt;"STAT_","",IF(ABS($K194)&lt;=COUNTIFS($B$2:$B$618,$B194,$C$2:$C$618,$C194,$D$2:$D$618,"Energy products",$G$2:$G$618,"&lt;&gt;STAT")*PARAMETROS!$B$6,"redondeo","residuo_estadistico"))</f>
        <v/>
      </c>
      <c r="M194" s="8" t="str">
        <f>IF(OR($I194="USO_NO_ENERGETICO_APARENTE",$I194="USO_ENERGETICO_INTERNO_APARENTE"),"CAL",IF(LEFT($H194,5)="STAT_","FORMULA",IF(COUNTIF(DATOS_MODELO!$B$2:$B$3672,$H194)=1,"OK","REVISAR")))</f>
        <v>OK</v>
      </c>
    </row>
    <row r="195" customFormat="false" ht="15" hidden="false" customHeight="false" outlineLevel="0" collapsed="false">
      <c r="A195" s="4" t="s">
        <v>2450</v>
      </c>
      <c r="B195" s="12" t="n">
        <v>2022</v>
      </c>
      <c r="C195" s="4" t="s">
        <v>84</v>
      </c>
      <c r="D195" s="4" t="s">
        <v>2018</v>
      </c>
      <c r="E195" s="4" t="s">
        <v>1994</v>
      </c>
      <c r="F195" s="4" t="s">
        <v>65</v>
      </c>
      <c r="G195" s="4" t="s">
        <v>64</v>
      </c>
      <c r="H195" s="4" t="s">
        <v>1243</v>
      </c>
      <c r="I195" s="4" t="s">
        <v>2044</v>
      </c>
      <c r="J195" s="4" t="s">
        <v>1997</v>
      </c>
      <c r="K195" s="14">
        <f>IF(OR($I195="USO_NO_ENERGETICO_APARENTE",$I195="USO_ENERGETICO_INTERNO_APARENTE"),ROUND(SUMIFS($K$2:$K$618,$B$2:$B$618,$B195,$C$2:$C$618,$C195,$D$2:$D$618,"Energy products",$E$2:$E$618,"Supply",$G$2:$G$618,"&lt;&gt;STAT")-SUMIFS($K$2:$K$618,$B$2:$B$618,$B195,$C$2:$C$618,$C195,$D$2:$D$618,"Energy products",$E$2:$E$618,"Use",$G$2:$G$618,"&lt;&gt;STAT",$I$2:$I$618,"&lt;&gt;USO_NO_ENERGETICO_APARENTE",$I$2:$I$618,"&lt;&gt;USO_ENERGETICO_INTERNO_APARENTE"),10),IF(LEFT($H195,5)="STAT_",ROUND(SUMIFS($K$2:$K$618,$B$2:$B$618,$B195,$C$2:$C$618,$C195,$D$2:$D$618,"Energy products",$E$2:$E$618,"Supply",$G$2:$G$618,"&lt;&gt;STAT")-SUMIFS($K$2:$K$618,$B$2:$B$618,$B195,$C$2:$C$618,$C195,$D$2:$D$618,"Energy products",$E$2:$E$618,"Use",$G$2:$G$618,"&lt;&gt;STAT"),10),IF($J195="cambio de signo",-INDEX(DATOS_MODELO!$U$2:$U$3672,MATCH($H195,DATOS_MODELO!$B$2:$B$3672,0)),IF($J195="valor absoluto",ABS(INDEX(DATOS_MODELO!$U$2:$U$3672,MATCH($H195,DATOS_MODELO!$B$2:$B$3672,0))),INDEX(DATOS_MODELO!$U$2:$U$3672,MATCH($H195,DATOS_MODELO!$B$2:$B$3672,0))))))</f>
        <v>31962.1463</v>
      </c>
      <c r="L195" s="8" t="str">
        <f aca="false">IF(LEFT($H195,5)&lt;&gt;"STAT_","",IF(ABS($K195)&lt;=COUNTIFS($B$2:$B$618,$B195,$C$2:$C$618,$C195,$D$2:$D$618,"Energy products",$G$2:$G$618,"&lt;&gt;STAT")*PARAMETROS!$B$6,"redondeo","residuo_estadistico"))</f>
        <v/>
      </c>
      <c r="M195" s="8" t="str">
        <f>IF(OR($I195="USO_NO_ENERGETICO_APARENTE",$I195="USO_ENERGETICO_INTERNO_APARENTE"),"CAL",IF(LEFT($H195,5)="STAT_","FORMULA",IF(COUNTIF(DATOS_MODELO!$B$2:$B$3672,$H195)=1,"OK","REVISAR")))</f>
        <v>OK</v>
      </c>
    </row>
    <row r="196" customFormat="false" ht="15" hidden="false" customHeight="false" outlineLevel="0" collapsed="false">
      <c r="A196" s="4" t="s">
        <v>2452</v>
      </c>
      <c r="B196" s="12" t="n">
        <v>2022</v>
      </c>
      <c r="C196" s="4" t="s">
        <v>84</v>
      </c>
      <c r="D196" s="4" t="s">
        <v>2018</v>
      </c>
      <c r="E196" s="4" t="s">
        <v>2001</v>
      </c>
      <c r="F196" s="4" t="s">
        <v>66</v>
      </c>
      <c r="G196" s="4" t="s">
        <v>67</v>
      </c>
      <c r="H196" s="4" t="s">
        <v>1248</v>
      </c>
      <c r="I196" s="4" t="s">
        <v>2003</v>
      </c>
      <c r="J196" s="4" t="s">
        <v>2004</v>
      </c>
      <c r="K196" s="14">
        <f>IF(OR($I196="USO_NO_ENERGETICO_APARENTE",$I196="USO_ENERGETICO_INTERNO_APARENTE"),ROUND(SUMIFS($K$2:$K$618,$B$2:$B$618,$B196,$C$2:$C$618,$C196,$D$2:$D$618,"Energy products",$E$2:$E$618,"Supply",$G$2:$G$618,"&lt;&gt;STAT")-SUMIFS($K$2:$K$618,$B$2:$B$618,$B196,$C$2:$C$618,$C196,$D$2:$D$618,"Energy products",$E$2:$E$618,"Use",$G$2:$G$618,"&lt;&gt;STAT",$I$2:$I$618,"&lt;&gt;USO_NO_ENERGETICO_APARENTE",$I$2:$I$618,"&lt;&gt;USO_ENERGETICO_INTERNO_APARENTE"),10),IF(LEFT($H196,5)="STAT_",ROUND(SUMIFS($K$2:$K$618,$B$2:$B$618,$B196,$C$2:$C$618,$C196,$D$2:$D$618,"Energy products",$E$2:$E$618,"Supply",$G$2:$G$618,"&lt;&gt;STAT")-SUMIFS($K$2:$K$618,$B$2:$B$618,$B196,$C$2:$C$618,$C196,$D$2:$D$618,"Energy products",$E$2:$E$618,"Use",$G$2:$G$618,"&lt;&gt;STAT"),10),IF($J196="cambio de signo",-INDEX(DATOS_MODELO!$U$2:$U$3672,MATCH($H196,DATOS_MODELO!$B$2:$B$3672,0)),IF($J196="valor absoluto",ABS(INDEX(DATOS_MODELO!$U$2:$U$3672,MATCH($H196,DATOS_MODELO!$B$2:$B$3672,0))),INDEX(DATOS_MODELO!$U$2:$U$3672,MATCH($H196,DATOS_MODELO!$B$2:$B$3672,0))))))</f>
        <v>31846.0044</v>
      </c>
      <c r="L196" s="8" t="str">
        <f aca="false">IF(LEFT($H196,5)&lt;&gt;"STAT_","",IF(ABS($K196)&lt;=COUNTIFS($B$2:$B$618,$B196,$C$2:$C$618,$C196,$D$2:$D$618,"Energy products",$G$2:$G$618,"&lt;&gt;STAT")*PARAMETROS!$B$6,"redondeo","residuo_estadistico"))</f>
        <v/>
      </c>
      <c r="M196" s="8" t="str">
        <f>IF(OR($I196="USO_NO_ENERGETICO_APARENTE",$I196="USO_ENERGETICO_INTERNO_APARENTE"),"CAL",IF(LEFT($H196,5)="STAT_","FORMULA",IF(COUNTIF(DATOS_MODELO!$B$2:$B$3672,$H196)=1,"OK","REVISAR")))</f>
        <v>OK</v>
      </c>
    </row>
    <row r="197" customFormat="false" ht="15" hidden="false" customHeight="false" outlineLevel="0" collapsed="false">
      <c r="A197" s="4" t="s">
        <v>2454</v>
      </c>
      <c r="B197" s="12" t="n">
        <v>2022</v>
      </c>
      <c r="C197" s="4" t="s">
        <v>84</v>
      </c>
      <c r="D197" s="4" t="s">
        <v>2018</v>
      </c>
      <c r="E197" s="4" t="s">
        <v>2001</v>
      </c>
      <c r="F197" s="4" t="s">
        <v>66</v>
      </c>
      <c r="G197" s="4" t="s">
        <v>67</v>
      </c>
      <c r="H197" s="4" t="s">
        <v>1249</v>
      </c>
      <c r="I197" s="4" t="s">
        <v>2008</v>
      </c>
      <c r="J197" s="4" t="s">
        <v>2004</v>
      </c>
      <c r="K197" s="14">
        <f>IF(OR($I197="USO_NO_ENERGETICO_APARENTE",$I197="USO_ENERGETICO_INTERNO_APARENTE"),ROUND(SUMIFS($K$2:$K$618,$B$2:$B$618,$B197,$C$2:$C$618,$C197,$D$2:$D$618,"Energy products",$E$2:$E$618,"Supply",$G$2:$G$618,"&lt;&gt;STAT")-SUMIFS($K$2:$K$618,$B$2:$B$618,$B197,$C$2:$C$618,$C197,$D$2:$D$618,"Energy products",$E$2:$E$618,"Use",$G$2:$G$618,"&lt;&gt;STAT",$I$2:$I$618,"&lt;&gt;USO_NO_ENERGETICO_APARENTE",$I$2:$I$618,"&lt;&gt;USO_ENERGETICO_INTERNO_APARENTE"),10),IF(LEFT($H197,5)="STAT_",ROUND(SUMIFS($K$2:$K$618,$B$2:$B$618,$B197,$C$2:$C$618,$C197,$D$2:$D$618,"Energy products",$E$2:$E$618,"Supply",$G$2:$G$618,"&lt;&gt;STAT")-SUMIFS($K$2:$K$618,$B$2:$B$618,$B197,$C$2:$C$618,$C197,$D$2:$D$618,"Energy products",$E$2:$E$618,"Use",$G$2:$G$618,"&lt;&gt;STAT"),10),IF($J197="cambio de signo",-INDEX(DATOS_MODELO!$U$2:$U$3672,MATCH($H197,DATOS_MODELO!$B$2:$B$3672,0)),IF($J197="valor absoluto",ABS(INDEX(DATOS_MODELO!$U$2:$U$3672,MATCH($H197,DATOS_MODELO!$B$2:$B$3672,0))),INDEX(DATOS_MODELO!$U$2:$U$3672,MATCH($H197,DATOS_MODELO!$B$2:$B$3672,0))))))</f>
        <v>116.1419</v>
      </c>
      <c r="L197" s="8" t="str">
        <f aca="false">IF(LEFT($H197,5)&lt;&gt;"STAT_","",IF(ABS($K197)&lt;=COUNTIFS($B$2:$B$618,$B197,$C$2:$C$618,$C197,$D$2:$D$618,"Energy products",$G$2:$G$618,"&lt;&gt;STAT")*PARAMETROS!$B$6,"redondeo","residuo_estadistico"))</f>
        <v/>
      </c>
      <c r="M197" s="8" t="str">
        <f>IF(OR($I197="USO_NO_ENERGETICO_APARENTE",$I197="USO_ENERGETICO_INTERNO_APARENTE"),"CAL",IF(LEFT($H197,5)="STAT_","FORMULA",IF(COUNTIF(DATOS_MODELO!$B$2:$B$3672,$H197)=1,"OK","REVISAR")))</f>
        <v>OK</v>
      </c>
    </row>
    <row r="198" customFormat="false" ht="15" hidden="false" customHeight="false" outlineLevel="0" collapsed="false">
      <c r="A198" s="4" t="s">
        <v>2456</v>
      </c>
      <c r="B198" s="12" t="n">
        <v>2022</v>
      </c>
      <c r="C198" s="4" t="s">
        <v>109</v>
      </c>
      <c r="D198" s="4" t="s">
        <v>1993</v>
      </c>
      <c r="E198" s="4" t="s">
        <v>1994</v>
      </c>
      <c r="F198" s="4" t="s">
        <v>1995</v>
      </c>
      <c r="G198" s="4" t="s">
        <v>65</v>
      </c>
      <c r="H198" s="4" t="s">
        <v>1257</v>
      </c>
      <c r="I198" s="4" t="s">
        <v>2070</v>
      </c>
      <c r="J198" s="4" t="s">
        <v>1997</v>
      </c>
      <c r="K198" s="14">
        <f>IF(OR($I198="USO_NO_ENERGETICO_APARENTE",$I198="USO_ENERGETICO_INTERNO_APARENTE"),ROUND(SUMIFS($K$2:$K$618,$B$2:$B$618,$B198,$C$2:$C$618,$C198,$D$2:$D$618,"Energy products",$E$2:$E$618,"Supply",$G$2:$G$618,"&lt;&gt;STAT")-SUMIFS($K$2:$K$618,$B$2:$B$618,$B198,$C$2:$C$618,$C198,$D$2:$D$618,"Energy products",$E$2:$E$618,"Use",$G$2:$G$618,"&lt;&gt;STAT",$I$2:$I$618,"&lt;&gt;USO_NO_ENERGETICO_APARENTE",$I$2:$I$618,"&lt;&gt;USO_ENERGETICO_INTERNO_APARENTE"),10),IF(LEFT($H198,5)="STAT_",ROUND(SUMIFS($K$2:$K$618,$B$2:$B$618,$B198,$C$2:$C$618,$C198,$D$2:$D$618,"Energy products",$E$2:$E$618,"Supply",$G$2:$G$618,"&lt;&gt;STAT")-SUMIFS($K$2:$K$618,$B$2:$B$618,$B198,$C$2:$C$618,$C198,$D$2:$D$618,"Energy products",$E$2:$E$618,"Use",$G$2:$G$618,"&lt;&gt;STAT"),10),IF($J198="cambio de signo",-INDEX(DATOS_MODELO!$U$2:$U$3672,MATCH($H198,DATOS_MODELO!$B$2:$B$3672,0)),IF($J198="valor absoluto",ABS(INDEX(DATOS_MODELO!$U$2:$U$3672,MATCH($H198,DATOS_MODELO!$B$2:$B$3672,0))),INDEX(DATOS_MODELO!$U$2:$U$3672,MATCH($H198,DATOS_MODELO!$B$2:$B$3672,0))))))</f>
        <v>322845.8968</v>
      </c>
      <c r="L198" s="8" t="str">
        <f aca="false">IF(LEFT($H198,5)&lt;&gt;"STAT_","",IF(ABS($K198)&lt;=COUNTIFS($B$2:$B$618,$B198,$C$2:$C$618,$C198,$D$2:$D$618,"Energy products",$G$2:$G$618,"&lt;&gt;STAT")*PARAMETROS!$B$6,"redondeo","residuo_estadistico"))</f>
        <v/>
      </c>
      <c r="M198" s="8" t="str">
        <f>IF(OR($I198="USO_NO_ENERGETICO_APARENTE",$I198="USO_ENERGETICO_INTERNO_APARENTE"),"CAL",IF(LEFT($H198,5)="STAT_","FORMULA",IF(COUNTIF(DATOS_MODELO!$B$2:$B$3672,$H198)=1,"OK","REVISAR")))</f>
        <v>OK</v>
      </c>
    </row>
    <row r="199" customFormat="false" ht="15" hidden="false" customHeight="false" outlineLevel="0" collapsed="false">
      <c r="A199" s="4" t="s">
        <v>2458</v>
      </c>
      <c r="B199" s="12" t="n">
        <v>2022</v>
      </c>
      <c r="C199" s="4" t="s">
        <v>109</v>
      </c>
      <c r="D199" s="4" t="s">
        <v>1993</v>
      </c>
      <c r="E199" s="4" t="s">
        <v>2001</v>
      </c>
      <c r="F199" s="4" t="s">
        <v>2074</v>
      </c>
      <c r="G199" s="4" t="s">
        <v>73</v>
      </c>
      <c r="H199" s="4" t="s">
        <v>1266</v>
      </c>
      <c r="I199" s="4" t="s">
        <v>2075</v>
      </c>
      <c r="J199" s="4" t="s">
        <v>1997</v>
      </c>
      <c r="K199" s="14">
        <f>IF(OR($I199="USO_NO_ENERGETICO_APARENTE",$I199="USO_ENERGETICO_INTERNO_APARENTE"),ROUND(SUMIFS($K$2:$K$618,$B$2:$B$618,$B199,$C$2:$C$618,$C199,$D$2:$D$618,"Energy products",$E$2:$E$618,"Supply",$G$2:$G$618,"&lt;&gt;STAT")-SUMIFS($K$2:$K$618,$B$2:$B$618,$B199,$C$2:$C$618,$C199,$D$2:$D$618,"Energy products",$E$2:$E$618,"Use",$G$2:$G$618,"&lt;&gt;STAT",$I$2:$I$618,"&lt;&gt;USO_NO_ENERGETICO_APARENTE",$I$2:$I$618,"&lt;&gt;USO_ENERGETICO_INTERNO_APARENTE"),10),IF(LEFT($H199,5)="STAT_",ROUND(SUMIFS($K$2:$K$618,$B$2:$B$618,$B199,$C$2:$C$618,$C199,$D$2:$D$618,"Energy products",$E$2:$E$618,"Supply",$G$2:$G$618,"&lt;&gt;STAT")-SUMIFS($K$2:$K$618,$B$2:$B$618,$B199,$C$2:$C$618,$C199,$D$2:$D$618,"Energy products",$E$2:$E$618,"Use",$G$2:$G$618,"&lt;&gt;STAT"),10),IF($J199="cambio de signo",-INDEX(DATOS_MODELO!$U$2:$U$3672,MATCH($H199,DATOS_MODELO!$B$2:$B$3672,0)),IF($J199="valor absoluto",ABS(INDEX(DATOS_MODELO!$U$2:$U$3672,MATCH($H199,DATOS_MODELO!$B$2:$B$3672,0))),INDEX(DATOS_MODELO!$U$2:$U$3672,MATCH($H199,DATOS_MODELO!$B$2:$B$3672,0))))))</f>
        <v>313160.5106</v>
      </c>
      <c r="L199" s="8" t="str">
        <f aca="false">IF(LEFT($H199,5)&lt;&gt;"STAT_","",IF(ABS($K199)&lt;=COUNTIFS($B$2:$B$618,$B199,$C$2:$C$618,$C199,$D$2:$D$618,"Energy products",$G$2:$G$618,"&lt;&gt;STAT")*PARAMETROS!$B$6,"redondeo","residuo_estadistico"))</f>
        <v/>
      </c>
      <c r="M199" s="8" t="str">
        <f>IF(OR($I199="USO_NO_ENERGETICO_APARENTE",$I199="USO_ENERGETICO_INTERNO_APARENTE"),"CAL",IF(LEFT($H199,5)="STAT_","FORMULA",IF(COUNTIF(DATOS_MODELO!$B$2:$B$3672,$H199)=1,"OK","REVISAR")))</f>
        <v>OK</v>
      </c>
    </row>
    <row r="200" customFormat="false" ht="15" hidden="false" customHeight="false" outlineLevel="0" collapsed="false">
      <c r="A200" s="4" t="s">
        <v>2460</v>
      </c>
      <c r="B200" s="12" t="n">
        <v>2022</v>
      </c>
      <c r="C200" s="4" t="s">
        <v>109</v>
      </c>
      <c r="D200" s="4" t="s">
        <v>1993</v>
      </c>
      <c r="E200" s="4" t="s">
        <v>2001</v>
      </c>
      <c r="F200" s="4" t="s">
        <v>2002</v>
      </c>
      <c r="G200" s="4" t="s">
        <v>72</v>
      </c>
      <c r="H200" s="4" t="s">
        <v>1267</v>
      </c>
      <c r="I200" s="4" t="s">
        <v>2079</v>
      </c>
      <c r="J200" s="4" t="s">
        <v>1997</v>
      </c>
      <c r="K200" s="14">
        <f>IF(OR($I200="USO_NO_ENERGETICO_APARENTE",$I200="USO_ENERGETICO_INTERNO_APARENTE"),ROUND(SUMIFS($K$2:$K$618,$B$2:$B$618,$B200,$C$2:$C$618,$C200,$D$2:$D$618,"Energy products",$E$2:$E$618,"Supply",$G$2:$G$618,"&lt;&gt;STAT")-SUMIFS($K$2:$K$618,$B$2:$B$618,$B200,$C$2:$C$618,$C200,$D$2:$D$618,"Energy products",$E$2:$E$618,"Use",$G$2:$G$618,"&lt;&gt;STAT",$I$2:$I$618,"&lt;&gt;USO_NO_ENERGETICO_APARENTE",$I$2:$I$618,"&lt;&gt;USO_ENERGETICO_INTERNO_APARENTE"),10),IF(LEFT($H200,5)="STAT_",ROUND(SUMIFS($K$2:$K$618,$B$2:$B$618,$B200,$C$2:$C$618,$C200,$D$2:$D$618,"Energy products",$E$2:$E$618,"Supply",$G$2:$G$618,"&lt;&gt;STAT")-SUMIFS($K$2:$K$618,$B$2:$B$618,$B200,$C$2:$C$618,$C200,$D$2:$D$618,"Energy products",$E$2:$E$618,"Use",$G$2:$G$618,"&lt;&gt;STAT"),10),IF($J200="cambio de signo",-INDEX(DATOS_MODELO!$U$2:$U$3672,MATCH($H200,DATOS_MODELO!$B$2:$B$3672,0)),IF($J200="valor absoluto",ABS(INDEX(DATOS_MODELO!$U$2:$U$3672,MATCH($H200,DATOS_MODELO!$B$2:$B$3672,0))),INDEX(DATOS_MODELO!$U$2:$U$3672,MATCH($H200,DATOS_MODELO!$B$2:$B$3672,0))))))</f>
        <v>9685.3862</v>
      </c>
      <c r="L200" s="8" t="str">
        <f aca="false">IF(LEFT($H200,5)&lt;&gt;"STAT_","",IF(ABS($K200)&lt;=COUNTIFS($B$2:$B$618,$B200,$C$2:$C$618,$C200,$D$2:$D$618,"Energy products",$G$2:$G$618,"&lt;&gt;STAT")*PARAMETROS!$B$6,"redondeo","residuo_estadistico"))</f>
        <v/>
      </c>
      <c r="M200" s="8" t="str">
        <f>IF(OR($I200="USO_NO_ENERGETICO_APARENTE",$I200="USO_ENERGETICO_INTERNO_APARENTE"),"CAL",IF(LEFT($H200,5)="STAT_","FORMULA",IF(COUNTIF(DATOS_MODELO!$B$2:$B$3672,$H200)=1,"OK","REVISAR")))</f>
        <v>OK</v>
      </c>
    </row>
    <row r="201" customFormat="false" ht="15" hidden="false" customHeight="false" outlineLevel="0" collapsed="false">
      <c r="A201" s="4" t="s">
        <v>2462</v>
      </c>
      <c r="B201" s="12" t="n">
        <v>2022</v>
      </c>
      <c r="C201" s="4" t="s">
        <v>86</v>
      </c>
      <c r="D201" s="4" t="s">
        <v>2018</v>
      </c>
      <c r="E201" s="4" t="s">
        <v>1994</v>
      </c>
      <c r="F201" s="4" t="s">
        <v>65</v>
      </c>
      <c r="G201" s="4" t="s">
        <v>64</v>
      </c>
      <c r="H201" s="4" t="s">
        <v>1271</v>
      </c>
      <c r="I201" s="4" t="s">
        <v>2019</v>
      </c>
      <c r="J201" s="4" t="s">
        <v>1997</v>
      </c>
      <c r="K201" s="14">
        <f>IF(OR($I201="USO_NO_ENERGETICO_APARENTE",$I201="USO_ENERGETICO_INTERNO_APARENTE"),ROUND(SUMIFS($K$2:$K$618,$B$2:$B$618,$B201,$C$2:$C$618,$C201,$D$2:$D$618,"Energy products",$E$2:$E$618,"Supply",$G$2:$G$618,"&lt;&gt;STAT")-SUMIFS($K$2:$K$618,$B$2:$B$618,$B201,$C$2:$C$618,$C201,$D$2:$D$618,"Energy products",$E$2:$E$618,"Use",$G$2:$G$618,"&lt;&gt;STAT",$I$2:$I$618,"&lt;&gt;USO_NO_ENERGETICO_APARENTE",$I$2:$I$618,"&lt;&gt;USO_ENERGETICO_INTERNO_APARENTE"),10),IF(LEFT($H201,5)="STAT_",ROUND(SUMIFS($K$2:$K$618,$B$2:$B$618,$B201,$C$2:$C$618,$C201,$D$2:$D$618,"Energy products",$E$2:$E$618,"Supply",$G$2:$G$618,"&lt;&gt;STAT")-SUMIFS($K$2:$K$618,$B$2:$B$618,$B201,$C$2:$C$618,$C201,$D$2:$D$618,"Energy products",$E$2:$E$618,"Use",$G$2:$G$618,"&lt;&gt;STAT"),10),IF($J201="cambio de signo",-INDEX(DATOS_MODELO!$U$2:$U$3672,MATCH($H201,DATOS_MODELO!$B$2:$B$3672,0)),IF($J201="valor absoluto",ABS(INDEX(DATOS_MODELO!$U$2:$U$3672,MATCH($H201,DATOS_MODELO!$B$2:$B$3672,0))),INDEX(DATOS_MODELO!$U$2:$U$3672,MATCH($H201,DATOS_MODELO!$B$2:$B$3672,0))))))</f>
        <v>7611.5067</v>
      </c>
      <c r="L201" s="8" t="str">
        <f aca="false">IF(LEFT($H201,5)&lt;&gt;"STAT_","",IF(ABS($K201)&lt;=COUNTIFS($B$2:$B$618,$B201,$C$2:$C$618,$C201,$D$2:$D$618,"Energy products",$G$2:$G$618,"&lt;&gt;STAT")*PARAMETROS!$B$6,"redondeo","residuo_estadistico"))</f>
        <v/>
      </c>
      <c r="M201" s="8" t="str">
        <f>IF(OR($I201="USO_NO_ENERGETICO_APARENTE",$I201="USO_ENERGETICO_INTERNO_APARENTE"),"CAL",IF(LEFT($H201,5)="STAT_","FORMULA",IF(COUNTIF(DATOS_MODELO!$B$2:$B$3672,$H201)=1,"OK","REVISAR")))</f>
        <v>OK</v>
      </c>
    </row>
    <row r="202" customFormat="false" ht="15" hidden="false" customHeight="false" outlineLevel="0" collapsed="false">
      <c r="A202" s="4" t="s">
        <v>2464</v>
      </c>
      <c r="B202" s="12" t="n">
        <v>2022</v>
      </c>
      <c r="C202" s="4" t="s">
        <v>86</v>
      </c>
      <c r="D202" s="4" t="s">
        <v>2018</v>
      </c>
      <c r="E202" s="4" t="s">
        <v>2001</v>
      </c>
      <c r="F202" s="4" t="s">
        <v>66</v>
      </c>
      <c r="G202" s="4" t="s">
        <v>66</v>
      </c>
      <c r="H202" s="4" t="s">
        <v>1271</v>
      </c>
      <c r="I202" s="4" t="s">
        <v>2019</v>
      </c>
      <c r="J202" s="4" t="s">
        <v>1997</v>
      </c>
      <c r="K202" s="14">
        <f>IF(OR($I202="USO_NO_ENERGETICO_APARENTE",$I202="USO_ENERGETICO_INTERNO_APARENTE"),ROUND(SUMIFS($K$2:$K$618,$B$2:$B$618,$B202,$C$2:$C$618,$C202,$D$2:$D$618,"Energy products",$E$2:$E$618,"Supply",$G$2:$G$618,"&lt;&gt;STAT")-SUMIFS($K$2:$K$618,$B$2:$B$618,$B202,$C$2:$C$618,$C202,$D$2:$D$618,"Energy products",$E$2:$E$618,"Use",$G$2:$G$618,"&lt;&gt;STAT",$I$2:$I$618,"&lt;&gt;USO_NO_ENERGETICO_APARENTE",$I$2:$I$618,"&lt;&gt;USO_ENERGETICO_INTERNO_APARENTE"),10),IF(LEFT($H202,5)="STAT_",ROUND(SUMIFS($K$2:$K$618,$B$2:$B$618,$B202,$C$2:$C$618,$C202,$D$2:$D$618,"Energy products",$E$2:$E$618,"Supply",$G$2:$G$618,"&lt;&gt;STAT")-SUMIFS($K$2:$K$618,$B$2:$B$618,$B202,$C$2:$C$618,$C202,$D$2:$D$618,"Energy products",$E$2:$E$618,"Use",$G$2:$G$618,"&lt;&gt;STAT"),10),IF($J202="cambio de signo",-INDEX(DATOS_MODELO!$U$2:$U$3672,MATCH($H202,DATOS_MODELO!$B$2:$B$3672,0)),IF($J202="valor absoluto",ABS(INDEX(DATOS_MODELO!$U$2:$U$3672,MATCH($H202,DATOS_MODELO!$B$2:$B$3672,0))),INDEX(DATOS_MODELO!$U$2:$U$3672,MATCH($H202,DATOS_MODELO!$B$2:$B$3672,0))))))</f>
        <v>7611.5067</v>
      </c>
      <c r="L202" s="8" t="str">
        <f aca="false">IF(LEFT($H202,5)&lt;&gt;"STAT_","",IF(ABS($K202)&lt;=COUNTIFS($B$2:$B$618,$B202,$C$2:$C$618,$C202,$D$2:$D$618,"Energy products",$G$2:$G$618,"&lt;&gt;STAT")*PARAMETROS!$B$6,"redondeo","residuo_estadistico"))</f>
        <v/>
      </c>
      <c r="M202" s="8" t="str">
        <f>IF(OR($I202="USO_NO_ENERGETICO_APARENTE",$I202="USO_ENERGETICO_INTERNO_APARENTE"),"CAL",IF(LEFT($H202,5)="STAT_","FORMULA",IF(COUNTIF(DATOS_MODELO!$B$2:$B$3672,$H202)=1,"OK","REVISAR")))</f>
        <v>OK</v>
      </c>
    </row>
    <row r="203" customFormat="false" ht="15" hidden="false" customHeight="false" outlineLevel="0" collapsed="false">
      <c r="A203" s="4" t="s">
        <v>2466</v>
      </c>
      <c r="B203" s="12" t="n">
        <v>2022</v>
      </c>
      <c r="C203" s="4" t="s">
        <v>86</v>
      </c>
      <c r="D203" s="4" t="s">
        <v>1993</v>
      </c>
      <c r="E203" s="4" t="s">
        <v>1994</v>
      </c>
      <c r="F203" s="4" t="s">
        <v>1995</v>
      </c>
      <c r="G203" s="4" t="s">
        <v>66</v>
      </c>
      <c r="H203" s="4" t="s">
        <v>1271</v>
      </c>
      <c r="I203" s="4" t="s">
        <v>2019</v>
      </c>
      <c r="J203" s="4" t="s">
        <v>1997</v>
      </c>
      <c r="K203" s="14">
        <f>IF(OR($I203="USO_NO_ENERGETICO_APARENTE",$I203="USO_ENERGETICO_INTERNO_APARENTE"),ROUND(SUMIFS($K$2:$K$618,$B$2:$B$618,$B203,$C$2:$C$618,$C203,$D$2:$D$618,"Energy products",$E$2:$E$618,"Supply",$G$2:$G$618,"&lt;&gt;STAT")-SUMIFS($K$2:$K$618,$B$2:$B$618,$B203,$C$2:$C$618,$C203,$D$2:$D$618,"Energy products",$E$2:$E$618,"Use",$G$2:$G$618,"&lt;&gt;STAT",$I$2:$I$618,"&lt;&gt;USO_NO_ENERGETICO_APARENTE",$I$2:$I$618,"&lt;&gt;USO_ENERGETICO_INTERNO_APARENTE"),10),IF(LEFT($H203,5)="STAT_",ROUND(SUMIFS($K$2:$K$618,$B$2:$B$618,$B203,$C$2:$C$618,$C203,$D$2:$D$618,"Energy products",$E$2:$E$618,"Supply",$G$2:$G$618,"&lt;&gt;STAT")-SUMIFS($K$2:$K$618,$B$2:$B$618,$B203,$C$2:$C$618,$C203,$D$2:$D$618,"Energy products",$E$2:$E$618,"Use",$G$2:$G$618,"&lt;&gt;STAT"),10),IF($J203="cambio de signo",-INDEX(DATOS_MODELO!$U$2:$U$3672,MATCH($H203,DATOS_MODELO!$B$2:$B$3672,0)),IF($J203="valor absoluto",ABS(INDEX(DATOS_MODELO!$U$2:$U$3672,MATCH($H203,DATOS_MODELO!$B$2:$B$3672,0))),INDEX(DATOS_MODELO!$U$2:$U$3672,MATCH($H203,DATOS_MODELO!$B$2:$B$3672,0))))))</f>
        <v>7611.5067</v>
      </c>
      <c r="L203" s="8" t="str">
        <f aca="false">IF(LEFT($H203,5)&lt;&gt;"STAT_","",IF(ABS($K203)&lt;=COUNTIFS($B$2:$B$618,$B203,$C$2:$C$618,$C203,$D$2:$D$618,"Energy products",$G$2:$G$618,"&lt;&gt;STAT")*PARAMETROS!$B$6,"redondeo","residuo_estadistico"))</f>
        <v/>
      </c>
      <c r="M203" s="8" t="str">
        <f>IF(OR($I203="USO_NO_ENERGETICO_APARENTE",$I203="USO_ENERGETICO_INTERNO_APARENTE"),"CAL",IF(LEFT($H203,5)="STAT_","FORMULA",IF(COUNTIF(DATOS_MODELO!$B$2:$B$3672,$H203)=1,"OK","REVISAR")))</f>
        <v>OK</v>
      </c>
    </row>
    <row r="204" customFormat="false" ht="15" hidden="false" customHeight="false" outlineLevel="0" collapsed="false">
      <c r="A204" s="4" t="s">
        <v>2468</v>
      </c>
      <c r="B204" s="12" t="n">
        <v>2022</v>
      </c>
      <c r="C204" s="4" t="s">
        <v>86</v>
      </c>
      <c r="D204" s="4" t="s">
        <v>1993</v>
      </c>
      <c r="E204" s="4" t="s">
        <v>1994</v>
      </c>
      <c r="F204" s="4" t="s">
        <v>2029</v>
      </c>
      <c r="G204" s="4" t="s">
        <v>69</v>
      </c>
      <c r="H204" s="4" t="s">
        <v>1272</v>
      </c>
      <c r="I204" s="4" t="s">
        <v>2030</v>
      </c>
      <c r="J204" s="4" t="s">
        <v>1997</v>
      </c>
      <c r="K204" s="14">
        <f>IF(OR($I204="USO_NO_ENERGETICO_APARENTE",$I204="USO_ENERGETICO_INTERNO_APARENTE"),ROUND(SUMIFS($K$2:$K$618,$B$2:$B$618,$B204,$C$2:$C$618,$C204,$D$2:$D$618,"Energy products",$E$2:$E$618,"Supply",$G$2:$G$618,"&lt;&gt;STAT")-SUMIFS($K$2:$K$618,$B$2:$B$618,$B204,$C$2:$C$618,$C204,$D$2:$D$618,"Energy products",$E$2:$E$618,"Use",$G$2:$G$618,"&lt;&gt;STAT",$I$2:$I$618,"&lt;&gt;USO_NO_ENERGETICO_APARENTE",$I$2:$I$618,"&lt;&gt;USO_ENERGETICO_INTERNO_APARENTE"),10),IF(LEFT($H204,5)="STAT_",ROUND(SUMIFS($K$2:$K$618,$B$2:$B$618,$B204,$C$2:$C$618,$C204,$D$2:$D$618,"Energy products",$E$2:$E$618,"Supply",$G$2:$G$618,"&lt;&gt;STAT")-SUMIFS($K$2:$K$618,$B$2:$B$618,$B204,$C$2:$C$618,$C204,$D$2:$D$618,"Energy products",$E$2:$E$618,"Use",$G$2:$G$618,"&lt;&gt;STAT"),10),IF($J204="cambio de signo",-INDEX(DATOS_MODELO!$U$2:$U$3672,MATCH($H204,DATOS_MODELO!$B$2:$B$3672,0)),IF($J204="valor absoluto",ABS(INDEX(DATOS_MODELO!$U$2:$U$3672,MATCH($H204,DATOS_MODELO!$B$2:$B$3672,0))),INDEX(DATOS_MODELO!$U$2:$U$3672,MATCH($H204,DATOS_MODELO!$B$2:$B$3672,0))))))</f>
        <v>90.055</v>
      </c>
      <c r="L204" s="8" t="str">
        <f aca="false">IF(LEFT($H204,5)&lt;&gt;"STAT_","",IF(ABS($K204)&lt;=COUNTIFS($B$2:$B$618,$B204,$C$2:$C$618,$C204,$D$2:$D$618,"Energy products",$G$2:$G$618,"&lt;&gt;STAT")*PARAMETROS!$B$6,"redondeo","residuo_estadistico"))</f>
        <v/>
      </c>
      <c r="M204" s="8" t="str">
        <f>IF(OR($I204="USO_NO_ENERGETICO_APARENTE",$I204="USO_ENERGETICO_INTERNO_APARENTE"),"CAL",IF(LEFT($H204,5)="STAT_","FORMULA",IF(COUNTIF(DATOS_MODELO!$B$2:$B$3672,$H204)=1,"OK","REVISAR")))</f>
        <v>OK</v>
      </c>
    </row>
    <row r="205" customFormat="false" ht="15" hidden="false" customHeight="false" outlineLevel="0" collapsed="false">
      <c r="A205" s="4" t="s">
        <v>2470</v>
      </c>
      <c r="B205" s="12" t="n">
        <v>2022</v>
      </c>
      <c r="C205" s="4" t="s">
        <v>86</v>
      </c>
      <c r="D205" s="4" t="s">
        <v>1993</v>
      </c>
      <c r="E205" s="4" t="s">
        <v>2001</v>
      </c>
      <c r="F205" s="4" t="s">
        <v>2091</v>
      </c>
      <c r="G205" s="4" t="s">
        <v>69</v>
      </c>
      <c r="H205" s="4" t="s">
        <v>1273</v>
      </c>
      <c r="I205" s="4" t="s">
        <v>2030</v>
      </c>
      <c r="J205" s="4" t="s">
        <v>1997</v>
      </c>
      <c r="K205" s="14">
        <f>IF(OR($I205="USO_NO_ENERGETICO_APARENTE",$I205="USO_ENERGETICO_INTERNO_APARENTE"),ROUND(SUMIFS($K$2:$K$618,$B$2:$B$618,$B205,$C$2:$C$618,$C205,$D$2:$D$618,"Energy products",$E$2:$E$618,"Supply",$G$2:$G$618,"&lt;&gt;STAT")-SUMIFS($K$2:$K$618,$B$2:$B$618,$B205,$C$2:$C$618,$C205,$D$2:$D$618,"Energy products",$E$2:$E$618,"Use",$G$2:$G$618,"&lt;&gt;STAT",$I$2:$I$618,"&lt;&gt;USO_NO_ENERGETICO_APARENTE",$I$2:$I$618,"&lt;&gt;USO_ENERGETICO_INTERNO_APARENTE"),10),IF(LEFT($H205,5)="STAT_",ROUND(SUMIFS($K$2:$K$618,$B$2:$B$618,$B205,$C$2:$C$618,$C205,$D$2:$D$618,"Energy products",$E$2:$E$618,"Supply",$G$2:$G$618,"&lt;&gt;STAT")-SUMIFS($K$2:$K$618,$B$2:$B$618,$B205,$C$2:$C$618,$C205,$D$2:$D$618,"Energy products",$E$2:$E$618,"Use",$G$2:$G$618,"&lt;&gt;STAT"),10),IF($J205="cambio de signo",-INDEX(DATOS_MODELO!$U$2:$U$3672,MATCH($H205,DATOS_MODELO!$B$2:$B$3672,0)),IF($J205="valor absoluto",ABS(INDEX(DATOS_MODELO!$U$2:$U$3672,MATCH($H205,DATOS_MODELO!$B$2:$B$3672,0))),INDEX(DATOS_MODELO!$U$2:$U$3672,MATCH($H205,DATOS_MODELO!$B$2:$B$3672,0))))))</f>
        <v>5013.449</v>
      </c>
      <c r="L205" s="8" t="str">
        <f aca="false">IF(LEFT($H205,5)&lt;&gt;"STAT_","",IF(ABS($K205)&lt;=COUNTIFS($B$2:$B$618,$B205,$C$2:$C$618,$C205,$D$2:$D$618,"Energy products",$G$2:$G$618,"&lt;&gt;STAT")*PARAMETROS!$B$6,"redondeo","residuo_estadistico"))</f>
        <v/>
      </c>
      <c r="M205" s="8" t="str">
        <f>IF(OR($I205="USO_NO_ENERGETICO_APARENTE",$I205="USO_ENERGETICO_INTERNO_APARENTE"),"CAL",IF(LEFT($H205,5)="STAT_","FORMULA",IF(COUNTIF(DATOS_MODELO!$B$2:$B$3672,$H205)=1,"OK","REVISAR")))</f>
        <v>OK</v>
      </c>
    </row>
    <row r="206" customFormat="false" ht="15" hidden="false" customHeight="false" outlineLevel="0" collapsed="false">
      <c r="A206" s="4" t="s">
        <v>2472</v>
      </c>
      <c r="B206" s="12" t="n">
        <v>2022</v>
      </c>
      <c r="C206" s="4" t="s">
        <v>86</v>
      </c>
      <c r="D206" s="4" t="s">
        <v>1993</v>
      </c>
      <c r="E206" s="4" t="s">
        <v>2001</v>
      </c>
      <c r="F206" s="4" t="s">
        <v>2034</v>
      </c>
      <c r="G206" s="4" t="s">
        <v>74</v>
      </c>
      <c r="H206" s="4" t="s">
        <v>1274</v>
      </c>
      <c r="I206" s="4" t="s">
        <v>2035</v>
      </c>
      <c r="J206" s="4" t="s">
        <v>2036</v>
      </c>
      <c r="K206" s="14">
        <f>IF(OR($I206="USO_NO_ENERGETICO_APARENTE",$I206="USO_ENERGETICO_INTERNO_APARENTE"),ROUND(SUMIFS($K$2:$K$618,$B$2:$B$618,$B206,$C$2:$C$618,$C206,$D$2:$D$618,"Energy products",$E$2:$E$618,"Supply",$G$2:$G$618,"&lt;&gt;STAT")-SUMIFS($K$2:$K$618,$B$2:$B$618,$B206,$C$2:$C$618,$C206,$D$2:$D$618,"Energy products",$E$2:$E$618,"Use",$G$2:$G$618,"&lt;&gt;STAT",$I$2:$I$618,"&lt;&gt;USO_NO_ENERGETICO_APARENTE",$I$2:$I$618,"&lt;&gt;USO_ENERGETICO_INTERNO_APARENTE"),10),IF(LEFT($H206,5)="STAT_",ROUND(SUMIFS($K$2:$K$618,$B$2:$B$618,$B206,$C$2:$C$618,$C206,$D$2:$D$618,"Energy products",$E$2:$E$618,"Supply",$G$2:$G$618,"&lt;&gt;STAT")-SUMIFS($K$2:$K$618,$B$2:$B$618,$B206,$C$2:$C$618,$C206,$D$2:$D$618,"Energy products",$E$2:$E$618,"Use",$G$2:$G$618,"&lt;&gt;STAT"),10),IF($J206="cambio de signo",-INDEX(DATOS_MODELO!$U$2:$U$3672,MATCH($H206,DATOS_MODELO!$B$2:$B$3672,0)),IF($J206="valor absoluto",ABS(INDEX(DATOS_MODELO!$U$2:$U$3672,MATCH($H206,DATOS_MODELO!$B$2:$B$3672,0))),INDEX(DATOS_MODELO!$U$2:$U$3672,MATCH($H206,DATOS_MODELO!$B$2:$B$3672,0))))))</f>
        <v>-2341.1976</v>
      </c>
      <c r="L206" s="8" t="str">
        <f aca="false">IF(LEFT($H206,5)&lt;&gt;"STAT_","",IF(ABS($K206)&lt;=COUNTIFS($B$2:$B$618,$B206,$C$2:$C$618,$C206,$D$2:$D$618,"Energy products",$G$2:$G$618,"&lt;&gt;STAT")*PARAMETROS!$B$6,"redondeo","residuo_estadistico"))</f>
        <v/>
      </c>
      <c r="M206" s="8" t="str">
        <f>IF(OR($I206="USO_NO_ENERGETICO_APARENTE",$I206="USO_ENERGETICO_INTERNO_APARENTE"),"CAL",IF(LEFT($H206,5)="STAT_","FORMULA",IF(COUNTIF(DATOS_MODELO!$B$2:$B$3672,$H206)=1,"OK","REVISAR")))</f>
        <v>OK</v>
      </c>
    </row>
    <row r="207" customFormat="false" ht="15" hidden="false" customHeight="false" outlineLevel="0" collapsed="false">
      <c r="A207" s="4" t="s">
        <v>2474</v>
      </c>
      <c r="B207" s="12" t="n">
        <v>2022</v>
      </c>
      <c r="C207" s="4" t="s">
        <v>86</v>
      </c>
      <c r="D207" s="4" t="s">
        <v>1993</v>
      </c>
      <c r="E207" s="4" t="s">
        <v>2001</v>
      </c>
      <c r="F207" s="4" t="s">
        <v>2002</v>
      </c>
      <c r="G207" s="4" t="s">
        <v>67</v>
      </c>
      <c r="H207" s="4" t="s">
        <v>1275</v>
      </c>
      <c r="I207" s="4" t="s">
        <v>2097</v>
      </c>
      <c r="J207" s="4" t="s">
        <v>2004</v>
      </c>
      <c r="K207" s="14">
        <f>IF(OR($I207="USO_NO_ENERGETICO_APARENTE",$I207="USO_ENERGETICO_INTERNO_APARENTE"),ROUND(SUMIFS($K$2:$K$618,$B$2:$B$618,$B207,$C$2:$C$618,$C207,$D$2:$D$618,"Energy products",$E$2:$E$618,"Supply",$G$2:$G$618,"&lt;&gt;STAT")-SUMIFS($K$2:$K$618,$B$2:$B$618,$B207,$C$2:$C$618,$C207,$D$2:$D$618,"Energy products",$E$2:$E$618,"Use",$G$2:$G$618,"&lt;&gt;STAT",$I$2:$I$618,"&lt;&gt;USO_NO_ENERGETICO_APARENTE",$I$2:$I$618,"&lt;&gt;USO_ENERGETICO_INTERNO_APARENTE"),10),IF(LEFT($H207,5)="STAT_",ROUND(SUMIFS($K$2:$K$618,$B$2:$B$618,$B207,$C$2:$C$618,$C207,$D$2:$D$618,"Energy products",$E$2:$E$618,"Supply",$G$2:$G$618,"&lt;&gt;STAT")-SUMIFS($K$2:$K$618,$B$2:$B$618,$B207,$C$2:$C$618,$C207,$D$2:$D$618,"Energy products",$E$2:$E$618,"Use",$G$2:$G$618,"&lt;&gt;STAT"),10),IF($J207="cambio de signo",-INDEX(DATOS_MODELO!$U$2:$U$3672,MATCH($H207,DATOS_MODELO!$B$2:$B$3672,0)),IF($J207="valor absoluto",ABS(INDEX(DATOS_MODELO!$U$2:$U$3672,MATCH($H207,DATOS_MODELO!$B$2:$B$3672,0))),INDEX(DATOS_MODELO!$U$2:$U$3672,MATCH($H207,DATOS_MODELO!$B$2:$B$3672,0))))))</f>
        <v>5029.2522</v>
      </c>
      <c r="L207" s="8" t="str">
        <f aca="false">IF(LEFT($H207,5)&lt;&gt;"STAT_","",IF(ABS($K207)&lt;=COUNTIFS($B$2:$B$618,$B207,$C$2:$C$618,$C207,$D$2:$D$618,"Energy products",$G$2:$G$618,"&lt;&gt;STAT")*PARAMETROS!$B$6,"redondeo","residuo_estadistico"))</f>
        <v/>
      </c>
      <c r="M207" s="8" t="str">
        <f>IF(OR($I207="USO_NO_ENERGETICO_APARENTE",$I207="USO_ENERGETICO_INTERNO_APARENTE"),"CAL",IF(LEFT($H207,5)="STAT_","FORMULA",IF(COUNTIF(DATOS_MODELO!$B$2:$B$3672,$H207)=1,"OK","REVISAR")))</f>
        <v>OK</v>
      </c>
    </row>
    <row r="208" customFormat="false" ht="15" hidden="false" customHeight="false" outlineLevel="0" collapsed="false">
      <c r="A208" s="4" t="s">
        <v>2476</v>
      </c>
      <c r="B208" s="12" t="n">
        <v>2022</v>
      </c>
      <c r="C208" s="4" t="s">
        <v>88</v>
      </c>
      <c r="D208" s="4" t="s">
        <v>2018</v>
      </c>
      <c r="E208" s="4" t="s">
        <v>1994</v>
      </c>
      <c r="F208" s="4" t="s">
        <v>65</v>
      </c>
      <c r="G208" s="4" t="s">
        <v>64</v>
      </c>
      <c r="H208" s="4" t="s">
        <v>1285</v>
      </c>
      <c r="I208" s="4" t="s">
        <v>2044</v>
      </c>
      <c r="J208" s="4" t="s">
        <v>1997</v>
      </c>
      <c r="K208" s="14">
        <f>IF(OR($I208="USO_NO_ENERGETICO_APARENTE",$I208="USO_ENERGETICO_INTERNO_APARENTE"),ROUND(SUMIFS($K$2:$K$618,$B$2:$B$618,$B208,$C$2:$C$618,$C208,$D$2:$D$618,"Energy products",$E$2:$E$618,"Supply",$G$2:$G$618,"&lt;&gt;STAT")-SUMIFS($K$2:$K$618,$B$2:$B$618,$B208,$C$2:$C$618,$C208,$D$2:$D$618,"Energy products",$E$2:$E$618,"Use",$G$2:$G$618,"&lt;&gt;STAT",$I$2:$I$618,"&lt;&gt;USO_NO_ENERGETICO_APARENTE",$I$2:$I$618,"&lt;&gt;USO_ENERGETICO_INTERNO_APARENTE"),10),IF(LEFT($H208,5)="STAT_",ROUND(SUMIFS($K$2:$K$618,$B$2:$B$618,$B208,$C$2:$C$618,$C208,$D$2:$D$618,"Energy products",$E$2:$E$618,"Supply",$G$2:$G$618,"&lt;&gt;STAT")-SUMIFS($K$2:$K$618,$B$2:$B$618,$B208,$C$2:$C$618,$C208,$D$2:$D$618,"Energy products",$E$2:$E$618,"Use",$G$2:$G$618,"&lt;&gt;STAT"),10),IF($J208="cambio de signo",-INDEX(DATOS_MODELO!$U$2:$U$3672,MATCH($H208,DATOS_MODELO!$B$2:$B$3672,0)),IF($J208="valor absoluto",ABS(INDEX(DATOS_MODELO!$U$2:$U$3672,MATCH($H208,DATOS_MODELO!$B$2:$B$3672,0))),INDEX(DATOS_MODELO!$U$2:$U$3672,MATCH($H208,DATOS_MODELO!$B$2:$B$3672,0))))))</f>
        <v>793.646</v>
      </c>
      <c r="L208" s="8" t="str">
        <f aca="false">IF(LEFT($H208,5)&lt;&gt;"STAT_","",IF(ABS($K208)&lt;=COUNTIFS($B$2:$B$618,$B208,$C$2:$C$618,$C208,$D$2:$D$618,"Energy products",$G$2:$G$618,"&lt;&gt;STAT")*PARAMETROS!$B$6,"redondeo","residuo_estadistico"))</f>
        <v/>
      </c>
      <c r="M208" s="8" t="str">
        <f>IF(OR($I208="USO_NO_ENERGETICO_APARENTE",$I208="USO_ENERGETICO_INTERNO_APARENTE"),"CAL",IF(LEFT($H208,5)="STAT_","FORMULA",IF(COUNTIF(DATOS_MODELO!$B$2:$B$3672,$H208)=1,"OK","REVISAR")))</f>
        <v>OK</v>
      </c>
    </row>
    <row r="209" customFormat="false" ht="15" hidden="false" customHeight="false" outlineLevel="0" collapsed="false">
      <c r="A209" s="4" t="s">
        <v>2478</v>
      </c>
      <c r="B209" s="12" t="n">
        <v>2022</v>
      </c>
      <c r="C209" s="4" t="s">
        <v>88</v>
      </c>
      <c r="D209" s="4" t="s">
        <v>2018</v>
      </c>
      <c r="E209" s="4" t="s">
        <v>2001</v>
      </c>
      <c r="F209" s="4" t="s">
        <v>66</v>
      </c>
      <c r="G209" s="4" t="s">
        <v>67</v>
      </c>
      <c r="H209" s="4" t="s">
        <v>1290</v>
      </c>
      <c r="I209" s="4" t="s">
        <v>2003</v>
      </c>
      <c r="J209" s="4" t="s">
        <v>2004</v>
      </c>
      <c r="K209" s="14">
        <f>IF(OR($I209="USO_NO_ENERGETICO_APARENTE",$I209="USO_ENERGETICO_INTERNO_APARENTE"),ROUND(SUMIFS($K$2:$K$618,$B$2:$B$618,$B209,$C$2:$C$618,$C209,$D$2:$D$618,"Energy products",$E$2:$E$618,"Supply",$G$2:$G$618,"&lt;&gt;STAT")-SUMIFS($K$2:$K$618,$B$2:$B$618,$B209,$C$2:$C$618,$C209,$D$2:$D$618,"Energy products",$E$2:$E$618,"Use",$G$2:$G$618,"&lt;&gt;STAT",$I$2:$I$618,"&lt;&gt;USO_NO_ENERGETICO_APARENTE",$I$2:$I$618,"&lt;&gt;USO_ENERGETICO_INTERNO_APARENTE"),10),IF(LEFT($H209,5)="STAT_",ROUND(SUMIFS($K$2:$K$618,$B$2:$B$618,$B209,$C$2:$C$618,$C209,$D$2:$D$618,"Energy products",$E$2:$E$618,"Supply",$G$2:$G$618,"&lt;&gt;STAT")-SUMIFS($K$2:$K$618,$B$2:$B$618,$B209,$C$2:$C$618,$C209,$D$2:$D$618,"Energy products",$E$2:$E$618,"Use",$G$2:$G$618,"&lt;&gt;STAT"),10),IF($J209="cambio de signo",-INDEX(DATOS_MODELO!$U$2:$U$3672,MATCH($H209,DATOS_MODELO!$B$2:$B$3672,0)),IF($J209="valor absoluto",ABS(INDEX(DATOS_MODELO!$U$2:$U$3672,MATCH($H209,DATOS_MODELO!$B$2:$B$3672,0))),INDEX(DATOS_MODELO!$U$2:$U$3672,MATCH($H209,DATOS_MODELO!$B$2:$B$3672,0))))))</f>
        <v>793.646</v>
      </c>
      <c r="L209" s="8" t="str">
        <f aca="false">IF(LEFT($H209,5)&lt;&gt;"STAT_","",IF(ABS($K209)&lt;=COUNTIFS($B$2:$B$618,$B209,$C$2:$C$618,$C209,$D$2:$D$618,"Energy products",$G$2:$G$618,"&lt;&gt;STAT")*PARAMETROS!$B$6,"redondeo","residuo_estadistico"))</f>
        <v/>
      </c>
      <c r="M209" s="8" t="str">
        <f>IF(OR($I209="USO_NO_ENERGETICO_APARENTE",$I209="USO_ENERGETICO_INTERNO_APARENTE"),"CAL",IF(LEFT($H209,5)="STAT_","FORMULA",IF(COUNTIF(DATOS_MODELO!$B$2:$B$3672,$H209)=1,"OK","REVISAR")))</f>
        <v>OK</v>
      </c>
    </row>
    <row r="210" customFormat="false" ht="15" hidden="false" customHeight="false" outlineLevel="0" collapsed="false">
      <c r="A210" s="4" t="s">
        <v>2480</v>
      </c>
      <c r="B210" s="12" t="n">
        <v>2022</v>
      </c>
      <c r="C210" s="4" t="s">
        <v>95</v>
      </c>
      <c r="D210" s="4" t="s">
        <v>1993</v>
      </c>
      <c r="E210" s="4" t="s">
        <v>1994</v>
      </c>
      <c r="F210" s="4" t="s">
        <v>2029</v>
      </c>
      <c r="G210" s="4" t="s">
        <v>69</v>
      </c>
      <c r="H210" s="4" t="s">
        <v>1300</v>
      </c>
      <c r="I210" s="4" t="s">
        <v>2030</v>
      </c>
      <c r="J210" s="4" t="s">
        <v>1997</v>
      </c>
      <c r="K210" s="14">
        <f>IF(OR($I210="USO_NO_ENERGETICO_APARENTE",$I210="USO_ENERGETICO_INTERNO_APARENTE"),ROUND(SUMIFS($K$2:$K$618,$B$2:$B$618,$B210,$C$2:$C$618,$C210,$D$2:$D$618,"Energy products",$E$2:$E$618,"Supply",$G$2:$G$618,"&lt;&gt;STAT")-SUMIFS($K$2:$K$618,$B$2:$B$618,$B210,$C$2:$C$618,$C210,$D$2:$D$618,"Energy products",$E$2:$E$618,"Use",$G$2:$G$618,"&lt;&gt;STAT",$I$2:$I$618,"&lt;&gt;USO_NO_ENERGETICO_APARENTE",$I$2:$I$618,"&lt;&gt;USO_ENERGETICO_INTERNO_APARENTE"),10),IF(LEFT($H210,5)="STAT_",ROUND(SUMIFS($K$2:$K$618,$B$2:$B$618,$B210,$C$2:$C$618,$C210,$D$2:$D$618,"Energy products",$E$2:$E$618,"Supply",$G$2:$G$618,"&lt;&gt;STAT")-SUMIFS($K$2:$K$618,$B$2:$B$618,$B210,$C$2:$C$618,$C210,$D$2:$D$618,"Energy products",$E$2:$E$618,"Use",$G$2:$G$618,"&lt;&gt;STAT"),10),IF($J210="cambio de signo",-INDEX(DATOS_MODELO!$U$2:$U$3672,MATCH($H210,DATOS_MODELO!$B$2:$B$3672,0)),IF($J210="valor absoluto",ABS(INDEX(DATOS_MODELO!$U$2:$U$3672,MATCH($H210,DATOS_MODELO!$B$2:$B$3672,0))),INDEX(DATOS_MODELO!$U$2:$U$3672,MATCH($H210,DATOS_MODELO!$B$2:$B$3672,0))))))</f>
        <v>30492.7392</v>
      </c>
      <c r="L210" s="8" t="str">
        <f aca="false">IF(LEFT($H210,5)&lt;&gt;"STAT_","",IF(ABS($K210)&lt;=COUNTIFS($B$2:$B$618,$B210,$C$2:$C$618,$C210,$D$2:$D$618,"Energy products",$G$2:$G$618,"&lt;&gt;STAT")*PARAMETROS!$B$6,"redondeo","residuo_estadistico"))</f>
        <v/>
      </c>
      <c r="M210" s="8" t="str">
        <f>IF(OR($I210="USO_NO_ENERGETICO_APARENTE",$I210="USO_ENERGETICO_INTERNO_APARENTE"),"CAL",IF(LEFT($H210,5)="STAT_","FORMULA",IF(COUNTIF(DATOS_MODELO!$B$2:$B$3672,$H210)=1,"OK","REVISAR")))</f>
        <v>OK</v>
      </c>
    </row>
    <row r="211" customFormat="false" ht="15" hidden="false" customHeight="false" outlineLevel="0" collapsed="false">
      <c r="A211" s="4" t="s">
        <v>2482</v>
      </c>
      <c r="B211" s="12" t="n">
        <v>2022</v>
      </c>
      <c r="C211" s="4" t="s">
        <v>95</v>
      </c>
      <c r="D211" s="4" t="s">
        <v>1993</v>
      </c>
      <c r="E211" s="4" t="s">
        <v>2001</v>
      </c>
      <c r="F211" s="4" t="s">
        <v>2034</v>
      </c>
      <c r="G211" s="4" t="s">
        <v>74</v>
      </c>
      <c r="H211" s="4" t="s">
        <v>1302</v>
      </c>
      <c r="I211" s="4" t="s">
        <v>2035</v>
      </c>
      <c r="J211" s="4" t="s">
        <v>2036</v>
      </c>
      <c r="K211" s="14">
        <f>IF(OR($I211="USO_NO_ENERGETICO_APARENTE",$I211="USO_ENERGETICO_INTERNO_APARENTE"),ROUND(SUMIFS($K$2:$K$618,$B$2:$B$618,$B211,$C$2:$C$618,$C211,$D$2:$D$618,"Energy products",$E$2:$E$618,"Supply",$G$2:$G$618,"&lt;&gt;STAT")-SUMIFS($K$2:$K$618,$B$2:$B$618,$B211,$C$2:$C$618,$C211,$D$2:$D$618,"Energy products",$E$2:$E$618,"Use",$G$2:$G$618,"&lt;&gt;STAT",$I$2:$I$618,"&lt;&gt;USO_NO_ENERGETICO_APARENTE",$I$2:$I$618,"&lt;&gt;USO_ENERGETICO_INTERNO_APARENTE"),10),IF(LEFT($H211,5)="STAT_",ROUND(SUMIFS($K$2:$K$618,$B$2:$B$618,$B211,$C$2:$C$618,$C211,$D$2:$D$618,"Energy products",$E$2:$E$618,"Supply",$G$2:$G$618,"&lt;&gt;STAT")-SUMIFS($K$2:$K$618,$B$2:$B$618,$B211,$C$2:$C$618,$C211,$D$2:$D$618,"Energy products",$E$2:$E$618,"Use",$G$2:$G$618,"&lt;&gt;STAT"),10),IF($J211="cambio de signo",-INDEX(DATOS_MODELO!$U$2:$U$3672,MATCH($H211,DATOS_MODELO!$B$2:$B$3672,0)),IF($J211="valor absoluto",ABS(INDEX(DATOS_MODELO!$U$2:$U$3672,MATCH($H211,DATOS_MODELO!$B$2:$B$3672,0))),INDEX(DATOS_MODELO!$U$2:$U$3672,MATCH($H211,DATOS_MODELO!$B$2:$B$3672,0))))))</f>
        <v>4064.0369</v>
      </c>
      <c r="L211" s="8" t="str">
        <f aca="false">IF(LEFT($H211,5)&lt;&gt;"STAT_","",IF(ABS($K211)&lt;=COUNTIFS($B$2:$B$618,$B211,$C$2:$C$618,$C211,$D$2:$D$618,"Energy products",$G$2:$G$618,"&lt;&gt;STAT")*PARAMETROS!$B$6,"redondeo","residuo_estadistico"))</f>
        <v/>
      </c>
      <c r="M211" s="8" t="str">
        <f>IF(OR($I211="USO_NO_ENERGETICO_APARENTE",$I211="USO_ENERGETICO_INTERNO_APARENTE"),"CAL",IF(LEFT($H211,5)="STAT_","FORMULA",IF(COUNTIF(DATOS_MODELO!$B$2:$B$3672,$H211)=1,"OK","REVISAR")))</f>
        <v>OK</v>
      </c>
    </row>
    <row r="212" customFormat="false" ht="15" hidden="false" customHeight="false" outlineLevel="0" collapsed="false">
      <c r="A212" s="4" t="s">
        <v>2484</v>
      </c>
      <c r="B212" s="12" t="n">
        <v>2022</v>
      </c>
      <c r="C212" s="4" t="s">
        <v>95</v>
      </c>
      <c r="D212" s="4" t="s">
        <v>1993</v>
      </c>
      <c r="E212" s="4" t="s">
        <v>2001</v>
      </c>
      <c r="F212" s="4" t="s">
        <v>2002</v>
      </c>
      <c r="G212" s="4" t="s">
        <v>68</v>
      </c>
      <c r="H212" s="4" t="s">
        <v>1310</v>
      </c>
      <c r="I212" s="4" t="s">
        <v>2111</v>
      </c>
      <c r="J212" s="4" t="s">
        <v>1997</v>
      </c>
      <c r="K212" s="14">
        <f>IF(OR($I212="USO_NO_ENERGETICO_APARENTE",$I212="USO_ENERGETICO_INTERNO_APARENTE"),ROUND(SUMIFS($K$2:$K$618,$B$2:$B$618,$B212,$C$2:$C$618,$C212,$D$2:$D$618,"Energy products",$E$2:$E$618,"Supply",$G$2:$G$618,"&lt;&gt;STAT")-SUMIFS($K$2:$K$618,$B$2:$B$618,$B212,$C$2:$C$618,$C212,$D$2:$D$618,"Energy products",$E$2:$E$618,"Use",$G$2:$G$618,"&lt;&gt;STAT",$I$2:$I$618,"&lt;&gt;USO_NO_ENERGETICO_APARENTE",$I$2:$I$618,"&lt;&gt;USO_ENERGETICO_INTERNO_APARENTE"),10),IF(LEFT($H212,5)="STAT_",ROUND(SUMIFS($K$2:$K$618,$B$2:$B$618,$B212,$C$2:$C$618,$C212,$D$2:$D$618,"Energy products",$E$2:$E$618,"Supply",$G$2:$G$618,"&lt;&gt;STAT")-SUMIFS($K$2:$K$618,$B$2:$B$618,$B212,$C$2:$C$618,$C212,$D$2:$D$618,"Energy products",$E$2:$E$618,"Use",$G$2:$G$618,"&lt;&gt;STAT"),10),IF($J212="cambio de signo",-INDEX(DATOS_MODELO!$U$2:$U$3672,MATCH($H212,DATOS_MODELO!$B$2:$B$3672,0)),IF($J212="valor absoluto",ABS(INDEX(DATOS_MODELO!$U$2:$U$3672,MATCH($H212,DATOS_MODELO!$B$2:$B$3672,0))),INDEX(DATOS_MODELO!$U$2:$U$3672,MATCH($H212,DATOS_MODELO!$B$2:$B$3672,0))))))</f>
        <v>26428.7023</v>
      </c>
      <c r="L212" s="8" t="str">
        <f aca="false">IF(LEFT($H212,5)&lt;&gt;"STAT_","",IF(ABS($K212)&lt;=COUNTIFS($B$2:$B$618,$B212,$C$2:$C$618,$C212,$D$2:$D$618,"Energy products",$G$2:$G$618,"&lt;&gt;STAT")*PARAMETROS!$B$6,"redondeo","residuo_estadistico"))</f>
        <v/>
      </c>
      <c r="M212" s="8" t="str">
        <f>IF(OR($I212="USO_NO_ENERGETICO_APARENTE",$I212="USO_ENERGETICO_INTERNO_APARENTE"),"CAL",IF(LEFT($H212,5)="STAT_","FORMULA",IF(COUNTIF(DATOS_MODELO!$B$2:$B$3672,$H212)=1,"OK","REVISAR")))</f>
        <v>OK</v>
      </c>
    </row>
    <row r="213" customFormat="false" ht="15" hidden="false" customHeight="false" outlineLevel="0" collapsed="false">
      <c r="A213" s="4" t="s">
        <v>2486</v>
      </c>
      <c r="B213" s="12" t="n">
        <v>2022</v>
      </c>
      <c r="C213" s="4" t="s">
        <v>97</v>
      </c>
      <c r="D213" s="4" t="s">
        <v>1993</v>
      </c>
      <c r="E213" s="4" t="s">
        <v>1994</v>
      </c>
      <c r="F213" s="4" t="s">
        <v>2029</v>
      </c>
      <c r="G213" s="4" t="s">
        <v>69</v>
      </c>
      <c r="H213" s="4" t="s">
        <v>1314</v>
      </c>
      <c r="I213" s="4" t="s">
        <v>2030</v>
      </c>
      <c r="J213" s="4" t="s">
        <v>1997</v>
      </c>
      <c r="K213" s="14">
        <f>IF(OR($I213="USO_NO_ENERGETICO_APARENTE",$I213="USO_ENERGETICO_INTERNO_APARENTE"),ROUND(SUMIFS($K$2:$K$618,$B$2:$B$618,$B213,$C$2:$C$618,$C213,$D$2:$D$618,"Energy products",$E$2:$E$618,"Supply",$G$2:$G$618,"&lt;&gt;STAT")-SUMIFS($K$2:$K$618,$B$2:$B$618,$B213,$C$2:$C$618,$C213,$D$2:$D$618,"Energy products",$E$2:$E$618,"Use",$G$2:$G$618,"&lt;&gt;STAT",$I$2:$I$618,"&lt;&gt;USO_NO_ENERGETICO_APARENTE",$I$2:$I$618,"&lt;&gt;USO_ENERGETICO_INTERNO_APARENTE"),10),IF(LEFT($H213,5)="STAT_",ROUND(SUMIFS($K$2:$K$618,$B$2:$B$618,$B213,$C$2:$C$618,$C213,$D$2:$D$618,"Energy products",$E$2:$E$618,"Supply",$G$2:$G$618,"&lt;&gt;STAT")-SUMIFS($K$2:$K$618,$B$2:$B$618,$B213,$C$2:$C$618,$C213,$D$2:$D$618,"Energy products",$E$2:$E$618,"Use",$G$2:$G$618,"&lt;&gt;STAT"),10),IF($J213="cambio de signo",-INDEX(DATOS_MODELO!$U$2:$U$3672,MATCH($H213,DATOS_MODELO!$B$2:$B$3672,0)),IF($J213="valor absoluto",ABS(INDEX(DATOS_MODELO!$U$2:$U$3672,MATCH($H213,DATOS_MODELO!$B$2:$B$3672,0))),INDEX(DATOS_MODELO!$U$2:$U$3672,MATCH($H213,DATOS_MODELO!$B$2:$B$3672,0))))))</f>
        <v>82714.3555</v>
      </c>
      <c r="L213" s="8" t="str">
        <f aca="false">IF(LEFT($H213,5)&lt;&gt;"STAT_","",IF(ABS($K213)&lt;=COUNTIFS($B$2:$B$618,$B213,$C$2:$C$618,$C213,$D$2:$D$618,"Energy products",$G$2:$G$618,"&lt;&gt;STAT")*PARAMETROS!$B$6,"redondeo","residuo_estadistico"))</f>
        <v/>
      </c>
      <c r="M213" s="8" t="str">
        <f>IF(OR($I213="USO_NO_ENERGETICO_APARENTE",$I213="USO_ENERGETICO_INTERNO_APARENTE"),"CAL",IF(LEFT($H213,5)="STAT_","FORMULA",IF(COUNTIF(DATOS_MODELO!$B$2:$B$3672,$H213)=1,"OK","REVISAR")))</f>
        <v>OK</v>
      </c>
    </row>
    <row r="214" customFormat="false" ht="15" hidden="false" customHeight="false" outlineLevel="0" collapsed="false">
      <c r="A214" s="4" t="s">
        <v>2488</v>
      </c>
      <c r="B214" s="12" t="n">
        <v>2022</v>
      </c>
      <c r="C214" s="4" t="s">
        <v>97</v>
      </c>
      <c r="D214" s="4" t="s">
        <v>1993</v>
      </c>
      <c r="E214" s="4" t="s">
        <v>2001</v>
      </c>
      <c r="F214" s="4" t="s">
        <v>2091</v>
      </c>
      <c r="G214" s="4" t="s">
        <v>69</v>
      </c>
      <c r="H214" s="4" t="s">
        <v>1315</v>
      </c>
      <c r="I214" s="4" t="s">
        <v>2030</v>
      </c>
      <c r="J214" s="4" t="s">
        <v>1997</v>
      </c>
      <c r="K214" s="14">
        <f>IF(OR($I214="USO_NO_ENERGETICO_APARENTE",$I214="USO_ENERGETICO_INTERNO_APARENTE"),ROUND(SUMIFS($K$2:$K$618,$B$2:$B$618,$B214,$C$2:$C$618,$C214,$D$2:$D$618,"Energy products",$E$2:$E$618,"Supply",$G$2:$G$618,"&lt;&gt;STAT")-SUMIFS($K$2:$K$618,$B$2:$B$618,$B214,$C$2:$C$618,$C214,$D$2:$D$618,"Energy products",$E$2:$E$618,"Use",$G$2:$G$618,"&lt;&gt;STAT",$I$2:$I$618,"&lt;&gt;USO_NO_ENERGETICO_APARENTE",$I$2:$I$618,"&lt;&gt;USO_ENERGETICO_INTERNO_APARENTE"),10),IF(LEFT($H214,5)="STAT_",ROUND(SUMIFS($K$2:$K$618,$B$2:$B$618,$B214,$C$2:$C$618,$C214,$D$2:$D$618,"Energy products",$E$2:$E$618,"Supply",$G$2:$G$618,"&lt;&gt;STAT")-SUMIFS($K$2:$K$618,$B$2:$B$618,$B214,$C$2:$C$618,$C214,$D$2:$D$618,"Energy products",$E$2:$E$618,"Use",$G$2:$G$618,"&lt;&gt;STAT"),10),IF($J214="cambio de signo",-INDEX(DATOS_MODELO!$U$2:$U$3672,MATCH($H214,DATOS_MODELO!$B$2:$B$3672,0)),IF($J214="valor absoluto",ABS(INDEX(DATOS_MODELO!$U$2:$U$3672,MATCH($H214,DATOS_MODELO!$B$2:$B$3672,0))),INDEX(DATOS_MODELO!$U$2:$U$3672,MATCH($H214,DATOS_MODELO!$B$2:$B$3672,0))))))</f>
        <v>476.0714</v>
      </c>
      <c r="L214" s="8" t="str">
        <f aca="false">IF(LEFT($H214,5)&lt;&gt;"STAT_","",IF(ABS($K214)&lt;=COUNTIFS($B$2:$B$618,$B214,$C$2:$C$618,$C214,$D$2:$D$618,"Energy products",$G$2:$G$618,"&lt;&gt;STAT")*PARAMETROS!$B$6,"redondeo","residuo_estadistico"))</f>
        <v/>
      </c>
      <c r="M214" s="8" t="str">
        <f>IF(OR($I214="USO_NO_ENERGETICO_APARENTE",$I214="USO_ENERGETICO_INTERNO_APARENTE"),"CAL",IF(LEFT($H214,5)="STAT_","FORMULA",IF(COUNTIF(DATOS_MODELO!$B$2:$B$3672,$H214)=1,"OK","REVISAR")))</f>
        <v>OK</v>
      </c>
    </row>
    <row r="215" customFormat="false" ht="15" hidden="false" customHeight="false" outlineLevel="0" collapsed="false">
      <c r="A215" s="4" t="s">
        <v>2490</v>
      </c>
      <c r="B215" s="12" t="n">
        <v>2022</v>
      </c>
      <c r="C215" s="4" t="s">
        <v>97</v>
      </c>
      <c r="D215" s="4" t="s">
        <v>1993</v>
      </c>
      <c r="E215" s="4" t="s">
        <v>2001</v>
      </c>
      <c r="F215" s="4" t="s">
        <v>2034</v>
      </c>
      <c r="G215" s="4" t="s">
        <v>74</v>
      </c>
      <c r="H215" s="4" t="s">
        <v>1316</v>
      </c>
      <c r="I215" s="4" t="s">
        <v>2035</v>
      </c>
      <c r="J215" s="4" t="s">
        <v>2036</v>
      </c>
      <c r="K215" s="14">
        <f>IF(OR($I215="USO_NO_ENERGETICO_APARENTE",$I215="USO_ENERGETICO_INTERNO_APARENTE"),ROUND(SUMIFS($K$2:$K$618,$B$2:$B$618,$B215,$C$2:$C$618,$C215,$D$2:$D$618,"Energy products",$E$2:$E$618,"Supply",$G$2:$G$618,"&lt;&gt;STAT")-SUMIFS($K$2:$K$618,$B$2:$B$618,$B215,$C$2:$C$618,$C215,$D$2:$D$618,"Energy products",$E$2:$E$618,"Use",$G$2:$G$618,"&lt;&gt;STAT",$I$2:$I$618,"&lt;&gt;USO_NO_ENERGETICO_APARENTE",$I$2:$I$618,"&lt;&gt;USO_ENERGETICO_INTERNO_APARENTE"),10),IF(LEFT($H215,5)="STAT_",ROUND(SUMIFS($K$2:$K$618,$B$2:$B$618,$B215,$C$2:$C$618,$C215,$D$2:$D$618,"Energy products",$E$2:$E$618,"Supply",$G$2:$G$618,"&lt;&gt;STAT")-SUMIFS($K$2:$K$618,$B$2:$B$618,$B215,$C$2:$C$618,$C215,$D$2:$D$618,"Energy products",$E$2:$E$618,"Use",$G$2:$G$618,"&lt;&gt;STAT"),10),IF($J215="cambio de signo",-INDEX(DATOS_MODELO!$U$2:$U$3672,MATCH($H215,DATOS_MODELO!$B$2:$B$3672,0)),IF($J215="valor absoluto",ABS(INDEX(DATOS_MODELO!$U$2:$U$3672,MATCH($H215,DATOS_MODELO!$B$2:$B$3672,0))),INDEX(DATOS_MODELO!$U$2:$U$3672,MATCH($H215,DATOS_MODELO!$B$2:$B$3672,0))))))</f>
        <v>-398.6241</v>
      </c>
      <c r="L215" s="8" t="str">
        <f aca="false">IF(LEFT($H215,5)&lt;&gt;"STAT_","",IF(ABS($K215)&lt;=COUNTIFS($B$2:$B$618,$B215,$C$2:$C$618,$C215,$D$2:$D$618,"Energy products",$G$2:$G$618,"&lt;&gt;STAT")*PARAMETROS!$B$6,"redondeo","residuo_estadistico"))</f>
        <v/>
      </c>
      <c r="M215" s="8" t="str">
        <f>IF(OR($I215="USO_NO_ENERGETICO_APARENTE",$I215="USO_ENERGETICO_INTERNO_APARENTE"),"CAL",IF(LEFT($H215,5)="STAT_","FORMULA",IF(COUNTIF(DATOS_MODELO!$B$2:$B$3672,$H215)=1,"OK","REVISAR")))</f>
        <v>OK</v>
      </c>
    </row>
    <row r="216" customFormat="false" ht="15" hidden="false" customHeight="false" outlineLevel="0" collapsed="false">
      <c r="A216" s="4" t="s">
        <v>2492</v>
      </c>
      <c r="B216" s="12" t="n">
        <v>2022</v>
      </c>
      <c r="C216" s="4" t="s">
        <v>97</v>
      </c>
      <c r="D216" s="4" t="s">
        <v>1993</v>
      </c>
      <c r="E216" s="4" t="s">
        <v>2001</v>
      </c>
      <c r="F216" s="4" t="s">
        <v>2002</v>
      </c>
      <c r="G216" s="4" t="s">
        <v>67</v>
      </c>
      <c r="H216" s="4" t="s">
        <v>1318</v>
      </c>
      <c r="I216" s="4" t="s">
        <v>2003</v>
      </c>
      <c r="J216" s="4" t="s">
        <v>2004</v>
      </c>
      <c r="K216" s="14">
        <f>IF(OR($I216="USO_NO_ENERGETICO_APARENTE",$I216="USO_ENERGETICO_INTERNO_APARENTE"),ROUND(SUMIFS($K$2:$K$618,$B$2:$B$618,$B216,$C$2:$C$618,$C216,$D$2:$D$618,"Energy products",$E$2:$E$618,"Supply",$G$2:$G$618,"&lt;&gt;STAT")-SUMIFS($K$2:$K$618,$B$2:$B$618,$B216,$C$2:$C$618,$C216,$D$2:$D$618,"Energy products",$E$2:$E$618,"Use",$G$2:$G$618,"&lt;&gt;STAT",$I$2:$I$618,"&lt;&gt;USO_NO_ENERGETICO_APARENTE",$I$2:$I$618,"&lt;&gt;USO_ENERGETICO_INTERNO_APARENTE"),10),IF(LEFT($H216,5)="STAT_",ROUND(SUMIFS($K$2:$K$618,$B$2:$B$618,$B216,$C$2:$C$618,$C216,$D$2:$D$618,"Energy products",$E$2:$E$618,"Supply",$G$2:$G$618,"&lt;&gt;STAT")-SUMIFS($K$2:$K$618,$B$2:$B$618,$B216,$C$2:$C$618,$C216,$D$2:$D$618,"Energy products",$E$2:$E$618,"Use",$G$2:$G$618,"&lt;&gt;STAT"),10),IF($J216="cambio de signo",-INDEX(DATOS_MODELO!$U$2:$U$3672,MATCH($H216,DATOS_MODELO!$B$2:$B$3672,0)),IF($J216="valor absoluto",ABS(INDEX(DATOS_MODELO!$U$2:$U$3672,MATCH($H216,DATOS_MODELO!$B$2:$B$3672,0))),INDEX(DATOS_MODELO!$U$2:$U$3672,MATCH($H216,DATOS_MODELO!$B$2:$B$3672,0))))))</f>
        <v>101.675</v>
      </c>
      <c r="L216" s="8" t="str">
        <f aca="false">IF(LEFT($H216,5)&lt;&gt;"STAT_","",IF(ABS($K216)&lt;=COUNTIFS($B$2:$B$618,$B216,$C$2:$C$618,$C216,$D$2:$D$618,"Energy products",$G$2:$G$618,"&lt;&gt;STAT")*PARAMETROS!$B$6,"redondeo","residuo_estadistico"))</f>
        <v/>
      </c>
      <c r="M216" s="8" t="str">
        <f>IF(OR($I216="USO_NO_ENERGETICO_APARENTE",$I216="USO_ENERGETICO_INTERNO_APARENTE"),"CAL",IF(LEFT($H216,5)="STAT_","FORMULA",IF(COUNTIF(DATOS_MODELO!$B$2:$B$3672,$H216)=1,"OK","REVISAR")))</f>
        <v>OK</v>
      </c>
    </row>
    <row r="217" customFormat="false" ht="15" hidden="false" customHeight="false" outlineLevel="0" collapsed="false">
      <c r="A217" s="4" t="s">
        <v>2494</v>
      </c>
      <c r="B217" s="12" t="n">
        <v>2022</v>
      </c>
      <c r="C217" s="4" t="s">
        <v>97</v>
      </c>
      <c r="D217" s="4" t="s">
        <v>1993</v>
      </c>
      <c r="E217" s="4" t="s">
        <v>2001</v>
      </c>
      <c r="F217" s="4" t="s">
        <v>2002</v>
      </c>
      <c r="G217" s="4" t="s">
        <v>71</v>
      </c>
      <c r="H217" s="4" t="s">
        <v>1321</v>
      </c>
      <c r="I217" s="4" t="s">
        <v>2123</v>
      </c>
      <c r="J217" s="4" t="s">
        <v>1997</v>
      </c>
      <c r="K217" s="14">
        <f>IF(OR($I217="USO_NO_ENERGETICO_APARENTE",$I217="USO_ENERGETICO_INTERNO_APARENTE"),ROUND(SUMIFS($K$2:$K$618,$B$2:$B$618,$B217,$C$2:$C$618,$C217,$D$2:$D$618,"Energy products",$E$2:$E$618,"Supply",$G$2:$G$618,"&lt;&gt;STAT")-SUMIFS($K$2:$K$618,$B$2:$B$618,$B217,$C$2:$C$618,$C217,$D$2:$D$618,"Energy products",$E$2:$E$618,"Use",$G$2:$G$618,"&lt;&gt;STAT",$I$2:$I$618,"&lt;&gt;USO_NO_ENERGETICO_APARENTE",$I$2:$I$618,"&lt;&gt;USO_ENERGETICO_INTERNO_APARENTE"),10),IF(LEFT($H217,5)="STAT_",ROUND(SUMIFS($K$2:$K$618,$B$2:$B$618,$B217,$C$2:$C$618,$C217,$D$2:$D$618,"Energy products",$E$2:$E$618,"Supply",$G$2:$G$618,"&lt;&gt;STAT")-SUMIFS($K$2:$K$618,$B$2:$B$618,$B217,$C$2:$C$618,$C217,$D$2:$D$618,"Energy products",$E$2:$E$618,"Use",$G$2:$G$618,"&lt;&gt;STAT"),10),IF($J217="cambio de signo",-INDEX(DATOS_MODELO!$U$2:$U$3672,MATCH($H217,DATOS_MODELO!$B$2:$B$3672,0)),IF($J217="valor absoluto",ABS(INDEX(DATOS_MODELO!$U$2:$U$3672,MATCH($H217,DATOS_MODELO!$B$2:$B$3672,0))),INDEX(DATOS_MODELO!$U$2:$U$3672,MATCH($H217,DATOS_MODELO!$B$2:$B$3672,0))))))</f>
        <v>75932.4006</v>
      </c>
      <c r="L217" s="8" t="str">
        <f aca="false">IF(LEFT($H217,5)&lt;&gt;"STAT_","",IF(ABS($K217)&lt;=COUNTIFS($B$2:$B$618,$B217,$C$2:$C$618,$C217,$D$2:$D$618,"Energy products",$G$2:$G$618,"&lt;&gt;STAT")*PARAMETROS!$B$6,"redondeo","residuo_estadistico"))</f>
        <v/>
      </c>
      <c r="M217" s="8" t="str">
        <f>IF(OR($I217="USO_NO_ENERGETICO_APARENTE",$I217="USO_ENERGETICO_INTERNO_APARENTE"),"CAL",IF(LEFT($H217,5)="STAT_","FORMULA",IF(COUNTIF(DATOS_MODELO!$B$2:$B$3672,$H217)=1,"OK","REVISAR")))</f>
        <v>OK</v>
      </c>
    </row>
    <row r="218" customFormat="false" ht="15" hidden="false" customHeight="false" outlineLevel="0" collapsed="false">
      <c r="A218" s="4" t="s">
        <v>2496</v>
      </c>
      <c r="B218" s="12" t="n">
        <v>2022</v>
      </c>
      <c r="C218" s="4" t="s">
        <v>97</v>
      </c>
      <c r="D218" s="4" t="s">
        <v>1993</v>
      </c>
      <c r="E218" s="4" t="s">
        <v>2001</v>
      </c>
      <c r="F218" s="4" t="s">
        <v>2002</v>
      </c>
      <c r="G218" s="4" t="s">
        <v>68</v>
      </c>
      <c r="H218" s="4" t="s">
        <v>1324</v>
      </c>
      <c r="I218" s="4" t="s">
        <v>2111</v>
      </c>
      <c r="J218" s="4" t="s">
        <v>1997</v>
      </c>
      <c r="K218" s="14">
        <f>IF(OR($I218="USO_NO_ENERGETICO_APARENTE",$I218="USO_ENERGETICO_INTERNO_APARENTE"),ROUND(SUMIFS($K$2:$K$618,$B$2:$B$618,$B218,$C$2:$C$618,$C218,$D$2:$D$618,"Energy products",$E$2:$E$618,"Supply",$G$2:$G$618,"&lt;&gt;STAT")-SUMIFS($K$2:$K$618,$B$2:$B$618,$B218,$C$2:$C$618,$C218,$D$2:$D$618,"Energy products",$E$2:$E$618,"Use",$G$2:$G$618,"&lt;&gt;STAT",$I$2:$I$618,"&lt;&gt;USO_NO_ENERGETICO_APARENTE",$I$2:$I$618,"&lt;&gt;USO_ENERGETICO_INTERNO_APARENTE"),10),IF(LEFT($H218,5)="STAT_",ROUND(SUMIFS($K$2:$K$618,$B$2:$B$618,$B218,$C$2:$C$618,$C218,$D$2:$D$618,"Energy products",$E$2:$E$618,"Supply",$G$2:$G$618,"&lt;&gt;STAT")-SUMIFS($K$2:$K$618,$B$2:$B$618,$B218,$C$2:$C$618,$C218,$D$2:$D$618,"Energy products",$E$2:$E$618,"Use",$G$2:$G$618,"&lt;&gt;STAT"),10),IF($J218="cambio de signo",-INDEX(DATOS_MODELO!$U$2:$U$3672,MATCH($H218,DATOS_MODELO!$B$2:$B$3672,0)),IF($J218="valor absoluto",ABS(INDEX(DATOS_MODELO!$U$2:$U$3672,MATCH($H218,DATOS_MODELO!$B$2:$B$3672,0))),INDEX(DATOS_MODELO!$U$2:$U$3672,MATCH($H218,DATOS_MODELO!$B$2:$B$3672,0))))))</f>
        <v>6602.8326</v>
      </c>
      <c r="L218" s="8" t="str">
        <f aca="false">IF(LEFT($H218,5)&lt;&gt;"STAT_","",IF(ABS($K218)&lt;=COUNTIFS($B$2:$B$618,$B218,$C$2:$C$618,$C218,$D$2:$D$618,"Energy products",$G$2:$G$618,"&lt;&gt;STAT")*PARAMETROS!$B$6,"redondeo","residuo_estadistico"))</f>
        <v/>
      </c>
      <c r="M218" s="8" t="str">
        <f>IF(OR($I218="USO_NO_ENERGETICO_APARENTE",$I218="USO_ENERGETICO_INTERNO_APARENTE"),"CAL",IF(LEFT($H218,5)="STAT_","FORMULA",IF(COUNTIF(DATOS_MODELO!$B$2:$B$3672,$H218)=1,"OK","REVISAR")))</f>
        <v>OK</v>
      </c>
    </row>
    <row r="219" customFormat="false" ht="15" hidden="false" customHeight="false" outlineLevel="0" collapsed="false">
      <c r="A219" s="4" t="s">
        <v>2498</v>
      </c>
      <c r="B219" s="12" t="n">
        <v>2022</v>
      </c>
      <c r="C219" s="4" t="s">
        <v>99</v>
      </c>
      <c r="D219" s="4" t="s">
        <v>1993</v>
      </c>
      <c r="E219" s="4" t="s">
        <v>1994</v>
      </c>
      <c r="F219" s="4" t="s">
        <v>2029</v>
      </c>
      <c r="G219" s="4" t="s">
        <v>69</v>
      </c>
      <c r="H219" s="4" t="s">
        <v>1328</v>
      </c>
      <c r="I219" s="4" t="s">
        <v>2030</v>
      </c>
      <c r="J219" s="4" t="s">
        <v>1997</v>
      </c>
      <c r="K219" s="14">
        <f>IF(OR($I219="USO_NO_ENERGETICO_APARENTE",$I219="USO_ENERGETICO_INTERNO_APARENTE"),ROUND(SUMIFS($K$2:$K$618,$B$2:$B$618,$B219,$C$2:$C$618,$C219,$D$2:$D$618,"Energy products",$E$2:$E$618,"Supply",$G$2:$G$618,"&lt;&gt;STAT")-SUMIFS($K$2:$K$618,$B$2:$B$618,$B219,$C$2:$C$618,$C219,$D$2:$D$618,"Energy products",$E$2:$E$618,"Use",$G$2:$G$618,"&lt;&gt;STAT",$I$2:$I$618,"&lt;&gt;USO_NO_ENERGETICO_APARENTE",$I$2:$I$618,"&lt;&gt;USO_ENERGETICO_INTERNO_APARENTE"),10),IF(LEFT($H219,5)="STAT_",ROUND(SUMIFS($K$2:$K$618,$B$2:$B$618,$B219,$C$2:$C$618,$C219,$D$2:$D$618,"Energy products",$E$2:$E$618,"Supply",$G$2:$G$618,"&lt;&gt;STAT")-SUMIFS($K$2:$K$618,$B$2:$B$618,$B219,$C$2:$C$618,$C219,$D$2:$D$618,"Energy products",$E$2:$E$618,"Use",$G$2:$G$618,"&lt;&gt;STAT"),10),IF($J219="cambio de signo",-INDEX(DATOS_MODELO!$U$2:$U$3672,MATCH($H219,DATOS_MODELO!$B$2:$B$3672,0)),IF($J219="valor absoluto",ABS(INDEX(DATOS_MODELO!$U$2:$U$3672,MATCH($H219,DATOS_MODELO!$B$2:$B$3672,0))),INDEX(DATOS_MODELO!$U$2:$U$3672,MATCH($H219,DATOS_MODELO!$B$2:$B$3672,0))))))</f>
        <v>5330.675</v>
      </c>
      <c r="L219" s="8" t="str">
        <f aca="false">IF(LEFT($H219,5)&lt;&gt;"STAT_","",IF(ABS($K219)&lt;=COUNTIFS($B$2:$B$618,$B219,$C$2:$C$618,$C219,$D$2:$D$618,"Energy products",$G$2:$G$618,"&lt;&gt;STAT")*PARAMETROS!$B$6,"redondeo","residuo_estadistico"))</f>
        <v/>
      </c>
      <c r="M219" s="8" t="str">
        <f>IF(OR($I219="USO_NO_ENERGETICO_APARENTE",$I219="USO_ENERGETICO_INTERNO_APARENTE"),"CAL",IF(LEFT($H219,5)="STAT_","FORMULA",IF(COUNTIF(DATOS_MODELO!$B$2:$B$3672,$H219)=1,"OK","REVISAR")))</f>
        <v>OK</v>
      </c>
    </row>
    <row r="220" customFormat="false" ht="15" hidden="false" customHeight="false" outlineLevel="0" collapsed="false">
      <c r="A220" s="4" t="s">
        <v>2500</v>
      </c>
      <c r="B220" s="12" t="n">
        <v>2022</v>
      </c>
      <c r="C220" s="4" t="s">
        <v>99</v>
      </c>
      <c r="D220" s="4" t="s">
        <v>1993</v>
      </c>
      <c r="E220" s="4" t="s">
        <v>2001</v>
      </c>
      <c r="F220" s="4" t="s">
        <v>2091</v>
      </c>
      <c r="G220" s="4" t="s">
        <v>69</v>
      </c>
      <c r="H220" s="4" t="s">
        <v>1329</v>
      </c>
      <c r="I220" s="4" t="s">
        <v>2030</v>
      </c>
      <c r="J220" s="4" t="s">
        <v>1997</v>
      </c>
      <c r="K220" s="14">
        <f>IF(OR($I220="USO_NO_ENERGETICO_APARENTE",$I220="USO_ENERGETICO_INTERNO_APARENTE"),ROUND(SUMIFS($K$2:$K$618,$B$2:$B$618,$B220,$C$2:$C$618,$C220,$D$2:$D$618,"Energy products",$E$2:$E$618,"Supply",$G$2:$G$618,"&lt;&gt;STAT")-SUMIFS($K$2:$K$618,$B$2:$B$618,$B220,$C$2:$C$618,$C220,$D$2:$D$618,"Energy products",$E$2:$E$618,"Use",$G$2:$G$618,"&lt;&gt;STAT",$I$2:$I$618,"&lt;&gt;USO_NO_ENERGETICO_APARENTE",$I$2:$I$618,"&lt;&gt;USO_ENERGETICO_INTERNO_APARENTE"),10),IF(LEFT($H220,5)="STAT_",ROUND(SUMIFS($K$2:$K$618,$B$2:$B$618,$B220,$C$2:$C$618,$C220,$D$2:$D$618,"Energy products",$E$2:$E$618,"Supply",$G$2:$G$618,"&lt;&gt;STAT")-SUMIFS($K$2:$K$618,$B$2:$B$618,$B220,$C$2:$C$618,$C220,$D$2:$D$618,"Energy products",$E$2:$E$618,"Use",$G$2:$G$618,"&lt;&gt;STAT"),10),IF($J220="cambio de signo",-INDEX(DATOS_MODELO!$U$2:$U$3672,MATCH($H220,DATOS_MODELO!$B$2:$B$3672,0)),IF($J220="valor absoluto",ABS(INDEX(DATOS_MODELO!$U$2:$U$3672,MATCH($H220,DATOS_MODELO!$B$2:$B$3672,0))),INDEX(DATOS_MODELO!$U$2:$U$3672,MATCH($H220,DATOS_MODELO!$B$2:$B$3672,0))))))</f>
        <v>3974.0981</v>
      </c>
      <c r="L220" s="8" t="str">
        <f aca="false">IF(LEFT($H220,5)&lt;&gt;"STAT_","",IF(ABS($K220)&lt;=COUNTIFS($B$2:$B$618,$B220,$C$2:$C$618,$C220,$D$2:$D$618,"Energy products",$G$2:$G$618,"&lt;&gt;STAT")*PARAMETROS!$B$6,"redondeo","residuo_estadistico"))</f>
        <v/>
      </c>
      <c r="M220" s="8" t="str">
        <f>IF(OR($I220="USO_NO_ENERGETICO_APARENTE",$I220="USO_ENERGETICO_INTERNO_APARENTE"),"CAL",IF(LEFT($H220,5)="STAT_","FORMULA",IF(COUNTIF(DATOS_MODELO!$B$2:$B$3672,$H220)=1,"OK","REVISAR")))</f>
        <v>OK</v>
      </c>
    </row>
    <row r="221" customFormat="false" ht="15" hidden="false" customHeight="false" outlineLevel="0" collapsed="false">
      <c r="A221" s="4" t="s">
        <v>2502</v>
      </c>
      <c r="B221" s="12" t="n">
        <v>2022</v>
      </c>
      <c r="C221" s="4" t="s">
        <v>99</v>
      </c>
      <c r="D221" s="4" t="s">
        <v>1993</v>
      </c>
      <c r="E221" s="4" t="s">
        <v>1994</v>
      </c>
      <c r="F221" s="4" t="s">
        <v>1995</v>
      </c>
      <c r="G221" s="4" t="s">
        <v>67</v>
      </c>
      <c r="H221" s="4" t="s">
        <v>1332</v>
      </c>
      <c r="I221" s="4" t="s">
        <v>2003</v>
      </c>
      <c r="J221" s="4" t="s">
        <v>1997</v>
      </c>
      <c r="K221" s="14">
        <f>IF(OR($I221="USO_NO_ENERGETICO_APARENTE",$I221="USO_ENERGETICO_INTERNO_APARENTE"),ROUND(SUMIFS($K$2:$K$618,$B$2:$B$618,$B221,$C$2:$C$618,$C221,$D$2:$D$618,"Energy products",$E$2:$E$618,"Supply",$G$2:$G$618,"&lt;&gt;STAT")-SUMIFS($K$2:$K$618,$B$2:$B$618,$B221,$C$2:$C$618,$C221,$D$2:$D$618,"Energy products",$E$2:$E$618,"Use",$G$2:$G$618,"&lt;&gt;STAT",$I$2:$I$618,"&lt;&gt;USO_NO_ENERGETICO_APARENTE",$I$2:$I$618,"&lt;&gt;USO_ENERGETICO_INTERNO_APARENTE"),10),IF(LEFT($H221,5)="STAT_",ROUND(SUMIFS($K$2:$K$618,$B$2:$B$618,$B221,$C$2:$C$618,$C221,$D$2:$D$618,"Energy products",$E$2:$E$618,"Supply",$G$2:$G$618,"&lt;&gt;STAT")-SUMIFS($K$2:$K$618,$B$2:$B$618,$B221,$C$2:$C$618,$C221,$D$2:$D$618,"Energy products",$E$2:$E$618,"Use",$G$2:$G$618,"&lt;&gt;STAT"),10),IF($J221="cambio de signo",-INDEX(DATOS_MODELO!$U$2:$U$3672,MATCH($H221,DATOS_MODELO!$B$2:$B$3672,0)),IF($J221="valor absoluto",ABS(INDEX(DATOS_MODELO!$U$2:$U$3672,MATCH($H221,DATOS_MODELO!$B$2:$B$3672,0))),INDEX(DATOS_MODELO!$U$2:$U$3672,MATCH($H221,DATOS_MODELO!$B$2:$B$3672,0))))))</f>
        <v>44470.3791</v>
      </c>
      <c r="L221" s="8" t="str">
        <f aca="false">IF(LEFT($H221,5)&lt;&gt;"STAT_","",IF(ABS($K221)&lt;=COUNTIFS($B$2:$B$618,$B221,$C$2:$C$618,$C221,$D$2:$D$618,"Energy products",$G$2:$G$618,"&lt;&gt;STAT")*PARAMETROS!$B$6,"redondeo","residuo_estadistico"))</f>
        <v/>
      </c>
      <c r="M221" s="8" t="str">
        <f>IF(OR($I221="USO_NO_ENERGETICO_APARENTE",$I221="USO_ENERGETICO_INTERNO_APARENTE"),"CAL",IF(LEFT($H221,5)="STAT_","FORMULA",IF(COUNTIF(DATOS_MODELO!$B$2:$B$3672,$H221)=1,"OK","REVISAR")))</f>
        <v>OK</v>
      </c>
    </row>
    <row r="222" customFormat="false" ht="15" hidden="false" customHeight="false" outlineLevel="0" collapsed="false">
      <c r="A222" s="4" t="s">
        <v>2504</v>
      </c>
      <c r="B222" s="12" t="n">
        <v>2022</v>
      </c>
      <c r="C222" s="4" t="s">
        <v>99</v>
      </c>
      <c r="D222" s="4" t="s">
        <v>1993</v>
      </c>
      <c r="E222" s="4" t="s">
        <v>1994</v>
      </c>
      <c r="F222" s="4" t="s">
        <v>1995</v>
      </c>
      <c r="G222" s="4" t="s">
        <v>67</v>
      </c>
      <c r="H222" s="4" t="s">
        <v>1333</v>
      </c>
      <c r="I222" s="4" t="s">
        <v>2008</v>
      </c>
      <c r="J222" s="4" t="s">
        <v>1997</v>
      </c>
      <c r="K222" s="14">
        <f>IF(OR($I222="USO_NO_ENERGETICO_APARENTE",$I222="USO_ENERGETICO_INTERNO_APARENTE"),ROUND(SUMIFS($K$2:$K$618,$B$2:$B$618,$B222,$C$2:$C$618,$C222,$D$2:$D$618,"Energy products",$E$2:$E$618,"Supply",$G$2:$G$618,"&lt;&gt;STAT")-SUMIFS($K$2:$K$618,$B$2:$B$618,$B222,$C$2:$C$618,$C222,$D$2:$D$618,"Energy products",$E$2:$E$618,"Use",$G$2:$G$618,"&lt;&gt;STAT",$I$2:$I$618,"&lt;&gt;USO_NO_ENERGETICO_APARENTE",$I$2:$I$618,"&lt;&gt;USO_ENERGETICO_INTERNO_APARENTE"),10),IF(LEFT($H222,5)="STAT_",ROUND(SUMIFS($K$2:$K$618,$B$2:$B$618,$B222,$C$2:$C$618,$C222,$D$2:$D$618,"Energy products",$E$2:$E$618,"Supply",$G$2:$G$618,"&lt;&gt;STAT")-SUMIFS($K$2:$K$618,$B$2:$B$618,$B222,$C$2:$C$618,$C222,$D$2:$D$618,"Energy products",$E$2:$E$618,"Use",$G$2:$G$618,"&lt;&gt;STAT"),10),IF($J222="cambio de signo",-INDEX(DATOS_MODELO!$U$2:$U$3672,MATCH($H222,DATOS_MODELO!$B$2:$B$3672,0)),IF($J222="valor absoluto",ABS(INDEX(DATOS_MODELO!$U$2:$U$3672,MATCH($H222,DATOS_MODELO!$B$2:$B$3672,0))),INDEX(DATOS_MODELO!$U$2:$U$3672,MATCH($H222,DATOS_MODELO!$B$2:$B$3672,0))))))</f>
        <v>2860.9021</v>
      </c>
      <c r="L222" s="8" t="str">
        <f aca="false">IF(LEFT($H222,5)&lt;&gt;"STAT_","",IF(ABS($K222)&lt;=COUNTIFS($B$2:$B$618,$B222,$C$2:$C$618,$C222,$D$2:$D$618,"Energy products",$G$2:$G$618,"&lt;&gt;STAT")*PARAMETROS!$B$6,"redondeo","residuo_estadistico"))</f>
        <v/>
      </c>
      <c r="M222" s="8" t="str">
        <f>IF(OR($I222="USO_NO_ENERGETICO_APARENTE",$I222="USO_ENERGETICO_INTERNO_APARENTE"),"CAL",IF(LEFT($H222,5)="STAT_","FORMULA",IF(COUNTIF(DATOS_MODELO!$B$2:$B$3672,$H222)=1,"OK","REVISAR")))</f>
        <v>OK</v>
      </c>
    </row>
    <row r="223" customFormat="false" ht="15" hidden="false" customHeight="false" outlineLevel="0" collapsed="false">
      <c r="A223" s="4" t="s">
        <v>2506</v>
      </c>
      <c r="B223" s="12" t="n">
        <v>2022</v>
      </c>
      <c r="C223" s="4" t="s">
        <v>99</v>
      </c>
      <c r="D223" s="4" t="s">
        <v>1993</v>
      </c>
      <c r="E223" s="4" t="s">
        <v>2001</v>
      </c>
      <c r="F223" s="4" t="s">
        <v>2002</v>
      </c>
      <c r="G223" s="4" t="s">
        <v>67</v>
      </c>
      <c r="H223" s="4" t="s">
        <v>1334</v>
      </c>
      <c r="I223" s="4" t="s">
        <v>2139</v>
      </c>
      <c r="J223" s="4" t="s">
        <v>1997</v>
      </c>
      <c r="K223" s="14">
        <f>IF(OR($I223="USO_NO_ENERGETICO_APARENTE",$I223="USO_ENERGETICO_INTERNO_APARENTE"),ROUND(SUMIFS($K$2:$K$618,$B$2:$B$618,$B223,$C$2:$C$618,$C223,$D$2:$D$618,"Energy products",$E$2:$E$618,"Supply",$G$2:$G$618,"&lt;&gt;STAT")-SUMIFS($K$2:$K$618,$B$2:$B$618,$B223,$C$2:$C$618,$C223,$D$2:$D$618,"Energy products",$E$2:$E$618,"Use",$G$2:$G$618,"&lt;&gt;STAT",$I$2:$I$618,"&lt;&gt;USO_NO_ENERGETICO_APARENTE",$I$2:$I$618,"&lt;&gt;USO_ENERGETICO_INTERNO_APARENTE"),10),IF(LEFT($H223,5)="STAT_",ROUND(SUMIFS($K$2:$K$618,$B$2:$B$618,$B223,$C$2:$C$618,$C223,$D$2:$D$618,"Energy products",$E$2:$E$618,"Supply",$G$2:$G$618,"&lt;&gt;STAT")-SUMIFS($K$2:$K$618,$B$2:$B$618,$B223,$C$2:$C$618,$C223,$D$2:$D$618,"Energy products",$E$2:$E$618,"Use",$G$2:$G$618,"&lt;&gt;STAT"),10),IF($J223="cambio de signo",-INDEX(DATOS_MODELO!$U$2:$U$3672,MATCH($H223,DATOS_MODELO!$B$2:$B$3672,0)),IF($J223="valor absoluto",ABS(INDEX(DATOS_MODELO!$U$2:$U$3672,MATCH($H223,DATOS_MODELO!$B$2:$B$3672,0))),INDEX(DATOS_MODELO!$U$2:$U$3672,MATCH($H223,DATOS_MODELO!$B$2:$B$3672,0))))))</f>
        <v>2000.1506</v>
      </c>
      <c r="L223" s="8" t="str">
        <f aca="false">IF(LEFT($H223,5)&lt;&gt;"STAT_","",IF(ABS($K223)&lt;=COUNTIFS($B$2:$B$618,$B223,$C$2:$C$618,$C223,$D$2:$D$618,"Energy products",$G$2:$G$618,"&lt;&gt;STAT")*PARAMETROS!$B$6,"redondeo","residuo_estadistico"))</f>
        <v/>
      </c>
      <c r="M223" s="8" t="str">
        <f>IF(OR($I223="USO_NO_ENERGETICO_APARENTE",$I223="USO_ENERGETICO_INTERNO_APARENTE"),"CAL",IF(LEFT($H223,5)="STAT_","FORMULA",IF(COUNTIF(DATOS_MODELO!$B$2:$B$3672,$H223)=1,"OK","REVISAR")))</f>
        <v>OK</v>
      </c>
    </row>
    <row r="224" customFormat="false" ht="15" hidden="false" customHeight="false" outlineLevel="0" collapsed="false">
      <c r="A224" s="4" t="s">
        <v>2508</v>
      </c>
      <c r="B224" s="12" t="n">
        <v>2022</v>
      </c>
      <c r="C224" s="4" t="s">
        <v>99</v>
      </c>
      <c r="D224" s="4" t="s">
        <v>1993</v>
      </c>
      <c r="E224" s="4" t="s">
        <v>2001</v>
      </c>
      <c r="F224" s="4" t="s">
        <v>2074</v>
      </c>
      <c r="G224" s="4" t="s">
        <v>73</v>
      </c>
      <c r="H224" s="4" t="s">
        <v>1336</v>
      </c>
      <c r="I224" s="4" t="s">
        <v>2075</v>
      </c>
      <c r="J224" s="4" t="s">
        <v>1997</v>
      </c>
      <c r="K224" s="14">
        <f>IF(OR($I224="USO_NO_ENERGETICO_APARENTE",$I224="USO_ENERGETICO_INTERNO_APARENTE"),ROUND(SUMIFS($K$2:$K$618,$B$2:$B$618,$B224,$C$2:$C$618,$C224,$D$2:$D$618,"Energy products",$E$2:$E$618,"Supply",$G$2:$G$618,"&lt;&gt;STAT")-SUMIFS($K$2:$K$618,$B$2:$B$618,$B224,$C$2:$C$618,$C224,$D$2:$D$618,"Energy products",$E$2:$E$618,"Use",$G$2:$G$618,"&lt;&gt;STAT",$I$2:$I$618,"&lt;&gt;USO_NO_ENERGETICO_APARENTE",$I$2:$I$618,"&lt;&gt;USO_ENERGETICO_INTERNO_APARENTE"),10),IF(LEFT($H224,5)="STAT_",ROUND(SUMIFS($K$2:$K$618,$B$2:$B$618,$B224,$C$2:$C$618,$C224,$D$2:$D$618,"Energy products",$E$2:$E$618,"Supply",$G$2:$G$618,"&lt;&gt;STAT")-SUMIFS($K$2:$K$618,$B$2:$B$618,$B224,$C$2:$C$618,$C224,$D$2:$D$618,"Energy products",$E$2:$E$618,"Use",$G$2:$G$618,"&lt;&gt;STAT"),10),IF($J224="cambio de signo",-INDEX(DATOS_MODELO!$U$2:$U$3672,MATCH($H224,DATOS_MODELO!$B$2:$B$3672,0)),IF($J224="valor absoluto",ABS(INDEX(DATOS_MODELO!$U$2:$U$3672,MATCH($H224,DATOS_MODELO!$B$2:$B$3672,0))),INDEX(DATOS_MODELO!$U$2:$U$3672,MATCH($H224,DATOS_MODELO!$B$2:$B$3672,0))))))</f>
        <v>14717.1948</v>
      </c>
      <c r="L224" s="8" t="str">
        <f aca="false">IF(LEFT($H224,5)&lt;&gt;"STAT_","",IF(ABS($K224)&lt;=COUNTIFS($B$2:$B$618,$B224,$C$2:$C$618,$C224,$D$2:$D$618,"Energy products",$G$2:$G$618,"&lt;&gt;STAT")*PARAMETROS!$B$6,"redondeo","residuo_estadistico"))</f>
        <v/>
      </c>
      <c r="M224" s="8" t="str">
        <f>IF(OR($I224="USO_NO_ENERGETICO_APARENTE",$I224="USO_ENERGETICO_INTERNO_APARENTE"),"CAL",IF(LEFT($H224,5)="STAT_","FORMULA",IF(COUNTIF(DATOS_MODELO!$B$2:$B$3672,$H224)=1,"OK","REVISAR")))</f>
        <v>OK</v>
      </c>
    </row>
    <row r="225" customFormat="false" ht="15" hidden="false" customHeight="false" outlineLevel="0" collapsed="false">
      <c r="A225" s="4" t="s">
        <v>2510</v>
      </c>
      <c r="B225" s="12" t="n">
        <v>2022</v>
      </c>
      <c r="C225" s="4" t="s">
        <v>99</v>
      </c>
      <c r="D225" s="4" t="s">
        <v>1993</v>
      </c>
      <c r="E225" s="4" t="s">
        <v>2001</v>
      </c>
      <c r="F225" s="4" t="s">
        <v>2002</v>
      </c>
      <c r="G225" s="4" t="s">
        <v>72</v>
      </c>
      <c r="H225" s="4" t="s">
        <v>1337</v>
      </c>
      <c r="I225" s="4" t="s">
        <v>2079</v>
      </c>
      <c r="J225" s="4" t="s">
        <v>1997</v>
      </c>
      <c r="K225" s="14">
        <f>IF(OR($I225="USO_NO_ENERGETICO_APARENTE",$I225="USO_ENERGETICO_INTERNO_APARENTE"),ROUND(SUMIFS($K$2:$K$618,$B$2:$B$618,$B225,$C$2:$C$618,$C225,$D$2:$D$618,"Energy products",$E$2:$E$618,"Supply",$G$2:$G$618,"&lt;&gt;STAT")-SUMIFS($K$2:$K$618,$B$2:$B$618,$B225,$C$2:$C$618,$C225,$D$2:$D$618,"Energy products",$E$2:$E$618,"Use",$G$2:$G$618,"&lt;&gt;STAT",$I$2:$I$618,"&lt;&gt;USO_NO_ENERGETICO_APARENTE",$I$2:$I$618,"&lt;&gt;USO_ENERGETICO_INTERNO_APARENTE"),10),IF(LEFT($H225,5)="STAT_",ROUND(SUMIFS($K$2:$K$618,$B$2:$B$618,$B225,$C$2:$C$618,$C225,$D$2:$D$618,"Energy products",$E$2:$E$618,"Supply",$G$2:$G$618,"&lt;&gt;STAT")-SUMIFS($K$2:$K$618,$B$2:$B$618,$B225,$C$2:$C$618,$C225,$D$2:$D$618,"Energy products",$E$2:$E$618,"Use",$G$2:$G$618,"&lt;&gt;STAT"),10),IF($J225="cambio de signo",-INDEX(DATOS_MODELO!$U$2:$U$3672,MATCH($H225,DATOS_MODELO!$B$2:$B$3672,0)),IF($J225="valor absoluto",ABS(INDEX(DATOS_MODELO!$U$2:$U$3672,MATCH($H225,DATOS_MODELO!$B$2:$B$3672,0))),INDEX(DATOS_MODELO!$U$2:$U$3672,MATCH($H225,DATOS_MODELO!$B$2:$B$3672,0))))))</f>
        <v>10452.0157</v>
      </c>
      <c r="L225" s="8" t="str">
        <f aca="false">IF(LEFT($H225,5)&lt;&gt;"STAT_","",IF(ABS($K225)&lt;=COUNTIFS($B$2:$B$618,$B225,$C$2:$C$618,$C225,$D$2:$D$618,"Energy products",$G$2:$G$618,"&lt;&gt;STAT")*PARAMETROS!$B$6,"redondeo","residuo_estadistico"))</f>
        <v/>
      </c>
      <c r="M225" s="8" t="str">
        <f>IF(OR($I225="USO_NO_ENERGETICO_APARENTE",$I225="USO_ENERGETICO_INTERNO_APARENTE"),"CAL",IF(LEFT($H225,5)="STAT_","FORMULA",IF(COUNTIF(DATOS_MODELO!$B$2:$B$3672,$H225)=1,"OK","REVISAR")))</f>
        <v>OK</v>
      </c>
    </row>
    <row r="226" customFormat="false" ht="15" hidden="false" customHeight="false" outlineLevel="0" collapsed="false">
      <c r="A226" s="4" t="s">
        <v>2512</v>
      </c>
      <c r="B226" s="12" t="n">
        <v>2022</v>
      </c>
      <c r="C226" s="4" t="s">
        <v>99</v>
      </c>
      <c r="D226" s="4" t="s">
        <v>1993</v>
      </c>
      <c r="E226" s="4" t="s">
        <v>2001</v>
      </c>
      <c r="F226" s="4" t="s">
        <v>2002</v>
      </c>
      <c r="G226" s="4" t="s">
        <v>68</v>
      </c>
      <c r="H226" s="4" t="s">
        <v>1338</v>
      </c>
      <c r="I226" s="4" t="s">
        <v>2111</v>
      </c>
      <c r="J226" s="4" t="s">
        <v>1997</v>
      </c>
      <c r="K226" s="14">
        <f>IF(OR($I226="USO_NO_ENERGETICO_APARENTE",$I226="USO_ENERGETICO_INTERNO_APARENTE"),ROUND(SUMIFS($K$2:$K$618,$B$2:$B$618,$B226,$C$2:$C$618,$C226,$D$2:$D$618,"Energy products",$E$2:$E$618,"Supply",$G$2:$G$618,"&lt;&gt;STAT")-SUMIFS($K$2:$K$618,$B$2:$B$618,$B226,$C$2:$C$618,$C226,$D$2:$D$618,"Energy products",$E$2:$E$618,"Use",$G$2:$G$618,"&lt;&gt;STAT",$I$2:$I$618,"&lt;&gt;USO_NO_ENERGETICO_APARENTE",$I$2:$I$618,"&lt;&gt;USO_ENERGETICO_INTERNO_APARENTE"),10),IF(LEFT($H226,5)="STAT_",ROUND(SUMIFS($K$2:$K$618,$B$2:$B$618,$B226,$C$2:$C$618,$C226,$D$2:$D$618,"Energy products",$E$2:$E$618,"Supply",$G$2:$G$618,"&lt;&gt;STAT")-SUMIFS($K$2:$K$618,$B$2:$B$618,$B226,$C$2:$C$618,$C226,$D$2:$D$618,"Energy products",$E$2:$E$618,"Use",$G$2:$G$618,"&lt;&gt;STAT"),10),IF($J226="cambio de signo",-INDEX(DATOS_MODELO!$U$2:$U$3672,MATCH($H226,DATOS_MODELO!$B$2:$B$3672,0)),IF($J226="valor absoluto",ABS(INDEX(DATOS_MODELO!$U$2:$U$3672,MATCH($H226,DATOS_MODELO!$B$2:$B$3672,0))),INDEX(DATOS_MODELO!$U$2:$U$3672,MATCH($H226,DATOS_MODELO!$B$2:$B$3672,0))))))</f>
        <v>15335.495</v>
      </c>
      <c r="L226" s="8" t="str">
        <f aca="false">IF(LEFT($H226,5)&lt;&gt;"STAT_","",IF(ABS($K226)&lt;=COUNTIFS($B$2:$B$618,$B226,$C$2:$C$618,$C226,$D$2:$D$618,"Energy products",$G$2:$G$618,"&lt;&gt;STAT")*PARAMETROS!$B$6,"redondeo","residuo_estadistico"))</f>
        <v/>
      </c>
      <c r="M226" s="8" t="str">
        <f>IF(OR($I226="USO_NO_ENERGETICO_APARENTE",$I226="USO_ENERGETICO_INTERNO_APARENTE"),"CAL",IF(LEFT($H226,5)="STAT_","FORMULA",IF(COUNTIF(DATOS_MODELO!$B$2:$B$3672,$H226)=1,"OK","REVISAR")))</f>
        <v>OK</v>
      </c>
    </row>
    <row r="227" customFormat="false" ht="15" hidden="false" customHeight="false" outlineLevel="0" collapsed="false">
      <c r="A227" s="4" t="s">
        <v>2514</v>
      </c>
      <c r="B227" s="12" t="n">
        <v>2022</v>
      </c>
      <c r="C227" s="4" t="s">
        <v>99</v>
      </c>
      <c r="D227" s="4" t="s">
        <v>1993</v>
      </c>
      <c r="E227" s="4" t="s">
        <v>2001</v>
      </c>
      <c r="F227" s="4" t="s">
        <v>2002</v>
      </c>
      <c r="G227" s="4" t="s">
        <v>67</v>
      </c>
      <c r="H227" s="4" t="s">
        <v>1340</v>
      </c>
      <c r="I227" s="4" t="s">
        <v>2151</v>
      </c>
      <c r="J227" s="4" t="s">
        <v>1997</v>
      </c>
      <c r="K227" s="14">
        <f>IF(OR($I227="USO_NO_ENERGETICO_APARENTE",$I227="USO_ENERGETICO_INTERNO_APARENTE"),ROUND(SUMIFS($K$2:$K$618,$B$2:$B$618,$B227,$C$2:$C$618,$C227,$D$2:$D$618,"Energy products",$E$2:$E$618,"Supply",$G$2:$G$618,"&lt;&gt;STAT")-SUMIFS($K$2:$K$618,$B$2:$B$618,$B227,$C$2:$C$618,$C227,$D$2:$D$618,"Energy products",$E$2:$E$618,"Use",$G$2:$G$618,"&lt;&gt;STAT",$I$2:$I$618,"&lt;&gt;USO_NO_ENERGETICO_APARENTE",$I$2:$I$618,"&lt;&gt;USO_ENERGETICO_INTERNO_APARENTE"),10),IF(LEFT($H227,5)="STAT_",ROUND(SUMIFS($K$2:$K$618,$B$2:$B$618,$B227,$C$2:$C$618,$C227,$D$2:$D$618,"Energy products",$E$2:$E$618,"Supply",$G$2:$G$618,"&lt;&gt;STAT")-SUMIFS($K$2:$K$618,$B$2:$B$618,$B227,$C$2:$C$618,$C227,$D$2:$D$618,"Energy products",$E$2:$E$618,"Use",$G$2:$G$618,"&lt;&gt;STAT"),10),IF($J227="cambio de signo",-INDEX(DATOS_MODELO!$U$2:$U$3672,MATCH($H227,DATOS_MODELO!$B$2:$B$3672,0)),IF($J227="valor absoluto",ABS(INDEX(DATOS_MODELO!$U$2:$U$3672,MATCH($H227,DATOS_MODELO!$B$2:$B$3672,0))),INDEX(DATOS_MODELO!$U$2:$U$3672,MATCH($H227,DATOS_MODELO!$B$2:$B$3672,0))))))</f>
        <v>6183.0601</v>
      </c>
      <c r="L227" s="8" t="str">
        <f aca="false">IF(LEFT($H227,5)&lt;&gt;"STAT_","",IF(ABS($K227)&lt;=COUNTIFS($B$2:$B$618,$B227,$C$2:$C$618,$C227,$D$2:$D$618,"Energy products",$G$2:$G$618,"&lt;&gt;STAT")*PARAMETROS!$B$6,"redondeo","residuo_estadistico"))</f>
        <v/>
      </c>
      <c r="M227" s="8" t="str">
        <f>IF(OR($I227="USO_NO_ENERGETICO_APARENTE",$I227="USO_ENERGETICO_INTERNO_APARENTE"),"CAL",IF(LEFT($H227,5)="STAT_","FORMULA",IF(COUNTIF(DATOS_MODELO!$B$2:$B$3672,$H227)=1,"OK","REVISAR")))</f>
        <v>OK</v>
      </c>
    </row>
    <row r="228" customFormat="false" ht="15" hidden="false" customHeight="false" outlineLevel="0" collapsed="false">
      <c r="A228" s="4" t="s">
        <v>2516</v>
      </c>
      <c r="B228" s="12" t="n">
        <v>2022</v>
      </c>
      <c r="C228" s="4" t="s">
        <v>99</v>
      </c>
      <c r="D228" s="4" t="s">
        <v>2155</v>
      </c>
      <c r="E228" s="4" t="s">
        <v>1994</v>
      </c>
      <c r="F228" s="4" t="s">
        <v>2156</v>
      </c>
      <c r="G228" s="4" t="s">
        <v>67</v>
      </c>
      <c r="H228" s="4" t="s">
        <v>1340</v>
      </c>
      <c r="I228" s="4" t="s">
        <v>2151</v>
      </c>
      <c r="J228" s="4" t="s">
        <v>1997</v>
      </c>
      <c r="K228" s="14">
        <f>IF(OR($I228="USO_NO_ENERGETICO_APARENTE",$I228="USO_ENERGETICO_INTERNO_APARENTE"),ROUND(SUMIFS($K$2:$K$618,$B$2:$B$618,$B228,$C$2:$C$618,$C228,$D$2:$D$618,"Energy products",$E$2:$E$618,"Supply",$G$2:$G$618,"&lt;&gt;STAT")-SUMIFS($K$2:$K$618,$B$2:$B$618,$B228,$C$2:$C$618,$C228,$D$2:$D$618,"Energy products",$E$2:$E$618,"Use",$G$2:$G$618,"&lt;&gt;STAT",$I$2:$I$618,"&lt;&gt;USO_NO_ENERGETICO_APARENTE",$I$2:$I$618,"&lt;&gt;USO_ENERGETICO_INTERNO_APARENTE"),10),IF(LEFT($H228,5)="STAT_",ROUND(SUMIFS($K$2:$K$618,$B$2:$B$618,$B228,$C$2:$C$618,$C228,$D$2:$D$618,"Energy products",$E$2:$E$618,"Supply",$G$2:$G$618,"&lt;&gt;STAT")-SUMIFS($K$2:$K$618,$B$2:$B$618,$B228,$C$2:$C$618,$C228,$D$2:$D$618,"Energy products",$E$2:$E$618,"Use",$G$2:$G$618,"&lt;&gt;STAT"),10),IF($J228="cambio de signo",-INDEX(DATOS_MODELO!$U$2:$U$3672,MATCH($H228,DATOS_MODELO!$B$2:$B$3672,0)),IF($J228="valor absoluto",ABS(INDEX(DATOS_MODELO!$U$2:$U$3672,MATCH($H228,DATOS_MODELO!$B$2:$B$3672,0))),INDEX(DATOS_MODELO!$U$2:$U$3672,MATCH($H228,DATOS_MODELO!$B$2:$B$3672,0))))))</f>
        <v>6183.0601</v>
      </c>
      <c r="L228" s="8" t="str">
        <f aca="false">IF(LEFT($H228,5)&lt;&gt;"STAT_","",IF(ABS($K228)&lt;=COUNTIFS($B$2:$B$618,$B228,$C$2:$C$618,$C228,$D$2:$D$618,"Energy products",$G$2:$G$618,"&lt;&gt;STAT")*PARAMETROS!$B$6,"redondeo","residuo_estadistico"))</f>
        <v/>
      </c>
      <c r="M228" s="8" t="str">
        <f>IF(OR($I228="USO_NO_ENERGETICO_APARENTE",$I228="USO_ENERGETICO_INTERNO_APARENTE"),"CAL",IF(LEFT($H228,5)="STAT_","FORMULA",IF(COUNTIF(DATOS_MODELO!$B$2:$B$3672,$H228)=1,"OK","REVISAR")))</f>
        <v>OK</v>
      </c>
    </row>
    <row r="229" customFormat="false" ht="15" hidden="false" customHeight="false" outlineLevel="0" collapsed="false">
      <c r="A229" s="4" t="s">
        <v>2518</v>
      </c>
      <c r="B229" s="12" t="n">
        <v>2022</v>
      </c>
      <c r="C229" s="4" t="s">
        <v>99</v>
      </c>
      <c r="D229" s="4" t="s">
        <v>2155</v>
      </c>
      <c r="E229" s="4" t="s">
        <v>2001</v>
      </c>
      <c r="F229" s="4" t="s">
        <v>2160</v>
      </c>
      <c r="G229" s="4" t="s">
        <v>64</v>
      </c>
      <c r="H229" s="4" t="s">
        <v>1340</v>
      </c>
      <c r="I229" s="4" t="s">
        <v>2151</v>
      </c>
      <c r="J229" s="4" t="s">
        <v>1997</v>
      </c>
      <c r="K229" s="14">
        <f>IF(OR($I229="USO_NO_ENERGETICO_APARENTE",$I229="USO_ENERGETICO_INTERNO_APARENTE"),ROUND(SUMIFS($K$2:$K$618,$B$2:$B$618,$B229,$C$2:$C$618,$C229,$D$2:$D$618,"Energy products",$E$2:$E$618,"Supply",$G$2:$G$618,"&lt;&gt;STAT")-SUMIFS($K$2:$K$618,$B$2:$B$618,$B229,$C$2:$C$618,$C229,$D$2:$D$618,"Energy products",$E$2:$E$618,"Use",$G$2:$G$618,"&lt;&gt;STAT",$I$2:$I$618,"&lt;&gt;USO_NO_ENERGETICO_APARENTE",$I$2:$I$618,"&lt;&gt;USO_ENERGETICO_INTERNO_APARENTE"),10),IF(LEFT($H229,5)="STAT_",ROUND(SUMIFS($K$2:$K$618,$B$2:$B$618,$B229,$C$2:$C$618,$C229,$D$2:$D$618,"Energy products",$E$2:$E$618,"Supply",$G$2:$G$618,"&lt;&gt;STAT")-SUMIFS($K$2:$K$618,$B$2:$B$618,$B229,$C$2:$C$618,$C229,$D$2:$D$618,"Energy products",$E$2:$E$618,"Use",$G$2:$G$618,"&lt;&gt;STAT"),10),IF($J229="cambio de signo",-INDEX(DATOS_MODELO!$U$2:$U$3672,MATCH($H229,DATOS_MODELO!$B$2:$B$3672,0)),IF($J229="valor absoluto",ABS(INDEX(DATOS_MODELO!$U$2:$U$3672,MATCH($H229,DATOS_MODELO!$B$2:$B$3672,0))),INDEX(DATOS_MODELO!$U$2:$U$3672,MATCH($H229,DATOS_MODELO!$B$2:$B$3672,0))))))</f>
        <v>6183.0601</v>
      </c>
      <c r="L229" s="8" t="str">
        <f aca="false">IF(LEFT($H229,5)&lt;&gt;"STAT_","",IF(ABS($K229)&lt;=COUNTIFS($B$2:$B$618,$B229,$C$2:$C$618,$C229,$D$2:$D$618,"Energy products",$G$2:$G$618,"&lt;&gt;STAT")*PARAMETROS!$B$6,"redondeo","residuo_estadistico"))</f>
        <v/>
      </c>
      <c r="M229" s="8" t="str">
        <f>IF(OR($I229="USO_NO_ENERGETICO_APARENTE",$I229="USO_ENERGETICO_INTERNO_APARENTE"),"CAL",IF(LEFT($H229,5)="STAT_","FORMULA",IF(COUNTIF(DATOS_MODELO!$B$2:$B$3672,$H229)=1,"OK","REVISAR")))</f>
        <v>OK</v>
      </c>
    </row>
    <row r="230" customFormat="false" ht="15" hidden="false" customHeight="false" outlineLevel="0" collapsed="false">
      <c r="A230" s="4" t="s">
        <v>2520</v>
      </c>
      <c r="B230" s="12" t="n">
        <v>2022</v>
      </c>
      <c r="C230" s="4" t="s">
        <v>101</v>
      </c>
      <c r="D230" s="4" t="s">
        <v>1993</v>
      </c>
      <c r="E230" s="4" t="s">
        <v>1994</v>
      </c>
      <c r="F230" s="4" t="s">
        <v>2029</v>
      </c>
      <c r="G230" s="4" t="s">
        <v>69</v>
      </c>
      <c r="H230" s="4" t="s">
        <v>1342</v>
      </c>
      <c r="I230" s="4" t="s">
        <v>2030</v>
      </c>
      <c r="J230" s="4" t="s">
        <v>1997</v>
      </c>
      <c r="K230" s="14">
        <f>IF(OR($I230="USO_NO_ENERGETICO_APARENTE",$I230="USO_ENERGETICO_INTERNO_APARENTE"),ROUND(SUMIFS($K$2:$K$618,$B$2:$B$618,$B230,$C$2:$C$618,$C230,$D$2:$D$618,"Energy products",$E$2:$E$618,"Supply",$G$2:$G$618,"&lt;&gt;STAT")-SUMIFS($K$2:$K$618,$B$2:$B$618,$B230,$C$2:$C$618,$C230,$D$2:$D$618,"Energy products",$E$2:$E$618,"Use",$G$2:$G$618,"&lt;&gt;STAT",$I$2:$I$618,"&lt;&gt;USO_NO_ENERGETICO_APARENTE",$I$2:$I$618,"&lt;&gt;USO_ENERGETICO_INTERNO_APARENTE"),10),IF(LEFT($H230,5)="STAT_",ROUND(SUMIFS($K$2:$K$618,$B$2:$B$618,$B230,$C$2:$C$618,$C230,$D$2:$D$618,"Energy products",$E$2:$E$618,"Supply",$G$2:$G$618,"&lt;&gt;STAT")-SUMIFS($K$2:$K$618,$B$2:$B$618,$B230,$C$2:$C$618,$C230,$D$2:$D$618,"Energy products",$E$2:$E$618,"Use",$G$2:$G$618,"&lt;&gt;STAT"),10),IF($J230="cambio de signo",-INDEX(DATOS_MODELO!$U$2:$U$3672,MATCH($H230,DATOS_MODELO!$B$2:$B$3672,0)),IF($J230="valor absoluto",ABS(INDEX(DATOS_MODELO!$U$2:$U$3672,MATCH($H230,DATOS_MODELO!$B$2:$B$3672,0))),INDEX(DATOS_MODELO!$U$2:$U$3672,MATCH($H230,DATOS_MODELO!$B$2:$B$3672,0))))))</f>
        <v>10373.5226</v>
      </c>
      <c r="L230" s="8" t="str">
        <f aca="false">IF(LEFT($H230,5)&lt;&gt;"STAT_","",IF(ABS($K230)&lt;=COUNTIFS($B$2:$B$618,$B230,$C$2:$C$618,$C230,$D$2:$D$618,"Energy products",$G$2:$G$618,"&lt;&gt;STAT")*PARAMETROS!$B$6,"redondeo","residuo_estadistico"))</f>
        <v/>
      </c>
      <c r="M230" s="8" t="str">
        <f>IF(OR($I230="USO_NO_ENERGETICO_APARENTE",$I230="USO_ENERGETICO_INTERNO_APARENTE"),"CAL",IF(LEFT($H230,5)="STAT_","FORMULA",IF(COUNTIF(DATOS_MODELO!$B$2:$B$3672,$H230)=1,"OK","REVISAR")))</f>
        <v>OK</v>
      </c>
    </row>
    <row r="231" customFormat="false" ht="15" hidden="false" customHeight="false" outlineLevel="0" collapsed="false">
      <c r="A231" s="4" t="s">
        <v>2522</v>
      </c>
      <c r="B231" s="12" t="n">
        <v>2022</v>
      </c>
      <c r="C231" s="4" t="s">
        <v>101</v>
      </c>
      <c r="D231" s="4" t="s">
        <v>1993</v>
      </c>
      <c r="E231" s="4" t="s">
        <v>2001</v>
      </c>
      <c r="F231" s="4" t="s">
        <v>2034</v>
      </c>
      <c r="G231" s="4" t="s">
        <v>74</v>
      </c>
      <c r="H231" s="4" t="s">
        <v>1344</v>
      </c>
      <c r="I231" s="4" t="s">
        <v>2035</v>
      </c>
      <c r="J231" s="4" t="s">
        <v>2036</v>
      </c>
      <c r="K231" s="14">
        <f>IF(OR($I231="USO_NO_ENERGETICO_APARENTE",$I231="USO_ENERGETICO_INTERNO_APARENTE"),ROUND(SUMIFS($K$2:$K$618,$B$2:$B$618,$B231,$C$2:$C$618,$C231,$D$2:$D$618,"Energy products",$E$2:$E$618,"Supply",$G$2:$G$618,"&lt;&gt;STAT")-SUMIFS($K$2:$K$618,$B$2:$B$618,$B231,$C$2:$C$618,$C231,$D$2:$D$618,"Energy products",$E$2:$E$618,"Use",$G$2:$G$618,"&lt;&gt;STAT",$I$2:$I$618,"&lt;&gt;USO_NO_ENERGETICO_APARENTE",$I$2:$I$618,"&lt;&gt;USO_ENERGETICO_INTERNO_APARENTE"),10),IF(LEFT($H231,5)="STAT_",ROUND(SUMIFS($K$2:$K$618,$B$2:$B$618,$B231,$C$2:$C$618,$C231,$D$2:$D$618,"Energy products",$E$2:$E$618,"Supply",$G$2:$G$618,"&lt;&gt;STAT")-SUMIFS($K$2:$K$618,$B$2:$B$618,$B231,$C$2:$C$618,$C231,$D$2:$D$618,"Energy products",$E$2:$E$618,"Use",$G$2:$G$618,"&lt;&gt;STAT"),10),IF($J231="cambio de signo",-INDEX(DATOS_MODELO!$U$2:$U$3672,MATCH($H231,DATOS_MODELO!$B$2:$B$3672,0)),IF($J231="valor absoluto",ABS(INDEX(DATOS_MODELO!$U$2:$U$3672,MATCH($H231,DATOS_MODELO!$B$2:$B$3672,0))),INDEX(DATOS_MODELO!$U$2:$U$3672,MATCH($H231,DATOS_MODELO!$B$2:$B$3672,0))))))</f>
        <v>712.0155</v>
      </c>
      <c r="L231" s="8" t="str">
        <f aca="false">IF(LEFT($H231,5)&lt;&gt;"STAT_","",IF(ABS($K231)&lt;=COUNTIFS($B$2:$B$618,$B231,$C$2:$C$618,$C231,$D$2:$D$618,"Energy products",$G$2:$G$618,"&lt;&gt;STAT")*PARAMETROS!$B$6,"redondeo","residuo_estadistico"))</f>
        <v/>
      </c>
      <c r="M231" s="8" t="str">
        <f>IF(OR($I231="USO_NO_ENERGETICO_APARENTE",$I231="USO_ENERGETICO_INTERNO_APARENTE"),"CAL",IF(LEFT($H231,5)="STAT_","FORMULA",IF(COUNTIF(DATOS_MODELO!$B$2:$B$3672,$H231)=1,"OK","REVISAR")))</f>
        <v>OK</v>
      </c>
    </row>
    <row r="232" customFormat="false" ht="15" hidden="false" customHeight="false" outlineLevel="0" collapsed="false">
      <c r="A232" s="4" t="s">
        <v>2524</v>
      </c>
      <c r="B232" s="12" t="n">
        <v>2022</v>
      </c>
      <c r="C232" s="4" t="s">
        <v>101</v>
      </c>
      <c r="D232" s="4" t="s">
        <v>1993</v>
      </c>
      <c r="E232" s="4" t="s">
        <v>2001</v>
      </c>
      <c r="F232" s="4" t="s">
        <v>2002</v>
      </c>
      <c r="G232" s="4" t="s">
        <v>67</v>
      </c>
      <c r="H232" s="4" t="s">
        <v>1346</v>
      </c>
      <c r="I232" s="4" t="s">
        <v>2003</v>
      </c>
      <c r="J232" s="4" t="s">
        <v>2004</v>
      </c>
      <c r="K232" s="14">
        <f>IF(OR($I232="USO_NO_ENERGETICO_APARENTE",$I232="USO_ENERGETICO_INTERNO_APARENTE"),ROUND(SUMIFS($K$2:$K$618,$B$2:$B$618,$B232,$C$2:$C$618,$C232,$D$2:$D$618,"Energy products",$E$2:$E$618,"Supply",$G$2:$G$618,"&lt;&gt;STAT")-SUMIFS($K$2:$K$618,$B$2:$B$618,$B232,$C$2:$C$618,$C232,$D$2:$D$618,"Energy products",$E$2:$E$618,"Use",$G$2:$G$618,"&lt;&gt;STAT",$I$2:$I$618,"&lt;&gt;USO_NO_ENERGETICO_APARENTE",$I$2:$I$618,"&lt;&gt;USO_ENERGETICO_INTERNO_APARENTE"),10),IF(LEFT($H232,5)="STAT_",ROUND(SUMIFS($K$2:$K$618,$B$2:$B$618,$B232,$C$2:$C$618,$C232,$D$2:$D$618,"Energy products",$E$2:$E$618,"Supply",$G$2:$G$618,"&lt;&gt;STAT")-SUMIFS($K$2:$K$618,$B$2:$B$618,$B232,$C$2:$C$618,$C232,$D$2:$D$618,"Energy products",$E$2:$E$618,"Use",$G$2:$G$618,"&lt;&gt;STAT"),10),IF($J232="cambio de signo",-INDEX(DATOS_MODELO!$U$2:$U$3672,MATCH($H232,DATOS_MODELO!$B$2:$B$3672,0)),IF($J232="valor absoluto",ABS(INDEX(DATOS_MODELO!$U$2:$U$3672,MATCH($H232,DATOS_MODELO!$B$2:$B$3672,0))),INDEX(DATOS_MODELO!$U$2:$U$3672,MATCH($H232,DATOS_MODELO!$B$2:$B$3672,0))))))</f>
        <v>1428.4466</v>
      </c>
      <c r="L232" s="8" t="str">
        <f aca="false">IF(LEFT($H232,5)&lt;&gt;"STAT_","",IF(ABS($K232)&lt;=COUNTIFS($B$2:$B$618,$B232,$C$2:$C$618,$C232,$D$2:$D$618,"Energy products",$G$2:$G$618,"&lt;&gt;STAT")*PARAMETROS!$B$6,"redondeo","residuo_estadistico"))</f>
        <v/>
      </c>
      <c r="M232" s="8" t="str">
        <f>IF(OR($I232="USO_NO_ENERGETICO_APARENTE",$I232="USO_ENERGETICO_INTERNO_APARENTE"),"CAL",IF(LEFT($H232,5)="STAT_","FORMULA",IF(COUNTIF(DATOS_MODELO!$B$2:$B$3672,$H232)=1,"OK","REVISAR")))</f>
        <v>OK</v>
      </c>
    </row>
    <row r="233" customFormat="false" ht="15" hidden="false" customHeight="false" outlineLevel="0" collapsed="false">
      <c r="A233" s="4" t="s">
        <v>2526</v>
      </c>
      <c r="B233" s="12" t="n">
        <v>2022</v>
      </c>
      <c r="C233" s="4" t="s">
        <v>101</v>
      </c>
      <c r="D233" s="4" t="s">
        <v>1993</v>
      </c>
      <c r="E233" s="4" t="s">
        <v>2001</v>
      </c>
      <c r="F233" s="4" t="s">
        <v>2002</v>
      </c>
      <c r="G233" s="4" t="s">
        <v>67</v>
      </c>
      <c r="H233" s="4" t="s">
        <v>1347</v>
      </c>
      <c r="I233" s="4" t="s">
        <v>2008</v>
      </c>
      <c r="J233" s="4" t="s">
        <v>2004</v>
      </c>
      <c r="K233" s="14">
        <f>IF(OR($I233="USO_NO_ENERGETICO_APARENTE",$I233="USO_ENERGETICO_INTERNO_APARENTE"),ROUND(SUMIFS($K$2:$K$618,$B$2:$B$618,$B233,$C$2:$C$618,$C233,$D$2:$D$618,"Energy products",$E$2:$E$618,"Supply",$G$2:$G$618,"&lt;&gt;STAT")-SUMIFS($K$2:$K$618,$B$2:$B$618,$B233,$C$2:$C$618,$C233,$D$2:$D$618,"Energy products",$E$2:$E$618,"Use",$G$2:$G$618,"&lt;&gt;STAT",$I$2:$I$618,"&lt;&gt;USO_NO_ENERGETICO_APARENTE",$I$2:$I$618,"&lt;&gt;USO_ENERGETICO_INTERNO_APARENTE"),10),IF(LEFT($H233,5)="STAT_",ROUND(SUMIFS($K$2:$K$618,$B$2:$B$618,$B233,$C$2:$C$618,$C233,$D$2:$D$618,"Energy products",$E$2:$E$618,"Supply",$G$2:$G$618,"&lt;&gt;STAT")-SUMIFS($K$2:$K$618,$B$2:$B$618,$B233,$C$2:$C$618,$C233,$D$2:$D$618,"Energy products",$E$2:$E$618,"Use",$G$2:$G$618,"&lt;&gt;STAT"),10),IF($J233="cambio de signo",-INDEX(DATOS_MODELO!$U$2:$U$3672,MATCH($H233,DATOS_MODELO!$B$2:$B$3672,0)),IF($J233="valor absoluto",ABS(INDEX(DATOS_MODELO!$U$2:$U$3672,MATCH($H233,DATOS_MODELO!$B$2:$B$3672,0))),INDEX(DATOS_MODELO!$U$2:$U$3672,MATCH($H233,DATOS_MODELO!$B$2:$B$3672,0))))))</f>
        <v>61.4117</v>
      </c>
      <c r="L233" s="8" t="str">
        <f aca="false">IF(LEFT($H233,5)&lt;&gt;"STAT_","",IF(ABS($K233)&lt;=COUNTIFS($B$2:$B$618,$B233,$C$2:$C$618,$C233,$D$2:$D$618,"Energy products",$G$2:$G$618,"&lt;&gt;STAT")*PARAMETROS!$B$6,"redondeo","residuo_estadistico"))</f>
        <v/>
      </c>
      <c r="M233" s="8" t="str">
        <f>IF(OR($I233="USO_NO_ENERGETICO_APARENTE",$I233="USO_ENERGETICO_INTERNO_APARENTE"),"CAL",IF(LEFT($H233,5)="STAT_","FORMULA",IF(COUNTIF(DATOS_MODELO!$B$2:$B$3672,$H233)=1,"OK","REVISAR")))</f>
        <v>OK</v>
      </c>
    </row>
    <row r="234" customFormat="false" ht="15" hidden="false" customHeight="false" outlineLevel="0" collapsed="false">
      <c r="A234" s="4" t="s">
        <v>2528</v>
      </c>
      <c r="B234" s="12" t="n">
        <v>2022</v>
      </c>
      <c r="C234" s="4" t="s">
        <v>101</v>
      </c>
      <c r="D234" s="4" t="s">
        <v>1993</v>
      </c>
      <c r="E234" s="4" t="s">
        <v>2001</v>
      </c>
      <c r="F234" s="4" t="s">
        <v>2002</v>
      </c>
      <c r="G234" s="4" t="s">
        <v>68</v>
      </c>
      <c r="H234" s="4" t="s">
        <v>1352</v>
      </c>
      <c r="I234" s="4" t="s">
        <v>2111</v>
      </c>
      <c r="J234" s="4" t="s">
        <v>1997</v>
      </c>
      <c r="K234" s="14">
        <f>IF(OR($I234="USO_NO_ENERGETICO_APARENTE",$I234="USO_ENERGETICO_INTERNO_APARENTE"),ROUND(SUMIFS($K$2:$K$618,$B$2:$B$618,$B234,$C$2:$C$618,$C234,$D$2:$D$618,"Energy products",$E$2:$E$618,"Supply",$G$2:$G$618,"&lt;&gt;STAT")-SUMIFS($K$2:$K$618,$B$2:$B$618,$B234,$C$2:$C$618,$C234,$D$2:$D$618,"Energy products",$E$2:$E$618,"Use",$G$2:$G$618,"&lt;&gt;STAT",$I$2:$I$618,"&lt;&gt;USO_NO_ENERGETICO_APARENTE",$I$2:$I$618,"&lt;&gt;USO_ENERGETICO_INTERNO_APARENTE"),10),IF(LEFT($H234,5)="STAT_",ROUND(SUMIFS($K$2:$K$618,$B$2:$B$618,$B234,$C$2:$C$618,$C234,$D$2:$D$618,"Energy products",$E$2:$E$618,"Supply",$G$2:$G$618,"&lt;&gt;STAT")-SUMIFS($K$2:$K$618,$B$2:$B$618,$B234,$C$2:$C$618,$C234,$D$2:$D$618,"Energy products",$E$2:$E$618,"Use",$G$2:$G$618,"&lt;&gt;STAT"),10),IF($J234="cambio de signo",-INDEX(DATOS_MODELO!$U$2:$U$3672,MATCH($H234,DATOS_MODELO!$B$2:$B$3672,0)),IF($J234="valor absoluto",ABS(INDEX(DATOS_MODELO!$U$2:$U$3672,MATCH($H234,DATOS_MODELO!$B$2:$B$3672,0))),INDEX(DATOS_MODELO!$U$2:$U$3672,MATCH($H234,DATOS_MODELO!$B$2:$B$3672,0))))))</f>
        <v>8171.5907</v>
      </c>
      <c r="L234" s="8" t="str">
        <f aca="false">IF(LEFT($H234,5)&lt;&gt;"STAT_","",IF(ABS($K234)&lt;=COUNTIFS($B$2:$B$618,$B234,$C$2:$C$618,$C234,$D$2:$D$618,"Energy products",$G$2:$G$618,"&lt;&gt;STAT")*PARAMETROS!$B$6,"redondeo","residuo_estadistico"))</f>
        <v/>
      </c>
      <c r="M234" s="8" t="str">
        <f>IF(OR($I234="USO_NO_ENERGETICO_APARENTE",$I234="USO_ENERGETICO_INTERNO_APARENTE"),"CAL",IF(LEFT($H234,5)="STAT_","FORMULA",IF(COUNTIF(DATOS_MODELO!$B$2:$B$3672,$H234)=1,"OK","REVISAR")))</f>
        <v>OK</v>
      </c>
    </row>
    <row r="235" customFormat="false" ht="15" hidden="false" customHeight="false" outlineLevel="0" collapsed="false">
      <c r="A235" s="4" t="s">
        <v>2530</v>
      </c>
      <c r="B235" s="12" t="n">
        <v>2022</v>
      </c>
      <c r="C235" s="4" t="s">
        <v>103</v>
      </c>
      <c r="D235" s="4" t="s">
        <v>1993</v>
      </c>
      <c r="E235" s="4" t="s">
        <v>1994</v>
      </c>
      <c r="F235" s="4" t="s">
        <v>2029</v>
      </c>
      <c r="G235" s="4" t="s">
        <v>69</v>
      </c>
      <c r="H235" s="4" t="s">
        <v>1356</v>
      </c>
      <c r="I235" s="4" t="s">
        <v>2030</v>
      </c>
      <c r="J235" s="4" t="s">
        <v>1997</v>
      </c>
      <c r="K235" s="14">
        <f>IF(OR($I235="USO_NO_ENERGETICO_APARENTE",$I235="USO_ENERGETICO_INTERNO_APARENTE"),ROUND(SUMIFS($K$2:$K$618,$B$2:$B$618,$B235,$C$2:$C$618,$C235,$D$2:$D$618,"Energy products",$E$2:$E$618,"Supply",$G$2:$G$618,"&lt;&gt;STAT")-SUMIFS($K$2:$K$618,$B$2:$B$618,$B235,$C$2:$C$618,$C235,$D$2:$D$618,"Energy products",$E$2:$E$618,"Use",$G$2:$G$618,"&lt;&gt;STAT",$I$2:$I$618,"&lt;&gt;USO_NO_ENERGETICO_APARENTE",$I$2:$I$618,"&lt;&gt;USO_ENERGETICO_INTERNO_APARENTE"),10),IF(LEFT($H235,5)="STAT_",ROUND(SUMIFS($K$2:$K$618,$B$2:$B$618,$B235,$C$2:$C$618,$C235,$D$2:$D$618,"Energy products",$E$2:$E$618,"Supply",$G$2:$G$618,"&lt;&gt;STAT")-SUMIFS($K$2:$K$618,$B$2:$B$618,$B235,$C$2:$C$618,$C235,$D$2:$D$618,"Energy products",$E$2:$E$618,"Use",$G$2:$G$618,"&lt;&gt;STAT"),10),IF($J235="cambio de signo",-INDEX(DATOS_MODELO!$U$2:$U$3672,MATCH($H235,DATOS_MODELO!$B$2:$B$3672,0)),IF($J235="valor absoluto",ABS(INDEX(DATOS_MODELO!$U$2:$U$3672,MATCH($H235,DATOS_MODELO!$B$2:$B$3672,0))),INDEX(DATOS_MODELO!$U$2:$U$3672,MATCH($H235,DATOS_MODELO!$B$2:$B$3672,0))))))</f>
        <v>86611.8778</v>
      </c>
      <c r="L235" s="8" t="str">
        <f aca="false">IF(LEFT($H235,5)&lt;&gt;"STAT_","",IF(ABS($K235)&lt;=COUNTIFS($B$2:$B$618,$B235,$C$2:$C$618,$C235,$D$2:$D$618,"Energy products",$G$2:$G$618,"&lt;&gt;STAT")*PARAMETROS!$B$6,"redondeo","residuo_estadistico"))</f>
        <v/>
      </c>
      <c r="M235" s="8" t="str">
        <f>IF(OR($I235="USO_NO_ENERGETICO_APARENTE",$I235="USO_ENERGETICO_INTERNO_APARENTE"),"CAL",IF(LEFT($H235,5)="STAT_","FORMULA",IF(COUNTIF(DATOS_MODELO!$B$2:$B$3672,$H235)=1,"OK","REVISAR")))</f>
        <v>OK</v>
      </c>
    </row>
    <row r="236" customFormat="false" ht="15" hidden="false" customHeight="false" outlineLevel="0" collapsed="false">
      <c r="A236" s="4" t="s">
        <v>2532</v>
      </c>
      <c r="B236" s="12" t="n">
        <v>2022</v>
      </c>
      <c r="C236" s="4" t="s">
        <v>103</v>
      </c>
      <c r="D236" s="4" t="s">
        <v>1993</v>
      </c>
      <c r="E236" s="4" t="s">
        <v>2001</v>
      </c>
      <c r="F236" s="4" t="s">
        <v>2091</v>
      </c>
      <c r="G236" s="4" t="s">
        <v>69</v>
      </c>
      <c r="H236" s="4" t="s">
        <v>1357</v>
      </c>
      <c r="I236" s="4" t="s">
        <v>2030</v>
      </c>
      <c r="J236" s="4" t="s">
        <v>1997</v>
      </c>
      <c r="K236" s="14">
        <f>IF(OR($I236="USO_NO_ENERGETICO_APARENTE",$I236="USO_ENERGETICO_INTERNO_APARENTE"),ROUND(SUMIFS($K$2:$K$618,$B$2:$B$618,$B236,$C$2:$C$618,$C236,$D$2:$D$618,"Energy products",$E$2:$E$618,"Supply",$G$2:$G$618,"&lt;&gt;STAT")-SUMIFS($K$2:$K$618,$B$2:$B$618,$B236,$C$2:$C$618,$C236,$D$2:$D$618,"Energy products",$E$2:$E$618,"Use",$G$2:$G$618,"&lt;&gt;STAT",$I$2:$I$618,"&lt;&gt;USO_NO_ENERGETICO_APARENTE",$I$2:$I$618,"&lt;&gt;USO_ENERGETICO_INTERNO_APARENTE"),10),IF(LEFT($H236,5)="STAT_",ROUND(SUMIFS($K$2:$K$618,$B$2:$B$618,$B236,$C$2:$C$618,$C236,$D$2:$D$618,"Energy products",$E$2:$E$618,"Supply",$G$2:$G$618,"&lt;&gt;STAT")-SUMIFS($K$2:$K$618,$B$2:$B$618,$B236,$C$2:$C$618,$C236,$D$2:$D$618,"Energy products",$E$2:$E$618,"Use",$G$2:$G$618,"&lt;&gt;STAT"),10),IF($J236="cambio de signo",-INDEX(DATOS_MODELO!$U$2:$U$3672,MATCH($H236,DATOS_MODELO!$B$2:$B$3672,0)),IF($J236="valor absoluto",ABS(INDEX(DATOS_MODELO!$U$2:$U$3672,MATCH($H236,DATOS_MODELO!$B$2:$B$3672,0))),INDEX(DATOS_MODELO!$U$2:$U$3672,MATCH($H236,DATOS_MODELO!$B$2:$B$3672,0))))))</f>
        <v>2572.5518</v>
      </c>
      <c r="L236" s="8" t="str">
        <f aca="false">IF(LEFT($H236,5)&lt;&gt;"STAT_","",IF(ABS($K236)&lt;=COUNTIFS($B$2:$B$618,$B236,$C$2:$C$618,$C236,$D$2:$D$618,"Energy products",$G$2:$G$618,"&lt;&gt;STAT")*PARAMETROS!$B$6,"redondeo","residuo_estadistico"))</f>
        <v/>
      </c>
      <c r="M236" s="8" t="str">
        <f>IF(OR($I236="USO_NO_ENERGETICO_APARENTE",$I236="USO_ENERGETICO_INTERNO_APARENTE"),"CAL",IF(LEFT($H236,5)="STAT_","FORMULA",IF(COUNTIF(DATOS_MODELO!$B$2:$B$3672,$H236)=1,"OK","REVISAR")))</f>
        <v>OK</v>
      </c>
    </row>
    <row r="237" customFormat="false" ht="15" hidden="false" customHeight="false" outlineLevel="0" collapsed="false">
      <c r="A237" s="4" t="s">
        <v>2534</v>
      </c>
      <c r="B237" s="12" t="n">
        <v>2022</v>
      </c>
      <c r="C237" s="4" t="s">
        <v>103</v>
      </c>
      <c r="D237" s="4" t="s">
        <v>1993</v>
      </c>
      <c r="E237" s="4" t="s">
        <v>2001</v>
      </c>
      <c r="F237" s="4" t="s">
        <v>2034</v>
      </c>
      <c r="G237" s="4" t="s">
        <v>74</v>
      </c>
      <c r="H237" s="4" t="s">
        <v>1358</v>
      </c>
      <c r="I237" s="4" t="s">
        <v>2035</v>
      </c>
      <c r="J237" s="4" t="s">
        <v>2036</v>
      </c>
      <c r="K237" s="14">
        <f>IF(OR($I237="USO_NO_ENERGETICO_APARENTE",$I237="USO_ENERGETICO_INTERNO_APARENTE"),ROUND(SUMIFS($K$2:$K$618,$B$2:$B$618,$B237,$C$2:$C$618,$C237,$D$2:$D$618,"Energy products",$E$2:$E$618,"Supply",$G$2:$G$618,"&lt;&gt;STAT")-SUMIFS($K$2:$K$618,$B$2:$B$618,$B237,$C$2:$C$618,$C237,$D$2:$D$618,"Energy products",$E$2:$E$618,"Use",$G$2:$G$618,"&lt;&gt;STAT",$I$2:$I$618,"&lt;&gt;USO_NO_ENERGETICO_APARENTE",$I$2:$I$618,"&lt;&gt;USO_ENERGETICO_INTERNO_APARENTE"),10),IF(LEFT($H237,5)="STAT_",ROUND(SUMIFS($K$2:$K$618,$B$2:$B$618,$B237,$C$2:$C$618,$C237,$D$2:$D$618,"Energy products",$E$2:$E$618,"Supply",$G$2:$G$618,"&lt;&gt;STAT")-SUMIFS($K$2:$K$618,$B$2:$B$618,$B237,$C$2:$C$618,$C237,$D$2:$D$618,"Energy products",$E$2:$E$618,"Use",$G$2:$G$618,"&lt;&gt;STAT"),10),IF($J237="cambio de signo",-INDEX(DATOS_MODELO!$U$2:$U$3672,MATCH($H237,DATOS_MODELO!$B$2:$B$3672,0)),IF($J237="valor absoluto",ABS(INDEX(DATOS_MODELO!$U$2:$U$3672,MATCH($H237,DATOS_MODELO!$B$2:$B$3672,0))),INDEX(DATOS_MODELO!$U$2:$U$3672,MATCH($H237,DATOS_MODELO!$B$2:$B$3672,0))))))</f>
        <v>940.1161</v>
      </c>
      <c r="L237" s="8" t="str">
        <f aca="false">IF(LEFT($H237,5)&lt;&gt;"STAT_","",IF(ABS($K237)&lt;=COUNTIFS($B$2:$B$618,$B237,$C$2:$C$618,$C237,$D$2:$D$618,"Energy products",$G$2:$G$618,"&lt;&gt;STAT")*PARAMETROS!$B$6,"redondeo","residuo_estadistico"))</f>
        <v/>
      </c>
      <c r="M237" s="8" t="str">
        <f>IF(OR($I237="USO_NO_ENERGETICO_APARENTE",$I237="USO_ENERGETICO_INTERNO_APARENTE"),"CAL",IF(LEFT($H237,5)="STAT_","FORMULA",IF(COUNTIF(DATOS_MODELO!$B$2:$B$3672,$H237)=1,"OK","REVISAR")))</f>
        <v>OK</v>
      </c>
    </row>
    <row r="238" customFormat="false" ht="15" hidden="false" customHeight="false" outlineLevel="0" collapsed="false">
      <c r="A238" s="4" t="s">
        <v>2536</v>
      </c>
      <c r="B238" s="12" t="n">
        <v>2022</v>
      </c>
      <c r="C238" s="4" t="s">
        <v>103</v>
      </c>
      <c r="D238" s="4" t="s">
        <v>1993</v>
      </c>
      <c r="E238" s="4" t="s">
        <v>2001</v>
      </c>
      <c r="F238" s="4" t="s">
        <v>2002</v>
      </c>
      <c r="G238" s="4" t="s">
        <v>71</v>
      </c>
      <c r="H238" s="4" t="s">
        <v>1363</v>
      </c>
      <c r="I238" s="4" t="s">
        <v>2123</v>
      </c>
      <c r="J238" s="4" t="s">
        <v>1997</v>
      </c>
      <c r="K238" s="14">
        <f>IF(OR($I238="USO_NO_ENERGETICO_APARENTE",$I238="USO_ENERGETICO_INTERNO_APARENTE"),ROUND(SUMIFS($K$2:$K$618,$B$2:$B$618,$B238,$C$2:$C$618,$C238,$D$2:$D$618,"Energy products",$E$2:$E$618,"Supply",$G$2:$G$618,"&lt;&gt;STAT")-SUMIFS($K$2:$K$618,$B$2:$B$618,$B238,$C$2:$C$618,$C238,$D$2:$D$618,"Energy products",$E$2:$E$618,"Use",$G$2:$G$618,"&lt;&gt;STAT",$I$2:$I$618,"&lt;&gt;USO_NO_ENERGETICO_APARENTE",$I$2:$I$618,"&lt;&gt;USO_ENERGETICO_INTERNO_APARENTE"),10),IF(LEFT($H238,5)="STAT_",ROUND(SUMIFS($K$2:$K$618,$B$2:$B$618,$B238,$C$2:$C$618,$C238,$D$2:$D$618,"Energy products",$E$2:$E$618,"Supply",$G$2:$G$618,"&lt;&gt;STAT")-SUMIFS($K$2:$K$618,$B$2:$B$618,$B238,$C$2:$C$618,$C238,$D$2:$D$618,"Energy products",$E$2:$E$618,"Use",$G$2:$G$618,"&lt;&gt;STAT"),10),IF($J238="cambio de signo",-INDEX(DATOS_MODELO!$U$2:$U$3672,MATCH($H238,DATOS_MODELO!$B$2:$B$3672,0)),IF($J238="valor absoluto",ABS(INDEX(DATOS_MODELO!$U$2:$U$3672,MATCH($H238,DATOS_MODELO!$B$2:$B$3672,0))),INDEX(DATOS_MODELO!$U$2:$U$3672,MATCH($H238,DATOS_MODELO!$B$2:$B$3672,0))))))</f>
        <v>81023.7036</v>
      </c>
      <c r="L238" s="8" t="str">
        <f aca="false">IF(LEFT($H238,5)&lt;&gt;"STAT_","",IF(ABS($K238)&lt;=COUNTIFS($B$2:$B$618,$B238,$C$2:$C$618,$C238,$D$2:$D$618,"Energy products",$G$2:$G$618,"&lt;&gt;STAT")*PARAMETROS!$B$6,"redondeo","residuo_estadistico"))</f>
        <v/>
      </c>
      <c r="M238" s="8" t="str">
        <f>IF(OR($I238="USO_NO_ENERGETICO_APARENTE",$I238="USO_ENERGETICO_INTERNO_APARENTE"),"CAL",IF(LEFT($H238,5)="STAT_","FORMULA",IF(COUNTIF(DATOS_MODELO!$B$2:$B$3672,$H238)=1,"OK","REVISAR")))</f>
        <v>OK</v>
      </c>
    </row>
    <row r="239" customFormat="false" ht="15" hidden="false" customHeight="false" outlineLevel="0" collapsed="false">
      <c r="A239" s="4" t="s">
        <v>2538</v>
      </c>
      <c r="B239" s="12" t="n">
        <v>2022</v>
      </c>
      <c r="C239" s="4" t="s">
        <v>103</v>
      </c>
      <c r="D239" s="4" t="s">
        <v>1993</v>
      </c>
      <c r="E239" s="4" t="s">
        <v>2001</v>
      </c>
      <c r="F239" s="4" t="s">
        <v>2002</v>
      </c>
      <c r="G239" s="4" t="s">
        <v>72</v>
      </c>
      <c r="H239" s="4" t="s">
        <v>1365</v>
      </c>
      <c r="I239" s="4" t="s">
        <v>2079</v>
      </c>
      <c r="J239" s="4" t="s">
        <v>1997</v>
      </c>
      <c r="K239" s="14">
        <f>IF(OR($I239="USO_NO_ENERGETICO_APARENTE",$I239="USO_ENERGETICO_INTERNO_APARENTE"),ROUND(SUMIFS($K$2:$K$618,$B$2:$B$618,$B239,$C$2:$C$618,$C239,$D$2:$D$618,"Energy products",$E$2:$E$618,"Supply",$G$2:$G$618,"&lt;&gt;STAT")-SUMIFS($K$2:$K$618,$B$2:$B$618,$B239,$C$2:$C$618,$C239,$D$2:$D$618,"Energy products",$E$2:$E$618,"Use",$G$2:$G$618,"&lt;&gt;STAT",$I$2:$I$618,"&lt;&gt;USO_NO_ENERGETICO_APARENTE",$I$2:$I$618,"&lt;&gt;USO_ENERGETICO_INTERNO_APARENTE"),10),IF(LEFT($H239,5)="STAT_",ROUND(SUMIFS($K$2:$K$618,$B$2:$B$618,$B239,$C$2:$C$618,$C239,$D$2:$D$618,"Energy products",$E$2:$E$618,"Supply",$G$2:$G$618,"&lt;&gt;STAT")-SUMIFS($K$2:$K$618,$B$2:$B$618,$B239,$C$2:$C$618,$C239,$D$2:$D$618,"Energy products",$E$2:$E$618,"Use",$G$2:$G$618,"&lt;&gt;STAT"),10),IF($J239="cambio de signo",-INDEX(DATOS_MODELO!$U$2:$U$3672,MATCH($H239,DATOS_MODELO!$B$2:$B$3672,0)),IF($J239="valor absoluto",ABS(INDEX(DATOS_MODELO!$U$2:$U$3672,MATCH($H239,DATOS_MODELO!$B$2:$B$3672,0))),INDEX(DATOS_MODELO!$U$2:$U$3672,MATCH($H239,DATOS_MODELO!$B$2:$B$3672,0))))))</f>
        <v>415.1245</v>
      </c>
      <c r="L239" s="8" t="str">
        <f aca="false">IF(LEFT($H239,5)&lt;&gt;"STAT_","",IF(ABS($K239)&lt;=COUNTIFS($B$2:$B$618,$B239,$C$2:$C$618,$C239,$D$2:$D$618,"Energy products",$G$2:$G$618,"&lt;&gt;STAT")*PARAMETROS!$B$6,"redondeo","residuo_estadistico"))</f>
        <v/>
      </c>
      <c r="M239" s="8" t="str">
        <f>IF(OR($I239="USO_NO_ENERGETICO_APARENTE",$I239="USO_ENERGETICO_INTERNO_APARENTE"),"CAL",IF(LEFT($H239,5)="STAT_","FORMULA",IF(COUNTIF(DATOS_MODELO!$B$2:$B$3672,$H239)=1,"OK","REVISAR")))</f>
        <v>OK</v>
      </c>
    </row>
    <row r="240" customFormat="false" ht="15" hidden="false" customHeight="false" outlineLevel="0" collapsed="false">
      <c r="A240" s="4" t="s">
        <v>2540</v>
      </c>
      <c r="B240" s="12" t="n">
        <v>2022</v>
      </c>
      <c r="C240" s="4" t="s">
        <v>103</v>
      </c>
      <c r="D240" s="4" t="s">
        <v>1993</v>
      </c>
      <c r="E240" s="4" t="s">
        <v>2001</v>
      </c>
      <c r="F240" s="4" t="s">
        <v>2002</v>
      </c>
      <c r="G240" s="4" t="s">
        <v>68</v>
      </c>
      <c r="H240" s="4" t="s">
        <v>1366</v>
      </c>
      <c r="I240" s="4" t="s">
        <v>2111</v>
      </c>
      <c r="J240" s="4" t="s">
        <v>1997</v>
      </c>
      <c r="K240" s="14">
        <f>IF(OR($I240="USO_NO_ENERGETICO_APARENTE",$I240="USO_ENERGETICO_INTERNO_APARENTE"),ROUND(SUMIFS($K$2:$K$618,$B$2:$B$618,$B240,$C$2:$C$618,$C240,$D$2:$D$618,"Energy products",$E$2:$E$618,"Supply",$G$2:$G$618,"&lt;&gt;STAT")-SUMIFS($K$2:$K$618,$B$2:$B$618,$B240,$C$2:$C$618,$C240,$D$2:$D$618,"Energy products",$E$2:$E$618,"Use",$G$2:$G$618,"&lt;&gt;STAT",$I$2:$I$618,"&lt;&gt;USO_NO_ENERGETICO_APARENTE",$I$2:$I$618,"&lt;&gt;USO_ENERGETICO_INTERNO_APARENTE"),10),IF(LEFT($H240,5)="STAT_",ROUND(SUMIFS($K$2:$K$618,$B$2:$B$618,$B240,$C$2:$C$618,$C240,$D$2:$D$618,"Energy products",$E$2:$E$618,"Supply",$G$2:$G$618,"&lt;&gt;STAT")-SUMIFS($K$2:$K$618,$B$2:$B$618,$B240,$C$2:$C$618,$C240,$D$2:$D$618,"Energy products",$E$2:$E$618,"Use",$G$2:$G$618,"&lt;&gt;STAT"),10),IF($J240="cambio de signo",-INDEX(DATOS_MODELO!$U$2:$U$3672,MATCH($H240,DATOS_MODELO!$B$2:$B$3672,0)),IF($J240="valor absoluto",ABS(INDEX(DATOS_MODELO!$U$2:$U$3672,MATCH($H240,DATOS_MODELO!$B$2:$B$3672,0))),INDEX(DATOS_MODELO!$U$2:$U$3672,MATCH($H240,DATOS_MODELO!$B$2:$B$3672,0))))))</f>
        <v>1660.4399</v>
      </c>
      <c r="L240" s="8" t="str">
        <f aca="false">IF(LEFT($H240,5)&lt;&gt;"STAT_","",IF(ABS($K240)&lt;=COUNTIFS($B$2:$B$618,$B240,$C$2:$C$618,$C240,$D$2:$D$618,"Energy products",$G$2:$G$618,"&lt;&gt;STAT")*PARAMETROS!$B$6,"redondeo","residuo_estadistico"))</f>
        <v/>
      </c>
      <c r="M240" s="8" t="str">
        <f>IF(OR($I240="USO_NO_ENERGETICO_APARENTE",$I240="USO_ENERGETICO_INTERNO_APARENTE"),"CAL",IF(LEFT($H240,5)="STAT_","FORMULA",IF(COUNTIF(DATOS_MODELO!$B$2:$B$3672,$H240)=1,"OK","REVISAR")))</f>
        <v>OK</v>
      </c>
    </row>
    <row r="241" customFormat="false" ht="15" hidden="false" customHeight="false" outlineLevel="0" collapsed="false">
      <c r="A241" s="4" t="s">
        <v>2542</v>
      </c>
      <c r="B241" s="12" t="n">
        <v>2022</v>
      </c>
      <c r="C241" s="4" t="s">
        <v>105</v>
      </c>
      <c r="D241" s="4" t="s">
        <v>1993</v>
      </c>
      <c r="E241" s="4" t="s">
        <v>1994</v>
      </c>
      <c r="F241" s="4" t="s">
        <v>2029</v>
      </c>
      <c r="G241" s="4" t="s">
        <v>69</v>
      </c>
      <c r="H241" s="4" t="s">
        <v>1370</v>
      </c>
      <c r="I241" s="4" t="s">
        <v>2030</v>
      </c>
      <c r="J241" s="4" t="s">
        <v>1997</v>
      </c>
      <c r="K241" s="14">
        <f>IF(OR($I241="USO_NO_ENERGETICO_APARENTE",$I241="USO_ENERGETICO_INTERNO_APARENTE"),ROUND(SUMIFS($K$2:$K$618,$B$2:$B$618,$B241,$C$2:$C$618,$C241,$D$2:$D$618,"Energy products",$E$2:$E$618,"Supply",$G$2:$G$618,"&lt;&gt;STAT")-SUMIFS($K$2:$K$618,$B$2:$B$618,$B241,$C$2:$C$618,$C241,$D$2:$D$618,"Energy products",$E$2:$E$618,"Use",$G$2:$G$618,"&lt;&gt;STAT",$I$2:$I$618,"&lt;&gt;USO_NO_ENERGETICO_APARENTE",$I$2:$I$618,"&lt;&gt;USO_ENERGETICO_INTERNO_APARENTE"),10),IF(LEFT($H241,5)="STAT_",ROUND(SUMIFS($K$2:$K$618,$B$2:$B$618,$B241,$C$2:$C$618,$C241,$D$2:$D$618,"Energy products",$E$2:$E$618,"Supply",$G$2:$G$618,"&lt;&gt;STAT")-SUMIFS($K$2:$K$618,$B$2:$B$618,$B241,$C$2:$C$618,$C241,$D$2:$D$618,"Energy products",$E$2:$E$618,"Use",$G$2:$G$618,"&lt;&gt;STAT"),10),IF($J241="cambio de signo",-INDEX(DATOS_MODELO!$U$2:$U$3672,MATCH($H241,DATOS_MODELO!$B$2:$B$3672,0)),IF($J241="valor absoluto",ABS(INDEX(DATOS_MODELO!$U$2:$U$3672,MATCH($H241,DATOS_MODELO!$B$2:$B$3672,0))),INDEX(DATOS_MODELO!$U$2:$U$3672,MATCH($H241,DATOS_MODELO!$B$2:$B$3672,0))))))</f>
        <v>29689.0419</v>
      </c>
      <c r="L241" s="8" t="str">
        <f aca="false">IF(LEFT($H241,5)&lt;&gt;"STAT_","",IF(ABS($K241)&lt;=COUNTIFS($B$2:$B$618,$B241,$C$2:$C$618,$C241,$D$2:$D$618,"Energy products",$G$2:$G$618,"&lt;&gt;STAT")*PARAMETROS!$B$6,"redondeo","residuo_estadistico"))</f>
        <v/>
      </c>
      <c r="M241" s="8" t="str">
        <f>IF(OR($I241="USO_NO_ENERGETICO_APARENTE",$I241="USO_ENERGETICO_INTERNO_APARENTE"),"CAL",IF(LEFT($H241,5)="STAT_","FORMULA",IF(COUNTIF(DATOS_MODELO!$B$2:$B$3672,$H241)=1,"OK","REVISAR")))</f>
        <v>OK</v>
      </c>
    </row>
    <row r="242" customFormat="false" ht="15" hidden="false" customHeight="false" outlineLevel="0" collapsed="false">
      <c r="A242" s="4" t="s">
        <v>2544</v>
      </c>
      <c r="B242" s="12" t="n">
        <v>2022</v>
      </c>
      <c r="C242" s="4" t="s">
        <v>105</v>
      </c>
      <c r="D242" s="4" t="s">
        <v>1993</v>
      </c>
      <c r="E242" s="4" t="s">
        <v>2001</v>
      </c>
      <c r="F242" s="4" t="s">
        <v>2091</v>
      </c>
      <c r="G242" s="4" t="s">
        <v>69</v>
      </c>
      <c r="H242" s="4" t="s">
        <v>1371</v>
      </c>
      <c r="I242" s="4" t="s">
        <v>2030</v>
      </c>
      <c r="J242" s="4" t="s">
        <v>1997</v>
      </c>
      <c r="K242" s="14">
        <f>IF(OR($I242="USO_NO_ENERGETICO_APARENTE",$I242="USO_ENERGETICO_INTERNO_APARENTE"),ROUND(SUMIFS($K$2:$K$618,$B$2:$B$618,$B242,$C$2:$C$618,$C242,$D$2:$D$618,"Energy products",$E$2:$E$618,"Supply",$G$2:$G$618,"&lt;&gt;STAT")-SUMIFS($K$2:$K$618,$B$2:$B$618,$B242,$C$2:$C$618,$C242,$D$2:$D$618,"Energy products",$E$2:$E$618,"Use",$G$2:$G$618,"&lt;&gt;STAT",$I$2:$I$618,"&lt;&gt;USO_NO_ENERGETICO_APARENTE",$I$2:$I$618,"&lt;&gt;USO_ENERGETICO_INTERNO_APARENTE"),10),IF(LEFT($H242,5)="STAT_",ROUND(SUMIFS($K$2:$K$618,$B$2:$B$618,$B242,$C$2:$C$618,$C242,$D$2:$D$618,"Energy products",$E$2:$E$618,"Supply",$G$2:$G$618,"&lt;&gt;STAT")-SUMIFS($K$2:$K$618,$B$2:$B$618,$B242,$C$2:$C$618,$C242,$D$2:$D$618,"Energy products",$E$2:$E$618,"Use",$G$2:$G$618,"&lt;&gt;STAT"),10),IF($J242="cambio de signo",-INDEX(DATOS_MODELO!$U$2:$U$3672,MATCH($H242,DATOS_MODELO!$B$2:$B$3672,0)),IF($J242="valor absoluto",ABS(INDEX(DATOS_MODELO!$U$2:$U$3672,MATCH($H242,DATOS_MODELO!$B$2:$B$3672,0))),INDEX(DATOS_MODELO!$U$2:$U$3672,MATCH($H242,DATOS_MODELO!$B$2:$B$3672,0))))))</f>
        <v>5572.1386</v>
      </c>
      <c r="L242" s="8" t="str">
        <f aca="false">IF(LEFT($H242,5)&lt;&gt;"STAT_","",IF(ABS($K242)&lt;=COUNTIFS($B$2:$B$618,$B242,$C$2:$C$618,$C242,$D$2:$D$618,"Energy products",$G$2:$G$618,"&lt;&gt;STAT")*PARAMETROS!$B$6,"redondeo","residuo_estadistico"))</f>
        <v/>
      </c>
      <c r="M242" s="8" t="str">
        <f>IF(OR($I242="USO_NO_ENERGETICO_APARENTE",$I242="USO_ENERGETICO_INTERNO_APARENTE"),"CAL",IF(LEFT($H242,5)="STAT_","FORMULA",IF(COUNTIF(DATOS_MODELO!$B$2:$B$3672,$H242)=1,"OK","REVISAR")))</f>
        <v>OK</v>
      </c>
    </row>
    <row r="243" customFormat="false" ht="15" hidden="false" customHeight="false" outlineLevel="0" collapsed="false">
      <c r="A243" s="4" t="s">
        <v>2546</v>
      </c>
      <c r="B243" s="12" t="n">
        <v>2022</v>
      </c>
      <c r="C243" s="4" t="s">
        <v>105</v>
      </c>
      <c r="D243" s="4" t="s">
        <v>1993</v>
      </c>
      <c r="E243" s="4" t="s">
        <v>2001</v>
      </c>
      <c r="F243" s="4" t="s">
        <v>2034</v>
      </c>
      <c r="G243" s="4" t="s">
        <v>74</v>
      </c>
      <c r="H243" s="4" t="s">
        <v>1372</v>
      </c>
      <c r="I243" s="4" t="s">
        <v>2035</v>
      </c>
      <c r="J243" s="4" t="s">
        <v>2036</v>
      </c>
      <c r="K243" s="14">
        <f>IF(OR($I243="USO_NO_ENERGETICO_APARENTE",$I243="USO_ENERGETICO_INTERNO_APARENTE"),ROUND(SUMIFS($K$2:$K$618,$B$2:$B$618,$B243,$C$2:$C$618,$C243,$D$2:$D$618,"Energy products",$E$2:$E$618,"Supply",$G$2:$G$618,"&lt;&gt;STAT")-SUMIFS($K$2:$K$618,$B$2:$B$618,$B243,$C$2:$C$618,$C243,$D$2:$D$618,"Energy products",$E$2:$E$618,"Use",$G$2:$G$618,"&lt;&gt;STAT",$I$2:$I$618,"&lt;&gt;USO_NO_ENERGETICO_APARENTE",$I$2:$I$618,"&lt;&gt;USO_ENERGETICO_INTERNO_APARENTE"),10),IF(LEFT($H243,5)="STAT_",ROUND(SUMIFS($K$2:$K$618,$B$2:$B$618,$B243,$C$2:$C$618,$C243,$D$2:$D$618,"Energy products",$E$2:$E$618,"Supply",$G$2:$G$618,"&lt;&gt;STAT")-SUMIFS($K$2:$K$618,$B$2:$B$618,$B243,$C$2:$C$618,$C243,$D$2:$D$618,"Energy products",$E$2:$E$618,"Use",$G$2:$G$618,"&lt;&gt;STAT"),10),IF($J243="cambio de signo",-INDEX(DATOS_MODELO!$U$2:$U$3672,MATCH($H243,DATOS_MODELO!$B$2:$B$3672,0)),IF($J243="valor absoluto",ABS(INDEX(DATOS_MODELO!$U$2:$U$3672,MATCH($H243,DATOS_MODELO!$B$2:$B$3672,0))),INDEX(DATOS_MODELO!$U$2:$U$3672,MATCH($H243,DATOS_MODELO!$B$2:$B$3672,0))))))</f>
        <v>7.2625</v>
      </c>
      <c r="L243" s="8" t="str">
        <f aca="false">IF(LEFT($H243,5)&lt;&gt;"STAT_","",IF(ABS($K243)&lt;=COUNTIFS($B$2:$B$618,$B243,$C$2:$C$618,$C243,$D$2:$D$618,"Energy products",$G$2:$G$618,"&lt;&gt;STAT")*PARAMETROS!$B$6,"redondeo","residuo_estadistico"))</f>
        <v/>
      </c>
      <c r="M243" s="8" t="str">
        <f>IF(OR($I243="USO_NO_ENERGETICO_APARENTE",$I243="USO_ENERGETICO_INTERNO_APARENTE"),"CAL",IF(LEFT($H243,5)="STAT_","FORMULA",IF(COUNTIF(DATOS_MODELO!$B$2:$B$3672,$H243)=1,"OK","REVISAR")))</f>
        <v>OK</v>
      </c>
    </row>
    <row r="244" customFormat="false" ht="15" hidden="false" customHeight="false" outlineLevel="0" collapsed="false">
      <c r="A244" s="4" t="s">
        <v>2548</v>
      </c>
      <c r="B244" s="12" t="n">
        <v>2022</v>
      </c>
      <c r="C244" s="4" t="s">
        <v>105</v>
      </c>
      <c r="D244" s="4" t="s">
        <v>1993</v>
      </c>
      <c r="E244" s="4" t="s">
        <v>2001</v>
      </c>
      <c r="F244" s="4" t="s">
        <v>2002</v>
      </c>
      <c r="G244" s="4" t="s">
        <v>71</v>
      </c>
      <c r="H244" s="4" t="s">
        <v>1377</v>
      </c>
      <c r="I244" s="4" t="s">
        <v>2123</v>
      </c>
      <c r="J244" s="4" t="s">
        <v>1997</v>
      </c>
      <c r="K244" s="14">
        <f>IF(OR($I244="USO_NO_ENERGETICO_APARENTE",$I244="USO_ENERGETICO_INTERNO_APARENTE"),ROUND(SUMIFS($K$2:$K$618,$B$2:$B$618,$B244,$C$2:$C$618,$C244,$D$2:$D$618,"Energy products",$E$2:$E$618,"Supply",$G$2:$G$618,"&lt;&gt;STAT")-SUMIFS($K$2:$K$618,$B$2:$B$618,$B244,$C$2:$C$618,$C244,$D$2:$D$618,"Energy products",$E$2:$E$618,"Use",$G$2:$G$618,"&lt;&gt;STAT",$I$2:$I$618,"&lt;&gt;USO_NO_ENERGETICO_APARENTE",$I$2:$I$618,"&lt;&gt;USO_ENERGETICO_INTERNO_APARENTE"),10),IF(LEFT($H244,5)="STAT_",ROUND(SUMIFS($K$2:$K$618,$B$2:$B$618,$B244,$C$2:$C$618,$C244,$D$2:$D$618,"Energy products",$E$2:$E$618,"Supply",$G$2:$G$618,"&lt;&gt;STAT")-SUMIFS($K$2:$K$618,$B$2:$B$618,$B244,$C$2:$C$618,$C244,$D$2:$D$618,"Energy products",$E$2:$E$618,"Use",$G$2:$G$618,"&lt;&gt;STAT"),10),IF($J244="cambio de signo",-INDEX(DATOS_MODELO!$U$2:$U$3672,MATCH($H244,DATOS_MODELO!$B$2:$B$3672,0)),IF($J244="valor absoluto",ABS(INDEX(DATOS_MODELO!$U$2:$U$3672,MATCH($H244,DATOS_MODELO!$B$2:$B$3672,0))),INDEX(DATOS_MODELO!$U$2:$U$3672,MATCH($H244,DATOS_MODELO!$B$2:$B$3672,0))))))</f>
        <v>241.115</v>
      </c>
      <c r="L244" s="8" t="str">
        <f aca="false">IF(LEFT($H244,5)&lt;&gt;"STAT_","",IF(ABS($K244)&lt;=COUNTIFS($B$2:$B$618,$B244,$C$2:$C$618,$C244,$D$2:$D$618,"Energy products",$G$2:$G$618,"&lt;&gt;STAT")*PARAMETROS!$B$6,"redondeo","residuo_estadistico"))</f>
        <v/>
      </c>
      <c r="M244" s="8" t="str">
        <f>IF(OR($I244="USO_NO_ENERGETICO_APARENTE",$I244="USO_ENERGETICO_INTERNO_APARENTE"),"CAL",IF(LEFT($H244,5)="STAT_","FORMULA",IF(COUNTIF(DATOS_MODELO!$B$2:$B$3672,$H244)=1,"OK","REVISAR")))</f>
        <v>OK</v>
      </c>
    </row>
    <row r="245" customFormat="false" ht="15" hidden="false" customHeight="false" outlineLevel="0" collapsed="false">
      <c r="A245" s="4" t="s">
        <v>2550</v>
      </c>
      <c r="B245" s="12" t="n">
        <v>2022</v>
      </c>
      <c r="C245" s="4" t="s">
        <v>105</v>
      </c>
      <c r="D245" s="4" t="s">
        <v>1993</v>
      </c>
      <c r="E245" s="4" t="s">
        <v>2001</v>
      </c>
      <c r="F245" s="4" t="s">
        <v>2074</v>
      </c>
      <c r="G245" s="4" t="s">
        <v>73</v>
      </c>
      <c r="H245" s="4" t="s">
        <v>1378</v>
      </c>
      <c r="I245" s="4" t="s">
        <v>2075</v>
      </c>
      <c r="J245" s="4" t="s">
        <v>1997</v>
      </c>
      <c r="K245" s="14">
        <f>IF(OR($I245="USO_NO_ENERGETICO_APARENTE",$I245="USO_ENERGETICO_INTERNO_APARENTE"),ROUND(SUMIFS($K$2:$K$618,$B$2:$B$618,$B245,$C$2:$C$618,$C245,$D$2:$D$618,"Energy products",$E$2:$E$618,"Supply",$G$2:$G$618,"&lt;&gt;STAT")-SUMIFS($K$2:$K$618,$B$2:$B$618,$B245,$C$2:$C$618,$C245,$D$2:$D$618,"Energy products",$E$2:$E$618,"Use",$G$2:$G$618,"&lt;&gt;STAT",$I$2:$I$618,"&lt;&gt;USO_NO_ENERGETICO_APARENTE",$I$2:$I$618,"&lt;&gt;USO_ENERGETICO_INTERNO_APARENTE"),10),IF(LEFT($H245,5)="STAT_",ROUND(SUMIFS($K$2:$K$618,$B$2:$B$618,$B245,$C$2:$C$618,$C245,$D$2:$D$618,"Energy products",$E$2:$E$618,"Supply",$G$2:$G$618,"&lt;&gt;STAT")-SUMIFS($K$2:$K$618,$B$2:$B$618,$B245,$C$2:$C$618,$C245,$D$2:$D$618,"Energy products",$E$2:$E$618,"Use",$G$2:$G$618,"&lt;&gt;STAT"),10),IF($J245="cambio de signo",-INDEX(DATOS_MODELO!$U$2:$U$3672,MATCH($H245,DATOS_MODELO!$B$2:$B$3672,0)),IF($J245="valor absoluto",ABS(INDEX(DATOS_MODELO!$U$2:$U$3672,MATCH($H245,DATOS_MODELO!$B$2:$B$3672,0))),INDEX(DATOS_MODELO!$U$2:$U$3672,MATCH($H245,DATOS_MODELO!$B$2:$B$3672,0))))))</f>
        <v>18564.4025</v>
      </c>
      <c r="L245" s="8" t="str">
        <f aca="false">IF(LEFT($H245,5)&lt;&gt;"STAT_","",IF(ABS($K245)&lt;=COUNTIFS($B$2:$B$618,$B245,$C$2:$C$618,$C245,$D$2:$D$618,"Energy products",$G$2:$G$618,"&lt;&gt;STAT")*PARAMETROS!$B$6,"redondeo","residuo_estadistico"))</f>
        <v/>
      </c>
      <c r="M245" s="8" t="str">
        <f>IF(OR($I245="USO_NO_ENERGETICO_APARENTE",$I245="USO_ENERGETICO_INTERNO_APARENTE"),"CAL",IF(LEFT($H245,5)="STAT_","FORMULA",IF(COUNTIF(DATOS_MODELO!$B$2:$B$3672,$H245)=1,"OK","REVISAR")))</f>
        <v>OK</v>
      </c>
    </row>
    <row r="246" customFormat="false" ht="15" hidden="false" customHeight="false" outlineLevel="0" collapsed="false">
      <c r="A246" s="4" t="s">
        <v>2552</v>
      </c>
      <c r="B246" s="12" t="n">
        <v>2022</v>
      </c>
      <c r="C246" s="4" t="s">
        <v>105</v>
      </c>
      <c r="D246" s="4" t="s">
        <v>1993</v>
      </c>
      <c r="E246" s="4" t="s">
        <v>2001</v>
      </c>
      <c r="F246" s="4" t="s">
        <v>2002</v>
      </c>
      <c r="G246" s="4" t="s">
        <v>72</v>
      </c>
      <c r="H246" s="4" t="s">
        <v>1379</v>
      </c>
      <c r="I246" s="4" t="s">
        <v>2079</v>
      </c>
      <c r="J246" s="4" t="s">
        <v>1997</v>
      </c>
      <c r="K246" s="14">
        <f>IF(OR($I246="USO_NO_ENERGETICO_APARENTE",$I246="USO_ENERGETICO_INTERNO_APARENTE"),ROUND(SUMIFS($K$2:$K$618,$B$2:$B$618,$B246,$C$2:$C$618,$C246,$D$2:$D$618,"Energy products",$E$2:$E$618,"Supply",$G$2:$G$618,"&lt;&gt;STAT")-SUMIFS($K$2:$K$618,$B$2:$B$618,$B246,$C$2:$C$618,$C246,$D$2:$D$618,"Energy products",$E$2:$E$618,"Use",$G$2:$G$618,"&lt;&gt;STAT",$I$2:$I$618,"&lt;&gt;USO_NO_ENERGETICO_APARENTE",$I$2:$I$618,"&lt;&gt;USO_ENERGETICO_INTERNO_APARENTE"),10),IF(LEFT($H246,5)="STAT_",ROUND(SUMIFS($K$2:$K$618,$B$2:$B$618,$B246,$C$2:$C$618,$C246,$D$2:$D$618,"Energy products",$E$2:$E$618,"Supply",$G$2:$G$618,"&lt;&gt;STAT")-SUMIFS($K$2:$K$618,$B$2:$B$618,$B246,$C$2:$C$618,$C246,$D$2:$D$618,"Energy products",$E$2:$E$618,"Use",$G$2:$G$618,"&lt;&gt;STAT"),10),IF($J246="cambio de signo",-INDEX(DATOS_MODELO!$U$2:$U$3672,MATCH($H246,DATOS_MODELO!$B$2:$B$3672,0)),IF($J246="valor absoluto",ABS(INDEX(DATOS_MODELO!$U$2:$U$3672,MATCH($H246,DATOS_MODELO!$B$2:$B$3672,0))),INDEX(DATOS_MODELO!$U$2:$U$3672,MATCH($H246,DATOS_MODELO!$B$2:$B$3672,0))))))</f>
        <v>482.1719</v>
      </c>
      <c r="L246" s="8" t="str">
        <f aca="false">IF(LEFT($H246,5)&lt;&gt;"STAT_","",IF(ABS($K246)&lt;=COUNTIFS($B$2:$B$618,$B246,$C$2:$C$618,$C246,$D$2:$D$618,"Energy products",$G$2:$G$618,"&lt;&gt;STAT")*PARAMETROS!$B$6,"redondeo","residuo_estadistico"))</f>
        <v/>
      </c>
      <c r="M246" s="8" t="str">
        <f>IF(OR($I246="USO_NO_ENERGETICO_APARENTE",$I246="USO_ENERGETICO_INTERNO_APARENTE"),"CAL",IF(LEFT($H246,5)="STAT_","FORMULA",IF(COUNTIF(DATOS_MODELO!$B$2:$B$3672,$H246)=1,"OK","REVISAR")))</f>
        <v>OK</v>
      </c>
    </row>
    <row r="247" customFormat="false" ht="15" hidden="false" customHeight="false" outlineLevel="0" collapsed="false">
      <c r="A247" s="4" t="s">
        <v>2554</v>
      </c>
      <c r="B247" s="12" t="n">
        <v>2022</v>
      </c>
      <c r="C247" s="4" t="s">
        <v>105</v>
      </c>
      <c r="D247" s="4" t="s">
        <v>1993</v>
      </c>
      <c r="E247" s="4" t="s">
        <v>2001</v>
      </c>
      <c r="F247" s="4" t="s">
        <v>2002</v>
      </c>
      <c r="G247" s="4" t="s">
        <v>68</v>
      </c>
      <c r="H247" s="4" t="s">
        <v>1380</v>
      </c>
      <c r="I247" s="4" t="s">
        <v>2111</v>
      </c>
      <c r="J247" s="4" t="s">
        <v>1997</v>
      </c>
      <c r="K247" s="14">
        <f>IF(OR($I247="USO_NO_ENERGETICO_APARENTE",$I247="USO_ENERGETICO_INTERNO_APARENTE"),ROUND(SUMIFS($K$2:$K$618,$B$2:$B$618,$B247,$C$2:$C$618,$C247,$D$2:$D$618,"Energy products",$E$2:$E$618,"Supply",$G$2:$G$618,"&lt;&gt;STAT")-SUMIFS($K$2:$K$618,$B$2:$B$618,$B247,$C$2:$C$618,$C247,$D$2:$D$618,"Energy products",$E$2:$E$618,"Use",$G$2:$G$618,"&lt;&gt;STAT",$I$2:$I$618,"&lt;&gt;USO_NO_ENERGETICO_APARENTE",$I$2:$I$618,"&lt;&gt;USO_ENERGETICO_INTERNO_APARENTE"),10),IF(LEFT($H247,5)="STAT_",ROUND(SUMIFS($K$2:$K$618,$B$2:$B$618,$B247,$C$2:$C$618,$C247,$D$2:$D$618,"Energy products",$E$2:$E$618,"Supply",$G$2:$G$618,"&lt;&gt;STAT")-SUMIFS($K$2:$K$618,$B$2:$B$618,$B247,$C$2:$C$618,$C247,$D$2:$D$618,"Energy products",$E$2:$E$618,"Use",$G$2:$G$618,"&lt;&gt;STAT"),10),IF($J247="cambio de signo",-INDEX(DATOS_MODELO!$U$2:$U$3672,MATCH($H247,DATOS_MODELO!$B$2:$B$3672,0)),IF($J247="valor absoluto",ABS(INDEX(DATOS_MODELO!$U$2:$U$3672,MATCH($H247,DATOS_MODELO!$B$2:$B$3672,0))),INDEX(DATOS_MODELO!$U$2:$U$3672,MATCH($H247,DATOS_MODELO!$B$2:$B$3672,0))))))</f>
        <v>4821.8933</v>
      </c>
      <c r="L247" s="8" t="str">
        <f aca="false">IF(LEFT($H247,5)&lt;&gt;"STAT_","",IF(ABS($K247)&lt;=COUNTIFS($B$2:$B$618,$B247,$C$2:$C$618,$C247,$D$2:$D$618,"Energy products",$G$2:$G$618,"&lt;&gt;STAT")*PARAMETROS!$B$6,"redondeo","residuo_estadistico"))</f>
        <v/>
      </c>
      <c r="M247" s="8" t="str">
        <f>IF(OR($I247="USO_NO_ENERGETICO_APARENTE",$I247="USO_ENERGETICO_INTERNO_APARENTE"),"CAL",IF(LEFT($H247,5)="STAT_","FORMULA",IF(COUNTIF(DATOS_MODELO!$B$2:$B$3672,$H247)=1,"OK","REVISAR")))</f>
        <v>OK</v>
      </c>
    </row>
    <row r="248" customFormat="false" ht="15" hidden="false" customHeight="false" outlineLevel="0" collapsed="false">
      <c r="A248" s="4" t="s">
        <v>2556</v>
      </c>
      <c r="B248" s="12" t="n">
        <v>2022</v>
      </c>
      <c r="C248" s="4" t="s">
        <v>107</v>
      </c>
      <c r="D248" s="4" t="s">
        <v>1993</v>
      </c>
      <c r="E248" s="4" t="s">
        <v>1994</v>
      </c>
      <c r="F248" s="4" t="s">
        <v>2029</v>
      </c>
      <c r="G248" s="4" t="s">
        <v>69</v>
      </c>
      <c r="H248" s="4" t="s">
        <v>1384</v>
      </c>
      <c r="I248" s="4" t="s">
        <v>2030</v>
      </c>
      <c r="J248" s="4" t="s">
        <v>1997</v>
      </c>
      <c r="K248" s="14">
        <f>IF(OR($I248="USO_NO_ENERGETICO_APARENTE",$I248="USO_ENERGETICO_INTERNO_APARENTE"),ROUND(SUMIFS($K$2:$K$618,$B$2:$B$618,$B248,$C$2:$C$618,$C248,$D$2:$D$618,"Energy products",$E$2:$E$618,"Supply",$G$2:$G$618,"&lt;&gt;STAT")-SUMIFS($K$2:$K$618,$B$2:$B$618,$B248,$C$2:$C$618,$C248,$D$2:$D$618,"Energy products",$E$2:$E$618,"Use",$G$2:$G$618,"&lt;&gt;STAT",$I$2:$I$618,"&lt;&gt;USO_NO_ENERGETICO_APARENTE",$I$2:$I$618,"&lt;&gt;USO_ENERGETICO_INTERNO_APARENTE"),10),IF(LEFT($H248,5)="STAT_",ROUND(SUMIFS($K$2:$K$618,$B$2:$B$618,$B248,$C$2:$C$618,$C248,$D$2:$D$618,"Energy products",$E$2:$E$618,"Supply",$G$2:$G$618,"&lt;&gt;STAT")-SUMIFS($K$2:$K$618,$B$2:$B$618,$B248,$C$2:$C$618,$C248,$D$2:$D$618,"Energy products",$E$2:$E$618,"Use",$G$2:$G$618,"&lt;&gt;STAT"),10),IF($J248="cambio de signo",-INDEX(DATOS_MODELO!$U$2:$U$3672,MATCH($H248,DATOS_MODELO!$B$2:$B$3672,0)),IF($J248="valor absoluto",ABS(INDEX(DATOS_MODELO!$U$2:$U$3672,MATCH($H248,DATOS_MODELO!$B$2:$B$3672,0))),INDEX(DATOS_MODELO!$U$2:$U$3672,MATCH($H248,DATOS_MODELO!$B$2:$B$3672,0))))))</f>
        <v>4432.7976</v>
      </c>
      <c r="L248" s="8" t="str">
        <f aca="false">IF(LEFT($H248,5)&lt;&gt;"STAT_","",IF(ABS($K248)&lt;=COUNTIFS($B$2:$B$618,$B248,$C$2:$C$618,$C248,$D$2:$D$618,"Energy products",$G$2:$G$618,"&lt;&gt;STAT")*PARAMETROS!$B$6,"redondeo","residuo_estadistico"))</f>
        <v/>
      </c>
      <c r="M248" s="8" t="str">
        <f>IF(OR($I248="USO_NO_ENERGETICO_APARENTE",$I248="USO_ENERGETICO_INTERNO_APARENTE"),"CAL",IF(LEFT($H248,5)="STAT_","FORMULA",IF(COUNTIF(DATOS_MODELO!$B$2:$B$3672,$H248)=1,"OK","REVISAR")))</f>
        <v>OK</v>
      </c>
    </row>
    <row r="249" customFormat="false" ht="15" hidden="false" customHeight="false" outlineLevel="0" collapsed="false">
      <c r="A249" s="4" t="s">
        <v>2558</v>
      </c>
      <c r="B249" s="12" t="n">
        <v>2022</v>
      </c>
      <c r="C249" s="4" t="s">
        <v>107</v>
      </c>
      <c r="D249" s="4" t="s">
        <v>1993</v>
      </c>
      <c r="E249" s="4" t="s">
        <v>2001</v>
      </c>
      <c r="F249" s="4" t="s">
        <v>2091</v>
      </c>
      <c r="G249" s="4" t="s">
        <v>69</v>
      </c>
      <c r="H249" s="4" t="s">
        <v>1385</v>
      </c>
      <c r="I249" s="4" t="s">
        <v>2030</v>
      </c>
      <c r="J249" s="4" t="s">
        <v>1997</v>
      </c>
      <c r="K249" s="14">
        <f>IF(OR($I249="USO_NO_ENERGETICO_APARENTE",$I249="USO_ENERGETICO_INTERNO_APARENTE"),ROUND(SUMIFS($K$2:$K$618,$B$2:$B$618,$B249,$C$2:$C$618,$C249,$D$2:$D$618,"Energy products",$E$2:$E$618,"Supply",$G$2:$G$618,"&lt;&gt;STAT")-SUMIFS($K$2:$K$618,$B$2:$B$618,$B249,$C$2:$C$618,$C249,$D$2:$D$618,"Energy products",$E$2:$E$618,"Use",$G$2:$G$618,"&lt;&gt;STAT",$I$2:$I$618,"&lt;&gt;USO_NO_ENERGETICO_APARENTE",$I$2:$I$618,"&lt;&gt;USO_ENERGETICO_INTERNO_APARENTE"),10),IF(LEFT($H249,5)="STAT_",ROUND(SUMIFS($K$2:$K$618,$B$2:$B$618,$B249,$C$2:$C$618,$C249,$D$2:$D$618,"Energy products",$E$2:$E$618,"Supply",$G$2:$G$618,"&lt;&gt;STAT")-SUMIFS($K$2:$K$618,$B$2:$B$618,$B249,$C$2:$C$618,$C249,$D$2:$D$618,"Energy products",$E$2:$E$618,"Use",$G$2:$G$618,"&lt;&gt;STAT"),10),IF($J249="cambio de signo",-INDEX(DATOS_MODELO!$U$2:$U$3672,MATCH($H249,DATOS_MODELO!$B$2:$B$3672,0)),IF($J249="valor absoluto",ABS(INDEX(DATOS_MODELO!$U$2:$U$3672,MATCH($H249,DATOS_MODELO!$B$2:$B$3672,0))),INDEX(DATOS_MODELO!$U$2:$U$3672,MATCH($H249,DATOS_MODELO!$B$2:$B$3672,0))))))</f>
        <v>117.4782</v>
      </c>
      <c r="L249" s="8" t="str">
        <f aca="false">IF(LEFT($H249,5)&lt;&gt;"STAT_","",IF(ABS($K249)&lt;=COUNTIFS($B$2:$B$618,$B249,$C$2:$C$618,$C249,$D$2:$D$618,"Energy products",$G$2:$G$618,"&lt;&gt;STAT")*PARAMETROS!$B$6,"redondeo","residuo_estadistico"))</f>
        <v/>
      </c>
      <c r="M249" s="8" t="str">
        <f>IF(OR($I249="USO_NO_ENERGETICO_APARENTE",$I249="USO_ENERGETICO_INTERNO_APARENTE"),"CAL",IF(LEFT($H249,5)="STAT_","FORMULA",IF(COUNTIF(DATOS_MODELO!$B$2:$B$3672,$H249)=1,"OK","REVISAR")))</f>
        <v>OK</v>
      </c>
    </row>
    <row r="250" customFormat="false" ht="15" hidden="false" customHeight="false" outlineLevel="0" collapsed="false">
      <c r="A250" s="4" t="s">
        <v>2560</v>
      </c>
      <c r="B250" s="12" t="n">
        <v>2022</v>
      </c>
      <c r="C250" s="4" t="s">
        <v>107</v>
      </c>
      <c r="D250" s="4" t="s">
        <v>1993</v>
      </c>
      <c r="E250" s="4" t="s">
        <v>2001</v>
      </c>
      <c r="F250" s="4" t="s">
        <v>2034</v>
      </c>
      <c r="G250" s="4" t="s">
        <v>74</v>
      </c>
      <c r="H250" s="4" t="s">
        <v>1386</v>
      </c>
      <c r="I250" s="4" t="s">
        <v>2035</v>
      </c>
      <c r="J250" s="4" t="s">
        <v>2036</v>
      </c>
      <c r="K250" s="14">
        <f>IF(OR($I250="USO_NO_ENERGETICO_APARENTE",$I250="USO_ENERGETICO_INTERNO_APARENTE"),ROUND(SUMIFS($K$2:$K$618,$B$2:$B$618,$B250,$C$2:$C$618,$C250,$D$2:$D$618,"Energy products",$E$2:$E$618,"Supply",$G$2:$G$618,"&lt;&gt;STAT")-SUMIFS($K$2:$K$618,$B$2:$B$618,$B250,$C$2:$C$618,$C250,$D$2:$D$618,"Energy products",$E$2:$E$618,"Use",$G$2:$G$618,"&lt;&gt;STAT",$I$2:$I$618,"&lt;&gt;USO_NO_ENERGETICO_APARENTE",$I$2:$I$618,"&lt;&gt;USO_ENERGETICO_INTERNO_APARENTE"),10),IF(LEFT($H250,5)="STAT_",ROUND(SUMIFS($K$2:$K$618,$B$2:$B$618,$B250,$C$2:$C$618,$C250,$D$2:$D$618,"Energy products",$E$2:$E$618,"Supply",$G$2:$G$618,"&lt;&gt;STAT")-SUMIFS($K$2:$K$618,$B$2:$B$618,$B250,$C$2:$C$618,$C250,$D$2:$D$618,"Energy products",$E$2:$E$618,"Use",$G$2:$G$618,"&lt;&gt;STAT"),10),IF($J250="cambio de signo",-INDEX(DATOS_MODELO!$U$2:$U$3672,MATCH($H250,DATOS_MODELO!$B$2:$B$3672,0)),IF($J250="valor absoluto",ABS(INDEX(DATOS_MODELO!$U$2:$U$3672,MATCH($H250,DATOS_MODELO!$B$2:$B$3672,0))),INDEX(DATOS_MODELO!$U$2:$U$3672,MATCH($H250,DATOS_MODELO!$B$2:$B$3672,0))))))</f>
        <v>-170.7559</v>
      </c>
      <c r="L250" s="8" t="str">
        <f aca="false">IF(LEFT($H250,5)&lt;&gt;"STAT_","",IF(ABS($K250)&lt;=COUNTIFS($B$2:$B$618,$B250,$C$2:$C$618,$C250,$D$2:$D$618,"Energy products",$G$2:$G$618,"&lt;&gt;STAT")*PARAMETROS!$B$6,"redondeo","residuo_estadistico"))</f>
        <v/>
      </c>
      <c r="M250" s="8" t="str">
        <f>IF(OR($I250="USO_NO_ENERGETICO_APARENTE",$I250="USO_ENERGETICO_INTERNO_APARENTE"),"CAL",IF(LEFT($H250,5)="STAT_","FORMULA",IF(COUNTIF(DATOS_MODELO!$B$2:$B$3672,$H250)=1,"OK","REVISAR")))</f>
        <v>OK</v>
      </c>
    </row>
    <row r="251" customFormat="false" ht="15" hidden="false" customHeight="false" outlineLevel="0" collapsed="false">
      <c r="A251" s="4" t="s">
        <v>2562</v>
      </c>
      <c r="B251" s="12" t="n">
        <v>2022</v>
      </c>
      <c r="C251" s="4" t="s">
        <v>107</v>
      </c>
      <c r="D251" s="4" t="s">
        <v>1993</v>
      </c>
      <c r="E251" s="4" t="s">
        <v>2001</v>
      </c>
      <c r="F251" s="4" t="s">
        <v>2002</v>
      </c>
      <c r="G251" s="4" t="s">
        <v>71</v>
      </c>
      <c r="H251" s="4" t="s">
        <v>1391</v>
      </c>
      <c r="I251" s="4" t="s">
        <v>2123</v>
      </c>
      <c r="J251" s="4" t="s">
        <v>1997</v>
      </c>
      <c r="K251" s="14">
        <f>IF(OR($I251="USO_NO_ENERGETICO_APARENTE",$I251="USO_ENERGETICO_INTERNO_APARENTE"),ROUND(SUMIFS($K$2:$K$618,$B$2:$B$618,$B251,$C$2:$C$618,$C251,$D$2:$D$618,"Energy products",$E$2:$E$618,"Supply",$G$2:$G$618,"&lt;&gt;STAT")-SUMIFS($K$2:$K$618,$B$2:$B$618,$B251,$C$2:$C$618,$C251,$D$2:$D$618,"Energy products",$E$2:$E$618,"Use",$G$2:$G$618,"&lt;&gt;STAT",$I$2:$I$618,"&lt;&gt;USO_NO_ENERGETICO_APARENTE",$I$2:$I$618,"&lt;&gt;USO_ENERGETICO_INTERNO_APARENTE"),10),IF(LEFT($H251,5)="STAT_",ROUND(SUMIFS($K$2:$K$618,$B$2:$B$618,$B251,$C$2:$C$618,$C251,$D$2:$D$618,"Energy products",$E$2:$E$618,"Supply",$G$2:$G$618,"&lt;&gt;STAT")-SUMIFS($K$2:$K$618,$B$2:$B$618,$B251,$C$2:$C$618,$C251,$D$2:$D$618,"Energy products",$E$2:$E$618,"Use",$G$2:$G$618,"&lt;&gt;STAT"),10),IF($J251="cambio de signo",-INDEX(DATOS_MODELO!$U$2:$U$3672,MATCH($H251,DATOS_MODELO!$B$2:$B$3672,0)),IF($J251="valor absoluto",ABS(INDEX(DATOS_MODELO!$U$2:$U$3672,MATCH($H251,DATOS_MODELO!$B$2:$B$3672,0))),INDEX(DATOS_MODELO!$U$2:$U$3672,MATCH($H251,DATOS_MODELO!$B$2:$B$3672,0))))))</f>
        <v>4486.1334</v>
      </c>
      <c r="L251" s="8" t="str">
        <f aca="false">IF(LEFT($H251,5)&lt;&gt;"STAT_","",IF(ABS($K251)&lt;=COUNTIFS($B$2:$B$618,$B251,$C$2:$C$618,$C251,$D$2:$D$618,"Energy products",$G$2:$G$618,"&lt;&gt;STAT")*PARAMETROS!$B$6,"redondeo","residuo_estadistico"))</f>
        <v/>
      </c>
      <c r="M251" s="8" t="str">
        <f>IF(OR($I251="USO_NO_ENERGETICO_APARENTE",$I251="USO_ENERGETICO_INTERNO_APARENTE"),"CAL",IF(LEFT($H251,5)="STAT_","FORMULA",IF(COUNTIF(DATOS_MODELO!$B$2:$B$3672,$H251)=1,"OK","REVISAR")))</f>
        <v>OK</v>
      </c>
    </row>
    <row r="252" customFormat="false" ht="15" hidden="false" customHeight="false" outlineLevel="0" collapsed="false">
      <c r="A252" s="4" t="s">
        <v>2564</v>
      </c>
      <c r="B252" s="12" t="n">
        <v>2022</v>
      </c>
      <c r="C252" s="4" t="s">
        <v>111</v>
      </c>
      <c r="D252" s="4" t="s">
        <v>1993</v>
      </c>
      <c r="E252" s="4" t="s">
        <v>1994</v>
      </c>
      <c r="F252" s="4" t="s">
        <v>2029</v>
      </c>
      <c r="G252" s="4" t="s">
        <v>69</v>
      </c>
      <c r="H252" s="4" t="s">
        <v>1398</v>
      </c>
      <c r="I252" s="4" t="s">
        <v>2030</v>
      </c>
      <c r="J252" s="4" t="s">
        <v>1997</v>
      </c>
      <c r="K252" s="14">
        <f>IF(OR($I252="USO_NO_ENERGETICO_APARENTE",$I252="USO_ENERGETICO_INTERNO_APARENTE"),ROUND(SUMIFS($K$2:$K$618,$B$2:$B$618,$B252,$C$2:$C$618,$C252,$D$2:$D$618,"Energy products",$E$2:$E$618,"Supply",$G$2:$G$618,"&lt;&gt;STAT")-SUMIFS($K$2:$K$618,$B$2:$B$618,$B252,$C$2:$C$618,$C252,$D$2:$D$618,"Energy products",$E$2:$E$618,"Use",$G$2:$G$618,"&lt;&gt;STAT",$I$2:$I$618,"&lt;&gt;USO_NO_ENERGETICO_APARENTE",$I$2:$I$618,"&lt;&gt;USO_ENERGETICO_INTERNO_APARENTE"),10),IF(LEFT($H252,5)="STAT_",ROUND(SUMIFS($K$2:$K$618,$B$2:$B$618,$B252,$C$2:$C$618,$C252,$D$2:$D$618,"Energy products",$E$2:$E$618,"Supply",$G$2:$G$618,"&lt;&gt;STAT")-SUMIFS($K$2:$K$618,$B$2:$B$618,$B252,$C$2:$C$618,$C252,$D$2:$D$618,"Energy products",$E$2:$E$618,"Use",$G$2:$G$618,"&lt;&gt;STAT"),10),IF($J252="cambio de signo",-INDEX(DATOS_MODELO!$U$2:$U$3672,MATCH($H252,DATOS_MODELO!$B$2:$B$3672,0)),IF($J252="valor absoluto",ABS(INDEX(DATOS_MODELO!$U$2:$U$3672,MATCH($H252,DATOS_MODELO!$B$2:$B$3672,0))),INDEX(DATOS_MODELO!$U$2:$U$3672,MATCH($H252,DATOS_MODELO!$B$2:$B$3672,0))))))</f>
        <v>404.5503</v>
      </c>
      <c r="L252" s="8" t="str">
        <f aca="false">IF(LEFT($H252,5)&lt;&gt;"STAT_","",IF(ABS($K252)&lt;=COUNTIFS($B$2:$B$618,$B252,$C$2:$C$618,$C252,$D$2:$D$618,"Energy products",$G$2:$G$618,"&lt;&gt;STAT")*PARAMETROS!$B$6,"redondeo","residuo_estadistico"))</f>
        <v/>
      </c>
      <c r="M252" s="8" t="str">
        <f>IF(OR($I252="USO_NO_ENERGETICO_APARENTE",$I252="USO_ENERGETICO_INTERNO_APARENTE"),"CAL",IF(LEFT($H252,5)="STAT_","FORMULA",IF(COUNTIF(DATOS_MODELO!$B$2:$B$3672,$H252)=1,"OK","REVISAR")))</f>
        <v>OK</v>
      </c>
    </row>
    <row r="253" customFormat="false" ht="15" hidden="false" customHeight="false" outlineLevel="0" collapsed="false">
      <c r="A253" s="4" t="s">
        <v>2566</v>
      </c>
      <c r="B253" s="12" t="n">
        <v>2022</v>
      </c>
      <c r="C253" s="4" t="s">
        <v>111</v>
      </c>
      <c r="D253" s="4" t="s">
        <v>1993</v>
      </c>
      <c r="E253" s="4" t="s">
        <v>2001</v>
      </c>
      <c r="F253" s="4" t="s">
        <v>2091</v>
      </c>
      <c r="G253" s="4" t="s">
        <v>69</v>
      </c>
      <c r="H253" s="4" t="s">
        <v>1399</v>
      </c>
      <c r="I253" s="4" t="s">
        <v>2030</v>
      </c>
      <c r="J253" s="4" t="s">
        <v>1997</v>
      </c>
      <c r="K253" s="14">
        <f>IF(OR($I253="USO_NO_ENERGETICO_APARENTE",$I253="USO_ENERGETICO_INTERNO_APARENTE"),ROUND(SUMIFS($K$2:$K$618,$B$2:$B$618,$B253,$C$2:$C$618,$C253,$D$2:$D$618,"Energy products",$E$2:$E$618,"Supply",$G$2:$G$618,"&lt;&gt;STAT")-SUMIFS($K$2:$K$618,$B$2:$B$618,$B253,$C$2:$C$618,$C253,$D$2:$D$618,"Energy products",$E$2:$E$618,"Use",$G$2:$G$618,"&lt;&gt;STAT",$I$2:$I$618,"&lt;&gt;USO_NO_ENERGETICO_APARENTE",$I$2:$I$618,"&lt;&gt;USO_ENERGETICO_INTERNO_APARENTE"),10),IF(LEFT($H253,5)="STAT_",ROUND(SUMIFS($K$2:$K$618,$B$2:$B$618,$B253,$C$2:$C$618,$C253,$D$2:$D$618,"Energy products",$E$2:$E$618,"Supply",$G$2:$G$618,"&lt;&gt;STAT")-SUMIFS($K$2:$K$618,$B$2:$B$618,$B253,$C$2:$C$618,$C253,$D$2:$D$618,"Energy products",$E$2:$E$618,"Use",$G$2:$G$618,"&lt;&gt;STAT"),10),IF($J253="cambio de signo",-INDEX(DATOS_MODELO!$U$2:$U$3672,MATCH($H253,DATOS_MODELO!$B$2:$B$3672,0)),IF($J253="valor absoluto",ABS(INDEX(DATOS_MODELO!$U$2:$U$3672,MATCH($H253,DATOS_MODELO!$B$2:$B$3672,0))),INDEX(DATOS_MODELO!$U$2:$U$3672,MATCH($H253,DATOS_MODELO!$B$2:$B$3672,0))))))</f>
        <v>2884.7812</v>
      </c>
      <c r="L253" s="8" t="str">
        <f aca="false">IF(LEFT($H253,5)&lt;&gt;"STAT_","",IF(ABS($K253)&lt;=COUNTIFS($B$2:$B$618,$B253,$C$2:$C$618,$C253,$D$2:$D$618,"Energy products",$G$2:$G$618,"&lt;&gt;STAT")*PARAMETROS!$B$6,"redondeo","residuo_estadistico"))</f>
        <v/>
      </c>
      <c r="M253" s="8" t="str">
        <f>IF(OR($I253="USO_NO_ENERGETICO_APARENTE",$I253="USO_ENERGETICO_INTERNO_APARENTE"),"CAL",IF(LEFT($H253,5)="STAT_","FORMULA",IF(COUNTIF(DATOS_MODELO!$B$2:$B$3672,$H253)=1,"OK","REVISAR")))</f>
        <v>OK</v>
      </c>
    </row>
    <row r="254" customFormat="false" ht="15" hidden="false" customHeight="false" outlineLevel="0" collapsed="false">
      <c r="A254" s="4" t="s">
        <v>2568</v>
      </c>
      <c r="B254" s="12" t="n">
        <v>2022</v>
      </c>
      <c r="C254" s="4" t="s">
        <v>111</v>
      </c>
      <c r="D254" s="4" t="s">
        <v>1993</v>
      </c>
      <c r="E254" s="4" t="s">
        <v>2001</v>
      </c>
      <c r="F254" s="4" t="s">
        <v>2034</v>
      </c>
      <c r="G254" s="4" t="s">
        <v>74</v>
      </c>
      <c r="H254" s="4" t="s">
        <v>1400</v>
      </c>
      <c r="I254" s="4" t="s">
        <v>2035</v>
      </c>
      <c r="J254" s="4" t="s">
        <v>2036</v>
      </c>
      <c r="K254" s="14">
        <f>IF(OR($I254="USO_NO_ENERGETICO_APARENTE",$I254="USO_ENERGETICO_INTERNO_APARENTE"),ROUND(SUMIFS($K$2:$K$618,$B$2:$B$618,$B254,$C$2:$C$618,$C254,$D$2:$D$618,"Energy products",$E$2:$E$618,"Supply",$G$2:$G$618,"&lt;&gt;STAT")-SUMIFS($K$2:$K$618,$B$2:$B$618,$B254,$C$2:$C$618,$C254,$D$2:$D$618,"Energy products",$E$2:$E$618,"Use",$G$2:$G$618,"&lt;&gt;STAT",$I$2:$I$618,"&lt;&gt;USO_NO_ENERGETICO_APARENTE",$I$2:$I$618,"&lt;&gt;USO_ENERGETICO_INTERNO_APARENTE"),10),IF(LEFT($H254,5)="STAT_",ROUND(SUMIFS($K$2:$K$618,$B$2:$B$618,$B254,$C$2:$C$618,$C254,$D$2:$D$618,"Energy products",$E$2:$E$618,"Supply",$G$2:$G$618,"&lt;&gt;STAT")-SUMIFS($K$2:$K$618,$B$2:$B$618,$B254,$C$2:$C$618,$C254,$D$2:$D$618,"Energy products",$E$2:$E$618,"Use",$G$2:$G$618,"&lt;&gt;STAT"),10),IF($J254="cambio de signo",-INDEX(DATOS_MODELO!$U$2:$U$3672,MATCH($H254,DATOS_MODELO!$B$2:$B$3672,0)),IF($J254="valor absoluto",ABS(INDEX(DATOS_MODELO!$U$2:$U$3672,MATCH($H254,DATOS_MODELO!$B$2:$B$3672,0))),INDEX(DATOS_MODELO!$U$2:$U$3672,MATCH($H254,DATOS_MODELO!$B$2:$B$3672,0))))))</f>
        <v>-143.3908</v>
      </c>
      <c r="L254" s="8" t="str">
        <f aca="false">IF(LEFT($H254,5)&lt;&gt;"STAT_","",IF(ABS($K254)&lt;=COUNTIFS($B$2:$B$618,$B254,$C$2:$C$618,$C254,$D$2:$D$618,"Energy products",$G$2:$G$618,"&lt;&gt;STAT")*PARAMETROS!$B$6,"redondeo","residuo_estadistico"))</f>
        <v/>
      </c>
      <c r="M254" s="8" t="str">
        <f>IF(OR($I254="USO_NO_ENERGETICO_APARENTE",$I254="USO_ENERGETICO_INTERNO_APARENTE"),"CAL",IF(LEFT($H254,5)="STAT_","FORMULA",IF(COUNTIF(DATOS_MODELO!$B$2:$B$3672,$H254)=1,"OK","REVISAR")))</f>
        <v>OK</v>
      </c>
    </row>
    <row r="255" customFormat="false" ht="15" hidden="false" customHeight="false" outlineLevel="0" collapsed="false">
      <c r="A255" s="4" t="s">
        <v>2570</v>
      </c>
      <c r="B255" s="12" t="n">
        <v>2022</v>
      </c>
      <c r="C255" s="4" t="s">
        <v>111</v>
      </c>
      <c r="D255" s="4" t="s">
        <v>1993</v>
      </c>
      <c r="E255" s="4" t="s">
        <v>1994</v>
      </c>
      <c r="F255" s="4" t="s">
        <v>1995</v>
      </c>
      <c r="G255" s="4" t="s">
        <v>67</v>
      </c>
      <c r="H255" s="4" t="s">
        <v>1401</v>
      </c>
      <c r="I255" s="4" t="s">
        <v>2097</v>
      </c>
      <c r="J255" s="4" t="s">
        <v>1997</v>
      </c>
      <c r="K255" s="14">
        <f>IF(OR($I255="USO_NO_ENERGETICO_APARENTE",$I255="USO_ENERGETICO_INTERNO_APARENTE"),ROUND(SUMIFS($K$2:$K$618,$B$2:$B$618,$B255,$C$2:$C$618,$C255,$D$2:$D$618,"Energy products",$E$2:$E$618,"Supply",$G$2:$G$618,"&lt;&gt;STAT")-SUMIFS($K$2:$K$618,$B$2:$B$618,$B255,$C$2:$C$618,$C255,$D$2:$D$618,"Energy products",$E$2:$E$618,"Use",$G$2:$G$618,"&lt;&gt;STAT",$I$2:$I$618,"&lt;&gt;USO_NO_ENERGETICO_APARENTE",$I$2:$I$618,"&lt;&gt;USO_ENERGETICO_INTERNO_APARENTE"),10),IF(LEFT($H255,5)="STAT_",ROUND(SUMIFS($K$2:$K$618,$B$2:$B$618,$B255,$C$2:$C$618,$C255,$D$2:$D$618,"Energy products",$E$2:$E$618,"Supply",$G$2:$G$618,"&lt;&gt;STAT")-SUMIFS($K$2:$K$618,$B$2:$B$618,$B255,$C$2:$C$618,$C255,$D$2:$D$618,"Energy products",$E$2:$E$618,"Use",$G$2:$G$618,"&lt;&gt;STAT"),10),IF($J255="cambio de signo",-INDEX(DATOS_MODELO!$U$2:$U$3672,MATCH($H255,DATOS_MODELO!$B$2:$B$3672,0)),IF($J255="valor absoluto",ABS(INDEX(DATOS_MODELO!$U$2:$U$3672,MATCH($H255,DATOS_MODELO!$B$2:$B$3672,0))),INDEX(DATOS_MODELO!$U$2:$U$3672,MATCH($H255,DATOS_MODELO!$B$2:$B$3672,0))))))</f>
        <v>4777.7954</v>
      </c>
      <c r="L255" s="8" t="str">
        <f aca="false">IF(LEFT($H255,5)&lt;&gt;"STAT_","",IF(ABS($K255)&lt;=COUNTIFS($B$2:$B$618,$B255,$C$2:$C$618,$C255,$D$2:$D$618,"Energy products",$G$2:$G$618,"&lt;&gt;STAT")*PARAMETROS!$B$6,"redondeo","residuo_estadistico"))</f>
        <v/>
      </c>
      <c r="M255" s="8" t="str">
        <f>IF(OR($I255="USO_NO_ENERGETICO_APARENTE",$I255="USO_ENERGETICO_INTERNO_APARENTE"),"CAL",IF(LEFT($H255,5)="STAT_","FORMULA",IF(COUNTIF(DATOS_MODELO!$B$2:$B$3672,$H255)=1,"OK","REVISAR")))</f>
        <v>OK</v>
      </c>
    </row>
    <row r="256" customFormat="false" ht="23.85" hidden="false" customHeight="false" outlineLevel="0" collapsed="false">
      <c r="A256" s="4" t="s">
        <v>2572</v>
      </c>
      <c r="B256" s="12" t="n">
        <v>2022</v>
      </c>
      <c r="C256" s="4" t="s">
        <v>91</v>
      </c>
      <c r="D256" s="4" t="s">
        <v>1993</v>
      </c>
      <c r="E256" s="4" t="s">
        <v>2001</v>
      </c>
      <c r="F256" s="4" t="s">
        <v>2218</v>
      </c>
      <c r="G256" s="4" t="s">
        <v>44</v>
      </c>
      <c r="H256" s="4" t="s">
        <v>2574</v>
      </c>
      <c r="I256" s="4" t="s">
        <v>2219</v>
      </c>
      <c r="J256" s="4" t="s">
        <v>2220</v>
      </c>
      <c r="K256" s="14">
        <f>IF(OR($I256="USO_NO_ENERGETICO_APARENTE",$I256="USO_ENERGETICO_INTERNO_APARENTE"),ROUND(SUMIFS($K$2:$K$618,$B$2:$B$618,$B256,$C$2:$C$618,$C256,$D$2:$D$618,"Energy products",$E$2:$E$618,"Supply",$G$2:$G$618,"&lt;&gt;STAT")-SUMIFS($K$2:$K$618,$B$2:$B$618,$B256,$C$2:$C$618,$C256,$D$2:$D$618,"Energy products",$E$2:$E$618,"Use",$G$2:$G$618,"&lt;&gt;STAT",$I$2:$I$618,"&lt;&gt;USO_NO_ENERGETICO_APARENTE",$I$2:$I$618,"&lt;&gt;USO_ENERGETICO_INTERNO_APARENTE"),10),IF(LEFT($H256,5)="STAT_",ROUND(SUMIFS($K$2:$K$618,$B$2:$B$618,$B256,$C$2:$C$618,$C256,$D$2:$D$618,"Energy products",$E$2:$E$618,"Supply",$G$2:$G$618,"&lt;&gt;STAT")-SUMIFS($K$2:$K$618,$B$2:$B$618,$B256,$C$2:$C$618,$C256,$D$2:$D$618,"Energy products",$E$2:$E$618,"Use",$G$2:$G$618,"&lt;&gt;STAT"),10),IF($J256="cambio de signo",-INDEX(DATOS_MODELO!$U$2:$U$3672,MATCH($H256,DATOS_MODELO!$B$2:$B$3672,0)),IF($J256="valor absoluto",ABS(INDEX(DATOS_MODELO!$U$2:$U$3672,MATCH($H256,DATOS_MODELO!$B$2:$B$3672,0))),INDEX(DATOS_MODELO!$U$2:$U$3672,MATCH($H256,DATOS_MODELO!$B$2:$B$3672,0))))))</f>
        <v>0.0581</v>
      </c>
      <c r="L256" s="8" t="str">
        <f aca="false">IF(LEFT($H256,5)&lt;&gt;"STAT_","",IF(ABS($K256)&lt;=COUNTIFS($B$2:$B$618,$B256,$C$2:$C$618,$C256,$D$2:$D$618,"Energy products",$G$2:$G$618,"&lt;&gt;STAT")*PARAMETROS!$B$6,"redondeo","residuo_estadistico"))</f>
        <v>redondeo</v>
      </c>
      <c r="M256" s="8" t="str">
        <f>IF(OR($I256="USO_NO_ENERGETICO_APARENTE",$I256="USO_ENERGETICO_INTERNO_APARENTE"),"CAL",IF(LEFT($H256,5)="STAT_","FORMULA",IF(COUNTIF(DATOS_MODELO!$B$2:$B$3672,$H256)=1,"OK","REVISAR")))</f>
        <v>FORMULA</v>
      </c>
    </row>
    <row r="257" customFormat="false" ht="23.85" hidden="false" customHeight="false" outlineLevel="0" collapsed="false">
      <c r="A257" s="4" t="s">
        <v>2575</v>
      </c>
      <c r="B257" s="12" t="n">
        <v>2022</v>
      </c>
      <c r="C257" s="4" t="s">
        <v>76</v>
      </c>
      <c r="D257" s="4" t="s">
        <v>1993</v>
      </c>
      <c r="E257" s="4" t="s">
        <v>2001</v>
      </c>
      <c r="F257" s="4" t="s">
        <v>2218</v>
      </c>
      <c r="G257" s="4" t="s">
        <v>44</v>
      </c>
      <c r="H257" s="4" t="s">
        <v>2577</v>
      </c>
      <c r="I257" s="4" t="s">
        <v>2219</v>
      </c>
      <c r="J257" s="4" t="s">
        <v>2220</v>
      </c>
      <c r="K257" s="14">
        <f>IF(OR($I257="USO_NO_ENERGETICO_APARENTE",$I257="USO_ENERGETICO_INTERNO_APARENTE"),ROUND(SUMIFS($K$2:$K$618,$B$2:$B$618,$B257,$C$2:$C$618,$C257,$D$2:$D$618,"Energy products",$E$2:$E$618,"Supply",$G$2:$G$618,"&lt;&gt;STAT")-SUMIFS($K$2:$K$618,$B$2:$B$618,$B257,$C$2:$C$618,$C257,$D$2:$D$618,"Energy products",$E$2:$E$618,"Use",$G$2:$G$618,"&lt;&gt;STAT",$I$2:$I$618,"&lt;&gt;USO_NO_ENERGETICO_APARENTE",$I$2:$I$618,"&lt;&gt;USO_ENERGETICO_INTERNO_APARENTE"),10),IF(LEFT($H257,5)="STAT_",ROUND(SUMIFS($K$2:$K$618,$B$2:$B$618,$B257,$C$2:$C$618,$C257,$D$2:$D$618,"Energy products",$E$2:$E$618,"Supply",$G$2:$G$618,"&lt;&gt;STAT")-SUMIFS($K$2:$K$618,$B$2:$B$618,$B257,$C$2:$C$618,$C257,$D$2:$D$618,"Energy products",$E$2:$E$618,"Use",$G$2:$G$618,"&lt;&gt;STAT"),10),IF($J257="cambio de signo",-INDEX(DATOS_MODELO!$U$2:$U$3672,MATCH($H257,DATOS_MODELO!$B$2:$B$3672,0)),IF($J257="valor absoluto",ABS(INDEX(DATOS_MODELO!$U$2:$U$3672,MATCH($H257,DATOS_MODELO!$B$2:$B$3672,0))),INDEX(DATOS_MODELO!$U$2:$U$3672,MATCH($H257,DATOS_MODELO!$B$2:$B$3672,0))))))</f>
        <v>0.0581</v>
      </c>
      <c r="L257" s="8" t="str">
        <f aca="false">IF(LEFT($H257,5)&lt;&gt;"STAT_","",IF(ABS($K257)&lt;=COUNTIFS($B$2:$B$618,$B257,$C$2:$C$618,$C257,$D$2:$D$618,"Energy products",$G$2:$G$618,"&lt;&gt;STAT")*PARAMETROS!$B$6,"redondeo","residuo_estadistico"))</f>
        <v>redondeo</v>
      </c>
      <c r="M257" s="8" t="str">
        <f>IF(OR($I257="USO_NO_ENERGETICO_APARENTE",$I257="USO_ENERGETICO_INTERNO_APARENTE"),"CAL",IF(LEFT($H257,5)="STAT_","FORMULA",IF(COUNTIF(DATOS_MODELO!$B$2:$B$3672,$H257)=1,"OK","REVISAR")))</f>
        <v>FORMULA</v>
      </c>
    </row>
    <row r="258" customFormat="false" ht="23.85" hidden="false" customHeight="false" outlineLevel="0" collapsed="false">
      <c r="A258" s="4" t="s">
        <v>2578</v>
      </c>
      <c r="B258" s="12" t="n">
        <v>2022</v>
      </c>
      <c r="C258" s="4" t="s">
        <v>99</v>
      </c>
      <c r="D258" s="4" t="s">
        <v>1993</v>
      </c>
      <c r="E258" s="4" t="s">
        <v>2001</v>
      </c>
      <c r="F258" s="4" t="s">
        <v>2218</v>
      </c>
      <c r="G258" s="4" t="s">
        <v>44</v>
      </c>
      <c r="H258" s="4" t="s">
        <v>2580</v>
      </c>
      <c r="I258" s="4" t="s">
        <v>2219</v>
      </c>
      <c r="J258" s="4" t="s">
        <v>2220</v>
      </c>
      <c r="K258" s="14">
        <f>IF(OR($I258="USO_NO_ENERGETICO_APARENTE",$I258="USO_ENERGETICO_INTERNO_APARENTE"),ROUND(SUMIFS($K$2:$K$618,$B$2:$B$618,$B258,$C$2:$C$618,$C258,$D$2:$D$618,"Energy products",$E$2:$E$618,"Supply",$G$2:$G$618,"&lt;&gt;STAT")-SUMIFS($K$2:$K$618,$B$2:$B$618,$B258,$C$2:$C$618,$C258,$D$2:$D$618,"Energy products",$E$2:$E$618,"Use",$G$2:$G$618,"&lt;&gt;STAT",$I$2:$I$618,"&lt;&gt;USO_NO_ENERGETICO_APARENTE",$I$2:$I$618,"&lt;&gt;USO_ENERGETICO_INTERNO_APARENTE"),10),IF(LEFT($H258,5)="STAT_",ROUND(SUMIFS($K$2:$K$618,$B$2:$B$618,$B258,$C$2:$C$618,$C258,$D$2:$D$618,"Energy products",$E$2:$E$618,"Supply",$G$2:$G$618,"&lt;&gt;STAT")-SUMIFS($K$2:$K$618,$B$2:$B$618,$B258,$C$2:$C$618,$C258,$D$2:$D$618,"Energy products",$E$2:$E$618,"Use",$G$2:$G$618,"&lt;&gt;STAT"),10),IF($J258="cambio de signo",-INDEX(DATOS_MODELO!$U$2:$U$3672,MATCH($H258,DATOS_MODELO!$B$2:$B$3672,0)),IF($J258="valor absoluto",ABS(INDEX(DATOS_MODELO!$U$2:$U$3672,MATCH($H258,DATOS_MODELO!$B$2:$B$3672,0))),INDEX(DATOS_MODELO!$U$2:$U$3672,MATCH($H258,DATOS_MODELO!$B$2:$B$3672,0))))))</f>
        <v>-0.0581</v>
      </c>
      <c r="L258" s="8" t="str">
        <f aca="false">IF(LEFT($H258,5)&lt;&gt;"STAT_","",IF(ABS($K258)&lt;=COUNTIFS($B$2:$B$618,$B258,$C$2:$C$618,$C258,$D$2:$D$618,"Energy products",$G$2:$G$618,"&lt;&gt;STAT")*PARAMETROS!$B$6,"redondeo","residuo_estadistico"))</f>
        <v>redondeo</v>
      </c>
      <c r="M258" s="8" t="str">
        <f>IF(OR($I258="USO_NO_ENERGETICO_APARENTE",$I258="USO_ENERGETICO_INTERNO_APARENTE"),"CAL",IF(LEFT($H258,5)="STAT_","FORMULA",IF(COUNTIF(DATOS_MODELO!$B$2:$B$3672,$H258)=1,"OK","REVISAR")))</f>
        <v>FORMULA</v>
      </c>
    </row>
    <row r="259" customFormat="false" ht="23.85" hidden="false" customHeight="false" outlineLevel="0" collapsed="false">
      <c r="A259" s="4" t="s">
        <v>2581</v>
      </c>
      <c r="B259" s="12" t="n">
        <v>2022</v>
      </c>
      <c r="C259" s="4" t="s">
        <v>101</v>
      </c>
      <c r="D259" s="4" t="s">
        <v>1993</v>
      </c>
      <c r="E259" s="4" t="s">
        <v>2001</v>
      </c>
      <c r="F259" s="4" t="s">
        <v>2218</v>
      </c>
      <c r="G259" s="4" t="s">
        <v>44</v>
      </c>
      <c r="H259" s="4" t="s">
        <v>2583</v>
      </c>
      <c r="I259" s="4" t="s">
        <v>2219</v>
      </c>
      <c r="J259" s="4" t="s">
        <v>2220</v>
      </c>
      <c r="K259" s="14">
        <f>IF(OR($I259="USO_NO_ENERGETICO_APARENTE",$I259="USO_ENERGETICO_INTERNO_APARENTE"),ROUND(SUMIFS($K$2:$K$618,$B$2:$B$618,$B259,$C$2:$C$618,$C259,$D$2:$D$618,"Energy products",$E$2:$E$618,"Supply",$G$2:$G$618,"&lt;&gt;STAT")-SUMIFS($K$2:$K$618,$B$2:$B$618,$B259,$C$2:$C$618,$C259,$D$2:$D$618,"Energy products",$E$2:$E$618,"Use",$G$2:$G$618,"&lt;&gt;STAT",$I$2:$I$618,"&lt;&gt;USO_NO_ENERGETICO_APARENTE",$I$2:$I$618,"&lt;&gt;USO_ENERGETICO_INTERNO_APARENTE"),10),IF(LEFT($H259,5)="STAT_",ROUND(SUMIFS($K$2:$K$618,$B$2:$B$618,$B259,$C$2:$C$618,$C259,$D$2:$D$618,"Energy products",$E$2:$E$618,"Supply",$G$2:$G$618,"&lt;&gt;STAT")-SUMIFS($K$2:$K$618,$B$2:$B$618,$B259,$C$2:$C$618,$C259,$D$2:$D$618,"Energy products",$E$2:$E$618,"Use",$G$2:$G$618,"&lt;&gt;STAT"),10),IF($J259="cambio de signo",-INDEX(DATOS_MODELO!$U$2:$U$3672,MATCH($H259,DATOS_MODELO!$B$2:$B$3672,0)),IF($J259="valor absoluto",ABS(INDEX(DATOS_MODELO!$U$2:$U$3672,MATCH($H259,DATOS_MODELO!$B$2:$B$3672,0))),INDEX(DATOS_MODELO!$U$2:$U$3672,MATCH($H259,DATOS_MODELO!$B$2:$B$3672,0))))))</f>
        <v>0.0581</v>
      </c>
      <c r="L259" s="8" t="str">
        <f aca="false">IF(LEFT($H259,5)&lt;&gt;"STAT_","",IF(ABS($K259)&lt;=COUNTIFS($B$2:$B$618,$B259,$C$2:$C$618,$C259,$D$2:$D$618,"Energy products",$G$2:$G$618,"&lt;&gt;STAT")*PARAMETROS!$B$6,"redondeo","residuo_estadistico"))</f>
        <v>redondeo</v>
      </c>
      <c r="M259" s="8" t="str">
        <f>IF(OR($I259="USO_NO_ENERGETICO_APARENTE",$I259="USO_ENERGETICO_INTERNO_APARENTE"),"CAL",IF(LEFT($H259,5)="STAT_","FORMULA",IF(COUNTIF(DATOS_MODELO!$B$2:$B$3672,$H259)=1,"OK","REVISAR")))</f>
        <v>FORMULA</v>
      </c>
    </row>
    <row r="260" customFormat="false" ht="23.85" hidden="false" customHeight="false" outlineLevel="0" collapsed="false">
      <c r="A260" s="4" t="s">
        <v>2584</v>
      </c>
      <c r="B260" s="12" t="n">
        <v>2022</v>
      </c>
      <c r="C260" s="4" t="s">
        <v>103</v>
      </c>
      <c r="D260" s="4" t="s">
        <v>1993</v>
      </c>
      <c r="E260" s="4" t="s">
        <v>2001</v>
      </c>
      <c r="F260" s="4" t="s">
        <v>2218</v>
      </c>
      <c r="G260" s="4" t="s">
        <v>44</v>
      </c>
      <c r="H260" s="4" t="s">
        <v>2586</v>
      </c>
      <c r="I260" s="4" t="s">
        <v>2219</v>
      </c>
      <c r="J260" s="4" t="s">
        <v>2220</v>
      </c>
      <c r="K260" s="14">
        <f>IF(OR($I260="USO_NO_ENERGETICO_APARENTE",$I260="USO_ENERGETICO_INTERNO_APARENTE"),ROUND(SUMIFS($K$2:$K$618,$B$2:$B$618,$B260,$C$2:$C$618,$C260,$D$2:$D$618,"Energy products",$E$2:$E$618,"Supply",$G$2:$G$618,"&lt;&gt;STAT")-SUMIFS($K$2:$K$618,$B$2:$B$618,$B260,$C$2:$C$618,$C260,$D$2:$D$618,"Energy products",$E$2:$E$618,"Use",$G$2:$G$618,"&lt;&gt;STAT",$I$2:$I$618,"&lt;&gt;USO_NO_ENERGETICO_APARENTE",$I$2:$I$618,"&lt;&gt;USO_ENERGETICO_INTERNO_APARENTE"),10),IF(LEFT($H260,5)="STAT_",ROUND(SUMIFS($K$2:$K$618,$B$2:$B$618,$B260,$C$2:$C$618,$C260,$D$2:$D$618,"Energy products",$E$2:$E$618,"Supply",$G$2:$G$618,"&lt;&gt;STAT")-SUMIFS($K$2:$K$618,$B$2:$B$618,$B260,$C$2:$C$618,$C260,$D$2:$D$618,"Energy products",$E$2:$E$618,"Use",$G$2:$G$618,"&lt;&gt;STAT"),10),IF($J260="cambio de signo",-INDEX(DATOS_MODELO!$U$2:$U$3672,MATCH($H260,DATOS_MODELO!$B$2:$B$3672,0)),IF($J260="valor absoluto",ABS(INDEX(DATOS_MODELO!$U$2:$U$3672,MATCH($H260,DATOS_MODELO!$B$2:$B$3672,0))),INDEX(DATOS_MODELO!$U$2:$U$3672,MATCH($H260,DATOS_MODELO!$B$2:$B$3672,0))))))</f>
        <v>-0.0581</v>
      </c>
      <c r="L260" s="8" t="str">
        <f aca="false">IF(LEFT($H260,5)&lt;&gt;"STAT_","",IF(ABS($K260)&lt;=COUNTIFS($B$2:$B$618,$B260,$C$2:$C$618,$C260,$D$2:$D$618,"Energy products",$G$2:$G$618,"&lt;&gt;STAT")*PARAMETROS!$B$6,"redondeo","residuo_estadistico"))</f>
        <v>redondeo</v>
      </c>
      <c r="M260" s="8" t="str">
        <f>IF(OR($I260="USO_NO_ENERGETICO_APARENTE",$I260="USO_ENERGETICO_INTERNO_APARENTE"),"CAL",IF(LEFT($H260,5)="STAT_","FORMULA",IF(COUNTIF(DATOS_MODELO!$B$2:$B$3672,$H260)=1,"OK","REVISAR")))</f>
        <v>FORMULA</v>
      </c>
    </row>
    <row r="261" customFormat="false" ht="23.85" hidden="false" customHeight="false" outlineLevel="0" collapsed="false">
      <c r="A261" s="4" t="s">
        <v>2587</v>
      </c>
      <c r="B261" s="12" t="n">
        <v>2022</v>
      </c>
      <c r="C261" s="4" t="s">
        <v>105</v>
      </c>
      <c r="D261" s="4" t="s">
        <v>1993</v>
      </c>
      <c r="E261" s="4" t="s">
        <v>2001</v>
      </c>
      <c r="F261" s="4" t="s">
        <v>2218</v>
      </c>
      <c r="G261" s="4" t="s">
        <v>44</v>
      </c>
      <c r="H261" s="4" t="s">
        <v>2589</v>
      </c>
      <c r="I261" s="4" t="s">
        <v>2219</v>
      </c>
      <c r="J261" s="4" t="s">
        <v>2220</v>
      </c>
      <c r="K261" s="14">
        <f>IF(OR($I261="USO_NO_ENERGETICO_APARENTE",$I261="USO_ENERGETICO_INTERNO_APARENTE"),ROUND(SUMIFS($K$2:$K$618,$B$2:$B$618,$B261,$C$2:$C$618,$C261,$D$2:$D$618,"Energy products",$E$2:$E$618,"Supply",$G$2:$G$618,"&lt;&gt;STAT")-SUMIFS($K$2:$K$618,$B$2:$B$618,$B261,$C$2:$C$618,$C261,$D$2:$D$618,"Energy products",$E$2:$E$618,"Use",$G$2:$G$618,"&lt;&gt;STAT",$I$2:$I$618,"&lt;&gt;USO_NO_ENERGETICO_APARENTE",$I$2:$I$618,"&lt;&gt;USO_ENERGETICO_INTERNO_APARENTE"),10),IF(LEFT($H261,5)="STAT_",ROUND(SUMIFS($K$2:$K$618,$B$2:$B$618,$B261,$C$2:$C$618,$C261,$D$2:$D$618,"Energy products",$E$2:$E$618,"Supply",$G$2:$G$618,"&lt;&gt;STAT")-SUMIFS($K$2:$K$618,$B$2:$B$618,$B261,$C$2:$C$618,$C261,$D$2:$D$618,"Energy products",$E$2:$E$618,"Use",$G$2:$G$618,"&lt;&gt;STAT"),10),IF($J261="cambio de signo",-INDEX(DATOS_MODELO!$U$2:$U$3672,MATCH($H261,DATOS_MODELO!$B$2:$B$3672,0)),IF($J261="valor absoluto",ABS(INDEX(DATOS_MODELO!$U$2:$U$3672,MATCH($H261,DATOS_MODELO!$B$2:$B$3672,0))),INDEX(DATOS_MODELO!$U$2:$U$3672,MATCH($H261,DATOS_MODELO!$B$2:$B$3672,0))))))</f>
        <v>0.0581</v>
      </c>
      <c r="L261" s="8" t="str">
        <f aca="false">IF(LEFT($H261,5)&lt;&gt;"STAT_","",IF(ABS($K261)&lt;=COUNTIFS($B$2:$B$618,$B261,$C$2:$C$618,$C261,$D$2:$D$618,"Energy products",$G$2:$G$618,"&lt;&gt;STAT")*PARAMETROS!$B$6,"redondeo","residuo_estadistico"))</f>
        <v>redondeo</v>
      </c>
      <c r="M261" s="8" t="str">
        <f>IF(OR($I261="USO_NO_ENERGETICO_APARENTE",$I261="USO_ENERGETICO_INTERNO_APARENTE"),"CAL",IF(LEFT($H261,5)="STAT_","FORMULA",IF(COUNTIF(DATOS_MODELO!$B$2:$B$3672,$H261)=1,"OK","REVISAR")))</f>
        <v>FORMULA</v>
      </c>
    </row>
    <row r="262" customFormat="false" ht="23.85" hidden="false" customHeight="false" outlineLevel="0" collapsed="false">
      <c r="A262" s="4" t="s">
        <v>2590</v>
      </c>
      <c r="B262" s="12" t="n">
        <v>2022</v>
      </c>
      <c r="C262" s="4" t="s">
        <v>107</v>
      </c>
      <c r="D262" s="4" t="s">
        <v>1993</v>
      </c>
      <c r="E262" s="4" t="s">
        <v>2001</v>
      </c>
      <c r="F262" s="4" t="s">
        <v>2218</v>
      </c>
      <c r="G262" s="4" t="s">
        <v>44</v>
      </c>
      <c r="H262" s="4" t="s">
        <v>2592</v>
      </c>
      <c r="I262" s="4" t="s">
        <v>2219</v>
      </c>
      <c r="J262" s="4" t="s">
        <v>2220</v>
      </c>
      <c r="K262" s="14">
        <f>IF(OR($I262="USO_NO_ENERGETICO_APARENTE",$I262="USO_ENERGETICO_INTERNO_APARENTE"),ROUND(SUMIFS($K$2:$K$618,$B$2:$B$618,$B262,$C$2:$C$618,$C262,$D$2:$D$618,"Energy products",$E$2:$E$618,"Supply",$G$2:$G$618,"&lt;&gt;STAT")-SUMIFS($K$2:$K$618,$B$2:$B$618,$B262,$C$2:$C$618,$C262,$D$2:$D$618,"Energy products",$E$2:$E$618,"Use",$G$2:$G$618,"&lt;&gt;STAT",$I$2:$I$618,"&lt;&gt;USO_NO_ENERGETICO_APARENTE",$I$2:$I$618,"&lt;&gt;USO_ENERGETICO_INTERNO_APARENTE"),10),IF(LEFT($H262,5)="STAT_",ROUND(SUMIFS($K$2:$K$618,$B$2:$B$618,$B262,$C$2:$C$618,$C262,$D$2:$D$618,"Energy products",$E$2:$E$618,"Supply",$G$2:$G$618,"&lt;&gt;STAT")-SUMIFS($K$2:$K$618,$B$2:$B$618,$B262,$C$2:$C$618,$C262,$D$2:$D$618,"Energy products",$E$2:$E$618,"Use",$G$2:$G$618,"&lt;&gt;STAT"),10),IF($J262="cambio de signo",-INDEX(DATOS_MODELO!$U$2:$U$3672,MATCH($H262,DATOS_MODELO!$B$2:$B$3672,0)),IF($J262="valor absoluto",ABS(INDEX(DATOS_MODELO!$U$2:$U$3672,MATCH($H262,DATOS_MODELO!$B$2:$B$3672,0))),INDEX(DATOS_MODELO!$U$2:$U$3672,MATCH($H262,DATOS_MODELO!$B$2:$B$3672,0))))))</f>
        <v>-0.0581</v>
      </c>
      <c r="L262" s="8" t="str">
        <f aca="false">IF(LEFT($H262,5)&lt;&gt;"STAT_","",IF(ABS($K262)&lt;=COUNTIFS($B$2:$B$618,$B262,$C$2:$C$618,$C262,$D$2:$D$618,"Energy products",$G$2:$G$618,"&lt;&gt;STAT")*PARAMETROS!$B$6,"redondeo","residuo_estadistico"))</f>
        <v>redondeo</v>
      </c>
      <c r="M262" s="8" t="str">
        <f>IF(OR($I262="USO_NO_ENERGETICO_APARENTE",$I262="USO_ENERGETICO_INTERNO_APARENTE"),"CAL",IF(LEFT($H262,5)="STAT_","FORMULA",IF(COUNTIF(DATOS_MODELO!$B$2:$B$3672,$H262)=1,"OK","REVISAR")))</f>
        <v>FORMULA</v>
      </c>
    </row>
    <row r="263" customFormat="false" ht="23.85" hidden="false" customHeight="false" outlineLevel="0" collapsed="false">
      <c r="A263" s="4" t="s">
        <v>2593</v>
      </c>
      <c r="B263" s="12" t="n">
        <v>2022</v>
      </c>
      <c r="C263" s="4" t="s">
        <v>111</v>
      </c>
      <c r="D263" s="4" t="s">
        <v>1993</v>
      </c>
      <c r="E263" s="4" t="s">
        <v>2001</v>
      </c>
      <c r="F263" s="4" t="s">
        <v>2002</v>
      </c>
      <c r="G263" s="4" t="s">
        <v>41</v>
      </c>
      <c r="H263" s="4" t="s">
        <v>2595</v>
      </c>
      <c r="I263" s="4" t="s">
        <v>2228</v>
      </c>
      <c r="J263" s="4" t="s">
        <v>1997</v>
      </c>
      <c r="K263" s="14">
        <f>IF(OR($I263="USO_NO_ENERGETICO_APARENTE",$I263="USO_ENERGETICO_INTERNO_APARENTE"),ROUND(SUMIFS($K$2:$K$618,$B$2:$B$618,$B263,$C$2:$C$618,$C263,$D$2:$D$618,"Energy products",$E$2:$E$618,"Supply",$G$2:$G$618,"&lt;&gt;STAT")-SUMIFS($K$2:$K$618,$B$2:$B$618,$B263,$C$2:$C$618,$C263,$D$2:$D$618,"Energy products",$E$2:$E$618,"Use",$G$2:$G$618,"&lt;&gt;STAT",$I$2:$I$618,"&lt;&gt;USO_NO_ENERGETICO_APARENTE",$I$2:$I$618,"&lt;&gt;USO_ENERGETICO_INTERNO_APARENTE"),10),IF(LEFT($H263,5)="STAT_",ROUND(SUMIFS($K$2:$K$618,$B$2:$B$618,$B263,$C$2:$C$618,$C263,$D$2:$D$618,"Energy products",$E$2:$E$618,"Supply",$G$2:$G$618,"&lt;&gt;STAT")-SUMIFS($K$2:$K$618,$B$2:$B$618,$B263,$C$2:$C$618,$C263,$D$2:$D$618,"Energy products",$E$2:$E$618,"Use",$G$2:$G$618,"&lt;&gt;STAT"),10),IF($J263="cambio de signo",-INDEX(DATOS_MODELO!$U$2:$U$3672,MATCH($H263,DATOS_MODELO!$B$2:$B$3672,0)),IF($J263="valor absoluto",ABS(INDEX(DATOS_MODELO!$U$2:$U$3672,MATCH($H263,DATOS_MODELO!$B$2:$B$3672,0))),INDEX(DATOS_MODELO!$U$2:$U$3672,MATCH($H263,DATOS_MODELO!$B$2:$B$3672,0))))))</f>
        <v>2440.9553</v>
      </c>
      <c r="L263" s="8" t="str">
        <f aca="false">IF(LEFT($H263,5)&lt;&gt;"STAT_","",IF(ABS($K263)&lt;=COUNTIFS($B$2:$B$618,$B263,$C$2:$C$618,$C263,$D$2:$D$618,"Energy products",$G$2:$G$618,"&lt;&gt;STAT")*PARAMETROS!$B$6,"redondeo","residuo_estadistico"))</f>
        <v/>
      </c>
      <c r="M263" s="8" t="str">
        <f>IF(OR($I263="USO_NO_ENERGETICO_APARENTE",$I263="USO_ENERGETICO_INTERNO_APARENTE"),"CAL",IF(LEFT($H263,5)="STAT_","FORMULA",IF(COUNTIF(DATOS_MODELO!$B$2:$B$3672,$H263)=1,"OK","REVISAR")))</f>
        <v>CAL</v>
      </c>
    </row>
    <row r="264" customFormat="false" ht="23.85" hidden="false" customHeight="false" outlineLevel="0" collapsed="false">
      <c r="A264" s="4" t="s">
        <v>2596</v>
      </c>
      <c r="B264" s="12" t="n">
        <v>2022</v>
      </c>
      <c r="C264" s="4" t="s">
        <v>86</v>
      </c>
      <c r="D264" s="4" t="s">
        <v>1993</v>
      </c>
      <c r="E264" s="4" t="s">
        <v>2001</v>
      </c>
      <c r="F264" s="4" t="s">
        <v>2218</v>
      </c>
      <c r="G264" s="4" t="s">
        <v>44</v>
      </c>
      <c r="H264" s="4" t="s">
        <v>2598</v>
      </c>
      <c r="I264" s="4" t="s">
        <v>2219</v>
      </c>
      <c r="J264" s="4" t="s">
        <v>2220</v>
      </c>
      <c r="K264" s="14">
        <f>IF(OR($I264="USO_NO_ENERGETICO_APARENTE",$I264="USO_ENERGETICO_INTERNO_APARENTE"),ROUND(SUMIFS($K$2:$K$618,$B$2:$B$618,$B264,$C$2:$C$618,$C264,$D$2:$D$618,"Energy products",$E$2:$E$618,"Supply",$G$2:$G$618,"&lt;&gt;STAT")-SUMIFS($K$2:$K$618,$B$2:$B$618,$B264,$C$2:$C$618,$C264,$D$2:$D$618,"Energy products",$E$2:$E$618,"Use",$G$2:$G$618,"&lt;&gt;STAT",$I$2:$I$618,"&lt;&gt;USO_NO_ENERGETICO_APARENTE",$I$2:$I$618,"&lt;&gt;USO_ENERGETICO_INTERNO_APARENTE"),10),IF(LEFT($H264,5)="STAT_",ROUND(SUMIFS($K$2:$K$618,$B$2:$B$618,$B264,$C$2:$C$618,$C264,$D$2:$D$618,"Energy products",$E$2:$E$618,"Supply",$G$2:$G$618,"&lt;&gt;STAT")-SUMIFS($K$2:$K$618,$B$2:$B$618,$B264,$C$2:$C$618,$C264,$D$2:$D$618,"Energy products",$E$2:$E$618,"Use",$G$2:$G$618,"&lt;&gt;STAT"),10),IF($J264="cambio de signo",-INDEX(DATOS_MODELO!$U$2:$U$3672,MATCH($H264,DATOS_MODELO!$B$2:$B$3672,0)),IF($J264="valor absoluto",ABS(INDEX(DATOS_MODELO!$U$2:$U$3672,MATCH($H264,DATOS_MODELO!$B$2:$B$3672,0))),INDEX(DATOS_MODELO!$U$2:$U$3672,MATCH($H264,DATOS_MODELO!$B$2:$B$3672,0))))))</f>
        <v>0.0581</v>
      </c>
      <c r="L264" s="8" t="str">
        <f aca="false">IF(LEFT($H264,5)&lt;&gt;"STAT_","",IF(ABS($K264)&lt;=COUNTIFS($B$2:$B$618,$B264,$C$2:$C$618,$C264,$D$2:$D$618,"Energy products",$G$2:$G$618,"&lt;&gt;STAT")*PARAMETROS!$B$6,"redondeo","residuo_estadistico"))</f>
        <v>redondeo</v>
      </c>
      <c r="M264" s="8" t="str">
        <f>IF(OR($I264="USO_NO_ENERGETICO_APARENTE",$I264="USO_ENERGETICO_INTERNO_APARENTE"),"CAL",IF(LEFT($H264,5)="STAT_","FORMULA",IF(COUNTIF(DATOS_MODELO!$B$2:$B$3672,$H264)=1,"OK","REVISAR")))</f>
        <v>FORMULA</v>
      </c>
    </row>
    <row r="265" customFormat="false" ht="15" hidden="false" customHeight="false" outlineLevel="0" collapsed="false">
      <c r="A265" s="4" t="s">
        <v>2599</v>
      </c>
      <c r="B265" s="12" t="n">
        <v>2021</v>
      </c>
      <c r="C265" s="4" t="s">
        <v>91</v>
      </c>
      <c r="D265" s="4" t="s">
        <v>1993</v>
      </c>
      <c r="E265" s="4" t="s">
        <v>1994</v>
      </c>
      <c r="F265" s="4" t="s">
        <v>1995</v>
      </c>
      <c r="G265" s="4" t="s">
        <v>68</v>
      </c>
      <c r="H265" s="4" t="s">
        <v>907</v>
      </c>
      <c r="I265" s="4" t="s">
        <v>1996</v>
      </c>
      <c r="J265" s="4" t="s">
        <v>1997</v>
      </c>
      <c r="K265" s="14">
        <f>IF(OR($I265="USO_NO_ENERGETICO_APARENTE",$I265="USO_ENERGETICO_INTERNO_APARENTE"),ROUND(SUMIFS($K$2:$K$618,$B$2:$B$618,$B265,$C$2:$C$618,$C265,$D$2:$D$618,"Energy products",$E$2:$E$618,"Supply",$G$2:$G$618,"&lt;&gt;STAT")-SUMIFS($K$2:$K$618,$B$2:$B$618,$B265,$C$2:$C$618,$C265,$D$2:$D$618,"Energy products",$E$2:$E$618,"Use",$G$2:$G$618,"&lt;&gt;STAT",$I$2:$I$618,"&lt;&gt;USO_NO_ENERGETICO_APARENTE",$I$2:$I$618,"&lt;&gt;USO_ENERGETICO_INTERNO_APARENTE"),10),IF(LEFT($H265,5)="STAT_",ROUND(SUMIFS($K$2:$K$618,$B$2:$B$618,$B265,$C$2:$C$618,$C265,$D$2:$D$618,"Energy products",$E$2:$E$618,"Supply",$G$2:$G$618,"&lt;&gt;STAT")-SUMIFS($K$2:$K$618,$B$2:$B$618,$B265,$C$2:$C$618,$C265,$D$2:$D$618,"Energy products",$E$2:$E$618,"Use",$G$2:$G$618,"&lt;&gt;STAT"),10),IF($J265="cambio de signo",-INDEX(DATOS_MODELO!$U$2:$U$3672,MATCH($H265,DATOS_MODELO!$B$2:$B$3672,0)),IF($J265="valor absoluto",ABS(INDEX(DATOS_MODELO!$U$2:$U$3672,MATCH($H265,DATOS_MODELO!$B$2:$B$3672,0))),INDEX(DATOS_MODELO!$U$2:$U$3672,MATCH($H265,DATOS_MODELO!$B$2:$B$3672,0))))))</f>
        <v>86957.108</v>
      </c>
      <c r="L265" s="8" t="str">
        <f aca="false">IF(LEFT($H265,5)&lt;&gt;"STAT_","",IF(ABS($K265)&lt;=COUNTIFS($B$2:$B$618,$B265,$C$2:$C$618,$C265,$D$2:$D$618,"Energy products",$G$2:$G$618,"&lt;&gt;STAT")*PARAMETROS!$B$6,"redondeo","residuo_estadistico"))</f>
        <v/>
      </c>
      <c r="M265" s="8" t="str">
        <f>IF(OR($I265="USO_NO_ENERGETICO_APARENTE",$I265="USO_ENERGETICO_INTERNO_APARENTE"),"CAL",IF(LEFT($H265,5)="STAT_","FORMULA",IF(COUNTIF(DATOS_MODELO!$B$2:$B$3672,$H265)=1,"OK","REVISAR")))</f>
        <v>OK</v>
      </c>
    </row>
    <row r="266" customFormat="false" ht="15" hidden="false" customHeight="false" outlineLevel="0" collapsed="false">
      <c r="A266" s="4" t="s">
        <v>2601</v>
      </c>
      <c r="B266" s="12" t="n">
        <v>2021</v>
      </c>
      <c r="C266" s="4" t="s">
        <v>91</v>
      </c>
      <c r="D266" s="4" t="s">
        <v>1993</v>
      </c>
      <c r="E266" s="4" t="s">
        <v>2001</v>
      </c>
      <c r="F266" s="4" t="s">
        <v>2002</v>
      </c>
      <c r="G266" s="4" t="s">
        <v>67</v>
      </c>
      <c r="H266" s="4" t="s">
        <v>912</v>
      </c>
      <c r="I266" s="4" t="s">
        <v>2003</v>
      </c>
      <c r="J266" s="4" t="s">
        <v>2004</v>
      </c>
      <c r="K266" s="14">
        <f>IF(OR($I266="USO_NO_ENERGETICO_APARENTE",$I266="USO_ENERGETICO_INTERNO_APARENTE"),ROUND(SUMIFS($K$2:$K$618,$B$2:$B$618,$B266,$C$2:$C$618,$C266,$D$2:$D$618,"Energy products",$E$2:$E$618,"Supply",$G$2:$G$618,"&lt;&gt;STAT")-SUMIFS($K$2:$K$618,$B$2:$B$618,$B266,$C$2:$C$618,$C266,$D$2:$D$618,"Energy products",$E$2:$E$618,"Use",$G$2:$G$618,"&lt;&gt;STAT",$I$2:$I$618,"&lt;&gt;USO_NO_ENERGETICO_APARENTE",$I$2:$I$618,"&lt;&gt;USO_ENERGETICO_INTERNO_APARENTE"),10),IF(LEFT($H266,5)="STAT_",ROUND(SUMIFS($K$2:$K$618,$B$2:$B$618,$B266,$C$2:$C$618,$C266,$D$2:$D$618,"Energy products",$E$2:$E$618,"Supply",$G$2:$G$618,"&lt;&gt;STAT")-SUMIFS($K$2:$K$618,$B$2:$B$618,$B266,$C$2:$C$618,$C266,$D$2:$D$618,"Energy products",$E$2:$E$618,"Use",$G$2:$G$618,"&lt;&gt;STAT"),10),IF($J266="cambio de signo",-INDEX(DATOS_MODELO!$U$2:$U$3672,MATCH($H266,DATOS_MODELO!$B$2:$B$3672,0)),IF($J266="valor absoluto",ABS(INDEX(DATOS_MODELO!$U$2:$U$3672,MATCH($H266,DATOS_MODELO!$B$2:$B$3672,0))),INDEX(DATOS_MODELO!$U$2:$U$3672,MATCH($H266,DATOS_MODELO!$B$2:$B$3672,0))))))</f>
        <v>54674.7145</v>
      </c>
      <c r="L266" s="8" t="str">
        <f aca="false">IF(LEFT($H266,5)&lt;&gt;"STAT_","",IF(ABS($K266)&lt;=COUNTIFS($B$2:$B$618,$B266,$C$2:$C$618,$C266,$D$2:$D$618,"Energy products",$G$2:$G$618,"&lt;&gt;STAT")*PARAMETROS!$B$6,"redondeo","residuo_estadistico"))</f>
        <v/>
      </c>
      <c r="M266" s="8" t="str">
        <f>IF(OR($I266="USO_NO_ENERGETICO_APARENTE",$I266="USO_ENERGETICO_INTERNO_APARENTE"),"CAL",IF(LEFT($H266,5)="STAT_","FORMULA",IF(COUNTIF(DATOS_MODELO!$B$2:$B$3672,$H266)=1,"OK","REVISAR")))</f>
        <v>OK</v>
      </c>
    </row>
    <row r="267" customFormat="false" ht="15" hidden="false" customHeight="false" outlineLevel="0" collapsed="false">
      <c r="A267" s="4" t="s">
        <v>2603</v>
      </c>
      <c r="B267" s="12" t="n">
        <v>2021</v>
      </c>
      <c r="C267" s="4" t="s">
        <v>91</v>
      </c>
      <c r="D267" s="4" t="s">
        <v>1993</v>
      </c>
      <c r="E267" s="4" t="s">
        <v>2001</v>
      </c>
      <c r="F267" s="4" t="s">
        <v>2002</v>
      </c>
      <c r="G267" s="4" t="s">
        <v>67</v>
      </c>
      <c r="H267" s="4" t="s">
        <v>913</v>
      </c>
      <c r="I267" s="4" t="s">
        <v>2008</v>
      </c>
      <c r="J267" s="4" t="s">
        <v>2004</v>
      </c>
      <c r="K267" s="14">
        <f>IF(OR($I267="USO_NO_ENERGETICO_APARENTE",$I267="USO_ENERGETICO_INTERNO_APARENTE"),ROUND(SUMIFS($K$2:$K$618,$B$2:$B$618,$B267,$C$2:$C$618,$C267,$D$2:$D$618,"Energy products",$E$2:$E$618,"Supply",$G$2:$G$618,"&lt;&gt;STAT")-SUMIFS($K$2:$K$618,$B$2:$B$618,$B267,$C$2:$C$618,$C267,$D$2:$D$618,"Energy products",$E$2:$E$618,"Use",$G$2:$G$618,"&lt;&gt;STAT",$I$2:$I$618,"&lt;&gt;USO_NO_ENERGETICO_APARENTE",$I$2:$I$618,"&lt;&gt;USO_ENERGETICO_INTERNO_APARENTE"),10),IF(LEFT($H267,5)="STAT_",ROUND(SUMIFS($K$2:$K$618,$B$2:$B$618,$B267,$C$2:$C$618,$C267,$D$2:$D$618,"Energy products",$E$2:$E$618,"Supply",$G$2:$G$618,"&lt;&gt;STAT")-SUMIFS($K$2:$K$618,$B$2:$B$618,$B267,$C$2:$C$618,$C267,$D$2:$D$618,"Energy products",$E$2:$E$618,"Use",$G$2:$G$618,"&lt;&gt;STAT"),10),IF($J267="cambio de signo",-INDEX(DATOS_MODELO!$U$2:$U$3672,MATCH($H267,DATOS_MODELO!$B$2:$B$3672,0)),IF($J267="valor absoluto",ABS(INDEX(DATOS_MODELO!$U$2:$U$3672,MATCH($H267,DATOS_MODELO!$B$2:$B$3672,0))),INDEX(DATOS_MODELO!$U$2:$U$3672,MATCH($H267,DATOS_MODELO!$B$2:$B$3672,0))))))</f>
        <v>32282.3935</v>
      </c>
      <c r="L267" s="8" t="str">
        <f aca="false">IF(LEFT($H267,5)&lt;&gt;"STAT_","",IF(ABS($K267)&lt;=COUNTIFS($B$2:$B$618,$B267,$C$2:$C$618,$C267,$D$2:$D$618,"Energy products",$G$2:$G$618,"&lt;&gt;STAT")*PARAMETROS!$B$6,"redondeo","residuo_estadistico"))</f>
        <v/>
      </c>
      <c r="M267" s="8" t="str">
        <f>IF(OR($I267="USO_NO_ENERGETICO_APARENTE",$I267="USO_ENERGETICO_INTERNO_APARENTE"),"CAL",IF(LEFT($H267,5)="STAT_","FORMULA",IF(COUNTIF(DATOS_MODELO!$B$2:$B$3672,$H267)=1,"OK","REVISAR")))</f>
        <v>OK</v>
      </c>
    </row>
    <row r="268" customFormat="false" ht="15" hidden="false" customHeight="false" outlineLevel="0" collapsed="false">
      <c r="A268" s="4" t="s">
        <v>2605</v>
      </c>
      <c r="B268" s="12" t="n">
        <v>2021</v>
      </c>
      <c r="C268" s="4" t="s">
        <v>93</v>
      </c>
      <c r="D268" s="4" t="s">
        <v>1993</v>
      </c>
      <c r="E268" s="4" t="s">
        <v>1994</v>
      </c>
      <c r="F268" s="4" t="s">
        <v>1995</v>
      </c>
      <c r="G268" s="4" t="s">
        <v>67</v>
      </c>
      <c r="H268" s="4" t="s">
        <v>921</v>
      </c>
      <c r="I268" s="4" t="s">
        <v>2012</v>
      </c>
      <c r="J268" s="4" t="s">
        <v>1997</v>
      </c>
      <c r="K268" s="14">
        <f>IF(OR($I268="USO_NO_ENERGETICO_APARENTE",$I268="USO_ENERGETICO_INTERNO_APARENTE"),ROUND(SUMIFS($K$2:$K$618,$B$2:$B$618,$B268,$C$2:$C$618,$C268,$D$2:$D$618,"Energy products",$E$2:$E$618,"Supply",$G$2:$G$618,"&lt;&gt;STAT")-SUMIFS($K$2:$K$618,$B$2:$B$618,$B268,$C$2:$C$618,$C268,$D$2:$D$618,"Energy products",$E$2:$E$618,"Use",$G$2:$G$618,"&lt;&gt;STAT",$I$2:$I$618,"&lt;&gt;USO_NO_ENERGETICO_APARENTE",$I$2:$I$618,"&lt;&gt;USO_ENERGETICO_INTERNO_APARENTE"),10),IF(LEFT($H268,5)="STAT_",ROUND(SUMIFS($K$2:$K$618,$B$2:$B$618,$B268,$C$2:$C$618,$C268,$D$2:$D$618,"Energy products",$E$2:$E$618,"Supply",$G$2:$G$618,"&lt;&gt;STAT")-SUMIFS($K$2:$K$618,$B$2:$B$618,$B268,$C$2:$C$618,$C268,$D$2:$D$618,"Energy products",$E$2:$E$618,"Use",$G$2:$G$618,"&lt;&gt;STAT"),10),IF($J268="cambio de signo",-INDEX(DATOS_MODELO!$U$2:$U$3672,MATCH($H268,DATOS_MODELO!$B$2:$B$3672,0)),IF($J268="valor absoluto",ABS(INDEX(DATOS_MODELO!$U$2:$U$3672,MATCH($H268,DATOS_MODELO!$B$2:$B$3672,0))),INDEX(DATOS_MODELO!$U$2:$U$3672,MATCH($H268,DATOS_MODELO!$B$2:$B$3672,0))))))</f>
        <v>478.6859</v>
      </c>
      <c r="L268" s="8" t="str">
        <f aca="false">IF(LEFT($H268,5)&lt;&gt;"STAT_","",IF(ABS($K268)&lt;=COUNTIFS($B$2:$B$618,$B268,$C$2:$C$618,$C268,$D$2:$D$618,"Energy products",$G$2:$G$618,"&lt;&gt;STAT")*PARAMETROS!$B$6,"redondeo","residuo_estadistico"))</f>
        <v/>
      </c>
      <c r="M268" s="8" t="str">
        <f>IF(OR($I268="USO_NO_ENERGETICO_APARENTE",$I268="USO_ENERGETICO_INTERNO_APARENTE"),"CAL",IF(LEFT($H268,5)="STAT_","FORMULA",IF(COUNTIF(DATOS_MODELO!$B$2:$B$3672,$H268)=1,"OK","REVISAR")))</f>
        <v>OK</v>
      </c>
    </row>
    <row r="269" customFormat="false" ht="15" hidden="false" customHeight="false" outlineLevel="0" collapsed="false">
      <c r="A269" s="4" t="s">
        <v>2607</v>
      </c>
      <c r="B269" s="12" t="n">
        <v>2021</v>
      </c>
      <c r="C269" s="4" t="s">
        <v>93</v>
      </c>
      <c r="D269" s="4" t="s">
        <v>1993</v>
      </c>
      <c r="E269" s="4" t="s">
        <v>2001</v>
      </c>
      <c r="F269" s="4" t="s">
        <v>2002</v>
      </c>
      <c r="G269" s="4" t="s">
        <v>67</v>
      </c>
      <c r="H269" s="4" t="s">
        <v>926</v>
      </c>
      <c r="I269" s="4" t="s">
        <v>2003</v>
      </c>
      <c r="J269" s="4" t="s">
        <v>2004</v>
      </c>
      <c r="K269" s="14">
        <f>IF(OR($I269="USO_NO_ENERGETICO_APARENTE",$I269="USO_ENERGETICO_INTERNO_APARENTE"),ROUND(SUMIFS($K$2:$K$618,$B$2:$B$618,$B269,$C$2:$C$618,$C269,$D$2:$D$618,"Energy products",$E$2:$E$618,"Supply",$G$2:$G$618,"&lt;&gt;STAT")-SUMIFS($K$2:$K$618,$B$2:$B$618,$B269,$C$2:$C$618,$C269,$D$2:$D$618,"Energy products",$E$2:$E$618,"Use",$G$2:$G$618,"&lt;&gt;STAT",$I$2:$I$618,"&lt;&gt;USO_NO_ENERGETICO_APARENTE",$I$2:$I$618,"&lt;&gt;USO_ENERGETICO_INTERNO_APARENTE"),10),IF(LEFT($H269,5)="STAT_",ROUND(SUMIFS($K$2:$K$618,$B$2:$B$618,$B269,$C$2:$C$618,$C269,$D$2:$D$618,"Energy products",$E$2:$E$618,"Supply",$G$2:$G$618,"&lt;&gt;STAT")-SUMIFS($K$2:$K$618,$B$2:$B$618,$B269,$C$2:$C$618,$C269,$D$2:$D$618,"Energy products",$E$2:$E$618,"Use",$G$2:$G$618,"&lt;&gt;STAT"),10),IF($J269="cambio de signo",-INDEX(DATOS_MODELO!$U$2:$U$3672,MATCH($H269,DATOS_MODELO!$B$2:$B$3672,0)),IF($J269="valor absoluto",ABS(INDEX(DATOS_MODELO!$U$2:$U$3672,MATCH($H269,DATOS_MODELO!$B$2:$B$3672,0))),INDEX(DATOS_MODELO!$U$2:$U$3672,MATCH($H269,DATOS_MODELO!$B$2:$B$3672,0))))))</f>
        <v>478.6859</v>
      </c>
      <c r="L269" s="8" t="str">
        <f aca="false">IF(LEFT($H269,5)&lt;&gt;"STAT_","",IF(ABS($K269)&lt;=COUNTIFS($B$2:$B$618,$B269,$C$2:$C$618,$C269,$D$2:$D$618,"Energy products",$G$2:$G$618,"&lt;&gt;STAT")*PARAMETROS!$B$6,"redondeo","residuo_estadistico"))</f>
        <v/>
      </c>
      <c r="M269" s="8" t="str">
        <f>IF(OR($I269="USO_NO_ENERGETICO_APARENTE",$I269="USO_ENERGETICO_INTERNO_APARENTE"),"CAL",IF(LEFT($H269,5)="STAT_","FORMULA",IF(COUNTIF(DATOS_MODELO!$B$2:$B$3672,$H269)=1,"OK","REVISAR")))</f>
        <v>OK</v>
      </c>
    </row>
    <row r="270" customFormat="false" ht="15" hidden="false" customHeight="false" outlineLevel="0" collapsed="false">
      <c r="A270" s="4" t="s">
        <v>2609</v>
      </c>
      <c r="B270" s="12" t="n">
        <v>2021</v>
      </c>
      <c r="C270" s="4" t="s">
        <v>76</v>
      </c>
      <c r="D270" s="4" t="s">
        <v>2018</v>
      </c>
      <c r="E270" s="4" t="s">
        <v>1994</v>
      </c>
      <c r="F270" s="4" t="s">
        <v>65</v>
      </c>
      <c r="G270" s="4" t="s">
        <v>64</v>
      </c>
      <c r="H270" s="4" t="s">
        <v>935</v>
      </c>
      <c r="I270" s="4" t="s">
        <v>2019</v>
      </c>
      <c r="J270" s="4" t="s">
        <v>1997</v>
      </c>
      <c r="K270" s="14">
        <f>IF(OR($I270="USO_NO_ENERGETICO_APARENTE",$I270="USO_ENERGETICO_INTERNO_APARENTE"),ROUND(SUMIFS($K$2:$K$618,$B$2:$B$618,$B270,$C$2:$C$618,$C270,$D$2:$D$618,"Energy products",$E$2:$E$618,"Supply",$G$2:$G$618,"&lt;&gt;STAT")-SUMIFS($K$2:$K$618,$B$2:$B$618,$B270,$C$2:$C$618,$C270,$D$2:$D$618,"Energy products",$E$2:$E$618,"Use",$G$2:$G$618,"&lt;&gt;STAT",$I$2:$I$618,"&lt;&gt;USO_NO_ENERGETICO_APARENTE",$I$2:$I$618,"&lt;&gt;USO_ENERGETICO_INTERNO_APARENTE"),10),IF(LEFT($H270,5)="STAT_",ROUND(SUMIFS($K$2:$K$618,$B$2:$B$618,$B270,$C$2:$C$618,$C270,$D$2:$D$618,"Energy products",$E$2:$E$618,"Supply",$G$2:$G$618,"&lt;&gt;STAT")-SUMIFS($K$2:$K$618,$B$2:$B$618,$B270,$C$2:$C$618,$C270,$D$2:$D$618,"Energy products",$E$2:$E$618,"Use",$G$2:$G$618,"&lt;&gt;STAT"),10),IF($J270="cambio de signo",-INDEX(DATOS_MODELO!$U$2:$U$3672,MATCH($H270,DATOS_MODELO!$B$2:$B$3672,0)),IF($J270="valor absoluto",ABS(INDEX(DATOS_MODELO!$U$2:$U$3672,MATCH($H270,DATOS_MODELO!$B$2:$B$3672,0))),INDEX(DATOS_MODELO!$U$2:$U$3672,MATCH($H270,DATOS_MODELO!$B$2:$B$3672,0))))))</f>
        <v>0.0</v>
      </c>
      <c r="L270" s="8" t="str">
        <f aca="false">IF(LEFT($H270,5)&lt;&gt;"STAT_","",IF(ABS($K270)&lt;=COUNTIFS($B$2:$B$618,$B270,$C$2:$C$618,$C270,$D$2:$D$618,"Energy products",$G$2:$G$618,"&lt;&gt;STAT")*PARAMETROS!$B$6,"redondeo","residuo_estadistico"))</f>
        <v/>
      </c>
      <c r="M270" s="8" t="str">
        <f>IF(OR($I270="USO_NO_ENERGETICO_APARENTE",$I270="USO_ENERGETICO_INTERNO_APARENTE"),"CAL",IF(LEFT($H270,5)="STAT_","FORMULA",IF(COUNTIF(DATOS_MODELO!$B$2:$B$3672,$H270)=1,"OK","REVISAR")))</f>
        <v>OK</v>
      </c>
    </row>
    <row r="271" customFormat="false" ht="15" hidden="false" customHeight="false" outlineLevel="0" collapsed="false">
      <c r="A271" s="4" t="s">
        <v>2611</v>
      </c>
      <c r="B271" s="12" t="n">
        <v>2021</v>
      </c>
      <c r="C271" s="4" t="s">
        <v>76</v>
      </c>
      <c r="D271" s="4" t="s">
        <v>2018</v>
      </c>
      <c r="E271" s="4" t="s">
        <v>2001</v>
      </c>
      <c r="F271" s="4" t="s">
        <v>66</v>
      </c>
      <c r="G271" s="4" t="s">
        <v>66</v>
      </c>
      <c r="H271" s="4" t="s">
        <v>935</v>
      </c>
      <c r="I271" s="4" t="s">
        <v>2019</v>
      </c>
      <c r="J271" s="4" t="s">
        <v>1997</v>
      </c>
      <c r="K271" s="14">
        <f>IF(OR($I271="USO_NO_ENERGETICO_APARENTE",$I271="USO_ENERGETICO_INTERNO_APARENTE"),ROUND(SUMIFS($K$2:$K$618,$B$2:$B$618,$B271,$C$2:$C$618,$C271,$D$2:$D$618,"Energy products",$E$2:$E$618,"Supply",$G$2:$G$618,"&lt;&gt;STAT")-SUMIFS($K$2:$K$618,$B$2:$B$618,$B271,$C$2:$C$618,$C271,$D$2:$D$618,"Energy products",$E$2:$E$618,"Use",$G$2:$G$618,"&lt;&gt;STAT",$I$2:$I$618,"&lt;&gt;USO_NO_ENERGETICO_APARENTE",$I$2:$I$618,"&lt;&gt;USO_ENERGETICO_INTERNO_APARENTE"),10),IF(LEFT($H271,5)="STAT_",ROUND(SUMIFS($K$2:$K$618,$B$2:$B$618,$B271,$C$2:$C$618,$C271,$D$2:$D$618,"Energy products",$E$2:$E$618,"Supply",$G$2:$G$618,"&lt;&gt;STAT")-SUMIFS($K$2:$K$618,$B$2:$B$618,$B271,$C$2:$C$618,$C271,$D$2:$D$618,"Energy products",$E$2:$E$618,"Use",$G$2:$G$618,"&lt;&gt;STAT"),10),IF($J271="cambio de signo",-INDEX(DATOS_MODELO!$U$2:$U$3672,MATCH($H271,DATOS_MODELO!$B$2:$B$3672,0)),IF($J271="valor absoluto",ABS(INDEX(DATOS_MODELO!$U$2:$U$3672,MATCH($H271,DATOS_MODELO!$B$2:$B$3672,0))),INDEX(DATOS_MODELO!$U$2:$U$3672,MATCH($H271,DATOS_MODELO!$B$2:$B$3672,0))))))</f>
        <v>0.0</v>
      </c>
      <c r="L271" s="8" t="str">
        <f aca="false">IF(LEFT($H271,5)&lt;&gt;"STAT_","",IF(ABS($K271)&lt;=COUNTIFS($B$2:$B$618,$B271,$C$2:$C$618,$C271,$D$2:$D$618,"Energy products",$G$2:$G$618,"&lt;&gt;STAT")*PARAMETROS!$B$6,"redondeo","residuo_estadistico"))</f>
        <v/>
      </c>
      <c r="M271" s="8" t="str">
        <f>IF(OR($I271="USO_NO_ENERGETICO_APARENTE",$I271="USO_ENERGETICO_INTERNO_APARENTE"),"CAL",IF(LEFT($H271,5)="STAT_","FORMULA",IF(COUNTIF(DATOS_MODELO!$B$2:$B$3672,$H271)=1,"OK","REVISAR")))</f>
        <v>OK</v>
      </c>
    </row>
    <row r="272" customFormat="false" ht="15" hidden="false" customHeight="false" outlineLevel="0" collapsed="false">
      <c r="A272" s="4" t="s">
        <v>2613</v>
      </c>
      <c r="B272" s="12" t="n">
        <v>2021</v>
      </c>
      <c r="C272" s="4" t="s">
        <v>76</v>
      </c>
      <c r="D272" s="4" t="s">
        <v>1993</v>
      </c>
      <c r="E272" s="4" t="s">
        <v>1994</v>
      </c>
      <c r="F272" s="4" t="s">
        <v>1995</v>
      </c>
      <c r="G272" s="4" t="s">
        <v>66</v>
      </c>
      <c r="H272" s="4" t="s">
        <v>935</v>
      </c>
      <c r="I272" s="4" t="s">
        <v>2019</v>
      </c>
      <c r="J272" s="4" t="s">
        <v>1997</v>
      </c>
      <c r="K272" s="14">
        <f>IF(OR($I272="USO_NO_ENERGETICO_APARENTE",$I272="USO_ENERGETICO_INTERNO_APARENTE"),ROUND(SUMIFS($K$2:$K$618,$B$2:$B$618,$B272,$C$2:$C$618,$C272,$D$2:$D$618,"Energy products",$E$2:$E$618,"Supply",$G$2:$G$618,"&lt;&gt;STAT")-SUMIFS($K$2:$K$618,$B$2:$B$618,$B272,$C$2:$C$618,$C272,$D$2:$D$618,"Energy products",$E$2:$E$618,"Use",$G$2:$G$618,"&lt;&gt;STAT",$I$2:$I$618,"&lt;&gt;USO_NO_ENERGETICO_APARENTE",$I$2:$I$618,"&lt;&gt;USO_ENERGETICO_INTERNO_APARENTE"),10),IF(LEFT($H272,5)="STAT_",ROUND(SUMIFS($K$2:$K$618,$B$2:$B$618,$B272,$C$2:$C$618,$C272,$D$2:$D$618,"Energy products",$E$2:$E$618,"Supply",$G$2:$G$618,"&lt;&gt;STAT")-SUMIFS($K$2:$K$618,$B$2:$B$618,$B272,$C$2:$C$618,$C272,$D$2:$D$618,"Energy products",$E$2:$E$618,"Use",$G$2:$G$618,"&lt;&gt;STAT"),10),IF($J272="cambio de signo",-INDEX(DATOS_MODELO!$U$2:$U$3672,MATCH($H272,DATOS_MODELO!$B$2:$B$3672,0)),IF($J272="valor absoluto",ABS(INDEX(DATOS_MODELO!$U$2:$U$3672,MATCH($H272,DATOS_MODELO!$B$2:$B$3672,0))),INDEX(DATOS_MODELO!$U$2:$U$3672,MATCH($H272,DATOS_MODELO!$B$2:$B$3672,0))))))</f>
        <v>0.0</v>
      </c>
      <c r="L272" s="8" t="str">
        <f aca="false">IF(LEFT($H272,5)&lt;&gt;"STAT_","",IF(ABS($K272)&lt;=COUNTIFS($B$2:$B$618,$B272,$C$2:$C$618,$C272,$D$2:$D$618,"Energy products",$G$2:$G$618,"&lt;&gt;STAT")*PARAMETROS!$B$6,"redondeo","residuo_estadistico"))</f>
        <v/>
      </c>
      <c r="M272" s="8" t="str">
        <f>IF(OR($I272="USO_NO_ENERGETICO_APARENTE",$I272="USO_ENERGETICO_INTERNO_APARENTE"),"CAL",IF(LEFT($H272,5)="STAT_","FORMULA",IF(COUNTIF(DATOS_MODELO!$B$2:$B$3672,$H272)=1,"OK","REVISAR")))</f>
        <v>OK</v>
      </c>
    </row>
    <row r="273" customFormat="false" ht="15" hidden="false" customHeight="false" outlineLevel="0" collapsed="false">
      <c r="A273" s="4" t="s">
        <v>2615</v>
      </c>
      <c r="B273" s="12" t="n">
        <v>2021</v>
      </c>
      <c r="C273" s="4" t="s">
        <v>76</v>
      </c>
      <c r="D273" s="4" t="s">
        <v>1993</v>
      </c>
      <c r="E273" s="4" t="s">
        <v>1994</v>
      </c>
      <c r="F273" s="4" t="s">
        <v>2029</v>
      </c>
      <c r="G273" s="4" t="s">
        <v>69</v>
      </c>
      <c r="H273" s="4" t="s">
        <v>936</v>
      </c>
      <c r="I273" s="4" t="s">
        <v>2030</v>
      </c>
      <c r="J273" s="4" t="s">
        <v>1997</v>
      </c>
      <c r="K273" s="14">
        <f>IF(OR($I273="USO_NO_ENERGETICO_APARENTE",$I273="USO_ENERGETICO_INTERNO_APARENTE"),ROUND(SUMIFS($K$2:$K$618,$B$2:$B$618,$B273,$C$2:$C$618,$C273,$D$2:$D$618,"Energy products",$E$2:$E$618,"Supply",$G$2:$G$618,"&lt;&gt;STAT")-SUMIFS($K$2:$K$618,$B$2:$B$618,$B273,$C$2:$C$618,$C273,$D$2:$D$618,"Energy products",$E$2:$E$618,"Use",$G$2:$G$618,"&lt;&gt;STAT",$I$2:$I$618,"&lt;&gt;USO_NO_ENERGETICO_APARENTE",$I$2:$I$618,"&lt;&gt;USO_ENERGETICO_INTERNO_APARENTE"),10),IF(LEFT($H273,5)="STAT_",ROUND(SUMIFS($K$2:$K$618,$B$2:$B$618,$B273,$C$2:$C$618,$C273,$D$2:$D$618,"Energy products",$E$2:$E$618,"Supply",$G$2:$G$618,"&lt;&gt;STAT")-SUMIFS($K$2:$K$618,$B$2:$B$618,$B273,$C$2:$C$618,$C273,$D$2:$D$618,"Energy products",$E$2:$E$618,"Use",$G$2:$G$618,"&lt;&gt;STAT"),10),IF($J273="cambio de signo",-INDEX(DATOS_MODELO!$U$2:$U$3672,MATCH($H273,DATOS_MODELO!$B$2:$B$3672,0)),IF($J273="valor absoluto",ABS(INDEX(DATOS_MODELO!$U$2:$U$3672,MATCH($H273,DATOS_MODELO!$B$2:$B$3672,0))),INDEX(DATOS_MODELO!$U$2:$U$3672,MATCH($H273,DATOS_MODELO!$B$2:$B$3672,0))))))</f>
        <v>65524.8895</v>
      </c>
      <c r="L273" s="8" t="str">
        <f aca="false">IF(LEFT($H273,5)&lt;&gt;"STAT_","",IF(ABS($K273)&lt;=COUNTIFS($B$2:$B$618,$B273,$C$2:$C$618,$C273,$D$2:$D$618,"Energy products",$G$2:$G$618,"&lt;&gt;STAT")*PARAMETROS!$B$6,"redondeo","residuo_estadistico"))</f>
        <v/>
      </c>
      <c r="M273" s="8" t="str">
        <f>IF(OR($I273="USO_NO_ENERGETICO_APARENTE",$I273="USO_ENERGETICO_INTERNO_APARENTE"),"CAL",IF(LEFT($H273,5)="STAT_","FORMULA",IF(COUNTIF(DATOS_MODELO!$B$2:$B$3672,$H273)=1,"OK","REVISAR")))</f>
        <v>OK</v>
      </c>
    </row>
    <row r="274" customFormat="false" ht="15" hidden="false" customHeight="false" outlineLevel="0" collapsed="false">
      <c r="A274" s="4" t="s">
        <v>2617</v>
      </c>
      <c r="B274" s="12" t="n">
        <v>2021</v>
      </c>
      <c r="C274" s="4" t="s">
        <v>76</v>
      </c>
      <c r="D274" s="4" t="s">
        <v>1993</v>
      </c>
      <c r="E274" s="4" t="s">
        <v>2001</v>
      </c>
      <c r="F274" s="4" t="s">
        <v>2034</v>
      </c>
      <c r="G274" s="4" t="s">
        <v>74</v>
      </c>
      <c r="H274" s="4" t="s">
        <v>938</v>
      </c>
      <c r="I274" s="4" t="s">
        <v>2035</v>
      </c>
      <c r="J274" s="4" t="s">
        <v>2036</v>
      </c>
      <c r="K274" s="14">
        <f>IF(OR($I274="USO_NO_ENERGETICO_APARENTE",$I274="USO_ENERGETICO_INTERNO_APARENTE"),ROUND(SUMIFS($K$2:$K$618,$B$2:$B$618,$B274,$C$2:$C$618,$C274,$D$2:$D$618,"Energy products",$E$2:$E$618,"Supply",$G$2:$G$618,"&lt;&gt;STAT")-SUMIFS($K$2:$K$618,$B$2:$B$618,$B274,$C$2:$C$618,$C274,$D$2:$D$618,"Energy products",$E$2:$E$618,"Use",$G$2:$G$618,"&lt;&gt;STAT",$I$2:$I$618,"&lt;&gt;USO_NO_ENERGETICO_APARENTE",$I$2:$I$618,"&lt;&gt;USO_ENERGETICO_INTERNO_APARENTE"),10),IF(LEFT($H274,5)="STAT_",ROUND(SUMIFS($K$2:$K$618,$B$2:$B$618,$B274,$C$2:$C$618,$C274,$D$2:$D$618,"Energy products",$E$2:$E$618,"Supply",$G$2:$G$618,"&lt;&gt;STAT")-SUMIFS($K$2:$K$618,$B$2:$B$618,$B274,$C$2:$C$618,$C274,$D$2:$D$618,"Energy products",$E$2:$E$618,"Use",$G$2:$G$618,"&lt;&gt;STAT"),10),IF($J274="cambio de signo",-INDEX(DATOS_MODELO!$U$2:$U$3672,MATCH($H274,DATOS_MODELO!$B$2:$B$3672,0)),IF($J274="valor absoluto",ABS(INDEX(DATOS_MODELO!$U$2:$U$3672,MATCH($H274,DATOS_MODELO!$B$2:$B$3672,0))),INDEX(DATOS_MODELO!$U$2:$U$3672,MATCH($H274,DATOS_MODELO!$B$2:$B$3672,0))))))</f>
        <v>23746.8063</v>
      </c>
      <c r="L274" s="8" t="str">
        <f aca="false">IF(LEFT($H274,5)&lt;&gt;"STAT_","",IF(ABS($K274)&lt;=COUNTIFS($B$2:$B$618,$B274,$C$2:$C$618,$C274,$D$2:$D$618,"Energy products",$G$2:$G$618,"&lt;&gt;STAT")*PARAMETROS!$B$6,"redondeo","residuo_estadistico"))</f>
        <v/>
      </c>
      <c r="M274" s="8" t="str">
        <f>IF(OR($I274="USO_NO_ENERGETICO_APARENTE",$I274="USO_ENERGETICO_INTERNO_APARENTE"),"CAL",IF(LEFT($H274,5)="STAT_","FORMULA",IF(COUNTIF(DATOS_MODELO!$B$2:$B$3672,$H274)=1,"OK","REVISAR")))</f>
        <v>OK</v>
      </c>
    </row>
    <row r="275" customFormat="false" ht="15" hidden="false" customHeight="false" outlineLevel="0" collapsed="false">
      <c r="A275" s="4" t="s">
        <v>2619</v>
      </c>
      <c r="B275" s="12" t="n">
        <v>2021</v>
      </c>
      <c r="C275" s="4" t="s">
        <v>76</v>
      </c>
      <c r="D275" s="4" t="s">
        <v>1993</v>
      </c>
      <c r="E275" s="4" t="s">
        <v>2001</v>
      </c>
      <c r="F275" s="4" t="s">
        <v>2002</v>
      </c>
      <c r="G275" s="4" t="s">
        <v>67</v>
      </c>
      <c r="H275" s="4" t="s">
        <v>940</v>
      </c>
      <c r="I275" s="4" t="s">
        <v>2003</v>
      </c>
      <c r="J275" s="4" t="s">
        <v>2004</v>
      </c>
      <c r="K275" s="14">
        <f>IF(OR($I275="USO_NO_ENERGETICO_APARENTE",$I275="USO_ENERGETICO_INTERNO_APARENTE"),ROUND(SUMIFS($K$2:$K$618,$B$2:$B$618,$B275,$C$2:$C$618,$C275,$D$2:$D$618,"Energy products",$E$2:$E$618,"Supply",$G$2:$G$618,"&lt;&gt;STAT")-SUMIFS($K$2:$K$618,$B$2:$B$618,$B275,$C$2:$C$618,$C275,$D$2:$D$618,"Energy products",$E$2:$E$618,"Use",$G$2:$G$618,"&lt;&gt;STAT",$I$2:$I$618,"&lt;&gt;USO_NO_ENERGETICO_APARENTE",$I$2:$I$618,"&lt;&gt;USO_ENERGETICO_INTERNO_APARENTE"),10),IF(LEFT($H275,5)="STAT_",ROUND(SUMIFS($K$2:$K$618,$B$2:$B$618,$B275,$C$2:$C$618,$C275,$D$2:$D$618,"Energy products",$E$2:$E$618,"Supply",$G$2:$G$618,"&lt;&gt;STAT")-SUMIFS($K$2:$K$618,$B$2:$B$618,$B275,$C$2:$C$618,$C275,$D$2:$D$618,"Energy products",$E$2:$E$618,"Use",$G$2:$G$618,"&lt;&gt;STAT"),10),IF($J275="cambio de signo",-INDEX(DATOS_MODELO!$U$2:$U$3672,MATCH($H275,DATOS_MODELO!$B$2:$B$3672,0)),IF($J275="valor absoluto",ABS(INDEX(DATOS_MODELO!$U$2:$U$3672,MATCH($H275,DATOS_MODELO!$B$2:$B$3672,0))),INDEX(DATOS_MODELO!$U$2:$U$3672,MATCH($H275,DATOS_MODELO!$B$2:$B$3672,0))))))</f>
        <v>40544.5621</v>
      </c>
      <c r="L275" s="8" t="str">
        <f aca="false">IF(LEFT($H275,5)&lt;&gt;"STAT_","",IF(ABS($K275)&lt;=COUNTIFS($B$2:$B$618,$B275,$C$2:$C$618,$C275,$D$2:$D$618,"Energy products",$G$2:$G$618,"&lt;&gt;STAT")*PARAMETROS!$B$6,"redondeo","residuo_estadistico"))</f>
        <v/>
      </c>
      <c r="M275" s="8" t="str">
        <f>IF(OR($I275="USO_NO_ENERGETICO_APARENTE",$I275="USO_ENERGETICO_INTERNO_APARENTE"),"CAL",IF(LEFT($H275,5)="STAT_","FORMULA",IF(COUNTIF(DATOS_MODELO!$B$2:$B$3672,$H275)=1,"OK","REVISAR")))</f>
        <v>OK</v>
      </c>
    </row>
    <row r="276" customFormat="false" ht="15" hidden="false" customHeight="false" outlineLevel="0" collapsed="false">
      <c r="A276" s="4" t="s">
        <v>2621</v>
      </c>
      <c r="B276" s="12" t="n">
        <v>2021</v>
      </c>
      <c r="C276" s="4" t="s">
        <v>76</v>
      </c>
      <c r="D276" s="4" t="s">
        <v>1993</v>
      </c>
      <c r="E276" s="4" t="s">
        <v>2001</v>
      </c>
      <c r="F276" s="4" t="s">
        <v>2002</v>
      </c>
      <c r="G276" s="4" t="s">
        <v>67</v>
      </c>
      <c r="H276" s="4" t="s">
        <v>941</v>
      </c>
      <c r="I276" s="4" t="s">
        <v>2008</v>
      </c>
      <c r="J276" s="4" t="s">
        <v>2004</v>
      </c>
      <c r="K276" s="14">
        <f>IF(OR($I276="USO_NO_ENERGETICO_APARENTE",$I276="USO_ENERGETICO_INTERNO_APARENTE"),ROUND(SUMIFS($K$2:$K$618,$B$2:$B$618,$B276,$C$2:$C$618,$C276,$D$2:$D$618,"Energy products",$E$2:$E$618,"Supply",$G$2:$G$618,"&lt;&gt;STAT")-SUMIFS($K$2:$K$618,$B$2:$B$618,$B276,$C$2:$C$618,$C276,$D$2:$D$618,"Energy products",$E$2:$E$618,"Use",$G$2:$G$618,"&lt;&gt;STAT",$I$2:$I$618,"&lt;&gt;USO_NO_ENERGETICO_APARENTE",$I$2:$I$618,"&lt;&gt;USO_ENERGETICO_INTERNO_APARENTE"),10),IF(LEFT($H276,5)="STAT_",ROUND(SUMIFS($K$2:$K$618,$B$2:$B$618,$B276,$C$2:$C$618,$C276,$D$2:$D$618,"Energy products",$E$2:$E$618,"Supply",$G$2:$G$618,"&lt;&gt;STAT")-SUMIFS($K$2:$K$618,$B$2:$B$618,$B276,$C$2:$C$618,$C276,$D$2:$D$618,"Energy products",$E$2:$E$618,"Use",$G$2:$G$618,"&lt;&gt;STAT"),10),IF($J276="cambio de signo",-INDEX(DATOS_MODELO!$U$2:$U$3672,MATCH($H276,DATOS_MODELO!$B$2:$B$3672,0)),IF($J276="valor absoluto",ABS(INDEX(DATOS_MODELO!$U$2:$U$3672,MATCH($H276,DATOS_MODELO!$B$2:$B$3672,0))),INDEX(DATOS_MODELO!$U$2:$U$3672,MATCH($H276,DATOS_MODELO!$B$2:$B$3672,0))))))</f>
        <v>1233.5211</v>
      </c>
      <c r="L276" s="8" t="str">
        <f aca="false">IF(LEFT($H276,5)&lt;&gt;"STAT_","",IF(ABS($K276)&lt;=COUNTIFS($B$2:$B$618,$B276,$C$2:$C$618,$C276,$D$2:$D$618,"Energy products",$G$2:$G$618,"&lt;&gt;STAT")*PARAMETROS!$B$6,"redondeo","residuo_estadistico"))</f>
        <v/>
      </c>
      <c r="M276" s="8" t="str">
        <f>IF(OR($I276="USO_NO_ENERGETICO_APARENTE",$I276="USO_ENERGETICO_INTERNO_APARENTE"),"CAL",IF(LEFT($H276,5)="STAT_","FORMULA",IF(COUNTIF(DATOS_MODELO!$B$2:$B$3672,$H276)=1,"OK","REVISAR")))</f>
        <v>OK</v>
      </c>
    </row>
    <row r="277" customFormat="false" ht="15" hidden="false" customHeight="false" outlineLevel="0" collapsed="false">
      <c r="A277" s="4" t="s">
        <v>2623</v>
      </c>
      <c r="B277" s="12" t="n">
        <v>2021</v>
      </c>
      <c r="C277" s="4" t="s">
        <v>78</v>
      </c>
      <c r="D277" s="4" t="s">
        <v>2018</v>
      </c>
      <c r="E277" s="4" t="s">
        <v>1994</v>
      </c>
      <c r="F277" s="4" t="s">
        <v>65</v>
      </c>
      <c r="G277" s="4" t="s">
        <v>64</v>
      </c>
      <c r="H277" s="4" t="s">
        <v>949</v>
      </c>
      <c r="I277" s="4" t="s">
        <v>2044</v>
      </c>
      <c r="J277" s="4" t="s">
        <v>1997</v>
      </c>
      <c r="K277" s="14">
        <f>IF(OR($I277="USO_NO_ENERGETICO_APARENTE",$I277="USO_ENERGETICO_INTERNO_APARENTE"),ROUND(SUMIFS($K$2:$K$618,$B$2:$B$618,$B277,$C$2:$C$618,$C277,$D$2:$D$618,"Energy products",$E$2:$E$618,"Supply",$G$2:$G$618,"&lt;&gt;STAT")-SUMIFS($K$2:$K$618,$B$2:$B$618,$B277,$C$2:$C$618,$C277,$D$2:$D$618,"Energy products",$E$2:$E$618,"Use",$G$2:$G$618,"&lt;&gt;STAT",$I$2:$I$618,"&lt;&gt;USO_NO_ENERGETICO_APARENTE",$I$2:$I$618,"&lt;&gt;USO_ENERGETICO_INTERNO_APARENTE"),10),IF(LEFT($H277,5)="STAT_",ROUND(SUMIFS($K$2:$K$618,$B$2:$B$618,$B277,$C$2:$C$618,$C277,$D$2:$D$618,"Energy products",$E$2:$E$618,"Supply",$G$2:$G$618,"&lt;&gt;STAT")-SUMIFS($K$2:$K$618,$B$2:$B$618,$B277,$C$2:$C$618,$C277,$D$2:$D$618,"Energy products",$E$2:$E$618,"Use",$G$2:$G$618,"&lt;&gt;STAT"),10),IF($J277="cambio de signo",-INDEX(DATOS_MODELO!$U$2:$U$3672,MATCH($H277,DATOS_MODELO!$B$2:$B$3672,0)),IF($J277="valor absoluto",ABS(INDEX(DATOS_MODELO!$U$2:$U$3672,MATCH($H277,DATOS_MODELO!$B$2:$B$3672,0))),INDEX(DATOS_MODELO!$U$2:$U$3672,MATCH($H277,DATOS_MODELO!$B$2:$B$3672,0))))))</f>
        <v>1171.0055</v>
      </c>
      <c r="L277" s="8" t="str">
        <f aca="false">IF(LEFT($H277,5)&lt;&gt;"STAT_","",IF(ABS($K277)&lt;=COUNTIFS($B$2:$B$618,$B277,$C$2:$C$618,$C277,$D$2:$D$618,"Energy products",$G$2:$G$618,"&lt;&gt;STAT")*PARAMETROS!$B$6,"redondeo","residuo_estadistico"))</f>
        <v/>
      </c>
      <c r="M277" s="8" t="str">
        <f>IF(OR($I277="USO_NO_ENERGETICO_APARENTE",$I277="USO_ENERGETICO_INTERNO_APARENTE"),"CAL",IF(LEFT($H277,5)="STAT_","FORMULA",IF(COUNTIF(DATOS_MODELO!$B$2:$B$3672,$H277)=1,"OK","REVISAR")))</f>
        <v>OK</v>
      </c>
    </row>
    <row r="278" customFormat="false" ht="15" hidden="false" customHeight="false" outlineLevel="0" collapsed="false">
      <c r="A278" s="4" t="s">
        <v>2625</v>
      </c>
      <c r="B278" s="12" t="n">
        <v>2021</v>
      </c>
      <c r="C278" s="4" t="s">
        <v>78</v>
      </c>
      <c r="D278" s="4" t="s">
        <v>2018</v>
      </c>
      <c r="E278" s="4" t="s">
        <v>2001</v>
      </c>
      <c r="F278" s="4" t="s">
        <v>66</v>
      </c>
      <c r="G278" s="4" t="s">
        <v>67</v>
      </c>
      <c r="H278" s="4" t="s">
        <v>954</v>
      </c>
      <c r="I278" s="4" t="s">
        <v>2003</v>
      </c>
      <c r="J278" s="4" t="s">
        <v>2004</v>
      </c>
      <c r="K278" s="14">
        <f>IF(OR($I278="USO_NO_ENERGETICO_APARENTE",$I278="USO_ENERGETICO_INTERNO_APARENTE"),ROUND(SUMIFS($K$2:$K$618,$B$2:$B$618,$B278,$C$2:$C$618,$C278,$D$2:$D$618,"Energy products",$E$2:$E$618,"Supply",$G$2:$G$618,"&lt;&gt;STAT")-SUMIFS($K$2:$K$618,$B$2:$B$618,$B278,$C$2:$C$618,$C278,$D$2:$D$618,"Energy products",$E$2:$E$618,"Use",$G$2:$G$618,"&lt;&gt;STAT",$I$2:$I$618,"&lt;&gt;USO_NO_ENERGETICO_APARENTE",$I$2:$I$618,"&lt;&gt;USO_ENERGETICO_INTERNO_APARENTE"),10),IF(LEFT($H278,5)="STAT_",ROUND(SUMIFS($K$2:$K$618,$B$2:$B$618,$B278,$C$2:$C$618,$C278,$D$2:$D$618,"Energy products",$E$2:$E$618,"Supply",$G$2:$G$618,"&lt;&gt;STAT")-SUMIFS($K$2:$K$618,$B$2:$B$618,$B278,$C$2:$C$618,$C278,$D$2:$D$618,"Energy products",$E$2:$E$618,"Use",$G$2:$G$618,"&lt;&gt;STAT"),10),IF($J278="cambio de signo",-INDEX(DATOS_MODELO!$U$2:$U$3672,MATCH($H278,DATOS_MODELO!$B$2:$B$3672,0)),IF($J278="valor absoluto",ABS(INDEX(DATOS_MODELO!$U$2:$U$3672,MATCH($H278,DATOS_MODELO!$B$2:$B$3672,0))),INDEX(DATOS_MODELO!$U$2:$U$3672,MATCH($H278,DATOS_MODELO!$B$2:$B$3672,0))))))</f>
        <v>1171.0055</v>
      </c>
      <c r="L278" s="8" t="str">
        <f aca="false">IF(LEFT($H278,5)&lt;&gt;"STAT_","",IF(ABS($K278)&lt;=COUNTIFS($B$2:$B$618,$B278,$C$2:$C$618,$C278,$D$2:$D$618,"Energy products",$G$2:$G$618,"&lt;&gt;STAT")*PARAMETROS!$B$6,"redondeo","residuo_estadistico"))</f>
        <v/>
      </c>
      <c r="M278" s="8" t="str">
        <f>IF(OR($I278="USO_NO_ENERGETICO_APARENTE",$I278="USO_ENERGETICO_INTERNO_APARENTE"),"CAL",IF(LEFT($H278,5)="STAT_","FORMULA",IF(COUNTIF(DATOS_MODELO!$B$2:$B$3672,$H278)=1,"OK","REVISAR")))</f>
        <v>OK</v>
      </c>
    </row>
    <row r="279" customFormat="false" ht="15" hidden="false" customHeight="false" outlineLevel="0" collapsed="false">
      <c r="A279" s="4" t="s">
        <v>2627</v>
      </c>
      <c r="B279" s="12" t="n">
        <v>2021</v>
      </c>
      <c r="C279" s="4" t="s">
        <v>80</v>
      </c>
      <c r="D279" s="4" t="s">
        <v>2018</v>
      </c>
      <c r="E279" s="4" t="s">
        <v>1994</v>
      </c>
      <c r="F279" s="4" t="s">
        <v>65</v>
      </c>
      <c r="G279" s="4" t="s">
        <v>64</v>
      </c>
      <c r="H279" s="4" t="s">
        <v>963</v>
      </c>
      <c r="I279" s="4" t="s">
        <v>2044</v>
      </c>
      <c r="J279" s="4" t="s">
        <v>1997</v>
      </c>
      <c r="K279" s="14">
        <f>IF(OR($I279="USO_NO_ENERGETICO_APARENTE",$I279="USO_ENERGETICO_INTERNO_APARENTE"),ROUND(SUMIFS($K$2:$K$618,$B$2:$B$618,$B279,$C$2:$C$618,$C279,$D$2:$D$618,"Energy products",$E$2:$E$618,"Supply",$G$2:$G$618,"&lt;&gt;STAT")-SUMIFS($K$2:$K$618,$B$2:$B$618,$B279,$C$2:$C$618,$C279,$D$2:$D$618,"Energy products",$E$2:$E$618,"Use",$G$2:$G$618,"&lt;&gt;STAT",$I$2:$I$618,"&lt;&gt;USO_NO_ENERGETICO_APARENTE",$I$2:$I$618,"&lt;&gt;USO_ENERGETICO_INTERNO_APARENTE"),10),IF(LEFT($H279,5)="STAT_",ROUND(SUMIFS($K$2:$K$618,$B$2:$B$618,$B279,$C$2:$C$618,$C279,$D$2:$D$618,"Energy products",$E$2:$E$618,"Supply",$G$2:$G$618,"&lt;&gt;STAT")-SUMIFS($K$2:$K$618,$B$2:$B$618,$B279,$C$2:$C$618,$C279,$D$2:$D$618,"Energy products",$E$2:$E$618,"Use",$G$2:$G$618,"&lt;&gt;STAT"),10),IF($J279="cambio de signo",-INDEX(DATOS_MODELO!$U$2:$U$3672,MATCH($H279,DATOS_MODELO!$B$2:$B$3672,0)),IF($J279="valor absoluto",ABS(INDEX(DATOS_MODELO!$U$2:$U$3672,MATCH($H279,DATOS_MODELO!$B$2:$B$3672,0))),INDEX(DATOS_MODELO!$U$2:$U$3672,MATCH($H279,DATOS_MODELO!$B$2:$B$3672,0))))))</f>
        <v>11288.9462</v>
      </c>
      <c r="L279" s="8" t="str">
        <f aca="false">IF(LEFT($H279,5)&lt;&gt;"STAT_","",IF(ABS($K279)&lt;=COUNTIFS($B$2:$B$618,$B279,$C$2:$C$618,$C279,$D$2:$D$618,"Energy products",$G$2:$G$618,"&lt;&gt;STAT")*PARAMETROS!$B$6,"redondeo","residuo_estadistico"))</f>
        <v/>
      </c>
      <c r="M279" s="8" t="str">
        <f>IF(OR($I279="USO_NO_ENERGETICO_APARENTE",$I279="USO_ENERGETICO_INTERNO_APARENTE"),"CAL",IF(LEFT($H279,5)="STAT_","FORMULA",IF(COUNTIF(DATOS_MODELO!$B$2:$B$3672,$H279)=1,"OK","REVISAR")))</f>
        <v>OK</v>
      </c>
    </row>
    <row r="280" customFormat="false" ht="15" hidden="false" customHeight="false" outlineLevel="0" collapsed="false">
      <c r="A280" s="4" t="s">
        <v>2629</v>
      </c>
      <c r="B280" s="12" t="n">
        <v>2021</v>
      </c>
      <c r="C280" s="4" t="s">
        <v>80</v>
      </c>
      <c r="D280" s="4" t="s">
        <v>2018</v>
      </c>
      <c r="E280" s="4" t="s">
        <v>2001</v>
      </c>
      <c r="F280" s="4" t="s">
        <v>66</v>
      </c>
      <c r="G280" s="4" t="s">
        <v>67</v>
      </c>
      <c r="H280" s="4" t="s">
        <v>968</v>
      </c>
      <c r="I280" s="4" t="s">
        <v>2003</v>
      </c>
      <c r="J280" s="4" t="s">
        <v>2004</v>
      </c>
      <c r="K280" s="14">
        <f>IF(OR($I280="USO_NO_ENERGETICO_APARENTE",$I280="USO_ENERGETICO_INTERNO_APARENTE"),ROUND(SUMIFS($K$2:$K$618,$B$2:$B$618,$B280,$C$2:$C$618,$C280,$D$2:$D$618,"Energy products",$E$2:$E$618,"Supply",$G$2:$G$618,"&lt;&gt;STAT")-SUMIFS($K$2:$K$618,$B$2:$B$618,$B280,$C$2:$C$618,$C280,$D$2:$D$618,"Energy products",$E$2:$E$618,"Use",$G$2:$G$618,"&lt;&gt;STAT",$I$2:$I$618,"&lt;&gt;USO_NO_ENERGETICO_APARENTE",$I$2:$I$618,"&lt;&gt;USO_ENERGETICO_INTERNO_APARENTE"),10),IF(LEFT($H280,5)="STAT_",ROUND(SUMIFS($K$2:$K$618,$B$2:$B$618,$B280,$C$2:$C$618,$C280,$D$2:$D$618,"Energy products",$E$2:$E$618,"Supply",$G$2:$G$618,"&lt;&gt;STAT")-SUMIFS($K$2:$K$618,$B$2:$B$618,$B280,$C$2:$C$618,$C280,$D$2:$D$618,"Energy products",$E$2:$E$618,"Use",$G$2:$G$618,"&lt;&gt;STAT"),10),IF($J280="cambio de signo",-INDEX(DATOS_MODELO!$U$2:$U$3672,MATCH($H280,DATOS_MODELO!$B$2:$B$3672,0)),IF($J280="valor absoluto",ABS(INDEX(DATOS_MODELO!$U$2:$U$3672,MATCH($H280,DATOS_MODELO!$B$2:$B$3672,0))),INDEX(DATOS_MODELO!$U$2:$U$3672,MATCH($H280,DATOS_MODELO!$B$2:$B$3672,0))))))</f>
        <v>11288.9462</v>
      </c>
      <c r="L280" s="8" t="str">
        <f aca="false">IF(LEFT($H280,5)&lt;&gt;"STAT_","",IF(ABS($K280)&lt;=COUNTIFS($B$2:$B$618,$B280,$C$2:$C$618,$C280,$D$2:$D$618,"Energy products",$G$2:$G$618,"&lt;&gt;STAT")*PARAMETROS!$B$6,"redondeo","residuo_estadistico"))</f>
        <v/>
      </c>
      <c r="M280" s="8" t="str">
        <f>IF(OR($I280="USO_NO_ENERGETICO_APARENTE",$I280="USO_ENERGETICO_INTERNO_APARENTE"),"CAL",IF(LEFT($H280,5)="STAT_","FORMULA",IF(COUNTIF(DATOS_MODELO!$B$2:$B$3672,$H280)=1,"OK","REVISAR")))</f>
        <v>OK</v>
      </c>
    </row>
    <row r="281" customFormat="false" ht="15" hidden="false" customHeight="false" outlineLevel="0" collapsed="false">
      <c r="A281" s="4" t="s">
        <v>2631</v>
      </c>
      <c r="B281" s="12" t="n">
        <v>2021</v>
      </c>
      <c r="C281" s="4" t="s">
        <v>82</v>
      </c>
      <c r="D281" s="4" t="s">
        <v>2018</v>
      </c>
      <c r="E281" s="4" t="s">
        <v>1994</v>
      </c>
      <c r="F281" s="4" t="s">
        <v>65</v>
      </c>
      <c r="G281" s="4" t="s">
        <v>64</v>
      </c>
      <c r="H281" s="4" t="s">
        <v>977</v>
      </c>
      <c r="I281" s="4" t="s">
        <v>2019</v>
      </c>
      <c r="J281" s="4" t="s">
        <v>1997</v>
      </c>
      <c r="K281" s="14">
        <f>IF(OR($I281="USO_NO_ENERGETICO_APARENTE",$I281="USO_ENERGETICO_INTERNO_APARENTE"),ROUND(SUMIFS($K$2:$K$618,$B$2:$B$618,$B281,$C$2:$C$618,$C281,$D$2:$D$618,"Energy products",$E$2:$E$618,"Supply",$G$2:$G$618,"&lt;&gt;STAT")-SUMIFS($K$2:$K$618,$B$2:$B$618,$B281,$C$2:$C$618,$C281,$D$2:$D$618,"Energy products",$E$2:$E$618,"Use",$G$2:$G$618,"&lt;&gt;STAT",$I$2:$I$618,"&lt;&gt;USO_NO_ENERGETICO_APARENTE",$I$2:$I$618,"&lt;&gt;USO_ENERGETICO_INTERNO_APARENTE"),10),IF(LEFT($H281,5)="STAT_",ROUND(SUMIFS($K$2:$K$618,$B$2:$B$618,$B281,$C$2:$C$618,$C281,$D$2:$D$618,"Energy products",$E$2:$E$618,"Supply",$G$2:$G$618,"&lt;&gt;STAT")-SUMIFS($K$2:$K$618,$B$2:$B$618,$B281,$C$2:$C$618,$C281,$D$2:$D$618,"Energy products",$E$2:$E$618,"Use",$G$2:$G$618,"&lt;&gt;STAT"),10),IF($J281="cambio de signo",-INDEX(DATOS_MODELO!$U$2:$U$3672,MATCH($H281,DATOS_MODELO!$B$2:$B$3672,0)),IF($J281="valor absoluto",ABS(INDEX(DATOS_MODELO!$U$2:$U$3672,MATCH($H281,DATOS_MODELO!$B$2:$B$3672,0))),INDEX(DATOS_MODELO!$U$2:$U$3672,MATCH($H281,DATOS_MODELO!$B$2:$B$3672,0))))))</f>
        <v>50.0241</v>
      </c>
      <c r="L281" s="8" t="str">
        <f aca="false">IF(LEFT($H281,5)&lt;&gt;"STAT_","",IF(ABS($K281)&lt;=COUNTIFS($B$2:$B$618,$B281,$C$2:$C$618,$C281,$D$2:$D$618,"Energy products",$G$2:$G$618,"&lt;&gt;STAT")*PARAMETROS!$B$6,"redondeo","residuo_estadistico"))</f>
        <v/>
      </c>
      <c r="M281" s="8" t="str">
        <f>IF(OR($I281="USO_NO_ENERGETICO_APARENTE",$I281="USO_ENERGETICO_INTERNO_APARENTE"),"CAL",IF(LEFT($H281,5)="STAT_","FORMULA",IF(COUNTIF(DATOS_MODELO!$B$2:$B$3672,$H281)=1,"OK","REVISAR")))</f>
        <v>OK</v>
      </c>
    </row>
    <row r="282" customFormat="false" ht="15" hidden="false" customHeight="false" outlineLevel="0" collapsed="false">
      <c r="A282" s="4" t="s">
        <v>2633</v>
      </c>
      <c r="B282" s="12" t="n">
        <v>2021</v>
      </c>
      <c r="C282" s="4" t="s">
        <v>82</v>
      </c>
      <c r="D282" s="4" t="s">
        <v>2018</v>
      </c>
      <c r="E282" s="4" t="s">
        <v>2001</v>
      </c>
      <c r="F282" s="4" t="s">
        <v>66</v>
      </c>
      <c r="G282" s="4" t="s">
        <v>66</v>
      </c>
      <c r="H282" s="4" t="s">
        <v>977</v>
      </c>
      <c r="I282" s="4" t="s">
        <v>2019</v>
      </c>
      <c r="J282" s="4" t="s">
        <v>1997</v>
      </c>
      <c r="K282" s="14">
        <f>IF(OR($I282="USO_NO_ENERGETICO_APARENTE",$I282="USO_ENERGETICO_INTERNO_APARENTE"),ROUND(SUMIFS($K$2:$K$618,$B$2:$B$618,$B282,$C$2:$C$618,$C282,$D$2:$D$618,"Energy products",$E$2:$E$618,"Supply",$G$2:$G$618,"&lt;&gt;STAT")-SUMIFS($K$2:$K$618,$B$2:$B$618,$B282,$C$2:$C$618,$C282,$D$2:$D$618,"Energy products",$E$2:$E$618,"Use",$G$2:$G$618,"&lt;&gt;STAT",$I$2:$I$618,"&lt;&gt;USO_NO_ENERGETICO_APARENTE",$I$2:$I$618,"&lt;&gt;USO_ENERGETICO_INTERNO_APARENTE"),10),IF(LEFT($H282,5)="STAT_",ROUND(SUMIFS($K$2:$K$618,$B$2:$B$618,$B282,$C$2:$C$618,$C282,$D$2:$D$618,"Energy products",$E$2:$E$618,"Supply",$G$2:$G$618,"&lt;&gt;STAT")-SUMIFS($K$2:$K$618,$B$2:$B$618,$B282,$C$2:$C$618,$C282,$D$2:$D$618,"Energy products",$E$2:$E$618,"Use",$G$2:$G$618,"&lt;&gt;STAT"),10),IF($J282="cambio de signo",-INDEX(DATOS_MODELO!$U$2:$U$3672,MATCH($H282,DATOS_MODELO!$B$2:$B$3672,0)),IF($J282="valor absoluto",ABS(INDEX(DATOS_MODELO!$U$2:$U$3672,MATCH($H282,DATOS_MODELO!$B$2:$B$3672,0))),INDEX(DATOS_MODELO!$U$2:$U$3672,MATCH($H282,DATOS_MODELO!$B$2:$B$3672,0))))))</f>
        <v>50.0241</v>
      </c>
      <c r="L282" s="8" t="str">
        <f aca="false">IF(LEFT($H282,5)&lt;&gt;"STAT_","",IF(ABS($K282)&lt;=COUNTIFS($B$2:$B$618,$B282,$C$2:$C$618,$C282,$D$2:$D$618,"Energy products",$G$2:$G$618,"&lt;&gt;STAT")*PARAMETROS!$B$6,"redondeo","residuo_estadistico"))</f>
        <v/>
      </c>
      <c r="M282" s="8" t="str">
        <f>IF(OR($I282="USO_NO_ENERGETICO_APARENTE",$I282="USO_ENERGETICO_INTERNO_APARENTE"),"CAL",IF(LEFT($H282,5)="STAT_","FORMULA",IF(COUNTIF(DATOS_MODELO!$B$2:$B$3672,$H282)=1,"OK","REVISAR")))</f>
        <v>OK</v>
      </c>
    </row>
    <row r="283" customFormat="false" ht="15" hidden="false" customHeight="false" outlineLevel="0" collapsed="false">
      <c r="A283" s="4" t="s">
        <v>2635</v>
      </c>
      <c r="B283" s="12" t="n">
        <v>2021</v>
      </c>
      <c r="C283" s="4" t="s">
        <v>82</v>
      </c>
      <c r="D283" s="4" t="s">
        <v>1993</v>
      </c>
      <c r="E283" s="4" t="s">
        <v>1994</v>
      </c>
      <c r="F283" s="4" t="s">
        <v>1995</v>
      </c>
      <c r="G283" s="4" t="s">
        <v>66</v>
      </c>
      <c r="H283" s="4" t="s">
        <v>977</v>
      </c>
      <c r="I283" s="4" t="s">
        <v>2019</v>
      </c>
      <c r="J283" s="4" t="s">
        <v>1997</v>
      </c>
      <c r="K283" s="14">
        <f>IF(OR($I283="USO_NO_ENERGETICO_APARENTE",$I283="USO_ENERGETICO_INTERNO_APARENTE"),ROUND(SUMIFS($K$2:$K$618,$B$2:$B$618,$B283,$C$2:$C$618,$C283,$D$2:$D$618,"Energy products",$E$2:$E$618,"Supply",$G$2:$G$618,"&lt;&gt;STAT")-SUMIFS($K$2:$K$618,$B$2:$B$618,$B283,$C$2:$C$618,$C283,$D$2:$D$618,"Energy products",$E$2:$E$618,"Use",$G$2:$G$618,"&lt;&gt;STAT",$I$2:$I$618,"&lt;&gt;USO_NO_ENERGETICO_APARENTE",$I$2:$I$618,"&lt;&gt;USO_ENERGETICO_INTERNO_APARENTE"),10),IF(LEFT($H283,5)="STAT_",ROUND(SUMIFS($K$2:$K$618,$B$2:$B$618,$B283,$C$2:$C$618,$C283,$D$2:$D$618,"Energy products",$E$2:$E$618,"Supply",$G$2:$G$618,"&lt;&gt;STAT")-SUMIFS($K$2:$K$618,$B$2:$B$618,$B283,$C$2:$C$618,$C283,$D$2:$D$618,"Energy products",$E$2:$E$618,"Use",$G$2:$G$618,"&lt;&gt;STAT"),10),IF($J283="cambio de signo",-INDEX(DATOS_MODELO!$U$2:$U$3672,MATCH($H283,DATOS_MODELO!$B$2:$B$3672,0)),IF($J283="valor absoluto",ABS(INDEX(DATOS_MODELO!$U$2:$U$3672,MATCH($H283,DATOS_MODELO!$B$2:$B$3672,0))),INDEX(DATOS_MODELO!$U$2:$U$3672,MATCH($H283,DATOS_MODELO!$B$2:$B$3672,0))))))</f>
        <v>50.0241</v>
      </c>
      <c r="L283" s="8" t="str">
        <f aca="false">IF(LEFT($H283,5)&lt;&gt;"STAT_","",IF(ABS($K283)&lt;=COUNTIFS($B$2:$B$618,$B283,$C$2:$C$618,$C283,$D$2:$D$618,"Energy products",$G$2:$G$618,"&lt;&gt;STAT")*PARAMETROS!$B$6,"redondeo","residuo_estadistico"))</f>
        <v/>
      </c>
      <c r="M283" s="8" t="str">
        <f>IF(OR($I283="USO_NO_ENERGETICO_APARENTE",$I283="USO_ENERGETICO_INTERNO_APARENTE"),"CAL",IF(LEFT($H283,5)="STAT_","FORMULA",IF(COUNTIF(DATOS_MODELO!$B$2:$B$3672,$H283)=1,"OK","REVISAR")))</f>
        <v>OK</v>
      </c>
    </row>
    <row r="284" customFormat="false" ht="15" hidden="false" customHeight="false" outlineLevel="0" collapsed="false">
      <c r="A284" s="4" t="s">
        <v>2637</v>
      </c>
      <c r="B284" s="12" t="n">
        <v>2021</v>
      </c>
      <c r="C284" s="4" t="s">
        <v>82</v>
      </c>
      <c r="D284" s="4" t="s">
        <v>1993</v>
      </c>
      <c r="E284" s="4" t="s">
        <v>2001</v>
      </c>
      <c r="F284" s="4" t="s">
        <v>2002</v>
      </c>
      <c r="G284" s="4" t="s">
        <v>67</v>
      </c>
      <c r="H284" s="4" t="s">
        <v>982</v>
      </c>
      <c r="I284" s="4" t="s">
        <v>2003</v>
      </c>
      <c r="J284" s="4" t="s">
        <v>2004</v>
      </c>
      <c r="K284" s="14">
        <f>IF(OR($I284="USO_NO_ENERGETICO_APARENTE",$I284="USO_ENERGETICO_INTERNO_APARENTE"),ROUND(SUMIFS($K$2:$K$618,$B$2:$B$618,$B284,$C$2:$C$618,$C284,$D$2:$D$618,"Energy products",$E$2:$E$618,"Supply",$G$2:$G$618,"&lt;&gt;STAT")-SUMIFS($K$2:$K$618,$B$2:$B$618,$B284,$C$2:$C$618,$C284,$D$2:$D$618,"Energy products",$E$2:$E$618,"Use",$G$2:$G$618,"&lt;&gt;STAT",$I$2:$I$618,"&lt;&gt;USO_NO_ENERGETICO_APARENTE",$I$2:$I$618,"&lt;&gt;USO_ENERGETICO_INTERNO_APARENTE"),10),IF(LEFT($H284,5)="STAT_",ROUND(SUMIFS($K$2:$K$618,$B$2:$B$618,$B284,$C$2:$C$618,$C284,$D$2:$D$618,"Energy products",$E$2:$E$618,"Supply",$G$2:$G$618,"&lt;&gt;STAT")-SUMIFS($K$2:$K$618,$B$2:$B$618,$B284,$C$2:$C$618,$C284,$D$2:$D$618,"Energy products",$E$2:$E$618,"Use",$G$2:$G$618,"&lt;&gt;STAT"),10),IF($J284="cambio de signo",-INDEX(DATOS_MODELO!$U$2:$U$3672,MATCH($H284,DATOS_MODELO!$B$2:$B$3672,0)),IF($J284="valor absoluto",ABS(INDEX(DATOS_MODELO!$U$2:$U$3672,MATCH($H284,DATOS_MODELO!$B$2:$B$3672,0))),INDEX(DATOS_MODELO!$U$2:$U$3672,MATCH($H284,DATOS_MODELO!$B$2:$B$3672,0))))))</f>
        <v>50.0241</v>
      </c>
      <c r="L284" s="8" t="str">
        <f aca="false">IF(LEFT($H284,5)&lt;&gt;"STAT_","",IF(ABS($K284)&lt;=COUNTIFS($B$2:$B$618,$B284,$C$2:$C$618,$C284,$D$2:$D$618,"Energy products",$G$2:$G$618,"&lt;&gt;STAT")*PARAMETROS!$B$6,"redondeo","residuo_estadistico"))</f>
        <v/>
      </c>
      <c r="M284" s="8" t="str">
        <f>IF(OR($I284="USO_NO_ENERGETICO_APARENTE",$I284="USO_ENERGETICO_INTERNO_APARENTE"),"CAL",IF(LEFT($H284,5)="STAT_","FORMULA",IF(COUNTIF(DATOS_MODELO!$B$2:$B$3672,$H284)=1,"OK","REVISAR")))</f>
        <v>OK</v>
      </c>
    </row>
    <row r="285" customFormat="false" ht="15" hidden="false" customHeight="false" outlineLevel="0" collapsed="false">
      <c r="A285" s="4" t="s">
        <v>2639</v>
      </c>
      <c r="B285" s="12" t="n">
        <v>2021</v>
      </c>
      <c r="C285" s="4" t="s">
        <v>84</v>
      </c>
      <c r="D285" s="4" t="s">
        <v>2018</v>
      </c>
      <c r="E285" s="4" t="s">
        <v>1994</v>
      </c>
      <c r="F285" s="4" t="s">
        <v>65</v>
      </c>
      <c r="G285" s="4" t="s">
        <v>64</v>
      </c>
      <c r="H285" s="4" t="s">
        <v>991</v>
      </c>
      <c r="I285" s="4" t="s">
        <v>2044</v>
      </c>
      <c r="J285" s="4" t="s">
        <v>1997</v>
      </c>
      <c r="K285" s="14">
        <f>IF(OR($I285="USO_NO_ENERGETICO_APARENTE",$I285="USO_ENERGETICO_INTERNO_APARENTE"),ROUND(SUMIFS($K$2:$K$618,$B$2:$B$618,$B285,$C$2:$C$618,$C285,$D$2:$D$618,"Energy products",$E$2:$E$618,"Supply",$G$2:$G$618,"&lt;&gt;STAT")-SUMIFS($K$2:$K$618,$B$2:$B$618,$B285,$C$2:$C$618,$C285,$D$2:$D$618,"Energy products",$E$2:$E$618,"Use",$G$2:$G$618,"&lt;&gt;STAT",$I$2:$I$618,"&lt;&gt;USO_NO_ENERGETICO_APARENTE",$I$2:$I$618,"&lt;&gt;USO_ENERGETICO_INTERNO_APARENTE"),10),IF(LEFT($H285,5)="STAT_",ROUND(SUMIFS($K$2:$K$618,$B$2:$B$618,$B285,$C$2:$C$618,$C285,$D$2:$D$618,"Energy products",$E$2:$E$618,"Supply",$G$2:$G$618,"&lt;&gt;STAT")-SUMIFS($K$2:$K$618,$B$2:$B$618,$B285,$C$2:$C$618,$C285,$D$2:$D$618,"Energy products",$E$2:$E$618,"Use",$G$2:$G$618,"&lt;&gt;STAT"),10),IF($J285="cambio de signo",-INDEX(DATOS_MODELO!$U$2:$U$3672,MATCH($H285,DATOS_MODELO!$B$2:$B$3672,0)),IF($J285="valor absoluto",ABS(INDEX(DATOS_MODELO!$U$2:$U$3672,MATCH($H285,DATOS_MODELO!$B$2:$B$3672,0))),INDEX(DATOS_MODELO!$U$2:$U$3672,MATCH($H285,DATOS_MODELO!$B$2:$B$3672,0))))))</f>
        <v>30466.7104</v>
      </c>
      <c r="L285" s="8" t="str">
        <f aca="false">IF(LEFT($H285,5)&lt;&gt;"STAT_","",IF(ABS($K285)&lt;=COUNTIFS($B$2:$B$618,$B285,$C$2:$C$618,$C285,$D$2:$D$618,"Energy products",$G$2:$G$618,"&lt;&gt;STAT")*PARAMETROS!$B$6,"redondeo","residuo_estadistico"))</f>
        <v/>
      </c>
      <c r="M285" s="8" t="str">
        <f>IF(OR($I285="USO_NO_ENERGETICO_APARENTE",$I285="USO_ENERGETICO_INTERNO_APARENTE"),"CAL",IF(LEFT($H285,5)="STAT_","FORMULA",IF(COUNTIF(DATOS_MODELO!$B$2:$B$3672,$H285)=1,"OK","REVISAR")))</f>
        <v>OK</v>
      </c>
    </row>
    <row r="286" customFormat="false" ht="15" hidden="false" customHeight="false" outlineLevel="0" collapsed="false">
      <c r="A286" s="4" t="s">
        <v>2641</v>
      </c>
      <c r="B286" s="12" t="n">
        <v>2021</v>
      </c>
      <c r="C286" s="4" t="s">
        <v>84</v>
      </c>
      <c r="D286" s="4" t="s">
        <v>2018</v>
      </c>
      <c r="E286" s="4" t="s">
        <v>2001</v>
      </c>
      <c r="F286" s="4" t="s">
        <v>66</v>
      </c>
      <c r="G286" s="4" t="s">
        <v>67</v>
      </c>
      <c r="H286" s="4" t="s">
        <v>996</v>
      </c>
      <c r="I286" s="4" t="s">
        <v>2003</v>
      </c>
      <c r="J286" s="4" t="s">
        <v>2004</v>
      </c>
      <c r="K286" s="14">
        <f>IF(OR($I286="USO_NO_ENERGETICO_APARENTE",$I286="USO_ENERGETICO_INTERNO_APARENTE"),ROUND(SUMIFS($K$2:$K$618,$B$2:$B$618,$B286,$C$2:$C$618,$C286,$D$2:$D$618,"Energy products",$E$2:$E$618,"Supply",$G$2:$G$618,"&lt;&gt;STAT")-SUMIFS($K$2:$K$618,$B$2:$B$618,$B286,$C$2:$C$618,$C286,$D$2:$D$618,"Energy products",$E$2:$E$618,"Use",$G$2:$G$618,"&lt;&gt;STAT",$I$2:$I$618,"&lt;&gt;USO_NO_ENERGETICO_APARENTE",$I$2:$I$618,"&lt;&gt;USO_ENERGETICO_INTERNO_APARENTE"),10),IF(LEFT($H286,5)="STAT_",ROUND(SUMIFS($K$2:$K$618,$B$2:$B$618,$B286,$C$2:$C$618,$C286,$D$2:$D$618,"Energy products",$E$2:$E$618,"Supply",$G$2:$G$618,"&lt;&gt;STAT")-SUMIFS($K$2:$K$618,$B$2:$B$618,$B286,$C$2:$C$618,$C286,$D$2:$D$618,"Energy products",$E$2:$E$618,"Use",$G$2:$G$618,"&lt;&gt;STAT"),10),IF($J286="cambio de signo",-INDEX(DATOS_MODELO!$U$2:$U$3672,MATCH($H286,DATOS_MODELO!$B$2:$B$3672,0)),IF($J286="valor absoluto",ABS(INDEX(DATOS_MODELO!$U$2:$U$3672,MATCH($H286,DATOS_MODELO!$B$2:$B$3672,0))),INDEX(DATOS_MODELO!$U$2:$U$3672,MATCH($H286,DATOS_MODELO!$B$2:$B$3672,0))))))</f>
        <v>30350.5685</v>
      </c>
      <c r="L286" s="8" t="str">
        <f aca="false">IF(LEFT($H286,5)&lt;&gt;"STAT_","",IF(ABS($K286)&lt;=COUNTIFS($B$2:$B$618,$B286,$C$2:$C$618,$C286,$D$2:$D$618,"Energy products",$G$2:$G$618,"&lt;&gt;STAT")*PARAMETROS!$B$6,"redondeo","residuo_estadistico"))</f>
        <v/>
      </c>
      <c r="M286" s="8" t="str">
        <f>IF(OR($I286="USO_NO_ENERGETICO_APARENTE",$I286="USO_ENERGETICO_INTERNO_APARENTE"),"CAL",IF(LEFT($H286,5)="STAT_","FORMULA",IF(COUNTIF(DATOS_MODELO!$B$2:$B$3672,$H286)=1,"OK","REVISAR")))</f>
        <v>OK</v>
      </c>
    </row>
    <row r="287" customFormat="false" ht="15" hidden="false" customHeight="false" outlineLevel="0" collapsed="false">
      <c r="A287" s="4" t="s">
        <v>2643</v>
      </c>
      <c r="B287" s="12" t="n">
        <v>2021</v>
      </c>
      <c r="C287" s="4" t="s">
        <v>84</v>
      </c>
      <c r="D287" s="4" t="s">
        <v>2018</v>
      </c>
      <c r="E287" s="4" t="s">
        <v>2001</v>
      </c>
      <c r="F287" s="4" t="s">
        <v>66</v>
      </c>
      <c r="G287" s="4" t="s">
        <v>67</v>
      </c>
      <c r="H287" s="4" t="s">
        <v>997</v>
      </c>
      <c r="I287" s="4" t="s">
        <v>2008</v>
      </c>
      <c r="J287" s="4" t="s">
        <v>2004</v>
      </c>
      <c r="K287" s="14">
        <f>IF(OR($I287="USO_NO_ENERGETICO_APARENTE",$I287="USO_ENERGETICO_INTERNO_APARENTE"),ROUND(SUMIFS($K$2:$K$618,$B$2:$B$618,$B287,$C$2:$C$618,$C287,$D$2:$D$618,"Energy products",$E$2:$E$618,"Supply",$G$2:$G$618,"&lt;&gt;STAT")-SUMIFS($K$2:$K$618,$B$2:$B$618,$B287,$C$2:$C$618,$C287,$D$2:$D$618,"Energy products",$E$2:$E$618,"Use",$G$2:$G$618,"&lt;&gt;STAT",$I$2:$I$618,"&lt;&gt;USO_NO_ENERGETICO_APARENTE",$I$2:$I$618,"&lt;&gt;USO_ENERGETICO_INTERNO_APARENTE"),10),IF(LEFT($H287,5)="STAT_",ROUND(SUMIFS($K$2:$K$618,$B$2:$B$618,$B287,$C$2:$C$618,$C287,$D$2:$D$618,"Energy products",$E$2:$E$618,"Supply",$G$2:$G$618,"&lt;&gt;STAT")-SUMIFS($K$2:$K$618,$B$2:$B$618,$B287,$C$2:$C$618,$C287,$D$2:$D$618,"Energy products",$E$2:$E$618,"Use",$G$2:$G$618,"&lt;&gt;STAT"),10),IF($J287="cambio de signo",-INDEX(DATOS_MODELO!$U$2:$U$3672,MATCH($H287,DATOS_MODELO!$B$2:$B$3672,0)),IF($J287="valor absoluto",ABS(INDEX(DATOS_MODELO!$U$2:$U$3672,MATCH($H287,DATOS_MODELO!$B$2:$B$3672,0))),INDEX(DATOS_MODELO!$U$2:$U$3672,MATCH($H287,DATOS_MODELO!$B$2:$B$3672,0))))))</f>
        <v>116.1419</v>
      </c>
      <c r="L287" s="8" t="str">
        <f aca="false">IF(LEFT($H287,5)&lt;&gt;"STAT_","",IF(ABS($K287)&lt;=COUNTIFS($B$2:$B$618,$B287,$C$2:$C$618,$C287,$D$2:$D$618,"Energy products",$G$2:$G$618,"&lt;&gt;STAT")*PARAMETROS!$B$6,"redondeo","residuo_estadistico"))</f>
        <v/>
      </c>
      <c r="M287" s="8" t="str">
        <f>IF(OR($I287="USO_NO_ENERGETICO_APARENTE",$I287="USO_ENERGETICO_INTERNO_APARENTE"),"CAL",IF(LEFT($H287,5)="STAT_","FORMULA",IF(COUNTIF(DATOS_MODELO!$B$2:$B$3672,$H287)=1,"OK","REVISAR")))</f>
        <v>OK</v>
      </c>
    </row>
    <row r="288" customFormat="false" ht="15" hidden="false" customHeight="false" outlineLevel="0" collapsed="false">
      <c r="A288" s="4" t="s">
        <v>2645</v>
      </c>
      <c r="B288" s="12" t="n">
        <v>2021</v>
      </c>
      <c r="C288" s="4" t="s">
        <v>109</v>
      </c>
      <c r="D288" s="4" t="s">
        <v>1993</v>
      </c>
      <c r="E288" s="4" t="s">
        <v>1994</v>
      </c>
      <c r="F288" s="4" t="s">
        <v>1995</v>
      </c>
      <c r="G288" s="4" t="s">
        <v>65</v>
      </c>
      <c r="H288" s="4" t="s">
        <v>1005</v>
      </c>
      <c r="I288" s="4" t="s">
        <v>2070</v>
      </c>
      <c r="J288" s="4" t="s">
        <v>1997</v>
      </c>
      <c r="K288" s="14">
        <f>IF(OR($I288="USO_NO_ENERGETICO_APARENTE",$I288="USO_ENERGETICO_INTERNO_APARENTE"),ROUND(SUMIFS($K$2:$K$618,$B$2:$B$618,$B288,$C$2:$C$618,$C288,$D$2:$D$618,"Energy products",$E$2:$E$618,"Supply",$G$2:$G$618,"&lt;&gt;STAT")-SUMIFS($K$2:$K$618,$B$2:$B$618,$B288,$C$2:$C$618,$C288,$D$2:$D$618,"Energy products",$E$2:$E$618,"Use",$G$2:$G$618,"&lt;&gt;STAT",$I$2:$I$618,"&lt;&gt;USO_NO_ENERGETICO_APARENTE",$I$2:$I$618,"&lt;&gt;USO_ENERGETICO_INTERNO_APARENTE"),10),IF(LEFT($H288,5)="STAT_",ROUND(SUMIFS($K$2:$K$618,$B$2:$B$618,$B288,$C$2:$C$618,$C288,$D$2:$D$618,"Energy products",$E$2:$E$618,"Supply",$G$2:$G$618,"&lt;&gt;STAT")-SUMIFS($K$2:$K$618,$B$2:$B$618,$B288,$C$2:$C$618,$C288,$D$2:$D$618,"Energy products",$E$2:$E$618,"Use",$G$2:$G$618,"&lt;&gt;STAT"),10),IF($J288="cambio de signo",-INDEX(DATOS_MODELO!$U$2:$U$3672,MATCH($H288,DATOS_MODELO!$B$2:$B$3672,0)),IF($J288="valor absoluto",ABS(INDEX(DATOS_MODELO!$U$2:$U$3672,MATCH($H288,DATOS_MODELO!$B$2:$B$3672,0))),INDEX(DATOS_MODELO!$U$2:$U$3672,MATCH($H288,DATOS_MODELO!$B$2:$B$3672,0))))))</f>
        <v>313398.372</v>
      </c>
      <c r="L288" s="8" t="str">
        <f aca="false">IF(LEFT($H288,5)&lt;&gt;"STAT_","",IF(ABS($K288)&lt;=COUNTIFS($B$2:$B$618,$B288,$C$2:$C$618,$C288,$D$2:$D$618,"Energy products",$G$2:$G$618,"&lt;&gt;STAT")*PARAMETROS!$B$6,"redondeo","residuo_estadistico"))</f>
        <v/>
      </c>
      <c r="M288" s="8" t="str">
        <f>IF(OR($I288="USO_NO_ENERGETICO_APARENTE",$I288="USO_ENERGETICO_INTERNO_APARENTE"),"CAL",IF(LEFT($H288,5)="STAT_","FORMULA",IF(COUNTIF(DATOS_MODELO!$B$2:$B$3672,$H288)=1,"OK","REVISAR")))</f>
        <v>OK</v>
      </c>
    </row>
    <row r="289" customFormat="false" ht="15" hidden="false" customHeight="false" outlineLevel="0" collapsed="false">
      <c r="A289" s="4" t="s">
        <v>2647</v>
      </c>
      <c r="B289" s="12" t="n">
        <v>2021</v>
      </c>
      <c r="C289" s="4" t="s">
        <v>109</v>
      </c>
      <c r="D289" s="4" t="s">
        <v>1993</v>
      </c>
      <c r="E289" s="4" t="s">
        <v>2001</v>
      </c>
      <c r="F289" s="4" t="s">
        <v>2074</v>
      </c>
      <c r="G289" s="4" t="s">
        <v>73</v>
      </c>
      <c r="H289" s="4" t="s">
        <v>1014</v>
      </c>
      <c r="I289" s="4" t="s">
        <v>2075</v>
      </c>
      <c r="J289" s="4" t="s">
        <v>1997</v>
      </c>
      <c r="K289" s="14">
        <f>IF(OR($I289="USO_NO_ENERGETICO_APARENTE",$I289="USO_ENERGETICO_INTERNO_APARENTE"),ROUND(SUMIFS($K$2:$K$618,$B$2:$B$618,$B289,$C$2:$C$618,$C289,$D$2:$D$618,"Energy products",$E$2:$E$618,"Supply",$G$2:$G$618,"&lt;&gt;STAT")-SUMIFS($K$2:$K$618,$B$2:$B$618,$B289,$C$2:$C$618,$C289,$D$2:$D$618,"Energy products",$E$2:$E$618,"Use",$G$2:$G$618,"&lt;&gt;STAT",$I$2:$I$618,"&lt;&gt;USO_NO_ENERGETICO_APARENTE",$I$2:$I$618,"&lt;&gt;USO_ENERGETICO_INTERNO_APARENTE"),10),IF(LEFT($H289,5)="STAT_",ROUND(SUMIFS($K$2:$K$618,$B$2:$B$618,$B289,$C$2:$C$618,$C289,$D$2:$D$618,"Energy products",$E$2:$E$618,"Supply",$G$2:$G$618,"&lt;&gt;STAT")-SUMIFS($K$2:$K$618,$B$2:$B$618,$B289,$C$2:$C$618,$C289,$D$2:$D$618,"Energy products",$E$2:$E$618,"Use",$G$2:$G$618,"&lt;&gt;STAT"),10),IF($J289="cambio de signo",-INDEX(DATOS_MODELO!$U$2:$U$3672,MATCH($H289,DATOS_MODELO!$B$2:$B$3672,0)),IF($J289="valor absoluto",ABS(INDEX(DATOS_MODELO!$U$2:$U$3672,MATCH($H289,DATOS_MODELO!$B$2:$B$3672,0))),INDEX(DATOS_MODELO!$U$2:$U$3672,MATCH($H289,DATOS_MODELO!$B$2:$B$3672,0))))))</f>
        <v>303996.3976</v>
      </c>
      <c r="L289" s="8" t="str">
        <f aca="false">IF(LEFT($H289,5)&lt;&gt;"STAT_","",IF(ABS($K289)&lt;=COUNTIFS($B$2:$B$618,$B289,$C$2:$C$618,$C289,$D$2:$D$618,"Energy products",$G$2:$G$618,"&lt;&gt;STAT")*PARAMETROS!$B$6,"redondeo","residuo_estadistico"))</f>
        <v/>
      </c>
      <c r="M289" s="8" t="str">
        <f>IF(OR($I289="USO_NO_ENERGETICO_APARENTE",$I289="USO_ENERGETICO_INTERNO_APARENTE"),"CAL",IF(LEFT($H289,5)="STAT_","FORMULA",IF(COUNTIF(DATOS_MODELO!$B$2:$B$3672,$H289)=1,"OK","REVISAR")))</f>
        <v>OK</v>
      </c>
    </row>
    <row r="290" customFormat="false" ht="15" hidden="false" customHeight="false" outlineLevel="0" collapsed="false">
      <c r="A290" s="4" t="s">
        <v>2649</v>
      </c>
      <c r="B290" s="12" t="n">
        <v>2021</v>
      </c>
      <c r="C290" s="4" t="s">
        <v>109</v>
      </c>
      <c r="D290" s="4" t="s">
        <v>1993</v>
      </c>
      <c r="E290" s="4" t="s">
        <v>2001</v>
      </c>
      <c r="F290" s="4" t="s">
        <v>2002</v>
      </c>
      <c r="G290" s="4" t="s">
        <v>72</v>
      </c>
      <c r="H290" s="4" t="s">
        <v>1015</v>
      </c>
      <c r="I290" s="4" t="s">
        <v>2079</v>
      </c>
      <c r="J290" s="4" t="s">
        <v>1997</v>
      </c>
      <c r="K290" s="14">
        <f>IF(OR($I290="USO_NO_ENERGETICO_APARENTE",$I290="USO_ENERGETICO_INTERNO_APARENTE"),ROUND(SUMIFS($K$2:$K$618,$B$2:$B$618,$B290,$C$2:$C$618,$C290,$D$2:$D$618,"Energy products",$E$2:$E$618,"Supply",$G$2:$G$618,"&lt;&gt;STAT")-SUMIFS($K$2:$K$618,$B$2:$B$618,$B290,$C$2:$C$618,$C290,$D$2:$D$618,"Energy products",$E$2:$E$618,"Use",$G$2:$G$618,"&lt;&gt;STAT",$I$2:$I$618,"&lt;&gt;USO_NO_ENERGETICO_APARENTE",$I$2:$I$618,"&lt;&gt;USO_ENERGETICO_INTERNO_APARENTE"),10),IF(LEFT($H290,5)="STAT_",ROUND(SUMIFS($K$2:$K$618,$B$2:$B$618,$B290,$C$2:$C$618,$C290,$D$2:$D$618,"Energy products",$E$2:$E$618,"Supply",$G$2:$G$618,"&lt;&gt;STAT")-SUMIFS($K$2:$K$618,$B$2:$B$618,$B290,$C$2:$C$618,$C290,$D$2:$D$618,"Energy products",$E$2:$E$618,"Use",$G$2:$G$618,"&lt;&gt;STAT"),10),IF($J290="cambio de signo",-INDEX(DATOS_MODELO!$U$2:$U$3672,MATCH($H290,DATOS_MODELO!$B$2:$B$3672,0)),IF($J290="valor absoluto",ABS(INDEX(DATOS_MODELO!$U$2:$U$3672,MATCH($H290,DATOS_MODELO!$B$2:$B$3672,0))),INDEX(DATOS_MODELO!$U$2:$U$3672,MATCH($H290,DATOS_MODELO!$B$2:$B$3672,0))))))</f>
        <v>9401.9744</v>
      </c>
      <c r="L290" s="8" t="str">
        <f aca="false">IF(LEFT($H290,5)&lt;&gt;"STAT_","",IF(ABS($K290)&lt;=COUNTIFS($B$2:$B$618,$B290,$C$2:$C$618,$C290,$D$2:$D$618,"Energy products",$G$2:$G$618,"&lt;&gt;STAT")*PARAMETROS!$B$6,"redondeo","residuo_estadistico"))</f>
        <v/>
      </c>
      <c r="M290" s="8" t="str">
        <f>IF(OR($I290="USO_NO_ENERGETICO_APARENTE",$I290="USO_ENERGETICO_INTERNO_APARENTE"),"CAL",IF(LEFT($H290,5)="STAT_","FORMULA",IF(COUNTIF(DATOS_MODELO!$B$2:$B$3672,$H290)=1,"OK","REVISAR")))</f>
        <v>OK</v>
      </c>
    </row>
    <row r="291" customFormat="false" ht="15" hidden="false" customHeight="false" outlineLevel="0" collapsed="false">
      <c r="A291" s="4" t="s">
        <v>2651</v>
      </c>
      <c r="B291" s="12" t="n">
        <v>2021</v>
      </c>
      <c r="C291" s="4" t="s">
        <v>86</v>
      </c>
      <c r="D291" s="4" t="s">
        <v>2018</v>
      </c>
      <c r="E291" s="4" t="s">
        <v>1994</v>
      </c>
      <c r="F291" s="4" t="s">
        <v>65</v>
      </c>
      <c r="G291" s="4" t="s">
        <v>64</v>
      </c>
      <c r="H291" s="4" t="s">
        <v>1019</v>
      </c>
      <c r="I291" s="4" t="s">
        <v>2019</v>
      </c>
      <c r="J291" s="4" t="s">
        <v>1997</v>
      </c>
      <c r="K291" s="14">
        <f>IF(OR($I291="USO_NO_ENERGETICO_APARENTE",$I291="USO_ENERGETICO_INTERNO_APARENTE"),ROUND(SUMIFS($K$2:$K$618,$B$2:$B$618,$B291,$C$2:$C$618,$C291,$D$2:$D$618,"Energy products",$E$2:$E$618,"Supply",$G$2:$G$618,"&lt;&gt;STAT")-SUMIFS($K$2:$K$618,$B$2:$B$618,$B291,$C$2:$C$618,$C291,$D$2:$D$618,"Energy products",$E$2:$E$618,"Use",$G$2:$G$618,"&lt;&gt;STAT",$I$2:$I$618,"&lt;&gt;USO_NO_ENERGETICO_APARENTE",$I$2:$I$618,"&lt;&gt;USO_ENERGETICO_INTERNO_APARENTE"),10),IF(LEFT($H291,5)="STAT_",ROUND(SUMIFS($K$2:$K$618,$B$2:$B$618,$B291,$C$2:$C$618,$C291,$D$2:$D$618,"Energy products",$E$2:$E$618,"Supply",$G$2:$G$618,"&lt;&gt;STAT")-SUMIFS($K$2:$K$618,$B$2:$B$618,$B291,$C$2:$C$618,$C291,$D$2:$D$618,"Energy products",$E$2:$E$618,"Use",$G$2:$G$618,"&lt;&gt;STAT"),10),IF($J291="cambio de signo",-INDEX(DATOS_MODELO!$U$2:$U$3672,MATCH($H291,DATOS_MODELO!$B$2:$B$3672,0)),IF($J291="valor absoluto",ABS(INDEX(DATOS_MODELO!$U$2:$U$3672,MATCH($H291,DATOS_MODELO!$B$2:$B$3672,0))),INDEX(DATOS_MODELO!$U$2:$U$3672,MATCH($H291,DATOS_MODELO!$B$2:$B$3672,0))))))</f>
        <v>13280.1494</v>
      </c>
      <c r="L291" s="8" t="str">
        <f aca="false">IF(LEFT($H291,5)&lt;&gt;"STAT_","",IF(ABS($K291)&lt;=COUNTIFS($B$2:$B$618,$B291,$C$2:$C$618,$C291,$D$2:$D$618,"Energy products",$G$2:$G$618,"&lt;&gt;STAT")*PARAMETROS!$B$6,"redondeo","residuo_estadistico"))</f>
        <v/>
      </c>
      <c r="M291" s="8" t="str">
        <f>IF(OR($I291="USO_NO_ENERGETICO_APARENTE",$I291="USO_ENERGETICO_INTERNO_APARENTE"),"CAL",IF(LEFT($H291,5)="STAT_","FORMULA",IF(COUNTIF(DATOS_MODELO!$B$2:$B$3672,$H291)=1,"OK","REVISAR")))</f>
        <v>OK</v>
      </c>
    </row>
    <row r="292" customFormat="false" ht="15" hidden="false" customHeight="false" outlineLevel="0" collapsed="false">
      <c r="A292" s="4" t="s">
        <v>2653</v>
      </c>
      <c r="B292" s="12" t="n">
        <v>2021</v>
      </c>
      <c r="C292" s="4" t="s">
        <v>86</v>
      </c>
      <c r="D292" s="4" t="s">
        <v>2018</v>
      </c>
      <c r="E292" s="4" t="s">
        <v>2001</v>
      </c>
      <c r="F292" s="4" t="s">
        <v>66</v>
      </c>
      <c r="G292" s="4" t="s">
        <v>66</v>
      </c>
      <c r="H292" s="4" t="s">
        <v>1019</v>
      </c>
      <c r="I292" s="4" t="s">
        <v>2019</v>
      </c>
      <c r="J292" s="4" t="s">
        <v>1997</v>
      </c>
      <c r="K292" s="14">
        <f>IF(OR($I292="USO_NO_ENERGETICO_APARENTE",$I292="USO_ENERGETICO_INTERNO_APARENTE"),ROUND(SUMIFS($K$2:$K$618,$B$2:$B$618,$B292,$C$2:$C$618,$C292,$D$2:$D$618,"Energy products",$E$2:$E$618,"Supply",$G$2:$G$618,"&lt;&gt;STAT")-SUMIFS($K$2:$K$618,$B$2:$B$618,$B292,$C$2:$C$618,$C292,$D$2:$D$618,"Energy products",$E$2:$E$618,"Use",$G$2:$G$618,"&lt;&gt;STAT",$I$2:$I$618,"&lt;&gt;USO_NO_ENERGETICO_APARENTE",$I$2:$I$618,"&lt;&gt;USO_ENERGETICO_INTERNO_APARENTE"),10),IF(LEFT($H292,5)="STAT_",ROUND(SUMIFS($K$2:$K$618,$B$2:$B$618,$B292,$C$2:$C$618,$C292,$D$2:$D$618,"Energy products",$E$2:$E$618,"Supply",$G$2:$G$618,"&lt;&gt;STAT")-SUMIFS($K$2:$K$618,$B$2:$B$618,$B292,$C$2:$C$618,$C292,$D$2:$D$618,"Energy products",$E$2:$E$618,"Use",$G$2:$G$618,"&lt;&gt;STAT"),10),IF($J292="cambio de signo",-INDEX(DATOS_MODELO!$U$2:$U$3672,MATCH($H292,DATOS_MODELO!$B$2:$B$3672,0)),IF($J292="valor absoluto",ABS(INDEX(DATOS_MODELO!$U$2:$U$3672,MATCH($H292,DATOS_MODELO!$B$2:$B$3672,0))),INDEX(DATOS_MODELO!$U$2:$U$3672,MATCH($H292,DATOS_MODELO!$B$2:$B$3672,0))))))</f>
        <v>13280.1494</v>
      </c>
      <c r="L292" s="8" t="str">
        <f aca="false">IF(LEFT($H292,5)&lt;&gt;"STAT_","",IF(ABS($K292)&lt;=COUNTIFS($B$2:$B$618,$B292,$C$2:$C$618,$C292,$D$2:$D$618,"Energy products",$G$2:$G$618,"&lt;&gt;STAT")*PARAMETROS!$B$6,"redondeo","residuo_estadistico"))</f>
        <v/>
      </c>
      <c r="M292" s="8" t="str">
        <f>IF(OR($I292="USO_NO_ENERGETICO_APARENTE",$I292="USO_ENERGETICO_INTERNO_APARENTE"),"CAL",IF(LEFT($H292,5)="STAT_","FORMULA",IF(COUNTIF(DATOS_MODELO!$B$2:$B$3672,$H292)=1,"OK","REVISAR")))</f>
        <v>OK</v>
      </c>
    </row>
    <row r="293" customFormat="false" ht="15" hidden="false" customHeight="false" outlineLevel="0" collapsed="false">
      <c r="A293" s="4" t="s">
        <v>2655</v>
      </c>
      <c r="B293" s="12" t="n">
        <v>2021</v>
      </c>
      <c r="C293" s="4" t="s">
        <v>86</v>
      </c>
      <c r="D293" s="4" t="s">
        <v>1993</v>
      </c>
      <c r="E293" s="4" t="s">
        <v>1994</v>
      </c>
      <c r="F293" s="4" t="s">
        <v>1995</v>
      </c>
      <c r="G293" s="4" t="s">
        <v>66</v>
      </c>
      <c r="H293" s="4" t="s">
        <v>1019</v>
      </c>
      <c r="I293" s="4" t="s">
        <v>2019</v>
      </c>
      <c r="J293" s="4" t="s">
        <v>1997</v>
      </c>
      <c r="K293" s="14">
        <f>IF(OR($I293="USO_NO_ENERGETICO_APARENTE",$I293="USO_ENERGETICO_INTERNO_APARENTE"),ROUND(SUMIFS($K$2:$K$618,$B$2:$B$618,$B293,$C$2:$C$618,$C293,$D$2:$D$618,"Energy products",$E$2:$E$618,"Supply",$G$2:$G$618,"&lt;&gt;STAT")-SUMIFS($K$2:$K$618,$B$2:$B$618,$B293,$C$2:$C$618,$C293,$D$2:$D$618,"Energy products",$E$2:$E$618,"Use",$G$2:$G$618,"&lt;&gt;STAT",$I$2:$I$618,"&lt;&gt;USO_NO_ENERGETICO_APARENTE",$I$2:$I$618,"&lt;&gt;USO_ENERGETICO_INTERNO_APARENTE"),10),IF(LEFT($H293,5)="STAT_",ROUND(SUMIFS($K$2:$K$618,$B$2:$B$618,$B293,$C$2:$C$618,$C293,$D$2:$D$618,"Energy products",$E$2:$E$618,"Supply",$G$2:$G$618,"&lt;&gt;STAT")-SUMIFS($K$2:$K$618,$B$2:$B$618,$B293,$C$2:$C$618,$C293,$D$2:$D$618,"Energy products",$E$2:$E$618,"Use",$G$2:$G$618,"&lt;&gt;STAT"),10),IF($J293="cambio de signo",-INDEX(DATOS_MODELO!$U$2:$U$3672,MATCH($H293,DATOS_MODELO!$B$2:$B$3672,0)),IF($J293="valor absoluto",ABS(INDEX(DATOS_MODELO!$U$2:$U$3672,MATCH($H293,DATOS_MODELO!$B$2:$B$3672,0))),INDEX(DATOS_MODELO!$U$2:$U$3672,MATCH($H293,DATOS_MODELO!$B$2:$B$3672,0))))))</f>
        <v>13280.1494</v>
      </c>
      <c r="L293" s="8" t="str">
        <f aca="false">IF(LEFT($H293,5)&lt;&gt;"STAT_","",IF(ABS($K293)&lt;=COUNTIFS($B$2:$B$618,$B293,$C$2:$C$618,$C293,$D$2:$D$618,"Energy products",$G$2:$G$618,"&lt;&gt;STAT")*PARAMETROS!$B$6,"redondeo","residuo_estadistico"))</f>
        <v/>
      </c>
      <c r="M293" s="8" t="str">
        <f>IF(OR($I293="USO_NO_ENERGETICO_APARENTE",$I293="USO_ENERGETICO_INTERNO_APARENTE"),"CAL",IF(LEFT($H293,5)="STAT_","FORMULA",IF(COUNTIF(DATOS_MODELO!$B$2:$B$3672,$H293)=1,"OK","REVISAR")))</f>
        <v>OK</v>
      </c>
    </row>
    <row r="294" customFormat="false" ht="15" hidden="false" customHeight="false" outlineLevel="0" collapsed="false">
      <c r="A294" s="4" t="s">
        <v>2657</v>
      </c>
      <c r="B294" s="12" t="n">
        <v>2021</v>
      </c>
      <c r="C294" s="4" t="s">
        <v>86</v>
      </c>
      <c r="D294" s="4" t="s">
        <v>1993</v>
      </c>
      <c r="E294" s="4" t="s">
        <v>2001</v>
      </c>
      <c r="F294" s="4" t="s">
        <v>2091</v>
      </c>
      <c r="G294" s="4" t="s">
        <v>69</v>
      </c>
      <c r="H294" s="4" t="s">
        <v>1021</v>
      </c>
      <c r="I294" s="4" t="s">
        <v>2030</v>
      </c>
      <c r="J294" s="4" t="s">
        <v>1997</v>
      </c>
      <c r="K294" s="14">
        <f>IF(OR($I294="USO_NO_ENERGETICO_APARENTE",$I294="USO_ENERGETICO_INTERNO_APARENTE"),ROUND(SUMIFS($K$2:$K$618,$B$2:$B$618,$B294,$C$2:$C$618,$C294,$D$2:$D$618,"Energy products",$E$2:$E$618,"Supply",$G$2:$G$618,"&lt;&gt;STAT")-SUMIFS($K$2:$K$618,$B$2:$B$618,$B294,$C$2:$C$618,$C294,$D$2:$D$618,"Energy products",$E$2:$E$618,"Use",$G$2:$G$618,"&lt;&gt;STAT",$I$2:$I$618,"&lt;&gt;USO_NO_ENERGETICO_APARENTE",$I$2:$I$618,"&lt;&gt;USO_ENERGETICO_INTERNO_APARENTE"),10),IF(LEFT($H294,5)="STAT_",ROUND(SUMIFS($K$2:$K$618,$B$2:$B$618,$B294,$C$2:$C$618,$C294,$D$2:$D$618,"Energy products",$E$2:$E$618,"Supply",$G$2:$G$618,"&lt;&gt;STAT")-SUMIFS($K$2:$K$618,$B$2:$B$618,$B294,$C$2:$C$618,$C294,$D$2:$D$618,"Energy products",$E$2:$E$618,"Use",$G$2:$G$618,"&lt;&gt;STAT"),10),IF($J294="cambio de signo",-INDEX(DATOS_MODELO!$U$2:$U$3672,MATCH($H294,DATOS_MODELO!$B$2:$B$3672,0)),IF($J294="valor absoluto",ABS(INDEX(DATOS_MODELO!$U$2:$U$3672,MATCH($H294,DATOS_MODELO!$B$2:$B$3672,0))),INDEX(DATOS_MODELO!$U$2:$U$3672,MATCH($H294,DATOS_MODELO!$B$2:$B$3672,0))))))</f>
        <v>6471.0618</v>
      </c>
      <c r="L294" s="8" t="str">
        <f aca="false">IF(LEFT($H294,5)&lt;&gt;"STAT_","",IF(ABS($K294)&lt;=COUNTIFS($B$2:$B$618,$B294,$C$2:$C$618,$C294,$D$2:$D$618,"Energy products",$G$2:$G$618,"&lt;&gt;STAT")*PARAMETROS!$B$6,"redondeo","residuo_estadistico"))</f>
        <v/>
      </c>
      <c r="M294" s="8" t="str">
        <f>IF(OR($I294="USO_NO_ENERGETICO_APARENTE",$I294="USO_ENERGETICO_INTERNO_APARENTE"),"CAL",IF(LEFT($H294,5)="STAT_","FORMULA",IF(COUNTIF(DATOS_MODELO!$B$2:$B$3672,$H294)=1,"OK","REVISAR")))</f>
        <v>OK</v>
      </c>
    </row>
    <row r="295" customFormat="false" ht="15" hidden="false" customHeight="false" outlineLevel="0" collapsed="false">
      <c r="A295" s="4" t="s">
        <v>2659</v>
      </c>
      <c r="B295" s="12" t="n">
        <v>2021</v>
      </c>
      <c r="C295" s="4" t="s">
        <v>86</v>
      </c>
      <c r="D295" s="4" t="s">
        <v>1993</v>
      </c>
      <c r="E295" s="4" t="s">
        <v>2001</v>
      </c>
      <c r="F295" s="4" t="s">
        <v>2034</v>
      </c>
      <c r="G295" s="4" t="s">
        <v>74</v>
      </c>
      <c r="H295" s="4" t="s">
        <v>1022</v>
      </c>
      <c r="I295" s="4" t="s">
        <v>2035</v>
      </c>
      <c r="J295" s="4" t="s">
        <v>2036</v>
      </c>
      <c r="K295" s="14">
        <f>IF(OR($I295="USO_NO_ENERGETICO_APARENTE",$I295="USO_ENERGETICO_INTERNO_APARENTE"),ROUND(SUMIFS($K$2:$K$618,$B$2:$B$618,$B295,$C$2:$C$618,$C295,$D$2:$D$618,"Energy products",$E$2:$E$618,"Supply",$G$2:$G$618,"&lt;&gt;STAT")-SUMIFS($K$2:$K$618,$B$2:$B$618,$B295,$C$2:$C$618,$C295,$D$2:$D$618,"Energy products",$E$2:$E$618,"Use",$G$2:$G$618,"&lt;&gt;STAT",$I$2:$I$618,"&lt;&gt;USO_NO_ENERGETICO_APARENTE",$I$2:$I$618,"&lt;&gt;USO_ENERGETICO_INTERNO_APARENTE"),10),IF(LEFT($H295,5)="STAT_",ROUND(SUMIFS($K$2:$K$618,$B$2:$B$618,$B295,$C$2:$C$618,$C295,$D$2:$D$618,"Energy products",$E$2:$E$618,"Supply",$G$2:$G$618,"&lt;&gt;STAT")-SUMIFS($K$2:$K$618,$B$2:$B$618,$B295,$C$2:$C$618,$C295,$D$2:$D$618,"Energy products",$E$2:$E$618,"Use",$G$2:$G$618,"&lt;&gt;STAT"),10),IF($J295="cambio de signo",-INDEX(DATOS_MODELO!$U$2:$U$3672,MATCH($H295,DATOS_MODELO!$B$2:$B$3672,0)),IF($J295="valor absoluto",ABS(INDEX(DATOS_MODELO!$U$2:$U$3672,MATCH($H295,DATOS_MODELO!$B$2:$B$3672,0))),INDEX(DATOS_MODELO!$U$2:$U$3672,MATCH($H295,DATOS_MODELO!$B$2:$B$3672,0))))))</f>
        <v>1942.5735</v>
      </c>
      <c r="L295" s="8" t="str">
        <f aca="false">IF(LEFT($H295,5)&lt;&gt;"STAT_","",IF(ABS($K295)&lt;=COUNTIFS($B$2:$B$618,$B295,$C$2:$C$618,$C295,$D$2:$D$618,"Energy products",$G$2:$G$618,"&lt;&gt;STAT")*PARAMETROS!$B$6,"redondeo","residuo_estadistico"))</f>
        <v/>
      </c>
      <c r="M295" s="8" t="str">
        <f>IF(OR($I295="USO_NO_ENERGETICO_APARENTE",$I295="USO_ENERGETICO_INTERNO_APARENTE"),"CAL",IF(LEFT($H295,5)="STAT_","FORMULA",IF(COUNTIF(DATOS_MODELO!$B$2:$B$3672,$H295)=1,"OK","REVISAR")))</f>
        <v>OK</v>
      </c>
    </row>
    <row r="296" customFormat="false" ht="15" hidden="false" customHeight="false" outlineLevel="0" collapsed="false">
      <c r="A296" s="4" t="s">
        <v>2661</v>
      </c>
      <c r="B296" s="12" t="n">
        <v>2021</v>
      </c>
      <c r="C296" s="4" t="s">
        <v>86</v>
      </c>
      <c r="D296" s="4" t="s">
        <v>1993</v>
      </c>
      <c r="E296" s="4" t="s">
        <v>2001</v>
      </c>
      <c r="F296" s="4" t="s">
        <v>2002</v>
      </c>
      <c r="G296" s="4" t="s">
        <v>67</v>
      </c>
      <c r="H296" s="4" t="s">
        <v>1023</v>
      </c>
      <c r="I296" s="4" t="s">
        <v>2097</v>
      </c>
      <c r="J296" s="4" t="s">
        <v>2004</v>
      </c>
      <c r="K296" s="14">
        <f>IF(OR($I296="USO_NO_ENERGETICO_APARENTE",$I296="USO_ENERGETICO_INTERNO_APARENTE"),ROUND(SUMIFS($K$2:$K$618,$B$2:$B$618,$B296,$C$2:$C$618,$C296,$D$2:$D$618,"Energy products",$E$2:$E$618,"Supply",$G$2:$G$618,"&lt;&gt;STAT")-SUMIFS($K$2:$K$618,$B$2:$B$618,$B296,$C$2:$C$618,$C296,$D$2:$D$618,"Energy products",$E$2:$E$618,"Use",$G$2:$G$618,"&lt;&gt;STAT",$I$2:$I$618,"&lt;&gt;USO_NO_ENERGETICO_APARENTE",$I$2:$I$618,"&lt;&gt;USO_ENERGETICO_INTERNO_APARENTE"),10),IF(LEFT($H296,5)="STAT_",ROUND(SUMIFS($K$2:$K$618,$B$2:$B$618,$B296,$C$2:$C$618,$C296,$D$2:$D$618,"Energy products",$E$2:$E$618,"Supply",$G$2:$G$618,"&lt;&gt;STAT")-SUMIFS($K$2:$K$618,$B$2:$B$618,$B296,$C$2:$C$618,$C296,$D$2:$D$618,"Energy products",$E$2:$E$618,"Use",$G$2:$G$618,"&lt;&gt;STAT"),10),IF($J296="cambio de signo",-INDEX(DATOS_MODELO!$U$2:$U$3672,MATCH($H296,DATOS_MODELO!$B$2:$B$3672,0)),IF($J296="valor absoluto",ABS(INDEX(DATOS_MODELO!$U$2:$U$3672,MATCH($H296,DATOS_MODELO!$B$2:$B$3672,0))),INDEX(DATOS_MODELO!$U$2:$U$3672,MATCH($H296,DATOS_MODELO!$B$2:$B$3672,0))))))</f>
        <v>4866.5722</v>
      </c>
      <c r="L296" s="8" t="str">
        <f aca="false">IF(LEFT($H296,5)&lt;&gt;"STAT_","",IF(ABS($K296)&lt;=COUNTIFS($B$2:$B$618,$B296,$C$2:$C$618,$C296,$D$2:$D$618,"Energy products",$G$2:$G$618,"&lt;&gt;STAT")*PARAMETROS!$B$6,"redondeo","residuo_estadistico"))</f>
        <v/>
      </c>
      <c r="M296" s="8" t="str">
        <f>IF(OR($I296="USO_NO_ENERGETICO_APARENTE",$I296="USO_ENERGETICO_INTERNO_APARENTE"),"CAL",IF(LEFT($H296,5)="STAT_","FORMULA",IF(COUNTIF(DATOS_MODELO!$B$2:$B$3672,$H296)=1,"OK","REVISAR")))</f>
        <v>OK</v>
      </c>
    </row>
    <row r="297" customFormat="false" ht="15" hidden="false" customHeight="false" outlineLevel="0" collapsed="false">
      <c r="A297" s="4" t="s">
        <v>2663</v>
      </c>
      <c r="B297" s="12" t="n">
        <v>2021</v>
      </c>
      <c r="C297" s="4" t="s">
        <v>88</v>
      </c>
      <c r="D297" s="4" t="s">
        <v>2018</v>
      </c>
      <c r="E297" s="4" t="s">
        <v>1994</v>
      </c>
      <c r="F297" s="4" t="s">
        <v>65</v>
      </c>
      <c r="G297" s="4" t="s">
        <v>64</v>
      </c>
      <c r="H297" s="4" t="s">
        <v>1033</v>
      </c>
      <c r="I297" s="4" t="s">
        <v>2044</v>
      </c>
      <c r="J297" s="4" t="s">
        <v>1997</v>
      </c>
      <c r="K297" s="14">
        <f>IF(OR($I297="USO_NO_ENERGETICO_APARENTE",$I297="USO_ENERGETICO_INTERNO_APARENTE"),ROUND(SUMIFS($K$2:$K$618,$B$2:$B$618,$B297,$C$2:$C$618,$C297,$D$2:$D$618,"Energy products",$E$2:$E$618,"Supply",$G$2:$G$618,"&lt;&gt;STAT")-SUMIFS($K$2:$K$618,$B$2:$B$618,$B297,$C$2:$C$618,$C297,$D$2:$D$618,"Energy products",$E$2:$E$618,"Use",$G$2:$G$618,"&lt;&gt;STAT",$I$2:$I$618,"&lt;&gt;USO_NO_ENERGETICO_APARENTE",$I$2:$I$618,"&lt;&gt;USO_ENERGETICO_INTERNO_APARENTE"),10),IF(LEFT($H297,5)="STAT_",ROUND(SUMIFS($K$2:$K$618,$B$2:$B$618,$B297,$C$2:$C$618,$C297,$D$2:$D$618,"Energy products",$E$2:$E$618,"Supply",$G$2:$G$618,"&lt;&gt;STAT")-SUMIFS($K$2:$K$618,$B$2:$B$618,$B297,$C$2:$C$618,$C297,$D$2:$D$618,"Energy products",$E$2:$E$618,"Use",$G$2:$G$618,"&lt;&gt;STAT"),10),IF($J297="cambio de signo",-INDEX(DATOS_MODELO!$U$2:$U$3672,MATCH($H297,DATOS_MODELO!$B$2:$B$3672,0)),IF($J297="valor absoluto",ABS(INDEX(DATOS_MODELO!$U$2:$U$3672,MATCH($H297,DATOS_MODELO!$B$2:$B$3672,0))),INDEX(DATOS_MODELO!$U$2:$U$3672,MATCH($H297,DATOS_MODELO!$B$2:$B$3672,0))))))</f>
        <v>782.4327</v>
      </c>
      <c r="L297" s="8" t="str">
        <f aca="false">IF(LEFT($H297,5)&lt;&gt;"STAT_","",IF(ABS($K297)&lt;=COUNTIFS($B$2:$B$618,$B297,$C$2:$C$618,$C297,$D$2:$D$618,"Energy products",$G$2:$G$618,"&lt;&gt;STAT")*PARAMETROS!$B$6,"redondeo","residuo_estadistico"))</f>
        <v/>
      </c>
      <c r="M297" s="8" t="str">
        <f>IF(OR($I297="USO_NO_ENERGETICO_APARENTE",$I297="USO_ENERGETICO_INTERNO_APARENTE"),"CAL",IF(LEFT($H297,5)="STAT_","FORMULA",IF(COUNTIF(DATOS_MODELO!$B$2:$B$3672,$H297)=1,"OK","REVISAR")))</f>
        <v>OK</v>
      </c>
    </row>
    <row r="298" customFormat="false" ht="15" hidden="false" customHeight="false" outlineLevel="0" collapsed="false">
      <c r="A298" s="4" t="s">
        <v>2665</v>
      </c>
      <c r="B298" s="12" t="n">
        <v>2021</v>
      </c>
      <c r="C298" s="4" t="s">
        <v>88</v>
      </c>
      <c r="D298" s="4" t="s">
        <v>2018</v>
      </c>
      <c r="E298" s="4" t="s">
        <v>2001</v>
      </c>
      <c r="F298" s="4" t="s">
        <v>66</v>
      </c>
      <c r="G298" s="4" t="s">
        <v>67</v>
      </c>
      <c r="H298" s="4" t="s">
        <v>1038</v>
      </c>
      <c r="I298" s="4" t="s">
        <v>2003</v>
      </c>
      <c r="J298" s="4" t="s">
        <v>2004</v>
      </c>
      <c r="K298" s="14">
        <f>IF(OR($I298="USO_NO_ENERGETICO_APARENTE",$I298="USO_ENERGETICO_INTERNO_APARENTE"),ROUND(SUMIFS($K$2:$K$618,$B$2:$B$618,$B298,$C$2:$C$618,$C298,$D$2:$D$618,"Energy products",$E$2:$E$618,"Supply",$G$2:$G$618,"&lt;&gt;STAT")-SUMIFS($K$2:$K$618,$B$2:$B$618,$B298,$C$2:$C$618,$C298,$D$2:$D$618,"Energy products",$E$2:$E$618,"Use",$G$2:$G$618,"&lt;&gt;STAT",$I$2:$I$618,"&lt;&gt;USO_NO_ENERGETICO_APARENTE",$I$2:$I$618,"&lt;&gt;USO_ENERGETICO_INTERNO_APARENTE"),10),IF(LEFT($H298,5)="STAT_",ROUND(SUMIFS($K$2:$K$618,$B$2:$B$618,$B298,$C$2:$C$618,$C298,$D$2:$D$618,"Energy products",$E$2:$E$618,"Supply",$G$2:$G$618,"&lt;&gt;STAT")-SUMIFS($K$2:$K$618,$B$2:$B$618,$B298,$C$2:$C$618,$C298,$D$2:$D$618,"Energy products",$E$2:$E$618,"Use",$G$2:$G$618,"&lt;&gt;STAT"),10),IF($J298="cambio de signo",-INDEX(DATOS_MODELO!$U$2:$U$3672,MATCH($H298,DATOS_MODELO!$B$2:$B$3672,0)),IF($J298="valor absoluto",ABS(INDEX(DATOS_MODELO!$U$2:$U$3672,MATCH($H298,DATOS_MODELO!$B$2:$B$3672,0))),INDEX(DATOS_MODELO!$U$2:$U$3672,MATCH($H298,DATOS_MODELO!$B$2:$B$3672,0))))))</f>
        <v>782.4327</v>
      </c>
      <c r="L298" s="8" t="str">
        <f aca="false">IF(LEFT($H298,5)&lt;&gt;"STAT_","",IF(ABS($K298)&lt;=COUNTIFS($B$2:$B$618,$B298,$C$2:$C$618,$C298,$D$2:$D$618,"Energy products",$G$2:$G$618,"&lt;&gt;STAT")*PARAMETROS!$B$6,"redondeo","residuo_estadistico"))</f>
        <v/>
      </c>
      <c r="M298" s="8" t="str">
        <f>IF(OR($I298="USO_NO_ENERGETICO_APARENTE",$I298="USO_ENERGETICO_INTERNO_APARENTE"),"CAL",IF(LEFT($H298,5)="STAT_","FORMULA",IF(COUNTIF(DATOS_MODELO!$B$2:$B$3672,$H298)=1,"OK","REVISAR")))</f>
        <v>OK</v>
      </c>
    </row>
    <row r="299" customFormat="false" ht="15" hidden="false" customHeight="false" outlineLevel="0" collapsed="false">
      <c r="A299" s="4" t="s">
        <v>2667</v>
      </c>
      <c r="B299" s="12" t="n">
        <v>2021</v>
      </c>
      <c r="C299" s="4" t="s">
        <v>95</v>
      </c>
      <c r="D299" s="4" t="s">
        <v>1993</v>
      </c>
      <c r="E299" s="4" t="s">
        <v>1994</v>
      </c>
      <c r="F299" s="4" t="s">
        <v>2029</v>
      </c>
      <c r="G299" s="4" t="s">
        <v>69</v>
      </c>
      <c r="H299" s="4" t="s">
        <v>1048</v>
      </c>
      <c r="I299" s="4" t="s">
        <v>2030</v>
      </c>
      <c r="J299" s="4" t="s">
        <v>1997</v>
      </c>
      <c r="K299" s="14">
        <f>IF(OR($I299="USO_NO_ENERGETICO_APARENTE",$I299="USO_ENERGETICO_INTERNO_APARENTE"),ROUND(SUMIFS($K$2:$K$618,$B$2:$B$618,$B299,$C$2:$C$618,$C299,$D$2:$D$618,"Energy products",$E$2:$E$618,"Supply",$G$2:$G$618,"&lt;&gt;STAT")-SUMIFS($K$2:$K$618,$B$2:$B$618,$B299,$C$2:$C$618,$C299,$D$2:$D$618,"Energy products",$E$2:$E$618,"Use",$G$2:$G$618,"&lt;&gt;STAT",$I$2:$I$618,"&lt;&gt;USO_NO_ENERGETICO_APARENTE",$I$2:$I$618,"&lt;&gt;USO_ENERGETICO_INTERNO_APARENTE"),10),IF(LEFT($H299,5)="STAT_",ROUND(SUMIFS($K$2:$K$618,$B$2:$B$618,$B299,$C$2:$C$618,$C299,$D$2:$D$618,"Energy products",$E$2:$E$618,"Supply",$G$2:$G$618,"&lt;&gt;STAT")-SUMIFS($K$2:$K$618,$B$2:$B$618,$B299,$C$2:$C$618,$C299,$D$2:$D$618,"Energy products",$E$2:$E$618,"Use",$G$2:$G$618,"&lt;&gt;STAT"),10),IF($J299="cambio de signo",-INDEX(DATOS_MODELO!$U$2:$U$3672,MATCH($H299,DATOS_MODELO!$B$2:$B$3672,0)),IF($J299="valor absoluto",ABS(INDEX(DATOS_MODELO!$U$2:$U$3672,MATCH($H299,DATOS_MODELO!$B$2:$B$3672,0))),INDEX(DATOS_MODELO!$U$2:$U$3672,MATCH($H299,DATOS_MODELO!$B$2:$B$3672,0))))))</f>
        <v>15581.839</v>
      </c>
      <c r="L299" s="8" t="str">
        <f aca="false">IF(LEFT($H299,5)&lt;&gt;"STAT_","",IF(ABS($K299)&lt;=COUNTIFS($B$2:$B$618,$B299,$C$2:$C$618,$C299,$D$2:$D$618,"Energy products",$G$2:$G$618,"&lt;&gt;STAT")*PARAMETROS!$B$6,"redondeo","residuo_estadistico"))</f>
        <v/>
      </c>
      <c r="M299" s="8" t="str">
        <f>IF(OR($I299="USO_NO_ENERGETICO_APARENTE",$I299="USO_ENERGETICO_INTERNO_APARENTE"),"CAL",IF(LEFT($H299,5)="STAT_","FORMULA",IF(COUNTIF(DATOS_MODELO!$B$2:$B$3672,$H299)=1,"OK","REVISAR")))</f>
        <v>OK</v>
      </c>
    </row>
    <row r="300" customFormat="false" ht="15" hidden="false" customHeight="false" outlineLevel="0" collapsed="false">
      <c r="A300" s="4" t="s">
        <v>2669</v>
      </c>
      <c r="B300" s="12" t="n">
        <v>2021</v>
      </c>
      <c r="C300" s="4" t="s">
        <v>95</v>
      </c>
      <c r="D300" s="4" t="s">
        <v>1993</v>
      </c>
      <c r="E300" s="4" t="s">
        <v>2001</v>
      </c>
      <c r="F300" s="4" t="s">
        <v>2034</v>
      </c>
      <c r="G300" s="4" t="s">
        <v>74</v>
      </c>
      <c r="H300" s="4" t="s">
        <v>1050</v>
      </c>
      <c r="I300" s="4" t="s">
        <v>2035</v>
      </c>
      <c r="J300" s="4" t="s">
        <v>2036</v>
      </c>
      <c r="K300" s="14">
        <f>IF(OR($I300="USO_NO_ENERGETICO_APARENTE",$I300="USO_ENERGETICO_INTERNO_APARENTE"),ROUND(SUMIFS($K$2:$K$618,$B$2:$B$618,$B300,$C$2:$C$618,$C300,$D$2:$D$618,"Energy products",$E$2:$E$618,"Supply",$G$2:$G$618,"&lt;&gt;STAT")-SUMIFS($K$2:$K$618,$B$2:$B$618,$B300,$C$2:$C$618,$C300,$D$2:$D$618,"Energy products",$E$2:$E$618,"Use",$G$2:$G$618,"&lt;&gt;STAT",$I$2:$I$618,"&lt;&gt;USO_NO_ENERGETICO_APARENTE",$I$2:$I$618,"&lt;&gt;USO_ENERGETICO_INTERNO_APARENTE"),10),IF(LEFT($H300,5)="STAT_",ROUND(SUMIFS($K$2:$K$618,$B$2:$B$618,$B300,$C$2:$C$618,$C300,$D$2:$D$618,"Energy products",$E$2:$E$618,"Supply",$G$2:$G$618,"&lt;&gt;STAT")-SUMIFS($K$2:$K$618,$B$2:$B$618,$B300,$C$2:$C$618,$C300,$D$2:$D$618,"Energy products",$E$2:$E$618,"Use",$G$2:$G$618,"&lt;&gt;STAT"),10),IF($J300="cambio de signo",-INDEX(DATOS_MODELO!$U$2:$U$3672,MATCH($H300,DATOS_MODELO!$B$2:$B$3672,0)),IF($J300="valor absoluto",ABS(INDEX(DATOS_MODELO!$U$2:$U$3672,MATCH($H300,DATOS_MODELO!$B$2:$B$3672,0))),INDEX(DATOS_MODELO!$U$2:$U$3672,MATCH($H300,DATOS_MODELO!$B$2:$B$3672,0))))))</f>
        <v>-11.039</v>
      </c>
      <c r="L300" s="8" t="str">
        <f aca="false">IF(LEFT($H300,5)&lt;&gt;"STAT_","",IF(ABS($K300)&lt;=COUNTIFS($B$2:$B$618,$B300,$C$2:$C$618,$C300,$D$2:$D$618,"Energy products",$G$2:$G$618,"&lt;&gt;STAT")*PARAMETROS!$B$6,"redondeo","residuo_estadistico"))</f>
        <v/>
      </c>
      <c r="M300" s="8" t="str">
        <f>IF(OR($I300="USO_NO_ENERGETICO_APARENTE",$I300="USO_ENERGETICO_INTERNO_APARENTE"),"CAL",IF(LEFT($H300,5)="STAT_","FORMULA",IF(COUNTIF(DATOS_MODELO!$B$2:$B$3672,$H300)=1,"OK","REVISAR")))</f>
        <v>OK</v>
      </c>
    </row>
    <row r="301" customFormat="false" ht="15" hidden="false" customHeight="false" outlineLevel="0" collapsed="false">
      <c r="A301" s="4" t="s">
        <v>2671</v>
      </c>
      <c r="B301" s="12" t="n">
        <v>2021</v>
      </c>
      <c r="C301" s="4" t="s">
        <v>95</v>
      </c>
      <c r="D301" s="4" t="s">
        <v>1993</v>
      </c>
      <c r="E301" s="4" t="s">
        <v>2001</v>
      </c>
      <c r="F301" s="4" t="s">
        <v>2002</v>
      </c>
      <c r="G301" s="4" t="s">
        <v>68</v>
      </c>
      <c r="H301" s="4" t="s">
        <v>1058</v>
      </c>
      <c r="I301" s="4" t="s">
        <v>2111</v>
      </c>
      <c r="J301" s="4" t="s">
        <v>1997</v>
      </c>
      <c r="K301" s="14">
        <f>IF(OR($I301="USO_NO_ENERGETICO_APARENTE",$I301="USO_ENERGETICO_INTERNO_APARENTE"),ROUND(SUMIFS($K$2:$K$618,$B$2:$B$618,$B301,$C$2:$C$618,$C301,$D$2:$D$618,"Energy products",$E$2:$E$618,"Supply",$G$2:$G$618,"&lt;&gt;STAT")-SUMIFS($K$2:$K$618,$B$2:$B$618,$B301,$C$2:$C$618,$C301,$D$2:$D$618,"Energy products",$E$2:$E$618,"Use",$G$2:$G$618,"&lt;&gt;STAT",$I$2:$I$618,"&lt;&gt;USO_NO_ENERGETICO_APARENTE",$I$2:$I$618,"&lt;&gt;USO_ENERGETICO_INTERNO_APARENTE"),10),IF(LEFT($H301,5)="STAT_",ROUND(SUMIFS($K$2:$K$618,$B$2:$B$618,$B301,$C$2:$C$618,$C301,$D$2:$D$618,"Energy products",$E$2:$E$618,"Supply",$G$2:$G$618,"&lt;&gt;STAT")-SUMIFS($K$2:$K$618,$B$2:$B$618,$B301,$C$2:$C$618,$C301,$D$2:$D$618,"Energy products",$E$2:$E$618,"Use",$G$2:$G$618,"&lt;&gt;STAT"),10),IF($J301="cambio de signo",-INDEX(DATOS_MODELO!$U$2:$U$3672,MATCH($H301,DATOS_MODELO!$B$2:$B$3672,0)),IF($J301="valor absoluto",ABS(INDEX(DATOS_MODELO!$U$2:$U$3672,MATCH($H301,DATOS_MODELO!$B$2:$B$3672,0))),INDEX(DATOS_MODELO!$U$2:$U$3672,MATCH($H301,DATOS_MODELO!$B$2:$B$3672,0))))))</f>
        <v>15592.878</v>
      </c>
      <c r="L301" s="8" t="str">
        <f aca="false">IF(LEFT($H301,5)&lt;&gt;"STAT_","",IF(ABS($K301)&lt;=COUNTIFS($B$2:$B$618,$B301,$C$2:$C$618,$C301,$D$2:$D$618,"Energy products",$G$2:$G$618,"&lt;&gt;STAT")*PARAMETROS!$B$6,"redondeo","residuo_estadistico"))</f>
        <v/>
      </c>
      <c r="M301" s="8" t="str">
        <f>IF(OR($I301="USO_NO_ENERGETICO_APARENTE",$I301="USO_ENERGETICO_INTERNO_APARENTE"),"CAL",IF(LEFT($H301,5)="STAT_","FORMULA",IF(COUNTIF(DATOS_MODELO!$B$2:$B$3672,$H301)=1,"OK","REVISAR")))</f>
        <v>OK</v>
      </c>
    </row>
    <row r="302" customFormat="false" ht="15" hidden="false" customHeight="false" outlineLevel="0" collapsed="false">
      <c r="A302" s="4" t="s">
        <v>2673</v>
      </c>
      <c r="B302" s="12" t="n">
        <v>2021</v>
      </c>
      <c r="C302" s="4" t="s">
        <v>97</v>
      </c>
      <c r="D302" s="4" t="s">
        <v>1993</v>
      </c>
      <c r="E302" s="4" t="s">
        <v>1994</v>
      </c>
      <c r="F302" s="4" t="s">
        <v>2029</v>
      </c>
      <c r="G302" s="4" t="s">
        <v>69</v>
      </c>
      <c r="H302" s="4" t="s">
        <v>1062</v>
      </c>
      <c r="I302" s="4" t="s">
        <v>2030</v>
      </c>
      <c r="J302" s="4" t="s">
        <v>1997</v>
      </c>
      <c r="K302" s="14">
        <f>IF(OR($I302="USO_NO_ENERGETICO_APARENTE",$I302="USO_ENERGETICO_INTERNO_APARENTE"),ROUND(SUMIFS($K$2:$K$618,$B$2:$B$618,$B302,$C$2:$C$618,$C302,$D$2:$D$618,"Energy products",$E$2:$E$618,"Supply",$G$2:$G$618,"&lt;&gt;STAT")-SUMIFS($K$2:$K$618,$B$2:$B$618,$B302,$C$2:$C$618,$C302,$D$2:$D$618,"Energy products",$E$2:$E$618,"Use",$G$2:$G$618,"&lt;&gt;STAT",$I$2:$I$618,"&lt;&gt;USO_NO_ENERGETICO_APARENTE",$I$2:$I$618,"&lt;&gt;USO_ENERGETICO_INTERNO_APARENTE"),10),IF(LEFT($H302,5)="STAT_",ROUND(SUMIFS($K$2:$K$618,$B$2:$B$618,$B302,$C$2:$C$618,$C302,$D$2:$D$618,"Energy products",$E$2:$E$618,"Supply",$G$2:$G$618,"&lt;&gt;STAT")-SUMIFS($K$2:$K$618,$B$2:$B$618,$B302,$C$2:$C$618,$C302,$D$2:$D$618,"Energy products",$E$2:$E$618,"Use",$G$2:$G$618,"&lt;&gt;STAT"),10),IF($J302="cambio de signo",-INDEX(DATOS_MODELO!$U$2:$U$3672,MATCH($H302,DATOS_MODELO!$B$2:$B$3672,0)),IF($J302="valor absoluto",ABS(INDEX(DATOS_MODELO!$U$2:$U$3672,MATCH($H302,DATOS_MODELO!$B$2:$B$3672,0))),INDEX(DATOS_MODELO!$U$2:$U$3672,MATCH($H302,DATOS_MODELO!$B$2:$B$3672,0))))))</f>
        <v>85087.6243</v>
      </c>
      <c r="L302" s="8" t="str">
        <f aca="false">IF(LEFT($H302,5)&lt;&gt;"STAT_","",IF(ABS($K302)&lt;=COUNTIFS($B$2:$B$618,$B302,$C$2:$C$618,$C302,$D$2:$D$618,"Energy products",$G$2:$G$618,"&lt;&gt;STAT")*PARAMETROS!$B$6,"redondeo","residuo_estadistico"))</f>
        <v/>
      </c>
      <c r="M302" s="8" t="str">
        <f>IF(OR($I302="USO_NO_ENERGETICO_APARENTE",$I302="USO_ENERGETICO_INTERNO_APARENTE"),"CAL",IF(LEFT($H302,5)="STAT_","FORMULA",IF(COUNTIF(DATOS_MODELO!$B$2:$B$3672,$H302)=1,"OK","REVISAR")))</f>
        <v>OK</v>
      </c>
    </row>
    <row r="303" customFormat="false" ht="15" hidden="false" customHeight="false" outlineLevel="0" collapsed="false">
      <c r="A303" s="4" t="s">
        <v>2675</v>
      </c>
      <c r="B303" s="12" t="n">
        <v>2021</v>
      </c>
      <c r="C303" s="4" t="s">
        <v>97</v>
      </c>
      <c r="D303" s="4" t="s">
        <v>1993</v>
      </c>
      <c r="E303" s="4" t="s">
        <v>2001</v>
      </c>
      <c r="F303" s="4" t="s">
        <v>2091</v>
      </c>
      <c r="G303" s="4" t="s">
        <v>69</v>
      </c>
      <c r="H303" s="4" t="s">
        <v>1063</v>
      </c>
      <c r="I303" s="4" t="s">
        <v>2030</v>
      </c>
      <c r="J303" s="4" t="s">
        <v>1997</v>
      </c>
      <c r="K303" s="14">
        <f>IF(OR($I303="USO_NO_ENERGETICO_APARENTE",$I303="USO_ENERGETICO_INTERNO_APARENTE"),ROUND(SUMIFS($K$2:$K$618,$B$2:$B$618,$B303,$C$2:$C$618,$C303,$D$2:$D$618,"Energy products",$E$2:$E$618,"Supply",$G$2:$G$618,"&lt;&gt;STAT")-SUMIFS($K$2:$K$618,$B$2:$B$618,$B303,$C$2:$C$618,$C303,$D$2:$D$618,"Energy products",$E$2:$E$618,"Use",$G$2:$G$618,"&lt;&gt;STAT",$I$2:$I$618,"&lt;&gt;USO_NO_ENERGETICO_APARENTE",$I$2:$I$618,"&lt;&gt;USO_ENERGETICO_INTERNO_APARENTE"),10),IF(LEFT($H303,5)="STAT_",ROUND(SUMIFS($K$2:$K$618,$B$2:$B$618,$B303,$C$2:$C$618,$C303,$D$2:$D$618,"Energy products",$E$2:$E$618,"Supply",$G$2:$G$618,"&lt;&gt;STAT")-SUMIFS($K$2:$K$618,$B$2:$B$618,$B303,$C$2:$C$618,$C303,$D$2:$D$618,"Energy products",$E$2:$E$618,"Use",$G$2:$G$618,"&lt;&gt;STAT"),10),IF($J303="cambio de signo",-INDEX(DATOS_MODELO!$U$2:$U$3672,MATCH($H303,DATOS_MODELO!$B$2:$B$3672,0)),IF($J303="valor absoluto",ABS(INDEX(DATOS_MODELO!$U$2:$U$3672,MATCH($H303,DATOS_MODELO!$B$2:$B$3672,0))),INDEX(DATOS_MODELO!$U$2:$U$3672,MATCH($H303,DATOS_MODELO!$B$2:$B$3672,0))))))</f>
        <v>828.8546</v>
      </c>
      <c r="L303" s="8" t="str">
        <f aca="false">IF(LEFT($H303,5)&lt;&gt;"STAT_","",IF(ABS($K303)&lt;=COUNTIFS($B$2:$B$618,$B303,$C$2:$C$618,$C303,$D$2:$D$618,"Energy products",$G$2:$G$618,"&lt;&gt;STAT")*PARAMETROS!$B$6,"redondeo","residuo_estadistico"))</f>
        <v/>
      </c>
      <c r="M303" s="8" t="str">
        <f>IF(OR($I303="USO_NO_ENERGETICO_APARENTE",$I303="USO_ENERGETICO_INTERNO_APARENTE"),"CAL",IF(LEFT($H303,5)="STAT_","FORMULA",IF(COUNTIF(DATOS_MODELO!$B$2:$B$3672,$H303)=1,"OK","REVISAR")))</f>
        <v>OK</v>
      </c>
    </row>
    <row r="304" customFormat="false" ht="15" hidden="false" customHeight="false" outlineLevel="0" collapsed="false">
      <c r="A304" s="4" t="s">
        <v>2677</v>
      </c>
      <c r="B304" s="12" t="n">
        <v>2021</v>
      </c>
      <c r="C304" s="4" t="s">
        <v>97</v>
      </c>
      <c r="D304" s="4" t="s">
        <v>1993</v>
      </c>
      <c r="E304" s="4" t="s">
        <v>2001</v>
      </c>
      <c r="F304" s="4" t="s">
        <v>2034</v>
      </c>
      <c r="G304" s="4" t="s">
        <v>74</v>
      </c>
      <c r="H304" s="4" t="s">
        <v>1064</v>
      </c>
      <c r="I304" s="4" t="s">
        <v>2035</v>
      </c>
      <c r="J304" s="4" t="s">
        <v>2036</v>
      </c>
      <c r="K304" s="14">
        <f>IF(OR($I304="USO_NO_ENERGETICO_APARENTE",$I304="USO_ENERGETICO_INTERNO_APARENTE"),ROUND(SUMIFS($K$2:$K$618,$B$2:$B$618,$B304,$C$2:$C$618,$C304,$D$2:$D$618,"Energy products",$E$2:$E$618,"Supply",$G$2:$G$618,"&lt;&gt;STAT")-SUMIFS($K$2:$K$618,$B$2:$B$618,$B304,$C$2:$C$618,$C304,$D$2:$D$618,"Energy products",$E$2:$E$618,"Use",$G$2:$G$618,"&lt;&gt;STAT",$I$2:$I$618,"&lt;&gt;USO_NO_ENERGETICO_APARENTE",$I$2:$I$618,"&lt;&gt;USO_ENERGETICO_INTERNO_APARENTE"),10),IF(LEFT($H304,5)="STAT_",ROUND(SUMIFS($K$2:$K$618,$B$2:$B$618,$B304,$C$2:$C$618,$C304,$D$2:$D$618,"Energy products",$E$2:$E$618,"Supply",$G$2:$G$618,"&lt;&gt;STAT")-SUMIFS($K$2:$K$618,$B$2:$B$618,$B304,$C$2:$C$618,$C304,$D$2:$D$618,"Energy products",$E$2:$E$618,"Use",$G$2:$G$618,"&lt;&gt;STAT"),10),IF($J304="cambio de signo",-INDEX(DATOS_MODELO!$U$2:$U$3672,MATCH($H304,DATOS_MODELO!$B$2:$B$3672,0)),IF($J304="valor absoluto",ABS(INDEX(DATOS_MODELO!$U$2:$U$3672,MATCH($H304,DATOS_MODELO!$B$2:$B$3672,0))),INDEX(DATOS_MODELO!$U$2:$U$3672,MATCH($H304,DATOS_MODELO!$B$2:$B$3672,0))))))</f>
        <v>-1151.2515</v>
      </c>
      <c r="L304" s="8" t="str">
        <f aca="false">IF(LEFT($H304,5)&lt;&gt;"STAT_","",IF(ABS($K304)&lt;=COUNTIFS($B$2:$B$618,$B304,$C$2:$C$618,$C304,$D$2:$D$618,"Energy products",$G$2:$G$618,"&lt;&gt;STAT")*PARAMETROS!$B$6,"redondeo","residuo_estadistico"))</f>
        <v/>
      </c>
      <c r="M304" s="8" t="str">
        <f>IF(OR($I304="USO_NO_ENERGETICO_APARENTE",$I304="USO_ENERGETICO_INTERNO_APARENTE"),"CAL",IF(LEFT($H304,5)="STAT_","FORMULA",IF(COUNTIF(DATOS_MODELO!$B$2:$B$3672,$H304)=1,"OK","REVISAR")))</f>
        <v>OK</v>
      </c>
    </row>
    <row r="305" customFormat="false" ht="15" hidden="false" customHeight="false" outlineLevel="0" collapsed="false">
      <c r="A305" s="4" t="s">
        <v>2679</v>
      </c>
      <c r="B305" s="12" t="n">
        <v>2021</v>
      </c>
      <c r="C305" s="4" t="s">
        <v>97</v>
      </c>
      <c r="D305" s="4" t="s">
        <v>1993</v>
      </c>
      <c r="E305" s="4" t="s">
        <v>2001</v>
      </c>
      <c r="F305" s="4" t="s">
        <v>2002</v>
      </c>
      <c r="G305" s="4" t="s">
        <v>67</v>
      </c>
      <c r="H305" s="4" t="s">
        <v>1066</v>
      </c>
      <c r="I305" s="4" t="s">
        <v>2003</v>
      </c>
      <c r="J305" s="4" t="s">
        <v>2004</v>
      </c>
      <c r="K305" s="14">
        <f>IF(OR($I305="USO_NO_ENERGETICO_APARENTE",$I305="USO_ENERGETICO_INTERNO_APARENTE"),ROUND(SUMIFS($K$2:$K$618,$B$2:$B$618,$B305,$C$2:$C$618,$C305,$D$2:$D$618,"Energy products",$E$2:$E$618,"Supply",$G$2:$G$618,"&lt;&gt;STAT")-SUMIFS($K$2:$K$618,$B$2:$B$618,$B305,$C$2:$C$618,$C305,$D$2:$D$618,"Energy products",$E$2:$E$618,"Use",$G$2:$G$618,"&lt;&gt;STAT",$I$2:$I$618,"&lt;&gt;USO_NO_ENERGETICO_APARENTE",$I$2:$I$618,"&lt;&gt;USO_ENERGETICO_INTERNO_APARENTE"),10),IF(LEFT($H305,5)="STAT_",ROUND(SUMIFS($K$2:$K$618,$B$2:$B$618,$B305,$C$2:$C$618,$C305,$D$2:$D$618,"Energy products",$E$2:$E$618,"Supply",$G$2:$G$618,"&lt;&gt;STAT")-SUMIFS($K$2:$K$618,$B$2:$B$618,$B305,$C$2:$C$618,$C305,$D$2:$D$618,"Energy products",$E$2:$E$618,"Use",$G$2:$G$618,"&lt;&gt;STAT"),10),IF($J305="cambio de signo",-INDEX(DATOS_MODELO!$U$2:$U$3672,MATCH($H305,DATOS_MODELO!$B$2:$B$3672,0)),IF($J305="valor absoluto",ABS(INDEX(DATOS_MODELO!$U$2:$U$3672,MATCH($H305,DATOS_MODELO!$B$2:$B$3672,0))),INDEX(DATOS_MODELO!$U$2:$U$3672,MATCH($H305,DATOS_MODELO!$B$2:$B$3672,0))))))</f>
        <v>47.7582</v>
      </c>
      <c r="L305" s="8" t="str">
        <f aca="false">IF(LEFT($H305,5)&lt;&gt;"STAT_","",IF(ABS($K305)&lt;=COUNTIFS($B$2:$B$618,$B305,$C$2:$C$618,$C305,$D$2:$D$618,"Energy products",$G$2:$G$618,"&lt;&gt;STAT")*PARAMETROS!$B$6,"redondeo","residuo_estadistico"))</f>
        <v/>
      </c>
      <c r="M305" s="8" t="str">
        <f>IF(OR($I305="USO_NO_ENERGETICO_APARENTE",$I305="USO_ENERGETICO_INTERNO_APARENTE"),"CAL",IF(LEFT($H305,5)="STAT_","FORMULA",IF(COUNTIF(DATOS_MODELO!$B$2:$B$3672,$H305)=1,"OK","REVISAR")))</f>
        <v>OK</v>
      </c>
    </row>
    <row r="306" customFormat="false" ht="15" hidden="false" customHeight="false" outlineLevel="0" collapsed="false">
      <c r="A306" s="4" t="s">
        <v>2681</v>
      </c>
      <c r="B306" s="12" t="n">
        <v>2021</v>
      </c>
      <c r="C306" s="4" t="s">
        <v>97</v>
      </c>
      <c r="D306" s="4" t="s">
        <v>1993</v>
      </c>
      <c r="E306" s="4" t="s">
        <v>2001</v>
      </c>
      <c r="F306" s="4" t="s">
        <v>2002</v>
      </c>
      <c r="G306" s="4" t="s">
        <v>71</v>
      </c>
      <c r="H306" s="4" t="s">
        <v>1069</v>
      </c>
      <c r="I306" s="4" t="s">
        <v>2123</v>
      </c>
      <c r="J306" s="4" t="s">
        <v>1997</v>
      </c>
      <c r="K306" s="14">
        <f>IF(OR($I306="USO_NO_ENERGETICO_APARENTE",$I306="USO_ENERGETICO_INTERNO_APARENTE"),ROUND(SUMIFS($K$2:$K$618,$B$2:$B$618,$B306,$C$2:$C$618,$C306,$D$2:$D$618,"Energy products",$E$2:$E$618,"Supply",$G$2:$G$618,"&lt;&gt;STAT")-SUMIFS($K$2:$K$618,$B$2:$B$618,$B306,$C$2:$C$618,$C306,$D$2:$D$618,"Energy products",$E$2:$E$618,"Use",$G$2:$G$618,"&lt;&gt;STAT",$I$2:$I$618,"&lt;&gt;USO_NO_ENERGETICO_APARENTE",$I$2:$I$618,"&lt;&gt;USO_ENERGETICO_INTERNO_APARENTE"),10),IF(LEFT($H306,5)="STAT_",ROUND(SUMIFS($K$2:$K$618,$B$2:$B$618,$B306,$C$2:$C$618,$C306,$D$2:$D$618,"Energy products",$E$2:$E$618,"Supply",$G$2:$G$618,"&lt;&gt;STAT")-SUMIFS($K$2:$K$618,$B$2:$B$618,$B306,$C$2:$C$618,$C306,$D$2:$D$618,"Energy products",$E$2:$E$618,"Use",$G$2:$G$618,"&lt;&gt;STAT"),10),IF($J306="cambio de signo",-INDEX(DATOS_MODELO!$U$2:$U$3672,MATCH($H306,DATOS_MODELO!$B$2:$B$3672,0)),IF($J306="valor absoluto",ABS(INDEX(DATOS_MODELO!$U$2:$U$3672,MATCH($H306,DATOS_MODELO!$B$2:$B$3672,0))),INDEX(DATOS_MODELO!$U$2:$U$3672,MATCH($H306,DATOS_MODELO!$B$2:$B$3672,0))))))</f>
        <v>78533.2471</v>
      </c>
      <c r="L306" s="8" t="str">
        <f aca="false">IF(LEFT($H306,5)&lt;&gt;"STAT_","",IF(ABS($K306)&lt;=COUNTIFS($B$2:$B$618,$B306,$C$2:$C$618,$C306,$D$2:$D$618,"Energy products",$G$2:$G$618,"&lt;&gt;STAT")*PARAMETROS!$B$6,"redondeo","residuo_estadistico"))</f>
        <v/>
      </c>
      <c r="M306" s="8" t="str">
        <f>IF(OR($I306="USO_NO_ENERGETICO_APARENTE",$I306="USO_ENERGETICO_INTERNO_APARENTE"),"CAL",IF(LEFT($H306,5)="STAT_","FORMULA",IF(COUNTIF(DATOS_MODELO!$B$2:$B$3672,$H306)=1,"OK","REVISAR")))</f>
        <v>OK</v>
      </c>
    </row>
    <row r="307" customFormat="false" ht="15" hidden="false" customHeight="false" outlineLevel="0" collapsed="false">
      <c r="A307" s="4" t="s">
        <v>2683</v>
      </c>
      <c r="B307" s="12" t="n">
        <v>2021</v>
      </c>
      <c r="C307" s="4" t="s">
        <v>97</v>
      </c>
      <c r="D307" s="4" t="s">
        <v>1993</v>
      </c>
      <c r="E307" s="4" t="s">
        <v>2001</v>
      </c>
      <c r="F307" s="4" t="s">
        <v>2002</v>
      </c>
      <c r="G307" s="4" t="s">
        <v>68</v>
      </c>
      <c r="H307" s="4" t="s">
        <v>1072</v>
      </c>
      <c r="I307" s="4" t="s">
        <v>2111</v>
      </c>
      <c r="J307" s="4" t="s">
        <v>1997</v>
      </c>
      <c r="K307" s="14">
        <f>IF(OR($I307="USO_NO_ENERGETICO_APARENTE",$I307="USO_ENERGETICO_INTERNO_APARENTE"),ROUND(SUMIFS($K$2:$K$618,$B$2:$B$618,$B307,$C$2:$C$618,$C307,$D$2:$D$618,"Energy products",$E$2:$E$618,"Supply",$G$2:$G$618,"&lt;&gt;STAT")-SUMIFS($K$2:$K$618,$B$2:$B$618,$B307,$C$2:$C$618,$C307,$D$2:$D$618,"Energy products",$E$2:$E$618,"Use",$G$2:$G$618,"&lt;&gt;STAT",$I$2:$I$618,"&lt;&gt;USO_NO_ENERGETICO_APARENTE",$I$2:$I$618,"&lt;&gt;USO_ENERGETICO_INTERNO_APARENTE"),10),IF(LEFT($H307,5)="STAT_",ROUND(SUMIFS($K$2:$K$618,$B$2:$B$618,$B307,$C$2:$C$618,$C307,$D$2:$D$618,"Energy products",$E$2:$E$618,"Supply",$G$2:$G$618,"&lt;&gt;STAT")-SUMIFS($K$2:$K$618,$B$2:$B$618,$B307,$C$2:$C$618,$C307,$D$2:$D$618,"Energy products",$E$2:$E$618,"Use",$G$2:$G$618,"&lt;&gt;STAT"),10),IF($J307="cambio de signo",-INDEX(DATOS_MODELO!$U$2:$U$3672,MATCH($H307,DATOS_MODELO!$B$2:$B$3672,0)),IF($J307="valor absoluto",ABS(INDEX(DATOS_MODELO!$U$2:$U$3672,MATCH($H307,DATOS_MODELO!$B$2:$B$3672,0))),INDEX(DATOS_MODELO!$U$2:$U$3672,MATCH($H307,DATOS_MODELO!$B$2:$B$3672,0))))))</f>
        <v>6828.9578</v>
      </c>
      <c r="L307" s="8" t="str">
        <f aca="false">IF(LEFT($H307,5)&lt;&gt;"STAT_","",IF(ABS($K307)&lt;=COUNTIFS($B$2:$B$618,$B307,$C$2:$C$618,$C307,$D$2:$D$618,"Energy products",$G$2:$G$618,"&lt;&gt;STAT")*PARAMETROS!$B$6,"redondeo","residuo_estadistico"))</f>
        <v/>
      </c>
      <c r="M307" s="8" t="str">
        <f>IF(OR($I307="USO_NO_ENERGETICO_APARENTE",$I307="USO_ENERGETICO_INTERNO_APARENTE"),"CAL",IF(LEFT($H307,5)="STAT_","FORMULA",IF(COUNTIF(DATOS_MODELO!$B$2:$B$3672,$H307)=1,"OK","REVISAR")))</f>
        <v>OK</v>
      </c>
    </row>
    <row r="308" customFormat="false" ht="15" hidden="false" customHeight="false" outlineLevel="0" collapsed="false">
      <c r="A308" s="4" t="s">
        <v>2685</v>
      </c>
      <c r="B308" s="12" t="n">
        <v>2021</v>
      </c>
      <c r="C308" s="4" t="s">
        <v>99</v>
      </c>
      <c r="D308" s="4" t="s">
        <v>1993</v>
      </c>
      <c r="E308" s="4" t="s">
        <v>1994</v>
      </c>
      <c r="F308" s="4" t="s">
        <v>2029</v>
      </c>
      <c r="G308" s="4" t="s">
        <v>69</v>
      </c>
      <c r="H308" s="4" t="s">
        <v>1076</v>
      </c>
      <c r="I308" s="4" t="s">
        <v>2030</v>
      </c>
      <c r="J308" s="4" t="s">
        <v>1997</v>
      </c>
      <c r="K308" s="14">
        <f>IF(OR($I308="USO_NO_ENERGETICO_APARENTE",$I308="USO_ENERGETICO_INTERNO_APARENTE"),ROUND(SUMIFS($K$2:$K$618,$B$2:$B$618,$B308,$C$2:$C$618,$C308,$D$2:$D$618,"Energy products",$E$2:$E$618,"Supply",$G$2:$G$618,"&lt;&gt;STAT")-SUMIFS($K$2:$K$618,$B$2:$B$618,$B308,$C$2:$C$618,$C308,$D$2:$D$618,"Energy products",$E$2:$E$618,"Use",$G$2:$G$618,"&lt;&gt;STAT",$I$2:$I$618,"&lt;&gt;USO_NO_ENERGETICO_APARENTE",$I$2:$I$618,"&lt;&gt;USO_ENERGETICO_INTERNO_APARENTE"),10),IF(LEFT($H308,5)="STAT_",ROUND(SUMIFS($K$2:$K$618,$B$2:$B$618,$B308,$C$2:$C$618,$C308,$D$2:$D$618,"Energy products",$E$2:$E$618,"Supply",$G$2:$G$618,"&lt;&gt;STAT")-SUMIFS($K$2:$K$618,$B$2:$B$618,$B308,$C$2:$C$618,$C308,$D$2:$D$618,"Energy products",$E$2:$E$618,"Use",$G$2:$G$618,"&lt;&gt;STAT"),10),IF($J308="cambio de signo",-INDEX(DATOS_MODELO!$U$2:$U$3672,MATCH($H308,DATOS_MODELO!$B$2:$B$3672,0)),IF($J308="valor absoluto",ABS(INDEX(DATOS_MODELO!$U$2:$U$3672,MATCH($H308,DATOS_MODELO!$B$2:$B$3672,0))),INDEX(DATOS_MODELO!$U$2:$U$3672,MATCH($H308,DATOS_MODELO!$B$2:$B$3672,0))))))</f>
        <v>4107.2633</v>
      </c>
      <c r="L308" s="8" t="str">
        <f aca="false">IF(LEFT($H308,5)&lt;&gt;"STAT_","",IF(ABS($K308)&lt;=COUNTIFS($B$2:$B$618,$B308,$C$2:$C$618,$C308,$D$2:$D$618,"Energy products",$G$2:$G$618,"&lt;&gt;STAT")*PARAMETROS!$B$6,"redondeo","residuo_estadistico"))</f>
        <v/>
      </c>
      <c r="M308" s="8" t="str">
        <f>IF(OR($I308="USO_NO_ENERGETICO_APARENTE",$I308="USO_ENERGETICO_INTERNO_APARENTE"),"CAL",IF(LEFT($H308,5)="STAT_","FORMULA",IF(COUNTIF(DATOS_MODELO!$B$2:$B$3672,$H308)=1,"OK","REVISAR")))</f>
        <v>OK</v>
      </c>
    </row>
    <row r="309" customFormat="false" ht="15" hidden="false" customHeight="false" outlineLevel="0" collapsed="false">
      <c r="A309" s="4" t="s">
        <v>2687</v>
      </c>
      <c r="B309" s="12" t="n">
        <v>2021</v>
      </c>
      <c r="C309" s="4" t="s">
        <v>99</v>
      </c>
      <c r="D309" s="4" t="s">
        <v>1993</v>
      </c>
      <c r="E309" s="4" t="s">
        <v>2001</v>
      </c>
      <c r="F309" s="4" t="s">
        <v>2091</v>
      </c>
      <c r="G309" s="4" t="s">
        <v>69</v>
      </c>
      <c r="H309" s="4" t="s">
        <v>1077</v>
      </c>
      <c r="I309" s="4" t="s">
        <v>2030</v>
      </c>
      <c r="J309" s="4" t="s">
        <v>1997</v>
      </c>
      <c r="K309" s="14">
        <f>IF(OR($I309="USO_NO_ENERGETICO_APARENTE",$I309="USO_ENERGETICO_INTERNO_APARENTE"),ROUND(SUMIFS($K$2:$K$618,$B$2:$B$618,$B309,$C$2:$C$618,$C309,$D$2:$D$618,"Energy products",$E$2:$E$618,"Supply",$G$2:$G$618,"&lt;&gt;STAT")-SUMIFS($K$2:$K$618,$B$2:$B$618,$B309,$C$2:$C$618,$C309,$D$2:$D$618,"Energy products",$E$2:$E$618,"Use",$G$2:$G$618,"&lt;&gt;STAT",$I$2:$I$618,"&lt;&gt;USO_NO_ENERGETICO_APARENTE",$I$2:$I$618,"&lt;&gt;USO_ENERGETICO_INTERNO_APARENTE"),10),IF(LEFT($H309,5)="STAT_",ROUND(SUMIFS($K$2:$K$618,$B$2:$B$618,$B309,$C$2:$C$618,$C309,$D$2:$D$618,"Energy products",$E$2:$E$618,"Supply",$G$2:$G$618,"&lt;&gt;STAT")-SUMIFS($K$2:$K$618,$B$2:$B$618,$B309,$C$2:$C$618,$C309,$D$2:$D$618,"Energy products",$E$2:$E$618,"Use",$G$2:$G$618,"&lt;&gt;STAT"),10),IF($J309="cambio de signo",-INDEX(DATOS_MODELO!$U$2:$U$3672,MATCH($H309,DATOS_MODELO!$B$2:$B$3672,0)),IF($J309="valor absoluto",ABS(INDEX(DATOS_MODELO!$U$2:$U$3672,MATCH($H309,DATOS_MODELO!$B$2:$B$3672,0))),INDEX(DATOS_MODELO!$U$2:$U$3672,MATCH($H309,DATOS_MODELO!$B$2:$B$3672,0))))))</f>
        <v>4016.5692</v>
      </c>
      <c r="L309" s="8" t="str">
        <f aca="false">IF(LEFT($H309,5)&lt;&gt;"STAT_","",IF(ABS($K309)&lt;=COUNTIFS($B$2:$B$618,$B309,$C$2:$C$618,$C309,$D$2:$D$618,"Energy products",$G$2:$G$618,"&lt;&gt;STAT")*PARAMETROS!$B$6,"redondeo","residuo_estadistico"))</f>
        <v/>
      </c>
      <c r="M309" s="8" t="str">
        <f>IF(OR($I309="USO_NO_ENERGETICO_APARENTE",$I309="USO_ENERGETICO_INTERNO_APARENTE"),"CAL",IF(LEFT($H309,5)="STAT_","FORMULA",IF(COUNTIF(DATOS_MODELO!$B$2:$B$3672,$H309)=1,"OK","REVISAR")))</f>
        <v>OK</v>
      </c>
    </row>
    <row r="310" customFormat="false" ht="15" hidden="false" customHeight="false" outlineLevel="0" collapsed="false">
      <c r="A310" s="4" t="s">
        <v>2689</v>
      </c>
      <c r="B310" s="12" t="n">
        <v>2021</v>
      </c>
      <c r="C310" s="4" t="s">
        <v>99</v>
      </c>
      <c r="D310" s="4" t="s">
        <v>1993</v>
      </c>
      <c r="E310" s="4" t="s">
        <v>1994</v>
      </c>
      <c r="F310" s="4" t="s">
        <v>1995</v>
      </c>
      <c r="G310" s="4" t="s">
        <v>67</v>
      </c>
      <c r="H310" s="4" t="s">
        <v>1080</v>
      </c>
      <c r="I310" s="4" t="s">
        <v>2003</v>
      </c>
      <c r="J310" s="4" t="s">
        <v>1997</v>
      </c>
      <c r="K310" s="14">
        <f>IF(OR($I310="USO_NO_ENERGETICO_APARENTE",$I310="USO_ENERGETICO_INTERNO_APARENTE"),ROUND(SUMIFS($K$2:$K$618,$B$2:$B$618,$B310,$C$2:$C$618,$C310,$D$2:$D$618,"Energy products",$E$2:$E$618,"Supply",$G$2:$G$618,"&lt;&gt;STAT")-SUMIFS($K$2:$K$618,$B$2:$B$618,$B310,$C$2:$C$618,$C310,$D$2:$D$618,"Energy products",$E$2:$E$618,"Use",$G$2:$G$618,"&lt;&gt;STAT",$I$2:$I$618,"&lt;&gt;USO_NO_ENERGETICO_APARENTE",$I$2:$I$618,"&lt;&gt;USO_ENERGETICO_INTERNO_APARENTE"),10),IF(LEFT($H310,5)="STAT_",ROUND(SUMIFS($K$2:$K$618,$B$2:$B$618,$B310,$C$2:$C$618,$C310,$D$2:$D$618,"Energy products",$E$2:$E$618,"Supply",$G$2:$G$618,"&lt;&gt;STAT")-SUMIFS($K$2:$K$618,$B$2:$B$618,$B310,$C$2:$C$618,$C310,$D$2:$D$618,"Energy products",$E$2:$E$618,"Use",$G$2:$G$618,"&lt;&gt;STAT"),10),IF($J310="cambio de signo",-INDEX(DATOS_MODELO!$U$2:$U$3672,MATCH($H310,DATOS_MODELO!$B$2:$B$3672,0)),IF($J310="valor absoluto",ABS(INDEX(DATOS_MODELO!$U$2:$U$3672,MATCH($H310,DATOS_MODELO!$B$2:$B$3672,0))),INDEX(DATOS_MODELO!$U$2:$U$3672,MATCH($H310,DATOS_MODELO!$B$2:$B$3672,0))))))</f>
        <v>47888.344</v>
      </c>
      <c r="L310" s="8" t="str">
        <f aca="false">IF(LEFT($H310,5)&lt;&gt;"STAT_","",IF(ABS($K310)&lt;=COUNTIFS($B$2:$B$618,$B310,$C$2:$C$618,$C310,$D$2:$D$618,"Energy products",$G$2:$G$618,"&lt;&gt;STAT")*PARAMETROS!$B$6,"redondeo","residuo_estadistico"))</f>
        <v/>
      </c>
      <c r="M310" s="8" t="str">
        <f>IF(OR($I310="USO_NO_ENERGETICO_APARENTE",$I310="USO_ENERGETICO_INTERNO_APARENTE"),"CAL",IF(LEFT($H310,5)="STAT_","FORMULA",IF(COUNTIF(DATOS_MODELO!$B$2:$B$3672,$H310)=1,"OK","REVISAR")))</f>
        <v>OK</v>
      </c>
    </row>
    <row r="311" customFormat="false" ht="15" hidden="false" customHeight="false" outlineLevel="0" collapsed="false">
      <c r="A311" s="4" t="s">
        <v>2691</v>
      </c>
      <c r="B311" s="12" t="n">
        <v>2021</v>
      </c>
      <c r="C311" s="4" t="s">
        <v>99</v>
      </c>
      <c r="D311" s="4" t="s">
        <v>1993</v>
      </c>
      <c r="E311" s="4" t="s">
        <v>1994</v>
      </c>
      <c r="F311" s="4" t="s">
        <v>1995</v>
      </c>
      <c r="G311" s="4" t="s">
        <v>67</v>
      </c>
      <c r="H311" s="4" t="s">
        <v>1081</v>
      </c>
      <c r="I311" s="4" t="s">
        <v>2008</v>
      </c>
      <c r="J311" s="4" t="s">
        <v>1997</v>
      </c>
      <c r="K311" s="14">
        <f>IF(OR($I311="USO_NO_ENERGETICO_APARENTE",$I311="USO_ENERGETICO_INTERNO_APARENTE"),ROUND(SUMIFS($K$2:$K$618,$B$2:$B$618,$B311,$C$2:$C$618,$C311,$D$2:$D$618,"Energy products",$E$2:$E$618,"Supply",$G$2:$G$618,"&lt;&gt;STAT")-SUMIFS($K$2:$K$618,$B$2:$B$618,$B311,$C$2:$C$618,$C311,$D$2:$D$618,"Energy products",$E$2:$E$618,"Use",$G$2:$G$618,"&lt;&gt;STAT",$I$2:$I$618,"&lt;&gt;USO_NO_ENERGETICO_APARENTE",$I$2:$I$618,"&lt;&gt;USO_ENERGETICO_INTERNO_APARENTE"),10),IF(LEFT($H311,5)="STAT_",ROUND(SUMIFS($K$2:$K$618,$B$2:$B$618,$B311,$C$2:$C$618,$C311,$D$2:$D$618,"Energy products",$E$2:$E$618,"Supply",$G$2:$G$618,"&lt;&gt;STAT")-SUMIFS($K$2:$K$618,$B$2:$B$618,$B311,$C$2:$C$618,$C311,$D$2:$D$618,"Energy products",$E$2:$E$618,"Use",$G$2:$G$618,"&lt;&gt;STAT"),10),IF($J311="cambio de signo",-INDEX(DATOS_MODELO!$U$2:$U$3672,MATCH($H311,DATOS_MODELO!$B$2:$B$3672,0)),IF($J311="valor absoluto",ABS(INDEX(DATOS_MODELO!$U$2:$U$3672,MATCH($H311,DATOS_MODELO!$B$2:$B$3672,0))),INDEX(DATOS_MODELO!$U$2:$U$3672,MATCH($H311,DATOS_MODELO!$B$2:$B$3672,0))))))</f>
        <v>3906.4697</v>
      </c>
      <c r="L311" s="8" t="str">
        <f aca="false">IF(LEFT($H311,5)&lt;&gt;"STAT_","",IF(ABS($K311)&lt;=COUNTIFS($B$2:$B$618,$B311,$C$2:$C$618,$C311,$D$2:$D$618,"Energy products",$G$2:$G$618,"&lt;&gt;STAT")*PARAMETROS!$B$6,"redondeo","residuo_estadistico"))</f>
        <v/>
      </c>
      <c r="M311" s="8" t="str">
        <f>IF(OR($I311="USO_NO_ENERGETICO_APARENTE",$I311="USO_ENERGETICO_INTERNO_APARENTE"),"CAL",IF(LEFT($H311,5)="STAT_","FORMULA",IF(COUNTIF(DATOS_MODELO!$B$2:$B$3672,$H311)=1,"OK","REVISAR")))</f>
        <v>OK</v>
      </c>
    </row>
    <row r="312" customFormat="false" ht="15" hidden="false" customHeight="false" outlineLevel="0" collapsed="false">
      <c r="A312" s="4" t="s">
        <v>2693</v>
      </c>
      <c r="B312" s="12" t="n">
        <v>2021</v>
      </c>
      <c r="C312" s="4" t="s">
        <v>99</v>
      </c>
      <c r="D312" s="4" t="s">
        <v>1993</v>
      </c>
      <c r="E312" s="4" t="s">
        <v>2001</v>
      </c>
      <c r="F312" s="4" t="s">
        <v>2002</v>
      </c>
      <c r="G312" s="4" t="s">
        <v>67</v>
      </c>
      <c r="H312" s="4" t="s">
        <v>1082</v>
      </c>
      <c r="I312" s="4" t="s">
        <v>2139</v>
      </c>
      <c r="J312" s="4" t="s">
        <v>1997</v>
      </c>
      <c r="K312" s="14">
        <f>IF(OR($I312="USO_NO_ENERGETICO_APARENTE",$I312="USO_ENERGETICO_INTERNO_APARENTE"),ROUND(SUMIFS($K$2:$K$618,$B$2:$B$618,$B312,$C$2:$C$618,$C312,$D$2:$D$618,"Energy products",$E$2:$E$618,"Supply",$G$2:$G$618,"&lt;&gt;STAT")-SUMIFS($K$2:$K$618,$B$2:$B$618,$B312,$C$2:$C$618,$C312,$D$2:$D$618,"Energy products",$E$2:$E$618,"Use",$G$2:$G$618,"&lt;&gt;STAT",$I$2:$I$618,"&lt;&gt;USO_NO_ENERGETICO_APARENTE",$I$2:$I$618,"&lt;&gt;USO_ENERGETICO_INTERNO_APARENTE"),10),IF(LEFT($H312,5)="STAT_",ROUND(SUMIFS($K$2:$K$618,$B$2:$B$618,$B312,$C$2:$C$618,$C312,$D$2:$D$618,"Energy products",$E$2:$E$618,"Supply",$G$2:$G$618,"&lt;&gt;STAT")-SUMIFS($K$2:$K$618,$B$2:$B$618,$B312,$C$2:$C$618,$C312,$D$2:$D$618,"Energy products",$E$2:$E$618,"Use",$G$2:$G$618,"&lt;&gt;STAT"),10),IF($J312="cambio de signo",-INDEX(DATOS_MODELO!$U$2:$U$3672,MATCH($H312,DATOS_MODELO!$B$2:$B$3672,0)),IF($J312="valor absoluto",ABS(INDEX(DATOS_MODELO!$U$2:$U$3672,MATCH($H312,DATOS_MODELO!$B$2:$B$3672,0))),INDEX(DATOS_MODELO!$U$2:$U$3672,MATCH($H312,DATOS_MODELO!$B$2:$B$3672,0))))))</f>
        <v>3389.554</v>
      </c>
      <c r="L312" s="8" t="str">
        <f aca="false">IF(LEFT($H312,5)&lt;&gt;"STAT_","",IF(ABS($K312)&lt;=COUNTIFS($B$2:$B$618,$B312,$C$2:$C$618,$C312,$D$2:$D$618,"Energy products",$G$2:$G$618,"&lt;&gt;STAT")*PARAMETROS!$B$6,"redondeo","residuo_estadistico"))</f>
        <v/>
      </c>
      <c r="M312" s="8" t="str">
        <f>IF(OR($I312="USO_NO_ENERGETICO_APARENTE",$I312="USO_ENERGETICO_INTERNO_APARENTE"),"CAL",IF(LEFT($H312,5)="STAT_","FORMULA",IF(COUNTIF(DATOS_MODELO!$B$2:$B$3672,$H312)=1,"OK","REVISAR")))</f>
        <v>OK</v>
      </c>
    </row>
    <row r="313" customFormat="false" ht="15" hidden="false" customHeight="false" outlineLevel="0" collapsed="false">
      <c r="A313" s="4" t="s">
        <v>2695</v>
      </c>
      <c r="B313" s="12" t="n">
        <v>2021</v>
      </c>
      <c r="C313" s="4" t="s">
        <v>99</v>
      </c>
      <c r="D313" s="4" t="s">
        <v>1993</v>
      </c>
      <c r="E313" s="4" t="s">
        <v>2001</v>
      </c>
      <c r="F313" s="4" t="s">
        <v>2074</v>
      </c>
      <c r="G313" s="4" t="s">
        <v>73</v>
      </c>
      <c r="H313" s="4" t="s">
        <v>1084</v>
      </c>
      <c r="I313" s="4" t="s">
        <v>2075</v>
      </c>
      <c r="J313" s="4" t="s">
        <v>1997</v>
      </c>
      <c r="K313" s="14">
        <f>IF(OR($I313="USO_NO_ENERGETICO_APARENTE",$I313="USO_ENERGETICO_INTERNO_APARENTE"),ROUND(SUMIFS($K$2:$K$618,$B$2:$B$618,$B313,$C$2:$C$618,$C313,$D$2:$D$618,"Energy products",$E$2:$E$618,"Supply",$G$2:$G$618,"&lt;&gt;STAT")-SUMIFS($K$2:$K$618,$B$2:$B$618,$B313,$C$2:$C$618,$C313,$D$2:$D$618,"Energy products",$E$2:$E$618,"Use",$G$2:$G$618,"&lt;&gt;STAT",$I$2:$I$618,"&lt;&gt;USO_NO_ENERGETICO_APARENTE",$I$2:$I$618,"&lt;&gt;USO_ENERGETICO_INTERNO_APARENTE"),10),IF(LEFT($H313,5)="STAT_",ROUND(SUMIFS($K$2:$K$618,$B$2:$B$618,$B313,$C$2:$C$618,$C313,$D$2:$D$618,"Energy products",$E$2:$E$618,"Supply",$G$2:$G$618,"&lt;&gt;STAT")-SUMIFS($K$2:$K$618,$B$2:$B$618,$B313,$C$2:$C$618,$C313,$D$2:$D$618,"Energy products",$E$2:$E$618,"Use",$G$2:$G$618,"&lt;&gt;STAT"),10),IF($J313="cambio de signo",-INDEX(DATOS_MODELO!$U$2:$U$3672,MATCH($H313,DATOS_MODELO!$B$2:$B$3672,0)),IF($J313="valor absoluto",ABS(INDEX(DATOS_MODELO!$U$2:$U$3672,MATCH($H313,DATOS_MODELO!$B$2:$B$3672,0))),INDEX(DATOS_MODELO!$U$2:$U$3672,MATCH($H313,DATOS_MODELO!$B$2:$B$3672,0))))))</f>
        <v>15336.7732</v>
      </c>
      <c r="L313" s="8" t="str">
        <f aca="false">IF(LEFT($H313,5)&lt;&gt;"STAT_","",IF(ABS($K313)&lt;=COUNTIFS($B$2:$B$618,$B313,$C$2:$C$618,$C313,$D$2:$D$618,"Energy products",$G$2:$G$618,"&lt;&gt;STAT")*PARAMETROS!$B$6,"redondeo","residuo_estadistico"))</f>
        <v/>
      </c>
      <c r="M313" s="8" t="str">
        <f>IF(OR($I313="USO_NO_ENERGETICO_APARENTE",$I313="USO_ENERGETICO_INTERNO_APARENTE"),"CAL",IF(LEFT($H313,5)="STAT_","FORMULA",IF(COUNTIF(DATOS_MODELO!$B$2:$B$3672,$H313)=1,"OK","REVISAR")))</f>
        <v>OK</v>
      </c>
    </row>
    <row r="314" customFormat="false" ht="15" hidden="false" customHeight="false" outlineLevel="0" collapsed="false">
      <c r="A314" s="4" t="s">
        <v>2697</v>
      </c>
      <c r="B314" s="12" t="n">
        <v>2021</v>
      </c>
      <c r="C314" s="4" t="s">
        <v>99</v>
      </c>
      <c r="D314" s="4" t="s">
        <v>1993</v>
      </c>
      <c r="E314" s="4" t="s">
        <v>2001</v>
      </c>
      <c r="F314" s="4" t="s">
        <v>2002</v>
      </c>
      <c r="G314" s="4" t="s">
        <v>72</v>
      </c>
      <c r="H314" s="4" t="s">
        <v>1085</v>
      </c>
      <c r="I314" s="4" t="s">
        <v>2079</v>
      </c>
      <c r="J314" s="4" t="s">
        <v>1997</v>
      </c>
      <c r="K314" s="14">
        <f>IF(OR($I314="USO_NO_ENERGETICO_APARENTE",$I314="USO_ENERGETICO_INTERNO_APARENTE"),ROUND(SUMIFS($K$2:$K$618,$B$2:$B$618,$B314,$C$2:$C$618,$C314,$D$2:$D$618,"Energy products",$E$2:$E$618,"Supply",$G$2:$G$618,"&lt;&gt;STAT")-SUMIFS($K$2:$K$618,$B$2:$B$618,$B314,$C$2:$C$618,$C314,$D$2:$D$618,"Energy products",$E$2:$E$618,"Use",$G$2:$G$618,"&lt;&gt;STAT",$I$2:$I$618,"&lt;&gt;USO_NO_ENERGETICO_APARENTE",$I$2:$I$618,"&lt;&gt;USO_ENERGETICO_INTERNO_APARENTE"),10),IF(LEFT($H314,5)="STAT_",ROUND(SUMIFS($K$2:$K$618,$B$2:$B$618,$B314,$C$2:$C$618,$C314,$D$2:$D$618,"Energy products",$E$2:$E$618,"Supply",$G$2:$G$618,"&lt;&gt;STAT")-SUMIFS($K$2:$K$618,$B$2:$B$618,$B314,$C$2:$C$618,$C314,$D$2:$D$618,"Energy products",$E$2:$E$618,"Use",$G$2:$G$618,"&lt;&gt;STAT"),10),IF($J314="cambio de signo",-INDEX(DATOS_MODELO!$U$2:$U$3672,MATCH($H314,DATOS_MODELO!$B$2:$B$3672,0)),IF($J314="valor absoluto",ABS(INDEX(DATOS_MODELO!$U$2:$U$3672,MATCH($H314,DATOS_MODELO!$B$2:$B$3672,0))),INDEX(DATOS_MODELO!$U$2:$U$3672,MATCH($H314,DATOS_MODELO!$B$2:$B$3672,0))))))</f>
        <v>10818.4524</v>
      </c>
      <c r="L314" s="8" t="str">
        <f aca="false">IF(LEFT($H314,5)&lt;&gt;"STAT_","",IF(ABS($K314)&lt;=COUNTIFS($B$2:$B$618,$B314,$C$2:$C$618,$C314,$D$2:$D$618,"Energy products",$G$2:$G$618,"&lt;&gt;STAT")*PARAMETROS!$B$6,"redondeo","residuo_estadistico"))</f>
        <v/>
      </c>
      <c r="M314" s="8" t="str">
        <f>IF(OR($I314="USO_NO_ENERGETICO_APARENTE",$I314="USO_ENERGETICO_INTERNO_APARENTE"),"CAL",IF(LEFT($H314,5)="STAT_","FORMULA",IF(COUNTIF(DATOS_MODELO!$B$2:$B$3672,$H314)=1,"OK","REVISAR")))</f>
        <v>OK</v>
      </c>
    </row>
    <row r="315" customFormat="false" ht="15" hidden="false" customHeight="false" outlineLevel="0" collapsed="false">
      <c r="A315" s="4" t="s">
        <v>2699</v>
      </c>
      <c r="B315" s="12" t="n">
        <v>2021</v>
      </c>
      <c r="C315" s="4" t="s">
        <v>99</v>
      </c>
      <c r="D315" s="4" t="s">
        <v>1993</v>
      </c>
      <c r="E315" s="4" t="s">
        <v>2001</v>
      </c>
      <c r="F315" s="4" t="s">
        <v>2002</v>
      </c>
      <c r="G315" s="4" t="s">
        <v>68</v>
      </c>
      <c r="H315" s="4" t="s">
        <v>1086</v>
      </c>
      <c r="I315" s="4" t="s">
        <v>2111</v>
      </c>
      <c r="J315" s="4" t="s">
        <v>1997</v>
      </c>
      <c r="K315" s="14">
        <f>IF(OR($I315="USO_NO_ENERGETICO_APARENTE",$I315="USO_ENERGETICO_INTERNO_APARENTE"),ROUND(SUMIFS($K$2:$K$618,$B$2:$B$618,$B315,$C$2:$C$618,$C315,$D$2:$D$618,"Energy products",$E$2:$E$618,"Supply",$G$2:$G$618,"&lt;&gt;STAT")-SUMIFS($K$2:$K$618,$B$2:$B$618,$B315,$C$2:$C$618,$C315,$D$2:$D$618,"Energy products",$E$2:$E$618,"Use",$G$2:$G$618,"&lt;&gt;STAT",$I$2:$I$618,"&lt;&gt;USO_NO_ENERGETICO_APARENTE",$I$2:$I$618,"&lt;&gt;USO_ENERGETICO_INTERNO_APARENTE"),10),IF(LEFT($H315,5)="STAT_",ROUND(SUMIFS($K$2:$K$618,$B$2:$B$618,$B315,$C$2:$C$618,$C315,$D$2:$D$618,"Energy products",$E$2:$E$618,"Supply",$G$2:$G$618,"&lt;&gt;STAT")-SUMIFS($K$2:$K$618,$B$2:$B$618,$B315,$C$2:$C$618,$C315,$D$2:$D$618,"Energy products",$E$2:$E$618,"Use",$G$2:$G$618,"&lt;&gt;STAT"),10),IF($J315="cambio de signo",-INDEX(DATOS_MODELO!$U$2:$U$3672,MATCH($H315,DATOS_MODELO!$B$2:$B$3672,0)),IF($J315="valor absoluto",ABS(INDEX(DATOS_MODELO!$U$2:$U$3672,MATCH($H315,DATOS_MODELO!$B$2:$B$3672,0))),INDEX(DATOS_MODELO!$U$2:$U$3672,MATCH($H315,DATOS_MODELO!$B$2:$B$3672,0))))))</f>
        <v>16180.269</v>
      </c>
      <c r="L315" s="8" t="str">
        <f aca="false">IF(LEFT($H315,5)&lt;&gt;"STAT_","",IF(ABS($K315)&lt;=COUNTIFS($B$2:$B$618,$B315,$C$2:$C$618,$C315,$D$2:$D$618,"Energy products",$G$2:$G$618,"&lt;&gt;STAT")*PARAMETROS!$B$6,"redondeo","residuo_estadistico"))</f>
        <v/>
      </c>
      <c r="M315" s="8" t="str">
        <f>IF(OR($I315="USO_NO_ENERGETICO_APARENTE",$I315="USO_ENERGETICO_INTERNO_APARENTE"),"CAL",IF(LEFT($H315,5)="STAT_","FORMULA",IF(COUNTIF(DATOS_MODELO!$B$2:$B$3672,$H315)=1,"OK","REVISAR")))</f>
        <v>OK</v>
      </c>
    </row>
    <row r="316" customFormat="false" ht="15" hidden="false" customHeight="false" outlineLevel="0" collapsed="false">
      <c r="A316" s="4" t="s">
        <v>2701</v>
      </c>
      <c r="B316" s="12" t="n">
        <v>2021</v>
      </c>
      <c r="C316" s="4" t="s">
        <v>99</v>
      </c>
      <c r="D316" s="4" t="s">
        <v>1993</v>
      </c>
      <c r="E316" s="4" t="s">
        <v>2001</v>
      </c>
      <c r="F316" s="4" t="s">
        <v>2002</v>
      </c>
      <c r="G316" s="4" t="s">
        <v>67</v>
      </c>
      <c r="H316" s="4" t="s">
        <v>1088</v>
      </c>
      <c r="I316" s="4" t="s">
        <v>2151</v>
      </c>
      <c r="J316" s="4" t="s">
        <v>1997</v>
      </c>
      <c r="K316" s="14">
        <f>IF(OR($I316="USO_NO_ENERGETICO_APARENTE",$I316="USO_ENERGETICO_INTERNO_APARENTE"),ROUND(SUMIFS($K$2:$K$618,$B$2:$B$618,$B316,$C$2:$C$618,$C316,$D$2:$D$618,"Energy products",$E$2:$E$618,"Supply",$G$2:$G$618,"&lt;&gt;STAT")-SUMIFS($K$2:$K$618,$B$2:$B$618,$B316,$C$2:$C$618,$C316,$D$2:$D$618,"Energy products",$E$2:$E$618,"Use",$G$2:$G$618,"&lt;&gt;STAT",$I$2:$I$618,"&lt;&gt;USO_NO_ENERGETICO_APARENTE",$I$2:$I$618,"&lt;&gt;USO_ENERGETICO_INTERNO_APARENTE"),10),IF(LEFT($H316,5)="STAT_",ROUND(SUMIFS($K$2:$K$618,$B$2:$B$618,$B316,$C$2:$C$618,$C316,$D$2:$D$618,"Energy products",$E$2:$E$618,"Supply",$G$2:$G$618,"&lt;&gt;STAT")-SUMIFS($K$2:$K$618,$B$2:$B$618,$B316,$C$2:$C$618,$C316,$D$2:$D$618,"Energy products",$E$2:$E$618,"Use",$G$2:$G$618,"&lt;&gt;STAT"),10),IF($J316="cambio de signo",-INDEX(DATOS_MODELO!$U$2:$U$3672,MATCH($H316,DATOS_MODELO!$B$2:$B$3672,0)),IF($J316="valor absoluto",ABS(INDEX(DATOS_MODELO!$U$2:$U$3672,MATCH($H316,DATOS_MODELO!$B$2:$B$3672,0))),INDEX(DATOS_MODELO!$U$2:$U$3672,MATCH($H316,DATOS_MODELO!$B$2:$B$3672,0))))))</f>
        <v>6160.343</v>
      </c>
      <c r="L316" s="8" t="str">
        <f aca="false">IF(LEFT($H316,5)&lt;&gt;"STAT_","",IF(ABS($K316)&lt;=COUNTIFS($B$2:$B$618,$B316,$C$2:$C$618,$C316,$D$2:$D$618,"Energy products",$G$2:$G$618,"&lt;&gt;STAT")*PARAMETROS!$B$6,"redondeo","residuo_estadistico"))</f>
        <v/>
      </c>
      <c r="M316" s="8" t="str">
        <f>IF(OR($I316="USO_NO_ENERGETICO_APARENTE",$I316="USO_ENERGETICO_INTERNO_APARENTE"),"CAL",IF(LEFT($H316,5)="STAT_","FORMULA",IF(COUNTIF(DATOS_MODELO!$B$2:$B$3672,$H316)=1,"OK","REVISAR")))</f>
        <v>OK</v>
      </c>
    </row>
    <row r="317" customFormat="false" ht="15" hidden="false" customHeight="false" outlineLevel="0" collapsed="false">
      <c r="A317" s="4" t="s">
        <v>2703</v>
      </c>
      <c r="B317" s="12" t="n">
        <v>2021</v>
      </c>
      <c r="C317" s="4" t="s">
        <v>99</v>
      </c>
      <c r="D317" s="4" t="s">
        <v>2155</v>
      </c>
      <c r="E317" s="4" t="s">
        <v>1994</v>
      </c>
      <c r="F317" s="4" t="s">
        <v>2156</v>
      </c>
      <c r="G317" s="4" t="s">
        <v>67</v>
      </c>
      <c r="H317" s="4" t="s">
        <v>1088</v>
      </c>
      <c r="I317" s="4" t="s">
        <v>2151</v>
      </c>
      <c r="J317" s="4" t="s">
        <v>1997</v>
      </c>
      <c r="K317" s="14">
        <f>IF(OR($I317="USO_NO_ENERGETICO_APARENTE",$I317="USO_ENERGETICO_INTERNO_APARENTE"),ROUND(SUMIFS($K$2:$K$618,$B$2:$B$618,$B317,$C$2:$C$618,$C317,$D$2:$D$618,"Energy products",$E$2:$E$618,"Supply",$G$2:$G$618,"&lt;&gt;STAT")-SUMIFS($K$2:$K$618,$B$2:$B$618,$B317,$C$2:$C$618,$C317,$D$2:$D$618,"Energy products",$E$2:$E$618,"Use",$G$2:$G$618,"&lt;&gt;STAT",$I$2:$I$618,"&lt;&gt;USO_NO_ENERGETICO_APARENTE",$I$2:$I$618,"&lt;&gt;USO_ENERGETICO_INTERNO_APARENTE"),10),IF(LEFT($H317,5)="STAT_",ROUND(SUMIFS($K$2:$K$618,$B$2:$B$618,$B317,$C$2:$C$618,$C317,$D$2:$D$618,"Energy products",$E$2:$E$618,"Supply",$G$2:$G$618,"&lt;&gt;STAT")-SUMIFS($K$2:$K$618,$B$2:$B$618,$B317,$C$2:$C$618,$C317,$D$2:$D$618,"Energy products",$E$2:$E$618,"Use",$G$2:$G$618,"&lt;&gt;STAT"),10),IF($J317="cambio de signo",-INDEX(DATOS_MODELO!$U$2:$U$3672,MATCH($H317,DATOS_MODELO!$B$2:$B$3672,0)),IF($J317="valor absoluto",ABS(INDEX(DATOS_MODELO!$U$2:$U$3672,MATCH($H317,DATOS_MODELO!$B$2:$B$3672,0))),INDEX(DATOS_MODELO!$U$2:$U$3672,MATCH($H317,DATOS_MODELO!$B$2:$B$3672,0))))))</f>
        <v>6160.343</v>
      </c>
      <c r="L317" s="8" t="str">
        <f aca="false">IF(LEFT($H317,5)&lt;&gt;"STAT_","",IF(ABS($K317)&lt;=COUNTIFS($B$2:$B$618,$B317,$C$2:$C$618,$C317,$D$2:$D$618,"Energy products",$G$2:$G$618,"&lt;&gt;STAT")*PARAMETROS!$B$6,"redondeo","residuo_estadistico"))</f>
        <v/>
      </c>
      <c r="M317" s="8" t="str">
        <f>IF(OR($I317="USO_NO_ENERGETICO_APARENTE",$I317="USO_ENERGETICO_INTERNO_APARENTE"),"CAL",IF(LEFT($H317,5)="STAT_","FORMULA",IF(COUNTIF(DATOS_MODELO!$B$2:$B$3672,$H317)=1,"OK","REVISAR")))</f>
        <v>OK</v>
      </c>
    </row>
    <row r="318" customFormat="false" ht="15" hidden="false" customHeight="false" outlineLevel="0" collapsed="false">
      <c r="A318" s="4" t="s">
        <v>2705</v>
      </c>
      <c r="B318" s="12" t="n">
        <v>2021</v>
      </c>
      <c r="C318" s="4" t="s">
        <v>99</v>
      </c>
      <c r="D318" s="4" t="s">
        <v>2155</v>
      </c>
      <c r="E318" s="4" t="s">
        <v>2001</v>
      </c>
      <c r="F318" s="4" t="s">
        <v>2160</v>
      </c>
      <c r="G318" s="4" t="s">
        <v>64</v>
      </c>
      <c r="H318" s="4" t="s">
        <v>1088</v>
      </c>
      <c r="I318" s="4" t="s">
        <v>2151</v>
      </c>
      <c r="J318" s="4" t="s">
        <v>1997</v>
      </c>
      <c r="K318" s="14">
        <f>IF(OR($I318="USO_NO_ENERGETICO_APARENTE",$I318="USO_ENERGETICO_INTERNO_APARENTE"),ROUND(SUMIFS($K$2:$K$618,$B$2:$B$618,$B318,$C$2:$C$618,$C318,$D$2:$D$618,"Energy products",$E$2:$E$618,"Supply",$G$2:$G$618,"&lt;&gt;STAT")-SUMIFS($K$2:$K$618,$B$2:$B$618,$B318,$C$2:$C$618,$C318,$D$2:$D$618,"Energy products",$E$2:$E$618,"Use",$G$2:$G$618,"&lt;&gt;STAT",$I$2:$I$618,"&lt;&gt;USO_NO_ENERGETICO_APARENTE",$I$2:$I$618,"&lt;&gt;USO_ENERGETICO_INTERNO_APARENTE"),10),IF(LEFT($H318,5)="STAT_",ROUND(SUMIFS($K$2:$K$618,$B$2:$B$618,$B318,$C$2:$C$618,$C318,$D$2:$D$618,"Energy products",$E$2:$E$618,"Supply",$G$2:$G$618,"&lt;&gt;STAT")-SUMIFS($K$2:$K$618,$B$2:$B$618,$B318,$C$2:$C$618,$C318,$D$2:$D$618,"Energy products",$E$2:$E$618,"Use",$G$2:$G$618,"&lt;&gt;STAT"),10),IF($J318="cambio de signo",-INDEX(DATOS_MODELO!$U$2:$U$3672,MATCH($H318,DATOS_MODELO!$B$2:$B$3672,0)),IF($J318="valor absoluto",ABS(INDEX(DATOS_MODELO!$U$2:$U$3672,MATCH($H318,DATOS_MODELO!$B$2:$B$3672,0))),INDEX(DATOS_MODELO!$U$2:$U$3672,MATCH($H318,DATOS_MODELO!$B$2:$B$3672,0))))))</f>
        <v>6160.343</v>
      </c>
      <c r="L318" s="8" t="str">
        <f aca="false">IF(LEFT($H318,5)&lt;&gt;"STAT_","",IF(ABS($K318)&lt;=COUNTIFS($B$2:$B$618,$B318,$C$2:$C$618,$C318,$D$2:$D$618,"Energy products",$G$2:$G$618,"&lt;&gt;STAT")*PARAMETROS!$B$6,"redondeo","residuo_estadistico"))</f>
        <v/>
      </c>
      <c r="M318" s="8" t="str">
        <f>IF(OR($I318="USO_NO_ENERGETICO_APARENTE",$I318="USO_ENERGETICO_INTERNO_APARENTE"),"CAL",IF(LEFT($H318,5)="STAT_","FORMULA",IF(COUNTIF(DATOS_MODELO!$B$2:$B$3672,$H318)=1,"OK","REVISAR")))</f>
        <v>OK</v>
      </c>
    </row>
    <row r="319" customFormat="false" ht="15" hidden="false" customHeight="false" outlineLevel="0" collapsed="false">
      <c r="A319" s="4" t="s">
        <v>2707</v>
      </c>
      <c r="B319" s="12" t="n">
        <v>2021</v>
      </c>
      <c r="C319" s="4" t="s">
        <v>101</v>
      </c>
      <c r="D319" s="4" t="s">
        <v>1993</v>
      </c>
      <c r="E319" s="4" t="s">
        <v>1994</v>
      </c>
      <c r="F319" s="4" t="s">
        <v>2029</v>
      </c>
      <c r="G319" s="4" t="s">
        <v>69</v>
      </c>
      <c r="H319" s="4" t="s">
        <v>1090</v>
      </c>
      <c r="I319" s="4" t="s">
        <v>2030</v>
      </c>
      <c r="J319" s="4" t="s">
        <v>1997</v>
      </c>
      <c r="K319" s="14">
        <f>IF(OR($I319="USO_NO_ENERGETICO_APARENTE",$I319="USO_ENERGETICO_INTERNO_APARENTE"),ROUND(SUMIFS($K$2:$K$618,$B$2:$B$618,$B319,$C$2:$C$618,$C319,$D$2:$D$618,"Energy products",$E$2:$E$618,"Supply",$G$2:$G$618,"&lt;&gt;STAT")-SUMIFS($K$2:$K$618,$B$2:$B$618,$B319,$C$2:$C$618,$C319,$D$2:$D$618,"Energy products",$E$2:$E$618,"Use",$G$2:$G$618,"&lt;&gt;STAT",$I$2:$I$618,"&lt;&gt;USO_NO_ENERGETICO_APARENTE",$I$2:$I$618,"&lt;&gt;USO_ENERGETICO_INTERNO_APARENTE"),10),IF(LEFT($H319,5)="STAT_",ROUND(SUMIFS($K$2:$K$618,$B$2:$B$618,$B319,$C$2:$C$618,$C319,$D$2:$D$618,"Energy products",$E$2:$E$618,"Supply",$G$2:$G$618,"&lt;&gt;STAT")-SUMIFS($K$2:$K$618,$B$2:$B$618,$B319,$C$2:$C$618,$C319,$D$2:$D$618,"Energy products",$E$2:$E$618,"Use",$G$2:$G$618,"&lt;&gt;STAT"),10),IF($J319="cambio de signo",-INDEX(DATOS_MODELO!$U$2:$U$3672,MATCH($H319,DATOS_MODELO!$B$2:$B$3672,0)),IF($J319="valor absoluto",ABS(INDEX(DATOS_MODELO!$U$2:$U$3672,MATCH($H319,DATOS_MODELO!$B$2:$B$3672,0))),INDEX(DATOS_MODELO!$U$2:$U$3672,MATCH($H319,DATOS_MODELO!$B$2:$B$3672,0))))))</f>
        <v>9310.9898</v>
      </c>
      <c r="L319" s="8" t="str">
        <f aca="false">IF(LEFT($H319,5)&lt;&gt;"STAT_","",IF(ABS($K319)&lt;=COUNTIFS($B$2:$B$618,$B319,$C$2:$C$618,$C319,$D$2:$D$618,"Energy products",$G$2:$G$618,"&lt;&gt;STAT")*PARAMETROS!$B$6,"redondeo","residuo_estadistico"))</f>
        <v/>
      </c>
      <c r="M319" s="8" t="str">
        <f>IF(OR($I319="USO_NO_ENERGETICO_APARENTE",$I319="USO_ENERGETICO_INTERNO_APARENTE"),"CAL",IF(LEFT($H319,5)="STAT_","FORMULA",IF(COUNTIF(DATOS_MODELO!$B$2:$B$3672,$H319)=1,"OK","REVISAR")))</f>
        <v>OK</v>
      </c>
    </row>
    <row r="320" customFormat="false" ht="15" hidden="false" customHeight="false" outlineLevel="0" collapsed="false">
      <c r="A320" s="4" t="s">
        <v>2709</v>
      </c>
      <c r="B320" s="12" t="n">
        <v>2021</v>
      </c>
      <c r="C320" s="4" t="s">
        <v>101</v>
      </c>
      <c r="D320" s="4" t="s">
        <v>1993</v>
      </c>
      <c r="E320" s="4" t="s">
        <v>2001</v>
      </c>
      <c r="F320" s="4" t="s">
        <v>2034</v>
      </c>
      <c r="G320" s="4" t="s">
        <v>74</v>
      </c>
      <c r="H320" s="4" t="s">
        <v>1092</v>
      </c>
      <c r="I320" s="4" t="s">
        <v>2035</v>
      </c>
      <c r="J320" s="4" t="s">
        <v>2036</v>
      </c>
      <c r="K320" s="14">
        <f>IF(OR($I320="USO_NO_ENERGETICO_APARENTE",$I320="USO_ENERGETICO_INTERNO_APARENTE"),ROUND(SUMIFS($K$2:$K$618,$B$2:$B$618,$B320,$C$2:$C$618,$C320,$D$2:$D$618,"Energy products",$E$2:$E$618,"Supply",$G$2:$G$618,"&lt;&gt;STAT")-SUMIFS($K$2:$K$618,$B$2:$B$618,$B320,$C$2:$C$618,$C320,$D$2:$D$618,"Energy products",$E$2:$E$618,"Use",$G$2:$G$618,"&lt;&gt;STAT",$I$2:$I$618,"&lt;&gt;USO_NO_ENERGETICO_APARENTE",$I$2:$I$618,"&lt;&gt;USO_ENERGETICO_INTERNO_APARENTE"),10),IF(LEFT($H320,5)="STAT_",ROUND(SUMIFS($K$2:$K$618,$B$2:$B$618,$B320,$C$2:$C$618,$C320,$D$2:$D$618,"Energy products",$E$2:$E$618,"Supply",$G$2:$G$618,"&lt;&gt;STAT")-SUMIFS($K$2:$K$618,$B$2:$B$618,$B320,$C$2:$C$618,$C320,$D$2:$D$618,"Energy products",$E$2:$E$618,"Use",$G$2:$G$618,"&lt;&gt;STAT"),10),IF($J320="cambio de signo",-INDEX(DATOS_MODELO!$U$2:$U$3672,MATCH($H320,DATOS_MODELO!$B$2:$B$3672,0)),IF($J320="valor absoluto",ABS(INDEX(DATOS_MODELO!$U$2:$U$3672,MATCH($H320,DATOS_MODELO!$B$2:$B$3672,0))),INDEX(DATOS_MODELO!$U$2:$U$3672,MATCH($H320,DATOS_MODELO!$B$2:$B$3672,0))))))</f>
        <v>-291.4296</v>
      </c>
      <c r="L320" s="8" t="str">
        <f aca="false">IF(LEFT($H320,5)&lt;&gt;"STAT_","",IF(ABS($K320)&lt;=COUNTIFS($B$2:$B$618,$B320,$C$2:$C$618,$C320,$D$2:$D$618,"Energy products",$G$2:$G$618,"&lt;&gt;STAT")*PARAMETROS!$B$6,"redondeo","residuo_estadistico"))</f>
        <v/>
      </c>
      <c r="M320" s="8" t="str">
        <f>IF(OR($I320="USO_NO_ENERGETICO_APARENTE",$I320="USO_ENERGETICO_INTERNO_APARENTE"),"CAL",IF(LEFT($H320,5)="STAT_","FORMULA",IF(COUNTIF(DATOS_MODELO!$B$2:$B$3672,$H320)=1,"OK","REVISAR")))</f>
        <v>OK</v>
      </c>
    </row>
    <row r="321" customFormat="false" ht="15" hidden="false" customHeight="false" outlineLevel="0" collapsed="false">
      <c r="A321" s="4" t="s">
        <v>2711</v>
      </c>
      <c r="B321" s="12" t="n">
        <v>2021</v>
      </c>
      <c r="C321" s="4" t="s">
        <v>101</v>
      </c>
      <c r="D321" s="4" t="s">
        <v>1993</v>
      </c>
      <c r="E321" s="4" t="s">
        <v>2001</v>
      </c>
      <c r="F321" s="4" t="s">
        <v>2002</v>
      </c>
      <c r="G321" s="4" t="s">
        <v>67</v>
      </c>
      <c r="H321" s="4" t="s">
        <v>1094</v>
      </c>
      <c r="I321" s="4" t="s">
        <v>2003</v>
      </c>
      <c r="J321" s="4" t="s">
        <v>2004</v>
      </c>
      <c r="K321" s="14">
        <f>IF(OR($I321="USO_NO_ENERGETICO_APARENTE",$I321="USO_ENERGETICO_INTERNO_APARENTE"),ROUND(SUMIFS($K$2:$K$618,$B$2:$B$618,$B321,$C$2:$C$618,$C321,$D$2:$D$618,"Energy products",$E$2:$E$618,"Supply",$G$2:$G$618,"&lt;&gt;STAT")-SUMIFS($K$2:$K$618,$B$2:$B$618,$B321,$C$2:$C$618,$C321,$D$2:$D$618,"Energy products",$E$2:$E$618,"Use",$G$2:$G$618,"&lt;&gt;STAT",$I$2:$I$618,"&lt;&gt;USO_NO_ENERGETICO_APARENTE",$I$2:$I$618,"&lt;&gt;USO_ENERGETICO_INTERNO_APARENTE"),10),IF(LEFT($H321,5)="STAT_",ROUND(SUMIFS($K$2:$K$618,$B$2:$B$618,$B321,$C$2:$C$618,$C321,$D$2:$D$618,"Energy products",$E$2:$E$618,"Supply",$G$2:$G$618,"&lt;&gt;STAT")-SUMIFS($K$2:$K$618,$B$2:$B$618,$B321,$C$2:$C$618,$C321,$D$2:$D$618,"Energy products",$E$2:$E$618,"Use",$G$2:$G$618,"&lt;&gt;STAT"),10),IF($J321="cambio de signo",-INDEX(DATOS_MODELO!$U$2:$U$3672,MATCH($H321,DATOS_MODELO!$B$2:$B$3672,0)),IF($J321="valor absoluto",ABS(INDEX(DATOS_MODELO!$U$2:$U$3672,MATCH($H321,DATOS_MODELO!$B$2:$B$3672,0))),INDEX(DATOS_MODELO!$U$2:$U$3672,MATCH($H321,DATOS_MODELO!$B$2:$B$3672,0))))))</f>
        <v>2344.4512</v>
      </c>
      <c r="L321" s="8" t="str">
        <f aca="false">IF(LEFT($H321,5)&lt;&gt;"STAT_","",IF(ABS($K321)&lt;=COUNTIFS($B$2:$B$618,$B321,$C$2:$C$618,$C321,$D$2:$D$618,"Energy products",$G$2:$G$618,"&lt;&gt;STAT")*PARAMETROS!$B$6,"redondeo","residuo_estadistico"))</f>
        <v/>
      </c>
      <c r="M321" s="8" t="str">
        <f>IF(OR($I321="USO_NO_ENERGETICO_APARENTE",$I321="USO_ENERGETICO_INTERNO_APARENTE"),"CAL",IF(LEFT($H321,5)="STAT_","FORMULA",IF(COUNTIF(DATOS_MODELO!$B$2:$B$3672,$H321)=1,"OK","REVISAR")))</f>
        <v>OK</v>
      </c>
    </row>
    <row r="322" customFormat="false" ht="15" hidden="false" customHeight="false" outlineLevel="0" collapsed="false">
      <c r="A322" s="4" t="s">
        <v>2713</v>
      </c>
      <c r="B322" s="12" t="n">
        <v>2021</v>
      </c>
      <c r="C322" s="4" t="s">
        <v>101</v>
      </c>
      <c r="D322" s="4" t="s">
        <v>1993</v>
      </c>
      <c r="E322" s="4" t="s">
        <v>2001</v>
      </c>
      <c r="F322" s="4" t="s">
        <v>2002</v>
      </c>
      <c r="G322" s="4" t="s">
        <v>67</v>
      </c>
      <c r="H322" s="4" t="s">
        <v>1095</v>
      </c>
      <c r="I322" s="4" t="s">
        <v>2008</v>
      </c>
      <c r="J322" s="4" t="s">
        <v>2004</v>
      </c>
      <c r="K322" s="14">
        <f>IF(OR($I322="USO_NO_ENERGETICO_APARENTE",$I322="USO_ENERGETICO_INTERNO_APARENTE"),ROUND(SUMIFS($K$2:$K$618,$B$2:$B$618,$B322,$C$2:$C$618,$C322,$D$2:$D$618,"Energy products",$E$2:$E$618,"Supply",$G$2:$G$618,"&lt;&gt;STAT")-SUMIFS($K$2:$K$618,$B$2:$B$618,$B322,$C$2:$C$618,$C322,$D$2:$D$618,"Energy products",$E$2:$E$618,"Use",$G$2:$G$618,"&lt;&gt;STAT",$I$2:$I$618,"&lt;&gt;USO_NO_ENERGETICO_APARENTE",$I$2:$I$618,"&lt;&gt;USO_ENERGETICO_INTERNO_APARENTE"),10),IF(LEFT($H322,5)="STAT_",ROUND(SUMIFS($K$2:$K$618,$B$2:$B$618,$B322,$C$2:$C$618,$C322,$D$2:$D$618,"Energy products",$E$2:$E$618,"Supply",$G$2:$G$618,"&lt;&gt;STAT")-SUMIFS($K$2:$K$618,$B$2:$B$618,$B322,$C$2:$C$618,$C322,$D$2:$D$618,"Energy products",$E$2:$E$618,"Use",$G$2:$G$618,"&lt;&gt;STAT"),10),IF($J322="cambio de signo",-INDEX(DATOS_MODELO!$U$2:$U$3672,MATCH($H322,DATOS_MODELO!$B$2:$B$3672,0)),IF($J322="valor absoluto",ABS(INDEX(DATOS_MODELO!$U$2:$U$3672,MATCH($H322,DATOS_MODELO!$B$2:$B$3672,0))),INDEX(DATOS_MODELO!$U$2:$U$3672,MATCH($H322,DATOS_MODELO!$B$2:$B$3672,0))))))</f>
        <v>67.0474</v>
      </c>
      <c r="L322" s="8" t="str">
        <f aca="false">IF(LEFT($H322,5)&lt;&gt;"STAT_","",IF(ABS($K322)&lt;=COUNTIFS($B$2:$B$618,$B322,$C$2:$C$618,$C322,$D$2:$D$618,"Energy products",$G$2:$G$618,"&lt;&gt;STAT")*PARAMETROS!$B$6,"redondeo","residuo_estadistico"))</f>
        <v/>
      </c>
      <c r="M322" s="8" t="str">
        <f>IF(OR($I322="USO_NO_ENERGETICO_APARENTE",$I322="USO_ENERGETICO_INTERNO_APARENTE"),"CAL",IF(LEFT($H322,5)="STAT_","FORMULA",IF(COUNTIF(DATOS_MODELO!$B$2:$B$3672,$H322)=1,"OK","REVISAR")))</f>
        <v>OK</v>
      </c>
    </row>
    <row r="323" customFormat="false" ht="15" hidden="false" customHeight="false" outlineLevel="0" collapsed="false">
      <c r="A323" s="4" t="s">
        <v>2715</v>
      </c>
      <c r="B323" s="12" t="n">
        <v>2021</v>
      </c>
      <c r="C323" s="4" t="s">
        <v>101</v>
      </c>
      <c r="D323" s="4" t="s">
        <v>1993</v>
      </c>
      <c r="E323" s="4" t="s">
        <v>2001</v>
      </c>
      <c r="F323" s="4" t="s">
        <v>2002</v>
      </c>
      <c r="G323" s="4" t="s">
        <v>68</v>
      </c>
      <c r="H323" s="4" t="s">
        <v>1100</v>
      </c>
      <c r="I323" s="4" t="s">
        <v>2111</v>
      </c>
      <c r="J323" s="4" t="s">
        <v>1997</v>
      </c>
      <c r="K323" s="14">
        <f>IF(OR($I323="USO_NO_ENERGETICO_APARENTE",$I323="USO_ENERGETICO_INTERNO_APARENTE"),ROUND(SUMIFS($K$2:$K$618,$B$2:$B$618,$B323,$C$2:$C$618,$C323,$D$2:$D$618,"Energy products",$E$2:$E$618,"Supply",$G$2:$G$618,"&lt;&gt;STAT")-SUMIFS($K$2:$K$618,$B$2:$B$618,$B323,$C$2:$C$618,$C323,$D$2:$D$618,"Energy products",$E$2:$E$618,"Use",$G$2:$G$618,"&lt;&gt;STAT",$I$2:$I$618,"&lt;&gt;USO_NO_ENERGETICO_APARENTE",$I$2:$I$618,"&lt;&gt;USO_ENERGETICO_INTERNO_APARENTE"),10),IF(LEFT($H323,5)="STAT_",ROUND(SUMIFS($K$2:$K$618,$B$2:$B$618,$B323,$C$2:$C$618,$C323,$D$2:$D$618,"Energy products",$E$2:$E$618,"Supply",$G$2:$G$618,"&lt;&gt;STAT")-SUMIFS($K$2:$K$618,$B$2:$B$618,$B323,$C$2:$C$618,$C323,$D$2:$D$618,"Energy products",$E$2:$E$618,"Use",$G$2:$G$618,"&lt;&gt;STAT"),10),IF($J323="cambio de signo",-INDEX(DATOS_MODELO!$U$2:$U$3672,MATCH($H323,DATOS_MODELO!$B$2:$B$3672,0)),IF($J323="valor absoluto",ABS(INDEX(DATOS_MODELO!$U$2:$U$3672,MATCH($H323,DATOS_MODELO!$B$2:$B$3672,0))),INDEX(DATOS_MODELO!$U$2:$U$3672,MATCH($H323,DATOS_MODELO!$B$2:$B$3672,0))))))</f>
        <v>7190.8627</v>
      </c>
      <c r="L323" s="8" t="str">
        <f aca="false">IF(LEFT($H323,5)&lt;&gt;"STAT_","",IF(ABS($K323)&lt;=COUNTIFS($B$2:$B$618,$B323,$C$2:$C$618,$C323,$D$2:$D$618,"Energy products",$G$2:$G$618,"&lt;&gt;STAT")*PARAMETROS!$B$6,"redondeo","residuo_estadistico"))</f>
        <v/>
      </c>
      <c r="M323" s="8" t="str">
        <f>IF(OR($I323="USO_NO_ENERGETICO_APARENTE",$I323="USO_ENERGETICO_INTERNO_APARENTE"),"CAL",IF(LEFT($H323,5)="STAT_","FORMULA",IF(COUNTIF(DATOS_MODELO!$B$2:$B$3672,$H323)=1,"OK","REVISAR")))</f>
        <v>OK</v>
      </c>
    </row>
    <row r="324" customFormat="false" ht="15" hidden="false" customHeight="false" outlineLevel="0" collapsed="false">
      <c r="A324" s="4" t="s">
        <v>2717</v>
      </c>
      <c r="B324" s="12" t="n">
        <v>2021</v>
      </c>
      <c r="C324" s="4" t="s">
        <v>103</v>
      </c>
      <c r="D324" s="4" t="s">
        <v>1993</v>
      </c>
      <c r="E324" s="4" t="s">
        <v>1994</v>
      </c>
      <c r="F324" s="4" t="s">
        <v>2029</v>
      </c>
      <c r="G324" s="4" t="s">
        <v>69</v>
      </c>
      <c r="H324" s="4" t="s">
        <v>1104</v>
      </c>
      <c r="I324" s="4" t="s">
        <v>2030</v>
      </c>
      <c r="J324" s="4" t="s">
        <v>1997</v>
      </c>
      <c r="K324" s="14">
        <f>IF(OR($I324="USO_NO_ENERGETICO_APARENTE",$I324="USO_ENERGETICO_INTERNO_APARENTE"),ROUND(SUMIFS($K$2:$K$618,$B$2:$B$618,$B324,$C$2:$C$618,$C324,$D$2:$D$618,"Energy products",$E$2:$E$618,"Supply",$G$2:$G$618,"&lt;&gt;STAT")-SUMIFS($K$2:$K$618,$B$2:$B$618,$B324,$C$2:$C$618,$C324,$D$2:$D$618,"Energy products",$E$2:$E$618,"Use",$G$2:$G$618,"&lt;&gt;STAT",$I$2:$I$618,"&lt;&gt;USO_NO_ENERGETICO_APARENTE",$I$2:$I$618,"&lt;&gt;USO_ENERGETICO_INTERNO_APARENTE"),10),IF(LEFT($H324,5)="STAT_",ROUND(SUMIFS($K$2:$K$618,$B$2:$B$618,$B324,$C$2:$C$618,$C324,$D$2:$D$618,"Energy products",$E$2:$E$618,"Supply",$G$2:$G$618,"&lt;&gt;STAT")-SUMIFS($K$2:$K$618,$B$2:$B$618,$B324,$C$2:$C$618,$C324,$D$2:$D$618,"Energy products",$E$2:$E$618,"Use",$G$2:$G$618,"&lt;&gt;STAT"),10),IF($J324="cambio de signo",-INDEX(DATOS_MODELO!$U$2:$U$3672,MATCH($H324,DATOS_MODELO!$B$2:$B$3672,0)),IF($J324="valor absoluto",ABS(INDEX(DATOS_MODELO!$U$2:$U$3672,MATCH($H324,DATOS_MODELO!$B$2:$B$3672,0))),INDEX(DATOS_MODELO!$U$2:$U$3672,MATCH($H324,DATOS_MODELO!$B$2:$B$3672,0))))))</f>
        <v>89161.1896</v>
      </c>
      <c r="L324" s="8" t="str">
        <f aca="false">IF(LEFT($H324,5)&lt;&gt;"STAT_","",IF(ABS($K324)&lt;=COUNTIFS($B$2:$B$618,$B324,$C$2:$C$618,$C324,$D$2:$D$618,"Energy products",$G$2:$G$618,"&lt;&gt;STAT")*PARAMETROS!$B$6,"redondeo","residuo_estadistico"))</f>
        <v/>
      </c>
      <c r="M324" s="8" t="str">
        <f>IF(OR($I324="USO_NO_ENERGETICO_APARENTE",$I324="USO_ENERGETICO_INTERNO_APARENTE"),"CAL",IF(LEFT($H324,5)="STAT_","FORMULA",IF(COUNTIF(DATOS_MODELO!$B$2:$B$3672,$H324)=1,"OK","REVISAR")))</f>
        <v>OK</v>
      </c>
    </row>
    <row r="325" customFormat="false" ht="15" hidden="false" customHeight="false" outlineLevel="0" collapsed="false">
      <c r="A325" s="4" t="s">
        <v>2719</v>
      </c>
      <c r="B325" s="12" t="n">
        <v>2021</v>
      </c>
      <c r="C325" s="4" t="s">
        <v>103</v>
      </c>
      <c r="D325" s="4" t="s">
        <v>1993</v>
      </c>
      <c r="E325" s="4" t="s">
        <v>2001</v>
      </c>
      <c r="F325" s="4" t="s">
        <v>2091</v>
      </c>
      <c r="G325" s="4" t="s">
        <v>69</v>
      </c>
      <c r="H325" s="4" t="s">
        <v>1105</v>
      </c>
      <c r="I325" s="4" t="s">
        <v>2030</v>
      </c>
      <c r="J325" s="4" t="s">
        <v>1997</v>
      </c>
      <c r="K325" s="14">
        <f>IF(OR($I325="USO_NO_ENERGETICO_APARENTE",$I325="USO_ENERGETICO_INTERNO_APARENTE"),ROUND(SUMIFS($K$2:$K$618,$B$2:$B$618,$B325,$C$2:$C$618,$C325,$D$2:$D$618,"Energy products",$E$2:$E$618,"Supply",$G$2:$G$618,"&lt;&gt;STAT")-SUMIFS($K$2:$K$618,$B$2:$B$618,$B325,$C$2:$C$618,$C325,$D$2:$D$618,"Energy products",$E$2:$E$618,"Use",$G$2:$G$618,"&lt;&gt;STAT",$I$2:$I$618,"&lt;&gt;USO_NO_ENERGETICO_APARENTE",$I$2:$I$618,"&lt;&gt;USO_ENERGETICO_INTERNO_APARENTE"),10),IF(LEFT($H325,5)="STAT_",ROUND(SUMIFS($K$2:$K$618,$B$2:$B$618,$B325,$C$2:$C$618,$C325,$D$2:$D$618,"Energy products",$E$2:$E$618,"Supply",$G$2:$G$618,"&lt;&gt;STAT")-SUMIFS($K$2:$K$618,$B$2:$B$618,$B325,$C$2:$C$618,$C325,$D$2:$D$618,"Energy products",$E$2:$E$618,"Use",$G$2:$G$618,"&lt;&gt;STAT"),10),IF($J325="cambio de signo",-INDEX(DATOS_MODELO!$U$2:$U$3672,MATCH($H325,DATOS_MODELO!$B$2:$B$3672,0)),IF($J325="valor absoluto",ABS(INDEX(DATOS_MODELO!$U$2:$U$3672,MATCH($H325,DATOS_MODELO!$B$2:$B$3672,0))),INDEX(DATOS_MODELO!$U$2:$U$3672,MATCH($H325,DATOS_MODELO!$B$2:$B$3672,0))))))</f>
        <v>3045.6601</v>
      </c>
      <c r="L325" s="8" t="str">
        <f aca="false">IF(LEFT($H325,5)&lt;&gt;"STAT_","",IF(ABS($K325)&lt;=COUNTIFS($B$2:$B$618,$B325,$C$2:$C$618,$C325,$D$2:$D$618,"Energy products",$G$2:$G$618,"&lt;&gt;STAT")*PARAMETROS!$B$6,"redondeo","residuo_estadistico"))</f>
        <v/>
      </c>
      <c r="M325" s="8" t="str">
        <f>IF(OR($I325="USO_NO_ENERGETICO_APARENTE",$I325="USO_ENERGETICO_INTERNO_APARENTE"),"CAL",IF(LEFT($H325,5)="STAT_","FORMULA",IF(COUNTIF(DATOS_MODELO!$B$2:$B$3672,$H325)=1,"OK","REVISAR")))</f>
        <v>OK</v>
      </c>
    </row>
    <row r="326" customFormat="false" ht="15" hidden="false" customHeight="false" outlineLevel="0" collapsed="false">
      <c r="A326" s="4" t="s">
        <v>2721</v>
      </c>
      <c r="B326" s="12" t="n">
        <v>2021</v>
      </c>
      <c r="C326" s="4" t="s">
        <v>103</v>
      </c>
      <c r="D326" s="4" t="s">
        <v>1993</v>
      </c>
      <c r="E326" s="4" t="s">
        <v>2001</v>
      </c>
      <c r="F326" s="4" t="s">
        <v>2034</v>
      </c>
      <c r="G326" s="4" t="s">
        <v>74</v>
      </c>
      <c r="H326" s="4" t="s">
        <v>1106</v>
      </c>
      <c r="I326" s="4" t="s">
        <v>2035</v>
      </c>
      <c r="J326" s="4" t="s">
        <v>2036</v>
      </c>
      <c r="K326" s="14">
        <f>IF(OR($I326="USO_NO_ENERGETICO_APARENTE",$I326="USO_ENERGETICO_INTERNO_APARENTE"),ROUND(SUMIFS($K$2:$K$618,$B$2:$B$618,$B326,$C$2:$C$618,$C326,$D$2:$D$618,"Energy products",$E$2:$E$618,"Supply",$G$2:$G$618,"&lt;&gt;STAT")-SUMIFS($K$2:$K$618,$B$2:$B$618,$B326,$C$2:$C$618,$C326,$D$2:$D$618,"Energy products",$E$2:$E$618,"Use",$G$2:$G$618,"&lt;&gt;STAT",$I$2:$I$618,"&lt;&gt;USO_NO_ENERGETICO_APARENTE",$I$2:$I$618,"&lt;&gt;USO_ENERGETICO_INTERNO_APARENTE"),10),IF(LEFT($H326,5)="STAT_",ROUND(SUMIFS($K$2:$K$618,$B$2:$B$618,$B326,$C$2:$C$618,$C326,$D$2:$D$618,"Energy products",$E$2:$E$618,"Supply",$G$2:$G$618,"&lt;&gt;STAT")-SUMIFS($K$2:$K$618,$B$2:$B$618,$B326,$C$2:$C$618,$C326,$D$2:$D$618,"Energy products",$E$2:$E$618,"Use",$G$2:$G$618,"&lt;&gt;STAT"),10),IF($J326="cambio de signo",-INDEX(DATOS_MODELO!$U$2:$U$3672,MATCH($H326,DATOS_MODELO!$B$2:$B$3672,0)),IF($J326="valor absoluto",ABS(INDEX(DATOS_MODELO!$U$2:$U$3672,MATCH($H326,DATOS_MODELO!$B$2:$B$3672,0))),INDEX(DATOS_MODELO!$U$2:$U$3672,MATCH($H326,DATOS_MODELO!$B$2:$B$3672,0))))))</f>
        <v>1619.3051</v>
      </c>
      <c r="L326" s="8" t="str">
        <f aca="false">IF(LEFT($H326,5)&lt;&gt;"STAT_","",IF(ABS($K326)&lt;=COUNTIFS($B$2:$B$618,$B326,$C$2:$C$618,$C326,$D$2:$D$618,"Energy products",$G$2:$G$618,"&lt;&gt;STAT")*PARAMETROS!$B$6,"redondeo","residuo_estadistico"))</f>
        <v/>
      </c>
      <c r="M326" s="8" t="str">
        <f>IF(OR($I326="USO_NO_ENERGETICO_APARENTE",$I326="USO_ENERGETICO_INTERNO_APARENTE"),"CAL",IF(LEFT($H326,5)="STAT_","FORMULA",IF(COUNTIF(DATOS_MODELO!$B$2:$B$3672,$H326)=1,"OK","REVISAR")))</f>
        <v>OK</v>
      </c>
    </row>
    <row r="327" customFormat="false" ht="15" hidden="false" customHeight="false" outlineLevel="0" collapsed="false">
      <c r="A327" s="4" t="s">
        <v>2723</v>
      </c>
      <c r="B327" s="12" t="n">
        <v>2021</v>
      </c>
      <c r="C327" s="4" t="s">
        <v>103</v>
      </c>
      <c r="D327" s="4" t="s">
        <v>1993</v>
      </c>
      <c r="E327" s="4" t="s">
        <v>2001</v>
      </c>
      <c r="F327" s="4" t="s">
        <v>2002</v>
      </c>
      <c r="G327" s="4" t="s">
        <v>71</v>
      </c>
      <c r="H327" s="4" t="s">
        <v>1111</v>
      </c>
      <c r="I327" s="4" t="s">
        <v>2123</v>
      </c>
      <c r="J327" s="4" t="s">
        <v>1997</v>
      </c>
      <c r="K327" s="14">
        <f>IF(OR($I327="USO_NO_ENERGETICO_APARENTE",$I327="USO_ENERGETICO_INTERNO_APARENTE"),ROUND(SUMIFS($K$2:$K$618,$B$2:$B$618,$B327,$C$2:$C$618,$C327,$D$2:$D$618,"Energy products",$E$2:$E$618,"Supply",$G$2:$G$618,"&lt;&gt;STAT")-SUMIFS($K$2:$K$618,$B$2:$B$618,$B327,$C$2:$C$618,$C327,$D$2:$D$618,"Energy products",$E$2:$E$618,"Use",$G$2:$G$618,"&lt;&gt;STAT",$I$2:$I$618,"&lt;&gt;USO_NO_ENERGETICO_APARENTE",$I$2:$I$618,"&lt;&gt;USO_ENERGETICO_INTERNO_APARENTE"),10),IF(LEFT($H327,5)="STAT_",ROUND(SUMIFS($K$2:$K$618,$B$2:$B$618,$B327,$C$2:$C$618,$C327,$D$2:$D$618,"Energy products",$E$2:$E$618,"Supply",$G$2:$G$618,"&lt;&gt;STAT")-SUMIFS($K$2:$K$618,$B$2:$B$618,$B327,$C$2:$C$618,$C327,$D$2:$D$618,"Energy products",$E$2:$E$618,"Use",$G$2:$G$618,"&lt;&gt;STAT"),10),IF($J327="cambio de signo",-INDEX(DATOS_MODELO!$U$2:$U$3672,MATCH($H327,DATOS_MODELO!$B$2:$B$3672,0)),IF($J327="valor absoluto",ABS(INDEX(DATOS_MODELO!$U$2:$U$3672,MATCH($H327,DATOS_MODELO!$B$2:$B$3672,0))),INDEX(DATOS_MODELO!$U$2:$U$3672,MATCH($H327,DATOS_MODELO!$B$2:$B$3672,0))))))</f>
        <v>82385.3933</v>
      </c>
      <c r="L327" s="8" t="str">
        <f aca="false">IF(LEFT($H327,5)&lt;&gt;"STAT_","",IF(ABS($K327)&lt;=COUNTIFS($B$2:$B$618,$B327,$C$2:$C$618,$C327,$D$2:$D$618,"Energy products",$G$2:$G$618,"&lt;&gt;STAT")*PARAMETROS!$B$6,"redondeo","residuo_estadistico"))</f>
        <v/>
      </c>
      <c r="M327" s="8" t="str">
        <f>IF(OR($I327="USO_NO_ENERGETICO_APARENTE",$I327="USO_ENERGETICO_INTERNO_APARENTE"),"CAL",IF(LEFT($H327,5)="STAT_","FORMULA",IF(COUNTIF(DATOS_MODELO!$B$2:$B$3672,$H327)=1,"OK","REVISAR")))</f>
        <v>OK</v>
      </c>
    </row>
    <row r="328" customFormat="false" ht="15" hidden="false" customHeight="false" outlineLevel="0" collapsed="false">
      <c r="A328" s="4" t="s">
        <v>2725</v>
      </c>
      <c r="B328" s="12" t="n">
        <v>2021</v>
      </c>
      <c r="C328" s="4" t="s">
        <v>103</v>
      </c>
      <c r="D328" s="4" t="s">
        <v>1993</v>
      </c>
      <c r="E328" s="4" t="s">
        <v>2001</v>
      </c>
      <c r="F328" s="4" t="s">
        <v>2002</v>
      </c>
      <c r="G328" s="4" t="s">
        <v>72</v>
      </c>
      <c r="H328" s="4" t="s">
        <v>1113</v>
      </c>
      <c r="I328" s="4" t="s">
        <v>2079</v>
      </c>
      <c r="J328" s="4" t="s">
        <v>1997</v>
      </c>
      <c r="K328" s="14">
        <f>IF(OR($I328="USO_NO_ENERGETICO_APARENTE",$I328="USO_ENERGETICO_INTERNO_APARENTE"),ROUND(SUMIFS($K$2:$K$618,$B$2:$B$618,$B328,$C$2:$C$618,$C328,$D$2:$D$618,"Energy products",$E$2:$E$618,"Supply",$G$2:$G$618,"&lt;&gt;STAT")-SUMIFS($K$2:$K$618,$B$2:$B$618,$B328,$C$2:$C$618,$C328,$D$2:$D$618,"Energy products",$E$2:$E$618,"Use",$G$2:$G$618,"&lt;&gt;STAT",$I$2:$I$618,"&lt;&gt;USO_NO_ENERGETICO_APARENTE",$I$2:$I$618,"&lt;&gt;USO_ENERGETICO_INTERNO_APARENTE"),10),IF(LEFT($H328,5)="STAT_",ROUND(SUMIFS($K$2:$K$618,$B$2:$B$618,$B328,$C$2:$C$618,$C328,$D$2:$D$618,"Energy products",$E$2:$E$618,"Supply",$G$2:$G$618,"&lt;&gt;STAT")-SUMIFS($K$2:$K$618,$B$2:$B$618,$B328,$C$2:$C$618,$C328,$D$2:$D$618,"Energy products",$E$2:$E$618,"Use",$G$2:$G$618,"&lt;&gt;STAT"),10),IF($J328="cambio de signo",-INDEX(DATOS_MODELO!$U$2:$U$3672,MATCH($H328,DATOS_MODELO!$B$2:$B$3672,0)),IF($J328="valor absoluto",ABS(INDEX(DATOS_MODELO!$U$2:$U$3672,MATCH($H328,DATOS_MODELO!$B$2:$B$3672,0))),INDEX(DATOS_MODELO!$U$2:$U$3672,MATCH($H328,DATOS_MODELO!$B$2:$B$3672,0))))))</f>
        <v>422.1546</v>
      </c>
      <c r="L328" s="8" t="str">
        <f aca="false">IF(LEFT($H328,5)&lt;&gt;"STAT_","",IF(ABS($K328)&lt;=COUNTIFS($B$2:$B$618,$B328,$C$2:$C$618,$C328,$D$2:$D$618,"Energy products",$G$2:$G$618,"&lt;&gt;STAT")*PARAMETROS!$B$6,"redondeo","residuo_estadistico"))</f>
        <v/>
      </c>
      <c r="M328" s="8" t="str">
        <f>IF(OR($I328="USO_NO_ENERGETICO_APARENTE",$I328="USO_ENERGETICO_INTERNO_APARENTE"),"CAL",IF(LEFT($H328,5)="STAT_","FORMULA",IF(COUNTIF(DATOS_MODELO!$B$2:$B$3672,$H328)=1,"OK","REVISAR")))</f>
        <v>OK</v>
      </c>
    </row>
    <row r="329" customFormat="false" ht="15" hidden="false" customHeight="false" outlineLevel="0" collapsed="false">
      <c r="A329" s="4" t="s">
        <v>2727</v>
      </c>
      <c r="B329" s="12" t="n">
        <v>2021</v>
      </c>
      <c r="C329" s="4" t="s">
        <v>103</v>
      </c>
      <c r="D329" s="4" t="s">
        <v>1993</v>
      </c>
      <c r="E329" s="4" t="s">
        <v>2001</v>
      </c>
      <c r="F329" s="4" t="s">
        <v>2002</v>
      </c>
      <c r="G329" s="4" t="s">
        <v>68</v>
      </c>
      <c r="H329" s="4" t="s">
        <v>1114</v>
      </c>
      <c r="I329" s="4" t="s">
        <v>2111</v>
      </c>
      <c r="J329" s="4" t="s">
        <v>1997</v>
      </c>
      <c r="K329" s="14">
        <f>IF(OR($I329="USO_NO_ENERGETICO_APARENTE",$I329="USO_ENERGETICO_INTERNO_APARENTE"),ROUND(SUMIFS($K$2:$K$618,$B$2:$B$618,$B329,$C$2:$C$618,$C329,$D$2:$D$618,"Energy products",$E$2:$E$618,"Supply",$G$2:$G$618,"&lt;&gt;STAT")-SUMIFS($K$2:$K$618,$B$2:$B$618,$B329,$C$2:$C$618,$C329,$D$2:$D$618,"Energy products",$E$2:$E$618,"Use",$G$2:$G$618,"&lt;&gt;STAT",$I$2:$I$618,"&lt;&gt;USO_NO_ENERGETICO_APARENTE",$I$2:$I$618,"&lt;&gt;USO_ENERGETICO_INTERNO_APARENTE"),10),IF(LEFT($H329,5)="STAT_",ROUND(SUMIFS($K$2:$K$618,$B$2:$B$618,$B329,$C$2:$C$618,$C329,$D$2:$D$618,"Energy products",$E$2:$E$618,"Supply",$G$2:$G$618,"&lt;&gt;STAT")-SUMIFS($K$2:$K$618,$B$2:$B$618,$B329,$C$2:$C$618,$C329,$D$2:$D$618,"Energy products",$E$2:$E$618,"Use",$G$2:$G$618,"&lt;&gt;STAT"),10),IF($J329="cambio de signo",-INDEX(DATOS_MODELO!$U$2:$U$3672,MATCH($H329,DATOS_MODELO!$B$2:$B$3672,0)),IF($J329="valor absoluto",ABS(INDEX(DATOS_MODELO!$U$2:$U$3672,MATCH($H329,DATOS_MODELO!$B$2:$B$3672,0))),INDEX(DATOS_MODELO!$U$2:$U$3672,MATCH($H329,DATOS_MODELO!$B$2:$B$3672,0))))))</f>
        <v>1688.6184</v>
      </c>
      <c r="L329" s="8" t="str">
        <f aca="false">IF(LEFT($H329,5)&lt;&gt;"STAT_","",IF(ABS($K329)&lt;=COUNTIFS($B$2:$B$618,$B329,$C$2:$C$618,$C329,$D$2:$D$618,"Energy products",$G$2:$G$618,"&lt;&gt;STAT")*PARAMETROS!$B$6,"redondeo","residuo_estadistico"))</f>
        <v/>
      </c>
      <c r="M329" s="8" t="str">
        <f>IF(OR($I329="USO_NO_ENERGETICO_APARENTE",$I329="USO_ENERGETICO_INTERNO_APARENTE"),"CAL",IF(LEFT($H329,5)="STAT_","FORMULA",IF(COUNTIF(DATOS_MODELO!$B$2:$B$3672,$H329)=1,"OK","REVISAR")))</f>
        <v>OK</v>
      </c>
    </row>
    <row r="330" customFormat="false" ht="15" hidden="false" customHeight="false" outlineLevel="0" collapsed="false">
      <c r="A330" s="4" t="s">
        <v>2729</v>
      </c>
      <c r="B330" s="12" t="n">
        <v>2021</v>
      </c>
      <c r="C330" s="4" t="s">
        <v>105</v>
      </c>
      <c r="D330" s="4" t="s">
        <v>1993</v>
      </c>
      <c r="E330" s="4" t="s">
        <v>1994</v>
      </c>
      <c r="F330" s="4" t="s">
        <v>2029</v>
      </c>
      <c r="G330" s="4" t="s">
        <v>69</v>
      </c>
      <c r="H330" s="4" t="s">
        <v>1118</v>
      </c>
      <c r="I330" s="4" t="s">
        <v>2030</v>
      </c>
      <c r="J330" s="4" t="s">
        <v>1997</v>
      </c>
      <c r="K330" s="14">
        <f>IF(OR($I330="USO_NO_ENERGETICO_APARENTE",$I330="USO_ENERGETICO_INTERNO_APARENTE"),ROUND(SUMIFS($K$2:$K$618,$B$2:$B$618,$B330,$C$2:$C$618,$C330,$D$2:$D$618,"Energy products",$E$2:$E$618,"Supply",$G$2:$G$618,"&lt;&gt;STAT")-SUMIFS($K$2:$K$618,$B$2:$B$618,$B330,$C$2:$C$618,$C330,$D$2:$D$618,"Energy products",$E$2:$E$618,"Use",$G$2:$G$618,"&lt;&gt;STAT",$I$2:$I$618,"&lt;&gt;USO_NO_ENERGETICO_APARENTE",$I$2:$I$618,"&lt;&gt;USO_ENERGETICO_INTERNO_APARENTE"),10),IF(LEFT($H330,5)="STAT_",ROUND(SUMIFS($K$2:$K$618,$B$2:$B$618,$B330,$C$2:$C$618,$C330,$D$2:$D$618,"Energy products",$E$2:$E$618,"Supply",$G$2:$G$618,"&lt;&gt;STAT")-SUMIFS($K$2:$K$618,$B$2:$B$618,$B330,$C$2:$C$618,$C330,$D$2:$D$618,"Energy products",$E$2:$E$618,"Use",$G$2:$G$618,"&lt;&gt;STAT"),10),IF($J330="cambio de signo",-INDEX(DATOS_MODELO!$U$2:$U$3672,MATCH($H330,DATOS_MODELO!$B$2:$B$3672,0)),IF($J330="valor absoluto",ABS(INDEX(DATOS_MODELO!$U$2:$U$3672,MATCH($H330,DATOS_MODELO!$B$2:$B$3672,0))),INDEX(DATOS_MODELO!$U$2:$U$3672,MATCH($H330,DATOS_MODELO!$B$2:$B$3672,0))))))</f>
        <v>29019.9623</v>
      </c>
      <c r="L330" s="8" t="str">
        <f aca="false">IF(LEFT($H330,5)&lt;&gt;"STAT_","",IF(ABS($K330)&lt;=COUNTIFS($B$2:$B$618,$B330,$C$2:$C$618,$C330,$D$2:$D$618,"Energy products",$G$2:$G$618,"&lt;&gt;STAT")*PARAMETROS!$B$6,"redondeo","residuo_estadistico"))</f>
        <v/>
      </c>
      <c r="M330" s="8" t="str">
        <f>IF(OR($I330="USO_NO_ENERGETICO_APARENTE",$I330="USO_ENERGETICO_INTERNO_APARENTE"),"CAL",IF(LEFT($H330,5)="STAT_","FORMULA",IF(COUNTIF(DATOS_MODELO!$B$2:$B$3672,$H330)=1,"OK","REVISAR")))</f>
        <v>OK</v>
      </c>
    </row>
    <row r="331" customFormat="false" ht="15" hidden="false" customHeight="false" outlineLevel="0" collapsed="false">
      <c r="A331" s="4" t="s">
        <v>2731</v>
      </c>
      <c r="B331" s="12" t="n">
        <v>2021</v>
      </c>
      <c r="C331" s="4" t="s">
        <v>105</v>
      </c>
      <c r="D331" s="4" t="s">
        <v>1993</v>
      </c>
      <c r="E331" s="4" t="s">
        <v>2001</v>
      </c>
      <c r="F331" s="4" t="s">
        <v>2091</v>
      </c>
      <c r="G331" s="4" t="s">
        <v>69</v>
      </c>
      <c r="H331" s="4" t="s">
        <v>1119</v>
      </c>
      <c r="I331" s="4" t="s">
        <v>2030</v>
      </c>
      <c r="J331" s="4" t="s">
        <v>1997</v>
      </c>
      <c r="K331" s="14">
        <f>IF(OR($I331="USO_NO_ENERGETICO_APARENTE",$I331="USO_ENERGETICO_INTERNO_APARENTE"),ROUND(SUMIFS($K$2:$K$618,$B$2:$B$618,$B331,$C$2:$C$618,$C331,$D$2:$D$618,"Energy products",$E$2:$E$618,"Supply",$G$2:$G$618,"&lt;&gt;STAT")-SUMIFS($K$2:$K$618,$B$2:$B$618,$B331,$C$2:$C$618,$C331,$D$2:$D$618,"Energy products",$E$2:$E$618,"Use",$G$2:$G$618,"&lt;&gt;STAT",$I$2:$I$618,"&lt;&gt;USO_NO_ENERGETICO_APARENTE",$I$2:$I$618,"&lt;&gt;USO_ENERGETICO_INTERNO_APARENTE"),10),IF(LEFT($H331,5)="STAT_",ROUND(SUMIFS($K$2:$K$618,$B$2:$B$618,$B331,$C$2:$C$618,$C331,$D$2:$D$618,"Energy products",$E$2:$E$618,"Supply",$G$2:$G$618,"&lt;&gt;STAT")-SUMIFS($K$2:$K$618,$B$2:$B$618,$B331,$C$2:$C$618,$C331,$D$2:$D$618,"Energy products",$E$2:$E$618,"Use",$G$2:$G$618,"&lt;&gt;STAT"),10),IF($J331="cambio de signo",-INDEX(DATOS_MODELO!$U$2:$U$3672,MATCH($H331,DATOS_MODELO!$B$2:$B$3672,0)),IF($J331="valor absoluto",ABS(INDEX(DATOS_MODELO!$U$2:$U$3672,MATCH($H331,DATOS_MODELO!$B$2:$B$3672,0))),INDEX(DATOS_MODELO!$U$2:$U$3672,MATCH($H331,DATOS_MODELO!$B$2:$B$3672,0))))))</f>
        <v>5829.0568</v>
      </c>
      <c r="L331" s="8" t="str">
        <f aca="false">IF(LEFT($H331,5)&lt;&gt;"STAT_","",IF(ABS($K331)&lt;=COUNTIFS($B$2:$B$618,$B331,$C$2:$C$618,$C331,$D$2:$D$618,"Energy products",$G$2:$G$618,"&lt;&gt;STAT")*PARAMETROS!$B$6,"redondeo","residuo_estadistico"))</f>
        <v/>
      </c>
      <c r="M331" s="8" t="str">
        <f>IF(OR($I331="USO_NO_ENERGETICO_APARENTE",$I331="USO_ENERGETICO_INTERNO_APARENTE"),"CAL",IF(LEFT($H331,5)="STAT_","FORMULA",IF(COUNTIF(DATOS_MODELO!$B$2:$B$3672,$H331)=1,"OK","REVISAR")))</f>
        <v>OK</v>
      </c>
    </row>
    <row r="332" customFormat="false" ht="15" hidden="false" customHeight="false" outlineLevel="0" collapsed="false">
      <c r="A332" s="4" t="s">
        <v>2733</v>
      </c>
      <c r="B332" s="12" t="n">
        <v>2021</v>
      </c>
      <c r="C332" s="4" t="s">
        <v>105</v>
      </c>
      <c r="D332" s="4" t="s">
        <v>1993</v>
      </c>
      <c r="E332" s="4" t="s">
        <v>2001</v>
      </c>
      <c r="F332" s="4" t="s">
        <v>2034</v>
      </c>
      <c r="G332" s="4" t="s">
        <v>74</v>
      </c>
      <c r="H332" s="4" t="s">
        <v>1120</v>
      </c>
      <c r="I332" s="4" t="s">
        <v>2035</v>
      </c>
      <c r="J332" s="4" t="s">
        <v>2036</v>
      </c>
      <c r="K332" s="14">
        <f>IF(OR($I332="USO_NO_ENERGETICO_APARENTE",$I332="USO_ENERGETICO_INTERNO_APARENTE"),ROUND(SUMIFS($K$2:$K$618,$B$2:$B$618,$B332,$C$2:$C$618,$C332,$D$2:$D$618,"Energy products",$E$2:$E$618,"Supply",$G$2:$G$618,"&lt;&gt;STAT")-SUMIFS($K$2:$K$618,$B$2:$B$618,$B332,$C$2:$C$618,$C332,$D$2:$D$618,"Energy products",$E$2:$E$618,"Use",$G$2:$G$618,"&lt;&gt;STAT",$I$2:$I$618,"&lt;&gt;USO_NO_ENERGETICO_APARENTE",$I$2:$I$618,"&lt;&gt;USO_ENERGETICO_INTERNO_APARENTE"),10),IF(LEFT($H332,5)="STAT_",ROUND(SUMIFS($K$2:$K$618,$B$2:$B$618,$B332,$C$2:$C$618,$C332,$D$2:$D$618,"Energy products",$E$2:$E$618,"Supply",$G$2:$G$618,"&lt;&gt;STAT")-SUMIFS($K$2:$K$618,$B$2:$B$618,$B332,$C$2:$C$618,$C332,$D$2:$D$618,"Energy products",$E$2:$E$618,"Use",$G$2:$G$618,"&lt;&gt;STAT"),10),IF($J332="cambio de signo",-INDEX(DATOS_MODELO!$U$2:$U$3672,MATCH($H332,DATOS_MODELO!$B$2:$B$3672,0)),IF($J332="valor absoluto",ABS(INDEX(DATOS_MODELO!$U$2:$U$3672,MATCH($H332,DATOS_MODELO!$B$2:$B$3672,0))),INDEX(DATOS_MODELO!$U$2:$U$3672,MATCH($H332,DATOS_MODELO!$B$2:$B$3672,0))))))</f>
        <v>376.3718</v>
      </c>
      <c r="L332" s="8" t="str">
        <f aca="false">IF(LEFT($H332,5)&lt;&gt;"STAT_","",IF(ABS($K332)&lt;=COUNTIFS($B$2:$B$618,$B332,$C$2:$C$618,$C332,$D$2:$D$618,"Energy products",$G$2:$G$618,"&lt;&gt;STAT")*PARAMETROS!$B$6,"redondeo","residuo_estadistico"))</f>
        <v/>
      </c>
      <c r="M332" s="8" t="str">
        <f>IF(OR($I332="USO_NO_ENERGETICO_APARENTE",$I332="USO_ENERGETICO_INTERNO_APARENTE"),"CAL",IF(LEFT($H332,5)="STAT_","FORMULA",IF(COUNTIF(DATOS_MODELO!$B$2:$B$3672,$H332)=1,"OK","REVISAR")))</f>
        <v>OK</v>
      </c>
    </row>
    <row r="333" customFormat="false" ht="15" hidden="false" customHeight="false" outlineLevel="0" collapsed="false">
      <c r="A333" s="4" t="s">
        <v>2735</v>
      </c>
      <c r="B333" s="12" t="n">
        <v>2021</v>
      </c>
      <c r="C333" s="4" t="s">
        <v>105</v>
      </c>
      <c r="D333" s="4" t="s">
        <v>1993</v>
      </c>
      <c r="E333" s="4" t="s">
        <v>2001</v>
      </c>
      <c r="F333" s="4" t="s">
        <v>2002</v>
      </c>
      <c r="G333" s="4" t="s">
        <v>71</v>
      </c>
      <c r="H333" s="4" t="s">
        <v>1125</v>
      </c>
      <c r="I333" s="4" t="s">
        <v>2123</v>
      </c>
      <c r="J333" s="4" t="s">
        <v>1997</v>
      </c>
      <c r="K333" s="14">
        <f>IF(OR($I333="USO_NO_ENERGETICO_APARENTE",$I333="USO_ENERGETICO_INTERNO_APARENTE"),ROUND(SUMIFS($K$2:$K$618,$B$2:$B$618,$B333,$C$2:$C$618,$C333,$D$2:$D$618,"Energy products",$E$2:$E$618,"Supply",$G$2:$G$618,"&lt;&gt;STAT")-SUMIFS($K$2:$K$618,$B$2:$B$618,$B333,$C$2:$C$618,$C333,$D$2:$D$618,"Energy products",$E$2:$E$618,"Use",$G$2:$G$618,"&lt;&gt;STAT",$I$2:$I$618,"&lt;&gt;USO_NO_ENERGETICO_APARENTE",$I$2:$I$618,"&lt;&gt;USO_ENERGETICO_INTERNO_APARENTE"),10),IF(LEFT($H333,5)="STAT_",ROUND(SUMIFS($K$2:$K$618,$B$2:$B$618,$B333,$C$2:$C$618,$C333,$D$2:$D$618,"Energy products",$E$2:$E$618,"Supply",$G$2:$G$618,"&lt;&gt;STAT")-SUMIFS($K$2:$K$618,$B$2:$B$618,$B333,$C$2:$C$618,$C333,$D$2:$D$618,"Energy products",$E$2:$E$618,"Use",$G$2:$G$618,"&lt;&gt;STAT"),10),IF($J333="cambio de signo",-INDEX(DATOS_MODELO!$U$2:$U$3672,MATCH($H333,DATOS_MODELO!$B$2:$B$3672,0)),IF($J333="valor absoluto",ABS(INDEX(DATOS_MODELO!$U$2:$U$3672,MATCH($H333,DATOS_MODELO!$B$2:$B$3672,0))),INDEX(DATOS_MODELO!$U$2:$U$3672,MATCH($H333,DATOS_MODELO!$B$2:$B$3672,0))))))</f>
        <v>228.1587</v>
      </c>
      <c r="L333" s="8" t="str">
        <f aca="false">IF(LEFT($H333,5)&lt;&gt;"STAT_","",IF(ABS($K333)&lt;=COUNTIFS($B$2:$B$618,$B333,$C$2:$C$618,$C333,$D$2:$D$618,"Energy products",$G$2:$G$618,"&lt;&gt;STAT")*PARAMETROS!$B$6,"redondeo","residuo_estadistico"))</f>
        <v/>
      </c>
      <c r="M333" s="8" t="str">
        <f>IF(OR($I333="USO_NO_ENERGETICO_APARENTE",$I333="USO_ENERGETICO_INTERNO_APARENTE"),"CAL",IF(LEFT($H333,5)="STAT_","FORMULA",IF(COUNTIF(DATOS_MODELO!$B$2:$B$3672,$H333)=1,"OK","REVISAR")))</f>
        <v>OK</v>
      </c>
    </row>
    <row r="334" customFormat="false" ht="15" hidden="false" customHeight="false" outlineLevel="0" collapsed="false">
      <c r="A334" s="4" t="s">
        <v>2737</v>
      </c>
      <c r="B334" s="12" t="n">
        <v>2021</v>
      </c>
      <c r="C334" s="4" t="s">
        <v>105</v>
      </c>
      <c r="D334" s="4" t="s">
        <v>1993</v>
      </c>
      <c r="E334" s="4" t="s">
        <v>2001</v>
      </c>
      <c r="F334" s="4" t="s">
        <v>2074</v>
      </c>
      <c r="G334" s="4" t="s">
        <v>73</v>
      </c>
      <c r="H334" s="4" t="s">
        <v>1126</v>
      </c>
      <c r="I334" s="4" t="s">
        <v>2075</v>
      </c>
      <c r="J334" s="4" t="s">
        <v>1997</v>
      </c>
      <c r="K334" s="14">
        <f>IF(OR($I334="USO_NO_ENERGETICO_APARENTE",$I334="USO_ENERGETICO_INTERNO_APARENTE"),ROUND(SUMIFS($K$2:$K$618,$B$2:$B$618,$B334,$C$2:$C$618,$C334,$D$2:$D$618,"Energy products",$E$2:$E$618,"Supply",$G$2:$G$618,"&lt;&gt;STAT")-SUMIFS($K$2:$K$618,$B$2:$B$618,$B334,$C$2:$C$618,$C334,$D$2:$D$618,"Energy products",$E$2:$E$618,"Use",$G$2:$G$618,"&lt;&gt;STAT",$I$2:$I$618,"&lt;&gt;USO_NO_ENERGETICO_APARENTE",$I$2:$I$618,"&lt;&gt;USO_ENERGETICO_INTERNO_APARENTE"),10),IF(LEFT($H334,5)="STAT_",ROUND(SUMIFS($K$2:$K$618,$B$2:$B$618,$B334,$C$2:$C$618,$C334,$D$2:$D$618,"Energy products",$E$2:$E$618,"Supply",$G$2:$G$618,"&lt;&gt;STAT")-SUMIFS($K$2:$K$618,$B$2:$B$618,$B334,$C$2:$C$618,$C334,$D$2:$D$618,"Energy products",$E$2:$E$618,"Use",$G$2:$G$618,"&lt;&gt;STAT"),10),IF($J334="cambio de signo",-INDEX(DATOS_MODELO!$U$2:$U$3672,MATCH($H334,DATOS_MODELO!$B$2:$B$3672,0)),IF($J334="valor absoluto",ABS(INDEX(DATOS_MODELO!$U$2:$U$3672,MATCH($H334,DATOS_MODELO!$B$2:$B$3672,0))),INDEX(DATOS_MODELO!$U$2:$U$3672,MATCH($H334,DATOS_MODELO!$B$2:$B$3672,0))))))</f>
        <v>17567.2322</v>
      </c>
      <c r="L334" s="8" t="str">
        <f aca="false">IF(LEFT($H334,5)&lt;&gt;"STAT_","",IF(ABS($K334)&lt;=COUNTIFS($B$2:$B$618,$B334,$C$2:$C$618,$C334,$D$2:$D$618,"Energy products",$G$2:$G$618,"&lt;&gt;STAT")*PARAMETROS!$B$6,"redondeo","residuo_estadistico"))</f>
        <v/>
      </c>
      <c r="M334" s="8" t="str">
        <f>IF(OR($I334="USO_NO_ENERGETICO_APARENTE",$I334="USO_ENERGETICO_INTERNO_APARENTE"),"CAL",IF(LEFT($H334,5)="STAT_","FORMULA",IF(COUNTIF(DATOS_MODELO!$B$2:$B$3672,$H334)=1,"OK","REVISAR")))</f>
        <v>OK</v>
      </c>
    </row>
    <row r="335" customFormat="false" ht="15" hidden="false" customHeight="false" outlineLevel="0" collapsed="false">
      <c r="A335" s="4" t="s">
        <v>2739</v>
      </c>
      <c r="B335" s="12" t="n">
        <v>2021</v>
      </c>
      <c r="C335" s="4" t="s">
        <v>105</v>
      </c>
      <c r="D335" s="4" t="s">
        <v>1993</v>
      </c>
      <c r="E335" s="4" t="s">
        <v>2001</v>
      </c>
      <c r="F335" s="4" t="s">
        <v>2002</v>
      </c>
      <c r="G335" s="4" t="s">
        <v>72</v>
      </c>
      <c r="H335" s="4" t="s">
        <v>1127</v>
      </c>
      <c r="I335" s="4" t="s">
        <v>2079</v>
      </c>
      <c r="J335" s="4" t="s">
        <v>1997</v>
      </c>
      <c r="K335" s="14">
        <f>IF(OR($I335="USO_NO_ENERGETICO_APARENTE",$I335="USO_ENERGETICO_INTERNO_APARENTE"),ROUND(SUMIFS($K$2:$K$618,$B$2:$B$618,$B335,$C$2:$C$618,$C335,$D$2:$D$618,"Energy products",$E$2:$E$618,"Supply",$G$2:$G$618,"&lt;&gt;STAT")-SUMIFS($K$2:$K$618,$B$2:$B$618,$B335,$C$2:$C$618,$C335,$D$2:$D$618,"Energy products",$E$2:$E$618,"Use",$G$2:$G$618,"&lt;&gt;STAT",$I$2:$I$618,"&lt;&gt;USO_NO_ENERGETICO_APARENTE",$I$2:$I$618,"&lt;&gt;USO_ENERGETICO_INTERNO_APARENTE"),10),IF(LEFT($H335,5)="STAT_",ROUND(SUMIFS($K$2:$K$618,$B$2:$B$618,$B335,$C$2:$C$618,$C335,$D$2:$D$618,"Energy products",$E$2:$E$618,"Supply",$G$2:$G$618,"&lt;&gt;STAT")-SUMIFS($K$2:$K$618,$B$2:$B$618,$B335,$C$2:$C$618,$C335,$D$2:$D$618,"Energy products",$E$2:$E$618,"Use",$G$2:$G$618,"&lt;&gt;STAT"),10),IF($J335="cambio de signo",-INDEX(DATOS_MODELO!$U$2:$U$3672,MATCH($H335,DATOS_MODELO!$B$2:$B$3672,0)),IF($J335="valor absoluto",ABS(INDEX(DATOS_MODELO!$U$2:$U$3672,MATCH($H335,DATOS_MODELO!$B$2:$B$3672,0))),INDEX(DATOS_MODELO!$U$2:$U$3672,MATCH($H335,DATOS_MODELO!$B$2:$B$3672,0))))))</f>
        <v>456.3174</v>
      </c>
      <c r="L335" s="8" t="str">
        <f aca="false">IF(LEFT($H335,5)&lt;&gt;"STAT_","",IF(ABS($K335)&lt;=COUNTIFS($B$2:$B$618,$B335,$C$2:$C$618,$C335,$D$2:$D$618,"Energy products",$G$2:$G$618,"&lt;&gt;STAT")*PARAMETROS!$B$6,"redondeo","residuo_estadistico"))</f>
        <v/>
      </c>
      <c r="M335" s="8" t="str">
        <f>IF(OR($I335="USO_NO_ENERGETICO_APARENTE",$I335="USO_ENERGETICO_INTERNO_APARENTE"),"CAL",IF(LEFT($H335,5)="STAT_","FORMULA",IF(COUNTIF(DATOS_MODELO!$B$2:$B$3672,$H335)=1,"OK","REVISAR")))</f>
        <v>OK</v>
      </c>
    </row>
    <row r="336" customFormat="false" ht="15" hidden="false" customHeight="false" outlineLevel="0" collapsed="false">
      <c r="A336" s="4" t="s">
        <v>2741</v>
      </c>
      <c r="B336" s="12" t="n">
        <v>2021</v>
      </c>
      <c r="C336" s="4" t="s">
        <v>105</v>
      </c>
      <c r="D336" s="4" t="s">
        <v>1993</v>
      </c>
      <c r="E336" s="4" t="s">
        <v>2001</v>
      </c>
      <c r="F336" s="4" t="s">
        <v>2002</v>
      </c>
      <c r="G336" s="4" t="s">
        <v>68</v>
      </c>
      <c r="H336" s="4" t="s">
        <v>1128</v>
      </c>
      <c r="I336" s="4" t="s">
        <v>2111</v>
      </c>
      <c r="J336" s="4" t="s">
        <v>1997</v>
      </c>
      <c r="K336" s="14">
        <f>IF(OR($I336="USO_NO_ENERGETICO_APARENTE",$I336="USO_ENERGETICO_INTERNO_APARENTE"),ROUND(SUMIFS($K$2:$K$618,$B$2:$B$618,$B336,$C$2:$C$618,$C336,$D$2:$D$618,"Energy products",$E$2:$E$618,"Supply",$G$2:$G$618,"&lt;&gt;STAT")-SUMIFS($K$2:$K$618,$B$2:$B$618,$B336,$C$2:$C$618,$C336,$D$2:$D$618,"Energy products",$E$2:$E$618,"Use",$G$2:$G$618,"&lt;&gt;STAT",$I$2:$I$618,"&lt;&gt;USO_NO_ENERGETICO_APARENTE",$I$2:$I$618,"&lt;&gt;USO_ENERGETICO_INTERNO_APARENTE"),10),IF(LEFT($H336,5)="STAT_",ROUND(SUMIFS($K$2:$K$618,$B$2:$B$618,$B336,$C$2:$C$618,$C336,$D$2:$D$618,"Energy products",$E$2:$E$618,"Supply",$G$2:$G$618,"&lt;&gt;STAT")-SUMIFS($K$2:$K$618,$B$2:$B$618,$B336,$C$2:$C$618,$C336,$D$2:$D$618,"Energy products",$E$2:$E$618,"Use",$G$2:$G$618,"&lt;&gt;STAT"),10),IF($J336="cambio de signo",-INDEX(DATOS_MODELO!$U$2:$U$3672,MATCH($H336,DATOS_MODELO!$B$2:$B$3672,0)),IF($J336="valor absoluto",ABS(INDEX(DATOS_MODELO!$U$2:$U$3672,MATCH($H336,DATOS_MODELO!$B$2:$B$3672,0))),INDEX(DATOS_MODELO!$U$2:$U$3672,MATCH($H336,DATOS_MODELO!$B$2:$B$3672,0))))))</f>
        <v>4562.9416</v>
      </c>
      <c r="L336" s="8" t="str">
        <f aca="false">IF(LEFT($H336,5)&lt;&gt;"STAT_","",IF(ABS($K336)&lt;=COUNTIFS($B$2:$B$618,$B336,$C$2:$C$618,$C336,$D$2:$D$618,"Energy products",$G$2:$G$618,"&lt;&gt;STAT")*PARAMETROS!$B$6,"redondeo","residuo_estadistico"))</f>
        <v/>
      </c>
      <c r="M336" s="8" t="str">
        <f>IF(OR($I336="USO_NO_ENERGETICO_APARENTE",$I336="USO_ENERGETICO_INTERNO_APARENTE"),"CAL",IF(LEFT($H336,5)="STAT_","FORMULA",IF(COUNTIF(DATOS_MODELO!$B$2:$B$3672,$H336)=1,"OK","REVISAR")))</f>
        <v>OK</v>
      </c>
    </row>
    <row r="337" customFormat="false" ht="15" hidden="false" customHeight="false" outlineLevel="0" collapsed="false">
      <c r="A337" s="4" t="s">
        <v>2743</v>
      </c>
      <c r="B337" s="12" t="n">
        <v>2021</v>
      </c>
      <c r="C337" s="4" t="s">
        <v>107</v>
      </c>
      <c r="D337" s="4" t="s">
        <v>1993</v>
      </c>
      <c r="E337" s="4" t="s">
        <v>1994</v>
      </c>
      <c r="F337" s="4" t="s">
        <v>2029</v>
      </c>
      <c r="G337" s="4" t="s">
        <v>69</v>
      </c>
      <c r="H337" s="4" t="s">
        <v>1132</v>
      </c>
      <c r="I337" s="4" t="s">
        <v>2030</v>
      </c>
      <c r="J337" s="4" t="s">
        <v>1997</v>
      </c>
      <c r="K337" s="14">
        <f>IF(OR($I337="USO_NO_ENERGETICO_APARENTE",$I337="USO_ENERGETICO_INTERNO_APARENTE"),ROUND(SUMIFS($K$2:$K$618,$B$2:$B$618,$B337,$C$2:$C$618,$C337,$D$2:$D$618,"Energy products",$E$2:$E$618,"Supply",$G$2:$G$618,"&lt;&gt;STAT")-SUMIFS($K$2:$K$618,$B$2:$B$618,$B337,$C$2:$C$618,$C337,$D$2:$D$618,"Energy products",$E$2:$E$618,"Use",$G$2:$G$618,"&lt;&gt;STAT",$I$2:$I$618,"&lt;&gt;USO_NO_ENERGETICO_APARENTE",$I$2:$I$618,"&lt;&gt;USO_ENERGETICO_INTERNO_APARENTE"),10),IF(LEFT($H337,5)="STAT_",ROUND(SUMIFS($K$2:$K$618,$B$2:$B$618,$B337,$C$2:$C$618,$C337,$D$2:$D$618,"Energy products",$E$2:$E$618,"Supply",$G$2:$G$618,"&lt;&gt;STAT")-SUMIFS($K$2:$K$618,$B$2:$B$618,$B337,$C$2:$C$618,$C337,$D$2:$D$618,"Energy products",$E$2:$E$618,"Use",$G$2:$G$618,"&lt;&gt;STAT"),10),IF($J337="cambio de signo",-INDEX(DATOS_MODELO!$U$2:$U$3672,MATCH($H337,DATOS_MODELO!$B$2:$B$3672,0)),IF($J337="valor absoluto",ABS(INDEX(DATOS_MODELO!$U$2:$U$3672,MATCH($H337,DATOS_MODELO!$B$2:$B$3672,0))),INDEX(DATOS_MODELO!$U$2:$U$3672,MATCH($H337,DATOS_MODELO!$B$2:$B$3672,0))))))</f>
        <v>3482.9788</v>
      </c>
      <c r="L337" s="8" t="str">
        <f aca="false">IF(LEFT($H337,5)&lt;&gt;"STAT_","",IF(ABS($K337)&lt;=COUNTIFS($B$2:$B$618,$B337,$C$2:$C$618,$C337,$D$2:$D$618,"Energy products",$G$2:$G$618,"&lt;&gt;STAT")*PARAMETROS!$B$6,"redondeo","residuo_estadistico"))</f>
        <v/>
      </c>
      <c r="M337" s="8" t="str">
        <f>IF(OR($I337="USO_NO_ENERGETICO_APARENTE",$I337="USO_ENERGETICO_INTERNO_APARENTE"),"CAL",IF(LEFT($H337,5)="STAT_","FORMULA",IF(COUNTIF(DATOS_MODELO!$B$2:$B$3672,$H337)=1,"OK","REVISAR")))</f>
        <v>OK</v>
      </c>
    </row>
    <row r="338" customFormat="false" ht="15" hidden="false" customHeight="false" outlineLevel="0" collapsed="false">
      <c r="A338" s="4" t="s">
        <v>2745</v>
      </c>
      <c r="B338" s="12" t="n">
        <v>2021</v>
      </c>
      <c r="C338" s="4" t="s">
        <v>107</v>
      </c>
      <c r="D338" s="4" t="s">
        <v>1993</v>
      </c>
      <c r="E338" s="4" t="s">
        <v>2001</v>
      </c>
      <c r="F338" s="4" t="s">
        <v>2091</v>
      </c>
      <c r="G338" s="4" t="s">
        <v>69</v>
      </c>
      <c r="H338" s="4" t="s">
        <v>1133</v>
      </c>
      <c r="I338" s="4" t="s">
        <v>2030</v>
      </c>
      <c r="J338" s="4" t="s">
        <v>1997</v>
      </c>
      <c r="K338" s="14">
        <f>IF(OR($I338="USO_NO_ENERGETICO_APARENTE",$I338="USO_ENERGETICO_INTERNO_APARENTE"),ROUND(SUMIFS($K$2:$K$618,$B$2:$B$618,$B338,$C$2:$C$618,$C338,$D$2:$D$618,"Energy products",$E$2:$E$618,"Supply",$G$2:$G$618,"&lt;&gt;STAT")-SUMIFS($K$2:$K$618,$B$2:$B$618,$B338,$C$2:$C$618,$C338,$D$2:$D$618,"Energy products",$E$2:$E$618,"Use",$G$2:$G$618,"&lt;&gt;STAT",$I$2:$I$618,"&lt;&gt;USO_NO_ENERGETICO_APARENTE",$I$2:$I$618,"&lt;&gt;USO_ENERGETICO_INTERNO_APARENTE"),10),IF(LEFT($H338,5)="STAT_",ROUND(SUMIFS($K$2:$K$618,$B$2:$B$618,$B338,$C$2:$C$618,$C338,$D$2:$D$618,"Energy products",$E$2:$E$618,"Supply",$G$2:$G$618,"&lt;&gt;STAT")-SUMIFS($K$2:$K$618,$B$2:$B$618,$B338,$C$2:$C$618,$C338,$D$2:$D$618,"Energy products",$E$2:$E$618,"Use",$G$2:$G$618,"&lt;&gt;STAT"),10),IF($J338="cambio de signo",-INDEX(DATOS_MODELO!$U$2:$U$3672,MATCH($H338,DATOS_MODELO!$B$2:$B$3672,0)),IF($J338="valor absoluto",ABS(INDEX(DATOS_MODELO!$U$2:$U$3672,MATCH($H338,DATOS_MODELO!$B$2:$B$3672,0))),INDEX(DATOS_MODELO!$U$2:$U$3672,MATCH($H338,DATOS_MODELO!$B$2:$B$3672,0))))))</f>
        <v>97.9566</v>
      </c>
      <c r="L338" s="8" t="str">
        <f aca="false">IF(LEFT($H338,5)&lt;&gt;"STAT_","",IF(ABS($K338)&lt;=COUNTIFS($B$2:$B$618,$B338,$C$2:$C$618,$C338,$D$2:$D$618,"Energy products",$G$2:$G$618,"&lt;&gt;STAT")*PARAMETROS!$B$6,"redondeo","residuo_estadistico"))</f>
        <v/>
      </c>
      <c r="M338" s="8" t="str">
        <f>IF(OR($I338="USO_NO_ENERGETICO_APARENTE",$I338="USO_ENERGETICO_INTERNO_APARENTE"),"CAL",IF(LEFT($H338,5)="STAT_","FORMULA",IF(COUNTIF(DATOS_MODELO!$B$2:$B$3672,$H338)=1,"OK","REVISAR")))</f>
        <v>OK</v>
      </c>
    </row>
    <row r="339" customFormat="false" ht="15" hidden="false" customHeight="false" outlineLevel="0" collapsed="false">
      <c r="A339" s="4" t="s">
        <v>2747</v>
      </c>
      <c r="B339" s="12" t="n">
        <v>2021</v>
      </c>
      <c r="C339" s="4" t="s">
        <v>107</v>
      </c>
      <c r="D339" s="4" t="s">
        <v>1993</v>
      </c>
      <c r="E339" s="4" t="s">
        <v>2001</v>
      </c>
      <c r="F339" s="4" t="s">
        <v>2034</v>
      </c>
      <c r="G339" s="4" t="s">
        <v>74</v>
      </c>
      <c r="H339" s="4" t="s">
        <v>1134</v>
      </c>
      <c r="I339" s="4" t="s">
        <v>2035</v>
      </c>
      <c r="J339" s="4" t="s">
        <v>2036</v>
      </c>
      <c r="K339" s="14">
        <f>IF(OR($I339="USO_NO_ENERGETICO_APARENTE",$I339="USO_ENERGETICO_INTERNO_APARENTE"),ROUND(SUMIFS($K$2:$K$618,$B$2:$B$618,$B339,$C$2:$C$618,$C339,$D$2:$D$618,"Energy products",$E$2:$E$618,"Supply",$G$2:$G$618,"&lt;&gt;STAT")-SUMIFS($K$2:$K$618,$B$2:$B$618,$B339,$C$2:$C$618,$C339,$D$2:$D$618,"Energy products",$E$2:$E$618,"Use",$G$2:$G$618,"&lt;&gt;STAT",$I$2:$I$618,"&lt;&gt;USO_NO_ENERGETICO_APARENTE",$I$2:$I$618,"&lt;&gt;USO_ENERGETICO_INTERNO_APARENTE"),10),IF(LEFT($H339,5)="STAT_",ROUND(SUMIFS($K$2:$K$618,$B$2:$B$618,$B339,$C$2:$C$618,$C339,$D$2:$D$618,"Energy products",$E$2:$E$618,"Supply",$G$2:$G$618,"&lt;&gt;STAT")-SUMIFS($K$2:$K$618,$B$2:$B$618,$B339,$C$2:$C$618,$C339,$D$2:$D$618,"Energy products",$E$2:$E$618,"Use",$G$2:$G$618,"&lt;&gt;STAT"),10),IF($J339="cambio de signo",-INDEX(DATOS_MODELO!$U$2:$U$3672,MATCH($H339,DATOS_MODELO!$B$2:$B$3672,0)),IF($J339="valor absoluto",ABS(INDEX(DATOS_MODELO!$U$2:$U$3672,MATCH($H339,DATOS_MODELO!$B$2:$B$3672,0))),INDEX(DATOS_MODELO!$U$2:$U$3672,MATCH($H339,DATOS_MODELO!$B$2:$B$3672,0))))))</f>
        <v>-71.3468</v>
      </c>
      <c r="L339" s="8" t="str">
        <f aca="false">IF(LEFT($H339,5)&lt;&gt;"STAT_","",IF(ABS($K339)&lt;=COUNTIFS($B$2:$B$618,$B339,$C$2:$C$618,$C339,$D$2:$D$618,"Energy products",$G$2:$G$618,"&lt;&gt;STAT")*PARAMETROS!$B$6,"redondeo","residuo_estadistico"))</f>
        <v/>
      </c>
      <c r="M339" s="8" t="str">
        <f>IF(OR($I339="USO_NO_ENERGETICO_APARENTE",$I339="USO_ENERGETICO_INTERNO_APARENTE"),"CAL",IF(LEFT($H339,5)="STAT_","FORMULA",IF(COUNTIF(DATOS_MODELO!$B$2:$B$3672,$H339)=1,"OK","REVISAR")))</f>
        <v>OK</v>
      </c>
    </row>
    <row r="340" customFormat="false" ht="15" hidden="false" customHeight="false" outlineLevel="0" collapsed="false">
      <c r="A340" s="4" t="s">
        <v>2749</v>
      </c>
      <c r="B340" s="12" t="n">
        <v>2021</v>
      </c>
      <c r="C340" s="4" t="s">
        <v>107</v>
      </c>
      <c r="D340" s="4" t="s">
        <v>1993</v>
      </c>
      <c r="E340" s="4" t="s">
        <v>2001</v>
      </c>
      <c r="F340" s="4" t="s">
        <v>2002</v>
      </c>
      <c r="G340" s="4" t="s">
        <v>71</v>
      </c>
      <c r="H340" s="4" t="s">
        <v>1139</v>
      </c>
      <c r="I340" s="4" t="s">
        <v>2123</v>
      </c>
      <c r="J340" s="4" t="s">
        <v>1997</v>
      </c>
      <c r="K340" s="14">
        <f>IF(OR($I340="USO_NO_ENERGETICO_APARENTE",$I340="USO_ENERGETICO_INTERNO_APARENTE"),ROUND(SUMIFS($K$2:$K$618,$B$2:$B$618,$B340,$C$2:$C$618,$C340,$D$2:$D$618,"Energy products",$E$2:$E$618,"Supply",$G$2:$G$618,"&lt;&gt;STAT")-SUMIFS($K$2:$K$618,$B$2:$B$618,$B340,$C$2:$C$618,$C340,$D$2:$D$618,"Energy products",$E$2:$E$618,"Use",$G$2:$G$618,"&lt;&gt;STAT",$I$2:$I$618,"&lt;&gt;USO_NO_ENERGETICO_APARENTE",$I$2:$I$618,"&lt;&gt;USO_ENERGETICO_INTERNO_APARENTE"),10),IF(LEFT($H340,5)="STAT_",ROUND(SUMIFS($K$2:$K$618,$B$2:$B$618,$B340,$C$2:$C$618,$C340,$D$2:$D$618,"Energy products",$E$2:$E$618,"Supply",$G$2:$G$618,"&lt;&gt;STAT")-SUMIFS($K$2:$K$618,$B$2:$B$618,$B340,$C$2:$C$618,$C340,$D$2:$D$618,"Energy products",$E$2:$E$618,"Use",$G$2:$G$618,"&lt;&gt;STAT"),10),IF($J340="cambio de signo",-INDEX(DATOS_MODELO!$U$2:$U$3672,MATCH($H340,DATOS_MODELO!$B$2:$B$3672,0)),IF($J340="valor absoluto",ABS(INDEX(DATOS_MODELO!$U$2:$U$3672,MATCH($H340,DATOS_MODELO!$B$2:$B$3672,0))),INDEX(DATOS_MODELO!$U$2:$U$3672,MATCH($H340,DATOS_MODELO!$B$2:$B$3672,0))))))</f>
        <v>3456.4271</v>
      </c>
      <c r="L340" s="8" t="str">
        <f aca="false">IF(LEFT($H340,5)&lt;&gt;"STAT_","",IF(ABS($K340)&lt;=COUNTIFS($B$2:$B$618,$B340,$C$2:$C$618,$C340,$D$2:$D$618,"Energy products",$G$2:$G$618,"&lt;&gt;STAT")*PARAMETROS!$B$6,"redondeo","residuo_estadistico"))</f>
        <v/>
      </c>
      <c r="M340" s="8" t="str">
        <f>IF(OR($I340="USO_NO_ENERGETICO_APARENTE",$I340="USO_ENERGETICO_INTERNO_APARENTE"),"CAL",IF(LEFT($H340,5)="STAT_","FORMULA",IF(COUNTIF(DATOS_MODELO!$B$2:$B$3672,$H340)=1,"OK","REVISAR")))</f>
        <v>OK</v>
      </c>
    </row>
    <row r="341" customFormat="false" ht="15" hidden="false" customHeight="false" outlineLevel="0" collapsed="false">
      <c r="A341" s="4" t="s">
        <v>2751</v>
      </c>
      <c r="B341" s="12" t="n">
        <v>2021</v>
      </c>
      <c r="C341" s="4" t="s">
        <v>111</v>
      </c>
      <c r="D341" s="4" t="s">
        <v>1993</v>
      </c>
      <c r="E341" s="4" t="s">
        <v>1994</v>
      </c>
      <c r="F341" s="4" t="s">
        <v>2029</v>
      </c>
      <c r="G341" s="4" t="s">
        <v>69</v>
      </c>
      <c r="H341" s="4" t="s">
        <v>1146</v>
      </c>
      <c r="I341" s="4" t="s">
        <v>2030</v>
      </c>
      <c r="J341" s="4" t="s">
        <v>1997</v>
      </c>
      <c r="K341" s="14">
        <f>IF(OR($I341="USO_NO_ENERGETICO_APARENTE",$I341="USO_ENERGETICO_INTERNO_APARENTE"),ROUND(SUMIFS($K$2:$K$618,$B$2:$B$618,$B341,$C$2:$C$618,$C341,$D$2:$D$618,"Energy products",$E$2:$E$618,"Supply",$G$2:$G$618,"&lt;&gt;STAT")-SUMIFS($K$2:$K$618,$B$2:$B$618,$B341,$C$2:$C$618,$C341,$D$2:$D$618,"Energy products",$E$2:$E$618,"Use",$G$2:$G$618,"&lt;&gt;STAT",$I$2:$I$618,"&lt;&gt;USO_NO_ENERGETICO_APARENTE",$I$2:$I$618,"&lt;&gt;USO_ENERGETICO_INTERNO_APARENTE"),10),IF(LEFT($H341,5)="STAT_",ROUND(SUMIFS($K$2:$K$618,$B$2:$B$618,$B341,$C$2:$C$618,$C341,$D$2:$D$618,"Energy products",$E$2:$E$618,"Supply",$G$2:$G$618,"&lt;&gt;STAT")-SUMIFS($K$2:$K$618,$B$2:$B$618,$B341,$C$2:$C$618,$C341,$D$2:$D$618,"Energy products",$E$2:$E$618,"Use",$G$2:$G$618,"&lt;&gt;STAT"),10),IF($J341="cambio de signo",-INDEX(DATOS_MODELO!$U$2:$U$3672,MATCH($H341,DATOS_MODELO!$B$2:$B$3672,0)),IF($J341="valor absoluto",ABS(INDEX(DATOS_MODELO!$U$2:$U$3672,MATCH($H341,DATOS_MODELO!$B$2:$B$3672,0))),INDEX(DATOS_MODELO!$U$2:$U$3672,MATCH($H341,DATOS_MODELO!$B$2:$B$3672,0))))))</f>
        <v>239.6044</v>
      </c>
      <c r="L341" s="8" t="str">
        <f aca="false">IF(LEFT($H341,5)&lt;&gt;"STAT_","",IF(ABS($K341)&lt;=COUNTIFS($B$2:$B$618,$B341,$C$2:$C$618,$C341,$D$2:$D$618,"Energy products",$G$2:$G$618,"&lt;&gt;STAT")*PARAMETROS!$B$6,"redondeo","residuo_estadistico"))</f>
        <v/>
      </c>
      <c r="M341" s="8" t="str">
        <f>IF(OR($I341="USO_NO_ENERGETICO_APARENTE",$I341="USO_ENERGETICO_INTERNO_APARENTE"),"CAL",IF(LEFT($H341,5)="STAT_","FORMULA",IF(COUNTIF(DATOS_MODELO!$B$2:$B$3672,$H341)=1,"OK","REVISAR")))</f>
        <v>OK</v>
      </c>
    </row>
    <row r="342" customFormat="false" ht="15" hidden="false" customHeight="false" outlineLevel="0" collapsed="false">
      <c r="A342" s="4" t="s">
        <v>2753</v>
      </c>
      <c r="B342" s="12" t="n">
        <v>2021</v>
      </c>
      <c r="C342" s="4" t="s">
        <v>111</v>
      </c>
      <c r="D342" s="4" t="s">
        <v>1993</v>
      </c>
      <c r="E342" s="4" t="s">
        <v>2001</v>
      </c>
      <c r="F342" s="4" t="s">
        <v>2091</v>
      </c>
      <c r="G342" s="4" t="s">
        <v>69</v>
      </c>
      <c r="H342" s="4" t="s">
        <v>1147</v>
      </c>
      <c r="I342" s="4" t="s">
        <v>2030</v>
      </c>
      <c r="J342" s="4" t="s">
        <v>1997</v>
      </c>
      <c r="K342" s="14">
        <f>IF(OR($I342="USO_NO_ENERGETICO_APARENTE",$I342="USO_ENERGETICO_INTERNO_APARENTE"),ROUND(SUMIFS($K$2:$K$618,$B$2:$B$618,$B342,$C$2:$C$618,$C342,$D$2:$D$618,"Energy products",$E$2:$E$618,"Supply",$G$2:$G$618,"&lt;&gt;STAT")-SUMIFS($K$2:$K$618,$B$2:$B$618,$B342,$C$2:$C$618,$C342,$D$2:$D$618,"Energy products",$E$2:$E$618,"Use",$G$2:$G$618,"&lt;&gt;STAT",$I$2:$I$618,"&lt;&gt;USO_NO_ENERGETICO_APARENTE",$I$2:$I$618,"&lt;&gt;USO_ENERGETICO_INTERNO_APARENTE"),10),IF(LEFT($H342,5)="STAT_",ROUND(SUMIFS($K$2:$K$618,$B$2:$B$618,$B342,$C$2:$C$618,$C342,$D$2:$D$618,"Energy products",$E$2:$E$618,"Supply",$G$2:$G$618,"&lt;&gt;STAT")-SUMIFS($K$2:$K$618,$B$2:$B$618,$B342,$C$2:$C$618,$C342,$D$2:$D$618,"Energy products",$E$2:$E$618,"Use",$G$2:$G$618,"&lt;&gt;STAT"),10),IF($J342="cambio de signo",-INDEX(DATOS_MODELO!$U$2:$U$3672,MATCH($H342,DATOS_MODELO!$B$2:$B$3672,0)),IF($J342="valor absoluto",ABS(INDEX(DATOS_MODELO!$U$2:$U$3672,MATCH($H342,DATOS_MODELO!$B$2:$B$3672,0))),INDEX(DATOS_MODELO!$U$2:$U$3672,MATCH($H342,DATOS_MODELO!$B$2:$B$3672,0))))))</f>
        <v>2880.0751</v>
      </c>
      <c r="L342" s="8" t="str">
        <f aca="false">IF(LEFT($H342,5)&lt;&gt;"STAT_","",IF(ABS($K342)&lt;=COUNTIFS($B$2:$B$618,$B342,$C$2:$C$618,$C342,$D$2:$D$618,"Energy products",$G$2:$G$618,"&lt;&gt;STAT")*PARAMETROS!$B$6,"redondeo","residuo_estadistico"))</f>
        <v/>
      </c>
      <c r="M342" s="8" t="str">
        <f>IF(OR($I342="USO_NO_ENERGETICO_APARENTE",$I342="USO_ENERGETICO_INTERNO_APARENTE"),"CAL",IF(LEFT($H342,5)="STAT_","FORMULA",IF(COUNTIF(DATOS_MODELO!$B$2:$B$3672,$H342)=1,"OK","REVISAR")))</f>
        <v>OK</v>
      </c>
    </row>
    <row r="343" customFormat="false" ht="15" hidden="false" customHeight="false" outlineLevel="0" collapsed="false">
      <c r="A343" s="4" t="s">
        <v>2755</v>
      </c>
      <c r="B343" s="12" t="n">
        <v>2021</v>
      </c>
      <c r="C343" s="4" t="s">
        <v>111</v>
      </c>
      <c r="D343" s="4" t="s">
        <v>1993</v>
      </c>
      <c r="E343" s="4" t="s">
        <v>2001</v>
      </c>
      <c r="F343" s="4" t="s">
        <v>2034</v>
      </c>
      <c r="G343" s="4" t="s">
        <v>74</v>
      </c>
      <c r="H343" s="4" t="s">
        <v>1148</v>
      </c>
      <c r="I343" s="4" t="s">
        <v>2035</v>
      </c>
      <c r="J343" s="4" t="s">
        <v>2036</v>
      </c>
      <c r="K343" s="14">
        <f>IF(OR($I343="USO_NO_ENERGETICO_APARENTE",$I343="USO_ENERGETICO_INTERNO_APARENTE"),ROUND(SUMIFS($K$2:$K$618,$B$2:$B$618,$B343,$C$2:$C$618,$C343,$D$2:$D$618,"Energy products",$E$2:$E$618,"Supply",$G$2:$G$618,"&lt;&gt;STAT")-SUMIFS($K$2:$K$618,$B$2:$B$618,$B343,$C$2:$C$618,$C343,$D$2:$D$618,"Energy products",$E$2:$E$618,"Use",$G$2:$G$618,"&lt;&gt;STAT",$I$2:$I$618,"&lt;&gt;USO_NO_ENERGETICO_APARENTE",$I$2:$I$618,"&lt;&gt;USO_ENERGETICO_INTERNO_APARENTE"),10),IF(LEFT($H343,5)="STAT_",ROUND(SUMIFS($K$2:$K$618,$B$2:$B$618,$B343,$C$2:$C$618,$C343,$D$2:$D$618,"Energy products",$E$2:$E$618,"Supply",$G$2:$G$618,"&lt;&gt;STAT")-SUMIFS($K$2:$K$618,$B$2:$B$618,$B343,$C$2:$C$618,$C343,$D$2:$D$618,"Energy products",$E$2:$E$618,"Use",$G$2:$G$618,"&lt;&gt;STAT"),10),IF($J343="cambio de signo",-INDEX(DATOS_MODELO!$U$2:$U$3672,MATCH($H343,DATOS_MODELO!$B$2:$B$3672,0)),IF($J343="valor absoluto",ABS(INDEX(DATOS_MODELO!$U$2:$U$3672,MATCH($H343,DATOS_MODELO!$B$2:$B$3672,0))),INDEX(DATOS_MODELO!$U$2:$U$3672,MATCH($H343,DATOS_MODELO!$B$2:$B$3672,0))))))</f>
        <v>-9.7608</v>
      </c>
      <c r="L343" s="8" t="str">
        <f aca="false">IF(LEFT($H343,5)&lt;&gt;"STAT_","",IF(ABS($K343)&lt;=COUNTIFS($B$2:$B$618,$B343,$C$2:$C$618,$C343,$D$2:$D$618,"Energy products",$G$2:$G$618,"&lt;&gt;STAT")*PARAMETROS!$B$6,"redondeo","residuo_estadistico"))</f>
        <v/>
      </c>
      <c r="M343" s="8" t="str">
        <f>IF(OR($I343="USO_NO_ENERGETICO_APARENTE",$I343="USO_ENERGETICO_INTERNO_APARENTE"),"CAL",IF(LEFT($H343,5)="STAT_","FORMULA",IF(COUNTIF(DATOS_MODELO!$B$2:$B$3672,$H343)=1,"OK","REVISAR")))</f>
        <v>OK</v>
      </c>
    </row>
    <row r="344" customFormat="false" ht="15" hidden="false" customHeight="false" outlineLevel="0" collapsed="false">
      <c r="A344" s="4" t="s">
        <v>2757</v>
      </c>
      <c r="B344" s="12" t="n">
        <v>2021</v>
      </c>
      <c r="C344" s="4" t="s">
        <v>111</v>
      </c>
      <c r="D344" s="4" t="s">
        <v>1993</v>
      </c>
      <c r="E344" s="4" t="s">
        <v>1994</v>
      </c>
      <c r="F344" s="4" t="s">
        <v>1995</v>
      </c>
      <c r="G344" s="4" t="s">
        <v>67</v>
      </c>
      <c r="H344" s="4" t="s">
        <v>1149</v>
      </c>
      <c r="I344" s="4" t="s">
        <v>2097</v>
      </c>
      <c r="J344" s="4" t="s">
        <v>1997</v>
      </c>
      <c r="K344" s="14">
        <f>IF(OR($I344="USO_NO_ENERGETICO_APARENTE",$I344="USO_ENERGETICO_INTERNO_APARENTE"),ROUND(SUMIFS($K$2:$K$618,$B$2:$B$618,$B344,$C$2:$C$618,$C344,$D$2:$D$618,"Energy products",$E$2:$E$618,"Supply",$G$2:$G$618,"&lt;&gt;STAT")-SUMIFS($K$2:$K$618,$B$2:$B$618,$B344,$C$2:$C$618,$C344,$D$2:$D$618,"Energy products",$E$2:$E$618,"Use",$G$2:$G$618,"&lt;&gt;STAT",$I$2:$I$618,"&lt;&gt;USO_NO_ENERGETICO_APARENTE",$I$2:$I$618,"&lt;&gt;USO_ENERGETICO_INTERNO_APARENTE"),10),IF(LEFT($H344,5)="STAT_",ROUND(SUMIFS($K$2:$K$618,$B$2:$B$618,$B344,$C$2:$C$618,$C344,$D$2:$D$618,"Energy products",$E$2:$E$618,"Supply",$G$2:$G$618,"&lt;&gt;STAT")-SUMIFS($K$2:$K$618,$B$2:$B$618,$B344,$C$2:$C$618,$C344,$D$2:$D$618,"Energy products",$E$2:$E$618,"Use",$G$2:$G$618,"&lt;&gt;STAT"),10),IF($J344="cambio de signo",-INDEX(DATOS_MODELO!$U$2:$U$3672,MATCH($H344,DATOS_MODELO!$B$2:$B$3672,0)),IF($J344="valor absoluto",ABS(INDEX(DATOS_MODELO!$U$2:$U$3672,MATCH($H344,DATOS_MODELO!$B$2:$B$3672,0))),INDEX(DATOS_MODELO!$U$2:$U$3672,MATCH($H344,DATOS_MODELO!$B$2:$B$3672,0))))))</f>
        <v>4623.1913</v>
      </c>
      <c r="L344" s="8" t="str">
        <f aca="false">IF(LEFT($H344,5)&lt;&gt;"STAT_","",IF(ABS($K344)&lt;=COUNTIFS($B$2:$B$618,$B344,$C$2:$C$618,$C344,$D$2:$D$618,"Energy products",$G$2:$G$618,"&lt;&gt;STAT")*PARAMETROS!$B$6,"redondeo","residuo_estadistico"))</f>
        <v/>
      </c>
      <c r="M344" s="8" t="str">
        <f>IF(OR($I344="USO_NO_ENERGETICO_APARENTE",$I344="USO_ENERGETICO_INTERNO_APARENTE"),"CAL",IF(LEFT($H344,5)="STAT_","FORMULA",IF(COUNTIF(DATOS_MODELO!$B$2:$B$3672,$H344)=1,"OK","REVISAR")))</f>
        <v>OK</v>
      </c>
    </row>
    <row r="345" customFormat="false" ht="23.85" hidden="false" customHeight="false" outlineLevel="0" collapsed="false">
      <c r="A345" s="4" t="s">
        <v>2759</v>
      </c>
      <c r="B345" s="12" t="n">
        <v>2021</v>
      </c>
      <c r="C345" s="4" t="s">
        <v>97</v>
      </c>
      <c r="D345" s="4" t="s">
        <v>1993</v>
      </c>
      <c r="E345" s="4" t="s">
        <v>2001</v>
      </c>
      <c r="F345" s="4" t="s">
        <v>2218</v>
      </c>
      <c r="G345" s="4" t="s">
        <v>44</v>
      </c>
      <c r="H345" s="4" t="s">
        <v>2761</v>
      </c>
      <c r="I345" s="4" t="s">
        <v>2219</v>
      </c>
      <c r="J345" s="4" t="s">
        <v>2220</v>
      </c>
      <c r="K345" s="14">
        <f>IF(OR($I345="USO_NO_ENERGETICO_APARENTE",$I345="USO_ENERGETICO_INTERNO_APARENTE"),ROUND(SUMIFS($K$2:$K$618,$B$2:$B$618,$B345,$C$2:$C$618,$C345,$D$2:$D$618,"Energy products",$E$2:$E$618,"Supply",$G$2:$G$618,"&lt;&gt;STAT")-SUMIFS($K$2:$K$618,$B$2:$B$618,$B345,$C$2:$C$618,$C345,$D$2:$D$618,"Energy products",$E$2:$E$618,"Use",$G$2:$G$618,"&lt;&gt;STAT",$I$2:$I$618,"&lt;&gt;USO_NO_ENERGETICO_APARENTE",$I$2:$I$618,"&lt;&gt;USO_ENERGETICO_INTERNO_APARENTE"),10),IF(LEFT($H345,5)="STAT_",ROUND(SUMIFS($K$2:$K$618,$B$2:$B$618,$B345,$C$2:$C$618,$C345,$D$2:$D$618,"Energy products",$E$2:$E$618,"Supply",$G$2:$G$618,"&lt;&gt;STAT")-SUMIFS($K$2:$K$618,$B$2:$B$618,$B345,$C$2:$C$618,$C345,$D$2:$D$618,"Energy products",$E$2:$E$618,"Use",$G$2:$G$618,"&lt;&gt;STAT"),10),IF($J345="cambio de signo",-INDEX(DATOS_MODELO!$U$2:$U$3672,MATCH($H345,DATOS_MODELO!$B$2:$B$3672,0)),IF($J345="valor absoluto",ABS(INDEX(DATOS_MODELO!$U$2:$U$3672,MATCH($H345,DATOS_MODELO!$B$2:$B$3672,0))),INDEX(DATOS_MODELO!$U$2:$U$3672,MATCH($H345,DATOS_MODELO!$B$2:$B$3672,0))))))</f>
        <v>0.0581</v>
      </c>
      <c r="L345" s="8" t="str">
        <f aca="false">IF(LEFT($H345,5)&lt;&gt;"STAT_","",IF(ABS($K345)&lt;=COUNTIFS($B$2:$B$618,$B345,$C$2:$C$618,$C345,$D$2:$D$618,"Energy products",$G$2:$G$618,"&lt;&gt;STAT")*PARAMETROS!$B$6,"redondeo","residuo_estadistico"))</f>
        <v>redondeo</v>
      </c>
      <c r="M345" s="8" t="str">
        <f>IF(OR($I345="USO_NO_ENERGETICO_APARENTE",$I345="USO_ENERGETICO_INTERNO_APARENTE"),"CAL",IF(LEFT($H345,5)="STAT_","FORMULA",IF(COUNTIF(DATOS_MODELO!$B$2:$B$3672,$H345)=1,"OK","REVISAR")))</f>
        <v>FORMULA</v>
      </c>
    </row>
    <row r="346" customFormat="false" ht="23.85" hidden="false" customHeight="false" outlineLevel="0" collapsed="false">
      <c r="A346" s="4" t="s">
        <v>2762</v>
      </c>
      <c r="B346" s="12" t="n">
        <v>2021</v>
      </c>
      <c r="C346" s="4" t="s">
        <v>99</v>
      </c>
      <c r="D346" s="4" t="s">
        <v>1993</v>
      </c>
      <c r="E346" s="4" t="s">
        <v>2001</v>
      </c>
      <c r="F346" s="4" t="s">
        <v>2218</v>
      </c>
      <c r="G346" s="4" t="s">
        <v>44</v>
      </c>
      <c r="H346" s="4" t="s">
        <v>2764</v>
      </c>
      <c r="I346" s="4" t="s">
        <v>2219</v>
      </c>
      <c r="J346" s="4" t="s">
        <v>2220</v>
      </c>
      <c r="K346" s="14">
        <f>IF(OR($I346="USO_NO_ENERGETICO_APARENTE",$I346="USO_ENERGETICO_INTERNO_APARENTE"),ROUND(SUMIFS($K$2:$K$618,$B$2:$B$618,$B346,$C$2:$C$618,$C346,$D$2:$D$618,"Energy products",$E$2:$E$618,"Supply",$G$2:$G$618,"&lt;&gt;STAT")-SUMIFS($K$2:$K$618,$B$2:$B$618,$B346,$C$2:$C$618,$C346,$D$2:$D$618,"Energy products",$E$2:$E$618,"Use",$G$2:$G$618,"&lt;&gt;STAT",$I$2:$I$618,"&lt;&gt;USO_NO_ENERGETICO_APARENTE",$I$2:$I$618,"&lt;&gt;USO_ENERGETICO_INTERNO_APARENTE"),10),IF(LEFT($H346,5)="STAT_",ROUND(SUMIFS($K$2:$K$618,$B$2:$B$618,$B346,$C$2:$C$618,$C346,$D$2:$D$618,"Energy products",$E$2:$E$618,"Supply",$G$2:$G$618,"&lt;&gt;STAT")-SUMIFS($K$2:$K$618,$B$2:$B$618,$B346,$C$2:$C$618,$C346,$D$2:$D$618,"Energy products",$E$2:$E$618,"Use",$G$2:$G$618,"&lt;&gt;STAT"),10),IF($J346="cambio de signo",-INDEX(DATOS_MODELO!$U$2:$U$3672,MATCH($H346,DATOS_MODELO!$B$2:$B$3672,0)),IF($J346="valor absoluto",ABS(INDEX(DATOS_MODELO!$U$2:$U$3672,MATCH($H346,DATOS_MODELO!$B$2:$B$3672,0))),INDEX(DATOS_MODELO!$U$2:$U$3672,MATCH($H346,DATOS_MODELO!$B$2:$B$3672,0))))))</f>
        <v>0.1162</v>
      </c>
      <c r="L346" s="8" t="str">
        <f aca="false">IF(LEFT($H346,5)&lt;&gt;"STAT_","",IF(ABS($K346)&lt;=COUNTIFS($B$2:$B$618,$B346,$C$2:$C$618,$C346,$D$2:$D$618,"Energy products",$G$2:$G$618,"&lt;&gt;STAT")*PARAMETROS!$B$6,"redondeo","residuo_estadistico"))</f>
        <v>redondeo</v>
      </c>
      <c r="M346" s="8" t="str">
        <f>IF(OR($I346="USO_NO_ENERGETICO_APARENTE",$I346="USO_ENERGETICO_INTERNO_APARENTE"),"CAL",IF(LEFT($H346,5)="STAT_","FORMULA",IF(COUNTIF(DATOS_MODELO!$B$2:$B$3672,$H346)=1,"OK","REVISAR")))</f>
        <v>FORMULA</v>
      </c>
    </row>
    <row r="347" customFormat="false" ht="23.85" hidden="false" customHeight="false" outlineLevel="0" collapsed="false">
      <c r="A347" s="4" t="s">
        <v>2765</v>
      </c>
      <c r="B347" s="12" t="n">
        <v>2021</v>
      </c>
      <c r="C347" s="4" t="s">
        <v>101</v>
      </c>
      <c r="D347" s="4" t="s">
        <v>1993</v>
      </c>
      <c r="E347" s="4" t="s">
        <v>2001</v>
      </c>
      <c r="F347" s="4" t="s">
        <v>2218</v>
      </c>
      <c r="G347" s="4" t="s">
        <v>44</v>
      </c>
      <c r="H347" s="4" t="s">
        <v>2767</v>
      </c>
      <c r="I347" s="4" t="s">
        <v>2219</v>
      </c>
      <c r="J347" s="4" t="s">
        <v>2220</v>
      </c>
      <c r="K347" s="14">
        <f>IF(OR($I347="USO_NO_ENERGETICO_APARENTE",$I347="USO_ENERGETICO_INTERNO_APARENTE"),ROUND(SUMIFS($K$2:$K$618,$B$2:$B$618,$B347,$C$2:$C$618,$C347,$D$2:$D$618,"Energy products",$E$2:$E$618,"Supply",$G$2:$G$618,"&lt;&gt;STAT")-SUMIFS($K$2:$K$618,$B$2:$B$618,$B347,$C$2:$C$618,$C347,$D$2:$D$618,"Energy products",$E$2:$E$618,"Use",$G$2:$G$618,"&lt;&gt;STAT",$I$2:$I$618,"&lt;&gt;USO_NO_ENERGETICO_APARENTE",$I$2:$I$618,"&lt;&gt;USO_ENERGETICO_INTERNO_APARENTE"),10),IF(LEFT($H347,5)="STAT_",ROUND(SUMIFS($K$2:$K$618,$B$2:$B$618,$B347,$C$2:$C$618,$C347,$D$2:$D$618,"Energy products",$E$2:$E$618,"Supply",$G$2:$G$618,"&lt;&gt;STAT")-SUMIFS($K$2:$K$618,$B$2:$B$618,$B347,$C$2:$C$618,$C347,$D$2:$D$618,"Energy products",$E$2:$E$618,"Use",$G$2:$G$618,"&lt;&gt;STAT"),10),IF($J347="cambio de signo",-INDEX(DATOS_MODELO!$U$2:$U$3672,MATCH($H347,DATOS_MODELO!$B$2:$B$3672,0)),IF($J347="valor absoluto",ABS(INDEX(DATOS_MODELO!$U$2:$U$3672,MATCH($H347,DATOS_MODELO!$B$2:$B$3672,0))),INDEX(DATOS_MODELO!$U$2:$U$3672,MATCH($H347,DATOS_MODELO!$B$2:$B$3672,0))))))</f>
        <v>0.0581</v>
      </c>
      <c r="L347" s="8" t="str">
        <f aca="false">IF(LEFT($H347,5)&lt;&gt;"STAT_","",IF(ABS($K347)&lt;=COUNTIFS($B$2:$B$618,$B347,$C$2:$C$618,$C347,$D$2:$D$618,"Energy products",$G$2:$G$618,"&lt;&gt;STAT")*PARAMETROS!$B$6,"redondeo","residuo_estadistico"))</f>
        <v>redondeo</v>
      </c>
      <c r="M347" s="8" t="str">
        <f>IF(OR($I347="USO_NO_ENERGETICO_APARENTE",$I347="USO_ENERGETICO_INTERNO_APARENTE"),"CAL",IF(LEFT($H347,5)="STAT_","FORMULA",IF(COUNTIF(DATOS_MODELO!$B$2:$B$3672,$H347)=1,"OK","REVISAR")))</f>
        <v>FORMULA</v>
      </c>
    </row>
    <row r="348" customFormat="false" ht="23.85" hidden="false" customHeight="false" outlineLevel="0" collapsed="false">
      <c r="A348" s="4" t="s">
        <v>2768</v>
      </c>
      <c r="B348" s="12" t="n">
        <v>2021</v>
      </c>
      <c r="C348" s="4" t="s">
        <v>103</v>
      </c>
      <c r="D348" s="4" t="s">
        <v>1993</v>
      </c>
      <c r="E348" s="4" t="s">
        <v>2001</v>
      </c>
      <c r="F348" s="4" t="s">
        <v>2218</v>
      </c>
      <c r="G348" s="4" t="s">
        <v>44</v>
      </c>
      <c r="H348" s="4" t="s">
        <v>2770</v>
      </c>
      <c r="I348" s="4" t="s">
        <v>2219</v>
      </c>
      <c r="J348" s="4" t="s">
        <v>2220</v>
      </c>
      <c r="K348" s="14">
        <f>IF(OR($I348="USO_NO_ENERGETICO_APARENTE",$I348="USO_ENERGETICO_INTERNO_APARENTE"),ROUND(SUMIFS($K$2:$K$618,$B$2:$B$618,$B348,$C$2:$C$618,$C348,$D$2:$D$618,"Energy products",$E$2:$E$618,"Supply",$G$2:$G$618,"&lt;&gt;STAT")-SUMIFS($K$2:$K$618,$B$2:$B$618,$B348,$C$2:$C$618,$C348,$D$2:$D$618,"Energy products",$E$2:$E$618,"Use",$G$2:$G$618,"&lt;&gt;STAT",$I$2:$I$618,"&lt;&gt;USO_NO_ENERGETICO_APARENTE",$I$2:$I$618,"&lt;&gt;USO_ENERGETICO_INTERNO_APARENTE"),10),IF(LEFT($H348,5)="STAT_",ROUND(SUMIFS($K$2:$K$618,$B$2:$B$618,$B348,$C$2:$C$618,$C348,$D$2:$D$618,"Energy products",$E$2:$E$618,"Supply",$G$2:$G$618,"&lt;&gt;STAT")-SUMIFS($K$2:$K$618,$B$2:$B$618,$B348,$C$2:$C$618,$C348,$D$2:$D$618,"Energy products",$E$2:$E$618,"Use",$G$2:$G$618,"&lt;&gt;STAT"),10),IF($J348="cambio de signo",-INDEX(DATOS_MODELO!$U$2:$U$3672,MATCH($H348,DATOS_MODELO!$B$2:$B$3672,0)),IF($J348="valor absoluto",ABS(INDEX(DATOS_MODELO!$U$2:$U$3672,MATCH($H348,DATOS_MODELO!$B$2:$B$3672,0))),INDEX(DATOS_MODELO!$U$2:$U$3672,MATCH($H348,DATOS_MODELO!$B$2:$B$3672,0))))))</f>
        <v>0.0581</v>
      </c>
      <c r="L348" s="8" t="str">
        <f aca="false">IF(LEFT($H348,5)&lt;&gt;"STAT_","",IF(ABS($K348)&lt;=COUNTIFS($B$2:$B$618,$B348,$C$2:$C$618,$C348,$D$2:$D$618,"Energy products",$G$2:$G$618,"&lt;&gt;STAT")*PARAMETROS!$B$6,"redondeo","residuo_estadistico"))</f>
        <v>redondeo</v>
      </c>
      <c r="M348" s="8" t="str">
        <f>IF(OR($I348="USO_NO_ENERGETICO_APARENTE",$I348="USO_ENERGETICO_INTERNO_APARENTE"),"CAL",IF(LEFT($H348,5)="STAT_","FORMULA",IF(COUNTIF(DATOS_MODELO!$B$2:$B$3672,$H348)=1,"OK","REVISAR")))</f>
        <v>FORMULA</v>
      </c>
    </row>
    <row r="349" customFormat="false" ht="23.85" hidden="false" customHeight="false" outlineLevel="0" collapsed="false">
      <c r="A349" s="4" t="s">
        <v>2771</v>
      </c>
      <c r="B349" s="12" t="n">
        <v>2021</v>
      </c>
      <c r="C349" s="4" t="s">
        <v>105</v>
      </c>
      <c r="D349" s="4" t="s">
        <v>1993</v>
      </c>
      <c r="E349" s="4" t="s">
        <v>2001</v>
      </c>
      <c r="F349" s="4" t="s">
        <v>2218</v>
      </c>
      <c r="G349" s="4" t="s">
        <v>44</v>
      </c>
      <c r="H349" s="4" t="s">
        <v>2773</v>
      </c>
      <c r="I349" s="4" t="s">
        <v>2219</v>
      </c>
      <c r="J349" s="4" t="s">
        <v>2220</v>
      </c>
      <c r="K349" s="14">
        <f>IF(OR($I349="USO_NO_ENERGETICO_APARENTE",$I349="USO_ENERGETICO_INTERNO_APARENTE"),ROUND(SUMIFS($K$2:$K$618,$B$2:$B$618,$B349,$C$2:$C$618,$C349,$D$2:$D$618,"Energy products",$E$2:$E$618,"Supply",$G$2:$G$618,"&lt;&gt;STAT")-SUMIFS($K$2:$K$618,$B$2:$B$618,$B349,$C$2:$C$618,$C349,$D$2:$D$618,"Energy products",$E$2:$E$618,"Use",$G$2:$G$618,"&lt;&gt;STAT",$I$2:$I$618,"&lt;&gt;USO_NO_ENERGETICO_APARENTE",$I$2:$I$618,"&lt;&gt;USO_ENERGETICO_INTERNO_APARENTE"),10),IF(LEFT($H349,5)="STAT_",ROUND(SUMIFS($K$2:$K$618,$B$2:$B$618,$B349,$C$2:$C$618,$C349,$D$2:$D$618,"Energy products",$E$2:$E$618,"Supply",$G$2:$G$618,"&lt;&gt;STAT")-SUMIFS($K$2:$K$618,$B$2:$B$618,$B349,$C$2:$C$618,$C349,$D$2:$D$618,"Energy products",$E$2:$E$618,"Use",$G$2:$G$618,"&lt;&gt;STAT"),10),IF($J349="cambio de signo",-INDEX(DATOS_MODELO!$U$2:$U$3672,MATCH($H349,DATOS_MODELO!$B$2:$B$3672,0)),IF($J349="valor absoluto",ABS(INDEX(DATOS_MODELO!$U$2:$U$3672,MATCH($H349,DATOS_MODELO!$B$2:$B$3672,0))),INDEX(DATOS_MODELO!$U$2:$U$3672,MATCH($H349,DATOS_MODELO!$B$2:$B$3672,0))))))</f>
        <v>-0.1162</v>
      </c>
      <c r="L349" s="8" t="str">
        <f aca="false">IF(LEFT($H349,5)&lt;&gt;"STAT_","",IF(ABS($K349)&lt;=COUNTIFS($B$2:$B$618,$B349,$C$2:$C$618,$C349,$D$2:$D$618,"Energy products",$G$2:$G$618,"&lt;&gt;STAT")*PARAMETROS!$B$6,"redondeo","residuo_estadistico"))</f>
        <v>redondeo</v>
      </c>
      <c r="M349" s="8" t="str">
        <f>IF(OR($I349="USO_NO_ENERGETICO_APARENTE",$I349="USO_ENERGETICO_INTERNO_APARENTE"),"CAL",IF(LEFT($H349,5)="STAT_","FORMULA",IF(COUNTIF(DATOS_MODELO!$B$2:$B$3672,$H349)=1,"OK","REVISAR")))</f>
        <v>FORMULA</v>
      </c>
    </row>
    <row r="350" customFormat="false" ht="23.85" hidden="false" customHeight="false" outlineLevel="0" collapsed="false">
      <c r="A350" s="4" t="s">
        <v>2774</v>
      </c>
      <c r="B350" s="12" t="n">
        <v>2021</v>
      </c>
      <c r="C350" s="4" t="s">
        <v>107</v>
      </c>
      <c r="D350" s="4" t="s">
        <v>1993</v>
      </c>
      <c r="E350" s="4" t="s">
        <v>2001</v>
      </c>
      <c r="F350" s="4" t="s">
        <v>2218</v>
      </c>
      <c r="G350" s="4" t="s">
        <v>44</v>
      </c>
      <c r="H350" s="4" t="s">
        <v>2776</v>
      </c>
      <c r="I350" s="4" t="s">
        <v>2219</v>
      </c>
      <c r="J350" s="4" t="s">
        <v>2220</v>
      </c>
      <c r="K350" s="14">
        <f>IF(OR($I350="USO_NO_ENERGETICO_APARENTE",$I350="USO_ENERGETICO_INTERNO_APARENTE"),ROUND(SUMIFS($K$2:$K$618,$B$2:$B$618,$B350,$C$2:$C$618,$C350,$D$2:$D$618,"Energy products",$E$2:$E$618,"Supply",$G$2:$G$618,"&lt;&gt;STAT")-SUMIFS($K$2:$K$618,$B$2:$B$618,$B350,$C$2:$C$618,$C350,$D$2:$D$618,"Energy products",$E$2:$E$618,"Use",$G$2:$G$618,"&lt;&gt;STAT",$I$2:$I$618,"&lt;&gt;USO_NO_ENERGETICO_APARENTE",$I$2:$I$618,"&lt;&gt;USO_ENERGETICO_INTERNO_APARENTE"),10),IF(LEFT($H350,5)="STAT_",ROUND(SUMIFS($K$2:$K$618,$B$2:$B$618,$B350,$C$2:$C$618,$C350,$D$2:$D$618,"Energy products",$E$2:$E$618,"Supply",$G$2:$G$618,"&lt;&gt;STAT")-SUMIFS($K$2:$K$618,$B$2:$B$618,$B350,$C$2:$C$618,$C350,$D$2:$D$618,"Energy products",$E$2:$E$618,"Use",$G$2:$G$618,"&lt;&gt;STAT"),10),IF($J350="cambio de signo",-INDEX(DATOS_MODELO!$U$2:$U$3672,MATCH($H350,DATOS_MODELO!$B$2:$B$3672,0)),IF($J350="valor absoluto",ABS(INDEX(DATOS_MODELO!$U$2:$U$3672,MATCH($H350,DATOS_MODELO!$B$2:$B$3672,0))),INDEX(DATOS_MODELO!$U$2:$U$3672,MATCH($H350,DATOS_MODELO!$B$2:$B$3672,0))))))</f>
        <v>-0.0581</v>
      </c>
      <c r="L350" s="8" t="str">
        <f aca="false">IF(LEFT($H350,5)&lt;&gt;"STAT_","",IF(ABS($K350)&lt;=COUNTIFS($B$2:$B$618,$B350,$C$2:$C$618,$C350,$D$2:$D$618,"Energy products",$G$2:$G$618,"&lt;&gt;STAT")*PARAMETROS!$B$6,"redondeo","residuo_estadistico"))</f>
        <v>redondeo</v>
      </c>
      <c r="M350" s="8" t="str">
        <f>IF(OR($I350="USO_NO_ENERGETICO_APARENTE",$I350="USO_ENERGETICO_INTERNO_APARENTE"),"CAL",IF(LEFT($H350,5)="STAT_","FORMULA",IF(COUNTIF(DATOS_MODELO!$B$2:$B$3672,$H350)=1,"OK","REVISAR")))</f>
        <v>FORMULA</v>
      </c>
    </row>
    <row r="351" customFormat="false" ht="23.85" hidden="false" customHeight="false" outlineLevel="0" collapsed="false">
      <c r="A351" s="4" t="s">
        <v>2777</v>
      </c>
      <c r="B351" s="12" t="n">
        <v>2021</v>
      </c>
      <c r="C351" s="4" t="s">
        <v>111</v>
      </c>
      <c r="D351" s="4" t="s">
        <v>1993</v>
      </c>
      <c r="E351" s="4" t="s">
        <v>2001</v>
      </c>
      <c r="F351" s="4" t="s">
        <v>2002</v>
      </c>
      <c r="G351" s="4" t="s">
        <v>41</v>
      </c>
      <c r="H351" s="4" t="s">
        <v>2779</v>
      </c>
      <c r="I351" s="4" t="s">
        <v>2228</v>
      </c>
      <c r="J351" s="4" t="s">
        <v>1997</v>
      </c>
      <c r="K351" s="14">
        <f>IF(OR($I351="USO_NO_ENERGETICO_APARENTE",$I351="USO_ENERGETICO_INTERNO_APARENTE"),ROUND(SUMIFS($K$2:$K$618,$B$2:$B$618,$B351,$C$2:$C$618,$C351,$D$2:$D$618,"Energy products",$E$2:$E$618,"Supply",$G$2:$G$618,"&lt;&gt;STAT")-SUMIFS($K$2:$K$618,$B$2:$B$618,$B351,$C$2:$C$618,$C351,$D$2:$D$618,"Energy products",$E$2:$E$618,"Use",$G$2:$G$618,"&lt;&gt;STAT",$I$2:$I$618,"&lt;&gt;USO_NO_ENERGETICO_APARENTE",$I$2:$I$618,"&lt;&gt;USO_ENERGETICO_INTERNO_APARENTE"),10),IF(LEFT($H351,5)="STAT_",ROUND(SUMIFS($K$2:$K$618,$B$2:$B$618,$B351,$C$2:$C$618,$C351,$D$2:$D$618,"Energy products",$E$2:$E$618,"Supply",$G$2:$G$618,"&lt;&gt;STAT")-SUMIFS($K$2:$K$618,$B$2:$B$618,$B351,$C$2:$C$618,$C351,$D$2:$D$618,"Energy products",$E$2:$E$618,"Use",$G$2:$G$618,"&lt;&gt;STAT"),10),IF($J351="cambio de signo",-INDEX(DATOS_MODELO!$U$2:$U$3672,MATCH($H351,DATOS_MODELO!$B$2:$B$3672,0)),IF($J351="valor absoluto",ABS(INDEX(DATOS_MODELO!$U$2:$U$3672,MATCH($H351,DATOS_MODELO!$B$2:$B$3672,0))),INDEX(DATOS_MODELO!$U$2:$U$3672,MATCH($H351,DATOS_MODELO!$B$2:$B$3672,0))))))</f>
        <v>1992.4814</v>
      </c>
      <c r="L351" s="8" t="str">
        <f aca="false">IF(LEFT($H351,5)&lt;&gt;"STAT_","",IF(ABS($K351)&lt;=COUNTIFS($B$2:$B$618,$B351,$C$2:$C$618,$C351,$D$2:$D$618,"Energy products",$G$2:$G$618,"&lt;&gt;STAT")*PARAMETROS!$B$6,"redondeo","residuo_estadistico"))</f>
        <v/>
      </c>
      <c r="M351" s="8" t="str">
        <f>IF(OR($I351="USO_NO_ENERGETICO_APARENTE",$I351="USO_ENERGETICO_INTERNO_APARENTE"),"CAL",IF(LEFT($H351,5)="STAT_","FORMULA",IF(COUNTIF(DATOS_MODELO!$B$2:$B$3672,$H351)=1,"OK","REVISAR")))</f>
        <v>CAL</v>
      </c>
    </row>
    <row r="352" customFormat="false" ht="23.85" hidden="false" customHeight="false" outlineLevel="0" collapsed="false">
      <c r="A352" s="4" t="s">
        <v>2780</v>
      </c>
      <c r="B352" s="12" t="n">
        <v>2021</v>
      </c>
      <c r="C352" s="4" t="s">
        <v>86</v>
      </c>
      <c r="D352" s="4" t="s">
        <v>1993</v>
      </c>
      <c r="E352" s="4" t="s">
        <v>2001</v>
      </c>
      <c r="F352" s="4" t="s">
        <v>2218</v>
      </c>
      <c r="G352" s="4" t="s">
        <v>44</v>
      </c>
      <c r="H352" s="4" t="s">
        <v>2782</v>
      </c>
      <c r="I352" s="4" t="s">
        <v>2219</v>
      </c>
      <c r="J352" s="4" t="s">
        <v>2220</v>
      </c>
      <c r="K352" s="14">
        <f>IF(OR($I352="USO_NO_ENERGETICO_APARENTE",$I352="USO_ENERGETICO_INTERNO_APARENTE"),ROUND(SUMIFS($K$2:$K$618,$B$2:$B$618,$B352,$C$2:$C$618,$C352,$D$2:$D$618,"Energy products",$E$2:$E$618,"Supply",$G$2:$G$618,"&lt;&gt;STAT")-SUMIFS($K$2:$K$618,$B$2:$B$618,$B352,$C$2:$C$618,$C352,$D$2:$D$618,"Energy products",$E$2:$E$618,"Use",$G$2:$G$618,"&lt;&gt;STAT",$I$2:$I$618,"&lt;&gt;USO_NO_ENERGETICO_APARENTE",$I$2:$I$618,"&lt;&gt;USO_ENERGETICO_INTERNO_APARENTE"),10),IF(LEFT($H352,5)="STAT_",ROUND(SUMIFS($K$2:$K$618,$B$2:$B$618,$B352,$C$2:$C$618,$C352,$D$2:$D$618,"Energy products",$E$2:$E$618,"Supply",$G$2:$G$618,"&lt;&gt;STAT")-SUMIFS($K$2:$K$618,$B$2:$B$618,$B352,$C$2:$C$618,$C352,$D$2:$D$618,"Energy products",$E$2:$E$618,"Use",$G$2:$G$618,"&lt;&gt;STAT"),10),IF($J352="cambio de signo",-INDEX(DATOS_MODELO!$U$2:$U$3672,MATCH($H352,DATOS_MODELO!$B$2:$B$3672,0)),IF($J352="valor absoluto",ABS(INDEX(DATOS_MODELO!$U$2:$U$3672,MATCH($H352,DATOS_MODELO!$B$2:$B$3672,0))),INDEX(DATOS_MODELO!$U$2:$U$3672,MATCH($H352,DATOS_MODELO!$B$2:$B$3672,0))))))</f>
        <v>-0.0581</v>
      </c>
      <c r="L352" s="8" t="str">
        <f aca="false">IF(LEFT($H352,5)&lt;&gt;"STAT_","",IF(ABS($K352)&lt;=COUNTIFS($B$2:$B$618,$B352,$C$2:$C$618,$C352,$D$2:$D$618,"Energy products",$G$2:$G$618,"&lt;&gt;STAT")*PARAMETROS!$B$6,"redondeo","residuo_estadistico"))</f>
        <v>redondeo</v>
      </c>
      <c r="M352" s="8" t="str">
        <f>IF(OR($I352="USO_NO_ENERGETICO_APARENTE",$I352="USO_ENERGETICO_INTERNO_APARENTE"),"CAL",IF(LEFT($H352,5)="STAT_","FORMULA",IF(COUNTIF(DATOS_MODELO!$B$2:$B$3672,$H352)=1,"OK","REVISAR")))</f>
        <v>FORMULA</v>
      </c>
    </row>
    <row r="353" customFormat="false" ht="15" hidden="false" customHeight="false" outlineLevel="0" collapsed="false">
      <c r="A353" s="4" t="s">
        <v>2783</v>
      </c>
      <c r="B353" s="12" t="n">
        <v>2020</v>
      </c>
      <c r="C353" s="4" t="s">
        <v>91</v>
      </c>
      <c r="D353" s="4" t="s">
        <v>1993</v>
      </c>
      <c r="E353" s="4" t="s">
        <v>1994</v>
      </c>
      <c r="F353" s="4" t="s">
        <v>1995</v>
      </c>
      <c r="G353" s="4" t="s">
        <v>68</v>
      </c>
      <c r="H353" s="4" t="s">
        <v>669</v>
      </c>
      <c r="I353" s="4" t="s">
        <v>1996</v>
      </c>
      <c r="J353" s="4" t="s">
        <v>1997</v>
      </c>
      <c r="K353" s="14">
        <f>IF(OR($I353="USO_NO_ENERGETICO_APARENTE",$I353="USO_ENERGETICO_INTERNO_APARENTE"),ROUND(SUMIFS($K$2:$K$618,$B$2:$B$618,$B353,$C$2:$C$618,$C353,$D$2:$D$618,"Energy products",$E$2:$E$618,"Supply",$G$2:$G$618,"&lt;&gt;STAT")-SUMIFS($K$2:$K$618,$B$2:$B$618,$B353,$C$2:$C$618,$C353,$D$2:$D$618,"Energy products",$E$2:$E$618,"Use",$G$2:$G$618,"&lt;&gt;STAT",$I$2:$I$618,"&lt;&gt;USO_NO_ENERGETICO_APARENTE",$I$2:$I$618,"&lt;&gt;USO_ENERGETICO_INTERNO_APARENTE"),10),IF(LEFT($H353,5)="STAT_",ROUND(SUMIFS($K$2:$K$618,$B$2:$B$618,$B353,$C$2:$C$618,$C353,$D$2:$D$618,"Energy products",$E$2:$E$618,"Supply",$G$2:$G$618,"&lt;&gt;STAT")-SUMIFS($K$2:$K$618,$B$2:$B$618,$B353,$C$2:$C$618,$C353,$D$2:$D$618,"Energy products",$E$2:$E$618,"Use",$G$2:$G$618,"&lt;&gt;STAT"),10),IF($J353="cambio de signo",-INDEX(DATOS_MODELO!$U$2:$U$3672,MATCH($H353,DATOS_MODELO!$B$2:$B$3672,0)),IF($J353="valor absoluto",ABS(INDEX(DATOS_MODELO!$U$2:$U$3672,MATCH($H353,DATOS_MODELO!$B$2:$B$3672,0))),INDEX(DATOS_MODELO!$U$2:$U$3672,MATCH($H353,DATOS_MODELO!$B$2:$B$3672,0))))))</f>
        <v>53334.4056</v>
      </c>
      <c r="L353" s="8" t="str">
        <f aca="false">IF(LEFT($H353,5)&lt;&gt;"STAT_","",IF(ABS($K353)&lt;=COUNTIFS($B$2:$B$618,$B353,$C$2:$C$618,$C353,$D$2:$D$618,"Energy products",$G$2:$G$618,"&lt;&gt;STAT")*PARAMETROS!$B$6,"redondeo","residuo_estadistico"))</f>
        <v/>
      </c>
      <c r="M353" s="8" t="str">
        <f>IF(OR($I353="USO_NO_ENERGETICO_APARENTE",$I353="USO_ENERGETICO_INTERNO_APARENTE"),"CAL",IF(LEFT($H353,5)="STAT_","FORMULA",IF(COUNTIF(DATOS_MODELO!$B$2:$B$3672,$H353)=1,"OK","REVISAR")))</f>
        <v>OK</v>
      </c>
    </row>
    <row r="354" customFormat="false" ht="15" hidden="false" customHeight="false" outlineLevel="0" collapsed="false">
      <c r="A354" s="4" t="s">
        <v>2785</v>
      </c>
      <c r="B354" s="12" t="n">
        <v>2020</v>
      </c>
      <c r="C354" s="4" t="s">
        <v>91</v>
      </c>
      <c r="D354" s="4" t="s">
        <v>1993</v>
      </c>
      <c r="E354" s="4" t="s">
        <v>2001</v>
      </c>
      <c r="F354" s="4" t="s">
        <v>2002</v>
      </c>
      <c r="G354" s="4" t="s">
        <v>67</v>
      </c>
      <c r="H354" s="4" t="s">
        <v>674</v>
      </c>
      <c r="I354" s="4" t="s">
        <v>2003</v>
      </c>
      <c r="J354" s="4" t="s">
        <v>2004</v>
      </c>
      <c r="K354" s="14">
        <f>IF(OR($I354="USO_NO_ENERGETICO_APARENTE",$I354="USO_ENERGETICO_INTERNO_APARENTE"),ROUND(SUMIFS($K$2:$K$618,$B$2:$B$618,$B354,$C$2:$C$618,$C354,$D$2:$D$618,"Energy products",$E$2:$E$618,"Supply",$G$2:$G$618,"&lt;&gt;STAT")-SUMIFS($K$2:$K$618,$B$2:$B$618,$B354,$C$2:$C$618,$C354,$D$2:$D$618,"Energy products",$E$2:$E$618,"Use",$G$2:$G$618,"&lt;&gt;STAT",$I$2:$I$618,"&lt;&gt;USO_NO_ENERGETICO_APARENTE",$I$2:$I$618,"&lt;&gt;USO_ENERGETICO_INTERNO_APARENTE"),10),IF(LEFT($H354,5)="STAT_",ROUND(SUMIFS($K$2:$K$618,$B$2:$B$618,$B354,$C$2:$C$618,$C354,$D$2:$D$618,"Energy products",$E$2:$E$618,"Supply",$G$2:$G$618,"&lt;&gt;STAT")-SUMIFS($K$2:$K$618,$B$2:$B$618,$B354,$C$2:$C$618,$C354,$D$2:$D$618,"Energy products",$E$2:$E$618,"Use",$G$2:$G$618,"&lt;&gt;STAT"),10),IF($J354="cambio de signo",-INDEX(DATOS_MODELO!$U$2:$U$3672,MATCH($H354,DATOS_MODELO!$B$2:$B$3672,0)),IF($J354="valor absoluto",ABS(INDEX(DATOS_MODELO!$U$2:$U$3672,MATCH($H354,DATOS_MODELO!$B$2:$B$3672,0))),INDEX(DATOS_MODELO!$U$2:$U$3672,MATCH($H354,DATOS_MODELO!$B$2:$B$3672,0))))))</f>
        <v>46712.1095</v>
      </c>
      <c r="L354" s="8" t="str">
        <f aca="false">IF(LEFT($H354,5)&lt;&gt;"STAT_","",IF(ABS($K354)&lt;=COUNTIFS($B$2:$B$618,$B354,$C$2:$C$618,$C354,$D$2:$D$618,"Energy products",$G$2:$G$618,"&lt;&gt;STAT")*PARAMETROS!$B$6,"redondeo","residuo_estadistico"))</f>
        <v/>
      </c>
      <c r="M354" s="8" t="str">
        <f>IF(OR($I354="USO_NO_ENERGETICO_APARENTE",$I354="USO_ENERGETICO_INTERNO_APARENTE"),"CAL",IF(LEFT($H354,5)="STAT_","FORMULA",IF(COUNTIF(DATOS_MODELO!$B$2:$B$3672,$H354)=1,"OK","REVISAR")))</f>
        <v>OK</v>
      </c>
    </row>
    <row r="355" customFormat="false" ht="15" hidden="false" customHeight="false" outlineLevel="0" collapsed="false">
      <c r="A355" s="4" t="s">
        <v>2787</v>
      </c>
      <c r="B355" s="12" t="n">
        <v>2020</v>
      </c>
      <c r="C355" s="4" t="s">
        <v>91</v>
      </c>
      <c r="D355" s="4" t="s">
        <v>1993</v>
      </c>
      <c r="E355" s="4" t="s">
        <v>2001</v>
      </c>
      <c r="F355" s="4" t="s">
        <v>2002</v>
      </c>
      <c r="G355" s="4" t="s">
        <v>67</v>
      </c>
      <c r="H355" s="4" t="s">
        <v>675</v>
      </c>
      <c r="I355" s="4" t="s">
        <v>2008</v>
      </c>
      <c r="J355" s="4" t="s">
        <v>2004</v>
      </c>
      <c r="K355" s="14">
        <f>IF(OR($I355="USO_NO_ENERGETICO_APARENTE",$I355="USO_ENERGETICO_INTERNO_APARENTE"),ROUND(SUMIFS($K$2:$K$618,$B$2:$B$618,$B355,$C$2:$C$618,$C355,$D$2:$D$618,"Energy products",$E$2:$E$618,"Supply",$G$2:$G$618,"&lt;&gt;STAT")-SUMIFS($K$2:$K$618,$B$2:$B$618,$B355,$C$2:$C$618,$C355,$D$2:$D$618,"Energy products",$E$2:$E$618,"Use",$G$2:$G$618,"&lt;&gt;STAT",$I$2:$I$618,"&lt;&gt;USO_NO_ENERGETICO_APARENTE",$I$2:$I$618,"&lt;&gt;USO_ENERGETICO_INTERNO_APARENTE"),10),IF(LEFT($H355,5)="STAT_",ROUND(SUMIFS($K$2:$K$618,$B$2:$B$618,$B355,$C$2:$C$618,$C355,$D$2:$D$618,"Energy products",$E$2:$E$618,"Supply",$G$2:$G$618,"&lt;&gt;STAT")-SUMIFS($K$2:$K$618,$B$2:$B$618,$B355,$C$2:$C$618,$C355,$D$2:$D$618,"Energy products",$E$2:$E$618,"Use",$G$2:$G$618,"&lt;&gt;STAT"),10),IF($J355="cambio de signo",-INDEX(DATOS_MODELO!$U$2:$U$3672,MATCH($H355,DATOS_MODELO!$B$2:$B$3672,0)),IF($J355="valor absoluto",ABS(INDEX(DATOS_MODELO!$U$2:$U$3672,MATCH($H355,DATOS_MODELO!$B$2:$B$3672,0))),INDEX(DATOS_MODELO!$U$2:$U$3672,MATCH($H355,DATOS_MODELO!$B$2:$B$3672,0))))))</f>
        <v>6622.238</v>
      </c>
      <c r="L355" s="8" t="str">
        <f aca="false">IF(LEFT($H355,5)&lt;&gt;"STAT_","",IF(ABS($K355)&lt;=COUNTIFS($B$2:$B$618,$B355,$C$2:$C$618,$C355,$D$2:$D$618,"Energy products",$G$2:$G$618,"&lt;&gt;STAT")*PARAMETROS!$B$6,"redondeo","residuo_estadistico"))</f>
        <v/>
      </c>
      <c r="M355" s="8" t="str">
        <f>IF(OR($I355="USO_NO_ENERGETICO_APARENTE",$I355="USO_ENERGETICO_INTERNO_APARENTE"),"CAL",IF(LEFT($H355,5)="STAT_","FORMULA",IF(COUNTIF(DATOS_MODELO!$B$2:$B$3672,$H355)=1,"OK","REVISAR")))</f>
        <v>OK</v>
      </c>
    </row>
    <row r="356" customFormat="false" ht="15" hidden="false" customHeight="false" outlineLevel="0" collapsed="false">
      <c r="A356" s="4" t="s">
        <v>2789</v>
      </c>
      <c r="B356" s="12" t="n">
        <v>2020</v>
      </c>
      <c r="C356" s="4" t="s">
        <v>93</v>
      </c>
      <c r="D356" s="4" t="s">
        <v>1993</v>
      </c>
      <c r="E356" s="4" t="s">
        <v>1994</v>
      </c>
      <c r="F356" s="4" t="s">
        <v>1995</v>
      </c>
      <c r="G356" s="4" t="s">
        <v>67</v>
      </c>
      <c r="H356" s="4" t="s">
        <v>683</v>
      </c>
      <c r="I356" s="4" t="s">
        <v>2012</v>
      </c>
      <c r="J356" s="4" t="s">
        <v>1997</v>
      </c>
      <c r="K356" s="14">
        <f>IF(OR($I356="USO_NO_ENERGETICO_APARENTE",$I356="USO_ENERGETICO_INTERNO_APARENTE"),ROUND(SUMIFS($K$2:$K$618,$B$2:$B$618,$B356,$C$2:$C$618,$C356,$D$2:$D$618,"Energy products",$E$2:$E$618,"Supply",$G$2:$G$618,"&lt;&gt;STAT")-SUMIFS($K$2:$K$618,$B$2:$B$618,$B356,$C$2:$C$618,$C356,$D$2:$D$618,"Energy products",$E$2:$E$618,"Use",$G$2:$G$618,"&lt;&gt;STAT",$I$2:$I$618,"&lt;&gt;USO_NO_ENERGETICO_APARENTE",$I$2:$I$618,"&lt;&gt;USO_ENERGETICO_INTERNO_APARENTE"),10),IF(LEFT($H356,5)="STAT_",ROUND(SUMIFS($K$2:$K$618,$B$2:$B$618,$B356,$C$2:$C$618,$C356,$D$2:$D$618,"Energy products",$E$2:$E$618,"Supply",$G$2:$G$618,"&lt;&gt;STAT")-SUMIFS($K$2:$K$618,$B$2:$B$618,$B356,$C$2:$C$618,$C356,$D$2:$D$618,"Energy products",$E$2:$E$618,"Use",$G$2:$G$618,"&lt;&gt;STAT"),10),IF($J356="cambio de signo",-INDEX(DATOS_MODELO!$U$2:$U$3672,MATCH($H356,DATOS_MODELO!$B$2:$B$3672,0)),IF($J356="valor absoluto",ABS(INDEX(DATOS_MODELO!$U$2:$U$3672,MATCH($H356,DATOS_MODELO!$B$2:$B$3672,0))),INDEX(DATOS_MODELO!$U$2:$U$3672,MATCH($H356,DATOS_MODELO!$B$2:$B$3672,0))))))</f>
        <v>285.3291</v>
      </c>
      <c r="L356" s="8" t="str">
        <f aca="false">IF(LEFT($H356,5)&lt;&gt;"STAT_","",IF(ABS($K356)&lt;=COUNTIFS($B$2:$B$618,$B356,$C$2:$C$618,$C356,$D$2:$D$618,"Energy products",$G$2:$G$618,"&lt;&gt;STAT")*PARAMETROS!$B$6,"redondeo","residuo_estadistico"))</f>
        <v/>
      </c>
      <c r="M356" s="8" t="str">
        <f>IF(OR($I356="USO_NO_ENERGETICO_APARENTE",$I356="USO_ENERGETICO_INTERNO_APARENTE"),"CAL",IF(LEFT($H356,5)="STAT_","FORMULA",IF(COUNTIF(DATOS_MODELO!$B$2:$B$3672,$H356)=1,"OK","REVISAR")))</f>
        <v>OK</v>
      </c>
    </row>
    <row r="357" customFormat="false" ht="15" hidden="false" customHeight="false" outlineLevel="0" collapsed="false">
      <c r="A357" s="4" t="s">
        <v>2791</v>
      </c>
      <c r="B357" s="12" t="n">
        <v>2020</v>
      </c>
      <c r="C357" s="4" t="s">
        <v>93</v>
      </c>
      <c r="D357" s="4" t="s">
        <v>1993</v>
      </c>
      <c r="E357" s="4" t="s">
        <v>2001</v>
      </c>
      <c r="F357" s="4" t="s">
        <v>2002</v>
      </c>
      <c r="G357" s="4" t="s">
        <v>67</v>
      </c>
      <c r="H357" s="4" t="s">
        <v>688</v>
      </c>
      <c r="I357" s="4" t="s">
        <v>2003</v>
      </c>
      <c r="J357" s="4" t="s">
        <v>2004</v>
      </c>
      <c r="K357" s="14">
        <f>IF(OR($I357="USO_NO_ENERGETICO_APARENTE",$I357="USO_ENERGETICO_INTERNO_APARENTE"),ROUND(SUMIFS($K$2:$K$618,$B$2:$B$618,$B357,$C$2:$C$618,$C357,$D$2:$D$618,"Energy products",$E$2:$E$618,"Supply",$G$2:$G$618,"&lt;&gt;STAT")-SUMIFS($K$2:$K$618,$B$2:$B$618,$B357,$C$2:$C$618,$C357,$D$2:$D$618,"Energy products",$E$2:$E$618,"Use",$G$2:$G$618,"&lt;&gt;STAT",$I$2:$I$618,"&lt;&gt;USO_NO_ENERGETICO_APARENTE",$I$2:$I$618,"&lt;&gt;USO_ENERGETICO_INTERNO_APARENTE"),10),IF(LEFT($H357,5)="STAT_",ROUND(SUMIFS($K$2:$K$618,$B$2:$B$618,$B357,$C$2:$C$618,$C357,$D$2:$D$618,"Energy products",$E$2:$E$618,"Supply",$G$2:$G$618,"&lt;&gt;STAT")-SUMIFS($K$2:$K$618,$B$2:$B$618,$B357,$C$2:$C$618,$C357,$D$2:$D$618,"Energy products",$E$2:$E$618,"Use",$G$2:$G$618,"&lt;&gt;STAT"),10),IF($J357="cambio de signo",-INDEX(DATOS_MODELO!$U$2:$U$3672,MATCH($H357,DATOS_MODELO!$B$2:$B$3672,0)),IF($J357="valor absoluto",ABS(INDEX(DATOS_MODELO!$U$2:$U$3672,MATCH($H357,DATOS_MODELO!$B$2:$B$3672,0))),INDEX(DATOS_MODELO!$U$2:$U$3672,MATCH($H357,DATOS_MODELO!$B$2:$B$3672,0))))))</f>
        <v>285.3291</v>
      </c>
      <c r="L357" s="8" t="str">
        <f aca="false">IF(LEFT($H357,5)&lt;&gt;"STAT_","",IF(ABS($K357)&lt;=COUNTIFS($B$2:$B$618,$B357,$C$2:$C$618,$C357,$D$2:$D$618,"Energy products",$G$2:$G$618,"&lt;&gt;STAT")*PARAMETROS!$B$6,"redondeo","residuo_estadistico"))</f>
        <v/>
      </c>
      <c r="M357" s="8" t="str">
        <f>IF(OR($I357="USO_NO_ENERGETICO_APARENTE",$I357="USO_ENERGETICO_INTERNO_APARENTE"),"CAL",IF(LEFT($H357,5)="STAT_","FORMULA",IF(COUNTIF(DATOS_MODELO!$B$2:$B$3672,$H357)=1,"OK","REVISAR")))</f>
        <v>OK</v>
      </c>
    </row>
    <row r="358" customFormat="false" ht="15" hidden="false" customHeight="false" outlineLevel="0" collapsed="false">
      <c r="A358" s="4" t="s">
        <v>2793</v>
      </c>
      <c r="B358" s="12" t="n">
        <v>2020</v>
      </c>
      <c r="C358" s="4" t="s">
        <v>76</v>
      </c>
      <c r="D358" s="4" t="s">
        <v>2018</v>
      </c>
      <c r="E358" s="4" t="s">
        <v>1994</v>
      </c>
      <c r="F358" s="4" t="s">
        <v>65</v>
      </c>
      <c r="G358" s="4" t="s">
        <v>64</v>
      </c>
      <c r="H358" s="4" t="s">
        <v>697</v>
      </c>
      <c r="I358" s="4" t="s">
        <v>2019</v>
      </c>
      <c r="J358" s="4" t="s">
        <v>1997</v>
      </c>
      <c r="K358" s="14">
        <f>IF(OR($I358="USO_NO_ENERGETICO_APARENTE",$I358="USO_ENERGETICO_INTERNO_APARENTE"),ROUND(SUMIFS($K$2:$K$618,$B$2:$B$618,$B358,$C$2:$C$618,$C358,$D$2:$D$618,"Energy products",$E$2:$E$618,"Supply",$G$2:$G$618,"&lt;&gt;STAT")-SUMIFS($K$2:$K$618,$B$2:$B$618,$B358,$C$2:$C$618,$C358,$D$2:$D$618,"Energy products",$E$2:$E$618,"Use",$G$2:$G$618,"&lt;&gt;STAT",$I$2:$I$618,"&lt;&gt;USO_NO_ENERGETICO_APARENTE",$I$2:$I$618,"&lt;&gt;USO_ENERGETICO_INTERNO_APARENTE"),10),IF(LEFT($H358,5)="STAT_",ROUND(SUMIFS($K$2:$K$618,$B$2:$B$618,$B358,$C$2:$C$618,$C358,$D$2:$D$618,"Energy products",$E$2:$E$618,"Supply",$G$2:$G$618,"&lt;&gt;STAT")-SUMIFS($K$2:$K$618,$B$2:$B$618,$B358,$C$2:$C$618,$C358,$D$2:$D$618,"Energy products",$E$2:$E$618,"Use",$G$2:$G$618,"&lt;&gt;STAT"),10),IF($J358="cambio de signo",-INDEX(DATOS_MODELO!$U$2:$U$3672,MATCH($H358,DATOS_MODELO!$B$2:$B$3672,0)),IF($J358="valor absoluto",ABS(INDEX(DATOS_MODELO!$U$2:$U$3672,MATCH($H358,DATOS_MODELO!$B$2:$B$3672,0))),INDEX(DATOS_MODELO!$U$2:$U$3672,MATCH($H358,DATOS_MODELO!$B$2:$B$3672,0))))))</f>
        <v>0.0</v>
      </c>
      <c r="L358" s="8" t="str">
        <f aca="false">IF(LEFT($H358,5)&lt;&gt;"STAT_","",IF(ABS($K358)&lt;=COUNTIFS($B$2:$B$618,$B358,$C$2:$C$618,$C358,$D$2:$D$618,"Energy products",$G$2:$G$618,"&lt;&gt;STAT")*PARAMETROS!$B$6,"redondeo","residuo_estadistico"))</f>
        <v/>
      </c>
      <c r="M358" s="8" t="str">
        <f>IF(OR($I358="USO_NO_ENERGETICO_APARENTE",$I358="USO_ENERGETICO_INTERNO_APARENTE"),"CAL",IF(LEFT($H358,5)="STAT_","FORMULA",IF(COUNTIF(DATOS_MODELO!$B$2:$B$3672,$H358)=1,"OK","REVISAR")))</f>
        <v>OK</v>
      </c>
    </row>
    <row r="359" customFormat="false" ht="15" hidden="false" customHeight="false" outlineLevel="0" collapsed="false">
      <c r="A359" s="4" t="s">
        <v>2795</v>
      </c>
      <c r="B359" s="12" t="n">
        <v>2020</v>
      </c>
      <c r="C359" s="4" t="s">
        <v>76</v>
      </c>
      <c r="D359" s="4" t="s">
        <v>2018</v>
      </c>
      <c r="E359" s="4" t="s">
        <v>2001</v>
      </c>
      <c r="F359" s="4" t="s">
        <v>66</v>
      </c>
      <c r="G359" s="4" t="s">
        <v>66</v>
      </c>
      <c r="H359" s="4" t="s">
        <v>697</v>
      </c>
      <c r="I359" s="4" t="s">
        <v>2019</v>
      </c>
      <c r="J359" s="4" t="s">
        <v>1997</v>
      </c>
      <c r="K359" s="14">
        <f>IF(OR($I359="USO_NO_ENERGETICO_APARENTE",$I359="USO_ENERGETICO_INTERNO_APARENTE"),ROUND(SUMIFS($K$2:$K$618,$B$2:$B$618,$B359,$C$2:$C$618,$C359,$D$2:$D$618,"Energy products",$E$2:$E$618,"Supply",$G$2:$G$618,"&lt;&gt;STAT")-SUMIFS($K$2:$K$618,$B$2:$B$618,$B359,$C$2:$C$618,$C359,$D$2:$D$618,"Energy products",$E$2:$E$618,"Use",$G$2:$G$618,"&lt;&gt;STAT",$I$2:$I$618,"&lt;&gt;USO_NO_ENERGETICO_APARENTE",$I$2:$I$618,"&lt;&gt;USO_ENERGETICO_INTERNO_APARENTE"),10),IF(LEFT($H359,5)="STAT_",ROUND(SUMIFS($K$2:$K$618,$B$2:$B$618,$B359,$C$2:$C$618,$C359,$D$2:$D$618,"Energy products",$E$2:$E$618,"Supply",$G$2:$G$618,"&lt;&gt;STAT")-SUMIFS($K$2:$K$618,$B$2:$B$618,$B359,$C$2:$C$618,$C359,$D$2:$D$618,"Energy products",$E$2:$E$618,"Use",$G$2:$G$618,"&lt;&gt;STAT"),10),IF($J359="cambio de signo",-INDEX(DATOS_MODELO!$U$2:$U$3672,MATCH($H359,DATOS_MODELO!$B$2:$B$3672,0)),IF($J359="valor absoluto",ABS(INDEX(DATOS_MODELO!$U$2:$U$3672,MATCH($H359,DATOS_MODELO!$B$2:$B$3672,0))),INDEX(DATOS_MODELO!$U$2:$U$3672,MATCH($H359,DATOS_MODELO!$B$2:$B$3672,0))))))</f>
        <v>0.0</v>
      </c>
      <c r="L359" s="8" t="str">
        <f aca="false">IF(LEFT($H359,5)&lt;&gt;"STAT_","",IF(ABS($K359)&lt;=COUNTIFS($B$2:$B$618,$B359,$C$2:$C$618,$C359,$D$2:$D$618,"Energy products",$G$2:$G$618,"&lt;&gt;STAT")*PARAMETROS!$B$6,"redondeo","residuo_estadistico"))</f>
        <v/>
      </c>
      <c r="M359" s="8" t="str">
        <f>IF(OR($I359="USO_NO_ENERGETICO_APARENTE",$I359="USO_ENERGETICO_INTERNO_APARENTE"),"CAL",IF(LEFT($H359,5)="STAT_","FORMULA",IF(COUNTIF(DATOS_MODELO!$B$2:$B$3672,$H359)=1,"OK","REVISAR")))</f>
        <v>OK</v>
      </c>
    </row>
    <row r="360" customFormat="false" ht="15" hidden="false" customHeight="false" outlineLevel="0" collapsed="false">
      <c r="A360" s="4" t="s">
        <v>2797</v>
      </c>
      <c r="B360" s="12" t="n">
        <v>2020</v>
      </c>
      <c r="C360" s="4" t="s">
        <v>76</v>
      </c>
      <c r="D360" s="4" t="s">
        <v>1993</v>
      </c>
      <c r="E360" s="4" t="s">
        <v>1994</v>
      </c>
      <c r="F360" s="4" t="s">
        <v>1995</v>
      </c>
      <c r="G360" s="4" t="s">
        <v>66</v>
      </c>
      <c r="H360" s="4" t="s">
        <v>697</v>
      </c>
      <c r="I360" s="4" t="s">
        <v>2019</v>
      </c>
      <c r="J360" s="4" t="s">
        <v>1997</v>
      </c>
      <c r="K360" s="14">
        <f>IF(OR($I360="USO_NO_ENERGETICO_APARENTE",$I360="USO_ENERGETICO_INTERNO_APARENTE"),ROUND(SUMIFS($K$2:$K$618,$B$2:$B$618,$B360,$C$2:$C$618,$C360,$D$2:$D$618,"Energy products",$E$2:$E$618,"Supply",$G$2:$G$618,"&lt;&gt;STAT")-SUMIFS($K$2:$K$618,$B$2:$B$618,$B360,$C$2:$C$618,$C360,$D$2:$D$618,"Energy products",$E$2:$E$618,"Use",$G$2:$G$618,"&lt;&gt;STAT",$I$2:$I$618,"&lt;&gt;USO_NO_ENERGETICO_APARENTE",$I$2:$I$618,"&lt;&gt;USO_ENERGETICO_INTERNO_APARENTE"),10),IF(LEFT($H360,5)="STAT_",ROUND(SUMIFS($K$2:$K$618,$B$2:$B$618,$B360,$C$2:$C$618,$C360,$D$2:$D$618,"Energy products",$E$2:$E$618,"Supply",$G$2:$G$618,"&lt;&gt;STAT")-SUMIFS($K$2:$K$618,$B$2:$B$618,$B360,$C$2:$C$618,$C360,$D$2:$D$618,"Energy products",$E$2:$E$618,"Use",$G$2:$G$618,"&lt;&gt;STAT"),10),IF($J360="cambio de signo",-INDEX(DATOS_MODELO!$U$2:$U$3672,MATCH($H360,DATOS_MODELO!$B$2:$B$3672,0)),IF($J360="valor absoluto",ABS(INDEX(DATOS_MODELO!$U$2:$U$3672,MATCH($H360,DATOS_MODELO!$B$2:$B$3672,0))),INDEX(DATOS_MODELO!$U$2:$U$3672,MATCH($H360,DATOS_MODELO!$B$2:$B$3672,0))))))</f>
        <v>0.0</v>
      </c>
      <c r="L360" s="8" t="str">
        <f aca="false">IF(LEFT($H360,5)&lt;&gt;"STAT_","",IF(ABS($K360)&lt;=COUNTIFS($B$2:$B$618,$B360,$C$2:$C$618,$C360,$D$2:$D$618,"Energy products",$G$2:$G$618,"&lt;&gt;STAT")*PARAMETROS!$B$6,"redondeo","residuo_estadistico"))</f>
        <v/>
      </c>
      <c r="M360" s="8" t="str">
        <f>IF(OR($I360="USO_NO_ENERGETICO_APARENTE",$I360="USO_ENERGETICO_INTERNO_APARENTE"),"CAL",IF(LEFT($H360,5)="STAT_","FORMULA",IF(COUNTIF(DATOS_MODELO!$B$2:$B$3672,$H360)=1,"OK","REVISAR")))</f>
        <v>OK</v>
      </c>
    </row>
    <row r="361" customFormat="false" ht="15" hidden="false" customHeight="false" outlineLevel="0" collapsed="false">
      <c r="A361" s="4" t="s">
        <v>2799</v>
      </c>
      <c r="B361" s="12" t="n">
        <v>2020</v>
      </c>
      <c r="C361" s="4" t="s">
        <v>76</v>
      </c>
      <c r="D361" s="4" t="s">
        <v>1993</v>
      </c>
      <c r="E361" s="4" t="s">
        <v>1994</v>
      </c>
      <c r="F361" s="4" t="s">
        <v>2029</v>
      </c>
      <c r="G361" s="4" t="s">
        <v>69</v>
      </c>
      <c r="H361" s="4" t="s">
        <v>698</v>
      </c>
      <c r="I361" s="4" t="s">
        <v>2030</v>
      </c>
      <c r="J361" s="4" t="s">
        <v>1997</v>
      </c>
      <c r="K361" s="14">
        <f>IF(OR($I361="USO_NO_ENERGETICO_APARENTE",$I361="USO_ENERGETICO_INTERNO_APARENTE"),ROUND(SUMIFS($K$2:$K$618,$B$2:$B$618,$B361,$C$2:$C$618,$C361,$D$2:$D$618,"Energy products",$E$2:$E$618,"Supply",$G$2:$G$618,"&lt;&gt;STAT")-SUMIFS($K$2:$K$618,$B$2:$B$618,$B361,$C$2:$C$618,$C361,$D$2:$D$618,"Energy products",$E$2:$E$618,"Use",$G$2:$G$618,"&lt;&gt;STAT",$I$2:$I$618,"&lt;&gt;USO_NO_ENERGETICO_APARENTE",$I$2:$I$618,"&lt;&gt;USO_ENERGETICO_INTERNO_APARENTE"),10),IF(LEFT($H361,5)="STAT_",ROUND(SUMIFS($K$2:$K$618,$B$2:$B$618,$B361,$C$2:$C$618,$C361,$D$2:$D$618,"Energy products",$E$2:$E$618,"Supply",$G$2:$G$618,"&lt;&gt;STAT")-SUMIFS($K$2:$K$618,$B$2:$B$618,$B361,$C$2:$C$618,$C361,$D$2:$D$618,"Energy products",$E$2:$E$618,"Use",$G$2:$G$618,"&lt;&gt;STAT"),10),IF($J361="cambio de signo",-INDEX(DATOS_MODELO!$U$2:$U$3672,MATCH($H361,DATOS_MODELO!$B$2:$B$3672,0)),IF($J361="valor absoluto",ABS(INDEX(DATOS_MODELO!$U$2:$U$3672,MATCH($H361,DATOS_MODELO!$B$2:$B$3672,0))),INDEX(DATOS_MODELO!$U$2:$U$3672,MATCH($H361,DATOS_MODELO!$B$2:$B$3672,0))))))</f>
        <v>32260.3155</v>
      </c>
      <c r="L361" s="8" t="str">
        <f aca="false">IF(LEFT($H361,5)&lt;&gt;"STAT_","",IF(ABS($K361)&lt;=COUNTIFS($B$2:$B$618,$B361,$C$2:$C$618,$C361,$D$2:$D$618,"Energy products",$G$2:$G$618,"&lt;&gt;STAT")*PARAMETROS!$B$6,"redondeo","residuo_estadistico"))</f>
        <v/>
      </c>
      <c r="M361" s="8" t="str">
        <f>IF(OR($I361="USO_NO_ENERGETICO_APARENTE",$I361="USO_ENERGETICO_INTERNO_APARENTE"),"CAL",IF(LEFT($H361,5)="STAT_","FORMULA",IF(COUNTIF(DATOS_MODELO!$B$2:$B$3672,$H361)=1,"OK","REVISAR")))</f>
        <v>OK</v>
      </c>
    </row>
    <row r="362" customFormat="false" ht="15" hidden="false" customHeight="false" outlineLevel="0" collapsed="false">
      <c r="A362" s="4" t="s">
        <v>2801</v>
      </c>
      <c r="B362" s="12" t="n">
        <v>2020</v>
      </c>
      <c r="C362" s="4" t="s">
        <v>76</v>
      </c>
      <c r="D362" s="4" t="s">
        <v>1993</v>
      </c>
      <c r="E362" s="4" t="s">
        <v>2001</v>
      </c>
      <c r="F362" s="4" t="s">
        <v>2034</v>
      </c>
      <c r="G362" s="4" t="s">
        <v>74</v>
      </c>
      <c r="H362" s="4" t="s">
        <v>700</v>
      </c>
      <c r="I362" s="4" t="s">
        <v>2035</v>
      </c>
      <c r="J362" s="4" t="s">
        <v>2036</v>
      </c>
      <c r="K362" s="14">
        <f>IF(OR($I362="USO_NO_ENERGETICO_APARENTE",$I362="USO_ENERGETICO_INTERNO_APARENTE"),ROUND(SUMIFS($K$2:$K$618,$B$2:$B$618,$B362,$C$2:$C$618,$C362,$D$2:$D$618,"Energy products",$E$2:$E$618,"Supply",$G$2:$G$618,"&lt;&gt;STAT")-SUMIFS($K$2:$K$618,$B$2:$B$618,$B362,$C$2:$C$618,$C362,$D$2:$D$618,"Energy products",$E$2:$E$618,"Use",$G$2:$G$618,"&lt;&gt;STAT",$I$2:$I$618,"&lt;&gt;USO_NO_ENERGETICO_APARENTE",$I$2:$I$618,"&lt;&gt;USO_ENERGETICO_INTERNO_APARENTE"),10),IF(LEFT($H362,5)="STAT_",ROUND(SUMIFS($K$2:$K$618,$B$2:$B$618,$B362,$C$2:$C$618,$C362,$D$2:$D$618,"Energy products",$E$2:$E$618,"Supply",$G$2:$G$618,"&lt;&gt;STAT")-SUMIFS($K$2:$K$618,$B$2:$B$618,$B362,$C$2:$C$618,$C362,$D$2:$D$618,"Energy products",$E$2:$E$618,"Use",$G$2:$G$618,"&lt;&gt;STAT"),10),IF($J362="cambio de signo",-INDEX(DATOS_MODELO!$U$2:$U$3672,MATCH($H362,DATOS_MODELO!$B$2:$B$3672,0)),IF($J362="valor absoluto",ABS(INDEX(DATOS_MODELO!$U$2:$U$3672,MATCH($H362,DATOS_MODELO!$B$2:$B$3672,0))),INDEX(DATOS_MODELO!$U$2:$U$3672,MATCH($H362,DATOS_MODELO!$B$2:$B$3672,0))))))</f>
        <v>-375.4422</v>
      </c>
      <c r="L362" s="8" t="str">
        <f aca="false">IF(LEFT($H362,5)&lt;&gt;"STAT_","",IF(ABS($K362)&lt;=COUNTIFS($B$2:$B$618,$B362,$C$2:$C$618,$C362,$D$2:$D$618,"Energy products",$G$2:$G$618,"&lt;&gt;STAT")*PARAMETROS!$B$6,"redondeo","residuo_estadistico"))</f>
        <v/>
      </c>
      <c r="M362" s="8" t="str">
        <f>IF(OR($I362="USO_NO_ENERGETICO_APARENTE",$I362="USO_ENERGETICO_INTERNO_APARENTE"),"CAL",IF(LEFT($H362,5)="STAT_","FORMULA",IF(COUNTIF(DATOS_MODELO!$B$2:$B$3672,$H362)=1,"OK","REVISAR")))</f>
        <v>OK</v>
      </c>
    </row>
    <row r="363" customFormat="false" ht="15" hidden="false" customHeight="false" outlineLevel="0" collapsed="false">
      <c r="A363" s="4" t="s">
        <v>2803</v>
      </c>
      <c r="B363" s="12" t="n">
        <v>2020</v>
      </c>
      <c r="C363" s="4" t="s">
        <v>76</v>
      </c>
      <c r="D363" s="4" t="s">
        <v>1993</v>
      </c>
      <c r="E363" s="4" t="s">
        <v>2001</v>
      </c>
      <c r="F363" s="4" t="s">
        <v>2002</v>
      </c>
      <c r="G363" s="4" t="s">
        <v>67</v>
      </c>
      <c r="H363" s="4" t="s">
        <v>702</v>
      </c>
      <c r="I363" s="4" t="s">
        <v>2003</v>
      </c>
      <c r="J363" s="4" t="s">
        <v>2004</v>
      </c>
      <c r="K363" s="14">
        <f>IF(OR($I363="USO_NO_ENERGETICO_APARENTE",$I363="USO_ENERGETICO_INTERNO_APARENTE"),ROUND(SUMIFS($K$2:$K$618,$B$2:$B$618,$B363,$C$2:$C$618,$C363,$D$2:$D$618,"Energy products",$E$2:$E$618,"Supply",$G$2:$G$618,"&lt;&gt;STAT")-SUMIFS($K$2:$K$618,$B$2:$B$618,$B363,$C$2:$C$618,$C363,$D$2:$D$618,"Energy products",$E$2:$E$618,"Use",$G$2:$G$618,"&lt;&gt;STAT",$I$2:$I$618,"&lt;&gt;USO_NO_ENERGETICO_APARENTE",$I$2:$I$618,"&lt;&gt;USO_ENERGETICO_INTERNO_APARENTE"),10),IF(LEFT($H363,5)="STAT_",ROUND(SUMIFS($K$2:$K$618,$B$2:$B$618,$B363,$C$2:$C$618,$C363,$D$2:$D$618,"Energy products",$E$2:$E$618,"Supply",$G$2:$G$618,"&lt;&gt;STAT")-SUMIFS($K$2:$K$618,$B$2:$B$618,$B363,$C$2:$C$618,$C363,$D$2:$D$618,"Energy products",$E$2:$E$618,"Use",$G$2:$G$618,"&lt;&gt;STAT"),10),IF($J363="cambio de signo",-INDEX(DATOS_MODELO!$U$2:$U$3672,MATCH($H363,DATOS_MODELO!$B$2:$B$3672,0)),IF($J363="valor absoluto",ABS(INDEX(DATOS_MODELO!$U$2:$U$3672,MATCH($H363,DATOS_MODELO!$B$2:$B$3672,0))),INDEX(DATOS_MODELO!$U$2:$U$3672,MATCH($H363,DATOS_MODELO!$B$2:$B$3672,0))))))</f>
        <v>32635.7577</v>
      </c>
      <c r="L363" s="8" t="str">
        <f aca="false">IF(LEFT($H363,5)&lt;&gt;"STAT_","",IF(ABS($K363)&lt;=COUNTIFS($B$2:$B$618,$B363,$C$2:$C$618,$C363,$D$2:$D$618,"Energy products",$G$2:$G$618,"&lt;&gt;STAT")*PARAMETROS!$B$6,"redondeo","residuo_estadistico"))</f>
        <v/>
      </c>
      <c r="M363" s="8" t="str">
        <f>IF(OR($I363="USO_NO_ENERGETICO_APARENTE",$I363="USO_ENERGETICO_INTERNO_APARENTE"),"CAL",IF(LEFT($H363,5)="STAT_","FORMULA",IF(COUNTIF(DATOS_MODELO!$B$2:$B$3672,$H363)=1,"OK","REVISAR")))</f>
        <v>OK</v>
      </c>
    </row>
    <row r="364" customFormat="false" ht="15" hidden="false" customHeight="false" outlineLevel="0" collapsed="false">
      <c r="A364" s="4" t="s">
        <v>2805</v>
      </c>
      <c r="B364" s="12" t="n">
        <v>2020</v>
      </c>
      <c r="C364" s="4" t="s">
        <v>78</v>
      </c>
      <c r="D364" s="4" t="s">
        <v>2018</v>
      </c>
      <c r="E364" s="4" t="s">
        <v>1994</v>
      </c>
      <c r="F364" s="4" t="s">
        <v>65</v>
      </c>
      <c r="G364" s="4" t="s">
        <v>64</v>
      </c>
      <c r="H364" s="4" t="s">
        <v>711</v>
      </c>
      <c r="I364" s="4" t="s">
        <v>2044</v>
      </c>
      <c r="J364" s="4" t="s">
        <v>1997</v>
      </c>
      <c r="K364" s="14">
        <f>IF(OR($I364="USO_NO_ENERGETICO_APARENTE",$I364="USO_ENERGETICO_INTERNO_APARENTE"),ROUND(SUMIFS($K$2:$K$618,$B$2:$B$618,$B364,$C$2:$C$618,$C364,$D$2:$D$618,"Energy products",$E$2:$E$618,"Supply",$G$2:$G$618,"&lt;&gt;STAT")-SUMIFS($K$2:$K$618,$B$2:$B$618,$B364,$C$2:$C$618,$C364,$D$2:$D$618,"Energy products",$E$2:$E$618,"Use",$G$2:$G$618,"&lt;&gt;STAT",$I$2:$I$618,"&lt;&gt;USO_NO_ENERGETICO_APARENTE",$I$2:$I$618,"&lt;&gt;USO_ENERGETICO_INTERNO_APARENTE"),10),IF(LEFT($H364,5)="STAT_",ROUND(SUMIFS($K$2:$K$618,$B$2:$B$618,$B364,$C$2:$C$618,$C364,$D$2:$D$618,"Energy products",$E$2:$E$618,"Supply",$G$2:$G$618,"&lt;&gt;STAT")-SUMIFS($K$2:$K$618,$B$2:$B$618,$B364,$C$2:$C$618,$C364,$D$2:$D$618,"Energy products",$E$2:$E$618,"Use",$G$2:$G$618,"&lt;&gt;STAT"),10),IF($J364="cambio de signo",-INDEX(DATOS_MODELO!$U$2:$U$3672,MATCH($H364,DATOS_MODELO!$B$2:$B$3672,0)),IF($J364="valor absoluto",ABS(INDEX(DATOS_MODELO!$U$2:$U$3672,MATCH($H364,DATOS_MODELO!$B$2:$B$3672,0))),INDEX(DATOS_MODELO!$U$2:$U$3672,MATCH($H364,DATOS_MODELO!$B$2:$B$3672,0))))))</f>
        <v>1141.2002</v>
      </c>
      <c r="L364" s="8" t="str">
        <f aca="false">IF(LEFT($H364,5)&lt;&gt;"STAT_","",IF(ABS($K364)&lt;=COUNTIFS($B$2:$B$618,$B364,$C$2:$C$618,$C364,$D$2:$D$618,"Energy products",$G$2:$G$618,"&lt;&gt;STAT")*PARAMETROS!$B$6,"redondeo","residuo_estadistico"))</f>
        <v/>
      </c>
      <c r="M364" s="8" t="str">
        <f>IF(OR($I364="USO_NO_ENERGETICO_APARENTE",$I364="USO_ENERGETICO_INTERNO_APARENTE"),"CAL",IF(LEFT($H364,5)="STAT_","FORMULA",IF(COUNTIF(DATOS_MODELO!$B$2:$B$3672,$H364)=1,"OK","REVISAR")))</f>
        <v>OK</v>
      </c>
    </row>
    <row r="365" customFormat="false" ht="15" hidden="false" customHeight="false" outlineLevel="0" collapsed="false">
      <c r="A365" s="4" t="s">
        <v>2807</v>
      </c>
      <c r="B365" s="12" t="n">
        <v>2020</v>
      </c>
      <c r="C365" s="4" t="s">
        <v>78</v>
      </c>
      <c r="D365" s="4" t="s">
        <v>2018</v>
      </c>
      <c r="E365" s="4" t="s">
        <v>2001</v>
      </c>
      <c r="F365" s="4" t="s">
        <v>66</v>
      </c>
      <c r="G365" s="4" t="s">
        <v>67</v>
      </c>
      <c r="H365" s="4" t="s">
        <v>716</v>
      </c>
      <c r="I365" s="4" t="s">
        <v>2003</v>
      </c>
      <c r="J365" s="4" t="s">
        <v>2004</v>
      </c>
      <c r="K365" s="14">
        <f>IF(OR($I365="USO_NO_ENERGETICO_APARENTE",$I365="USO_ENERGETICO_INTERNO_APARENTE"),ROUND(SUMIFS($K$2:$K$618,$B$2:$B$618,$B365,$C$2:$C$618,$C365,$D$2:$D$618,"Energy products",$E$2:$E$618,"Supply",$G$2:$G$618,"&lt;&gt;STAT")-SUMIFS($K$2:$K$618,$B$2:$B$618,$B365,$C$2:$C$618,$C365,$D$2:$D$618,"Energy products",$E$2:$E$618,"Use",$G$2:$G$618,"&lt;&gt;STAT",$I$2:$I$618,"&lt;&gt;USO_NO_ENERGETICO_APARENTE",$I$2:$I$618,"&lt;&gt;USO_ENERGETICO_INTERNO_APARENTE"),10),IF(LEFT($H365,5)="STAT_",ROUND(SUMIFS($K$2:$K$618,$B$2:$B$618,$B365,$C$2:$C$618,$C365,$D$2:$D$618,"Energy products",$E$2:$E$618,"Supply",$G$2:$G$618,"&lt;&gt;STAT")-SUMIFS($K$2:$K$618,$B$2:$B$618,$B365,$C$2:$C$618,$C365,$D$2:$D$618,"Energy products",$E$2:$E$618,"Use",$G$2:$G$618,"&lt;&gt;STAT"),10),IF($J365="cambio de signo",-INDEX(DATOS_MODELO!$U$2:$U$3672,MATCH($H365,DATOS_MODELO!$B$2:$B$3672,0)),IF($J365="valor absoluto",ABS(INDEX(DATOS_MODELO!$U$2:$U$3672,MATCH($H365,DATOS_MODELO!$B$2:$B$3672,0))),INDEX(DATOS_MODELO!$U$2:$U$3672,MATCH($H365,DATOS_MODELO!$B$2:$B$3672,0))))))</f>
        <v>1141.2002</v>
      </c>
      <c r="L365" s="8" t="str">
        <f aca="false">IF(LEFT($H365,5)&lt;&gt;"STAT_","",IF(ABS($K365)&lt;=COUNTIFS($B$2:$B$618,$B365,$C$2:$C$618,$C365,$D$2:$D$618,"Energy products",$G$2:$G$618,"&lt;&gt;STAT")*PARAMETROS!$B$6,"redondeo","residuo_estadistico"))</f>
        <v/>
      </c>
      <c r="M365" s="8" t="str">
        <f>IF(OR($I365="USO_NO_ENERGETICO_APARENTE",$I365="USO_ENERGETICO_INTERNO_APARENTE"),"CAL",IF(LEFT($H365,5)="STAT_","FORMULA",IF(COUNTIF(DATOS_MODELO!$B$2:$B$3672,$H365)=1,"OK","REVISAR")))</f>
        <v>OK</v>
      </c>
    </row>
    <row r="366" customFormat="false" ht="15" hidden="false" customHeight="false" outlineLevel="0" collapsed="false">
      <c r="A366" s="4" t="s">
        <v>2809</v>
      </c>
      <c r="B366" s="12" t="n">
        <v>2020</v>
      </c>
      <c r="C366" s="4" t="s">
        <v>80</v>
      </c>
      <c r="D366" s="4" t="s">
        <v>2018</v>
      </c>
      <c r="E366" s="4" t="s">
        <v>1994</v>
      </c>
      <c r="F366" s="4" t="s">
        <v>65</v>
      </c>
      <c r="G366" s="4" t="s">
        <v>64</v>
      </c>
      <c r="H366" s="4" t="s">
        <v>725</v>
      </c>
      <c r="I366" s="4" t="s">
        <v>2044</v>
      </c>
      <c r="J366" s="4" t="s">
        <v>1997</v>
      </c>
      <c r="K366" s="14">
        <f>IF(OR($I366="USO_NO_ENERGETICO_APARENTE",$I366="USO_ENERGETICO_INTERNO_APARENTE"),ROUND(SUMIFS($K$2:$K$618,$B$2:$B$618,$B366,$C$2:$C$618,$C366,$D$2:$D$618,"Energy products",$E$2:$E$618,"Supply",$G$2:$G$618,"&lt;&gt;STAT")-SUMIFS($K$2:$K$618,$B$2:$B$618,$B366,$C$2:$C$618,$C366,$D$2:$D$618,"Energy products",$E$2:$E$618,"Use",$G$2:$G$618,"&lt;&gt;STAT",$I$2:$I$618,"&lt;&gt;USO_NO_ENERGETICO_APARENTE",$I$2:$I$618,"&lt;&gt;USO_ENERGETICO_INTERNO_APARENTE"),10),IF(LEFT($H366,5)="STAT_",ROUND(SUMIFS($K$2:$K$618,$B$2:$B$618,$B366,$C$2:$C$618,$C366,$D$2:$D$618,"Energy products",$E$2:$E$618,"Supply",$G$2:$G$618,"&lt;&gt;STAT")-SUMIFS($K$2:$K$618,$B$2:$B$618,$B366,$C$2:$C$618,$C366,$D$2:$D$618,"Energy products",$E$2:$E$618,"Use",$G$2:$G$618,"&lt;&gt;STAT"),10),IF($J366="cambio de signo",-INDEX(DATOS_MODELO!$U$2:$U$3672,MATCH($H366,DATOS_MODELO!$B$2:$B$3672,0)),IF($J366="valor absoluto",ABS(INDEX(DATOS_MODELO!$U$2:$U$3672,MATCH($H366,DATOS_MODELO!$B$2:$B$3672,0))),INDEX(DATOS_MODELO!$U$2:$U$3672,MATCH($H366,DATOS_MODELO!$B$2:$B$3672,0))))))</f>
        <v>11732.133</v>
      </c>
      <c r="L366" s="8" t="str">
        <f aca="false">IF(LEFT($H366,5)&lt;&gt;"STAT_","",IF(ABS($K366)&lt;=COUNTIFS($B$2:$B$618,$B366,$C$2:$C$618,$C366,$D$2:$D$618,"Energy products",$G$2:$G$618,"&lt;&gt;STAT")*PARAMETROS!$B$6,"redondeo","residuo_estadistico"))</f>
        <v/>
      </c>
      <c r="M366" s="8" t="str">
        <f>IF(OR($I366="USO_NO_ENERGETICO_APARENTE",$I366="USO_ENERGETICO_INTERNO_APARENTE"),"CAL",IF(LEFT($H366,5)="STAT_","FORMULA",IF(COUNTIF(DATOS_MODELO!$B$2:$B$3672,$H366)=1,"OK","REVISAR")))</f>
        <v>OK</v>
      </c>
    </row>
    <row r="367" customFormat="false" ht="15" hidden="false" customHeight="false" outlineLevel="0" collapsed="false">
      <c r="A367" s="4" t="s">
        <v>2811</v>
      </c>
      <c r="B367" s="12" t="n">
        <v>2020</v>
      </c>
      <c r="C367" s="4" t="s">
        <v>80</v>
      </c>
      <c r="D367" s="4" t="s">
        <v>2018</v>
      </c>
      <c r="E367" s="4" t="s">
        <v>2001</v>
      </c>
      <c r="F367" s="4" t="s">
        <v>66</v>
      </c>
      <c r="G367" s="4" t="s">
        <v>67</v>
      </c>
      <c r="H367" s="4" t="s">
        <v>730</v>
      </c>
      <c r="I367" s="4" t="s">
        <v>2003</v>
      </c>
      <c r="J367" s="4" t="s">
        <v>2004</v>
      </c>
      <c r="K367" s="14">
        <f>IF(OR($I367="USO_NO_ENERGETICO_APARENTE",$I367="USO_ENERGETICO_INTERNO_APARENTE"),ROUND(SUMIFS($K$2:$K$618,$B$2:$B$618,$B367,$C$2:$C$618,$C367,$D$2:$D$618,"Energy products",$E$2:$E$618,"Supply",$G$2:$G$618,"&lt;&gt;STAT")-SUMIFS($K$2:$K$618,$B$2:$B$618,$B367,$C$2:$C$618,$C367,$D$2:$D$618,"Energy products",$E$2:$E$618,"Use",$G$2:$G$618,"&lt;&gt;STAT",$I$2:$I$618,"&lt;&gt;USO_NO_ENERGETICO_APARENTE",$I$2:$I$618,"&lt;&gt;USO_ENERGETICO_INTERNO_APARENTE"),10),IF(LEFT($H367,5)="STAT_",ROUND(SUMIFS($K$2:$K$618,$B$2:$B$618,$B367,$C$2:$C$618,$C367,$D$2:$D$618,"Energy products",$E$2:$E$618,"Supply",$G$2:$G$618,"&lt;&gt;STAT")-SUMIFS($K$2:$K$618,$B$2:$B$618,$B367,$C$2:$C$618,$C367,$D$2:$D$618,"Energy products",$E$2:$E$618,"Use",$G$2:$G$618,"&lt;&gt;STAT"),10),IF($J367="cambio de signo",-INDEX(DATOS_MODELO!$U$2:$U$3672,MATCH($H367,DATOS_MODELO!$B$2:$B$3672,0)),IF($J367="valor absoluto",ABS(INDEX(DATOS_MODELO!$U$2:$U$3672,MATCH($H367,DATOS_MODELO!$B$2:$B$3672,0))),INDEX(DATOS_MODELO!$U$2:$U$3672,MATCH($H367,DATOS_MODELO!$B$2:$B$3672,0))))))</f>
        <v>11732.133</v>
      </c>
      <c r="L367" s="8" t="str">
        <f aca="false">IF(LEFT($H367,5)&lt;&gt;"STAT_","",IF(ABS($K367)&lt;=COUNTIFS($B$2:$B$618,$B367,$C$2:$C$618,$C367,$D$2:$D$618,"Energy products",$G$2:$G$618,"&lt;&gt;STAT")*PARAMETROS!$B$6,"redondeo","residuo_estadistico"))</f>
        <v/>
      </c>
      <c r="M367" s="8" t="str">
        <f>IF(OR($I367="USO_NO_ENERGETICO_APARENTE",$I367="USO_ENERGETICO_INTERNO_APARENTE"),"CAL",IF(LEFT($H367,5)="STAT_","FORMULA",IF(COUNTIF(DATOS_MODELO!$B$2:$B$3672,$H367)=1,"OK","REVISAR")))</f>
        <v>OK</v>
      </c>
    </row>
    <row r="368" customFormat="false" ht="15" hidden="false" customHeight="false" outlineLevel="0" collapsed="false">
      <c r="A368" s="4" t="s">
        <v>2813</v>
      </c>
      <c r="B368" s="12" t="n">
        <v>2020</v>
      </c>
      <c r="C368" s="4" t="s">
        <v>84</v>
      </c>
      <c r="D368" s="4" t="s">
        <v>2018</v>
      </c>
      <c r="E368" s="4" t="s">
        <v>1994</v>
      </c>
      <c r="F368" s="4" t="s">
        <v>65</v>
      </c>
      <c r="G368" s="4" t="s">
        <v>64</v>
      </c>
      <c r="H368" s="4" t="s">
        <v>739</v>
      </c>
      <c r="I368" s="4" t="s">
        <v>2044</v>
      </c>
      <c r="J368" s="4" t="s">
        <v>1997</v>
      </c>
      <c r="K368" s="14">
        <f>IF(OR($I368="USO_NO_ENERGETICO_APARENTE",$I368="USO_ENERGETICO_INTERNO_APARENTE"),ROUND(SUMIFS($K$2:$K$618,$B$2:$B$618,$B368,$C$2:$C$618,$C368,$D$2:$D$618,"Energy products",$E$2:$E$618,"Supply",$G$2:$G$618,"&lt;&gt;STAT")-SUMIFS($K$2:$K$618,$B$2:$B$618,$B368,$C$2:$C$618,$C368,$D$2:$D$618,"Energy products",$E$2:$E$618,"Use",$G$2:$G$618,"&lt;&gt;STAT",$I$2:$I$618,"&lt;&gt;USO_NO_ENERGETICO_APARENTE",$I$2:$I$618,"&lt;&gt;USO_ENERGETICO_INTERNO_APARENTE"),10),IF(LEFT($H368,5)="STAT_",ROUND(SUMIFS($K$2:$K$618,$B$2:$B$618,$B368,$C$2:$C$618,$C368,$D$2:$D$618,"Energy products",$E$2:$E$618,"Supply",$G$2:$G$618,"&lt;&gt;STAT")-SUMIFS($K$2:$K$618,$B$2:$B$618,$B368,$C$2:$C$618,$C368,$D$2:$D$618,"Energy products",$E$2:$E$618,"Use",$G$2:$G$618,"&lt;&gt;STAT"),10),IF($J368="cambio de signo",-INDEX(DATOS_MODELO!$U$2:$U$3672,MATCH($H368,DATOS_MODELO!$B$2:$B$3672,0)),IF($J368="valor absoluto",ABS(INDEX(DATOS_MODELO!$U$2:$U$3672,MATCH($H368,DATOS_MODELO!$B$2:$B$3672,0))),INDEX(DATOS_MODELO!$U$2:$U$3672,MATCH($H368,DATOS_MODELO!$B$2:$B$3672,0))))))</f>
        <v>26669.1201</v>
      </c>
      <c r="L368" s="8" t="str">
        <f aca="false">IF(LEFT($H368,5)&lt;&gt;"STAT_","",IF(ABS($K368)&lt;=COUNTIFS($B$2:$B$618,$B368,$C$2:$C$618,$C368,$D$2:$D$618,"Energy products",$G$2:$G$618,"&lt;&gt;STAT")*PARAMETROS!$B$6,"redondeo","residuo_estadistico"))</f>
        <v/>
      </c>
      <c r="M368" s="8" t="str">
        <f>IF(OR($I368="USO_NO_ENERGETICO_APARENTE",$I368="USO_ENERGETICO_INTERNO_APARENTE"),"CAL",IF(LEFT($H368,5)="STAT_","FORMULA",IF(COUNTIF(DATOS_MODELO!$B$2:$B$3672,$H368)=1,"OK","REVISAR")))</f>
        <v>OK</v>
      </c>
    </row>
    <row r="369" customFormat="false" ht="15" hidden="false" customHeight="false" outlineLevel="0" collapsed="false">
      <c r="A369" s="4" t="s">
        <v>2815</v>
      </c>
      <c r="B369" s="12" t="n">
        <v>2020</v>
      </c>
      <c r="C369" s="4" t="s">
        <v>84</v>
      </c>
      <c r="D369" s="4" t="s">
        <v>2018</v>
      </c>
      <c r="E369" s="4" t="s">
        <v>2001</v>
      </c>
      <c r="F369" s="4" t="s">
        <v>66</v>
      </c>
      <c r="G369" s="4" t="s">
        <v>67</v>
      </c>
      <c r="H369" s="4" t="s">
        <v>744</v>
      </c>
      <c r="I369" s="4" t="s">
        <v>2003</v>
      </c>
      <c r="J369" s="4" t="s">
        <v>2004</v>
      </c>
      <c r="K369" s="14">
        <f>IF(OR($I369="USO_NO_ENERGETICO_APARENTE",$I369="USO_ENERGETICO_INTERNO_APARENTE"),ROUND(SUMIFS($K$2:$K$618,$B$2:$B$618,$B369,$C$2:$C$618,$C369,$D$2:$D$618,"Energy products",$E$2:$E$618,"Supply",$G$2:$G$618,"&lt;&gt;STAT")-SUMIFS($K$2:$K$618,$B$2:$B$618,$B369,$C$2:$C$618,$C369,$D$2:$D$618,"Energy products",$E$2:$E$618,"Use",$G$2:$G$618,"&lt;&gt;STAT",$I$2:$I$618,"&lt;&gt;USO_NO_ENERGETICO_APARENTE",$I$2:$I$618,"&lt;&gt;USO_ENERGETICO_INTERNO_APARENTE"),10),IF(LEFT($H369,5)="STAT_",ROUND(SUMIFS($K$2:$K$618,$B$2:$B$618,$B369,$C$2:$C$618,$C369,$D$2:$D$618,"Energy products",$E$2:$E$618,"Supply",$G$2:$G$618,"&lt;&gt;STAT")-SUMIFS($K$2:$K$618,$B$2:$B$618,$B369,$C$2:$C$618,$C369,$D$2:$D$618,"Energy products",$E$2:$E$618,"Use",$G$2:$G$618,"&lt;&gt;STAT"),10),IF($J369="cambio de signo",-INDEX(DATOS_MODELO!$U$2:$U$3672,MATCH($H369,DATOS_MODELO!$B$2:$B$3672,0)),IF($J369="valor absoluto",ABS(INDEX(DATOS_MODELO!$U$2:$U$3672,MATCH($H369,DATOS_MODELO!$B$2:$B$3672,0))),INDEX(DATOS_MODELO!$U$2:$U$3672,MATCH($H369,DATOS_MODELO!$B$2:$B$3672,0))))))</f>
        <v>26552.9782</v>
      </c>
      <c r="L369" s="8" t="str">
        <f aca="false">IF(LEFT($H369,5)&lt;&gt;"STAT_","",IF(ABS($K369)&lt;=COUNTIFS($B$2:$B$618,$B369,$C$2:$C$618,$C369,$D$2:$D$618,"Energy products",$G$2:$G$618,"&lt;&gt;STAT")*PARAMETROS!$B$6,"redondeo","residuo_estadistico"))</f>
        <v/>
      </c>
      <c r="M369" s="8" t="str">
        <f>IF(OR($I369="USO_NO_ENERGETICO_APARENTE",$I369="USO_ENERGETICO_INTERNO_APARENTE"),"CAL",IF(LEFT($H369,5)="STAT_","FORMULA",IF(COUNTIF(DATOS_MODELO!$B$2:$B$3672,$H369)=1,"OK","REVISAR")))</f>
        <v>OK</v>
      </c>
    </row>
    <row r="370" customFormat="false" ht="15" hidden="false" customHeight="false" outlineLevel="0" collapsed="false">
      <c r="A370" s="4" t="s">
        <v>2817</v>
      </c>
      <c r="B370" s="12" t="n">
        <v>2020</v>
      </c>
      <c r="C370" s="4" t="s">
        <v>84</v>
      </c>
      <c r="D370" s="4" t="s">
        <v>2018</v>
      </c>
      <c r="E370" s="4" t="s">
        <v>2001</v>
      </c>
      <c r="F370" s="4" t="s">
        <v>66</v>
      </c>
      <c r="G370" s="4" t="s">
        <v>67</v>
      </c>
      <c r="H370" s="4" t="s">
        <v>745</v>
      </c>
      <c r="I370" s="4" t="s">
        <v>2008</v>
      </c>
      <c r="J370" s="4" t="s">
        <v>2004</v>
      </c>
      <c r="K370" s="14">
        <f>IF(OR($I370="USO_NO_ENERGETICO_APARENTE",$I370="USO_ENERGETICO_INTERNO_APARENTE"),ROUND(SUMIFS($K$2:$K$618,$B$2:$B$618,$B370,$C$2:$C$618,$C370,$D$2:$D$618,"Energy products",$E$2:$E$618,"Supply",$G$2:$G$618,"&lt;&gt;STAT")-SUMIFS($K$2:$K$618,$B$2:$B$618,$B370,$C$2:$C$618,$C370,$D$2:$D$618,"Energy products",$E$2:$E$618,"Use",$G$2:$G$618,"&lt;&gt;STAT",$I$2:$I$618,"&lt;&gt;USO_NO_ENERGETICO_APARENTE",$I$2:$I$618,"&lt;&gt;USO_ENERGETICO_INTERNO_APARENTE"),10),IF(LEFT($H370,5)="STAT_",ROUND(SUMIFS($K$2:$K$618,$B$2:$B$618,$B370,$C$2:$C$618,$C370,$D$2:$D$618,"Energy products",$E$2:$E$618,"Supply",$G$2:$G$618,"&lt;&gt;STAT")-SUMIFS($K$2:$K$618,$B$2:$B$618,$B370,$C$2:$C$618,$C370,$D$2:$D$618,"Energy products",$E$2:$E$618,"Use",$G$2:$G$618,"&lt;&gt;STAT"),10),IF($J370="cambio de signo",-INDEX(DATOS_MODELO!$U$2:$U$3672,MATCH($H370,DATOS_MODELO!$B$2:$B$3672,0)),IF($J370="valor absoluto",ABS(INDEX(DATOS_MODELO!$U$2:$U$3672,MATCH($H370,DATOS_MODELO!$B$2:$B$3672,0))),INDEX(DATOS_MODELO!$U$2:$U$3672,MATCH($H370,DATOS_MODELO!$B$2:$B$3672,0))))))</f>
        <v>116.1419</v>
      </c>
      <c r="L370" s="8" t="str">
        <f aca="false">IF(LEFT($H370,5)&lt;&gt;"STAT_","",IF(ABS($K370)&lt;=COUNTIFS($B$2:$B$618,$B370,$C$2:$C$618,$C370,$D$2:$D$618,"Energy products",$G$2:$G$618,"&lt;&gt;STAT")*PARAMETROS!$B$6,"redondeo","residuo_estadistico"))</f>
        <v/>
      </c>
      <c r="M370" s="8" t="str">
        <f>IF(OR($I370="USO_NO_ENERGETICO_APARENTE",$I370="USO_ENERGETICO_INTERNO_APARENTE"),"CAL",IF(LEFT($H370,5)="STAT_","FORMULA",IF(COUNTIF(DATOS_MODELO!$B$2:$B$3672,$H370)=1,"OK","REVISAR")))</f>
        <v>OK</v>
      </c>
    </row>
    <row r="371" customFormat="false" ht="15" hidden="false" customHeight="false" outlineLevel="0" collapsed="false">
      <c r="A371" s="4" t="s">
        <v>2819</v>
      </c>
      <c r="B371" s="12" t="n">
        <v>2020</v>
      </c>
      <c r="C371" s="4" t="s">
        <v>109</v>
      </c>
      <c r="D371" s="4" t="s">
        <v>1993</v>
      </c>
      <c r="E371" s="4" t="s">
        <v>1994</v>
      </c>
      <c r="F371" s="4" t="s">
        <v>1995</v>
      </c>
      <c r="G371" s="4" t="s">
        <v>65</v>
      </c>
      <c r="H371" s="4" t="s">
        <v>753</v>
      </c>
      <c r="I371" s="4" t="s">
        <v>2070</v>
      </c>
      <c r="J371" s="4" t="s">
        <v>1997</v>
      </c>
      <c r="K371" s="14">
        <f>IF(OR($I371="USO_NO_ENERGETICO_APARENTE",$I371="USO_ENERGETICO_INTERNO_APARENTE"),ROUND(SUMIFS($K$2:$K$618,$B$2:$B$618,$B371,$C$2:$C$618,$C371,$D$2:$D$618,"Energy products",$E$2:$E$618,"Supply",$G$2:$G$618,"&lt;&gt;STAT")-SUMIFS($K$2:$K$618,$B$2:$B$618,$B371,$C$2:$C$618,$C371,$D$2:$D$618,"Energy products",$E$2:$E$618,"Use",$G$2:$G$618,"&lt;&gt;STAT",$I$2:$I$618,"&lt;&gt;USO_NO_ENERGETICO_APARENTE",$I$2:$I$618,"&lt;&gt;USO_ENERGETICO_INTERNO_APARENTE"),10),IF(LEFT($H371,5)="STAT_",ROUND(SUMIFS($K$2:$K$618,$B$2:$B$618,$B371,$C$2:$C$618,$C371,$D$2:$D$618,"Energy products",$E$2:$E$618,"Supply",$G$2:$G$618,"&lt;&gt;STAT")-SUMIFS($K$2:$K$618,$B$2:$B$618,$B371,$C$2:$C$618,$C371,$D$2:$D$618,"Energy products",$E$2:$E$618,"Use",$G$2:$G$618,"&lt;&gt;STAT"),10),IF($J371="cambio de signo",-INDEX(DATOS_MODELO!$U$2:$U$3672,MATCH($H371,DATOS_MODELO!$B$2:$B$3672,0)),IF($J371="valor absoluto",ABS(INDEX(DATOS_MODELO!$U$2:$U$3672,MATCH($H371,DATOS_MODELO!$B$2:$B$3672,0))),INDEX(DATOS_MODELO!$U$2:$U$3672,MATCH($H371,DATOS_MODELO!$B$2:$B$3672,0))))))</f>
        <v>304227.287</v>
      </c>
      <c r="L371" s="8" t="str">
        <f aca="false">IF(LEFT($H371,5)&lt;&gt;"STAT_","",IF(ABS($K371)&lt;=COUNTIFS($B$2:$B$618,$B371,$C$2:$C$618,$C371,$D$2:$D$618,"Energy products",$G$2:$G$618,"&lt;&gt;STAT")*PARAMETROS!$B$6,"redondeo","residuo_estadistico"))</f>
        <v/>
      </c>
      <c r="M371" s="8" t="str">
        <f>IF(OR($I371="USO_NO_ENERGETICO_APARENTE",$I371="USO_ENERGETICO_INTERNO_APARENTE"),"CAL",IF(LEFT($H371,5)="STAT_","FORMULA",IF(COUNTIF(DATOS_MODELO!$B$2:$B$3672,$H371)=1,"OK","REVISAR")))</f>
        <v>OK</v>
      </c>
    </row>
    <row r="372" customFormat="false" ht="15" hidden="false" customHeight="false" outlineLevel="0" collapsed="false">
      <c r="A372" s="4" t="s">
        <v>2821</v>
      </c>
      <c r="B372" s="12" t="n">
        <v>2020</v>
      </c>
      <c r="C372" s="4" t="s">
        <v>109</v>
      </c>
      <c r="D372" s="4" t="s">
        <v>1993</v>
      </c>
      <c r="E372" s="4" t="s">
        <v>2001</v>
      </c>
      <c r="F372" s="4" t="s">
        <v>2074</v>
      </c>
      <c r="G372" s="4" t="s">
        <v>73</v>
      </c>
      <c r="H372" s="4" t="s">
        <v>762</v>
      </c>
      <c r="I372" s="4" t="s">
        <v>2075</v>
      </c>
      <c r="J372" s="4" t="s">
        <v>1997</v>
      </c>
      <c r="K372" s="14">
        <f>IF(OR($I372="USO_NO_ENERGETICO_APARENTE",$I372="USO_ENERGETICO_INTERNO_APARENTE"),ROUND(SUMIFS($K$2:$K$618,$B$2:$B$618,$B372,$C$2:$C$618,$C372,$D$2:$D$618,"Energy products",$E$2:$E$618,"Supply",$G$2:$G$618,"&lt;&gt;STAT")-SUMIFS($K$2:$K$618,$B$2:$B$618,$B372,$C$2:$C$618,$C372,$D$2:$D$618,"Energy products",$E$2:$E$618,"Use",$G$2:$G$618,"&lt;&gt;STAT",$I$2:$I$618,"&lt;&gt;USO_NO_ENERGETICO_APARENTE",$I$2:$I$618,"&lt;&gt;USO_ENERGETICO_INTERNO_APARENTE"),10),IF(LEFT($H372,5)="STAT_",ROUND(SUMIFS($K$2:$K$618,$B$2:$B$618,$B372,$C$2:$C$618,$C372,$D$2:$D$618,"Energy products",$E$2:$E$618,"Supply",$G$2:$G$618,"&lt;&gt;STAT")-SUMIFS($K$2:$K$618,$B$2:$B$618,$B372,$C$2:$C$618,$C372,$D$2:$D$618,"Energy products",$E$2:$E$618,"Use",$G$2:$G$618,"&lt;&gt;STAT"),10),IF($J372="cambio de signo",-INDEX(DATOS_MODELO!$U$2:$U$3672,MATCH($H372,DATOS_MODELO!$B$2:$B$3672,0)),IF($J372="valor absoluto",ABS(INDEX(DATOS_MODELO!$U$2:$U$3672,MATCH($H372,DATOS_MODELO!$B$2:$B$3672,0))),INDEX(DATOS_MODELO!$U$2:$U$3672,MATCH($H372,DATOS_MODELO!$B$2:$B$3672,0))))))</f>
        <v>295100.4742</v>
      </c>
      <c r="L372" s="8" t="str">
        <f aca="false">IF(LEFT($H372,5)&lt;&gt;"STAT_","",IF(ABS($K372)&lt;=COUNTIFS($B$2:$B$618,$B372,$C$2:$C$618,$C372,$D$2:$D$618,"Energy products",$G$2:$G$618,"&lt;&gt;STAT")*PARAMETROS!$B$6,"redondeo","residuo_estadistico"))</f>
        <v/>
      </c>
      <c r="M372" s="8" t="str">
        <f>IF(OR($I372="USO_NO_ENERGETICO_APARENTE",$I372="USO_ENERGETICO_INTERNO_APARENTE"),"CAL",IF(LEFT($H372,5)="STAT_","FORMULA",IF(COUNTIF(DATOS_MODELO!$B$2:$B$3672,$H372)=1,"OK","REVISAR")))</f>
        <v>OK</v>
      </c>
    </row>
    <row r="373" customFormat="false" ht="15" hidden="false" customHeight="false" outlineLevel="0" collapsed="false">
      <c r="A373" s="4" t="s">
        <v>2823</v>
      </c>
      <c r="B373" s="12" t="n">
        <v>2020</v>
      </c>
      <c r="C373" s="4" t="s">
        <v>109</v>
      </c>
      <c r="D373" s="4" t="s">
        <v>1993</v>
      </c>
      <c r="E373" s="4" t="s">
        <v>2001</v>
      </c>
      <c r="F373" s="4" t="s">
        <v>2002</v>
      </c>
      <c r="G373" s="4" t="s">
        <v>72</v>
      </c>
      <c r="H373" s="4" t="s">
        <v>763</v>
      </c>
      <c r="I373" s="4" t="s">
        <v>2079</v>
      </c>
      <c r="J373" s="4" t="s">
        <v>1997</v>
      </c>
      <c r="K373" s="14">
        <f>IF(OR($I373="USO_NO_ENERGETICO_APARENTE",$I373="USO_ENERGETICO_INTERNO_APARENTE"),ROUND(SUMIFS($K$2:$K$618,$B$2:$B$618,$B373,$C$2:$C$618,$C373,$D$2:$D$618,"Energy products",$E$2:$E$618,"Supply",$G$2:$G$618,"&lt;&gt;STAT")-SUMIFS($K$2:$K$618,$B$2:$B$618,$B373,$C$2:$C$618,$C373,$D$2:$D$618,"Energy products",$E$2:$E$618,"Use",$G$2:$G$618,"&lt;&gt;STAT",$I$2:$I$618,"&lt;&gt;USO_NO_ENERGETICO_APARENTE",$I$2:$I$618,"&lt;&gt;USO_ENERGETICO_INTERNO_APARENTE"),10),IF(LEFT($H373,5)="STAT_",ROUND(SUMIFS($K$2:$K$618,$B$2:$B$618,$B373,$C$2:$C$618,$C373,$D$2:$D$618,"Energy products",$E$2:$E$618,"Supply",$G$2:$G$618,"&lt;&gt;STAT")-SUMIFS($K$2:$K$618,$B$2:$B$618,$B373,$C$2:$C$618,$C373,$D$2:$D$618,"Energy products",$E$2:$E$618,"Use",$G$2:$G$618,"&lt;&gt;STAT"),10),IF($J373="cambio de signo",-INDEX(DATOS_MODELO!$U$2:$U$3672,MATCH($H373,DATOS_MODELO!$B$2:$B$3672,0)),IF($J373="valor absoluto",ABS(INDEX(DATOS_MODELO!$U$2:$U$3672,MATCH($H373,DATOS_MODELO!$B$2:$B$3672,0))),INDEX(DATOS_MODELO!$U$2:$U$3672,MATCH($H373,DATOS_MODELO!$B$2:$B$3672,0))))))</f>
        <v>9126.8128</v>
      </c>
      <c r="L373" s="8" t="str">
        <f aca="false">IF(LEFT($H373,5)&lt;&gt;"STAT_","",IF(ABS($K373)&lt;=COUNTIFS($B$2:$B$618,$B373,$C$2:$C$618,$C373,$D$2:$D$618,"Energy products",$G$2:$G$618,"&lt;&gt;STAT")*PARAMETROS!$B$6,"redondeo","residuo_estadistico"))</f>
        <v/>
      </c>
      <c r="M373" s="8" t="str">
        <f>IF(OR($I373="USO_NO_ENERGETICO_APARENTE",$I373="USO_ENERGETICO_INTERNO_APARENTE"),"CAL",IF(LEFT($H373,5)="STAT_","FORMULA",IF(COUNTIF(DATOS_MODELO!$B$2:$B$3672,$H373)=1,"OK","REVISAR")))</f>
        <v>OK</v>
      </c>
    </row>
    <row r="374" customFormat="false" ht="15" hidden="false" customHeight="false" outlineLevel="0" collapsed="false">
      <c r="A374" s="4" t="s">
        <v>2825</v>
      </c>
      <c r="B374" s="12" t="n">
        <v>2020</v>
      </c>
      <c r="C374" s="4" t="s">
        <v>86</v>
      </c>
      <c r="D374" s="4" t="s">
        <v>2018</v>
      </c>
      <c r="E374" s="4" t="s">
        <v>1994</v>
      </c>
      <c r="F374" s="4" t="s">
        <v>65</v>
      </c>
      <c r="G374" s="4" t="s">
        <v>64</v>
      </c>
      <c r="H374" s="4" t="s">
        <v>767</v>
      </c>
      <c r="I374" s="4" t="s">
        <v>2019</v>
      </c>
      <c r="J374" s="4" t="s">
        <v>1997</v>
      </c>
      <c r="K374" s="14">
        <f>IF(OR($I374="USO_NO_ENERGETICO_APARENTE",$I374="USO_ENERGETICO_INTERNO_APARENTE"),ROUND(SUMIFS($K$2:$K$618,$B$2:$B$618,$B374,$C$2:$C$618,$C374,$D$2:$D$618,"Energy products",$E$2:$E$618,"Supply",$G$2:$G$618,"&lt;&gt;STAT")-SUMIFS($K$2:$K$618,$B$2:$B$618,$B374,$C$2:$C$618,$C374,$D$2:$D$618,"Energy products",$E$2:$E$618,"Use",$G$2:$G$618,"&lt;&gt;STAT",$I$2:$I$618,"&lt;&gt;USO_NO_ENERGETICO_APARENTE",$I$2:$I$618,"&lt;&gt;USO_ENERGETICO_INTERNO_APARENTE"),10),IF(LEFT($H374,5)="STAT_",ROUND(SUMIFS($K$2:$K$618,$B$2:$B$618,$B374,$C$2:$C$618,$C374,$D$2:$D$618,"Energy products",$E$2:$E$618,"Supply",$G$2:$G$618,"&lt;&gt;STAT")-SUMIFS($K$2:$K$618,$B$2:$B$618,$B374,$C$2:$C$618,$C374,$D$2:$D$618,"Energy products",$E$2:$E$618,"Use",$G$2:$G$618,"&lt;&gt;STAT"),10),IF($J374="cambio de signo",-INDEX(DATOS_MODELO!$U$2:$U$3672,MATCH($H374,DATOS_MODELO!$B$2:$B$3672,0)),IF($J374="valor absoluto",ABS(INDEX(DATOS_MODELO!$U$2:$U$3672,MATCH($H374,DATOS_MODELO!$B$2:$B$3672,0))),INDEX(DATOS_MODELO!$U$2:$U$3672,MATCH($H374,DATOS_MODELO!$B$2:$B$3672,0))))))</f>
        <v>16453.6876</v>
      </c>
      <c r="L374" s="8" t="str">
        <f aca="false">IF(LEFT($H374,5)&lt;&gt;"STAT_","",IF(ABS($K374)&lt;=COUNTIFS($B$2:$B$618,$B374,$C$2:$C$618,$C374,$D$2:$D$618,"Energy products",$G$2:$G$618,"&lt;&gt;STAT")*PARAMETROS!$B$6,"redondeo","residuo_estadistico"))</f>
        <v/>
      </c>
      <c r="M374" s="8" t="str">
        <f>IF(OR($I374="USO_NO_ENERGETICO_APARENTE",$I374="USO_ENERGETICO_INTERNO_APARENTE"),"CAL",IF(LEFT($H374,5)="STAT_","FORMULA",IF(COUNTIF(DATOS_MODELO!$B$2:$B$3672,$H374)=1,"OK","REVISAR")))</f>
        <v>OK</v>
      </c>
    </row>
    <row r="375" customFormat="false" ht="15" hidden="false" customHeight="false" outlineLevel="0" collapsed="false">
      <c r="A375" s="4" t="s">
        <v>2827</v>
      </c>
      <c r="B375" s="12" t="n">
        <v>2020</v>
      </c>
      <c r="C375" s="4" t="s">
        <v>86</v>
      </c>
      <c r="D375" s="4" t="s">
        <v>2018</v>
      </c>
      <c r="E375" s="4" t="s">
        <v>2001</v>
      </c>
      <c r="F375" s="4" t="s">
        <v>66</v>
      </c>
      <c r="G375" s="4" t="s">
        <v>66</v>
      </c>
      <c r="H375" s="4" t="s">
        <v>767</v>
      </c>
      <c r="I375" s="4" t="s">
        <v>2019</v>
      </c>
      <c r="J375" s="4" t="s">
        <v>1997</v>
      </c>
      <c r="K375" s="14">
        <f>IF(OR($I375="USO_NO_ENERGETICO_APARENTE",$I375="USO_ENERGETICO_INTERNO_APARENTE"),ROUND(SUMIFS($K$2:$K$618,$B$2:$B$618,$B375,$C$2:$C$618,$C375,$D$2:$D$618,"Energy products",$E$2:$E$618,"Supply",$G$2:$G$618,"&lt;&gt;STAT")-SUMIFS($K$2:$K$618,$B$2:$B$618,$B375,$C$2:$C$618,$C375,$D$2:$D$618,"Energy products",$E$2:$E$618,"Use",$G$2:$G$618,"&lt;&gt;STAT",$I$2:$I$618,"&lt;&gt;USO_NO_ENERGETICO_APARENTE",$I$2:$I$618,"&lt;&gt;USO_ENERGETICO_INTERNO_APARENTE"),10),IF(LEFT($H375,5)="STAT_",ROUND(SUMIFS($K$2:$K$618,$B$2:$B$618,$B375,$C$2:$C$618,$C375,$D$2:$D$618,"Energy products",$E$2:$E$618,"Supply",$G$2:$G$618,"&lt;&gt;STAT")-SUMIFS($K$2:$K$618,$B$2:$B$618,$B375,$C$2:$C$618,$C375,$D$2:$D$618,"Energy products",$E$2:$E$618,"Use",$G$2:$G$618,"&lt;&gt;STAT"),10),IF($J375="cambio de signo",-INDEX(DATOS_MODELO!$U$2:$U$3672,MATCH($H375,DATOS_MODELO!$B$2:$B$3672,0)),IF($J375="valor absoluto",ABS(INDEX(DATOS_MODELO!$U$2:$U$3672,MATCH($H375,DATOS_MODELO!$B$2:$B$3672,0))),INDEX(DATOS_MODELO!$U$2:$U$3672,MATCH($H375,DATOS_MODELO!$B$2:$B$3672,0))))))</f>
        <v>16453.6876</v>
      </c>
      <c r="L375" s="8" t="str">
        <f aca="false">IF(LEFT($H375,5)&lt;&gt;"STAT_","",IF(ABS($K375)&lt;=COUNTIFS($B$2:$B$618,$B375,$C$2:$C$618,$C375,$D$2:$D$618,"Energy products",$G$2:$G$618,"&lt;&gt;STAT")*PARAMETROS!$B$6,"redondeo","residuo_estadistico"))</f>
        <v/>
      </c>
      <c r="M375" s="8" t="str">
        <f>IF(OR($I375="USO_NO_ENERGETICO_APARENTE",$I375="USO_ENERGETICO_INTERNO_APARENTE"),"CAL",IF(LEFT($H375,5)="STAT_","FORMULA",IF(COUNTIF(DATOS_MODELO!$B$2:$B$3672,$H375)=1,"OK","REVISAR")))</f>
        <v>OK</v>
      </c>
    </row>
    <row r="376" customFormat="false" ht="15" hidden="false" customHeight="false" outlineLevel="0" collapsed="false">
      <c r="A376" s="4" t="s">
        <v>2829</v>
      </c>
      <c r="B376" s="12" t="n">
        <v>2020</v>
      </c>
      <c r="C376" s="4" t="s">
        <v>86</v>
      </c>
      <c r="D376" s="4" t="s">
        <v>1993</v>
      </c>
      <c r="E376" s="4" t="s">
        <v>1994</v>
      </c>
      <c r="F376" s="4" t="s">
        <v>1995</v>
      </c>
      <c r="G376" s="4" t="s">
        <v>66</v>
      </c>
      <c r="H376" s="4" t="s">
        <v>767</v>
      </c>
      <c r="I376" s="4" t="s">
        <v>2019</v>
      </c>
      <c r="J376" s="4" t="s">
        <v>1997</v>
      </c>
      <c r="K376" s="14">
        <f>IF(OR($I376="USO_NO_ENERGETICO_APARENTE",$I376="USO_ENERGETICO_INTERNO_APARENTE"),ROUND(SUMIFS($K$2:$K$618,$B$2:$B$618,$B376,$C$2:$C$618,$C376,$D$2:$D$618,"Energy products",$E$2:$E$618,"Supply",$G$2:$G$618,"&lt;&gt;STAT")-SUMIFS($K$2:$K$618,$B$2:$B$618,$B376,$C$2:$C$618,$C376,$D$2:$D$618,"Energy products",$E$2:$E$618,"Use",$G$2:$G$618,"&lt;&gt;STAT",$I$2:$I$618,"&lt;&gt;USO_NO_ENERGETICO_APARENTE",$I$2:$I$618,"&lt;&gt;USO_ENERGETICO_INTERNO_APARENTE"),10),IF(LEFT($H376,5)="STAT_",ROUND(SUMIFS($K$2:$K$618,$B$2:$B$618,$B376,$C$2:$C$618,$C376,$D$2:$D$618,"Energy products",$E$2:$E$618,"Supply",$G$2:$G$618,"&lt;&gt;STAT")-SUMIFS($K$2:$K$618,$B$2:$B$618,$B376,$C$2:$C$618,$C376,$D$2:$D$618,"Energy products",$E$2:$E$618,"Use",$G$2:$G$618,"&lt;&gt;STAT"),10),IF($J376="cambio de signo",-INDEX(DATOS_MODELO!$U$2:$U$3672,MATCH($H376,DATOS_MODELO!$B$2:$B$3672,0)),IF($J376="valor absoluto",ABS(INDEX(DATOS_MODELO!$U$2:$U$3672,MATCH($H376,DATOS_MODELO!$B$2:$B$3672,0))),INDEX(DATOS_MODELO!$U$2:$U$3672,MATCH($H376,DATOS_MODELO!$B$2:$B$3672,0))))))</f>
        <v>16453.6876</v>
      </c>
      <c r="L376" s="8" t="str">
        <f aca="false">IF(LEFT($H376,5)&lt;&gt;"STAT_","",IF(ABS($K376)&lt;=COUNTIFS($B$2:$B$618,$B376,$C$2:$C$618,$C376,$D$2:$D$618,"Energy products",$G$2:$G$618,"&lt;&gt;STAT")*PARAMETROS!$B$6,"redondeo","residuo_estadistico"))</f>
        <v/>
      </c>
      <c r="M376" s="8" t="str">
        <f>IF(OR($I376="USO_NO_ENERGETICO_APARENTE",$I376="USO_ENERGETICO_INTERNO_APARENTE"),"CAL",IF(LEFT($H376,5)="STAT_","FORMULA",IF(COUNTIF(DATOS_MODELO!$B$2:$B$3672,$H376)=1,"OK","REVISAR")))</f>
        <v>OK</v>
      </c>
    </row>
    <row r="377" customFormat="false" ht="15" hidden="false" customHeight="false" outlineLevel="0" collapsed="false">
      <c r="A377" s="4" t="s">
        <v>2831</v>
      </c>
      <c r="B377" s="12" t="n">
        <v>2020</v>
      </c>
      <c r="C377" s="4" t="s">
        <v>86</v>
      </c>
      <c r="D377" s="4" t="s">
        <v>1993</v>
      </c>
      <c r="E377" s="4" t="s">
        <v>2001</v>
      </c>
      <c r="F377" s="4" t="s">
        <v>2091</v>
      </c>
      <c r="G377" s="4" t="s">
        <v>69</v>
      </c>
      <c r="H377" s="4" t="s">
        <v>769</v>
      </c>
      <c r="I377" s="4" t="s">
        <v>2030</v>
      </c>
      <c r="J377" s="4" t="s">
        <v>1997</v>
      </c>
      <c r="K377" s="14">
        <f>IF(OR($I377="USO_NO_ENERGETICO_APARENTE",$I377="USO_ENERGETICO_INTERNO_APARENTE"),ROUND(SUMIFS($K$2:$K$618,$B$2:$B$618,$B377,$C$2:$C$618,$C377,$D$2:$D$618,"Energy products",$E$2:$E$618,"Supply",$G$2:$G$618,"&lt;&gt;STAT")-SUMIFS($K$2:$K$618,$B$2:$B$618,$B377,$C$2:$C$618,$C377,$D$2:$D$618,"Energy products",$E$2:$E$618,"Use",$G$2:$G$618,"&lt;&gt;STAT",$I$2:$I$618,"&lt;&gt;USO_NO_ENERGETICO_APARENTE",$I$2:$I$618,"&lt;&gt;USO_ENERGETICO_INTERNO_APARENTE"),10),IF(LEFT($H377,5)="STAT_",ROUND(SUMIFS($K$2:$K$618,$B$2:$B$618,$B377,$C$2:$C$618,$C377,$D$2:$D$618,"Energy products",$E$2:$E$618,"Supply",$G$2:$G$618,"&lt;&gt;STAT")-SUMIFS($K$2:$K$618,$B$2:$B$618,$B377,$C$2:$C$618,$C377,$D$2:$D$618,"Energy products",$E$2:$E$618,"Use",$G$2:$G$618,"&lt;&gt;STAT"),10),IF($J377="cambio de signo",-INDEX(DATOS_MODELO!$U$2:$U$3672,MATCH($H377,DATOS_MODELO!$B$2:$B$3672,0)),IF($J377="valor absoluto",ABS(INDEX(DATOS_MODELO!$U$2:$U$3672,MATCH($H377,DATOS_MODELO!$B$2:$B$3672,0))),INDEX(DATOS_MODELO!$U$2:$U$3672,MATCH($H377,DATOS_MODELO!$B$2:$B$3672,0))))))</f>
        <v>8074.5637</v>
      </c>
      <c r="L377" s="8" t="str">
        <f aca="false">IF(LEFT($H377,5)&lt;&gt;"STAT_","",IF(ABS($K377)&lt;=COUNTIFS($B$2:$B$618,$B377,$C$2:$C$618,$C377,$D$2:$D$618,"Energy products",$G$2:$G$618,"&lt;&gt;STAT")*PARAMETROS!$B$6,"redondeo","residuo_estadistico"))</f>
        <v/>
      </c>
      <c r="M377" s="8" t="str">
        <f>IF(OR($I377="USO_NO_ENERGETICO_APARENTE",$I377="USO_ENERGETICO_INTERNO_APARENTE"),"CAL",IF(LEFT($H377,5)="STAT_","FORMULA",IF(COUNTIF(DATOS_MODELO!$B$2:$B$3672,$H377)=1,"OK","REVISAR")))</f>
        <v>OK</v>
      </c>
    </row>
    <row r="378" customFormat="false" ht="15" hidden="false" customHeight="false" outlineLevel="0" collapsed="false">
      <c r="A378" s="4" t="s">
        <v>2833</v>
      </c>
      <c r="B378" s="12" t="n">
        <v>2020</v>
      </c>
      <c r="C378" s="4" t="s">
        <v>86</v>
      </c>
      <c r="D378" s="4" t="s">
        <v>1993</v>
      </c>
      <c r="E378" s="4" t="s">
        <v>2001</v>
      </c>
      <c r="F378" s="4" t="s">
        <v>2034</v>
      </c>
      <c r="G378" s="4" t="s">
        <v>74</v>
      </c>
      <c r="H378" s="4" t="s">
        <v>770</v>
      </c>
      <c r="I378" s="4" t="s">
        <v>2035</v>
      </c>
      <c r="J378" s="4" t="s">
        <v>2036</v>
      </c>
      <c r="K378" s="14">
        <f>IF(OR($I378="USO_NO_ENERGETICO_APARENTE",$I378="USO_ENERGETICO_INTERNO_APARENTE"),ROUND(SUMIFS($K$2:$K$618,$B$2:$B$618,$B378,$C$2:$C$618,$C378,$D$2:$D$618,"Energy products",$E$2:$E$618,"Supply",$G$2:$G$618,"&lt;&gt;STAT")-SUMIFS($K$2:$K$618,$B$2:$B$618,$B378,$C$2:$C$618,$C378,$D$2:$D$618,"Energy products",$E$2:$E$618,"Use",$G$2:$G$618,"&lt;&gt;STAT",$I$2:$I$618,"&lt;&gt;USO_NO_ENERGETICO_APARENTE",$I$2:$I$618,"&lt;&gt;USO_ENERGETICO_INTERNO_APARENTE"),10),IF(LEFT($H378,5)="STAT_",ROUND(SUMIFS($K$2:$K$618,$B$2:$B$618,$B378,$C$2:$C$618,$C378,$D$2:$D$618,"Energy products",$E$2:$E$618,"Supply",$G$2:$G$618,"&lt;&gt;STAT")-SUMIFS($K$2:$K$618,$B$2:$B$618,$B378,$C$2:$C$618,$C378,$D$2:$D$618,"Energy products",$E$2:$E$618,"Use",$G$2:$G$618,"&lt;&gt;STAT"),10),IF($J378="cambio de signo",-INDEX(DATOS_MODELO!$U$2:$U$3672,MATCH($H378,DATOS_MODELO!$B$2:$B$3672,0)),IF($J378="valor absoluto",ABS(INDEX(DATOS_MODELO!$U$2:$U$3672,MATCH($H378,DATOS_MODELO!$B$2:$B$3672,0))),INDEX(DATOS_MODELO!$U$2:$U$3672,MATCH($H378,DATOS_MODELO!$B$2:$B$3672,0))))))</f>
        <v>4314.5641</v>
      </c>
      <c r="L378" s="8" t="str">
        <f aca="false">IF(LEFT($H378,5)&lt;&gt;"STAT_","",IF(ABS($K378)&lt;=COUNTIFS($B$2:$B$618,$B378,$C$2:$C$618,$C378,$D$2:$D$618,"Energy products",$G$2:$G$618,"&lt;&gt;STAT")*PARAMETROS!$B$6,"redondeo","residuo_estadistico"))</f>
        <v/>
      </c>
      <c r="M378" s="8" t="str">
        <f>IF(OR($I378="USO_NO_ENERGETICO_APARENTE",$I378="USO_ENERGETICO_INTERNO_APARENTE"),"CAL",IF(LEFT($H378,5)="STAT_","FORMULA",IF(COUNTIF(DATOS_MODELO!$B$2:$B$3672,$H378)=1,"OK","REVISAR")))</f>
        <v>OK</v>
      </c>
    </row>
    <row r="379" customFormat="false" ht="15" hidden="false" customHeight="false" outlineLevel="0" collapsed="false">
      <c r="A379" s="4" t="s">
        <v>2835</v>
      </c>
      <c r="B379" s="12" t="n">
        <v>2020</v>
      </c>
      <c r="C379" s="4" t="s">
        <v>86</v>
      </c>
      <c r="D379" s="4" t="s">
        <v>1993</v>
      </c>
      <c r="E379" s="4" t="s">
        <v>2001</v>
      </c>
      <c r="F379" s="4" t="s">
        <v>2002</v>
      </c>
      <c r="G379" s="4" t="s">
        <v>67</v>
      </c>
      <c r="H379" s="4" t="s">
        <v>771</v>
      </c>
      <c r="I379" s="4" t="s">
        <v>2097</v>
      </c>
      <c r="J379" s="4" t="s">
        <v>2004</v>
      </c>
      <c r="K379" s="14">
        <f>IF(OR($I379="USO_NO_ENERGETICO_APARENTE",$I379="USO_ENERGETICO_INTERNO_APARENTE"),ROUND(SUMIFS($K$2:$K$618,$B$2:$B$618,$B379,$C$2:$C$618,$C379,$D$2:$D$618,"Energy products",$E$2:$E$618,"Supply",$G$2:$G$618,"&lt;&gt;STAT")-SUMIFS($K$2:$K$618,$B$2:$B$618,$B379,$C$2:$C$618,$C379,$D$2:$D$618,"Energy products",$E$2:$E$618,"Use",$G$2:$G$618,"&lt;&gt;STAT",$I$2:$I$618,"&lt;&gt;USO_NO_ENERGETICO_APARENTE",$I$2:$I$618,"&lt;&gt;USO_ENERGETICO_INTERNO_APARENTE"),10),IF(LEFT($H379,5)="STAT_",ROUND(SUMIFS($K$2:$K$618,$B$2:$B$618,$B379,$C$2:$C$618,$C379,$D$2:$D$618,"Energy products",$E$2:$E$618,"Supply",$G$2:$G$618,"&lt;&gt;STAT")-SUMIFS($K$2:$K$618,$B$2:$B$618,$B379,$C$2:$C$618,$C379,$D$2:$D$618,"Energy products",$E$2:$E$618,"Use",$G$2:$G$618,"&lt;&gt;STAT"),10),IF($J379="cambio de signo",-INDEX(DATOS_MODELO!$U$2:$U$3672,MATCH($H379,DATOS_MODELO!$B$2:$B$3672,0)),IF($J379="valor absoluto",ABS(INDEX(DATOS_MODELO!$U$2:$U$3672,MATCH($H379,DATOS_MODELO!$B$2:$B$3672,0))),INDEX(DATOS_MODELO!$U$2:$U$3672,MATCH($H379,DATOS_MODELO!$B$2:$B$3672,0))))))</f>
        <v>4064.5598</v>
      </c>
      <c r="L379" s="8" t="str">
        <f aca="false">IF(LEFT($H379,5)&lt;&gt;"STAT_","",IF(ABS($K379)&lt;=COUNTIFS($B$2:$B$618,$B379,$C$2:$C$618,$C379,$D$2:$D$618,"Energy products",$G$2:$G$618,"&lt;&gt;STAT")*PARAMETROS!$B$6,"redondeo","residuo_estadistico"))</f>
        <v/>
      </c>
      <c r="M379" s="8" t="str">
        <f>IF(OR($I379="USO_NO_ENERGETICO_APARENTE",$I379="USO_ENERGETICO_INTERNO_APARENTE"),"CAL",IF(LEFT($H379,5)="STAT_","FORMULA",IF(COUNTIF(DATOS_MODELO!$B$2:$B$3672,$H379)=1,"OK","REVISAR")))</f>
        <v>OK</v>
      </c>
    </row>
    <row r="380" customFormat="false" ht="15" hidden="false" customHeight="false" outlineLevel="0" collapsed="false">
      <c r="A380" s="4" t="s">
        <v>2837</v>
      </c>
      <c r="B380" s="12" t="n">
        <v>2020</v>
      </c>
      <c r="C380" s="4" t="s">
        <v>88</v>
      </c>
      <c r="D380" s="4" t="s">
        <v>2018</v>
      </c>
      <c r="E380" s="4" t="s">
        <v>1994</v>
      </c>
      <c r="F380" s="4" t="s">
        <v>65</v>
      </c>
      <c r="G380" s="4" t="s">
        <v>64</v>
      </c>
      <c r="H380" s="4" t="s">
        <v>781</v>
      </c>
      <c r="I380" s="4" t="s">
        <v>2044</v>
      </c>
      <c r="J380" s="4" t="s">
        <v>1997</v>
      </c>
      <c r="K380" s="14">
        <f>IF(OR($I380="USO_NO_ENERGETICO_APARENTE",$I380="USO_ENERGETICO_INTERNO_APARENTE"),ROUND(SUMIFS($K$2:$K$618,$B$2:$B$618,$B380,$C$2:$C$618,$C380,$D$2:$D$618,"Energy products",$E$2:$E$618,"Supply",$G$2:$G$618,"&lt;&gt;STAT")-SUMIFS($K$2:$K$618,$B$2:$B$618,$B380,$C$2:$C$618,$C380,$D$2:$D$618,"Energy products",$E$2:$E$618,"Use",$G$2:$G$618,"&lt;&gt;STAT",$I$2:$I$618,"&lt;&gt;USO_NO_ENERGETICO_APARENTE",$I$2:$I$618,"&lt;&gt;USO_ENERGETICO_INTERNO_APARENTE"),10),IF(LEFT($H380,5)="STAT_",ROUND(SUMIFS($K$2:$K$618,$B$2:$B$618,$B380,$C$2:$C$618,$C380,$D$2:$D$618,"Energy products",$E$2:$E$618,"Supply",$G$2:$G$618,"&lt;&gt;STAT")-SUMIFS($K$2:$K$618,$B$2:$B$618,$B380,$C$2:$C$618,$C380,$D$2:$D$618,"Energy products",$E$2:$E$618,"Use",$G$2:$G$618,"&lt;&gt;STAT"),10),IF($J380="cambio de signo",-INDEX(DATOS_MODELO!$U$2:$U$3672,MATCH($H380,DATOS_MODELO!$B$2:$B$3672,0)),IF($J380="valor absoluto",ABS(INDEX(DATOS_MODELO!$U$2:$U$3672,MATCH($H380,DATOS_MODELO!$B$2:$B$3672,0))),INDEX(DATOS_MODELO!$U$2:$U$3672,MATCH($H380,DATOS_MODELO!$B$2:$B$3672,0))))))</f>
        <v>799.5141</v>
      </c>
      <c r="L380" s="8" t="str">
        <f aca="false">IF(LEFT($H380,5)&lt;&gt;"STAT_","",IF(ABS($K380)&lt;=COUNTIFS($B$2:$B$618,$B380,$C$2:$C$618,$C380,$D$2:$D$618,"Energy products",$G$2:$G$618,"&lt;&gt;STAT")*PARAMETROS!$B$6,"redondeo","residuo_estadistico"))</f>
        <v/>
      </c>
      <c r="M380" s="8" t="str">
        <f>IF(OR($I380="USO_NO_ENERGETICO_APARENTE",$I380="USO_ENERGETICO_INTERNO_APARENTE"),"CAL",IF(LEFT($H380,5)="STAT_","FORMULA",IF(COUNTIF(DATOS_MODELO!$B$2:$B$3672,$H380)=1,"OK","REVISAR")))</f>
        <v>OK</v>
      </c>
    </row>
    <row r="381" customFormat="false" ht="15" hidden="false" customHeight="false" outlineLevel="0" collapsed="false">
      <c r="A381" s="4" t="s">
        <v>2839</v>
      </c>
      <c r="B381" s="12" t="n">
        <v>2020</v>
      </c>
      <c r="C381" s="4" t="s">
        <v>88</v>
      </c>
      <c r="D381" s="4" t="s">
        <v>2018</v>
      </c>
      <c r="E381" s="4" t="s">
        <v>2001</v>
      </c>
      <c r="F381" s="4" t="s">
        <v>66</v>
      </c>
      <c r="G381" s="4" t="s">
        <v>67</v>
      </c>
      <c r="H381" s="4" t="s">
        <v>786</v>
      </c>
      <c r="I381" s="4" t="s">
        <v>2003</v>
      </c>
      <c r="J381" s="4" t="s">
        <v>2004</v>
      </c>
      <c r="K381" s="14">
        <f>IF(OR($I381="USO_NO_ENERGETICO_APARENTE",$I381="USO_ENERGETICO_INTERNO_APARENTE"),ROUND(SUMIFS($K$2:$K$618,$B$2:$B$618,$B381,$C$2:$C$618,$C381,$D$2:$D$618,"Energy products",$E$2:$E$618,"Supply",$G$2:$G$618,"&lt;&gt;STAT")-SUMIFS($K$2:$K$618,$B$2:$B$618,$B381,$C$2:$C$618,$C381,$D$2:$D$618,"Energy products",$E$2:$E$618,"Use",$G$2:$G$618,"&lt;&gt;STAT",$I$2:$I$618,"&lt;&gt;USO_NO_ENERGETICO_APARENTE",$I$2:$I$618,"&lt;&gt;USO_ENERGETICO_INTERNO_APARENTE"),10),IF(LEFT($H381,5)="STAT_",ROUND(SUMIFS($K$2:$K$618,$B$2:$B$618,$B381,$C$2:$C$618,$C381,$D$2:$D$618,"Energy products",$E$2:$E$618,"Supply",$G$2:$G$618,"&lt;&gt;STAT")-SUMIFS($K$2:$K$618,$B$2:$B$618,$B381,$C$2:$C$618,$C381,$D$2:$D$618,"Energy products",$E$2:$E$618,"Use",$G$2:$G$618,"&lt;&gt;STAT"),10),IF($J381="cambio de signo",-INDEX(DATOS_MODELO!$U$2:$U$3672,MATCH($H381,DATOS_MODELO!$B$2:$B$3672,0)),IF($J381="valor absoluto",ABS(INDEX(DATOS_MODELO!$U$2:$U$3672,MATCH($H381,DATOS_MODELO!$B$2:$B$3672,0))),INDEX(DATOS_MODELO!$U$2:$U$3672,MATCH($H381,DATOS_MODELO!$B$2:$B$3672,0))))))</f>
        <v>799.5141</v>
      </c>
      <c r="L381" s="8" t="str">
        <f aca="false">IF(LEFT($H381,5)&lt;&gt;"STAT_","",IF(ABS($K381)&lt;=COUNTIFS($B$2:$B$618,$B381,$C$2:$C$618,$C381,$D$2:$D$618,"Energy products",$G$2:$G$618,"&lt;&gt;STAT")*PARAMETROS!$B$6,"redondeo","residuo_estadistico"))</f>
        <v/>
      </c>
      <c r="M381" s="8" t="str">
        <f>IF(OR($I381="USO_NO_ENERGETICO_APARENTE",$I381="USO_ENERGETICO_INTERNO_APARENTE"),"CAL",IF(LEFT($H381,5)="STAT_","FORMULA",IF(COUNTIF(DATOS_MODELO!$B$2:$B$3672,$H381)=1,"OK","REVISAR")))</f>
        <v>OK</v>
      </c>
    </row>
    <row r="382" customFormat="false" ht="15" hidden="false" customHeight="false" outlineLevel="0" collapsed="false">
      <c r="A382" s="4" t="s">
        <v>2841</v>
      </c>
      <c r="B382" s="12" t="n">
        <v>2020</v>
      </c>
      <c r="C382" s="4" t="s">
        <v>95</v>
      </c>
      <c r="D382" s="4" t="s">
        <v>1993</v>
      </c>
      <c r="E382" s="4" t="s">
        <v>1994</v>
      </c>
      <c r="F382" s="4" t="s">
        <v>2029</v>
      </c>
      <c r="G382" s="4" t="s">
        <v>69</v>
      </c>
      <c r="H382" s="4" t="s">
        <v>796</v>
      </c>
      <c r="I382" s="4" t="s">
        <v>2030</v>
      </c>
      <c r="J382" s="4" t="s">
        <v>1997</v>
      </c>
      <c r="K382" s="14">
        <f>IF(OR($I382="USO_NO_ENERGETICO_APARENTE",$I382="USO_ENERGETICO_INTERNO_APARENTE"),ROUND(SUMIFS($K$2:$K$618,$B$2:$B$618,$B382,$C$2:$C$618,$C382,$D$2:$D$618,"Energy products",$E$2:$E$618,"Supply",$G$2:$G$618,"&lt;&gt;STAT")-SUMIFS($K$2:$K$618,$B$2:$B$618,$B382,$C$2:$C$618,$C382,$D$2:$D$618,"Energy products",$E$2:$E$618,"Use",$G$2:$G$618,"&lt;&gt;STAT",$I$2:$I$618,"&lt;&gt;USO_NO_ENERGETICO_APARENTE",$I$2:$I$618,"&lt;&gt;USO_ENERGETICO_INTERNO_APARENTE"),10),IF(LEFT($H382,5)="STAT_",ROUND(SUMIFS($K$2:$K$618,$B$2:$B$618,$B382,$C$2:$C$618,$C382,$D$2:$D$618,"Energy products",$E$2:$E$618,"Supply",$G$2:$G$618,"&lt;&gt;STAT")-SUMIFS($K$2:$K$618,$B$2:$B$618,$B382,$C$2:$C$618,$C382,$D$2:$D$618,"Energy products",$E$2:$E$618,"Use",$G$2:$G$618,"&lt;&gt;STAT"),10),IF($J382="cambio de signo",-INDEX(DATOS_MODELO!$U$2:$U$3672,MATCH($H382,DATOS_MODELO!$B$2:$B$3672,0)),IF($J382="valor absoluto",ABS(INDEX(DATOS_MODELO!$U$2:$U$3672,MATCH($H382,DATOS_MODELO!$B$2:$B$3672,0))),INDEX(DATOS_MODELO!$U$2:$U$3672,MATCH($H382,DATOS_MODELO!$B$2:$B$3672,0))))))</f>
        <v>16384.8972</v>
      </c>
      <c r="L382" s="8" t="str">
        <f aca="false">IF(LEFT($H382,5)&lt;&gt;"STAT_","",IF(ABS($K382)&lt;=COUNTIFS($B$2:$B$618,$B382,$C$2:$C$618,$C382,$D$2:$D$618,"Energy products",$G$2:$G$618,"&lt;&gt;STAT")*PARAMETROS!$B$6,"redondeo","residuo_estadistico"))</f>
        <v/>
      </c>
      <c r="M382" s="8" t="str">
        <f>IF(OR($I382="USO_NO_ENERGETICO_APARENTE",$I382="USO_ENERGETICO_INTERNO_APARENTE"),"CAL",IF(LEFT($H382,5)="STAT_","FORMULA",IF(COUNTIF(DATOS_MODELO!$B$2:$B$3672,$H382)=1,"OK","REVISAR")))</f>
        <v>OK</v>
      </c>
    </row>
    <row r="383" customFormat="false" ht="15" hidden="false" customHeight="false" outlineLevel="0" collapsed="false">
      <c r="A383" s="4" t="s">
        <v>2843</v>
      </c>
      <c r="B383" s="12" t="n">
        <v>2020</v>
      </c>
      <c r="C383" s="4" t="s">
        <v>95</v>
      </c>
      <c r="D383" s="4" t="s">
        <v>1993</v>
      </c>
      <c r="E383" s="4" t="s">
        <v>2001</v>
      </c>
      <c r="F383" s="4" t="s">
        <v>2034</v>
      </c>
      <c r="G383" s="4" t="s">
        <v>74</v>
      </c>
      <c r="H383" s="4" t="s">
        <v>798</v>
      </c>
      <c r="I383" s="4" t="s">
        <v>2035</v>
      </c>
      <c r="J383" s="4" t="s">
        <v>2036</v>
      </c>
      <c r="K383" s="14">
        <f>IF(OR($I383="USO_NO_ENERGETICO_APARENTE",$I383="USO_ENERGETICO_INTERNO_APARENTE"),ROUND(SUMIFS($K$2:$K$618,$B$2:$B$618,$B383,$C$2:$C$618,$C383,$D$2:$D$618,"Energy products",$E$2:$E$618,"Supply",$G$2:$G$618,"&lt;&gt;STAT")-SUMIFS($K$2:$K$618,$B$2:$B$618,$B383,$C$2:$C$618,$C383,$D$2:$D$618,"Energy products",$E$2:$E$618,"Use",$G$2:$G$618,"&lt;&gt;STAT",$I$2:$I$618,"&lt;&gt;USO_NO_ENERGETICO_APARENTE",$I$2:$I$618,"&lt;&gt;USO_ENERGETICO_INTERNO_APARENTE"),10),IF(LEFT($H383,5)="STAT_",ROUND(SUMIFS($K$2:$K$618,$B$2:$B$618,$B383,$C$2:$C$618,$C383,$D$2:$D$618,"Energy products",$E$2:$E$618,"Supply",$G$2:$G$618,"&lt;&gt;STAT")-SUMIFS($K$2:$K$618,$B$2:$B$618,$B383,$C$2:$C$618,$C383,$D$2:$D$618,"Energy products",$E$2:$E$618,"Use",$G$2:$G$618,"&lt;&gt;STAT"),10),IF($J383="cambio de signo",-INDEX(DATOS_MODELO!$U$2:$U$3672,MATCH($H383,DATOS_MODELO!$B$2:$B$3672,0)),IF($J383="valor absoluto",ABS(INDEX(DATOS_MODELO!$U$2:$U$3672,MATCH($H383,DATOS_MODELO!$B$2:$B$3672,0))),INDEX(DATOS_MODELO!$U$2:$U$3672,MATCH($H383,DATOS_MODELO!$B$2:$B$3672,0))))))</f>
        <v>-647.815</v>
      </c>
      <c r="L383" s="8" t="str">
        <f aca="false">IF(LEFT($H383,5)&lt;&gt;"STAT_","",IF(ABS($K383)&lt;=COUNTIFS($B$2:$B$618,$B383,$C$2:$C$618,$C383,$D$2:$D$618,"Energy products",$G$2:$G$618,"&lt;&gt;STAT")*PARAMETROS!$B$6,"redondeo","residuo_estadistico"))</f>
        <v/>
      </c>
      <c r="M383" s="8" t="str">
        <f>IF(OR($I383="USO_NO_ENERGETICO_APARENTE",$I383="USO_ENERGETICO_INTERNO_APARENTE"),"CAL",IF(LEFT($H383,5)="STAT_","FORMULA",IF(COUNTIF(DATOS_MODELO!$B$2:$B$3672,$H383)=1,"OK","REVISAR")))</f>
        <v>OK</v>
      </c>
    </row>
    <row r="384" customFormat="false" ht="15" hidden="false" customHeight="false" outlineLevel="0" collapsed="false">
      <c r="A384" s="4" t="s">
        <v>2845</v>
      </c>
      <c r="B384" s="12" t="n">
        <v>2020</v>
      </c>
      <c r="C384" s="4" t="s">
        <v>95</v>
      </c>
      <c r="D384" s="4" t="s">
        <v>1993</v>
      </c>
      <c r="E384" s="4" t="s">
        <v>2001</v>
      </c>
      <c r="F384" s="4" t="s">
        <v>2002</v>
      </c>
      <c r="G384" s="4" t="s">
        <v>68</v>
      </c>
      <c r="H384" s="4" t="s">
        <v>806</v>
      </c>
      <c r="I384" s="4" t="s">
        <v>2111</v>
      </c>
      <c r="J384" s="4" t="s">
        <v>1997</v>
      </c>
      <c r="K384" s="14">
        <f>IF(OR($I384="USO_NO_ENERGETICO_APARENTE",$I384="USO_ENERGETICO_INTERNO_APARENTE"),ROUND(SUMIFS($K$2:$K$618,$B$2:$B$618,$B384,$C$2:$C$618,$C384,$D$2:$D$618,"Energy products",$E$2:$E$618,"Supply",$G$2:$G$618,"&lt;&gt;STAT")-SUMIFS($K$2:$K$618,$B$2:$B$618,$B384,$C$2:$C$618,$C384,$D$2:$D$618,"Energy products",$E$2:$E$618,"Use",$G$2:$G$618,"&lt;&gt;STAT",$I$2:$I$618,"&lt;&gt;USO_NO_ENERGETICO_APARENTE",$I$2:$I$618,"&lt;&gt;USO_ENERGETICO_INTERNO_APARENTE"),10),IF(LEFT($H384,5)="STAT_",ROUND(SUMIFS($K$2:$K$618,$B$2:$B$618,$B384,$C$2:$C$618,$C384,$D$2:$D$618,"Energy products",$E$2:$E$618,"Supply",$G$2:$G$618,"&lt;&gt;STAT")-SUMIFS($K$2:$K$618,$B$2:$B$618,$B384,$C$2:$C$618,$C384,$D$2:$D$618,"Energy products",$E$2:$E$618,"Use",$G$2:$G$618,"&lt;&gt;STAT"),10),IF($J384="cambio de signo",-INDEX(DATOS_MODELO!$U$2:$U$3672,MATCH($H384,DATOS_MODELO!$B$2:$B$3672,0)),IF($J384="valor absoluto",ABS(INDEX(DATOS_MODELO!$U$2:$U$3672,MATCH($H384,DATOS_MODELO!$B$2:$B$3672,0))),INDEX(DATOS_MODELO!$U$2:$U$3672,MATCH($H384,DATOS_MODELO!$B$2:$B$3672,0))))))</f>
        <v>17032.7703</v>
      </c>
      <c r="L384" s="8" t="str">
        <f aca="false">IF(LEFT($H384,5)&lt;&gt;"STAT_","",IF(ABS($K384)&lt;=COUNTIFS($B$2:$B$618,$B384,$C$2:$C$618,$C384,$D$2:$D$618,"Energy products",$G$2:$G$618,"&lt;&gt;STAT")*PARAMETROS!$B$6,"redondeo","residuo_estadistico"))</f>
        <v/>
      </c>
      <c r="M384" s="8" t="str">
        <f>IF(OR($I384="USO_NO_ENERGETICO_APARENTE",$I384="USO_ENERGETICO_INTERNO_APARENTE"),"CAL",IF(LEFT($H384,5)="STAT_","FORMULA",IF(COUNTIF(DATOS_MODELO!$B$2:$B$3672,$H384)=1,"OK","REVISAR")))</f>
        <v>OK</v>
      </c>
    </row>
    <row r="385" customFormat="false" ht="15" hidden="false" customHeight="false" outlineLevel="0" collapsed="false">
      <c r="A385" s="4" t="s">
        <v>2847</v>
      </c>
      <c r="B385" s="12" t="n">
        <v>2020</v>
      </c>
      <c r="C385" s="4" t="s">
        <v>97</v>
      </c>
      <c r="D385" s="4" t="s">
        <v>1993</v>
      </c>
      <c r="E385" s="4" t="s">
        <v>1994</v>
      </c>
      <c r="F385" s="4" t="s">
        <v>2029</v>
      </c>
      <c r="G385" s="4" t="s">
        <v>69</v>
      </c>
      <c r="H385" s="4" t="s">
        <v>810</v>
      </c>
      <c r="I385" s="4" t="s">
        <v>2030</v>
      </c>
      <c r="J385" s="4" t="s">
        <v>1997</v>
      </c>
      <c r="K385" s="14">
        <f>IF(OR($I385="USO_NO_ENERGETICO_APARENTE",$I385="USO_ENERGETICO_INTERNO_APARENTE"),ROUND(SUMIFS($K$2:$K$618,$B$2:$B$618,$B385,$C$2:$C$618,$C385,$D$2:$D$618,"Energy products",$E$2:$E$618,"Supply",$G$2:$G$618,"&lt;&gt;STAT")-SUMIFS($K$2:$K$618,$B$2:$B$618,$B385,$C$2:$C$618,$C385,$D$2:$D$618,"Energy products",$E$2:$E$618,"Use",$G$2:$G$618,"&lt;&gt;STAT",$I$2:$I$618,"&lt;&gt;USO_NO_ENERGETICO_APARENTE",$I$2:$I$618,"&lt;&gt;USO_ENERGETICO_INTERNO_APARENTE"),10),IF(LEFT($H385,5)="STAT_",ROUND(SUMIFS($K$2:$K$618,$B$2:$B$618,$B385,$C$2:$C$618,$C385,$D$2:$D$618,"Energy products",$E$2:$E$618,"Supply",$G$2:$G$618,"&lt;&gt;STAT")-SUMIFS($K$2:$K$618,$B$2:$B$618,$B385,$C$2:$C$618,$C385,$D$2:$D$618,"Energy products",$E$2:$E$618,"Use",$G$2:$G$618,"&lt;&gt;STAT"),10),IF($J385="cambio de signo",-INDEX(DATOS_MODELO!$U$2:$U$3672,MATCH($H385,DATOS_MODELO!$B$2:$B$3672,0)),IF($J385="valor absoluto",ABS(INDEX(DATOS_MODELO!$U$2:$U$3672,MATCH($H385,DATOS_MODELO!$B$2:$B$3672,0))),INDEX(DATOS_MODELO!$U$2:$U$3672,MATCH($H385,DATOS_MODELO!$B$2:$B$3672,0))))))</f>
        <v>69428.7447</v>
      </c>
      <c r="L385" s="8" t="str">
        <f aca="false">IF(LEFT($H385,5)&lt;&gt;"STAT_","",IF(ABS($K385)&lt;=COUNTIFS($B$2:$B$618,$B385,$C$2:$C$618,$C385,$D$2:$D$618,"Energy products",$G$2:$G$618,"&lt;&gt;STAT")*PARAMETROS!$B$6,"redondeo","residuo_estadistico"))</f>
        <v/>
      </c>
      <c r="M385" s="8" t="str">
        <f>IF(OR($I385="USO_NO_ENERGETICO_APARENTE",$I385="USO_ENERGETICO_INTERNO_APARENTE"),"CAL",IF(LEFT($H385,5)="STAT_","FORMULA",IF(COUNTIF(DATOS_MODELO!$B$2:$B$3672,$H385)=1,"OK","REVISAR")))</f>
        <v>OK</v>
      </c>
    </row>
    <row r="386" customFormat="false" ht="15" hidden="false" customHeight="false" outlineLevel="0" collapsed="false">
      <c r="A386" s="4" t="s">
        <v>2849</v>
      </c>
      <c r="B386" s="12" t="n">
        <v>2020</v>
      </c>
      <c r="C386" s="4" t="s">
        <v>97</v>
      </c>
      <c r="D386" s="4" t="s">
        <v>1993</v>
      </c>
      <c r="E386" s="4" t="s">
        <v>2001</v>
      </c>
      <c r="F386" s="4" t="s">
        <v>2091</v>
      </c>
      <c r="G386" s="4" t="s">
        <v>69</v>
      </c>
      <c r="H386" s="4" t="s">
        <v>811</v>
      </c>
      <c r="I386" s="4" t="s">
        <v>2030</v>
      </c>
      <c r="J386" s="4" t="s">
        <v>1997</v>
      </c>
      <c r="K386" s="14">
        <f>IF(OR($I386="USO_NO_ENERGETICO_APARENTE",$I386="USO_ENERGETICO_INTERNO_APARENTE"),ROUND(SUMIFS($K$2:$K$618,$B$2:$B$618,$B386,$C$2:$C$618,$C386,$D$2:$D$618,"Energy products",$E$2:$E$618,"Supply",$G$2:$G$618,"&lt;&gt;STAT")-SUMIFS($K$2:$K$618,$B$2:$B$618,$B386,$C$2:$C$618,$C386,$D$2:$D$618,"Energy products",$E$2:$E$618,"Use",$G$2:$G$618,"&lt;&gt;STAT",$I$2:$I$618,"&lt;&gt;USO_NO_ENERGETICO_APARENTE",$I$2:$I$618,"&lt;&gt;USO_ENERGETICO_INTERNO_APARENTE"),10),IF(LEFT($H386,5)="STAT_",ROUND(SUMIFS($K$2:$K$618,$B$2:$B$618,$B386,$C$2:$C$618,$C386,$D$2:$D$618,"Energy products",$E$2:$E$618,"Supply",$G$2:$G$618,"&lt;&gt;STAT")-SUMIFS($K$2:$K$618,$B$2:$B$618,$B386,$C$2:$C$618,$C386,$D$2:$D$618,"Energy products",$E$2:$E$618,"Use",$G$2:$G$618,"&lt;&gt;STAT"),10),IF($J386="cambio de signo",-INDEX(DATOS_MODELO!$U$2:$U$3672,MATCH($H386,DATOS_MODELO!$B$2:$B$3672,0)),IF($J386="valor absoluto",ABS(INDEX(DATOS_MODELO!$U$2:$U$3672,MATCH($H386,DATOS_MODELO!$B$2:$B$3672,0))),INDEX(DATOS_MODELO!$U$2:$U$3672,MATCH($H386,DATOS_MODELO!$B$2:$B$3672,0))))))</f>
        <v>280.8554</v>
      </c>
      <c r="L386" s="8" t="str">
        <f aca="false">IF(LEFT($H386,5)&lt;&gt;"STAT_","",IF(ABS($K386)&lt;=COUNTIFS($B$2:$B$618,$B386,$C$2:$C$618,$C386,$D$2:$D$618,"Energy products",$G$2:$G$618,"&lt;&gt;STAT")*PARAMETROS!$B$6,"redondeo","residuo_estadistico"))</f>
        <v/>
      </c>
      <c r="M386" s="8" t="str">
        <f>IF(OR($I386="USO_NO_ENERGETICO_APARENTE",$I386="USO_ENERGETICO_INTERNO_APARENTE"),"CAL",IF(LEFT($H386,5)="STAT_","FORMULA",IF(COUNTIF(DATOS_MODELO!$B$2:$B$3672,$H386)=1,"OK","REVISAR")))</f>
        <v>OK</v>
      </c>
    </row>
    <row r="387" customFormat="false" ht="15" hidden="false" customHeight="false" outlineLevel="0" collapsed="false">
      <c r="A387" s="4" t="s">
        <v>2851</v>
      </c>
      <c r="B387" s="12" t="n">
        <v>2020</v>
      </c>
      <c r="C387" s="4" t="s">
        <v>97</v>
      </c>
      <c r="D387" s="4" t="s">
        <v>1993</v>
      </c>
      <c r="E387" s="4" t="s">
        <v>2001</v>
      </c>
      <c r="F387" s="4" t="s">
        <v>2034</v>
      </c>
      <c r="G387" s="4" t="s">
        <v>74</v>
      </c>
      <c r="H387" s="4" t="s">
        <v>812</v>
      </c>
      <c r="I387" s="4" t="s">
        <v>2035</v>
      </c>
      <c r="J387" s="4" t="s">
        <v>2036</v>
      </c>
      <c r="K387" s="14">
        <f>IF(OR($I387="USO_NO_ENERGETICO_APARENTE",$I387="USO_ENERGETICO_INTERNO_APARENTE"),ROUND(SUMIFS($K$2:$K$618,$B$2:$B$618,$B387,$C$2:$C$618,$C387,$D$2:$D$618,"Energy products",$E$2:$E$618,"Supply",$G$2:$G$618,"&lt;&gt;STAT")-SUMIFS($K$2:$K$618,$B$2:$B$618,$B387,$C$2:$C$618,$C387,$D$2:$D$618,"Energy products",$E$2:$E$618,"Use",$G$2:$G$618,"&lt;&gt;STAT",$I$2:$I$618,"&lt;&gt;USO_NO_ENERGETICO_APARENTE",$I$2:$I$618,"&lt;&gt;USO_ENERGETICO_INTERNO_APARENTE"),10),IF(LEFT($H387,5)="STAT_",ROUND(SUMIFS($K$2:$K$618,$B$2:$B$618,$B387,$C$2:$C$618,$C387,$D$2:$D$618,"Energy products",$E$2:$E$618,"Supply",$G$2:$G$618,"&lt;&gt;STAT")-SUMIFS($K$2:$K$618,$B$2:$B$618,$B387,$C$2:$C$618,$C387,$D$2:$D$618,"Energy products",$E$2:$E$618,"Use",$G$2:$G$618,"&lt;&gt;STAT"),10),IF($J387="cambio de signo",-INDEX(DATOS_MODELO!$U$2:$U$3672,MATCH($H387,DATOS_MODELO!$B$2:$B$3672,0)),IF($J387="valor absoluto",ABS(INDEX(DATOS_MODELO!$U$2:$U$3672,MATCH($H387,DATOS_MODELO!$B$2:$B$3672,0))),INDEX(DATOS_MODELO!$U$2:$U$3672,MATCH($H387,DATOS_MODELO!$B$2:$B$3672,0))))))</f>
        <v>-1440.6476</v>
      </c>
      <c r="L387" s="8" t="str">
        <f aca="false">IF(LEFT($H387,5)&lt;&gt;"STAT_","",IF(ABS($K387)&lt;=COUNTIFS($B$2:$B$618,$B387,$C$2:$C$618,$C387,$D$2:$D$618,"Energy products",$G$2:$G$618,"&lt;&gt;STAT")*PARAMETROS!$B$6,"redondeo","residuo_estadistico"))</f>
        <v/>
      </c>
      <c r="M387" s="8" t="str">
        <f>IF(OR($I387="USO_NO_ENERGETICO_APARENTE",$I387="USO_ENERGETICO_INTERNO_APARENTE"),"CAL",IF(LEFT($H387,5)="STAT_","FORMULA",IF(COUNTIF(DATOS_MODELO!$B$2:$B$3672,$H387)=1,"OK","REVISAR")))</f>
        <v>OK</v>
      </c>
    </row>
    <row r="388" customFormat="false" ht="15" hidden="false" customHeight="false" outlineLevel="0" collapsed="false">
      <c r="A388" s="4" t="s">
        <v>2853</v>
      </c>
      <c r="B388" s="12" t="n">
        <v>2020</v>
      </c>
      <c r="C388" s="4" t="s">
        <v>97</v>
      </c>
      <c r="D388" s="4" t="s">
        <v>1993</v>
      </c>
      <c r="E388" s="4" t="s">
        <v>2001</v>
      </c>
      <c r="F388" s="4" t="s">
        <v>2002</v>
      </c>
      <c r="G388" s="4" t="s">
        <v>67</v>
      </c>
      <c r="H388" s="4" t="s">
        <v>814</v>
      </c>
      <c r="I388" s="4" t="s">
        <v>2003</v>
      </c>
      <c r="J388" s="4" t="s">
        <v>2004</v>
      </c>
      <c r="K388" s="14">
        <f>IF(OR($I388="USO_NO_ENERGETICO_APARENTE",$I388="USO_ENERGETICO_INTERNO_APARENTE"),ROUND(SUMIFS($K$2:$K$618,$B$2:$B$618,$B388,$C$2:$C$618,$C388,$D$2:$D$618,"Energy products",$E$2:$E$618,"Supply",$G$2:$G$618,"&lt;&gt;STAT")-SUMIFS($K$2:$K$618,$B$2:$B$618,$B388,$C$2:$C$618,$C388,$D$2:$D$618,"Energy products",$E$2:$E$618,"Use",$G$2:$G$618,"&lt;&gt;STAT",$I$2:$I$618,"&lt;&gt;USO_NO_ENERGETICO_APARENTE",$I$2:$I$618,"&lt;&gt;USO_ENERGETICO_INTERNO_APARENTE"),10),IF(LEFT($H388,5)="STAT_",ROUND(SUMIFS($K$2:$K$618,$B$2:$B$618,$B388,$C$2:$C$618,$C388,$D$2:$D$618,"Energy products",$E$2:$E$618,"Supply",$G$2:$G$618,"&lt;&gt;STAT")-SUMIFS($K$2:$K$618,$B$2:$B$618,$B388,$C$2:$C$618,$C388,$D$2:$D$618,"Energy products",$E$2:$E$618,"Use",$G$2:$G$618,"&lt;&gt;STAT"),10),IF($J388="cambio de signo",-INDEX(DATOS_MODELO!$U$2:$U$3672,MATCH($H388,DATOS_MODELO!$B$2:$B$3672,0)),IF($J388="valor absoluto",ABS(INDEX(DATOS_MODELO!$U$2:$U$3672,MATCH($H388,DATOS_MODELO!$B$2:$B$3672,0))),INDEX(DATOS_MODELO!$U$2:$U$3672,MATCH($H388,DATOS_MODELO!$B$2:$B$3672,0))))))</f>
        <v>122.8815</v>
      </c>
      <c r="L388" s="8" t="str">
        <f aca="false">IF(LEFT($H388,5)&lt;&gt;"STAT_","",IF(ABS($K388)&lt;=COUNTIFS($B$2:$B$618,$B388,$C$2:$C$618,$C388,$D$2:$D$618,"Energy products",$G$2:$G$618,"&lt;&gt;STAT")*PARAMETROS!$B$6,"redondeo","residuo_estadistico"))</f>
        <v/>
      </c>
      <c r="M388" s="8" t="str">
        <f>IF(OR($I388="USO_NO_ENERGETICO_APARENTE",$I388="USO_ENERGETICO_INTERNO_APARENTE"),"CAL",IF(LEFT($H388,5)="STAT_","FORMULA",IF(COUNTIF(DATOS_MODELO!$B$2:$B$3672,$H388)=1,"OK","REVISAR")))</f>
        <v>OK</v>
      </c>
    </row>
    <row r="389" customFormat="false" ht="15" hidden="false" customHeight="false" outlineLevel="0" collapsed="false">
      <c r="A389" s="4" t="s">
        <v>2855</v>
      </c>
      <c r="B389" s="12" t="n">
        <v>2020</v>
      </c>
      <c r="C389" s="4" t="s">
        <v>97</v>
      </c>
      <c r="D389" s="4" t="s">
        <v>1993</v>
      </c>
      <c r="E389" s="4" t="s">
        <v>2001</v>
      </c>
      <c r="F389" s="4" t="s">
        <v>2002</v>
      </c>
      <c r="G389" s="4" t="s">
        <v>71</v>
      </c>
      <c r="H389" s="4" t="s">
        <v>817</v>
      </c>
      <c r="I389" s="4" t="s">
        <v>2123</v>
      </c>
      <c r="J389" s="4" t="s">
        <v>1997</v>
      </c>
      <c r="K389" s="14">
        <f>IF(OR($I389="USO_NO_ENERGETICO_APARENTE",$I389="USO_ENERGETICO_INTERNO_APARENTE"),ROUND(SUMIFS($K$2:$K$618,$B$2:$B$618,$B389,$C$2:$C$618,$C389,$D$2:$D$618,"Energy products",$E$2:$E$618,"Supply",$G$2:$G$618,"&lt;&gt;STAT")-SUMIFS($K$2:$K$618,$B$2:$B$618,$B389,$C$2:$C$618,$C389,$D$2:$D$618,"Energy products",$E$2:$E$618,"Use",$G$2:$G$618,"&lt;&gt;STAT",$I$2:$I$618,"&lt;&gt;USO_NO_ENERGETICO_APARENTE",$I$2:$I$618,"&lt;&gt;USO_ENERGETICO_INTERNO_APARENTE"),10),IF(LEFT($H389,5)="STAT_",ROUND(SUMIFS($K$2:$K$618,$B$2:$B$618,$B389,$C$2:$C$618,$C389,$D$2:$D$618,"Energy products",$E$2:$E$618,"Supply",$G$2:$G$618,"&lt;&gt;STAT")-SUMIFS($K$2:$K$618,$B$2:$B$618,$B389,$C$2:$C$618,$C389,$D$2:$D$618,"Energy products",$E$2:$E$618,"Use",$G$2:$G$618,"&lt;&gt;STAT"),10),IF($J389="cambio de signo",-INDEX(DATOS_MODELO!$U$2:$U$3672,MATCH($H389,DATOS_MODELO!$B$2:$B$3672,0)),IF($J389="valor absoluto",ABS(INDEX(DATOS_MODELO!$U$2:$U$3672,MATCH($H389,DATOS_MODELO!$B$2:$B$3672,0))),INDEX(DATOS_MODELO!$U$2:$U$3672,MATCH($H389,DATOS_MODELO!$B$2:$B$3672,0))))))</f>
        <v>64828.4448</v>
      </c>
      <c r="L389" s="8" t="str">
        <f aca="false">IF(LEFT($H389,5)&lt;&gt;"STAT_","",IF(ABS($K389)&lt;=COUNTIFS($B$2:$B$618,$B389,$C$2:$C$618,$C389,$D$2:$D$618,"Energy products",$G$2:$G$618,"&lt;&gt;STAT")*PARAMETROS!$B$6,"redondeo","residuo_estadistico"))</f>
        <v/>
      </c>
      <c r="M389" s="8" t="str">
        <f>IF(OR($I389="USO_NO_ENERGETICO_APARENTE",$I389="USO_ENERGETICO_INTERNO_APARENTE"),"CAL",IF(LEFT($H389,5)="STAT_","FORMULA",IF(COUNTIF(DATOS_MODELO!$B$2:$B$3672,$H389)=1,"OK","REVISAR")))</f>
        <v>OK</v>
      </c>
    </row>
    <row r="390" customFormat="false" ht="15" hidden="false" customHeight="false" outlineLevel="0" collapsed="false">
      <c r="A390" s="4" t="s">
        <v>2857</v>
      </c>
      <c r="B390" s="12" t="n">
        <v>2020</v>
      </c>
      <c r="C390" s="4" t="s">
        <v>97</v>
      </c>
      <c r="D390" s="4" t="s">
        <v>1993</v>
      </c>
      <c r="E390" s="4" t="s">
        <v>2001</v>
      </c>
      <c r="F390" s="4" t="s">
        <v>2002</v>
      </c>
      <c r="G390" s="4" t="s">
        <v>68</v>
      </c>
      <c r="H390" s="4" t="s">
        <v>820</v>
      </c>
      <c r="I390" s="4" t="s">
        <v>2111</v>
      </c>
      <c r="J390" s="4" t="s">
        <v>1997</v>
      </c>
      <c r="K390" s="14">
        <f>IF(OR($I390="USO_NO_ENERGETICO_APARENTE",$I390="USO_ENERGETICO_INTERNO_APARENTE"),ROUND(SUMIFS($K$2:$K$618,$B$2:$B$618,$B390,$C$2:$C$618,$C390,$D$2:$D$618,"Energy products",$E$2:$E$618,"Supply",$G$2:$G$618,"&lt;&gt;STAT")-SUMIFS($K$2:$K$618,$B$2:$B$618,$B390,$C$2:$C$618,$C390,$D$2:$D$618,"Energy products",$E$2:$E$618,"Use",$G$2:$G$618,"&lt;&gt;STAT",$I$2:$I$618,"&lt;&gt;USO_NO_ENERGETICO_APARENTE",$I$2:$I$618,"&lt;&gt;USO_ENERGETICO_INTERNO_APARENTE"),10),IF(LEFT($H390,5)="STAT_",ROUND(SUMIFS($K$2:$K$618,$B$2:$B$618,$B390,$C$2:$C$618,$C390,$D$2:$D$618,"Energy products",$E$2:$E$618,"Supply",$G$2:$G$618,"&lt;&gt;STAT")-SUMIFS($K$2:$K$618,$B$2:$B$618,$B390,$C$2:$C$618,$C390,$D$2:$D$618,"Energy products",$E$2:$E$618,"Use",$G$2:$G$618,"&lt;&gt;STAT"),10),IF($J390="cambio de signo",-INDEX(DATOS_MODELO!$U$2:$U$3672,MATCH($H390,DATOS_MODELO!$B$2:$B$3672,0)),IF($J390="valor absoluto",ABS(INDEX(DATOS_MODELO!$U$2:$U$3672,MATCH($H390,DATOS_MODELO!$B$2:$B$3672,0))),INDEX(DATOS_MODELO!$U$2:$U$3672,MATCH($H390,DATOS_MODELO!$B$2:$B$3672,0))))))</f>
        <v>5637.2687</v>
      </c>
      <c r="L390" s="8" t="str">
        <f aca="false">IF(LEFT($H390,5)&lt;&gt;"STAT_","",IF(ABS($K390)&lt;=COUNTIFS($B$2:$B$618,$B390,$C$2:$C$618,$C390,$D$2:$D$618,"Energy products",$G$2:$G$618,"&lt;&gt;STAT")*PARAMETROS!$B$6,"redondeo","residuo_estadistico"))</f>
        <v/>
      </c>
      <c r="M390" s="8" t="str">
        <f>IF(OR($I390="USO_NO_ENERGETICO_APARENTE",$I390="USO_ENERGETICO_INTERNO_APARENTE"),"CAL",IF(LEFT($H390,5)="STAT_","FORMULA",IF(COUNTIF(DATOS_MODELO!$B$2:$B$3672,$H390)=1,"OK","REVISAR")))</f>
        <v>OK</v>
      </c>
    </row>
    <row r="391" customFormat="false" ht="15" hidden="false" customHeight="false" outlineLevel="0" collapsed="false">
      <c r="A391" s="4" t="s">
        <v>2859</v>
      </c>
      <c r="B391" s="12" t="n">
        <v>2020</v>
      </c>
      <c r="C391" s="4" t="s">
        <v>99</v>
      </c>
      <c r="D391" s="4" t="s">
        <v>1993</v>
      </c>
      <c r="E391" s="4" t="s">
        <v>1994</v>
      </c>
      <c r="F391" s="4" t="s">
        <v>2029</v>
      </c>
      <c r="G391" s="4" t="s">
        <v>69</v>
      </c>
      <c r="H391" s="4" t="s">
        <v>824</v>
      </c>
      <c r="I391" s="4" t="s">
        <v>2030</v>
      </c>
      <c r="J391" s="4" t="s">
        <v>1997</v>
      </c>
      <c r="K391" s="14">
        <f>IF(OR($I391="USO_NO_ENERGETICO_APARENTE",$I391="USO_ENERGETICO_INTERNO_APARENTE"),ROUND(SUMIFS($K$2:$K$618,$B$2:$B$618,$B391,$C$2:$C$618,$C391,$D$2:$D$618,"Energy products",$E$2:$E$618,"Supply",$G$2:$G$618,"&lt;&gt;STAT")-SUMIFS($K$2:$K$618,$B$2:$B$618,$B391,$C$2:$C$618,$C391,$D$2:$D$618,"Energy products",$E$2:$E$618,"Use",$G$2:$G$618,"&lt;&gt;STAT",$I$2:$I$618,"&lt;&gt;USO_NO_ENERGETICO_APARENTE",$I$2:$I$618,"&lt;&gt;USO_ENERGETICO_INTERNO_APARENTE"),10),IF(LEFT($H391,5)="STAT_",ROUND(SUMIFS($K$2:$K$618,$B$2:$B$618,$B391,$C$2:$C$618,$C391,$D$2:$D$618,"Energy products",$E$2:$E$618,"Supply",$G$2:$G$618,"&lt;&gt;STAT")-SUMIFS($K$2:$K$618,$B$2:$B$618,$B391,$C$2:$C$618,$C391,$D$2:$D$618,"Energy products",$E$2:$E$618,"Use",$G$2:$G$618,"&lt;&gt;STAT"),10),IF($J391="cambio de signo",-INDEX(DATOS_MODELO!$U$2:$U$3672,MATCH($H391,DATOS_MODELO!$B$2:$B$3672,0)),IF($J391="valor absoluto",ABS(INDEX(DATOS_MODELO!$U$2:$U$3672,MATCH($H391,DATOS_MODELO!$B$2:$B$3672,0))),INDEX(DATOS_MODELO!$U$2:$U$3672,MATCH($H391,DATOS_MODELO!$B$2:$B$3672,0))))))</f>
        <v>3904.4362</v>
      </c>
      <c r="L391" s="8" t="str">
        <f aca="false">IF(LEFT($H391,5)&lt;&gt;"STAT_","",IF(ABS($K391)&lt;=COUNTIFS($B$2:$B$618,$B391,$C$2:$C$618,$C391,$D$2:$D$618,"Energy products",$G$2:$G$618,"&lt;&gt;STAT")*PARAMETROS!$B$6,"redondeo","residuo_estadistico"))</f>
        <v/>
      </c>
      <c r="M391" s="8" t="str">
        <f>IF(OR($I391="USO_NO_ENERGETICO_APARENTE",$I391="USO_ENERGETICO_INTERNO_APARENTE"),"CAL",IF(LEFT($H391,5)="STAT_","FORMULA",IF(COUNTIF(DATOS_MODELO!$B$2:$B$3672,$H391)=1,"OK","REVISAR")))</f>
        <v>OK</v>
      </c>
    </row>
    <row r="392" customFormat="false" ht="15" hidden="false" customHeight="false" outlineLevel="0" collapsed="false">
      <c r="A392" s="4" t="s">
        <v>2861</v>
      </c>
      <c r="B392" s="12" t="n">
        <v>2020</v>
      </c>
      <c r="C392" s="4" t="s">
        <v>99</v>
      </c>
      <c r="D392" s="4" t="s">
        <v>1993</v>
      </c>
      <c r="E392" s="4" t="s">
        <v>2001</v>
      </c>
      <c r="F392" s="4" t="s">
        <v>2091</v>
      </c>
      <c r="G392" s="4" t="s">
        <v>69</v>
      </c>
      <c r="H392" s="4" t="s">
        <v>825</v>
      </c>
      <c r="I392" s="4" t="s">
        <v>2030</v>
      </c>
      <c r="J392" s="4" t="s">
        <v>1997</v>
      </c>
      <c r="K392" s="14">
        <f>IF(OR($I392="USO_NO_ENERGETICO_APARENTE",$I392="USO_ENERGETICO_INTERNO_APARENTE"),ROUND(SUMIFS($K$2:$K$618,$B$2:$B$618,$B392,$C$2:$C$618,$C392,$D$2:$D$618,"Energy products",$E$2:$E$618,"Supply",$G$2:$G$618,"&lt;&gt;STAT")-SUMIFS($K$2:$K$618,$B$2:$B$618,$B392,$C$2:$C$618,$C392,$D$2:$D$618,"Energy products",$E$2:$E$618,"Use",$G$2:$G$618,"&lt;&gt;STAT",$I$2:$I$618,"&lt;&gt;USO_NO_ENERGETICO_APARENTE",$I$2:$I$618,"&lt;&gt;USO_ENERGETICO_INTERNO_APARENTE"),10),IF(LEFT($H392,5)="STAT_",ROUND(SUMIFS($K$2:$K$618,$B$2:$B$618,$B392,$C$2:$C$618,$C392,$D$2:$D$618,"Energy products",$E$2:$E$618,"Supply",$G$2:$G$618,"&lt;&gt;STAT")-SUMIFS($K$2:$K$618,$B$2:$B$618,$B392,$C$2:$C$618,$C392,$D$2:$D$618,"Energy products",$E$2:$E$618,"Use",$G$2:$G$618,"&lt;&gt;STAT"),10),IF($J392="cambio de signo",-INDEX(DATOS_MODELO!$U$2:$U$3672,MATCH($H392,DATOS_MODELO!$B$2:$B$3672,0)),IF($J392="valor absoluto",ABS(INDEX(DATOS_MODELO!$U$2:$U$3672,MATCH($H392,DATOS_MODELO!$B$2:$B$3672,0))),INDEX(DATOS_MODELO!$U$2:$U$3672,MATCH($H392,DATOS_MODELO!$B$2:$B$3672,0))))))</f>
        <v>4161.5868</v>
      </c>
      <c r="L392" s="8" t="str">
        <f aca="false">IF(LEFT($H392,5)&lt;&gt;"STAT_","",IF(ABS($K392)&lt;=COUNTIFS($B$2:$B$618,$B392,$C$2:$C$618,$C392,$D$2:$D$618,"Energy products",$G$2:$G$618,"&lt;&gt;STAT")*PARAMETROS!$B$6,"redondeo","residuo_estadistico"))</f>
        <v/>
      </c>
      <c r="M392" s="8" t="str">
        <f>IF(OR($I392="USO_NO_ENERGETICO_APARENTE",$I392="USO_ENERGETICO_INTERNO_APARENTE"),"CAL",IF(LEFT($H392,5)="STAT_","FORMULA",IF(COUNTIF(DATOS_MODELO!$B$2:$B$3672,$H392)=1,"OK","REVISAR")))</f>
        <v>OK</v>
      </c>
    </row>
    <row r="393" customFormat="false" ht="15" hidden="false" customHeight="false" outlineLevel="0" collapsed="false">
      <c r="A393" s="4" t="s">
        <v>2863</v>
      </c>
      <c r="B393" s="12" t="n">
        <v>2020</v>
      </c>
      <c r="C393" s="4" t="s">
        <v>99</v>
      </c>
      <c r="D393" s="4" t="s">
        <v>1993</v>
      </c>
      <c r="E393" s="4" t="s">
        <v>1994</v>
      </c>
      <c r="F393" s="4" t="s">
        <v>1995</v>
      </c>
      <c r="G393" s="4" t="s">
        <v>67</v>
      </c>
      <c r="H393" s="4" t="s">
        <v>828</v>
      </c>
      <c r="I393" s="4" t="s">
        <v>2003</v>
      </c>
      <c r="J393" s="4" t="s">
        <v>1997</v>
      </c>
      <c r="K393" s="14">
        <f>IF(OR($I393="USO_NO_ENERGETICO_APARENTE",$I393="USO_ENERGETICO_INTERNO_APARENTE"),ROUND(SUMIFS($K$2:$K$618,$B$2:$B$618,$B393,$C$2:$C$618,$C393,$D$2:$D$618,"Energy products",$E$2:$E$618,"Supply",$G$2:$G$618,"&lt;&gt;STAT")-SUMIFS($K$2:$K$618,$B$2:$B$618,$B393,$C$2:$C$618,$C393,$D$2:$D$618,"Energy products",$E$2:$E$618,"Use",$G$2:$G$618,"&lt;&gt;STAT",$I$2:$I$618,"&lt;&gt;USO_NO_ENERGETICO_APARENTE",$I$2:$I$618,"&lt;&gt;USO_ENERGETICO_INTERNO_APARENTE"),10),IF(LEFT($H393,5)="STAT_",ROUND(SUMIFS($K$2:$K$618,$B$2:$B$618,$B393,$C$2:$C$618,$C393,$D$2:$D$618,"Energy products",$E$2:$E$618,"Supply",$G$2:$G$618,"&lt;&gt;STAT")-SUMIFS($K$2:$K$618,$B$2:$B$618,$B393,$C$2:$C$618,$C393,$D$2:$D$618,"Energy products",$E$2:$E$618,"Use",$G$2:$G$618,"&lt;&gt;STAT"),10),IF($J393="cambio de signo",-INDEX(DATOS_MODELO!$U$2:$U$3672,MATCH($H393,DATOS_MODELO!$B$2:$B$3672,0)),IF($J393="valor absoluto",ABS(INDEX(DATOS_MODELO!$U$2:$U$3672,MATCH($H393,DATOS_MODELO!$B$2:$B$3672,0))),INDEX(DATOS_MODELO!$U$2:$U$3672,MATCH($H393,DATOS_MODELO!$B$2:$B$3672,0))))))</f>
        <v>42996.7888</v>
      </c>
      <c r="L393" s="8" t="str">
        <f aca="false">IF(LEFT($H393,5)&lt;&gt;"STAT_","",IF(ABS($K393)&lt;=COUNTIFS($B$2:$B$618,$B393,$C$2:$C$618,$C393,$D$2:$D$618,"Energy products",$G$2:$G$618,"&lt;&gt;STAT")*PARAMETROS!$B$6,"redondeo","residuo_estadistico"))</f>
        <v/>
      </c>
      <c r="M393" s="8" t="str">
        <f>IF(OR($I393="USO_NO_ENERGETICO_APARENTE",$I393="USO_ENERGETICO_INTERNO_APARENTE"),"CAL",IF(LEFT($H393,5)="STAT_","FORMULA",IF(COUNTIF(DATOS_MODELO!$B$2:$B$3672,$H393)=1,"OK","REVISAR")))</f>
        <v>OK</v>
      </c>
    </row>
    <row r="394" customFormat="false" ht="15" hidden="false" customHeight="false" outlineLevel="0" collapsed="false">
      <c r="A394" s="4" t="s">
        <v>2865</v>
      </c>
      <c r="B394" s="12" t="n">
        <v>2020</v>
      </c>
      <c r="C394" s="4" t="s">
        <v>99</v>
      </c>
      <c r="D394" s="4" t="s">
        <v>1993</v>
      </c>
      <c r="E394" s="4" t="s">
        <v>1994</v>
      </c>
      <c r="F394" s="4" t="s">
        <v>1995</v>
      </c>
      <c r="G394" s="4" t="s">
        <v>67</v>
      </c>
      <c r="H394" s="4" t="s">
        <v>829</v>
      </c>
      <c r="I394" s="4" t="s">
        <v>2008</v>
      </c>
      <c r="J394" s="4" t="s">
        <v>1997</v>
      </c>
      <c r="K394" s="14">
        <f>IF(OR($I394="USO_NO_ENERGETICO_APARENTE",$I394="USO_ENERGETICO_INTERNO_APARENTE"),ROUND(SUMIFS($K$2:$K$618,$B$2:$B$618,$B394,$C$2:$C$618,$C394,$D$2:$D$618,"Energy products",$E$2:$E$618,"Supply",$G$2:$G$618,"&lt;&gt;STAT")-SUMIFS($K$2:$K$618,$B$2:$B$618,$B394,$C$2:$C$618,$C394,$D$2:$D$618,"Energy products",$E$2:$E$618,"Use",$G$2:$G$618,"&lt;&gt;STAT",$I$2:$I$618,"&lt;&gt;USO_NO_ENERGETICO_APARENTE",$I$2:$I$618,"&lt;&gt;USO_ENERGETICO_INTERNO_APARENTE"),10),IF(LEFT($H394,5)="STAT_",ROUND(SUMIFS($K$2:$K$618,$B$2:$B$618,$B394,$C$2:$C$618,$C394,$D$2:$D$618,"Energy products",$E$2:$E$618,"Supply",$G$2:$G$618,"&lt;&gt;STAT")-SUMIFS($K$2:$K$618,$B$2:$B$618,$B394,$C$2:$C$618,$C394,$D$2:$D$618,"Energy products",$E$2:$E$618,"Use",$G$2:$G$618,"&lt;&gt;STAT"),10),IF($J394="cambio de signo",-INDEX(DATOS_MODELO!$U$2:$U$3672,MATCH($H394,DATOS_MODELO!$B$2:$B$3672,0)),IF($J394="valor absoluto",ABS(INDEX(DATOS_MODELO!$U$2:$U$3672,MATCH($H394,DATOS_MODELO!$B$2:$B$3672,0))),INDEX(DATOS_MODELO!$U$2:$U$3672,MATCH($H394,DATOS_MODELO!$B$2:$B$3672,0))))))</f>
        <v>3091.7334</v>
      </c>
      <c r="L394" s="8" t="str">
        <f aca="false">IF(LEFT($H394,5)&lt;&gt;"STAT_","",IF(ABS($K394)&lt;=COUNTIFS($B$2:$B$618,$B394,$C$2:$C$618,$C394,$D$2:$D$618,"Energy products",$G$2:$G$618,"&lt;&gt;STAT")*PARAMETROS!$B$6,"redondeo","residuo_estadistico"))</f>
        <v/>
      </c>
      <c r="M394" s="8" t="str">
        <f>IF(OR($I394="USO_NO_ENERGETICO_APARENTE",$I394="USO_ENERGETICO_INTERNO_APARENTE"),"CAL",IF(LEFT($H394,5)="STAT_","FORMULA",IF(COUNTIF(DATOS_MODELO!$B$2:$B$3672,$H394)=1,"OK","REVISAR")))</f>
        <v>OK</v>
      </c>
    </row>
    <row r="395" customFormat="false" ht="15" hidden="false" customHeight="false" outlineLevel="0" collapsed="false">
      <c r="A395" s="4" t="s">
        <v>2867</v>
      </c>
      <c r="B395" s="12" t="n">
        <v>2020</v>
      </c>
      <c r="C395" s="4" t="s">
        <v>99</v>
      </c>
      <c r="D395" s="4" t="s">
        <v>1993</v>
      </c>
      <c r="E395" s="4" t="s">
        <v>2001</v>
      </c>
      <c r="F395" s="4" t="s">
        <v>2002</v>
      </c>
      <c r="G395" s="4" t="s">
        <v>67</v>
      </c>
      <c r="H395" s="4" t="s">
        <v>830</v>
      </c>
      <c r="I395" s="4" t="s">
        <v>2139</v>
      </c>
      <c r="J395" s="4" t="s">
        <v>1997</v>
      </c>
      <c r="K395" s="14">
        <f>IF(OR($I395="USO_NO_ENERGETICO_APARENTE",$I395="USO_ENERGETICO_INTERNO_APARENTE"),ROUND(SUMIFS($K$2:$K$618,$B$2:$B$618,$B395,$C$2:$C$618,$C395,$D$2:$D$618,"Energy products",$E$2:$E$618,"Supply",$G$2:$G$618,"&lt;&gt;STAT")-SUMIFS($K$2:$K$618,$B$2:$B$618,$B395,$C$2:$C$618,$C395,$D$2:$D$618,"Energy products",$E$2:$E$618,"Use",$G$2:$G$618,"&lt;&gt;STAT",$I$2:$I$618,"&lt;&gt;USO_NO_ENERGETICO_APARENTE",$I$2:$I$618,"&lt;&gt;USO_ENERGETICO_INTERNO_APARENTE"),10),IF(LEFT($H395,5)="STAT_",ROUND(SUMIFS($K$2:$K$618,$B$2:$B$618,$B395,$C$2:$C$618,$C395,$D$2:$D$618,"Energy products",$E$2:$E$618,"Supply",$G$2:$G$618,"&lt;&gt;STAT")-SUMIFS($K$2:$K$618,$B$2:$B$618,$B395,$C$2:$C$618,$C395,$D$2:$D$618,"Energy products",$E$2:$E$618,"Use",$G$2:$G$618,"&lt;&gt;STAT"),10),IF($J395="cambio de signo",-INDEX(DATOS_MODELO!$U$2:$U$3672,MATCH($H395,DATOS_MODELO!$B$2:$B$3672,0)),IF($J395="valor absoluto",ABS(INDEX(DATOS_MODELO!$U$2:$U$3672,MATCH($H395,DATOS_MODELO!$B$2:$B$3672,0))),INDEX(DATOS_MODELO!$U$2:$U$3672,MATCH($H395,DATOS_MODELO!$B$2:$B$3672,0))))))</f>
        <v>2860.7859</v>
      </c>
      <c r="L395" s="8" t="str">
        <f aca="false">IF(LEFT($H395,5)&lt;&gt;"STAT_","",IF(ABS($K395)&lt;=COUNTIFS($B$2:$B$618,$B395,$C$2:$C$618,$C395,$D$2:$D$618,"Energy products",$G$2:$G$618,"&lt;&gt;STAT")*PARAMETROS!$B$6,"redondeo","residuo_estadistico"))</f>
        <v/>
      </c>
      <c r="M395" s="8" t="str">
        <f>IF(OR($I395="USO_NO_ENERGETICO_APARENTE",$I395="USO_ENERGETICO_INTERNO_APARENTE"),"CAL",IF(LEFT($H395,5)="STAT_","FORMULA",IF(COUNTIF(DATOS_MODELO!$B$2:$B$3672,$H395)=1,"OK","REVISAR")))</f>
        <v>OK</v>
      </c>
    </row>
    <row r="396" customFormat="false" ht="15" hidden="false" customHeight="false" outlineLevel="0" collapsed="false">
      <c r="A396" s="4" t="s">
        <v>2869</v>
      </c>
      <c r="B396" s="12" t="n">
        <v>2020</v>
      </c>
      <c r="C396" s="4" t="s">
        <v>99</v>
      </c>
      <c r="D396" s="4" t="s">
        <v>1993</v>
      </c>
      <c r="E396" s="4" t="s">
        <v>2001</v>
      </c>
      <c r="F396" s="4" t="s">
        <v>2074</v>
      </c>
      <c r="G396" s="4" t="s">
        <v>73</v>
      </c>
      <c r="H396" s="4" t="s">
        <v>832</v>
      </c>
      <c r="I396" s="4" t="s">
        <v>2075</v>
      </c>
      <c r="J396" s="4" t="s">
        <v>1997</v>
      </c>
      <c r="K396" s="14">
        <f>IF(OR($I396="USO_NO_ENERGETICO_APARENTE",$I396="USO_ENERGETICO_INTERNO_APARENTE"),ROUND(SUMIFS($K$2:$K$618,$B$2:$B$618,$B396,$C$2:$C$618,$C396,$D$2:$D$618,"Energy products",$E$2:$E$618,"Supply",$G$2:$G$618,"&lt;&gt;STAT")-SUMIFS($K$2:$K$618,$B$2:$B$618,$B396,$C$2:$C$618,$C396,$D$2:$D$618,"Energy products",$E$2:$E$618,"Use",$G$2:$G$618,"&lt;&gt;STAT",$I$2:$I$618,"&lt;&gt;USO_NO_ENERGETICO_APARENTE",$I$2:$I$618,"&lt;&gt;USO_ENERGETICO_INTERNO_APARENTE"),10),IF(LEFT($H396,5)="STAT_",ROUND(SUMIFS($K$2:$K$618,$B$2:$B$618,$B396,$C$2:$C$618,$C396,$D$2:$D$618,"Energy products",$E$2:$E$618,"Supply",$G$2:$G$618,"&lt;&gt;STAT")-SUMIFS($K$2:$K$618,$B$2:$B$618,$B396,$C$2:$C$618,$C396,$D$2:$D$618,"Energy products",$E$2:$E$618,"Use",$G$2:$G$618,"&lt;&gt;STAT"),10),IF($J396="cambio de signo",-INDEX(DATOS_MODELO!$U$2:$U$3672,MATCH($H396,DATOS_MODELO!$B$2:$B$3672,0)),IF($J396="valor absoluto",ABS(INDEX(DATOS_MODELO!$U$2:$U$3672,MATCH($H396,DATOS_MODELO!$B$2:$B$3672,0))),INDEX(DATOS_MODELO!$U$2:$U$3672,MATCH($H396,DATOS_MODELO!$B$2:$B$3672,0))))))</f>
        <v>13727.6937</v>
      </c>
      <c r="L396" s="8" t="str">
        <f aca="false">IF(LEFT($H396,5)&lt;&gt;"STAT_","",IF(ABS($K396)&lt;=COUNTIFS($B$2:$B$618,$B396,$C$2:$C$618,$C396,$D$2:$D$618,"Energy products",$G$2:$G$618,"&lt;&gt;STAT")*PARAMETROS!$B$6,"redondeo","residuo_estadistico"))</f>
        <v/>
      </c>
      <c r="M396" s="8" t="str">
        <f>IF(OR($I396="USO_NO_ENERGETICO_APARENTE",$I396="USO_ENERGETICO_INTERNO_APARENTE"),"CAL",IF(LEFT($H396,5)="STAT_","FORMULA",IF(COUNTIF(DATOS_MODELO!$B$2:$B$3672,$H396)=1,"OK","REVISAR")))</f>
        <v>OK</v>
      </c>
    </row>
    <row r="397" customFormat="false" ht="15" hidden="false" customHeight="false" outlineLevel="0" collapsed="false">
      <c r="A397" s="4" t="s">
        <v>2871</v>
      </c>
      <c r="B397" s="12" t="n">
        <v>2020</v>
      </c>
      <c r="C397" s="4" t="s">
        <v>99</v>
      </c>
      <c r="D397" s="4" t="s">
        <v>1993</v>
      </c>
      <c r="E397" s="4" t="s">
        <v>2001</v>
      </c>
      <c r="F397" s="4" t="s">
        <v>2002</v>
      </c>
      <c r="G397" s="4" t="s">
        <v>72</v>
      </c>
      <c r="H397" s="4" t="s">
        <v>833</v>
      </c>
      <c r="I397" s="4" t="s">
        <v>2079</v>
      </c>
      <c r="J397" s="4" t="s">
        <v>1997</v>
      </c>
      <c r="K397" s="14">
        <f>IF(OR($I397="USO_NO_ENERGETICO_APARENTE",$I397="USO_ENERGETICO_INTERNO_APARENTE"),ROUND(SUMIFS($K$2:$K$618,$B$2:$B$618,$B397,$C$2:$C$618,$C397,$D$2:$D$618,"Energy products",$E$2:$E$618,"Supply",$G$2:$G$618,"&lt;&gt;STAT")-SUMIFS($K$2:$K$618,$B$2:$B$618,$B397,$C$2:$C$618,$C397,$D$2:$D$618,"Energy products",$E$2:$E$618,"Use",$G$2:$G$618,"&lt;&gt;STAT",$I$2:$I$618,"&lt;&gt;USO_NO_ENERGETICO_APARENTE",$I$2:$I$618,"&lt;&gt;USO_ENERGETICO_INTERNO_APARENTE"),10),IF(LEFT($H397,5)="STAT_",ROUND(SUMIFS($K$2:$K$618,$B$2:$B$618,$B397,$C$2:$C$618,$C397,$D$2:$D$618,"Energy products",$E$2:$E$618,"Supply",$G$2:$G$618,"&lt;&gt;STAT")-SUMIFS($K$2:$K$618,$B$2:$B$618,$B397,$C$2:$C$618,$C397,$D$2:$D$618,"Energy products",$E$2:$E$618,"Use",$G$2:$G$618,"&lt;&gt;STAT"),10),IF($J397="cambio de signo",-INDEX(DATOS_MODELO!$U$2:$U$3672,MATCH($H397,DATOS_MODELO!$B$2:$B$3672,0)),IF($J397="valor absoluto",ABS(INDEX(DATOS_MODELO!$U$2:$U$3672,MATCH($H397,DATOS_MODELO!$B$2:$B$3672,0))),INDEX(DATOS_MODELO!$U$2:$U$3672,MATCH($H397,DATOS_MODELO!$B$2:$B$3672,0))))))</f>
        <v>10695.7452</v>
      </c>
      <c r="L397" s="8" t="str">
        <f aca="false">IF(LEFT($H397,5)&lt;&gt;"STAT_","",IF(ABS($K397)&lt;=COUNTIFS($B$2:$B$618,$B397,$C$2:$C$618,$C397,$D$2:$D$618,"Energy products",$G$2:$G$618,"&lt;&gt;STAT")*PARAMETROS!$B$6,"redondeo","residuo_estadistico"))</f>
        <v/>
      </c>
      <c r="M397" s="8" t="str">
        <f>IF(OR($I397="USO_NO_ENERGETICO_APARENTE",$I397="USO_ENERGETICO_INTERNO_APARENTE"),"CAL",IF(LEFT($H397,5)="STAT_","FORMULA",IF(COUNTIF(DATOS_MODELO!$B$2:$B$3672,$H397)=1,"OK","REVISAR")))</f>
        <v>OK</v>
      </c>
    </row>
    <row r="398" customFormat="false" ht="15" hidden="false" customHeight="false" outlineLevel="0" collapsed="false">
      <c r="A398" s="4" t="s">
        <v>2873</v>
      </c>
      <c r="B398" s="12" t="n">
        <v>2020</v>
      </c>
      <c r="C398" s="4" t="s">
        <v>99</v>
      </c>
      <c r="D398" s="4" t="s">
        <v>1993</v>
      </c>
      <c r="E398" s="4" t="s">
        <v>2001</v>
      </c>
      <c r="F398" s="4" t="s">
        <v>2002</v>
      </c>
      <c r="G398" s="4" t="s">
        <v>68</v>
      </c>
      <c r="H398" s="4" t="s">
        <v>834</v>
      </c>
      <c r="I398" s="4" t="s">
        <v>2111</v>
      </c>
      <c r="J398" s="4" t="s">
        <v>1997</v>
      </c>
      <c r="K398" s="14">
        <f>IF(OR($I398="USO_NO_ENERGETICO_APARENTE",$I398="USO_ENERGETICO_INTERNO_APARENTE"),ROUND(SUMIFS($K$2:$K$618,$B$2:$B$618,$B398,$C$2:$C$618,$C398,$D$2:$D$618,"Energy products",$E$2:$E$618,"Supply",$G$2:$G$618,"&lt;&gt;STAT")-SUMIFS($K$2:$K$618,$B$2:$B$618,$B398,$C$2:$C$618,$C398,$D$2:$D$618,"Energy products",$E$2:$E$618,"Use",$G$2:$G$618,"&lt;&gt;STAT",$I$2:$I$618,"&lt;&gt;USO_NO_ENERGETICO_APARENTE",$I$2:$I$618,"&lt;&gt;USO_ENERGETICO_INTERNO_APARENTE"),10),IF(LEFT($H398,5)="STAT_",ROUND(SUMIFS($K$2:$K$618,$B$2:$B$618,$B398,$C$2:$C$618,$C398,$D$2:$D$618,"Energy products",$E$2:$E$618,"Supply",$G$2:$G$618,"&lt;&gt;STAT")-SUMIFS($K$2:$K$618,$B$2:$B$618,$B398,$C$2:$C$618,$C398,$D$2:$D$618,"Energy products",$E$2:$E$618,"Use",$G$2:$G$618,"&lt;&gt;STAT"),10),IF($J398="cambio de signo",-INDEX(DATOS_MODELO!$U$2:$U$3672,MATCH($H398,DATOS_MODELO!$B$2:$B$3672,0)),IF($J398="valor absoluto",ABS(INDEX(DATOS_MODELO!$U$2:$U$3672,MATCH($H398,DATOS_MODELO!$B$2:$B$3672,0))),INDEX(DATOS_MODELO!$U$2:$U$3672,MATCH($H398,DATOS_MODELO!$B$2:$B$3672,0))))))</f>
        <v>12947.9917</v>
      </c>
      <c r="L398" s="8" t="str">
        <f aca="false">IF(LEFT($H398,5)&lt;&gt;"STAT_","",IF(ABS($K398)&lt;=COUNTIFS($B$2:$B$618,$B398,$C$2:$C$618,$C398,$D$2:$D$618,"Energy products",$G$2:$G$618,"&lt;&gt;STAT")*PARAMETROS!$B$6,"redondeo","residuo_estadistico"))</f>
        <v/>
      </c>
      <c r="M398" s="8" t="str">
        <f>IF(OR($I398="USO_NO_ENERGETICO_APARENTE",$I398="USO_ENERGETICO_INTERNO_APARENTE"),"CAL",IF(LEFT($H398,5)="STAT_","FORMULA",IF(COUNTIF(DATOS_MODELO!$B$2:$B$3672,$H398)=1,"OK","REVISAR")))</f>
        <v>OK</v>
      </c>
    </row>
    <row r="399" customFormat="false" ht="15" hidden="false" customHeight="false" outlineLevel="0" collapsed="false">
      <c r="A399" s="4" t="s">
        <v>2875</v>
      </c>
      <c r="B399" s="12" t="n">
        <v>2020</v>
      </c>
      <c r="C399" s="4" t="s">
        <v>99</v>
      </c>
      <c r="D399" s="4" t="s">
        <v>1993</v>
      </c>
      <c r="E399" s="4" t="s">
        <v>2001</v>
      </c>
      <c r="F399" s="4" t="s">
        <v>2002</v>
      </c>
      <c r="G399" s="4" t="s">
        <v>67</v>
      </c>
      <c r="H399" s="4" t="s">
        <v>836</v>
      </c>
      <c r="I399" s="4" t="s">
        <v>2151</v>
      </c>
      <c r="J399" s="4" t="s">
        <v>1997</v>
      </c>
      <c r="K399" s="14">
        <f>IF(OR($I399="USO_NO_ENERGETICO_APARENTE",$I399="USO_ENERGETICO_INTERNO_APARENTE"),ROUND(SUMIFS($K$2:$K$618,$B$2:$B$618,$B399,$C$2:$C$618,$C399,$D$2:$D$618,"Energy products",$E$2:$E$618,"Supply",$G$2:$G$618,"&lt;&gt;STAT")-SUMIFS($K$2:$K$618,$B$2:$B$618,$B399,$C$2:$C$618,$C399,$D$2:$D$618,"Energy products",$E$2:$E$618,"Use",$G$2:$G$618,"&lt;&gt;STAT",$I$2:$I$618,"&lt;&gt;USO_NO_ENERGETICO_APARENTE",$I$2:$I$618,"&lt;&gt;USO_ENERGETICO_INTERNO_APARENTE"),10),IF(LEFT($H399,5)="STAT_",ROUND(SUMIFS($K$2:$K$618,$B$2:$B$618,$B399,$C$2:$C$618,$C399,$D$2:$D$618,"Energy products",$E$2:$E$618,"Supply",$G$2:$G$618,"&lt;&gt;STAT")-SUMIFS($K$2:$K$618,$B$2:$B$618,$B399,$C$2:$C$618,$C399,$D$2:$D$618,"Energy products",$E$2:$E$618,"Use",$G$2:$G$618,"&lt;&gt;STAT"),10),IF($J399="cambio de signo",-INDEX(DATOS_MODELO!$U$2:$U$3672,MATCH($H399,DATOS_MODELO!$B$2:$B$3672,0)),IF($J399="valor absoluto",ABS(INDEX(DATOS_MODELO!$U$2:$U$3672,MATCH($H399,DATOS_MODELO!$B$2:$B$3672,0))),INDEX(DATOS_MODELO!$U$2:$U$3672,MATCH($H399,DATOS_MODELO!$B$2:$B$3672,0))))))</f>
        <v>5599.1551</v>
      </c>
      <c r="L399" s="8" t="str">
        <f aca="false">IF(LEFT($H399,5)&lt;&gt;"STAT_","",IF(ABS($K399)&lt;=COUNTIFS($B$2:$B$618,$B399,$C$2:$C$618,$C399,$D$2:$D$618,"Energy products",$G$2:$G$618,"&lt;&gt;STAT")*PARAMETROS!$B$6,"redondeo","residuo_estadistico"))</f>
        <v/>
      </c>
      <c r="M399" s="8" t="str">
        <f>IF(OR($I399="USO_NO_ENERGETICO_APARENTE",$I399="USO_ENERGETICO_INTERNO_APARENTE"),"CAL",IF(LEFT($H399,5)="STAT_","FORMULA",IF(COUNTIF(DATOS_MODELO!$B$2:$B$3672,$H399)=1,"OK","REVISAR")))</f>
        <v>OK</v>
      </c>
    </row>
    <row r="400" customFormat="false" ht="15" hidden="false" customHeight="false" outlineLevel="0" collapsed="false">
      <c r="A400" s="4" t="s">
        <v>2877</v>
      </c>
      <c r="B400" s="12" t="n">
        <v>2020</v>
      </c>
      <c r="C400" s="4" t="s">
        <v>99</v>
      </c>
      <c r="D400" s="4" t="s">
        <v>2155</v>
      </c>
      <c r="E400" s="4" t="s">
        <v>1994</v>
      </c>
      <c r="F400" s="4" t="s">
        <v>2156</v>
      </c>
      <c r="G400" s="4" t="s">
        <v>67</v>
      </c>
      <c r="H400" s="4" t="s">
        <v>836</v>
      </c>
      <c r="I400" s="4" t="s">
        <v>2151</v>
      </c>
      <c r="J400" s="4" t="s">
        <v>1997</v>
      </c>
      <c r="K400" s="14">
        <f>IF(OR($I400="USO_NO_ENERGETICO_APARENTE",$I400="USO_ENERGETICO_INTERNO_APARENTE"),ROUND(SUMIFS($K$2:$K$618,$B$2:$B$618,$B400,$C$2:$C$618,$C400,$D$2:$D$618,"Energy products",$E$2:$E$618,"Supply",$G$2:$G$618,"&lt;&gt;STAT")-SUMIFS($K$2:$K$618,$B$2:$B$618,$B400,$C$2:$C$618,$C400,$D$2:$D$618,"Energy products",$E$2:$E$618,"Use",$G$2:$G$618,"&lt;&gt;STAT",$I$2:$I$618,"&lt;&gt;USO_NO_ENERGETICO_APARENTE",$I$2:$I$618,"&lt;&gt;USO_ENERGETICO_INTERNO_APARENTE"),10),IF(LEFT($H400,5)="STAT_",ROUND(SUMIFS($K$2:$K$618,$B$2:$B$618,$B400,$C$2:$C$618,$C400,$D$2:$D$618,"Energy products",$E$2:$E$618,"Supply",$G$2:$G$618,"&lt;&gt;STAT")-SUMIFS($K$2:$K$618,$B$2:$B$618,$B400,$C$2:$C$618,$C400,$D$2:$D$618,"Energy products",$E$2:$E$618,"Use",$G$2:$G$618,"&lt;&gt;STAT"),10),IF($J400="cambio de signo",-INDEX(DATOS_MODELO!$U$2:$U$3672,MATCH($H400,DATOS_MODELO!$B$2:$B$3672,0)),IF($J400="valor absoluto",ABS(INDEX(DATOS_MODELO!$U$2:$U$3672,MATCH($H400,DATOS_MODELO!$B$2:$B$3672,0))),INDEX(DATOS_MODELO!$U$2:$U$3672,MATCH($H400,DATOS_MODELO!$B$2:$B$3672,0))))))</f>
        <v>5599.1551</v>
      </c>
      <c r="L400" s="8" t="str">
        <f aca="false">IF(LEFT($H400,5)&lt;&gt;"STAT_","",IF(ABS($K400)&lt;=COUNTIFS($B$2:$B$618,$B400,$C$2:$C$618,$C400,$D$2:$D$618,"Energy products",$G$2:$G$618,"&lt;&gt;STAT")*PARAMETROS!$B$6,"redondeo","residuo_estadistico"))</f>
        <v/>
      </c>
      <c r="M400" s="8" t="str">
        <f>IF(OR($I400="USO_NO_ENERGETICO_APARENTE",$I400="USO_ENERGETICO_INTERNO_APARENTE"),"CAL",IF(LEFT($H400,5)="STAT_","FORMULA",IF(COUNTIF(DATOS_MODELO!$B$2:$B$3672,$H400)=1,"OK","REVISAR")))</f>
        <v>OK</v>
      </c>
    </row>
    <row r="401" customFormat="false" ht="15" hidden="false" customHeight="false" outlineLevel="0" collapsed="false">
      <c r="A401" s="4" t="s">
        <v>2879</v>
      </c>
      <c r="B401" s="12" t="n">
        <v>2020</v>
      </c>
      <c r="C401" s="4" t="s">
        <v>99</v>
      </c>
      <c r="D401" s="4" t="s">
        <v>2155</v>
      </c>
      <c r="E401" s="4" t="s">
        <v>2001</v>
      </c>
      <c r="F401" s="4" t="s">
        <v>2160</v>
      </c>
      <c r="G401" s="4" t="s">
        <v>64</v>
      </c>
      <c r="H401" s="4" t="s">
        <v>836</v>
      </c>
      <c r="I401" s="4" t="s">
        <v>2151</v>
      </c>
      <c r="J401" s="4" t="s">
        <v>1997</v>
      </c>
      <c r="K401" s="14">
        <f>IF(OR($I401="USO_NO_ENERGETICO_APARENTE",$I401="USO_ENERGETICO_INTERNO_APARENTE"),ROUND(SUMIFS($K$2:$K$618,$B$2:$B$618,$B401,$C$2:$C$618,$C401,$D$2:$D$618,"Energy products",$E$2:$E$618,"Supply",$G$2:$G$618,"&lt;&gt;STAT")-SUMIFS($K$2:$K$618,$B$2:$B$618,$B401,$C$2:$C$618,$C401,$D$2:$D$618,"Energy products",$E$2:$E$618,"Use",$G$2:$G$618,"&lt;&gt;STAT",$I$2:$I$618,"&lt;&gt;USO_NO_ENERGETICO_APARENTE",$I$2:$I$618,"&lt;&gt;USO_ENERGETICO_INTERNO_APARENTE"),10),IF(LEFT($H401,5)="STAT_",ROUND(SUMIFS($K$2:$K$618,$B$2:$B$618,$B401,$C$2:$C$618,$C401,$D$2:$D$618,"Energy products",$E$2:$E$618,"Supply",$G$2:$G$618,"&lt;&gt;STAT")-SUMIFS($K$2:$K$618,$B$2:$B$618,$B401,$C$2:$C$618,$C401,$D$2:$D$618,"Energy products",$E$2:$E$618,"Use",$G$2:$G$618,"&lt;&gt;STAT"),10),IF($J401="cambio de signo",-INDEX(DATOS_MODELO!$U$2:$U$3672,MATCH($H401,DATOS_MODELO!$B$2:$B$3672,0)),IF($J401="valor absoluto",ABS(INDEX(DATOS_MODELO!$U$2:$U$3672,MATCH($H401,DATOS_MODELO!$B$2:$B$3672,0))),INDEX(DATOS_MODELO!$U$2:$U$3672,MATCH($H401,DATOS_MODELO!$B$2:$B$3672,0))))))</f>
        <v>5599.1551</v>
      </c>
      <c r="L401" s="8" t="str">
        <f aca="false">IF(LEFT($H401,5)&lt;&gt;"STAT_","",IF(ABS($K401)&lt;=COUNTIFS($B$2:$B$618,$B401,$C$2:$C$618,$C401,$D$2:$D$618,"Energy products",$G$2:$G$618,"&lt;&gt;STAT")*PARAMETROS!$B$6,"redondeo","residuo_estadistico"))</f>
        <v/>
      </c>
      <c r="M401" s="8" t="str">
        <f>IF(OR($I401="USO_NO_ENERGETICO_APARENTE",$I401="USO_ENERGETICO_INTERNO_APARENTE"),"CAL",IF(LEFT($H401,5)="STAT_","FORMULA",IF(COUNTIF(DATOS_MODELO!$B$2:$B$3672,$H401)=1,"OK","REVISAR")))</f>
        <v>OK</v>
      </c>
    </row>
    <row r="402" customFormat="false" ht="15" hidden="false" customHeight="false" outlineLevel="0" collapsed="false">
      <c r="A402" s="4" t="s">
        <v>2881</v>
      </c>
      <c r="B402" s="12" t="n">
        <v>2020</v>
      </c>
      <c r="C402" s="4" t="s">
        <v>101</v>
      </c>
      <c r="D402" s="4" t="s">
        <v>1993</v>
      </c>
      <c r="E402" s="4" t="s">
        <v>1994</v>
      </c>
      <c r="F402" s="4" t="s">
        <v>2029</v>
      </c>
      <c r="G402" s="4" t="s">
        <v>69</v>
      </c>
      <c r="H402" s="4" t="s">
        <v>838</v>
      </c>
      <c r="I402" s="4" t="s">
        <v>2030</v>
      </c>
      <c r="J402" s="4" t="s">
        <v>1997</v>
      </c>
      <c r="K402" s="14">
        <f>IF(OR($I402="USO_NO_ENERGETICO_APARENTE",$I402="USO_ENERGETICO_INTERNO_APARENTE"),ROUND(SUMIFS($K$2:$K$618,$B$2:$B$618,$B402,$C$2:$C$618,$C402,$D$2:$D$618,"Energy products",$E$2:$E$618,"Supply",$G$2:$G$618,"&lt;&gt;STAT")-SUMIFS($K$2:$K$618,$B$2:$B$618,$B402,$C$2:$C$618,$C402,$D$2:$D$618,"Energy products",$E$2:$E$618,"Use",$G$2:$G$618,"&lt;&gt;STAT",$I$2:$I$618,"&lt;&gt;USO_NO_ENERGETICO_APARENTE",$I$2:$I$618,"&lt;&gt;USO_ENERGETICO_INTERNO_APARENTE"),10),IF(LEFT($H402,5)="STAT_",ROUND(SUMIFS($K$2:$K$618,$B$2:$B$618,$B402,$C$2:$C$618,$C402,$D$2:$D$618,"Energy products",$E$2:$E$618,"Supply",$G$2:$G$618,"&lt;&gt;STAT")-SUMIFS($K$2:$K$618,$B$2:$B$618,$B402,$C$2:$C$618,$C402,$D$2:$D$618,"Energy products",$E$2:$E$618,"Use",$G$2:$G$618,"&lt;&gt;STAT"),10),IF($J402="cambio de signo",-INDEX(DATOS_MODELO!$U$2:$U$3672,MATCH($H402,DATOS_MODELO!$B$2:$B$3672,0)),IF($J402="valor absoluto",ABS(INDEX(DATOS_MODELO!$U$2:$U$3672,MATCH($H402,DATOS_MODELO!$B$2:$B$3672,0))),INDEX(DATOS_MODELO!$U$2:$U$3672,MATCH($H402,DATOS_MODELO!$B$2:$B$3672,0))))))</f>
        <v>9003.0017</v>
      </c>
      <c r="L402" s="8" t="str">
        <f aca="false">IF(LEFT($H402,5)&lt;&gt;"STAT_","",IF(ABS($K402)&lt;=COUNTIFS($B$2:$B$618,$B402,$C$2:$C$618,$C402,$D$2:$D$618,"Energy products",$G$2:$G$618,"&lt;&gt;STAT")*PARAMETROS!$B$6,"redondeo","residuo_estadistico"))</f>
        <v/>
      </c>
      <c r="M402" s="8" t="str">
        <f>IF(OR($I402="USO_NO_ENERGETICO_APARENTE",$I402="USO_ENERGETICO_INTERNO_APARENTE"),"CAL",IF(LEFT($H402,5)="STAT_","FORMULA",IF(COUNTIF(DATOS_MODELO!$B$2:$B$3672,$H402)=1,"OK","REVISAR")))</f>
        <v>OK</v>
      </c>
    </row>
    <row r="403" customFormat="false" ht="15" hidden="false" customHeight="false" outlineLevel="0" collapsed="false">
      <c r="A403" s="4" t="s">
        <v>2883</v>
      </c>
      <c r="B403" s="12" t="n">
        <v>2020</v>
      </c>
      <c r="C403" s="4" t="s">
        <v>101</v>
      </c>
      <c r="D403" s="4" t="s">
        <v>1993</v>
      </c>
      <c r="E403" s="4" t="s">
        <v>2001</v>
      </c>
      <c r="F403" s="4" t="s">
        <v>2091</v>
      </c>
      <c r="G403" s="4" t="s">
        <v>69</v>
      </c>
      <c r="H403" s="4" t="s">
        <v>839</v>
      </c>
      <c r="I403" s="4" t="s">
        <v>2030</v>
      </c>
      <c r="J403" s="4" t="s">
        <v>1997</v>
      </c>
      <c r="K403" s="14">
        <f>IF(OR($I403="USO_NO_ENERGETICO_APARENTE",$I403="USO_ENERGETICO_INTERNO_APARENTE"),ROUND(SUMIFS($K$2:$K$618,$B$2:$B$618,$B403,$C$2:$C$618,$C403,$D$2:$D$618,"Energy products",$E$2:$E$618,"Supply",$G$2:$G$618,"&lt;&gt;STAT")-SUMIFS($K$2:$K$618,$B$2:$B$618,$B403,$C$2:$C$618,$C403,$D$2:$D$618,"Energy products",$E$2:$E$618,"Use",$G$2:$G$618,"&lt;&gt;STAT",$I$2:$I$618,"&lt;&gt;USO_NO_ENERGETICO_APARENTE",$I$2:$I$618,"&lt;&gt;USO_ENERGETICO_INTERNO_APARENTE"),10),IF(LEFT($H403,5)="STAT_",ROUND(SUMIFS($K$2:$K$618,$B$2:$B$618,$B403,$C$2:$C$618,$C403,$D$2:$D$618,"Energy products",$E$2:$E$618,"Supply",$G$2:$G$618,"&lt;&gt;STAT")-SUMIFS($K$2:$K$618,$B$2:$B$618,$B403,$C$2:$C$618,$C403,$D$2:$D$618,"Energy products",$E$2:$E$618,"Use",$G$2:$G$618,"&lt;&gt;STAT"),10),IF($J403="cambio de signo",-INDEX(DATOS_MODELO!$U$2:$U$3672,MATCH($H403,DATOS_MODELO!$B$2:$B$3672,0)),IF($J403="valor absoluto",ABS(INDEX(DATOS_MODELO!$U$2:$U$3672,MATCH($H403,DATOS_MODELO!$B$2:$B$3672,0))),INDEX(DATOS_MODELO!$U$2:$U$3672,MATCH($H403,DATOS_MODELO!$B$2:$B$3672,0))))))</f>
        <v>69.139</v>
      </c>
      <c r="L403" s="8" t="str">
        <f aca="false">IF(LEFT($H403,5)&lt;&gt;"STAT_","",IF(ABS($K403)&lt;=COUNTIFS($B$2:$B$618,$B403,$C$2:$C$618,$C403,$D$2:$D$618,"Energy products",$G$2:$G$618,"&lt;&gt;STAT")*PARAMETROS!$B$6,"redondeo","residuo_estadistico"))</f>
        <v/>
      </c>
      <c r="M403" s="8" t="str">
        <f>IF(OR($I403="USO_NO_ENERGETICO_APARENTE",$I403="USO_ENERGETICO_INTERNO_APARENTE"),"CAL",IF(LEFT($H403,5)="STAT_","FORMULA",IF(COUNTIF(DATOS_MODELO!$B$2:$B$3672,$H403)=1,"OK","REVISAR")))</f>
        <v>OK</v>
      </c>
    </row>
    <row r="404" customFormat="false" ht="15" hidden="false" customHeight="false" outlineLevel="0" collapsed="false">
      <c r="A404" s="4" t="s">
        <v>2885</v>
      </c>
      <c r="B404" s="12" t="n">
        <v>2020</v>
      </c>
      <c r="C404" s="4" t="s">
        <v>101</v>
      </c>
      <c r="D404" s="4" t="s">
        <v>1993</v>
      </c>
      <c r="E404" s="4" t="s">
        <v>2001</v>
      </c>
      <c r="F404" s="4" t="s">
        <v>2034</v>
      </c>
      <c r="G404" s="4" t="s">
        <v>74</v>
      </c>
      <c r="H404" s="4" t="s">
        <v>840</v>
      </c>
      <c r="I404" s="4" t="s">
        <v>2035</v>
      </c>
      <c r="J404" s="4" t="s">
        <v>2036</v>
      </c>
      <c r="K404" s="14">
        <f>IF(OR($I404="USO_NO_ENERGETICO_APARENTE",$I404="USO_ENERGETICO_INTERNO_APARENTE"),ROUND(SUMIFS($K$2:$K$618,$B$2:$B$618,$B404,$C$2:$C$618,$C404,$D$2:$D$618,"Energy products",$E$2:$E$618,"Supply",$G$2:$G$618,"&lt;&gt;STAT")-SUMIFS($K$2:$K$618,$B$2:$B$618,$B404,$C$2:$C$618,$C404,$D$2:$D$618,"Energy products",$E$2:$E$618,"Use",$G$2:$G$618,"&lt;&gt;STAT",$I$2:$I$618,"&lt;&gt;USO_NO_ENERGETICO_APARENTE",$I$2:$I$618,"&lt;&gt;USO_ENERGETICO_INTERNO_APARENTE"),10),IF(LEFT($H404,5)="STAT_",ROUND(SUMIFS($K$2:$K$618,$B$2:$B$618,$B404,$C$2:$C$618,$C404,$D$2:$D$618,"Energy products",$E$2:$E$618,"Supply",$G$2:$G$618,"&lt;&gt;STAT")-SUMIFS($K$2:$K$618,$B$2:$B$618,$B404,$C$2:$C$618,$C404,$D$2:$D$618,"Energy products",$E$2:$E$618,"Use",$G$2:$G$618,"&lt;&gt;STAT"),10),IF($J404="cambio de signo",-INDEX(DATOS_MODELO!$U$2:$U$3672,MATCH($H404,DATOS_MODELO!$B$2:$B$3672,0)),IF($J404="valor absoluto",ABS(INDEX(DATOS_MODELO!$U$2:$U$3672,MATCH($H404,DATOS_MODELO!$B$2:$B$3672,0))),INDEX(DATOS_MODELO!$U$2:$U$3672,MATCH($H404,DATOS_MODELO!$B$2:$B$3672,0))))))</f>
        <v>-85.0003</v>
      </c>
      <c r="L404" s="8" t="str">
        <f aca="false">IF(LEFT($H404,5)&lt;&gt;"STAT_","",IF(ABS($K404)&lt;=COUNTIFS($B$2:$B$618,$B404,$C$2:$C$618,$C404,$D$2:$D$618,"Energy products",$G$2:$G$618,"&lt;&gt;STAT")*PARAMETROS!$B$6,"redondeo","residuo_estadistico"))</f>
        <v/>
      </c>
      <c r="M404" s="8" t="str">
        <f>IF(OR($I404="USO_NO_ENERGETICO_APARENTE",$I404="USO_ENERGETICO_INTERNO_APARENTE"),"CAL",IF(LEFT($H404,5)="STAT_","FORMULA",IF(COUNTIF(DATOS_MODELO!$B$2:$B$3672,$H404)=1,"OK","REVISAR")))</f>
        <v>OK</v>
      </c>
    </row>
    <row r="405" customFormat="false" ht="15" hidden="false" customHeight="false" outlineLevel="0" collapsed="false">
      <c r="A405" s="4" t="s">
        <v>2887</v>
      </c>
      <c r="B405" s="12" t="n">
        <v>2020</v>
      </c>
      <c r="C405" s="4" t="s">
        <v>101</v>
      </c>
      <c r="D405" s="4" t="s">
        <v>1993</v>
      </c>
      <c r="E405" s="4" t="s">
        <v>2001</v>
      </c>
      <c r="F405" s="4" t="s">
        <v>2002</v>
      </c>
      <c r="G405" s="4" t="s">
        <v>67</v>
      </c>
      <c r="H405" s="4" t="s">
        <v>842</v>
      </c>
      <c r="I405" s="4" t="s">
        <v>2003</v>
      </c>
      <c r="J405" s="4" t="s">
        <v>2004</v>
      </c>
      <c r="K405" s="14">
        <f>IF(OR($I405="USO_NO_ENERGETICO_APARENTE",$I405="USO_ENERGETICO_INTERNO_APARENTE"),ROUND(SUMIFS($K$2:$K$618,$B$2:$B$618,$B405,$C$2:$C$618,$C405,$D$2:$D$618,"Energy products",$E$2:$E$618,"Supply",$G$2:$G$618,"&lt;&gt;STAT")-SUMIFS($K$2:$K$618,$B$2:$B$618,$B405,$C$2:$C$618,$C405,$D$2:$D$618,"Energy products",$E$2:$E$618,"Use",$G$2:$G$618,"&lt;&gt;STAT",$I$2:$I$618,"&lt;&gt;USO_NO_ENERGETICO_APARENTE",$I$2:$I$618,"&lt;&gt;USO_ENERGETICO_INTERNO_APARENTE"),10),IF(LEFT($H405,5)="STAT_",ROUND(SUMIFS($K$2:$K$618,$B$2:$B$618,$B405,$C$2:$C$618,$C405,$D$2:$D$618,"Energy products",$E$2:$E$618,"Supply",$G$2:$G$618,"&lt;&gt;STAT")-SUMIFS($K$2:$K$618,$B$2:$B$618,$B405,$C$2:$C$618,$C405,$D$2:$D$618,"Energy products",$E$2:$E$618,"Use",$G$2:$G$618,"&lt;&gt;STAT"),10),IF($J405="cambio de signo",-INDEX(DATOS_MODELO!$U$2:$U$3672,MATCH($H405,DATOS_MODELO!$B$2:$B$3672,0)),IF($J405="valor absoluto",ABS(INDEX(DATOS_MODELO!$U$2:$U$3672,MATCH($H405,DATOS_MODELO!$B$2:$B$3672,0))),INDEX(DATOS_MODELO!$U$2:$U$3672,MATCH($H405,DATOS_MODELO!$B$2:$B$3672,0))))))</f>
        <v>2928.5305</v>
      </c>
      <c r="L405" s="8" t="str">
        <f aca="false">IF(LEFT($H405,5)&lt;&gt;"STAT_","",IF(ABS($K405)&lt;=COUNTIFS($B$2:$B$618,$B405,$C$2:$C$618,$C405,$D$2:$D$618,"Energy products",$G$2:$G$618,"&lt;&gt;STAT")*PARAMETROS!$B$6,"redondeo","residuo_estadistico"))</f>
        <v/>
      </c>
      <c r="M405" s="8" t="str">
        <f>IF(OR($I405="USO_NO_ENERGETICO_APARENTE",$I405="USO_ENERGETICO_INTERNO_APARENTE"),"CAL",IF(LEFT($H405,5)="STAT_","FORMULA",IF(COUNTIF(DATOS_MODELO!$B$2:$B$3672,$H405)=1,"OK","REVISAR")))</f>
        <v>OK</v>
      </c>
    </row>
    <row r="406" customFormat="false" ht="15" hidden="false" customHeight="false" outlineLevel="0" collapsed="false">
      <c r="A406" s="4" t="s">
        <v>2889</v>
      </c>
      <c r="B406" s="12" t="n">
        <v>2020</v>
      </c>
      <c r="C406" s="4" t="s">
        <v>101</v>
      </c>
      <c r="D406" s="4" t="s">
        <v>1993</v>
      </c>
      <c r="E406" s="4" t="s">
        <v>2001</v>
      </c>
      <c r="F406" s="4" t="s">
        <v>2002</v>
      </c>
      <c r="G406" s="4" t="s">
        <v>67</v>
      </c>
      <c r="H406" s="4" t="s">
        <v>843</v>
      </c>
      <c r="I406" s="4" t="s">
        <v>2008</v>
      </c>
      <c r="J406" s="4" t="s">
        <v>2004</v>
      </c>
      <c r="K406" s="14">
        <f>IF(OR($I406="USO_NO_ENERGETICO_APARENTE",$I406="USO_ENERGETICO_INTERNO_APARENTE"),ROUND(SUMIFS($K$2:$K$618,$B$2:$B$618,$B406,$C$2:$C$618,$C406,$D$2:$D$618,"Energy products",$E$2:$E$618,"Supply",$G$2:$G$618,"&lt;&gt;STAT")-SUMIFS($K$2:$K$618,$B$2:$B$618,$B406,$C$2:$C$618,$C406,$D$2:$D$618,"Energy products",$E$2:$E$618,"Use",$G$2:$G$618,"&lt;&gt;STAT",$I$2:$I$618,"&lt;&gt;USO_NO_ENERGETICO_APARENTE",$I$2:$I$618,"&lt;&gt;USO_ENERGETICO_INTERNO_APARENTE"),10),IF(LEFT($H406,5)="STAT_",ROUND(SUMIFS($K$2:$K$618,$B$2:$B$618,$B406,$C$2:$C$618,$C406,$D$2:$D$618,"Energy products",$E$2:$E$618,"Supply",$G$2:$G$618,"&lt;&gt;STAT")-SUMIFS($K$2:$K$618,$B$2:$B$618,$B406,$C$2:$C$618,$C406,$D$2:$D$618,"Energy products",$E$2:$E$618,"Use",$G$2:$G$618,"&lt;&gt;STAT"),10),IF($J406="cambio de signo",-INDEX(DATOS_MODELO!$U$2:$U$3672,MATCH($H406,DATOS_MODELO!$B$2:$B$3672,0)),IF($J406="valor absoluto",ABS(INDEX(DATOS_MODELO!$U$2:$U$3672,MATCH($H406,DATOS_MODELO!$B$2:$B$3672,0))),INDEX(DATOS_MODELO!$U$2:$U$3672,MATCH($H406,DATOS_MODELO!$B$2:$B$3672,0))))))</f>
        <v>417.2742</v>
      </c>
      <c r="L406" s="8" t="str">
        <f aca="false">IF(LEFT($H406,5)&lt;&gt;"STAT_","",IF(ABS($K406)&lt;=COUNTIFS($B$2:$B$618,$B406,$C$2:$C$618,$C406,$D$2:$D$618,"Energy products",$G$2:$G$618,"&lt;&gt;STAT")*PARAMETROS!$B$6,"redondeo","residuo_estadistico"))</f>
        <v/>
      </c>
      <c r="M406" s="8" t="str">
        <f>IF(OR($I406="USO_NO_ENERGETICO_APARENTE",$I406="USO_ENERGETICO_INTERNO_APARENTE"),"CAL",IF(LEFT($H406,5)="STAT_","FORMULA",IF(COUNTIF(DATOS_MODELO!$B$2:$B$3672,$H406)=1,"OK","REVISAR")))</f>
        <v>OK</v>
      </c>
    </row>
    <row r="407" customFormat="false" ht="15" hidden="false" customHeight="false" outlineLevel="0" collapsed="false">
      <c r="A407" s="4" t="s">
        <v>2891</v>
      </c>
      <c r="B407" s="12" t="n">
        <v>2020</v>
      </c>
      <c r="C407" s="4" t="s">
        <v>101</v>
      </c>
      <c r="D407" s="4" t="s">
        <v>1993</v>
      </c>
      <c r="E407" s="4" t="s">
        <v>2001</v>
      </c>
      <c r="F407" s="4" t="s">
        <v>2002</v>
      </c>
      <c r="G407" s="4" t="s">
        <v>68</v>
      </c>
      <c r="H407" s="4" t="s">
        <v>848</v>
      </c>
      <c r="I407" s="4" t="s">
        <v>2111</v>
      </c>
      <c r="J407" s="4" t="s">
        <v>1997</v>
      </c>
      <c r="K407" s="14">
        <f>IF(OR($I407="USO_NO_ENERGETICO_APARENTE",$I407="USO_ENERGETICO_INTERNO_APARENTE"),ROUND(SUMIFS($K$2:$K$618,$B$2:$B$618,$B407,$C$2:$C$618,$C407,$D$2:$D$618,"Energy products",$E$2:$E$618,"Supply",$G$2:$G$618,"&lt;&gt;STAT")-SUMIFS($K$2:$K$618,$B$2:$B$618,$B407,$C$2:$C$618,$C407,$D$2:$D$618,"Energy products",$E$2:$E$618,"Use",$G$2:$G$618,"&lt;&gt;STAT",$I$2:$I$618,"&lt;&gt;USO_NO_ENERGETICO_APARENTE",$I$2:$I$618,"&lt;&gt;USO_ENERGETICO_INTERNO_APARENTE"),10),IF(LEFT($H407,5)="STAT_",ROUND(SUMIFS($K$2:$K$618,$B$2:$B$618,$B407,$C$2:$C$618,$C407,$D$2:$D$618,"Energy products",$E$2:$E$618,"Supply",$G$2:$G$618,"&lt;&gt;STAT")-SUMIFS($K$2:$K$618,$B$2:$B$618,$B407,$C$2:$C$618,$C407,$D$2:$D$618,"Energy products",$E$2:$E$618,"Use",$G$2:$G$618,"&lt;&gt;STAT"),10),IF($J407="cambio de signo",-INDEX(DATOS_MODELO!$U$2:$U$3672,MATCH($H407,DATOS_MODELO!$B$2:$B$3672,0)),IF($J407="valor absoluto",ABS(INDEX(DATOS_MODELO!$U$2:$U$3672,MATCH($H407,DATOS_MODELO!$B$2:$B$3672,0))),INDEX(DATOS_MODELO!$U$2:$U$3672,MATCH($H407,DATOS_MODELO!$B$2:$B$3672,0))))))</f>
        <v>5673.0583</v>
      </c>
      <c r="L407" s="8" t="str">
        <f aca="false">IF(LEFT($H407,5)&lt;&gt;"STAT_","",IF(ABS($K407)&lt;=COUNTIFS($B$2:$B$618,$B407,$C$2:$C$618,$C407,$D$2:$D$618,"Energy products",$G$2:$G$618,"&lt;&gt;STAT")*PARAMETROS!$B$6,"redondeo","residuo_estadistico"))</f>
        <v/>
      </c>
      <c r="M407" s="8" t="str">
        <f>IF(OR($I407="USO_NO_ENERGETICO_APARENTE",$I407="USO_ENERGETICO_INTERNO_APARENTE"),"CAL",IF(LEFT($H407,5)="STAT_","FORMULA",IF(COUNTIF(DATOS_MODELO!$B$2:$B$3672,$H407)=1,"OK","REVISAR")))</f>
        <v>OK</v>
      </c>
    </row>
    <row r="408" customFormat="false" ht="15" hidden="false" customHeight="false" outlineLevel="0" collapsed="false">
      <c r="A408" s="4" t="s">
        <v>2893</v>
      </c>
      <c r="B408" s="12" t="n">
        <v>2020</v>
      </c>
      <c r="C408" s="4" t="s">
        <v>103</v>
      </c>
      <c r="D408" s="4" t="s">
        <v>1993</v>
      </c>
      <c r="E408" s="4" t="s">
        <v>1994</v>
      </c>
      <c r="F408" s="4" t="s">
        <v>2029</v>
      </c>
      <c r="G408" s="4" t="s">
        <v>69</v>
      </c>
      <c r="H408" s="4" t="s">
        <v>852</v>
      </c>
      <c r="I408" s="4" t="s">
        <v>2030</v>
      </c>
      <c r="J408" s="4" t="s">
        <v>1997</v>
      </c>
      <c r="K408" s="14">
        <f>IF(OR($I408="USO_NO_ENERGETICO_APARENTE",$I408="USO_ENERGETICO_INTERNO_APARENTE"),ROUND(SUMIFS($K$2:$K$618,$B$2:$B$618,$B408,$C$2:$C$618,$C408,$D$2:$D$618,"Energy products",$E$2:$E$618,"Supply",$G$2:$G$618,"&lt;&gt;STAT")-SUMIFS($K$2:$K$618,$B$2:$B$618,$B408,$C$2:$C$618,$C408,$D$2:$D$618,"Energy products",$E$2:$E$618,"Use",$G$2:$G$618,"&lt;&gt;STAT",$I$2:$I$618,"&lt;&gt;USO_NO_ENERGETICO_APARENTE",$I$2:$I$618,"&lt;&gt;USO_ENERGETICO_INTERNO_APARENTE"),10),IF(LEFT($H408,5)="STAT_",ROUND(SUMIFS($K$2:$K$618,$B$2:$B$618,$B408,$C$2:$C$618,$C408,$D$2:$D$618,"Energy products",$E$2:$E$618,"Supply",$G$2:$G$618,"&lt;&gt;STAT")-SUMIFS($K$2:$K$618,$B$2:$B$618,$B408,$C$2:$C$618,$C408,$D$2:$D$618,"Energy products",$E$2:$E$618,"Use",$G$2:$G$618,"&lt;&gt;STAT"),10),IF($J408="cambio de signo",-INDEX(DATOS_MODELO!$U$2:$U$3672,MATCH($H408,DATOS_MODELO!$B$2:$B$3672,0)),IF($J408="valor absoluto",ABS(INDEX(DATOS_MODELO!$U$2:$U$3672,MATCH($H408,DATOS_MODELO!$B$2:$B$3672,0))),INDEX(DATOS_MODELO!$U$2:$U$3672,MATCH($H408,DATOS_MODELO!$B$2:$B$3672,0))))))</f>
        <v>72148.2895</v>
      </c>
      <c r="L408" s="8" t="str">
        <f aca="false">IF(LEFT($H408,5)&lt;&gt;"STAT_","",IF(ABS($K408)&lt;=COUNTIFS($B$2:$B$618,$B408,$C$2:$C$618,$C408,$D$2:$D$618,"Energy products",$G$2:$G$618,"&lt;&gt;STAT")*PARAMETROS!$B$6,"redondeo","residuo_estadistico"))</f>
        <v/>
      </c>
      <c r="M408" s="8" t="str">
        <f>IF(OR($I408="USO_NO_ENERGETICO_APARENTE",$I408="USO_ENERGETICO_INTERNO_APARENTE"),"CAL",IF(LEFT($H408,5)="STAT_","FORMULA",IF(COUNTIF(DATOS_MODELO!$B$2:$B$3672,$H408)=1,"OK","REVISAR")))</f>
        <v>OK</v>
      </c>
    </row>
    <row r="409" customFormat="false" ht="15" hidden="false" customHeight="false" outlineLevel="0" collapsed="false">
      <c r="A409" s="4" t="s">
        <v>2895</v>
      </c>
      <c r="B409" s="12" t="n">
        <v>2020</v>
      </c>
      <c r="C409" s="4" t="s">
        <v>103</v>
      </c>
      <c r="D409" s="4" t="s">
        <v>1993</v>
      </c>
      <c r="E409" s="4" t="s">
        <v>2001</v>
      </c>
      <c r="F409" s="4" t="s">
        <v>2091</v>
      </c>
      <c r="G409" s="4" t="s">
        <v>69</v>
      </c>
      <c r="H409" s="4" t="s">
        <v>853</v>
      </c>
      <c r="I409" s="4" t="s">
        <v>2030</v>
      </c>
      <c r="J409" s="4" t="s">
        <v>1997</v>
      </c>
      <c r="K409" s="14">
        <f>IF(OR($I409="USO_NO_ENERGETICO_APARENTE",$I409="USO_ENERGETICO_INTERNO_APARENTE"),ROUND(SUMIFS($K$2:$K$618,$B$2:$B$618,$B409,$C$2:$C$618,$C409,$D$2:$D$618,"Energy products",$E$2:$E$618,"Supply",$G$2:$G$618,"&lt;&gt;STAT")-SUMIFS($K$2:$K$618,$B$2:$B$618,$B409,$C$2:$C$618,$C409,$D$2:$D$618,"Energy products",$E$2:$E$618,"Use",$G$2:$G$618,"&lt;&gt;STAT",$I$2:$I$618,"&lt;&gt;USO_NO_ENERGETICO_APARENTE",$I$2:$I$618,"&lt;&gt;USO_ENERGETICO_INTERNO_APARENTE"),10),IF(LEFT($H409,5)="STAT_",ROUND(SUMIFS($K$2:$K$618,$B$2:$B$618,$B409,$C$2:$C$618,$C409,$D$2:$D$618,"Energy products",$E$2:$E$618,"Supply",$G$2:$G$618,"&lt;&gt;STAT")-SUMIFS($K$2:$K$618,$B$2:$B$618,$B409,$C$2:$C$618,$C409,$D$2:$D$618,"Energy products",$E$2:$E$618,"Use",$G$2:$G$618,"&lt;&gt;STAT"),10),IF($J409="cambio de signo",-INDEX(DATOS_MODELO!$U$2:$U$3672,MATCH($H409,DATOS_MODELO!$B$2:$B$3672,0)),IF($J409="valor absoluto",ABS(INDEX(DATOS_MODELO!$U$2:$U$3672,MATCH($H409,DATOS_MODELO!$B$2:$B$3672,0))),INDEX(DATOS_MODELO!$U$2:$U$3672,MATCH($H409,DATOS_MODELO!$B$2:$B$3672,0))))))</f>
        <v>851.2812</v>
      </c>
      <c r="L409" s="8" t="str">
        <f aca="false">IF(LEFT($H409,5)&lt;&gt;"STAT_","",IF(ABS($K409)&lt;=COUNTIFS($B$2:$B$618,$B409,$C$2:$C$618,$C409,$D$2:$D$618,"Energy products",$G$2:$G$618,"&lt;&gt;STAT")*PARAMETROS!$B$6,"redondeo","residuo_estadistico"))</f>
        <v/>
      </c>
      <c r="M409" s="8" t="str">
        <f>IF(OR($I409="USO_NO_ENERGETICO_APARENTE",$I409="USO_ENERGETICO_INTERNO_APARENTE"),"CAL",IF(LEFT($H409,5)="STAT_","FORMULA",IF(COUNTIF(DATOS_MODELO!$B$2:$B$3672,$H409)=1,"OK","REVISAR")))</f>
        <v>OK</v>
      </c>
    </row>
    <row r="410" customFormat="false" ht="15" hidden="false" customHeight="false" outlineLevel="0" collapsed="false">
      <c r="A410" s="4" t="s">
        <v>2897</v>
      </c>
      <c r="B410" s="12" t="n">
        <v>2020</v>
      </c>
      <c r="C410" s="4" t="s">
        <v>103</v>
      </c>
      <c r="D410" s="4" t="s">
        <v>1993</v>
      </c>
      <c r="E410" s="4" t="s">
        <v>2001</v>
      </c>
      <c r="F410" s="4" t="s">
        <v>2034</v>
      </c>
      <c r="G410" s="4" t="s">
        <v>74</v>
      </c>
      <c r="H410" s="4" t="s">
        <v>854</v>
      </c>
      <c r="I410" s="4" t="s">
        <v>2035</v>
      </c>
      <c r="J410" s="4" t="s">
        <v>2036</v>
      </c>
      <c r="K410" s="14">
        <f>IF(OR($I410="USO_NO_ENERGETICO_APARENTE",$I410="USO_ENERGETICO_INTERNO_APARENTE"),ROUND(SUMIFS($K$2:$K$618,$B$2:$B$618,$B410,$C$2:$C$618,$C410,$D$2:$D$618,"Energy products",$E$2:$E$618,"Supply",$G$2:$G$618,"&lt;&gt;STAT")-SUMIFS($K$2:$K$618,$B$2:$B$618,$B410,$C$2:$C$618,$C410,$D$2:$D$618,"Energy products",$E$2:$E$618,"Use",$G$2:$G$618,"&lt;&gt;STAT",$I$2:$I$618,"&lt;&gt;USO_NO_ENERGETICO_APARENTE",$I$2:$I$618,"&lt;&gt;USO_ENERGETICO_INTERNO_APARENTE"),10),IF(LEFT($H410,5)="STAT_",ROUND(SUMIFS($K$2:$K$618,$B$2:$B$618,$B410,$C$2:$C$618,$C410,$D$2:$D$618,"Energy products",$E$2:$E$618,"Supply",$G$2:$G$618,"&lt;&gt;STAT")-SUMIFS($K$2:$K$618,$B$2:$B$618,$B410,$C$2:$C$618,$C410,$D$2:$D$618,"Energy products",$E$2:$E$618,"Use",$G$2:$G$618,"&lt;&gt;STAT"),10),IF($J410="cambio de signo",-INDEX(DATOS_MODELO!$U$2:$U$3672,MATCH($H410,DATOS_MODELO!$B$2:$B$3672,0)),IF($J410="valor absoluto",ABS(INDEX(DATOS_MODELO!$U$2:$U$3672,MATCH($H410,DATOS_MODELO!$B$2:$B$3672,0))),INDEX(DATOS_MODELO!$U$2:$U$3672,MATCH($H410,DATOS_MODELO!$B$2:$B$3672,0))))))</f>
        <v>-979.8565</v>
      </c>
      <c r="L410" s="8" t="str">
        <f aca="false">IF(LEFT($H410,5)&lt;&gt;"STAT_","",IF(ABS($K410)&lt;=COUNTIFS($B$2:$B$618,$B410,$C$2:$C$618,$C410,$D$2:$D$618,"Energy products",$G$2:$G$618,"&lt;&gt;STAT")*PARAMETROS!$B$6,"redondeo","residuo_estadistico"))</f>
        <v/>
      </c>
      <c r="M410" s="8" t="str">
        <f>IF(OR($I410="USO_NO_ENERGETICO_APARENTE",$I410="USO_ENERGETICO_INTERNO_APARENTE"),"CAL",IF(LEFT($H410,5)="STAT_","FORMULA",IF(COUNTIF(DATOS_MODELO!$B$2:$B$3672,$H410)=1,"OK","REVISAR")))</f>
        <v>OK</v>
      </c>
    </row>
    <row r="411" customFormat="false" ht="15" hidden="false" customHeight="false" outlineLevel="0" collapsed="false">
      <c r="A411" s="4" t="s">
        <v>2899</v>
      </c>
      <c r="B411" s="12" t="n">
        <v>2020</v>
      </c>
      <c r="C411" s="4" t="s">
        <v>103</v>
      </c>
      <c r="D411" s="4" t="s">
        <v>1993</v>
      </c>
      <c r="E411" s="4" t="s">
        <v>2001</v>
      </c>
      <c r="F411" s="4" t="s">
        <v>2002</v>
      </c>
      <c r="G411" s="4" t="s">
        <v>71</v>
      </c>
      <c r="H411" s="4" t="s">
        <v>859</v>
      </c>
      <c r="I411" s="4" t="s">
        <v>2123</v>
      </c>
      <c r="J411" s="4" t="s">
        <v>1997</v>
      </c>
      <c r="K411" s="14">
        <f>IF(OR($I411="USO_NO_ENERGETICO_APARENTE",$I411="USO_ENERGETICO_INTERNO_APARENTE"),ROUND(SUMIFS($K$2:$K$618,$B$2:$B$618,$B411,$C$2:$C$618,$C411,$D$2:$D$618,"Energy products",$E$2:$E$618,"Supply",$G$2:$G$618,"&lt;&gt;STAT")-SUMIFS($K$2:$K$618,$B$2:$B$618,$B411,$C$2:$C$618,$C411,$D$2:$D$618,"Energy products",$E$2:$E$618,"Use",$G$2:$G$618,"&lt;&gt;STAT",$I$2:$I$618,"&lt;&gt;USO_NO_ENERGETICO_APARENTE",$I$2:$I$618,"&lt;&gt;USO_ENERGETICO_INTERNO_APARENTE"),10),IF(LEFT($H411,5)="STAT_",ROUND(SUMIFS($K$2:$K$618,$B$2:$B$618,$B411,$C$2:$C$618,$C411,$D$2:$D$618,"Energy products",$E$2:$E$618,"Supply",$G$2:$G$618,"&lt;&gt;STAT")-SUMIFS($K$2:$K$618,$B$2:$B$618,$B411,$C$2:$C$618,$C411,$D$2:$D$618,"Energy products",$E$2:$E$618,"Use",$G$2:$G$618,"&lt;&gt;STAT"),10),IF($J411="cambio de signo",-INDEX(DATOS_MODELO!$U$2:$U$3672,MATCH($H411,DATOS_MODELO!$B$2:$B$3672,0)),IF($J411="valor absoluto",ABS(INDEX(DATOS_MODELO!$U$2:$U$3672,MATCH($H411,DATOS_MODELO!$B$2:$B$3672,0))),INDEX(DATOS_MODELO!$U$2:$U$3672,MATCH($H411,DATOS_MODELO!$B$2:$B$3672,0))))))</f>
        <v>70471.2911</v>
      </c>
      <c r="L411" s="8" t="str">
        <f aca="false">IF(LEFT($H411,5)&lt;&gt;"STAT_","",IF(ABS($K411)&lt;=COUNTIFS($B$2:$B$618,$B411,$C$2:$C$618,$C411,$D$2:$D$618,"Energy products",$G$2:$G$618,"&lt;&gt;STAT")*PARAMETROS!$B$6,"redondeo","residuo_estadistico"))</f>
        <v/>
      </c>
      <c r="M411" s="8" t="str">
        <f>IF(OR($I411="USO_NO_ENERGETICO_APARENTE",$I411="USO_ENERGETICO_INTERNO_APARENTE"),"CAL",IF(LEFT($H411,5)="STAT_","FORMULA",IF(COUNTIF(DATOS_MODELO!$B$2:$B$3672,$H411)=1,"OK","REVISAR")))</f>
        <v>OK</v>
      </c>
    </row>
    <row r="412" customFormat="false" ht="15" hidden="false" customHeight="false" outlineLevel="0" collapsed="false">
      <c r="A412" s="4" t="s">
        <v>2901</v>
      </c>
      <c r="B412" s="12" t="n">
        <v>2020</v>
      </c>
      <c r="C412" s="4" t="s">
        <v>103</v>
      </c>
      <c r="D412" s="4" t="s">
        <v>1993</v>
      </c>
      <c r="E412" s="4" t="s">
        <v>2001</v>
      </c>
      <c r="F412" s="4" t="s">
        <v>2002</v>
      </c>
      <c r="G412" s="4" t="s">
        <v>72</v>
      </c>
      <c r="H412" s="4" t="s">
        <v>861</v>
      </c>
      <c r="I412" s="4" t="s">
        <v>2079</v>
      </c>
      <c r="J412" s="4" t="s">
        <v>1997</v>
      </c>
      <c r="K412" s="14">
        <f>IF(OR($I412="USO_NO_ENERGETICO_APARENTE",$I412="USO_ENERGETICO_INTERNO_APARENTE"),ROUND(SUMIFS($K$2:$K$618,$B$2:$B$618,$B412,$C$2:$C$618,$C412,$D$2:$D$618,"Energy products",$E$2:$E$618,"Supply",$G$2:$G$618,"&lt;&gt;STAT")-SUMIFS($K$2:$K$618,$B$2:$B$618,$B412,$C$2:$C$618,$C412,$D$2:$D$618,"Energy products",$E$2:$E$618,"Use",$G$2:$G$618,"&lt;&gt;STAT",$I$2:$I$618,"&lt;&gt;USO_NO_ENERGETICO_APARENTE",$I$2:$I$618,"&lt;&gt;USO_ENERGETICO_INTERNO_APARENTE"),10),IF(LEFT($H412,5)="STAT_",ROUND(SUMIFS($K$2:$K$618,$B$2:$B$618,$B412,$C$2:$C$618,$C412,$D$2:$D$618,"Energy products",$E$2:$E$618,"Supply",$G$2:$G$618,"&lt;&gt;STAT")-SUMIFS($K$2:$K$618,$B$2:$B$618,$B412,$C$2:$C$618,$C412,$D$2:$D$618,"Energy products",$E$2:$E$618,"Use",$G$2:$G$618,"&lt;&gt;STAT"),10),IF($J412="cambio de signo",-INDEX(DATOS_MODELO!$U$2:$U$3672,MATCH($H412,DATOS_MODELO!$B$2:$B$3672,0)),IF($J412="valor absoluto",ABS(INDEX(DATOS_MODELO!$U$2:$U$3672,MATCH($H412,DATOS_MODELO!$B$2:$B$3672,0))),INDEX(DATOS_MODELO!$U$2:$U$3672,MATCH($H412,DATOS_MODELO!$B$2:$B$3672,0))))))</f>
        <v>361.0915</v>
      </c>
      <c r="L412" s="8" t="str">
        <f aca="false">IF(LEFT($H412,5)&lt;&gt;"STAT_","",IF(ABS($K412)&lt;=COUNTIFS($B$2:$B$618,$B412,$C$2:$C$618,$C412,$D$2:$D$618,"Energy products",$G$2:$G$618,"&lt;&gt;STAT")*PARAMETROS!$B$6,"redondeo","residuo_estadistico"))</f>
        <v/>
      </c>
      <c r="M412" s="8" t="str">
        <f>IF(OR($I412="USO_NO_ENERGETICO_APARENTE",$I412="USO_ENERGETICO_INTERNO_APARENTE"),"CAL",IF(LEFT($H412,5)="STAT_","FORMULA",IF(COUNTIF(DATOS_MODELO!$B$2:$B$3672,$H412)=1,"OK","REVISAR")))</f>
        <v>OK</v>
      </c>
    </row>
    <row r="413" customFormat="false" ht="15" hidden="false" customHeight="false" outlineLevel="0" collapsed="false">
      <c r="A413" s="4" t="s">
        <v>2903</v>
      </c>
      <c r="B413" s="12" t="n">
        <v>2020</v>
      </c>
      <c r="C413" s="4" t="s">
        <v>103</v>
      </c>
      <c r="D413" s="4" t="s">
        <v>1993</v>
      </c>
      <c r="E413" s="4" t="s">
        <v>2001</v>
      </c>
      <c r="F413" s="4" t="s">
        <v>2002</v>
      </c>
      <c r="G413" s="4" t="s">
        <v>68</v>
      </c>
      <c r="H413" s="4" t="s">
        <v>862</v>
      </c>
      <c r="I413" s="4" t="s">
        <v>2111</v>
      </c>
      <c r="J413" s="4" t="s">
        <v>1997</v>
      </c>
      <c r="K413" s="14">
        <f>IF(OR($I413="USO_NO_ENERGETICO_APARENTE",$I413="USO_ENERGETICO_INTERNO_APARENTE"),ROUND(SUMIFS($K$2:$K$618,$B$2:$B$618,$B413,$C$2:$C$618,$C413,$D$2:$D$618,"Energy products",$E$2:$E$618,"Supply",$G$2:$G$618,"&lt;&gt;STAT")-SUMIFS($K$2:$K$618,$B$2:$B$618,$B413,$C$2:$C$618,$C413,$D$2:$D$618,"Energy products",$E$2:$E$618,"Use",$G$2:$G$618,"&lt;&gt;STAT",$I$2:$I$618,"&lt;&gt;USO_NO_ENERGETICO_APARENTE",$I$2:$I$618,"&lt;&gt;USO_ENERGETICO_INTERNO_APARENTE"),10),IF(LEFT($H413,5)="STAT_",ROUND(SUMIFS($K$2:$K$618,$B$2:$B$618,$B413,$C$2:$C$618,$C413,$D$2:$D$618,"Energy products",$E$2:$E$618,"Supply",$G$2:$G$618,"&lt;&gt;STAT")-SUMIFS($K$2:$K$618,$B$2:$B$618,$B413,$C$2:$C$618,$C413,$D$2:$D$618,"Energy products",$E$2:$E$618,"Use",$G$2:$G$618,"&lt;&gt;STAT"),10),IF($J413="cambio de signo",-INDEX(DATOS_MODELO!$U$2:$U$3672,MATCH($H413,DATOS_MODELO!$B$2:$B$3672,0)),IF($J413="valor absoluto",ABS(INDEX(DATOS_MODELO!$U$2:$U$3672,MATCH($H413,DATOS_MODELO!$B$2:$B$3672,0))),INDEX(DATOS_MODELO!$U$2:$U$3672,MATCH($H413,DATOS_MODELO!$B$2:$B$3672,0))))))</f>
        <v>1444.4241</v>
      </c>
      <c r="L413" s="8" t="str">
        <f aca="false">IF(LEFT($H413,5)&lt;&gt;"STAT_","",IF(ABS($K413)&lt;=COUNTIFS($B$2:$B$618,$B413,$C$2:$C$618,$C413,$D$2:$D$618,"Energy products",$G$2:$G$618,"&lt;&gt;STAT")*PARAMETROS!$B$6,"redondeo","residuo_estadistico"))</f>
        <v/>
      </c>
      <c r="M413" s="8" t="str">
        <f>IF(OR($I413="USO_NO_ENERGETICO_APARENTE",$I413="USO_ENERGETICO_INTERNO_APARENTE"),"CAL",IF(LEFT($H413,5)="STAT_","FORMULA",IF(COUNTIF(DATOS_MODELO!$B$2:$B$3672,$H413)=1,"OK","REVISAR")))</f>
        <v>OK</v>
      </c>
    </row>
    <row r="414" customFormat="false" ht="15" hidden="false" customHeight="false" outlineLevel="0" collapsed="false">
      <c r="A414" s="4" t="s">
        <v>2905</v>
      </c>
      <c r="B414" s="12" t="n">
        <v>2020</v>
      </c>
      <c r="C414" s="4" t="s">
        <v>105</v>
      </c>
      <c r="D414" s="4" t="s">
        <v>1993</v>
      </c>
      <c r="E414" s="4" t="s">
        <v>1994</v>
      </c>
      <c r="F414" s="4" t="s">
        <v>2029</v>
      </c>
      <c r="G414" s="4" t="s">
        <v>69</v>
      </c>
      <c r="H414" s="4" t="s">
        <v>866</v>
      </c>
      <c r="I414" s="4" t="s">
        <v>2030</v>
      </c>
      <c r="J414" s="4" t="s">
        <v>1997</v>
      </c>
      <c r="K414" s="14">
        <f>IF(OR($I414="USO_NO_ENERGETICO_APARENTE",$I414="USO_ENERGETICO_INTERNO_APARENTE"),ROUND(SUMIFS($K$2:$K$618,$B$2:$B$618,$B414,$C$2:$C$618,$C414,$D$2:$D$618,"Energy products",$E$2:$E$618,"Supply",$G$2:$G$618,"&lt;&gt;STAT")-SUMIFS($K$2:$K$618,$B$2:$B$618,$B414,$C$2:$C$618,$C414,$D$2:$D$618,"Energy products",$E$2:$E$618,"Use",$G$2:$G$618,"&lt;&gt;STAT",$I$2:$I$618,"&lt;&gt;USO_NO_ENERGETICO_APARENTE",$I$2:$I$618,"&lt;&gt;USO_ENERGETICO_INTERNO_APARENTE"),10),IF(LEFT($H414,5)="STAT_",ROUND(SUMIFS($K$2:$K$618,$B$2:$B$618,$B414,$C$2:$C$618,$C414,$D$2:$D$618,"Energy products",$E$2:$E$618,"Supply",$G$2:$G$618,"&lt;&gt;STAT")-SUMIFS($K$2:$K$618,$B$2:$B$618,$B414,$C$2:$C$618,$C414,$D$2:$D$618,"Energy products",$E$2:$E$618,"Use",$G$2:$G$618,"&lt;&gt;STAT"),10),IF($J414="cambio de signo",-INDEX(DATOS_MODELO!$U$2:$U$3672,MATCH($H414,DATOS_MODELO!$B$2:$B$3672,0)),IF($J414="valor absoluto",ABS(INDEX(DATOS_MODELO!$U$2:$U$3672,MATCH($H414,DATOS_MODELO!$B$2:$B$3672,0))),INDEX(DATOS_MODELO!$U$2:$U$3672,MATCH($H414,DATOS_MODELO!$B$2:$B$3672,0))))))</f>
        <v>27269.2931</v>
      </c>
      <c r="L414" s="8" t="str">
        <f aca="false">IF(LEFT($H414,5)&lt;&gt;"STAT_","",IF(ABS($K414)&lt;=COUNTIFS($B$2:$B$618,$B414,$C$2:$C$618,$C414,$D$2:$D$618,"Energy products",$G$2:$G$618,"&lt;&gt;STAT")*PARAMETROS!$B$6,"redondeo","residuo_estadistico"))</f>
        <v/>
      </c>
      <c r="M414" s="8" t="str">
        <f>IF(OR($I414="USO_NO_ENERGETICO_APARENTE",$I414="USO_ENERGETICO_INTERNO_APARENTE"),"CAL",IF(LEFT($H414,5)="STAT_","FORMULA",IF(COUNTIF(DATOS_MODELO!$B$2:$B$3672,$H414)=1,"OK","REVISAR")))</f>
        <v>OK</v>
      </c>
    </row>
    <row r="415" customFormat="false" ht="15" hidden="false" customHeight="false" outlineLevel="0" collapsed="false">
      <c r="A415" s="4" t="s">
        <v>2907</v>
      </c>
      <c r="B415" s="12" t="n">
        <v>2020</v>
      </c>
      <c r="C415" s="4" t="s">
        <v>105</v>
      </c>
      <c r="D415" s="4" t="s">
        <v>1993</v>
      </c>
      <c r="E415" s="4" t="s">
        <v>2001</v>
      </c>
      <c r="F415" s="4" t="s">
        <v>2091</v>
      </c>
      <c r="G415" s="4" t="s">
        <v>69</v>
      </c>
      <c r="H415" s="4" t="s">
        <v>867</v>
      </c>
      <c r="I415" s="4" t="s">
        <v>2030</v>
      </c>
      <c r="J415" s="4" t="s">
        <v>1997</v>
      </c>
      <c r="K415" s="14">
        <f>IF(OR($I415="USO_NO_ENERGETICO_APARENTE",$I415="USO_ENERGETICO_INTERNO_APARENTE"),ROUND(SUMIFS($K$2:$K$618,$B$2:$B$618,$B415,$C$2:$C$618,$C415,$D$2:$D$618,"Energy products",$E$2:$E$618,"Supply",$G$2:$G$618,"&lt;&gt;STAT")-SUMIFS($K$2:$K$618,$B$2:$B$618,$B415,$C$2:$C$618,$C415,$D$2:$D$618,"Energy products",$E$2:$E$618,"Use",$G$2:$G$618,"&lt;&gt;STAT",$I$2:$I$618,"&lt;&gt;USO_NO_ENERGETICO_APARENTE",$I$2:$I$618,"&lt;&gt;USO_ENERGETICO_INTERNO_APARENTE"),10),IF(LEFT($H415,5)="STAT_",ROUND(SUMIFS($K$2:$K$618,$B$2:$B$618,$B415,$C$2:$C$618,$C415,$D$2:$D$618,"Energy products",$E$2:$E$618,"Supply",$G$2:$G$618,"&lt;&gt;STAT")-SUMIFS($K$2:$K$618,$B$2:$B$618,$B415,$C$2:$C$618,$C415,$D$2:$D$618,"Energy products",$E$2:$E$618,"Use",$G$2:$G$618,"&lt;&gt;STAT"),10),IF($J415="cambio de signo",-INDEX(DATOS_MODELO!$U$2:$U$3672,MATCH($H415,DATOS_MODELO!$B$2:$B$3672,0)),IF($J415="valor absoluto",ABS(INDEX(DATOS_MODELO!$U$2:$U$3672,MATCH($H415,DATOS_MODELO!$B$2:$B$3672,0))),INDEX(DATOS_MODELO!$U$2:$U$3672,MATCH($H415,DATOS_MODELO!$B$2:$B$3672,0))))))</f>
        <v>5742.0811</v>
      </c>
      <c r="L415" s="8" t="str">
        <f aca="false">IF(LEFT($H415,5)&lt;&gt;"STAT_","",IF(ABS($K415)&lt;=COUNTIFS($B$2:$B$618,$B415,$C$2:$C$618,$C415,$D$2:$D$618,"Energy products",$G$2:$G$618,"&lt;&gt;STAT")*PARAMETROS!$B$6,"redondeo","residuo_estadistico"))</f>
        <v/>
      </c>
      <c r="M415" s="8" t="str">
        <f>IF(OR($I415="USO_NO_ENERGETICO_APARENTE",$I415="USO_ENERGETICO_INTERNO_APARENTE"),"CAL",IF(LEFT($H415,5)="STAT_","FORMULA",IF(COUNTIF(DATOS_MODELO!$B$2:$B$3672,$H415)=1,"OK","REVISAR")))</f>
        <v>OK</v>
      </c>
    </row>
    <row r="416" customFormat="false" ht="15" hidden="false" customHeight="false" outlineLevel="0" collapsed="false">
      <c r="A416" s="4" t="s">
        <v>2909</v>
      </c>
      <c r="B416" s="12" t="n">
        <v>2020</v>
      </c>
      <c r="C416" s="4" t="s">
        <v>105</v>
      </c>
      <c r="D416" s="4" t="s">
        <v>1993</v>
      </c>
      <c r="E416" s="4" t="s">
        <v>2001</v>
      </c>
      <c r="F416" s="4" t="s">
        <v>2034</v>
      </c>
      <c r="G416" s="4" t="s">
        <v>74</v>
      </c>
      <c r="H416" s="4" t="s">
        <v>868</v>
      </c>
      <c r="I416" s="4" t="s">
        <v>2035</v>
      </c>
      <c r="J416" s="4" t="s">
        <v>2036</v>
      </c>
      <c r="K416" s="14">
        <f>IF(OR($I416="USO_NO_ENERGETICO_APARENTE",$I416="USO_ENERGETICO_INTERNO_APARENTE"),ROUND(SUMIFS($K$2:$K$618,$B$2:$B$618,$B416,$C$2:$C$618,$C416,$D$2:$D$618,"Energy products",$E$2:$E$618,"Supply",$G$2:$G$618,"&lt;&gt;STAT")-SUMIFS($K$2:$K$618,$B$2:$B$618,$B416,$C$2:$C$618,$C416,$D$2:$D$618,"Energy products",$E$2:$E$618,"Use",$G$2:$G$618,"&lt;&gt;STAT",$I$2:$I$618,"&lt;&gt;USO_NO_ENERGETICO_APARENTE",$I$2:$I$618,"&lt;&gt;USO_ENERGETICO_INTERNO_APARENTE"),10),IF(LEFT($H416,5)="STAT_",ROUND(SUMIFS($K$2:$K$618,$B$2:$B$618,$B416,$C$2:$C$618,$C416,$D$2:$D$618,"Energy products",$E$2:$E$618,"Supply",$G$2:$G$618,"&lt;&gt;STAT")-SUMIFS($K$2:$K$618,$B$2:$B$618,$B416,$C$2:$C$618,$C416,$D$2:$D$618,"Energy products",$E$2:$E$618,"Use",$G$2:$G$618,"&lt;&gt;STAT"),10),IF($J416="cambio de signo",-INDEX(DATOS_MODELO!$U$2:$U$3672,MATCH($H416,DATOS_MODELO!$B$2:$B$3672,0)),IF($J416="valor absoluto",ABS(INDEX(DATOS_MODELO!$U$2:$U$3672,MATCH($H416,DATOS_MODELO!$B$2:$B$3672,0))),INDEX(DATOS_MODELO!$U$2:$U$3672,MATCH($H416,DATOS_MODELO!$B$2:$B$3672,0))))))</f>
        <v>1712.1489</v>
      </c>
      <c r="L416" s="8" t="str">
        <f aca="false">IF(LEFT($H416,5)&lt;&gt;"STAT_","",IF(ABS($K416)&lt;=COUNTIFS($B$2:$B$618,$B416,$C$2:$C$618,$C416,$D$2:$D$618,"Energy products",$G$2:$G$618,"&lt;&gt;STAT")*PARAMETROS!$B$6,"redondeo","residuo_estadistico"))</f>
        <v/>
      </c>
      <c r="M416" s="8" t="str">
        <f>IF(OR($I416="USO_NO_ENERGETICO_APARENTE",$I416="USO_ENERGETICO_INTERNO_APARENTE"),"CAL",IF(LEFT($H416,5)="STAT_","FORMULA",IF(COUNTIF(DATOS_MODELO!$B$2:$B$3672,$H416)=1,"OK","REVISAR")))</f>
        <v>OK</v>
      </c>
    </row>
    <row r="417" customFormat="false" ht="15" hidden="false" customHeight="false" outlineLevel="0" collapsed="false">
      <c r="A417" s="4" t="s">
        <v>2911</v>
      </c>
      <c r="B417" s="12" t="n">
        <v>2020</v>
      </c>
      <c r="C417" s="4" t="s">
        <v>105</v>
      </c>
      <c r="D417" s="4" t="s">
        <v>1993</v>
      </c>
      <c r="E417" s="4" t="s">
        <v>2001</v>
      </c>
      <c r="F417" s="4" t="s">
        <v>2002</v>
      </c>
      <c r="G417" s="4" t="s">
        <v>71</v>
      </c>
      <c r="H417" s="4" t="s">
        <v>873</v>
      </c>
      <c r="I417" s="4" t="s">
        <v>2123</v>
      </c>
      <c r="J417" s="4" t="s">
        <v>1997</v>
      </c>
      <c r="K417" s="14">
        <f>IF(OR($I417="USO_NO_ENERGETICO_APARENTE",$I417="USO_ENERGETICO_INTERNO_APARENTE"),ROUND(SUMIFS($K$2:$K$618,$B$2:$B$618,$B417,$C$2:$C$618,$C417,$D$2:$D$618,"Energy products",$E$2:$E$618,"Supply",$G$2:$G$618,"&lt;&gt;STAT")-SUMIFS($K$2:$K$618,$B$2:$B$618,$B417,$C$2:$C$618,$C417,$D$2:$D$618,"Energy products",$E$2:$E$618,"Use",$G$2:$G$618,"&lt;&gt;STAT",$I$2:$I$618,"&lt;&gt;USO_NO_ENERGETICO_APARENTE",$I$2:$I$618,"&lt;&gt;USO_ENERGETICO_INTERNO_APARENTE"),10),IF(LEFT($H417,5)="STAT_",ROUND(SUMIFS($K$2:$K$618,$B$2:$B$618,$B417,$C$2:$C$618,$C417,$D$2:$D$618,"Energy products",$E$2:$E$618,"Supply",$G$2:$G$618,"&lt;&gt;STAT")-SUMIFS($K$2:$K$618,$B$2:$B$618,$B417,$C$2:$C$618,$C417,$D$2:$D$618,"Energy products",$E$2:$E$618,"Use",$G$2:$G$618,"&lt;&gt;STAT"),10),IF($J417="cambio de signo",-INDEX(DATOS_MODELO!$U$2:$U$3672,MATCH($H417,DATOS_MODELO!$B$2:$B$3672,0)),IF($J417="valor absoluto",ABS(INDEX(DATOS_MODELO!$U$2:$U$3672,MATCH($H417,DATOS_MODELO!$B$2:$B$3672,0))),INDEX(DATOS_MODELO!$U$2:$U$3672,MATCH($H417,DATOS_MODELO!$B$2:$B$3672,0))))))</f>
        <v>198.1791</v>
      </c>
      <c r="L417" s="8" t="str">
        <f aca="false">IF(LEFT($H417,5)&lt;&gt;"STAT_","",IF(ABS($K417)&lt;=COUNTIFS($B$2:$B$618,$B417,$C$2:$C$618,$C417,$D$2:$D$618,"Energy products",$G$2:$G$618,"&lt;&gt;STAT")*PARAMETROS!$B$6,"redondeo","residuo_estadistico"))</f>
        <v/>
      </c>
      <c r="M417" s="8" t="str">
        <f>IF(OR($I417="USO_NO_ENERGETICO_APARENTE",$I417="USO_ENERGETICO_INTERNO_APARENTE"),"CAL",IF(LEFT($H417,5)="STAT_","FORMULA",IF(COUNTIF(DATOS_MODELO!$B$2:$B$3672,$H417)=1,"OK","REVISAR")))</f>
        <v>OK</v>
      </c>
    </row>
    <row r="418" customFormat="false" ht="15" hidden="false" customHeight="false" outlineLevel="0" collapsed="false">
      <c r="A418" s="4" t="s">
        <v>2913</v>
      </c>
      <c r="B418" s="12" t="n">
        <v>2020</v>
      </c>
      <c r="C418" s="4" t="s">
        <v>105</v>
      </c>
      <c r="D418" s="4" t="s">
        <v>1993</v>
      </c>
      <c r="E418" s="4" t="s">
        <v>2001</v>
      </c>
      <c r="F418" s="4" t="s">
        <v>2074</v>
      </c>
      <c r="G418" s="4" t="s">
        <v>73</v>
      </c>
      <c r="H418" s="4" t="s">
        <v>874</v>
      </c>
      <c r="I418" s="4" t="s">
        <v>2075</v>
      </c>
      <c r="J418" s="4" t="s">
        <v>1997</v>
      </c>
      <c r="K418" s="14">
        <f>IF(OR($I418="USO_NO_ENERGETICO_APARENTE",$I418="USO_ENERGETICO_INTERNO_APARENTE"),ROUND(SUMIFS($K$2:$K$618,$B$2:$B$618,$B418,$C$2:$C$618,$C418,$D$2:$D$618,"Energy products",$E$2:$E$618,"Supply",$G$2:$G$618,"&lt;&gt;STAT")-SUMIFS($K$2:$K$618,$B$2:$B$618,$B418,$C$2:$C$618,$C418,$D$2:$D$618,"Energy products",$E$2:$E$618,"Use",$G$2:$G$618,"&lt;&gt;STAT",$I$2:$I$618,"&lt;&gt;USO_NO_ENERGETICO_APARENTE",$I$2:$I$618,"&lt;&gt;USO_ENERGETICO_INTERNO_APARENTE"),10),IF(LEFT($H418,5)="STAT_",ROUND(SUMIFS($K$2:$K$618,$B$2:$B$618,$B418,$C$2:$C$618,$C418,$D$2:$D$618,"Energy products",$E$2:$E$618,"Supply",$G$2:$G$618,"&lt;&gt;STAT")-SUMIFS($K$2:$K$618,$B$2:$B$618,$B418,$C$2:$C$618,$C418,$D$2:$D$618,"Energy products",$E$2:$E$618,"Use",$G$2:$G$618,"&lt;&gt;STAT"),10),IF($J418="cambio de signo",-INDEX(DATOS_MODELO!$U$2:$U$3672,MATCH($H418,DATOS_MODELO!$B$2:$B$3672,0)),IF($J418="valor absoluto",ABS(INDEX(DATOS_MODELO!$U$2:$U$3672,MATCH($H418,DATOS_MODELO!$B$2:$B$3672,0))),INDEX(DATOS_MODELO!$U$2:$U$3672,MATCH($H418,DATOS_MODELO!$B$2:$B$3672,0))))))</f>
        <v>15257.641</v>
      </c>
      <c r="L418" s="8" t="str">
        <f aca="false">IF(LEFT($H418,5)&lt;&gt;"STAT_","",IF(ABS($K418)&lt;=COUNTIFS($B$2:$B$618,$B418,$C$2:$C$618,$C418,$D$2:$D$618,"Energy products",$G$2:$G$618,"&lt;&gt;STAT")*PARAMETROS!$B$6,"redondeo","residuo_estadistico"))</f>
        <v/>
      </c>
      <c r="M418" s="8" t="str">
        <f>IF(OR($I418="USO_NO_ENERGETICO_APARENTE",$I418="USO_ENERGETICO_INTERNO_APARENTE"),"CAL",IF(LEFT($H418,5)="STAT_","FORMULA",IF(COUNTIF(DATOS_MODELO!$B$2:$B$3672,$H418)=1,"OK","REVISAR")))</f>
        <v>OK</v>
      </c>
    </row>
    <row r="419" customFormat="false" ht="15" hidden="false" customHeight="false" outlineLevel="0" collapsed="false">
      <c r="A419" s="4" t="s">
        <v>2915</v>
      </c>
      <c r="B419" s="12" t="n">
        <v>2020</v>
      </c>
      <c r="C419" s="4" t="s">
        <v>105</v>
      </c>
      <c r="D419" s="4" t="s">
        <v>1993</v>
      </c>
      <c r="E419" s="4" t="s">
        <v>2001</v>
      </c>
      <c r="F419" s="4" t="s">
        <v>2002</v>
      </c>
      <c r="G419" s="4" t="s">
        <v>72</v>
      </c>
      <c r="H419" s="4" t="s">
        <v>875</v>
      </c>
      <c r="I419" s="4" t="s">
        <v>2079</v>
      </c>
      <c r="J419" s="4" t="s">
        <v>1997</v>
      </c>
      <c r="K419" s="14">
        <f>IF(OR($I419="USO_NO_ENERGETICO_APARENTE",$I419="USO_ENERGETICO_INTERNO_APARENTE"),ROUND(SUMIFS($K$2:$K$618,$B$2:$B$618,$B419,$C$2:$C$618,$C419,$D$2:$D$618,"Energy products",$E$2:$E$618,"Supply",$G$2:$G$618,"&lt;&gt;STAT")-SUMIFS($K$2:$K$618,$B$2:$B$618,$B419,$C$2:$C$618,$C419,$D$2:$D$618,"Energy products",$E$2:$E$618,"Use",$G$2:$G$618,"&lt;&gt;STAT",$I$2:$I$618,"&lt;&gt;USO_NO_ENERGETICO_APARENTE",$I$2:$I$618,"&lt;&gt;USO_ENERGETICO_INTERNO_APARENTE"),10),IF(LEFT($H419,5)="STAT_",ROUND(SUMIFS($K$2:$K$618,$B$2:$B$618,$B419,$C$2:$C$618,$C419,$D$2:$D$618,"Energy products",$E$2:$E$618,"Supply",$G$2:$G$618,"&lt;&gt;STAT")-SUMIFS($K$2:$K$618,$B$2:$B$618,$B419,$C$2:$C$618,$C419,$D$2:$D$618,"Energy products",$E$2:$E$618,"Use",$G$2:$G$618,"&lt;&gt;STAT"),10),IF($J419="cambio de signo",-INDEX(DATOS_MODELO!$U$2:$U$3672,MATCH($H419,DATOS_MODELO!$B$2:$B$3672,0)),IF($J419="valor absoluto",ABS(INDEX(DATOS_MODELO!$U$2:$U$3672,MATCH($H419,DATOS_MODELO!$B$2:$B$3672,0))),INDEX(DATOS_MODELO!$U$2:$U$3672,MATCH($H419,DATOS_MODELO!$B$2:$B$3672,0))))))</f>
        <v>396.3001</v>
      </c>
      <c r="L419" s="8" t="str">
        <f aca="false">IF(LEFT($H419,5)&lt;&gt;"STAT_","",IF(ABS($K419)&lt;=COUNTIFS($B$2:$B$618,$B419,$C$2:$C$618,$C419,$D$2:$D$618,"Energy products",$G$2:$G$618,"&lt;&gt;STAT")*PARAMETROS!$B$6,"redondeo","residuo_estadistico"))</f>
        <v/>
      </c>
      <c r="M419" s="8" t="str">
        <f>IF(OR($I419="USO_NO_ENERGETICO_APARENTE",$I419="USO_ENERGETICO_INTERNO_APARENTE"),"CAL",IF(LEFT($H419,5)="STAT_","FORMULA",IF(COUNTIF(DATOS_MODELO!$B$2:$B$3672,$H419)=1,"OK","REVISAR")))</f>
        <v>OK</v>
      </c>
    </row>
    <row r="420" customFormat="false" ht="15" hidden="false" customHeight="false" outlineLevel="0" collapsed="false">
      <c r="A420" s="4" t="s">
        <v>2917</v>
      </c>
      <c r="B420" s="12" t="n">
        <v>2020</v>
      </c>
      <c r="C420" s="4" t="s">
        <v>105</v>
      </c>
      <c r="D420" s="4" t="s">
        <v>1993</v>
      </c>
      <c r="E420" s="4" t="s">
        <v>2001</v>
      </c>
      <c r="F420" s="4" t="s">
        <v>2002</v>
      </c>
      <c r="G420" s="4" t="s">
        <v>68</v>
      </c>
      <c r="H420" s="4" t="s">
        <v>876</v>
      </c>
      <c r="I420" s="4" t="s">
        <v>2111</v>
      </c>
      <c r="J420" s="4" t="s">
        <v>1997</v>
      </c>
      <c r="K420" s="14">
        <f>IF(OR($I420="USO_NO_ENERGETICO_APARENTE",$I420="USO_ENERGETICO_INTERNO_APARENTE"),ROUND(SUMIFS($K$2:$K$618,$B$2:$B$618,$B420,$C$2:$C$618,$C420,$D$2:$D$618,"Energy products",$E$2:$E$618,"Supply",$G$2:$G$618,"&lt;&gt;STAT")-SUMIFS($K$2:$K$618,$B$2:$B$618,$B420,$C$2:$C$618,$C420,$D$2:$D$618,"Energy products",$E$2:$E$618,"Use",$G$2:$G$618,"&lt;&gt;STAT",$I$2:$I$618,"&lt;&gt;USO_NO_ENERGETICO_APARENTE",$I$2:$I$618,"&lt;&gt;USO_ENERGETICO_INTERNO_APARENTE"),10),IF(LEFT($H420,5)="STAT_",ROUND(SUMIFS($K$2:$K$618,$B$2:$B$618,$B420,$C$2:$C$618,$C420,$D$2:$D$618,"Energy products",$E$2:$E$618,"Supply",$G$2:$G$618,"&lt;&gt;STAT")-SUMIFS($K$2:$K$618,$B$2:$B$618,$B420,$C$2:$C$618,$C420,$D$2:$D$618,"Energy products",$E$2:$E$618,"Use",$G$2:$G$618,"&lt;&gt;STAT"),10),IF($J420="cambio de signo",-INDEX(DATOS_MODELO!$U$2:$U$3672,MATCH($H420,DATOS_MODELO!$B$2:$B$3672,0)),IF($J420="valor absoluto",ABS(INDEX(DATOS_MODELO!$U$2:$U$3672,MATCH($H420,DATOS_MODELO!$B$2:$B$3672,0))),INDEX(DATOS_MODELO!$U$2:$U$3672,MATCH($H420,DATOS_MODELO!$B$2:$B$3672,0))))))</f>
        <v>3963.001</v>
      </c>
      <c r="L420" s="8" t="str">
        <f aca="false">IF(LEFT($H420,5)&lt;&gt;"STAT_","",IF(ABS($K420)&lt;=COUNTIFS($B$2:$B$618,$B420,$C$2:$C$618,$C420,$D$2:$D$618,"Energy products",$G$2:$G$618,"&lt;&gt;STAT")*PARAMETROS!$B$6,"redondeo","residuo_estadistico"))</f>
        <v/>
      </c>
      <c r="M420" s="8" t="str">
        <f>IF(OR($I420="USO_NO_ENERGETICO_APARENTE",$I420="USO_ENERGETICO_INTERNO_APARENTE"),"CAL",IF(LEFT($H420,5)="STAT_","FORMULA",IF(COUNTIF(DATOS_MODELO!$B$2:$B$3672,$H420)=1,"OK","REVISAR")))</f>
        <v>OK</v>
      </c>
    </row>
    <row r="421" customFormat="false" ht="15" hidden="false" customHeight="false" outlineLevel="0" collapsed="false">
      <c r="A421" s="4" t="s">
        <v>2919</v>
      </c>
      <c r="B421" s="12" t="n">
        <v>2020</v>
      </c>
      <c r="C421" s="4" t="s">
        <v>107</v>
      </c>
      <c r="D421" s="4" t="s">
        <v>1993</v>
      </c>
      <c r="E421" s="4" t="s">
        <v>1994</v>
      </c>
      <c r="F421" s="4" t="s">
        <v>2029</v>
      </c>
      <c r="G421" s="4" t="s">
        <v>69</v>
      </c>
      <c r="H421" s="4" t="s">
        <v>880</v>
      </c>
      <c r="I421" s="4" t="s">
        <v>2030</v>
      </c>
      <c r="J421" s="4" t="s">
        <v>1997</v>
      </c>
      <c r="K421" s="14">
        <f>IF(OR($I421="USO_NO_ENERGETICO_APARENTE",$I421="USO_ENERGETICO_INTERNO_APARENTE"),ROUND(SUMIFS($K$2:$K$618,$B$2:$B$618,$B421,$C$2:$C$618,$C421,$D$2:$D$618,"Energy products",$E$2:$E$618,"Supply",$G$2:$G$618,"&lt;&gt;STAT")-SUMIFS($K$2:$K$618,$B$2:$B$618,$B421,$C$2:$C$618,$C421,$D$2:$D$618,"Energy products",$E$2:$E$618,"Use",$G$2:$G$618,"&lt;&gt;STAT",$I$2:$I$618,"&lt;&gt;USO_NO_ENERGETICO_APARENTE",$I$2:$I$618,"&lt;&gt;USO_ENERGETICO_INTERNO_APARENTE"),10),IF(LEFT($H421,5)="STAT_",ROUND(SUMIFS($K$2:$K$618,$B$2:$B$618,$B421,$C$2:$C$618,$C421,$D$2:$D$618,"Energy products",$E$2:$E$618,"Supply",$G$2:$G$618,"&lt;&gt;STAT")-SUMIFS($K$2:$K$618,$B$2:$B$618,$B421,$C$2:$C$618,$C421,$D$2:$D$618,"Energy products",$E$2:$E$618,"Use",$G$2:$G$618,"&lt;&gt;STAT"),10),IF($J421="cambio de signo",-INDEX(DATOS_MODELO!$U$2:$U$3672,MATCH($H421,DATOS_MODELO!$B$2:$B$3672,0)),IF($J421="valor absoluto",ABS(INDEX(DATOS_MODELO!$U$2:$U$3672,MATCH($H421,DATOS_MODELO!$B$2:$B$3672,0))),INDEX(DATOS_MODELO!$U$2:$U$3672,MATCH($H421,DATOS_MODELO!$B$2:$B$3672,0))))))</f>
        <v>2369.7247</v>
      </c>
      <c r="L421" s="8" t="str">
        <f aca="false">IF(LEFT($H421,5)&lt;&gt;"STAT_","",IF(ABS($K421)&lt;=COUNTIFS($B$2:$B$618,$B421,$C$2:$C$618,$C421,$D$2:$D$618,"Energy products",$G$2:$G$618,"&lt;&gt;STAT")*PARAMETROS!$B$6,"redondeo","residuo_estadistico"))</f>
        <v/>
      </c>
      <c r="M421" s="8" t="str">
        <f>IF(OR($I421="USO_NO_ENERGETICO_APARENTE",$I421="USO_ENERGETICO_INTERNO_APARENTE"),"CAL",IF(LEFT($H421,5)="STAT_","FORMULA",IF(COUNTIF(DATOS_MODELO!$B$2:$B$3672,$H421)=1,"OK","REVISAR")))</f>
        <v>OK</v>
      </c>
    </row>
    <row r="422" customFormat="false" ht="15" hidden="false" customHeight="false" outlineLevel="0" collapsed="false">
      <c r="A422" s="4" t="s">
        <v>2921</v>
      </c>
      <c r="B422" s="12" t="n">
        <v>2020</v>
      </c>
      <c r="C422" s="4" t="s">
        <v>107</v>
      </c>
      <c r="D422" s="4" t="s">
        <v>1993</v>
      </c>
      <c r="E422" s="4" t="s">
        <v>2001</v>
      </c>
      <c r="F422" s="4" t="s">
        <v>2091</v>
      </c>
      <c r="G422" s="4" t="s">
        <v>69</v>
      </c>
      <c r="H422" s="4" t="s">
        <v>881</v>
      </c>
      <c r="I422" s="4" t="s">
        <v>2030</v>
      </c>
      <c r="J422" s="4" t="s">
        <v>1997</v>
      </c>
      <c r="K422" s="14">
        <f>IF(OR($I422="USO_NO_ENERGETICO_APARENTE",$I422="USO_ENERGETICO_INTERNO_APARENTE"),ROUND(SUMIFS($K$2:$K$618,$B$2:$B$618,$B422,$C$2:$C$618,$C422,$D$2:$D$618,"Energy products",$E$2:$E$618,"Supply",$G$2:$G$618,"&lt;&gt;STAT")-SUMIFS($K$2:$K$618,$B$2:$B$618,$B422,$C$2:$C$618,$C422,$D$2:$D$618,"Energy products",$E$2:$E$618,"Use",$G$2:$G$618,"&lt;&gt;STAT",$I$2:$I$618,"&lt;&gt;USO_NO_ENERGETICO_APARENTE",$I$2:$I$618,"&lt;&gt;USO_ENERGETICO_INTERNO_APARENTE"),10),IF(LEFT($H422,5)="STAT_",ROUND(SUMIFS($K$2:$K$618,$B$2:$B$618,$B422,$C$2:$C$618,$C422,$D$2:$D$618,"Energy products",$E$2:$E$618,"Supply",$G$2:$G$618,"&lt;&gt;STAT")-SUMIFS($K$2:$K$618,$B$2:$B$618,$B422,$C$2:$C$618,$C422,$D$2:$D$618,"Energy products",$E$2:$E$618,"Use",$G$2:$G$618,"&lt;&gt;STAT"),10),IF($J422="cambio de signo",-INDEX(DATOS_MODELO!$U$2:$U$3672,MATCH($H422,DATOS_MODELO!$B$2:$B$3672,0)),IF($J422="valor absoluto",ABS(INDEX(DATOS_MODELO!$U$2:$U$3672,MATCH($H422,DATOS_MODELO!$B$2:$B$3672,0))),INDEX(DATOS_MODELO!$U$2:$U$3672,MATCH($H422,DATOS_MODELO!$B$2:$B$3672,0))))))</f>
        <v>124.4502</v>
      </c>
      <c r="L422" s="8" t="str">
        <f aca="false">IF(LEFT($H422,5)&lt;&gt;"STAT_","",IF(ABS($K422)&lt;=COUNTIFS($B$2:$B$618,$B422,$C$2:$C$618,$C422,$D$2:$D$618,"Energy products",$G$2:$G$618,"&lt;&gt;STAT")*PARAMETROS!$B$6,"redondeo","residuo_estadistico"))</f>
        <v/>
      </c>
      <c r="M422" s="8" t="str">
        <f>IF(OR($I422="USO_NO_ENERGETICO_APARENTE",$I422="USO_ENERGETICO_INTERNO_APARENTE"),"CAL",IF(LEFT($H422,5)="STAT_","FORMULA",IF(COUNTIF(DATOS_MODELO!$B$2:$B$3672,$H422)=1,"OK","REVISAR")))</f>
        <v>OK</v>
      </c>
    </row>
    <row r="423" customFormat="false" ht="15" hidden="false" customHeight="false" outlineLevel="0" collapsed="false">
      <c r="A423" s="4" t="s">
        <v>2923</v>
      </c>
      <c r="B423" s="12" t="n">
        <v>2020</v>
      </c>
      <c r="C423" s="4" t="s">
        <v>107</v>
      </c>
      <c r="D423" s="4" t="s">
        <v>1993</v>
      </c>
      <c r="E423" s="4" t="s">
        <v>2001</v>
      </c>
      <c r="F423" s="4" t="s">
        <v>2034</v>
      </c>
      <c r="G423" s="4" t="s">
        <v>74</v>
      </c>
      <c r="H423" s="4" t="s">
        <v>882</v>
      </c>
      <c r="I423" s="4" t="s">
        <v>2035</v>
      </c>
      <c r="J423" s="4" t="s">
        <v>2036</v>
      </c>
      <c r="K423" s="14">
        <f>IF(OR($I423="USO_NO_ENERGETICO_APARENTE",$I423="USO_ENERGETICO_INTERNO_APARENTE"),ROUND(SUMIFS($K$2:$K$618,$B$2:$B$618,$B423,$C$2:$C$618,$C423,$D$2:$D$618,"Energy products",$E$2:$E$618,"Supply",$G$2:$G$618,"&lt;&gt;STAT")-SUMIFS($K$2:$K$618,$B$2:$B$618,$B423,$C$2:$C$618,$C423,$D$2:$D$618,"Energy products",$E$2:$E$618,"Use",$G$2:$G$618,"&lt;&gt;STAT",$I$2:$I$618,"&lt;&gt;USO_NO_ENERGETICO_APARENTE",$I$2:$I$618,"&lt;&gt;USO_ENERGETICO_INTERNO_APARENTE"),10),IF(LEFT($H423,5)="STAT_",ROUND(SUMIFS($K$2:$K$618,$B$2:$B$618,$B423,$C$2:$C$618,$C423,$D$2:$D$618,"Energy products",$E$2:$E$618,"Supply",$G$2:$G$618,"&lt;&gt;STAT")-SUMIFS($K$2:$K$618,$B$2:$B$618,$B423,$C$2:$C$618,$C423,$D$2:$D$618,"Energy products",$E$2:$E$618,"Use",$G$2:$G$618,"&lt;&gt;STAT"),10),IF($J423="cambio de signo",-INDEX(DATOS_MODELO!$U$2:$U$3672,MATCH($H423,DATOS_MODELO!$B$2:$B$3672,0)),IF($J423="valor absoluto",ABS(INDEX(DATOS_MODELO!$U$2:$U$3672,MATCH($H423,DATOS_MODELO!$B$2:$B$3672,0))),INDEX(DATOS_MODELO!$U$2:$U$3672,MATCH($H423,DATOS_MODELO!$B$2:$B$3672,0))))))</f>
        <v>178.5994</v>
      </c>
      <c r="L423" s="8" t="str">
        <f aca="false">IF(LEFT($H423,5)&lt;&gt;"STAT_","",IF(ABS($K423)&lt;=COUNTIFS($B$2:$B$618,$B423,$C$2:$C$618,$C423,$D$2:$D$618,"Energy products",$G$2:$G$618,"&lt;&gt;STAT")*PARAMETROS!$B$6,"redondeo","residuo_estadistico"))</f>
        <v/>
      </c>
      <c r="M423" s="8" t="str">
        <f>IF(OR($I423="USO_NO_ENERGETICO_APARENTE",$I423="USO_ENERGETICO_INTERNO_APARENTE"),"CAL",IF(LEFT($H423,5)="STAT_","FORMULA",IF(COUNTIF(DATOS_MODELO!$B$2:$B$3672,$H423)=1,"OK","REVISAR")))</f>
        <v>OK</v>
      </c>
    </row>
    <row r="424" customFormat="false" ht="15" hidden="false" customHeight="false" outlineLevel="0" collapsed="false">
      <c r="A424" s="4" t="s">
        <v>2925</v>
      </c>
      <c r="B424" s="12" t="n">
        <v>2020</v>
      </c>
      <c r="C424" s="4" t="s">
        <v>107</v>
      </c>
      <c r="D424" s="4" t="s">
        <v>1993</v>
      </c>
      <c r="E424" s="4" t="s">
        <v>2001</v>
      </c>
      <c r="F424" s="4" t="s">
        <v>2002</v>
      </c>
      <c r="G424" s="4" t="s">
        <v>71</v>
      </c>
      <c r="H424" s="4" t="s">
        <v>887</v>
      </c>
      <c r="I424" s="4" t="s">
        <v>2123</v>
      </c>
      <c r="J424" s="4" t="s">
        <v>1997</v>
      </c>
      <c r="K424" s="14">
        <f>IF(OR($I424="USO_NO_ENERGETICO_APARENTE",$I424="USO_ENERGETICO_INTERNO_APARENTE"),ROUND(SUMIFS($K$2:$K$618,$B$2:$B$618,$B424,$C$2:$C$618,$C424,$D$2:$D$618,"Energy products",$E$2:$E$618,"Supply",$G$2:$G$618,"&lt;&gt;STAT")-SUMIFS($K$2:$K$618,$B$2:$B$618,$B424,$C$2:$C$618,$C424,$D$2:$D$618,"Energy products",$E$2:$E$618,"Use",$G$2:$G$618,"&lt;&gt;STAT",$I$2:$I$618,"&lt;&gt;USO_NO_ENERGETICO_APARENTE",$I$2:$I$618,"&lt;&gt;USO_ENERGETICO_INTERNO_APARENTE"),10),IF(LEFT($H424,5)="STAT_",ROUND(SUMIFS($K$2:$K$618,$B$2:$B$618,$B424,$C$2:$C$618,$C424,$D$2:$D$618,"Energy products",$E$2:$E$618,"Supply",$G$2:$G$618,"&lt;&gt;STAT")-SUMIFS($K$2:$K$618,$B$2:$B$618,$B424,$C$2:$C$618,$C424,$D$2:$D$618,"Energy products",$E$2:$E$618,"Use",$G$2:$G$618,"&lt;&gt;STAT"),10),IF($J424="cambio de signo",-INDEX(DATOS_MODELO!$U$2:$U$3672,MATCH($H424,DATOS_MODELO!$B$2:$B$3672,0)),IF($J424="valor absoluto",ABS(INDEX(DATOS_MODELO!$U$2:$U$3672,MATCH($H424,DATOS_MODELO!$B$2:$B$3672,0))),INDEX(DATOS_MODELO!$U$2:$U$3672,MATCH($H424,DATOS_MODELO!$B$2:$B$3672,0))))))</f>
        <v>2048.606</v>
      </c>
      <c r="L424" s="8" t="str">
        <f aca="false">IF(LEFT($H424,5)&lt;&gt;"STAT_","",IF(ABS($K424)&lt;=COUNTIFS($B$2:$B$618,$B424,$C$2:$C$618,$C424,$D$2:$D$618,"Energy products",$G$2:$G$618,"&lt;&gt;STAT")*PARAMETROS!$B$6,"redondeo","residuo_estadistico"))</f>
        <v/>
      </c>
      <c r="M424" s="8" t="str">
        <f>IF(OR($I424="USO_NO_ENERGETICO_APARENTE",$I424="USO_ENERGETICO_INTERNO_APARENTE"),"CAL",IF(LEFT($H424,5)="STAT_","FORMULA",IF(COUNTIF(DATOS_MODELO!$B$2:$B$3672,$H424)=1,"OK","REVISAR")))</f>
        <v>OK</v>
      </c>
    </row>
    <row r="425" customFormat="false" ht="15" hidden="false" customHeight="false" outlineLevel="0" collapsed="false">
      <c r="A425" s="4" t="s">
        <v>2927</v>
      </c>
      <c r="B425" s="12" t="n">
        <v>2020</v>
      </c>
      <c r="C425" s="4" t="s">
        <v>107</v>
      </c>
      <c r="D425" s="4" t="s">
        <v>1993</v>
      </c>
      <c r="E425" s="4" t="s">
        <v>2001</v>
      </c>
      <c r="F425" s="4" t="s">
        <v>2074</v>
      </c>
      <c r="G425" s="4" t="s">
        <v>73</v>
      </c>
      <c r="H425" s="4" t="s">
        <v>888</v>
      </c>
      <c r="I425" s="4" t="s">
        <v>2075</v>
      </c>
      <c r="J425" s="4" t="s">
        <v>1997</v>
      </c>
      <c r="K425" s="14">
        <f>IF(OR($I425="USO_NO_ENERGETICO_APARENTE",$I425="USO_ENERGETICO_INTERNO_APARENTE"),ROUND(SUMIFS($K$2:$K$618,$B$2:$B$618,$B425,$C$2:$C$618,$C425,$D$2:$D$618,"Energy products",$E$2:$E$618,"Supply",$G$2:$G$618,"&lt;&gt;STAT")-SUMIFS($K$2:$K$618,$B$2:$B$618,$B425,$C$2:$C$618,$C425,$D$2:$D$618,"Energy products",$E$2:$E$618,"Use",$G$2:$G$618,"&lt;&gt;STAT",$I$2:$I$618,"&lt;&gt;USO_NO_ENERGETICO_APARENTE",$I$2:$I$618,"&lt;&gt;USO_ENERGETICO_INTERNO_APARENTE"),10),IF(LEFT($H425,5)="STAT_",ROUND(SUMIFS($K$2:$K$618,$B$2:$B$618,$B425,$C$2:$C$618,$C425,$D$2:$D$618,"Energy products",$E$2:$E$618,"Supply",$G$2:$G$618,"&lt;&gt;STAT")-SUMIFS($K$2:$K$618,$B$2:$B$618,$B425,$C$2:$C$618,$C425,$D$2:$D$618,"Energy products",$E$2:$E$618,"Use",$G$2:$G$618,"&lt;&gt;STAT"),10),IF($J425="cambio de signo",-INDEX(DATOS_MODELO!$U$2:$U$3672,MATCH($H425,DATOS_MODELO!$B$2:$B$3672,0)),IF($J425="valor absoluto",ABS(INDEX(DATOS_MODELO!$U$2:$U$3672,MATCH($H425,DATOS_MODELO!$B$2:$B$3672,0))),INDEX(DATOS_MODELO!$U$2:$U$3672,MATCH($H425,DATOS_MODELO!$B$2:$B$3672,0))))))</f>
        <v>15.1641</v>
      </c>
      <c r="L425" s="8" t="str">
        <f aca="false">IF(LEFT($H425,5)&lt;&gt;"STAT_","",IF(ABS($K425)&lt;=COUNTIFS($B$2:$B$618,$B425,$C$2:$C$618,$C425,$D$2:$D$618,"Energy products",$G$2:$G$618,"&lt;&gt;STAT")*PARAMETROS!$B$6,"redondeo","residuo_estadistico"))</f>
        <v/>
      </c>
      <c r="M425" s="8" t="str">
        <f>IF(OR($I425="USO_NO_ENERGETICO_APARENTE",$I425="USO_ENERGETICO_INTERNO_APARENTE"),"CAL",IF(LEFT($H425,5)="STAT_","FORMULA",IF(COUNTIF(DATOS_MODELO!$B$2:$B$3672,$H425)=1,"OK","REVISAR")))</f>
        <v>OK</v>
      </c>
    </row>
    <row r="426" customFormat="false" ht="15" hidden="false" customHeight="false" outlineLevel="0" collapsed="false">
      <c r="A426" s="4" t="s">
        <v>2929</v>
      </c>
      <c r="B426" s="12" t="n">
        <v>2020</v>
      </c>
      <c r="C426" s="4" t="s">
        <v>107</v>
      </c>
      <c r="D426" s="4" t="s">
        <v>1993</v>
      </c>
      <c r="E426" s="4" t="s">
        <v>2001</v>
      </c>
      <c r="F426" s="4" t="s">
        <v>2002</v>
      </c>
      <c r="G426" s="4" t="s">
        <v>72</v>
      </c>
      <c r="H426" s="4" t="s">
        <v>889</v>
      </c>
      <c r="I426" s="4" t="s">
        <v>2079</v>
      </c>
      <c r="J426" s="4" t="s">
        <v>1997</v>
      </c>
      <c r="K426" s="14">
        <f>IF(OR($I426="USO_NO_ENERGETICO_APARENTE",$I426="USO_ENERGETICO_INTERNO_APARENTE"),ROUND(SUMIFS($K$2:$K$618,$B$2:$B$618,$B426,$C$2:$C$618,$C426,$D$2:$D$618,"Energy products",$E$2:$E$618,"Supply",$G$2:$G$618,"&lt;&gt;STAT")-SUMIFS($K$2:$K$618,$B$2:$B$618,$B426,$C$2:$C$618,$C426,$D$2:$D$618,"Energy products",$E$2:$E$618,"Use",$G$2:$G$618,"&lt;&gt;STAT",$I$2:$I$618,"&lt;&gt;USO_NO_ENERGETICO_APARENTE",$I$2:$I$618,"&lt;&gt;USO_ENERGETICO_INTERNO_APARENTE"),10),IF(LEFT($H426,5)="STAT_",ROUND(SUMIFS($K$2:$K$618,$B$2:$B$618,$B426,$C$2:$C$618,$C426,$D$2:$D$618,"Energy products",$E$2:$E$618,"Supply",$G$2:$G$618,"&lt;&gt;STAT")-SUMIFS($K$2:$K$618,$B$2:$B$618,$B426,$C$2:$C$618,$C426,$D$2:$D$618,"Energy products",$E$2:$E$618,"Use",$G$2:$G$618,"&lt;&gt;STAT"),10),IF($J426="cambio de signo",-INDEX(DATOS_MODELO!$U$2:$U$3672,MATCH($H426,DATOS_MODELO!$B$2:$B$3672,0)),IF($J426="valor absoluto",ABS(INDEX(DATOS_MODELO!$U$2:$U$3672,MATCH($H426,DATOS_MODELO!$B$2:$B$3672,0))),INDEX(DATOS_MODELO!$U$2:$U$3672,MATCH($H426,DATOS_MODELO!$B$2:$B$3672,0))))))</f>
        <v>0.6972</v>
      </c>
      <c r="L426" s="8" t="str">
        <f aca="false">IF(LEFT($H426,5)&lt;&gt;"STAT_","",IF(ABS($K426)&lt;=COUNTIFS($B$2:$B$618,$B426,$C$2:$C$618,$C426,$D$2:$D$618,"Energy products",$G$2:$G$618,"&lt;&gt;STAT")*PARAMETROS!$B$6,"redondeo","residuo_estadistico"))</f>
        <v/>
      </c>
      <c r="M426" s="8" t="str">
        <f>IF(OR($I426="USO_NO_ENERGETICO_APARENTE",$I426="USO_ENERGETICO_INTERNO_APARENTE"),"CAL",IF(LEFT($H426,5)="STAT_","FORMULA",IF(COUNTIF(DATOS_MODELO!$B$2:$B$3672,$H426)=1,"OK","REVISAR")))</f>
        <v>OK</v>
      </c>
    </row>
    <row r="427" customFormat="false" ht="15" hidden="false" customHeight="false" outlineLevel="0" collapsed="false">
      <c r="A427" s="4" t="s">
        <v>2931</v>
      </c>
      <c r="B427" s="12" t="n">
        <v>2020</v>
      </c>
      <c r="C427" s="4" t="s">
        <v>107</v>
      </c>
      <c r="D427" s="4" t="s">
        <v>1993</v>
      </c>
      <c r="E427" s="4" t="s">
        <v>2001</v>
      </c>
      <c r="F427" s="4" t="s">
        <v>2002</v>
      </c>
      <c r="G427" s="4" t="s">
        <v>68</v>
      </c>
      <c r="H427" s="4" t="s">
        <v>890</v>
      </c>
      <c r="I427" s="4" t="s">
        <v>2111</v>
      </c>
      <c r="J427" s="4" t="s">
        <v>1997</v>
      </c>
      <c r="K427" s="14">
        <f>IF(OR($I427="USO_NO_ENERGETICO_APARENTE",$I427="USO_ENERGETICO_INTERNO_APARENTE"),ROUND(SUMIFS($K$2:$K$618,$B$2:$B$618,$B427,$C$2:$C$618,$C427,$D$2:$D$618,"Energy products",$E$2:$E$618,"Supply",$G$2:$G$618,"&lt;&gt;STAT")-SUMIFS($K$2:$K$618,$B$2:$B$618,$B427,$C$2:$C$618,$C427,$D$2:$D$618,"Energy products",$E$2:$E$618,"Use",$G$2:$G$618,"&lt;&gt;STAT",$I$2:$I$618,"&lt;&gt;USO_NO_ENERGETICO_APARENTE",$I$2:$I$618,"&lt;&gt;USO_ENERGETICO_INTERNO_APARENTE"),10),IF(LEFT($H427,5)="STAT_",ROUND(SUMIFS($K$2:$K$618,$B$2:$B$618,$B427,$C$2:$C$618,$C427,$D$2:$D$618,"Energy products",$E$2:$E$618,"Supply",$G$2:$G$618,"&lt;&gt;STAT")-SUMIFS($K$2:$K$618,$B$2:$B$618,$B427,$C$2:$C$618,$C427,$D$2:$D$618,"Energy products",$E$2:$E$618,"Use",$G$2:$G$618,"&lt;&gt;STAT"),10),IF($J427="cambio de signo",-INDEX(DATOS_MODELO!$U$2:$U$3672,MATCH($H427,DATOS_MODELO!$B$2:$B$3672,0)),IF($J427="valor absoluto",ABS(INDEX(DATOS_MODELO!$U$2:$U$3672,MATCH($H427,DATOS_MODELO!$B$2:$B$3672,0))),INDEX(DATOS_MODELO!$U$2:$U$3672,MATCH($H427,DATOS_MODELO!$B$2:$B$3672,0))))))</f>
        <v>2.1497</v>
      </c>
      <c r="L427" s="8" t="str">
        <f aca="false">IF(LEFT($H427,5)&lt;&gt;"STAT_","",IF(ABS($K427)&lt;=COUNTIFS($B$2:$B$618,$B427,$C$2:$C$618,$C427,$D$2:$D$618,"Energy products",$G$2:$G$618,"&lt;&gt;STAT")*PARAMETROS!$B$6,"redondeo","residuo_estadistico"))</f>
        <v/>
      </c>
      <c r="M427" s="8" t="str">
        <f>IF(OR($I427="USO_NO_ENERGETICO_APARENTE",$I427="USO_ENERGETICO_INTERNO_APARENTE"),"CAL",IF(LEFT($H427,5)="STAT_","FORMULA",IF(COUNTIF(DATOS_MODELO!$B$2:$B$3672,$H427)=1,"OK","REVISAR")))</f>
        <v>OK</v>
      </c>
    </row>
    <row r="428" customFormat="false" ht="15" hidden="false" customHeight="false" outlineLevel="0" collapsed="false">
      <c r="A428" s="4" t="s">
        <v>2933</v>
      </c>
      <c r="B428" s="12" t="n">
        <v>2020</v>
      </c>
      <c r="C428" s="4" t="s">
        <v>111</v>
      </c>
      <c r="D428" s="4" t="s">
        <v>1993</v>
      </c>
      <c r="E428" s="4" t="s">
        <v>1994</v>
      </c>
      <c r="F428" s="4" t="s">
        <v>2029</v>
      </c>
      <c r="G428" s="4" t="s">
        <v>69</v>
      </c>
      <c r="H428" s="4" t="s">
        <v>894</v>
      </c>
      <c r="I428" s="4" t="s">
        <v>2030</v>
      </c>
      <c r="J428" s="4" t="s">
        <v>1997</v>
      </c>
      <c r="K428" s="14">
        <f>IF(OR($I428="USO_NO_ENERGETICO_APARENTE",$I428="USO_ENERGETICO_INTERNO_APARENTE"),ROUND(SUMIFS($K$2:$K$618,$B$2:$B$618,$B428,$C$2:$C$618,$C428,$D$2:$D$618,"Energy products",$E$2:$E$618,"Supply",$G$2:$G$618,"&lt;&gt;STAT")-SUMIFS($K$2:$K$618,$B$2:$B$618,$B428,$C$2:$C$618,$C428,$D$2:$D$618,"Energy products",$E$2:$E$618,"Use",$G$2:$G$618,"&lt;&gt;STAT",$I$2:$I$618,"&lt;&gt;USO_NO_ENERGETICO_APARENTE",$I$2:$I$618,"&lt;&gt;USO_ENERGETICO_INTERNO_APARENTE"),10),IF(LEFT($H428,5)="STAT_",ROUND(SUMIFS($K$2:$K$618,$B$2:$B$618,$B428,$C$2:$C$618,$C428,$D$2:$D$618,"Energy products",$E$2:$E$618,"Supply",$G$2:$G$618,"&lt;&gt;STAT")-SUMIFS($K$2:$K$618,$B$2:$B$618,$B428,$C$2:$C$618,$C428,$D$2:$D$618,"Energy products",$E$2:$E$618,"Use",$G$2:$G$618,"&lt;&gt;STAT"),10),IF($J428="cambio de signo",-INDEX(DATOS_MODELO!$U$2:$U$3672,MATCH($H428,DATOS_MODELO!$B$2:$B$3672,0)),IF($J428="valor absoluto",ABS(INDEX(DATOS_MODELO!$U$2:$U$3672,MATCH($H428,DATOS_MODELO!$B$2:$B$3672,0))),INDEX(DATOS_MODELO!$U$2:$U$3672,MATCH($H428,DATOS_MODELO!$B$2:$B$3672,0))))))</f>
        <v>269.584</v>
      </c>
      <c r="L428" s="8" t="str">
        <f aca="false">IF(LEFT($H428,5)&lt;&gt;"STAT_","",IF(ABS($K428)&lt;=COUNTIFS($B$2:$B$618,$B428,$C$2:$C$618,$C428,$D$2:$D$618,"Energy products",$G$2:$G$618,"&lt;&gt;STAT")*PARAMETROS!$B$6,"redondeo","residuo_estadistico"))</f>
        <v/>
      </c>
      <c r="M428" s="8" t="str">
        <f>IF(OR($I428="USO_NO_ENERGETICO_APARENTE",$I428="USO_ENERGETICO_INTERNO_APARENTE"),"CAL",IF(LEFT($H428,5)="STAT_","FORMULA",IF(COUNTIF(DATOS_MODELO!$B$2:$B$3672,$H428)=1,"OK","REVISAR")))</f>
        <v>OK</v>
      </c>
    </row>
    <row r="429" customFormat="false" ht="15" hidden="false" customHeight="false" outlineLevel="0" collapsed="false">
      <c r="A429" s="4" t="s">
        <v>2935</v>
      </c>
      <c r="B429" s="12" t="n">
        <v>2020</v>
      </c>
      <c r="C429" s="4" t="s">
        <v>111</v>
      </c>
      <c r="D429" s="4" t="s">
        <v>1993</v>
      </c>
      <c r="E429" s="4" t="s">
        <v>2001</v>
      </c>
      <c r="F429" s="4" t="s">
        <v>2091</v>
      </c>
      <c r="G429" s="4" t="s">
        <v>69</v>
      </c>
      <c r="H429" s="4" t="s">
        <v>895</v>
      </c>
      <c r="I429" s="4" t="s">
        <v>2030</v>
      </c>
      <c r="J429" s="4" t="s">
        <v>1997</v>
      </c>
      <c r="K429" s="14">
        <f>IF(OR($I429="USO_NO_ENERGETICO_APARENTE",$I429="USO_ENERGETICO_INTERNO_APARENTE"),ROUND(SUMIFS($K$2:$K$618,$B$2:$B$618,$B429,$C$2:$C$618,$C429,$D$2:$D$618,"Energy products",$E$2:$E$618,"Supply",$G$2:$G$618,"&lt;&gt;STAT")-SUMIFS($K$2:$K$618,$B$2:$B$618,$B429,$C$2:$C$618,$C429,$D$2:$D$618,"Energy products",$E$2:$E$618,"Use",$G$2:$G$618,"&lt;&gt;STAT",$I$2:$I$618,"&lt;&gt;USO_NO_ENERGETICO_APARENTE",$I$2:$I$618,"&lt;&gt;USO_ENERGETICO_INTERNO_APARENTE"),10),IF(LEFT($H429,5)="STAT_",ROUND(SUMIFS($K$2:$K$618,$B$2:$B$618,$B429,$C$2:$C$618,$C429,$D$2:$D$618,"Energy products",$E$2:$E$618,"Supply",$G$2:$G$618,"&lt;&gt;STAT")-SUMIFS($K$2:$K$618,$B$2:$B$618,$B429,$C$2:$C$618,$C429,$D$2:$D$618,"Energy products",$E$2:$E$618,"Use",$G$2:$G$618,"&lt;&gt;STAT"),10),IF($J429="cambio de signo",-INDEX(DATOS_MODELO!$U$2:$U$3672,MATCH($H429,DATOS_MODELO!$B$2:$B$3672,0)),IF($J429="valor absoluto",ABS(INDEX(DATOS_MODELO!$U$2:$U$3672,MATCH($H429,DATOS_MODELO!$B$2:$B$3672,0))),INDEX(DATOS_MODELO!$U$2:$U$3672,MATCH($H429,DATOS_MODELO!$B$2:$B$3672,0))))))</f>
        <v>2183.8047</v>
      </c>
      <c r="L429" s="8" t="str">
        <f aca="false">IF(LEFT($H429,5)&lt;&gt;"STAT_","",IF(ABS($K429)&lt;=COUNTIFS($B$2:$B$618,$B429,$C$2:$C$618,$C429,$D$2:$D$618,"Energy products",$G$2:$G$618,"&lt;&gt;STAT")*PARAMETROS!$B$6,"redondeo","residuo_estadistico"))</f>
        <v/>
      </c>
      <c r="M429" s="8" t="str">
        <f>IF(OR($I429="USO_NO_ENERGETICO_APARENTE",$I429="USO_ENERGETICO_INTERNO_APARENTE"),"CAL",IF(LEFT($H429,5)="STAT_","FORMULA",IF(COUNTIF(DATOS_MODELO!$B$2:$B$3672,$H429)=1,"OK","REVISAR")))</f>
        <v>OK</v>
      </c>
    </row>
    <row r="430" customFormat="false" ht="15" hidden="false" customHeight="false" outlineLevel="0" collapsed="false">
      <c r="A430" s="4" t="s">
        <v>2937</v>
      </c>
      <c r="B430" s="12" t="n">
        <v>2020</v>
      </c>
      <c r="C430" s="4" t="s">
        <v>111</v>
      </c>
      <c r="D430" s="4" t="s">
        <v>1993</v>
      </c>
      <c r="E430" s="4" t="s">
        <v>2001</v>
      </c>
      <c r="F430" s="4" t="s">
        <v>2034</v>
      </c>
      <c r="G430" s="4" t="s">
        <v>74</v>
      </c>
      <c r="H430" s="4" t="s">
        <v>896</v>
      </c>
      <c r="I430" s="4" t="s">
        <v>2035</v>
      </c>
      <c r="J430" s="4" t="s">
        <v>2036</v>
      </c>
      <c r="K430" s="14">
        <f>IF(OR($I430="USO_NO_ENERGETICO_APARENTE",$I430="USO_ENERGETICO_INTERNO_APARENTE"),ROUND(SUMIFS($K$2:$K$618,$B$2:$B$618,$B430,$C$2:$C$618,$C430,$D$2:$D$618,"Energy products",$E$2:$E$618,"Supply",$G$2:$G$618,"&lt;&gt;STAT")-SUMIFS($K$2:$K$618,$B$2:$B$618,$B430,$C$2:$C$618,$C430,$D$2:$D$618,"Energy products",$E$2:$E$618,"Use",$G$2:$G$618,"&lt;&gt;STAT",$I$2:$I$618,"&lt;&gt;USO_NO_ENERGETICO_APARENTE",$I$2:$I$618,"&lt;&gt;USO_ENERGETICO_INTERNO_APARENTE"),10),IF(LEFT($H430,5)="STAT_",ROUND(SUMIFS($K$2:$K$618,$B$2:$B$618,$B430,$C$2:$C$618,$C430,$D$2:$D$618,"Energy products",$E$2:$E$618,"Supply",$G$2:$G$618,"&lt;&gt;STAT")-SUMIFS($K$2:$K$618,$B$2:$B$618,$B430,$C$2:$C$618,$C430,$D$2:$D$618,"Energy products",$E$2:$E$618,"Use",$G$2:$G$618,"&lt;&gt;STAT"),10),IF($J430="cambio de signo",-INDEX(DATOS_MODELO!$U$2:$U$3672,MATCH($H430,DATOS_MODELO!$B$2:$B$3672,0)),IF($J430="valor absoluto",ABS(INDEX(DATOS_MODELO!$U$2:$U$3672,MATCH($H430,DATOS_MODELO!$B$2:$B$3672,0))),INDEX(DATOS_MODELO!$U$2:$U$3672,MATCH($H430,DATOS_MODELO!$B$2:$B$3672,0))))))</f>
        <v>-14.7574</v>
      </c>
      <c r="L430" s="8" t="str">
        <f aca="false">IF(LEFT($H430,5)&lt;&gt;"STAT_","",IF(ABS($K430)&lt;=COUNTIFS($B$2:$B$618,$B430,$C$2:$C$618,$C430,$D$2:$D$618,"Energy products",$G$2:$G$618,"&lt;&gt;STAT")*PARAMETROS!$B$6,"redondeo","residuo_estadistico"))</f>
        <v/>
      </c>
      <c r="M430" s="8" t="str">
        <f>IF(OR($I430="USO_NO_ENERGETICO_APARENTE",$I430="USO_ENERGETICO_INTERNO_APARENTE"),"CAL",IF(LEFT($H430,5)="STAT_","FORMULA",IF(COUNTIF(DATOS_MODELO!$B$2:$B$3672,$H430)=1,"OK","REVISAR")))</f>
        <v>OK</v>
      </c>
    </row>
    <row r="431" customFormat="false" ht="15" hidden="false" customHeight="false" outlineLevel="0" collapsed="false">
      <c r="A431" s="4" t="s">
        <v>2939</v>
      </c>
      <c r="B431" s="12" t="n">
        <v>2020</v>
      </c>
      <c r="C431" s="4" t="s">
        <v>111</v>
      </c>
      <c r="D431" s="4" t="s">
        <v>1993</v>
      </c>
      <c r="E431" s="4" t="s">
        <v>1994</v>
      </c>
      <c r="F431" s="4" t="s">
        <v>1995</v>
      </c>
      <c r="G431" s="4" t="s">
        <v>67</v>
      </c>
      <c r="H431" s="4" t="s">
        <v>897</v>
      </c>
      <c r="I431" s="4" t="s">
        <v>2097</v>
      </c>
      <c r="J431" s="4" t="s">
        <v>1997</v>
      </c>
      <c r="K431" s="14">
        <f>IF(OR($I431="USO_NO_ENERGETICO_APARENTE",$I431="USO_ENERGETICO_INTERNO_APARENTE"),ROUND(SUMIFS($K$2:$K$618,$B$2:$B$618,$B431,$C$2:$C$618,$C431,$D$2:$D$618,"Energy products",$E$2:$E$618,"Supply",$G$2:$G$618,"&lt;&gt;STAT")-SUMIFS($K$2:$K$618,$B$2:$B$618,$B431,$C$2:$C$618,$C431,$D$2:$D$618,"Energy products",$E$2:$E$618,"Use",$G$2:$G$618,"&lt;&gt;STAT",$I$2:$I$618,"&lt;&gt;USO_NO_ENERGETICO_APARENTE",$I$2:$I$618,"&lt;&gt;USO_ENERGETICO_INTERNO_APARENTE"),10),IF(LEFT($H431,5)="STAT_",ROUND(SUMIFS($K$2:$K$618,$B$2:$B$618,$B431,$C$2:$C$618,$C431,$D$2:$D$618,"Energy products",$E$2:$E$618,"Supply",$G$2:$G$618,"&lt;&gt;STAT")-SUMIFS($K$2:$K$618,$B$2:$B$618,$B431,$C$2:$C$618,$C431,$D$2:$D$618,"Energy products",$E$2:$E$618,"Use",$G$2:$G$618,"&lt;&gt;STAT"),10),IF($J431="cambio de signo",-INDEX(DATOS_MODELO!$U$2:$U$3672,MATCH($H431,DATOS_MODELO!$B$2:$B$3672,0)),IF($J431="valor absoluto",ABS(INDEX(DATOS_MODELO!$U$2:$U$3672,MATCH($H431,DATOS_MODELO!$B$2:$B$3672,0))),INDEX(DATOS_MODELO!$U$2:$U$3672,MATCH($H431,DATOS_MODELO!$B$2:$B$3672,0))))))</f>
        <v>3861.326</v>
      </c>
      <c r="L431" s="8" t="str">
        <f aca="false">IF(LEFT($H431,5)&lt;&gt;"STAT_","",IF(ABS($K431)&lt;=COUNTIFS($B$2:$B$618,$B431,$C$2:$C$618,$C431,$D$2:$D$618,"Energy products",$G$2:$G$618,"&lt;&gt;STAT")*PARAMETROS!$B$6,"redondeo","residuo_estadistico"))</f>
        <v/>
      </c>
      <c r="M431" s="8" t="str">
        <f>IF(OR($I431="USO_NO_ENERGETICO_APARENTE",$I431="USO_ENERGETICO_INTERNO_APARENTE"),"CAL",IF(LEFT($H431,5)="STAT_","FORMULA",IF(COUNTIF(DATOS_MODELO!$B$2:$B$3672,$H431)=1,"OK","REVISAR")))</f>
        <v>OK</v>
      </c>
    </row>
    <row r="432" customFormat="false" ht="23.85" hidden="false" customHeight="false" outlineLevel="0" collapsed="false">
      <c r="A432" s="4" t="s">
        <v>2941</v>
      </c>
      <c r="B432" s="12" t="n">
        <v>2020</v>
      </c>
      <c r="C432" s="4" t="s">
        <v>91</v>
      </c>
      <c r="D432" s="4" t="s">
        <v>1993</v>
      </c>
      <c r="E432" s="4" t="s">
        <v>2001</v>
      </c>
      <c r="F432" s="4" t="s">
        <v>2218</v>
      </c>
      <c r="G432" s="4" t="s">
        <v>44</v>
      </c>
      <c r="H432" s="4" t="s">
        <v>2943</v>
      </c>
      <c r="I432" s="4" t="s">
        <v>2219</v>
      </c>
      <c r="J432" s="4" t="s">
        <v>2220</v>
      </c>
      <c r="K432" s="14">
        <f>IF(OR($I432="USO_NO_ENERGETICO_APARENTE",$I432="USO_ENERGETICO_INTERNO_APARENTE"),ROUND(SUMIFS($K$2:$K$618,$B$2:$B$618,$B432,$C$2:$C$618,$C432,$D$2:$D$618,"Energy products",$E$2:$E$618,"Supply",$G$2:$G$618,"&lt;&gt;STAT")-SUMIFS($K$2:$K$618,$B$2:$B$618,$B432,$C$2:$C$618,$C432,$D$2:$D$618,"Energy products",$E$2:$E$618,"Use",$G$2:$G$618,"&lt;&gt;STAT",$I$2:$I$618,"&lt;&gt;USO_NO_ENERGETICO_APARENTE",$I$2:$I$618,"&lt;&gt;USO_ENERGETICO_INTERNO_APARENTE"),10),IF(LEFT($H432,5)="STAT_",ROUND(SUMIFS($K$2:$K$618,$B$2:$B$618,$B432,$C$2:$C$618,$C432,$D$2:$D$618,"Energy products",$E$2:$E$618,"Supply",$G$2:$G$618,"&lt;&gt;STAT")-SUMIFS($K$2:$K$618,$B$2:$B$618,$B432,$C$2:$C$618,$C432,$D$2:$D$618,"Energy products",$E$2:$E$618,"Use",$G$2:$G$618,"&lt;&gt;STAT"),10),IF($J432="cambio de signo",-INDEX(DATOS_MODELO!$U$2:$U$3672,MATCH($H432,DATOS_MODELO!$B$2:$B$3672,0)),IF($J432="valor absoluto",ABS(INDEX(DATOS_MODELO!$U$2:$U$3672,MATCH($H432,DATOS_MODELO!$B$2:$B$3672,0))),INDEX(DATOS_MODELO!$U$2:$U$3672,MATCH($H432,DATOS_MODELO!$B$2:$B$3672,0))))))</f>
        <v>0.0581</v>
      </c>
      <c r="L432" s="8" t="str">
        <f aca="false">IF(LEFT($H432,5)&lt;&gt;"STAT_","",IF(ABS($K432)&lt;=COUNTIFS($B$2:$B$618,$B432,$C$2:$C$618,$C432,$D$2:$D$618,"Energy products",$G$2:$G$618,"&lt;&gt;STAT")*PARAMETROS!$B$6,"redondeo","residuo_estadistico"))</f>
        <v>redondeo</v>
      </c>
      <c r="M432" s="8" t="str">
        <f>IF(OR($I432="USO_NO_ENERGETICO_APARENTE",$I432="USO_ENERGETICO_INTERNO_APARENTE"),"CAL",IF(LEFT($H432,5)="STAT_","FORMULA",IF(COUNTIF(DATOS_MODELO!$B$2:$B$3672,$H432)=1,"OK","REVISAR")))</f>
        <v>FORMULA</v>
      </c>
    </row>
    <row r="433" customFormat="false" ht="23.85" hidden="false" customHeight="false" outlineLevel="0" collapsed="false">
      <c r="A433" s="4" t="s">
        <v>2944</v>
      </c>
      <c r="B433" s="12" t="n">
        <v>2020</v>
      </c>
      <c r="C433" s="4" t="s">
        <v>95</v>
      </c>
      <c r="D433" s="4" t="s">
        <v>1993</v>
      </c>
      <c r="E433" s="4" t="s">
        <v>2001</v>
      </c>
      <c r="F433" s="4" t="s">
        <v>2218</v>
      </c>
      <c r="G433" s="4" t="s">
        <v>44</v>
      </c>
      <c r="H433" s="4" t="s">
        <v>2946</v>
      </c>
      <c r="I433" s="4" t="s">
        <v>2219</v>
      </c>
      <c r="J433" s="4" t="s">
        <v>2220</v>
      </c>
      <c r="K433" s="14">
        <f>IF(OR($I433="USO_NO_ENERGETICO_APARENTE",$I433="USO_ENERGETICO_INTERNO_APARENTE"),ROUND(SUMIFS($K$2:$K$618,$B$2:$B$618,$B433,$C$2:$C$618,$C433,$D$2:$D$618,"Energy products",$E$2:$E$618,"Supply",$G$2:$G$618,"&lt;&gt;STAT")-SUMIFS($K$2:$K$618,$B$2:$B$618,$B433,$C$2:$C$618,$C433,$D$2:$D$618,"Energy products",$E$2:$E$618,"Use",$G$2:$G$618,"&lt;&gt;STAT",$I$2:$I$618,"&lt;&gt;USO_NO_ENERGETICO_APARENTE",$I$2:$I$618,"&lt;&gt;USO_ENERGETICO_INTERNO_APARENTE"),10),IF(LEFT($H433,5)="STAT_",ROUND(SUMIFS($K$2:$K$618,$B$2:$B$618,$B433,$C$2:$C$618,$C433,$D$2:$D$618,"Energy products",$E$2:$E$618,"Supply",$G$2:$G$618,"&lt;&gt;STAT")-SUMIFS($K$2:$K$618,$B$2:$B$618,$B433,$C$2:$C$618,$C433,$D$2:$D$618,"Energy products",$E$2:$E$618,"Use",$G$2:$G$618,"&lt;&gt;STAT"),10),IF($J433="cambio de signo",-INDEX(DATOS_MODELO!$U$2:$U$3672,MATCH($H433,DATOS_MODELO!$B$2:$B$3672,0)),IF($J433="valor absoluto",ABS(INDEX(DATOS_MODELO!$U$2:$U$3672,MATCH($H433,DATOS_MODELO!$B$2:$B$3672,0))),INDEX(DATOS_MODELO!$U$2:$U$3672,MATCH($H433,DATOS_MODELO!$B$2:$B$3672,0))))))</f>
        <v>-0.0581</v>
      </c>
      <c r="L433" s="8" t="str">
        <f aca="false">IF(LEFT($H433,5)&lt;&gt;"STAT_","",IF(ABS($K433)&lt;=COUNTIFS($B$2:$B$618,$B433,$C$2:$C$618,$C433,$D$2:$D$618,"Energy products",$G$2:$G$618,"&lt;&gt;STAT")*PARAMETROS!$B$6,"redondeo","residuo_estadistico"))</f>
        <v>redondeo</v>
      </c>
      <c r="M433" s="8" t="str">
        <f>IF(OR($I433="USO_NO_ENERGETICO_APARENTE",$I433="USO_ENERGETICO_INTERNO_APARENTE"),"CAL",IF(LEFT($H433,5)="STAT_","FORMULA",IF(COUNTIF(DATOS_MODELO!$B$2:$B$3672,$H433)=1,"OK","REVISAR")))</f>
        <v>FORMULA</v>
      </c>
    </row>
    <row r="434" customFormat="false" ht="23.85" hidden="false" customHeight="false" outlineLevel="0" collapsed="false">
      <c r="A434" s="4" t="s">
        <v>2947</v>
      </c>
      <c r="B434" s="12" t="n">
        <v>2020</v>
      </c>
      <c r="C434" s="4" t="s">
        <v>97</v>
      </c>
      <c r="D434" s="4" t="s">
        <v>1993</v>
      </c>
      <c r="E434" s="4" t="s">
        <v>2001</v>
      </c>
      <c r="F434" s="4" t="s">
        <v>2218</v>
      </c>
      <c r="G434" s="4" t="s">
        <v>44</v>
      </c>
      <c r="H434" s="4" t="s">
        <v>2949</v>
      </c>
      <c r="I434" s="4" t="s">
        <v>2219</v>
      </c>
      <c r="J434" s="4" t="s">
        <v>2220</v>
      </c>
      <c r="K434" s="14">
        <f>IF(OR($I434="USO_NO_ENERGETICO_APARENTE",$I434="USO_ENERGETICO_INTERNO_APARENTE"),ROUND(SUMIFS($K$2:$K$618,$B$2:$B$618,$B434,$C$2:$C$618,$C434,$D$2:$D$618,"Energy products",$E$2:$E$618,"Supply",$G$2:$G$618,"&lt;&gt;STAT")-SUMIFS($K$2:$K$618,$B$2:$B$618,$B434,$C$2:$C$618,$C434,$D$2:$D$618,"Energy products",$E$2:$E$618,"Use",$G$2:$G$618,"&lt;&gt;STAT",$I$2:$I$618,"&lt;&gt;USO_NO_ENERGETICO_APARENTE",$I$2:$I$618,"&lt;&gt;USO_ENERGETICO_INTERNO_APARENTE"),10),IF(LEFT($H434,5)="STAT_",ROUND(SUMIFS($K$2:$K$618,$B$2:$B$618,$B434,$C$2:$C$618,$C434,$D$2:$D$618,"Energy products",$E$2:$E$618,"Supply",$G$2:$G$618,"&lt;&gt;STAT")-SUMIFS($K$2:$K$618,$B$2:$B$618,$B434,$C$2:$C$618,$C434,$D$2:$D$618,"Energy products",$E$2:$E$618,"Use",$G$2:$G$618,"&lt;&gt;STAT"),10),IF($J434="cambio de signo",-INDEX(DATOS_MODELO!$U$2:$U$3672,MATCH($H434,DATOS_MODELO!$B$2:$B$3672,0)),IF($J434="valor absoluto",ABS(INDEX(DATOS_MODELO!$U$2:$U$3672,MATCH($H434,DATOS_MODELO!$B$2:$B$3672,0))),INDEX(DATOS_MODELO!$U$2:$U$3672,MATCH($H434,DATOS_MODELO!$B$2:$B$3672,0))))))</f>
        <v>-0.0581</v>
      </c>
      <c r="L434" s="8" t="str">
        <f aca="false">IF(LEFT($H434,5)&lt;&gt;"STAT_","",IF(ABS($K434)&lt;=COUNTIFS($B$2:$B$618,$B434,$C$2:$C$618,$C434,$D$2:$D$618,"Energy products",$G$2:$G$618,"&lt;&gt;STAT")*PARAMETROS!$B$6,"redondeo","residuo_estadistico"))</f>
        <v>redondeo</v>
      </c>
      <c r="M434" s="8" t="str">
        <f>IF(OR($I434="USO_NO_ENERGETICO_APARENTE",$I434="USO_ENERGETICO_INTERNO_APARENTE"),"CAL",IF(LEFT($H434,5)="STAT_","FORMULA",IF(COUNTIF(DATOS_MODELO!$B$2:$B$3672,$H434)=1,"OK","REVISAR")))</f>
        <v>FORMULA</v>
      </c>
    </row>
    <row r="435" customFormat="false" ht="23.85" hidden="false" customHeight="false" outlineLevel="0" collapsed="false">
      <c r="A435" s="4" t="s">
        <v>2950</v>
      </c>
      <c r="B435" s="12" t="n">
        <v>2020</v>
      </c>
      <c r="C435" s="4" t="s">
        <v>103</v>
      </c>
      <c r="D435" s="4" t="s">
        <v>1993</v>
      </c>
      <c r="E435" s="4" t="s">
        <v>2001</v>
      </c>
      <c r="F435" s="4" t="s">
        <v>2218</v>
      </c>
      <c r="G435" s="4" t="s">
        <v>44</v>
      </c>
      <c r="H435" s="4" t="s">
        <v>2952</v>
      </c>
      <c r="I435" s="4" t="s">
        <v>2219</v>
      </c>
      <c r="J435" s="4" t="s">
        <v>2220</v>
      </c>
      <c r="K435" s="14">
        <f>IF(OR($I435="USO_NO_ENERGETICO_APARENTE",$I435="USO_ENERGETICO_INTERNO_APARENTE"),ROUND(SUMIFS($K$2:$K$618,$B$2:$B$618,$B435,$C$2:$C$618,$C435,$D$2:$D$618,"Energy products",$E$2:$E$618,"Supply",$G$2:$G$618,"&lt;&gt;STAT")-SUMIFS($K$2:$K$618,$B$2:$B$618,$B435,$C$2:$C$618,$C435,$D$2:$D$618,"Energy products",$E$2:$E$618,"Use",$G$2:$G$618,"&lt;&gt;STAT",$I$2:$I$618,"&lt;&gt;USO_NO_ENERGETICO_APARENTE",$I$2:$I$618,"&lt;&gt;USO_ENERGETICO_INTERNO_APARENTE"),10),IF(LEFT($H435,5)="STAT_",ROUND(SUMIFS($K$2:$K$618,$B$2:$B$618,$B435,$C$2:$C$618,$C435,$D$2:$D$618,"Energy products",$E$2:$E$618,"Supply",$G$2:$G$618,"&lt;&gt;STAT")-SUMIFS($K$2:$K$618,$B$2:$B$618,$B435,$C$2:$C$618,$C435,$D$2:$D$618,"Energy products",$E$2:$E$618,"Use",$G$2:$G$618,"&lt;&gt;STAT"),10),IF($J435="cambio de signo",-INDEX(DATOS_MODELO!$U$2:$U$3672,MATCH($H435,DATOS_MODELO!$B$2:$B$3672,0)),IF($J435="valor absoluto",ABS(INDEX(DATOS_MODELO!$U$2:$U$3672,MATCH($H435,DATOS_MODELO!$B$2:$B$3672,0))),INDEX(DATOS_MODELO!$U$2:$U$3672,MATCH($H435,DATOS_MODELO!$B$2:$B$3672,0))))))</f>
        <v>0.0581</v>
      </c>
      <c r="L435" s="8" t="str">
        <f aca="false">IF(LEFT($H435,5)&lt;&gt;"STAT_","",IF(ABS($K435)&lt;=COUNTIFS($B$2:$B$618,$B435,$C$2:$C$618,$C435,$D$2:$D$618,"Energy products",$G$2:$G$618,"&lt;&gt;STAT")*PARAMETROS!$B$6,"redondeo","residuo_estadistico"))</f>
        <v>redondeo</v>
      </c>
      <c r="M435" s="8" t="str">
        <f>IF(OR($I435="USO_NO_ENERGETICO_APARENTE",$I435="USO_ENERGETICO_INTERNO_APARENTE"),"CAL",IF(LEFT($H435,5)="STAT_","FORMULA",IF(COUNTIF(DATOS_MODELO!$B$2:$B$3672,$H435)=1,"OK","REVISAR")))</f>
        <v>FORMULA</v>
      </c>
    </row>
    <row r="436" customFormat="false" ht="23.85" hidden="false" customHeight="false" outlineLevel="0" collapsed="false">
      <c r="A436" s="4" t="s">
        <v>2953</v>
      </c>
      <c r="B436" s="12" t="n">
        <v>2020</v>
      </c>
      <c r="C436" s="4" t="s">
        <v>105</v>
      </c>
      <c r="D436" s="4" t="s">
        <v>1993</v>
      </c>
      <c r="E436" s="4" t="s">
        <v>2001</v>
      </c>
      <c r="F436" s="4" t="s">
        <v>2218</v>
      </c>
      <c r="G436" s="4" t="s">
        <v>44</v>
      </c>
      <c r="H436" s="4" t="s">
        <v>2955</v>
      </c>
      <c r="I436" s="4" t="s">
        <v>2219</v>
      </c>
      <c r="J436" s="4" t="s">
        <v>2220</v>
      </c>
      <c r="K436" s="14">
        <f>IF(OR($I436="USO_NO_ENERGETICO_APARENTE",$I436="USO_ENERGETICO_INTERNO_APARENTE"),ROUND(SUMIFS($K$2:$K$618,$B$2:$B$618,$B436,$C$2:$C$618,$C436,$D$2:$D$618,"Energy products",$E$2:$E$618,"Supply",$G$2:$G$618,"&lt;&gt;STAT")-SUMIFS($K$2:$K$618,$B$2:$B$618,$B436,$C$2:$C$618,$C436,$D$2:$D$618,"Energy products",$E$2:$E$618,"Use",$G$2:$G$618,"&lt;&gt;STAT",$I$2:$I$618,"&lt;&gt;USO_NO_ENERGETICO_APARENTE",$I$2:$I$618,"&lt;&gt;USO_ENERGETICO_INTERNO_APARENTE"),10),IF(LEFT($H436,5)="STAT_",ROUND(SUMIFS($K$2:$K$618,$B$2:$B$618,$B436,$C$2:$C$618,$C436,$D$2:$D$618,"Energy products",$E$2:$E$618,"Supply",$G$2:$G$618,"&lt;&gt;STAT")-SUMIFS($K$2:$K$618,$B$2:$B$618,$B436,$C$2:$C$618,$C436,$D$2:$D$618,"Energy products",$E$2:$E$618,"Use",$G$2:$G$618,"&lt;&gt;STAT"),10),IF($J436="cambio de signo",-INDEX(DATOS_MODELO!$U$2:$U$3672,MATCH($H436,DATOS_MODELO!$B$2:$B$3672,0)),IF($J436="valor absoluto",ABS(INDEX(DATOS_MODELO!$U$2:$U$3672,MATCH($H436,DATOS_MODELO!$B$2:$B$3672,0))),INDEX(DATOS_MODELO!$U$2:$U$3672,MATCH($H436,DATOS_MODELO!$B$2:$B$3672,0))))))</f>
        <v>-0.0581</v>
      </c>
      <c r="L436" s="8" t="str">
        <f aca="false">IF(LEFT($H436,5)&lt;&gt;"STAT_","",IF(ABS($K436)&lt;=COUNTIFS($B$2:$B$618,$B436,$C$2:$C$618,$C436,$D$2:$D$618,"Energy products",$G$2:$G$618,"&lt;&gt;STAT")*PARAMETROS!$B$6,"redondeo","residuo_estadistico"))</f>
        <v>redondeo</v>
      </c>
      <c r="M436" s="8" t="str">
        <f>IF(OR($I436="USO_NO_ENERGETICO_APARENTE",$I436="USO_ENERGETICO_INTERNO_APARENTE"),"CAL",IF(LEFT($H436,5)="STAT_","FORMULA",IF(COUNTIF(DATOS_MODELO!$B$2:$B$3672,$H436)=1,"OK","REVISAR")))</f>
        <v>FORMULA</v>
      </c>
    </row>
    <row r="437" customFormat="false" ht="23.85" hidden="false" customHeight="false" outlineLevel="0" collapsed="false">
      <c r="A437" s="4" t="s">
        <v>2956</v>
      </c>
      <c r="B437" s="12" t="n">
        <v>2020</v>
      </c>
      <c r="C437" s="4" t="s">
        <v>107</v>
      </c>
      <c r="D437" s="4" t="s">
        <v>1993</v>
      </c>
      <c r="E437" s="4" t="s">
        <v>2001</v>
      </c>
      <c r="F437" s="4" t="s">
        <v>2218</v>
      </c>
      <c r="G437" s="4" t="s">
        <v>44</v>
      </c>
      <c r="H437" s="4" t="s">
        <v>2958</v>
      </c>
      <c r="I437" s="4" t="s">
        <v>2219</v>
      </c>
      <c r="J437" s="4" t="s">
        <v>2220</v>
      </c>
      <c r="K437" s="14">
        <f>IF(OR($I437="USO_NO_ENERGETICO_APARENTE",$I437="USO_ENERGETICO_INTERNO_APARENTE"),ROUND(SUMIFS($K$2:$K$618,$B$2:$B$618,$B437,$C$2:$C$618,$C437,$D$2:$D$618,"Energy products",$E$2:$E$618,"Supply",$G$2:$G$618,"&lt;&gt;STAT")-SUMIFS($K$2:$K$618,$B$2:$B$618,$B437,$C$2:$C$618,$C437,$D$2:$D$618,"Energy products",$E$2:$E$618,"Use",$G$2:$G$618,"&lt;&gt;STAT",$I$2:$I$618,"&lt;&gt;USO_NO_ENERGETICO_APARENTE",$I$2:$I$618,"&lt;&gt;USO_ENERGETICO_INTERNO_APARENTE"),10),IF(LEFT($H437,5)="STAT_",ROUND(SUMIFS($K$2:$K$618,$B$2:$B$618,$B437,$C$2:$C$618,$C437,$D$2:$D$618,"Energy products",$E$2:$E$618,"Supply",$G$2:$G$618,"&lt;&gt;STAT")-SUMIFS($K$2:$K$618,$B$2:$B$618,$B437,$C$2:$C$618,$C437,$D$2:$D$618,"Energy products",$E$2:$E$618,"Use",$G$2:$G$618,"&lt;&gt;STAT"),10),IF($J437="cambio de signo",-INDEX(DATOS_MODELO!$U$2:$U$3672,MATCH($H437,DATOS_MODELO!$B$2:$B$3672,0)),IF($J437="valor absoluto",ABS(INDEX(DATOS_MODELO!$U$2:$U$3672,MATCH($H437,DATOS_MODELO!$B$2:$B$3672,0))),INDEX(DATOS_MODELO!$U$2:$U$3672,MATCH($H437,DATOS_MODELO!$B$2:$B$3672,0))))))</f>
        <v>0.0581</v>
      </c>
      <c r="L437" s="8" t="str">
        <f aca="false">IF(LEFT($H437,5)&lt;&gt;"STAT_","",IF(ABS($K437)&lt;=COUNTIFS($B$2:$B$618,$B437,$C$2:$C$618,$C437,$D$2:$D$618,"Energy products",$G$2:$G$618,"&lt;&gt;STAT")*PARAMETROS!$B$6,"redondeo","residuo_estadistico"))</f>
        <v>redondeo</v>
      </c>
      <c r="M437" s="8" t="str">
        <f>IF(OR($I437="USO_NO_ENERGETICO_APARENTE",$I437="USO_ENERGETICO_INTERNO_APARENTE"),"CAL",IF(LEFT($H437,5)="STAT_","FORMULA",IF(COUNTIF(DATOS_MODELO!$B$2:$B$3672,$H437)=1,"OK","REVISAR")))</f>
        <v>FORMULA</v>
      </c>
    </row>
    <row r="438" customFormat="false" ht="23.85" hidden="false" customHeight="false" outlineLevel="0" collapsed="false">
      <c r="A438" s="4" t="s">
        <v>2959</v>
      </c>
      <c r="B438" s="12" t="n">
        <v>2020</v>
      </c>
      <c r="C438" s="4" t="s">
        <v>111</v>
      </c>
      <c r="D438" s="4" t="s">
        <v>1993</v>
      </c>
      <c r="E438" s="4" t="s">
        <v>2001</v>
      </c>
      <c r="F438" s="4" t="s">
        <v>2002</v>
      </c>
      <c r="G438" s="4" t="s">
        <v>41</v>
      </c>
      <c r="H438" s="4" t="s">
        <v>2961</v>
      </c>
      <c r="I438" s="4" t="s">
        <v>2228</v>
      </c>
      <c r="J438" s="4" t="s">
        <v>1997</v>
      </c>
      <c r="K438" s="14">
        <f>IF(OR($I438="USO_NO_ENERGETICO_APARENTE",$I438="USO_ENERGETICO_INTERNO_APARENTE"),ROUND(SUMIFS($K$2:$K$618,$B$2:$B$618,$B438,$C$2:$C$618,$C438,$D$2:$D$618,"Energy products",$E$2:$E$618,"Supply",$G$2:$G$618,"&lt;&gt;STAT")-SUMIFS($K$2:$K$618,$B$2:$B$618,$B438,$C$2:$C$618,$C438,$D$2:$D$618,"Energy products",$E$2:$E$618,"Use",$G$2:$G$618,"&lt;&gt;STAT",$I$2:$I$618,"&lt;&gt;USO_NO_ENERGETICO_APARENTE",$I$2:$I$618,"&lt;&gt;USO_ENERGETICO_INTERNO_APARENTE"),10),IF(LEFT($H438,5)="STAT_",ROUND(SUMIFS($K$2:$K$618,$B$2:$B$618,$B438,$C$2:$C$618,$C438,$D$2:$D$618,"Energy products",$E$2:$E$618,"Supply",$G$2:$G$618,"&lt;&gt;STAT")-SUMIFS($K$2:$K$618,$B$2:$B$618,$B438,$C$2:$C$618,$C438,$D$2:$D$618,"Energy products",$E$2:$E$618,"Use",$G$2:$G$618,"&lt;&gt;STAT"),10),IF($J438="cambio de signo",-INDEX(DATOS_MODELO!$U$2:$U$3672,MATCH($H438,DATOS_MODELO!$B$2:$B$3672,0)),IF($J438="valor absoluto",ABS(INDEX(DATOS_MODELO!$U$2:$U$3672,MATCH($H438,DATOS_MODELO!$B$2:$B$3672,0))),INDEX(DATOS_MODELO!$U$2:$U$3672,MATCH($H438,DATOS_MODELO!$B$2:$B$3672,0))))))</f>
        <v>1961.8627</v>
      </c>
      <c r="L438" s="8" t="str">
        <f aca="false">IF(LEFT($H438,5)&lt;&gt;"STAT_","",IF(ABS($K438)&lt;=COUNTIFS($B$2:$B$618,$B438,$C$2:$C$618,$C438,$D$2:$D$618,"Energy products",$G$2:$G$618,"&lt;&gt;STAT")*PARAMETROS!$B$6,"redondeo","residuo_estadistico"))</f>
        <v/>
      </c>
      <c r="M438" s="8" t="str">
        <f>IF(OR($I438="USO_NO_ENERGETICO_APARENTE",$I438="USO_ENERGETICO_INTERNO_APARENTE"),"CAL",IF(LEFT($H438,5)="STAT_","FORMULA",IF(COUNTIF(DATOS_MODELO!$B$2:$B$3672,$H438)=1,"OK","REVISAR")))</f>
        <v>CAL</v>
      </c>
    </row>
    <row r="439" customFormat="false" ht="15" hidden="false" customHeight="false" outlineLevel="0" collapsed="false">
      <c r="A439" s="4" t="s">
        <v>2962</v>
      </c>
      <c r="B439" s="12" t="n">
        <v>2019</v>
      </c>
      <c r="C439" s="4" t="s">
        <v>91</v>
      </c>
      <c r="D439" s="4" t="s">
        <v>1993</v>
      </c>
      <c r="E439" s="4" t="s">
        <v>1994</v>
      </c>
      <c r="F439" s="4" t="s">
        <v>1995</v>
      </c>
      <c r="G439" s="4" t="s">
        <v>68</v>
      </c>
      <c r="H439" s="4" t="s">
        <v>415</v>
      </c>
      <c r="I439" s="4" t="s">
        <v>1996</v>
      </c>
      <c r="J439" s="4" t="s">
        <v>1997</v>
      </c>
      <c r="K439" s="14">
        <f>IF(OR($I439="USO_NO_ENERGETICO_APARENTE",$I439="USO_ENERGETICO_INTERNO_APARENTE"),ROUND(SUMIFS($K$2:$K$618,$B$2:$B$618,$B439,$C$2:$C$618,$C439,$D$2:$D$618,"Energy products",$E$2:$E$618,"Supply",$G$2:$G$618,"&lt;&gt;STAT")-SUMIFS($K$2:$K$618,$B$2:$B$618,$B439,$C$2:$C$618,$C439,$D$2:$D$618,"Energy products",$E$2:$E$618,"Use",$G$2:$G$618,"&lt;&gt;STAT",$I$2:$I$618,"&lt;&gt;USO_NO_ENERGETICO_APARENTE",$I$2:$I$618,"&lt;&gt;USO_ENERGETICO_INTERNO_APARENTE"),10),IF(LEFT($H439,5)="STAT_",ROUND(SUMIFS($K$2:$K$618,$B$2:$B$618,$B439,$C$2:$C$618,$C439,$D$2:$D$618,"Energy products",$E$2:$E$618,"Supply",$G$2:$G$618,"&lt;&gt;STAT")-SUMIFS($K$2:$K$618,$B$2:$B$618,$B439,$C$2:$C$618,$C439,$D$2:$D$618,"Energy products",$E$2:$E$618,"Use",$G$2:$G$618,"&lt;&gt;STAT"),10),IF($J439="cambio de signo",-INDEX(DATOS_MODELO!$U$2:$U$3672,MATCH($H439,DATOS_MODELO!$B$2:$B$3672,0)),IF($J439="valor absoluto",ABS(INDEX(DATOS_MODELO!$U$2:$U$3672,MATCH($H439,DATOS_MODELO!$B$2:$B$3672,0))),INDEX(DATOS_MODELO!$U$2:$U$3672,MATCH($H439,DATOS_MODELO!$B$2:$B$3672,0))))))</f>
        <v>53062.4395</v>
      </c>
      <c r="L439" s="8" t="str">
        <f aca="false">IF(LEFT($H439,5)&lt;&gt;"STAT_","",IF(ABS($K439)&lt;=COUNTIFS($B$2:$B$618,$B439,$C$2:$C$618,$C439,$D$2:$D$618,"Energy products",$G$2:$G$618,"&lt;&gt;STAT")*PARAMETROS!$B$6,"redondeo","residuo_estadistico"))</f>
        <v/>
      </c>
      <c r="M439" s="8" t="str">
        <f>IF(OR($I439="USO_NO_ENERGETICO_APARENTE",$I439="USO_ENERGETICO_INTERNO_APARENTE"),"CAL",IF(LEFT($H439,5)="STAT_","FORMULA",IF(COUNTIF(DATOS_MODELO!$B$2:$B$3672,$H439)=1,"OK","REVISAR")))</f>
        <v>OK</v>
      </c>
    </row>
    <row r="440" customFormat="false" ht="15" hidden="false" customHeight="false" outlineLevel="0" collapsed="false">
      <c r="A440" s="4" t="s">
        <v>2964</v>
      </c>
      <c r="B440" s="12" t="n">
        <v>2019</v>
      </c>
      <c r="C440" s="4" t="s">
        <v>91</v>
      </c>
      <c r="D440" s="4" t="s">
        <v>1993</v>
      </c>
      <c r="E440" s="4" t="s">
        <v>2001</v>
      </c>
      <c r="F440" s="4" t="s">
        <v>2002</v>
      </c>
      <c r="G440" s="4" t="s">
        <v>67</v>
      </c>
      <c r="H440" s="4" t="s">
        <v>420</v>
      </c>
      <c r="I440" s="4" t="s">
        <v>2003</v>
      </c>
      <c r="J440" s="4" t="s">
        <v>2004</v>
      </c>
      <c r="K440" s="14">
        <f>IF(OR($I440="USO_NO_ENERGETICO_APARENTE",$I440="USO_ENERGETICO_INTERNO_APARENTE"),ROUND(SUMIFS($K$2:$K$618,$B$2:$B$618,$B440,$C$2:$C$618,$C440,$D$2:$D$618,"Energy products",$E$2:$E$618,"Supply",$G$2:$G$618,"&lt;&gt;STAT")-SUMIFS($K$2:$K$618,$B$2:$B$618,$B440,$C$2:$C$618,$C440,$D$2:$D$618,"Energy products",$E$2:$E$618,"Use",$G$2:$G$618,"&lt;&gt;STAT",$I$2:$I$618,"&lt;&gt;USO_NO_ENERGETICO_APARENTE",$I$2:$I$618,"&lt;&gt;USO_ENERGETICO_INTERNO_APARENTE"),10),IF(LEFT($H440,5)="STAT_",ROUND(SUMIFS($K$2:$K$618,$B$2:$B$618,$B440,$C$2:$C$618,$C440,$D$2:$D$618,"Energy products",$E$2:$E$618,"Supply",$G$2:$G$618,"&lt;&gt;STAT")-SUMIFS($K$2:$K$618,$B$2:$B$618,$B440,$C$2:$C$618,$C440,$D$2:$D$618,"Energy products",$E$2:$E$618,"Use",$G$2:$G$618,"&lt;&gt;STAT"),10),IF($J440="cambio de signo",-INDEX(DATOS_MODELO!$U$2:$U$3672,MATCH($H440,DATOS_MODELO!$B$2:$B$3672,0)),IF($J440="valor absoluto",ABS(INDEX(DATOS_MODELO!$U$2:$U$3672,MATCH($H440,DATOS_MODELO!$B$2:$B$3672,0))),INDEX(DATOS_MODELO!$U$2:$U$3672,MATCH($H440,DATOS_MODELO!$B$2:$B$3672,0))))))</f>
        <v>48577.41</v>
      </c>
      <c r="L440" s="8" t="str">
        <f aca="false">IF(LEFT($H440,5)&lt;&gt;"STAT_","",IF(ABS($K440)&lt;=COUNTIFS($B$2:$B$618,$B440,$C$2:$C$618,$C440,$D$2:$D$618,"Energy products",$G$2:$G$618,"&lt;&gt;STAT")*PARAMETROS!$B$6,"redondeo","residuo_estadistico"))</f>
        <v/>
      </c>
      <c r="M440" s="8" t="str">
        <f>IF(OR($I440="USO_NO_ENERGETICO_APARENTE",$I440="USO_ENERGETICO_INTERNO_APARENTE"),"CAL",IF(LEFT($H440,5)="STAT_","FORMULA",IF(COUNTIF(DATOS_MODELO!$B$2:$B$3672,$H440)=1,"OK","REVISAR")))</f>
        <v>OK</v>
      </c>
    </row>
    <row r="441" customFormat="false" ht="15" hidden="false" customHeight="false" outlineLevel="0" collapsed="false">
      <c r="A441" s="4" t="s">
        <v>2966</v>
      </c>
      <c r="B441" s="12" t="n">
        <v>2019</v>
      </c>
      <c r="C441" s="4" t="s">
        <v>91</v>
      </c>
      <c r="D441" s="4" t="s">
        <v>1993</v>
      </c>
      <c r="E441" s="4" t="s">
        <v>2001</v>
      </c>
      <c r="F441" s="4" t="s">
        <v>2002</v>
      </c>
      <c r="G441" s="4" t="s">
        <v>67</v>
      </c>
      <c r="H441" s="4" t="s">
        <v>421</v>
      </c>
      <c r="I441" s="4" t="s">
        <v>2008</v>
      </c>
      <c r="J441" s="4" t="s">
        <v>2004</v>
      </c>
      <c r="K441" s="14">
        <f>IF(OR($I441="USO_NO_ENERGETICO_APARENTE",$I441="USO_ENERGETICO_INTERNO_APARENTE"),ROUND(SUMIFS($K$2:$K$618,$B$2:$B$618,$B441,$C$2:$C$618,$C441,$D$2:$D$618,"Energy products",$E$2:$E$618,"Supply",$G$2:$G$618,"&lt;&gt;STAT")-SUMIFS($K$2:$K$618,$B$2:$B$618,$B441,$C$2:$C$618,$C441,$D$2:$D$618,"Energy products",$E$2:$E$618,"Use",$G$2:$G$618,"&lt;&gt;STAT",$I$2:$I$618,"&lt;&gt;USO_NO_ENERGETICO_APARENTE",$I$2:$I$618,"&lt;&gt;USO_ENERGETICO_INTERNO_APARENTE"),10),IF(LEFT($H441,5)="STAT_",ROUND(SUMIFS($K$2:$K$618,$B$2:$B$618,$B441,$C$2:$C$618,$C441,$D$2:$D$618,"Energy products",$E$2:$E$618,"Supply",$G$2:$G$618,"&lt;&gt;STAT")-SUMIFS($K$2:$K$618,$B$2:$B$618,$B441,$C$2:$C$618,$C441,$D$2:$D$618,"Energy products",$E$2:$E$618,"Use",$G$2:$G$618,"&lt;&gt;STAT"),10),IF($J441="cambio de signo",-INDEX(DATOS_MODELO!$U$2:$U$3672,MATCH($H441,DATOS_MODELO!$B$2:$B$3672,0)),IF($J441="valor absoluto",ABS(INDEX(DATOS_MODELO!$U$2:$U$3672,MATCH($H441,DATOS_MODELO!$B$2:$B$3672,0))),INDEX(DATOS_MODELO!$U$2:$U$3672,MATCH($H441,DATOS_MODELO!$B$2:$B$3672,0))))))</f>
        <v>4485.0295</v>
      </c>
      <c r="L441" s="8" t="str">
        <f aca="false">IF(LEFT($H441,5)&lt;&gt;"STAT_","",IF(ABS($K441)&lt;=COUNTIFS($B$2:$B$618,$B441,$C$2:$C$618,$C441,$D$2:$D$618,"Energy products",$G$2:$G$618,"&lt;&gt;STAT")*PARAMETROS!$B$6,"redondeo","residuo_estadistico"))</f>
        <v/>
      </c>
      <c r="M441" s="8" t="str">
        <f>IF(OR($I441="USO_NO_ENERGETICO_APARENTE",$I441="USO_ENERGETICO_INTERNO_APARENTE"),"CAL",IF(LEFT($H441,5)="STAT_","FORMULA",IF(COUNTIF(DATOS_MODELO!$B$2:$B$3672,$H441)=1,"OK","REVISAR")))</f>
        <v>OK</v>
      </c>
    </row>
    <row r="442" customFormat="false" ht="15" hidden="false" customHeight="false" outlineLevel="0" collapsed="false">
      <c r="A442" s="4" t="s">
        <v>2968</v>
      </c>
      <c r="B442" s="12" t="n">
        <v>2019</v>
      </c>
      <c r="C442" s="4" t="s">
        <v>93</v>
      </c>
      <c r="D442" s="4" t="s">
        <v>1993</v>
      </c>
      <c r="E442" s="4" t="s">
        <v>1994</v>
      </c>
      <c r="F442" s="4" t="s">
        <v>1995</v>
      </c>
      <c r="G442" s="4" t="s">
        <v>67</v>
      </c>
      <c r="H442" s="4" t="s">
        <v>429</v>
      </c>
      <c r="I442" s="4" t="s">
        <v>2012</v>
      </c>
      <c r="J442" s="4" t="s">
        <v>1997</v>
      </c>
      <c r="K442" s="14">
        <f>IF(OR($I442="USO_NO_ENERGETICO_APARENTE",$I442="USO_ENERGETICO_INTERNO_APARENTE"),ROUND(SUMIFS($K$2:$K$618,$B$2:$B$618,$B442,$C$2:$C$618,$C442,$D$2:$D$618,"Energy products",$E$2:$E$618,"Supply",$G$2:$G$618,"&lt;&gt;STAT")-SUMIFS($K$2:$K$618,$B$2:$B$618,$B442,$C$2:$C$618,$C442,$D$2:$D$618,"Energy products",$E$2:$E$618,"Use",$G$2:$G$618,"&lt;&gt;STAT",$I$2:$I$618,"&lt;&gt;USO_NO_ENERGETICO_APARENTE",$I$2:$I$618,"&lt;&gt;USO_ENERGETICO_INTERNO_APARENTE"),10),IF(LEFT($H442,5)="STAT_",ROUND(SUMIFS($K$2:$K$618,$B$2:$B$618,$B442,$C$2:$C$618,$C442,$D$2:$D$618,"Energy products",$E$2:$E$618,"Supply",$G$2:$G$618,"&lt;&gt;STAT")-SUMIFS($K$2:$K$618,$B$2:$B$618,$B442,$C$2:$C$618,$C442,$D$2:$D$618,"Energy products",$E$2:$E$618,"Use",$G$2:$G$618,"&lt;&gt;STAT"),10),IF($J442="cambio de signo",-INDEX(DATOS_MODELO!$U$2:$U$3672,MATCH($H442,DATOS_MODELO!$B$2:$B$3672,0)),IF($J442="valor absoluto",ABS(INDEX(DATOS_MODELO!$U$2:$U$3672,MATCH($H442,DATOS_MODELO!$B$2:$B$3672,0))),INDEX(DATOS_MODELO!$U$2:$U$3672,MATCH($H442,DATOS_MODELO!$B$2:$B$3672,0))))))</f>
        <v>312.7523</v>
      </c>
      <c r="L442" s="8" t="str">
        <f aca="false">IF(LEFT($H442,5)&lt;&gt;"STAT_","",IF(ABS($K442)&lt;=COUNTIFS($B$2:$B$618,$B442,$C$2:$C$618,$C442,$D$2:$D$618,"Energy products",$G$2:$G$618,"&lt;&gt;STAT")*PARAMETROS!$B$6,"redondeo","residuo_estadistico"))</f>
        <v/>
      </c>
      <c r="M442" s="8" t="str">
        <f>IF(OR($I442="USO_NO_ENERGETICO_APARENTE",$I442="USO_ENERGETICO_INTERNO_APARENTE"),"CAL",IF(LEFT($H442,5)="STAT_","FORMULA",IF(COUNTIF(DATOS_MODELO!$B$2:$B$3672,$H442)=1,"OK","REVISAR")))</f>
        <v>OK</v>
      </c>
    </row>
    <row r="443" customFormat="false" ht="15" hidden="false" customHeight="false" outlineLevel="0" collapsed="false">
      <c r="A443" s="4" t="s">
        <v>2970</v>
      </c>
      <c r="B443" s="12" t="n">
        <v>2019</v>
      </c>
      <c r="C443" s="4" t="s">
        <v>93</v>
      </c>
      <c r="D443" s="4" t="s">
        <v>1993</v>
      </c>
      <c r="E443" s="4" t="s">
        <v>2001</v>
      </c>
      <c r="F443" s="4" t="s">
        <v>2002</v>
      </c>
      <c r="G443" s="4" t="s">
        <v>67</v>
      </c>
      <c r="H443" s="4" t="s">
        <v>434</v>
      </c>
      <c r="I443" s="4" t="s">
        <v>2003</v>
      </c>
      <c r="J443" s="4" t="s">
        <v>2004</v>
      </c>
      <c r="K443" s="14">
        <f>IF(OR($I443="USO_NO_ENERGETICO_APARENTE",$I443="USO_ENERGETICO_INTERNO_APARENTE"),ROUND(SUMIFS($K$2:$K$618,$B$2:$B$618,$B443,$C$2:$C$618,$C443,$D$2:$D$618,"Energy products",$E$2:$E$618,"Supply",$G$2:$G$618,"&lt;&gt;STAT")-SUMIFS($K$2:$K$618,$B$2:$B$618,$B443,$C$2:$C$618,$C443,$D$2:$D$618,"Energy products",$E$2:$E$618,"Use",$G$2:$G$618,"&lt;&gt;STAT",$I$2:$I$618,"&lt;&gt;USO_NO_ENERGETICO_APARENTE",$I$2:$I$618,"&lt;&gt;USO_ENERGETICO_INTERNO_APARENTE"),10),IF(LEFT($H443,5)="STAT_",ROUND(SUMIFS($K$2:$K$618,$B$2:$B$618,$B443,$C$2:$C$618,$C443,$D$2:$D$618,"Energy products",$E$2:$E$618,"Supply",$G$2:$G$618,"&lt;&gt;STAT")-SUMIFS($K$2:$K$618,$B$2:$B$618,$B443,$C$2:$C$618,$C443,$D$2:$D$618,"Energy products",$E$2:$E$618,"Use",$G$2:$G$618,"&lt;&gt;STAT"),10),IF($J443="cambio de signo",-INDEX(DATOS_MODELO!$U$2:$U$3672,MATCH($H443,DATOS_MODELO!$B$2:$B$3672,0)),IF($J443="valor absoluto",ABS(INDEX(DATOS_MODELO!$U$2:$U$3672,MATCH($H443,DATOS_MODELO!$B$2:$B$3672,0))),INDEX(DATOS_MODELO!$U$2:$U$3672,MATCH($H443,DATOS_MODELO!$B$2:$B$3672,0))))))</f>
        <v>293.5793</v>
      </c>
      <c r="L443" s="8" t="str">
        <f aca="false">IF(LEFT($H443,5)&lt;&gt;"STAT_","",IF(ABS($K443)&lt;=COUNTIFS($B$2:$B$618,$B443,$C$2:$C$618,$C443,$D$2:$D$618,"Energy products",$G$2:$G$618,"&lt;&gt;STAT")*PARAMETROS!$B$6,"redondeo","residuo_estadistico"))</f>
        <v/>
      </c>
      <c r="M443" s="8" t="str">
        <f>IF(OR($I443="USO_NO_ENERGETICO_APARENTE",$I443="USO_ENERGETICO_INTERNO_APARENTE"),"CAL",IF(LEFT($H443,5)="STAT_","FORMULA",IF(COUNTIF(DATOS_MODELO!$B$2:$B$3672,$H443)=1,"OK","REVISAR")))</f>
        <v>OK</v>
      </c>
    </row>
    <row r="444" customFormat="false" ht="15" hidden="false" customHeight="false" outlineLevel="0" collapsed="false">
      <c r="A444" s="4" t="s">
        <v>2972</v>
      </c>
      <c r="B444" s="12" t="n">
        <v>2019</v>
      </c>
      <c r="C444" s="4" t="s">
        <v>93</v>
      </c>
      <c r="D444" s="4" t="s">
        <v>1993</v>
      </c>
      <c r="E444" s="4" t="s">
        <v>2001</v>
      </c>
      <c r="F444" s="4" t="s">
        <v>2002</v>
      </c>
      <c r="G444" s="4" t="s">
        <v>67</v>
      </c>
      <c r="H444" s="4" t="s">
        <v>435</v>
      </c>
      <c r="I444" s="4" t="s">
        <v>2008</v>
      </c>
      <c r="J444" s="4" t="s">
        <v>2004</v>
      </c>
      <c r="K444" s="14">
        <f>IF(OR($I444="USO_NO_ENERGETICO_APARENTE",$I444="USO_ENERGETICO_INTERNO_APARENTE"),ROUND(SUMIFS($K$2:$K$618,$B$2:$B$618,$B444,$C$2:$C$618,$C444,$D$2:$D$618,"Energy products",$E$2:$E$618,"Supply",$G$2:$G$618,"&lt;&gt;STAT")-SUMIFS($K$2:$K$618,$B$2:$B$618,$B444,$C$2:$C$618,$C444,$D$2:$D$618,"Energy products",$E$2:$E$618,"Use",$G$2:$G$618,"&lt;&gt;STAT",$I$2:$I$618,"&lt;&gt;USO_NO_ENERGETICO_APARENTE",$I$2:$I$618,"&lt;&gt;USO_ENERGETICO_INTERNO_APARENTE"),10),IF(LEFT($H444,5)="STAT_",ROUND(SUMIFS($K$2:$K$618,$B$2:$B$618,$B444,$C$2:$C$618,$C444,$D$2:$D$618,"Energy products",$E$2:$E$618,"Supply",$G$2:$G$618,"&lt;&gt;STAT")-SUMIFS($K$2:$K$618,$B$2:$B$618,$B444,$C$2:$C$618,$C444,$D$2:$D$618,"Energy products",$E$2:$E$618,"Use",$G$2:$G$618,"&lt;&gt;STAT"),10),IF($J444="cambio de signo",-INDEX(DATOS_MODELO!$U$2:$U$3672,MATCH($H444,DATOS_MODELO!$B$2:$B$3672,0)),IF($J444="valor absoluto",ABS(INDEX(DATOS_MODELO!$U$2:$U$3672,MATCH($H444,DATOS_MODELO!$B$2:$B$3672,0))),INDEX(DATOS_MODELO!$U$2:$U$3672,MATCH($H444,DATOS_MODELO!$B$2:$B$3672,0))))))</f>
        <v>19.173</v>
      </c>
      <c r="L444" s="8" t="str">
        <f aca="false">IF(LEFT($H444,5)&lt;&gt;"STAT_","",IF(ABS($K444)&lt;=COUNTIFS($B$2:$B$618,$B444,$C$2:$C$618,$C444,$D$2:$D$618,"Energy products",$G$2:$G$618,"&lt;&gt;STAT")*PARAMETROS!$B$6,"redondeo","residuo_estadistico"))</f>
        <v/>
      </c>
      <c r="M444" s="8" t="str">
        <f>IF(OR($I444="USO_NO_ENERGETICO_APARENTE",$I444="USO_ENERGETICO_INTERNO_APARENTE"),"CAL",IF(LEFT($H444,5)="STAT_","FORMULA",IF(COUNTIF(DATOS_MODELO!$B$2:$B$3672,$H444)=1,"OK","REVISAR")))</f>
        <v>OK</v>
      </c>
    </row>
    <row r="445" customFormat="false" ht="15" hidden="false" customHeight="false" outlineLevel="0" collapsed="false">
      <c r="A445" s="4" t="s">
        <v>2974</v>
      </c>
      <c r="B445" s="12" t="n">
        <v>2019</v>
      </c>
      <c r="C445" s="4" t="s">
        <v>76</v>
      </c>
      <c r="D445" s="4" t="s">
        <v>2018</v>
      </c>
      <c r="E445" s="4" t="s">
        <v>1994</v>
      </c>
      <c r="F445" s="4" t="s">
        <v>65</v>
      </c>
      <c r="G445" s="4" t="s">
        <v>64</v>
      </c>
      <c r="H445" s="4" t="s">
        <v>443</v>
      </c>
      <c r="I445" s="4" t="s">
        <v>2019</v>
      </c>
      <c r="J445" s="4" t="s">
        <v>1997</v>
      </c>
      <c r="K445" s="14">
        <f>IF(OR($I445="USO_NO_ENERGETICO_APARENTE",$I445="USO_ENERGETICO_INTERNO_APARENTE"),ROUND(SUMIFS($K$2:$K$618,$B$2:$B$618,$B445,$C$2:$C$618,$C445,$D$2:$D$618,"Energy products",$E$2:$E$618,"Supply",$G$2:$G$618,"&lt;&gt;STAT")-SUMIFS($K$2:$K$618,$B$2:$B$618,$B445,$C$2:$C$618,$C445,$D$2:$D$618,"Energy products",$E$2:$E$618,"Use",$G$2:$G$618,"&lt;&gt;STAT",$I$2:$I$618,"&lt;&gt;USO_NO_ENERGETICO_APARENTE",$I$2:$I$618,"&lt;&gt;USO_ENERGETICO_INTERNO_APARENTE"),10),IF(LEFT($H445,5)="STAT_",ROUND(SUMIFS($K$2:$K$618,$B$2:$B$618,$B445,$C$2:$C$618,$C445,$D$2:$D$618,"Energy products",$E$2:$E$618,"Supply",$G$2:$G$618,"&lt;&gt;STAT")-SUMIFS($K$2:$K$618,$B$2:$B$618,$B445,$C$2:$C$618,$C445,$D$2:$D$618,"Energy products",$E$2:$E$618,"Use",$G$2:$G$618,"&lt;&gt;STAT"),10),IF($J445="cambio de signo",-INDEX(DATOS_MODELO!$U$2:$U$3672,MATCH($H445,DATOS_MODELO!$B$2:$B$3672,0)),IF($J445="valor absoluto",ABS(INDEX(DATOS_MODELO!$U$2:$U$3672,MATCH($H445,DATOS_MODELO!$B$2:$B$3672,0))),INDEX(DATOS_MODELO!$U$2:$U$3672,MATCH($H445,DATOS_MODELO!$B$2:$B$3672,0))))))</f>
        <v>0.0</v>
      </c>
      <c r="L445" s="8" t="str">
        <f aca="false">IF(LEFT($H445,5)&lt;&gt;"STAT_","",IF(ABS($K445)&lt;=COUNTIFS($B$2:$B$618,$B445,$C$2:$C$618,$C445,$D$2:$D$618,"Energy products",$G$2:$G$618,"&lt;&gt;STAT")*PARAMETROS!$B$6,"redondeo","residuo_estadistico"))</f>
        <v/>
      </c>
      <c r="M445" s="8" t="str">
        <f>IF(OR($I445="USO_NO_ENERGETICO_APARENTE",$I445="USO_ENERGETICO_INTERNO_APARENTE"),"CAL",IF(LEFT($H445,5)="STAT_","FORMULA",IF(COUNTIF(DATOS_MODELO!$B$2:$B$3672,$H445)=1,"OK","REVISAR")))</f>
        <v>OK</v>
      </c>
    </row>
    <row r="446" customFormat="false" ht="15" hidden="false" customHeight="false" outlineLevel="0" collapsed="false">
      <c r="A446" s="4" t="s">
        <v>2976</v>
      </c>
      <c r="B446" s="12" t="n">
        <v>2019</v>
      </c>
      <c r="C446" s="4" t="s">
        <v>76</v>
      </c>
      <c r="D446" s="4" t="s">
        <v>2018</v>
      </c>
      <c r="E446" s="4" t="s">
        <v>2001</v>
      </c>
      <c r="F446" s="4" t="s">
        <v>66</v>
      </c>
      <c r="G446" s="4" t="s">
        <v>66</v>
      </c>
      <c r="H446" s="4" t="s">
        <v>443</v>
      </c>
      <c r="I446" s="4" t="s">
        <v>2019</v>
      </c>
      <c r="J446" s="4" t="s">
        <v>1997</v>
      </c>
      <c r="K446" s="14">
        <f>IF(OR($I446="USO_NO_ENERGETICO_APARENTE",$I446="USO_ENERGETICO_INTERNO_APARENTE"),ROUND(SUMIFS($K$2:$K$618,$B$2:$B$618,$B446,$C$2:$C$618,$C446,$D$2:$D$618,"Energy products",$E$2:$E$618,"Supply",$G$2:$G$618,"&lt;&gt;STAT")-SUMIFS($K$2:$K$618,$B$2:$B$618,$B446,$C$2:$C$618,$C446,$D$2:$D$618,"Energy products",$E$2:$E$618,"Use",$G$2:$G$618,"&lt;&gt;STAT",$I$2:$I$618,"&lt;&gt;USO_NO_ENERGETICO_APARENTE",$I$2:$I$618,"&lt;&gt;USO_ENERGETICO_INTERNO_APARENTE"),10),IF(LEFT($H446,5)="STAT_",ROUND(SUMIFS($K$2:$K$618,$B$2:$B$618,$B446,$C$2:$C$618,$C446,$D$2:$D$618,"Energy products",$E$2:$E$618,"Supply",$G$2:$G$618,"&lt;&gt;STAT")-SUMIFS($K$2:$K$618,$B$2:$B$618,$B446,$C$2:$C$618,$C446,$D$2:$D$618,"Energy products",$E$2:$E$618,"Use",$G$2:$G$618,"&lt;&gt;STAT"),10),IF($J446="cambio de signo",-INDEX(DATOS_MODELO!$U$2:$U$3672,MATCH($H446,DATOS_MODELO!$B$2:$B$3672,0)),IF($J446="valor absoluto",ABS(INDEX(DATOS_MODELO!$U$2:$U$3672,MATCH($H446,DATOS_MODELO!$B$2:$B$3672,0))),INDEX(DATOS_MODELO!$U$2:$U$3672,MATCH($H446,DATOS_MODELO!$B$2:$B$3672,0))))))</f>
        <v>0.0</v>
      </c>
      <c r="L446" s="8" t="str">
        <f aca="false">IF(LEFT($H446,5)&lt;&gt;"STAT_","",IF(ABS($K446)&lt;=COUNTIFS($B$2:$B$618,$B446,$C$2:$C$618,$C446,$D$2:$D$618,"Energy products",$G$2:$G$618,"&lt;&gt;STAT")*PARAMETROS!$B$6,"redondeo","residuo_estadistico"))</f>
        <v/>
      </c>
      <c r="M446" s="8" t="str">
        <f>IF(OR($I446="USO_NO_ENERGETICO_APARENTE",$I446="USO_ENERGETICO_INTERNO_APARENTE"),"CAL",IF(LEFT($H446,5)="STAT_","FORMULA",IF(COUNTIF(DATOS_MODELO!$B$2:$B$3672,$H446)=1,"OK","REVISAR")))</f>
        <v>OK</v>
      </c>
    </row>
    <row r="447" customFormat="false" ht="15" hidden="false" customHeight="false" outlineLevel="0" collapsed="false">
      <c r="A447" s="4" t="s">
        <v>2978</v>
      </c>
      <c r="B447" s="12" t="n">
        <v>2019</v>
      </c>
      <c r="C447" s="4" t="s">
        <v>76</v>
      </c>
      <c r="D447" s="4" t="s">
        <v>1993</v>
      </c>
      <c r="E447" s="4" t="s">
        <v>1994</v>
      </c>
      <c r="F447" s="4" t="s">
        <v>1995</v>
      </c>
      <c r="G447" s="4" t="s">
        <v>66</v>
      </c>
      <c r="H447" s="4" t="s">
        <v>443</v>
      </c>
      <c r="I447" s="4" t="s">
        <v>2019</v>
      </c>
      <c r="J447" s="4" t="s">
        <v>1997</v>
      </c>
      <c r="K447" s="14">
        <f>IF(OR($I447="USO_NO_ENERGETICO_APARENTE",$I447="USO_ENERGETICO_INTERNO_APARENTE"),ROUND(SUMIFS($K$2:$K$618,$B$2:$B$618,$B447,$C$2:$C$618,$C447,$D$2:$D$618,"Energy products",$E$2:$E$618,"Supply",$G$2:$G$618,"&lt;&gt;STAT")-SUMIFS($K$2:$K$618,$B$2:$B$618,$B447,$C$2:$C$618,$C447,$D$2:$D$618,"Energy products",$E$2:$E$618,"Use",$G$2:$G$618,"&lt;&gt;STAT",$I$2:$I$618,"&lt;&gt;USO_NO_ENERGETICO_APARENTE",$I$2:$I$618,"&lt;&gt;USO_ENERGETICO_INTERNO_APARENTE"),10),IF(LEFT($H447,5)="STAT_",ROUND(SUMIFS($K$2:$K$618,$B$2:$B$618,$B447,$C$2:$C$618,$C447,$D$2:$D$618,"Energy products",$E$2:$E$618,"Supply",$G$2:$G$618,"&lt;&gt;STAT")-SUMIFS($K$2:$K$618,$B$2:$B$618,$B447,$C$2:$C$618,$C447,$D$2:$D$618,"Energy products",$E$2:$E$618,"Use",$G$2:$G$618,"&lt;&gt;STAT"),10),IF($J447="cambio de signo",-INDEX(DATOS_MODELO!$U$2:$U$3672,MATCH($H447,DATOS_MODELO!$B$2:$B$3672,0)),IF($J447="valor absoluto",ABS(INDEX(DATOS_MODELO!$U$2:$U$3672,MATCH($H447,DATOS_MODELO!$B$2:$B$3672,0))),INDEX(DATOS_MODELO!$U$2:$U$3672,MATCH($H447,DATOS_MODELO!$B$2:$B$3672,0))))))</f>
        <v>0.0</v>
      </c>
      <c r="L447" s="8" t="str">
        <f aca="false">IF(LEFT($H447,5)&lt;&gt;"STAT_","",IF(ABS($K447)&lt;=COUNTIFS($B$2:$B$618,$B447,$C$2:$C$618,$C447,$D$2:$D$618,"Energy products",$G$2:$G$618,"&lt;&gt;STAT")*PARAMETROS!$B$6,"redondeo","residuo_estadistico"))</f>
        <v/>
      </c>
      <c r="M447" s="8" t="str">
        <f>IF(OR($I447="USO_NO_ENERGETICO_APARENTE",$I447="USO_ENERGETICO_INTERNO_APARENTE"),"CAL",IF(LEFT($H447,5)="STAT_","FORMULA",IF(COUNTIF(DATOS_MODELO!$B$2:$B$3672,$H447)=1,"OK","REVISAR")))</f>
        <v>OK</v>
      </c>
    </row>
    <row r="448" customFormat="false" ht="15" hidden="false" customHeight="false" outlineLevel="0" collapsed="false">
      <c r="A448" s="4" t="s">
        <v>2980</v>
      </c>
      <c r="B448" s="12" t="n">
        <v>2019</v>
      </c>
      <c r="C448" s="4" t="s">
        <v>76</v>
      </c>
      <c r="D448" s="4" t="s">
        <v>1993</v>
      </c>
      <c r="E448" s="4" t="s">
        <v>1994</v>
      </c>
      <c r="F448" s="4" t="s">
        <v>2029</v>
      </c>
      <c r="G448" s="4" t="s">
        <v>69</v>
      </c>
      <c r="H448" s="4" t="s">
        <v>444</v>
      </c>
      <c r="I448" s="4" t="s">
        <v>2030</v>
      </c>
      <c r="J448" s="4" t="s">
        <v>1997</v>
      </c>
      <c r="K448" s="14">
        <f>IF(OR($I448="USO_NO_ENERGETICO_APARENTE",$I448="USO_ENERGETICO_INTERNO_APARENTE"),ROUND(SUMIFS($K$2:$K$618,$B$2:$B$618,$B448,$C$2:$C$618,$C448,$D$2:$D$618,"Energy products",$E$2:$E$618,"Supply",$G$2:$G$618,"&lt;&gt;STAT")-SUMIFS($K$2:$K$618,$B$2:$B$618,$B448,$C$2:$C$618,$C448,$D$2:$D$618,"Energy products",$E$2:$E$618,"Use",$G$2:$G$618,"&lt;&gt;STAT",$I$2:$I$618,"&lt;&gt;USO_NO_ENERGETICO_APARENTE",$I$2:$I$618,"&lt;&gt;USO_ENERGETICO_INTERNO_APARENTE"),10),IF(LEFT($H448,5)="STAT_",ROUND(SUMIFS($K$2:$K$618,$B$2:$B$618,$B448,$C$2:$C$618,$C448,$D$2:$D$618,"Energy products",$E$2:$E$618,"Supply",$G$2:$G$618,"&lt;&gt;STAT")-SUMIFS($K$2:$K$618,$B$2:$B$618,$B448,$C$2:$C$618,$C448,$D$2:$D$618,"Energy products",$E$2:$E$618,"Use",$G$2:$G$618,"&lt;&gt;STAT"),10),IF($J448="cambio de signo",-INDEX(DATOS_MODELO!$U$2:$U$3672,MATCH($H448,DATOS_MODELO!$B$2:$B$3672,0)),IF($J448="valor absoluto",ABS(INDEX(DATOS_MODELO!$U$2:$U$3672,MATCH($H448,DATOS_MODELO!$B$2:$B$3672,0))),INDEX(DATOS_MODELO!$U$2:$U$3672,MATCH($H448,DATOS_MODELO!$B$2:$B$3672,0))))))</f>
        <v>74480.3073</v>
      </c>
      <c r="L448" s="8" t="str">
        <f aca="false">IF(LEFT($H448,5)&lt;&gt;"STAT_","",IF(ABS($K448)&lt;=COUNTIFS($B$2:$B$618,$B448,$C$2:$C$618,$C448,$D$2:$D$618,"Energy products",$G$2:$G$618,"&lt;&gt;STAT")*PARAMETROS!$B$6,"redondeo","residuo_estadistico"))</f>
        <v/>
      </c>
      <c r="M448" s="8" t="str">
        <f>IF(OR($I448="USO_NO_ENERGETICO_APARENTE",$I448="USO_ENERGETICO_INTERNO_APARENTE"),"CAL",IF(LEFT($H448,5)="STAT_","FORMULA",IF(COUNTIF(DATOS_MODELO!$B$2:$B$3672,$H448)=1,"OK","REVISAR")))</f>
        <v>OK</v>
      </c>
    </row>
    <row r="449" customFormat="false" ht="15" hidden="false" customHeight="false" outlineLevel="0" collapsed="false">
      <c r="A449" s="4" t="s">
        <v>2982</v>
      </c>
      <c r="B449" s="12" t="n">
        <v>2019</v>
      </c>
      <c r="C449" s="4" t="s">
        <v>76</v>
      </c>
      <c r="D449" s="4" t="s">
        <v>1993</v>
      </c>
      <c r="E449" s="4" t="s">
        <v>2001</v>
      </c>
      <c r="F449" s="4" t="s">
        <v>2034</v>
      </c>
      <c r="G449" s="4" t="s">
        <v>74</v>
      </c>
      <c r="H449" s="4" t="s">
        <v>446</v>
      </c>
      <c r="I449" s="4" t="s">
        <v>2035</v>
      </c>
      <c r="J449" s="4" t="s">
        <v>2036</v>
      </c>
      <c r="K449" s="14">
        <f>IF(OR($I449="USO_NO_ENERGETICO_APARENTE",$I449="USO_ENERGETICO_INTERNO_APARENTE"),ROUND(SUMIFS($K$2:$K$618,$B$2:$B$618,$B449,$C$2:$C$618,$C449,$D$2:$D$618,"Energy products",$E$2:$E$618,"Supply",$G$2:$G$618,"&lt;&gt;STAT")-SUMIFS($K$2:$K$618,$B$2:$B$618,$B449,$C$2:$C$618,$C449,$D$2:$D$618,"Energy products",$E$2:$E$618,"Use",$G$2:$G$618,"&lt;&gt;STAT",$I$2:$I$618,"&lt;&gt;USO_NO_ENERGETICO_APARENTE",$I$2:$I$618,"&lt;&gt;USO_ENERGETICO_INTERNO_APARENTE"),10),IF(LEFT($H449,5)="STAT_",ROUND(SUMIFS($K$2:$K$618,$B$2:$B$618,$B449,$C$2:$C$618,$C449,$D$2:$D$618,"Energy products",$E$2:$E$618,"Supply",$G$2:$G$618,"&lt;&gt;STAT")-SUMIFS($K$2:$K$618,$B$2:$B$618,$B449,$C$2:$C$618,$C449,$D$2:$D$618,"Energy products",$E$2:$E$618,"Use",$G$2:$G$618,"&lt;&gt;STAT"),10),IF($J449="cambio de signo",-INDEX(DATOS_MODELO!$U$2:$U$3672,MATCH($H449,DATOS_MODELO!$B$2:$B$3672,0)),IF($J449="valor absoluto",ABS(INDEX(DATOS_MODELO!$U$2:$U$3672,MATCH($H449,DATOS_MODELO!$B$2:$B$3672,0))),INDEX(DATOS_MODELO!$U$2:$U$3672,MATCH($H449,DATOS_MODELO!$B$2:$B$3672,0))))))</f>
        <v>23934.1788</v>
      </c>
      <c r="L449" s="8" t="str">
        <f aca="false">IF(LEFT($H449,5)&lt;&gt;"STAT_","",IF(ABS($K449)&lt;=COUNTIFS($B$2:$B$618,$B449,$C$2:$C$618,$C449,$D$2:$D$618,"Energy products",$G$2:$G$618,"&lt;&gt;STAT")*PARAMETROS!$B$6,"redondeo","residuo_estadistico"))</f>
        <v/>
      </c>
      <c r="M449" s="8" t="str">
        <f>IF(OR($I449="USO_NO_ENERGETICO_APARENTE",$I449="USO_ENERGETICO_INTERNO_APARENTE"),"CAL",IF(LEFT($H449,5)="STAT_","FORMULA",IF(COUNTIF(DATOS_MODELO!$B$2:$B$3672,$H449)=1,"OK","REVISAR")))</f>
        <v>OK</v>
      </c>
    </row>
    <row r="450" customFormat="false" ht="15" hidden="false" customHeight="false" outlineLevel="0" collapsed="false">
      <c r="A450" s="4" t="s">
        <v>2984</v>
      </c>
      <c r="B450" s="12" t="n">
        <v>2019</v>
      </c>
      <c r="C450" s="4" t="s">
        <v>76</v>
      </c>
      <c r="D450" s="4" t="s">
        <v>1993</v>
      </c>
      <c r="E450" s="4" t="s">
        <v>2001</v>
      </c>
      <c r="F450" s="4" t="s">
        <v>2002</v>
      </c>
      <c r="G450" s="4" t="s">
        <v>67</v>
      </c>
      <c r="H450" s="4" t="s">
        <v>448</v>
      </c>
      <c r="I450" s="4" t="s">
        <v>2003</v>
      </c>
      <c r="J450" s="4" t="s">
        <v>2004</v>
      </c>
      <c r="K450" s="14">
        <f>IF(OR($I450="USO_NO_ENERGETICO_APARENTE",$I450="USO_ENERGETICO_INTERNO_APARENTE"),ROUND(SUMIFS($K$2:$K$618,$B$2:$B$618,$B450,$C$2:$C$618,$C450,$D$2:$D$618,"Energy products",$E$2:$E$618,"Supply",$G$2:$G$618,"&lt;&gt;STAT")-SUMIFS($K$2:$K$618,$B$2:$B$618,$B450,$C$2:$C$618,$C450,$D$2:$D$618,"Energy products",$E$2:$E$618,"Use",$G$2:$G$618,"&lt;&gt;STAT",$I$2:$I$618,"&lt;&gt;USO_NO_ENERGETICO_APARENTE",$I$2:$I$618,"&lt;&gt;USO_ENERGETICO_INTERNO_APARENTE"),10),IF(LEFT($H450,5)="STAT_",ROUND(SUMIFS($K$2:$K$618,$B$2:$B$618,$B450,$C$2:$C$618,$C450,$D$2:$D$618,"Energy products",$E$2:$E$618,"Supply",$G$2:$G$618,"&lt;&gt;STAT")-SUMIFS($K$2:$K$618,$B$2:$B$618,$B450,$C$2:$C$618,$C450,$D$2:$D$618,"Energy products",$E$2:$E$618,"Use",$G$2:$G$618,"&lt;&gt;STAT"),10),IF($J450="cambio de signo",-INDEX(DATOS_MODELO!$U$2:$U$3672,MATCH($H450,DATOS_MODELO!$B$2:$B$3672,0)),IF($J450="valor absoluto",ABS(INDEX(DATOS_MODELO!$U$2:$U$3672,MATCH($H450,DATOS_MODELO!$B$2:$B$3672,0))),INDEX(DATOS_MODELO!$U$2:$U$3672,MATCH($H450,DATOS_MODELO!$B$2:$B$3672,0))))))</f>
        <v>50546.1285</v>
      </c>
      <c r="L450" s="8" t="str">
        <f aca="false">IF(LEFT($H450,5)&lt;&gt;"STAT_","",IF(ABS($K450)&lt;=COUNTIFS($B$2:$B$618,$B450,$C$2:$C$618,$C450,$D$2:$D$618,"Energy products",$G$2:$G$618,"&lt;&gt;STAT")*PARAMETROS!$B$6,"redondeo","residuo_estadistico"))</f>
        <v/>
      </c>
      <c r="M450" s="8" t="str">
        <f>IF(OR($I450="USO_NO_ENERGETICO_APARENTE",$I450="USO_ENERGETICO_INTERNO_APARENTE"),"CAL",IF(LEFT($H450,5)="STAT_","FORMULA",IF(COUNTIF(DATOS_MODELO!$B$2:$B$3672,$H450)=1,"OK","REVISAR")))</f>
        <v>OK</v>
      </c>
    </row>
    <row r="451" customFormat="false" ht="15" hidden="false" customHeight="false" outlineLevel="0" collapsed="false">
      <c r="A451" s="4" t="s">
        <v>2986</v>
      </c>
      <c r="B451" s="12" t="n">
        <v>2019</v>
      </c>
      <c r="C451" s="4" t="s">
        <v>78</v>
      </c>
      <c r="D451" s="4" t="s">
        <v>2018</v>
      </c>
      <c r="E451" s="4" t="s">
        <v>1994</v>
      </c>
      <c r="F451" s="4" t="s">
        <v>65</v>
      </c>
      <c r="G451" s="4" t="s">
        <v>64</v>
      </c>
      <c r="H451" s="4" t="s">
        <v>457</v>
      </c>
      <c r="I451" s="4" t="s">
        <v>2044</v>
      </c>
      <c r="J451" s="4" t="s">
        <v>1997</v>
      </c>
      <c r="K451" s="14">
        <f>IF(OR($I451="USO_NO_ENERGETICO_APARENTE",$I451="USO_ENERGETICO_INTERNO_APARENTE"),ROUND(SUMIFS($K$2:$K$618,$B$2:$B$618,$B451,$C$2:$C$618,$C451,$D$2:$D$618,"Energy products",$E$2:$E$618,"Supply",$G$2:$G$618,"&lt;&gt;STAT")-SUMIFS($K$2:$K$618,$B$2:$B$618,$B451,$C$2:$C$618,$C451,$D$2:$D$618,"Energy products",$E$2:$E$618,"Use",$G$2:$G$618,"&lt;&gt;STAT",$I$2:$I$618,"&lt;&gt;USO_NO_ENERGETICO_APARENTE",$I$2:$I$618,"&lt;&gt;USO_ENERGETICO_INTERNO_APARENTE"),10),IF(LEFT($H451,5)="STAT_",ROUND(SUMIFS($K$2:$K$618,$B$2:$B$618,$B451,$C$2:$C$618,$C451,$D$2:$D$618,"Energy products",$E$2:$E$618,"Supply",$G$2:$G$618,"&lt;&gt;STAT")-SUMIFS($K$2:$K$618,$B$2:$B$618,$B451,$C$2:$C$618,$C451,$D$2:$D$618,"Energy products",$E$2:$E$618,"Use",$G$2:$G$618,"&lt;&gt;STAT"),10),IF($J451="cambio de signo",-INDEX(DATOS_MODELO!$U$2:$U$3672,MATCH($H451,DATOS_MODELO!$B$2:$B$3672,0)),IF($J451="valor absoluto",ABS(INDEX(DATOS_MODELO!$U$2:$U$3672,MATCH($H451,DATOS_MODELO!$B$2:$B$3672,0))),INDEX(DATOS_MODELO!$U$2:$U$3672,MATCH($H451,DATOS_MODELO!$B$2:$B$3672,0))))))</f>
        <v>794.8661</v>
      </c>
      <c r="L451" s="8" t="str">
        <f aca="false">IF(LEFT($H451,5)&lt;&gt;"STAT_","",IF(ABS($K451)&lt;=COUNTIFS($B$2:$B$618,$B451,$C$2:$C$618,$C451,$D$2:$D$618,"Energy products",$G$2:$G$618,"&lt;&gt;STAT")*PARAMETROS!$B$6,"redondeo","residuo_estadistico"))</f>
        <v/>
      </c>
      <c r="M451" s="8" t="str">
        <f>IF(OR($I451="USO_NO_ENERGETICO_APARENTE",$I451="USO_ENERGETICO_INTERNO_APARENTE"),"CAL",IF(LEFT($H451,5)="STAT_","FORMULA",IF(COUNTIF(DATOS_MODELO!$B$2:$B$3672,$H451)=1,"OK","REVISAR")))</f>
        <v>OK</v>
      </c>
    </row>
    <row r="452" customFormat="false" ht="15" hidden="false" customHeight="false" outlineLevel="0" collapsed="false">
      <c r="A452" s="4" t="s">
        <v>2988</v>
      </c>
      <c r="B452" s="12" t="n">
        <v>2019</v>
      </c>
      <c r="C452" s="4" t="s">
        <v>78</v>
      </c>
      <c r="D452" s="4" t="s">
        <v>2018</v>
      </c>
      <c r="E452" s="4" t="s">
        <v>2001</v>
      </c>
      <c r="F452" s="4" t="s">
        <v>66</v>
      </c>
      <c r="G452" s="4" t="s">
        <v>67</v>
      </c>
      <c r="H452" s="4" t="s">
        <v>462</v>
      </c>
      <c r="I452" s="4" t="s">
        <v>2003</v>
      </c>
      <c r="J452" s="4" t="s">
        <v>2004</v>
      </c>
      <c r="K452" s="14">
        <f>IF(OR($I452="USO_NO_ENERGETICO_APARENTE",$I452="USO_ENERGETICO_INTERNO_APARENTE"),ROUND(SUMIFS($K$2:$K$618,$B$2:$B$618,$B452,$C$2:$C$618,$C452,$D$2:$D$618,"Energy products",$E$2:$E$618,"Supply",$G$2:$G$618,"&lt;&gt;STAT")-SUMIFS($K$2:$K$618,$B$2:$B$618,$B452,$C$2:$C$618,$C452,$D$2:$D$618,"Energy products",$E$2:$E$618,"Use",$G$2:$G$618,"&lt;&gt;STAT",$I$2:$I$618,"&lt;&gt;USO_NO_ENERGETICO_APARENTE",$I$2:$I$618,"&lt;&gt;USO_ENERGETICO_INTERNO_APARENTE"),10),IF(LEFT($H452,5)="STAT_",ROUND(SUMIFS($K$2:$K$618,$B$2:$B$618,$B452,$C$2:$C$618,$C452,$D$2:$D$618,"Energy products",$E$2:$E$618,"Supply",$G$2:$G$618,"&lt;&gt;STAT")-SUMIFS($K$2:$K$618,$B$2:$B$618,$B452,$C$2:$C$618,$C452,$D$2:$D$618,"Energy products",$E$2:$E$618,"Use",$G$2:$G$618,"&lt;&gt;STAT"),10),IF($J452="cambio de signo",-INDEX(DATOS_MODELO!$U$2:$U$3672,MATCH($H452,DATOS_MODELO!$B$2:$B$3672,0)),IF($J452="valor absoluto",ABS(INDEX(DATOS_MODELO!$U$2:$U$3672,MATCH($H452,DATOS_MODELO!$B$2:$B$3672,0))),INDEX(DATOS_MODELO!$U$2:$U$3672,MATCH($H452,DATOS_MODELO!$B$2:$B$3672,0))))))</f>
        <v>794.8661</v>
      </c>
      <c r="L452" s="8" t="str">
        <f aca="false">IF(LEFT($H452,5)&lt;&gt;"STAT_","",IF(ABS($K452)&lt;=COUNTIFS($B$2:$B$618,$B452,$C$2:$C$618,$C452,$D$2:$D$618,"Energy products",$G$2:$G$618,"&lt;&gt;STAT")*PARAMETROS!$B$6,"redondeo","residuo_estadistico"))</f>
        <v/>
      </c>
      <c r="M452" s="8" t="str">
        <f>IF(OR($I452="USO_NO_ENERGETICO_APARENTE",$I452="USO_ENERGETICO_INTERNO_APARENTE"),"CAL",IF(LEFT($H452,5)="STAT_","FORMULA",IF(COUNTIF(DATOS_MODELO!$B$2:$B$3672,$H452)=1,"OK","REVISAR")))</f>
        <v>OK</v>
      </c>
    </row>
    <row r="453" customFormat="false" ht="15" hidden="false" customHeight="false" outlineLevel="0" collapsed="false">
      <c r="A453" s="4" t="s">
        <v>2990</v>
      </c>
      <c r="B453" s="12" t="n">
        <v>2019</v>
      </c>
      <c r="C453" s="4" t="s">
        <v>80</v>
      </c>
      <c r="D453" s="4" t="s">
        <v>2018</v>
      </c>
      <c r="E453" s="4" t="s">
        <v>1994</v>
      </c>
      <c r="F453" s="4" t="s">
        <v>65</v>
      </c>
      <c r="G453" s="4" t="s">
        <v>64</v>
      </c>
      <c r="H453" s="4" t="s">
        <v>471</v>
      </c>
      <c r="I453" s="4" t="s">
        <v>2044</v>
      </c>
      <c r="J453" s="4" t="s">
        <v>1997</v>
      </c>
      <c r="K453" s="14">
        <f>IF(OR($I453="USO_NO_ENERGETICO_APARENTE",$I453="USO_ENERGETICO_INTERNO_APARENTE"),ROUND(SUMIFS($K$2:$K$618,$B$2:$B$618,$B453,$C$2:$C$618,$C453,$D$2:$D$618,"Energy products",$E$2:$E$618,"Supply",$G$2:$G$618,"&lt;&gt;STAT")-SUMIFS($K$2:$K$618,$B$2:$B$618,$B453,$C$2:$C$618,$C453,$D$2:$D$618,"Energy products",$E$2:$E$618,"Use",$G$2:$G$618,"&lt;&gt;STAT",$I$2:$I$618,"&lt;&gt;USO_NO_ENERGETICO_APARENTE",$I$2:$I$618,"&lt;&gt;USO_ENERGETICO_INTERNO_APARENTE"),10),IF(LEFT($H453,5)="STAT_",ROUND(SUMIFS($K$2:$K$618,$B$2:$B$618,$B453,$C$2:$C$618,$C453,$D$2:$D$618,"Energy products",$E$2:$E$618,"Supply",$G$2:$G$618,"&lt;&gt;STAT")-SUMIFS($K$2:$K$618,$B$2:$B$618,$B453,$C$2:$C$618,$C453,$D$2:$D$618,"Energy products",$E$2:$E$618,"Use",$G$2:$G$618,"&lt;&gt;STAT"),10),IF($J453="cambio de signo",-INDEX(DATOS_MODELO!$U$2:$U$3672,MATCH($H453,DATOS_MODELO!$B$2:$B$3672,0)),IF($J453="valor absoluto",ABS(INDEX(DATOS_MODELO!$U$2:$U$3672,MATCH($H453,DATOS_MODELO!$B$2:$B$3672,0))),INDEX(DATOS_MODELO!$U$2:$U$3672,MATCH($H453,DATOS_MODELO!$B$2:$B$3672,0))))))</f>
        <v>10815.4893</v>
      </c>
      <c r="L453" s="8" t="str">
        <f aca="false">IF(LEFT($H453,5)&lt;&gt;"STAT_","",IF(ABS($K453)&lt;=COUNTIFS($B$2:$B$618,$B453,$C$2:$C$618,$C453,$D$2:$D$618,"Energy products",$G$2:$G$618,"&lt;&gt;STAT")*PARAMETROS!$B$6,"redondeo","residuo_estadistico"))</f>
        <v/>
      </c>
      <c r="M453" s="8" t="str">
        <f>IF(OR($I453="USO_NO_ENERGETICO_APARENTE",$I453="USO_ENERGETICO_INTERNO_APARENTE"),"CAL",IF(LEFT($H453,5)="STAT_","FORMULA",IF(COUNTIF(DATOS_MODELO!$B$2:$B$3672,$H453)=1,"OK","REVISAR")))</f>
        <v>OK</v>
      </c>
    </row>
    <row r="454" customFormat="false" ht="15" hidden="false" customHeight="false" outlineLevel="0" collapsed="false">
      <c r="A454" s="4" t="s">
        <v>2992</v>
      </c>
      <c r="B454" s="12" t="n">
        <v>2019</v>
      </c>
      <c r="C454" s="4" t="s">
        <v>80</v>
      </c>
      <c r="D454" s="4" t="s">
        <v>2018</v>
      </c>
      <c r="E454" s="4" t="s">
        <v>2001</v>
      </c>
      <c r="F454" s="4" t="s">
        <v>66</v>
      </c>
      <c r="G454" s="4" t="s">
        <v>67</v>
      </c>
      <c r="H454" s="4" t="s">
        <v>476</v>
      </c>
      <c r="I454" s="4" t="s">
        <v>2003</v>
      </c>
      <c r="J454" s="4" t="s">
        <v>2004</v>
      </c>
      <c r="K454" s="14">
        <f>IF(OR($I454="USO_NO_ENERGETICO_APARENTE",$I454="USO_ENERGETICO_INTERNO_APARENTE"),ROUND(SUMIFS($K$2:$K$618,$B$2:$B$618,$B454,$C$2:$C$618,$C454,$D$2:$D$618,"Energy products",$E$2:$E$618,"Supply",$G$2:$G$618,"&lt;&gt;STAT")-SUMIFS($K$2:$K$618,$B$2:$B$618,$B454,$C$2:$C$618,$C454,$D$2:$D$618,"Energy products",$E$2:$E$618,"Use",$G$2:$G$618,"&lt;&gt;STAT",$I$2:$I$618,"&lt;&gt;USO_NO_ENERGETICO_APARENTE",$I$2:$I$618,"&lt;&gt;USO_ENERGETICO_INTERNO_APARENTE"),10),IF(LEFT($H454,5)="STAT_",ROUND(SUMIFS($K$2:$K$618,$B$2:$B$618,$B454,$C$2:$C$618,$C454,$D$2:$D$618,"Energy products",$E$2:$E$618,"Supply",$G$2:$G$618,"&lt;&gt;STAT")-SUMIFS($K$2:$K$618,$B$2:$B$618,$B454,$C$2:$C$618,$C454,$D$2:$D$618,"Energy products",$E$2:$E$618,"Use",$G$2:$G$618,"&lt;&gt;STAT"),10),IF($J454="cambio de signo",-INDEX(DATOS_MODELO!$U$2:$U$3672,MATCH($H454,DATOS_MODELO!$B$2:$B$3672,0)),IF($J454="valor absoluto",ABS(INDEX(DATOS_MODELO!$U$2:$U$3672,MATCH($H454,DATOS_MODELO!$B$2:$B$3672,0))),INDEX(DATOS_MODELO!$U$2:$U$3672,MATCH($H454,DATOS_MODELO!$B$2:$B$3672,0))))))</f>
        <v>10815.4893</v>
      </c>
      <c r="L454" s="8" t="str">
        <f aca="false">IF(LEFT($H454,5)&lt;&gt;"STAT_","",IF(ABS($K454)&lt;=COUNTIFS($B$2:$B$618,$B454,$C$2:$C$618,$C454,$D$2:$D$618,"Energy products",$G$2:$G$618,"&lt;&gt;STAT")*PARAMETROS!$B$6,"redondeo","residuo_estadistico"))</f>
        <v/>
      </c>
      <c r="M454" s="8" t="str">
        <f>IF(OR($I454="USO_NO_ENERGETICO_APARENTE",$I454="USO_ENERGETICO_INTERNO_APARENTE"),"CAL",IF(LEFT($H454,5)="STAT_","FORMULA",IF(COUNTIF(DATOS_MODELO!$B$2:$B$3672,$H454)=1,"OK","REVISAR")))</f>
        <v>OK</v>
      </c>
    </row>
    <row r="455" customFormat="false" ht="15" hidden="false" customHeight="false" outlineLevel="0" collapsed="false">
      <c r="A455" s="4" t="s">
        <v>2994</v>
      </c>
      <c r="B455" s="12" t="n">
        <v>2019</v>
      </c>
      <c r="C455" s="4" t="s">
        <v>84</v>
      </c>
      <c r="D455" s="4" t="s">
        <v>2018</v>
      </c>
      <c r="E455" s="4" t="s">
        <v>1994</v>
      </c>
      <c r="F455" s="4" t="s">
        <v>65</v>
      </c>
      <c r="G455" s="4" t="s">
        <v>64</v>
      </c>
      <c r="H455" s="4" t="s">
        <v>485</v>
      </c>
      <c r="I455" s="4" t="s">
        <v>2044</v>
      </c>
      <c r="J455" s="4" t="s">
        <v>1997</v>
      </c>
      <c r="K455" s="14">
        <f>IF(OR($I455="USO_NO_ENERGETICO_APARENTE",$I455="USO_ENERGETICO_INTERNO_APARENTE"),ROUND(SUMIFS($K$2:$K$618,$B$2:$B$618,$B455,$C$2:$C$618,$C455,$D$2:$D$618,"Energy products",$E$2:$E$618,"Supply",$G$2:$G$618,"&lt;&gt;STAT")-SUMIFS($K$2:$K$618,$B$2:$B$618,$B455,$C$2:$C$618,$C455,$D$2:$D$618,"Energy products",$E$2:$E$618,"Use",$G$2:$G$618,"&lt;&gt;STAT",$I$2:$I$618,"&lt;&gt;USO_NO_ENERGETICO_APARENTE",$I$2:$I$618,"&lt;&gt;USO_ENERGETICO_INTERNO_APARENTE"),10),IF(LEFT($H455,5)="STAT_",ROUND(SUMIFS($K$2:$K$618,$B$2:$B$618,$B455,$C$2:$C$618,$C455,$D$2:$D$618,"Energy products",$E$2:$E$618,"Supply",$G$2:$G$618,"&lt;&gt;STAT")-SUMIFS($K$2:$K$618,$B$2:$B$618,$B455,$C$2:$C$618,$C455,$D$2:$D$618,"Energy products",$E$2:$E$618,"Use",$G$2:$G$618,"&lt;&gt;STAT"),10),IF($J455="cambio de signo",-INDEX(DATOS_MODELO!$U$2:$U$3672,MATCH($H455,DATOS_MODELO!$B$2:$B$3672,0)),IF($J455="valor absoluto",ABS(INDEX(DATOS_MODELO!$U$2:$U$3672,MATCH($H455,DATOS_MODELO!$B$2:$B$3672,0))),INDEX(DATOS_MODELO!$U$2:$U$3672,MATCH($H455,DATOS_MODELO!$B$2:$B$3672,0))))))</f>
        <v>26390.8211</v>
      </c>
      <c r="L455" s="8" t="str">
        <f aca="false">IF(LEFT($H455,5)&lt;&gt;"STAT_","",IF(ABS($K455)&lt;=COUNTIFS($B$2:$B$618,$B455,$C$2:$C$618,$C455,$D$2:$D$618,"Energy products",$G$2:$G$618,"&lt;&gt;STAT")*PARAMETROS!$B$6,"redondeo","residuo_estadistico"))</f>
        <v/>
      </c>
      <c r="M455" s="8" t="str">
        <f>IF(OR($I455="USO_NO_ENERGETICO_APARENTE",$I455="USO_ENERGETICO_INTERNO_APARENTE"),"CAL",IF(LEFT($H455,5)="STAT_","FORMULA",IF(COUNTIF(DATOS_MODELO!$B$2:$B$3672,$H455)=1,"OK","REVISAR")))</f>
        <v>OK</v>
      </c>
    </row>
    <row r="456" customFormat="false" ht="15" hidden="false" customHeight="false" outlineLevel="0" collapsed="false">
      <c r="A456" s="4" t="s">
        <v>2996</v>
      </c>
      <c r="B456" s="12" t="n">
        <v>2019</v>
      </c>
      <c r="C456" s="4" t="s">
        <v>84</v>
      </c>
      <c r="D456" s="4" t="s">
        <v>2018</v>
      </c>
      <c r="E456" s="4" t="s">
        <v>2001</v>
      </c>
      <c r="F456" s="4" t="s">
        <v>66</v>
      </c>
      <c r="G456" s="4" t="s">
        <v>67</v>
      </c>
      <c r="H456" s="4" t="s">
        <v>490</v>
      </c>
      <c r="I456" s="4" t="s">
        <v>2003</v>
      </c>
      <c r="J456" s="4" t="s">
        <v>2004</v>
      </c>
      <c r="K456" s="14">
        <f>IF(OR($I456="USO_NO_ENERGETICO_APARENTE",$I456="USO_ENERGETICO_INTERNO_APARENTE"),ROUND(SUMIFS($K$2:$K$618,$B$2:$B$618,$B456,$C$2:$C$618,$C456,$D$2:$D$618,"Energy products",$E$2:$E$618,"Supply",$G$2:$G$618,"&lt;&gt;STAT")-SUMIFS($K$2:$K$618,$B$2:$B$618,$B456,$C$2:$C$618,$C456,$D$2:$D$618,"Energy products",$E$2:$E$618,"Use",$G$2:$G$618,"&lt;&gt;STAT",$I$2:$I$618,"&lt;&gt;USO_NO_ENERGETICO_APARENTE",$I$2:$I$618,"&lt;&gt;USO_ENERGETICO_INTERNO_APARENTE"),10),IF(LEFT($H456,5)="STAT_",ROUND(SUMIFS($K$2:$K$618,$B$2:$B$618,$B456,$C$2:$C$618,$C456,$D$2:$D$618,"Energy products",$E$2:$E$618,"Supply",$G$2:$G$618,"&lt;&gt;STAT")-SUMIFS($K$2:$K$618,$B$2:$B$618,$B456,$C$2:$C$618,$C456,$D$2:$D$618,"Energy products",$E$2:$E$618,"Use",$G$2:$G$618,"&lt;&gt;STAT"),10),IF($J456="cambio de signo",-INDEX(DATOS_MODELO!$U$2:$U$3672,MATCH($H456,DATOS_MODELO!$B$2:$B$3672,0)),IF($J456="valor absoluto",ABS(INDEX(DATOS_MODELO!$U$2:$U$3672,MATCH($H456,DATOS_MODELO!$B$2:$B$3672,0))),INDEX(DATOS_MODELO!$U$2:$U$3672,MATCH($H456,DATOS_MODELO!$B$2:$B$3672,0))))))</f>
        <v>26294.2589</v>
      </c>
      <c r="L456" s="8" t="str">
        <f aca="false">IF(LEFT($H456,5)&lt;&gt;"STAT_","",IF(ABS($K456)&lt;=COUNTIFS($B$2:$B$618,$B456,$C$2:$C$618,$C456,$D$2:$D$618,"Energy products",$G$2:$G$618,"&lt;&gt;STAT")*PARAMETROS!$B$6,"redondeo","residuo_estadistico"))</f>
        <v/>
      </c>
      <c r="M456" s="8" t="str">
        <f>IF(OR($I456="USO_NO_ENERGETICO_APARENTE",$I456="USO_ENERGETICO_INTERNO_APARENTE"),"CAL",IF(LEFT($H456,5)="STAT_","FORMULA",IF(COUNTIF(DATOS_MODELO!$B$2:$B$3672,$H456)=1,"OK","REVISAR")))</f>
        <v>OK</v>
      </c>
    </row>
    <row r="457" customFormat="false" ht="15" hidden="false" customHeight="false" outlineLevel="0" collapsed="false">
      <c r="A457" s="4" t="s">
        <v>2998</v>
      </c>
      <c r="B457" s="12" t="n">
        <v>2019</v>
      </c>
      <c r="C457" s="4" t="s">
        <v>84</v>
      </c>
      <c r="D457" s="4" t="s">
        <v>2018</v>
      </c>
      <c r="E457" s="4" t="s">
        <v>2001</v>
      </c>
      <c r="F457" s="4" t="s">
        <v>66</v>
      </c>
      <c r="G457" s="4" t="s">
        <v>67</v>
      </c>
      <c r="H457" s="4" t="s">
        <v>491</v>
      </c>
      <c r="I457" s="4" t="s">
        <v>2008</v>
      </c>
      <c r="J457" s="4" t="s">
        <v>2004</v>
      </c>
      <c r="K457" s="14">
        <f>IF(OR($I457="USO_NO_ENERGETICO_APARENTE",$I457="USO_ENERGETICO_INTERNO_APARENTE"),ROUND(SUMIFS($K$2:$K$618,$B$2:$B$618,$B457,$C$2:$C$618,$C457,$D$2:$D$618,"Energy products",$E$2:$E$618,"Supply",$G$2:$G$618,"&lt;&gt;STAT")-SUMIFS($K$2:$K$618,$B$2:$B$618,$B457,$C$2:$C$618,$C457,$D$2:$D$618,"Energy products",$E$2:$E$618,"Use",$G$2:$G$618,"&lt;&gt;STAT",$I$2:$I$618,"&lt;&gt;USO_NO_ENERGETICO_APARENTE",$I$2:$I$618,"&lt;&gt;USO_ENERGETICO_INTERNO_APARENTE"),10),IF(LEFT($H457,5)="STAT_",ROUND(SUMIFS($K$2:$K$618,$B$2:$B$618,$B457,$C$2:$C$618,$C457,$D$2:$D$618,"Energy products",$E$2:$E$618,"Supply",$G$2:$G$618,"&lt;&gt;STAT")-SUMIFS($K$2:$K$618,$B$2:$B$618,$B457,$C$2:$C$618,$C457,$D$2:$D$618,"Energy products",$E$2:$E$618,"Use",$G$2:$G$618,"&lt;&gt;STAT"),10),IF($J457="cambio de signo",-INDEX(DATOS_MODELO!$U$2:$U$3672,MATCH($H457,DATOS_MODELO!$B$2:$B$3672,0)),IF($J457="valor absoluto",ABS(INDEX(DATOS_MODELO!$U$2:$U$3672,MATCH($H457,DATOS_MODELO!$B$2:$B$3672,0))),INDEX(DATOS_MODELO!$U$2:$U$3672,MATCH($H457,DATOS_MODELO!$B$2:$B$3672,0))))))</f>
        <v>96.5622</v>
      </c>
      <c r="L457" s="8" t="str">
        <f aca="false">IF(LEFT($H457,5)&lt;&gt;"STAT_","",IF(ABS($K457)&lt;=COUNTIFS($B$2:$B$618,$B457,$C$2:$C$618,$C457,$D$2:$D$618,"Energy products",$G$2:$G$618,"&lt;&gt;STAT")*PARAMETROS!$B$6,"redondeo","residuo_estadistico"))</f>
        <v/>
      </c>
      <c r="M457" s="8" t="str">
        <f>IF(OR($I457="USO_NO_ENERGETICO_APARENTE",$I457="USO_ENERGETICO_INTERNO_APARENTE"),"CAL",IF(LEFT($H457,5)="STAT_","FORMULA",IF(COUNTIF(DATOS_MODELO!$B$2:$B$3672,$H457)=1,"OK","REVISAR")))</f>
        <v>OK</v>
      </c>
    </row>
    <row r="458" customFormat="false" ht="15" hidden="false" customHeight="false" outlineLevel="0" collapsed="false">
      <c r="A458" s="4" t="s">
        <v>3000</v>
      </c>
      <c r="B458" s="12" t="n">
        <v>2019</v>
      </c>
      <c r="C458" s="4" t="s">
        <v>109</v>
      </c>
      <c r="D458" s="4" t="s">
        <v>1993</v>
      </c>
      <c r="E458" s="4" t="s">
        <v>1994</v>
      </c>
      <c r="F458" s="4" t="s">
        <v>1995</v>
      </c>
      <c r="G458" s="4" t="s">
        <v>65</v>
      </c>
      <c r="H458" s="4" t="s">
        <v>499</v>
      </c>
      <c r="I458" s="4" t="s">
        <v>2070</v>
      </c>
      <c r="J458" s="4" t="s">
        <v>1997</v>
      </c>
      <c r="K458" s="14">
        <f>IF(OR($I458="USO_NO_ENERGETICO_APARENTE",$I458="USO_ENERGETICO_INTERNO_APARENTE"),ROUND(SUMIFS($K$2:$K$618,$B$2:$B$618,$B458,$C$2:$C$618,$C458,$D$2:$D$618,"Energy products",$E$2:$E$618,"Supply",$G$2:$G$618,"&lt;&gt;STAT")-SUMIFS($K$2:$K$618,$B$2:$B$618,$B458,$C$2:$C$618,$C458,$D$2:$D$618,"Energy products",$E$2:$E$618,"Use",$G$2:$G$618,"&lt;&gt;STAT",$I$2:$I$618,"&lt;&gt;USO_NO_ENERGETICO_APARENTE",$I$2:$I$618,"&lt;&gt;USO_ENERGETICO_INTERNO_APARENTE"),10),IF(LEFT($H458,5)="STAT_",ROUND(SUMIFS($K$2:$K$618,$B$2:$B$618,$B458,$C$2:$C$618,$C458,$D$2:$D$618,"Energy products",$E$2:$E$618,"Supply",$G$2:$G$618,"&lt;&gt;STAT")-SUMIFS($K$2:$K$618,$B$2:$B$618,$B458,$C$2:$C$618,$C458,$D$2:$D$618,"Energy products",$E$2:$E$618,"Use",$G$2:$G$618,"&lt;&gt;STAT"),10),IF($J458="cambio de signo",-INDEX(DATOS_MODELO!$U$2:$U$3672,MATCH($H458,DATOS_MODELO!$B$2:$B$3672,0)),IF($J458="valor absoluto",ABS(INDEX(DATOS_MODELO!$U$2:$U$3672,MATCH($H458,DATOS_MODELO!$B$2:$B$3672,0))),INDEX(DATOS_MODELO!$U$2:$U$3672,MATCH($H458,DATOS_MODELO!$B$2:$B$3672,0))))))</f>
        <v>295324.624</v>
      </c>
      <c r="L458" s="8" t="str">
        <f aca="false">IF(LEFT($H458,5)&lt;&gt;"STAT_","",IF(ABS($K458)&lt;=COUNTIFS($B$2:$B$618,$B458,$C$2:$C$618,$C458,$D$2:$D$618,"Energy products",$G$2:$G$618,"&lt;&gt;STAT")*PARAMETROS!$B$6,"redondeo","residuo_estadistico"))</f>
        <v/>
      </c>
      <c r="M458" s="8" t="str">
        <f>IF(OR($I458="USO_NO_ENERGETICO_APARENTE",$I458="USO_ENERGETICO_INTERNO_APARENTE"),"CAL",IF(LEFT($H458,5)="STAT_","FORMULA",IF(COUNTIF(DATOS_MODELO!$B$2:$B$3672,$H458)=1,"OK","REVISAR")))</f>
        <v>OK</v>
      </c>
    </row>
    <row r="459" customFormat="false" ht="15" hidden="false" customHeight="false" outlineLevel="0" collapsed="false">
      <c r="A459" s="4" t="s">
        <v>3002</v>
      </c>
      <c r="B459" s="12" t="n">
        <v>2019</v>
      </c>
      <c r="C459" s="4" t="s">
        <v>109</v>
      </c>
      <c r="D459" s="4" t="s">
        <v>1993</v>
      </c>
      <c r="E459" s="4" t="s">
        <v>2001</v>
      </c>
      <c r="F459" s="4" t="s">
        <v>2074</v>
      </c>
      <c r="G459" s="4" t="s">
        <v>73</v>
      </c>
      <c r="H459" s="4" t="s">
        <v>508</v>
      </c>
      <c r="I459" s="4" t="s">
        <v>2075</v>
      </c>
      <c r="J459" s="4" t="s">
        <v>1997</v>
      </c>
      <c r="K459" s="14">
        <f>IF(OR($I459="USO_NO_ENERGETICO_APARENTE",$I459="USO_ENERGETICO_INTERNO_APARENTE"),ROUND(SUMIFS($K$2:$K$618,$B$2:$B$618,$B459,$C$2:$C$618,$C459,$D$2:$D$618,"Energy products",$E$2:$E$618,"Supply",$G$2:$G$618,"&lt;&gt;STAT")-SUMIFS($K$2:$K$618,$B$2:$B$618,$B459,$C$2:$C$618,$C459,$D$2:$D$618,"Energy products",$E$2:$E$618,"Use",$G$2:$G$618,"&lt;&gt;STAT",$I$2:$I$618,"&lt;&gt;USO_NO_ENERGETICO_APARENTE",$I$2:$I$618,"&lt;&gt;USO_ENERGETICO_INTERNO_APARENTE"),10),IF(LEFT($H459,5)="STAT_",ROUND(SUMIFS($K$2:$K$618,$B$2:$B$618,$B459,$C$2:$C$618,$C459,$D$2:$D$618,"Energy products",$E$2:$E$618,"Supply",$G$2:$G$618,"&lt;&gt;STAT")-SUMIFS($K$2:$K$618,$B$2:$B$618,$B459,$C$2:$C$618,$C459,$D$2:$D$618,"Energy products",$E$2:$E$618,"Use",$G$2:$G$618,"&lt;&gt;STAT"),10),IF($J459="cambio de signo",-INDEX(DATOS_MODELO!$U$2:$U$3672,MATCH($H459,DATOS_MODELO!$B$2:$B$3672,0)),IF($J459="valor absoluto",ABS(INDEX(DATOS_MODELO!$U$2:$U$3672,MATCH($H459,DATOS_MODELO!$B$2:$B$3672,0))),INDEX(DATOS_MODELO!$U$2:$U$3672,MATCH($H459,DATOS_MODELO!$B$2:$B$3672,0))))))</f>
        <v>286464.8969</v>
      </c>
      <c r="L459" s="8" t="str">
        <f aca="false">IF(LEFT($H459,5)&lt;&gt;"STAT_","",IF(ABS($K459)&lt;=COUNTIFS($B$2:$B$618,$B459,$C$2:$C$618,$C459,$D$2:$D$618,"Energy products",$G$2:$G$618,"&lt;&gt;STAT")*PARAMETROS!$B$6,"redondeo","residuo_estadistico"))</f>
        <v/>
      </c>
      <c r="M459" s="8" t="str">
        <f>IF(OR($I459="USO_NO_ENERGETICO_APARENTE",$I459="USO_ENERGETICO_INTERNO_APARENTE"),"CAL",IF(LEFT($H459,5)="STAT_","FORMULA",IF(COUNTIF(DATOS_MODELO!$B$2:$B$3672,$H459)=1,"OK","REVISAR")))</f>
        <v>OK</v>
      </c>
    </row>
    <row r="460" customFormat="false" ht="15" hidden="false" customHeight="false" outlineLevel="0" collapsed="false">
      <c r="A460" s="4" t="s">
        <v>3004</v>
      </c>
      <c r="B460" s="12" t="n">
        <v>2019</v>
      </c>
      <c r="C460" s="4" t="s">
        <v>109</v>
      </c>
      <c r="D460" s="4" t="s">
        <v>1993</v>
      </c>
      <c r="E460" s="4" t="s">
        <v>2001</v>
      </c>
      <c r="F460" s="4" t="s">
        <v>2002</v>
      </c>
      <c r="G460" s="4" t="s">
        <v>72</v>
      </c>
      <c r="H460" s="4" t="s">
        <v>509</v>
      </c>
      <c r="I460" s="4" t="s">
        <v>2079</v>
      </c>
      <c r="J460" s="4" t="s">
        <v>1997</v>
      </c>
      <c r="K460" s="14">
        <f>IF(OR($I460="USO_NO_ENERGETICO_APARENTE",$I460="USO_ENERGETICO_INTERNO_APARENTE"),ROUND(SUMIFS($K$2:$K$618,$B$2:$B$618,$B460,$C$2:$C$618,$C460,$D$2:$D$618,"Energy products",$E$2:$E$618,"Supply",$G$2:$G$618,"&lt;&gt;STAT")-SUMIFS($K$2:$K$618,$B$2:$B$618,$B460,$C$2:$C$618,$C460,$D$2:$D$618,"Energy products",$E$2:$E$618,"Use",$G$2:$G$618,"&lt;&gt;STAT",$I$2:$I$618,"&lt;&gt;USO_NO_ENERGETICO_APARENTE",$I$2:$I$618,"&lt;&gt;USO_ENERGETICO_INTERNO_APARENTE"),10),IF(LEFT($H460,5)="STAT_",ROUND(SUMIFS($K$2:$K$618,$B$2:$B$618,$B460,$C$2:$C$618,$C460,$D$2:$D$618,"Energy products",$E$2:$E$618,"Supply",$G$2:$G$618,"&lt;&gt;STAT")-SUMIFS($K$2:$K$618,$B$2:$B$618,$B460,$C$2:$C$618,$C460,$D$2:$D$618,"Energy products",$E$2:$E$618,"Use",$G$2:$G$618,"&lt;&gt;STAT"),10),IF($J460="cambio de signo",-INDEX(DATOS_MODELO!$U$2:$U$3672,MATCH($H460,DATOS_MODELO!$B$2:$B$3672,0)),IF($J460="valor absoluto",ABS(INDEX(DATOS_MODELO!$U$2:$U$3672,MATCH($H460,DATOS_MODELO!$B$2:$B$3672,0))),INDEX(DATOS_MODELO!$U$2:$U$3672,MATCH($H460,DATOS_MODELO!$B$2:$B$3672,0))))))</f>
        <v>8859.7271</v>
      </c>
      <c r="L460" s="8" t="str">
        <f aca="false">IF(LEFT($H460,5)&lt;&gt;"STAT_","",IF(ABS($K460)&lt;=COUNTIFS($B$2:$B$618,$B460,$C$2:$C$618,$C460,$D$2:$D$618,"Energy products",$G$2:$G$618,"&lt;&gt;STAT")*PARAMETROS!$B$6,"redondeo","residuo_estadistico"))</f>
        <v/>
      </c>
      <c r="M460" s="8" t="str">
        <f>IF(OR($I460="USO_NO_ENERGETICO_APARENTE",$I460="USO_ENERGETICO_INTERNO_APARENTE"),"CAL",IF(LEFT($H460,5)="STAT_","FORMULA",IF(COUNTIF(DATOS_MODELO!$B$2:$B$3672,$H460)=1,"OK","REVISAR")))</f>
        <v>OK</v>
      </c>
    </row>
    <row r="461" customFormat="false" ht="15" hidden="false" customHeight="false" outlineLevel="0" collapsed="false">
      <c r="A461" s="4" t="s">
        <v>3006</v>
      </c>
      <c r="B461" s="12" t="n">
        <v>2019</v>
      </c>
      <c r="C461" s="4" t="s">
        <v>86</v>
      </c>
      <c r="D461" s="4" t="s">
        <v>2018</v>
      </c>
      <c r="E461" s="4" t="s">
        <v>1994</v>
      </c>
      <c r="F461" s="4" t="s">
        <v>65</v>
      </c>
      <c r="G461" s="4" t="s">
        <v>64</v>
      </c>
      <c r="H461" s="4" t="s">
        <v>513</v>
      </c>
      <c r="I461" s="4" t="s">
        <v>2019</v>
      </c>
      <c r="J461" s="4" t="s">
        <v>1997</v>
      </c>
      <c r="K461" s="14">
        <f>IF(OR($I461="USO_NO_ENERGETICO_APARENTE",$I461="USO_ENERGETICO_INTERNO_APARENTE"),ROUND(SUMIFS($K$2:$K$618,$B$2:$B$618,$B461,$C$2:$C$618,$C461,$D$2:$D$618,"Energy products",$E$2:$E$618,"Supply",$G$2:$G$618,"&lt;&gt;STAT")-SUMIFS($K$2:$K$618,$B$2:$B$618,$B461,$C$2:$C$618,$C461,$D$2:$D$618,"Energy products",$E$2:$E$618,"Use",$G$2:$G$618,"&lt;&gt;STAT",$I$2:$I$618,"&lt;&gt;USO_NO_ENERGETICO_APARENTE",$I$2:$I$618,"&lt;&gt;USO_ENERGETICO_INTERNO_APARENTE"),10),IF(LEFT($H461,5)="STAT_",ROUND(SUMIFS($K$2:$K$618,$B$2:$B$618,$B461,$C$2:$C$618,$C461,$D$2:$D$618,"Energy products",$E$2:$E$618,"Supply",$G$2:$G$618,"&lt;&gt;STAT")-SUMIFS($K$2:$K$618,$B$2:$B$618,$B461,$C$2:$C$618,$C461,$D$2:$D$618,"Energy products",$E$2:$E$618,"Use",$G$2:$G$618,"&lt;&gt;STAT"),10),IF($J461="cambio de signo",-INDEX(DATOS_MODELO!$U$2:$U$3672,MATCH($H461,DATOS_MODELO!$B$2:$B$3672,0)),IF($J461="valor absoluto",ABS(INDEX(DATOS_MODELO!$U$2:$U$3672,MATCH($H461,DATOS_MODELO!$B$2:$B$3672,0))),INDEX(DATOS_MODELO!$U$2:$U$3672,MATCH($H461,DATOS_MODELO!$B$2:$B$3672,0))))))</f>
        <v>20207.7029</v>
      </c>
      <c r="L461" s="8" t="str">
        <f aca="false">IF(LEFT($H461,5)&lt;&gt;"STAT_","",IF(ABS($K461)&lt;=COUNTIFS($B$2:$B$618,$B461,$C$2:$C$618,$C461,$D$2:$D$618,"Energy products",$G$2:$G$618,"&lt;&gt;STAT")*PARAMETROS!$B$6,"redondeo","residuo_estadistico"))</f>
        <v/>
      </c>
      <c r="M461" s="8" t="str">
        <f>IF(OR($I461="USO_NO_ENERGETICO_APARENTE",$I461="USO_ENERGETICO_INTERNO_APARENTE"),"CAL",IF(LEFT($H461,5)="STAT_","FORMULA",IF(COUNTIF(DATOS_MODELO!$B$2:$B$3672,$H461)=1,"OK","REVISAR")))</f>
        <v>OK</v>
      </c>
    </row>
    <row r="462" customFormat="false" ht="15" hidden="false" customHeight="false" outlineLevel="0" collapsed="false">
      <c r="A462" s="4" t="s">
        <v>3008</v>
      </c>
      <c r="B462" s="12" t="n">
        <v>2019</v>
      </c>
      <c r="C462" s="4" t="s">
        <v>86</v>
      </c>
      <c r="D462" s="4" t="s">
        <v>2018</v>
      </c>
      <c r="E462" s="4" t="s">
        <v>2001</v>
      </c>
      <c r="F462" s="4" t="s">
        <v>66</v>
      </c>
      <c r="G462" s="4" t="s">
        <v>66</v>
      </c>
      <c r="H462" s="4" t="s">
        <v>513</v>
      </c>
      <c r="I462" s="4" t="s">
        <v>2019</v>
      </c>
      <c r="J462" s="4" t="s">
        <v>1997</v>
      </c>
      <c r="K462" s="14">
        <f>IF(OR($I462="USO_NO_ENERGETICO_APARENTE",$I462="USO_ENERGETICO_INTERNO_APARENTE"),ROUND(SUMIFS($K$2:$K$618,$B$2:$B$618,$B462,$C$2:$C$618,$C462,$D$2:$D$618,"Energy products",$E$2:$E$618,"Supply",$G$2:$G$618,"&lt;&gt;STAT")-SUMIFS($K$2:$K$618,$B$2:$B$618,$B462,$C$2:$C$618,$C462,$D$2:$D$618,"Energy products",$E$2:$E$618,"Use",$G$2:$G$618,"&lt;&gt;STAT",$I$2:$I$618,"&lt;&gt;USO_NO_ENERGETICO_APARENTE",$I$2:$I$618,"&lt;&gt;USO_ENERGETICO_INTERNO_APARENTE"),10),IF(LEFT($H462,5)="STAT_",ROUND(SUMIFS($K$2:$K$618,$B$2:$B$618,$B462,$C$2:$C$618,$C462,$D$2:$D$618,"Energy products",$E$2:$E$618,"Supply",$G$2:$G$618,"&lt;&gt;STAT")-SUMIFS($K$2:$K$618,$B$2:$B$618,$B462,$C$2:$C$618,$C462,$D$2:$D$618,"Energy products",$E$2:$E$618,"Use",$G$2:$G$618,"&lt;&gt;STAT"),10),IF($J462="cambio de signo",-INDEX(DATOS_MODELO!$U$2:$U$3672,MATCH($H462,DATOS_MODELO!$B$2:$B$3672,0)),IF($J462="valor absoluto",ABS(INDEX(DATOS_MODELO!$U$2:$U$3672,MATCH($H462,DATOS_MODELO!$B$2:$B$3672,0))),INDEX(DATOS_MODELO!$U$2:$U$3672,MATCH($H462,DATOS_MODELO!$B$2:$B$3672,0))))))</f>
        <v>20207.7029</v>
      </c>
      <c r="L462" s="8" t="str">
        <f aca="false">IF(LEFT($H462,5)&lt;&gt;"STAT_","",IF(ABS($K462)&lt;=COUNTIFS($B$2:$B$618,$B462,$C$2:$C$618,$C462,$D$2:$D$618,"Energy products",$G$2:$G$618,"&lt;&gt;STAT")*PARAMETROS!$B$6,"redondeo","residuo_estadistico"))</f>
        <v/>
      </c>
      <c r="M462" s="8" t="str">
        <f>IF(OR($I462="USO_NO_ENERGETICO_APARENTE",$I462="USO_ENERGETICO_INTERNO_APARENTE"),"CAL",IF(LEFT($H462,5)="STAT_","FORMULA",IF(COUNTIF(DATOS_MODELO!$B$2:$B$3672,$H462)=1,"OK","REVISAR")))</f>
        <v>OK</v>
      </c>
    </row>
    <row r="463" customFormat="false" ht="15" hidden="false" customHeight="false" outlineLevel="0" collapsed="false">
      <c r="A463" s="4" t="s">
        <v>3010</v>
      </c>
      <c r="B463" s="12" t="n">
        <v>2019</v>
      </c>
      <c r="C463" s="4" t="s">
        <v>86</v>
      </c>
      <c r="D463" s="4" t="s">
        <v>1993</v>
      </c>
      <c r="E463" s="4" t="s">
        <v>1994</v>
      </c>
      <c r="F463" s="4" t="s">
        <v>1995</v>
      </c>
      <c r="G463" s="4" t="s">
        <v>66</v>
      </c>
      <c r="H463" s="4" t="s">
        <v>513</v>
      </c>
      <c r="I463" s="4" t="s">
        <v>2019</v>
      </c>
      <c r="J463" s="4" t="s">
        <v>1997</v>
      </c>
      <c r="K463" s="14">
        <f>IF(OR($I463="USO_NO_ENERGETICO_APARENTE",$I463="USO_ENERGETICO_INTERNO_APARENTE"),ROUND(SUMIFS($K$2:$K$618,$B$2:$B$618,$B463,$C$2:$C$618,$C463,$D$2:$D$618,"Energy products",$E$2:$E$618,"Supply",$G$2:$G$618,"&lt;&gt;STAT")-SUMIFS($K$2:$K$618,$B$2:$B$618,$B463,$C$2:$C$618,$C463,$D$2:$D$618,"Energy products",$E$2:$E$618,"Use",$G$2:$G$618,"&lt;&gt;STAT",$I$2:$I$618,"&lt;&gt;USO_NO_ENERGETICO_APARENTE",$I$2:$I$618,"&lt;&gt;USO_ENERGETICO_INTERNO_APARENTE"),10),IF(LEFT($H463,5)="STAT_",ROUND(SUMIFS($K$2:$K$618,$B$2:$B$618,$B463,$C$2:$C$618,$C463,$D$2:$D$618,"Energy products",$E$2:$E$618,"Supply",$G$2:$G$618,"&lt;&gt;STAT")-SUMIFS($K$2:$K$618,$B$2:$B$618,$B463,$C$2:$C$618,$C463,$D$2:$D$618,"Energy products",$E$2:$E$618,"Use",$G$2:$G$618,"&lt;&gt;STAT"),10),IF($J463="cambio de signo",-INDEX(DATOS_MODELO!$U$2:$U$3672,MATCH($H463,DATOS_MODELO!$B$2:$B$3672,0)),IF($J463="valor absoluto",ABS(INDEX(DATOS_MODELO!$U$2:$U$3672,MATCH($H463,DATOS_MODELO!$B$2:$B$3672,0))),INDEX(DATOS_MODELO!$U$2:$U$3672,MATCH($H463,DATOS_MODELO!$B$2:$B$3672,0))))))</f>
        <v>20207.7029</v>
      </c>
      <c r="L463" s="8" t="str">
        <f aca="false">IF(LEFT($H463,5)&lt;&gt;"STAT_","",IF(ABS($K463)&lt;=COUNTIFS($B$2:$B$618,$B463,$C$2:$C$618,$C463,$D$2:$D$618,"Energy products",$G$2:$G$618,"&lt;&gt;STAT")*PARAMETROS!$B$6,"redondeo","residuo_estadistico"))</f>
        <v/>
      </c>
      <c r="M463" s="8" t="str">
        <f>IF(OR($I463="USO_NO_ENERGETICO_APARENTE",$I463="USO_ENERGETICO_INTERNO_APARENTE"),"CAL",IF(LEFT($H463,5)="STAT_","FORMULA",IF(COUNTIF(DATOS_MODELO!$B$2:$B$3672,$H463)=1,"OK","REVISAR")))</f>
        <v>OK</v>
      </c>
    </row>
    <row r="464" customFormat="false" ht="15" hidden="false" customHeight="false" outlineLevel="0" collapsed="false">
      <c r="A464" s="4" t="s">
        <v>3012</v>
      </c>
      <c r="B464" s="12" t="n">
        <v>2019</v>
      </c>
      <c r="C464" s="4" t="s">
        <v>86</v>
      </c>
      <c r="D464" s="4" t="s">
        <v>1993</v>
      </c>
      <c r="E464" s="4" t="s">
        <v>2001</v>
      </c>
      <c r="F464" s="4" t="s">
        <v>2091</v>
      </c>
      <c r="G464" s="4" t="s">
        <v>69</v>
      </c>
      <c r="H464" s="4" t="s">
        <v>515</v>
      </c>
      <c r="I464" s="4" t="s">
        <v>2030</v>
      </c>
      <c r="J464" s="4" t="s">
        <v>1997</v>
      </c>
      <c r="K464" s="14">
        <f>IF(OR($I464="USO_NO_ENERGETICO_APARENTE",$I464="USO_ENERGETICO_INTERNO_APARENTE"),ROUND(SUMIFS($K$2:$K$618,$B$2:$B$618,$B464,$C$2:$C$618,$C464,$D$2:$D$618,"Energy products",$E$2:$E$618,"Supply",$G$2:$G$618,"&lt;&gt;STAT")-SUMIFS($K$2:$K$618,$B$2:$B$618,$B464,$C$2:$C$618,$C464,$D$2:$D$618,"Energy products",$E$2:$E$618,"Use",$G$2:$G$618,"&lt;&gt;STAT",$I$2:$I$618,"&lt;&gt;USO_NO_ENERGETICO_APARENTE",$I$2:$I$618,"&lt;&gt;USO_ENERGETICO_INTERNO_APARENTE"),10),IF(LEFT($H464,5)="STAT_",ROUND(SUMIFS($K$2:$K$618,$B$2:$B$618,$B464,$C$2:$C$618,$C464,$D$2:$D$618,"Energy products",$E$2:$E$618,"Supply",$G$2:$G$618,"&lt;&gt;STAT")-SUMIFS($K$2:$K$618,$B$2:$B$618,$B464,$C$2:$C$618,$C464,$D$2:$D$618,"Energy products",$E$2:$E$618,"Use",$G$2:$G$618,"&lt;&gt;STAT"),10),IF($J464="cambio de signo",-INDEX(DATOS_MODELO!$U$2:$U$3672,MATCH($H464,DATOS_MODELO!$B$2:$B$3672,0)),IF($J464="valor absoluto",ABS(INDEX(DATOS_MODELO!$U$2:$U$3672,MATCH($H464,DATOS_MODELO!$B$2:$B$3672,0))),INDEX(DATOS_MODELO!$U$2:$U$3672,MATCH($H464,DATOS_MODELO!$B$2:$B$3672,0))))))</f>
        <v>11333.5089</v>
      </c>
      <c r="L464" s="8" t="str">
        <f aca="false">IF(LEFT($H464,5)&lt;&gt;"STAT_","",IF(ABS($K464)&lt;=COUNTIFS($B$2:$B$618,$B464,$C$2:$C$618,$C464,$D$2:$D$618,"Energy products",$G$2:$G$618,"&lt;&gt;STAT")*PARAMETROS!$B$6,"redondeo","residuo_estadistico"))</f>
        <v/>
      </c>
      <c r="M464" s="8" t="str">
        <f>IF(OR($I464="USO_NO_ENERGETICO_APARENTE",$I464="USO_ENERGETICO_INTERNO_APARENTE"),"CAL",IF(LEFT($H464,5)="STAT_","FORMULA",IF(COUNTIF(DATOS_MODELO!$B$2:$B$3672,$H464)=1,"OK","REVISAR")))</f>
        <v>OK</v>
      </c>
    </row>
    <row r="465" customFormat="false" ht="15" hidden="false" customHeight="false" outlineLevel="0" collapsed="false">
      <c r="A465" s="4" t="s">
        <v>3014</v>
      </c>
      <c r="B465" s="12" t="n">
        <v>2019</v>
      </c>
      <c r="C465" s="4" t="s">
        <v>86</v>
      </c>
      <c r="D465" s="4" t="s">
        <v>1993</v>
      </c>
      <c r="E465" s="4" t="s">
        <v>2001</v>
      </c>
      <c r="F465" s="4" t="s">
        <v>2034</v>
      </c>
      <c r="G465" s="4" t="s">
        <v>74</v>
      </c>
      <c r="H465" s="4" t="s">
        <v>516</v>
      </c>
      <c r="I465" s="4" t="s">
        <v>2035</v>
      </c>
      <c r="J465" s="4" t="s">
        <v>2036</v>
      </c>
      <c r="K465" s="14">
        <f>IF(OR($I465="USO_NO_ENERGETICO_APARENTE",$I465="USO_ENERGETICO_INTERNO_APARENTE"),ROUND(SUMIFS($K$2:$K$618,$B$2:$B$618,$B465,$C$2:$C$618,$C465,$D$2:$D$618,"Energy products",$E$2:$E$618,"Supply",$G$2:$G$618,"&lt;&gt;STAT")-SUMIFS($K$2:$K$618,$B$2:$B$618,$B465,$C$2:$C$618,$C465,$D$2:$D$618,"Energy products",$E$2:$E$618,"Use",$G$2:$G$618,"&lt;&gt;STAT",$I$2:$I$618,"&lt;&gt;USO_NO_ENERGETICO_APARENTE",$I$2:$I$618,"&lt;&gt;USO_ENERGETICO_INTERNO_APARENTE"),10),IF(LEFT($H465,5)="STAT_",ROUND(SUMIFS($K$2:$K$618,$B$2:$B$618,$B465,$C$2:$C$618,$C465,$D$2:$D$618,"Energy products",$E$2:$E$618,"Supply",$G$2:$G$618,"&lt;&gt;STAT")-SUMIFS($K$2:$K$618,$B$2:$B$618,$B465,$C$2:$C$618,$C465,$D$2:$D$618,"Energy products",$E$2:$E$618,"Use",$G$2:$G$618,"&lt;&gt;STAT"),10),IF($J465="cambio de signo",-INDEX(DATOS_MODELO!$U$2:$U$3672,MATCH($H465,DATOS_MODELO!$B$2:$B$3672,0)),IF($J465="valor absoluto",ABS(INDEX(DATOS_MODELO!$U$2:$U$3672,MATCH($H465,DATOS_MODELO!$B$2:$B$3672,0))),INDEX(DATOS_MODELO!$U$2:$U$3672,MATCH($H465,DATOS_MODELO!$B$2:$B$3672,0))))))</f>
        <v>3482.514</v>
      </c>
      <c r="L465" s="8" t="str">
        <f aca="false">IF(LEFT($H465,5)&lt;&gt;"STAT_","",IF(ABS($K465)&lt;=COUNTIFS($B$2:$B$618,$B465,$C$2:$C$618,$C465,$D$2:$D$618,"Energy products",$G$2:$G$618,"&lt;&gt;STAT")*PARAMETROS!$B$6,"redondeo","residuo_estadistico"))</f>
        <v/>
      </c>
      <c r="M465" s="8" t="str">
        <f>IF(OR($I465="USO_NO_ENERGETICO_APARENTE",$I465="USO_ENERGETICO_INTERNO_APARENTE"),"CAL",IF(LEFT($H465,5)="STAT_","FORMULA",IF(COUNTIF(DATOS_MODELO!$B$2:$B$3672,$H465)=1,"OK","REVISAR")))</f>
        <v>OK</v>
      </c>
    </row>
    <row r="466" customFormat="false" ht="15" hidden="false" customHeight="false" outlineLevel="0" collapsed="false">
      <c r="A466" s="4" t="s">
        <v>3016</v>
      </c>
      <c r="B466" s="12" t="n">
        <v>2019</v>
      </c>
      <c r="C466" s="4" t="s">
        <v>86</v>
      </c>
      <c r="D466" s="4" t="s">
        <v>1993</v>
      </c>
      <c r="E466" s="4" t="s">
        <v>2001</v>
      </c>
      <c r="F466" s="4" t="s">
        <v>2002</v>
      </c>
      <c r="G466" s="4" t="s">
        <v>67</v>
      </c>
      <c r="H466" s="4" t="s">
        <v>517</v>
      </c>
      <c r="I466" s="4" t="s">
        <v>2097</v>
      </c>
      <c r="J466" s="4" t="s">
        <v>2004</v>
      </c>
      <c r="K466" s="14">
        <f>IF(OR($I466="USO_NO_ENERGETICO_APARENTE",$I466="USO_ENERGETICO_INTERNO_APARENTE"),ROUND(SUMIFS($K$2:$K$618,$B$2:$B$618,$B466,$C$2:$C$618,$C466,$D$2:$D$618,"Energy products",$E$2:$E$618,"Supply",$G$2:$G$618,"&lt;&gt;STAT")-SUMIFS($K$2:$K$618,$B$2:$B$618,$B466,$C$2:$C$618,$C466,$D$2:$D$618,"Energy products",$E$2:$E$618,"Use",$G$2:$G$618,"&lt;&gt;STAT",$I$2:$I$618,"&lt;&gt;USO_NO_ENERGETICO_APARENTE",$I$2:$I$618,"&lt;&gt;USO_ENERGETICO_INTERNO_APARENTE"),10),IF(LEFT($H466,5)="STAT_",ROUND(SUMIFS($K$2:$K$618,$B$2:$B$618,$B466,$C$2:$C$618,$C466,$D$2:$D$618,"Energy products",$E$2:$E$618,"Supply",$G$2:$G$618,"&lt;&gt;STAT")-SUMIFS($K$2:$K$618,$B$2:$B$618,$B466,$C$2:$C$618,$C466,$D$2:$D$618,"Energy products",$E$2:$E$618,"Use",$G$2:$G$618,"&lt;&gt;STAT"),10),IF($J466="cambio de signo",-INDEX(DATOS_MODELO!$U$2:$U$3672,MATCH($H466,DATOS_MODELO!$B$2:$B$3672,0)),IF($J466="valor absoluto",ABS(INDEX(DATOS_MODELO!$U$2:$U$3672,MATCH($H466,DATOS_MODELO!$B$2:$B$3672,0))),INDEX(DATOS_MODELO!$U$2:$U$3672,MATCH($H466,DATOS_MODELO!$B$2:$B$3672,0))))))</f>
        <v>5391.6219</v>
      </c>
      <c r="L466" s="8" t="str">
        <f aca="false">IF(LEFT($H466,5)&lt;&gt;"STAT_","",IF(ABS($K466)&lt;=COUNTIFS($B$2:$B$618,$B466,$C$2:$C$618,$C466,$D$2:$D$618,"Energy products",$G$2:$G$618,"&lt;&gt;STAT")*PARAMETROS!$B$6,"redondeo","residuo_estadistico"))</f>
        <v/>
      </c>
      <c r="M466" s="8" t="str">
        <f>IF(OR($I466="USO_NO_ENERGETICO_APARENTE",$I466="USO_ENERGETICO_INTERNO_APARENTE"),"CAL",IF(LEFT($H466,5)="STAT_","FORMULA",IF(COUNTIF(DATOS_MODELO!$B$2:$B$3672,$H466)=1,"OK","REVISAR")))</f>
        <v>OK</v>
      </c>
    </row>
    <row r="467" customFormat="false" ht="15" hidden="false" customHeight="false" outlineLevel="0" collapsed="false">
      <c r="A467" s="4" t="s">
        <v>3018</v>
      </c>
      <c r="B467" s="12" t="n">
        <v>2019</v>
      </c>
      <c r="C467" s="4" t="s">
        <v>88</v>
      </c>
      <c r="D467" s="4" t="s">
        <v>2018</v>
      </c>
      <c r="E467" s="4" t="s">
        <v>1994</v>
      </c>
      <c r="F467" s="4" t="s">
        <v>65</v>
      </c>
      <c r="G467" s="4" t="s">
        <v>64</v>
      </c>
      <c r="H467" s="4" t="s">
        <v>527</v>
      </c>
      <c r="I467" s="4" t="s">
        <v>2044</v>
      </c>
      <c r="J467" s="4" t="s">
        <v>1997</v>
      </c>
      <c r="K467" s="14">
        <f>IF(OR($I467="USO_NO_ENERGETICO_APARENTE",$I467="USO_ENERGETICO_INTERNO_APARENTE"),ROUND(SUMIFS($K$2:$K$618,$B$2:$B$618,$B467,$C$2:$C$618,$C467,$D$2:$D$618,"Energy products",$E$2:$E$618,"Supply",$G$2:$G$618,"&lt;&gt;STAT")-SUMIFS($K$2:$K$618,$B$2:$B$618,$B467,$C$2:$C$618,$C467,$D$2:$D$618,"Energy products",$E$2:$E$618,"Use",$G$2:$G$618,"&lt;&gt;STAT",$I$2:$I$618,"&lt;&gt;USO_NO_ENERGETICO_APARENTE",$I$2:$I$618,"&lt;&gt;USO_ENERGETICO_INTERNO_APARENTE"),10),IF(LEFT($H467,5)="STAT_",ROUND(SUMIFS($K$2:$K$618,$B$2:$B$618,$B467,$C$2:$C$618,$C467,$D$2:$D$618,"Energy products",$E$2:$E$618,"Supply",$G$2:$G$618,"&lt;&gt;STAT")-SUMIFS($K$2:$K$618,$B$2:$B$618,$B467,$C$2:$C$618,$C467,$D$2:$D$618,"Energy products",$E$2:$E$618,"Use",$G$2:$G$618,"&lt;&gt;STAT"),10),IF($J467="cambio de signo",-INDEX(DATOS_MODELO!$U$2:$U$3672,MATCH($H467,DATOS_MODELO!$B$2:$B$3672,0)),IF($J467="valor absoluto",ABS(INDEX(DATOS_MODELO!$U$2:$U$3672,MATCH($H467,DATOS_MODELO!$B$2:$B$3672,0))),INDEX(DATOS_MODELO!$U$2:$U$3672,MATCH($H467,DATOS_MODELO!$B$2:$B$3672,0))))))</f>
        <v>715.4434</v>
      </c>
      <c r="L467" s="8" t="str">
        <f aca="false">IF(LEFT($H467,5)&lt;&gt;"STAT_","",IF(ABS($K467)&lt;=COUNTIFS($B$2:$B$618,$B467,$C$2:$C$618,$C467,$D$2:$D$618,"Energy products",$G$2:$G$618,"&lt;&gt;STAT")*PARAMETROS!$B$6,"redondeo","residuo_estadistico"))</f>
        <v/>
      </c>
      <c r="M467" s="8" t="str">
        <f>IF(OR($I467="USO_NO_ENERGETICO_APARENTE",$I467="USO_ENERGETICO_INTERNO_APARENTE"),"CAL",IF(LEFT($H467,5)="STAT_","FORMULA",IF(COUNTIF(DATOS_MODELO!$B$2:$B$3672,$H467)=1,"OK","REVISAR")))</f>
        <v>OK</v>
      </c>
    </row>
    <row r="468" customFormat="false" ht="15" hidden="false" customHeight="false" outlineLevel="0" collapsed="false">
      <c r="A468" s="4" t="s">
        <v>3020</v>
      </c>
      <c r="B468" s="12" t="n">
        <v>2019</v>
      </c>
      <c r="C468" s="4" t="s">
        <v>88</v>
      </c>
      <c r="D468" s="4" t="s">
        <v>2018</v>
      </c>
      <c r="E468" s="4" t="s">
        <v>2001</v>
      </c>
      <c r="F468" s="4" t="s">
        <v>66</v>
      </c>
      <c r="G468" s="4" t="s">
        <v>67</v>
      </c>
      <c r="H468" s="4" t="s">
        <v>532</v>
      </c>
      <c r="I468" s="4" t="s">
        <v>2003</v>
      </c>
      <c r="J468" s="4" t="s">
        <v>2004</v>
      </c>
      <c r="K468" s="14">
        <f>IF(OR($I468="USO_NO_ENERGETICO_APARENTE",$I468="USO_ENERGETICO_INTERNO_APARENTE"),ROUND(SUMIFS($K$2:$K$618,$B$2:$B$618,$B468,$C$2:$C$618,$C468,$D$2:$D$618,"Energy products",$E$2:$E$618,"Supply",$G$2:$G$618,"&lt;&gt;STAT")-SUMIFS($K$2:$K$618,$B$2:$B$618,$B468,$C$2:$C$618,$C468,$D$2:$D$618,"Energy products",$E$2:$E$618,"Use",$G$2:$G$618,"&lt;&gt;STAT",$I$2:$I$618,"&lt;&gt;USO_NO_ENERGETICO_APARENTE",$I$2:$I$618,"&lt;&gt;USO_ENERGETICO_INTERNO_APARENTE"),10),IF(LEFT($H468,5)="STAT_",ROUND(SUMIFS($K$2:$K$618,$B$2:$B$618,$B468,$C$2:$C$618,$C468,$D$2:$D$618,"Energy products",$E$2:$E$618,"Supply",$G$2:$G$618,"&lt;&gt;STAT")-SUMIFS($K$2:$K$618,$B$2:$B$618,$B468,$C$2:$C$618,$C468,$D$2:$D$618,"Energy products",$E$2:$E$618,"Use",$G$2:$G$618,"&lt;&gt;STAT"),10),IF($J468="cambio de signo",-INDEX(DATOS_MODELO!$U$2:$U$3672,MATCH($H468,DATOS_MODELO!$B$2:$B$3672,0)),IF($J468="valor absoluto",ABS(INDEX(DATOS_MODELO!$U$2:$U$3672,MATCH($H468,DATOS_MODELO!$B$2:$B$3672,0))),INDEX(DATOS_MODELO!$U$2:$U$3672,MATCH($H468,DATOS_MODELO!$B$2:$B$3672,0))))))</f>
        <v>715.4434</v>
      </c>
      <c r="L468" s="8" t="str">
        <f aca="false">IF(LEFT($H468,5)&lt;&gt;"STAT_","",IF(ABS($K468)&lt;=COUNTIFS($B$2:$B$618,$B468,$C$2:$C$618,$C468,$D$2:$D$618,"Energy products",$G$2:$G$618,"&lt;&gt;STAT")*PARAMETROS!$B$6,"redondeo","residuo_estadistico"))</f>
        <v/>
      </c>
      <c r="M468" s="8" t="str">
        <f>IF(OR($I468="USO_NO_ENERGETICO_APARENTE",$I468="USO_ENERGETICO_INTERNO_APARENTE"),"CAL",IF(LEFT($H468,5)="STAT_","FORMULA",IF(COUNTIF(DATOS_MODELO!$B$2:$B$3672,$H468)=1,"OK","REVISAR")))</f>
        <v>OK</v>
      </c>
    </row>
    <row r="469" customFormat="false" ht="15" hidden="false" customHeight="false" outlineLevel="0" collapsed="false">
      <c r="A469" s="4" t="s">
        <v>3022</v>
      </c>
      <c r="B469" s="12" t="n">
        <v>2019</v>
      </c>
      <c r="C469" s="4" t="s">
        <v>95</v>
      </c>
      <c r="D469" s="4" t="s">
        <v>1993</v>
      </c>
      <c r="E469" s="4" t="s">
        <v>1994</v>
      </c>
      <c r="F469" s="4" t="s">
        <v>2029</v>
      </c>
      <c r="G469" s="4" t="s">
        <v>69</v>
      </c>
      <c r="H469" s="4" t="s">
        <v>542</v>
      </c>
      <c r="I469" s="4" t="s">
        <v>2030</v>
      </c>
      <c r="J469" s="4" t="s">
        <v>1997</v>
      </c>
      <c r="K469" s="14">
        <f>IF(OR($I469="USO_NO_ENERGETICO_APARENTE",$I469="USO_ENERGETICO_INTERNO_APARENTE"),ROUND(SUMIFS($K$2:$K$618,$B$2:$B$618,$B469,$C$2:$C$618,$C469,$D$2:$D$618,"Energy products",$E$2:$E$618,"Supply",$G$2:$G$618,"&lt;&gt;STAT")-SUMIFS($K$2:$K$618,$B$2:$B$618,$B469,$C$2:$C$618,$C469,$D$2:$D$618,"Energy products",$E$2:$E$618,"Use",$G$2:$G$618,"&lt;&gt;STAT",$I$2:$I$618,"&lt;&gt;USO_NO_ENERGETICO_APARENTE",$I$2:$I$618,"&lt;&gt;USO_ENERGETICO_INTERNO_APARENTE"),10),IF(LEFT($H469,5)="STAT_",ROUND(SUMIFS($K$2:$K$618,$B$2:$B$618,$B469,$C$2:$C$618,$C469,$D$2:$D$618,"Energy products",$E$2:$E$618,"Supply",$G$2:$G$618,"&lt;&gt;STAT")-SUMIFS($K$2:$K$618,$B$2:$B$618,$B469,$C$2:$C$618,$C469,$D$2:$D$618,"Energy products",$E$2:$E$618,"Use",$G$2:$G$618,"&lt;&gt;STAT"),10),IF($J469="cambio de signo",-INDEX(DATOS_MODELO!$U$2:$U$3672,MATCH($H469,DATOS_MODELO!$B$2:$B$3672,0)),IF($J469="valor absoluto",ABS(INDEX(DATOS_MODELO!$U$2:$U$3672,MATCH($H469,DATOS_MODELO!$B$2:$B$3672,0))),INDEX(DATOS_MODELO!$U$2:$U$3672,MATCH($H469,DATOS_MODELO!$B$2:$B$3672,0))))))</f>
        <v>15556.0426</v>
      </c>
      <c r="L469" s="8" t="str">
        <f aca="false">IF(LEFT($H469,5)&lt;&gt;"STAT_","",IF(ABS($K469)&lt;=COUNTIFS($B$2:$B$618,$B469,$C$2:$C$618,$C469,$D$2:$D$618,"Energy products",$G$2:$G$618,"&lt;&gt;STAT")*PARAMETROS!$B$6,"redondeo","residuo_estadistico"))</f>
        <v/>
      </c>
      <c r="M469" s="8" t="str">
        <f>IF(OR($I469="USO_NO_ENERGETICO_APARENTE",$I469="USO_ENERGETICO_INTERNO_APARENTE"),"CAL",IF(LEFT($H469,5)="STAT_","FORMULA",IF(COUNTIF(DATOS_MODELO!$B$2:$B$3672,$H469)=1,"OK","REVISAR")))</f>
        <v>OK</v>
      </c>
    </row>
    <row r="470" customFormat="false" ht="15" hidden="false" customHeight="false" outlineLevel="0" collapsed="false">
      <c r="A470" s="4" t="s">
        <v>3024</v>
      </c>
      <c r="B470" s="12" t="n">
        <v>2019</v>
      </c>
      <c r="C470" s="4" t="s">
        <v>95</v>
      </c>
      <c r="D470" s="4" t="s">
        <v>1993</v>
      </c>
      <c r="E470" s="4" t="s">
        <v>2001</v>
      </c>
      <c r="F470" s="4" t="s">
        <v>2034</v>
      </c>
      <c r="G470" s="4" t="s">
        <v>74</v>
      </c>
      <c r="H470" s="4" t="s">
        <v>544</v>
      </c>
      <c r="I470" s="4" t="s">
        <v>2035</v>
      </c>
      <c r="J470" s="4" t="s">
        <v>2036</v>
      </c>
      <c r="K470" s="14">
        <f>IF(OR($I470="USO_NO_ENERGETICO_APARENTE",$I470="USO_ENERGETICO_INTERNO_APARENTE"),ROUND(SUMIFS($K$2:$K$618,$B$2:$B$618,$B470,$C$2:$C$618,$C470,$D$2:$D$618,"Energy products",$E$2:$E$618,"Supply",$G$2:$G$618,"&lt;&gt;STAT")-SUMIFS($K$2:$K$618,$B$2:$B$618,$B470,$C$2:$C$618,$C470,$D$2:$D$618,"Energy products",$E$2:$E$618,"Use",$G$2:$G$618,"&lt;&gt;STAT",$I$2:$I$618,"&lt;&gt;USO_NO_ENERGETICO_APARENTE",$I$2:$I$618,"&lt;&gt;USO_ENERGETICO_INTERNO_APARENTE"),10),IF(LEFT($H470,5)="STAT_",ROUND(SUMIFS($K$2:$K$618,$B$2:$B$618,$B470,$C$2:$C$618,$C470,$D$2:$D$618,"Energy products",$E$2:$E$618,"Supply",$G$2:$G$618,"&lt;&gt;STAT")-SUMIFS($K$2:$K$618,$B$2:$B$618,$B470,$C$2:$C$618,$C470,$D$2:$D$618,"Energy products",$E$2:$E$618,"Use",$G$2:$G$618,"&lt;&gt;STAT"),10),IF($J470="cambio de signo",-INDEX(DATOS_MODELO!$U$2:$U$3672,MATCH($H470,DATOS_MODELO!$B$2:$B$3672,0)),IF($J470="valor absoluto",ABS(INDEX(DATOS_MODELO!$U$2:$U$3672,MATCH($H470,DATOS_MODELO!$B$2:$B$3672,0))),INDEX(DATOS_MODELO!$U$2:$U$3672,MATCH($H470,DATOS_MODELO!$B$2:$B$3672,0))))))</f>
        <v>39.7985</v>
      </c>
      <c r="L470" s="8" t="str">
        <f aca="false">IF(LEFT($H470,5)&lt;&gt;"STAT_","",IF(ABS($K470)&lt;=COUNTIFS($B$2:$B$618,$B470,$C$2:$C$618,$C470,$D$2:$D$618,"Energy products",$G$2:$G$618,"&lt;&gt;STAT")*PARAMETROS!$B$6,"redondeo","residuo_estadistico"))</f>
        <v/>
      </c>
      <c r="M470" s="8" t="str">
        <f>IF(OR($I470="USO_NO_ENERGETICO_APARENTE",$I470="USO_ENERGETICO_INTERNO_APARENTE"),"CAL",IF(LEFT($H470,5)="STAT_","FORMULA",IF(COUNTIF(DATOS_MODELO!$B$2:$B$3672,$H470)=1,"OK","REVISAR")))</f>
        <v>OK</v>
      </c>
    </row>
    <row r="471" customFormat="false" ht="15" hidden="false" customHeight="false" outlineLevel="0" collapsed="false">
      <c r="A471" s="4" t="s">
        <v>3026</v>
      </c>
      <c r="B471" s="12" t="n">
        <v>2019</v>
      </c>
      <c r="C471" s="4" t="s">
        <v>95</v>
      </c>
      <c r="D471" s="4" t="s">
        <v>1993</v>
      </c>
      <c r="E471" s="4" t="s">
        <v>2001</v>
      </c>
      <c r="F471" s="4" t="s">
        <v>2002</v>
      </c>
      <c r="G471" s="4" t="s">
        <v>68</v>
      </c>
      <c r="H471" s="4" t="s">
        <v>552</v>
      </c>
      <c r="I471" s="4" t="s">
        <v>2111</v>
      </c>
      <c r="J471" s="4" t="s">
        <v>1997</v>
      </c>
      <c r="K471" s="14">
        <f>IF(OR($I471="USO_NO_ENERGETICO_APARENTE",$I471="USO_ENERGETICO_INTERNO_APARENTE"),ROUND(SUMIFS($K$2:$K$618,$B$2:$B$618,$B471,$C$2:$C$618,$C471,$D$2:$D$618,"Energy products",$E$2:$E$618,"Supply",$G$2:$G$618,"&lt;&gt;STAT")-SUMIFS($K$2:$K$618,$B$2:$B$618,$B471,$C$2:$C$618,$C471,$D$2:$D$618,"Energy products",$E$2:$E$618,"Use",$G$2:$G$618,"&lt;&gt;STAT",$I$2:$I$618,"&lt;&gt;USO_NO_ENERGETICO_APARENTE",$I$2:$I$618,"&lt;&gt;USO_ENERGETICO_INTERNO_APARENTE"),10),IF(LEFT($H471,5)="STAT_",ROUND(SUMIFS($K$2:$K$618,$B$2:$B$618,$B471,$C$2:$C$618,$C471,$D$2:$D$618,"Energy products",$E$2:$E$618,"Supply",$G$2:$G$618,"&lt;&gt;STAT")-SUMIFS($K$2:$K$618,$B$2:$B$618,$B471,$C$2:$C$618,$C471,$D$2:$D$618,"Energy products",$E$2:$E$618,"Use",$G$2:$G$618,"&lt;&gt;STAT"),10),IF($J471="cambio de signo",-INDEX(DATOS_MODELO!$U$2:$U$3672,MATCH($H471,DATOS_MODELO!$B$2:$B$3672,0)),IF($J471="valor absoluto",ABS(INDEX(DATOS_MODELO!$U$2:$U$3672,MATCH($H471,DATOS_MODELO!$B$2:$B$3672,0))),INDEX(DATOS_MODELO!$U$2:$U$3672,MATCH($H471,DATOS_MODELO!$B$2:$B$3672,0))))))</f>
        <v>15516.2441</v>
      </c>
      <c r="L471" s="8" t="str">
        <f aca="false">IF(LEFT($H471,5)&lt;&gt;"STAT_","",IF(ABS($K471)&lt;=COUNTIFS($B$2:$B$618,$B471,$C$2:$C$618,$C471,$D$2:$D$618,"Energy products",$G$2:$G$618,"&lt;&gt;STAT")*PARAMETROS!$B$6,"redondeo","residuo_estadistico"))</f>
        <v/>
      </c>
      <c r="M471" s="8" t="str">
        <f>IF(OR($I471="USO_NO_ENERGETICO_APARENTE",$I471="USO_ENERGETICO_INTERNO_APARENTE"),"CAL",IF(LEFT($H471,5)="STAT_","FORMULA",IF(COUNTIF(DATOS_MODELO!$B$2:$B$3672,$H471)=1,"OK","REVISAR")))</f>
        <v>OK</v>
      </c>
    </row>
    <row r="472" customFormat="false" ht="15" hidden="false" customHeight="false" outlineLevel="0" collapsed="false">
      <c r="A472" s="4" t="s">
        <v>3028</v>
      </c>
      <c r="B472" s="12" t="n">
        <v>2019</v>
      </c>
      <c r="C472" s="4" t="s">
        <v>97</v>
      </c>
      <c r="D472" s="4" t="s">
        <v>1993</v>
      </c>
      <c r="E472" s="4" t="s">
        <v>1994</v>
      </c>
      <c r="F472" s="4" t="s">
        <v>2029</v>
      </c>
      <c r="G472" s="4" t="s">
        <v>69</v>
      </c>
      <c r="H472" s="4" t="s">
        <v>556</v>
      </c>
      <c r="I472" s="4" t="s">
        <v>2030</v>
      </c>
      <c r="J472" s="4" t="s">
        <v>1997</v>
      </c>
      <c r="K472" s="14">
        <f>IF(OR($I472="USO_NO_ENERGETICO_APARENTE",$I472="USO_ENERGETICO_INTERNO_APARENTE"),ROUND(SUMIFS($K$2:$K$618,$B$2:$B$618,$B472,$C$2:$C$618,$C472,$D$2:$D$618,"Energy products",$E$2:$E$618,"Supply",$G$2:$G$618,"&lt;&gt;STAT")-SUMIFS($K$2:$K$618,$B$2:$B$618,$B472,$C$2:$C$618,$C472,$D$2:$D$618,"Energy products",$E$2:$E$618,"Use",$G$2:$G$618,"&lt;&gt;STAT",$I$2:$I$618,"&lt;&gt;USO_NO_ENERGETICO_APARENTE",$I$2:$I$618,"&lt;&gt;USO_ENERGETICO_INTERNO_APARENTE"),10),IF(LEFT($H472,5)="STAT_",ROUND(SUMIFS($K$2:$K$618,$B$2:$B$618,$B472,$C$2:$C$618,$C472,$D$2:$D$618,"Energy products",$E$2:$E$618,"Supply",$G$2:$G$618,"&lt;&gt;STAT")-SUMIFS($K$2:$K$618,$B$2:$B$618,$B472,$C$2:$C$618,$C472,$D$2:$D$618,"Energy products",$E$2:$E$618,"Use",$G$2:$G$618,"&lt;&gt;STAT"),10),IF($J472="cambio de signo",-INDEX(DATOS_MODELO!$U$2:$U$3672,MATCH($H472,DATOS_MODELO!$B$2:$B$3672,0)),IF($J472="valor absoluto",ABS(INDEX(DATOS_MODELO!$U$2:$U$3672,MATCH($H472,DATOS_MODELO!$B$2:$B$3672,0))),INDEX(DATOS_MODELO!$U$2:$U$3672,MATCH($H472,DATOS_MODELO!$B$2:$B$3672,0))))))</f>
        <v>78553.1173</v>
      </c>
      <c r="L472" s="8" t="str">
        <f aca="false">IF(LEFT($H472,5)&lt;&gt;"STAT_","",IF(ABS($K472)&lt;=COUNTIFS($B$2:$B$618,$B472,$C$2:$C$618,$C472,$D$2:$D$618,"Energy products",$G$2:$G$618,"&lt;&gt;STAT")*PARAMETROS!$B$6,"redondeo","residuo_estadistico"))</f>
        <v/>
      </c>
      <c r="M472" s="8" t="str">
        <f>IF(OR($I472="USO_NO_ENERGETICO_APARENTE",$I472="USO_ENERGETICO_INTERNO_APARENTE"),"CAL",IF(LEFT($H472,5)="STAT_","FORMULA",IF(COUNTIF(DATOS_MODELO!$B$2:$B$3672,$H472)=1,"OK","REVISAR")))</f>
        <v>OK</v>
      </c>
    </row>
    <row r="473" customFormat="false" ht="15" hidden="false" customHeight="false" outlineLevel="0" collapsed="false">
      <c r="A473" s="4" t="s">
        <v>3030</v>
      </c>
      <c r="B473" s="12" t="n">
        <v>2019</v>
      </c>
      <c r="C473" s="4" t="s">
        <v>97</v>
      </c>
      <c r="D473" s="4" t="s">
        <v>1993</v>
      </c>
      <c r="E473" s="4" t="s">
        <v>2001</v>
      </c>
      <c r="F473" s="4" t="s">
        <v>2091</v>
      </c>
      <c r="G473" s="4" t="s">
        <v>69</v>
      </c>
      <c r="H473" s="4" t="s">
        <v>557</v>
      </c>
      <c r="I473" s="4" t="s">
        <v>2030</v>
      </c>
      <c r="J473" s="4" t="s">
        <v>1997</v>
      </c>
      <c r="K473" s="14">
        <f>IF(OR($I473="USO_NO_ENERGETICO_APARENTE",$I473="USO_ENERGETICO_INTERNO_APARENTE"),ROUND(SUMIFS($K$2:$K$618,$B$2:$B$618,$B473,$C$2:$C$618,$C473,$D$2:$D$618,"Energy products",$E$2:$E$618,"Supply",$G$2:$G$618,"&lt;&gt;STAT")-SUMIFS($K$2:$K$618,$B$2:$B$618,$B473,$C$2:$C$618,$C473,$D$2:$D$618,"Energy products",$E$2:$E$618,"Use",$G$2:$G$618,"&lt;&gt;STAT",$I$2:$I$618,"&lt;&gt;USO_NO_ENERGETICO_APARENTE",$I$2:$I$618,"&lt;&gt;USO_ENERGETICO_INTERNO_APARENTE"),10),IF(LEFT($H473,5)="STAT_",ROUND(SUMIFS($K$2:$K$618,$B$2:$B$618,$B473,$C$2:$C$618,$C473,$D$2:$D$618,"Energy products",$E$2:$E$618,"Supply",$G$2:$G$618,"&lt;&gt;STAT")-SUMIFS($K$2:$K$618,$B$2:$B$618,$B473,$C$2:$C$618,$C473,$D$2:$D$618,"Energy products",$E$2:$E$618,"Use",$G$2:$G$618,"&lt;&gt;STAT"),10),IF($J473="cambio de signo",-INDEX(DATOS_MODELO!$U$2:$U$3672,MATCH($H473,DATOS_MODELO!$B$2:$B$3672,0)),IF($J473="valor absoluto",ABS(INDEX(DATOS_MODELO!$U$2:$U$3672,MATCH($H473,DATOS_MODELO!$B$2:$B$3672,0))),INDEX(DATOS_MODELO!$U$2:$U$3672,MATCH($H473,DATOS_MODELO!$B$2:$B$3672,0))))))</f>
        <v>382.7047</v>
      </c>
      <c r="L473" s="8" t="str">
        <f aca="false">IF(LEFT($H473,5)&lt;&gt;"STAT_","",IF(ABS($K473)&lt;=COUNTIFS($B$2:$B$618,$B473,$C$2:$C$618,$C473,$D$2:$D$618,"Energy products",$G$2:$G$618,"&lt;&gt;STAT")*PARAMETROS!$B$6,"redondeo","residuo_estadistico"))</f>
        <v/>
      </c>
      <c r="M473" s="8" t="str">
        <f>IF(OR($I473="USO_NO_ENERGETICO_APARENTE",$I473="USO_ENERGETICO_INTERNO_APARENTE"),"CAL",IF(LEFT($H473,5)="STAT_","FORMULA",IF(COUNTIF(DATOS_MODELO!$B$2:$B$3672,$H473)=1,"OK","REVISAR")))</f>
        <v>OK</v>
      </c>
    </row>
    <row r="474" customFormat="false" ht="15" hidden="false" customHeight="false" outlineLevel="0" collapsed="false">
      <c r="A474" s="4" t="s">
        <v>3032</v>
      </c>
      <c r="B474" s="12" t="n">
        <v>2019</v>
      </c>
      <c r="C474" s="4" t="s">
        <v>97</v>
      </c>
      <c r="D474" s="4" t="s">
        <v>1993</v>
      </c>
      <c r="E474" s="4" t="s">
        <v>2001</v>
      </c>
      <c r="F474" s="4" t="s">
        <v>2034</v>
      </c>
      <c r="G474" s="4" t="s">
        <v>74</v>
      </c>
      <c r="H474" s="4" t="s">
        <v>558</v>
      </c>
      <c r="I474" s="4" t="s">
        <v>2035</v>
      </c>
      <c r="J474" s="4" t="s">
        <v>2036</v>
      </c>
      <c r="K474" s="14">
        <f>IF(OR($I474="USO_NO_ENERGETICO_APARENTE",$I474="USO_ENERGETICO_INTERNO_APARENTE"),ROUND(SUMIFS($K$2:$K$618,$B$2:$B$618,$B474,$C$2:$C$618,$C474,$D$2:$D$618,"Energy products",$E$2:$E$618,"Supply",$G$2:$G$618,"&lt;&gt;STAT")-SUMIFS($K$2:$K$618,$B$2:$B$618,$B474,$C$2:$C$618,$C474,$D$2:$D$618,"Energy products",$E$2:$E$618,"Use",$G$2:$G$618,"&lt;&gt;STAT",$I$2:$I$618,"&lt;&gt;USO_NO_ENERGETICO_APARENTE",$I$2:$I$618,"&lt;&gt;USO_ENERGETICO_INTERNO_APARENTE"),10),IF(LEFT($H474,5)="STAT_",ROUND(SUMIFS($K$2:$K$618,$B$2:$B$618,$B474,$C$2:$C$618,$C474,$D$2:$D$618,"Energy products",$E$2:$E$618,"Supply",$G$2:$G$618,"&lt;&gt;STAT")-SUMIFS($K$2:$K$618,$B$2:$B$618,$B474,$C$2:$C$618,$C474,$D$2:$D$618,"Energy products",$E$2:$E$618,"Use",$G$2:$G$618,"&lt;&gt;STAT"),10),IF($J474="cambio de signo",-INDEX(DATOS_MODELO!$U$2:$U$3672,MATCH($H474,DATOS_MODELO!$B$2:$B$3672,0)),IF($J474="valor absoluto",ABS(INDEX(DATOS_MODELO!$U$2:$U$3672,MATCH($H474,DATOS_MODELO!$B$2:$B$3672,0))),INDEX(DATOS_MODELO!$U$2:$U$3672,MATCH($H474,DATOS_MODELO!$B$2:$B$3672,0))))))</f>
        <v>1374.5879</v>
      </c>
      <c r="L474" s="8" t="str">
        <f aca="false">IF(LEFT($H474,5)&lt;&gt;"STAT_","",IF(ABS($K474)&lt;=COUNTIFS($B$2:$B$618,$B474,$C$2:$C$618,$C474,$D$2:$D$618,"Energy products",$G$2:$G$618,"&lt;&gt;STAT")*PARAMETROS!$B$6,"redondeo","residuo_estadistico"))</f>
        <v/>
      </c>
      <c r="M474" s="8" t="str">
        <f>IF(OR($I474="USO_NO_ENERGETICO_APARENTE",$I474="USO_ENERGETICO_INTERNO_APARENTE"),"CAL",IF(LEFT($H474,5)="STAT_","FORMULA",IF(COUNTIF(DATOS_MODELO!$B$2:$B$3672,$H474)=1,"OK","REVISAR")))</f>
        <v>OK</v>
      </c>
    </row>
    <row r="475" customFormat="false" ht="15" hidden="false" customHeight="false" outlineLevel="0" collapsed="false">
      <c r="A475" s="4" t="s">
        <v>3034</v>
      </c>
      <c r="B475" s="12" t="n">
        <v>2019</v>
      </c>
      <c r="C475" s="4" t="s">
        <v>97</v>
      </c>
      <c r="D475" s="4" t="s">
        <v>1993</v>
      </c>
      <c r="E475" s="4" t="s">
        <v>2001</v>
      </c>
      <c r="F475" s="4" t="s">
        <v>2002</v>
      </c>
      <c r="G475" s="4" t="s">
        <v>67</v>
      </c>
      <c r="H475" s="4" t="s">
        <v>560</v>
      </c>
      <c r="I475" s="4" t="s">
        <v>2003</v>
      </c>
      <c r="J475" s="4" t="s">
        <v>2004</v>
      </c>
      <c r="K475" s="14">
        <f>IF(OR($I475="USO_NO_ENERGETICO_APARENTE",$I475="USO_ENERGETICO_INTERNO_APARENTE"),ROUND(SUMIFS($K$2:$K$618,$B$2:$B$618,$B475,$C$2:$C$618,$C475,$D$2:$D$618,"Energy products",$E$2:$E$618,"Supply",$G$2:$G$618,"&lt;&gt;STAT")-SUMIFS($K$2:$K$618,$B$2:$B$618,$B475,$C$2:$C$618,$C475,$D$2:$D$618,"Energy products",$E$2:$E$618,"Use",$G$2:$G$618,"&lt;&gt;STAT",$I$2:$I$618,"&lt;&gt;USO_NO_ENERGETICO_APARENTE",$I$2:$I$618,"&lt;&gt;USO_ENERGETICO_INTERNO_APARENTE"),10),IF(LEFT($H475,5)="STAT_",ROUND(SUMIFS($K$2:$K$618,$B$2:$B$618,$B475,$C$2:$C$618,$C475,$D$2:$D$618,"Energy products",$E$2:$E$618,"Supply",$G$2:$G$618,"&lt;&gt;STAT")-SUMIFS($K$2:$K$618,$B$2:$B$618,$B475,$C$2:$C$618,$C475,$D$2:$D$618,"Energy products",$E$2:$E$618,"Use",$G$2:$G$618,"&lt;&gt;STAT"),10),IF($J475="cambio de signo",-INDEX(DATOS_MODELO!$U$2:$U$3672,MATCH($H475,DATOS_MODELO!$B$2:$B$3672,0)),IF($J475="valor absoluto",ABS(INDEX(DATOS_MODELO!$U$2:$U$3672,MATCH($H475,DATOS_MODELO!$B$2:$B$3672,0))),INDEX(DATOS_MODELO!$U$2:$U$3672,MATCH($H475,DATOS_MODELO!$B$2:$B$3672,0))))))</f>
        <v>110.1576</v>
      </c>
      <c r="L475" s="8" t="str">
        <f aca="false">IF(LEFT($H475,5)&lt;&gt;"STAT_","",IF(ABS($K475)&lt;=COUNTIFS($B$2:$B$618,$B475,$C$2:$C$618,$C475,$D$2:$D$618,"Energy products",$G$2:$G$618,"&lt;&gt;STAT")*PARAMETROS!$B$6,"redondeo","residuo_estadistico"))</f>
        <v/>
      </c>
      <c r="M475" s="8" t="str">
        <f>IF(OR($I475="USO_NO_ENERGETICO_APARENTE",$I475="USO_ENERGETICO_INTERNO_APARENTE"),"CAL",IF(LEFT($H475,5)="STAT_","FORMULA",IF(COUNTIF(DATOS_MODELO!$B$2:$B$3672,$H475)=1,"OK","REVISAR")))</f>
        <v>OK</v>
      </c>
    </row>
    <row r="476" customFormat="false" ht="15" hidden="false" customHeight="false" outlineLevel="0" collapsed="false">
      <c r="A476" s="4" t="s">
        <v>3036</v>
      </c>
      <c r="B476" s="12" t="n">
        <v>2019</v>
      </c>
      <c r="C476" s="4" t="s">
        <v>97</v>
      </c>
      <c r="D476" s="4" t="s">
        <v>1993</v>
      </c>
      <c r="E476" s="4" t="s">
        <v>2001</v>
      </c>
      <c r="F476" s="4" t="s">
        <v>2002</v>
      </c>
      <c r="G476" s="4" t="s">
        <v>71</v>
      </c>
      <c r="H476" s="4" t="s">
        <v>563</v>
      </c>
      <c r="I476" s="4" t="s">
        <v>2123</v>
      </c>
      <c r="J476" s="4" t="s">
        <v>1997</v>
      </c>
      <c r="K476" s="14">
        <f>IF(OR($I476="USO_NO_ENERGETICO_APARENTE",$I476="USO_ENERGETICO_INTERNO_APARENTE"),ROUND(SUMIFS($K$2:$K$618,$B$2:$B$618,$B476,$C$2:$C$618,$C476,$D$2:$D$618,"Energy products",$E$2:$E$618,"Supply",$G$2:$G$618,"&lt;&gt;STAT")-SUMIFS($K$2:$K$618,$B$2:$B$618,$B476,$C$2:$C$618,$C476,$D$2:$D$618,"Energy products",$E$2:$E$618,"Use",$G$2:$G$618,"&lt;&gt;STAT",$I$2:$I$618,"&lt;&gt;USO_NO_ENERGETICO_APARENTE",$I$2:$I$618,"&lt;&gt;USO_ENERGETICO_INTERNO_APARENTE"),10),IF(LEFT($H476,5)="STAT_",ROUND(SUMIFS($K$2:$K$618,$B$2:$B$618,$B476,$C$2:$C$618,$C476,$D$2:$D$618,"Energy products",$E$2:$E$618,"Supply",$G$2:$G$618,"&lt;&gt;STAT")-SUMIFS($K$2:$K$618,$B$2:$B$618,$B476,$C$2:$C$618,$C476,$D$2:$D$618,"Energy products",$E$2:$E$618,"Use",$G$2:$G$618,"&lt;&gt;STAT"),10),IF($J476="cambio de signo",-INDEX(DATOS_MODELO!$U$2:$U$3672,MATCH($H476,DATOS_MODELO!$B$2:$B$3672,0)),IF($J476="valor absoluto",ABS(INDEX(DATOS_MODELO!$U$2:$U$3672,MATCH($H476,DATOS_MODELO!$B$2:$B$3672,0))),INDEX(DATOS_MODELO!$U$2:$U$3672,MATCH($H476,DATOS_MODELO!$B$2:$B$3672,0))))))</f>
        <v>70550.7719</v>
      </c>
      <c r="L476" s="8" t="str">
        <f aca="false">IF(LEFT($H476,5)&lt;&gt;"STAT_","",IF(ABS($K476)&lt;=COUNTIFS($B$2:$B$618,$B476,$C$2:$C$618,$C476,$D$2:$D$618,"Energy products",$G$2:$G$618,"&lt;&gt;STAT")*PARAMETROS!$B$6,"redondeo","residuo_estadistico"))</f>
        <v/>
      </c>
      <c r="M476" s="8" t="str">
        <f>IF(OR($I476="USO_NO_ENERGETICO_APARENTE",$I476="USO_ENERGETICO_INTERNO_APARENTE"),"CAL",IF(LEFT($H476,5)="STAT_","FORMULA",IF(COUNTIF(DATOS_MODELO!$B$2:$B$3672,$H476)=1,"OK","REVISAR")))</f>
        <v>OK</v>
      </c>
    </row>
    <row r="477" customFormat="false" ht="15" hidden="false" customHeight="false" outlineLevel="0" collapsed="false">
      <c r="A477" s="4" t="s">
        <v>3038</v>
      </c>
      <c r="B477" s="12" t="n">
        <v>2019</v>
      </c>
      <c r="C477" s="4" t="s">
        <v>97</v>
      </c>
      <c r="D477" s="4" t="s">
        <v>1993</v>
      </c>
      <c r="E477" s="4" t="s">
        <v>2001</v>
      </c>
      <c r="F477" s="4" t="s">
        <v>2002</v>
      </c>
      <c r="G477" s="4" t="s">
        <v>68</v>
      </c>
      <c r="H477" s="4" t="s">
        <v>566</v>
      </c>
      <c r="I477" s="4" t="s">
        <v>2111</v>
      </c>
      <c r="J477" s="4" t="s">
        <v>1997</v>
      </c>
      <c r="K477" s="14">
        <f>IF(OR($I477="USO_NO_ENERGETICO_APARENTE",$I477="USO_ENERGETICO_INTERNO_APARENTE"),ROUND(SUMIFS($K$2:$K$618,$B$2:$B$618,$B477,$C$2:$C$618,$C477,$D$2:$D$618,"Energy products",$E$2:$E$618,"Supply",$G$2:$G$618,"&lt;&gt;STAT")-SUMIFS($K$2:$K$618,$B$2:$B$618,$B477,$C$2:$C$618,$C477,$D$2:$D$618,"Energy products",$E$2:$E$618,"Use",$G$2:$G$618,"&lt;&gt;STAT",$I$2:$I$618,"&lt;&gt;USO_NO_ENERGETICO_APARENTE",$I$2:$I$618,"&lt;&gt;USO_ENERGETICO_INTERNO_APARENTE"),10),IF(LEFT($H477,5)="STAT_",ROUND(SUMIFS($K$2:$K$618,$B$2:$B$618,$B477,$C$2:$C$618,$C477,$D$2:$D$618,"Energy products",$E$2:$E$618,"Supply",$G$2:$G$618,"&lt;&gt;STAT")-SUMIFS($K$2:$K$618,$B$2:$B$618,$B477,$C$2:$C$618,$C477,$D$2:$D$618,"Energy products",$E$2:$E$618,"Use",$G$2:$G$618,"&lt;&gt;STAT"),10),IF($J477="cambio de signo",-INDEX(DATOS_MODELO!$U$2:$U$3672,MATCH($H477,DATOS_MODELO!$B$2:$B$3672,0)),IF($J477="valor absoluto",ABS(INDEX(DATOS_MODELO!$U$2:$U$3672,MATCH($H477,DATOS_MODELO!$B$2:$B$3672,0))),INDEX(DATOS_MODELO!$U$2:$U$3672,MATCH($H477,DATOS_MODELO!$B$2:$B$3672,0))))))</f>
        <v>6134.8371</v>
      </c>
      <c r="L477" s="8" t="str">
        <f aca="false">IF(LEFT($H477,5)&lt;&gt;"STAT_","",IF(ABS($K477)&lt;=COUNTIFS($B$2:$B$618,$B477,$C$2:$C$618,$C477,$D$2:$D$618,"Energy products",$G$2:$G$618,"&lt;&gt;STAT")*PARAMETROS!$B$6,"redondeo","residuo_estadistico"))</f>
        <v/>
      </c>
      <c r="M477" s="8" t="str">
        <f>IF(OR($I477="USO_NO_ENERGETICO_APARENTE",$I477="USO_ENERGETICO_INTERNO_APARENTE"),"CAL",IF(LEFT($H477,5)="STAT_","FORMULA",IF(COUNTIF(DATOS_MODELO!$B$2:$B$3672,$H477)=1,"OK","REVISAR")))</f>
        <v>OK</v>
      </c>
    </row>
    <row r="478" customFormat="false" ht="15" hidden="false" customHeight="false" outlineLevel="0" collapsed="false">
      <c r="A478" s="4" t="s">
        <v>3040</v>
      </c>
      <c r="B478" s="12" t="n">
        <v>2019</v>
      </c>
      <c r="C478" s="4" t="s">
        <v>99</v>
      </c>
      <c r="D478" s="4" t="s">
        <v>1993</v>
      </c>
      <c r="E478" s="4" t="s">
        <v>1994</v>
      </c>
      <c r="F478" s="4" t="s">
        <v>2029</v>
      </c>
      <c r="G478" s="4" t="s">
        <v>69</v>
      </c>
      <c r="H478" s="4" t="s">
        <v>570</v>
      </c>
      <c r="I478" s="4" t="s">
        <v>2030</v>
      </c>
      <c r="J478" s="4" t="s">
        <v>1997</v>
      </c>
      <c r="K478" s="14">
        <f>IF(OR($I478="USO_NO_ENERGETICO_APARENTE",$I478="USO_ENERGETICO_INTERNO_APARENTE"),ROUND(SUMIFS($K$2:$K$618,$B$2:$B$618,$B478,$C$2:$C$618,$C478,$D$2:$D$618,"Energy products",$E$2:$E$618,"Supply",$G$2:$G$618,"&lt;&gt;STAT")-SUMIFS($K$2:$K$618,$B$2:$B$618,$B478,$C$2:$C$618,$C478,$D$2:$D$618,"Energy products",$E$2:$E$618,"Use",$G$2:$G$618,"&lt;&gt;STAT",$I$2:$I$618,"&lt;&gt;USO_NO_ENERGETICO_APARENTE",$I$2:$I$618,"&lt;&gt;USO_ENERGETICO_INTERNO_APARENTE"),10),IF(LEFT($H478,5)="STAT_",ROUND(SUMIFS($K$2:$K$618,$B$2:$B$618,$B478,$C$2:$C$618,$C478,$D$2:$D$618,"Energy products",$E$2:$E$618,"Supply",$G$2:$G$618,"&lt;&gt;STAT")-SUMIFS($K$2:$K$618,$B$2:$B$618,$B478,$C$2:$C$618,$C478,$D$2:$D$618,"Energy products",$E$2:$E$618,"Use",$G$2:$G$618,"&lt;&gt;STAT"),10),IF($J478="cambio de signo",-INDEX(DATOS_MODELO!$U$2:$U$3672,MATCH($H478,DATOS_MODELO!$B$2:$B$3672,0)),IF($J478="valor absoluto",ABS(INDEX(DATOS_MODELO!$U$2:$U$3672,MATCH($H478,DATOS_MODELO!$B$2:$B$3672,0))),INDEX(DATOS_MODELO!$U$2:$U$3672,MATCH($H478,DATOS_MODELO!$B$2:$B$3672,0))))))</f>
        <v>4105.7527</v>
      </c>
      <c r="L478" s="8" t="str">
        <f aca="false">IF(LEFT($H478,5)&lt;&gt;"STAT_","",IF(ABS($K478)&lt;=COUNTIFS($B$2:$B$618,$B478,$C$2:$C$618,$C478,$D$2:$D$618,"Energy products",$G$2:$G$618,"&lt;&gt;STAT")*PARAMETROS!$B$6,"redondeo","residuo_estadistico"))</f>
        <v/>
      </c>
      <c r="M478" s="8" t="str">
        <f>IF(OR($I478="USO_NO_ENERGETICO_APARENTE",$I478="USO_ENERGETICO_INTERNO_APARENTE"),"CAL",IF(LEFT($H478,5)="STAT_","FORMULA",IF(COUNTIF(DATOS_MODELO!$B$2:$B$3672,$H478)=1,"OK","REVISAR")))</f>
        <v>OK</v>
      </c>
    </row>
    <row r="479" customFormat="false" ht="15" hidden="false" customHeight="false" outlineLevel="0" collapsed="false">
      <c r="A479" s="4" t="s">
        <v>3042</v>
      </c>
      <c r="B479" s="12" t="n">
        <v>2019</v>
      </c>
      <c r="C479" s="4" t="s">
        <v>99</v>
      </c>
      <c r="D479" s="4" t="s">
        <v>1993</v>
      </c>
      <c r="E479" s="4" t="s">
        <v>2001</v>
      </c>
      <c r="F479" s="4" t="s">
        <v>2091</v>
      </c>
      <c r="G479" s="4" t="s">
        <v>69</v>
      </c>
      <c r="H479" s="4" t="s">
        <v>571</v>
      </c>
      <c r="I479" s="4" t="s">
        <v>2030</v>
      </c>
      <c r="J479" s="4" t="s">
        <v>1997</v>
      </c>
      <c r="K479" s="14">
        <f>IF(OR($I479="USO_NO_ENERGETICO_APARENTE",$I479="USO_ENERGETICO_INTERNO_APARENTE"),ROUND(SUMIFS($K$2:$K$618,$B$2:$B$618,$B479,$C$2:$C$618,$C479,$D$2:$D$618,"Energy products",$E$2:$E$618,"Supply",$G$2:$G$618,"&lt;&gt;STAT")-SUMIFS($K$2:$K$618,$B$2:$B$618,$B479,$C$2:$C$618,$C479,$D$2:$D$618,"Energy products",$E$2:$E$618,"Use",$G$2:$G$618,"&lt;&gt;STAT",$I$2:$I$618,"&lt;&gt;USO_NO_ENERGETICO_APARENTE",$I$2:$I$618,"&lt;&gt;USO_ENERGETICO_INTERNO_APARENTE"),10),IF(LEFT($H479,5)="STAT_",ROUND(SUMIFS($K$2:$K$618,$B$2:$B$618,$B479,$C$2:$C$618,$C479,$D$2:$D$618,"Energy products",$E$2:$E$618,"Supply",$G$2:$G$618,"&lt;&gt;STAT")-SUMIFS($K$2:$K$618,$B$2:$B$618,$B479,$C$2:$C$618,$C479,$D$2:$D$618,"Energy products",$E$2:$E$618,"Use",$G$2:$G$618,"&lt;&gt;STAT"),10),IF($J479="cambio de signo",-INDEX(DATOS_MODELO!$U$2:$U$3672,MATCH($H479,DATOS_MODELO!$B$2:$B$3672,0)),IF($J479="valor absoluto",ABS(INDEX(DATOS_MODELO!$U$2:$U$3672,MATCH($H479,DATOS_MODELO!$B$2:$B$3672,0))),INDEX(DATOS_MODELO!$U$2:$U$3672,MATCH($H479,DATOS_MODELO!$B$2:$B$3672,0))))))</f>
        <v>7883.7052</v>
      </c>
      <c r="L479" s="8" t="str">
        <f aca="false">IF(LEFT($H479,5)&lt;&gt;"STAT_","",IF(ABS($K479)&lt;=COUNTIFS($B$2:$B$618,$B479,$C$2:$C$618,$C479,$D$2:$D$618,"Energy products",$G$2:$G$618,"&lt;&gt;STAT")*PARAMETROS!$B$6,"redondeo","residuo_estadistico"))</f>
        <v/>
      </c>
      <c r="M479" s="8" t="str">
        <f>IF(OR($I479="USO_NO_ENERGETICO_APARENTE",$I479="USO_ENERGETICO_INTERNO_APARENTE"),"CAL",IF(LEFT($H479,5)="STAT_","FORMULA",IF(COUNTIF(DATOS_MODELO!$B$2:$B$3672,$H479)=1,"OK","REVISAR")))</f>
        <v>OK</v>
      </c>
    </row>
    <row r="480" customFormat="false" ht="15" hidden="false" customHeight="false" outlineLevel="0" collapsed="false">
      <c r="A480" s="4" t="s">
        <v>3044</v>
      </c>
      <c r="B480" s="12" t="n">
        <v>2019</v>
      </c>
      <c r="C480" s="4" t="s">
        <v>99</v>
      </c>
      <c r="D480" s="4" t="s">
        <v>1993</v>
      </c>
      <c r="E480" s="4" t="s">
        <v>1994</v>
      </c>
      <c r="F480" s="4" t="s">
        <v>1995</v>
      </c>
      <c r="G480" s="4" t="s">
        <v>67</v>
      </c>
      <c r="H480" s="4" t="s">
        <v>574</v>
      </c>
      <c r="I480" s="4" t="s">
        <v>2003</v>
      </c>
      <c r="J480" s="4" t="s">
        <v>1997</v>
      </c>
      <c r="K480" s="14">
        <f>IF(OR($I480="USO_NO_ENERGETICO_APARENTE",$I480="USO_ENERGETICO_INTERNO_APARENTE"),ROUND(SUMIFS($K$2:$K$618,$B$2:$B$618,$B480,$C$2:$C$618,$C480,$D$2:$D$618,"Energy products",$E$2:$E$618,"Supply",$G$2:$G$618,"&lt;&gt;STAT")-SUMIFS($K$2:$K$618,$B$2:$B$618,$B480,$C$2:$C$618,$C480,$D$2:$D$618,"Energy products",$E$2:$E$618,"Use",$G$2:$G$618,"&lt;&gt;STAT",$I$2:$I$618,"&lt;&gt;USO_NO_ENERGETICO_APARENTE",$I$2:$I$618,"&lt;&gt;USO_ENERGETICO_INTERNO_APARENTE"),10),IF(LEFT($H480,5)="STAT_",ROUND(SUMIFS($K$2:$K$618,$B$2:$B$618,$B480,$C$2:$C$618,$C480,$D$2:$D$618,"Energy products",$E$2:$E$618,"Supply",$G$2:$G$618,"&lt;&gt;STAT")-SUMIFS($K$2:$K$618,$B$2:$B$618,$B480,$C$2:$C$618,$C480,$D$2:$D$618,"Energy products",$E$2:$E$618,"Use",$G$2:$G$618,"&lt;&gt;STAT"),10),IF($J480="cambio de signo",-INDEX(DATOS_MODELO!$U$2:$U$3672,MATCH($H480,DATOS_MODELO!$B$2:$B$3672,0)),IF($J480="valor absoluto",ABS(INDEX(DATOS_MODELO!$U$2:$U$3672,MATCH($H480,DATOS_MODELO!$B$2:$B$3672,0))),INDEX(DATOS_MODELO!$U$2:$U$3672,MATCH($H480,DATOS_MODELO!$B$2:$B$3672,0))))))</f>
        <v>45989.2874</v>
      </c>
      <c r="L480" s="8" t="str">
        <f aca="false">IF(LEFT($H480,5)&lt;&gt;"STAT_","",IF(ABS($K480)&lt;=COUNTIFS($B$2:$B$618,$B480,$C$2:$C$618,$C480,$D$2:$D$618,"Energy products",$G$2:$G$618,"&lt;&gt;STAT")*PARAMETROS!$B$6,"redondeo","residuo_estadistico"))</f>
        <v/>
      </c>
      <c r="M480" s="8" t="str">
        <f>IF(OR($I480="USO_NO_ENERGETICO_APARENTE",$I480="USO_ENERGETICO_INTERNO_APARENTE"),"CAL",IF(LEFT($H480,5)="STAT_","FORMULA",IF(COUNTIF(DATOS_MODELO!$B$2:$B$3672,$H480)=1,"OK","REVISAR")))</f>
        <v>OK</v>
      </c>
    </row>
    <row r="481" customFormat="false" ht="15" hidden="false" customHeight="false" outlineLevel="0" collapsed="false">
      <c r="A481" s="4" t="s">
        <v>3046</v>
      </c>
      <c r="B481" s="12" t="n">
        <v>2019</v>
      </c>
      <c r="C481" s="4" t="s">
        <v>99</v>
      </c>
      <c r="D481" s="4" t="s">
        <v>1993</v>
      </c>
      <c r="E481" s="4" t="s">
        <v>1994</v>
      </c>
      <c r="F481" s="4" t="s">
        <v>1995</v>
      </c>
      <c r="G481" s="4" t="s">
        <v>67</v>
      </c>
      <c r="H481" s="4" t="s">
        <v>575</v>
      </c>
      <c r="I481" s="4" t="s">
        <v>2008</v>
      </c>
      <c r="J481" s="4" t="s">
        <v>1997</v>
      </c>
      <c r="K481" s="14">
        <f>IF(OR($I481="USO_NO_ENERGETICO_APARENTE",$I481="USO_ENERGETICO_INTERNO_APARENTE"),ROUND(SUMIFS($K$2:$K$618,$B$2:$B$618,$B481,$C$2:$C$618,$C481,$D$2:$D$618,"Energy products",$E$2:$E$618,"Supply",$G$2:$G$618,"&lt;&gt;STAT")-SUMIFS($K$2:$K$618,$B$2:$B$618,$B481,$C$2:$C$618,$C481,$D$2:$D$618,"Energy products",$E$2:$E$618,"Use",$G$2:$G$618,"&lt;&gt;STAT",$I$2:$I$618,"&lt;&gt;USO_NO_ENERGETICO_APARENTE",$I$2:$I$618,"&lt;&gt;USO_ENERGETICO_INTERNO_APARENTE"),10),IF(LEFT($H481,5)="STAT_",ROUND(SUMIFS($K$2:$K$618,$B$2:$B$618,$B481,$C$2:$C$618,$C481,$D$2:$D$618,"Energy products",$E$2:$E$618,"Supply",$G$2:$G$618,"&lt;&gt;STAT")-SUMIFS($K$2:$K$618,$B$2:$B$618,$B481,$C$2:$C$618,$C481,$D$2:$D$618,"Energy products",$E$2:$E$618,"Use",$G$2:$G$618,"&lt;&gt;STAT"),10),IF($J481="cambio de signo",-INDEX(DATOS_MODELO!$U$2:$U$3672,MATCH($H481,DATOS_MODELO!$B$2:$B$3672,0)),IF($J481="valor absoluto",ABS(INDEX(DATOS_MODELO!$U$2:$U$3672,MATCH($H481,DATOS_MODELO!$B$2:$B$3672,0))),INDEX(DATOS_MODELO!$U$2:$U$3672,MATCH($H481,DATOS_MODELO!$B$2:$B$3672,0))))))</f>
        <v>4708.6564</v>
      </c>
      <c r="L481" s="8" t="str">
        <f aca="false">IF(LEFT($H481,5)&lt;&gt;"STAT_","",IF(ABS($K481)&lt;=COUNTIFS($B$2:$B$618,$B481,$C$2:$C$618,$C481,$D$2:$D$618,"Energy products",$G$2:$G$618,"&lt;&gt;STAT")*PARAMETROS!$B$6,"redondeo","residuo_estadistico"))</f>
        <v/>
      </c>
      <c r="M481" s="8" t="str">
        <f>IF(OR($I481="USO_NO_ENERGETICO_APARENTE",$I481="USO_ENERGETICO_INTERNO_APARENTE"),"CAL",IF(LEFT($H481,5)="STAT_","FORMULA",IF(COUNTIF(DATOS_MODELO!$B$2:$B$3672,$H481)=1,"OK","REVISAR")))</f>
        <v>OK</v>
      </c>
    </row>
    <row r="482" customFormat="false" ht="15" hidden="false" customHeight="false" outlineLevel="0" collapsed="false">
      <c r="A482" s="4" t="s">
        <v>3048</v>
      </c>
      <c r="B482" s="12" t="n">
        <v>2019</v>
      </c>
      <c r="C482" s="4" t="s">
        <v>99</v>
      </c>
      <c r="D482" s="4" t="s">
        <v>1993</v>
      </c>
      <c r="E482" s="4" t="s">
        <v>2001</v>
      </c>
      <c r="F482" s="4" t="s">
        <v>2002</v>
      </c>
      <c r="G482" s="4" t="s">
        <v>67</v>
      </c>
      <c r="H482" s="4" t="s">
        <v>576</v>
      </c>
      <c r="I482" s="4" t="s">
        <v>2139</v>
      </c>
      <c r="J482" s="4" t="s">
        <v>1997</v>
      </c>
      <c r="K482" s="14">
        <f>IF(OR($I482="USO_NO_ENERGETICO_APARENTE",$I482="USO_ENERGETICO_INTERNO_APARENTE"),ROUND(SUMIFS($K$2:$K$618,$B$2:$B$618,$B482,$C$2:$C$618,$C482,$D$2:$D$618,"Energy products",$E$2:$E$618,"Supply",$G$2:$G$618,"&lt;&gt;STAT")-SUMIFS($K$2:$K$618,$B$2:$B$618,$B482,$C$2:$C$618,$C482,$D$2:$D$618,"Energy products",$E$2:$E$618,"Use",$G$2:$G$618,"&lt;&gt;STAT",$I$2:$I$618,"&lt;&gt;USO_NO_ENERGETICO_APARENTE",$I$2:$I$618,"&lt;&gt;USO_ENERGETICO_INTERNO_APARENTE"),10),IF(LEFT($H482,5)="STAT_",ROUND(SUMIFS($K$2:$K$618,$B$2:$B$618,$B482,$C$2:$C$618,$C482,$D$2:$D$618,"Energy products",$E$2:$E$618,"Supply",$G$2:$G$618,"&lt;&gt;STAT")-SUMIFS($K$2:$K$618,$B$2:$B$618,$B482,$C$2:$C$618,$C482,$D$2:$D$618,"Energy products",$E$2:$E$618,"Use",$G$2:$G$618,"&lt;&gt;STAT"),10),IF($J482="cambio de signo",-INDEX(DATOS_MODELO!$U$2:$U$3672,MATCH($H482,DATOS_MODELO!$B$2:$B$3672,0)),IF($J482="valor absoluto",ABS(INDEX(DATOS_MODELO!$U$2:$U$3672,MATCH($H482,DATOS_MODELO!$B$2:$B$3672,0))),INDEX(DATOS_MODELO!$U$2:$U$3672,MATCH($H482,DATOS_MODELO!$B$2:$B$3672,0))))))</f>
        <v>2831.6778</v>
      </c>
      <c r="L482" s="8" t="str">
        <f aca="false">IF(LEFT($H482,5)&lt;&gt;"STAT_","",IF(ABS($K482)&lt;=COUNTIFS($B$2:$B$618,$B482,$C$2:$C$618,$C482,$D$2:$D$618,"Energy products",$G$2:$G$618,"&lt;&gt;STAT")*PARAMETROS!$B$6,"redondeo","residuo_estadistico"))</f>
        <v/>
      </c>
      <c r="M482" s="8" t="str">
        <f>IF(OR($I482="USO_NO_ENERGETICO_APARENTE",$I482="USO_ENERGETICO_INTERNO_APARENTE"),"CAL",IF(LEFT($H482,5)="STAT_","FORMULA",IF(COUNTIF(DATOS_MODELO!$B$2:$B$3672,$H482)=1,"OK","REVISAR")))</f>
        <v>OK</v>
      </c>
    </row>
    <row r="483" customFormat="false" ht="15" hidden="false" customHeight="false" outlineLevel="0" collapsed="false">
      <c r="A483" s="4" t="s">
        <v>3050</v>
      </c>
      <c r="B483" s="12" t="n">
        <v>2019</v>
      </c>
      <c r="C483" s="4" t="s">
        <v>99</v>
      </c>
      <c r="D483" s="4" t="s">
        <v>1993</v>
      </c>
      <c r="E483" s="4" t="s">
        <v>2001</v>
      </c>
      <c r="F483" s="4" t="s">
        <v>2074</v>
      </c>
      <c r="G483" s="4" t="s">
        <v>73</v>
      </c>
      <c r="H483" s="4" t="s">
        <v>578</v>
      </c>
      <c r="I483" s="4" t="s">
        <v>2075</v>
      </c>
      <c r="J483" s="4" t="s">
        <v>1997</v>
      </c>
      <c r="K483" s="14">
        <f>IF(OR($I483="USO_NO_ENERGETICO_APARENTE",$I483="USO_ENERGETICO_INTERNO_APARENTE"),ROUND(SUMIFS($K$2:$K$618,$B$2:$B$618,$B483,$C$2:$C$618,$C483,$D$2:$D$618,"Energy products",$E$2:$E$618,"Supply",$G$2:$G$618,"&lt;&gt;STAT")-SUMIFS($K$2:$K$618,$B$2:$B$618,$B483,$C$2:$C$618,$C483,$D$2:$D$618,"Energy products",$E$2:$E$618,"Use",$G$2:$G$618,"&lt;&gt;STAT",$I$2:$I$618,"&lt;&gt;USO_NO_ENERGETICO_APARENTE",$I$2:$I$618,"&lt;&gt;USO_ENERGETICO_INTERNO_APARENTE"),10),IF(LEFT($H483,5)="STAT_",ROUND(SUMIFS($K$2:$K$618,$B$2:$B$618,$B483,$C$2:$C$618,$C483,$D$2:$D$618,"Energy products",$E$2:$E$618,"Supply",$G$2:$G$618,"&lt;&gt;STAT")-SUMIFS($K$2:$K$618,$B$2:$B$618,$B483,$C$2:$C$618,$C483,$D$2:$D$618,"Energy products",$E$2:$E$618,"Use",$G$2:$G$618,"&lt;&gt;STAT"),10),IF($J483="cambio de signo",-INDEX(DATOS_MODELO!$U$2:$U$3672,MATCH($H483,DATOS_MODELO!$B$2:$B$3672,0)),IF($J483="valor absoluto",ABS(INDEX(DATOS_MODELO!$U$2:$U$3672,MATCH($H483,DATOS_MODELO!$B$2:$B$3672,0))),INDEX(DATOS_MODELO!$U$2:$U$3672,MATCH($H483,DATOS_MODELO!$B$2:$B$3672,0))))))</f>
        <v>13487.1597</v>
      </c>
      <c r="L483" s="8" t="str">
        <f aca="false">IF(LEFT($H483,5)&lt;&gt;"STAT_","",IF(ABS($K483)&lt;=COUNTIFS($B$2:$B$618,$B483,$C$2:$C$618,$C483,$D$2:$D$618,"Energy products",$G$2:$G$618,"&lt;&gt;STAT")*PARAMETROS!$B$6,"redondeo","residuo_estadistico"))</f>
        <v/>
      </c>
      <c r="M483" s="8" t="str">
        <f>IF(OR($I483="USO_NO_ENERGETICO_APARENTE",$I483="USO_ENERGETICO_INTERNO_APARENTE"),"CAL",IF(LEFT($H483,5)="STAT_","FORMULA",IF(COUNTIF(DATOS_MODELO!$B$2:$B$3672,$H483)=1,"OK","REVISAR")))</f>
        <v>OK</v>
      </c>
    </row>
    <row r="484" customFormat="false" ht="15" hidden="false" customHeight="false" outlineLevel="0" collapsed="false">
      <c r="A484" s="4" t="s">
        <v>3052</v>
      </c>
      <c r="B484" s="12" t="n">
        <v>2019</v>
      </c>
      <c r="C484" s="4" t="s">
        <v>99</v>
      </c>
      <c r="D484" s="4" t="s">
        <v>1993</v>
      </c>
      <c r="E484" s="4" t="s">
        <v>2001</v>
      </c>
      <c r="F484" s="4" t="s">
        <v>2002</v>
      </c>
      <c r="G484" s="4" t="s">
        <v>72</v>
      </c>
      <c r="H484" s="4" t="s">
        <v>579</v>
      </c>
      <c r="I484" s="4" t="s">
        <v>2079</v>
      </c>
      <c r="J484" s="4" t="s">
        <v>1997</v>
      </c>
      <c r="K484" s="14">
        <f>IF(OR($I484="USO_NO_ENERGETICO_APARENTE",$I484="USO_ENERGETICO_INTERNO_APARENTE"),ROUND(SUMIFS($K$2:$K$618,$B$2:$B$618,$B484,$C$2:$C$618,$C484,$D$2:$D$618,"Energy products",$E$2:$E$618,"Supply",$G$2:$G$618,"&lt;&gt;STAT")-SUMIFS($K$2:$K$618,$B$2:$B$618,$B484,$C$2:$C$618,$C484,$D$2:$D$618,"Energy products",$E$2:$E$618,"Use",$G$2:$G$618,"&lt;&gt;STAT",$I$2:$I$618,"&lt;&gt;USO_NO_ENERGETICO_APARENTE",$I$2:$I$618,"&lt;&gt;USO_ENERGETICO_INTERNO_APARENTE"),10),IF(LEFT($H484,5)="STAT_",ROUND(SUMIFS($K$2:$K$618,$B$2:$B$618,$B484,$C$2:$C$618,$C484,$D$2:$D$618,"Energy products",$E$2:$E$618,"Supply",$G$2:$G$618,"&lt;&gt;STAT")-SUMIFS($K$2:$K$618,$B$2:$B$618,$B484,$C$2:$C$618,$C484,$D$2:$D$618,"Energy products",$E$2:$E$618,"Use",$G$2:$G$618,"&lt;&gt;STAT"),10),IF($J484="cambio de signo",-INDEX(DATOS_MODELO!$U$2:$U$3672,MATCH($H484,DATOS_MODELO!$B$2:$B$3672,0)),IF($J484="valor absoluto",ABS(INDEX(DATOS_MODELO!$U$2:$U$3672,MATCH($H484,DATOS_MODELO!$B$2:$B$3672,0))),INDEX(DATOS_MODELO!$U$2:$U$3672,MATCH($H484,DATOS_MODELO!$B$2:$B$3672,0))))))</f>
        <v>10428.95</v>
      </c>
      <c r="L484" s="8" t="str">
        <f aca="false">IF(LEFT($H484,5)&lt;&gt;"STAT_","",IF(ABS($K484)&lt;=COUNTIFS($B$2:$B$618,$B484,$C$2:$C$618,$C484,$D$2:$D$618,"Energy products",$G$2:$G$618,"&lt;&gt;STAT")*PARAMETROS!$B$6,"redondeo","residuo_estadistico"))</f>
        <v/>
      </c>
      <c r="M484" s="8" t="str">
        <f>IF(OR($I484="USO_NO_ENERGETICO_APARENTE",$I484="USO_ENERGETICO_INTERNO_APARENTE"),"CAL",IF(LEFT($H484,5)="STAT_","FORMULA",IF(COUNTIF(DATOS_MODELO!$B$2:$B$3672,$H484)=1,"OK","REVISAR")))</f>
        <v>OK</v>
      </c>
    </row>
    <row r="485" customFormat="false" ht="15" hidden="false" customHeight="false" outlineLevel="0" collapsed="false">
      <c r="A485" s="4" t="s">
        <v>3054</v>
      </c>
      <c r="B485" s="12" t="n">
        <v>2019</v>
      </c>
      <c r="C485" s="4" t="s">
        <v>99</v>
      </c>
      <c r="D485" s="4" t="s">
        <v>1993</v>
      </c>
      <c r="E485" s="4" t="s">
        <v>2001</v>
      </c>
      <c r="F485" s="4" t="s">
        <v>2002</v>
      </c>
      <c r="G485" s="4" t="s">
        <v>68</v>
      </c>
      <c r="H485" s="4" t="s">
        <v>580</v>
      </c>
      <c r="I485" s="4" t="s">
        <v>2111</v>
      </c>
      <c r="J485" s="4" t="s">
        <v>1997</v>
      </c>
      <c r="K485" s="14">
        <f>IF(OR($I485="USO_NO_ENERGETICO_APARENTE",$I485="USO_ENERGETICO_INTERNO_APARENTE"),ROUND(SUMIFS($K$2:$K$618,$B$2:$B$618,$B485,$C$2:$C$618,$C485,$D$2:$D$618,"Energy products",$E$2:$E$618,"Supply",$G$2:$G$618,"&lt;&gt;STAT")-SUMIFS($K$2:$K$618,$B$2:$B$618,$B485,$C$2:$C$618,$C485,$D$2:$D$618,"Energy products",$E$2:$E$618,"Use",$G$2:$G$618,"&lt;&gt;STAT",$I$2:$I$618,"&lt;&gt;USO_NO_ENERGETICO_APARENTE",$I$2:$I$618,"&lt;&gt;USO_ENERGETICO_INTERNO_APARENTE"),10),IF(LEFT($H485,5)="STAT_",ROUND(SUMIFS($K$2:$K$618,$B$2:$B$618,$B485,$C$2:$C$618,$C485,$D$2:$D$618,"Energy products",$E$2:$E$618,"Supply",$G$2:$G$618,"&lt;&gt;STAT")-SUMIFS($K$2:$K$618,$B$2:$B$618,$B485,$C$2:$C$618,$C485,$D$2:$D$618,"Energy products",$E$2:$E$618,"Use",$G$2:$G$618,"&lt;&gt;STAT"),10),IF($J485="cambio de signo",-INDEX(DATOS_MODELO!$U$2:$U$3672,MATCH($H485,DATOS_MODELO!$B$2:$B$3672,0)),IF($J485="valor absoluto",ABS(INDEX(DATOS_MODELO!$U$2:$U$3672,MATCH($H485,DATOS_MODELO!$B$2:$B$3672,0))),INDEX(DATOS_MODELO!$U$2:$U$3672,MATCH($H485,DATOS_MODELO!$B$2:$B$3672,0))))))</f>
        <v>14459.8118</v>
      </c>
      <c r="L485" s="8" t="str">
        <f aca="false">IF(LEFT($H485,5)&lt;&gt;"STAT_","",IF(ABS($K485)&lt;=COUNTIFS($B$2:$B$618,$B485,$C$2:$C$618,$C485,$D$2:$D$618,"Energy products",$G$2:$G$618,"&lt;&gt;STAT")*PARAMETROS!$B$6,"redondeo","residuo_estadistico"))</f>
        <v/>
      </c>
      <c r="M485" s="8" t="str">
        <f>IF(OR($I485="USO_NO_ENERGETICO_APARENTE",$I485="USO_ENERGETICO_INTERNO_APARENTE"),"CAL",IF(LEFT($H485,5)="STAT_","FORMULA",IF(COUNTIF(DATOS_MODELO!$B$2:$B$3672,$H485)=1,"OK","REVISAR")))</f>
        <v>OK</v>
      </c>
    </row>
    <row r="486" customFormat="false" ht="15" hidden="false" customHeight="false" outlineLevel="0" collapsed="false">
      <c r="A486" s="4" t="s">
        <v>3056</v>
      </c>
      <c r="B486" s="12" t="n">
        <v>2019</v>
      </c>
      <c r="C486" s="4" t="s">
        <v>99</v>
      </c>
      <c r="D486" s="4" t="s">
        <v>1993</v>
      </c>
      <c r="E486" s="4" t="s">
        <v>2001</v>
      </c>
      <c r="F486" s="4" t="s">
        <v>2002</v>
      </c>
      <c r="G486" s="4" t="s">
        <v>67</v>
      </c>
      <c r="H486" s="4" t="s">
        <v>582</v>
      </c>
      <c r="I486" s="4" t="s">
        <v>2151</v>
      </c>
      <c r="J486" s="4" t="s">
        <v>1997</v>
      </c>
      <c r="K486" s="14">
        <f>IF(OR($I486="USO_NO_ENERGETICO_APARENTE",$I486="USO_ENERGETICO_INTERNO_APARENTE"),ROUND(SUMIFS($K$2:$K$618,$B$2:$B$618,$B486,$C$2:$C$618,$C486,$D$2:$D$618,"Energy products",$E$2:$E$618,"Supply",$G$2:$G$618,"&lt;&gt;STAT")-SUMIFS($K$2:$K$618,$B$2:$B$618,$B486,$C$2:$C$618,$C486,$D$2:$D$618,"Energy products",$E$2:$E$618,"Use",$G$2:$G$618,"&lt;&gt;STAT",$I$2:$I$618,"&lt;&gt;USO_NO_ENERGETICO_APARENTE",$I$2:$I$618,"&lt;&gt;USO_ENERGETICO_INTERNO_APARENTE"),10),IF(LEFT($H486,5)="STAT_",ROUND(SUMIFS($K$2:$K$618,$B$2:$B$618,$B486,$C$2:$C$618,$C486,$D$2:$D$618,"Energy products",$E$2:$E$618,"Supply",$G$2:$G$618,"&lt;&gt;STAT")-SUMIFS($K$2:$K$618,$B$2:$B$618,$B486,$C$2:$C$618,$C486,$D$2:$D$618,"Energy products",$E$2:$E$618,"Use",$G$2:$G$618,"&lt;&gt;STAT"),10),IF($J486="cambio de signo",-INDEX(DATOS_MODELO!$U$2:$U$3672,MATCH($H486,DATOS_MODELO!$B$2:$B$3672,0)),IF($J486="valor absoluto",ABS(INDEX(DATOS_MODELO!$U$2:$U$3672,MATCH($H486,DATOS_MODELO!$B$2:$B$3672,0))),INDEX(DATOS_MODELO!$U$2:$U$3672,MATCH($H486,DATOS_MODELO!$B$2:$B$3672,0))))))</f>
        <v>5712.3339</v>
      </c>
      <c r="L486" s="8" t="str">
        <f aca="false">IF(LEFT($H486,5)&lt;&gt;"STAT_","",IF(ABS($K486)&lt;=COUNTIFS($B$2:$B$618,$B486,$C$2:$C$618,$C486,$D$2:$D$618,"Energy products",$G$2:$G$618,"&lt;&gt;STAT")*PARAMETROS!$B$6,"redondeo","residuo_estadistico"))</f>
        <v/>
      </c>
      <c r="M486" s="8" t="str">
        <f>IF(OR($I486="USO_NO_ENERGETICO_APARENTE",$I486="USO_ENERGETICO_INTERNO_APARENTE"),"CAL",IF(LEFT($H486,5)="STAT_","FORMULA",IF(COUNTIF(DATOS_MODELO!$B$2:$B$3672,$H486)=1,"OK","REVISAR")))</f>
        <v>OK</v>
      </c>
    </row>
    <row r="487" customFormat="false" ht="15" hidden="false" customHeight="false" outlineLevel="0" collapsed="false">
      <c r="A487" s="4" t="s">
        <v>3058</v>
      </c>
      <c r="B487" s="12" t="n">
        <v>2019</v>
      </c>
      <c r="C487" s="4" t="s">
        <v>99</v>
      </c>
      <c r="D487" s="4" t="s">
        <v>2155</v>
      </c>
      <c r="E487" s="4" t="s">
        <v>1994</v>
      </c>
      <c r="F487" s="4" t="s">
        <v>2156</v>
      </c>
      <c r="G487" s="4" t="s">
        <v>67</v>
      </c>
      <c r="H487" s="4" t="s">
        <v>582</v>
      </c>
      <c r="I487" s="4" t="s">
        <v>2151</v>
      </c>
      <c r="J487" s="4" t="s">
        <v>1997</v>
      </c>
      <c r="K487" s="14">
        <f>IF(OR($I487="USO_NO_ENERGETICO_APARENTE",$I487="USO_ENERGETICO_INTERNO_APARENTE"),ROUND(SUMIFS($K$2:$K$618,$B$2:$B$618,$B487,$C$2:$C$618,$C487,$D$2:$D$618,"Energy products",$E$2:$E$618,"Supply",$G$2:$G$618,"&lt;&gt;STAT")-SUMIFS($K$2:$K$618,$B$2:$B$618,$B487,$C$2:$C$618,$C487,$D$2:$D$618,"Energy products",$E$2:$E$618,"Use",$G$2:$G$618,"&lt;&gt;STAT",$I$2:$I$618,"&lt;&gt;USO_NO_ENERGETICO_APARENTE",$I$2:$I$618,"&lt;&gt;USO_ENERGETICO_INTERNO_APARENTE"),10),IF(LEFT($H487,5)="STAT_",ROUND(SUMIFS($K$2:$K$618,$B$2:$B$618,$B487,$C$2:$C$618,$C487,$D$2:$D$618,"Energy products",$E$2:$E$618,"Supply",$G$2:$G$618,"&lt;&gt;STAT")-SUMIFS($K$2:$K$618,$B$2:$B$618,$B487,$C$2:$C$618,$C487,$D$2:$D$618,"Energy products",$E$2:$E$618,"Use",$G$2:$G$618,"&lt;&gt;STAT"),10),IF($J487="cambio de signo",-INDEX(DATOS_MODELO!$U$2:$U$3672,MATCH($H487,DATOS_MODELO!$B$2:$B$3672,0)),IF($J487="valor absoluto",ABS(INDEX(DATOS_MODELO!$U$2:$U$3672,MATCH($H487,DATOS_MODELO!$B$2:$B$3672,0))),INDEX(DATOS_MODELO!$U$2:$U$3672,MATCH($H487,DATOS_MODELO!$B$2:$B$3672,0))))))</f>
        <v>5712.3339</v>
      </c>
      <c r="L487" s="8" t="str">
        <f aca="false">IF(LEFT($H487,5)&lt;&gt;"STAT_","",IF(ABS($K487)&lt;=COUNTIFS($B$2:$B$618,$B487,$C$2:$C$618,$C487,$D$2:$D$618,"Energy products",$G$2:$G$618,"&lt;&gt;STAT")*PARAMETROS!$B$6,"redondeo","residuo_estadistico"))</f>
        <v/>
      </c>
      <c r="M487" s="8" t="str">
        <f>IF(OR($I487="USO_NO_ENERGETICO_APARENTE",$I487="USO_ENERGETICO_INTERNO_APARENTE"),"CAL",IF(LEFT($H487,5)="STAT_","FORMULA",IF(COUNTIF(DATOS_MODELO!$B$2:$B$3672,$H487)=1,"OK","REVISAR")))</f>
        <v>OK</v>
      </c>
    </row>
    <row r="488" customFormat="false" ht="15" hidden="false" customHeight="false" outlineLevel="0" collapsed="false">
      <c r="A488" s="4" t="s">
        <v>3060</v>
      </c>
      <c r="B488" s="12" t="n">
        <v>2019</v>
      </c>
      <c r="C488" s="4" t="s">
        <v>99</v>
      </c>
      <c r="D488" s="4" t="s">
        <v>2155</v>
      </c>
      <c r="E488" s="4" t="s">
        <v>2001</v>
      </c>
      <c r="F488" s="4" t="s">
        <v>2160</v>
      </c>
      <c r="G488" s="4" t="s">
        <v>64</v>
      </c>
      <c r="H488" s="4" t="s">
        <v>582</v>
      </c>
      <c r="I488" s="4" t="s">
        <v>2151</v>
      </c>
      <c r="J488" s="4" t="s">
        <v>1997</v>
      </c>
      <c r="K488" s="14">
        <f>IF(OR($I488="USO_NO_ENERGETICO_APARENTE",$I488="USO_ENERGETICO_INTERNO_APARENTE"),ROUND(SUMIFS($K$2:$K$618,$B$2:$B$618,$B488,$C$2:$C$618,$C488,$D$2:$D$618,"Energy products",$E$2:$E$618,"Supply",$G$2:$G$618,"&lt;&gt;STAT")-SUMIFS($K$2:$K$618,$B$2:$B$618,$B488,$C$2:$C$618,$C488,$D$2:$D$618,"Energy products",$E$2:$E$618,"Use",$G$2:$G$618,"&lt;&gt;STAT",$I$2:$I$618,"&lt;&gt;USO_NO_ENERGETICO_APARENTE",$I$2:$I$618,"&lt;&gt;USO_ENERGETICO_INTERNO_APARENTE"),10),IF(LEFT($H488,5)="STAT_",ROUND(SUMIFS($K$2:$K$618,$B$2:$B$618,$B488,$C$2:$C$618,$C488,$D$2:$D$618,"Energy products",$E$2:$E$618,"Supply",$G$2:$G$618,"&lt;&gt;STAT")-SUMIFS($K$2:$K$618,$B$2:$B$618,$B488,$C$2:$C$618,$C488,$D$2:$D$618,"Energy products",$E$2:$E$618,"Use",$G$2:$G$618,"&lt;&gt;STAT"),10),IF($J488="cambio de signo",-INDEX(DATOS_MODELO!$U$2:$U$3672,MATCH($H488,DATOS_MODELO!$B$2:$B$3672,0)),IF($J488="valor absoluto",ABS(INDEX(DATOS_MODELO!$U$2:$U$3672,MATCH($H488,DATOS_MODELO!$B$2:$B$3672,0))),INDEX(DATOS_MODELO!$U$2:$U$3672,MATCH($H488,DATOS_MODELO!$B$2:$B$3672,0))))))</f>
        <v>5712.3339</v>
      </c>
      <c r="L488" s="8" t="str">
        <f aca="false">IF(LEFT($H488,5)&lt;&gt;"STAT_","",IF(ABS($K488)&lt;=COUNTIFS($B$2:$B$618,$B488,$C$2:$C$618,$C488,$D$2:$D$618,"Energy products",$G$2:$G$618,"&lt;&gt;STAT")*PARAMETROS!$B$6,"redondeo","residuo_estadistico"))</f>
        <v/>
      </c>
      <c r="M488" s="8" t="str">
        <f>IF(OR($I488="USO_NO_ENERGETICO_APARENTE",$I488="USO_ENERGETICO_INTERNO_APARENTE"),"CAL",IF(LEFT($H488,5)="STAT_","FORMULA",IF(COUNTIF(DATOS_MODELO!$B$2:$B$3672,$H488)=1,"OK","REVISAR")))</f>
        <v>OK</v>
      </c>
    </row>
    <row r="489" customFormat="false" ht="15" hidden="false" customHeight="false" outlineLevel="0" collapsed="false">
      <c r="A489" s="4" t="s">
        <v>3062</v>
      </c>
      <c r="B489" s="12" t="n">
        <v>2019</v>
      </c>
      <c r="C489" s="4" t="s">
        <v>101</v>
      </c>
      <c r="D489" s="4" t="s">
        <v>1993</v>
      </c>
      <c r="E489" s="4" t="s">
        <v>1994</v>
      </c>
      <c r="F489" s="4" t="s">
        <v>2029</v>
      </c>
      <c r="G489" s="4" t="s">
        <v>69</v>
      </c>
      <c r="H489" s="4" t="s">
        <v>584</v>
      </c>
      <c r="I489" s="4" t="s">
        <v>2030</v>
      </c>
      <c r="J489" s="4" t="s">
        <v>1997</v>
      </c>
      <c r="K489" s="14">
        <f>IF(OR($I489="USO_NO_ENERGETICO_APARENTE",$I489="USO_ENERGETICO_INTERNO_APARENTE"),ROUND(SUMIFS($K$2:$K$618,$B$2:$B$618,$B489,$C$2:$C$618,$C489,$D$2:$D$618,"Energy products",$E$2:$E$618,"Supply",$G$2:$G$618,"&lt;&gt;STAT")-SUMIFS($K$2:$K$618,$B$2:$B$618,$B489,$C$2:$C$618,$C489,$D$2:$D$618,"Energy products",$E$2:$E$618,"Use",$G$2:$G$618,"&lt;&gt;STAT",$I$2:$I$618,"&lt;&gt;USO_NO_ENERGETICO_APARENTE",$I$2:$I$618,"&lt;&gt;USO_ENERGETICO_INTERNO_APARENTE"),10),IF(LEFT($H489,5)="STAT_",ROUND(SUMIFS($K$2:$K$618,$B$2:$B$618,$B489,$C$2:$C$618,$C489,$D$2:$D$618,"Energy products",$E$2:$E$618,"Supply",$G$2:$G$618,"&lt;&gt;STAT")-SUMIFS($K$2:$K$618,$B$2:$B$618,$B489,$C$2:$C$618,$C489,$D$2:$D$618,"Energy products",$E$2:$E$618,"Use",$G$2:$G$618,"&lt;&gt;STAT"),10),IF($J489="cambio de signo",-INDEX(DATOS_MODELO!$U$2:$U$3672,MATCH($H489,DATOS_MODELO!$B$2:$B$3672,0)),IF($J489="valor absoluto",ABS(INDEX(DATOS_MODELO!$U$2:$U$3672,MATCH($H489,DATOS_MODELO!$B$2:$B$3672,0))),INDEX(DATOS_MODELO!$U$2:$U$3672,MATCH($H489,DATOS_MODELO!$B$2:$B$3672,0))))))</f>
        <v>10838.555</v>
      </c>
      <c r="L489" s="8" t="str">
        <f aca="false">IF(LEFT($H489,5)&lt;&gt;"STAT_","",IF(ABS($K489)&lt;=COUNTIFS($B$2:$B$618,$B489,$C$2:$C$618,$C489,$D$2:$D$618,"Energy products",$G$2:$G$618,"&lt;&gt;STAT")*PARAMETROS!$B$6,"redondeo","residuo_estadistico"))</f>
        <v/>
      </c>
      <c r="M489" s="8" t="str">
        <f>IF(OR($I489="USO_NO_ENERGETICO_APARENTE",$I489="USO_ENERGETICO_INTERNO_APARENTE"),"CAL",IF(LEFT($H489,5)="STAT_","FORMULA",IF(COUNTIF(DATOS_MODELO!$B$2:$B$3672,$H489)=1,"OK","REVISAR")))</f>
        <v>OK</v>
      </c>
    </row>
    <row r="490" customFormat="false" ht="15" hidden="false" customHeight="false" outlineLevel="0" collapsed="false">
      <c r="A490" s="4" t="s">
        <v>3064</v>
      </c>
      <c r="B490" s="12" t="n">
        <v>2019</v>
      </c>
      <c r="C490" s="4" t="s">
        <v>101</v>
      </c>
      <c r="D490" s="4" t="s">
        <v>1993</v>
      </c>
      <c r="E490" s="4" t="s">
        <v>2001</v>
      </c>
      <c r="F490" s="4" t="s">
        <v>2091</v>
      </c>
      <c r="G490" s="4" t="s">
        <v>69</v>
      </c>
      <c r="H490" s="4" t="s">
        <v>585</v>
      </c>
      <c r="I490" s="4" t="s">
        <v>2030</v>
      </c>
      <c r="J490" s="4" t="s">
        <v>1997</v>
      </c>
      <c r="K490" s="14">
        <f>IF(OR($I490="USO_NO_ENERGETICO_APARENTE",$I490="USO_ENERGETICO_INTERNO_APARENTE"),ROUND(SUMIFS($K$2:$K$618,$B$2:$B$618,$B490,$C$2:$C$618,$C490,$D$2:$D$618,"Energy products",$E$2:$E$618,"Supply",$G$2:$G$618,"&lt;&gt;STAT")-SUMIFS($K$2:$K$618,$B$2:$B$618,$B490,$C$2:$C$618,$C490,$D$2:$D$618,"Energy products",$E$2:$E$618,"Use",$G$2:$G$618,"&lt;&gt;STAT",$I$2:$I$618,"&lt;&gt;USO_NO_ENERGETICO_APARENTE",$I$2:$I$618,"&lt;&gt;USO_ENERGETICO_INTERNO_APARENTE"),10),IF(LEFT($H490,5)="STAT_",ROUND(SUMIFS($K$2:$K$618,$B$2:$B$618,$B490,$C$2:$C$618,$C490,$D$2:$D$618,"Energy products",$E$2:$E$618,"Supply",$G$2:$G$618,"&lt;&gt;STAT")-SUMIFS($K$2:$K$618,$B$2:$B$618,$B490,$C$2:$C$618,$C490,$D$2:$D$618,"Energy products",$E$2:$E$618,"Use",$G$2:$G$618,"&lt;&gt;STAT"),10),IF($J490="cambio de signo",-INDEX(DATOS_MODELO!$U$2:$U$3672,MATCH($H490,DATOS_MODELO!$B$2:$B$3672,0)),IF($J490="valor absoluto",ABS(INDEX(DATOS_MODELO!$U$2:$U$3672,MATCH($H490,DATOS_MODELO!$B$2:$B$3672,0))),INDEX(DATOS_MODELO!$U$2:$U$3672,MATCH($H490,DATOS_MODELO!$B$2:$B$3672,0))))))</f>
        <v>678.6661</v>
      </c>
      <c r="L490" s="8" t="str">
        <f aca="false">IF(LEFT($H490,5)&lt;&gt;"STAT_","",IF(ABS($K490)&lt;=COUNTIFS($B$2:$B$618,$B490,$C$2:$C$618,$C490,$D$2:$D$618,"Energy products",$G$2:$G$618,"&lt;&gt;STAT")*PARAMETROS!$B$6,"redondeo","residuo_estadistico"))</f>
        <v/>
      </c>
      <c r="M490" s="8" t="str">
        <f>IF(OR($I490="USO_NO_ENERGETICO_APARENTE",$I490="USO_ENERGETICO_INTERNO_APARENTE"),"CAL",IF(LEFT($H490,5)="STAT_","FORMULA",IF(COUNTIF(DATOS_MODELO!$B$2:$B$3672,$H490)=1,"OK","REVISAR")))</f>
        <v>OK</v>
      </c>
    </row>
    <row r="491" customFormat="false" ht="15" hidden="false" customHeight="false" outlineLevel="0" collapsed="false">
      <c r="A491" s="4" t="s">
        <v>3066</v>
      </c>
      <c r="B491" s="12" t="n">
        <v>2019</v>
      </c>
      <c r="C491" s="4" t="s">
        <v>101</v>
      </c>
      <c r="D491" s="4" t="s">
        <v>1993</v>
      </c>
      <c r="E491" s="4" t="s">
        <v>2001</v>
      </c>
      <c r="F491" s="4" t="s">
        <v>2034</v>
      </c>
      <c r="G491" s="4" t="s">
        <v>74</v>
      </c>
      <c r="H491" s="4" t="s">
        <v>586</v>
      </c>
      <c r="I491" s="4" t="s">
        <v>2035</v>
      </c>
      <c r="J491" s="4" t="s">
        <v>2036</v>
      </c>
      <c r="K491" s="14">
        <f>IF(OR($I491="USO_NO_ENERGETICO_APARENTE",$I491="USO_ENERGETICO_INTERNO_APARENTE"),ROUND(SUMIFS($K$2:$K$618,$B$2:$B$618,$B491,$C$2:$C$618,$C491,$D$2:$D$618,"Energy products",$E$2:$E$618,"Supply",$G$2:$G$618,"&lt;&gt;STAT")-SUMIFS($K$2:$K$618,$B$2:$B$618,$B491,$C$2:$C$618,$C491,$D$2:$D$618,"Energy products",$E$2:$E$618,"Use",$G$2:$G$618,"&lt;&gt;STAT",$I$2:$I$618,"&lt;&gt;USO_NO_ENERGETICO_APARENTE",$I$2:$I$618,"&lt;&gt;USO_ENERGETICO_INTERNO_APARENTE"),10),IF(LEFT($H491,5)="STAT_",ROUND(SUMIFS($K$2:$K$618,$B$2:$B$618,$B491,$C$2:$C$618,$C491,$D$2:$D$618,"Energy products",$E$2:$E$618,"Supply",$G$2:$G$618,"&lt;&gt;STAT")-SUMIFS($K$2:$K$618,$B$2:$B$618,$B491,$C$2:$C$618,$C491,$D$2:$D$618,"Energy products",$E$2:$E$618,"Use",$G$2:$G$618,"&lt;&gt;STAT"),10),IF($J491="cambio de signo",-INDEX(DATOS_MODELO!$U$2:$U$3672,MATCH($H491,DATOS_MODELO!$B$2:$B$3672,0)),IF($J491="valor absoluto",ABS(INDEX(DATOS_MODELO!$U$2:$U$3672,MATCH($H491,DATOS_MODELO!$B$2:$B$3672,0))),INDEX(DATOS_MODELO!$U$2:$U$3672,MATCH($H491,DATOS_MODELO!$B$2:$B$3672,0))))))</f>
        <v>87.6729</v>
      </c>
      <c r="L491" s="8" t="str">
        <f aca="false">IF(LEFT($H491,5)&lt;&gt;"STAT_","",IF(ABS($K491)&lt;=COUNTIFS($B$2:$B$618,$B491,$C$2:$C$618,$C491,$D$2:$D$618,"Energy products",$G$2:$G$618,"&lt;&gt;STAT")*PARAMETROS!$B$6,"redondeo","residuo_estadistico"))</f>
        <v/>
      </c>
      <c r="M491" s="8" t="str">
        <f>IF(OR($I491="USO_NO_ENERGETICO_APARENTE",$I491="USO_ENERGETICO_INTERNO_APARENTE"),"CAL",IF(LEFT($H491,5)="STAT_","FORMULA",IF(COUNTIF(DATOS_MODELO!$B$2:$B$3672,$H491)=1,"OK","REVISAR")))</f>
        <v>OK</v>
      </c>
    </row>
    <row r="492" customFormat="false" ht="15" hidden="false" customHeight="false" outlineLevel="0" collapsed="false">
      <c r="A492" s="4" t="s">
        <v>3068</v>
      </c>
      <c r="B492" s="12" t="n">
        <v>2019</v>
      </c>
      <c r="C492" s="4" t="s">
        <v>101</v>
      </c>
      <c r="D492" s="4" t="s">
        <v>1993</v>
      </c>
      <c r="E492" s="4" t="s">
        <v>2001</v>
      </c>
      <c r="F492" s="4" t="s">
        <v>2002</v>
      </c>
      <c r="G492" s="4" t="s">
        <v>67</v>
      </c>
      <c r="H492" s="4" t="s">
        <v>588</v>
      </c>
      <c r="I492" s="4" t="s">
        <v>2003</v>
      </c>
      <c r="J492" s="4" t="s">
        <v>2004</v>
      </c>
      <c r="K492" s="14">
        <f>IF(OR($I492="USO_NO_ENERGETICO_APARENTE",$I492="USO_ENERGETICO_INTERNO_APARENTE"),ROUND(SUMIFS($K$2:$K$618,$B$2:$B$618,$B492,$C$2:$C$618,$C492,$D$2:$D$618,"Energy products",$E$2:$E$618,"Supply",$G$2:$G$618,"&lt;&gt;STAT")-SUMIFS($K$2:$K$618,$B$2:$B$618,$B492,$C$2:$C$618,$C492,$D$2:$D$618,"Energy products",$E$2:$E$618,"Use",$G$2:$G$618,"&lt;&gt;STAT",$I$2:$I$618,"&lt;&gt;USO_NO_ENERGETICO_APARENTE",$I$2:$I$618,"&lt;&gt;USO_ENERGETICO_INTERNO_APARENTE"),10),IF(LEFT($H492,5)="STAT_",ROUND(SUMIFS($K$2:$K$618,$B$2:$B$618,$B492,$C$2:$C$618,$C492,$D$2:$D$618,"Energy products",$E$2:$E$618,"Supply",$G$2:$G$618,"&lt;&gt;STAT")-SUMIFS($K$2:$K$618,$B$2:$B$618,$B492,$C$2:$C$618,$C492,$D$2:$D$618,"Energy products",$E$2:$E$618,"Use",$G$2:$G$618,"&lt;&gt;STAT"),10),IF($J492="cambio de signo",-INDEX(DATOS_MODELO!$U$2:$U$3672,MATCH($H492,DATOS_MODELO!$B$2:$B$3672,0)),IF($J492="valor absoluto",ABS(INDEX(DATOS_MODELO!$U$2:$U$3672,MATCH($H492,DATOS_MODELO!$B$2:$B$3672,0))),INDEX(DATOS_MODELO!$U$2:$U$3672,MATCH($H492,DATOS_MODELO!$B$2:$B$3672,0))))))</f>
        <v>3783.3558</v>
      </c>
      <c r="L492" s="8" t="str">
        <f aca="false">IF(LEFT($H492,5)&lt;&gt;"STAT_","",IF(ABS($K492)&lt;=COUNTIFS($B$2:$B$618,$B492,$C$2:$C$618,$C492,$D$2:$D$618,"Energy products",$G$2:$G$618,"&lt;&gt;STAT")*PARAMETROS!$B$6,"redondeo","residuo_estadistico"))</f>
        <v/>
      </c>
      <c r="M492" s="8" t="str">
        <f>IF(OR($I492="USO_NO_ENERGETICO_APARENTE",$I492="USO_ENERGETICO_INTERNO_APARENTE"),"CAL",IF(LEFT($H492,5)="STAT_","FORMULA",IF(COUNTIF(DATOS_MODELO!$B$2:$B$3672,$H492)=1,"OK","REVISAR")))</f>
        <v>OK</v>
      </c>
    </row>
    <row r="493" customFormat="false" ht="15" hidden="false" customHeight="false" outlineLevel="0" collapsed="false">
      <c r="A493" s="4" t="s">
        <v>3070</v>
      </c>
      <c r="B493" s="12" t="n">
        <v>2019</v>
      </c>
      <c r="C493" s="4" t="s">
        <v>101</v>
      </c>
      <c r="D493" s="4" t="s">
        <v>1993</v>
      </c>
      <c r="E493" s="4" t="s">
        <v>2001</v>
      </c>
      <c r="F493" s="4" t="s">
        <v>2002</v>
      </c>
      <c r="G493" s="4" t="s">
        <v>67</v>
      </c>
      <c r="H493" s="4" t="s">
        <v>589</v>
      </c>
      <c r="I493" s="4" t="s">
        <v>2008</v>
      </c>
      <c r="J493" s="4" t="s">
        <v>2004</v>
      </c>
      <c r="K493" s="14">
        <f>IF(OR($I493="USO_NO_ENERGETICO_APARENTE",$I493="USO_ENERGETICO_INTERNO_APARENTE"),ROUND(SUMIFS($K$2:$K$618,$B$2:$B$618,$B493,$C$2:$C$618,$C493,$D$2:$D$618,"Energy products",$E$2:$E$618,"Supply",$G$2:$G$618,"&lt;&gt;STAT")-SUMIFS($K$2:$K$618,$B$2:$B$618,$B493,$C$2:$C$618,$C493,$D$2:$D$618,"Energy products",$E$2:$E$618,"Use",$G$2:$G$618,"&lt;&gt;STAT",$I$2:$I$618,"&lt;&gt;USO_NO_ENERGETICO_APARENTE",$I$2:$I$618,"&lt;&gt;USO_ENERGETICO_INTERNO_APARENTE"),10),IF(LEFT($H493,5)="STAT_",ROUND(SUMIFS($K$2:$K$618,$B$2:$B$618,$B493,$C$2:$C$618,$C493,$D$2:$D$618,"Energy products",$E$2:$E$618,"Supply",$G$2:$G$618,"&lt;&gt;STAT")-SUMIFS($K$2:$K$618,$B$2:$B$618,$B493,$C$2:$C$618,$C493,$D$2:$D$618,"Energy products",$E$2:$E$618,"Use",$G$2:$G$618,"&lt;&gt;STAT"),10),IF($J493="cambio de signo",-INDEX(DATOS_MODELO!$U$2:$U$3672,MATCH($H493,DATOS_MODELO!$B$2:$B$3672,0)),IF($J493="valor absoluto",ABS(INDEX(DATOS_MODELO!$U$2:$U$3672,MATCH($H493,DATOS_MODELO!$B$2:$B$3672,0))),INDEX(DATOS_MODELO!$U$2:$U$3672,MATCH($H493,DATOS_MODELO!$B$2:$B$3672,0))))))</f>
        <v>417.2742</v>
      </c>
      <c r="L493" s="8" t="str">
        <f aca="false">IF(LEFT($H493,5)&lt;&gt;"STAT_","",IF(ABS($K493)&lt;=COUNTIFS($B$2:$B$618,$B493,$C$2:$C$618,$C493,$D$2:$D$618,"Energy products",$G$2:$G$618,"&lt;&gt;STAT")*PARAMETROS!$B$6,"redondeo","residuo_estadistico"))</f>
        <v/>
      </c>
      <c r="M493" s="8" t="str">
        <f>IF(OR($I493="USO_NO_ENERGETICO_APARENTE",$I493="USO_ENERGETICO_INTERNO_APARENTE"),"CAL",IF(LEFT($H493,5)="STAT_","FORMULA",IF(COUNTIF(DATOS_MODELO!$B$2:$B$3672,$H493)=1,"OK","REVISAR")))</f>
        <v>OK</v>
      </c>
    </row>
    <row r="494" customFormat="false" ht="15" hidden="false" customHeight="false" outlineLevel="0" collapsed="false">
      <c r="A494" s="4" t="s">
        <v>3072</v>
      </c>
      <c r="B494" s="12" t="n">
        <v>2019</v>
      </c>
      <c r="C494" s="4" t="s">
        <v>101</v>
      </c>
      <c r="D494" s="4" t="s">
        <v>1993</v>
      </c>
      <c r="E494" s="4" t="s">
        <v>2001</v>
      </c>
      <c r="F494" s="4" t="s">
        <v>2002</v>
      </c>
      <c r="G494" s="4" t="s">
        <v>68</v>
      </c>
      <c r="H494" s="4" t="s">
        <v>594</v>
      </c>
      <c r="I494" s="4" t="s">
        <v>2111</v>
      </c>
      <c r="J494" s="4" t="s">
        <v>1997</v>
      </c>
      <c r="K494" s="14">
        <f>IF(OR($I494="USO_NO_ENERGETICO_APARENTE",$I494="USO_ENERGETICO_INTERNO_APARENTE"),ROUND(SUMIFS($K$2:$K$618,$B$2:$B$618,$B494,$C$2:$C$618,$C494,$D$2:$D$618,"Energy products",$E$2:$E$618,"Supply",$G$2:$G$618,"&lt;&gt;STAT")-SUMIFS($K$2:$K$618,$B$2:$B$618,$B494,$C$2:$C$618,$C494,$D$2:$D$618,"Energy products",$E$2:$E$618,"Use",$G$2:$G$618,"&lt;&gt;STAT",$I$2:$I$618,"&lt;&gt;USO_NO_ENERGETICO_APARENTE",$I$2:$I$618,"&lt;&gt;USO_ENERGETICO_INTERNO_APARENTE"),10),IF(LEFT($H494,5)="STAT_",ROUND(SUMIFS($K$2:$K$618,$B$2:$B$618,$B494,$C$2:$C$618,$C494,$D$2:$D$618,"Energy products",$E$2:$E$618,"Supply",$G$2:$G$618,"&lt;&gt;STAT")-SUMIFS($K$2:$K$618,$B$2:$B$618,$B494,$C$2:$C$618,$C494,$D$2:$D$618,"Energy products",$E$2:$E$618,"Use",$G$2:$G$618,"&lt;&gt;STAT"),10),IF($J494="cambio de signo",-INDEX(DATOS_MODELO!$U$2:$U$3672,MATCH($H494,DATOS_MODELO!$B$2:$B$3672,0)),IF($J494="valor absoluto",ABS(INDEX(DATOS_MODELO!$U$2:$U$3672,MATCH($H494,DATOS_MODELO!$B$2:$B$3672,0))),INDEX(DATOS_MODELO!$U$2:$U$3672,MATCH($H494,DATOS_MODELO!$B$2:$B$3672,0))))))</f>
        <v>5871.586</v>
      </c>
      <c r="L494" s="8" t="str">
        <f aca="false">IF(LEFT($H494,5)&lt;&gt;"STAT_","",IF(ABS($K494)&lt;=COUNTIFS($B$2:$B$618,$B494,$C$2:$C$618,$C494,$D$2:$D$618,"Energy products",$G$2:$G$618,"&lt;&gt;STAT")*PARAMETROS!$B$6,"redondeo","residuo_estadistico"))</f>
        <v/>
      </c>
      <c r="M494" s="8" t="str">
        <f>IF(OR($I494="USO_NO_ENERGETICO_APARENTE",$I494="USO_ENERGETICO_INTERNO_APARENTE"),"CAL",IF(LEFT($H494,5)="STAT_","FORMULA",IF(COUNTIF(DATOS_MODELO!$B$2:$B$3672,$H494)=1,"OK","REVISAR")))</f>
        <v>OK</v>
      </c>
    </row>
    <row r="495" customFormat="false" ht="15" hidden="false" customHeight="false" outlineLevel="0" collapsed="false">
      <c r="A495" s="4" t="s">
        <v>3074</v>
      </c>
      <c r="B495" s="12" t="n">
        <v>2019</v>
      </c>
      <c r="C495" s="4" t="s">
        <v>103</v>
      </c>
      <c r="D495" s="4" t="s">
        <v>1993</v>
      </c>
      <c r="E495" s="4" t="s">
        <v>1994</v>
      </c>
      <c r="F495" s="4" t="s">
        <v>2029</v>
      </c>
      <c r="G495" s="4" t="s">
        <v>69</v>
      </c>
      <c r="H495" s="4" t="s">
        <v>598</v>
      </c>
      <c r="I495" s="4" t="s">
        <v>2030</v>
      </c>
      <c r="J495" s="4" t="s">
        <v>1997</v>
      </c>
      <c r="K495" s="14">
        <f>IF(OR($I495="USO_NO_ENERGETICO_APARENTE",$I495="USO_ENERGETICO_INTERNO_APARENTE"),ROUND(SUMIFS($K$2:$K$618,$B$2:$B$618,$B495,$C$2:$C$618,$C495,$D$2:$D$618,"Energy products",$E$2:$E$618,"Supply",$G$2:$G$618,"&lt;&gt;STAT")-SUMIFS($K$2:$K$618,$B$2:$B$618,$B495,$C$2:$C$618,$C495,$D$2:$D$618,"Energy products",$E$2:$E$618,"Use",$G$2:$G$618,"&lt;&gt;STAT",$I$2:$I$618,"&lt;&gt;USO_NO_ENERGETICO_APARENTE",$I$2:$I$618,"&lt;&gt;USO_ENERGETICO_INTERNO_APARENTE"),10),IF(LEFT($H495,5)="STAT_",ROUND(SUMIFS($K$2:$K$618,$B$2:$B$618,$B495,$C$2:$C$618,$C495,$D$2:$D$618,"Energy products",$E$2:$E$618,"Supply",$G$2:$G$618,"&lt;&gt;STAT")-SUMIFS($K$2:$K$618,$B$2:$B$618,$B495,$C$2:$C$618,$C495,$D$2:$D$618,"Energy products",$E$2:$E$618,"Use",$G$2:$G$618,"&lt;&gt;STAT"),10),IF($J495="cambio de signo",-INDEX(DATOS_MODELO!$U$2:$U$3672,MATCH($H495,DATOS_MODELO!$B$2:$B$3672,0)),IF($J495="valor absoluto",ABS(INDEX(DATOS_MODELO!$U$2:$U$3672,MATCH($H495,DATOS_MODELO!$B$2:$B$3672,0))),INDEX(DATOS_MODELO!$U$2:$U$3672,MATCH($H495,DATOS_MODELO!$B$2:$B$3672,0))))))</f>
        <v>82284.0088</v>
      </c>
      <c r="L495" s="8" t="str">
        <f aca="false">IF(LEFT($H495,5)&lt;&gt;"STAT_","",IF(ABS($K495)&lt;=COUNTIFS($B$2:$B$618,$B495,$C$2:$C$618,$C495,$D$2:$D$618,"Energy products",$G$2:$G$618,"&lt;&gt;STAT")*PARAMETROS!$B$6,"redondeo","residuo_estadistico"))</f>
        <v/>
      </c>
      <c r="M495" s="8" t="str">
        <f>IF(OR($I495="USO_NO_ENERGETICO_APARENTE",$I495="USO_ENERGETICO_INTERNO_APARENTE"),"CAL",IF(LEFT($H495,5)="STAT_","FORMULA",IF(COUNTIF(DATOS_MODELO!$B$2:$B$3672,$H495)=1,"OK","REVISAR")))</f>
        <v>OK</v>
      </c>
    </row>
    <row r="496" customFormat="false" ht="15" hidden="false" customHeight="false" outlineLevel="0" collapsed="false">
      <c r="A496" s="4" t="s">
        <v>3076</v>
      </c>
      <c r="B496" s="12" t="n">
        <v>2019</v>
      </c>
      <c r="C496" s="4" t="s">
        <v>103</v>
      </c>
      <c r="D496" s="4" t="s">
        <v>1993</v>
      </c>
      <c r="E496" s="4" t="s">
        <v>2001</v>
      </c>
      <c r="F496" s="4" t="s">
        <v>2091</v>
      </c>
      <c r="G496" s="4" t="s">
        <v>69</v>
      </c>
      <c r="H496" s="4" t="s">
        <v>599</v>
      </c>
      <c r="I496" s="4" t="s">
        <v>2030</v>
      </c>
      <c r="J496" s="4" t="s">
        <v>1997</v>
      </c>
      <c r="K496" s="14">
        <f>IF(OR($I496="USO_NO_ENERGETICO_APARENTE",$I496="USO_ENERGETICO_INTERNO_APARENTE"),ROUND(SUMIFS($K$2:$K$618,$B$2:$B$618,$B496,$C$2:$C$618,$C496,$D$2:$D$618,"Energy products",$E$2:$E$618,"Supply",$G$2:$G$618,"&lt;&gt;STAT")-SUMIFS($K$2:$K$618,$B$2:$B$618,$B496,$C$2:$C$618,$C496,$D$2:$D$618,"Energy products",$E$2:$E$618,"Use",$G$2:$G$618,"&lt;&gt;STAT",$I$2:$I$618,"&lt;&gt;USO_NO_ENERGETICO_APARENTE",$I$2:$I$618,"&lt;&gt;USO_ENERGETICO_INTERNO_APARENTE"),10),IF(LEFT($H496,5)="STAT_",ROUND(SUMIFS($K$2:$K$618,$B$2:$B$618,$B496,$C$2:$C$618,$C496,$D$2:$D$618,"Energy products",$E$2:$E$618,"Supply",$G$2:$G$618,"&lt;&gt;STAT")-SUMIFS($K$2:$K$618,$B$2:$B$618,$B496,$C$2:$C$618,$C496,$D$2:$D$618,"Energy products",$E$2:$E$618,"Use",$G$2:$G$618,"&lt;&gt;STAT"),10),IF($J496="cambio de signo",-INDEX(DATOS_MODELO!$U$2:$U$3672,MATCH($H496,DATOS_MODELO!$B$2:$B$3672,0)),IF($J496="valor absoluto",ABS(INDEX(DATOS_MODELO!$U$2:$U$3672,MATCH($H496,DATOS_MODELO!$B$2:$B$3672,0))),INDEX(DATOS_MODELO!$U$2:$U$3672,MATCH($H496,DATOS_MODELO!$B$2:$B$3672,0))))))</f>
        <v>1694.8932</v>
      </c>
      <c r="L496" s="8" t="str">
        <f aca="false">IF(LEFT($H496,5)&lt;&gt;"STAT_","",IF(ABS($K496)&lt;=COUNTIFS($B$2:$B$618,$B496,$C$2:$C$618,$C496,$D$2:$D$618,"Energy products",$G$2:$G$618,"&lt;&gt;STAT")*PARAMETROS!$B$6,"redondeo","residuo_estadistico"))</f>
        <v/>
      </c>
      <c r="M496" s="8" t="str">
        <f>IF(OR($I496="USO_NO_ENERGETICO_APARENTE",$I496="USO_ENERGETICO_INTERNO_APARENTE"),"CAL",IF(LEFT($H496,5)="STAT_","FORMULA",IF(COUNTIF(DATOS_MODELO!$B$2:$B$3672,$H496)=1,"OK","REVISAR")))</f>
        <v>OK</v>
      </c>
    </row>
    <row r="497" customFormat="false" ht="15" hidden="false" customHeight="false" outlineLevel="0" collapsed="false">
      <c r="A497" s="4" t="s">
        <v>3078</v>
      </c>
      <c r="B497" s="12" t="n">
        <v>2019</v>
      </c>
      <c r="C497" s="4" t="s">
        <v>103</v>
      </c>
      <c r="D497" s="4" t="s">
        <v>1993</v>
      </c>
      <c r="E497" s="4" t="s">
        <v>2001</v>
      </c>
      <c r="F497" s="4" t="s">
        <v>2034</v>
      </c>
      <c r="G497" s="4" t="s">
        <v>74</v>
      </c>
      <c r="H497" s="4" t="s">
        <v>600</v>
      </c>
      <c r="I497" s="4" t="s">
        <v>2035</v>
      </c>
      <c r="J497" s="4" t="s">
        <v>2036</v>
      </c>
      <c r="K497" s="14">
        <f>IF(OR($I497="USO_NO_ENERGETICO_APARENTE",$I497="USO_ENERGETICO_INTERNO_APARENTE"),ROUND(SUMIFS($K$2:$K$618,$B$2:$B$618,$B497,$C$2:$C$618,$C497,$D$2:$D$618,"Energy products",$E$2:$E$618,"Supply",$G$2:$G$618,"&lt;&gt;STAT")-SUMIFS($K$2:$K$618,$B$2:$B$618,$B497,$C$2:$C$618,$C497,$D$2:$D$618,"Energy products",$E$2:$E$618,"Use",$G$2:$G$618,"&lt;&gt;STAT",$I$2:$I$618,"&lt;&gt;USO_NO_ENERGETICO_APARENTE",$I$2:$I$618,"&lt;&gt;USO_ENERGETICO_INTERNO_APARENTE"),10),IF(LEFT($H497,5)="STAT_",ROUND(SUMIFS($K$2:$K$618,$B$2:$B$618,$B497,$C$2:$C$618,$C497,$D$2:$D$618,"Energy products",$E$2:$E$618,"Supply",$G$2:$G$618,"&lt;&gt;STAT")-SUMIFS($K$2:$K$618,$B$2:$B$618,$B497,$C$2:$C$618,$C497,$D$2:$D$618,"Energy products",$E$2:$E$618,"Use",$G$2:$G$618,"&lt;&gt;STAT"),10),IF($J497="cambio de signo",-INDEX(DATOS_MODELO!$U$2:$U$3672,MATCH($H497,DATOS_MODELO!$B$2:$B$3672,0)),IF($J497="valor absoluto",ABS(INDEX(DATOS_MODELO!$U$2:$U$3672,MATCH($H497,DATOS_MODELO!$B$2:$B$3672,0))),INDEX(DATOS_MODELO!$U$2:$U$3672,MATCH($H497,DATOS_MODELO!$B$2:$B$3672,0))))))</f>
        <v>2408.3031</v>
      </c>
      <c r="L497" s="8" t="str">
        <f aca="false">IF(LEFT($H497,5)&lt;&gt;"STAT_","",IF(ABS($K497)&lt;=COUNTIFS($B$2:$B$618,$B497,$C$2:$C$618,$C497,$D$2:$D$618,"Energy products",$G$2:$G$618,"&lt;&gt;STAT")*PARAMETROS!$B$6,"redondeo","residuo_estadistico"))</f>
        <v/>
      </c>
      <c r="M497" s="8" t="str">
        <f>IF(OR($I497="USO_NO_ENERGETICO_APARENTE",$I497="USO_ENERGETICO_INTERNO_APARENTE"),"CAL",IF(LEFT($H497,5)="STAT_","FORMULA",IF(COUNTIF(DATOS_MODELO!$B$2:$B$3672,$H497)=1,"OK","REVISAR")))</f>
        <v>OK</v>
      </c>
    </row>
    <row r="498" customFormat="false" ht="15" hidden="false" customHeight="false" outlineLevel="0" collapsed="false">
      <c r="A498" s="4" t="s">
        <v>3080</v>
      </c>
      <c r="B498" s="12" t="n">
        <v>2019</v>
      </c>
      <c r="C498" s="4" t="s">
        <v>103</v>
      </c>
      <c r="D498" s="4" t="s">
        <v>1993</v>
      </c>
      <c r="E498" s="4" t="s">
        <v>2001</v>
      </c>
      <c r="F498" s="4" t="s">
        <v>2002</v>
      </c>
      <c r="G498" s="4" t="s">
        <v>71</v>
      </c>
      <c r="H498" s="4" t="s">
        <v>605</v>
      </c>
      <c r="I498" s="4" t="s">
        <v>2123</v>
      </c>
      <c r="J498" s="4" t="s">
        <v>1997</v>
      </c>
      <c r="K498" s="14">
        <f>IF(OR($I498="USO_NO_ENERGETICO_APARENTE",$I498="USO_ENERGETICO_INTERNO_APARENTE"),ROUND(SUMIFS($K$2:$K$618,$B$2:$B$618,$B498,$C$2:$C$618,$C498,$D$2:$D$618,"Energy products",$E$2:$E$618,"Supply",$G$2:$G$618,"&lt;&gt;STAT")-SUMIFS($K$2:$K$618,$B$2:$B$618,$B498,$C$2:$C$618,$C498,$D$2:$D$618,"Energy products",$E$2:$E$618,"Use",$G$2:$G$618,"&lt;&gt;STAT",$I$2:$I$618,"&lt;&gt;USO_NO_ENERGETICO_APARENTE",$I$2:$I$618,"&lt;&gt;USO_ENERGETICO_INTERNO_APARENTE"),10),IF(LEFT($H498,5)="STAT_",ROUND(SUMIFS($K$2:$K$618,$B$2:$B$618,$B498,$C$2:$C$618,$C498,$D$2:$D$618,"Energy products",$E$2:$E$618,"Supply",$G$2:$G$618,"&lt;&gt;STAT")-SUMIFS($K$2:$K$618,$B$2:$B$618,$B498,$C$2:$C$618,$C498,$D$2:$D$618,"Energy products",$E$2:$E$618,"Use",$G$2:$G$618,"&lt;&gt;STAT"),10),IF($J498="cambio de signo",-INDEX(DATOS_MODELO!$U$2:$U$3672,MATCH($H498,DATOS_MODELO!$B$2:$B$3672,0)),IF($J498="valor absoluto",ABS(INDEX(DATOS_MODELO!$U$2:$U$3672,MATCH($H498,DATOS_MODELO!$B$2:$B$3672,0))),INDEX(DATOS_MODELO!$U$2:$U$3672,MATCH($H498,DATOS_MODELO!$B$2:$B$3672,0))))))</f>
        <v>65525.8772</v>
      </c>
      <c r="L498" s="8" t="str">
        <f aca="false">IF(LEFT($H498,5)&lt;&gt;"STAT_","",IF(ABS($K498)&lt;=COUNTIFS($B$2:$B$618,$B498,$C$2:$C$618,$C498,$D$2:$D$618,"Energy products",$G$2:$G$618,"&lt;&gt;STAT")*PARAMETROS!$B$6,"redondeo","residuo_estadistico"))</f>
        <v/>
      </c>
      <c r="M498" s="8" t="str">
        <f>IF(OR($I498="USO_NO_ENERGETICO_APARENTE",$I498="USO_ENERGETICO_INTERNO_APARENTE"),"CAL",IF(LEFT($H498,5)="STAT_","FORMULA",IF(COUNTIF(DATOS_MODELO!$B$2:$B$3672,$H498)=1,"OK","REVISAR")))</f>
        <v>OK</v>
      </c>
    </row>
    <row r="499" customFormat="false" ht="15" hidden="false" customHeight="false" outlineLevel="0" collapsed="false">
      <c r="A499" s="4" t="s">
        <v>3082</v>
      </c>
      <c r="B499" s="12" t="n">
        <v>2019</v>
      </c>
      <c r="C499" s="4" t="s">
        <v>103</v>
      </c>
      <c r="D499" s="4" t="s">
        <v>1993</v>
      </c>
      <c r="E499" s="4" t="s">
        <v>2001</v>
      </c>
      <c r="F499" s="4" t="s">
        <v>2002</v>
      </c>
      <c r="G499" s="4" t="s">
        <v>72</v>
      </c>
      <c r="H499" s="4" t="s">
        <v>607</v>
      </c>
      <c r="I499" s="4" t="s">
        <v>2079</v>
      </c>
      <c r="J499" s="4" t="s">
        <v>1997</v>
      </c>
      <c r="K499" s="14">
        <f>IF(OR($I499="USO_NO_ENERGETICO_APARENTE",$I499="USO_ENERGETICO_INTERNO_APARENTE"),ROUND(SUMIFS($K$2:$K$618,$B$2:$B$618,$B499,$C$2:$C$618,$C499,$D$2:$D$618,"Energy products",$E$2:$E$618,"Supply",$G$2:$G$618,"&lt;&gt;STAT")-SUMIFS($K$2:$K$618,$B$2:$B$618,$B499,$C$2:$C$618,$C499,$D$2:$D$618,"Energy products",$E$2:$E$618,"Use",$G$2:$G$618,"&lt;&gt;STAT",$I$2:$I$618,"&lt;&gt;USO_NO_ENERGETICO_APARENTE",$I$2:$I$618,"&lt;&gt;USO_ENERGETICO_INTERNO_APARENTE"),10),IF(LEFT($H499,5)="STAT_",ROUND(SUMIFS($K$2:$K$618,$B$2:$B$618,$B499,$C$2:$C$618,$C499,$D$2:$D$618,"Energy products",$E$2:$E$618,"Supply",$G$2:$G$618,"&lt;&gt;STAT")-SUMIFS($K$2:$K$618,$B$2:$B$618,$B499,$C$2:$C$618,$C499,$D$2:$D$618,"Energy products",$E$2:$E$618,"Use",$G$2:$G$618,"&lt;&gt;STAT"),10),IF($J499="cambio de signo",-INDEX(DATOS_MODELO!$U$2:$U$3672,MATCH($H499,DATOS_MODELO!$B$2:$B$3672,0)),IF($J499="valor absoluto",ABS(INDEX(DATOS_MODELO!$U$2:$U$3672,MATCH($H499,DATOS_MODELO!$B$2:$B$3672,0))),INDEX(DATOS_MODELO!$U$2:$U$3672,MATCH($H499,DATOS_MODELO!$B$2:$B$3672,0))))))</f>
        <v>335.7018</v>
      </c>
      <c r="L499" s="8" t="str">
        <f aca="false">IF(LEFT($H499,5)&lt;&gt;"STAT_","",IF(ABS($K499)&lt;=COUNTIFS($B$2:$B$618,$B499,$C$2:$C$618,$C499,$D$2:$D$618,"Energy products",$G$2:$G$618,"&lt;&gt;STAT")*PARAMETROS!$B$6,"redondeo","residuo_estadistico"))</f>
        <v/>
      </c>
      <c r="M499" s="8" t="str">
        <f>IF(OR($I499="USO_NO_ENERGETICO_APARENTE",$I499="USO_ENERGETICO_INTERNO_APARENTE"),"CAL",IF(LEFT($H499,5)="STAT_","FORMULA",IF(COUNTIF(DATOS_MODELO!$B$2:$B$3672,$H499)=1,"OK","REVISAR")))</f>
        <v>OK</v>
      </c>
    </row>
    <row r="500" customFormat="false" ht="15" hidden="false" customHeight="false" outlineLevel="0" collapsed="false">
      <c r="A500" s="4" t="s">
        <v>3084</v>
      </c>
      <c r="B500" s="12" t="n">
        <v>2019</v>
      </c>
      <c r="C500" s="4" t="s">
        <v>103</v>
      </c>
      <c r="D500" s="4" t="s">
        <v>1993</v>
      </c>
      <c r="E500" s="4" t="s">
        <v>2001</v>
      </c>
      <c r="F500" s="4" t="s">
        <v>2002</v>
      </c>
      <c r="G500" s="4" t="s">
        <v>68</v>
      </c>
      <c r="H500" s="4" t="s">
        <v>608</v>
      </c>
      <c r="I500" s="4" t="s">
        <v>2111</v>
      </c>
      <c r="J500" s="4" t="s">
        <v>1997</v>
      </c>
      <c r="K500" s="14">
        <f>IF(OR($I500="USO_NO_ENERGETICO_APARENTE",$I500="USO_ENERGETICO_INTERNO_APARENTE"),ROUND(SUMIFS($K$2:$K$618,$B$2:$B$618,$B500,$C$2:$C$618,$C500,$D$2:$D$618,"Energy products",$E$2:$E$618,"Supply",$G$2:$G$618,"&lt;&gt;STAT")-SUMIFS($K$2:$K$618,$B$2:$B$618,$B500,$C$2:$C$618,$C500,$D$2:$D$618,"Energy products",$E$2:$E$618,"Use",$G$2:$G$618,"&lt;&gt;STAT",$I$2:$I$618,"&lt;&gt;USO_NO_ENERGETICO_APARENTE",$I$2:$I$618,"&lt;&gt;USO_ENERGETICO_INTERNO_APARENTE"),10),IF(LEFT($H500,5)="STAT_",ROUND(SUMIFS($K$2:$K$618,$B$2:$B$618,$B500,$C$2:$C$618,$C500,$D$2:$D$618,"Energy products",$E$2:$E$618,"Supply",$G$2:$G$618,"&lt;&gt;STAT")-SUMIFS($K$2:$K$618,$B$2:$B$618,$B500,$C$2:$C$618,$C500,$D$2:$D$618,"Energy products",$E$2:$E$618,"Use",$G$2:$G$618,"&lt;&gt;STAT"),10),IF($J500="cambio de signo",-INDEX(DATOS_MODELO!$U$2:$U$3672,MATCH($H500,DATOS_MODELO!$B$2:$B$3672,0)),IF($J500="valor absoluto",ABS(INDEX(DATOS_MODELO!$U$2:$U$3672,MATCH($H500,DATOS_MODELO!$B$2:$B$3672,0))),INDEX(DATOS_MODELO!$U$2:$U$3672,MATCH($H500,DATOS_MODELO!$B$2:$B$3672,0))))))</f>
        <v>1342.8653</v>
      </c>
      <c r="L500" s="8" t="str">
        <f aca="false">IF(LEFT($H500,5)&lt;&gt;"STAT_","",IF(ABS($K500)&lt;=COUNTIFS($B$2:$B$618,$B500,$C$2:$C$618,$C500,$D$2:$D$618,"Energy products",$G$2:$G$618,"&lt;&gt;STAT")*PARAMETROS!$B$6,"redondeo","residuo_estadistico"))</f>
        <v/>
      </c>
      <c r="M500" s="8" t="str">
        <f>IF(OR($I500="USO_NO_ENERGETICO_APARENTE",$I500="USO_ENERGETICO_INTERNO_APARENTE"),"CAL",IF(LEFT($H500,5)="STAT_","FORMULA",IF(COUNTIF(DATOS_MODELO!$B$2:$B$3672,$H500)=1,"OK","REVISAR")))</f>
        <v>OK</v>
      </c>
    </row>
    <row r="501" customFormat="false" ht="15" hidden="false" customHeight="false" outlineLevel="0" collapsed="false">
      <c r="A501" s="4" t="s">
        <v>3086</v>
      </c>
      <c r="B501" s="12" t="n">
        <v>2019</v>
      </c>
      <c r="C501" s="4" t="s">
        <v>105</v>
      </c>
      <c r="D501" s="4" t="s">
        <v>1993</v>
      </c>
      <c r="E501" s="4" t="s">
        <v>1994</v>
      </c>
      <c r="F501" s="4" t="s">
        <v>2029</v>
      </c>
      <c r="G501" s="4" t="s">
        <v>69</v>
      </c>
      <c r="H501" s="4" t="s">
        <v>612</v>
      </c>
      <c r="I501" s="4" t="s">
        <v>2030</v>
      </c>
      <c r="J501" s="4" t="s">
        <v>1997</v>
      </c>
      <c r="K501" s="14">
        <f>IF(OR($I501="USO_NO_ENERGETICO_APARENTE",$I501="USO_ENERGETICO_INTERNO_APARENTE"),ROUND(SUMIFS($K$2:$K$618,$B$2:$B$618,$B501,$C$2:$C$618,$C501,$D$2:$D$618,"Energy products",$E$2:$E$618,"Supply",$G$2:$G$618,"&lt;&gt;STAT")-SUMIFS($K$2:$K$618,$B$2:$B$618,$B501,$C$2:$C$618,$C501,$D$2:$D$618,"Energy products",$E$2:$E$618,"Use",$G$2:$G$618,"&lt;&gt;STAT",$I$2:$I$618,"&lt;&gt;USO_NO_ENERGETICO_APARENTE",$I$2:$I$618,"&lt;&gt;USO_ENERGETICO_INTERNO_APARENTE"),10),IF(LEFT($H501,5)="STAT_",ROUND(SUMIFS($K$2:$K$618,$B$2:$B$618,$B501,$C$2:$C$618,$C501,$D$2:$D$618,"Energy products",$E$2:$E$618,"Supply",$G$2:$G$618,"&lt;&gt;STAT")-SUMIFS($K$2:$K$618,$B$2:$B$618,$B501,$C$2:$C$618,$C501,$D$2:$D$618,"Energy products",$E$2:$E$618,"Use",$G$2:$G$618,"&lt;&gt;STAT"),10),IF($J501="cambio de signo",-INDEX(DATOS_MODELO!$U$2:$U$3672,MATCH($H501,DATOS_MODELO!$B$2:$B$3672,0)),IF($J501="valor absoluto",ABS(INDEX(DATOS_MODELO!$U$2:$U$3672,MATCH($H501,DATOS_MODELO!$B$2:$B$3672,0))),INDEX(DATOS_MODELO!$U$2:$U$3672,MATCH($H501,DATOS_MODELO!$B$2:$B$3672,0))))))</f>
        <v>26114.9623</v>
      </c>
      <c r="L501" s="8" t="str">
        <f aca="false">IF(LEFT($H501,5)&lt;&gt;"STAT_","",IF(ABS($K501)&lt;=COUNTIFS($B$2:$B$618,$B501,$C$2:$C$618,$C501,$D$2:$D$618,"Energy products",$G$2:$G$618,"&lt;&gt;STAT")*PARAMETROS!$B$6,"redondeo","residuo_estadistico"))</f>
        <v/>
      </c>
      <c r="M501" s="8" t="str">
        <f>IF(OR($I501="USO_NO_ENERGETICO_APARENTE",$I501="USO_ENERGETICO_INTERNO_APARENTE"),"CAL",IF(LEFT($H501,5)="STAT_","FORMULA",IF(COUNTIF(DATOS_MODELO!$B$2:$B$3672,$H501)=1,"OK","REVISAR")))</f>
        <v>OK</v>
      </c>
    </row>
    <row r="502" customFormat="false" ht="15" hidden="false" customHeight="false" outlineLevel="0" collapsed="false">
      <c r="A502" s="4" t="s">
        <v>3088</v>
      </c>
      <c r="B502" s="12" t="n">
        <v>2019</v>
      </c>
      <c r="C502" s="4" t="s">
        <v>105</v>
      </c>
      <c r="D502" s="4" t="s">
        <v>1993</v>
      </c>
      <c r="E502" s="4" t="s">
        <v>2001</v>
      </c>
      <c r="F502" s="4" t="s">
        <v>2091</v>
      </c>
      <c r="G502" s="4" t="s">
        <v>69</v>
      </c>
      <c r="H502" s="4" t="s">
        <v>613</v>
      </c>
      <c r="I502" s="4" t="s">
        <v>2030</v>
      </c>
      <c r="J502" s="4" t="s">
        <v>1997</v>
      </c>
      <c r="K502" s="14">
        <f>IF(OR($I502="USO_NO_ENERGETICO_APARENTE",$I502="USO_ENERGETICO_INTERNO_APARENTE"),ROUND(SUMIFS($K$2:$K$618,$B$2:$B$618,$B502,$C$2:$C$618,$C502,$D$2:$D$618,"Energy products",$E$2:$E$618,"Supply",$G$2:$G$618,"&lt;&gt;STAT")-SUMIFS($K$2:$K$618,$B$2:$B$618,$B502,$C$2:$C$618,$C502,$D$2:$D$618,"Energy products",$E$2:$E$618,"Use",$G$2:$G$618,"&lt;&gt;STAT",$I$2:$I$618,"&lt;&gt;USO_NO_ENERGETICO_APARENTE",$I$2:$I$618,"&lt;&gt;USO_ENERGETICO_INTERNO_APARENTE"),10),IF(LEFT($H502,5)="STAT_",ROUND(SUMIFS($K$2:$K$618,$B$2:$B$618,$B502,$C$2:$C$618,$C502,$D$2:$D$618,"Energy products",$E$2:$E$618,"Supply",$G$2:$G$618,"&lt;&gt;STAT")-SUMIFS($K$2:$K$618,$B$2:$B$618,$B502,$C$2:$C$618,$C502,$D$2:$D$618,"Energy products",$E$2:$E$618,"Use",$G$2:$G$618,"&lt;&gt;STAT"),10),IF($J502="cambio de signo",-INDEX(DATOS_MODELO!$U$2:$U$3672,MATCH($H502,DATOS_MODELO!$B$2:$B$3672,0)),IF($J502="valor absoluto",ABS(INDEX(DATOS_MODELO!$U$2:$U$3672,MATCH($H502,DATOS_MODELO!$B$2:$B$3672,0))),INDEX(DATOS_MODELO!$U$2:$U$3672,MATCH($H502,DATOS_MODELO!$B$2:$B$3672,0))))))</f>
        <v>5459.5408</v>
      </c>
      <c r="L502" s="8" t="str">
        <f aca="false">IF(LEFT($H502,5)&lt;&gt;"STAT_","",IF(ABS($K502)&lt;=COUNTIFS($B$2:$B$618,$B502,$C$2:$C$618,$C502,$D$2:$D$618,"Energy products",$G$2:$G$618,"&lt;&gt;STAT")*PARAMETROS!$B$6,"redondeo","residuo_estadistico"))</f>
        <v/>
      </c>
      <c r="M502" s="8" t="str">
        <f>IF(OR($I502="USO_NO_ENERGETICO_APARENTE",$I502="USO_ENERGETICO_INTERNO_APARENTE"),"CAL",IF(LEFT($H502,5)="STAT_","FORMULA",IF(COUNTIF(DATOS_MODELO!$B$2:$B$3672,$H502)=1,"OK","REVISAR")))</f>
        <v>OK</v>
      </c>
    </row>
    <row r="503" customFormat="false" ht="15" hidden="false" customHeight="false" outlineLevel="0" collapsed="false">
      <c r="A503" s="4" t="s">
        <v>3090</v>
      </c>
      <c r="B503" s="12" t="n">
        <v>2019</v>
      </c>
      <c r="C503" s="4" t="s">
        <v>105</v>
      </c>
      <c r="D503" s="4" t="s">
        <v>1993</v>
      </c>
      <c r="E503" s="4" t="s">
        <v>2001</v>
      </c>
      <c r="F503" s="4" t="s">
        <v>2034</v>
      </c>
      <c r="G503" s="4" t="s">
        <v>74</v>
      </c>
      <c r="H503" s="4" t="s">
        <v>614</v>
      </c>
      <c r="I503" s="4" t="s">
        <v>2035</v>
      </c>
      <c r="J503" s="4" t="s">
        <v>2036</v>
      </c>
      <c r="K503" s="14">
        <f>IF(OR($I503="USO_NO_ENERGETICO_APARENTE",$I503="USO_ENERGETICO_INTERNO_APARENTE"),ROUND(SUMIFS($K$2:$K$618,$B$2:$B$618,$B503,$C$2:$C$618,$C503,$D$2:$D$618,"Energy products",$E$2:$E$618,"Supply",$G$2:$G$618,"&lt;&gt;STAT")-SUMIFS($K$2:$K$618,$B$2:$B$618,$B503,$C$2:$C$618,$C503,$D$2:$D$618,"Energy products",$E$2:$E$618,"Use",$G$2:$G$618,"&lt;&gt;STAT",$I$2:$I$618,"&lt;&gt;USO_NO_ENERGETICO_APARENTE",$I$2:$I$618,"&lt;&gt;USO_ENERGETICO_INTERNO_APARENTE"),10),IF(LEFT($H503,5)="STAT_",ROUND(SUMIFS($K$2:$K$618,$B$2:$B$618,$B503,$C$2:$C$618,$C503,$D$2:$D$618,"Energy products",$E$2:$E$618,"Supply",$G$2:$G$618,"&lt;&gt;STAT")-SUMIFS($K$2:$K$618,$B$2:$B$618,$B503,$C$2:$C$618,$C503,$D$2:$D$618,"Energy products",$E$2:$E$618,"Use",$G$2:$G$618,"&lt;&gt;STAT"),10),IF($J503="cambio de signo",-INDEX(DATOS_MODELO!$U$2:$U$3672,MATCH($H503,DATOS_MODELO!$B$2:$B$3672,0)),IF($J503="valor absoluto",ABS(INDEX(DATOS_MODELO!$U$2:$U$3672,MATCH($H503,DATOS_MODELO!$B$2:$B$3672,0))),INDEX(DATOS_MODELO!$U$2:$U$3672,MATCH($H503,DATOS_MODELO!$B$2:$B$3672,0))))))</f>
        <v>1102.7961</v>
      </c>
      <c r="L503" s="8" t="str">
        <f aca="false">IF(LEFT($H503,5)&lt;&gt;"STAT_","",IF(ABS($K503)&lt;=COUNTIFS($B$2:$B$618,$B503,$C$2:$C$618,$C503,$D$2:$D$618,"Energy products",$G$2:$G$618,"&lt;&gt;STAT")*PARAMETROS!$B$6,"redondeo","residuo_estadistico"))</f>
        <v/>
      </c>
      <c r="M503" s="8" t="str">
        <f>IF(OR($I503="USO_NO_ENERGETICO_APARENTE",$I503="USO_ENERGETICO_INTERNO_APARENTE"),"CAL",IF(LEFT($H503,5)="STAT_","FORMULA",IF(COUNTIF(DATOS_MODELO!$B$2:$B$3672,$H503)=1,"OK","REVISAR")))</f>
        <v>OK</v>
      </c>
    </row>
    <row r="504" customFormat="false" ht="15" hidden="false" customHeight="false" outlineLevel="0" collapsed="false">
      <c r="A504" s="4" t="s">
        <v>3092</v>
      </c>
      <c r="B504" s="12" t="n">
        <v>2019</v>
      </c>
      <c r="C504" s="4" t="s">
        <v>105</v>
      </c>
      <c r="D504" s="4" t="s">
        <v>1993</v>
      </c>
      <c r="E504" s="4" t="s">
        <v>2001</v>
      </c>
      <c r="F504" s="4" t="s">
        <v>2002</v>
      </c>
      <c r="G504" s="4" t="s">
        <v>71</v>
      </c>
      <c r="H504" s="4" t="s">
        <v>619</v>
      </c>
      <c r="I504" s="4" t="s">
        <v>2123</v>
      </c>
      <c r="J504" s="4" t="s">
        <v>1997</v>
      </c>
      <c r="K504" s="14">
        <f>IF(OR($I504="USO_NO_ENERGETICO_APARENTE",$I504="USO_ENERGETICO_INTERNO_APARENTE"),ROUND(SUMIFS($K$2:$K$618,$B$2:$B$618,$B504,$C$2:$C$618,$C504,$D$2:$D$618,"Energy products",$E$2:$E$618,"Supply",$G$2:$G$618,"&lt;&gt;STAT")-SUMIFS($K$2:$K$618,$B$2:$B$618,$B504,$C$2:$C$618,$C504,$D$2:$D$618,"Energy products",$E$2:$E$618,"Use",$G$2:$G$618,"&lt;&gt;STAT",$I$2:$I$618,"&lt;&gt;USO_NO_ENERGETICO_APARENTE",$I$2:$I$618,"&lt;&gt;USO_ENERGETICO_INTERNO_APARENTE"),10),IF(LEFT($H504,5)="STAT_",ROUND(SUMIFS($K$2:$K$618,$B$2:$B$618,$B504,$C$2:$C$618,$C504,$D$2:$D$618,"Energy products",$E$2:$E$618,"Supply",$G$2:$G$618,"&lt;&gt;STAT")-SUMIFS($K$2:$K$618,$B$2:$B$618,$B504,$C$2:$C$618,$C504,$D$2:$D$618,"Energy products",$E$2:$E$618,"Use",$G$2:$G$618,"&lt;&gt;STAT"),10),IF($J504="cambio de signo",-INDEX(DATOS_MODELO!$U$2:$U$3672,MATCH($H504,DATOS_MODELO!$B$2:$B$3672,0)),IF($J504="valor absoluto",ABS(INDEX(DATOS_MODELO!$U$2:$U$3672,MATCH($H504,DATOS_MODELO!$B$2:$B$3672,0))),INDEX(DATOS_MODELO!$U$2:$U$3672,MATCH($H504,DATOS_MODELO!$B$2:$B$3672,0))))))</f>
        <v>195.5065</v>
      </c>
      <c r="L504" s="8" t="str">
        <f aca="false">IF(LEFT($H504,5)&lt;&gt;"STAT_","",IF(ABS($K504)&lt;=COUNTIFS($B$2:$B$618,$B504,$C$2:$C$618,$C504,$D$2:$D$618,"Energy products",$G$2:$G$618,"&lt;&gt;STAT")*PARAMETROS!$B$6,"redondeo","residuo_estadistico"))</f>
        <v/>
      </c>
      <c r="M504" s="8" t="str">
        <f>IF(OR($I504="USO_NO_ENERGETICO_APARENTE",$I504="USO_ENERGETICO_INTERNO_APARENTE"),"CAL",IF(LEFT($H504,5)="STAT_","FORMULA",IF(COUNTIF(DATOS_MODELO!$B$2:$B$3672,$H504)=1,"OK","REVISAR")))</f>
        <v>OK</v>
      </c>
    </row>
    <row r="505" customFormat="false" ht="15" hidden="false" customHeight="false" outlineLevel="0" collapsed="false">
      <c r="A505" s="4" t="s">
        <v>3094</v>
      </c>
      <c r="B505" s="12" t="n">
        <v>2019</v>
      </c>
      <c r="C505" s="4" t="s">
        <v>105</v>
      </c>
      <c r="D505" s="4" t="s">
        <v>1993</v>
      </c>
      <c r="E505" s="4" t="s">
        <v>2001</v>
      </c>
      <c r="F505" s="4" t="s">
        <v>2074</v>
      </c>
      <c r="G505" s="4" t="s">
        <v>73</v>
      </c>
      <c r="H505" s="4" t="s">
        <v>620</v>
      </c>
      <c r="I505" s="4" t="s">
        <v>2075</v>
      </c>
      <c r="J505" s="4" t="s">
        <v>1997</v>
      </c>
      <c r="K505" s="14">
        <f>IF(OR($I505="USO_NO_ENERGETICO_APARENTE",$I505="USO_ENERGETICO_INTERNO_APARENTE"),ROUND(SUMIFS($K$2:$K$618,$B$2:$B$618,$B505,$C$2:$C$618,$C505,$D$2:$D$618,"Energy products",$E$2:$E$618,"Supply",$G$2:$G$618,"&lt;&gt;STAT")-SUMIFS($K$2:$K$618,$B$2:$B$618,$B505,$C$2:$C$618,$C505,$D$2:$D$618,"Energy products",$E$2:$E$618,"Use",$G$2:$G$618,"&lt;&gt;STAT",$I$2:$I$618,"&lt;&gt;USO_NO_ENERGETICO_APARENTE",$I$2:$I$618,"&lt;&gt;USO_ENERGETICO_INTERNO_APARENTE"),10),IF(LEFT($H505,5)="STAT_",ROUND(SUMIFS($K$2:$K$618,$B$2:$B$618,$B505,$C$2:$C$618,$C505,$D$2:$D$618,"Energy products",$E$2:$E$618,"Supply",$G$2:$G$618,"&lt;&gt;STAT")-SUMIFS($K$2:$K$618,$B$2:$B$618,$B505,$C$2:$C$618,$C505,$D$2:$D$618,"Energy products",$E$2:$E$618,"Use",$G$2:$G$618,"&lt;&gt;STAT"),10),IF($J505="cambio de signo",-INDEX(DATOS_MODELO!$U$2:$U$3672,MATCH($H505,DATOS_MODELO!$B$2:$B$3672,0)),IF($J505="valor absoluto",ABS(INDEX(DATOS_MODELO!$U$2:$U$3672,MATCH($H505,DATOS_MODELO!$B$2:$B$3672,0))),INDEX(DATOS_MODELO!$U$2:$U$3672,MATCH($H505,DATOS_MODELO!$B$2:$B$3672,0))))))</f>
        <v>15055.5111</v>
      </c>
      <c r="L505" s="8" t="str">
        <f aca="false">IF(LEFT($H505,5)&lt;&gt;"STAT_","",IF(ABS($K505)&lt;=COUNTIFS($B$2:$B$618,$B505,$C$2:$C$618,$C505,$D$2:$D$618,"Energy products",$G$2:$G$618,"&lt;&gt;STAT")*PARAMETROS!$B$6,"redondeo","residuo_estadistico"))</f>
        <v/>
      </c>
      <c r="M505" s="8" t="str">
        <f>IF(OR($I505="USO_NO_ENERGETICO_APARENTE",$I505="USO_ENERGETICO_INTERNO_APARENTE"),"CAL",IF(LEFT($H505,5)="STAT_","FORMULA",IF(COUNTIF(DATOS_MODELO!$B$2:$B$3672,$H505)=1,"OK","REVISAR")))</f>
        <v>OK</v>
      </c>
    </row>
    <row r="506" customFormat="false" ht="15" hidden="false" customHeight="false" outlineLevel="0" collapsed="false">
      <c r="A506" s="4" t="s">
        <v>3096</v>
      </c>
      <c r="B506" s="12" t="n">
        <v>2019</v>
      </c>
      <c r="C506" s="4" t="s">
        <v>105</v>
      </c>
      <c r="D506" s="4" t="s">
        <v>1993</v>
      </c>
      <c r="E506" s="4" t="s">
        <v>2001</v>
      </c>
      <c r="F506" s="4" t="s">
        <v>2002</v>
      </c>
      <c r="G506" s="4" t="s">
        <v>72</v>
      </c>
      <c r="H506" s="4" t="s">
        <v>621</v>
      </c>
      <c r="I506" s="4" t="s">
        <v>2079</v>
      </c>
      <c r="J506" s="4" t="s">
        <v>1997</v>
      </c>
      <c r="K506" s="14">
        <f>IF(OR($I506="USO_NO_ENERGETICO_APARENTE",$I506="USO_ENERGETICO_INTERNO_APARENTE"),ROUND(SUMIFS($K$2:$K$618,$B$2:$B$618,$B506,$C$2:$C$618,$C506,$D$2:$D$618,"Energy products",$E$2:$E$618,"Supply",$G$2:$G$618,"&lt;&gt;STAT")-SUMIFS($K$2:$K$618,$B$2:$B$618,$B506,$C$2:$C$618,$C506,$D$2:$D$618,"Energy products",$E$2:$E$618,"Use",$G$2:$G$618,"&lt;&gt;STAT",$I$2:$I$618,"&lt;&gt;USO_NO_ENERGETICO_APARENTE",$I$2:$I$618,"&lt;&gt;USO_ENERGETICO_INTERNO_APARENTE"),10),IF(LEFT($H506,5)="STAT_",ROUND(SUMIFS($K$2:$K$618,$B$2:$B$618,$B506,$C$2:$C$618,$C506,$D$2:$D$618,"Energy products",$E$2:$E$618,"Supply",$G$2:$G$618,"&lt;&gt;STAT")-SUMIFS($K$2:$K$618,$B$2:$B$618,$B506,$C$2:$C$618,$C506,$D$2:$D$618,"Energy products",$E$2:$E$618,"Use",$G$2:$G$618,"&lt;&gt;STAT"),10),IF($J506="cambio de signo",-INDEX(DATOS_MODELO!$U$2:$U$3672,MATCH($H506,DATOS_MODELO!$B$2:$B$3672,0)),IF($J506="valor absoluto",ABS(INDEX(DATOS_MODELO!$U$2:$U$3672,MATCH($H506,DATOS_MODELO!$B$2:$B$3672,0))),INDEX(DATOS_MODELO!$U$2:$U$3672,MATCH($H506,DATOS_MODELO!$B$2:$B$3672,0))))))</f>
        <v>391.0711</v>
      </c>
      <c r="L506" s="8" t="str">
        <f aca="false">IF(LEFT($H506,5)&lt;&gt;"STAT_","",IF(ABS($K506)&lt;=COUNTIFS($B$2:$B$618,$B506,$C$2:$C$618,$C506,$D$2:$D$618,"Energy products",$G$2:$G$618,"&lt;&gt;STAT")*PARAMETROS!$B$6,"redondeo","residuo_estadistico"))</f>
        <v/>
      </c>
      <c r="M506" s="8" t="str">
        <f>IF(OR($I506="USO_NO_ENERGETICO_APARENTE",$I506="USO_ENERGETICO_INTERNO_APARENTE"),"CAL",IF(LEFT($H506,5)="STAT_","FORMULA",IF(COUNTIF(DATOS_MODELO!$B$2:$B$3672,$H506)=1,"OK","REVISAR")))</f>
        <v>OK</v>
      </c>
    </row>
    <row r="507" customFormat="false" ht="15" hidden="false" customHeight="false" outlineLevel="0" collapsed="false">
      <c r="A507" s="4" t="s">
        <v>3098</v>
      </c>
      <c r="B507" s="12" t="n">
        <v>2019</v>
      </c>
      <c r="C507" s="4" t="s">
        <v>105</v>
      </c>
      <c r="D507" s="4" t="s">
        <v>1993</v>
      </c>
      <c r="E507" s="4" t="s">
        <v>2001</v>
      </c>
      <c r="F507" s="4" t="s">
        <v>2002</v>
      </c>
      <c r="G507" s="4" t="s">
        <v>68</v>
      </c>
      <c r="H507" s="4" t="s">
        <v>622</v>
      </c>
      <c r="I507" s="4" t="s">
        <v>2111</v>
      </c>
      <c r="J507" s="4" t="s">
        <v>1997</v>
      </c>
      <c r="K507" s="14">
        <f>IF(OR($I507="USO_NO_ENERGETICO_APARENTE",$I507="USO_ENERGETICO_INTERNO_APARENTE"),ROUND(SUMIFS($K$2:$K$618,$B$2:$B$618,$B507,$C$2:$C$618,$C507,$D$2:$D$618,"Energy products",$E$2:$E$618,"Supply",$G$2:$G$618,"&lt;&gt;STAT")-SUMIFS($K$2:$K$618,$B$2:$B$618,$B507,$C$2:$C$618,$C507,$D$2:$D$618,"Energy products",$E$2:$E$618,"Use",$G$2:$G$618,"&lt;&gt;STAT",$I$2:$I$618,"&lt;&gt;USO_NO_ENERGETICO_APARENTE",$I$2:$I$618,"&lt;&gt;USO_ENERGETICO_INTERNO_APARENTE"),10),IF(LEFT($H507,5)="STAT_",ROUND(SUMIFS($K$2:$K$618,$B$2:$B$618,$B507,$C$2:$C$618,$C507,$D$2:$D$618,"Energy products",$E$2:$E$618,"Supply",$G$2:$G$618,"&lt;&gt;STAT")-SUMIFS($K$2:$K$618,$B$2:$B$618,$B507,$C$2:$C$618,$C507,$D$2:$D$618,"Energy products",$E$2:$E$618,"Use",$G$2:$G$618,"&lt;&gt;STAT"),10),IF($J507="cambio de signo",-INDEX(DATOS_MODELO!$U$2:$U$3672,MATCH($H507,DATOS_MODELO!$B$2:$B$3672,0)),IF($J507="valor absoluto",ABS(INDEX(DATOS_MODELO!$U$2:$U$3672,MATCH($H507,DATOS_MODELO!$B$2:$B$3672,0))),INDEX(DATOS_MODELO!$U$2:$U$3672,MATCH($H507,DATOS_MODELO!$B$2:$B$3672,0))))))</f>
        <v>3910.5367</v>
      </c>
      <c r="L507" s="8" t="str">
        <f aca="false">IF(LEFT($H507,5)&lt;&gt;"STAT_","",IF(ABS($K507)&lt;=COUNTIFS($B$2:$B$618,$B507,$C$2:$C$618,$C507,$D$2:$D$618,"Energy products",$G$2:$G$618,"&lt;&gt;STAT")*PARAMETROS!$B$6,"redondeo","residuo_estadistico"))</f>
        <v/>
      </c>
      <c r="M507" s="8" t="str">
        <f>IF(OR($I507="USO_NO_ENERGETICO_APARENTE",$I507="USO_ENERGETICO_INTERNO_APARENTE"),"CAL",IF(LEFT($H507,5)="STAT_","FORMULA",IF(COUNTIF(DATOS_MODELO!$B$2:$B$3672,$H507)=1,"OK","REVISAR")))</f>
        <v>OK</v>
      </c>
    </row>
    <row r="508" customFormat="false" ht="15" hidden="false" customHeight="false" outlineLevel="0" collapsed="false">
      <c r="A508" s="4" t="s">
        <v>3100</v>
      </c>
      <c r="B508" s="12" t="n">
        <v>2019</v>
      </c>
      <c r="C508" s="4" t="s">
        <v>107</v>
      </c>
      <c r="D508" s="4" t="s">
        <v>1993</v>
      </c>
      <c r="E508" s="4" t="s">
        <v>1994</v>
      </c>
      <c r="F508" s="4" t="s">
        <v>2029</v>
      </c>
      <c r="G508" s="4" t="s">
        <v>69</v>
      </c>
      <c r="H508" s="4" t="s">
        <v>626</v>
      </c>
      <c r="I508" s="4" t="s">
        <v>2030</v>
      </c>
      <c r="J508" s="4" t="s">
        <v>1997</v>
      </c>
      <c r="K508" s="14">
        <f>IF(OR($I508="USO_NO_ENERGETICO_APARENTE",$I508="USO_ENERGETICO_INTERNO_APARENTE"),ROUND(SUMIFS($K$2:$K$618,$B$2:$B$618,$B508,$C$2:$C$618,$C508,$D$2:$D$618,"Energy products",$E$2:$E$618,"Supply",$G$2:$G$618,"&lt;&gt;STAT")-SUMIFS($K$2:$K$618,$B$2:$B$618,$B508,$C$2:$C$618,$C508,$D$2:$D$618,"Energy products",$E$2:$E$618,"Use",$G$2:$G$618,"&lt;&gt;STAT",$I$2:$I$618,"&lt;&gt;USO_NO_ENERGETICO_APARENTE",$I$2:$I$618,"&lt;&gt;USO_ENERGETICO_INTERNO_APARENTE"),10),IF(LEFT($H508,5)="STAT_",ROUND(SUMIFS($K$2:$K$618,$B$2:$B$618,$B508,$C$2:$C$618,$C508,$D$2:$D$618,"Energy products",$E$2:$E$618,"Supply",$G$2:$G$618,"&lt;&gt;STAT")-SUMIFS($K$2:$K$618,$B$2:$B$618,$B508,$C$2:$C$618,$C508,$D$2:$D$618,"Energy products",$E$2:$E$618,"Use",$G$2:$G$618,"&lt;&gt;STAT"),10),IF($J508="cambio de signo",-INDEX(DATOS_MODELO!$U$2:$U$3672,MATCH($H508,DATOS_MODELO!$B$2:$B$3672,0)),IF($J508="valor absoluto",ABS(INDEX(DATOS_MODELO!$U$2:$U$3672,MATCH($H508,DATOS_MODELO!$B$2:$B$3672,0))),INDEX(DATOS_MODELO!$U$2:$U$3672,MATCH($H508,DATOS_MODELO!$B$2:$B$3672,0))))))</f>
        <v>4727.4227</v>
      </c>
      <c r="L508" s="8" t="str">
        <f aca="false">IF(LEFT($H508,5)&lt;&gt;"STAT_","",IF(ABS($K508)&lt;=COUNTIFS($B$2:$B$618,$B508,$C$2:$C$618,$C508,$D$2:$D$618,"Energy products",$G$2:$G$618,"&lt;&gt;STAT")*PARAMETROS!$B$6,"redondeo","residuo_estadistico"))</f>
        <v/>
      </c>
      <c r="M508" s="8" t="str">
        <f>IF(OR($I508="USO_NO_ENERGETICO_APARENTE",$I508="USO_ENERGETICO_INTERNO_APARENTE"),"CAL",IF(LEFT($H508,5)="STAT_","FORMULA",IF(COUNTIF(DATOS_MODELO!$B$2:$B$3672,$H508)=1,"OK","REVISAR")))</f>
        <v>OK</v>
      </c>
    </row>
    <row r="509" customFormat="false" ht="15" hidden="false" customHeight="false" outlineLevel="0" collapsed="false">
      <c r="A509" s="4" t="s">
        <v>3102</v>
      </c>
      <c r="B509" s="12" t="n">
        <v>2019</v>
      </c>
      <c r="C509" s="4" t="s">
        <v>107</v>
      </c>
      <c r="D509" s="4" t="s">
        <v>1993</v>
      </c>
      <c r="E509" s="4" t="s">
        <v>2001</v>
      </c>
      <c r="F509" s="4" t="s">
        <v>2091</v>
      </c>
      <c r="G509" s="4" t="s">
        <v>69</v>
      </c>
      <c r="H509" s="4" t="s">
        <v>627</v>
      </c>
      <c r="I509" s="4" t="s">
        <v>2030</v>
      </c>
      <c r="J509" s="4" t="s">
        <v>1997</v>
      </c>
      <c r="K509" s="14">
        <f>IF(OR($I509="USO_NO_ENERGETICO_APARENTE",$I509="USO_ENERGETICO_INTERNO_APARENTE"),ROUND(SUMIFS($K$2:$K$618,$B$2:$B$618,$B509,$C$2:$C$618,$C509,$D$2:$D$618,"Energy products",$E$2:$E$618,"Supply",$G$2:$G$618,"&lt;&gt;STAT")-SUMIFS($K$2:$K$618,$B$2:$B$618,$B509,$C$2:$C$618,$C509,$D$2:$D$618,"Energy products",$E$2:$E$618,"Use",$G$2:$G$618,"&lt;&gt;STAT",$I$2:$I$618,"&lt;&gt;USO_NO_ENERGETICO_APARENTE",$I$2:$I$618,"&lt;&gt;USO_ENERGETICO_INTERNO_APARENTE"),10),IF(LEFT($H509,5)="STAT_",ROUND(SUMIFS($K$2:$K$618,$B$2:$B$618,$B509,$C$2:$C$618,$C509,$D$2:$D$618,"Energy products",$E$2:$E$618,"Supply",$G$2:$G$618,"&lt;&gt;STAT")-SUMIFS($K$2:$K$618,$B$2:$B$618,$B509,$C$2:$C$618,$C509,$D$2:$D$618,"Energy products",$E$2:$E$618,"Use",$G$2:$G$618,"&lt;&gt;STAT"),10),IF($J509="cambio de signo",-INDEX(DATOS_MODELO!$U$2:$U$3672,MATCH($H509,DATOS_MODELO!$B$2:$B$3672,0)),IF($J509="valor absoluto",ABS(INDEX(DATOS_MODELO!$U$2:$U$3672,MATCH($H509,DATOS_MODELO!$B$2:$B$3672,0))),INDEX(DATOS_MODELO!$U$2:$U$3672,MATCH($H509,DATOS_MODELO!$B$2:$B$3672,0))))))</f>
        <v>184.8161</v>
      </c>
      <c r="L509" s="8" t="str">
        <f aca="false">IF(LEFT($H509,5)&lt;&gt;"STAT_","",IF(ABS($K509)&lt;=COUNTIFS($B$2:$B$618,$B509,$C$2:$C$618,$C509,$D$2:$D$618,"Energy products",$G$2:$G$618,"&lt;&gt;STAT")*PARAMETROS!$B$6,"redondeo","residuo_estadistico"))</f>
        <v/>
      </c>
      <c r="M509" s="8" t="str">
        <f>IF(OR($I509="USO_NO_ENERGETICO_APARENTE",$I509="USO_ENERGETICO_INTERNO_APARENTE"),"CAL",IF(LEFT($H509,5)="STAT_","FORMULA",IF(COUNTIF(DATOS_MODELO!$B$2:$B$3672,$H509)=1,"OK","REVISAR")))</f>
        <v>OK</v>
      </c>
    </row>
    <row r="510" customFormat="false" ht="15" hidden="false" customHeight="false" outlineLevel="0" collapsed="false">
      <c r="A510" s="4" t="s">
        <v>3104</v>
      </c>
      <c r="B510" s="12" t="n">
        <v>2019</v>
      </c>
      <c r="C510" s="4" t="s">
        <v>107</v>
      </c>
      <c r="D510" s="4" t="s">
        <v>1993</v>
      </c>
      <c r="E510" s="4" t="s">
        <v>2001</v>
      </c>
      <c r="F510" s="4" t="s">
        <v>2034</v>
      </c>
      <c r="G510" s="4" t="s">
        <v>74</v>
      </c>
      <c r="H510" s="4" t="s">
        <v>628</v>
      </c>
      <c r="I510" s="4" t="s">
        <v>2035</v>
      </c>
      <c r="J510" s="4" t="s">
        <v>2036</v>
      </c>
      <c r="K510" s="14">
        <f>IF(OR($I510="USO_NO_ENERGETICO_APARENTE",$I510="USO_ENERGETICO_INTERNO_APARENTE"),ROUND(SUMIFS($K$2:$K$618,$B$2:$B$618,$B510,$C$2:$C$618,$C510,$D$2:$D$618,"Energy products",$E$2:$E$618,"Supply",$G$2:$G$618,"&lt;&gt;STAT")-SUMIFS($K$2:$K$618,$B$2:$B$618,$B510,$C$2:$C$618,$C510,$D$2:$D$618,"Energy products",$E$2:$E$618,"Use",$G$2:$G$618,"&lt;&gt;STAT",$I$2:$I$618,"&lt;&gt;USO_NO_ENERGETICO_APARENTE",$I$2:$I$618,"&lt;&gt;USO_ENERGETICO_INTERNO_APARENTE"),10),IF(LEFT($H510,5)="STAT_",ROUND(SUMIFS($K$2:$K$618,$B$2:$B$618,$B510,$C$2:$C$618,$C510,$D$2:$D$618,"Energy products",$E$2:$E$618,"Supply",$G$2:$G$618,"&lt;&gt;STAT")-SUMIFS($K$2:$K$618,$B$2:$B$618,$B510,$C$2:$C$618,$C510,$D$2:$D$618,"Energy products",$E$2:$E$618,"Use",$G$2:$G$618,"&lt;&gt;STAT"),10),IF($J510="cambio de signo",-INDEX(DATOS_MODELO!$U$2:$U$3672,MATCH($H510,DATOS_MODELO!$B$2:$B$3672,0)),IF($J510="valor absoluto",ABS(INDEX(DATOS_MODELO!$U$2:$U$3672,MATCH($H510,DATOS_MODELO!$B$2:$B$3672,0))),INDEX(DATOS_MODELO!$U$2:$U$3672,MATCH($H510,DATOS_MODELO!$B$2:$B$3672,0))))))</f>
        <v>71.6954</v>
      </c>
      <c r="L510" s="8" t="str">
        <f aca="false">IF(LEFT($H510,5)&lt;&gt;"STAT_","",IF(ABS($K510)&lt;=COUNTIFS($B$2:$B$618,$B510,$C$2:$C$618,$C510,$D$2:$D$618,"Energy products",$G$2:$G$618,"&lt;&gt;STAT")*PARAMETROS!$B$6,"redondeo","residuo_estadistico"))</f>
        <v/>
      </c>
      <c r="M510" s="8" t="str">
        <f>IF(OR($I510="USO_NO_ENERGETICO_APARENTE",$I510="USO_ENERGETICO_INTERNO_APARENTE"),"CAL",IF(LEFT($H510,5)="STAT_","FORMULA",IF(COUNTIF(DATOS_MODELO!$B$2:$B$3672,$H510)=1,"OK","REVISAR")))</f>
        <v>OK</v>
      </c>
    </row>
    <row r="511" customFormat="false" ht="15" hidden="false" customHeight="false" outlineLevel="0" collapsed="false">
      <c r="A511" s="4" t="s">
        <v>3106</v>
      </c>
      <c r="B511" s="12" t="n">
        <v>2019</v>
      </c>
      <c r="C511" s="4" t="s">
        <v>107</v>
      </c>
      <c r="D511" s="4" t="s">
        <v>1993</v>
      </c>
      <c r="E511" s="4" t="s">
        <v>2001</v>
      </c>
      <c r="F511" s="4" t="s">
        <v>2002</v>
      </c>
      <c r="G511" s="4" t="s">
        <v>71</v>
      </c>
      <c r="H511" s="4" t="s">
        <v>633</v>
      </c>
      <c r="I511" s="4" t="s">
        <v>2123</v>
      </c>
      <c r="J511" s="4" t="s">
        <v>1997</v>
      </c>
      <c r="K511" s="14">
        <f>IF(OR($I511="USO_NO_ENERGETICO_APARENTE",$I511="USO_ENERGETICO_INTERNO_APARENTE"),ROUND(SUMIFS($K$2:$K$618,$B$2:$B$618,$B511,$C$2:$C$618,$C511,$D$2:$D$618,"Energy products",$E$2:$E$618,"Supply",$G$2:$G$618,"&lt;&gt;STAT")-SUMIFS($K$2:$K$618,$B$2:$B$618,$B511,$C$2:$C$618,$C511,$D$2:$D$618,"Energy products",$E$2:$E$618,"Use",$G$2:$G$618,"&lt;&gt;STAT",$I$2:$I$618,"&lt;&gt;USO_NO_ENERGETICO_APARENTE",$I$2:$I$618,"&lt;&gt;USO_ENERGETICO_INTERNO_APARENTE"),10),IF(LEFT($H511,5)="STAT_",ROUND(SUMIFS($K$2:$K$618,$B$2:$B$618,$B511,$C$2:$C$618,$C511,$D$2:$D$618,"Energy products",$E$2:$E$618,"Supply",$G$2:$G$618,"&lt;&gt;STAT")-SUMIFS($K$2:$K$618,$B$2:$B$618,$B511,$C$2:$C$618,$C511,$D$2:$D$618,"Energy products",$E$2:$E$618,"Use",$G$2:$G$618,"&lt;&gt;STAT"),10),IF($J511="cambio de signo",-INDEX(DATOS_MODELO!$U$2:$U$3672,MATCH($H511,DATOS_MODELO!$B$2:$B$3672,0)),IF($J511="valor absoluto",ABS(INDEX(DATOS_MODELO!$U$2:$U$3672,MATCH($H511,DATOS_MODELO!$B$2:$B$3672,0))),INDEX(DATOS_MODELO!$U$2:$U$3672,MATCH($H511,DATOS_MODELO!$B$2:$B$3672,0))))))</f>
        <v>4285.1655</v>
      </c>
      <c r="L511" s="8" t="str">
        <f aca="false">IF(LEFT($H511,5)&lt;&gt;"STAT_","",IF(ABS($K511)&lt;=COUNTIFS($B$2:$B$618,$B511,$C$2:$C$618,$C511,$D$2:$D$618,"Energy products",$G$2:$G$618,"&lt;&gt;STAT")*PARAMETROS!$B$6,"redondeo","residuo_estadistico"))</f>
        <v/>
      </c>
      <c r="M511" s="8" t="str">
        <f>IF(OR($I511="USO_NO_ENERGETICO_APARENTE",$I511="USO_ENERGETICO_INTERNO_APARENTE"),"CAL",IF(LEFT($H511,5)="STAT_","FORMULA",IF(COUNTIF(DATOS_MODELO!$B$2:$B$3672,$H511)=1,"OK","REVISAR")))</f>
        <v>OK</v>
      </c>
    </row>
    <row r="512" customFormat="false" ht="15" hidden="false" customHeight="false" outlineLevel="0" collapsed="false">
      <c r="A512" s="4" t="s">
        <v>3108</v>
      </c>
      <c r="B512" s="12" t="n">
        <v>2019</v>
      </c>
      <c r="C512" s="4" t="s">
        <v>107</v>
      </c>
      <c r="D512" s="4" t="s">
        <v>1993</v>
      </c>
      <c r="E512" s="4" t="s">
        <v>2001</v>
      </c>
      <c r="F512" s="4" t="s">
        <v>2074</v>
      </c>
      <c r="G512" s="4" t="s">
        <v>73</v>
      </c>
      <c r="H512" s="4" t="s">
        <v>634</v>
      </c>
      <c r="I512" s="4" t="s">
        <v>2075</v>
      </c>
      <c r="J512" s="4" t="s">
        <v>1997</v>
      </c>
      <c r="K512" s="14">
        <f>IF(OR($I512="USO_NO_ENERGETICO_APARENTE",$I512="USO_ENERGETICO_INTERNO_APARENTE"),ROUND(SUMIFS($K$2:$K$618,$B$2:$B$618,$B512,$C$2:$C$618,$C512,$D$2:$D$618,"Energy products",$E$2:$E$618,"Supply",$G$2:$G$618,"&lt;&gt;STAT")-SUMIFS($K$2:$K$618,$B$2:$B$618,$B512,$C$2:$C$618,$C512,$D$2:$D$618,"Energy products",$E$2:$E$618,"Use",$G$2:$G$618,"&lt;&gt;STAT",$I$2:$I$618,"&lt;&gt;USO_NO_ENERGETICO_APARENTE",$I$2:$I$618,"&lt;&gt;USO_ENERGETICO_INTERNO_APARENTE"),10),IF(LEFT($H512,5)="STAT_",ROUND(SUMIFS($K$2:$K$618,$B$2:$B$618,$B512,$C$2:$C$618,$C512,$D$2:$D$618,"Energy products",$E$2:$E$618,"Supply",$G$2:$G$618,"&lt;&gt;STAT")-SUMIFS($K$2:$K$618,$B$2:$B$618,$B512,$C$2:$C$618,$C512,$D$2:$D$618,"Energy products",$E$2:$E$618,"Use",$G$2:$G$618,"&lt;&gt;STAT"),10),IF($J512="cambio de signo",-INDEX(DATOS_MODELO!$U$2:$U$3672,MATCH($H512,DATOS_MODELO!$B$2:$B$3672,0)),IF($J512="valor absoluto",ABS(INDEX(DATOS_MODELO!$U$2:$U$3672,MATCH($H512,DATOS_MODELO!$B$2:$B$3672,0))),INDEX(DATOS_MODELO!$U$2:$U$3672,MATCH($H512,DATOS_MODELO!$B$2:$B$3672,0))))))</f>
        <v>156.0566</v>
      </c>
      <c r="L512" s="8" t="str">
        <f aca="false">IF(LEFT($H512,5)&lt;&gt;"STAT_","",IF(ABS($K512)&lt;=COUNTIFS($B$2:$B$618,$B512,$C$2:$C$618,$C512,$D$2:$D$618,"Energy products",$G$2:$G$618,"&lt;&gt;STAT")*PARAMETROS!$B$6,"redondeo","residuo_estadistico"))</f>
        <v/>
      </c>
      <c r="M512" s="8" t="str">
        <f>IF(OR($I512="USO_NO_ENERGETICO_APARENTE",$I512="USO_ENERGETICO_INTERNO_APARENTE"),"CAL",IF(LEFT($H512,5)="STAT_","FORMULA",IF(COUNTIF(DATOS_MODELO!$B$2:$B$3672,$H512)=1,"OK","REVISAR")))</f>
        <v>OK</v>
      </c>
    </row>
    <row r="513" customFormat="false" ht="15" hidden="false" customHeight="false" outlineLevel="0" collapsed="false">
      <c r="A513" s="4" t="s">
        <v>3110</v>
      </c>
      <c r="B513" s="12" t="n">
        <v>2019</v>
      </c>
      <c r="C513" s="4" t="s">
        <v>107</v>
      </c>
      <c r="D513" s="4" t="s">
        <v>1993</v>
      </c>
      <c r="E513" s="4" t="s">
        <v>2001</v>
      </c>
      <c r="F513" s="4" t="s">
        <v>2002</v>
      </c>
      <c r="G513" s="4" t="s">
        <v>72</v>
      </c>
      <c r="H513" s="4" t="s">
        <v>635</v>
      </c>
      <c r="I513" s="4" t="s">
        <v>2079</v>
      </c>
      <c r="J513" s="4" t="s">
        <v>1997</v>
      </c>
      <c r="K513" s="14">
        <f>IF(OR($I513="USO_NO_ENERGETICO_APARENTE",$I513="USO_ENERGETICO_INTERNO_APARENTE"),ROUND(SUMIFS($K$2:$K$618,$B$2:$B$618,$B513,$C$2:$C$618,$C513,$D$2:$D$618,"Energy products",$E$2:$E$618,"Supply",$G$2:$G$618,"&lt;&gt;STAT")-SUMIFS($K$2:$K$618,$B$2:$B$618,$B513,$C$2:$C$618,$C513,$D$2:$D$618,"Energy products",$E$2:$E$618,"Use",$G$2:$G$618,"&lt;&gt;STAT",$I$2:$I$618,"&lt;&gt;USO_NO_ENERGETICO_APARENTE",$I$2:$I$618,"&lt;&gt;USO_ENERGETICO_INTERNO_APARENTE"),10),IF(LEFT($H513,5)="STAT_",ROUND(SUMIFS($K$2:$K$618,$B$2:$B$618,$B513,$C$2:$C$618,$C513,$D$2:$D$618,"Energy products",$E$2:$E$618,"Supply",$G$2:$G$618,"&lt;&gt;STAT")-SUMIFS($K$2:$K$618,$B$2:$B$618,$B513,$C$2:$C$618,$C513,$D$2:$D$618,"Energy products",$E$2:$E$618,"Use",$G$2:$G$618,"&lt;&gt;STAT"),10),IF($J513="cambio de signo",-INDEX(DATOS_MODELO!$U$2:$U$3672,MATCH($H513,DATOS_MODELO!$B$2:$B$3672,0)),IF($J513="valor absoluto",ABS(INDEX(DATOS_MODELO!$U$2:$U$3672,MATCH($H513,DATOS_MODELO!$B$2:$B$3672,0))),INDEX(DATOS_MODELO!$U$2:$U$3672,MATCH($H513,DATOS_MODELO!$B$2:$B$3672,0))))))</f>
        <v>7.4368</v>
      </c>
      <c r="L513" s="8" t="str">
        <f aca="false">IF(LEFT($H513,5)&lt;&gt;"STAT_","",IF(ABS($K513)&lt;=COUNTIFS($B$2:$B$618,$B513,$C$2:$C$618,$C513,$D$2:$D$618,"Energy products",$G$2:$G$618,"&lt;&gt;STAT")*PARAMETROS!$B$6,"redondeo","residuo_estadistico"))</f>
        <v/>
      </c>
      <c r="M513" s="8" t="str">
        <f>IF(OR($I513="USO_NO_ENERGETICO_APARENTE",$I513="USO_ENERGETICO_INTERNO_APARENTE"),"CAL",IF(LEFT($H513,5)="STAT_","FORMULA",IF(COUNTIF(DATOS_MODELO!$B$2:$B$3672,$H513)=1,"OK","REVISAR")))</f>
        <v>OK</v>
      </c>
    </row>
    <row r="514" customFormat="false" ht="15" hidden="false" customHeight="false" outlineLevel="0" collapsed="false">
      <c r="A514" s="4" t="s">
        <v>3112</v>
      </c>
      <c r="B514" s="12" t="n">
        <v>2019</v>
      </c>
      <c r="C514" s="4" t="s">
        <v>107</v>
      </c>
      <c r="D514" s="4" t="s">
        <v>1993</v>
      </c>
      <c r="E514" s="4" t="s">
        <v>2001</v>
      </c>
      <c r="F514" s="4" t="s">
        <v>2002</v>
      </c>
      <c r="G514" s="4" t="s">
        <v>68</v>
      </c>
      <c r="H514" s="4" t="s">
        <v>636</v>
      </c>
      <c r="I514" s="4" t="s">
        <v>2111</v>
      </c>
      <c r="J514" s="4" t="s">
        <v>1997</v>
      </c>
      <c r="K514" s="14">
        <f>IF(OR($I514="USO_NO_ENERGETICO_APARENTE",$I514="USO_ENERGETICO_INTERNO_APARENTE"),ROUND(SUMIFS($K$2:$K$618,$B$2:$B$618,$B514,$C$2:$C$618,$C514,$D$2:$D$618,"Energy products",$E$2:$E$618,"Supply",$G$2:$G$618,"&lt;&gt;STAT")-SUMIFS($K$2:$K$618,$B$2:$B$618,$B514,$C$2:$C$618,$C514,$D$2:$D$618,"Energy products",$E$2:$E$618,"Use",$G$2:$G$618,"&lt;&gt;STAT",$I$2:$I$618,"&lt;&gt;USO_NO_ENERGETICO_APARENTE",$I$2:$I$618,"&lt;&gt;USO_ENERGETICO_INTERNO_APARENTE"),10),IF(LEFT($H514,5)="STAT_",ROUND(SUMIFS($K$2:$K$618,$B$2:$B$618,$B514,$C$2:$C$618,$C514,$D$2:$D$618,"Energy products",$E$2:$E$618,"Supply",$G$2:$G$618,"&lt;&gt;STAT")-SUMIFS($K$2:$K$618,$B$2:$B$618,$B514,$C$2:$C$618,$C514,$D$2:$D$618,"Energy products",$E$2:$E$618,"Use",$G$2:$G$618,"&lt;&gt;STAT"),10),IF($J514="cambio de signo",-INDEX(DATOS_MODELO!$U$2:$U$3672,MATCH($H514,DATOS_MODELO!$B$2:$B$3672,0)),IF($J514="valor absoluto",ABS(INDEX(DATOS_MODELO!$U$2:$U$3672,MATCH($H514,DATOS_MODELO!$B$2:$B$3672,0))),INDEX(DATOS_MODELO!$U$2:$U$3672,MATCH($H514,DATOS_MODELO!$B$2:$B$3672,0))))))</f>
        <v>22.3104</v>
      </c>
      <c r="L514" s="8" t="str">
        <f aca="false">IF(LEFT($H514,5)&lt;&gt;"STAT_","",IF(ABS($K514)&lt;=COUNTIFS($B$2:$B$618,$B514,$C$2:$C$618,$C514,$D$2:$D$618,"Energy products",$G$2:$G$618,"&lt;&gt;STAT")*PARAMETROS!$B$6,"redondeo","residuo_estadistico"))</f>
        <v/>
      </c>
      <c r="M514" s="8" t="str">
        <f>IF(OR($I514="USO_NO_ENERGETICO_APARENTE",$I514="USO_ENERGETICO_INTERNO_APARENTE"),"CAL",IF(LEFT($H514,5)="STAT_","FORMULA",IF(COUNTIF(DATOS_MODELO!$B$2:$B$3672,$H514)=1,"OK","REVISAR")))</f>
        <v>OK</v>
      </c>
    </row>
    <row r="515" customFormat="false" ht="15" hidden="false" customHeight="false" outlineLevel="0" collapsed="false">
      <c r="A515" s="4" t="s">
        <v>3114</v>
      </c>
      <c r="B515" s="12" t="n">
        <v>2019</v>
      </c>
      <c r="C515" s="4" t="s">
        <v>111</v>
      </c>
      <c r="D515" s="4" t="s">
        <v>1993</v>
      </c>
      <c r="E515" s="4" t="s">
        <v>1994</v>
      </c>
      <c r="F515" s="4" t="s">
        <v>2029</v>
      </c>
      <c r="G515" s="4" t="s">
        <v>69</v>
      </c>
      <c r="H515" s="4" t="s">
        <v>640</v>
      </c>
      <c r="I515" s="4" t="s">
        <v>2030</v>
      </c>
      <c r="J515" s="4" t="s">
        <v>1997</v>
      </c>
      <c r="K515" s="14">
        <f>IF(OR($I515="USO_NO_ENERGETICO_APARENTE",$I515="USO_ENERGETICO_INTERNO_APARENTE"),ROUND(SUMIFS($K$2:$K$618,$B$2:$B$618,$B515,$C$2:$C$618,$C515,$D$2:$D$618,"Energy products",$E$2:$E$618,"Supply",$G$2:$G$618,"&lt;&gt;STAT")-SUMIFS($K$2:$K$618,$B$2:$B$618,$B515,$C$2:$C$618,$C515,$D$2:$D$618,"Energy products",$E$2:$E$618,"Use",$G$2:$G$618,"&lt;&gt;STAT",$I$2:$I$618,"&lt;&gt;USO_NO_ENERGETICO_APARENTE",$I$2:$I$618,"&lt;&gt;USO_ENERGETICO_INTERNO_APARENTE"),10),IF(LEFT($H515,5)="STAT_",ROUND(SUMIFS($K$2:$K$618,$B$2:$B$618,$B515,$C$2:$C$618,$C515,$D$2:$D$618,"Energy products",$E$2:$E$618,"Supply",$G$2:$G$618,"&lt;&gt;STAT")-SUMIFS($K$2:$K$618,$B$2:$B$618,$B515,$C$2:$C$618,$C515,$D$2:$D$618,"Energy products",$E$2:$E$618,"Use",$G$2:$G$618,"&lt;&gt;STAT"),10),IF($J515="cambio de signo",-INDEX(DATOS_MODELO!$U$2:$U$3672,MATCH($H515,DATOS_MODELO!$B$2:$B$3672,0)),IF($J515="valor absoluto",ABS(INDEX(DATOS_MODELO!$U$2:$U$3672,MATCH($H515,DATOS_MODELO!$B$2:$B$3672,0))),INDEX(DATOS_MODELO!$U$2:$U$3672,MATCH($H515,DATOS_MODELO!$B$2:$B$3672,0))))))</f>
        <v>546.0819</v>
      </c>
      <c r="L515" s="8" t="str">
        <f aca="false">IF(LEFT($H515,5)&lt;&gt;"STAT_","",IF(ABS($K515)&lt;=COUNTIFS($B$2:$B$618,$B515,$C$2:$C$618,$C515,$D$2:$D$618,"Energy products",$G$2:$G$618,"&lt;&gt;STAT")*PARAMETROS!$B$6,"redondeo","residuo_estadistico"))</f>
        <v/>
      </c>
      <c r="M515" s="8" t="str">
        <f>IF(OR($I515="USO_NO_ENERGETICO_APARENTE",$I515="USO_ENERGETICO_INTERNO_APARENTE"),"CAL",IF(LEFT($H515,5)="STAT_","FORMULA",IF(COUNTIF(DATOS_MODELO!$B$2:$B$3672,$H515)=1,"OK","REVISAR")))</f>
        <v>OK</v>
      </c>
    </row>
    <row r="516" customFormat="false" ht="15" hidden="false" customHeight="false" outlineLevel="0" collapsed="false">
      <c r="A516" s="4" t="s">
        <v>3116</v>
      </c>
      <c r="B516" s="12" t="n">
        <v>2019</v>
      </c>
      <c r="C516" s="4" t="s">
        <v>111</v>
      </c>
      <c r="D516" s="4" t="s">
        <v>1993</v>
      </c>
      <c r="E516" s="4" t="s">
        <v>2001</v>
      </c>
      <c r="F516" s="4" t="s">
        <v>2091</v>
      </c>
      <c r="G516" s="4" t="s">
        <v>69</v>
      </c>
      <c r="H516" s="4" t="s">
        <v>641</v>
      </c>
      <c r="I516" s="4" t="s">
        <v>2030</v>
      </c>
      <c r="J516" s="4" t="s">
        <v>1997</v>
      </c>
      <c r="K516" s="14">
        <f>IF(OR($I516="USO_NO_ENERGETICO_APARENTE",$I516="USO_ENERGETICO_INTERNO_APARENTE"),ROUND(SUMIFS($K$2:$K$618,$B$2:$B$618,$B516,$C$2:$C$618,$C516,$D$2:$D$618,"Energy products",$E$2:$E$618,"Supply",$G$2:$G$618,"&lt;&gt;STAT")-SUMIFS($K$2:$K$618,$B$2:$B$618,$B516,$C$2:$C$618,$C516,$D$2:$D$618,"Energy products",$E$2:$E$618,"Use",$G$2:$G$618,"&lt;&gt;STAT",$I$2:$I$618,"&lt;&gt;USO_NO_ENERGETICO_APARENTE",$I$2:$I$618,"&lt;&gt;USO_ENERGETICO_INTERNO_APARENTE"),10),IF(LEFT($H516,5)="STAT_",ROUND(SUMIFS($K$2:$K$618,$B$2:$B$618,$B516,$C$2:$C$618,$C516,$D$2:$D$618,"Energy products",$E$2:$E$618,"Supply",$G$2:$G$618,"&lt;&gt;STAT")-SUMIFS($K$2:$K$618,$B$2:$B$618,$B516,$C$2:$C$618,$C516,$D$2:$D$618,"Energy products",$E$2:$E$618,"Use",$G$2:$G$618,"&lt;&gt;STAT"),10),IF($J516="cambio de signo",-INDEX(DATOS_MODELO!$U$2:$U$3672,MATCH($H516,DATOS_MODELO!$B$2:$B$3672,0)),IF($J516="valor absoluto",ABS(INDEX(DATOS_MODELO!$U$2:$U$3672,MATCH($H516,DATOS_MODELO!$B$2:$B$3672,0))),INDEX(DATOS_MODELO!$U$2:$U$3672,MATCH($H516,DATOS_MODELO!$B$2:$B$3672,0))))))</f>
        <v>1917.7648</v>
      </c>
      <c r="L516" s="8" t="str">
        <f aca="false">IF(LEFT($H516,5)&lt;&gt;"STAT_","",IF(ABS($K516)&lt;=COUNTIFS($B$2:$B$618,$B516,$C$2:$C$618,$C516,$D$2:$D$618,"Energy products",$G$2:$G$618,"&lt;&gt;STAT")*PARAMETROS!$B$6,"redondeo","residuo_estadistico"))</f>
        <v/>
      </c>
      <c r="M516" s="8" t="str">
        <f>IF(OR($I516="USO_NO_ENERGETICO_APARENTE",$I516="USO_ENERGETICO_INTERNO_APARENTE"),"CAL",IF(LEFT($H516,5)="STAT_","FORMULA",IF(COUNTIF(DATOS_MODELO!$B$2:$B$3672,$H516)=1,"OK","REVISAR")))</f>
        <v>OK</v>
      </c>
    </row>
    <row r="517" customFormat="false" ht="15" hidden="false" customHeight="false" outlineLevel="0" collapsed="false">
      <c r="A517" s="4" t="s">
        <v>3118</v>
      </c>
      <c r="B517" s="12" t="n">
        <v>2019</v>
      </c>
      <c r="C517" s="4" t="s">
        <v>111</v>
      </c>
      <c r="D517" s="4" t="s">
        <v>1993</v>
      </c>
      <c r="E517" s="4" t="s">
        <v>2001</v>
      </c>
      <c r="F517" s="4" t="s">
        <v>2034</v>
      </c>
      <c r="G517" s="4" t="s">
        <v>74</v>
      </c>
      <c r="H517" s="4" t="s">
        <v>642</v>
      </c>
      <c r="I517" s="4" t="s">
        <v>2035</v>
      </c>
      <c r="J517" s="4" t="s">
        <v>2036</v>
      </c>
      <c r="K517" s="14">
        <f>IF(OR($I517="USO_NO_ENERGETICO_APARENTE",$I517="USO_ENERGETICO_INTERNO_APARENTE"),ROUND(SUMIFS($K$2:$K$618,$B$2:$B$618,$B517,$C$2:$C$618,$C517,$D$2:$D$618,"Energy products",$E$2:$E$618,"Supply",$G$2:$G$618,"&lt;&gt;STAT")-SUMIFS($K$2:$K$618,$B$2:$B$618,$B517,$C$2:$C$618,$C517,$D$2:$D$618,"Energy products",$E$2:$E$618,"Use",$G$2:$G$618,"&lt;&gt;STAT",$I$2:$I$618,"&lt;&gt;USO_NO_ENERGETICO_APARENTE",$I$2:$I$618,"&lt;&gt;USO_ENERGETICO_INTERNO_APARENTE"),10),IF(LEFT($H517,5)="STAT_",ROUND(SUMIFS($K$2:$K$618,$B$2:$B$618,$B517,$C$2:$C$618,$C517,$D$2:$D$618,"Energy products",$E$2:$E$618,"Supply",$G$2:$G$618,"&lt;&gt;STAT")-SUMIFS($K$2:$K$618,$B$2:$B$618,$B517,$C$2:$C$618,$C517,$D$2:$D$618,"Energy products",$E$2:$E$618,"Use",$G$2:$G$618,"&lt;&gt;STAT"),10),IF($J517="cambio de signo",-INDEX(DATOS_MODELO!$U$2:$U$3672,MATCH($H517,DATOS_MODELO!$B$2:$B$3672,0)),IF($J517="valor absoluto",ABS(INDEX(DATOS_MODELO!$U$2:$U$3672,MATCH($H517,DATOS_MODELO!$B$2:$B$3672,0))),INDEX(DATOS_MODELO!$U$2:$U$3672,MATCH($H517,DATOS_MODELO!$B$2:$B$3672,0))))))</f>
        <v>-70.1267</v>
      </c>
      <c r="L517" s="8" t="str">
        <f aca="false">IF(LEFT($H517,5)&lt;&gt;"STAT_","",IF(ABS($K517)&lt;=COUNTIFS($B$2:$B$618,$B517,$C$2:$C$618,$C517,$D$2:$D$618,"Energy products",$G$2:$G$618,"&lt;&gt;STAT")*PARAMETROS!$B$6,"redondeo","residuo_estadistico"))</f>
        <v/>
      </c>
      <c r="M517" s="8" t="str">
        <f>IF(OR($I517="USO_NO_ENERGETICO_APARENTE",$I517="USO_ENERGETICO_INTERNO_APARENTE"),"CAL",IF(LEFT($H517,5)="STAT_","FORMULA",IF(COUNTIF(DATOS_MODELO!$B$2:$B$3672,$H517)=1,"OK","REVISAR")))</f>
        <v>OK</v>
      </c>
    </row>
    <row r="518" customFormat="false" ht="15" hidden="false" customHeight="false" outlineLevel="0" collapsed="false">
      <c r="A518" s="4" t="s">
        <v>3120</v>
      </c>
      <c r="B518" s="12" t="n">
        <v>2019</v>
      </c>
      <c r="C518" s="4" t="s">
        <v>111</v>
      </c>
      <c r="D518" s="4" t="s">
        <v>1993</v>
      </c>
      <c r="E518" s="4" t="s">
        <v>1994</v>
      </c>
      <c r="F518" s="4" t="s">
        <v>1995</v>
      </c>
      <c r="G518" s="4" t="s">
        <v>67</v>
      </c>
      <c r="H518" s="4" t="s">
        <v>643</v>
      </c>
      <c r="I518" s="4" t="s">
        <v>2097</v>
      </c>
      <c r="J518" s="4" t="s">
        <v>1997</v>
      </c>
      <c r="K518" s="14">
        <f>IF(OR($I518="USO_NO_ENERGETICO_APARENTE",$I518="USO_ENERGETICO_INTERNO_APARENTE"),ROUND(SUMIFS($K$2:$K$618,$B$2:$B$618,$B518,$C$2:$C$618,$C518,$D$2:$D$618,"Energy products",$E$2:$E$618,"Supply",$G$2:$G$618,"&lt;&gt;STAT")-SUMIFS($K$2:$K$618,$B$2:$B$618,$B518,$C$2:$C$618,$C518,$D$2:$D$618,"Energy products",$E$2:$E$618,"Use",$G$2:$G$618,"&lt;&gt;STAT",$I$2:$I$618,"&lt;&gt;USO_NO_ENERGETICO_APARENTE",$I$2:$I$618,"&lt;&gt;USO_ENERGETICO_INTERNO_APARENTE"),10),IF(LEFT($H518,5)="STAT_",ROUND(SUMIFS($K$2:$K$618,$B$2:$B$618,$B518,$C$2:$C$618,$C518,$D$2:$D$618,"Energy products",$E$2:$E$618,"Supply",$G$2:$G$618,"&lt;&gt;STAT")-SUMIFS($K$2:$K$618,$B$2:$B$618,$B518,$C$2:$C$618,$C518,$D$2:$D$618,"Energy products",$E$2:$E$618,"Use",$G$2:$G$618,"&lt;&gt;STAT"),10),IF($J518="cambio de signo",-INDEX(DATOS_MODELO!$U$2:$U$3672,MATCH($H518,DATOS_MODELO!$B$2:$B$3672,0)),IF($J518="valor absoluto",ABS(INDEX(DATOS_MODELO!$U$2:$U$3672,MATCH($H518,DATOS_MODELO!$B$2:$B$3672,0))),INDEX(DATOS_MODELO!$U$2:$U$3672,MATCH($H518,DATOS_MODELO!$B$2:$B$3672,0))))))</f>
        <v>5122.0379</v>
      </c>
      <c r="L518" s="8" t="str">
        <f aca="false">IF(LEFT($H518,5)&lt;&gt;"STAT_","",IF(ABS($K518)&lt;=COUNTIFS($B$2:$B$618,$B518,$C$2:$C$618,$C518,$D$2:$D$618,"Energy products",$G$2:$G$618,"&lt;&gt;STAT")*PARAMETROS!$B$6,"redondeo","residuo_estadistico"))</f>
        <v/>
      </c>
      <c r="M518" s="8" t="str">
        <f>IF(OR($I518="USO_NO_ENERGETICO_APARENTE",$I518="USO_ENERGETICO_INTERNO_APARENTE"),"CAL",IF(LEFT($H518,5)="STAT_","FORMULA",IF(COUNTIF(DATOS_MODELO!$B$2:$B$3672,$H518)=1,"OK","REVISAR")))</f>
        <v>OK</v>
      </c>
    </row>
    <row r="519" customFormat="false" ht="23.85" hidden="false" customHeight="false" outlineLevel="0" collapsed="false">
      <c r="A519" s="4" t="s">
        <v>3122</v>
      </c>
      <c r="B519" s="12" t="n">
        <v>2019</v>
      </c>
      <c r="C519" s="4" t="s">
        <v>97</v>
      </c>
      <c r="D519" s="4" t="s">
        <v>1993</v>
      </c>
      <c r="E519" s="4" t="s">
        <v>2001</v>
      </c>
      <c r="F519" s="4" t="s">
        <v>2218</v>
      </c>
      <c r="G519" s="4" t="s">
        <v>44</v>
      </c>
      <c r="H519" s="4" t="s">
        <v>3124</v>
      </c>
      <c r="I519" s="4" t="s">
        <v>2219</v>
      </c>
      <c r="J519" s="4" t="s">
        <v>2220</v>
      </c>
      <c r="K519" s="14">
        <f>IF(OR($I519="USO_NO_ENERGETICO_APARENTE",$I519="USO_ENERGETICO_INTERNO_APARENTE"),ROUND(SUMIFS($K$2:$K$618,$B$2:$B$618,$B519,$C$2:$C$618,$C519,$D$2:$D$618,"Energy products",$E$2:$E$618,"Supply",$G$2:$G$618,"&lt;&gt;STAT")-SUMIFS($K$2:$K$618,$B$2:$B$618,$B519,$C$2:$C$618,$C519,$D$2:$D$618,"Energy products",$E$2:$E$618,"Use",$G$2:$G$618,"&lt;&gt;STAT",$I$2:$I$618,"&lt;&gt;USO_NO_ENERGETICO_APARENTE",$I$2:$I$618,"&lt;&gt;USO_ENERGETICO_INTERNO_APARENTE"),10),IF(LEFT($H519,5)="STAT_",ROUND(SUMIFS($K$2:$K$618,$B$2:$B$618,$B519,$C$2:$C$618,$C519,$D$2:$D$618,"Energy products",$E$2:$E$618,"Supply",$G$2:$G$618,"&lt;&gt;STAT")-SUMIFS($K$2:$K$618,$B$2:$B$618,$B519,$C$2:$C$618,$C519,$D$2:$D$618,"Energy products",$E$2:$E$618,"Use",$G$2:$G$618,"&lt;&gt;STAT"),10),IF($J519="cambio de signo",-INDEX(DATOS_MODELO!$U$2:$U$3672,MATCH($H519,DATOS_MODELO!$B$2:$B$3672,0)),IF($J519="valor absoluto",ABS(INDEX(DATOS_MODELO!$U$2:$U$3672,MATCH($H519,DATOS_MODELO!$B$2:$B$3672,0))),INDEX(DATOS_MODELO!$U$2:$U$3672,MATCH($H519,DATOS_MODELO!$B$2:$B$3672,0))))))</f>
        <v>0.0581</v>
      </c>
      <c r="L519" s="8" t="str">
        <f aca="false">IF(LEFT($H519,5)&lt;&gt;"STAT_","",IF(ABS($K519)&lt;=COUNTIFS($B$2:$B$618,$B519,$C$2:$C$618,$C519,$D$2:$D$618,"Energy products",$G$2:$G$618,"&lt;&gt;STAT")*PARAMETROS!$B$6,"redondeo","residuo_estadistico"))</f>
        <v>redondeo</v>
      </c>
      <c r="M519" s="8" t="str">
        <f>IF(OR($I519="USO_NO_ENERGETICO_APARENTE",$I519="USO_ENERGETICO_INTERNO_APARENTE"),"CAL",IF(LEFT($H519,5)="STAT_","FORMULA",IF(COUNTIF(DATOS_MODELO!$B$2:$B$3672,$H519)=1,"OK","REVISAR")))</f>
        <v>FORMULA</v>
      </c>
    </row>
    <row r="520" customFormat="false" ht="23.85" hidden="false" customHeight="false" outlineLevel="0" collapsed="false">
      <c r="A520" s="4" t="s">
        <v>3125</v>
      </c>
      <c r="B520" s="12" t="n">
        <v>2019</v>
      </c>
      <c r="C520" s="4" t="s">
        <v>99</v>
      </c>
      <c r="D520" s="4" t="s">
        <v>1993</v>
      </c>
      <c r="E520" s="4" t="s">
        <v>2001</v>
      </c>
      <c r="F520" s="4" t="s">
        <v>2218</v>
      </c>
      <c r="G520" s="4" t="s">
        <v>44</v>
      </c>
      <c r="H520" s="4" t="s">
        <v>3127</v>
      </c>
      <c r="I520" s="4" t="s">
        <v>2219</v>
      </c>
      <c r="J520" s="4" t="s">
        <v>2220</v>
      </c>
      <c r="K520" s="14">
        <f>IF(OR($I520="USO_NO_ENERGETICO_APARENTE",$I520="USO_ENERGETICO_INTERNO_APARENTE"),ROUND(SUMIFS($K$2:$K$618,$B$2:$B$618,$B520,$C$2:$C$618,$C520,$D$2:$D$618,"Energy products",$E$2:$E$618,"Supply",$G$2:$G$618,"&lt;&gt;STAT")-SUMIFS($K$2:$K$618,$B$2:$B$618,$B520,$C$2:$C$618,$C520,$D$2:$D$618,"Energy products",$E$2:$E$618,"Use",$G$2:$G$618,"&lt;&gt;STAT",$I$2:$I$618,"&lt;&gt;USO_NO_ENERGETICO_APARENTE",$I$2:$I$618,"&lt;&gt;USO_ENERGETICO_INTERNO_APARENTE"),10),IF(LEFT($H520,5)="STAT_",ROUND(SUMIFS($K$2:$K$618,$B$2:$B$618,$B520,$C$2:$C$618,$C520,$D$2:$D$618,"Energy products",$E$2:$E$618,"Supply",$G$2:$G$618,"&lt;&gt;STAT")-SUMIFS($K$2:$K$618,$B$2:$B$618,$B520,$C$2:$C$618,$C520,$D$2:$D$618,"Energy products",$E$2:$E$618,"Use",$G$2:$G$618,"&lt;&gt;STAT"),10),IF($J520="cambio de signo",-INDEX(DATOS_MODELO!$U$2:$U$3672,MATCH($H520,DATOS_MODELO!$B$2:$B$3672,0)),IF($J520="valor absoluto",ABS(INDEX(DATOS_MODELO!$U$2:$U$3672,MATCH($H520,DATOS_MODELO!$B$2:$B$3672,0))),INDEX(DATOS_MODELO!$U$2:$U$3672,MATCH($H520,DATOS_MODELO!$B$2:$B$3672,0))))))</f>
        <v>0.0581</v>
      </c>
      <c r="L520" s="8" t="str">
        <f aca="false">IF(LEFT($H520,5)&lt;&gt;"STAT_","",IF(ABS($K520)&lt;=COUNTIFS($B$2:$B$618,$B520,$C$2:$C$618,$C520,$D$2:$D$618,"Energy products",$G$2:$G$618,"&lt;&gt;STAT")*PARAMETROS!$B$6,"redondeo","residuo_estadistico"))</f>
        <v>redondeo</v>
      </c>
      <c r="M520" s="8" t="str">
        <f>IF(OR($I520="USO_NO_ENERGETICO_APARENTE",$I520="USO_ENERGETICO_INTERNO_APARENTE"),"CAL",IF(LEFT($H520,5)="STAT_","FORMULA",IF(COUNTIF(DATOS_MODELO!$B$2:$B$3672,$H520)=1,"OK","REVISAR")))</f>
        <v>FORMULA</v>
      </c>
    </row>
    <row r="521" customFormat="false" ht="23.85" hidden="false" customHeight="false" outlineLevel="0" collapsed="false">
      <c r="A521" s="4" t="s">
        <v>3128</v>
      </c>
      <c r="B521" s="12" t="n">
        <v>2019</v>
      </c>
      <c r="C521" s="4" t="s">
        <v>103</v>
      </c>
      <c r="D521" s="4" t="s">
        <v>1993</v>
      </c>
      <c r="E521" s="4" t="s">
        <v>2001</v>
      </c>
      <c r="F521" s="4" t="s">
        <v>2002</v>
      </c>
      <c r="G521" s="4" t="s">
        <v>41</v>
      </c>
      <c r="H521" s="4" t="s">
        <v>3130</v>
      </c>
      <c r="I521" s="4" t="s">
        <v>3131</v>
      </c>
      <c r="J521" s="4" t="s">
        <v>3132</v>
      </c>
      <c r="K521" s="14">
        <f>IF(OR($I521="USO_NO_ENERGETICO_APARENTE",$I521="USO_ENERGETICO_INTERNO_APARENTE"),ROUND(SUMIFS($K$2:$K$618,$B$2:$B$618,$B521,$C$2:$C$618,$C521,$D$2:$D$618,"Energy products",$E$2:$E$618,"Supply",$G$2:$G$618,"&lt;&gt;STAT")-SUMIFS($K$2:$K$618,$B$2:$B$618,$B521,$C$2:$C$618,$C521,$D$2:$D$618,"Energy products",$E$2:$E$618,"Use",$G$2:$G$618,"&lt;&gt;STAT",$I$2:$I$618,"&lt;&gt;USO_NO_ENERGETICO_APARENTE",$I$2:$I$618,"&lt;&gt;USO_ENERGETICO_INTERNO_APARENTE"),10),IF(LEFT($H521,5)="STAT_",ROUND(SUMIFS($K$2:$K$618,$B$2:$B$618,$B521,$C$2:$C$618,$C521,$D$2:$D$618,"Energy products",$E$2:$E$618,"Supply",$G$2:$G$618,"&lt;&gt;STAT")-SUMIFS($K$2:$K$618,$B$2:$B$618,$B521,$C$2:$C$618,$C521,$D$2:$D$618,"Energy products",$E$2:$E$618,"Use",$G$2:$G$618,"&lt;&gt;STAT"),10),IF($J521="cambio de signo",-INDEX(DATOS_MODELO!$U$2:$U$3672,MATCH($H521,DATOS_MODELO!$B$2:$B$3672,0)),IF($J521="valor absoluto",ABS(INDEX(DATOS_MODELO!$U$2:$U$3672,MATCH($H521,DATOS_MODELO!$B$2:$B$3672,0))),INDEX(DATOS_MODELO!$U$2:$U$3672,MATCH($H521,DATOS_MODELO!$B$2:$B$3672,0))))))</f>
        <v>10976.3682</v>
      </c>
      <c r="L521" s="8" t="str">
        <f aca="false">IF(LEFT($H521,5)&lt;&gt;"STAT_","",IF(ABS($K521)&lt;=COUNTIFS($B$2:$B$618,$B521,$C$2:$C$618,$C521,$D$2:$D$618,"Energy products",$G$2:$G$618,"&lt;&gt;STAT")*PARAMETROS!$B$6,"redondeo","residuo_estadistico"))</f>
        <v/>
      </c>
      <c r="M521" s="8" t="str">
        <f>IF(OR($I521="USO_NO_ENERGETICO_APARENTE",$I521="USO_ENERGETICO_INTERNO_APARENTE"),"CAL",IF(LEFT($H521,5)="STAT_","FORMULA",IF(COUNTIF(DATOS_MODELO!$B$2:$B$3672,$H521)=1,"OK","REVISAR")))</f>
        <v>CAL</v>
      </c>
    </row>
    <row r="522" customFormat="false" ht="23.85" hidden="false" customHeight="false" outlineLevel="0" collapsed="false">
      <c r="A522" s="4" t="s">
        <v>3134</v>
      </c>
      <c r="B522" s="12" t="n">
        <v>2019</v>
      </c>
      <c r="C522" s="4" t="s">
        <v>107</v>
      </c>
      <c r="D522" s="4" t="s">
        <v>1993</v>
      </c>
      <c r="E522" s="4" t="s">
        <v>2001</v>
      </c>
      <c r="F522" s="4" t="s">
        <v>2218</v>
      </c>
      <c r="G522" s="4" t="s">
        <v>44</v>
      </c>
      <c r="H522" s="4" t="s">
        <v>3136</v>
      </c>
      <c r="I522" s="4" t="s">
        <v>2219</v>
      </c>
      <c r="J522" s="4" t="s">
        <v>2220</v>
      </c>
      <c r="K522" s="14">
        <f>IF(OR($I522="USO_NO_ENERGETICO_APARENTE",$I522="USO_ENERGETICO_INTERNO_APARENTE"),ROUND(SUMIFS($K$2:$K$618,$B$2:$B$618,$B522,$C$2:$C$618,$C522,$D$2:$D$618,"Energy products",$E$2:$E$618,"Supply",$G$2:$G$618,"&lt;&gt;STAT")-SUMIFS($K$2:$K$618,$B$2:$B$618,$B522,$C$2:$C$618,$C522,$D$2:$D$618,"Energy products",$E$2:$E$618,"Use",$G$2:$G$618,"&lt;&gt;STAT",$I$2:$I$618,"&lt;&gt;USO_NO_ENERGETICO_APARENTE",$I$2:$I$618,"&lt;&gt;USO_ENERGETICO_INTERNO_APARENTE"),10),IF(LEFT($H522,5)="STAT_",ROUND(SUMIFS($K$2:$K$618,$B$2:$B$618,$B522,$C$2:$C$618,$C522,$D$2:$D$618,"Energy products",$E$2:$E$618,"Supply",$G$2:$G$618,"&lt;&gt;STAT")-SUMIFS($K$2:$K$618,$B$2:$B$618,$B522,$C$2:$C$618,$C522,$D$2:$D$618,"Energy products",$E$2:$E$618,"Use",$G$2:$G$618,"&lt;&gt;STAT"),10),IF($J522="cambio de signo",-INDEX(DATOS_MODELO!$U$2:$U$3672,MATCH($H522,DATOS_MODELO!$B$2:$B$3672,0)),IF($J522="valor absoluto",ABS(INDEX(DATOS_MODELO!$U$2:$U$3672,MATCH($H522,DATOS_MODELO!$B$2:$B$3672,0))),INDEX(DATOS_MODELO!$U$2:$U$3672,MATCH($H522,DATOS_MODELO!$B$2:$B$3672,0))))))</f>
        <v>-0.0581</v>
      </c>
      <c r="L522" s="8" t="str">
        <f aca="false">IF(LEFT($H522,5)&lt;&gt;"STAT_","",IF(ABS($K522)&lt;=COUNTIFS($B$2:$B$618,$B522,$C$2:$C$618,$C522,$D$2:$D$618,"Energy products",$G$2:$G$618,"&lt;&gt;STAT")*PARAMETROS!$B$6,"redondeo","residuo_estadistico"))</f>
        <v>redondeo</v>
      </c>
      <c r="M522" s="8" t="str">
        <f>IF(OR($I522="USO_NO_ENERGETICO_APARENTE",$I522="USO_ENERGETICO_INTERNO_APARENTE"),"CAL",IF(LEFT($H522,5)="STAT_","FORMULA",IF(COUNTIF(DATOS_MODELO!$B$2:$B$3672,$H522)=1,"OK","REVISAR")))</f>
        <v>FORMULA</v>
      </c>
    </row>
    <row r="523" customFormat="false" ht="23.85" hidden="false" customHeight="false" outlineLevel="0" collapsed="false">
      <c r="A523" s="4" t="s">
        <v>3137</v>
      </c>
      <c r="B523" s="12" t="n">
        <v>2019</v>
      </c>
      <c r="C523" s="4" t="s">
        <v>111</v>
      </c>
      <c r="D523" s="4" t="s">
        <v>1993</v>
      </c>
      <c r="E523" s="4" t="s">
        <v>2001</v>
      </c>
      <c r="F523" s="4" t="s">
        <v>2002</v>
      </c>
      <c r="G523" s="4" t="s">
        <v>41</v>
      </c>
      <c r="H523" s="4" t="s">
        <v>3139</v>
      </c>
      <c r="I523" s="4" t="s">
        <v>2228</v>
      </c>
      <c r="J523" s="4" t="s">
        <v>1997</v>
      </c>
      <c r="K523" s="14">
        <f>IF(OR($I523="USO_NO_ENERGETICO_APARENTE",$I523="USO_ENERGETICO_INTERNO_APARENTE"),ROUND(SUMIFS($K$2:$K$618,$B$2:$B$618,$B523,$C$2:$C$618,$C523,$D$2:$D$618,"Energy products",$E$2:$E$618,"Supply",$G$2:$G$618,"&lt;&gt;STAT")-SUMIFS($K$2:$K$618,$B$2:$B$618,$B523,$C$2:$C$618,$C523,$D$2:$D$618,"Energy products",$E$2:$E$618,"Use",$G$2:$G$618,"&lt;&gt;STAT",$I$2:$I$618,"&lt;&gt;USO_NO_ENERGETICO_APARENTE",$I$2:$I$618,"&lt;&gt;USO_ENERGETICO_INTERNO_APARENTE"),10),IF(LEFT($H523,5)="STAT_",ROUND(SUMIFS($K$2:$K$618,$B$2:$B$618,$B523,$C$2:$C$618,$C523,$D$2:$D$618,"Energy products",$E$2:$E$618,"Supply",$G$2:$G$618,"&lt;&gt;STAT")-SUMIFS($K$2:$K$618,$B$2:$B$618,$B523,$C$2:$C$618,$C523,$D$2:$D$618,"Energy products",$E$2:$E$618,"Use",$G$2:$G$618,"&lt;&gt;STAT"),10),IF($J523="cambio de signo",-INDEX(DATOS_MODELO!$U$2:$U$3672,MATCH($H523,DATOS_MODELO!$B$2:$B$3672,0)),IF($J523="valor absoluto",ABS(INDEX(DATOS_MODELO!$U$2:$U$3672,MATCH($H523,DATOS_MODELO!$B$2:$B$3672,0))),INDEX(DATOS_MODELO!$U$2:$U$3672,MATCH($H523,DATOS_MODELO!$B$2:$B$3672,0))))))</f>
        <v>3820.4817</v>
      </c>
      <c r="L523" s="8" t="str">
        <f aca="false">IF(LEFT($H523,5)&lt;&gt;"STAT_","",IF(ABS($K523)&lt;=COUNTIFS($B$2:$B$618,$B523,$C$2:$C$618,$C523,$D$2:$D$618,"Energy products",$G$2:$G$618,"&lt;&gt;STAT")*PARAMETROS!$B$6,"redondeo","residuo_estadistico"))</f>
        <v/>
      </c>
      <c r="M523" s="8" t="str">
        <f>IF(OR($I523="USO_NO_ENERGETICO_APARENTE",$I523="USO_ENERGETICO_INTERNO_APARENTE"),"CAL",IF(LEFT($H523,5)="STAT_","FORMULA",IF(COUNTIF(DATOS_MODELO!$B$2:$B$3672,$H523)=1,"OK","REVISAR")))</f>
        <v>CAL</v>
      </c>
    </row>
    <row r="524" customFormat="false" ht="23.85" hidden="false" customHeight="false" outlineLevel="0" collapsed="false">
      <c r="A524" s="4" t="s">
        <v>3140</v>
      </c>
      <c r="B524" s="12" t="n">
        <v>2019</v>
      </c>
      <c r="C524" s="4" t="s">
        <v>86</v>
      </c>
      <c r="D524" s="4" t="s">
        <v>1993</v>
      </c>
      <c r="E524" s="4" t="s">
        <v>2001</v>
      </c>
      <c r="F524" s="4" t="s">
        <v>2218</v>
      </c>
      <c r="G524" s="4" t="s">
        <v>44</v>
      </c>
      <c r="H524" s="4" t="s">
        <v>3142</v>
      </c>
      <c r="I524" s="4" t="s">
        <v>2219</v>
      </c>
      <c r="J524" s="4" t="s">
        <v>2220</v>
      </c>
      <c r="K524" s="14">
        <f>IF(OR($I524="USO_NO_ENERGETICO_APARENTE",$I524="USO_ENERGETICO_INTERNO_APARENTE"),ROUND(SUMIFS($K$2:$K$618,$B$2:$B$618,$B524,$C$2:$C$618,$C524,$D$2:$D$618,"Energy products",$E$2:$E$618,"Supply",$G$2:$G$618,"&lt;&gt;STAT")-SUMIFS($K$2:$K$618,$B$2:$B$618,$B524,$C$2:$C$618,$C524,$D$2:$D$618,"Energy products",$E$2:$E$618,"Use",$G$2:$G$618,"&lt;&gt;STAT",$I$2:$I$618,"&lt;&gt;USO_NO_ENERGETICO_APARENTE",$I$2:$I$618,"&lt;&gt;USO_ENERGETICO_INTERNO_APARENTE"),10),IF(LEFT($H524,5)="STAT_",ROUND(SUMIFS($K$2:$K$618,$B$2:$B$618,$B524,$C$2:$C$618,$C524,$D$2:$D$618,"Energy products",$E$2:$E$618,"Supply",$G$2:$G$618,"&lt;&gt;STAT")-SUMIFS($K$2:$K$618,$B$2:$B$618,$B524,$C$2:$C$618,$C524,$D$2:$D$618,"Energy products",$E$2:$E$618,"Use",$G$2:$G$618,"&lt;&gt;STAT"),10),IF($J524="cambio de signo",-INDEX(DATOS_MODELO!$U$2:$U$3672,MATCH($H524,DATOS_MODELO!$B$2:$B$3672,0)),IF($J524="valor absoluto",ABS(INDEX(DATOS_MODELO!$U$2:$U$3672,MATCH($H524,DATOS_MODELO!$B$2:$B$3672,0))),INDEX(DATOS_MODELO!$U$2:$U$3672,MATCH($H524,DATOS_MODELO!$B$2:$B$3672,0))))))</f>
        <v>0.0581</v>
      </c>
      <c r="L524" s="8" t="str">
        <f aca="false">IF(LEFT($H524,5)&lt;&gt;"STAT_","",IF(ABS($K524)&lt;=COUNTIFS($B$2:$B$618,$B524,$C$2:$C$618,$C524,$D$2:$D$618,"Energy products",$G$2:$G$618,"&lt;&gt;STAT")*PARAMETROS!$B$6,"redondeo","residuo_estadistico"))</f>
        <v>redondeo</v>
      </c>
      <c r="M524" s="8" t="str">
        <f>IF(OR($I524="USO_NO_ENERGETICO_APARENTE",$I524="USO_ENERGETICO_INTERNO_APARENTE"),"CAL",IF(LEFT($H524,5)="STAT_","FORMULA",IF(COUNTIF(DATOS_MODELO!$B$2:$B$3672,$H524)=1,"OK","REVISAR")))</f>
        <v>FORMULA</v>
      </c>
    </row>
    <row r="525" customFormat="false" ht="15" hidden="false" customHeight="false" outlineLevel="0" collapsed="false">
      <c r="A525" s="4" t="s">
        <v>3143</v>
      </c>
      <c r="B525" s="12" t="n">
        <v>2018</v>
      </c>
      <c r="C525" s="4" t="s">
        <v>91</v>
      </c>
      <c r="D525" s="4" t="s">
        <v>1993</v>
      </c>
      <c r="E525" s="4" t="s">
        <v>1994</v>
      </c>
      <c r="F525" s="4" t="s">
        <v>1995</v>
      </c>
      <c r="G525" s="4" t="s">
        <v>68</v>
      </c>
      <c r="H525" s="4" t="s">
        <v>168</v>
      </c>
      <c r="I525" s="4" t="s">
        <v>1996</v>
      </c>
      <c r="J525" s="4" t="s">
        <v>1997</v>
      </c>
      <c r="K525" s="14">
        <f>IF(OR($I525="USO_NO_ENERGETICO_APARENTE",$I525="USO_ENERGETICO_INTERNO_APARENTE"),ROUND(SUMIFS($K$2:$K$618,$B$2:$B$618,$B525,$C$2:$C$618,$C525,$D$2:$D$618,"Energy products",$E$2:$E$618,"Supply",$G$2:$G$618,"&lt;&gt;STAT")-SUMIFS($K$2:$K$618,$B$2:$B$618,$B525,$C$2:$C$618,$C525,$D$2:$D$618,"Energy products",$E$2:$E$618,"Use",$G$2:$G$618,"&lt;&gt;STAT",$I$2:$I$618,"&lt;&gt;USO_NO_ENERGETICO_APARENTE",$I$2:$I$618,"&lt;&gt;USO_ENERGETICO_INTERNO_APARENTE"),10),IF(LEFT($H525,5)="STAT_",ROUND(SUMIFS($K$2:$K$618,$B$2:$B$618,$B525,$C$2:$C$618,$C525,$D$2:$D$618,"Energy products",$E$2:$E$618,"Supply",$G$2:$G$618,"&lt;&gt;STAT")-SUMIFS($K$2:$K$618,$B$2:$B$618,$B525,$C$2:$C$618,$C525,$D$2:$D$618,"Energy products",$E$2:$E$618,"Use",$G$2:$G$618,"&lt;&gt;STAT"),10),IF($J525="cambio de signo",-INDEX(DATOS_MODELO!$U$2:$U$3672,MATCH($H525,DATOS_MODELO!$B$2:$B$3672,0)),IF($J525="valor absoluto",ABS(INDEX(DATOS_MODELO!$U$2:$U$3672,MATCH($H525,DATOS_MODELO!$B$2:$B$3672,0))),INDEX(DATOS_MODELO!$U$2:$U$3672,MATCH($H525,DATOS_MODELO!$B$2:$B$3672,0))))))</f>
        <v>50655.8213</v>
      </c>
      <c r="L525" s="8" t="str">
        <f aca="false">IF(LEFT($H525,5)&lt;&gt;"STAT_","",IF(ABS($K525)&lt;=COUNTIFS($B$2:$B$618,$B525,$C$2:$C$618,$C525,$D$2:$D$618,"Energy products",$G$2:$G$618,"&lt;&gt;STAT")*PARAMETROS!$B$6,"redondeo","residuo_estadistico"))</f>
        <v/>
      </c>
      <c r="M525" s="8" t="str">
        <f>IF(OR($I525="USO_NO_ENERGETICO_APARENTE",$I525="USO_ENERGETICO_INTERNO_APARENTE"),"CAL",IF(LEFT($H525,5)="STAT_","FORMULA",IF(COUNTIF(DATOS_MODELO!$B$2:$B$3672,$H525)=1,"OK","REVISAR")))</f>
        <v>OK</v>
      </c>
    </row>
    <row r="526" customFormat="false" ht="15" hidden="false" customHeight="false" outlineLevel="0" collapsed="false">
      <c r="A526" s="4" t="s">
        <v>3145</v>
      </c>
      <c r="B526" s="12" t="n">
        <v>2018</v>
      </c>
      <c r="C526" s="4" t="s">
        <v>91</v>
      </c>
      <c r="D526" s="4" t="s">
        <v>1993</v>
      </c>
      <c r="E526" s="4" t="s">
        <v>2001</v>
      </c>
      <c r="F526" s="4" t="s">
        <v>2002</v>
      </c>
      <c r="G526" s="4" t="s">
        <v>67</v>
      </c>
      <c r="H526" s="4" t="s">
        <v>180</v>
      </c>
      <c r="I526" s="4" t="s">
        <v>2003</v>
      </c>
      <c r="J526" s="4" t="s">
        <v>2004</v>
      </c>
      <c r="K526" s="14">
        <f>IF(OR($I526="USO_NO_ENERGETICO_APARENTE",$I526="USO_ENERGETICO_INTERNO_APARENTE"),ROUND(SUMIFS($K$2:$K$618,$B$2:$B$618,$B526,$C$2:$C$618,$C526,$D$2:$D$618,"Energy products",$E$2:$E$618,"Supply",$G$2:$G$618,"&lt;&gt;STAT")-SUMIFS($K$2:$K$618,$B$2:$B$618,$B526,$C$2:$C$618,$C526,$D$2:$D$618,"Energy products",$E$2:$E$618,"Use",$G$2:$G$618,"&lt;&gt;STAT",$I$2:$I$618,"&lt;&gt;USO_NO_ENERGETICO_APARENTE",$I$2:$I$618,"&lt;&gt;USO_ENERGETICO_INTERNO_APARENTE"),10),IF(LEFT($H526,5)="STAT_",ROUND(SUMIFS($K$2:$K$618,$B$2:$B$618,$B526,$C$2:$C$618,$C526,$D$2:$D$618,"Energy products",$E$2:$E$618,"Supply",$G$2:$G$618,"&lt;&gt;STAT")-SUMIFS($K$2:$K$618,$B$2:$B$618,$B526,$C$2:$C$618,$C526,$D$2:$D$618,"Energy products",$E$2:$E$618,"Use",$G$2:$G$618,"&lt;&gt;STAT"),10),IF($J526="cambio de signo",-INDEX(DATOS_MODELO!$U$2:$U$3672,MATCH($H526,DATOS_MODELO!$B$2:$B$3672,0)),IF($J526="valor absoluto",ABS(INDEX(DATOS_MODELO!$U$2:$U$3672,MATCH($H526,DATOS_MODELO!$B$2:$B$3672,0))),INDEX(DATOS_MODELO!$U$2:$U$3672,MATCH($H526,DATOS_MODELO!$B$2:$B$3672,0))))))</f>
        <v>36013.4593</v>
      </c>
      <c r="L526" s="8" t="str">
        <f aca="false">IF(LEFT($H526,5)&lt;&gt;"STAT_","",IF(ABS($K526)&lt;=COUNTIFS($B$2:$B$618,$B526,$C$2:$C$618,$C526,$D$2:$D$618,"Energy products",$G$2:$G$618,"&lt;&gt;STAT")*PARAMETROS!$B$6,"redondeo","residuo_estadistico"))</f>
        <v/>
      </c>
      <c r="M526" s="8" t="str">
        <f>IF(OR($I526="USO_NO_ENERGETICO_APARENTE",$I526="USO_ENERGETICO_INTERNO_APARENTE"),"CAL",IF(LEFT($H526,5)="STAT_","FORMULA",IF(COUNTIF(DATOS_MODELO!$B$2:$B$3672,$H526)=1,"OK","REVISAR")))</f>
        <v>OK</v>
      </c>
    </row>
    <row r="527" customFormat="false" ht="15" hidden="false" customHeight="false" outlineLevel="0" collapsed="false">
      <c r="A527" s="4" t="s">
        <v>3147</v>
      </c>
      <c r="B527" s="12" t="n">
        <v>2018</v>
      </c>
      <c r="C527" s="4" t="s">
        <v>91</v>
      </c>
      <c r="D527" s="4" t="s">
        <v>1993</v>
      </c>
      <c r="E527" s="4" t="s">
        <v>2001</v>
      </c>
      <c r="F527" s="4" t="s">
        <v>2002</v>
      </c>
      <c r="G527" s="4" t="s">
        <v>67</v>
      </c>
      <c r="H527" s="4" t="s">
        <v>181</v>
      </c>
      <c r="I527" s="4" t="s">
        <v>2008</v>
      </c>
      <c r="J527" s="4" t="s">
        <v>2004</v>
      </c>
      <c r="K527" s="14">
        <f>IF(OR($I527="USO_NO_ENERGETICO_APARENTE",$I527="USO_ENERGETICO_INTERNO_APARENTE"),ROUND(SUMIFS($K$2:$K$618,$B$2:$B$618,$B527,$C$2:$C$618,$C527,$D$2:$D$618,"Energy products",$E$2:$E$618,"Supply",$G$2:$G$618,"&lt;&gt;STAT")-SUMIFS($K$2:$K$618,$B$2:$B$618,$B527,$C$2:$C$618,$C527,$D$2:$D$618,"Energy products",$E$2:$E$618,"Use",$G$2:$G$618,"&lt;&gt;STAT",$I$2:$I$618,"&lt;&gt;USO_NO_ENERGETICO_APARENTE",$I$2:$I$618,"&lt;&gt;USO_ENERGETICO_INTERNO_APARENTE"),10),IF(LEFT($H527,5)="STAT_",ROUND(SUMIFS($K$2:$K$618,$B$2:$B$618,$B527,$C$2:$C$618,$C527,$D$2:$D$618,"Energy products",$E$2:$E$618,"Supply",$G$2:$G$618,"&lt;&gt;STAT")-SUMIFS($K$2:$K$618,$B$2:$B$618,$B527,$C$2:$C$618,$C527,$D$2:$D$618,"Energy products",$E$2:$E$618,"Use",$G$2:$G$618,"&lt;&gt;STAT"),10),IF($J527="cambio de signo",-INDEX(DATOS_MODELO!$U$2:$U$3672,MATCH($H527,DATOS_MODELO!$B$2:$B$3672,0)),IF($J527="valor absoluto",ABS(INDEX(DATOS_MODELO!$U$2:$U$3672,MATCH($H527,DATOS_MODELO!$B$2:$B$3672,0))),INDEX(DATOS_MODELO!$U$2:$U$3672,MATCH($H527,DATOS_MODELO!$B$2:$B$3672,0))))))</f>
        <v>14642.362</v>
      </c>
      <c r="L527" s="8" t="str">
        <f aca="false">IF(LEFT($H527,5)&lt;&gt;"STAT_","",IF(ABS($K527)&lt;=COUNTIFS($B$2:$B$618,$B527,$C$2:$C$618,$C527,$D$2:$D$618,"Energy products",$G$2:$G$618,"&lt;&gt;STAT")*PARAMETROS!$B$6,"redondeo","residuo_estadistico"))</f>
        <v/>
      </c>
      <c r="M527" s="8" t="str">
        <f>IF(OR($I527="USO_NO_ENERGETICO_APARENTE",$I527="USO_ENERGETICO_INTERNO_APARENTE"),"CAL",IF(LEFT($H527,5)="STAT_","FORMULA",IF(COUNTIF(DATOS_MODELO!$B$2:$B$3672,$H527)=1,"OK","REVISAR")))</f>
        <v>OK</v>
      </c>
    </row>
    <row r="528" customFormat="false" ht="15" hidden="false" customHeight="false" outlineLevel="0" collapsed="false">
      <c r="A528" s="4" t="s">
        <v>3149</v>
      </c>
      <c r="B528" s="12" t="n">
        <v>2018</v>
      </c>
      <c r="C528" s="4" t="s">
        <v>93</v>
      </c>
      <c r="D528" s="4" t="s">
        <v>1993</v>
      </c>
      <c r="E528" s="4" t="s">
        <v>1994</v>
      </c>
      <c r="F528" s="4" t="s">
        <v>1995</v>
      </c>
      <c r="G528" s="4" t="s">
        <v>67</v>
      </c>
      <c r="H528" s="4" t="s">
        <v>189</v>
      </c>
      <c r="I528" s="4" t="s">
        <v>2012</v>
      </c>
      <c r="J528" s="4" t="s">
        <v>1997</v>
      </c>
      <c r="K528" s="14">
        <f>IF(OR($I528="USO_NO_ENERGETICO_APARENTE",$I528="USO_ENERGETICO_INTERNO_APARENTE"),ROUND(SUMIFS($K$2:$K$618,$B$2:$B$618,$B528,$C$2:$C$618,$C528,$D$2:$D$618,"Energy products",$E$2:$E$618,"Supply",$G$2:$G$618,"&lt;&gt;STAT")-SUMIFS($K$2:$K$618,$B$2:$B$618,$B528,$C$2:$C$618,$C528,$D$2:$D$618,"Energy products",$E$2:$E$618,"Use",$G$2:$G$618,"&lt;&gt;STAT",$I$2:$I$618,"&lt;&gt;USO_NO_ENERGETICO_APARENTE",$I$2:$I$618,"&lt;&gt;USO_ENERGETICO_INTERNO_APARENTE"),10),IF(LEFT($H528,5)="STAT_",ROUND(SUMIFS($K$2:$K$618,$B$2:$B$618,$B528,$C$2:$C$618,$C528,$D$2:$D$618,"Energy products",$E$2:$E$618,"Supply",$G$2:$G$618,"&lt;&gt;STAT")-SUMIFS($K$2:$K$618,$B$2:$B$618,$B528,$C$2:$C$618,$C528,$D$2:$D$618,"Energy products",$E$2:$E$618,"Use",$G$2:$G$618,"&lt;&gt;STAT"),10),IF($J528="cambio de signo",-INDEX(DATOS_MODELO!$U$2:$U$3672,MATCH($H528,DATOS_MODELO!$B$2:$B$3672,0)),IF($J528="valor absoluto",ABS(INDEX(DATOS_MODELO!$U$2:$U$3672,MATCH($H528,DATOS_MODELO!$B$2:$B$3672,0))),INDEX(DATOS_MODELO!$U$2:$U$3672,MATCH($H528,DATOS_MODELO!$B$2:$B$3672,0))))))</f>
        <v>436.2148</v>
      </c>
      <c r="L528" s="8" t="str">
        <f aca="false">IF(LEFT($H528,5)&lt;&gt;"STAT_","",IF(ABS($K528)&lt;=COUNTIFS($B$2:$B$618,$B528,$C$2:$C$618,$C528,$D$2:$D$618,"Energy products",$G$2:$G$618,"&lt;&gt;STAT")*PARAMETROS!$B$6,"redondeo","residuo_estadistico"))</f>
        <v/>
      </c>
      <c r="M528" s="8" t="str">
        <f>IF(OR($I528="USO_NO_ENERGETICO_APARENTE",$I528="USO_ENERGETICO_INTERNO_APARENTE"),"CAL",IF(LEFT($H528,5)="STAT_","FORMULA",IF(COUNTIF(DATOS_MODELO!$B$2:$B$3672,$H528)=1,"OK","REVISAR")))</f>
        <v>OK</v>
      </c>
    </row>
    <row r="529" customFormat="false" ht="15" hidden="false" customHeight="false" outlineLevel="0" collapsed="false">
      <c r="A529" s="4" t="s">
        <v>3151</v>
      </c>
      <c r="B529" s="12" t="n">
        <v>2018</v>
      </c>
      <c r="C529" s="4" t="s">
        <v>93</v>
      </c>
      <c r="D529" s="4" t="s">
        <v>1993</v>
      </c>
      <c r="E529" s="4" t="s">
        <v>2001</v>
      </c>
      <c r="F529" s="4" t="s">
        <v>2002</v>
      </c>
      <c r="G529" s="4" t="s">
        <v>67</v>
      </c>
      <c r="H529" s="4" t="s">
        <v>195</v>
      </c>
      <c r="I529" s="4" t="s">
        <v>2003</v>
      </c>
      <c r="J529" s="4" t="s">
        <v>2004</v>
      </c>
      <c r="K529" s="14">
        <f>IF(OR($I529="USO_NO_ENERGETICO_APARENTE",$I529="USO_ENERGETICO_INTERNO_APARENTE"),ROUND(SUMIFS($K$2:$K$618,$B$2:$B$618,$B529,$C$2:$C$618,$C529,$D$2:$D$618,"Energy products",$E$2:$E$618,"Supply",$G$2:$G$618,"&lt;&gt;STAT")-SUMIFS($K$2:$K$618,$B$2:$B$618,$B529,$C$2:$C$618,$C529,$D$2:$D$618,"Energy products",$E$2:$E$618,"Use",$G$2:$G$618,"&lt;&gt;STAT",$I$2:$I$618,"&lt;&gt;USO_NO_ENERGETICO_APARENTE",$I$2:$I$618,"&lt;&gt;USO_ENERGETICO_INTERNO_APARENTE"),10),IF(LEFT($H529,5)="STAT_",ROUND(SUMIFS($K$2:$K$618,$B$2:$B$618,$B529,$C$2:$C$618,$C529,$D$2:$D$618,"Energy products",$E$2:$E$618,"Supply",$G$2:$G$618,"&lt;&gt;STAT")-SUMIFS($K$2:$K$618,$B$2:$B$618,$B529,$C$2:$C$618,$C529,$D$2:$D$618,"Energy products",$E$2:$E$618,"Use",$G$2:$G$618,"&lt;&gt;STAT"),10),IF($J529="cambio de signo",-INDEX(DATOS_MODELO!$U$2:$U$3672,MATCH($H529,DATOS_MODELO!$B$2:$B$3672,0)),IF($J529="valor absoluto",ABS(INDEX(DATOS_MODELO!$U$2:$U$3672,MATCH($H529,DATOS_MODELO!$B$2:$B$3672,0))),INDEX(DATOS_MODELO!$U$2:$U$3672,MATCH($H529,DATOS_MODELO!$B$2:$B$3672,0))))))</f>
        <v>421.6898</v>
      </c>
      <c r="L529" s="8" t="str">
        <f aca="false">IF(LEFT($H529,5)&lt;&gt;"STAT_","",IF(ABS($K529)&lt;=COUNTIFS($B$2:$B$618,$B529,$C$2:$C$618,$C529,$D$2:$D$618,"Energy products",$G$2:$G$618,"&lt;&gt;STAT")*PARAMETROS!$B$6,"redondeo","residuo_estadistico"))</f>
        <v/>
      </c>
      <c r="M529" s="8" t="str">
        <f>IF(OR($I529="USO_NO_ENERGETICO_APARENTE",$I529="USO_ENERGETICO_INTERNO_APARENTE"),"CAL",IF(LEFT($H529,5)="STAT_","FORMULA",IF(COUNTIF(DATOS_MODELO!$B$2:$B$3672,$H529)=1,"OK","REVISAR")))</f>
        <v>OK</v>
      </c>
    </row>
    <row r="530" customFormat="false" ht="15" hidden="false" customHeight="false" outlineLevel="0" collapsed="false">
      <c r="A530" s="4" t="s">
        <v>3153</v>
      </c>
      <c r="B530" s="12" t="n">
        <v>2018</v>
      </c>
      <c r="C530" s="4" t="s">
        <v>93</v>
      </c>
      <c r="D530" s="4" t="s">
        <v>1993</v>
      </c>
      <c r="E530" s="4" t="s">
        <v>2001</v>
      </c>
      <c r="F530" s="4" t="s">
        <v>2002</v>
      </c>
      <c r="G530" s="4" t="s">
        <v>67</v>
      </c>
      <c r="H530" s="4" t="s">
        <v>196</v>
      </c>
      <c r="I530" s="4" t="s">
        <v>2008</v>
      </c>
      <c r="J530" s="4" t="s">
        <v>2004</v>
      </c>
      <c r="K530" s="14">
        <f>IF(OR($I530="USO_NO_ENERGETICO_APARENTE",$I530="USO_ENERGETICO_INTERNO_APARENTE"),ROUND(SUMIFS($K$2:$K$618,$B$2:$B$618,$B530,$C$2:$C$618,$C530,$D$2:$D$618,"Energy products",$E$2:$E$618,"Supply",$G$2:$G$618,"&lt;&gt;STAT")-SUMIFS($K$2:$K$618,$B$2:$B$618,$B530,$C$2:$C$618,$C530,$D$2:$D$618,"Energy products",$E$2:$E$618,"Use",$G$2:$G$618,"&lt;&gt;STAT",$I$2:$I$618,"&lt;&gt;USO_NO_ENERGETICO_APARENTE",$I$2:$I$618,"&lt;&gt;USO_ENERGETICO_INTERNO_APARENTE"),10),IF(LEFT($H530,5)="STAT_",ROUND(SUMIFS($K$2:$K$618,$B$2:$B$618,$B530,$C$2:$C$618,$C530,$D$2:$D$618,"Energy products",$E$2:$E$618,"Supply",$G$2:$G$618,"&lt;&gt;STAT")-SUMIFS($K$2:$K$618,$B$2:$B$618,$B530,$C$2:$C$618,$C530,$D$2:$D$618,"Energy products",$E$2:$E$618,"Use",$G$2:$G$618,"&lt;&gt;STAT"),10),IF($J530="cambio de signo",-INDEX(DATOS_MODELO!$U$2:$U$3672,MATCH($H530,DATOS_MODELO!$B$2:$B$3672,0)),IF($J530="valor absoluto",ABS(INDEX(DATOS_MODELO!$U$2:$U$3672,MATCH($H530,DATOS_MODELO!$B$2:$B$3672,0))),INDEX(DATOS_MODELO!$U$2:$U$3672,MATCH($H530,DATOS_MODELO!$B$2:$B$3672,0))))))</f>
        <v>14.525</v>
      </c>
      <c r="L530" s="8" t="str">
        <f aca="false">IF(LEFT($H530,5)&lt;&gt;"STAT_","",IF(ABS($K530)&lt;=COUNTIFS($B$2:$B$618,$B530,$C$2:$C$618,$C530,$D$2:$D$618,"Energy products",$G$2:$G$618,"&lt;&gt;STAT")*PARAMETROS!$B$6,"redondeo","residuo_estadistico"))</f>
        <v/>
      </c>
      <c r="M530" s="8" t="str">
        <f>IF(OR($I530="USO_NO_ENERGETICO_APARENTE",$I530="USO_ENERGETICO_INTERNO_APARENTE"),"CAL",IF(LEFT($H530,5)="STAT_","FORMULA",IF(COUNTIF(DATOS_MODELO!$B$2:$B$3672,$H530)=1,"OK","REVISAR")))</f>
        <v>OK</v>
      </c>
    </row>
    <row r="531" customFormat="false" ht="15" hidden="false" customHeight="false" outlineLevel="0" collapsed="false">
      <c r="A531" s="4" t="s">
        <v>3155</v>
      </c>
      <c r="B531" s="12" t="n">
        <v>2018</v>
      </c>
      <c r="C531" s="4" t="s">
        <v>76</v>
      </c>
      <c r="D531" s="4" t="s">
        <v>2018</v>
      </c>
      <c r="E531" s="4" t="s">
        <v>1994</v>
      </c>
      <c r="F531" s="4" t="s">
        <v>65</v>
      </c>
      <c r="G531" s="4" t="s">
        <v>64</v>
      </c>
      <c r="H531" s="4" t="s">
        <v>204</v>
      </c>
      <c r="I531" s="4" t="s">
        <v>2019</v>
      </c>
      <c r="J531" s="4" t="s">
        <v>1997</v>
      </c>
      <c r="K531" s="14">
        <f>IF(OR($I531="USO_NO_ENERGETICO_APARENTE",$I531="USO_ENERGETICO_INTERNO_APARENTE"),ROUND(SUMIFS($K$2:$K$618,$B$2:$B$618,$B531,$C$2:$C$618,$C531,$D$2:$D$618,"Energy products",$E$2:$E$618,"Supply",$G$2:$G$618,"&lt;&gt;STAT")-SUMIFS($K$2:$K$618,$B$2:$B$618,$B531,$C$2:$C$618,$C531,$D$2:$D$618,"Energy products",$E$2:$E$618,"Use",$G$2:$G$618,"&lt;&gt;STAT",$I$2:$I$618,"&lt;&gt;USO_NO_ENERGETICO_APARENTE",$I$2:$I$618,"&lt;&gt;USO_ENERGETICO_INTERNO_APARENTE"),10),IF(LEFT($H531,5)="STAT_",ROUND(SUMIFS($K$2:$K$618,$B$2:$B$618,$B531,$C$2:$C$618,$C531,$D$2:$D$618,"Energy products",$E$2:$E$618,"Supply",$G$2:$G$618,"&lt;&gt;STAT")-SUMIFS($K$2:$K$618,$B$2:$B$618,$B531,$C$2:$C$618,$C531,$D$2:$D$618,"Energy products",$E$2:$E$618,"Use",$G$2:$G$618,"&lt;&gt;STAT"),10),IF($J531="cambio de signo",-INDEX(DATOS_MODELO!$U$2:$U$3672,MATCH($H531,DATOS_MODELO!$B$2:$B$3672,0)),IF($J531="valor absoluto",ABS(INDEX(DATOS_MODELO!$U$2:$U$3672,MATCH($H531,DATOS_MODELO!$B$2:$B$3672,0))),INDEX(DATOS_MODELO!$U$2:$U$3672,MATCH($H531,DATOS_MODELO!$B$2:$B$3672,0))))))</f>
        <v>0.0</v>
      </c>
      <c r="L531" s="8" t="str">
        <f aca="false">IF(LEFT($H531,5)&lt;&gt;"STAT_","",IF(ABS($K531)&lt;=COUNTIFS($B$2:$B$618,$B531,$C$2:$C$618,$C531,$D$2:$D$618,"Energy products",$G$2:$G$618,"&lt;&gt;STAT")*PARAMETROS!$B$6,"redondeo","residuo_estadistico"))</f>
        <v/>
      </c>
      <c r="M531" s="8" t="str">
        <f>IF(OR($I531="USO_NO_ENERGETICO_APARENTE",$I531="USO_ENERGETICO_INTERNO_APARENTE"),"CAL",IF(LEFT($H531,5)="STAT_","FORMULA",IF(COUNTIF(DATOS_MODELO!$B$2:$B$3672,$H531)=1,"OK","REVISAR")))</f>
        <v>OK</v>
      </c>
    </row>
    <row r="532" customFormat="false" ht="15" hidden="false" customHeight="false" outlineLevel="0" collapsed="false">
      <c r="A532" s="4" t="s">
        <v>3157</v>
      </c>
      <c r="B532" s="12" t="n">
        <v>2018</v>
      </c>
      <c r="C532" s="4" t="s">
        <v>76</v>
      </c>
      <c r="D532" s="4" t="s">
        <v>2018</v>
      </c>
      <c r="E532" s="4" t="s">
        <v>2001</v>
      </c>
      <c r="F532" s="4" t="s">
        <v>66</v>
      </c>
      <c r="G532" s="4" t="s">
        <v>66</v>
      </c>
      <c r="H532" s="4" t="s">
        <v>204</v>
      </c>
      <c r="I532" s="4" t="s">
        <v>2019</v>
      </c>
      <c r="J532" s="4" t="s">
        <v>1997</v>
      </c>
      <c r="K532" s="14">
        <f>IF(OR($I532="USO_NO_ENERGETICO_APARENTE",$I532="USO_ENERGETICO_INTERNO_APARENTE"),ROUND(SUMIFS($K$2:$K$618,$B$2:$B$618,$B532,$C$2:$C$618,$C532,$D$2:$D$618,"Energy products",$E$2:$E$618,"Supply",$G$2:$G$618,"&lt;&gt;STAT")-SUMIFS($K$2:$K$618,$B$2:$B$618,$B532,$C$2:$C$618,$C532,$D$2:$D$618,"Energy products",$E$2:$E$618,"Use",$G$2:$G$618,"&lt;&gt;STAT",$I$2:$I$618,"&lt;&gt;USO_NO_ENERGETICO_APARENTE",$I$2:$I$618,"&lt;&gt;USO_ENERGETICO_INTERNO_APARENTE"),10),IF(LEFT($H532,5)="STAT_",ROUND(SUMIFS($K$2:$K$618,$B$2:$B$618,$B532,$C$2:$C$618,$C532,$D$2:$D$618,"Energy products",$E$2:$E$618,"Supply",$G$2:$G$618,"&lt;&gt;STAT")-SUMIFS($K$2:$K$618,$B$2:$B$618,$B532,$C$2:$C$618,$C532,$D$2:$D$618,"Energy products",$E$2:$E$618,"Use",$G$2:$G$618,"&lt;&gt;STAT"),10),IF($J532="cambio de signo",-INDEX(DATOS_MODELO!$U$2:$U$3672,MATCH($H532,DATOS_MODELO!$B$2:$B$3672,0)),IF($J532="valor absoluto",ABS(INDEX(DATOS_MODELO!$U$2:$U$3672,MATCH($H532,DATOS_MODELO!$B$2:$B$3672,0))),INDEX(DATOS_MODELO!$U$2:$U$3672,MATCH($H532,DATOS_MODELO!$B$2:$B$3672,0))))))</f>
        <v>0.0</v>
      </c>
      <c r="L532" s="8" t="str">
        <f aca="false">IF(LEFT($H532,5)&lt;&gt;"STAT_","",IF(ABS($K532)&lt;=COUNTIFS($B$2:$B$618,$B532,$C$2:$C$618,$C532,$D$2:$D$618,"Energy products",$G$2:$G$618,"&lt;&gt;STAT")*PARAMETROS!$B$6,"redondeo","residuo_estadistico"))</f>
        <v/>
      </c>
      <c r="M532" s="8" t="str">
        <f>IF(OR($I532="USO_NO_ENERGETICO_APARENTE",$I532="USO_ENERGETICO_INTERNO_APARENTE"),"CAL",IF(LEFT($H532,5)="STAT_","FORMULA",IF(COUNTIF(DATOS_MODELO!$B$2:$B$3672,$H532)=1,"OK","REVISAR")))</f>
        <v>OK</v>
      </c>
    </row>
    <row r="533" customFormat="false" ht="15" hidden="false" customHeight="false" outlineLevel="0" collapsed="false">
      <c r="A533" s="4" t="s">
        <v>3159</v>
      </c>
      <c r="B533" s="12" t="n">
        <v>2018</v>
      </c>
      <c r="C533" s="4" t="s">
        <v>76</v>
      </c>
      <c r="D533" s="4" t="s">
        <v>1993</v>
      </c>
      <c r="E533" s="4" t="s">
        <v>1994</v>
      </c>
      <c r="F533" s="4" t="s">
        <v>1995</v>
      </c>
      <c r="G533" s="4" t="s">
        <v>66</v>
      </c>
      <c r="H533" s="4" t="s">
        <v>204</v>
      </c>
      <c r="I533" s="4" t="s">
        <v>2019</v>
      </c>
      <c r="J533" s="4" t="s">
        <v>1997</v>
      </c>
      <c r="K533" s="14">
        <f>IF(OR($I533="USO_NO_ENERGETICO_APARENTE",$I533="USO_ENERGETICO_INTERNO_APARENTE"),ROUND(SUMIFS($K$2:$K$618,$B$2:$B$618,$B533,$C$2:$C$618,$C533,$D$2:$D$618,"Energy products",$E$2:$E$618,"Supply",$G$2:$G$618,"&lt;&gt;STAT")-SUMIFS($K$2:$K$618,$B$2:$B$618,$B533,$C$2:$C$618,$C533,$D$2:$D$618,"Energy products",$E$2:$E$618,"Use",$G$2:$G$618,"&lt;&gt;STAT",$I$2:$I$618,"&lt;&gt;USO_NO_ENERGETICO_APARENTE",$I$2:$I$618,"&lt;&gt;USO_ENERGETICO_INTERNO_APARENTE"),10),IF(LEFT($H533,5)="STAT_",ROUND(SUMIFS($K$2:$K$618,$B$2:$B$618,$B533,$C$2:$C$618,$C533,$D$2:$D$618,"Energy products",$E$2:$E$618,"Supply",$G$2:$G$618,"&lt;&gt;STAT")-SUMIFS($K$2:$K$618,$B$2:$B$618,$B533,$C$2:$C$618,$C533,$D$2:$D$618,"Energy products",$E$2:$E$618,"Use",$G$2:$G$618,"&lt;&gt;STAT"),10),IF($J533="cambio de signo",-INDEX(DATOS_MODELO!$U$2:$U$3672,MATCH($H533,DATOS_MODELO!$B$2:$B$3672,0)),IF($J533="valor absoluto",ABS(INDEX(DATOS_MODELO!$U$2:$U$3672,MATCH($H533,DATOS_MODELO!$B$2:$B$3672,0))),INDEX(DATOS_MODELO!$U$2:$U$3672,MATCH($H533,DATOS_MODELO!$B$2:$B$3672,0))))))</f>
        <v>0.0</v>
      </c>
      <c r="L533" s="8" t="str">
        <f aca="false">IF(LEFT($H533,5)&lt;&gt;"STAT_","",IF(ABS($K533)&lt;=COUNTIFS($B$2:$B$618,$B533,$C$2:$C$618,$C533,$D$2:$D$618,"Energy products",$G$2:$G$618,"&lt;&gt;STAT")*PARAMETROS!$B$6,"redondeo","residuo_estadistico"))</f>
        <v/>
      </c>
      <c r="M533" s="8" t="str">
        <f>IF(OR($I533="USO_NO_ENERGETICO_APARENTE",$I533="USO_ENERGETICO_INTERNO_APARENTE"),"CAL",IF(LEFT($H533,5)="STAT_","FORMULA",IF(COUNTIF(DATOS_MODELO!$B$2:$B$3672,$H533)=1,"OK","REVISAR")))</f>
        <v>OK</v>
      </c>
    </row>
    <row r="534" customFormat="false" ht="15" hidden="false" customHeight="false" outlineLevel="0" collapsed="false">
      <c r="A534" s="4" t="s">
        <v>3161</v>
      </c>
      <c r="B534" s="12" t="n">
        <v>2018</v>
      </c>
      <c r="C534" s="4" t="s">
        <v>76</v>
      </c>
      <c r="D534" s="4" t="s">
        <v>1993</v>
      </c>
      <c r="E534" s="4" t="s">
        <v>1994</v>
      </c>
      <c r="F534" s="4" t="s">
        <v>2029</v>
      </c>
      <c r="G534" s="4" t="s">
        <v>69</v>
      </c>
      <c r="H534" s="4" t="s">
        <v>206</v>
      </c>
      <c r="I534" s="4" t="s">
        <v>2030</v>
      </c>
      <c r="J534" s="4" t="s">
        <v>1997</v>
      </c>
      <c r="K534" s="14">
        <f>IF(OR($I534="USO_NO_ENERGETICO_APARENTE",$I534="USO_ENERGETICO_INTERNO_APARENTE"),ROUND(SUMIFS($K$2:$K$618,$B$2:$B$618,$B534,$C$2:$C$618,$C534,$D$2:$D$618,"Energy products",$E$2:$E$618,"Supply",$G$2:$G$618,"&lt;&gt;STAT")-SUMIFS($K$2:$K$618,$B$2:$B$618,$B534,$C$2:$C$618,$C534,$D$2:$D$618,"Energy products",$E$2:$E$618,"Use",$G$2:$G$618,"&lt;&gt;STAT",$I$2:$I$618,"&lt;&gt;USO_NO_ENERGETICO_APARENTE",$I$2:$I$618,"&lt;&gt;USO_ENERGETICO_INTERNO_APARENTE"),10),IF(LEFT($H534,5)="STAT_",ROUND(SUMIFS($K$2:$K$618,$B$2:$B$618,$B534,$C$2:$C$618,$C534,$D$2:$D$618,"Energy products",$E$2:$E$618,"Supply",$G$2:$G$618,"&lt;&gt;STAT")-SUMIFS($K$2:$K$618,$B$2:$B$618,$B534,$C$2:$C$618,$C534,$D$2:$D$618,"Energy products",$E$2:$E$618,"Use",$G$2:$G$618,"&lt;&gt;STAT"),10),IF($J534="cambio de signo",-INDEX(DATOS_MODELO!$U$2:$U$3672,MATCH($H534,DATOS_MODELO!$B$2:$B$3672,0)),IF($J534="valor absoluto",ABS(INDEX(DATOS_MODELO!$U$2:$U$3672,MATCH($H534,DATOS_MODELO!$B$2:$B$3672,0))),INDEX(DATOS_MODELO!$U$2:$U$3672,MATCH($H534,DATOS_MODELO!$B$2:$B$3672,0))))))</f>
        <v>52949.6093</v>
      </c>
      <c r="L534" s="8" t="str">
        <f aca="false">IF(LEFT($H534,5)&lt;&gt;"STAT_","",IF(ABS($K534)&lt;=COUNTIFS($B$2:$B$618,$B534,$C$2:$C$618,$C534,$D$2:$D$618,"Energy products",$G$2:$G$618,"&lt;&gt;STAT")*PARAMETROS!$B$6,"redondeo","residuo_estadistico"))</f>
        <v/>
      </c>
      <c r="M534" s="8" t="str">
        <f>IF(OR($I534="USO_NO_ENERGETICO_APARENTE",$I534="USO_ENERGETICO_INTERNO_APARENTE"),"CAL",IF(LEFT($H534,5)="STAT_","FORMULA",IF(COUNTIF(DATOS_MODELO!$B$2:$B$3672,$H534)=1,"OK","REVISAR")))</f>
        <v>OK</v>
      </c>
    </row>
    <row r="535" customFormat="false" ht="15" hidden="false" customHeight="false" outlineLevel="0" collapsed="false">
      <c r="A535" s="4" t="s">
        <v>3163</v>
      </c>
      <c r="B535" s="12" t="n">
        <v>2018</v>
      </c>
      <c r="C535" s="4" t="s">
        <v>76</v>
      </c>
      <c r="D535" s="4" t="s">
        <v>1993</v>
      </c>
      <c r="E535" s="4" t="s">
        <v>2001</v>
      </c>
      <c r="F535" s="4" t="s">
        <v>2034</v>
      </c>
      <c r="G535" s="4" t="s">
        <v>74</v>
      </c>
      <c r="H535" s="4" t="s">
        <v>208</v>
      </c>
      <c r="I535" s="4" t="s">
        <v>2035</v>
      </c>
      <c r="J535" s="4" t="s">
        <v>2036</v>
      </c>
      <c r="K535" s="14">
        <f>IF(OR($I535="USO_NO_ENERGETICO_APARENTE",$I535="USO_ENERGETICO_INTERNO_APARENTE"),ROUND(SUMIFS($K$2:$K$618,$B$2:$B$618,$B535,$C$2:$C$618,$C535,$D$2:$D$618,"Energy products",$E$2:$E$618,"Supply",$G$2:$G$618,"&lt;&gt;STAT")-SUMIFS($K$2:$K$618,$B$2:$B$618,$B535,$C$2:$C$618,$C535,$D$2:$D$618,"Energy products",$E$2:$E$618,"Use",$G$2:$G$618,"&lt;&gt;STAT",$I$2:$I$618,"&lt;&gt;USO_NO_ENERGETICO_APARENTE",$I$2:$I$618,"&lt;&gt;USO_ENERGETICO_INTERNO_APARENTE"),10),IF(LEFT($H535,5)="STAT_",ROUND(SUMIFS($K$2:$K$618,$B$2:$B$618,$B535,$C$2:$C$618,$C535,$D$2:$D$618,"Energy products",$E$2:$E$618,"Supply",$G$2:$G$618,"&lt;&gt;STAT")-SUMIFS($K$2:$K$618,$B$2:$B$618,$B535,$C$2:$C$618,$C535,$D$2:$D$618,"Energy products",$E$2:$E$618,"Use",$G$2:$G$618,"&lt;&gt;STAT"),10),IF($J535="cambio de signo",-INDEX(DATOS_MODELO!$U$2:$U$3672,MATCH($H535,DATOS_MODELO!$B$2:$B$3672,0)),IF($J535="valor absoluto",ABS(INDEX(DATOS_MODELO!$U$2:$U$3672,MATCH($H535,DATOS_MODELO!$B$2:$B$3672,0))),INDEX(DATOS_MODELO!$U$2:$U$3672,MATCH($H535,DATOS_MODELO!$B$2:$B$3672,0))))))</f>
        <v>1169.2044</v>
      </c>
      <c r="L535" s="8" t="str">
        <f aca="false">IF(LEFT($H535,5)&lt;&gt;"STAT_","",IF(ABS($K535)&lt;=COUNTIFS($B$2:$B$618,$B535,$C$2:$C$618,$C535,$D$2:$D$618,"Energy products",$G$2:$G$618,"&lt;&gt;STAT")*PARAMETROS!$B$6,"redondeo","residuo_estadistico"))</f>
        <v/>
      </c>
      <c r="M535" s="8" t="str">
        <f>IF(OR($I535="USO_NO_ENERGETICO_APARENTE",$I535="USO_ENERGETICO_INTERNO_APARENTE"),"CAL",IF(LEFT($H535,5)="STAT_","FORMULA",IF(COUNTIF(DATOS_MODELO!$B$2:$B$3672,$H535)=1,"OK","REVISAR")))</f>
        <v>OK</v>
      </c>
    </row>
    <row r="536" customFormat="false" ht="15" hidden="false" customHeight="false" outlineLevel="0" collapsed="false">
      <c r="A536" s="4" t="s">
        <v>3165</v>
      </c>
      <c r="B536" s="12" t="n">
        <v>2018</v>
      </c>
      <c r="C536" s="4" t="s">
        <v>76</v>
      </c>
      <c r="D536" s="4" t="s">
        <v>1993</v>
      </c>
      <c r="E536" s="4" t="s">
        <v>2001</v>
      </c>
      <c r="F536" s="4" t="s">
        <v>2002</v>
      </c>
      <c r="G536" s="4" t="s">
        <v>67</v>
      </c>
      <c r="H536" s="4" t="s">
        <v>210</v>
      </c>
      <c r="I536" s="4" t="s">
        <v>2003</v>
      </c>
      <c r="J536" s="4" t="s">
        <v>2004</v>
      </c>
      <c r="K536" s="14">
        <f>IF(OR($I536="USO_NO_ENERGETICO_APARENTE",$I536="USO_ENERGETICO_INTERNO_APARENTE"),ROUND(SUMIFS($K$2:$K$618,$B$2:$B$618,$B536,$C$2:$C$618,$C536,$D$2:$D$618,"Energy products",$E$2:$E$618,"Supply",$G$2:$G$618,"&lt;&gt;STAT")-SUMIFS($K$2:$K$618,$B$2:$B$618,$B536,$C$2:$C$618,$C536,$D$2:$D$618,"Energy products",$E$2:$E$618,"Use",$G$2:$G$618,"&lt;&gt;STAT",$I$2:$I$618,"&lt;&gt;USO_NO_ENERGETICO_APARENTE",$I$2:$I$618,"&lt;&gt;USO_ENERGETICO_INTERNO_APARENTE"),10),IF(LEFT($H536,5)="STAT_",ROUND(SUMIFS($K$2:$K$618,$B$2:$B$618,$B536,$C$2:$C$618,$C536,$D$2:$D$618,"Energy products",$E$2:$E$618,"Supply",$G$2:$G$618,"&lt;&gt;STAT")-SUMIFS($K$2:$K$618,$B$2:$B$618,$B536,$C$2:$C$618,$C536,$D$2:$D$618,"Energy products",$E$2:$E$618,"Use",$G$2:$G$618,"&lt;&gt;STAT"),10),IF($J536="cambio de signo",-INDEX(DATOS_MODELO!$U$2:$U$3672,MATCH($H536,DATOS_MODELO!$B$2:$B$3672,0)),IF($J536="valor absoluto",ABS(INDEX(DATOS_MODELO!$U$2:$U$3672,MATCH($H536,DATOS_MODELO!$B$2:$B$3672,0))),INDEX(DATOS_MODELO!$U$2:$U$3672,MATCH($H536,DATOS_MODELO!$B$2:$B$3672,0))))))</f>
        <v>51780.4049</v>
      </c>
      <c r="L536" s="8" t="str">
        <f aca="false">IF(LEFT($H536,5)&lt;&gt;"STAT_","",IF(ABS($K536)&lt;=COUNTIFS($B$2:$B$618,$B536,$C$2:$C$618,$C536,$D$2:$D$618,"Energy products",$G$2:$G$618,"&lt;&gt;STAT")*PARAMETROS!$B$6,"redondeo","residuo_estadistico"))</f>
        <v/>
      </c>
      <c r="M536" s="8" t="str">
        <f>IF(OR($I536="USO_NO_ENERGETICO_APARENTE",$I536="USO_ENERGETICO_INTERNO_APARENTE"),"CAL",IF(LEFT($H536,5)="STAT_","FORMULA",IF(COUNTIF(DATOS_MODELO!$B$2:$B$3672,$H536)=1,"OK","REVISAR")))</f>
        <v>OK</v>
      </c>
    </row>
    <row r="537" customFormat="false" ht="15" hidden="false" customHeight="false" outlineLevel="0" collapsed="false">
      <c r="A537" s="4" t="s">
        <v>3167</v>
      </c>
      <c r="B537" s="12" t="n">
        <v>2018</v>
      </c>
      <c r="C537" s="4" t="s">
        <v>78</v>
      </c>
      <c r="D537" s="4" t="s">
        <v>2018</v>
      </c>
      <c r="E537" s="4" t="s">
        <v>1994</v>
      </c>
      <c r="F537" s="4" t="s">
        <v>65</v>
      </c>
      <c r="G537" s="4" t="s">
        <v>64</v>
      </c>
      <c r="H537" s="4" t="s">
        <v>219</v>
      </c>
      <c r="I537" s="4" t="s">
        <v>2044</v>
      </c>
      <c r="J537" s="4" t="s">
        <v>1997</v>
      </c>
      <c r="K537" s="14">
        <f>IF(OR($I537="USO_NO_ENERGETICO_APARENTE",$I537="USO_ENERGETICO_INTERNO_APARENTE"),ROUND(SUMIFS($K$2:$K$618,$B$2:$B$618,$B537,$C$2:$C$618,$C537,$D$2:$D$618,"Energy products",$E$2:$E$618,"Supply",$G$2:$G$618,"&lt;&gt;STAT")-SUMIFS($K$2:$K$618,$B$2:$B$618,$B537,$C$2:$C$618,$C537,$D$2:$D$618,"Energy products",$E$2:$E$618,"Use",$G$2:$G$618,"&lt;&gt;STAT",$I$2:$I$618,"&lt;&gt;USO_NO_ENERGETICO_APARENTE",$I$2:$I$618,"&lt;&gt;USO_ENERGETICO_INTERNO_APARENTE"),10),IF(LEFT($H537,5)="STAT_",ROUND(SUMIFS($K$2:$K$618,$B$2:$B$618,$B537,$C$2:$C$618,$C537,$D$2:$D$618,"Energy products",$E$2:$E$618,"Supply",$G$2:$G$618,"&lt;&gt;STAT")-SUMIFS($K$2:$K$618,$B$2:$B$618,$B537,$C$2:$C$618,$C537,$D$2:$D$618,"Energy products",$E$2:$E$618,"Use",$G$2:$G$618,"&lt;&gt;STAT"),10),IF($J537="cambio de signo",-INDEX(DATOS_MODELO!$U$2:$U$3672,MATCH($H537,DATOS_MODELO!$B$2:$B$3672,0)),IF($J537="valor absoluto",ABS(INDEX(DATOS_MODELO!$U$2:$U$3672,MATCH($H537,DATOS_MODELO!$B$2:$B$3672,0))),INDEX(DATOS_MODELO!$U$2:$U$3672,MATCH($H537,DATOS_MODELO!$B$2:$B$3672,0))))))</f>
        <v>1166.7061</v>
      </c>
      <c r="L537" s="8" t="str">
        <f aca="false">IF(LEFT($H537,5)&lt;&gt;"STAT_","",IF(ABS($K537)&lt;=COUNTIFS($B$2:$B$618,$B537,$C$2:$C$618,$C537,$D$2:$D$618,"Energy products",$G$2:$G$618,"&lt;&gt;STAT")*PARAMETROS!$B$6,"redondeo","residuo_estadistico"))</f>
        <v/>
      </c>
      <c r="M537" s="8" t="str">
        <f>IF(OR($I537="USO_NO_ENERGETICO_APARENTE",$I537="USO_ENERGETICO_INTERNO_APARENTE"),"CAL",IF(LEFT($H537,5)="STAT_","FORMULA",IF(COUNTIF(DATOS_MODELO!$B$2:$B$3672,$H537)=1,"OK","REVISAR")))</f>
        <v>OK</v>
      </c>
    </row>
    <row r="538" customFormat="false" ht="15" hidden="false" customHeight="false" outlineLevel="0" collapsed="false">
      <c r="A538" s="4" t="s">
        <v>3169</v>
      </c>
      <c r="B538" s="12" t="n">
        <v>2018</v>
      </c>
      <c r="C538" s="4" t="s">
        <v>78</v>
      </c>
      <c r="D538" s="4" t="s">
        <v>2018</v>
      </c>
      <c r="E538" s="4" t="s">
        <v>2001</v>
      </c>
      <c r="F538" s="4" t="s">
        <v>66</v>
      </c>
      <c r="G538" s="4" t="s">
        <v>67</v>
      </c>
      <c r="H538" s="4" t="s">
        <v>224</v>
      </c>
      <c r="I538" s="4" t="s">
        <v>2003</v>
      </c>
      <c r="J538" s="4" t="s">
        <v>2004</v>
      </c>
      <c r="K538" s="14">
        <f>IF(OR($I538="USO_NO_ENERGETICO_APARENTE",$I538="USO_ENERGETICO_INTERNO_APARENTE"),ROUND(SUMIFS($K$2:$K$618,$B$2:$B$618,$B538,$C$2:$C$618,$C538,$D$2:$D$618,"Energy products",$E$2:$E$618,"Supply",$G$2:$G$618,"&lt;&gt;STAT")-SUMIFS($K$2:$K$618,$B$2:$B$618,$B538,$C$2:$C$618,$C538,$D$2:$D$618,"Energy products",$E$2:$E$618,"Use",$G$2:$G$618,"&lt;&gt;STAT",$I$2:$I$618,"&lt;&gt;USO_NO_ENERGETICO_APARENTE",$I$2:$I$618,"&lt;&gt;USO_ENERGETICO_INTERNO_APARENTE"),10),IF(LEFT($H538,5)="STAT_",ROUND(SUMIFS($K$2:$K$618,$B$2:$B$618,$B538,$C$2:$C$618,$C538,$D$2:$D$618,"Energy products",$E$2:$E$618,"Supply",$G$2:$G$618,"&lt;&gt;STAT")-SUMIFS($K$2:$K$618,$B$2:$B$618,$B538,$C$2:$C$618,$C538,$D$2:$D$618,"Energy products",$E$2:$E$618,"Use",$G$2:$G$618,"&lt;&gt;STAT"),10),IF($J538="cambio de signo",-INDEX(DATOS_MODELO!$U$2:$U$3672,MATCH($H538,DATOS_MODELO!$B$2:$B$3672,0)),IF($J538="valor absoluto",ABS(INDEX(DATOS_MODELO!$U$2:$U$3672,MATCH($H538,DATOS_MODELO!$B$2:$B$3672,0))),INDEX(DATOS_MODELO!$U$2:$U$3672,MATCH($H538,DATOS_MODELO!$B$2:$B$3672,0))))))</f>
        <v>1166.7061</v>
      </c>
      <c r="L538" s="8" t="str">
        <f aca="false">IF(LEFT($H538,5)&lt;&gt;"STAT_","",IF(ABS($K538)&lt;=COUNTIFS($B$2:$B$618,$B538,$C$2:$C$618,$C538,$D$2:$D$618,"Energy products",$G$2:$G$618,"&lt;&gt;STAT")*PARAMETROS!$B$6,"redondeo","residuo_estadistico"))</f>
        <v/>
      </c>
      <c r="M538" s="8" t="str">
        <f>IF(OR($I538="USO_NO_ENERGETICO_APARENTE",$I538="USO_ENERGETICO_INTERNO_APARENTE"),"CAL",IF(LEFT($H538,5)="STAT_","FORMULA",IF(COUNTIF(DATOS_MODELO!$B$2:$B$3672,$H538)=1,"OK","REVISAR")))</f>
        <v>OK</v>
      </c>
    </row>
    <row r="539" customFormat="false" ht="15" hidden="false" customHeight="false" outlineLevel="0" collapsed="false">
      <c r="A539" s="4" t="s">
        <v>3171</v>
      </c>
      <c r="B539" s="12" t="n">
        <v>2018</v>
      </c>
      <c r="C539" s="4" t="s">
        <v>80</v>
      </c>
      <c r="D539" s="4" t="s">
        <v>2018</v>
      </c>
      <c r="E539" s="4" t="s">
        <v>1994</v>
      </c>
      <c r="F539" s="4" t="s">
        <v>65</v>
      </c>
      <c r="G539" s="4" t="s">
        <v>64</v>
      </c>
      <c r="H539" s="4" t="s">
        <v>233</v>
      </c>
      <c r="I539" s="4" t="s">
        <v>2044</v>
      </c>
      <c r="J539" s="4" t="s">
        <v>1997</v>
      </c>
      <c r="K539" s="14">
        <f>IF(OR($I539="USO_NO_ENERGETICO_APARENTE",$I539="USO_ENERGETICO_INTERNO_APARENTE"),ROUND(SUMIFS($K$2:$K$618,$B$2:$B$618,$B539,$C$2:$C$618,$C539,$D$2:$D$618,"Energy products",$E$2:$E$618,"Supply",$G$2:$G$618,"&lt;&gt;STAT")-SUMIFS($K$2:$K$618,$B$2:$B$618,$B539,$C$2:$C$618,$C539,$D$2:$D$618,"Energy products",$E$2:$E$618,"Use",$G$2:$G$618,"&lt;&gt;STAT",$I$2:$I$618,"&lt;&gt;USO_NO_ENERGETICO_APARENTE",$I$2:$I$618,"&lt;&gt;USO_ENERGETICO_INTERNO_APARENTE"),10),IF(LEFT($H539,5)="STAT_",ROUND(SUMIFS($K$2:$K$618,$B$2:$B$618,$B539,$C$2:$C$618,$C539,$D$2:$D$618,"Energy products",$E$2:$E$618,"Supply",$G$2:$G$618,"&lt;&gt;STAT")-SUMIFS($K$2:$K$618,$B$2:$B$618,$B539,$C$2:$C$618,$C539,$D$2:$D$618,"Energy products",$E$2:$E$618,"Use",$G$2:$G$618,"&lt;&gt;STAT"),10),IF($J539="cambio de signo",-INDEX(DATOS_MODELO!$U$2:$U$3672,MATCH($H539,DATOS_MODELO!$B$2:$B$3672,0)),IF($J539="valor absoluto",ABS(INDEX(DATOS_MODELO!$U$2:$U$3672,MATCH($H539,DATOS_MODELO!$B$2:$B$3672,0))),INDEX(DATOS_MODELO!$U$2:$U$3672,MATCH($H539,DATOS_MODELO!$B$2:$B$3672,0))))))</f>
        <v>10709.8635</v>
      </c>
      <c r="L539" s="8" t="str">
        <f aca="false">IF(LEFT($H539,5)&lt;&gt;"STAT_","",IF(ABS($K539)&lt;=COUNTIFS($B$2:$B$618,$B539,$C$2:$C$618,$C539,$D$2:$D$618,"Energy products",$G$2:$G$618,"&lt;&gt;STAT")*PARAMETROS!$B$6,"redondeo","residuo_estadistico"))</f>
        <v/>
      </c>
      <c r="M539" s="8" t="str">
        <f>IF(OR($I539="USO_NO_ENERGETICO_APARENTE",$I539="USO_ENERGETICO_INTERNO_APARENTE"),"CAL",IF(LEFT($H539,5)="STAT_","FORMULA",IF(COUNTIF(DATOS_MODELO!$B$2:$B$3672,$H539)=1,"OK","REVISAR")))</f>
        <v>OK</v>
      </c>
    </row>
    <row r="540" customFormat="false" ht="15" hidden="false" customHeight="false" outlineLevel="0" collapsed="false">
      <c r="A540" s="4" t="s">
        <v>3173</v>
      </c>
      <c r="B540" s="12" t="n">
        <v>2018</v>
      </c>
      <c r="C540" s="4" t="s">
        <v>80</v>
      </c>
      <c r="D540" s="4" t="s">
        <v>2018</v>
      </c>
      <c r="E540" s="4" t="s">
        <v>2001</v>
      </c>
      <c r="F540" s="4" t="s">
        <v>66</v>
      </c>
      <c r="G540" s="4" t="s">
        <v>67</v>
      </c>
      <c r="H540" s="4" t="s">
        <v>238</v>
      </c>
      <c r="I540" s="4" t="s">
        <v>2003</v>
      </c>
      <c r="J540" s="4" t="s">
        <v>2004</v>
      </c>
      <c r="K540" s="14">
        <f>IF(OR($I540="USO_NO_ENERGETICO_APARENTE",$I540="USO_ENERGETICO_INTERNO_APARENTE"),ROUND(SUMIFS($K$2:$K$618,$B$2:$B$618,$B540,$C$2:$C$618,$C540,$D$2:$D$618,"Energy products",$E$2:$E$618,"Supply",$G$2:$G$618,"&lt;&gt;STAT")-SUMIFS($K$2:$K$618,$B$2:$B$618,$B540,$C$2:$C$618,$C540,$D$2:$D$618,"Energy products",$E$2:$E$618,"Use",$G$2:$G$618,"&lt;&gt;STAT",$I$2:$I$618,"&lt;&gt;USO_NO_ENERGETICO_APARENTE",$I$2:$I$618,"&lt;&gt;USO_ENERGETICO_INTERNO_APARENTE"),10),IF(LEFT($H540,5)="STAT_",ROUND(SUMIFS($K$2:$K$618,$B$2:$B$618,$B540,$C$2:$C$618,$C540,$D$2:$D$618,"Energy products",$E$2:$E$618,"Supply",$G$2:$G$618,"&lt;&gt;STAT")-SUMIFS($K$2:$K$618,$B$2:$B$618,$B540,$C$2:$C$618,$C540,$D$2:$D$618,"Energy products",$E$2:$E$618,"Use",$G$2:$G$618,"&lt;&gt;STAT"),10),IF($J540="cambio de signo",-INDEX(DATOS_MODELO!$U$2:$U$3672,MATCH($H540,DATOS_MODELO!$B$2:$B$3672,0)),IF($J540="valor absoluto",ABS(INDEX(DATOS_MODELO!$U$2:$U$3672,MATCH($H540,DATOS_MODELO!$B$2:$B$3672,0))),INDEX(DATOS_MODELO!$U$2:$U$3672,MATCH($H540,DATOS_MODELO!$B$2:$B$3672,0))))))</f>
        <v>10709.8635</v>
      </c>
      <c r="L540" s="8" t="str">
        <f aca="false">IF(LEFT($H540,5)&lt;&gt;"STAT_","",IF(ABS($K540)&lt;=COUNTIFS($B$2:$B$618,$B540,$C$2:$C$618,$C540,$D$2:$D$618,"Energy products",$G$2:$G$618,"&lt;&gt;STAT")*PARAMETROS!$B$6,"redondeo","residuo_estadistico"))</f>
        <v/>
      </c>
      <c r="M540" s="8" t="str">
        <f>IF(OR($I540="USO_NO_ENERGETICO_APARENTE",$I540="USO_ENERGETICO_INTERNO_APARENTE"),"CAL",IF(LEFT($H540,5)="STAT_","FORMULA",IF(COUNTIF(DATOS_MODELO!$B$2:$B$3672,$H540)=1,"OK","REVISAR")))</f>
        <v>OK</v>
      </c>
    </row>
    <row r="541" customFormat="false" ht="15" hidden="false" customHeight="false" outlineLevel="0" collapsed="false">
      <c r="A541" s="4" t="s">
        <v>3175</v>
      </c>
      <c r="B541" s="12" t="n">
        <v>2018</v>
      </c>
      <c r="C541" s="4" t="s">
        <v>84</v>
      </c>
      <c r="D541" s="4" t="s">
        <v>2018</v>
      </c>
      <c r="E541" s="4" t="s">
        <v>1994</v>
      </c>
      <c r="F541" s="4" t="s">
        <v>65</v>
      </c>
      <c r="G541" s="4" t="s">
        <v>64</v>
      </c>
      <c r="H541" s="4" t="s">
        <v>247</v>
      </c>
      <c r="I541" s="4" t="s">
        <v>2044</v>
      </c>
      <c r="J541" s="4" t="s">
        <v>1997</v>
      </c>
      <c r="K541" s="14">
        <f>IF(OR($I541="USO_NO_ENERGETICO_APARENTE",$I541="USO_ENERGETICO_INTERNO_APARENTE"),ROUND(SUMIFS($K$2:$K$618,$B$2:$B$618,$B541,$C$2:$C$618,$C541,$D$2:$D$618,"Energy products",$E$2:$E$618,"Supply",$G$2:$G$618,"&lt;&gt;STAT")-SUMIFS($K$2:$K$618,$B$2:$B$618,$B541,$C$2:$C$618,$C541,$D$2:$D$618,"Energy products",$E$2:$E$618,"Use",$G$2:$G$618,"&lt;&gt;STAT",$I$2:$I$618,"&lt;&gt;USO_NO_ENERGETICO_APARENTE",$I$2:$I$618,"&lt;&gt;USO_ENERGETICO_INTERNO_APARENTE"),10),IF(LEFT($H541,5)="STAT_",ROUND(SUMIFS($K$2:$K$618,$B$2:$B$618,$B541,$C$2:$C$618,$C541,$D$2:$D$618,"Energy products",$E$2:$E$618,"Supply",$G$2:$G$618,"&lt;&gt;STAT")-SUMIFS($K$2:$K$618,$B$2:$B$618,$B541,$C$2:$C$618,$C541,$D$2:$D$618,"Energy products",$E$2:$E$618,"Use",$G$2:$G$618,"&lt;&gt;STAT"),10),IF($J541="cambio de signo",-INDEX(DATOS_MODELO!$U$2:$U$3672,MATCH($H541,DATOS_MODELO!$B$2:$B$3672,0)),IF($J541="valor absoluto",ABS(INDEX(DATOS_MODELO!$U$2:$U$3672,MATCH($H541,DATOS_MODELO!$B$2:$B$3672,0))),INDEX(DATOS_MODELO!$U$2:$U$3672,MATCH($H541,DATOS_MODELO!$B$2:$B$3672,0))))))</f>
        <v>23900.3065</v>
      </c>
      <c r="L541" s="8" t="str">
        <f aca="false">IF(LEFT($H541,5)&lt;&gt;"STAT_","",IF(ABS($K541)&lt;=COUNTIFS($B$2:$B$618,$B541,$C$2:$C$618,$C541,$D$2:$D$618,"Energy products",$G$2:$G$618,"&lt;&gt;STAT")*PARAMETROS!$B$6,"redondeo","residuo_estadistico"))</f>
        <v/>
      </c>
      <c r="M541" s="8" t="str">
        <f>IF(OR($I541="USO_NO_ENERGETICO_APARENTE",$I541="USO_ENERGETICO_INTERNO_APARENTE"),"CAL",IF(LEFT($H541,5)="STAT_","FORMULA",IF(COUNTIF(DATOS_MODELO!$B$2:$B$3672,$H541)=1,"OK","REVISAR")))</f>
        <v>OK</v>
      </c>
    </row>
    <row r="542" customFormat="false" ht="15" hidden="false" customHeight="false" outlineLevel="0" collapsed="false">
      <c r="A542" s="4" t="s">
        <v>3177</v>
      </c>
      <c r="B542" s="12" t="n">
        <v>2018</v>
      </c>
      <c r="C542" s="4" t="s">
        <v>84</v>
      </c>
      <c r="D542" s="4" t="s">
        <v>2018</v>
      </c>
      <c r="E542" s="4" t="s">
        <v>2001</v>
      </c>
      <c r="F542" s="4" t="s">
        <v>66</v>
      </c>
      <c r="G542" s="4" t="s">
        <v>67</v>
      </c>
      <c r="H542" s="4" t="s">
        <v>252</v>
      </c>
      <c r="I542" s="4" t="s">
        <v>2003</v>
      </c>
      <c r="J542" s="4" t="s">
        <v>2004</v>
      </c>
      <c r="K542" s="14">
        <f>IF(OR($I542="USO_NO_ENERGETICO_APARENTE",$I542="USO_ENERGETICO_INTERNO_APARENTE"),ROUND(SUMIFS($K$2:$K$618,$B$2:$B$618,$B542,$C$2:$C$618,$C542,$D$2:$D$618,"Energy products",$E$2:$E$618,"Supply",$G$2:$G$618,"&lt;&gt;STAT")-SUMIFS($K$2:$K$618,$B$2:$B$618,$B542,$C$2:$C$618,$C542,$D$2:$D$618,"Energy products",$E$2:$E$618,"Use",$G$2:$G$618,"&lt;&gt;STAT",$I$2:$I$618,"&lt;&gt;USO_NO_ENERGETICO_APARENTE",$I$2:$I$618,"&lt;&gt;USO_ENERGETICO_INTERNO_APARENTE"),10),IF(LEFT($H542,5)="STAT_",ROUND(SUMIFS($K$2:$K$618,$B$2:$B$618,$B542,$C$2:$C$618,$C542,$D$2:$D$618,"Energy products",$E$2:$E$618,"Supply",$G$2:$G$618,"&lt;&gt;STAT")-SUMIFS($K$2:$K$618,$B$2:$B$618,$B542,$C$2:$C$618,$C542,$D$2:$D$618,"Energy products",$E$2:$E$618,"Use",$G$2:$G$618,"&lt;&gt;STAT"),10),IF($J542="cambio de signo",-INDEX(DATOS_MODELO!$U$2:$U$3672,MATCH($H542,DATOS_MODELO!$B$2:$B$3672,0)),IF($J542="valor absoluto",ABS(INDEX(DATOS_MODELO!$U$2:$U$3672,MATCH($H542,DATOS_MODELO!$B$2:$B$3672,0))),INDEX(DATOS_MODELO!$U$2:$U$3672,MATCH($H542,DATOS_MODELO!$B$2:$B$3672,0))))))</f>
        <v>23801.3622</v>
      </c>
      <c r="L542" s="8" t="str">
        <f aca="false">IF(LEFT($H542,5)&lt;&gt;"STAT_","",IF(ABS($K542)&lt;=COUNTIFS($B$2:$B$618,$B542,$C$2:$C$618,$C542,$D$2:$D$618,"Energy products",$G$2:$G$618,"&lt;&gt;STAT")*PARAMETROS!$B$6,"redondeo","residuo_estadistico"))</f>
        <v/>
      </c>
      <c r="M542" s="8" t="str">
        <f>IF(OR($I542="USO_NO_ENERGETICO_APARENTE",$I542="USO_ENERGETICO_INTERNO_APARENTE"),"CAL",IF(LEFT($H542,5)="STAT_","FORMULA",IF(COUNTIF(DATOS_MODELO!$B$2:$B$3672,$H542)=1,"OK","REVISAR")))</f>
        <v>OK</v>
      </c>
    </row>
    <row r="543" customFormat="false" ht="15" hidden="false" customHeight="false" outlineLevel="0" collapsed="false">
      <c r="A543" s="4" t="s">
        <v>3179</v>
      </c>
      <c r="B543" s="12" t="n">
        <v>2018</v>
      </c>
      <c r="C543" s="4" t="s">
        <v>84</v>
      </c>
      <c r="D543" s="4" t="s">
        <v>2018</v>
      </c>
      <c r="E543" s="4" t="s">
        <v>2001</v>
      </c>
      <c r="F543" s="4" t="s">
        <v>66</v>
      </c>
      <c r="G543" s="4" t="s">
        <v>67</v>
      </c>
      <c r="H543" s="4" t="s">
        <v>253</v>
      </c>
      <c r="I543" s="4" t="s">
        <v>2008</v>
      </c>
      <c r="J543" s="4" t="s">
        <v>2004</v>
      </c>
      <c r="K543" s="14">
        <f>IF(OR($I543="USO_NO_ENERGETICO_APARENTE",$I543="USO_ENERGETICO_INTERNO_APARENTE"),ROUND(SUMIFS($K$2:$K$618,$B$2:$B$618,$B543,$C$2:$C$618,$C543,$D$2:$D$618,"Energy products",$E$2:$E$618,"Supply",$G$2:$G$618,"&lt;&gt;STAT")-SUMIFS($K$2:$K$618,$B$2:$B$618,$B543,$C$2:$C$618,$C543,$D$2:$D$618,"Energy products",$E$2:$E$618,"Use",$G$2:$G$618,"&lt;&gt;STAT",$I$2:$I$618,"&lt;&gt;USO_NO_ENERGETICO_APARENTE",$I$2:$I$618,"&lt;&gt;USO_ENERGETICO_INTERNO_APARENTE"),10),IF(LEFT($H543,5)="STAT_",ROUND(SUMIFS($K$2:$K$618,$B$2:$B$618,$B543,$C$2:$C$618,$C543,$D$2:$D$618,"Energy products",$E$2:$E$618,"Supply",$G$2:$G$618,"&lt;&gt;STAT")-SUMIFS($K$2:$K$618,$B$2:$B$618,$B543,$C$2:$C$618,$C543,$D$2:$D$618,"Energy products",$E$2:$E$618,"Use",$G$2:$G$618,"&lt;&gt;STAT"),10),IF($J543="cambio de signo",-INDEX(DATOS_MODELO!$U$2:$U$3672,MATCH($H543,DATOS_MODELO!$B$2:$B$3672,0)),IF($J543="valor absoluto",ABS(INDEX(DATOS_MODELO!$U$2:$U$3672,MATCH($H543,DATOS_MODELO!$B$2:$B$3672,0))),INDEX(DATOS_MODELO!$U$2:$U$3672,MATCH($H543,DATOS_MODELO!$B$2:$B$3672,0))))))</f>
        <v>98.9443</v>
      </c>
      <c r="L543" s="8" t="str">
        <f aca="false">IF(LEFT($H543,5)&lt;&gt;"STAT_","",IF(ABS($K543)&lt;=COUNTIFS($B$2:$B$618,$B543,$C$2:$C$618,$C543,$D$2:$D$618,"Energy products",$G$2:$G$618,"&lt;&gt;STAT")*PARAMETROS!$B$6,"redondeo","residuo_estadistico"))</f>
        <v/>
      </c>
      <c r="M543" s="8" t="str">
        <f>IF(OR($I543="USO_NO_ENERGETICO_APARENTE",$I543="USO_ENERGETICO_INTERNO_APARENTE"),"CAL",IF(LEFT($H543,5)="STAT_","FORMULA",IF(COUNTIF(DATOS_MODELO!$B$2:$B$3672,$H543)=1,"OK","REVISAR")))</f>
        <v>OK</v>
      </c>
    </row>
    <row r="544" customFormat="false" ht="15" hidden="false" customHeight="false" outlineLevel="0" collapsed="false">
      <c r="A544" s="4" t="s">
        <v>3181</v>
      </c>
      <c r="B544" s="12" t="n">
        <v>2018</v>
      </c>
      <c r="C544" s="4" t="s">
        <v>109</v>
      </c>
      <c r="D544" s="4" t="s">
        <v>1993</v>
      </c>
      <c r="E544" s="4" t="s">
        <v>1994</v>
      </c>
      <c r="F544" s="4" t="s">
        <v>1995</v>
      </c>
      <c r="G544" s="4" t="s">
        <v>65</v>
      </c>
      <c r="H544" s="4" t="s">
        <v>261</v>
      </c>
      <c r="I544" s="4" t="s">
        <v>2070</v>
      </c>
      <c r="J544" s="4" t="s">
        <v>1997</v>
      </c>
      <c r="K544" s="14">
        <f>IF(OR($I544="USO_NO_ENERGETICO_APARENTE",$I544="USO_ENERGETICO_INTERNO_APARENTE"),ROUND(SUMIFS($K$2:$K$618,$B$2:$B$618,$B544,$C$2:$C$618,$C544,$D$2:$D$618,"Energy products",$E$2:$E$618,"Supply",$G$2:$G$618,"&lt;&gt;STAT")-SUMIFS($K$2:$K$618,$B$2:$B$618,$B544,$C$2:$C$618,$C544,$D$2:$D$618,"Energy products",$E$2:$E$618,"Use",$G$2:$G$618,"&lt;&gt;STAT",$I$2:$I$618,"&lt;&gt;USO_NO_ENERGETICO_APARENTE",$I$2:$I$618,"&lt;&gt;USO_ENERGETICO_INTERNO_APARENTE"),10),IF(LEFT($H544,5)="STAT_",ROUND(SUMIFS($K$2:$K$618,$B$2:$B$618,$B544,$C$2:$C$618,$C544,$D$2:$D$618,"Energy products",$E$2:$E$618,"Supply",$G$2:$G$618,"&lt;&gt;STAT")-SUMIFS($K$2:$K$618,$B$2:$B$618,$B544,$C$2:$C$618,$C544,$D$2:$D$618,"Energy products",$E$2:$E$618,"Use",$G$2:$G$618,"&lt;&gt;STAT"),10),IF($J544="cambio de signo",-INDEX(DATOS_MODELO!$U$2:$U$3672,MATCH($H544,DATOS_MODELO!$B$2:$B$3672,0)),IF($J544="valor absoluto",ABS(INDEX(DATOS_MODELO!$U$2:$U$3672,MATCH($H544,DATOS_MODELO!$B$2:$B$3672,0))),INDEX(DATOS_MODELO!$U$2:$U$3672,MATCH($H544,DATOS_MODELO!$B$2:$B$3672,0))))))</f>
        <v>289754.9256</v>
      </c>
      <c r="L544" s="8" t="str">
        <f aca="false">IF(LEFT($H544,5)&lt;&gt;"STAT_","",IF(ABS($K544)&lt;=COUNTIFS($B$2:$B$618,$B544,$C$2:$C$618,$C544,$D$2:$D$618,"Energy products",$G$2:$G$618,"&lt;&gt;STAT")*PARAMETROS!$B$6,"redondeo","residuo_estadistico"))</f>
        <v/>
      </c>
      <c r="M544" s="8" t="str">
        <f>IF(OR($I544="USO_NO_ENERGETICO_APARENTE",$I544="USO_ENERGETICO_INTERNO_APARENTE"),"CAL",IF(LEFT($H544,5)="STAT_","FORMULA",IF(COUNTIF(DATOS_MODELO!$B$2:$B$3672,$H544)=1,"OK","REVISAR")))</f>
        <v>OK</v>
      </c>
    </row>
    <row r="545" customFormat="false" ht="15" hidden="false" customHeight="false" outlineLevel="0" collapsed="false">
      <c r="A545" s="4" t="s">
        <v>3183</v>
      </c>
      <c r="B545" s="12" t="n">
        <v>2018</v>
      </c>
      <c r="C545" s="4" t="s">
        <v>109</v>
      </c>
      <c r="D545" s="4" t="s">
        <v>1993</v>
      </c>
      <c r="E545" s="4" t="s">
        <v>2001</v>
      </c>
      <c r="F545" s="4" t="s">
        <v>2034</v>
      </c>
      <c r="G545" s="4" t="s">
        <v>74</v>
      </c>
      <c r="H545" s="4" t="s">
        <v>264</v>
      </c>
      <c r="I545" s="4" t="s">
        <v>2035</v>
      </c>
      <c r="J545" s="4" t="s">
        <v>2036</v>
      </c>
      <c r="K545" s="14">
        <f>IF(OR($I545="USO_NO_ENERGETICO_APARENTE",$I545="USO_ENERGETICO_INTERNO_APARENTE"),ROUND(SUMIFS($K$2:$K$618,$B$2:$B$618,$B545,$C$2:$C$618,$C545,$D$2:$D$618,"Energy products",$E$2:$E$618,"Supply",$G$2:$G$618,"&lt;&gt;STAT")-SUMIFS($K$2:$K$618,$B$2:$B$618,$B545,$C$2:$C$618,$C545,$D$2:$D$618,"Energy products",$E$2:$E$618,"Use",$G$2:$G$618,"&lt;&gt;STAT",$I$2:$I$618,"&lt;&gt;USO_NO_ENERGETICO_APARENTE",$I$2:$I$618,"&lt;&gt;USO_ENERGETICO_INTERNO_APARENTE"),10),IF(LEFT($H545,5)="STAT_",ROUND(SUMIFS($K$2:$K$618,$B$2:$B$618,$B545,$C$2:$C$618,$C545,$D$2:$D$618,"Energy products",$E$2:$E$618,"Supply",$G$2:$G$618,"&lt;&gt;STAT")-SUMIFS($K$2:$K$618,$B$2:$B$618,$B545,$C$2:$C$618,$C545,$D$2:$D$618,"Energy products",$E$2:$E$618,"Use",$G$2:$G$618,"&lt;&gt;STAT"),10),IF($J545="cambio de signo",-INDEX(DATOS_MODELO!$U$2:$U$3672,MATCH($H545,DATOS_MODELO!$B$2:$B$3672,0)),IF($J545="valor absoluto",ABS(INDEX(DATOS_MODELO!$U$2:$U$3672,MATCH($H545,DATOS_MODELO!$B$2:$B$3672,0))),INDEX(DATOS_MODELO!$U$2:$U$3672,MATCH($H545,DATOS_MODELO!$B$2:$B$3672,0))))))</f>
        <v>-2.8469</v>
      </c>
      <c r="L545" s="8" t="str">
        <f aca="false">IF(LEFT($H545,5)&lt;&gt;"STAT_","",IF(ABS($K545)&lt;=COUNTIFS($B$2:$B$618,$B545,$C$2:$C$618,$C545,$D$2:$D$618,"Energy products",$G$2:$G$618,"&lt;&gt;STAT")*PARAMETROS!$B$6,"redondeo","residuo_estadistico"))</f>
        <v/>
      </c>
      <c r="M545" s="8" t="str">
        <f>IF(OR($I545="USO_NO_ENERGETICO_APARENTE",$I545="USO_ENERGETICO_INTERNO_APARENTE"),"CAL",IF(LEFT($H545,5)="STAT_","FORMULA",IF(COUNTIF(DATOS_MODELO!$B$2:$B$3672,$H545)=1,"OK","REVISAR")))</f>
        <v>OK</v>
      </c>
    </row>
    <row r="546" customFormat="false" ht="15" hidden="false" customHeight="false" outlineLevel="0" collapsed="false">
      <c r="A546" s="4" t="s">
        <v>3185</v>
      </c>
      <c r="B546" s="12" t="n">
        <v>2018</v>
      </c>
      <c r="C546" s="4" t="s">
        <v>109</v>
      </c>
      <c r="D546" s="4" t="s">
        <v>1993</v>
      </c>
      <c r="E546" s="4" t="s">
        <v>2001</v>
      </c>
      <c r="F546" s="4" t="s">
        <v>2002</v>
      </c>
      <c r="G546" s="4" t="s">
        <v>67</v>
      </c>
      <c r="H546" s="4" t="s">
        <v>267</v>
      </c>
      <c r="I546" s="4" t="s">
        <v>2008</v>
      </c>
      <c r="J546" s="4" t="s">
        <v>2004</v>
      </c>
      <c r="K546" s="14">
        <f>IF(OR($I546="USO_NO_ENERGETICO_APARENTE",$I546="USO_ENERGETICO_INTERNO_APARENTE"),ROUND(SUMIFS($K$2:$K$618,$B$2:$B$618,$B546,$C$2:$C$618,$C546,$D$2:$D$618,"Energy products",$E$2:$E$618,"Supply",$G$2:$G$618,"&lt;&gt;STAT")-SUMIFS($K$2:$K$618,$B$2:$B$618,$B546,$C$2:$C$618,$C546,$D$2:$D$618,"Energy products",$E$2:$E$618,"Use",$G$2:$G$618,"&lt;&gt;STAT",$I$2:$I$618,"&lt;&gt;USO_NO_ENERGETICO_APARENTE",$I$2:$I$618,"&lt;&gt;USO_ENERGETICO_INTERNO_APARENTE"),10),IF(LEFT($H546,5)="STAT_",ROUND(SUMIFS($K$2:$K$618,$B$2:$B$618,$B546,$C$2:$C$618,$C546,$D$2:$D$618,"Energy products",$E$2:$E$618,"Supply",$G$2:$G$618,"&lt;&gt;STAT")-SUMIFS($K$2:$K$618,$B$2:$B$618,$B546,$C$2:$C$618,$C546,$D$2:$D$618,"Energy products",$E$2:$E$618,"Use",$G$2:$G$618,"&lt;&gt;STAT"),10),IF($J546="cambio de signo",-INDEX(DATOS_MODELO!$U$2:$U$3672,MATCH($H546,DATOS_MODELO!$B$2:$B$3672,0)),IF($J546="valor absoluto",ABS(INDEX(DATOS_MODELO!$U$2:$U$3672,MATCH($H546,DATOS_MODELO!$B$2:$B$3672,0))),INDEX(DATOS_MODELO!$U$2:$U$3672,MATCH($H546,DATOS_MODELO!$B$2:$B$3672,0))))))</f>
        <v>2.8469</v>
      </c>
      <c r="L546" s="8" t="str">
        <f aca="false">IF(LEFT($H546,5)&lt;&gt;"STAT_","",IF(ABS($K546)&lt;=COUNTIFS($B$2:$B$618,$B546,$C$2:$C$618,$C546,$D$2:$D$618,"Energy products",$G$2:$G$618,"&lt;&gt;STAT")*PARAMETROS!$B$6,"redondeo","residuo_estadistico"))</f>
        <v/>
      </c>
      <c r="M546" s="8" t="str">
        <f>IF(OR($I546="USO_NO_ENERGETICO_APARENTE",$I546="USO_ENERGETICO_INTERNO_APARENTE"),"CAL",IF(LEFT($H546,5)="STAT_","FORMULA",IF(COUNTIF(DATOS_MODELO!$B$2:$B$3672,$H546)=1,"OK","REVISAR")))</f>
        <v>OK</v>
      </c>
    </row>
    <row r="547" customFormat="false" ht="15" hidden="false" customHeight="false" outlineLevel="0" collapsed="false">
      <c r="A547" s="4" t="s">
        <v>3187</v>
      </c>
      <c r="B547" s="12" t="n">
        <v>2018</v>
      </c>
      <c r="C547" s="4" t="s">
        <v>109</v>
      </c>
      <c r="D547" s="4" t="s">
        <v>1993</v>
      </c>
      <c r="E547" s="4" t="s">
        <v>2001</v>
      </c>
      <c r="F547" s="4" t="s">
        <v>2074</v>
      </c>
      <c r="G547" s="4" t="s">
        <v>73</v>
      </c>
      <c r="H547" s="4" t="s">
        <v>270</v>
      </c>
      <c r="I547" s="4" t="s">
        <v>2075</v>
      </c>
      <c r="J547" s="4" t="s">
        <v>1997</v>
      </c>
      <c r="K547" s="14">
        <f>IF(OR($I547="USO_NO_ENERGETICO_APARENTE",$I547="USO_ENERGETICO_INTERNO_APARENTE"),ROUND(SUMIFS($K$2:$K$618,$B$2:$B$618,$B547,$C$2:$C$618,$C547,$D$2:$D$618,"Energy products",$E$2:$E$618,"Supply",$G$2:$G$618,"&lt;&gt;STAT")-SUMIFS($K$2:$K$618,$B$2:$B$618,$B547,$C$2:$C$618,$C547,$D$2:$D$618,"Energy products",$E$2:$E$618,"Use",$G$2:$G$618,"&lt;&gt;STAT",$I$2:$I$618,"&lt;&gt;USO_NO_ENERGETICO_APARENTE",$I$2:$I$618,"&lt;&gt;USO_ENERGETICO_INTERNO_APARENTE"),10),IF(LEFT($H547,5)="STAT_",ROUND(SUMIFS($K$2:$K$618,$B$2:$B$618,$B547,$C$2:$C$618,$C547,$D$2:$D$618,"Energy products",$E$2:$E$618,"Supply",$G$2:$G$618,"&lt;&gt;STAT")-SUMIFS($K$2:$K$618,$B$2:$B$618,$B547,$C$2:$C$618,$C547,$D$2:$D$618,"Energy products",$E$2:$E$618,"Use",$G$2:$G$618,"&lt;&gt;STAT"),10),IF($J547="cambio de signo",-INDEX(DATOS_MODELO!$U$2:$U$3672,MATCH($H547,DATOS_MODELO!$B$2:$B$3672,0)),IF($J547="valor absoluto",ABS(INDEX(DATOS_MODELO!$U$2:$U$3672,MATCH($H547,DATOS_MODELO!$B$2:$B$3672,0))),INDEX(DATOS_MODELO!$U$2:$U$3672,MATCH($H547,DATOS_MODELO!$B$2:$B$3672,0))))))</f>
        <v>281062.2941</v>
      </c>
      <c r="L547" s="8" t="str">
        <f aca="false">IF(LEFT($H547,5)&lt;&gt;"STAT_","",IF(ABS($K547)&lt;=COUNTIFS($B$2:$B$618,$B547,$C$2:$C$618,$C547,$D$2:$D$618,"Energy products",$G$2:$G$618,"&lt;&gt;STAT")*PARAMETROS!$B$6,"redondeo","residuo_estadistico"))</f>
        <v/>
      </c>
      <c r="M547" s="8" t="str">
        <f>IF(OR($I547="USO_NO_ENERGETICO_APARENTE",$I547="USO_ENERGETICO_INTERNO_APARENTE"),"CAL",IF(LEFT($H547,5)="STAT_","FORMULA",IF(COUNTIF(DATOS_MODELO!$B$2:$B$3672,$H547)=1,"OK","REVISAR")))</f>
        <v>OK</v>
      </c>
    </row>
    <row r="548" customFormat="false" ht="15" hidden="false" customHeight="false" outlineLevel="0" collapsed="false">
      <c r="A548" s="4" t="s">
        <v>3189</v>
      </c>
      <c r="B548" s="12" t="n">
        <v>2018</v>
      </c>
      <c r="C548" s="4" t="s">
        <v>109</v>
      </c>
      <c r="D548" s="4" t="s">
        <v>1993</v>
      </c>
      <c r="E548" s="4" t="s">
        <v>2001</v>
      </c>
      <c r="F548" s="4" t="s">
        <v>2002</v>
      </c>
      <c r="G548" s="4" t="s">
        <v>72</v>
      </c>
      <c r="H548" s="4" t="s">
        <v>271</v>
      </c>
      <c r="I548" s="4" t="s">
        <v>2079</v>
      </c>
      <c r="J548" s="4" t="s">
        <v>1997</v>
      </c>
      <c r="K548" s="14">
        <f>IF(OR($I548="USO_NO_ENERGETICO_APARENTE",$I548="USO_ENERGETICO_INTERNO_APARENTE"),ROUND(SUMIFS($K$2:$K$618,$B$2:$B$618,$B548,$C$2:$C$618,$C548,$D$2:$D$618,"Energy products",$E$2:$E$618,"Supply",$G$2:$G$618,"&lt;&gt;STAT")-SUMIFS($K$2:$K$618,$B$2:$B$618,$B548,$C$2:$C$618,$C548,$D$2:$D$618,"Energy products",$E$2:$E$618,"Use",$G$2:$G$618,"&lt;&gt;STAT",$I$2:$I$618,"&lt;&gt;USO_NO_ENERGETICO_APARENTE",$I$2:$I$618,"&lt;&gt;USO_ENERGETICO_INTERNO_APARENTE"),10),IF(LEFT($H548,5)="STAT_",ROUND(SUMIFS($K$2:$K$618,$B$2:$B$618,$B548,$C$2:$C$618,$C548,$D$2:$D$618,"Energy products",$E$2:$E$618,"Supply",$G$2:$G$618,"&lt;&gt;STAT")-SUMIFS($K$2:$K$618,$B$2:$B$618,$B548,$C$2:$C$618,$C548,$D$2:$D$618,"Energy products",$E$2:$E$618,"Use",$G$2:$G$618,"&lt;&gt;STAT"),10),IF($J548="cambio de signo",-INDEX(DATOS_MODELO!$U$2:$U$3672,MATCH($H548,DATOS_MODELO!$B$2:$B$3672,0)),IF($J548="valor absoluto",ABS(INDEX(DATOS_MODELO!$U$2:$U$3672,MATCH($H548,DATOS_MODELO!$B$2:$B$3672,0))),INDEX(DATOS_MODELO!$U$2:$U$3672,MATCH($H548,DATOS_MODELO!$B$2:$B$3672,0))))))</f>
        <v>8692.6315</v>
      </c>
      <c r="L548" s="8" t="str">
        <f aca="false">IF(LEFT($H548,5)&lt;&gt;"STAT_","",IF(ABS($K548)&lt;=COUNTIFS($B$2:$B$618,$B548,$C$2:$C$618,$C548,$D$2:$D$618,"Energy products",$G$2:$G$618,"&lt;&gt;STAT")*PARAMETROS!$B$6,"redondeo","residuo_estadistico"))</f>
        <v/>
      </c>
      <c r="M548" s="8" t="str">
        <f>IF(OR($I548="USO_NO_ENERGETICO_APARENTE",$I548="USO_ENERGETICO_INTERNO_APARENTE"),"CAL",IF(LEFT($H548,5)="STAT_","FORMULA",IF(COUNTIF(DATOS_MODELO!$B$2:$B$3672,$H548)=1,"OK","REVISAR")))</f>
        <v>OK</v>
      </c>
    </row>
    <row r="549" customFormat="false" ht="15" hidden="false" customHeight="false" outlineLevel="0" collapsed="false">
      <c r="A549" s="4" t="s">
        <v>3191</v>
      </c>
      <c r="B549" s="12" t="n">
        <v>2018</v>
      </c>
      <c r="C549" s="4" t="s">
        <v>86</v>
      </c>
      <c r="D549" s="4" t="s">
        <v>2018</v>
      </c>
      <c r="E549" s="4" t="s">
        <v>1994</v>
      </c>
      <c r="F549" s="4" t="s">
        <v>65</v>
      </c>
      <c r="G549" s="4" t="s">
        <v>64</v>
      </c>
      <c r="H549" s="4" t="s">
        <v>275</v>
      </c>
      <c r="I549" s="4" t="s">
        <v>2019</v>
      </c>
      <c r="J549" s="4" t="s">
        <v>1997</v>
      </c>
      <c r="K549" s="14">
        <f>IF(OR($I549="USO_NO_ENERGETICO_APARENTE",$I549="USO_ENERGETICO_INTERNO_APARENTE"),ROUND(SUMIFS($K$2:$K$618,$B$2:$B$618,$B549,$C$2:$C$618,$C549,$D$2:$D$618,"Energy products",$E$2:$E$618,"Supply",$G$2:$G$618,"&lt;&gt;STAT")-SUMIFS($K$2:$K$618,$B$2:$B$618,$B549,$C$2:$C$618,$C549,$D$2:$D$618,"Energy products",$E$2:$E$618,"Use",$G$2:$G$618,"&lt;&gt;STAT",$I$2:$I$618,"&lt;&gt;USO_NO_ENERGETICO_APARENTE",$I$2:$I$618,"&lt;&gt;USO_ENERGETICO_INTERNO_APARENTE"),10),IF(LEFT($H549,5)="STAT_",ROUND(SUMIFS($K$2:$K$618,$B$2:$B$618,$B549,$C$2:$C$618,$C549,$D$2:$D$618,"Energy products",$E$2:$E$618,"Supply",$G$2:$G$618,"&lt;&gt;STAT")-SUMIFS($K$2:$K$618,$B$2:$B$618,$B549,$C$2:$C$618,$C549,$D$2:$D$618,"Energy products",$E$2:$E$618,"Use",$G$2:$G$618,"&lt;&gt;STAT"),10),IF($J549="cambio de signo",-INDEX(DATOS_MODELO!$U$2:$U$3672,MATCH($H549,DATOS_MODELO!$B$2:$B$3672,0)),IF($J549="valor absoluto",ABS(INDEX(DATOS_MODELO!$U$2:$U$3672,MATCH($H549,DATOS_MODELO!$B$2:$B$3672,0))),INDEX(DATOS_MODELO!$U$2:$U$3672,MATCH($H549,DATOS_MODELO!$B$2:$B$3672,0))))))</f>
        <v>19402.7855</v>
      </c>
      <c r="L549" s="8" t="str">
        <f aca="false">IF(LEFT($H549,5)&lt;&gt;"STAT_","",IF(ABS($K549)&lt;=COUNTIFS($B$2:$B$618,$B549,$C$2:$C$618,$C549,$D$2:$D$618,"Energy products",$G$2:$G$618,"&lt;&gt;STAT")*PARAMETROS!$B$6,"redondeo","residuo_estadistico"))</f>
        <v/>
      </c>
      <c r="M549" s="8" t="str">
        <f>IF(OR($I549="USO_NO_ENERGETICO_APARENTE",$I549="USO_ENERGETICO_INTERNO_APARENTE"),"CAL",IF(LEFT($H549,5)="STAT_","FORMULA",IF(COUNTIF(DATOS_MODELO!$B$2:$B$3672,$H549)=1,"OK","REVISAR")))</f>
        <v>OK</v>
      </c>
    </row>
    <row r="550" customFormat="false" ht="15" hidden="false" customHeight="false" outlineLevel="0" collapsed="false">
      <c r="A550" s="4" t="s">
        <v>3193</v>
      </c>
      <c r="B550" s="12" t="n">
        <v>2018</v>
      </c>
      <c r="C550" s="4" t="s">
        <v>86</v>
      </c>
      <c r="D550" s="4" t="s">
        <v>2018</v>
      </c>
      <c r="E550" s="4" t="s">
        <v>2001</v>
      </c>
      <c r="F550" s="4" t="s">
        <v>66</v>
      </c>
      <c r="G550" s="4" t="s">
        <v>66</v>
      </c>
      <c r="H550" s="4" t="s">
        <v>275</v>
      </c>
      <c r="I550" s="4" t="s">
        <v>2019</v>
      </c>
      <c r="J550" s="4" t="s">
        <v>1997</v>
      </c>
      <c r="K550" s="14">
        <f>IF(OR($I550="USO_NO_ENERGETICO_APARENTE",$I550="USO_ENERGETICO_INTERNO_APARENTE"),ROUND(SUMIFS($K$2:$K$618,$B$2:$B$618,$B550,$C$2:$C$618,$C550,$D$2:$D$618,"Energy products",$E$2:$E$618,"Supply",$G$2:$G$618,"&lt;&gt;STAT")-SUMIFS($K$2:$K$618,$B$2:$B$618,$B550,$C$2:$C$618,$C550,$D$2:$D$618,"Energy products",$E$2:$E$618,"Use",$G$2:$G$618,"&lt;&gt;STAT",$I$2:$I$618,"&lt;&gt;USO_NO_ENERGETICO_APARENTE",$I$2:$I$618,"&lt;&gt;USO_ENERGETICO_INTERNO_APARENTE"),10),IF(LEFT($H550,5)="STAT_",ROUND(SUMIFS($K$2:$K$618,$B$2:$B$618,$B550,$C$2:$C$618,$C550,$D$2:$D$618,"Energy products",$E$2:$E$618,"Supply",$G$2:$G$618,"&lt;&gt;STAT")-SUMIFS($K$2:$K$618,$B$2:$B$618,$B550,$C$2:$C$618,$C550,$D$2:$D$618,"Energy products",$E$2:$E$618,"Use",$G$2:$G$618,"&lt;&gt;STAT"),10),IF($J550="cambio de signo",-INDEX(DATOS_MODELO!$U$2:$U$3672,MATCH($H550,DATOS_MODELO!$B$2:$B$3672,0)),IF($J550="valor absoluto",ABS(INDEX(DATOS_MODELO!$U$2:$U$3672,MATCH($H550,DATOS_MODELO!$B$2:$B$3672,0))),INDEX(DATOS_MODELO!$U$2:$U$3672,MATCH($H550,DATOS_MODELO!$B$2:$B$3672,0))))))</f>
        <v>19402.7855</v>
      </c>
      <c r="L550" s="8" t="str">
        <f aca="false">IF(LEFT($H550,5)&lt;&gt;"STAT_","",IF(ABS($K550)&lt;=COUNTIFS($B$2:$B$618,$B550,$C$2:$C$618,$C550,$D$2:$D$618,"Energy products",$G$2:$G$618,"&lt;&gt;STAT")*PARAMETROS!$B$6,"redondeo","residuo_estadistico"))</f>
        <v/>
      </c>
      <c r="M550" s="8" t="str">
        <f>IF(OR($I550="USO_NO_ENERGETICO_APARENTE",$I550="USO_ENERGETICO_INTERNO_APARENTE"),"CAL",IF(LEFT($H550,5)="STAT_","FORMULA",IF(COUNTIF(DATOS_MODELO!$B$2:$B$3672,$H550)=1,"OK","REVISAR")))</f>
        <v>OK</v>
      </c>
    </row>
    <row r="551" customFormat="false" ht="15" hidden="false" customHeight="false" outlineLevel="0" collapsed="false">
      <c r="A551" s="4" t="s">
        <v>3195</v>
      </c>
      <c r="B551" s="12" t="n">
        <v>2018</v>
      </c>
      <c r="C551" s="4" t="s">
        <v>86</v>
      </c>
      <c r="D551" s="4" t="s">
        <v>1993</v>
      </c>
      <c r="E551" s="4" t="s">
        <v>1994</v>
      </c>
      <c r="F551" s="4" t="s">
        <v>1995</v>
      </c>
      <c r="G551" s="4" t="s">
        <v>66</v>
      </c>
      <c r="H551" s="4" t="s">
        <v>275</v>
      </c>
      <c r="I551" s="4" t="s">
        <v>2019</v>
      </c>
      <c r="J551" s="4" t="s">
        <v>1997</v>
      </c>
      <c r="K551" s="14">
        <f>IF(OR($I551="USO_NO_ENERGETICO_APARENTE",$I551="USO_ENERGETICO_INTERNO_APARENTE"),ROUND(SUMIFS($K$2:$K$618,$B$2:$B$618,$B551,$C$2:$C$618,$C551,$D$2:$D$618,"Energy products",$E$2:$E$618,"Supply",$G$2:$G$618,"&lt;&gt;STAT")-SUMIFS($K$2:$K$618,$B$2:$B$618,$B551,$C$2:$C$618,$C551,$D$2:$D$618,"Energy products",$E$2:$E$618,"Use",$G$2:$G$618,"&lt;&gt;STAT",$I$2:$I$618,"&lt;&gt;USO_NO_ENERGETICO_APARENTE",$I$2:$I$618,"&lt;&gt;USO_ENERGETICO_INTERNO_APARENTE"),10),IF(LEFT($H551,5)="STAT_",ROUND(SUMIFS($K$2:$K$618,$B$2:$B$618,$B551,$C$2:$C$618,$C551,$D$2:$D$618,"Energy products",$E$2:$E$618,"Supply",$G$2:$G$618,"&lt;&gt;STAT")-SUMIFS($K$2:$K$618,$B$2:$B$618,$B551,$C$2:$C$618,$C551,$D$2:$D$618,"Energy products",$E$2:$E$618,"Use",$G$2:$G$618,"&lt;&gt;STAT"),10),IF($J551="cambio de signo",-INDEX(DATOS_MODELO!$U$2:$U$3672,MATCH($H551,DATOS_MODELO!$B$2:$B$3672,0)),IF($J551="valor absoluto",ABS(INDEX(DATOS_MODELO!$U$2:$U$3672,MATCH($H551,DATOS_MODELO!$B$2:$B$3672,0))),INDEX(DATOS_MODELO!$U$2:$U$3672,MATCH($H551,DATOS_MODELO!$B$2:$B$3672,0))))))</f>
        <v>19402.7855</v>
      </c>
      <c r="L551" s="8" t="str">
        <f aca="false">IF(LEFT($H551,5)&lt;&gt;"STAT_","",IF(ABS($K551)&lt;=COUNTIFS($B$2:$B$618,$B551,$C$2:$C$618,$C551,$D$2:$D$618,"Energy products",$G$2:$G$618,"&lt;&gt;STAT")*PARAMETROS!$B$6,"redondeo","residuo_estadistico"))</f>
        <v/>
      </c>
      <c r="M551" s="8" t="str">
        <f>IF(OR($I551="USO_NO_ENERGETICO_APARENTE",$I551="USO_ENERGETICO_INTERNO_APARENTE"),"CAL",IF(LEFT($H551,5)="STAT_","FORMULA",IF(COUNTIF(DATOS_MODELO!$B$2:$B$3672,$H551)=1,"OK","REVISAR")))</f>
        <v>OK</v>
      </c>
    </row>
    <row r="552" customFormat="false" ht="15" hidden="false" customHeight="false" outlineLevel="0" collapsed="false">
      <c r="A552" s="4" t="s">
        <v>3197</v>
      </c>
      <c r="B552" s="12" t="n">
        <v>2018</v>
      </c>
      <c r="C552" s="4" t="s">
        <v>86</v>
      </c>
      <c r="D552" s="4" t="s">
        <v>1993</v>
      </c>
      <c r="E552" s="4" t="s">
        <v>2001</v>
      </c>
      <c r="F552" s="4" t="s">
        <v>2091</v>
      </c>
      <c r="G552" s="4" t="s">
        <v>69</v>
      </c>
      <c r="H552" s="4" t="s">
        <v>277</v>
      </c>
      <c r="I552" s="4" t="s">
        <v>2030</v>
      </c>
      <c r="J552" s="4" t="s">
        <v>1997</v>
      </c>
      <c r="K552" s="14">
        <f>IF(OR($I552="USO_NO_ENERGETICO_APARENTE",$I552="USO_ENERGETICO_INTERNO_APARENTE"),ROUND(SUMIFS($K$2:$K$618,$B$2:$B$618,$B552,$C$2:$C$618,$C552,$D$2:$D$618,"Energy products",$E$2:$E$618,"Supply",$G$2:$G$618,"&lt;&gt;STAT")-SUMIFS($K$2:$K$618,$B$2:$B$618,$B552,$C$2:$C$618,$C552,$D$2:$D$618,"Energy products",$E$2:$E$618,"Use",$G$2:$G$618,"&lt;&gt;STAT",$I$2:$I$618,"&lt;&gt;USO_NO_ENERGETICO_APARENTE",$I$2:$I$618,"&lt;&gt;USO_ENERGETICO_INTERNO_APARENTE"),10),IF(LEFT($H552,5)="STAT_",ROUND(SUMIFS($K$2:$K$618,$B$2:$B$618,$B552,$C$2:$C$618,$C552,$D$2:$D$618,"Energy products",$E$2:$E$618,"Supply",$G$2:$G$618,"&lt;&gt;STAT")-SUMIFS($K$2:$K$618,$B$2:$B$618,$B552,$C$2:$C$618,$C552,$D$2:$D$618,"Energy products",$E$2:$E$618,"Use",$G$2:$G$618,"&lt;&gt;STAT"),10),IF($J552="cambio de signo",-INDEX(DATOS_MODELO!$U$2:$U$3672,MATCH($H552,DATOS_MODELO!$B$2:$B$3672,0)),IF($J552="valor absoluto",ABS(INDEX(DATOS_MODELO!$U$2:$U$3672,MATCH($H552,DATOS_MODELO!$B$2:$B$3672,0))),INDEX(DATOS_MODELO!$U$2:$U$3672,MATCH($H552,DATOS_MODELO!$B$2:$B$3672,0))))))</f>
        <v>13035.316</v>
      </c>
      <c r="L552" s="8" t="str">
        <f aca="false">IF(LEFT($H552,5)&lt;&gt;"STAT_","",IF(ABS($K552)&lt;=COUNTIFS($B$2:$B$618,$B552,$C$2:$C$618,$C552,$D$2:$D$618,"Energy products",$G$2:$G$618,"&lt;&gt;STAT")*PARAMETROS!$B$6,"redondeo","residuo_estadistico"))</f>
        <v/>
      </c>
      <c r="M552" s="8" t="str">
        <f>IF(OR($I552="USO_NO_ENERGETICO_APARENTE",$I552="USO_ENERGETICO_INTERNO_APARENTE"),"CAL",IF(LEFT($H552,5)="STAT_","FORMULA",IF(COUNTIF(DATOS_MODELO!$B$2:$B$3672,$H552)=1,"OK","REVISAR")))</f>
        <v>OK</v>
      </c>
    </row>
    <row r="553" customFormat="false" ht="15" hidden="false" customHeight="false" outlineLevel="0" collapsed="false">
      <c r="A553" s="4" t="s">
        <v>3199</v>
      </c>
      <c r="B553" s="12" t="n">
        <v>2018</v>
      </c>
      <c r="C553" s="4" t="s">
        <v>86</v>
      </c>
      <c r="D553" s="4" t="s">
        <v>1993</v>
      </c>
      <c r="E553" s="4" t="s">
        <v>2001</v>
      </c>
      <c r="F553" s="4" t="s">
        <v>2034</v>
      </c>
      <c r="G553" s="4" t="s">
        <v>74</v>
      </c>
      <c r="H553" s="4" t="s">
        <v>278</v>
      </c>
      <c r="I553" s="4" t="s">
        <v>2035</v>
      </c>
      <c r="J553" s="4" t="s">
        <v>2036</v>
      </c>
      <c r="K553" s="14">
        <f>IF(OR($I553="USO_NO_ENERGETICO_APARENTE",$I553="USO_ENERGETICO_INTERNO_APARENTE"),ROUND(SUMIFS($K$2:$K$618,$B$2:$B$618,$B553,$C$2:$C$618,$C553,$D$2:$D$618,"Energy products",$E$2:$E$618,"Supply",$G$2:$G$618,"&lt;&gt;STAT")-SUMIFS($K$2:$K$618,$B$2:$B$618,$B553,$C$2:$C$618,$C553,$D$2:$D$618,"Energy products",$E$2:$E$618,"Use",$G$2:$G$618,"&lt;&gt;STAT",$I$2:$I$618,"&lt;&gt;USO_NO_ENERGETICO_APARENTE",$I$2:$I$618,"&lt;&gt;USO_ENERGETICO_INTERNO_APARENTE"),10),IF(LEFT($H553,5)="STAT_",ROUND(SUMIFS($K$2:$K$618,$B$2:$B$618,$B553,$C$2:$C$618,$C553,$D$2:$D$618,"Energy products",$E$2:$E$618,"Supply",$G$2:$G$618,"&lt;&gt;STAT")-SUMIFS($K$2:$K$618,$B$2:$B$618,$B553,$C$2:$C$618,$C553,$D$2:$D$618,"Energy products",$E$2:$E$618,"Use",$G$2:$G$618,"&lt;&gt;STAT"),10),IF($J553="cambio de signo",-INDEX(DATOS_MODELO!$U$2:$U$3672,MATCH($H553,DATOS_MODELO!$B$2:$B$3672,0)),IF($J553="valor absoluto",ABS(INDEX(DATOS_MODELO!$U$2:$U$3672,MATCH($H553,DATOS_MODELO!$B$2:$B$3672,0))),INDEX(DATOS_MODELO!$U$2:$U$3672,MATCH($H553,DATOS_MODELO!$B$2:$B$3672,0))))))</f>
        <v>600.2311</v>
      </c>
      <c r="L553" s="8" t="str">
        <f aca="false">IF(LEFT($H553,5)&lt;&gt;"STAT_","",IF(ABS($K553)&lt;=COUNTIFS($B$2:$B$618,$B553,$C$2:$C$618,$C553,$D$2:$D$618,"Energy products",$G$2:$G$618,"&lt;&gt;STAT")*PARAMETROS!$B$6,"redondeo","residuo_estadistico"))</f>
        <v/>
      </c>
      <c r="M553" s="8" t="str">
        <f>IF(OR($I553="USO_NO_ENERGETICO_APARENTE",$I553="USO_ENERGETICO_INTERNO_APARENTE"),"CAL",IF(LEFT($H553,5)="STAT_","FORMULA",IF(COUNTIF(DATOS_MODELO!$B$2:$B$3672,$H553)=1,"OK","REVISAR")))</f>
        <v>OK</v>
      </c>
    </row>
    <row r="554" customFormat="false" ht="15" hidden="false" customHeight="false" outlineLevel="0" collapsed="false">
      <c r="A554" s="4" t="s">
        <v>3201</v>
      </c>
      <c r="B554" s="12" t="n">
        <v>2018</v>
      </c>
      <c r="C554" s="4" t="s">
        <v>86</v>
      </c>
      <c r="D554" s="4" t="s">
        <v>1993</v>
      </c>
      <c r="E554" s="4" t="s">
        <v>2001</v>
      </c>
      <c r="F554" s="4" t="s">
        <v>2002</v>
      </c>
      <c r="G554" s="4" t="s">
        <v>67</v>
      </c>
      <c r="H554" s="4" t="s">
        <v>279</v>
      </c>
      <c r="I554" s="4" t="s">
        <v>2097</v>
      </c>
      <c r="J554" s="4" t="s">
        <v>2004</v>
      </c>
      <c r="K554" s="14">
        <f>IF(OR($I554="USO_NO_ENERGETICO_APARENTE",$I554="USO_ENERGETICO_INTERNO_APARENTE"),ROUND(SUMIFS($K$2:$K$618,$B$2:$B$618,$B554,$C$2:$C$618,$C554,$D$2:$D$618,"Energy products",$E$2:$E$618,"Supply",$G$2:$G$618,"&lt;&gt;STAT")-SUMIFS($K$2:$K$618,$B$2:$B$618,$B554,$C$2:$C$618,$C554,$D$2:$D$618,"Energy products",$E$2:$E$618,"Use",$G$2:$G$618,"&lt;&gt;STAT",$I$2:$I$618,"&lt;&gt;USO_NO_ENERGETICO_APARENTE",$I$2:$I$618,"&lt;&gt;USO_ENERGETICO_INTERNO_APARENTE"),10),IF(LEFT($H554,5)="STAT_",ROUND(SUMIFS($K$2:$K$618,$B$2:$B$618,$B554,$C$2:$C$618,$C554,$D$2:$D$618,"Energy products",$E$2:$E$618,"Supply",$G$2:$G$618,"&lt;&gt;STAT")-SUMIFS($K$2:$K$618,$B$2:$B$618,$B554,$C$2:$C$618,$C554,$D$2:$D$618,"Energy products",$E$2:$E$618,"Use",$G$2:$G$618,"&lt;&gt;STAT"),10),IF($J554="cambio de signo",-INDEX(DATOS_MODELO!$U$2:$U$3672,MATCH($H554,DATOS_MODELO!$B$2:$B$3672,0)),IF($J554="valor absoluto",ABS(INDEX(DATOS_MODELO!$U$2:$U$3672,MATCH($H554,DATOS_MODELO!$B$2:$B$3672,0))),INDEX(DATOS_MODELO!$U$2:$U$3672,MATCH($H554,DATOS_MODELO!$B$2:$B$3672,0))))))</f>
        <v>5767.2965</v>
      </c>
      <c r="L554" s="8" t="str">
        <f aca="false">IF(LEFT($H554,5)&lt;&gt;"STAT_","",IF(ABS($K554)&lt;=COUNTIFS($B$2:$B$618,$B554,$C$2:$C$618,$C554,$D$2:$D$618,"Energy products",$G$2:$G$618,"&lt;&gt;STAT")*PARAMETROS!$B$6,"redondeo","residuo_estadistico"))</f>
        <v/>
      </c>
      <c r="M554" s="8" t="str">
        <f>IF(OR($I554="USO_NO_ENERGETICO_APARENTE",$I554="USO_ENERGETICO_INTERNO_APARENTE"),"CAL",IF(LEFT($H554,5)="STAT_","FORMULA",IF(COUNTIF(DATOS_MODELO!$B$2:$B$3672,$H554)=1,"OK","REVISAR")))</f>
        <v>OK</v>
      </c>
    </row>
    <row r="555" customFormat="false" ht="15" hidden="false" customHeight="false" outlineLevel="0" collapsed="false">
      <c r="A555" s="4" t="s">
        <v>3203</v>
      </c>
      <c r="B555" s="12" t="n">
        <v>2018</v>
      </c>
      <c r="C555" s="4" t="s">
        <v>88</v>
      </c>
      <c r="D555" s="4" t="s">
        <v>2018</v>
      </c>
      <c r="E555" s="4" t="s">
        <v>1994</v>
      </c>
      <c r="F555" s="4" t="s">
        <v>65</v>
      </c>
      <c r="G555" s="4" t="s">
        <v>64</v>
      </c>
      <c r="H555" s="4" t="s">
        <v>289</v>
      </c>
      <c r="I555" s="4" t="s">
        <v>2044</v>
      </c>
      <c r="J555" s="4" t="s">
        <v>1997</v>
      </c>
      <c r="K555" s="14">
        <f>IF(OR($I555="USO_NO_ENERGETICO_APARENTE",$I555="USO_ENERGETICO_INTERNO_APARENTE"),ROUND(SUMIFS($K$2:$K$618,$B$2:$B$618,$B555,$C$2:$C$618,$C555,$D$2:$D$618,"Energy products",$E$2:$E$618,"Supply",$G$2:$G$618,"&lt;&gt;STAT")-SUMIFS($K$2:$K$618,$B$2:$B$618,$B555,$C$2:$C$618,$C555,$D$2:$D$618,"Energy products",$E$2:$E$618,"Use",$G$2:$G$618,"&lt;&gt;STAT",$I$2:$I$618,"&lt;&gt;USO_NO_ENERGETICO_APARENTE",$I$2:$I$618,"&lt;&gt;USO_ENERGETICO_INTERNO_APARENTE"),10),IF(LEFT($H555,5)="STAT_",ROUND(SUMIFS($K$2:$K$618,$B$2:$B$618,$B555,$C$2:$C$618,$C555,$D$2:$D$618,"Energy products",$E$2:$E$618,"Supply",$G$2:$G$618,"&lt;&gt;STAT")-SUMIFS($K$2:$K$618,$B$2:$B$618,$B555,$C$2:$C$618,$C555,$D$2:$D$618,"Energy products",$E$2:$E$618,"Use",$G$2:$G$618,"&lt;&gt;STAT"),10),IF($J555="cambio de signo",-INDEX(DATOS_MODELO!$U$2:$U$3672,MATCH($H555,DATOS_MODELO!$B$2:$B$3672,0)),IF($J555="valor absoluto",ABS(INDEX(DATOS_MODELO!$U$2:$U$3672,MATCH($H555,DATOS_MODELO!$B$2:$B$3672,0))),INDEX(DATOS_MODELO!$U$2:$U$3672,MATCH($H555,DATOS_MODELO!$B$2:$B$3672,0))))))</f>
        <v>736.1851</v>
      </c>
      <c r="L555" s="8" t="str">
        <f aca="false">IF(LEFT($H555,5)&lt;&gt;"STAT_","",IF(ABS($K555)&lt;=COUNTIFS($B$2:$B$618,$B555,$C$2:$C$618,$C555,$D$2:$D$618,"Energy products",$G$2:$G$618,"&lt;&gt;STAT")*PARAMETROS!$B$6,"redondeo","residuo_estadistico"))</f>
        <v/>
      </c>
      <c r="M555" s="8" t="str">
        <f>IF(OR($I555="USO_NO_ENERGETICO_APARENTE",$I555="USO_ENERGETICO_INTERNO_APARENTE"),"CAL",IF(LEFT($H555,5)="STAT_","FORMULA",IF(COUNTIF(DATOS_MODELO!$B$2:$B$3672,$H555)=1,"OK","REVISAR")))</f>
        <v>OK</v>
      </c>
    </row>
    <row r="556" customFormat="false" ht="15" hidden="false" customHeight="false" outlineLevel="0" collapsed="false">
      <c r="A556" s="4" t="s">
        <v>3205</v>
      </c>
      <c r="B556" s="12" t="n">
        <v>2018</v>
      </c>
      <c r="C556" s="4" t="s">
        <v>88</v>
      </c>
      <c r="D556" s="4" t="s">
        <v>2018</v>
      </c>
      <c r="E556" s="4" t="s">
        <v>2001</v>
      </c>
      <c r="F556" s="4" t="s">
        <v>66</v>
      </c>
      <c r="G556" s="4" t="s">
        <v>67</v>
      </c>
      <c r="H556" s="4" t="s">
        <v>294</v>
      </c>
      <c r="I556" s="4" t="s">
        <v>2003</v>
      </c>
      <c r="J556" s="4" t="s">
        <v>2004</v>
      </c>
      <c r="K556" s="14">
        <f>IF(OR($I556="USO_NO_ENERGETICO_APARENTE",$I556="USO_ENERGETICO_INTERNO_APARENTE"),ROUND(SUMIFS($K$2:$K$618,$B$2:$B$618,$B556,$C$2:$C$618,$C556,$D$2:$D$618,"Energy products",$E$2:$E$618,"Supply",$G$2:$G$618,"&lt;&gt;STAT")-SUMIFS($K$2:$K$618,$B$2:$B$618,$B556,$C$2:$C$618,$C556,$D$2:$D$618,"Energy products",$E$2:$E$618,"Use",$G$2:$G$618,"&lt;&gt;STAT",$I$2:$I$618,"&lt;&gt;USO_NO_ENERGETICO_APARENTE",$I$2:$I$618,"&lt;&gt;USO_ENERGETICO_INTERNO_APARENTE"),10),IF(LEFT($H556,5)="STAT_",ROUND(SUMIFS($K$2:$K$618,$B$2:$B$618,$B556,$C$2:$C$618,$C556,$D$2:$D$618,"Energy products",$E$2:$E$618,"Supply",$G$2:$G$618,"&lt;&gt;STAT")-SUMIFS($K$2:$K$618,$B$2:$B$618,$B556,$C$2:$C$618,$C556,$D$2:$D$618,"Energy products",$E$2:$E$618,"Use",$G$2:$G$618,"&lt;&gt;STAT"),10),IF($J556="cambio de signo",-INDEX(DATOS_MODELO!$U$2:$U$3672,MATCH($H556,DATOS_MODELO!$B$2:$B$3672,0)),IF($J556="valor absoluto",ABS(INDEX(DATOS_MODELO!$U$2:$U$3672,MATCH($H556,DATOS_MODELO!$B$2:$B$3672,0))),INDEX(DATOS_MODELO!$U$2:$U$3672,MATCH($H556,DATOS_MODELO!$B$2:$B$3672,0))))))</f>
        <v>736.1851</v>
      </c>
      <c r="L556" s="8" t="str">
        <f aca="false">IF(LEFT($H556,5)&lt;&gt;"STAT_","",IF(ABS($K556)&lt;=COUNTIFS($B$2:$B$618,$B556,$C$2:$C$618,$C556,$D$2:$D$618,"Energy products",$G$2:$G$618,"&lt;&gt;STAT")*PARAMETROS!$B$6,"redondeo","residuo_estadistico"))</f>
        <v/>
      </c>
      <c r="M556" s="8" t="str">
        <f>IF(OR($I556="USO_NO_ENERGETICO_APARENTE",$I556="USO_ENERGETICO_INTERNO_APARENTE"),"CAL",IF(LEFT($H556,5)="STAT_","FORMULA",IF(COUNTIF(DATOS_MODELO!$B$2:$B$3672,$H556)=1,"OK","REVISAR")))</f>
        <v>OK</v>
      </c>
    </row>
    <row r="557" customFormat="false" ht="15" hidden="false" customHeight="false" outlineLevel="0" collapsed="false">
      <c r="A557" s="4" t="s">
        <v>3207</v>
      </c>
      <c r="B557" s="12" t="n">
        <v>2018</v>
      </c>
      <c r="C557" s="4" t="s">
        <v>95</v>
      </c>
      <c r="D557" s="4" t="s">
        <v>1993</v>
      </c>
      <c r="E557" s="4" t="s">
        <v>1994</v>
      </c>
      <c r="F557" s="4" t="s">
        <v>2029</v>
      </c>
      <c r="G557" s="4" t="s">
        <v>69</v>
      </c>
      <c r="H557" s="4" t="s">
        <v>304</v>
      </c>
      <c r="I557" s="4" t="s">
        <v>2030</v>
      </c>
      <c r="J557" s="4" t="s">
        <v>1997</v>
      </c>
      <c r="K557" s="14">
        <f>IF(OR($I557="USO_NO_ENERGETICO_APARENTE",$I557="USO_ENERGETICO_INTERNO_APARENTE"),ROUND(SUMIFS($K$2:$K$618,$B$2:$B$618,$B557,$C$2:$C$618,$C557,$D$2:$D$618,"Energy products",$E$2:$E$618,"Supply",$G$2:$G$618,"&lt;&gt;STAT")-SUMIFS($K$2:$K$618,$B$2:$B$618,$B557,$C$2:$C$618,$C557,$D$2:$D$618,"Energy products",$E$2:$E$618,"Use",$G$2:$G$618,"&lt;&gt;STAT",$I$2:$I$618,"&lt;&gt;USO_NO_ENERGETICO_APARENTE",$I$2:$I$618,"&lt;&gt;USO_ENERGETICO_INTERNO_APARENTE"),10),IF(LEFT($H557,5)="STAT_",ROUND(SUMIFS($K$2:$K$618,$B$2:$B$618,$B557,$C$2:$C$618,$C557,$D$2:$D$618,"Energy products",$E$2:$E$618,"Supply",$G$2:$G$618,"&lt;&gt;STAT")-SUMIFS($K$2:$K$618,$B$2:$B$618,$B557,$C$2:$C$618,$C557,$D$2:$D$618,"Energy products",$E$2:$E$618,"Use",$G$2:$G$618,"&lt;&gt;STAT"),10),IF($J557="cambio de signo",-INDEX(DATOS_MODELO!$U$2:$U$3672,MATCH($H557,DATOS_MODELO!$B$2:$B$3672,0)),IF($J557="valor absoluto",ABS(INDEX(DATOS_MODELO!$U$2:$U$3672,MATCH($H557,DATOS_MODELO!$B$2:$B$3672,0))),INDEX(DATOS_MODELO!$U$2:$U$3672,MATCH($H557,DATOS_MODELO!$B$2:$B$3672,0))))))</f>
        <v>15769.7925</v>
      </c>
      <c r="L557" s="8" t="str">
        <f aca="false">IF(LEFT($H557,5)&lt;&gt;"STAT_","",IF(ABS($K557)&lt;=COUNTIFS($B$2:$B$618,$B557,$C$2:$C$618,$C557,$D$2:$D$618,"Energy products",$G$2:$G$618,"&lt;&gt;STAT")*PARAMETROS!$B$6,"redondeo","residuo_estadistico"))</f>
        <v/>
      </c>
      <c r="M557" s="8" t="str">
        <f>IF(OR($I557="USO_NO_ENERGETICO_APARENTE",$I557="USO_ENERGETICO_INTERNO_APARENTE"),"CAL",IF(LEFT($H557,5)="STAT_","FORMULA",IF(COUNTIF(DATOS_MODELO!$B$2:$B$3672,$H557)=1,"OK","REVISAR")))</f>
        <v>OK</v>
      </c>
    </row>
    <row r="558" customFormat="false" ht="15" hidden="false" customHeight="false" outlineLevel="0" collapsed="false">
      <c r="A558" s="4" t="s">
        <v>3209</v>
      </c>
      <c r="B558" s="12" t="n">
        <v>2018</v>
      </c>
      <c r="C558" s="4" t="s">
        <v>95</v>
      </c>
      <c r="D558" s="4" t="s">
        <v>1993</v>
      </c>
      <c r="E558" s="4" t="s">
        <v>2001</v>
      </c>
      <c r="F558" s="4" t="s">
        <v>2034</v>
      </c>
      <c r="G558" s="4" t="s">
        <v>74</v>
      </c>
      <c r="H558" s="4" t="s">
        <v>306</v>
      </c>
      <c r="I558" s="4" t="s">
        <v>2035</v>
      </c>
      <c r="J558" s="4" t="s">
        <v>2036</v>
      </c>
      <c r="K558" s="14">
        <f>IF(OR($I558="USO_NO_ENERGETICO_APARENTE",$I558="USO_ENERGETICO_INTERNO_APARENTE"),ROUND(SUMIFS($K$2:$K$618,$B$2:$B$618,$B558,$C$2:$C$618,$C558,$D$2:$D$618,"Energy products",$E$2:$E$618,"Supply",$G$2:$G$618,"&lt;&gt;STAT")-SUMIFS($K$2:$K$618,$B$2:$B$618,$B558,$C$2:$C$618,$C558,$D$2:$D$618,"Energy products",$E$2:$E$618,"Use",$G$2:$G$618,"&lt;&gt;STAT",$I$2:$I$618,"&lt;&gt;USO_NO_ENERGETICO_APARENTE",$I$2:$I$618,"&lt;&gt;USO_ENERGETICO_INTERNO_APARENTE"),10),IF(LEFT($H558,5)="STAT_",ROUND(SUMIFS($K$2:$K$618,$B$2:$B$618,$B558,$C$2:$C$618,$C558,$D$2:$D$618,"Energy products",$E$2:$E$618,"Supply",$G$2:$G$618,"&lt;&gt;STAT")-SUMIFS($K$2:$K$618,$B$2:$B$618,$B558,$C$2:$C$618,$C558,$D$2:$D$618,"Energy products",$E$2:$E$618,"Use",$G$2:$G$618,"&lt;&gt;STAT"),10),IF($J558="cambio de signo",-INDEX(DATOS_MODELO!$U$2:$U$3672,MATCH($H558,DATOS_MODELO!$B$2:$B$3672,0)),IF($J558="valor absoluto",ABS(INDEX(DATOS_MODELO!$U$2:$U$3672,MATCH($H558,DATOS_MODELO!$B$2:$B$3672,0))),INDEX(DATOS_MODELO!$U$2:$U$3672,MATCH($H558,DATOS_MODELO!$B$2:$B$3672,0))))))</f>
        <v>2107.2289</v>
      </c>
      <c r="L558" s="8" t="str">
        <f aca="false">IF(LEFT($H558,5)&lt;&gt;"STAT_","",IF(ABS($K558)&lt;=COUNTIFS($B$2:$B$618,$B558,$C$2:$C$618,$C558,$D$2:$D$618,"Energy products",$G$2:$G$618,"&lt;&gt;STAT")*PARAMETROS!$B$6,"redondeo","residuo_estadistico"))</f>
        <v/>
      </c>
      <c r="M558" s="8" t="str">
        <f>IF(OR($I558="USO_NO_ENERGETICO_APARENTE",$I558="USO_ENERGETICO_INTERNO_APARENTE"),"CAL",IF(LEFT($H558,5)="STAT_","FORMULA",IF(COUNTIF(DATOS_MODELO!$B$2:$B$3672,$H558)=1,"OK","REVISAR")))</f>
        <v>OK</v>
      </c>
    </row>
    <row r="559" customFormat="false" ht="15" hidden="false" customHeight="false" outlineLevel="0" collapsed="false">
      <c r="A559" s="4" t="s">
        <v>3211</v>
      </c>
      <c r="B559" s="12" t="n">
        <v>2018</v>
      </c>
      <c r="C559" s="4" t="s">
        <v>95</v>
      </c>
      <c r="D559" s="4" t="s">
        <v>1993</v>
      </c>
      <c r="E559" s="4" t="s">
        <v>2001</v>
      </c>
      <c r="F559" s="4" t="s">
        <v>2002</v>
      </c>
      <c r="G559" s="4" t="s">
        <v>67</v>
      </c>
      <c r="H559" s="4" t="s">
        <v>308</v>
      </c>
      <c r="I559" s="4" t="s">
        <v>2003</v>
      </c>
      <c r="J559" s="4" t="s">
        <v>2004</v>
      </c>
      <c r="K559" s="14">
        <f>IF(OR($I559="USO_NO_ENERGETICO_APARENTE",$I559="USO_ENERGETICO_INTERNO_APARENTE"),ROUND(SUMIFS($K$2:$K$618,$B$2:$B$618,$B559,$C$2:$C$618,$C559,$D$2:$D$618,"Energy products",$E$2:$E$618,"Supply",$G$2:$G$618,"&lt;&gt;STAT")-SUMIFS($K$2:$K$618,$B$2:$B$618,$B559,$C$2:$C$618,$C559,$D$2:$D$618,"Energy products",$E$2:$E$618,"Use",$G$2:$G$618,"&lt;&gt;STAT",$I$2:$I$618,"&lt;&gt;USO_NO_ENERGETICO_APARENTE",$I$2:$I$618,"&lt;&gt;USO_ENERGETICO_INTERNO_APARENTE"),10),IF(LEFT($H559,5)="STAT_",ROUND(SUMIFS($K$2:$K$618,$B$2:$B$618,$B559,$C$2:$C$618,$C559,$D$2:$D$618,"Energy products",$E$2:$E$618,"Supply",$G$2:$G$618,"&lt;&gt;STAT")-SUMIFS($K$2:$K$618,$B$2:$B$618,$B559,$C$2:$C$618,$C559,$D$2:$D$618,"Energy products",$E$2:$E$618,"Use",$G$2:$G$618,"&lt;&gt;STAT"),10),IF($J559="cambio de signo",-INDEX(DATOS_MODELO!$U$2:$U$3672,MATCH($H559,DATOS_MODELO!$B$2:$B$3672,0)),IF($J559="valor absoluto",ABS(INDEX(DATOS_MODELO!$U$2:$U$3672,MATCH($H559,DATOS_MODELO!$B$2:$B$3672,0))),INDEX(DATOS_MODELO!$U$2:$U$3672,MATCH($H559,DATOS_MODELO!$B$2:$B$3672,0))))))</f>
        <v>969.0499</v>
      </c>
      <c r="L559" s="8" t="str">
        <f aca="false">IF(LEFT($H559,5)&lt;&gt;"STAT_","",IF(ABS($K559)&lt;=COUNTIFS($B$2:$B$618,$B559,$C$2:$C$618,$C559,$D$2:$D$618,"Energy products",$G$2:$G$618,"&lt;&gt;STAT")*PARAMETROS!$B$6,"redondeo","residuo_estadistico"))</f>
        <v/>
      </c>
      <c r="M559" s="8" t="str">
        <f>IF(OR($I559="USO_NO_ENERGETICO_APARENTE",$I559="USO_ENERGETICO_INTERNO_APARENTE"),"CAL",IF(LEFT($H559,5)="STAT_","FORMULA",IF(COUNTIF(DATOS_MODELO!$B$2:$B$3672,$H559)=1,"OK","REVISAR")))</f>
        <v>OK</v>
      </c>
    </row>
    <row r="560" customFormat="false" ht="15" hidden="false" customHeight="false" outlineLevel="0" collapsed="false">
      <c r="A560" s="4" t="s">
        <v>3213</v>
      </c>
      <c r="B560" s="12" t="n">
        <v>2018</v>
      </c>
      <c r="C560" s="4" t="s">
        <v>95</v>
      </c>
      <c r="D560" s="4" t="s">
        <v>1993</v>
      </c>
      <c r="E560" s="4" t="s">
        <v>2001</v>
      </c>
      <c r="F560" s="4" t="s">
        <v>2002</v>
      </c>
      <c r="G560" s="4" t="s">
        <v>67</v>
      </c>
      <c r="H560" s="4" t="s">
        <v>309</v>
      </c>
      <c r="I560" s="4" t="s">
        <v>2008</v>
      </c>
      <c r="J560" s="4" t="s">
        <v>2004</v>
      </c>
      <c r="K560" s="14">
        <f>IF(OR($I560="USO_NO_ENERGETICO_APARENTE",$I560="USO_ENERGETICO_INTERNO_APARENTE"),ROUND(SUMIFS($K$2:$K$618,$B$2:$B$618,$B560,$C$2:$C$618,$C560,$D$2:$D$618,"Energy products",$E$2:$E$618,"Supply",$G$2:$G$618,"&lt;&gt;STAT")-SUMIFS($K$2:$K$618,$B$2:$B$618,$B560,$C$2:$C$618,$C560,$D$2:$D$618,"Energy products",$E$2:$E$618,"Use",$G$2:$G$618,"&lt;&gt;STAT",$I$2:$I$618,"&lt;&gt;USO_NO_ENERGETICO_APARENTE",$I$2:$I$618,"&lt;&gt;USO_ENERGETICO_INTERNO_APARENTE"),10),IF(LEFT($H560,5)="STAT_",ROUND(SUMIFS($K$2:$K$618,$B$2:$B$618,$B560,$C$2:$C$618,$C560,$D$2:$D$618,"Energy products",$E$2:$E$618,"Supply",$G$2:$G$618,"&lt;&gt;STAT")-SUMIFS($K$2:$K$618,$B$2:$B$618,$B560,$C$2:$C$618,$C560,$D$2:$D$618,"Energy products",$E$2:$E$618,"Use",$G$2:$G$618,"&lt;&gt;STAT"),10),IF($J560="cambio de signo",-INDEX(DATOS_MODELO!$U$2:$U$3672,MATCH($H560,DATOS_MODELO!$B$2:$B$3672,0)),IF($J560="valor absoluto",ABS(INDEX(DATOS_MODELO!$U$2:$U$3672,MATCH($H560,DATOS_MODELO!$B$2:$B$3672,0))),INDEX(DATOS_MODELO!$U$2:$U$3672,MATCH($H560,DATOS_MODELO!$B$2:$B$3672,0))))))</f>
        <v>564.6739</v>
      </c>
      <c r="L560" s="8" t="str">
        <f aca="false">IF(LEFT($H560,5)&lt;&gt;"STAT_","",IF(ABS($K560)&lt;=COUNTIFS($B$2:$B$618,$B560,$C$2:$C$618,$C560,$D$2:$D$618,"Energy products",$G$2:$G$618,"&lt;&gt;STAT")*PARAMETROS!$B$6,"redondeo","residuo_estadistico"))</f>
        <v/>
      </c>
      <c r="M560" s="8" t="str">
        <f>IF(OR($I560="USO_NO_ENERGETICO_APARENTE",$I560="USO_ENERGETICO_INTERNO_APARENTE"),"CAL",IF(LEFT($H560,5)="STAT_","FORMULA",IF(COUNTIF(DATOS_MODELO!$B$2:$B$3672,$H560)=1,"OK","REVISAR")))</f>
        <v>OK</v>
      </c>
    </row>
    <row r="561" customFormat="false" ht="15" hidden="false" customHeight="false" outlineLevel="0" collapsed="false">
      <c r="A561" s="4" t="s">
        <v>3215</v>
      </c>
      <c r="B561" s="12" t="n">
        <v>2018</v>
      </c>
      <c r="C561" s="4" t="s">
        <v>95</v>
      </c>
      <c r="D561" s="4" t="s">
        <v>1993</v>
      </c>
      <c r="E561" s="4" t="s">
        <v>2001</v>
      </c>
      <c r="F561" s="4" t="s">
        <v>2002</v>
      </c>
      <c r="G561" s="4" t="s">
        <v>67</v>
      </c>
      <c r="H561" s="4" t="s">
        <v>310</v>
      </c>
      <c r="I561" s="4" t="s">
        <v>2139</v>
      </c>
      <c r="J561" s="4" t="s">
        <v>1997</v>
      </c>
      <c r="K561" s="14">
        <f>IF(OR($I561="USO_NO_ENERGETICO_APARENTE",$I561="USO_ENERGETICO_INTERNO_APARENTE"),ROUND(SUMIFS($K$2:$K$618,$B$2:$B$618,$B561,$C$2:$C$618,$C561,$D$2:$D$618,"Energy products",$E$2:$E$618,"Supply",$G$2:$G$618,"&lt;&gt;STAT")-SUMIFS($K$2:$K$618,$B$2:$B$618,$B561,$C$2:$C$618,$C561,$D$2:$D$618,"Energy products",$E$2:$E$618,"Use",$G$2:$G$618,"&lt;&gt;STAT",$I$2:$I$618,"&lt;&gt;USO_NO_ENERGETICO_APARENTE",$I$2:$I$618,"&lt;&gt;USO_ENERGETICO_INTERNO_APARENTE"),10),IF(LEFT($H561,5)="STAT_",ROUND(SUMIFS($K$2:$K$618,$B$2:$B$618,$B561,$C$2:$C$618,$C561,$D$2:$D$618,"Energy products",$E$2:$E$618,"Supply",$G$2:$G$618,"&lt;&gt;STAT")-SUMIFS($K$2:$K$618,$B$2:$B$618,$B561,$C$2:$C$618,$C561,$D$2:$D$618,"Energy products",$E$2:$E$618,"Use",$G$2:$G$618,"&lt;&gt;STAT"),10),IF($J561="cambio de signo",-INDEX(DATOS_MODELO!$U$2:$U$3672,MATCH($H561,DATOS_MODELO!$B$2:$B$3672,0)),IF($J561="valor absoluto",ABS(INDEX(DATOS_MODELO!$U$2:$U$3672,MATCH($H561,DATOS_MODELO!$B$2:$B$3672,0))),INDEX(DATOS_MODELO!$U$2:$U$3672,MATCH($H561,DATOS_MODELO!$B$2:$B$3672,0))))))</f>
        <v>5502.5348</v>
      </c>
      <c r="L561" s="8" t="str">
        <f aca="false">IF(LEFT($H561,5)&lt;&gt;"STAT_","",IF(ABS($K561)&lt;=COUNTIFS($B$2:$B$618,$B561,$C$2:$C$618,$C561,$D$2:$D$618,"Energy products",$G$2:$G$618,"&lt;&gt;STAT")*PARAMETROS!$B$6,"redondeo","residuo_estadistico"))</f>
        <v/>
      </c>
      <c r="M561" s="8" t="str">
        <f>IF(OR($I561="USO_NO_ENERGETICO_APARENTE",$I561="USO_ENERGETICO_INTERNO_APARENTE"),"CAL",IF(LEFT($H561,5)="STAT_","FORMULA",IF(COUNTIF(DATOS_MODELO!$B$2:$B$3672,$H561)=1,"OK","REVISAR")))</f>
        <v>OK</v>
      </c>
    </row>
    <row r="562" customFormat="false" ht="15" hidden="false" customHeight="false" outlineLevel="0" collapsed="false">
      <c r="A562" s="4" t="s">
        <v>3217</v>
      </c>
      <c r="B562" s="12" t="n">
        <v>2018</v>
      </c>
      <c r="C562" s="4" t="s">
        <v>95</v>
      </c>
      <c r="D562" s="4" t="s">
        <v>1993</v>
      </c>
      <c r="E562" s="4" t="s">
        <v>2001</v>
      </c>
      <c r="F562" s="4" t="s">
        <v>2002</v>
      </c>
      <c r="G562" s="4" t="s">
        <v>68</v>
      </c>
      <c r="H562" s="4" t="s">
        <v>314</v>
      </c>
      <c r="I562" s="4" t="s">
        <v>2111</v>
      </c>
      <c r="J562" s="4" t="s">
        <v>1997</v>
      </c>
      <c r="K562" s="14">
        <f>IF(OR($I562="USO_NO_ENERGETICO_APARENTE",$I562="USO_ENERGETICO_INTERNO_APARENTE"),ROUND(SUMIFS($K$2:$K$618,$B$2:$B$618,$B562,$C$2:$C$618,$C562,$D$2:$D$618,"Energy products",$E$2:$E$618,"Supply",$G$2:$G$618,"&lt;&gt;STAT")-SUMIFS($K$2:$K$618,$B$2:$B$618,$B562,$C$2:$C$618,$C562,$D$2:$D$618,"Energy products",$E$2:$E$618,"Use",$G$2:$G$618,"&lt;&gt;STAT",$I$2:$I$618,"&lt;&gt;USO_NO_ENERGETICO_APARENTE",$I$2:$I$618,"&lt;&gt;USO_ENERGETICO_INTERNO_APARENTE"),10),IF(LEFT($H562,5)="STAT_",ROUND(SUMIFS($K$2:$K$618,$B$2:$B$618,$B562,$C$2:$C$618,$C562,$D$2:$D$618,"Energy products",$E$2:$E$618,"Supply",$G$2:$G$618,"&lt;&gt;STAT")-SUMIFS($K$2:$K$618,$B$2:$B$618,$B562,$C$2:$C$618,$C562,$D$2:$D$618,"Energy products",$E$2:$E$618,"Use",$G$2:$G$618,"&lt;&gt;STAT"),10),IF($J562="cambio de signo",-INDEX(DATOS_MODELO!$U$2:$U$3672,MATCH($H562,DATOS_MODELO!$B$2:$B$3672,0)),IF($J562="valor absoluto",ABS(INDEX(DATOS_MODELO!$U$2:$U$3672,MATCH($H562,DATOS_MODELO!$B$2:$B$3672,0))),INDEX(DATOS_MODELO!$U$2:$U$3672,MATCH($H562,DATOS_MODELO!$B$2:$B$3672,0))))))</f>
        <v>6626.305</v>
      </c>
      <c r="L562" s="8" t="str">
        <f aca="false">IF(LEFT($H562,5)&lt;&gt;"STAT_","",IF(ABS($K562)&lt;=COUNTIFS($B$2:$B$618,$B562,$C$2:$C$618,$C562,$D$2:$D$618,"Energy products",$G$2:$G$618,"&lt;&gt;STAT")*PARAMETROS!$B$6,"redondeo","residuo_estadistico"))</f>
        <v/>
      </c>
      <c r="M562" s="8" t="str">
        <f>IF(OR($I562="USO_NO_ENERGETICO_APARENTE",$I562="USO_ENERGETICO_INTERNO_APARENTE"),"CAL",IF(LEFT($H562,5)="STAT_","FORMULA",IF(COUNTIF(DATOS_MODELO!$B$2:$B$3672,$H562)=1,"OK","REVISAR")))</f>
        <v>OK</v>
      </c>
    </row>
    <row r="563" customFormat="false" ht="15" hidden="false" customHeight="false" outlineLevel="0" collapsed="false">
      <c r="A563" s="4" t="s">
        <v>3219</v>
      </c>
      <c r="B563" s="12" t="n">
        <v>2018</v>
      </c>
      <c r="C563" s="4" t="s">
        <v>97</v>
      </c>
      <c r="D563" s="4" t="s">
        <v>1993</v>
      </c>
      <c r="E563" s="4" t="s">
        <v>1994</v>
      </c>
      <c r="F563" s="4" t="s">
        <v>2029</v>
      </c>
      <c r="G563" s="4" t="s">
        <v>69</v>
      </c>
      <c r="H563" s="4" t="s">
        <v>318</v>
      </c>
      <c r="I563" s="4" t="s">
        <v>2030</v>
      </c>
      <c r="J563" s="4" t="s">
        <v>1997</v>
      </c>
      <c r="K563" s="14">
        <f>IF(OR($I563="USO_NO_ENERGETICO_APARENTE",$I563="USO_ENERGETICO_INTERNO_APARENTE"),ROUND(SUMIFS($K$2:$K$618,$B$2:$B$618,$B563,$C$2:$C$618,$C563,$D$2:$D$618,"Energy products",$E$2:$E$618,"Supply",$G$2:$G$618,"&lt;&gt;STAT")-SUMIFS($K$2:$K$618,$B$2:$B$618,$B563,$C$2:$C$618,$C563,$D$2:$D$618,"Energy products",$E$2:$E$618,"Use",$G$2:$G$618,"&lt;&gt;STAT",$I$2:$I$618,"&lt;&gt;USO_NO_ENERGETICO_APARENTE",$I$2:$I$618,"&lt;&gt;USO_ENERGETICO_INTERNO_APARENTE"),10),IF(LEFT($H563,5)="STAT_",ROUND(SUMIFS($K$2:$K$618,$B$2:$B$618,$B563,$C$2:$C$618,$C563,$D$2:$D$618,"Energy products",$E$2:$E$618,"Supply",$G$2:$G$618,"&lt;&gt;STAT")-SUMIFS($K$2:$K$618,$B$2:$B$618,$B563,$C$2:$C$618,$C563,$D$2:$D$618,"Energy products",$E$2:$E$618,"Use",$G$2:$G$618,"&lt;&gt;STAT"),10),IF($J563="cambio de signo",-INDEX(DATOS_MODELO!$U$2:$U$3672,MATCH($H563,DATOS_MODELO!$B$2:$B$3672,0)),IF($J563="valor absoluto",ABS(INDEX(DATOS_MODELO!$U$2:$U$3672,MATCH($H563,DATOS_MODELO!$B$2:$B$3672,0))),INDEX(DATOS_MODELO!$U$2:$U$3672,MATCH($H563,DATOS_MODELO!$B$2:$B$3672,0))))))</f>
        <v>68503.1536</v>
      </c>
      <c r="L563" s="8" t="str">
        <f aca="false">IF(LEFT($H563,5)&lt;&gt;"STAT_","",IF(ABS($K563)&lt;=COUNTIFS($B$2:$B$618,$B563,$C$2:$C$618,$C563,$D$2:$D$618,"Energy products",$G$2:$G$618,"&lt;&gt;STAT")*PARAMETROS!$B$6,"redondeo","residuo_estadistico"))</f>
        <v/>
      </c>
      <c r="M563" s="8" t="str">
        <f>IF(OR($I563="USO_NO_ENERGETICO_APARENTE",$I563="USO_ENERGETICO_INTERNO_APARENTE"),"CAL",IF(LEFT($H563,5)="STAT_","FORMULA",IF(COUNTIF(DATOS_MODELO!$B$2:$B$3672,$H563)=1,"OK","REVISAR")))</f>
        <v>OK</v>
      </c>
    </row>
    <row r="564" customFormat="false" ht="15" hidden="false" customHeight="false" outlineLevel="0" collapsed="false">
      <c r="A564" s="4" t="s">
        <v>3221</v>
      </c>
      <c r="B564" s="12" t="n">
        <v>2018</v>
      </c>
      <c r="C564" s="4" t="s">
        <v>97</v>
      </c>
      <c r="D564" s="4" t="s">
        <v>1993</v>
      </c>
      <c r="E564" s="4" t="s">
        <v>2001</v>
      </c>
      <c r="F564" s="4" t="s">
        <v>2091</v>
      </c>
      <c r="G564" s="4" t="s">
        <v>69</v>
      </c>
      <c r="H564" s="4" t="s">
        <v>319</v>
      </c>
      <c r="I564" s="4" t="s">
        <v>2030</v>
      </c>
      <c r="J564" s="4" t="s">
        <v>1997</v>
      </c>
      <c r="K564" s="14">
        <f>IF(OR($I564="USO_NO_ENERGETICO_APARENTE",$I564="USO_ENERGETICO_INTERNO_APARENTE"),ROUND(SUMIFS($K$2:$K$618,$B$2:$B$618,$B564,$C$2:$C$618,$C564,$D$2:$D$618,"Energy products",$E$2:$E$618,"Supply",$G$2:$G$618,"&lt;&gt;STAT")-SUMIFS($K$2:$K$618,$B$2:$B$618,$B564,$C$2:$C$618,$C564,$D$2:$D$618,"Energy products",$E$2:$E$618,"Use",$G$2:$G$618,"&lt;&gt;STAT",$I$2:$I$618,"&lt;&gt;USO_NO_ENERGETICO_APARENTE",$I$2:$I$618,"&lt;&gt;USO_ENERGETICO_INTERNO_APARENTE"),10),IF(LEFT($H564,5)="STAT_",ROUND(SUMIFS($K$2:$K$618,$B$2:$B$618,$B564,$C$2:$C$618,$C564,$D$2:$D$618,"Energy products",$E$2:$E$618,"Supply",$G$2:$G$618,"&lt;&gt;STAT")-SUMIFS($K$2:$K$618,$B$2:$B$618,$B564,$C$2:$C$618,$C564,$D$2:$D$618,"Energy products",$E$2:$E$618,"Use",$G$2:$G$618,"&lt;&gt;STAT"),10),IF($J564="cambio de signo",-INDEX(DATOS_MODELO!$U$2:$U$3672,MATCH($H564,DATOS_MODELO!$B$2:$B$3672,0)),IF($J564="valor absoluto",ABS(INDEX(DATOS_MODELO!$U$2:$U$3672,MATCH($H564,DATOS_MODELO!$B$2:$B$3672,0))),INDEX(DATOS_MODELO!$U$2:$U$3672,MATCH($H564,DATOS_MODELO!$B$2:$B$3672,0))))))</f>
        <v>232.4581</v>
      </c>
      <c r="L564" s="8" t="str">
        <f aca="false">IF(LEFT($H564,5)&lt;&gt;"STAT_","",IF(ABS($K564)&lt;=COUNTIFS($B$2:$B$618,$B564,$C$2:$C$618,$C564,$D$2:$D$618,"Energy products",$G$2:$G$618,"&lt;&gt;STAT")*PARAMETROS!$B$6,"redondeo","residuo_estadistico"))</f>
        <v/>
      </c>
      <c r="M564" s="8" t="str">
        <f>IF(OR($I564="USO_NO_ENERGETICO_APARENTE",$I564="USO_ENERGETICO_INTERNO_APARENTE"),"CAL",IF(LEFT($H564,5)="STAT_","FORMULA",IF(COUNTIF(DATOS_MODELO!$B$2:$B$3672,$H564)=1,"OK","REVISAR")))</f>
        <v>OK</v>
      </c>
    </row>
    <row r="565" customFormat="false" ht="15" hidden="false" customHeight="false" outlineLevel="0" collapsed="false">
      <c r="A565" s="4" t="s">
        <v>3223</v>
      </c>
      <c r="B565" s="12" t="n">
        <v>2018</v>
      </c>
      <c r="C565" s="4" t="s">
        <v>97</v>
      </c>
      <c r="D565" s="4" t="s">
        <v>1993</v>
      </c>
      <c r="E565" s="4" t="s">
        <v>2001</v>
      </c>
      <c r="F565" s="4" t="s">
        <v>2034</v>
      </c>
      <c r="G565" s="4" t="s">
        <v>74</v>
      </c>
      <c r="H565" s="4" t="s">
        <v>320</v>
      </c>
      <c r="I565" s="4" t="s">
        <v>2035</v>
      </c>
      <c r="J565" s="4" t="s">
        <v>2036</v>
      </c>
      <c r="K565" s="14">
        <f>IF(OR($I565="USO_NO_ENERGETICO_APARENTE",$I565="USO_ENERGETICO_INTERNO_APARENTE"),ROUND(SUMIFS($K$2:$K$618,$B$2:$B$618,$B565,$C$2:$C$618,$C565,$D$2:$D$618,"Energy products",$E$2:$E$618,"Supply",$G$2:$G$618,"&lt;&gt;STAT")-SUMIFS($K$2:$K$618,$B$2:$B$618,$B565,$C$2:$C$618,$C565,$D$2:$D$618,"Energy products",$E$2:$E$618,"Use",$G$2:$G$618,"&lt;&gt;STAT",$I$2:$I$618,"&lt;&gt;USO_NO_ENERGETICO_APARENTE",$I$2:$I$618,"&lt;&gt;USO_ENERGETICO_INTERNO_APARENTE"),10),IF(LEFT($H565,5)="STAT_",ROUND(SUMIFS($K$2:$K$618,$B$2:$B$618,$B565,$C$2:$C$618,$C565,$D$2:$D$618,"Energy products",$E$2:$E$618,"Supply",$G$2:$G$618,"&lt;&gt;STAT")-SUMIFS($K$2:$K$618,$B$2:$B$618,$B565,$C$2:$C$618,$C565,$D$2:$D$618,"Energy products",$E$2:$E$618,"Use",$G$2:$G$618,"&lt;&gt;STAT"),10),IF($J565="cambio de signo",-INDEX(DATOS_MODELO!$U$2:$U$3672,MATCH($H565,DATOS_MODELO!$B$2:$B$3672,0)),IF($J565="valor absoluto",ABS(INDEX(DATOS_MODELO!$U$2:$U$3672,MATCH($H565,DATOS_MODELO!$B$2:$B$3672,0))),INDEX(DATOS_MODELO!$U$2:$U$3672,MATCH($H565,DATOS_MODELO!$B$2:$B$3672,0))))))</f>
        <v>-3880.2085</v>
      </c>
      <c r="L565" s="8" t="str">
        <f aca="false">IF(LEFT($H565,5)&lt;&gt;"STAT_","",IF(ABS($K565)&lt;=COUNTIFS($B$2:$B$618,$B565,$C$2:$C$618,$C565,$D$2:$D$618,"Energy products",$G$2:$G$618,"&lt;&gt;STAT")*PARAMETROS!$B$6,"redondeo","residuo_estadistico"))</f>
        <v/>
      </c>
      <c r="M565" s="8" t="str">
        <f>IF(OR($I565="USO_NO_ENERGETICO_APARENTE",$I565="USO_ENERGETICO_INTERNO_APARENTE"),"CAL",IF(LEFT($H565,5)="STAT_","FORMULA",IF(COUNTIF(DATOS_MODELO!$B$2:$B$3672,$H565)=1,"OK","REVISAR")))</f>
        <v>OK</v>
      </c>
    </row>
    <row r="566" customFormat="false" ht="15" hidden="false" customHeight="false" outlineLevel="0" collapsed="false">
      <c r="A566" s="4" t="s">
        <v>3225</v>
      </c>
      <c r="B566" s="12" t="n">
        <v>2018</v>
      </c>
      <c r="C566" s="4" t="s">
        <v>97</v>
      </c>
      <c r="D566" s="4" t="s">
        <v>1993</v>
      </c>
      <c r="E566" s="4" t="s">
        <v>1994</v>
      </c>
      <c r="F566" s="4" t="s">
        <v>1995</v>
      </c>
      <c r="G566" s="4" t="s">
        <v>67</v>
      </c>
      <c r="H566" s="4" t="s">
        <v>321</v>
      </c>
      <c r="I566" s="4" t="s">
        <v>2097</v>
      </c>
      <c r="J566" s="4" t="s">
        <v>1997</v>
      </c>
      <c r="K566" s="14">
        <f>IF(OR($I566="USO_NO_ENERGETICO_APARENTE",$I566="USO_ENERGETICO_INTERNO_APARENTE"),ROUND(SUMIFS($K$2:$K$618,$B$2:$B$618,$B566,$C$2:$C$618,$C566,$D$2:$D$618,"Energy products",$E$2:$E$618,"Supply",$G$2:$G$618,"&lt;&gt;STAT")-SUMIFS($K$2:$K$618,$B$2:$B$618,$B566,$C$2:$C$618,$C566,$D$2:$D$618,"Energy products",$E$2:$E$618,"Use",$G$2:$G$618,"&lt;&gt;STAT",$I$2:$I$618,"&lt;&gt;USO_NO_ENERGETICO_APARENTE",$I$2:$I$618,"&lt;&gt;USO_ENERGETICO_INTERNO_APARENTE"),10),IF(LEFT($H566,5)="STAT_",ROUND(SUMIFS($K$2:$K$618,$B$2:$B$618,$B566,$C$2:$C$618,$C566,$D$2:$D$618,"Energy products",$E$2:$E$618,"Supply",$G$2:$G$618,"&lt;&gt;STAT")-SUMIFS($K$2:$K$618,$B$2:$B$618,$B566,$C$2:$C$618,$C566,$D$2:$D$618,"Energy products",$E$2:$E$618,"Use",$G$2:$G$618,"&lt;&gt;STAT"),10),IF($J566="cambio de signo",-INDEX(DATOS_MODELO!$U$2:$U$3672,MATCH($H566,DATOS_MODELO!$B$2:$B$3672,0)),IF($J566="valor absoluto",ABS(INDEX(DATOS_MODELO!$U$2:$U$3672,MATCH($H566,DATOS_MODELO!$B$2:$B$3672,0))),INDEX(DATOS_MODELO!$U$2:$U$3672,MATCH($H566,DATOS_MODELO!$B$2:$B$3672,0))))))</f>
        <v>2077.9465</v>
      </c>
      <c r="L566" s="8" t="str">
        <f aca="false">IF(LEFT($H566,5)&lt;&gt;"STAT_","",IF(ABS($K566)&lt;=COUNTIFS($B$2:$B$618,$B566,$C$2:$C$618,$C566,$D$2:$D$618,"Energy products",$G$2:$G$618,"&lt;&gt;STAT")*PARAMETROS!$B$6,"redondeo","residuo_estadistico"))</f>
        <v/>
      </c>
      <c r="M566" s="8" t="str">
        <f>IF(OR($I566="USO_NO_ENERGETICO_APARENTE",$I566="USO_ENERGETICO_INTERNO_APARENTE"),"CAL",IF(LEFT($H566,5)="STAT_","FORMULA",IF(COUNTIF(DATOS_MODELO!$B$2:$B$3672,$H566)=1,"OK","REVISAR")))</f>
        <v>OK</v>
      </c>
    </row>
    <row r="567" customFormat="false" ht="15" hidden="false" customHeight="false" outlineLevel="0" collapsed="false">
      <c r="A567" s="4" t="s">
        <v>3227</v>
      </c>
      <c r="B567" s="12" t="n">
        <v>2018</v>
      </c>
      <c r="C567" s="4" t="s">
        <v>97</v>
      </c>
      <c r="D567" s="4" t="s">
        <v>1993</v>
      </c>
      <c r="E567" s="4" t="s">
        <v>2001</v>
      </c>
      <c r="F567" s="4" t="s">
        <v>2002</v>
      </c>
      <c r="G567" s="4" t="s">
        <v>67</v>
      </c>
      <c r="H567" s="4" t="s">
        <v>322</v>
      </c>
      <c r="I567" s="4" t="s">
        <v>2003</v>
      </c>
      <c r="J567" s="4" t="s">
        <v>2004</v>
      </c>
      <c r="K567" s="14">
        <f>IF(OR($I567="USO_NO_ENERGETICO_APARENTE",$I567="USO_ENERGETICO_INTERNO_APARENTE"),ROUND(SUMIFS($K$2:$K$618,$B$2:$B$618,$B567,$C$2:$C$618,$C567,$D$2:$D$618,"Energy products",$E$2:$E$618,"Supply",$G$2:$G$618,"&lt;&gt;STAT")-SUMIFS($K$2:$K$618,$B$2:$B$618,$B567,$C$2:$C$618,$C567,$D$2:$D$618,"Energy products",$E$2:$E$618,"Use",$G$2:$G$618,"&lt;&gt;STAT",$I$2:$I$618,"&lt;&gt;USO_NO_ENERGETICO_APARENTE",$I$2:$I$618,"&lt;&gt;USO_ENERGETICO_INTERNO_APARENTE"),10),IF(LEFT($H567,5)="STAT_",ROUND(SUMIFS($K$2:$K$618,$B$2:$B$618,$B567,$C$2:$C$618,$C567,$D$2:$D$618,"Energy products",$E$2:$E$618,"Supply",$G$2:$G$618,"&lt;&gt;STAT")-SUMIFS($K$2:$K$618,$B$2:$B$618,$B567,$C$2:$C$618,$C567,$D$2:$D$618,"Energy products",$E$2:$E$618,"Use",$G$2:$G$618,"&lt;&gt;STAT"),10),IF($J567="cambio de signo",-INDEX(DATOS_MODELO!$U$2:$U$3672,MATCH($H567,DATOS_MODELO!$B$2:$B$3672,0)),IF($J567="valor absoluto",ABS(INDEX(DATOS_MODELO!$U$2:$U$3672,MATCH($H567,DATOS_MODELO!$B$2:$B$3672,0))),INDEX(DATOS_MODELO!$U$2:$U$3672,MATCH($H567,DATOS_MODELO!$B$2:$B$3672,0))))))</f>
        <v>47.7001</v>
      </c>
      <c r="L567" s="8" t="str">
        <f aca="false">IF(LEFT($H567,5)&lt;&gt;"STAT_","",IF(ABS($K567)&lt;=COUNTIFS($B$2:$B$618,$B567,$C$2:$C$618,$C567,$D$2:$D$618,"Energy products",$G$2:$G$618,"&lt;&gt;STAT")*PARAMETROS!$B$6,"redondeo","residuo_estadistico"))</f>
        <v/>
      </c>
      <c r="M567" s="8" t="str">
        <f>IF(OR($I567="USO_NO_ENERGETICO_APARENTE",$I567="USO_ENERGETICO_INTERNO_APARENTE"),"CAL",IF(LEFT($H567,5)="STAT_","FORMULA",IF(COUNTIF(DATOS_MODELO!$B$2:$B$3672,$H567)=1,"OK","REVISAR")))</f>
        <v>OK</v>
      </c>
    </row>
    <row r="568" customFormat="false" ht="15" hidden="false" customHeight="false" outlineLevel="0" collapsed="false">
      <c r="A568" s="4" t="s">
        <v>3229</v>
      </c>
      <c r="B568" s="12" t="n">
        <v>2018</v>
      </c>
      <c r="C568" s="4" t="s">
        <v>97</v>
      </c>
      <c r="D568" s="4" t="s">
        <v>1993</v>
      </c>
      <c r="E568" s="4" t="s">
        <v>2001</v>
      </c>
      <c r="F568" s="4" t="s">
        <v>2002</v>
      </c>
      <c r="G568" s="4" t="s">
        <v>67</v>
      </c>
      <c r="H568" s="4" t="s">
        <v>323</v>
      </c>
      <c r="I568" s="4" t="s">
        <v>2008</v>
      </c>
      <c r="J568" s="4" t="s">
        <v>2004</v>
      </c>
      <c r="K568" s="14">
        <f>IF(OR($I568="USO_NO_ENERGETICO_APARENTE",$I568="USO_ENERGETICO_INTERNO_APARENTE"),ROUND(SUMIFS($K$2:$K$618,$B$2:$B$618,$B568,$C$2:$C$618,$C568,$D$2:$D$618,"Energy products",$E$2:$E$618,"Supply",$G$2:$G$618,"&lt;&gt;STAT")-SUMIFS($K$2:$K$618,$B$2:$B$618,$B568,$C$2:$C$618,$C568,$D$2:$D$618,"Energy products",$E$2:$E$618,"Use",$G$2:$G$618,"&lt;&gt;STAT",$I$2:$I$618,"&lt;&gt;USO_NO_ENERGETICO_APARENTE",$I$2:$I$618,"&lt;&gt;USO_ENERGETICO_INTERNO_APARENTE"),10),IF(LEFT($H568,5)="STAT_",ROUND(SUMIFS($K$2:$K$618,$B$2:$B$618,$B568,$C$2:$C$618,$C568,$D$2:$D$618,"Energy products",$E$2:$E$618,"Supply",$G$2:$G$618,"&lt;&gt;STAT")-SUMIFS($K$2:$K$618,$B$2:$B$618,$B568,$C$2:$C$618,$C568,$D$2:$D$618,"Energy products",$E$2:$E$618,"Use",$G$2:$G$618,"&lt;&gt;STAT"),10),IF($J568="cambio de signo",-INDEX(DATOS_MODELO!$U$2:$U$3672,MATCH($H568,DATOS_MODELO!$B$2:$B$3672,0)),IF($J568="valor absoluto",ABS(INDEX(DATOS_MODELO!$U$2:$U$3672,MATCH($H568,DATOS_MODELO!$B$2:$B$3672,0))),INDEX(DATOS_MODELO!$U$2:$U$3672,MATCH($H568,DATOS_MODELO!$B$2:$B$3672,0))))))</f>
        <v>12.2591</v>
      </c>
      <c r="L568" s="8" t="str">
        <f aca="false">IF(LEFT($H568,5)&lt;&gt;"STAT_","",IF(ABS($K568)&lt;=COUNTIFS($B$2:$B$618,$B568,$C$2:$C$618,$C568,$D$2:$D$618,"Energy products",$G$2:$G$618,"&lt;&gt;STAT")*PARAMETROS!$B$6,"redondeo","residuo_estadistico"))</f>
        <v/>
      </c>
      <c r="M568" s="8" t="str">
        <f>IF(OR($I568="USO_NO_ENERGETICO_APARENTE",$I568="USO_ENERGETICO_INTERNO_APARENTE"),"CAL",IF(LEFT($H568,5)="STAT_","FORMULA",IF(COUNTIF(DATOS_MODELO!$B$2:$B$3672,$H568)=1,"OK","REVISAR")))</f>
        <v>OK</v>
      </c>
    </row>
    <row r="569" customFormat="false" ht="15" hidden="false" customHeight="false" outlineLevel="0" collapsed="false">
      <c r="A569" s="4" t="s">
        <v>3231</v>
      </c>
      <c r="B569" s="12" t="n">
        <v>2018</v>
      </c>
      <c r="C569" s="4" t="s">
        <v>97</v>
      </c>
      <c r="D569" s="4" t="s">
        <v>1993</v>
      </c>
      <c r="E569" s="4" t="s">
        <v>2001</v>
      </c>
      <c r="F569" s="4" t="s">
        <v>2002</v>
      </c>
      <c r="G569" s="4" t="s">
        <v>67</v>
      </c>
      <c r="H569" s="4" t="s">
        <v>324</v>
      </c>
      <c r="I569" s="4" t="s">
        <v>2139</v>
      </c>
      <c r="J569" s="4" t="s">
        <v>1997</v>
      </c>
      <c r="K569" s="14">
        <f>IF(OR($I569="USO_NO_ENERGETICO_APARENTE",$I569="USO_ENERGETICO_INTERNO_APARENTE"),ROUND(SUMIFS($K$2:$K$618,$B$2:$B$618,$B569,$C$2:$C$618,$C569,$D$2:$D$618,"Energy products",$E$2:$E$618,"Supply",$G$2:$G$618,"&lt;&gt;STAT")-SUMIFS($K$2:$K$618,$B$2:$B$618,$B569,$C$2:$C$618,$C569,$D$2:$D$618,"Energy products",$E$2:$E$618,"Use",$G$2:$G$618,"&lt;&gt;STAT",$I$2:$I$618,"&lt;&gt;USO_NO_ENERGETICO_APARENTE",$I$2:$I$618,"&lt;&gt;USO_ENERGETICO_INTERNO_APARENTE"),10),IF(LEFT($H569,5)="STAT_",ROUND(SUMIFS($K$2:$K$618,$B$2:$B$618,$B569,$C$2:$C$618,$C569,$D$2:$D$618,"Energy products",$E$2:$E$618,"Supply",$G$2:$G$618,"&lt;&gt;STAT")-SUMIFS($K$2:$K$618,$B$2:$B$618,$B569,$C$2:$C$618,$C569,$D$2:$D$618,"Energy products",$E$2:$E$618,"Use",$G$2:$G$618,"&lt;&gt;STAT"),10),IF($J569="cambio de signo",-INDEX(DATOS_MODELO!$U$2:$U$3672,MATCH($H569,DATOS_MODELO!$B$2:$B$3672,0)),IF($J569="valor absoluto",ABS(INDEX(DATOS_MODELO!$U$2:$U$3672,MATCH($H569,DATOS_MODELO!$B$2:$B$3672,0))),INDEX(DATOS_MODELO!$U$2:$U$3672,MATCH($H569,DATOS_MODELO!$B$2:$B$3672,0))))))</f>
        <v>2077.9465</v>
      </c>
      <c r="L569" s="8" t="str">
        <f aca="false">IF(LEFT($H569,5)&lt;&gt;"STAT_","",IF(ABS($K569)&lt;=COUNTIFS($B$2:$B$618,$B569,$C$2:$C$618,$C569,$D$2:$D$618,"Energy products",$G$2:$G$618,"&lt;&gt;STAT")*PARAMETROS!$B$6,"redondeo","residuo_estadistico"))</f>
        <v/>
      </c>
      <c r="M569" s="8" t="str">
        <f>IF(OR($I569="USO_NO_ENERGETICO_APARENTE",$I569="USO_ENERGETICO_INTERNO_APARENTE"),"CAL",IF(LEFT($H569,5)="STAT_","FORMULA",IF(COUNTIF(DATOS_MODELO!$B$2:$B$3672,$H569)=1,"OK","REVISAR")))</f>
        <v>OK</v>
      </c>
    </row>
    <row r="570" customFormat="false" ht="15" hidden="false" customHeight="false" outlineLevel="0" collapsed="false">
      <c r="A570" s="4" t="s">
        <v>3233</v>
      </c>
      <c r="B570" s="12" t="n">
        <v>2018</v>
      </c>
      <c r="C570" s="4" t="s">
        <v>97</v>
      </c>
      <c r="D570" s="4" t="s">
        <v>1993</v>
      </c>
      <c r="E570" s="4" t="s">
        <v>2001</v>
      </c>
      <c r="F570" s="4" t="s">
        <v>2002</v>
      </c>
      <c r="G570" s="4" t="s">
        <v>71</v>
      </c>
      <c r="H570" s="4" t="s">
        <v>325</v>
      </c>
      <c r="I570" s="4" t="s">
        <v>2123</v>
      </c>
      <c r="J570" s="4" t="s">
        <v>1997</v>
      </c>
      <c r="K570" s="14">
        <f>IF(OR($I570="USO_NO_ENERGETICO_APARENTE",$I570="USO_ENERGETICO_INTERNO_APARENTE"),ROUND(SUMIFS($K$2:$K$618,$B$2:$B$618,$B570,$C$2:$C$618,$C570,$D$2:$D$618,"Energy products",$E$2:$E$618,"Supply",$G$2:$G$618,"&lt;&gt;STAT")-SUMIFS($K$2:$K$618,$B$2:$B$618,$B570,$C$2:$C$618,$C570,$D$2:$D$618,"Energy products",$E$2:$E$618,"Use",$G$2:$G$618,"&lt;&gt;STAT",$I$2:$I$618,"&lt;&gt;USO_NO_ENERGETICO_APARENTE",$I$2:$I$618,"&lt;&gt;USO_ENERGETICO_INTERNO_APARENTE"),10),IF(LEFT($H570,5)="STAT_",ROUND(SUMIFS($K$2:$K$618,$B$2:$B$618,$B570,$C$2:$C$618,$C570,$D$2:$D$618,"Energy products",$E$2:$E$618,"Supply",$G$2:$G$618,"&lt;&gt;STAT")-SUMIFS($K$2:$K$618,$B$2:$B$618,$B570,$C$2:$C$618,$C570,$D$2:$D$618,"Energy products",$E$2:$E$618,"Use",$G$2:$G$618,"&lt;&gt;STAT"),10),IF($J570="cambio de signo",-INDEX(DATOS_MODELO!$U$2:$U$3672,MATCH($H570,DATOS_MODELO!$B$2:$B$3672,0)),IF($J570="valor absoluto",ABS(INDEX(DATOS_MODELO!$U$2:$U$3672,MATCH($H570,DATOS_MODELO!$B$2:$B$3672,0))),INDEX(DATOS_MODELO!$U$2:$U$3672,MATCH($H570,DATOS_MODELO!$B$2:$B$3672,0))))))</f>
        <v>66323.7064</v>
      </c>
      <c r="L570" s="8" t="str">
        <f aca="false">IF(LEFT($H570,5)&lt;&gt;"STAT_","",IF(ABS($K570)&lt;=COUNTIFS($B$2:$B$618,$B570,$C$2:$C$618,$C570,$D$2:$D$618,"Energy products",$G$2:$G$618,"&lt;&gt;STAT")*PARAMETROS!$B$6,"redondeo","residuo_estadistico"))</f>
        <v/>
      </c>
      <c r="M570" s="8" t="str">
        <f>IF(OR($I570="USO_NO_ENERGETICO_APARENTE",$I570="USO_ENERGETICO_INTERNO_APARENTE"),"CAL",IF(LEFT($H570,5)="STAT_","FORMULA",IF(COUNTIF(DATOS_MODELO!$B$2:$B$3672,$H570)=1,"OK","REVISAR")))</f>
        <v>OK</v>
      </c>
    </row>
    <row r="571" customFormat="false" ht="15" hidden="false" customHeight="false" outlineLevel="0" collapsed="false">
      <c r="A571" s="4" t="s">
        <v>3235</v>
      </c>
      <c r="B571" s="12" t="n">
        <v>2018</v>
      </c>
      <c r="C571" s="4" t="s">
        <v>97</v>
      </c>
      <c r="D571" s="4" t="s">
        <v>1993</v>
      </c>
      <c r="E571" s="4" t="s">
        <v>2001</v>
      </c>
      <c r="F571" s="4" t="s">
        <v>2002</v>
      </c>
      <c r="G571" s="4" t="s">
        <v>68</v>
      </c>
      <c r="H571" s="4" t="s">
        <v>328</v>
      </c>
      <c r="I571" s="4" t="s">
        <v>2111</v>
      </c>
      <c r="J571" s="4" t="s">
        <v>1997</v>
      </c>
      <c r="K571" s="14">
        <f>IF(OR($I571="USO_NO_ENERGETICO_APARENTE",$I571="USO_ENERGETICO_INTERNO_APARENTE"),ROUND(SUMIFS($K$2:$K$618,$B$2:$B$618,$B571,$C$2:$C$618,$C571,$D$2:$D$618,"Energy products",$E$2:$E$618,"Supply",$G$2:$G$618,"&lt;&gt;STAT")-SUMIFS($K$2:$K$618,$B$2:$B$618,$B571,$C$2:$C$618,$C571,$D$2:$D$618,"Energy products",$E$2:$E$618,"Use",$G$2:$G$618,"&lt;&gt;STAT",$I$2:$I$618,"&lt;&gt;USO_NO_ENERGETICO_APARENTE",$I$2:$I$618,"&lt;&gt;USO_ENERGETICO_INTERNO_APARENTE"),10),IF(LEFT($H571,5)="STAT_",ROUND(SUMIFS($K$2:$K$618,$B$2:$B$618,$B571,$C$2:$C$618,$C571,$D$2:$D$618,"Energy products",$E$2:$E$618,"Supply",$G$2:$G$618,"&lt;&gt;STAT")-SUMIFS($K$2:$K$618,$B$2:$B$618,$B571,$C$2:$C$618,$C571,$D$2:$D$618,"Energy products",$E$2:$E$618,"Use",$G$2:$G$618,"&lt;&gt;STAT"),10),IF($J571="cambio de signo",-INDEX(DATOS_MODELO!$U$2:$U$3672,MATCH($H571,DATOS_MODELO!$B$2:$B$3672,0)),IF($J571="valor absoluto",ABS(INDEX(DATOS_MODELO!$U$2:$U$3672,MATCH($H571,DATOS_MODELO!$B$2:$B$3672,0))),INDEX(DATOS_MODELO!$U$2:$U$3672,MATCH($H571,DATOS_MODELO!$B$2:$B$3672,0))))))</f>
        <v>5767.2965</v>
      </c>
      <c r="L571" s="8" t="str">
        <f aca="false">IF(LEFT($H571,5)&lt;&gt;"STAT_","",IF(ABS($K571)&lt;=COUNTIFS($B$2:$B$618,$B571,$C$2:$C$618,$C571,$D$2:$D$618,"Energy products",$G$2:$G$618,"&lt;&gt;STAT")*PARAMETROS!$B$6,"redondeo","residuo_estadistico"))</f>
        <v/>
      </c>
      <c r="M571" s="8" t="str">
        <f>IF(OR($I571="USO_NO_ENERGETICO_APARENTE",$I571="USO_ENERGETICO_INTERNO_APARENTE"),"CAL",IF(LEFT($H571,5)="STAT_","FORMULA",IF(COUNTIF(DATOS_MODELO!$B$2:$B$3672,$H571)=1,"OK","REVISAR")))</f>
        <v>OK</v>
      </c>
    </row>
    <row r="572" customFormat="false" ht="15" hidden="false" customHeight="false" outlineLevel="0" collapsed="false">
      <c r="A572" s="4" t="s">
        <v>3237</v>
      </c>
      <c r="B572" s="12" t="n">
        <v>2018</v>
      </c>
      <c r="C572" s="4" t="s">
        <v>99</v>
      </c>
      <c r="D572" s="4" t="s">
        <v>1993</v>
      </c>
      <c r="E572" s="4" t="s">
        <v>1994</v>
      </c>
      <c r="F572" s="4" t="s">
        <v>2029</v>
      </c>
      <c r="G572" s="4" t="s">
        <v>69</v>
      </c>
      <c r="H572" s="4" t="s">
        <v>332</v>
      </c>
      <c r="I572" s="4" t="s">
        <v>2030</v>
      </c>
      <c r="J572" s="4" t="s">
        <v>1997</v>
      </c>
      <c r="K572" s="14">
        <f>IF(OR($I572="USO_NO_ENERGETICO_APARENTE",$I572="USO_ENERGETICO_INTERNO_APARENTE"),ROUND(SUMIFS($K$2:$K$618,$B$2:$B$618,$B572,$C$2:$C$618,$C572,$D$2:$D$618,"Energy products",$E$2:$E$618,"Supply",$G$2:$G$618,"&lt;&gt;STAT")-SUMIFS($K$2:$K$618,$B$2:$B$618,$B572,$C$2:$C$618,$C572,$D$2:$D$618,"Energy products",$E$2:$E$618,"Use",$G$2:$G$618,"&lt;&gt;STAT",$I$2:$I$618,"&lt;&gt;USO_NO_ENERGETICO_APARENTE",$I$2:$I$618,"&lt;&gt;USO_ENERGETICO_INTERNO_APARENTE"),10),IF(LEFT($H572,5)="STAT_",ROUND(SUMIFS($K$2:$K$618,$B$2:$B$618,$B572,$C$2:$C$618,$C572,$D$2:$D$618,"Energy products",$E$2:$E$618,"Supply",$G$2:$G$618,"&lt;&gt;STAT")-SUMIFS($K$2:$K$618,$B$2:$B$618,$B572,$C$2:$C$618,$C572,$D$2:$D$618,"Energy products",$E$2:$E$618,"Use",$G$2:$G$618,"&lt;&gt;STAT"),10),IF($J572="cambio de signo",-INDEX(DATOS_MODELO!$U$2:$U$3672,MATCH($H572,DATOS_MODELO!$B$2:$B$3672,0)),IF($J572="valor absoluto",ABS(INDEX(DATOS_MODELO!$U$2:$U$3672,MATCH($H572,DATOS_MODELO!$B$2:$B$3672,0))),INDEX(DATOS_MODELO!$U$2:$U$3672,MATCH($H572,DATOS_MODELO!$B$2:$B$3672,0))))))</f>
        <v>2972.5122</v>
      </c>
      <c r="L572" s="8" t="str">
        <f aca="false">IF(LEFT($H572,5)&lt;&gt;"STAT_","",IF(ABS($K572)&lt;=COUNTIFS($B$2:$B$618,$B572,$C$2:$C$618,$C572,$D$2:$D$618,"Energy products",$G$2:$G$618,"&lt;&gt;STAT")*PARAMETROS!$B$6,"redondeo","residuo_estadistico"))</f>
        <v/>
      </c>
      <c r="M572" s="8" t="str">
        <f>IF(OR($I572="USO_NO_ENERGETICO_APARENTE",$I572="USO_ENERGETICO_INTERNO_APARENTE"),"CAL",IF(LEFT($H572,5)="STAT_","FORMULA",IF(COUNTIF(DATOS_MODELO!$B$2:$B$3672,$H572)=1,"OK","REVISAR")))</f>
        <v>OK</v>
      </c>
    </row>
    <row r="573" customFormat="false" ht="15" hidden="false" customHeight="false" outlineLevel="0" collapsed="false">
      <c r="A573" s="4" t="s">
        <v>3239</v>
      </c>
      <c r="B573" s="12" t="n">
        <v>2018</v>
      </c>
      <c r="C573" s="4" t="s">
        <v>99</v>
      </c>
      <c r="D573" s="4" t="s">
        <v>1993</v>
      </c>
      <c r="E573" s="4" t="s">
        <v>2001</v>
      </c>
      <c r="F573" s="4" t="s">
        <v>2091</v>
      </c>
      <c r="G573" s="4" t="s">
        <v>69</v>
      </c>
      <c r="H573" s="4" t="s">
        <v>333</v>
      </c>
      <c r="I573" s="4" t="s">
        <v>2030</v>
      </c>
      <c r="J573" s="4" t="s">
        <v>1997</v>
      </c>
      <c r="K573" s="14">
        <f>IF(OR($I573="USO_NO_ENERGETICO_APARENTE",$I573="USO_ENERGETICO_INTERNO_APARENTE"),ROUND(SUMIFS($K$2:$K$618,$B$2:$B$618,$B573,$C$2:$C$618,$C573,$D$2:$D$618,"Energy products",$E$2:$E$618,"Supply",$G$2:$G$618,"&lt;&gt;STAT")-SUMIFS($K$2:$K$618,$B$2:$B$618,$B573,$C$2:$C$618,$C573,$D$2:$D$618,"Energy products",$E$2:$E$618,"Use",$G$2:$G$618,"&lt;&gt;STAT",$I$2:$I$618,"&lt;&gt;USO_NO_ENERGETICO_APARENTE",$I$2:$I$618,"&lt;&gt;USO_ENERGETICO_INTERNO_APARENTE"),10),IF(LEFT($H573,5)="STAT_",ROUND(SUMIFS($K$2:$K$618,$B$2:$B$618,$B573,$C$2:$C$618,$C573,$D$2:$D$618,"Energy products",$E$2:$E$618,"Supply",$G$2:$G$618,"&lt;&gt;STAT")-SUMIFS($K$2:$K$618,$B$2:$B$618,$B573,$C$2:$C$618,$C573,$D$2:$D$618,"Energy products",$E$2:$E$618,"Use",$G$2:$G$618,"&lt;&gt;STAT"),10),IF($J573="cambio de signo",-INDEX(DATOS_MODELO!$U$2:$U$3672,MATCH($H573,DATOS_MODELO!$B$2:$B$3672,0)),IF($J573="valor absoluto",ABS(INDEX(DATOS_MODELO!$U$2:$U$3672,MATCH($H573,DATOS_MODELO!$B$2:$B$3672,0))),INDEX(DATOS_MODELO!$U$2:$U$3672,MATCH($H573,DATOS_MODELO!$B$2:$B$3672,0))))))</f>
        <v>9001.0844</v>
      </c>
      <c r="L573" s="8" t="str">
        <f aca="false">IF(LEFT($H573,5)&lt;&gt;"STAT_","",IF(ABS($K573)&lt;=COUNTIFS($B$2:$B$618,$B573,$C$2:$C$618,$C573,$D$2:$D$618,"Energy products",$G$2:$G$618,"&lt;&gt;STAT")*PARAMETROS!$B$6,"redondeo","residuo_estadistico"))</f>
        <v/>
      </c>
      <c r="M573" s="8" t="str">
        <f>IF(OR($I573="USO_NO_ENERGETICO_APARENTE",$I573="USO_ENERGETICO_INTERNO_APARENTE"),"CAL",IF(LEFT($H573,5)="STAT_","FORMULA",IF(COUNTIF(DATOS_MODELO!$B$2:$B$3672,$H573)=1,"OK","REVISAR")))</f>
        <v>OK</v>
      </c>
    </row>
    <row r="574" customFormat="false" ht="15" hidden="false" customHeight="false" outlineLevel="0" collapsed="false">
      <c r="A574" s="4" t="s">
        <v>3241</v>
      </c>
      <c r="B574" s="12" t="n">
        <v>2018</v>
      </c>
      <c r="C574" s="4" t="s">
        <v>99</v>
      </c>
      <c r="D574" s="4" t="s">
        <v>1993</v>
      </c>
      <c r="E574" s="4" t="s">
        <v>1994</v>
      </c>
      <c r="F574" s="4" t="s">
        <v>1995</v>
      </c>
      <c r="G574" s="4" t="s">
        <v>67</v>
      </c>
      <c r="H574" s="4" t="s">
        <v>336</v>
      </c>
      <c r="I574" s="4" t="s">
        <v>2003</v>
      </c>
      <c r="J574" s="4" t="s">
        <v>1997</v>
      </c>
      <c r="K574" s="14">
        <f>IF(OR($I574="USO_NO_ENERGETICO_APARENTE",$I574="USO_ENERGETICO_INTERNO_APARENTE"),ROUND(SUMIFS($K$2:$K$618,$B$2:$B$618,$B574,$C$2:$C$618,$C574,$D$2:$D$618,"Energy products",$E$2:$E$618,"Supply",$G$2:$G$618,"&lt;&gt;STAT")-SUMIFS($K$2:$K$618,$B$2:$B$618,$B574,$C$2:$C$618,$C574,$D$2:$D$618,"Energy products",$E$2:$E$618,"Use",$G$2:$G$618,"&lt;&gt;STAT",$I$2:$I$618,"&lt;&gt;USO_NO_ENERGETICO_APARENTE",$I$2:$I$618,"&lt;&gt;USO_ENERGETICO_INTERNO_APARENTE"),10),IF(LEFT($H574,5)="STAT_",ROUND(SUMIFS($K$2:$K$618,$B$2:$B$618,$B574,$C$2:$C$618,$C574,$D$2:$D$618,"Energy products",$E$2:$E$618,"Supply",$G$2:$G$618,"&lt;&gt;STAT")-SUMIFS($K$2:$K$618,$B$2:$B$618,$B574,$C$2:$C$618,$C574,$D$2:$D$618,"Energy products",$E$2:$E$618,"Use",$G$2:$G$618,"&lt;&gt;STAT"),10),IF($J574="cambio de signo",-INDEX(DATOS_MODELO!$U$2:$U$3672,MATCH($H574,DATOS_MODELO!$B$2:$B$3672,0)),IF($J574="valor absoluto",ABS(INDEX(DATOS_MODELO!$U$2:$U$3672,MATCH($H574,DATOS_MODELO!$B$2:$B$3672,0))),INDEX(DATOS_MODELO!$U$2:$U$3672,MATCH($H574,DATOS_MODELO!$B$2:$B$3672,0))))))</f>
        <v>47093.5941</v>
      </c>
      <c r="L574" s="8" t="str">
        <f aca="false">IF(LEFT($H574,5)&lt;&gt;"STAT_","",IF(ABS($K574)&lt;=COUNTIFS($B$2:$B$618,$B574,$C$2:$C$618,$C574,$D$2:$D$618,"Energy products",$G$2:$G$618,"&lt;&gt;STAT")*PARAMETROS!$B$6,"redondeo","residuo_estadistico"))</f>
        <v/>
      </c>
      <c r="M574" s="8" t="str">
        <f>IF(OR($I574="USO_NO_ENERGETICO_APARENTE",$I574="USO_ENERGETICO_INTERNO_APARENTE"),"CAL",IF(LEFT($H574,5)="STAT_","FORMULA",IF(COUNTIF(DATOS_MODELO!$B$2:$B$3672,$H574)=1,"OK","REVISAR")))</f>
        <v>OK</v>
      </c>
    </row>
    <row r="575" customFormat="false" ht="15" hidden="false" customHeight="false" outlineLevel="0" collapsed="false">
      <c r="A575" s="4" t="s">
        <v>3243</v>
      </c>
      <c r="B575" s="12" t="n">
        <v>2018</v>
      </c>
      <c r="C575" s="4" t="s">
        <v>99</v>
      </c>
      <c r="D575" s="4" t="s">
        <v>1993</v>
      </c>
      <c r="E575" s="4" t="s">
        <v>1994</v>
      </c>
      <c r="F575" s="4" t="s">
        <v>1995</v>
      </c>
      <c r="G575" s="4" t="s">
        <v>67</v>
      </c>
      <c r="H575" s="4" t="s">
        <v>337</v>
      </c>
      <c r="I575" s="4" t="s">
        <v>2008</v>
      </c>
      <c r="J575" s="4" t="s">
        <v>1997</v>
      </c>
      <c r="K575" s="14">
        <f>IF(OR($I575="USO_NO_ENERGETICO_APARENTE",$I575="USO_ENERGETICO_INTERNO_APARENTE"),ROUND(SUMIFS($K$2:$K$618,$B$2:$B$618,$B575,$C$2:$C$618,$C575,$D$2:$D$618,"Energy products",$E$2:$E$618,"Supply",$G$2:$G$618,"&lt;&gt;STAT")-SUMIFS($K$2:$K$618,$B$2:$B$618,$B575,$C$2:$C$618,$C575,$D$2:$D$618,"Energy products",$E$2:$E$618,"Use",$G$2:$G$618,"&lt;&gt;STAT",$I$2:$I$618,"&lt;&gt;USO_NO_ENERGETICO_APARENTE",$I$2:$I$618,"&lt;&gt;USO_ENERGETICO_INTERNO_APARENTE"),10),IF(LEFT($H575,5)="STAT_",ROUND(SUMIFS($K$2:$K$618,$B$2:$B$618,$B575,$C$2:$C$618,$C575,$D$2:$D$618,"Energy products",$E$2:$E$618,"Supply",$G$2:$G$618,"&lt;&gt;STAT")-SUMIFS($K$2:$K$618,$B$2:$B$618,$B575,$C$2:$C$618,$C575,$D$2:$D$618,"Energy products",$E$2:$E$618,"Use",$G$2:$G$618,"&lt;&gt;STAT"),10),IF($J575="cambio de signo",-INDEX(DATOS_MODELO!$U$2:$U$3672,MATCH($H575,DATOS_MODELO!$B$2:$B$3672,0)),IF($J575="valor absoluto",ABS(INDEX(DATOS_MODELO!$U$2:$U$3672,MATCH($H575,DATOS_MODELO!$B$2:$B$3672,0))),INDEX(DATOS_MODELO!$U$2:$U$3672,MATCH($H575,DATOS_MODELO!$B$2:$B$3672,0))))))</f>
        <v>3763.718</v>
      </c>
      <c r="L575" s="8" t="str">
        <f aca="false">IF(LEFT($H575,5)&lt;&gt;"STAT_","",IF(ABS($K575)&lt;=COUNTIFS($B$2:$B$618,$B575,$C$2:$C$618,$C575,$D$2:$D$618,"Energy products",$G$2:$G$618,"&lt;&gt;STAT")*PARAMETROS!$B$6,"redondeo","residuo_estadistico"))</f>
        <v/>
      </c>
      <c r="M575" s="8" t="str">
        <f>IF(OR($I575="USO_NO_ENERGETICO_APARENTE",$I575="USO_ENERGETICO_INTERNO_APARENTE"),"CAL",IF(LEFT($H575,5)="STAT_","FORMULA",IF(COUNTIF(DATOS_MODELO!$B$2:$B$3672,$H575)=1,"OK","REVISAR")))</f>
        <v>OK</v>
      </c>
    </row>
    <row r="576" customFormat="false" ht="15" hidden="false" customHeight="false" outlineLevel="0" collapsed="false">
      <c r="A576" s="4" t="s">
        <v>3245</v>
      </c>
      <c r="B576" s="12" t="n">
        <v>2018</v>
      </c>
      <c r="C576" s="4" t="s">
        <v>99</v>
      </c>
      <c r="D576" s="4" t="s">
        <v>1993</v>
      </c>
      <c r="E576" s="4" t="s">
        <v>2001</v>
      </c>
      <c r="F576" s="4" t="s">
        <v>2002</v>
      </c>
      <c r="G576" s="4" t="s">
        <v>67</v>
      </c>
      <c r="H576" s="4" t="s">
        <v>338</v>
      </c>
      <c r="I576" s="4" t="s">
        <v>2139</v>
      </c>
      <c r="J576" s="4" t="s">
        <v>1997</v>
      </c>
      <c r="K576" s="14">
        <f>IF(OR($I576="USO_NO_ENERGETICO_APARENTE",$I576="USO_ENERGETICO_INTERNO_APARENTE"),ROUND(SUMIFS($K$2:$K$618,$B$2:$B$618,$B576,$C$2:$C$618,$C576,$D$2:$D$618,"Energy products",$E$2:$E$618,"Supply",$G$2:$G$618,"&lt;&gt;STAT")-SUMIFS($K$2:$K$618,$B$2:$B$618,$B576,$C$2:$C$618,$C576,$D$2:$D$618,"Energy products",$E$2:$E$618,"Use",$G$2:$G$618,"&lt;&gt;STAT",$I$2:$I$618,"&lt;&gt;USO_NO_ENERGETICO_APARENTE",$I$2:$I$618,"&lt;&gt;USO_ENERGETICO_INTERNO_APARENTE"),10),IF(LEFT($H576,5)="STAT_",ROUND(SUMIFS($K$2:$K$618,$B$2:$B$618,$B576,$C$2:$C$618,$C576,$D$2:$D$618,"Energy products",$E$2:$E$618,"Supply",$G$2:$G$618,"&lt;&gt;STAT")-SUMIFS($K$2:$K$618,$B$2:$B$618,$B576,$C$2:$C$618,$C576,$D$2:$D$618,"Energy products",$E$2:$E$618,"Use",$G$2:$G$618,"&lt;&gt;STAT"),10),IF($J576="cambio de signo",-INDEX(DATOS_MODELO!$U$2:$U$3672,MATCH($H576,DATOS_MODELO!$B$2:$B$3672,0)),IF($J576="valor absoluto",ABS(INDEX(DATOS_MODELO!$U$2:$U$3672,MATCH($H576,DATOS_MODELO!$B$2:$B$3672,0))),INDEX(DATOS_MODELO!$U$2:$U$3672,MATCH($H576,DATOS_MODELO!$B$2:$B$3672,0))))))</f>
        <v>2788.9162</v>
      </c>
      <c r="L576" s="8" t="str">
        <f aca="false">IF(LEFT($H576,5)&lt;&gt;"STAT_","",IF(ABS($K576)&lt;=COUNTIFS($B$2:$B$618,$B576,$C$2:$C$618,$C576,$D$2:$D$618,"Energy products",$G$2:$G$618,"&lt;&gt;STAT")*PARAMETROS!$B$6,"redondeo","residuo_estadistico"))</f>
        <v/>
      </c>
      <c r="M576" s="8" t="str">
        <f>IF(OR($I576="USO_NO_ENERGETICO_APARENTE",$I576="USO_ENERGETICO_INTERNO_APARENTE"),"CAL",IF(LEFT($H576,5)="STAT_","FORMULA",IF(COUNTIF(DATOS_MODELO!$B$2:$B$3672,$H576)=1,"OK","REVISAR")))</f>
        <v>OK</v>
      </c>
    </row>
    <row r="577" customFormat="false" ht="15" hidden="false" customHeight="false" outlineLevel="0" collapsed="false">
      <c r="A577" s="4" t="s">
        <v>3247</v>
      </c>
      <c r="B577" s="12" t="n">
        <v>2018</v>
      </c>
      <c r="C577" s="4" t="s">
        <v>99</v>
      </c>
      <c r="D577" s="4" t="s">
        <v>1993</v>
      </c>
      <c r="E577" s="4" t="s">
        <v>2001</v>
      </c>
      <c r="F577" s="4" t="s">
        <v>2074</v>
      </c>
      <c r="G577" s="4" t="s">
        <v>73</v>
      </c>
      <c r="H577" s="4" t="s">
        <v>340</v>
      </c>
      <c r="I577" s="4" t="s">
        <v>2075</v>
      </c>
      <c r="J577" s="4" t="s">
        <v>1997</v>
      </c>
      <c r="K577" s="14">
        <f>IF(OR($I577="USO_NO_ENERGETICO_APARENTE",$I577="USO_ENERGETICO_INTERNO_APARENTE"),ROUND(SUMIFS($K$2:$K$618,$B$2:$B$618,$B577,$C$2:$C$618,$C577,$D$2:$D$618,"Energy products",$E$2:$E$618,"Supply",$G$2:$G$618,"&lt;&gt;STAT")-SUMIFS($K$2:$K$618,$B$2:$B$618,$B577,$C$2:$C$618,$C577,$D$2:$D$618,"Energy products",$E$2:$E$618,"Use",$G$2:$G$618,"&lt;&gt;STAT",$I$2:$I$618,"&lt;&gt;USO_NO_ENERGETICO_APARENTE",$I$2:$I$618,"&lt;&gt;USO_ENERGETICO_INTERNO_APARENTE"),10),IF(LEFT($H577,5)="STAT_",ROUND(SUMIFS($K$2:$K$618,$B$2:$B$618,$B577,$C$2:$C$618,$C577,$D$2:$D$618,"Energy products",$E$2:$E$618,"Supply",$G$2:$G$618,"&lt;&gt;STAT")-SUMIFS($K$2:$K$618,$B$2:$B$618,$B577,$C$2:$C$618,$C577,$D$2:$D$618,"Energy products",$E$2:$E$618,"Use",$G$2:$G$618,"&lt;&gt;STAT"),10),IF($J577="cambio de signo",-INDEX(DATOS_MODELO!$U$2:$U$3672,MATCH($H577,DATOS_MODELO!$B$2:$B$3672,0)),IF($J577="valor absoluto",ABS(INDEX(DATOS_MODELO!$U$2:$U$3672,MATCH($H577,DATOS_MODELO!$B$2:$B$3672,0))),INDEX(DATOS_MODELO!$U$2:$U$3672,MATCH($H577,DATOS_MODELO!$B$2:$B$3672,0))))))</f>
        <v>13215.6584</v>
      </c>
      <c r="L577" s="8" t="str">
        <f aca="false">IF(LEFT($H577,5)&lt;&gt;"STAT_","",IF(ABS($K577)&lt;=COUNTIFS($B$2:$B$618,$B577,$C$2:$C$618,$C577,$D$2:$D$618,"Energy products",$G$2:$G$618,"&lt;&gt;STAT")*PARAMETROS!$B$6,"redondeo","residuo_estadistico"))</f>
        <v/>
      </c>
      <c r="M577" s="8" t="str">
        <f>IF(OR($I577="USO_NO_ENERGETICO_APARENTE",$I577="USO_ENERGETICO_INTERNO_APARENTE"),"CAL",IF(LEFT($H577,5)="STAT_","FORMULA",IF(COUNTIF(DATOS_MODELO!$B$2:$B$3672,$H577)=1,"OK","REVISAR")))</f>
        <v>OK</v>
      </c>
    </row>
    <row r="578" customFormat="false" ht="15" hidden="false" customHeight="false" outlineLevel="0" collapsed="false">
      <c r="A578" s="4" t="s">
        <v>3249</v>
      </c>
      <c r="B578" s="12" t="n">
        <v>2018</v>
      </c>
      <c r="C578" s="4" t="s">
        <v>99</v>
      </c>
      <c r="D578" s="4" t="s">
        <v>1993</v>
      </c>
      <c r="E578" s="4" t="s">
        <v>2001</v>
      </c>
      <c r="F578" s="4" t="s">
        <v>2002</v>
      </c>
      <c r="G578" s="4" t="s">
        <v>72</v>
      </c>
      <c r="H578" s="4" t="s">
        <v>341</v>
      </c>
      <c r="I578" s="4" t="s">
        <v>2079</v>
      </c>
      <c r="J578" s="4" t="s">
        <v>1997</v>
      </c>
      <c r="K578" s="14">
        <f>IF(OR($I578="USO_NO_ENERGETICO_APARENTE",$I578="USO_ENERGETICO_INTERNO_APARENTE"),ROUND(SUMIFS($K$2:$K$618,$B$2:$B$618,$B578,$C$2:$C$618,$C578,$D$2:$D$618,"Energy products",$E$2:$E$618,"Supply",$G$2:$G$618,"&lt;&gt;STAT")-SUMIFS($K$2:$K$618,$B$2:$B$618,$B578,$C$2:$C$618,$C578,$D$2:$D$618,"Energy products",$E$2:$E$618,"Use",$G$2:$G$618,"&lt;&gt;STAT",$I$2:$I$618,"&lt;&gt;USO_NO_ENERGETICO_APARENTE",$I$2:$I$618,"&lt;&gt;USO_ENERGETICO_INTERNO_APARENTE"),10),IF(LEFT($H578,5)="STAT_",ROUND(SUMIFS($K$2:$K$618,$B$2:$B$618,$B578,$C$2:$C$618,$C578,$D$2:$D$618,"Energy products",$E$2:$E$618,"Supply",$G$2:$G$618,"&lt;&gt;STAT")-SUMIFS($K$2:$K$618,$B$2:$B$618,$B578,$C$2:$C$618,$C578,$D$2:$D$618,"Energy products",$E$2:$E$618,"Use",$G$2:$G$618,"&lt;&gt;STAT"),10),IF($J578="cambio de signo",-INDEX(DATOS_MODELO!$U$2:$U$3672,MATCH($H578,DATOS_MODELO!$B$2:$B$3672,0)),IF($J578="valor absoluto",ABS(INDEX(DATOS_MODELO!$U$2:$U$3672,MATCH($H578,DATOS_MODELO!$B$2:$B$3672,0))),INDEX(DATOS_MODELO!$U$2:$U$3672,MATCH($H578,DATOS_MODELO!$B$2:$B$3672,0))))))</f>
        <v>10273.0096</v>
      </c>
      <c r="L578" s="8" t="str">
        <f aca="false">IF(LEFT($H578,5)&lt;&gt;"STAT_","",IF(ABS($K578)&lt;=COUNTIFS($B$2:$B$618,$B578,$C$2:$C$618,$C578,$D$2:$D$618,"Energy products",$G$2:$G$618,"&lt;&gt;STAT")*PARAMETROS!$B$6,"redondeo","residuo_estadistico"))</f>
        <v/>
      </c>
      <c r="M578" s="8" t="str">
        <f>IF(OR($I578="USO_NO_ENERGETICO_APARENTE",$I578="USO_ENERGETICO_INTERNO_APARENTE"),"CAL",IF(LEFT($H578,5)="STAT_","FORMULA",IF(COUNTIF(DATOS_MODELO!$B$2:$B$3672,$H578)=1,"OK","REVISAR")))</f>
        <v>OK</v>
      </c>
    </row>
    <row r="579" customFormat="false" ht="15" hidden="false" customHeight="false" outlineLevel="0" collapsed="false">
      <c r="A579" s="4" t="s">
        <v>3251</v>
      </c>
      <c r="B579" s="12" t="n">
        <v>2018</v>
      </c>
      <c r="C579" s="4" t="s">
        <v>99</v>
      </c>
      <c r="D579" s="4" t="s">
        <v>1993</v>
      </c>
      <c r="E579" s="4" t="s">
        <v>2001</v>
      </c>
      <c r="F579" s="4" t="s">
        <v>2002</v>
      </c>
      <c r="G579" s="4" t="s">
        <v>68</v>
      </c>
      <c r="H579" s="4" t="s">
        <v>342</v>
      </c>
      <c r="I579" s="4" t="s">
        <v>2111</v>
      </c>
      <c r="J579" s="4" t="s">
        <v>1997</v>
      </c>
      <c r="K579" s="14">
        <f>IF(OR($I579="USO_NO_ENERGETICO_APARENTE",$I579="USO_ENERGETICO_INTERNO_APARENTE"),ROUND(SUMIFS($K$2:$K$618,$B$2:$B$618,$B579,$C$2:$C$618,$C579,$D$2:$D$618,"Energy products",$E$2:$E$618,"Supply",$G$2:$G$618,"&lt;&gt;STAT")-SUMIFS($K$2:$K$618,$B$2:$B$618,$B579,$C$2:$C$618,$C579,$D$2:$D$618,"Energy products",$E$2:$E$618,"Use",$G$2:$G$618,"&lt;&gt;STAT",$I$2:$I$618,"&lt;&gt;USO_NO_ENERGETICO_APARENTE",$I$2:$I$618,"&lt;&gt;USO_ENERGETICO_INTERNO_APARENTE"),10),IF(LEFT($H579,5)="STAT_",ROUND(SUMIFS($K$2:$K$618,$B$2:$B$618,$B579,$C$2:$C$618,$C579,$D$2:$D$618,"Energy products",$E$2:$E$618,"Supply",$G$2:$G$618,"&lt;&gt;STAT")-SUMIFS($K$2:$K$618,$B$2:$B$618,$B579,$C$2:$C$618,$C579,$D$2:$D$618,"Energy products",$E$2:$E$618,"Use",$G$2:$G$618,"&lt;&gt;STAT"),10),IF($J579="cambio de signo",-INDEX(DATOS_MODELO!$U$2:$U$3672,MATCH($H579,DATOS_MODELO!$B$2:$B$3672,0)),IF($J579="valor absoluto",ABS(INDEX(DATOS_MODELO!$U$2:$U$3672,MATCH($H579,DATOS_MODELO!$B$2:$B$3672,0))),INDEX(DATOS_MODELO!$U$2:$U$3672,MATCH($H579,DATOS_MODELO!$B$2:$B$3672,0))))))</f>
        <v>13303.157</v>
      </c>
      <c r="L579" s="8" t="str">
        <f aca="false">IF(LEFT($H579,5)&lt;&gt;"STAT_","",IF(ABS($K579)&lt;=COUNTIFS($B$2:$B$618,$B579,$C$2:$C$618,$C579,$D$2:$D$618,"Energy products",$G$2:$G$618,"&lt;&gt;STAT")*PARAMETROS!$B$6,"redondeo","residuo_estadistico"))</f>
        <v/>
      </c>
      <c r="M579" s="8" t="str">
        <f>IF(OR($I579="USO_NO_ENERGETICO_APARENTE",$I579="USO_ENERGETICO_INTERNO_APARENTE"),"CAL",IF(LEFT($H579,5)="STAT_","FORMULA",IF(COUNTIF(DATOS_MODELO!$B$2:$B$3672,$H579)=1,"OK","REVISAR")))</f>
        <v>OK</v>
      </c>
    </row>
    <row r="580" customFormat="false" ht="15" hidden="false" customHeight="false" outlineLevel="0" collapsed="false">
      <c r="A580" s="4" t="s">
        <v>3253</v>
      </c>
      <c r="B580" s="12" t="n">
        <v>2018</v>
      </c>
      <c r="C580" s="4" t="s">
        <v>99</v>
      </c>
      <c r="D580" s="4" t="s">
        <v>1993</v>
      </c>
      <c r="E580" s="4" t="s">
        <v>2001</v>
      </c>
      <c r="F580" s="4" t="s">
        <v>2002</v>
      </c>
      <c r="G580" s="4" t="s">
        <v>67</v>
      </c>
      <c r="H580" s="4" t="s">
        <v>344</v>
      </c>
      <c r="I580" s="4" t="s">
        <v>2151</v>
      </c>
      <c r="J580" s="4" t="s">
        <v>1997</v>
      </c>
      <c r="K580" s="14">
        <f>IF(OR($I580="USO_NO_ENERGETICO_APARENTE",$I580="USO_ENERGETICO_INTERNO_APARENTE"),ROUND(SUMIFS($K$2:$K$618,$B$2:$B$618,$B580,$C$2:$C$618,$C580,$D$2:$D$618,"Energy products",$E$2:$E$618,"Supply",$G$2:$G$618,"&lt;&gt;STAT")-SUMIFS($K$2:$K$618,$B$2:$B$618,$B580,$C$2:$C$618,$C580,$D$2:$D$618,"Energy products",$E$2:$E$618,"Use",$G$2:$G$618,"&lt;&gt;STAT",$I$2:$I$618,"&lt;&gt;USO_NO_ENERGETICO_APARENTE",$I$2:$I$618,"&lt;&gt;USO_ENERGETICO_INTERNO_APARENTE"),10),IF(LEFT($H580,5)="STAT_",ROUND(SUMIFS($K$2:$K$618,$B$2:$B$618,$B580,$C$2:$C$618,$C580,$D$2:$D$618,"Energy products",$E$2:$E$618,"Supply",$G$2:$G$618,"&lt;&gt;STAT")-SUMIFS($K$2:$K$618,$B$2:$B$618,$B580,$C$2:$C$618,$C580,$D$2:$D$618,"Energy products",$E$2:$E$618,"Use",$G$2:$G$618,"&lt;&gt;STAT"),10),IF($J580="cambio de signo",-INDEX(DATOS_MODELO!$U$2:$U$3672,MATCH($H580,DATOS_MODELO!$B$2:$B$3672,0)),IF($J580="valor absoluto",ABS(INDEX(DATOS_MODELO!$U$2:$U$3672,MATCH($H580,DATOS_MODELO!$B$2:$B$3672,0))),INDEX(DATOS_MODELO!$U$2:$U$3672,MATCH($H580,DATOS_MODELO!$B$2:$B$3672,0))))))</f>
        <v>5247.9987</v>
      </c>
      <c r="L580" s="8" t="str">
        <f aca="false">IF(LEFT($H580,5)&lt;&gt;"STAT_","",IF(ABS($K580)&lt;=COUNTIFS($B$2:$B$618,$B580,$C$2:$C$618,$C580,$D$2:$D$618,"Energy products",$G$2:$G$618,"&lt;&gt;STAT")*PARAMETROS!$B$6,"redondeo","residuo_estadistico"))</f>
        <v/>
      </c>
      <c r="M580" s="8" t="str">
        <f>IF(OR($I580="USO_NO_ENERGETICO_APARENTE",$I580="USO_ENERGETICO_INTERNO_APARENTE"),"CAL",IF(LEFT($H580,5)="STAT_","FORMULA",IF(COUNTIF(DATOS_MODELO!$B$2:$B$3672,$H580)=1,"OK","REVISAR")))</f>
        <v>OK</v>
      </c>
    </row>
    <row r="581" customFormat="false" ht="15" hidden="false" customHeight="false" outlineLevel="0" collapsed="false">
      <c r="A581" s="4" t="s">
        <v>3255</v>
      </c>
      <c r="B581" s="12" t="n">
        <v>2018</v>
      </c>
      <c r="C581" s="4" t="s">
        <v>99</v>
      </c>
      <c r="D581" s="4" t="s">
        <v>2155</v>
      </c>
      <c r="E581" s="4" t="s">
        <v>1994</v>
      </c>
      <c r="F581" s="4" t="s">
        <v>2156</v>
      </c>
      <c r="G581" s="4" t="s">
        <v>67</v>
      </c>
      <c r="H581" s="4" t="s">
        <v>344</v>
      </c>
      <c r="I581" s="4" t="s">
        <v>2151</v>
      </c>
      <c r="J581" s="4" t="s">
        <v>1997</v>
      </c>
      <c r="K581" s="14">
        <f>IF(OR($I581="USO_NO_ENERGETICO_APARENTE",$I581="USO_ENERGETICO_INTERNO_APARENTE"),ROUND(SUMIFS($K$2:$K$618,$B$2:$B$618,$B581,$C$2:$C$618,$C581,$D$2:$D$618,"Energy products",$E$2:$E$618,"Supply",$G$2:$G$618,"&lt;&gt;STAT")-SUMIFS($K$2:$K$618,$B$2:$B$618,$B581,$C$2:$C$618,$C581,$D$2:$D$618,"Energy products",$E$2:$E$618,"Use",$G$2:$G$618,"&lt;&gt;STAT",$I$2:$I$618,"&lt;&gt;USO_NO_ENERGETICO_APARENTE",$I$2:$I$618,"&lt;&gt;USO_ENERGETICO_INTERNO_APARENTE"),10),IF(LEFT($H581,5)="STAT_",ROUND(SUMIFS($K$2:$K$618,$B$2:$B$618,$B581,$C$2:$C$618,$C581,$D$2:$D$618,"Energy products",$E$2:$E$618,"Supply",$G$2:$G$618,"&lt;&gt;STAT")-SUMIFS($K$2:$K$618,$B$2:$B$618,$B581,$C$2:$C$618,$C581,$D$2:$D$618,"Energy products",$E$2:$E$618,"Use",$G$2:$G$618,"&lt;&gt;STAT"),10),IF($J581="cambio de signo",-INDEX(DATOS_MODELO!$U$2:$U$3672,MATCH($H581,DATOS_MODELO!$B$2:$B$3672,0)),IF($J581="valor absoluto",ABS(INDEX(DATOS_MODELO!$U$2:$U$3672,MATCH($H581,DATOS_MODELO!$B$2:$B$3672,0))),INDEX(DATOS_MODELO!$U$2:$U$3672,MATCH($H581,DATOS_MODELO!$B$2:$B$3672,0))))))</f>
        <v>5247.9987</v>
      </c>
      <c r="L581" s="8" t="str">
        <f aca="false">IF(LEFT($H581,5)&lt;&gt;"STAT_","",IF(ABS($K581)&lt;=COUNTIFS($B$2:$B$618,$B581,$C$2:$C$618,$C581,$D$2:$D$618,"Energy products",$G$2:$G$618,"&lt;&gt;STAT")*PARAMETROS!$B$6,"redondeo","residuo_estadistico"))</f>
        <v/>
      </c>
      <c r="M581" s="8" t="str">
        <f>IF(OR($I581="USO_NO_ENERGETICO_APARENTE",$I581="USO_ENERGETICO_INTERNO_APARENTE"),"CAL",IF(LEFT($H581,5)="STAT_","FORMULA",IF(COUNTIF(DATOS_MODELO!$B$2:$B$3672,$H581)=1,"OK","REVISAR")))</f>
        <v>OK</v>
      </c>
    </row>
    <row r="582" customFormat="false" ht="15" hidden="false" customHeight="false" outlineLevel="0" collapsed="false">
      <c r="A582" s="4" t="s">
        <v>3257</v>
      </c>
      <c r="B582" s="12" t="n">
        <v>2018</v>
      </c>
      <c r="C582" s="4" t="s">
        <v>99</v>
      </c>
      <c r="D582" s="4" t="s">
        <v>2155</v>
      </c>
      <c r="E582" s="4" t="s">
        <v>2001</v>
      </c>
      <c r="F582" s="4" t="s">
        <v>2160</v>
      </c>
      <c r="G582" s="4" t="s">
        <v>64</v>
      </c>
      <c r="H582" s="4" t="s">
        <v>344</v>
      </c>
      <c r="I582" s="4" t="s">
        <v>2151</v>
      </c>
      <c r="J582" s="4" t="s">
        <v>1997</v>
      </c>
      <c r="K582" s="14">
        <f>IF(OR($I582="USO_NO_ENERGETICO_APARENTE",$I582="USO_ENERGETICO_INTERNO_APARENTE"),ROUND(SUMIFS($K$2:$K$618,$B$2:$B$618,$B582,$C$2:$C$618,$C582,$D$2:$D$618,"Energy products",$E$2:$E$618,"Supply",$G$2:$G$618,"&lt;&gt;STAT")-SUMIFS($K$2:$K$618,$B$2:$B$618,$B582,$C$2:$C$618,$C582,$D$2:$D$618,"Energy products",$E$2:$E$618,"Use",$G$2:$G$618,"&lt;&gt;STAT",$I$2:$I$618,"&lt;&gt;USO_NO_ENERGETICO_APARENTE",$I$2:$I$618,"&lt;&gt;USO_ENERGETICO_INTERNO_APARENTE"),10),IF(LEFT($H582,5)="STAT_",ROUND(SUMIFS($K$2:$K$618,$B$2:$B$618,$B582,$C$2:$C$618,$C582,$D$2:$D$618,"Energy products",$E$2:$E$618,"Supply",$G$2:$G$618,"&lt;&gt;STAT")-SUMIFS($K$2:$K$618,$B$2:$B$618,$B582,$C$2:$C$618,$C582,$D$2:$D$618,"Energy products",$E$2:$E$618,"Use",$G$2:$G$618,"&lt;&gt;STAT"),10),IF($J582="cambio de signo",-INDEX(DATOS_MODELO!$U$2:$U$3672,MATCH($H582,DATOS_MODELO!$B$2:$B$3672,0)),IF($J582="valor absoluto",ABS(INDEX(DATOS_MODELO!$U$2:$U$3672,MATCH($H582,DATOS_MODELO!$B$2:$B$3672,0))),INDEX(DATOS_MODELO!$U$2:$U$3672,MATCH($H582,DATOS_MODELO!$B$2:$B$3672,0))))))</f>
        <v>5247.9987</v>
      </c>
      <c r="L582" s="8" t="str">
        <f aca="false">IF(LEFT($H582,5)&lt;&gt;"STAT_","",IF(ABS($K582)&lt;=COUNTIFS($B$2:$B$618,$B582,$C$2:$C$618,$C582,$D$2:$D$618,"Energy products",$G$2:$G$618,"&lt;&gt;STAT")*PARAMETROS!$B$6,"redondeo","residuo_estadistico"))</f>
        <v/>
      </c>
      <c r="M582" s="8" t="str">
        <f>IF(OR($I582="USO_NO_ENERGETICO_APARENTE",$I582="USO_ENERGETICO_INTERNO_APARENTE"),"CAL",IF(LEFT($H582,5)="STAT_","FORMULA",IF(COUNTIF(DATOS_MODELO!$B$2:$B$3672,$H582)=1,"OK","REVISAR")))</f>
        <v>OK</v>
      </c>
    </row>
    <row r="583" customFormat="false" ht="15" hidden="false" customHeight="false" outlineLevel="0" collapsed="false">
      <c r="A583" s="4" t="s">
        <v>3259</v>
      </c>
      <c r="B583" s="12" t="n">
        <v>2018</v>
      </c>
      <c r="C583" s="4" t="s">
        <v>101</v>
      </c>
      <c r="D583" s="4" t="s">
        <v>1993</v>
      </c>
      <c r="E583" s="4" t="s">
        <v>1994</v>
      </c>
      <c r="F583" s="4" t="s">
        <v>2029</v>
      </c>
      <c r="G583" s="4" t="s">
        <v>69</v>
      </c>
      <c r="H583" s="4" t="s">
        <v>346</v>
      </c>
      <c r="I583" s="4" t="s">
        <v>2030</v>
      </c>
      <c r="J583" s="4" t="s">
        <v>1997</v>
      </c>
      <c r="K583" s="14">
        <f>IF(OR($I583="USO_NO_ENERGETICO_APARENTE",$I583="USO_ENERGETICO_INTERNO_APARENTE"),ROUND(SUMIFS($K$2:$K$618,$B$2:$B$618,$B583,$C$2:$C$618,$C583,$D$2:$D$618,"Energy products",$E$2:$E$618,"Supply",$G$2:$G$618,"&lt;&gt;STAT")-SUMIFS($K$2:$K$618,$B$2:$B$618,$B583,$C$2:$C$618,$C583,$D$2:$D$618,"Energy products",$E$2:$E$618,"Use",$G$2:$G$618,"&lt;&gt;STAT",$I$2:$I$618,"&lt;&gt;USO_NO_ENERGETICO_APARENTE",$I$2:$I$618,"&lt;&gt;USO_ENERGETICO_INTERNO_APARENTE"),10),IF(LEFT($H583,5)="STAT_",ROUND(SUMIFS($K$2:$K$618,$B$2:$B$618,$B583,$C$2:$C$618,$C583,$D$2:$D$618,"Energy products",$E$2:$E$618,"Supply",$G$2:$G$618,"&lt;&gt;STAT")-SUMIFS($K$2:$K$618,$B$2:$B$618,$B583,$C$2:$C$618,$C583,$D$2:$D$618,"Energy products",$E$2:$E$618,"Use",$G$2:$G$618,"&lt;&gt;STAT"),10),IF($J583="cambio de signo",-INDEX(DATOS_MODELO!$U$2:$U$3672,MATCH($H583,DATOS_MODELO!$B$2:$B$3672,0)),IF($J583="valor absoluto",ABS(INDEX(DATOS_MODELO!$U$2:$U$3672,MATCH($H583,DATOS_MODELO!$B$2:$B$3672,0))),INDEX(DATOS_MODELO!$U$2:$U$3672,MATCH($H583,DATOS_MODELO!$B$2:$B$3672,0))))))</f>
        <v>9941.2005</v>
      </c>
      <c r="L583" s="8" t="str">
        <f aca="false">IF(LEFT($H583,5)&lt;&gt;"STAT_","",IF(ABS($K583)&lt;=COUNTIFS($B$2:$B$618,$B583,$C$2:$C$618,$C583,$D$2:$D$618,"Energy products",$G$2:$G$618,"&lt;&gt;STAT")*PARAMETROS!$B$6,"redondeo","residuo_estadistico"))</f>
        <v/>
      </c>
      <c r="M583" s="8" t="str">
        <f>IF(OR($I583="USO_NO_ENERGETICO_APARENTE",$I583="USO_ENERGETICO_INTERNO_APARENTE"),"CAL",IF(LEFT($H583,5)="STAT_","FORMULA",IF(COUNTIF(DATOS_MODELO!$B$2:$B$3672,$H583)=1,"OK","REVISAR")))</f>
        <v>OK</v>
      </c>
    </row>
    <row r="584" customFormat="false" ht="15" hidden="false" customHeight="false" outlineLevel="0" collapsed="false">
      <c r="A584" s="4" t="s">
        <v>3261</v>
      </c>
      <c r="B584" s="12" t="n">
        <v>2018</v>
      </c>
      <c r="C584" s="4" t="s">
        <v>101</v>
      </c>
      <c r="D584" s="4" t="s">
        <v>1993</v>
      </c>
      <c r="E584" s="4" t="s">
        <v>2001</v>
      </c>
      <c r="F584" s="4" t="s">
        <v>2091</v>
      </c>
      <c r="G584" s="4" t="s">
        <v>69</v>
      </c>
      <c r="H584" s="4" t="s">
        <v>347</v>
      </c>
      <c r="I584" s="4" t="s">
        <v>2030</v>
      </c>
      <c r="J584" s="4" t="s">
        <v>1997</v>
      </c>
      <c r="K584" s="14">
        <f>IF(OR($I584="USO_NO_ENERGETICO_APARENTE",$I584="USO_ENERGETICO_INTERNO_APARENTE"),ROUND(SUMIFS($K$2:$K$618,$B$2:$B$618,$B584,$C$2:$C$618,$C584,$D$2:$D$618,"Energy products",$E$2:$E$618,"Supply",$G$2:$G$618,"&lt;&gt;STAT")-SUMIFS($K$2:$K$618,$B$2:$B$618,$B584,$C$2:$C$618,$C584,$D$2:$D$618,"Energy products",$E$2:$E$618,"Use",$G$2:$G$618,"&lt;&gt;STAT",$I$2:$I$618,"&lt;&gt;USO_NO_ENERGETICO_APARENTE",$I$2:$I$618,"&lt;&gt;USO_ENERGETICO_INTERNO_APARENTE"),10),IF(LEFT($H584,5)="STAT_",ROUND(SUMIFS($K$2:$K$618,$B$2:$B$618,$B584,$C$2:$C$618,$C584,$D$2:$D$618,"Energy products",$E$2:$E$618,"Supply",$G$2:$G$618,"&lt;&gt;STAT")-SUMIFS($K$2:$K$618,$B$2:$B$618,$B584,$C$2:$C$618,$C584,$D$2:$D$618,"Energy products",$E$2:$E$618,"Use",$G$2:$G$618,"&lt;&gt;STAT"),10),IF($J584="cambio de signo",-INDEX(DATOS_MODELO!$U$2:$U$3672,MATCH($H584,DATOS_MODELO!$B$2:$B$3672,0)),IF($J584="valor absoluto",ABS(INDEX(DATOS_MODELO!$U$2:$U$3672,MATCH($H584,DATOS_MODELO!$B$2:$B$3672,0))),INDEX(DATOS_MODELO!$U$2:$U$3672,MATCH($H584,DATOS_MODELO!$B$2:$B$3672,0))))))</f>
        <v>374.164</v>
      </c>
      <c r="L584" s="8" t="str">
        <f aca="false">IF(LEFT($H584,5)&lt;&gt;"STAT_","",IF(ABS($K584)&lt;=COUNTIFS($B$2:$B$618,$B584,$C$2:$C$618,$C584,$D$2:$D$618,"Energy products",$G$2:$G$618,"&lt;&gt;STAT")*PARAMETROS!$B$6,"redondeo","residuo_estadistico"))</f>
        <v/>
      </c>
      <c r="M584" s="8" t="str">
        <f>IF(OR($I584="USO_NO_ENERGETICO_APARENTE",$I584="USO_ENERGETICO_INTERNO_APARENTE"),"CAL",IF(LEFT($H584,5)="STAT_","FORMULA",IF(COUNTIF(DATOS_MODELO!$B$2:$B$3672,$H584)=1,"OK","REVISAR")))</f>
        <v>OK</v>
      </c>
    </row>
    <row r="585" customFormat="false" ht="15" hidden="false" customHeight="false" outlineLevel="0" collapsed="false">
      <c r="A585" s="4" t="s">
        <v>3263</v>
      </c>
      <c r="B585" s="12" t="n">
        <v>2018</v>
      </c>
      <c r="C585" s="4" t="s">
        <v>101</v>
      </c>
      <c r="D585" s="4" t="s">
        <v>1993</v>
      </c>
      <c r="E585" s="4" t="s">
        <v>2001</v>
      </c>
      <c r="F585" s="4" t="s">
        <v>2034</v>
      </c>
      <c r="G585" s="4" t="s">
        <v>74</v>
      </c>
      <c r="H585" s="4" t="s">
        <v>348</v>
      </c>
      <c r="I585" s="4" t="s">
        <v>2035</v>
      </c>
      <c r="J585" s="4" t="s">
        <v>2036</v>
      </c>
      <c r="K585" s="14">
        <f>IF(OR($I585="USO_NO_ENERGETICO_APARENTE",$I585="USO_ENERGETICO_INTERNO_APARENTE"),ROUND(SUMIFS($K$2:$K$618,$B$2:$B$618,$B585,$C$2:$C$618,$C585,$D$2:$D$618,"Energy products",$E$2:$E$618,"Supply",$G$2:$G$618,"&lt;&gt;STAT")-SUMIFS($K$2:$K$618,$B$2:$B$618,$B585,$C$2:$C$618,$C585,$D$2:$D$618,"Energy products",$E$2:$E$618,"Use",$G$2:$G$618,"&lt;&gt;STAT",$I$2:$I$618,"&lt;&gt;USO_NO_ENERGETICO_APARENTE",$I$2:$I$618,"&lt;&gt;USO_ENERGETICO_INTERNO_APARENTE"),10),IF(LEFT($H585,5)="STAT_",ROUND(SUMIFS($K$2:$K$618,$B$2:$B$618,$B585,$C$2:$C$618,$C585,$D$2:$D$618,"Energy products",$E$2:$E$618,"Supply",$G$2:$G$618,"&lt;&gt;STAT")-SUMIFS($K$2:$K$618,$B$2:$B$618,$B585,$C$2:$C$618,$C585,$D$2:$D$618,"Energy products",$E$2:$E$618,"Use",$G$2:$G$618,"&lt;&gt;STAT"),10),IF($J585="cambio de signo",-INDEX(DATOS_MODELO!$U$2:$U$3672,MATCH($H585,DATOS_MODELO!$B$2:$B$3672,0)),IF($J585="valor absoluto",ABS(INDEX(DATOS_MODELO!$U$2:$U$3672,MATCH($H585,DATOS_MODELO!$B$2:$B$3672,0))),INDEX(DATOS_MODELO!$U$2:$U$3672,MATCH($H585,DATOS_MODELO!$B$2:$B$3672,0))))))</f>
        <v>-853.0823</v>
      </c>
      <c r="L585" s="8" t="str">
        <f aca="false">IF(LEFT($H585,5)&lt;&gt;"STAT_","",IF(ABS($K585)&lt;=COUNTIFS($B$2:$B$618,$B585,$C$2:$C$618,$C585,$D$2:$D$618,"Energy products",$G$2:$G$618,"&lt;&gt;STAT")*PARAMETROS!$B$6,"redondeo","residuo_estadistico"))</f>
        <v/>
      </c>
      <c r="M585" s="8" t="str">
        <f>IF(OR($I585="USO_NO_ENERGETICO_APARENTE",$I585="USO_ENERGETICO_INTERNO_APARENTE"),"CAL",IF(LEFT($H585,5)="STAT_","FORMULA",IF(COUNTIF(DATOS_MODELO!$B$2:$B$3672,$H585)=1,"OK","REVISAR")))</f>
        <v>OK</v>
      </c>
    </row>
    <row r="586" customFormat="false" ht="15" hidden="false" customHeight="false" outlineLevel="0" collapsed="false">
      <c r="A586" s="4" t="s">
        <v>3265</v>
      </c>
      <c r="B586" s="12" t="n">
        <v>2018</v>
      </c>
      <c r="C586" s="4" t="s">
        <v>101</v>
      </c>
      <c r="D586" s="4" t="s">
        <v>1993</v>
      </c>
      <c r="E586" s="4" t="s">
        <v>2001</v>
      </c>
      <c r="F586" s="4" t="s">
        <v>2002</v>
      </c>
      <c r="G586" s="4" t="s">
        <v>67</v>
      </c>
      <c r="H586" s="4" t="s">
        <v>350</v>
      </c>
      <c r="I586" s="4" t="s">
        <v>2003</v>
      </c>
      <c r="J586" s="4" t="s">
        <v>2004</v>
      </c>
      <c r="K586" s="14">
        <f>IF(OR($I586="USO_NO_ENERGETICO_APARENTE",$I586="USO_ENERGETICO_INTERNO_APARENTE"),ROUND(SUMIFS($K$2:$K$618,$B$2:$B$618,$B586,$C$2:$C$618,$C586,$D$2:$D$618,"Energy products",$E$2:$E$618,"Supply",$G$2:$G$618,"&lt;&gt;STAT")-SUMIFS($K$2:$K$618,$B$2:$B$618,$B586,$C$2:$C$618,$C586,$D$2:$D$618,"Energy products",$E$2:$E$618,"Use",$G$2:$G$618,"&lt;&gt;STAT",$I$2:$I$618,"&lt;&gt;USO_NO_ENERGETICO_APARENTE",$I$2:$I$618,"&lt;&gt;USO_ENERGETICO_INTERNO_APARENTE"),10),IF(LEFT($H586,5)="STAT_",ROUND(SUMIFS($K$2:$K$618,$B$2:$B$618,$B586,$C$2:$C$618,$C586,$D$2:$D$618,"Energy products",$E$2:$E$618,"Supply",$G$2:$G$618,"&lt;&gt;STAT")-SUMIFS($K$2:$K$618,$B$2:$B$618,$B586,$C$2:$C$618,$C586,$D$2:$D$618,"Energy products",$E$2:$E$618,"Use",$G$2:$G$618,"&lt;&gt;STAT"),10),IF($J586="cambio de signo",-INDEX(DATOS_MODELO!$U$2:$U$3672,MATCH($H586,DATOS_MODELO!$B$2:$B$3672,0)),IF($J586="valor absoluto",ABS(INDEX(DATOS_MODELO!$U$2:$U$3672,MATCH($H586,DATOS_MODELO!$B$2:$B$3672,0))),INDEX(DATOS_MODELO!$U$2:$U$3672,MATCH($H586,DATOS_MODELO!$B$2:$B$3672,0))))))</f>
        <v>3481.6425</v>
      </c>
      <c r="L586" s="8" t="str">
        <f aca="false">IF(LEFT($H586,5)&lt;&gt;"STAT_","",IF(ABS($K586)&lt;=COUNTIFS($B$2:$B$618,$B586,$C$2:$C$618,$C586,$D$2:$D$618,"Energy products",$G$2:$G$618,"&lt;&gt;STAT")*PARAMETROS!$B$6,"redondeo","residuo_estadistico"))</f>
        <v/>
      </c>
      <c r="M586" s="8" t="str">
        <f>IF(OR($I586="USO_NO_ENERGETICO_APARENTE",$I586="USO_ENERGETICO_INTERNO_APARENTE"),"CAL",IF(LEFT($H586,5)="STAT_","FORMULA",IF(COUNTIF(DATOS_MODELO!$B$2:$B$3672,$H586)=1,"OK","REVISAR")))</f>
        <v>OK</v>
      </c>
    </row>
    <row r="587" customFormat="false" ht="15" hidden="false" customHeight="false" outlineLevel="0" collapsed="false">
      <c r="A587" s="4" t="s">
        <v>3267</v>
      </c>
      <c r="B587" s="12" t="n">
        <v>2018</v>
      </c>
      <c r="C587" s="4" t="s">
        <v>101</v>
      </c>
      <c r="D587" s="4" t="s">
        <v>1993</v>
      </c>
      <c r="E587" s="4" t="s">
        <v>2001</v>
      </c>
      <c r="F587" s="4" t="s">
        <v>2002</v>
      </c>
      <c r="G587" s="4" t="s">
        <v>68</v>
      </c>
      <c r="H587" s="4" t="s">
        <v>356</v>
      </c>
      <c r="I587" s="4" t="s">
        <v>2111</v>
      </c>
      <c r="J587" s="4" t="s">
        <v>1997</v>
      </c>
      <c r="K587" s="14">
        <f>IF(OR($I587="USO_NO_ENERGETICO_APARENTE",$I587="USO_ENERGETICO_INTERNO_APARENTE"),ROUND(SUMIFS($K$2:$K$618,$B$2:$B$618,$B587,$C$2:$C$618,$C587,$D$2:$D$618,"Energy products",$E$2:$E$618,"Supply",$G$2:$G$618,"&lt;&gt;STAT")-SUMIFS($K$2:$K$618,$B$2:$B$618,$B587,$C$2:$C$618,$C587,$D$2:$D$618,"Energy products",$E$2:$E$618,"Use",$G$2:$G$618,"&lt;&gt;STAT",$I$2:$I$618,"&lt;&gt;USO_NO_ENERGETICO_APARENTE",$I$2:$I$618,"&lt;&gt;USO_ENERGETICO_INTERNO_APARENTE"),10),IF(LEFT($H587,5)="STAT_",ROUND(SUMIFS($K$2:$K$618,$B$2:$B$618,$B587,$C$2:$C$618,$C587,$D$2:$D$618,"Energy products",$E$2:$E$618,"Supply",$G$2:$G$618,"&lt;&gt;STAT")-SUMIFS($K$2:$K$618,$B$2:$B$618,$B587,$C$2:$C$618,$C587,$D$2:$D$618,"Energy products",$E$2:$E$618,"Use",$G$2:$G$618,"&lt;&gt;STAT"),10),IF($J587="cambio de signo",-INDEX(DATOS_MODELO!$U$2:$U$3672,MATCH($H587,DATOS_MODELO!$B$2:$B$3672,0)),IF($J587="valor absoluto",ABS(INDEX(DATOS_MODELO!$U$2:$U$3672,MATCH($H587,DATOS_MODELO!$B$2:$B$3672,0))),INDEX(DATOS_MODELO!$U$2:$U$3672,MATCH($H587,DATOS_MODELO!$B$2:$B$3672,0))))))</f>
        <v>6938.5344</v>
      </c>
      <c r="L587" s="8" t="str">
        <f aca="false">IF(LEFT($H587,5)&lt;&gt;"STAT_","",IF(ABS($K587)&lt;=COUNTIFS($B$2:$B$618,$B587,$C$2:$C$618,$C587,$D$2:$D$618,"Energy products",$G$2:$G$618,"&lt;&gt;STAT")*PARAMETROS!$B$6,"redondeo","residuo_estadistico"))</f>
        <v/>
      </c>
      <c r="M587" s="8" t="str">
        <f>IF(OR($I587="USO_NO_ENERGETICO_APARENTE",$I587="USO_ENERGETICO_INTERNO_APARENTE"),"CAL",IF(LEFT($H587,5)="STAT_","FORMULA",IF(COUNTIF(DATOS_MODELO!$B$2:$B$3672,$H587)=1,"OK","REVISAR")))</f>
        <v>OK</v>
      </c>
    </row>
    <row r="588" customFormat="false" ht="15" hidden="false" customHeight="false" outlineLevel="0" collapsed="false">
      <c r="A588" s="4" t="s">
        <v>3269</v>
      </c>
      <c r="B588" s="12" t="n">
        <v>2018</v>
      </c>
      <c r="C588" s="4" t="s">
        <v>103</v>
      </c>
      <c r="D588" s="4" t="s">
        <v>1993</v>
      </c>
      <c r="E588" s="4" t="s">
        <v>1994</v>
      </c>
      <c r="F588" s="4" t="s">
        <v>2029</v>
      </c>
      <c r="G588" s="4" t="s">
        <v>69</v>
      </c>
      <c r="H588" s="4" t="s">
        <v>360</v>
      </c>
      <c r="I588" s="4" t="s">
        <v>2030</v>
      </c>
      <c r="J588" s="4" t="s">
        <v>1997</v>
      </c>
      <c r="K588" s="14">
        <f>IF(OR($I588="USO_NO_ENERGETICO_APARENTE",$I588="USO_ENERGETICO_INTERNO_APARENTE"),ROUND(SUMIFS($K$2:$K$618,$B$2:$B$618,$B588,$C$2:$C$618,$C588,$D$2:$D$618,"Energy products",$E$2:$E$618,"Supply",$G$2:$G$618,"&lt;&gt;STAT")-SUMIFS($K$2:$K$618,$B$2:$B$618,$B588,$C$2:$C$618,$C588,$D$2:$D$618,"Energy products",$E$2:$E$618,"Use",$G$2:$G$618,"&lt;&gt;STAT",$I$2:$I$618,"&lt;&gt;USO_NO_ENERGETICO_APARENTE",$I$2:$I$618,"&lt;&gt;USO_ENERGETICO_INTERNO_APARENTE"),10),IF(LEFT($H588,5)="STAT_",ROUND(SUMIFS($K$2:$K$618,$B$2:$B$618,$B588,$C$2:$C$618,$C588,$D$2:$D$618,"Energy products",$E$2:$E$618,"Supply",$G$2:$G$618,"&lt;&gt;STAT")-SUMIFS($K$2:$K$618,$B$2:$B$618,$B588,$C$2:$C$618,$C588,$D$2:$D$618,"Energy products",$E$2:$E$618,"Use",$G$2:$G$618,"&lt;&gt;STAT"),10),IF($J588="cambio de signo",-INDEX(DATOS_MODELO!$U$2:$U$3672,MATCH($H588,DATOS_MODELO!$B$2:$B$3672,0)),IF($J588="valor absoluto",ABS(INDEX(DATOS_MODELO!$U$2:$U$3672,MATCH($H588,DATOS_MODELO!$B$2:$B$3672,0))),INDEX(DATOS_MODELO!$U$2:$U$3672,MATCH($H588,DATOS_MODELO!$B$2:$B$3672,0))))))</f>
        <v>71713.0043</v>
      </c>
      <c r="L588" s="8" t="str">
        <f aca="false">IF(LEFT($H588,5)&lt;&gt;"STAT_","",IF(ABS($K588)&lt;=COUNTIFS($B$2:$B$618,$B588,$C$2:$C$618,$C588,$D$2:$D$618,"Energy products",$G$2:$G$618,"&lt;&gt;STAT")*PARAMETROS!$B$6,"redondeo","residuo_estadistico"))</f>
        <v/>
      </c>
      <c r="M588" s="8" t="str">
        <f>IF(OR($I588="USO_NO_ENERGETICO_APARENTE",$I588="USO_ENERGETICO_INTERNO_APARENTE"),"CAL",IF(LEFT($H588,5)="STAT_","FORMULA",IF(COUNTIF(DATOS_MODELO!$B$2:$B$3672,$H588)=1,"OK","REVISAR")))</f>
        <v>OK</v>
      </c>
    </row>
    <row r="589" customFormat="false" ht="15" hidden="false" customHeight="false" outlineLevel="0" collapsed="false">
      <c r="A589" s="4" t="s">
        <v>3271</v>
      </c>
      <c r="B589" s="12" t="n">
        <v>2018</v>
      </c>
      <c r="C589" s="4" t="s">
        <v>103</v>
      </c>
      <c r="D589" s="4" t="s">
        <v>1993</v>
      </c>
      <c r="E589" s="4" t="s">
        <v>2001</v>
      </c>
      <c r="F589" s="4" t="s">
        <v>2091</v>
      </c>
      <c r="G589" s="4" t="s">
        <v>69</v>
      </c>
      <c r="H589" s="4" t="s">
        <v>361</v>
      </c>
      <c r="I589" s="4" t="s">
        <v>2030</v>
      </c>
      <c r="J589" s="4" t="s">
        <v>1997</v>
      </c>
      <c r="K589" s="14">
        <f>IF(OR($I589="USO_NO_ENERGETICO_APARENTE",$I589="USO_ENERGETICO_INTERNO_APARENTE"),ROUND(SUMIFS($K$2:$K$618,$B$2:$B$618,$B589,$C$2:$C$618,$C589,$D$2:$D$618,"Energy products",$E$2:$E$618,"Supply",$G$2:$G$618,"&lt;&gt;STAT")-SUMIFS($K$2:$K$618,$B$2:$B$618,$B589,$C$2:$C$618,$C589,$D$2:$D$618,"Energy products",$E$2:$E$618,"Use",$G$2:$G$618,"&lt;&gt;STAT",$I$2:$I$618,"&lt;&gt;USO_NO_ENERGETICO_APARENTE",$I$2:$I$618,"&lt;&gt;USO_ENERGETICO_INTERNO_APARENTE"),10),IF(LEFT($H589,5)="STAT_",ROUND(SUMIFS($K$2:$K$618,$B$2:$B$618,$B589,$C$2:$C$618,$C589,$D$2:$D$618,"Energy products",$E$2:$E$618,"Supply",$G$2:$G$618,"&lt;&gt;STAT")-SUMIFS($K$2:$K$618,$B$2:$B$618,$B589,$C$2:$C$618,$C589,$D$2:$D$618,"Energy products",$E$2:$E$618,"Use",$G$2:$G$618,"&lt;&gt;STAT"),10),IF($J589="cambio de signo",-INDEX(DATOS_MODELO!$U$2:$U$3672,MATCH($H589,DATOS_MODELO!$B$2:$B$3672,0)),IF($J589="valor absoluto",ABS(INDEX(DATOS_MODELO!$U$2:$U$3672,MATCH($H589,DATOS_MODELO!$B$2:$B$3672,0))),INDEX(DATOS_MODELO!$U$2:$U$3672,MATCH($H589,DATOS_MODELO!$B$2:$B$3672,0))))))</f>
        <v>1452.6743</v>
      </c>
      <c r="L589" s="8" t="str">
        <f aca="false">IF(LEFT($H589,5)&lt;&gt;"STAT_","",IF(ABS($K589)&lt;=COUNTIFS($B$2:$B$618,$B589,$C$2:$C$618,$C589,$D$2:$D$618,"Energy products",$G$2:$G$618,"&lt;&gt;STAT")*PARAMETROS!$B$6,"redondeo","residuo_estadistico"))</f>
        <v/>
      </c>
      <c r="M589" s="8" t="str">
        <f>IF(OR($I589="USO_NO_ENERGETICO_APARENTE",$I589="USO_ENERGETICO_INTERNO_APARENTE"),"CAL",IF(LEFT($H589,5)="STAT_","FORMULA",IF(COUNTIF(DATOS_MODELO!$B$2:$B$3672,$H589)=1,"OK","REVISAR")))</f>
        <v>OK</v>
      </c>
    </row>
    <row r="590" customFormat="false" ht="15" hidden="false" customHeight="false" outlineLevel="0" collapsed="false">
      <c r="A590" s="4" t="s">
        <v>3273</v>
      </c>
      <c r="B590" s="12" t="n">
        <v>2018</v>
      </c>
      <c r="C590" s="4" t="s">
        <v>103</v>
      </c>
      <c r="D590" s="4" t="s">
        <v>1993</v>
      </c>
      <c r="E590" s="4" t="s">
        <v>2001</v>
      </c>
      <c r="F590" s="4" t="s">
        <v>2034</v>
      </c>
      <c r="G590" s="4" t="s">
        <v>74</v>
      </c>
      <c r="H590" s="4" t="s">
        <v>362</v>
      </c>
      <c r="I590" s="4" t="s">
        <v>2035</v>
      </c>
      <c r="J590" s="4" t="s">
        <v>2036</v>
      </c>
      <c r="K590" s="14">
        <f>IF(OR($I590="USO_NO_ENERGETICO_APARENTE",$I590="USO_ENERGETICO_INTERNO_APARENTE"),ROUND(SUMIFS($K$2:$K$618,$B$2:$B$618,$B590,$C$2:$C$618,$C590,$D$2:$D$618,"Energy products",$E$2:$E$618,"Supply",$G$2:$G$618,"&lt;&gt;STAT")-SUMIFS($K$2:$K$618,$B$2:$B$618,$B590,$C$2:$C$618,$C590,$D$2:$D$618,"Energy products",$E$2:$E$618,"Use",$G$2:$G$618,"&lt;&gt;STAT",$I$2:$I$618,"&lt;&gt;USO_NO_ENERGETICO_APARENTE",$I$2:$I$618,"&lt;&gt;USO_ENERGETICO_INTERNO_APARENTE"),10),IF(LEFT($H590,5)="STAT_",ROUND(SUMIFS($K$2:$K$618,$B$2:$B$618,$B590,$C$2:$C$618,$C590,$D$2:$D$618,"Energy products",$E$2:$E$618,"Supply",$G$2:$G$618,"&lt;&gt;STAT")-SUMIFS($K$2:$K$618,$B$2:$B$618,$B590,$C$2:$C$618,$C590,$D$2:$D$618,"Energy products",$E$2:$E$618,"Use",$G$2:$G$618,"&lt;&gt;STAT"),10),IF($J590="cambio de signo",-INDEX(DATOS_MODELO!$U$2:$U$3672,MATCH($H590,DATOS_MODELO!$B$2:$B$3672,0)),IF($J590="valor absoluto",ABS(INDEX(DATOS_MODELO!$U$2:$U$3672,MATCH($H590,DATOS_MODELO!$B$2:$B$3672,0))),INDEX(DATOS_MODELO!$U$2:$U$3672,MATCH($H590,DATOS_MODELO!$B$2:$B$3672,0))))))</f>
        <v>-138.5104</v>
      </c>
      <c r="L590" s="8" t="str">
        <f aca="false">IF(LEFT($H590,5)&lt;&gt;"STAT_","",IF(ABS($K590)&lt;=COUNTIFS($B$2:$B$618,$B590,$C$2:$C$618,$C590,$D$2:$D$618,"Energy products",$G$2:$G$618,"&lt;&gt;STAT")*PARAMETROS!$B$6,"redondeo","residuo_estadistico"))</f>
        <v/>
      </c>
      <c r="M590" s="8" t="str">
        <f>IF(OR($I590="USO_NO_ENERGETICO_APARENTE",$I590="USO_ENERGETICO_INTERNO_APARENTE"),"CAL",IF(LEFT($H590,5)="STAT_","FORMULA",IF(COUNTIF(DATOS_MODELO!$B$2:$B$3672,$H590)=1,"OK","REVISAR")))</f>
        <v>OK</v>
      </c>
    </row>
    <row r="591" customFormat="false" ht="15" hidden="false" customHeight="false" outlineLevel="0" collapsed="false">
      <c r="A591" s="4" t="s">
        <v>3275</v>
      </c>
      <c r="B591" s="12" t="n">
        <v>2018</v>
      </c>
      <c r="C591" s="4" t="s">
        <v>103</v>
      </c>
      <c r="D591" s="4" t="s">
        <v>1993</v>
      </c>
      <c r="E591" s="4" t="s">
        <v>2001</v>
      </c>
      <c r="F591" s="4" t="s">
        <v>2002</v>
      </c>
      <c r="G591" s="4" t="s">
        <v>71</v>
      </c>
      <c r="H591" s="4" t="s">
        <v>367</v>
      </c>
      <c r="I591" s="4" t="s">
        <v>2123</v>
      </c>
      <c r="J591" s="4" t="s">
        <v>1997</v>
      </c>
      <c r="K591" s="14">
        <f>IF(OR($I591="USO_NO_ENERGETICO_APARENTE",$I591="USO_ENERGETICO_INTERNO_APARENTE"),ROUND(SUMIFS($K$2:$K$618,$B$2:$B$618,$B591,$C$2:$C$618,$C591,$D$2:$D$618,"Energy products",$E$2:$E$618,"Supply",$G$2:$G$618,"&lt;&gt;STAT")-SUMIFS($K$2:$K$618,$B$2:$B$618,$B591,$C$2:$C$618,$C591,$D$2:$D$618,"Energy products",$E$2:$E$618,"Use",$G$2:$G$618,"&lt;&gt;STAT",$I$2:$I$618,"&lt;&gt;USO_NO_ENERGETICO_APARENTE",$I$2:$I$618,"&lt;&gt;USO_ENERGETICO_INTERNO_APARENTE"),10),IF(LEFT($H591,5)="STAT_",ROUND(SUMIFS($K$2:$K$618,$B$2:$B$618,$B591,$C$2:$C$618,$C591,$D$2:$D$618,"Energy products",$E$2:$E$618,"Supply",$G$2:$G$618,"&lt;&gt;STAT")-SUMIFS($K$2:$K$618,$B$2:$B$618,$B591,$C$2:$C$618,$C591,$D$2:$D$618,"Energy products",$E$2:$E$618,"Use",$G$2:$G$618,"&lt;&gt;STAT"),10),IF($J591="cambio de signo",-INDEX(DATOS_MODELO!$U$2:$U$3672,MATCH($H591,DATOS_MODELO!$B$2:$B$3672,0)),IF($J591="valor absoluto",ABS(INDEX(DATOS_MODELO!$U$2:$U$3672,MATCH($H591,DATOS_MODELO!$B$2:$B$3672,0))),INDEX(DATOS_MODELO!$U$2:$U$3672,MATCH($H591,DATOS_MODELO!$B$2:$B$3672,0))))))</f>
        <v>68640.2696</v>
      </c>
      <c r="L591" s="8" t="str">
        <f aca="false">IF(LEFT($H591,5)&lt;&gt;"STAT_","",IF(ABS($K591)&lt;=COUNTIFS($B$2:$B$618,$B591,$C$2:$C$618,$C591,$D$2:$D$618,"Energy products",$G$2:$G$618,"&lt;&gt;STAT")*PARAMETROS!$B$6,"redondeo","residuo_estadistico"))</f>
        <v/>
      </c>
      <c r="M591" s="8" t="str">
        <f>IF(OR($I591="USO_NO_ENERGETICO_APARENTE",$I591="USO_ENERGETICO_INTERNO_APARENTE"),"CAL",IF(LEFT($H591,5)="STAT_","FORMULA",IF(COUNTIF(DATOS_MODELO!$B$2:$B$3672,$H591)=1,"OK","REVISAR")))</f>
        <v>OK</v>
      </c>
    </row>
    <row r="592" customFormat="false" ht="15" hidden="false" customHeight="false" outlineLevel="0" collapsed="false">
      <c r="A592" s="4" t="s">
        <v>3277</v>
      </c>
      <c r="B592" s="12" t="n">
        <v>2018</v>
      </c>
      <c r="C592" s="4" t="s">
        <v>103</v>
      </c>
      <c r="D592" s="4" t="s">
        <v>1993</v>
      </c>
      <c r="E592" s="4" t="s">
        <v>2001</v>
      </c>
      <c r="F592" s="4" t="s">
        <v>2002</v>
      </c>
      <c r="G592" s="4" t="s">
        <v>72</v>
      </c>
      <c r="H592" s="4" t="s">
        <v>369</v>
      </c>
      <c r="I592" s="4" t="s">
        <v>2079</v>
      </c>
      <c r="J592" s="4" t="s">
        <v>1997</v>
      </c>
      <c r="K592" s="14">
        <f>IF(OR($I592="USO_NO_ENERGETICO_APARENTE",$I592="USO_ENERGETICO_INTERNO_APARENTE"),ROUND(SUMIFS($K$2:$K$618,$B$2:$B$618,$B592,$C$2:$C$618,$C592,$D$2:$D$618,"Energy products",$E$2:$E$618,"Supply",$G$2:$G$618,"&lt;&gt;STAT")-SUMIFS($K$2:$K$618,$B$2:$B$618,$B592,$C$2:$C$618,$C592,$D$2:$D$618,"Energy products",$E$2:$E$618,"Use",$G$2:$G$618,"&lt;&gt;STAT",$I$2:$I$618,"&lt;&gt;USO_NO_ENERGETICO_APARENTE",$I$2:$I$618,"&lt;&gt;USO_ENERGETICO_INTERNO_APARENTE"),10),IF(LEFT($H592,5)="STAT_",ROUND(SUMIFS($K$2:$K$618,$B$2:$B$618,$B592,$C$2:$C$618,$C592,$D$2:$D$618,"Energy products",$E$2:$E$618,"Supply",$G$2:$G$618,"&lt;&gt;STAT")-SUMIFS($K$2:$K$618,$B$2:$B$618,$B592,$C$2:$C$618,$C592,$D$2:$D$618,"Energy products",$E$2:$E$618,"Use",$G$2:$G$618,"&lt;&gt;STAT"),10),IF($J592="cambio de signo",-INDEX(DATOS_MODELO!$U$2:$U$3672,MATCH($H592,DATOS_MODELO!$B$2:$B$3672,0)),IF($J592="valor absoluto",ABS(INDEX(DATOS_MODELO!$U$2:$U$3672,MATCH($H592,DATOS_MODELO!$B$2:$B$3672,0))),INDEX(DATOS_MODELO!$U$2:$U$3672,MATCH($H592,DATOS_MODELO!$B$2:$B$3672,0))))))</f>
        <v>351.6793</v>
      </c>
      <c r="L592" s="8" t="str">
        <f aca="false">IF(LEFT($H592,5)&lt;&gt;"STAT_","",IF(ABS($K592)&lt;=COUNTIFS($B$2:$B$618,$B592,$C$2:$C$618,$C592,$D$2:$D$618,"Energy products",$G$2:$G$618,"&lt;&gt;STAT")*PARAMETROS!$B$6,"redondeo","residuo_estadistico"))</f>
        <v/>
      </c>
      <c r="M592" s="8" t="str">
        <f>IF(OR($I592="USO_NO_ENERGETICO_APARENTE",$I592="USO_ENERGETICO_INTERNO_APARENTE"),"CAL",IF(LEFT($H592,5)="STAT_","FORMULA",IF(COUNTIF(DATOS_MODELO!$B$2:$B$3672,$H592)=1,"OK","REVISAR")))</f>
        <v>OK</v>
      </c>
    </row>
    <row r="593" customFormat="false" ht="15" hidden="false" customHeight="false" outlineLevel="0" collapsed="false">
      <c r="A593" s="4" t="s">
        <v>3279</v>
      </c>
      <c r="B593" s="12" t="n">
        <v>2018</v>
      </c>
      <c r="C593" s="4" t="s">
        <v>103</v>
      </c>
      <c r="D593" s="4" t="s">
        <v>1993</v>
      </c>
      <c r="E593" s="4" t="s">
        <v>2001</v>
      </c>
      <c r="F593" s="4" t="s">
        <v>2002</v>
      </c>
      <c r="G593" s="4" t="s">
        <v>68</v>
      </c>
      <c r="H593" s="4" t="s">
        <v>370</v>
      </c>
      <c r="I593" s="4" t="s">
        <v>2111</v>
      </c>
      <c r="J593" s="4" t="s">
        <v>1997</v>
      </c>
      <c r="K593" s="14">
        <f>IF(OR($I593="USO_NO_ENERGETICO_APARENTE",$I593="USO_ENERGETICO_INTERNO_APARENTE"),ROUND(SUMIFS($K$2:$K$618,$B$2:$B$618,$B593,$C$2:$C$618,$C593,$D$2:$D$618,"Energy products",$E$2:$E$618,"Supply",$G$2:$G$618,"&lt;&gt;STAT")-SUMIFS($K$2:$K$618,$B$2:$B$618,$B593,$C$2:$C$618,$C593,$D$2:$D$618,"Energy products",$E$2:$E$618,"Use",$G$2:$G$618,"&lt;&gt;STAT",$I$2:$I$618,"&lt;&gt;USO_NO_ENERGETICO_APARENTE",$I$2:$I$618,"&lt;&gt;USO_ENERGETICO_INTERNO_APARENTE"),10),IF(LEFT($H593,5)="STAT_",ROUND(SUMIFS($K$2:$K$618,$B$2:$B$618,$B593,$C$2:$C$618,$C593,$D$2:$D$618,"Energy products",$E$2:$E$618,"Supply",$G$2:$G$618,"&lt;&gt;STAT")-SUMIFS($K$2:$K$618,$B$2:$B$618,$B593,$C$2:$C$618,$C593,$D$2:$D$618,"Energy products",$E$2:$E$618,"Use",$G$2:$G$618,"&lt;&gt;STAT"),10),IF($J593="cambio de signo",-INDEX(DATOS_MODELO!$U$2:$U$3672,MATCH($H593,DATOS_MODELO!$B$2:$B$3672,0)),IF($J593="valor absoluto",ABS(INDEX(DATOS_MODELO!$U$2:$U$3672,MATCH($H593,DATOS_MODELO!$B$2:$B$3672,0))),INDEX(DATOS_MODELO!$U$2:$U$3672,MATCH($H593,DATOS_MODELO!$B$2:$B$3672,0))))))</f>
        <v>1406.8334</v>
      </c>
      <c r="L593" s="8" t="str">
        <f aca="false">IF(LEFT($H593,5)&lt;&gt;"STAT_","",IF(ABS($K593)&lt;=COUNTIFS($B$2:$B$618,$B593,$C$2:$C$618,$C593,$D$2:$D$618,"Energy products",$G$2:$G$618,"&lt;&gt;STAT")*PARAMETROS!$B$6,"redondeo","residuo_estadistico"))</f>
        <v/>
      </c>
      <c r="M593" s="8" t="str">
        <f>IF(OR($I593="USO_NO_ENERGETICO_APARENTE",$I593="USO_ENERGETICO_INTERNO_APARENTE"),"CAL",IF(LEFT($H593,5)="STAT_","FORMULA",IF(COUNTIF(DATOS_MODELO!$B$2:$B$3672,$H593)=1,"OK","REVISAR")))</f>
        <v>OK</v>
      </c>
    </row>
    <row r="594" customFormat="false" ht="15" hidden="false" customHeight="false" outlineLevel="0" collapsed="false">
      <c r="A594" s="4" t="s">
        <v>3281</v>
      </c>
      <c r="B594" s="12" t="n">
        <v>2018</v>
      </c>
      <c r="C594" s="4" t="s">
        <v>105</v>
      </c>
      <c r="D594" s="4" t="s">
        <v>1993</v>
      </c>
      <c r="E594" s="4" t="s">
        <v>1994</v>
      </c>
      <c r="F594" s="4" t="s">
        <v>2029</v>
      </c>
      <c r="G594" s="4" t="s">
        <v>69</v>
      </c>
      <c r="H594" s="4" t="s">
        <v>374</v>
      </c>
      <c r="I594" s="4" t="s">
        <v>2030</v>
      </c>
      <c r="J594" s="4" t="s">
        <v>1997</v>
      </c>
      <c r="K594" s="14">
        <f>IF(OR($I594="USO_NO_ENERGETICO_APARENTE",$I594="USO_ENERGETICO_INTERNO_APARENTE"),ROUND(SUMIFS($K$2:$K$618,$B$2:$B$618,$B594,$C$2:$C$618,$C594,$D$2:$D$618,"Energy products",$E$2:$E$618,"Supply",$G$2:$G$618,"&lt;&gt;STAT")-SUMIFS($K$2:$K$618,$B$2:$B$618,$B594,$C$2:$C$618,$C594,$D$2:$D$618,"Energy products",$E$2:$E$618,"Use",$G$2:$G$618,"&lt;&gt;STAT",$I$2:$I$618,"&lt;&gt;USO_NO_ENERGETICO_APARENTE",$I$2:$I$618,"&lt;&gt;USO_ENERGETICO_INTERNO_APARENTE"),10),IF(LEFT($H594,5)="STAT_",ROUND(SUMIFS($K$2:$K$618,$B$2:$B$618,$B594,$C$2:$C$618,$C594,$D$2:$D$618,"Energy products",$E$2:$E$618,"Supply",$G$2:$G$618,"&lt;&gt;STAT")-SUMIFS($K$2:$K$618,$B$2:$B$618,$B594,$C$2:$C$618,$C594,$D$2:$D$618,"Energy products",$E$2:$E$618,"Use",$G$2:$G$618,"&lt;&gt;STAT"),10),IF($J594="cambio de signo",-INDEX(DATOS_MODELO!$U$2:$U$3672,MATCH($H594,DATOS_MODELO!$B$2:$B$3672,0)),IF($J594="valor absoluto",ABS(INDEX(DATOS_MODELO!$U$2:$U$3672,MATCH($H594,DATOS_MODELO!$B$2:$B$3672,0))),INDEX(DATOS_MODELO!$U$2:$U$3672,MATCH($H594,DATOS_MODELO!$B$2:$B$3672,0))))))</f>
        <v>24666.7036</v>
      </c>
      <c r="L594" s="8" t="str">
        <f aca="false">IF(LEFT($H594,5)&lt;&gt;"STAT_","",IF(ABS($K594)&lt;=COUNTIFS($B$2:$B$618,$B594,$C$2:$C$618,$C594,$D$2:$D$618,"Energy products",$G$2:$G$618,"&lt;&gt;STAT")*PARAMETROS!$B$6,"redondeo","residuo_estadistico"))</f>
        <v/>
      </c>
      <c r="M594" s="8" t="str">
        <f>IF(OR($I594="USO_NO_ENERGETICO_APARENTE",$I594="USO_ENERGETICO_INTERNO_APARENTE"),"CAL",IF(LEFT($H594,5)="STAT_","FORMULA",IF(COUNTIF(DATOS_MODELO!$B$2:$B$3672,$H594)=1,"OK","REVISAR")))</f>
        <v>OK</v>
      </c>
    </row>
    <row r="595" customFormat="false" ht="15" hidden="false" customHeight="false" outlineLevel="0" collapsed="false">
      <c r="A595" s="4" t="s">
        <v>3283</v>
      </c>
      <c r="B595" s="12" t="n">
        <v>2018</v>
      </c>
      <c r="C595" s="4" t="s">
        <v>105</v>
      </c>
      <c r="D595" s="4" t="s">
        <v>1993</v>
      </c>
      <c r="E595" s="4" t="s">
        <v>2001</v>
      </c>
      <c r="F595" s="4" t="s">
        <v>2091</v>
      </c>
      <c r="G595" s="4" t="s">
        <v>69</v>
      </c>
      <c r="H595" s="4" t="s">
        <v>375</v>
      </c>
      <c r="I595" s="4" t="s">
        <v>2030</v>
      </c>
      <c r="J595" s="4" t="s">
        <v>1997</v>
      </c>
      <c r="K595" s="14">
        <f>IF(OR($I595="USO_NO_ENERGETICO_APARENTE",$I595="USO_ENERGETICO_INTERNO_APARENTE"),ROUND(SUMIFS($K$2:$K$618,$B$2:$B$618,$B595,$C$2:$C$618,$C595,$D$2:$D$618,"Energy products",$E$2:$E$618,"Supply",$G$2:$G$618,"&lt;&gt;STAT")-SUMIFS($K$2:$K$618,$B$2:$B$618,$B595,$C$2:$C$618,$C595,$D$2:$D$618,"Energy products",$E$2:$E$618,"Use",$G$2:$G$618,"&lt;&gt;STAT",$I$2:$I$618,"&lt;&gt;USO_NO_ENERGETICO_APARENTE",$I$2:$I$618,"&lt;&gt;USO_ENERGETICO_INTERNO_APARENTE"),10),IF(LEFT($H595,5)="STAT_",ROUND(SUMIFS($K$2:$K$618,$B$2:$B$618,$B595,$C$2:$C$618,$C595,$D$2:$D$618,"Energy products",$E$2:$E$618,"Supply",$G$2:$G$618,"&lt;&gt;STAT")-SUMIFS($K$2:$K$618,$B$2:$B$618,$B595,$C$2:$C$618,$C595,$D$2:$D$618,"Energy products",$E$2:$E$618,"Use",$G$2:$G$618,"&lt;&gt;STAT"),10),IF($J595="cambio de signo",-INDEX(DATOS_MODELO!$U$2:$U$3672,MATCH($H595,DATOS_MODELO!$B$2:$B$3672,0)),IF($J595="valor absoluto",ABS(INDEX(DATOS_MODELO!$U$2:$U$3672,MATCH($H595,DATOS_MODELO!$B$2:$B$3672,0))),INDEX(DATOS_MODELO!$U$2:$U$3672,MATCH($H595,DATOS_MODELO!$B$2:$B$3672,0))))))</f>
        <v>6964.3889</v>
      </c>
      <c r="L595" s="8" t="str">
        <f aca="false">IF(LEFT($H595,5)&lt;&gt;"STAT_","",IF(ABS($K595)&lt;=COUNTIFS($B$2:$B$618,$B595,$C$2:$C$618,$C595,$D$2:$D$618,"Energy products",$G$2:$G$618,"&lt;&gt;STAT")*PARAMETROS!$B$6,"redondeo","residuo_estadistico"))</f>
        <v/>
      </c>
      <c r="M595" s="8" t="str">
        <f>IF(OR($I595="USO_NO_ENERGETICO_APARENTE",$I595="USO_ENERGETICO_INTERNO_APARENTE"),"CAL",IF(LEFT($H595,5)="STAT_","FORMULA",IF(COUNTIF(DATOS_MODELO!$B$2:$B$3672,$H595)=1,"OK","REVISAR")))</f>
        <v>OK</v>
      </c>
    </row>
    <row r="596" customFormat="false" ht="15" hidden="false" customHeight="false" outlineLevel="0" collapsed="false">
      <c r="A596" s="4" t="s">
        <v>3285</v>
      </c>
      <c r="B596" s="12" t="n">
        <v>2018</v>
      </c>
      <c r="C596" s="4" t="s">
        <v>105</v>
      </c>
      <c r="D596" s="4" t="s">
        <v>1993</v>
      </c>
      <c r="E596" s="4" t="s">
        <v>2001</v>
      </c>
      <c r="F596" s="4" t="s">
        <v>2034</v>
      </c>
      <c r="G596" s="4" t="s">
        <v>74</v>
      </c>
      <c r="H596" s="4" t="s">
        <v>376</v>
      </c>
      <c r="I596" s="4" t="s">
        <v>2035</v>
      </c>
      <c r="J596" s="4" t="s">
        <v>2036</v>
      </c>
      <c r="K596" s="14">
        <f>IF(OR($I596="USO_NO_ENERGETICO_APARENTE",$I596="USO_ENERGETICO_INTERNO_APARENTE"),ROUND(SUMIFS($K$2:$K$618,$B$2:$B$618,$B596,$C$2:$C$618,$C596,$D$2:$D$618,"Energy products",$E$2:$E$618,"Supply",$G$2:$G$618,"&lt;&gt;STAT")-SUMIFS($K$2:$K$618,$B$2:$B$618,$B596,$C$2:$C$618,$C596,$D$2:$D$618,"Energy products",$E$2:$E$618,"Use",$G$2:$G$618,"&lt;&gt;STAT",$I$2:$I$618,"&lt;&gt;USO_NO_ENERGETICO_APARENTE",$I$2:$I$618,"&lt;&gt;USO_ENERGETICO_INTERNO_APARENTE"),10),IF(LEFT($H596,5)="STAT_",ROUND(SUMIFS($K$2:$K$618,$B$2:$B$618,$B596,$C$2:$C$618,$C596,$D$2:$D$618,"Energy products",$E$2:$E$618,"Supply",$G$2:$G$618,"&lt;&gt;STAT")-SUMIFS($K$2:$K$618,$B$2:$B$618,$B596,$C$2:$C$618,$C596,$D$2:$D$618,"Energy products",$E$2:$E$618,"Use",$G$2:$G$618,"&lt;&gt;STAT"),10),IF($J596="cambio de signo",-INDEX(DATOS_MODELO!$U$2:$U$3672,MATCH($H596,DATOS_MODELO!$B$2:$B$3672,0)),IF($J596="valor absoluto",ABS(INDEX(DATOS_MODELO!$U$2:$U$3672,MATCH($H596,DATOS_MODELO!$B$2:$B$3672,0))),INDEX(DATOS_MODELO!$U$2:$U$3672,MATCH($H596,DATOS_MODELO!$B$2:$B$3672,0))))))</f>
        <v>-958.5338</v>
      </c>
      <c r="L596" s="8" t="str">
        <f aca="false">IF(LEFT($H596,5)&lt;&gt;"STAT_","",IF(ABS($K596)&lt;=COUNTIFS($B$2:$B$618,$B596,$C$2:$C$618,$C596,$D$2:$D$618,"Energy products",$G$2:$G$618,"&lt;&gt;STAT")*PARAMETROS!$B$6,"redondeo","residuo_estadistico"))</f>
        <v/>
      </c>
      <c r="M596" s="8" t="str">
        <f>IF(OR($I596="USO_NO_ENERGETICO_APARENTE",$I596="USO_ENERGETICO_INTERNO_APARENTE"),"CAL",IF(LEFT($H596,5)="STAT_","FORMULA",IF(COUNTIF(DATOS_MODELO!$B$2:$B$3672,$H596)=1,"OK","REVISAR")))</f>
        <v>OK</v>
      </c>
    </row>
    <row r="597" customFormat="false" ht="15" hidden="false" customHeight="false" outlineLevel="0" collapsed="false">
      <c r="A597" s="4" t="s">
        <v>3287</v>
      </c>
      <c r="B597" s="12" t="n">
        <v>2018</v>
      </c>
      <c r="C597" s="4" t="s">
        <v>105</v>
      </c>
      <c r="D597" s="4" t="s">
        <v>1993</v>
      </c>
      <c r="E597" s="4" t="s">
        <v>2001</v>
      </c>
      <c r="F597" s="4" t="s">
        <v>2002</v>
      </c>
      <c r="G597" s="4" t="s">
        <v>71</v>
      </c>
      <c r="H597" s="4" t="s">
        <v>381</v>
      </c>
      <c r="I597" s="4" t="s">
        <v>2123</v>
      </c>
      <c r="J597" s="4" t="s">
        <v>1997</v>
      </c>
      <c r="K597" s="14">
        <f>IF(OR($I597="USO_NO_ENERGETICO_APARENTE",$I597="USO_ENERGETICO_INTERNO_APARENTE"),ROUND(SUMIFS($K$2:$K$618,$B$2:$B$618,$B597,$C$2:$C$618,$C597,$D$2:$D$618,"Energy products",$E$2:$E$618,"Supply",$G$2:$G$618,"&lt;&gt;STAT")-SUMIFS($K$2:$K$618,$B$2:$B$618,$B597,$C$2:$C$618,$C597,$D$2:$D$618,"Energy products",$E$2:$E$618,"Use",$G$2:$G$618,"&lt;&gt;STAT",$I$2:$I$618,"&lt;&gt;USO_NO_ENERGETICO_APARENTE",$I$2:$I$618,"&lt;&gt;USO_ENERGETICO_INTERNO_APARENTE"),10),IF(LEFT($H597,5)="STAT_",ROUND(SUMIFS($K$2:$K$618,$B$2:$B$618,$B597,$C$2:$C$618,$C597,$D$2:$D$618,"Energy products",$E$2:$E$618,"Supply",$G$2:$G$618,"&lt;&gt;STAT")-SUMIFS($K$2:$K$618,$B$2:$B$618,$B597,$C$2:$C$618,$C597,$D$2:$D$618,"Energy products",$E$2:$E$618,"Use",$G$2:$G$618,"&lt;&gt;STAT"),10),IF($J597="cambio de signo",-INDEX(DATOS_MODELO!$U$2:$U$3672,MATCH($H597,DATOS_MODELO!$B$2:$B$3672,0)),IF($J597="valor absoluto",ABS(INDEX(DATOS_MODELO!$U$2:$U$3672,MATCH($H597,DATOS_MODELO!$B$2:$B$3672,0))),INDEX(DATOS_MODELO!$U$2:$U$3672,MATCH($H597,DATOS_MODELO!$B$2:$B$3672,0))))))</f>
        <v>186.6172</v>
      </c>
      <c r="L597" s="8" t="str">
        <f aca="false">IF(LEFT($H597,5)&lt;&gt;"STAT_","",IF(ABS($K597)&lt;=COUNTIFS($B$2:$B$618,$B597,$C$2:$C$618,$C597,$D$2:$D$618,"Energy products",$G$2:$G$618,"&lt;&gt;STAT")*PARAMETROS!$B$6,"redondeo","residuo_estadistico"))</f>
        <v/>
      </c>
      <c r="M597" s="8" t="str">
        <f>IF(OR($I597="USO_NO_ENERGETICO_APARENTE",$I597="USO_ENERGETICO_INTERNO_APARENTE"),"CAL",IF(LEFT($H597,5)="STAT_","FORMULA",IF(COUNTIF(DATOS_MODELO!$B$2:$B$3672,$H597)=1,"OK","REVISAR")))</f>
        <v>OK</v>
      </c>
    </row>
    <row r="598" customFormat="false" ht="15" hidden="false" customHeight="false" outlineLevel="0" collapsed="false">
      <c r="A598" s="4" t="s">
        <v>3289</v>
      </c>
      <c r="B598" s="12" t="n">
        <v>2018</v>
      </c>
      <c r="C598" s="4" t="s">
        <v>105</v>
      </c>
      <c r="D598" s="4" t="s">
        <v>1993</v>
      </c>
      <c r="E598" s="4" t="s">
        <v>2001</v>
      </c>
      <c r="F598" s="4" t="s">
        <v>2074</v>
      </c>
      <c r="G598" s="4" t="s">
        <v>73</v>
      </c>
      <c r="H598" s="4" t="s">
        <v>382</v>
      </c>
      <c r="I598" s="4" t="s">
        <v>2075</v>
      </c>
      <c r="J598" s="4" t="s">
        <v>1997</v>
      </c>
      <c r="K598" s="14">
        <f>IF(OR($I598="USO_NO_ENERGETICO_APARENTE",$I598="USO_ENERGETICO_INTERNO_APARENTE"),ROUND(SUMIFS($K$2:$K$618,$B$2:$B$618,$B598,$C$2:$C$618,$C598,$D$2:$D$618,"Energy products",$E$2:$E$618,"Supply",$G$2:$G$618,"&lt;&gt;STAT")-SUMIFS($K$2:$K$618,$B$2:$B$618,$B598,$C$2:$C$618,$C598,$D$2:$D$618,"Energy products",$E$2:$E$618,"Use",$G$2:$G$618,"&lt;&gt;STAT",$I$2:$I$618,"&lt;&gt;USO_NO_ENERGETICO_APARENTE",$I$2:$I$618,"&lt;&gt;USO_ENERGETICO_INTERNO_APARENTE"),10),IF(LEFT($H598,5)="STAT_",ROUND(SUMIFS($K$2:$K$618,$B$2:$B$618,$B598,$C$2:$C$618,$C598,$D$2:$D$618,"Energy products",$E$2:$E$618,"Supply",$G$2:$G$618,"&lt;&gt;STAT")-SUMIFS($K$2:$K$618,$B$2:$B$618,$B598,$C$2:$C$618,$C598,$D$2:$D$618,"Energy products",$E$2:$E$618,"Use",$G$2:$G$618,"&lt;&gt;STAT"),10),IF($J598="cambio de signo",-INDEX(DATOS_MODELO!$U$2:$U$3672,MATCH($H598,DATOS_MODELO!$B$2:$B$3672,0)),IF($J598="valor absoluto",ABS(INDEX(DATOS_MODELO!$U$2:$U$3672,MATCH($H598,DATOS_MODELO!$B$2:$B$3672,0))),INDEX(DATOS_MODELO!$U$2:$U$3672,MATCH($H598,DATOS_MODELO!$B$2:$B$3672,0))))))</f>
        <v>14368.8853</v>
      </c>
      <c r="L598" s="8" t="str">
        <f aca="false">IF(LEFT($H598,5)&lt;&gt;"STAT_","",IF(ABS($K598)&lt;=COUNTIFS($B$2:$B$618,$B598,$C$2:$C$618,$C598,$D$2:$D$618,"Energy products",$G$2:$G$618,"&lt;&gt;STAT")*PARAMETROS!$B$6,"redondeo","residuo_estadistico"))</f>
        <v/>
      </c>
      <c r="M598" s="8" t="str">
        <f>IF(OR($I598="USO_NO_ENERGETICO_APARENTE",$I598="USO_ENERGETICO_INTERNO_APARENTE"),"CAL",IF(LEFT($H598,5)="STAT_","FORMULA",IF(COUNTIF(DATOS_MODELO!$B$2:$B$3672,$H598)=1,"OK","REVISAR")))</f>
        <v>OK</v>
      </c>
    </row>
    <row r="599" customFormat="false" ht="15" hidden="false" customHeight="false" outlineLevel="0" collapsed="false">
      <c r="A599" s="4" t="s">
        <v>3291</v>
      </c>
      <c r="B599" s="12" t="n">
        <v>2018</v>
      </c>
      <c r="C599" s="4" t="s">
        <v>105</v>
      </c>
      <c r="D599" s="4" t="s">
        <v>1993</v>
      </c>
      <c r="E599" s="4" t="s">
        <v>2001</v>
      </c>
      <c r="F599" s="4" t="s">
        <v>2002</v>
      </c>
      <c r="G599" s="4" t="s">
        <v>72</v>
      </c>
      <c r="H599" s="4" t="s">
        <v>383</v>
      </c>
      <c r="I599" s="4" t="s">
        <v>2079</v>
      </c>
      <c r="J599" s="4" t="s">
        <v>1997</v>
      </c>
      <c r="K599" s="14">
        <f>IF(OR($I599="USO_NO_ENERGETICO_APARENTE",$I599="USO_ENERGETICO_INTERNO_APARENTE"),ROUND(SUMIFS($K$2:$K$618,$B$2:$B$618,$B599,$C$2:$C$618,$C599,$D$2:$D$618,"Energy products",$E$2:$E$618,"Supply",$G$2:$G$618,"&lt;&gt;STAT")-SUMIFS($K$2:$K$618,$B$2:$B$618,$B599,$C$2:$C$618,$C599,$D$2:$D$618,"Energy products",$E$2:$E$618,"Use",$G$2:$G$618,"&lt;&gt;STAT",$I$2:$I$618,"&lt;&gt;USO_NO_ENERGETICO_APARENTE",$I$2:$I$618,"&lt;&gt;USO_ENERGETICO_INTERNO_APARENTE"),10),IF(LEFT($H599,5)="STAT_",ROUND(SUMIFS($K$2:$K$618,$B$2:$B$618,$B599,$C$2:$C$618,$C599,$D$2:$D$618,"Energy products",$E$2:$E$618,"Supply",$G$2:$G$618,"&lt;&gt;STAT")-SUMIFS($K$2:$K$618,$B$2:$B$618,$B599,$C$2:$C$618,$C599,$D$2:$D$618,"Energy products",$E$2:$E$618,"Use",$G$2:$G$618,"&lt;&gt;STAT"),10),IF($J599="cambio de signo",-INDEX(DATOS_MODELO!$U$2:$U$3672,MATCH($H599,DATOS_MODELO!$B$2:$B$3672,0)),IF($J599="valor absoluto",ABS(INDEX(DATOS_MODELO!$U$2:$U$3672,MATCH($H599,DATOS_MODELO!$B$2:$B$3672,0))),INDEX(DATOS_MODELO!$U$2:$U$3672,MATCH($H599,DATOS_MODELO!$B$2:$B$3672,0))))))</f>
        <v>373.2344</v>
      </c>
      <c r="L599" s="8" t="str">
        <f aca="false">IF(LEFT($H599,5)&lt;&gt;"STAT_","",IF(ABS($K599)&lt;=COUNTIFS($B$2:$B$618,$B599,$C$2:$C$618,$C599,$D$2:$D$618,"Energy products",$G$2:$G$618,"&lt;&gt;STAT")*PARAMETROS!$B$6,"redondeo","residuo_estadistico"))</f>
        <v/>
      </c>
      <c r="M599" s="8" t="str">
        <f>IF(OR($I599="USO_NO_ENERGETICO_APARENTE",$I599="USO_ENERGETICO_INTERNO_APARENTE"),"CAL",IF(LEFT($H599,5)="STAT_","FORMULA",IF(COUNTIF(DATOS_MODELO!$B$2:$B$3672,$H599)=1,"OK","REVISAR")))</f>
        <v>OK</v>
      </c>
    </row>
    <row r="600" customFormat="false" ht="15" hidden="false" customHeight="false" outlineLevel="0" collapsed="false">
      <c r="A600" s="4" t="s">
        <v>3293</v>
      </c>
      <c r="B600" s="12" t="n">
        <v>2018</v>
      </c>
      <c r="C600" s="4" t="s">
        <v>105</v>
      </c>
      <c r="D600" s="4" t="s">
        <v>1993</v>
      </c>
      <c r="E600" s="4" t="s">
        <v>2001</v>
      </c>
      <c r="F600" s="4" t="s">
        <v>2002</v>
      </c>
      <c r="G600" s="4" t="s">
        <v>68</v>
      </c>
      <c r="H600" s="4" t="s">
        <v>384</v>
      </c>
      <c r="I600" s="4" t="s">
        <v>2111</v>
      </c>
      <c r="J600" s="4" t="s">
        <v>1997</v>
      </c>
      <c r="K600" s="14">
        <f>IF(OR($I600="USO_NO_ENERGETICO_APARENTE",$I600="USO_ENERGETICO_INTERNO_APARENTE"),ROUND(SUMIFS($K$2:$K$618,$B$2:$B$618,$B600,$C$2:$C$618,$C600,$D$2:$D$618,"Energy products",$E$2:$E$618,"Supply",$G$2:$G$618,"&lt;&gt;STAT")-SUMIFS($K$2:$K$618,$B$2:$B$618,$B600,$C$2:$C$618,$C600,$D$2:$D$618,"Energy products",$E$2:$E$618,"Use",$G$2:$G$618,"&lt;&gt;STAT",$I$2:$I$618,"&lt;&gt;USO_NO_ENERGETICO_APARENTE",$I$2:$I$618,"&lt;&gt;USO_ENERGETICO_INTERNO_APARENTE"),10),IF(LEFT($H600,5)="STAT_",ROUND(SUMIFS($K$2:$K$618,$B$2:$B$618,$B600,$C$2:$C$618,$C600,$D$2:$D$618,"Energy products",$E$2:$E$618,"Supply",$G$2:$G$618,"&lt;&gt;STAT")-SUMIFS($K$2:$K$618,$B$2:$B$618,$B600,$C$2:$C$618,$C600,$D$2:$D$618,"Energy products",$E$2:$E$618,"Use",$G$2:$G$618,"&lt;&gt;STAT"),10),IF($J600="cambio de signo",-INDEX(DATOS_MODELO!$U$2:$U$3672,MATCH($H600,DATOS_MODELO!$B$2:$B$3672,0)),IF($J600="valor absoluto",ABS(INDEX(DATOS_MODELO!$U$2:$U$3672,MATCH($H600,DATOS_MODELO!$B$2:$B$3672,0))),INDEX(DATOS_MODELO!$U$2:$U$3672,MATCH($H600,DATOS_MODELO!$B$2:$B$3672,0))))))</f>
        <v>3732.1697</v>
      </c>
      <c r="L600" s="8" t="str">
        <f aca="false">IF(LEFT($H600,5)&lt;&gt;"STAT_","",IF(ABS($K600)&lt;=COUNTIFS($B$2:$B$618,$B600,$C$2:$C$618,$C600,$D$2:$D$618,"Energy products",$G$2:$G$618,"&lt;&gt;STAT")*PARAMETROS!$B$6,"redondeo","residuo_estadistico"))</f>
        <v/>
      </c>
      <c r="M600" s="8" t="str">
        <f>IF(OR($I600="USO_NO_ENERGETICO_APARENTE",$I600="USO_ENERGETICO_INTERNO_APARENTE"),"CAL",IF(LEFT($H600,5)="STAT_","FORMULA",IF(COUNTIF(DATOS_MODELO!$B$2:$B$3672,$H600)=1,"OK","REVISAR")))</f>
        <v>OK</v>
      </c>
    </row>
    <row r="601" customFormat="false" ht="15" hidden="false" customHeight="false" outlineLevel="0" collapsed="false">
      <c r="A601" s="4" t="s">
        <v>3295</v>
      </c>
      <c r="B601" s="12" t="n">
        <v>2018</v>
      </c>
      <c r="C601" s="4" t="s">
        <v>107</v>
      </c>
      <c r="D601" s="4" t="s">
        <v>1993</v>
      </c>
      <c r="E601" s="4" t="s">
        <v>1994</v>
      </c>
      <c r="F601" s="4" t="s">
        <v>2029</v>
      </c>
      <c r="G601" s="4" t="s">
        <v>69</v>
      </c>
      <c r="H601" s="4" t="s">
        <v>388</v>
      </c>
      <c r="I601" s="4" t="s">
        <v>2030</v>
      </c>
      <c r="J601" s="4" t="s">
        <v>1997</v>
      </c>
      <c r="K601" s="14">
        <f>IF(OR($I601="USO_NO_ENERGETICO_APARENTE",$I601="USO_ENERGETICO_INTERNO_APARENTE"),ROUND(SUMIFS($K$2:$K$618,$B$2:$B$618,$B601,$C$2:$C$618,$C601,$D$2:$D$618,"Energy products",$E$2:$E$618,"Supply",$G$2:$G$618,"&lt;&gt;STAT")-SUMIFS($K$2:$K$618,$B$2:$B$618,$B601,$C$2:$C$618,$C601,$D$2:$D$618,"Energy products",$E$2:$E$618,"Use",$G$2:$G$618,"&lt;&gt;STAT",$I$2:$I$618,"&lt;&gt;USO_NO_ENERGETICO_APARENTE",$I$2:$I$618,"&lt;&gt;USO_ENERGETICO_INTERNO_APARENTE"),10),IF(LEFT($H601,5)="STAT_",ROUND(SUMIFS($K$2:$K$618,$B$2:$B$618,$B601,$C$2:$C$618,$C601,$D$2:$D$618,"Energy products",$E$2:$E$618,"Supply",$G$2:$G$618,"&lt;&gt;STAT")-SUMIFS($K$2:$K$618,$B$2:$B$618,$B601,$C$2:$C$618,$C601,$D$2:$D$618,"Energy products",$E$2:$E$618,"Use",$G$2:$G$618,"&lt;&gt;STAT"),10),IF($J601="cambio de signo",-INDEX(DATOS_MODELO!$U$2:$U$3672,MATCH($H601,DATOS_MODELO!$B$2:$B$3672,0)),IF($J601="valor absoluto",ABS(INDEX(DATOS_MODELO!$U$2:$U$3672,MATCH($H601,DATOS_MODELO!$B$2:$B$3672,0))),INDEX(DATOS_MODELO!$U$2:$U$3672,MATCH($H601,DATOS_MODELO!$B$2:$B$3672,0))))))</f>
        <v>4182.0961</v>
      </c>
      <c r="L601" s="8" t="str">
        <f aca="false">IF(LEFT($H601,5)&lt;&gt;"STAT_","",IF(ABS($K601)&lt;=COUNTIFS($B$2:$B$618,$B601,$C$2:$C$618,$C601,$D$2:$D$618,"Energy products",$G$2:$G$618,"&lt;&gt;STAT")*PARAMETROS!$B$6,"redondeo","residuo_estadistico"))</f>
        <v/>
      </c>
      <c r="M601" s="8" t="str">
        <f>IF(OR($I601="USO_NO_ENERGETICO_APARENTE",$I601="USO_ENERGETICO_INTERNO_APARENTE"),"CAL",IF(LEFT($H601,5)="STAT_","FORMULA",IF(COUNTIF(DATOS_MODELO!$B$2:$B$3672,$H601)=1,"OK","REVISAR")))</f>
        <v>OK</v>
      </c>
    </row>
    <row r="602" customFormat="false" ht="15" hidden="false" customHeight="false" outlineLevel="0" collapsed="false">
      <c r="A602" s="4" t="s">
        <v>3297</v>
      </c>
      <c r="B602" s="12" t="n">
        <v>2018</v>
      </c>
      <c r="C602" s="4" t="s">
        <v>107</v>
      </c>
      <c r="D602" s="4" t="s">
        <v>1993</v>
      </c>
      <c r="E602" s="4" t="s">
        <v>2001</v>
      </c>
      <c r="F602" s="4" t="s">
        <v>2091</v>
      </c>
      <c r="G602" s="4" t="s">
        <v>69</v>
      </c>
      <c r="H602" s="4" t="s">
        <v>389</v>
      </c>
      <c r="I602" s="4" t="s">
        <v>2030</v>
      </c>
      <c r="J602" s="4" t="s">
        <v>1997</v>
      </c>
      <c r="K602" s="14">
        <f>IF(OR($I602="USO_NO_ENERGETICO_APARENTE",$I602="USO_ENERGETICO_INTERNO_APARENTE"),ROUND(SUMIFS($K$2:$K$618,$B$2:$B$618,$B602,$C$2:$C$618,$C602,$D$2:$D$618,"Energy products",$E$2:$E$618,"Supply",$G$2:$G$618,"&lt;&gt;STAT")-SUMIFS($K$2:$K$618,$B$2:$B$618,$B602,$C$2:$C$618,$C602,$D$2:$D$618,"Energy products",$E$2:$E$618,"Use",$G$2:$G$618,"&lt;&gt;STAT",$I$2:$I$618,"&lt;&gt;USO_NO_ENERGETICO_APARENTE",$I$2:$I$618,"&lt;&gt;USO_ENERGETICO_INTERNO_APARENTE"),10),IF(LEFT($H602,5)="STAT_",ROUND(SUMIFS($K$2:$K$618,$B$2:$B$618,$B602,$C$2:$C$618,$C602,$D$2:$D$618,"Energy products",$E$2:$E$618,"Supply",$G$2:$G$618,"&lt;&gt;STAT")-SUMIFS($K$2:$K$618,$B$2:$B$618,$B602,$C$2:$C$618,$C602,$D$2:$D$618,"Energy products",$E$2:$E$618,"Use",$G$2:$G$618,"&lt;&gt;STAT"),10),IF($J602="cambio de signo",-INDEX(DATOS_MODELO!$U$2:$U$3672,MATCH($H602,DATOS_MODELO!$B$2:$B$3672,0)),IF($J602="valor absoluto",ABS(INDEX(DATOS_MODELO!$U$2:$U$3672,MATCH($H602,DATOS_MODELO!$B$2:$B$3672,0))),INDEX(DATOS_MODELO!$U$2:$U$3672,MATCH($H602,DATOS_MODELO!$B$2:$B$3672,0))))))</f>
        <v>710.6211</v>
      </c>
      <c r="L602" s="8" t="str">
        <f aca="false">IF(LEFT($H602,5)&lt;&gt;"STAT_","",IF(ABS($K602)&lt;=COUNTIFS($B$2:$B$618,$B602,$C$2:$C$618,$C602,$D$2:$D$618,"Energy products",$G$2:$G$618,"&lt;&gt;STAT")*PARAMETROS!$B$6,"redondeo","residuo_estadistico"))</f>
        <v/>
      </c>
      <c r="M602" s="8" t="str">
        <f>IF(OR($I602="USO_NO_ENERGETICO_APARENTE",$I602="USO_ENERGETICO_INTERNO_APARENTE"),"CAL",IF(LEFT($H602,5)="STAT_","FORMULA",IF(COUNTIF(DATOS_MODELO!$B$2:$B$3672,$H602)=1,"OK","REVISAR")))</f>
        <v>OK</v>
      </c>
    </row>
    <row r="603" customFormat="false" ht="15" hidden="false" customHeight="false" outlineLevel="0" collapsed="false">
      <c r="A603" s="4" t="s">
        <v>3299</v>
      </c>
      <c r="B603" s="12" t="n">
        <v>2018</v>
      </c>
      <c r="C603" s="4" t="s">
        <v>107</v>
      </c>
      <c r="D603" s="4" t="s">
        <v>1993</v>
      </c>
      <c r="E603" s="4" t="s">
        <v>2001</v>
      </c>
      <c r="F603" s="4" t="s">
        <v>2034</v>
      </c>
      <c r="G603" s="4" t="s">
        <v>74</v>
      </c>
      <c r="H603" s="4" t="s">
        <v>390</v>
      </c>
      <c r="I603" s="4" t="s">
        <v>2035</v>
      </c>
      <c r="J603" s="4" t="s">
        <v>2036</v>
      </c>
      <c r="K603" s="14">
        <f>IF(OR($I603="USO_NO_ENERGETICO_APARENTE",$I603="USO_ENERGETICO_INTERNO_APARENTE"),ROUND(SUMIFS($K$2:$K$618,$B$2:$B$618,$B603,$C$2:$C$618,$C603,$D$2:$D$618,"Energy products",$E$2:$E$618,"Supply",$G$2:$G$618,"&lt;&gt;STAT")-SUMIFS($K$2:$K$618,$B$2:$B$618,$B603,$C$2:$C$618,$C603,$D$2:$D$618,"Energy products",$E$2:$E$618,"Use",$G$2:$G$618,"&lt;&gt;STAT",$I$2:$I$618,"&lt;&gt;USO_NO_ENERGETICO_APARENTE",$I$2:$I$618,"&lt;&gt;USO_ENERGETICO_INTERNO_APARENTE"),10),IF(LEFT($H603,5)="STAT_",ROUND(SUMIFS($K$2:$K$618,$B$2:$B$618,$B603,$C$2:$C$618,$C603,$D$2:$D$618,"Energy products",$E$2:$E$618,"Supply",$G$2:$G$618,"&lt;&gt;STAT")-SUMIFS($K$2:$K$618,$B$2:$B$618,$B603,$C$2:$C$618,$C603,$D$2:$D$618,"Energy products",$E$2:$E$618,"Use",$G$2:$G$618,"&lt;&gt;STAT"),10),IF($J603="cambio de signo",-INDEX(DATOS_MODELO!$U$2:$U$3672,MATCH($H603,DATOS_MODELO!$B$2:$B$3672,0)),IF($J603="valor absoluto",ABS(INDEX(DATOS_MODELO!$U$2:$U$3672,MATCH($H603,DATOS_MODELO!$B$2:$B$3672,0))),INDEX(DATOS_MODELO!$U$2:$U$3672,MATCH($H603,DATOS_MODELO!$B$2:$B$3672,0))))))</f>
        <v>-974.5113</v>
      </c>
      <c r="L603" s="8" t="str">
        <f aca="false">IF(LEFT($H603,5)&lt;&gt;"STAT_","",IF(ABS($K603)&lt;=COUNTIFS($B$2:$B$618,$B603,$C$2:$C$618,$C603,$D$2:$D$618,"Energy products",$G$2:$G$618,"&lt;&gt;STAT")*PARAMETROS!$B$6,"redondeo","residuo_estadistico"))</f>
        <v/>
      </c>
      <c r="M603" s="8" t="str">
        <f>IF(OR($I603="USO_NO_ENERGETICO_APARENTE",$I603="USO_ENERGETICO_INTERNO_APARENTE"),"CAL",IF(LEFT($H603,5)="STAT_","FORMULA",IF(COUNTIF(DATOS_MODELO!$B$2:$B$3672,$H603)=1,"OK","REVISAR")))</f>
        <v>OK</v>
      </c>
    </row>
    <row r="604" customFormat="false" ht="15" hidden="false" customHeight="false" outlineLevel="0" collapsed="false">
      <c r="A604" s="4" t="s">
        <v>3301</v>
      </c>
      <c r="B604" s="12" t="n">
        <v>2018</v>
      </c>
      <c r="C604" s="4" t="s">
        <v>107</v>
      </c>
      <c r="D604" s="4" t="s">
        <v>1993</v>
      </c>
      <c r="E604" s="4" t="s">
        <v>2001</v>
      </c>
      <c r="F604" s="4" t="s">
        <v>2002</v>
      </c>
      <c r="G604" s="4" t="s">
        <v>71</v>
      </c>
      <c r="H604" s="4" t="s">
        <v>395</v>
      </c>
      <c r="I604" s="4" t="s">
        <v>2123</v>
      </c>
      <c r="J604" s="4" t="s">
        <v>1997</v>
      </c>
      <c r="K604" s="14">
        <f>IF(OR($I604="USO_NO_ENERGETICO_APARENTE",$I604="USO_ENERGETICO_INTERNO_APARENTE"),ROUND(SUMIFS($K$2:$K$618,$B$2:$B$618,$B604,$C$2:$C$618,$C604,$D$2:$D$618,"Energy products",$E$2:$E$618,"Supply",$G$2:$G$618,"&lt;&gt;STAT")-SUMIFS($K$2:$K$618,$B$2:$B$618,$B604,$C$2:$C$618,$C604,$D$2:$D$618,"Energy products",$E$2:$E$618,"Use",$G$2:$G$618,"&lt;&gt;STAT",$I$2:$I$618,"&lt;&gt;USO_NO_ENERGETICO_APARENTE",$I$2:$I$618,"&lt;&gt;USO_ENERGETICO_INTERNO_APARENTE"),10),IF(LEFT($H604,5)="STAT_",ROUND(SUMIFS($K$2:$K$618,$B$2:$B$618,$B604,$C$2:$C$618,$C604,$D$2:$D$618,"Energy products",$E$2:$E$618,"Supply",$G$2:$G$618,"&lt;&gt;STAT")-SUMIFS($K$2:$K$618,$B$2:$B$618,$B604,$C$2:$C$618,$C604,$D$2:$D$618,"Energy products",$E$2:$E$618,"Use",$G$2:$G$618,"&lt;&gt;STAT"),10),IF($J604="cambio de signo",-INDEX(DATOS_MODELO!$U$2:$U$3672,MATCH($H604,DATOS_MODELO!$B$2:$B$3672,0)),IF($J604="valor absoluto",ABS(INDEX(DATOS_MODELO!$U$2:$U$3672,MATCH($H604,DATOS_MODELO!$B$2:$B$3672,0))),INDEX(DATOS_MODELO!$U$2:$U$3672,MATCH($H604,DATOS_MODELO!$B$2:$B$3672,0))))))</f>
        <v>4421.41</v>
      </c>
      <c r="L604" s="8" t="str">
        <f aca="false">IF(LEFT($H604,5)&lt;&gt;"STAT_","",IF(ABS($K604)&lt;=COUNTIFS($B$2:$B$618,$B604,$C$2:$C$618,$C604,$D$2:$D$618,"Energy products",$G$2:$G$618,"&lt;&gt;STAT")*PARAMETROS!$B$6,"redondeo","residuo_estadistico"))</f>
        <v/>
      </c>
      <c r="M604" s="8" t="str">
        <f>IF(OR($I604="USO_NO_ENERGETICO_APARENTE",$I604="USO_ENERGETICO_INTERNO_APARENTE"),"CAL",IF(LEFT($H604,5)="STAT_","FORMULA",IF(COUNTIF(DATOS_MODELO!$B$2:$B$3672,$H604)=1,"OK","REVISAR")))</f>
        <v>OK</v>
      </c>
    </row>
    <row r="605" customFormat="false" ht="15" hidden="false" customHeight="false" outlineLevel="0" collapsed="false">
      <c r="A605" s="4" t="s">
        <v>3303</v>
      </c>
      <c r="B605" s="12" t="n">
        <v>2018</v>
      </c>
      <c r="C605" s="4" t="s">
        <v>107</v>
      </c>
      <c r="D605" s="4" t="s">
        <v>1993</v>
      </c>
      <c r="E605" s="4" t="s">
        <v>2001</v>
      </c>
      <c r="F605" s="4" t="s">
        <v>2074</v>
      </c>
      <c r="G605" s="4" t="s">
        <v>73</v>
      </c>
      <c r="H605" s="4" t="s">
        <v>396</v>
      </c>
      <c r="I605" s="4" t="s">
        <v>2075</v>
      </c>
      <c r="J605" s="4" t="s">
        <v>1997</v>
      </c>
      <c r="K605" s="14">
        <f>IF(OR($I605="USO_NO_ENERGETICO_APARENTE",$I605="USO_ENERGETICO_INTERNO_APARENTE"),ROUND(SUMIFS($K$2:$K$618,$B$2:$B$618,$B605,$C$2:$C$618,$C605,$D$2:$D$618,"Energy products",$E$2:$E$618,"Supply",$G$2:$G$618,"&lt;&gt;STAT")-SUMIFS($K$2:$K$618,$B$2:$B$618,$B605,$C$2:$C$618,$C605,$D$2:$D$618,"Energy products",$E$2:$E$618,"Use",$G$2:$G$618,"&lt;&gt;STAT",$I$2:$I$618,"&lt;&gt;USO_NO_ENERGETICO_APARENTE",$I$2:$I$618,"&lt;&gt;USO_ENERGETICO_INTERNO_APARENTE"),10),IF(LEFT($H605,5)="STAT_",ROUND(SUMIFS($K$2:$K$618,$B$2:$B$618,$B605,$C$2:$C$618,$C605,$D$2:$D$618,"Energy products",$E$2:$E$618,"Supply",$G$2:$G$618,"&lt;&gt;STAT")-SUMIFS($K$2:$K$618,$B$2:$B$618,$B605,$C$2:$C$618,$C605,$D$2:$D$618,"Energy products",$E$2:$E$618,"Use",$G$2:$G$618,"&lt;&gt;STAT"),10),IF($J605="cambio de signo",-INDEX(DATOS_MODELO!$U$2:$U$3672,MATCH($H605,DATOS_MODELO!$B$2:$B$3672,0)),IF($J605="valor absoluto",ABS(INDEX(DATOS_MODELO!$U$2:$U$3672,MATCH($H605,DATOS_MODELO!$B$2:$B$3672,0))),INDEX(DATOS_MODELO!$U$2:$U$3672,MATCH($H605,DATOS_MODELO!$B$2:$B$3672,0))))))</f>
        <v>20.6836</v>
      </c>
      <c r="L605" s="8" t="str">
        <f aca="false">IF(LEFT($H605,5)&lt;&gt;"STAT_","",IF(ABS($K605)&lt;=COUNTIFS($B$2:$B$618,$B605,$C$2:$C$618,$C605,$D$2:$D$618,"Energy products",$G$2:$G$618,"&lt;&gt;STAT")*PARAMETROS!$B$6,"redondeo","residuo_estadistico"))</f>
        <v/>
      </c>
      <c r="M605" s="8" t="str">
        <f>IF(OR($I605="USO_NO_ENERGETICO_APARENTE",$I605="USO_ENERGETICO_INTERNO_APARENTE"),"CAL",IF(LEFT($H605,5)="STAT_","FORMULA",IF(COUNTIF(DATOS_MODELO!$B$2:$B$3672,$H605)=1,"OK","REVISAR")))</f>
        <v>OK</v>
      </c>
    </row>
    <row r="606" customFormat="false" ht="15" hidden="false" customHeight="false" outlineLevel="0" collapsed="false">
      <c r="A606" s="4" t="s">
        <v>3305</v>
      </c>
      <c r="B606" s="12" t="n">
        <v>2018</v>
      </c>
      <c r="C606" s="4" t="s">
        <v>107</v>
      </c>
      <c r="D606" s="4" t="s">
        <v>1993</v>
      </c>
      <c r="E606" s="4" t="s">
        <v>2001</v>
      </c>
      <c r="F606" s="4" t="s">
        <v>2002</v>
      </c>
      <c r="G606" s="4" t="s">
        <v>72</v>
      </c>
      <c r="H606" s="4" t="s">
        <v>397</v>
      </c>
      <c r="I606" s="4" t="s">
        <v>2079</v>
      </c>
      <c r="J606" s="4" t="s">
        <v>1997</v>
      </c>
      <c r="K606" s="14">
        <f>IF(OR($I606="USO_NO_ENERGETICO_APARENTE",$I606="USO_ENERGETICO_INTERNO_APARENTE"),ROUND(SUMIFS($K$2:$K$618,$B$2:$B$618,$B606,$C$2:$C$618,$C606,$D$2:$D$618,"Energy products",$E$2:$E$618,"Supply",$G$2:$G$618,"&lt;&gt;STAT")-SUMIFS($K$2:$K$618,$B$2:$B$618,$B606,$C$2:$C$618,$C606,$D$2:$D$618,"Energy products",$E$2:$E$618,"Use",$G$2:$G$618,"&lt;&gt;STAT",$I$2:$I$618,"&lt;&gt;USO_NO_ENERGETICO_APARENTE",$I$2:$I$618,"&lt;&gt;USO_ENERGETICO_INTERNO_APARENTE"),10),IF(LEFT($H606,5)="STAT_",ROUND(SUMIFS($K$2:$K$618,$B$2:$B$618,$B606,$C$2:$C$618,$C606,$D$2:$D$618,"Energy products",$E$2:$E$618,"Supply",$G$2:$G$618,"&lt;&gt;STAT")-SUMIFS($K$2:$K$618,$B$2:$B$618,$B606,$C$2:$C$618,$C606,$D$2:$D$618,"Energy products",$E$2:$E$618,"Use",$G$2:$G$618,"&lt;&gt;STAT"),10),IF($J606="cambio de signo",-INDEX(DATOS_MODELO!$U$2:$U$3672,MATCH($H606,DATOS_MODELO!$B$2:$B$3672,0)),IF($J606="valor absoluto",ABS(INDEX(DATOS_MODELO!$U$2:$U$3672,MATCH($H606,DATOS_MODELO!$B$2:$B$3672,0))),INDEX(DATOS_MODELO!$U$2:$U$3672,MATCH($H606,DATOS_MODELO!$B$2:$B$3672,0))))))</f>
        <v>0.9877</v>
      </c>
      <c r="L606" s="8" t="str">
        <f aca="false">IF(LEFT($H606,5)&lt;&gt;"STAT_","",IF(ABS($K606)&lt;=COUNTIFS($B$2:$B$618,$B606,$C$2:$C$618,$C606,$D$2:$D$618,"Energy products",$G$2:$G$618,"&lt;&gt;STAT")*PARAMETROS!$B$6,"redondeo","residuo_estadistico"))</f>
        <v/>
      </c>
      <c r="M606" s="8" t="str">
        <f>IF(OR($I606="USO_NO_ENERGETICO_APARENTE",$I606="USO_ENERGETICO_INTERNO_APARENTE"),"CAL",IF(LEFT($H606,5)="STAT_","FORMULA",IF(COUNTIF(DATOS_MODELO!$B$2:$B$3672,$H606)=1,"OK","REVISAR")))</f>
        <v>OK</v>
      </c>
    </row>
    <row r="607" customFormat="false" ht="15" hidden="false" customHeight="false" outlineLevel="0" collapsed="false">
      <c r="A607" s="4" t="s">
        <v>3307</v>
      </c>
      <c r="B607" s="12" t="n">
        <v>2018</v>
      </c>
      <c r="C607" s="4" t="s">
        <v>107</v>
      </c>
      <c r="D607" s="4" t="s">
        <v>1993</v>
      </c>
      <c r="E607" s="4" t="s">
        <v>2001</v>
      </c>
      <c r="F607" s="4" t="s">
        <v>2002</v>
      </c>
      <c r="G607" s="4" t="s">
        <v>68</v>
      </c>
      <c r="H607" s="4" t="s">
        <v>398</v>
      </c>
      <c r="I607" s="4" t="s">
        <v>2111</v>
      </c>
      <c r="J607" s="4" t="s">
        <v>1997</v>
      </c>
      <c r="K607" s="14">
        <f>IF(OR($I607="USO_NO_ENERGETICO_APARENTE",$I607="USO_ENERGETICO_INTERNO_APARENTE"),ROUND(SUMIFS($K$2:$K$618,$B$2:$B$618,$B607,$C$2:$C$618,$C607,$D$2:$D$618,"Energy products",$E$2:$E$618,"Supply",$G$2:$G$618,"&lt;&gt;STAT")-SUMIFS($K$2:$K$618,$B$2:$B$618,$B607,$C$2:$C$618,$C607,$D$2:$D$618,"Energy products",$E$2:$E$618,"Use",$G$2:$G$618,"&lt;&gt;STAT",$I$2:$I$618,"&lt;&gt;USO_NO_ENERGETICO_APARENTE",$I$2:$I$618,"&lt;&gt;USO_ENERGETICO_INTERNO_APARENTE"),10),IF(LEFT($H607,5)="STAT_",ROUND(SUMIFS($K$2:$K$618,$B$2:$B$618,$B607,$C$2:$C$618,$C607,$D$2:$D$618,"Energy products",$E$2:$E$618,"Supply",$G$2:$G$618,"&lt;&gt;STAT")-SUMIFS($K$2:$K$618,$B$2:$B$618,$B607,$C$2:$C$618,$C607,$D$2:$D$618,"Energy products",$E$2:$E$618,"Use",$G$2:$G$618,"&lt;&gt;STAT"),10),IF($J607="cambio de signo",-INDEX(DATOS_MODELO!$U$2:$U$3672,MATCH($H607,DATOS_MODELO!$B$2:$B$3672,0)),IF($J607="valor absoluto",ABS(INDEX(DATOS_MODELO!$U$2:$U$3672,MATCH($H607,DATOS_MODELO!$B$2:$B$3672,0))),INDEX(DATOS_MODELO!$U$2:$U$3672,MATCH($H607,DATOS_MODELO!$B$2:$B$3672,0))))))</f>
        <v>2.9631</v>
      </c>
      <c r="L607" s="8" t="str">
        <f aca="false">IF(LEFT($H607,5)&lt;&gt;"STAT_","",IF(ABS($K607)&lt;=COUNTIFS($B$2:$B$618,$B607,$C$2:$C$618,$C607,$D$2:$D$618,"Energy products",$G$2:$G$618,"&lt;&gt;STAT")*PARAMETROS!$B$6,"redondeo","residuo_estadistico"))</f>
        <v/>
      </c>
      <c r="M607" s="8" t="str">
        <f>IF(OR($I607="USO_NO_ENERGETICO_APARENTE",$I607="USO_ENERGETICO_INTERNO_APARENTE"),"CAL",IF(LEFT($H607,5)="STAT_","FORMULA",IF(COUNTIF(DATOS_MODELO!$B$2:$B$3672,$H607)=1,"OK","REVISAR")))</f>
        <v>OK</v>
      </c>
    </row>
    <row r="608" customFormat="false" ht="15" hidden="false" customHeight="false" outlineLevel="0" collapsed="false">
      <c r="A608" s="4" t="s">
        <v>3309</v>
      </c>
      <c r="B608" s="12" t="n">
        <v>2018</v>
      </c>
      <c r="C608" s="4" t="s">
        <v>111</v>
      </c>
      <c r="D608" s="4" t="s">
        <v>1993</v>
      </c>
      <c r="E608" s="4" t="s">
        <v>1994</v>
      </c>
      <c r="F608" s="4" t="s">
        <v>2029</v>
      </c>
      <c r="G608" s="4" t="s">
        <v>69</v>
      </c>
      <c r="H608" s="4" t="s">
        <v>402</v>
      </c>
      <c r="I608" s="4" t="s">
        <v>2030</v>
      </c>
      <c r="J608" s="4" t="s">
        <v>1997</v>
      </c>
      <c r="K608" s="14">
        <f>IF(OR($I608="USO_NO_ENERGETICO_APARENTE",$I608="USO_ENERGETICO_INTERNO_APARENTE"),ROUND(SUMIFS($K$2:$K$618,$B$2:$B$618,$B608,$C$2:$C$618,$C608,$D$2:$D$618,"Energy products",$E$2:$E$618,"Supply",$G$2:$G$618,"&lt;&gt;STAT")-SUMIFS($K$2:$K$618,$B$2:$B$618,$B608,$C$2:$C$618,$C608,$D$2:$D$618,"Energy products",$E$2:$E$618,"Use",$G$2:$G$618,"&lt;&gt;STAT",$I$2:$I$618,"&lt;&gt;USO_NO_ENERGETICO_APARENTE",$I$2:$I$618,"&lt;&gt;USO_ENERGETICO_INTERNO_APARENTE"),10),IF(LEFT($H608,5)="STAT_",ROUND(SUMIFS($K$2:$K$618,$B$2:$B$618,$B608,$C$2:$C$618,$C608,$D$2:$D$618,"Energy products",$E$2:$E$618,"Supply",$G$2:$G$618,"&lt;&gt;STAT")-SUMIFS($K$2:$K$618,$B$2:$B$618,$B608,$C$2:$C$618,$C608,$D$2:$D$618,"Energy products",$E$2:$E$618,"Use",$G$2:$G$618,"&lt;&gt;STAT"),10),IF($J608="cambio de signo",-INDEX(DATOS_MODELO!$U$2:$U$3672,MATCH($H608,DATOS_MODELO!$B$2:$B$3672,0)),IF($J608="valor absoluto",ABS(INDEX(DATOS_MODELO!$U$2:$U$3672,MATCH($H608,DATOS_MODELO!$B$2:$B$3672,0))),INDEX(DATOS_MODELO!$U$2:$U$3672,MATCH($H608,DATOS_MODELO!$B$2:$B$3672,0))))))</f>
        <v>309.673</v>
      </c>
      <c r="L608" s="8" t="str">
        <f aca="false">IF(LEFT($H608,5)&lt;&gt;"STAT_","",IF(ABS($K608)&lt;=COUNTIFS($B$2:$B$618,$B608,$C$2:$C$618,$C608,$D$2:$D$618,"Energy products",$G$2:$G$618,"&lt;&gt;STAT")*PARAMETROS!$B$6,"redondeo","residuo_estadistico"))</f>
        <v/>
      </c>
      <c r="M608" s="8" t="str">
        <f>IF(OR($I608="USO_NO_ENERGETICO_APARENTE",$I608="USO_ENERGETICO_INTERNO_APARENTE"),"CAL",IF(LEFT($H608,5)="STAT_","FORMULA",IF(COUNTIF(DATOS_MODELO!$B$2:$B$3672,$H608)=1,"OK","REVISAR")))</f>
        <v>OK</v>
      </c>
    </row>
    <row r="609" customFormat="false" ht="15" hidden="false" customHeight="false" outlineLevel="0" collapsed="false">
      <c r="A609" s="4" t="s">
        <v>3311</v>
      </c>
      <c r="B609" s="12" t="n">
        <v>2018</v>
      </c>
      <c r="C609" s="4" t="s">
        <v>111</v>
      </c>
      <c r="D609" s="4" t="s">
        <v>1993</v>
      </c>
      <c r="E609" s="4" t="s">
        <v>2001</v>
      </c>
      <c r="F609" s="4" t="s">
        <v>2091</v>
      </c>
      <c r="G609" s="4" t="s">
        <v>69</v>
      </c>
      <c r="H609" s="4" t="s">
        <v>403</v>
      </c>
      <c r="I609" s="4" t="s">
        <v>2030</v>
      </c>
      <c r="J609" s="4" t="s">
        <v>1997</v>
      </c>
      <c r="K609" s="14">
        <f>IF(OR($I609="USO_NO_ENERGETICO_APARENTE",$I609="USO_ENERGETICO_INTERNO_APARENTE"),ROUND(SUMIFS($K$2:$K$618,$B$2:$B$618,$B609,$C$2:$C$618,$C609,$D$2:$D$618,"Energy products",$E$2:$E$618,"Supply",$G$2:$G$618,"&lt;&gt;STAT")-SUMIFS($K$2:$K$618,$B$2:$B$618,$B609,$C$2:$C$618,$C609,$D$2:$D$618,"Energy products",$E$2:$E$618,"Use",$G$2:$G$618,"&lt;&gt;STAT",$I$2:$I$618,"&lt;&gt;USO_NO_ENERGETICO_APARENTE",$I$2:$I$618,"&lt;&gt;USO_ENERGETICO_INTERNO_APARENTE"),10),IF(LEFT($H609,5)="STAT_",ROUND(SUMIFS($K$2:$K$618,$B$2:$B$618,$B609,$C$2:$C$618,$C609,$D$2:$D$618,"Energy products",$E$2:$E$618,"Supply",$G$2:$G$618,"&lt;&gt;STAT")-SUMIFS($K$2:$K$618,$B$2:$B$618,$B609,$C$2:$C$618,$C609,$D$2:$D$618,"Energy products",$E$2:$E$618,"Use",$G$2:$G$618,"&lt;&gt;STAT"),10),IF($J609="cambio de signo",-INDEX(DATOS_MODELO!$U$2:$U$3672,MATCH($H609,DATOS_MODELO!$B$2:$B$3672,0)),IF($J609="valor absoluto",ABS(INDEX(DATOS_MODELO!$U$2:$U$3672,MATCH($H609,DATOS_MODELO!$B$2:$B$3672,0))),INDEX(DATOS_MODELO!$U$2:$U$3672,MATCH($H609,DATOS_MODELO!$B$2:$B$3672,0))))))</f>
        <v>1090.2465</v>
      </c>
      <c r="L609" s="8" t="str">
        <f aca="false">IF(LEFT($H609,5)&lt;&gt;"STAT_","",IF(ABS($K609)&lt;=COUNTIFS($B$2:$B$618,$B609,$C$2:$C$618,$C609,$D$2:$D$618,"Energy products",$G$2:$G$618,"&lt;&gt;STAT")*PARAMETROS!$B$6,"redondeo","residuo_estadistico"))</f>
        <v/>
      </c>
      <c r="M609" s="8" t="str">
        <f>IF(OR($I609="USO_NO_ENERGETICO_APARENTE",$I609="USO_ENERGETICO_INTERNO_APARENTE"),"CAL",IF(LEFT($H609,5)="STAT_","FORMULA",IF(COUNTIF(DATOS_MODELO!$B$2:$B$3672,$H609)=1,"OK","REVISAR")))</f>
        <v>OK</v>
      </c>
    </row>
    <row r="610" customFormat="false" ht="15" hidden="false" customHeight="false" outlineLevel="0" collapsed="false">
      <c r="A610" s="4" t="s">
        <v>3313</v>
      </c>
      <c r="B610" s="12" t="n">
        <v>2018</v>
      </c>
      <c r="C610" s="4" t="s">
        <v>111</v>
      </c>
      <c r="D610" s="4" t="s">
        <v>1993</v>
      </c>
      <c r="E610" s="4" t="s">
        <v>2001</v>
      </c>
      <c r="F610" s="4" t="s">
        <v>2034</v>
      </c>
      <c r="G610" s="4" t="s">
        <v>74</v>
      </c>
      <c r="H610" s="4" t="s">
        <v>404</v>
      </c>
      <c r="I610" s="4" t="s">
        <v>2035</v>
      </c>
      <c r="J610" s="4" t="s">
        <v>2036</v>
      </c>
      <c r="K610" s="14">
        <f>IF(OR($I610="USO_NO_ENERGETICO_APARENTE",$I610="USO_ENERGETICO_INTERNO_APARENTE"),ROUND(SUMIFS($K$2:$K$618,$B$2:$B$618,$B610,$C$2:$C$618,$C610,$D$2:$D$618,"Energy products",$E$2:$E$618,"Supply",$G$2:$G$618,"&lt;&gt;STAT")-SUMIFS($K$2:$K$618,$B$2:$B$618,$B610,$C$2:$C$618,$C610,$D$2:$D$618,"Energy products",$E$2:$E$618,"Use",$G$2:$G$618,"&lt;&gt;STAT",$I$2:$I$618,"&lt;&gt;USO_NO_ENERGETICO_APARENTE",$I$2:$I$618,"&lt;&gt;USO_ENERGETICO_INTERNO_APARENTE"),10),IF(LEFT($H610,5)="STAT_",ROUND(SUMIFS($K$2:$K$618,$B$2:$B$618,$B610,$C$2:$C$618,$C610,$D$2:$D$618,"Energy products",$E$2:$E$618,"Supply",$G$2:$G$618,"&lt;&gt;STAT")-SUMIFS($K$2:$K$618,$B$2:$B$618,$B610,$C$2:$C$618,$C610,$D$2:$D$618,"Energy products",$E$2:$E$618,"Use",$G$2:$G$618,"&lt;&gt;STAT"),10),IF($J610="cambio de signo",-INDEX(DATOS_MODELO!$U$2:$U$3672,MATCH($H610,DATOS_MODELO!$B$2:$B$3672,0)),IF($J610="valor absoluto",ABS(INDEX(DATOS_MODELO!$U$2:$U$3672,MATCH($H610,DATOS_MODELO!$B$2:$B$3672,0))),INDEX(DATOS_MODELO!$U$2:$U$3672,MATCH($H610,DATOS_MODELO!$B$2:$B$3672,0))))))</f>
        <v>46.7124</v>
      </c>
      <c r="L610" s="8" t="str">
        <f aca="false">IF(LEFT($H610,5)&lt;&gt;"STAT_","",IF(ABS($K610)&lt;=COUNTIFS($B$2:$B$618,$B610,$C$2:$C$618,$C610,$D$2:$D$618,"Energy products",$G$2:$G$618,"&lt;&gt;STAT")*PARAMETROS!$B$6,"redondeo","residuo_estadistico"))</f>
        <v/>
      </c>
      <c r="M610" s="8" t="str">
        <f>IF(OR($I610="USO_NO_ENERGETICO_APARENTE",$I610="USO_ENERGETICO_INTERNO_APARENTE"),"CAL",IF(LEFT($H610,5)="STAT_","FORMULA",IF(COUNTIF(DATOS_MODELO!$B$2:$B$3672,$H610)=1,"OK","REVISAR")))</f>
        <v>OK</v>
      </c>
    </row>
    <row r="611" customFormat="false" ht="15" hidden="false" customHeight="false" outlineLevel="0" collapsed="false">
      <c r="A611" s="4" t="s">
        <v>3315</v>
      </c>
      <c r="B611" s="12" t="n">
        <v>2018</v>
      </c>
      <c r="C611" s="4" t="s">
        <v>111</v>
      </c>
      <c r="D611" s="4" t="s">
        <v>1993</v>
      </c>
      <c r="E611" s="4" t="s">
        <v>1994</v>
      </c>
      <c r="F611" s="4" t="s">
        <v>1995</v>
      </c>
      <c r="G611" s="4" t="s">
        <v>67</v>
      </c>
      <c r="H611" s="4" t="s">
        <v>405</v>
      </c>
      <c r="I611" s="4" t="s">
        <v>2097</v>
      </c>
      <c r="J611" s="4" t="s">
        <v>1997</v>
      </c>
      <c r="K611" s="14">
        <f>IF(OR($I611="USO_NO_ENERGETICO_APARENTE",$I611="USO_ENERGETICO_INTERNO_APARENTE"),ROUND(SUMIFS($K$2:$K$618,$B$2:$B$618,$B611,$C$2:$C$618,$C611,$D$2:$D$618,"Energy products",$E$2:$E$618,"Supply",$G$2:$G$618,"&lt;&gt;STAT")-SUMIFS($K$2:$K$618,$B$2:$B$618,$B611,$C$2:$C$618,$C611,$D$2:$D$618,"Energy products",$E$2:$E$618,"Use",$G$2:$G$618,"&lt;&gt;STAT",$I$2:$I$618,"&lt;&gt;USO_NO_ENERGETICO_APARENTE",$I$2:$I$618,"&lt;&gt;USO_ENERGETICO_INTERNO_APARENTE"),10),IF(LEFT($H611,5)="STAT_",ROUND(SUMIFS($K$2:$K$618,$B$2:$B$618,$B611,$C$2:$C$618,$C611,$D$2:$D$618,"Energy products",$E$2:$E$618,"Supply",$G$2:$G$618,"&lt;&gt;STAT")-SUMIFS($K$2:$K$618,$B$2:$B$618,$B611,$C$2:$C$618,$C611,$D$2:$D$618,"Energy products",$E$2:$E$618,"Use",$G$2:$G$618,"&lt;&gt;STAT"),10),IF($J611="cambio de signo",-INDEX(DATOS_MODELO!$U$2:$U$3672,MATCH($H611,DATOS_MODELO!$B$2:$B$3672,0)),IF($J611="valor absoluto",ABS(INDEX(DATOS_MODELO!$U$2:$U$3672,MATCH($H611,DATOS_MODELO!$B$2:$B$3672,0))),INDEX(DATOS_MODELO!$U$2:$U$3672,MATCH($H611,DATOS_MODELO!$B$2:$B$3672,0))))))</f>
        <v>3400.9997</v>
      </c>
      <c r="L611" s="8" t="str">
        <f aca="false">IF(LEFT($H611,5)&lt;&gt;"STAT_","",IF(ABS($K611)&lt;=COUNTIFS($B$2:$B$618,$B611,$C$2:$C$618,$C611,$D$2:$D$618,"Energy products",$G$2:$G$618,"&lt;&gt;STAT")*PARAMETROS!$B$6,"redondeo","residuo_estadistico"))</f>
        <v/>
      </c>
      <c r="M611" s="8" t="str">
        <f>IF(OR($I611="USO_NO_ENERGETICO_APARENTE",$I611="USO_ENERGETICO_INTERNO_APARENTE"),"CAL",IF(LEFT($H611,5)="STAT_","FORMULA",IF(COUNTIF(DATOS_MODELO!$B$2:$B$3672,$H611)=1,"OK","REVISAR")))</f>
        <v>OK</v>
      </c>
    </row>
    <row r="612" customFormat="false" ht="23.85" hidden="false" customHeight="false" outlineLevel="0" collapsed="false">
      <c r="A612" s="4" t="s">
        <v>3317</v>
      </c>
      <c r="B612" s="12" t="n">
        <v>2018</v>
      </c>
      <c r="C612" s="4" t="s">
        <v>97</v>
      </c>
      <c r="D612" s="4" t="s">
        <v>1993</v>
      </c>
      <c r="E612" s="4" t="s">
        <v>2001</v>
      </c>
      <c r="F612" s="4" t="s">
        <v>2218</v>
      </c>
      <c r="G612" s="4" t="s">
        <v>44</v>
      </c>
      <c r="H612" s="4" t="s">
        <v>3319</v>
      </c>
      <c r="I612" s="4" t="s">
        <v>2219</v>
      </c>
      <c r="J612" s="4" t="s">
        <v>2220</v>
      </c>
      <c r="K612" s="14">
        <f>IF(OR($I612="USO_NO_ENERGETICO_APARENTE",$I612="USO_ENERGETICO_INTERNO_APARENTE"),ROUND(SUMIFS($K$2:$K$618,$B$2:$B$618,$B612,$C$2:$C$618,$C612,$D$2:$D$618,"Energy products",$E$2:$E$618,"Supply",$G$2:$G$618,"&lt;&gt;STAT")-SUMIFS($K$2:$K$618,$B$2:$B$618,$B612,$C$2:$C$618,$C612,$D$2:$D$618,"Energy products",$E$2:$E$618,"Use",$G$2:$G$618,"&lt;&gt;STAT",$I$2:$I$618,"&lt;&gt;USO_NO_ENERGETICO_APARENTE",$I$2:$I$618,"&lt;&gt;USO_ENERGETICO_INTERNO_APARENTE"),10),IF(LEFT($H612,5)="STAT_",ROUND(SUMIFS($K$2:$K$618,$B$2:$B$618,$B612,$C$2:$C$618,$C612,$D$2:$D$618,"Energy products",$E$2:$E$618,"Supply",$G$2:$G$618,"&lt;&gt;STAT")-SUMIFS($K$2:$K$618,$B$2:$B$618,$B612,$C$2:$C$618,$C612,$D$2:$D$618,"Energy products",$E$2:$E$618,"Use",$G$2:$G$618,"&lt;&gt;STAT"),10),IF($J612="cambio de signo",-INDEX(DATOS_MODELO!$U$2:$U$3672,MATCH($H612,DATOS_MODELO!$B$2:$B$3672,0)),IF($J612="valor absoluto",ABS(INDEX(DATOS_MODELO!$U$2:$U$3672,MATCH($H612,DATOS_MODELO!$B$2:$B$3672,0))),INDEX(DATOS_MODELO!$U$2:$U$3672,MATCH($H612,DATOS_MODELO!$B$2:$B$3672,0))))))</f>
        <v>-0.0581</v>
      </c>
      <c r="L612" s="8" t="str">
        <f aca="false">IF(LEFT($H612,5)&lt;&gt;"STAT_","",IF(ABS($K612)&lt;=COUNTIFS($B$2:$B$618,$B612,$C$2:$C$618,$C612,$D$2:$D$618,"Energy products",$G$2:$G$618,"&lt;&gt;STAT")*PARAMETROS!$B$6,"redondeo","residuo_estadistico"))</f>
        <v>redondeo</v>
      </c>
      <c r="M612" s="8" t="str">
        <f>IF(OR($I612="USO_NO_ENERGETICO_APARENTE",$I612="USO_ENERGETICO_INTERNO_APARENTE"),"CAL",IF(LEFT($H612,5)="STAT_","FORMULA",IF(COUNTIF(DATOS_MODELO!$B$2:$B$3672,$H612)=1,"OK","REVISAR")))</f>
        <v>FORMULA</v>
      </c>
    </row>
    <row r="613" customFormat="false" ht="23.85" hidden="false" customHeight="false" outlineLevel="0" collapsed="false">
      <c r="A613" s="4" t="s">
        <v>3320</v>
      </c>
      <c r="B613" s="12" t="n">
        <v>2018</v>
      </c>
      <c r="C613" s="4" t="s">
        <v>101</v>
      </c>
      <c r="D613" s="4" t="s">
        <v>1993</v>
      </c>
      <c r="E613" s="4" t="s">
        <v>2001</v>
      </c>
      <c r="F613" s="4" t="s">
        <v>2218</v>
      </c>
      <c r="G613" s="4" t="s">
        <v>44</v>
      </c>
      <c r="H613" s="4" t="s">
        <v>3322</v>
      </c>
      <c r="I613" s="4" t="s">
        <v>2219</v>
      </c>
      <c r="J613" s="4" t="s">
        <v>2220</v>
      </c>
      <c r="K613" s="14">
        <f>IF(OR($I613="USO_NO_ENERGETICO_APARENTE",$I613="USO_ENERGETICO_INTERNO_APARENTE"),ROUND(SUMIFS($K$2:$K$618,$B$2:$B$618,$B613,$C$2:$C$618,$C613,$D$2:$D$618,"Energy products",$E$2:$E$618,"Supply",$G$2:$G$618,"&lt;&gt;STAT")-SUMIFS($K$2:$K$618,$B$2:$B$618,$B613,$C$2:$C$618,$C613,$D$2:$D$618,"Energy products",$E$2:$E$618,"Use",$G$2:$G$618,"&lt;&gt;STAT",$I$2:$I$618,"&lt;&gt;USO_NO_ENERGETICO_APARENTE",$I$2:$I$618,"&lt;&gt;USO_ENERGETICO_INTERNO_APARENTE"),10),IF(LEFT($H613,5)="STAT_",ROUND(SUMIFS($K$2:$K$618,$B$2:$B$618,$B613,$C$2:$C$618,$C613,$D$2:$D$618,"Energy products",$E$2:$E$618,"Supply",$G$2:$G$618,"&lt;&gt;STAT")-SUMIFS($K$2:$K$618,$B$2:$B$618,$B613,$C$2:$C$618,$C613,$D$2:$D$618,"Energy products",$E$2:$E$618,"Use",$G$2:$G$618,"&lt;&gt;STAT"),10),IF($J613="cambio de signo",-INDEX(DATOS_MODELO!$U$2:$U$3672,MATCH($H613,DATOS_MODELO!$B$2:$B$3672,0)),IF($J613="valor absoluto",ABS(INDEX(DATOS_MODELO!$U$2:$U$3672,MATCH($H613,DATOS_MODELO!$B$2:$B$3672,0))),INDEX(DATOS_MODELO!$U$2:$U$3672,MATCH($H613,DATOS_MODELO!$B$2:$B$3672,0))))))</f>
        <v>-0.0581</v>
      </c>
      <c r="L613" s="8" t="str">
        <f aca="false">IF(LEFT($H613,5)&lt;&gt;"STAT_","",IF(ABS($K613)&lt;=COUNTIFS($B$2:$B$618,$B613,$C$2:$C$618,$C613,$D$2:$D$618,"Energy products",$G$2:$G$618,"&lt;&gt;STAT")*PARAMETROS!$B$6,"redondeo","residuo_estadistico"))</f>
        <v>redondeo</v>
      </c>
      <c r="M613" s="8" t="str">
        <f>IF(OR($I613="USO_NO_ENERGETICO_APARENTE",$I613="USO_ENERGETICO_INTERNO_APARENTE"),"CAL",IF(LEFT($H613,5)="STAT_","FORMULA",IF(COUNTIF(DATOS_MODELO!$B$2:$B$3672,$H613)=1,"OK","REVISAR")))</f>
        <v>FORMULA</v>
      </c>
    </row>
    <row r="614" customFormat="false" ht="23.85" hidden="false" customHeight="false" outlineLevel="0" collapsed="false">
      <c r="A614" s="4" t="s">
        <v>3323</v>
      </c>
      <c r="B614" s="12" t="n">
        <v>2018</v>
      </c>
      <c r="C614" s="4" t="s">
        <v>103</v>
      </c>
      <c r="D614" s="4" t="s">
        <v>1993</v>
      </c>
      <c r="E614" s="4" t="s">
        <v>2001</v>
      </c>
      <c r="F614" s="4" t="s">
        <v>2218</v>
      </c>
      <c r="G614" s="4" t="s">
        <v>44</v>
      </c>
      <c r="H614" s="4" t="s">
        <v>3325</v>
      </c>
      <c r="I614" s="4" t="s">
        <v>2219</v>
      </c>
      <c r="J614" s="4" t="s">
        <v>2220</v>
      </c>
      <c r="K614" s="14">
        <f>IF(OR($I614="USO_NO_ENERGETICO_APARENTE",$I614="USO_ENERGETICO_INTERNO_APARENTE"),ROUND(SUMIFS($K$2:$K$618,$B$2:$B$618,$B614,$C$2:$C$618,$C614,$D$2:$D$618,"Energy products",$E$2:$E$618,"Supply",$G$2:$G$618,"&lt;&gt;STAT")-SUMIFS($K$2:$K$618,$B$2:$B$618,$B614,$C$2:$C$618,$C614,$D$2:$D$618,"Energy products",$E$2:$E$618,"Use",$G$2:$G$618,"&lt;&gt;STAT",$I$2:$I$618,"&lt;&gt;USO_NO_ENERGETICO_APARENTE",$I$2:$I$618,"&lt;&gt;USO_ENERGETICO_INTERNO_APARENTE"),10),IF(LEFT($H614,5)="STAT_",ROUND(SUMIFS($K$2:$K$618,$B$2:$B$618,$B614,$C$2:$C$618,$C614,$D$2:$D$618,"Energy products",$E$2:$E$618,"Supply",$G$2:$G$618,"&lt;&gt;STAT")-SUMIFS($K$2:$K$618,$B$2:$B$618,$B614,$C$2:$C$618,$C614,$D$2:$D$618,"Energy products",$E$2:$E$618,"Use",$G$2:$G$618,"&lt;&gt;STAT"),10),IF($J614="cambio de signo",-INDEX(DATOS_MODELO!$U$2:$U$3672,MATCH($H614,DATOS_MODELO!$B$2:$B$3672,0)),IF($J614="valor absoluto",ABS(INDEX(DATOS_MODELO!$U$2:$U$3672,MATCH($H614,DATOS_MODELO!$B$2:$B$3672,0))),INDEX(DATOS_MODELO!$U$2:$U$3672,MATCH($H614,DATOS_MODELO!$B$2:$B$3672,0))))))</f>
        <v>0.0581</v>
      </c>
      <c r="L614" s="8" t="str">
        <f aca="false">IF(LEFT($H614,5)&lt;&gt;"STAT_","",IF(ABS($K614)&lt;=COUNTIFS($B$2:$B$618,$B614,$C$2:$C$618,$C614,$D$2:$D$618,"Energy products",$G$2:$G$618,"&lt;&gt;STAT")*PARAMETROS!$B$6,"redondeo","residuo_estadistico"))</f>
        <v>redondeo</v>
      </c>
      <c r="M614" s="8" t="str">
        <f>IF(OR($I614="USO_NO_ENERGETICO_APARENTE",$I614="USO_ENERGETICO_INTERNO_APARENTE"),"CAL",IF(LEFT($H614,5)="STAT_","FORMULA",IF(COUNTIF(DATOS_MODELO!$B$2:$B$3672,$H614)=1,"OK","REVISAR")))</f>
        <v>FORMULA</v>
      </c>
    </row>
    <row r="615" customFormat="false" ht="23.85" hidden="false" customHeight="false" outlineLevel="0" collapsed="false">
      <c r="A615" s="4" t="s">
        <v>3326</v>
      </c>
      <c r="B615" s="12" t="n">
        <v>2018</v>
      </c>
      <c r="C615" s="4" t="s">
        <v>105</v>
      </c>
      <c r="D615" s="4" t="s">
        <v>1993</v>
      </c>
      <c r="E615" s="4" t="s">
        <v>2001</v>
      </c>
      <c r="F615" s="4" t="s">
        <v>2218</v>
      </c>
      <c r="G615" s="4" t="s">
        <v>44</v>
      </c>
      <c r="H615" s="4" t="s">
        <v>3328</v>
      </c>
      <c r="I615" s="4" t="s">
        <v>2219</v>
      </c>
      <c r="J615" s="4" t="s">
        <v>2220</v>
      </c>
      <c r="K615" s="14">
        <f>IF(OR($I615="USO_NO_ENERGETICO_APARENTE",$I615="USO_ENERGETICO_INTERNO_APARENTE"),ROUND(SUMIFS($K$2:$K$618,$B$2:$B$618,$B615,$C$2:$C$618,$C615,$D$2:$D$618,"Energy products",$E$2:$E$618,"Supply",$G$2:$G$618,"&lt;&gt;STAT")-SUMIFS($K$2:$K$618,$B$2:$B$618,$B615,$C$2:$C$618,$C615,$D$2:$D$618,"Energy products",$E$2:$E$618,"Use",$G$2:$G$618,"&lt;&gt;STAT",$I$2:$I$618,"&lt;&gt;USO_NO_ENERGETICO_APARENTE",$I$2:$I$618,"&lt;&gt;USO_ENERGETICO_INTERNO_APARENTE"),10),IF(LEFT($H615,5)="STAT_",ROUND(SUMIFS($K$2:$K$618,$B$2:$B$618,$B615,$C$2:$C$618,$C615,$D$2:$D$618,"Energy products",$E$2:$E$618,"Supply",$G$2:$G$618,"&lt;&gt;STAT")-SUMIFS($K$2:$K$618,$B$2:$B$618,$B615,$C$2:$C$618,$C615,$D$2:$D$618,"Energy products",$E$2:$E$618,"Use",$G$2:$G$618,"&lt;&gt;STAT"),10),IF($J615="cambio de signo",-INDEX(DATOS_MODELO!$U$2:$U$3672,MATCH($H615,DATOS_MODELO!$B$2:$B$3672,0)),IF($J615="valor absoluto",ABS(INDEX(DATOS_MODELO!$U$2:$U$3672,MATCH($H615,DATOS_MODELO!$B$2:$B$3672,0))),INDEX(DATOS_MODELO!$U$2:$U$3672,MATCH($H615,DATOS_MODELO!$B$2:$B$3672,0))))))</f>
        <v>-0.0581</v>
      </c>
      <c r="L615" s="8" t="str">
        <f aca="false">IF(LEFT($H615,5)&lt;&gt;"STAT_","",IF(ABS($K615)&lt;=COUNTIFS($B$2:$B$618,$B615,$C$2:$C$618,$C615,$D$2:$D$618,"Energy products",$G$2:$G$618,"&lt;&gt;STAT")*PARAMETROS!$B$6,"redondeo","residuo_estadistico"))</f>
        <v>redondeo</v>
      </c>
      <c r="M615" s="8" t="str">
        <f>IF(OR($I615="USO_NO_ENERGETICO_APARENTE",$I615="USO_ENERGETICO_INTERNO_APARENTE"),"CAL",IF(LEFT($H615,5)="STAT_","FORMULA",IF(COUNTIF(DATOS_MODELO!$B$2:$B$3672,$H615)=1,"OK","REVISAR")))</f>
        <v>FORMULA</v>
      </c>
    </row>
    <row r="616" customFormat="false" ht="23.85" hidden="false" customHeight="false" outlineLevel="0" collapsed="false">
      <c r="A616" s="4" t="s">
        <v>3329</v>
      </c>
      <c r="B616" s="12" t="n">
        <v>2018</v>
      </c>
      <c r="C616" s="4" t="s">
        <v>107</v>
      </c>
      <c r="D616" s="4" t="s">
        <v>1993</v>
      </c>
      <c r="E616" s="4" t="s">
        <v>2001</v>
      </c>
      <c r="F616" s="4" t="s">
        <v>2218</v>
      </c>
      <c r="G616" s="4" t="s">
        <v>44</v>
      </c>
      <c r="H616" s="4" t="s">
        <v>3331</v>
      </c>
      <c r="I616" s="4" t="s">
        <v>2219</v>
      </c>
      <c r="J616" s="4" t="s">
        <v>2220</v>
      </c>
      <c r="K616" s="14">
        <f>IF(OR($I616="USO_NO_ENERGETICO_APARENTE",$I616="USO_ENERGETICO_INTERNO_APARENTE"),ROUND(SUMIFS($K$2:$K$618,$B$2:$B$618,$B616,$C$2:$C$618,$C616,$D$2:$D$618,"Energy products",$E$2:$E$618,"Supply",$G$2:$G$618,"&lt;&gt;STAT")-SUMIFS($K$2:$K$618,$B$2:$B$618,$B616,$C$2:$C$618,$C616,$D$2:$D$618,"Energy products",$E$2:$E$618,"Use",$G$2:$G$618,"&lt;&gt;STAT",$I$2:$I$618,"&lt;&gt;USO_NO_ENERGETICO_APARENTE",$I$2:$I$618,"&lt;&gt;USO_ENERGETICO_INTERNO_APARENTE"),10),IF(LEFT($H616,5)="STAT_",ROUND(SUMIFS($K$2:$K$618,$B$2:$B$618,$B616,$C$2:$C$618,$C616,$D$2:$D$618,"Energy products",$E$2:$E$618,"Supply",$G$2:$G$618,"&lt;&gt;STAT")-SUMIFS($K$2:$K$618,$B$2:$B$618,$B616,$C$2:$C$618,$C616,$D$2:$D$618,"Energy products",$E$2:$E$618,"Use",$G$2:$G$618,"&lt;&gt;STAT"),10),IF($J616="cambio de signo",-INDEX(DATOS_MODELO!$U$2:$U$3672,MATCH($H616,DATOS_MODELO!$B$2:$B$3672,0)),IF($J616="valor absoluto",ABS(INDEX(DATOS_MODELO!$U$2:$U$3672,MATCH($H616,DATOS_MODELO!$B$2:$B$3672,0))),INDEX(DATOS_MODELO!$U$2:$U$3672,MATCH($H616,DATOS_MODELO!$B$2:$B$3672,0))))))</f>
        <v>-0.0581</v>
      </c>
      <c r="L616" s="8" t="str">
        <f aca="false">IF(LEFT($H616,5)&lt;&gt;"STAT_","",IF(ABS($K616)&lt;=COUNTIFS($B$2:$B$618,$B616,$C$2:$C$618,$C616,$D$2:$D$618,"Energy products",$G$2:$G$618,"&lt;&gt;STAT")*PARAMETROS!$B$6,"redondeo","residuo_estadistico"))</f>
        <v>redondeo</v>
      </c>
      <c r="M616" s="8" t="str">
        <f>IF(OR($I616="USO_NO_ENERGETICO_APARENTE",$I616="USO_ENERGETICO_INTERNO_APARENTE"),"CAL",IF(LEFT($H616,5)="STAT_","FORMULA",IF(COUNTIF(DATOS_MODELO!$B$2:$B$3672,$H616)=1,"OK","REVISAR")))</f>
        <v>FORMULA</v>
      </c>
    </row>
    <row r="617" customFormat="false" ht="23.85" hidden="false" customHeight="false" outlineLevel="0" collapsed="false">
      <c r="A617" s="4" t="s">
        <v>3332</v>
      </c>
      <c r="B617" s="12" t="n">
        <v>2018</v>
      </c>
      <c r="C617" s="4" t="s">
        <v>111</v>
      </c>
      <c r="D617" s="4" t="s">
        <v>1993</v>
      </c>
      <c r="E617" s="4" t="s">
        <v>2001</v>
      </c>
      <c r="F617" s="4" t="s">
        <v>2002</v>
      </c>
      <c r="G617" s="4" t="s">
        <v>41</v>
      </c>
      <c r="H617" s="4" t="s">
        <v>3334</v>
      </c>
      <c r="I617" s="4" t="s">
        <v>2228</v>
      </c>
      <c r="J617" s="4" t="s">
        <v>1997</v>
      </c>
      <c r="K617" s="14">
        <f>IF(OR($I617="USO_NO_ENERGETICO_APARENTE",$I617="USO_ENERGETICO_INTERNO_APARENTE"),ROUND(SUMIFS($K$2:$K$618,$B$2:$B$618,$B617,$C$2:$C$618,$C617,$D$2:$D$618,"Energy products",$E$2:$E$618,"Supply",$G$2:$G$618,"&lt;&gt;STAT")-SUMIFS($K$2:$K$618,$B$2:$B$618,$B617,$C$2:$C$618,$C617,$D$2:$D$618,"Energy products",$E$2:$E$618,"Use",$G$2:$G$618,"&lt;&gt;STAT",$I$2:$I$618,"&lt;&gt;USO_NO_ENERGETICO_APARENTE",$I$2:$I$618,"&lt;&gt;USO_ENERGETICO_INTERNO_APARENTE"),10),IF(LEFT($H617,5)="STAT_",ROUND(SUMIFS($K$2:$K$618,$B$2:$B$618,$B617,$C$2:$C$618,$C617,$D$2:$D$618,"Energy products",$E$2:$E$618,"Supply",$G$2:$G$618,"&lt;&gt;STAT")-SUMIFS($K$2:$K$618,$B$2:$B$618,$B617,$C$2:$C$618,$C617,$D$2:$D$618,"Energy products",$E$2:$E$618,"Use",$G$2:$G$618,"&lt;&gt;STAT"),10),IF($J617="cambio de signo",-INDEX(DATOS_MODELO!$U$2:$U$3672,MATCH($H617,DATOS_MODELO!$B$2:$B$3672,0)),IF($J617="valor absoluto",ABS(INDEX(DATOS_MODELO!$U$2:$U$3672,MATCH($H617,DATOS_MODELO!$B$2:$B$3672,0))),INDEX(DATOS_MODELO!$U$2:$U$3672,MATCH($H617,DATOS_MODELO!$B$2:$B$3672,0))))))</f>
        <v>2573.7138</v>
      </c>
      <c r="L617" s="8" t="str">
        <f aca="false">IF(LEFT($H617,5)&lt;&gt;"STAT_","",IF(ABS($K617)&lt;=COUNTIFS($B$2:$B$618,$B617,$C$2:$C$618,$C617,$D$2:$D$618,"Energy products",$G$2:$G$618,"&lt;&gt;STAT")*PARAMETROS!$B$6,"redondeo","residuo_estadistico"))</f>
        <v/>
      </c>
      <c r="M617" s="8" t="str">
        <f>IF(OR($I617="USO_NO_ENERGETICO_APARENTE",$I617="USO_ENERGETICO_INTERNO_APARENTE"),"CAL",IF(LEFT($H617,5)="STAT_","FORMULA",IF(COUNTIF(DATOS_MODELO!$B$2:$B$3672,$H617)=1,"OK","REVISAR")))</f>
        <v>CAL</v>
      </c>
    </row>
    <row r="618" customFormat="false" ht="23.85" hidden="false" customHeight="false" outlineLevel="0" collapsed="false">
      <c r="A618" s="4" t="s">
        <v>3335</v>
      </c>
      <c r="B618" s="12" t="n">
        <v>2018</v>
      </c>
      <c r="C618" s="4" t="s">
        <v>86</v>
      </c>
      <c r="D618" s="4" t="s">
        <v>1993</v>
      </c>
      <c r="E618" s="4" t="s">
        <v>2001</v>
      </c>
      <c r="F618" s="4" t="s">
        <v>2218</v>
      </c>
      <c r="G618" s="4" t="s">
        <v>44</v>
      </c>
      <c r="H618" s="4" t="s">
        <v>3337</v>
      </c>
      <c r="I618" s="4" t="s">
        <v>2219</v>
      </c>
      <c r="J618" s="4" t="s">
        <v>2220</v>
      </c>
      <c r="K618" s="14">
        <f>IF(OR($I618="USO_NO_ENERGETICO_APARENTE",$I618="USO_ENERGETICO_INTERNO_APARENTE"),ROUND(SUMIFS($K$2:$K$618,$B$2:$B$618,$B618,$C$2:$C$618,$C618,$D$2:$D$618,"Energy products",$E$2:$E$618,"Supply",$G$2:$G$618,"&lt;&gt;STAT")-SUMIFS($K$2:$K$618,$B$2:$B$618,$B618,$C$2:$C$618,$C618,$D$2:$D$618,"Energy products",$E$2:$E$618,"Use",$G$2:$G$618,"&lt;&gt;STAT",$I$2:$I$618,"&lt;&gt;USO_NO_ENERGETICO_APARENTE",$I$2:$I$618,"&lt;&gt;USO_ENERGETICO_INTERNO_APARENTE"),10),IF(LEFT($H618,5)="STAT_",ROUND(SUMIFS($K$2:$K$618,$B$2:$B$618,$B618,$C$2:$C$618,$C618,$D$2:$D$618,"Energy products",$E$2:$E$618,"Supply",$G$2:$G$618,"&lt;&gt;STAT")-SUMIFS($K$2:$K$618,$B$2:$B$618,$B618,$C$2:$C$618,$C618,$D$2:$D$618,"Energy products",$E$2:$E$618,"Use",$G$2:$G$618,"&lt;&gt;STAT"),10),IF($J618="cambio de signo",-INDEX(DATOS_MODELO!$U$2:$U$3672,MATCH($H618,DATOS_MODELO!$B$2:$B$3672,0)),IF($J618="valor absoluto",ABS(INDEX(DATOS_MODELO!$U$2:$U$3672,MATCH($H618,DATOS_MODELO!$B$2:$B$3672,0))),INDEX(DATOS_MODELO!$U$2:$U$3672,MATCH($H618,DATOS_MODELO!$B$2:$B$3672,0))))))</f>
        <v>-0.0581</v>
      </c>
      <c r="L618" s="8" t="str">
        <f aca="false">IF(LEFT($H618,5)&lt;&gt;"STAT_","",IF(ABS($K618)&lt;=COUNTIFS($B$2:$B$618,$B618,$C$2:$C$618,$C618,$D$2:$D$618,"Energy products",$G$2:$G$618,"&lt;&gt;STAT")*PARAMETROS!$B$6,"redondeo","residuo_estadistico"))</f>
        <v>redondeo</v>
      </c>
      <c r="M618" s="8" t="str">
        <f>IF(OR($I618="USO_NO_ENERGETICO_APARENTE",$I618="USO_ENERGETICO_INTERNO_APARENTE"),"CAL",IF(LEFT($H618,5)="STAT_","FORMULA",IF(COUNTIF(DATOS_MODELO!$B$2:$B$3672,$H618)=1,"OK","REVISAR")))</f>
        <v>FORMULA</v>
      </c>
    </row>
  </sheetData>
  <autoFilter ref="A1:M618"/>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H3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24.71"/>
    <col collapsed="false" customWidth="true" hidden="false" outlineLevel="0" max="2" min="2" style="1" width="9.71"/>
    <col collapsed="false" customWidth="true" hidden="false" outlineLevel="0" max="3" min="3" style="1" width="18.71"/>
    <col collapsed="false" customWidth="true" hidden="false" outlineLevel="0" max="4" min="4" style="1" width="16.71"/>
    <col collapsed="false" customWidth="true" hidden="false" outlineLevel="0" max="5" min="5" style="1" width="18.71"/>
    <col collapsed="false" customWidth="true" hidden="false" outlineLevel="0" max="6" min="6" style="1" width="38.71"/>
    <col collapsed="false" customWidth="true" hidden="false" outlineLevel="0" max="7" min="7" style="1" width="12.71"/>
    <col collapsed="false" customWidth="true" hidden="false" outlineLevel="0" max="8" min="8" style="1" width="30.71"/>
    <col collapsed="false" customWidth="true" hidden="false" outlineLevel="0" max="9" min="9" style="1" width="18.71"/>
    <col collapsed="false" customWidth="true" hidden="false" outlineLevel="0" max="11" min="10" style="1" width="12.71"/>
    <col collapsed="false" customWidth="true" hidden="false" outlineLevel="0" max="12" min="12" style="1" width="20.71"/>
    <col collapsed="false" customWidth="true" hidden="false" outlineLevel="0" max="13" min="13" style="1" width="17.71"/>
    <col collapsed="false" customWidth="true" hidden="false" outlineLevel="0" max="15" min="14" style="1" width="20.71"/>
    <col collapsed="false" customWidth="true" hidden="false" outlineLevel="0" max="16" min="16" style="1" width="18.71"/>
    <col collapsed="false" customWidth="true" hidden="false" outlineLevel="0" max="17" min="17" style="1" width="12.71"/>
    <col collapsed="false" customWidth="true" hidden="false" outlineLevel="0" max="18" min="18" style="1" width="14.71"/>
    <col collapsed="false" customWidth="true" hidden="false" outlineLevel="0" max="21" min="19" style="1" width="16.71"/>
    <col collapsed="false" customWidth="true" hidden="false" outlineLevel="0" max="22" min="22" style="1" width="12.71"/>
    <col collapsed="false" customWidth="true" hidden="false" outlineLevel="0" max="23" min="23" style="1" width="20.71"/>
    <col collapsed="false" customWidth="true" hidden="false" outlineLevel="0" max="24" min="24" style="1" width="18.71"/>
    <col collapsed="false" customWidth="true" hidden="false" outlineLevel="0" max="25" min="25" style="1" width="24.71"/>
    <col collapsed="false" customWidth="true" hidden="false" outlineLevel="0" max="27" min="26" style="1" width="15.71"/>
    <col collapsed="false" customWidth="true" hidden="false" outlineLevel="0" max="30" min="28" style="1" width="16.71"/>
    <col collapsed="false" customWidth="true" hidden="false" outlineLevel="0" max="31" min="31" style="1" width="30.71"/>
    <col collapsed="false" customWidth="true" hidden="false" outlineLevel="0" max="33" min="32" style="1" width="22.71"/>
    <col collapsed="false" customWidth="true" hidden="false" outlineLevel="0" max="34" min="34" style="1" width="45.71"/>
  </cols>
  <sheetData>
    <row r="1" customFormat="false" ht="23.85" hidden="false" customHeight="false" outlineLevel="0" collapsed="false">
      <c r="A1" s="5" t="s">
        <v>5658</v>
      </c>
      <c r="B1" s="5" t="s">
        <v>131</v>
      </c>
      <c r="C1" s="5" t="s">
        <v>5659</v>
      </c>
      <c r="D1" s="5" t="s">
        <v>5660</v>
      </c>
      <c r="E1" s="5" t="s">
        <v>150</v>
      </c>
      <c r="F1" s="5" t="s">
        <v>151</v>
      </c>
      <c r="G1" s="5" t="s">
        <v>5661</v>
      </c>
      <c r="H1" s="5" t="s">
        <v>5662</v>
      </c>
      <c r="I1" s="5" t="s">
        <v>5663</v>
      </c>
      <c r="J1" s="5" t="s">
        <v>5664</v>
      </c>
      <c r="K1" s="5" t="s">
        <v>5665</v>
      </c>
      <c r="L1" s="5" t="s">
        <v>137</v>
      </c>
      <c r="M1" s="5" t="s">
        <v>5666</v>
      </c>
      <c r="N1" s="5" t="s">
        <v>5667</v>
      </c>
      <c r="O1" s="5" t="s">
        <v>152</v>
      </c>
      <c r="P1" s="5" t="s">
        <v>156</v>
      </c>
      <c r="Q1" s="5" t="s">
        <v>5668</v>
      </c>
      <c r="R1" s="5" t="s">
        <v>5669</v>
      </c>
      <c r="S1" s="5" t="s">
        <v>5670</v>
      </c>
      <c r="T1" s="5" t="s">
        <v>5671</v>
      </c>
      <c r="U1" s="5" t="s">
        <v>5672</v>
      </c>
      <c r="V1" s="5" t="s">
        <v>5673</v>
      </c>
      <c r="W1" s="5" t="s">
        <v>5674</v>
      </c>
      <c r="X1" s="5" t="s">
        <v>5675</v>
      </c>
      <c r="Y1" s="5" t="s">
        <v>5676</v>
      </c>
      <c r="Z1" s="5" t="s">
        <v>5677</v>
      </c>
      <c r="AA1" s="5" t="s">
        <v>5678</v>
      </c>
      <c r="AB1" s="5" t="s">
        <v>5679</v>
      </c>
      <c r="AC1" s="5" t="s">
        <v>5680</v>
      </c>
      <c r="AD1" s="5" t="s">
        <v>164</v>
      </c>
      <c r="AE1" s="5" t="s">
        <v>5681</v>
      </c>
      <c r="AF1" s="5" t="s">
        <v>5682</v>
      </c>
      <c r="AG1" s="5" t="s">
        <v>5683</v>
      </c>
      <c r="AH1" s="5" t="s">
        <v>166</v>
      </c>
    </row>
    <row r="2" customFormat="false" ht="15" hidden="false" customHeight="false" outlineLevel="0" collapsed="false">
      <c r="A2" s="4" t="s">
        <v>5684</v>
      </c>
      <c r="B2" s="12" t="n">
        <v>2018</v>
      </c>
      <c r="C2" s="4" t="s">
        <v>65</v>
      </c>
      <c r="D2" s="4" t="s">
        <v>5685</v>
      </c>
      <c r="E2" s="4" t="s">
        <v>3377</v>
      </c>
      <c r="F2" s="4" t="s">
        <v>3378</v>
      </c>
      <c r="G2" s="4" t="s">
        <v>109</v>
      </c>
      <c r="H2" s="4" t="s">
        <v>2070</v>
      </c>
      <c r="I2" s="4" t="s">
        <v>65</v>
      </c>
      <c r="J2" s="4" t="s">
        <v>1994</v>
      </c>
      <c r="K2" s="4" t="s">
        <v>1995</v>
      </c>
      <c r="L2" s="4" t="s">
        <v>261</v>
      </c>
      <c r="M2" s="14" t="n">
        <f aca="false">SUMIFS(PSUT_LARGA!$K$2:$K$618,PSUT_LARGA!$B$2:$B$618,$B2,PSUT_LARGA!$H$2:$H$618,$L2,PSUT_LARGA!$E$2:$E$618,$J2,PSUT_LARGA!$F$2:$F$618,$K2,PSUT_LARGA!$G$2:$G$618,$I2,PSUT_LARGA!$I$2:$I$618,$H2)</f>
        <v>289754.9256</v>
      </c>
      <c r="N2" s="14" t="n">
        <f aca="false">IF($H2="TRANSFORMACION_REFINERIA",$M2*INDEX(PARAMETROS!$C$27:$C$33,MATCH($B2,PARAMETROS!$A$27:$A$33,0)),$M2)</f>
        <v>289754.9256</v>
      </c>
      <c r="O2" s="4" t="s">
        <v>3349</v>
      </c>
      <c r="P2" s="4" t="s">
        <v>3344</v>
      </c>
      <c r="Q2" s="11" t="n">
        <f aca="false">MIN($B2,2022)</f>
        <v>2018</v>
      </c>
      <c r="R2" s="8" t="str">
        <f aca="false">IF(COUNT($S2:$U2)=0,"NO",IF($O2="CERO_DIRECTO","CAL",IF($B2&lt;=2022,"OBS","PRX")))</f>
        <v>NO</v>
      </c>
      <c r="S2" s="14"/>
      <c r="T2" s="14"/>
      <c r="U2" s="14"/>
      <c r="V2" s="8"/>
      <c r="W2" s="14"/>
      <c r="X2" s="14"/>
      <c r="Y2" s="14"/>
      <c r="Z2" s="14"/>
      <c r="AA2" s="14"/>
      <c r="AB2" s="14"/>
      <c r="AC2" s="4" t="s">
        <v>3349</v>
      </c>
      <c r="AD2" s="4"/>
      <c r="AE2" s="4" t="s">
        <v>5686</v>
      </c>
      <c r="AF2" s="4" t="s">
        <v>170</v>
      </c>
      <c r="AG2" s="4" t="s">
        <v>3999</v>
      </c>
      <c r="AH2" s="4"/>
    </row>
    <row r="3" customFormat="false" ht="15" hidden="false" customHeight="false" outlineLevel="0" collapsed="false">
      <c r="A3" s="4" t="s">
        <v>5687</v>
      </c>
      <c r="B3" s="12" t="n">
        <v>2018</v>
      </c>
      <c r="C3" s="4" t="s">
        <v>66</v>
      </c>
      <c r="D3" s="4" t="s">
        <v>5688</v>
      </c>
      <c r="E3" s="4" t="s">
        <v>3350</v>
      </c>
      <c r="F3" s="4" t="s">
        <v>3351</v>
      </c>
      <c r="G3" s="4" t="s">
        <v>76</v>
      </c>
      <c r="H3" s="4" t="s">
        <v>2019</v>
      </c>
      <c r="I3" s="4" t="s">
        <v>64</v>
      </c>
      <c r="J3" s="4" t="s">
        <v>1994</v>
      </c>
      <c r="K3" s="4" t="s">
        <v>65</v>
      </c>
      <c r="L3" s="4" t="s">
        <v>204</v>
      </c>
      <c r="M3" s="14" t="n">
        <f aca="false">SUMIFS(PSUT_LARGA!$K$2:$K$618,PSUT_LARGA!$B$2:$B$618,$B3,PSUT_LARGA!$H$2:$H$618,$L3,PSUT_LARGA!$E$2:$E$618,$J3,PSUT_LARGA!$F$2:$F$618,$K3,PSUT_LARGA!$G$2:$G$618,$I3,PSUT_LARGA!$I$2:$I$618,$H3)</f>
        <v>0</v>
      </c>
      <c r="N3" s="14" t="n">
        <f aca="false">IF($H3="TRANSFORMACION_REFINERIA",$M3*INDEX(PARAMETROS!$C$27:$C$33,MATCH($B3,PARAMETROS!$A$27:$A$33,0)),$M3)</f>
        <v>0</v>
      </c>
      <c r="O3" s="4" t="s">
        <v>3349</v>
      </c>
      <c r="P3" s="4" t="s">
        <v>3352</v>
      </c>
      <c r="Q3" s="11" t="n">
        <f aca="false">MIN($B3,2022)</f>
        <v>2018</v>
      </c>
      <c r="R3" s="8" t="str">
        <f aca="false">IF(COUNT($S3:$U3)=0,"NO",IF($O3="CERO_DIRECTO","CAL",IF($B3&lt;=2022,"OBS","PRX")))</f>
        <v>NO</v>
      </c>
      <c r="S3" s="14"/>
      <c r="T3" s="14"/>
      <c r="U3" s="14"/>
      <c r="V3" s="8"/>
      <c r="W3" s="14"/>
      <c r="X3" s="14"/>
      <c r="Y3" s="14"/>
      <c r="Z3" s="14"/>
      <c r="AA3" s="14"/>
      <c r="AB3" s="14"/>
      <c r="AC3" s="4" t="s">
        <v>3349</v>
      </c>
      <c r="AD3" s="4"/>
      <c r="AE3" s="4" t="s">
        <v>5686</v>
      </c>
      <c r="AF3" s="4" t="s">
        <v>170</v>
      </c>
      <c r="AG3" s="4" t="s">
        <v>3999</v>
      </c>
      <c r="AH3" s="4"/>
    </row>
    <row r="4" customFormat="false" ht="15" hidden="false" customHeight="false" outlineLevel="0" collapsed="false">
      <c r="A4" s="4" t="s">
        <v>5689</v>
      </c>
      <c r="B4" s="12" t="n">
        <v>2018</v>
      </c>
      <c r="C4" s="4" t="s">
        <v>66</v>
      </c>
      <c r="D4" s="4" t="s">
        <v>5688</v>
      </c>
      <c r="E4" s="4" t="s">
        <v>3386</v>
      </c>
      <c r="F4" s="4" t="s">
        <v>3387</v>
      </c>
      <c r="G4" s="4" t="s">
        <v>86</v>
      </c>
      <c r="H4" s="4" t="s">
        <v>2019</v>
      </c>
      <c r="I4" s="4" t="s">
        <v>64</v>
      </c>
      <c r="J4" s="4" t="s">
        <v>1994</v>
      </c>
      <c r="K4" s="4" t="s">
        <v>65</v>
      </c>
      <c r="L4" s="4" t="s">
        <v>275</v>
      </c>
      <c r="M4" s="14" t="n">
        <f aca="false">SUMIFS(PSUT_LARGA!$K$2:$K$618,PSUT_LARGA!$B$2:$B$618,$B4,PSUT_LARGA!$H$2:$H$618,$L4,PSUT_LARGA!$E$2:$E$618,$J4,PSUT_LARGA!$F$2:$F$618,$K4,PSUT_LARGA!$G$2:$G$618,$I4,PSUT_LARGA!$I$2:$I$618,$H4)</f>
        <v>19402.7855</v>
      </c>
      <c r="N4" s="14" t="n">
        <f aca="false">IF($H4="TRANSFORMACION_REFINERIA",$M4*INDEX(PARAMETROS!$C$27:$C$33,MATCH($B4,PARAMETROS!$A$27:$A$33,0)),$M4)</f>
        <v>19402.7855</v>
      </c>
      <c r="O4" s="4" t="s">
        <v>3388</v>
      </c>
      <c r="P4" s="4" t="s">
        <v>3352</v>
      </c>
      <c r="Q4" s="11" t="n">
        <f aca="false">MIN($B4,2022)</f>
        <v>2018</v>
      </c>
      <c r="R4" s="8" t="str">
        <f>IF(COUNT($S4:$U4)=0,"NO",IF($O4="CERO_DIRECTO","CAL",IF(OR($B4&gt;$Q4,COUNTIFS(DATOS_MODELO!$C$2:$C$3672,$Q4&amp;"|"&amp;$E4&amp;"|"&amp;$O4&amp;"|*",DATOS_MODELO!$F$2:$F$3672,"PRX",DATOS_MODELO!$AA$2:$AA$3672,"&lt;&gt;")&gt;0),"PRX",IF(COUNTIFS(DATOS_MODELO!$C$2:$C$3672,$Q4&amp;"|"&amp;$E4&amp;"|"&amp;$O4&amp;"|*",DATOS_MODELO!$F$2:$F$3672,"CAL",DATOS_MODELO!$AA$2:$AA$3672,"&lt;&gt;")&gt;0,"CAL","OBS"))))</f>
        <v>OBS</v>
      </c>
      <c r="S4" s="14">
        <f>IF(COUNTIFS(DATOS_MODELO!$C$2:$C$3672,$Q4&amp;"|"&amp;$E4&amp;"|"&amp;$O4&amp;"|CO2",DATOS_MODELO!$AA$2:$AA$3672,"&lt;&gt;")=0,"",INDEX(DATOS_MODELO!$AA$2:$AA$3672,MATCH($Q4&amp;"|"&amp;$E4&amp;"|"&amp;$O4&amp;"|CO2",DATOS_MODELO!$C$2:$C$3672,0)))</f>
        <v>0.00688535055958847</v>
      </c>
      <c r="T4" s="14">
        <f>IF(COUNTIFS(DATOS_MODELO!$C$2:$C$3672,$Q4&amp;"|"&amp;$E4&amp;"|"&amp;$O4&amp;"|CH4",DATOS_MODELO!$AA$2:$AA$3672,"&lt;&gt;")=0,"",INDEX(DATOS_MODELO!$AA$2:$AA$3672,MATCH($Q4&amp;"|"&amp;$E4&amp;"|"&amp;$O4&amp;"|CH4",DATOS_MODELO!$C$2:$C$3672,0)))</f>
        <v>0.0944734146548185</v>
      </c>
      <c r="U4" s="14"/>
      <c r="V4" s="8"/>
      <c r="W4" s="14"/>
      <c r="X4" s="14">
        <f>IF($P4="BIOGENICO",0,IF(ISNUMBER($S4),$N4*$S4/PARAMETROS!$B$8,""))</f>
        <v>0.00013359498</v>
      </c>
      <c r="Y4" s="14">
        <f>IF($P4="BIOGENICO",IF(ISNUMBER($S4),$N4*$S4/PARAMETROS!$B$8,""),0)</f>
        <v>0.0</v>
      </c>
      <c r="Z4" s="14">
        <f>IF(ISNUMBER($T4),$N4*$T4/PARAMETROS!$B$8,"")</f>
        <v>0.0018330474</v>
      </c>
      <c r="AA4" s="14" t="str">
        <f>IF($U4="","",$N4*$U4/PARAMETROS!$B$8)</f>
        <v/>
      </c>
      <c r="AB4" s="14">
        <f>IF($AA4="",$X4+$Z4*PARAMETROS!$B$9,$X4+$Z4*PARAMETROS!$B$9+$AA4*PARAMETROS!$B$10)</f>
        <v>0.05145892218</v>
      </c>
      <c r="AC4" s="4" t="s">
        <v>1990</v>
      </c>
      <c r="AD4" s="4"/>
      <c r="AE4" s="4" t="s">
        <v>5690</v>
      </c>
      <c r="AF4" s="4" t="s">
        <v>170</v>
      </c>
      <c r="AG4" s="4" t="s">
        <v>3999</v>
      </c>
      <c r="AH4" s="4" t="inlineStr">
        <is>
          <t>CO2e parcial: N2O sin factor numérico; el total incluye solo los gases cuantificados.</t>
        </is>
      </c>
    </row>
    <row r="5" customFormat="false" ht="15" hidden="false" customHeight="false" outlineLevel="0" collapsed="false">
      <c r="A5" s="4" t="s">
        <v>5691</v>
      </c>
      <c r="B5" s="12" t="n">
        <v>2018</v>
      </c>
      <c r="C5" s="4" t="s">
        <v>67</v>
      </c>
      <c r="D5" s="4" t="s">
        <v>5685</v>
      </c>
      <c r="E5" s="4" t="s">
        <v>3341</v>
      </c>
      <c r="F5" s="4" t="s">
        <v>3342</v>
      </c>
      <c r="G5" s="4" t="s">
        <v>91</v>
      </c>
      <c r="H5" s="4" t="s">
        <v>2003</v>
      </c>
      <c r="I5" s="4" t="s">
        <v>67</v>
      </c>
      <c r="J5" s="4" t="s">
        <v>2001</v>
      </c>
      <c r="K5" s="4" t="s">
        <v>2002</v>
      </c>
      <c r="L5" s="4" t="s">
        <v>180</v>
      </c>
      <c r="M5" s="14" t="n">
        <f aca="false">SUMIFS(PSUT_LARGA!$K$2:$K$618,PSUT_LARGA!$B$2:$B$618,$B5,PSUT_LARGA!$H$2:$H$618,$L5,PSUT_LARGA!$E$2:$E$618,$J5,PSUT_LARGA!$F$2:$F$618,$K5,PSUT_LARGA!$G$2:$G$618,$I5,PSUT_LARGA!$I$2:$I$618,$H5)</f>
        <v>36013.4593</v>
      </c>
      <c r="N5" s="14" t="n">
        <f aca="false">IF($H5="TRANSFORMACION_REFINERIA",$M5*INDEX(PARAMETROS!$C$27:$C$33,MATCH($B5,PARAMETROS!$A$27:$A$33,0)),$M5)</f>
        <v>36013.4593</v>
      </c>
      <c r="O5" s="4" t="inlineStr">
        <is>
          <t>COMB_BCANA</t>
        </is>
      </c>
      <c r="P5" s="4" t="s">
        <v>3344</v>
      </c>
      <c r="Q5" s="11" t="n">
        <f aca="false">MIN($B5,2022)</f>
        <v>2018</v>
      </c>
      <c r="R5" s="8" t="str">
        <f>IF(COUNT($S5:$U5)=0,"NO",IF($O5="CERO_DIRECTO","CAL",IF(OR($B5&gt;$Q5,COUNTIFS(DATOS_MODELO!$C$2:$C$3672,$Q5&amp;"|"&amp;$E5&amp;"|"&amp;$O5&amp;"|*",DATOS_MODELO!$F$2:$F$3672,"PRX",DATOS_MODELO!$AA$2:$AA$3672,"&lt;&gt;")&gt;0),"PRX",IF(COUNTIFS(DATOS_MODELO!$C$2:$C$3672,$Q5&amp;"|"&amp;$E5&amp;"|"&amp;$O5&amp;"|*",DATOS_MODELO!$F$2:$F$3672,"CAL",DATOS_MODELO!$AA$2:$AA$3672,"&lt;&gt;")&gt;0,"CAL","OBS"))))</f>
        <v>PRX</v>
      </c>
      <c r="S5" s="14">
        <f>IF(COUNTIFS(DATOS_MODELO!$C$2:$C$3672,$Q5&amp;"|"&amp;$E5&amp;"|"&amp;$O5&amp;"|CO2",DATOS_MODELO!$AA$2:$AA$3672,"&lt;&gt;")=0,"",INDEX(DATOS_MODELO!$AA$2:$AA$3672,MATCH($Q5&amp;"|"&amp;$E5&amp;"|"&amp;$O5&amp;"|CO2",DATOS_MODELO!$C$2:$C$3672,0)))</f>
        <v>100000.0</v>
      </c>
      <c r="T5" s="14">
        <f>IF(COUNTIFS(DATOS_MODELO!$C$2:$C$3672,$Q5&amp;"|"&amp;$E5&amp;"|"&amp;$O5&amp;"|CH4",DATOS_MODELO!$AA$2:$AA$3672,"&lt;&gt;")=0,"",INDEX(DATOS_MODELO!$AA$2:$AA$3672,MATCH($Q5&amp;"|"&amp;$E5&amp;"|"&amp;$O5&amp;"|CH4",DATOS_MODELO!$C$2:$C$3672,0)))</f>
        <v>30.0</v>
      </c>
      <c r="U5" s="14">
        <f>IF(COUNTIFS(DATOS_MODELO!$C$2:$C$3672,$Q5&amp;"|"&amp;$E5&amp;"|"&amp;$O5&amp;"|N2O",DATOS_MODELO!$AA$2:$AA$3672,"&lt;&gt;")=0,"",INDEX(DATOS_MODELO!$AA$2:$AA$3672,MATCH($Q5&amp;"|"&amp;$E5&amp;"|"&amp;$O5&amp;"|N2O",DATOS_MODELO!$C$2:$C$3672,0)))</f>
        <v>4.0</v>
      </c>
      <c r="V5" s="8"/>
      <c r="W5" s="14"/>
      <c r="X5" s="14">
        <f>IF($P5="BIOGENICO",0,IF(ISNUMBER($S5),$N5*$S5/PARAMETROS!$B$8,""))</f>
        <v>0.0</v>
      </c>
      <c r="Y5" s="14">
        <f>IF($P5="BIOGENICO",IF(ISNUMBER($S5),$N5*$S5/PARAMETROS!$B$8,""),0)</f>
        <v>3601.34593</v>
      </c>
      <c r="Z5" s="14">
        <f>IF(ISNUMBER($T5),$N5*$T5/PARAMETROS!$B$8,"")</f>
        <v>1.080403779</v>
      </c>
      <c r="AA5" s="14">
        <f>IF(ISNUMBER($U5),$N5*$U5/PARAMETROS!$B$8,"")</f>
        <v>0.1440538372</v>
      </c>
      <c r="AB5" s="14">
        <f>IF(COUNT($X5,$Z5,$AA5)=0,"",SUM($X5,IF(ISNUMBER($Z5),$Z5*PARAMETROS!$B$9,0),IF(ISNUMBER($AA5),$AA5*PARAMETROS!$B$10,0)))</f>
        <v>68.42557267</v>
      </c>
      <c r="AC5" s="4" t="s">
        <v>1990</v>
      </c>
      <c r="AD5" s="4"/>
      <c r="AE5" s="4" t="s">
        <v>5690</v>
      </c>
      <c r="AF5" s="4" t="s">
        <v>170</v>
      </c>
      <c r="AG5" s="4" t="inlineStr">
        <is>
          <t>MARN_GTM_BTR1_2024</t>
        </is>
      </c>
      <c r="AH5" s="4" t="inlineStr">
        <is>
          <t>Origen de factores: CO2: MARN_GTM_BTR1_2024 [PRX; BTR1 Guatemala 2024, tabla 3.6, p. 48; fila Otra biomasa sólida primaria; gas CO2]; CH4: MARN_GTM_BTR1_2024 [PRX; BTR1 Guatemala 2024, tabla 3.17, p. 57; fila Otra biomasa sólida primaria; gas CH4]; N2O: MARN_GTM_BTR1_2024 [PRX; BTR1 Guatemala 2024, tabla 3.17, p. 57; fila Otra biomasa sólida primaria; gas N2O].</t>
        </is>
      </c>
    </row>
    <row r="6" customFormat="false" ht="15" hidden="false" customHeight="false" outlineLevel="0" collapsed="false">
      <c r="A6" s="4" t="s">
        <v>5692</v>
      </c>
      <c r="B6" s="12" t="n">
        <v>2018</v>
      </c>
      <c r="C6" s="4" t="s">
        <v>67</v>
      </c>
      <c r="D6" s="4" t="s">
        <v>5685</v>
      </c>
      <c r="E6" s="4" t="s">
        <v>3341</v>
      </c>
      <c r="F6" s="4" t="s">
        <v>3342</v>
      </c>
      <c r="G6" s="4" t="s">
        <v>91</v>
      </c>
      <c r="H6" s="4" t="s">
        <v>2008</v>
      </c>
      <c r="I6" s="4" t="s">
        <v>67</v>
      </c>
      <c r="J6" s="4" t="s">
        <v>2001</v>
      </c>
      <c r="K6" s="4" t="s">
        <v>2002</v>
      </c>
      <c r="L6" s="4" t="s">
        <v>181</v>
      </c>
      <c r="M6" s="14" t="n">
        <f aca="false">SUMIFS(PSUT_LARGA!$K$2:$K$618,PSUT_LARGA!$B$2:$B$618,$B6,PSUT_LARGA!$H$2:$H$618,$L6,PSUT_LARGA!$E$2:$E$618,$J6,PSUT_LARGA!$F$2:$F$618,$K6,PSUT_LARGA!$G$2:$G$618,$I6,PSUT_LARGA!$I$2:$I$618,$H6)</f>
        <v>14642.362</v>
      </c>
      <c r="N6" s="14" t="n">
        <f aca="false">IF($H6="TRANSFORMACION_REFINERIA",$M6*INDEX(PARAMETROS!$C$27:$C$33,MATCH($B6,PARAMETROS!$A$27:$A$33,0)),$M6)</f>
        <v>14642.362</v>
      </c>
      <c r="O6" s="4" t="inlineStr">
        <is>
          <t>COMB_BCANA</t>
        </is>
      </c>
      <c r="P6" s="4" t="s">
        <v>3344</v>
      </c>
      <c r="Q6" s="11" t="n">
        <f aca="false">MIN($B6,2022)</f>
        <v>2018</v>
      </c>
      <c r="R6" s="8" t="str">
        <f>IF(COUNT($S6:$U6)=0,"NO",IF($O6="CERO_DIRECTO","CAL",IF(OR($B6&gt;$Q6,COUNTIFS(DATOS_MODELO!$C$2:$C$3672,$Q6&amp;"|"&amp;$E6&amp;"|"&amp;$O6&amp;"|*",DATOS_MODELO!$F$2:$F$3672,"PRX",DATOS_MODELO!$AA$2:$AA$3672,"&lt;&gt;")&gt;0),"PRX",IF(COUNTIFS(DATOS_MODELO!$C$2:$C$3672,$Q6&amp;"|"&amp;$E6&amp;"|"&amp;$O6&amp;"|*",DATOS_MODELO!$F$2:$F$3672,"CAL",DATOS_MODELO!$AA$2:$AA$3672,"&lt;&gt;")&gt;0,"CAL","OBS"))))</f>
        <v>PRX</v>
      </c>
      <c r="S6" s="14">
        <f>IF(COUNTIFS(DATOS_MODELO!$C$2:$C$3672,$Q6&amp;"|"&amp;$E6&amp;"|"&amp;$O6&amp;"|CO2",DATOS_MODELO!$AA$2:$AA$3672,"&lt;&gt;")=0,"",INDEX(DATOS_MODELO!$AA$2:$AA$3672,MATCH($Q6&amp;"|"&amp;$E6&amp;"|"&amp;$O6&amp;"|CO2",DATOS_MODELO!$C$2:$C$3672,0)))</f>
        <v>100000.0</v>
      </c>
      <c r="T6" s="14">
        <f>IF(COUNTIFS(DATOS_MODELO!$C$2:$C$3672,$Q6&amp;"|"&amp;$E6&amp;"|"&amp;$O6&amp;"|CH4",DATOS_MODELO!$AA$2:$AA$3672,"&lt;&gt;")=0,"",INDEX(DATOS_MODELO!$AA$2:$AA$3672,MATCH($Q6&amp;"|"&amp;$E6&amp;"|"&amp;$O6&amp;"|CH4",DATOS_MODELO!$C$2:$C$3672,0)))</f>
        <v>30.0</v>
      </c>
      <c r="U6" s="14">
        <f>IF(COUNTIFS(DATOS_MODELO!$C$2:$C$3672,$Q6&amp;"|"&amp;$E6&amp;"|"&amp;$O6&amp;"|N2O",DATOS_MODELO!$AA$2:$AA$3672,"&lt;&gt;")=0,"",INDEX(DATOS_MODELO!$AA$2:$AA$3672,MATCH($Q6&amp;"|"&amp;$E6&amp;"|"&amp;$O6&amp;"|N2O",DATOS_MODELO!$C$2:$C$3672,0)))</f>
        <v>4.0</v>
      </c>
      <c r="V6" s="8"/>
      <c r="W6" s="14"/>
      <c r="X6" s="14">
        <f>IF($P6="BIOGENICO",0,IF(ISNUMBER($S6),$N6*$S6/PARAMETROS!$B$8,""))</f>
        <v>0.0</v>
      </c>
      <c r="Y6" s="14">
        <f>IF($P6="BIOGENICO",IF(ISNUMBER($S6),$N6*$S6/PARAMETROS!$B$8,""),0)</f>
        <v>1464.2362</v>
      </c>
      <c r="Z6" s="14">
        <f>IF(ISNUMBER($T6),$N6*$T6/PARAMETROS!$B$8,"")</f>
        <v>0.43927086</v>
      </c>
      <c r="AA6" s="14">
        <f>IF(ISNUMBER($U6),$N6*$U6/PARAMETROS!$B$8,"")</f>
        <v>0.058569448</v>
      </c>
      <c r="AB6" s="14">
        <f>IF(COUNT($X6,$Z6,$AA6)=0,"",SUM($X6,IF(ISNUMBER($Z6),$Z6*PARAMETROS!$B$9,0),IF(ISNUMBER($AA6),$AA6*PARAMETROS!$B$10,0)))</f>
        <v>27.8204878</v>
      </c>
      <c r="AC6" s="4" t="s">
        <v>1990</v>
      </c>
      <c r="AD6" s="4"/>
      <c r="AE6" s="4" t="s">
        <v>5690</v>
      </c>
      <c r="AF6" s="4" t="s">
        <v>170</v>
      </c>
      <c r="AG6" s="4" t="inlineStr">
        <is>
          <t>MARN_GTM_BTR1_2024</t>
        </is>
      </c>
      <c r="AH6" s="4" t="inlineStr">
        <is>
          <t>Origen de factores: CO2: MARN_GTM_BTR1_2024 [PRX; BTR1 Guatemala 2024, tabla 3.6, p. 48; fila Otra biomasa sólida primaria; gas CO2]; CH4: MARN_GTM_BTR1_2024 [PRX; BTR1 Guatemala 2024, tabla 3.17, p. 57; fila Otra biomasa sólida primaria; gas CH4]; N2O: MARN_GTM_BTR1_2024 [PRX; BTR1 Guatemala 2024, tabla 3.17, p. 57; fila Otra biomasa sólida primaria; gas N2O].</t>
        </is>
      </c>
    </row>
    <row r="7" customFormat="false" ht="15" hidden="false" customHeight="false" outlineLevel="0" collapsed="false">
      <c r="A7" s="4" t="s">
        <v>5693</v>
      </c>
      <c r="B7" s="12" t="n">
        <v>2018</v>
      </c>
      <c r="C7" s="4" t="s">
        <v>67</v>
      </c>
      <c r="D7" s="4" t="s">
        <v>5685</v>
      </c>
      <c r="E7" s="4" t="s">
        <v>3341</v>
      </c>
      <c r="F7" s="4" t="s">
        <v>3342</v>
      </c>
      <c r="G7" s="4" t="s">
        <v>93</v>
      </c>
      <c r="H7" s="4" t="s">
        <v>2003</v>
      </c>
      <c r="I7" s="4" t="s">
        <v>67</v>
      </c>
      <c r="J7" s="4" t="s">
        <v>2001</v>
      </c>
      <c r="K7" s="4" t="s">
        <v>2002</v>
      </c>
      <c r="L7" s="4" t="s">
        <v>195</v>
      </c>
      <c r="M7" s="14" t="n">
        <f aca="false">SUMIFS(PSUT_LARGA!$K$2:$K$618,PSUT_LARGA!$B$2:$B$618,$B7,PSUT_LARGA!$H$2:$H$618,$L7,PSUT_LARGA!$E$2:$E$618,$J7,PSUT_LARGA!$F$2:$F$618,$K7,PSUT_LARGA!$G$2:$G$618,$I7,PSUT_LARGA!$I$2:$I$618,$H7)</f>
        <v>421.6898</v>
      </c>
      <c r="N7" s="14" t="n">
        <f aca="false">IF($H7="TRANSFORMACION_REFINERIA",$M7*INDEX(PARAMETROS!$C$27:$C$33,MATCH($B7,PARAMETROS!$A$27:$A$33,0)),$M7)</f>
        <v>421.6898</v>
      </c>
      <c r="O7" s="4" t="inlineStr">
        <is>
          <t>COMB_BIOGAS</t>
        </is>
      </c>
      <c r="P7" s="4" t="s">
        <v>3344</v>
      </c>
      <c r="Q7" s="11" t="n">
        <f aca="false">MIN($B7,2022)</f>
        <v>2018</v>
      </c>
      <c r="R7" s="8" t="str">
        <f>IF(COUNT($S7:$U7)=0,"NO",IF($O7="CERO_DIRECTO","CAL",IF(OR($B7&gt;$Q7,COUNTIFS(DATOS_MODELO!$C$2:$C$3672,$Q7&amp;"|"&amp;$E7&amp;"|"&amp;$O7&amp;"|*",DATOS_MODELO!$F$2:$F$3672,"PRX",DATOS_MODELO!$AA$2:$AA$3672,"&lt;&gt;")&gt;0),"PRX",IF(COUNTIFS(DATOS_MODELO!$C$2:$C$3672,$Q7&amp;"|"&amp;$E7&amp;"|"&amp;$O7&amp;"|*",DATOS_MODELO!$F$2:$F$3672,"CAL",DATOS_MODELO!$AA$2:$AA$3672,"&lt;&gt;")&gt;0,"CAL","OBS"))))</f>
        <v>PRX</v>
      </c>
      <c r="S7" s="14">
        <f>IF(COUNTIFS(DATOS_MODELO!$C$2:$C$3672,$Q7&amp;"|"&amp;$E7&amp;"|"&amp;$O7&amp;"|CO2",DATOS_MODELO!$AA$2:$AA$3672,"&lt;&gt;")=0,"",INDEX(DATOS_MODELO!$AA$2:$AA$3672,MATCH($Q7&amp;"|"&amp;$E7&amp;"|"&amp;$O7&amp;"|CO2",DATOS_MODELO!$C$2:$C$3672,0)))</f>
        <v>54600.0</v>
      </c>
      <c r="T7" s="14">
        <f>IF(COUNTIFS(DATOS_MODELO!$C$2:$C$3672,$Q7&amp;"|"&amp;$E7&amp;"|"&amp;$O7&amp;"|CH4",DATOS_MODELO!$AA$2:$AA$3672,"&lt;&gt;")=0,"",INDEX(DATOS_MODELO!$AA$2:$AA$3672,MATCH($Q7&amp;"|"&amp;$E7&amp;"|"&amp;$O7&amp;"|CH4",DATOS_MODELO!$C$2:$C$3672,0)))</f>
        <v>1.0</v>
      </c>
      <c r="U7" s="14">
        <f>IF(COUNTIFS(DATOS_MODELO!$C$2:$C$3672,$Q7&amp;"|"&amp;$E7&amp;"|"&amp;$O7&amp;"|N2O",DATOS_MODELO!$AA$2:$AA$3672,"&lt;&gt;")=0,"",INDEX(DATOS_MODELO!$AA$2:$AA$3672,MATCH($Q7&amp;"|"&amp;$E7&amp;"|"&amp;$O7&amp;"|N2O",DATOS_MODELO!$C$2:$C$3672,0)))</f>
        <v>0.1</v>
      </c>
      <c r="V7" s="8"/>
      <c r="W7" s="14"/>
      <c r="X7" s="14">
        <f>IF($P7="BIOGENICO",0,IF(ISNUMBER($S7),$N7*$S7/PARAMETROS!$B$8,""))</f>
        <v>0.0</v>
      </c>
      <c r="Y7" s="14">
        <f>IF($P7="BIOGENICO",IF(ISNUMBER($S7),$N7*$S7/PARAMETROS!$B$8,""),0)</f>
        <v>23.02426308</v>
      </c>
      <c r="Z7" s="14">
        <f>IF(ISNUMBER($T7),$N7*$T7/PARAMETROS!$B$8,"")</f>
        <v>0.0004216898</v>
      </c>
      <c r="AA7" s="14">
        <f>IF(ISNUMBER($U7),$N7*$U7/PARAMETROS!$B$8,"")</f>
        <v>4.216898e-05</v>
      </c>
      <c r="AB7" s="14">
        <f>IF(COUNT($X7,$Z7,$AA7)=0,"",SUM($X7,IF(ISNUMBER($Z7),$Z7*PARAMETROS!$B$9,0),IF(ISNUMBER($AA7),$AA7*PARAMETROS!$B$10,0)))</f>
        <v>0.0229820941</v>
      </c>
      <c r="AC7" s="4" t="s">
        <v>1990</v>
      </c>
      <c r="AD7" s="4"/>
      <c r="AE7" s="4" t="s">
        <v>5690</v>
      </c>
      <c r="AF7" s="4" t="s">
        <v>170</v>
      </c>
      <c r="AG7" s="4" t="inlineStr">
        <is>
          <t>MARN_GTM_BTR1_2024</t>
        </is>
      </c>
      <c r="AH7" s="4" t="inlineStr">
        <is>
          <t>Origen de factores: CO2: MARN_GTM_BTR1_2024 [PRX; BTR1 Guatemala 2024, tabla 3.6, p. 48; fila Gas de vertedero; gas CO2]; CH4: MARN_GTM_BTR1_2024 [PRX; BTR1 Guatemala 2024, tabla 3.17, p. 57; fila Gas de vertedero; gas CH4]; N2O: MARN_GTM_BTR1_2024 [PRX; BTR1 Guatemala 2024, tabla 3.17, p. 57; fila Gas de vertedero; gas N2O].</t>
        </is>
      </c>
    </row>
    <row r="8" customFormat="false" ht="15" hidden="false" customHeight="false" outlineLevel="0" collapsed="false">
      <c r="A8" s="4" t="s">
        <v>5694</v>
      </c>
      <c r="B8" s="12" t="n">
        <v>2018</v>
      </c>
      <c r="C8" s="4" t="s">
        <v>67</v>
      </c>
      <c r="D8" s="4" t="s">
        <v>5685</v>
      </c>
      <c r="E8" s="4" t="s">
        <v>3341</v>
      </c>
      <c r="F8" s="4" t="s">
        <v>3342</v>
      </c>
      <c r="G8" s="4" t="s">
        <v>93</v>
      </c>
      <c r="H8" s="4" t="s">
        <v>2008</v>
      </c>
      <c r="I8" s="4" t="s">
        <v>67</v>
      </c>
      <c r="J8" s="4" t="s">
        <v>2001</v>
      </c>
      <c r="K8" s="4" t="s">
        <v>2002</v>
      </c>
      <c r="L8" s="4" t="s">
        <v>196</v>
      </c>
      <c r="M8" s="14" t="n">
        <f aca="false">SUMIFS(PSUT_LARGA!$K$2:$K$618,PSUT_LARGA!$B$2:$B$618,$B8,PSUT_LARGA!$H$2:$H$618,$L8,PSUT_LARGA!$E$2:$E$618,$J8,PSUT_LARGA!$F$2:$F$618,$K8,PSUT_LARGA!$G$2:$G$618,$I8,PSUT_LARGA!$I$2:$I$618,$H8)</f>
        <v>14.525</v>
      </c>
      <c r="N8" s="14" t="n">
        <f aca="false">IF($H8="TRANSFORMACION_REFINERIA",$M8*INDEX(PARAMETROS!$C$27:$C$33,MATCH($B8,PARAMETROS!$A$27:$A$33,0)),$M8)</f>
        <v>14.525</v>
      </c>
      <c r="O8" s="4" t="inlineStr">
        <is>
          <t>COMB_BIOGAS</t>
        </is>
      </c>
      <c r="P8" s="4" t="s">
        <v>3344</v>
      </c>
      <c r="Q8" s="11" t="n">
        <f aca="false">MIN($B8,2022)</f>
        <v>2018</v>
      </c>
      <c r="R8" s="8" t="str">
        <f>IF(COUNT($S8:$U8)=0,"NO",IF($O8="CERO_DIRECTO","CAL",IF(OR($B8&gt;$Q8,COUNTIFS(DATOS_MODELO!$C$2:$C$3672,$Q8&amp;"|"&amp;$E8&amp;"|"&amp;$O8&amp;"|*",DATOS_MODELO!$F$2:$F$3672,"PRX",DATOS_MODELO!$AA$2:$AA$3672,"&lt;&gt;")&gt;0),"PRX",IF(COUNTIFS(DATOS_MODELO!$C$2:$C$3672,$Q8&amp;"|"&amp;$E8&amp;"|"&amp;$O8&amp;"|*",DATOS_MODELO!$F$2:$F$3672,"CAL",DATOS_MODELO!$AA$2:$AA$3672,"&lt;&gt;")&gt;0,"CAL","OBS"))))</f>
        <v>PRX</v>
      </c>
      <c r="S8" s="14">
        <f>IF(COUNTIFS(DATOS_MODELO!$C$2:$C$3672,$Q8&amp;"|"&amp;$E8&amp;"|"&amp;$O8&amp;"|CO2",DATOS_MODELO!$AA$2:$AA$3672,"&lt;&gt;")=0,"",INDEX(DATOS_MODELO!$AA$2:$AA$3672,MATCH($Q8&amp;"|"&amp;$E8&amp;"|"&amp;$O8&amp;"|CO2",DATOS_MODELO!$C$2:$C$3672,0)))</f>
        <v>54600.0</v>
      </c>
      <c r="T8" s="14">
        <f>IF(COUNTIFS(DATOS_MODELO!$C$2:$C$3672,$Q8&amp;"|"&amp;$E8&amp;"|"&amp;$O8&amp;"|CH4",DATOS_MODELO!$AA$2:$AA$3672,"&lt;&gt;")=0,"",INDEX(DATOS_MODELO!$AA$2:$AA$3672,MATCH($Q8&amp;"|"&amp;$E8&amp;"|"&amp;$O8&amp;"|CH4",DATOS_MODELO!$C$2:$C$3672,0)))</f>
        <v>1.0</v>
      </c>
      <c r="U8" s="14">
        <f>IF(COUNTIFS(DATOS_MODELO!$C$2:$C$3672,$Q8&amp;"|"&amp;$E8&amp;"|"&amp;$O8&amp;"|N2O",DATOS_MODELO!$AA$2:$AA$3672,"&lt;&gt;")=0,"",INDEX(DATOS_MODELO!$AA$2:$AA$3672,MATCH($Q8&amp;"|"&amp;$E8&amp;"|"&amp;$O8&amp;"|N2O",DATOS_MODELO!$C$2:$C$3672,0)))</f>
        <v>0.1</v>
      </c>
      <c r="V8" s="8"/>
      <c r="W8" s="14"/>
      <c r="X8" s="14">
        <f>IF($P8="BIOGENICO",0,IF(ISNUMBER($S8),$N8*$S8/PARAMETROS!$B$8,""))</f>
        <v>0.0</v>
      </c>
      <c r="Y8" s="14">
        <f>IF($P8="BIOGENICO",IF(ISNUMBER($S8),$N8*$S8/PARAMETROS!$B$8,""),0)</f>
        <v>0.793065</v>
      </c>
      <c r="Z8" s="14">
        <f>IF(ISNUMBER($T8),$N8*$T8/PARAMETROS!$B$8,"")</f>
        <v>1.4525e-05</v>
      </c>
      <c r="AA8" s="14">
        <f>IF(ISNUMBER($U8),$N8*$U8/PARAMETROS!$B$8,"")</f>
        <v>1.4525e-06</v>
      </c>
      <c r="AB8" s="14">
        <f>IF(COUNT($X8,$Z8,$AA8)=0,"",SUM($X8,IF(ISNUMBER($Z8),$Z8*PARAMETROS!$B$9,0),IF(ISNUMBER($AA8),$AA8*PARAMETROS!$B$10,0)))</f>
        <v>0.0007916125</v>
      </c>
      <c r="AC8" s="4" t="s">
        <v>1990</v>
      </c>
      <c r="AD8" s="4"/>
      <c r="AE8" s="4" t="s">
        <v>5690</v>
      </c>
      <c r="AF8" s="4" t="s">
        <v>170</v>
      </c>
      <c r="AG8" s="4" t="inlineStr">
        <is>
          <t>MARN_GTM_BTR1_2024</t>
        </is>
      </c>
      <c r="AH8" s="4" t="inlineStr">
        <is>
          <t>Origen de factores: CO2: MARN_GTM_BTR1_2024 [PRX; BTR1 Guatemala 2024, tabla 3.6, p. 48; fila Gas de vertedero; gas CO2]; CH4: MARN_GTM_BTR1_2024 [PRX; BTR1 Guatemala 2024, tabla 3.17, p. 57; fila Gas de vertedero; gas CH4]; N2O: MARN_GTM_BTR1_2024 [PRX; BTR1 Guatemala 2024, tabla 3.17, p. 57; fila Gas de vertedero; gas N2O].</t>
        </is>
      </c>
    </row>
    <row r="9" customFormat="false" ht="15" hidden="false" customHeight="false" outlineLevel="0" collapsed="false">
      <c r="A9" s="4" t="s">
        <v>5695</v>
      </c>
      <c r="B9" s="12" t="n">
        <v>2018</v>
      </c>
      <c r="C9" s="4" t="s">
        <v>67</v>
      </c>
      <c r="D9" s="4" t="s">
        <v>5685</v>
      </c>
      <c r="E9" s="4" t="s">
        <v>3341</v>
      </c>
      <c r="F9" s="4" t="s">
        <v>3342</v>
      </c>
      <c r="G9" s="4" t="s">
        <v>76</v>
      </c>
      <c r="H9" s="4" t="s">
        <v>2003</v>
      </c>
      <c r="I9" s="4" t="s">
        <v>67</v>
      </c>
      <c r="J9" s="4" t="s">
        <v>2001</v>
      </c>
      <c r="K9" s="4" t="s">
        <v>2002</v>
      </c>
      <c r="L9" s="4" t="s">
        <v>210</v>
      </c>
      <c r="M9" s="14" t="n">
        <f aca="false">SUMIFS(PSUT_LARGA!$K$2:$K$618,PSUT_LARGA!$B$2:$B$618,$B9,PSUT_LARGA!$H$2:$H$618,$L9,PSUT_LARGA!$E$2:$E$618,$J9,PSUT_LARGA!$F$2:$F$618,$K9,PSUT_LARGA!$G$2:$G$618,$I9,PSUT_LARGA!$I$2:$I$618,$H9)</f>
        <v>51780.4049</v>
      </c>
      <c r="N9" s="14" t="n">
        <f aca="false">IF($H9="TRANSFORMACION_REFINERIA",$M9*INDEX(PARAMETROS!$C$27:$C$33,MATCH($B9,PARAMETROS!$A$27:$A$33,0)),$M9)</f>
        <v>51780.4049</v>
      </c>
      <c r="O9" s="4" t="inlineStr">
        <is>
          <t>COMB_CRBN</t>
        </is>
      </c>
      <c r="P9" s="4" t="s">
        <v>3352</v>
      </c>
      <c r="Q9" s="11" t="n">
        <f aca="false">MIN($B9,2022)</f>
        <v>2018</v>
      </c>
      <c r="R9" s="8" t="str">
        <f>IF(COUNT($S9:$U9)=0,"NO",IF($O9="CERO_DIRECTO","CAL",IF(OR($B9&gt;$Q9,COUNTIFS(DATOS_MODELO!$C$2:$C$3672,$Q9&amp;"|"&amp;$E9&amp;"|"&amp;$O9&amp;"|*",DATOS_MODELO!$F$2:$F$3672,"PRX",DATOS_MODELO!$AA$2:$AA$3672,"&lt;&gt;")&gt;0),"PRX",IF(COUNTIFS(DATOS_MODELO!$C$2:$C$3672,$Q9&amp;"|"&amp;$E9&amp;"|"&amp;$O9&amp;"|*",DATOS_MODELO!$F$2:$F$3672,"CAL",DATOS_MODELO!$AA$2:$AA$3672,"&lt;&gt;")&gt;0,"CAL","OBS"))))</f>
        <v>PRX</v>
      </c>
      <c r="S9" s="14">
        <f>IF(COUNTIFS(DATOS_MODELO!$C$2:$C$3672,$Q9&amp;"|"&amp;$E9&amp;"|"&amp;$O9&amp;"|CO2",DATOS_MODELO!$AA$2:$AA$3672,"&lt;&gt;")=0,"",INDEX(DATOS_MODELO!$AA$2:$AA$3672,MATCH($Q9&amp;"|"&amp;$E9&amp;"|"&amp;$O9&amp;"|CO2",DATOS_MODELO!$C$2:$C$3672,0)))</f>
        <v>98300.0</v>
      </c>
      <c r="T9" s="14">
        <f>IF(COUNTIFS(DATOS_MODELO!$C$2:$C$3672,$Q9&amp;"|"&amp;$E9&amp;"|"&amp;$O9&amp;"|CH4",DATOS_MODELO!$AA$2:$AA$3672,"&lt;&gt;")=0,"",INDEX(DATOS_MODELO!$AA$2:$AA$3672,MATCH($Q9&amp;"|"&amp;$E9&amp;"|"&amp;$O9&amp;"|CH4",DATOS_MODELO!$C$2:$C$3672,0)))</f>
        <v>1.0</v>
      </c>
      <c r="U9" s="14">
        <f>IF(COUNTIFS(DATOS_MODELO!$C$2:$C$3672,$Q9&amp;"|"&amp;$E9&amp;"|"&amp;$O9&amp;"|N2O",DATOS_MODELO!$AA$2:$AA$3672,"&lt;&gt;")=0,"",INDEX(DATOS_MODELO!$AA$2:$AA$3672,MATCH($Q9&amp;"|"&amp;$E9&amp;"|"&amp;$O9&amp;"|N2O",DATOS_MODELO!$C$2:$C$3672,0)))</f>
        <v>1.5</v>
      </c>
      <c r="V9" s="8"/>
      <c r="W9" s="14"/>
      <c r="X9" s="14">
        <f>IF($P9="BIOGENICO",0,IF(ISNUMBER($S9),$N9*$S9/PARAMETROS!$B$8,""))</f>
        <v>5090.01380167</v>
      </c>
      <c r="Y9" s="14">
        <f>IF($P9="BIOGENICO",IF(ISNUMBER($S9),$N9*$S9/PARAMETROS!$B$8,""),0)</f>
        <v>0.0</v>
      </c>
      <c r="Z9" s="14">
        <f>IF(ISNUMBER($T9),$N9*$T9/PARAMETROS!$B$8,"")</f>
        <v>0.0517804049</v>
      </c>
      <c r="AA9" s="14">
        <f>IF(ISNUMBER($U9),$N9*$U9/PARAMETROS!$B$8,"")</f>
        <v>0.07767060735</v>
      </c>
      <c r="AB9" s="14">
        <f>IF(COUNT($X9,$Z9,$AA9)=0,"",SUM($X9,IF(ISNUMBER($Z9),$Z9*PARAMETROS!$B$9,0),IF(ISNUMBER($AA9),$AA9*PARAMETROS!$B$10,0)))</f>
        <v>5112.04636395495</v>
      </c>
      <c r="AC9" s="4" t="s">
        <v>1990</v>
      </c>
      <c r="AD9" s="4"/>
      <c r="AE9" s="4" t="s">
        <v>5690</v>
      </c>
      <c r="AF9" s="4" t="s">
        <v>170</v>
      </c>
      <c r="AG9" s="4" t="inlineStr">
        <is>
          <t>MARN_GTM_BTR1_2024</t>
        </is>
      </c>
      <c r="AH9" s="4" t="inlineStr">
        <is>
          <t>Origen de factores: CO2: MARN_GTM_BTR1_2024 [PRX; BTR1 Guatemala 2024, tabla 3.6, p. 48; fila Otro carbón bituminoso*; gas CO2]; CH4: MARN_GTM_BTR1_2024 [PRX; BTR1 Guatemala 2024, tabla 3.17, p. 57; fila Otro carbón bituminoso; gas CH4]; N2O: MARN_GTM_BTR1_2024 [PRX; BTR1 Guatemala 2024, tabla 3.17, p. 57; fila Otro carbón bituminoso; gas N2O].</t>
        </is>
      </c>
    </row>
    <row r="10" customFormat="false" ht="23.85" hidden="false" customHeight="false" outlineLevel="0" collapsed="false">
      <c r="A10" s="4" t="s">
        <v>5696</v>
      </c>
      <c r="B10" s="12" t="n">
        <v>2018</v>
      </c>
      <c r="C10" s="4" t="s">
        <v>67</v>
      </c>
      <c r="D10" s="4" t="s">
        <v>5685</v>
      </c>
      <c r="E10" s="4" t="s">
        <v>3341</v>
      </c>
      <c r="F10" s="4" t="s">
        <v>3342</v>
      </c>
      <c r="G10" s="4" t="s">
        <v>78</v>
      </c>
      <c r="H10" s="4" t="s">
        <v>2003</v>
      </c>
      <c r="I10" s="4" t="s">
        <v>67</v>
      </c>
      <c r="J10" s="4" t="s">
        <v>2001</v>
      </c>
      <c r="K10" s="4" t="s">
        <v>66</v>
      </c>
      <c r="L10" s="4" t="s">
        <v>224</v>
      </c>
      <c r="M10" s="14" t="n">
        <f aca="false">SUMIFS(PSUT_LARGA!$K$2:$K$618,PSUT_LARGA!$B$2:$B$618,$B10,PSUT_LARGA!$H$2:$H$618,$L10,PSUT_LARGA!$E$2:$E$618,$J10,PSUT_LARGA!$F$2:$F$618,$K10,PSUT_LARGA!$G$2:$G$618,$I10,PSUT_LARGA!$I$2:$I$618,$H10)</f>
        <v>1166.7061</v>
      </c>
      <c r="N10" s="14" t="n">
        <f aca="false">IF($H10="TRANSFORMACION_REFINERIA",$M10*INDEX(PARAMETROS!$C$27:$C$33,MATCH($B10,PARAMETROS!$A$27:$A$33,0)),$M10)</f>
        <v>1166.7061</v>
      </c>
      <c r="O10" s="4" t="s">
        <v>3362</v>
      </c>
      <c r="P10" s="4" t="s">
        <v>3363</v>
      </c>
      <c r="Q10" s="11" t="n">
        <f aca="false">MIN($B10,2022)</f>
        <v>2018</v>
      </c>
      <c r="R10" s="8" t="str">
        <f>IF(COUNT($S10:$U10)=0,"NO",IF($O10="CERO_DIRECTO","CAL",IF(OR($B10&gt;$Q10,COUNTIFS(DATOS_MODELO!$C$2:$C$3672,$Q10&amp;"|"&amp;$E10&amp;"|"&amp;$O10&amp;"|*",DATOS_MODELO!$F$2:$F$3672,"PRX",DATOS_MODELO!$AA$2:$AA$3672,"&lt;&gt;")&gt;0),"PRX",IF(COUNTIFS(DATOS_MODELO!$C$2:$C$3672,$Q10&amp;"|"&amp;$E10&amp;"|"&amp;$O10&amp;"|*",DATOS_MODELO!$F$2:$F$3672,"CAL",DATOS_MODELO!$AA$2:$AA$3672,"&lt;&gt;")&gt;0,"CAL","OBS"))))</f>
        <v>CAL</v>
      </c>
      <c r="S10" s="14">
        <f>IF(COUNTIFS(DATOS_MODELO!$C$2:$C$3672,$Q10&amp;"|"&amp;$E10&amp;"|"&amp;$O10&amp;"|CO2",DATOS_MODELO!$AA$2:$AA$3672,"&lt;&gt;")=0,"",INDEX(DATOS_MODELO!$AA$2:$AA$3672,MATCH($Q10&amp;"|"&amp;$E10&amp;"|"&amp;$O10&amp;"|CO2",DATOS_MODELO!$C$2:$C$3672,0)))</f>
        <v>0.0</v>
      </c>
      <c r="T10" s="14">
        <f>IF(COUNTIFS(DATOS_MODELO!$C$2:$C$3672,$Q10&amp;"|"&amp;$E10&amp;"|"&amp;$O10&amp;"|CH4",DATOS_MODELO!$AA$2:$AA$3672,"&lt;&gt;")=0,"",INDEX(DATOS_MODELO!$AA$2:$AA$3672,MATCH($Q10&amp;"|"&amp;$E10&amp;"|"&amp;$O10&amp;"|CH4",DATOS_MODELO!$C$2:$C$3672,0)))</f>
        <v>0.0</v>
      </c>
      <c r="U10" s="14">
        <f>IF(COUNTIFS(DATOS_MODELO!$C$2:$C$3672,$Q10&amp;"|"&amp;$E10&amp;"|"&amp;$O10&amp;"|N2O",DATOS_MODELO!$AA$2:$AA$3672,"&lt;&gt;")=0,"",INDEX(DATOS_MODELO!$AA$2:$AA$3672,MATCH($Q10&amp;"|"&amp;$E10&amp;"|"&amp;$O10&amp;"|N2O",DATOS_MODELO!$C$2:$C$3672,0)))</f>
        <v>0.0</v>
      </c>
      <c r="V10" s="8"/>
      <c r="W10" s="14"/>
      <c r="X10" s="14">
        <f>IF($P10="BIOGENICO",0,IF(ISNUMBER($S10),$N10*$S10/PARAMETROS!$B$8,""))</f>
        <v>0.0</v>
      </c>
      <c r="Y10" s="14">
        <f>IF($P10="BIOGENICO",IF(ISNUMBER($S10),$N10*$S10/PARAMETROS!$B$8,""),0)</f>
        <v>0.0</v>
      </c>
      <c r="Z10" s="14">
        <f>IF(ISNUMBER($T10),$N10*$T10/PARAMETROS!$B$8,"")</f>
        <v>0.0</v>
      </c>
      <c r="AA10" s="14">
        <f>IF(ISNUMBER($U10),$N10*$U10/PARAMETROS!$B$8,"")</f>
        <v>0.0</v>
      </c>
      <c r="AB10" s="14">
        <f>IF(COUNT($X10,$Z10,$AA10)=0,"",SUM($X10,IF(ISNUMBER($Z10),$Z10*PARAMETROS!$B$9,0),IF(ISNUMBER($AA10),$AA10*PARAMETROS!$B$10,0)))</f>
        <v>0.0</v>
      </c>
      <c r="AC10" s="4" t="s">
        <v>1990</v>
      </c>
      <c r="AD10" s="4"/>
      <c r="AE10" s="4" t="s">
        <v>3362</v>
      </c>
      <c r="AF10" s="4" t="s">
        <v>170</v>
      </c>
      <c r="AG10" s="4" t="inlineStr">
        <is>
          <t>METODO_EMISIONES</t>
        </is>
      </c>
      <c r="AH10" s="4"/>
    </row>
    <row r="11" customFormat="false" ht="23.85" hidden="false" customHeight="false" outlineLevel="0" collapsed="false">
      <c r="A11" s="4" t="s">
        <v>5697</v>
      </c>
      <c r="B11" s="12" t="n">
        <v>2018</v>
      </c>
      <c r="C11" s="4" t="s">
        <v>67</v>
      </c>
      <c r="D11" s="4" t="s">
        <v>5685</v>
      </c>
      <c r="E11" s="4" t="s">
        <v>3341</v>
      </c>
      <c r="F11" s="4" t="s">
        <v>3342</v>
      </c>
      <c r="G11" s="4" t="s">
        <v>80</v>
      </c>
      <c r="H11" s="4" t="s">
        <v>2003</v>
      </c>
      <c r="I11" s="4" t="s">
        <v>67</v>
      </c>
      <c r="J11" s="4" t="s">
        <v>2001</v>
      </c>
      <c r="K11" s="4" t="s">
        <v>66</v>
      </c>
      <c r="L11" s="4" t="s">
        <v>238</v>
      </c>
      <c r="M11" s="14" t="n">
        <f aca="false">SUMIFS(PSUT_LARGA!$K$2:$K$618,PSUT_LARGA!$B$2:$B$618,$B11,PSUT_LARGA!$H$2:$H$618,$L11,PSUT_LARGA!$E$2:$E$618,$J11,PSUT_LARGA!$F$2:$F$618,$K11,PSUT_LARGA!$G$2:$G$618,$I11,PSUT_LARGA!$I$2:$I$618,$H11)</f>
        <v>10709.8635</v>
      </c>
      <c r="N11" s="14" t="n">
        <f aca="false">IF($H11="TRANSFORMACION_REFINERIA",$M11*INDEX(PARAMETROS!$C$27:$C$33,MATCH($B11,PARAMETROS!$A$27:$A$33,0)),$M11)</f>
        <v>10709.8635</v>
      </c>
      <c r="O11" s="4" t="s">
        <v>3362</v>
      </c>
      <c r="P11" s="4" t="s">
        <v>3363</v>
      </c>
      <c r="Q11" s="11" t="n">
        <f aca="false">MIN($B11,2022)</f>
        <v>2018</v>
      </c>
      <c r="R11" s="8" t="str">
        <f>IF(COUNT($S11:$U11)=0,"NO",IF($O11="CERO_DIRECTO","CAL",IF(OR($B11&gt;$Q11,COUNTIFS(DATOS_MODELO!$C$2:$C$3672,$Q11&amp;"|"&amp;$E11&amp;"|"&amp;$O11&amp;"|*",DATOS_MODELO!$F$2:$F$3672,"PRX",DATOS_MODELO!$AA$2:$AA$3672,"&lt;&gt;")&gt;0),"PRX",IF(COUNTIFS(DATOS_MODELO!$C$2:$C$3672,$Q11&amp;"|"&amp;$E11&amp;"|"&amp;$O11&amp;"|*",DATOS_MODELO!$F$2:$F$3672,"CAL",DATOS_MODELO!$AA$2:$AA$3672,"&lt;&gt;")&gt;0,"CAL","OBS"))))</f>
        <v>CAL</v>
      </c>
      <c r="S11" s="14">
        <f>IF(COUNTIFS(DATOS_MODELO!$C$2:$C$3672,$Q11&amp;"|"&amp;$E11&amp;"|"&amp;$O11&amp;"|CO2",DATOS_MODELO!$AA$2:$AA$3672,"&lt;&gt;")=0,"",INDEX(DATOS_MODELO!$AA$2:$AA$3672,MATCH($Q11&amp;"|"&amp;$E11&amp;"|"&amp;$O11&amp;"|CO2",DATOS_MODELO!$C$2:$C$3672,0)))</f>
        <v>0.0</v>
      </c>
      <c r="T11" s="14">
        <f>IF(COUNTIFS(DATOS_MODELO!$C$2:$C$3672,$Q11&amp;"|"&amp;$E11&amp;"|"&amp;$O11&amp;"|CH4",DATOS_MODELO!$AA$2:$AA$3672,"&lt;&gt;")=0,"",INDEX(DATOS_MODELO!$AA$2:$AA$3672,MATCH($Q11&amp;"|"&amp;$E11&amp;"|"&amp;$O11&amp;"|CH4",DATOS_MODELO!$C$2:$C$3672,0)))</f>
        <v>0.0</v>
      </c>
      <c r="U11" s="14">
        <f>IF(COUNTIFS(DATOS_MODELO!$C$2:$C$3672,$Q11&amp;"|"&amp;$E11&amp;"|"&amp;$O11&amp;"|N2O",DATOS_MODELO!$AA$2:$AA$3672,"&lt;&gt;")=0,"",INDEX(DATOS_MODELO!$AA$2:$AA$3672,MATCH($Q11&amp;"|"&amp;$E11&amp;"|"&amp;$O11&amp;"|N2O",DATOS_MODELO!$C$2:$C$3672,0)))</f>
        <v>0.0</v>
      </c>
      <c r="V11" s="8"/>
      <c r="W11" s="14"/>
      <c r="X11" s="14">
        <f>IF($P11="BIOGENICO",0,IF(ISNUMBER($S11),$N11*$S11/PARAMETROS!$B$8,""))</f>
        <v>0.0</v>
      </c>
      <c r="Y11" s="14">
        <f>IF($P11="BIOGENICO",IF(ISNUMBER($S11),$N11*$S11/PARAMETROS!$B$8,""),0)</f>
        <v>0.0</v>
      </c>
      <c r="Z11" s="14">
        <f>IF(ISNUMBER($T11),$N11*$T11/PARAMETROS!$B$8,"")</f>
        <v>0.0</v>
      </c>
      <c r="AA11" s="14">
        <f>IF(ISNUMBER($U11),$N11*$U11/PARAMETROS!$B$8,"")</f>
        <v>0.0</v>
      </c>
      <c r="AB11" s="14">
        <f>IF(COUNT($X11,$Z11,$AA11)=0,"",SUM($X11,IF(ISNUMBER($Z11),$Z11*PARAMETROS!$B$9,0),IF(ISNUMBER($AA11),$AA11*PARAMETROS!$B$10,0)))</f>
        <v>0.0</v>
      </c>
      <c r="AC11" s="4" t="s">
        <v>1990</v>
      </c>
      <c r="AD11" s="4"/>
      <c r="AE11" s="4" t="s">
        <v>3362</v>
      </c>
      <c r="AF11" s="4" t="s">
        <v>170</v>
      </c>
      <c r="AG11" s="4" t="inlineStr">
        <is>
          <t>METODO_EMISIONES</t>
        </is>
      </c>
      <c r="AH11" s="4"/>
    </row>
    <row r="12" customFormat="false" ht="23.85" hidden="false" customHeight="false" outlineLevel="0" collapsed="false">
      <c r="A12" s="4" t="s">
        <v>5698</v>
      </c>
      <c r="B12" s="12" t="n">
        <v>2018</v>
      </c>
      <c r="C12" s="4" t="s">
        <v>67</v>
      </c>
      <c r="D12" s="4" t="s">
        <v>5685</v>
      </c>
      <c r="E12" s="4" t="s">
        <v>3341</v>
      </c>
      <c r="F12" s="4" t="s">
        <v>3342</v>
      </c>
      <c r="G12" s="4" t="s">
        <v>84</v>
      </c>
      <c r="H12" s="4" t="s">
        <v>2003</v>
      </c>
      <c r="I12" s="4" t="s">
        <v>67</v>
      </c>
      <c r="J12" s="4" t="s">
        <v>2001</v>
      </c>
      <c r="K12" s="4" t="s">
        <v>66</v>
      </c>
      <c r="L12" s="4" t="s">
        <v>252</v>
      </c>
      <c r="M12" s="14" t="n">
        <f aca="false">SUMIFS(PSUT_LARGA!$K$2:$K$618,PSUT_LARGA!$B$2:$B$618,$B12,PSUT_LARGA!$H$2:$H$618,$L12,PSUT_LARGA!$E$2:$E$618,$J12,PSUT_LARGA!$F$2:$F$618,$K12,PSUT_LARGA!$G$2:$G$618,$I12,PSUT_LARGA!$I$2:$I$618,$H12)</f>
        <v>23801.3622</v>
      </c>
      <c r="N12" s="14" t="n">
        <f aca="false">IF($H12="TRANSFORMACION_REFINERIA",$M12*INDEX(PARAMETROS!$C$27:$C$33,MATCH($B12,PARAMETROS!$A$27:$A$33,0)),$M12)</f>
        <v>23801.3622</v>
      </c>
      <c r="O12" s="4" t="s">
        <v>3362</v>
      </c>
      <c r="P12" s="4" t="s">
        <v>3363</v>
      </c>
      <c r="Q12" s="11" t="n">
        <f aca="false">MIN($B12,2022)</f>
        <v>2018</v>
      </c>
      <c r="R12" s="8" t="str">
        <f>IF(COUNT($S12:$U12)=0,"NO",IF($O12="CERO_DIRECTO","CAL",IF(OR($B12&gt;$Q12,COUNTIFS(DATOS_MODELO!$C$2:$C$3672,$Q12&amp;"|"&amp;$E12&amp;"|"&amp;$O12&amp;"|*",DATOS_MODELO!$F$2:$F$3672,"PRX",DATOS_MODELO!$AA$2:$AA$3672,"&lt;&gt;")&gt;0),"PRX",IF(COUNTIFS(DATOS_MODELO!$C$2:$C$3672,$Q12&amp;"|"&amp;$E12&amp;"|"&amp;$O12&amp;"|*",DATOS_MODELO!$F$2:$F$3672,"CAL",DATOS_MODELO!$AA$2:$AA$3672,"&lt;&gt;")&gt;0,"CAL","OBS"))))</f>
        <v>CAL</v>
      </c>
      <c r="S12" s="14">
        <f>IF(COUNTIFS(DATOS_MODELO!$C$2:$C$3672,$Q12&amp;"|"&amp;$E12&amp;"|"&amp;$O12&amp;"|CO2",DATOS_MODELO!$AA$2:$AA$3672,"&lt;&gt;")=0,"",INDEX(DATOS_MODELO!$AA$2:$AA$3672,MATCH($Q12&amp;"|"&amp;$E12&amp;"|"&amp;$O12&amp;"|CO2",DATOS_MODELO!$C$2:$C$3672,0)))</f>
        <v>0.0</v>
      </c>
      <c r="T12" s="14">
        <f>IF(COUNTIFS(DATOS_MODELO!$C$2:$C$3672,$Q12&amp;"|"&amp;$E12&amp;"|"&amp;$O12&amp;"|CH4",DATOS_MODELO!$AA$2:$AA$3672,"&lt;&gt;")=0,"",INDEX(DATOS_MODELO!$AA$2:$AA$3672,MATCH($Q12&amp;"|"&amp;$E12&amp;"|"&amp;$O12&amp;"|CH4",DATOS_MODELO!$C$2:$C$3672,0)))</f>
        <v>0.0</v>
      </c>
      <c r="U12" s="14">
        <f>IF(COUNTIFS(DATOS_MODELO!$C$2:$C$3672,$Q12&amp;"|"&amp;$E12&amp;"|"&amp;$O12&amp;"|N2O",DATOS_MODELO!$AA$2:$AA$3672,"&lt;&gt;")=0,"",INDEX(DATOS_MODELO!$AA$2:$AA$3672,MATCH($Q12&amp;"|"&amp;$E12&amp;"|"&amp;$O12&amp;"|N2O",DATOS_MODELO!$C$2:$C$3672,0)))</f>
        <v>0.0</v>
      </c>
      <c r="V12" s="8"/>
      <c r="W12" s="14"/>
      <c r="X12" s="14">
        <f>IF($P12="BIOGENICO",0,IF(ISNUMBER($S12),$N12*$S12/PARAMETROS!$B$8,""))</f>
        <v>0.0</v>
      </c>
      <c r="Y12" s="14">
        <f>IF($P12="BIOGENICO",IF(ISNUMBER($S12),$N12*$S12/PARAMETROS!$B$8,""),0)</f>
        <v>0.0</v>
      </c>
      <c r="Z12" s="14">
        <f>IF(ISNUMBER($T12),$N12*$T12/PARAMETROS!$B$8,"")</f>
        <v>0.0</v>
      </c>
      <c r="AA12" s="14">
        <f>IF(ISNUMBER($U12),$N12*$U12/PARAMETROS!$B$8,"")</f>
        <v>0.0</v>
      </c>
      <c r="AB12" s="14">
        <f>IF(COUNT($X12,$Z12,$AA12)=0,"",SUM($X12,IF(ISNUMBER($Z12),$Z12*PARAMETROS!$B$9,0),IF(ISNUMBER($AA12),$AA12*PARAMETROS!$B$10,0)))</f>
        <v>0.0</v>
      </c>
      <c r="AC12" s="4" t="s">
        <v>1990</v>
      </c>
      <c r="AD12" s="4"/>
      <c r="AE12" s="4" t="s">
        <v>3362</v>
      </c>
      <c r="AF12" s="4" t="s">
        <v>170</v>
      </c>
      <c r="AG12" s="4" t="inlineStr">
        <is>
          <t>METODO_EMISIONES</t>
        </is>
      </c>
      <c r="AH12" s="4"/>
    </row>
    <row r="13" customFormat="false" ht="23.85" hidden="false" customHeight="false" outlineLevel="0" collapsed="false">
      <c r="A13" s="4" t="s">
        <v>5699</v>
      </c>
      <c r="B13" s="12" t="n">
        <v>2018</v>
      </c>
      <c r="C13" s="4" t="s">
        <v>67</v>
      </c>
      <c r="D13" s="4" t="s">
        <v>5685</v>
      </c>
      <c r="E13" s="4" t="s">
        <v>3341</v>
      </c>
      <c r="F13" s="4" t="s">
        <v>3342</v>
      </c>
      <c r="G13" s="4" t="s">
        <v>84</v>
      </c>
      <c r="H13" s="4" t="s">
        <v>2008</v>
      </c>
      <c r="I13" s="4" t="s">
        <v>67</v>
      </c>
      <c r="J13" s="4" t="s">
        <v>2001</v>
      </c>
      <c r="K13" s="4" t="s">
        <v>66</v>
      </c>
      <c r="L13" s="4" t="s">
        <v>253</v>
      </c>
      <c r="M13" s="14" t="n">
        <f aca="false">SUMIFS(PSUT_LARGA!$K$2:$K$618,PSUT_LARGA!$B$2:$B$618,$B13,PSUT_LARGA!$H$2:$H$618,$L13,PSUT_LARGA!$E$2:$E$618,$J13,PSUT_LARGA!$F$2:$F$618,$K13,PSUT_LARGA!$G$2:$G$618,$I13,PSUT_LARGA!$I$2:$I$618,$H13)</f>
        <v>98.9443</v>
      </c>
      <c r="N13" s="14" t="n">
        <f aca="false">IF($H13="TRANSFORMACION_REFINERIA",$M13*INDEX(PARAMETROS!$C$27:$C$33,MATCH($B13,PARAMETROS!$A$27:$A$33,0)),$M13)</f>
        <v>98.9443</v>
      </c>
      <c r="O13" s="4" t="s">
        <v>3362</v>
      </c>
      <c r="P13" s="4" t="s">
        <v>3363</v>
      </c>
      <c r="Q13" s="11" t="n">
        <f aca="false">MIN($B13,2022)</f>
        <v>2018</v>
      </c>
      <c r="R13" s="8" t="str">
        <f>IF(COUNT($S13:$U13)=0,"NO",IF($O13="CERO_DIRECTO","CAL",IF(OR($B13&gt;$Q13,COUNTIFS(DATOS_MODELO!$C$2:$C$3672,$Q13&amp;"|"&amp;$E13&amp;"|"&amp;$O13&amp;"|*",DATOS_MODELO!$F$2:$F$3672,"PRX",DATOS_MODELO!$AA$2:$AA$3672,"&lt;&gt;")&gt;0),"PRX",IF(COUNTIFS(DATOS_MODELO!$C$2:$C$3672,$Q13&amp;"|"&amp;$E13&amp;"|"&amp;$O13&amp;"|*",DATOS_MODELO!$F$2:$F$3672,"CAL",DATOS_MODELO!$AA$2:$AA$3672,"&lt;&gt;")&gt;0,"CAL","OBS"))))</f>
        <v>CAL</v>
      </c>
      <c r="S13" s="14">
        <f>IF(COUNTIFS(DATOS_MODELO!$C$2:$C$3672,$Q13&amp;"|"&amp;$E13&amp;"|"&amp;$O13&amp;"|CO2",DATOS_MODELO!$AA$2:$AA$3672,"&lt;&gt;")=0,"",INDEX(DATOS_MODELO!$AA$2:$AA$3672,MATCH($Q13&amp;"|"&amp;$E13&amp;"|"&amp;$O13&amp;"|CO2",DATOS_MODELO!$C$2:$C$3672,0)))</f>
        <v>0.0</v>
      </c>
      <c r="T13" s="14">
        <f>IF(COUNTIFS(DATOS_MODELO!$C$2:$C$3672,$Q13&amp;"|"&amp;$E13&amp;"|"&amp;$O13&amp;"|CH4",DATOS_MODELO!$AA$2:$AA$3672,"&lt;&gt;")=0,"",INDEX(DATOS_MODELO!$AA$2:$AA$3672,MATCH($Q13&amp;"|"&amp;$E13&amp;"|"&amp;$O13&amp;"|CH4",DATOS_MODELO!$C$2:$C$3672,0)))</f>
        <v>0.0</v>
      </c>
      <c r="U13" s="14">
        <f>IF(COUNTIFS(DATOS_MODELO!$C$2:$C$3672,$Q13&amp;"|"&amp;$E13&amp;"|"&amp;$O13&amp;"|N2O",DATOS_MODELO!$AA$2:$AA$3672,"&lt;&gt;")=0,"",INDEX(DATOS_MODELO!$AA$2:$AA$3672,MATCH($Q13&amp;"|"&amp;$E13&amp;"|"&amp;$O13&amp;"|N2O",DATOS_MODELO!$C$2:$C$3672,0)))</f>
        <v>0.0</v>
      </c>
      <c r="V13" s="8"/>
      <c r="W13" s="14"/>
      <c r="X13" s="14">
        <f>IF($P13="BIOGENICO",0,IF(ISNUMBER($S13),$N13*$S13/PARAMETROS!$B$8,""))</f>
        <v>0.0</v>
      </c>
      <c r="Y13" s="14">
        <f>IF($P13="BIOGENICO",IF(ISNUMBER($S13),$N13*$S13/PARAMETROS!$B$8,""),0)</f>
        <v>0.0</v>
      </c>
      <c r="Z13" s="14">
        <f>IF(ISNUMBER($T13),$N13*$T13/PARAMETROS!$B$8,"")</f>
        <v>0.0</v>
      </c>
      <c r="AA13" s="14">
        <f>IF(ISNUMBER($U13),$N13*$U13/PARAMETROS!$B$8,"")</f>
        <v>0.0</v>
      </c>
      <c r="AB13" s="14">
        <f>IF(COUNT($X13,$Z13,$AA13)=0,"",SUM($X13,IF(ISNUMBER($Z13),$Z13*PARAMETROS!$B$9,0),IF(ISNUMBER($AA13),$AA13*PARAMETROS!$B$10,0)))</f>
        <v>0.0</v>
      </c>
      <c r="AC13" s="4" t="s">
        <v>1990</v>
      </c>
      <c r="AD13" s="4"/>
      <c r="AE13" s="4" t="s">
        <v>3362</v>
      </c>
      <c r="AF13" s="4" t="s">
        <v>170</v>
      </c>
      <c r="AG13" s="4" t="inlineStr">
        <is>
          <t>METODO_EMISIONES</t>
        </is>
      </c>
      <c r="AH13" s="4"/>
    </row>
    <row r="14" customFormat="false" ht="15" hidden="false" customHeight="false" outlineLevel="0" collapsed="false">
      <c r="A14" s="4" t="s">
        <v>5700</v>
      </c>
      <c r="B14" s="12" t="n">
        <v>2018</v>
      </c>
      <c r="C14" s="4" t="s">
        <v>67</v>
      </c>
      <c r="D14" s="4" t="s">
        <v>5685</v>
      </c>
      <c r="E14" s="4" t="s">
        <v>3341</v>
      </c>
      <c r="F14" s="4" t="s">
        <v>3342</v>
      </c>
      <c r="G14" s="4" t="s">
        <v>109</v>
      </c>
      <c r="H14" s="4" t="s">
        <v>2008</v>
      </c>
      <c r="I14" s="4" t="s">
        <v>67</v>
      </c>
      <c r="J14" s="4" t="s">
        <v>2001</v>
      </c>
      <c r="K14" s="4" t="s">
        <v>2002</v>
      </c>
      <c r="L14" s="4" t="s">
        <v>267</v>
      </c>
      <c r="M14" s="14" t="n">
        <f aca="false">SUMIFS(PSUT_LARGA!$K$2:$K$618,PSUT_LARGA!$B$2:$B$618,$B14,PSUT_LARGA!$H$2:$H$618,$L14,PSUT_LARGA!$E$2:$E$618,$J14,PSUT_LARGA!$F$2:$F$618,$K14,PSUT_LARGA!$G$2:$G$618,$I14,PSUT_LARGA!$I$2:$I$618,$H14)</f>
        <v>2.8469</v>
      </c>
      <c r="N14" s="14" t="n">
        <f aca="false">IF($H14="TRANSFORMACION_REFINERIA",$M14*INDEX(PARAMETROS!$C$27:$C$33,MATCH($B14,PARAMETROS!$A$27:$A$33,0)),$M14)</f>
        <v>2.8469</v>
      </c>
      <c r="O14" s="4" t="inlineStr">
        <is>
          <t>COMB_LENA</t>
        </is>
      </c>
      <c r="P14" s="4" t="s">
        <v>3344</v>
      </c>
      <c r="Q14" s="11" t="n">
        <f aca="false">MIN($B14,2022)</f>
        <v>2018</v>
      </c>
      <c r="R14" s="8" t="str">
        <f>IF(COUNT($S14:$U14)=0,"NO",IF($O14="CERO_DIRECTO","CAL",IF(OR($B14&gt;$Q14,COUNTIFS(DATOS_MODELO!$C$2:$C$3672,$Q14&amp;"|"&amp;$E14&amp;"|"&amp;$O14&amp;"|*",DATOS_MODELO!$F$2:$F$3672,"PRX",DATOS_MODELO!$AA$2:$AA$3672,"&lt;&gt;")&gt;0),"PRX",IF(COUNTIFS(DATOS_MODELO!$C$2:$C$3672,$Q14&amp;"|"&amp;$E14&amp;"|"&amp;$O14&amp;"|*",DATOS_MODELO!$F$2:$F$3672,"CAL",DATOS_MODELO!$AA$2:$AA$3672,"&lt;&gt;")&gt;0,"CAL","OBS"))))</f>
        <v>PRX</v>
      </c>
      <c r="S14" s="14">
        <f>IF(COUNTIFS(DATOS_MODELO!$C$2:$C$3672,$Q14&amp;"|"&amp;$E14&amp;"|"&amp;$O14&amp;"|CO2",DATOS_MODELO!$AA$2:$AA$3672,"&lt;&gt;")=0,"",INDEX(DATOS_MODELO!$AA$2:$AA$3672,MATCH($Q14&amp;"|"&amp;$E14&amp;"|"&amp;$O14&amp;"|CO2",DATOS_MODELO!$C$2:$C$3672,0)))</f>
        <v>112000.0</v>
      </c>
      <c r="T14" s="14">
        <f>IF(COUNTIFS(DATOS_MODELO!$C$2:$C$3672,$Q14&amp;"|"&amp;$E14&amp;"|"&amp;$O14&amp;"|CH4",DATOS_MODELO!$AA$2:$AA$3672,"&lt;&gt;")=0,"",INDEX(DATOS_MODELO!$AA$2:$AA$3672,MATCH($Q14&amp;"|"&amp;$E14&amp;"|"&amp;$O14&amp;"|CH4",DATOS_MODELO!$C$2:$C$3672,0)))</f>
        <v>30.0</v>
      </c>
      <c r="U14" s="14">
        <f>IF(COUNTIFS(DATOS_MODELO!$C$2:$C$3672,$Q14&amp;"|"&amp;$E14&amp;"|"&amp;$O14&amp;"|N2O",DATOS_MODELO!$AA$2:$AA$3672,"&lt;&gt;")=0,"",INDEX(DATOS_MODELO!$AA$2:$AA$3672,MATCH($Q14&amp;"|"&amp;$E14&amp;"|"&amp;$O14&amp;"|N2O",DATOS_MODELO!$C$2:$C$3672,0)))</f>
        <v>4.0</v>
      </c>
      <c r="V14" s="8"/>
      <c r="W14" s="14"/>
      <c r="X14" s="14">
        <f>IF($P14="BIOGENICO",0,IF(ISNUMBER($S14),$N14*$S14/PARAMETROS!$B$8,""))</f>
        <v>0.0</v>
      </c>
      <c r="Y14" s="14">
        <f>IF($P14="BIOGENICO",IF(ISNUMBER($S14),$N14*$S14/PARAMETROS!$B$8,""),0)</f>
        <v>0.3188528</v>
      </c>
      <c r="Z14" s="14">
        <f>IF(ISNUMBER($T14),$N14*$T14/PARAMETROS!$B$8,"")</f>
        <v>8.5407e-05</v>
      </c>
      <c r="AA14" s="14">
        <f>IF(ISNUMBER($U14),$N14*$U14/PARAMETROS!$B$8,"")</f>
        <v>1.13876e-05</v>
      </c>
      <c r="AB14" s="14">
        <f>IF(COUNT($X14,$Z14,$AA14)=0,"",SUM($X14,IF(ISNUMBER($Z14),$Z14*PARAMETROS!$B$9,0),IF(ISNUMBER($AA14),$AA14*PARAMETROS!$B$10,0)))</f>
        <v>0.00540911</v>
      </c>
      <c r="AC14" s="4" t="s">
        <v>1990</v>
      </c>
      <c r="AD14" s="4"/>
      <c r="AE14" s="4" t="s">
        <v>5690</v>
      </c>
      <c r="AF14" s="4" t="s">
        <v>170</v>
      </c>
      <c r="AG14" s="4" t="inlineStr">
        <is>
          <t>MARN_GTM_BTR1_2024</t>
        </is>
      </c>
      <c r="AH14" s="4" t="inlineStr">
        <is>
          <t>Origen de factores: CO2: MARN_GTM_BTR1_2024 [PRX; BTR1 Guatemala 2024, tabla 3.6, p. 48; fila Madera/desechos de madera; gas CO2]; CH4: MARN_GTM_BTR1_2024 [PRX; BTR1 Guatemala 2024, tabla 3.17, p. 57; fila Madera/desechos de madera; gas CH4]; N2O: MARN_GTM_BTR1_2024 [PRX; BTR1 Guatemala 2024, tabla 3.17, p. 57; fila Madera/desechos de madera; gas N2O].</t>
        </is>
      </c>
    </row>
    <row r="15" customFormat="false" ht="15" hidden="false" customHeight="false" outlineLevel="0" collapsed="false">
      <c r="A15" s="4" t="s">
        <v>5701</v>
      </c>
      <c r="B15" s="12" t="n">
        <v>2018</v>
      </c>
      <c r="C15" s="4" t="s">
        <v>67</v>
      </c>
      <c r="D15" s="4" t="s">
        <v>5685</v>
      </c>
      <c r="E15" s="4" t="s">
        <v>3395</v>
      </c>
      <c r="F15" s="4" t="s">
        <v>3396</v>
      </c>
      <c r="G15" s="4" t="s">
        <v>86</v>
      </c>
      <c r="H15" s="4" t="s">
        <v>2097</v>
      </c>
      <c r="I15" s="4" t="s">
        <v>67</v>
      </c>
      <c r="J15" s="4" t="s">
        <v>2001</v>
      </c>
      <c r="K15" s="4" t="s">
        <v>2002</v>
      </c>
      <c r="L15" s="4" t="s">
        <v>279</v>
      </c>
      <c r="M15" s="14" t="n">
        <f aca="false">SUMIFS(PSUT_LARGA!$K$2:$K$618,PSUT_LARGA!$B$2:$B$618,$B15,PSUT_LARGA!$H$2:$H$618,$L15,PSUT_LARGA!$E$2:$E$618,$J15,PSUT_LARGA!$F$2:$F$618,$K15,PSUT_LARGA!$G$2:$G$618,$I15,PSUT_LARGA!$I$2:$I$618,$H15)</f>
        <v>5767.2965</v>
      </c>
      <c r="N15" s="14" t="n">
        <f aca="false">IF($H15="TRANSFORMACION_REFINERIA",$M15*INDEX(PARAMETROS!$C$27:$C$33,MATCH($B15,PARAMETROS!$A$27:$A$33,0)),$M15)</f>
        <v>2077.9477</v>
      </c>
      <c r="O15" s="4" t="s">
        <v>3397</v>
      </c>
      <c r="P15" s="4" t="s">
        <v>3352</v>
      </c>
      <c r="Q15" s="11" t="n">
        <f aca="false">MIN($B15,2022)</f>
        <v>2018</v>
      </c>
      <c r="R15" s="8" t="str">
        <f>IF(COUNT($S15:$U15)=0,"NO",IF($O15="CERO_DIRECTO","CAL",IF(OR($B15&gt;$Q15,COUNTIFS(DATOS_MODELO!$C$2:$C$3672,$Q15&amp;"|"&amp;$E15&amp;"|"&amp;$O15&amp;"|*",DATOS_MODELO!$F$2:$F$3672,"PRX",DATOS_MODELO!$AA$2:$AA$3672,"&lt;&gt;")&gt;0),"PRX",IF(COUNTIFS(DATOS_MODELO!$C$2:$C$3672,$Q15&amp;"|"&amp;$E15&amp;"|"&amp;$O15&amp;"|*",DATOS_MODELO!$F$2:$F$3672,"CAL",DATOS_MODELO!$AA$2:$AA$3672,"&lt;&gt;")&gt;0,"CAL","OBS"))))</f>
        <v>OBS</v>
      </c>
      <c r="S15" s="14">
        <f>IF(COUNTIFS(DATOS_MODELO!$C$2:$C$3672,$Q15&amp;"|"&amp;$E15&amp;"|"&amp;$O15&amp;"|CO2",DATOS_MODELO!$AA$2:$AA$3672,"&lt;&gt;")=0,"",INDEX(DATOS_MODELO!$AA$2:$AA$3672,MATCH($Q15&amp;"|"&amp;$E15&amp;"|"&amp;$O15&amp;"|CO2",DATOS_MODELO!$C$2:$C$3672,0)))</f>
        <v>74099.9997256909</v>
      </c>
      <c r="T15" s="14">
        <f>IF(COUNTIFS(DATOS_MODELO!$C$2:$C$3672,$Q15&amp;"|"&amp;$E15&amp;"|"&amp;$O15&amp;"|CH4",DATOS_MODELO!$AA$2:$AA$3672,"&lt;&gt;")=0,"",INDEX(DATOS_MODELO!$AA$2:$AA$3672,MATCH($Q15&amp;"|"&amp;$E15&amp;"|"&amp;$O15&amp;"|CH4",DATOS_MODELO!$C$2:$C$3672,0)))</f>
        <v>2.9999985081434</v>
      </c>
      <c r="U15" s="14">
        <f>IF(COUNTIFS(DATOS_MODELO!$C$2:$C$3672,$Q15&amp;"|"&amp;$E15&amp;"|"&amp;$O15&amp;"|N2O",DATOS_MODELO!$AA$2:$AA$3672,"&lt;&gt;")=0,"",INDEX(DATOS_MODELO!$AA$2:$AA$3672,MATCH($Q15&amp;"|"&amp;$E15&amp;"|"&amp;$O15&amp;"|N2O",DATOS_MODELO!$C$2:$C$3672,0)))</f>
        <v>0.600000664116811</v>
      </c>
      <c r="V15" s="8"/>
      <c r="W15" s="14"/>
      <c r="X15" s="14">
        <f>IF($P15="BIOGENICO",0,IF(ISNUMBER($S15),$N15*$S15/PARAMETROS!$B$8,""))</f>
        <v>153.975924</v>
      </c>
      <c r="Y15" s="14">
        <f>IF($P15="BIOGENICO",IF(ISNUMBER($S15),$N15*$S15/PARAMETROS!$B$8,""),0)</f>
        <v>0.0</v>
      </c>
      <c r="Z15" s="14">
        <f>IF(ISNUMBER($T15),$N15*$T15/PARAMETROS!$B$8,"")</f>
        <v>0.00623384</v>
      </c>
      <c r="AA15" s="14">
        <f>IF(ISNUMBER($U15),$N15*$U15/PARAMETROS!$B$8,"")</f>
        <v>0.00124677</v>
      </c>
      <c r="AB15" s="14">
        <f>IF(COUNT($X15,$Z15,$AA15)=0,"",SUM($X15,IF(ISNUMBER($Z15),$Z15*PARAMETROS!$B$9,0),IF(ISNUMBER($AA15),$AA15*PARAMETROS!$B$10,0)))</f>
        <v>154.48086557</v>
      </c>
      <c r="AC15" s="4" t="s">
        <v>1990</v>
      </c>
      <c r="AD15" s="4"/>
      <c r="AE15" s="4" t="s">
        <v>5690</v>
      </c>
      <c r="AF15" s="4" t="s">
        <v>170</v>
      </c>
      <c r="AG15" s="4" t="s">
        <v>3999</v>
      </c>
      <c r="AH15" s="4"/>
    </row>
    <row r="16" customFormat="false" ht="23.85" hidden="false" customHeight="false" outlineLevel="0" collapsed="false">
      <c r="A16" s="4" t="s">
        <v>5702</v>
      </c>
      <c r="B16" s="12" t="n">
        <v>2018</v>
      </c>
      <c r="C16" s="4" t="s">
        <v>67</v>
      </c>
      <c r="D16" s="4" t="s">
        <v>5685</v>
      </c>
      <c r="E16" s="4" t="s">
        <v>3341</v>
      </c>
      <c r="F16" s="4" t="s">
        <v>3342</v>
      </c>
      <c r="G16" s="4" t="s">
        <v>88</v>
      </c>
      <c r="H16" s="4" t="s">
        <v>2003</v>
      </c>
      <c r="I16" s="4" t="s">
        <v>67</v>
      </c>
      <c r="J16" s="4" t="s">
        <v>2001</v>
      </c>
      <c r="K16" s="4" t="s">
        <v>66</v>
      </c>
      <c r="L16" s="4" t="s">
        <v>294</v>
      </c>
      <c r="M16" s="14" t="n">
        <f aca="false">SUMIFS(PSUT_LARGA!$K$2:$K$618,PSUT_LARGA!$B$2:$B$618,$B16,PSUT_LARGA!$H$2:$H$618,$L16,PSUT_LARGA!$E$2:$E$618,$J16,PSUT_LARGA!$F$2:$F$618,$K16,PSUT_LARGA!$G$2:$G$618,$I16,PSUT_LARGA!$I$2:$I$618,$H16)</f>
        <v>736.1851</v>
      </c>
      <c r="N16" s="14" t="n">
        <f aca="false">IF($H16="TRANSFORMACION_REFINERIA",$M16*INDEX(PARAMETROS!$C$27:$C$33,MATCH($B16,PARAMETROS!$A$27:$A$33,0)),$M16)</f>
        <v>736.1851</v>
      </c>
      <c r="O16" s="4" t="s">
        <v>3362</v>
      </c>
      <c r="P16" s="4" t="s">
        <v>3363</v>
      </c>
      <c r="Q16" s="11" t="n">
        <f aca="false">MIN($B16,2022)</f>
        <v>2018</v>
      </c>
      <c r="R16" s="8" t="str">
        <f>IF(COUNT($S16:$U16)=0,"NO",IF($O16="CERO_DIRECTO","CAL",IF(OR($B16&gt;$Q16,COUNTIFS(DATOS_MODELO!$C$2:$C$3672,$Q16&amp;"|"&amp;$E16&amp;"|"&amp;$O16&amp;"|*",DATOS_MODELO!$F$2:$F$3672,"PRX",DATOS_MODELO!$AA$2:$AA$3672,"&lt;&gt;")&gt;0),"PRX",IF(COUNTIFS(DATOS_MODELO!$C$2:$C$3672,$Q16&amp;"|"&amp;$E16&amp;"|"&amp;$O16&amp;"|*",DATOS_MODELO!$F$2:$F$3672,"CAL",DATOS_MODELO!$AA$2:$AA$3672,"&lt;&gt;")&gt;0,"CAL","OBS"))))</f>
        <v>CAL</v>
      </c>
      <c r="S16" s="14">
        <f>IF(COUNTIFS(DATOS_MODELO!$C$2:$C$3672,$Q16&amp;"|"&amp;$E16&amp;"|"&amp;$O16&amp;"|CO2",DATOS_MODELO!$AA$2:$AA$3672,"&lt;&gt;")=0,"",INDEX(DATOS_MODELO!$AA$2:$AA$3672,MATCH($Q16&amp;"|"&amp;$E16&amp;"|"&amp;$O16&amp;"|CO2",DATOS_MODELO!$C$2:$C$3672,0)))</f>
        <v>0.0</v>
      </c>
      <c r="T16" s="14">
        <f>IF(COUNTIFS(DATOS_MODELO!$C$2:$C$3672,$Q16&amp;"|"&amp;$E16&amp;"|"&amp;$O16&amp;"|CH4",DATOS_MODELO!$AA$2:$AA$3672,"&lt;&gt;")=0,"",INDEX(DATOS_MODELO!$AA$2:$AA$3672,MATCH($Q16&amp;"|"&amp;$E16&amp;"|"&amp;$O16&amp;"|CH4",DATOS_MODELO!$C$2:$C$3672,0)))</f>
        <v>0.0</v>
      </c>
      <c r="U16" s="14">
        <f>IF(COUNTIFS(DATOS_MODELO!$C$2:$C$3672,$Q16&amp;"|"&amp;$E16&amp;"|"&amp;$O16&amp;"|N2O",DATOS_MODELO!$AA$2:$AA$3672,"&lt;&gt;")=0,"",INDEX(DATOS_MODELO!$AA$2:$AA$3672,MATCH($Q16&amp;"|"&amp;$E16&amp;"|"&amp;$O16&amp;"|N2O",DATOS_MODELO!$C$2:$C$3672,0)))</f>
        <v>0.0</v>
      </c>
      <c r="V16" s="8"/>
      <c r="W16" s="14"/>
      <c r="X16" s="14">
        <f>IF($P16="BIOGENICO",0,IF(ISNUMBER($S16),$N16*$S16/PARAMETROS!$B$8,""))</f>
        <v>0.0</v>
      </c>
      <c r="Y16" s="14">
        <f>IF($P16="BIOGENICO",IF(ISNUMBER($S16),$N16*$S16/PARAMETROS!$B$8,""),0)</f>
        <v>0.0</v>
      </c>
      <c r="Z16" s="14">
        <f>IF(ISNUMBER($T16),$N16*$T16/PARAMETROS!$B$8,"")</f>
        <v>0.0</v>
      </c>
      <c r="AA16" s="14">
        <f>IF(ISNUMBER($U16),$N16*$U16/PARAMETROS!$B$8,"")</f>
        <v>0.0</v>
      </c>
      <c r="AB16" s="14">
        <f>IF(COUNT($X16,$Z16,$AA16)=0,"",SUM($X16,IF(ISNUMBER($Z16),$Z16*PARAMETROS!$B$9,0),IF(ISNUMBER($AA16),$AA16*PARAMETROS!$B$10,0)))</f>
        <v>0.0</v>
      </c>
      <c r="AC16" s="4" t="s">
        <v>1990</v>
      </c>
      <c r="AD16" s="4"/>
      <c r="AE16" s="4" t="s">
        <v>3362</v>
      </c>
      <c r="AF16" s="4" t="s">
        <v>170</v>
      </c>
      <c r="AG16" s="4" t="inlineStr">
        <is>
          <t>METODO_EMISIONES</t>
        </is>
      </c>
      <c r="AH16" s="4"/>
    </row>
    <row r="17" customFormat="false" ht="15" hidden="false" customHeight="false" outlineLevel="0" collapsed="false">
      <c r="A17" s="4" t="s">
        <v>5703</v>
      </c>
      <c r="B17" s="12" t="n">
        <v>2018</v>
      </c>
      <c r="C17" s="4" t="s">
        <v>67</v>
      </c>
      <c r="D17" s="4" t="s">
        <v>5685</v>
      </c>
      <c r="E17" s="4" t="s">
        <v>3341</v>
      </c>
      <c r="F17" s="4" t="s">
        <v>3342</v>
      </c>
      <c r="G17" s="4" t="s">
        <v>95</v>
      </c>
      <c r="H17" s="4" t="s">
        <v>2003</v>
      </c>
      <c r="I17" s="4" t="s">
        <v>67</v>
      </c>
      <c r="J17" s="4" t="s">
        <v>2001</v>
      </c>
      <c r="K17" s="4" t="s">
        <v>2002</v>
      </c>
      <c r="L17" s="4" t="s">
        <v>308</v>
      </c>
      <c r="M17" s="14" t="n">
        <f aca="false">SUMIFS(PSUT_LARGA!$K$2:$K$618,PSUT_LARGA!$B$2:$B$618,$B17,PSUT_LARGA!$H$2:$H$618,$L17,PSUT_LARGA!$E$2:$E$618,$J17,PSUT_LARGA!$F$2:$F$618,$K17,PSUT_LARGA!$G$2:$G$618,$I17,PSUT_LARGA!$I$2:$I$618,$H17)</f>
        <v>969.0499</v>
      </c>
      <c r="N17" s="14" t="n">
        <f aca="false">IF($H17="TRANSFORMACION_REFINERIA",$M17*INDEX(PARAMETROS!$C$27:$C$33,MATCH($B17,PARAMETROS!$A$27:$A$33,0)),$M17)</f>
        <v>969.0499</v>
      </c>
      <c r="O17" s="4" t="inlineStr">
        <is>
          <t>COMB_COQUE</t>
        </is>
      </c>
      <c r="P17" s="4" t="s">
        <v>3352</v>
      </c>
      <c r="Q17" s="11" t="n">
        <f aca="false">MIN($B17,2022)</f>
        <v>2018</v>
      </c>
      <c r="R17" s="8" t="str">
        <f>IF(COUNT($S17:$U17)=0,"NO",IF($O17="CERO_DIRECTO","CAL",IF(OR($B17&gt;$Q17,COUNTIFS(DATOS_MODELO!$C$2:$C$3672,$Q17&amp;"|"&amp;$E17&amp;"|"&amp;$O17&amp;"|*",DATOS_MODELO!$F$2:$F$3672,"PRX",DATOS_MODELO!$AA$2:$AA$3672,"&lt;&gt;")&gt;0),"PRX",IF(COUNTIFS(DATOS_MODELO!$C$2:$C$3672,$Q17&amp;"|"&amp;$E17&amp;"|"&amp;$O17&amp;"|*",DATOS_MODELO!$F$2:$F$3672,"CAL",DATOS_MODELO!$AA$2:$AA$3672,"&lt;&gt;")&gt;0,"CAL","OBS"))))</f>
        <v>PRX</v>
      </c>
      <c r="S17" s="14">
        <f>IF(COUNTIFS(DATOS_MODELO!$C$2:$C$3672,$Q17&amp;"|"&amp;$E17&amp;"|"&amp;$O17&amp;"|CO2",DATOS_MODELO!$AA$2:$AA$3672,"&lt;&gt;")=0,"",INDEX(DATOS_MODELO!$AA$2:$AA$3672,MATCH($Q17&amp;"|"&amp;$E17&amp;"|"&amp;$O17&amp;"|CO2",DATOS_MODELO!$C$2:$C$3672,0)))</f>
        <v>97500.0</v>
      </c>
      <c r="T17" s="14">
        <f>IF(COUNTIFS(DATOS_MODELO!$C$2:$C$3672,$Q17&amp;"|"&amp;$E17&amp;"|"&amp;$O17&amp;"|CH4",DATOS_MODELO!$AA$2:$AA$3672,"&lt;&gt;")=0,"",INDEX(DATOS_MODELO!$AA$2:$AA$3672,MATCH($Q17&amp;"|"&amp;$E17&amp;"|"&amp;$O17&amp;"|CH4",DATOS_MODELO!$C$2:$C$3672,0)))</f>
        <v>3.0</v>
      </c>
      <c r="U17" s="14">
        <f>IF(COUNTIFS(DATOS_MODELO!$C$2:$C$3672,$Q17&amp;"|"&amp;$E17&amp;"|"&amp;$O17&amp;"|N2O",DATOS_MODELO!$AA$2:$AA$3672,"&lt;&gt;")=0,"",INDEX(DATOS_MODELO!$AA$2:$AA$3672,MATCH($Q17&amp;"|"&amp;$E17&amp;"|"&amp;$O17&amp;"|N2O",DATOS_MODELO!$C$2:$C$3672,0)))</f>
        <v>0.6</v>
      </c>
      <c r="V17" s="8"/>
      <c r="W17" s="14"/>
      <c r="X17" s="14">
        <f>IF($P17="BIOGENICO",0,IF(ISNUMBER($S17),$N17*$S17/PARAMETROS!$B$8,""))</f>
        <v>94.48236525</v>
      </c>
      <c r="Y17" s="14">
        <f>IF($P17="BIOGENICO",IF(ISNUMBER($S17),$N17*$S17/PARAMETROS!$B$8,""),0)</f>
        <v>0.0</v>
      </c>
      <c r="Z17" s="14">
        <f>IF(ISNUMBER($T17),$N17*$T17/PARAMETROS!$B$8,"")</f>
        <v>0.0029071497</v>
      </c>
      <c r="AA17" s="14">
        <f>IF(ISNUMBER($U17),$N17*$U17/PARAMETROS!$B$8,"")</f>
        <v>0.00058142994</v>
      </c>
      <c r="AB17" s="14">
        <f>IF(COUNT($X17,$Z17,$AA17)=0,"",SUM($X17,IF(ISNUMBER($Z17),$Z17*PARAMETROS!$B$9,0),IF(ISNUMBER($AA17),$AA17*PARAMETROS!$B$10,0)))</f>
        <v>94.7178443757</v>
      </c>
      <c r="AC17" s="4" t="s">
        <v>1990</v>
      </c>
      <c r="AD17" s="4"/>
      <c r="AE17" s="4" t="s">
        <v>5690</v>
      </c>
      <c r="AF17" s="4" t="s">
        <v>170</v>
      </c>
      <c r="AG17" s="4" t="inlineStr">
        <is>
          <t>IPCC_2006_GL | MARN_GTM_BTR1_2024</t>
        </is>
      </c>
      <c r="AH17" s="4" t="inlineStr">
        <is>
          <t>Origen de factores: CO2: MARN_GTM_BTR1_2024 [PRX; BTR1 Guatemala 2024, tabla 3.6, p. 48; fila Coque de petróleo; gas CO2]; CH4: IPCC_2006_GL [PRX; Volumen 2, capítulo 2, tabla 2.2, p. 2.16; fila Petroleum Coke; gas CH4]; N2O: IPCC_2006_GL [PRX; Volumen 2, capítulo 2, tabla 2.2, p. 2.16; fila Petroleum Coke; gas N2O].</t>
        </is>
      </c>
    </row>
    <row r="18" customFormat="false" ht="15" hidden="false" customHeight="false" outlineLevel="0" collapsed="false">
      <c r="A18" s="4" t="s">
        <v>5704</v>
      </c>
      <c r="B18" s="12" t="n">
        <v>2018</v>
      </c>
      <c r="C18" s="4" t="s">
        <v>67</v>
      </c>
      <c r="D18" s="4" t="s">
        <v>5685</v>
      </c>
      <c r="E18" s="4" t="s">
        <v>3341</v>
      </c>
      <c r="F18" s="4" t="s">
        <v>3342</v>
      </c>
      <c r="G18" s="4" t="s">
        <v>95</v>
      </c>
      <c r="H18" s="4" t="s">
        <v>2008</v>
      </c>
      <c r="I18" s="4" t="s">
        <v>67</v>
      </c>
      <c r="J18" s="4" t="s">
        <v>2001</v>
      </c>
      <c r="K18" s="4" t="s">
        <v>2002</v>
      </c>
      <c r="L18" s="4" t="s">
        <v>309</v>
      </c>
      <c r="M18" s="14" t="n">
        <f aca="false">SUMIFS(PSUT_LARGA!$K$2:$K$618,PSUT_LARGA!$B$2:$B$618,$B18,PSUT_LARGA!$H$2:$H$618,$L18,PSUT_LARGA!$E$2:$E$618,$J18,PSUT_LARGA!$F$2:$F$618,$K18,PSUT_LARGA!$G$2:$G$618,$I18,PSUT_LARGA!$I$2:$I$618,$H18)</f>
        <v>564.6739</v>
      </c>
      <c r="N18" s="14" t="n">
        <f aca="false">IF($H18="TRANSFORMACION_REFINERIA",$M18*INDEX(PARAMETROS!$C$27:$C$33,MATCH($B18,PARAMETROS!$A$27:$A$33,0)),$M18)</f>
        <v>564.6739</v>
      </c>
      <c r="O18" s="4" t="inlineStr">
        <is>
          <t>COMB_COQUE</t>
        </is>
      </c>
      <c r="P18" s="4" t="s">
        <v>3352</v>
      </c>
      <c r="Q18" s="11" t="n">
        <f aca="false">MIN($B18,2022)</f>
        <v>2018</v>
      </c>
      <c r="R18" s="8" t="str">
        <f>IF(COUNT($S18:$U18)=0,"NO",IF($O18="CERO_DIRECTO","CAL",IF(OR($B18&gt;$Q18,COUNTIFS(DATOS_MODELO!$C$2:$C$3672,$Q18&amp;"|"&amp;$E18&amp;"|"&amp;$O18&amp;"|*",DATOS_MODELO!$F$2:$F$3672,"PRX",DATOS_MODELO!$AA$2:$AA$3672,"&lt;&gt;")&gt;0),"PRX",IF(COUNTIFS(DATOS_MODELO!$C$2:$C$3672,$Q18&amp;"|"&amp;$E18&amp;"|"&amp;$O18&amp;"|*",DATOS_MODELO!$F$2:$F$3672,"CAL",DATOS_MODELO!$AA$2:$AA$3672,"&lt;&gt;")&gt;0,"CAL","OBS"))))</f>
        <v>PRX</v>
      </c>
      <c r="S18" s="14">
        <f>IF(COUNTIFS(DATOS_MODELO!$C$2:$C$3672,$Q18&amp;"|"&amp;$E18&amp;"|"&amp;$O18&amp;"|CO2",DATOS_MODELO!$AA$2:$AA$3672,"&lt;&gt;")=0,"",INDEX(DATOS_MODELO!$AA$2:$AA$3672,MATCH($Q18&amp;"|"&amp;$E18&amp;"|"&amp;$O18&amp;"|CO2",DATOS_MODELO!$C$2:$C$3672,0)))</f>
        <v>97500.0</v>
      </c>
      <c r="T18" s="14">
        <f>IF(COUNTIFS(DATOS_MODELO!$C$2:$C$3672,$Q18&amp;"|"&amp;$E18&amp;"|"&amp;$O18&amp;"|CH4",DATOS_MODELO!$AA$2:$AA$3672,"&lt;&gt;")=0,"",INDEX(DATOS_MODELO!$AA$2:$AA$3672,MATCH($Q18&amp;"|"&amp;$E18&amp;"|"&amp;$O18&amp;"|CH4",DATOS_MODELO!$C$2:$C$3672,0)))</f>
        <v>3.0</v>
      </c>
      <c r="U18" s="14">
        <f>IF(COUNTIFS(DATOS_MODELO!$C$2:$C$3672,$Q18&amp;"|"&amp;$E18&amp;"|"&amp;$O18&amp;"|N2O",DATOS_MODELO!$AA$2:$AA$3672,"&lt;&gt;")=0,"",INDEX(DATOS_MODELO!$AA$2:$AA$3672,MATCH($Q18&amp;"|"&amp;$E18&amp;"|"&amp;$O18&amp;"|N2O",DATOS_MODELO!$C$2:$C$3672,0)))</f>
        <v>0.6</v>
      </c>
      <c r="V18" s="8"/>
      <c r="W18" s="14"/>
      <c r="X18" s="14">
        <f>IF($P18="BIOGENICO",0,IF(ISNUMBER($S18),$N18*$S18/PARAMETROS!$B$8,""))</f>
        <v>55.05570525</v>
      </c>
      <c r="Y18" s="14">
        <f>IF($P18="BIOGENICO",IF(ISNUMBER($S18),$N18*$S18/PARAMETROS!$B$8,""),0)</f>
        <v>0.0</v>
      </c>
      <c r="Z18" s="14">
        <f>IF(ISNUMBER($T18),$N18*$T18/PARAMETROS!$B$8,"")</f>
        <v>0.0016940217</v>
      </c>
      <c r="AA18" s="14">
        <f>IF(ISNUMBER($U18),$N18*$U18/PARAMETROS!$B$8,"")</f>
        <v>0.00033880434</v>
      </c>
      <c r="AB18" s="14">
        <f>IF(COUNT($X18,$Z18,$AA18)=0,"",SUM($X18,IF(ISNUMBER($Z18),$Z18*PARAMETROS!$B$9,0),IF(ISNUMBER($AA18),$AA18*PARAMETROS!$B$10,0)))</f>
        <v>55.1929210077</v>
      </c>
      <c r="AC18" s="4" t="s">
        <v>1990</v>
      </c>
      <c r="AD18" s="4"/>
      <c r="AE18" s="4" t="s">
        <v>5690</v>
      </c>
      <c r="AF18" s="4" t="s">
        <v>170</v>
      </c>
      <c r="AG18" s="4" t="inlineStr">
        <is>
          <t>IPCC_2006_GL | MARN_GTM_BTR1_2024</t>
        </is>
      </c>
      <c r="AH18" s="4" t="inlineStr">
        <is>
          <t>Origen de factores: CO2: MARN_GTM_BTR1_2024 [PRX; BTR1 Guatemala 2024, tabla 3.6, p. 48; fila Coque de petróleo; gas CO2]; CH4: IPCC_2006_GL [PRX; Volumen 2, capítulo 2, tabla 2.2, p. 2.16; fila Petroleum Coke; gas CH4]; N2O: IPCC_2006_GL [PRX; Volumen 2, capítulo 2, tabla 2.2, p. 2.16; fila Petroleum Coke; gas N2O].</t>
        </is>
      </c>
    </row>
    <row r="19" customFormat="false" ht="23.85" hidden="false" customHeight="false" outlineLevel="0" collapsed="false">
      <c r="A19" s="4" t="s">
        <v>5705</v>
      </c>
      <c r="B19" s="12" t="n">
        <v>2018</v>
      </c>
      <c r="C19" s="4" t="s">
        <v>67</v>
      </c>
      <c r="D19" s="4" t="s">
        <v>5685</v>
      </c>
      <c r="E19" s="4" t="s">
        <v>3420</v>
      </c>
      <c r="F19" s="4" t="s">
        <v>3421</v>
      </c>
      <c r="G19" s="4" t="s">
        <v>95</v>
      </c>
      <c r="H19" s="4" t="s">
        <v>2139</v>
      </c>
      <c r="I19" s="4" t="s">
        <v>67</v>
      </c>
      <c r="J19" s="4" t="s">
        <v>2001</v>
      </c>
      <c r="K19" s="4" t="s">
        <v>2002</v>
      </c>
      <c r="L19" s="4" t="s">
        <v>310</v>
      </c>
      <c r="M19" s="14" t="n">
        <f aca="false">SUMIFS(PSUT_LARGA!$K$2:$K$618,PSUT_LARGA!$B$2:$B$618,$B19,PSUT_LARGA!$H$2:$H$618,$L19,PSUT_LARGA!$E$2:$E$618,$J19,PSUT_LARGA!$F$2:$F$618,$K19,PSUT_LARGA!$G$2:$G$618,$I19,PSUT_LARGA!$I$2:$I$618,$H19)</f>
        <v>5502.5348</v>
      </c>
      <c r="N19" s="14" t="n">
        <f aca="false">IF($H19="TRANSFORMACION_REFINERIA",$M19*INDEX(PARAMETROS!$C$27:$C$33,MATCH($B19,PARAMETROS!$A$27:$A$33,0)),$M19)</f>
        <v>5502.5348</v>
      </c>
      <c r="O19" s="4" t="s">
        <v>3349</v>
      </c>
      <c r="P19" s="4" t="s">
        <v>3352</v>
      </c>
      <c r="Q19" s="11" t="n">
        <f aca="false">MIN($B19,2022)</f>
        <v>2018</v>
      </c>
      <c r="R19" s="8" t="str">
        <f aca="false">IF(COUNT($S19:$U19)=0,"NO",IF($O19="CERO_DIRECTO","CAL",IF($B19&lt;=2022,"OBS","PRX")))</f>
        <v>NO</v>
      </c>
      <c r="S19" s="14"/>
      <c r="T19" s="14"/>
      <c r="U19" s="14"/>
      <c r="V19" s="8"/>
      <c r="W19" s="14"/>
      <c r="X19" s="14"/>
      <c r="Y19" s="14"/>
      <c r="Z19" s="14"/>
      <c r="AA19" s="14"/>
      <c r="AB19" s="14"/>
      <c r="AC19" s="4" t="s">
        <v>3349</v>
      </c>
      <c r="AD19" s="4"/>
      <c r="AE19" s="4" t="s">
        <v>5686</v>
      </c>
      <c r="AF19" s="4" t="s">
        <v>170</v>
      </c>
      <c r="AG19" s="4" t="s">
        <v>3999</v>
      </c>
      <c r="AH19" s="4"/>
    </row>
    <row r="20" customFormat="false" ht="15" hidden="false" customHeight="false" outlineLevel="0" collapsed="false">
      <c r="A20" s="4" t="s">
        <v>5706</v>
      </c>
      <c r="B20" s="12" t="n">
        <v>2018</v>
      </c>
      <c r="C20" s="4" t="s">
        <v>67</v>
      </c>
      <c r="D20" s="4" t="s">
        <v>5685</v>
      </c>
      <c r="E20" s="4" t="s">
        <v>3341</v>
      </c>
      <c r="F20" s="4" t="s">
        <v>3342</v>
      </c>
      <c r="G20" s="4" t="s">
        <v>97</v>
      </c>
      <c r="H20" s="4" t="s">
        <v>2003</v>
      </c>
      <c r="I20" s="4" t="s">
        <v>67</v>
      </c>
      <c r="J20" s="4" t="s">
        <v>2001</v>
      </c>
      <c r="K20" s="4" t="s">
        <v>2002</v>
      </c>
      <c r="L20" s="4" t="s">
        <v>322</v>
      </c>
      <c r="M20" s="14" t="n">
        <f aca="false">SUMIFS(PSUT_LARGA!$K$2:$K$618,PSUT_LARGA!$B$2:$B$618,$B20,PSUT_LARGA!$H$2:$H$618,$L20,PSUT_LARGA!$E$2:$E$618,$J20,PSUT_LARGA!$F$2:$F$618,$K20,PSUT_LARGA!$G$2:$G$618,$I20,PSUT_LARGA!$I$2:$I$618,$H20)</f>
        <v>47.7001</v>
      </c>
      <c r="N20" s="14" t="n">
        <f aca="false">IF($H20="TRANSFORMACION_REFINERIA",$M20*INDEX(PARAMETROS!$C$27:$C$33,MATCH($B20,PARAMETROS!$A$27:$A$33,0)),$M20)</f>
        <v>47.7001</v>
      </c>
      <c r="O20" s="4" t="inlineStr">
        <is>
          <t>COMB_DOIL</t>
        </is>
      </c>
      <c r="P20" s="4" t="s">
        <v>3352</v>
      </c>
      <c r="Q20" s="11" t="n">
        <f aca="false">MIN($B20,2022)</f>
        <v>2018</v>
      </c>
      <c r="R20" s="8" t="str">
        <f>IF(COUNT($S20:$U20)=0,"NO",IF($O20="CERO_DIRECTO","CAL",IF(OR($B20&gt;$Q20,COUNTIFS(DATOS_MODELO!$C$2:$C$3672,$Q20&amp;"|"&amp;$E20&amp;"|"&amp;$O20&amp;"|*",DATOS_MODELO!$F$2:$F$3672,"PRX",DATOS_MODELO!$AA$2:$AA$3672,"&lt;&gt;")&gt;0),"PRX",IF(COUNTIFS(DATOS_MODELO!$C$2:$C$3672,$Q20&amp;"|"&amp;$E20&amp;"|"&amp;$O20&amp;"|*",DATOS_MODELO!$F$2:$F$3672,"CAL",DATOS_MODELO!$AA$2:$AA$3672,"&lt;&gt;")&gt;0,"CAL","OBS"))))</f>
        <v>PRX</v>
      </c>
      <c r="S20" s="14">
        <f>IF(COUNTIFS(DATOS_MODELO!$C$2:$C$3672,$Q20&amp;"|"&amp;$E20&amp;"|"&amp;$O20&amp;"|CO2",DATOS_MODELO!$AA$2:$AA$3672,"&lt;&gt;")=0,"",INDEX(DATOS_MODELO!$AA$2:$AA$3672,MATCH($Q20&amp;"|"&amp;$E20&amp;"|"&amp;$O20&amp;"|CO2",DATOS_MODELO!$C$2:$C$3672,0)))</f>
        <v>74100.0</v>
      </c>
      <c r="T20" s="14">
        <f>IF(COUNTIFS(DATOS_MODELO!$C$2:$C$3672,$Q20&amp;"|"&amp;$E20&amp;"|"&amp;$O20&amp;"|CH4",DATOS_MODELO!$AA$2:$AA$3672,"&lt;&gt;")=0,"",INDEX(DATOS_MODELO!$AA$2:$AA$3672,MATCH($Q20&amp;"|"&amp;$E20&amp;"|"&amp;$O20&amp;"|CH4",DATOS_MODELO!$C$2:$C$3672,0)))</f>
        <v>3.0</v>
      </c>
      <c r="U20" s="14">
        <f>IF(COUNTIFS(DATOS_MODELO!$C$2:$C$3672,$Q20&amp;"|"&amp;$E20&amp;"|"&amp;$O20&amp;"|N2O",DATOS_MODELO!$AA$2:$AA$3672,"&lt;&gt;")=0,"",INDEX(DATOS_MODELO!$AA$2:$AA$3672,MATCH($Q20&amp;"|"&amp;$E20&amp;"|"&amp;$O20&amp;"|N2O",DATOS_MODELO!$C$2:$C$3672,0)))</f>
        <v>0.6</v>
      </c>
      <c r="V20" s="8"/>
      <c r="W20" s="14"/>
      <c r="X20" s="14">
        <f>IF($P20="BIOGENICO",0,IF(ISNUMBER($S20),$N20*$S20/PARAMETROS!$B$8,""))</f>
        <v>3.53457741</v>
      </c>
      <c r="Y20" s="14">
        <f>IF($P20="BIOGENICO",IF(ISNUMBER($S20),$N20*$S20/PARAMETROS!$B$8,""),0)</f>
        <v>0.0</v>
      </c>
      <c r="Z20" s="14">
        <f>IF(ISNUMBER($T20),$N20*$T20/PARAMETROS!$B$8,"")</f>
        <v>0.000143100296915713</v>
      </c>
      <c r="AA20" s="14">
        <f>IF(ISNUMBER($U20),$N20*$U20/PARAMETROS!$B$8,"")</f>
        <v>2.8620056689442e-05</v>
      </c>
      <c r="AB20" s="14">
        <f>IF(COUNT($X20,$Z20,$AA20)=0,"",SUM($X20,IF(ISNUMBER($Z20),$Z20*PARAMETROS!$B$9,0),IF(ISNUMBER($AA20),$AA20*PARAMETROS!$B$10,0)))</f>
        <v>3.5461685343</v>
      </c>
      <c r="AC20" s="4" t="s">
        <v>1990</v>
      </c>
      <c r="AD20" s="4"/>
      <c r="AE20" s="4" t="s">
        <v>5690</v>
      </c>
      <c r="AF20" s="4" t="s">
        <v>170</v>
      </c>
      <c r="AG20" s="4" t="inlineStr">
        <is>
          <t>MARN_GTM_BTR1_2024</t>
        </is>
      </c>
      <c r="AH20" s="4" t="inlineStr">
        <is>
          <t>Origen de factores: CO2: MARN_GTM_BTR1_2024 [PRX; BTR1 Guatemala 2024, tabla 3.6, p. 48; fila Gas/Diésel oíl; gas CO2]; CH4: MARN_GTM_BTR1_2024 [PRX; BTR1 Guatemala 2024, tabla 3.17, p. 57; fila Diésel; gas CH4]; N2O: MARN_GTM_BTR1_2024 [PRX; BTR1 Guatemala 2024, tabla 3.17, p. 57; fila Diésel; gas N2O].</t>
        </is>
      </c>
    </row>
    <row r="21" customFormat="false" ht="15" hidden="false" customHeight="false" outlineLevel="0" collapsed="false">
      <c r="A21" s="4" t="s">
        <v>5707</v>
      </c>
      <c r="B21" s="12" t="n">
        <v>2018</v>
      </c>
      <c r="C21" s="4" t="s">
        <v>67</v>
      </c>
      <c r="D21" s="4" t="s">
        <v>5685</v>
      </c>
      <c r="E21" s="4" t="s">
        <v>3341</v>
      </c>
      <c r="F21" s="4" t="s">
        <v>3342</v>
      </c>
      <c r="G21" s="4" t="s">
        <v>97</v>
      </c>
      <c r="H21" s="4" t="s">
        <v>2008</v>
      </c>
      <c r="I21" s="4" t="s">
        <v>67</v>
      </c>
      <c r="J21" s="4" t="s">
        <v>2001</v>
      </c>
      <c r="K21" s="4" t="s">
        <v>2002</v>
      </c>
      <c r="L21" s="4" t="s">
        <v>323</v>
      </c>
      <c r="M21" s="14" t="n">
        <f aca="false">SUMIFS(PSUT_LARGA!$K$2:$K$618,PSUT_LARGA!$B$2:$B$618,$B21,PSUT_LARGA!$H$2:$H$618,$L21,PSUT_LARGA!$E$2:$E$618,$J21,PSUT_LARGA!$F$2:$F$618,$K21,PSUT_LARGA!$G$2:$G$618,$I21,PSUT_LARGA!$I$2:$I$618,$H21)</f>
        <v>12.2591</v>
      </c>
      <c r="N21" s="14" t="n">
        <f aca="false">IF($H21="TRANSFORMACION_REFINERIA",$M21*INDEX(PARAMETROS!$C$27:$C$33,MATCH($B21,PARAMETROS!$A$27:$A$33,0)),$M21)</f>
        <v>12.2591</v>
      </c>
      <c r="O21" s="4" t="inlineStr">
        <is>
          <t>COMB_DOIL</t>
        </is>
      </c>
      <c r="P21" s="4" t="s">
        <v>3352</v>
      </c>
      <c r="Q21" s="11" t="n">
        <f aca="false">MIN($B21,2022)</f>
        <v>2018</v>
      </c>
      <c r="R21" s="8" t="str">
        <f>IF(COUNT($S21:$U21)=0,"NO",IF($O21="CERO_DIRECTO","CAL",IF(OR($B21&gt;$Q21,COUNTIFS(DATOS_MODELO!$C$2:$C$3672,$Q21&amp;"|"&amp;$E21&amp;"|"&amp;$O21&amp;"|*",DATOS_MODELO!$F$2:$F$3672,"PRX",DATOS_MODELO!$AA$2:$AA$3672,"&lt;&gt;")&gt;0),"PRX",IF(COUNTIFS(DATOS_MODELO!$C$2:$C$3672,$Q21&amp;"|"&amp;$E21&amp;"|"&amp;$O21&amp;"|*",DATOS_MODELO!$F$2:$F$3672,"CAL",DATOS_MODELO!$AA$2:$AA$3672,"&lt;&gt;")&gt;0,"CAL","OBS"))))</f>
        <v>PRX</v>
      </c>
      <c r="S21" s="14">
        <f>IF(COUNTIFS(DATOS_MODELO!$C$2:$C$3672,$Q21&amp;"|"&amp;$E21&amp;"|"&amp;$O21&amp;"|CO2",DATOS_MODELO!$AA$2:$AA$3672,"&lt;&gt;")=0,"",INDEX(DATOS_MODELO!$AA$2:$AA$3672,MATCH($Q21&amp;"|"&amp;$E21&amp;"|"&amp;$O21&amp;"|CO2",DATOS_MODELO!$C$2:$C$3672,0)))</f>
        <v>74100.0</v>
      </c>
      <c r="T21" s="14">
        <f>IF(COUNTIFS(DATOS_MODELO!$C$2:$C$3672,$Q21&amp;"|"&amp;$E21&amp;"|"&amp;$O21&amp;"|CH4",DATOS_MODELO!$AA$2:$AA$3672,"&lt;&gt;")=0,"",INDEX(DATOS_MODELO!$AA$2:$AA$3672,MATCH($Q21&amp;"|"&amp;$E21&amp;"|"&amp;$O21&amp;"|CH4",DATOS_MODELO!$C$2:$C$3672,0)))</f>
        <v>3.0</v>
      </c>
      <c r="U21" s="14">
        <f>IF(COUNTIFS(DATOS_MODELO!$C$2:$C$3672,$Q21&amp;"|"&amp;$E21&amp;"|"&amp;$O21&amp;"|N2O",DATOS_MODELO!$AA$2:$AA$3672,"&lt;&gt;")=0,"",INDEX(DATOS_MODELO!$AA$2:$AA$3672,MATCH($Q21&amp;"|"&amp;$E21&amp;"|"&amp;$O21&amp;"|N2O",DATOS_MODELO!$C$2:$C$3672,0)))</f>
        <v>0.6</v>
      </c>
      <c r="V21" s="8"/>
      <c r="W21" s="14"/>
      <c r="X21" s="14">
        <f>IF($P21="BIOGENICO",0,IF(ISNUMBER($S21),$N21*$S21/PARAMETROS!$B$8,""))</f>
        <v>0.90839931</v>
      </c>
      <c r="Y21" s="14">
        <f>IF($P21="BIOGENICO",IF(ISNUMBER($S21),$N21*$S21/PARAMETROS!$B$8,""),0)</f>
        <v>0.0</v>
      </c>
      <c r="Z21" s="14">
        <f>IF(ISNUMBER($T21),$N21*$T21/PARAMETROS!$B$8,"")</f>
        <v>3.67772992073269e-05</v>
      </c>
      <c r="AA21" s="14">
        <f>IF(ISNUMBER($U21),$N21*$U21/PARAMETROS!$B$8,"")</f>
        <v>7.3554591491745e-06</v>
      </c>
      <c r="AB21" s="14">
        <f>IF(COUNT($X21,$Z21,$AA21)=0,"",SUM($X21,IF(ISNUMBER($Z21),$Z21*PARAMETROS!$B$9,0),IF(ISNUMBER($AA21),$AA21*PARAMETROS!$B$10,0)))</f>
        <v>0.9113782713</v>
      </c>
      <c r="AC21" s="4" t="s">
        <v>1990</v>
      </c>
      <c r="AD21" s="4"/>
      <c r="AE21" s="4" t="s">
        <v>5690</v>
      </c>
      <c r="AF21" s="4" t="s">
        <v>170</v>
      </c>
      <c r="AG21" s="4" t="inlineStr">
        <is>
          <t>MARN_GTM_BTR1_2024</t>
        </is>
      </c>
      <c r="AH21" s="4" t="inlineStr">
        <is>
          <t>Origen de factores: CO2: MARN_GTM_BTR1_2024 [PRX; BTR1 Guatemala 2024, tabla 3.6, p. 48; fila Gas/Diésel oíl; gas CO2]; CH4: MARN_GTM_BTR1_2024 [PRX; BTR1 Guatemala 2024, tabla 3.17, p. 57; fila Diésel; gas CH4]; N2O: MARN_GTM_BTR1_2024 [PRX; BTR1 Guatemala 2024, tabla 3.17, p. 57; fila Diésel; gas N2O].</t>
        </is>
      </c>
    </row>
    <row r="22" customFormat="false" ht="23.85" hidden="false" customHeight="false" outlineLevel="0" collapsed="false">
      <c r="A22" s="4" t="s">
        <v>5708</v>
      </c>
      <c r="B22" s="12" t="n">
        <v>2018</v>
      </c>
      <c r="C22" s="4" t="s">
        <v>67</v>
      </c>
      <c r="D22" s="4" t="s">
        <v>5685</v>
      </c>
      <c r="E22" s="4" t="s">
        <v>3420</v>
      </c>
      <c r="F22" s="4" t="s">
        <v>3421</v>
      </c>
      <c r="G22" s="4" t="s">
        <v>97</v>
      </c>
      <c r="H22" s="4" t="s">
        <v>2139</v>
      </c>
      <c r="I22" s="4" t="s">
        <v>67</v>
      </c>
      <c r="J22" s="4" t="s">
        <v>2001</v>
      </c>
      <c r="K22" s="4" t="s">
        <v>2002</v>
      </c>
      <c r="L22" s="4" t="s">
        <v>324</v>
      </c>
      <c r="M22" s="14" t="n">
        <f aca="false">SUMIFS(PSUT_LARGA!$K$2:$K$618,PSUT_LARGA!$B$2:$B$618,$B22,PSUT_LARGA!$H$2:$H$618,$L22,PSUT_LARGA!$E$2:$E$618,$J22,PSUT_LARGA!$F$2:$F$618,$K22,PSUT_LARGA!$G$2:$G$618,$I22,PSUT_LARGA!$I$2:$I$618,$H22)</f>
        <v>2077.9465</v>
      </c>
      <c r="N22" s="14" t="n">
        <f aca="false">IF($H22="TRANSFORMACION_REFINERIA",$M22*INDEX(PARAMETROS!$C$27:$C$33,MATCH($B22,PARAMETROS!$A$27:$A$33,0)),$M22)</f>
        <v>2077.9465</v>
      </c>
      <c r="O22" s="4" t="s">
        <v>3349</v>
      </c>
      <c r="P22" s="4" t="s">
        <v>3352</v>
      </c>
      <c r="Q22" s="11" t="n">
        <f aca="false">MIN($B22,2022)</f>
        <v>2018</v>
      </c>
      <c r="R22" s="8" t="str">
        <f aca="false">IF(COUNT($S22:$U22)=0,"NO",IF($O22="CERO_DIRECTO","CAL",IF($B22&lt;=2022,"OBS","PRX")))</f>
        <v>NO</v>
      </c>
      <c r="S22" s="14"/>
      <c r="T22" s="14"/>
      <c r="U22" s="14"/>
      <c r="V22" s="8"/>
      <c r="W22" s="14"/>
      <c r="X22" s="14"/>
      <c r="Y22" s="14"/>
      <c r="Z22" s="14"/>
      <c r="AA22" s="14"/>
      <c r="AB22" s="14"/>
      <c r="AC22" s="4" t="s">
        <v>3349</v>
      </c>
      <c r="AD22" s="4"/>
      <c r="AE22" s="4" t="s">
        <v>5686</v>
      </c>
      <c r="AF22" s="4" t="s">
        <v>170</v>
      </c>
      <c r="AG22" s="4" t="s">
        <v>3999</v>
      </c>
      <c r="AH22" s="4"/>
    </row>
    <row r="23" customFormat="false" ht="23.85" hidden="false" customHeight="false" outlineLevel="0" collapsed="false">
      <c r="A23" s="4" t="s">
        <v>5709</v>
      </c>
      <c r="B23" s="12" t="n">
        <v>2018</v>
      </c>
      <c r="C23" s="4" t="s">
        <v>67</v>
      </c>
      <c r="D23" s="4" t="s">
        <v>5685</v>
      </c>
      <c r="E23" s="4" t="s">
        <v>3341</v>
      </c>
      <c r="F23" s="4" t="s">
        <v>3342</v>
      </c>
      <c r="G23" s="4" t="s">
        <v>99</v>
      </c>
      <c r="H23" s="4" t="s">
        <v>2003</v>
      </c>
      <c r="I23" s="4" t="s">
        <v>67</v>
      </c>
      <c r="J23" s="4" t="s">
        <v>1994</v>
      </c>
      <c r="K23" s="4" t="s">
        <v>1995</v>
      </c>
      <c r="L23" s="4" t="s">
        <v>336</v>
      </c>
      <c r="M23" s="14" t="n">
        <f aca="false">SUMIFS(PSUT_LARGA!$K$2:$K$618,PSUT_LARGA!$B$2:$B$618,$B23,PSUT_LARGA!$H$2:$H$618,$L23,PSUT_LARGA!$E$2:$E$618,$J23,PSUT_LARGA!$F$2:$F$618,$K23,PSUT_LARGA!$G$2:$G$618,$I23,PSUT_LARGA!$I$2:$I$618,$H23)</f>
        <v>47093.5941</v>
      </c>
      <c r="N23" s="14" t="n">
        <f aca="false">IF($H23="TRANSFORMACION_REFINERIA",$M23*INDEX(PARAMETROS!$C$27:$C$33,MATCH($B23,PARAMETROS!$A$27:$A$33,0)),$M23)</f>
        <v>47093.5941</v>
      </c>
      <c r="O23" s="4" t="s">
        <v>3362</v>
      </c>
      <c r="P23" s="4" t="s">
        <v>3363</v>
      </c>
      <c r="Q23" s="11" t="n">
        <f aca="false">MIN($B23,2022)</f>
        <v>2018</v>
      </c>
      <c r="R23" s="8" t="str">
        <f>IF(COUNT($S23:$U23)=0,"NO",IF($O23="CERO_DIRECTO","CAL",IF(OR($B23&gt;$Q23,COUNTIFS(DATOS_MODELO!$C$2:$C$3672,$Q23&amp;"|"&amp;$E23&amp;"|"&amp;$O23&amp;"|*",DATOS_MODELO!$F$2:$F$3672,"PRX",DATOS_MODELO!$AA$2:$AA$3672,"&lt;&gt;")&gt;0),"PRX",IF(COUNTIFS(DATOS_MODELO!$C$2:$C$3672,$Q23&amp;"|"&amp;$E23&amp;"|"&amp;$O23&amp;"|*",DATOS_MODELO!$F$2:$F$3672,"CAL",DATOS_MODELO!$AA$2:$AA$3672,"&lt;&gt;")&gt;0,"CAL","OBS"))))</f>
        <v>CAL</v>
      </c>
      <c r="S23" s="14">
        <f>IF(COUNTIFS(DATOS_MODELO!$C$2:$C$3672,$Q23&amp;"|"&amp;$E23&amp;"|"&amp;$O23&amp;"|CO2",DATOS_MODELO!$AA$2:$AA$3672,"&lt;&gt;")=0,"",INDEX(DATOS_MODELO!$AA$2:$AA$3672,MATCH($Q23&amp;"|"&amp;$E23&amp;"|"&amp;$O23&amp;"|CO2",DATOS_MODELO!$C$2:$C$3672,0)))</f>
        <v>0.0</v>
      </c>
      <c r="T23" s="14">
        <f>IF(COUNTIFS(DATOS_MODELO!$C$2:$C$3672,$Q23&amp;"|"&amp;$E23&amp;"|"&amp;$O23&amp;"|CH4",DATOS_MODELO!$AA$2:$AA$3672,"&lt;&gt;")=0,"",INDEX(DATOS_MODELO!$AA$2:$AA$3672,MATCH($Q23&amp;"|"&amp;$E23&amp;"|"&amp;$O23&amp;"|CH4",DATOS_MODELO!$C$2:$C$3672,0)))</f>
        <v>0.0</v>
      </c>
      <c r="U23" s="14">
        <f>IF(COUNTIFS(DATOS_MODELO!$C$2:$C$3672,$Q23&amp;"|"&amp;$E23&amp;"|"&amp;$O23&amp;"|N2O",DATOS_MODELO!$AA$2:$AA$3672,"&lt;&gt;")=0,"",INDEX(DATOS_MODELO!$AA$2:$AA$3672,MATCH($Q23&amp;"|"&amp;$E23&amp;"|"&amp;$O23&amp;"|N2O",DATOS_MODELO!$C$2:$C$3672,0)))</f>
        <v>0.0</v>
      </c>
      <c r="V23" s="8"/>
      <c r="W23" s="14"/>
      <c r="X23" s="14">
        <f>IF($P23="BIOGENICO",0,IF(ISNUMBER($S23),$N23*$S23/PARAMETROS!$B$8,""))</f>
        <v>0.0</v>
      </c>
      <c r="Y23" s="14">
        <f>IF($P23="BIOGENICO",IF(ISNUMBER($S23),$N23*$S23/PARAMETROS!$B$8,""),0)</f>
        <v>0.0</v>
      </c>
      <c r="Z23" s="14">
        <f>IF(ISNUMBER($T23),$N23*$T23/PARAMETROS!$B$8,"")</f>
        <v>0.0</v>
      </c>
      <c r="AA23" s="14">
        <f>IF(ISNUMBER($U23),$N23*$U23/PARAMETROS!$B$8,"")</f>
        <v>0.0</v>
      </c>
      <c r="AB23" s="14">
        <f>IF(COUNT($X23,$Z23,$AA23)=0,"",SUM($X23,IF(ISNUMBER($Z23),$Z23*PARAMETROS!$B$9,0),IF(ISNUMBER($AA23),$AA23*PARAMETROS!$B$10,0)))</f>
        <v>0.0</v>
      </c>
      <c r="AC23" s="4" t="s">
        <v>1990</v>
      </c>
      <c r="AD23" s="4"/>
      <c r="AE23" s="4" t="s">
        <v>3362</v>
      </c>
      <c r="AF23" s="4" t="s">
        <v>170</v>
      </c>
      <c r="AG23" s="4" t="inlineStr">
        <is>
          <t>METODO_EMISIONES</t>
        </is>
      </c>
      <c r="AH23" s="4"/>
    </row>
    <row r="24" customFormat="false" ht="23.85" hidden="false" customHeight="false" outlineLevel="0" collapsed="false">
      <c r="A24" s="4" t="s">
        <v>5710</v>
      </c>
      <c r="B24" s="12" t="n">
        <v>2018</v>
      </c>
      <c r="C24" s="4" t="s">
        <v>67</v>
      </c>
      <c r="D24" s="4" t="s">
        <v>5685</v>
      </c>
      <c r="E24" s="4" t="s">
        <v>3341</v>
      </c>
      <c r="F24" s="4" t="s">
        <v>3342</v>
      </c>
      <c r="G24" s="4" t="s">
        <v>99</v>
      </c>
      <c r="H24" s="4" t="s">
        <v>2008</v>
      </c>
      <c r="I24" s="4" t="s">
        <v>67</v>
      </c>
      <c r="J24" s="4" t="s">
        <v>1994</v>
      </c>
      <c r="K24" s="4" t="s">
        <v>1995</v>
      </c>
      <c r="L24" s="4" t="s">
        <v>337</v>
      </c>
      <c r="M24" s="14" t="n">
        <f aca="false">SUMIFS(PSUT_LARGA!$K$2:$K$618,PSUT_LARGA!$B$2:$B$618,$B24,PSUT_LARGA!$H$2:$H$618,$L24,PSUT_LARGA!$E$2:$E$618,$J24,PSUT_LARGA!$F$2:$F$618,$K24,PSUT_LARGA!$G$2:$G$618,$I24,PSUT_LARGA!$I$2:$I$618,$H24)</f>
        <v>3763.718</v>
      </c>
      <c r="N24" s="14" t="n">
        <f aca="false">IF($H24="TRANSFORMACION_REFINERIA",$M24*INDEX(PARAMETROS!$C$27:$C$33,MATCH($B24,PARAMETROS!$A$27:$A$33,0)),$M24)</f>
        <v>3763.718</v>
      </c>
      <c r="O24" s="4" t="s">
        <v>3362</v>
      </c>
      <c r="P24" s="4" t="s">
        <v>3363</v>
      </c>
      <c r="Q24" s="11" t="n">
        <f aca="false">MIN($B24,2022)</f>
        <v>2018</v>
      </c>
      <c r="R24" s="8" t="str">
        <f>IF(COUNT($S24:$U24)=0,"NO",IF($O24="CERO_DIRECTO","CAL",IF(OR($B24&gt;$Q24,COUNTIFS(DATOS_MODELO!$C$2:$C$3672,$Q24&amp;"|"&amp;$E24&amp;"|"&amp;$O24&amp;"|*",DATOS_MODELO!$F$2:$F$3672,"PRX",DATOS_MODELO!$AA$2:$AA$3672,"&lt;&gt;")&gt;0),"PRX",IF(COUNTIFS(DATOS_MODELO!$C$2:$C$3672,$Q24&amp;"|"&amp;$E24&amp;"|"&amp;$O24&amp;"|*",DATOS_MODELO!$F$2:$F$3672,"CAL",DATOS_MODELO!$AA$2:$AA$3672,"&lt;&gt;")&gt;0,"CAL","OBS"))))</f>
        <v>CAL</v>
      </c>
      <c r="S24" s="14">
        <f>IF(COUNTIFS(DATOS_MODELO!$C$2:$C$3672,$Q24&amp;"|"&amp;$E24&amp;"|"&amp;$O24&amp;"|CO2",DATOS_MODELO!$AA$2:$AA$3672,"&lt;&gt;")=0,"",INDEX(DATOS_MODELO!$AA$2:$AA$3672,MATCH($Q24&amp;"|"&amp;$E24&amp;"|"&amp;$O24&amp;"|CO2",DATOS_MODELO!$C$2:$C$3672,0)))</f>
        <v>0.0</v>
      </c>
      <c r="T24" s="14">
        <f>IF(COUNTIFS(DATOS_MODELO!$C$2:$C$3672,$Q24&amp;"|"&amp;$E24&amp;"|"&amp;$O24&amp;"|CH4",DATOS_MODELO!$AA$2:$AA$3672,"&lt;&gt;")=0,"",INDEX(DATOS_MODELO!$AA$2:$AA$3672,MATCH($Q24&amp;"|"&amp;$E24&amp;"|"&amp;$O24&amp;"|CH4",DATOS_MODELO!$C$2:$C$3672,0)))</f>
        <v>0.0</v>
      </c>
      <c r="U24" s="14">
        <f>IF(COUNTIFS(DATOS_MODELO!$C$2:$C$3672,$Q24&amp;"|"&amp;$E24&amp;"|"&amp;$O24&amp;"|N2O",DATOS_MODELO!$AA$2:$AA$3672,"&lt;&gt;")=0,"",INDEX(DATOS_MODELO!$AA$2:$AA$3672,MATCH($Q24&amp;"|"&amp;$E24&amp;"|"&amp;$O24&amp;"|N2O",DATOS_MODELO!$C$2:$C$3672,0)))</f>
        <v>0.0</v>
      </c>
      <c r="V24" s="8"/>
      <c r="W24" s="14"/>
      <c r="X24" s="14">
        <f>IF($P24="BIOGENICO",0,IF(ISNUMBER($S24),$N24*$S24/PARAMETROS!$B$8,""))</f>
        <v>0.0</v>
      </c>
      <c r="Y24" s="14">
        <f>IF($P24="BIOGENICO",IF(ISNUMBER($S24),$N24*$S24/PARAMETROS!$B$8,""),0)</f>
        <v>0.0</v>
      </c>
      <c r="Z24" s="14">
        <f>IF(ISNUMBER($T24),$N24*$T24/PARAMETROS!$B$8,"")</f>
        <v>0.0</v>
      </c>
      <c r="AA24" s="14">
        <f>IF(ISNUMBER($U24),$N24*$U24/PARAMETROS!$B$8,"")</f>
        <v>0.0</v>
      </c>
      <c r="AB24" s="14">
        <f>IF(COUNT($X24,$Z24,$AA24)=0,"",SUM($X24,IF(ISNUMBER($Z24),$Z24*PARAMETROS!$B$9,0),IF(ISNUMBER($AA24),$AA24*PARAMETROS!$B$10,0)))</f>
        <v>0.0</v>
      </c>
      <c r="AC24" s="4" t="s">
        <v>1990</v>
      </c>
      <c r="AD24" s="4"/>
      <c r="AE24" s="4" t="s">
        <v>3362</v>
      </c>
      <c r="AF24" s="4" t="s">
        <v>170</v>
      </c>
      <c r="AG24" s="4" t="inlineStr">
        <is>
          <t>METODO_EMISIONES</t>
        </is>
      </c>
      <c r="AH24" s="4"/>
    </row>
    <row r="25" customFormat="false" ht="23.85" hidden="false" customHeight="false" outlineLevel="0" collapsed="false">
      <c r="A25" s="4" t="s">
        <v>5711</v>
      </c>
      <c r="B25" s="12" t="n">
        <v>2018</v>
      </c>
      <c r="C25" s="4" t="s">
        <v>67</v>
      </c>
      <c r="D25" s="4" t="s">
        <v>5685</v>
      </c>
      <c r="E25" s="4" t="s">
        <v>3420</v>
      </c>
      <c r="F25" s="4" t="s">
        <v>3421</v>
      </c>
      <c r="G25" s="4" t="s">
        <v>99</v>
      </c>
      <c r="H25" s="4" t="s">
        <v>2139</v>
      </c>
      <c r="I25" s="4" t="s">
        <v>67</v>
      </c>
      <c r="J25" s="4" t="s">
        <v>2001</v>
      </c>
      <c r="K25" s="4" t="s">
        <v>2002</v>
      </c>
      <c r="L25" s="4" t="s">
        <v>338</v>
      </c>
      <c r="M25" s="14" t="n">
        <f aca="false">SUMIFS(PSUT_LARGA!$K$2:$K$618,PSUT_LARGA!$B$2:$B$618,$B25,PSUT_LARGA!$H$2:$H$618,$L25,PSUT_LARGA!$E$2:$E$618,$J25,PSUT_LARGA!$F$2:$F$618,$K25,PSUT_LARGA!$G$2:$G$618,$I25,PSUT_LARGA!$I$2:$I$618,$H25)</f>
        <v>2788.9162</v>
      </c>
      <c r="N25" s="14" t="n">
        <f aca="false">IF($H25="TRANSFORMACION_REFINERIA",$M25*INDEX(PARAMETROS!$C$27:$C$33,MATCH($B25,PARAMETROS!$A$27:$A$33,0)),$M25)</f>
        <v>2788.9162</v>
      </c>
      <c r="O25" s="4" t="s">
        <v>3362</v>
      </c>
      <c r="P25" s="4" t="s">
        <v>3363</v>
      </c>
      <c r="Q25" s="11" t="n">
        <f aca="false">MIN($B25,2022)</f>
        <v>2018</v>
      </c>
      <c r="R25" s="8" t="str">
        <f>IF(COUNT($S25:$U25)=0,"NO",IF($O25="CERO_DIRECTO","CAL",IF(OR($B25&gt;$Q25,COUNTIFS(DATOS_MODELO!$C$2:$C$3672,$Q25&amp;"|"&amp;$E25&amp;"|"&amp;$O25&amp;"|*",DATOS_MODELO!$F$2:$F$3672,"PRX",DATOS_MODELO!$AA$2:$AA$3672,"&lt;&gt;")&gt;0),"PRX",IF(COUNTIFS(DATOS_MODELO!$C$2:$C$3672,$Q25&amp;"|"&amp;$E25&amp;"|"&amp;$O25&amp;"|*",DATOS_MODELO!$F$2:$F$3672,"CAL",DATOS_MODELO!$AA$2:$AA$3672,"&lt;&gt;")&gt;0,"CAL","OBS"))))</f>
        <v>CAL</v>
      </c>
      <c r="S25" s="14">
        <f>IF(COUNTIFS(DATOS_MODELO!$C$2:$C$3672,$Q25&amp;"|"&amp;$E25&amp;"|"&amp;$O25&amp;"|CO2",DATOS_MODELO!$AA$2:$AA$3672,"&lt;&gt;")=0,"",INDEX(DATOS_MODELO!$AA$2:$AA$3672,MATCH($Q25&amp;"|"&amp;$E25&amp;"|"&amp;$O25&amp;"|CO2",DATOS_MODELO!$C$2:$C$3672,0)))</f>
        <v>0.0</v>
      </c>
      <c r="T25" s="14">
        <f>IF(COUNTIFS(DATOS_MODELO!$C$2:$C$3672,$Q25&amp;"|"&amp;$E25&amp;"|"&amp;$O25&amp;"|CH4",DATOS_MODELO!$AA$2:$AA$3672,"&lt;&gt;")=0,"",INDEX(DATOS_MODELO!$AA$2:$AA$3672,MATCH($Q25&amp;"|"&amp;$E25&amp;"|"&amp;$O25&amp;"|CH4",DATOS_MODELO!$C$2:$C$3672,0)))</f>
        <v>0.0</v>
      </c>
      <c r="U25" s="14">
        <f>IF(COUNTIFS(DATOS_MODELO!$C$2:$C$3672,$Q25&amp;"|"&amp;$E25&amp;"|"&amp;$O25&amp;"|N2O",DATOS_MODELO!$AA$2:$AA$3672,"&lt;&gt;")=0,"",INDEX(DATOS_MODELO!$AA$2:$AA$3672,MATCH($Q25&amp;"|"&amp;$E25&amp;"|"&amp;$O25&amp;"|N2O",DATOS_MODELO!$C$2:$C$3672,0)))</f>
        <v>0.0</v>
      </c>
      <c r="V25" s="8"/>
      <c r="W25" s="14"/>
      <c r="X25" s="14">
        <f>IF($P25="BIOGENICO",0,IF(ISNUMBER($S25),$N25*$S25/PARAMETROS!$B$8,""))</f>
        <v>0.0</v>
      </c>
      <c r="Y25" s="14">
        <f>IF($P25="BIOGENICO",IF(ISNUMBER($S25),$N25*$S25/PARAMETROS!$B$8,""),0)</f>
        <v>0.0</v>
      </c>
      <c r="Z25" s="14">
        <f>IF(ISNUMBER($T25),$N25*$T25/PARAMETROS!$B$8,"")</f>
        <v>0.0</v>
      </c>
      <c r="AA25" s="14">
        <f>IF(ISNUMBER($U25),$N25*$U25/PARAMETROS!$B$8,"")</f>
        <v>0.0</v>
      </c>
      <c r="AB25" s="14">
        <f>IF(COUNT($X25,$Z25,$AA25)=0,"",SUM($X25,IF(ISNUMBER($Z25),$Z25*PARAMETROS!$B$9,0),IF(ISNUMBER($AA25),$AA25*PARAMETROS!$B$10,0)))</f>
        <v>0.0</v>
      </c>
      <c r="AC25" s="4" t="s">
        <v>1990</v>
      </c>
      <c r="AD25" s="4"/>
      <c r="AE25" s="4" t="s">
        <v>3362</v>
      </c>
      <c r="AF25" s="4" t="s">
        <v>170</v>
      </c>
      <c r="AG25" s="4" t="inlineStr">
        <is>
          <t>METODO_EMISIONES</t>
        </is>
      </c>
      <c r="AH25" s="4"/>
    </row>
    <row r="26" customFormat="false" ht="15" hidden="false" customHeight="false" outlineLevel="0" collapsed="false">
      <c r="A26" s="4" t="s">
        <v>5712</v>
      </c>
      <c r="B26" s="12" t="n">
        <v>2018</v>
      </c>
      <c r="C26" s="4" t="s">
        <v>67</v>
      </c>
      <c r="D26" s="4" t="s">
        <v>5685</v>
      </c>
      <c r="E26" s="4" t="s">
        <v>3341</v>
      </c>
      <c r="F26" s="4" t="s">
        <v>3342</v>
      </c>
      <c r="G26" s="4" t="s">
        <v>101</v>
      </c>
      <c r="H26" s="4" t="s">
        <v>2003</v>
      </c>
      <c r="I26" s="4" t="s">
        <v>67</v>
      </c>
      <c r="J26" s="4" t="s">
        <v>2001</v>
      </c>
      <c r="K26" s="4" t="s">
        <v>2002</v>
      </c>
      <c r="L26" s="4" t="s">
        <v>350</v>
      </c>
      <c r="M26" s="14" t="n">
        <f aca="false">SUMIFS(PSUT_LARGA!$K$2:$K$618,PSUT_LARGA!$B$2:$B$618,$B26,PSUT_LARGA!$H$2:$H$618,$L26,PSUT_LARGA!$E$2:$E$618,$J26,PSUT_LARGA!$F$2:$F$618,$K26,PSUT_LARGA!$G$2:$G$618,$I26,PSUT_LARGA!$I$2:$I$618,$H26)</f>
        <v>3481.6425</v>
      </c>
      <c r="N26" s="14" t="n">
        <f aca="false">IF($H26="TRANSFORMACION_REFINERIA",$M26*INDEX(PARAMETROS!$C$27:$C$33,MATCH($B26,PARAMETROS!$A$27:$A$33,0)),$M26)</f>
        <v>3481.6425</v>
      </c>
      <c r="O26" s="4" t="inlineStr">
        <is>
          <t>COMB_FOIL</t>
        </is>
      </c>
      <c r="P26" s="4" t="s">
        <v>3352</v>
      </c>
      <c r="Q26" s="11" t="n">
        <f aca="false">MIN($B26,2022)</f>
        <v>2018</v>
      </c>
      <c r="R26" s="8" t="str">
        <f>IF(COUNT($S26:$U26)=0,"NO",IF($O26="CERO_DIRECTO","CAL",IF(OR($B26&gt;$Q26,COUNTIFS(DATOS_MODELO!$C$2:$C$3672,$Q26&amp;"|"&amp;$E26&amp;"|"&amp;$O26&amp;"|*",DATOS_MODELO!$F$2:$F$3672,"PRX",DATOS_MODELO!$AA$2:$AA$3672,"&lt;&gt;")&gt;0),"PRX",IF(COUNTIFS(DATOS_MODELO!$C$2:$C$3672,$Q26&amp;"|"&amp;$E26&amp;"|"&amp;$O26&amp;"|*",DATOS_MODELO!$F$2:$F$3672,"CAL",DATOS_MODELO!$AA$2:$AA$3672,"&lt;&gt;")&gt;0,"CAL","OBS"))))</f>
        <v>PRX</v>
      </c>
      <c r="S26" s="14">
        <f>IF(COUNTIFS(DATOS_MODELO!$C$2:$C$3672,$Q26&amp;"|"&amp;$E26&amp;"|"&amp;$O26&amp;"|CO2",DATOS_MODELO!$AA$2:$AA$3672,"&lt;&gt;")=0,"",INDEX(DATOS_MODELO!$AA$2:$AA$3672,MATCH($Q26&amp;"|"&amp;$E26&amp;"|"&amp;$O26&amp;"|CO2",DATOS_MODELO!$C$2:$C$3672,0)))</f>
        <v>77400.0</v>
      </c>
      <c r="T26" s="14">
        <f>IF(COUNTIFS(DATOS_MODELO!$C$2:$C$3672,$Q26&amp;"|"&amp;$E26&amp;"|"&amp;$O26&amp;"|CH4",DATOS_MODELO!$AA$2:$AA$3672,"&lt;&gt;")=0,"",INDEX(DATOS_MODELO!$AA$2:$AA$3672,MATCH($Q26&amp;"|"&amp;$E26&amp;"|"&amp;$O26&amp;"|CH4",DATOS_MODELO!$C$2:$C$3672,0)))</f>
        <v>3.0</v>
      </c>
      <c r="U26" s="14">
        <f>IF(COUNTIFS(DATOS_MODELO!$C$2:$C$3672,$Q26&amp;"|"&amp;$E26&amp;"|"&amp;$O26&amp;"|N2O",DATOS_MODELO!$AA$2:$AA$3672,"&lt;&gt;")=0,"",INDEX(DATOS_MODELO!$AA$2:$AA$3672,MATCH($Q26&amp;"|"&amp;$E26&amp;"|"&amp;$O26&amp;"|N2O",DATOS_MODELO!$C$2:$C$3672,0)))</f>
        <v>0.6</v>
      </c>
      <c r="V26" s="8"/>
      <c r="W26" s="14"/>
      <c r="X26" s="14">
        <f>IF($P26="BIOGENICO",0,IF(ISNUMBER($S26),$N26*$S26/PARAMETROS!$B$8,""))</f>
        <v>269.4791295</v>
      </c>
      <c r="Y26" s="14">
        <f>IF($P26="BIOGENICO",IF(ISNUMBER($S26),$N26*$S26/PARAMETROS!$B$8,""),0)</f>
        <v>0.0</v>
      </c>
      <c r="Z26" s="14">
        <f>IF(ISNUMBER($T26),$N26*$T26/PARAMETROS!$B$8,"")</f>
        <v>0.0104449275</v>
      </c>
      <c r="AA26" s="14">
        <f>IF(ISNUMBER($U26),$N26*$U26/PARAMETROS!$B$8,"")</f>
        <v>0.0020889855</v>
      </c>
      <c r="AB26" s="14">
        <f>IF(COUNT($X26,$Z26,$AA26)=0,"",SUM($X26,IF(ISNUMBER($Z26),$Z26*PARAMETROS!$B$9,0),IF(ISNUMBER($AA26),$AA26*PARAMETROS!$B$10,0)))</f>
        <v>270.3251686275</v>
      </c>
      <c r="AC26" s="4" t="s">
        <v>1990</v>
      </c>
      <c r="AD26" s="4"/>
      <c r="AE26" s="4" t="s">
        <v>5690</v>
      </c>
      <c r="AF26" s="4" t="s">
        <v>170</v>
      </c>
      <c r="AG26" s="4" t="inlineStr">
        <is>
          <t>MARN_GTM_BTR1_2024</t>
        </is>
      </c>
      <c r="AH26" s="4" t="inlineStr">
        <is>
          <t>Origen de factores: CO2: MARN_GTM_BTR1_2024 [PRX; BTR1 Guatemala 2024, tabla 3.6, p. 48; fila Fuelóleo residual; gas CO2]; CH4: MARN_GTM_BTR1_2024 [PRX; BTR1 Guatemala 2024, tabla 3.17, p. 57; fila Fuelóleo residual; gas CH4]; N2O: MARN_GTM_BTR1_2024 [PRX; BTR1 Guatemala 2024, tabla 3.17, p. 57; fila Fuelóleo residual; gas N2O].</t>
        </is>
      </c>
    </row>
    <row r="27" customFormat="false" ht="15" hidden="false" customHeight="false" outlineLevel="0" collapsed="false">
      <c r="A27" s="4" t="s">
        <v>5713</v>
      </c>
      <c r="B27" s="12" t="n">
        <v>2018</v>
      </c>
      <c r="C27" s="4" t="s">
        <v>73</v>
      </c>
      <c r="D27" s="4" t="s">
        <v>5685</v>
      </c>
      <c r="E27" s="4" t="s">
        <v>3380</v>
      </c>
      <c r="F27" s="4" t="s">
        <v>3381</v>
      </c>
      <c r="G27" s="4" t="s">
        <v>109</v>
      </c>
      <c r="H27" s="4" t="s">
        <v>2075</v>
      </c>
      <c r="I27" s="4" t="s">
        <v>73</v>
      </c>
      <c r="J27" s="4" t="s">
        <v>2001</v>
      </c>
      <c r="K27" s="4" t="s">
        <v>2074</v>
      </c>
      <c r="L27" s="4" t="s">
        <v>270</v>
      </c>
      <c r="M27" s="14" t="n">
        <f aca="false">SUMIFS(PSUT_LARGA!$K$2:$K$618,PSUT_LARGA!$B$2:$B$618,$B27,PSUT_LARGA!$H$2:$H$618,$L27,PSUT_LARGA!$E$2:$E$618,$J27,PSUT_LARGA!$F$2:$F$618,$K27,PSUT_LARGA!$G$2:$G$618,$I27,PSUT_LARGA!$I$2:$I$618,$H27)</f>
        <v>281062.2941</v>
      </c>
      <c r="N27" s="14" t="n">
        <f aca="false">IF($H27="TRANSFORMACION_REFINERIA",$M27*INDEX(PARAMETROS!$C$27:$C$33,MATCH($B27,PARAMETROS!$A$27:$A$33,0)),$M27)</f>
        <v>281062.2941</v>
      </c>
      <c r="O27" s="4" t="s">
        <v>3343</v>
      </c>
      <c r="P27" s="4" t="s">
        <v>3344</v>
      </c>
      <c r="Q27" s="11" t="n">
        <f aca="false">MIN($B27,2022)</f>
        <v>2018</v>
      </c>
      <c r="R27" s="8" t="str">
        <f>IF(COUNT($S27:$U27)=0,"NO",IF($O27="CERO_DIRECTO","CAL",IF(OR($B27&gt;$Q27,COUNTIFS(DATOS_MODELO!$C$2:$C$3672,$Q27&amp;"|"&amp;$E27&amp;"|"&amp;$O27&amp;"|*",DATOS_MODELO!$F$2:$F$3672,"PRX",DATOS_MODELO!$AA$2:$AA$3672,"&lt;&gt;")&gt;0),"PRX",IF(COUNTIFS(DATOS_MODELO!$C$2:$C$3672,$Q27&amp;"|"&amp;$E27&amp;"|"&amp;$O27&amp;"|*",DATOS_MODELO!$F$2:$F$3672,"CAL",DATOS_MODELO!$AA$2:$AA$3672,"&lt;&gt;")&gt;0,"CAL","OBS"))))</f>
        <v>OBS</v>
      </c>
      <c r="S27" s="14">
        <f>IF(COUNTIFS(DATOS_MODELO!$C$2:$C$3672,$Q27&amp;"|"&amp;$E27&amp;"|"&amp;$O27&amp;"|CO2",DATOS_MODELO!$AA$2:$AA$3672,"&lt;&gt;")=0,"",INDEX(DATOS_MODELO!$AA$2:$AA$3672,MATCH($Q27&amp;"|"&amp;$E27&amp;"|"&amp;$O27&amp;"|CO2",DATOS_MODELO!$C$2:$C$3672,0)))</f>
        <v>112000.000099622</v>
      </c>
      <c r="T27" s="14">
        <f>IF(COUNTIFS(DATOS_MODELO!$C$2:$C$3672,$Q27&amp;"|"&amp;$E27&amp;"|"&amp;$O27&amp;"|CH4",DATOS_MODELO!$AA$2:$AA$3672,"&lt;&gt;")=0,"",INDEX(DATOS_MODELO!$AA$2:$AA$3672,MATCH($Q27&amp;"|"&amp;$E27&amp;"|"&amp;$O27&amp;"|CH4",DATOS_MODELO!$C$2:$C$3672,0)))</f>
        <v>300.000000355793</v>
      </c>
      <c r="U27" s="14">
        <f>IF(COUNTIFS(DATOS_MODELO!$C$2:$C$3672,$Q27&amp;"|"&amp;$E27&amp;"|"&amp;$O27&amp;"|N2O",DATOS_MODELO!$AA$2:$AA$3672,"&lt;&gt;")=0,"",INDEX(DATOS_MODELO!$AA$2:$AA$3672,MATCH($Q27&amp;"|"&amp;$E27&amp;"|"&amp;$O27&amp;"|N2O",DATOS_MODELO!$C$2:$C$3672,0)))</f>
        <v>3.99999998576829</v>
      </c>
      <c r="V27" s="8"/>
      <c r="W27" s="14"/>
      <c r="X27" s="14">
        <f>IF($P27="BIOGENICO",0,IF(ISNUMBER($S27),$N27*$S27/PARAMETROS!$B$8,""))</f>
        <v>0.0</v>
      </c>
      <c r="Y27" s="14">
        <f>IF($P27="BIOGENICO",IF(ISNUMBER($S27),$N27*$S27/PARAMETROS!$B$8,""),0)</f>
        <v>31478.9769672</v>
      </c>
      <c r="Z27" s="14">
        <f>IF(ISNUMBER($T27),$N27*$T27/PARAMETROS!$B$8,"")</f>
        <v>84.31868833</v>
      </c>
      <c r="AA27" s="14">
        <f>IF(ISNUMBER($U27),$N27*$U27/PARAMETROS!$B$8,"")</f>
        <v>1.1242491724</v>
      </c>
      <c r="AB27" s="14">
        <f>IF(COUNT($X27,$Z27,$AA27)=0,"",SUM($X27,IF(ISNUMBER($Z27),$Z27*PARAMETROS!$B$9,0),IF(ISNUMBER($AA27),$AA27*PARAMETROS!$B$10,0)))</f>
        <v>2658.849303926</v>
      </c>
      <c r="AC27" s="4" t="s">
        <v>1990</v>
      </c>
      <c r="AD27" s="4"/>
      <c r="AE27" s="4" t="s">
        <v>5690</v>
      </c>
      <c r="AF27" s="4" t="s">
        <v>170</v>
      </c>
      <c r="AG27" s="4" t="s">
        <v>3999</v>
      </c>
      <c r="AH27" s="4"/>
    </row>
    <row r="28" customFormat="false" ht="23.85" hidden="false" customHeight="false" outlineLevel="0" collapsed="false">
      <c r="A28" s="4" t="s">
        <v>5714</v>
      </c>
      <c r="B28" s="12" t="n">
        <v>2018</v>
      </c>
      <c r="C28" s="4" t="s">
        <v>73</v>
      </c>
      <c r="D28" s="4" t="s">
        <v>5685</v>
      </c>
      <c r="E28" s="4" t="s">
        <v>3380</v>
      </c>
      <c r="F28" s="4" t="s">
        <v>3381</v>
      </c>
      <c r="G28" s="4" t="s">
        <v>99</v>
      </c>
      <c r="H28" s="4" t="s">
        <v>2075</v>
      </c>
      <c r="I28" s="4" t="s">
        <v>73</v>
      </c>
      <c r="J28" s="4" t="s">
        <v>2001</v>
      </c>
      <c r="K28" s="4" t="s">
        <v>2074</v>
      </c>
      <c r="L28" s="4" t="s">
        <v>340</v>
      </c>
      <c r="M28" s="14" t="n">
        <f aca="false">SUMIFS(PSUT_LARGA!$K$2:$K$618,PSUT_LARGA!$B$2:$B$618,$B28,PSUT_LARGA!$H$2:$H$618,$L28,PSUT_LARGA!$E$2:$E$618,$J28,PSUT_LARGA!$F$2:$F$618,$K28,PSUT_LARGA!$G$2:$G$618,$I28,PSUT_LARGA!$I$2:$I$618,$H28)</f>
        <v>13215.6584</v>
      </c>
      <c r="N28" s="14" t="n">
        <f aca="false">IF($H28="TRANSFORMACION_REFINERIA",$M28*INDEX(PARAMETROS!$C$27:$C$33,MATCH($B28,PARAMETROS!$A$27:$A$33,0)),$M28)</f>
        <v>13215.6584</v>
      </c>
      <c r="O28" s="4" t="s">
        <v>3362</v>
      </c>
      <c r="P28" s="4" t="s">
        <v>3363</v>
      </c>
      <c r="Q28" s="11" t="n">
        <f aca="false">MIN($B28,2022)</f>
        <v>2018</v>
      </c>
      <c r="R28" s="8" t="str">
        <f>IF(COUNT($S28:$U28)=0,"NO",IF($O28="CERO_DIRECTO","CAL",IF(OR($B28&gt;$Q28,COUNTIFS(DATOS_MODELO!$C$2:$C$3672,$Q28&amp;"|"&amp;$E28&amp;"|"&amp;$O28&amp;"|*",DATOS_MODELO!$F$2:$F$3672,"PRX",DATOS_MODELO!$AA$2:$AA$3672,"&lt;&gt;")&gt;0),"PRX",IF(COUNTIFS(DATOS_MODELO!$C$2:$C$3672,$Q28&amp;"|"&amp;$E28&amp;"|"&amp;$O28&amp;"|*",DATOS_MODELO!$F$2:$F$3672,"CAL",DATOS_MODELO!$AA$2:$AA$3672,"&lt;&gt;")&gt;0,"CAL","OBS"))))</f>
        <v>CAL</v>
      </c>
      <c r="S28" s="14">
        <f>IF(COUNTIFS(DATOS_MODELO!$C$2:$C$3672,$Q28&amp;"|"&amp;$E28&amp;"|"&amp;$O28&amp;"|CO2",DATOS_MODELO!$AA$2:$AA$3672,"&lt;&gt;")=0,"",INDEX(DATOS_MODELO!$AA$2:$AA$3672,MATCH($Q28&amp;"|"&amp;$E28&amp;"|"&amp;$O28&amp;"|CO2",DATOS_MODELO!$C$2:$C$3672,0)))</f>
        <v>0.0</v>
      </c>
      <c r="T28" s="14">
        <f>IF(COUNTIFS(DATOS_MODELO!$C$2:$C$3672,$Q28&amp;"|"&amp;$E28&amp;"|"&amp;$O28&amp;"|CH4",DATOS_MODELO!$AA$2:$AA$3672,"&lt;&gt;")=0,"",INDEX(DATOS_MODELO!$AA$2:$AA$3672,MATCH($Q28&amp;"|"&amp;$E28&amp;"|"&amp;$O28&amp;"|CH4",DATOS_MODELO!$C$2:$C$3672,0)))</f>
        <v>0.0</v>
      </c>
      <c r="U28" s="14">
        <f>IF(COUNTIFS(DATOS_MODELO!$C$2:$C$3672,$Q28&amp;"|"&amp;$E28&amp;"|"&amp;$O28&amp;"|N2O",DATOS_MODELO!$AA$2:$AA$3672,"&lt;&gt;")=0,"",INDEX(DATOS_MODELO!$AA$2:$AA$3672,MATCH($Q28&amp;"|"&amp;$E28&amp;"|"&amp;$O28&amp;"|N2O",DATOS_MODELO!$C$2:$C$3672,0)))</f>
        <v>0.0</v>
      </c>
      <c r="V28" s="8"/>
      <c r="W28" s="14"/>
      <c r="X28" s="14">
        <f>IF($P28="BIOGENICO",0,IF(ISNUMBER($S28),$N28*$S28/PARAMETROS!$B$8,""))</f>
        <v>0.0</v>
      </c>
      <c r="Y28" s="14">
        <f>IF($P28="BIOGENICO",IF(ISNUMBER($S28),$N28*$S28/PARAMETROS!$B$8,""),0)</f>
        <v>0.0</v>
      </c>
      <c r="Z28" s="14">
        <f>IF(ISNUMBER($T28),$N28*$T28/PARAMETROS!$B$8,"")</f>
        <v>0.0</v>
      </c>
      <c r="AA28" s="14">
        <f>IF(ISNUMBER($U28),$N28*$U28/PARAMETROS!$B$8,"")</f>
        <v>0.0</v>
      </c>
      <c r="AB28" s="14">
        <f>IF(COUNT($X28,$Z28,$AA28)=0,"",SUM($X28,IF(ISNUMBER($Z28),$Z28*PARAMETROS!$B$9,0),IF(ISNUMBER($AA28),$AA28*PARAMETROS!$B$10,0)))</f>
        <v>0.0</v>
      </c>
      <c r="AC28" s="4" t="s">
        <v>1990</v>
      </c>
      <c r="AD28" s="4"/>
      <c r="AE28" s="4" t="s">
        <v>3362</v>
      </c>
      <c r="AF28" s="4" t="s">
        <v>170</v>
      </c>
      <c r="AG28" s="4" t="inlineStr">
        <is>
          <t>METODO_EMISIONES</t>
        </is>
      </c>
      <c r="AH28" s="4"/>
    </row>
    <row r="29" customFormat="false" ht="15" hidden="false" customHeight="false" outlineLevel="0" collapsed="false">
      <c r="A29" s="4" t="s">
        <v>5715</v>
      </c>
      <c r="B29" s="12" t="n">
        <v>2018</v>
      </c>
      <c r="C29" s="4" t="s">
        <v>73</v>
      </c>
      <c r="D29" s="4" t="s">
        <v>5685</v>
      </c>
      <c r="E29" s="4" t="s">
        <v>3380</v>
      </c>
      <c r="F29" s="4" t="s">
        <v>3381</v>
      </c>
      <c r="G29" s="4" t="s">
        <v>105</v>
      </c>
      <c r="H29" s="4" t="s">
        <v>2075</v>
      </c>
      <c r="I29" s="4" t="s">
        <v>73</v>
      </c>
      <c r="J29" s="4" t="s">
        <v>2001</v>
      </c>
      <c r="K29" s="4" t="s">
        <v>2074</v>
      </c>
      <c r="L29" s="4" t="s">
        <v>382</v>
      </c>
      <c r="M29" s="14" t="n">
        <f aca="false">SUMIFS(PSUT_LARGA!$K$2:$K$618,PSUT_LARGA!$B$2:$B$618,$B29,PSUT_LARGA!$H$2:$H$618,$L29,PSUT_LARGA!$E$2:$E$618,$J29,PSUT_LARGA!$F$2:$F$618,$K29,PSUT_LARGA!$G$2:$G$618,$I29,PSUT_LARGA!$I$2:$I$618,$H29)</f>
        <v>14368.8853</v>
      </c>
      <c r="N29" s="14" t="n">
        <f aca="false">IF($H29="TRANSFORMACION_REFINERIA",$M29*INDEX(PARAMETROS!$C$27:$C$33,MATCH($B29,PARAMETROS!$A$27:$A$33,0)),$M29)</f>
        <v>14368.8853</v>
      </c>
      <c r="O29" s="4" t="inlineStr">
        <is>
          <t>COMB_GLP</t>
        </is>
      </c>
      <c r="P29" s="4" t="s">
        <v>3352</v>
      </c>
      <c r="Q29" s="11" t="n">
        <f aca="false">MIN($B29,2022)</f>
        <v>2018</v>
      </c>
      <c r="R29" s="8" t="str">
        <f>IF(COUNT($S29:$U29)=0,"NO",IF($O29="CERO_DIRECTO","CAL",IF(OR($B29&gt;$Q29,COUNTIFS(DATOS_MODELO!$C$2:$C$3672,$Q29&amp;"|"&amp;$E29&amp;"|"&amp;$O29&amp;"|*",DATOS_MODELO!$F$2:$F$3672,"PRX",DATOS_MODELO!$AA$2:$AA$3672,"&lt;&gt;")&gt;0),"PRX",IF(COUNTIFS(DATOS_MODELO!$C$2:$C$3672,$Q29&amp;"|"&amp;$E29&amp;"|"&amp;$O29&amp;"|*",DATOS_MODELO!$F$2:$F$3672,"CAL",DATOS_MODELO!$AA$2:$AA$3672,"&lt;&gt;")&gt;0,"CAL","OBS"))))</f>
        <v>PRX</v>
      </c>
      <c r="S29" s="14">
        <f>IF(COUNTIFS(DATOS_MODELO!$C$2:$C$3672,$Q29&amp;"|"&amp;$E29&amp;"|"&amp;$O29&amp;"|CO2",DATOS_MODELO!$AA$2:$AA$3672,"&lt;&gt;")=0,"",INDEX(DATOS_MODELO!$AA$2:$AA$3672,MATCH($Q29&amp;"|"&amp;$E29&amp;"|"&amp;$O29&amp;"|CO2",DATOS_MODELO!$C$2:$C$3672,0)))</f>
        <v>63100.0</v>
      </c>
      <c r="T29" s="14">
        <f>IF(COUNTIFS(DATOS_MODELO!$C$2:$C$3672,$Q29&amp;"|"&amp;$E29&amp;"|"&amp;$O29&amp;"|CH4",DATOS_MODELO!$AA$2:$AA$3672,"&lt;&gt;")=0,"",INDEX(DATOS_MODELO!$AA$2:$AA$3672,MATCH($Q29&amp;"|"&amp;$E29&amp;"|"&amp;$O29&amp;"|CH4",DATOS_MODELO!$C$2:$C$3672,0)))</f>
        <v>5.0</v>
      </c>
      <c r="U29" s="14">
        <f>IF(COUNTIFS(DATOS_MODELO!$C$2:$C$3672,$Q29&amp;"|"&amp;$E29&amp;"|"&amp;$O29&amp;"|N2O",DATOS_MODELO!$AA$2:$AA$3672,"&lt;&gt;")=0,"",INDEX(DATOS_MODELO!$AA$2:$AA$3672,MATCH($Q29&amp;"|"&amp;$E29&amp;"|"&amp;$O29&amp;"|N2O",DATOS_MODELO!$C$2:$C$3672,0)))</f>
        <v>0.1</v>
      </c>
      <c r="V29" s="8"/>
      <c r="W29" s="14"/>
      <c r="X29" s="14">
        <f>IF($P29="BIOGENICO",0,IF(ISNUMBER($S29),$N29*$S29/PARAMETROS!$B$8,""))</f>
        <v>906.67666243</v>
      </c>
      <c r="Y29" s="14">
        <f>IF($P29="BIOGENICO",IF(ISNUMBER($S29),$N29*$S29/PARAMETROS!$B$8,""),0)</f>
        <v>0.0</v>
      </c>
      <c r="Z29" s="14">
        <f>IF(ISNUMBER($T29),$N29*$T29/PARAMETROS!$B$8,"")</f>
        <v>0.0718444265</v>
      </c>
      <c r="AA29" s="14">
        <f>IF(ISNUMBER($U29),$N29*$U29/PARAMETROS!$B$8,"")</f>
        <v>0.00143688853</v>
      </c>
      <c r="AB29" s="14">
        <f>IF(COUNT($X29,$Z29,$AA29)=0,"",SUM($X29,IF(ISNUMBER($Z29),$Z29*PARAMETROS!$B$9,0),IF(ISNUMBER($AA29),$AA29*PARAMETROS!$B$10,0)))</f>
        <v>909.06908183245</v>
      </c>
      <c r="AC29" s="4" t="s">
        <v>1990</v>
      </c>
      <c r="AD29" s="4"/>
      <c r="AE29" s="4" t="s">
        <v>5690</v>
      </c>
      <c r="AF29" s="4" t="s">
        <v>170</v>
      </c>
      <c r="AG29" s="4" t="inlineStr">
        <is>
          <t>MARN_GTM_BTR1_2024</t>
        </is>
      </c>
      <c r="AH29" s="4" t="inlineStr">
        <is>
          <t>Origen de factores: CO2: MARN_GTM_BTR1_2024 [PRX; BTR1 Guatemala 2024, tabla 3.6, p. 48; fila Gases licuados de petróleo; gas CO2]; CH4: MARN_GTM_BTR1_2024 [PRX; BTR1 Guatemala 2024, tabla 3.33, p. 70; fila Gases licuados de petróleo; gas CH4]; N2O: MARN_GTM_BTR1_2024 [PRX; BTR1 Guatemala 2024, tabla 3.33, p. 70; fila Gases licuados de petróleo; gas N2O].</t>
        </is>
      </c>
    </row>
    <row r="30" customFormat="false" ht="15" hidden="false" customHeight="false" outlineLevel="0" collapsed="false">
      <c r="A30" s="4" t="s">
        <v>5716</v>
      </c>
      <c r="B30" s="12" t="n">
        <v>2018</v>
      </c>
      <c r="C30" s="4" t="s">
        <v>73</v>
      </c>
      <c r="D30" s="4" t="s">
        <v>5685</v>
      </c>
      <c r="E30" s="4" t="s">
        <v>3380</v>
      </c>
      <c r="F30" s="4" t="s">
        <v>3381</v>
      </c>
      <c r="G30" s="4" t="s">
        <v>107</v>
      </c>
      <c r="H30" s="4" t="s">
        <v>2075</v>
      </c>
      <c r="I30" s="4" t="s">
        <v>73</v>
      </c>
      <c r="J30" s="4" t="s">
        <v>2001</v>
      </c>
      <c r="K30" s="4" t="s">
        <v>2074</v>
      </c>
      <c r="L30" s="4" t="s">
        <v>396</v>
      </c>
      <c r="M30" s="14" t="n">
        <f aca="false">SUMIFS(PSUT_LARGA!$K$2:$K$618,PSUT_LARGA!$B$2:$B$618,$B30,PSUT_LARGA!$H$2:$H$618,$L30,PSUT_LARGA!$E$2:$E$618,$J30,PSUT_LARGA!$F$2:$F$618,$K30,PSUT_LARGA!$G$2:$G$618,$I30,PSUT_LARGA!$I$2:$I$618,$H30)</f>
        <v>20.6836</v>
      </c>
      <c r="N30" s="14" t="n">
        <f aca="false">IF($H30="TRANSFORMACION_REFINERIA",$M30*INDEX(PARAMETROS!$C$27:$C$33,MATCH($B30,PARAMETROS!$A$27:$A$33,0)),$M30)</f>
        <v>20.6836</v>
      </c>
      <c r="O30" s="4" t="inlineStr">
        <is>
          <t>COMB_KER</t>
        </is>
      </c>
      <c r="P30" s="4" t="s">
        <v>3352</v>
      </c>
      <c r="Q30" s="11" t="n">
        <f aca="false">MIN($B30,2022)</f>
        <v>2018</v>
      </c>
      <c r="R30" s="8" t="str">
        <f>IF(COUNT($S30:$U30)=0,"NO",IF($O30="CERO_DIRECTO","CAL",IF(OR($B30&gt;$Q30,COUNTIFS(DATOS_MODELO!$C$2:$C$3672,$Q30&amp;"|"&amp;$E30&amp;"|"&amp;$O30&amp;"|*",DATOS_MODELO!$F$2:$F$3672,"PRX",DATOS_MODELO!$AA$2:$AA$3672,"&lt;&gt;")&gt;0),"PRX",IF(COUNTIFS(DATOS_MODELO!$C$2:$C$3672,$Q30&amp;"|"&amp;$E30&amp;"|"&amp;$O30&amp;"|*",DATOS_MODELO!$F$2:$F$3672,"CAL",DATOS_MODELO!$AA$2:$AA$3672,"&lt;&gt;")&gt;0,"CAL","OBS"))))</f>
        <v>PRX</v>
      </c>
      <c r="S30" s="14">
        <f>IF(COUNTIFS(DATOS_MODELO!$C$2:$C$3672,$Q30&amp;"|"&amp;$E30&amp;"|"&amp;$O30&amp;"|CO2",DATOS_MODELO!$AA$2:$AA$3672,"&lt;&gt;")=0,"",INDEX(DATOS_MODELO!$AA$2:$AA$3672,MATCH($Q30&amp;"|"&amp;$E30&amp;"|"&amp;$O30&amp;"|CO2",DATOS_MODELO!$C$2:$C$3672,0)))</f>
        <v>71900.0</v>
      </c>
      <c r="T30" s="14">
        <f>IF(COUNTIFS(DATOS_MODELO!$C$2:$C$3672,$Q30&amp;"|"&amp;$E30&amp;"|"&amp;$O30&amp;"|CH4",DATOS_MODELO!$AA$2:$AA$3672,"&lt;&gt;")=0,"",INDEX(DATOS_MODELO!$AA$2:$AA$3672,MATCH($Q30&amp;"|"&amp;$E30&amp;"|"&amp;$O30&amp;"|CH4",DATOS_MODELO!$C$2:$C$3672,0)))</f>
        <v>10.0</v>
      </c>
      <c r="U30" s="14">
        <f>IF(COUNTIFS(DATOS_MODELO!$C$2:$C$3672,$Q30&amp;"|"&amp;$E30&amp;"|"&amp;$O30&amp;"|N2O",DATOS_MODELO!$AA$2:$AA$3672,"&lt;&gt;")=0,"",INDEX(DATOS_MODELO!$AA$2:$AA$3672,MATCH($Q30&amp;"|"&amp;$E30&amp;"|"&amp;$O30&amp;"|N2O",DATOS_MODELO!$C$2:$C$3672,0)))</f>
        <v>0.6</v>
      </c>
      <c r="V30" s="8"/>
      <c r="W30" s="14"/>
      <c r="X30" s="14">
        <f>IF($P30="BIOGENICO",0,IF(ISNUMBER($S30),$N30*$S30/PARAMETROS!$B$8,""))</f>
        <v>1.48715084</v>
      </c>
      <c r="Y30" s="14">
        <f>IF($P30="BIOGENICO",IF(ISNUMBER($S30),$N30*$S30/PARAMETROS!$B$8,""),0)</f>
        <v>0.0</v>
      </c>
      <c r="Z30" s="14">
        <f>IF(ISNUMBER($T30),$N30*$T30/PARAMETROS!$B$8,"")</f>
        <v>0.000206836</v>
      </c>
      <c r="AA30" s="14">
        <f>IF(ISNUMBER($U30),$N30*$U30/PARAMETROS!$B$8,"")</f>
        <v>1.241016e-05</v>
      </c>
      <c r="AB30" s="14">
        <f>IF(COUNT($X30,$Z30,$AA30)=0,"",SUM($X30,IF(ISNUMBER($Z30),$Z30*PARAMETROS!$B$9,0),IF(ISNUMBER($AA30),$AA30*PARAMETROS!$B$10,0)))</f>
        <v>1.4962309404</v>
      </c>
      <c r="AC30" s="4" t="s">
        <v>1990</v>
      </c>
      <c r="AD30" s="4"/>
      <c r="AE30" s="4" t="s">
        <v>5690</v>
      </c>
      <c r="AF30" s="4" t="s">
        <v>170</v>
      </c>
      <c r="AG30" s="4" t="inlineStr">
        <is>
          <t>MARN_GTM_BTR1_2024</t>
        </is>
      </c>
      <c r="AH30" s="4" t="inlineStr">
        <is>
          <t>Origen de factores: CO2: MARN_GTM_BTR1_2024 [PRX; BTR1 Guatemala 2024, tabla 3.6, p. 48; fila Otro queroseno; gas CO2]; CH4: MARN_GTM_BTR1_2024 [PRX; BTR1 Guatemala 2024, tabla 3.33, p. 70; fila Otro queroseno; gas CH4]; N2O: MARN_GTM_BTR1_2024 [PRX; BTR1 Guatemala 2024, tabla 3.33, p. 70; fila Otro queroseno; gas N2O].</t>
        </is>
      </c>
    </row>
    <row r="31" customFormat="false" ht="15" hidden="false" customHeight="false" outlineLevel="0" collapsed="false">
      <c r="A31" s="4" t="s">
        <v>5717</v>
      </c>
      <c r="B31" s="12" t="n">
        <v>2018</v>
      </c>
      <c r="C31" s="4" t="s">
        <v>68</v>
      </c>
      <c r="D31" s="4" t="s">
        <v>5685</v>
      </c>
      <c r="E31" s="4" t="s">
        <v>3404</v>
      </c>
      <c r="F31" s="4" t="s">
        <v>3405</v>
      </c>
      <c r="G31" s="4" t="s">
        <v>95</v>
      </c>
      <c r="H31" s="4" t="s">
        <v>2111</v>
      </c>
      <c r="I31" s="4" t="s">
        <v>68</v>
      </c>
      <c r="J31" s="4" t="s">
        <v>2001</v>
      </c>
      <c r="K31" s="4" t="s">
        <v>2002</v>
      </c>
      <c r="L31" s="4" t="s">
        <v>314</v>
      </c>
      <c r="M31" s="14" t="n">
        <f aca="false">SUMIFS(PSUT_LARGA!$K$2:$K$618,PSUT_LARGA!$B$2:$B$618,$B31,PSUT_LARGA!$H$2:$H$618,$L31,PSUT_LARGA!$E$2:$E$618,$J31,PSUT_LARGA!$F$2:$F$618,$K31,PSUT_LARGA!$G$2:$G$618,$I31,PSUT_LARGA!$I$2:$I$618,$H31)</f>
        <v>6626.305</v>
      </c>
      <c r="N31" s="14" t="n">
        <f aca="false">IF($H31="TRANSFORMACION_REFINERIA",$M31*INDEX(PARAMETROS!$C$27:$C$33,MATCH($B31,PARAMETROS!$A$27:$A$33,0)),$M31)</f>
        <v>6626.305</v>
      </c>
      <c r="O31" s="4" t="inlineStr">
        <is>
          <t>COMB_COQUE</t>
        </is>
      </c>
      <c r="P31" s="4" t="s">
        <v>3352</v>
      </c>
      <c r="Q31" s="11" t="n">
        <f aca="false">MIN($B31,2022)</f>
        <v>2018</v>
      </c>
      <c r="R31" s="8" t="str">
        <f>IF(COUNT($S31:$U31)=0,"NO",IF($O31="CERO_DIRECTO","CAL",IF(OR($B31&gt;$Q31,COUNTIFS(DATOS_MODELO!$C$2:$C$3672,$Q31&amp;"|"&amp;$E31&amp;"|"&amp;$O31&amp;"|*",DATOS_MODELO!$F$2:$F$3672,"PRX",DATOS_MODELO!$AA$2:$AA$3672,"&lt;&gt;")&gt;0),"PRX",IF(COUNTIFS(DATOS_MODELO!$C$2:$C$3672,$Q31&amp;"|"&amp;$E31&amp;"|"&amp;$O31&amp;"|*",DATOS_MODELO!$F$2:$F$3672,"CAL",DATOS_MODELO!$AA$2:$AA$3672,"&lt;&gt;")&gt;0,"CAL","OBS"))))</f>
        <v>PRX</v>
      </c>
      <c r="S31" s="14">
        <f>IF(COUNTIFS(DATOS_MODELO!$C$2:$C$3672,$Q31&amp;"|"&amp;$E31&amp;"|"&amp;$O31&amp;"|CO2",DATOS_MODELO!$AA$2:$AA$3672,"&lt;&gt;")=0,"",INDEX(DATOS_MODELO!$AA$2:$AA$3672,MATCH($Q31&amp;"|"&amp;$E31&amp;"|"&amp;$O31&amp;"|CO2",DATOS_MODELO!$C$2:$C$3672,0)))</f>
        <v>97500.0</v>
      </c>
      <c r="T31" s="14">
        <f>IF(COUNTIFS(DATOS_MODELO!$C$2:$C$3672,$Q31&amp;"|"&amp;$E31&amp;"|"&amp;$O31&amp;"|CH4",DATOS_MODELO!$AA$2:$AA$3672,"&lt;&gt;")=0,"",INDEX(DATOS_MODELO!$AA$2:$AA$3672,MATCH($Q31&amp;"|"&amp;$E31&amp;"|"&amp;$O31&amp;"|CH4",DATOS_MODELO!$C$2:$C$3672,0)))</f>
        <v>3.0</v>
      </c>
      <c r="U31" s="14">
        <f>IF(COUNTIFS(DATOS_MODELO!$C$2:$C$3672,$Q31&amp;"|"&amp;$E31&amp;"|"&amp;$O31&amp;"|N2O",DATOS_MODELO!$AA$2:$AA$3672,"&lt;&gt;")=0,"",INDEX(DATOS_MODELO!$AA$2:$AA$3672,MATCH($Q31&amp;"|"&amp;$E31&amp;"|"&amp;$O31&amp;"|N2O",DATOS_MODELO!$C$2:$C$3672,0)))</f>
        <v>0.6</v>
      </c>
      <c r="V31" s="8"/>
      <c r="W31" s="14"/>
      <c r="X31" s="14">
        <f>IF($P31="BIOGENICO",0,IF(ISNUMBER($S31),$N31*$S31/PARAMETROS!$B$8,""))</f>
        <v>646.0647375</v>
      </c>
      <c r="Y31" s="14">
        <f>IF($P31="BIOGENICO",IF(ISNUMBER($S31),$N31*$S31/PARAMETROS!$B$8,""),0)</f>
        <v>0.0</v>
      </c>
      <c r="Z31" s="14">
        <f>IF(ISNUMBER($T31),$N31*$T31/PARAMETROS!$B$8,"")</f>
        <v>0.019878915</v>
      </c>
      <c r="AA31" s="14">
        <f>IF(ISNUMBER($U31),$N31*$U31/PARAMETROS!$B$8,"")</f>
        <v>0.003975783</v>
      </c>
      <c r="AB31" s="14">
        <f>IF(COUNT($X31,$Z31,$AA31)=0,"",SUM($X31,IF(ISNUMBER($Z31),$Z31*PARAMETROS!$B$9,0),IF(ISNUMBER($AA31),$AA31*PARAMETROS!$B$10,0)))</f>
        <v>647.674929615</v>
      </c>
      <c r="AC31" s="4" t="s">
        <v>1990</v>
      </c>
      <c r="AD31" s="4"/>
      <c r="AE31" s="4" t="s">
        <v>5690</v>
      </c>
      <c r="AF31" s="4" t="s">
        <v>170</v>
      </c>
      <c r="AG31" s="4" t="inlineStr">
        <is>
          <t>MARN_GTM_BTR1_2024</t>
        </is>
      </c>
      <c r="AH31" s="4" t="inlineStr">
        <is>
          <t>Origen de factores: CO2: MARN_GTM_BTR1_2024 [PRX; BTR1 Guatemala 2024, tabla 3.6, p. 48; fila Coque de petróleo; gas CO2]; CH4: MARN_GTM_BTR1_2024 [PRX; BTR1 Guatemala 2024, tabla 3.22, p. 62; fila Coque de petróleo; gas CH4]; N2O: MARN_GTM_BTR1_2024 [PRX; BTR1 Guatemala 2024, tabla 3.22, p. 62; fila Coque de petróleo; gas N2O].</t>
        </is>
      </c>
    </row>
    <row r="32" customFormat="false" ht="15" hidden="false" customHeight="false" outlineLevel="0" collapsed="false">
      <c r="A32" s="4" t="s">
        <v>5718</v>
      </c>
      <c r="B32" s="12" t="n">
        <v>2018</v>
      </c>
      <c r="C32" s="4" t="s">
        <v>68</v>
      </c>
      <c r="D32" s="4" t="s">
        <v>5685</v>
      </c>
      <c r="E32" s="4" t="s">
        <v>3404</v>
      </c>
      <c r="F32" s="4" t="s">
        <v>3405</v>
      </c>
      <c r="G32" s="4" t="s">
        <v>97</v>
      </c>
      <c r="H32" s="4" t="s">
        <v>2111</v>
      </c>
      <c r="I32" s="4" t="s">
        <v>68</v>
      </c>
      <c r="J32" s="4" t="s">
        <v>2001</v>
      </c>
      <c r="K32" s="4" t="s">
        <v>2002</v>
      </c>
      <c r="L32" s="4" t="s">
        <v>328</v>
      </c>
      <c r="M32" s="14" t="n">
        <f aca="false">SUMIFS(PSUT_LARGA!$K$2:$K$618,PSUT_LARGA!$B$2:$B$618,$B32,PSUT_LARGA!$H$2:$H$618,$L32,PSUT_LARGA!$E$2:$E$618,$J32,PSUT_LARGA!$F$2:$F$618,$K32,PSUT_LARGA!$G$2:$G$618,$I32,PSUT_LARGA!$I$2:$I$618,$H32)</f>
        <v>5767.2965</v>
      </c>
      <c r="N32" s="14" t="n">
        <f aca="false">IF($H32="TRANSFORMACION_REFINERIA",$M32*INDEX(PARAMETROS!$C$27:$C$33,MATCH($B32,PARAMETROS!$A$27:$A$33,0)),$M32)</f>
        <v>5767.2965</v>
      </c>
      <c r="O32" s="4" t="inlineStr">
        <is>
          <t>COMB_DOIL</t>
        </is>
      </c>
      <c r="P32" s="4" t="s">
        <v>3352</v>
      </c>
      <c r="Q32" s="11" t="n">
        <f aca="false">MIN($B32,2022)</f>
        <v>2018</v>
      </c>
      <c r="R32" s="8" t="str">
        <f>IF(COUNT($S32:$U32)=0,"NO",IF($O32="CERO_DIRECTO","CAL",IF(OR($B32&gt;$Q32,COUNTIFS(DATOS_MODELO!$C$2:$C$3672,$Q32&amp;"|"&amp;$E32&amp;"|"&amp;$O32&amp;"|*",DATOS_MODELO!$F$2:$F$3672,"PRX",DATOS_MODELO!$AA$2:$AA$3672,"&lt;&gt;")&gt;0),"PRX",IF(COUNTIFS(DATOS_MODELO!$C$2:$C$3672,$Q32&amp;"|"&amp;$E32&amp;"|"&amp;$O32&amp;"|*",DATOS_MODELO!$F$2:$F$3672,"CAL",DATOS_MODELO!$AA$2:$AA$3672,"&lt;&gt;")&gt;0,"CAL","OBS"))))</f>
        <v>PRX</v>
      </c>
      <c r="S32" s="14">
        <f>IF(COUNTIFS(DATOS_MODELO!$C$2:$C$3672,$Q32&amp;"|"&amp;$E32&amp;"|"&amp;$O32&amp;"|CO2",DATOS_MODELO!$AA$2:$AA$3672,"&lt;&gt;")=0,"",INDEX(DATOS_MODELO!$AA$2:$AA$3672,MATCH($Q32&amp;"|"&amp;$E32&amp;"|"&amp;$O32&amp;"|CO2",DATOS_MODELO!$C$2:$C$3672,0)))</f>
        <v>74100.0</v>
      </c>
      <c r="T32" s="14">
        <f>IF(COUNTIFS(DATOS_MODELO!$C$2:$C$3672,$Q32&amp;"|"&amp;$E32&amp;"|"&amp;$O32&amp;"|CH4",DATOS_MODELO!$AA$2:$AA$3672,"&lt;&gt;")=0,"",INDEX(DATOS_MODELO!$AA$2:$AA$3672,MATCH($Q32&amp;"|"&amp;$E32&amp;"|"&amp;$O32&amp;"|CH4",DATOS_MODELO!$C$2:$C$3672,0)))</f>
        <v>3.0</v>
      </c>
      <c r="U32" s="14">
        <f>IF(COUNTIFS(DATOS_MODELO!$C$2:$C$3672,$Q32&amp;"|"&amp;$E32&amp;"|"&amp;$O32&amp;"|N2O",DATOS_MODELO!$AA$2:$AA$3672,"&lt;&gt;")=0,"",INDEX(DATOS_MODELO!$AA$2:$AA$3672,MATCH($Q32&amp;"|"&amp;$E32&amp;"|"&amp;$O32&amp;"|N2O",DATOS_MODELO!$C$2:$C$3672,0)))</f>
        <v>0.6</v>
      </c>
      <c r="V32" s="8"/>
      <c r="W32" s="14"/>
      <c r="X32" s="14">
        <f>IF($P32="BIOGENICO",0,IF(ISNUMBER($S32),$N32*$S32/PARAMETROS!$B$8,""))</f>
        <v>427.35667065</v>
      </c>
      <c r="Y32" s="14">
        <f>IF($P32="BIOGENICO",IF(ISNUMBER($S32),$N32*$S32/PARAMETROS!$B$8,""),0)</f>
        <v>0.0</v>
      </c>
      <c r="Z32" s="14">
        <f>IF(ISNUMBER($T32),$N32*$T32/PARAMETROS!$B$8,"")</f>
        <v>0.0173018895</v>
      </c>
      <c r="AA32" s="14">
        <f>IF(ISNUMBER($U32),$N32*$U32/PARAMETROS!$B$8,"")</f>
        <v>0.0034603779</v>
      </c>
      <c r="AB32" s="14">
        <f>IF(COUNT($X32,$Z32,$AA32)=0,"",SUM($X32,IF(ISNUMBER($Z32),$Z32*PARAMETROS!$B$9,0),IF(ISNUMBER($AA32),$AA32*PARAMETROS!$B$10,0)))</f>
        <v>428.7581236995</v>
      </c>
      <c r="AC32" s="4" t="s">
        <v>1990</v>
      </c>
      <c r="AD32" s="4"/>
      <c r="AE32" s="4" t="s">
        <v>5690</v>
      </c>
      <c r="AF32" s="4" t="s">
        <v>170</v>
      </c>
      <c r="AG32" s="4" t="inlineStr">
        <is>
          <t>MARN_GTM_BTR1_2024</t>
        </is>
      </c>
      <c r="AH32" s="4" t="inlineStr">
        <is>
          <t>Origen de factores: CO2: MARN_GTM_BTR1_2024 [PRX; BTR1 Guatemala 2024, tabla 3.6, p. 48; fila Gas/Diésel oíl; gas CO2]; CH4: MARN_GTM_BTR1_2024 [PRX; BTR1 Guatemala 2024, tabla 3.22, p. 62; fila Diésel; gas CH4]; N2O: MARN_GTM_BTR1_2024 [PRX; BTR1 Guatemala 2024, tabla 3.22, p. 62; fila Diésel; gas N2O].</t>
        </is>
      </c>
    </row>
    <row r="33" customFormat="false" ht="23.85" hidden="false" customHeight="false" outlineLevel="0" collapsed="false">
      <c r="A33" s="4" t="s">
        <v>5719</v>
      </c>
      <c r="B33" s="12" t="n">
        <v>2018</v>
      </c>
      <c r="C33" s="4" t="s">
        <v>68</v>
      </c>
      <c r="D33" s="4" t="s">
        <v>5685</v>
      </c>
      <c r="E33" s="4" t="s">
        <v>3404</v>
      </c>
      <c r="F33" s="4" t="s">
        <v>3405</v>
      </c>
      <c r="G33" s="4" t="s">
        <v>99</v>
      </c>
      <c r="H33" s="4" t="s">
        <v>2111</v>
      </c>
      <c r="I33" s="4" t="s">
        <v>68</v>
      </c>
      <c r="J33" s="4" t="s">
        <v>2001</v>
      </c>
      <c r="K33" s="4" t="s">
        <v>2002</v>
      </c>
      <c r="L33" s="4" t="s">
        <v>342</v>
      </c>
      <c r="M33" s="14" t="n">
        <f aca="false">SUMIFS(PSUT_LARGA!$K$2:$K$618,PSUT_LARGA!$B$2:$B$618,$B33,PSUT_LARGA!$H$2:$H$618,$L33,PSUT_LARGA!$E$2:$E$618,$J33,PSUT_LARGA!$F$2:$F$618,$K33,PSUT_LARGA!$G$2:$G$618,$I33,PSUT_LARGA!$I$2:$I$618,$H33)</f>
        <v>13303.157</v>
      </c>
      <c r="N33" s="14" t="n">
        <f aca="false">IF($H33="TRANSFORMACION_REFINERIA",$M33*INDEX(PARAMETROS!$C$27:$C$33,MATCH($B33,PARAMETROS!$A$27:$A$33,0)),$M33)</f>
        <v>13303.157</v>
      </c>
      <c r="O33" s="4" t="s">
        <v>3362</v>
      </c>
      <c r="P33" s="4" t="s">
        <v>3363</v>
      </c>
      <c r="Q33" s="11" t="n">
        <f aca="false">MIN($B33,2022)</f>
        <v>2018</v>
      </c>
      <c r="R33" s="8" t="str">
        <f>IF(COUNT($S33:$U33)=0,"NO",IF($O33="CERO_DIRECTO","CAL",IF(OR($B33&gt;$Q33,COUNTIFS(DATOS_MODELO!$C$2:$C$3672,$Q33&amp;"|"&amp;$E33&amp;"|"&amp;$O33&amp;"|*",DATOS_MODELO!$F$2:$F$3672,"PRX",DATOS_MODELO!$AA$2:$AA$3672,"&lt;&gt;")&gt;0),"PRX",IF(COUNTIFS(DATOS_MODELO!$C$2:$C$3672,$Q33&amp;"|"&amp;$E33&amp;"|"&amp;$O33&amp;"|*",DATOS_MODELO!$F$2:$F$3672,"CAL",DATOS_MODELO!$AA$2:$AA$3672,"&lt;&gt;")&gt;0,"CAL","OBS"))))</f>
        <v>CAL</v>
      </c>
      <c r="S33" s="14">
        <f>IF(COUNTIFS(DATOS_MODELO!$C$2:$C$3672,$Q33&amp;"|"&amp;$E33&amp;"|"&amp;$O33&amp;"|CO2",DATOS_MODELO!$AA$2:$AA$3672,"&lt;&gt;")=0,"",INDEX(DATOS_MODELO!$AA$2:$AA$3672,MATCH($Q33&amp;"|"&amp;$E33&amp;"|"&amp;$O33&amp;"|CO2",DATOS_MODELO!$C$2:$C$3672,0)))</f>
        <v>0.0</v>
      </c>
      <c r="T33" s="14">
        <f>IF(COUNTIFS(DATOS_MODELO!$C$2:$C$3672,$Q33&amp;"|"&amp;$E33&amp;"|"&amp;$O33&amp;"|CH4",DATOS_MODELO!$AA$2:$AA$3672,"&lt;&gt;")=0,"",INDEX(DATOS_MODELO!$AA$2:$AA$3672,MATCH($Q33&amp;"|"&amp;$E33&amp;"|"&amp;$O33&amp;"|CH4",DATOS_MODELO!$C$2:$C$3672,0)))</f>
        <v>0.0</v>
      </c>
      <c r="U33" s="14">
        <f>IF(COUNTIFS(DATOS_MODELO!$C$2:$C$3672,$Q33&amp;"|"&amp;$E33&amp;"|"&amp;$O33&amp;"|N2O",DATOS_MODELO!$AA$2:$AA$3672,"&lt;&gt;")=0,"",INDEX(DATOS_MODELO!$AA$2:$AA$3672,MATCH($Q33&amp;"|"&amp;$E33&amp;"|"&amp;$O33&amp;"|N2O",DATOS_MODELO!$C$2:$C$3672,0)))</f>
        <v>0.0</v>
      </c>
      <c r="V33" s="8"/>
      <c r="W33" s="14"/>
      <c r="X33" s="14">
        <f>IF($P33="BIOGENICO",0,IF(ISNUMBER($S33),$N33*$S33/PARAMETROS!$B$8,""))</f>
        <v>0.0</v>
      </c>
      <c r="Y33" s="14">
        <f>IF($P33="BIOGENICO",IF(ISNUMBER($S33),$N33*$S33/PARAMETROS!$B$8,""),0)</f>
        <v>0.0</v>
      </c>
      <c r="Z33" s="14">
        <f>IF(ISNUMBER($T33),$N33*$T33/PARAMETROS!$B$8,"")</f>
        <v>0.0</v>
      </c>
      <c r="AA33" s="14">
        <f>IF(ISNUMBER($U33),$N33*$U33/PARAMETROS!$B$8,"")</f>
        <v>0.0</v>
      </c>
      <c r="AB33" s="14">
        <f>IF(COUNT($X33,$Z33,$AA33)=0,"",SUM($X33,IF(ISNUMBER($Z33),$Z33*PARAMETROS!$B$9,0),IF(ISNUMBER($AA33),$AA33*PARAMETROS!$B$10,0)))</f>
        <v>0.0</v>
      </c>
      <c r="AC33" s="4" t="s">
        <v>1990</v>
      </c>
      <c r="AD33" s="4"/>
      <c r="AE33" s="4" t="s">
        <v>3362</v>
      </c>
      <c r="AF33" s="4" t="s">
        <v>170</v>
      </c>
      <c r="AG33" s="4" t="inlineStr">
        <is>
          <t>METODO_EMISIONES</t>
        </is>
      </c>
      <c r="AH33" s="4"/>
    </row>
    <row r="34" customFormat="false" ht="15" hidden="false" customHeight="false" outlineLevel="0" collapsed="false">
      <c r="A34" s="4" t="s">
        <v>5720</v>
      </c>
      <c r="B34" s="12" t="n">
        <v>2018</v>
      </c>
      <c r="C34" s="4" t="s">
        <v>68</v>
      </c>
      <c r="D34" s="4" t="s">
        <v>5685</v>
      </c>
      <c r="E34" s="4" t="s">
        <v>3404</v>
      </c>
      <c r="F34" s="4" t="s">
        <v>3405</v>
      </c>
      <c r="G34" s="4" t="s">
        <v>101</v>
      </c>
      <c r="H34" s="4" t="s">
        <v>2111</v>
      </c>
      <c r="I34" s="4" t="s">
        <v>68</v>
      </c>
      <c r="J34" s="4" t="s">
        <v>2001</v>
      </c>
      <c r="K34" s="4" t="s">
        <v>2002</v>
      </c>
      <c r="L34" s="4" t="s">
        <v>356</v>
      </c>
      <c r="M34" s="14" t="n">
        <f aca="false">SUMIFS(PSUT_LARGA!$K$2:$K$618,PSUT_LARGA!$B$2:$B$618,$B34,PSUT_LARGA!$H$2:$H$618,$L34,PSUT_LARGA!$E$2:$E$618,$J34,PSUT_LARGA!$F$2:$F$618,$K34,PSUT_LARGA!$G$2:$G$618,$I34,PSUT_LARGA!$I$2:$I$618,$H34)</f>
        <v>6938.5344</v>
      </c>
      <c r="N34" s="14" t="n">
        <f aca="false">IF($H34="TRANSFORMACION_REFINERIA",$M34*INDEX(PARAMETROS!$C$27:$C$33,MATCH($B34,PARAMETROS!$A$27:$A$33,0)),$M34)</f>
        <v>6938.5344</v>
      </c>
      <c r="O34" s="4" t="inlineStr">
        <is>
          <t>COMB_FOIL</t>
        </is>
      </c>
      <c r="P34" s="4" t="s">
        <v>3352</v>
      </c>
      <c r="Q34" s="11" t="n">
        <f aca="false">MIN($B34,2022)</f>
        <v>2018</v>
      </c>
      <c r="R34" s="8" t="str">
        <f>IF(COUNT($S34:$U34)=0,"NO",IF($O34="CERO_DIRECTO","CAL",IF(OR($B34&gt;$Q34,COUNTIFS(DATOS_MODELO!$C$2:$C$3672,$Q34&amp;"|"&amp;$E34&amp;"|"&amp;$O34&amp;"|*",DATOS_MODELO!$F$2:$F$3672,"PRX",DATOS_MODELO!$AA$2:$AA$3672,"&lt;&gt;")&gt;0),"PRX",IF(COUNTIFS(DATOS_MODELO!$C$2:$C$3672,$Q34&amp;"|"&amp;$E34&amp;"|"&amp;$O34&amp;"|*",DATOS_MODELO!$F$2:$F$3672,"CAL",DATOS_MODELO!$AA$2:$AA$3672,"&lt;&gt;")&gt;0,"CAL","OBS"))))</f>
        <v>PRX</v>
      </c>
      <c r="S34" s="14">
        <f>IF(COUNTIFS(DATOS_MODELO!$C$2:$C$3672,$Q34&amp;"|"&amp;$E34&amp;"|"&amp;$O34&amp;"|CO2",DATOS_MODELO!$AA$2:$AA$3672,"&lt;&gt;")=0,"",INDEX(DATOS_MODELO!$AA$2:$AA$3672,MATCH($Q34&amp;"|"&amp;$E34&amp;"|"&amp;$O34&amp;"|CO2",DATOS_MODELO!$C$2:$C$3672,0)))</f>
        <v>77400.0</v>
      </c>
      <c r="T34" s="14">
        <f>IF(COUNTIFS(DATOS_MODELO!$C$2:$C$3672,$Q34&amp;"|"&amp;$E34&amp;"|"&amp;$O34&amp;"|CH4",DATOS_MODELO!$AA$2:$AA$3672,"&lt;&gt;")=0,"",INDEX(DATOS_MODELO!$AA$2:$AA$3672,MATCH($Q34&amp;"|"&amp;$E34&amp;"|"&amp;$O34&amp;"|CH4",DATOS_MODELO!$C$2:$C$3672,0)))</f>
        <v>3.0</v>
      </c>
      <c r="U34" s="14">
        <f>IF(COUNTIFS(DATOS_MODELO!$C$2:$C$3672,$Q34&amp;"|"&amp;$E34&amp;"|"&amp;$O34&amp;"|N2O",DATOS_MODELO!$AA$2:$AA$3672,"&lt;&gt;")=0,"",INDEX(DATOS_MODELO!$AA$2:$AA$3672,MATCH($Q34&amp;"|"&amp;$E34&amp;"|"&amp;$O34&amp;"|N2O",DATOS_MODELO!$C$2:$C$3672,0)))</f>
        <v>0.6</v>
      </c>
      <c r="V34" s="8"/>
      <c r="W34" s="14"/>
      <c r="X34" s="14">
        <f>IF($P34="BIOGENICO",0,IF(ISNUMBER($S34),$N34*$S34/PARAMETROS!$B$8,""))</f>
        <v>537.04256256</v>
      </c>
      <c r="Y34" s="14">
        <f>IF($P34="BIOGENICO",IF(ISNUMBER($S34),$N34*$S34/PARAMETROS!$B$8,""),0)</f>
        <v>0.0</v>
      </c>
      <c r="Z34" s="14">
        <f>IF(ISNUMBER($T34),$N34*$T34/PARAMETROS!$B$8,"")</f>
        <v>0.0208156032</v>
      </c>
      <c r="AA34" s="14">
        <f>IF(ISNUMBER($U34),$N34*$U34/PARAMETROS!$B$8,"")</f>
        <v>0.00416312064</v>
      </c>
      <c r="AB34" s="14">
        <f>IF(COUNT($X34,$Z34,$AA34)=0,"",SUM($X34,IF(ISNUMBER($Z34),$Z34*PARAMETROS!$B$9,0),IF(ISNUMBER($AA34),$AA34*PARAMETROS!$B$10,0)))</f>
        <v>538.7286264192</v>
      </c>
      <c r="AC34" s="4" t="s">
        <v>1990</v>
      </c>
      <c r="AD34" s="4"/>
      <c r="AE34" s="4" t="s">
        <v>5690</v>
      </c>
      <c r="AF34" s="4" t="s">
        <v>170</v>
      </c>
      <c r="AG34" s="4" t="inlineStr">
        <is>
          <t>MARN_GTM_BTR1_2024</t>
        </is>
      </c>
      <c r="AH34" s="4" t="inlineStr">
        <is>
          <t>Origen de factores: CO2: MARN_GTM_BTR1_2024 [PRX; BTR1 Guatemala 2024, tabla 3.6, p. 48; fila Fuelóleo residual; gas CO2]; CH4: MARN_GTM_BTR1_2024 [PRX; BTR1 Guatemala 2024, tabla 3.22, p. 62; fila Fuelóleo residual; gas CH4]; N2O: MARN_GTM_BTR1_2024 [PRX; BTR1 Guatemala 2024, tabla 3.22, p. 62; fila Fuelóleo residual; gas N2O].</t>
        </is>
      </c>
    </row>
    <row r="35" customFormat="false" ht="15" hidden="false" customHeight="false" outlineLevel="0" collapsed="false">
      <c r="A35" s="4" t="s">
        <v>5721</v>
      </c>
      <c r="B35" s="12" t="n">
        <v>2018</v>
      </c>
      <c r="C35" s="4" t="s">
        <v>68</v>
      </c>
      <c r="D35" s="4" t="s">
        <v>5685</v>
      </c>
      <c r="E35" s="4" t="s">
        <v>3404</v>
      </c>
      <c r="F35" s="4" t="s">
        <v>3405</v>
      </c>
      <c r="G35" s="4" t="s">
        <v>103</v>
      </c>
      <c r="H35" s="4" t="s">
        <v>2111</v>
      </c>
      <c r="I35" s="4" t="s">
        <v>68</v>
      </c>
      <c r="J35" s="4" t="s">
        <v>2001</v>
      </c>
      <c r="K35" s="4" t="s">
        <v>2002</v>
      </c>
      <c r="L35" s="4" t="s">
        <v>370</v>
      </c>
      <c r="M35" s="14" t="n">
        <f aca="false">SUMIFS(PSUT_LARGA!$K$2:$K$618,PSUT_LARGA!$B$2:$B$618,$B35,PSUT_LARGA!$H$2:$H$618,$L35,PSUT_LARGA!$E$2:$E$618,$J35,PSUT_LARGA!$F$2:$F$618,$K35,PSUT_LARGA!$G$2:$G$618,$I35,PSUT_LARGA!$I$2:$I$618,$H35)</f>
        <v>1406.8334</v>
      </c>
      <c r="N35" s="14" t="n">
        <f aca="false">IF($H35="TRANSFORMACION_REFINERIA",$M35*INDEX(PARAMETROS!$C$27:$C$33,MATCH($B35,PARAMETROS!$A$27:$A$33,0)),$M35)</f>
        <v>1406.8334</v>
      </c>
      <c r="O35" s="4" t="inlineStr">
        <is>
          <t>COMB_GAS</t>
        </is>
      </c>
      <c r="P35" s="4" t="s">
        <v>3352</v>
      </c>
      <c r="Q35" s="11" t="n">
        <f aca="false">MIN($B35,2022)</f>
        <v>2018</v>
      </c>
      <c r="R35" s="8" t="str">
        <f>IF(COUNT($S35:$U35)=0,"NO",IF($O35="CERO_DIRECTO","CAL",IF(OR($B35&gt;$Q35,COUNTIFS(DATOS_MODELO!$C$2:$C$3672,$Q35&amp;"|"&amp;$E35&amp;"|"&amp;$O35&amp;"|*",DATOS_MODELO!$F$2:$F$3672,"PRX",DATOS_MODELO!$AA$2:$AA$3672,"&lt;&gt;")&gt;0),"PRX",IF(COUNTIFS(DATOS_MODELO!$C$2:$C$3672,$Q35&amp;"|"&amp;$E35&amp;"|"&amp;$O35&amp;"|*",DATOS_MODELO!$F$2:$F$3672,"CAL",DATOS_MODELO!$AA$2:$AA$3672,"&lt;&gt;")&gt;0,"CAL","OBS"))))</f>
        <v>PRX</v>
      </c>
      <c r="S35" s="14">
        <f>IF(COUNTIFS(DATOS_MODELO!$C$2:$C$3672,$Q35&amp;"|"&amp;$E35&amp;"|"&amp;$O35&amp;"|CO2",DATOS_MODELO!$AA$2:$AA$3672,"&lt;&gt;")=0,"",INDEX(DATOS_MODELO!$AA$2:$AA$3672,MATCH($Q35&amp;"|"&amp;$E35&amp;"|"&amp;$O35&amp;"|CO2",DATOS_MODELO!$C$2:$C$3672,0)))</f>
        <v>69300.0</v>
      </c>
      <c r="T35" s="14">
        <f>IF(COUNTIFS(DATOS_MODELO!$C$2:$C$3672,$Q35&amp;"|"&amp;$E35&amp;"|"&amp;$O35&amp;"|CH4",DATOS_MODELO!$AA$2:$AA$3672,"&lt;&gt;")=0,"",INDEX(DATOS_MODELO!$AA$2:$AA$3672,MATCH($Q35&amp;"|"&amp;$E35&amp;"|"&amp;$O35&amp;"|CH4",DATOS_MODELO!$C$2:$C$3672,0)))</f>
        <v>3.0</v>
      </c>
      <c r="U35" s="14">
        <f>IF(COUNTIFS(DATOS_MODELO!$C$2:$C$3672,$Q35&amp;"|"&amp;$E35&amp;"|"&amp;$O35&amp;"|N2O",DATOS_MODELO!$AA$2:$AA$3672,"&lt;&gt;")=0,"",INDEX(DATOS_MODELO!$AA$2:$AA$3672,MATCH($Q35&amp;"|"&amp;$E35&amp;"|"&amp;$O35&amp;"|N2O",DATOS_MODELO!$C$2:$C$3672,0)))</f>
        <v>0.6</v>
      </c>
      <c r="V35" s="8"/>
      <c r="W35" s="14"/>
      <c r="X35" s="14">
        <f>IF($P35="BIOGENICO",0,IF(ISNUMBER($S35),$N35*$S35/PARAMETROS!$B$8,""))</f>
        <v>97.49355462</v>
      </c>
      <c r="Y35" s="14">
        <f>IF($P35="BIOGENICO",IF(ISNUMBER($S35),$N35*$S35/PARAMETROS!$B$8,""),0)</f>
        <v>0.0</v>
      </c>
      <c r="Z35" s="14">
        <f>IF(ISNUMBER($T35),$N35*$T35/PARAMETROS!$B$8,"")</f>
        <v>0.0042205002</v>
      </c>
      <c r="AA35" s="14">
        <f>IF(ISNUMBER($U35),$N35*$U35/PARAMETROS!$B$8,"")</f>
        <v>0.00084410004</v>
      </c>
      <c r="AB35" s="14">
        <f>IF(COUNT($X35,$Z35,$AA35)=0,"",SUM($X35,IF(ISNUMBER($Z35),$Z35*PARAMETROS!$B$9,0),IF(ISNUMBER($AA35),$AA35*PARAMETROS!$B$10,0)))</f>
        <v>97.8354151362</v>
      </c>
      <c r="AC35" s="4" t="s">
        <v>1990</v>
      </c>
      <c r="AD35" s="4"/>
      <c r="AE35" s="4" t="s">
        <v>5690</v>
      </c>
      <c r="AF35" s="4" t="s">
        <v>170</v>
      </c>
      <c r="AG35" s="4" t="inlineStr">
        <is>
          <t>MARN_GTM_BTR1_2024</t>
        </is>
      </c>
      <c r="AH35" s="4" t="inlineStr">
        <is>
          <t>Origen de factores: CO2: MARN_GTM_BTR1_2024 [PRX; BTR1 Guatemala 2024, tabla 3.6, p. 48; fila Gasolina para motores; gas CO2]; CH4: MARN_GTM_BTR1_2024 [PRX; BTR1 Guatemala 2024, tabla 3.22, p. 62; fila Gasolina para motores; gas CH4]; N2O: MARN_GTM_BTR1_2024 [PRX; BTR1 Guatemala 2024, tabla 3.22, p. 62; fila Gasolina para motores; gas N2O].</t>
        </is>
      </c>
    </row>
    <row r="36" customFormat="false" ht="15" hidden="false" customHeight="false" outlineLevel="0" collapsed="false">
      <c r="A36" s="4" t="s">
        <v>5722</v>
      </c>
      <c r="B36" s="12" t="n">
        <v>2018</v>
      </c>
      <c r="C36" s="4" t="s">
        <v>68</v>
      </c>
      <c r="D36" s="4" t="s">
        <v>5685</v>
      </c>
      <c r="E36" s="4" t="s">
        <v>3404</v>
      </c>
      <c r="F36" s="4" t="s">
        <v>3405</v>
      </c>
      <c r="G36" s="4" t="s">
        <v>105</v>
      </c>
      <c r="H36" s="4" t="s">
        <v>2111</v>
      </c>
      <c r="I36" s="4" t="s">
        <v>68</v>
      </c>
      <c r="J36" s="4" t="s">
        <v>2001</v>
      </c>
      <c r="K36" s="4" t="s">
        <v>2002</v>
      </c>
      <c r="L36" s="4" t="s">
        <v>384</v>
      </c>
      <c r="M36" s="14" t="n">
        <f aca="false">SUMIFS(PSUT_LARGA!$K$2:$K$618,PSUT_LARGA!$B$2:$B$618,$B36,PSUT_LARGA!$H$2:$H$618,$L36,PSUT_LARGA!$E$2:$E$618,$J36,PSUT_LARGA!$F$2:$F$618,$K36,PSUT_LARGA!$G$2:$G$618,$I36,PSUT_LARGA!$I$2:$I$618,$H36)</f>
        <v>3732.1697</v>
      </c>
      <c r="N36" s="14" t="n">
        <f aca="false">IF($H36="TRANSFORMACION_REFINERIA",$M36*INDEX(PARAMETROS!$C$27:$C$33,MATCH($B36,PARAMETROS!$A$27:$A$33,0)),$M36)</f>
        <v>3732.1697</v>
      </c>
      <c r="O36" s="4" t="inlineStr">
        <is>
          <t>COMB_GLP</t>
        </is>
      </c>
      <c r="P36" s="4" t="s">
        <v>3352</v>
      </c>
      <c r="Q36" s="11" t="n">
        <f aca="false">MIN($B36,2022)</f>
        <v>2018</v>
      </c>
      <c r="R36" s="8" t="str">
        <f>IF(COUNT($S36:$U36)=0,"NO",IF($O36="CERO_DIRECTO","CAL",IF(OR($B36&gt;$Q36,COUNTIFS(DATOS_MODELO!$C$2:$C$3672,$Q36&amp;"|"&amp;$E36&amp;"|"&amp;$O36&amp;"|*",DATOS_MODELO!$F$2:$F$3672,"PRX",DATOS_MODELO!$AA$2:$AA$3672,"&lt;&gt;")&gt;0),"PRX",IF(COUNTIFS(DATOS_MODELO!$C$2:$C$3672,$Q36&amp;"|"&amp;$E36&amp;"|"&amp;$O36&amp;"|*",DATOS_MODELO!$F$2:$F$3672,"CAL",DATOS_MODELO!$AA$2:$AA$3672,"&lt;&gt;")&gt;0,"CAL","OBS"))))</f>
        <v>PRX</v>
      </c>
      <c r="S36" s="14">
        <f>IF(COUNTIFS(DATOS_MODELO!$C$2:$C$3672,$Q36&amp;"|"&amp;$E36&amp;"|"&amp;$O36&amp;"|CO2",DATOS_MODELO!$AA$2:$AA$3672,"&lt;&gt;")=0,"",INDEX(DATOS_MODELO!$AA$2:$AA$3672,MATCH($Q36&amp;"|"&amp;$E36&amp;"|"&amp;$O36&amp;"|CO2",DATOS_MODELO!$C$2:$C$3672,0)))</f>
        <v>63100.0</v>
      </c>
      <c r="T36" s="14">
        <f>IF(COUNTIFS(DATOS_MODELO!$C$2:$C$3672,$Q36&amp;"|"&amp;$E36&amp;"|"&amp;$O36&amp;"|CH4",DATOS_MODELO!$AA$2:$AA$3672,"&lt;&gt;")=0,"",INDEX(DATOS_MODELO!$AA$2:$AA$3672,MATCH($Q36&amp;"|"&amp;$E36&amp;"|"&amp;$O36&amp;"|CH4",DATOS_MODELO!$C$2:$C$3672,0)))</f>
        <v>1.0</v>
      </c>
      <c r="U36" s="14">
        <f>IF(COUNTIFS(DATOS_MODELO!$C$2:$C$3672,$Q36&amp;"|"&amp;$E36&amp;"|"&amp;$O36&amp;"|N2O",DATOS_MODELO!$AA$2:$AA$3672,"&lt;&gt;")=0,"",INDEX(DATOS_MODELO!$AA$2:$AA$3672,MATCH($Q36&amp;"|"&amp;$E36&amp;"|"&amp;$O36&amp;"|N2O",DATOS_MODELO!$C$2:$C$3672,0)))</f>
        <v>0.1</v>
      </c>
      <c r="V36" s="8"/>
      <c r="W36" s="14"/>
      <c r="X36" s="14">
        <f>IF($P36="BIOGENICO",0,IF(ISNUMBER($S36),$N36*$S36/PARAMETROS!$B$8,""))</f>
        <v>235.49990807</v>
      </c>
      <c r="Y36" s="14">
        <f>IF($P36="BIOGENICO",IF(ISNUMBER($S36),$N36*$S36/PARAMETROS!$B$8,""),0)</f>
        <v>0.0</v>
      </c>
      <c r="Z36" s="14">
        <f>IF(ISNUMBER($T36),$N36*$T36/PARAMETROS!$B$8,"")</f>
        <v>0.0037321697</v>
      </c>
      <c r="AA36" s="14">
        <f>IF(ISNUMBER($U36),$N36*$U36/PARAMETROS!$B$8,"")</f>
        <v>0.00037321697</v>
      </c>
      <c r="AB36" s="14">
        <f>IF(COUNT($X36,$Z36,$AA36)=0,"",SUM($X36,IF(ISNUMBER($Z36),$Z36*PARAMETROS!$B$9,0),IF(ISNUMBER($AA36),$AA36*PARAMETROS!$B$10,0)))</f>
        <v>235.70331131865</v>
      </c>
      <c r="AC36" s="4" t="s">
        <v>1990</v>
      </c>
      <c r="AD36" s="4"/>
      <c r="AE36" s="4" t="s">
        <v>5690</v>
      </c>
      <c r="AF36" s="4" t="s">
        <v>170</v>
      </c>
      <c r="AG36" s="4" t="inlineStr">
        <is>
          <t>MARN_GTM_BTR1_2024</t>
        </is>
      </c>
      <c r="AH36" s="4" t="inlineStr">
        <is>
          <t>Origen de factores: CO2: MARN_GTM_BTR1_2024 [PRX; BTR1 Guatemala 2024, tabla 3.6, p. 48; fila Gases licuados de petróleo; gas CO2]; CH4: MARN_GTM_BTR1_2024 [PRX; BTR1 Guatemala 2024, tabla 3.22, p. 62; fila Gases licuados de petróleo; gas CH4]; N2O: MARN_GTM_BTR1_2024 [PRX; BTR1 Guatemala 2024, tabla 3.22, p. 62; fila Gases licuados de petróleo; gas N2O].</t>
        </is>
      </c>
    </row>
    <row r="37" customFormat="false" ht="15" hidden="false" customHeight="false" outlineLevel="0" collapsed="false">
      <c r="A37" s="4" t="s">
        <v>5723</v>
      </c>
      <c r="B37" s="12" t="n">
        <v>2018</v>
      </c>
      <c r="C37" s="4" t="s">
        <v>68</v>
      </c>
      <c r="D37" s="4" t="s">
        <v>5685</v>
      </c>
      <c r="E37" s="4" t="s">
        <v>3404</v>
      </c>
      <c r="F37" s="4" t="s">
        <v>3405</v>
      </c>
      <c r="G37" s="4" t="s">
        <v>107</v>
      </c>
      <c r="H37" s="4" t="s">
        <v>2111</v>
      </c>
      <c r="I37" s="4" t="s">
        <v>68</v>
      </c>
      <c r="J37" s="4" t="s">
        <v>2001</v>
      </c>
      <c r="K37" s="4" t="s">
        <v>2002</v>
      </c>
      <c r="L37" s="4" t="s">
        <v>398</v>
      </c>
      <c r="M37" s="14" t="n">
        <f aca="false">SUMIFS(PSUT_LARGA!$K$2:$K$618,PSUT_LARGA!$B$2:$B$618,$B37,PSUT_LARGA!$H$2:$H$618,$L37,PSUT_LARGA!$E$2:$E$618,$J37,PSUT_LARGA!$F$2:$F$618,$K37,PSUT_LARGA!$G$2:$G$618,$I37,PSUT_LARGA!$I$2:$I$618,$H37)</f>
        <v>2.9631</v>
      </c>
      <c r="N37" s="14" t="n">
        <f aca="false">IF($H37="TRANSFORMACION_REFINERIA",$M37*INDEX(PARAMETROS!$C$27:$C$33,MATCH($B37,PARAMETROS!$A$27:$A$33,0)),$M37)</f>
        <v>2.9631</v>
      </c>
      <c r="O37" s="4" t="inlineStr">
        <is>
          <t>COMB_KER</t>
        </is>
      </c>
      <c r="P37" s="4" t="s">
        <v>3352</v>
      </c>
      <c r="Q37" s="11" t="n">
        <f aca="false">MIN($B37,2022)</f>
        <v>2018</v>
      </c>
      <c r="R37" s="8" t="str">
        <f>IF(COUNT($S37:$U37)=0,"NO",IF($O37="CERO_DIRECTO","CAL",IF(OR($B37&gt;$Q37,COUNTIFS(DATOS_MODELO!$C$2:$C$3672,$Q37&amp;"|"&amp;$E37&amp;"|"&amp;$O37&amp;"|*",DATOS_MODELO!$F$2:$F$3672,"PRX",DATOS_MODELO!$AA$2:$AA$3672,"&lt;&gt;")&gt;0),"PRX",IF(COUNTIFS(DATOS_MODELO!$C$2:$C$3672,$Q37&amp;"|"&amp;$E37&amp;"|"&amp;$O37&amp;"|*",DATOS_MODELO!$F$2:$F$3672,"CAL",DATOS_MODELO!$AA$2:$AA$3672,"&lt;&gt;")&gt;0,"CAL","OBS"))))</f>
        <v>PRX</v>
      </c>
      <c r="S37" s="14">
        <f>IF(COUNTIFS(DATOS_MODELO!$C$2:$C$3672,$Q37&amp;"|"&amp;$E37&amp;"|"&amp;$O37&amp;"|CO2",DATOS_MODELO!$AA$2:$AA$3672,"&lt;&gt;")=0,"",INDEX(DATOS_MODELO!$AA$2:$AA$3672,MATCH($Q37&amp;"|"&amp;$E37&amp;"|"&amp;$O37&amp;"|CO2",DATOS_MODELO!$C$2:$C$3672,0)))</f>
        <v>71900.0</v>
      </c>
      <c r="T37" s="14">
        <f>IF(COUNTIFS(DATOS_MODELO!$C$2:$C$3672,$Q37&amp;"|"&amp;$E37&amp;"|"&amp;$O37&amp;"|CH4",DATOS_MODELO!$AA$2:$AA$3672,"&lt;&gt;")=0,"",INDEX(DATOS_MODELO!$AA$2:$AA$3672,MATCH($Q37&amp;"|"&amp;$E37&amp;"|"&amp;$O37&amp;"|CH4",DATOS_MODELO!$C$2:$C$3672,0)))</f>
        <v>3.0</v>
      </c>
      <c r="U37" s="14">
        <f>IF(COUNTIFS(DATOS_MODELO!$C$2:$C$3672,$Q37&amp;"|"&amp;$E37&amp;"|"&amp;$O37&amp;"|N2O",DATOS_MODELO!$AA$2:$AA$3672,"&lt;&gt;")=0,"",INDEX(DATOS_MODELO!$AA$2:$AA$3672,MATCH($Q37&amp;"|"&amp;$E37&amp;"|"&amp;$O37&amp;"|N2O",DATOS_MODELO!$C$2:$C$3672,0)))</f>
        <v>0.6</v>
      </c>
      <c r="V37" s="8"/>
      <c r="W37" s="14"/>
      <c r="X37" s="14">
        <f>IF($P37="BIOGENICO",0,IF(ISNUMBER($S37),$N37*$S37/PARAMETROS!$B$8,""))</f>
        <v>0.21304689</v>
      </c>
      <c r="Y37" s="14">
        <f>IF($P37="BIOGENICO",IF(ISNUMBER($S37),$N37*$S37/PARAMETROS!$B$8,""),0)</f>
        <v>0.0</v>
      </c>
      <c r="Z37" s="14">
        <f>IF(ISNUMBER($T37),$N37*$T37/PARAMETROS!$B$8,"")</f>
        <v>8.8893e-06</v>
      </c>
      <c r="AA37" s="14">
        <f>IF(ISNUMBER($U37),$N37*$U37/PARAMETROS!$B$8,"")</f>
        <v>1.77786e-06</v>
      </c>
      <c r="AB37" s="14">
        <f>IF(COUNT($X37,$Z37,$AA37)=0,"",SUM($X37,IF(ISNUMBER($Z37),$Z37*PARAMETROS!$B$9,0),IF(ISNUMBER($AA37),$AA37*PARAMETROS!$B$10,0)))</f>
        <v>0.2137669233</v>
      </c>
      <c r="AC37" s="4" t="s">
        <v>1990</v>
      </c>
      <c r="AD37" s="4"/>
      <c r="AE37" s="4" t="s">
        <v>5690</v>
      </c>
      <c r="AF37" s="4" t="s">
        <v>170</v>
      </c>
      <c r="AG37" s="4" t="inlineStr">
        <is>
          <t>MARN_GTM_BTR1_2024</t>
        </is>
      </c>
      <c r="AH37" s="4" t="inlineStr">
        <is>
          <t>Origen de factores: CO2: MARN_GTM_BTR1_2024 [PRX; BTR1 Guatemala 2024, tabla 3.6, p. 48; fila Otro queroseno; gas CO2]; CH4: MARN_GTM_BTR1_2024 [PRX; BTR1 Guatemala 2024, tabla 3.22, p. 62; fila Otro queroseno; gas CH4]; N2O: MARN_GTM_BTR1_2024 [PRX; BTR1 Guatemala 2024, tabla 3.22, p. 62; fila Otro queroseno; gas N2O].</t>
        </is>
      </c>
    </row>
    <row r="38" customFormat="false" ht="15" hidden="false" customHeight="false" outlineLevel="0" collapsed="false">
      <c r="A38" s="4" t="s">
        <v>5724</v>
      </c>
      <c r="B38" s="12" t="n">
        <v>2018</v>
      </c>
      <c r="C38" s="4" t="s">
        <v>72</v>
      </c>
      <c r="D38" s="4" t="s">
        <v>5685</v>
      </c>
      <c r="E38" s="4" t="s">
        <v>3383</v>
      </c>
      <c r="F38" s="4" t="s">
        <v>3384</v>
      </c>
      <c r="G38" s="4" t="s">
        <v>109</v>
      </c>
      <c r="H38" s="4" t="s">
        <v>2079</v>
      </c>
      <c r="I38" s="4" t="s">
        <v>72</v>
      </c>
      <c r="J38" s="4" t="s">
        <v>2001</v>
      </c>
      <c r="K38" s="4" t="s">
        <v>2002</v>
      </c>
      <c r="L38" s="4" t="s">
        <v>271</v>
      </c>
      <c r="M38" s="14" t="n">
        <f aca="false">SUMIFS(PSUT_LARGA!$K$2:$K$618,PSUT_LARGA!$B$2:$B$618,$B38,PSUT_LARGA!$H$2:$H$618,$L38,PSUT_LARGA!$E$2:$E$618,$J38,PSUT_LARGA!$F$2:$F$618,$K38,PSUT_LARGA!$G$2:$G$618,$I38,PSUT_LARGA!$I$2:$I$618,$H38)</f>
        <v>8692.6315</v>
      </c>
      <c r="N38" s="14" t="n">
        <f aca="false">IF($H38="TRANSFORMACION_REFINERIA",$M38*INDEX(PARAMETROS!$C$27:$C$33,MATCH($B38,PARAMETROS!$A$27:$A$33,0)),$M38)</f>
        <v>8692.6315</v>
      </c>
      <c r="O38" s="4" t="s">
        <v>3343</v>
      </c>
      <c r="P38" s="4" t="s">
        <v>3344</v>
      </c>
      <c r="Q38" s="11" t="n">
        <f aca="false">MIN($B38,2022)</f>
        <v>2018</v>
      </c>
      <c r="R38" s="8" t="str">
        <f>IF(COUNT($S38:$U38)=0,"NO",IF($O38="CERO_DIRECTO","CAL",IF(OR($B38&gt;$Q38,COUNTIFS(DATOS_MODELO!$C$2:$C$3672,$Q38&amp;"|"&amp;$E38&amp;"|"&amp;$O38&amp;"|*",DATOS_MODELO!$F$2:$F$3672,"PRX",DATOS_MODELO!$AA$2:$AA$3672,"&lt;&gt;")&gt;0),"PRX",IF(COUNTIFS(DATOS_MODELO!$C$2:$C$3672,$Q38&amp;"|"&amp;$E38&amp;"|"&amp;$O38&amp;"|*",DATOS_MODELO!$F$2:$F$3672,"CAL",DATOS_MODELO!$AA$2:$AA$3672,"&lt;&gt;")&gt;0,"CAL","OBS"))))</f>
        <v>OBS</v>
      </c>
      <c r="S38" s="14">
        <f>IF(COUNTIFS(DATOS_MODELO!$C$2:$C$3672,$Q38&amp;"|"&amp;$E38&amp;"|"&amp;$O38&amp;"|CO2",DATOS_MODELO!$AA$2:$AA$3672,"&lt;&gt;")=0,"",INDEX(DATOS_MODELO!$AA$2:$AA$3672,MATCH($Q38&amp;"|"&amp;$E38&amp;"|"&amp;$O38&amp;"|CO2",DATOS_MODELO!$C$2:$C$3672,0)))</f>
        <v>112000.000101235</v>
      </c>
      <c r="T38" s="14">
        <f>IF(COUNTIFS(DATOS_MODELO!$C$2:$C$3672,$Q38&amp;"|"&amp;$E38&amp;"|"&amp;$O38&amp;"|CH4",DATOS_MODELO!$AA$2:$AA$3672,"&lt;&gt;")=0,"",INDEX(DATOS_MODELO!$AA$2:$AA$3672,MATCH($Q38&amp;"|"&amp;$E38&amp;"|"&amp;$O38&amp;"|CH4",DATOS_MODELO!$C$2:$C$3672,0)))</f>
        <v>299.99999965488</v>
      </c>
      <c r="U38" s="14">
        <f>IF(COUNTIFS(DATOS_MODELO!$C$2:$C$3672,$Q38&amp;"|"&amp;$E38&amp;"|"&amp;$O38&amp;"|N2O",DATOS_MODELO!$AA$2:$AA$3672,"&lt;&gt;")=0,"",INDEX(DATOS_MODELO!$AA$2:$AA$3672,MATCH($Q38&amp;"|"&amp;$E38&amp;"|"&amp;$O38&amp;"|N2O",DATOS_MODELO!$C$2:$C$3672,0)))</f>
        <v>4.00000045555799</v>
      </c>
      <c r="V38" s="8"/>
      <c r="W38" s="14"/>
      <c r="X38" s="14">
        <f>IF($P38="BIOGENICO",0,IF(ISNUMBER($S38),$N38*$S38/PARAMETROS!$B$8,""))</f>
        <v>0.0</v>
      </c>
      <c r="Y38" s="14">
        <f>IF($P38="BIOGENICO",IF(ISNUMBER($S38),$N38*$S38/PARAMETROS!$B$8,""),0)</f>
        <v>973.57472888</v>
      </c>
      <c r="Z38" s="14">
        <f>IF(ISNUMBER($T38),$N38*$T38/PARAMETROS!$B$8,"")</f>
        <v>2.607789447</v>
      </c>
      <c r="AA38" s="14">
        <f>IF(ISNUMBER($U38),$N38*$U38/PARAMETROS!$B$8,"")</f>
        <v>0.0347705299599977</v>
      </c>
      <c r="AB38" s="14">
        <f>IF(COUNT($X38,$Z38,$AA38)=0,"",SUM($X38,IF(ISNUMBER($Z38),$Z38*PARAMETROS!$B$9,0),IF(ISNUMBER($AA38),$AA38*PARAMETROS!$B$10,0)))</f>
        <v>82.2322949553994</v>
      </c>
      <c r="AC38" s="4" t="s">
        <v>1990</v>
      </c>
      <c r="AD38" s="4"/>
      <c r="AE38" s="4" t="s">
        <v>5690</v>
      </c>
      <c r="AF38" s="4" t="s">
        <v>170</v>
      </c>
      <c r="AG38" s="4" t="s">
        <v>3999</v>
      </c>
      <c r="AH38" s="4"/>
    </row>
    <row r="39" customFormat="false" ht="23.85" hidden="false" customHeight="false" outlineLevel="0" collapsed="false">
      <c r="A39" s="4" t="s">
        <v>5725</v>
      </c>
      <c r="B39" s="12" t="n">
        <v>2018</v>
      </c>
      <c r="C39" s="4" t="s">
        <v>72</v>
      </c>
      <c r="D39" s="4" t="s">
        <v>5685</v>
      </c>
      <c r="E39" s="4" t="s">
        <v>3383</v>
      </c>
      <c r="F39" s="4" t="s">
        <v>3384</v>
      </c>
      <c r="G39" s="4" t="s">
        <v>99</v>
      </c>
      <c r="H39" s="4" t="s">
        <v>2079</v>
      </c>
      <c r="I39" s="4" t="s">
        <v>72</v>
      </c>
      <c r="J39" s="4" t="s">
        <v>2001</v>
      </c>
      <c r="K39" s="4" t="s">
        <v>2002</v>
      </c>
      <c r="L39" s="4" t="s">
        <v>341</v>
      </c>
      <c r="M39" s="14" t="n">
        <f aca="false">SUMIFS(PSUT_LARGA!$K$2:$K$618,PSUT_LARGA!$B$2:$B$618,$B39,PSUT_LARGA!$H$2:$H$618,$L39,PSUT_LARGA!$E$2:$E$618,$J39,PSUT_LARGA!$F$2:$F$618,$K39,PSUT_LARGA!$G$2:$G$618,$I39,PSUT_LARGA!$I$2:$I$618,$H39)</f>
        <v>10273.0096</v>
      </c>
      <c r="N39" s="14" t="n">
        <f aca="false">IF($H39="TRANSFORMACION_REFINERIA",$M39*INDEX(PARAMETROS!$C$27:$C$33,MATCH($B39,PARAMETROS!$A$27:$A$33,0)),$M39)</f>
        <v>10273.0096</v>
      </c>
      <c r="O39" s="4" t="s">
        <v>3362</v>
      </c>
      <c r="P39" s="4" t="s">
        <v>3363</v>
      </c>
      <c r="Q39" s="11" t="n">
        <f aca="false">MIN($B39,2022)</f>
        <v>2018</v>
      </c>
      <c r="R39" s="8" t="str">
        <f>IF(COUNT($S39:$U39)=0,"NO",IF($O39="CERO_DIRECTO","CAL",IF(OR($B39&gt;$Q39,COUNTIFS(DATOS_MODELO!$C$2:$C$3672,$Q39&amp;"|"&amp;$E39&amp;"|"&amp;$O39&amp;"|*",DATOS_MODELO!$F$2:$F$3672,"PRX",DATOS_MODELO!$AA$2:$AA$3672,"&lt;&gt;")&gt;0),"PRX",IF(COUNTIFS(DATOS_MODELO!$C$2:$C$3672,$Q39&amp;"|"&amp;$E39&amp;"|"&amp;$O39&amp;"|*",DATOS_MODELO!$F$2:$F$3672,"CAL",DATOS_MODELO!$AA$2:$AA$3672,"&lt;&gt;")&gt;0,"CAL","OBS"))))</f>
        <v>CAL</v>
      </c>
      <c r="S39" s="14">
        <f>IF(COUNTIFS(DATOS_MODELO!$C$2:$C$3672,$Q39&amp;"|"&amp;$E39&amp;"|"&amp;$O39&amp;"|CO2",DATOS_MODELO!$AA$2:$AA$3672,"&lt;&gt;")=0,"",INDEX(DATOS_MODELO!$AA$2:$AA$3672,MATCH($Q39&amp;"|"&amp;$E39&amp;"|"&amp;$O39&amp;"|CO2",DATOS_MODELO!$C$2:$C$3672,0)))</f>
        <v>0.0</v>
      </c>
      <c r="T39" s="14">
        <f>IF(COUNTIFS(DATOS_MODELO!$C$2:$C$3672,$Q39&amp;"|"&amp;$E39&amp;"|"&amp;$O39&amp;"|CH4",DATOS_MODELO!$AA$2:$AA$3672,"&lt;&gt;")=0,"",INDEX(DATOS_MODELO!$AA$2:$AA$3672,MATCH($Q39&amp;"|"&amp;$E39&amp;"|"&amp;$O39&amp;"|CH4",DATOS_MODELO!$C$2:$C$3672,0)))</f>
        <v>0.0</v>
      </c>
      <c r="U39" s="14">
        <f>IF(COUNTIFS(DATOS_MODELO!$C$2:$C$3672,$Q39&amp;"|"&amp;$E39&amp;"|"&amp;$O39&amp;"|N2O",DATOS_MODELO!$AA$2:$AA$3672,"&lt;&gt;")=0,"",INDEX(DATOS_MODELO!$AA$2:$AA$3672,MATCH($Q39&amp;"|"&amp;$E39&amp;"|"&amp;$O39&amp;"|N2O",DATOS_MODELO!$C$2:$C$3672,0)))</f>
        <v>0.0</v>
      </c>
      <c r="V39" s="8"/>
      <c r="W39" s="14"/>
      <c r="X39" s="14">
        <f>IF($P39="BIOGENICO",0,IF(ISNUMBER($S39),$N39*$S39/PARAMETROS!$B$8,""))</f>
        <v>0.0</v>
      </c>
      <c r="Y39" s="14">
        <f>IF($P39="BIOGENICO",IF(ISNUMBER($S39),$N39*$S39/PARAMETROS!$B$8,""),0)</f>
        <v>0.0</v>
      </c>
      <c r="Z39" s="14">
        <f>IF(ISNUMBER($T39),$N39*$T39/PARAMETROS!$B$8,"")</f>
        <v>0.0</v>
      </c>
      <c r="AA39" s="14">
        <f>IF(ISNUMBER($U39),$N39*$U39/PARAMETROS!$B$8,"")</f>
        <v>0.0</v>
      </c>
      <c r="AB39" s="14">
        <f>IF(COUNT($X39,$Z39,$AA39)=0,"",SUM($X39,IF(ISNUMBER($Z39),$Z39*PARAMETROS!$B$9,0),IF(ISNUMBER($AA39),$AA39*PARAMETROS!$B$10,0)))</f>
        <v>0.0</v>
      </c>
      <c r="AC39" s="4" t="s">
        <v>1990</v>
      </c>
      <c r="AD39" s="4"/>
      <c r="AE39" s="4" t="s">
        <v>3362</v>
      </c>
      <c r="AF39" s="4" t="s">
        <v>170</v>
      </c>
      <c r="AG39" s="4" t="inlineStr">
        <is>
          <t>METODO_EMISIONES</t>
        </is>
      </c>
      <c r="AH39" s="4"/>
    </row>
    <row r="40" customFormat="false" ht="15" hidden="false" customHeight="false" outlineLevel="0" collapsed="false">
      <c r="A40" s="4" t="s">
        <v>5726</v>
      </c>
      <c r="B40" s="12" t="n">
        <v>2018</v>
      </c>
      <c r="C40" s="4" t="s">
        <v>72</v>
      </c>
      <c r="D40" s="4" t="s">
        <v>5685</v>
      </c>
      <c r="E40" s="4" t="s">
        <v>3383</v>
      </c>
      <c r="F40" s="4" t="s">
        <v>3384</v>
      </c>
      <c r="G40" s="4" t="s">
        <v>103</v>
      </c>
      <c r="H40" s="4" t="s">
        <v>2079</v>
      </c>
      <c r="I40" s="4" t="s">
        <v>72</v>
      </c>
      <c r="J40" s="4" t="s">
        <v>2001</v>
      </c>
      <c r="K40" s="4" t="s">
        <v>2002</v>
      </c>
      <c r="L40" s="4" t="s">
        <v>369</v>
      </c>
      <c r="M40" s="14" t="n">
        <f aca="false">SUMIFS(PSUT_LARGA!$K$2:$K$618,PSUT_LARGA!$B$2:$B$618,$B40,PSUT_LARGA!$H$2:$H$618,$L40,PSUT_LARGA!$E$2:$E$618,$J40,PSUT_LARGA!$F$2:$F$618,$K40,PSUT_LARGA!$G$2:$G$618,$I40,PSUT_LARGA!$I$2:$I$618,$H40)</f>
        <v>351.6793</v>
      </c>
      <c r="N40" s="14" t="n">
        <f aca="false">IF($H40="TRANSFORMACION_REFINERIA",$M40*INDEX(PARAMETROS!$C$27:$C$33,MATCH($B40,PARAMETROS!$A$27:$A$33,0)),$M40)</f>
        <v>351.6793</v>
      </c>
      <c r="O40" s="4" t="inlineStr">
        <is>
          <t>COMB_GAS</t>
        </is>
      </c>
      <c r="P40" s="4" t="s">
        <v>3352</v>
      </c>
      <c r="Q40" s="11" t="n">
        <f aca="false">MIN($B40,2022)</f>
        <v>2018</v>
      </c>
      <c r="R40" s="8" t="str">
        <f>IF(COUNT($S40:$U40)=0,"NO",IF($O40="CERO_DIRECTO","CAL",IF(OR($B40&gt;$Q40,COUNTIFS(DATOS_MODELO!$C$2:$C$3672,$Q40&amp;"|"&amp;$E40&amp;"|"&amp;$O40&amp;"|*",DATOS_MODELO!$F$2:$F$3672,"PRX",DATOS_MODELO!$AA$2:$AA$3672,"&lt;&gt;")&gt;0),"PRX",IF(COUNTIFS(DATOS_MODELO!$C$2:$C$3672,$Q40&amp;"|"&amp;$E40&amp;"|"&amp;$O40&amp;"|*",DATOS_MODELO!$F$2:$F$3672,"CAL",DATOS_MODELO!$AA$2:$AA$3672,"&lt;&gt;")&gt;0,"CAL","OBS"))))</f>
        <v>PRX</v>
      </c>
      <c r="S40" s="14">
        <f>IF(COUNTIFS(DATOS_MODELO!$C$2:$C$3672,$Q40&amp;"|"&amp;$E40&amp;"|"&amp;$O40&amp;"|CO2",DATOS_MODELO!$AA$2:$AA$3672,"&lt;&gt;")=0,"",INDEX(DATOS_MODELO!$AA$2:$AA$3672,MATCH($Q40&amp;"|"&amp;$E40&amp;"|"&amp;$O40&amp;"|CO2",DATOS_MODELO!$C$2:$C$3672,0)))</f>
        <v>69300.0</v>
      </c>
      <c r="T40" s="14">
        <f>IF(COUNTIFS(DATOS_MODELO!$C$2:$C$3672,$Q40&amp;"|"&amp;$E40&amp;"|"&amp;$O40&amp;"|CH4",DATOS_MODELO!$AA$2:$AA$3672,"&lt;&gt;")=0,"",INDEX(DATOS_MODELO!$AA$2:$AA$3672,MATCH($Q40&amp;"|"&amp;$E40&amp;"|"&amp;$O40&amp;"|CH4",DATOS_MODELO!$C$2:$C$3672,0)))</f>
        <v>10.0</v>
      </c>
      <c r="U40" s="14">
        <f>IF(COUNTIFS(DATOS_MODELO!$C$2:$C$3672,$Q40&amp;"|"&amp;$E40&amp;"|"&amp;$O40&amp;"|N2O",DATOS_MODELO!$AA$2:$AA$3672,"&lt;&gt;")=0,"",INDEX(DATOS_MODELO!$AA$2:$AA$3672,MATCH($Q40&amp;"|"&amp;$E40&amp;"|"&amp;$O40&amp;"|N2O",DATOS_MODELO!$C$2:$C$3672,0)))</f>
        <v>0.6</v>
      </c>
      <c r="V40" s="8"/>
      <c r="W40" s="14"/>
      <c r="X40" s="14">
        <f>IF($P40="BIOGENICO",0,IF(ISNUMBER($S40),$N40*$S40/PARAMETROS!$B$8,""))</f>
        <v>24.37137549</v>
      </c>
      <c r="Y40" s="14">
        <f>IF($P40="BIOGENICO",IF(ISNUMBER($S40),$N40*$S40/PARAMETROS!$B$8,""),0)</f>
        <v>0.0</v>
      </c>
      <c r="Z40" s="14">
        <f>IF(ISNUMBER($T40),$N40*$T40/PARAMETROS!$B$8,"")</f>
        <v>0.003516793</v>
      </c>
      <c r="AA40" s="14">
        <f>IF(ISNUMBER($U40),$N40*$U40/PARAMETROS!$B$8,"")</f>
        <v>0.00021100758</v>
      </c>
      <c r="AB40" s="14">
        <f>IF(COUNT($X40,$Z40,$AA40)=0,"",SUM($X40,IF(ISNUMBER($Z40),$Z40*PARAMETROS!$B$9,0),IF(ISNUMBER($AA40),$AA40*PARAMETROS!$B$10,0)))</f>
        <v>24.5257627027</v>
      </c>
      <c r="AC40" s="4" t="s">
        <v>1990</v>
      </c>
      <c r="AD40" s="4"/>
      <c r="AE40" s="4" t="s">
        <v>5690</v>
      </c>
      <c r="AF40" s="4" t="s">
        <v>170</v>
      </c>
      <c r="AG40" s="4" t="inlineStr">
        <is>
          <t>MARN_GTM_BTR1_2024</t>
        </is>
      </c>
      <c r="AH40" s="4" t="inlineStr">
        <is>
          <t>Origen de factores: CO2: MARN_GTM_BTR1_2024 [PRX; BTR1 Guatemala 2024, tabla 3.6, p. 48; fila Gasolina para motores; gas CO2]; CH4: MARN_GTM_BTR1_2024 [PRX; BTR1 Guatemala 2024, tabla 3.33, p. 70; fila Gasolina para motores; gas CH4]; N2O: MARN_GTM_BTR1_2024 [PRX; BTR1 Guatemala 2024, tabla 3.33, p. 70; fila Gasolina para motores; gas N2O].</t>
        </is>
      </c>
    </row>
    <row r="41" customFormat="false" ht="15" hidden="false" customHeight="false" outlineLevel="0" collapsed="false">
      <c r="A41" s="4" t="s">
        <v>5727</v>
      </c>
      <c r="B41" s="12" t="n">
        <v>2018</v>
      </c>
      <c r="C41" s="4" t="s">
        <v>72</v>
      </c>
      <c r="D41" s="4" t="s">
        <v>5685</v>
      </c>
      <c r="E41" s="4" t="s">
        <v>3383</v>
      </c>
      <c r="F41" s="4" t="s">
        <v>3384</v>
      </c>
      <c r="G41" s="4" t="s">
        <v>105</v>
      </c>
      <c r="H41" s="4" t="s">
        <v>2079</v>
      </c>
      <c r="I41" s="4" t="s">
        <v>72</v>
      </c>
      <c r="J41" s="4" t="s">
        <v>2001</v>
      </c>
      <c r="K41" s="4" t="s">
        <v>2002</v>
      </c>
      <c r="L41" s="4" t="s">
        <v>383</v>
      </c>
      <c r="M41" s="14" t="n">
        <f aca="false">SUMIFS(PSUT_LARGA!$K$2:$K$618,PSUT_LARGA!$B$2:$B$618,$B41,PSUT_LARGA!$H$2:$H$618,$L41,PSUT_LARGA!$E$2:$E$618,$J41,PSUT_LARGA!$F$2:$F$618,$K41,PSUT_LARGA!$G$2:$G$618,$I41,PSUT_LARGA!$I$2:$I$618,$H41)</f>
        <v>373.2344</v>
      </c>
      <c r="N41" s="14" t="n">
        <f aca="false">IF($H41="TRANSFORMACION_REFINERIA",$M41*INDEX(PARAMETROS!$C$27:$C$33,MATCH($B41,PARAMETROS!$A$27:$A$33,0)),$M41)</f>
        <v>373.2344</v>
      </c>
      <c r="O41" s="4" t="inlineStr">
        <is>
          <t>COMB_GLP</t>
        </is>
      </c>
      <c r="P41" s="4" t="s">
        <v>3352</v>
      </c>
      <c r="Q41" s="11" t="n">
        <f aca="false">MIN($B41,2022)</f>
        <v>2018</v>
      </c>
      <c r="R41" s="8" t="str">
        <f>IF(COUNT($S41:$U41)=0,"NO",IF($O41="CERO_DIRECTO","CAL",IF(OR($B41&gt;$Q41,COUNTIFS(DATOS_MODELO!$C$2:$C$3672,$Q41&amp;"|"&amp;$E41&amp;"|"&amp;$O41&amp;"|*",DATOS_MODELO!$F$2:$F$3672,"PRX",DATOS_MODELO!$AA$2:$AA$3672,"&lt;&gt;")&gt;0),"PRX",IF(COUNTIFS(DATOS_MODELO!$C$2:$C$3672,$Q41&amp;"|"&amp;$E41&amp;"|"&amp;$O41&amp;"|*",DATOS_MODELO!$F$2:$F$3672,"CAL",DATOS_MODELO!$AA$2:$AA$3672,"&lt;&gt;")&gt;0,"CAL","OBS"))))</f>
        <v>PRX</v>
      </c>
      <c r="S41" s="14">
        <f>IF(COUNTIFS(DATOS_MODELO!$C$2:$C$3672,$Q41&amp;"|"&amp;$E41&amp;"|"&amp;$O41&amp;"|CO2",DATOS_MODELO!$AA$2:$AA$3672,"&lt;&gt;")=0,"",INDEX(DATOS_MODELO!$AA$2:$AA$3672,MATCH($Q41&amp;"|"&amp;$E41&amp;"|"&amp;$O41&amp;"|CO2",DATOS_MODELO!$C$2:$C$3672,0)))</f>
        <v>63100.0</v>
      </c>
      <c r="T41" s="14">
        <f>IF(COUNTIFS(DATOS_MODELO!$C$2:$C$3672,$Q41&amp;"|"&amp;$E41&amp;"|"&amp;$O41&amp;"|CH4",DATOS_MODELO!$AA$2:$AA$3672,"&lt;&gt;")=0,"",INDEX(DATOS_MODELO!$AA$2:$AA$3672,MATCH($Q41&amp;"|"&amp;$E41&amp;"|"&amp;$O41&amp;"|CH4",DATOS_MODELO!$C$2:$C$3672,0)))</f>
        <v>5.0</v>
      </c>
      <c r="U41" s="14">
        <f>IF(COUNTIFS(DATOS_MODELO!$C$2:$C$3672,$Q41&amp;"|"&amp;$E41&amp;"|"&amp;$O41&amp;"|N2O",DATOS_MODELO!$AA$2:$AA$3672,"&lt;&gt;")=0,"",INDEX(DATOS_MODELO!$AA$2:$AA$3672,MATCH($Q41&amp;"|"&amp;$E41&amp;"|"&amp;$O41&amp;"|N2O",DATOS_MODELO!$C$2:$C$3672,0)))</f>
        <v>0.1</v>
      </c>
      <c r="V41" s="8"/>
      <c r="W41" s="14"/>
      <c r="X41" s="14">
        <f>IF($P41="BIOGENICO",0,IF(ISNUMBER($S41),$N41*$S41/PARAMETROS!$B$8,""))</f>
        <v>23.55109064</v>
      </c>
      <c r="Y41" s="14">
        <f>IF($P41="BIOGENICO",IF(ISNUMBER($S41),$N41*$S41/PARAMETROS!$B$8,""),0)</f>
        <v>0.0</v>
      </c>
      <c r="Z41" s="14">
        <f>IF(ISNUMBER($T41),$N41*$T41/PARAMETROS!$B$8,"")</f>
        <v>0.001866172</v>
      </c>
      <c r="AA41" s="14">
        <f>IF(ISNUMBER($U41),$N41*$U41/PARAMETROS!$B$8,"")</f>
        <v>3.732344e-05</v>
      </c>
      <c r="AB41" s="14">
        <f>IF(COUNT($X41,$Z41,$AA41)=0,"",SUM($X41,IF(ISNUMBER($Z41),$Z41*PARAMETROS!$B$9,0),IF(ISNUMBER($AA41),$AA41*PARAMETROS!$B$10,0)))</f>
        <v>23.6132341676</v>
      </c>
      <c r="AC41" s="4" t="s">
        <v>1990</v>
      </c>
      <c r="AD41" s="4"/>
      <c r="AE41" s="4" t="s">
        <v>5690</v>
      </c>
      <c r="AF41" s="4" t="s">
        <v>170</v>
      </c>
      <c r="AG41" s="4" t="inlineStr">
        <is>
          <t>MARN_GTM_BTR1_2024</t>
        </is>
      </c>
      <c r="AH41" s="4" t="inlineStr">
        <is>
          <t>Origen de factores: CO2: MARN_GTM_BTR1_2024 [PRX; BTR1 Guatemala 2024, tabla 3.6, p. 48; fila Gases licuados de petróleo; gas CO2]; CH4: MARN_GTM_BTR1_2024 [PRX; BTR1 Guatemala 2024, tabla 3.33, p. 70; fila Gases licuados de petróleo; gas CH4]; N2O: MARN_GTM_BTR1_2024 [PRX; BTR1 Guatemala 2024, tabla 3.33, p. 70; fila Gases licuados de petróleo; gas N2O].</t>
        </is>
      </c>
    </row>
    <row r="42" customFormat="false" ht="15" hidden="false" customHeight="false" outlineLevel="0" collapsed="false">
      <c r="A42" s="4" t="s">
        <v>5728</v>
      </c>
      <c r="B42" s="12" t="n">
        <v>2018</v>
      </c>
      <c r="C42" s="4" t="s">
        <v>72</v>
      </c>
      <c r="D42" s="4" t="s">
        <v>5685</v>
      </c>
      <c r="E42" s="4" t="s">
        <v>3383</v>
      </c>
      <c r="F42" s="4" t="s">
        <v>3384</v>
      </c>
      <c r="G42" s="4" t="s">
        <v>107</v>
      </c>
      <c r="H42" s="4" t="s">
        <v>2079</v>
      </c>
      <c r="I42" s="4" t="s">
        <v>72</v>
      </c>
      <c r="J42" s="4" t="s">
        <v>2001</v>
      </c>
      <c r="K42" s="4" t="s">
        <v>2002</v>
      </c>
      <c r="L42" s="4" t="s">
        <v>397</v>
      </c>
      <c r="M42" s="14" t="n">
        <f aca="false">SUMIFS(PSUT_LARGA!$K$2:$K$618,PSUT_LARGA!$B$2:$B$618,$B42,PSUT_LARGA!$H$2:$H$618,$L42,PSUT_LARGA!$E$2:$E$618,$J42,PSUT_LARGA!$F$2:$F$618,$K42,PSUT_LARGA!$G$2:$G$618,$I42,PSUT_LARGA!$I$2:$I$618,$H42)</f>
        <v>0.9877</v>
      </c>
      <c r="N42" s="14" t="n">
        <f aca="false">IF($H42="TRANSFORMACION_REFINERIA",$M42*INDEX(PARAMETROS!$C$27:$C$33,MATCH($B42,PARAMETROS!$A$27:$A$33,0)),$M42)</f>
        <v>0.9877</v>
      </c>
      <c r="O42" s="4" t="inlineStr">
        <is>
          <t>COMB_KER</t>
        </is>
      </c>
      <c r="P42" s="4" t="s">
        <v>3352</v>
      </c>
      <c r="Q42" s="11" t="n">
        <f aca="false">MIN($B42,2022)</f>
        <v>2018</v>
      </c>
      <c r="R42" s="8" t="str">
        <f>IF(COUNT($S42:$U42)=0,"NO",IF($O42="CERO_DIRECTO","CAL",IF(OR($B42&gt;$Q42,COUNTIFS(DATOS_MODELO!$C$2:$C$3672,$Q42&amp;"|"&amp;$E42&amp;"|"&amp;$O42&amp;"|*",DATOS_MODELO!$F$2:$F$3672,"PRX",DATOS_MODELO!$AA$2:$AA$3672,"&lt;&gt;")&gt;0),"PRX",IF(COUNTIFS(DATOS_MODELO!$C$2:$C$3672,$Q42&amp;"|"&amp;$E42&amp;"|"&amp;$O42&amp;"|*",DATOS_MODELO!$F$2:$F$3672,"CAL",DATOS_MODELO!$AA$2:$AA$3672,"&lt;&gt;")&gt;0,"CAL","OBS"))))</f>
        <v>PRX</v>
      </c>
      <c r="S42" s="14">
        <f>IF(COUNTIFS(DATOS_MODELO!$C$2:$C$3672,$Q42&amp;"|"&amp;$E42&amp;"|"&amp;$O42&amp;"|CO2",DATOS_MODELO!$AA$2:$AA$3672,"&lt;&gt;")=0,"",INDEX(DATOS_MODELO!$AA$2:$AA$3672,MATCH($Q42&amp;"|"&amp;$E42&amp;"|"&amp;$O42&amp;"|CO2",DATOS_MODELO!$C$2:$C$3672,0)))</f>
        <v>71900.0</v>
      </c>
      <c r="T42" s="14">
        <f>IF(COUNTIFS(DATOS_MODELO!$C$2:$C$3672,$Q42&amp;"|"&amp;$E42&amp;"|"&amp;$O42&amp;"|CH4",DATOS_MODELO!$AA$2:$AA$3672,"&lt;&gt;")=0,"",INDEX(DATOS_MODELO!$AA$2:$AA$3672,MATCH($Q42&amp;"|"&amp;$E42&amp;"|"&amp;$O42&amp;"|CH4",DATOS_MODELO!$C$2:$C$3672,0)))</f>
        <v>10.0</v>
      </c>
      <c r="U42" s="14">
        <f>IF(COUNTIFS(DATOS_MODELO!$C$2:$C$3672,$Q42&amp;"|"&amp;$E42&amp;"|"&amp;$O42&amp;"|N2O",DATOS_MODELO!$AA$2:$AA$3672,"&lt;&gt;")=0,"",INDEX(DATOS_MODELO!$AA$2:$AA$3672,MATCH($Q42&amp;"|"&amp;$E42&amp;"|"&amp;$O42&amp;"|N2O",DATOS_MODELO!$C$2:$C$3672,0)))</f>
        <v>0.6</v>
      </c>
      <c r="V42" s="8"/>
      <c r="W42" s="14"/>
      <c r="X42" s="14">
        <f>IF($P42="BIOGENICO",0,IF(ISNUMBER($S42),$N42*$S42/PARAMETROS!$B$8,""))</f>
        <v>0.07101563</v>
      </c>
      <c r="Y42" s="14">
        <f>IF($P42="BIOGENICO",IF(ISNUMBER($S42),$N42*$S42/PARAMETROS!$B$8,""),0)</f>
        <v>0.0</v>
      </c>
      <c r="Z42" s="14">
        <f>IF(ISNUMBER($T42),$N42*$T42/PARAMETROS!$B$8,"")</f>
        <v>9.877e-06</v>
      </c>
      <c r="AA42" s="14">
        <f>IF(ISNUMBER($U42),$N42*$U42/PARAMETROS!$B$8,"")</f>
        <v>5.9262e-07</v>
      </c>
      <c r="AB42" s="14">
        <f>IF(COUNT($X42,$Z42,$AA42)=0,"",SUM($X42,IF(ISNUMBER($Z42),$Z42*PARAMETROS!$B$9,0),IF(ISNUMBER($AA42),$AA42*PARAMETROS!$B$10,0)))</f>
        <v>0.0714492303</v>
      </c>
      <c r="AC42" s="4" t="s">
        <v>1990</v>
      </c>
      <c r="AD42" s="4"/>
      <c r="AE42" s="4" t="s">
        <v>5690</v>
      </c>
      <c r="AF42" s="4" t="s">
        <v>170</v>
      </c>
      <c r="AG42" s="4" t="inlineStr">
        <is>
          <t>MARN_GTM_BTR1_2024</t>
        </is>
      </c>
      <c r="AH42" s="4" t="inlineStr">
        <is>
          <t>Origen de factores: CO2: MARN_GTM_BTR1_2024 [PRX; BTR1 Guatemala 2024, tabla 3.6, p. 48; fila Otro queroseno; gas CO2]; CH4: MARN_GTM_BTR1_2024 [PRX; BTR1 Guatemala 2024, tabla 3.33, p. 70; fila Otro queroseno; gas CH4]; N2O: MARN_GTM_BTR1_2024 [PRX; BTR1 Guatemala 2024, tabla 3.33, p. 70; fila Otro queroseno; gas N2O].</t>
        </is>
      </c>
    </row>
    <row r="43" customFormat="false" ht="15" hidden="false" customHeight="false" outlineLevel="0" collapsed="false">
      <c r="A43" s="4" t="s">
        <v>5729</v>
      </c>
      <c r="B43" s="12" t="n">
        <v>2018</v>
      </c>
      <c r="C43" s="4" t="s">
        <v>71</v>
      </c>
      <c r="D43" s="4" t="s">
        <v>5685</v>
      </c>
      <c r="E43" s="4" t="s">
        <v>3412</v>
      </c>
      <c r="F43" s="4" t="s">
        <v>3413</v>
      </c>
      <c r="G43" s="4" t="s">
        <v>97</v>
      </c>
      <c r="H43" s="4" t="s">
        <v>2123</v>
      </c>
      <c r="I43" s="4" t="s">
        <v>71</v>
      </c>
      <c r="J43" s="4" t="s">
        <v>2001</v>
      </c>
      <c r="K43" s="4" t="s">
        <v>2002</v>
      </c>
      <c r="L43" s="4" t="s">
        <v>325</v>
      </c>
      <c r="M43" s="14" t="n">
        <f aca="false">SUMIFS(PSUT_LARGA!$K$2:$K$618,PSUT_LARGA!$B$2:$B$618,$B43,PSUT_LARGA!$H$2:$H$618,$L43,PSUT_LARGA!$E$2:$E$618,$J43,PSUT_LARGA!$F$2:$F$618,$K43,PSUT_LARGA!$G$2:$G$618,$I43,PSUT_LARGA!$I$2:$I$618,$H43)</f>
        <v>66323.7064</v>
      </c>
      <c r="N43" s="14" t="n">
        <f aca="false">IF($H43="TRANSFORMACION_REFINERIA",$M43*INDEX(PARAMETROS!$C$27:$C$33,MATCH($B43,PARAMETROS!$A$27:$A$33,0)),$M43)</f>
        <v>66323.7064</v>
      </c>
      <c r="O43" s="4" t="inlineStr">
        <is>
          <t>COMB_DOIL</t>
        </is>
      </c>
      <c r="P43" s="4" t="s">
        <v>3352</v>
      </c>
      <c r="Q43" s="11" t="n">
        <f aca="false">MIN($B43,2022)</f>
        <v>2018</v>
      </c>
      <c r="R43" s="8" t="str">
        <f>IF(COUNT($S43:$U43)=0,"NO",IF($O43="CERO_DIRECTO","CAL",IF(OR($B43&gt;$Q43,COUNTIFS(DATOS_MODELO!$C$2:$C$3672,$Q43&amp;"|"&amp;$E43&amp;"|"&amp;$O43&amp;"|*",DATOS_MODELO!$F$2:$F$3672,"PRX",DATOS_MODELO!$AA$2:$AA$3672,"&lt;&gt;")&gt;0),"PRX",IF(COUNTIFS(DATOS_MODELO!$C$2:$C$3672,$Q43&amp;"|"&amp;$E43&amp;"|"&amp;$O43&amp;"|*",DATOS_MODELO!$F$2:$F$3672,"CAL",DATOS_MODELO!$AA$2:$AA$3672,"&lt;&gt;")&gt;0,"CAL","OBS"))))</f>
        <v>OBS</v>
      </c>
      <c r="S43" s="14">
        <f>IF(COUNTIFS(DATOS_MODELO!$C$2:$C$3672,$Q43&amp;"|"&amp;$E43&amp;"|"&amp;$O43&amp;"|CO2",DATOS_MODELO!$AA$2:$AA$3672,"&lt;&gt;")=0,"",INDEX(DATOS_MODELO!$AA$2:$AA$3672,MATCH($Q43&amp;"|"&amp;$E43&amp;"|"&amp;$O43&amp;"|CO2",DATOS_MODELO!$C$2:$C$3672,0)))</f>
        <v>74099.999965774</v>
      </c>
      <c r="T43" s="14">
        <f>IF(COUNTIFS(DATOS_MODELO!$C$2:$C$3672,$Q43&amp;"|"&amp;$E43&amp;"|"&amp;$O43&amp;"|CH4",DATOS_MODELO!$AA$2:$AA$3672,"&lt;&gt;")=0,"",INDEX(DATOS_MODELO!$AA$2:$AA$3672,MATCH($Q43&amp;"|"&amp;$E43&amp;"|"&amp;$O43&amp;"|CH4",DATOS_MODELO!$C$2:$C$3672,0)))</f>
        <v>3.89999993471418</v>
      </c>
      <c r="U43" s="14">
        <f>IF(COUNTIFS(DATOS_MODELO!$C$2:$C$3672,$Q43&amp;"|"&amp;$E43&amp;"|"&amp;$O43&amp;"|N2O",DATOS_MODELO!$AA$2:$AA$3672,"&lt;&gt;")=0,"",INDEX(DATOS_MODELO!$AA$2:$AA$3672,MATCH($Q43&amp;"|"&amp;$E43&amp;"|"&amp;$O43&amp;"|N2O",DATOS_MODELO!$C$2:$C$3672,0)))</f>
        <v>3.89999993471418</v>
      </c>
      <c r="V43" s="8"/>
      <c r="W43" s="14"/>
      <c r="X43" s="14">
        <f>IF($P43="BIOGENICO",0,IF(ISNUMBER($S43),$N43*$S43/PARAMETROS!$B$8,""))</f>
        <v>4914.58664197</v>
      </c>
      <c r="Y43" s="14">
        <f>IF($P43="BIOGENICO",IF(ISNUMBER($S43),$N43*$S43/PARAMETROS!$B$8,""),0)</f>
        <v>0.0</v>
      </c>
      <c r="Z43" s="14">
        <f>IF(ISNUMBER($T43),$N43*$T43/PARAMETROS!$B$8,"")</f>
        <v>0.258662450630003</v>
      </c>
      <c r="AA43" s="14">
        <f>IF(ISNUMBER($U43),$N43*$U43/PARAMETROS!$B$8,"")</f>
        <v>0.258662450630003</v>
      </c>
      <c r="AB43" s="14">
        <f>IF(COUNT($X43,$Z43,$AA43)=0,"",SUM($X43,IF(ISNUMBER($Z43),$Z43*PARAMETROS!$B$9,0),IF(ISNUMBER($AA43),$AA43*PARAMETROS!$B$10,0)))</f>
        <v>4990.37474000459</v>
      </c>
      <c r="AC43" s="4" t="s">
        <v>1990</v>
      </c>
      <c r="AD43" s="4"/>
      <c r="AE43" s="4" t="s">
        <v>5690</v>
      </c>
      <c r="AF43" s="4" t="s">
        <v>170</v>
      </c>
      <c r="AG43" s="4" t="s">
        <v>3999</v>
      </c>
      <c r="AH43" s="4" t="inlineStr">
        <is>
          <t>Origen de factores: CO2: UNFCCC_GTM_CRT_2024 [OBS; GTM-CRT-2024-V0.3-2018-20250304-084824_started.xlsx; Table1.A(a)s3; AD=C22; EM=H22; IEF=E22]; CH4: UNFCCC_GTM_CRT_2024 [OBS; GTM-CRT-2024-V0.3-2018-20250304-084824_started.xlsx; Table1.A(a)s3; AD=C22; EM=I22; IEF=F22]; N2O: UNFCCC_GTM_CRT_2024 [OBS; GTM-CRT-2024-V0.3-2018-20250304-084824_started.xlsx; Table1.A(a)s3; AD=C22; EM=J22; IEF=G22].</t>
        </is>
      </c>
    </row>
    <row r="44" customFormat="false" ht="15" hidden="false" customHeight="false" outlineLevel="0" collapsed="false">
      <c r="A44" s="4" t="s">
        <v>5730</v>
      </c>
      <c r="B44" s="12" t="n">
        <v>2018</v>
      </c>
      <c r="C44" s="4" t="s">
        <v>71</v>
      </c>
      <c r="D44" s="4" t="s">
        <v>5685</v>
      </c>
      <c r="E44" s="4" t="s">
        <v>3412</v>
      </c>
      <c r="F44" s="4" t="s">
        <v>3413</v>
      </c>
      <c r="G44" s="4" t="s">
        <v>103</v>
      </c>
      <c r="H44" s="4" t="s">
        <v>2123</v>
      </c>
      <c r="I44" s="4" t="s">
        <v>71</v>
      </c>
      <c r="J44" s="4" t="s">
        <v>2001</v>
      </c>
      <c r="K44" s="4" t="s">
        <v>2002</v>
      </c>
      <c r="L44" s="4" t="s">
        <v>367</v>
      </c>
      <c r="M44" s="14" t="n">
        <f aca="false">SUMIFS(PSUT_LARGA!$K$2:$K$618,PSUT_LARGA!$B$2:$B$618,$B44,PSUT_LARGA!$H$2:$H$618,$L44,PSUT_LARGA!$E$2:$E$618,$J44,PSUT_LARGA!$F$2:$F$618,$K44,PSUT_LARGA!$G$2:$G$618,$I44,PSUT_LARGA!$I$2:$I$618,$H44)</f>
        <v>68640.2696</v>
      </c>
      <c r="N44" s="14" t="n">
        <f aca="false">IF($H44="TRANSFORMACION_REFINERIA",$M44*INDEX(PARAMETROS!$C$27:$C$33,MATCH($B44,PARAMETROS!$A$27:$A$33,0)),$M44)</f>
        <v>68640.2696</v>
      </c>
      <c r="O44" s="4" t="inlineStr">
        <is>
          <t>COMB_GAS</t>
        </is>
      </c>
      <c r="P44" s="4" t="s">
        <v>3352</v>
      </c>
      <c r="Q44" s="11" t="n">
        <f aca="false">MIN($B44,2022)</f>
        <v>2018</v>
      </c>
      <c r="R44" s="8" t="str">
        <f>IF(COUNT($S44:$U44)=0,"NO",IF($O44="CERO_DIRECTO","CAL",IF(OR($B44&gt;$Q44,COUNTIFS(DATOS_MODELO!$C$2:$C$3672,$Q44&amp;"|"&amp;$E44&amp;"|"&amp;$O44&amp;"|*",DATOS_MODELO!$F$2:$F$3672,"PRX",DATOS_MODELO!$AA$2:$AA$3672,"&lt;&gt;")&gt;0),"PRX",IF(COUNTIFS(DATOS_MODELO!$C$2:$C$3672,$Q44&amp;"|"&amp;$E44&amp;"|"&amp;$O44&amp;"|*",DATOS_MODELO!$F$2:$F$3672,"CAL",DATOS_MODELO!$AA$2:$AA$3672,"&lt;&gt;")&gt;0,"CAL","OBS"))))</f>
        <v>PRX</v>
      </c>
      <c r="S44" s="14">
        <f>IF(COUNTIFS(DATOS_MODELO!$C$2:$C$3672,$Q44&amp;"|"&amp;$E44&amp;"|"&amp;$O44&amp;"|CO2",DATOS_MODELO!$AA$2:$AA$3672,"&lt;&gt;")=0,"",INDEX(DATOS_MODELO!$AA$2:$AA$3672,MATCH($Q44&amp;"|"&amp;$E44&amp;"|"&amp;$O44&amp;"|CO2",DATOS_MODELO!$C$2:$C$3672,0)))</f>
        <v>69300.5776701508</v>
      </c>
      <c r="T44" s="14">
        <f>IF(COUNTIFS(DATOS_MODELO!$C$2:$C$3672,$Q44&amp;"|"&amp;$E44&amp;"|"&amp;$O44&amp;"|CH4",DATOS_MODELO!$AA$2:$AA$3672,"&lt;&gt;")=0,"",INDEX(DATOS_MODELO!$AA$2:$AA$3672,MATCH($Q44&amp;"|"&amp;$E44&amp;"|"&amp;$O44&amp;"|CH4",DATOS_MODELO!$C$2:$C$3672,0)))</f>
        <v>32.9731772842898</v>
      </c>
      <c r="U44" s="14">
        <f>IF(COUNTIFS(DATOS_MODELO!$C$2:$C$3672,$Q44&amp;"|"&amp;$E44&amp;"|"&amp;$O44&amp;"|N2O",DATOS_MODELO!$AA$2:$AA$3672,"&lt;&gt;")=0,"",INDEX(DATOS_MODELO!$AA$2:$AA$3672,MATCH($Q44&amp;"|"&amp;$E44&amp;"|"&amp;$O44&amp;"|N2O",DATOS_MODELO!$C$2:$C$3672,0)))</f>
        <v>3.19900961230507</v>
      </c>
      <c r="V44" s="8"/>
      <c r="W44" s="14"/>
      <c r="X44" s="14">
        <f>IF($P44="BIOGENICO",0,IF(ISNUMBER($S44),$N44*$S44/PARAMETROS!$B$8,""))</f>
        <v>4756.81033471489</v>
      </c>
      <c r="Y44" s="14">
        <f>IF($P44="BIOGENICO",IF(ISNUMBER($S44),$N44*$S44/PARAMETROS!$B$8,""),0)</f>
        <v>0.0</v>
      </c>
      <c r="Z44" s="14">
        <f>IF(ISNUMBER($T44),$N44*$T44/PARAMETROS!$B$8,"")</f>
        <v>2.26328777836225</v>
      </c>
      <c r="AA44" s="14">
        <f>IF(ISNUMBER($U44),$N44*$U44/PARAMETROS!$B$8,"")</f>
        <v>0.219580882241611</v>
      </c>
      <c r="AB44" s="14">
        <f>IF(COUNT($X44,$Z44,$AA44)=0,"",SUM($X44,IF(ISNUMBER($Z44),$Z44*PARAMETROS!$B$9,0),IF(ISNUMBER($AA44),$AA44*PARAMETROS!$B$10,0)))</f>
        <v>4878.37132630306</v>
      </c>
      <c r="AC44" s="4" t="s">
        <v>1990</v>
      </c>
      <c r="AD44" s="4"/>
      <c r="AE44" s="4" t="s">
        <v>5690</v>
      </c>
      <c r="AF44" s="4" t="s">
        <v>170</v>
      </c>
      <c r="AG44" s="4" t="s">
        <v>3999</v>
      </c>
      <c r="AH44" s="4" t="inlineStr">
        <is>
          <t>Origen de factores: CO2: UNFCCC_GTM_CRT_2024 [PRX; GTM-CRT-2024-V0.3-2018-20250304-084824_started.xlsx; Table1.A(a)s3; AD=C17+C21; EM=H17+H21; IEF=E17+E21]; CH4: UNFCCC_GTM_CRT_2024 [PRX; GTM-CRT-2024-V0.3-2018-20250304-084824_started.xlsx; Table1.A(a)s3; AD=C17+C21; EM=I17+I21; IEF=F17+F21]; N2O: UNFCCC_GTM_CRT_2024 [PRX; GTM-CRT-2024-V0.3-2018-20250304-084824_started.xlsx; Table1.A(a)s3; AD=C17+C21; EM=J17+J21; IEF=G17+G21].</t>
        </is>
      </c>
    </row>
    <row r="45" customFormat="false" ht="15" hidden="false" customHeight="false" outlineLevel="0" collapsed="false">
      <c r="A45" s="4" t="s">
        <v>5731</v>
      </c>
      <c r="B45" s="12" t="n">
        <v>2018</v>
      </c>
      <c r="C45" s="4" t="s">
        <v>71</v>
      </c>
      <c r="D45" s="4" t="s">
        <v>5685</v>
      </c>
      <c r="E45" s="4" t="s">
        <v>3412</v>
      </c>
      <c r="F45" s="4" t="s">
        <v>3413</v>
      </c>
      <c r="G45" s="4" t="s">
        <v>105</v>
      </c>
      <c r="H45" s="4" t="s">
        <v>2123</v>
      </c>
      <c r="I45" s="4" t="s">
        <v>71</v>
      </c>
      <c r="J45" s="4" t="s">
        <v>2001</v>
      </c>
      <c r="K45" s="4" t="s">
        <v>2002</v>
      </c>
      <c r="L45" s="4" t="s">
        <v>381</v>
      </c>
      <c r="M45" s="14" t="n">
        <f aca="false">SUMIFS(PSUT_LARGA!$K$2:$K$618,PSUT_LARGA!$B$2:$B$618,$B45,PSUT_LARGA!$H$2:$H$618,$L45,PSUT_LARGA!$E$2:$E$618,$J45,PSUT_LARGA!$F$2:$F$618,$K45,PSUT_LARGA!$G$2:$G$618,$I45,PSUT_LARGA!$I$2:$I$618,$H45)</f>
        <v>186.6172</v>
      </c>
      <c r="N45" s="14" t="n">
        <f aca="false">IF($H45="TRANSFORMACION_REFINERIA",$M45*INDEX(PARAMETROS!$C$27:$C$33,MATCH($B45,PARAMETROS!$A$27:$A$33,0)),$M45)</f>
        <v>186.6172</v>
      </c>
      <c r="O45" s="4" t="inlineStr">
        <is>
          <t>COMB_GLP</t>
        </is>
      </c>
      <c r="P45" s="4" t="s">
        <v>3352</v>
      </c>
      <c r="Q45" s="11" t="n">
        <f aca="false">MIN($B45,2022)</f>
        <v>2018</v>
      </c>
      <c r="R45" s="8" t="str">
        <f>IF(COUNT($S45:$U45)=0,"NO",IF($O45="CERO_DIRECTO","CAL",IF(OR($B45&gt;$Q45,COUNTIFS(DATOS_MODELO!$C$2:$C$3672,$Q45&amp;"|"&amp;$E45&amp;"|"&amp;$O45&amp;"|*",DATOS_MODELO!$F$2:$F$3672,"PRX",DATOS_MODELO!$AA$2:$AA$3672,"&lt;&gt;")&gt;0),"PRX",IF(COUNTIFS(DATOS_MODELO!$C$2:$C$3672,$Q45&amp;"|"&amp;$E45&amp;"|"&amp;$O45&amp;"|*",DATOS_MODELO!$F$2:$F$3672,"CAL",DATOS_MODELO!$AA$2:$AA$3672,"&lt;&gt;")&gt;0,"CAL","OBS"))))</f>
        <v>OBS</v>
      </c>
      <c r="S45" s="14">
        <f>IF(COUNTIFS(DATOS_MODELO!$C$2:$C$3672,$Q45&amp;"|"&amp;$E45&amp;"|"&amp;$O45&amp;"|CO2",DATOS_MODELO!$AA$2:$AA$3672,"&lt;&gt;")=0,"",INDEX(DATOS_MODELO!$AA$2:$AA$3672,MATCH($Q45&amp;"|"&amp;$E45&amp;"|"&amp;$O45&amp;"|CO2",DATOS_MODELO!$C$2:$C$3672,0)))</f>
        <v>63099.9998135221</v>
      </c>
      <c r="T45" s="14">
        <f>IF(COUNTIFS(DATOS_MODELO!$C$2:$C$3672,$Q45&amp;"|"&amp;$E45&amp;"|"&amp;$O45&amp;"|CH4",DATOS_MODELO!$AA$2:$AA$3672,"&lt;&gt;")=0,"",INDEX(DATOS_MODELO!$AA$2:$AA$3672,MATCH($Q45&amp;"|"&amp;$E45&amp;"|"&amp;$O45&amp;"|CH4",DATOS_MODELO!$C$2:$C$3672,0)))</f>
        <v>61.9999834098989</v>
      </c>
      <c r="U45" s="14">
        <f>IF(COUNTIFS(DATOS_MODELO!$C$2:$C$3672,$Q45&amp;"|"&amp;$E45&amp;"|"&amp;$O45&amp;"|N2O",DATOS_MODELO!$AA$2:$AA$3672,"&lt;&gt;")=0,"",INDEX(DATOS_MODELO!$AA$2:$AA$3672,MATCH($Q45&amp;"|"&amp;$E45&amp;"|"&amp;$O45&amp;"|N2O",DATOS_MODELO!$C$2:$C$3672,0)))</f>
        <v>0.199997526488808</v>
      </c>
      <c r="V45" s="8"/>
      <c r="W45" s="14"/>
      <c r="X45" s="14">
        <f>IF($P45="BIOGENICO",0,IF(ISNUMBER($S45),$N45*$S45/PARAMETROS!$B$8,""))</f>
        <v>11.7755452852</v>
      </c>
      <c r="Y45" s="14">
        <f>IF($P45="BIOGENICO",IF(ISNUMBER($S45),$N45*$S45/PARAMETROS!$B$8,""),0)</f>
        <v>0.0</v>
      </c>
      <c r="Z45" s="14">
        <f>IF(ISNUMBER($T45),$N45*$T45/PARAMETROS!$B$8,"")</f>
        <v>0.0115702633040018</v>
      </c>
      <c r="AA45" s="14">
        <f>IF(ISNUMBER($U45),$N45*$U45/PARAMETROS!$B$8,"")</f>
        <v>3.73229784002671e-05</v>
      </c>
      <c r="AB45" s="14">
        <f>IF(COUNT($X45,$Z45,$AA45)=0,"",SUM($X45,IF(ISNUMBER($Z45),$Z45*PARAMETROS!$B$9,0),IF(ISNUMBER($AA45),$AA45*PARAMETROS!$B$10,0)))</f>
        <v>12.1094032469881</v>
      </c>
      <c r="AC45" s="4" t="s">
        <v>1990</v>
      </c>
      <c r="AD45" s="4"/>
      <c r="AE45" s="4" t="s">
        <v>5690</v>
      </c>
      <c r="AF45" s="4" t="s">
        <v>170</v>
      </c>
      <c r="AG45" s="4" t="s">
        <v>3999</v>
      </c>
      <c r="AH45" s="4" t="inlineStr">
        <is>
          <t>Origen de factores: CO2: UNFCCC_GTM_CRT_2024 [OBS; GTM-CRT-2024-V0.3-2018-20250304-084824_started.xlsx; Table1.A(a)s3; AD=C23; EM=H23; IEF=E23]; CH4: UNFCCC_GTM_CRT_2024 [OBS; GTM-CRT-2024-V0.3-2018-20250304-084824_started.xlsx; Table1.A(a)s3; AD=C23; EM=I23; IEF=F23]; N2O: UNFCCC_GTM_CRT_2024 [OBS; GTM-CRT-2024-V0.3-2018-20250304-084824_started.xlsx; Table1.A(a)s3; AD=C23; EM=J23; IEF=G23].</t>
        </is>
      </c>
    </row>
    <row r="46" customFormat="false" ht="15" hidden="false" customHeight="false" outlineLevel="0" collapsed="false">
      <c r="A46" s="4" t="s">
        <v>5732</v>
      </c>
      <c r="B46" s="12" t="n">
        <v>2018</v>
      </c>
      <c r="C46" s="4" t="s">
        <v>71</v>
      </c>
      <c r="D46" s="4" t="s">
        <v>5685</v>
      </c>
      <c r="E46" s="4" t="s">
        <v>3412</v>
      </c>
      <c r="F46" s="4" t="s">
        <v>3413</v>
      </c>
      <c r="G46" s="4" t="s">
        <v>107</v>
      </c>
      <c r="H46" s="4" t="s">
        <v>2123</v>
      </c>
      <c r="I46" s="4" t="s">
        <v>71</v>
      </c>
      <c r="J46" s="4" t="s">
        <v>2001</v>
      </c>
      <c r="K46" s="4" t="s">
        <v>2002</v>
      </c>
      <c r="L46" s="4" t="s">
        <v>395</v>
      </c>
      <c r="M46" s="14" t="n">
        <f aca="false">SUMIFS(PSUT_LARGA!$K$2:$K$618,PSUT_LARGA!$B$2:$B$618,$B46,PSUT_LARGA!$H$2:$H$618,$L46,PSUT_LARGA!$E$2:$E$618,$J46,PSUT_LARGA!$F$2:$F$618,$K46,PSUT_LARGA!$G$2:$G$618,$I46,PSUT_LARGA!$I$2:$I$618,$H46)</f>
        <v>4421.41</v>
      </c>
      <c r="N46" s="14" t="n">
        <f aca="false">IF($H46="TRANSFORMACION_REFINERIA",$M46*INDEX(PARAMETROS!$C$27:$C$33,MATCH($B46,PARAMETROS!$A$27:$A$33,0)),$M46)</f>
        <v>4421.41</v>
      </c>
      <c r="O46" s="4" t="inlineStr">
        <is>
          <t>COMB_KER</t>
        </is>
      </c>
      <c r="P46" s="4" t="s">
        <v>3352</v>
      </c>
      <c r="Q46" s="11" t="n">
        <f aca="false">MIN($B46,2022)</f>
        <v>2018</v>
      </c>
      <c r="R46" s="8" t="str">
        <f>IF(COUNT($S46:$U46)=0,"NO",IF($O46="CERO_DIRECTO","CAL",IF(OR($B46&gt;$Q46,COUNTIFS(DATOS_MODELO!$C$2:$C$3672,$Q46&amp;"|"&amp;$E46&amp;"|"&amp;$O46&amp;"|*",DATOS_MODELO!$F$2:$F$3672,"PRX",DATOS_MODELO!$AA$2:$AA$3672,"&lt;&gt;")&gt;0),"PRX",IF(COUNTIFS(DATOS_MODELO!$C$2:$C$3672,$Q46&amp;"|"&amp;$E46&amp;"|"&amp;$O46&amp;"|*",DATOS_MODELO!$F$2:$F$3672,"CAL",DATOS_MODELO!$AA$2:$AA$3672,"&lt;&gt;")&gt;0,"CAL","OBS"))))</f>
        <v>PRX</v>
      </c>
      <c r="S46" s="14">
        <f>IF(COUNTIFS(DATOS_MODELO!$C$2:$C$3672,$Q46&amp;"|"&amp;$E46&amp;"|"&amp;$O46&amp;"|CO2",DATOS_MODELO!$AA$2:$AA$3672,"&lt;&gt;")=0,"",INDEX(DATOS_MODELO!$AA$2:$AA$3672,MATCH($Q46&amp;"|"&amp;$E46&amp;"|"&amp;$O46&amp;"|CO2",DATOS_MODELO!$C$2:$C$3672,0)))</f>
        <v>71500.0</v>
      </c>
      <c r="T46" s="14">
        <f>IF(COUNTIFS(DATOS_MODELO!$C$2:$C$3672,$Q46&amp;"|"&amp;$E46&amp;"|"&amp;$O46&amp;"|CH4",DATOS_MODELO!$AA$2:$AA$3672,"&lt;&gt;")=0,"",INDEX(DATOS_MODELO!$AA$2:$AA$3672,MATCH($Q46&amp;"|"&amp;$E46&amp;"|"&amp;$O46&amp;"|CH4",DATOS_MODELO!$C$2:$C$3672,0)))</f>
        <v>0.5</v>
      </c>
      <c r="U46" s="14">
        <f>IF(COUNTIFS(DATOS_MODELO!$C$2:$C$3672,$Q46&amp;"|"&amp;$E46&amp;"|"&amp;$O46&amp;"|N2O",DATOS_MODELO!$AA$2:$AA$3672,"&lt;&gt;")=0,"",INDEX(DATOS_MODELO!$AA$2:$AA$3672,MATCH($Q46&amp;"|"&amp;$E46&amp;"|"&amp;$O46&amp;"|N2O",DATOS_MODELO!$C$2:$C$3672,0)))</f>
        <v>2.0</v>
      </c>
      <c r="V46" s="8"/>
      <c r="W46" s="14"/>
      <c r="X46" s="14">
        <f>IF($P46="BIOGENICO",0,IF(ISNUMBER($S46),$N46*$S46/PARAMETROS!$B$8,""))</f>
        <v>316.130815</v>
      </c>
      <c r="Y46" s="14">
        <f>IF($P46="BIOGENICO",IF(ISNUMBER($S46),$N46*$S46/PARAMETROS!$B$8,""),0)</f>
        <v>0.0</v>
      </c>
      <c r="Z46" s="14">
        <f>IF(ISNUMBER($T46),$N46*$T46/PARAMETROS!$B$8,"")</f>
        <v>0.002210705</v>
      </c>
      <c r="AA46" s="14">
        <f>IF(ISNUMBER($U46),$N46*$U46/PARAMETROS!$B$8,"")</f>
        <v>0.00884282</v>
      </c>
      <c r="AB46" s="14">
        <f>IF(COUNT($X46,$Z46,$AA46)=0,"",SUM($X46,IF(ISNUMBER($Z46),$Z46*PARAMETROS!$B$9,0),IF(ISNUMBER($AA46),$AA46*PARAMETROS!$B$10,0)))</f>
        <v>318.53606204</v>
      </c>
      <c r="AC46" s="4" t="s">
        <v>1990</v>
      </c>
      <c r="AD46" s="4"/>
      <c r="AE46" s="4" t="s">
        <v>5690</v>
      </c>
      <c r="AF46" s="4" t="s">
        <v>170</v>
      </c>
      <c r="AG46" s="4" t="inlineStr">
        <is>
          <t>IPCC_2006_GL</t>
        </is>
      </c>
      <c r="AH46" s="4" t="inlineStr">
        <is>
          <t>Origen de factores: CO2: IPCC_2006_GL [PRX; Volumen 2, capítulo 3, tabla 3.6.4, p. 3.64; fila Jet Kerosene; gas CO2]; CH4: IPCC_2006_GL [PRX; Volumen 2, capítulo 3, tabla 3.6.5, p. 3.64; fila All fuels; gas CH4]; N2O: IPCC_2006_GL [PRX; Volumen 2, capítulo 3, tabla 3.6.5, p. 3.64; fila All fuels; gas N2O].</t>
        </is>
      </c>
    </row>
    <row r="47" customFormat="false" ht="15" hidden="false" customHeight="false" outlineLevel="0" collapsed="false">
      <c r="A47" s="4" t="s">
        <v>5733</v>
      </c>
      <c r="B47" s="12" t="n">
        <v>2018</v>
      </c>
      <c r="C47" s="4" t="s">
        <v>65</v>
      </c>
      <c r="D47" s="4" t="s">
        <v>5734</v>
      </c>
      <c r="E47" s="4" t="s">
        <v>4024</v>
      </c>
      <c r="F47" s="4" t="s">
        <v>5735</v>
      </c>
      <c r="G47" s="4"/>
      <c r="H47" s="4" t="s">
        <v>5736</v>
      </c>
      <c r="I47" s="4" t="s">
        <v>65</v>
      </c>
      <c r="J47" s="4"/>
      <c r="K47" s="4"/>
      <c r="L47" s="4" t="s">
        <v>5737</v>
      </c>
      <c r="M47" s="14"/>
      <c r="N47" s="14"/>
      <c r="O47" s="4" t="s">
        <v>4011</v>
      </c>
      <c r="P47" s="4" t="s">
        <v>4019</v>
      </c>
      <c r="Q47" s="11" t="n">
        <f aca="false">MIN($B47,2022)</f>
        <v>2018</v>
      </c>
      <c r="R47" s="4" t="s">
        <v>169</v>
      </c>
      <c r="S47" s="14"/>
      <c r="T47" s="14"/>
      <c r="U47" s="14"/>
      <c r="V47" s="4" t="s">
        <v>4018</v>
      </c>
      <c r="W47" s="14">
        <f>SUMIFS(DATOS_MODELO!$AD$2:$AD$3672,DATOS_MODELO!$A$2:$A$3672,"EMISION_AGRICULTURA_OBS",DATOS_MODELO!$D$2:$D$3672,$B47,DATOS_MODELO!$W$2:$W$3672,"3.A",DATOS_MODELO!$Z$2:$Z$3672,$V47)</f>
        <v>167.645486</v>
      </c>
      <c r="X47" s="14" t="n">
        <f aca="false">IF($V47="CO2",$W47,0)</f>
        <v>0</v>
      </c>
      <c r="Y47" s="14" t="n">
        <f aca="false">0</f>
        <v>0</v>
      </c>
      <c r="Z47" s="14" t="n">
        <f aca="false">IF($V47="CH4",$W47,0)</f>
        <v>167.645486</v>
      </c>
      <c r="AA47" s="14" t="n">
        <f aca="false">IF($V47="N2O",$W47,0)</f>
        <v>0</v>
      </c>
      <c r="AB47" s="14" t="n">
        <f aca="false">$X47+$Z47*PARAMETROS!$B$9+$AA47*PARAMETROS!$B$10</f>
        <v>4694.073608</v>
      </c>
      <c r="AC47" s="4" t="s">
        <v>169</v>
      </c>
      <c r="AD47" s="4"/>
      <c r="AE47" s="4" t="s">
        <v>5736</v>
      </c>
      <c r="AF47" s="4" t="s">
        <v>3999</v>
      </c>
      <c r="AG47" s="4" t="s">
        <v>3999</v>
      </c>
      <c r="AH47" s="4"/>
    </row>
    <row r="48" customFormat="false" ht="15" hidden="false" customHeight="false" outlineLevel="0" collapsed="false">
      <c r="A48" s="4" t="s">
        <v>5738</v>
      </c>
      <c r="B48" s="12" t="n">
        <v>2018</v>
      </c>
      <c r="C48" s="4" t="s">
        <v>65</v>
      </c>
      <c r="D48" s="4" t="s">
        <v>5734</v>
      </c>
      <c r="E48" s="4" t="s">
        <v>4030</v>
      </c>
      <c r="F48" s="4" t="s">
        <v>5739</v>
      </c>
      <c r="G48" s="4"/>
      <c r="H48" s="4" t="s">
        <v>5736</v>
      </c>
      <c r="I48" s="4" t="s">
        <v>65</v>
      </c>
      <c r="J48" s="4"/>
      <c r="K48" s="4"/>
      <c r="L48" s="4" t="s">
        <v>5740</v>
      </c>
      <c r="M48" s="14"/>
      <c r="N48" s="14"/>
      <c r="O48" s="4" t="s">
        <v>4011</v>
      </c>
      <c r="P48" s="4" t="s">
        <v>4019</v>
      </c>
      <c r="Q48" s="11" t="n">
        <f aca="false">MIN($B48,2022)</f>
        <v>2018</v>
      </c>
      <c r="R48" s="4" t="s">
        <v>169</v>
      </c>
      <c r="S48" s="14"/>
      <c r="T48" s="14"/>
      <c r="U48" s="14"/>
      <c r="V48" s="4" t="s">
        <v>4018</v>
      </c>
      <c r="W48" s="14">
        <f>SUMIFS(DATOS_MODELO!$AD$2:$AD$3672,DATOS_MODELO!$A$2:$A$3672,"EMISION_AGRICULTURA_OBS",DATOS_MODELO!$D$2:$D$3672,$B48,DATOS_MODELO!$W$2:$W$3672,"3.B",DATOS_MODELO!$Z$2:$Z$3672,$V48)</f>
        <v>5.91906983</v>
      </c>
      <c r="X48" s="14" t="n">
        <f aca="false">IF($V48="CO2",$W48,0)</f>
        <v>0</v>
      </c>
      <c r="Y48" s="14" t="n">
        <f aca="false">0</f>
        <v>0</v>
      </c>
      <c r="Z48" s="14" t="n">
        <f aca="false">IF($V48="CH4",$W48,0)</f>
        <v>5.91906983</v>
      </c>
      <c r="AA48" s="14" t="n">
        <f aca="false">IF($V48="N2O",$W48,0)</f>
        <v>0</v>
      </c>
      <c r="AB48" s="14" t="n">
        <f aca="false">$X48+$Z48*PARAMETROS!$B$9+$AA48*PARAMETROS!$B$10</f>
        <v>165.73395524</v>
      </c>
      <c r="AC48" s="4" t="s">
        <v>169</v>
      </c>
      <c r="AD48" s="4"/>
      <c r="AE48" s="4" t="s">
        <v>5736</v>
      </c>
      <c r="AF48" s="4" t="s">
        <v>3999</v>
      </c>
      <c r="AG48" s="4" t="s">
        <v>3999</v>
      </c>
      <c r="AH48" s="4"/>
    </row>
    <row r="49" customFormat="false" ht="15" hidden="false" customHeight="false" outlineLevel="0" collapsed="false">
      <c r="A49" s="4" t="s">
        <v>5741</v>
      </c>
      <c r="B49" s="12" t="n">
        <v>2018</v>
      </c>
      <c r="C49" s="4" t="s">
        <v>65</v>
      </c>
      <c r="D49" s="4" t="s">
        <v>5734</v>
      </c>
      <c r="E49" s="4" t="s">
        <v>4030</v>
      </c>
      <c r="F49" s="4" t="s">
        <v>5739</v>
      </c>
      <c r="G49" s="4"/>
      <c r="H49" s="4" t="s">
        <v>5736</v>
      </c>
      <c r="I49" s="4" t="s">
        <v>65</v>
      </c>
      <c r="J49" s="4"/>
      <c r="K49" s="4"/>
      <c r="L49" s="4" t="s">
        <v>5742</v>
      </c>
      <c r="M49" s="14"/>
      <c r="N49" s="14"/>
      <c r="O49" s="4" t="s">
        <v>4011</v>
      </c>
      <c r="P49" s="4" t="s">
        <v>4019</v>
      </c>
      <c r="Q49" s="11" t="n">
        <f aca="false">MIN($B49,2022)</f>
        <v>2018</v>
      </c>
      <c r="R49" s="4" t="s">
        <v>169</v>
      </c>
      <c r="S49" s="14"/>
      <c r="T49" s="14"/>
      <c r="U49" s="14"/>
      <c r="V49" s="4" t="s">
        <v>4048</v>
      </c>
      <c r="W49" s="14">
        <f>SUMIFS(DATOS_MODELO!$AD$2:$AD$3672,DATOS_MODELO!$A$2:$A$3672,"EMISION_AGRICULTURA_OBS",DATOS_MODELO!$D$2:$D$3672,$B49,DATOS_MODELO!$W$2:$W$3672,"3.B",DATOS_MODELO!$Z$2:$Z$3672,$V49)</f>
        <v>0.868634599923576</v>
      </c>
      <c r="X49" s="14" t="n">
        <f aca="false">IF($V49="CO2",$W49,0)</f>
        <v>0</v>
      </c>
      <c r="Y49" s="14" t="n">
        <f aca="false">0</f>
        <v>0</v>
      </c>
      <c r="Z49" s="14" t="n">
        <f aca="false">IF($V49="CH4",$W49,0)</f>
        <v>0</v>
      </c>
      <c r="AA49" s="14" t="n">
        <f aca="false">IF($V49="N2O",$W49,0)</f>
        <v>0.868634599923576</v>
      </c>
      <c r="AB49" s="14" t="n">
        <f aca="false">$X49+$Z49*PARAMETROS!$B$9+$AA49*PARAMETROS!$B$10</f>
        <v>230.188168979748</v>
      </c>
      <c r="AC49" s="4" t="s">
        <v>169</v>
      </c>
      <c r="AD49" s="4"/>
      <c r="AE49" s="4" t="s">
        <v>5736</v>
      </c>
      <c r="AF49" s="4" t="s">
        <v>3999</v>
      </c>
      <c r="AG49" s="4" t="s">
        <v>3999</v>
      </c>
      <c r="AH49" s="4"/>
    </row>
    <row r="50" customFormat="false" ht="15" hidden="false" customHeight="false" outlineLevel="0" collapsed="false">
      <c r="A50" s="4" t="s">
        <v>5743</v>
      </c>
      <c r="B50" s="12" t="n">
        <v>2018</v>
      </c>
      <c r="C50" s="4" t="s">
        <v>65</v>
      </c>
      <c r="D50" s="4" t="s">
        <v>5734</v>
      </c>
      <c r="E50" s="4" t="s">
        <v>4036</v>
      </c>
      <c r="F50" s="4" t="s">
        <v>5744</v>
      </c>
      <c r="G50" s="4"/>
      <c r="H50" s="4" t="s">
        <v>5736</v>
      </c>
      <c r="I50" s="4" t="s">
        <v>65</v>
      </c>
      <c r="J50" s="4"/>
      <c r="K50" s="4"/>
      <c r="L50" s="4" t="s">
        <v>5745</v>
      </c>
      <c r="M50" s="14"/>
      <c r="N50" s="14"/>
      <c r="O50" s="4" t="s">
        <v>4011</v>
      </c>
      <c r="P50" s="4" t="s">
        <v>4019</v>
      </c>
      <c r="Q50" s="11" t="n">
        <f aca="false">MIN($B50,2022)</f>
        <v>2018</v>
      </c>
      <c r="R50" s="4" t="s">
        <v>169</v>
      </c>
      <c r="S50" s="14"/>
      <c r="T50" s="14"/>
      <c r="U50" s="14"/>
      <c r="V50" s="4" t="s">
        <v>4018</v>
      </c>
      <c r="W50" s="14">
        <f>SUMIFS(DATOS_MODELO!$AD$2:$AD$3672,DATOS_MODELO!$A$2:$A$3672,"EMISION_AGRICULTURA_OBS",DATOS_MODELO!$D$2:$D$3672,$B50,DATOS_MODELO!$W$2:$W$3672,"3.C",DATOS_MODELO!$Z$2:$Z$3672,$V50)</f>
        <v>0.73345698195</v>
      </c>
      <c r="X50" s="14" t="n">
        <f aca="false">IF($V50="CO2",$W50,0)</f>
        <v>0</v>
      </c>
      <c r="Y50" s="14" t="n">
        <f aca="false">0</f>
        <v>0</v>
      </c>
      <c r="Z50" s="14" t="n">
        <f aca="false">IF($V50="CH4",$W50,0)</f>
        <v>0.73345698195</v>
      </c>
      <c r="AA50" s="14" t="n">
        <f aca="false">IF($V50="N2O",$W50,0)</f>
        <v>0</v>
      </c>
      <c r="AB50" s="14" t="n">
        <f aca="false">$X50+$Z50*PARAMETROS!$B$9+$AA50*PARAMETROS!$B$10</f>
        <v>20.5367954946</v>
      </c>
      <c r="AC50" s="4" t="s">
        <v>169</v>
      </c>
      <c r="AD50" s="4"/>
      <c r="AE50" s="4" t="s">
        <v>5736</v>
      </c>
      <c r="AF50" s="4" t="s">
        <v>3999</v>
      </c>
      <c r="AG50" s="4" t="s">
        <v>3999</v>
      </c>
      <c r="AH50" s="4"/>
    </row>
    <row r="51" customFormat="false" ht="15" hidden="false" customHeight="false" outlineLevel="0" collapsed="false">
      <c r="A51" s="4" t="s">
        <v>5746</v>
      </c>
      <c r="B51" s="12" t="n">
        <v>2018</v>
      </c>
      <c r="C51" s="4" t="s">
        <v>65</v>
      </c>
      <c r="D51" s="4" t="s">
        <v>5734</v>
      </c>
      <c r="E51" s="4" t="s">
        <v>4057</v>
      </c>
      <c r="F51" s="4" t="s">
        <v>5747</v>
      </c>
      <c r="G51" s="4"/>
      <c r="H51" s="4" t="s">
        <v>5736</v>
      </c>
      <c r="I51" s="4" t="s">
        <v>65</v>
      </c>
      <c r="J51" s="4"/>
      <c r="K51" s="4"/>
      <c r="L51" s="4" t="s">
        <v>5748</v>
      </c>
      <c r="M51" s="14"/>
      <c r="N51" s="14"/>
      <c r="O51" s="4" t="s">
        <v>4011</v>
      </c>
      <c r="P51" s="4" t="s">
        <v>4019</v>
      </c>
      <c r="Q51" s="11" t="n">
        <f aca="false">MIN($B51,2022)</f>
        <v>2018</v>
      </c>
      <c r="R51" s="4" t="s">
        <v>169</v>
      </c>
      <c r="S51" s="14"/>
      <c r="T51" s="14"/>
      <c r="U51" s="14"/>
      <c r="V51" s="4" t="s">
        <v>4048</v>
      </c>
      <c r="W51" s="14">
        <f>SUMIFS(DATOS_MODELO!$AD$2:$AD$3672,DATOS_MODELO!$A$2:$A$3672,"EMISION_AGRICULTURA_OBS",DATOS_MODELO!$D$2:$D$3672,$B51,DATOS_MODELO!$W$2:$W$3672,"3.D",DATOS_MODELO!$Z$2:$Z$3672,$V51)</f>
        <v>5.51640030403902</v>
      </c>
      <c r="X51" s="14" t="n">
        <f aca="false">IF($V51="CO2",$W51,0)</f>
        <v>0</v>
      </c>
      <c r="Y51" s="14" t="n">
        <f aca="false">0</f>
        <v>0</v>
      </c>
      <c r="Z51" s="14" t="n">
        <f aca="false">IF($V51="CH4",$W51,0)</f>
        <v>0</v>
      </c>
      <c r="AA51" s="14" t="n">
        <f aca="false">IF($V51="N2O",$W51,0)</f>
        <v>5.51640030403902</v>
      </c>
      <c r="AB51" s="14" t="n">
        <f aca="false">$X51+$Z51*PARAMETROS!$B$9+$AA51*PARAMETROS!$B$10</f>
        <v>1461.84608057034</v>
      </c>
      <c r="AC51" s="4" t="s">
        <v>169</v>
      </c>
      <c r="AD51" s="4"/>
      <c r="AE51" s="4" t="s">
        <v>5736</v>
      </c>
      <c r="AF51" s="4" t="s">
        <v>3999</v>
      </c>
      <c r="AG51" s="4" t="s">
        <v>3999</v>
      </c>
      <c r="AH51" s="4"/>
    </row>
    <row r="52" customFormat="false" ht="15" hidden="false" customHeight="false" outlineLevel="0" collapsed="false">
      <c r="A52" s="4" t="s">
        <v>5749</v>
      </c>
      <c r="B52" s="12" t="n">
        <v>2018</v>
      </c>
      <c r="C52" s="4" t="s">
        <v>65</v>
      </c>
      <c r="D52" s="4" t="s">
        <v>5734</v>
      </c>
      <c r="E52" s="4" t="s">
        <v>4042</v>
      </c>
      <c r="F52" s="4" t="s">
        <v>5750</v>
      </c>
      <c r="G52" s="4"/>
      <c r="H52" s="4" t="s">
        <v>5736</v>
      </c>
      <c r="I52" s="4" t="s">
        <v>65</v>
      </c>
      <c r="J52" s="4"/>
      <c r="K52" s="4"/>
      <c r="L52" s="4" t="s">
        <v>5751</v>
      </c>
      <c r="M52" s="14"/>
      <c r="N52" s="14"/>
      <c r="O52" s="4" t="s">
        <v>4011</v>
      </c>
      <c r="P52" s="4" t="s">
        <v>4019</v>
      </c>
      <c r="Q52" s="11" t="n">
        <f aca="false">MIN($B52,2022)</f>
        <v>2018</v>
      </c>
      <c r="R52" s="4" t="s">
        <v>169</v>
      </c>
      <c r="S52" s="14"/>
      <c r="T52" s="14"/>
      <c r="U52" s="14"/>
      <c r="V52" s="4" t="s">
        <v>4018</v>
      </c>
      <c r="W52" s="14">
        <f>SUMIFS(DATOS_MODELO!$AD$2:$AD$3672,DATOS_MODELO!$A$2:$A$3672,"EMISION_AGRICULTURA_OBS",DATOS_MODELO!$D$2:$D$3672,$B52,DATOS_MODELO!$W$2:$W$3672,"3.E",DATOS_MODELO!$Z$2:$Z$3672,$V52)</f>
        <v>3.427926184194</v>
      </c>
      <c r="X52" s="14" t="n">
        <f aca="false">IF($V52="CO2",$W52,0)</f>
        <v>0</v>
      </c>
      <c r="Y52" s="14" t="n">
        <f aca="false">0</f>
        <v>0</v>
      </c>
      <c r="Z52" s="14" t="n">
        <f aca="false">IF($V52="CH4",$W52,0)</f>
        <v>3.427926184194</v>
      </c>
      <c r="AA52" s="14" t="n">
        <f aca="false">IF($V52="N2O",$W52,0)</f>
        <v>0</v>
      </c>
      <c r="AB52" s="14" t="n">
        <f aca="false">$X52+$Z52*PARAMETROS!$B$9+$AA52*PARAMETROS!$B$10</f>
        <v>95.981933157432</v>
      </c>
      <c r="AC52" s="4" t="s">
        <v>169</v>
      </c>
      <c r="AD52" s="4"/>
      <c r="AE52" s="4" t="s">
        <v>5736</v>
      </c>
      <c r="AF52" s="4" t="s">
        <v>3999</v>
      </c>
      <c r="AG52" s="4" t="s">
        <v>3999</v>
      </c>
      <c r="AH52" s="4"/>
    </row>
    <row r="53" customFormat="false" ht="15" hidden="false" customHeight="false" outlineLevel="0" collapsed="false">
      <c r="A53" s="4" t="s">
        <v>5752</v>
      </c>
      <c r="B53" s="12" t="n">
        <v>2018</v>
      </c>
      <c r="C53" s="4" t="s">
        <v>65</v>
      </c>
      <c r="D53" s="4" t="s">
        <v>5734</v>
      </c>
      <c r="E53" s="4" t="s">
        <v>4042</v>
      </c>
      <c r="F53" s="4" t="s">
        <v>5750</v>
      </c>
      <c r="G53" s="4"/>
      <c r="H53" s="4" t="s">
        <v>5736</v>
      </c>
      <c r="I53" s="4" t="s">
        <v>65</v>
      </c>
      <c r="J53" s="4"/>
      <c r="K53" s="4"/>
      <c r="L53" s="4" t="s">
        <v>5753</v>
      </c>
      <c r="M53" s="14"/>
      <c r="N53" s="14"/>
      <c r="O53" s="4" t="s">
        <v>4011</v>
      </c>
      <c r="P53" s="4" t="s">
        <v>4019</v>
      </c>
      <c r="Q53" s="11" t="n">
        <f aca="false">MIN($B53,2022)</f>
        <v>2018</v>
      </c>
      <c r="R53" s="4" t="s">
        <v>169</v>
      </c>
      <c r="S53" s="14"/>
      <c r="T53" s="14"/>
      <c r="U53" s="14"/>
      <c r="V53" s="4" t="s">
        <v>4048</v>
      </c>
      <c r="W53" s="14">
        <f>SUMIFS(DATOS_MODELO!$AD$2:$AD$3672,DATOS_MODELO!$A$2:$A$3672,"EMISION_AGRICULTURA_OBS",DATOS_MODELO!$D$2:$D$3672,$B53,DATOS_MODELO!$W$2:$W$3672,"3.E",DATOS_MODELO!$Z$2:$Z$3672,$V53)</f>
        <v>0.3129845646438</v>
      </c>
      <c r="X53" s="14" t="n">
        <f aca="false">IF($V53="CO2",$W53,0)</f>
        <v>0</v>
      </c>
      <c r="Y53" s="14" t="n">
        <f aca="false">0</f>
        <v>0</v>
      </c>
      <c r="Z53" s="14" t="n">
        <f aca="false">IF($V53="CH4",$W53,0)</f>
        <v>0</v>
      </c>
      <c r="AA53" s="14" t="n">
        <f aca="false">IF($V53="N2O",$W53,0)</f>
        <v>0.3129845646438</v>
      </c>
      <c r="AB53" s="14" t="n">
        <f aca="false">$X53+$Z53*PARAMETROS!$B$9+$AA53*PARAMETROS!$B$10</f>
        <v>82.940909630607</v>
      </c>
      <c r="AC53" s="4" t="s">
        <v>169</v>
      </c>
      <c r="AD53" s="4"/>
      <c r="AE53" s="4" t="s">
        <v>5736</v>
      </c>
      <c r="AF53" s="4" t="s">
        <v>3999</v>
      </c>
      <c r="AG53" s="4" t="s">
        <v>3999</v>
      </c>
      <c r="AH53" s="4"/>
    </row>
    <row r="54" customFormat="false" ht="23.85" hidden="false" customHeight="false" outlineLevel="0" collapsed="false">
      <c r="A54" s="4" t="s">
        <v>5754</v>
      </c>
      <c r="B54" s="12" t="n">
        <v>2018</v>
      </c>
      <c r="C54" s="4" t="s">
        <v>65</v>
      </c>
      <c r="D54" s="4" t="s">
        <v>5734</v>
      </c>
      <c r="E54" s="4" t="s">
        <v>5755</v>
      </c>
      <c r="F54" s="4" t="s">
        <v>5756</v>
      </c>
      <c r="G54" s="4"/>
      <c r="H54" s="4" t="s">
        <v>5757</v>
      </c>
      <c r="I54" s="4" t="s">
        <v>65</v>
      </c>
      <c r="J54" s="4"/>
      <c r="K54" s="4"/>
      <c r="L54" s="4" t="s">
        <v>5758</v>
      </c>
      <c r="M54" s="14"/>
      <c r="N54" s="14"/>
      <c r="O54" s="4" t="s">
        <v>4011</v>
      </c>
      <c r="P54" s="4" t="s">
        <v>4019</v>
      </c>
      <c r="Q54" s="11" t="n">
        <f aca="false">MIN($B54,2022)</f>
        <v>2018</v>
      </c>
      <c r="R54" s="4" t="s">
        <v>1990</v>
      </c>
      <c r="S54" s="14"/>
      <c r="T54" s="14"/>
      <c r="U54" s="14"/>
      <c r="V54" s="4" t="s">
        <v>4018</v>
      </c>
      <c r="W54" s="14">
        <f>SUMIFS(DATOS_MODELO!$AD$2:$AD$3672,DATOS_MODELO!$A$2:$A$3672,"EMISION_AGRICULTURA_OBS",DATOS_MODELO!$D$2:$D$3672,$B54,DATOS_MODELO!$W$2:$W$3672,"3",DATOS_MODELO!$Z$2:$Z$3672,$V54)-SUMIFS(DATOS_MODELO!$AD$2:$AD$3672,DATOS_MODELO!$A$2:$A$3672,"EMISION_AGRICULTURA_OBS",DATOS_MODELO!$D$2:$D$3672,$B54,DATOS_MODELO!$W$2:$W$3672,"3.A",DATOS_MODELO!$Z$2:$Z$3672,$V54)-SUMIFS(DATOS_MODELO!$AD$2:$AD$3672,DATOS_MODELO!$A$2:$A$3672,"EMISION_AGRICULTURA_OBS",DATOS_MODELO!$D$2:$D$3672,$B54,DATOS_MODELO!$W$2:$W$3672,"3.B",DATOS_MODELO!$Z$2:$Z$3672,$V54)-SUMIFS(DATOS_MODELO!$AD$2:$AD$3672,DATOS_MODELO!$A$2:$A$3672,"EMISION_AGRICULTURA_OBS",DATOS_MODELO!$D$2:$D$3672,$B54,DATOS_MODELO!$W$2:$W$3672,"3.C",DATOS_MODELO!$Z$2:$Z$3672,$V54)-SUMIFS(DATOS_MODELO!$AD$2:$AD$3672,DATOS_MODELO!$A$2:$A$3672,"EMISION_AGRICULTURA_OBS",DATOS_MODELO!$D$2:$D$3672,$B54,DATOS_MODELO!$W$2:$W$3672,"3.D",DATOS_MODELO!$Z$2:$Z$3672,$V54)-SUMIFS(DATOS_MODELO!$AD$2:$AD$3672,DATOS_MODELO!$A$2:$A$3672,"EMISION_AGRICULTURA_OBS",DATOS_MODELO!$D$2:$D$3672,$B54,DATOS_MODELO!$W$2:$W$3672,"3.E",DATOS_MODELO!$Z$2:$Z$3672,$V54)</f>
        <v>5.22897923783253</v>
      </c>
      <c r="X54" s="14" t="n">
        <f aca="false">IF($V54="CO2",$W54,0)</f>
        <v>0</v>
      </c>
      <c r="Y54" s="14" t="n">
        <f aca="false">0</f>
        <v>0</v>
      </c>
      <c r="Z54" s="14" t="n">
        <f aca="false">IF($V54="CH4",$W54,0)</f>
        <v>5.22897923783253</v>
      </c>
      <c r="AA54" s="14" t="n">
        <f aca="false">IF($V54="N2O",$W54,0)</f>
        <v>0</v>
      </c>
      <c r="AB54" s="14" t="n">
        <f aca="false">$X54+$Z54*PARAMETROS!$B$9+$AA54*PARAMETROS!$B$10</f>
        <v>146.411418659311</v>
      </c>
      <c r="AC54" s="4" t="s">
        <v>1990</v>
      </c>
      <c r="AD54" s="4"/>
      <c r="AE54" s="4" t="s">
        <v>5757</v>
      </c>
      <c r="AF54" s="4" t="s">
        <v>3999</v>
      </c>
      <c r="AG54" s="4" t="s">
        <v>3999</v>
      </c>
      <c r="AH54" s="4"/>
    </row>
    <row r="55" customFormat="false" ht="23.85" hidden="false" customHeight="false" outlineLevel="0" collapsed="false">
      <c r="A55" s="4" t="s">
        <v>5759</v>
      </c>
      <c r="B55" s="12" t="n">
        <v>2018</v>
      </c>
      <c r="C55" s="4" t="s">
        <v>65</v>
      </c>
      <c r="D55" s="4" t="s">
        <v>5734</v>
      </c>
      <c r="E55" s="4" t="s">
        <v>5755</v>
      </c>
      <c r="F55" s="4" t="s">
        <v>5756</v>
      </c>
      <c r="G55" s="4"/>
      <c r="H55" s="4" t="s">
        <v>5757</v>
      </c>
      <c r="I55" s="4" t="s">
        <v>65</v>
      </c>
      <c r="J55" s="4"/>
      <c r="K55" s="4"/>
      <c r="L55" s="4" t="s">
        <v>5760</v>
      </c>
      <c r="M55" s="14"/>
      <c r="N55" s="14"/>
      <c r="O55" s="4" t="s">
        <v>4011</v>
      </c>
      <c r="P55" s="4" t="s">
        <v>4019</v>
      </c>
      <c r="Q55" s="11" t="n">
        <f aca="false">MIN($B55,2022)</f>
        <v>2018</v>
      </c>
      <c r="R55" s="4" t="s">
        <v>1990</v>
      </c>
      <c r="S55" s="14"/>
      <c r="T55" s="14"/>
      <c r="U55" s="14"/>
      <c r="V55" s="4" t="s">
        <v>4048</v>
      </c>
      <c r="W55" s="14">
        <f>SUMIFS(DATOS_MODELO!$AD$2:$AD$3672,DATOS_MODELO!$A$2:$A$3672,"EMISION_AGRICULTURA_OBS",DATOS_MODELO!$D$2:$D$3672,$B55,DATOS_MODELO!$W$2:$W$3672,"3",DATOS_MODELO!$Z$2:$Z$3672,$V55)-SUMIFS(DATOS_MODELO!$AD$2:$AD$3672,DATOS_MODELO!$A$2:$A$3672,"EMISION_AGRICULTURA_OBS",DATOS_MODELO!$D$2:$D$3672,$B55,DATOS_MODELO!$W$2:$W$3672,"3.A",DATOS_MODELO!$Z$2:$Z$3672,$V55)-SUMIFS(DATOS_MODELO!$AD$2:$AD$3672,DATOS_MODELO!$A$2:$A$3672,"EMISION_AGRICULTURA_OBS",DATOS_MODELO!$D$2:$D$3672,$B55,DATOS_MODELO!$W$2:$W$3672,"3.B",DATOS_MODELO!$Z$2:$Z$3672,$V55)-SUMIFS(DATOS_MODELO!$AD$2:$AD$3672,DATOS_MODELO!$A$2:$A$3672,"EMISION_AGRICULTURA_OBS",DATOS_MODELO!$D$2:$D$3672,$B55,DATOS_MODELO!$W$2:$W$3672,"3.C",DATOS_MODELO!$Z$2:$Z$3672,$V55)-SUMIFS(DATOS_MODELO!$AD$2:$AD$3672,DATOS_MODELO!$A$2:$A$3672,"EMISION_AGRICULTURA_OBS",DATOS_MODELO!$D$2:$D$3672,$B55,DATOS_MODELO!$W$2:$W$3672,"3.D",DATOS_MODELO!$Z$2:$Z$3672,$V55)-SUMIFS(DATOS_MODELO!$AD$2:$AD$3672,DATOS_MODELO!$A$2:$A$3672,"EMISION_AGRICULTURA_OBS",DATOS_MODELO!$D$2:$D$3672,$B55,DATOS_MODELO!$W$2:$W$3672,"3.E",DATOS_MODELO!$Z$2:$Z$3672,$V55)</f>
        <v>0.13556612838825</v>
      </c>
      <c r="X55" s="14" t="n">
        <f aca="false">IF($V55="CO2",$W55,0)</f>
        <v>0</v>
      </c>
      <c r="Y55" s="14" t="n">
        <f aca="false">0</f>
        <v>0</v>
      </c>
      <c r="Z55" s="14" t="n">
        <f aca="false">IF($V55="CH4",$W55,0)</f>
        <v>0</v>
      </c>
      <c r="AA55" s="14" t="n">
        <f aca="false">IF($V55="N2O",$W55,0)</f>
        <v>0.13556612838825</v>
      </c>
      <c r="AB55" s="14" t="n">
        <f aca="false">$X55+$Z55*PARAMETROS!$B$9+$AA55*PARAMETROS!$B$10</f>
        <v>35.9250240228863</v>
      </c>
      <c r="AC55" s="4" t="s">
        <v>1990</v>
      </c>
      <c r="AD55" s="4"/>
      <c r="AE55" s="4" t="s">
        <v>5757</v>
      </c>
      <c r="AF55" s="4" t="s">
        <v>3999</v>
      </c>
      <c r="AG55" s="4" t="s">
        <v>3999</v>
      </c>
      <c r="AH55" s="4"/>
    </row>
    <row r="56" customFormat="false" ht="15" hidden="false" customHeight="false" outlineLevel="0" collapsed="false">
      <c r="A56" s="4" t="s">
        <v>5761</v>
      </c>
      <c r="B56" s="12" t="n">
        <v>2018</v>
      </c>
      <c r="C56" s="4" t="s">
        <v>65</v>
      </c>
      <c r="D56" s="4" t="s">
        <v>5734</v>
      </c>
      <c r="E56" s="4" t="s">
        <v>5762</v>
      </c>
      <c r="F56" s="4" t="s">
        <v>5763</v>
      </c>
      <c r="G56" s="4"/>
      <c r="H56" s="4" t="s">
        <v>5686</v>
      </c>
      <c r="I56" s="4" t="s">
        <v>65</v>
      </c>
      <c r="J56" s="4"/>
      <c r="K56" s="4"/>
      <c r="L56" s="4" t="s">
        <v>5764</v>
      </c>
      <c r="M56" s="14"/>
      <c r="N56" s="14"/>
      <c r="O56" s="4" t="s">
        <v>3349</v>
      </c>
      <c r="P56" s="4" t="s">
        <v>4019</v>
      </c>
      <c r="Q56" s="11" t="n">
        <f aca="false">MIN($B56,2022)</f>
        <v>2018</v>
      </c>
      <c r="R56" s="4" t="s">
        <v>3349</v>
      </c>
      <c r="S56" s="14"/>
      <c r="T56" s="14"/>
      <c r="U56" s="14"/>
      <c r="V56" s="4" t="s">
        <v>3349</v>
      </c>
      <c r="W56" s="14"/>
      <c r="X56" s="14"/>
      <c r="Y56" s="14"/>
      <c r="Z56" s="14"/>
      <c r="AA56" s="14"/>
      <c r="AB56" s="14"/>
      <c r="AC56" s="4" t="s">
        <v>3349</v>
      </c>
      <c r="AD56" s="4" t="s">
        <v>3349</v>
      </c>
      <c r="AE56" s="4" t="s">
        <v>5686</v>
      </c>
      <c r="AF56" s="4" t="s">
        <v>3999</v>
      </c>
      <c r="AG56" s="4"/>
      <c r="AH56" s="4"/>
    </row>
    <row r="57" customFormat="false" ht="15" hidden="false" customHeight="false" outlineLevel="0" collapsed="false">
      <c r="A57" s="4" t="s">
        <v>5765</v>
      </c>
      <c r="B57" s="12" t="n">
        <v>2018</v>
      </c>
      <c r="C57" s="4" t="s">
        <v>65</v>
      </c>
      <c r="D57" s="4" t="s">
        <v>5734</v>
      </c>
      <c r="E57" s="4" t="s">
        <v>5766</v>
      </c>
      <c r="F57" s="4" t="s">
        <v>5767</v>
      </c>
      <c r="G57" s="4"/>
      <c r="H57" s="4" t="s">
        <v>5736</v>
      </c>
      <c r="I57" s="4" t="s">
        <v>65</v>
      </c>
      <c r="J57" s="4"/>
      <c r="K57" s="4"/>
      <c r="L57" s="4" t="s">
        <v>5768</v>
      </c>
      <c r="M57" s="14"/>
      <c r="N57" s="14"/>
      <c r="O57" s="4" t="s">
        <v>4011</v>
      </c>
      <c r="P57" s="4" t="s">
        <v>3352</v>
      </c>
      <c r="Q57" s="11" t="n">
        <f aca="false">MIN($B57,2022)</f>
        <v>2018</v>
      </c>
      <c r="R57" s="4" t="s">
        <v>169</v>
      </c>
      <c r="S57" s="14"/>
      <c r="T57" s="14"/>
      <c r="U57" s="14"/>
      <c r="V57" s="4" t="s">
        <v>4012</v>
      </c>
      <c r="W57" s="14">
        <f>SUMIFS(DATOS_MODELO!$AD$2:$AD$3672,DATOS_MODELO!$A$2:$A$3672,"EMISION_AGRICULTURA_OBS",DATOS_MODELO!$D$2:$D$3672,$B57,DATOS_MODELO!$W$2:$W$3672,"3",DATOS_MODELO!$Z$2:$Z$3672,$V57)</f>
        <v>37.309224652</v>
      </c>
      <c r="X57" s="14" t="n">
        <f aca="false">IF($V57="CO2",$W57,0)</f>
        <v>37.309224652</v>
      </c>
      <c r="Y57" s="14" t="n">
        <f aca="false">0</f>
        <v>0</v>
      </c>
      <c r="Z57" s="14" t="n">
        <f aca="false">IF($V57="CH4",$W57,0)</f>
        <v>0</v>
      </c>
      <c r="AA57" s="14" t="n">
        <f aca="false">IF($V57="N2O",$W57,0)</f>
        <v>0</v>
      </c>
      <c r="AB57" s="14" t="n">
        <f aca="false">$X57+$Z57*PARAMETROS!$B$9+$AA57*PARAMETROS!$B$10</f>
        <v>37.309224652</v>
      </c>
      <c r="AC57" s="4" t="s">
        <v>169</v>
      </c>
      <c r="AD57" s="4"/>
      <c r="AE57" s="4" t="s">
        <v>5736</v>
      </c>
      <c r="AF57" s="4" t="s">
        <v>3999</v>
      </c>
      <c r="AG57" s="4" t="s">
        <v>3999</v>
      </c>
      <c r="AH57" s="4"/>
    </row>
    <row r="58" customFormat="false" ht="15" hidden="false" customHeight="false" outlineLevel="0" collapsed="false">
      <c r="A58" s="4" t="s">
        <v>5769</v>
      </c>
      <c r="B58" s="12" t="n">
        <v>2018</v>
      </c>
      <c r="C58" s="4" t="s">
        <v>65</v>
      </c>
      <c r="D58" s="4" t="s">
        <v>5734</v>
      </c>
      <c r="E58" s="4" t="s">
        <v>5770</v>
      </c>
      <c r="F58" s="4" t="s">
        <v>5771</v>
      </c>
      <c r="G58" s="4"/>
      <c r="H58" s="4" t="s">
        <v>5686</v>
      </c>
      <c r="I58" s="4" t="s">
        <v>65</v>
      </c>
      <c r="J58" s="4"/>
      <c r="K58" s="4"/>
      <c r="L58" s="4" t="s">
        <v>5772</v>
      </c>
      <c r="M58" s="14"/>
      <c r="N58" s="14"/>
      <c r="O58" s="4" t="s">
        <v>3349</v>
      </c>
      <c r="P58" s="4" t="s">
        <v>4019</v>
      </c>
      <c r="Q58" s="11" t="n">
        <f aca="false">MIN($B58,2022)</f>
        <v>2018</v>
      </c>
      <c r="R58" s="4" t="s">
        <v>3349</v>
      </c>
      <c r="S58" s="14"/>
      <c r="T58" s="14"/>
      <c r="U58" s="14"/>
      <c r="V58" s="4" t="s">
        <v>3349</v>
      </c>
      <c r="W58" s="14"/>
      <c r="X58" s="14"/>
      <c r="Y58" s="14"/>
      <c r="Z58" s="14"/>
      <c r="AA58" s="14"/>
      <c r="AB58" s="14"/>
      <c r="AC58" s="4" t="s">
        <v>3349</v>
      </c>
      <c r="AD58" s="4" t="s">
        <v>3349</v>
      </c>
      <c r="AE58" s="4" t="s">
        <v>5686</v>
      </c>
      <c r="AF58" s="4" t="s">
        <v>3999</v>
      </c>
      <c r="AG58" s="4"/>
      <c r="AH58" s="4"/>
    </row>
    <row r="59" customFormat="false" ht="15" hidden="false" customHeight="false" outlineLevel="0" collapsed="false">
      <c r="A59" s="4" t="s">
        <v>5773</v>
      </c>
      <c r="B59" s="12" t="n">
        <v>2018</v>
      </c>
      <c r="C59" s="4" t="s">
        <v>65</v>
      </c>
      <c r="D59" s="4" t="s">
        <v>5734</v>
      </c>
      <c r="E59" s="4" t="s">
        <v>5774</v>
      </c>
      <c r="F59" s="4" t="s">
        <v>5775</v>
      </c>
      <c r="G59" s="4"/>
      <c r="H59" s="4" t="s">
        <v>5686</v>
      </c>
      <c r="I59" s="4" t="s">
        <v>65</v>
      </c>
      <c r="J59" s="4"/>
      <c r="K59" s="4"/>
      <c r="L59" s="4" t="s">
        <v>5776</v>
      </c>
      <c r="M59" s="14"/>
      <c r="N59" s="14"/>
      <c r="O59" s="4" t="s">
        <v>3349</v>
      </c>
      <c r="P59" s="4" t="s">
        <v>4019</v>
      </c>
      <c r="Q59" s="11" t="n">
        <f aca="false">MIN($B59,2022)</f>
        <v>2018</v>
      </c>
      <c r="R59" s="4" t="s">
        <v>3349</v>
      </c>
      <c r="S59" s="14"/>
      <c r="T59" s="14"/>
      <c r="U59" s="14"/>
      <c r="V59" s="4" t="s">
        <v>3349</v>
      </c>
      <c r="W59" s="14"/>
      <c r="X59" s="14"/>
      <c r="Y59" s="14"/>
      <c r="Z59" s="14"/>
      <c r="AA59" s="14"/>
      <c r="AB59" s="14"/>
      <c r="AC59" s="4" t="s">
        <v>3349</v>
      </c>
      <c r="AD59" s="4" t="s">
        <v>3349</v>
      </c>
      <c r="AE59" s="4" t="s">
        <v>5686</v>
      </c>
      <c r="AF59" s="4" t="s">
        <v>3999</v>
      </c>
      <c r="AG59" s="4"/>
      <c r="AH59" s="4"/>
    </row>
    <row r="60" customFormat="false" ht="15" hidden="false" customHeight="false" outlineLevel="0" collapsed="false">
      <c r="A60" s="4" t="s">
        <v>5777</v>
      </c>
      <c r="B60" s="12" t="n">
        <v>2019</v>
      </c>
      <c r="C60" s="4" t="s">
        <v>65</v>
      </c>
      <c r="D60" s="4" t="s">
        <v>5685</v>
      </c>
      <c r="E60" s="4" t="s">
        <v>3377</v>
      </c>
      <c r="F60" s="4" t="s">
        <v>3378</v>
      </c>
      <c r="G60" s="4" t="s">
        <v>109</v>
      </c>
      <c r="H60" s="4" t="s">
        <v>2070</v>
      </c>
      <c r="I60" s="4" t="s">
        <v>65</v>
      </c>
      <c r="J60" s="4" t="s">
        <v>1994</v>
      </c>
      <c r="K60" s="4" t="s">
        <v>1995</v>
      </c>
      <c r="L60" s="4" t="s">
        <v>499</v>
      </c>
      <c r="M60" s="14" t="n">
        <f aca="false">SUMIFS(PSUT_LARGA!$K$2:$K$618,PSUT_LARGA!$B$2:$B$618,$B60,PSUT_LARGA!$H$2:$H$618,$L60,PSUT_LARGA!$E$2:$E$618,$J60,PSUT_LARGA!$F$2:$F$618,$K60,PSUT_LARGA!$G$2:$G$618,$I60,PSUT_LARGA!$I$2:$I$618,$H60)</f>
        <v>295324.624</v>
      </c>
      <c r="N60" s="14" t="n">
        <f aca="false">IF($H60="TRANSFORMACION_REFINERIA",$M60*INDEX(PARAMETROS!$C$27:$C$33,MATCH($B60,PARAMETROS!$A$27:$A$33,0)),$M60)</f>
        <v>295324.624</v>
      </c>
      <c r="O60" s="4" t="s">
        <v>3349</v>
      </c>
      <c r="P60" s="4" t="s">
        <v>3344</v>
      </c>
      <c r="Q60" s="11" t="n">
        <f aca="false">MIN($B60,2022)</f>
        <v>2019</v>
      </c>
      <c r="R60" s="8" t="str">
        <f aca="false">IF(COUNT($S60:$U60)=0,"NO",IF($O60="CERO_DIRECTO","CAL",IF($B60&lt;=2022,"OBS","PRX")))</f>
        <v>NO</v>
      </c>
      <c r="S60" s="14"/>
      <c r="T60" s="14"/>
      <c r="U60" s="14"/>
      <c r="V60" s="8"/>
      <c r="W60" s="14"/>
      <c r="X60" s="14"/>
      <c r="Y60" s="14"/>
      <c r="Z60" s="14"/>
      <c r="AA60" s="14"/>
      <c r="AB60" s="14"/>
      <c r="AC60" s="4" t="s">
        <v>3349</v>
      </c>
      <c r="AD60" s="4"/>
      <c r="AE60" s="4" t="s">
        <v>5686</v>
      </c>
      <c r="AF60" s="4" t="s">
        <v>170</v>
      </c>
      <c r="AG60" s="4" t="s">
        <v>3999</v>
      </c>
      <c r="AH60" s="4"/>
    </row>
    <row r="61" customFormat="false" ht="15" hidden="false" customHeight="false" outlineLevel="0" collapsed="false">
      <c r="A61" s="4" t="s">
        <v>5778</v>
      </c>
      <c r="B61" s="12" t="n">
        <v>2019</v>
      </c>
      <c r="C61" s="4" t="s">
        <v>66</v>
      </c>
      <c r="D61" s="4" t="s">
        <v>5688</v>
      </c>
      <c r="E61" s="4" t="s">
        <v>3350</v>
      </c>
      <c r="F61" s="4" t="s">
        <v>3351</v>
      </c>
      <c r="G61" s="4" t="s">
        <v>76</v>
      </c>
      <c r="H61" s="4" t="s">
        <v>2019</v>
      </c>
      <c r="I61" s="4" t="s">
        <v>64</v>
      </c>
      <c r="J61" s="4" t="s">
        <v>1994</v>
      </c>
      <c r="K61" s="4" t="s">
        <v>65</v>
      </c>
      <c r="L61" s="4" t="s">
        <v>443</v>
      </c>
      <c r="M61" s="14" t="n">
        <f aca="false">SUMIFS(PSUT_LARGA!$K$2:$K$618,PSUT_LARGA!$B$2:$B$618,$B61,PSUT_LARGA!$H$2:$H$618,$L61,PSUT_LARGA!$E$2:$E$618,$J61,PSUT_LARGA!$F$2:$F$618,$K61,PSUT_LARGA!$G$2:$G$618,$I61,PSUT_LARGA!$I$2:$I$618,$H61)</f>
        <v>0</v>
      </c>
      <c r="N61" s="14" t="n">
        <f aca="false">IF($H61="TRANSFORMACION_REFINERIA",$M61*INDEX(PARAMETROS!$C$27:$C$33,MATCH($B61,PARAMETROS!$A$27:$A$33,0)),$M61)</f>
        <v>0</v>
      </c>
      <c r="O61" s="4" t="s">
        <v>3349</v>
      </c>
      <c r="P61" s="4" t="s">
        <v>3352</v>
      </c>
      <c r="Q61" s="11" t="n">
        <f aca="false">MIN($B61,2022)</f>
        <v>2019</v>
      </c>
      <c r="R61" s="8" t="str">
        <f aca="false">IF(COUNT($S61:$U61)=0,"NO",IF($O61="CERO_DIRECTO","CAL",IF($B61&lt;=2022,"OBS","PRX")))</f>
        <v>NO</v>
      </c>
      <c r="S61" s="14"/>
      <c r="T61" s="14"/>
      <c r="U61" s="14"/>
      <c r="V61" s="8"/>
      <c r="W61" s="14"/>
      <c r="X61" s="14"/>
      <c r="Y61" s="14"/>
      <c r="Z61" s="14"/>
      <c r="AA61" s="14"/>
      <c r="AB61" s="14"/>
      <c r="AC61" s="4" t="s">
        <v>3349</v>
      </c>
      <c r="AD61" s="4"/>
      <c r="AE61" s="4" t="s">
        <v>5686</v>
      </c>
      <c r="AF61" s="4" t="s">
        <v>170</v>
      </c>
      <c r="AG61" s="4" t="s">
        <v>3999</v>
      </c>
      <c r="AH61" s="4"/>
    </row>
    <row r="62" customFormat="false" ht="15" hidden="false" customHeight="false" outlineLevel="0" collapsed="false">
      <c r="A62" s="4" t="s">
        <v>5779</v>
      </c>
      <c r="B62" s="12" t="n">
        <v>2019</v>
      </c>
      <c r="C62" s="4" t="s">
        <v>66</v>
      </c>
      <c r="D62" s="4" t="s">
        <v>5688</v>
      </c>
      <c r="E62" s="4" t="s">
        <v>3386</v>
      </c>
      <c r="F62" s="4" t="s">
        <v>3387</v>
      </c>
      <c r="G62" s="4" t="s">
        <v>86</v>
      </c>
      <c r="H62" s="4" t="s">
        <v>2019</v>
      </c>
      <c r="I62" s="4" t="s">
        <v>64</v>
      </c>
      <c r="J62" s="4" t="s">
        <v>1994</v>
      </c>
      <c r="K62" s="4" t="s">
        <v>65</v>
      </c>
      <c r="L62" s="4" t="s">
        <v>513</v>
      </c>
      <c r="M62" s="14" t="n">
        <f aca="false">SUMIFS(PSUT_LARGA!$K$2:$K$618,PSUT_LARGA!$B$2:$B$618,$B62,PSUT_LARGA!$H$2:$H$618,$L62,PSUT_LARGA!$E$2:$E$618,$J62,PSUT_LARGA!$F$2:$F$618,$K62,PSUT_LARGA!$G$2:$G$618,$I62,PSUT_LARGA!$I$2:$I$618,$H62)</f>
        <v>20207.7029</v>
      </c>
      <c r="N62" s="14" t="n">
        <f aca="false">IF($H62="TRANSFORMACION_REFINERIA",$M62*INDEX(PARAMETROS!$C$27:$C$33,MATCH($B62,PARAMETROS!$A$27:$A$33,0)),$M62)</f>
        <v>20207.7029</v>
      </c>
      <c r="O62" s="4" t="s">
        <v>3388</v>
      </c>
      <c r="P62" s="4" t="s">
        <v>3352</v>
      </c>
      <c r="Q62" s="11" t="n">
        <f aca="false">MIN($B62,2022)</f>
        <v>2019</v>
      </c>
      <c r="R62" s="8" t="str">
        <f>IF(COUNT($S62:$U62)=0,"NO",IF($O62="CERO_DIRECTO","CAL",IF(OR($B62&gt;$Q62,COUNTIFS(DATOS_MODELO!$C$2:$C$3672,$Q62&amp;"|"&amp;$E62&amp;"|"&amp;$O62&amp;"|*",DATOS_MODELO!$F$2:$F$3672,"PRX",DATOS_MODELO!$AA$2:$AA$3672,"&lt;&gt;")&gt;0),"PRX",IF(COUNTIFS(DATOS_MODELO!$C$2:$C$3672,$Q62&amp;"|"&amp;$E62&amp;"|"&amp;$O62&amp;"|*",DATOS_MODELO!$F$2:$F$3672,"CAL",DATOS_MODELO!$AA$2:$AA$3672,"&lt;&gt;")&gt;0,"CAL","OBS"))))</f>
        <v>OBS</v>
      </c>
      <c r="S62" s="14">
        <f>IF(COUNTIFS(DATOS_MODELO!$C$2:$C$3672,$Q62&amp;"|"&amp;$E62&amp;"|"&amp;$O62&amp;"|CO2",DATOS_MODELO!$AA$2:$AA$3672,"&lt;&gt;")=0,"",INDEX(DATOS_MODELO!$AA$2:$AA$3672,MATCH($Q62&amp;"|"&amp;$E62&amp;"|"&amp;$O62&amp;"|CO2",DATOS_MODELO!$C$2:$C$3672,0)))</f>
        <v>0.00676920086745733</v>
      </c>
      <c r="T62" s="14">
        <f>IF(COUNTIFS(DATOS_MODELO!$C$2:$C$3672,$Q62&amp;"|"&amp;$E62&amp;"|"&amp;$O62&amp;"|CH4",DATOS_MODELO!$AA$2:$AA$3672,"&lt;&gt;")=0,"",INDEX(DATOS_MODELO!$AA$2:$AA$3672,MATCH($Q62&amp;"|"&amp;$E62&amp;"|"&amp;$O62&amp;"|CH4",DATOS_MODELO!$C$2:$C$3672,0)))</f>
        <v>0.0928774541712012</v>
      </c>
      <c r="U62" s="14"/>
      <c r="V62" s="8"/>
      <c r="W62" s="14"/>
      <c r="X62" s="14">
        <f>IF($P62="BIOGENICO",0,IF(ISNUMBER($S62),$N62*$S62/PARAMETROS!$B$8,""))</f>
        <v>0.00013679</v>
      </c>
      <c r="Y62" s="14">
        <f>IF($P62="BIOGENICO",IF(ISNUMBER($S62),$N62*$S62/PARAMETROS!$B$8,""),0)</f>
        <v>0.0</v>
      </c>
      <c r="Z62" s="14">
        <f>IF(ISNUMBER($T62),$N62*$T62/PARAMETROS!$B$8,"")</f>
        <v>0.00187684</v>
      </c>
      <c r="AA62" s="14" t="str">
        <f>IF($U62="","",$N62*$U62/PARAMETROS!$B$8)</f>
        <v/>
      </c>
      <c r="AB62" s="14">
        <f>IF($AA62="",$X62+$Z62*PARAMETROS!$B$9,$X62+$Z62*PARAMETROS!$B$9+$AA62*PARAMETROS!$B$10)</f>
        <v>0.05268831</v>
      </c>
      <c r="AC62" s="4" t="s">
        <v>1990</v>
      </c>
      <c r="AD62" s="4"/>
      <c r="AE62" s="4" t="s">
        <v>5690</v>
      </c>
      <c r="AF62" s="4" t="s">
        <v>170</v>
      </c>
      <c r="AG62" s="4" t="s">
        <v>3999</v>
      </c>
      <c r="AH62" s="4" t="inlineStr">
        <is>
          <t>CO2e parcial: N2O sin factor numérico; el total incluye solo los gases cuantificados.</t>
        </is>
      </c>
    </row>
    <row r="63" customFormat="false" ht="15" hidden="false" customHeight="false" outlineLevel="0" collapsed="false">
      <c r="A63" s="4" t="s">
        <v>5780</v>
      </c>
      <c r="B63" s="12" t="n">
        <v>2019</v>
      </c>
      <c r="C63" s="4" t="s">
        <v>67</v>
      </c>
      <c r="D63" s="4" t="s">
        <v>5685</v>
      </c>
      <c r="E63" s="4" t="s">
        <v>3341</v>
      </c>
      <c r="F63" s="4" t="s">
        <v>3342</v>
      </c>
      <c r="G63" s="4" t="s">
        <v>91</v>
      </c>
      <c r="H63" s="4" t="s">
        <v>2003</v>
      </c>
      <c r="I63" s="4" t="s">
        <v>67</v>
      </c>
      <c r="J63" s="4" t="s">
        <v>2001</v>
      </c>
      <c r="K63" s="4" t="s">
        <v>2002</v>
      </c>
      <c r="L63" s="4" t="s">
        <v>420</v>
      </c>
      <c r="M63" s="14" t="n">
        <f aca="false">SUMIFS(PSUT_LARGA!$K$2:$K$618,PSUT_LARGA!$B$2:$B$618,$B63,PSUT_LARGA!$H$2:$H$618,$L63,PSUT_LARGA!$E$2:$E$618,$J63,PSUT_LARGA!$F$2:$F$618,$K63,PSUT_LARGA!$G$2:$G$618,$I63,PSUT_LARGA!$I$2:$I$618,$H63)</f>
        <v>48577.41</v>
      </c>
      <c r="N63" s="14" t="n">
        <f aca="false">IF($H63="TRANSFORMACION_REFINERIA",$M63*INDEX(PARAMETROS!$C$27:$C$33,MATCH($B63,PARAMETROS!$A$27:$A$33,0)),$M63)</f>
        <v>48577.41</v>
      </c>
      <c r="O63" s="4" t="inlineStr">
        <is>
          <t>COMB_BCANA</t>
        </is>
      </c>
      <c r="P63" s="4" t="s">
        <v>3344</v>
      </c>
      <c r="Q63" s="11" t="n">
        <f aca="false">MIN($B63,2022)</f>
        <v>2019</v>
      </c>
      <c r="R63" s="8" t="str">
        <f>IF(COUNT($S63:$U63)=0,"NO",IF($O63="CERO_DIRECTO","CAL",IF(OR($B63&gt;$Q63,COUNTIFS(DATOS_MODELO!$C$2:$C$3672,$Q63&amp;"|"&amp;$E63&amp;"|"&amp;$O63&amp;"|*",DATOS_MODELO!$F$2:$F$3672,"PRX",DATOS_MODELO!$AA$2:$AA$3672,"&lt;&gt;")&gt;0),"PRX",IF(COUNTIFS(DATOS_MODELO!$C$2:$C$3672,$Q63&amp;"|"&amp;$E63&amp;"|"&amp;$O63&amp;"|*",DATOS_MODELO!$F$2:$F$3672,"CAL",DATOS_MODELO!$AA$2:$AA$3672,"&lt;&gt;")&gt;0,"CAL","OBS"))))</f>
        <v>PRX</v>
      </c>
      <c r="S63" s="14">
        <f>IF(COUNTIFS(DATOS_MODELO!$C$2:$C$3672,$Q63&amp;"|"&amp;$E63&amp;"|"&amp;$O63&amp;"|CO2",DATOS_MODELO!$AA$2:$AA$3672,"&lt;&gt;")=0,"",INDEX(DATOS_MODELO!$AA$2:$AA$3672,MATCH($Q63&amp;"|"&amp;$E63&amp;"|"&amp;$O63&amp;"|CO2",DATOS_MODELO!$C$2:$C$3672,0)))</f>
        <v>100000.0</v>
      </c>
      <c r="T63" s="14">
        <f>IF(COUNTIFS(DATOS_MODELO!$C$2:$C$3672,$Q63&amp;"|"&amp;$E63&amp;"|"&amp;$O63&amp;"|CH4",DATOS_MODELO!$AA$2:$AA$3672,"&lt;&gt;")=0,"",INDEX(DATOS_MODELO!$AA$2:$AA$3672,MATCH($Q63&amp;"|"&amp;$E63&amp;"|"&amp;$O63&amp;"|CH4",DATOS_MODELO!$C$2:$C$3672,0)))</f>
        <v>30.0</v>
      </c>
      <c r="U63" s="14">
        <f>IF(COUNTIFS(DATOS_MODELO!$C$2:$C$3672,$Q63&amp;"|"&amp;$E63&amp;"|"&amp;$O63&amp;"|N2O",DATOS_MODELO!$AA$2:$AA$3672,"&lt;&gt;")=0,"",INDEX(DATOS_MODELO!$AA$2:$AA$3672,MATCH($Q63&amp;"|"&amp;$E63&amp;"|"&amp;$O63&amp;"|N2O",DATOS_MODELO!$C$2:$C$3672,0)))</f>
        <v>4.0</v>
      </c>
      <c r="V63" s="8"/>
      <c r="W63" s="14"/>
      <c r="X63" s="14">
        <f>IF($P63="BIOGENICO",0,IF(ISNUMBER($S63),$N63*$S63/PARAMETROS!$B$8,""))</f>
        <v>0.0</v>
      </c>
      <c r="Y63" s="14">
        <f>IF($P63="BIOGENICO",IF(ISNUMBER($S63),$N63*$S63/PARAMETROS!$B$8,""),0)</f>
        <v>4857.741</v>
      </c>
      <c r="Z63" s="14">
        <f>IF(ISNUMBER($T63),$N63*$T63/PARAMETROS!$B$8,"")</f>
        <v>1.4573223</v>
      </c>
      <c r="AA63" s="14">
        <f>IF(ISNUMBER($U63),$N63*$U63/PARAMETROS!$B$8,"")</f>
        <v>0.19430964</v>
      </c>
      <c r="AB63" s="14">
        <f>IF(COUNT($X63,$Z63,$AA63)=0,"",SUM($X63,IF(ISNUMBER($Z63),$Z63*PARAMETROS!$B$9,0),IF(ISNUMBER($AA63),$AA63*PARAMETROS!$B$10,0)))</f>
        <v>92.297079</v>
      </c>
      <c r="AC63" s="4" t="s">
        <v>1990</v>
      </c>
      <c r="AD63" s="4"/>
      <c r="AE63" s="4" t="s">
        <v>5690</v>
      </c>
      <c r="AF63" s="4" t="s">
        <v>170</v>
      </c>
      <c r="AG63" s="4" t="inlineStr">
        <is>
          <t>MARN_GTM_BTR1_2024</t>
        </is>
      </c>
      <c r="AH63" s="4" t="inlineStr">
        <is>
          <t>Origen de factores: CO2: MARN_GTM_BTR1_2024 [PRX; BTR1 Guatemala 2024, tabla 3.6, p. 48; fila Otra biomasa sólida primaria; gas CO2]; CH4: MARN_GTM_BTR1_2024 [PRX; BTR1 Guatemala 2024, tabla 3.17, p. 57; fila Otra biomasa sólida primaria; gas CH4]; N2O: MARN_GTM_BTR1_2024 [PRX; BTR1 Guatemala 2024, tabla 3.17, p. 57; fila Otra biomasa sólida primaria; gas N2O].</t>
        </is>
      </c>
    </row>
    <row r="64" customFormat="false" ht="15" hidden="false" customHeight="false" outlineLevel="0" collapsed="false">
      <c r="A64" s="4" t="s">
        <v>5781</v>
      </c>
      <c r="B64" s="12" t="n">
        <v>2019</v>
      </c>
      <c r="C64" s="4" t="s">
        <v>67</v>
      </c>
      <c r="D64" s="4" t="s">
        <v>5685</v>
      </c>
      <c r="E64" s="4" t="s">
        <v>3341</v>
      </c>
      <c r="F64" s="4" t="s">
        <v>3342</v>
      </c>
      <c r="G64" s="4" t="s">
        <v>91</v>
      </c>
      <c r="H64" s="4" t="s">
        <v>2008</v>
      </c>
      <c r="I64" s="4" t="s">
        <v>67</v>
      </c>
      <c r="J64" s="4" t="s">
        <v>2001</v>
      </c>
      <c r="K64" s="4" t="s">
        <v>2002</v>
      </c>
      <c r="L64" s="4" t="s">
        <v>421</v>
      </c>
      <c r="M64" s="14" t="n">
        <f aca="false">SUMIFS(PSUT_LARGA!$K$2:$K$618,PSUT_LARGA!$B$2:$B$618,$B64,PSUT_LARGA!$H$2:$H$618,$L64,PSUT_LARGA!$E$2:$E$618,$J64,PSUT_LARGA!$F$2:$F$618,$K64,PSUT_LARGA!$G$2:$G$618,$I64,PSUT_LARGA!$I$2:$I$618,$H64)</f>
        <v>4485.0295</v>
      </c>
      <c r="N64" s="14" t="n">
        <f aca="false">IF($H64="TRANSFORMACION_REFINERIA",$M64*INDEX(PARAMETROS!$C$27:$C$33,MATCH($B64,PARAMETROS!$A$27:$A$33,0)),$M64)</f>
        <v>4485.0295</v>
      </c>
      <c r="O64" s="4" t="inlineStr">
        <is>
          <t>COMB_BCANA</t>
        </is>
      </c>
      <c r="P64" s="4" t="s">
        <v>3344</v>
      </c>
      <c r="Q64" s="11" t="n">
        <f aca="false">MIN($B64,2022)</f>
        <v>2019</v>
      </c>
      <c r="R64" s="8" t="str">
        <f>IF(COUNT($S64:$U64)=0,"NO",IF($O64="CERO_DIRECTO","CAL",IF(OR($B64&gt;$Q64,COUNTIFS(DATOS_MODELO!$C$2:$C$3672,$Q64&amp;"|"&amp;$E64&amp;"|"&amp;$O64&amp;"|*",DATOS_MODELO!$F$2:$F$3672,"PRX",DATOS_MODELO!$AA$2:$AA$3672,"&lt;&gt;")&gt;0),"PRX",IF(COUNTIFS(DATOS_MODELO!$C$2:$C$3672,$Q64&amp;"|"&amp;$E64&amp;"|"&amp;$O64&amp;"|*",DATOS_MODELO!$F$2:$F$3672,"CAL",DATOS_MODELO!$AA$2:$AA$3672,"&lt;&gt;")&gt;0,"CAL","OBS"))))</f>
        <v>PRX</v>
      </c>
      <c r="S64" s="14">
        <f>IF(COUNTIFS(DATOS_MODELO!$C$2:$C$3672,$Q64&amp;"|"&amp;$E64&amp;"|"&amp;$O64&amp;"|CO2",DATOS_MODELO!$AA$2:$AA$3672,"&lt;&gt;")=0,"",INDEX(DATOS_MODELO!$AA$2:$AA$3672,MATCH($Q64&amp;"|"&amp;$E64&amp;"|"&amp;$O64&amp;"|CO2",DATOS_MODELO!$C$2:$C$3672,0)))</f>
        <v>100000.0</v>
      </c>
      <c r="T64" s="14">
        <f>IF(COUNTIFS(DATOS_MODELO!$C$2:$C$3672,$Q64&amp;"|"&amp;$E64&amp;"|"&amp;$O64&amp;"|CH4",DATOS_MODELO!$AA$2:$AA$3672,"&lt;&gt;")=0,"",INDEX(DATOS_MODELO!$AA$2:$AA$3672,MATCH($Q64&amp;"|"&amp;$E64&amp;"|"&amp;$O64&amp;"|CH4",DATOS_MODELO!$C$2:$C$3672,0)))</f>
        <v>30.0</v>
      </c>
      <c r="U64" s="14">
        <f>IF(COUNTIFS(DATOS_MODELO!$C$2:$C$3672,$Q64&amp;"|"&amp;$E64&amp;"|"&amp;$O64&amp;"|N2O",DATOS_MODELO!$AA$2:$AA$3672,"&lt;&gt;")=0,"",INDEX(DATOS_MODELO!$AA$2:$AA$3672,MATCH($Q64&amp;"|"&amp;$E64&amp;"|"&amp;$O64&amp;"|N2O",DATOS_MODELO!$C$2:$C$3672,0)))</f>
        <v>4.0</v>
      </c>
      <c r="V64" s="8"/>
      <c r="W64" s="14"/>
      <c r="X64" s="14">
        <f>IF($P64="BIOGENICO",0,IF(ISNUMBER($S64),$N64*$S64/PARAMETROS!$B$8,""))</f>
        <v>0.0</v>
      </c>
      <c r="Y64" s="14">
        <f>IF($P64="BIOGENICO",IF(ISNUMBER($S64),$N64*$S64/PARAMETROS!$B$8,""),0)</f>
        <v>448.50295</v>
      </c>
      <c r="Z64" s="14">
        <f>IF(ISNUMBER($T64),$N64*$T64/PARAMETROS!$B$8,"")</f>
        <v>0.134550885</v>
      </c>
      <c r="AA64" s="14">
        <f>IF(ISNUMBER($U64),$N64*$U64/PARAMETROS!$B$8,"")</f>
        <v>0.017940118</v>
      </c>
      <c r="AB64" s="14">
        <f>IF(COUNT($X64,$Z64,$AA64)=0,"",SUM($X64,IF(ISNUMBER($Z64),$Z64*PARAMETROS!$B$9,0),IF(ISNUMBER($AA64),$AA64*PARAMETROS!$B$10,0)))</f>
        <v>8.52155605</v>
      </c>
      <c r="AC64" s="4" t="s">
        <v>1990</v>
      </c>
      <c r="AD64" s="4"/>
      <c r="AE64" s="4" t="s">
        <v>5690</v>
      </c>
      <c r="AF64" s="4" t="s">
        <v>170</v>
      </c>
      <c r="AG64" s="4" t="inlineStr">
        <is>
          <t>MARN_GTM_BTR1_2024</t>
        </is>
      </c>
      <c r="AH64" s="4" t="inlineStr">
        <is>
          <t>Origen de factores: CO2: MARN_GTM_BTR1_2024 [PRX; BTR1 Guatemala 2024, tabla 3.6, p. 48; fila Otra biomasa sólida primaria; gas CO2]; CH4: MARN_GTM_BTR1_2024 [PRX; BTR1 Guatemala 2024, tabla 3.17, p. 57; fila Otra biomasa sólida primaria; gas CH4]; N2O: MARN_GTM_BTR1_2024 [PRX; BTR1 Guatemala 2024, tabla 3.17, p. 57; fila Otra biomasa sólida primaria; gas N2O].</t>
        </is>
      </c>
    </row>
    <row r="65" customFormat="false" ht="15" hidden="false" customHeight="false" outlineLevel="0" collapsed="false">
      <c r="A65" s="4" t="s">
        <v>5782</v>
      </c>
      <c r="B65" s="12" t="n">
        <v>2019</v>
      </c>
      <c r="C65" s="4" t="s">
        <v>67</v>
      </c>
      <c r="D65" s="4" t="s">
        <v>5685</v>
      </c>
      <c r="E65" s="4" t="s">
        <v>3341</v>
      </c>
      <c r="F65" s="4" t="s">
        <v>3342</v>
      </c>
      <c r="G65" s="4" t="s">
        <v>93</v>
      </c>
      <c r="H65" s="4" t="s">
        <v>2003</v>
      </c>
      <c r="I65" s="4" t="s">
        <v>67</v>
      </c>
      <c r="J65" s="4" t="s">
        <v>2001</v>
      </c>
      <c r="K65" s="4" t="s">
        <v>2002</v>
      </c>
      <c r="L65" s="4" t="s">
        <v>434</v>
      </c>
      <c r="M65" s="14" t="n">
        <f aca="false">SUMIFS(PSUT_LARGA!$K$2:$K$618,PSUT_LARGA!$B$2:$B$618,$B65,PSUT_LARGA!$H$2:$H$618,$L65,PSUT_LARGA!$E$2:$E$618,$J65,PSUT_LARGA!$F$2:$F$618,$K65,PSUT_LARGA!$G$2:$G$618,$I65,PSUT_LARGA!$I$2:$I$618,$H65)</f>
        <v>293.5793</v>
      </c>
      <c r="N65" s="14" t="n">
        <f aca="false">IF($H65="TRANSFORMACION_REFINERIA",$M65*INDEX(PARAMETROS!$C$27:$C$33,MATCH($B65,PARAMETROS!$A$27:$A$33,0)),$M65)</f>
        <v>293.5793</v>
      </c>
      <c r="O65" s="4" t="inlineStr">
        <is>
          <t>COMB_BIOGAS</t>
        </is>
      </c>
      <c r="P65" s="4" t="s">
        <v>3344</v>
      </c>
      <c r="Q65" s="11" t="n">
        <f aca="false">MIN($B65,2022)</f>
        <v>2019</v>
      </c>
      <c r="R65" s="8" t="str">
        <f>IF(COUNT($S65:$U65)=0,"NO",IF($O65="CERO_DIRECTO","CAL",IF(OR($B65&gt;$Q65,COUNTIFS(DATOS_MODELO!$C$2:$C$3672,$Q65&amp;"|"&amp;$E65&amp;"|"&amp;$O65&amp;"|*",DATOS_MODELO!$F$2:$F$3672,"PRX",DATOS_MODELO!$AA$2:$AA$3672,"&lt;&gt;")&gt;0),"PRX",IF(COUNTIFS(DATOS_MODELO!$C$2:$C$3672,$Q65&amp;"|"&amp;$E65&amp;"|"&amp;$O65&amp;"|*",DATOS_MODELO!$F$2:$F$3672,"CAL",DATOS_MODELO!$AA$2:$AA$3672,"&lt;&gt;")&gt;0,"CAL","OBS"))))</f>
        <v>PRX</v>
      </c>
      <c r="S65" s="14">
        <f>IF(COUNTIFS(DATOS_MODELO!$C$2:$C$3672,$Q65&amp;"|"&amp;$E65&amp;"|"&amp;$O65&amp;"|CO2",DATOS_MODELO!$AA$2:$AA$3672,"&lt;&gt;")=0,"",INDEX(DATOS_MODELO!$AA$2:$AA$3672,MATCH($Q65&amp;"|"&amp;$E65&amp;"|"&amp;$O65&amp;"|CO2",DATOS_MODELO!$C$2:$C$3672,0)))</f>
        <v>54600.0</v>
      </c>
      <c r="T65" s="14">
        <f>IF(COUNTIFS(DATOS_MODELO!$C$2:$C$3672,$Q65&amp;"|"&amp;$E65&amp;"|"&amp;$O65&amp;"|CH4",DATOS_MODELO!$AA$2:$AA$3672,"&lt;&gt;")=0,"",INDEX(DATOS_MODELO!$AA$2:$AA$3672,MATCH($Q65&amp;"|"&amp;$E65&amp;"|"&amp;$O65&amp;"|CH4",DATOS_MODELO!$C$2:$C$3672,0)))</f>
        <v>1.0</v>
      </c>
      <c r="U65" s="14">
        <f>IF(COUNTIFS(DATOS_MODELO!$C$2:$C$3672,$Q65&amp;"|"&amp;$E65&amp;"|"&amp;$O65&amp;"|N2O",DATOS_MODELO!$AA$2:$AA$3672,"&lt;&gt;")=0,"",INDEX(DATOS_MODELO!$AA$2:$AA$3672,MATCH($Q65&amp;"|"&amp;$E65&amp;"|"&amp;$O65&amp;"|N2O",DATOS_MODELO!$C$2:$C$3672,0)))</f>
        <v>0.1</v>
      </c>
      <c r="V65" s="8"/>
      <c r="W65" s="14"/>
      <c r="X65" s="14">
        <f>IF($P65="BIOGENICO",0,IF(ISNUMBER($S65),$N65*$S65/PARAMETROS!$B$8,""))</f>
        <v>0.0</v>
      </c>
      <c r="Y65" s="14">
        <f>IF($P65="BIOGENICO",IF(ISNUMBER($S65),$N65*$S65/PARAMETROS!$B$8,""),0)</f>
        <v>16.02942978</v>
      </c>
      <c r="Z65" s="14">
        <f>IF(ISNUMBER($T65),$N65*$T65/PARAMETROS!$B$8,"")</f>
        <v>0.0002935793</v>
      </c>
      <c r="AA65" s="14">
        <f>IF(ISNUMBER($U65),$N65*$U65/PARAMETROS!$B$8,"")</f>
        <v>2.935793e-05</v>
      </c>
      <c r="AB65" s="14">
        <f>IF(COUNT($X65,$Z65,$AA65)=0,"",SUM($X65,IF(ISNUMBER($Z65),$Z65*PARAMETROS!$B$9,0),IF(ISNUMBER($AA65),$AA65*PARAMETROS!$B$10,0)))</f>
        <v>0.01600007185</v>
      </c>
      <c r="AC65" s="4" t="s">
        <v>1990</v>
      </c>
      <c r="AD65" s="4"/>
      <c r="AE65" s="4" t="s">
        <v>5690</v>
      </c>
      <c r="AF65" s="4" t="s">
        <v>170</v>
      </c>
      <c r="AG65" s="4" t="inlineStr">
        <is>
          <t>MARN_GTM_BTR1_2024</t>
        </is>
      </c>
      <c r="AH65" s="4" t="inlineStr">
        <is>
          <t>Origen de factores: CO2: MARN_GTM_BTR1_2024 [PRX; BTR1 Guatemala 2024, tabla 3.6, p. 48; fila Gas de vertedero; gas CO2]; CH4: MARN_GTM_BTR1_2024 [PRX; BTR1 Guatemala 2024, tabla 3.17, p. 57; fila Gas de vertedero; gas CH4]; N2O: MARN_GTM_BTR1_2024 [PRX; BTR1 Guatemala 2024, tabla 3.17, p. 57; fila Gas de vertedero; gas N2O].</t>
        </is>
      </c>
    </row>
    <row r="66" customFormat="false" ht="15" hidden="false" customHeight="false" outlineLevel="0" collapsed="false">
      <c r="A66" s="4" t="s">
        <v>5783</v>
      </c>
      <c r="B66" s="12" t="n">
        <v>2019</v>
      </c>
      <c r="C66" s="4" t="s">
        <v>67</v>
      </c>
      <c r="D66" s="4" t="s">
        <v>5685</v>
      </c>
      <c r="E66" s="4" t="s">
        <v>3341</v>
      </c>
      <c r="F66" s="4" t="s">
        <v>3342</v>
      </c>
      <c r="G66" s="4" t="s">
        <v>93</v>
      </c>
      <c r="H66" s="4" t="s">
        <v>2008</v>
      </c>
      <c r="I66" s="4" t="s">
        <v>67</v>
      </c>
      <c r="J66" s="4" t="s">
        <v>2001</v>
      </c>
      <c r="K66" s="4" t="s">
        <v>2002</v>
      </c>
      <c r="L66" s="4" t="s">
        <v>435</v>
      </c>
      <c r="M66" s="14" t="n">
        <f aca="false">SUMIFS(PSUT_LARGA!$K$2:$K$618,PSUT_LARGA!$B$2:$B$618,$B66,PSUT_LARGA!$H$2:$H$618,$L66,PSUT_LARGA!$E$2:$E$618,$J66,PSUT_LARGA!$F$2:$F$618,$K66,PSUT_LARGA!$G$2:$G$618,$I66,PSUT_LARGA!$I$2:$I$618,$H66)</f>
        <v>19.173</v>
      </c>
      <c r="N66" s="14" t="n">
        <f aca="false">IF($H66="TRANSFORMACION_REFINERIA",$M66*INDEX(PARAMETROS!$C$27:$C$33,MATCH($B66,PARAMETROS!$A$27:$A$33,0)),$M66)</f>
        <v>19.173</v>
      </c>
      <c r="O66" s="4" t="inlineStr">
        <is>
          <t>COMB_BIOGAS</t>
        </is>
      </c>
      <c r="P66" s="4" t="s">
        <v>3344</v>
      </c>
      <c r="Q66" s="11" t="n">
        <f aca="false">MIN($B66,2022)</f>
        <v>2019</v>
      </c>
      <c r="R66" s="8" t="str">
        <f>IF(COUNT($S66:$U66)=0,"NO",IF($O66="CERO_DIRECTO","CAL",IF(OR($B66&gt;$Q66,COUNTIFS(DATOS_MODELO!$C$2:$C$3672,$Q66&amp;"|"&amp;$E66&amp;"|"&amp;$O66&amp;"|*",DATOS_MODELO!$F$2:$F$3672,"PRX",DATOS_MODELO!$AA$2:$AA$3672,"&lt;&gt;")&gt;0),"PRX",IF(COUNTIFS(DATOS_MODELO!$C$2:$C$3672,$Q66&amp;"|"&amp;$E66&amp;"|"&amp;$O66&amp;"|*",DATOS_MODELO!$F$2:$F$3672,"CAL",DATOS_MODELO!$AA$2:$AA$3672,"&lt;&gt;")&gt;0,"CAL","OBS"))))</f>
        <v>PRX</v>
      </c>
      <c r="S66" s="14">
        <f>IF(COUNTIFS(DATOS_MODELO!$C$2:$C$3672,$Q66&amp;"|"&amp;$E66&amp;"|"&amp;$O66&amp;"|CO2",DATOS_MODELO!$AA$2:$AA$3672,"&lt;&gt;")=0,"",INDEX(DATOS_MODELO!$AA$2:$AA$3672,MATCH($Q66&amp;"|"&amp;$E66&amp;"|"&amp;$O66&amp;"|CO2",DATOS_MODELO!$C$2:$C$3672,0)))</f>
        <v>54600.0</v>
      </c>
      <c r="T66" s="14">
        <f>IF(COUNTIFS(DATOS_MODELO!$C$2:$C$3672,$Q66&amp;"|"&amp;$E66&amp;"|"&amp;$O66&amp;"|CH4",DATOS_MODELO!$AA$2:$AA$3672,"&lt;&gt;")=0,"",INDEX(DATOS_MODELO!$AA$2:$AA$3672,MATCH($Q66&amp;"|"&amp;$E66&amp;"|"&amp;$O66&amp;"|CH4",DATOS_MODELO!$C$2:$C$3672,0)))</f>
        <v>1.0</v>
      </c>
      <c r="U66" s="14">
        <f>IF(COUNTIFS(DATOS_MODELO!$C$2:$C$3672,$Q66&amp;"|"&amp;$E66&amp;"|"&amp;$O66&amp;"|N2O",DATOS_MODELO!$AA$2:$AA$3672,"&lt;&gt;")=0,"",INDEX(DATOS_MODELO!$AA$2:$AA$3672,MATCH($Q66&amp;"|"&amp;$E66&amp;"|"&amp;$O66&amp;"|N2O",DATOS_MODELO!$C$2:$C$3672,0)))</f>
        <v>0.1</v>
      </c>
      <c r="V66" s="8"/>
      <c r="W66" s="14"/>
      <c r="X66" s="14">
        <f>IF($P66="BIOGENICO",0,IF(ISNUMBER($S66),$N66*$S66/PARAMETROS!$B$8,""))</f>
        <v>0.0</v>
      </c>
      <c r="Y66" s="14">
        <f>IF($P66="BIOGENICO",IF(ISNUMBER($S66),$N66*$S66/PARAMETROS!$B$8,""),0)</f>
        <v>1.0468458</v>
      </c>
      <c r="Z66" s="14">
        <f>IF(ISNUMBER($T66),$N66*$T66/PARAMETROS!$B$8,"")</f>
        <v>1.9173e-05</v>
      </c>
      <c r="AA66" s="14">
        <f>IF(ISNUMBER($U66),$N66*$U66/PARAMETROS!$B$8,"")</f>
        <v>1.9173e-06</v>
      </c>
      <c r="AB66" s="14">
        <f>IF(COUNT($X66,$Z66,$AA66)=0,"",SUM($X66,IF(ISNUMBER($Z66),$Z66*PARAMETROS!$B$9,0),IF(ISNUMBER($AA66),$AA66*PARAMETROS!$B$10,0)))</f>
        <v>0.0010449285</v>
      </c>
      <c r="AC66" s="4" t="s">
        <v>1990</v>
      </c>
      <c r="AD66" s="4"/>
      <c r="AE66" s="4" t="s">
        <v>5690</v>
      </c>
      <c r="AF66" s="4" t="s">
        <v>170</v>
      </c>
      <c r="AG66" s="4" t="inlineStr">
        <is>
          <t>MARN_GTM_BTR1_2024</t>
        </is>
      </c>
      <c r="AH66" s="4" t="inlineStr">
        <is>
          <t>Origen de factores: CO2: MARN_GTM_BTR1_2024 [PRX; BTR1 Guatemala 2024, tabla 3.6, p. 48; fila Gas de vertedero; gas CO2]; CH4: MARN_GTM_BTR1_2024 [PRX; BTR1 Guatemala 2024, tabla 3.17, p. 57; fila Gas de vertedero; gas CH4]; N2O: MARN_GTM_BTR1_2024 [PRX; BTR1 Guatemala 2024, tabla 3.17, p. 57; fila Gas de vertedero; gas N2O].</t>
        </is>
      </c>
    </row>
    <row r="67" customFormat="false" ht="15" hidden="false" customHeight="false" outlineLevel="0" collapsed="false">
      <c r="A67" s="4" t="s">
        <v>5784</v>
      </c>
      <c r="B67" s="12" t="n">
        <v>2019</v>
      </c>
      <c r="C67" s="4" t="s">
        <v>67</v>
      </c>
      <c r="D67" s="4" t="s">
        <v>5685</v>
      </c>
      <c r="E67" s="4" t="s">
        <v>3341</v>
      </c>
      <c r="F67" s="4" t="s">
        <v>3342</v>
      </c>
      <c r="G67" s="4" t="s">
        <v>76</v>
      </c>
      <c r="H67" s="4" t="s">
        <v>2003</v>
      </c>
      <c r="I67" s="4" t="s">
        <v>67</v>
      </c>
      <c r="J67" s="4" t="s">
        <v>2001</v>
      </c>
      <c r="K67" s="4" t="s">
        <v>2002</v>
      </c>
      <c r="L67" s="4" t="s">
        <v>448</v>
      </c>
      <c r="M67" s="14" t="n">
        <f aca="false">SUMIFS(PSUT_LARGA!$K$2:$K$618,PSUT_LARGA!$B$2:$B$618,$B67,PSUT_LARGA!$H$2:$H$618,$L67,PSUT_LARGA!$E$2:$E$618,$J67,PSUT_LARGA!$F$2:$F$618,$K67,PSUT_LARGA!$G$2:$G$618,$I67,PSUT_LARGA!$I$2:$I$618,$H67)</f>
        <v>50546.1285</v>
      </c>
      <c r="N67" s="14" t="n">
        <f aca="false">IF($H67="TRANSFORMACION_REFINERIA",$M67*INDEX(PARAMETROS!$C$27:$C$33,MATCH($B67,PARAMETROS!$A$27:$A$33,0)),$M67)</f>
        <v>50546.1285</v>
      </c>
      <c r="O67" s="4" t="inlineStr">
        <is>
          <t>COMB_CRBN</t>
        </is>
      </c>
      <c r="P67" s="4" t="s">
        <v>3352</v>
      </c>
      <c r="Q67" s="11" t="n">
        <f aca="false">MIN($B67,2022)</f>
        <v>2019</v>
      </c>
      <c r="R67" s="8" t="str">
        <f>IF(COUNT($S67:$U67)=0,"NO",IF($O67="CERO_DIRECTO","CAL",IF(OR($B67&gt;$Q67,COUNTIFS(DATOS_MODELO!$C$2:$C$3672,$Q67&amp;"|"&amp;$E67&amp;"|"&amp;$O67&amp;"|*",DATOS_MODELO!$F$2:$F$3672,"PRX",DATOS_MODELO!$AA$2:$AA$3672,"&lt;&gt;")&gt;0),"PRX",IF(COUNTIFS(DATOS_MODELO!$C$2:$C$3672,$Q67&amp;"|"&amp;$E67&amp;"|"&amp;$O67&amp;"|*",DATOS_MODELO!$F$2:$F$3672,"CAL",DATOS_MODELO!$AA$2:$AA$3672,"&lt;&gt;")&gt;0,"CAL","OBS"))))</f>
        <v>PRX</v>
      </c>
      <c r="S67" s="14">
        <f>IF(COUNTIFS(DATOS_MODELO!$C$2:$C$3672,$Q67&amp;"|"&amp;$E67&amp;"|"&amp;$O67&amp;"|CO2",DATOS_MODELO!$AA$2:$AA$3672,"&lt;&gt;")=0,"",INDEX(DATOS_MODELO!$AA$2:$AA$3672,MATCH($Q67&amp;"|"&amp;$E67&amp;"|"&amp;$O67&amp;"|CO2",DATOS_MODELO!$C$2:$C$3672,0)))</f>
        <v>98300.0</v>
      </c>
      <c r="T67" s="14">
        <f>IF(COUNTIFS(DATOS_MODELO!$C$2:$C$3672,$Q67&amp;"|"&amp;$E67&amp;"|"&amp;$O67&amp;"|CH4",DATOS_MODELO!$AA$2:$AA$3672,"&lt;&gt;")=0,"",INDEX(DATOS_MODELO!$AA$2:$AA$3672,MATCH($Q67&amp;"|"&amp;$E67&amp;"|"&amp;$O67&amp;"|CH4",DATOS_MODELO!$C$2:$C$3672,0)))</f>
        <v>1.0</v>
      </c>
      <c r="U67" s="14">
        <f>IF(COUNTIFS(DATOS_MODELO!$C$2:$C$3672,$Q67&amp;"|"&amp;$E67&amp;"|"&amp;$O67&amp;"|N2O",DATOS_MODELO!$AA$2:$AA$3672,"&lt;&gt;")=0,"",INDEX(DATOS_MODELO!$AA$2:$AA$3672,MATCH($Q67&amp;"|"&amp;$E67&amp;"|"&amp;$O67&amp;"|N2O",DATOS_MODELO!$C$2:$C$3672,0)))</f>
        <v>1.5</v>
      </c>
      <c r="V67" s="8"/>
      <c r="W67" s="14"/>
      <c r="X67" s="14">
        <f>IF($P67="BIOGENICO",0,IF(ISNUMBER($S67),$N67*$S67/PARAMETROS!$B$8,""))</f>
        <v>4968.68443155</v>
      </c>
      <c r="Y67" s="14">
        <f>IF($P67="BIOGENICO",IF(ISNUMBER($S67),$N67*$S67/PARAMETROS!$B$8,""),0)</f>
        <v>0.0</v>
      </c>
      <c r="Z67" s="14">
        <f>IF(ISNUMBER($T67),$N67*$T67/PARAMETROS!$B$8,"")</f>
        <v>0.0505461285</v>
      </c>
      <c r="AA67" s="14">
        <f>IF(ISNUMBER($U67),$N67*$U67/PARAMETROS!$B$8,"")</f>
        <v>0.07581919275</v>
      </c>
      <c r="AB67" s="14">
        <f>IF(COUNT($X67,$Z67,$AA67)=0,"",SUM($X67,IF(ISNUMBER($Z67),$Z67*PARAMETROS!$B$9,0),IF(ISNUMBER($AA67),$AA67*PARAMETROS!$B$10,0)))</f>
        <v>4990.19180922675</v>
      </c>
      <c r="AC67" s="4" t="s">
        <v>1990</v>
      </c>
      <c r="AD67" s="4"/>
      <c r="AE67" s="4" t="s">
        <v>5690</v>
      </c>
      <c r="AF67" s="4" t="s">
        <v>170</v>
      </c>
      <c r="AG67" s="4" t="inlineStr">
        <is>
          <t>MARN_GTM_BTR1_2024</t>
        </is>
      </c>
      <c r="AH67" s="4" t="inlineStr">
        <is>
          <t>Origen de factores: CO2: MARN_GTM_BTR1_2024 [PRX; BTR1 Guatemala 2024, tabla 3.6, p. 48; fila Otro carbón bituminoso*; gas CO2]; CH4: MARN_GTM_BTR1_2024 [PRX; BTR1 Guatemala 2024, tabla 3.17, p. 57; fila Otro carbón bituminoso; gas CH4]; N2O: MARN_GTM_BTR1_2024 [PRX; BTR1 Guatemala 2024, tabla 3.17, p. 57; fila Otro carbón bituminoso; gas N2O].</t>
        </is>
      </c>
    </row>
    <row r="68" customFormat="false" ht="23.85" hidden="false" customHeight="false" outlineLevel="0" collapsed="false">
      <c r="A68" s="4" t="s">
        <v>5785</v>
      </c>
      <c r="B68" s="12" t="n">
        <v>2019</v>
      </c>
      <c r="C68" s="4" t="s">
        <v>67</v>
      </c>
      <c r="D68" s="4" t="s">
        <v>5685</v>
      </c>
      <c r="E68" s="4" t="s">
        <v>3341</v>
      </c>
      <c r="F68" s="4" t="s">
        <v>3342</v>
      </c>
      <c r="G68" s="4" t="s">
        <v>78</v>
      </c>
      <c r="H68" s="4" t="s">
        <v>2003</v>
      </c>
      <c r="I68" s="4" t="s">
        <v>67</v>
      </c>
      <c r="J68" s="4" t="s">
        <v>2001</v>
      </c>
      <c r="K68" s="4" t="s">
        <v>66</v>
      </c>
      <c r="L68" s="4" t="s">
        <v>462</v>
      </c>
      <c r="M68" s="14" t="n">
        <f aca="false">SUMIFS(PSUT_LARGA!$K$2:$K$618,PSUT_LARGA!$B$2:$B$618,$B68,PSUT_LARGA!$H$2:$H$618,$L68,PSUT_LARGA!$E$2:$E$618,$J68,PSUT_LARGA!$F$2:$F$618,$K68,PSUT_LARGA!$G$2:$G$618,$I68,PSUT_LARGA!$I$2:$I$618,$H68)</f>
        <v>794.8661</v>
      </c>
      <c r="N68" s="14" t="n">
        <f aca="false">IF($H68="TRANSFORMACION_REFINERIA",$M68*INDEX(PARAMETROS!$C$27:$C$33,MATCH($B68,PARAMETROS!$A$27:$A$33,0)),$M68)</f>
        <v>794.8661</v>
      </c>
      <c r="O68" s="4" t="s">
        <v>3362</v>
      </c>
      <c r="P68" s="4" t="s">
        <v>3363</v>
      </c>
      <c r="Q68" s="11" t="n">
        <f aca="false">MIN($B68,2022)</f>
        <v>2019</v>
      </c>
      <c r="R68" s="8" t="str">
        <f>IF(COUNT($S68:$U68)=0,"NO",IF($O68="CERO_DIRECTO","CAL",IF(OR($B68&gt;$Q68,COUNTIFS(DATOS_MODELO!$C$2:$C$3672,$Q68&amp;"|"&amp;$E68&amp;"|"&amp;$O68&amp;"|*",DATOS_MODELO!$F$2:$F$3672,"PRX",DATOS_MODELO!$AA$2:$AA$3672,"&lt;&gt;")&gt;0),"PRX",IF(COUNTIFS(DATOS_MODELO!$C$2:$C$3672,$Q68&amp;"|"&amp;$E68&amp;"|"&amp;$O68&amp;"|*",DATOS_MODELO!$F$2:$F$3672,"CAL",DATOS_MODELO!$AA$2:$AA$3672,"&lt;&gt;")&gt;0,"CAL","OBS"))))</f>
        <v>CAL</v>
      </c>
      <c r="S68" s="14">
        <f>IF(COUNTIFS(DATOS_MODELO!$C$2:$C$3672,$Q68&amp;"|"&amp;$E68&amp;"|"&amp;$O68&amp;"|CO2",DATOS_MODELO!$AA$2:$AA$3672,"&lt;&gt;")=0,"",INDEX(DATOS_MODELO!$AA$2:$AA$3672,MATCH($Q68&amp;"|"&amp;$E68&amp;"|"&amp;$O68&amp;"|CO2",DATOS_MODELO!$C$2:$C$3672,0)))</f>
        <v>0.0</v>
      </c>
      <c r="T68" s="14">
        <f>IF(COUNTIFS(DATOS_MODELO!$C$2:$C$3672,$Q68&amp;"|"&amp;$E68&amp;"|"&amp;$O68&amp;"|CH4",DATOS_MODELO!$AA$2:$AA$3672,"&lt;&gt;")=0,"",INDEX(DATOS_MODELO!$AA$2:$AA$3672,MATCH($Q68&amp;"|"&amp;$E68&amp;"|"&amp;$O68&amp;"|CH4",DATOS_MODELO!$C$2:$C$3672,0)))</f>
        <v>0.0</v>
      </c>
      <c r="U68" s="14">
        <f>IF(COUNTIFS(DATOS_MODELO!$C$2:$C$3672,$Q68&amp;"|"&amp;$E68&amp;"|"&amp;$O68&amp;"|N2O",DATOS_MODELO!$AA$2:$AA$3672,"&lt;&gt;")=0,"",INDEX(DATOS_MODELO!$AA$2:$AA$3672,MATCH($Q68&amp;"|"&amp;$E68&amp;"|"&amp;$O68&amp;"|N2O",DATOS_MODELO!$C$2:$C$3672,0)))</f>
        <v>0.0</v>
      </c>
      <c r="V68" s="8"/>
      <c r="W68" s="14"/>
      <c r="X68" s="14">
        <f>IF($P68="BIOGENICO",0,IF(ISNUMBER($S68),$N68*$S68/PARAMETROS!$B$8,""))</f>
        <v>0.0</v>
      </c>
      <c r="Y68" s="14">
        <f>IF($P68="BIOGENICO",IF(ISNUMBER($S68),$N68*$S68/PARAMETROS!$B$8,""),0)</f>
        <v>0.0</v>
      </c>
      <c r="Z68" s="14">
        <f>IF(ISNUMBER($T68),$N68*$T68/PARAMETROS!$B$8,"")</f>
        <v>0.0</v>
      </c>
      <c r="AA68" s="14">
        <f>IF(ISNUMBER($U68),$N68*$U68/PARAMETROS!$B$8,"")</f>
        <v>0.0</v>
      </c>
      <c r="AB68" s="14">
        <f>IF(COUNT($X68,$Z68,$AA68)=0,"",SUM($X68,IF(ISNUMBER($Z68),$Z68*PARAMETROS!$B$9,0),IF(ISNUMBER($AA68),$AA68*PARAMETROS!$B$10,0)))</f>
        <v>0.0</v>
      </c>
      <c r="AC68" s="4" t="s">
        <v>1990</v>
      </c>
      <c r="AD68" s="4"/>
      <c r="AE68" s="4" t="s">
        <v>3362</v>
      </c>
      <c r="AF68" s="4" t="s">
        <v>170</v>
      </c>
      <c r="AG68" s="4" t="inlineStr">
        <is>
          <t>METODO_EMISIONES</t>
        </is>
      </c>
      <c r="AH68" s="4"/>
    </row>
    <row r="69" customFormat="false" ht="23.85" hidden="false" customHeight="false" outlineLevel="0" collapsed="false">
      <c r="A69" s="4" t="s">
        <v>5786</v>
      </c>
      <c r="B69" s="12" t="n">
        <v>2019</v>
      </c>
      <c r="C69" s="4" t="s">
        <v>67</v>
      </c>
      <c r="D69" s="4" t="s">
        <v>5685</v>
      </c>
      <c r="E69" s="4" t="s">
        <v>3341</v>
      </c>
      <c r="F69" s="4" t="s">
        <v>3342</v>
      </c>
      <c r="G69" s="4" t="s">
        <v>80</v>
      </c>
      <c r="H69" s="4" t="s">
        <v>2003</v>
      </c>
      <c r="I69" s="4" t="s">
        <v>67</v>
      </c>
      <c r="J69" s="4" t="s">
        <v>2001</v>
      </c>
      <c r="K69" s="4" t="s">
        <v>66</v>
      </c>
      <c r="L69" s="4" t="s">
        <v>476</v>
      </c>
      <c r="M69" s="14" t="n">
        <f aca="false">SUMIFS(PSUT_LARGA!$K$2:$K$618,PSUT_LARGA!$B$2:$B$618,$B69,PSUT_LARGA!$H$2:$H$618,$L69,PSUT_LARGA!$E$2:$E$618,$J69,PSUT_LARGA!$F$2:$F$618,$K69,PSUT_LARGA!$G$2:$G$618,$I69,PSUT_LARGA!$I$2:$I$618,$H69)</f>
        <v>10815.4893</v>
      </c>
      <c r="N69" s="14" t="n">
        <f aca="false">IF($H69="TRANSFORMACION_REFINERIA",$M69*INDEX(PARAMETROS!$C$27:$C$33,MATCH($B69,PARAMETROS!$A$27:$A$33,0)),$M69)</f>
        <v>10815.4893</v>
      </c>
      <c r="O69" s="4" t="s">
        <v>3362</v>
      </c>
      <c r="P69" s="4" t="s">
        <v>3363</v>
      </c>
      <c r="Q69" s="11" t="n">
        <f aca="false">MIN($B69,2022)</f>
        <v>2019</v>
      </c>
      <c r="R69" s="8" t="str">
        <f>IF(COUNT($S69:$U69)=0,"NO",IF($O69="CERO_DIRECTO","CAL",IF(OR($B69&gt;$Q69,COUNTIFS(DATOS_MODELO!$C$2:$C$3672,$Q69&amp;"|"&amp;$E69&amp;"|"&amp;$O69&amp;"|*",DATOS_MODELO!$F$2:$F$3672,"PRX",DATOS_MODELO!$AA$2:$AA$3672,"&lt;&gt;")&gt;0),"PRX",IF(COUNTIFS(DATOS_MODELO!$C$2:$C$3672,$Q69&amp;"|"&amp;$E69&amp;"|"&amp;$O69&amp;"|*",DATOS_MODELO!$F$2:$F$3672,"CAL",DATOS_MODELO!$AA$2:$AA$3672,"&lt;&gt;")&gt;0,"CAL","OBS"))))</f>
        <v>CAL</v>
      </c>
      <c r="S69" s="14">
        <f>IF(COUNTIFS(DATOS_MODELO!$C$2:$C$3672,$Q69&amp;"|"&amp;$E69&amp;"|"&amp;$O69&amp;"|CO2",DATOS_MODELO!$AA$2:$AA$3672,"&lt;&gt;")=0,"",INDEX(DATOS_MODELO!$AA$2:$AA$3672,MATCH($Q69&amp;"|"&amp;$E69&amp;"|"&amp;$O69&amp;"|CO2",DATOS_MODELO!$C$2:$C$3672,0)))</f>
        <v>0.0</v>
      </c>
      <c r="T69" s="14">
        <f>IF(COUNTIFS(DATOS_MODELO!$C$2:$C$3672,$Q69&amp;"|"&amp;$E69&amp;"|"&amp;$O69&amp;"|CH4",DATOS_MODELO!$AA$2:$AA$3672,"&lt;&gt;")=0,"",INDEX(DATOS_MODELO!$AA$2:$AA$3672,MATCH($Q69&amp;"|"&amp;$E69&amp;"|"&amp;$O69&amp;"|CH4",DATOS_MODELO!$C$2:$C$3672,0)))</f>
        <v>0.0</v>
      </c>
      <c r="U69" s="14">
        <f>IF(COUNTIFS(DATOS_MODELO!$C$2:$C$3672,$Q69&amp;"|"&amp;$E69&amp;"|"&amp;$O69&amp;"|N2O",DATOS_MODELO!$AA$2:$AA$3672,"&lt;&gt;")=0,"",INDEX(DATOS_MODELO!$AA$2:$AA$3672,MATCH($Q69&amp;"|"&amp;$E69&amp;"|"&amp;$O69&amp;"|N2O",DATOS_MODELO!$C$2:$C$3672,0)))</f>
        <v>0.0</v>
      </c>
      <c r="V69" s="8"/>
      <c r="W69" s="14"/>
      <c r="X69" s="14">
        <f>IF($P69="BIOGENICO",0,IF(ISNUMBER($S69),$N69*$S69/PARAMETROS!$B$8,""))</f>
        <v>0.0</v>
      </c>
      <c r="Y69" s="14">
        <f>IF($P69="BIOGENICO",IF(ISNUMBER($S69),$N69*$S69/PARAMETROS!$B$8,""),0)</f>
        <v>0.0</v>
      </c>
      <c r="Z69" s="14">
        <f>IF(ISNUMBER($T69),$N69*$T69/PARAMETROS!$B$8,"")</f>
        <v>0.0</v>
      </c>
      <c r="AA69" s="14">
        <f>IF(ISNUMBER($U69),$N69*$U69/PARAMETROS!$B$8,"")</f>
        <v>0.0</v>
      </c>
      <c r="AB69" s="14">
        <f>IF(COUNT($X69,$Z69,$AA69)=0,"",SUM($X69,IF(ISNUMBER($Z69),$Z69*PARAMETROS!$B$9,0),IF(ISNUMBER($AA69),$AA69*PARAMETROS!$B$10,0)))</f>
        <v>0.0</v>
      </c>
      <c r="AC69" s="4" t="s">
        <v>1990</v>
      </c>
      <c r="AD69" s="4"/>
      <c r="AE69" s="4" t="s">
        <v>3362</v>
      </c>
      <c r="AF69" s="4" t="s">
        <v>170</v>
      </c>
      <c r="AG69" s="4" t="inlineStr">
        <is>
          <t>METODO_EMISIONES</t>
        </is>
      </c>
      <c r="AH69" s="4"/>
    </row>
    <row r="70" customFormat="false" ht="23.85" hidden="false" customHeight="false" outlineLevel="0" collapsed="false">
      <c r="A70" s="4" t="s">
        <v>5787</v>
      </c>
      <c r="B70" s="12" t="n">
        <v>2019</v>
      </c>
      <c r="C70" s="4" t="s">
        <v>67</v>
      </c>
      <c r="D70" s="4" t="s">
        <v>5685</v>
      </c>
      <c r="E70" s="4" t="s">
        <v>3341</v>
      </c>
      <c r="F70" s="4" t="s">
        <v>3342</v>
      </c>
      <c r="G70" s="4" t="s">
        <v>84</v>
      </c>
      <c r="H70" s="4" t="s">
        <v>2003</v>
      </c>
      <c r="I70" s="4" t="s">
        <v>67</v>
      </c>
      <c r="J70" s="4" t="s">
        <v>2001</v>
      </c>
      <c r="K70" s="4" t="s">
        <v>66</v>
      </c>
      <c r="L70" s="4" t="s">
        <v>490</v>
      </c>
      <c r="M70" s="14" t="n">
        <f aca="false">SUMIFS(PSUT_LARGA!$K$2:$K$618,PSUT_LARGA!$B$2:$B$618,$B70,PSUT_LARGA!$H$2:$H$618,$L70,PSUT_LARGA!$E$2:$E$618,$J70,PSUT_LARGA!$F$2:$F$618,$K70,PSUT_LARGA!$G$2:$G$618,$I70,PSUT_LARGA!$I$2:$I$618,$H70)</f>
        <v>26294.2589</v>
      </c>
      <c r="N70" s="14" t="n">
        <f aca="false">IF($H70="TRANSFORMACION_REFINERIA",$M70*INDEX(PARAMETROS!$C$27:$C$33,MATCH($B70,PARAMETROS!$A$27:$A$33,0)),$M70)</f>
        <v>26294.2589</v>
      </c>
      <c r="O70" s="4" t="s">
        <v>3362</v>
      </c>
      <c r="P70" s="4" t="s">
        <v>3363</v>
      </c>
      <c r="Q70" s="11" t="n">
        <f aca="false">MIN($B70,2022)</f>
        <v>2019</v>
      </c>
      <c r="R70" s="8" t="str">
        <f>IF(COUNT($S70:$U70)=0,"NO",IF($O70="CERO_DIRECTO","CAL",IF(OR($B70&gt;$Q70,COUNTIFS(DATOS_MODELO!$C$2:$C$3672,$Q70&amp;"|"&amp;$E70&amp;"|"&amp;$O70&amp;"|*",DATOS_MODELO!$F$2:$F$3672,"PRX",DATOS_MODELO!$AA$2:$AA$3672,"&lt;&gt;")&gt;0),"PRX",IF(COUNTIFS(DATOS_MODELO!$C$2:$C$3672,$Q70&amp;"|"&amp;$E70&amp;"|"&amp;$O70&amp;"|*",DATOS_MODELO!$F$2:$F$3672,"CAL",DATOS_MODELO!$AA$2:$AA$3672,"&lt;&gt;")&gt;0,"CAL","OBS"))))</f>
        <v>CAL</v>
      </c>
      <c r="S70" s="14">
        <f>IF(COUNTIFS(DATOS_MODELO!$C$2:$C$3672,$Q70&amp;"|"&amp;$E70&amp;"|"&amp;$O70&amp;"|CO2",DATOS_MODELO!$AA$2:$AA$3672,"&lt;&gt;")=0,"",INDEX(DATOS_MODELO!$AA$2:$AA$3672,MATCH($Q70&amp;"|"&amp;$E70&amp;"|"&amp;$O70&amp;"|CO2",DATOS_MODELO!$C$2:$C$3672,0)))</f>
        <v>0.0</v>
      </c>
      <c r="T70" s="14">
        <f>IF(COUNTIFS(DATOS_MODELO!$C$2:$C$3672,$Q70&amp;"|"&amp;$E70&amp;"|"&amp;$O70&amp;"|CH4",DATOS_MODELO!$AA$2:$AA$3672,"&lt;&gt;")=0,"",INDEX(DATOS_MODELO!$AA$2:$AA$3672,MATCH($Q70&amp;"|"&amp;$E70&amp;"|"&amp;$O70&amp;"|CH4",DATOS_MODELO!$C$2:$C$3672,0)))</f>
        <v>0.0</v>
      </c>
      <c r="U70" s="14">
        <f>IF(COUNTIFS(DATOS_MODELO!$C$2:$C$3672,$Q70&amp;"|"&amp;$E70&amp;"|"&amp;$O70&amp;"|N2O",DATOS_MODELO!$AA$2:$AA$3672,"&lt;&gt;")=0,"",INDEX(DATOS_MODELO!$AA$2:$AA$3672,MATCH($Q70&amp;"|"&amp;$E70&amp;"|"&amp;$O70&amp;"|N2O",DATOS_MODELO!$C$2:$C$3672,0)))</f>
        <v>0.0</v>
      </c>
      <c r="V70" s="8"/>
      <c r="W70" s="14"/>
      <c r="X70" s="14">
        <f>IF($P70="BIOGENICO",0,IF(ISNUMBER($S70),$N70*$S70/PARAMETROS!$B$8,""))</f>
        <v>0.0</v>
      </c>
      <c r="Y70" s="14">
        <f>IF($P70="BIOGENICO",IF(ISNUMBER($S70),$N70*$S70/PARAMETROS!$B$8,""),0)</f>
        <v>0.0</v>
      </c>
      <c r="Z70" s="14">
        <f>IF(ISNUMBER($T70),$N70*$T70/PARAMETROS!$B$8,"")</f>
        <v>0.0</v>
      </c>
      <c r="AA70" s="14">
        <f>IF(ISNUMBER($U70),$N70*$U70/PARAMETROS!$B$8,"")</f>
        <v>0.0</v>
      </c>
      <c r="AB70" s="14">
        <f>IF(COUNT($X70,$Z70,$AA70)=0,"",SUM($X70,IF(ISNUMBER($Z70),$Z70*PARAMETROS!$B$9,0),IF(ISNUMBER($AA70),$AA70*PARAMETROS!$B$10,0)))</f>
        <v>0.0</v>
      </c>
      <c r="AC70" s="4" t="s">
        <v>1990</v>
      </c>
      <c r="AD70" s="4"/>
      <c r="AE70" s="4" t="s">
        <v>3362</v>
      </c>
      <c r="AF70" s="4" t="s">
        <v>170</v>
      </c>
      <c r="AG70" s="4" t="inlineStr">
        <is>
          <t>METODO_EMISIONES</t>
        </is>
      </c>
      <c r="AH70" s="4"/>
    </row>
    <row r="71" customFormat="false" ht="23.85" hidden="false" customHeight="false" outlineLevel="0" collapsed="false">
      <c r="A71" s="4" t="s">
        <v>5788</v>
      </c>
      <c r="B71" s="12" t="n">
        <v>2019</v>
      </c>
      <c r="C71" s="4" t="s">
        <v>67</v>
      </c>
      <c r="D71" s="4" t="s">
        <v>5685</v>
      </c>
      <c r="E71" s="4" t="s">
        <v>3341</v>
      </c>
      <c r="F71" s="4" t="s">
        <v>3342</v>
      </c>
      <c r="G71" s="4" t="s">
        <v>84</v>
      </c>
      <c r="H71" s="4" t="s">
        <v>2008</v>
      </c>
      <c r="I71" s="4" t="s">
        <v>67</v>
      </c>
      <c r="J71" s="4" t="s">
        <v>2001</v>
      </c>
      <c r="K71" s="4" t="s">
        <v>66</v>
      </c>
      <c r="L71" s="4" t="s">
        <v>491</v>
      </c>
      <c r="M71" s="14" t="n">
        <f aca="false">SUMIFS(PSUT_LARGA!$K$2:$K$618,PSUT_LARGA!$B$2:$B$618,$B71,PSUT_LARGA!$H$2:$H$618,$L71,PSUT_LARGA!$E$2:$E$618,$J71,PSUT_LARGA!$F$2:$F$618,$K71,PSUT_LARGA!$G$2:$G$618,$I71,PSUT_LARGA!$I$2:$I$618,$H71)</f>
        <v>96.5622</v>
      </c>
      <c r="N71" s="14" t="n">
        <f aca="false">IF($H71="TRANSFORMACION_REFINERIA",$M71*INDEX(PARAMETROS!$C$27:$C$33,MATCH($B71,PARAMETROS!$A$27:$A$33,0)),$M71)</f>
        <v>96.5622</v>
      </c>
      <c r="O71" s="4" t="s">
        <v>3362</v>
      </c>
      <c r="P71" s="4" t="s">
        <v>3363</v>
      </c>
      <c r="Q71" s="11" t="n">
        <f aca="false">MIN($B71,2022)</f>
        <v>2019</v>
      </c>
      <c r="R71" s="8" t="str">
        <f>IF(COUNT($S71:$U71)=0,"NO",IF($O71="CERO_DIRECTO","CAL",IF(OR($B71&gt;$Q71,COUNTIFS(DATOS_MODELO!$C$2:$C$3672,$Q71&amp;"|"&amp;$E71&amp;"|"&amp;$O71&amp;"|*",DATOS_MODELO!$F$2:$F$3672,"PRX",DATOS_MODELO!$AA$2:$AA$3672,"&lt;&gt;")&gt;0),"PRX",IF(COUNTIFS(DATOS_MODELO!$C$2:$C$3672,$Q71&amp;"|"&amp;$E71&amp;"|"&amp;$O71&amp;"|*",DATOS_MODELO!$F$2:$F$3672,"CAL",DATOS_MODELO!$AA$2:$AA$3672,"&lt;&gt;")&gt;0,"CAL","OBS"))))</f>
        <v>CAL</v>
      </c>
      <c r="S71" s="14">
        <f>IF(COUNTIFS(DATOS_MODELO!$C$2:$C$3672,$Q71&amp;"|"&amp;$E71&amp;"|"&amp;$O71&amp;"|CO2",DATOS_MODELO!$AA$2:$AA$3672,"&lt;&gt;")=0,"",INDEX(DATOS_MODELO!$AA$2:$AA$3672,MATCH($Q71&amp;"|"&amp;$E71&amp;"|"&amp;$O71&amp;"|CO2",DATOS_MODELO!$C$2:$C$3672,0)))</f>
        <v>0.0</v>
      </c>
      <c r="T71" s="14">
        <f>IF(COUNTIFS(DATOS_MODELO!$C$2:$C$3672,$Q71&amp;"|"&amp;$E71&amp;"|"&amp;$O71&amp;"|CH4",DATOS_MODELO!$AA$2:$AA$3672,"&lt;&gt;")=0,"",INDEX(DATOS_MODELO!$AA$2:$AA$3672,MATCH($Q71&amp;"|"&amp;$E71&amp;"|"&amp;$O71&amp;"|CH4",DATOS_MODELO!$C$2:$C$3672,0)))</f>
        <v>0.0</v>
      </c>
      <c r="U71" s="14">
        <f>IF(COUNTIFS(DATOS_MODELO!$C$2:$C$3672,$Q71&amp;"|"&amp;$E71&amp;"|"&amp;$O71&amp;"|N2O",DATOS_MODELO!$AA$2:$AA$3672,"&lt;&gt;")=0,"",INDEX(DATOS_MODELO!$AA$2:$AA$3672,MATCH($Q71&amp;"|"&amp;$E71&amp;"|"&amp;$O71&amp;"|N2O",DATOS_MODELO!$C$2:$C$3672,0)))</f>
        <v>0.0</v>
      </c>
      <c r="V71" s="8"/>
      <c r="W71" s="14"/>
      <c r="X71" s="14">
        <f>IF($P71="BIOGENICO",0,IF(ISNUMBER($S71),$N71*$S71/PARAMETROS!$B$8,""))</f>
        <v>0.0</v>
      </c>
      <c r="Y71" s="14">
        <f>IF($P71="BIOGENICO",IF(ISNUMBER($S71),$N71*$S71/PARAMETROS!$B$8,""),0)</f>
        <v>0.0</v>
      </c>
      <c r="Z71" s="14">
        <f>IF(ISNUMBER($T71),$N71*$T71/PARAMETROS!$B$8,"")</f>
        <v>0.0</v>
      </c>
      <c r="AA71" s="14">
        <f>IF(ISNUMBER($U71),$N71*$U71/PARAMETROS!$B$8,"")</f>
        <v>0.0</v>
      </c>
      <c r="AB71" s="14">
        <f>IF(COUNT($X71,$Z71,$AA71)=0,"",SUM($X71,IF(ISNUMBER($Z71),$Z71*PARAMETROS!$B$9,0),IF(ISNUMBER($AA71),$AA71*PARAMETROS!$B$10,0)))</f>
        <v>0.0</v>
      </c>
      <c r="AC71" s="4" t="s">
        <v>1990</v>
      </c>
      <c r="AD71" s="4"/>
      <c r="AE71" s="4" t="s">
        <v>3362</v>
      </c>
      <c r="AF71" s="4" t="s">
        <v>170</v>
      </c>
      <c r="AG71" s="4" t="inlineStr">
        <is>
          <t>METODO_EMISIONES</t>
        </is>
      </c>
      <c r="AH71" s="4"/>
    </row>
    <row r="72" customFormat="false" ht="15" hidden="false" customHeight="false" outlineLevel="0" collapsed="false">
      <c r="A72" s="4" t="s">
        <v>5789</v>
      </c>
      <c r="B72" s="12" t="n">
        <v>2019</v>
      </c>
      <c r="C72" s="4" t="s">
        <v>67</v>
      </c>
      <c r="D72" s="4" t="s">
        <v>5685</v>
      </c>
      <c r="E72" s="4" t="s">
        <v>3395</v>
      </c>
      <c r="F72" s="4" t="s">
        <v>3396</v>
      </c>
      <c r="G72" s="4" t="s">
        <v>86</v>
      </c>
      <c r="H72" s="4" t="s">
        <v>2097</v>
      </c>
      <c r="I72" s="4" t="s">
        <v>67</v>
      </c>
      <c r="J72" s="4" t="s">
        <v>2001</v>
      </c>
      <c r="K72" s="4" t="s">
        <v>2002</v>
      </c>
      <c r="L72" s="4" t="s">
        <v>517</v>
      </c>
      <c r="M72" s="14" t="n">
        <f aca="false">SUMIFS(PSUT_LARGA!$K$2:$K$618,PSUT_LARGA!$B$2:$B$618,$B72,PSUT_LARGA!$H$2:$H$618,$L72,PSUT_LARGA!$E$2:$E$618,$J72,PSUT_LARGA!$F$2:$F$618,$K72,PSUT_LARGA!$G$2:$G$618,$I72,PSUT_LARGA!$I$2:$I$618,$H72)</f>
        <v>5391.6219</v>
      </c>
      <c r="N72" s="14" t="n">
        <f aca="false">IF($H72="TRANSFORMACION_REFINERIA",$M72*INDEX(PARAMETROS!$C$27:$C$33,MATCH($B72,PARAMETROS!$A$27:$A$33,0)),$M72)</f>
        <v>7.51205924</v>
      </c>
      <c r="O72" s="4" t="s">
        <v>3397</v>
      </c>
      <c r="P72" s="4" t="s">
        <v>3352</v>
      </c>
      <c r="Q72" s="11" t="n">
        <f aca="false">MIN($B72,2022)</f>
        <v>2019</v>
      </c>
      <c r="R72" s="8" t="str">
        <f>IF(COUNT($S72:$U72)=0,"NO",IF($O72="CERO_DIRECTO","CAL",IF(OR($B72&gt;$Q72,COUNTIFS(DATOS_MODELO!$C$2:$C$3672,$Q72&amp;"|"&amp;$E72&amp;"|"&amp;$O72&amp;"|*",DATOS_MODELO!$F$2:$F$3672,"PRX",DATOS_MODELO!$AA$2:$AA$3672,"&lt;&gt;")&gt;0),"PRX",IF(COUNTIFS(DATOS_MODELO!$C$2:$C$3672,$Q72&amp;"|"&amp;$E72&amp;"|"&amp;$O72&amp;"|*",DATOS_MODELO!$F$2:$F$3672,"CAL",DATOS_MODELO!$AA$2:$AA$3672,"&lt;&gt;")&gt;0,"CAL","OBS"))))</f>
        <v>OBS</v>
      </c>
      <c r="S72" s="14">
        <f>IF(COUNTIFS(DATOS_MODELO!$C$2:$C$3672,$Q72&amp;"|"&amp;$E72&amp;"|"&amp;$O72&amp;"|CO2",DATOS_MODELO!$AA$2:$AA$3672,"&lt;&gt;")=0,"",INDEX(DATOS_MODELO!$AA$2:$AA$3672,MATCH($Q72&amp;"|"&amp;$E72&amp;"|"&amp;$O72&amp;"|CO2",DATOS_MODELO!$C$2:$C$3672,0)))</f>
        <v>72715.1174595902</v>
      </c>
      <c r="T72" s="14">
        <f>IF(COUNTIFS(DATOS_MODELO!$C$2:$C$3672,$Q72&amp;"|"&amp;$E72&amp;"|"&amp;$O72&amp;"|CH4",DATOS_MODELO!$AA$2:$AA$3672,"&lt;&gt;")=0,"",INDEX(DATOS_MODELO!$AA$2:$AA$3672,MATCH($Q72&amp;"|"&amp;$E72&amp;"|"&amp;$O72&amp;"|CH4",DATOS_MODELO!$C$2:$C$3672,0)))</f>
        <v>2.9999763420396</v>
      </c>
      <c r="U72" s="14">
        <f>IF(COUNTIFS(DATOS_MODELO!$C$2:$C$3672,$Q72&amp;"|"&amp;$E72&amp;"|"&amp;$O72&amp;"|N2O",DATOS_MODELO!$AA$2:$AA$3672,"&lt;&gt;")=0,"",INDEX(DATOS_MODELO!$AA$2:$AA$3672,MATCH($Q72&amp;"|"&amp;$E72&amp;"|"&amp;$O72&amp;"|N2O",DATOS_MODELO!$C$2:$C$3672,0)))</f>
        <v>0.599995268407921</v>
      </c>
      <c r="V72" s="8"/>
      <c r="W72" s="14"/>
      <c r="X72" s="14">
        <f>IF($P72="BIOGENICO",0,IF(ISNUMBER($S72),$N72*$S72/PARAMETROS!$B$8,""))</f>
        <v>0.54624027</v>
      </c>
      <c r="Y72" s="14">
        <f>IF($P72="BIOGENICO",IF(ISNUMBER($S72),$N72*$S72/PARAMETROS!$B$8,""),0)</f>
        <v>0.0</v>
      </c>
      <c r="Z72" s="14">
        <f>IF(ISNUMBER($T72),$N72*$T72/PARAMETROS!$B$8,"")</f>
        <v>2.2536e-05</v>
      </c>
      <c r="AA72" s="14">
        <f>IF(ISNUMBER($U72),$N72*$U72/PARAMETROS!$B$8,"")</f>
        <v>4.5072e-06</v>
      </c>
      <c r="AB72" s="14">
        <f>IF(COUNT($X72,$Z72,$AA72)=0,"",SUM($X72,IF(ISNUMBER($Z72),$Z72*PARAMETROS!$B$9,0),IF(ISNUMBER($AA72),$AA72*PARAMETROS!$B$10,0)))</f>
        <v>0.548065686</v>
      </c>
      <c r="AC72" s="4" t="s">
        <v>1990</v>
      </c>
      <c r="AD72" s="4"/>
      <c r="AE72" s="4" t="s">
        <v>5690</v>
      </c>
      <c r="AF72" s="4" t="s">
        <v>170</v>
      </c>
      <c r="AG72" s="4" t="s">
        <v>3999</v>
      </c>
      <c r="AH72" s="4"/>
    </row>
    <row r="73" customFormat="false" ht="23.85" hidden="false" customHeight="false" outlineLevel="0" collapsed="false">
      <c r="A73" s="4" t="s">
        <v>5790</v>
      </c>
      <c r="B73" s="12" t="n">
        <v>2019</v>
      </c>
      <c r="C73" s="4" t="s">
        <v>67</v>
      </c>
      <c r="D73" s="4" t="s">
        <v>5685</v>
      </c>
      <c r="E73" s="4" t="s">
        <v>3341</v>
      </c>
      <c r="F73" s="4" t="s">
        <v>3342</v>
      </c>
      <c r="G73" s="4" t="s">
        <v>88</v>
      </c>
      <c r="H73" s="4" t="s">
        <v>2003</v>
      </c>
      <c r="I73" s="4" t="s">
        <v>67</v>
      </c>
      <c r="J73" s="4" t="s">
        <v>2001</v>
      </c>
      <c r="K73" s="4" t="s">
        <v>66</v>
      </c>
      <c r="L73" s="4" t="s">
        <v>532</v>
      </c>
      <c r="M73" s="14" t="n">
        <f aca="false">SUMIFS(PSUT_LARGA!$K$2:$K$618,PSUT_LARGA!$B$2:$B$618,$B73,PSUT_LARGA!$H$2:$H$618,$L73,PSUT_LARGA!$E$2:$E$618,$J73,PSUT_LARGA!$F$2:$F$618,$K73,PSUT_LARGA!$G$2:$G$618,$I73,PSUT_LARGA!$I$2:$I$618,$H73)</f>
        <v>715.4434</v>
      </c>
      <c r="N73" s="14" t="n">
        <f aca="false">IF($H73="TRANSFORMACION_REFINERIA",$M73*INDEX(PARAMETROS!$C$27:$C$33,MATCH($B73,PARAMETROS!$A$27:$A$33,0)),$M73)</f>
        <v>715.4434</v>
      </c>
      <c r="O73" s="4" t="s">
        <v>3362</v>
      </c>
      <c r="P73" s="4" t="s">
        <v>3363</v>
      </c>
      <c r="Q73" s="11" t="n">
        <f aca="false">MIN($B73,2022)</f>
        <v>2019</v>
      </c>
      <c r="R73" s="8" t="str">
        <f>IF(COUNT($S73:$U73)=0,"NO",IF($O73="CERO_DIRECTO","CAL",IF(OR($B73&gt;$Q73,COUNTIFS(DATOS_MODELO!$C$2:$C$3672,$Q73&amp;"|"&amp;$E73&amp;"|"&amp;$O73&amp;"|*",DATOS_MODELO!$F$2:$F$3672,"PRX",DATOS_MODELO!$AA$2:$AA$3672,"&lt;&gt;")&gt;0),"PRX",IF(COUNTIFS(DATOS_MODELO!$C$2:$C$3672,$Q73&amp;"|"&amp;$E73&amp;"|"&amp;$O73&amp;"|*",DATOS_MODELO!$F$2:$F$3672,"CAL",DATOS_MODELO!$AA$2:$AA$3672,"&lt;&gt;")&gt;0,"CAL","OBS"))))</f>
        <v>CAL</v>
      </c>
      <c r="S73" s="14">
        <f>IF(COUNTIFS(DATOS_MODELO!$C$2:$C$3672,$Q73&amp;"|"&amp;$E73&amp;"|"&amp;$O73&amp;"|CO2",DATOS_MODELO!$AA$2:$AA$3672,"&lt;&gt;")=0,"",INDEX(DATOS_MODELO!$AA$2:$AA$3672,MATCH($Q73&amp;"|"&amp;$E73&amp;"|"&amp;$O73&amp;"|CO2",DATOS_MODELO!$C$2:$C$3672,0)))</f>
        <v>0.0</v>
      </c>
      <c r="T73" s="14">
        <f>IF(COUNTIFS(DATOS_MODELO!$C$2:$C$3672,$Q73&amp;"|"&amp;$E73&amp;"|"&amp;$O73&amp;"|CH4",DATOS_MODELO!$AA$2:$AA$3672,"&lt;&gt;")=0,"",INDEX(DATOS_MODELO!$AA$2:$AA$3672,MATCH($Q73&amp;"|"&amp;$E73&amp;"|"&amp;$O73&amp;"|CH4",DATOS_MODELO!$C$2:$C$3672,0)))</f>
        <v>0.0</v>
      </c>
      <c r="U73" s="14">
        <f>IF(COUNTIFS(DATOS_MODELO!$C$2:$C$3672,$Q73&amp;"|"&amp;$E73&amp;"|"&amp;$O73&amp;"|N2O",DATOS_MODELO!$AA$2:$AA$3672,"&lt;&gt;")=0,"",INDEX(DATOS_MODELO!$AA$2:$AA$3672,MATCH($Q73&amp;"|"&amp;$E73&amp;"|"&amp;$O73&amp;"|N2O",DATOS_MODELO!$C$2:$C$3672,0)))</f>
        <v>0.0</v>
      </c>
      <c r="V73" s="8"/>
      <c r="W73" s="14"/>
      <c r="X73" s="14">
        <f>IF($P73="BIOGENICO",0,IF(ISNUMBER($S73),$N73*$S73/PARAMETROS!$B$8,""))</f>
        <v>0.0</v>
      </c>
      <c r="Y73" s="14">
        <f>IF($P73="BIOGENICO",IF(ISNUMBER($S73),$N73*$S73/PARAMETROS!$B$8,""),0)</f>
        <v>0.0</v>
      </c>
      <c r="Z73" s="14">
        <f>IF(ISNUMBER($T73),$N73*$T73/PARAMETROS!$B$8,"")</f>
        <v>0.0</v>
      </c>
      <c r="AA73" s="14">
        <f>IF(ISNUMBER($U73),$N73*$U73/PARAMETROS!$B$8,"")</f>
        <v>0.0</v>
      </c>
      <c r="AB73" s="14">
        <f>IF(COUNT($X73,$Z73,$AA73)=0,"",SUM($X73,IF(ISNUMBER($Z73),$Z73*PARAMETROS!$B$9,0),IF(ISNUMBER($AA73),$AA73*PARAMETROS!$B$10,0)))</f>
        <v>0.0</v>
      </c>
      <c r="AC73" s="4" t="s">
        <v>1990</v>
      </c>
      <c r="AD73" s="4"/>
      <c r="AE73" s="4" t="s">
        <v>3362</v>
      </c>
      <c r="AF73" s="4" t="s">
        <v>170</v>
      </c>
      <c r="AG73" s="4" t="inlineStr">
        <is>
          <t>METODO_EMISIONES</t>
        </is>
      </c>
      <c r="AH73" s="4"/>
    </row>
    <row r="74" customFormat="false" ht="15" hidden="false" customHeight="false" outlineLevel="0" collapsed="false">
      <c r="A74" s="4" t="s">
        <v>5791</v>
      </c>
      <c r="B74" s="12" t="n">
        <v>2019</v>
      </c>
      <c r="C74" s="4" t="s">
        <v>67</v>
      </c>
      <c r="D74" s="4" t="s">
        <v>5685</v>
      </c>
      <c r="E74" s="4" t="s">
        <v>3341</v>
      </c>
      <c r="F74" s="4" t="s">
        <v>3342</v>
      </c>
      <c r="G74" s="4" t="s">
        <v>97</v>
      </c>
      <c r="H74" s="4" t="s">
        <v>2003</v>
      </c>
      <c r="I74" s="4" t="s">
        <v>67</v>
      </c>
      <c r="J74" s="4" t="s">
        <v>2001</v>
      </c>
      <c r="K74" s="4" t="s">
        <v>2002</v>
      </c>
      <c r="L74" s="4" t="s">
        <v>560</v>
      </c>
      <c r="M74" s="14" t="n">
        <f aca="false">SUMIFS(PSUT_LARGA!$K$2:$K$618,PSUT_LARGA!$B$2:$B$618,$B74,PSUT_LARGA!$H$2:$H$618,$L74,PSUT_LARGA!$E$2:$E$618,$J74,PSUT_LARGA!$F$2:$F$618,$K74,PSUT_LARGA!$G$2:$G$618,$I74,PSUT_LARGA!$I$2:$I$618,$H74)</f>
        <v>110.1576</v>
      </c>
      <c r="N74" s="14" t="n">
        <f aca="false">IF($H74="TRANSFORMACION_REFINERIA",$M74*INDEX(PARAMETROS!$C$27:$C$33,MATCH($B74,PARAMETROS!$A$27:$A$33,0)),$M74)</f>
        <v>110.1576</v>
      </c>
      <c r="O74" s="4" t="inlineStr">
        <is>
          <t>COMB_DOIL</t>
        </is>
      </c>
      <c r="P74" s="4" t="s">
        <v>3352</v>
      </c>
      <c r="Q74" s="11" t="n">
        <f aca="false">MIN($B74,2022)</f>
        <v>2019</v>
      </c>
      <c r="R74" s="8" t="str">
        <f>IF(COUNT($S74:$U74)=0,"NO",IF($O74="CERO_DIRECTO","CAL",IF(OR($B74&gt;$Q74,COUNTIFS(DATOS_MODELO!$C$2:$C$3672,$Q74&amp;"|"&amp;$E74&amp;"|"&amp;$O74&amp;"|*",DATOS_MODELO!$F$2:$F$3672,"PRX",DATOS_MODELO!$AA$2:$AA$3672,"&lt;&gt;")&gt;0),"PRX",IF(COUNTIFS(DATOS_MODELO!$C$2:$C$3672,$Q74&amp;"|"&amp;$E74&amp;"|"&amp;$O74&amp;"|*",DATOS_MODELO!$F$2:$F$3672,"CAL",DATOS_MODELO!$AA$2:$AA$3672,"&lt;&gt;")&gt;0,"CAL","OBS"))))</f>
        <v>PRX</v>
      </c>
      <c r="S74" s="14">
        <f>IF(COUNTIFS(DATOS_MODELO!$C$2:$C$3672,$Q74&amp;"|"&amp;$E74&amp;"|"&amp;$O74&amp;"|CO2",DATOS_MODELO!$AA$2:$AA$3672,"&lt;&gt;")=0,"",INDEX(DATOS_MODELO!$AA$2:$AA$3672,MATCH($Q74&amp;"|"&amp;$E74&amp;"|"&amp;$O74&amp;"|CO2",DATOS_MODELO!$C$2:$C$3672,0)))</f>
        <v>74100.0</v>
      </c>
      <c r="T74" s="14">
        <f>IF(COUNTIFS(DATOS_MODELO!$C$2:$C$3672,$Q74&amp;"|"&amp;$E74&amp;"|"&amp;$O74&amp;"|CH4",DATOS_MODELO!$AA$2:$AA$3672,"&lt;&gt;")=0,"",INDEX(DATOS_MODELO!$AA$2:$AA$3672,MATCH($Q74&amp;"|"&amp;$E74&amp;"|"&amp;$O74&amp;"|CH4",DATOS_MODELO!$C$2:$C$3672,0)))</f>
        <v>3.0</v>
      </c>
      <c r="U74" s="14">
        <f>IF(COUNTIFS(DATOS_MODELO!$C$2:$C$3672,$Q74&amp;"|"&amp;$E74&amp;"|"&amp;$O74&amp;"|N2O",DATOS_MODELO!$AA$2:$AA$3672,"&lt;&gt;")=0,"",INDEX(DATOS_MODELO!$AA$2:$AA$3672,MATCH($Q74&amp;"|"&amp;$E74&amp;"|"&amp;$O74&amp;"|N2O",DATOS_MODELO!$C$2:$C$3672,0)))</f>
        <v>0.6</v>
      </c>
      <c r="V74" s="8"/>
      <c r="W74" s="14"/>
      <c r="X74" s="14">
        <f>IF($P74="BIOGENICO",0,IF(ISNUMBER($S74),$N74*$S74/PARAMETROS!$B$8,""))</f>
        <v>8.16267816</v>
      </c>
      <c r="Y74" s="14">
        <f>IF($P74="BIOGENICO",IF(ISNUMBER($S74),$N74*$S74/PARAMETROS!$B$8,""),0)</f>
        <v>0.0</v>
      </c>
      <c r="Z74" s="14">
        <f>IF(ISNUMBER($T74),$N74*$T74/PARAMETROS!$B$8,"")</f>
        <v>0.0003304728</v>
      </c>
      <c r="AA74" s="14">
        <f>IF(ISNUMBER($U74),$N74*$U74/PARAMETROS!$B$8,"")</f>
        <v>6.60945526023492e-05</v>
      </c>
      <c r="AB74" s="14">
        <f>IF(COUNT($X74,$Z74,$AA74)=0,"",SUM($X74,IF(ISNUMBER($Z74),$Z74*PARAMETROS!$B$9,0),IF(ISNUMBER($AA74),$AA74*PARAMETROS!$B$10,0)))</f>
        <v>8.1894464568</v>
      </c>
      <c r="AC74" s="4" t="s">
        <v>1990</v>
      </c>
      <c r="AD74" s="4"/>
      <c r="AE74" s="4" t="s">
        <v>5690</v>
      </c>
      <c r="AF74" s="4" t="s">
        <v>170</v>
      </c>
      <c r="AG74" s="4" t="inlineStr">
        <is>
          <t>MARN_GTM_BTR1_2024</t>
        </is>
      </c>
      <c r="AH74" s="4" t="inlineStr">
        <is>
          <t>Origen de factores: CO2: MARN_GTM_BTR1_2024 [PRX; BTR1 Guatemala 2024, tabla 3.6, p. 48; fila Gas/Diésel oíl; gas CO2]; CH4: MARN_GTM_BTR1_2024 [PRX; BTR1 Guatemala 2024, tabla 3.17, p. 57; fila Diésel; gas CH4]; N2O: MARN_GTM_BTR1_2024 [PRX; BTR1 Guatemala 2024, tabla 3.17, p. 57; fila Diésel; gas N2O].</t>
        </is>
      </c>
    </row>
    <row r="75" customFormat="false" ht="23.85" hidden="false" customHeight="false" outlineLevel="0" collapsed="false">
      <c r="A75" s="4" t="s">
        <v>5792</v>
      </c>
      <c r="B75" s="12" t="n">
        <v>2019</v>
      </c>
      <c r="C75" s="4" t="s">
        <v>67</v>
      </c>
      <c r="D75" s="4" t="s">
        <v>5685</v>
      </c>
      <c r="E75" s="4" t="s">
        <v>3341</v>
      </c>
      <c r="F75" s="4" t="s">
        <v>3342</v>
      </c>
      <c r="G75" s="4" t="s">
        <v>99</v>
      </c>
      <c r="H75" s="4" t="s">
        <v>2003</v>
      </c>
      <c r="I75" s="4" t="s">
        <v>67</v>
      </c>
      <c r="J75" s="4" t="s">
        <v>1994</v>
      </c>
      <c r="K75" s="4" t="s">
        <v>1995</v>
      </c>
      <c r="L75" s="4" t="s">
        <v>574</v>
      </c>
      <c r="M75" s="14" t="n">
        <f aca="false">SUMIFS(PSUT_LARGA!$K$2:$K$618,PSUT_LARGA!$B$2:$B$618,$B75,PSUT_LARGA!$H$2:$H$618,$L75,PSUT_LARGA!$E$2:$E$618,$J75,PSUT_LARGA!$F$2:$F$618,$K75,PSUT_LARGA!$G$2:$G$618,$I75,PSUT_LARGA!$I$2:$I$618,$H75)</f>
        <v>45989.2874</v>
      </c>
      <c r="N75" s="14" t="n">
        <f aca="false">IF($H75="TRANSFORMACION_REFINERIA",$M75*INDEX(PARAMETROS!$C$27:$C$33,MATCH($B75,PARAMETROS!$A$27:$A$33,0)),$M75)</f>
        <v>45989.2874</v>
      </c>
      <c r="O75" s="4" t="s">
        <v>3362</v>
      </c>
      <c r="P75" s="4" t="s">
        <v>3363</v>
      </c>
      <c r="Q75" s="11" t="n">
        <f aca="false">MIN($B75,2022)</f>
        <v>2019</v>
      </c>
      <c r="R75" s="8" t="str">
        <f>IF(COUNT($S75:$U75)=0,"NO",IF($O75="CERO_DIRECTO","CAL",IF(OR($B75&gt;$Q75,COUNTIFS(DATOS_MODELO!$C$2:$C$3672,$Q75&amp;"|"&amp;$E75&amp;"|"&amp;$O75&amp;"|*",DATOS_MODELO!$F$2:$F$3672,"PRX",DATOS_MODELO!$AA$2:$AA$3672,"&lt;&gt;")&gt;0),"PRX",IF(COUNTIFS(DATOS_MODELO!$C$2:$C$3672,$Q75&amp;"|"&amp;$E75&amp;"|"&amp;$O75&amp;"|*",DATOS_MODELO!$F$2:$F$3672,"CAL",DATOS_MODELO!$AA$2:$AA$3672,"&lt;&gt;")&gt;0,"CAL","OBS"))))</f>
        <v>CAL</v>
      </c>
      <c r="S75" s="14">
        <f>IF(COUNTIFS(DATOS_MODELO!$C$2:$C$3672,$Q75&amp;"|"&amp;$E75&amp;"|"&amp;$O75&amp;"|CO2",DATOS_MODELO!$AA$2:$AA$3672,"&lt;&gt;")=0,"",INDEX(DATOS_MODELO!$AA$2:$AA$3672,MATCH($Q75&amp;"|"&amp;$E75&amp;"|"&amp;$O75&amp;"|CO2",DATOS_MODELO!$C$2:$C$3672,0)))</f>
        <v>0.0</v>
      </c>
      <c r="T75" s="14">
        <f>IF(COUNTIFS(DATOS_MODELO!$C$2:$C$3672,$Q75&amp;"|"&amp;$E75&amp;"|"&amp;$O75&amp;"|CH4",DATOS_MODELO!$AA$2:$AA$3672,"&lt;&gt;")=0,"",INDEX(DATOS_MODELO!$AA$2:$AA$3672,MATCH($Q75&amp;"|"&amp;$E75&amp;"|"&amp;$O75&amp;"|CH4",DATOS_MODELO!$C$2:$C$3672,0)))</f>
        <v>0.0</v>
      </c>
      <c r="U75" s="14">
        <f>IF(COUNTIFS(DATOS_MODELO!$C$2:$C$3672,$Q75&amp;"|"&amp;$E75&amp;"|"&amp;$O75&amp;"|N2O",DATOS_MODELO!$AA$2:$AA$3672,"&lt;&gt;")=0,"",INDEX(DATOS_MODELO!$AA$2:$AA$3672,MATCH($Q75&amp;"|"&amp;$E75&amp;"|"&amp;$O75&amp;"|N2O",DATOS_MODELO!$C$2:$C$3672,0)))</f>
        <v>0.0</v>
      </c>
      <c r="V75" s="8"/>
      <c r="W75" s="14"/>
      <c r="X75" s="14">
        <f>IF($P75="BIOGENICO",0,IF(ISNUMBER($S75),$N75*$S75/PARAMETROS!$B$8,""))</f>
        <v>0.0</v>
      </c>
      <c r="Y75" s="14">
        <f>IF($P75="BIOGENICO",IF(ISNUMBER($S75),$N75*$S75/PARAMETROS!$B$8,""),0)</f>
        <v>0.0</v>
      </c>
      <c r="Z75" s="14">
        <f>IF(ISNUMBER($T75),$N75*$T75/PARAMETROS!$B$8,"")</f>
        <v>0.0</v>
      </c>
      <c r="AA75" s="14">
        <f>IF(ISNUMBER($U75),$N75*$U75/PARAMETROS!$B$8,"")</f>
        <v>0.0</v>
      </c>
      <c r="AB75" s="14">
        <f>IF(COUNT($X75,$Z75,$AA75)=0,"",SUM($X75,IF(ISNUMBER($Z75),$Z75*PARAMETROS!$B$9,0),IF(ISNUMBER($AA75),$AA75*PARAMETROS!$B$10,0)))</f>
        <v>0.0</v>
      </c>
      <c r="AC75" s="4" t="s">
        <v>1990</v>
      </c>
      <c r="AD75" s="4"/>
      <c r="AE75" s="4" t="s">
        <v>3362</v>
      </c>
      <c r="AF75" s="4" t="s">
        <v>170</v>
      </c>
      <c r="AG75" s="4" t="inlineStr">
        <is>
          <t>METODO_EMISIONES</t>
        </is>
      </c>
      <c r="AH75" s="4"/>
    </row>
    <row r="76" customFormat="false" ht="23.85" hidden="false" customHeight="false" outlineLevel="0" collapsed="false">
      <c r="A76" s="4" t="s">
        <v>5793</v>
      </c>
      <c r="B76" s="12" t="n">
        <v>2019</v>
      </c>
      <c r="C76" s="4" t="s">
        <v>67</v>
      </c>
      <c r="D76" s="4" t="s">
        <v>5685</v>
      </c>
      <c r="E76" s="4" t="s">
        <v>3341</v>
      </c>
      <c r="F76" s="4" t="s">
        <v>3342</v>
      </c>
      <c r="G76" s="4" t="s">
        <v>99</v>
      </c>
      <c r="H76" s="4" t="s">
        <v>2008</v>
      </c>
      <c r="I76" s="4" t="s">
        <v>67</v>
      </c>
      <c r="J76" s="4" t="s">
        <v>1994</v>
      </c>
      <c r="K76" s="4" t="s">
        <v>1995</v>
      </c>
      <c r="L76" s="4" t="s">
        <v>575</v>
      </c>
      <c r="M76" s="14" t="n">
        <f aca="false">SUMIFS(PSUT_LARGA!$K$2:$K$618,PSUT_LARGA!$B$2:$B$618,$B76,PSUT_LARGA!$H$2:$H$618,$L76,PSUT_LARGA!$E$2:$E$618,$J76,PSUT_LARGA!$F$2:$F$618,$K76,PSUT_LARGA!$G$2:$G$618,$I76,PSUT_LARGA!$I$2:$I$618,$H76)</f>
        <v>4708.6564</v>
      </c>
      <c r="N76" s="14" t="n">
        <f aca="false">IF($H76="TRANSFORMACION_REFINERIA",$M76*INDEX(PARAMETROS!$C$27:$C$33,MATCH($B76,PARAMETROS!$A$27:$A$33,0)),$M76)</f>
        <v>4708.6564</v>
      </c>
      <c r="O76" s="4" t="s">
        <v>3362</v>
      </c>
      <c r="P76" s="4" t="s">
        <v>3363</v>
      </c>
      <c r="Q76" s="11" t="n">
        <f aca="false">MIN($B76,2022)</f>
        <v>2019</v>
      </c>
      <c r="R76" s="8" t="str">
        <f>IF(COUNT($S76:$U76)=0,"NO",IF($O76="CERO_DIRECTO","CAL",IF(OR($B76&gt;$Q76,COUNTIFS(DATOS_MODELO!$C$2:$C$3672,$Q76&amp;"|"&amp;$E76&amp;"|"&amp;$O76&amp;"|*",DATOS_MODELO!$F$2:$F$3672,"PRX",DATOS_MODELO!$AA$2:$AA$3672,"&lt;&gt;")&gt;0),"PRX",IF(COUNTIFS(DATOS_MODELO!$C$2:$C$3672,$Q76&amp;"|"&amp;$E76&amp;"|"&amp;$O76&amp;"|*",DATOS_MODELO!$F$2:$F$3672,"CAL",DATOS_MODELO!$AA$2:$AA$3672,"&lt;&gt;")&gt;0,"CAL","OBS"))))</f>
        <v>CAL</v>
      </c>
      <c r="S76" s="14">
        <f>IF(COUNTIFS(DATOS_MODELO!$C$2:$C$3672,$Q76&amp;"|"&amp;$E76&amp;"|"&amp;$O76&amp;"|CO2",DATOS_MODELO!$AA$2:$AA$3672,"&lt;&gt;")=0,"",INDEX(DATOS_MODELO!$AA$2:$AA$3672,MATCH($Q76&amp;"|"&amp;$E76&amp;"|"&amp;$O76&amp;"|CO2",DATOS_MODELO!$C$2:$C$3672,0)))</f>
        <v>0.0</v>
      </c>
      <c r="T76" s="14">
        <f>IF(COUNTIFS(DATOS_MODELO!$C$2:$C$3672,$Q76&amp;"|"&amp;$E76&amp;"|"&amp;$O76&amp;"|CH4",DATOS_MODELO!$AA$2:$AA$3672,"&lt;&gt;")=0,"",INDEX(DATOS_MODELO!$AA$2:$AA$3672,MATCH($Q76&amp;"|"&amp;$E76&amp;"|"&amp;$O76&amp;"|CH4",DATOS_MODELO!$C$2:$C$3672,0)))</f>
        <v>0.0</v>
      </c>
      <c r="U76" s="14">
        <f>IF(COUNTIFS(DATOS_MODELO!$C$2:$C$3672,$Q76&amp;"|"&amp;$E76&amp;"|"&amp;$O76&amp;"|N2O",DATOS_MODELO!$AA$2:$AA$3672,"&lt;&gt;")=0,"",INDEX(DATOS_MODELO!$AA$2:$AA$3672,MATCH($Q76&amp;"|"&amp;$E76&amp;"|"&amp;$O76&amp;"|N2O",DATOS_MODELO!$C$2:$C$3672,0)))</f>
        <v>0.0</v>
      </c>
      <c r="V76" s="8"/>
      <c r="W76" s="14"/>
      <c r="X76" s="14">
        <f>IF($P76="BIOGENICO",0,IF(ISNUMBER($S76),$N76*$S76/PARAMETROS!$B$8,""))</f>
        <v>0.0</v>
      </c>
      <c r="Y76" s="14">
        <f>IF($P76="BIOGENICO",IF(ISNUMBER($S76),$N76*$S76/PARAMETROS!$B$8,""),0)</f>
        <v>0.0</v>
      </c>
      <c r="Z76" s="14">
        <f>IF(ISNUMBER($T76),$N76*$T76/PARAMETROS!$B$8,"")</f>
        <v>0.0</v>
      </c>
      <c r="AA76" s="14">
        <f>IF(ISNUMBER($U76),$N76*$U76/PARAMETROS!$B$8,"")</f>
        <v>0.0</v>
      </c>
      <c r="AB76" s="14">
        <f>IF(COUNT($X76,$Z76,$AA76)=0,"",SUM($X76,IF(ISNUMBER($Z76),$Z76*PARAMETROS!$B$9,0),IF(ISNUMBER($AA76),$AA76*PARAMETROS!$B$10,0)))</f>
        <v>0.0</v>
      </c>
      <c r="AC76" s="4" t="s">
        <v>1990</v>
      </c>
      <c r="AD76" s="4"/>
      <c r="AE76" s="4" t="s">
        <v>3362</v>
      </c>
      <c r="AF76" s="4" t="s">
        <v>170</v>
      </c>
      <c r="AG76" s="4" t="inlineStr">
        <is>
          <t>METODO_EMISIONES</t>
        </is>
      </c>
      <c r="AH76" s="4"/>
    </row>
    <row r="77" customFormat="false" ht="23.85" hidden="false" customHeight="false" outlineLevel="0" collapsed="false">
      <c r="A77" s="4" t="s">
        <v>5794</v>
      </c>
      <c r="B77" s="12" t="n">
        <v>2019</v>
      </c>
      <c r="C77" s="4" t="s">
        <v>67</v>
      </c>
      <c r="D77" s="4" t="s">
        <v>5685</v>
      </c>
      <c r="E77" s="4" t="s">
        <v>3420</v>
      </c>
      <c r="F77" s="4" t="s">
        <v>3421</v>
      </c>
      <c r="G77" s="4" t="s">
        <v>99</v>
      </c>
      <c r="H77" s="4" t="s">
        <v>2139</v>
      </c>
      <c r="I77" s="4" t="s">
        <v>67</v>
      </c>
      <c r="J77" s="4" t="s">
        <v>2001</v>
      </c>
      <c r="K77" s="4" t="s">
        <v>2002</v>
      </c>
      <c r="L77" s="4" t="s">
        <v>576</v>
      </c>
      <c r="M77" s="14" t="n">
        <f aca="false">SUMIFS(PSUT_LARGA!$K$2:$K$618,PSUT_LARGA!$B$2:$B$618,$B77,PSUT_LARGA!$H$2:$H$618,$L77,PSUT_LARGA!$E$2:$E$618,$J77,PSUT_LARGA!$F$2:$F$618,$K77,PSUT_LARGA!$G$2:$G$618,$I77,PSUT_LARGA!$I$2:$I$618,$H77)</f>
        <v>2831.6778</v>
      </c>
      <c r="N77" s="14" t="n">
        <f aca="false">IF($H77="TRANSFORMACION_REFINERIA",$M77*INDEX(PARAMETROS!$C$27:$C$33,MATCH($B77,PARAMETROS!$A$27:$A$33,0)),$M77)</f>
        <v>2831.6778</v>
      </c>
      <c r="O77" s="4" t="s">
        <v>3362</v>
      </c>
      <c r="P77" s="4" t="s">
        <v>3363</v>
      </c>
      <c r="Q77" s="11" t="n">
        <f aca="false">MIN($B77,2022)</f>
        <v>2019</v>
      </c>
      <c r="R77" s="8" t="str">
        <f>IF(COUNT($S77:$U77)=0,"NO",IF($O77="CERO_DIRECTO","CAL",IF(OR($B77&gt;$Q77,COUNTIFS(DATOS_MODELO!$C$2:$C$3672,$Q77&amp;"|"&amp;$E77&amp;"|"&amp;$O77&amp;"|*",DATOS_MODELO!$F$2:$F$3672,"PRX",DATOS_MODELO!$AA$2:$AA$3672,"&lt;&gt;")&gt;0),"PRX",IF(COUNTIFS(DATOS_MODELO!$C$2:$C$3672,$Q77&amp;"|"&amp;$E77&amp;"|"&amp;$O77&amp;"|*",DATOS_MODELO!$F$2:$F$3672,"CAL",DATOS_MODELO!$AA$2:$AA$3672,"&lt;&gt;")&gt;0,"CAL","OBS"))))</f>
        <v>CAL</v>
      </c>
      <c r="S77" s="14">
        <f>IF(COUNTIFS(DATOS_MODELO!$C$2:$C$3672,$Q77&amp;"|"&amp;$E77&amp;"|"&amp;$O77&amp;"|CO2",DATOS_MODELO!$AA$2:$AA$3672,"&lt;&gt;")=0,"",INDEX(DATOS_MODELO!$AA$2:$AA$3672,MATCH($Q77&amp;"|"&amp;$E77&amp;"|"&amp;$O77&amp;"|CO2",DATOS_MODELO!$C$2:$C$3672,0)))</f>
        <v>0.0</v>
      </c>
      <c r="T77" s="14">
        <f>IF(COUNTIFS(DATOS_MODELO!$C$2:$C$3672,$Q77&amp;"|"&amp;$E77&amp;"|"&amp;$O77&amp;"|CH4",DATOS_MODELO!$AA$2:$AA$3672,"&lt;&gt;")=0,"",INDEX(DATOS_MODELO!$AA$2:$AA$3672,MATCH($Q77&amp;"|"&amp;$E77&amp;"|"&amp;$O77&amp;"|CH4",DATOS_MODELO!$C$2:$C$3672,0)))</f>
        <v>0.0</v>
      </c>
      <c r="U77" s="14">
        <f>IF(COUNTIFS(DATOS_MODELO!$C$2:$C$3672,$Q77&amp;"|"&amp;$E77&amp;"|"&amp;$O77&amp;"|N2O",DATOS_MODELO!$AA$2:$AA$3672,"&lt;&gt;")=0,"",INDEX(DATOS_MODELO!$AA$2:$AA$3672,MATCH($Q77&amp;"|"&amp;$E77&amp;"|"&amp;$O77&amp;"|N2O",DATOS_MODELO!$C$2:$C$3672,0)))</f>
        <v>0.0</v>
      </c>
      <c r="V77" s="8"/>
      <c r="W77" s="14"/>
      <c r="X77" s="14">
        <f>IF($P77="BIOGENICO",0,IF(ISNUMBER($S77),$N77*$S77/PARAMETROS!$B$8,""))</f>
        <v>0.0</v>
      </c>
      <c r="Y77" s="14">
        <f>IF($P77="BIOGENICO",IF(ISNUMBER($S77),$N77*$S77/PARAMETROS!$B$8,""),0)</f>
        <v>0.0</v>
      </c>
      <c r="Z77" s="14">
        <f>IF(ISNUMBER($T77),$N77*$T77/PARAMETROS!$B$8,"")</f>
        <v>0.0</v>
      </c>
      <c r="AA77" s="14">
        <f>IF(ISNUMBER($U77),$N77*$U77/PARAMETROS!$B$8,"")</f>
        <v>0.0</v>
      </c>
      <c r="AB77" s="14">
        <f>IF(COUNT($X77,$Z77,$AA77)=0,"",SUM($X77,IF(ISNUMBER($Z77),$Z77*PARAMETROS!$B$9,0),IF(ISNUMBER($AA77),$AA77*PARAMETROS!$B$10,0)))</f>
        <v>0.0</v>
      </c>
      <c r="AC77" s="4" t="s">
        <v>1990</v>
      </c>
      <c r="AD77" s="4"/>
      <c r="AE77" s="4" t="s">
        <v>3362</v>
      </c>
      <c r="AF77" s="4" t="s">
        <v>170</v>
      </c>
      <c r="AG77" s="4" t="inlineStr">
        <is>
          <t>METODO_EMISIONES</t>
        </is>
      </c>
      <c r="AH77" s="4"/>
    </row>
    <row r="78" customFormat="false" ht="15" hidden="false" customHeight="false" outlineLevel="0" collapsed="false">
      <c r="A78" s="4" t="s">
        <v>5795</v>
      </c>
      <c r="B78" s="12" t="n">
        <v>2019</v>
      </c>
      <c r="C78" s="4" t="s">
        <v>67</v>
      </c>
      <c r="D78" s="4" t="s">
        <v>5685</v>
      </c>
      <c r="E78" s="4" t="s">
        <v>3341</v>
      </c>
      <c r="F78" s="4" t="s">
        <v>3342</v>
      </c>
      <c r="G78" s="4" t="s">
        <v>101</v>
      </c>
      <c r="H78" s="4" t="s">
        <v>2003</v>
      </c>
      <c r="I78" s="4" t="s">
        <v>67</v>
      </c>
      <c r="J78" s="4" t="s">
        <v>2001</v>
      </c>
      <c r="K78" s="4" t="s">
        <v>2002</v>
      </c>
      <c r="L78" s="4" t="s">
        <v>588</v>
      </c>
      <c r="M78" s="14" t="n">
        <f aca="false">SUMIFS(PSUT_LARGA!$K$2:$K$618,PSUT_LARGA!$B$2:$B$618,$B78,PSUT_LARGA!$H$2:$H$618,$L78,PSUT_LARGA!$E$2:$E$618,$J78,PSUT_LARGA!$F$2:$F$618,$K78,PSUT_LARGA!$G$2:$G$618,$I78,PSUT_LARGA!$I$2:$I$618,$H78)</f>
        <v>3783.3558</v>
      </c>
      <c r="N78" s="14" t="n">
        <f aca="false">IF($H78="TRANSFORMACION_REFINERIA",$M78*INDEX(PARAMETROS!$C$27:$C$33,MATCH($B78,PARAMETROS!$A$27:$A$33,0)),$M78)</f>
        <v>3783.3558</v>
      </c>
      <c r="O78" s="4" t="inlineStr">
        <is>
          <t>COMB_FOIL</t>
        </is>
      </c>
      <c r="P78" s="4" t="s">
        <v>3352</v>
      </c>
      <c r="Q78" s="11" t="n">
        <f aca="false">MIN($B78,2022)</f>
        <v>2019</v>
      </c>
      <c r="R78" s="8" t="str">
        <f>IF(COUNT($S78:$U78)=0,"NO",IF($O78="CERO_DIRECTO","CAL",IF(OR($B78&gt;$Q78,COUNTIFS(DATOS_MODELO!$C$2:$C$3672,$Q78&amp;"|"&amp;$E78&amp;"|"&amp;$O78&amp;"|*",DATOS_MODELO!$F$2:$F$3672,"PRX",DATOS_MODELO!$AA$2:$AA$3672,"&lt;&gt;")&gt;0),"PRX",IF(COUNTIFS(DATOS_MODELO!$C$2:$C$3672,$Q78&amp;"|"&amp;$E78&amp;"|"&amp;$O78&amp;"|*",DATOS_MODELO!$F$2:$F$3672,"CAL",DATOS_MODELO!$AA$2:$AA$3672,"&lt;&gt;")&gt;0,"CAL","OBS"))))</f>
        <v>PRX</v>
      </c>
      <c r="S78" s="14">
        <f>IF(COUNTIFS(DATOS_MODELO!$C$2:$C$3672,$Q78&amp;"|"&amp;$E78&amp;"|"&amp;$O78&amp;"|CO2",DATOS_MODELO!$AA$2:$AA$3672,"&lt;&gt;")=0,"",INDEX(DATOS_MODELO!$AA$2:$AA$3672,MATCH($Q78&amp;"|"&amp;$E78&amp;"|"&amp;$O78&amp;"|CO2",DATOS_MODELO!$C$2:$C$3672,0)))</f>
        <v>77400.0</v>
      </c>
      <c r="T78" s="14">
        <f>IF(COUNTIFS(DATOS_MODELO!$C$2:$C$3672,$Q78&amp;"|"&amp;$E78&amp;"|"&amp;$O78&amp;"|CH4",DATOS_MODELO!$AA$2:$AA$3672,"&lt;&gt;")=0,"",INDEX(DATOS_MODELO!$AA$2:$AA$3672,MATCH($Q78&amp;"|"&amp;$E78&amp;"|"&amp;$O78&amp;"|CH4",DATOS_MODELO!$C$2:$C$3672,0)))</f>
        <v>3.0</v>
      </c>
      <c r="U78" s="14">
        <f>IF(COUNTIFS(DATOS_MODELO!$C$2:$C$3672,$Q78&amp;"|"&amp;$E78&amp;"|"&amp;$O78&amp;"|N2O",DATOS_MODELO!$AA$2:$AA$3672,"&lt;&gt;")=0,"",INDEX(DATOS_MODELO!$AA$2:$AA$3672,MATCH($Q78&amp;"|"&amp;$E78&amp;"|"&amp;$O78&amp;"|N2O",DATOS_MODELO!$C$2:$C$3672,0)))</f>
        <v>0.6</v>
      </c>
      <c r="V78" s="8"/>
      <c r="W78" s="14"/>
      <c r="X78" s="14">
        <f>IF($P78="BIOGENICO",0,IF(ISNUMBER($S78),$N78*$S78/PARAMETROS!$B$8,""))</f>
        <v>292.83173892</v>
      </c>
      <c r="Y78" s="14">
        <f>IF($P78="BIOGENICO",IF(ISNUMBER($S78),$N78*$S78/PARAMETROS!$B$8,""),0)</f>
        <v>0.0</v>
      </c>
      <c r="Z78" s="14">
        <f>IF(ISNUMBER($T78),$N78*$T78/PARAMETROS!$B$8,"")</f>
        <v>0.0113500674</v>
      </c>
      <c r="AA78" s="14">
        <f>IF(ISNUMBER($U78),$N78*$U78/PARAMETROS!$B$8,"")</f>
        <v>0.00227001348</v>
      </c>
      <c r="AB78" s="14">
        <f>IF(COUNT($X78,$Z78,$AA78)=0,"",SUM($X78,IF(ISNUMBER($Z78),$Z78*PARAMETROS!$B$9,0),IF(ISNUMBER($AA78),$AA78*PARAMETROS!$B$10,0)))</f>
        <v>293.7510943794</v>
      </c>
      <c r="AC78" s="4" t="s">
        <v>1990</v>
      </c>
      <c r="AD78" s="4"/>
      <c r="AE78" s="4" t="s">
        <v>5690</v>
      </c>
      <c r="AF78" s="4" t="s">
        <v>170</v>
      </c>
      <c r="AG78" s="4" t="inlineStr">
        <is>
          <t>MARN_GTM_BTR1_2024</t>
        </is>
      </c>
      <c r="AH78" s="4" t="inlineStr">
        <is>
          <t>Origen de factores: CO2: MARN_GTM_BTR1_2024 [PRX; BTR1 Guatemala 2024, tabla 3.6, p. 48; fila Fuelóleo residual; gas CO2]; CH4: MARN_GTM_BTR1_2024 [PRX; BTR1 Guatemala 2024, tabla 3.17, p. 57; fila Fuelóleo residual; gas CH4]; N2O: MARN_GTM_BTR1_2024 [PRX; BTR1 Guatemala 2024, tabla 3.17, p. 57; fila Fuelóleo residual; gas N2O].</t>
        </is>
      </c>
    </row>
    <row r="79" customFormat="false" ht="15" hidden="false" customHeight="false" outlineLevel="0" collapsed="false">
      <c r="A79" s="4" t="s">
        <v>5796</v>
      </c>
      <c r="B79" s="12" t="n">
        <v>2019</v>
      </c>
      <c r="C79" s="4" t="s">
        <v>67</v>
      </c>
      <c r="D79" s="4" t="s">
        <v>5685</v>
      </c>
      <c r="E79" s="4" t="s">
        <v>3341</v>
      </c>
      <c r="F79" s="4" t="s">
        <v>3342</v>
      </c>
      <c r="G79" s="4" t="s">
        <v>101</v>
      </c>
      <c r="H79" s="4" t="s">
        <v>2008</v>
      </c>
      <c r="I79" s="4" t="s">
        <v>67</v>
      </c>
      <c r="J79" s="4" t="s">
        <v>2001</v>
      </c>
      <c r="K79" s="4" t="s">
        <v>2002</v>
      </c>
      <c r="L79" s="4" t="s">
        <v>589</v>
      </c>
      <c r="M79" s="14" t="n">
        <f aca="false">SUMIFS(PSUT_LARGA!$K$2:$K$618,PSUT_LARGA!$B$2:$B$618,$B79,PSUT_LARGA!$H$2:$H$618,$L79,PSUT_LARGA!$E$2:$E$618,$J79,PSUT_LARGA!$F$2:$F$618,$K79,PSUT_LARGA!$G$2:$G$618,$I79,PSUT_LARGA!$I$2:$I$618,$H79)</f>
        <v>417.2742</v>
      </c>
      <c r="N79" s="14" t="n">
        <f aca="false">IF($H79="TRANSFORMACION_REFINERIA",$M79*INDEX(PARAMETROS!$C$27:$C$33,MATCH($B79,PARAMETROS!$A$27:$A$33,0)),$M79)</f>
        <v>417.2742</v>
      </c>
      <c r="O79" s="4" t="inlineStr">
        <is>
          <t>COMB_FOIL</t>
        </is>
      </c>
      <c r="P79" s="4" t="s">
        <v>3352</v>
      </c>
      <c r="Q79" s="11" t="n">
        <f aca="false">MIN($B79,2022)</f>
        <v>2019</v>
      </c>
      <c r="R79" s="8" t="str">
        <f>IF(COUNT($S79:$U79)=0,"NO",IF($O79="CERO_DIRECTO","CAL",IF(OR($B79&gt;$Q79,COUNTIFS(DATOS_MODELO!$C$2:$C$3672,$Q79&amp;"|"&amp;$E79&amp;"|"&amp;$O79&amp;"|*",DATOS_MODELO!$F$2:$F$3672,"PRX",DATOS_MODELO!$AA$2:$AA$3672,"&lt;&gt;")&gt;0),"PRX",IF(COUNTIFS(DATOS_MODELO!$C$2:$C$3672,$Q79&amp;"|"&amp;$E79&amp;"|"&amp;$O79&amp;"|*",DATOS_MODELO!$F$2:$F$3672,"CAL",DATOS_MODELO!$AA$2:$AA$3672,"&lt;&gt;")&gt;0,"CAL","OBS"))))</f>
        <v>PRX</v>
      </c>
      <c r="S79" s="14">
        <f>IF(COUNTIFS(DATOS_MODELO!$C$2:$C$3672,$Q79&amp;"|"&amp;$E79&amp;"|"&amp;$O79&amp;"|CO2",DATOS_MODELO!$AA$2:$AA$3672,"&lt;&gt;")=0,"",INDEX(DATOS_MODELO!$AA$2:$AA$3672,MATCH($Q79&amp;"|"&amp;$E79&amp;"|"&amp;$O79&amp;"|CO2",DATOS_MODELO!$C$2:$C$3672,0)))</f>
        <v>77400.0</v>
      </c>
      <c r="T79" s="14">
        <f>IF(COUNTIFS(DATOS_MODELO!$C$2:$C$3672,$Q79&amp;"|"&amp;$E79&amp;"|"&amp;$O79&amp;"|CH4",DATOS_MODELO!$AA$2:$AA$3672,"&lt;&gt;")=0,"",INDEX(DATOS_MODELO!$AA$2:$AA$3672,MATCH($Q79&amp;"|"&amp;$E79&amp;"|"&amp;$O79&amp;"|CH4",DATOS_MODELO!$C$2:$C$3672,0)))</f>
        <v>3.0</v>
      </c>
      <c r="U79" s="14">
        <f>IF(COUNTIFS(DATOS_MODELO!$C$2:$C$3672,$Q79&amp;"|"&amp;$E79&amp;"|"&amp;$O79&amp;"|N2O",DATOS_MODELO!$AA$2:$AA$3672,"&lt;&gt;")=0,"",INDEX(DATOS_MODELO!$AA$2:$AA$3672,MATCH($Q79&amp;"|"&amp;$E79&amp;"|"&amp;$O79&amp;"|N2O",DATOS_MODELO!$C$2:$C$3672,0)))</f>
        <v>0.6</v>
      </c>
      <c r="V79" s="8"/>
      <c r="W79" s="14"/>
      <c r="X79" s="14">
        <f>IF($P79="BIOGENICO",0,IF(ISNUMBER($S79),$N79*$S79/PARAMETROS!$B$8,""))</f>
        <v>32.29702308</v>
      </c>
      <c r="Y79" s="14">
        <f>IF($P79="BIOGENICO",IF(ISNUMBER($S79),$N79*$S79/PARAMETROS!$B$8,""),0)</f>
        <v>0.0</v>
      </c>
      <c r="Z79" s="14">
        <f>IF(ISNUMBER($T79),$N79*$T79/PARAMETROS!$B$8,"")</f>
        <v>0.0012518226</v>
      </c>
      <c r="AA79" s="14">
        <f>IF(ISNUMBER($U79),$N79*$U79/PARAMETROS!$B$8,"")</f>
        <v>0.00025036452</v>
      </c>
      <c r="AB79" s="14">
        <f>IF(COUNT($X79,$Z79,$AA79)=0,"",SUM($X79,IF(ISNUMBER($Z79),$Z79*PARAMETROS!$B$9,0),IF(ISNUMBER($AA79),$AA79*PARAMETROS!$B$10,0)))</f>
        <v>32.3984207106</v>
      </c>
      <c r="AC79" s="4" t="s">
        <v>1990</v>
      </c>
      <c r="AD79" s="4"/>
      <c r="AE79" s="4" t="s">
        <v>5690</v>
      </c>
      <c r="AF79" s="4" t="s">
        <v>170</v>
      </c>
      <c r="AG79" s="4" t="inlineStr">
        <is>
          <t>MARN_GTM_BTR1_2024</t>
        </is>
      </c>
      <c r="AH79" s="4" t="inlineStr">
        <is>
          <t>Origen de factores: CO2: MARN_GTM_BTR1_2024 [PRX; BTR1 Guatemala 2024, tabla 3.6, p. 48; fila Fuelóleo residual; gas CO2]; CH4: MARN_GTM_BTR1_2024 [PRX; BTR1 Guatemala 2024, tabla 3.17, p. 57; fila Fuelóleo residual; gas CH4]; N2O: MARN_GTM_BTR1_2024 [PRX; BTR1 Guatemala 2024, tabla 3.17, p. 57; fila Fuelóleo residual; gas N2O].</t>
        </is>
      </c>
    </row>
    <row r="80" customFormat="false" ht="15" hidden="false" customHeight="false" outlineLevel="0" collapsed="false">
      <c r="A80" s="4" t="s">
        <v>5797</v>
      </c>
      <c r="B80" s="12" t="n">
        <v>2019</v>
      </c>
      <c r="C80" s="4" t="s">
        <v>73</v>
      </c>
      <c r="D80" s="4" t="s">
        <v>5685</v>
      </c>
      <c r="E80" s="4" t="s">
        <v>3380</v>
      </c>
      <c r="F80" s="4" t="s">
        <v>3381</v>
      </c>
      <c r="G80" s="4" t="s">
        <v>109</v>
      </c>
      <c r="H80" s="4" t="s">
        <v>2075</v>
      </c>
      <c r="I80" s="4" t="s">
        <v>73</v>
      </c>
      <c r="J80" s="4" t="s">
        <v>2001</v>
      </c>
      <c r="K80" s="4" t="s">
        <v>2074</v>
      </c>
      <c r="L80" s="4" t="s">
        <v>508</v>
      </c>
      <c r="M80" s="14" t="n">
        <f aca="false">SUMIFS(PSUT_LARGA!$K$2:$K$618,PSUT_LARGA!$B$2:$B$618,$B80,PSUT_LARGA!$H$2:$H$618,$L80,PSUT_LARGA!$E$2:$E$618,$J80,PSUT_LARGA!$F$2:$F$618,$K80,PSUT_LARGA!$G$2:$G$618,$I80,PSUT_LARGA!$I$2:$I$618,$H80)</f>
        <v>286464.8969</v>
      </c>
      <c r="N80" s="14" t="n">
        <f aca="false">IF($H80="TRANSFORMACION_REFINERIA",$M80*INDEX(PARAMETROS!$C$27:$C$33,MATCH($B80,PARAMETROS!$A$27:$A$33,0)),$M80)</f>
        <v>286464.8969</v>
      </c>
      <c r="O80" s="4" t="s">
        <v>3343</v>
      </c>
      <c r="P80" s="4" t="s">
        <v>3344</v>
      </c>
      <c r="Q80" s="11" t="n">
        <f aca="false">MIN($B80,2022)</f>
        <v>2019</v>
      </c>
      <c r="R80" s="8" t="str">
        <f>IF(COUNT($S80:$U80)=0,"NO",IF($O80="CERO_DIRECTO","CAL",IF(OR($B80&gt;$Q80,COUNTIFS(DATOS_MODELO!$C$2:$C$3672,$Q80&amp;"|"&amp;$E80&amp;"|"&amp;$O80&amp;"|*",DATOS_MODELO!$F$2:$F$3672,"PRX",DATOS_MODELO!$AA$2:$AA$3672,"&lt;&gt;")&gt;0),"PRX",IF(COUNTIFS(DATOS_MODELO!$C$2:$C$3672,$Q80&amp;"|"&amp;$E80&amp;"|"&amp;$O80&amp;"|*",DATOS_MODELO!$F$2:$F$3672,"CAL",DATOS_MODELO!$AA$2:$AA$3672,"&lt;&gt;")&gt;0,"CAL","OBS"))))</f>
        <v>OBS</v>
      </c>
      <c r="S80" s="14">
        <f>IF(COUNTIFS(DATOS_MODELO!$C$2:$C$3672,$Q80&amp;"|"&amp;$E80&amp;"|"&amp;$O80&amp;"|CO2",DATOS_MODELO!$AA$2:$AA$3672,"&lt;&gt;")=0,"",INDEX(DATOS_MODELO!$AA$2:$AA$3672,MATCH($Q80&amp;"|"&amp;$E80&amp;"|"&amp;$O80&amp;"|CO2",DATOS_MODELO!$C$2:$C$3672,0)))</f>
        <v>112000.000326674</v>
      </c>
      <c r="T80" s="14">
        <f>IF(COUNTIFS(DATOS_MODELO!$C$2:$C$3672,$Q80&amp;"|"&amp;$E80&amp;"|"&amp;$O80&amp;"|CH4",DATOS_MODELO!$AA$2:$AA$3672,"&lt;&gt;")=0,"",INDEX(DATOS_MODELO!$AA$2:$AA$3672,MATCH($Q80&amp;"|"&amp;$E80&amp;"|"&amp;$O80&amp;"|CH4",DATOS_MODELO!$C$2:$C$3672,0)))</f>
        <v>300.00000035508</v>
      </c>
      <c r="U80" s="14">
        <f>IF(COUNTIFS(DATOS_MODELO!$C$2:$C$3672,$Q80&amp;"|"&amp;$E80&amp;"|"&amp;$O80&amp;"|N2O",DATOS_MODELO!$AA$2:$AA$3672,"&lt;&gt;")=0,"",INDEX(DATOS_MODELO!$AA$2:$AA$3672,MATCH($Q80&amp;"|"&amp;$E80&amp;"|"&amp;$O80&amp;"|N2O",DATOS_MODELO!$C$2:$C$3672,0)))</f>
        <v>4.00000001420321</v>
      </c>
      <c r="V80" s="8"/>
      <c r="W80" s="14"/>
      <c r="X80" s="14">
        <f>IF($P80="BIOGENICO",0,IF(ISNUMBER($S80),$N80*$S80/PARAMETROS!$B$8,""))</f>
        <v>0.0</v>
      </c>
      <c r="Y80" s="14">
        <f>IF($P80="BIOGENICO",IF(ISNUMBER($S80),$N80*$S80/PARAMETROS!$B$8,""),0)</f>
        <v>32084.0685463806</v>
      </c>
      <c r="Z80" s="14">
        <f>IF(ISNUMBER($T80),$N80*$T80/PARAMETROS!$B$8,"")</f>
        <v>85.939469171718</v>
      </c>
      <c r="AA80" s="14">
        <f>IF(ISNUMBER($U80),$N80*$U80/PARAMETROS!$B$8,"")</f>
        <v>1.14585959166872</v>
      </c>
      <c r="AB80" s="14">
        <f>IF(COUNT($X80,$Z80,$AA80)=0,"",SUM($X80,IF(ISNUMBER($Z80),$Z80*PARAMETROS!$B$9,0),IF(ISNUMBER($AA80),$AA80*PARAMETROS!$B$10,0)))</f>
        <v>2709.95792860032</v>
      </c>
      <c r="AC80" s="4" t="s">
        <v>1990</v>
      </c>
      <c r="AD80" s="4"/>
      <c r="AE80" s="4" t="s">
        <v>5690</v>
      </c>
      <c r="AF80" s="4" t="s">
        <v>170</v>
      </c>
      <c r="AG80" s="4" t="s">
        <v>3999</v>
      </c>
      <c r="AH80" s="4"/>
    </row>
    <row r="81" customFormat="false" ht="23.85" hidden="false" customHeight="false" outlineLevel="0" collapsed="false">
      <c r="A81" s="4" t="s">
        <v>5798</v>
      </c>
      <c r="B81" s="12" t="n">
        <v>2019</v>
      </c>
      <c r="C81" s="4" t="s">
        <v>73</v>
      </c>
      <c r="D81" s="4" t="s">
        <v>5685</v>
      </c>
      <c r="E81" s="4" t="s">
        <v>3380</v>
      </c>
      <c r="F81" s="4" t="s">
        <v>3381</v>
      </c>
      <c r="G81" s="4" t="s">
        <v>99</v>
      </c>
      <c r="H81" s="4" t="s">
        <v>2075</v>
      </c>
      <c r="I81" s="4" t="s">
        <v>73</v>
      </c>
      <c r="J81" s="4" t="s">
        <v>2001</v>
      </c>
      <c r="K81" s="4" t="s">
        <v>2074</v>
      </c>
      <c r="L81" s="4" t="s">
        <v>578</v>
      </c>
      <c r="M81" s="14" t="n">
        <f aca="false">SUMIFS(PSUT_LARGA!$K$2:$K$618,PSUT_LARGA!$B$2:$B$618,$B81,PSUT_LARGA!$H$2:$H$618,$L81,PSUT_LARGA!$E$2:$E$618,$J81,PSUT_LARGA!$F$2:$F$618,$K81,PSUT_LARGA!$G$2:$G$618,$I81,PSUT_LARGA!$I$2:$I$618,$H81)</f>
        <v>13487.1597</v>
      </c>
      <c r="N81" s="14" t="n">
        <f aca="false">IF($H81="TRANSFORMACION_REFINERIA",$M81*INDEX(PARAMETROS!$C$27:$C$33,MATCH($B81,PARAMETROS!$A$27:$A$33,0)),$M81)</f>
        <v>13487.1597</v>
      </c>
      <c r="O81" s="4" t="s">
        <v>3362</v>
      </c>
      <c r="P81" s="4" t="s">
        <v>3363</v>
      </c>
      <c r="Q81" s="11" t="n">
        <f aca="false">MIN($B81,2022)</f>
        <v>2019</v>
      </c>
      <c r="R81" s="8" t="str">
        <f>IF(COUNT($S81:$U81)=0,"NO",IF($O81="CERO_DIRECTO","CAL",IF(OR($B81&gt;$Q81,COUNTIFS(DATOS_MODELO!$C$2:$C$3672,$Q81&amp;"|"&amp;$E81&amp;"|"&amp;$O81&amp;"|*",DATOS_MODELO!$F$2:$F$3672,"PRX",DATOS_MODELO!$AA$2:$AA$3672,"&lt;&gt;")&gt;0),"PRX",IF(COUNTIFS(DATOS_MODELO!$C$2:$C$3672,$Q81&amp;"|"&amp;$E81&amp;"|"&amp;$O81&amp;"|*",DATOS_MODELO!$F$2:$F$3672,"CAL",DATOS_MODELO!$AA$2:$AA$3672,"&lt;&gt;")&gt;0,"CAL","OBS"))))</f>
        <v>CAL</v>
      </c>
      <c r="S81" s="14">
        <f>IF(COUNTIFS(DATOS_MODELO!$C$2:$C$3672,$Q81&amp;"|"&amp;$E81&amp;"|"&amp;$O81&amp;"|CO2",DATOS_MODELO!$AA$2:$AA$3672,"&lt;&gt;")=0,"",INDEX(DATOS_MODELO!$AA$2:$AA$3672,MATCH($Q81&amp;"|"&amp;$E81&amp;"|"&amp;$O81&amp;"|CO2",DATOS_MODELO!$C$2:$C$3672,0)))</f>
        <v>0.0</v>
      </c>
      <c r="T81" s="14">
        <f>IF(COUNTIFS(DATOS_MODELO!$C$2:$C$3672,$Q81&amp;"|"&amp;$E81&amp;"|"&amp;$O81&amp;"|CH4",DATOS_MODELO!$AA$2:$AA$3672,"&lt;&gt;")=0,"",INDEX(DATOS_MODELO!$AA$2:$AA$3672,MATCH($Q81&amp;"|"&amp;$E81&amp;"|"&amp;$O81&amp;"|CH4",DATOS_MODELO!$C$2:$C$3672,0)))</f>
        <v>0.0</v>
      </c>
      <c r="U81" s="14">
        <f>IF(COUNTIFS(DATOS_MODELO!$C$2:$C$3672,$Q81&amp;"|"&amp;$E81&amp;"|"&amp;$O81&amp;"|N2O",DATOS_MODELO!$AA$2:$AA$3672,"&lt;&gt;")=0,"",INDEX(DATOS_MODELO!$AA$2:$AA$3672,MATCH($Q81&amp;"|"&amp;$E81&amp;"|"&amp;$O81&amp;"|N2O",DATOS_MODELO!$C$2:$C$3672,0)))</f>
        <v>0.0</v>
      </c>
      <c r="V81" s="8"/>
      <c r="W81" s="14"/>
      <c r="X81" s="14">
        <f>IF($P81="BIOGENICO",0,IF(ISNUMBER($S81),$N81*$S81/PARAMETROS!$B$8,""))</f>
        <v>0.0</v>
      </c>
      <c r="Y81" s="14">
        <f>IF($P81="BIOGENICO",IF(ISNUMBER($S81),$N81*$S81/PARAMETROS!$B$8,""),0)</f>
        <v>0.0</v>
      </c>
      <c r="Z81" s="14">
        <f>IF(ISNUMBER($T81),$N81*$T81/PARAMETROS!$B$8,"")</f>
        <v>0.0</v>
      </c>
      <c r="AA81" s="14">
        <f>IF(ISNUMBER($U81),$N81*$U81/PARAMETROS!$B$8,"")</f>
        <v>0.0</v>
      </c>
      <c r="AB81" s="14">
        <f>IF(COUNT($X81,$Z81,$AA81)=0,"",SUM($X81,IF(ISNUMBER($Z81),$Z81*PARAMETROS!$B$9,0),IF(ISNUMBER($AA81),$AA81*PARAMETROS!$B$10,0)))</f>
        <v>0.0</v>
      </c>
      <c r="AC81" s="4" t="s">
        <v>1990</v>
      </c>
      <c r="AD81" s="4"/>
      <c r="AE81" s="4" t="s">
        <v>3362</v>
      </c>
      <c r="AF81" s="4" t="s">
        <v>170</v>
      </c>
      <c r="AG81" s="4" t="inlineStr">
        <is>
          <t>METODO_EMISIONES</t>
        </is>
      </c>
      <c r="AH81" s="4"/>
    </row>
    <row r="82" customFormat="false" ht="15" hidden="false" customHeight="false" outlineLevel="0" collapsed="false">
      <c r="A82" s="4" t="s">
        <v>5799</v>
      </c>
      <c r="B82" s="12" t="n">
        <v>2019</v>
      </c>
      <c r="C82" s="4" t="s">
        <v>73</v>
      </c>
      <c r="D82" s="4" t="s">
        <v>5685</v>
      </c>
      <c r="E82" s="4" t="s">
        <v>3380</v>
      </c>
      <c r="F82" s="4" t="s">
        <v>3381</v>
      </c>
      <c r="G82" s="4" t="s">
        <v>105</v>
      </c>
      <c r="H82" s="4" t="s">
        <v>2075</v>
      </c>
      <c r="I82" s="4" t="s">
        <v>73</v>
      </c>
      <c r="J82" s="4" t="s">
        <v>2001</v>
      </c>
      <c r="K82" s="4" t="s">
        <v>2074</v>
      </c>
      <c r="L82" s="4" t="s">
        <v>620</v>
      </c>
      <c r="M82" s="14" t="n">
        <f aca="false">SUMIFS(PSUT_LARGA!$K$2:$K$618,PSUT_LARGA!$B$2:$B$618,$B82,PSUT_LARGA!$H$2:$H$618,$L82,PSUT_LARGA!$E$2:$E$618,$J82,PSUT_LARGA!$F$2:$F$618,$K82,PSUT_LARGA!$G$2:$G$618,$I82,PSUT_LARGA!$I$2:$I$618,$H82)</f>
        <v>15055.5111</v>
      </c>
      <c r="N82" s="14" t="n">
        <f aca="false">IF($H82="TRANSFORMACION_REFINERIA",$M82*INDEX(PARAMETROS!$C$27:$C$33,MATCH($B82,PARAMETROS!$A$27:$A$33,0)),$M82)</f>
        <v>15055.5111</v>
      </c>
      <c r="O82" s="4" t="inlineStr">
        <is>
          <t>COMB_GLP</t>
        </is>
      </c>
      <c r="P82" s="4" t="s">
        <v>3352</v>
      </c>
      <c r="Q82" s="11" t="n">
        <f aca="false">MIN($B82,2022)</f>
        <v>2019</v>
      </c>
      <c r="R82" s="8" t="str">
        <f>IF(COUNT($S82:$U82)=0,"NO",IF($O82="CERO_DIRECTO","CAL",IF(OR($B82&gt;$Q82,COUNTIFS(DATOS_MODELO!$C$2:$C$3672,$Q82&amp;"|"&amp;$E82&amp;"|"&amp;$O82&amp;"|*",DATOS_MODELO!$F$2:$F$3672,"PRX",DATOS_MODELO!$AA$2:$AA$3672,"&lt;&gt;")&gt;0),"PRX",IF(COUNTIFS(DATOS_MODELO!$C$2:$C$3672,$Q82&amp;"|"&amp;$E82&amp;"|"&amp;$O82&amp;"|*",DATOS_MODELO!$F$2:$F$3672,"CAL",DATOS_MODELO!$AA$2:$AA$3672,"&lt;&gt;")&gt;0,"CAL","OBS"))))</f>
        <v>PRX</v>
      </c>
      <c r="S82" s="14">
        <f>IF(COUNTIFS(DATOS_MODELO!$C$2:$C$3672,$Q82&amp;"|"&amp;$E82&amp;"|"&amp;$O82&amp;"|CO2",DATOS_MODELO!$AA$2:$AA$3672,"&lt;&gt;")=0,"",INDEX(DATOS_MODELO!$AA$2:$AA$3672,MATCH($Q82&amp;"|"&amp;$E82&amp;"|"&amp;$O82&amp;"|CO2",DATOS_MODELO!$C$2:$C$3672,0)))</f>
        <v>63100.0</v>
      </c>
      <c r="T82" s="14">
        <f>IF(COUNTIFS(DATOS_MODELO!$C$2:$C$3672,$Q82&amp;"|"&amp;$E82&amp;"|"&amp;$O82&amp;"|CH4",DATOS_MODELO!$AA$2:$AA$3672,"&lt;&gt;")=0,"",INDEX(DATOS_MODELO!$AA$2:$AA$3672,MATCH($Q82&amp;"|"&amp;$E82&amp;"|"&amp;$O82&amp;"|CH4",DATOS_MODELO!$C$2:$C$3672,0)))</f>
        <v>5.0</v>
      </c>
      <c r="U82" s="14">
        <f>IF(COUNTIFS(DATOS_MODELO!$C$2:$C$3672,$Q82&amp;"|"&amp;$E82&amp;"|"&amp;$O82&amp;"|N2O",DATOS_MODELO!$AA$2:$AA$3672,"&lt;&gt;")=0,"",INDEX(DATOS_MODELO!$AA$2:$AA$3672,MATCH($Q82&amp;"|"&amp;$E82&amp;"|"&amp;$O82&amp;"|N2O",DATOS_MODELO!$C$2:$C$3672,0)))</f>
        <v>0.1</v>
      </c>
      <c r="V82" s="8"/>
      <c r="W82" s="14"/>
      <c r="X82" s="14">
        <f>IF($P82="BIOGENICO",0,IF(ISNUMBER($S82),$N82*$S82/PARAMETROS!$B$8,""))</f>
        <v>950.00275041</v>
      </c>
      <c r="Y82" s="14">
        <f>IF($P82="BIOGENICO",IF(ISNUMBER($S82),$N82*$S82/PARAMETROS!$B$8,""),0)</f>
        <v>0.0</v>
      </c>
      <c r="Z82" s="14">
        <f>IF(ISNUMBER($T82),$N82*$T82/PARAMETROS!$B$8,"")</f>
        <v>0.0752775555</v>
      </c>
      <c r="AA82" s="14">
        <f>IF(ISNUMBER($U82),$N82*$U82/PARAMETROS!$B$8,"")</f>
        <v>0.00150555111</v>
      </c>
      <c r="AB82" s="14">
        <f>IF(COUNT($X82,$Z82,$AA82)=0,"",SUM($X82,IF(ISNUMBER($Z82),$Z82*PARAMETROS!$B$9,0),IF(ISNUMBER($AA82),$AA82*PARAMETROS!$B$10,0)))</f>
        <v>952.50949300815</v>
      </c>
      <c r="AC82" s="4" t="s">
        <v>1990</v>
      </c>
      <c r="AD82" s="4"/>
      <c r="AE82" s="4" t="s">
        <v>5690</v>
      </c>
      <c r="AF82" s="4" t="s">
        <v>170</v>
      </c>
      <c r="AG82" s="4" t="inlineStr">
        <is>
          <t>MARN_GTM_BTR1_2024</t>
        </is>
      </c>
      <c r="AH82" s="4" t="inlineStr">
        <is>
          <t>Origen de factores: CO2: MARN_GTM_BTR1_2024 [PRX; BTR1 Guatemala 2024, tabla 3.6, p. 48; fila Gases licuados de petróleo; gas CO2]; CH4: MARN_GTM_BTR1_2024 [PRX; BTR1 Guatemala 2024, tabla 3.33, p. 70; fila Gases licuados de petróleo; gas CH4]; N2O: MARN_GTM_BTR1_2024 [PRX; BTR1 Guatemala 2024, tabla 3.33, p. 70; fila Gases licuados de petróleo; gas N2O].</t>
        </is>
      </c>
    </row>
    <row r="83" customFormat="false" ht="15" hidden="false" customHeight="false" outlineLevel="0" collapsed="false">
      <c r="A83" s="4" t="s">
        <v>5800</v>
      </c>
      <c r="B83" s="12" t="n">
        <v>2019</v>
      </c>
      <c r="C83" s="4" t="s">
        <v>73</v>
      </c>
      <c r="D83" s="4" t="s">
        <v>5685</v>
      </c>
      <c r="E83" s="4" t="s">
        <v>3380</v>
      </c>
      <c r="F83" s="4" t="s">
        <v>3381</v>
      </c>
      <c r="G83" s="4" t="s">
        <v>107</v>
      </c>
      <c r="H83" s="4" t="s">
        <v>2075</v>
      </c>
      <c r="I83" s="4" t="s">
        <v>73</v>
      </c>
      <c r="J83" s="4" t="s">
        <v>2001</v>
      </c>
      <c r="K83" s="4" t="s">
        <v>2074</v>
      </c>
      <c r="L83" s="4" t="s">
        <v>634</v>
      </c>
      <c r="M83" s="14" t="n">
        <f aca="false">SUMIFS(PSUT_LARGA!$K$2:$K$618,PSUT_LARGA!$B$2:$B$618,$B83,PSUT_LARGA!$H$2:$H$618,$L83,PSUT_LARGA!$E$2:$E$618,$J83,PSUT_LARGA!$F$2:$F$618,$K83,PSUT_LARGA!$G$2:$G$618,$I83,PSUT_LARGA!$I$2:$I$618,$H83)</f>
        <v>156.0566</v>
      </c>
      <c r="N83" s="14" t="n">
        <f aca="false">IF($H83="TRANSFORMACION_REFINERIA",$M83*INDEX(PARAMETROS!$C$27:$C$33,MATCH($B83,PARAMETROS!$A$27:$A$33,0)),$M83)</f>
        <v>156.0566</v>
      </c>
      <c r="O83" s="4" t="inlineStr">
        <is>
          <t>COMB_KER</t>
        </is>
      </c>
      <c r="P83" s="4" t="s">
        <v>3352</v>
      </c>
      <c r="Q83" s="11" t="n">
        <f aca="false">MIN($B83,2022)</f>
        <v>2019</v>
      </c>
      <c r="R83" s="8" t="str">
        <f>IF(COUNT($S83:$U83)=0,"NO",IF($O83="CERO_DIRECTO","CAL",IF(OR($B83&gt;$Q83,COUNTIFS(DATOS_MODELO!$C$2:$C$3672,$Q83&amp;"|"&amp;$E83&amp;"|"&amp;$O83&amp;"|*",DATOS_MODELO!$F$2:$F$3672,"PRX",DATOS_MODELO!$AA$2:$AA$3672,"&lt;&gt;")&gt;0),"PRX",IF(COUNTIFS(DATOS_MODELO!$C$2:$C$3672,$Q83&amp;"|"&amp;$E83&amp;"|"&amp;$O83&amp;"|*",DATOS_MODELO!$F$2:$F$3672,"CAL",DATOS_MODELO!$AA$2:$AA$3672,"&lt;&gt;")&gt;0,"CAL","OBS"))))</f>
        <v>PRX</v>
      </c>
      <c r="S83" s="14">
        <f>IF(COUNTIFS(DATOS_MODELO!$C$2:$C$3672,$Q83&amp;"|"&amp;$E83&amp;"|"&amp;$O83&amp;"|CO2",DATOS_MODELO!$AA$2:$AA$3672,"&lt;&gt;")=0,"",INDEX(DATOS_MODELO!$AA$2:$AA$3672,MATCH($Q83&amp;"|"&amp;$E83&amp;"|"&amp;$O83&amp;"|CO2",DATOS_MODELO!$C$2:$C$3672,0)))</f>
        <v>71900.0</v>
      </c>
      <c r="T83" s="14">
        <f>IF(COUNTIFS(DATOS_MODELO!$C$2:$C$3672,$Q83&amp;"|"&amp;$E83&amp;"|"&amp;$O83&amp;"|CH4",DATOS_MODELO!$AA$2:$AA$3672,"&lt;&gt;")=0,"",INDEX(DATOS_MODELO!$AA$2:$AA$3672,MATCH($Q83&amp;"|"&amp;$E83&amp;"|"&amp;$O83&amp;"|CH4",DATOS_MODELO!$C$2:$C$3672,0)))</f>
        <v>10.0</v>
      </c>
      <c r="U83" s="14">
        <f>IF(COUNTIFS(DATOS_MODELO!$C$2:$C$3672,$Q83&amp;"|"&amp;$E83&amp;"|"&amp;$O83&amp;"|N2O",DATOS_MODELO!$AA$2:$AA$3672,"&lt;&gt;")=0,"",INDEX(DATOS_MODELO!$AA$2:$AA$3672,MATCH($Q83&amp;"|"&amp;$E83&amp;"|"&amp;$O83&amp;"|N2O",DATOS_MODELO!$C$2:$C$3672,0)))</f>
        <v>0.6</v>
      </c>
      <c r="V83" s="8"/>
      <c r="W83" s="14"/>
      <c r="X83" s="14">
        <f>IF($P83="BIOGENICO",0,IF(ISNUMBER($S83),$N83*$S83/PARAMETROS!$B$8,""))</f>
        <v>11.22046954</v>
      </c>
      <c r="Y83" s="14">
        <f>IF($P83="BIOGENICO",IF(ISNUMBER($S83),$N83*$S83/PARAMETROS!$B$8,""),0)</f>
        <v>0.0</v>
      </c>
      <c r="Z83" s="14">
        <f>IF(ISNUMBER($T83),$N83*$T83/PARAMETROS!$B$8,"")</f>
        <v>0.001560566</v>
      </c>
      <c r="AA83" s="14">
        <f>IF(ISNUMBER($U83),$N83*$U83/PARAMETROS!$B$8,"")</f>
        <v>9.363396e-05</v>
      </c>
      <c r="AB83" s="14">
        <f>IF(COUNT($X83,$Z83,$AA83)=0,"",SUM($X83,IF(ISNUMBER($Z83),$Z83*PARAMETROS!$B$9,0),IF(ISNUMBER($AA83),$AA83*PARAMETROS!$B$10,0)))</f>
        <v>11.2889783874</v>
      </c>
      <c r="AC83" s="4" t="s">
        <v>1990</v>
      </c>
      <c r="AD83" s="4"/>
      <c r="AE83" s="4" t="s">
        <v>5690</v>
      </c>
      <c r="AF83" s="4" t="s">
        <v>170</v>
      </c>
      <c r="AG83" s="4" t="inlineStr">
        <is>
          <t>MARN_GTM_BTR1_2024</t>
        </is>
      </c>
      <c r="AH83" s="4" t="inlineStr">
        <is>
          <t>Origen de factores: CO2: MARN_GTM_BTR1_2024 [PRX; BTR1 Guatemala 2024, tabla 3.6, p. 48; fila Otro queroseno; gas CO2]; CH4: MARN_GTM_BTR1_2024 [PRX; BTR1 Guatemala 2024, tabla 3.33, p. 70; fila Otro queroseno; gas CH4]; N2O: MARN_GTM_BTR1_2024 [PRX; BTR1 Guatemala 2024, tabla 3.33, p. 70; fila Otro queroseno; gas N2O].</t>
        </is>
      </c>
    </row>
    <row r="84" customFormat="false" ht="15" hidden="false" customHeight="false" outlineLevel="0" collapsed="false">
      <c r="A84" s="4" t="s">
        <v>5801</v>
      </c>
      <c r="B84" s="12" t="n">
        <v>2019</v>
      </c>
      <c r="C84" s="4" t="s">
        <v>68</v>
      </c>
      <c r="D84" s="4" t="s">
        <v>5685</v>
      </c>
      <c r="E84" s="4" t="s">
        <v>3404</v>
      </c>
      <c r="F84" s="4" t="s">
        <v>3405</v>
      </c>
      <c r="G84" s="4" t="s">
        <v>95</v>
      </c>
      <c r="H84" s="4" t="s">
        <v>2111</v>
      </c>
      <c r="I84" s="4" t="s">
        <v>68</v>
      </c>
      <c r="J84" s="4" t="s">
        <v>2001</v>
      </c>
      <c r="K84" s="4" t="s">
        <v>2002</v>
      </c>
      <c r="L84" s="4" t="s">
        <v>552</v>
      </c>
      <c r="M84" s="14" t="n">
        <f aca="false">SUMIFS(PSUT_LARGA!$K$2:$K$618,PSUT_LARGA!$B$2:$B$618,$B84,PSUT_LARGA!$H$2:$H$618,$L84,PSUT_LARGA!$E$2:$E$618,$J84,PSUT_LARGA!$F$2:$F$618,$K84,PSUT_LARGA!$G$2:$G$618,$I84,PSUT_LARGA!$I$2:$I$618,$H84)</f>
        <v>15516.2441</v>
      </c>
      <c r="N84" s="14" t="n">
        <f aca="false">IF($H84="TRANSFORMACION_REFINERIA",$M84*INDEX(PARAMETROS!$C$27:$C$33,MATCH($B84,PARAMETROS!$A$27:$A$33,0)),$M84)</f>
        <v>15516.2441</v>
      </c>
      <c r="O84" s="4" t="inlineStr">
        <is>
          <t>COMB_COQUE</t>
        </is>
      </c>
      <c r="P84" s="4" t="s">
        <v>3352</v>
      </c>
      <c r="Q84" s="11" t="n">
        <f aca="false">MIN($B84,2022)</f>
        <v>2019</v>
      </c>
      <c r="R84" s="8" t="str">
        <f>IF(COUNT($S84:$U84)=0,"NO",IF($O84="CERO_DIRECTO","CAL",IF(OR($B84&gt;$Q84,COUNTIFS(DATOS_MODELO!$C$2:$C$3672,$Q84&amp;"|"&amp;$E84&amp;"|"&amp;$O84&amp;"|*",DATOS_MODELO!$F$2:$F$3672,"PRX",DATOS_MODELO!$AA$2:$AA$3672,"&lt;&gt;")&gt;0),"PRX",IF(COUNTIFS(DATOS_MODELO!$C$2:$C$3672,$Q84&amp;"|"&amp;$E84&amp;"|"&amp;$O84&amp;"|*",DATOS_MODELO!$F$2:$F$3672,"CAL",DATOS_MODELO!$AA$2:$AA$3672,"&lt;&gt;")&gt;0,"CAL","OBS"))))</f>
        <v>PRX</v>
      </c>
      <c r="S84" s="14">
        <f>IF(COUNTIFS(DATOS_MODELO!$C$2:$C$3672,$Q84&amp;"|"&amp;$E84&amp;"|"&amp;$O84&amp;"|CO2",DATOS_MODELO!$AA$2:$AA$3672,"&lt;&gt;")=0,"",INDEX(DATOS_MODELO!$AA$2:$AA$3672,MATCH($Q84&amp;"|"&amp;$E84&amp;"|"&amp;$O84&amp;"|CO2",DATOS_MODELO!$C$2:$C$3672,0)))</f>
        <v>97500.0</v>
      </c>
      <c r="T84" s="14">
        <f>IF(COUNTIFS(DATOS_MODELO!$C$2:$C$3672,$Q84&amp;"|"&amp;$E84&amp;"|"&amp;$O84&amp;"|CH4",DATOS_MODELO!$AA$2:$AA$3672,"&lt;&gt;")=0,"",INDEX(DATOS_MODELO!$AA$2:$AA$3672,MATCH($Q84&amp;"|"&amp;$E84&amp;"|"&amp;$O84&amp;"|CH4",DATOS_MODELO!$C$2:$C$3672,0)))</f>
        <v>3.0</v>
      </c>
      <c r="U84" s="14">
        <f>IF(COUNTIFS(DATOS_MODELO!$C$2:$C$3672,$Q84&amp;"|"&amp;$E84&amp;"|"&amp;$O84&amp;"|N2O",DATOS_MODELO!$AA$2:$AA$3672,"&lt;&gt;")=0,"",INDEX(DATOS_MODELO!$AA$2:$AA$3672,MATCH($Q84&amp;"|"&amp;$E84&amp;"|"&amp;$O84&amp;"|N2O",DATOS_MODELO!$C$2:$C$3672,0)))</f>
        <v>0.6</v>
      </c>
      <c r="V84" s="8"/>
      <c r="W84" s="14"/>
      <c r="X84" s="14">
        <f>IF($P84="BIOGENICO",0,IF(ISNUMBER($S84),$N84*$S84/PARAMETROS!$B$8,""))</f>
        <v>1512.83379975</v>
      </c>
      <c r="Y84" s="14">
        <f>IF($P84="BIOGENICO",IF(ISNUMBER($S84),$N84*$S84/PARAMETROS!$B$8,""),0)</f>
        <v>0.0</v>
      </c>
      <c r="Z84" s="14">
        <f>IF(ISNUMBER($T84),$N84*$T84/PARAMETROS!$B$8,"")</f>
        <v>0.0465487323</v>
      </c>
      <c r="AA84" s="14">
        <f>IF(ISNUMBER($U84),$N84*$U84/PARAMETROS!$B$8,"")</f>
        <v>0.00930974646</v>
      </c>
      <c r="AB84" s="14">
        <f>IF(COUNT($X84,$Z84,$AA84)=0,"",SUM($X84,IF(ISNUMBER($Z84),$Z84*PARAMETROS!$B$9,0),IF(ISNUMBER($AA84),$AA84*PARAMETROS!$B$10,0)))</f>
        <v>1516.6042470663</v>
      </c>
      <c r="AC84" s="4" t="s">
        <v>1990</v>
      </c>
      <c r="AD84" s="4"/>
      <c r="AE84" s="4" t="s">
        <v>5690</v>
      </c>
      <c r="AF84" s="4" t="s">
        <v>170</v>
      </c>
      <c r="AG84" s="4" t="inlineStr">
        <is>
          <t>MARN_GTM_BTR1_2024</t>
        </is>
      </c>
      <c r="AH84" s="4" t="inlineStr">
        <is>
          <t>Origen de factores: CO2: MARN_GTM_BTR1_2024 [PRX; BTR1 Guatemala 2024, tabla 3.6, p. 48; fila Coque de petróleo; gas CO2]; CH4: MARN_GTM_BTR1_2024 [PRX; BTR1 Guatemala 2024, tabla 3.22, p. 62; fila Coque de petróleo; gas CH4]; N2O: MARN_GTM_BTR1_2024 [PRX; BTR1 Guatemala 2024, tabla 3.22, p. 62; fila Coque de petróleo; gas N2O].</t>
        </is>
      </c>
    </row>
    <row r="85" customFormat="false" ht="15" hidden="false" customHeight="false" outlineLevel="0" collapsed="false">
      <c r="A85" s="4" t="s">
        <v>5802</v>
      </c>
      <c r="B85" s="12" t="n">
        <v>2019</v>
      </c>
      <c r="C85" s="4" t="s">
        <v>68</v>
      </c>
      <c r="D85" s="4" t="s">
        <v>5685</v>
      </c>
      <c r="E85" s="4" t="s">
        <v>3404</v>
      </c>
      <c r="F85" s="4" t="s">
        <v>3405</v>
      </c>
      <c r="G85" s="4" t="s">
        <v>97</v>
      </c>
      <c r="H85" s="4" t="s">
        <v>2111</v>
      </c>
      <c r="I85" s="4" t="s">
        <v>68</v>
      </c>
      <c r="J85" s="4" t="s">
        <v>2001</v>
      </c>
      <c r="K85" s="4" t="s">
        <v>2002</v>
      </c>
      <c r="L85" s="4" t="s">
        <v>566</v>
      </c>
      <c r="M85" s="14" t="n">
        <f aca="false">SUMIFS(PSUT_LARGA!$K$2:$K$618,PSUT_LARGA!$B$2:$B$618,$B85,PSUT_LARGA!$H$2:$H$618,$L85,PSUT_LARGA!$E$2:$E$618,$J85,PSUT_LARGA!$F$2:$F$618,$K85,PSUT_LARGA!$G$2:$G$618,$I85,PSUT_LARGA!$I$2:$I$618,$H85)</f>
        <v>6134.8371</v>
      </c>
      <c r="N85" s="14" t="n">
        <f aca="false">IF($H85="TRANSFORMACION_REFINERIA",$M85*INDEX(PARAMETROS!$C$27:$C$33,MATCH($B85,PARAMETROS!$A$27:$A$33,0)),$M85)</f>
        <v>6134.8371</v>
      </c>
      <c r="O85" s="4" t="inlineStr">
        <is>
          <t>COMB_DOIL</t>
        </is>
      </c>
      <c r="P85" s="4" t="s">
        <v>3352</v>
      </c>
      <c r="Q85" s="11" t="n">
        <f aca="false">MIN($B85,2022)</f>
        <v>2019</v>
      </c>
      <c r="R85" s="8" t="str">
        <f>IF(COUNT($S85:$U85)=0,"NO",IF($O85="CERO_DIRECTO","CAL",IF(OR($B85&gt;$Q85,COUNTIFS(DATOS_MODELO!$C$2:$C$3672,$Q85&amp;"|"&amp;$E85&amp;"|"&amp;$O85&amp;"|*",DATOS_MODELO!$F$2:$F$3672,"PRX",DATOS_MODELO!$AA$2:$AA$3672,"&lt;&gt;")&gt;0),"PRX",IF(COUNTIFS(DATOS_MODELO!$C$2:$C$3672,$Q85&amp;"|"&amp;$E85&amp;"|"&amp;$O85&amp;"|*",DATOS_MODELO!$F$2:$F$3672,"CAL",DATOS_MODELO!$AA$2:$AA$3672,"&lt;&gt;")&gt;0,"CAL","OBS"))))</f>
        <v>PRX</v>
      </c>
      <c r="S85" s="14">
        <f>IF(COUNTIFS(DATOS_MODELO!$C$2:$C$3672,$Q85&amp;"|"&amp;$E85&amp;"|"&amp;$O85&amp;"|CO2",DATOS_MODELO!$AA$2:$AA$3672,"&lt;&gt;")=0,"",INDEX(DATOS_MODELO!$AA$2:$AA$3672,MATCH($Q85&amp;"|"&amp;$E85&amp;"|"&amp;$O85&amp;"|CO2",DATOS_MODELO!$C$2:$C$3672,0)))</f>
        <v>74100.0</v>
      </c>
      <c r="T85" s="14">
        <f>IF(COUNTIFS(DATOS_MODELO!$C$2:$C$3672,$Q85&amp;"|"&amp;$E85&amp;"|"&amp;$O85&amp;"|CH4",DATOS_MODELO!$AA$2:$AA$3672,"&lt;&gt;")=0,"",INDEX(DATOS_MODELO!$AA$2:$AA$3672,MATCH($Q85&amp;"|"&amp;$E85&amp;"|"&amp;$O85&amp;"|CH4",DATOS_MODELO!$C$2:$C$3672,0)))</f>
        <v>3.0</v>
      </c>
      <c r="U85" s="14">
        <f>IF(COUNTIFS(DATOS_MODELO!$C$2:$C$3672,$Q85&amp;"|"&amp;$E85&amp;"|"&amp;$O85&amp;"|N2O",DATOS_MODELO!$AA$2:$AA$3672,"&lt;&gt;")=0,"",INDEX(DATOS_MODELO!$AA$2:$AA$3672,MATCH($Q85&amp;"|"&amp;$E85&amp;"|"&amp;$O85&amp;"|N2O",DATOS_MODELO!$C$2:$C$3672,0)))</f>
        <v>0.6</v>
      </c>
      <c r="V85" s="8"/>
      <c r="W85" s="14"/>
      <c r="X85" s="14">
        <f>IF($P85="BIOGENICO",0,IF(ISNUMBER($S85),$N85*$S85/PARAMETROS!$B$8,""))</f>
        <v>454.59142911</v>
      </c>
      <c r="Y85" s="14">
        <f>IF($P85="BIOGENICO",IF(ISNUMBER($S85),$N85*$S85/PARAMETROS!$B$8,""),0)</f>
        <v>0.0</v>
      </c>
      <c r="Z85" s="14">
        <f>IF(ISNUMBER($T85),$N85*$T85/PARAMETROS!$B$8,"")</f>
        <v>0.0184045113</v>
      </c>
      <c r="AA85" s="14">
        <f>IF(ISNUMBER($U85),$N85*$U85/PARAMETROS!$B$8,"")</f>
        <v>0.00368090226</v>
      </c>
      <c r="AB85" s="14">
        <f>IF(COUNT($X85,$Z85,$AA85)=0,"",SUM($X85,IF(ISNUMBER($Z85),$Z85*PARAMETROS!$B$9,0),IF(ISNUMBER($AA85),$AA85*PARAMETROS!$B$10,0)))</f>
        <v>456.0821945253</v>
      </c>
      <c r="AC85" s="4" t="s">
        <v>1990</v>
      </c>
      <c r="AD85" s="4"/>
      <c r="AE85" s="4" t="s">
        <v>5690</v>
      </c>
      <c r="AF85" s="4" t="s">
        <v>170</v>
      </c>
      <c r="AG85" s="4" t="inlineStr">
        <is>
          <t>MARN_GTM_BTR1_2024</t>
        </is>
      </c>
      <c r="AH85" s="4" t="inlineStr">
        <is>
          <t>Origen de factores: CO2: MARN_GTM_BTR1_2024 [PRX; BTR1 Guatemala 2024, tabla 3.6, p. 48; fila Gas/Diésel oíl; gas CO2]; CH4: MARN_GTM_BTR1_2024 [PRX; BTR1 Guatemala 2024, tabla 3.22, p. 62; fila Diésel; gas CH4]; N2O: MARN_GTM_BTR1_2024 [PRX; BTR1 Guatemala 2024, tabla 3.22, p. 62; fila Diésel; gas N2O].</t>
        </is>
      </c>
    </row>
    <row r="86" customFormat="false" ht="23.85" hidden="false" customHeight="false" outlineLevel="0" collapsed="false">
      <c r="A86" s="4" t="s">
        <v>5803</v>
      </c>
      <c r="B86" s="12" t="n">
        <v>2019</v>
      </c>
      <c r="C86" s="4" t="s">
        <v>68</v>
      </c>
      <c r="D86" s="4" t="s">
        <v>5685</v>
      </c>
      <c r="E86" s="4" t="s">
        <v>3404</v>
      </c>
      <c r="F86" s="4" t="s">
        <v>3405</v>
      </c>
      <c r="G86" s="4" t="s">
        <v>99</v>
      </c>
      <c r="H86" s="4" t="s">
        <v>2111</v>
      </c>
      <c r="I86" s="4" t="s">
        <v>68</v>
      </c>
      <c r="J86" s="4" t="s">
        <v>2001</v>
      </c>
      <c r="K86" s="4" t="s">
        <v>2002</v>
      </c>
      <c r="L86" s="4" t="s">
        <v>580</v>
      </c>
      <c r="M86" s="14" t="n">
        <f aca="false">SUMIFS(PSUT_LARGA!$K$2:$K$618,PSUT_LARGA!$B$2:$B$618,$B86,PSUT_LARGA!$H$2:$H$618,$L86,PSUT_LARGA!$E$2:$E$618,$J86,PSUT_LARGA!$F$2:$F$618,$K86,PSUT_LARGA!$G$2:$G$618,$I86,PSUT_LARGA!$I$2:$I$618,$H86)</f>
        <v>14459.8118</v>
      </c>
      <c r="N86" s="14" t="n">
        <f aca="false">IF($H86="TRANSFORMACION_REFINERIA",$M86*INDEX(PARAMETROS!$C$27:$C$33,MATCH($B86,PARAMETROS!$A$27:$A$33,0)),$M86)</f>
        <v>14459.8118</v>
      </c>
      <c r="O86" s="4" t="s">
        <v>3362</v>
      </c>
      <c r="P86" s="4" t="s">
        <v>3363</v>
      </c>
      <c r="Q86" s="11" t="n">
        <f aca="false">MIN($B86,2022)</f>
        <v>2019</v>
      </c>
      <c r="R86" s="8" t="str">
        <f>IF(COUNT($S86:$U86)=0,"NO",IF($O86="CERO_DIRECTO","CAL",IF(OR($B86&gt;$Q86,COUNTIFS(DATOS_MODELO!$C$2:$C$3672,$Q86&amp;"|"&amp;$E86&amp;"|"&amp;$O86&amp;"|*",DATOS_MODELO!$F$2:$F$3672,"PRX",DATOS_MODELO!$AA$2:$AA$3672,"&lt;&gt;")&gt;0),"PRX",IF(COUNTIFS(DATOS_MODELO!$C$2:$C$3672,$Q86&amp;"|"&amp;$E86&amp;"|"&amp;$O86&amp;"|*",DATOS_MODELO!$F$2:$F$3672,"CAL",DATOS_MODELO!$AA$2:$AA$3672,"&lt;&gt;")&gt;0,"CAL","OBS"))))</f>
        <v>CAL</v>
      </c>
      <c r="S86" s="14">
        <f>IF(COUNTIFS(DATOS_MODELO!$C$2:$C$3672,$Q86&amp;"|"&amp;$E86&amp;"|"&amp;$O86&amp;"|CO2",DATOS_MODELO!$AA$2:$AA$3672,"&lt;&gt;")=0,"",INDEX(DATOS_MODELO!$AA$2:$AA$3672,MATCH($Q86&amp;"|"&amp;$E86&amp;"|"&amp;$O86&amp;"|CO2",DATOS_MODELO!$C$2:$C$3672,0)))</f>
        <v>0.0</v>
      </c>
      <c r="T86" s="14">
        <f>IF(COUNTIFS(DATOS_MODELO!$C$2:$C$3672,$Q86&amp;"|"&amp;$E86&amp;"|"&amp;$O86&amp;"|CH4",DATOS_MODELO!$AA$2:$AA$3672,"&lt;&gt;")=0,"",INDEX(DATOS_MODELO!$AA$2:$AA$3672,MATCH($Q86&amp;"|"&amp;$E86&amp;"|"&amp;$O86&amp;"|CH4",DATOS_MODELO!$C$2:$C$3672,0)))</f>
        <v>0.0</v>
      </c>
      <c r="U86" s="14">
        <f>IF(COUNTIFS(DATOS_MODELO!$C$2:$C$3672,$Q86&amp;"|"&amp;$E86&amp;"|"&amp;$O86&amp;"|N2O",DATOS_MODELO!$AA$2:$AA$3672,"&lt;&gt;")=0,"",INDEX(DATOS_MODELO!$AA$2:$AA$3672,MATCH($Q86&amp;"|"&amp;$E86&amp;"|"&amp;$O86&amp;"|N2O",DATOS_MODELO!$C$2:$C$3672,0)))</f>
        <v>0.0</v>
      </c>
      <c r="V86" s="8"/>
      <c r="W86" s="14"/>
      <c r="X86" s="14">
        <f>IF($P86="BIOGENICO",0,IF(ISNUMBER($S86),$N86*$S86/PARAMETROS!$B$8,""))</f>
        <v>0.0</v>
      </c>
      <c r="Y86" s="14">
        <f>IF($P86="BIOGENICO",IF(ISNUMBER($S86),$N86*$S86/PARAMETROS!$B$8,""),0)</f>
        <v>0.0</v>
      </c>
      <c r="Z86" s="14">
        <f>IF(ISNUMBER($T86),$N86*$T86/PARAMETROS!$B$8,"")</f>
        <v>0.0</v>
      </c>
      <c r="AA86" s="14">
        <f>IF(ISNUMBER($U86),$N86*$U86/PARAMETROS!$B$8,"")</f>
        <v>0.0</v>
      </c>
      <c r="AB86" s="14">
        <f>IF(COUNT($X86,$Z86,$AA86)=0,"",SUM($X86,IF(ISNUMBER($Z86),$Z86*PARAMETROS!$B$9,0),IF(ISNUMBER($AA86),$AA86*PARAMETROS!$B$10,0)))</f>
        <v>0.0</v>
      </c>
      <c r="AC86" s="4" t="s">
        <v>1990</v>
      </c>
      <c r="AD86" s="4"/>
      <c r="AE86" s="4" t="s">
        <v>3362</v>
      </c>
      <c r="AF86" s="4" t="s">
        <v>170</v>
      </c>
      <c r="AG86" s="4" t="inlineStr">
        <is>
          <t>METODO_EMISIONES</t>
        </is>
      </c>
      <c r="AH86" s="4"/>
    </row>
    <row r="87" customFormat="false" ht="15" hidden="false" customHeight="false" outlineLevel="0" collapsed="false">
      <c r="A87" s="4" t="s">
        <v>5804</v>
      </c>
      <c r="B87" s="12" t="n">
        <v>2019</v>
      </c>
      <c r="C87" s="4" t="s">
        <v>68</v>
      </c>
      <c r="D87" s="4" t="s">
        <v>5685</v>
      </c>
      <c r="E87" s="4" t="s">
        <v>3404</v>
      </c>
      <c r="F87" s="4" t="s">
        <v>3405</v>
      </c>
      <c r="G87" s="4" t="s">
        <v>101</v>
      </c>
      <c r="H87" s="4" t="s">
        <v>2111</v>
      </c>
      <c r="I87" s="4" t="s">
        <v>68</v>
      </c>
      <c r="J87" s="4" t="s">
        <v>2001</v>
      </c>
      <c r="K87" s="4" t="s">
        <v>2002</v>
      </c>
      <c r="L87" s="4" t="s">
        <v>594</v>
      </c>
      <c r="M87" s="14" t="n">
        <f aca="false">SUMIFS(PSUT_LARGA!$K$2:$K$618,PSUT_LARGA!$B$2:$B$618,$B87,PSUT_LARGA!$H$2:$H$618,$L87,PSUT_LARGA!$E$2:$E$618,$J87,PSUT_LARGA!$F$2:$F$618,$K87,PSUT_LARGA!$G$2:$G$618,$I87,PSUT_LARGA!$I$2:$I$618,$H87)</f>
        <v>5871.586</v>
      </c>
      <c r="N87" s="14" t="n">
        <f aca="false">IF($H87="TRANSFORMACION_REFINERIA",$M87*INDEX(PARAMETROS!$C$27:$C$33,MATCH($B87,PARAMETROS!$A$27:$A$33,0)),$M87)</f>
        <v>5871.586</v>
      </c>
      <c r="O87" s="4" t="inlineStr">
        <is>
          <t>COMB_FOIL</t>
        </is>
      </c>
      <c r="P87" s="4" t="s">
        <v>3352</v>
      </c>
      <c r="Q87" s="11" t="n">
        <f aca="false">MIN($B87,2022)</f>
        <v>2019</v>
      </c>
      <c r="R87" s="8" t="str">
        <f>IF(COUNT($S87:$U87)=0,"NO",IF($O87="CERO_DIRECTO","CAL",IF(OR($B87&gt;$Q87,COUNTIFS(DATOS_MODELO!$C$2:$C$3672,$Q87&amp;"|"&amp;$E87&amp;"|"&amp;$O87&amp;"|*",DATOS_MODELO!$F$2:$F$3672,"PRX",DATOS_MODELO!$AA$2:$AA$3672,"&lt;&gt;")&gt;0),"PRX",IF(COUNTIFS(DATOS_MODELO!$C$2:$C$3672,$Q87&amp;"|"&amp;$E87&amp;"|"&amp;$O87&amp;"|*",DATOS_MODELO!$F$2:$F$3672,"CAL",DATOS_MODELO!$AA$2:$AA$3672,"&lt;&gt;")&gt;0,"CAL","OBS"))))</f>
        <v>PRX</v>
      </c>
      <c r="S87" s="14">
        <f>IF(COUNTIFS(DATOS_MODELO!$C$2:$C$3672,$Q87&amp;"|"&amp;$E87&amp;"|"&amp;$O87&amp;"|CO2",DATOS_MODELO!$AA$2:$AA$3672,"&lt;&gt;")=0,"",INDEX(DATOS_MODELO!$AA$2:$AA$3672,MATCH($Q87&amp;"|"&amp;$E87&amp;"|"&amp;$O87&amp;"|CO2",DATOS_MODELO!$C$2:$C$3672,0)))</f>
        <v>77400.0</v>
      </c>
      <c r="T87" s="14">
        <f>IF(COUNTIFS(DATOS_MODELO!$C$2:$C$3672,$Q87&amp;"|"&amp;$E87&amp;"|"&amp;$O87&amp;"|CH4",DATOS_MODELO!$AA$2:$AA$3672,"&lt;&gt;")=0,"",INDEX(DATOS_MODELO!$AA$2:$AA$3672,MATCH($Q87&amp;"|"&amp;$E87&amp;"|"&amp;$O87&amp;"|CH4",DATOS_MODELO!$C$2:$C$3672,0)))</f>
        <v>3.0</v>
      </c>
      <c r="U87" s="14">
        <f>IF(COUNTIFS(DATOS_MODELO!$C$2:$C$3672,$Q87&amp;"|"&amp;$E87&amp;"|"&amp;$O87&amp;"|N2O",DATOS_MODELO!$AA$2:$AA$3672,"&lt;&gt;")=0,"",INDEX(DATOS_MODELO!$AA$2:$AA$3672,MATCH($Q87&amp;"|"&amp;$E87&amp;"|"&amp;$O87&amp;"|N2O",DATOS_MODELO!$C$2:$C$3672,0)))</f>
        <v>0.6</v>
      </c>
      <c r="V87" s="8"/>
      <c r="W87" s="14"/>
      <c r="X87" s="14">
        <f>IF($P87="BIOGENICO",0,IF(ISNUMBER($S87),$N87*$S87/PARAMETROS!$B$8,""))</f>
        <v>454.4607564</v>
      </c>
      <c r="Y87" s="14">
        <f>IF($P87="BIOGENICO",IF(ISNUMBER($S87),$N87*$S87/PARAMETROS!$B$8,""),0)</f>
        <v>0.0</v>
      </c>
      <c r="Z87" s="14">
        <f>IF(ISNUMBER($T87),$N87*$T87/PARAMETROS!$B$8,"")</f>
        <v>0.017614758</v>
      </c>
      <c r="AA87" s="14">
        <f>IF(ISNUMBER($U87),$N87*$U87/PARAMETROS!$B$8,"")</f>
        <v>0.0035229516</v>
      </c>
      <c r="AB87" s="14">
        <f>IF(COUNT($X87,$Z87,$AA87)=0,"",SUM($X87,IF(ISNUMBER($Z87),$Z87*PARAMETROS!$B$9,0),IF(ISNUMBER($AA87),$AA87*PARAMETROS!$B$10,0)))</f>
        <v>455.887551798</v>
      </c>
      <c r="AC87" s="4" t="s">
        <v>1990</v>
      </c>
      <c r="AD87" s="4"/>
      <c r="AE87" s="4" t="s">
        <v>5690</v>
      </c>
      <c r="AF87" s="4" t="s">
        <v>170</v>
      </c>
      <c r="AG87" s="4" t="inlineStr">
        <is>
          <t>MARN_GTM_BTR1_2024</t>
        </is>
      </c>
      <c r="AH87" s="4" t="inlineStr">
        <is>
          <t>Origen de factores: CO2: MARN_GTM_BTR1_2024 [PRX; BTR1 Guatemala 2024, tabla 3.6, p. 48; fila Fuelóleo residual; gas CO2]; CH4: MARN_GTM_BTR1_2024 [PRX; BTR1 Guatemala 2024, tabla 3.22, p. 62; fila Fuelóleo residual; gas CH4]; N2O: MARN_GTM_BTR1_2024 [PRX; BTR1 Guatemala 2024, tabla 3.22, p. 62; fila Fuelóleo residual; gas N2O].</t>
        </is>
      </c>
    </row>
    <row r="88" customFormat="false" ht="15" hidden="false" customHeight="false" outlineLevel="0" collapsed="false">
      <c r="A88" s="4" t="s">
        <v>5805</v>
      </c>
      <c r="B88" s="12" t="n">
        <v>2019</v>
      </c>
      <c r="C88" s="4" t="s">
        <v>68</v>
      </c>
      <c r="D88" s="4" t="s">
        <v>5685</v>
      </c>
      <c r="E88" s="4" t="s">
        <v>3404</v>
      </c>
      <c r="F88" s="4" t="s">
        <v>3405</v>
      </c>
      <c r="G88" s="4" t="s">
        <v>103</v>
      </c>
      <c r="H88" s="4" t="s">
        <v>2111</v>
      </c>
      <c r="I88" s="4" t="s">
        <v>68</v>
      </c>
      <c r="J88" s="4" t="s">
        <v>2001</v>
      </c>
      <c r="K88" s="4" t="s">
        <v>2002</v>
      </c>
      <c r="L88" s="4" t="s">
        <v>608</v>
      </c>
      <c r="M88" s="14" t="n">
        <f aca="false">SUMIFS(PSUT_LARGA!$K$2:$K$618,PSUT_LARGA!$B$2:$B$618,$B88,PSUT_LARGA!$H$2:$H$618,$L88,PSUT_LARGA!$E$2:$E$618,$J88,PSUT_LARGA!$F$2:$F$618,$K88,PSUT_LARGA!$G$2:$G$618,$I88,PSUT_LARGA!$I$2:$I$618,$H88)</f>
        <v>1342.8653</v>
      </c>
      <c r="N88" s="14" t="n">
        <f aca="false">IF($H88="TRANSFORMACION_REFINERIA",$M88*INDEX(PARAMETROS!$C$27:$C$33,MATCH($B88,PARAMETROS!$A$27:$A$33,0)),$M88)</f>
        <v>1342.8653</v>
      </c>
      <c r="O88" s="4" t="inlineStr">
        <is>
          <t>COMB_GAS</t>
        </is>
      </c>
      <c r="P88" s="4" t="s">
        <v>3352</v>
      </c>
      <c r="Q88" s="11" t="n">
        <f aca="false">MIN($B88,2022)</f>
        <v>2019</v>
      </c>
      <c r="R88" s="8" t="str">
        <f>IF(COUNT($S88:$U88)=0,"NO",IF($O88="CERO_DIRECTO","CAL",IF(OR($B88&gt;$Q88,COUNTIFS(DATOS_MODELO!$C$2:$C$3672,$Q88&amp;"|"&amp;$E88&amp;"|"&amp;$O88&amp;"|*",DATOS_MODELO!$F$2:$F$3672,"PRX",DATOS_MODELO!$AA$2:$AA$3672,"&lt;&gt;")&gt;0),"PRX",IF(COUNTIFS(DATOS_MODELO!$C$2:$C$3672,$Q88&amp;"|"&amp;$E88&amp;"|"&amp;$O88&amp;"|*",DATOS_MODELO!$F$2:$F$3672,"CAL",DATOS_MODELO!$AA$2:$AA$3672,"&lt;&gt;")&gt;0,"CAL","OBS"))))</f>
        <v>PRX</v>
      </c>
      <c r="S88" s="14">
        <f>IF(COUNTIFS(DATOS_MODELO!$C$2:$C$3672,$Q88&amp;"|"&amp;$E88&amp;"|"&amp;$O88&amp;"|CO2",DATOS_MODELO!$AA$2:$AA$3672,"&lt;&gt;")=0,"",INDEX(DATOS_MODELO!$AA$2:$AA$3672,MATCH($Q88&amp;"|"&amp;$E88&amp;"|"&amp;$O88&amp;"|CO2",DATOS_MODELO!$C$2:$C$3672,0)))</f>
        <v>69300.0</v>
      </c>
      <c r="T88" s="14">
        <f>IF(COUNTIFS(DATOS_MODELO!$C$2:$C$3672,$Q88&amp;"|"&amp;$E88&amp;"|"&amp;$O88&amp;"|CH4",DATOS_MODELO!$AA$2:$AA$3672,"&lt;&gt;")=0,"",INDEX(DATOS_MODELO!$AA$2:$AA$3672,MATCH($Q88&amp;"|"&amp;$E88&amp;"|"&amp;$O88&amp;"|CH4",DATOS_MODELO!$C$2:$C$3672,0)))</f>
        <v>3.0</v>
      </c>
      <c r="U88" s="14">
        <f>IF(COUNTIFS(DATOS_MODELO!$C$2:$C$3672,$Q88&amp;"|"&amp;$E88&amp;"|"&amp;$O88&amp;"|N2O",DATOS_MODELO!$AA$2:$AA$3672,"&lt;&gt;")=0,"",INDEX(DATOS_MODELO!$AA$2:$AA$3672,MATCH($Q88&amp;"|"&amp;$E88&amp;"|"&amp;$O88&amp;"|N2O",DATOS_MODELO!$C$2:$C$3672,0)))</f>
        <v>0.6</v>
      </c>
      <c r="V88" s="8"/>
      <c r="W88" s="14"/>
      <c r="X88" s="14">
        <f>IF($P88="BIOGENICO",0,IF(ISNUMBER($S88),$N88*$S88/PARAMETROS!$B$8,""))</f>
        <v>93.06056529</v>
      </c>
      <c r="Y88" s="14">
        <f>IF($P88="BIOGENICO",IF(ISNUMBER($S88),$N88*$S88/PARAMETROS!$B$8,""),0)</f>
        <v>0.0</v>
      </c>
      <c r="Z88" s="14">
        <f>IF(ISNUMBER($T88),$N88*$T88/PARAMETROS!$B$8,"")</f>
        <v>0.0040285959</v>
      </c>
      <c r="AA88" s="14">
        <f>IF(ISNUMBER($U88),$N88*$U88/PARAMETROS!$B$8,"")</f>
        <v>0.00080571918</v>
      </c>
      <c r="AB88" s="14">
        <f>IF(COUNT($X88,$Z88,$AA88)=0,"",SUM($X88,IF(ISNUMBER($Z88),$Z88*PARAMETROS!$B$9,0),IF(ISNUMBER($AA88),$AA88*PARAMETROS!$B$10,0)))</f>
        <v>93.3868815579</v>
      </c>
      <c r="AC88" s="4" t="s">
        <v>1990</v>
      </c>
      <c r="AD88" s="4"/>
      <c r="AE88" s="4" t="s">
        <v>5690</v>
      </c>
      <c r="AF88" s="4" t="s">
        <v>170</v>
      </c>
      <c r="AG88" s="4" t="inlineStr">
        <is>
          <t>MARN_GTM_BTR1_2024</t>
        </is>
      </c>
      <c r="AH88" s="4" t="inlineStr">
        <is>
          <t>Origen de factores: CO2: MARN_GTM_BTR1_2024 [PRX; BTR1 Guatemala 2024, tabla 3.6, p. 48; fila Gasolina para motores; gas CO2]; CH4: MARN_GTM_BTR1_2024 [PRX; BTR1 Guatemala 2024, tabla 3.22, p. 62; fila Gasolina para motores; gas CH4]; N2O: MARN_GTM_BTR1_2024 [PRX; BTR1 Guatemala 2024, tabla 3.22, p. 62; fila Gasolina para motores; gas N2O].</t>
        </is>
      </c>
    </row>
    <row r="89" customFormat="false" ht="15" hidden="false" customHeight="false" outlineLevel="0" collapsed="false">
      <c r="A89" s="4" t="s">
        <v>5806</v>
      </c>
      <c r="B89" s="12" t="n">
        <v>2019</v>
      </c>
      <c r="C89" s="4" t="s">
        <v>68</v>
      </c>
      <c r="D89" s="4" t="s">
        <v>5685</v>
      </c>
      <c r="E89" s="4" t="s">
        <v>3404</v>
      </c>
      <c r="F89" s="4" t="s">
        <v>3405</v>
      </c>
      <c r="G89" s="4" t="s">
        <v>105</v>
      </c>
      <c r="H89" s="4" t="s">
        <v>2111</v>
      </c>
      <c r="I89" s="4" t="s">
        <v>68</v>
      </c>
      <c r="J89" s="4" t="s">
        <v>2001</v>
      </c>
      <c r="K89" s="4" t="s">
        <v>2002</v>
      </c>
      <c r="L89" s="4" t="s">
        <v>622</v>
      </c>
      <c r="M89" s="14" t="n">
        <f aca="false">SUMIFS(PSUT_LARGA!$K$2:$K$618,PSUT_LARGA!$B$2:$B$618,$B89,PSUT_LARGA!$H$2:$H$618,$L89,PSUT_LARGA!$E$2:$E$618,$J89,PSUT_LARGA!$F$2:$F$618,$K89,PSUT_LARGA!$G$2:$G$618,$I89,PSUT_LARGA!$I$2:$I$618,$H89)</f>
        <v>3910.5367</v>
      </c>
      <c r="N89" s="14" t="n">
        <f aca="false">IF($H89="TRANSFORMACION_REFINERIA",$M89*INDEX(PARAMETROS!$C$27:$C$33,MATCH($B89,PARAMETROS!$A$27:$A$33,0)),$M89)</f>
        <v>3910.5367</v>
      </c>
      <c r="O89" s="4" t="inlineStr">
        <is>
          <t>COMB_GLP</t>
        </is>
      </c>
      <c r="P89" s="4" t="s">
        <v>3352</v>
      </c>
      <c r="Q89" s="11" t="n">
        <f aca="false">MIN($B89,2022)</f>
        <v>2019</v>
      </c>
      <c r="R89" s="8" t="str">
        <f>IF(COUNT($S89:$U89)=0,"NO",IF($O89="CERO_DIRECTO","CAL",IF(OR($B89&gt;$Q89,COUNTIFS(DATOS_MODELO!$C$2:$C$3672,$Q89&amp;"|"&amp;$E89&amp;"|"&amp;$O89&amp;"|*",DATOS_MODELO!$F$2:$F$3672,"PRX",DATOS_MODELO!$AA$2:$AA$3672,"&lt;&gt;")&gt;0),"PRX",IF(COUNTIFS(DATOS_MODELO!$C$2:$C$3672,$Q89&amp;"|"&amp;$E89&amp;"|"&amp;$O89&amp;"|*",DATOS_MODELO!$F$2:$F$3672,"CAL",DATOS_MODELO!$AA$2:$AA$3672,"&lt;&gt;")&gt;0,"CAL","OBS"))))</f>
        <v>PRX</v>
      </c>
      <c r="S89" s="14">
        <f>IF(COUNTIFS(DATOS_MODELO!$C$2:$C$3672,$Q89&amp;"|"&amp;$E89&amp;"|"&amp;$O89&amp;"|CO2",DATOS_MODELO!$AA$2:$AA$3672,"&lt;&gt;")=0,"",INDEX(DATOS_MODELO!$AA$2:$AA$3672,MATCH($Q89&amp;"|"&amp;$E89&amp;"|"&amp;$O89&amp;"|CO2",DATOS_MODELO!$C$2:$C$3672,0)))</f>
        <v>63100.0</v>
      </c>
      <c r="T89" s="14">
        <f>IF(COUNTIFS(DATOS_MODELO!$C$2:$C$3672,$Q89&amp;"|"&amp;$E89&amp;"|"&amp;$O89&amp;"|CH4",DATOS_MODELO!$AA$2:$AA$3672,"&lt;&gt;")=0,"",INDEX(DATOS_MODELO!$AA$2:$AA$3672,MATCH($Q89&amp;"|"&amp;$E89&amp;"|"&amp;$O89&amp;"|CH4",DATOS_MODELO!$C$2:$C$3672,0)))</f>
        <v>1.0</v>
      </c>
      <c r="U89" s="14">
        <f>IF(COUNTIFS(DATOS_MODELO!$C$2:$C$3672,$Q89&amp;"|"&amp;$E89&amp;"|"&amp;$O89&amp;"|N2O",DATOS_MODELO!$AA$2:$AA$3672,"&lt;&gt;")=0,"",INDEX(DATOS_MODELO!$AA$2:$AA$3672,MATCH($Q89&amp;"|"&amp;$E89&amp;"|"&amp;$O89&amp;"|N2O",DATOS_MODELO!$C$2:$C$3672,0)))</f>
        <v>0.1</v>
      </c>
      <c r="V89" s="8"/>
      <c r="W89" s="14"/>
      <c r="X89" s="14">
        <f>IF($P89="BIOGENICO",0,IF(ISNUMBER($S89),$N89*$S89/PARAMETROS!$B$8,""))</f>
        <v>246.75486577</v>
      </c>
      <c r="Y89" s="14">
        <f>IF($P89="BIOGENICO",IF(ISNUMBER($S89),$N89*$S89/PARAMETROS!$B$8,""),0)</f>
        <v>0.0</v>
      </c>
      <c r="Z89" s="14">
        <f>IF(ISNUMBER($T89),$N89*$T89/PARAMETROS!$B$8,"")</f>
        <v>0.0039105367</v>
      </c>
      <c r="AA89" s="14">
        <f>IF(ISNUMBER($U89),$N89*$U89/PARAMETROS!$B$8,"")</f>
        <v>0.00039105367</v>
      </c>
      <c r="AB89" s="14">
        <f>IF(COUNT($X89,$Z89,$AA89)=0,"",SUM($X89,IF(ISNUMBER($Z89),$Z89*PARAMETROS!$B$9,0),IF(ISNUMBER($AA89),$AA89*PARAMETROS!$B$10,0)))</f>
        <v>246.96799002015</v>
      </c>
      <c r="AC89" s="4" t="s">
        <v>1990</v>
      </c>
      <c r="AD89" s="4"/>
      <c r="AE89" s="4" t="s">
        <v>5690</v>
      </c>
      <c r="AF89" s="4" t="s">
        <v>170</v>
      </c>
      <c r="AG89" s="4" t="inlineStr">
        <is>
          <t>MARN_GTM_BTR1_2024</t>
        </is>
      </c>
      <c r="AH89" s="4" t="inlineStr">
        <is>
          <t>Origen de factores: CO2: MARN_GTM_BTR1_2024 [PRX; BTR1 Guatemala 2024, tabla 3.6, p. 48; fila Gases licuados de petróleo; gas CO2]; CH4: MARN_GTM_BTR1_2024 [PRX; BTR1 Guatemala 2024, tabla 3.22, p. 62; fila Gases licuados de petróleo; gas CH4]; N2O: MARN_GTM_BTR1_2024 [PRX; BTR1 Guatemala 2024, tabla 3.22, p. 62; fila Gases licuados de petróleo; gas N2O].</t>
        </is>
      </c>
    </row>
    <row r="90" customFormat="false" ht="15" hidden="false" customHeight="false" outlineLevel="0" collapsed="false">
      <c r="A90" s="4" t="s">
        <v>5807</v>
      </c>
      <c r="B90" s="12" t="n">
        <v>2019</v>
      </c>
      <c r="C90" s="4" t="s">
        <v>68</v>
      </c>
      <c r="D90" s="4" t="s">
        <v>5685</v>
      </c>
      <c r="E90" s="4" t="s">
        <v>3404</v>
      </c>
      <c r="F90" s="4" t="s">
        <v>3405</v>
      </c>
      <c r="G90" s="4" t="s">
        <v>107</v>
      </c>
      <c r="H90" s="4" t="s">
        <v>2111</v>
      </c>
      <c r="I90" s="4" t="s">
        <v>68</v>
      </c>
      <c r="J90" s="4" t="s">
        <v>2001</v>
      </c>
      <c r="K90" s="4" t="s">
        <v>2002</v>
      </c>
      <c r="L90" s="4" t="s">
        <v>636</v>
      </c>
      <c r="M90" s="14" t="n">
        <f aca="false">SUMIFS(PSUT_LARGA!$K$2:$K$618,PSUT_LARGA!$B$2:$B$618,$B90,PSUT_LARGA!$H$2:$H$618,$L90,PSUT_LARGA!$E$2:$E$618,$J90,PSUT_LARGA!$F$2:$F$618,$K90,PSUT_LARGA!$G$2:$G$618,$I90,PSUT_LARGA!$I$2:$I$618,$H90)</f>
        <v>22.3104</v>
      </c>
      <c r="N90" s="14" t="n">
        <f aca="false">IF($H90="TRANSFORMACION_REFINERIA",$M90*INDEX(PARAMETROS!$C$27:$C$33,MATCH($B90,PARAMETROS!$A$27:$A$33,0)),$M90)</f>
        <v>22.3104</v>
      </c>
      <c r="O90" s="4" t="inlineStr">
        <is>
          <t>COMB_KER</t>
        </is>
      </c>
      <c r="P90" s="4" t="s">
        <v>3352</v>
      </c>
      <c r="Q90" s="11" t="n">
        <f aca="false">MIN($B90,2022)</f>
        <v>2019</v>
      </c>
      <c r="R90" s="8" t="str">
        <f>IF(COUNT($S90:$U90)=0,"NO",IF($O90="CERO_DIRECTO","CAL",IF(OR($B90&gt;$Q90,COUNTIFS(DATOS_MODELO!$C$2:$C$3672,$Q90&amp;"|"&amp;$E90&amp;"|"&amp;$O90&amp;"|*",DATOS_MODELO!$F$2:$F$3672,"PRX",DATOS_MODELO!$AA$2:$AA$3672,"&lt;&gt;")&gt;0),"PRX",IF(COUNTIFS(DATOS_MODELO!$C$2:$C$3672,$Q90&amp;"|"&amp;$E90&amp;"|"&amp;$O90&amp;"|*",DATOS_MODELO!$F$2:$F$3672,"CAL",DATOS_MODELO!$AA$2:$AA$3672,"&lt;&gt;")&gt;0,"CAL","OBS"))))</f>
        <v>PRX</v>
      </c>
      <c r="S90" s="14">
        <f>IF(COUNTIFS(DATOS_MODELO!$C$2:$C$3672,$Q90&amp;"|"&amp;$E90&amp;"|"&amp;$O90&amp;"|CO2",DATOS_MODELO!$AA$2:$AA$3672,"&lt;&gt;")=0,"",INDEX(DATOS_MODELO!$AA$2:$AA$3672,MATCH($Q90&amp;"|"&amp;$E90&amp;"|"&amp;$O90&amp;"|CO2",DATOS_MODELO!$C$2:$C$3672,0)))</f>
        <v>71900.0</v>
      </c>
      <c r="T90" s="14">
        <f>IF(COUNTIFS(DATOS_MODELO!$C$2:$C$3672,$Q90&amp;"|"&amp;$E90&amp;"|"&amp;$O90&amp;"|CH4",DATOS_MODELO!$AA$2:$AA$3672,"&lt;&gt;")=0,"",INDEX(DATOS_MODELO!$AA$2:$AA$3672,MATCH($Q90&amp;"|"&amp;$E90&amp;"|"&amp;$O90&amp;"|CH4",DATOS_MODELO!$C$2:$C$3672,0)))</f>
        <v>3.0</v>
      </c>
      <c r="U90" s="14">
        <f>IF(COUNTIFS(DATOS_MODELO!$C$2:$C$3672,$Q90&amp;"|"&amp;$E90&amp;"|"&amp;$O90&amp;"|N2O",DATOS_MODELO!$AA$2:$AA$3672,"&lt;&gt;")=0,"",INDEX(DATOS_MODELO!$AA$2:$AA$3672,MATCH($Q90&amp;"|"&amp;$E90&amp;"|"&amp;$O90&amp;"|N2O",DATOS_MODELO!$C$2:$C$3672,0)))</f>
        <v>0.6</v>
      </c>
      <c r="V90" s="8"/>
      <c r="W90" s="14"/>
      <c r="X90" s="14">
        <f>IF($P90="BIOGENICO",0,IF(ISNUMBER($S90),$N90*$S90/PARAMETROS!$B$8,""))</f>
        <v>1.60411776</v>
      </c>
      <c r="Y90" s="14">
        <f>IF($P90="BIOGENICO",IF(ISNUMBER($S90),$N90*$S90/PARAMETROS!$B$8,""),0)</f>
        <v>0.0</v>
      </c>
      <c r="Z90" s="14">
        <f>IF(ISNUMBER($T90),$N90*$T90/PARAMETROS!$B$8,"")</f>
        <v>6.69312e-05</v>
      </c>
      <c r="AA90" s="14">
        <f>IF(ISNUMBER($U90),$N90*$U90/PARAMETROS!$B$8,"")</f>
        <v>1.338624e-05</v>
      </c>
      <c r="AB90" s="14">
        <f>IF(COUNT($X90,$Z90,$AA90)=0,"",SUM($X90,IF(ISNUMBER($Z90),$Z90*PARAMETROS!$B$9,0),IF(ISNUMBER($AA90),$AA90*PARAMETROS!$B$10,0)))</f>
        <v>1.6095391872</v>
      </c>
      <c r="AC90" s="4" t="s">
        <v>1990</v>
      </c>
      <c r="AD90" s="4"/>
      <c r="AE90" s="4" t="s">
        <v>5690</v>
      </c>
      <c r="AF90" s="4" t="s">
        <v>170</v>
      </c>
      <c r="AG90" s="4" t="inlineStr">
        <is>
          <t>MARN_GTM_BTR1_2024</t>
        </is>
      </c>
      <c r="AH90" s="4" t="inlineStr">
        <is>
          <t>Origen de factores: CO2: MARN_GTM_BTR1_2024 [PRX; BTR1 Guatemala 2024, tabla 3.6, p. 48; fila Otro queroseno; gas CO2]; CH4: MARN_GTM_BTR1_2024 [PRX; BTR1 Guatemala 2024, tabla 3.22, p. 62; fila Otro queroseno; gas CH4]; N2O: MARN_GTM_BTR1_2024 [PRX; BTR1 Guatemala 2024, tabla 3.22, p. 62; fila Otro queroseno; gas N2O].</t>
        </is>
      </c>
    </row>
    <row r="91" customFormat="false" ht="35.05" hidden="false" customHeight="false" outlineLevel="0" collapsed="false">
      <c r="A91" s="4" t="s">
        <v>5808</v>
      </c>
      <c r="B91" s="12" t="n">
        <v>2019</v>
      </c>
      <c r="C91" s="4" t="s">
        <v>41</v>
      </c>
      <c r="D91" s="4" t="s">
        <v>5685</v>
      </c>
      <c r="E91" s="4"/>
      <c r="F91" s="4" t="s">
        <v>3896</v>
      </c>
      <c r="G91" s="4" t="s">
        <v>103</v>
      </c>
      <c r="H91" s="4" t="s">
        <v>3131</v>
      </c>
      <c r="I91" s="4" t="s">
        <v>41</v>
      </c>
      <c r="J91" s="4" t="s">
        <v>2001</v>
      </c>
      <c r="K91" s="4" t="s">
        <v>2002</v>
      </c>
      <c r="L91" s="4" t="s">
        <v>3130</v>
      </c>
      <c r="M91" s="14" t="n">
        <f aca="false">SUMIFS(PSUT_LARGA!$K$2:$K$618,PSUT_LARGA!$B$2:$B$618,$B91,PSUT_LARGA!$H$2:$H$618,$L91,PSUT_LARGA!$E$2:$E$618,$J91,PSUT_LARGA!$F$2:$F$618,$K91,PSUT_LARGA!$G$2:$G$618,$I91,PSUT_LARGA!$I$2:$I$618,$H91)</f>
        <v>10976.3682</v>
      </c>
      <c r="N91" s="14" t="n">
        <f aca="false">IF($H91="TRANSFORMACION_REFINERIA",$M91*INDEX(PARAMETROS!$C$27:$C$33,MATCH($B91,PARAMETROS!$A$27:$A$33,0)),$M91)</f>
        <v>10976.3682</v>
      </c>
      <c r="O91" s="4" t="s">
        <v>3897</v>
      </c>
      <c r="P91" s="4" t="s">
        <v>3352</v>
      </c>
      <c r="Q91" s="11" t="n">
        <f aca="false">MIN($B91,2022)</f>
        <v>2019</v>
      </c>
      <c r="R91" s="8" t="str">
        <f>IF(COUNT($S91:$U91)=0,"NO","PRX")</f>
        <v>PRX</v>
      </c>
      <c r="S91" s="14">
        <f>IF(OR(SUM($N$88,$N$98,$N$94)=0,AND($N$88&gt;0,NOT(ISNUMBER($S$88))),AND($N$98&gt;0,NOT(ISNUMBER($S$98))),AND($N$94&gt;0,NOT(ISNUMBER($S$94)))),"",(IF($N$88&gt;0,$N$88*$S$88,0)+IF($N$98&gt;0,$N$98*$S$98,0)+IF($N$94&gt;0,$N$94*$S$94,0))/SUM($N$88,$N$98,$N$94))</f>
        <v>69300.6378908276</v>
      </c>
      <c r="T91" s="14">
        <f>IF(OR(SUM($N$88,$N$98,$N$94)=0,AND($N$88&gt;0,NOT(ISNUMBER($T$88))),AND($N$98&gt;0,NOT(ISNUMBER($T$98))),AND($N$94&gt;0,NOT(ISNUMBER($T$94)))),"",(IF($N$88&gt;0,$N$88*$T$88,0)+IF($N$98&gt;0,$N$98*$T$98,0)+IF($N$94&gt;0,$N$94*$T$94,0))/SUM($N$88,$N$98,$N$94))</f>
        <v>32.2560349097623</v>
      </c>
      <c r="U91" s="14">
        <f>IF(OR(SUM($N$88,$N$98,$N$94)=0,AND($N$88&gt;0,NOT(ISNUMBER($U$88))),AND($N$98&gt;0,NOT(ISNUMBER($U$98))),AND($N$94&gt;0,NOT(ISNUMBER($U$94)))),"",(IF($N$88&gt;0,$N$88*$U$88,0)+IF($N$98&gt;0,$N$98*$U$98,0)+IF($N$94&gt;0,$N$94*$U$94,0))/SUM($N$88,$N$98,$N$94))</f>
        <v>3.13396600056169</v>
      </c>
      <c r="V91" s="8"/>
      <c r="W91" s="14"/>
      <c r="X91" s="14">
        <f>IF($P91="BIOGENICO",0,IF(ISNUMBER($S91),$N91*$S91/PARAMETROS!$B$8,""))</f>
        <v>760.669317984595</v>
      </c>
      <c r="Y91" s="14">
        <f>IF($P91="BIOGENICO",IF(ISNUMBER($S91),$N91*$S91/PARAMETROS!$B$8,""),0)</f>
        <v>0.0</v>
      </c>
      <c r="Z91" s="14">
        <f>IF(ISNUMBER($T91),$N91*$T91/PARAMETROS!$B$8,"")</f>
        <v>0.354054115841605</v>
      </c>
      <c r="AA91" s="14">
        <f>IF(ISNUMBER($U91),$N91*$U91/PARAMETROS!$B$8,"")</f>
        <v>0.0343995647484465</v>
      </c>
      <c r="AB91" s="14">
        <f>IF(COUNT($X91,$Z91,$AA91)=0,"",SUM($X91,IF(ISNUMBER($Z91),$Z91*PARAMETROS!$B$9,0),IF(ISNUMBER($AA91),$AA91*PARAMETROS!$B$10,0)))</f>
        <v>779.698717886499</v>
      </c>
      <c r="AC91" s="4" t="s">
        <v>3894</v>
      </c>
      <c r="AD91" s="4"/>
      <c r="AE91" s="4" t="s">
        <v>5809</v>
      </c>
      <c r="AF91" s="4" t="s">
        <v>170</v>
      </c>
      <c r="AG91" s="4" t="inlineStr">
        <is>
          <t>MARN_GTM_BTR1_2024 | UNFCCC_GTM_CRT_2024</t>
        </is>
      </c>
      <c r="AH91" s="4" t="inlineStr">
        <is>
          <t>Factor ponderado por los usos observados de GAS en transporte, industria y servicios. IND_BEN: Origen de factores: CO2: MARN_GTM_BTR1_2024 [PRX; BTR1 Guatemala 2024, tabla 3.6, p. 48; fila Gasolina para motores; gas CO2]; CH4: MARN_GTM_BTR1_2024 [PRX; BTR1 Guatemala 2024, tabla 3.22, p. 62; fila Gasolina para motores; gas CH4]; N2O: MARN_GTM_BTR1_2024 [PRX; BTR1 Guatemala 2024, tabla 3.22, p. 62; fila Gasolina para motores; gas N2O]. SERV: Origen de factores: CO2: MARN_GTM_BTR1_2024 [PRX; BTR1 Guatemala 2024, tabla 3.6, p. 48; fila Gasolina para motores; gas CO2]; CH4: MARN_GTM_BTR1_2024 [PRX; BTR1 Guatemala 2024, tabla 3.33, p. 70; fila Gasolina para motores; gas CH4]; N2O: MARN_GTM_BTR1_2024 [PRX; BTR1 Guatemala 2024, tabla 3.33, p. 70; fila Gasolina para motores; gas N2O]. TR_BEN: Origen de factores: CO2: UNFCCC_GTM_CRT_2024 [PRX; GTM-CRT-2024-V0.3-2019-20250304-084824_started.xlsx; Table1.A(a)s3; AD=C17+C21; EM=H17+H21; IEF=E17+E21]; CH4: UNFCCC_GTM_CRT_2024 [PRX; GTM-CRT-2024-V0.3-2019-20250304-084824_started.xlsx; Table1.A(a)s3; AD=C17+C21; EM=I17+I21; IEF=F17+F21]; N2O: UNFCCC_GTM_CRT_2024 [PRX; GTM-CRT-2024-V0.3-2019-20250304-084824_started.xlsx; Table1.A(a)s3; AD=C17+C21; EM=J17+J21; IEF=G17+G21].</t>
        </is>
      </c>
    </row>
    <row r="92" customFormat="false" ht="15" hidden="false" customHeight="false" outlineLevel="0" collapsed="false">
      <c r="A92" s="4" t="s">
        <v>5811</v>
      </c>
      <c r="B92" s="12" t="n">
        <v>2019</v>
      </c>
      <c r="C92" s="4" t="s">
        <v>72</v>
      </c>
      <c r="D92" s="4" t="s">
        <v>5685</v>
      </c>
      <c r="E92" s="4" t="s">
        <v>3383</v>
      </c>
      <c r="F92" s="4" t="s">
        <v>3384</v>
      </c>
      <c r="G92" s="4" t="s">
        <v>109</v>
      </c>
      <c r="H92" s="4" t="s">
        <v>2079</v>
      </c>
      <c r="I92" s="4" t="s">
        <v>72</v>
      </c>
      <c r="J92" s="4" t="s">
        <v>2001</v>
      </c>
      <c r="K92" s="4" t="s">
        <v>2002</v>
      </c>
      <c r="L92" s="4" t="s">
        <v>509</v>
      </c>
      <c r="M92" s="14" t="n">
        <f aca="false">SUMIFS(PSUT_LARGA!$K$2:$K$618,PSUT_LARGA!$B$2:$B$618,$B92,PSUT_LARGA!$H$2:$H$618,$L92,PSUT_LARGA!$E$2:$E$618,$J92,PSUT_LARGA!$F$2:$F$618,$K92,PSUT_LARGA!$G$2:$G$618,$I92,PSUT_LARGA!$I$2:$I$618,$H92)</f>
        <v>8859.7271</v>
      </c>
      <c r="N92" s="14" t="n">
        <f aca="false">IF($H92="TRANSFORMACION_REFINERIA",$M92*INDEX(PARAMETROS!$C$27:$C$33,MATCH($B92,PARAMETROS!$A$27:$A$33,0)),$M92)</f>
        <v>8859.7271</v>
      </c>
      <c r="O92" s="4" t="s">
        <v>3343</v>
      </c>
      <c r="P92" s="4" t="s">
        <v>3344</v>
      </c>
      <c r="Q92" s="11" t="n">
        <f aca="false">MIN($B92,2022)</f>
        <v>2019</v>
      </c>
      <c r="R92" s="8" t="str">
        <f>IF(COUNT($S92:$U92)=0,"NO",IF($O92="CERO_DIRECTO","CAL",IF(OR($B92&gt;$Q92,COUNTIFS(DATOS_MODELO!$C$2:$C$3672,$Q92&amp;"|"&amp;$E92&amp;"|"&amp;$O92&amp;"|*",DATOS_MODELO!$F$2:$F$3672,"PRX",DATOS_MODELO!$AA$2:$AA$3672,"&lt;&gt;")&gt;0),"PRX",IF(COUNTIFS(DATOS_MODELO!$C$2:$C$3672,$Q92&amp;"|"&amp;$E92&amp;"|"&amp;$O92&amp;"|*",DATOS_MODELO!$F$2:$F$3672,"CAL",DATOS_MODELO!$AA$2:$AA$3672,"&lt;&gt;")&gt;0,"CAL","OBS"))))</f>
        <v>OBS</v>
      </c>
      <c r="S92" s="14">
        <f>IF(COUNTIFS(DATOS_MODELO!$C$2:$C$3672,$Q92&amp;"|"&amp;$E92&amp;"|"&amp;$O92&amp;"|CO2",DATOS_MODELO!$AA$2:$AA$3672,"&lt;&gt;")=0,"",INDEX(DATOS_MODELO!$AA$2:$AA$3672,MATCH($Q92&amp;"|"&amp;$E92&amp;"|"&amp;$O92&amp;"|CO2",DATOS_MODELO!$C$2:$C$3672,0)))</f>
        <v>111999.999940299</v>
      </c>
      <c r="T92" s="14">
        <f>IF(COUNTIFS(DATOS_MODELO!$C$2:$C$3672,$Q92&amp;"|"&amp;$E92&amp;"|"&amp;$O92&amp;"|CH4",DATOS_MODELO!$AA$2:$AA$3672,"&lt;&gt;")=0,"",INDEX(DATOS_MODELO!$AA$2:$AA$3672,MATCH($Q92&amp;"|"&amp;$E92&amp;"|"&amp;$O92&amp;"|CH4",DATOS_MODELO!$C$2:$C$3672,0)))</f>
        <v>300.000000229619</v>
      </c>
      <c r="U92" s="14">
        <f>IF(COUNTIFS(DATOS_MODELO!$C$2:$C$3672,$Q92&amp;"|"&amp;$E92&amp;"|"&amp;$O92&amp;"|N2O",DATOS_MODELO!$AA$2:$AA$3672,"&lt;&gt;")=0,"",INDEX(DATOS_MODELO!$AA$2:$AA$3672,MATCH($Q92&amp;"|"&amp;$E92&amp;"|"&amp;$O92&amp;"|N2O",DATOS_MODELO!$C$2:$C$3672,0)))</f>
        <v>4.00000001836948</v>
      </c>
      <c r="V92" s="8"/>
      <c r="W92" s="14"/>
      <c r="X92" s="14">
        <f>IF($P92="BIOGENICO",0,IF(ISNUMBER($S92),$N92*$S92/PARAMETROS!$B$8,""))</f>
        <v>0.0</v>
      </c>
      <c r="Y92" s="14">
        <f>IF($P92="BIOGENICO",IF(ISNUMBER($S92),$N92*$S92/PARAMETROS!$B$8,""),0)</f>
        <v>992.289434671067</v>
      </c>
      <c r="Z92" s="14">
        <f>IF(ISNUMBER($T92),$N92*$T92/PARAMETROS!$B$8,"")</f>
        <v>2.65791813203436</v>
      </c>
      <c r="AA92" s="14">
        <f>IF(ISNUMBER($U92),$N92*$U92/PARAMETROS!$B$8,"")</f>
        <v>0.0354389085627486</v>
      </c>
      <c r="AB92" s="14">
        <f>IF(COUNT($X92,$Z92,$AA92)=0,"",SUM($X92,IF(ISNUMBER($Z92),$Z92*PARAMETROS!$B$9,0),IF(ISNUMBER($AA92),$AA92*PARAMETROS!$B$10,0)))</f>
        <v>83.8130184660904</v>
      </c>
      <c r="AC92" s="4" t="s">
        <v>1990</v>
      </c>
      <c r="AD92" s="4"/>
      <c r="AE92" s="4" t="s">
        <v>5690</v>
      </c>
      <c r="AF92" s="4" t="s">
        <v>170</v>
      </c>
      <c r="AG92" s="4" t="s">
        <v>3999</v>
      </c>
      <c r="AH92" s="4"/>
    </row>
    <row r="93" customFormat="false" ht="23.85" hidden="false" customHeight="false" outlineLevel="0" collapsed="false">
      <c r="A93" s="4" t="s">
        <v>5812</v>
      </c>
      <c r="B93" s="12" t="n">
        <v>2019</v>
      </c>
      <c r="C93" s="4" t="s">
        <v>72</v>
      </c>
      <c r="D93" s="4" t="s">
        <v>5685</v>
      </c>
      <c r="E93" s="4" t="s">
        <v>3383</v>
      </c>
      <c r="F93" s="4" t="s">
        <v>3384</v>
      </c>
      <c r="G93" s="4" t="s">
        <v>99</v>
      </c>
      <c r="H93" s="4" t="s">
        <v>2079</v>
      </c>
      <c r="I93" s="4" t="s">
        <v>72</v>
      </c>
      <c r="J93" s="4" t="s">
        <v>2001</v>
      </c>
      <c r="K93" s="4" t="s">
        <v>2002</v>
      </c>
      <c r="L93" s="4" t="s">
        <v>579</v>
      </c>
      <c r="M93" s="14" t="n">
        <f aca="false">SUMIFS(PSUT_LARGA!$K$2:$K$618,PSUT_LARGA!$B$2:$B$618,$B93,PSUT_LARGA!$H$2:$H$618,$L93,PSUT_LARGA!$E$2:$E$618,$J93,PSUT_LARGA!$F$2:$F$618,$K93,PSUT_LARGA!$G$2:$G$618,$I93,PSUT_LARGA!$I$2:$I$618,$H93)</f>
        <v>10428.95</v>
      </c>
      <c r="N93" s="14" t="n">
        <f aca="false">IF($H93="TRANSFORMACION_REFINERIA",$M93*INDEX(PARAMETROS!$C$27:$C$33,MATCH($B93,PARAMETROS!$A$27:$A$33,0)),$M93)</f>
        <v>10428.95</v>
      </c>
      <c r="O93" s="4" t="s">
        <v>3362</v>
      </c>
      <c r="P93" s="4" t="s">
        <v>3363</v>
      </c>
      <c r="Q93" s="11" t="n">
        <f aca="false">MIN($B93,2022)</f>
        <v>2019</v>
      </c>
      <c r="R93" s="8" t="str">
        <f>IF(COUNT($S93:$U93)=0,"NO",IF($O93="CERO_DIRECTO","CAL",IF(OR($B93&gt;$Q93,COUNTIFS(DATOS_MODELO!$C$2:$C$3672,$Q93&amp;"|"&amp;$E93&amp;"|"&amp;$O93&amp;"|*",DATOS_MODELO!$F$2:$F$3672,"PRX",DATOS_MODELO!$AA$2:$AA$3672,"&lt;&gt;")&gt;0),"PRX",IF(COUNTIFS(DATOS_MODELO!$C$2:$C$3672,$Q93&amp;"|"&amp;$E93&amp;"|"&amp;$O93&amp;"|*",DATOS_MODELO!$F$2:$F$3672,"CAL",DATOS_MODELO!$AA$2:$AA$3672,"&lt;&gt;")&gt;0,"CAL","OBS"))))</f>
        <v>CAL</v>
      </c>
      <c r="S93" s="14">
        <f>IF(COUNTIFS(DATOS_MODELO!$C$2:$C$3672,$Q93&amp;"|"&amp;$E93&amp;"|"&amp;$O93&amp;"|CO2",DATOS_MODELO!$AA$2:$AA$3672,"&lt;&gt;")=0,"",INDEX(DATOS_MODELO!$AA$2:$AA$3672,MATCH($Q93&amp;"|"&amp;$E93&amp;"|"&amp;$O93&amp;"|CO2",DATOS_MODELO!$C$2:$C$3672,0)))</f>
        <v>0.0</v>
      </c>
      <c r="T93" s="14">
        <f>IF(COUNTIFS(DATOS_MODELO!$C$2:$C$3672,$Q93&amp;"|"&amp;$E93&amp;"|"&amp;$O93&amp;"|CH4",DATOS_MODELO!$AA$2:$AA$3672,"&lt;&gt;")=0,"",INDEX(DATOS_MODELO!$AA$2:$AA$3672,MATCH($Q93&amp;"|"&amp;$E93&amp;"|"&amp;$O93&amp;"|CH4",DATOS_MODELO!$C$2:$C$3672,0)))</f>
        <v>0.0</v>
      </c>
      <c r="U93" s="14">
        <f>IF(COUNTIFS(DATOS_MODELO!$C$2:$C$3672,$Q93&amp;"|"&amp;$E93&amp;"|"&amp;$O93&amp;"|N2O",DATOS_MODELO!$AA$2:$AA$3672,"&lt;&gt;")=0,"",INDEX(DATOS_MODELO!$AA$2:$AA$3672,MATCH($Q93&amp;"|"&amp;$E93&amp;"|"&amp;$O93&amp;"|N2O",DATOS_MODELO!$C$2:$C$3672,0)))</f>
        <v>0.0</v>
      </c>
      <c r="V93" s="8"/>
      <c r="W93" s="14"/>
      <c r="X93" s="14">
        <f>IF($P93="BIOGENICO",0,IF(ISNUMBER($S93),$N93*$S93/PARAMETROS!$B$8,""))</f>
        <v>0.0</v>
      </c>
      <c r="Y93" s="14">
        <f>IF($P93="BIOGENICO",IF(ISNUMBER($S93),$N93*$S93/PARAMETROS!$B$8,""),0)</f>
        <v>0.0</v>
      </c>
      <c r="Z93" s="14">
        <f>IF(ISNUMBER($T93),$N93*$T93/PARAMETROS!$B$8,"")</f>
        <v>0.0</v>
      </c>
      <c r="AA93" s="14">
        <f>IF(ISNUMBER($U93),$N93*$U93/PARAMETROS!$B$8,"")</f>
        <v>0.0</v>
      </c>
      <c r="AB93" s="14">
        <f>IF(COUNT($X93,$Z93,$AA93)=0,"",SUM($X93,IF(ISNUMBER($Z93),$Z93*PARAMETROS!$B$9,0),IF(ISNUMBER($AA93),$AA93*PARAMETROS!$B$10,0)))</f>
        <v>0.0</v>
      </c>
      <c r="AC93" s="4" t="s">
        <v>1990</v>
      </c>
      <c r="AD93" s="4"/>
      <c r="AE93" s="4" t="s">
        <v>3362</v>
      </c>
      <c r="AF93" s="4" t="s">
        <v>170</v>
      </c>
      <c r="AG93" s="4" t="inlineStr">
        <is>
          <t>METODO_EMISIONES</t>
        </is>
      </c>
      <c r="AH93" s="4"/>
    </row>
    <row r="94" customFormat="false" ht="15" hidden="false" customHeight="false" outlineLevel="0" collapsed="false">
      <c r="A94" s="4" t="s">
        <v>5813</v>
      </c>
      <c r="B94" s="12" t="n">
        <v>2019</v>
      </c>
      <c r="C94" s="4" t="s">
        <v>72</v>
      </c>
      <c r="D94" s="4" t="s">
        <v>5685</v>
      </c>
      <c r="E94" s="4" t="s">
        <v>3383</v>
      </c>
      <c r="F94" s="4" t="s">
        <v>3384</v>
      </c>
      <c r="G94" s="4" t="s">
        <v>103</v>
      </c>
      <c r="H94" s="4" t="s">
        <v>2079</v>
      </c>
      <c r="I94" s="4" t="s">
        <v>72</v>
      </c>
      <c r="J94" s="4" t="s">
        <v>2001</v>
      </c>
      <c r="K94" s="4" t="s">
        <v>2002</v>
      </c>
      <c r="L94" s="4" t="s">
        <v>607</v>
      </c>
      <c r="M94" s="14" t="n">
        <f aca="false">SUMIFS(PSUT_LARGA!$K$2:$K$618,PSUT_LARGA!$B$2:$B$618,$B94,PSUT_LARGA!$H$2:$H$618,$L94,PSUT_LARGA!$E$2:$E$618,$J94,PSUT_LARGA!$F$2:$F$618,$K94,PSUT_LARGA!$G$2:$G$618,$I94,PSUT_LARGA!$I$2:$I$618,$H94)</f>
        <v>335.7018</v>
      </c>
      <c r="N94" s="14" t="n">
        <f aca="false">IF($H94="TRANSFORMACION_REFINERIA",$M94*INDEX(PARAMETROS!$C$27:$C$33,MATCH($B94,PARAMETROS!$A$27:$A$33,0)),$M94)</f>
        <v>335.7018</v>
      </c>
      <c r="O94" s="4" t="inlineStr">
        <is>
          <t>COMB_GAS</t>
        </is>
      </c>
      <c r="P94" s="4" t="s">
        <v>3352</v>
      </c>
      <c r="Q94" s="11" t="n">
        <f aca="false">MIN($B94,2022)</f>
        <v>2019</v>
      </c>
      <c r="R94" s="8" t="str">
        <f>IF(COUNT($S94:$U94)=0,"NO",IF($O94="CERO_DIRECTO","CAL",IF(OR($B94&gt;$Q94,COUNTIFS(DATOS_MODELO!$C$2:$C$3672,$Q94&amp;"|"&amp;$E94&amp;"|"&amp;$O94&amp;"|*",DATOS_MODELO!$F$2:$F$3672,"PRX",DATOS_MODELO!$AA$2:$AA$3672,"&lt;&gt;")&gt;0),"PRX",IF(COUNTIFS(DATOS_MODELO!$C$2:$C$3672,$Q94&amp;"|"&amp;$E94&amp;"|"&amp;$O94&amp;"|*",DATOS_MODELO!$F$2:$F$3672,"CAL",DATOS_MODELO!$AA$2:$AA$3672,"&lt;&gt;")&gt;0,"CAL","OBS"))))</f>
        <v>PRX</v>
      </c>
      <c r="S94" s="14">
        <f>IF(COUNTIFS(DATOS_MODELO!$C$2:$C$3672,$Q94&amp;"|"&amp;$E94&amp;"|"&amp;$O94&amp;"|CO2",DATOS_MODELO!$AA$2:$AA$3672,"&lt;&gt;")=0,"",INDEX(DATOS_MODELO!$AA$2:$AA$3672,MATCH($Q94&amp;"|"&amp;$E94&amp;"|"&amp;$O94&amp;"|CO2",DATOS_MODELO!$C$2:$C$3672,0)))</f>
        <v>69300.0</v>
      </c>
      <c r="T94" s="14">
        <f>IF(COUNTIFS(DATOS_MODELO!$C$2:$C$3672,$Q94&amp;"|"&amp;$E94&amp;"|"&amp;$O94&amp;"|CH4",DATOS_MODELO!$AA$2:$AA$3672,"&lt;&gt;")=0,"",INDEX(DATOS_MODELO!$AA$2:$AA$3672,MATCH($Q94&amp;"|"&amp;$E94&amp;"|"&amp;$O94&amp;"|CH4",DATOS_MODELO!$C$2:$C$3672,0)))</f>
        <v>10.0</v>
      </c>
      <c r="U94" s="14">
        <f>IF(COUNTIFS(DATOS_MODELO!$C$2:$C$3672,$Q94&amp;"|"&amp;$E94&amp;"|"&amp;$O94&amp;"|N2O",DATOS_MODELO!$AA$2:$AA$3672,"&lt;&gt;")=0,"",INDEX(DATOS_MODELO!$AA$2:$AA$3672,MATCH($Q94&amp;"|"&amp;$E94&amp;"|"&amp;$O94&amp;"|N2O",DATOS_MODELO!$C$2:$C$3672,0)))</f>
        <v>0.6</v>
      </c>
      <c r="V94" s="8"/>
      <c r="W94" s="14"/>
      <c r="X94" s="14">
        <f>IF($P94="BIOGENICO",0,IF(ISNUMBER($S94),$N94*$S94/PARAMETROS!$B$8,""))</f>
        <v>23.26413474</v>
      </c>
      <c r="Y94" s="14">
        <f>IF($P94="BIOGENICO",IF(ISNUMBER($S94),$N94*$S94/PARAMETROS!$B$8,""),0)</f>
        <v>0.0</v>
      </c>
      <c r="Z94" s="14">
        <f>IF(ISNUMBER($T94),$N94*$T94/PARAMETROS!$B$8,"")</f>
        <v>0.003357018</v>
      </c>
      <c r="AA94" s="14">
        <f>IF(ISNUMBER($U94),$N94*$U94/PARAMETROS!$B$8,"")</f>
        <v>0.00020142108</v>
      </c>
      <c r="AB94" s="14">
        <f>IF(COUNT($X94,$Z94,$AA94)=0,"",SUM($X94,IF(ISNUMBER($Z94),$Z94*PARAMETROS!$B$9,0),IF(ISNUMBER($AA94),$AA94*PARAMETROS!$B$10,0)))</f>
        <v>23.4115078302</v>
      </c>
      <c r="AC94" s="4" t="s">
        <v>1990</v>
      </c>
      <c r="AD94" s="4"/>
      <c r="AE94" s="4" t="s">
        <v>5690</v>
      </c>
      <c r="AF94" s="4" t="s">
        <v>170</v>
      </c>
      <c r="AG94" s="4" t="inlineStr">
        <is>
          <t>MARN_GTM_BTR1_2024</t>
        </is>
      </c>
      <c r="AH94" s="4" t="inlineStr">
        <is>
          <t>Origen de factores: CO2: MARN_GTM_BTR1_2024 [PRX; BTR1 Guatemala 2024, tabla 3.6, p. 48; fila Gasolina para motores; gas CO2]; CH4: MARN_GTM_BTR1_2024 [PRX; BTR1 Guatemala 2024, tabla 3.33, p. 70; fila Gasolina para motores; gas CH4]; N2O: MARN_GTM_BTR1_2024 [PRX; BTR1 Guatemala 2024, tabla 3.33, p. 70; fila Gasolina para motores; gas N2O].</t>
        </is>
      </c>
    </row>
    <row r="95" customFormat="false" ht="15" hidden="false" customHeight="false" outlineLevel="0" collapsed="false">
      <c r="A95" s="4" t="s">
        <v>5814</v>
      </c>
      <c r="B95" s="12" t="n">
        <v>2019</v>
      </c>
      <c r="C95" s="4" t="s">
        <v>72</v>
      </c>
      <c r="D95" s="4" t="s">
        <v>5685</v>
      </c>
      <c r="E95" s="4" t="s">
        <v>3383</v>
      </c>
      <c r="F95" s="4" t="s">
        <v>3384</v>
      </c>
      <c r="G95" s="4" t="s">
        <v>105</v>
      </c>
      <c r="H95" s="4" t="s">
        <v>2079</v>
      </c>
      <c r="I95" s="4" t="s">
        <v>72</v>
      </c>
      <c r="J95" s="4" t="s">
        <v>2001</v>
      </c>
      <c r="K95" s="4" t="s">
        <v>2002</v>
      </c>
      <c r="L95" s="4" t="s">
        <v>621</v>
      </c>
      <c r="M95" s="14" t="n">
        <f aca="false">SUMIFS(PSUT_LARGA!$K$2:$K$618,PSUT_LARGA!$B$2:$B$618,$B95,PSUT_LARGA!$H$2:$H$618,$L95,PSUT_LARGA!$E$2:$E$618,$J95,PSUT_LARGA!$F$2:$F$618,$K95,PSUT_LARGA!$G$2:$G$618,$I95,PSUT_LARGA!$I$2:$I$618,$H95)</f>
        <v>391.0711</v>
      </c>
      <c r="N95" s="14" t="n">
        <f aca="false">IF($H95="TRANSFORMACION_REFINERIA",$M95*INDEX(PARAMETROS!$C$27:$C$33,MATCH($B95,PARAMETROS!$A$27:$A$33,0)),$M95)</f>
        <v>391.0711</v>
      </c>
      <c r="O95" s="4" t="inlineStr">
        <is>
          <t>COMB_GLP</t>
        </is>
      </c>
      <c r="P95" s="4" t="s">
        <v>3352</v>
      </c>
      <c r="Q95" s="11" t="n">
        <f aca="false">MIN($B95,2022)</f>
        <v>2019</v>
      </c>
      <c r="R95" s="8" t="str">
        <f>IF(COUNT($S95:$U95)=0,"NO",IF($O95="CERO_DIRECTO","CAL",IF(OR($B95&gt;$Q95,COUNTIFS(DATOS_MODELO!$C$2:$C$3672,$Q95&amp;"|"&amp;$E95&amp;"|"&amp;$O95&amp;"|*",DATOS_MODELO!$F$2:$F$3672,"PRX",DATOS_MODELO!$AA$2:$AA$3672,"&lt;&gt;")&gt;0),"PRX",IF(COUNTIFS(DATOS_MODELO!$C$2:$C$3672,$Q95&amp;"|"&amp;$E95&amp;"|"&amp;$O95&amp;"|*",DATOS_MODELO!$F$2:$F$3672,"CAL",DATOS_MODELO!$AA$2:$AA$3672,"&lt;&gt;")&gt;0,"CAL","OBS"))))</f>
        <v>PRX</v>
      </c>
      <c r="S95" s="14">
        <f>IF(COUNTIFS(DATOS_MODELO!$C$2:$C$3672,$Q95&amp;"|"&amp;$E95&amp;"|"&amp;$O95&amp;"|CO2",DATOS_MODELO!$AA$2:$AA$3672,"&lt;&gt;")=0,"",INDEX(DATOS_MODELO!$AA$2:$AA$3672,MATCH($Q95&amp;"|"&amp;$E95&amp;"|"&amp;$O95&amp;"|CO2",DATOS_MODELO!$C$2:$C$3672,0)))</f>
        <v>63100.0</v>
      </c>
      <c r="T95" s="14">
        <f>IF(COUNTIFS(DATOS_MODELO!$C$2:$C$3672,$Q95&amp;"|"&amp;$E95&amp;"|"&amp;$O95&amp;"|CH4",DATOS_MODELO!$AA$2:$AA$3672,"&lt;&gt;")=0,"",INDEX(DATOS_MODELO!$AA$2:$AA$3672,MATCH($Q95&amp;"|"&amp;$E95&amp;"|"&amp;$O95&amp;"|CH4",DATOS_MODELO!$C$2:$C$3672,0)))</f>
        <v>5.0</v>
      </c>
      <c r="U95" s="14">
        <f>IF(COUNTIFS(DATOS_MODELO!$C$2:$C$3672,$Q95&amp;"|"&amp;$E95&amp;"|"&amp;$O95&amp;"|N2O",DATOS_MODELO!$AA$2:$AA$3672,"&lt;&gt;")=0,"",INDEX(DATOS_MODELO!$AA$2:$AA$3672,MATCH($Q95&amp;"|"&amp;$E95&amp;"|"&amp;$O95&amp;"|N2O",DATOS_MODELO!$C$2:$C$3672,0)))</f>
        <v>0.1</v>
      </c>
      <c r="V95" s="8"/>
      <c r="W95" s="14"/>
      <c r="X95" s="14">
        <f>IF($P95="BIOGENICO",0,IF(ISNUMBER($S95),$N95*$S95/PARAMETROS!$B$8,""))</f>
        <v>24.67658641</v>
      </c>
      <c r="Y95" s="14">
        <f>IF($P95="BIOGENICO",IF(ISNUMBER($S95),$N95*$S95/PARAMETROS!$B$8,""),0)</f>
        <v>0.0</v>
      </c>
      <c r="Z95" s="14">
        <f>IF(ISNUMBER($T95),$N95*$T95/PARAMETROS!$B$8,"")</f>
        <v>0.0019553555</v>
      </c>
      <c r="AA95" s="14">
        <f>IF(ISNUMBER($U95),$N95*$U95/PARAMETROS!$B$8,"")</f>
        <v>3.910711e-05</v>
      </c>
      <c r="AB95" s="14">
        <f>IF(COUNT($X95,$Z95,$AA95)=0,"",SUM($X95,IF(ISNUMBER($Z95),$Z95*PARAMETROS!$B$9,0),IF(ISNUMBER($AA95),$AA95*PARAMETROS!$B$10,0)))</f>
        <v>24.74169974815</v>
      </c>
      <c r="AC95" s="4" t="s">
        <v>1990</v>
      </c>
      <c r="AD95" s="4"/>
      <c r="AE95" s="4" t="s">
        <v>5690</v>
      </c>
      <c r="AF95" s="4" t="s">
        <v>170</v>
      </c>
      <c r="AG95" s="4" t="inlineStr">
        <is>
          <t>MARN_GTM_BTR1_2024</t>
        </is>
      </c>
      <c r="AH95" s="4" t="inlineStr">
        <is>
          <t>Origen de factores: CO2: MARN_GTM_BTR1_2024 [PRX; BTR1 Guatemala 2024, tabla 3.6, p. 48; fila Gases licuados de petróleo; gas CO2]; CH4: MARN_GTM_BTR1_2024 [PRX; BTR1 Guatemala 2024, tabla 3.33, p. 70; fila Gases licuados de petróleo; gas CH4]; N2O: MARN_GTM_BTR1_2024 [PRX; BTR1 Guatemala 2024, tabla 3.33, p. 70; fila Gases licuados de petróleo; gas N2O].</t>
        </is>
      </c>
    </row>
    <row r="96" customFormat="false" ht="15" hidden="false" customHeight="false" outlineLevel="0" collapsed="false">
      <c r="A96" s="4" t="s">
        <v>5815</v>
      </c>
      <c r="B96" s="12" t="n">
        <v>2019</v>
      </c>
      <c r="C96" s="4" t="s">
        <v>72</v>
      </c>
      <c r="D96" s="4" t="s">
        <v>5685</v>
      </c>
      <c r="E96" s="4" t="s">
        <v>3383</v>
      </c>
      <c r="F96" s="4" t="s">
        <v>3384</v>
      </c>
      <c r="G96" s="4" t="s">
        <v>107</v>
      </c>
      <c r="H96" s="4" t="s">
        <v>2079</v>
      </c>
      <c r="I96" s="4" t="s">
        <v>72</v>
      </c>
      <c r="J96" s="4" t="s">
        <v>2001</v>
      </c>
      <c r="K96" s="4" t="s">
        <v>2002</v>
      </c>
      <c r="L96" s="4" t="s">
        <v>635</v>
      </c>
      <c r="M96" s="14" t="n">
        <f aca="false">SUMIFS(PSUT_LARGA!$K$2:$K$618,PSUT_LARGA!$B$2:$B$618,$B96,PSUT_LARGA!$H$2:$H$618,$L96,PSUT_LARGA!$E$2:$E$618,$J96,PSUT_LARGA!$F$2:$F$618,$K96,PSUT_LARGA!$G$2:$G$618,$I96,PSUT_LARGA!$I$2:$I$618,$H96)</f>
        <v>7.4368</v>
      </c>
      <c r="N96" s="14" t="n">
        <f aca="false">IF($H96="TRANSFORMACION_REFINERIA",$M96*INDEX(PARAMETROS!$C$27:$C$33,MATCH($B96,PARAMETROS!$A$27:$A$33,0)),$M96)</f>
        <v>7.4368</v>
      </c>
      <c r="O96" s="4" t="inlineStr">
        <is>
          <t>COMB_KER</t>
        </is>
      </c>
      <c r="P96" s="4" t="s">
        <v>3352</v>
      </c>
      <c r="Q96" s="11" t="n">
        <f aca="false">MIN($B96,2022)</f>
        <v>2019</v>
      </c>
      <c r="R96" s="8" t="str">
        <f>IF(COUNT($S96:$U96)=0,"NO",IF($O96="CERO_DIRECTO","CAL",IF(OR($B96&gt;$Q96,COUNTIFS(DATOS_MODELO!$C$2:$C$3672,$Q96&amp;"|"&amp;$E96&amp;"|"&amp;$O96&amp;"|*",DATOS_MODELO!$F$2:$F$3672,"PRX",DATOS_MODELO!$AA$2:$AA$3672,"&lt;&gt;")&gt;0),"PRX",IF(COUNTIFS(DATOS_MODELO!$C$2:$C$3672,$Q96&amp;"|"&amp;$E96&amp;"|"&amp;$O96&amp;"|*",DATOS_MODELO!$F$2:$F$3672,"CAL",DATOS_MODELO!$AA$2:$AA$3672,"&lt;&gt;")&gt;0,"CAL","OBS"))))</f>
        <v>PRX</v>
      </c>
      <c r="S96" s="14">
        <f>IF(COUNTIFS(DATOS_MODELO!$C$2:$C$3672,$Q96&amp;"|"&amp;$E96&amp;"|"&amp;$O96&amp;"|CO2",DATOS_MODELO!$AA$2:$AA$3672,"&lt;&gt;")=0,"",INDEX(DATOS_MODELO!$AA$2:$AA$3672,MATCH($Q96&amp;"|"&amp;$E96&amp;"|"&amp;$O96&amp;"|CO2",DATOS_MODELO!$C$2:$C$3672,0)))</f>
        <v>71900.0</v>
      </c>
      <c r="T96" s="14">
        <f>IF(COUNTIFS(DATOS_MODELO!$C$2:$C$3672,$Q96&amp;"|"&amp;$E96&amp;"|"&amp;$O96&amp;"|CH4",DATOS_MODELO!$AA$2:$AA$3672,"&lt;&gt;")=0,"",INDEX(DATOS_MODELO!$AA$2:$AA$3672,MATCH($Q96&amp;"|"&amp;$E96&amp;"|"&amp;$O96&amp;"|CH4",DATOS_MODELO!$C$2:$C$3672,0)))</f>
        <v>10.0</v>
      </c>
      <c r="U96" s="14">
        <f>IF(COUNTIFS(DATOS_MODELO!$C$2:$C$3672,$Q96&amp;"|"&amp;$E96&amp;"|"&amp;$O96&amp;"|N2O",DATOS_MODELO!$AA$2:$AA$3672,"&lt;&gt;")=0,"",INDEX(DATOS_MODELO!$AA$2:$AA$3672,MATCH($Q96&amp;"|"&amp;$E96&amp;"|"&amp;$O96&amp;"|N2O",DATOS_MODELO!$C$2:$C$3672,0)))</f>
        <v>0.6</v>
      </c>
      <c r="V96" s="8"/>
      <c r="W96" s="14"/>
      <c r="X96" s="14">
        <f>IF($P96="BIOGENICO",0,IF(ISNUMBER($S96),$N96*$S96/PARAMETROS!$B$8,""))</f>
        <v>0.53470592</v>
      </c>
      <c r="Y96" s="14">
        <f>IF($P96="BIOGENICO",IF(ISNUMBER($S96),$N96*$S96/PARAMETROS!$B$8,""),0)</f>
        <v>0.0</v>
      </c>
      <c r="Z96" s="14">
        <f>IF(ISNUMBER($T96),$N96*$T96/PARAMETROS!$B$8,"")</f>
        <v>7.4368e-05</v>
      </c>
      <c r="AA96" s="14">
        <f>IF(ISNUMBER($U96),$N96*$U96/PARAMETROS!$B$8,"")</f>
        <v>4.46208e-06</v>
      </c>
      <c r="AB96" s="14">
        <f>IF(COUNT($X96,$Z96,$AA96)=0,"",SUM($X96,IF(ISNUMBER($Z96),$Z96*PARAMETROS!$B$9,0),IF(ISNUMBER($AA96),$AA96*PARAMETROS!$B$10,0)))</f>
        <v>0.5379706752</v>
      </c>
      <c r="AC96" s="4" t="s">
        <v>1990</v>
      </c>
      <c r="AD96" s="4"/>
      <c r="AE96" s="4" t="s">
        <v>5690</v>
      </c>
      <c r="AF96" s="4" t="s">
        <v>170</v>
      </c>
      <c r="AG96" s="4" t="inlineStr">
        <is>
          <t>MARN_GTM_BTR1_2024</t>
        </is>
      </c>
      <c r="AH96" s="4" t="inlineStr">
        <is>
          <t>Origen de factores: CO2: MARN_GTM_BTR1_2024 [PRX; BTR1 Guatemala 2024, tabla 3.6, p. 48; fila Otro queroseno; gas CO2]; CH4: MARN_GTM_BTR1_2024 [PRX; BTR1 Guatemala 2024, tabla 3.33, p. 70; fila Otro queroseno; gas CH4]; N2O: MARN_GTM_BTR1_2024 [PRX; BTR1 Guatemala 2024, tabla 3.33, p. 70; fila Otro queroseno; gas N2O].</t>
        </is>
      </c>
    </row>
    <row r="97" customFormat="false" ht="15" hidden="false" customHeight="false" outlineLevel="0" collapsed="false">
      <c r="A97" s="4" t="s">
        <v>5816</v>
      </c>
      <c r="B97" s="12" t="n">
        <v>2019</v>
      </c>
      <c r="C97" s="4" t="s">
        <v>71</v>
      </c>
      <c r="D97" s="4" t="s">
        <v>5685</v>
      </c>
      <c r="E97" s="4" t="s">
        <v>3412</v>
      </c>
      <c r="F97" s="4" t="s">
        <v>3413</v>
      </c>
      <c r="G97" s="4" t="s">
        <v>97</v>
      </c>
      <c r="H97" s="4" t="s">
        <v>2123</v>
      </c>
      <c r="I97" s="4" t="s">
        <v>71</v>
      </c>
      <c r="J97" s="4" t="s">
        <v>2001</v>
      </c>
      <c r="K97" s="4" t="s">
        <v>2002</v>
      </c>
      <c r="L97" s="4" t="s">
        <v>563</v>
      </c>
      <c r="M97" s="14" t="n">
        <f aca="false">SUMIFS(PSUT_LARGA!$K$2:$K$618,PSUT_LARGA!$B$2:$B$618,$B97,PSUT_LARGA!$H$2:$H$618,$L97,PSUT_LARGA!$E$2:$E$618,$J97,PSUT_LARGA!$F$2:$F$618,$K97,PSUT_LARGA!$G$2:$G$618,$I97,PSUT_LARGA!$I$2:$I$618,$H97)</f>
        <v>70550.7719</v>
      </c>
      <c r="N97" s="14" t="n">
        <f aca="false">IF($H97="TRANSFORMACION_REFINERIA",$M97*INDEX(PARAMETROS!$C$27:$C$33,MATCH($B97,PARAMETROS!$A$27:$A$33,0)),$M97)</f>
        <v>70550.7719</v>
      </c>
      <c r="O97" s="4" t="inlineStr">
        <is>
          <t>COMB_DOIL</t>
        </is>
      </c>
      <c r="P97" s="4" t="s">
        <v>3352</v>
      </c>
      <c r="Q97" s="11" t="n">
        <f aca="false">MIN($B97,2022)</f>
        <v>2019</v>
      </c>
      <c r="R97" s="8" t="str">
        <f>IF(COUNT($S97:$U97)=0,"NO",IF($O97="CERO_DIRECTO","CAL",IF(OR($B97&gt;$Q97,COUNTIFS(DATOS_MODELO!$C$2:$C$3672,$Q97&amp;"|"&amp;$E97&amp;"|"&amp;$O97&amp;"|*",DATOS_MODELO!$F$2:$F$3672,"PRX",DATOS_MODELO!$AA$2:$AA$3672,"&lt;&gt;")&gt;0),"PRX",IF(COUNTIFS(DATOS_MODELO!$C$2:$C$3672,$Q97&amp;"|"&amp;$E97&amp;"|"&amp;$O97&amp;"|*",DATOS_MODELO!$F$2:$F$3672,"CAL",DATOS_MODELO!$AA$2:$AA$3672,"&lt;&gt;")&gt;0,"CAL","OBS"))))</f>
        <v>OBS</v>
      </c>
      <c r="S97" s="14">
        <f>IF(COUNTIFS(DATOS_MODELO!$C$2:$C$3672,$Q97&amp;"|"&amp;$E97&amp;"|"&amp;$O97&amp;"|CO2",DATOS_MODELO!$AA$2:$AA$3672,"&lt;&gt;")=0,"",INDEX(DATOS_MODELO!$AA$2:$AA$3672,MATCH($Q97&amp;"|"&amp;$E97&amp;"|"&amp;$O97&amp;"|CO2",DATOS_MODELO!$C$2:$C$3672,0)))</f>
        <v>74099.9998848026</v>
      </c>
      <c r="T97" s="14">
        <f>IF(COUNTIFS(DATOS_MODELO!$C$2:$C$3672,$Q97&amp;"|"&amp;$E97&amp;"|"&amp;$O97&amp;"|CH4",DATOS_MODELO!$AA$2:$AA$3672,"&lt;&gt;")=0,"",INDEX(DATOS_MODELO!$AA$2:$AA$3672,MATCH($Q97&amp;"|"&amp;$E97&amp;"|"&amp;$O97&amp;"|CH4",DATOS_MODELO!$C$2:$C$3672,0)))</f>
        <v>3.90000005464308</v>
      </c>
      <c r="U97" s="14">
        <f>IF(COUNTIFS(DATOS_MODELO!$C$2:$C$3672,$Q97&amp;"|"&amp;$E97&amp;"|"&amp;$O97&amp;"|N2O",DATOS_MODELO!$AA$2:$AA$3672,"&lt;&gt;")=0,"",INDEX(DATOS_MODELO!$AA$2:$AA$3672,MATCH($Q97&amp;"|"&amp;$E97&amp;"|"&amp;$O97&amp;"|N2O",DATOS_MODELO!$C$2:$C$3672,0)))</f>
        <v>3.90000005464308</v>
      </c>
      <c r="V97" s="8"/>
      <c r="W97" s="14"/>
      <c r="X97" s="14">
        <f>IF($P97="BIOGENICO",0,IF(ISNUMBER($S97),$N97*$S97/PARAMETROS!$B$8,""))</f>
        <v>5227.81218966273</v>
      </c>
      <c r="Y97" s="14">
        <f>IF($P97="BIOGENICO",IF(ISNUMBER($S97),$N97*$S97/PARAMETROS!$B$8,""),0)</f>
        <v>0.0</v>
      </c>
      <c r="Z97" s="14">
        <f>IF(ISNUMBER($T97),$N97*$T97/PARAMETROS!$B$8,"")</f>
        <v>0.275148014265112</v>
      </c>
      <c r="AA97" s="14">
        <f>IF(ISNUMBER($U97),$N97*$U97/PARAMETROS!$B$8,"")</f>
        <v>0.275148014265112</v>
      </c>
      <c r="AB97" s="14">
        <f>IF(COUNT($X97,$Z97,$AA97)=0,"",SUM($X97,IF(ISNUMBER($Z97),$Z97*PARAMETROS!$B$9,0),IF(ISNUMBER($AA97),$AA97*PARAMETROS!$B$10,0)))</f>
        <v>5308.43055784241</v>
      </c>
      <c r="AC97" s="4" t="s">
        <v>1990</v>
      </c>
      <c r="AD97" s="4"/>
      <c r="AE97" s="4" t="s">
        <v>5690</v>
      </c>
      <c r="AF97" s="4" t="s">
        <v>170</v>
      </c>
      <c r="AG97" s="4" t="s">
        <v>3999</v>
      </c>
      <c r="AH97" s="4" t="inlineStr">
        <is>
          <t>Origen de factores: CO2: UNFCCC_GTM_CRT_2024 [OBS; GTM-CRT-2024-V0.3-2019-20250304-084824_started.xlsx; Table1.A(a)s3; AD=C22; EM=H22; IEF=E22]; CH4: UNFCCC_GTM_CRT_2024 [OBS; GTM-CRT-2024-V0.3-2019-20250304-084824_started.xlsx; Table1.A(a)s3; AD=C22; EM=I22; IEF=F22]; N2O: UNFCCC_GTM_CRT_2024 [OBS; GTM-CRT-2024-V0.3-2019-20250304-084824_started.xlsx; Table1.A(a)s3; AD=C22; EM=J22; IEF=G22].</t>
        </is>
      </c>
    </row>
    <row r="98" customFormat="false" ht="15" hidden="false" customHeight="false" outlineLevel="0" collapsed="false">
      <c r="A98" s="4" t="s">
        <v>5817</v>
      </c>
      <c r="B98" s="12" t="n">
        <v>2019</v>
      </c>
      <c r="C98" s="4" t="s">
        <v>71</v>
      </c>
      <c r="D98" s="4" t="s">
        <v>5685</v>
      </c>
      <c r="E98" s="4" t="s">
        <v>3412</v>
      </c>
      <c r="F98" s="4" t="s">
        <v>3413</v>
      </c>
      <c r="G98" s="4" t="s">
        <v>103</v>
      </c>
      <c r="H98" s="4" t="s">
        <v>2123</v>
      </c>
      <c r="I98" s="4" t="s">
        <v>71</v>
      </c>
      <c r="J98" s="4" t="s">
        <v>2001</v>
      </c>
      <c r="K98" s="4" t="s">
        <v>2002</v>
      </c>
      <c r="L98" s="4" t="s">
        <v>605</v>
      </c>
      <c r="M98" s="14" t="n">
        <f aca="false">SUMIFS(PSUT_LARGA!$K$2:$K$618,PSUT_LARGA!$B$2:$B$618,$B98,PSUT_LARGA!$H$2:$H$618,$L98,PSUT_LARGA!$E$2:$E$618,$J98,PSUT_LARGA!$F$2:$F$618,$K98,PSUT_LARGA!$G$2:$G$618,$I98,PSUT_LARGA!$I$2:$I$618,$H98)</f>
        <v>65525.8772</v>
      </c>
      <c r="N98" s="14" t="n">
        <f aca="false">IF($H98="TRANSFORMACION_REFINERIA",$M98*INDEX(PARAMETROS!$C$27:$C$33,MATCH($B98,PARAMETROS!$A$27:$A$33,0)),$M98)</f>
        <v>65525.8772</v>
      </c>
      <c r="O98" s="4" t="inlineStr">
        <is>
          <t>COMB_GAS</t>
        </is>
      </c>
      <c r="P98" s="4" t="s">
        <v>3352</v>
      </c>
      <c r="Q98" s="11" t="n">
        <f aca="false">MIN($B98,2022)</f>
        <v>2019</v>
      </c>
      <c r="R98" s="8" t="str">
        <f>IF(COUNT($S98:$U98)=0,"NO",IF($O98="CERO_DIRECTO","CAL",IF(OR($B98&gt;$Q98,COUNTIFS(DATOS_MODELO!$C$2:$C$3672,$Q98&amp;"|"&amp;$E98&amp;"|"&amp;$O98&amp;"|*",DATOS_MODELO!$F$2:$F$3672,"PRX",DATOS_MODELO!$AA$2:$AA$3672,"&lt;&gt;")&gt;0),"PRX",IF(COUNTIFS(DATOS_MODELO!$C$2:$C$3672,$Q98&amp;"|"&amp;$E98&amp;"|"&amp;$O98&amp;"|*",DATOS_MODELO!$F$2:$F$3672,"CAL",DATOS_MODELO!$AA$2:$AA$3672,"&lt;&gt;")&gt;0,"CAL","OBS"))))</f>
        <v>PRX</v>
      </c>
      <c r="S98" s="14">
        <f>IF(COUNTIFS(DATOS_MODELO!$C$2:$C$3672,$Q98&amp;"|"&amp;$E98&amp;"|"&amp;$O98&amp;"|CO2",DATOS_MODELO!$AA$2:$AA$3672,"&lt;&gt;")=0,"",INDEX(DATOS_MODELO!$AA$2:$AA$3672,MATCH($Q98&amp;"|"&amp;$E98&amp;"|"&amp;$O98&amp;"|CO2",DATOS_MODELO!$C$2:$C$3672,0)))</f>
        <v>69300.6542315864</v>
      </c>
      <c r="T98" s="14">
        <f>IF(COUNTIFS(DATOS_MODELO!$C$2:$C$3672,$Q98&amp;"|"&amp;$E98&amp;"|"&amp;$O98&amp;"|CH4",DATOS_MODELO!$AA$2:$AA$3672,"&lt;&gt;")=0,"",INDEX(DATOS_MODELO!$AA$2:$AA$3672,MATCH($Q98&amp;"|"&amp;$E98&amp;"|"&amp;$O98&amp;"|CH4",DATOS_MODELO!$C$2:$C$3672,0)))</f>
        <v>32.9696202454193</v>
      </c>
      <c r="U98" s="14">
        <f>IF(COUNTIFS(DATOS_MODELO!$C$2:$C$3672,$Q98&amp;"|"&amp;$E98&amp;"|"&amp;$O98&amp;"|N2O",DATOS_MODELO!$AA$2:$AA$3672,"&lt;&gt;")=0,"",INDEX(DATOS_MODELO!$AA$2:$AA$3672,MATCH($Q98&amp;"|"&amp;$E98&amp;"|"&amp;$O98&amp;"|N2O",DATOS_MODELO!$C$2:$C$3672,0)))</f>
        <v>3.19887824810137</v>
      </c>
      <c r="V98" s="8"/>
      <c r="W98" s="14"/>
      <c r="X98" s="14">
        <f>IF($P98="BIOGENICO",0,IF(ISNUMBER($S98),$N98*$S98/PARAMETROS!$B$8,""))</f>
        <v>4540.98615905859</v>
      </c>
      <c r="Y98" s="14">
        <f>IF($P98="BIOGENICO",IF(ISNUMBER($S98),$N98*$S98/PARAMETROS!$B$8,""),0)</f>
        <v>0.0</v>
      </c>
      <c r="Z98" s="14">
        <f>IF(ISNUMBER($T98),$N98*$T98/PARAMETROS!$B$8,"")</f>
        <v>2.16036328753198</v>
      </c>
      <c r="AA98" s="14">
        <f>IF(ISNUMBER($U98),$N98*$U98/PARAMETROS!$B$8,"")</f>
        <v>0.209609303262842</v>
      </c>
      <c r="AB98" s="14">
        <f>IF(COUNT($X98,$Z98,$AA98)=0,"",SUM($X98,IF(ISNUMBER($Z98),$Z98*PARAMETROS!$B$9,0),IF(ISNUMBER($AA98),$AA98*PARAMETROS!$B$10,0)))</f>
        <v>4657.02279647414</v>
      </c>
      <c r="AC98" s="4" t="s">
        <v>1990</v>
      </c>
      <c r="AD98" s="4"/>
      <c r="AE98" s="4" t="s">
        <v>5690</v>
      </c>
      <c r="AF98" s="4" t="s">
        <v>170</v>
      </c>
      <c r="AG98" s="4" t="s">
        <v>3999</v>
      </c>
      <c r="AH98" s="4" t="inlineStr">
        <is>
          <t>Origen de factores: CO2: UNFCCC_GTM_CRT_2024 [PRX; GTM-CRT-2024-V0.3-2019-20250304-084824_started.xlsx; Table1.A(a)s3; AD=C17+C21; EM=H17+H21; IEF=E17+E21]; CH4: UNFCCC_GTM_CRT_2024 [PRX; GTM-CRT-2024-V0.3-2019-20250304-084824_started.xlsx; Table1.A(a)s3; AD=C17+C21; EM=I17+I21; IEF=F17+F21]; N2O: UNFCCC_GTM_CRT_2024 [PRX; GTM-CRT-2024-V0.3-2019-20250304-084824_started.xlsx; Table1.A(a)s3; AD=C17+C21; EM=J17+J21; IEF=G17+G21].</t>
        </is>
      </c>
    </row>
    <row r="99" customFormat="false" ht="15" hidden="false" customHeight="false" outlineLevel="0" collapsed="false">
      <c r="A99" s="4" t="s">
        <v>5818</v>
      </c>
      <c r="B99" s="12" t="n">
        <v>2019</v>
      </c>
      <c r="C99" s="4" t="s">
        <v>71</v>
      </c>
      <c r="D99" s="4" t="s">
        <v>5685</v>
      </c>
      <c r="E99" s="4" t="s">
        <v>3412</v>
      </c>
      <c r="F99" s="4" t="s">
        <v>3413</v>
      </c>
      <c r="G99" s="4" t="s">
        <v>105</v>
      </c>
      <c r="H99" s="4" t="s">
        <v>2123</v>
      </c>
      <c r="I99" s="4" t="s">
        <v>71</v>
      </c>
      <c r="J99" s="4" t="s">
        <v>2001</v>
      </c>
      <c r="K99" s="4" t="s">
        <v>2002</v>
      </c>
      <c r="L99" s="4" t="s">
        <v>619</v>
      </c>
      <c r="M99" s="14" t="n">
        <f aca="false">SUMIFS(PSUT_LARGA!$K$2:$K$618,PSUT_LARGA!$B$2:$B$618,$B99,PSUT_LARGA!$H$2:$H$618,$L99,PSUT_LARGA!$E$2:$E$618,$J99,PSUT_LARGA!$F$2:$F$618,$K99,PSUT_LARGA!$G$2:$G$618,$I99,PSUT_LARGA!$I$2:$I$618,$H99)</f>
        <v>195.5065</v>
      </c>
      <c r="N99" s="14" t="n">
        <f aca="false">IF($H99="TRANSFORMACION_REFINERIA",$M99*INDEX(PARAMETROS!$C$27:$C$33,MATCH($B99,PARAMETROS!$A$27:$A$33,0)),$M99)</f>
        <v>195.5065</v>
      </c>
      <c r="O99" s="4" t="inlineStr">
        <is>
          <t>COMB_GLP</t>
        </is>
      </c>
      <c r="P99" s="4" t="s">
        <v>3352</v>
      </c>
      <c r="Q99" s="11" t="n">
        <f aca="false">MIN($B99,2022)</f>
        <v>2019</v>
      </c>
      <c r="R99" s="8" t="str">
        <f>IF(COUNT($S99:$U99)=0,"NO",IF($O99="CERO_DIRECTO","CAL",IF(OR($B99&gt;$Q99,COUNTIFS(DATOS_MODELO!$C$2:$C$3672,$Q99&amp;"|"&amp;$E99&amp;"|"&amp;$O99&amp;"|*",DATOS_MODELO!$F$2:$F$3672,"PRX",DATOS_MODELO!$AA$2:$AA$3672,"&lt;&gt;")&gt;0),"PRX",IF(COUNTIFS(DATOS_MODELO!$C$2:$C$3672,$Q99&amp;"|"&amp;$E99&amp;"|"&amp;$O99&amp;"|*",DATOS_MODELO!$F$2:$F$3672,"CAL",DATOS_MODELO!$AA$2:$AA$3672,"&lt;&gt;")&gt;0,"CAL","OBS"))))</f>
        <v>OBS</v>
      </c>
      <c r="S99" s="14">
        <f>IF(COUNTIFS(DATOS_MODELO!$C$2:$C$3672,$Q99&amp;"|"&amp;$E99&amp;"|"&amp;$O99&amp;"|CO2",DATOS_MODELO!$AA$2:$AA$3672,"&lt;&gt;")=0,"",INDEX(DATOS_MODELO!$AA$2:$AA$3672,MATCH($Q99&amp;"|"&amp;$E99&amp;"|"&amp;$O99&amp;"|CO2",DATOS_MODELO!$C$2:$C$3672,0)))</f>
        <v>63099.9998444523</v>
      </c>
      <c r="T99" s="14">
        <f>IF(COUNTIFS(DATOS_MODELO!$C$2:$C$3672,$Q99&amp;"|"&amp;$E99&amp;"|"&amp;$O99&amp;"|CH4",DATOS_MODELO!$AA$2:$AA$3672,"&lt;&gt;")=0,"",INDEX(DATOS_MODELO!$AA$2:$AA$3672,MATCH($Q99&amp;"|"&amp;$E99&amp;"|"&amp;$O99&amp;"|CH4",DATOS_MODELO!$C$2:$C$3672,0)))</f>
        <v>62.0000010508572</v>
      </c>
      <c r="U99" s="14">
        <f>IF(COUNTIFS(DATOS_MODELO!$C$2:$C$3672,$Q99&amp;"|"&amp;$E99&amp;"|"&amp;$O99&amp;"|N2O",DATOS_MODELO!$AA$2:$AA$3672,"&lt;&gt;")=0,"",INDEX(DATOS_MODELO!$AA$2:$AA$3672,MATCH($Q99&amp;"|"&amp;$E99&amp;"|"&amp;$O99&amp;"|N2O",DATOS_MODELO!$C$2:$C$3672,0)))</f>
        <v>0.200001010279521</v>
      </c>
      <c r="V99" s="8"/>
      <c r="W99" s="14"/>
      <c r="X99" s="14">
        <f>IF($P99="BIOGENICO",0,IF(ISNUMBER($S99),$N99*$S99/PARAMETROS!$B$8,""))</f>
        <v>12.3364601195894</v>
      </c>
      <c r="Y99" s="14">
        <f>IF($P99="BIOGENICO",IF(ISNUMBER($S99),$N99*$S99/PARAMETROS!$B$8,""),0)</f>
        <v>0.0</v>
      </c>
      <c r="Z99" s="14">
        <f>IF(ISNUMBER($T99),$N99*$T99/PARAMETROS!$B$8,"")</f>
        <v>0.0121214032054494</v>
      </c>
      <c r="AA99" s="14">
        <f>IF(ISNUMBER($U99),$N99*$U99/PARAMETROS!$B$8,"")</f>
        <v>3.91014975162132e-05</v>
      </c>
      <c r="AB99" s="14">
        <f>IF(COUNT($X99,$Z99,$AA99)=0,"",SUM($X99,IF(ISNUMBER($Z99),$Z99*PARAMETROS!$B$9,0),IF(ISNUMBER($AA99),$AA99*PARAMETROS!$B$10,0)))</f>
        <v>12.6862213061838</v>
      </c>
      <c r="AC99" s="4" t="s">
        <v>1990</v>
      </c>
      <c r="AD99" s="4"/>
      <c r="AE99" s="4" t="s">
        <v>5690</v>
      </c>
      <c r="AF99" s="4" t="s">
        <v>170</v>
      </c>
      <c r="AG99" s="4" t="s">
        <v>3999</v>
      </c>
      <c r="AH99" s="4" t="inlineStr">
        <is>
          <t>Origen de factores: CO2: UNFCCC_GTM_CRT_2024 [OBS; GTM-CRT-2024-V0.3-2019-20250304-084824_started.xlsx; Table1.A(a)s3; AD=C23; EM=H23; IEF=E23]; CH4: UNFCCC_GTM_CRT_2024 [OBS; GTM-CRT-2024-V0.3-2019-20250304-084824_started.xlsx; Table1.A(a)s3; AD=C23; EM=I23; IEF=F23]; N2O: UNFCCC_GTM_CRT_2024 [OBS; GTM-CRT-2024-V0.3-2019-20250304-084824_started.xlsx; Table1.A(a)s3; AD=C23; EM=J23; IEF=G23].</t>
        </is>
      </c>
    </row>
    <row r="100" customFormat="false" ht="15" hidden="false" customHeight="false" outlineLevel="0" collapsed="false">
      <c r="A100" s="4" t="s">
        <v>5819</v>
      </c>
      <c r="B100" s="12" t="n">
        <v>2019</v>
      </c>
      <c r="C100" s="4" t="s">
        <v>71</v>
      </c>
      <c r="D100" s="4" t="s">
        <v>5685</v>
      </c>
      <c r="E100" s="4" t="s">
        <v>3412</v>
      </c>
      <c r="F100" s="4" t="s">
        <v>3413</v>
      </c>
      <c r="G100" s="4" t="s">
        <v>107</v>
      </c>
      <c r="H100" s="4" t="s">
        <v>2123</v>
      </c>
      <c r="I100" s="4" t="s">
        <v>71</v>
      </c>
      <c r="J100" s="4" t="s">
        <v>2001</v>
      </c>
      <c r="K100" s="4" t="s">
        <v>2002</v>
      </c>
      <c r="L100" s="4" t="s">
        <v>633</v>
      </c>
      <c r="M100" s="14" t="n">
        <f aca="false">SUMIFS(PSUT_LARGA!$K$2:$K$618,PSUT_LARGA!$B$2:$B$618,$B100,PSUT_LARGA!$H$2:$H$618,$L100,PSUT_LARGA!$E$2:$E$618,$J100,PSUT_LARGA!$F$2:$F$618,$K100,PSUT_LARGA!$G$2:$G$618,$I100,PSUT_LARGA!$I$2:$I$618,$H100)</f>
        <v>4285.1655</v>
      </c>
      <c r="N100" s="14" t="n">
        <f aca="false">IF($H100="TRANSFORMACION_REFINERIA",$M100*INDEX(PARAMETROS!$C$27:$C$33,MATCH($B100,PARAMETROS!$A$27:$A$33,0)),$M100)</f>
        <v>4285.1655</v>
      </c>
      <c r="O100" s="4" t="inlineStr">
        <is>
          <t>COMB_KER</t>
        </is>
      </c>
      <c r="P100" s="4" t="s">
        <v>3352</v>
      </c>
      <c r="Q100" s="11" t="n">
        <f aca="false">MIN($B100,2022)</f>
        <v>2019</v>
      </c>
      <c r="R100" s="8" t="str">
        <f>IF(COUNT($S100:$U100)=0,"NO",IF($O100="CERO_DIRECTO","CAL",IF(OR($B100&gt;$Q100,COUNTIFS(DATOS_MODELO!$C$2:$C$3672,$Q100&amp;"|"&amp;$E100&amp;"|"&amp;$O100&amp;"|*",DATOS_MODELO!$F$2:$F$3672,"PRX",DATOS_MODELO!$AA$2:$AA$3672,"&lt;&gt;")&gt;0),"PRX",IF(COUNTIFS(DATOS_MODELO!$C$2:$C$3672,$Q100&amp;"|"&amp;$E100&amp;"|"&amp;$O100&amp;"|*",DATOS_MODELO!$F$2:$F$3672,"CAL",DATOS_MODELO!$AA$2:$AA$3672,"&lt;&gt;")&gt;0,"CAL","OBS"))))</f>
        <v>PRX</v>
      </c>
      <c r="S100" s="14">
        <f>IF(COUNTIFS(DATOS_MODELO!$C$2:$C$3672,$Q100&amp;"|"&amp;$E100&amp;"|"&amp;$O100&amp;"|CO2",DATOS_MODELO!$AA$2:$AA$3672,"&lt;&gt;")=0,"",INDEX(DATOS_MODELO!$AA$2:$AA$3672,MATCH($Q100&amp;"|"&amp;$E100&amp;"|"&amp;$O100&amp;"|CO2",DATOS_MODELO!$C$2:$C$3672,0)))</f>
        <v>71500.0</v>
      </c>
      <c r="T100" s="14">
        <f>IF(COUNTIFS(DATOS_MODELO!$C$2:$C$3672,$Q100&amp;"|"&amp;$E100&amp;"|"&amp;$O100&amp;"|CH4",DATOS_MODELO!$AA$2:$AA$3672,"&lt;&gt;")=0,"",INDEX(DATOS_MODELO!$AA$2:$AA$3672,MATCH($Q100&amp;"|"&amp;$E100&amp;"|"&amp;$O100&amp;"|CH4",DATOS_MODELO!$C$2:$C$3672,0)))</f>
        <v>0.5</v>
      </c>
      <c r="U100" s="14">
        <f>IF(COUNTIFS(DATOS_MODELO!$C$2:$C$3672,$Q100&amp;"|"&amp;$E100&amp;"|"&amp;$O100&amp;"|N2O",DATOS_MODELO!$AA$2:$AA$3672,"&lt;&gt;")=0,"",INDEX(DATOS_MODELO!$AA$2:$AA$3672,MATCH($Q100&amp;"|"&amp;$E100&amp;"|"&amp;$O100&amp;"|N2O",DATOS_MODELO!$C$2:$C$3672,0)))</f>
        <v>2.0</v>
      </c>
      <c r="V100" s="8"/>
      <c r="W100" s="14"/>
      <c r="X100" s="14">
        <f>IF($P100="BIOGENICO",0,IF(ISNUMBER($S100),$N100*$S100/PARAMETROS!$B$8,""))</f>
        <v>306.38933325</v>
      </c>
      <c r="Y100" s="14">
        <f>IF($P100="BIOGENICO",IF(ISNUMBER($S100),$N100*$S100/PARAMETROS!$B$8,""),0)</f>
        <v>0.0</v>
      </c>
      <c r="Z100" s="14">
        <f>IF(ISNUMBER($T100),$N100*$T100/PARAMETROS!$B$8,"")</f>
        <v>0.00214258275</v>
      </c>
      <c r="AA100" s="14">
        <f>IF(ISNUMBER($U100),$N100*$U100/PARAMETROS!$B$8,"")</f>
        <v>0.008570331</v>
      </c>
      <c r="AB100" s="14">
        <f>IF(COUNT($X100,$Z100,$AA100)=0,"",SUM($X100,IF(ISNUMBER($Z100),$Z100*PARAMETROS!$B$9,0),IF(ISNUMBER($AA100),$AA100*PARAMETROS!$B$10,0)))</f>
        <v>308.720463282</v>
      </c>
      <c r="AC100" s="4" t="s">
        <v>1990</v>
      </c>
      <c r="AD100" s="4"/>
      <c r="AE100" s="4" t="s">
        <v>5690</v>
      </c>
      <c r="AF100" s="4" t="s">
        <v>170</v>
      </c>
      <c r="AG100" s="4" t="inlineStr">
        <is>
          <t>IPCC_2006_GL</t>
        </is>
      </c>
      <c r="AH100" s="4" t="inlineStr">
        <is>
          <t>Origen de factores: CO2: IPCC_2006_GL [PRX; Volumen 2, capítulo 3, tabla 3.6.4, p. 3.64; fila Jet Kerosene; gas CO2]; CH4: IPCC_2006_GL [PRX; Volumen 2, capítulo 3, tabla 3.6.5, p. 3.64; fila All fuels; gas CH4]; N2O: IPCC_2006_GL [PRX; Volumen 2, capítulo 3, tabla 3.6.5, p. 3.64; fila All fuels; gas N2O].</t>
        </is>
      </c>
    </row>
    <row r="101" customFormat="false" ht="15" hidden="false" customHeight="false" outlineLevel="0" collapsed="false">
      <c r="A101" s="4" t="s">
        <v>5820</v>
      </c>
      <c r="B101" s="12" t="n">
        <v>2019</v>
      </c>
      <c r="C101" s="4" t="s">
        <v>65</v>
      </c>
      <c r="D101" s="4" t="s">
        <v>5734</v>
      </c>
      <c r="E101" s="4" t="s">
        <v>4024</v>
      </c>
      <c r="F101" s="4" t="s">
        <v>5735</v>
      </c>
      <c r="G101" s="4"/>
      <c r="H101" s="4" t="s">
        <v>5736</v>
      </c>
      <c r="I101" s="4" t="s">
        <v>65</v>
      </c>
      <c r="J101" s="4"/>
      <c r="K101" s="4"/>
      <c r="L101" s="4" t="s">
        <v>5821</v>
      </c>
      <c r="M101" s="14"/>
      <c r="N101" s="14"/>
      <c r="O101" s="4" t="s">
        <v>4011</v>
      </c>
      <c r="P101" s="4" t="s">
        <v>4019</v>
      </c>
      <c r="Q101" s="11" t="n">
        <f aca="false">MIN($B101,2022)</f>
        <v>2019</v>
      </c>
      <c r="R101" s="4" t="s">
        <v>169</v>
      </c>
      <c r="S101" s="14"/>
      <c r="T101" s="14"/>
      <c r="U101" s="14"/>
      <c r="V101" s="4" t="s">
        <v>4018</v>
      </c>
      <c r="W101" s="14">
        <f>SUMIFS(DATOS_MODELO!$AD$2:$AD$3672,DATOS_MODELO!$A$2:$A$3672,"EMISION_AGRICULTURA_OBS",DATOS_MODELO!$D$2:$D$3672,$B101,DATOS_MODELO!$W$2:$W$3672,"3.A",DATOS_MODELO!$Z$2:$Z$3672,$V101)</f>
        <v>169.219204</v>
      </c>
      <c r="X101" s="14" t="n">
        <f aca="false">IF($V101="CO2",$W101,0)</f>
        <v>0</v>
      </c>
      <c r="Y101" s="14" t="n">
        <f aca="false">0</f>
        <v>0</v>
      </c>
      <c r="Z101" s="14" t="n">
        <f aca="false">IF($V101="CH4",$W101,0)</f>
        <v>169.219204</v>
      </c>
      <c r="AA101" s="14" t="n">
        <f aca="false">IF($V101="N2O",$W101,0)</f>
        <v>0</v>
      </c>
      <c r="AB101" s="14" t="n">
        <f aca="false">$X101+$Z101*PARAMETROS!$B$9+$AA101*PARAMETROS!$B$10</f>
        <v>4738.137712</v>
      </c>
      <c r="AC101" s="4" t="s">
        <v>169</v>
      </c>
      <c r="AD101" s="4"/>
      <c r="AE101" s="4" t="s">
        <v>5736</v>
      </c>
      <c r="AF101" s="4" t="s">
        <v>3999</v>
      </c>
      <c r="AG101" s="4" t="s">
        <v>3999</v>
      </c>
      <c r="AH101" s="4"/>
    </row>
    <row r="102" customFormat="false" ht="15" hidden="false" customHeight="false" outlineLevel="0" collapsed="false">
      <c r="A102" s="4" t="s">
        <v>5822</v>
      </c>
      <c r="B102" s="12" t="n">
        <v>2019</v>
      </c>
      <c r="C102" s="4" t="s">
        <v>65</v>
      </c>
      <c r="D102" s="4" t="s">
        <v>5734</v>
      </c>
      <c r="E102" s="4" t="s">
        <v>4030</v>
      </c>
      <c r="F102" s="4" t="s">
        <v>5739</v>
      </c>
      <c r="G102" s="4"/>
      <c r="H102" s="4" t="s">
        <v>5736</v>
      </c>
      <c r="I102" s="4" t="s">
        <v>65</v>
      </c>
      <c r="J102" s="4"/>
      <c r="K102" s="4"/>
      <c r="L102" s="4" t="s">
        <v>5823</v>
      </c>
      <c r="M102" s="14"/>
      <c r="N102" s="14"/>
      <c r="O102" s="4" t="s">
        <v>4011</v>
      </c>
      <c r="P102" s="4" t="s">
        <v>4019</v>
      </c>
      <c r="Q102" s="11" t="n">
        <f aca="false">MIN($B102,2022)</f>
        <v>2019</v>
      </c>
      <c r="R102" s="4" t="s">
        <v>169</v>
      </c>
      <c r="S102" s="14"/>
      <c r="T102" s="14"/>
      <c r="U102" s="14"/>
      <c r="V102" s="4" t="s">
        <v>4018</v>
      </c>
      <c r="W102" s="14">
        <f>SUMIFS(DATOS_MODELO!$AD$2:$AD$3672,DATOS_MODELO!$A$2:$A$3672,"EMISION_AGRICULTURA_OBS",DATOS_MODELO!$D$2:$D$3672,$B102,DATOS_MODELO!$W$2:$W$3672,"3.B",DATOS_MODELO!$Z$2:$Z$3672,$V102)</f>
        <v>6.01047974</v>
      </c>
      <c r="X102" s="14" t="n">
        <f aca="false">IF($V102="CO2",$W102,0)</f>
        <v>0</v>
      </c>
      <c r="Y102" s="14" t="n">
        <f aca="false">0</f>
        <v>0</v>
      </c>
      <c r="Z102" s="14" t="n">
        <f aca="false">IF($V102="CH4",$W102,0)</f>
        <v>6.01047974</v>
      </c>
      <c r="AA102" s="14" t="n">
        <f aca="false">IF($V102="N2O",$W102,0)</f>
        <v>0</v>
      </c>
      <c r="AB102" s="14" t="n">
        <f aca="false">$X102+$Z102*PARAMETROS!$B$9+$AA102*PARAMETROS!$B$10</f>
        <v>168.29343272</v>
      </c>
      <c r="AC102" s="4" t="s">
        <v>169</v>
      </c>
      <c r="AD102" s="4"/>
      <c r="AE102" s="4" t="s">
        <v>5736</v>
      </c>
      <c r="AF102" s="4" t="s">
        <v>3999</v>
      </c>
      <c r="AG102" s="4" t="s">
        <v>3999</v>
      </c>
      <c r="AH102" s="4"/>
    </row>
    <row r="103" customFormat="false" ht="15" hidden="false" customHeight="false" outlineLevel="0" collapsed="false">
      <c r="A103" s="4" t="s">
        <v>5824</v>
      </c>
      <c r="B103" s="12" t="n">
        <v>2019</v>
      </c>
      <c r="C103" s="4" t="s">
        <v>65</v>
      </c>
      <c r="D103" s="4" t="s">
        <v>5734</v>
      </c>
      <c r="E103" s="4" t="s">
        <v>4030</v>
      </c>
      <c r="F103" s="4" t="s">
        <v>5739</v>
      </c>
      <c r="G103" s="4"/>
      <c r="H103" s="4" t="s">
        <v>5736</v>
      </c>
      <c r="I103" s="4" t="s">
        <v>65</v>
      </c>
      <c r="J103" s="4"/>
      <c r="K103" s="4"/>
      <c r="L103" s="4" t="s">
        <v>5825</v>
      </c>
      <c r="M103" s="14"/>
      <c r="N103" s="14"/>
      <c r="O103" s="4" t="s">
        <v>4011</v>
      </c>
      <c r="P103" s="4" t="s">
        <v>4019</v>
      </c>
      <c r="Q103" s="11" t="n">
        <f aca="false">MIN($B103,2022)</f>
        <v>2019</v>
      </c>
      <c r="R103" s="4" t="s">
        <v>169</v>
      </c>
      <c r="S103" s="14"/>
      <c r="T103" s="14"/>
      <c r="U103" s="14"/>
      <c r="V103" s="4" t="s">
        <v>4048</v>
      </c>
      <c r="W103" s="14">
        <f>SUMIFS(DATOS_MODELO!$AD$2:$AD$3672,DATOS_MODELO!$A$2:$A$3672,"EMISION_AGRICULTURA_OBS",DATOS_MODELO!$D$2:$D$3672,$B103,DATOS_MODELO!$W$2:$W$3672,"3.B",DATOS_MODELO!$Z$2:$Z$3672,$V103)</f>
        <v>0.882510542946683</v>
      </c>
      <c r="X103" s="14" t="n">
        <f aca="false">IF($V103="CO2",$W103,0)</f>
        <v>0</v>
      </c>
      <c r="Y103" s="14" t="n">
        <f aca="false">0</f>
        <v>0</v>
      </c>
      <c r="Z103" s="14" t="n">
        <f aca="false">IF($V103="CH4",$W103,0)</f>
        <v>0</v>
      </c>
      <c r="AA103" s="14" t="n">
        <f aca="false">IF($V103="N2O",$W103,0)</f>
        <v>0.882510542946683</v>
      </c>
      <c r="AB103" s="14" t="n">
        <f aca="false">$X103+$Z103*PARAMETROS!$B$9+$AA103*PARAMETROS!$B$10</f>
        <v>233.865293880871</v>
      </c>
      <c r="AC103" s="4" t="s">
        <v>169</v>
      </c>
      <c r="AD103" s="4"/>
      <c r="AE103" s="4" t="s">
        <v>5736</v>
      </c>
      <c r="AF103" s="4" t="s">
        <v>3999</v>
      </c>
      <c r="AG103" s="4" t="s">
        <v>3999</v>
      </c>
      <c r="AH103" s="4"/>
    </row>
    <row r="104" customFormat="false" ht="15" hidden="false" customHeight="false" outlineLevel="0" collapsed="false">
      <c r="A104" s="4" t="s">
        <v>5826</v>
      </c>
      <c r="B104" s="12" t="n">
        <v>2019</v>
      </c>
      <c r="C104" s="4" t="s">
        <v>65</v>
      </c>
      <c r="D104" s="4" t="s">
        <v>5734</v>
      </c>
      <c r="E104" s="4" t="s">
        <v>4036</v>
      </c>
      <c r="F104" s="4" t="s">
        <v>5744</v>
      </c>
      <c r="G104" s="4"/>
      <c r="H104" s="4" t="s">
        <v>5736</v>
      </c>
      <c r="I104" s="4" t="s">
        <v>65</v>
      </c>
      <c r="J104" s="4"/>
      <c r="K104" s="4"/>
      <c r="L104" s="4" t="s">
        <v>5827</v>
      </c>
      <c r="M104" s="14"/>
      <c r="N104" s="14"/>
      <c r="O104" s="4" t="s">
        <v>4011</v>
      </c>
      <c r="P104" s="4" t="s">
        <v>4019</v>
      </c>
      <c r="Q104" s="11" t="n">
        <f aca="false">MIN($B104,2022)</f>
        <v>2019</v>
      </c>
      <c r="R104" s="4" t="s">
        <v>169</v>
      </c>
      <c r="S104" s="14"/>
      <c r="T104" s="14"/>
      <c r="U104" s="14"/>
      <c r="V104" s="4" t="s">
        <v>4018</v>
      </c>
      <c r="W104" s="14">
        <f>SUMIFS(DATOS_MODELO!$AD$2:$AD$3672,DATOS_MODELO!$A$2:$A$3672,"EMISION_AGRICULTURA_OBS",DATOS_MODELO!$D$2:$D$3672,$B104,DATOS_MODELO!$W$2:$W$3672,"3.C",DATOS_MODELO!$Z$2:$Z$3672,$V104)</f>
        <v>0.76926686298</v>
      </c>
      <c r="X104" s="14" t="n">
        <f aca="false">IF($V104="CO2",$W104,0)</f>
        <v>0</v>
      </c>
      <c r="Y104" s="14" t="n">
        <f aca="false">0</f>
        <v>0</v>
      </c>
      <c r="Z104" s="14" t="n">
        <f aca="false">IF($V104="CH4",$W104,0)</f>
        <v>0.76926686298</v>
      </c>
      <c r="AA104" s="14" t="n">
        <f aca="false">IF($V104="N2O",$W104,0)</f>
        <v>0</v>
      </c>
      <c r="AB104" s="14" t="n">
        <f aca="false">$X104+$Z104*PARAMETROS!$B$9+$AA104*PARAMETROS!$B$10</f>
        <v>21.53947216344</v>
      </c>
      <c r="AC104" s="4" t="s">
        <v>169</v>
      </c>
      <c r="AD104" s="4"/>
      <c r="AE104" s="4" t="s">
        <v>5736</v>
      </c>
      <c r="AF104" s="4" t="s">
        <v>3999</v>
      </c>
      <c r="AG104" s="4" t="s">
        <v>3999</v>
      </c>
      <c r="AH104" s="4"/>
    </row>
    <row r="105" customFormat="false" ht="15" hidden="false" customHeight="false" outlineLevel="0" collapsed="false">
      <c r="A105" s="4" t="s">
        <v>5828</v>
      </c>
      <c r="B105" s="12" t="n">
        <v>2019</v>
      </c>
      <c r="C105" s="4" t="s">
        <v>65</v>
      </c>
      <c r="D105" s="4" t="s">
        <v>5734</v>
      </c>
      <c r="E105" s="4" t="s">
        <v>4057</v>
      </c>
      <c r="F105" s="4" t="s">
        <v>5747</v>
      </c>
      <c r="G105" s="4"/>
      <c r="H105" s="4" t="s">
        <v>5736</v>
      </c>
      <c r="I105" s="4" t="s">
        <v>65</v>
      </c>
      <c r="J105" s="4"/>
      <c r="K105" s="4"/>
      <c r="L105" s="4" t="s">
        <v>5829</v>
      </c>
      <c r="M105" s="14"/>
      <c r="N105" s="14"/>
      <c r="O105" s="4" t="s">
        <v>4011</v>
      </c>
      <c r="P105" s="4" t="s">
        <v>4019</v>
      </c>
      <c r="Q105" s="11" t="n">
        <f aca="false">MIN($B105,2022)</f>
        <v>2019</v>
      </c>
      <c r="R105" s="4" t="s">
        <v>169</v>
      </c>
      <c r="S105" s="14"/>
      <c r="T105" s="14"/>
      <c r="U105" s="14"/>
      <c r="V105" s="4" t="s">
        <v>4048</v>
      </c>
      <c r="W105" s="14">
        <f>SUMIFS(DATOS_MODELO!$AD$2:$AD$3672,DATOS_MODELO!$A$2:$A$3672,"EMISION_AGRICULTURA_OBS",DATOS_MODELO!$D$2:$D$3672,$B105,DATOS_MODELO!$W$2:$W$3672,"3.D",DATOS_MODELO!$Z$2:$Z$3672,$V105)</f>
        <v>4.81720352269603</v>
      </c>
      <c r="X105" s="14" t="n">
        <f aca="false">IF($V105="CO2",$W105,0)</f>
        <v>0</v>
      </c>
      <c r="Y105" s="14" t="n">
        <f aca="false">0</f>
        <v>0</v>
      </c>
      <c r="Z105" s="14" t="n">
        <f aca="false">IF($V105="CH4",$W105,0)</f>
        <v>0</v>
      </c>
      <c r="AA105" s="14" t="n">
        <f aca="false">IF($V105="N2O",$W105,0)</f>
        <v>4.81720352269603</v>
      </c>
      <c r="AB105" s="14" t="n">
        <f aca="false">$X105+$Z105*PARAMETROS!$B$9+$AA105*PARAMETROS!$B$10</f>
        <v>1276.55893351445</v>
      </c>
      <c r="AC105" s="4" t="s">
        <v>169</v>
      </c>
      <c r="AD105" s="4"/>
      <c r="AE105" s="4" t="s">
        <v>5736</v>
      </c>
      <c r="AF105" s="4" t="s">
        <v>3999</v>
      </c>
      <c r="AG105" s="4" t="s">
        <v>3999</v>
      </c>
      <c r="AH105" s="4"/>
    </row>
    <row r="106" customFormat="false" ht="15" hidden="false" customHeight="false" outlineLevel="0" collapsed="false">
      <c r="A106" s="4" t="s">
        <v>5830</v>
      </c>
      <c r="B106" s="12" t="n">
        <v>2019</v>
      </c>
      <c r="C106" s="4" t="s">
        <v>65</v>
      </c>
      <c r="D106" s="4" t="s">
        <v>5734</v>
      </c>
      <c r="E106" s="4" t="s">
        <v>4042</v>
      </c>
      <c r="F106" s="4" t="s">
        <v>5750</v>
      </c>
      <c r="G106" s="4"/>
      <c r="H106" s="4" t="s">
        <v>5736</v>
      </c>
      <c r="I106" s="4" t="s">
        <v>65</v>
      </c>
      <c r="J106" s="4"/>
      <c r="K106" s="4"/>
      <c r="L106" s="4" t="s">
        <v>5831</v>
      </c>
      <c r="M106" s="14"/>
      <c r="N106" s="14"/>
      <c r="O106" s="4" t="s">
        <v>4011</v>
      </c>
      <c r="P106" s="4" t="s">
        <v>4019</v>
      </c>
      <c r="Q106" s="11" t="n">
        <f aca="false">MIN($B106,2022)</f>
        <v>2019</v>
      </c>
      <c r="R106" s="4" t="s">
        <v>169</v>
      </c>
      <c r="S106" s="14"/>
      <c r="T106" s="14"/>
      <c r="U106" s="14"/>
      <c r="V106" s="4" t="s">
        <v>4018</v>
      </c>
      <c r="W106" s="14">
        <f>SUMIFS(DATOS_MODELO!$AD$2:$AD$3672,DATOS_MODELO!$A$2:$A$3672,"EMISION_AGRICULTURA_OBS",DATOS_MODELO!$D$2:$D$3672,$B106,DATOS_MODELO!$W$2:$W$3672,"3.E",DATOS_MODELO!$Z$2:$Z$3672,$V106)</f>
        <v>6.415668081546</v>
      </c>
      <c r="X106" s="14" t="n">
        <f aca="false">IF($V106="CO2",$W106,0)</f>
        <v>0</v>
      </c>
      <c r="Y106" s="14" t="n">
        <f aca="false">0</f>
        <v>0</v>
      </c>
      <c r="Z106" s="14" t="n">
        <f aca="false">IF($V106="CH4",$W106,0)</f>
        <v>6.415668081546</v>
      </c>
      <c r="AA106" s="14" t="n">
        <f aca="false">IF($V106="N2O",$W106,0)</f>
        <v>0</v>
      </c>
      <c r="AB106" s="14" t="n">
        <f aca="false">$X106+$Z106*PARAMETROS!$B$9+$AA106*PARAMETROS!$B$10</f>
        <v>179.638706283288</v>
      </c>
      <c r="AC106" s="4" t="s">
        <v>169</v>
      </c>
      <c r="AD106" s="4"/>
      <c r="AE106" s="4" t="s">
        <v>5736</v>
      </c>
      <c r="AF106" s="4" t="s">
        <v>3999</v>
      </c>
      <c r="AG106" s="4" t="s">
        <v>3999</v>
      </c>
      <c r="AH106" s="4"/>
    </row>
    <row r="107" customFormat="false" ht="15" hidden="false" customHeight="false" outlineLevel="0" collapsed="false">
      <c r="A107" s="4" t="s">
        <v>5832</v>
      </c>
      <c r="B107" s="12" t="n">
        <v>2019</v>
      </c>
      <c r="C107" s="4" t="s">
        <v>65</v>
      </c>
      <c r="D107" s="4" t="s">
        <v>5734</v>
      </c>
      <c r="E107" s="4" t="s">
        <v>4042</v>
      </c>
      <c r="F107" s="4" t="s">
        <v>5750</v>
      </c>
      <c r="G107" s="4"/>
      <c r="H107" s="4" t="s">
        <v>5736</v>
      </c>
      <c r="I107" s="4" t="s">
        <v>65</v>
      </c>
      <c r="J107" s="4"/>
      <c r="K107" s="4"/>
      <c r="L107" s="4" t="s">
        <v>5833</v>
      </c>
      <c r="M107" s="14"/>
      <c r="N107" s="14"/>
      <c r="O107" s="4" t="s">
        <v>4011</v>
      </c>
      <c r="P107" s="4" t="s">
        <v>4019</v>
      </c>
      <c r="Q107" s="11" t="n">
        <f aca="false">MIN($B107,2022)</f>
        <v>2019</v>
      </c>
      <c r="R107" s="4" t="s">
        <v>169</v>
      </c>
      <c r="S107" s="14"/>
      <c r="T107" s="14"/>
      <c r="U107" s="14"/>
      <c r="V107" s="4" t="s">
        <v>4048</v>
      </c>
      <c r="W107" s="14">
        <f>SUMIFS(DATOS_MODELO!$AD$2:$AD$3672,DATOS_MODELO!$A$2:$A$3672,"EMISION_AGRICULTURA_OBS",DATOS_MODELO!$D$2:$D$3672,$B107,DATOS_MODELO!$W$2:$W$3672,"3.E",DATOS_MODELO!$Z$2:$Z$3672,$V107)</f>
        <v>0.5857783900542</v>
      </c>
      <c r="X107" s="14" t="n">
        <f aca="false">IF($V107="CO2",$W107,0)</f>
        <v>0</v>
      </c>
      <c r="Y107" s="14" t="n">
        <f aca="false">0</f>
        <v>0</v>
      </c>
      <c r="Z107" s="14" t="n">
        <f aca="false">IF($V107="CH4",$W107,0)</f>
        <v>0</v>
      </c>
      <c r="AA107" s="14" t="n">
        <f aca="false">IF($V107="N2O",$W107,0)</f>
        <v>0.5857783900542</v>
      </c>
      <c r="AB107" s="14" t="n">
        <f aca="false">$X107+$Z107*PARAMETROS!$B$9+$AA107*PARAMETROS!$B$10</f>
        <v>155.231273364363</v>
      </c>
      <c r="AC107" s="4" t="s">
        <v>169</v>
      </c>
      <c r="AD107" s="4"/>
      <c r="AE107" s="4" t="s">
        <v>5736</v>
      </c>
      <c r="AF107" s="4" t="s">
        <v>3999</v>
      </c>
      <c r="AG107" s="4" t="s">
        <v>3999</v>
      </c>
      <c r="AH107" s="4"/>
    </row>
    <row r="108" customFormat="false" ht="23.85" hidden="false" customHeight="false" outlineLevel="0" collapsed="false">
      <c r="A108" s="4" t="s">
        <v>5834</v>
      </c>
      <c r="B108" s="12" t="n">
        <v>2019</v>
      </c>
      <c r="C108" s="4" t="s">
        <v>65</v>
      </c>
      <c r="D108" s="4" t="s">
        <v>5734</v>
      </c>
      <c r="E108" s="4" t="s">
        <v>5755</v>
      </c>
      <c r="F108" s="4" t="s">
        <v>5756</v>
      </c>
      <c r="G108" s="4"/>
      <c r="H108" s="4" t="s">
        <v>5757</v>
      </c>
      <c r="I108" s="4" t="s">
        <v>65</v>
      </c>
      <c r="J108" s="4"/>
      <c r="K108" s="4"/>
      <c r="L108" s="4" t="s">
        <v>5835</v>
      </c>
      <c r="M108" s="14"/>
      <c r="N108" s="14"/>
      <c r="O108" s="4" t="s">
        <v>4011</v>
      </c>
      <c r="P108" s="4" t="s">
        <v>4019</v>
      </c>
      <c r="Q108" s="11" t="n">
        <f aca="false">MIN($B108,2022)</f>
        <v>2019</v>
      </c>
      <c r="R108" s="4" t="s">
        <v>1990</v>
      </c>
      <c r="S108" s="14"/>
      <c r="T108" s="14"/>
      <c r="U108" s="14"/>
      <c r="V108" s="4" t="s">
        <v>4018</v>
      </c>
      <c r="W108" s="14">
        <f>SUMIFS(DATOS_MODELO!$AD$2:$AD$3672,DATOS_MODELO!$A$2:$A$3672,"EMISION_AGRICULTURA_OBS",DATOS_MODELO!$D$2:$D$3672,$B108,DATOS_MODELO!$W$2:$W$3672,"3",DATOS_MODELO!$Z$2:$Z$3672,$V108)-SUMIFS(DATOS_MODELO!$AD$2:$AD$3672,DATOS_MODELO!$A$2:$A$3672,"EMISION_AGRICULTURA_OBS",DATOS_MODELO!$D$2:$D$3672,$B108,DATOS_MODELO!$W$2:$W$3672,"3.A",DATOS_MODELO!$Z$2:$Z$3672,$V108)-SUMIFS(DATOS_MODELO!$AD$2:$AD$3672,DATOS_MODELO!$A$2:$A$3672,"EMISION_AGRICULTURA_OBS",DATOS_MODELO!$D$2:$D$3672,$B108,DATOS_MODELO!$W$2:$W$3672,"3.B",DATOS_MODELO!$Z$2:$Z$3672,$V108)-SUMIFS(DATOS_MODELO!$AD$2:$AD$3672,DATOS_MODELO!$A$2:$A$3672,"EMISION_AGRICULTURA_OBS",DATOS_MODELO!$D$2:$D$3672,$B108,DATOS_MODELO!$W$2:$W$3672,"3.C",DATOS_MODELO!$Z$2:$Z$3672,$V108)-SUMIFS(DATOS_MODELO!$AD$2:$AD$3672,DATOS_MODELO!$A$2:$A$3672,"EMISION_AGRICULTURA_OBS",DATOS_MODELO!$D$2:$D$3672,$B108,DATOS_MODELO!$W$2:$W$3672,"3.D",DATOS_MODELO!$Z$2:$Z$3672,$V108)-SUMIFS(DATOS_MODELO!$AD$2:$AD$3672,DATOS_MODELO!$A$2:$A$3672,"EMISION_AGRICULTURA_OBS",DATOS_MODELO!$D$2:$D$3672,$B108,DATOS_MODELO!$W$2:$W$3672,"3.E",DATOS_MODELO!$Z$2:$Z$3672,$V108)</f>
        <v>4.70600493981749</v>
      </c>
      <c r="X108" s="14" t="n">
        <f aca="false">IF($V108="CO2",$W108,0)</f>
        <v>0</v>
      </c>
      <c r="Y108" s="14" t="n">
        <f aca="false">0</f>
        <v>0</v>
      </c>
      <c r="Z108" s="14" t="n">
        <f aca="false">IF($V108="CH4",$W108,0)</f>
        <v>4.70600493981749</v>
      </c>
      <c r="AA108" s="14" t="n">
        <f aca="false">IF($V108="N2O",$W108,0)</f>
        <v>0</v>
      </c>
      <c r="AB108" s="14">
        <f>$X108+$Z108*PARAMETROS!$B$9+$AA108*PARAMETROS!$B$10</f>
        <v>131.768138314904</v>
      </c>
      <c r="AC108" s="4" t="s">
        <v>1990</v>
      </c>
      <c r="AD108" s="4"/>
      <c r="AE108" s="4" t="s">
        <v>5757</v>
      </c>
      <c r="AF108" s="4" t="s">
        <v>3999</v>
      </c>
      <c r="AG108" s="4" t="s">
        <v>3999</v>
      </c>
      <c r="AH108" s="4"/>
    </row>
    <row r="109" customFormat="false" ht="23.85" hidden="false" customHeight="false" outlineLevel="0" collapsed="false">
      <c r="A109" s="4" t="s">
        <v>5836</v>
      </c>
      <c r="B109" s="12" t="n">
        <v>2019</v>
      </c>
      <c r="C109" s="4" t="s">
        <v>65</v>
      </c>
      <c r="D109" s="4" t="s">
        <v>5734</v>
      </c>
      <c r="E109" s="4" t="s">
        <v>5755</v>
      </c>
      <c r="F109" s="4" t="s">
        <v>5756</v>
      </c>
      <c r="G109" s="4"/>
      <c r="H109" s="4" t="s">
        <v>5757</v>
      </c>
      <c r="I109" s="4" t="s">
        <v>65</v>
      </c>
      <c r="J109" s="4"/>
      <c r="K109" s="4"/>
      <c r="L109" s="4" t="s">
        <v>5837</v>
      </c>
      <c r="M109" s="14"/>
      <c r="N109" s="14"/>
      <c r="O109" s="4" t="s">
        <v>4011</v>
      </c>
      <c r="P109" s="4" t="s">
        <v>4019</v>
      </c>
      <c r="Q109" s="11" t="n">
        <f aca="false">MIN($B109,2022)</f>
        <v>2019</v>
      </c>
      <c r="R109" s="4" t="s">
        <v>1990</v>
      </c>
      <c r="S109" s="14"/>
      <c r="T109" s="14"/>
      <c r="U109" s="14"/>
      <c r="V109" s="4" t="s">
        <v>4048</v>
      </c>
      <c r="W109" s="14">
        <f>SUMIFS(DATOS_MODELO!$AD$2:$AD$3672,DATOS_MODELO!$A$2:$A$3672,"EMISION_AGRICULTURA_OBS",DATOS_MODELO!$D$2:$D$3672,$B109,DATOS_MODELO!$W$2:$W$3672,"3",DATOS_MODELO!$Z$2:$Z$3672,$V109)-SUMIFS(DATOS_MODELO!$AD$2:$AD$3672,DATOS_MODELO!$A$2:$A$3672,"EMISION_AGRICULTURA_OBS",DATOS_MODELO!$D$2:$D$3672,$B109,DATOS_MODELO!$W$2:$W$3672,"3.A",DATOS_MODELO!$Z$2:$Z$3672,$V109)-SUMIFS(DATOS_MODELO!$AD$2:$AD$3672,DATOS_MODELO!$A$2:$A$3672,"EMISION_AGRICULTURA_OBS",DATOS_MODELO!$D$2:$D$3672,$B109,DATOS_MODELO!$W$2:$W$3672,"3.B",DATOS_MODELO!$Z$2:$Z$3672,$V109)-SUMIFS(DATOS_MODELO!$AD$2:$AD$3672,DATOS_MODELO!$A$2:$A$3672,"EMISION_AGRICULTURA_OBS",DATOS_MODELO!$D$2:$D$3672,$B109,DATOS_MODELO!$W$2:$W$3672,"3.C",DATOS_MODELO!$Z$2:$Z$3672,$V109)-SUMIFS(DATOS_MODELO!$AD$2:$AD$3672,DATOS_MODELO!$A$2:$A$3672,"EMISION_AGRICULTURA_OBS",DATOS_MODELO!$D$2:$D$3672,$B109,DATOS_MODELO!$W$2:$W$3672,"3.D",DATOS_MODELO!$Z$2:$Z$3672,$V109)-SUMIFS(DATOS_MODELO!$AD$2:$AD$3672,DATOS_MODELO!$A$2:$A$3672,"EMISION_AGRICULTURA_OBS",DATOS_MODELO!$D$2:$D$3672,$B109,DATOS_MODELO!$W$2:$W$3672,"3.E",DATOS_MODELO!$Z$2:$Z$3672,$V109)</f>
        <v>0.12200753547675</v>
      </c>
      <c r="X109" s="14" t="n">
        <f aca="false">IF($V109="CO2",$W109,0)</f>
        <v>0</v>
      </c>
      <c r="Y109" s="14" t="n">
        <f aca="false">0</f>
        <v>0</v>
      </c>
      <c r="Z109" s="14" t="n">
        <f aca="false">IF($V109="CH4",$W109,0)</f>
        <v>0</v>
      </c>
      <c r="AA109" s="14" t="n">
        <f aca="false">IF($V109="N2O",$W109,0)</f>
        <v>0.12200753547675</v>
      </c>
      <c r="AB109" s="14" t="n">
        <f aca="false">$X109+$Z109*PARAMETROS!$B$9+$AA109*PARAMETROS!$B$10</f>
        <v>32.3319969013388</v>
      </c>
      <c r="AC109" s="4" t="s">
        <v>1990</v>
      </c>
      <c r="AD109" s="4"/>
      <c r="AE109" s="4" t="s">
        <v>5757</v>
      </c>
      <c r="AF109" s="4" t="s">
        <v>3999</v>
      </c>
      <c r="AG109" s="4" t="s">
        <v>3999</v>
      </c>
      <c r="AH109" s="4"/>
    </row>
    <row r="110" customFormat="false" ht="15" hidden="false" customHeight="false" outlineLevel="0" collapsed="false">
      <c r="A110" s="4" t="s">
        <v>5838</v>
      </c>
      <c r="B110" s="12" t="n">
        <v>2019</v>
      </c>
      <c r="C110" s="4" t="s">
        <v>65</v>
      </c>
      <c r="D110" s="4" t="s">
        <v>5734</v>
      </c>
      <c r="E110" s="4" t="s">
        <v>5762</v>
      </c>
      <c r="F110" s="4" t="s">
        <v>5763</v>
      </c>
      <c r="G110" s="4"/>
      <c r="H110" s="4" t="s">
        <v>5686</v>
      </c>
      <c r="I110" s="4" t="s">
        <v>65</v>
      </c>
      <c r="J110" s="4"/>
      <c r="K110" s="4"/>
      <c r="L110" s="4" t="s">
        <v>5839</v>
      </c>
      <c r="M110" s="14"/>
      <c r="N110" s="14"/>
      <c r="O110" s="4" t="s">
        <v>3349</v>
      </c>
      <c r="P110" s="4" t="s">
        <v>4019</v>
      </c>
      <c r="Q110" s="11" t="n">
        <f aca="false">MIN($B110,2022)</f>
        <v>2019</v>
      </c>
      <c r="R110" s="4" t="s">
        <v>3349</v>
      </c>
      <c r="S110" s="14"/>
      <c r="T110" s="14"/>
      <c r="U110" s="14"/>
      <c r="V110" s="4" t="s">
        <v>3349</v>
      </c>
      <c r="W110" s="14"/>
      <c r="X110" s="14"/>
      <c r="Y110" s="14"/>
      <c r="Z110" s="14"/>
      <c r="AA110" s="14"/>
      <c r="AB110" s="14"/>
      <c r="AC110" s="4" t="s">
        <v>3349</v>
      </c>
      <c r="AD110" s="4" t="s">
        <v>3349</v>
      </c>
      <c r="AE110" s="4" t="s">
        <v>5686</v>
      </c>
      <c r="AF110" s="4" t="s">
        <v>3999</v>
      </c>
      <c r="AG110" s="4"/>
      <c r="AH110" s="4"/>
    </row>
    <row r="111" customFormat="false" ht="15" hidden="false" customHeight="false" outlineLevel="0" collapsed="false">
      <c r="A111" s="4" t="s">
        <v>5840</v>
      </c>
      <c r="B111" s="12" t="n">
        <v>2019</v>
      </c>
      <c r="C111" s="4" t="s">
        <v>65</v>
      </c>
      <c r="D111" s="4" t="s">
        <v>5734</v>
      </c>
      <c r="E111" s="4" t="s">
        <v>5766</v>
      </c>
      <c r="F111" s="4" t="s">
        <v>5767</v>
      </c>
      <c r="G111" s="4"/>
      <c r="H111" s="4" t="s">
        <v>5736</v>
      </c>
      <c r="I111" s="4" t="s">
        <v>65</v>
      </c>
      <c r="J111" s="4"/>
      <c r="K111" s="4"/>
      <c r="L111" s="4" t="s">
        <v>5841</v>
      </c>
      <c r="M111" s="14"/>
      <c r="N111" s="14"/>
      <c r="O111" s="4" t="s">
        <v>4011</v>
      </c>
      <c r="P111" s="4" t="s">
        <v>3352</v>
      </c>
      <c r="Q111" s="11" t="n">
        <f aca="false">MIN($B111,2022)</f>
        <v>2019</v>
      </c>
      <c r="R111" s="4" t="s">
        <v>169</v>
      </c>
      <c r="S111" s="14"/>
      <c r="T111" s="14"/>
      <c r="U111" s="14"/>
      <c r="V111" s="4" t="s">
        <v>4012</v>
      </c>
      <c r="W111" s="14">
        <f>SUMIFS(DATOS_MODELO!$AD$2:$AD$3672,DATOS_MODELO!$A$2:$A$3672,"EMISION_AGRICULTURA_OBS",DATOS_MODELO!$D$2:$D$3672,$B111,DATOS_MODELO!$W$2:$W$3672,"3",DATOS_MODELO!$Z$2:$Z$3672,$V111)</f>
        <v>36.35771486</v>
      </c>
      <c r="X111" s="14" t="n">
        <f aca="false">IF($V111="CO2",$W111,0)</f>
        <v>36.35771486</v>
      </c>
      <c r="Y111" s="14" t="n">
        <f aca="false">0</f>
        <v>0</v>
      </c>
      <c r="Z111" s="14" t="n">
        <f aca="false">IF($V111="CH4",$W111,0)</f>
        <v>0</v>
      </c>
      <c r="AA111" s="14" t="n">
        <f aca="false">IF($V111="N2O",$W111,0)</f>
        <v>0</v>
      </c>
      <c r="AB111" s="14" t="n">
        <f aca="false">$X111+$Z111*PARAMETROS!$B$9+$AA111*PARAMETROS!$B$10</f>
        <v>36.35771486</v>
      </c>
      <c r="AC111" s="4" t="s">
        <v>169</v>
      </c>
      <c r="AD111" s="4"/>
      <c r="AE111" s="4" t="s">
        <v>5736</v>
      </c>
      <c r="AF111" s="4" t="s">
        <v>3999</v>
      </c>
      <c r="AG111" s="4" t="s">
        <v>3999</v>
      </c>
      <c r="AH111" s="4"/>
    </row>
    <row r="112" customFormat="false" ht="15" hidden="false" customHeight="false" outlineLevel="0" collapsed="false">
      <c r="A112" s="4" t="s">
        <v>5842</v>
      </c>
      <c r="B112" s="12" t="n">
        <v>2019</v>
      </c>
      <c r="C112" s="4" t="s">
        <v>65</v>
      </c>
      <c r="D112" s="4" t="s">
        <v>5734</v>
      </c>
      <c r="E112" s="4" t="s">
        <v>5770</v>
      </c>
      <c r="F112" s="4" t="s">
        <v>5771</v>
      </c>
      <c r="G112" s="4"/>
      <c r="H112" s="4" t="s">
        <v>5686</v>
      </c>
      <c r="I112" s="4" t="s">
        <v>65</v>
      </c>
      <c r="J112" s="4"/>
      <c r="K112" s="4"/>
      <c r="L112" s="4" t="s">
        <v>5843</v>
      </c>
      <c r="M112" s="14"/>
      <c r="N112" s="14"/>
      <c r="O112" s="4" t="s">
        <v>3349</v>
      </c>
      <c r="P112" s="4" t="s">
        <v>4019</v>
      </c>
      <c r="Q112" s="11" t="n">
        <f aca="false">MIN($B112,2022)</f>
        <v>2019</v>
      </c>
      <c r="R112" s="4" t="s">
        <v>3349</v>
      </c>
      <c r="S112" s="14"/>
      <c r="T112" s="14"/>
      <c r="U112" s="14"/>
      <c r="V112" s="4" t="s">
        <v>3349</v>
      </c>
      <c r="W112" s="14"/>
      <c r="X112" s="14"/>
      <c r="Y112" s="14"/>
      <c r="Z112" s="14"/>
      <c r="AA112" s="14"/>
      <c r="AB112" s="14"/>
      <c r="AC112" s="4" t="s">
        <v>3349</v>
      </c>
      <c r="AD112" s="4" t="s">
        <v>3349</v>
      </c>
      <c r="AE112" s="4" t="s">
        <v>5686</v>
      </c>
      <c r="AF112" s="4" t="s">
        <v>3999</v>
      </c>
      <c r="AG112" s="4"/>
      <c r="AH112" s="4"/>
    </row>
    <row r="113" customFormat="false" ht="15" hidden="false" customHeight="false" outlineLevel="0" collapsed="false">
      <c r="A113" s="4" t="s">
        <v>5844</v>
      </c>
      <c r="B113" s="12" t="n">
        <v>2019</v>
      </c>
      <c r="C113" s="4" t="s">
        <v>65</v>
      </c>
      <c r="D113" s="4" t="s">
        <v>5734</v>
      </c>
      <c r="E113" s="4" t="s">
        <v>5774</v>
      </c>
      <c r="F113" s="4" t="s">
        <v>5775</v>
      </c>
      <c r="G113" s="4"/>
      <c r="H113" s="4" t="s">
        <v>5686</v>
      </c>
      <c r="I113" s="4" t="s">
        <v>65</v>
      </c>
      <c r="J113" s="4"/>
      <c r="K113" s="4"/>
      <c r="L113" s="4" t="s">
        <v>5845</v>
      </c>
      <c r="M113" s="14"/>
      <c r="N113" s="14"/>
      <c r="O113" s="4" t="s">
        <v>3349</v>
      </c>
      <c r="P113" s="4" t="s">
        <v>4019</v>
      </c>
      <c r="Q113" s="11" t="n">
        <f aca="false">MIN($B113,2022)</f>
        <v>2019</v>
      </c>
      <c r="R113" s="4" t="s">
        <v>3349</v>
      </c>
      <c r="S113" s="14"/>
      <c r="T113" s="14"/>
      <c r="U113" s="14"/>
      <c r="V113" s="4" t="s">
        <v>3349</v>
      </c>
      <c r="W113" s="14"/>
      <c r="X113" s="14"/>
      <c r="Y113" s="14"/>
      <c r="Z113" s="14"/>
      <c r="AA113" s="14"/>
      <c r="AB113" s="14"/>
      <c r="AC113" s="4" t="s">
        <v>3349</v>
      </c>
      <c r="AD113" s="4" t="s">
        <v>3349</v>
      </c>
      <c r="AE113" s="4" t="s">
        <v>5686</v>
      </c>
      <c r="AF113" s="4" t="s">
        <v>3999</v>
      </c>
      <c r="AG113" s="4"/>
      <c r="AH113" s="4"/>
    </row>
    <row r="114" customFormat="false" ht="15" hidden="false" customHeight="false" outlineLevel="0" collapsed="false">
      <c r="A114" s="4" t="s">
        <v>5846</v>
      </c>
      <c r="B114" s="12" t="n">
        <v>2020</v>
      </c>
      <c r="C114" s="4" t="s">
        <v>65</v>
      </c>
      <c r="D114" s="4" t="s">
        <v>5685</v>
      </c>
      <c r="E114" s="4" t="s">
        <v>3377</v>
      </c>
      <c r="F114" s="4" t="s">
        <v>3378</v>
      </c>
      <c r="G114" s="4" t="s">
        <v>109</v>
      </c>
      <c r="H114" s="4" t="s">
        <v>2070</v>
      </c>
      <c r="I114" s="4" t="s">
        <v>65</v>
      </c>
      <c r="J114" s="4" t="s">
        <v>1994</v>
      </c>
      <c r="K114" s="4" t="s">
        <v>1995</v>
      </c>
      <c r="L114" s="4" t="s">
        <v>753</v>
      </c>
      <c r="M114" s="14" t="n">
        <f aca="false">SUMIFS(PSUT_LARGA!$K$2:$K$618,PSUT_LARGA!$B$2:$B$618,$B114,PSUT_LARGA!$H$2:$H$618,$L114,PSUT_LARGA!$E$2:$E$618,$J114,PSUT_LARGA!$F$2:$F$618,$K114,PSUT_LARGA!$G$2:$G$618,$I114,PSUT_LARGA!$I$2:$I$618,$H114)</f>
        <v>304227.287</v>
      </c>
      <c r="N114" s="14" t="n">
        <f aca="false">IF($H114="TRANSFORMACION_REFINERIA",$M114*INDEX(PARAMETROS!$C$27:$C$33,MATCH($B114,PARAMETROS!$A$27:$A$33,0)),$M114)</f>
        <v>304227.287</v>
      </c>
      <c r="O114" s="4" t="s">
        <v>3349</v>
      </c>
      <c r="P114" s="4" t="s">
        <v>3344</v>
      </c>
      <c r="Q114" s="11" t="n">
        <f aca="false">MIN($B114,2022)</f>
        <v>2020</v>
      </c>
      <c r="R114" s="8" t="str">
        <f aca="false">IF(COUNT($S114:$U114)=0,"NO",IF($O114="CERO_DIRECTO","CAL",IF($B114&lt;=2022,"OBS","PRX")))</f>
        <v>NO</v>
      </c>
      <c r="S114" s="14"/>
      <c r="T114" s="14"/>
      <c r="U114" s="14"/>
      <c r="V114" s="8"/>
      <c r="W114" s="14"/>
      <c r="X114" s="14"/>
      <c r="Y114" s="14"/>
      <c r="Z114" s="14"/>
      <c r="AA114" s="14"/>
      <c r="AB114" s="14"/>
      <c r="AC114" s="4" t="s">
        <v>3349</v>
      </c>
      <c r="AD114" s="4"/>
      <c r="AE114" s="4" t="s">
        <v>5686</v>
      </c>
      <c r="AF114" s="4" t="s">
        <v>170</v>
      </c>
      <c r="AG114" s="4" t="s">
        <v>3999</v>
      </c>
      <c r="AH114" s="4"/>
    </row>
    <row r="115" customFormat="false" ht="15" hidden="false" customHeight="false" outlineLevel="0" collapsed="false">
      <c r="A115" s="4" t="s">
        <v>5847</v>
      </c>
      <c r="B115" s="12" t="n">
        <v>2020</v>
      </c>
      <c r="C115" s="4" t="s">
        <v>66</v>
      </c>
      <c r="D115" s="4" t="s">
        <v>5688</v>
      </c>
      <c r="E115" s="4" t="s">
        <v>3350</v>
      </c>
      <c r="F115" s="4" t="s">
        <v>3351</v>
      </c>
      <c r="G115" s="4" t="s">
        <v>76</v>
      </c>
      <c r="H115" s="4" t="s">
        <v>2019</v>
      </c>
      <c r="I115" s="4" t="s">
        <v>64</v>
      </c>
      <c r="J115" s="4" t="s">
        <v>1994</v>
      </c>
      <c r="K115" s="4" t="s">
        <v>65</v>
      </c>
      <c r="L115" s="4" t="s">
        <v>697</v>
      </c>
      <c r="M115" s="14" t="n">
        <f aca="false">SUMIFS(PSUT_LARGA!$K$2:$K$618,PSUT_LARGA!$B$2:$B$618,$B115,PSUT_LARGA!$H$2:$H$618,$L115,PSUT_LARGA!$E$2:$E$618,$J115,PSUT_LARGA!$F$2:$F$618,$K115,PSUT_LARGA!$G$2:$G$618,$I115,PSUT_LARGA!$I$2:$I$618,$H115)</f>
        <v>0</v>
      </c>
      <c r="N115" s="14" t="n">
        <f aca="false">IF($H115="TRANSFORMACION_REFINERIA",$M115*INDEX(PARAMETROS!$C$27:$C$33,MATCH($B115,PARAMETROS!$A$27:$A$33,0)),$M115)</f>
        <v>0</v>
      </c>
      <c r="O115" s="4" t="s">
        <v>3349</v>
      </c>
      <c r="P115" s="4" t="s">
        <v>3352</v>
      </c>
      <c r="Q115" s="11" t="n">
        <f aca="false">MIN($B115,2022)</f>
        <v>2020</v>
      </c>
      <c r="R115" s="8" t="str">
        <f aca="false">IF(COUNT($S115:$U115)=0,"NO",IF($O115="CERO_DIRECTO","CAL",IF($B115&lt;=2022,"OBS","PRX")))</f>
        <v>NO</v>
      </c>
      <c r="S115" s="14"/>
      <c r="T115" s="14"/>
      <c r="U115" s="14"/>
      <c r="V115" s="8"/>
      <c r="W115" s="14"/>
      <c r="X115" s="14"/>
      <c r="Y115" s="14"/>
      <c r="Z115" s="14"/>
      <c r="AA115" s="14"/>
      <c r="AB115" s="14"/>
      <c r="AC115" s="4" t="s">
        <v>3349</v>
      </c>
      <c r="AD115" s="4"/>
      <c r="AE115" s="4" t="s">
        <v>5686</v>
      </c>
      <c r="AF115" s="4" t="s">
        <v>170</v>
      </c>
      <c r="AG115" s="4" t="s">
        <v>3999</v>
      </c>
      <c r="AH115" s="4"/>
    </row>
    <row r="116" customFormat="false" ht="15" hidden="false" customHeight="false" outlineLevel="0" collapsed="false">
      <c r="A116" s="4" t="s">
        <v>5848</v>
      </c>
      <c r="B116" s="12" t="n">
        <v>2020</v>
      </c>
      <c r="C116" s="4" t="s">
        <v>66</v>
      </c>
      <c r="D116" s="4" t="s">
        <v>5688</v>
      </c>
      <c r="E116" s="4" t="s">
        <v>3386</v>
      </c>
      <c r="F116" s="4" t="s">
        <v>3387</v>
      </c>
      <c r="G116" s="4" t="s">
        <v>86</v>
      </c>
      <c r="H116" s="4" t="s">
        <v>2019</v>
      </c>
      <c r="I116" s="4" t="s">
        <v>64</v>
      </c>
      <c r="J116" s="4" t="s">
        <v>1994</v>
      </c>
      <c r="K116" s="4" t="s">
        <v>65</v>
      </c>
      <c r="L116" s="4" t="s">
        <v>767</v>
      </c>
      <c r="M116" s="14" t="n">
        <f aca="false">SUMIFS(PSUT_LARGA!$K$2:$K$618,PSUT_LARGA!$B$2:$B$618,$B116,PSUT_LARGA!$H$2:$H$618,$L116,PSUT_LARGA!$E$2:$E$618,$J116,PSUT_LARGA!$F$2:$F$618,$K116,PSUT_LARGA!$G$2:$G$618,$I116,PSUT_LARGA!$I$2:$I$618,$H116)</f>
        <v>16453.6876</v>
      </c>
      <c r="N116" s="14" t="n">
        <f aca="false">IF($H116="TRANSFORMACION_REFINERIA",$M116*INDEX(PARAMETROS!$C$27:$C$33,MATCH($B116,PARAMETROS!$A$27:$A$33,0)),$M116)</f>
        <v>16453.6876</v>
      </c>
      <c r="O116" s="4" t="s">
        <v>3388</v>
      </c>
      <c r="P116" s="4" t="s">
        <v>3352</v>
      </c>
      <c r="Q116" s="11" t="n">
        <f aca="false">MIN($B116,2022)</f>
        <v>2020</v>
      </c>
      <c r="R116" s="8" t="str">
        <f>IF(COUNT($S116:$U116)=0,"NO",IF($O116="CERO_DIRECTO","CAL",IF(OR($B116&gt;$Q116,COUNTIFS(DATOS_MODELO!$C$2:$C$3672,$Q116&amp;"|"&amp;$E116&amp;"|"&amp;$O116&amp;"|*",DATOS_MODELO!$F$2:$F$3672,"PRX",DATOS_MODELO!$AA$2:$AA$3672,"&lt;&gt;")&gt;0),"PRX",IF(COUNTIFS(DATOS_MODELO!$C$2:$C$3672,$Q116&amp;"|"&amp;$E116&amp;"|"&amp;$O116&amp;"|*",DATOS_MODELO!$F$2:$F$3672,"CAL",DATOS_MODELO!$AA$2:$AA$3672,"&lt;&gt;")&gt;0,"CAL","OBS"))))</f>
        <v>OBS</v>
      </c>
      <c r="S116" s="14">
        <f>IF(COUNTIFS(DATOS_MODELO!$C$2:$C$3672,$Q116&amp;"|"&amp;$E116&amp;"|"&amp;$O116&amp;"|CO2",DATOS_MODELO!$AA$2:$AA$3672,"&lt;&gt;")=0,"",INDEX(DATOS_MODELO!$AA$2:$AA$3672,MATCH($Q116&amp;"|"&amp;$E116&amp;"|"&amp;$O116&amp;"|CO2",DATOS_MODELO!$C$2:$C$3672,0)))</f>
        <v>0.00676930319255606</v>
      </c>
      <c r="T116" s="14">
        <f>IF(COUNTIFS(DATOS_MODELO!$C$2:$C$3672,$Q116&amp;"|"&amp;$E116&amp;"|"&amp;$O116&amp;"|CH4",DATOS_MODELO!$AA$2:$AA$3672,"&lt;&gt;")=0,"",INDEX(DATOS_MODELO!$AA$2:$AA$3672,MATCH($Q116&amp;"|"&amp;$E116&amp;"|"&amp;$O116&amp;"|CH4",DATOS_MODELO!$C$2:$C$3672,0)))</f>
        <v>0.0928776598383939</v>
      </c>
      <c r="U116" s="14"/>
      <c r="V116" s="8"/>
      <c r="W116" s="14"/>
      <c r="X116" s="14">
        <f>IF($P116="BIOGENICO",0,IF(ISNUMBER($S116),$N116*$S116/PARAMETROS!$B$8,""))</f>
        <v>0.00011138</v>
      </c>
      <c r="Y116" s="14">
        <f>IF($P116="BIOGENICO",IF(ISNUMBER($S116),$N116*$S116/PARAMETROS!$B$8,""),0)</f>
        <v>0.0</v>
      </c>
      <c r="Z116" s="14">
        <f>IF(ISNUMBER($T116),$N116*$T116/PARAMETROS!$B$8,"")</f>
        <v>0.00152818</v>
      </c>
      <c r="AA116" s="14" t="str">
        <f>IF($U116="","",$N116*$U116/PARAMETROS!$B$8)</f>
        <v/>
      </c>
      <c r="AB116" s="14">
        <f>IF($AA116="",$X116+$Z116*PARAMETROS!$B$9,$X116+$Z116*PARAMETROS!$B$9+$AA116*PARAMETROS!$B$10)</f>
        <v>0.04290042</v>
      </c>
      <c r="AC116" s="4" t="s">
        <v>1990</v>
      </c>
      <c r="AD116" s="4"/>
      <c r="AE116" s="4" t="s">
        <v>5690</v>
      </c>
      <c r="AF116" s="4" t="s">
        <v>170</v>
      </c>
      <c r="AG116" s="4" t="s">
        <v>3999</v>
      </c>
      <c r="AH116" s="4" t="inlineStr">
        <is>
          <t>CO2e parcial: N2O sin factor numérico; el total incluye solo los gases cuantificados.</t>
        </is>
      </c>
    </row>
    <row r="117" customFormat="false" ht="15" hidden="false" customHeight="false" outlineLevel="0" collapsed="false">
      <c r="A117" s="4" t="s">
        <v>5849</v>
      </c>
      <c r="B117" s="12" t="n">
        <v>2020</v>
      </c>
      <c r="C117" s="4" t="s">
        <v>67</v>
      </c>
      <c r="D117" s="4" t="s">
        <v>5685</v>
      </c>
      <c r="E117" s="4" t="s">
        <v>3341</v>
      </c>
      <c r="F117" s="4" t="s">
        <v>3342</v>
      </c>
      <c r="G117" s="4" t="s">
        <v>91</v>
      </c>
      <c r="H117" s="4" t="s">
        <v>2003</v>
      </c>
      <c r="I117" s="4" t="s">
        <v>67</v>
      </c>
      <c r="J117" s="4" t="s">
        <v>2001</v>
      </c>
      <c r="K117" s="4" t="s">
        <v>2002</v>
      </c>
      <c r="L117" s="4" t="s">
        <v>674</v>
      </c>
      <c r="M117" s="14" t="n">
        <f aca="false">SUMIFS(PSUT_LARGA!$K$2:$K$618,PSUT_LARGA!$B$2:$B$618,$B117,PSUT_LARGA!$H$2:$H$618,$L117,PSUT_LARGA!$E$2:$E$618,$J117,PSUT_LARGA!$F$2:$F$618,$K117,PSUT_LARGA!$G$2:$G$618,$I117,PSUT_LARGA!$I$2:$I$618,$H117)</f>
        <v>46712.1095</v>
      </c>
      <c r="N117" s="14" t="n">
        <f aca="false">IF($H117="TRANSFORMACION_REFINERIA",$M117*INDEX(PARAMETROS!$C$27:$C$33,MATCH($B117,PARAMETROS!$A$27:$A$33,0)),$M117)</f>
        <v>46712.1095</v>
      </c>
      <c r="O117" s="4" t="inlineStr">
        <is>
          <t>COMB_BCANA</t>
        </is>
      </c>
      <c r="P117" s="4" t="s">
        <v>3344</v>
      </c>
      <c r="Q117" s="11" t="n">
        <f aca="false">MIN($B117,2022)</f>
        <v>2020</v>
      </c>
      <c r="R117" s="8" t="str">
        <f>IF(COUNT($S117:$U117)=0,"NO",IF($O117="CERO_DIRECTO","CAL",IF(OR($B117&gt;$Q117,COUNTIFS(DATOS_MODELO!$C$2:$C$3672,$Q117&amp;"|"&amp;$E117&amp;"|"&amp;$O117&amp;"|*",DATOS_MODELO!$F$2:$F$3672,"PRX",DATOS_MODELO!$AA$2:$AA$3672,"&lt;&gt;")&gt;0),"PRX",IF(COUNTIFS(DATOS_MODELO!$C$2:$C$3672,$Q117&amp;"|"&amp;$E117&amp;"|"&amp;$O117&amp;"|*",DATOS_MODELO!$F$2:$F$3672,"CAL",DATOS_MODELO!$AA$2:$AA$3672,"&lt;&gt;")&gt;0,"CAL","OBS"))))</f>
        <v>PRX</v>
      </c>
      <c r="S117" s="14">
        <f>IF(COUNTIFS(DATOS_MODELO!$C$2:$C$3672,$Q117&amp;"|"&amp;$E117&amp;"|"&amp;$O117&amp;"|CO2",DATOS_MODELO!$AA$2:$AA$3672,"&lt;&gt;")=0,"",INDEX(DATOS_MODELO!$AA$2:$AA$3672,MATCH($Q117&amp;"|"&amp;$E117&amp;"|"&amp;$O117&amp;"|CO2",DATOS_MODELO!$C$2:$C$3672,0)))</f>
        <v>100000.0</v>
      </c>
      <c r="T117" s="14">
        <f>IF(COUNTIFS(DATOS_MODELO!$C$2:$C$3672,$Q117&amp;"|"&amp;$E117&amp;"|"&amp;$O117&amp;"|CH4",DATOS_MODELO!$AA$2:$AA$3672,"&lt;&gt;")=0,"",INDEX(DATOS_MODELO!$AA$2:$AA$3672,MATCH($Q117&amp;"|"&amp;$E117&amp;"|"&amp;$O117&amp;"|CH4",DATOS_MODELO!$C$2:$C$3672,0)))</f>
        <v>30.0</v>
      </c>
      <c r="U117" s="14">
        <f>IF(COUNTIFS(DATOS_MODELO!$C$2:$C$3672,$Q117&amp;"|"&amp;$E117&amp;"|"&amp;$O117&amp;"|N2O",DATOS_MODELO!$AA$2:$AA$3672,"&lt;&gt;")=0,"",INDEX(DATOS_MODELO!$AA$2:$AA$3672,MATCH($Q117&amp;"|"&amp;$E117&amp;"|"&amp;$O117&amp;"|N2O",DATOS_MODELO!$C$2:$C$3672,0)))</f>
        <v>4.0</v>
      </c>
      <c r="V117" s="8"/>
      <c r="W117" s="14"/>
      <c r="X117" s="14">
        <f>IF($P117="BIOGENICO",0,IF(ISNUMBER($S117),$N117*$S117/PARAMETROS!$B$8,""))</f>
        <v>0.0</v>
      </c>
      <c r="Y117" s="14">
        <f>IF($P117="BIOGENICO",IF(ISNUMBER($S117),$N117*$S117/PARAMETROS!$B$8,""),0)</f>
        <v>4671.21095</v>
      </c>
      <c r="Z117" s="14">
        <f>IF(ISNUMBER($T117),$N117*$T117/PARAMETROS!$B$8,"")</f>
        <v>1.401363285</v>
      </c>
      <c r="AA117" s="14">
        <f>IF(ISNUMBER($U117),$N117*$U117/PARAMETROS!$B$8,"")</f>
        <v>0.186848438</v>
      </c>
      <c r="AB117" s="14">
        <f>IF(COUNT($X117,$Z117,$AA117)=0,"",SUM($X117,IF(ISNUMBER($Z117),$Z117*PARAMETROS!$B$9,0),IF(ISNUMBER($AA117),$AA117*PARAMETROS!$B$10,0)))</f>
        <v>88.75300805</v>
      </c>
      <c r="AC117" s="4" t="s">
        <v>1990</v>
      </c>
      <c r="AD117" s="4"/>
      <c r="AE117" s="4" t="s">
        <v>5690</v>
      </c>
      <c r="AF117" s="4" t="s">
        <v>170</v>
      </c>
      <c r="AG117" s="4" t="inlineStr">
        <is>
          <t>MARN_GTM_BTR1_2024</t>
        </is>
      </c>
      <c r="AH117" s="4" t="inlineStr">
        <is>
          <t>Origen de factores: CO2: MARN_GTM_BTR1_2024 [PRX; BTR1 Guatemala 2024, tabla 3.6, p. 48; fila Otra biomasa sólida primaria; gas CO2]; CH4: MARN_GTM_BTR1_2024 [PRX; BTR1 Guatemala 2024, tabla 3.17, p. 57; fila Otra biomasa sólida primaria; gas CH4]; N2O: MARN_GTM_BTR1_2024 [PRX; BTR1 Guatemala 2024, tabla 3.17, p. 57; fila Otra biomasa sólida primaria; gas N2O].</t>
        </is>
      </c>
    </row>
    <row r="118" customFormat="false" ht="15" hidden="false" customHeight="false" outlineLevel="0" collapsed="false">
      <c r="A118" s="4" t="s">
        <v>5850</v>
      </c>
      <c r="B118" s="12" t="n">
        <v>2020</v>
      </c>
      <c r="C118" s="4" t="s">
        <v>67</v>
      </c>
      <c r="D118" s="4" t="s">
        <v>5685</v>
      </c>
      <c r="E118" s="4" t="s">
        <v>3341</v>
      </c>
      <c r="F118" s="4" t="s">
        <v>3342</v>
      </c>
      <c r="G118" s="4" t="s">
        <v>91</v>
      </c>
      <c r="H118" s="4" t="s">
        <v>2008</v>
      </c>
      <c r="I118" s="4" t="s">
        <v>67</v>
      </c>
      <c r="J118" s="4" t="s">
        <v>2001</v>
      </c>
      <c r="K118" s="4" t="s">
        <v>2002</v>
      </c>
      <c r="L118" s="4" t="s">
        <v>675</v>
      </c>
      <c r="M118" s="14" t="n">
        <f aca="false">SUMIFS(PSUT_LARGA!$K$2:$K$618,PSUT_LARGA!$B$2:$B$618,$B118,PSUT_LARGA!$H$2:$H$618,$L118,PSUT_LARGA!$E$2:$E$618,$J118,PSUT_LARGA!$F$2:$F$618,$K118,PSUT_LARGA!$G$2:$G$618,$I118,PSUT_LARGA!$I$2:$I$618,$H118)</f>
        <v>6622.238</v>
      </c>
      <c r="N118" s="14" t="n">
        <f aca="false">IF($H118="TRANSFORMACION_REFINERIA",$M118*INDEX(PARAMETROS!$C$27:$C$33,MATCH($B118,PARAMETROS!$A$27:$A$33,0)),$M118)</f>
        <v>6622.238</v>
      </c>
      <c r="O118" s="4" t="inlineStr">
        <is>
          <t>COMB_BCANA</t>
        </is>
      </c>
      <c r="P118" s="4" t="s">
        <v>3344</v>
      </c>
      <c r="Q118" s="11" t="n">
        <f aca="false">MIN($B118,2022)</f>
        <v>2020</v>
      </c>
      <c r="R118" s="8" t="str">
        <f>IF(COUNT($S118:$U118)=0,"NO",IF($O118="CERO_DIRECTO","CAL",IF(OR($B118&gt;$Q118,COUNTIFS(DATOS_MODELO!$C$2:$C$3672,$Q118&amp;"|"&amp;$E118&amp;"|"&amp;$O118&amp;"|*",DATOS_MODELO!$F$2:$F$3672,"PRX",DATOS_MODELO!$AA$2:$AA$3672,"&lt;&gt;")&gt;0),"PRX",IF(COUNTIFS(DATOS_MODELO!$C$2:$C$3672,$Q118&amp;"|"&amp;$E118&amp;"|"&amp;$O118&amp;"|*",DATOS_MODELO!$F$2:$F$3672,"CAL",DATOS_MODELO!$AA$2:$AA$3672,"&lt;&gt;")&gt;0,"CAL","OBS"))))</f>
        <v>PRX</v>
      </c>
      <c r="S118" s="14">
        <f>IF(COUNTIFS(DATOS_MODELO!$C$2:$C$3672,$Q118&amp;"|"&amp;$E118&amp;"|"&amp;$O118&amp;"|CO2",DATOS_MODELO!$AA$2:$AA$3672,"&lt;&gt;")=0,"",INDEX(DATOS_MODELO!$AA$2:$AA$3672,MATCH($Q118&amp;"|"&amp;$E118&amp;"|"&amp;$O118&amp;"|CO2",DATOS_MODELO!$C$2:$C$3672,0)))</f>
        <v>100000.0</v>
      </c>
      <c r="T118" s="14">
        <f>IF(COUNTIFS(DATOS_MODELO!$C$2:$C$3672,$Q118&amp;"|"&amp;$E118&amp;"|"&amp;$O118&amp;"|CH4",DATOS_MODELO!$AA$2:$AA$3672,"&lt;&gt;")=0,"",INDEX(DATOS_MODELO!$AA$2:$AA$3672,MATCH($Q118&amp;"|"&amp;$E118&amp;"|"&amp;$O118&amp;"|CH4",DATOS_MODELO!$C$2:$C$3672,0)))</f>
        <v>30.0</v>
      </c>
      <c r="U118" s="14">
        <f>IF(COUNTIFS(DATOS_MODELO!$C$2:$C$3672,$Q118&amp;"|"&amp;$E118&amp;"|"&amp;$O118&amp;"|N2O",DATOS_MODELO!$AA$2:$AA$3672,"&lt;&gt;")=0,"",INDEX(DATOS_MODELO!$AA$2:$AA$3672,MATCH($Q118&amp;"|"&amp;$E118&amp;"|"&amp;$O118&amp;"|N2O",DATOS_MODELO!$C$2:$C$3672,0)))</f>
        <v>4.0</v>
      </c>
      <c r="V118" s="8"/>
      <c r="W118" s="14"/>
      <c r="X118" s="14">
        <f>IF($P118="BIOGENICO",0,IF(ISNUMBER($S118),$N118*$S118/PARAMETROS!$B$8,""))</f>
        <v>0.0</v>
      </c>
      <c r="Y118" s="14">
        <f>IF($P118="BIOGENICO",IF(ISNUMBER($S118),$N118*$S118/PARAMETROS!$B$8,""),0)</f>
        <v>662.2238</v>
      </c>
      <c r="Z118" s="14">
        <f>IF(ISNUMBER($T118),$N118*$T118/PARAMETROS!$B$8,"")</f>
        <v>0.19866714</v>
      </c>
      <c r="AA118" s="14">
        <f>IF(ISNUMBER($U118),$N118*$U118/PARAMETROS!$B$8,"")</f>
        <v>0.026488952</v>
      </c>
      <c r="AB118" s="14">
        <f>IF(COUNT($X118,$Z118,$AA118)=0,"",SUM($X118,IF(ISNUMBER($Z118),$Z118*PARAMETROS!$B$9,0),IF(ISNUMBER($AA118),$AA118*PARAMETROS!$B$10,0)))</f>
        <v>12.5822522</v>
      </c>
      <c r="AC118" s="4" t="s">
        <v>1990</v>
      </c>
      <c r="AD118" s="4"/>
      <c r="AE118" s="4" t="s">
        <v>5690</v>
      </c>
      <c r="AF118" s="4" t="s">
        <v>170</v>
      </c>
      <c r="AG118" s="4" t="inlineStr">
        <is>
          <t>MARN_GTM_BTR1_2024</t>
        </is>
      </c>
      <c r="AH118" s="4" t="inlineStr">
        <is>
          <t>Origen de factores: CO2: MARN_GTM_BTR1_2024 [PRX; BTR1 Guatemala 2024, tabla 3.6, p. 48; fila Otra biomasa sólida primaria; gas CO2]; CH4: MARN_GTM_BTR1_2024 [PRX; BTR1 Guatemala 2024, tabla 3.17, p. 57; fila Otra biomasa sólida primaria; gas CH4]; N2O: MARN_GTM_BTR1_2024 [PRX; BTR1 Guatemala 2024, tabla 3.17, p. 57; fila Otra biomasa sólida primaria; gas N2O].</t>
        </is>
      </c>
    </row>
    <row r="119" customFormat="false" ht="15" hidden="false" customHeight="false" outlineLevel="0" collapsed="false">
      <c r="A119" s="4" t="s">
        <v>5851</v>
      </c>
      <c r="B119" s="12" t="n">
        <v>2020</v>
      </c>
      <c r="C119" s="4" t="s">
        <v>67</v>
      </c>
      <c r="D119" s="4" t="s">
        <v>5685</v>
      </c>
      <c r="E119" s="4" t="s">
        <v>3341</v>
      </c>
      <c r="F119" s="4" t="s">
        <v>3342</v>
      </c>
      <c r="G119" s="4" t="s">
        <v>93</v>
      </c>
      <c r="H119" s="4" t="s">
        <v>2003</v>
      </c>
      <c r="I119" s="4" t="s">
        <v>67</v>
      </c>
      <c r="J119" s="4" t="s">
        <v>2001</v>
      </c>
      <c r="K119" s="4" t="s">
        <v>2002</v>
      </c>
      <c r="L119" s="4" t="s">
        <v>688</v>
      </c>
      <c r="M119" s="14" t="n">
        <f aca="false">SUMIFS(PSUT_LARGA!$K$2:$K$618,PSUT_LARGA!$B$2:$B$618,$B119,PSUT_LARGA!$H$2:$H$618,$L119,PSUT_LARGA!$E$2:$E$618,$J119,PSUT_LARGA!$F$2:$F$618,$K119,PSUT_LARGA!$G$2:$G$618,$I119,PSUT_LARGA!$I$2:$I$618,$H119)</f>
        <v>285.3291</v>
      </c>
      <c r="N119" s="14" t="n">
        <f aca="false">IF($H119="TRANSFORMACION_REFINERIA",$M119*INDEX(PARAMETROS!$C$27:$C$33,MATCH($B119,PARAMETROS!$A$27:$A$33,0)),$M119)</f>
        <v>285.3291</v>
      </c>
      <c r="O119" s="4" t="inlineStr">
        <is>
          <t>COMB_BIOGAS</t>
        </is>
      </c>
      <c r="P119" s="4" t="s">
        <v>3344</v>
      </c>
      <c r="Q119" s="11" t="n">
        <f aca="false">MIN($B119,2022)</f>
        <v>2020</v>
      </c>
      <c r="R119" s="8" t="str">
        <f>IF(COUNT($S119:$U119)=0,"NO",IF($O119="CERO_DIRECTO","CAL",IF(OR($B119&gt;$Q119,COUNTIFS(DATOS_MODELO!$C$2:$C$3672,$Q119&amp;"|"&amp;$E119&amp;"|"&amp;$O119&amp;"|*",DATOS_MODELO!$F$2:$F$3672,"PRX",DATOS_MODELO!$AA$2:$AA$3672,"&lt;&gt;")&gt;0),"PRX",IF(COUNTIFS(DATOS_MODELO!$C$2:$C$3672,$Q119&amp;"|"&amp;$E119&amp;"|"&amp;$O119&amp;"|*",DATOS_MODELO!$F$2:$F$3672,"CAL",DATOS_MODELO!$AA$2:$AA$3672,"&lt;&gt;")&gt;0,"CAL","OBS"))))</f>
        <v>PRX</v>
      </c>
      <c r="S119" s="14">
        <f>IF(COUNTIFS(DATOS_MODELO!$C$2:$C$3672,$Q119&amp;"|"&amp;$E119&amp;"|"&amp;$O119&amp;"|CO2",DATOS_MODELO!$AA$2:$AA$3672,"&lt;&gt;")=0,"",INDEX(DATOS_MODELO!$AA$2:$AA$3672,MATCH($Q119&amp;"|"&amp;$E119&amp;"|"&amp;$O119&amp;"|CO2",DATOS_MODELO!$C$2:$C$3672,0)))</f>
        <v>54600.0</v>
      </c>
      <c r="T119" s="14">
        <f>IF(COUNTIFS(DATOS_MODELO!$C$2:$C$3672,$Q119&amp;"|"&amp;$E119&amp;"|"&amp;$O119&amp;"|CH4",DATOS_MODELO!$AA$2:$AA$3672,"&lt;&gt;")=0,"",INDEX(DATOS_MODELO!$AA$2:$AA$3672,MATCH($Q119&amp;"|"&amp;$E119&amp;"|"&amp;$O119&amp;"|CH4",DATOS_MODELO!$C$2:$C$3672,0)))</f>
        <v>1.0</v>
      </c>
      <c r="U119" s="14">
        <f>IF(COUNTIFS(DATOS_MODELO!$C$2:$C$3672,$Q119&amp;"|"&amp;$E119&amp;"|"&amp;$O119&amp;"|N2O",DATOS_MODELO!$AA$2:$AA$3672,"&lt;&gt;")=0,"",INDEX(DATOS_MODELO!$AA$2:$AA$3672,MATCH($Q119&amp;"|"&amp;$E119&amp;"|"&amp;$O119&amp;"|N2O",DATOS_MODELO!$C$2:$C$3672,0)))</f>
        <v>0.1</v>
      </c>
      <c r="V119" s="8"/>
      <c r="W119" s="14"/>
      <c r="X119" s="14">
        <f>IF($P119="BIOGENICO",0,IF(ISNUMBER($S119),$N119*$S119/PARAMETROS!$B$8,""))</f>
        <v>0.0</v>
      </c>
      <c r="Y119" s="14">
        <f>IF($P119="BIOGENICO",IF(ISNUMBER($S119),$N119*$S119/PARAMETROS!$B$8,""),0)</f>
        <v>15.57896886</v>
      </c>
      <c r="Z119" s="14">
        <f>IF(ISNUMBER($T119),$N119*$T119/PARAMETROS!$B$8,"")</f>
        <v>0.0002853291</v>
      </c>
      <c r="AA119" s="14">
        <f>IF(ISNUMBER($U119),$N119*$U119/PARAMETROS!$B$8,"")</f>
        <v>2.853291e-05</v>
      </c>
      <c r="AB119" s="14">
        <f>IF(COUNT($X119,$Z119,$AA119)=0,"",SUM($X119,IF(ISNUMBER($Z119),$Z119*PARAMETROS!$B$9,0),IF(ISNUMBER($AA119),$AA119*PARAMETROS!$B$10,0)))</f>
        <v>0.01555043595</v>
      </c>
      <c r="AC119" s="4" t="s">
        <v>1990</v>
      </c>
      <c r="AD119" s="4"/>
      <c r="AE119" s="4" t="s">
        <v>5690</v>
      </c>
      <c r="AF119" s="4" t="s">
        <v>170</v>
      </c>
      <c r="AG119" s="4" t="inlineStr">
        <is>
          <t>MARN_GTM_BTR1_2024</t>
        </is>
      </c>
      <c r="AH119" s="4" t="inlineStr">
        <is>
          <t>Origen de factores: CO2: MARN_GTM_BTR1_2024 [PRX; BTR1 Guatemala 2024, tabla 3.6, p. 48; fila Gas de vertedero; gas CO2]; CH4: MARN_GTM_BTR1_2024 [PRX; BTR1 Guatemala 2024, tabla 3.17, p. 57; fila Gas de vertedero; gas CH4]; N2O: MARN_GTM_BTR1_2024 [PRX; BTR1 Guatemala 2024, tabla 3.17, p. 57; fila Gas de vertedero; gas N2O].</t>
        </is>
      </c>
    </row>
    <row r="120" customFormat="false" ht="15" hidden="false" customHeight="false" outlineLevel="0" collapsed="false">
      <c r="A120" s="4" t="s">
        <v>5852</v>
      </c>
      <c r="B120" s="12" t="n">
        <v>2020</v>
      </c>
      <c r="C120" s="4" t="s">
        <v>67</v>
      </c>
      <c r="D120" s="4" t="s">
        <v>5685</v>
      </c>
      <c r="E120" s="4" t="s">
        <v>3341</v>
      </c>
      <c r="F120" s="4" t="s">
        <v>3342</v>
      </c>
      <c r="G120" s="4" t="s">
        <v>76</v>
      </c>
      <c r="H120" s="4" t="s">
        <v>2003</v>
      </c>
      <c r="I120" s="4" t="s">
        <v>67</v>
      </c>
      <c r="J120" s="4" t="s">
        <v>2001</v>
      </c>
      <c r="K120" s="4" t="s">
        <v>2002</v>
      </c>
      <c r="L120" s="4" t="s">
        <v>702</v>
      </c>
      <c r="M120" s="14" t="n">
        <f aca="false">SUMIFS(PSUT_LARGA!$K$2:$K$618,PSUT_LARGA!$B$2:$B$618,$B120,PSUT_LARGA!$H$2:$H$618,$L120,PSUT_LARGA!$E$2:$E$618,$J120,PSUT_LARGA!$F$2:$F$618,$K120,PSUT_LARGA!$G$2:$G$618,$I120,PSUT_LARGA!$I$2:$I$618,$H120)</f>
        <v>32635.7577</v>
      </c>
      <c r="N120" s="14" t="n">
        <f aca="false">IF($H120="TRANSFORMACION_REFINERIA",$M120*INDEX(PARAMETROS!$C$27:$C$33,MATCH($B120,PARAMETROS!$A$27:$A$33,0)),$M120)</f>
        <v>32635.7577</v>
      </c>
      <c r="O120" s="4" t="inlineStr">
        <is>
          <t>COMB_CRBN</t>
        </is>
      </c>
      <c r="P120" s="4" t="s">
        <v>3352</v>
      </c>
      <c r="Q120" s="11" t="n">
        <f aca="false">MIN($B120,2022)</f>
        <v>2020</v>
      </c>
      <c r="R120" s="8" t="str">
        <f>IF(COUNT($S120:$U120)=0,"NO",IF($O120="CERO_DIRECTO","CAL",IF(OR($B120&gt;$Q120,COUNTIFS(DATOS_MODELO!$C$2:$C$3672,$Q120&amp;"|"&amp;$E120&amp;"|"&amp;$O120&amp;"|*",DATOS_MODELO!$F$2:$F$3672,"PRX",DATOS_MODELO!$AA$2:$AA$3672,"&lt;&gt;")&gt;0),"PRX",IF(COUNTIFS(DATOS_MODELO!$C$2:$C$3672,$Q120&amp;"|"&amp;$E120&amp;"|"&amp;$O120&amp;"|*",DATOS_MODELO!$F$2:$F$3672,"CAL",DATOS_MODELO!$AA$2:$AA$3672,"&lt;&gt;")&gt;0,"CAL","OBS"))))</f>
        <v>PRX</v>
      </c>
      <c r="S120" s="14">
        <f>IF(COUNTIFS(DATOS_MODELO!$C$2:$C$3672,$Q120&amp;"|"&amp;$E120&amp;"|"&amp;$O120&amp;"|CO2",DATOS_MODELO!$AA$2:$AA$3672,"&lt;&gt;")=0,"",INDEX(DATOS_MODELO!$AA$2:$AA$3672,MATCH($Q120&amp;"|"&amp;$E120&amp;"|"&amp;$O120&amp;"|CO2",DATOS_MODELO!$C$2:$C$3672,0)))</f>
        <v>98300.0</v>
      </c>
      <c r="T120" s="14">
        <f>IF(COUNTIFS(DATOS_MODELO!$C$2:$C$3672,$Q120&amp;"|"&amp;$E120&amp;"|"&amp;$O120&amp;"|CH4",DATOS_MODELO!$AA$2:$AA$3672,"&lt;&gt;")=0,"",INDEX(DATOS_MODELO!$AA$2:$AA$3672,MATCH($Q120&amp;"|"&amp;$E120&amp;"|"&amp;$O120&amp;"|CH4",DATOS_MODELO!$C$2:$C$3672,0)))</f>
        <v>1.0</v>
      </c>
      <c r="U120" s="14">
        <f>IF(COUNTIFS(DATOS_MODELO!$C$2:$C$3672,$Q120&amp;"|"&amp;$E120&amp;"|"&amp;$O120&amp;"|N2O",DATOS_MODELO!$AA$2:$AA$3672,"&lt;&gt;")=0,"",INDEX(DATOS_MODELO!$AA$2:$AA$3672,MATCH($Q120&amp;"|"&amp;$E120&amp;"|"&amp;$O120&amp;"|N2O",DATOS_MODELO!$C$2:$C$3672,0)))</f>
        <v>1.5</v>
      </c>
      <c r="V120" s="8"/>
      <c r="W120" s="14"/>
      <c r="X120" s="14">
        <f>IF($P120="BIOGENICO",0,IF(ISNUMBER($S120),$N120*$S120/PARAMETROS!$B$8,""))</f>
        <v>3208.09498191</v>
      </c>
      <c r="Y120" s="14">
        <f>IF($P120="BIOGENICO",IF(ISNUMBER($S120),$N120*$S120/PARAMETROS!$B$8,""),0)</f>
        <v>0.0</v>
      </c>
      <c r="Z120" s="14">
        <f>IF(ISNUMBER($T120),$N120*$T120/PARAMETROS!$B$8,"")</f>
        <v>0.0326357577</v>
      </c>
      <c r="AA120" s="14">
        <f>IF(ISNUMBER($U120),$N120*$U120/PARAMETROS!$B$8,"")</f>
        <v>0.04895363655</v>
      </c>
      <c r="AB120" s="14">
        <f>IF(COUNT($X120,$Z120,$AA120)=0,"",SUM($X120,IF(ISNUMBER($Z120),$Z120*PARAMETROS!$B$9,0),IF(ISNUMBER($AA120),$AA120*PARAMETROS!$B$10,0)))</f>
        <v>3221.98149681135</v>
      </c>
      <c r="AC120" s="4" t="s">
        <v>1990</v>
      </c>
      <c r="AD120" s="4"/>
      <c r="AE120" s="4" t="s">
        <v>5690</v>
      </c>
      <c r="AF120" s="4" t="s">
        <v>170</v>
      </c>
      <c r="AG120" s="4" t="inlineStr">
        <is>
          <t>MARN_GTM_BTR1_2024</t>
        </is>
      </c>
      <c r="AH120" s="4" t="inlineStr">
        <is>
          <t>Origen de factores: CO2: MARN_GTM_BTR1_2024 [PRX; BTR1 Guatemala 2024, tabla 3.6, p. 48; fila Otro carbón bituminoso*; gas CO2]; CH4: MARN_GTM_BTR1_2024 [PRX; BTR1 Guatemala 2024, tabla 3.17, p. 57; fila Otro carbón bituminoso; gas CH4]; N2O: MARN_GTM_BTR1_2024 [PRX; BTR1 Guatemala 2024, tabla 3.17, p. 57; fila Otro carbón bituminoso; gas N2O].</t>
        </is>
      </c>
    </row>
    <row r="121" customFormat="false" ht="23.85" hidden="false" customHeight="false" outlineLevel="0" collapsed="false">
      <c r="A121" s="4" t="s">
        <v>5853</v>
      </c>
      <c r="B121" s="12" t="n">
        <v>2020</v>
      </c>
      <c r="C121" s="4" t="s">
        <v>67</v>
      </c>
      <c r="D121" s="4" t="s">
        <v>5685</v>
      </c>
      <c r="E121" s="4" t="s">
        <v>3341</v>
      </c>
      <c r="F121" s="4" t="s">
        <v>3342</v>
      </c>
      <c r="G121" s="4" t="s">
        <v>78</v>
      </c>
      <c r="H121" s="4" t="s">
        <v>2003</v>
      </c>
      <c r="I121" s="4" t="s">
        <v>67</v>
      </c>
      <c r="J121" s="4" t="s">
        <v>2001</v>
      </c>
      <c r="K121" s="4" t="s">
        <v>66</v>
      </c>
      <c r="L121" s="4" t="s">
        <v>716</v>
      </c>
      <c r="M121" s="14" t="n">
        <f aca="false">SUMIFS(PSUT_LARGA!$K$2:$K$618,PSUT_LARGA!$B$2:$B$618,$B121,PSUT_LARGA!$H$2:$H$618,$L121,PSUT_LARGA!$E$2:$E$618,$J121,PSUT_LARGA!$F$2:$F$618,$K121,PSUT_LARGA!$G$2:$G$618,$I121,PSUT_LARGA!$I$2:$I$618,$H121)</f>
        <v>1141.2002</v>
      </c>
      <c r="N121" s="14" t="n">
        <f aca="false">IF($H121="TRANSFORMACION_REFINERIA",$M121*INDEX(PARAMETROS!$C$27:$C$33,MATCH($B121,PARAMETROS!$A$27:$A$33,0)),$M121)</f>
        <v>1141.2002</v>
      </c>
      <c r="O121" s="4" t="s">
        <v>3362</v>
      </c>
      <c r="P121" s="4" t="s">
        <v>3363</v>
      </c>
      <c r="Q121" s="11" t="n">
        <f aca="false">MIN($B121,2022)</f>
        <v>2020</v>
      </c>
      <c r="R121" s="8" t="str">
        <f>IF(COUNT($S121:$U121)=0,"NO",IF($O121="CERO_DIRECTO","CAL",IF(OR($B121&gt;$Q121,COUNTIFS(DATOS_MODELO!$C$2:$C$3672,$Q121&amp;"|"&amp;$E121&amp;"|"&amp;$O121&amp;"|*",DATOS_MODELO!$F$2:$F$3672,"PRX",DATOS_MODELO!$AA$2:$AA$3672,"&lt;&gt;")&gt;0),"PRX",IF(COUNTIFS(DATOS_MODELO!$C$2:$C$3672,$Q121&amp;"|"&amp;$E121&amp;"|"&amp;$O121&amp;"|*",DATOS_MODELO!$F$2:$F$3672,"CAL",DATOS_MODELO!$AA$2:$AA$3672,"&lt;&gt;")&gt;0,"CAL","OBS"))))</f>
        <v>CAL</v>
      </c>
      <c r="S121" s="14">
        <f>IF(COUNTIFS(DATOS_MODELO!$C$2:$C$3672,$Q121&amp;"|"&amp;$E121&amp;"|"&amp;$O121&amp;"|CO2",DATOS_MODELO!$AA$2:$AA$3672,"&lt;&gt;")=0,"",INDEX(DATOS_MODELO!$AA$2:$AA$3672,MATCH($Q121&amp;"|"&amp;$E121&amp;"|"&amp;$O121&amp;"|CO2",DATOS_MODELO!$C$2:$C$3672,0)))</f>
        <v>0.0</v>
      </c>
      <c r="T121" s="14">
        <f>IF(COUNTIFS(DATOS_MODELO!$C$2:$C$3672,$Q121&amp;"|"&amp;$E121&amp;"|"&amp;$O121&amp;"|CH4",DATOS_MODELO!$AA$2:$AA$3672,"&lt;&gt;")=0,"",INDEX(DATOS_MODELO!$AA$2:$AA$3672,MATCH($Q121&amp;"|"&amp;$E121&amp;"|"&amp;$O121&amp;"|CH4",DATOS_MODELO!$C$2:$C$3672,0)))</f>
        <v>0.0</v>
      </c>
      <c r="U121" s="14">
        <f>IF(COUNTIFS(DATOS_MODELO!$C$2:$C$3672,$Q121&amp;"|"&amp;$E121&amp;"|"&amp;$O121&amp;"|N2O",DATOS_MODELO!$AA$2:$AA$3672,"&lt;&gt;")=0,"",INDEX(DATOS_MODELO!$AA$2:$AA$3672,MATCH($Q121&amp;"|"&amp;$E121&amp;"|"&amp;$O121&amp;"|N2O",DATOS_MODELO!$C$2:$C$3672,0)))</f>
        <v>0.0</v>
      </c>
      <c r="V121" s="8"/>
      <c r="W121" s="14"/>
      <c r="X121" s="14">
        <f>IF($P121="BIOGENICO",0,IF(ISNUMBER($S121),$N121*$S121/PARAMETROS!$B$8,""))</f>
        <v>0.0</v>
      </c>
      <c r="Y121" s="14">
        <f>IF($P121="BIOGENICO",IF(ISNUMBER($S121),$N121*$S121/PARAMETROS!$B$8,""),0)</f>
        <v>0.0</v>
      </c>
      <c r="Z121" s="14">
        <f>IF(ISNUMBER($T121),$N121*$T121/PARAMETROS!$B$8,"")</f>
        <v>0.0</v>
      </c>
      <c r="AA121" s="14">
        <f>IF(ISNUMBER($U121),$N121*$U121/PARAMETROS!$B$8,"")</f>
        <v>0.0</v>
      </c>
      <c r="AB121" s="14">
        <f>IF(COUNT($X121,$Z121,$AA121)=0,"",SUM($X121,IF(ISNUMBER($Z121),$Z121*PARAMETROS!$B$9,0),IF(ISNUMBER($AA121),$AA121*PARAMETROS!$B$10,0)))</f>
        <v>0.0</v>
      </c>
      <c r="AC121" s="4" t="s">
        <v>1990</v>
      </c>
      <c r="AD121" s="4"/>
      <c r="AE121" s="4" t="s">
        <v>3362</v>
      </c>
      <c r="AF121" s="4" t="s">
        <v>170</v>
      </c>
      <c r="AG121" s="4" t="inlineStr">
        <is>
          <t>METODO_EMISIONES</t>
        </is>
      </c>
      <c r="AH121" s="4"/>
    </row>
    <row r="122" customFormat="false" ht="23.85" hidden="false" customHeight="false" outlineLevel="0" collapsed="false">
      <c r="A122" s="4" t="s">
        <v>5854</v>
      </c>
      <c r="B122" s="12" t="n">
        <v>2020</v>
      </c>
      <c r="C122" s="4" t="s">
        <v>67</v>
      </c>
      <c r="D122" s="4" t="s">
        <v>5685</v>
      </c>
      <c r="E122" s="4" t="s">
        <v>3341</v>
      </c>
      <c r="F122" s="4" t="s">
        <v>3342</v>
      </c>
      <c r="G122" s="4" t="s">
        <v>80</v>
      </c>
      <c r="H122" s="4" t="s">
        <v>2003</v>
      </c>
      <c r="I122" s="4" t="s">
        <v>67</v>
      </c>
      <c r="J122" s="4" t="s">
        <v>2001</v>
      </c>
      <c r="K122" s="4" t="s">
        <v>66</v>
      </c>
      <c r="L122" s="4" t="s">
        <v>730</v>
      </c>
      <c r="M122" s="14" t="n">
        <f aca="false">SUMIFS(PSUT_LARGA!$K$2:$K$618,PSUT_LARGA!$B$2:$B$618,$B122,PSUT_LARGA!$H$2:$H$618,$L122,PSUT_LARGA!$E$2:$E$618,$J122,PSUT_LARGA!$F$2:$F$618,$K122,PSUT_LARGA!$G$2:$G$618,$I122,PSUT_LARGA!$I$2:$I$618,$H122)</f>
        <v>11732.133</v>
      </c>
      <c r="N122" s="14" t="n">
        <f aca="false">IF($H122="TRANSFORMACION_REFINERIA",$M122*INDEX(PARAMETROS!$C$27:$C$33,MATCH($B122,PARAMETROS!$A$27:$A$33,0)),$M122)</f>
        <v>11732.133</v>
      </c>
      <c r="O122" s="4" t="s">
        <v>3362</v>
      </c>
      <c r="P122" s="4" t="s">
        <v>3363</v>
      </c>
      <c r="Q122" s="11" t="n">
        <f aca="false">MIN($B122,2022)</f>
        <v>2020</v>
      </c>
      <c r="R122" s="8" t="str">
        <f>IF(COUNT($S122:$U122)=0,"NO",IF($O122="CERO_DIRECTO","CAL",IF(OR($B122&gt;$Q122,COUNTIFS(DATOS_MODELO!$C$2:$C$3672,$Q122&amp;"|"&amp;$E122&amp;"|"&amp;$O122&amp;"|*",DATOS_MODELO!$F$2:$F$3672,"PRX",DATOS_MODELO!$AA$2:$AA$3672,"&lt;&gt;")&gt;0),"PRX",IF(COUNTIFS(DATOS_MODELO!$C$2:$C$3672,$Q122&amp;"|"&amp;$E122&amp;"|"&amp;$O122&amp;"|*",DATOS_MODELO!$F$2:$F$3672,"CAL",DATOS_MODELO!$AA$2:$AA$3672,"&lt;&gt;")&gt;0,"CAL","OBS"))))</f>
        <v>CAL</v>
      </c>
      <c r="S122" s="14">
        <f>IF(COUNTIFS(DATOS_MODELO!$C$2:$C$3672,$Q122&amp;"|"&amp;$E122&amp;"|"&amp;$O122&amp;"|CO2",DATOS_MODELO!$AA$2:$AA$3672,"&lt;&gt;")=0,"",INDEX(DATOS_MODELO!$AA$2:$AA$3672,MATCH($Q122&amp;"|"&amp;$E122&amp;"|"&amp;$O122&amp;"|CO2",DATOS_MODELO!$C$2:$C$3672,0)))</f>
        <v>0.0</v>
      </c>
      <c r="T122" s="14">
        <f>IF(COUNTIFS(DATOS_MODELO!$C$2:$C$3672,$Q122&amp;"|"&amp;$E122&amp;"|"&amp;$O122&amp;"|CH4",DATOS_MODELO!$AA$2:$AA$3672,"&lt;&gt;")=0,"",INDEX(DATOS_MODELO!$AA$2:$AA$3672,MATCH($Q122&amp;"|"&amp;$E122&amp;"|"&amp;$O122&amp;"|CH4",DATOS_MODELO!$C$2:$C$3672,0)))</f>
        <v>0.0</v>
      </c>
      <c r="U122" s="14">
        <f>IF(COUNTIFS(DATOS_MODELO!$C$2:$C$3672,$Q122&amp;"|"&amp;$E122&amp;"|"&amp;$O122&amp;"|N2O",DATOS_MODELO!$AA$2:$AA$3672,"&lt;&gt;")=0,"",INDEX(DATOS_MODELO!$AA$2:$AA$3672,MATCH($Q122&amp;"|"&amp;$E122&amp;"|"&amp;$O122&amp;"|N2O",DATOS_MODELO!$C$2:$C$3672,0)))</f>
        <v>0.0</v>
      </c>
      <c r="V122" s="8"/>
      <c r="W122" s="14"/>
      <c r="X122" s="14">
        <f>IF($P122="BIOGENICO",0,IF(ISNUMBER($S122),$N122*$S122/PARAMETROS!$B$8,""))</f>
        <v>0.0</v>
      </c>
      <c r="Y122" s="14">
        <f>IF($P122="BIOGENICO",IF(ISNUMBER($S122),$N122*$S122/PARAMETROS!$B$8,""),0)</f>
        <v>0.0</v>
      </c>
      <c r="Z122" s="14">
        <f>IF(ISNUMBER($T122),$N122*$T122/PARAMETROS!$B$8,"")</f>
        <v>0.0</v>
      </c>
      <c r="AA122" s="14">
        <f>IF(ISNUMBER($U122),$N122*$U122/PARAMETROS!$B$8,"")</f>
        <v>0.0</v>
      </c>
      <c r="AB122" s="14">
        <f>IF(COUNT($X122,$Z122,$AA122)=0,"",SUM($X122,IF(ISNUMBER($Z122),$Z122*PARAMETROS!$B$9,0),IF(ISNUMBER($AA122),$AA122*PARAMETROS!$B$10,0)))</f>
        <v>0.0</v>
      </c>
      <c r="AC122" s="4" t="s">
        <v>1990</v>
      </c>
      <c r="AD122" s="4"/>
      <c r="AE122" s="4" t="s">
        <v>3362</v>
      </c>
      <c r="AF122" s="4" t="s">
        <v>170</v>
      </c>
      <c r="AG122" s="4" t="inlineStr">
        <is>
          <t>METODO_EMISIONES</t>
        </is>
      </c>
      <c r="AH122" s="4"/>
    </row>
    <row r="123" customFormat="false" ht="23.85" hidden="false" customHeight="false" outlineLevel="0" collapsed="false">
      <c r="A123" s="4" t="s">
        <v>5855</v>
      </c>
      <c r="B123" s="12" t="n">
        <v>2020</v>
      </c>
      <c r="C123" s="4" t="s">
        <v>67</v>
      </c>
      <c r="D123" s="4" t="s">
        <v>5685</v>
      </c>
      <c r="E123" s="4" t="s">
        <v>3341</v>
      </c>
      <c r="F123" s="4" t="s">
        <v>3342</v>
      </c>
      <c r="G123" s="4" t="s">
        <v>84</v>
      </c>
      <c r="H123" s="4" t="s">
        <v>2003</v>
      </c>
      <c r="I123" s="4" t="s">
        <v>67</v>
      </c>
      <c r="J123" s="4" t="s">
        <v>2001</v>
      </c>
      <c r="K123" s="4" t="s">
        <v>66</v>
      </c>
      <c r="L123" s="4" t="s">
        <v>744</v>
      </c>
      <c r="M123" s="14" t="n">
        <f aca="false">SUMIFS(PSUT_LARGA!$K$2:$K$618,PSUT_LARGA!$B$2:$B$618,$B123,PSUT_LARGA!$H$2:$H$618,$L123,PSUT_LARGA!$E$2:$E$618,$J123,PSUT_LARGA!$F$2:$F$618,$K123,PSUT_LARGA!$G$2:$G$618,$I123,PSUT_LARGA!$I$2:$I$618,$H123)</f>
        <v>26552.9782</v>
      </c>
      <c r="N123" s="14" t="n">
        <f aca="false">IF($H123="TRANSFORMACION_REFINERIA",$M123*INDEX(PARAMETROS!$C$27:$C$33,MATCH($B123,PARAMETROS!$A$27:$A$33,0)),$M123)</f>
        <v>26552.9782</v>
      </c>
      <c r="O123" s="4" t="s">
        <v>3362</v>
      </c>
      <c r="P123" s="4" t="s">
        <v>3363</v>
      </c>
      <c r="Q123" s="11" t="n">
        <f aca="false">MIN($B123,2022)</f>
        <v>2020</v>
      </c>
      <c r="R123" s="8" t="str">
        <f>IF(COUNT($S123:$U123)=0,"NO",IF($O123="CERO_DIRECTO","CAL",IF(OR($B123&gt;$Q123,COUNTIFS(DATOS_MODELO!$C$2:$C$3672,$Q123&amp;"|"&amp;$E123&amp;"|"&amp;$O123&amp;"|*",DATOS_MODELO!$F$2:$F$3672,"PRX",DATOS_MODELO!$AA$2:$AA$3672,"&lt;&gt;")&gt;0),"PRX",IF(COUNTIFS(DATOS_MODELO!$C$2:$C$3672,$Q123&amp;"|"&amp;$E123&amp;"|"&amp;$O123&amp;"|*",DATOS_MODELO!$F$2:$F$3672,"CAL",DATOS_MODELO!$AA$2:$AA$3672,"&lt;&gt;")&gt;0,"CAL","OBS"))))</f>
        <v>CAL</v>
      </c>
      <c r="S123" s="14">
        <f>IF(COUNTIFS(DATOS_MODELO!$C$2:$C$3672,$Q123&amp;"|"&amp;$E123&amp;"|"&amp;$O123&amp;"|CO2",DATOS_MODELO!$AA$2:$AA$3672,"&lt;&gt;")=0,"",INDEX(DATOS_MODELO!$AA$2:$AA$3672,MATCH($Q123&amp;"|"&amp;$E123&amp;"|"&amp;$O123&amp;"|CO2",DATOS_MODELO!$C$2:$C$3672,0)))</f>
        <v>0.0</v>
      </c>
      <c r="T123" s="14">
        <f>IF(COUNTIFS(DATOS_MODELO!$C$2:$C$3672,$Q123&amp;"|"&amp;$E123&amp;"|"&amp;$O123&amp;"|CH4",DATOS_MODELO!$AA$2:$AA$3672,"&lt;&gt;")=0,"",INDEX(DATOS_MODELO!$AA$2:$AA$3672,MATCH($Q123&amp;"|"&amp;$E123&amp;"|"&amp;$O123&amp;"|CH4",DATOS_MODELO!$C$2:$C$3672,0)))</f>
        <v>0.0</v>
      </c>
      <c r="U123" s="14">
        <f>IF(COUNTIFS(DATOS_MODELO!$C$2:$C$3672,$Q123&amp;"|"&amp;$E123&amp;"|"&amp;$O123&amp;"|N2O",DATOS_MODELO!$AA$2:$AA$3672,"&lt;&gt;")=0,"",INDEX(DATOS_MODELO!$AA$2:$AA$3672,MATCH($Q123&amp;"|"&amp;$E123&amp;"|"&amp;$O123&amp;"|N2O",DATOS_MODELO!$C$2:$C$3672,0)))</f>
        <v>0.0</v>
      </c>
      <c r="V123" s="8"/>
      <c r="W123" s="14"/>
      <c r="X123" s="14">
        <f>IF($P123="BIOGENICO",0,IF(ISNUMBER($S123),$N123*$S123/PARAMETROS!$B$8,""))</f>
        <v>0.0</v>
      </c>
      <c r="Y123" s="14">
        <f>IF($P123="BIOGENICO",IF(ISNUMBER($S123),$N123*$S123/PARAMETROS!$B$8,""),0)</f>
        <v>0.0</v>
      </c>
      <c r="Z123" s="14">
        <f>IF(ISNUMBER($T123),$N123*$T123/PARAMETROS!$B$8,"")</f>
        <v>0.0</v>
      </c>
      <c r="AA123" s="14">
        <f>IF(ISNUMBER($U123),$N123*$U123/PARAMETROS!$B$8,"")</f>
        <v>0.0</v>
      </c>
      <c r="AB123" s="14">
        <f>IF(COUNT($X123,$Z123,$AA123)=0,"",SUM($X123,IF(ISNUMBER($Z123),$Z123*PARAMETROS!$B$9,0),IF(ISNUMBER($AA123),$AA123*PARAMETROS!$B$10,0)))</f>
        <v>0.0</v>
      </c>
      <c r="AC123" s="4" t="s">
        <v>1990</v>
      </c>
      <c r="AD123" s="4"/>
      <c r="AE123" s="4" t="s">
        <v>3362</v>
      </c>
      <c r="AF123" s="4" t="s">
        <v>170</v>
      </c>
      <c r="AG123" s="4" t="inlineStr">
        <is>
          <t>METODO_EMISIONES</t>
        </is>
      </c>
      <c r="AH123" s="4"/>
    </row>
    <row r="124" customFormat="false" ht="23.85" hidden="false" customHeight="false" outlineLevel="0" collapsed="false">
      <c r="A124" s="4" t="s">
        <v>5856</v>
      </c>
      <c r="B124" s="12" t="n">
        <v>2020</v>
      </c>
      <c r="C124" s="4" t="s">
        <v>67</v>
      </c>
      <c r="D124" s="4" t="s">
        <v>5685</v>
      </c>
      <c r="E124" s="4" t="s">
        <v>3341</v>
      </c>
      <c r="F124" s="4" t="s">
        <v>3342</v>
      </c>
      <c r="G124" s="4" t="s">
        <v>84</v>
      </c>
      <c r="H124" s="4" t="s">
        <v>2008</v>
      </c>
      <c r="I124" s="4" t="s">
        <v>67</v>
      </c>
      <c r="J124" s="4" t="s">
        <v>2001</v>
      </c>
      <c r="K124" s="4" t="s">
        <v>66</v>
      </c>
      <c r="L124" s="4" t="s">
        <v>745</v>
      </c>
      <c r="M124" s="14" t="n">
        <f aca="false">SUMIFS(PSUT_LARGA!$K$2:$K$618,PSUT_LARGA!$B$2:$B$618,$B124,PSUT_LARGA!$H$2:$H$618,$L124,PSUT_LARGA!$E$2:$E$618,$J124,PSUT_LARGA!$F$2:$F$618,$K124,PSUT_LARGA!$G$2:$G$618,$I124,PSUT_LARGA!$I$2:$I$618,$H124)</f>
        <v>116.1419</v>
      </c>
      <c r="N124" s="14" t="n">
        <f aca="false">IF($H124="TRANSFORMACION_REFINERIA",$M124*INDEX(PARAMETROS!$C$27:$C$33,MATCH($B124,PARAMETROS!$A$27:$A$33,0)),$M124)</f>
        <v>116.1419</v>
      </c>
      <c r="O124" s="4" t="s">
        <v>3362</v>
      </c>
      <c r="P124" s="4" t="s">
        <v>3363</v>
      </c>
      <c r="Q124" s="11" t="n">
        <f aca="false">MIN($B124,2022)</f>
        <v>2020</v>
      </c>
      <c r="R124" s="8" t="str">
        <f>IF(COUNT($S124:$U124)=0,"NO",IF($O124="CERO_DIRECTO","CAL",IF(OR($B124&gt;$Q124,COUNTIFS(DATOS_MODELO!$C$2:$C$3672,$Q124&amp;"|"&amp;$E124&amp;"|"&amp;$O124&amp;"|*",DATOS_MODELO!$F$2:$F$3672,"PRX",DATOS_MODELO!$AA$2:$AA$3672,"&lt;&gt;")&gt;0),"PRX",IF(COUNTIFS(DATOS_MODELO!$C$2:$C$3672,$Q124&amp;"|"&amp;$E124&amp;"|"&amp;$O124&amp;"|*",DATOS_MODELO!$F$2:$F$3672,"CAL",DATOS_MODELO!$AA$2:$AA$3672,"&lt;&gt;")&gt;0,"CAL","OBS"))))</f>
        <v>CAL</v>
      </c>
      <c r="S124" s="14">
        <f>IF(COUNTIFS(DATOS_MODELO!$C$2:$C$3672,$Q124&amp;"|"&amp;$E124&amp;"|"&amp;$O124&amp;"|CO2",DATOS_MODELO!$AA$2:$AA$3672,"&lt;&gt;")=0,"",INDEX(DATOS_MODELO!$AA$2:$AA$3672,MATCH($Q124&amp;"|"&amp;$E124&amp;"|"&amp;$O124&amp;"|CO2",DATOS_MODELO!$C$2:$C$3672,0)))</f>
        <v>0.0</v>
      </c>
      <c r="T124" s="14">
        <f>IF(COUNTIFS(DATOS_MODELO!$C$2:$C$3672,$Q124&amp;"|"&amp;$E124&amp;"|"&amp;$O124&amp;"|CH4",DATOS_MODELO!$AA$2:$AA$3672,"&lt;&gt;")=0,"",INDEX(DATOS_MODELO!$AA$2:$AA$3672,MATCH($Q124&amp;"|"&amp;$E124&amp;"|"&amp;$O124&amp;"|CH4",DATOS_MODELO!$C$2:$C$3672,0)))</f>
        <v>0.0</v>
      </c>
      <c r="U124" s="14">
        <f>IF(COUNTIFS(DATOS_MODELO!$C$2:$C$3672,$Q124&amp;"|"&amp;$E124&amp;"|"&amp;$O124&amp;"|N2O",DATOS_MODELO!$AA$2:$AA$3672,"&lt;&gt;")=0,"",INDEX(DATOS_MODELO!$AA$2:$AA$3672,MATCH($Q124&amp;"|"&amp;$E124&amp;"|"&amp;$O124&amp;"|N2O",DATOS_MODELO!$C$2:$C$3672,0)))</f>
        <v>0.0</v>
      </c>
      <c r="V124" s="8"/>
      <c r="W124" s="14"/>
      <c r="X124" s="14">
        <f>IF($P124="BIOGENICO",0,IF(ISNUMBER($S124),$N124*$S124/PARAMETROS!$B$8,""))</f>
        <v>0.0</v>
      </c>
      <c r="Y124" s="14">
        <f>IF($P124="BIOGENICO",IF(ISNUMBER($S124),$N124*$S124/PARAMETROS!$B$8,""),0)</f>
        <v>0.0</v>
      </c>
      <c r="Z124" s="14">
        <f>IF(ISNUMBER($T124),$N124*$T124/PARAMETROS!$B$8,"")</f>
        <v>0.0</v>
      </c>
      <c r="AA124" s="14">
        <f>IF(ISNUMBER($U124),$N124*$U124/PARAMETROS!$B$8,"")</f>
        <v>0.0</v>
      </c>
      <c r="AB124" s="14">
        <f>IF(COUNT($X124,$Z124,$AA124)=0,"",SUM($X124,IF(ISNUMBER($Z124),$Z124*PARAMETROS!$B$9,0),IF(ISNUMBER($AA124),$AA124*PARAMETROS!$B$10,0)))</f>
        <v>0.0</v>
      </c>
      <c r="AC124" s="4" t="s">
        <v>1990</v>
      </c>
      <c r="AD124" s="4"/>
      <c r="AE124" s="4" t="s">
        <v>3362</v>
      </c>
      <c r="AF124" s="4" t="s">
        <v>170</v>
      </c>
      <c r="AG124" s="4" t="inlineStr">
        <is>
          <t>METODO_EMISIONES</t>
        </is>
      </c>
      <c r="AH124" s="4"/>
    </row>
    <row r="125" customFormat="false" ht="15" hidden="false" customHeight="false" outlineLevel="0" collapsed="false">
      <c r="A125" s="4" t="s">
        <v>5857</v>
      </c>
      <c r="B125" s="12" t="n">
        <v>2020</v>
      </c>
      <c r="C125" s="4" t="s">
        <v>67</v>
      </c>
      <c r="D125" s="4" t="s">
        <v>5685</v>
      </c>
      <c r="E125" s="4" t="s">
        <v>3395</v>
      </c>
      <c r="F125" s="4" t="s">
        <v>3396</v>
      </c>
      <c r="G125" s="4" t="s">
        <v>86</v>
      </c>
      <c r="H125" s="4" t="s">
        <v>2097</v>
      </c>
      <c r="I125" s="4" t="s">
        <v>67</v>
      </c>
      <c r="J125" s="4" t="s">
        <v>2001</v>
      </c>
      <c r="K125" s="4" t="s">
        <v>2002</v>
      </c>
      <c r="L125" s="4" t="s">
        <v>771</v>
      </c>
      <c r="M125" s="14" t="n">
        <f aca="false">SUMIFS(PSUT_LARGA!$K$2:$K$618,PSUT_LARGA!$B$2:$B$618,$B125,PSUT_LARGA!$H$2:$H$618,$L125,PSUT_LARGA!$E$2:$E$618,$J125,PSUT_LARGA!$F$2:$F$618,$K125,PSUT_LARGA!$G$2:$G$618,$I125,PSUT_LARGA!$I$2:$I$618,$H125)</f>
        <v>4064.5598</v>
      </c>
      <c r="N125" s="14" t="n">
        <f aca="false">IF($H125="TRANSFORMACION_REFINERIA",$M125*INDEX(PARAMETROS!$C$27:$C$33,MATCH($B125,PARAMETROS!$A$27:$A$33,0)),$M125)</f>
        <v>2.18344286</v>
      </c>
      <c r="O125" s="4" t="s">
        <v>3397</v>
      </c>
      <c r="P125" s="4" t="s">
        <v>3352</v>
      </c>
      <c r="Q125" s="11" t="n">
        <f aca="false">MIN($B125,2022)</f>
        <v>2020</v>
      </c>
      <c r="R125" s="8" t="str">
        <f>IF(COUNT($S125:$U125)=0,"NO",IF($O125="CERO_DIRECTO","CAL",IF(OR($B125&gt;$Q125,COUNTIFS(DATOS_MODELO!$C$2:$C$3672,$Q125&amp;"|"&amp;$E125&amp;"|"&amp;$O125&amp;"|*",DATOS_MODELO!$F$2:$F$3672,"PRX",DATOS_MODELO!$AA$2:$AA$3672,"&lt;&gt;")&gt;0),"PRX",IF(COUNTIFS(DATOS_MODELO!$C$2:$C$3672,$Q125&amp;"|"&amp;$E125&amp;"|"&amp;$O125&amp;"|*",DATOS_MODELO!$F$2:$F$3672,"CAL",DATOS_MODELO!$AA$2:$AA$3672,"&lt;&gt;")&gt;0,"CAL","OBS"))))</f>
        <v>OBS</v>
      </c>
      <c r="S125" s="14">
        <f>IF(COUNTIFS(DATOS_MODELO!$C$2:$C$3672,$Q125&amp;"|"&amp;$E125&amp;"|"&amp;$O125&amp;"|CO2",DATOS_MODELO!$AA$2:$AA$3672,"&lt;&gt;")=0,"",INDEX(DATOS_MODELO!$AA$2:$AA$3672,MATCH($Q125&amp;"|"&amp;$E125&amp;"|"&amp;$O125&amp;"|CO2",DATOS_MODELO!$C$2:$C$3672,0)))</f>
        <v>73104.4640206431</v>
      </c>
      <c r="T125" s="14">
        <f>IF(COUNTIFS(DATOS_MODELO!$C$2:$C$3672,$Q125&amp;"|"&amp;$E125&amp;"|"&amp;$O125&amp;"|CH4",DATOS_MODELO!$AA$2:$AA$3672,"&lt;&gt;")=0,"",INDEX(DATOS_MODELO!$AA$2:$AA$3672,MATCH($Q125&amp;"|"&amp;$E125&amp;"|"&amp;$O125&amp;"|CH4",DATOS_MODELO!$C$2:$C$3672,0)))</f>
        <v>2.99998691058029</v>
      </c>
      <c r="U125" s="14">
        <f>IF(COUNTIFS(DATOS_MODELO!$C$2:$C$3672,$Q125&amp;"|"&amp;$E125&amp;"|"&amp;$O125&amp;"|N2O",DATOS_MODELO!$AA$2:$AA$3672,"&lt;&gt;")=0,"",INDEX(DATOS_MODELO!$AA$2:$AA$3672,MATCH($Q125&amp;"|"&amp;$E125&amp;"|"&amp;$O125&amp;"|N2O",DATOS_MODELO!$C$2:$C$3672,0)))</f>
        <v>0.60001570180774</v>
      </c>
      <c r="V125" s="8"/>
      <c r="W125" s="14"/>
      <c r="X125" s="14">
        <f>IF($P125="BIOGENICO",0,IF(ISNUMBER($S125),$N125*$S125/PARAMETROS!$B$8,""))</f>
        <v>0.15961942</v>
      </c>
      <c r="Y125" s="14">
        <f>IF($P125="BIOGENICO",IF(ISNUMBER($S125),$N125*$S125/PARAMETROS!$B$8,""),0)</f>
        <v>0.0</v>
      </c>
      <c r="Z125" s="14">
        <f>IF(ISNUMBER($T125),$N125*$T125/PARAMETROS!$B$8,"")</f>
        <v>6.5503e-06</v>
      </c>
      <c r="AA125" s="14">
        <f>IF(ISNUMBER($U125),$N125*$U125/PARAMETROS!$B$8,"")</f>
        <v>1.3101e-06</v>
      </c>
      <c r="AB125" s="14">
        <f>IF(COUNT($X125,$Z125,$AA125)=0,"",SUM($X125,IF(ISNUMBER($Z125),$Z125*PARAMETROS!$B$9,0),IF(ISNUMBER($AA125),$AA125*PARAMETROS!$B$10,0)))</f>
        <v>0.1601500049</v>
      </c>
      <c r="AC125" s="4" t="s">
        <v>1990</v>
      </c>
      <c r="AD125" s="4"/>
      <c r="AE125" s="4" t="s">
        <v>5690</v>
      </c>
      <c r="AF125" s="4" t="s">
        <v>170</v>
      </c>
      <c r="AG125" s="4" t="s">
        <v>3999</v>
      </c>
      <c r="AH125" s="4"/>
    </row>
    <row r="126" customFormat="false" ht="23.85" hidden="false" customHeight="false" outlineLevel="0" collapsed="false">
      <c r="A126" s="4" t="s">
        <v>5858</v>
      </c>
      <c r="B126" s="12" t="n">
        <v>2020</v>
      </c>
      <c r="C126" s="4" t="s">
        <v>67</v>
      </c>
      <c r="D126" s="4" t="s">
        <v>5685</v>
      </c>
      <c r="E126" s="4" t="s">
        <v>3341</v>
      </c>
      <c r="F126" s="4" t="s">
        <v>3342</v>
      </c>
      <c r="G126" s="4" t="s">
        <v>88</v>
      </c>
      <c r="H126" s="4" t="s">
        <v>2003</v>
      </c>
      <c r="I126" s="4" t="s">
        <v>67</v>
      </c>
      <c r="J126" s="4" t="s">
        <v>2001</v>
      </c>
      <c r="K126" s="4" t="s">
        <v>66</v>
      </c>
      <c r="L126" s="4" t="s">
        <v>786</v>
      </c>
      <c r="M126" s="14" t="n">
        <f aca="false">SUMIFS(PSUT_LARGA!$K$2:$K$618,PSUT_LARGA!$B$2:$B$618,$B126,PSUT_LARGA!$H$2:$H$618,$L126,PSUT_LARGA!$E$2:$E$618,$J126,PSUT_LARGA!$F$2:$F$618,$K126,PSUT_LARGA!$G$2:$G$618,$I126,PSUT_LARGA!$I$2:$I$618,$H126)</f>
        <v>799.5141</v>
      </c>
      <c r="N126" s="14" t="n">
        <f aca="false">IF($H126="TRANSFORMACION_REFINERIA",$M126*INDEX(PARAMETROS!$C$27:$C$33,MATCH($B126,PARAMETROS!$A$27:$A$33,0)),$M126)</f>
        <v>799.5141</v>
      </c>
      <c r="O126" s="4" t="s">
        <v>3362</v>
      </c>
      <c r="P126" s="4" t="s">
        <v>3363</v>
      </c>
      <c r="Q126" s="11" t="n">
        <f aca="false">MIN($B126,2022)</f>
        <v>2020</v>
      </c>
      <c r="R126" s="8" t="str">
        <f>IF(COUNT($S126:$U126)=0,"NO",IF($O126="CERO_DIRECTO","CAL",IF(OR($B126&gt;$Q126,COUNTIFS(DATOS_MODELO!$C$2:$C$3672,$Q126&amp;"|"&amp;$E126&amp;"|"&amp;$O126&amp;"|*",DATOS_MODELO!$F$2:$F$3672,"PRX",DATOS_MODELO!$AA$2:$AA$3672,"&lt;&gt;")&gt;0),"PRX",IF(COUNTIFS(DATOS_MODELO!$C$2:$C$3672,$Q126&amp;"|"&amp;$E126&amp;"|"&amp;$O126&amp;"|*",DATOS_MODELO!$F$2:$F$3672,"CAL",DATOS_MODELO!$AA$2:$AA$3672,"&lt;&gt;")&gt;0,"CAL","OBS"))))</f>
        <v>CAL</v>
      </c>
      <c r="S126" s="14">
        <f>IF(COUNTIFS(DATOS_MODELO!$C$2:$C$3672,$Q126&amp;"|"&amp;$E126&amp;"|"&amp;$O126&amp;"|CO2",DATOS_MODELO!$AA$2:$AA$3672,"&lt;&gt;")=0,"",INDEX(DATOS_MODELO!$AA$2:$AA$3672,MATCH($Q126&amp;"|"&amp;$E126&amp;"|"&amp;$O126&amp;"|CO2",DATOS_MODELO!$C$2:$C$3672,0)))</f>
        <v>0.0</v>
      </c>
      <c r="T126" s="14">
        <f>IF(COUNTIFS(DATOS_MODELO!$C$2:$C$3672,$Q126&amp;"|"&amp;$E126&amp;"|"&amp;$O126&amp;"|CH4",DATOS_MODELO!$AA$2:$AA$3672,"&lt;&gt;")=0,"",INDEX(DATOS_MODELO!$AA$2:$AA$3672,MATCH($Q126&amp;"|"&amp;$E126&amp;"|"&amp;$O126&amp;"|CH4",DATOS_MODELO!$C$2:$C$3672,0)))</f>
        <v>0.0</v>
      </c>
      <c r="U126" s="14">
        <f>IF(COUNTIFS(DATOS_MODELO!$C$2:$C$3672,$Q126&amp;"|"&amp;$E126&amp;"|"&amp;$O126&amp;"|N2O",DATOS_MODELO!$AA$2:$AA$3672,"&lt;&gt;")=0,"",INDEX(DATOS_MODELO!$AA$2:$AA$3672,MATCH($Q126&amp;"|"&amp;$E126&amp;"|"&amp;$O126&amp;"|N2O",DATOS_MODELO!$C$2:$C$3672,0)))</f>
        <v>0.0</v>
      </c>
      <c r="V126" s="8"/>
      <c r="W126" s="14"/>
      <c r="X126" s="14">
        <f>IF($P126="BIOGENICO",0,IF(ISNUMBER($S126),$N126*$S126/PARAMETROS!$B$8,""))</f>
        <v>0.0</v>
      </c>
      <c r="Y126" s="14">
        <f>IF($P126="BIOGENICO",IF(ISNUMBER($S126),$N126*$S126/PARAMETROS!$B$8,""),0)</f>
        <v>0.0</v>
      </c>
      <c r="Z126" s="14">
        <f>IF(ISNUMBER($T126),$N126*$T126/PARAMETROS!$B$8,"")</f>
        <v>0.0</v>
      </c>
      <c r="AA126" s="14">
        <f>IF(ISNUMBER($U126),$N126*$U126/PARAMETROS!$B$8,"")</f>
        <v>0.0</v>
      </c>
      <c r="AB126" s="14">
        <f>IF(COUNT($X126,$Z126,$AA126)=0,"",SUM($X126,IF(ISNUMBER($Z126),$Z126*PARAMETROS!$B$9,0),IF(ISNUMBER($AA126),$AA126*PARAMETROS!$B$10,0)))</f>
        <v>0.0</v>
      </c>
      <c r="AC126" s="4" t="s">
        <v>1990</v>
      </c>
      <c r="AD126" s="4"/>
      <c r="AE126" s="4" t="s">
        <v>3362</v>
      </c>
      <c r="AF126" s="4" t="s">
        <v>170</v>
      </c>
      <c r="AG126" s="4" t="inlineStr">
        <is>
          <t>METODO_EMISIONES</t>
        </is>
      </c>
      <c r="AH126" s="4"/>
    </row>
    <row r="127" customFormat="false" ht="15" hidden="false" customHeight="false" outlineLevel="0" collapsed="false">
      <c r="A127" s="4" t="s">
        <v>5859</v>
      </c>
      <c r="B127" s="12" t="n">
        <v>2020</v>
      </c>
      <c r="C127" s="4" t="s">
        <v>67</v>
      </c>
      <c r="D127" s="4" t="s">
        <v>5685</v>
      </c>
      <c r="E127" s="4" t="s">
        <v>3341</v>
      </c>
      <c r="F127" s="4" t="s">
        <v>3342</v>
      </c>
      <c r="G127" s="4" t="s">
        <v>97</v>
      </c>
      <c r="H127" s="4" t="s">
        <v>2003</v>
      </c>
      <c r="I127" s="4" t="s">
        <v>67</v>
      </c>
      <c r="J127" s="4" t="s">
        <v>2001</v>
      </c>
      <c r="K127" s="4" t="s">
        <v>2002</v>
      </c>
      <c r="L127" s="4" t="s">
        <v>814</v>
      </c>
      <c r="M127" s="14" t="n">
        <f aca="false">SUMIFS(PSUT_LARGA!$K$2:$K$618,PSUT_LARGA!$B$2:$B$618,$B127,PSUT_LARGA!$H$2:$H$618,$L127,PSUT_LARGA!$E$2:$E$618,$J127,PSUT_LARGA!$F$2:$F$618,$K127,PSUT_LARGA!$G$2:$G$618,$I127,PSUT_LARGA!$I$2:$I$618,$H127)</f>
        <v>122.8815</v>
      </c>
      <c r="N127" s="14" t="n">
        <f aca="false">IF($H127="TRANSFORMACION_REFINERIA",$M127*INDEX(PARAMETROS!$C$27:$C$33,MATCH($B127,PARAMETROS!$A$27:$A$33,0)),$M127)</f>
        <v>122.8815</v>
      </c>
      <c r="O127" s="4" t="inlineStr">
        <is>
          <t>COMB_DOIL</t>
        </is>
      </c>
      <c r="P127" s="4" t="s">
        <v>3352</v>
      </c>
      <c r="Q127" s="11" t="n">
        <f aca="false">MIN($B127,2022)</f>
        <v>2020</v>
      </c>
      <c r="R127" s="8" t="str">
        <f>IF(COUNT($S127:$U127)=0,"NO",IF($O127="CERO_DIRECTO","CAL",IF(OR($B127&gt;$Q127,COUNTIFS(DATOS_MODELO!$C$2:$C$3672,$Q127&amp;"|"&amp;$E127&amp;"|"&amp;$O127&amp;"|*",DATOS_MODELO!$F$2:$F$3672,"PRX",DATOS_MODELO!$AA$2:$AA$3672,"&lt;&gt;")&gt;0),"PRX",IF(COUNTIFS(DATOS_MODELO!$C$2:$C$3672,$Q127&amp;"|"&amp;$E127&amp;"|"&amp;$O127&amp;"|*",DATOS_MODELO!$F$2:$F$3672,"CAL",DATOS_MODELO!$AA$2:$AA$3672,"&lt;&gt;")&gt;0,"CAL","OBS"))))</f>
        <v>PRX</v>
      </c>
      <c r="S127" s="14">
        <f>IF(COUNTIFS(DATOS_MODELO!$C$2:$C$3672,$Q127&amp;"|"&amp;$E127&amp;"|"&amp;$O127&amp;"|CO2",DATOS_MODELO!$AA$2:$AA$3672,"&lt;&gt;")=0,"",INDEX(DATOS_MODELO!$AA$2:$AA$3672,MATCH($Q127&amp;"|"&amp;$E127&amp;"|"&amp;$O127&amp;"|CO2",DATOS_MODELO!$C$2:$C$3672,0)))</f>
        <v>74100.0</v>
      </c>
      <c r="T127" s="14">
        <f>IF(COUNTIFS(DATOS_MODELO!$C$2:$C$3672,$Q127&amp;"|"&amp;$E127&amp;"|"&amp;$O127&amp;"|CH4",DATOS_MODELO!$AA$2:$AA$3672,"&lt;&gt;")=0,"",INDEX(DATOS_MODELO!$AA$2:$AA$3672,MATCH($Q127&amp;"|"&amp;$E127&amp;"|"&amp;$O127&amp;"|CH4",DATOS_MODELO!$C$2:$C$3672,0)))</f>
        <v>3.0</v>
      </c>
      <c r="U127" s="14">
        <f>IF(COUNTIFS(DATOS_MODELO!$C$2:$C$3672,$Q127&amp;"|"&amp;$E127&amp;"|"&amp;$O127&amp;"|N2O",DATOS_MODELO!$AA$2:$AA$3672,"&lt;&gt;")=0,"",INDEX(DATOS_MODELO!$AA$2:$AA$3672,MATCH($Q127&amp;"|"&amp;$E127&amp;"|"&amp;$O127&amp;"|N2O",DATOS_MODELO!$C$2:$C$3672,0)))</f>
        <v>0.6</v>
      </c>
      <c r="V127" s="8"/>
      <c r="W127" s="14"/>
      <c r="X127" s="14">
        <f>IF($P127="BIOGENICO",0,IF(ISNUMBER($S127),$N127*$S127/PARAMETROS!$B$8,""))</f>
        <v>9.10551915</v>
      </c>
      <c r="Y127" s="14">
        <f>IF($P127="BIOGENICO",IF(ISNUMBER($S127),$N127*$S127/PARAMETROS!$B$8,""),0)</f>
        <v>0.0</v>
      </c>
      <c r="Z127" s="14">
        <f>IF(ISNUMBER($T127),$N127*$T127/PARAMETROS!$B$8,"")</f>
        <v>0.000368644501981925</v>
      </c>
      <c r="AA127" s="14">
        <f>IF(ISNUMBER($U127),$N127*$U127/PARAMETROS!$B$8,"")</f>
        <v>7.37289e-05</v>
      </c>
      <c r="AB127" s="14">
        <f>IF(COUNT($X127,$Z127,$AA127)=0,"",SUM($X127,IF(ISNUMBER($Z127),$Z127*PARAMETROS!$B$9,0),IF(ISNUMBER($AA127),$AA127*PARAMETROS!$B$10,0)))</f>
        <v>9.1353793545</v>
      </c>
      <c r="AC127" s="4" t="s">
        <v>1990</v>
      </c>
      <c r="AD127" s="4"/>
      <c r="AE127" s="4" t="s">
        <v>5690</v>
      </c>
      <c r="AF127" s="4" t="s">
        <v>170</v>
      </c>
      <c r="AG127" s="4" t="inlineStr">
        <is>
          <t>MARN_GTM_BTR1_2024</t>
        </is>
      </c>
      <c r="AH127" s="4" t="inlineStr">
        <is>
          <t>Origen de factores: CO2: MARN_GTM_BTR1_2024 [PRX; BTR1 Guatemala 2024, tabla 3.6, p. 48; fila Gas/Diésel oíl; gas CO2]; CH4: MARN_GTM_BTR1_2024 [PRX; BTR1 Guatemala 2024, tabla 3.17, p. 57; fila Diésel; gas CH4]; N2O: MARN_GTM_BTR1_2024 [PRX; BTR1 Guatemala 2024, tabla 3.17, p. 57; fila Diésel; gas N2O].</t>
        </is>
      </c>
    </row>
    <row r="128" customFormat="false" ht="23.85" hidden="false" customHeight="false" outlineLevel="0" collapsed="false">
      <c r="A128" s="4" t="s">
        <v>5860</v>
      </c>
      <c r="B128" s="12" t="n">
        <v>2020</v>
      </c>
      <c r="C128" s="4" t="s">
        <v>67</v>
      </c>
      <c r="D128" s="4" t="s">
        <v>5685</v>
      </c>
      <c r="E128" s="4" t="s">
        <v>3341</v>
      </c>
      <c r="F128" s="4" t="s">
        <v>3342</v>
      </c>
      <c r="G128" s="4" t="s">
        <v>99</v>
      </c>
      <c r="H128" s="4" t="s">
        <v>2003</v>
      </c>
      <c r="I128" s="4" t="s">
        <v>67</v>
      </c>
      <c r="J128" s="4" t="s">
        <v>1994</v>
      </c>
      <c r="K128" s="4" t="s">
        <v>1995</v>
      </c>
      <c r="L128" s="4" t="s">
        <v>828</v>
      </c>
      <c r="M128" s="14" t="n">
        <f aca="false">SUMIFS(PSUT_LARGA!$K$2:$K$618,PSUT_LARGA!$B$2:$B$618,$B128,PSUT_LARGA!$H$2:$H$618,$L128,PSUT_LARGA!$E$2:$E$618,$J128,PSUT_LARGA!$F$2:$F$618,$K128,PSUT_LARGA!$G$2:$G$618,$I128,PSUT_LARGA!$I$2:$I$618,$H128)</f>
        <v>42996.7888</v>
      </c>
      <c r="N128" s="14" t="n">
        <f aca="false">IF($H128="TRANSFORMACION_REFINERIA",$M128*INDEX(PARAMETROS!$C$27:$C$33,MATCH($B128,PARAMETROS!$A$27:$A$33,0)),$M128)</f>
        <v>42996.7888</v>
      </c>
      <c r="O128" s="4" t="s">
        <v>3362</v>
      </c>
      <c r="P128" s="4" t="s">
        <v>3363</v>
      </c>
      <c r="Q128" s="11" t="n">
        <f aca="false">MIN($B128,2022)</f>
        <v>2020</v>
      </c>
      <c r="R128" s="8" t="str">
        <f>IF(COUNT($S128:$U128)=0,"NO",IF($O128="CERO_DIRECTO","CAL",IF(OR($B128&gt;$Q128,COUNTIFS(DATOS_MODELO!$C$2:$C$3672,$Q128&amp;"|"&amp;$E128&amp;"|"&amp;$O128&amp;"|*",DATOS_MODELO!$F$2:$F$3672,"PRX",DATOS_MODELO!$AA$2:$AA$3672,"&lt;&gt;")&gt;0),"PRX",IF(COUNTIFS(DATOS_MODELO!$C$2:$C$3672,$Q128&amp;"|"&amp;$E128&amp;"|"&amp;$O128&amp;"|*",DATOS_MODELO!$F$2:$F$3672,"CAL",DATOS_MODELO!$AA$2:$AA$3672,"&lt;&gt;")&gt;0,"CAL","OBS"))))</f>
        <v>CAL</v>
      </c>
      <c r="S128" s="14">
        <f>IF(COUNTIFS(DATOS_MODELO!$C$2:$C$3672,$Q128&amp;"|"&amp;$E128&amp;"|"&amp;$O128&amp;"|CO2",DATOS_MODELO!$AA$2:$AA$3672,"&lt;&gt;")=0,"",INDEX(DATOS_MODELO!$AA$2:$AA$3672,MATCH($Q128&amp;"|"&amp;$E128&amp;"|"&amp;$O128&amp;"|CO2",DATOS_MODELO!$C$2:$C$3672,0)))</f>
        <v>0.0</v>
      </c>
      <c r="T128" s="14">
        <f>IF(COUNTIFS(DATOS_MODELO!$C$2:$C$3672,$Q128&amp;"|"&amp;$E128&amp;"|"&amp;$O128&amp;"|CH4",DATOS_MODELO!$AA$2:$AA$3672,"&lt;&gt;")=0,"",INDEX(DATOS_MODELO!$AA$2:$AA$3672,MATCH($Q128&amp;"|"&amp;$E128&amp;"|"&amp;$O128&amp;"|CH4",DATOS_MODELO!$C$2:$C$3672,0)))</f>
        <v>0.0</v>
      </c>
      <c r="U128" s="14">
        <f>IF(COUNTIFS(DATOS_MODELO!$C$2:$C$3672,$Q128&amp;"|"&amp;$E128&amp;"|"&amp;$O128&amp;"|N2O",DATOS_MODELO!$AA$2:$AA$3672,"&lt;&gt;")=0,"",INDEX(DATOS_MODELO!$AA$2:$AA$3672,MATCH($Q128&amp;"|"&amp;$E128&amp;"|"&amp;$O128&amp;"|N2O",DATOS_MODELO!$C$2:$C$3672,0)))</f>
        <v>0.0</v>
      </c>
      <c r="V128" s="8"/>
      <c r="W128" s="14"/>
      <c r="X128" s="14">
        <f>IF($P128="BIOGENICO",0,IF(ISNUMBER($S128),$N128*$S128/PARAMETROS!$B$8,""))</f>
        <v>0.0</v>
      </c>
      <c r="Y128" s="14">
        <f>IF($P128="BIOGENICO",IF(ISNUMBER($S128),$N128*$S128/PARAMETROS!$B$8,""),0)</f>
        <v>0.0</v>
      </c>
      <c r="Z128" s="14">
        <f>IF(ISNUMBER($T128),$N128*$T128/PARAMETROS!$B$8,"")</f>
        <v>0.0</v>
      </c>
      <c r="AA128" s="14">
        <f>IF(ISNUMBER($U128),$N128*$U128/PARAMETROS!$B$8,"")</f>
        <v>0.0</v>
      </c>
      <c r="AB128" s="14">
        <f>IF(COUNT($X128,$Z128,$AA128)=0,"",SUM($X128,IF(ISNUMBER($Z128),$Z128*PARAMETROS!$B$9,0),IF(ISNUMBER($AA128),$AA128*PARAMETROS!$B$10,0)))</f>
        <v>0.0</v>
      </c>
      <c r="AC128" s="4" t="s">
        <v>1990</v>
      </c>
      <c r="AD128" s="4"/>
      <c r="AE128" s="4" t="s">
        <v>3362</v>
      </c>
      <c r="AF128" s="4" t="s">
        <v>170</v>
      </c>
      <c r="AG128" s="4" t="inlineStr">
        <is>
          <t>METODO_EMISIONES</t>
        </is>
      </c>
      <c r="AH128" s="4"/>
    </row>
    <row r="129" customFormat="false" ht="23.85" hidden="false" customHeight="false" outlineLevel="0" collapsed="false">
      <c r="A129" s="4" t="s">
        <v>5861</v>
      </c>
      <c r="B129" s="12" t="n">
        <v>2020</v>
      </c>
      <c r="C129" s="4" t="s">
        <v>67</v>
      </c>
      <c r="D129" s="4" t="s">
        <v>5685</v>
      </c>
      <c r="E129" s="4" t="s">
        <v>3341</v>
      </c>
      <c r="F129" s="4" t="s">
        <v>3342</v>
      </c>
      <c r="G129" s="4" t="s">
        <v>99</v>
      </c>
      <c r="H129" s="4" t="s">
        <v>2008</v>
      </c>
      <c r="I129" s="4" t="s">
        <v>67</v>
      </c>
      <c r="J129" s="4" t="s">
        <v>1994</v>
      </c>
      <c r="K129" s="4" t="s">
        <v>1995</v>
      </c>
      <c r="L129" s="4" t="s">
        <v>829</v>
      </c>
      <c r="M129" s="14" t="n">
        <f aca="false">SUMIFS(PSUT_LARGA!$K$2:$K$618,PSUT_LARGA!$B$2:$B$618,$B129,PSUT_LARGA!$H$2:$H$618,$L129,PSUT_LARGA!$E$2:$E$618,$J129,PSUT_LARGA!$F$2:$F$618,$K129,PSUT_LARGA!$G$2:$G$618,$I129,PSUT_LARGA!$I$2:$I$618,$H129)</f>
        <v>3091.7334</v>
      </c>
      <c r="N129" s="14" t="n">
        <f aca="false">IF($H129="TRANSFORMACION_REFINERIA",$M129*INDEX(PARAMETROS!$C$27:$C$33,MATCH($B129,PARAMETROS!$A$27:$A$33,0)),$M129)</f>
        <v>3091.7334</v>
      </c>
      <c r="O129" s="4" t="s">
        <v>3362</v>
      </c>
      <c r="P129" s="4" t="s">
        <v>3363</v>
      </c>
      <c r="Q129" s="11" t="n">
        <f aca="false">MIN($B129,2022)</f>
        <v>2020</v>
      </c>
      <c r="R129" s="8" t="str">
        <f>IF(COUNT($S129:$U129)=0,"NO",IF($O129="CERO_DIRECTO","CAL",IF(OR($B129&gt;$Q129,COUNTIFS(DATOS_MODELO!$C$2:$C$3672,$Q129&amp;"|"&amp;$E129&amp;"|"&amp;$O129&amp;"|*",DATOS_MODELO!$F$2:$F$3672,"PRX",DATOS_MODELO!$AA$2:$AA$3672,"&lt;&gt;")&gt;0),"PRX",IF(COUNTIFS(DATOS_MODELO!$C$2:$C$3672,$Q129&amp;"|"&amp;$E129&amp;"|"&amp;$O129&amp;"|*",DATOS_MODELO!$F$2:$F$3672,"CAL",DATOS_MODELO!$AA$2:$AA$3672,"&lt;&gt;")&gt;0,"CAL","OBS"))))</f>
        <v>CAL</v>
      </c>
      <c r="S129" s="14">
        <f>IF(COUNTIFS(DATOS_MODELO!$C$2:$C$3672,$Q129&amp;"|"&amp;$E129&amp;"|"&amp;$O129&amp;"|CO2",DATOS_MODELO!$AA$2:$AA$3672,"&lt;&gt;")=0,"",INDEX(DATOS_MODELO!$AA$2:$AA$3672,MATCH($Q129&amp;"|"&amp;$E129&amp;"|"&amp;$O129&amp;"|CO2",DATOS_MODELO!$C$2:$C$3672,0)))</f>
        <v>0.0</v>
      </c>
      <c r="T129" s="14">
        <f>IF(COUNTIFS(DATOS_MODELO!$C$2:$C$3672,$Q129&amp;"|"&amp;$E129&amp;"|"&amp;$O129&amp;"|CH4",DATOS_MODELO!$AA$2:$AA$3672,"&lt;&gt;")=0,"",INDEX(DATOS_MODELO!$AA$2:$AA$3672,MATCH($Q129&amp;"|"&amp;$E129&amp;"|"&amp;$O129&amp;"|CH4",DATOS_MODELO!$C$2:$C$3672,0)))</f>
        <v>0.0</v>
      </c>
      <c r="U129" s="14">
        <f>IF(COUNTIFS(DATOS_MODELO!$C$2:$C$3672,$Q129&amp;"|"&amp;$E129&amp;"|"&amp;$O129&amp;"|N2O",DATOS_MODELO!$AA$2:$AA$3672,"&lt;&gt;")=0,"",INDEX(DATOS_MODELO!$AA$2:$AA$3672,MATCH($Q129&amp;"|"&amp;$E129&amp;"|"&amp;$O129&amp;"|N2O",DATOS_MODELO!$C$2:$C$3672,0)))</f>
        <v>0.0</v>
      </c>
      <c r="V129" s="8"/>
      <c r="W129" s="14"/>
      <c r="X129" s="14">
        <f>IF($P129="BIOGENICO",0,IF(ISNUMBER($S129),$N129*$S129/PARAMETROS!$B$8,""))</f>
        <v>0.0</v>
      </c>
      <c r="Y129" s="14">
        <f>IF($P129="BIOGENICO",IF(ISNUMBER($S129),$N129*$S129/PARAMETROS!$B$8,""),0)</f>
        <v>0.0</v>
      </c>
      <c r="Z129" s="14">
        <f>IF(ISNUMBER($T129),$N129*$T129/PARAMETROS!$B$8,"")</f>
        <v>0.0</v>
      </c>
      <c r="AA129" s="14">
        <f>IF(ISNUMBER($U129),$N129*$U129/PARAMETROS!$B$8,"")</f>
        <v>0.0</v>
      </c>
      <c r="AB129" s="14">
        <f>IF(COUNT($X129,$Z129,$AA129)=0,"",SUM($X129,IF(ISNUMBER($Z129),$Z129*PARAMETROS!$B$9,0),IF(ISNUMBER($AA129),$AA129*PARAMETROS!$B$10,0)))</f>
        <v>0.0</v>
      </c>
      <c r="AC129" s="4" t="s">
        <v>1990</v>
      </c>
      <c r="AD129" s="4"/>
      <c r="AE129" s="4" t="s">
        <v>3362</v>
      </c>
      <c r="AF129" s="4" t="s">
        <v>170</v>
      </c>
      <c r="AG129" s="4" t="inlineStr">
        <is>
          <t>METODO_EMISIONES</t>
        </is>
      </c>
      <c r="AH129" s="4"/>
    </row>
    <row r="130" customFormat="false" ht="23.85" hidden="false" customHeight="false" outlineLevel="0" collapsed="false">
      <c r="A130" s="4" t="s">
        <v>5862</v>
      </c>
      <c r="B130" s="12" t="n">
        <v>2020</v>
      </c>
      <c r="C130" s="4" t="s">
        <v>67</v>
      </c>
      <c r="D130" s="4" t="s">
        <v>5685</v>
      </c>
      <c r="E130" s="4" t="s">
        <v>3420</v>
      </c>
      <c r="F130" s="4" t="s">
        <v>3421</v>
      </c>
      <c r="G130" s="4" t="s">
        <v>99</v>
      </c>
      <c r="H130" s="4" t="s">
        <v>2139</v>
      </c>
      <c r="I130" s="4" t="s">
        <v>67</v>
      </c>
      <c r="J130" s="4" t="s">
        <v>2001</v>
      </c>
      <c r="K130" s="4" t="s">
        <v>2002</v>
      </c>
      <c r="L130" s="4" t="s">
        <v>830</v>
      </c>
      <c r="M130" s="14" t="n">
        <f aca="false">SUMIFS(PSUT_LARGA!$K$2:$K$618,PSUT_LARGA!$B$2:$B$618,$B130,PSUT_LARGA!$H$2:$H$618,$L130,PSUT_LARGA!$E$2:$E$618,$J130,PSUT_LARGA!$F$2:$F$618,$K130,PSUT_LARGA!$G$2:$G$618,$I130,PSUT_LARGA!$I$2:$I$618,$H130)</f>
        <v>2860.7859</v>
      </c>
      <c r="N130" s="14" t="n">
        <f aca="false">IF($H130="TRANSFORMACION_REFINERIA",$M130*INDEX(PARAMETROS!$C$27:$C$33,MATCH($B130,PARAMETROS!$A$27:$A$33,0)),$M130)</f>
        <v>2860.7859</v>
      </c>
      <c r="O130" s="4" t="s">
        <v>3362</v>
      </c>
      <c r="P130" s="4" t="s">
        <v>3363</v>
      </c>
      <c r="Q130" s="11" t="n">
        <f aca="false">MIN($B130,2022)</f>
        <v>2020</v>
      </c>
      <c r="R130" s="8" t="str">
        <f>IF(COUNT($S130:$U130)=0,"NO",IF($O130="CERO_DIRECTO","CAL",IF(OR($B130&gt;$Q130,COUNTIFS(DATOS_MODELO!$C$2:$C$3672,$Q130&amp;"|"&amp;$E130&amp;"|"&amp;$O130&amp;"|*",DATOS_MODELO!$F$2:$F$3672,"PRX",DATOS_MODELO!$AA$2:$AA$3672,"&lt;&gt;")&gt;0),"PRX",IF(COUNTIFS(DATOS_MODELO!$C$2:$C$3672,$Q130&amp;"|"&amp;$E130&amp;"|"&amp;$O130&amp;"|*",DATOS_MODELO!$F$2:$F$3672,"CAL",DATOS_MODELO!$AA$2:$AA$3672,"&lt;&gt;")&gt;0,"CAL","OBS"))))</f>
        <v>CAL</v>
      </c>
      <c r="S130" s="14">
        <f>IF(COUNTIFS(DATOS_MODELO!$C$2:$C$3672,$Q130&amp;"|"&amp;$E130&amp;"|"&amp;$O130&amp;"|CO2",DATOS_MODELO!$AA$2:$AA$3672,"&lt;&gt;")=0,"",INDEX(DATOS_MODELO!$AA$2:$AA$3672,MATCH($Q130&amp;"|"&amp;$E130&amp;"|"&amp;$O130&amp;"|CO2",DATOS_MODELO!$C$2:$C$3672,0)))</f>
        <v>0.0</v>
      </c>
      <c r="T130" s="14">
        <f>IF(COUNTIFS(DATOS_MODELO!$C$2:$C$3672,$Q130&amp;"|"&amp;$E130&amp;"|"&amp;$O130&amp;"|CH4",DATOS_MODELO!$AA$2:$AA$3672,"&lt;&gt;")=0,"",INDEX(DATOS_MODELO!$AA$2:$AA$3672,MATCH($Q130&amp;"|"&amp;$E130&amp;"|"&amp;$O130&amp;"|CH4",DATOS_MODELO!$C$2:$C$3672,0)))</f>
        <v>0.0</v>
      </c>
      <c r="U130" s="14">
        <f>IF(COUNTIFS(DATOS_MODELO!$C$2:$C$3672,$Q130&amp;"|"&amp;$E130&amp;"|"&amp;$O130&amp;"|N2O",DATOS_MODELO!$AA$2:$AA$3672,"&lt;&gt;")=0,"",INDEX(DATOS_MODELO!$AA$2:$AA$3672,MATCH($Q130&amp;"|"&amp;$E130&amp;"|"&amp;$O130&amp;"|N2O",DATOS_MODELO!$C$2:$C$3672,0)))</f>
        <v>0.0</v>
      </c>
      <c r="V130" s="8"/>
      <c r="W130" s="14"/>
      <c r="X130" s="14">
        <f>IF($P130="BIOGENICO",0,IF(ISNUMBER($S130),$N130*$S130/PARAMETROS!$B$8,""))</f>
        <v>0.0</v>
      </c>
      <c r="Y130" s="14">
        <f>IF($P130="BIOGENICO",IF(ISNUMBER($S130),$N130*$S130/PARAMETROS!$B$8,""),0)</f>
        <v>0.0</v>
      </c>
      <c r="Z130" s="14">
        <f>IF(ISNUMBER($T130),$N130*$T130/PARAMETROS!$B$8,"")</f>
        <v>0.0</v>
      </c>
      <c r="AA130" s="14">
        <f>IF(ISNUMBER($U130),$N130*$U130/PARAMETROS!$B$8,"")</f>
        <v>0.0</v>
      </c>
      <c r="AB130" s="14">
        <f>IF(COUNT($X130,$Z130,$AA130)=0,"",SUM($X130,IF(ISNUMBER($Z130),$Z130*PARAMETROS!$B$9,0),IF(ISNUMBER($AA130),$AA130*PARAMETROS!$B$10,0)))</f>
        <v>0.0</v>
      </c>
      <c r="AC130" s="4" t="s">
        <v>1990</v>
      </c>
      <c r="AD130" s="4"/>
      <c r="AE130" s="4" t="s">
        <v>3362</v>
      </c>
      <c r="AF130" s="4" t="s">
        <v>170</v>
      </c>
      <c r="AG130" s="4" t="inlineStr">
        <is>
          <t>METODO_EMISIONES</t>
        </is>
      </c>
      <c r="AH130" s="4"/>
    </row>
    <row r="131" customFormat="false" ht="15" hidden="false" customHeight="false" outlineLevel="0" collapsed="false">
      <c r="A131" s="4" t="s">
        <v>5863</v>
      </c>
      <c r="B131" s="12" t="n">
        <v>2020</v>
      </c>
      <c r="C131" s="4" t="s">
        <v>67</v>
      </c>
      <c r="D131" s="4" t="s">
        <v>5685</v>
      </c>
      <c r="E131" s="4" t="s">
        <v>3341</v>
      </c>
      <c r="F131" s="4" t="s">
        <v>3342</v>
      </c>
      <c r="G131" s="4" t="s">
        <v>101</v>
      </c>
      <c r="H131" s="4" t="s">
        <v>2003</v>
      </c>
      <c r="I131" s="4" t="s">
        <v>67</v>
      </c>
      <c r="J131" s="4" t="s">
        <v>2001</v>
      </c>
      <c r="K131" s="4" t="s">
        <v>2002</v>
      </c>
      <c r="L131" s="4" t="s">
        <v>842</v>
      </c>
      <c r="M131" s="14" t="n">
        <f aca="false">SUMIFS(PSUT_LARGA!$K$2:$K$618,PSUT_LARGA!$B$2:$B$618,$B131,PSUT_LARGA!$H$2:$H$618,$L131,PSUT_LARGA!$E$2:$E$618,$J131,PSUT_LARGA!$F$2:$F$618,$K131,PSUT_LARGA!$G$2:$G$618,$I131,PSUT_LARGA!$I$2:$I$618,$H131)</f>
        <v>2928.5305</v>
      </c>
      <c r="N131" s="14" t="n">
        <f aca="false">IF($H131="TRANSFORMACION_REFINERIA",$M131*INDEX(PARAMETROS!$C$27:$C$33,MATCH($B131,PARAMETROS!$A$27:$A$33,0)),$M131)</f>
        <v>2928.5305</v>
      </c>
      <c r="O131" s="4" t="inlineStr">
        <is>
          <t>COMB_FOIL</t>
        </is>
      </c>
      <c r="P131" s="4" t="s">
        <v>3352</v>
      </c>
      <c r="Q131" s="11" t="n">
        <f aca="false">MIN($B131,2022)</f>
        <v>2020</v>
      </c>
      <c r="R131" s="8" t="str">
        <f>IF(COUNT($S131:$U131)=0,"NO",IF($O131="CERO_DIRECTO","CAL",IF(OR($B131&gt;$Q131,COUNTIFS(DATOS_MODELO!$C$2:$C$3672,$Q131&amp;"|"&amp;$E131&amp;"|"&amp;$O131&amp;"|*",DATOS_MODELO!$F$2:$F$3672,"PRX",DATOS_MODELO!$AA$2:$AA$3672,"&lt;&gt;")&gt;0),"PRX",IF(COUNTIFS(DATOS_MODELO!$C$2:$C$3672,$Q131&amp;"|"&amp;$E131&amp;"|"&amp;$O131&amp;"|*",DATOS_MODELO!$F$2:$F$3672,"CAL",DATOS_MODELO!$AA$2:$AA$3672,"&lt;&gt;")&gt;0,"CAL","OBS"))))</f>
        <v>PRX</v>
      </c>
      <c r="S131" s="14">
        <f>IF(COUNTIFS(DATOS_MODELO!$C$2:$C$3672,$Q131&amp;"|"&amp;$E131&amp;"|"&amp;$O131&amp;"|CO2",DATOS_MODELO!$AA$2:$AA$3672,"&lt;&gt;")=0,"",INDEX(DATOS_MODELO!$AA$2:$AA$3672,MATCH($Q131&amp;"|"&amp;$E131&amp;"|"&amp;$O131&amp;"|CO2",DATOS_MODELO!$C$2:$C$3672,0)))</f>
        <v>77400.0</v>
      </c>
      <c r="T131" s="14">
        <f>IF(COUNTIFS(DATOS_MODELO!$C$2:$C$3672,$Q131&amp;"|"&amp;$E131&amp;"|"&amp;$O131&amp;"|CH4",DATOS_MODELO!$AA$2:$AA$3672,"&lt;&gt;")=0,"",INDEX(DATOS_MODELO!$AA$2:$AA$3672,MATCH($Q131&amp;"|"&amp;$E131&amp;"|"&amp;$O131&amp;"|CH4",DATOS_MODELO!$C$2:$C$3672,0)))</f>
        <v>3.0</v>
      </c>
      <c r="U131" s="14">
        <f>IF(COUNTIFS(DATOS_MODELO!$C$2:$C$3672,$Q131&amp;"|"&amp;$E131&amp;"|"&amp;$O131&amp;"|N2O",DATOS_MODELO!$AA$2:$AA$3672,"&lt;&gt;")=0,"",INDEX(DATOS_MODELO!$AA$2:$AA$3672,MATCH($Q131&amp;"|"&amp;$E131&amp;"|"&amp;$O131&amp;"|N2O",DATOS_MODELO!$C$2:$C$3672,0)))</f>
        <v>0.6</v>
      </c>
      <c r="V131" s="8"/>
      <c r="W131" s="14"/>
      <c r="X131" s="14">
        <f>IF($P131="BIOGENICO",0,IF(ISNUMBER($S131),$N131*$S131/PARAMETROS!$B$8,""))</f>
        <v>226.6682607</v>
      </c>
      <c r="Y131" s="14">
        <f>IF($P131="BIOGENICO",IF(ISNUMBER($S131),$N131*$S131/PARAMETROS!$B$8,""),0)</f>
        <v>0.0</v>
      </c>
      <c r="Z131" s="14">
        <f>IF(ISNUMBER($T131),$N131*$T131/PARAMETROS!$B$8,"")</f>
        <v>0.0087855915</v>
      </c>
      <c r="AA131" s="14">
        <f>IF(ISNUMBER($U131),$N131*$U131/PARAMETROS!$B$8,"")</f>
        <v>0.0017571183</v>
      </c>
      <c r="AB131" s="14">
        <f>IF(COUNT($X131,$Z131,$AA131)=0,"",SUM($X131,IF(ISNUMBER($Z131),$Z131*PARAMETROS!$B$9,0),IF(ISNUMBER($AA131),$AA131*PARAMETROS!$B$10,0)))</f>
        <v>227.3798936115</v>
      </c>
      <c r="AC131" s="4" t="s">
        <v>1990</v>
      </c>
      <c r="AD131" s="4"/>
      <c r="AE131" s="4" t="s">
        <v>5690</v>
      </c>
      <c r="AF131" s="4" t="s">
        <v>170</v>
      </c>
      <c r="AG131" s="4" t="inlineStr">
        <is>
          <t>MARN_GTM_BTR1_2024</t>
        </is>
      </c>
      <c r="AH131" s="4" t="inlineStr">
        <is>
          <t>Origen de factores: CO2: MARN_GTM_BTR1_2024 [PRX; BTR1 Guatemala 2024, tabla 3.6, p. 48; fila Fuelóleo residual; gas CO2]; CH4: MARN_GTM_BTR1_2024 [PRX; BTR1 Guatemala 2024, tabla 3.17, p. 57; fila Fuelóleo residual; gas CH4]; N2O: MARN_GTM_BTR1_2024 [PRX; BTR1 Guatemala 2024, tabla 3.17, p. 57; fila Fuelóleo residual; gas N2O].</t>
        </is>
      </c>
    </row>
    <row r="132" customFormat="false" ht="15" hidden="false" customHeight="false" outlineLevel="0" collapsed="false">
      <c r="A132" s="4" t="s">
        <v>5864</v>
      </c>
      <c r="B132" s="12" t="n">
        <v>2020</v>
      </c>
      <c r="C132" s="4" t="s">
        <v>67</v>
      </c>
      <c r="D132" s="4" t="s">
        <v>5685</v>
      </c>
      <c r="E132" s="4" t="s">
        <v>3341</v>
      </c>
      <c r="F132" s="4" t="s">
        <v>3342</v>
      </c>
      <c r="G132" s="4" t="s">
        <v>101</v>
      </c>
      <c r="H132" s="4" t="s">
        <v>2008</v>
      </c>
      <c r="I132" s="4" t="s">
        <v>67</v>
      </c>
      <c r="J132" s="4" t="s">
        <v>2001</v>
      </c>
      <c r="K132" s="4" t="s">
        <v>2002</v>
      </c>
      <c r="L132" s="4" t="s">
        <v>843</v>
      </c>
      <c r="M132" s="14" t="n">
        <f aca="false">SUMIFS(PSUT_LARGA!$K$2:$K$618,PSUT_LARGA!$B$2:$B$618,$B132,PSUT_LARGA!$H$2:$H$618,$L132,PSUT_LARGA!$E$2:$E$618,$J132,PSUT_LARGA!$F$2:$F$618,$K132,PSUT_LARGA!$G$2:$G$618,$I132,PSUT_LARGA!$I$2:$I$618,$H132)</f>
        <v>417.2742</v>
      </c>
      <c r="N132" s="14" t="n">
        <f aca="false">IF($H132="TRANSFORMACION_REFINERIA",$M132*INDEX(PARAMETROS!$C$27:$C$33,MATCH($B132,PARAMETROS!$A$27:$A$33,0)),$M132)</f>
        <v>417.2742</v>
      </c>
      <c r="O132" s="4" t="inlineStr">
        <is>
          <t>COMB_FOIL</t>
        </is>
      </c>
      <c r="P132" s="4" t="s">
        <v>3352</v>
      </c>
      <c r="Q132" s="11" t="n">
        <f aca="false">MIN($B132,2022)</f>
        <v>2020</v>
      </c>
      <c r="R132" s="8" t="str">
        <f>IF(COUNT($S132:$U132)=0,"NO",IF($O132="CERO_DIRECTO","CAL",IF(OR($B132&gt;$Q132,COUNTIFS(DATOS_MODELO!$C$2:$C$3672,$Q132&amp;"|"&amp;$E132&amp;"|"&amp;$O132&amp;"|*",DATOS_MODELO!$F$2:$F$3672,"PRX",DATOS_MODELO!$AA$2:$AA$3672,"&lt;&gt;")&gt;0),"PRX",IF(COUNTIFS(DATOS_MODELO!$C$2:$C$3672,$Q132&amp;"|"&amp;$E132&amp;"|"&amp;$O132&amp;"|*",DATOS_MODELO!$F$2:$F$3672,"CAL",DATOS_MODELO!$AA$2:$AA$3672,"&lt;&gt;")&gt;0,"CAL","OBS"))))</f>
        <v>PRX</v>
      </c>
      <c r="S132" s="14">
        <f>IF(COUNTIFS(DATOS_MODELO!$C$2:$C$3672,$Q132&amp;"|"&amp;$E132&amp;"|"&amp;$O132&amp;"|CO2",DATOS_MODELO!$AA$2:$AA$3672,"&lt;&gt;")=0,"",INDEX(DATOS_MODELO!$AA$2:$AA$3672,MATCH($Q132&amp;"|"&amp;$E132&amp;"|"&amp;$O132&amp;"|CO2",DATOS_MODELO!$C$2:$C$3672,0)))</f>
        <v>77400.0</v>
      </c>
      <c r="T132" s="14">
        <f>IF(COUNTIFS(DATOS_MODELO!$C$2:$C$3672,$Q132&amp;"|"&amp;$E132&amp;"|"&amp;$O132&amp;"|CH4",DATOS_MODELO!$AA$2:$AA$3672,"&lt;&gt;")=0,"",INDEX(DATOS_MODELO!$AA$2:$AA$3672,MATCH($Q132&amp;"|"&amp;$E132&amp;"|"&amp;$O132&amp;"|CH4",DATOS_MODELO!$C$2:$C$3672,0)))</f>
        <v>3.0</v>
      </c>
      <c r="U132" s="14">
        <f>IF(COUNTIFS(DATOS_MODELO!$C$2:$C$3672,$Q132&amp;"|"&amp;$E132&amp;"|"&amp;$O132&amp;"|N2O",DATOS_MODELO!$AA$2:$AA$3672,"&lt;&gt;")=0,"",INDEX(DATOS_MODELO!$AA$2:$AA$3672,MATCH($Q132&amp;"|"&amp;$E132&amp;"|"&amp;$O132&amp;"|N2O",DATOS_MODELO!$C$2:$C$3672,0)))</f>
        <v>0.6</v>
      </c>
      <c r="V132" s="8"/>
      <c r="W132" s="14"/>
      <c r="X132" s="14">
        <f>IF($P132="BIOGENICO",0,IF(ISNUMBER($S132),$N132*$S132/PARAMETROS!$B$8,""))</f>
        <v>32.29702308</v>
      </c>
      <c r="Y132" s="14">
        <f>IF($P132="BIOGENICO",IF(ISNUMBER($S132),$N132*$S132/PARAMETROS!$B$8,""),0)</f>
        <v>0.0</v>
      </c>
      <c r="Z132" s="14">
        <f>IF(ISNUMBER($T132),$N132*$T132/PARAMETROS!$B$8,"")</f>
        <v>0.00125182260673011</v>
      </c>
      <c r="AA132" s="14">
        <f>IF(ISNUMBER($U132),$N132*$U132/PARAMETROS!$B$8,"")</f>
        <v>0.00025036452</v>
      </c>
      <c r="AB132" s="14">
        <f>IF(COUNT($X132,$Z132,$AA132)=0,"",SUM($X132,IF(ISNUMBER($Z132),$Z132*PARAMETROS!$B$9,0),IF(ISNUMBER($AA132),$AA132*PARAMETROS!$B$10,0)))</f>
        <v>32.3984207106</v>
      </c>
      <c r="AC132" s="4" t="s">
        <v>1990</v>
      </c>
      <c r="AD132" s="4"/>
      <c r="AE132" s="4" t="s">
        <v>5690</v>
      </c>
      <c r="AF132" s="4" t="s">
        <v>170</v>
      </c>
      <c r="AG132" s="4" t="inlineStr">
        <is>
          <t>MARN_GTM_BTR1_2024</t>
        </is>
      </c>
      <c r="AH132" s="4" t="inlineStr">
        <is>
          <t>Origen de factores: CO2: MARN_GTM_BTR1_2024 [PRX; BTR1 Guatemala 2024, tabla 3.6, p. 48; fila Fuelóleo residual; gas CO2]; CH4: MARN_GTM_BTR1_2024 [PRX; BTR1 Guatemala 2024, tabla 3.17, p. 57; fila Fuelóleo residual; gas CH4]; N2O: MARN_GTM_BTR1_2024 [PRX; BTR1 Guatemala 2024, tabla 3.17, p. 57; fila Fuelóleo residual; gas N2O].</t>
        </is>
      </c>
    </row>
    <row r="133" customFormat="false" ht="15" hidden="false" customHeight="false" outlineLevel="0" collapsed="false">
      <c r="A133" s="4" t="s">
        <v>5865</v>
      </c>
      <c r="B133" s="12" t="n">
        <v>2020</v>
      </c>
      <c r="C133" s="4" t="s">
        <v>73</v>
      </c>
      <c r="D133" s="4" t="s">
        <v>5685</v>
      </c>
      <c r="E133" s="4" t="s">
        <v>3380</v>
      </c>
      <c r="F133" s="4" t="s">
        <v>3381</v>
      </c>
      <c r="G133" s="4" t="s">
        <v>109</v>
      </c>
      <c r="H133" s="4" t="s">
        <v>2075</v>
      </c>
      <c r="I133" s="4" t="s">
        <v>73</v>
      </c>
      <c r="J133" s="4" t="s">
        <v>2001</v>
      </c>
      <c r="K133" s="4" t="s">
        <v>2074</v>
      </c>
      <c r="L133" s="4" t="s">
        <v>762</v>
      </c>
      <c r="M133" s="14" t="n">
        <f aca="false">SUMIFS(PSUT_LARGA!$K$2:$K$618,PSUT_LARGA!$B$2:$B$618,$B133,PSUT_LARGA!$H$2:$H$618,$L133,PSUT_LARGA!$E$2:$E$618,$J133,PSUT_LARGA!$F$2:$F$618,$K133,PSUT_LARGA!$G$2:$G$618,$I133,PSUT_LARGA!$I$2:$I$618,$H133)</f>
        <v>295100.4742</v>
      </c>
      <c r="N133" s="14" t="n">
        <f aca="false">IF($H133="TRANSFORMACION_REFINERIA",$M133*INDEX(PARAMETROS!$C$27:$C$33,MATCH($B133,PARAMETROS!$A$27:$A$33,0)),$M133)</f>
        <v>295100.4742</v>
      </c>
      <c r="O133" s="4" t="s">
        <v>3343</v>
      </c>
      <c r="P133" s="4" t="s">
        <v>3344</v>
      </c>
      <c r="Q133" s="11" t="n">
        <f aca="false">MIN($B133,2022)</f>
        <v>2020</v>
      </c>
      <c r="R133" s="8" t="str">
        <f>IF(COUNT($S133:$U133)=0,"NO",IF($O133="CERO_DIRECTO","CAL",IF(OR($B133&gt;$Q133,COUNTIFS(DATOS_MODELO!$C$2:$C$3672,$Q133&amp;"|"&amp;$E133&amp;"|"&amp;$O133&amp;"|*",DATOS_MODELO!$F$2:$F$3672,"PRX",DATOS_MODELO!$AA$2:$AA$3672,"&lt;&gt;")&gt;0),"PRX",IF(COUNTIFS(DATOS_MODELO!$C$2:$C$3672,$Q133&amp;"|"&amp;$E133&amp;"|"&amp;$O133&amp;"|*",DATOS_MODELO!$F$2:$F$3672,"CAL",DATOS_MODELO!$AA$2:$AA$3672,"&lt;&gt;")&gt;0,"CAL","OBS"))))</f>
        <v>OBS</v>
      </c>
      <c r="S133" s="14">
        <f>IF(COUNTIFS(DATOS_MODELO!$C$2:$C$3672,$Q133&amp;"|"&amp;$E133&amp;"|"&amp;$O133&amp;"|CO2",DATOS_MODELO!$AA$2:$AA$3672,"&lt;&gt;")=0,"",INDEX(DATOS_MODELO!$AA$2:$AA$3672,MATCH($Q133&amp;"|"&amp;$E133&amp;"|"&amp;$O133&amp;"|CO2",DATOS_MODELO!$C$2:$C$3672,0)))</f>
        <v>112000.000068938</v>
      </c>
      <c r="T133" s="14">
        <f>IF(COUNTIFS(DATOS_MODELO!$C$2:$C$3672,$Q133&amp;"|"&amp;$E133&amp;"|"&amp;$O133&amp;"|CH4",DATOS_MODELO!$AA$2:$AA$3672,"&lt;&gt;")=0,"",INDEX(DATOS_MODELO!$AA$2:$AA$3672,MATCH($Q133&amp;"|"&amp;$E133&amp;"|"&amp;$O133&amp;"|CH4",DATOS_MODELO!$C$2:$C$3672,0)))</f>
        <v>299.999999655311</v>
      </c>
      <c r="U133" s="14">
        <f>IF(COUNTIFS(DATOS_MODELO!$C$2:$C$3672,$Q133&amp;"|"&amp;$E133&amp;"|"&amp;$O133&amp;"|N2O",DATOS_MODELO!$AA$2:$AA$3672,"&lt;&gt;")=0,"",INDEX(DATOS_MODELO!$AA$2:$AA$3672,MATCH($Q133&amp;"|"&amp;$E133&amp;"|"&amp;$O133&amp;"|N2O",DATOS_MODELO!$C$2:$C$3672,0)))</f>
        <v>4.0</v>
      </c>
      <c r="V133" s="8"/>
      <c r="W133" s="14"/>
      <c r="X133" s="14">
        <f>IF($P133="BIOGENICO",0,IF(ISNUMBER($S133),$N133*$S133/PARAMETROS!$B$8,""))</f>
        <v>0.0</v>
      </c>
      <c r="Y133" s="14">
        <f>IF($P133="BIOGENICO",IF(ISNUMBER($S133),$N133*$S133/PARAMETROS!$B$8,""),0)</f>
        <v>33051.2531307436</v>
      </c>
      <c r="Z133" s="14">
        <f>IF(ISNUMBER($T133),$N133*$T133/PARAMETROS!$B$8,"")</f>
        <v>88.530142158282</v>
      </c>
      <c r="AA133" s="14">
        <f>IF(ISNUMBER($U133),$N133*$U133/PARAMETROS!$B$8,"")</f>
        <v>1.1804018968</v>
      </c>
      <c r="AB133" s="14">
        <f>IF(COUNT($X133,$Z133,$AA133)=0,"",SUM($X133,IF(ISNUMBER($Z133),$Z133*PARAMETROS!$B$9,0),IF(ISNUMBER($AA133),$AA133*PARAMETROS!$B$10,0)))</f>
        <v>2791.6504830839</v>
      </c>
      <c r="AC133" s="4" t="s">
        <v>1990</v>
      </c>
      <c r="AD133" s="4"/>
      <c r="AE133" s="4" t="s">
        <v>5690</v>
      </c>
      <c r="AF133" s="4" t="s">
        <v>170</v>
      </c>
      <c r="AG133" s="4" t="s">
        <v>3999</v>
      </c>
      <c r="AH133" s="4"/>
    </row>
    <row r="134" customFormat="false" ht="23.85" hidden="false" customHeight="false" outlineLevel="0" collapsed="false">
      <c r="A134" s="4" t="s">
        <v>5866</v>
      </c>
      <c r="B134" s="12" t="n">
        <v>2020</v>
      </c>
      <c r="C134" s="4" t="s">
        <v>73</v>
      </c>
      <c r="D134" s="4" t="s">
        <v>5685</v>
      </c>
      <c r="E134" s="4" t="s">
        <v>3380</v>
      </c>
      <c r="F134" s="4" t="s">
        <v>3381</v>
      </c>
      <c r="G134" s="4" t="s">
        <v>99</v>
      </c>
      <c r="H134" s="4" t="s">
        <v>2075</v>
      </c>
      <c r="I134" s="4" t="s">
        <v>73</v>
      </c>
      <c r="J134" s="4" t="s">
        <v>2001</v>
      </c>
      <c r="K134" s="4" t="s">
        <v>2074</v>
      </c>
      <c r="L134" s="4" t="s">
        <v>832</v>
      </c>
      <c r="M134" s="14" t="n">
        <f aca="false">SUMIFS(PSUT_LARGA!$K$2:$K$618,PSUT_LARGA!$B$2:$B$618,$B134,PSUT_LARGA!$H$2:$H$618,$L134,PSUT_LARGA!$E$2:$E$618,$J134,PSUT_LARGA!$F$2:$F$618,$K134,PSUT_LARGA!$G$2:$G$618,$I134,PSUT_LARGA!$I$2:$I$618,$H134)</f>
        <v>13727.6937</v>
      </c>
      <c r="N134" s="14" t="n">
        <f aca="false">IF($H134="TRANSFORMACION_REFINERIA",$M134*INDEX(PARAMETROS!$C$27:$C$33,MATCH($B134,PARAMETROS!$A$27:$A$33,0)),$M134)</f>
        <v>13727.6937</v>
      </c>
      <c r="O134" s="4" t="s">
        <v>3362</v>
      </c>
      <c r="P134" s="4" t="s">
        <v>3363</v>
      </c>
      <c r="Q134" s="11" t="n">
        <f aca="false">MIN($B134,2022)</f>
        <v>2020</v>
      </c>
      <c r="R134" s="8" t="str">
        <f>IF(COUNT($S134:$U134)=0,"NO",IF($O134="CERO_DIRECTO","CAL",IF(OR($B134&gt;$Q134,COUNTIFS(DATOS_MODELO!$C$2:$C$3672,$Q134&amp;"|"&amp;$E134&amp;"|"&amp;$O134&amp;"|*",DATOS_MODELO!$F$2:$F$3672,"PRX",DATOS_MODELO!$AA$2:$AA$3672,"&lt;&gt;")&gt;0),"PRX",IF(COUNTIFS(DATOS_MODELO!$C$2:$C$3672,$Q134&amp;"|"&amp;$E134&amp;"|"&amp;$O134&amp;"|*",DATOS_MODELO!$F$2:$F$3672,"CAL",DATOS_MODELO!$AA$2:$AA$3672,"&lt;&gt;")&gt;0,"CAL","OBS"))))</f>
        <v>CAL</v>
      </c>
      <c r="S134" s="14">
        <f>IF(COUNTIFS(DATOS_MODELO!$C$2:$C$3672,$Q134&amp;"|"&amp;$E134&amp;"|"&amp;$O134&amp;"|CO2",DATOS_MODELO!$AA$2:$AA$3672,"&lt;&gt;")=0,"",INDEX(DATOS_MODELO!$AA$2:$AA$3672,MATCH($Q134&amp;"|"&amp;$E134&amp;"|"&amp;$O134&amp;"|CO2",DATOS_MODELO!$C$2:$C$3672,0)))</f>
        <v>0.0</v>
      </c>
      <c r="T134" s="14">
        <f>IF(COUNTIFS(DATOS_MODELO!$C$2:$C$3672,$Q134&amp;"|"&amp;$E134&amp;"|"&amp;$O134&amp;"|CH4",DATOS_MODELO!$AA$2:$AA$3672,"&lt;&gt;")=0,"",INDEX(DATOS_MODELO!$AA$2:$AA$3672,MATCH($Q134&amp;"|"&amp;$E134&amp;"|"&amp;$O134&amp;"|CH4",DATOS_MODELO!$C$2:$C$3672,0)))</f>
        <v>0.0</v>
      </c>
      <c r="U134" s="14">
        <f>IF(COUNTIFS(DATOS_MODELO!$C$2:$C$3672,$Q134&amp;"|"&amp;$E134&amp;"|"&amp;$O134&amp;"|N2O",DATOS_MODELO!$AA$2:$AA$3672,"&lt;&gt;")=0,"",INDEX(DATOS_MODELO!$AA$2:$AA$3672,MATCH($Q134&amp;"|"&amp;$E134&amp;"|"&amp;$O134&amp;"|N2O",DATOS_MODELO!$C$2:$C$3672,0)))</f>
        <v>0.0</v>
      </c>
      <c r="V134" s="8"/>
      <c r="W134" s="14"/>
      <c r="X134" s="14">
        <f>IF($P134="BIOGENICO",0,IF(ISNUMBER($S134),$N134*$S134/PARAMETROS!$B$8,""))</f>
        <v>0.0</v>
      </c>
      <c r="Y134" s="14">
        <f>IF($P134="BIOGENICO",IF(ISNUMBER($S134),$N134*$S134/PARAMETROS!$B$8,""),0)</f>
        <v>0.0</v>
      </c>
      <c r="Z134" s="14">
        <f>IF(ISNUMBER($T134),$N134*$T134/PARAMETROS!$B$8,"")</f>
        <v>0.0</v>
      </c>
      <c r="AA134" s="14">
        <f>IF(ISNUMBER($U134),$N134*$U134/PARAMETROS!$B$8,"")</f>
        <v>0.0</v>
      </c>
      <c r="AB134" s="14">
        <f>IF(COUNT($X134,$Z134,$AA134)=0,"",SUM($X134,IF(ISNUMBER($Z134),$Z134*PARAMETROS!$B$9,0),IF(ISNUMBER($AA134),$AA134*PARAMETROS!$B$10,0)))</f>
        <v>0.0</v>
      </c>
      <c r="AC134" s="4" t="s">
        <v>1990</v>
      </c>
      <c r="AD134" s="4"/>
      <c r="AE134" s="4" t="s">
        <v>3362</v>
      </c>
      <c r="AF134" s="4" t="s">
        <v>170</v>
      </c>
      <c r="AG134" s="4" t="inlineStr">
        <is>
          <t>METODO_EMISIONES</t>
        </is>
      </c>
      <c r="AH134" s="4"/>
    </row>
    <row r="135" customFormat="false" ht="15" hidden="false" customHeight="false" outlineLevel="0" collapsed="false">
      <c r="A135" s="4" t="s">
        <v>5867</v>
      </c>
      <c r="B135" s="12" t="n">
        <v>2020</v>
      </c>
      <c r="C135" s="4" t="s">
        <v>73</v>
      </c>
      <c r="D135" s="4" t="s">
        <v>5685</v>
      </c>
      <c r="E135" s="4" t="s">
        <v>3380</v>
      </c>
      <c r="F135" s="4" t="s">
        <v>3381</v>
      </c>
      <c r="G135" s="4" t="s">
        <v>105</v>
      </c>
      <c r="H135" s="4" t="s">
        <v>2075</v>
      </c>
      <c r="I135" s="4" t="s">
        <v>73</v>
      </c>
      <c r="J135" s="4" t="s">
        <v>2001</v>
      </c>
      <c r="K135" s="4" t="s">
        <v>2074</v>
      </c>
      <c r="L135" s="4" t="s">
        <v>874</v>
      </c>
      <c r="M135" s="14" t="n">
        <f aca="false">SUMIFS(PSUT_LARGA!$K$2:$K$618,PSUT_LARGA!$B$2:$B$618,$B135,PSUT_LARGA!$H$2:$H$618,$L135,PSUT_LARGA!$E$2:$E$618,$J135,PSUT_LARGA!$F$2:$F$618,$K135,PSUT_LARGA!$G$2:$G$618,$I135,PSUT_LARGA!$I$2:$I$618,$H135)</f>
        <v>15257.641</v>
      </c>
      <c r="N135" s="14" t="n">
        <f aca="false">IF($H135="TRANSFORMACION_REFINERIA",$M135*INDEX(PARAMETROS!$C$27:$C$33,MATCH($B135,PARAMETROS!$A$27:$A$33,0)),$M135)</f>
        <v>15257.641</v>
      </c>
      <c r="O135" s="4" t="inlineStr">
        <is>
          <t>COMB_GLP</t>
        </is>
      </c>
      <c r="P135" s="4" t="s">
        <v>3352</v>
      </c>
      <c r="Q135" s="11" t="n">
        <f aca="false">MIN($B135,2022)</f>
        <v>2020</v>
      </c>
      <c r="R135" s="8" t="str">
        <f>IF(COUNT($S135:$U135)=0,"NO",IF($O135="CERO_DIRECTO","CAL",IF(OR($B135&gt;$Q135,COUNTIFS(DATOS_MODELO!$C$2:$C$3672,$Q135&amp;"|"&amp;$E135&amp;"|"&amp;$O135&amp;"|*",DATOS_MODELO!$F$2:$F$3672,"PRX",DATOS_MODELO!$AA$2:$AA$3672,"&lt;&gt;")&gt;0),"PRX",IF(COUNTIFS(DATOS_MODELO!$C$2:$C$3672,$Q135&amp;"|"&amp;$E135&amp;"|"&amp;$O135&amp;"|*",DATOS_MODELO!$F$2:$F$3672,"CAL",DATOS_MODELO!$AA$2:$AA$3672,"&lt;&gt;")&gt;0,"CAL","OBS"))))</f>
        <v>PRX</v>
      </c>
      <c r="S135" s="14">
        <f>IF(COUNTIFS(DATOS_MODELO!$C$2:$C$3672,$Q135&amp;"|"&amp;$E135&amp;"|"&amp;$O135&amp;"|CO2",DATOS_MODELO!$AA$2:$AA$3672,"&lt;&gt;")=0,"",INDEX(DATOS_MODELO!$AA$2:$AA$3672,MATCH($Q135&amp;"|"&amp;$E135&amp;"|"&amp;$O135&amp;"|CO2",DATOS_MODELO!$C$2:$C$3672,0)))</f>
        <v>63100.0</v>
      </c>
      <c r="T135" s="14">
        <f>IF(COUNTIFS(DATOS_MODELO!$C$2:$C$3672,$Q135&amp;"|"&amp;$E135&amp;"|"&amp;$O135&amp;"|CH4",DATOS_MODELO!$AA$2:$AA$3672,"&lt;&gt;")=0,"",INDEX(DATOS_MODELO!$AA$2:$AA$3672,MATCH($Q135&amp;"|"&amp;$E135&amp;"|"&amp;$O135&amp;"|CH4",DATOS_MODELO!$C$2:$C$3672,0)))</f>
        <v>5.0</v>
      </c>
      <c r="U135" s="14">
        <f>IF(COUNTIFS(DATOS_MODELO!$C$2:$C$3672,$Q135&amp;"|"&amp;$E135&amp;"|"&amp;$O135&amp;"|N2O",DATOS_MODELO!$AA$2:$AA$3672,"&lt;&gt;")=0,"",INDEX(DATOS_MODELO!$AA$2:$AA$3672,MATCH($Q135&amp;"|"&amp;$E135&amp;"|"&amp;$O135&amp;"|N2O",DATOS_MODELO!$C$2:$C$3672,0)))</f>
        <v>0.1</v>
      </c>
      <c r="V135" s="8"/>
      <c r="W135" s="14"/>
      <c r="X135" s="14">
        <f>IF($P135="BIOGENICO",0,IF(ISNUMBER($S135),$N135*$S135/PARAMETROS!$B$8,""))</f>
        <v>962.7571471</v>
      </c>
      <c r="Y135" s="14">
        <f>IF($P135="BIOGENICO",IF(ISNUMBER($S135),$N135*$S135/PARAMETROS!$B$8,""),0)</f>
        <v>0.0</v>
      </c>
      <c r="Z135" s="14">
        <f>IF(ISNUMBER($T135),$N135*$T135/PARAMETROS!$B$8,"")</f>
        <v>0.076288205</v>
      </c>
      <c r="AA135" s="14">
        <f>IF(ISNUMBER($U135),$N135*$U135/PARAMETROS!$B$8,"")</f>
        <v>0.0015257641</v>
      </c>
      <c r="AB135" s="14">
        <f>IF(COUNT($X135,$Z135,$AA135)=0,"",SUM($X135,IF(ISNUMBER($Z135),$Z135*PARAMETROS!$B$9,0),IF(ISNUMBER($AA135),$AA135*PARAMETROS!$B$10,0)))</f>
        <v>965.2975443265</v>
      </c>
      <c r="AC135" s="4" t="s">
        <v>1990</v>
      </c>
      <c r="AD135" s="4"/>
      <c r="AE135" s="4" t="s">
        <v>5690</v>
      </c>
      <c r="AF135" s="4" t="s">
        <v>170</v>
      </c>
      <c r="AG135" s="4" t="inlineStr">
        <is>
          <t>MARN_GTM_BTR1_2024</t>
        </is>
      </c>
      <c r="AH135" s="4" t="inlineStr">
        <is>
          <t>Origen de factores: CO2: MARN_GTM_BTR1_2024 [PRX; BTR1 Guatemala 2024, tabla 3.6, p. 48; fila Gases licuados de petróleo; gas CO2]; CH4: MARN_GTM_BTR1_2024 [PRX; BTR1 Guatemala 2024, tabla 3.33, p. 70; fila Gases licuados de petróleo; gas CH4]; N2O: MARN_GTM_BTR1_2024 [PRX; BTR1 Guatemala 2024, tabla 3.33, p. 70; fila Gases licuados de petróleo; gas N2O].</t>
        </is>
      </c>
    </row>
    <row r="136" customFormat="false" ht="15" hidden="false" customHeight="false" outlineLevel="0" collapsed="false">
      <c r="A136" s="4" t="s">
        <v>5868</v>
      </c>
      <c r="B136" s="12" t="n">
        <v>2020</v>
      </c>
      <c r="C136" s="4" t="s">
        <v>73</v>
      </c>
      <c r="D136" s="4" t="s">
        <v>5685</v>
      </c>
      <c r="E136" s="4" t="s">
        <v>3380</v>
      </c>
      <c r="F136" s="4" t="s">
        <v>3381</v>
      </c>
      <c r="G136" s="4" t="s">
        <v>107</v>
      </c>
      <c r="H136" s="4" t="s">
        <v>2075</v>
      </c>
      <c r="I136" s="4" t="s">
        <v>73</v>
      </c>
      <c r="J136" s="4" t="s">
        <v>2001</v>
      </c>
      <c r="K136" s="4" t="s">
        <v>2074</v>
      </c>
      <c r="L136" s="4" t="s">
        <v>888</v>
      </c>
      <c r="M136" s="14" t="n">
        <f aca="false">SUMIFS(PSUT_LARGA!$K$2:$K$618,PSUT_LARGA!$B$2:$B$618,$B136,PSUT_LARGA!$H$2:$H$618,$L136,PSUT_LARGA!$E$2:$E$618,$J136,PSUT_LARGA!$F$2:$F$618,$K136,PSUT_LARGA!$G$2:$G$618,$I136,PSUT_LARGA!$I$2:$I$618,$H136)</f>
        <v>15.1641</v>
      </c>
      <c r="N136" s="14" t="n">
        <f aca="false">IF($H136="TRANSFORMACION_REFINERIA",$M136*INDEX(PARAMETROS!$C$27:$C$33,MATCH($B136,PARAMETROS!$A$27:$A$33,0)),$M136)</f>
        <v>15.1641</v>
      </c>
      <c r="O136" s="4" t="inlineStr">
        <is>
          <t>COMB_KER</t>
        </is>
      </c>
      <c r="P136" s="4" t="s">
        <v>3352</v>
      </c>
      <c r="Q136" s="11" t="n">
        <f aca="false">MIN($B136,2022)</f>
        <v>2020</v>
      </c>
      <c r="R136" s="8" t="str">
        <f>IF(COUNT($S136:$U136)=0,"NO",IF($O136="CERO_DIRECTO","CAL",IF(OR($B136&gt;$Q136,COUNTIFS(DATOS_MODELO!$C$2:$C$3672,$Q136&amp;"|"&amp;$E136&amp;"|"&amp;$O136&amp;"|*",DATOS_MODELO!$F$2:$F$3672,"PRX",DATOS_MODELO!$AA$2:$AA$3672,"&lt;&gt;")&gt;0),"PRX",IF(COUNTIFS(DATOS_MODELO!$C$2:$C$3672,$Q136&amp;"|"&amp;$E136&amp;"|"&amp;$O136&amp;"|*",DATOS_MODELO!$F$2:$F$3672,"CAL",DATOS_MODELO!$AA$2:$AA$3672,"&lt;&gt;")&gt;0,"CAL","OBS"))))</f>
        <v>PRX</v>
      </c>
      <c r="S136" s="14">
        <f>IF(COUNTIFS(DATOS_MODELO!$C$2:$C$3672,$Q136&amp;"|"&amp;$E136&amp;"|"&amp;$O136&amp;"|CO2",DATOS_MODELO!$AA$2:$AA$3672,"&lt;&gt;")=0,"",INDEX(DATOS_MODELO!$AA$2:$AA$3672,MATCH($Q136&amp;"|"&amp;$E136&amp;"|"&amp;$O136&amp;"|CO2",DATOS_MODELO!$C$2:$C$3672,0)))</f>
        <v>71900.0</v>
      </c>
      <c r="T136" s="14">
        <f>IF(COUNTIFS(DATOS_MODELO!$C$2:$C$3672,$Q136&amp;"|"&amp;$E136&amp;"|"&amp;$O136&amp;"|CH4",DATOS_MODELO!$AA$2:$AA$3672,"&lt;&gt;")=0,"",INDEX(DATOS_MODELO!$AA$2:$AA$3672,MATCH($Q136&amp;"|"&amp;$E136&amp;"|"&amp;$O136&amp;"|CH4",DATOS_MODELO!$C$2:$C$3672,0)))</f>
        <v>10.0</v>
      </c>
      <c r="U136" s="14">
        <f>IF(COUNTIFS(DATOS_MODELO!$C$2:$C$3672,$Q136&amp;"|"&amp;$E136&amp;"|"&amp;$O136&amp;"|N2O",DATOS_MODELO!$AA$2:$AA$3672,"&lt;&gt;")=0,"",INDEX(DATOS_MODELO!$AA$2:$AA$3672,MATCH($Q136&amp;"|"&amp;$E136&amp;"|"&amp;$O136&amp;"|N2O",DATOS_MODELO!$C$2:$C$3672,0)))</f>
        <v>0.6</v>
      </c>
      <c r="V136" s="8"/>
      <c r="W136" s="14"/>
      <c r="X136" s="14">
        <f>IF($P136="BIOGENICO",0,IF(ISNUMBER($S136),$N136*$S136/PARAMETROS!$B$8,""))</f>
        <v>1.09029879</v>
      </c>
      <c r="Y136" s="14">
        <f>IF($P136="BIOGENICO",IF(ISNUMBER($S136),$N136*$S136/PARAMETROS!$B$8,""),0)</f>
        <v>0.0</v>
      </c>
      <c r="Z136" s="14">
        <f>IF(ISNUMBER($T136),$N136*$T136/PARAMETROS!$B$8,"")</f>
        <v>0.000151641</v>
      </c>
      <c r="AA136" s="14">
        <f>IF(ISNUMBER($U136),$N136*$U136/PARAMETROS!$B$8,"")</f>
        <v>9.09846e-06</v>
      </c>
      <c r="AB136" s="14">
        <f>IF(COUNT($X136,$Z136,$AA136)=0,"",SUM($X136,IF(ISNUMBER($Z136),$Z136*PARAMETROS!$B$9,0),IF(ISNUMBER($AA136),$AA136*PARAMETROS!$B$10,0)))</f>
        <v>1.0969558299</v>
      </c>
      <c r="AC136" s="4" t="s">
        <v>1990</v>
      </c>
      <c r="AD136" s="4"/>
      <c r="AE136" s="4" t="s">
        <v>5690</v>
      </c>
      <c r="AF136" s="4" t="s">
        <v>170</v>
      </c>
      <c r="AG136" s="4" t="inlineStr">
        <is>
          <t>MARN_GTM_BTR1_2024</t>
        </is>
      </c>
      <c r="AH136" s="4" t="inlineStr">
        <is>
          <t>Origen de factores: CO2: MARN_GTM_BTR1_2024 [PRX; BTR1 Guatemala 2024, tabla 3.6, p. 48; fila Otro queroseno; gas CO2]; CH4: MARN_GTM_BTR1_2024 [PRX; BTR1 Guatemala 2024, tabla 3.33, p. 70; fila Otro queroseno; gas CH4]; N2O: MARN_GTM_BTR1_2024 [PRX; BTR1 Guatemala 2024, tabla 3.33, p. 70; fila Otro queroseno; gas N2O].</t>
        </is>
      </c>
    </row>
    <row r="137" customFormat="false" ht="15" hidden="false" customHeight="false" outlineLevel="0" collapsed="false">
      <c r="A137" s="4" t="s">
        <v>5869</v>
      </c>
      <c r="B137" s="12" t="n">
        <v>2020</v>
      </c>
      <c r="C137" s="4" t="s">
        <v>68</v>
      </c>
      <c r="D137" s="4" t="s">
        <v>5685</v>
      </c>
      <c r="E137" s="4" t="s">
        <v>3404</v>
      </c>
      <c r="F137" s="4" t="s">
        <v>3405</v>
      </c>
      <c r="G137" s="4" t="s">
        <v>95</v>
      </c>
      <c r="H137" s="4" t="s">
        <v>2111</v>
      </c>
      <c r="I137" s="4" t="s">
        <v>68</v>
      </c>
      <c r="J137" s="4" t="s">
        <v>2001</v>
      </c>
      <c r="K137" s="4" t="s">
        <v>2002</v>
      </c>
      <c r="L137" s="4" t="s">
        <v>806</v>
      </c>
      <c r="M137" s="14" t="n">
        <f aca="false">SUMIFS(PSUT_LARGA!$K$2:$K$618,PSUT_LARGA!$B$2:$B$618,$B137,PSUT_LARGA!$H$2:$H$618,$L137,PSUT_LARGA!$E$2:$E$618,$J137,PSUT_LARGA!$F$2:$F$618,$K137,PSUT_LARGA!$G$2:$G$618,$I137,PSUT_LARGA!$I$2:$I$618,$H137)</f>
        <v>17032.7703</v>
      </c>
      <c r="N137" s="14" t="n">
        <f aca="false">IF($H137="TRANSFORMACION_REFINERIA",$M137*INDEX(PARAMETROS!$C$27:$C$33,MATCH($B137,PARAMETROS!$A$27:$A$33,0)),$M137)</f>
        <v>17032.7703</v>
      </c>
      <c r="O137" s="4" t="inlineStr">
        <is>
          <t>COMB_COQUE</t>
        </is>
      </c>
      <c r="P137" s="4" t="s">
        <v>3352</v>
      </c>
      <c r="Q137" s="11" t="n">
        <f aca="false">MIN($B137,2022)</f>
        <v>2020</v>
      </c>
      <c r="R137" s="8" t="str">
        <f>IF(COUNT($S137:$U137)=0,"NO",IF($O137="CERO_DIRECTO","CAL",IF(OR($B137&gt;$Q137,COUNTIFS(DATOS_MODELO!$C$2:$C$3672,$Q137&amp;"|"&amp;$E137&amp;"|"&amp;$O137&amp;"|*",DATOS_MODELO!$F$2:$F$3672,"PRX",DATOS_MODELO!$AA$2:$AA$3672,"&lt;&gt;")&gt;0),"PRX",IF(COUNTIFS(DATOS_MODELO!$C$2:$C$3672,$Q137&amp;"|"&amp;$E137&amp;"|"&amp;$O137&amp;"|*",DATOS_MODELO!$F$2:$F$3672,"CAL",DATOS_MODELO!$AA$2:$AA$3672,"&lt;&gt;")&gt;0,"CAL","OBS"))))</f>
        <v>PRX</v>
      </c>
      <c r="S137" s="14">
        <f>IF(COUNTIFS(DATOS_MODELO!$C$2:$C$3672,$Q137&amp;"|"&amp;$E137&amp;"|"&amp;$O137&amp;"|CO2",DATOS_MODELO!$AA$2:$AA$3672,"&lt;&gt;")=0,"",INDEX(DATOS_MODELO!$AA$2:$AA$3672,MATCH($Q137&amp;"|"&amp;$E137&amp;"|"&amp;$O137&amp;"|CO2",DATOS_MODELO!$C$2:$C$3672,0)))</f>
        <v>97500.0</v>
      </c>
      <c r="T137" s="14">
        <f>IF(COUNTIFS(DATOS_MODELO!$C$2:$C$3672,$Q137&amp;"|"&amp;$E137&amp;"|"&amp;$O137&amp;"|CH4",DATOS_MODELO!$AA$2:$AA$3672,"&lt;&gt;")=0,"",INDEX(DATOS_MODELO!$AA$2:$AA$3672,MATCH($Q137&amp;"|"&amp;$E137&amp;"|"&amp;$O137&amp;"|CH4",DATOS_MODELO!$C$2:$C$3672,0)))</f>
        <v>3.0</v>
      </c>
      <c r="U137" s="14">
        <f>IF(COUNTIFS(DATOS_MODELO!$C$2:$C$3672,$Q137&amp;"|"&amp;$E137&amp;"|"&amp;$O137&amp;"|N2O",DATOS_MODELO!$AA$2:$AA$3672,"&lt;&gt;")=0,"",INDEX(DATOS_MODELO!$AA$2:$AA$3672,MATCH($Q137&amp;"|"&amp;$E137&amp;"|"&amp;$O137&amp;"|N2O",DATOS_MODELO!$C$2:$C$3672,0)))</f>
        <v>0.6</v>
      </c>
      <c r="V137" s="8"/>
      <c r="W137" s="14"/>
      <c r="X137" s="14">
        <f>IF($P137="BIOGENICO",0,IF(ISNUMBER($S137),$N137*$S137/PARAMETROS!$B$8,""))</f>
        <v>1660.69510425</v>
      </c>
      <c r="Y137" s="14">
        <f>IF($P137="BIOGENICO",IF(ISNUMBER($S137),$N137*$S137/PARAMETROS!$B$8,""),0)</f>
        <v>0.0</v>
      </c>
      <c r="Z137" s="14">
        <f>IF(ISNUMBER($T137),$N137*$T137/PARAMETROS!$B$8,"")</f>
        <v>0.0510983109</v>
      </c>
      <c r="AA137" s="14">
        <f>IF(ISNUMBER($U137),$N137*$U137/PARAMETROS!$B$8,"")</f>
        <v>0.01021966218</v>
      </c>
      <c r="AB137" s="14">
        <f>IF(COUNT($X137,$Z137,$AA137)=0,"",SUM($X137,IF(ISNUMBER($Z137),$Z137*PARAMETROS!$B$9,0),IF(ISNUMBER($AA137),$AA137*PARAMETROS!$B$10,0)))</f>
        <v>1664.8340674329</v>
      </c>
      <c r="AC137" s="4" t="s">
        <v>1990</v>
      </c>
      <c r="AD137" s="4"/>
      <c r="AE137" s="4" t="s">
        <v>5690</v>
      </c>
      <c r="AF137" s="4" t="s">
        <v>170</v>
      </c>
      <c r="AG137" s="4" t="inlineStr">
        <is>
          <t>MARN_GTM_BTR1_2024</t>
        </is>
      </c>
      <c r="AH137" s="4" t="inlineStr">
        <is>
          <t>Origen de factores: CO2: MARN_GTM_BTR1_2024 [PRX; BTR1 Guatemala 2024, tabla 3.6, p. 48; fila Coque de petróleo; gas CO2]; CH4: MARN_GTM_BTR1_2024 [PRX; BTR1 Guatemala 2024, tabla 3.22, p. 62; fila Coque de petróleo; gas CH4]; N2O: MARN_GTM_BTR1_2024 [PRX; BTR1 Guatemala 2024, tabla 3.22, p. 62; fila Coque de petróleo; gas N2O].</t>
        </is>
      </c>
    </row>
    <row r="138" customFormat="false" ht="15" hidden="false" customHeight="false" outlineLevel="0" collapsed="false">
      <c r="A138" s="4" t="s">
        <v>5870</v>
      </c>
      <c r="B138" s="12" t="n">
        <v>2020</v>
      </c>
      <c r="C138" s="4" t="s">
        <v>68</v>
      </c>
      <c r="D138" s="4" t="s">
        <v>5685</v>
      </c>
      <c r="E138" s="4" t="s">
        <v>3404</v>
      </c>
      <c r="F138" s="4" t="s">
        <v>3405</v>
      </c>
      <c r="G138" s="4" t="s">
        <v>97</v>
      </c>
      <c r="H138" s="4" t="s">
        <v>2111</v>
      </c>
      <c r="I138" s="4" t="s">
        <v>68</v>
      </c>
      <c r="J138" s="4" t="s">
        <v>2001</v>
      </c>
      <c r="K138" s="4" t="s">
        <v>2002</v>
      </c>
      <c r="L138" s="4" t="s">
        <v>820</v>
      </c>
      <c r="M138" s="14" t="n">
        <f aca="false">SUMIFS(PSUT_LARGA!$K$2:$K$618,PSUT_LARGA!$B$2:$B$618,$B138,PSUT_LARGA!$H$2:$H$618,$L138,PSUT_LARGA!$E$2:$E$618,$J138,PSUT_LARGA!$F$2:$F$618,$K138,PSUT_LARGA!$G$2:$G$618,$I138,PSUT_LARGA!$I$2:$I$618,$H138)</f>
        <v>5637.2687</v>
      </c>
      <c r="N138" s="14" t="n">
        <f aca="false">IF($H138="TRANSFORMACION_REFINERIA",$M138*INDEX(PARAMETROS!$C$27:$C$33,MATCH($B138,PARAMETROS!$A$27:$A$33,0)),$M138)</f>
        <v>5637.2687</v>
      </c>
      <c r="O138" s="4" t="inlineStr">
        <is>
          <t>COMB_DOIL</t>
        </is>
      </c>
      <c r="P138" s="4" t="s">
        <v>3352</v>
      </c>
      <c r="Q138" s="11" t="n">
        <f aca="false">MIN($B138,2022)</f>
        <v>2020</v>
      </c>
      <c r="R138" s="8" t="str">
        <f>IF(COUNT($S138:$U138)=0,"NO",IF($O138="CERO_DIRECTO","CAL",IF(OR($B138&gt;$Q138,COUNTIFS(DATOS_MODELO!$C$2:$C$3672,$Q138&amp;"|"&amp;$E138&amp;"|"&amp;$O138&amp;"|*",DATOS_MODELO!$F$2:$F$3672,"PRX",DATOS_MODELO!$AA$2:$AA$3672,"&lt;&gt;")&gt;0),"PRX",IF(COUNTIFS(DATOS_MODELO!$C$2:$C$3672,$Q138&amp;"|"&amp;$E138&amp;"|"&amp;$O138&amp;"|*",DATOS_MODELO!$F$2:$F$3672,"CAL",DATOS_MODELO!$AA$2:$AA$3672,"&lt;&gt;")&gt;0,"CAL","OBS"))))</f>
        <v>PRX</v>
      </c>
      <c r="S138" s="14">
        <f>IF(COUNTIFS(DATOS_MODELO!$C$2:$C$3672,$Q138&amp;"|"&amp;$E138&amp;"|"&amp;$O138&amp;"|CO2",DATOS_MODELO!$AA$2:$AA$3672,"&lt;&gt;")=0,"",INDEX(DATOS_MODELO!$AA$2:$AA$3672,MATCH($Q138&amp;"|"&amp;$E138&amp;"|"&amp;$O138&amp;"|CO2",DATOS_MODELO!$C$2:$C$3672,0)))</f>
        <v>74100.0</v>
      </c>
      <c r="T138" s="14">
        <f>IF(COUNTIFS(DATOS_MODELO!$C$2:$C$3672,$Q138&amp;"|"&amp;$E138&amp;"|"&amp;$O138&amp;"|CH4",DATOS_MODELO!$AA$2:$AA$3672,"&lt;&gt;")=0,"",INDEX(DATOS_MODELO!$AA$2:$AA$3672,MATCH($Q138&amp;"|"&amp;$E138&amp;"|"&amp;$O138&amp;"|CH4",DATOS_MODELO!$C$2:$C$3672,0)))</f>
        <v>3.0</v>
      </c>
      <c r="U138" s="14">
        <f>IF(COUNTIFS(DATOS_MODELO!$C$2:$C$3672,$Q138&amp;"|"&amp;$E138&amp;"|"&amp;$O138&amp;"|N2O",DATOS_MODELO!$AA$2:$AA$3672,"&lt;&gt;")=0,"",INDEX(DATOS_MODELO!$AA$2:$AA$3672,MATCH($Q138&amp;"|"&amp;$E138&amp;"|"&amp;$O138&amp;"|N2O",DATOS_MODELO!$C$2:$C$3672,0)))</f>
        <v>0.6</v>
      </c>
      <c r="V138" s="8"/>
      <c r="W138" s="14"/>
      <c r="X138" s="14">
        <f>IF($P138="BIOGENICO",0,IF(ISNUMBER($S138),$N138*$S138/PARAMETROS!$B$8,""))</f>
        <v>417.72161067</v>
      </c>
      <c r="Y138" s="14">
        <f>IF($P138="BIOGENICO",IF(ISNUMBER($S138),$N138*$S138/PARAMETROS!$B$8,""),0)</f>
        <v>0.0</v>
      </c>
      <c r="Z138" s="14">
        <f>IF(ISNUMBER($T138),$N138*$T138/PARAMETROS!$B$8,"")</f>
        <v>0.0169118061</v>
      </c>
      <c r="AA138" s="14">
        <f>IF(ISNUMBER($U138),$N138*$U138/PARAMETROS!$B$8,"")</f>
        <v>0.00338236122</v>
      </c>
      <c r="AB138" s="14">
        <f>IF(COUNT($X138,$Z138,$AA138)=0,"",SUM($X138,IF(ISNUMBER($Z138),$Z138*PARAMETROS!$B$9,0),IF(ISNUMBER($AA138),$AA138*PARAMETROS!$B$10,0)))</f>
        <v>419.0914669641</v>
      </c>
      <c r="AC138" s="4" t="s">
        <v>1990</v>
      </c>
      <c r="AD138" s="4"/>
      <c r="AE138" s="4" t="s">
        <v>5690</v>
      </c>
      <c r="AF138" s="4" t="s">
        <v>170</v>
      </c>
      <c r="AG138" s="4" t="inlineStr">
        <is>
          <t>MARN_GTM_BTR1_2024</t>
        </is>
      </c>
      <c r="AH138" s="4" t="inlineStr">
        <is>
          <t>Origen de factores: CO2: MARN_GTM_BTR1_2024 [PRX; BTR1 Guatemala 2024, tabla 3.6, p. 48; fila Gas/Diésel oíl; gas CO2]; CH4: MARN_GTM_BTR1_2024 [PRX; BTR1 Guatemala 2024, tabla 3.22, p. 62; fila Diésel; gas CH4]; N2O: MARN_GTM_BTR1_2024 [PRX; BTR1 Guatemala 2024, tabla 3.22, p. 62; fila Diésel; gas N2O].</t>
        </is>
      </c>
    </row>
    <row r="139" customFormat="false" ht="23.85" hidden="false" customHeight="false" outlineLevel="0" collapsed="false">
      <c r="A139" s="4" t="s">
        <v>5871</v>
      </c>
      <c r="B139" s="12" t="n">
        <v>2020</v>
      </c>
      <c r="C139" s="4" t="s">
        <v>68</v>
      </c>
      <c r="D139" s="4" t="s">
        <v>5685</v>
      </c>
      <c r="E139" s="4" t="s">
        <v>3404</v>
      </c>
      <c r="F139" s="4" t="s">
        <v>3405</v>
      </c>
      <c r="G139" s="4" t="s">
        <v>99</v>
      </c>
      <c r="H139" s="4" t="s">
        <v>2111</v>
      </c>
      <c r="I139" s="4" t="s">
        <v>68</v>
      </c>
      <c r="J139" s="4" t="s">
        <v>2001</v>
      </c>
      <c r="K139" s="4" t="s">
        <v>2002</v>
      </c>
      <c r="L139" s="4" t="s">
        <v>834</v>
      </c>
      <c r="M139" s="14" t="n">
        <f aca="false">SUMIFS(PSUT_LARGA!$K$2:$K$618,PSUT_LARGA!$B$2:$B$618,$B139,PSUT_LARGA!$H$2:$H$618,$L139,PSUT_LARGA!$E$2:$E$618,$J139,PSUT_LARGA!$F$2:$F$618,$K139,PSUT_LARGA!$G$2:$G$618,$I139,PSUT_LARGA!$I$2:$I$618,$H139)</f>
        <v>12947.9917</v>
      </c>
      <c r="N139" s="14" t="n">
        <f aca="false">IF($H139="TRANSFORMACION_REFINERIA",$M139*INDEX(PARAMETROS!$C$27:$C$33,MATCH($B139,PARAMETROS!$A$27:$A$33,0)),$M139)</f>
        <v>12947.9917</v>
      </c>
      <c r="O139" s="4" t="s">
        <v>3362</v>
      </c>
      <c r="P139" s="4" t="s">
        <v>3363</v>
      </c>
      <c r="Q139" s="11" t="n">
        <f aca="false">MIN($B139,2022)</f>
        <v>2020</v>
      </c>
      <c r="R139" s="8" t="str">
        <f>IF(COUNT($S139:$U139)=0,"NO",IF($O139="CERO_DIRECTO","CAL",IF(OR($B139&gt;$Q139,COUNTIFS(DATOS_MODELO!$C$2:$C$3672,$Q139&amp;"|"&amp;$E139&amp;"|"&amp;$O139&amp;"|*",DATOS_MODELO!$F$2:$F$3672,"PRX",DATOS_MODELO!$AA$2:$AA$3672,"&lt;&gt;")&gt;0),"PRX",IF(COUNTIFS(DATOS_MODELO!$C$2:$C$3672,$Q139&amp;"|"&amp;$E139&amp;"|"&amp;$O139&amp;"|*",DATOS_MODELO!$F$2:$F$3672,"CAL",DATOS_MODELO!$AA$2:$AA$3672,"&lt;&gt;")&gt;0,"CAL","OBS"))))</f>
        <v>CAL</v>
      </c>
      <c r="S139" s="14">
        <f>IF(COUNTIFS(DATOS_MODELO!$C$2:$C$3672,$Q139&amp;"|"&amp;$E139&amp;"|"&amp;$O139&amp;"|CO2",DATOS_MODELO!$AA$2:$AA$3672,"&lt;&gt;")=0,"",INDEX(DATOS_MODELO!$AA$2:$AA$3672,MATCH($Q139&amp;"|"&amp;$E139&amp;"|"&amp;$O139&amp;"|CO2",DATOS_MODELO!$C$2:$C$3672,0)))</f>
        <v>0.0</v>
      </c>
      <c r="T139" s="14">
        <f>IF(COUNTIFS(DATOS_MODELO!$C$2:$C$3672,$Q139&amp;"|"&amp;$E139&amp;"|"&amp;$O139&amp;"|CH4",DATOS_MODELO!$AA$2:$AA$3672,"&lt;&gt;")=0,"",INDEX(DATOS_MODELO!$AA$2:$AA$3672,MATCH($Q139&amp;"|"&amp;$E139&amp;"|"&amp;$O139&amp;"|CH4",DATOS_MODELO!$C$2:$C$3672,0)))</f>
        <v>0.0</v>
      </c>
      <c r="U139" s="14">
        <f>IF(COUNTIFS(DATOS_MODELO!$C$2:$C$3672,$Q139&amp;"|"&amp;$E139&amp;"|"&amp;$O139&amp;"|N2O",DATOS_MODELO!$AA$2:$AA$3672,"&lt;&gt;")=0,"",INDEX(DATOS_MODELO!$AA$2:$AA$3672,MATCH($Q139&amp;"|"&amp;$E139&amp;"|"&amp;$O139&amp;"|N2O",DATOS_MODELO!$C$2:$C$3672,0)))</f>
        <v>0.0</v>
      </c>
      <c r="V139" s="8"/>
      <c r="W139" s="14"/>
      <c r="X139" s="14">
        <f>IF($P139="BIOGENICO",0,IF(ISNUMBER($S139),$N139*$S139/PARAMETROS!$B$8,""))</f>
        <v>0.0</v>
      </c>
      <c r="Y139" s="14">
        <f>IF($P139="BIOGENICO",IF(ISNUMBER($S139),$N139*$S139/PARAMETROS!$B$8,""),0)</f>
        <v>0.0</v>
      </c>
      <c r="Z139" s="14">
        <f>IF(ISNUMBER($T139),$N139*$T139/PARAMETROS!$B$8,"")</f>
        <v>0.0</v>
      </c>
      <c r="AA139" s="14">
        <f>IF(ISNUMBER($U139),$N139*$U139/PARAMETROS!$B$8,"")</f>
        <v>0.0</v>
      </c>
      <c r="AB139" s="14">
        <f>IF(COUNT($X139,$Z139,$AA139)=0,"",SUM($X139,IF(ISNUMBER($Z139),$Z139*PARAMETROS!$B$9,0),IF(ISNUMBER($AA139),$AA139*PARAMETROS!$B$10,0)))</f>
        <v>0.0</v>
      </c>
      <c r="AC139" s="4" t="s">
        <v>1990</v>
      </c>
      <c r="AD139" s="4"/>
      <c r="AE139" s="4" t="s">
        <v>3362</v>
      </c>
      <c r="AF139" s="4" t="s">
        <v>170</v>
      </c>
      <c r="AG139" s="4" t="inlineStr">
        <is>
          <t>METODO_EMISIONES</t>
        </is>
      </c>
      <c r="AH139" s="4"/>
    </row>
    <row r="140" customFormat="false" ht="15" hidden="false" customHeight="false" outlineLevel="0" collapsed="false">
      <c r="A140" s="4" t="s">
        <v>5872</v>
      </c>
      <c r="B140" s="12" t="n">
        <v>2020</v>
      </c>
      <c r="C140" s="4" t="s">
        <v>68</v>
      </c>
      <c r="D140" s="4" t="s">
        <v>5685</v>
      </c>
      <c r="E140" s="4" t="s">
        <v>3404</v>
      </c>
      <c r="F140" s="4" t="s">
        <v>3405</v>
      </c>
      <c r="G140" s="4" t="s">
        <v>101</v>
      </c>
      <c r="H140" s="4" t="s">
        <v>2111</v>
      </c>
      <c r="I140" s="4" t="s">
        <v>68</v>
      </c>
      <c r="J140" s="4" t="s">
        <v>2001</v>
      </c>
      <c r="K140" s="4" t="s">
        <v>2002</v>
      </c>
      <c r="L140" s="4" t="s">
        <v>848</v>
      </c>
      <c r="M140" s="14" t="n">
        <f aca="false">SUMIFS(PSUT_LARGA!$K$2:$K$618,PSUT_LARGA!$B$2:$B$618,$B140,PSUT_LARGA!$H$2:$H$618,$L140,PSUT_LARGA!$E$2:$E$618,$J140,PSUT_LARGA!$F$2:$F$618,$K140,PSUT_LARGA!$G$2:$G$618,$I140,PSUT_LARGA!$I$2:$I$618,$H140)</f>
        <v>5673.0583</v>
      </c>
      <c r="N140" s="14" t="n">
        <f aca="false">IF($H140="TRANSFORMACION_REFINERIA",$M140*INDEX(PARAMETROS!$C$27:$C$33,MATCH($B140,PARAMETROS!$A$27:$A$33,0)),$M140)</f>
        <v>5673.0583</v>
      </c>
      <c r="O140" s="4" t="inlineStr">
        <is>
          <t>COMB_FOIL</t>
        </is>
      </c>
      <c r="P140" s="4" t="s">
        <v>3352</v>
      </c>
      <c r="Q140" s="11" t="n">
        <f aca="false">MIN($B140,2022)</f>
        <v>2020</v>
      </c>
      <c r="R140" s="8" t="str">
        <f>IF(COUNT($S140:$U140)=0,"NO",IF($O140="CERO_DIRECTO","CAL",IF(OR($B140&gt;$Q140,COUNTIFS(DATOS_MODELO!$C$2:$C$3672,$Q140&amp;"|"&amp;$E140&amp;"|"&amp;$O140&amp;"|*",DATOS_MODELO!$F$2:$F$3672,"PRX",DATOS_MODELO!$AA$2:$AA$3672,"&lt;&gt;")&gt;0),"PRX",IF(COUNTIFS(DATOS_MODELO!$C$2:$C$3672,$Q140&amp;"|"&amp;$E140&amp;"|"&amp;$O140&amp;"|*",DATOS_MODELO!$F$2:$F$3672,"CAL",DATOS_MODELO!$AA$2:$AA$3672,"&lt;&gt;")&gt;0,"CAL","OBS"))))</f>
        <v>PRX</v>
      </c>
      <c r="S140" s="14">
        <f>IF(COUNTIFS(DATOS_MODELO!$C$2:$C$3672,$Q140&amp;"|"&amp;$E140&amp;"|"&amp;$O140&amp;"|CO2",DATOS_MODELO!$AA$2:$AA$3672,"&lt;&gt;")=0,"",INDEX(DATOS_MODELO!$AA$2:$AA$3672,MATCH($Q140&amp;"|"&amp;$E140&amp;"|"&amp;$O140&amp;"|CO2",DATOS_MODELO!$C$2:$C$3672,0)))</f>
        <v>77400.0</v>
      </c>
      <c r="T140" s="14">
        <f>IF(COUNTIFS(DATOS_MODELO!$C$2:$C$3672,$Q140&amp;"|"&amp;$E140&amp;"|"&amp;$O140&amp;"|CH4",DATOS_MODELO!$AA$2:$AA$3672,"&lt;&gt;")=0,"",INDEX(DATOS_MODELO!$AA$2:$AA$3672,MATCH($Q140&amp;"|"&amp;$E140&amp;"|"&amp;$O140&amp;"|CH4",DATOS_MODELO!$C$2:$C$3672,0)))</f>
        <v>3.0</v>
      </c>
      <c r="U140" s="14">
        <f>IF(COUNTIFS(DATOS_MODELO!$C$2:$C$3672,$Q140&amp;"|"&amp;$E140&amp;"|"&amp;$O140&amp;"|N2O",DATOS_MODELO!$AA$2:$AA$3672,"&lt;&gt;")=0,"",INDEX(DATOS_MODELO!$AA$2:$AA$3672,MATCH($Q140&amp;"|"&amp;$E140&amp;"|"&amp;$O140&amp;"|N2O",DATOS_MODELO!$C$2:$C$3672,0)))</f>
        <v>0.6</v>
      </c>
      <c r="V140" s="8"/>
      <c r="W140" s="14"/>
      <c r="X140" s="14">
        <f>IF($P140="BIOGENICO",0,IF(ISNUMBER($S140),$N140*$S140/PARAMETROS!$B$8,""))</f>
        <v>439.09471242</v>
      </c>
      <c r="Y140" s="14">
        <f>IF($P140="BIOGENICO",IF(ISNUMBER($S140),$N140*$S140/PARAMETROS!$B$8,""),0)</f>
        <v>0.0</v>
      </c>
      <c r="Z140" s="14">
        <f>IF(ISNUMBER($T140),$N140*$T140/PARAMETROS!$B$8,"")</f>
        <v>0.0170191749</v>
      </c>
      <c r="AA140" s="14">
        <f>IF(ISNUMBER($U140),$N140*$U140/PARAMETROS!$B$8,"")</f>
        <v>0.00340383498</v>
      </c>
      <c r="AB140" s="14">
        <f>IF(COUNT($X140,$Z140,$AA140)=0,"",SUM($X140,IF(ISNUMBER($Z140),$Z140*PARAMETROS!$B$9,0),IF(ISNUMBER($AA140),$AA140*PARAMETROS!$B$10,0)))</f>
        <v>440.4732655869</v>
      </c>
      <c r="AC140" s="4" t="s">
        <v>1990</v>
      </c>
      <c r="AD140" s="4"/>
      <c r="AE140" s="4" t="s">
        <v>5690</v>
      </c>
      <c r="AF140" s="4" t="s">
        <v>170</v>
      </c>
      <c r="AG140" s="4" t="inlineStr">
        <is>
          <t>MARN_GTM_BTR1_2024</t>
        </is>
      </c>
      <c r="AH140" s="4" t="inlineStr">
        <is>
          <t>Origen de factores: CO2: MARN_GTM_BTR1_2024 [PRX; BTR1 Guatemala 2024, tabla 3.6, p. 48; fila Fuelóleo residual; gas CO2]; CH4: MARN_GTM_BTR1_2024 [PRX; BTR1 Guatemala 2024, tabla 3.22, p. 62; fila Fuelóleo residual; gas CH4]; N2O: MARN_GTM_BTR1_2024 [PRX; BTR1 Guatemala 2024, tabla 3.22, p. 62; fila Fuelóleo residual; gas N2O].</t>
        </is>
      </c>
    </row>
    <row r="141" customFormat="false" ht="15" hidden="false" customHeight="false" outlineLevel="0" collapsed="false">
      <c r="A141" s="4" t="s">
        <v>5873</v>
      </c>
      <c r="B141" s="12" t="n">
        <v>2020</v>
      </c>
      <c r="C141" s="4" t="s">
        <v>68</v>
      </c>
      <c r="D141" s="4" t="s">
        <v>5685</v>
      </c>
      <c r="E141" s="4" t="s">
        <v>3404</v>
      </c>
      <c r="F141" s="4" t="s">
        <v>3405</v>
      </c>
      <c r="G141" s="4" t="s">
        <v>103</v>
      </c>
      <c r="H141" s="4" t="s">
        <v>2111</v>
      </c>
      <c r="I141" s="4" t="s">
        <v>68</v>
      </c>
      <c r="J141" s="4" t="s">
        <v>2001</v>
      </c>
      <c r="K141" s="4" t="s">
        <v>2002</v>
      </c>
      <c r="L141" s="4" t="s">
        <v>862</v>
      </c>
      <c r="M141" s="14" t="n">
        <f aca="false">SUMIFS(PSUT_LARGA!$K$2:$K$618,PSUT_LARGA!$B$2:$B$618,$B141,PSUT_LARGA!$H$2:$H$618,$L141,PSUT_LARGA!$E$2:$E$618,$J141,PSUT_LARGA!$F$2:$F$618,$K141,PSUT_LARGA!$G$2:$G$618,$I141,PSUT_LARGA!$I$2:$I$618,$H141)</f>
        <v>1444.4241</v>
      </c>
      <c r="N141" s="14" t="n">
        <f aca="false">IF($H141="TRANSFORMACION_REFINERIA",$M141*INDEX(PARAMETROS!$C$27:$C$33,MATCH($B141,PARAMETROS!$A$27:$A$33,0)),$M141)</f>
        <v>1444.4241</v>
      </c>
      <c r="O141" s="4" t="inlineStr">
        <is>
          <t>COMB_GAS</t>
        </is>
      </c>
      <c r="P141" s="4" t="s">
        <v>3352</v>
      </c>
      <c r="Q141" s="11" t="n">
        <f aca="false">MIN($B141,2022)</f>
        <v>2020</v>
      </c>
      <c r="R141" s="8" t="str">
        <f>IF(COUNT($S141:$U141)=0,"NO",IF($O141="CERO_DIRECTO","CAL",IF(OR($B141&gt;$Q141,COUNTIFS(DATOS_MODELO!$C$2:$C$3672,$Q141&amp;"|"&amp;$E141&amp;"|"&amp;$O141&amp;"|*",DATOS_MODELO!$F$2:$F$3672,"PRX",DATOS_MODELO!$AA$2:$AA$3672,"&lt;&gt;")&gt;0),"PRX",IF(COUNTIFS(DATOS_MODELO!$C$2:$C$3672,$Q141&amp;"|"&amp;$E141&amp;"|"&amp;$O141&amp;"|*",DATOS_MODELO!$F$2:$F$3672,"CAL",DATOS_MODELO!$AA$2:$AA$3672,"&lt;&gt;")&gt;0,"CAL","OBS"))))</f>
        <v>PRX</v>
      </c>
      <c r="S141" s="14">
        <f>IF(COUNTIFS(DATOS_MODELO!$C$2:$C$3672,$Q141&amp;"|"&amp;$E141&amp;"|"&amp;$O141&amp;"|CO2",DATOS_MODELO!$AA$2:$AA$3672,"&lt;&gt;")=0,"",INDEX(DATOS_MODELO!$AA$2:$AA$3672,MATCH($Q141&amp;"|"&amp;$E141&amp;"|"&amp;$O141&amp;"|CO2",DATOS_MODELO!$C$2:$C$3672,0)))</f>
        <v>69300.0</v>
      </c>
      <c r="T141" s="14">
        <f>IF(COUNTIFS(DATOS_MODELO!$C$2:$C$3672,$Q141&amp;"|"&amp;$E141&amp;"|"&amp;$O141&amp;"|CH4",DATOS_MODELO!$AA$2:$AA$3672,"&lt;&gt;")=0,"",INDEX(DATOS_MODELO!$AA$2:$AA$3672,MATCH($Q141&amp;"|"&amp;$E141&amp;"|"&amp;$O141&amp;"|CH4",DATOS_MODELO!$C$2:$C$3672,0)))</f>
        <v>3.0</v>
      </c>
      <c r="U141" s="14">
        <f>IF(COUNTIFS(DATOS_MODELO!$C$2:$C$3672,$Q141&amp;"|"&amp;$E141&amp;"|"&amp;$O141&amp;"|N2O",DATOS_MODELO!$AA$2:$AA$3672,"&lt;&gt;")=0,"",INDEX(DATOS_MODELO!$AA$2:$AA$3672,MATCH($Q141&amp;"|"&amp;$E141&amp;"|"&amp;$O141&amp;"|N2O",DATOS_MODELO!$C$2:$C$3672,0)))</f>
        <v>0.6</v>
      </c>
      <c r="V141" s="8"/>
      <c r="W141" s="14"/>
      <c r="X141" s="14">
        <f>IF($P141="BIOGENICO",0,IF(ISNUMBER($S141),$N141*$S141/PARAMETROS!$B$8,""))</f>
        <v>100.09859013</v>
      </c>
      <c r="Y141" s="14">
        <f>IF($P141="BIOGENICO",IF(ISNUMBER($S141),$N141*$S141/PARAMETROS!$B$8,""),0)</f>
        <v>0.0</v>
      </c>
      <c r="Z141" s="14">
        <f>IF(ISNUMBER($T141),$N141*$T141/PARAMETROS!$B$8,"")</f>
        <v>0.0043332723</v>
      </c>
      <c r="AA141" s="14">
        <f>IF(ISNUMBER($U141),$N141*$U141/PARAMETROS!$B$8,"")</f>
        <v>0.00086665446</v>
      </c>
      <c r="AB141" s="14">
        <f>IF(COUNT($X141,$Z141,$AA141)=0,"",SUM($X141,IF(ISNUMBER($Z141),$Z141*PARAMETROS!$B$9,0),IF(ISNUMBER($AA141),$AA141*PARAMETROS!$B$10,0)))</f>
        <v>100.4495851863</v>
      </c>
      <c r="AC141" s="4" t="s">
        <v>1990</v>
      </c>
      <c r="AD141" s="4"/>
      <c r="AE141" s="4" t="s">
        <v>5690</v>
      </c>
      <c r="AF141" s="4" t="s">
        <v>170</v>
      </c>
      <c r="AG141" s="4" t="inlineStr">
        <is>
          <t>MARN_GTM_BTR1_2024</t>
        </is>
      </c>
      <c r="AH141" s="4" t="inlineStr">
        <is>
          <t>Origen de factores: CO2: MARN_GTM_BTR1_2024 [PRX; BTR1 Guatemala 2024, tabla 3.6, p. 48; fila Gasolina para motores; gas CO2]; CH4: MARN_GTM_BTR1_2024 [PRX; BTR1 Guatemala 2024, tabla 3.22, p. 62; fila Gasolina para motores; gas CH4]; N2O: MARN_GTM_BTR1_2024 [PRX; BTR1 Guatemala 2024, tabla 3.22, p. 62; fila Gasolina para motores; gas N2O].</t>
        </is>
      </c>
    </row>
    <row r="142" customFormat="false" ht="15" hidden="false" customHeight="false" outlineLevel="0" collapsed="false">
      <c r="A142" s="4" t="s">
        <v>5874</v>
      </c>
      <c r="B142" s="12" t="n">
        <v>2020</v>
      </c>
      <c r="C142" s="4" t="s">
        <v>68</v>
      </c>
      <c r="D142" s="4" t="s">
        <v>5685</v>
      </c>
      <c r="E142" s="4" t="s">
        <v>3404</v>
      </c>
      <c r="F142" s="4" t="s">
        <v>3405</v>
      </c>
      <c r="G142" s="4" t="s">
        <v>105</v>
      </c>
      <c r="H142" s="4" t="s">
        <v>2111</v>
      </c>
      <c r="I142" s="4" t="s">
        <v>68</v>
      </c>
      <c r="J142" s="4" t="s">
        <v>2001</v>
      </c>
      <c r="K142" s="4" t="s">
        <v>2002</v>
      </c>
      <c r="L142" s="4" t="s">
        <v>876</v>
      </c>
      <c r="M142" s="14" t="n">
        <f aca="false">SUMIFS(PSUT_LARGA!$K$2:$K$618,PSUT_LARGA!$B$2:$B$618,$B142,PSUT_LARGA!$H$2:$H$618,$L142,PSUT_LARGA!$E$2:$E$618,$J142,PSUT_LARGA!$F$2:$F$618,$K142,PSUT_LARGA!$G$2:$G$618,$I142,PSUT_LARGA!$I$2:$I$618,$H142)</f>
        <v>3963.001</v>
      </c>
      <c r="N142" s="14" t="n">
        <f aca="false">IF($H142="TRANSFORMACION_REFINERIA",$M142*INDEX(PARAMETROS!$C$27:$C$33,MATCH($B142,PARAMETROS!$A$27:$A$33,0)),$M142)</f>
        <v>3963.001</v>
      </c>
      <c r="O142" s="4" t="inlineStr">
        <is>
          <t>COMB_GLP</t>
        </is>
      </c>
      <c r="P142" s="4" t="s">
        <v>3352</v>
      </c>
      <c r="Q142" s="11" t="n">
        <f aca="false">MIN($B142,2022)</f>
        <v>2020</v>
      </c>
      <c r="R142" s="8" t="str">
        <f>IF(COUNT($S142:$U142)=0,"NO",IF($O142="CERO_DIRECTO","CAL",IF(OR($B142&gt;$Q142,COUNTIFS(DATOS_MODELO!$C$2:$C$3672,$Q142&amp;"|"&amp;$E142&amp;"|"&amp;$O142&amp;"|*",DATOS_MODELO!$F$2:$F$3672,"PRX",DATOS_MODELO!$AA$2:$AA$3672,"&lt;&gt;")&gt;0),"PRX",IF(COUNTIFS(DATOS_MODELO!$C$2:$C$3672,$Q142&amp;"|"&amp;$E142&amp;"|"&amp;$O142&amp;"|*",DATOS_MODELO!$F$2:$F$3672,"CAL",DATOS_MODELO!$AA$2:$AA$3672,"&lt;&gt;")&gt;0,"CAL","OBS"))))</f>
        <v>PRX</v>
      </c>
      <c r="S142" s="14">
        <f>IF(COUNTIFS(DATOS_MODELO!$C$2:$C$3672,$Q142&amp;"|"&amp;$E142&amp;"|"&amp;$O142&amp;"|CO2",DATOS_MODELO!$AA$2:$AA$3672,"&lt;&gt;")=0,"",INDEX(DATOS_MODELO!$AA$2:$AA$3672,MATCH($Q142&amp;"|"&amp;$E142&amp;"|"&amp;$O142&amp;"|CO2",DATOS_MODELO!$C$2:$C$3672,0)))</f>
        <v>63100.0</v>
      </c>
      <c r="T142" s="14">
        <f>IF(COUNTIFS(DATOS_MODELO!$C$2:$C$3672,$Q142&amp;"|"&amp;$E142&amp;"|"&amp;$O142&amp;"|CH4",DATOS_MODELO!$AA$2:$AA$3672,"&lt;&gt;")=0,"",INDEX(DATOS_MODELO!$AA$2:$AA$3672,MATCH($Q142&amp;"|"&amp;$E142&amp;"|"&amp;$O142&amp;"|CH4",DATOS_MODELO!$C$2:$C$3672,0)))</f>
        <v>1.0</v>
      </c>
      <c r="U142" s="14">
        <f>IF(COUNTIFS(DATOS_MODELO!$C$2:$C$3672,$Q142&amp;"|"&amp;$E142&amp;"|"&amp;$O142&amp;"|N2O",DATOS_MODELO!$AA$2:$AA$3672,"&lt;&gt;")=0,"",INDEX(DATOS_MODELO!$AA$2:$AA$3672,MATCH($Q142&amp;"|"&amp;$E142&amp;"|"&amp;$O142&amp;"|N2O",DATOS_MODELO!$C$2:$C$3672,0)))</f>
        <v>0.1</v>
      </c>
      <c r="V142" s="8"/>
      <c r="W142" s="14"/>
      <c r="X142" s="14">
        <f>IF($P142="BIOGENICO",0,IF(ISNUMBER($S142),$N142*$S142/PARAMETROS!$B$8,""))</f>
        <v>250.0653631</v>
      </c>
      <c r="Y142" s="14">
        <f>IF($P142="BIOGENICO",IF(ISNUMBER($S142),$N142*$S142/PARAMETROS!$B$8,""),0)</f>
        <v>0.0</v>
      </c>
      <c r="Z142" s="14">
        <f>IF(ISNUMBER($T142),$N142*$T142/PARAMETROS!$B$8,"")</f>
        <v>0.003963001</v>
      </c>
      <c r="AA142" s="14">
        <f>IF(ISNUMBER($U142),$N142*$U142/PARAMETROS!$B$8,"")</f>
        <v>0.0003963001</v>
      </c>
      <c r="AB142" s="14">
        <f>IF(COUNT($X142,$Z142,$AA142)=0,"",SUM($X142,IF(ISNUMBER($Z142),$Z142*PARAMETROS!$B$9,0),IF(ISNUMBER($AA142),$AA142*PARAMETROS!$B$10,0)))</f>
        <v>250.2813466545</v>
      </c>
      <c r="AC142" s="4" t="s">
        <v>1990</v>
      </c>
      <c r="AD142" s="4"/>
      <c r="AE142" s="4" t="s">
        <v>5690</v>
      </c>
      <c r="AF142" s="4" t="s">
        <v>170</v>
      </c>
      <c r="AG142" s="4" t="inlineStr">
        <is>
          <t>MARN_GTM_BTR1_2024</t>
        </is>
      </c>
      <c r="AH142" s="4" t="inlineStr">
        <is>
          <t>Origen de factores: CO2: MARN_GTM_BTR1_2024 [PRX; BTR1 Guatemala 2024, tabla 3.6, p. 48; fila Gases licuados de petróleo; gas CO2]; CH4: MARN_GTM_BTR1_2024 [PRX; BTR1 Guatemala 2024, tabla 3.22, p. 62; fila Gases licuados de petróleo; gas CH4]; N2O: MARN_GTM_BTR1_2024 [PRX; BTR1 Guatemala 2024, tabla 3.22, p. 62; fila Gases licuados de petróleo; gas N2O].</t>
        </is>
      </c>
    </row>
    <row r="143" customFormat="false" ht="15" hidden="false" customHeight="false" outlineLevel="0" collapsed="false">
      <c r="A143" s="4" t="s">
        <v>5875</v>
      </c>
      <c r="B143" s="12" t="n">
        <v>2020</v>
      </c>
      <c r="C143" s="4" t="s">
        <v>68</v>
      </c>
      <c r="D143" s="4" t="s">
        <v>5685</v>
      </c>
      <c r="E143" s="4" t="s">
        <v>3404</v>
      </c>
      <c r="F143" s="4" t="s">
        <v>3405</v>
      </c>
      <c r="G143" s="4" t="s">
        <v>107</v>
      </c>
      <c r="H143" s="4" t="s">
        <v>2111</v>
      </c>
      <c r="I143" s="4" t="s">
        <v>68</v>
      </c>
      <c r="J143" s="4" t="s">
        <v>2001</v>
      </c>
      <c r="K143" s="4" t="s">
        <v>2002</v>
      </c>
      <c r="L143" s="4" t="s">
        <v>890</v>
      </c>
      <c r="M143" s="14" t="n">
        <f aca="false">SUMIFS(PSUT_LARGA!$K$2:$K$618,PSUT_LARGA!$B$2:$B$618,$B143,PSUT_LARGA!$H$2:$H$618,$L143,PSUT_LARGA!$E$2:$E$618,$J143,PSUT_LARGA!$F$2:$F$618,$K143,PSUT_LARGA!$G$2:$G$618,$I143,PSUT_LARGA!$I$2:$I$618,$H143)</f>
        <v>2.1497</v>
      </c>
      <c r="N143" s="14" t="n">
        <f aca="false">IF($H143="TRANSFORMACION_REFINERIA",$M143*INDEX(PARAMETROS!$C$27:$C$33,MATCH($B143,PARAMETROS!$A$27:$A$33,0)),$M143)</f>
        <v>2.1497</v>
      </c>
      <c r="O143" s="4" t="inlineStr">
        <is>
          <t>COMB_KER</t>
        </is>
      </c>
      <c r="P143" s="4" t="s">
        <v>3352</v>
      </c>
      <c r="Q143" s="11" t="n">
        <f aca="false">MIN($B143,2022)</f>
        <v>2020</v>
      </c>
      <c r="R143" s="8" t="str">
        <f>IF(COUNT($S143:$U143)=0,"NO",IF($O143="CERO_DIRECTO","CAL",IF(OR($B143&gt;$Q143,COUNTIFS(DATOS_MODELO!$C$2:$C$3672,$Q143&amp;"|"&amp;$E143&amp;"|"&amp;$O143&amp;"|*",DATOS_MODELO!$F$2:$F$3672,"PRX",DATOS_MODELO!$AA$2:$AA$3672,"&lt;&gt;")&gt;0),"PRX",IF(COUNTIFS(DATOS_MODELO!$C$2:$C$3672,$Q143&amp;"|"&amp;$E143&amp;"|"&amp;$O143&amp;"|*",DATOS_MODELO!$F$2:$F$3672,"CAL",DATOS_MODELO!$AA$2:$AA$3672,"&lt;&gt;")&gt;0,"CAL","OBS"))))</f>
        <v>PRX</v>
      </c>
      <c r="S143" s="14">
        <f>IF(COUNTIFS(DATOS_MODELO!$C$2:$C$3672,$Q143&amp;"|"&amp;$E143&amp;"|"&amp;$O143&amp;"|CO2",DATOS_MODELO!$AA$2:$AA$3672,"&lt;&gt;")=0,"",INDEX(DATOS_MODELO!$AA$2:$AA$3672,MATCH($Q143&amp;"|"&amp;$E143&amp;"|"&amp;$O143&amp;"|CO2",DATOS_MODELO!$C$2:$C$3672,0)))</f>
        <v>71900.0</v>
      </c>
      <c r="T143" s="14">
        <f>IF(COUNTIFS(DATOS_MODELO!$C$2:$C$3672,$Q143&amp;"|"&amp;$E143&amp;"|"&amp;$O143&amp;"|CH4",DATOS_MODELO!$AA$2:$AA$3672,"&lt;&gt;")=0,"",INDEX(DATOS_MODELO!$AA$2:$AA$3672,MATCH($Q143&amp;"|"&amp;$E143&amp;"|"&amp;$O143&amp;"|CH4",DATOS_MODELO!$C$2:$C$3672,0)))</f>
        <v>3.0</v>
      </c>
      <c r="U143" s="14">
        <f>IF(COUNTIFS(DATOS_MODELO!$C$2:$C$3672,$Q143&amp;"|"&amp;$E143&amp;"|"&amp;$O143&amp;"|N2O",DATOS_MODELO!$AA$2:$AA$3672,"&lt;&gt;")=0,"",INDEX(DATOS_MODELO!$AA$2:$AA$3672,MATCH($Q143&amp;"|"&amp;$E143&amp;"|"&amp;$O143&amp;"|N2O",DATOS_MODELO!$C$2:$C$3672,0)))</f>
        <v>0.6</v>
      </c>
      <c r="V143" s="8"/>
      <c r="W143" s="14"/>
      <c r="X143" s="14">
        <f>IF($P143="BIOGENICO",0,IF(ISNUMBER($S143),$N143*$S143/PARAMETROS!$B$8,""))</f>
        <v>0.15456343</v>
      </c>
      <c r="Y143" s="14">
        <f>IF($P143="BIOGENICO",IF(ISNUMBER($S143),$N143*$S143/PARAMETROS!$B$8,""),0)</f>
        <v>0.0</v>
      </c>
      <c r="Z143" s="14">
        <f>IF(ISNUMBER($T143),$N143*$T143/PARAMETROS!$B$8,"")</f>
        <v>6.4491e-06</v>
      </c>
      <c r="AA143" s="14">
        <f>IF(ISNUMBER($U143),$N143*$U143/PARAMETROS!$B$8,"")</f>
        <v>1.28982e-06</v>
      </c>
      <c r="AB143" s="14">
        <f>IF(COUNT($X143,$Z143,$AA143)=0,"",SUM($X143,IF(ISNUMBER($Z143),$Z143*PARAMETROS!$B$9,0),IF(ISNUMBER($AA143),$AA143*PARAMETROS!$B$10,0)))</f>
        <v>0.1550858071</v>
      </c>
      <c r="AC143" s="4" t="s">
        <v>1990</v>
      </c>
      <c r="AD143" s="4"/>
      <c r="AE143" s="4" t="s">
        <v>5690</v>
      </c>
      <c r="AF143" s="4" t="s">
        <v>170</v>
      </c>
      <c r="AG143" s="4" t="inlineStr">
        <is>
          <t>MARN_GTM_BTR1_2024</t>
        </is>
      </c>
      <c r="AH143" s="4" t="inlineStr">
        <is>
          <t>Origen de factores: CO2: MARN_GTM_BTR1_2024 [PRX; BTR1 Guatemala 2024, tabla 3.6, p. 48; fila Otro queroseno; gas CO2]; CH4: MARN_GTM_BTR1_2024 [PRX; BTR1 Guatemala 2024, tabla 3.22, p. 62; fila Otro queroseno; gas CH4]; N2O: MARN_GTM_BTR1_2024 [PRX; BTR1 Guatemala 2024, tabla 3.22, p. 62; fila Otro queroseno; gas N2O].</t>
        </is>
      </c>
    </row>
    <row r="144" customFormat="false" ht="15" hidden="false" customHeight="false" outlineLevel="0" collapsed="false">
      <c r="A144" s="4" t="s">
        <v>5876</v>
      </c>
      <c r="B144" s="12" t="n">
        <v>2020</v>
      </c>
      <c r="C144" s="4" t="s">
        <v>72</v>
      </c>
      <c r="D144" s="4" t="s">
        <v>5685</v>
      </c>
      <c r="E144" s="4" t="s">
        <v>3383</v>
      </c>
      <c r="F144" s="4" t="s">
        <v>3384</v>
      </c>
      <c r="G144" s="4" t="s">
        <v>109</v>
      </c>
      <c r="H144" s="4" t="s">
        <v>2079</v>
      </c>
      <c r="I144" s="4" t="s">
        <v>72</v>
      </c>
      <c r="J144" s="4" t="s">
        <v>2001</v>
      </c>
      <c r="K144" s="4" t="s">
        <v>2002</v>
      </c>
      <c r="L144" s="4" t="s">
        <v>763</v>
      </c>
      <c r="M144" s="14" t="n">
        <f aca="false">SUMIFS(PSUT_LARGA!$K$2:$K$618,PSUT_LARGA!$B$2:$B$618,$B144,PSUT_LARGA!$H$2:$H$618,$L144,PSUT_LARGA!$E$2:$E$618,$J144,PSUT_LARGA!$F$2:$F$618,$K144,PSUT_LARGA!$G$2:$G$618,$I144,PSUT_LARGA!$I$2:$I$618,$H144)</f>
        <v>9126.8128</v>
      </c>
      <c r="N144" s="14" t="n">
        <f aca="false">IF($H144="TRANSFORMACION_REFINERIA",$M144*INDEX(PARAMETROS!$C$27:$C$33,MATCH($B144,PARAMETROS!$A$27:$A$33,0)),$M144)</f>
        <v>9126.8128</v>
      </c>
      <c r="O144" s="4" t="s">
        <v>3343</v>
      </c>
      <c r="P144" s="4" t="s">
        <v>3344</v>
      </c>
      <c r="Q144" s="11" t="n">
        <f aca="false">MIN($B144,2022)</f>
        <v>2020</v>
      </c>
      <c r="R144" s="8" t="str">
        <f>IF(COUNT($S144:$U144)=0,"NO",IF($O144="CERO_DIRECTO","CAL",IF(OR($B144&gt;$Q144,COUNTIFS(DATOS_MODELO!$C$2:$C$3672,$Q144&amp;"|"&amp;$E144&amp;"|"&amp;$O144&amp;"|*",DATOS_MODELO!$F$2:$F$3672,"PRX",DATOS_MODELO!$AA$2:$AA$3672,"&lt;&gt;")&gt;0),"PRX",IF(COUNTIFS(DATOS_MODELO!$C$2:$C$3672,$Q144&amp;"|"&amp;$E144&amp;"|"&amp;$O144&amp;"|*",DATOS_MODELO!$F$2:$F$3672,"CAL",DATOS_MODELO!$AA$2:$AA$3672,"&lt;&gt;")&gt;0,"CAL","OBS"))))</f>
        <v>OBS</v>
      </c>
      <c r="S144" s="14">
        <f>IF(COUNTIFS(DATOS_MODELO!$C$2:$C$3672,$Q144&amp;"|"&amp;$E144&amp;"|"&amp;$O144&amp;"|CO2",DATOS_MODELO!$AA$2:$AA$3672,"&lt;&gt;")=0,"",INDEX(DATOS_MODELO!$AA$2:$AA$3672,MATCH($Q144&amp;"|"&amp;$E144&amp;"|"&amp;$O144&amp;"|CO2",DATOS_MODELO!$C$2:$C$3672,0)))</f>
        <v>112000.000276395</v>
      </c>
      <c r="T144" s="14">
        <f>IF(COUNTIFS(DATOS_MODELO!$C$2:$C$3672,$Q144&amp;"|"&amp;$E144&amp;"|"&amp;$O144&amp;"|CH4",DATOS_MODELO!$AA$2:$AA$3672,"&lt;&gt;")=0,"",INDEX(DATOS_MODELO!$AA$2:$AA$3672,MATCH($Q144&amp;"|"&amp;$E144&amp;"|"&amp;$O144&amp;"|CH4",DATOS_MODELO!$C$2:$C$3672,0)))</f>
        <v>299.999999665651</v>
      </c>
      <c r="U144" s="14">
        <f>IF(COUNTIFS(DATOS_MODELO!$C$2:$C$3672,$Q144&amp;"|"&amp;$E144&amp;"|"&amp;$O144&amp;"|N2O",DATOS_MODELO!$AA$2:$AA$3672,"&lt;&gt;")=0,"",INDEX(DATOS_MODELO!$AA$2:$AA$3672,MATCH($Q144&amp;"|"&amp;$E144&amp;"|"&amp;$O144&amp;"|N2O",DATOS_MODELO!$C$2:$C$3672,0)))</f>
        <v>4.00000012928151</v>
      </c>
      <c r="V144" s="8"/>
      <c r="W144" s="14"/>
      <c r="X144" s="14">
        <f>IF($P144="BIOGENICO",0,IF(ISNUMBER($S144),$N144*$S144/PARAMETROS!$B$8,""))</f>
        <v>0.0</v>
      </c>
      <c r="Y144" s="14">
        <f>IF($P144="BIOGENICO",IF(ISNUMBER($S144),$N144*$S144/PARAMETROS!$B$8,""),0)</f>
        <v>1022.20303612261</v>
      </c>
      <c r="Z144" s="14">
        <f>IF(ISNUMBER($T144),$N144*$T144/PARAMETROS!$B$8,"")</f>
        <v>2.73804383694846</v>
      </c>
      <c r="AA144" s="14">
        <f>IF(ISNUMBER($U144),$N144*$U144/PARAMETROS!$B$8,"")</f>
        <v>0.0365072523799282</v>
      </c>
      <c r="AB144" s="14">
        <f>IF(COUNT($X144,$Z144,$AA144)=0,"",SUM($X144,IF(ISNUMBER($Z144),$Z144*PARAMETROS!$B$9,0),IF(ISNUMBER($AA144),$AA144*PARAMETROS!$B$10,0)))</f>
        <v>86.3396493152379</v>
      </c>
      <c r="AC144" s="4" t="s">
        <v>1990</v>
      </c>
      <c r="AD144" s="4"/>
      <c r="AE144" s="4" t="s">
        <v>5690</v>
      </c>
      <c r="AF144" s="4" t="s">
        <v>170</v>
      </c>
      <c r="AG144" s="4" t="s">
        <v>3999</v>
      </c>
      <c r="AH144" s="4"/>
    </row>
    <row r="145" customFormat="false" ht="23.85" hidden="false" customHeight="false" outlineLevel="0" collapsed="false">
      <c r="A145" s="4" t="s">
        <v>5877</v>
      </c>
      <c r="B145" s="12" t="n">
        <v>2020</v>
      </c>
      <c r="C145" s="4" t="s">
        <v>72</v>
      </c>
      <c r="D145" s="4" t="s">
        <v>5685</v>
      </c>
      <c r="E145" s="4" t="s">
        <v>3383</v>
      </c>
      <c r="F145" s="4" t="s">
        <v>3384</v>
      </c>
      <c r="G145" s="4" t="s">
        <v>99</v>
      </c>
      <c r="H145" s="4" t="s">
        <v>2079</v>
      </c>
      <c r="I145" s="4" t="s">
        <v>72</v>
      </c>
      <c r="J145" s="4" t="s">
        <v>2001</v>
      </c>
      <c r="K145" s="4" t="s">
        <v>2002</v>
      </c>
      <c r="L145" s="4" t="s">
        <v>833</v>
      </c>
      <c r="M145" s="14" t="n">
        <f aca="false">SUMIFS(PSUT_LARGA!$K$2:$K$618,PSUT_LARGA!$B$2:$B$618,$B145,PSUT_LARGA!$H$2:$H$618,$L145,PSUT_LARGA!$E$2:$E$618,$J145,PSUT_LARGA!$F$2:$F$618,$K145,PSUT_LARGA!$G$2:$G$618,$I145,PSUT_LARGA!$I$2:$I$618,$H145)</f>
        <v>10695.7452</v>
      </c>
      <c r="N145" s="14" t="n">
        <f aca="false">IF($H145="TRANSFORMACION_REFINERIA",$M145*INDEX(PARAMETROS!$C$27:$C$33,MATCH($B145,PARAMETROS!$A$27:$A$33,0)),$M145)</f>
        <v>10695.7452</v>
      </c>
      <c r="O145" s="4" t="s">
        <v>3362</v>
      </c>
      <c r="P145" s="4" t="s">
        <v>3363</v>
      </c>
      <c r="Q145" s="11" t="n">
        <f aca="false">MIN($B145,2022)</f>
        <v>2020</v>
      </c>
      <c r="R145" s="8" t="str">
        <f>IF(COUNT($S145:$U145)=0,"NO",IF($O145="CERO_DIRECTO","CAL",IF(OR($B145&gt;$Q145,COUNTIFS(DATOS_MODELO!$C$2:$C$3672,$Q145&amp;"|"&amp;$E145&amp;"|"&amp;$O145&amp;"|*",DATOS_MODELO!$F$2:$F$3672,"PRX",DATOS_MODELO!$AA$2:$AA$3672,"&lt;&gt;")&gt;0),"PRX",IF(COUNTIFS(DATOS_MODELO!$C$2:$C$3672,$Q145&amp;"|"&amp;$E145&amp;"|"&amp;$O145&amp;"|*",DATOS_MODELO!$F$2:$F$3672,"CAL",DATOS_MODELO!$AA$2:$AA$3672,"&lt;&gt;")&gt;0,"CAL","OBS"))))</f>
        <v>CAL</v>
      </c>
      <c r="S145" s="14">
        <f>IF(COUNTIFS(DATOS_MODELO!$C$2:$C$3672,$Q145&amp;"|"&amp;$E145&amp;"|"&amp;$O145&amp;"|CO2",DATOS_MODELO!$AA$2:$AA$3672,"&lt;&gt;")=0,"",INDEX(DATOS_MODELO!$AA$2:$AA$3672,MATCH($Q145&amp;"|"&amp;$E145&amp;"|"&amp;$O145&amp;"|CO2",DATOS_MODELO!$C$2:$C$3672,0)))</f>
        <v>0.0</v>
      </c>
      <c r="T145" s="14">
        <f>IF(COUNTIFS(DATOS_MODELO!$C$2:$C$3672,$Q145&amp;"|"&amp;$E145&amp;"|"&amp;$O145&amp;"|CH4",DATOS_MODELO!$AA$2:$AA$3672,"&lt;&gt;")=0,"",INDEX(DATOS_MODELO!$AA$2:$AA$3672,MATCH($Q145&amp;"|"&amp;$E145&amp;"|"&amp;$O145&amp;"|CH4",DATOS_MODELO!$C$2:$C$3672,0)))</f>
        <v>0.0</v>
      </c>
      <c r="U145" s="14">
        <f>IF(COUNTIFS(DATOS_MODELO!$C$2:$C$3672,$Q145&amp;"|"&amp;$E145&amp;"|"&amp;$O145&amp;"|N2O",DATOS_MODELO!$AA$2:$AA$3672,"&lt;&gt;")=0,"",INDEX(DATOS_MODELO!$AA$2:$AA$3672,MATCH($Q145&amp;"|"&amp;$E145&amp;"|"&amp;$O145&amp;"|N2O",DATOS_MODELO!$C$2:$C$3672,0)))</f>
        <v>0.0</v>
      </c>
      <c r="V145" s="8"/>
      <c r="W145" s="14"/>
      <c r="X145" s="14">
        <f>IF($P145="BIOGENICO",0,IF(ISNUMBER($S145),$N145*$S145/PARAMETROS!$B$8,""))</f>
        <v>0.0</v>
      </c>
      <c r="Y145" s="14">
        <f>IF($P145="BIOGENICO",IF(ISNUMBER($S145),$N145*$S145/PARAMETROS!$B$8,""),0)</f>
        <v>0.0</v>
      </c>
      <c r="Z145" s="14">
        <f>IF(ISNUMBER($T145),$N145*$T145/PARAMETROS!$B$8,"")</f>
        <v>0.0</v>
      </c>
      <c r="AA145" s="14">
        <f>IF(ISNUMBER($U145),$N145*$U145/PARAMETROS!$B$8,"")</f>
        <v>0.0</v>
      </c>
      <c r="AB145" s="14">
        <f>IF(COUNT($X145,$Z145,$AA145)=0,"",SUM($X145,IF(ISNUMBER($Z145),$Z145*PARAMETROS!$B$9,0),IF(ISNUMBER($AA145),$AA145*PARAMETROS!$B$10,0)))</f>
        <v>0.0</v>
      </c>
      <c r="AC145" s="4" t="s">
        <v>1990</v>
      </c>
      <c r="AD145" s="4"/>
      <c r="AE145" s="4" t="s">
        <v>3362</v>
      </c>
      <c r="AF145" s="4" t="s">
        <v>170</v>
      </c>
      <c r="AG145" s="4" t="inlineStr">
        <is>
          <t>METODO_EMISIONES</t>
        </is>
      </c>
      <c r="AH145" s="4"/>
    </row>
    <row r="146" customFormat="false" ht="15" hidden="false" customHeight="false" outlineLevel="0" collapsed="false">
      <c r="A146" s="4" t="s">
        <v>5878</v>
      </c>
      <c r="B146" s="12" t="n">
        <v>2020</v>
      </c>
      <c r="C146" s="4" t="s">
        <v>72</v>
      </c>
      <c r="D146" s="4" t="s">
        <v>5685</v>
      </c>
      <c r="E146" s="4" t="s">
        <v>3383</v>
      </c>
      <c r="F146" s="4" t="s">
        <v>3384</v>
      </c>
      <c r="G146" s="4" t="s">
        <v>103</v>
      </c>
      <c r="H146" s="4" t="s">
        <v>2079</v>
      </c>
      <c r="I146" s="4" t="s">
        <v>72</v>
      </c>
      <c r="J146" s="4" t="s">
        <v>2001</v>
      </c>
      <c r="K146" s="4" t="s">
        <v>2002</v>
      </c>
      <c r="L146" s="4" t="s">
        <v>861</v>
      </c>
      <c r="M146" s="14" t="n">
        <f aca="false">SUMIFS(PSUT_LARGA!$K$2:$K$618,PSUT_LARGA!$B$2:$B$618,$B146,PSUT_LARGA!$H$2:$H$618,$L146,PSUT_LARGA!$E$2:$E$618,$J146,PSUT_LARGA!$F$2:$F$618,$K146,PSUT_LARGA!$G$2:$G$618,$I146,PSUT_LARGA!$I$2:$I$618,$H146)</f>
        <v>361.0915</v>
      </c>
      <c r="N146" s="14" t="n">
        <f aca="false">IF($H146="TRANSFORMACION_REFINERIA",$M146*INDEX(PARAMETROS!$C$27:$C$33,MATCH($B146,PARAMETROS!$A$27:$A$33,0)),$M146)</f>
        <v>361.0915</v>
      </c>
      <c r="O146" s="4" t="inlineStr">
        <is>
          <t>COMB_GAS</t>
        </is>
      </c>
      <c r="P146" s="4" t="s">
        <v>3352</v>
      </c>
      <c r="Q146" s="11" t="n">
        <f aca="false">MIN($B146,2022)</f>
        <v>2020</v>
      </c>
      <c r="R146" s="8" t="str">
        <f>IF(COUNT($S146:$U146)=0,"NO",IF($O146="CERO_DIRECTO","CAL",IF(OR($B146&gt;$Q146,COUNTIFS(DATOS_MODELO!$C$2:$C$3672,$Q146&amp;"|"&amp;$E146&amp;"|"&amp;$O146&amp;"|*",DATOS_MODELO!$F$2:$F$3672,"PRX",DATOS_MODELO!$AA$2:$AA$3672,"&lt;&gt;")&gt;0),"PRX",IF(COUNTIFS(DATOS_MODELO!$C$2:$C$3672,$Q146&amp;"|"&amp;$E146&amp;"|"&amp;$O146&amp;"|*",DATOS_MODELO!$F$2:$F$3672,"CAL",DATOS_MODELO!$AA$2:$AA$3672,"&lt;&gt;")&gt;0,"CAL","OBS"))))</f>
        <v>PRX</v>
      </c>
      <c r="S146" s="14">
        <f>IF(COUNTIFS(DATOS_MODELO!$C$2:$C$3672,$Q146&amp;"|"&amp;$E146&amp;"|"&amp;$O146&amp;"|CO2",DATOS_MODELO!$AA$2:$AA$3672,"&lt;&gt;")=0,"",INDEX(DATOS_MODELO!$AA$2:$AA$3672,MATCH($Q146&amp;"|"&amp;$E146&amp;"|"&amp;$O146&amp;"|CO2",DATOS_MODELO!$C$2:$C$3672,0)))</f>
        <v>69300.0</v>
      </c>
      <c r="T146" s="14">
        <f>IF(COUNTIFS(DATOS_MODELO!$C$2:$C$3672,$Q146&amp;"|"&amp;$E146&amp;"|"&amp;$O146&amp;"|CH4",DATOS_MODELO!$AA$2:$AA$3672,"&lt;&gt;")=0,"",INDEX(DATOS_MODELO!$AA$2:$AA$3672,MATCH($Q146&amp;"|"&amp;$E146&amp;"|"&amp;$O146&amp;"|CH4",DATOS_MODELO!$C$2:$C$3672,0)))</f>
        <v>10.0</v>
      </c>
      <c r="U146" s="14">
        <f>IF(COUNTIFS(DATOS_MODELO!$C$2:$C$3672,$Q146&amp;"|"&amp;$E146&amp;"|"&amp;$O146&amp;"|N2O",DATOS_MODELO!$AA$2:$AA$3672,"&lt;&gt;")=0,"",INDEX(DATOS_MODELO!$AA$2:$AA$3672,MATCH($Q146&amp;"|"&amp;$E146&amp;"|"&amp;$O146&amp;"|N2O",DATOS_MODELO!$C$2:$C$3672,0)))</f>
        <v>0.6</v>
      </c>
      <c r="V146" s="8"/>
      <c r="W146" s="14"/>
      <c r="X146" s="14">
        <f>IF($P146="BIOGENICO",0,IF(ISNUMBER($S146),$N146*$S146/PARAMETROS!$B$8,""))</f>
        <v>25.02364095</v>
      </c>
      <c r="Y146" s="14">
        <f>IF($P146="BIOGENICO",IF(ISNUMBER($S146),$N146*$S146/PARAMETROS!$B$8,""),0)</f>
        <v>0.0</v>
      </c>
      <c r="Z146" s="14">
        <f>IF(ISNUMBER($T146),$N146*$T146/PARAMETROS!$B$8,"")</f>
        <v>0.003610915</v>
      </c>
      <c r="AA146" s="14">
        <f>IF(ISNUMBER($U146),$N146*$U146/PARAMETROS!$B$8,"")</f>
        <v>0.0002166549</v>
      </c>
      <c r="AB146" s="14">
        <f>IF(COUNT($X146,$Z146,$AA146)=0,"",SUM($X146,IF(ISNUMBER($Z146),$Z146*PARAMETROS!$B$9,0),IF(ISNUMBER($AA146),$AA146*PARAMETROS!$B$10,0)))</f>
        <v>25.1821601185</v>
      </c>
      <c r="AC146" s="4" t="s">
        <v>1990</v>
      </c>
      <c r="AD146" s="4"/>
      <c r="AE146" s="4" t="s">
        <v>5690</v>
      </c>
      <c r="AF146" s="4" t="s">
        <v>170</v>
      </c>
      <c r="AG146" s="4" t="inlineStr">
        <is>
          <t>MARN_GTM_BTR1_2024</t>
        </is>
      </c>
      <c r="AH146" s="4" t="inlineStr">
        <is>
          <t>Origen de factores: CO2: MARN_GTM_BTR1_2024 [PRX; BTR1 Guatemala 2024, tabla 3.6, p. 48; fila Gasolina para motores; gas CO2]; CH4: MARN_GTM_BTR1_2024 [PRX; BTR1 Guatemala 2024, tabla 3.33, p. 70; fila Gasolina para motores; gas CH4]; N2O: MARN_GTM_BTR1_2024 [PRX; BTR1 Guatemala 2024, tabla 3.33, p. 70; fila Gasolina para motores; gas N2O].</t>
        </is>
      </c>
    </row>
    <row r="147" customFormat="false" ht="15" hidden="false" customHeight="false" outlineLevel="0" collapsed="false">
      <c r="A147" s="4" t="s">
        <v>5879</v>
      </c>
      <c r="B147" s="12" t="n">
        <v>2020</v>
      </c>
      <c r="C147" s="4" t="s">
        <v>72</v>
      </c>
      <c r="D147" s="4" t="s">
        <v>5685</v>
      </c>
      <c r="E147" s="4" t="s">
        <v>3383</v>
      </c>
      <c r="F147" s="4" t="s">
        <v>3384</v>
      </c>
      <c r="G147" s="4" t="s">
        <v>105</v>
      </c>
      <c r="H147" s="4" t="s">
        <v>2079</v>
      </c>
      <c r="I147" s="4" t="s">
        <v>72</v>
      </c>
      <c r="J147" s="4" t="s">
        <v>2001</v>
      </c>
      <c r="K147" s="4" t="s">
        <v>2002</v>
      </c>
      <c r="L147" s="4" t="s">
        <v>875</v>
      </c>
      <c r="M147" s="14" t="n">
        <f aca="false">SUMIFS(PSUT_LARGA!$K$2:$K$618,PSUT_LARGA!$B$2:$B$618,$B147,PSUT_LARGA!$H$2:$H$618,$L147,PSUT_LARGA!$E$2:$E$618,$J147,PSUT_LARGA!$F$2:$F$618,$K147,PSUT_LARGA!$G$2:$G$618,$I147,PSUT_LARGA!$I$2:$I$618,$H147)</f>
        <v>396.3001</v>
      </c>
      <c r="N147" s="14" t="n">
        <f aca="false">IF($H147="TRANSFORMACION_REFINERIA",$M147*INDEX(PARAMETROS!$C$27:$C$33,MATCH($B147,PARAMETROS!$A$27:$A$33,0)),$M147)</f>
        <v>396.3001</v>
      </c>
      <c r="O147" s="4" t="inlineStr">
        <is>
          <t>COMB_GLP</t>
        </is>
      </c>
      <c r="P147" s="4" t="s">
        <v>3352</v>
      </c>
      <c r="Q147" s="11" t="n">
        <f aca="false">MIN($B147,2022)</f>
        <v>2020</v>
      </c>
      <c r="R147" s="8" t="str">
        <f>IF(COUNT($S147:$U147)=0,"NO",IF($O147="CERO_DIRECTO","CAL",IF(OR($B147&gt;$Q147,COUNTIFS(DATOS_MODELO!$C$2:$C$3672,$Q147&amp;"|"&amp;$E147&amp;"|"&amp;$O147&amp;"|*",DATOS_MODELO!$F$2:$F$3672,"PRX",DATOS_MODELO!$AA$2:$AA$3672,"&lt;&gt;")&gt;0),"PRX",IF(COUNTIFS(DATOS_MODELO!$C$2:$C$3672,$Q147&amp;"|"&amp;$E147&amp;"|"&amp;$O147&amp;"|*",DATOS_MODELO!$F$2:$F$3672,"CAL",DATOS_MODELO!$AA$2:$AA$3672,"&lt;&gt;")&gt;0,"CAL","OBS"))))</f>
        <v>PRX</v>
      </c>
      <c r="S147" s="14">
        <f>IF(COUNTIFS(DATOS_MODELO!$C$2:$C$3672,$Q147&amp;"|"&amp;$E147&amp;"|"&amp;$O147&amp;"|CO2",DATOS_MODELO!$AA$2:$AA$3672,"&lt;&gt;")=0,"",INDEX(DATOS_MODELO!$AA$2:$AA$3672,MATCH($Q147&amp;"|"&amp;$E147&amp;"|"&amp;$O147&amp;"|CO2",DATOS_MODELO!$C$2:$C$3672,0)))</f>
        <v>63100.0</v>
      </c>
      <c r="T147" s="14">
        <f>IF(COUNTIFS(DATOS_MODELO!$C$2:$C$3672,$Q147&amp;"|"&amp;$E147&amp;"|"&amp;$O147&amp;"|CH4",DATOS_MODELO!$AA$2:$AA$3672,"&lt;&gt;")=0,"",INDEX(DATOS_MODELO!$AA$2:$AA$3672,MATCH($Q147&amp;"|"&amp;$E147&amp;"|"&amp;$O147&amp;"|CH4",DATOS_MODELO!$C$2:$C$3672,0)))</f>
        <v>5.0</v>
      </c>
      <c r="U147" s="14">
        <f>IF(COUNTIFS(DATOS_MODELO!$C$2:$C$3672,$Q147&amp;"|"&amp;$E147&amp;"|"&amp;$O147&amp;"|N2O",DATOS_MODELO!$AA$2:$AA$3672,"&lt;&gt;")=0,"",INDEX(DATOS_MODELO!$AA$2:$AA$3672,MATCH($Q147&amp;"|"&amp;$E147&amp;"|"&amp;$O147&amp;"|N2O",DATOS_MODELO!$C$2:$C$3672,0)))</f>
        <v>0.1</v>
      </c>
      <c r="V147" s="8"/>
      <c r="W147" s="14"/>
      <c r="X147" s="14">
        <f>IF($P147="BIOGENICO",0,IF(ISNUMBER($S147),$N147*$S147/PARAMETROS!$B$8,""))</f>
        <v>25.00653631</v>
      </c>
      <c r="Y147" s="14">
        <f>IF($P147="BIOGENICO",IF(ISNUMBER($S147),$N147*$S147/PARAMETROS!$B$8,""),0)</f>
        <v>0.0</v>
      </c>
      <c r="Z147" s="14">
        <f>IF(ISNUMBER($T147),$N147*$T147/PARAMETROS!$B$8,"")</f>
        <v>0.0019815005</v>
      </c>
      <c r="AA147" s="14">
        <f>IF(ISNUMBER($U147),$N147*$U147/PARAMETROS!$B$8,"")</f>
        <v>3.963001e-05</v>
      </c>
      <c r="AB147" s="14">
        <f>IF(COUNT($X147,$Z147,$AA147)=0,"",SUM($X147,IF(ISNUMBER($Z147),$Z147*PARAMETROS!$B$9,0),IF(ISNUMBER($AA147),$AA147*PARAMETROS!$B$10,0)))</f>
        <v>25.07252027665</v>
      </c>
      <c r="AC147" s="4" t="s">
        <v>1990</v>
      </c>
      <c r="AD147" s="4"/>
      <c r="AE147" s="4" t="s">
        <v>5690</v>
      </c>
      <c r="AF147" s="4" t="s">
        <v>170</v>
      </c>
      <c r="AG147" s="4" t="inlineStr">
        <is>
          <t>MARN_GTM_BTR1_2024</t>
        </is>
      </c>
      <c r="AH147" s="4" t="inlineStr">
        <is>
          <t>Origen de factores: CO2: MARN_GTM_BTR1_2024 [PRX; BTR1 Guatemala 2024, tabla 3.6, p. 48; fila Gases licuados de petróleo; gas CO2]; CH4: MARN_GTM_BTR1_2024 [PRX; BTR1 Guatemala 2024, tabla 3.33, p. 70; fila Gases licuados de petróleo; gas CH4]; N2O: MARN_GTM_BTR1_2024 [PRX; BTR1 Guatemala 2024, tabla 3.33, p. 70; fila Gases licuados de petróleo; gas N2O].</t>
        </is>
      </c>
    </row>
    <row r="148" customFormat="false" ht="15" hidden="false" customHeight="false" outlineLevel="0" collapsed="false">
      <c r="A148" s="4" t="s">
        <v>5880</v>
      </c>
      <c r="B148" s="12" t="n">
        <v>2020</v>
      </c>
      <c r="C148" s="4" t="s">
        <v>72</v>
      </c>
      <c r="D148" s="4" t="s">
        <v>5685</v>
      </c>
      <c r="E148" s="4" t="s">
        <v>3383</v>
      </c>
      <c r="F148" s="4" t="s">
        <v>3384</v>
      </c>
      <c r="G148" s="4" t="s">
        <v>107</v>
      </c>
      <c r="H148" s="4" t="s">
        <v>2079</v>
      </c>
      <c r="I148" s="4" t="s">
        <v>72</v>
      </c>
      <c r="J148" s="4" t="s">
        <v>2001</v>
      </c>
      <c r="K148" s="4" t="s">
        <v>2002</v>
      </c>
      <c r="L148" s="4" t="s">
        <v>889</v>
      </c>
      <c r="M148" s="14" t="n">
        <f aca="false">SUMIFS(PSUT_LARGA!$K$2:$K$618,PSUT_LARGA!$B$2:$B$618,$B148,PSUT_LARGA!$H$2:$H$618,$L148,PSUT_LARGA!$E$2:$E$618,$J148,PSUT_LARGA!$F$2:$F$618,$K148,PSUT_LARGA!$G$2:$G$618,$I148,PSUT_LARGA!$I$2:$I$618,$H148)</f>
        <v>0.6972</v>
      </c>
      <c r="N148" s="14" t="n">
        <f aca="false">IF($H148="TRANSFORMACION_REFINERIA",$M148*INDEX(PARAMETROS!$C$27:$C$33,MATCH($B148,PARAMETROS!$A$27:$A$33,0)),$M148)</f>
        <v>0.6972</v>
      </c>
      <c r="O148" s="4" t="inlineStr">
        <is>
          <t>COMB_KER</t>
        </is>
      </c>
      <c r="P148" s="4" t="s">
        <v>3352</v>
      </c>
      <c r="Q148" s="11" t="n">
        <f aca="false">MIN($B148,2022)</f>
        <v>2020</v>
      </c>
      <c r="R148" s="8" t="str">
        <f>IF(COUNT($S148:$U148)=0,"NO",IF($O148="CERO_DIRECTO","CAL",IF(OR($B148&gt;$Q148,COUNTIFS(DATOS_MODELO!$C$2:$C$3672,$Q148&amp;"|"&amp;$E148&amp;"|"&amp;$O148&amp;"|*",DATOS_MODELO!$F$2:$F$3672,"PRX",DATOS_MODELO!$AA$2:$AA$3672,"&lt;&gt;")&gt;0),"PRX",IF(COUNTIFS(DATOS_MODELO!$C$2:$C$3672,$Q148&amp;"|"&amp;$E148&amp;"|"&amp;$O148&amp;"|*",DATOS_MODELO!$F$2:$F$3672,"CAL",DATOS_MODELO!$AA$2:$AA$3672,"&lt;&gt;")&gt;0,"CAL","OBS"))))</f>
        <v>PRX</v>
      </c>
      <c r="S148" s="14">
        <f>IF(COUNTIFS(DATOS_MODELO!$C$2:$C$3672,$Q148&amp;"|"&amp;$E148&amp;"|"&amp;$O148&amp;"|CO2",DATOS_MODELO!$AA$2:$AA$3672,"&lt;&gt;")=0,"",INDEX(DATOS_MODELO!$AA$2:$AA$3672,MATCH($Q148&amp;"|"&amp;$E148&amp;"|"&amp;$O148&amp;"|CO2",DATOS_MODELO!$C$2:$C$3672,0)))</f>
        <v>71900.0</v>
      </c>
      <c r="T148" s="14">
        <f>IF(COUNTIFS(DATOS_MODELO!$C$2:$C$3672,$Q148&amp;"|"&amp;$E148&amp;"|"&amp;$O148&amp;"|CH4",DATOS_MODELO!$AA$2:$AA$3672,"&lt;&gt;")=0,"",INDEX(DATOS_MODELO!$AA$2:$AA$3672,MATCH($Q148&amp;"|"&amp;$E148&amp;"|"&amp;$O148&amp;"|CH4",DATOS_MODELO!$C$2:$C$3672,0)))</f>
        <v>10.0</v>
      </c>
      <c r="U148" s="14">
        <f>IF(COUNTIFS(DATOS_MODELO!$C$2:$C$3672,$Q148&amp;"|"&amp;$E148&amp;"|"&amp;$O148&amp;"|N2O",DATOS_MODELO!$AA$2:$AA$3672,"&lt;&gt;")=0,"",INDEX(DATOS_MODELO!$AA$2:$AA$3672,MATCH($Q148&amp;"|"&amp;$E148&amp;"|"&amp;$O148&amp;"|N2O",DATOS_MODELO!$C$2:$C$3672,0)))</f>
        <v>0.6</v>
      </c>
      <c r="V148" s="8"/>
      <c r="W148" s="14"/>
      <c r="X148" s="14">
        <f>IF($P148="BIOGENICO",0,IF(ISNUMBER($S148),$N148*$S148/PARAMETROS!$B$8,""))</f>
        <v>0.05012868</v>
      </c>
      <c r="Y148" s="14">
        <f>IF($P148="BIOGENICO",IF(ISNUMBER($S148),$N148*$S148/PARAMETROS!$B$8,""),0)</f>
        <v>0.0</v>
      </c>
      <c r="Z148" s="14">
        <f>IF(ISNUMBER($T148),$N148*$T148/PARAMETROS!$B$8,"")</f>
        <v>6.972e-06</v>
      </c>
      <c r="AA148" s="14">
        <f>IF(ISNUMBER($U148),$N148*$U148/PARAMETROS!$B$8,"")</f>
        <v>4.1832e-07</v>
      </c>
      <c r="AB148" s="14">
        <f>IF(COUNT($X148,$Z148,$AA148)=0,"",SUM($X148,IF(ISNUMBER($Z148),$Z148*PARAMETROS!$B$9,0),IF(ISNUMBER($AA148),$AA148*PARAMETROS!$B$10,0)))</f>
        <v>0.0504347508</v>
      </c>
      <c r="AC148" s="4" t="s">
        <v>1990</v>
      </c>
      <c r="AD148" s="4"/>
      <c r="AE148" s="4" t="s">
        <v>5690</v>
      </c>
      <c r="AF148" s="4" t="s">
        <v>170</v>
      </c>
      <c r="AG148" s="4" t="inlineStr">
        <is>
          <t>MARN_GTM_BTR1_2024</t>
        </is>
      </c>
      <c r="AH148" s="4" t="inlineStr">
        <is>
          <t>Origen de factores: CO2: MARN_GTM_BTR1_2024 [PRX; BTR1 Guatemala 2024, tabla 3.6, p. 48; fila Otro queroseno; gas CO2]; CH4: MARN_GTM_BTR1_2024 [PRX; BTR1 Guatemala 2024, tabla 3.33, p. 70; fila Otro queroseno; gas CH4]; N2O: MARN_GTM_BTR1_2024 [PRX; BTR1 Guatemala 2024, tabla 3.33, p. 70; fila Otro queroseno; gas N2O].</t>
        </is>
      </c>
    </row>
    <row r="149" customFormat="false" ht="15" hidden="false" customHeight="false" outlineLevel="0" collapsed="false">
      <c r="A149" s="4" t="s">
        <v>5881</v>
      </c>
      <c r="B149" s="12" t="n">
        <v>2020</v>
      </c>
      <c r="C149" s="4" t="s">
        <v>71</v>
      </c>
      <c r="D149" s="4" t="s">
        <v>5685</v>
      </c>
      <c r="E149" s="4" t="s">
        <v>3412</v>
      </c>
      <c r="F149" s="4" t="s">
        <v>3413</v>
      </c>
      <c r="G149" s="4" t="s">
        <v>97</v>
      </c>
      <c r="H149" s="4" t="s">
        <v>2123</v>
      </c>
      <c r="I149" s="4" t="s">
        <v>71</v>
      </c>
      <c r="J149" s="4" t="s">
        <v>2001</v>
      </c>
      <c r="K149" s="4" t="s">
        <v>2002</v>
      </c>
      <c r="L149" s="4" t="s">
        <v>817</v>
      </c>
      <c r="M149" s="14" t="n">
        <f aca="false">SUMIFS(PSUT_LARGA!$K$2:$K$618,PSUT_LARGA!$B$2:$B$618,$B149,PSUT_LARGA!$H$2:$H$618,$L149,PSUT_LARGA!$E$2:$E$618,$J149,PSUT_LARGA!$F$2:$F$618,$K149,PSUT_LARGA!$G$2:$G$618,$I149,PSUT_LARGA!$I$2:$I$618,$H149)</f>
        <v>64828.4448</v>
      </c>
      <c r="N149" s="14" t="n">
        <f aca="false">IF($H149="TRANSFORMACION_REFINERIA",$M149*INDEX(PARAMETROS!$C$27:$C$33,MATCH($B149,PARAMETROS!$A$27:$A$33,0)),$M149)</f>
        <v>64828.4448</v>
      </c>
      <c r="O149" s="4" t="inlineStr">
        <is>
          <t>COMB_DOIL</t>
        </is>
      </c>
      <c r="P149" s="4" t="s">
        <v>3352</v>
      </c>
      <c r="Q149" s="11" t="n">
        <f aca="false">MIN($B149,2022)</f>
        <v>2020</v>
      </c>
      <c r="R149" s="8" t="str">
        <f>IF(COUNT($S149:$U149)=0,"NO",IF($O149="CERO_DIRECTO","CAL",IF(OR($B149&gt;$Q149,COUNTIFS(DATOS_MODELO!$C$2:$C$3672,$Q149&amp;"|"&amp;$E149&amp;"|"&amp;$O149&amp;"|*",DATOS_MODELO!$F$2:$F$3672,"PRX",DATOS_MODELO!$AA$2:$AA$3672,"&lt;&gt;")&gt;0),"PRX",IF(COUNTIFS(DATOS_MODELO!$C$2:$C$3672,$Q149&amp;"|"&amp;$E149&amp;"|"&amp;$O149&amp;"|*",DATOS_MODELO!$F$2:$F$3672,"CAL",DATOS_MODELO!$AA$2:$AA$3672,"&lt;&gt;")&gt;0,"CAL","OBS"))))</f>
        <v>OBS</v>
      </c>
      <c r="S149" s="14">
        <f>IF(COUNTIFS(DATOS_MODELO!$C$2:$C$3672,$Q149&amp;"|"&amp;$E149&amp;"|"&amp;$O149&amp;"|CO2",DATOS_MODELO!$AA$2:$AA$3672,"&lt;&gt;")=0,"",INDEX(DATOS_MODELO!$AA$2:$AA$3672,MATCH($Q149&amp;"|"&amp;$E149&amp;"|"&amp;$O149&amp;"|CO2",DATOS_MODELO!$C$2:$C$3672,0)))</f>
        <v>74100.000121757</v>
      </c>
      <c r="T149" s="14">
        <f>IF(COUNTIFS(DATOS_MODELO!$C$2:$C$3672,$Q149&amp;"|"&amp;$E149&amp;"|"&amp;$O149&amp;"|CH4",DATOS_MODELO!$AA$2:$AA$3672,"&lt;&gt;")=0,"",INDEX(DATOS_MODELO!$AA$2:$AA$3672,MATCH($Q149&amp;"|"&amp;$E149&amp;"|"&amp;$O149&amp;"|CH4",DATOS_MODELO!$C$2:$C$3672,0)))</f>
        <v>3.90000004769863</v>
      </c>
      <c r="U149" s="14">
        <f>IF(COUNTIFS(DATOS_MODELO!$C$2:$C$3672,$Q149&amp;"|"&amp;$E149&amp;"|"&amp;$O149&amp;"|N2O",DATOS_MODELO!$AA$2:$AA$3672,"&lt;&gt;")=0,"",INDEX(DATOS_MODELO!$AA$2:$AA$3672,MATCH($Q149&amp;"|"&amp;$E149&amp;"|"&amp;$O149&amp;"|N2O",DATOS_MODELO!$C$2:$C$3672,0)))</f>
        <v>3.90000004769863</v>
      </c>
      <c r="V149" s="8"/>
      <c r="W149" s="14"/>
      <c r="X149" s="14">
        <f>IF($P149="BIOGENICO",0,IF(ISNUMBER($S149),$N149*$S149/PARAMETROS!$B$8,""))</f>
        <v>4803.78776757332</v>
      </c>
      <c r="Y149" s="14">
        <f>IF($P149="BIOGENICO",IF(ISNUMBER($S149),$N149*$S149/PARAMETROS!$B$8,""),0)</f>
        <v>0.0</v>
      </c>
      <c r="Z149" s="14">
        <f>IF(ISNUMBER($T149),$N149*$T149/PARAMETROS!$B$8,"")</f>
        <v>0.252830937812228</v>
      </c>
      <c r="AA149" s="14">
        <f>IF(ISNUMBER($U149),$N149*$U149/PARAMETROS!$B$8,"")</f>
        <v>0.252830937812228</v>
      </c>
      <c r="AB149" s="14">
        <f>IF(COUNT($X149,$Z149,$AA149)=0,"",SUM($X149,IF(ISNUMBER($Z149),$Z149*PARAMETROS!$B$9,0),IF(ISNUMBER($AA149),$AA149*PARAMETROS!$B$10,0)))</f>
        <v>4877.8672323523</v>
      </c>
      <c r="AC149" s="4" t="s">
        <v>1990</v>
      </c>
      <c r="AD149" s="4"/>
      <c r="AE149" s="4" t="s">
        <v>5690</v>
      </c>
      <c r="AF149" s="4" t="s">
        <v>170</v>
      </c>
      <c r="AG149" s="4" t="s">
        <v>3999</v>
      </c>
      <c r="AH149" s="4" t="inlineStr">
        <is>
          <t>Origen de factores: CO2: UNFCCC_GTM_CRT_2024 [OBS; GTM-CRT-2024-V0.3-2020-20250304-084824_started.xlsx; Table1.A(a)s3; AD=C22; EM=H22; IEF=E22]; CH4: UNFCCC_GTM_CRT_2024 [OBS; GTM-CRT-2024-V0.3-2020-20250304-084824_started.xlsx; Table1.A(a)s3; AD=C22; EM=I22; IEF=F22]; N2O: UNFCCC_GTM_CRT_2024 [OBS; GTM-CRT-2024-V0.3-2020-20250304-084824_started.xlsx; Table1.A(a)s3; AD=C22; EM=J22; IEF=G22].</t>
        </is>
      </c>
    </row>
    <row r="150" customFormat="false" ht="15" hidden="false" customHeight="false" outlineLevel="0" collapsed="false">
      <c r="A150" s="4" t="s">
        <v>5882</v>
      </c>
      <c r="B150" s="12" t="n">
        <v>2020</v>
      </c>
      <c r="C150" s="4" t="s">
        <v>71</v>
      </c>
      <c r="D150" s="4" t="s">
        <v>5685</v>
      </c>
      <c r="E150" s="4" t="s">
        <v>3412</v>
      </c>
      <c r="F150" s="4" t="s">
        <v>3413</v>
      </c>
      <c r="G150" s="4" t="s">
        <v>103</v>
      </c>
      <c r="H150" s="4" t="s">
        <v>2123</v>
      </c>
      <c r="I150" s="4" t="s">
        <v>71</v>
      </c>
      <c r="J150" s="4" t="s">
        <v>2001</v>
      </c>
      <c r="K150" s="4" t="s">
        <v>2002</v>
      </c>
      <c r="L150" s="4" t="s">
        <v>859</v>
      </c>
      <c r="M150" s="14" t="n">
        <f aca="false">SUMIFS(PSUT_LARGA!$K$2:$K$618,PSUT_LARGA!$B$2:$B$618,$B150,PSUT_LARGA!$H$2:$H$618,$L150,PSUT_LARGA!$E$2:$E$618,$J150,PSUT_LARGA!$F$2:$F$618,$K150,PSUT_LARGA!$G$2:$G$618,$I150,PSUT_LARGA!$I$2:$I$618,$H150)</f>
        <v>70471.2911</v>
      </c>
      <c r="N150" s="14" t="n">
        <f aca="false">IF($H150="TRANSFORMACION_REFINERIA",$M150*INDEX(PARAMETROS!$C$27:$C$33,MATCH($B150,PARAMETROS!$A$27:$A$33,0)),$M150)</f>
        <v>70471.2911</v>
      </c>
      <c r="O150" s="4" t="inlineStr">
        <is>
          <t>COMB_GAS</t>
        </is>
      </c>
      <c r="P150" s="4" t="s">
        <v>3352</v>
      </c>
      <c r="Q150" s="11" t="n">
        <f aca="false">MIN($B150,2022)</f>
        <v>2020</v>
      </c>
      <c r="R150" s="8" t="str">
        <f>IF(COUNT($S150:$U150)=0,"NO",IF($O150="CERO_DIRECTO","CAL",IF(OR($B150&gt;$Q150,COUNTIFS(DATOS_MODELO!$C$2:$C$3672,$Q150&amp;"|"&amp;$E150&amp;"|"&amp;$O150&amp;"|*",DATOS_MODELO!$F$2:$F$3672,"PRX",DATOS_MODELO!$AA$2:$AA$3672,"&lt;&gt;")&gt;0),"PRX",IF(COUNTIFS(DATOS_MODELO!$C$2:$C$3672,$Q150&amp;"|"&amp;$E150&amp;"|"&amp;$O150&amp;"|*",DATOS_MODELO!$F$2:$F$3672,"CAL",DATOS_MODELO!$AA$2:$AA$3672,"&lt;&gt;")&gt;0,"CAL","OBS"))))</f>
        <v>PRX</v>
      </c>
      <c r="S150" s="14">
        <f>IF(COUNTIFS(DATOS_MODELO!$C$2:$C$3672,$Q150&amp;"|"&amp;$E150&amp;"|"&amp;$O150&amp;"|CO2",DATOS_MODELO!$AA$2:$AA$3672,"&lt;&gt;")=0,"",INDEX(DATOS_MODELO!$AA$2:$AA$3672,MATCH($Q150&amp;"|"&amp;$E150&amp;"|"&amp;$O150&amp;"|CO2",DATOS_MODELO!$C$2:$C$3672,0)))</f>
        <v>69300.5480151284</v>
      </c>
      <c r="T150" s="14">
        <f>IF(COUNTIFS(DATOS_MODELO!$C$2:$C$3672,$Q150&amp;"|"&amp;$E150&amp;"|"&amp;$O150&amp;"|CH4",DATOS_MODELO!$AA$2:$AA$3672,"&lt;&gt;")=0,"",INDEX(DATOS_MODELO!$AA$2:$AA$3672,MATCH($Q150&amp;"|"&amp;$E150&amp;"|"&amp;$O150&amp;"|CH4",DATOS_MODELO!$C$2:$C$3672,0)))</f>
        <v>32.9745549591422</v>
      </c>
      <c r="U150" s="14">
        <f>IF(COUNTIFS(DATOS_MODELO!$C$2:$C$3672,$Q150&amp;"|"&amp;$E150&amp;"|"&amp;$O150&amp;"|N2O",DATOS_MODELO!$AA$2:$AA$3672,"&lt;&gt;")=0,"",INDEX(DATOS_MODELO!$AA$2:$AA$3672,MATCH($Q150&amp;"|"&amp;$E150&amp;"|"&amp;$O150&amp;"|N2O",DATOS_MODELO!$C$2:$C$3672,0)))</f>
        <v>3.19906051005489</v>
      </c>
      <c r="V150" s="8"/>
      <c r="W150" s="14"/>
      <c r="X150" s="14">
        <f>IF($P150="BIOGENICO",0,IF(ISNUMBER($S150),$N150*$S150/PARAMETROS!$B$8,""))</f>
        <v>4883.69909256364</v>
      </c>
      <c r="Y150" s="14">
        <f>IF($P150="BIOGENICO",IF(ISNUMBER($S150),$N150*$S150/PARAMETROS!$B$8,""),0)</f>
        <v>0.0</v>
      </c>
      <c r="Z150" s="14">
        <f>IF(ISNUMBER($T150),$N150*$T150/PARAMETROS!$B$8,"")</f>
        <v>2.32375946141866</v>
      </c>
      <c r="AA150" s="14">
        <f>IF(ISNUMBER($U150),$N150*$U150/PARAMETROS!$B$8,"")</f>
        <v>0.225441924450593</v>
      </c>
      <c r="AB150" s="14">
        <f>IF(COUNT($X150,$Z150,$AA150)=0,"",SUM($X150,IF(ISNUMBER($Z150),$Z150*PARAMETROS!$B$9,0),IF(ISNUMBER($AA150),$AA150*PARAMETROS!$B$10,0)))</f>
        <v>5008.50646746277</v>
      </c>
      <c r="AC150" s="4" t="s">
        <v>1990</v>
      </c>
      <c r="AD150" s="4"/>
      <c r="AE150" s="4" t="s">
        <v>5690</v>
      </c>
      <c r="AF150" s="4" t="s">
        <v>170</v>
      </c>
      <c r="AG150" s="4" t="s">
        <v>3999</v>
      </c>
      <c r="AH150" s="4" t="inlineStr">
        <is>
          <t>Origen de factores: CO2: UNFCCC_GTM_CRT_2024 [PRX; GTM-CRT-2024-V0.3-2020-20250304-084824_started.xlsx; Table1.A(a)s3; AD=C17+C21; EM=H17+H21; IEF=E17+E21]; CH4: UNFCCC_GTM_CRT_2024 [PRX; GTM-CRT-2024-V0.3-2020-20250304-084824_started.xlsx; Table1.A(a)s3; AD=C17+C21; EM=I17+I21; IEF=F17+F21]; N2O: UNFCCC_GTM_CRT_2024 [PRX; GTM-CRT-2024-V0.3-2020-20250304-084824_started.xlsx; Table1.A(a)s3; AD=C17+C21; EM=J17+J21; IEF=G17+G21].</t>
        </is>
      </c>
    </row>
    <row r="151" customFormat="false" ht="15" hidden="false" customHeight="false" outlineLevel="0" collapsed="false">
      <c r="A151" s="4" t="s">
        <v>5883</v>
      </c>
      <c r="B151" s="12" t="n">
        <v>2020</v>
      </c>
      <c r="C151" s="4" t="s">
        <v>71</v>
      </c>
      <c r="D151" s="4" t="s">
        <v>5685</v>
      </c>
      <c r="E151" s="4" t="s">
        <v>3412</v>
      </c>
      <c r="F151" s="4" t="s">
        <v>3413</v>
      </c>
      <c r="G151" s="4" t="s">
        <v>105</v>
      </c>
      <c r="H151" s="4" t="s">
        <v>2123</v>
      </c>
      <c r="I151" s="4" t="s">
        <v>71</v>
      </c>
      <c r="J151" s="4" t="s">
        <v>2001</v>
      </c>
      <c r="K151" s="4" t="s">
        <v>2002</v>
      </c>
      <c r="L151" s="4" t="s">
        <v>873</v>
      </c>
      <c r="M151" s="14" t="n">
        <f aca="false">SUMIFS(PSUT_LARGA!$K$2:$K$618,PSUT_LARGA!$B$2:$B$618,$B151,PSUT_LARGA!$H$2:$H$618,$L151,PSUT_LARGA!$E$2:$E$618,$J151,PSUT_LARGA!$F$2:$F$618,$K151,PSUT_LARGA!$G$2:$G$618,$I151,PSUT_LARGA!$I$2:$I$618,$H151)</f>
        <v>198.1791</v>
      </c>
      <c r="N151" s="14" t="n">
        <f aca="false">IF($H151="TRANSFORMACION_REFINERIA",$M151*INDEX(PARAMETROS!$C$27:$C$33,MATCH($B151,PARAMETROS!$A$27:$A$33,0)),$M151)</f>
        <v>198.1791</v>
      </c>
      <c r="O151" s="4" t="inlineStr">
        <is>
          <t>COMB_GLP</t>
        </is>
      </c>
      <c r="P151" s="4" t="s">
        <v>3352</v>
      </c>
      <c r="Q151" s="11" t="n">
        <f aca="false">MIN($B151,2022)</f>
        <v>2020</v>
      </c>
      <c r="R151" s="8" t="str">
        <f>IF(COUNT($S151:$U151)=0,"NO",IF($O151="CERO_DIRECTO","CAL",IF(OR($B151&gt;$Q151,COUNTIFS(DATOS_MODELO!$C$2:$C$3672,$Q151&amp;"|"&amp;$E151&amp;"|"&amp;$O151&amp;"|*",DATOS_MODELO!$F$2:$F$3672,"PRX",DATOS_MODELO!$AA$2:$AA$3672,"&lt;&gt;")&gt;0),"PRX",IF(COUNTIFS(DATOS_MODELO!$C$2:$C$3672,$Q151&amp;"|"&amp;$E151&amp;"|"&amp;$O151&amp;"|*",DATOS_MODELO!$F$2:$F$3672,"CAL",DATOS_MODELO!$AA$2:$AA$3672,"&lt;&gt;")&gt;0,"CAL","OBS"))))</f>
        <v>OBS</v>
      </c>
      <c r="S151" s="14">
        <f>IF(COUNTIFS(DATOS_MODELO!$C$2:$C$3672,$Q151&amp;"|"&amp;$E151&amp;"|"&amp;$O151&amp;"|CO2",DATOS_MODELO!$AA$2:$AA$3672,"&lt;&gt;")=0,"",INDEX(DATOS_MODELO!$AA$2:$AA$3672,MATCH($Q151&amp;"|"&amp;$E151&amp;"|"&amp;$O151&amp;"|CO2",DATOS_MODELO!$C$2:$C$3672,0)))</f>
        <v>63100.0002022543</v>
      </c>
      <c r="T151" s="14">
        <f>IF(COUNTIFS(DATOS_MODELO!$C$2:$C$3672,$Q151&amp;"|"&amp;$E151&amp;"|"&amp;$O151&amp;"|CH4",DATOS_MODELO!$AA$2:$AA$3672,"&lt;&gt;")=0,"",INDEX(DATOS_MODELO!$AA$2:$AA$3672,MATCH($Q151&amp;"|"&amp;$E151&amp;"|"&amp;$O151&amp;"|CH4",DATOS_MODELO!$C$2:$C$3672,0)))</f>
        <v>61.999989671682</v>
      </c>
      <c r="U151" s="14">
        <f>IF(COUNTIFS(DATOS_MODELO!$C$2:$C$3672,$Q151&amp;"|"&amp;$E151&amp;"|"&amp;$O151&amp;"|N2O",DATOS_MODELO!$AA$2:$AA$3672,"&lt;&gt;")=0,"",INDEX(DATOS_MODELO!$AA$2:$AA$3672,MATCH($Q151&amp;"|"&amp;$E151&amp;"|"&amp;$O151&amp;"|N2O",DATOS_MODELO!$C$2:$C$3672,0)))</f>
        <v>0.200000794643952</v>
      </c>
      <c r="V151" s="8"/>
      <c r="W151" s="14"/>
      <c r="X151" s="14">
        <f>IF($P151="BIOGENICO",0,IF(ISNUMBER($S151),$N151*$S151/PARAMETROS!$B$8,""))</f>
        <v>12.5051012500826</v>
      </c>
      <c r="Y151" s="14">
        <f>IF($P151="BIOGENICO",IF(ISNUMBER($S151),$N151*$S151/PARAMETROS!$B$8,""),0)</f>
        <v>0.0</v>
      </c>
      <c r="Z151" s="14">
        <f>IF(ISNUMBER($T151),$N151*$T151/PARAMETROS!$B$8,"")</f>
        <v>0.0122871021531432</v>
      </c>
      <c r="AA151" s="14">
        <f>IF(ISNUMBER($U151),$N151*$U151/PARAMETROS!$B$8,"")</f>
        <v>3.96359774818232e-05</v>
      </c>
      <c r="AB151" s="14">
        <f>IF(COUNT($X151,$Z151,$AA151)=0,"",SUM($X151,IF(ISNUMBER($Z151),$Z151*PARAMETROS!$B$9,0),IF(ISNUMBER($AA151),$AA151*PARAMETROS!$B$10,0)))</f>
        <v>12.8596436444033</v>
      </c>
      <c r="AC151" s="4" t="s">
        <v>1990</v>
      </c>
      <c r="AD151" s="4"/>
      <c r="AE151" s="4" t="s">
        <v>5690</v>
      </c>
      <c r="AF151" s="4" t="s">
        <v>170</v>
      </c>
      <c r="AG151" s="4" t="s">
        <v>3999</v>
      </c>
      <c r="AH151" s="4" t="inlineStr">
        <is>
          <t>Origen de factores: CO2: UNFCCC_GTM_CRT_2024 [OBS; GTM-CRT-2024-V0.3-2020-20250304-084824_started.xlsx; Table1.A(a)s3; AD=C23; EM=H23; IEF=E23]; CH4: UNFCCC_GTM_CRT_2024 [OBS; GTM-CRT-2024-V0.3-2020-20250304-084824_started.xlsx; Table1.A(a)s3; AD=C23; EM=I23; IEF=F23]; N2O: UNFCCC_GTM_CRT_2024 [OBS; GTM-CRT-2024-V0.3-2020-20250304-084824_started.xlsx; Table1.A(a)s3; AD=C23; EM=J23; IEF=G23].</t>
        </is>
      </c>
    </row>
    <row r="152" customFormat="false" ht="15" hidden="false" customHeight="false" outlineLevel="0" collapsed="false">
      <c r="A152" s="4" t="s">
        <v>5884</v>
      </c>
      <c r="B152" s="12" t="n">
        <v>2020</v>
      </c>
      <c r="C152" s="4" t="s">
        <v>71</v>
      </c>
      <c r="D152" s="4" t="s">
        <v>5685</v>
      </c>
      <c r="E152" s="4" t="s">
        <v>3412</v>
      </c>
      <c r="F152" s="4" t="s">
        <v>3413</v>
      </c>
      <c r="G152" s="4" t="s">
        <v>107</v>
      </c>
      <c r="H152" s="4" t="s">
        <v>2123</v>
      </c>
      <c r="I152" s="4" t="s">
        <v>71</v>
      </c>
      <c r="J152" s="4" t="s">
        <v>2001</v>
      </c>
      <c r="K152" s="4" t="s">
        <v>2002</v>
      </c>
      <c r="L152" s="4" t="s">
        <v>887</v>
      </c>
      <c r="M152" s="14" t="n">
        <f aca="false">SUMIFS(PSUT_LARGA!$K$2:$K$618,PSUT_LARGA!$B$2:$B$618,$B152,PSUT_LARGA!$H$2:$H$618,$L152,PSUT_LARGA!$E$2:$E$618,$J152,PSUT_LARGA!$F$2:$F$618,$K152,PSUT_LARGA!$G$2:$G$618,$I152,PSUT_LARGA!$I$2:$I$618,$H152)</f>
        <v>2048.606</v>
      </c>
      <c r="N152" s="14" t="n">
        <f aca="false">IF($H152="TRANSFORMACION_REFINERIA",$M152*INDEX(PARAMETROS!$C$27:$C$33,MATCH($B152,PARAMETROS!$A$27:$A$33,0)),$M152)</f>
        <v>2048.606</v>
      </c>
      <c r="O152" s="4" t="inlineStr">
        <is>
          <t>COMB_KER</t>
        </is>
      </c>
      <c r="P152" s="4" t="s">
        <v>3352</v>
      </c>
      <c r="Q152" s="11" t="n">
        <f aca="false">MIN($B152,2022)</f>
        <v>2020</v>
      </c>
      <c r="R152" s="8" t="str">
        <f>IF(COUNT($S152:$U152)=0,"NO",IF($O152="CERO_DIRECTO","CAL",IF(OR($B152&gt;$Q152,COUNTIFS(DATOS_MODELO!$C$2:$C$3672,$Q152&amp;"|"&amp;$E152&amp;"|"&amp;$O152&amp;"|*",DATOS_MODELO!$F$2:$F$3672,"PRX",DATOS_MODELO!$AA$2:$AA$3672,"&lt;&gt;")&gt;0),"PRX",IF(COUNTIFS(DATOS_MODELO!$C$2:$C$3672,$Q152&amp;"|"&amp;$E152&amp;"|"&amp;$O152&amp;"|*",DATOS_MODELO!$F$2:$F$3672,"CAL",DATOS_MODELO!$AA$2:$AA$3672,"&lt;&gt;")&gt;0,"CAL","OBS"))))</f>
        <v>PRX</v>
      </c>
      <c r="S152" s="14">
        <f>IF(COUNTIFS(DATOS_MODELO!$C$2:$C$3672,$Q152&amp;"|"&amp;$E152&amp;"|"&amp;$O152&amp;"|CO2",DATOS_MODELO!$AA$2:$AA$3672,"&lt;&gt;")=0,"",INDEX(DATOS_MODELO!$AA$2:$AA$3672,MATCH($Q152&amp;"|"&amp;$E152&amp;"|"&amp;$O152&amp;"|CO2",DATOS_MODELO!$C$2:$C$3672,0)))</f>
        <v>71500.0</v>
      </c>
      <c r="T152" s="14">
        <f>IF(COUNTIFS(DATOS_MODELO!$C$2:$C$3672,$Q152&amp;"|"&amp;$E152&amp;"|"&amp;$O152&amp;"|CH4",DATOS_MODELO!$AA$2:$AA$3672,"&lt;&gt;")=0,"",INDEX(DATOS_MODELO!$AA$2:$AA$3672,MATCH($Q152&amp;"|"&amp;$E152&amp;"|"&amp;$O152&amp;"|CH4",DATOS_MODELO!$C$2:$C$3672,0)))</f>
        <v>0.5</v>
      </c>
      <c r="U152" s="14">
        <f>IF(COUNTIFS(DATOS_MODELO!$C$2:$C$3672,$Q152&amp;"|"&amp;$E152&amp;"|"&amp;$O152&amp;"|N2O",DATOS_MODELO!$AA$2:$AA$3672,"&lt;&gt;")=0,"",INDEX(DATOS_MODELO!$AA$2:$AA$3672,MATCH($Q152&amp;"|"&amp;$E152&amp;"|"&amp;$O152&amp;"|N2O",DATOS_MODELO!$C$2:$C$3672,0)))</f>
        <v>2.0</v>
      </c>
      <c r="V152" s="8"/>
      <c r="W152" s="14"/>
      <c r="X152" s="14">
        <f>IF($P152="BIOGENICO",0,IF(ISNUMBER($S152),$N152*$S152/PARAMETROS!$B$8,""))</f>
        <v>146.475329</v>
      </c>
      <c r="Y152" s="14">
        <f>IF($P152="BIOGENICO",IF(ISNUMBER($S152),$N152*$S152/PARAMETROS!$B$8,""),0)</f>
        <v>0.0</v>
      </c>
      <c r="Z152" s="14">
        <f>IF(ISNUMBER($T152),$N152*$T152/PARAMETROS!$B$8,"")</f>
        <v>0.001024303</v>
      </c>
      <c r="AA152" s="14">
        <f>IF(ISNUMBER($U152),$N152*$U152/PARAMETROS!$B$8,"")</f>
        <v>0.004097212</v>
      </c>
      <c r="AB152" s="14">
        <f>IF(COUNT($X152,$Z152,$AA152)=0,"",SUM($X152,IF(ISNUMBER($Z152),$Z152*PARAMETROS!$B$9,0),IF(ISNUMBER($AA152),$AA152*PARAMETROS!$B$10,0)))</f>
        <v>147.589770664</v>
      </c>
      <c r="AC152" s="4" t="s">
        <v>1990</v>
      </c>
      <c r="AD152" s="4"/>
      <c r="AE152" s="4" t="s">
        <v>5690</v>
      </c>
      <c r="AF152" s="4" t="s">
        <v>170</v>
      </c>
      <c r="AG152" s="4" t="inlineStr">
        <is>
          <t>IPCC_2006_GL</t>
        </is>
      </c>
      <c r="AH152" s="4" t="inlineStr">
        <is>
          <t>Origen de factores: CO2: IPCC_2006_GL [PRX; Volumen 2, capítulo 3, tabla 3.6.4, p. 3.64; fila Jet Kerosene; gas CO2]; CH4: IPCC_2006_GL [PRX; Volumen 2, capítulo 3, tabla 3.6.5, p. 3.64; fila All fuels; gas CH4]; N2O: IPCC_2006_GL [PRX; Volumen 2, capítulo 3, tabla 3.6.5, p. 3.64; fila All fuels; gas N2O].</t>
        </is>
      </c>
    </row>
    <row r="153" customFormat="false" ht="15" hidden="false" customHeight="false" outlineLevel="0" collapsed="false">
      <c r="A153" s="4" t="s">
        <v>5885</v>
      </c>
      <c r="B153" s="12" t="n">
        <v>2020</v>
      </c>
      <c r="C153" s="4" t="s">
        <v>65</v>
      </c>
      <c r="D153" s="4" t="s">
        <v>5734</v>
      </c>
      <c r="E153" s="4" t="s">
        <v>4024</v>
      </c>
      <c r="F153" s="4" t="s">
        <v>5735</v>
      </c>
      <c r="G153" s="4"/>
      <c r="H153" s="4" t="s">
        <v>5736</v>
      </c>
      <c r="I153" s="4" t="s">
        <v>65</v>
      </c>
      <c r="J153" s="4"/>
      <c r="K153" s="4"/>
      <c r="L153" s="4" t="s">
        <v>5886</v>
      </c>
      <c r="M153" s="14"/>
      <c r="N153" s="14"/>
      <c r="O153" s="4" t="s">
        <v>4011</v>
      </c>
      <c r="P153" s="4" t="s">
        <v>4019</v>
      </c>
      <c r="Q153" s="11" t="n">
        <f aca="false">MIN($B153,2022)</f>
        <v>2020</v>
      </c>
      <c r="R153" s="4" t="s">
        <v>169</v>
      </c>
      <c r="S153" s="14"/>
      <c r="T153" s="14"/>
      <c r="U153" s="14"/>
      <c r="V153" s="4" t="s">
        <v>4018</v>
      </c>
      <c r="W153" s="14">
        <f>SUMIFS(DATOS_MODELO!$AD$2:$AD$3672,DATOS_MODELO!$A$2:$A$3672,"EMISION_AGRICULTURA_OBS",DATOS_MODELO!$D$2:$D$3672,$B153,DATOS_MODELO!$W$2:$W$3672,"3.A",DATOS_MODELO!$Z$2:$Z$3672,$V153)</f>
        <v>170.792988</v>
      </c>
      <c r="X153" s="14" t="n">
        <f aca="false">IF($V153="CO2",$W153,0)</f>
        <v>0</v>
      </c>
      <c r="Y153" s="14" t="n">
        <f aca="false">0</f>
        <v>0</v>
      </c>
      <c r="Z153" s="14" t="n">
        <f aca="false">IF($V153="CH4",$W153,0)</f>
        <v>170.792988</v>
      </c>
      <c r="AA153" s="14" t="n">
        <f aca="false">IF($V153="N2O",$W153,0)</f>
        <v>0</v>
      </c>
      <c r="AB153" s="14" t="n">
        <f aca="false">$X153+$Z153*PARAMETROS!$B$9+$AA153*PARAMETROS!$B$10</f>
        <v>4782.203664</v>
      </c>
      <c r="AC153" s="4" t="s">
        <v>169</v>
      </c>
      <c r="AD153" s="4"/>
      <c r="AE153" s="4" t="s">
        <v>5736</v>
      </c>
      <c r="AF153" s="4" t="s">
        <v>3999</v>
      </c>
      <c r="AG153" s="4" t="s">
        <v>3999</v>
      </c>
      <c r="AH153" s="4"/>
    </row>
    <row r="154" customFormat="false" ht="15" hidden="false" customHeight="false" outlineLevel="0" collapsed="false">
      <c r="A154" s="4" t="s">
        <v>5887</v>
      </c>
      <c r="B154" s="12" t="n">
        <v>2020</v>
      </c>
      <c r="C154" s="4" t="s">
        <v>65</v>
      </c>
      <c r="D154" s="4" t="s">
        <v>5734</v>
      </c>
      <c r="E154" s="4" t="s">
        <v>4030</v>
      </c>
      <c r="F154" s="4" t="s">
        <v>5739</v>
      </c>
      <c r="G154" s="4"/>
      <c r="H154" s="4" t="s">
        <v>5736</v>
      </c>
      <c r="I154" s="4" t="s">
        <v>65</v>
      </c>
      <c r="J154" s="4"/>
      <c r="K154" s="4"/>
      <c r="L154" s="4" t="s">
        <v>5888</v>
      </c>
      <c r="M154" s="14"/>
      <c r="N154" s="14"/>
      <c r="O154" s="4" t="s">
        <v>4011</v>
      </c>
      <c r="P154" s="4" t="s">
        <v>4019</v>
      </c>
      <c r="Q154" s="11" t="n">
        <f aca="false">MIN($B154,2022)</f>
        <v>2020</v>
      </c>
      <c r="R154" s="4" t="s">
        <v>169</v>
      </c>
      <c r="S154" s="14"/>
      <c r="T154" s="14"/>
      <c r="U154" s="14"/>
      <c r="V154" s="4" t="s">
        <v>4018</v>
      </c>
      <c r="W154" s="14">
        <f>SUMIFS(DATOS_MODELO!$AD$2:$AD$3672,DATOS_MODELO!$A$2:$A$3672,"EMISION_AGRICULTURA_OBS",DATOS_MODELO!$D$2:$D$3672,$B154,DATOS_MODELO!$W$2:$W$3672,"3.B",DATOS_MODELO!$Z$2:$Z$3672,$V154)</f>
        <v>6.10189227</v>
      </c>
      <c r="X154" s="14" t="n">
        <f aca="false">IF($V154="CO2",$W154,0)</f>
        <v>0</v>
      </c>
      <c r="Y154" s="14" t="n">
        <f aca="false">0</f>
        <v>0</v>
      </c>
      <c r="Z154" s="14" t="n">
        <f aca="false">IF($V154="CH4",$W154,0)</f>
        <v>6.10189227</v>
      </c>
      <c r="AA154" s="14" t="n">
        <f aca="false">IF($V154="N2O",$W154,0)</f>
        <v>0</v>
      </c>
      <c r="AB154" s="14" t="n">
        <f aca="false">$X154+$Z154*PARAMETROS!$B$9+$AA154*PARAMETROS!$B$10</f>
        <v>170.85298356</v>
      </c>
      <c r="AC154" s="4" t="s">
        <v>169</v>
      </c>
      <c r="AD154" s="4"/>
      <c r="AE154" s="4" t="s">
        <v>5736</v>
      </c>
      <c r="AF154" s="4" t="s">
        <v>3999</v>
      </c>
      <c r="AG154" s="4" t="s">
        <v>3999</v>
      </c>
      <c r="AH154" s="4"/>
    </row>
    <row r="155" customFormat="false" ht="15" hidden="false" customHeight="false" outlineLevel="0" collapsed="false">
      <c r="A155" s="4" t="s">
        <v>5889</v>
      </c>
      <c r="B155" s="12" t="n">
        <v>2020</v>
      </c>
      <c r="C155" s="4" t="s">
        <v>65</v>
      </c>
      <c r="D155" s="4" t="s">
        <v>5734</v>
      </c>
      <c r="E155" s="4" t="s">
        <v>4030</v>
      </c>
      <c r="F155" s="4" t="s">
        <v>5739</v>
      </c>
      <c r="G155" s="4"/>
      <c r="H155" s="4" t="s">
        <v>5736</v>
      </c>
      <c r="I155" s="4" t="s">
        <v>65</v>
      </c>
      <c r="J155" s="4"/>
      <c r="K155" s="4"/>
      <c r="L155" s="4" t="s">
        <v>5890</v>
      </c>
      <c r="M155" s="14"/>
      <c r="N155" s="14"/>
      <c r="O155" s="4" t="s">
        <v>4011</v>
      </c>
      <c r="P155" s="4" t="s">
        <v>4019</v>
      </c>
      <c r="Q155" s="11" t="n">
        <f aca="false">MIN($B155,2022)</f>
        <v>2020</v>
      </c>
      <c r="R155" s="4" t="s">
        <v>169</v>
      </c>
      <c r="S155" s="14"/>
      <c r="T155" s="14"/>
      <c r="U155" s="14"/>
      <c r="V155" s="4" t="s">
        <v>4048</v>
      </c>
      <c r="W155" s="14">
        <f>SUMIFS(DATOS_MODELO!$AD$2:$AD$3672,DATOS_MODELO!$A$2:$A$3672,"EMISION_AGRICULTURA_OBS",DATOS_MODELO!$D$2:$D$3672,$B155,DATOS_MODELO!$W$2:$W$3672,"3.B",DATOS_MODELO!$Z$2:$Z$3672,$V155)</f>
        <v>0.896387840223302</v>
      </c>
      <c r="X155" s="14" t="n">
        <f aca="false">IF($V155="CO2",$W155,0)</f>
        <v>0</v>
      </c>
      <c r="Y155" s="14" t="n">
        <f aca="false">0</f>
        <v>0</v>
      </c>
      <c r="Z155" s="14" t="n">
        <f aca="false">IF($V155="CH4",$W155,0)</f>
        <v>0</v>
      </c>
      <c r="AA155" s="14" t="n">
        <f aca="false">IF($V155="N2O",$W155,0)</f>
        <v>0.896387840223302</v>
      </c>
      <c r="AB155" s="14" t="n">
        <f aca="false">$X155+$Z155*PARAMETROS!$B$9+$AA155*PARAMETROS!$B$10</f>
        <v>237.542777659175</v>
      </c>
      <c r="AC155" s="4" t="s">
        <v>169</v>
      </c>
      <c r="AD155" s="4"/>
      <c r="AE155" s="4" t="s">
        <v>5736</v>
      </c>
      <c r="AF155" s="4" t="s">
        <v>3999</v>
      </c>
      <c r="AG155" s="4" t="s">
        <v>3999</v>
      </c>
      <c r="AH155" s="4"/>
    </row>
    <row r="156" customFormat="false" ht="15" hidden="false" customHeight="false" outlineLevel="0" collapsed="false">
      <c r="A156" s="4" t="s">
        <v>5891</v>
      </c>
      <c r="B156" s="12" t="n">
        <v>2020</v>
      </c>
      <c r="C156" s="4" t="s">
        <v>65</v>
      </c>
      <c r="D156" s="4" t="s">
        <v>5734</v>
      </c>
      <c r="E156" s="4" t="s">
        <v>4036</v>
      </c>
      <c r="F156" s="4" t="s">
        <v>5744</v>
      </c>
      <c r="G156" s="4"/>
      <c r="H156" s="4" t="s">
        <v>5736</v>
      </c>
      <c r="I156" s="4" t="s">
        <v>65</v>
      </c>
      <c r="J156" s="4"/>
      <c r="K156" s="4"/>
      <c r="L156" s="4" t="s">
        <v>5892</v>
      </c>
      <c r="M156" s="14"/>
      <c r="N156" s="14"/>
      <c r="O156" s="4" t="s">
        <v>4011</v>
      </c>
      <c r="P156" s="4" t="s">
        <v>4019</v>
      </c>
      <c r="Q156" s="11" t="n">
        <f aca="false">MIN($B156,2022)</f>
        <v>2020</v>
      </c>
      <c r="R156" s="4" t="s">
        <v>169</v>
      </c>
      <c r="S156" s="14"/>
      <c r="T156" s="14"/>
      <c r="U156" s="14"/>
      <c r="V156" s="4" t="s">
        <v>4018</v>
      </c>
      <c r="W156" s="14">
        <f>SUMIFS(DATOS_MODELO!$AD$2:$AD$3672,DATOS_MODELO!$A$2:$A$3672,"EMISION_AGRICULTURA_OBS",DATOS_MODELO!$D$2:$D$3672,$B156,DATOS_MODELO!$W$2:$W$3672,"3.C",DATOS_MODELO!$Z$2:$Z$3672,$V156)</f>
        <v>0.79179625833</v>
      </c>
      <c r="X156" s="14" t="n">
        <f aca="false">IF($V156="CO2",$W156,0)</f>
        <v>0</v>
      </c>
      <c r="Y156" s="14" t="n">
        <f aca="false">0</f>
        <v>0</v>
      </c>
      <c r="Z156" s="14" t="n">
        <f aca="false">IF($V156="CH4",$W156,0)</f>
        <v>0.79179625833</v>
      </c>
      <c r="AA156" s="14" t="n">
        <f aca="false">IF($V156="N2O",$W156,0)</f>
        <v>0</v>
      </c>
      <c r="AB156" s="14" t="n">
        <f aca="false">$X156+$Z156*PARAMETROS!$B$9+$AA156*PARAMETROS!$B$10</f>
        <v>22.17029523324</v>
      </c>
      <c r="AC156" s="4" t="s">
        <v>169</v>
      </c>
      <c r="AD156" s="4"/>
      <c r="AE156" s="4" t="s">
        <v>5736</v>
      </c>
      <c r="AF156" s="4" t="s">
        <v>3999</v>
      </c>
      <c r="AG156" s="4" t="s">
        <v>3999</v>
      </c>
      <c r="AH156" s="4"/>
    </row>
    <row r="157" customFormat="false" ht="15" hidden="false" customHeight="false" outlineLevel="0" collapsed="false">
      <c r="A157" s="4" t="s">
        <v>5893</v>
      </c>
      <c r="B157" s="12" t="n">
        <v>2020</v>
      </c>
      <c r="C157" s="4" t="s">
        <v>65</v>
      </c>
      <c r="D157" s="4" t="s">
        <v>5734</v>
      </c>
      <c r="E157" s="4" t="s">
        <v>4057</v>
      </c>
      <c r="F157" s="4" t="s">
        <v>5747</v>
      </c>
      <c r="G157" s="4"/>
      <c r="H157" s="4" t="s">
        <v>5736</v>
      </c>
      <c r="I157" s="4" t="s">
        <v>65</v>
      </c>
      <c r="J157" s="4"/>
      <c r="K157" s="4"/>
      <c r="L157" s="4" t="s">
        <v>5894</v>
      </c>
      <c r="M157" s="14"/>
      <c r="N157" s="14"/>
      <c r="O157" s="4" t="s">
        <v>4011</v>
      </c>
      <c r="P157" s="4" t="s">
        <v>4019</v>
      </c>
      <c r="Q157" s="11" t="n">
        <f aca="false">MIN($B157,2022)</f>
        <v>2020</v>
      </c>
      <c r="R157" s="4" t="s">
        <v>169</v>
      </c>
      <c r="S157" s="14"/>
      <c r="T157" s="14"/>
      <c r="U157" s="14"/>
      <c r="V157" s="4" t="s">
        <v>4048</v>
      </c>
      <c r="W157" s="14">
        <f>SUMIFS(DATOS_MODELO!$AD$2:$AD$3672,DATOS_MODELO!$A$2:$A$3672,"EMISION_AGRICULTURA_OBS",DATOS_MODELO!$D$2:$D$3672,$B157,DATOS_MODELO!$W$2:$W$3672,"3.D",DATOS_MODELO!$Z$2:$Z$3672,$V157)</f>
        <v>3.62769228072036</v>
      </c>
      <c r="X157" s="14" t="n">
        <f aca="false">IF($V157="CO2",$W157,0)</f>
        <v>0</v>
      </c>
      <c r="Y157" s="14" t="n">
        <f aca="false">0</f>
        <v>0</v>
      </c>
      <c r="Z157" s="14" t="n">
        <f aca="false">IF($V157="CH4",$W157,0)</f>
        <v>0</v>
      </c>
      <c r="AA157" s="14" t="n">
        <f aca="false">IF($V157="N2O",$W157,0)</f>
        <v>3.62769228072036</v>
      </c>
      <c r="AB157" s="14" t="n">
        <f aca="false">$X157+$Z157*PARAMETROS!$B$9+$AA157*PARAMETROS!$B$10</f>
        <v>961.338454390895</v>
      </c>
      <c r="AC157" s="4" t="s">
        <v>169</v>
      </c>
      <c r="AD157" s="4"/>
      <c r="AE157" s="4" t="s">
        <v>5736</v>
      </c>
      <c r="AF157" s="4" t="s">
        <v>3999</v>
      </c>
      <c r="AG157" s="4" t="s">
        <v>3999</v>
      </c>
      <c r="AH157" s="4"/>
    </row>
    <row r="158" customFormat="false" ht="15" hidden="false" customHeight="false" outlineLevel="0" collapsed="false">
      <c r="A158" s="4" t="s">
        <v>5895</v>
      </c>
      <c r="B158" s="12" t="n">
        <v>2020</v>
      </c>
      <c r="C158" s="4" t="s">
        <v>65</v>
      </c>
      <c r="D158" s="4" t="s">
        <v>5734</v>
      </c>
      <c r="E158" s="4" t="s">
        <v>4042</v>
      </c>
      <c r="F158" s="4" t="s">
        <v>5750</v>
      </c>
      <c r="G158" s="4"/>
      <c r="H158" s="4" t="s">
        <v>5736</v>
      </c>
      <c r="I158" s="4" t="s">
        <v>65</v>
      </c>
      <c r="J158" s="4"/>
      <c r="K158" s="4"/>
      <c r="L158" s="4" t="s">
        <v>5896</v>
      </c>
      <c r="M158" s="14"/>
      <c r="N158" s="14"/>
      <c r="O158" s="4" t="s">
        <v>4011</v>
      </c>
      <c r="P158" s="4" t="s">
        <v>4019</v>
      </c>
      <c r="Q158" s="11" t="n">
        <f aca="false">MIN($B158,2022)</f>
        <v>2020</v>
      </c>
      <c r="R158" s="4" t="s">
        <v>169</v>
      </c>
      <c r="S158" s="14"/>
      <c r="T158" s="14"/>
      <c r="U158" s="14"/>
      <c r="V158" s="4" t="s">
        <v>4018</v>
      </c>
      <c r="W158" s="14">
        <f>SUMIFS(DATOS_MODELO!$AD$2:$AD$3672,DATOS_MODELO!$A$2:$A$3672,"EMISION_AGRICULTURA_OBS",DATOS_MODELO!$D$2:$D$3672,$B158,DATOS_MODELO!$W$2:$W$3672,"3.E",DATOS_MODELO!$Z$2:$Z$3672,$V158)</f>
        <v>7.420896541698</v>
      </c>
      <c r="X158" s="14" t="n">
        <f aca="false">IF($V158="CO2",$W158,0)</f>
        <v>0</v>
      </c>
      <c r="Y158" s="14" t="n">
        <f aca="false">0</f>
        <v>0</v>
      </c>
      <c r="Z158" s="14" t="n">
        <f aca="false">IF($V158="CH4",$W158,0)</f>
        <v>7.420896541698</v>
      </c>
      <c r="AA158" s="14" t="n">
        <f aca="false">IF($V158="N2O",$W158,0)</f>
        <v>0</v>
      </c>
      <c r="AB158" s="14" t="n">
        <f aca="false">$X158+$Z158*PARAMETROS!$B$9+$AA158*PARAMETROS!$B$10</f>
        <v>207.785103167544</v>
      </c>
      <c r="AC158" s="4" t="s">
        <v>169</v>
      </c>
      <c r="AD158" s="4"/>
      <c r="AE158" s="4" t="s">
        <v>5736</v>
      </c>
      <c r="AF158" s="4" t="s">
        <v>3999</v>
      </c>
      <c r="AG158" s="4" t="s">
        <v>3999</v>
      </c>
      <c r="AH158" s="4"/>
    </row>
    <row r="159" customFormat="false" ht="15" hidden="false" customHeight="false" outlineLevel="0" collapsed="false">
      <c r="A159" s="4" t="s">
        <v>5897</v>
      </c>
      <c r="B159" s="12" t="n">
        <v>2020</v>
      </c>
      <c r="C159" s="4" t="s">
        <v>65</v>
      </c>
      <c r="D159" s="4" t="s">
        <v>5734</v>
      </c>
      <c r="E159" s="4" t="s">
        <v>4042</v>
      </c>
      <c r="F159" s="4" t="s">
        <v>5750</v>
      </c>
      <c r="G159" s="4"/>
      <c r="H159" s="4" t="s">
        <v>5736</v>
      </c>
      <c r="I159" s="4" t="s">
        <v>65</v>
      </c>
      <c r="J159" s="4"/>
      <c r="K159" s="4"/>
      <c r="L159" s="4" t="s">
        <v>5898</v>
      </c>
      <c r="M159" s="14"/>
      <c r="N159" s="14"/>
      <c r="O159" s="4" t="s">
        <v>4011</v>
      </c>
      <c r="P159" s="4" t="s">
        <v>4019</v>
      </c>
      <c r="Q159" s="11" t="n">
        <f aca="false">MIN($B159,2022)</f>
        <v>2020</v>
      </c>
      <c r="R159" s="4" t="s">
        <v>169</v>
      </c>
      <c r="S159" s="14"/>
      <c r="T159" s="14"/>
      <c r="U159" s="14"/>
      <c r="V159" s="4" t="s">
        <v>4048</v>
      </c>
      <c r="W159" s="14">
        <f>SUMIFS(DATOS_MODELO!$AD$2:$AD$3672,DATOS_MODELO!$A$2:$A$3672,"EMISION_AGRICULTURA_OBS",DATOS_MODELO!$D$2:$D$3672,$B159,DATOS_MODELO!$W$2:$W$3672,"3.E",DATOS_MODELO!$Z$2:$Z$3672,$V159)</f>
        <v>0.6775601190246</v>
      </c>
      <c r="X159" s="14" t="n">
        <f aca="false">IF($V159="CO2",$W159,0)</f>
        <v>0</v>
      </c>
      <c r="Y159" s="14" t="n">
        <f aca="false">0</f>
        <v>0</v>
      </c>
      <c r="Z159" s="14" t="n">
        <f aca="false">IF($V159="CH4",$W159,0)</f>
        <v>0</v>
      </c>
      <c r="AA159" s="14" t="n">
        <f aca="false">IF($V159="N2O",$W159,0)</f>
        <v>0.6775601190246</v>
      </c>
      <c r="AB159" s="14" t="n">
        <f aca="false">$X159+$Z159*PARAMETROS!$B$9+$AA159*PARAMETROS!$B$10</f>
        <v>179.553431541519</v>
      </c>
      <c r="AC159" s="4" t="s">
        <v>169</v>
      </c>
      <c r="AD159" s="4"/>
      <c r="AE159" s="4" t="s">
        <v>5736</v>
      </c>
      <c r="AF159" s="4" t="s">
        <v>3999</v>
      </c>
      <c r="AG159" s="4" t="s">
        <v>3999</v>
      </c>
      <c r="AH159" s="4"/>
    </row>
    <row r="160" customFormat="false" ht="23.85" hidden="false" customHeight="false" outlineLevel="0" collapsed="false">
      <c r="A160" s="4" t="s">
        <v>5899</v>
      </c>
      <c r="B160" s="12" t="n">
        <v>2020</v>
      </c>
      <c r="C160" s="4" t="s">
        <v>65</v>
      </c>
      <c r="D160" s="4" t="s">
        <v>5734</v>
      </c>
      <c r="E160" s="4" t="s">
        <v>5755</v>
      </c>
      <c r="F160" s="4" t="s">
        <v>5756</v>
      </c>
      <c r="G160" s="4"/>
      <c r="H160" s="4" t="s">
        <v>5757</v>
      </c>
      <c r="I160" s="4" t="s">
        <v>65</v>
      </c>
      <c r="J160" s="4"/>
      <c r="K160" s="4"/>
      <c r="L160" s="4" t="s">
        <v>5900</v>
      </c>
      <c r="M160" s="14"/>
      <c r="N160" s="14"/>
      <c r="O160" s="4" t="s">
        <v>4011</v>
      </c>
      <c r="P160" s="4" t="s">
        <v>4019</v>
      </c>
      <c r="Q160" s="11" t="n">
        <f aca="false">MIN($B160,2022)</f>
        <v>2020</v>
      </c>
      <c r="R160" s="4" t="s">
        <v>1990</v>
      </c>
      <c r="S160" s="14"/>
      <c r="T160" s="14"/>
      <c r="U160" s="14"/>
      <c r="V160" s="4" t="s">
        <v>4018</v>
      </c>
      <c r="W160" s="14">
        <f>SUMIFS(DATOS_MODELO!$AD$2:$AD$3672,DATOS_MODELO!$A$2:$A$3672,"EMISION_AGRICULTURA_OBS",DATOS_MODELO!$D$2:$D$3672,$B160,DATOS_MODELO!$W$2:$W$3672,"3",DATOS_MODELO!$Z$2:$Z$3672,$V160)-SUMIFS(DATOS_MODELO!$AD$2:$AD$3672,DATOS_MODELO!$A$2:$A$3672,"EMISION_AGRICULTURA_OBS",DATOS_MODELO!$D$2:$D$3672,$B160,DATOS_MODELO!$W$2:$W$3672,"3.A",DATOS_MODELO!$Z$2:$Z$3672,$V160)-SUMIFS(DATOS_MODELO!$AD$2:$AD$3672,DATOS_MODELO!$A$2:$A$3672,"EMISION_AGRICULTURA_OBS",DATOS_MODELO!$D$2:$D$3672,$B160,DATOS_MODELO!$W$2:$W$3672,"3.B",DATOS_MODELO!$Z$2:$Z$3672,$V160)-SUMIFS(DATOS_MODELO!$AD$2:$AD$3672,DATOS_MODELO!$A$2:$A$3672,"EMISION_AGRICULTURA_OBS",DATOS_MODELO!$D$2:$D$3672,$B160,DATOS_MODELO!$W$2:$W$3672,"3.C",DATOS_MODELO!$Z$2:$Z$3672,$V160)-SUMIFS(DATOS_MODELO!$AD$2:$AD$3672,DATOS_MODELO!$A$2:$A$3672,"EMISION_AGRICULTURA_OBS",DATOS_MODELO!$D$2:$D$3672,$B160,DATOS_MODELO!$W$2:$W$3672,"3.D",DATOS_MODELO!$Z$2:$Z$3672,$V160)-SUMIFS(DATOS_MODELO!$AD$2:$AD$3672,DATOS_MODELO!$A$2:$A$3672,"EMISION_AGRICULTURA_OBS",DATOS_MODELO!$D$2:$D$3672,$B160,DATOS_MODELO!$W$2:$W$3672,"3.E",DATOS_MODELO!$Z$2:$Z$3672,$V160)</f>
        <v>4.46526359845203</v>
      </c>
      <c r="X160" s="14" t="n">
        <f aca="false">IF($V160="CO2",$W160,0)</f>
        <v>0</v>
      </c>
      <c r="Y160" s="14" t="n">
        <f aca="false">0</f>
        <v>0</v>
      </c>
      <c r="Z160" s="14" t="n">
        <f aca="false">IF($V160="CH4",$W160,0)</f>
        <v>4.46526359845203</v>
      </c>
      <c r="AA160" s="14" t="n">
        <f aca="false">IF($V160="N2O",$W160,0)</f>
        <v>0</v>
      </c>
      <c r="AB160" s="14" t="n">
        <f aca="false">$X160+$Z160*PARAMETROS!$B$9+$AA160*PARAMETROS!$B$10</f>
        <v>125.027380756657</v>
      </c>
      <c r="AC160" s="4" t="s">
        <v>1990</v>
      </c>
      <c r="AD160" s="4"/>
      <c r="AE160" s="4" t="s">
        <v>5757</v>
      </c>
      <c r="AF160" s="4" t="s">
        <v>3999</v>
      </c>
      <c r="AG160" s="4" t="s">
        <v>3999</v>
      </c>
      <c r="AH160" s="4"/>
    </row>
    <row r="161" customFormat="false" ht="23.85" hidden="false" customHeight="false" outlineLevel="0" collapsed="false">
      <c r="A161" s="4" t="s">
        <v>5901</v>
      </c>
      <c r="B161" s="12" t="n">
        <v>2020</v>
      </c>
      <c r="C161" s="4" t="s">
        <v>65</v>
      </c>
      <c r="D161" s="4" t="s">
        <v>5734</v>
      </c>
      <c r="E161" s="4" t="s">
        <v>5755</v>
      </c>
      <c r="F161" s="4" t="s">
        <v>5756</v>
      </c>
      <c r="G161" s="4"/>
      <c r="H161" s="4" t="s">
        <v>5757</v>
      </c>
      <c r="I161" s="4" t="s">
        <v>65</v>
      </c>
      <c r="J161" s="4"/>
      <c r="K161" s="4"/>
      <c r="L161" s="4" t="s">
        <v>5902</v>
      </c>
      <c r="M161" s="14"/>
      <c r="N161" s="14"/>
      <c r="O161" s="4" t="s">
        <v>4011</v>
      </c>
      <c r="P161" s="4" t="s">
        <v>4019</v>
      </c>
      <c r="Q161" s="11" t="n">
        <f aca="false">MIN($B161,2022)</f>
        <v>2020</v>
      </c>
      <c r="R161" s="4" t="s">
        <v>1990</v>
      </c>
      <c r="S161" s="14"/>
      <c r="T161" s="14"/>
      <c r="U161" s="14"/>
      <c r="V161" s="4" t="s">
        <v>4048</v>
      </c>
      <c r="W161" s="14">
        <f>SUMIFS(DATOS_MODELO!$AD$2:$AD$3672,DATOS_MODELO!$A$2:$A$3672,"EMISION_AGRICULTURA_OBS",DATOS_MODELO!$D$2:$D$3672,$B161,DATOS_MODELO!$W$2:$W$3672,"3",DATOS_MODELO!$Z$2:$Z$3672,$V161)-SUMIFS(DATOS_MODELO!$AD$2:$AD$3672,DATOS_MODELO!$A$2:$A$3672,"EMISION_AGRICULTURA_OBS",DATOS_MODELO!$D$2:$D$3672,$B161,DATOS_MODELO!$W$2:$W$3672,"3.A",DATOS_MODELO!$Z$2:$Z$3672,$V161)-SUMIFS(DATOS_MODELO!$AD$2:$AD$3672,DATOS_MODELO!$A$2:$A$3672,"EMISION_AGRICULTURA_OBS",DATOS_MODELO!$D$2:$D$3672,$B161,DATOS_MODELO!$W$2:$W$3672,"3.B",DATOS_MODELO!$Z$2:$Z$3672,$V161)-SUMIFS(DATOS_MODELO!$AD$2:$AD$3672,DATOS_MODELO!$A$2:$A$3672,"EMISION_AGRICULTURA_OBS",DATOS_MODELO!$D$2:$D$3672,$B161,DATOS_MODELO!$W$2:$W$3672,"3.C",DATOS_MODELO!$Z$2:$Z$3672,$V161)-SUMIFS(DATOS_MODELO!$AD$2:$AD$3672,DATOS_MODELO!$A$2:$A$3672,"EMISION_AGRICULTURA_OBS",DATOS_MODELO!$D$2:$D$3672,$B161,DATOS_MODELO!$W$2:$W$3672,"3.D",DATOS_MODELO!$Z$2:$Z$3672,$V161)-SUMIFS(DATOS_MODELO!$AD$2:$AD$3672,DATOS_MODELO!$A$2:$A$3672,"EMISION_AGRICULTURA_OBS",DATOS_MODELO!$D$2:$D$3672,$B161,DATOS_MODELO!$W$2:$W$3672,"3.E",DATOS_MODELO!$Z$2:$Z$3672,$V161)</f>
        <v>0.1157660932932</v>
      </c>
      <c r="X161" s="14" t="n">
        <f aca="false">IF($V161="CO2",$W161,0)</f>
        <v>0</v>
      </c>
      <c r="Y161" s="14" t="n">
        <f aca="false">0</f>
        <v>0</v>
      </c>
      <c r="Z161" s="14" t="n">
        <f aca="false">IF($V161="CH4",$W161,0)</f>
        <v>0</v>
      </c>
      <c r="AA161" s="14" t="n">
        <f aca="false">IF($V161="N2O",$W161,0)</f>
        <v>0.1157660932932</v>
      </c>
      <c r="AB161" s="14" t="n">
        <f aca="false">$X161+$Z161*PARAMETROS!$B$9+$AA161*PARAMETROS!$B$10</f>
        <v>30.6780147226979</v>
      </c>
      <c r="AC161" s="4" t="s">
        <v>1990</v>
      </c>
      <c r="AD161" s="4"/>
      <c r="AE161" s="4" t="s">
        <v>5757</v>
      </c>
      <c r="AF161" s="4" t="s">
        <v>3999</v>
      </c>
      <c r="AG161" s="4" t="s">
        <v>3999</v>
      </c>
      <c r="AH161" s="4"/>
    </row>
    <row r="162" customFormat="false" ht="15" hidden="false" customHeight="false" outlineLevel="0" collapsed="false">
      <c r="A162" s="4" t="s">
        <v>5903</v>
      </c>
      <c r="B162" s="12" t="n">
        <v>2020</v>
      </c>
      <c r="C162" s="4" t="s">
        <v>65</v>
      </c>
      <c r="D162" s="4" t="s">
        <v>5734</v>
      </c>
      <c r="E162" s="4" t="s">
        <v>5762</v>
      </c>
      <c r="F162" s="4" t="s">
        <v>5763</v>
      </c>
      <c r="G162" s="4"/>
      <c r="H162" s="4" t="s">
        <v>5686</v>
      </c>
      <c r="I162" s="4" t="s">
        <v>65</v>
      </c>
      <c r="J162" s="4"/>
      <c r="K162" s="4"/>
      <c r="L162" s="4" t="s">
        <v>5904</v>
      </c>
      <c r="M162" s="14"/>
      <c r="N162" s="14"/>
      <c r="O162" s="4" t="s">
        <v>3349</v>
      </c>
      <c r="P162" s="4" t="s">
        <v>4019</v>
      </c>
      <c r="Q162" s="11" t="n">
        <f aca="false">MIN($B162,2022)</f>
        <v>2020</v>
      </c>
      <c r="R162" s="4" t="s">
        <v>3349</v>
      </c>
      <c r="S162" s="14"/>
      <c r="T162" s="14"/>
      <c r="U162" s="14"/>
      <c r="V162" s="4" t="s">
        <v>3349</v>
      </c>
      <c r="W162" s="14"/>
      <c r="X162" s="14"/>
      <c r="Y162" s="14"/>
      <c r="Z162" s="14"/>
      <c r="AA162" s="14"/>
      <c r="AB162" s="14"/>
      <c r="AC162" s="4" t="s">
        <v>3349</v>
      </c>
      <c r="AD162" s="4" t="s">
        <v>3349</v>
      </c>
      <c r="AE162" s="4" t="s">
        <v>5686</v>
      </c>
      <c r="AF162" s="4" t="s">
        <v>3999</v>
      </c>
      <c r="AG162" s="4"/>
      <c r="AH162" s="4"/>
    </row>
    <row r="163" customFormat="false" ht="15" hidden="false" customHeight="false" outlineLevel="0" collapsed="false">
      <c r="A163" s="4" t="s">
        <v>5905</v>
      </c>
      <c r="B163" s="12" t="n">
        <v>2020</v>
      </c>
      <c r="C163" s="4" t="s">
        <v>65</v>
      </c>
      <c r="D163" s="4" t="s">
        <v>5734</v>
      </c>
      <c r="E163" s="4" t="s">
        <v>5766</v>
      </c>
      <c r="F163" s="4" t="s">
        <v>5767</v>
      </c>
      <c r="G163" s="4"/>
      <c r="H163" s="4" t="s">
        <v>5736</v>
      </c>
      <c r="I163" s="4" t="s">
        <v>65</v>
      </c>
      <c r="J163" s="4"/>
      <c r="K163" s="4"/>
      <c r="L163" s="4" t="s">
        <v>5906</v>
      </c>
      <c r="M163" s="14"/>
      <c r="N163" s="14"/>
      <c r="O163" s="4" t="s">
        <v>4011</v>
      </c>
      <c r="P163" s="4" t="s">
        <v>3352</v>
      </c>
      <c r="Q163" s="11" t="n">
        <f aca="false">MIN($B163,2022)</f>
        <v>2020</v>
      </c>
      <c r="R163" s="4" t="s">
        <v>169</v>
      </c>
      <c r="S163" s="14"/>
      <c r="T163" s="14"/>
      <c r="U163" s="14"/>
      <c r="V163" s="4" t="s">
        <v>4012</v>
      </c>
      <c r="W163" s="14">
        <f>SUMIFS(DATOS_MODELO!$AD$2:$AD$3672,DATOS_MODELO!$A$2:$A$3672,"EMISION_AGRICULTURA_OBS",DATOS_MODELO!$D$2:$D$3672,$B163,DATOS_MODELO!$W$2:$W$3672,"3",DATOS_MODELO!$Z$2:$Z$3672,$V163)</f>
        <v>39.370831</v>
      </c>
      <c r="X163" s="14" t="n">
        <f aca="false">IF($V163="CO2",$W163,0)</f>
        <v>39.370831</v>
      </c>
      <c r="Y163" s="14" t="n">
        <f aca="false">0</f>
        <v>0</v>
      </c>
      <c r="Z163" s="14" t="n">
        <f aca="false">IF($V163="CH4",$W163,0)</f>
        <v>0</v>
      </c>
      <c r="AA163" s="14" t="n">
        <f aca="false">IF($V163="N2O",$W163,0)</f>
        <v>0</v>
      </c>
      <c r="AB163" s="14" t="n">
        <f aca="false">$X163+$Z163*PARAMETROS!$B$9+$AA163*PARAMETROS!$B$10</f>
        <v>39.370831</v>
      </c>
      <c r="AC163" s="4" t="s">
        <v>169</v>
      </c>
      <c r="AD163" s="4"/>
      <c r="AE163" s="4" t="s">
        <v>5736</v>
      </c>
      <c r="AF163" s="4" t="s">
        <v>3999</v>
      </c>
      <c r="AG163" s="4" t="s">
        <v>3999</v>
      </c>
      <c r="AH163" s="4"/>
    </row>
    <row r="164" customFormat="false" ht="15" hidden="false" customHeight="false" outlineLevel="0" collapsed="false">
      <c r="A164" s="4" t="s">
        <v>5907</v>
      </c>
      <c r="B164" s="12" t="n">
        <v>2020</v>
      </c>
      <c r="C164" s="4" t="s">
        <v>65</v>
      </c>
      <c r="D164" s="4" t="s">
        <v>5734</v>
      </c>
      <c r="E164" s="4" t="s">
        <v>5770</v>
      </c>
      <c r="F164" s="4" t="s">
        <v>5771</v>
      </c>
      <c r="G164" s="4"/>
      <c r="H164" s="4" t="s">
        <v>5686</v>
      </c>
      <c r="I164" s="4" t="s">
        <v>65</v>
      </c>
      <c r="J164" s="4"/>
      <c r="K164" s="4"/>
      <c r="L164" s="4" t="s">
        <v>5908</v>
      </c>
      <c r="M164" s="14"/>
      <c r="N164" s="14"/>
      <c r="O164" s="4" t="s">
        <v>3349</v>
      </c>
      <c r="P164" s="4" t="s">
        <v>4019</v>
      </c>
      <c r="Q164" s="11" t="n">
        <f aca="false">MIN($B164,2022)</f>
        <v>2020</v>
      </c>
      <c r="R164" s="4" t="s">
        <v>3349</v>
      </c>
      <c r="S164" s="14"/>
      <c r="T164" s="14"/>
      <c r="U164" s="14"/>
      <c r="V164" s="4" t="s">
        <v>3349</v>
      </c>
      <c r="W164" s="14"/>
      <c r="X164" s="14"/>
      <c r="Y164" s="14"/>
      <c r="Z164" s="14"/>
      <c r="AA164" s="14"/>
      <c r="AB164" s="14"/>
      <c r="AC164" s="4" t="s">
        <v>3349</v>
      </c>
      <c r="AD164" s="4" t="s">
        <v>3349</v>
      </c>
      <c r="AE164" s="4" t="s">
        <v>5686</v>
      </c>
      <c r="AF164" s="4" t="s">
        <v>3999</v>
      </c>
      <c r="AG164" s="4"/>
      <c r="AH164" s="4"/>
    </row>
    <row r="165" customFormat="false" ht="15" hidden="false" customHeight="false" outlineLevel="0" collapsed="false">
      <c r="A165" s="4" t="s">
        <v>5909</v>
      </c>
      <c r="B165" s="12" t="n">
        <v>2020</v>
      </c>
      <c r="C165" s="4" t="s">
        <v>65</v>
      </c>
      <c r="D165" s="4" t="s">
        <v>5734</v>
      </c>
      <c r="E165" s="4" t="s">
        <v>5774</v>
      </c>
      <c r="F165" s="4" t="s">
        <v>5775</v>
      </c>
      <c r="G165" s="4"/>
      <c r="H165" s="4" t="s">
        <v>5686</v>
      </c>
      <c r="I165" s="4" t="s">
        <v>65</v>
      </c>
      <c r="J165" s="4"/>
      <c r="K165" s="4"/>
      <c r="L165" s="4" t="s">
        <v>5910</v>
      </c>
      <c r="M165" s="14"/>
      <c r="N165" s="14"/>
      <c r="O165" s="4" t="s">
        <v>3349</v>
      </c>
      <c r="P165" s="4" t="s">
        <v>4019</v>
      </c>
      <c r="Q165" s="11" t="n">
        <f aca="false">MIN($B165,2022)</f>
        <v>2020</v>
      </c>
      <c r="R165" s="4" t="s">
        <v>3349</v>
      </c>
      <c r="S165" s="14"/>
      <c r="T165" s="14"/>
      <c r="U165" s="14"/>
      <c r="V165" s="4" t="s">
        <v>3349</v>
      </c>
      <c r="W165" s="14"/>
      <c r="X165" s="14"/>
      <c r="Y165" s="14"/>
      <c r="Z165" s="14"/>
      <c r="AA165" s="14"/>
      <c r="AB165" s="14"/>
      <c r="AC165" s="4" t="s">
        <v>3349</v>
      </c>
      <c r="AD165" s="4" t="s">
        <v>3349</v>
      </c>
      <c r="AE165" s="4" t="s">
        <v>5686</v>
      </c>
      <c r="AF165" s="4" t="s">
        <v>3999</v>
      </c>
      <c r="AG165" s="4"/>
      <c r="AH165" s="4"/>
    </row>
    <row r="166" customFormat="false" ht="15" hidden="false" customHeight="false" outlineLevel="0" collapsed="false">
      <c r="A166" s="4" t="s">
        <v>5911</v>
      </c>
      <c r="B166" s="12" t="n">
        <v>2021</v>
      </c>
      <c r="C166" s="4" t="s">
        <v>65</v>
      </c>
      <c r="D166" s="4" t="s">
        <v>5685</v>
      </c>
      <c r="E166" s="4" t="s">
        <v>3377</v>
      </c>
      <c r="F166" s="4" t="s">
        <v>3378</v>
      </c>
      <c r="G166" s="4" t="s">
        <v>109</v>
      </c>
      <c r="H166" s="4" t="s">
        <v>2070</v>
      </c>
      <c r="I166" s="4" t="s">
        <v>65</v>
      </c>
      <c r="J166" s="4" t="s">
        <v>1994</v>
      </c>
      <c r="K166" s="4" t="s">
        <v>1995</v>
      </c>
      <c r="L166" s="4" t="s">
        <v>1005</v>
      </c>
      <c r="M166" s="14" t="n">
        <f aca="false">SUMIFS(PSUT_LARGA!$K$2:$K$618,PSUT_LARGA!$B$2:$B$618,$B166,PSUT_LARGA!$H$2:$H$618,$L166,PSUT_LARGA!$E$2:$E$618,$J166,PSUT_LARGA!$F$2:$F$618,$K166,PSUT_LARGA!$G$2:$G$618,$I166,PSUT_LARGA!$I$2:$I$618,$H166)</f>
        <v>313398.372</v>
      </c>
      <c r="N166" s="14" t="n">
        <f aca="false">IF($H166="TRANSFORMACION_REFINERIA",$M166*INDEX(PARAMETROS!$C$27:$C$33,MATCH($B166,PARAMETROS!$A$27:$A$33,0)),$M166)</f>
        <v>313398.372</v>
      </c>
      <c r="O166" s="4" t="s">
        <v>3349</v>
      </c>
      <c r="P166" s="4" t="s">
        <v>3344</v>
      </c>
      <c r="Q166" s="11" t="n">
        <f aca="false">MIN($B166,2022)</f>
        <v>2021</v>
      </c>
      <c r="R166" s="8" t="str">
        <f aca="false">IF(COUNT($S166:$U166)=0,"NO",IF($O166="CERO_DIRECTO","CAL",IF($B166&lt;=2022,"OBS","PRX")))</f>
        <v>NO</v>
      </c>
      <c r="S166" s="14"/>
      <c r="T166" s="14"/>
      <c r="U166" s="14"/>
      <c r="V166" s="8"/>
      <c r="W166" s="14"/>
      <c r="X166" s="14"/>
      <c r="Y166" s="14"/>
      <c r="Z166" s="14"/>
      <c r="AA166" s="14"/>
      <c r="AB166" s="14"/>
      <c r="AC166" s="4" t="s">
        <v>3349</v>
      </c>
      <c r="AD166" s="4"/>
      <c r="AE166" s="4" t="s">
        <v>5686</v>
      </c>
      <c r="AF166" s="4" t="s">
        <v>170</v>
      </c>
      <c r="AG166" s="4" t="s">
        <v>3999</v>
      </c>
      <c r="AH166" s="4"/>
    </row>
    <row r="167" customFormat="false" ht="15" hidden="false" customHeight="false" outlineLevel="0" collapsed="false">
      <c r="A167" s="4" t="s">
        <v>5912</v>
      </c>
      <c r="B167" s="12" t="n">
        <v>2021</v>
      </c>
      <c r="C167" s="4" t="s">
        <v>66</v>
      </c>
      <c r="D167" s="4" t="s">
        <v>5688</v>
      </c>
      <c r="E167" s="4" t="s">
        <v>3350</v>
      </c>
      <c r="F167" s="4" t="s">
        <v>3351</v>
      </c>
      <c r="G167" s="4" t="s">
        <v>76</v>
      </c>
      <c r="H167" s="4" t="s">
        <v>2019</v>
      </c>
      <c r="I167" s="4" t="s">
        <v>64</v>
      </c>
      <c r="J167" s="4" t="s">
        <v>1994</v>
      </c>
      <c r="K167" s="4" t="s">
        <v>65</v>
      </c>
      <c r="L167" s="4" t="s">
        <v>935</v>
      </c>
      <c r="M167" s="14" t="n">
        <f aca="false">SUMIFS(PSUT_LARGA!$K$2:$K$618,PSUT_LARGA!$B$2:$B$618,$B167,PSUT_LARGA!$H$2:$H$618,$L167,PSUT_LARGA!$E$2:$E$618,$J167,PSUT_LARGA!$F$2:$F$618,$K167,PSUT_LARGA!$G$2:$G$618,$I167,PSUT_LARGA!$I$2:$I$618,$H167)</f>
        <v>0</v>
      </c>
      <c r="N167" s="14" t="n">
        <f aca="false">IF($H167="TRANSFORMACION_REFINERIA",$M167*INDEX(PARAMETROS!$C$27:$C$33,MATCH($B167,PARAMETROS!$A$27:$A$33,0)),$M167)</f>
        <v>0</v>
      </c>
      <c r="O167" s="4" t="s">
        <v>3349</v>
      </c>
      <c r="P167" s="4" t="s">
        <v>3352</v>
      </c>
      <c r="Q167" s="11" t="n">
        <f aca="false">MIN($B167,2022)</f>
        <v>2021</v>
      </c>
      <c r="R167" s="8" t="str">
        <f aca="false">IF(COUNT($S167:$U167)=0,"NO",IF($O167="CERO_DIRECTO","CAL",IF($B167&lt;=2022,"OBS","PRX")))</f>
        <v>NO</v>
      </c>
      <c r="S167" s="14"/>
      <c r="T167" s="14"/>
      <c r="U167" s="14"/>
      <c r="V167" s="8"/>
      <c r="W167" s="14"/>
      <c r="X167" s="14"/>
      <c r="Y167" s="14"/>
      <c r="Z167" s="14"/>
      <c r="AA167" s="14"/>
      <c r="AB167" s="14"/>
      <c r="AC167" s="4" t="s">
        <v>3349</v>
      </c>
      <c r="AD167" s="4"/>
      <c r="AE167" s="4" t="s">
        <v>5686</v>
      </c>
      <c r="AF167" s="4" t="s">
        <v>170</v>
      </c>
      <c r="AG167" s="4" t="s">
        <v>3999</v>
      </c>
      <c r="AH167" s="4"/>
    </row>
    <row r="168" customFormat="false" ht="15" hidden="false" customHeight="false" outlineLevel="0" collapsed="false">
      <c r="A168" s="4" t="s">
        <v>5913</v>
      </c>
      <c r="B168" s="12" t="n">
        <v>2021</v>
      </c>
      <c r="C168" s="4" t="s">
        <v>66</v>
      </c>
      <c r="D168" s="4" t="s">
        <v>5688</v>
      </c>
      <c r="E168" s="4" t="s">
        <v>3367</v>
      </c>
      <c r="F168" s="4" t="s">
        <v>3368</v>
      </c>
      <c r="G168" s="4" t="s">
        <v>82</v>
      </c>
      <c r="H168" s="4" t="s">
        <v>2019</v>
      </c>
      <c r="I168" s="4" t="s">
        <v>64</v>
      </c>
      <c r="J168" s="4" t="s">
        <v>1994</v>
      </c>
      <c r="K168" s="4" t="s">
        <v>65</v>
      </c>
      <c r="L168" s="4" t="s">
        <v>977</v>
      </c>
      <c r="M168" s="14" t="n">
        <f aca="false">SUMIFS(PSUT_LARGA!$K$2:$K$618,PSUT_LARGA!$B$2:$B$618,$B168,PSUT_LARGA!$H$2:$H$618,$L168,PSUT_LARGA!$E$2:$E$618,$J168,PSUT_LARGA!$F$2:$F$618,$K168,PSUT_LARGA!$G$2:$G$618,$I168,PSUT_LARGA!$I$2:$I$618,$H168)</f>
        <v>50.0241</v>
      </c>
      <c r="N168" s="14" t="n">
        <f aca="false">IF($H168="TRANSFORMACION_REFINERIA",$M168*INDEX(PARAMETROS!$C$27:$C$33,MATCH($B168,PARAMETROS!$A$27:$A$33,0)),$M168)</f>
        <v>50.0241</v>
      </c>
      <c r="O168" s="4" t="s">
        <v>3349</v>
      </c>
      <c r="P168" s="4" t="s">
        <v>3352</v>
      </c>
      <c r="Q168" s="11" t="n">
        <f aca="false">MIN($B168,2022)</f>
        <v>2021</v>
      </c>
      <c r="R168" s="8" t="str">
        <f aca="false">IF(COUNT($S168:$U168)=0,"NO",IF($O168="CERO_DIRECTO","CAL",IF($B168&lt;=2022,"OBS","PRX")))</f>
        <v>NO</v>
      </c>
      <c r="S168" s="14"/>
      <c r="T168" s="14"/>
      <c r="U168" s="14"/>
      <c r="V168" s="8"/>
      <c r="W168" s="14"/>
      <c r="X168" s="14"/>
      <c r="Y168" s="14"/>
      <c r="Z168" s="14"/>
      <c r="AA168" s="14"/>
      <c r="AB168" s="14"/>
      <c r="AC168" s="4" t="s">
        <v>3349</v>
      </c>
      <c r="AD168" s="4"/>
      <c r="AE168" s="4" t="s">
        <v>5686</v>
      </c>
      <c r="AF168" s="4" t="s">
        <v>170</v>
      </c>
      <c r="AG168" s="4" t="s">
        <v>3999</v>
      </c>
      <c r="AH168" s="4"/>
    </row>
    <row r="169" customFormat="false" ht="15" hidden="false" customHeight="false" outlineLevel="0" collapsed="false">
      <c r="A169" s="4" t="s">
        <v>5914</v>
      </c>
      <c r="B169" s="12" t="n">
        <v>2021</v>
      </c>
      <c r="C169" s="4" t="s">
        <v>66</v>
      </c>
      <c r="D169" s="4" t="s">
        <v>5688</v>
      </c>
      <c r="E169" s="4" t="s">
        <v>3386</v>
      </c>
      <c r="F169" s="4" t="s">
        <v>3387</v>
      </c>
      <c r="G169" s="4" t="s">
        <v>86</v>
      </c>
      <c r="H169" s="4" t="s">
        <v>2019</v>
      </c>
      <c r="I169" s="4" t="s">
        <v>64</v>
      </c>
      <c r="J169" s="4" t="s">
        <v>1994</v>
      </c>
      <c r="K169" s="4" t="s">
        <v>65</v>
      </c>
      <c r="L169" s="4" t="s">
        <v>1019</v>
      </c>
      <c r="M169" s="14" t="n">
        <f aca="false">SUMIFS(PSUT_LARGA!$K$2:$K$618,PSUT_LARGA!$B$2:$B$618,$B169,PSUT_LARGA!$H$2:$H$618,$L169,PSUT_LARGA!$E$2:$E$618,$J169,PSUT_LARGA!$F$2:$F$618,$K169,PSUT_LARGA!$G$2:$G$618,$I169,PSUT_LARGA!$I$2:$I$618,$H169)</f>
        <v>13280.1494</v>
      </c>
      <c r="N169" s="14" t="n">
        <f aca="false">IF($H169="TRANSFORMACION_REFINERIA",$M169*INDEX(PARAMETROS!$C$27:$C$33,MATCH($B169,PARAMETROS!$A$27:$A$33,0)),$M169)</f>
        <v>13280.1494</v>
      </c>
      <c r="O169" s="4" t="s">
        <v>3388</v>
      </c>
      <c r="P169" s="4" t="s">
        <v>3352</v>
      </c>
      <c r="Q169" s="11" t="n">
        <f aca="false">MIN($B169,2022)</f>
        <v>2021</v>
      </c>
      <c r="R169" s="8" t="str">
        <f>IF(COUNT($S169:$U169)=0,"NO",IF($O169="CERO_DIRECTO","CAL",IF(OR($B169&gt;$Q169,COUNTIFS(DATOS_MODELO!$C$2:$C$3672,$Q169&amp;"|"&amp;$E169&amp;"|"&amp;$O169&amp;"|*",DATOS_MODELO!$F$2:$F$3672,"PRX",DATOS_MODELO!$AA$2:$AA$3672,"&lt;&gt;")&gt;0),"PRX",IF(COUNTIFS(DATOS_MODELO!$C$2:$C$3672,$Q169&amp;"|"&amp;$E169&amp;"|"&amp;$O169&amp;"|*",DATOS_MODELO!$F$2:$F$3672,"CAL",DATOS_MODELO!$AA$2:$AA$3672,"&lt;&gt;")&gt;0,"CAL","OBS"))))</f>
        <v>OBS</v>
      </c>
      <c r="S169" s="14">
        <f>IF(COUNTIFS(DATOS_MODELO!$C$2:$C$3672,$Q169&amp;"|"&amp;$E169&amp;"|"&amp;$O169&amp;"|CO2",DATOS_MODELO!$AA$2:$AA$3672,"&lt;&gt;")=0,"",INDEX(DATOS_MODELO!$AA$2:$AA$3672,MATCH($Q169&amp;"|"&amp;$E169&amp;"|"&amp;$O169&amp;"|CO2",DATOS_MODELO!$C$2:$C$3672,0)))</f>
        <v>0.00676905035420761</v>
      </c>
      <c r="T169" s="14">
        <f>IF(COUNTIFS(DATOS_MODELO!$C$2:$C$3672,$Q169&amp;"|"&amp;$E169&amp;"|"&amp;$O169&amp;"|CH4",DATOS_MODELO!$AA$2:$AA$3672,"&lt;&gt;")=0,"",INDEX(DATOS_MODELO!$AA$2:$AA$3672,MATCH($Q169&amp;"|"&amp;$E169&amp;"|"&amp;$O169&amp;"|CH4",DATOS_MODELO!$C$2:$C$3672,0)))</f>
        <v>0.0928777201858889</v>
      </c>
      <c r="U169" s="14"/>
      <c r="V169" s="8"/>
      <c r="W169" s="14"/>
      <c r="X169" s="14">
        <f>IF($P169="BIOGENICO",0,IF(ISNUMBER($S169),$N169*$S169/PARAMETROS!$B$8,""))</f>
        <v>8.9894e-05</v>
      </c>
      <c r="Y169" s="14">
        <f>IF($P169="BIOGENICO",IF(ISNUMBER($S169),$N169*$S169/PARAMETROS!$B$8,""),0)</f>
        <v>0.0</v>
      </c>
      <c r="Z169" s="14">
        <f>IF(ISNUMBER($T169),$N169*$T169/PARAMETROS!$B$8,"")</f>
        <v>0.00123343</v>
      </c>
      <c r="AA169" s="14" t="str">
        <f>IF($U169="","",$N169*$U169/PARAMETROS!$B$8)</f>
        <v/>
      </c>
      <c r="AB169" s="14">
        <f>IF($AA169="",$X169+$Z169*PARAMETROS!$B$9,$X169+$Z169*PARAMETROS!$B$9+$AA169*PARAMETROS!$B$10)</f>
        <v>0.034625934</v>
      </c>
      <c r="AC169" s="4" t="s">
        <v>1990</v>
      </c>
      <c r="AD169" s="4"/>
      <c r="AE169" s="4" t="s">
        <v>5690</v>
      </c>
      <c r="AF169" s="4" t="s">
        <v>170</v>
      </c>
      <c r="AG169" s="4" t="s">
        <v>3999</v>
      </c>
      <c r="AH169" s="4" t="inlineStr">
        <is>
          <t>CO2e parcial: N2O sin factor numérico; el total incluye solo los gases cuantificados.</t>
        </is>
      </c>
    </row>
    <row r="170" customFormat="false" ht="15" hidden="false" customHeight="false" outlineLevel="0" collapsed="false">
      <c r="A170" s="4" t="s">
        <v>5915</v>
      </c>
      <c r="B170" s="12" t="n">
        <v>2021</v>
      </c>
      <c r="C170" s="4" t="s">
        <v>67</v>
      </c>
      <c r="D170" s="4" t="s">
        <v>5685</v>
      </c>
      <c r="E170" s="4" t="s">
        <v>3341</v>
      </c>
      <c r="F170" s="4" t="s">
        <v>3342</v>
      </c>
      <c r="G170" s="4" t="s">
        <v>91</v>
      </c>
      <c r="H170" s="4" t="s">
        <v>2003</v>
      </c>
      <c r="I170" s="4" t="s">
        <v>67</v>
      </c>
      <c r="J170" s="4" t="s">
        <v>2001</v>
      </c>
      <c r="K170" s="4" t="s">
        <v>2002</v>
      </c>
      <c r="L170" s="4" t="s">
        <v>912</v>
      </c>
      <c r="M170" s="14" t="n">
        <f aca="false">SUMIFS(PSUT_LARGA!$K$2:$K$618,PSUT_LARGA!$B$2:$B$618,$B170,PSUT_LARGA!$H$2:$H$618,$L170,PSUT_LARGA!$E$2:$E$618,$J170,PSUT_LARGA!$F$2:$F$618,$K170,PSUT_LARGA!$G$2:$G$618,$I170,PSUT_LARGA!$I$2:$I$618,$H170)</f>
        <v>54674.7145</v>
      </c>
      <c r="N170" s="14" t="n">
        <f aca="false">IF($H170="TRANSFORMACION_REFINERIA",$M170*INDEX(PARAMETROS!$C$27:$C$33,MATCH($B170,PARAMETROS!$A$27:$A$33,0)),$M170)</f>
        <v>54674.7145</v>
      </c>
      <c r="O170" s="4" t="inlineStr">
        <is>
          <t>COMB_BCANA</t>
        </is>
      </c>
      <c r="P170" s="4" t="s">
        <v>3344</v>
      </c>
      <c r="Q170" s="11" t="n">
        <f aca="false">MIN($B170,2022)</f>
        <v>2021</v>
      </c>
      <c r="R170" s="8" t="str">
        <f>IF(COUNT($S170:$U170)=0,"NO",IF($O170="CERO_DIRECTO","CAL",IF(OR($B170&gt;$Q170,COUNTIFS(DATOS_MODELO!$C$2:$C$3672,$Q170&amp;"|"&amp;$E170&amp;"|"&amp;$O170&amp;"|*",DATOS_MODELO!$F$2:$F$3672,"PRX",DATOS_MODELO!$AA$2:$AA$3672,"&lt;&gt;")&gt;0),"PRX",IF(COUNTIFS(DATOS_MODELO!$C$2:$C$3672,$Q170&amp;"|"&amp;$E170&amp;"|"&amp;$O170&amp;"|*",DATOS_MODELO!$F$2:$F$3672,"CAL",DATOS_MODELO!$AA$2:$AA$3672,"&lt;&gt;")&gt;0,"CAL","OBS"))))</f>
        <v>PRX</v>
      </c>
      <c r="S170" s="14">
        <f>IF(COUNTIFS(DATOS_MODELO!$C$2:$C$3672,$Q170&amp;"|"&amp;$E170&amp;"|"&amp;$O170&amp;"|CO2",DATOS_MODELO!$AA$2:$AA$3672,"&lt;&gt;")=0,"",INDEX(DATOS_MODELO!$AA$2:$AA$3672,MATCH($Q170&amp;"|"&amp;$E170&amp;"|"&amp;$O170&amp;"|CO2",DATOS_MODELO!$C$2:$C$3672,0)))</f>
        <v>100000.0</v>
      </c>
      <c r="T170" s="14">
        <f>IF(COUNTIFS(DATOS_MODELO!$C$2:$C$3672,$Q170&amp;"|"&amp;$E170&amp;"|"&amp;$O170&amp;"|CH4",DATOS_MODELO!$AA$2:$AA$3672,"&lt;&gt;")=0,"",INDEX(DATOS_MODELO!$AA$2:$AA$3672,MATCH($Q170&amp;"|"&amp;$E170&amp;"|"&amp;$O170&amp;"|CH4",DATOS_MODELO!$C$2:$C$3672,0)))</f>
        <v>30.0</v>
      </c>
      <c r="U170" s="14">
        <f>IF(COUNTIFS(DATOS_MODELO!$C$2:$C$3672,$Q170&amp;"|"&amp;$E170&amp;"|"&amp;$O170&amp;"|N2O",DATOS_MODELO!$AA$2:$AA$3672,"&lt;&gt;")=0,"",INDEX(DATOS_MODELO!$AA$2:$AA$3672,MATCH($Q170&amp;"|"&amp;$E170&amp;"|"&amp;$O170&amp;"|N2O",DATOS_MODELO!$C$2:$C$3672,0)))</f>
        <v>4.0</v>
      </c>
      <c r="V170" s="8"/>
      <c r="W170" s="14"/>
      <c r="X170" s="14">
        <f>IF($P170="BIOGENICO",0,IF(ISNUMBER($S170),$N170*$S170/PARAMETROS!$B$8,""))</f>
        <v>0.0</v>
      </c>
      <c r="Y170" s="14">
        <f>IF($P170="BIOGENICO",IF(ISNUMBER($S170),$N170*$S170/PARAMETROS!$B$8,""),0)</f>
        <v>5467.47145</v>
      </c>
      <c r="Z170" s="14">
        <f>IF(ISNUMBER($T170),$N170*$T170/PARAMETROS!$B$8,"")</f>
        <v>1.640241435</v>
      </c>
      <c r="AA170" s="14">
        <f>IF(ISNUMBER($U170),$N170*$U170/PARAMETROS!$B$8,"")</f>
        <v>0.218698858</v>
      </c>
      <c r="AB170" s="14">
        <f>IF(COUNT($X170,$Z170,$AA170)=0,"",SUM($X170,IF(ISNUMBER($Z170),$Z170*PARAMETROS!$B$9,0),IF(ISNUMBER($AA170),$AA170*PARAMETROS!$B$10,0)))</f>
        <v>103.88195755</v>
      </c>
      <c r="AC170" s="4" t="s">
        <v>1990</v>
      </c>
      <c r="AD170" s="4"/>
      <c r="AE170" s="4" t="s">
        <v>5690</v>
      </c>
      <c r="AF170" s="4" t="s">
        <v>170</v>
      </c>
      <c r="AG170" s="4" t="inlineStr">
        <is>
          <t>MARN_GTM_BTR1_2024</t>
        </is>
      </c>
      <c r="AH170" s="4" t="inlineStr">
        <is>
          <t>Origen de factores: CO2: MARN_GTM_BTR1_2024 [PRX; BTR1 Guatemala 2024, tabla 3.6, p. 48; fila Otra biomasa sólida primaria; gas CO2]; CH4: MARN_GTM_BTR1_2024 [PRX; BTR1 Guatemala 2024, tabla 3.17, p. 57; fila Otra biomasa sólida primaria; gas CH4]; N2O: MARN_GTM_BTR1_2024 [PRX; BTR1 Guatemala 2024, tabla 3.17, p. 57; fila Otra biomasa sólida primaria; gas N2O].</t>
        </is>
      </c>
    </row>
    <row r="171" customFormat="false" ht="15" hidden="false" customHeight="false" outlineLevel="0" collapsed="false">
      <c r="A171" s="4" t="s">
        <v>5916</v>
      </c>
      <c r="B171" s="12" t="n">
        <v>2021</v>
      </c>
      <c r="C171" s="4" t="s">
        <v>67</v>
      </c>
      <c r="D171" s="4" t="s">
        <v>5685</v>
      </c>
      <c r="E171" s="4" t="s">
        <v>3341</v>
      </c>
      <c r="F171" s="4" t="s">
        <v>3342</v>
      </c>
      <c r="G171" s="4" t="s">
        <v>91</v>
      </c>
      <c r="H171" s="4" t="s">
        <v>2008</v>
      </c>
      <c r="I171" s="4" t="s">
        <v>67</v>
      </c>
      <c r="J171" s="4" t="s">
        <v>2001</v>
      </c>
      <c r="K171" s="4" t="s">
        <v>2002</v>
      </c>
      <c r="L171" s="4" t="s">
        <v>913</v>
      </c>
      <c r="M171" s="14" t="n">
        <f aca="false">SUMIFS(PSUT_LARGA!$K$2:$K$618,PSUT_LARGA!$B$2:$B$618,$B171,PSUT_LARGA!$H$2:$H$618,$L171,PSUT_LARGA!$E$2:$E$618,$J171,PSUT_LARGA!$F$2:$F$618,$K171,PSUT_LARGA!$G$2:$G$618,$I171,PSUT_LARGA!$I$2:$I$618,$H171)</f>
        <v>32282.3935</v>
      </c>
      <c r="N171" s="14" t="n">
        <f aca="false">IF($H171="TRANSFORMACION_REFINERIA",$M171*INDEX(PARAMETROS!$C$27:$C$33,MATCH($B171,PARAMETROS!$A$27:$A$33,0)),$M171)</f>
        <v>32282.3935</v>
      </c>
      <c r="O171" s="4" t="inlineStr">
        <is>
          <t>COMB_BCANA</t>
        </is>
      </c>
      <c r="P171" s="4" t="s">
        <v>3344</v>
      </c>
      <c r="Q171" s="11" t="n">
        <f aca="false">MIN($B171,2022)</f>
        <v>2021</v>
      </c>
      <c r="R171" s="8" t="str">
        <f>IF(COUNT($S171:$U171)=0,"NO",IF($O171="CERO_DIRECTO","CAL",IF(OR($B171&gt;$Q171,COUNTIFS(DATOS_MODELO!$C$2:$C$3672,$Q171&amp;"|"&amp;$E171&amp;"|"&amp;$O171&amp;"|*",DATOS_MODELO!$F$2:$F$3672,"PRX",DATOS_MODELO!$AA$2:$AA$3672,"&lt;&gt;")&gt;0),"PRX",IF(COUNTIFS(DATOS_MODELO!$C$2:$C$3672,$Q171&amp;"|"&amp;$E171&amp;"|"&amp;$O171&amp;"|*",DATOS_MODELO!$F$2:$F$3672,"CAL",DATOS_MODELO!$AA$2:$AA$3672,"&lt;&gt;")&gt;0,"CAL","OBS"))))</f>
        <v>PRX</v>
      </c>
      <c r="S171" s="14">
        <f>IF(COUNTIFS(DATOS_MODELO!$C$2:$C$3672,$Q171&amp;"|"&amp;$E171&amp;"|"&amp;$O171&amp;"|CO2",DATOS_MODELO!$AA$2:$AA$3672,"&lt;&gt;")=0,"",INDEX(DATOS_MODELO!$AA$2:$AA$3672,MATCH($Q171&amp;"|"&amp;$E171&amp;"|"&amp;$O171&amp;"|CO2",DATOS_MODELO!$C$2:$C$3672,0)))</f>
        <v>100000.0</v>
      </c>
      <c r="T171" s="14">
        <f>IF(COUNTIFS(DATOS_MODELO!$C$2:$C$3672,$Q171&amp;"|"&amp;$E171&amp;"|"&amp;$O171&amp;"|CH4",DATOS_MODELO!$AA$2:$AA$3672,"&lt;&gt;")=0,"",INDEX(DATOS_MODELO!$AA$2:$AA$3672,MATCH($Q171&amp;"|"&amp;$E171&amp;"|"&amp;$O171&amp;"|CH4",DATOS_MODELO!$C$2:$C$3672,0)))</f>
        <v>30.0</v>
      </c>
      <c r="U171" s="14">
        <f>IF(COUNTIFS(DATOS_MODELO!$C$2:$C$3672,$Q171&amp;"|"&amp;$E171&amp;"|"&amp;$O171&amp;"|N2O",DATOS_MODELO!$AA$2:$AA$3672,"&lt;&gt;")=0,"",INDEX(DATOS_MODELO!$AA$2:$AA$3672,MATCH($Q171&amp;"|"&amp;$E171&amp;"|"&amp;$O171&amp;"|N2O",DATOS_MODELO!$C$2:$C$3672,0)))</f>
        <v>4.0</v>
      </c>
      <c r="V171" s="8"/>
      <c r="W171" s="14"/>
      <c r="X171" s="14">
        <f>IF($P171="BIOGENICO",0,IF(ISNUMBER($S171),$N171*$S171/PARAMETROS!$B$8,""))</f>
        <v>0.0</v>
      </c>
      <c r="Y171" s="14">
        <f>IF($P171="BIOGENICO",IF(ISNUMBER($S171),$N171*$S171/PARAMETROS!$B$8,""),0)</f>
        <v>3228.23935</v>
      </c>
      <c r="Z171" s="14">
        <f>IF(ISNUMBER($T171),$N171*$T171/PARAMETROS!$B$8,"")</f>
        <v>0.968471805</v>
      </c>
      <c r="AA171" s="14">
        <f>IF(ISNUMBER($U171),$N171*$U171/PARAMETROS!$B$8,"")</f>
        <v>0.129129574</v>
      </c>
      <c r="AB171" s="14">
        <f>IF(COUNT($X171,$Z171,$AA171)=0,"",SUM($X171,IF(ISNUMBER($Z171),$Z171*PARAMETROS!$B$9,0),IF(ISNUMBER($AA171),$AA171*PARAMETROS!$B$10,0)))</f>
        <v>61.33654765</v>
      </c>
      <c r="AC171" s="4" t="s">
        <v>1990</v>
      </c>
      <c r="AD171" s="4"/>
      <c r="AE171" s="4" t="s">
        <v>5690</v>
      </c>
      <c r="AF171" s="4" t="s">
        <v>170</v>
      </c>
      <c r="AG171" s="4" t="inlineStr">
        <is>
          <t>MARN_GTM_BTR1_2024</t>
        </is>
      </c>
      <c r="AH171" s="4" t="inlineStr">
        <is>
          <t>Origen de factores: CO2: MARN_GTM_BTR1_2024 [PRX; BTR1 Guatemala 2024, tabla 3.6, p. 48; fila Otra biomasa sólida primaria; gas CO2]; CH4: MARN_GTM_BTR1_2024 [PRX; BTR1 Guatemala 2024, tabla 3.17, p. 57; fila Otra biomasa sólida primaria; gas CH4]; N2O: MARN_GTM_BTR1_2024 [PRX; BTR1 Guatemala 2024, tabla 3.17, p. 57; fila Otra biomasa sólida primaria; gas N2O].</t>
        </is>
      </c>
    </row>
    <row r="172" customFormat="false" ht="15" hidden="false" customHeight="false" outlineLevel="0" collapsed="false">
      <c r="A172" s="4" t="s">
        <v>5917</v>
      </c>
      <c r="B172" s="12" t="n">
        <v>2021</v>
      </c>
      <c r="C172" s="4" t="s">
        <v>67</v>
      </c>
      <c r="D172" s="4" t="s">
        <v>5685</v>
      </c>
      <c r="E172" s="4" t="s">
        <v>3341</v>
      </c>
      <c r="F172" s="4" t="s">
        <v>3342</v>
      </c>
      <c r="G172" s="4" t="s">
        <v>93</v>
      </c>
      <c r="H172" s="4" t="s">
        <v>2003</v>
      </c>
      <c r="I172" s="4" t="s">
        <v>67</v>
      </c>
      <c r="J172" s="4" t="s">
        <v>2001</v>
      </c>
      <c r="K172" s="4" t="s">
        <v>2002</v>
      </c>
      <c r="L172" s="4" t="s">
        <v>926</v>
      </c>
      <c r="M172" s="14" t="n">
        <f aca="false">SUMIFS(PSUT_LARGA!$K$2:$K$618,PSUT_LARGA!$B$2:$B$618,$B172,PSUT_LARGA!$H$2:$H$618,$L172,PSUT_LARGA!$E$2:$E$618,$J172,PSUT_LARGA!$F$2:$F$618,$K172,PSUT_LARGA!$G$2:$G$618,$I172,PSUT_LARGA!$I$2:$I$618,$H172)</f>
        <v>478.6859</v>
      </c>
      <c r="N172" s="14" t="n">
        <f aca="false">IF($H172="TRANSFORMACION_REFINERIA",$M172*INDEX(PARAMETROS!$C$27:$C$33,MATCH($B172,PARAMETROS!$A$27:$A$33,0)),$M172)</f>
        <v>478.6859</v>
      </c>
      <c r="O172" s="4" t="inlineStr">
        <is>
          <t>COMB_BIOGAS</t>
        </is>
      </c>
      <c r="P172" s="4" t="s">
        <v>3344</v>
      </c>
      <c r="Q172" s="11" t="n">
        <f aca="false">MIN($B172,2022)</f>
        <v>2021</v>
      </c>
      <c r="R172" s="8" t="str">
        <f>IF(COUNT($S172:$U172)=0,"NO",IF($O172="CERO_DIRECTO","CAL",IF(OR($B172&gt;$Q172,COUNTIFS(DATOS_MODELO!$C$2:$C$3672,$Q172&amp;"|"&amp;$E172&amp;"|"&amp;$O172&amp;"|*",DATOS_MODELO!$F$2:$F$3672,"PRX",DATOS_MODELO!$AA$2:$AA$3672,"&lt;&gt;")&gt;0),"PRX",IF(COUNTIFS(DATOS_MODELO!$C$2:$C$3672,$Q172&amp;"|"&amp;$E172&amp;"|"&amp;$O172&amp;"|*",DATOS_MODELO!$F$2:$F$3672,"CAL",DATOS_MODELO!$AA$2:$AA$3672,"&lt;&gt;")&gt;0,"CAL","OBS"))))</f>
        <v>PRX</v>
      </c>
      <c r="S172" s="14">
        <f>IF(COUNTIFS(DATOS_MODELO!$C$2:$C$3672,$Q172&amp;"|"&amp;$E172&amp;"|"&amp;$O172&amp;"|CO2",DATOS_MODELO!$AA$2:$AA$3672,"&lt;&gt;")=0,"",INDEX(DATOS_MODELO!$AA$2:$AA$3672,MATCH($Q172&amp;"|"&amp;$E172&amp;"|"&amp;$O172&amp;"|CO2",DATOS_MODELO!$C$2:$C$3672,0)))</f>
        <v>54600.0</v>
      </c>
      <c r="T172" s="14">
        <f>IF(COUNTIFS(DATOS_MODELO!$C$2:$C$3672,$Q172&amp;"|"&amp;$E172&amp;"|"&amp;$O172&amp;"|CH4",DATOS_MODELO!$AA$2:$AA$3672,"&lt;&gt;")=0,"",INDEX(DATOS_MODELO!$AA$2:$AA$3672,MATCH($Q172&amp;"|"&amp;$E172&amp;"|"&amp;$O172&amp;"|CH4",DATOS_MODELO!$C$2:$C$3672,0)))</f>
        <v>1.0</v>
      </c>
      <c r="U172" s="14">
        <f>IF(COUNTIFS(DATOS_MODELO!$C$2:$C$3672,$Q172&amp;"|"&amp;$E172&amp;"|"&amp;$O172&amp;"|N2O",DATOS_MODELO!$AA$2:$AA$3672,"&lt;&gt;")=0,"",INDEX(DATOS_MODELO!$AA$2:$AA$3672,MATCH($Q172&amp;"|"&amp;$E172&amp;"|"&amp;$O172&amp;"|N2O",DATOS_MODELO!$C$2:$C$3672,0)))</f>
        <v>0.1</v>
      </c>
      <c r="V172" s="8"/>
      <c r="W172" s="14"/>
      <c r="X172" s="14">
        <f>IF($P172="BIOGENICO",0,IF(ISNUMBER($S172),$N172*$S172/PARAMETROS!$B$8,""))</f>
        <v>0.0</v>
      </c>
      <c r="Y172" s="14">
        <f>IF($P172="BIOGENICO",IF(ISNUMBER($S172),$N172*$S172/PARAMETROS!$B$8,""),0)</f>
        <v>26.13625014</v>
      </c>
      <c r="Z172" s="14">
        <f>IF(ISNUMBER($T172),$N172*$T172/PARAMETROS!$B$8,"")</f>
        <v>0.0004786859</v>
      </c>
      <c r="AA172" s="14">
        <f>IF(ISNUMBER($U172),$N172*$U172/PARAMETROS!$B$8,"")</f>
        <v>4.786859e-05</v>
      </c>
      <c r="AB172" s="14">
        <f>IF(COUNT($X172,$Z172,$AA172)=0,"",SUM($X172,IF(ISNUMBER($Z172),$Z172*PARAMETROS!$B$9,0),IF(ISNUMBER($AA172),$AA172*PARAMETROS!$B$10,0)))</f>
        <v>0.02608838155</v>
      </c>
      <c r="AC172" s="4" t="s">
        <v>1990</v>
      </c>
      <c r="AD172" s="4"/>
      <c r="AE172" s="4" t="s">
        <v>5690</v>
      </c>
      <c r="AF172" s="4" t="s">
        <v>170</v>
      </c>
      <c r="AG172" s="4" t="inlineStr">
        <is>
          <t>MARN_GTM_BTR1_2024</t>
        </is>
      </c>
      <c r="AH172" s="4" t="inlineStr">
        <is>
          <t>Origen de factores: CO2: MARN_GTM_BTR1_2024 [PRX; BTR1 Guatemala 2024, tabla 3.6, p. 48; fila Gas de vertedero; gas CO2]; CH4: MARN_GTM_BTR1_2024 [PRX; BTR1 Guatemala 2024, tabla 3.17, p. 57; fila Gas de vertedero; gas CH4]; N2O: MARN_GTM_BTR1_2024 [PRX; BTR1 Guatemala 2024, tabla 3.17, p. 57; fila Gas de vertedero; gas N2O].</t>
        </is>
      </c>
    </row>
    <row r="173" customFormat="false" ht="15" hidden="false" customHeight="false" outlineLevel="0" collapsed="false">
      <c r="A173" s="4" t="s">
        <v>5918</v>
      </c>
      <c r="B173" s="12" t="n">
        <v>2021</v>
      </c>
      <c r="C173" s="4" t="s">
        <v>67</v>
      </c>
      <c r="D173" s="4" t="s">
        <v>5685</v>
      </c>
      <c r="E173" s="4" t="s">
        <v>3341</v>
      </c>
      <c r="F173" s="4" t="s">
        <v>3342</v>
      </c>
      <c r="G173" s="4" t="s">
        <v>76</v>
      </c>
      <c r="H173" s="4" t="s">
        <v>2003</v>
      </c>
      <c r="I173" s="4" t="s">
        <v>67</v>
      </c>
      <c r="J173" s="4" t="s">
        <v>2001</v>
      </c>
      <c r="K173" s="4" t="s">
        <v>2002</v>
      </c>
      <c r="L173" s="4" t="s">
        <v>940</v>
      </c>
      <c r="M173" s="14" t="n">
        <f aca="false">SUMIFS(PSUT_LARGA!$K$2:$K$618,PSUT_LARGA!$B$2:$B$618,$B173,PSUT_LARGA!$H$2:$H$618,$L173,PSUT_LARGA!$E$2:$E$618,$J173,PSUT_LARGA!$F$2:$F$618,$K173,PSUT_LARGA!$G$2:$G$618,$I173,PSUT_LARGA!$I$2:$I$618,$H173)</f>
        <v>40544.5621</v>
      </c>
      <c r="N173" s="14" t="n">
        <f aca="false">IF($H173="TRANSFORMACION_REFINERIA",$M173*INDEX(PARAMETROS!$C$27:$C$33,MATCH($B173,PARAMETROS!$A$27:$A$33,0)),$M173)</f>
        <v>40544.5621</v>
      </c>
      <c r="O173" s="4" t="inlineStr">
        <is>
          <t>COMB_CRBN</t>
        </is>
      </c>
      <c r="P173" s="4" t="s">
        <v>3352</v>
      </c>
      <c r="Q173" s="11" t="n">
        <f aca="false">MIN($B173,2022)</f>
        <v>2021</v>
      </c>
      <c r="R173" s="8" t="str">
        <f>IF(COUNT($S173:$U173)=0,"NO",IF($O173="CERO_DIRECTO","CAL",IF(OR($B173&gt;$Q173,COUNTIFS(DATOS_MODELO!$C$2:$C$3672,$Q173&amp;"|"&amp;$E173&amp;"|"&amp;$O173&amp;"|*",DATOS_MODELO!$F$2:$F$3672,"PRX",DATOS_MODELO!$AA$2:$AA$3672,"&lt;&gt;")&gt;0),"PRX",IF(COUNTIFS(DATOS_MODELO!$C$2:$C$3672,$Q173&amp;"|"&amp;$E173&amp;"|"&amp;$O173&amp;"|*",DATOS_MODELO!$F$2:$F$3672,"CAL",DATOS_MODELO!$AA$2:$AA$3672,"&lt;&gt;")&gt;0,"CAL","OBS"))))</f>
        <v>PRX</v>
      </c>
      <c r="S173" s="14">
        <f>IF(COUNTIFS(DATOS_MODELO!$C$2:$C$3672,$Q173&amp;"|"&amp;$E173&amp;"|"&amp;$O173&amp;"|CO2",DATOS_MODELO!$AA$2:$AA$3672,"&lt;&gt;")=0,"",INDEX(DATOS_MODELO!$AA$2:$AA$3672,MATCH($Q173&amp;"|"&amp;$E173&amp;"|"&amp;$O173&amp;"|CO2",DATOS_MODELO!$C$2:$C$3672,0)))</f>
        <v>98300.0</v>
      </c>
      <c r="T173" s="14">
        <f>IF(COUNTIFS(DATOS_MODELO!$C$2:$C$3672,$Q173&amp;"|"&amp;$E173&amp;"|"&amp;$O173&amp;"|CH4",DATOS_MODELO!$AA$2:$AA$3672,"&lt;&gt;")=0,"",INDEX(DATOS_MODELO!$AA$2:$AA$3672,MATCH($Q173&amp;"|"&amp;$E173&amp;"|"&amp;$O173&amp;"|CH4",DATOS_MODELO!$C$2:$C$3672,0)))</f>
        <v>1.0</v>
      </c>
      <c r="U173" s="14">
        <f>IF(COUNTIFS(DATOS_MODELO!$C$2:$C$3672,$Q173&amp;"|"&amp;$E173&amp;"|"&amp;$O173&amp;"|N2O",DATOS_MODELO!$AA$2:$AA$3672,"&lt;&gt;")=0,"",INDEX(DATOS_MODELO!$AA$2:$AA$3672,MATCH($Q173&amp;"|"&amp;$E173&amp;"|"&amp;$O173&amp;"|N2O",DATOS_MODELO!$C$2:$C$3672,0)))</f>
        <v>1.5</v>
      </c>
      <c r="V173" s="8"/>
      <c r="W173" s="14"/>
      <c r="X173" s="14">
        <f>IF($P173="BIOGENICO",0,IF(ISNUMBER($S173),$N173*$S173/PARAMETROS!$B$8,""))</f>
        <v>3985.53045443</v>
      </c>
      <c r="Y173" s="14">
        <f>IF($P173="BIOGENICO",IF(ISNUMBER($S173),$N173*$S173/PARAMETROS!$B$8,""),0)</f>
        <v>0.0</v>
      </c>
      <c r="Z173" s="14">
        <f>IF(ISNUMBER($T173),$N173*$T173/PARAMETROS!$B$8,"")</f>
        <v>0.0405445621</v>
      </c>
      <c r="AA173" s="14">
        <f>IF(ISNUMBER($U173),$N173*$U173/PARAMETROS!$B$8,"")</f>
        <v>0.06081684315</v>
      </c>
      <c r="AB173" s="14">
        <f>IF(COUNT($X173,$Z173,$AA173)=0,"",SUM($X173,IF(ISNUMBER($Z173),$Z173*PARAMETROS!$B$9,0),IF(ISNUMBER($AA173),$AA173*PARAMETROS!$B$10,0)))</f>
        <v>4002.78216560355</v>
      </c>
      <c r="AC173" s="4" t="s">
        <v>1990</v>
      </c>
      <c r="AD173" s="4"/>
      <c r="AE173" s="4" t="s">
        <v>5690</v>
      </c>
      <c r="AF173" s="4" t="s">
        <v>170</v>
      </c>
      <c r="AG173" s="4" t="inlineStr">
        <is>
          <t>MARN_GTM_BTR1_2024</t>
        </is>
      </c>
      <c r="AH173" s="4" t="inlineStr">
        <is>
          <t>Origen de factores: CO2: MARN_GTM_BTR1_2024 [PRX; BTR1 Guatemala 2024, tabla 3.6, p. 48; fila Otro carbón bituminoso*; gas CO2]; CH4: MARN_GTM_BTR1_2024 [PRX; BTR1 Guatemala 2024, tabla 3.17, p. 57; fila Otro carbón bituminoso; gas CH4]; N2O: MARN_GTM_BTR1_2024 [PRX; BTR1 Guatemala 2024, tabla 3.17, p. 57; fila Otro carbón bituminoso; gas N2O].</t>
        </is>
      </c>
    </row>
    <row r="174" customFormat="false" ht="15" hidden="false" customHeight="false" outlineLevel="0" collapsed="false">
      <c r="A174" s="4" t="s">
        <v>5919</v>
      </c>
      <c r="B174" s="12" t="n">
        <v>2021</v>
      </c>
      <c r="C174" s="4" t="s">
        <v>67</v>
      </c>
      <c r="D174" s="4" t="s">
        <v>5685</v>
      </c>
      <c r="E174" s="4" t="s">
        <v>3341</v>
      </c>
      <c r="F174" s="4" t="s">
        <v>3342</v>
      </c>
      <c r="G174" s="4" t="s">
        <v>76</v>
      </c>
      <c r="H174" s="4" t="s">
        <v>2008</v>
      </c>
      <c r="I174" s="4" t="s">
        <v>67</v>
      </c>
      <c r="J174" s="4" t="s">
        <v>2001</v>
      </c>
      <c r="K174" s="4" t="s">
        <v>2002</v>
      </c>
      <c r="L174" s="4" t="s">
        <v>941</v>
      </c>
      <c r="M174" s="14" t="n">
        <f aca="false">SUMIFS(PSUT_LARGA!$K$2:$K$618,PSUT_LARGA!$B$2:$B$618,$B174,PSUT_LARGA!$H$2:$H$618,$L174,PSUT_LARGA!$E$2:$E$618,$J174,PSUT_LARGA!$F$2:$F$618,$K174,PSUT_LARGA!$G$2:$G$618,$I174,PSUT_LARGA!$I$2:$I$618,$H174)</f>
        <v>1233.5211</v>
      </c>
      <c r="N174" s="14" t="n">
        <f aca="false">IF($H174="TRANSFORMACION_REFINERIA",$M174*INDEX(PARAMETROS!$C$27:$C$33,MATCH($B174,PARAMETROS!$A$27:$A$33,0)),$M174)</f>
        <v>1233.5211</v>
      </c>
      <c r="O174" s="4" t="inlineStr">
        <is>
          <t>COMB_CRBN</t>
        </is>
      </c>
      <c r="P174" s="4" t="s">
        <v>3352</v>
      </c>
      <c r="Q174" s="11" t="n">
        <f aca="false">MIN($B174,2022)</f>
        <v>2021</v>
      </c>
      <c r="R174" s="8" t="str">
        <f>IF(COUNT($S174:$U174)=0,"NO",IF($O174="CERO_DIRECTO","CAL",IF(OR($B174&gt;$Q174,COUNTIFS(DATOS_MODELO!$C$2:$C$3672,$Q174&amp;"|"&amp;$E174&amp;"|"&amp;$O174&amp;"|*",DATOS_MODELO!$F$2:$F$3672,"PRX",DATOS_MODELO!$AA$2:$AA$3672,"&lt;&gt;")&gt;0),"PRX",IF(COUNTIFS(DATOS_MODELO!$C$2:$C$3672,$Q174&amp;"|"&amp;$E174&amp;"|"&amp;$O174&amp;"|*",DATOS_MODELO!$F$2:$F$3672,"CAL",DATOS_MODELO!$AA$2:$AA$3672,"&lt;&gt;")&gt;0,"CAL","OBS"))))</f>
        <v>PRX</v>
      </c>
      <c r="S174" s="14">
        <f>IF(COUNTIFS(DATOS_MODELO!$C$2:$C$3672,$Q174&amp;"|"&amp;$E174&amp;"|"&amp;$O174&amp;"|CO2",DATOS_MODELO!$AA$2:$AA$3672,"&lt;&gt;")=0,"",INDEX(DATOS_MODELO!$AA$2:$AA$3672,MATCH($Q174&amp;"|"&amp;$E174&amp;"|"&amp;$O174&amp;"|CO2",DATOS_MODELO!$C$2:$C$3672,0)))</f>
        <v>98300.0</v>
      </c>
      <c r="T174" s="14">
        <f>IF(COUNTIFS(DATOS_MODELO!$C$2:$C$3672,$Q174&amp;"|"&amp;$E174&amp;"|"&amp;$O174&amp;"|CH4",DATOS_MODELO!$AA$2:$AA$3672,"&lt;&gt;")=0,"",INDEX(DATOS_MODELO!$AA$2:$AA$3672,MATCH($Q174&amp;"|"&amp;$E174&amp;"|"&amp;$O174&amp;"|CH4",DATOS_MODELO!$C$2:$C$3672,0)))</f>
        <v>1.0</v>
      </c>
      <c r="U174" s="14">
        <f>IF(COUNTIFS(DATOS_MODELO!$C$2:$C$3672,$Q174&amp;"|"&amp;$E174&amp;"|"&amp;$O174&amp;"|N2O",DATOS_MODELO!$AA$2:$AA$3672,"&lt;&gt;")=0,"",INDEX(DATOS_MODELO!$AA$2:$AA$3672,MATCH($Q174&amp;"|"&amp;$E174&amp;"|"&amp;$O174&amp;"|N2O",DATOS_MODELO!$C$2:$C$3672,0)))</f>
        <v>1.5</v>
      </c>
      <c r="V174" s="8"/>
      <c r="W174" s="14"/>
      <c r="X174" s="14">
        <f>IF($P174="BIOGENICO",0,IF(ISNUMBER($S174),$N174*$S174/PARAMETROS!$B$8,""))</f>
        <v>121.25512413</v>
      </c>
      <c r="Y174" s="14">
        <f>IF($P174="BIOGENICO",IF(ISNUMBER($S174),$N174*$S174/PARAMETROS!$B$8,""),0)</f>
        <v>0.0</v>
      </c>
      <c r="Z174" s="14">
        <f>IF(ISNUMBER($T174),$N174*$T174/PARAMETROS!$B$8,"")</f>
        <v>0.00123352109699672</v>
      </c>
      <c r="AA174" s="14">
        <f>IF(ISNUMBER($U174),$N174*$U174/PARAMETROS!$B$8,"")</f>
        <v>0.00185028165</v>
      </c>
      <c r="AB174" s="14">
        <f>IF(COUNT($X174,$Z174,$AA174)=0,"",SUM($X174,IF(ISNUMBER($Z174),$Z174*PARAMETROS!$B$9,0),IF(ISNUMBER($AA174),$AA174*PARAMETROS!$B$10,0)))</f>
        <v>121.77998735805</v>
      </c>
      <c r="AC174" s="4" t="s">
        <v>1990</v>
      </c>
      <c r="AD174" s="4"/>
      <c r="AE174" s="4" t="s">
        <v>5690</v>
      </c>
      <c r="AF174" s="4" t="s">
        <v>170</v>
      </c>
      <c r="AG174" s="4" t="inlineStr">
        <is>
          <t>MARN_GTM_BTR1_2024</t>
        </is>
      </c>
      <c r="AH174" s="4" t="inlineStr">
        <is>
          <t>Origen de factores: CO2: MARN_GTM_BTR1_2024 [PRX; BTR1 Guatemala 2024, tabla 3.6, p. 48; fila Otro carbón bituminoso*; gas CO2]; CH4: MARN_GTM_BTR1_2024 [PRX; BTR1 Guatemala 2024, tabla 3.17, p. 57; fila Otro carbón bituminoso; gas CH4]; N2O: MARN_GTM_BTR1_2024 [PRX; BTR1 Guatemala 2024, tabla 3.17, p. 57; fila Otro carbón bituminoso; gas N2O].</t>
        </is>
      </c>
    </row>
    <row r="175" customFormat="false" ht="23.85" hidden="false" customHeight="false" outlineLevel="0" collapsed="false">
      <c r="A175" s="4" t="s">
        <v>5920</v>
      </c>
      <c r="B175" s="12" t="n">
        <v>2021</v>
      </c>
      <c r="C175" s="4" t="s">
        <v>67</v>
      </c>
      <c r="D175" s="4" t="s">
        <v>5685</v>
      </c>
      <c r="E175" s="4" t="s">
        <v>3341</v>
      </c>
      <c r="F175" s="4" t="s">
        <v>3342</v>
      </c>
      <c r="G175" s="4" t="s">
        <v>78</v>
      </c>
      <c r="H175" s="4" t="s">
        <v>2003</v>
      </c>
      <c r="I175" s="4" t="s">
        <v>67</v>
      </c>
      <c r="J175" s="4" t="s">
        <v>2001</v>
      </c>
      <c r="K175" s="4" t="s">
        <v>66</v>
      </c>
      <c r="L175" s="4" t="s">
        <v>954</v>
      </c>
      <c r="M175" s="14" t="n">
        <f aca="false">SUMIFS(PSUT_LARGA!$K$2:$K$618,PSUT_LARGA!$B$2:$B$618,$B175,PSUT_LARGA!$H$2:$H$618,$L175,PSUT_LARGA!$E$2:$E$618,$J175,PSUT_LARGA!$F$2:$F$618,$K175,PSUT_LARGA!$G$2:$G$618,$I175,PSUT_LARGA!$I$2:$I$618,$H175)</f>
        <v>1171.0055</v>
      </c>
      <c r="N175" s="14" t="n">
        <f aca="false">IF($H175="TRANSFORMACION_REFINERIA",$M175*INDEX(PARAMETROS!$C$27:$C$33,MATCH($B175,PARAMETROS!$A$27:$A$33,0)),$M175)</f>
        <v>1171.0055</v>
      </c>
      <c r="O175" s="4" t="s">
        <v>3362</v>
      </c>
      <c r="P175" s="4" t="s">
        <v>3363</v>
      </c>
      <c r="Q175" s="11" t="n">
        <f aca="false">MIN($B175,2022)</f>
        <v>2021</v>
      </c>
      <c r="R175" s="8" t="str">
        <f>IF(COUNT($S175:$U175)=0,"NO",IF($O175="CERO_DIRECTO","CAL",IF(OR($B175&gt;$Q175,COUNTIFS(DATOS_MODELO!$C$2:$C$3672,$Q175&amp;"|"&amp;$E175&amp;"|"&amp;$O175&amp;"|*",DATOS_MODELO!$F$2:$F$3672,"PRX",DATOS_MODELO!$AA$2:$AA$3672,"&lt;&gt;")&gt;0),"PRX",IF(COUNTIFS(DATOS_MODELO!$C$2:$C$3672,$Q175&amp;"|"&amp;$E175&amp;"|"&amp;$O175&amp;"|*",DATOS_MODELO!$F$2:$F$3672,"CAL",DATOS_MODELO!$AA$2:$AA$3672,"&lt;&gt;")&gt;0,"CAL","OBS"))))</f>
        <v>CAL</v>
      </c>
      <c r="S175" s="14">
        <f>IF(COUNTIFS(DATOS_MODELO!$C$2:$C$3672,$Q175&amp;"|"&amp;$E175&amp;"|"&amp;$O175&amp;"|CO2",DATOS_MODELO!$AA$2:$AA$3672,"&lt;&gt;")=0,"",INDEX(DATOS_MODELO!$AA$2:$AA$3672,MATCH($Q175&amp;"|"&amp;$E175&amp;"|"&amp;$O175&amp;"|CO2",DATOS_MODELO!$C$2:$C$3672,0)))</f>
        <v>0.0</v>
      </c>
      <c r="T175" s="14">
        <f>IF(COUNTIFS(DATOS_MODELO!$C$2:$C$3672,$Q175&amp;"|"&amp;$E175&amp;"|"&amp;$O175&amp;"|CH4",DATOS_MODELO!$AA$2:$AA$3672,"&lt;&gt;")=0,"",INDEX(DATOS_MODELO!$AA$2:$AA$3672,MATCH($Q175&amp;"|"&amp;$E175&amp;"|"&amp;$O175&amp;"|CH4",DATOS_MODELO!$C$2:$C$3672,0)))</f>
        <v>0.0</v>
      </c>
      <c r="U175" s="14">
        <f>IF(COUNTIFS(DATOS_MODELO!$C$2:$C$3672,$Q175&amp;"|"&amp;$E175&amp;"|"&amp;$O175&amp;"|N2O",DATOS_MODELO!$AA$2:$AA$3672,"&lt;&gt;")=0,"",INDEX(DATOS_MODELO!$AA$2:$AA$3672,MATCH($Q175&amp;"|"&amp;$E175&amp;"|"&amp;$O175&amp;"|N2O",DATOS_MODELO!$C$2:$C$3672,0)))</f>
        <v>0.0</v>
      </c>
      <c r="V175" s="8"/>
      <c r="W175" s="14"/>
      <c r="X175" s="14">
        <f>IF($P175="BIOGENICO",0,IF(ISNUMBER($S175),$N175*$S175/PARAMETROS!$B$8,""))</f>
        <v>0.0</v>
      </c>
      <c r="Y175" s="14">
        <f>IF($P175="BIOGENICO",IF(ISNUMBER($S175),$N175*$S175/PARAMETROS!$B$8,""),0)</f>
        <v>0.0</v>
      </c>
      <c r="Z175" s="14">
        <f>IF(ISNUMBER($T175),$N175*$T175/PARAMETROS!$B$8,"")</f>
        <v>0.0</v>
      </c>
      <c r="AA175" s="14">
        <f>IF(ISNUMBER($U175),$N175*$U175/PARAMETROS!$B$8,"")</f>
        <v>0.0</v>
      </c>
      <c r="AB175" s="14">
        <f>IF(COUNT($X175,$Z175,$AA175)=0,"",SUM($X175,IF(ISNUMBER($Z175),$Z175*PARAMETROS!$B$9,0),IF(ISNUMBER($AA175),$AA175*PARAMETROS!$B$10,0)))</f>
        <v>0.0</v>
      </c>
      <c r="AC175" s="4" t="s">
        <v>1990</v>
      </c>
      <c r="AD175" s="4"/>
      <c r="AE175" s="4" t="s">
        <v>3362</v>
      </c>
      <c r="AF175" s="4" t="s">
        <v>170</v>
      </c>
      <c r="AG175" s="4" t="inlineStr">
        <is>
          <t>METODO_EMISIONES</t>
        </is>
      </c>
      <c r="AH175" s="4"/>
    </row>
    <row r="176" customFormat="false" ht="23.85" hidden="false" customHeight="false" outlineLevel="0" collapsed="false">
      <c r="A176" s="4" t="s">
        <v>5921</v>
      </c>
      <c r="B176" s="12" t="n">
        <v>2021</v>
      </c>
      <c r="C176" s="4" t="s">
        <v>67</v>
      </c>
      <c r="D176" s="4" t="s">
        <v>5685</v>
      </c>
      <c r="E176" s="4" t="s">
        <v>3341</v>
      </c>
      <c r="F176" s="4" t="s">
        <v>3342</v>
      </c>
      <c r="G176" s="4" t="s">
        <v>80</v>
      </c>
      <c r="H176" s="4" t="s">
        <v>2003</v>
      </c>
      <c r="I176" s="4" t="s">
        <v>67</v>
      </c>
      <c r="J176" s="4" t="s">
        <v>2001</v>
      </c>
      <c r="K176" s="4" t="s">
        <v>66</v>
      </c>
      <c r="L176" s="4" t="s">
        <v>968</v>
      </c>
      <c r="M176" s="14" t="n">
        <f aca="false">SUMIFS(PSUT_LARGA!$K$2:$K$618,PSUT_LARGA!$B$2:$B$618,$B176,PSUT_LARGA!$H$2:$H$618,$L176,PSUT_LARGA!$E$2:$E$618,$J176,PSUT_LARGA!$F$2:$F$618,$K176,PSUT_LARGA!$G$2:$G$618,$I176,PSUT_LARGA!$I$2:$I$618,$H176)</f>
        <v>11288.9462</v>
      </c>
      <c r="N176" s="14" t="n">
        <f aca="false">IF($H176="TRANSFORMACION_REFINERIA",$M176*INDEX(PARAMETROS!$C$27:$C$33,MATCH($B176,PARAMETROS!$A$27:$A$33,0)),$M176)</f>
        <v>11288.9462</v>
      </c>
      <c r="O176" s="4" t="s">
        <v>3362</v>
      </c>
      <c r="P176" s="4" t="s">
        <v>3363</v>
      </c>
      <c r="Q176" s="11" t="n">
        <f aca="false">MIN($B176,2022)</f>
        <v>2021</v>
      </c>
      <c r="R176" s="8" t="str">
        <f>IF(COUNT($S176:$U176)=0,"NO",IF($O176="CERO_DIRECTO","CAL",IF(OR($B176&gt;$Q176,COUNTIFS(DATOS_MODELO!$C$2:$C$3672,$Q176&amp;"|"&amp;$E176&amp;"|"&amp;$O176&amp;"|*",DATOS_MODELO!$F$2:$F$3672,"PRX",DATOS_MODELO!$AA$2:$AA$3672,"&lt;&gt;")&gt;0),"PRX",IF(COUNTIFS(DATOS_MODELO!$C$2:$C$3672,$Q176&amp;"|"&amp;$E176&amp;"|"&amp;$O176&amp;"|*",DATOS_MODELO!$F$2:$F$3672,"CAL",DATOS_MODELO!$AA$2:$AA$3672,"&lt;&gt;")&gt;0,"CAL","OBS"))))</f>
        <v>CAL</v>
      </c>
      <c r="S176" s="14">
        <f>IF(COUNTIFS(DATOS_MODELO!$C$2:$C$3672,$Q176&amp;"|"&amp;$E176&amp;"|"&amp;$O176&amp;"|CO2",DATOS_MODELO!$AA$2:$AA$3672,"&lt;&gt;")=0,"",INDEX(DATOS_MODELO!$AA$2:$AA$3672,MATCH($Q176&amp;"|"&amp;$E176&amp;"|"&amp;$O176&amp;"|CO2",DATOS_MODELO!$C$2:$C$3672,0)))</f>
        <v>0.0</v>
      </c>
      <c r="T176" s="14">
        <f>IF(COUNTIFS(DATOS_MODELO!$C$2:$C$3672,$Q176&amp;"|"&amp;$E176&amp;"|"&amp;$O176&amp;"|CH4",DATOS_MODELO!$AA$2:$AA$3672,"&lt;&gt;")=0,"",INDEX(DATOS_MODELO!$AA$2:$AA$3672,MATCH($Q176&amp;"|"&amp;$E176&amp;"|"&amp;$O176&amp;"|CH4",DATOS_MODELO!$C$2:$C$3672,0)))</f>
        <v>0.0</v>
      </c>
      <c r="U176" s="14">
        <f>IF(COUNTIFS(DATOS_MODELO!$C$2:$C$3672,$Q176&amp;"|"&amp;$E176&amp;"|"&amp;$O176&amp;"|N2O",DATOS_MODELO!$AA$2:$AA$3672,"&lt;&gt;")=0,"",INDEX(DATOS_MODELO!$AA$2:$AA$3672,MATCH($Q176&amp;"|"&amp;$E176&amp;"|"&amp;$O176&amp;"|N2O",DATOS_MODELO!$C$2:$C$3672,0)))</f>
        <v>0.0</v>
      </c>
      <c r="V176" s="8"/>
      <c r="W176" s="14"/>
      <c r="X176" s="14">
        <f>IF($P176="BIOGENICO",0,IF(ISNUMBER($S176),$N176*$S176/PARAMETROS!$B$8,""))</f>
        <v>0.0</v>
      </c>
      <c r="Y176" s="14">
        <f>IF($P176="BIOGENICO",IF(ISNUMBER($S176),$N176*$S176/PARAMETROS!$B$8,""),0)</f>
        <v>0.0</v>
      </c>
      <c r="Z176" s="14">
        <f>IF(ISNUMBER($T176),$N176*$T176/PARAMETROS!$B$8,"")</f>
        <v>0.0</v>
      </c>
      <c r="AA176" s="14">
        <f>IF(ISNUMBER($U176),$N176*$U176/PARAMETROS!$B$8,"")</f>
        <v>0.0</v>
      </c>
      <c r="AB176" s="14">
        <f>IF(COUNT($X176,$Z176,$AA176)=0,"",SUM($X176,IF(ISNUMBER($Z176),$Z176*PARAMETROS!$B$9,0),IF(ISNUMBER($AA176),$AA176*PARAMETROS!$B$10,0)))</f>
        <v>0.0</v>
      </c>
      <c r="AC176" s="4" t="s">
        <v>1990</v>
      </c>
      <c r="AD176" s="4"/>
      <c r="AE176" s="4" t="s">
        <v>3362</v>
      </c>
      <c r="AF176" s="4" t="s">
        <v>170</v>
      </c>
      <c r="AG176" s="4" t="inlineStr">
        <is>
          <t>METODO_EMISIONES</t>
        </is>
      </c>
      <c r="AH176" s="4"/>
    </row>
    <row r="177" customFormat="false" ht="15" hidden="false" customHeight="false" outlineLevel="0" collapsed="false">
      <c r="A177" s="4" t="s">
        <v>5922</v>
      </c>
      <c r="B177" s="12" t="n">
        <v>2021</v>
      </c>
      <c r="C177" s="4" t="s">
        <v>67</v>
      </c>
      <c r="D177" s="4" t="s">
        <v>5685</v>
      </c>
      <c r="E177" s="4" t="s">
        <v>3341</v>
      </c>
      <c r="F177" s="4" t="s">
        <v>3342</v>
      </c>
      <c r="G177" s="4" t="s">
        <v>82</v>
      </c>
      <c r="H177" s="4" t="s">
        <v>2003</v>
      </c>
      <c r="I177" s="4" t="s">
        <v>67</v>
      </c>
      <c r="J177" s="4" t="s">
        <v>2001</v>
      </c>
      <c r="K177" s="4" t="s">
        <v>2002</v>
      </c>
      <c r="L177" s="4" t="s">
        <v>982</v>
      </c>
      <c r="M177" s="14" t="n">
        <f aca="false">SUMIFS(PSUT_LARGA!$K$2:$K$618,PSUT_LARGA!$B$2:$B$618,$B177,PSUT_LARGA!$H$2:$H$618,$L177,PSUT_LARGA!$E$2:$E$618,$J177,PSUT_LARGA!$F$2:$F$618,$K177,PSUT_LARGA!$G$2:$G$618,$I177,PSUT_LARGA!$I$2:$I$618,$H177)</f>
        <v>50.0241</v>
      </c>
      <c r="N177" s="14" t="n">
        <f aca="false">IF($H177="TRANSFORMACION_REFINERIA",$M177*INDEX(PARAMETROS!$C$27:$C$33,MATCH($B177,PARAMETROS!$A$27:$A$33,0)),$M177)</f>
        <v>50.0241</v>
      </c>
      <c r="O177" s="4" t="s">
        <v>3372</v>
      </c>
      <c r="P177" s="4" t="s">
        <v>3352</v>
      </c>
      <c r="Q177" s="11" t="n">
        <f aca="false">MIN($B177,2022)</f>
        <v>2021</v>
      </c>
      <c r="R177" s="8" t="str">
        <f>IF(COUNT($S177:$U177)=0,"NO",IF($O177="CERO_DIRECTO","CAL",IF(OR($B177&gt;$Q177,COUNTIFS(DATOS_MODELO!$C$2:$C$3672,$Q177&amp;"|"&amp;$E177&amp;"|"&amp;$O177&amp;"|*",DATOS_MODELO!$F$2:$F$3672,"PRX",DATOS_MODELO!$AA$2:$AA$3672,"&lt;&gt;")&gt;0),"PRX",IF(COUNTIFS(DATOS_MODELO!$C$2:$C$3672,$Q177&amp;"|"&amp;$E177&amp;"|"&amp;$O177&amp;"|*",DATOS_MODELO!$F$2:$F$3672,"CAL",DATOS_MODELO!$AA$2:$AA$3672,"&lt;&gt;")&gt;0,"CAL","OBS"))))</f>
        <v>OBS</v>
      </c>
      <c r="S177" s="14">
        <f>IF(COUNTIFS(DATOS_MODELO!$C$2:$C$3672,$Q177&amp;"|"&amp;$E177&amp;"|"&amp;$O177&amp;"|CO2",DATOS_MODELO!$AA$2:$AA$3672,"&lt;&gt;")=0,"",INDEX(DATOS_MODELO!$AA$2:$AA$3672,MATCH($Q177&amp;"|"&amp;$E177&amp;"|"&amp;$O177&amp;"|CO2",DATOS_MODELO!$C$2:$C$3672,0)))</f>
        <v>56099.9999988003</v>
      </c>
      <c r="T177" s="14">
        <f>IF(COUNTIFS(DATOS_MODELO!$C$2:$C$3672,$Q177&amp;"|"&amp;$E177&amp;"|"&amp;$O177&amp;"|CH4",DATOS_MODELO!$AA$2:$AA$3672,"&lt;&gt;")=0,"",INDEX(DATOS_MODELO!$AA$2:$AA$3672,MATCH($Q177&amp;"|"&amp;$E177&amp;"|"&amp;$O177&amp;"|CH4",DATOS_MODELO!$C$2:$C$3672,0)))</f>
        <v>0.999999711463466</v>
      </c>
      <c r="U177" s="14">
        <f>IF(COUNTIFS(DATOS_MODELO!$C$2:$C$3672,$Q177&amp;"|"&amp;$E177&amp;"|"&amp;$O177&amp;"|N2O",DATOS_MODELO!$AA$2:$AA$3672,"&lt;&gt;")=0,"",INDEX(DATOS_MODELO!$AA$2:$AA$3672,MATCH($Q177&amp;"|"&amp;$E177&amp;"|"&amp;$O177&amp;"|N2O",DATOS_MODELO!$C$2:$C$3672,0)))</f>
        <v>0.0999999711463466</v>
      </c>
      <c r="V177" s="8"/>
      <c r="W177" s="14"/>
      <c r="X177" s="14">
        <f>IF($P177="BIOGENICO",0,IF(ISNUMBER($S177),$N177*$S177/PARAMETROS!$B$8,""))</f>
        <v>2.80635200993999</v>
      </c>
      <c r="Y177" s="14">
        <f>IF($P177="BIOGENICO",IF(ISNUMBER($S177),$N177*$S177/PARAMETROS!$B$8,""),0)</f>
        <v>0.0</v>
      </c>
      <c r="Z177" s="14">
        <f>IF(ISNUMBER($T177),$N177*$T177/PARAMETROS!$B$8,"")</f>
        <v>5.00240855662196e-05</v>
      </c>
      <c r="AA177" s="14">
        <f>IF(ISNUMBER($U177),$N177*$U177/PARAMETROS!$B$8,"")</f>
        <v>5.00240855662196e-06</v>
      </c>
      <c r="AB177" s="14">
        <f>IF(COUNT($X177,$Z177,$AA177)=0,"",SUM($X177,IF(ISNUMBER($Z177),$Z177*PARAMETROS!$B$9,0),IF(ISNUMBER($AA177),$AA177*PARAMETROS!$B$10,0)))</f>
        <v>2.80907832260334</v>
      </c>
      <c r="AC177" s="4" t="s">
        <v>1990</v>
      </c>
      <c r="AD177" s="4"/>
      <c r="AE177" s="4" t="s">
        <v>5690</v>
      </c>
      <c r="AF177" s="4" t="s">
        <v>170</v>
      </c>
      <c r="AG177" s="4" t="s">
        <v>3999</v>
      </c>
      <c r="AH177" s="4"/>
    </row>
    <row r="178" customFormat="false" ht="23.85" hidden="false" customHeight="false" outlineLevel="0" collapsed="false">
      <c r="A178" s="4" t="s">
        <v>5923</v>
      </c>
      <c r="B178" s="12" t="n">
        <v>2021</v>
      </c>
      <c r="C178" s="4" t="s">
        <v>67</v>
      </c>
      <c r="D178" s="4" t="s">
        <v>5685</v>
      </c>
      <c r="E178" s="4" t="s">
        <v>3341</v>
      </c>
      <c r="F178" s="4" t="s">
        <v>3342</v>
      </c>
      <c r="G178" s="4" t="s">
        <v>84</v>
      </c>
      <c r="H178" s="4" t="s">
        <v>2003</v>
      </c>
      <c r="I178" s="4" t="s">
        <v>67</v>
      </c>
      <c r="J178" s="4" t="s">
        <v>2001</v>
      </c>
      <c r="K178" s="4" t="s">
        <v>66</v>
      </c>
      <c r="L178" s="4" t="s">
        <v>996</v>
      </c>
      <c r="M178" s="14" t="n">
        <f aca="false">SUMIFS(PSUT_LARGA!$K$2:$K$618,PSUT_LARGA!$B$2:$B$618,$B178,PSUT_LARGA!$H$2:$H$618,$L178,PSUT_LARGA!$E$2:$E$618,$J178,PSUT_LARGA!$F$2:$F$618,$K178,PSUT_LARGA!$G$2:$G$618,$I178,PSUT_LARGA!$I$2:$I$618,$H178)</f>
        <v>30350.5685</v>
      </c>
      <c r="N178" s="14" t="n">
        <f aca="false">IF($H178="TRANSFORMACION_REFINERIA",$M178*INDEX(PARAMETROS!$C$27:$C$33,MATCH($B178,PARAMETROS!$A$27:$A$33,0)),$M178)</f>
        <v>30350.5685</v>
      </c>
      <c r="O178" s="4" t="s">
        <v>3362</v>
      </c>
      <c r="P178" s="4" t="s">
        <v>3363</v>
      </c>
      <c r="Q178" s="11" t="n">
        <f aca="false">MIN($B178,2022)</f>
        <v>2021</v>
      </c>
      <c r="R178" s="8" t="str">
        <f>IF(COUNT($S178:$U178)=0,"NO",IF($O178="CERO_DIRECTO","CAL",IF(OR($B178&gt;$Q178,COUNTIFS(DATOS_MODELO!$C$2:$C$3672,$Q178&amp;"|"&amp;$E178&amp;"|"&amp;$O178&amp;"|*",DATOS_MODELO!$F$2:$F$3672,"PRX",DATOS_MODELO!$AA$2:$AA$3672,"&lt;&gt;")&gt;0),"PRX",IF(COUNTIFS(DATOS_MODELO!$C$2:$C$3672,$Q178&amp;"|"&amp;$E178&amp;"|"&amp;$O178&amp;"|*",DATOS_MODELO!$F$2:$F$3672,"CAL",DATOS_MODELO!$AA$2:$AA$3672,"&lt;&gt;")&gt;0,"CAL","OBS"))))</f>
        <v>CAL</v>
      </c>
      <c r="S178" s="14">
        <f>IF(COUNTIFS(DATOS_MODELO!$C$2:$C$3672,$Q178&amp;"|"&amp;$E178&amp;"|"&amp;$O178&amp;"|CO2",DATOS_MODELO!$AA$2:$AA$3672,"&lt;&gt;")=0,"",INDEX(DATOS_MODELO!$AA$2:$AA$3672,MATCH($Q178&amp;"|"&amp;$E178&amp;"|"&amp;$O178&amp;"|CO2",DATOS_MODELO!$C$2:$C$3672,0)))</f>
        <v>0.0</v>
      </c>
      <c r="T178" s="14">
        <f>IF(COUNTIFS(DATOS_MODELO!$C$2:$C$3672,$Q178&amp;"|"&amp;$E178&amp;"|"&amp;$O178&amp;"|CH4",DATOS_MODELO!$AA$2:$AA$3672,"&lt;&gt;")=0,"",INDEX(DATOS_MODELO!$AA$2:$AA$3672,MATCH($Q178&amp;"|"&amp;$E178&amp;"|"&amp;$O178&amp;"|CH4",DATOS_MODELO!$C$2:$C$3672,0)))</f>
        <v>0.0</v>
      </c>
      <c r="U178" s="14">
        <f>IF(COUNTIFS(DATOS_MODELO!$C$2:$C$3672,$Q178&amp;"|"&amp;$E178&amp;"|"&amp;$O178&amp;"|N2O",DATOS_MODELO!$AA$2:$AA$3672,"&lt;&gt;")=0,"",INDEX(DATOS_MODELO!$AA$2:$AA$3672,MATCH($Q178&amp;"|"&amp;$E178&amp;"|"&amp;$O178&amp;"|N2O",DATOS_MODELO!$C$2:$C$3672,0)))</f>
        <v>0.0</v>
      </c>
      <c r="V178" s="8"/>
      <c r="W178" s="14"/>
      <c r="X178" s="14">
        <f>IF($P178="BIOGENICO",0,IF(ISNUMBER($S178),$N178*$S178/PARAMETROS!$B$8,""))</f>
        <v>0.0</v>
      </c>
      <c r="Y178" s="14">
        <f>IF($P178="BIOGENICO",IF(ISNUMBER($S178),$N178*$S178/PARAMETROS!$B$8,""),0)</f>
        <v>0.0</v>
      </c>
      <c r="Z178" s="14">
        <f>IF(ISNUMBER($T178),$N178*$T178/PARAMETROS!$B$8,"")</f>
        <v>0.0</v>
      </c>
      <c r="AA178" s="14">
        <f>IF(ISNUMBER($U178),$N178*$U178/PARAMETROS!$B$8,"")</f>
        <v>0.0</v>
      </c>
      <c r="AB178" s="14">
        <f>IF(COUNT($X178,$Z178,$AA178)=0,"",SUM($X178,IF(ISNUMBER($Z178),$Z178*PARAMETROS!$B$9,0),IF(ISNUMBER($AA178),$AA178*PARAMETROS!$B$10,0)))</f>
        <v>0.0</v>
      </c>
      <c r="AC178" s="4" t="s">
        <v>1990</v>
      </c>
      <c r="AD178" s="4"/>
      <c r="AE178" s="4" t="s">
        <v>3362</v>
      </c>
      <c r="AF178" s="4" t="s">
        <v>170</v>
      </c>
      <c r="AG178" s="4" t="inlineStr">
        <is>
          <t>METODO_EMISIONES</t>
        </is>
      </c>
      <c r="AH178" s="4"/>
    </row>
    <row r="179" customFormat="false" ht="23.85" hidden="false" customHeight="false" outlineLevel="0" collapsed="false">
      <c r="A179" s="4" t="s">
        <v>5924</v>
      </c>
      <c r="B179" s="12" t="n">
        <v>2021</v>
      </c>
      <c r="C179" s="4" t="s">
        <v>67</v>
      </c>
      <c r="D179" s="4" t="s">
        <v>5685</v>
      </c>
      <c r="E179" s="4" t="s">
        <v>3341</v>
      </c>
      <c r="F179" s="4" t="s">
        <v>3342</v>
      </c>
      <c r="G179" s="4" t="s">
        <v>84</v>
      </c>
      <c r="H179" s="4" t="s">
        <v>2008</v>
      </c>
      <c r="I179" s="4" t="s">
        <v>67</v>
      </c>
      <c r="J179" s="4" t="s">
        <v>2001</v>
      </c>
      <c r="K179" s="4" t="s">
        <v>66</v>
      </c>
      <c r="L179" s="4" t="s">
        <v>997</v>
      </c>
      <c r="M179" s="14" t="n">
        <f aca="false">SUMIFS(PSUT_LARGA!$K$2:$K$618,PSUT_LARGA!$B$2:$B$618,$B179,PSUT_LARGA!$H$2:$H$618,$L179,PSUT_LARGA!$E$2:$E$618,$J179,PSUT_LARGA!$F$2:$F$618,$K179,PSUT_LARGA!$G$2:$G$618,$I179,PSUT_LARGA!$I$2:$I$618,$H179)</f>
        <v>116.1419</v>
      </c>
      <c r="N179" s="14" t="n">
        <f aca="false">IF($H179="TRANSFORMACION_REFINERIA",$M179*INDEX(PARAMETROS!$C$27:$C$33,MATCH($B179,PARAMETROS!$A$27:$A$33,0)),$M179)</f>
        <v>116.1419</v>
      </c>
      <c r="O179" s="4" t="s">
        <v>3362</v>
      </c>
      <c r="P179" s="4" t="s">
        <v>3363</v>
      </c>
      <c r="Q179" s="11" t="n">
        <f aca="false">MIN($B179,2022)</f>
        <v>2021</v>
      </c>
      <c r="R179" s="8" t="str">
        <f>IF(COUNT($S179:$U179)=0,"NO",IF($O179="CERO_DIRECTO","CAL",IF(OR($B179&gt;$Q179,COUNTIFS(DATOS_MODELO!$C$2:$C$3672,$Q179&amp;"|"&amp;$E179&amp;"|"&amp;$O179&amp;"|*",DATOS_MODELO!$F$2:$F$3672,"PRX",DATOS_MODELO!$AA$2:$AA$3672,"&lt;&gt;")&gt;0),"PRX",IF(COUNTIFS(DATOS_MODELO!$C$2:$C$3672,$Q179&amp;"|"&amp;$E179&amp;"|"&amp;$O179&amp;"|*",DATOS_MODELO!$F$2:$F$3672,"CAL",DATOS_MODELO!$AA$2:$AA$3672,"&lt;&gt;")&gt;0,"CAL","OBS"))))</f>
        <v>CAL</v>
      </c>
      <c r="S179" s="14">
        <f>IF(COUNTIFS(DATOS_MODELO!$C$2:$C$3672,$Q179&amp;"|"&amp;$E179&amp;"|"&amp;$O179&amp;"|CO2",DATOS_MODELO!$AA$2:$AA$3672,"&lt;&gt;")=0,"",INDEX(DATOS_MODELO!$AA$2:$AA$3672,MATCH($Q179&amp;"|"&amp;$E179&amp;"|"&amp;$O179&amp;"|CO2",DATOS_MODELO!$C$2:$C$3672,0)))</f>
        <v>0.0</v>
      </c>
      <c r="T179" s="14">
        <f>IF(COUNTIFS(DATOS_MODELO!$C$2:$C$3672,$Q179&amp;"|"&amp;$E179&amp;"|"&amp;$O179&amp;"|CH4",DATOS_MODELO!$AA$2:$AA$3672,"&lt;&gt;")=0,"",INDEX(DATOS_MODELO!$AA$2:$AA$3672,MATCH($Q179&amp;"|"&amp;$E179&amp;"|"&amp;$O179&amp;"|CH4",DATOS_MODELO!$C$2:$C$3672,0)))</f>
        <v>0.0</v>
      </c>
      <c r="U179" s="14">
        <f>IF(COUNTIFS(DATOS_MODELO!$C$2:$C$3672,$Q179&amp;"|"&amp;$E179&amp;"|"&amp;$O179&amp;"|N2O",DATOS_MODELO!$AA$2:$AA$3672,"&lt;&gt;")=0,"",INDEX(DATOS_MODELO!$AA$2:$AA$3672,MATCH($Q179&amp;"|"&amp;$E179&amp;"|"&amp;$O179&amp;"|N2O",DATOS_MODELO!$C$2:$C$3672,0)))</f>
        <v>0.0</v>
      </c>
      <c r="V179" s="8"/>
      <c r="W179" s="14"/>
      <c r="X179" s="14">
        <f>IF($P179="BIOGENICO",0,IF(ISNUMBER($S179),$N179*$S179/PARAMETROS!$B$8,""))</f>
        <v>0.0</v>
      </c>
      <c r="Y179" s="14">
        <f>IF($P179="BIOGENICO",IF(ISNUMBER($S179),$N179*$S179/PARAMETROS!$B$8,""),0)</f>
        <v>0.0</v>
      </c>
      <c r="Z179" s="14">
        <f>IF(ISNUMBER($T179),$N179*$T179/PARAMETROS!$B$8,"")</f>
        <v>0.0</v>
      </c>
      <c r="AA179" s="14">
        <f>IF(ISNUMBER($U179),$N179*$U179/PARAMETROS!$B$8,"")</f>
        <v>0.0</v>
      </c>
      <c r="AB179" s="14">
        <f>IF(COUNT($X179,$Z179,$AA179)=0,"",SUM($X179,IF(ISNUMBER($Z179),$Z179*PARAMETROS!$B$9,0),IF(ISNUMBER($AA179),$AA179*PARAMETROS!$B$10,0)))</f>
        <v>0.0</v>
      </c>
      <c r="AC179" s="4" t="s">
        <v>1990</v>
      </c>
      <c r="AD179" s="4"/>
      <c r="AE179" s="4" t="s">
        <v>3362</v>
      </c>
      <c r="AF179" s="4" t="s">
        <v>170</v>
      </c>
      <c r="AG179" s="4" t="inlineStr">
        <is>
          <t>METODO_EMISIONES</t>
        </is>
      </c>
      <c r="AH179" s="4"/>
    </row>
    <row r="180" customFormat="false" ht="15" hidden="false" customHeight="false" outlineLevel="0" collapsed="false">
      <c r="A180" s="4" t="s">
        <v>5925</v>
      </c>
      <c r="B180" s="12" t="n">
        <v>2021</v>
      </c>
      <c r="C180" s="4" t="s">
        <v>67</v>
      </c>
      <c r="D180" s="4" t="s">
        <v>5685</v>
      </c>
      <c r="E180" s="4" t="s">
        <v>3395</v>
      </c>
      <c r="F180" s="4" t="s">
        <v>3396</v>
      </c>
      <c r="G180" s="4" t="s">
        <v>86</v>
      </c>
      <c r="H180" s="4" t="s">
        <v>2097</v>
      </c>
      <c r="I180" s="4" t="s">
        <v>67</v>
      </c>
      <c r="J180" s="4" t="s">
        <v>2001</v>
      </c>
      <c r="K180" s="4" t="s">
        <v>2002</v>
      </c>
      <c r="L180" s="4" t="s">
        <v>1023</v>
      </c>
      <c r="M180" s="14" t="n">
        <f aca="false">SUMIFS(PSUT_LARGA!$K$2:$K$618,PSUT_LARGA!$B$2:$B$618,$B180,PSUT_LARGA!$H$2:$H$618,$L180,PSUT_LARGA!$E$2:$E$618,$J180,PSUT_LARGA!$F$2:$F$618,$K180,PSUT_LARGA!$G$2:$G$618,$I180,PSUT_LARGA!$I$2:$I$618,$H180)</f>
        <v>4866.5722</v>
      </c>
      <c r="N180" s="14" t="n">
        <f aca="false">IF($H180="TRANSFORMACION_REFINERIA",$M180*INDEX(PARAMETROS!$C$27:$C$33,MATCH($B180,PARAMETROS!$A$27:$A$33,0)),$M180)</f>
        <v>5.52012733</v>
      </c>
      <c r="O180" s="4" t="s">
        <v>3397</v>
      </c>
      <c r="P180" s="4" t="s">
        <v>3352</v>
      </c>
      <c r="Q180" s="11" t="n">
        <f aca="false">MIN($B180,2022)</f>
        <v>2021</v>
      </c>
      <c r="R180" s="8" t="str">
        <f>IF(COUNT($S180:$U180)=0,"NO",IF($O180="CERO_DIRECTO","CAL",IF(OR($B180&gt;$Q180,COUNTIFS(DATOS_MODELO!$C$2:$C$3672,$Q180&amp;"|"&amp;$E180&amp;"|"&amp;$O180&amp;"|*",DATOS_MODELO!$F$2:$F$3672,"PRX",DATOS_MODELO!$AA$2:$AA$3672,"&lt;&gt;")&gt;0),"PRX",IF(COUNTIFS(DATOS_MODELO!$C$2:$C$3672,$Q180&amp;"|"&amp;$E180&amp;"|"&amp;$O180&amp;"|*",DATOS_MODELO!$F$2:$F$3672,"CAL",DATOS_MODELO!$AA$2:$AA$3672,"&lt;&gt;")&gt;0,"CAL","OBS"))))</f>
        <v>OBS</v>
      </c>
      <c r="S180" s="14">
        <f>IF(COUNTIFS(DATOS_MODELO!$C$2:$C$3672,$Q180&amp;"|"&amp;$E180&amp;"|"&amp;$O180&amp;"|CO2",DATOS_MODELO!$AA$2:$AA$3672,"&lt;&gt;")=0,"",INDEX(DATOS_MODELO!$AA$2:$AA$3672,MATCH($Q180&amp;"|"&amp;$E180&amp;"|"&amp;$O180&amp;"|CO2",DATOS_MODELO!$C$2:$C$3672,0)))</f>
        <v>73299.9994041804</v>
      </c>
      <c r="T180" s="14">
        <f>IF(COUNTIFS(DATOS_MODELO!$C$2:$C$3672,$Q180&amp;"|"&amp;$E180&amp;"|"&amp;$O180&amp;"|CH4",DATOS_MODELO!$AA$2:$AA$3672,"&lt;&gt;")=0,"",INDEX(DATOS_MODELO!$AA$2:$AA$3672,MATCH($Q180&amp;"|"&amp;$E180&amp;"|"&amp;$O180&amp;"|CH4",DATOS_MODELO!$C$2:$C$3672,0)))</f>
        <v>2.99993080050927</v>
      </c>
      <c r="U180" s="14">
        <f>IF(COUNTIFS(DATOS_MODELO!$C$2:$C$3672,$Q180&amp;"|"&amp;$E180&amp;"|"&amp;$O180&amp;"|N2O",DATOS_MODELO!$AA$2:$AA$3672,"&lt;&gt;")=0,"",INDEX(DATOS_MODELO!$AA$2:$AA$3672,MATCH($Q180&amp;"|"&amp;$E180&amp;"|"&amp;$O180&amp;"|N2O",DATOS_MODELO!$C$2:$C$3672,0)))</f>
        <v>0.600004275626012</v>
      </c>
      <c r="V180" s="8"/>
      <c r="W180" s="14"/>
      <c r="X180" s="14">
        <f>IF($P180="BIOGENICO",0,IF(ISNUMBER($S180),$N180*$S180/PARAMETROS!$B$8,""))</f>
        <v>0.40462533</v>
      </c>
      <c r="Y180" s="14">
        <f>IF($P180="BIOGENICO",IF(ISNUMBER($S180),$N180*$S180/PARAMETROS!$B$8,""),0)</f>
        <v>0.0</v>
      </c>
      <c r="Z180" s="14">
        <f>IF(ISNUMBER($T180),$N180*$T180/PARAMETROS!$B$8,"")</f>
        <v>1.656e-05</v>
      </c>
      <c r="AA180" s="14">
        <f>IF(ISNUMBER($U180),$N180*$U180/PARAMETROS!$B$8,"")</f>
        <v>3.3121e-06</v>
      </c>
      <c r="AB180" s="14">
        <f>IF(COUNT($X180,$Z180,$AA180)=0,"",SUM($X180,IF(ISNUMBER($Z180),$Z180*PARAMETROS!$B$9,0),IF(ISNUMBER($AA180),$AA180*PARAMETROS!$B$10,0)))</f>
        <v>0.4059667165</v>
      </c>
      <c r="AC180" s="4" t="s">
        <v>1990</v>
      </c>
      <c r="AD180" s="4"/>
      <c r="AE180" s="4" t="s">
        <v>5690</v>
      </c>
      <c r="AF180" s="4" t="s">
        <v>170</v>
      </c>
      <c r="AG180" s="4" t="s">
        <v>3999</v>
      </c>
      <c r="AH180" s="4"/>
    </row>
    <row r="181" customFormat="false" ht="23.85" hidden="false" customHeight="false" outlineLevel="0" collapsed="false">
      <c r="A181" s="4" t="s">
        <v>5926</v>
      </c>
      <c r="B181" s="12" t="n">
        <v>2021</v>
      </c>
      <c r="C181" s="4" t="s">
        <v>67</v>
      </c>
      <c r="D181" s="4" t="s">
        <v>5685</v>
      </c>
      <c r="E181" s="4" t="s">
        <v>3341</v>
      </c>
      <c r="F181" s="4" t="s">
        <v>3342</v>
      </c>
      <c r="G181" s="4" t="s">
        <v>88</v>
      </c>
      <c r="H181" s="4" t="s">
        <v>2003</v>
      </c>
      <c r="I181" s="4" t="s">
        <v>67</v>
      </c>
      <c r="J181" s="4" t="s">
        <v>2001</v>
      </c>
      <c r="K181" s="4" t="s">
        <v>66</v>
      </c>
      <c r="L181" s="4" t="s">
        <v>1038</v>
      </c>
      <c r="M181" s="14" t="n">
        <f aca="false">SUMIFS(PSUT_LARGA!$K$2:$K$618,PSUT_LARGA!$B$2:$B$618,$B181,PSUT_LARGA!$H$2:$H$618,$L181,PSUT_LARGA!$E$2:$E$618,$J181,PSUT_LARGA!$F$2:$F$618,$K181,PSUT_LARGA!$G$2:$G$618,$I181,PSUT_LARGA!$I$2:$I$618,$H181)</f>
        <v>782.4327</v>
      </c>
      <c r="N181" s="14" t="n">
        <f aca="false">IF($H181="TRANSFORMACION_REFINERIA",$M181*INDEX(PARAMETROS!$C$27:$C$33,MATCH($B181,PARAMETROS!$A$27:$A$33,0)),$M181)</f>
        <v>782.4327</v>
      </c>
      <c r="O181" s="4" t="s">
        <v>3362</v>
      </c>
      <c r="P181" s="4" t="s">
        <v>3363</v>
      </c>
      <c r="Q181" s="11" t="n">
        <f aca="false">MIN($B181,2022)</f>
        <v>2021</v>
      </c>
      <c r="R181" s="8" t="str">
        <f>IF(COUNT($S181:$U181)=0,"NO",IF($O181="CERO_DIRECTO","CAL",IF(OR($B181&gt;$Q181,COUNTIFS(DATOS_MODELO!$C$2:$C$3672,$Q181&amp;"|"&amp;$E181&amp;"|"&amp;$O181&amp;"|*",DATOS_MODELO!$F$2:$F$3672,"PRX",DATOS_MODELO!$AA$2:$AA$3672,"&lt;&gt;")&gt;0),"PRX",IF(COUNTIFS(DATOS_MODELO!$C$2:$C$3672,$Q181&amp;"|"&amp;$E181&amp;"|"&amp;$O181&amp;"|*",DATOS_MODELO!$F$2:$F$3672,"CAL",DATOS_MODELO!$AA$2:$AA$3672,"&lt;&gt;")&gt;0,"CAL","OBS"))))</f>
        <v>CAL</v>
      </c>
      <c r="S181" s="14">
        <f>IF(COUNTIFS(DATOS_MODELO!$C$2:$C$3672,$Q181&amp;"|"&amp;$E181&amp;"|"&amp;$O181&amp;"|CO2",DATOS_MODELO!$AA$2:$AA$3672,"&lt;&gt;")=0,"",INDEX(DATOS_MODELO!$AA$2:$AA$3672,MATCH($Q181&amp;"|"&amp;$E181&amp;"|"&amp;$O181&amp;"|CO2",DATOS_MODELO!$C$2:$C$3672,0)))</f>
        <v>0.0</v>
      </c>
      <c r="T181" s="14">
        <f>IF(COUNTIFS(DATOS_MODELO!$C$2:$C$3672,$Q181&amp;"|"&amp;$E181&amp;"|"&amp;$O181&amp;"|CH4",DATOS_MODELO!$AA$2:$AA$3672,"&lt;&gt;")=0,"",INDEX(DATOS_MODELO!$AA$2:$AA$3672,MATCH($Q181&amp;"|"&amp;$E181&amp;"|"&amp;$O181&amp;"|CH4",DATOS_MODELO!$C$2:$C$3672,0)))</f>
        <v>0.0</v>
      </c>
      <c r="U181" s="14">
        <f>IF(COUNTIFS(DATOS_MODELO!$C$2:$C$3672,$Q181&amp;"|"&amp;$E181&amp;"|"&amp;$O181&amp;"|N2O",DATOS_MODELO!$AA$2:$AA$3672,"&lt;&gt;")=0,"",INDEX(DATOS_MODELO!$AA$2:$AA$3672,MATCH($Q181&amp;"|"&amp;$E181&amp;"|"&amp;$O181&amp;"|N2O",DATOS_MODELO!$C$2:$C$3672,0)))</f>
        <v>0.0</v>
      </c>
      <c r="V181" s="8"/>
      <c r="W181" s="14"/>
      <c r="X181" s="14">
        <f>IF($P181="BIOGENICO",0,IF(ISNUMBER($S181),$N181*$S181/PARAMETROS!$B$8,""))</f>
        <v>0.0</v>
      </c>
      <c r="Y181" s="14">
        <f>IF($P181="BIOGENICO",IF(ISNUMBER($S181),$N181*$S181/PARAMETROS!$B$8,""),0)</f>
        <v>0.0</v>
      </c>
      <c r="Z181" s="14">
        <f>IF(ISNUMBER($T181),$N181*$T181/PARAMETROS!$B$8,"")</f>
        <v>0.0</v>
      </c>
      <c r="AA181" s="14">
        <f>IF(ISNUMBER($U181),$N181*$U181/PARAMETROS!$B$8,"")</f>
        <v>0.0</v>
      </c>
      <c r="AB181" s="14">
        <f>IF(COUNT($X181,$Z181,$AA181)=0,"",SUM($X181,IF(ISNUMBER($Z181),$Z181*PARAMETROS!$B$9,0),IF(ISNUMBER($AA181),$AA181*PARAMETROS!$B$10,0)))</f>
        <v>0.0</v>
      </c>
      <c r="AC181" s="4" t="s">
        <v>1990</v>
      </c>
      <c r="AD181" s="4"/>
      <c r="AE181" s="4" t="s">
        <v>3362</v>
      </c>
      <c r="AF181" s="4" t="s">
        <v>170</v>
      </c>
      <c r="AG181" s="4" t="inlineStr">
        <is>
          <t>METODO_EMISIONES</t>
        </is>
      </c>
      <c r="AH181" s="4"/>
    </row>
    <row r="182" customFormat="false" ht="15" hidden="false" customHeight="false" outlineLevel="0" collapsed="false">
      <c r="A182" s="4" t="s">
        <v>5927</v>
      </c>
      <c r="B182" s="12" t="n">
        <v>2021</v>
      </c>
      <c r="C182" s="4" t="s">
        <v>67</v>
      </c>
      <c r="D182" s="4" t="s">
        <v>5685</v>
      </c>
      <c r="E182" s="4" t="s">
        <v>3341</v>
      </c>
      <c r="F182" s="4" t="s">
        <v>3342</v>
      </c>
      <c r="G182" s="4" t="s">
        <v>97</v>
      </c>
      <c r="H182" s="4" t="s">
        <v>2003</v>
      </c>
      <c r="I182" s="4" t="s">
        <v>67</v>
      </c>
      <c r="J182" s="4" t="s">
        <v>2001</v>
      </c>
      <c r="K182" s="4" t="s">
        <v>2002</v>
      </c>
      <c r="L182" s="4" t="s">
        <v>1066</v>
      </c>
      <c r="M182" s="14" t="n">
        <f aca="false">SUMIFS(PSUT_LARGA!$K$2:$K$618,PSUT_LARGA!$B$2:$B$618,$B182,PSUT_LARGA!$H$2:$H$618,$L182,PSUT_LARGA!$E$2:$E$618,$J182,PSUT_LARGA!$F$2:$F$618,$K182,PSUT_LARGA!$G$2:$G$618,$I182,PSUT_LARGA!$I$2:$I$618,$H182)</f>
        <v>47.7582</v>
      </c>
      <c r="N182" s="14" t="n">
        <f aca="false">IF($H182="TRANSFORMACION_REFINERIA",$M182*INDEX(PARAMETROS!$C$27:$C$33,MATCH($B182,PARAMETROS!$A$27:$A$33,0)),$M182)</f>
        <v>47.7582</v>
      </c>
      <c r="O182" s="4" t="inlineStr">
        <is>
          <t>COMB_DOIL</t>
        </is>
      </c>
      <c r="P182" s="4" t="s">
        <v>3352</v>
      </c>
      <c r="Q182" s="11" t="n">
        <f aca="false">MIN($B182,2022)</f>
        <v>2021</v>
      </c>
      <c r="R182" s="8" t="str">
        <f>IF(COUNT($S182:$U182)=0,"NO",IF($O182="CERO_DIRECTO","CAL",IF(OR($B182&gt;$Q182,COUNTIFS(DATOS_MODELO!$C$2:$C$3672,$Q182&amp;"|"&amp;$E182&amp;"|"&amp;$O182&amp;"|*",DATOS_MODELO!$F$2:$F$3672,"PRX",DATOS_MODELO!$AA$2:$AA$3672,"&lt;&gt;")&gt;0),"PRX",IF(COUNTIFS(DATOS_MODELO!$C$2:$C$3672,$Q182&amp;"|"&amp;$E182&amp;"|"&amp;$O182&amp;"|*",DATOS_MODELO!$F$2:$F$3672,"CAL",DATOS_MODELO!$AA$2:$AA$3672,"&lt;&gt;")&gt;0,"CAL","OBS"))))</f>
        <v>PRX</v>
      </c>
      <c r="S182" s="14">
        <f>IF(COUNTIFS(DATOS_MODELO!$C$2:$C$3672,$Q182&amp;"|"&amp;$E182&amp;"|"&amp;$O182&amp;"|CO2",DATOS_MODELO!$AA$2:$AA$3672,"&lt;&gt;")=0,"",INDEX(DATOS_MODELO!$AA$2:$AA$3672,MATCH($Q182&amp;"|"&amp;$E182&amp;"|"&amp;$O182&amp;"|CO2",DATOS_MODELO!$C$2:$C$3672,0)))</f>
        <v>74100.0</v>
      </c>
      <c r="T182" s="14">
        <f>IF(COUNTIFS(DATOS_MODELO!$C$2:$C$3672,$Q182&amp;"|"&amp;$E182&amp;"|"&amp;$O182&amp;"|CH4",DATOS_MODELO!$AA$2:$AA$3672,"&lt;&gt;")=0,"",INDEX(DATOS_MODELO!$AA$2:$AA$3672,MATCH($Q182&amp;"|"&amp;$E182&amp;"|"&amp;$O182&amp;"|CH4",DATOS_MODELO!$C$2:$C$3672,0)))</f>
        <v>3.0</v>
      </c>
      <c r="U182" s="14">
        <f>IF(COUNTIFS(DATOS_MODELO!$C$2:$C$3672,$Q182&amp;"|"&amp;$E182&amp;"|"&amp;$O182&amp;"|N2O",DATOS_MODELO!$AA$2:$AA$3672,"&lt;&gt;")=0,"",INDEX(DATOS_MODELO!$AA$2:$AA$3672,MATCH($Q182&amp;"|"&amp;$E182&amp;"|"&amp;$O182&amp;"|N2O",DATOS_MODELO!$C$2:$C$3672,0)))</f>
        <v>0.6</v>
      </c>
      <c r="V182" s="8"/>
      <c r="W182" s="14"/>
      <c r="X182" s="14">
        <f>IF($P182="BIOGENICO",0,IF(ISNUMBER($S182),$N182*$S182/PARAMETROS!$B$8,""))</f>
        <v>3.53888262</v>
      </c>
      <c r="Y182" s="14">
        <f>IF($P182="BIOGENICO",IF(ISNUMBER($S182),$N182*$S182/PARAMETROS!$B$8,""),0)</f>
        <v>0.0</v>
      </c>
      <c r="Z182" s="14">
        <f>IF(ISNUMBER($T182),$N182*$T182/PARAMETROS!$B$8,"")</f>
        <v>0.000143274594804931</v>
      </c>
      <c r="AA182" s="14">
        <f>IF(ISNUMBER($U182),$N182*$U182/PARAMETROS!$B$8,"")</f>
        <v>2.86549150103632e-05</v>
      </c>
      <c r="AB182" s="14">
        <f>IF(COUNT($X182,$Z182,$AA182)=0,"",SUM($X182,IF(ISNUMBER($Z182),$Z182*PARAMETROS!$B$9,0),IF(ISNUMBER($AA182),$AA182*PARAMETROS!$B$10,0)))</f>
        <v>3.5504878626</v>
      </c>
      <c r="AC182" s="4" t="s">
        <v>1990</v>
      </c>
      <c r="AD182" s="4"/>
      <c r="AE182" s="4" t="s">
        <v>5690</v>
      </c>
      <c r="AF182" s="4" t="s">
        <v>170</v>
      </c>
      <c r="AG182" s="4" t="inlineStr">
        <is>
          <t>MARN_GTM_BTR1_2024</t>
        </is>
      </c>
      <c r="AH182" s="4" t="inlineStr">
        <is>
          <t>Origen de factores: CO2: MARN_GTM_BTR1_2024 [PRX; BTR1 Guatemala 2024, tabla 3.6, p. 48; fila Gas/Diésel oíl; gas CO2]; CH4: MARN_GTM_BTR1_2024 [PRX; BTR1 Guatemala 2024, tabla 3.17, p. 57; fila Diésel; gas CH4]; N2O: MARN_GTM_BTR1_2024 [PRX; BTR1 Guatemala 2024, tabla 3.17, p. 57; fila Diésel; gas N2O].</t>
        </is>
      </c>
    </row>
    <row r="183" customFormat="false" ht="23.85" hidden="false" customHeight="false" outlineLevel="0" collapsed="false">
      <c r="A183" s="4" t="s">
        <v>5928</v>
      </c>
      <c r="B183" s="12" t="n">
        <v>2021</v>
      </c>
      <c r="C183" s="4" t="s">
        <v>67</v>
      </c>
      <c r="D183" s="4" t="s">
        <v>5685</v>
      </c>
      <c r="E183" s="4" t="s">
        <v>3341</v>
      </c>
      <c r="F183" s="4" t="s">
        <v>3342</v>
      </c>
      <c r="G183" s="4" t="s">
        <v>99</v>
      </c>
      <c r="H183" s="4" t="s">
        <v>2003</v>
      </c>
      <c r="I183" s="4" t="s">
        <v>67</v>
      </c>
      <c r="J183" s="4" t="s">
        <v>1994</v>
      </c>
      <c r="K183" s="4" t="s">
        <v>1995</v>
      </c>
      <c r="L183" s="4" t="s">
        <v>1080</v>
      </c>
      <c r="M183" s="14" t="n">
        <f aca="false">SUMIFS(PSUT_LARGA!$K$2:$K$618,PSUT_LARGA!$B$2:$B$618,$B183,PSUT_LARGA!$H$2:$H$618,$L183,PSUT_LARGA!$E$2:$E$618,$J183,PSUT_LARGA!$F$2:$F$618,$K183,PSUT_LARGA!$G$2:$G$618,$I183,PSUT_LARGA!$I$2:$I$618,$H183)</f>
        <v>47888.344</v>
      </c>
      <c r="N183" s="14" t="n">
        <f aca="false">IF($H183="TRANSFORMACION_REFINERIA",$M183*INDEX(PARAMETROS!$C$27:$C$33,MATCH($B183,PARAMETROS!$A$27:$A$33,0)),$M183)</f>
        <v>47888.344</v>
      </c>
      <c r="O183" s="4" t="s">
        <v>3362</v>
      </c>
      <c r="P183" s="4" t="s">
        <v>3363</v>
      </c>
      <c r="Q183" s="11" t="n">
        <f aca="false">MIN($B183,2022)</f>
        <v>2021</v>
      </c>
      <c r="R183" s="8" t="str">
        <f>IF(COUNT($S183:$U183)=0,"NO",IF($O183="CERO_DIRECTO","CAL",IF(OR($B183&gt;$Q183,COUNTIFS(DATOS_MODELO!$C$2:$C$3672,$Q183&amp;"|"&amp;$E183&amp;"|"&amp;$O183&amp;"|*",DATOS_MODELO!$F$2:$F$3672,"PRX",DATOS_MODELO!$AA$2:$AA$3672,"&lt;&gt;")&gt;0),"PRX",IF(COUNTIFS(DATOS_MODELO!$C$2:$C$3672,$Q183&amp;"|"&amp;$E183&amp;"|"&amp;$O183&amp;"|*",DATOS_MODELO!$F$2:$F$3672,"CAL",DATOS_MODELO!$AA$2:$AA$3672,"&lt;&gt;")&gt;0,"CAL","OBS"))))</f>
        <v>CAL</v>
      </c>
      <c r="S183" s="14">
        <f>IF(COUNTIFS(DATOS_MODELO!$C$2:$C$3672,$Q183&amp;"|"&amp;$E183&amp;"|"&amp;$O183&amp;"|CO2",DATOS_MODELO!$AA$2:$AA$3672,"&lt;&gt;")=0,"",INDEX(DATOS_MODELO!$AA$2:$AA$3672,MATCH($Q183&amp;"|"&amp;$E183&amp;"|"&amp;$O183&amp;"|CO2",DATOS_MODELO!$C$2:$C$3672,0)))</f>
        <v>0.0</v>
      </c>
      <c r="T183" s="14">
        <f>IF(COUNTIFS(DATOS_MODELO!$C$2:$C$3672,$Q183&amp;"|"&amp;$E183&amp;"|"&amp;$O183&amp;"|CH4",DATOS_MODELO!$AA$2:$AA$3672,"&lt;&gt;")=0,"",INDEX(DATOS_MODELO!$AA$2:$AA$3672,MATCH($Q183&amp;"|"&amp;$E183&amp;"|"&amp;$O183&amp;"|CH4",DATOS_MODELO!$C$2:$C$3672,0)))</f>
        <v>0.0</v>
      </c>
      <c r="U183" s="14">
        <f>IF(COUNTIFS(DATOS_MODELO!$C$2:$C$3672,$Q183&amp;"|"&amp;$E183&amp;"|"&amp;$O183&amp;"|N2O",DATOS_MODELO!$AA$2:$AA$3672,"&lt;&gt;")=0,"",INDEX(DATOS_MODELO!$AA$2:$AA$3672,MATCH($Q183&amp;"|"&amp;$E183&amp;"|"&amp;$O183&amp;"|N2O",DATOS_MODELO!$C$2:$C$3672,0)))</f>
        <v>0.0</v>
      </c>
      <c r="V183" s="8"/>
      <c r="W183" s="14"/>
      <c r="X183" s="14">
        <f>IF($P183="BIOGENICO",0,IF(ISNUMBER($S183),$N183*$S183/PARAMETROS!$B$8,""))</f>
        <v>0.0</v>
      </c>
      <c r="Y183" s="14">
        <f>IF($P183="BIOGENICO",IF(ISNUMBER($S183),$N183*$S183/PARAMETROS!$B$8,""),0)</f>
        <v>0.0</v>
      </c>
      <c r="Z183" s="14">
        <f>IF(ISNUMBER($T183),$N183*$T183/PARAMETROS!$B$8,"")</f>
        <v>0.0</v>
      </c>
      <c r="AA183" s="14">
        <f>IF(ISNUMBER($U183),$N183*$U183/PARAMETROS!$B$8,"")</f>
        <v>0.0</v>
      </c>
      <c r="AB183" s="14">
        <f>IF(COUNT($X183,$Z183,$AA183)=0,"",SUM($X183,IF(ISNUMBER($Z183),$Z183*PARAMETROS!$B$9,0),IF(ISNUMBER($AA183),$AA183*PARAMETROS!$B$10,0)))</f>
        <v>0.0</v>
      </c>
      <c r="AC183" s="4" t="s">
        <v>1990</v>
      </c>
      <c r="AD183" s="4"/>
      <c r="AE183" s="4" t="s">
        <v>3362</v>
      </c>
      <c r="AF183" s="4" t="s">
        <v>170</v>
      </c>
      <c r="AG183" s="4" t="inlineStr">
        <is>
          <t>METODO_EMISIONES</t>
        </is>
      </c>
      <c r="AH183" s="4"/>
    </row>
    <row r="184" customFormat="false" ht="23.85" hidden="false" customHeight="false" outlineLevel="0" collapsed="false">
      <c r="A184" s="4" t="s">
        <v>5929</v>
      </c>
      <c r="B184" s="12" t="n">
        <v>2021</v>
      </c>
      <c r="C184" s="4" t="s">
        <v>67</v>
      </c>
      <c r="D184" s="4" t="s">
        <v>5685</v>
      </c>
      <c r="E184" s="4" t="s">
        <v>3341</v>
      </c>
      <c r="F184" s="4" t="s">
        <v>3342</v>
      </c>
      <c r="G184" s="4" t="s">
        <v>99</v>
      </c>
      <c r="H184" s="4" t="s">
        <v>2008</v>
      </c>
      <c r="I184" s="4" t="s">
        <v>67</v>
      </c>
      <c r="J184" s="4" t="s">
        <v>1994</v>
      </c>
      <c r="K184" s="4" t="s">
        <v>1995</v>
      </c>
      <c r="L184" s="4" t="s">
        <v>1081</v>
      </c>
      <c r="M184" s="14" t="n">
        <f aca="false">SUMIFS(PSUT_LARGA!$K$2:$K$618,PSUT_LARGA!$B$2:$B$618,$B184,PSUT_LARGA!$H$2:$H$618,$L184,PSUT_LARGA!$E$2:$E$618,$J184,PSUT_LARGA!$F$2:$F$618,$K184,PSUT_LARGA!$G$2:$G$618,$I184,PSUT_LARGA!$I$2:$I$618,$H184)</f>
        <v>3906.4697</v>
      </c>
      <c r="N184" s="14" t="n">
        <f aca="false">IF($H184="TRANSFORMACION_REFINERIA",$M184*INDEX(PARAMETROS!$C$27:$C$33,MATCH($B184,PARAMETROS!$A$27:$A$33,0)),$M184)</f>
        <v>3906.4697</v>
      </c>
      <c r="O184" s="4" t="s">
        <v>3362</v>
      </c>
      <c r="P184" s="4" t="s">
        <v>3363</v>
      </c>
      <c r="Q184" s="11" t="n">
        <f aca="false">MIN($B184,2022)</f>
        <v>2021</v>
      </c>
      <c r="R184" s="8" t="str">
        <f>IF(COUNT($S184:$U184)=0,"NO",IF($O184="CERO_DIRECTO","CAL",IF(OR($B184&gt;$Q184,COUNTIFS(DATOS_MODELO!$C$2:$C$3672,$Q184&amp;"|"&amp;$E184&amp;"|"&amp;$O184&amp;"|*",DATOS_MODELO!$F$2:$F$3672,"PRX",DATOS_MODELO!$AA$2:$AA$3672,"&lt;&gt;")&gt;0),"PRX",IF(COUNTIFS(DATOS_MODELO!$C$2:$C$3672,$Q184&amp;"|"&amp;$E184&amp;"|"&amp;$O184&amp;"|*",DATOS_MODELO!$F$2:$F$3672,"CAL",DATOS_MODELO!$AA$2:$AA$3672,"&lt;&gt;")&gt;0,"CAL","OBS"))))</f>
        <v>CAL</v>
      </c>
      <c r="S184" s="14">
        <f>IF(COUNTIFS(DATOS_MODELO!$C$2:$C$3672,$Q184&amp;"|"&amp;$E184&amp;"|"&amp;$O184&amp;"|CO2",DATOS_MODELO!$AA$2:$AA$3672,"&lt;&gt;")=0,"",INDEX(DATOS_MODELO!$AA$2:$AA$3672,MATCH($Q184&amp;"|"&amp;$E184&amp;"|"&amp;$O184&amp;"|CO2",DATOS_MODELO!$C$2:$C$3672,0)))</f>
        <v>0.0</v>
      </c>
      <c r="T184" s="14">
        <f>IF(COUNTIFS(DATOS_MODELO!$C$2:$C$3672,$Q184&amp;"|"&amp;$E184&amp;"|"&amp;$O184&amp;"|CH4",DATOS_MODELO!$AA$2:$AA$3672,"&lt;&gt;")=0,"",INDEX(DATOS_MODELO!$AA$2:$AA$3672,MATCH($Q184&amp;"|"&amp;$E184&amp;"|"&amp;$O184&amp;"|CH4",DATOS_MODELO!$C$2:$C$3672,0)))</f>
        <v>0.0</v>
      </c>
      <c r="U184" s="14">
        <f>IF(COUNTIFS(DATOS_MODELO!$C$2:$C$3672,$Q184&amp;"|"&amp;$E184&amp;"|"&amp;$O184&amp;"|N2O",DATOS_MODELO!$AA$2:$AA$3672,"&lt;&gt;")=0,"",INDEX(DATOS_MODELO!$AA$2:$AA$3672,MATCH($Q184&amp;"|"&amp;$E184&amp;"|"&amp;$O184&amp;"|N2O",DATOS_MODELO!$C$2:$C$3672,0)))</f>
        <v>0.0</v>
      </c>
      <c r="V184" s="8"/>
      <c r="W184" s="14"/>
      <c r="X184" s="14">
        <f>IF($P184="BIOGENICO",0,IF(ISNUMBER($S184),$N184*$S184/PARAMETROS!$B$8,""))</f>
        <v>0.0</v>
      </c>
      <c r="Y184" s="14">
        <f>IF($P184="BIOGENICO",IF(ISNUMBER($S184),$N184*$S184/PARAMETROS!$B$8,""),0)</f>
        <v>0.0</v>
      </c>
      <c r="Z184" s="14">
        <f>IF(ISNUMBER($T184),$N184*$T184/PARAMETROS!$B$8,"")</f>
        <v>0.0</v>
      </c>
      <c r="AA184" s="14">
        <f>IF(ISNUMBER($U184),$N184*$U184/PARAMETROS!$B$8,"")</f>
        <v>0.0</v>
      </c>
      <c r="AB184" s="14">
        <f>IF(COUNT($X184,$Z184,$AA184)=0,"",SUM($X184,IF(ISNUMBER($Z184),$Z184*PARAMETROS!$B$9,0),IF(ISNUMBER($AA184),$AA184*PARAMETROS!$B$10,0)))</f>
        <v>0.0</v>
      </c>
      <c r="AC184" s="4" t="s">
        <v>1990</v>
      </c>
      <c r="AD184" s="4"/>
      <c r="AE184" s="4" t="s">
        <v>3362</v>
      </c>
      <c r="AF184" s="4" t="s">
        <v>170</v>
      </c>
      <c r="AG184" s="4" t="inlineStr">
        <is>
          <t>METODO_EMISIONES</t>
        </is>
      </c>
      <c r="AH184" s="4"/>
    </row>
    <row r="185" customFormat="false" ht="23.85" hidden="false" customHeight="false" outlineLevel="0" collapsed="false">
      <c r="A185" s="4" t="s">
        <v>5930</v>
      </c>
      <c r="B185" s="12" t="n">
        <v>2021</v>
      </c>
      <c r="C185" s="4" t="s">
        <v>67</v>
      </c>
      <c r="D185" s="4" t="s">
        <v>5685</v>
      </c>
      <c r="E185" s="4" t="s">
        <v>3420</v>
      </c>
      <c r="F185" s="4" t="s">
        <v>3421</v>
      </c>
      <c r="G185" s="4" t="s">
        <v>99</v>
      </c>
      <c r="H185" s="4" t="s">
        <v>2139</v>
      </c>
      <c r="I185" s="4" t="s">
        <v>67</v>
      </c>
      <c r="J185" s="4" t="s">
        <v>2001</v>
      </c>
      <c r="K185" s="4" t="s">
        <v>2002</v>
      </c>
      <c r="L185" s="4" t="s">
        <v>1082</v>
      </c>
      <c r="M185" s="14" t="n">
        <f aca="false">SUMIFS(PSUT_LARGA!$K$2:$K$618,PSUT_LARGA!$B$2:$B$618,$B185,PSUT_LARGA!$H$2:$H$618,$L185,PSUT_LARGA!$E$2:$E$618,$J185,PSUT_LARGA!$F$2:$F$618,$K185,PSUT_LARGA!$G$2:$G$618,$I185,PSUT_LARGA!$I$2:$I$618,$H185)</f>
        <v>3389.554</v>
      </c>
      <c r="N185" s="14" t="n">
        <f aca="false">IF($H185="TRANSFORMACION_REFINERIA",$M185*INDEX(PARAMETROS!$C$27:$C$33,MATCH($B185,PARAMETROS!$A$27:$A$33,0)),$M185)</f>
        <v>3389.554</v>
      </c>
      <c r="O185" s="4" t="s">
        <v>3362</v>
      </c>
      <c r="P185" s="4" t="s">
        <v>3363</v>
      </c>
      <c r="Q185" s="11" t="n">
        <f aca="false">MIN($B185,2022)</f>
        <v>2021</v>
      </c>
      <c r="R185" s="8" t="str">
        <f>IF(COUNT($S185:$U185)=0,"NO",IF($O185="CERO_DIRECTO","CAL",IF(OR($B185&gt;$Q185,COUNTIFS(DATOS_MODELO!$C$2:$C$3672,$Q185&amp;"|"&amp;$E185&amp;"|"&amp;$O185&amp;"|*",DATOS_MODELO!$F$2:$F$3672,"PRX",DATOS_MODELO!$AA$2:$AA$3672,"&lt;&gt;")&gt;0),"PRX",IF(COUNTIFS(DATOS_MODELO!$C$2:$C$3672,$Q185&amp;"|"&amp;$E185&amp;"|"&amp;$O185&amp;"|*",DATOS_MODELO!$F$2:$F$3672,"CAL",DATOS_MODELO!$AA$2:$AA$3672,"&lt;&gt;")&gt;0,"CAL","OBS"))))</f>
        <v>CAL</v>
      </c>
      <c r="S185" s="14">
        <f>IF(COUNTIFS(DATOS_MODELO!$C$2:$C$3672,$Q185&amp;"|"&amp;$E185&amp;"|"&amp;$O185&amp;"|CO2",DATOS_MODELO!$AA$2:$AA$3672,"&lt;&gt;")=0,"",INDEX(DATOS_MODELO!$AA$2:$AA$3672,MATCH($Q185&amp;"|"&amp;$E185&amp;"|"&amp;$O185&amp;"|CO2",DATOS_MODELO!$C$2:$C$3672,0)))</f>
        <v>0.0</v>
      </c>
      <c r="T185" s="14">
        <f>IF(COUNTIFS(DATOS_MODELO!$C$2:$C$3672,$Q185&amp;"|"&amp;$E185&amp;"|"&amp;$O185&amp;"|CH4",DATOS_MODELO!$AA$2:$AA$3672,"&lt;&gt;")=0,"",INDEX(DATOS_MODELO!$AA$2:$AA$3672,MATCH($Q185&amp;"|"&amp;$E185&amp;"|"&amp;$O185&amp;"|CH4",DATOS_MODELO!$C$2:$C$3672,0)))</f>
        <v>0.0</v>
      </c>
      <c r="U185" s="14">
        <f>IF(COUNTIFS(DATOS_MODELO!$C$2:$C$3672,$Q185&amp;"|"&amp;$E185&amp;"|"&amp;$O185&amp;"|N2O",DATOS_MODELO!$AA$2:$AA$3672,"&lt;&gt;")=0,"",INDEX(DATOS_MODELO!$AA$2:$AA$3672,MATCH($Q185&amp;"|"&amp;$E185&amp;"|"&amp;$O185&amp;"|N2O",DATOS_MODELO!$C$2:$C$3672,0)))</f>
        <v>0.0</v>
      </c>
      <c r="V185" s="8"/>
      <c r="W185" s="14"/>
      <c r="X185" s="14">
        <f>IF($P185="BIOGENICO",0,IF(ISNUMBER($S185),$N185*$S185/PARAMETROS!$B$8,""))</f>
        <v>0.0</v>
      </c>
      <c r="Y185" s="14">
        <f>IF($P185="BIOGENICO",IF(ISNUMBER($S185),$N185*$S185/PARAMETROS!$B$8,""),0)</f>
        <v>0.0</v>
      </c>
      <c r="Z185" s="14">
        <f>IF(ISNUMBER($T185),$N185*$T185/PARAMETROS!$B$8,"")</f>
        <v>0.0</v>
      </c>
      <c r="AA185" s="14">
        <f>IF(ISNUMBER($U185),$N185*$U185/PARAMETROS!$B$8,"")</f>
        <v>0.0</v>
      </c>
      <c r="AB185" s="14">
        <f>IF(COUNT($X185,$Z185,$AA185)=0,"",SUM($X185,IF(ISNUMBER($Z185),$Z185*PARAMETROS!$B$9,0),IF(ISNUMBER($AA185),$AA185*PARAMETROS!$B$10,0)))</f>
        <v>0.0</v>
      </c>
      <c r="AC185" s="4" t="s">
        <v>1990</v>
      </c>
      <c r="AD185" s="4"/>
      <c r="AE185" s="4" t="s">
        <v>3362</v>
      </c>
      <c r="AF185" s="4" t="s">
        <v>170</v>
      </c>
      <c r="AG185" s="4" t="inlineStr">
        <is>
          <t>METODO_EMISIONES</t>
        </is>
      </c>
      <c r="AH185" s="4"/>
    </row>
    <row r="186" customFormat="false" ht="15" hidden="false" customHeight="false" outlineLevel="0" collapsed="false">
      <c r="A186" s="4" t="s">
        <v>5931</v>
      </c>
      <c r="B186" s="12" t="n">
        <v>2021</v>
      </c>
      <c r="C186" s="4" t="s">
        <v>67</v>
      </c>
      <c r="D186" s="4" t="s">
        <v>5685</v>
      </c>
      <c r="E186" s="4" t="s">
        <v>3341</v>
      </c>
      <c r="F186" s="4" t="s">
        <v>3342</v>
      </c>
      <c r="G186" s="4" t="s">
        <v>101</v>
      </c>
      <c r="H186" s="4" t="s">
        <v>2003</v>
      </c>
      <c r="I186" s="4" t="s">
        <v>67</v>
      </c>
      <c r="J186" s="4" t="s">
        <v>2001</v>
      </c>
      <c r="K186" s="4" t="s">
        <v>2002</v>
      </c>
      <c r="L186" s="4" t="s">
        <v>1094</v>
      </c>
      <c r="M186" s="14" t="n">
        <f aca="false">SUMIFS(PSUT_LARGA!$K$2:$K$618,PSUT_LARGA!$B$2:$B$618,$B186,PSUT_LARGA!$H$2:$H$618,$L186,PSUT_LARGA!$E$2:$E$618,$J186,PSUT_LARGA!$F$2:$F$618,$K186,PSUT_LARGA!$G$2:$G$618,$I186,PSUT_LARGA!$I$2:$I$618,$H186)</f>
        <v>2344.4512</v>
      </c>
      <c r="N186" s="14" t="n">
        <f aca="false">IF($H186="TRANSFORMACION_REFINERIA",$M186*INDEX(PARAMETROS!$C$27:$C$33,MATCH($B186,PARAMETROS!$A$27:$A$33,0)),$M186)</f>
        <v>2344.4512</v>
      </c>
      <c r="O186" s="4" t="inlineStr">
        <is>
          <t>COMB_FOIL</t>
        </is>
      </c>
      <c r="P186" s="4" t="s">
        <v>3352</v>
      </c>
      <c r="Q186" s="11" t="n">
        <f aca="false">MIN($B186,2022)</f>
        <v>2021</v>
      </c>
      <c r="R186" s="8" t="str">
        <f>IF(COUNT($S186:$U186)=0,"NO",IF($O186="CERO_DIRECTO","CAL",IF(OR($B186&gt;$Q186,COUNTIFS(DATOS_MODELO!$C$2:$C$3672,$Q186&amp;"|"&amp;$E186&amp;"|"&amp;$O186&amp;"|*",DATOS_MODELO!$F$2:$F$3672,"PRX",DATOS_MODELO!$AA$2:$AA$3672,"&lt;&gt;")&gt;0),"PRX",IF(COUNTIFS(DATOS_MODELO!$C$2:$C$3672,$Q186&amp;"|"&amp;$E186&amp;"|"&amp;$O186&amp;"|*",DATOS_MODELO!$F$2:$F$3672,"CAL",DATOS_MODELO!$AA$2:$AA$3672,"&lt;&gt;")&gt;0,"CAL","OBS"))))</f>
        <v>PRX</v>
      </c>
      <c r="S186" s="14">
        <f>IF(COUNTIFS(DATOS_MODELO!$C$2:$C$3672,$Q186&amp;"|"&amp;$E186&amp;"|"&amp;$O186&amp;"|CO2",DATOS_MODELO!$AA$2:$AA$3672,"&lt;&gt;")=0,"",INDEX(DATOS_MODELO!$AA$2:$AA$3672,MATCH($Q186&amp;"|"&amp;$E186&amp;"|"&amp;$O186&amp;"|CO2",DATOS_MODELO!$C$2:$C$3672,0)))</f>
        <v>77400.0</v>
      </c>
      <c r="T186" s="14">
        <f>IF(COUNTIFS(DATOS_MODELO!$C$2:$C$3672,$Q186&amp;"|"&amp;$E186&amp;"|"&amp;$O186&amp;"|CH4",DATOS_MODELO!$AA$2:$AA$3672,"&lt;&gt;")=0,"",INDEX(DATOS_MODELO!$AA$2:$AA$3672,MATCH($Q186&amp;"|"&amp;$E186&amp;"|"&amp;$O186&amp;"|CH4",DATOS_MODELO!$C$2:$C$3672,0)))</f>
        <v>3.0</v>
      </c>
      <c r="U186" s="14">
        <f>IF(COUNTIFS(DATOS_MODELO!$C$2:$C$3672,$Q186&amp;"|"&amp;$E186&amp;"|"&amp;$O186&amp;"|N2O",DATOS_MODELO!$AA$2:$AA$3672,"&lt;&gt;")=0,"",INDEX(DATOS_MODELO!$AA$2:$AA$3672,MATCH($Q186&amp;"|"&amp;$E186&amp;"|"&amp;$O186&amp;"|N2O",DATOS_MODELO!$C$2:$C$3672,0)))</f>
        <v>0.6</v>
      </c>
      <c r="V186" s="8"/>
      <c r="W186" s="14"/>
      <c r="X186" s="14">
        <f>IF($P186="BIOGENICO",0,IF(ISNUMBER($S186),$N186*$S186/PARAMETROS!$B$8,""))</f>
        <v>181.46052288</v>
      </c>
      <c r="Y186" s="14">
        <f>IF($P186="BIOGENICO",IF(ISNUMBER($S186),$N186*$S186/PARAMETROS!$B$8,""),0)</f>
        <v>0.0</v>
      </c>
      <c r="Z186" s="14">
        <f>IF(ISNUMBER($T186),$N186*$T186/PARAMETROS!$B$8,"")</f>
        <v>0.0070333536</v>
      </c>
      <c r="AA186" s="14">
        <f>IF(ISNUMBER($U186),$N186*$U186/PARAMETROS!$B$8,"")</f>
        <v>0.00140667072</v>
      </c>
      <c r="AB186" s="14">
        <f>IF(COUNT($X186,$Z186,$AA186)=0,"",SUM($X186,IF(ISNUMBER($Z186),$Z186*PARAMETROS!$B$9,0),IF(ISNUMBER($AA186),$AA186*PARAMETROS!$B$10,0)))</f>
        <v>182.0302245216</v>
      </c>
      <c r="AC186" s="4" t="s">
        <v>1990</v>
      </c>
      <c r="AD186" s="4"/>
      <c r="AE186" s="4" t="s">
        <v>5690</v>
      </c>
      <c r="AF186" s="4" t="s">
        <v>170</v>
      </c>
      <c r="AG186" s="4" t="inlineStr">
        <is>
          <t>MARN_GTM_BTR1_2024</t>
        </is>
      </c>
      <c r="AH186" s="4" t="inlineStr">
        <is>
          <t>Origen de factores: CO2: MARN_GTM_BTR1_2024 [PRX; BTR1 Guatemala 2024, tabla 3.6, p. 48; fila Fuelóleo residual; gas CO2]; CH4: MARN_GTM_BTR1_2024 [PRX; BTR1 Guatemala 2024, tabla 3.17, p. 57; fila Fuelóleo residual; gas CH4]; N2O: MARN_GTM_BTR1_2024 [PRX; BTR1 Guatemala 2024, tabla 3.17, p. 57; fila Fuelóleo residual; gas N2O].</t>
        </is>
      </c>
    </row>
    <row r="187" customFormat="false" ht="15" hidden="false" customHeight="false" outlineLevel="0" collapsed="false">
      <c r="A187" s="4" t="s">
        <v>5932</v>
      </c>
      <c r="B187" s="12" t="n">
        <v>2021</v>
      </c>
      <c r="C187" s="4" t="s">
        <v>67</v>
      </c>
      <c r="D187" s="4" t="s">
        <v>5685</v>
      </c>
      <c r="E187" s="4" t="s">
        <v>3341</v>
      </c>
      <c r="F187" s="4" t="s">
        <v>3342</v>
      </c>
      <c r="G187" s="4" t="s">
        <v>101</v>
      </c>
      <c r="H187" s="4" t="s">
        <v>2008</v>
      </c>
      <c r="I187" s="4" t="s">
        <v>67</v>
      </c>
      <c r="J187" s="4" t="s">
        <v>2001</v>
      </c>
      <c r="K187" s="4" t="s">
        <v>2002</v>
      </c>
      <c r="L187" s="4" t="s">
        <v>1095</v>
      </c>
      <c r="M187" s="14" t="n">
        <f aca="false">SUMIFS(PSUT_LARGA!$K$2:$K$618,PSUT_LARGA!$B$2:$B$618,$B187,PSUT_LARGA!$H$2:$H$618,$L187,PSUT_LARGA!$E$2:$E$618,$J187,PSUT_LARGA!$F$2:$F$618,$K187,PSUT_LARGA!$G$2:$G$618,$I187,PSUT_LARGA!$I$2:$I$618,$H187)</f>
        <v>67.0474</v>
      </c>
      <c r="N187" s="14" t="n">
        <f aca="false">IF($H187="TRANSFORMACION_REFINERIA",$M187*INDEX(PARAMETROS!$C$27:$C$33,MATCH($B187,PARAMETROS!$A$27:$A$33,0)),$M187)</f>
        <v>67.0474</v>
      </c>
      <c r="O187" s="4" t="inlineStr">
        <is>
          <t>COMB_FOIL</t>
        </is>
      </c>
      <c r="P187" s="4" t="s">
        <v>3352</v>
      </c>
      <c r="Q187" s="11" t="n">
        <f aca="false">MIN($B187,2022)</f>
        <v>2021</v>
      </c>
      <c r="R187" s="8" t="str">
        <f>IF(COUNT($S187:$U187)=0,"NO",IF($O187="CERO_DIRECTO","CAL",IF(OR($B187&gt;$Q187,COUNTIFS(DATOS_MODELO!$C$2:$C$3672,$Q187&amp;"|"&amp;$E187&amp;"|"&amp;$O187&amp;"|*",DATOS_MODELO!$F$2:$F$3672,"PRX",DATOS_MODELO!$AA$2:$AA$3672,"&lt;&gt;")&gt;0),"PRX",IF(COUNTIFS(DATOS_MODELO!$C$2:$C$3672,$Q187&amp;"|"&amp;$E187&amp;"|"&amp;$O187&amp;"|*",DATOS_MODELO!$F$2:$F$3672,"CAL",DATOS_MODELO!$AA$2:$AA$3672,"&lt;&gt;")&gt;0,"CAL","OBS"))))</f>
        <v>PRX</v>
      </c>
      <c r="S187" s="14">
        <f>IF(COUNTIFS(DATOS_MODELO!$C$2:$C$3672,$Q187&amp;"|"&amp;$E187&amp;"|"&amp;$O187&amp;"|CO2",DATOS_MODELO!$AA$2:$AA$3672,"&lt;&gt;")=0,"",INDEX(DATOS_MODELO!$AA$2:$AA$3672,MATCH($Q187&amp;"|"&amp;$E187&amp;"|"&amp;$O187&amp;"|CO2",DATOS_MODELO!$C$2:$C$3672,0)))</f>
        <v>77400.0</v>
      </c>
      <c r="T187" s="14">
        <f>IF(COUNTIFS(DATOS_MODELO!$C$2:$C$3672,$Q187&amp;"|"&amp;$E187&amp;"|"&amp;$O187&amp;"|CH4",DATOS_MODELO!$AA$2:$AA$3672,"&lt;&gt;")=0,"",INDEX(DATOS_MODELO!$AA$2:$AA$3672,MATCH($Q187&amp;"|"&amp;$E187&amp;"|"&amp;$O187&amp;"|CH4",DATOS_MODELO!$C$2:$C$3672,0)))</f>
        <v>3.0</v>
      </c>
      <c r="U187" s="14">
        <f>IF(COUNTIFS(DATOS_MODELO!$C$2:$C$3672,$Q187&amp;"|"&amp;$E187&amp;"|"&amp;$O187&amp;"|N2O",DATOS_MODELO!$AA$2:$AA$3672,"&lt;&gt;")=0,"",INDEX(DATOS_MODELO!$AA$2:$AA$3672,MATCH($Q187&amp;"|"&amp;$E187&amp;"|"&amp;$O187&amp;"|N2O",DATOS_MODELO!$C$2:$C$3672,0)))</f>
        <v>0.6</v>
      </c>
      <c r="V187" s="8"/>
      <c r="W187" s="14"/>
      <c r="X187" s="14">
        <f>IF($P187="BIOGENICO",0,IF(ISNUMBER($S187),$N187*$S187/PARAMETROS!$B$8,""))</f>
        <v>5.18946876</v>
      </c>
      <c r="Y187" s="14">
        <f>IF($P187="BIOGENICO",IF(ISNUMBER($S187),$N187*$S187/PARAMETROS!$B$8,""),0)</f>
        <v>0.0</v>
      </c>
      <c r="Z187" s="14">
        <f>IF(ISNUMBER($T187),$N187*$T187/PARAMETROS!$B$8,"")</f>
        <v>0.000201142192706679</v>
      </c>
      <c r="AA187" s="14">
        <f>IF(ISNUMBER($U187),$N187*$U187/PARAMETROS!$B$8,"")</f>
        <v>4.02284329950842e-05</v>
      </c>
      <c r="AB187" s="14">
        <f>IF(COUNT($X187,$Z187,$AA187)=0,"",SUM($X187,IF(ISNUMBER($Z187),$Z187*PARAMETROS!$B$9,0),IF(ISNUMBER($AA187),$AA187*PARAMETROS!$B$10,0)))</f>
        <v>5.2057612782</v>
      </c>
      <c r="AC187" s="4" t="s">
        <v>1990</v>
      </c>
      <c r="AD187" s="4"/>
      <c r="AE187" s="4" t="s">
        <v>5690</v>
      </c>
      <c r="AF187" s="4" t="s">
        <v>170</v>
      </c>
      <c r="AG187" s="4" t="inlineStr">
        <is>
          <t>MARN_GTM_BTR1_2024</t>
        </is>
      </c>
      <c r="AH187" s="4" t="inlineStr">
        <is>
          <t>Origen de factores: CO2: MARN_GTM_BTR1_2024 [PRX; BTR1 Guatemala 2024, tabla 3.6, p. 48; fila Fuelóleo residual; gas CO2]; CH4: MARN_GTM_BTR1_2024 [PRX; BTR1 Guatemala 2024, tabla 3.17, p. 57; fila Fuelóleo residual; gas CH4]; N2O: MARN_GTM_BTR1_2024 [PRX; BTR1 Guatemala 2024, tabla 3.17, p. 57; fila Fuelóleo residual; gas N2O].</t>
        </is>
      </c>
    </row>
    <row r="188" customFormat="false" ht="15" hidden="false" customHeight="false" outlineLevel="0" collapsed="false">
      <c r="A188" s="4" t="s">
        <v>5933</v>
      </c>
      <c r="B188" s="12" t="n">
        <v>2021</v>
      </c>
      <c r="C188" s="4" t="s">
        <v>73</v>
      </c>
      <c r="D188" s="4" t="s">
        <v>5685</v>
      </c>
      <c r="E188" s="4" t="s">
        <v>3380</v>
      </c>
      <c r="F188" s="4" t="s">
        <v>3381</v>
      </c>
      <c r="G188" s="4" t="s">
        <v>109</v>
      </c>
      <c r="H188" s="4" t="s">
        <v>2075</v>
      </c>
      <c r="I188" s="4" t="s">
        <v>73</v>
      </c>
      <c r="J188" s="4" t="s">
        <v>2001</v>
      </c>
      <c r="K188" s="4" t="s">
        <v>2074</v>
      </c>
      <c r="L188" s="4" t="s">
        <v>1014</v>
      </c>
      <c r="M188" s="14" t="n">
        <f aca="false">SUMIFS(PSUT_LARGA!$K$2:$K$618,PSUT_LARGA!$B$2:$B$618,$B188,PSUT_LARGA!$H$2:$H$618,$L188,PSUT_LARGA!$E$2:$E$618,$J188,PSUT_LARGA!$F$2:$F$618,$K188,PSUT_LARGA!$G$2:$G$618,$I188,PSUT_LARGA!$I$2:$I$618,$H188)</f>
        <v>303996.3976</v>
      </c>
      <c r="N188" s="14" t="n">
        <f aca="false">IF($H188="TRANSFORMACION_REFINERIA",$M188*INDEX(PARAMETROS!$C$27:$C$33,MATCH($B188,PARAMETROS!$A$27:$A$33,0)),$M188)</f>
        <v>303996.3976</v>
      </c>
      <c r="O188" s="4" t="s">
        <v>3343</v>
      </c>
      <c r="P188" s="4" t="s">
        <v>3344</v>
      </c>
      <c r="Q188" s="11" t="n">
        <f aca="false">MIN($B188,2022)</f>
        <v>2021</v>
      </c>
      <c r="R188" s="8" t="str">
        <f>IF(COUNT($S188:$U188)=0,"NO",IF($O188="CERO_DIRECTO","CAL",IF(OR($B188&gt;$Q188,COUNTIFS(DATOS_MODELO!$C$2:$C$3672,$Q188&amp;"|"&amp;$E188&amp;"|"&amp;$O188&amp;"|*",DATOS_MODELO!$F$2:$F$3672,"PRX",DATOS_MODELO!$AA$2:$AA$3672,"&lt;&gt;")&gt;0),"PRX",IF(COUNTIFS(DATOS_MODELO!$C$2:$C$3672,$Q188&amp;"|"&amp;$E188&amp;"|"&amp;$O188&amp;"|*",DATOS_MODELO!$F$2:$F$3672,"CAL",DATOS_MODELO!$AA$2:$AA$3672,"&lt;&gt;")&gt;0,"CAL","OBS"))))</f>
        <v>OBS</v>
      </c>
      <c r="S188" s="14">
        <f>IF(COUNTIFS(DATOS_MODELO!$C$2:$C$3672,$Q188&amp;"|"&amp;$E188&amp;"|"&amp;$O188&amp;"|CO2",DATOS_MODELO!$AA$2:$AA$3672,"&lt;&gt;")=0,"",INDEX(DATOS_MODELO!$AA$2:$AA$3672,MATCH($Q188&amp;"|"&amp;$E188&amp;"|"&amp;$O188&amp;"|CO2",DATOS_MODELO!$C$2:$C$3672,0)))</f>
        <v>111999.999745702</v>
      </c>
      <c r="T188" s="14">
        <f>IF(COUNTIFS(DATOS_MODELO!$C$2:$C$3672,$Q188&amp;"|"&amp;$E188&amp;"|"&amp;$O188&amp;"|CH4",DATOS_MODELO!$AA$2:$AA$3672,"&lt;&gt;")=0,"",INDEX(DATOS_MODELO!$AA$2:$AA$3672,MATCH($Q188&amp;"|"&amp;$E188&amp;"|"&amp;$O188&amp;"|CH4",DATOS_MODELO!$C$2:$C$3672,0)))</f>
        <v>299.999999665397</v>
      </c>
      <c r="U188" s="14">
        <f>IF(COUNTIFS(DATOS_MODELO!$C$2:$C$3672,$Q188&amp;"|"&amp;$E188&amp;"|"&amp;$O188&amp;"|N2O",DATOS_MODELO!$AA$2:$AA$3672,"&lt;&gt;")=0,"",INDEX(DATOS_MODELO!$AA$2:$AA$3672,MATCH($Q188&amp;"|"&amp;$E188&amp;"|"&amp;$O188&amp;"|N2O",DATOS_MODELO!$C$2:$C$3672,0)))</f>
        <v>3.99999999330795</v>
      </c>
      <c r="V188" s="8"/>
      <c r="W188" s="14"/>
      <c r="X188" s="14">
        <f>IF($P188="BIOGENICO",0,IF(ISNUMBER($S188),$N188*$S188/PARAMETROS!$B$8,""))</f>
        <v>0.0</v>
      </c>
      <c r="Y188" s="14">
        <f>IF($P188="BIOGENICO",IF(ISNUMBER($S188),$N188*$S188/PARAMETROS!$B$8,""),0)</f>
        <v>34047.5964538943</v>
      </c>
      <c r="Z188" s="14">
        <f>IF(ISNUMBER($T188),$N188*$T188/PARAMETROS!$B$8,"")</f>
        <v>91.198919178282</v>
      </c>
      <c r="AA188" s="14">
        <f>IF(ISNUMBER($U188),$N188*$U188/PARAMETROS!$B$8,"")</f>
        <v>1.21598558836564</v>
      </c>
      <c r="AB188" s="14">
        <f>IF(COUNT($X188,$Z188,$AA188)=0,"",SUM($X188,IF(ISNUMBER($Z188),$Z188*PARAMETROS!$B$9,0),IF(ISNUMBER($AA188),$AA188*PARAMETROS!$B$10,0)))</f>
        <v>2875.80591790879</v>
      </c>
      <c r="AC188" s="4" t="s">
        <v>1990</v>
      </c>
      <c r="AD188" s="4"/>
      <c r="AE188" s="4" t="s">
        <v>5690</v>
      </c>
      <c r="AF188" s="4" t="s">
        <v>170</v>
      </c>
      <c r="AG188" s="4" t="s">
        <v>3999</v>
      </c>
      <c r="AH188" s="4"/>
    </row>
    <row r="189" customFormat="false" ht="23.85" hidden="false" customHeight="false" outlineLevel="0" collapsed="false">
      <c r="A189" s="4" t="s">
        <v>5934</v>
      </c>
      <c r="B189" s="12" t="n">
        <v>2021</v>
      </c>
      <c r="C189" s="4" t="s">
        <v>73</v>
      </c>
      <c r="D189" s="4" t="s">
        <v>5685</v>
      </c>
      <c r="E189" s="4" t="s">
        <v>3380</v>
      </c>
      <c r="F189" s="4" t="s">
        <v>3381</v>
      </c>
      <c r="G189" s="4" t="s">
        <v>99</v>
      </c>
      <c r="H189" s="4" t="s">
        <v>2075</v>
      </c>
      <c r="I189" s="4" t="s">
        <v>73</v>
      </c>
      <c r="J189" s="4" t="s">
        <v>2001</v>
      </c>
      <c r="K189" s="4" t="s">
        <v>2074</v>
      </c>
      <c r="L189" s="4" t="s">
        <v>1084</v>
      </c>
      <c r="M189" s="14" t="n">
        <f aca="false">SUMIFS(PSUT_LARGA!$K$2:$K$618,PSUT_LARGA!$B$2:$B$618,$B189,PSUT_LARGA!$H$2:$H$618,$L189,PSUT_LARGA!$E$2:$E$618,$J189,PSUT_LARGA!$F$2:$F$618,$K189,PSUT_LARGA!$G$2:$G$618,$I189,PSUT_LARGA!$I$2:$I$618,$H189)</f>
        <v>15336.7732</v>
      </c>
      <c r="N189" s="14" t="n">
        <f aca="false">IF($H189="TRANSFORMACION_REFINERIA",$M189*INDEX(PARAMETROS!$C$27:$C$33,MATCH($B189,PARAMETROS!$A$27:$A$33,0)),$M189)</f>
        <v>15336.7732</v>
      </c>
      <c r="O189" s="4" t="s">
        <v>3362</v>
      </c>
      <c r="P189" s="4" t="s">
        <v>3363</v>
      </c>
      <c r="Q189" s="11" t="n">
        <f aca="false">MIN($B189,2022)</f>
        <v>2021</v>
      </c>
      <c r="R189" s="8" t="str">
        <f>IF(COUNT($S189:$U189)=0,"NO",IF($O189="CERO_DIRECTO","CAL",IF(OR($B189&gt;$Q189,COUNTIFS(DATOS_MODELO!$C$2:$C$3672,$Q189&amp;"|"&amp;$E189&amp;"|"&amp;$O189&amp;"|*",DATOS_MODELO!$F$2:$F$3672,"PRX",DATOS_MODELO!$AA$2:$AA$3672,"&lt;&gt;")&gt;0),"PRX",IF(COUNTIFS(DATOS_MODELO!$C$2:$C$3672,$Q189&amp;"|"&amp;$E189&amp;"|"&amp;$O189&amp;"|*",DATOS_MODELO!$F$2:$F$3672,"CAL",DATOS_MODELO!$AA$2:$AA$3672,"&lt;&gt;")&gt;0,"CAL","OBS"))))</f>
        <v>CAL</v>
      </c>
      <c r="S189" s="14">
        <f>IF(COUNTIFS(DATOS_MODELO!$C$2:$C$3672,$Q189&amp;"|"&amp;$E189&amp;"|"&amp;$O189&amp;"|CO2",DATOS_MODELO!$AA$2:$AA$3672,"&lt;&gt;")=0,"",INDEX(DATOS_MODELO!$AA$2:$AA$3672,MATCH($Q189&amp;"|"&amp;$E189&amp;"|"&amp;$O189&amp;"|CO2",DATOS_MODELO!$C$2:$C$3672,0)))</f>
        <v>0.0</v>
      </c>
      <c r="T189" s="14">
        <f>IF(COUNTIFS(DATOS_MODELO!$C$2:$C$3672,$Q189&amp;"|"&amp;$E189&amp;"|"&amp;$O189&amp;"|CH4",DATOS_MODELO!$AA$2:$AA$3672,"&lt;&gt;")=0,"",INDEX(DATOS_MODELO!$AA$2:$AA$3672,MATCH($Q189&amp;"|"&amp;$E189&amp;"|"&amp;$O189&amp;"|CH4",DATOS_MODELO!$C$2:$C$3672,0)))</f>
        <v>0.0</v>
      </c>
      <c r="U189" s="14">
        <f>IF(COUNTIFS(DATOS_MODELO!$C$2:$C$3672,$Q189&amp;"|"&amp;$E189&amp;"|"&amp;$O189&amp;"|N2O",DATOS_MODELO!$AA$2:$AA$3672,"&lt;&gt;")=0,"",INDEX(DATOS_MODELO!$AA$2:$AA$3672,MATCH($Q189&amp;"|"&amp;$E189&amp;"|"&amp;$O189&amp;"|N2O",DATOS_MODELO!$C$2:$C$3672,0)))</f>
        <v>0.0</v>
      </c>
      <c r="V189" s="8"/>
      <c r="W189" s="14"/>
      <c r="X189" s="14">
        <f>IF($P189="BIOGENICO",0,IF(ISNUMBER($S189),$N189*$S189/PARAMETROS!$B$8,""))</f>
        <v>0.0</v>
      </c>
      <c r="Y189" s="14">
        <f>IF($P189="BIOGENICO",IF(ISNUMBER($S189),$N189*$S189/PARAMETROS!$B$8,""),0)</f>
        <v>0.0</v>
      </c>
      <c r="Z189" s="14">
        <f>IF(ISNUMBER($T189),$N189*$T189/PARAMETROS!$B$8,"")</f>
        <v>0.0</v>
      </c>
      <c r="AA189" s="14">
        <f>IF(ISNUMBER($U189),$N189*$U189/PARAMETROS!$B$8,"")</f>
        <v>0.0</v>
      </c>
      <c r="AB189" s="14">
        <f>IF(COUNT($X189,$Z189,$AA189)=0,"",SUM($X189,IF(ISNUMBER($Z189),$Z189*PARAMETROS!$B$9,0),IF(ISNUMBER($AA189),$AA189*PARAMETROS!$B$10,0)))</f>
        <v>0.0</v>
      </c>
      <c r="AC189" s="4" t="s">
        <v>1990</v>
      </c>
      <c r="AD189" s="4"/>
      <c r="AE189" s="4" t="s">
        <v>3362</v>
      </c>
      <c r="AF189" s="4" t="s">
        <v>170</v>
      </c>
      <c r="AG189" s="4" t="inlineStr">
        <is>
          <t>METODO_EMISIONES</t>
        </is>
      </c>
      <c r="AH189" s="4"/>
    </row>
    <row r="190" customFormat="false" ht="15" hidden="false" customHeight="false" outlineLevel="0" collapsed="false">
      <c r="A190" s="4" t="s">
        <v>5935</v>
      </c>
      <c r="B190" s="12" t="n">
        <v>2021</v>
      </c>
      <c r="C190" s="4" t="s">
        <v>73</v>
      </c>
      <c r="D190" s="4" t="s">
        <v>5685</v>
      </c>
      <c r="E190" s="4" t="s">
        <v>3380</v>
      </c>
      <c r="F190" s="4" t="s">
        <v>3381</v>
      </c>
      <c r="G190" s="4" t="s">
        <v>105</v>
      </c>
      <c r="H190" s="4" t="s">
        <v>2075</v>
      </c>
      <c r="I190" s="4" t="s">
        <v>73</v>
      </c>
      <c r="J190" s="4" t="s">
        <v>2001</v>
      </c>
      <c r="K190" s="4" t="s">
        <v>2074</v>
      </c>
      <c r="L190" s="4" t="s">
        <v>1126</v>
      </c>
      <c r="M190" s="14" t="n">
        <f aca="false">SUMIFS(PSUT_LARGA!$K$2:$K$618,PSUT_LARGA!$B$2:$B$618,$B190,PSUT_LARGA!$H$2:$H$618,$L190,PSUT_LARGA!$E$2:$E$618,$J190,PSUT_LARGA!$F$2:$F$618,$K190,PSUT_LARGA!$G$2:$G$618,$I190,PSUT_LARGA!$I$2:$I$618,$H190)</f>
        <v>17567.2322</v>
      </c>
      <c r="N190" s="14" t="n">
        <f aca="false">IF($H190="TRANSFORMACION_REFINERIA",$M190*INDEX(PARAMETROS!$C$27:$C$33,MATCH($B190,PARAMETROS!$A$27:$A$33,0)),$M190)</f>
        <v>17567.2322</v>
      </c>
      <c r="O190" s="4" t="inlineStr">
        <is>
          <t>COMB_GLP</t>
        </is>
      </c>
      <c r="P190" s="4" t="s">
        <v>3352</v>
      </c>
      <c r="Q190" s="11" t="n">
        <f aca="false">MIN($B190,2022)</f>
        <v>2021</v>
      </c>
      <c r="R190" s="8" t="str">
        <f>IF(COUNT($S190:$U190)=0,"NO",IF($O190="CERO_DIRECTO","CAL",IF(OR($B190&gt;$Q190,COUNTIFS(DATOS_MODELO!$C$2:$C$3672,$Q190&amp;"|"&amp;$E190&amp;"|"&amp;$O190&amp;"|*",DATOS_MODELO!$F$2:$F$3672,"PRX",DATOS_MODELO!$AA$2:$AA$3672,"&lt;&gt;")&gt;0),"PRX",IF(COUNTIFS(DATOS_MODELO!$C$2:$C$3672,$Q190&amp;"|"&amp;$E190&amp;"|"&amp;$O190&amp;"|*",DATOS_MODELO!$F$2:$F$3672,"CAL",DATOS_MODELO!$AA$2:$AA$3672,"&lt;&gt;")&gt;0,"CAL","OBS"))))</f>
        <v>PRX</v>
      </c>
      <c r="S190" s="14">
        <f>IF(COUNTIFS(DATOS_MODELO!$C$2:$C$3672,$Q190&amp;"|"&amp;$E190&amp;"|"&amp;$O190&amp;"|CO2",DATOS_MODELO!$AA$2:$AA$3672,"&lt;&gt;")=0,"",INDEX(DATOS_MODELO!$AA$2:$AA$3672,MATCH($Q190&amp;"|"&amp;$E190&amp;"|"&amp;$O190&amp;"|CO2",DATOS_MODELO!$C$2:$C$3672,0)))</f>
        <v>63100.0</v>
      </c>
      <c r="T190" s="14">
        <f>IF(COUNTIFS(DATOS_MODELO!$C$2:$C$3672,$Q190&amp;"|"&amp;$E190&amp;"|"&amp;$O190&amp;"|CH4",DATOS_MODELO!$AA$2:$AA$3672,"&lt;&gt;")=0,"",INDEX(DATOS_MODELO!$AA$2:$AA$3672,MATCH($Q190&amp;"|"&amp;$E190&amp;"|"&amp;$O190&amp;"|CH4",DATOS_MODELO!$C$2:$C$3672,0)))</f>
        <v>5.0</v>
      </c>
      <c r="U190" s="14">
        <f>IF(COUNTIFS(DATOS_MODELO!$C$2:$C$3672,$Q190&amp;"|"&amp;$E190&amp;"|"&amp;$O190&amp;"|N2O",DATOS_MODELO!$AA$2:$AA$3672,"&lt;&gt;")=0,"",INDEX(DATOS_MODELO!$AA$2:$AA$3672,MATCH($Q190&amp;"|"&amp;$E190&amp;"|"&amp;$O190&amp;"|N2O",DATOS_MODELO!$C$2:$C$3672,0)))</f>
        <v>0.1</v>
      </c>
      <c r="V190" s="8"/>
      <c r="W190" s="14"/>
      <c r="X190" s="14">
        <f>IF($P190="BIOGENICO",0,IF(ISNUMBER($S190),$N190*$S190/PARAMETROS!$B$8,""))</f>
        <v>1108.49235182</v>
      </c>
      <c r="Y190" s="14">
        <f>IF($P190="BIOGENICO",IF(ISNUMBER($S190),$N190*$S190/PARAMETROS!$B$8,""),0)</f>
        <v>0.0</v>
      </c>
      <c r="Z190" s="14">
        <f>IF(ISNUMBER($T190),$N190*$T190/PARAMETROS!$B$8,"")</f>
        <v>0.087836161</v>
      </c>
      <c r="AA190" s="14">
        <f>IF(ISNUMBER($U190),$N190*$U190/PARAMETROS!$B$8,"")</f>
        <v>0.00175672322</v>
      </c>
      <c r="AB190" s="14">
        <f>IF(COUNT($X190,$Z190,$AA190)=0,"",SUM($X190,IF(ISNUMBER($Z190),$Z190*PARAMETROS!$B$9,0),IF(ISNUMBER($AA190),$AA190*PARAMETROS!$B$10,0)))</f>
        <v>1111.4172959813</v>
      </c>
      <c r="AC190" s="4" t="s">
        <v>1990</v>
      </c>
      <c r="AD190" s="4"/>
      <c r="AE190" s="4" t="s">
        <v>5690</v>
      </c>
      <c r="AF190" s="4" t="s">
        <v>170</v>
      </c>
      <c r="AG190" s="4" t="inlineStr">
        <is>
          <t>MARN_GTM_BTR1_2024</t>
        </is>
      </c>
      <c r="AH190" s="4" t="inlineStr">
        <is>
          <t>Origen de factores: CO2: MARN_GTM_BTR1_2024 [PRX; BTR1 Guatemala 2024, tabla 3.6, p. 48; fila Gases licuados de petróleo; gas CO2]; CH4: MARN_GTM_BTR1_2024 [PRX; BTR1 Guatemala 2024, tabla 3.33, p. 70; fila Gases licuados de petróleo; gas CH4]; N2O: MARN_GTM_BTR1_2024 [PRX; BTR1 Guatemala 2024, tabla 3.33, p. 70; fila Gases licuados de petróleo; gas N2O].</t>
        </is>
      </c>
    </row>
    <row r="191" customFormat="false" ht="15" hidden="false" customHeight="false" outlineLevel="0" collapsed="false">
      <c r="A191" s="4" t="s">
        <v>5936</v>
      </c>
      <c r="B191" s="12" t="n">
        <v>2021</v>
      </c>
      <c r="C191" s="4" t="s">
        <v>68</v>
      </c>
      <c r="D191" s="4" t="s">
        <v>5685</v>
      </c>
      <c r="E191" s="4" t="s">
        <v>3404</v>
      </c>
      <c r="F191" s="4" t="s">
        <v>3405</v>
      </c>
      <c r="G191" s="4" t="s">
        <v>95</v>
      </c>
      <c r="H191" s="4" t="s">
        <v>2111</v>
      </c>
      <c r="I191" s="4" t="s">
        <v>68</v>
      </c>
      <c r="J191" s="4" t="s">
        <v>2001</v>
      </c>
      <c r="K191" s="4" t="s">
        <v>2002</v>
      </c>
      <c r="L191" s="4" t="s">
        <v>1058</v>
      </c>
      <c r="M191" s="14" t="n">
        <f aca="false">SUMIFS(PSUT_LARGA!$K$2:$K$618,PSUT_LARGA!$B$2:$B$618,$B191,PSUT_LARGA!$H$2:$H$618,$L191,PSUT_LARGA!$E$2:$E$618,$J191,PSUT_LARGA!$F$2:$F$618,$K191,PSUT_LARGA!$G$2:$G$618,$I191,PSUT_LARGA!$I$2:$I$618,$H191)</f>
        <v>15592.878</v>
      </c>
      <c r="N191" s="14" t="n">
        <f aca="false">IF($H191="TRANSFORMACION_REFINERIA",$M191*INDEX(PARAMETROS!$C$27:$C$33,MATCH($B191,PARAMETROS!$A$27:$A$33,0)),$M191)</f>
        <v>15592.878</v>
      </c>
      <c r="O191" s="4" t="inlineStr">
        <is>
          <t>COMB_COQUE</t>
        </is>
      </c>
      <c r="P191" s="4" t="s">
        <v>3352</v>
      </c>
      <c r="Q191" s="11" t="n">
        <f aca="false">MIN($B191,2022)</f>
        <v>2021</v>
      </c>
      <c r="R191" s="8" t="str">
        <f>IF(COUNT($S191:$U191)=0,"NO",IF($O191="CERO_DIRECTO","CAL",IF(OR($B191&gt;$Q191,COUNTIFS(DATOS_MODELO!$C$2:$C$3672,$Q191&amp;"|"&amp;$E191&amp;"|"&amp;$O191&amp;"|*",DATOS_MODELO!$F$2:$F$3672,"PRX",DATOS_MODELO!$AA$2:$AA$3672,"&lt;&gt;")&gt;0),"PRX",IF(COUNTIFS(DATOS_MODELO!$C$2:$C$3672,$Q191&amp;"|"&amp;$E191&amp;"|"&amp;$O191&amp;"|*",DATOS_MODELO!$F$2:$F$3672,"CAL",DATOS_MODELO!$AA$2:$AA$3672,"&lt;&gt;")&gt;0,"CAL","OBS"))))</f>
        <v>PRX</v>
      </c>
      <c r="S191" s="14">
        <f>IF(COUNTIFS(DATOS_MODELO!$C$2:$C$3672,$Q191&amp;"|"&amp;$E191&amp;"|"&amp;$O191&amp;"|CO2",DATOS_MODELO!$AA$2:$AA$3672,"&lt;&gt;")=0,"",INDEX(DATOS_MODELO!$AA$2:$AA$3672,MATCH($Q191&amp;"|"&amp;$E191&amp;"|"&amp;$O191&amp;"|CO2",DATOS_MODELO!$C$2:$C$3672,0)))</f>
        <v>97500.0</v>
      </c>
      <c r="T191" s="14">
        <f>IF(COUNTIFS(DATOS_MODELO!$C$2:$C$3672,$Q191&amp;"|"&amp;$E191&amp;"|"&amp;$O191&amp;"|CH4",DATOS_MODELO!$AA$2:$AA$3672,"&lt;&gt;")=0,"",INDEX(DATOS_MODELO!$AA$2:$AA$3672,MATCH($Q191&amp;"|"&amp;$E191&amp;"|"&amp;$O191&amp;"|CH4",DATOS_MODELO!$C$2:$C$3672,0)))</f>
        <v>3.0</v>
      </c>
      <c r="U191" s="14">
        <f>IF(COUNTIFS(DATOS_MODELO!$C$2:$C$3672,$Q191&amp;"|"&amp;$E191&amp;"|"&amp;$O191&amp;"|N2O",DATOS_MODELO!$AA$2:$AA$3672,"&lt;&gt;")=0,"",INDEX(DATOS_MODELO!$AA$2:$AA$3672,MATCH($Q191&amp;"|"&amp;$E191&amp;"|"&amp;$O191&amp;"|N2O",DATOS_MODELO!$C$2:$C$3672,0)))</f>
        <v>0.6</v>
      </c>
      <c r="V191" s="8"/>
      <c r="W191" s="14"/>
      <c r="X191" s="14">
        <f>IF($P191="BIOGENICO",0,IF(ISNUMBER($S191),$N191*$S191/PARAMETROS!$B$8,""))</f>
        <v>1520.305605</v>
      </c>
      <c r="Y191" s="14">
        <f>IF($P191="BIOGENICO",IF(ISNUMBER($S191),$N191*$S191/PARAMETROS!$B$8,""),0)</f>
        <v>0.0</v>
      </c>
      <c r="Z191" s="14">
        <f>IF(ISNUMBER($T191),$N191*$T191/PARAMETROS!$B$8,"")</f>
        <v>0.046778634</v>
      </c>
      <c r="AA191" s="14">
        <f>IF(ISNUMBER($U191),$N191*$U191/PARAMETROS!$B$8,"")</f>
        <v>0.0093557268</v>
      </c>
      <c r="AB191" s="14">
        <f>IF(COUNT($X191,$Z191,$AA191)=0,"",SUM($X191,IF(ISNUMBER($Z191),$Z191*PARAMETROS!$B$9,0),IF(ISNUMBER($AA191),$AA191*PARAMETROS!$B$10,0)))</f>
        <v>1524.094674354</v>
      </c>
      <c r="AC191" s="4" t="s">
        <v>1990</v>
      </c>
      <c r="AD191" s="4"/>
      <c r="AE191" s="4" t="s">
        <v>5690</v>
      </c>
      <c r="AF191" s="4" t="s">
        <v>170</v>
      </c>
      <c r="AG191" s="4" t="inlineStr">
        <is>
          <t>MARN_GTM_BTR1_2024</t>
        </is>
      </c>
      <c r="AH191" s="4" t="inlineStr">
        <is>
          <t>Origen de factores: CO2: MARN_GTM_BTR1_2024 [PRX; BTR1 Guatemala 2024, tabla 3.6, p. 48; fila Coque de petróleo; gas CO2]; CH4: MARN_GTM_BTR1_2024 [PRX; BTR1 Guatemala 2024, tabla 3.22, p. 62; fila Coque de petróleo; gas CH4]; N2O: MARN_GTM_BTR1_2024 [PRX; BTR1 Guatemala 2024, tabla 3.22, p. 62; fila Coque de petróleo; gas N2O].</t>
        </is>
      </c>
    </row>
    <row r="192" customFormat="false" ht="15" hidden="false" customHeight="false" outlineLevel="0" collapsed="false">
      <c r="A192" s="4" t="s">
        <v>5937</v>
      </c>
      <c r="B192" s="12" t="n">
        <v>2021</v>
      </c>
      <c r="C192" s="4" t="s">
        <v>68</v>
      </c>
      <c r="D192" s="4" t="s">
        <v>5685</v>
      </c>
      <c r="E192" s="4" t="s">
        <v>3404</v>
      </c>
      <c r="F192" s="4" t="s">
        <v>3405</v>
      </c>
      <c r="G192" s="4" t="s">
        <v>97</v>
      </c>
      <c r="H192" s="4" t="s">
        <v>2111</v>
      </c>
      <c r="I192" s="4" t="s">
        <v>68</v>
      </c>
      <c r="J192" s="4" t="s">
        <v>2001</v>
      </c>
      <c r="K192" s="4" t="s">
        <v>2002</v>
      </c>
      <c r="L192" s="4" t="s">
        <v>1072</v>
      </c>
      <c r="M192" s="14" t="n">
        <f aca="false">SUMIFS(PSUT_LARGA!$K$2:$K$618,PSUT_LARGA!$B$2:$B$618,$B192,PSUT_LARGA!$H$2:$H$618,$L192,PSUT_LARGA!$E$2:$E$618,$J192,PSUT_LARGA!$F$2:$F$618,$K192,PSUT_LARGA!$G$2:$G$618,$I192,PSUT_LARGA!$I$2:$I$618,$H192)</f>
        <v>6828.9578</v>
      </c>
      <c r="N192" s="14" t="n">
        <f aca="false">IF($H192="TRANSFORMACION_REFINERIA",$M192*INDEX(PARAMETROS!$C$27:$C$33,MATCH($B192,PARAMETROS!$A$27:$A$33,0)),$M192)</f>
        <v>6828.9578</v>
      </c>
      <c r="O192" s="4" t="inlineStr">
        <is>
          <t>COMB_DOIL</t>
        </is>
      </c>
      <c r="P192" s="4" t="s">
        <v>3352</v>
      </c>
      <c r="Q192" s="11" t="n">
        <f aca="false">MIN($B192,2022)</f>
        <v>2021</v>
      </c>
      <c r="R192" s="8" t="str">
        <f>IF(COUNT($S192:$U192)=0,"NO",IF($O192="CERO_DIRECTO","CAL",IF(OR($B192&gt;$Q192,COUNTIFS(DATOS_MODELO!$C$2:$C$3672,$Q192&amp;"|"&amp;$E192&amp;"|"&amp;$O192&amp;"|*",DATOS_MODELO!$F$2:$F$3672,"PRX",DATOS_MODELO!$AA$2:$AA$3672,"&lt;&gt;")&gt;0),"PRX",IF(COUNTIFS(DATOS_MODELO!$C$2:$C$3672,$Q192&amp;"|"&amp;$E192&amp;"|"&amp;$O192&amp;"|*",DATOS_MODELO!$F$2:$F$3672,"CAL",DATOS_MODELO!$AA$2:$AA$3672,"&lt;&gt;")&gt;0,"CAL","OBS"))))</f>
        <v>PRX</v>
      </c>
      <c r="S192" s="14">
        <f>IF(COUNTIFS(DATOS_MODELO!$C$2:$C$3672,$Q192&amp;"|"&amp;$E192&amp;"|"&amp;$O192&amp;"|CO2",DATOS_MODELO!$AA$2:$AA$3672,"&lt;&gt;")=0,"",INDEX(DATOS_MODELO!$AA$2:$AA$3672,MATCH($Q192&amp;"|"&amp;$E192&amp;"|"&amp;$O192&amp;"|CO2",DATOS_MODELO!$C$2:$C$3672,0)))</f>
        <v>74100.0</v>
      </c>
      <c r="T192" s="14">
        <f>IF(COUNTIFS(DATOS_MODELO!$C$2:$C$3672,$Q192&amp;"|"&amp;$E192&amp;"|"&amp;$O192&amp;"|CH4",DATOS_MODELO!$AA$2:$AA$3672,"&lt;&gt;")=0,"",INDEX(DATOS_MODELO!$AA$2:$AA$3672,MATCH($Q192&amp;"|"&amp;$E192&amp;"|"&amp;$O192&amp;"|CH4",DATOS_MODELO!$C$2:$C$3672,0)))</f>
        <v>3.0</v>
      </c>
      <c r="U192" s="14">
        <f>IF(COUNTIFS(DATOS_MODELO!$C$2:$C$3672,$Q192&amp;"|"&amp;$E192&amp;"|"&amp;$O192&amp;"|N2O",DATOS_MODELO!$AA$2:$AA$3672,"&lt;&gt;")=0,"",INDEX(DATOS_MODELO!$AA$2:$AA$3672,MATCH($Q192&amp;"|"&amp;$E192&amp;"|"&amp;$O192&amp;"|N2O",DATOS_MODELO!$C$2:$C$3672,0)))</f>
        <v>0.6</v>
      </c>
      <c r="V192" s="8"/>
      <c r="W192" s="14"/>
      <c r="X192" s="14">
        <f>IF($P192="BIOGENICO",0,IF(ISNUMBER($S192),$N192*$S192/PARAMETROS!$B$8,""))</f>
        <v>506.02577298</v>
      </c>
      <c r="Y192" s="14">
        <f>IF($P192="BIOGENICO",IF(ISNUMBER($S192),$N192*$S192/PARAMETROS!$B$8,""),0)</f>
        <v>0.0</v>
      </c>
      <c r="Z192" s="14">
        <f>IF(ISNUMBER($T192),$N192*$T192/PARAMETROS!$B$8,"")</f>
        <v>0.0204868734</v>
      </c>
      <c r="AA192" s="14">
        <f>IF(ISNUMBER($U192),$N192*$U192/PARAMETROS!$B$8,"")</f>
        <v>0.00409737468</v>
      </c>
      <c r="AB192" s="14">
        <f>IF(COUNT($X192,$Z192,$AA192)=0,"",SUM($X192,IF(ISNUMBER($Z192),$Z192*PARAMETROS!$B$9,0),IF(ISNUMBER($AA192),$AA192*PARAMETROS!$B$10,0)))</f>
        <v>507.6852097254</v>
      </c>
      <c r="AC192" s="4" t="s">
        <v>1990</v>
      </c>
      <c r="AD192" s="4"/>
      <c r="AE192" s="4" t="s">
        <v>5690</v>
      </c>
      <c r="AF192" s="4" t="s">
        <v>170</v>
      </c>
      <c r="AG192" s="4" t="inlineStr">
        <is>
          <t>MARN_GTM_BTR1_2024</t>
        </is>
      </c>
      <c r="AH192" s="4" t="inlineStr">
        <is>
          <t>Origen de factores: CO2: MARN_GTM_BTR1_2024 [PRX; BTR1 Guatemala 2024, tabla 3.6, p. 48; fila Gas/Diésel oíl; gas CO2]; CH4: MARN_GTM_BTR1_2024 [PRX; BTR1 Guatemala 2024, tabla 3.22, p. 62; fila Diésel; gas CH4]; N2O: MARN_GTM_BTR1_2024 [PRX; BTR1 Guatemala 2024, tabla 3.22, p. 62; fila Diésel; gas N2O].</t>
        </is>
      </c>
    </row>
    <row r="193" customFormat="false" ht="23.85" hidden="false" customHeight="false" outlineLevel="0" collapsed="false">
      <c r="A193" s="4" t="s">
        <v>5938</v>
      </c>
      <c r="B193" s="12" t="n">
        <v>2021</v>
      </c>
      <c r="C193" s="4" t="s">
        <v>68</v>
      </c>
      <c r="D193" s="4" t="s">
        <v>5685</v>
      </c>
      <c r="E193" s="4" t="s">
        <v>3404</v>
      </c>
      <c r="F193" s="4" t="s">
        <v>3405</v>
      </c>
      <c r="G193" s="4" t="s">
        <v>99</v>
      </c>
      <c r="H193" s="4" t="s">
        <v>2111</v>
      </c>
      <c r="I193" s="4" t="s">
        <v>68</v>
      </c>
      <c r="J193" s="4" t="s">
        <v>2001</v>
      </c>
      <c r="K193" s="4" t="s">
        <v>2002</v>
      </c>
      <c r="L193" s="4" t="s">
        <v>1086</v>
      </c>
      <c r="M193" s="14" t="n">
        <f aca="false">SUMIFS(PSUT_LARGA!$K$2:$K$618,PSUT_LARGA!$B$2:$B$618,$B193,PSUT_LARGA!$H$2:$H$618,$L193,PSUT_LARGA!$E$2:$E$618,$J193,PSUT_LARGA!$F$2:$F$618,$K193,PSUT_LARGA!$G$2:$G$618,$I193,PSUT_LARGA!$I$2:$I$618,$H193)</f>
        <v>16180.269</v>
      </c>
      <c r="N193" s="14" t="n">
        <f aca="false">IF($H193="TRANSFORMACION_REFINERIA",$M193*INDEX(PARAMETROS!$C$27:$C$33,MATCH($B193,PARAMETROS!$A$27:$A$33,0)),$M193)</f>
        <v>16180.269</v>
      </c>
      <c r="O193" s="4" t="s">
        <v>3362</v>
      </c>
      <c r="P193" s="4" t="s">
        <v>3363</v>
      </c>
      <c r="Q193" s="11" t="n">
        <f aca="false">MIN($B193,2022)</f>
        <v>2021</v>
      </c>
      <c r="R193" s="8" t="str">
        <f>IF(COUNT($S193:$U193)=0,"NO",IF($O193="CERO_DIRECTO","CAL",IF(OR($B193&gt;$Q193,COUNTIFS(DATOS_MODELO!$C$2:$C$3672,$Q193&amp;"|"&amp;$E193&amp;"|"&amp;$O193&amp;"|*",DATOS_MODELO!$F$2:$F$3672,"PRX",DATOS_MODELO!$AA$2:$AA$3672,"&lt;&gt;")&gt;0),"PRX",IF(COUNTIFS(DATOS_MODELO!$C$2:$C$3672,$Q193&amp;"|"&amp;$E193&amp;"|"&amp;$O193&amp;"|*",DATOS_MODELO!$F$2:$F$3672,"CAL",DATOS_MODELO!$AA$2:$AA$3672,"&lt;&gt;")&gt;0,"CAL","OBS"))))</f>
        <v>CAL</v>
      </c>
      <c r="S193" s="14">
        <f>IF(COUNTIFS(DATOS_MODELO!$C$2:$C$3672,$Q193&amp;"|"&amp;$E193&amp;"|"&amp;$O193&amp;"|CO2",DATOS_MODELO!$AA$2:$AA$3672,"&lt;&gt;")=0,"",INDEX(DATOS_MODELO!$AA$2:$AA$3672,MATCH($Q193&amp;"|"&amp;$E193&amp;"|"&amp;$O193&amp;"|CO2",DATOS_MODELO!$C$2:$C$3672,0)))</f>
        <v>0.0</v>
      </c>
      <c r="T193" s="14">
        <f>IF(COUNTIFS(DATOS_MODELO!$C$2:$C$3672,$Q193&amp;"|"&amp;$E193&amp;"|"&amp;$O193&amp;"|CH4",DATOS_MODELO!$AA$2:$AA$3672,"&lt;&gt;")=0,"",INDEX(DATOS_MODELO!$AA$2:$AA$3672,MATCH($Q193&amp;"|"&amp;$E193&amp;"|"&amp;$O193&amp;"|CH4",DATOS_MODELO!$C$2:$C$3672,0)))</f>
        <v>0.0</v>
      </c>
      <c r="U193" s="14">
        <f>IF(COUNTIFS(DATOS_MODELO!$C$2:$C$3672,$Q193&amp;"|"&amp;$E193&amp;"|"&amp;$O193&amp;"|N2O",DATOS_MODELO!$AA$2:$AA$3672,"&lt;&gt;")=0,"",INDEX(DATOS_MODELO!$AA$2:$AA$3672,MATCH($Q193&amp;"|"&amp;$E193&amp;"|"&amp;$O193&amp;"|N2O",DATOS_MODELO!$C$2:$C$3672,0)))</f>
        <v>0.0</v>
      </c>
      <c r="V193" s="8"/>
      <c r="W193" s="14"/>
      <c r="X193" s="14">
        <f>IF($P193="BIOGENICO",0,IF(ISNUMBER($S193),$N193*$S193/PARAMETROS!$B$8,""))</f>
        <v>0.0</v>
      </c>
      <c r="Y193" s="14">
        <f>IF($P193="BIOGENICO",IF(ISNUMBER($S193),$N193*$S193/PARAMETROS!$B$8,""),0)</f>
        <v>0.0</v>
      </c>
      <c r="Z193" s="14">
        <f>IF(ISNUMBER($T193),$N193*$T193/PARAMETROS!$B$8,"")</f>
        <v>0.0</v>
      </c>
      <c r="AA193" s="14">
        <f>IF(ISNUMBER($U193),$N193*$U193/PARAMETROS!$B$8,"")</f>
        <v>0.0</v>
      </c>
      <c r="AB193" s="14">
        <f>IF(COUNT($X193,$Z193,$AA193)=0,"",SUM($X193,IF(ISNUMBER($Z193),$Z193*PARAMETROS!$B$9,0),IF(ISNUMBER($AA193),$AA193*PARAMETROS!$B$10,0)))</f>
        <v>0.0</v>
      </c>
      <c r="AC193" s="4" t="s">
        <v>1990</v>
      </c>
      <c r="AD193" s="4"/>
      <c r="AE193" s="4" t="s">
        <v>3362</v>
      </c>
      <c r="AF193" s="4" t="s">
        <v>170</v>
      </c>
      <c r="AG193" s="4" t="inlineStr">
        <is>
          <t>METODO_EMISIONES</t>
        </is>
      </c>
      <c r="AH193" s="4"/>
    </row>
    <row r="194" customFormat="false" ht="15" hidden="false" customHeight="false" outlineLevel="0" collapsed="false">
      <c r="A194" s="4" t="s">
        <v>5939</v>
      </c>
      <c r="B194" s="12" t="n">
        <v>2021</v>
      </c>
      <c r="C194" s="4" t="s">
        <v>68</v>
      </c>
      <c r="D194" s="4" t="s">
        <v>5685</v>
      </c>
      <c r="E194" s="4" t="s">
        <v>3404</v>
      </c>
      <c r="F194" s="4" t="s">
        <v>3405</v>
      </c>
      <c r="G194" s="4" t="s">
        <v>101</v>
      </c>
      <c r="H194" s="4" t="s">
        <v>2111</v>
      </c>
      <c r="I194" s="4" t="s">
        <v>68</v>
      </c>
      <c r="J194" s="4" t="s">
        <v>2001</v>
      </c>
      <c r="K194" s="4" t="s">
        <v>2002</v>
      </c>
      <c r="L194" s="4" t="s">
        <v>1100</v>
      </c>
      <c r="M194" s="14" t="n">
        <f aca="false">SUMIFS(PSUT_LARGA!$K$2:$K$618,PSUT_LARGA!$B$2:$B$618,$B194,PSUT_LARGA!$H$2:$H$618,$L194,PSUT_LARGA!$E$2:$E$618,$J194,PSUT_LARGA!$F$2:$F$618,$K194,PSUT_LARGA!$G$2:$G$618,$I194,PSUT_LARGA!$I$2:$I$618,$H194)</f>
        <v>7190.8627</v>
      </c>
      <c r="N194" s="14" t="n">
        <f aca="false">IF($H194="TRANSFORMACION_REFINERIA",$M194*INDEX(PARAMETROS!$C$27:$C$33,MATCH($B194,PARAMETROS!$A$27:$A$33,0)),$M194)</f>
        <v>7190.8627</v>
      </c>
      <c r="O194" s="4" t="inlineStr">
        <is>
          <t>COMB_FOIL</t>
        </is>
      </c>
      <c r="P194" s="4" t="s">
        <v>3352</v>
      </c>
      <c r="Q194" s="11" t="n">
        <f aca="false">MIN($B194,2022)</f>
        <v>2021</v>
      </c>
      <c r="R194" s="8" t="str">
        <f>IF(COUNT($S194:$U194)=0,"NO",IF($O194="CERO_DIRECTO","CAL",IF(OR($B194&gt;$Q194,COUNTIFS(DATOS_MODELO!$C$2:$C$3672,$Q194&amp;"|"&amp;$E194&amp;"|"&amp;$O194&amp;"|*",DATOS_MODELO!$F$2:$F$3672,"PRX",DATOS_MODELO!$AA$2:$AA$3672,"&lt;&gt;")&gt;0),"PRX",IF(COUNTIFS(DATOS_MODELO!$C$2:$C$3672,$Q194&amp;"|"&amp;$E194&amp;"|"&amp;$O194&amp;"|*",DATOS_MODELO!$F$2:$F$3672,"CAL",DATOS_MODELO!$AA$2:$AA$3672,"&lt;&gt;")&gt;0,"CAL","OBS"))))</f>
        <v>PRX</v>
      </c>
      <c r="S194" s="14">
        <f>IF(COUNTIFS(DATOS_MODELO!$C$2:$C$3672,$Q194&amp;"|"&amp;$E194&amp;"|"&amp;$O194&amp;"|CO2",DATOS_MODELO!$AA$2:$AA$3672,"&lt;&gt;")=0,"",INDEX(DATOS_MODELO!$AA$2:$AA$3672,MATCH($Q194&amp;"|"&amp;$E194&amp;"|"&amp;$O194&amp;"|CO2",DATOS_MODELO!$C$2:$C$3672,0)))</f>
        <v>77400.0</v>
      </c>
      <c r="T194" s="14">
        <f>IF(COUNTIFS(DATOS_MODELO!$C$2:$C$3672,$Q194&amp;"|"&amp;$E194&amp;"|"&amp;$O194&amp;"|CH4",DATOS_MODELO!$AA$2:$AA$3672,"&lt;&gt;")=0,"",INDEX(DATOS_MODELO!$AA$2:$AA$3672,MATCH($Q194&amp;"|"&amp;$E194&amp;"|"&amp;$O194&amp;"|CH4",DATOS_MODELO!$C$2:$C$3672,0)))</f>
        <v>3.0</v>
      </c>
      <c r="U194" s="14">
        <f>IF(COUNTIFS(DATOS_MODELO!$C$2:$C$3672,$Q194&amp;"|"&amp;$E194&amp;"|"&amp;$O194&amp;"|N2O",DATOS_MODELO!$AA$2:$AA$3672,"&lt;&gt;")=0,"",INDEX(DATOS_MODELO!$AA$2:$AA$3672,MATCH($Q194&amp;"|"&amp;$E194&amp;"|"&amp;$O194&amp;"|N2O",DATOS_MODELO!$C$2:$C$3672,0)))</f>
        <v>0.6</v>
      </c>
      <c r="V194" s="8"/>
      <c r="W194" s="14"/>
      <c r="X194" s="14">
        <f>IF($P194="BIOGENICO",0,IF(ISNUMBER($S194),$N194*$S194/PARAMETROS!$B$8,""))</f>
        <v>556.57277298</v>
      </c>
      <c r="Y194" s="14">
        <f>IF($P194="BIOGENICO",IF(ISNUMBER($S194),$N194*$S194/PARAMETROS!$B$8,""),0)</f>
        <v>0.0</v>
      </c>
      <c r="Z194" s="14">
        <f>IF(ISNUMBER($T194),$N194*$T194/PARAMETROS!$B$8,"")</f>
        <v>0.0215725881</v>
      </c>
      <c r="AA194" s="14">
        <f>IF(ISNUMBER($U194),$N194*$U194/PARAMETROS!$B$8,"")</f>
        <v>0.00431451762</v>
      </c>
      <c r="AB194" s="14">
        <f>IF(COUNT($X194,$Z194,$AA194)=0,"",SUM($X194,IF(ISNUMBER($Z194),$Z194*PARAMETROS!$B$9,0),IF(ISNUMBER($AA194),$AA194*PARAMETROS!$B$10,0)))</f>
        <v>558.3201526161</v>
      </c>
      <c r="AC194" s="4" t="s">
        <v>1990</v>
      </c>
      <c r="AD194" s="4"/>
      <c r="AE194" s="4" t="s">
        <v>5690</v>
      </c>
      <c r="AF194" s="4" t="s">
        <v>170</v>
      </c>
      <c r="AG194" s="4" t="inlineStr">
        <is>
          <t>MARN_GTM_BTR1_2024</t>
        </is>
      </c>
      <c r="AH194" s="4" t="inlineStr">
        <is>
          <t>Origen de factores: CO2: MARN_GTM_BTR1_2024 [PRX; BTR1 Guatemala 2024, tabla 3.6, p. 48; fila Fuelóleo residual; gas CO2]; CH4: MARN_GTM_BTR1_2024 [PRX; BTR1 Guatemala 2024, tabla 3.22, p. 62; fila Fuelóleo residual; gas CH4]; N2O: MARN_GTM_BTR1_2024 [PRX; BTR1 Guatemala 2024, tabla 3.22, p. 62; fila Fuelóleo residual; gas N2O].</t>
        </is>
      </c>
    </row>
    <row r="195" customFormat="false" ht="15" hidden="false" customHeight="false" outlineLevel="0" collapsed="false">
      <c r="A195" s="4" t="s">
        <v>5940</v>
      </c>
      <c r="B195" s="12" t="n">
        <v>2021</v>
      </c>
      <c r="C195" s="4" t="s">
        <v>68</v>
      </c>
      <c r="D195" s="4" t="s">
        <v>5685</v>
      </c>
      <c r="E195" s="4" t="s">
        <v>3404</v>
      </c>
      <c r="F195" s="4" t="s">
        <v>3405</v>
      </c>
      <c r="G195" s="4" t="s">
        <v>103</v>
      </c>
      <c r="H195" s="4" t="s">
        <v>2111</v>
      </c>
      <c r="I195" s="4" t="s">
        <v>68</v>
      </c>
      <c r="J195" s="4" t="s">
        <v>2001</v>
      </c>
      <c r="K195" s="4" t="s">
        <v>2002</v>
      </c>
      <c r="L195" s="4" t="s">
        <v>1114</v>
      </c>
      <c r="M195" s="14" t="n">
        <f aca="false">SUMIFS(PSUT_LARGA!$K$2:$K$618,PSUT_LARGA!$B$2:$B$618,$B195,PSUT_LARGA!$H$2:$H$618,$L195,PSUT_LARGA!$E$2:$E$618,$J195,PSUT_LARGA!$F$2:$F$618,$K195,PSUT_LARGA!$G$2:$G$618,$I195,PSUT_LARGA!$I$2:$I$618,$H195)</f>
        <v>1688.6184</v>
      </c>
      <c r="N195" s="14" t="n">
        <f aca="false">IF($H195="TRANSFORMACION_REFINERIA",$M195*INDEX(PARAMETROS!$C$27:$C$33,MATCH($B195,PARAMETROS!$A$27:$A$33,0)),$M195)</f>
        <v>1688.6184</v>
      </c>
      <c r="O195" s="4" t="inlineStr">
        <is>
          <t>COMB_GAS</t>
        </is>
      </c>
      <c r="P195" s="4" t="s">
        <v>3352</v>
      </c>
      <c r="Q195" s="11" t="n">
        <f aca="false">MIN($B195,2022)</f>
        <v>2021</v>
      </c>
      <c r="R195" s="8" t="str">
        <f>IF(COUNT($S195:$U195)=0,"NO",IF($O195="CERO_DIRECTO","CAL",IF(OR($B195&gt;$Q195,COUNTIFS(DATOS_MODELO!$C$2:$C$3672,$Q195&amp;"|"&amp;$E195&amp;"|"&amp;$O195&amp;"|*",DATOS_MODELO!$F$2:$F$3672,"PRX",DATOS_MODELO!$AA$2:$AA$3672,"&lt;&gt;")&gt;0),"PRX",IF(COUNTIFS(DATOS_MODELO!$C$2:$C$3672,$Q195&amp;"|"&amp;$E195&amp;"|"&amp;$O195&amp;"|*",DATOS_MODELO!$F$2:$F$3672,"CAL",DATOS_MODELO!$AA$2:$AA$3672,"&lt;&gt;")&gt;0,"CAL","OBS"))))</f>
        <v>PRX</v>
      </c>
      <c r="S195" s="14">
        <f>IF(COUNTIFS(DATOS_MODELO!$C$2:$C$3672,$Q195&amp;"|"&amp;$E195&amp;"|"&amp;$O195&amp;"|CO2",DATOS_MODELO!$AA$2:$AA$3672,"&lt;&gt;")=0,"",INDEX(DATOS_MODELO!$AA$2:$AA$3672,MATCH($Q195&amp;"|"&amp;$E195&amp;"|"&amp;$O195&amp;"|CO2",DATOS_MODELO!$C$2:$C$3672,0)))</f>
        <v>69300.0</v>
      </c>
      <c r="T195" s="14">
        <f>IF(COUNTIFS(DATOS_MODELO!$C$2:$C$3672,$Q195&amp;"|"&amp;$E195&amp;"|"&amp;$O195&amp;"|CH4",DATOS_MODELO!$AA$2:$AA$3672,"&lt;&gt;")=0,"",INDEX(DATOS_MODELO!$AA$2:$AA$3672,MATCH($Q195&amp;"|"&amp;$E195&amp;"|"&amp;$O195&amp;"|CH4",DATOS_MODELO!$C$2:$C$3672,0)))</f>
        <v>3.0</v>
      </c>
      <c r="U195" s="14">
        <f>IF(COUNTIFS(DATOS_MODELO!$C$2:$C$3672,$Q195&amp;"|"&amp;$E195&amp;"|"&amp;$O195&amp;"|N2O",DATOS_MODELO!$AA$2:$AA$3672,"&lt;&gt;")=0,"",INDEX(DATOS_MODELO!$AA$2:$AA$3672,MATCH($Q195&amp;"|"&amp;$E195&amp;"|"&amp;$O195&amp;"|N2O",DATOS_MODELO!$C$2:$C$3672,0)))</f>
        <v>0.6</v>
      </c>
      <c r="V195" s="8"/>
      <c r="W195" s="14"/>
      <c r="X195" s="14">
        <f>IF($P195="BIOGENICO",0,IF(ISNUMBER($S195),$N195*$S195/PARAMETROS!$B$8,""))</f>
        <v>117.02125512</v>
      </c>
      <c r="Y195" s="14">
        <f>IF($P195="BIOGENICO",IF(ISNUMBER($S195),$N195*$S195/PARAMETROS!$B$8,""),0)</f>
        <v>0.0</v>
      </c>
      <c r="Z195" s="14">
        <f>IF(ISNUMBER($T195),$N195*$T195/PARAMETROS!$B$8,"")</f>
        <v>0.0050658552</v>
      </c>
      <c r="AA195" s="14">
        <f>IF(ISNUMBER($U195),$N195*$U195/PARAMETROS!$B$8,"")</f>
        <v>0.00101317104</v>
      </c>
      <c r="AB195" s="14">
        <f>IF(COUNT($X195,$Z195,$AA195)=0,"",SUM($X195,IF(ISNUMBER($Z195),$Z195*PARAMETROS!$B$9,0),IF(ISNUMBER($AA195),$AA195*PARAMETROS!$B$10,0)))</f>
        <v>117.4315893912</v>
      </c>
      <c r="AC195" s="4" t="s">
        <v>1990</v>
      </c>
      <c r="AD195" s="4"/>
      <c r="AE195" s="4" t="s">
        <v>5690</v>
      </c>
      <c r="AF195" s="4" t="s">
        <v>170</v>
      </c>
      <c r="AG195" s="4" t="inlineStr">
        <is>
          <t>MARN_GTM_BTR1_2024</t>
        </is>
      </c>
      <c r="AH195" s="4" t="inlineStr">
        <is>
          <t>Origen de factores: CO2: MARN_GTM_BTR1_2024 [PRX; BTR1 Guatemala 2024, tabla 3.6, p. 48; fila Gasolina para motores; gas CO2]; CH4: MARN_GTM_BTR1_2024 [PRX; BTR1 Guatemala 2024, tabla 3.22, p. 62; fila Gasolina para motores; gas CH4]; N2O: MARN_GTM_BTR1_2024 [PRX; BTR1 Guatemala 2024, tabla 3.22, p. 62; fila Gasolina para motores; gas N2O].</t>
        </is>
      </c>
    </row>
    <row r="196" customFormat="false" ht="15" hidden="false" customHeight="false" outlineLevel="0" collapsed="false">
      <c r="A196" s="4" t="s">
        <v>5941</v>
      </c>
      <c r="B196" s="12" t="n">
        <v>2021</v>
      </c>
      <c r="C196" s="4" t="s">
        <v>68</v>
      </c>
      <c r="D196" s="4" t="s">
        <v>5685</v>
      </c>
      <c r="E196" s="4" t="s">
        <v>3404</v>
      </c>
      <c r="F196" s="4" t="s">
        <v>3405</v>
      </c>
      <c r="G196" s="4" t="s">
        <v>105</v>
      </c>
      <c r="H196" s="4" t="s">
        <v>2111</v>
      </c>
      <c r="I196" s="4" t="s">
        <v>68</v>
      </c>
      <c r="J196" s="4" t="s">
        <v>2001</v>
      </c>
      <c r="K196" s="4" t="s">
        <v>2002</v>
      </c>
      <c r="L196" s="4" t="s">
        <v>1128</v>
      </c>
      <c r="M196" s="14" t="n">
        <f aca="false">SUMIFS(PSUT_LARGA!$K$2:$K$618,PSUT_LARGA!$B$2:$B$618,$B196,PSUT_LARGA!$H$2:$H$618,$L196,PSUT_LARGA!$E$2:$E$618,$J196,PSUT_LARGA!$F$2:$F$618,$K196,PSUT_LARGA!$G$2:$G$618,$I196,PSUT_LARGA!$I$2:$I$618,$H196)</f>
        <v>4562.9416</v>
      </c>
      <c r="N196" s="14" t="n">
        <f aca="false">IF($H196="TRANSFORMACION_REFINERIA",$M196*INDEX(PARAMETROS!$C$27:$C$33,MATCH($B196,PARAMETROS!$A$27:$A$33,0)),$M196)</f>
        <v>4562.9416</v>
      </c>
      <c r="O196" s="4" t="inlineStr">
        <is>
          <t>COMB_GLP</t>
        </is>
      </c>
      <c r="P196" s="4" t="s">
        <v>3352</v>
      </c>
      <c r="Q196" s="11" t="n">
        <f aca="false">MIN($B196,2022)</f>
        <v>2021</v>
      </c>
      <c r="R196" s="8" t="str">
        <f>IF(COUNT($S196:$U196)=0,"NO",IF($O196="CERO_DIRECTO","CAL",IF(OR($B196&gt;$Q196,COUNTIFS(DATOS_MODELO!$C$2:$C$3672,$Q196&amp;"|"&amp;$E196&amp;"|"&amp;$O196&amp;"|*",DATOS_MODELO!$F$2:$F$3672,"PRX",DATOS_MODELO!$AA$2:$AA$3672,"&lt;&gt;")&gt;0),"PRX",IF(COUNTIFS(DATOS_MODELO!$C$2:$C$3672,$Q196&amp;"|"&amp;$E196&amp;"|"&amp;$O196&amp;"|*",DATOS_MODELO!$F$2:$F$3672,"CAL",DATOS_MODELO!$AA$2:$AA$3672,"&lt;&gt;")&gt;0,"CAL","OBS"))))</f>
        <v>PRX</v>
      </c>
      <c r="S196" s="14">
        <f>IF(COUNTIFS(DATOS_MODELO!$C$2:$C$3672,$Q196&amp;"|"&amp;$E196&amp;"|"&amp;$O196&amp;"|CO2",DATOS_MODELO!$AA$2:$AA$3672,"&lt;&gt;")=0,"",INDEX(DATOS_MODELO!$AA$2:$AA$3672,MATCH($Q196&amp;"|"&amp;$E196&amp;"|"&amp;$O196&amp;"|CO2",DATOS_MODELO!$C$2:$C$3672,0)))</f>
        <v>63100.0</v>
      </c>
      <c r="T196" s="14">
        <f>IF(COUNTIFS(DATOS_MODELO!$C$2:$C$3672,$Q196&amp;"|"&amp;$E196&amp;"|"&amp;$O196&amp;"|CH4",DATOS_MODELO!$AA$2:$AA$3672,"&lt;&gt;")=0,"",INDEX(DATOS_MODELO!$AA$2:$AA$3672,MATCH($Q196&amp;"|"&amp;$E196&amp;"|"&amp;$O196&amp;"|CH4",DATOS_MODELO!$C$2:$C$3672,0)))</f>
        <v>1.0</v>
      </c>
      <c r="U196" s="14">
        <f>IF(COUNTIFS(DATOS_MODELO!$C$2:$C$3672,$Q196&amp;"|"&amp;$E196&amp;"|"&amp;$O196&amp;"|N2O",DATOS_MODELO!$AA$2:$AA$3672,"&lt;&gt;")=0,"",INDEX(DATOS_MODELO!$AA$2:$AA$3672,MATCH($Q196&amp;"|"&amp;$E196&amp;"|"&amp;$O196&amp;"|N2O",DATOS_MODELO!$C$2:$C$3672,0)))</f>
        <v>0.1</v>
      </c>
      <c r="V196" s="8"/>
      <c r="W196" s="14"/>
      <c r="X196" s="14">
        <f>IF($P196="BIOGENICO",0,IF(ISNUMBER($S196),$N196*$S196/PARAMETROS!$B$8,""))</f>
        <v>287.92161496</v>
      </c>
      <c r="Y196" s="14">
        <f>IF($P196="BIOGENICO",IF(ISNUMBER($S196),$N196*$S196/PARAMETROS!$B$8,""),0)</f>
        <v>0.0</v>
      </c>
      <c r="Z196" s="14">
        <f>IF(ISNUMBER($T196),$N196*$T196/PARAMETROS!$B$8,"")</f>
        <v>0.0045629416</v>
      </c>
      <c r="AA196" s="14">
        <f>IF(ISNUMBER($U196),$N196*$U196/PARAMETROS!$B$8,"")</f>
        <v>0.00045629416</v>
      </c>
      <c r="AB196" s="14">
        <f>IF(COUNT($X196,$Z196,$AA196)=0,"",SUM($X196,IF(ISNUMBER($Z196),$Z196*PARAMETROS!$B$9,0),IF(ISNUMBER($AA196),$AA196*PARAMETROS!$B$10,0)))</f>
        <v>288.1702952772</v>
      </c>
      <c r="AC196" s="4" t="s">
        <v>1990</v>
      </c>
      <c r="AD196" s="4"/>
      <c r="AE196" s="4" t="s">
        <v>5690</v>
      </c>
      <c r="AF196" s="4" t="s">
        <v>170</v>
      </c>
      <c r="AG196" s="4" t="inlineStr">
        <is>
          <t>MARN_GTM_BTR1_2024</t>
        </is>
      </c>
      <c r="AH196" s="4" t="inlineStr">
        <is>
          <t>Origen de factores: CO2: MARN_GTM_BTR1_2024 [PRX; BTR1 Guatemala 2024, tabla 3.6, p. 48; fila Gases licuados de petróleo; gas CO2]; CH4: MARN_GTM_BTR1_2024 [PRX; BTR1 Guatemala 2024, tabla 3.22, p. 62; fila Gases licuados de petróleo; gas CH4]; N2O: MARN_GTM_BTR1_2024 [PRX; BTR1 Guatemala 2024, tabla 3.22, p. 62; fila Gases licuados de petróleo; gas N2O].</t>
        </is>
      </c>
    </row>
    <row r="197" customFormat="false" ht="15" hidden="false" customHeight="false" outlineLevel="0" collapsed="false">
      <c r="A197" s="4" t="s">
        <v>5942</v>
      </c>
      <c r="B197" s="12" t="n">
        <v>2021</v>
      </c>
      <c r="C197" s="4" t="s">
        <v>72</v>
      </c>
      <c r="D197" s="4" t="s">
        <v>5685</v>
      </c>
      <c r="E197" s="4" t="s">
        <v>3383</v>
      </c>
      <c r="F197" s="4" t="s">
        <v>3384</v>
      </c>
      <c r="G197" s="4" t="s">
        <v>109</v>
      </c>
      <c r="H197" s="4" t="s">
        <v>2079</v>
      </c>
      <c r="I197" s="4" t="s">
        <v>72</v>
      </c>
      <c r="J197" s="4" t="s">
        <v>2001</v>
      </c>
      <c r="K197" s="4" t="s">
        <v>2002</v>
      </c>
      <c r="L197" s="4" t="s">
        <v>1015</v>
      </c>
      <c r="M197" s="14" t="n">
        <f aca="false">SUMIFS(PSUT_LARGA!$K$2:$K$618,PSUT_LARGA!$B$2:$B$618,$B197,PSUT_LARGA!$H$2:$H$618,$L197,PSUT_LARGA!$E$2:$E$618,$J197,PSUT_LARGA!$F$2:$F$618,$K197,PSUT_LARGA!$G$2:$G$618,$I197,PSUT_LARGA!$I$2:$I$618,$H197)</f>
        <v>9401.9744</v>
      </c>
      <c r="N197" s="14" t="n">
        <f aca="false">IF($H197="TRANSFORMACION_REFINERIA",$M197*INDEX(PARAMETROS!$C$27:$C$33,MATCH($B197,PARAMETROS!$A$27:$A$33,0)),$M197)</f>
        <v>9401.9744</v>
      </c>
      <c r="O197" s="4" t="s">
        <v>3343</v>
      </c>
      <c r="P197" s="4" t="s">
        <v>3344</v>
      </c>
      <c r="Q197" s="11" t="n">
        <f aca="false">MIN($B197,2022)</f>
        <v>2021</v>
      </c>
      <c r="R197" s="8" t="str">
        <f>IF(COUNT($S197:$U197)=0,"NO",IF($O197="CERO_DIRECTO","CAL",IF(OR($B197&gt;$Q197,COUNTIFS(DATOS_MODELO!$C$2:$C$3672,$Q197&amp;"|"&amp;$E197&amp;"|"&amp;$O197&amp;"|*",DATOS_MODELO!$F$2:$F$3672,"PRX",DATOS_MODELO!$AA$2:$AA$3672,"&lt;&gt;")&gt;0),"PRX",IF(COUNTIFS(DATOS_MODELO!$C$2:$C$3672,$Q197&amp;"|"&amp;$E197&amp;"|"&amp;$O197&amp;"|*",DATOS_MODELO!$F$2:$F$3672,"CAL",DATOS_MODELO!$AA$2:$AA$3672,"&lt;&gt;")&gt;0,"CAL","OBS"))))</f>
        <v>OBS</v>
      </c>
      <c r="S197" s="14">
        <f>IF(COUNTIFS(DATOS_MODELO!$C$2:$C$3672,$Q197&amp;"|"&amp;$E197&amp;"|"&amp;$O197&amp;"|CO2",DATOS_MODELO!$AA$2:$AA$3672,"&lt;&gt;")=0,"",INDEX(DATOS_MODELO!$AA$2:$AA$3672,MATCH($Q197&amp;"|"&amp;$E197&amp;"|"&amp;$O197&amp;"|CO2",DATOS_MODELO!$C$2:$C$3672,0)))</f>
        <v>111999.999783624</v>
      </c>
      <c r="T197" s="14">
        <f>IF(COUNTIFS(DATOS_MODELO!$C$2:$C$3672,$Q197&amp;"|"&amp;$E197&amp;"|"&amp;$O197&amp;"|CH4",DATOS_MODELO!$AA$2:$AA$3672,"&lt;&gt;")=0,"",INDEX(DATOS_MODELO!$AA$2:$AA$3672,MATCH($Q197&amp;"|"&amp;$E197&amp;"|"&amp;$O197&amp;"|CH4",DATOS_MODELO!$C$2:$C$3672,0)))</f>
        <v>299.999999459059</v>
      </c>
      <c r="U197" s="14">
        <f>IF(COUNTIFS(DATOS_MODELO!$C$2:$C$3672,$Q197&amp;"|"&amp;$E197&amp;"|"&amp;$O197&amp;"|N2O",DATOS_MODELO!$AA$2:$AA$3672,"&lt;&gt;")=0,"",INDEX(DATOS_MODELO!$AA$2:$AA$3672,MATCH($Q197&amp;"|"&amp;$E197&amp;"|"&amp;$O197&amp;"|N2O",DATOS_MODELO!$C$2:$C$3672,0)))</f>
        <v>4.0000001081882</v>
      </c>
      <c r="V197" s="8"/>
      <c r="W197" s="14"/>
      <c r="X197" s="14">
        <f>IF($P197="BIOGENICO",0,IF(ISNUMBER($S197),$N197*$S197/PARAMETROS!$B$8,""))</f>
        <v>0.0</v>
      </c>
      <c r="Y197" s="14">
        <f>IF($P197="BIOGENICO",IF(ISNUMBER($S197),$N197*$S197/PARAMETROS!$B$8,""),0)</f>
        <v>1053.02113076563</v>
      </c>
      <c r="Z197" s="14">
        <f>IF(ISNUMBER($T197),$N197*$T197/PARAMETROS!$B$8,"")</f>
        <v>2.82059231491409</v>
      </c>
      <c r="AA197" s="14">
        <f>IF(ISNUMBER($U197),$N197*$U197/PARAMETROS!$B$8,"")</f>
        <v>0.0376078986171827</v>
      </c>
      <c r="AB197" s="14">
        <f>IF(COUNT($X197,$Z197,$AA197)=0,"",SUM($X197,IF(ISNUMBER($Z197),$Z197*PARAMETROS!$B$9,0),IF(ISNUMBER($AA197),$AA197*PARAMETROS!$B$10,0)))</f>
        <v>88.9426779511478</v>
      </c>
      <c r="AC197" s="4" t="s">
        <v>1990</v>
      </c>
      <c r="AD197" s="4"/>
      <c r="AE197" s="4" t="s">
        <v>5690</v>
      </c>
      <c r="AF197" s="4" t="s">
        <v>170</v>
      </c>
      <c r="AG197" s="4" t="s">
        <v>3999</v>
      </c>
      <c r="AH197" s="4"/>
    </row>
    <row r="198" customFormat="false" ht="23.85" hidden="false" customHeight="false" outlineLevel="0" collapsed="false">
      <c r="A198" s="4" t="s">
        <v>5943</v>
      </c>
      <c r="B198" s="12" t="n">
        <v>2021</v>
      </c>
      <c r="C198" s="4" t="s">
        <v>72</v>
      </c>
      <c r="D198" s="4" t="s">
        <v>5685</v>
      </c>
      <c r="E198" s="4" t="s">
        <v>3383</v>
      </c>
      <c r="F198" s="4" t="s">
        <v>3384</v>
      </c>
      <c r="G198" s="4" t="s">
        <v>99</v>
      </c>
      <c r="H198" s="4" t="s">
        <v>2079</v>
      </c>
      <c r="I198" s="4" t="s">
        <v>72</v>
      </c>
      <c r="J198" s="4" t="s">
        <v>2001</v>
      </c>
      <c r="K198" s="4" t="s">
        <v>2002</v>
      </c>
      <c r="L198" s="4" t="s">
        <v>1085</v>
      </c>
      <c r="M198" s="14" t="n">
        <f aca="false">SUMIFS(PSUT_LARGA!$K$2:$K$618,PSUT_LARGA!$B$2:$B$618,$B198,PSUT_LARGA!$H$2:$H$618,$L198,PSUT_LARGA!$E$2:$E$618,$J198,PSUT_LARGA!$F$2:$F$618,$K198,PSUT_LARGA!$G$2:$G$618,$I198,PSUT_LARGA!$I$2:$I$618,$H198)</f>
        <v>10818.4524</v>
      </c>
      <c r="N198" s="14" t="n">
        <f aca="false">IF($H198="TRANSFORMACION_REFINERIA",$M198*INDEX(PARAMETROS!$C$27:$C$33,MATCH($B198,PARAMETROS!$A$27:$A$33,0)),$M198)</f>
        <v>10818.4524</v>
      </c>
      <c r="O198" s="4" t="s">
        <v>3362</v>
      </c>
      <c r="P198" s="4" t="s">
        <v>3363</v>
      </c>
      <c r="Q198" s="11" t="n">
        <f aca="false">MIN($B198,2022)</f>
        <v>2021</v>
      </c>
      <c r="R198" s="8" t="str">
        <f>IF(COUNT($S198:$U198)=0,"NO",IF($O198="CERO_DIRECTO","CAL",IF(OR($B198&gt;$Q198,COUNTIFS(DATOS_MODELO!$C$2:$C$3672,$Q198&amp;"|"&amp;$E198&amp;"|"&amp;$O198&amp;"|*",DATOS_MODELO!$F$2:$F$3672,"PRX",DATOS_MODELO!$AA$2:$AA$3672,"&lt;&gt;")&gt;0),"PRX",IF(COUNTIFS(DATOS_MODELO!$C$2:$C$3672,$Q198&amp;"|"&amp;$E198&amp;"|"&amp;$O198&amp;"|*",DATOS_MODELO!$F$2:$F$3672,"CAL",DATOS_MODELO!$AA$2:$AA$3672,"&lt;&gt;")&gt;0,"CAL","OBS"))))</f>
        <v>CAL</v>
      </c>
      <c r="S198" s="14">
        <f>IF(COUNTIFS(DATOS_MODELO!$C$2:$C$3672,$Q198&amp;"|"&amp;$E198&amp;"|"&amp;$O198&amp;"|CO2",DATOS_MODELO!$AA$2:$AA$3672,"&lt;&gt;")=0,"",INDEX(DATOS_MODELO!$AA$2:$AA$3672,MATCH($Q198&amp;"|"&amp;$E198&amp;"|"&amp;$O198&amp;"|CO2",DATOS_MODELO!$C$2:$C$3672,0)))</f>
        <v>0.0</v>
      </c>
      <c r="T198" s="14">
        <f>IF(COUNTIFS(DATOS_MODELO!$C$2:$C$3672,$Q198&amp;"|"&amp;$E198&amp;"|"&amp;$O198&amp;"|CH4",DATOS_MODELO!$AA$2:$AA$3672,"&lt;&gt;")=0,"",INDEX(DATOS_MODELO!$AA$2:$AA$3672,MATCH($Q198&amp;"|"&amp;$E198&amp;"|"&amp;$O198&amp;"|CH4",DATOS_MODELO!$C$2:$C$3672,0)))</f>
        <v>0.0</v>
      </c>
      <c r="U198" s="14">
        <f>IF(COUNTIFS(DATOS_MODELO!$C$2:$C$3672,$Q198&amp;"|"&amp;$E198&amp;"|"&amp;$O198&amp;"|N2O",DATOS_MODELO!$AA$2:$AA$3672,"&lt;&gt;")=0,"",INDEX(DATOS_MODELO!$AA$2:$AA$3672,MATCH($Q198&amp;"|"&amp;$E198&amp;"|"&amp;$O198&amp;"|N2O",DATOS_MODELO!$C$2:$C$3672,0)))</f>
        <v>0.0</v>
      </c>
      <c r="V198" s="8"/>
      <c r="W198" s="14"/>
      <c r="X198" s="14">
        <f>IF($P198="BIOGENICO",0,IF(ISNUMBER($S198),$N198*$S198/PARAMETROS!$B$8,""))</f>
        <v>0.0</v>
      </c>
      <c r="Y198" s="14">
        <f>IF($P198="BIOGENICO",IF(ISNUMBER($S198),$N198*$S198/PARAMETROS!$B$8,""),0)</f>
        <v>0.0</v>
      </c>
      <c r="Z198" s="14">
        <f>IF(ISNUMBER($T198),$N198*$T198/PARAMETROS!$B$8,"")</f>
        <v>0.0</v>
      </c>
      <c r="AA198" s="14">
        <f>IF(ISNUMBER($U198),$N198*$U198/PARAMETROS!$B$8,"")</f>
        <v>0.0</v>
      </c>
      <c r="AB198" s="14">
        <f>IF(COUNT($X198,$Z198,$AA198)=0,"",SUM($X198,IF(ISNUMBER($Z198),$Z198*PARAMETROS!$B$9,0),IF(ISNUMBER($AA198),$AA198*PARAMETROS!$B$10,0)))</f>
        <v>0.0</v>
      </c>
      <c r="AC198" s="4" t="s">
        <v>1990</v>
      </c>
      <c r="AD198" s="4"/>
      <c r="AE198" s="4" t="s">
        <v>3362</v>
      </c>
      <c r="AF198" s="4" t="s">
        <v>170</v>
      </c>
      <c r="AG198" s="4" t="inlineStr">
        <is>
          <t>METODO_EMISIONES</t>
        </is>
      </c>
      <c r="AH198" s="4"/>
    </row>
    <row r="199" customFormat="false" ht="15" hidden="false" customHeight="false" outlineLevel="0" collapsed="false">
      <c r="A199" s="4" t="s">
        <v>5944</v>
      </c>
      <c r="B199" s="12" t="n">
        <v>2021</v>
      </c>
      <c r="C199" s="4" t="s">
        <v>72</v>
      </c>
      <c r="D199" s="4" t="s">
        <v>5685</v>
      </c>
      <c r="E199" s="4" t="s">
        <v>3383</v>
      </c>
      <c r="F199" s="4" t="s">
        <v>3384</v>
      </c>
      <c r="G199" s="4" t="s">
        <v>103</v>
      </c>
      <c r="H199" s="4" t="s">
        <v>2079</v>
      </c>
      <c r="I199" s="4" t="s">
        <v>72</v>
      </c>
      <c r="J199" s="4" t="s">
        <v>2001</v>
      </c>
      <c r="K199" s="4" t="s">
        <v>2002</v>
      </c>
      <c r="L199" s="4" t="s">
        <v>1113</v>
      </c>
      <c r="M199" s="14" t="n">
        <f aca="false">SUMIFS(PSUT_LARGA!$K$2:$K$618,PSUT_LARGA!$B$2:$B$618,$B199,PSUT_LARGA!$H$2:$H$618,$L199,PSUT_LARGA!$E$2:$E$618,$J199,PSUT_LARGA!$F$2:$F$618,$K199,PSUT_LARGA!$G$2:$G$618,$I199,PSUT_LARGA!$I$2:$I$618,$H199)</f>
        <v>422.1546</v>
      </c>
      <c r="N199" s="14" t="n">
        <f aca="false">IF($H199="TRANSFORMACION_REFINERIA",$M199*INDEX(PARAMETROS!$C$27:$C$33,MATCH($B199,PARAMETROS!$A$27:$A$33,0)),$M199)</f>
        <v>422.1546</v>
      </c>
      <c r="O199" s="4" t="inlineStr">
        <is>
          <t>COMB_GAS</t>
        </is>
      </c>
      <c r="P199" s="4" t="s">
        <v>3352</v>
      </c>
      <c r="Q199" s="11" t="n">
        <f aca="false">MIN($B199,2022)</f>
        <v>2021</v>
      </c>
      <c r="R199" s="8" t="str">
        <f>IF(COUNT($S199:$U199)=0,"NO",IF($O199="CERO_DIRECTO","CAL",IF(OR($B199&gt;$Q199,COUNTIFS(DATOS_MODELO!$C$2:$C$3672,$Q199&amp;"|"&amp;$E199&amp;"|"&amp;$O199&amp;"|*",DATOS_MODELO!$F$2:$F$3672,"PRX",DATOS_MODELO!$AA$2:$AA$3672,"&lt;&gt;")&gt;0),"PRX",IF(COUNTIFS(DATOS_MODELO!$C$2:$C$3672,$Q199&amp;"|"&amp;$E199&amp;"|"&amp;$O199&amp;"|*",DATOS_MODELO!$F$2:$F$3672,"CAL",DATOS_MODELO!$AA$2:$AA$3672,"&lt;&gt;")&gt;0,"CAL","OBS"))))</f>
        <v>PRX</v>
      </c>
      <c r="S199" s="14">
        <f>IF(COUNTIFS(DATOS_MODELO!$C$2:$C$3672,$Q199&amp;"|"&amp;$E199&amp;"|"&amp;$O199&amp;"|CO2",DATOS_MODELO!$AA$2:$AA$3672,"&lt;&gt;")=0,"",INDEX(DATOS_MODELO!$AA$2:$AA$3672,MATCH($Q199&amp;"|"&amp;$E199&amp;"|"&amp;$O199&amp;"|CO2",DATOS_MODELO!$C$2:$C$3672,0)))</f>
        <v>69300.0</v>
      </c>
      <c r="T199" s="14">
        <f>IF(COUNTIFS(DATOS_MODELO!$C$2:$C$3672,$Q199&amp;"|"&amp;$E199&amp;"|"&amp;$O199&amp;"|CH4",DATOS_MODELO!$AA$2:$AA$3672,"&lt;&gt;")=0,"",INDEX(DATOS_MODELO!$AA$2:$AA$3672,MATCH($Q199&amp;"|"&amp;$E199&amp;"|"&amp;$O199&amp;"|CH4",DATOS_MODELO!$C$2:$C$3672,0)))</f>
        <v>10.0</v>
      </c>
      <c r="U199" s="14">
        <f>IF(COUNTIFS(DATOS_MODELO!$C$2:$C$3672,$Q199&amp;"|"&amp;$E199&amp;"|"&amp;$O199&amp;"|N2O",DATOS_MODELO!$AA$2:$AA$3672,"&lt;&gt;")=0,"",INDEX(DATOS_MODELO!$AA$2:$AA$3672,MATCH($Q199&amp;"|"&amp;$E199&amp;"|"&amp;$O199&amp;"|N2O",DATOS_MODELO!$C$2:$C$3672,0)))</f>
        <v>0.6</v>
      </c>
      <c r="V199" s="8"/>
      <c r="W199" s="14"/>
      <c r="X199" s="14">
        <f>IF($P199="BIOGENICO",0,IF(ISNUMBER($S199),$N199*$S199/PARAMETROS!$B$8,""))</f>
        <v>29.25531378</v>
      </c>
      <c r="Y199" s="14">
        <f>IF($P199="BIOGENICO",IF(ISNUMBER($S199),$N199*$S199/PARAMETROS!$B$8,""),0)</f>
        <v>0.0</v>
      </c>
      <c r="Z199" s="14">
        <f>IF(ISNUMBER($T199),$N199*$T199/PARAMETROS!$B$8,"")</f>
        <v>0.004221546</v>
      </c>
      <c r="AA199" s="14">
        <f>IF(ISNUMBER($U199),$N199*$U199/PARAMETROS!$B$8,"")</f>
        <v>0.00025329276</v>
      </c>
      <c r="AB199" s="14">
        <f>IF(COUNT($X199,$Z199,$AA199)=0,"",SUM($X199,IF(ISNUMBER($Z199),$Z199*PARAMETROS!$B$9,0),IF(ISNUMBER($AA199),$AA199*PARAMETROS!$B$10,0)))</f>
        <v>29.4406396494</v>
      </c>
      <c r="AC199" s="4" t="s">
        <v>1990</v>
      </c>
      <c r="AD199" s="4"/>
      <c r="AE199" s="4" t="s">
        <v>5690</v>
      </c>
      <c r="AF199" s="4" t="s">
        <v>170</v>
      </c>
      <c r="AG199" s="4" t="inlineStr">
        <is>
          <t>MARN_GTM_BTR1_2024</t>
        </is>
      </c>
      <c r="AH199" s="4" t="inlineStr">
        <is>
          <t>Origen de factores: CO2: MARN_GTM_BTR1_2024 [PRX; BTR1 Guatemala 2024, tabla 3.6, p. 48; fila Gasolina para motores; gas CO2]; CH4: MARN_GTM_BTR1_2024 [PRX; BTR1 Guatemala 2024, tabla 3.33, p. 70; fila Gasolina para motores; gas CH4]; N2O: MARN_GTM_BTR1_2024 [PRX; BTR1 Guatemala 2024, tabla 3.33, p. 70; fila Gasolina para motores; gas N2O].</t>
        </is>
      </c>
    </row>
    <row r="200" customFormat="false" ht="15" hidden="false" customHeight="false" outlineLevel="0" collapsed="false">
      <c r="A200" s="4" t="s">
        <v>5945</v>
      </c>
      <c r="B200" s="12" t="n">
        <v>2021</v>
      </c>
      <c r="C200" s="4" t="s">
        <v>72</v>
      </c>
      <c r="D200" s="4" t="s">
        <v>5685</v>
      </c>
      <c r="E200" s="4" t="s">
        <v>3383</v>
      </c>
      <c r="F200" s="4" t="s">
        <v>3384</v>
      </c>
      <c r="G200" s="4" t="s">
        <v>105</v>
      </c>
      <c r="H200" s="4" t="s">
        <v>2079</v>
      </c>
      <c r="I200" s="4" t="s">
        <v>72</v>
      </c>
      <c r="J200" s="4" t="s">
        <v>2001</v>
      </c>
      <c r="K200" s="4" t="s">
        <v>2002</v>
      </c>
      <c r="L200" s="4" t="s">
        <v>1127</v>
      </c>
      <c r="M200" s="14" t="n">
        <f aca="false">SUMIFS(PSUT_LARGA!$K$2:$K$618,PSUT_LARGA!$B$2:$B$618,$B200,PSUT_LARGA!$H$2:$H$618,$L200,PSUT_LARGA!$E$2:$E$618,$J200,PSUT_LARGA!$F$2:$F$618,$K200,PSUT_LARGA!$G$2:$G$618,$I200,PSUT_LARGA!$I$2:$I$618,$H200)</f>
        <v>456.3174</v>
      </c>
      <c r="N200" s="14" t="n">
        <f aca="false">IF($H200="TRANSFORMACION_REFINERIA",$M200*INDEX(PARAMETROS!$C$27:$C$33,MATCH($B200,PARAMETROS!$A$27:$A$33,0)),$M200)</f>
        <v>456.3174</v>
      </c>
      <c r="O200" s="4" t="inlineStr">
        <is>
          <t>COMB_GLP</t>
        </is>
      </c>
      <c r="P200" s="4" t="s">
        <v>3352</v>
      </c>
      <c r="Q200" s="11" t="n">
        <f aca="false">MIN($B200,2022)</f>
        <v>2021</v>
      </c>
      <c r="R200" s="8" t="str">
        <f>IF(COUNT($S200:$U200)=0,"NO",IF($O200="CERO_DIRECTO","CAL",IF(OR($B200&gt;$Q200,COUNTIFS(DATOS_MODELO!$C$2:$C$3672,$Q200&amp;"|"&amp;$E200&amp;"|"&amp;$O200&amp;"|*",DATOS_MODELO!$F$2:$F$3672,"PRX",DATOS_MODELO!$AA$2:$AA$3672,"&lt;&gt;")&gt;0),"PRX",IF(COUNTIFS(DATOS_MODELO!$C$2:$C$3672,$Q200&amp;"|"&amp;$E200&amp;"|"&amp;$O200&amp;"|*",DATOS_MODELO!$F$2:$F$3672,"CAL",DATOS_MODELO!$AA$2:$AA$3672,"&lt;&gt;")&gt;0,"CAL","OBS"))))</f>
        <v>PRX</v>
      </c>
      <c r="S200" s="14">
        <f>IF(COUNTIFS(DATOS_MODELO!$C$2:$C$3672,$Q200&amp;"|"&amp;$E200&amp;"|"&amp;$O200&amp;"|CO2",DATOS_MODELO!$AA$2:$AA$3672,"&lt;&gt;")=0,"",INDEX(DATOS_MODELO!$AA$2:$AA$3672,MATCH($Q200&amp;"|"&amp;$E200&amp;"|"&amp;$O200&amp;"|CO2",DATOS_MODELO!$C$2:$C$3672,0)))</f>
        <v>63100.0</v>
      </c>
      <c r="T200" s="14">
        <f>IF(COUNTIFS(DATOS_MODELO!$C$2:$C$3672,$Q200&amp;"|"&amp;$E200&amp;"|"&amp;$O200&amp;"|CH4",DATOS_MODELO!$AA$2:$AA$3672,"&lt;&gt;")=0,"",INDEX(DATOS_MODELO!$AA$2:$AA$3672,MATCH($Q200&amp;"|"&amp;$E200&amp;"|"&amp;$O200&amp;"|CH4",DATOS_MODELO!$C$2:$C$3672,0)))</f>
        <v>5.0</v>
      </c>
      <c r="U200" s="14">
        <f>IF(COUNTIFS(DATOS_MODELO!$C$2:$C$3672,$Q200&amp;"|"&amp;$E200&amp;"|"&amp;$O200&amp;"|N2O",DATOS_MODELO!$AA$2:$AA$3672,"&lt;&gt;")=0,"",INDEX(DATOS_MODELO!$AA$2:$AA$3672,MATCH($Q200&amp;"|"&amp;$E200&amp;"|"&amp;$O200&amp;"|N2O",DATOS_MODELO!$C$2:$C$3672,0)))</f>
        <v>0.1</v>
      </c>
      <c r="V200" s="8"/>
      <c r="W200" s="14"/>
      <c r="X200" s="14">
        <f>IF($P200="BIOGENICO",0,IF(ISNUMBER($S200),$N200*$S200/PARAMETROS!$B$8,""))</f>
        <v>28.79362794</v>
      </c>
      <c r="Y200" s="14">
        <f>IF($P200="BIOGENICO",IF(ISNUMBER($S200),$N200*$S200/PARAMETROS!$B$8,""),0)</f>
        <v>0.0</v>
      </c>
      <c r="Z200" s="14">
        <f>IF(ISNUMBER($T200),$N200*$T200/PARAMETROS!$B$8,"")</f>
        <v>0.002281587</v>
      </c>
      <c r="AA200" s="14">
        <f>IF(ISNUMBER($U200),$N200*$U200/PARAMETROS!$B$8,"")</f>
        <v>4.563174e-05</v>
      </c>
      <c r="AB200" s="14">
        <f>IF(COUNT($X200,$Z200,$AA200)=0,"",SUM($X200,IF(ISNUMBER($Z200),$Z200*PARAMETROS!$B$9,0),IF(ISNUMBER($AA200),$AA200*PARAMETROS!$B$10,0)))</f>
        <v>28.8696047871</v>
      </c>
      <c r="AC200" s="4" t="s">
        <v>1990</v>
      </c>
      <c r="AD200" s="4"/>
      <c r="AE200" s="4" t="s">
        <v>5690</v>
      </c>
      <c r="AF200" s="4" t="s">
        <v>170</v>
      </c>
      <c r="AG200" s="4" t="inlineStr">
        <is>
          <t>MARN_GTM_BTR1_2024</t>
        </is>
      </c>
      <c r="AH200" s="4" t="inlineStr">
        <is>
          <t>Origen de factores: CO2: MARN_GTM_BTR1_2024 [PRX; BTR1 Guatemala 2024, tabla 3.6, p. 48; fila Gases licuados de petróleo; gas CO2]; CH4: MARN_GTM_BTR1_2024 [PRX; BTR1 Guatemala 2024, tabla 3.33, p. 70; fila Gases licuados de petróleo; gas CH4]; N2O: MARN_GTM_BTR1_2024 [PRX; BTR1 Guatemala 2024, tabla 3.33, p. 70; fila Gases licuados de petróleo; gas N2O].</t>
        </is>
      </c>
    </row>
    <row r="201" customFormat="false" ht="15" hidden="false" customHeight="false" outlineLevel="0" collapsed="false">
      <c r="A201" s="4" t="s">
        <v>5946</v>
      </c>
      <c r="B201" s="12" t="n">
        <v>2021</v>
      </c>
      <c r="C201" s="4" t="s">
        <v>71</v>
      </c>
      <c r="D201" s="4" t="s">
        <v>5685</v>
      </c>
      <c r="E201" s="4" t="s">
        <v>3412</v>
      </c>
      <c r="F201" s="4" t="s">
        <v>3413</v>
      </c>
      <c r="G201" s="4" t="s">
        <v>97</v>
      </c>
      <c r="H201" s="4" t="s">
        <v>2123</v>
      </c>
      <c r="I201" s="4" t="s">
        <v>71</v>
      </c>
      <c r="J201" s="4" t="s">
        <v>2001</v>
      </c>
      <c r="K201" s="4" t="s">
        <v>2002</v>
      </c>
      <c r="L201" s="4" t="s">
        <v>1069</v>
      </c>
      <c r="M201" s="14" t="n">
        <f aca="false">SUMIFS(PSUT_LARGA!$K$2:$K$618,PSUT_LARGA!$B$2:$B$618,$B201,PSUT_LARGA!$H$2:$H$618,$L201,PSUT_LARGA!$E$2:$E$618,$J201,PSUT_LARGA!$F$2:$F$618,$K201,PSUT_LARGA!$G$2:$G$618,$I201,PSUT_LARGA!$I$2:$I$618,$H201)</f>
        <v>78533.2471</v>
      </c>
      <c r="N201" s="14" t="n">
        <f aca="false">IF($H201="TRANSFORMACION_REFINERIA",$M201*INDEX(PARAMETROS!$C$27:$C$33,MATCH($B201,PARAMETROS!$A$27:$A$33,0)),$M201)</f>
        <v>78533.2471</v>
      </c>
      <c r="O201" s="4" t="inlineStr">
        <is>
          <t>COMB_DOIL</t>
        </is>
      </c>
      <c r="P201" s="4" t="s">
        <v>3352</v>
      </c>
      <c r="Q201" s="11" t="n">
        <f aca="false">MIN($B201,2022)</f>
        <v>2021</v>
      </c>
      <c r="R201" s="8" t="str">
        <f>IF(COUNT($S201:$U201)=0,"NO",IF($O201="CERO_DIRECTO","CAL",IF(OR($B201&gt;$Q201,COUNTIFS(DATOS_MODELO!$C$2:$C$3672,$Q201&amp;"|"&amp;$E201&amp;"|"&amp;$O201&amp;"|*",DATOS_MODELO!$F$2:$F$3672,"PRX",DATOS_MODELO!$AA$2:$AA$3672,"&lt;&gt;")&gt;0),"PRX",IF(COUNTIFS(DATOS_MODELO!$C$2:$C$3672,$Q201&amp;"|"&amp;$E201&amp;"|"&amp;$O201&amp;"|*",DATOS_MODELO!$F$2:$F$3672,"CAL",DATOS_MODELO!$AA$2:$AA$3672,"&lt;&gt;")&gt;0,"CAL","OBS"))))</f>
        <v>OBS</v>
      </c>
      <c r="S201" s="14">
        <f>IF(COUNTIFS(DATOS_MODELO!$C$2:$C$3672,$Q201&amp;"|"&amp;$E201&amp;"|"&amp;$O201&amp;"|CO2",DATOS_MODELO!$AA$2:$AA$3672,"&lt;&gt;")=0,"",INDEX(DATOS_MODELO!$AA$2:$AA$3672,MATCH($Q201&amp;"|"&amp;$E201&amp;"|"&amp;$O201&amp;"|CO2",DATOS_MODELO!$C$2:$C$3672,0)))</f>
        <v>74100.0000205941</v>
      </c>
      <c r="T201" s="14">
        <f>IF(COUNTIFS(DATOS_MODELO!$C$2:$C$3672,$Q201&amp;"|"&amp;$E201&amp;"|"&amp;$O201&amp;"|CH4",DATOS_MODELO!$AA$2:$AA$3672,"&lt;&gt;")=0,"",INDEX(DATOS_MODELO!$AA$2:$AA$3672,MATCH($Q201&amp;"|"&amp;$E201&amp;"|"&amp;$O201&amp;"|CH4",DATOS_MODELO!$C$2:$C$3672,0)))</f>
        <v>3.90000000790086</v>
      </c>
      <c r="U201" s="14">
        <f>IF(COUNTIFS(DATOS_MODELO!$C$2:$C$3672,$Q201&amp;"|"&amp;$E201&amp;"|"&amp;$O201&amp;"|N2O",DATOS_MODELO!$AA$2:$AA$3672,"&lt;&gt;")=0,"",INDEX(DATOS_MODELO!$AA$2:$AA$3672,MATCH($Q201&amp;"|"&amp;$E201&amp;"|"&amp;$O201&amp;"|N2O",DATOS_MODELO!$C$2:$C$3672,0)))</f>
        <v>3.90000000790086</v>
      </c>
      <c r="V201" s="8"/>
      <c r="W201" s="14"/>
      <c r="X201" s="14">
        <f>IF($P201="BIOGENICO",0,IF(ISNUMBER($S201),$N201*$S201/PARAMETROS!$B$8,""))</f>
        <v>5819.31361172732</v>
      </c>
      <c r="Y201" s="14">
        <f>IF($P201="BIOGENICO",IF(ISNUMBER($S201),$N201*$S201/PARAMETROS!$B$8,""),0)</f>
        <v>0.0</v>
      </c>
      <c r="Z201" s="14">
        <f>IF(ISNUMBER($T201),$N201*$T201/PARAMETROS!$B$8,"")</f>
        <v>0.30627966431048</v>
      </c>
      <c r="AA201" s="14">
        <f>IF(ISNUMBER($U201),$N201*$U201/PARAMETROS!$B$8,"")</f>
        <v>0.30627966431048</v>
      </c>
      <c r="AB201" s="14">
        <f>IF(COUNT($X201,$Z201,$AA201)=0,"",SUM($X201,IF(ISNUMBER($Z201),$Z201*PARAMETROS!$B$9,0),IF(ISNUMBER($AA201),$AA201*PARAMETROS!$B$10,0)))</f>
        <v>5909.05355337029</v>
      </c>
      <c r="AC201" s="4" t="s">
        <v>1990</v>
      </c>
      <c r="AD201" s="4"/>
      <c r="AE201" s="4" t="s">
        <v>5690</v>
      </c>
      <c r="AF201" s="4" t="s">
        <v>170</v>
      </c>
      <c r="AG201" s="4" t="s">
        <v>3999</v>
      </c>
      <c r="AH201" s="4" t="inlineStr">
        <is>
          <t>Origen de factores: CO2: UNFCCC_GTM_CRT_2024 [OBS; GTM-CRT-2024-V0.3-2021-20250304-084824_started.xlsx; Table1.A(a)s3; AD=C22; EM=H22; IEF=E22]; CH4: UNFCCC_GTM_CRT_2024 [OBS; GTM-CRT-2024-V0.3-2021-20250304-084824_started.xlsx; Table1.A(a)s3; AD=C22; EM=I22; IEF=F22]; N2O: UNFCCC_GTM_CRT_2024 [OBS; GTM-CRT-2024-V0.3-2021-20250304-084824_started.xlsx; Table1.A(a)s3; AD=C22; EM=J22; IEF=G22].</t>
        </is>
      </c>
    </row>
    <row r="202" customFormat="false" ht="15" hidden="false" customHeight="false" outlineLevel="0" collapsed="false">
      <c r="A202" s="4" t="s">
        <v>5947</v>
      </c>
      <c r="B202" s="12" t="n">
        <v>2021</v>
      </c>
      <c r="C202" s="4" t="s">
        <v>71</v>
      </c>
      <c r="D202" s="4" t="s">
        <v>5685</v>
      </c>
      <c r="E202" s="4" t="s">
        <v>3412</v>
      </c>
      <c r="F202" s="4" t="s">
        <v>3413</v>
      </c>
      <c r="G202" s="4" t="s">
        <v>103</v>
      </c>
      <c r="H202" s="4" t="s">
        <v>2123</v>
      </c>
      <c r="I202" s="4" t="s">
        <v>71</v>
      </c>
      <c r="J202" s="4" t="s">
        <v>2001</v>
      </c>
      <c r="K202" s="4" t="s">
        <v>2002</v>
      </c>
      <c r="L202" s="4" t="s">
        <v>1111</v>
      </c>
      <c r="M202" s="14" t="n">
        <f aca="false">SUMIFS(PSUT_LARGA!$K$2:$K$618,PSUT_LARGA!$B$2:$B$618,$B202,PSUT_LARGA!$H$2:$H$618,$L202,PSUT_LARGA!$E$2:$E$618,$J202,PSUT_LARGA!$F$2:$F$618,$K202,PSUT_LARGA!$G$2:$G$618,$I202,PSUT_LARGA!$I$2:$I$618,$H202)</f>
        <v>82385.3933</v>
      </c>
      <c r="N202" s="14" t="n">
        <f aca="false">IF($H202="TRANSFORMACION_REFINERIA",$M202*INDEX(PARAMETROS!$C$27:$C$33,MATCH($B202,PARAMETROS!$A$27:$A$33,0)),$M202)</f>
        <v>82385.3933</v>
      </c>
      <c r="O202" s="4" t="inlineStr">
        <is>
          <t>COMB_GAS</t>
        </is>
      </c>
      <c r="P202" s="4" t="s">
        <v>3352</v>
      </c>
      <c r="Q202" s="11" t="n">
        <f aca="false">MIN($B202,2022)</f>
        <v>2021</v>
      </c>
      <c r="R202" s="8" t="str">
        <f>IF(COUNT($S202:$U202)=0,"NO",IF($O202="CERO_DIRECTO","CAL",IF(OR($B202&gt;$Q202,COUNTIFS(DATOS_MODELO!$C$2:$C$3672,$Q202&amp;"|"&amp;$E202&amp;"|"&amp;$O202&amp;"|*",DATOS_MODELO!$F$2:$F$3672,"PRX",DATOS_MODELO!$AA$2:$AA$3672,"&lt;&gt;")&gt;0),"PRX",IF(COUNTIFS(DATOS_MODELO!$C$2:$C$3672,$Q202&amp;"|"&amp;$E202&amp;"|"&amp;$O202&amp;"|*",DATOS_MODELO!$F$2:$F$3672,"CAL",DATOS_MODELO!$AA$2:$AA$3672,"&lt;&gt;")&gt;0,"CAL","OBS"))))</f>
        <v>PRX</v>
      </c>
      <c r="S202" s="14">
        <f>IF(COUNTIFS(DATOS_MODELO!$C$2:$C$3672,$Q202&amp;"|"&amp;$E202&amp;"|"&amp;$O202&amp;"|CO2",DATOS_MODELO!$AA$2:$AA$3672,"&lt;&gt;")=0,"",INDEX(DATOS_MODELO!$AA$2:$AA$3672,MATCH($Q202&amp;"|"&amp;$E202&amp;"|"&amp;$O202&amp;"|CO2",DATOS_MODELO!$C$2:$C$3672,0)))</f>
        <v>69300.5689165018</v>
      </c>
      <c r="T202" s="14">
        <f>IF(COUNTIFS(DATOS_MODELO!$C$2:$C$3672,$Q202&amp;"|"&amp;$E202&amp;"|"&amp;$O202&amp;"|CH4",DATOS_MODELO!$AA$2:$AA$3672,"&lt;&gt;")=0,"",INDEX(DATOS_MODELO!$AA$2:$AA$3672,MATCH($Q202&amp;"|"&amp;$E202&amp;"|"&amp;$O202&amp;"|CH4",DATOS_MODELO!$C$2:$C$3672,0)))</f>
        <v>32.9735892081</v>
      </c>
      <c r="U202" s="14">
        <f>IF(COUNTIFS(DATOS_MODELO!$C$2:$C$3672,$Q202&amp;"|"&amp;$E202&amp;"|"&amp;$O202&amp;"|N2O",DATOS_MODELO!$AA$2:$AA$3672,"&lt;&gt;")=0,"",INDEX(DATOS_MODELO!$AA$2:$AA$3672,MATCH($Q202&amp;"|"&amp;$E202&amp;"|"&amp;$O202&amp;"|N2O",DATOS_MODELO!$C$2:$C$3672,0)))</f>
        <v>3.19902485959712</v>
      </c>
      <c r="V202" s="8"/>
      <c r="W202" s="14"/>
      <c r="X202" s="14">
        <f>IF($P202="BIOGENICO",0,IF(ISNUMBER($S202),$N202*$S202/PARAMETROS!$B$8,""))</f>
        <v>5709.35462609976</v>
      </c>
      <c r="Y202" s="14">
        <f>IF($P202="BIOGENICO",IF(ISNUMBER($S202),$N202*$S202/PARAMETROS!$B$8,""),0)</f>
        <v>0.0</v>
      </c>
      <c r="Z202" s="14">
        <f>IF(ISNUMBER($T202),$N202*$T202/PARAMETROS!$B$8,"")</f>
        <v>2.71654211542196</v>
      </c>
      <c r="AA202" s="14">
        <f>IF(ISNUMBER($U202),$N202*$U202/PARAMETROS!$B$8,"")</f>
        <v>0.263552921234386</v>
      </c>
      <c r="AB202" s="14">
        <f>IF(COUNT($X202,$Z202,$AA202)=0,"",SUM($X202,IF(ISNUMBER($Z202),$Z202*PARAMETROS!$B$9,0),IF(ISNUMBER($AA202),$AA202*PARAMETROS!$B$10,0)))</f>
        <v>5855.25932945869</v>
      </c>
      <c r="AC202" s="4" t="s">
        <v>1990</v>
      </c>
      <c r="AD202" s="4"/>
      <c r="AE202" s="4" t="s">
        <v>5690</v>
      </c>
      <c r="AF202" s="4" t="s">
        <v>170</v>
      </c>
      <c r="AG202" s="4" t="s">
        <v>3999</v>
      </c>
      <c r="AH202" s="4" t="inlineStr">
        <is>
          <t>Origen de factores: CO2: UNFCCC_GTM_CRT_2024 [PRX; GTM-CRT-2024-V0.3-2021-20250304-084824_started.xlsx; Table1.A(a)s3; AD=C17+C21; EM=H17+H21; IEF=E17+E21]; CH4: UNFCCC_GTM_CRT_2024 [PRX; GTM-CRT-2024-V0.3-2021-20250304-084824_started.xlsx; Table1.A(a)s3; AD=C17+C21; EM=I17+I21; IEF=F17+F21]; N2O: UNFCCC_GTM_CRT_2024 [PRX; GTM-CRT-2024-V0.3-2021-20250304-084824_started.xlsx; Table1.A(a)s3; AD=C17+C21; EM=J17+J21; IEF=G17+G21].</t>
        </is>
      </c>
    </row>
    <row r="203" customFormat="false" ht="15" hidden="false" customHeight="false" outlineLevel="0" collapsed="false">
      <c r="A203" s="4" t="s">
        <v>5948</v>
      </c>
      <c r="B203" s="12" t="n">
        <v>2021</v>
      </c>
      <c r="C203" s="4" t="s">
        <v>71</v>
      </c>
      <c r="D203" s="4" t="s">
        <v>5685</v>
      </c>
      <c r="E203" s="4" t="s">
        <v>3412</v>
      </c>
      <c r="F203" s="4" t="s">
        <v>3413</v>
      </c>
      <c r="G203" s="4" t="s">
        <v>105</v>
      </c>
      <c r="H203" s="4" t="s">
        <v>2123</v>
      </c>
      <c r="I203" s="4" t="s">
        <v>71</v>
      </c>
      <c r="J203" s="4" t="s">
        <v>2001</v>
      </c>
      <c r="K203" s="4" t="s">
        <v>2002</v>
      </c>
      <c r="L203" s="4" t="s">
        <v>1125</v>
      </c>
      <c r="M203" s="14" t="n">
        <f aca="false">SUMIFS(PSUT_LARGA!$K$2:$K$618,PSUT_LARGA!$B$2:$B$618,$B203,PSUT_LARGA!$H$2:$H$618,$L203,PSUT_LARGA!$E$2:$E$618,$J203,PSUT_LARGA!$F$2:$F$618,$K203,PSUT_LARGA!$G$2:$G$618,$I203,PSUT_LARGA!$I$2:$I$618,$H203)</f>
        <v>228.1587</v>
      </c>
      <c r="N203" s="14" t="n">
        <f aca="false">IF($H203="TRANSFORMACION_REFINERIA",$M203*INDEX(PARAMETROS!$C$27:$C$33,MATCH($B203,PARAMETROS!$A$27:$A$33,0)),$M203)</f>
        <v>228.1587</v>
      </c>
      <c r="O203" s="4" t="inlineStr">
        <is>
          <t>COMB_GLP</t>
        </is>
      </c>
      <c r="P203" s="4" t="s">
        <v>3352</v>
      </c>
      <c r="Q203" s="11" t="n">
        <f aca="false">MIN($B203,2022)</f>
        <v>2021</v>
      </c>
      <c r="R203" s="8" t="str">
        <f>IF(COUNT($S203:$U203)=0,"NO",IF($O203="CERO_DIRECTO","CAL",IF(OR($B203&gt;$Q203,COUNTIFS(DATOS_MODELO!$C$2:$C$3672,$Q203&amp;"|"&amp;$E203&amp;"|"&amp;$O203&amp;"|*",DATOS_MODELO!$F$2:$F$3672,"PRX",DATOS_MODELO!$AA$2:$AA$3672,"&lt;&gt;")&gt;0),"PRX",IF(COUNTIFS(DATOS_MODELO!$C$2:$C$3672,$Q203&amp;"|"&amp;$E203&amp;"|"&amp;$O203&amp;"|*",DATOS_MODELO!$F$2:$F$3672,"CAL",DATOS_MODELO!$AA$2:$AA$3672,"&lt;&gt;")&gt;0,"CAL","OBS"))))</f>
        <v>OBS</v>
      </c>
      <c r="S203" s="14">
        <f>IF(COUNTIFS(DATOS_MODELO!$C$2:$C$3672,$Q203&amp;"|"&amp;$E203&amp;"|"&amp;$O203&amp;"|CO2",DATOS_MODELO!$AA$2:$AA$3672,"&lt;&gt;")=0,"",INDEX(DATOS_MODELO!$AA$2:$AA$3672,MATCH($Q203&amp;"|"&amp;$E203&amp;"|"&amp;$O203&amp;"|CO2",DATOS_MODELO!$C$2:$C$3672,0)))</f>
        <v>63100.0001591673</v>
      </c>
      <c r="T203" s="14">
        <f>IF(COUNTIFS(DATOS_MODELO!$C$2:$C$3672,$Q203&amp;"|"&amp;$E203&amp;"|"&amp;$O203&amp;"|CH4",DATOS_MODELO!$AA$2:$AA$3672,"&lt;&gt;")=0,"",INDEX(DATOS_MODELO!$AA$2:$AA$3672,MATCH($Q203&amp;"|"&amp;$E203&amp;"|"&amp;$O203&amp;"|CH4",DATOS_MODELO!$C$2:$C$3672,0)))</f>
        <v>62.0000013999592</v>
      </c>
      <c r="U203" s="14">
        <f>IF(COUNTIFS(DATOS_MODELO!$C$2:$C$3672,$Q203&amp;"|"&amp;$E203&amp;"|"&amp;$O203&amp;"|N2O",DATOS_MODELO!$AA$2:$AA$3672,"&lt;&gt;")=0,"",INDEX(DATOS_MODELO!$AA$2:$AA$3672,MATCH($Q203&amp;"|"&amp;$E203&amp;"|"&amp;$O203&amp;"|N2O",DATOS_MODELO!$C$2:$C$3672,0)))</f>
        <v>0.199997991013983</v>
      </c>
      <c r="V203" s="8"/>
      <c r="W203" s="14"/>
      <c r="X203" s="14">
        <f>IF($P203="BIOGENICO",0,IF(ISNUMBER($S203),$N203*$S203/PARAMETROS!$B$8,""))</f>
        <v>14.3968140063154</v>
      </c>
      <c r="Y203" s="14">
        <f>IF($P203="BIOGENICO",IF(ISNUMBER($S203),$N203*$S203/PARAMETROS!$B$8,""),0)</f>
        <v>0.0</v>
      </c>
      <c r="Z203" s="14">
        <f>IF(ISNUMBER($T203),$N203*$T203/PARAMETROS!$B$8,"")</f>
        <v>0.0141458397194129</v>
      </c>
      <c r="AA203" s="14">
        <f>IF(ISNUMBER($U203),$N203*$U203/PARAMETROS!$B$8,"")</f>
        <v>4.56312816323621e-05</v>
      </c>
      <c r="AB203" s="14">
        <f>IF(COUNT($X203,$Z203,$AA203)=0,"",SUM($X203,IF(ISNUMBER($Z203),$Z203*PARAMETROS!$B$9,0),IF(ISNUMBER($AA203),$AA203*PARAMETROS!$B$10,0)))</f>
        <v>14.8049898080916</v>
      </c>
      <c r="AC203" s="4" t="s">
        <v>1990</v>
      </c>
      <c r="AD203" s="4"/>
      <c r="AE203" s="4" t="s">
        <v>5690</v>
      </c>
      <c r="AF203" s="4" t="s">
        <v>170</v>
      </c>
      <c r="AG203" s="4" t="s">
        <v>3999</v>
      </c>
      <c r="AH203" s="4" t="inlineStr">
        <is>
          <t>Origen de factores: CO2: UNFCCC_GTM_CRT_2024 [OBS; GTM-CRT-2024-V0.3-2021-20250304-084824_started.xlsx; Table1.A(a)s3; AD=C23; EM=H23; IEF=E23]; CH4: UNFCCC_GTM_CRT_2024 [OBS; GTM-CRT-2024-V0.3-2021-20250304-084824_started.xlsx; Table1.A(a)s3; AD=C23; EM=I23; IEF=F23]; N2O: UNFCCC_GTM_CRT_2024 [OBS; GTM-CRT-2024-V0.3-2021-20250304-084824_started.xlsx; Table1.A(a)s3; AD=C23; EM=J23; IEF=G23].</t>
        </is>
      </c>
    </row>
    <row r="204" customFormat="false" ht="15" hidden="false" customHeight="false" outlineLevel="0" collapsed="false">
      <c r="A204" s="4" t="s">
        <v>5949</v>
      </c>
      <c r="B204" s="12" t="n">
        <v>2021</v>
      </c>
      <c r="C204" s="4" t="s">
        <v>71</v>
      </c>
      <c r="D204" s="4" t="s">
        <v>5685</v>
      </c>
      <c r="E204" s="4" t="s">
        <v>3412</v>
      </c>
      <c r="F204" s="4" t="s">
        <v>3413</v>
      </c>
      <c r="G204" s="4" t="s">
        <v>107</v>
      </c>
      <c r="H204" s="4" t="s">
        <v>2123</v>
      </c>
      <c r="I204" s="4" t="s">
        <v>71</v>
      </c>
      <c r="J204" s="4" t="s">
        <v>2001</v>
      </c>
      <c r="K204" s="4" t="s">
        <v>2002</v>
      </c>
      <c r="L204" s="4" t="s">
        <v>1139</v>
      </c>
      <c r="M204" s="14" t="n">
        <f aca="false">SUMIFS(PSUT_LARGA!$K$2:$K$618,PSUT_LARGA!$B$2:$B$618,$B204,PSUT_LARGA!$H$2:$H$618,$L204,PSUT_LARGA!$E$2:$E$618,$J204,PSUT_LARGA!$F$2:$F$618,$K204,PSUT_LARGA!$G$2:$G$618,$I204,PSUT_LARGA!$I$2:$I$618,$H204)</f>
        <v>3456.4271</v>
      </c>
      <c r="N204" s="14" t="n">
        <f aca="false">IF($H204="TRANSFORMACION_REFINERIA",$M204*INDEX(PARAMETROS!$C$27:$C$33,MATCH($B204,PARAMETROS!$A$27:$A$33,0)),$M204)</f>
        <v>3456.4271</v>
      </c>
      <c r="O204" s="4" t="inlineStr">
        <is>
          <t>COMB_KER</t>
        </is>
      </c>
      <c r="P204" s="4" t="s">
        <v>3352</v>
      </c>
      <c r="Q204" s="11" t="n">
        <f aca="false">MIN($B204,2022)</f>
        <v>2021</v>
      </c>
      <c r="R204" s="8" t="str">
        <f>IF(COUNT($S204:$U204)=0,"NO",IF($O204="CERO_DIRECTO","CAL",IF(OR($B204&gt;$Q204,COUNTIFS(DATOS_MODELO!$C$2:$C$3672,$Q204&amp;"|"&amp;$E204&amp;"|"&amp;$O204&amp;"|*",DATOS_MODELO!$F$2:$F$3672,"PRX",DATOS_MODELO!$AA$2:$AA$3672,"&lt;&gt;")&gt;0),"PRX",IF(COUNTIFS(DATOS_MODELO!$C$2:$C$3672,$Q204&amp;"|"&amp;$E204&amp;"|"&amp;$O204&amp;"|*",DATOS_MODELO!$F$2:$F$3672,"CAL",DATOS_MODELO!$AA$2:$AA$3672,"&lt;&gt;")&gt;0,"CAL","OBS"))))</f>
        <v>PRX</v>
      </c>
      <c r="S204" s="14">
        <f>IF(COUNTIFS(DATOS_MODELO!$C$2:$C$3672,$Q204&amp;"|"&amp;$E204&amp;"|"&amp;$O204&amp;"|CO2",DATOS_MODELO!$AA$2:$AA$3672,"&lt;&gt;")=0,"",INDEX(DATOS_MODELO!$AA$2:$AA$3672,MATCH($Q204&amp;"|"&amp;$E204&amp;"|"&amp;$O204&amp;"|CO2",DATOS_MODELO!$C$2:$C$3672,0)))</f>
        <v>71500.0</v>
      </c>
      <c r="T204" s="14">
        <f>IF(COUNTIFS(DATOS_MODELO!$C$2:$C$3672,$Q204&amp;"|"&amp;$E204&amp;"|"&amp;$O204&amp;"|CH4",DATOS_MODELO!$AA$2:$AA$3672,"&lt;&gt;")=0,"",INDEX(DATOS_MODELO!$AA$2:$AA$3672,MATCH($Q204&amp;"|"&amp;$E204&amp;"|"&amp;$O204&amp;"|CH4",DATOS_MODELO!$C$2:$C$3672,0)))</f>
        <v>0.5</v>
      </c>
      <c r="U204" s="14">
        <f>IF(COUNTIFS(DATOS_MODELO!$C$2:$C$3672,$Q204&amp;"|"&amp;$E204&amp;"|"&amp;$O204&amp;"|N2O",DATOS_MODELO!$AA$2:$AA$3672,"&lt;&gt;")=0,"",INDEX(DATOS_MODELO!$AA$2:$AA$3672,MATCH($Q204&amp;"|"&amp;$E204&amp;"|"&amp;$O204&amp;"|N2O",DATOS_MODELO!$C$2:$C$3672,0)))</f>
        <v>2.0</v>
      </c>
      <c r="V204" s="8"/>
      <c r="W204" s="14"/>
      <c r="X204" s="14">
        <f>IF($P204="BIOGENICO",0,IF(ISNUMBER($S204),$N204*$S204/PARAMETROS!$B$8,""))</f>
        <v>247.13453765</v>
      </c>
      <c r="Y204" s="14">
        <f>IF($P204="BIOGENICO",IF(ISNUMBER($S204),$N204*$S204/PARAMETROS!$B$8,""),0)</f>
        <v>0.0</v>
      </c>
      <c r="Z204" s="14">
        <f>IF(ISNUMBER($T204),$N204*$T204/PARAMETROS!$B$8,"")</f>
        <v>0.00172821355</v>
      </c>
      <c r="AA204" s="14">
        <f>IF(ISNUMBER($U204),$N204*$U204/PARAMETROS!$B$8,"")</f>
        <v>0.0069128542</v>
      </c>
      <c r="AB204" s="14">
        <f>IF(COUNT($X204,$Z204,$AA204)=0,"",SUM($X204,IF(ISNUMBER($Z204),$Z204*PARAMETROS!$B$9,0),IF(ISNUMBER($AA204),$AA204*PARAMETROS!$B$10,0)))</f>
        <v>249.0148339924</v>
      </c>
      <c r="AC204" s="4" t="s">
        <v>1990</v>
      </c>
      <c r="AD204" s="4"/>
      <c r="AE204" s="4" t="s">
        <v>5690</v>
      </c>
      <c r="AF204" s="4" t="s">
        <v>170</v>
      </c>
      <c r="AG204" s="4" t="inlineStr">
        <is>
          <t>IPCC_2006_GL</t>
        </is>
      </c>
      <c r="AH204" s="4" t="inlineStr">
        <is>
          <t>Origen de factores: CO2: IPCC_2006_GL [PRX; Volumen 2, capítulo 3, tabla 3.6.4, p. 3.64; fila Jet Kerosene; gas CO2]; CH4: IPCC_2006_GL [PRX; Volumen 2, capítulo 3, tabla 3.6.5, p. 3.64; fila All fuels; gas CH4]; N2O: IPCC_2006_GL [PRX; Volumen 2, capítulo 3, tabla 3.6.5, p. 3.64; fila All fuels; gas N2O].</t>
        </is>
      </c>
    </row>
    <row r="205" customFormat="false" ht="15" hidden="false" customHeight="false" outlineLevel="0" collapsed="false">
      <c r="A205" s="4" t="s">
        <v>5950</v>
      </c>
      <c r="B205" s="12" t="n">
        <v>2021</v>
      </c>
      <c r="C205" s="4" t="s">
        <v>65</v>
      </c>
      <c r="D205" s="4" t="s">
        <v>5734</v>
      </c>
      <c r="E205" s="4" t="s">
        <v>4024</v>
      </c>
      <c r="F205" s="4" t="s">
        <v>5735</v>
      </c>
      <c r="G205" s="4"/>
      <c r="H205" s="4" t="s">
        <v>5736</v>
      </c>
      <c r="I205" s="4" t="s">
        <v>65</v>
      </c>
      <c r="J205" s="4"/>
      <c r="K205" s="4"/>
      <c r="L205" s="4" t="s">
        <v>5951</v>
      </c>
      <c r="M205" s="14"/>
      <c r="N205" s="14"/>
      <c r="O205" s="4" t="s">
        <v>4011</v>
      </c>
      <c r="P205" s="4" t="s">
        <v>4019</v>
      </c>
      <c r="Q205" s="11" t="n">
        <f aca="false">MIN($B205,2022)</f>
        <v>2021</v>
      </c>
      <c r="R205" s="4" t="s">
        <v>169</v>
      </c>
      <c r="S205" s="14"/>
      <c r="T205" s="14"/>
      <c r="U205" s="14"/>
      <c r="V205" s="4" t="s">
        <v>4018</v>
      </c>
      <c r="W205" s="14">
        <f>SUMIFS(DATOS_MODELO!$AD$2:$AD$3672,DATOS_MODELO!$A$2:$A$3672,"EMISION_AGRICULTURA_OBS",DATOS_MODELO!$D$2:$D$3672,$B205,DATOS_MODELO!$W$2:$W$3672,"3.A",DATOS_MODELO!$Z$2:$Z$3672,$V205)</f>
        <v>172.366697</v>
      </c>
      <c r="X205" s="14" t="n">
        <f aca="false">IF($V205="CO2",$W205,0)</f>
        <v>0</v>
      </c>
      <c r="Y205" s="14" t="n">
        <f aca="false">0</f>
        <v>0</v>
      </c>
      <c r="Z205" s="14" t="n">
        <f aca="false">IF($V205="CH4",$W205,0)</f>
        <v>172.366697</v>
      </c>
      <c r="AA205" s="14" t="n">
        <f aca="false">IF($V205="N2O",$W205,0)</f>
        <v>0</v>
      </c>
      <c r="AB205" s="14" t="n">
        <f aca="false">$X205+$Z205*PARAMETROS!$B$9+$AA205*PARAMETROS!$B$10</f>
        <v>4826.267516</v>
      </c>
      <c r="AC205" s="4" t="s">
        <v>169</v>
      </c>
      <c r="AD205" s="4"/>
      <c r="AE205" s="4" t="s">
        <v>5736</v>
      </c>
      <c r="AF205" s="4" t="s">
        <v>3999</v>
      </c>
      <c r="AG205" s="4" t="s">
        <v>3999</v>
      </c>
      <c r="AH205" s="4"/>
    </row>
    <row r="206" customFormat="false" ht="15" hidden="false" customHeight="false" outlineLevel="0" collapsed="false">
      <c r="A206" s="4" t="s">
        <v>5952</v>
      </c>
      <c r="B206" s="12" t="n">
        <v>2021</v>
      </c>
      <c r="C206" s="4" t="s">
        <v>65</v>
      </c>
      <c r="D206" s="4" t="s">
        <v>5734</v>
      </c>
      <c r="E206" s="4" t="s">
        <v>4030</v>
      </c>
      <c r="F206" s="4" t="s">
        <v>5739</v>
      </c>
      <c r="G206" s="4"/>
      <c r="H206" s="4" t="s">
        <v>5736</v>
      </c>
      <c r="I206" s="4" t="s">
        <v>65</v>
      </c>
      <c r="J206" s="4"/>
      <c r="K206" s="4"/>
      <c r="L206" s="4" t="s">
        <v>5953</v>
      </c>
      <c r="M206" s="14"/>
      <c r="N206" s="14"/>
      <c r="O206" s="4" t="s">
        <v>4011</v>
      </c>
      <c r="P206" s="4" t="s">
        <v>4019</v>
      </c>
      <c r="Q206" s="11" t="n">
        <f aca="false">MIN($B206,2022)</f>
        <v>2021</v>
      </c>
      <c r="R206" s="4" t="s">
        <v>169</v>
      </c>
      <c r="S206" s="14"/>
      <c r="T206" s="14"/>
      <c r="U206" s="14"/>
      <c r="V206" s="4" t="s">
        <v>4018</v>
      </c>
      <c r="W206" s="14">
        <f>SUMIFS(DATOS_MODELO!$AD$2:$AD$3672,DATOS_MODELO!$A$2:$A$3672,"EMISION_AGRICULTURA_OBS",DATOS_MODELO!$D$2:$D$3672,$B206,DATOS_MODELO!$W$2:$W$3672,"3.B",DATOS_MODELO!$Z$2:$Z$3672,$V206)</f>
        <v>6.07765496</v>
      </c>
      <c r="X206" s="14" t="n">
        <f aca="false">IF($V206="CO2",$W206,0)</f>
        <v>0</v>
      </c>
      <c r="Y206" s="14" t="n">
        <f aca="false">0</f>
        <v>0</v>
      </c>
      <c r="Z206" s="14" t="n">
        <f aca="false">IF($V206="CH4",$W206,0)</f>
        <v>6.07765496</v>
      </c>
      <c r="AA206" s="14" t="n">
        <f aca="false">IF($V206="N2O",$W206,0)</f>
        <v>0</v>
      </c>
      <c r="AB206" s="14" t="n">
        <f aca="false">$X206+$Z206*PARAMETROS!$B$9+$AA206*PARAMETROS!$B$10</f>
        <v>170.17433888</v>
      </c>
      <c r="AC206" s="4" t="s">
        <v>169</v>
      </c>
      <c r="AD206" s="4"/>
      <c r="AE206" s="4" t="s">
        <v>5736</v>
      </c>
      <c r="AF206" s="4" t="s">
        <v>3999</v>
      </c>
      <c r="AG206" s="4" t="s">
        <v>3999</v>
      </c>
      <c r="AH206" s="4"/>
    </row>
    <row r="207" customFormat="false" ht="15" hidden="false" customHeight="false" outlineLevel="0" collapsed="false">
      <c r="A207" s="4" t="s">
        <v>5954</v>
      </c>
      <c r="B207" s="12" t="n">
        <v>2021</v>
      </c>
      <c r="C207" s="4" t="s">
        <v>65</v>
      </c>
      <c r="D207" s="4" t="s">
        <v>5734</v>
      </c>
      <c r="E207" s="4" t="s">
        <v>4030</v>
      </c>
      <c r="F207" s="4" t="s">
        <v>5739</v>
      </c>
      <c r="G207" s="4"/>
      <c r="H207" s="4" t="s">
        <v>5736</v>
      </c>
      <c r="I207" s="4" t="s">
        <v>65</v>
      </c>
      <c r="J207" s="4"/>
      <c r="K207" s="4"/>
      <c r="L207" s="4" t="s">
        <v>5955</v>
      </c>
      <c r="M207" s="14"/>
      <c r="N207" s="14"/>
      <c r="O207" s="4" t="s">
        <v>4011</v>
      </c>
      <c r="P207" s="4" t="s">
        <v>4019</v>
      </c>
      <c r="Q207" s="11" t="n">
        <f aca="false">MIN($B207,2022)</f>
        <v>2021</v>
      </c>
      <c r="R207" s="4" t="s">
        <v>169</v>
      </c>
      <c r="S207" s="14"/>
      <c r="T207" s="14"/>
      <c r="U207" s="14"/>
      <c r="V207" s="4" t="s">
        <v>4048</v>
      </c>
      <c r="W207" s="14">
        <f>SUMIFS(DATOS_MODELO!$AD$2:$AD$3672,DATOS_MODELO!$A$2:$A$3672,"EMISION_AGRICULTURA_OBS",DATOS_MODELO!$D$2:$D$3672,$B207,DATOS_MODELO!$W$2:$W$3672,"3.B",DATOS_MODELO!$Z$2:$Z$3672,$V207)</f>
        <v>0.893024997666326</v>
      </c>
      <c r="X207" s="14" t="n">
        <f aca="false">IF($V207="CO2",$W207,0)</f>
        <v>0</v>
      </c>
      <c r="Y207" s="14" t="n">
        <f aca="false">0</f>
        <v>0</v>
      </c>
      <c r="Z207" s="14" t="n">
        <f aca="false">IF($V207="CH4",$W207,0)</f>
        <v>0</v>
      </c>
      <c r="AA207" s="14" t="n">
        <f aca="false">IF($V207="N2O",$W207,0)</f>
        <v>0.893024997666326</v>
      </c>
      <c r="AB207" s="14" t="n">
        <f aca="false">$X207+$Z207*PARAMETROS!$B$9+$AA207*PARAMETROS!$B$10</f>
        <v>236.651624381576</v>
      </c>
      <c r="AC207" s="4" t="s">
        <v>169</v>
      </c>
      <c r="AD207" s="4"/>
      <c r="AE207" s="4" t="s">
        <v>5736</v>
      </c>
      <c r="AF207" s="4" t="s">
        <v>3999</v>
      </c>
      <c r="AG207" s="4" t="s">
        <v>3999</v>
      </c>
      <c r="AH207" s="4"/>
    </row>
    <row r="208" customFormat="false" ht="15" hidden="false" customHeight="false" outlineLevel="0" collapsed="false">
      <c r="A208" s="4" t="s">
        <v>5956</v>
      </c>
      <c r="B208" s="12" t="n">
        <v>2021</v>
      </c>
      <c r="C208" s="4" t="s">
        <v>65</v>
      </c>
      <c r="D208" s="4" t="s">
        <v>5734</v>
      </c>
      <c r="E208" s="4" t="s">
        <v>4036</v>
      </c>
      <c r="F208" s="4" t="s">
        <v>5744</v>
      </c>
      <c r="G208" s="4"/>
      <c r="H208" s="4" t="s">
        <v>5736</v>
      </c>
      <c r="I208" s="4" t="s">
        <v>65</v>
      </c>
      <c r="J208" s="4"/>
      <c r="K208" s="4"/>
      <c r="L208" s="4" t="s">
        <v>5957</v>
      </c>
      <c r="M208" s="14"/>
      <c r="N208" s="14"/>
      <c r="O208" s="4" t="s">
        <v>4011</v>
      </c>
      <c r="P208" s="4" t="s">
        <v>4019</v>
      </c>
      <c r="Q208" s="11" t="n">
        <f aca="false">MIN($B208,2022)</f>
        <v>2021</v>
      </c>
      <c r="R208" s="4" t="s">
        <v>169</v>
      </c>
      <c r="S208" s="14"/>
      <c r="T208" s="14"/>
      <c r="U208" s="14"/>
      <c r="V208" s="4" t="s">
        <v>4018</v>
      </c>
      <c r="W208" s="14">
        <f>SUMIFS(DATOS_MODELO!$AD$2:$AD$3672,DATOS_MODELO!$A$2:$A$3672,"EMISION_AGRICULTURA_OBS",DATOS_MODELO!$D$2:$D$3672,$B208,DATOS_MODELO!$W$2:$W$3672,"3.C",DATOS_MODELO!$Z$2:$Z$3672,$V208)</f>
        <v>0.81432565368</v>
      </c>
      <c r="X208" s="14" t="n">
        <f aca="false">IF($V208="CO2",$W208,0)</f>
        <v>0</v>
      </c>
      <c r="Y208" s="14" t="n">
        <f aca="false">0</f>
        <v>0</v>
      </c>
      <c r="Z208" s="14" t="n">
        <f aca="false">IF($V208="CH4",$W208,0)</f>
        <v>0.81432565368</v>
      </c>
      <c r="AA208" s="14" t="n">
        <f aca="false">IF($V208="N2O",$W208,0)</f>
        <v>0</v>
      </c>
      <c r="AB208" s="14" t="n">
        <f aca="false">$X208+$Z208*PARAMETROS!$B$9+$AA208*PARAMETROS!$B$10</f>
        <v>22.80111830304</v>
      </c>
      <c r="AC208" s="4" t="s">
        <v>169</v>
      </c>
      <c r="AD208" s="4"/>
      <c r="AE208" s="4" t="s">
        <v>5736</v>
      </c>
      <c r="AF208" s="4" t="s">
        <v>3999</v>
      </c>
      <c r="AG208" s="4" t="s">
        <v>3999</v>
      </c>
      <c r="AH208" s="4"/>
    </row>
    <row r="209" customFormat="false" ht="15" hidden="false" customHeight="false" outlineLevel="0" collapsed="false">
      <c r="A209" s="4" t="s">
        <v>5958</v>
      </c>
      <c r="B209" s="12" t="n">
        <v>2021</v>
      </c>
      <c r="C209" s="4" t="s">
        <v>65</v>
      </c>
      <c r="D209" s="4" t="s">
        <v>5734</v>
      </c>
      <c r="E209" s="4" t="s">
        <v>4057</v>
      </c>
      <c r="F209" s="4" t="s">
        <v>5747</v>
      </c>
      <c r="G209" s="4"/>
      <c r="H209" s="4" t="s">
        <v>5736</v>
      </c>
      <c r="I209" s="4" t="s">
        <v>65</v>
      </c>
      <c r="J209" s="4"/>
      <c r="K209" s="4"/>
      <c r="L209" s="4" t="s">
        <v>5959</v>
      </c>
      <c r="M209" s="14"/>
      <c r="N209" s="14"/>
      <c r="O209" s="4" t="s">
        <v>4011</v>
      </c>
      <c r="P209" s="4" t="s">
        <v>4019</v>
      </c>
      <c r="Q209" s="11" t="n">
        <f aca="false">MIN($B209,2022)</f>
        <v>2021</v>
      </c>
      <c r="R209" s="4" t="s">
        <v>169</v>
      </c>
      <c r="S209" s="14"/>
      <c r="T209" s="14"/>
      <c r="U209" s="14"/>
      <c r="V209" s="4" t="s">
        <v>4048</v>
      </c>
      <c r="W209" s="14">
        <f>SUMIFS(DATOS_MODELO!$AD$2:$AD$3672,DATOS_MODELO!$A$2:$A$3672,"EMISION_AGRICULTURA_OBS",DATOS_MODELO!$D$2:$D$3672,$B209,DATOS_MODELO!$W$2:$W$3672,"3.D",DATOS_MODELO!$Z$2:$Z$3672,$V209)</f>
        <v>3.50642951613805</v>
      </c>
      <c r="X209" s="14" t="n">
        <f aca="false">IF($V209="CO2",$W209,0)</f>
        <v>0</v>
      </c>
      <c r="Y209" s="14" t="n">
        <f aca="false">0</f>
        <v>0</v>
      </c>
      <c r="Z209" s="14" t="n">
        <f aca="false">IF($V209="CH4",$W209,0)</f>
        <v>0</v>
      </c>
      <c r="AA209" s="14" t="n">
        <f aca="false">IF($V209="N2O",$W209,0)</f>
        <v>3.50642951613805</v>
      </c>
      <c r="AB209" s="14" t="n">
        <f aca="false">$X209+$Z209*PARAMETROS!$B$9+$AA209*PARAMETROS!$B$10</f>
        <v>929.203821776584</v>
      </c>
      <c r="AC209" s="4" t="s">
        <v>169</v>
      </c>
      <c r="AD209" s="4"/>
      <c r="AE209" s="4" t="s">
        <v>5736</v>
      </c>
      <c r="AF209" s="4" t="s">
        <v>3999</v>
      </c>
      <c r="AG209" s="4" t="s">
        <v>3999</v>
      </c>
      <c r="AH209" s="4"/>
    </row>
    <row r="210" customFormat="false" ht="15" hidden="false" customHeight="false" outlineLevel="0" collapsed="false">
      <c r="A210" s="4" t="s">
        <v>5960</v>
      </c>
      <c r="B210" s="12" t="n">
        <v>2021</v>
      </c>
      <c r="C210" s="4" t="s">
        <v>65</v>
      </c>
      <c r="D210" s="4" t="s">
        <v>5734</v>
      </c>
      <c r="E210" s="4" t="s">
        <v>4042</v>
      </c>
      <c r="F210" s="4" t="s">
        <v>5750</v>
      </c>
      <c r="G210" s="4"/>
      <c r="H210" s="4" t="s">
        <v>5736</v>
      </c>
      <c r="I210" s="4" t="s">
        <v>65</v>
      </c>
      <c r="J210" s="4"/>
      <c r="K210" s="4"/>
      <c r="L210" s="4" t="s">
        <v>5961</v>
      </c>
      <c r="M210" s="14"/>
      <c r="N210" s="14"/>
      <c r="O210" s="4" t="s">
        <v>4011</v>
      </c>
      <c r="P210" s="4" t="s">
        <v>4019</v>
      </c>
      <c r="Q210" s="11" t="n">
        <f aca="false">MIN($B210,2022)</f>
        <v>2021</v>
      </c>
      <c r="R210" s="4" t="s">
        <v>169</v>
      </c>
      <c r="S210" s="14"/>
      <c r="T210" s="14"/>
      <c r="U210" s="14"/>
      <c r="V210" s="4" t="s">
        <v>4018</v>
      </c>
      <c r="W210" s="14">
        <f>SUMIFS(DATOS_MODELO!$AD$2:$AD$3672,DATOS_MODELO!$A$2:$A$3672,"EMISION_AGRICULTURA_OBS",DATOS_MODELO!$D$2:$D$3672,$B210,DATOS_MODELO!$W$2:$W$3672,"3.E",DATOS_MODELO!$Z$2:$Z$3672,$V210)</f>
        <v>3.904782727656</v>
      </c>
      <c r="X210" s="14" t="n">
        <f aca="false">IF($V210="CO2",$W210,0)</f>
        <v>0</v>
      </c>
      <c r="Y210" s="14" t="n">
        <f aca="false">0</f>
        <v>0</v>
      </c>
      <c r="Z210" s="14" t="n">
        <f aca="false">IF($V210="CH4",$W210,0)</f>
        <v>3.904782727656</v>
      </c>
      <c r="AA210" s="14" t="n">
        <f aca="false">IF($V210="N2O",$W210,0)</f>
        <v>0</v>
      </c>
      <c r="AB210" s="14" t="n">
        <f aca="false">$X210+$Z210*PARAMETROS!$B$9+$AA210*PARAMETROS!$B$10</f>
        <v>109.333916374368</v>
      </c>
      <c r="AC210" s="4" t="s">
        <v>169</v>
      </c>
      <c r="AD210" s="4"/>
      <c r="AE210" s="4" t="s">
        <v>5736</v>
      </c>
      <c r="AF210" s="4" t="s">
        <v>3999</v>
      </c>
      <c r="AG210" s="4" t="s">
        <v>3999</v>
      </c>
      <c r="AH210" s="4"/>
    </row>
    <row r="211" customFormat="false" ht="15" hidden="false" customHeight="false" outlineLevel="0" collapsed="false">
      <c r="A211" s="4" t="s">
        <v>5962</v>
      </c>
      <c r="B211" s="12" t="n">
        <v>2021</v>
      </c>
      <c r="C211" s="4" t="s">
        <v>65</v>
      </c>
      <c r="D211" s="4" t="s">
        <v>5734</v>
      </c>
      <c r="E211" s="4" t="s">
        <v>4042</v>
      </c>
      <c r="F211" s="4" t="s">
        <v>5750</v>
      </c>
      <c r="G211" s="4"/>
      <c r="H211" s="4" t="s">
        <v>5736</v>
      </c>
      <c r="I211" s="4" t="s">
        <v>65</v>
      </c>
      <c r="J211" s="4"/>
      <c r="K211" s="4"/>
      <c r="L211" s="4" t="s">
        <v>5963</v>
      </c>
      <c r="M211" s="14"/>
      <c r="N211" s="14"/>
      <c r="O211" s="4" t="s">
        <v>4011</v>
      </c>
      <c r="P211" s="4" t="s">
        <v>4019</v>
      </c>
      <c r="Q211" s="11" t="n">
        <f aca="false">MIN($B211,2022)</f>
        <v>2021</v>
      </c>
      <c r="R211" s="4" t="s">
        <v>169</v>
      </c>
      <c r="S211" s="14"/>
      <c r="T211" s="14"/>
      <c r="U211" s="14"/>
      <c r="V211" s="4" t="s">
        <v>4048</v>
      </c>
      <c r="W211" s="14">
        <f>SUMIFS(DATOS_MODELO!$AD$2:$AD$3672,DATOS_MODELO!$A$2:$A$3672,"EMISION_AGRICULTURA_OBS",DATOS_MODELO!$D$2:$D$3672,$B211,DATOS_MODELO!$W$2:$W$3672,"3.E",DATOS_MODELO!$Z$2:$Z$3672,$V211)</f>
        <v>0.3565236403512</v>
      </c>
      <c r="X211" s="14" t="n">
        <f aca="false">IF($V211="CO2",$W211,0)</f>
        <v>0</v>
      </c>
      <c r="Y211" s="14" t="n">
        <f aca="false">0</f>
        <v>0</v>
      </c>
      <c r="Z211" s="14" t="n">
        <f aca="false">IF($V211="CH4",$W211,0)</f>
        <v>0</v>
      </c>
      <c r="AA211" s="14" t="n">
        <f aca="false">IF($V211="N2O",$W211,0)</f>
        <v>0.3565236403512</v>
      </c>
      <c r="AB211" s="14" t="n">
        <f aca="false">$X211+$Z211*PARAMETROS!$B$9+$AA211*PARAMETROS!$B$10</f>
        <v>94.478764693068</v>
      </c>
      <c r="AC211" s="4" t="s">
        <v>169</v>
      </c>
      <c r="AD211" s="4"/>
      <c r="AE211" s="4" t="s">
        <v>5736</v>
      </c>
      <c r="AF211" s="4" t="s">
        <v>3999</v>
      </c>
      <c r="AG211" s="4" t="s">
        <v>3999</v>
      </c>
      <c r="AH211" s="4"/>
    </row>
    <row r="212" customFormat="false" ht="23.85" hidden="false" customHeight="false" outlineLevel="0" collapsed="false">
      <c r="A212" s="4" t="s">
        <v>5964</v>
      </c>
      <c r="B212" s="12" t="n">
        <v>2021</v>
      </c>
      <c r="C212" s="4" t="s">
        <v>65</v>
      </c>
      <c r="D212" s="4" t="s">
        <v>5734</v>
      </c>
      <c r="E212" s="4" t="s">
        <v>5755</v>
      </c>
      <c r="F212" s="4" t="s">
        <v>5756</v>
      </c>
      <c r="G212" s="4"/>
      <c r="H212" s="4" t="s">
        <v>5757</v>
      </c>
      <c r="I212" s="4" t="s">
        <v>65</v>
      </c>
      <c r="J212" s="4"/>
      <c r="K212" s="4"/>
      <c r="L212" s="4" t="s">
        <v>5965</v>
      </c>
      <c r="M212" s="14"/>
      <c r="N212" s="14"/>
      <c r="O212" s="4" t="s">
        <v>4011</v>
      </c>
      <c r="P212" s="4" t="s">
        <v>4019</v>
      </c>
      <c r="Q212" s="11" t="n">
        <f aca="false">MIN($B212,2022)</f>
        <v>2021</v>
      </c>
      <c r="R212" s="4" t="s">
        <v>1990</v>
      </c>
      <c r="S212" s="14"/>
      <c r="T212" s="14"/>
      <c r="U212" s="14"/>
      <c r="V212" s="4" t="s">
        <v>4018</v>
      </c>
      <c r="W212" s="14">
        <f>SUMIFS(DATOS_MODELO!$AD$2:$AD$3672,DATOS_MODELO!$A$2:$A$3672,"EMISION_AGRICULTURA_OBS",DATOS_MODELO!$D$2:$D$3672,$B212,DATOS_MODELO!$W$2:$W$3672,"3",DATOS_MODELO!$Z$2:$Z$3672,$V212)-SUMIFS(DATOS_MODELO!$AD$2:$AD$3672,DATOS_MODELO!$A$2:$A$3672,"EMISION_AGRICULTURA_OBS",DATOS_MODELO!$D$2:$D$3672,$B212,DATOS_MODELO!$W$2:$W$3672,"3.A",DATOS_MODELO!$Z$2:$Z$3672,$V212)-SUMIFS(DATOS_MODELO!$AD$2:$AD$3672,DATOS_MODELO!$A$2:$A$3672,"EMISION_AGRICULTURA_OBS",DATOS_MODELO!$D$2:$D$3672,$B212,DATOS_MODELO!$W$2:$W$3672,"3.B",DATOS_MODELO!$Z$2:$Z$3672,$V212)-SUMIFS(DATOS_MODELO!$AD$2:$AD$3672,DATOS_MODELO!$A$2:$A$3672,"EMISION_AGRICULTURA_OBS",DATOS_MODELO!$D$2:$D$3672,$B212,DATOS_MODELO!$W$2:$W$3672,"3.C",DATOS_MODELO!$Z$2:$Z$3672,$V212)-SUMIFS(DATOS_MODELO!$AD$2:$AD$3672,DATOS_MODELO!$A$2:$A$3672,"EMISION_AGRICULTURA_OBS",DATOS_MODELO!$D$2:$D$3672,$B212,DATOS_MODELO!$W$2:$W$3672,"3.D",DATOS_MODELO!$Z$2:$Z$3672,$V212)-SUMIFS(DATOS_MODELO!$AD$2:$AD$3672,DATOS_MODELO!$A$2:$A$3672,"EMISION_AGRICULTURA_OBS",DATOS_MODELO!$D$2:$D$3672,$B212,DATOS_MODELO!$W$2:$W$3672,"3.E",DATOS_MODELO!$Z$2:$Z$3672,$V212)</f>
        <v>4.66490762075472</v>
      </c>
      <c r="X212" s="14" t="n">
        <f aca="false">IF($V212="CO2",$W212,0)</f>
        <v>0</v>
      </c>
      <c r="Y212" s="14" t="n">
        <f aca="false">0</f>
        <v>0</v>
      </c>
      <c r="Z212" s="14" t="n">
        <f aca="false">IF($V212="CH4",$W212,0)</f>
        <v>4.66490762075472</v>
      </c>
      <c r="AA212" s="14" t="n">
        <f aca="false">IF($V212="N2O",$W212,0)</f>
        <v>0</v>
      </c>
      <c r="AB212" s="14" t="n">
        <f aca="false">$X212+$Z212*PARAMETROS!$B$9+$AA212*PARAMETROS!$B$10</f>
        <v>130.617413381132</v>
      </c>
      <c r="AC212" s="4" t="s">
        <v>1990</v>
      </c>
      <c r="AD212" s="4"/>
      <c r="AE212" s="4" t="s">
        <v>5757</v>
      </c>
      <c r="AF212" s="4" t="s">
        <v>3999</v>
      </c>
      <c r="AG212" s="4" t="s">
        <v>3999</v>
      </c>
      <c r="AH212" s="4"/>
    </row>
    <row r="213" customFormat="false" ht="23.85" hidden="false" customHeight="false" outlineLevel="0" collapsed="false">
      <c r="A213" s="4" t="s">
        <v>5966</v>
      </c>
      <c r="B213" s="12" t="n">
        <v>2021</v>
      </c>
      <c r="C213" s="4" t="s">
        <v>65</v>
      </c>
      <c r="D213" s="4" t="s">
        <v>5734</v>
      </c>
      <c r="E213" s="4" t="s">
        <v>5755</v>
      </c>
      <c r="F213" s="4" t="s">
        <v>5756</v>
      </c>
      <c r="G213" s="4"/>
      <c r="H213" s="4" t="s">
        <v>5757</v>
      </c>
      <c r="I213" s="4" t="s">
        <v>65</v>
      </c>
      <c r="J213" s="4"/>
      <c r="K213" s="4"/>
      <c r="L213" s="4" t="s">
        <v>5967</v>
      </c>
      <c r="M213" s="14"/>
      <c r="N213" s="14"/>
      <c r="O213" s="4" t="s">
        <v>4011</v>
      </c>
      <c r="P213" s="4" t="s">
        <v>4019</v>
      </c>
      <c r="Q213" s="11" t="n">
        <f aca="false">MIN($B213,2022)</f>
        <v>2021</v>
      </c>
      <c r="R213" s="4" t="s">
        <v>1990</v>
      </c>
      <c r="S213" s="14"/>
      <c r="T213" s="14"/>
      <c r="U213" s="14"/>
      <c r="V213" s="4" t="s">
        <v>4048</v>
      </c>
      <c r="W213" s="14">
        <f>SUMIFS(DATOS_MODELO!$AD$2:$AD$3672,DATOS_MODELO!$A$2:$A$3672,"EMISION_AGRICULTURA_OBS",DATOS_MODELO!$D$2:$D$3672,$B213,DATOS_MODELO!$W$2:$W$3672,"3",DATOS_MODELO!$Z$2:$Z$3672,$V213)-SUMIFS(DATOS_MODELO!$AD$2:$AD$3672,DATOS_MODELO!$A$2:$A$3672,"EMISION_AGRICULTURA_OBS",DATOS_MODELO!$D$2:$D$3672,$B213,DATOS_MODELO!$W$2:$W$3672,"3.A",DATOS_MODELO!$Z$2:$Z$3672,$V213)-SUMIFS(DATOS_MODELO!$AD$2:$AD$3672,DATOS_MODELO!$A$2:$A$3672,"EMISION_AGRICULTURA_OBS",DATOS_MODELO!$D$2:$D$3672,$B213,DATOS_MODELO!$W$2:$W$3672,"3.B",DATOS_MODELO!$Z$2:$Z$3672,$V213)-SUMIFS(DATOS_MODELO!$AD$2:$AD$3672,DATOS_MODELO!$A$2:$A$3672,"EMISION_AGRICULTURA_OBS",DATOS_MODELO!$D$2:$D$3672,$B213,DATOS_MODELO!$W$2:$W$3672,"3.C",DATOS_MODELO!$Z$2:$Z$3672,$V213)-SUMIFS(DATOS_MODELO!$AD$2:$AD$3672,DATOS_MODELO!$A$2:$A$3672,"EMISION_AGRICULTURA_OBS",DATOS_MODELO!$D$2:$D$3672,$B213,DATOS_MODELO!$W$2:$W$3672,"3.D",DATOS_MODELO!$Z$2:$Z$3672,$V213)-SUMIFS(DATOS_MODELO!$AD$2:$AD$3672,DATOS_MODELO!$A$2:$A$3672,"EMISION_AGRICULTURA_OBS",DATOS_MODELO!$D$2:$D$3672,$B213,DATOS_MODELO!$W$2:$W$3672,"3.E",DATOS_MODELO!$Z$2:$Z$3672,$V213)</f>
        <v>0.120942049426975</v>
      </c>
      <c r="X213" s="14" t="n">
        <f aca="false">IF($V213="CO2",$W213,0)</f>
        <v>0</v>
      </c>
      <c r="Y213" s="14" t="n">
        <f aca="false">0</f>
        <v>0</v>
      </c>
      <c r="Z213" s="14" t="n">
        <f aca="false">IF($V213="CH4",$W213,0)</f>
        <v>0</v>
      </c>
      <c r="AA213" s="14" t="n">
        <f aca="false">IF($V213="N2O",$W213,0)</f>
        <v>0.120942049426975</v>
      </c>
      <c r="AB213" s="14" t="n">
        <f aca="false">$X213+$Z213*PARAMETROS!$B$9+$AA213*PARAMETROS!$B$10</f>
        <v>32.0496430981483</v>
      </c>
      <c r="AC213" s="4" t="s">
        <v>1990</v>
      </c>
      <c r="AD213" s="4"/>
      <c r="AE213" s="4" t="s">
        <v>5757</v>
      </c>
      <c r="AF213" s="4" t="s">
        <v>3999</v>
      </c>
      <c r="AG213" s="4" t="s">
        <v>3999</v>
      </c>
      <c r="AH213" s="4"/>
    </row>
    <row r="214" customFormat="false" ht="15" hidden="false" customHeight="false" outlineLevel="0" collapsed="false">
      <c r="A214" s="4" t="s">
        <v>5968</v>
      </c>
      <c r="B214" s="12" t="n">
        <v>2021</v>
      </c>
      <c r="C214" s="4" t="s">
        <v>65</v>
      </c>
      <c r="D214" s="4" t="s">
        <v>5734</v>
      </c>
      <c r="E214" s="4" t="s">
        <v>5762</v>
      </c>
      <c r="F214" s="4" t="s">
        <v>5763</v>
      </c>
      <c r="G214" s="4"/>
      <c r="H214" s="4" t="s">
        <v>5686</v>
      </c>
      <c r="I214" s="4" t="s">
        <v>65</v>
      </c>
      <c r="J214" s="4"/>
      <c r="K214" s="4"/>
      <c r="L214" s="4" t="s">
        <v>5969</v>
      </c>
      <c r="M214" s="14"/>
      <c r="N214" s="14"/>
      <c r="O214" s="4" t="s">
        <v>3349</v>
      </c>
      <c r="P214" s="4" t="s">
        <v>4019</v>
      </c>
      <c r="Q214" s="11" t="n">
        <f aca="false">MIN($B214,2022)</f>
        <v>2021</v>
      </c>
      <c r="R214" s="4" t="s">
        <v>3349</v>
      </c>
      <c r="S214" s="14"/>
      <c r="T214" s="14"/>
      <c r="U214" s="14"/>
      <c r="V214" s="4" t="s">
        <v>3349</v>
      </c>
      <c r="W214" s="14"/>
      <c r="X214" s="14"/>
      <c r="Y214" s="14"/>
      <c r="Z214" s="14"/>
      <c r="AA214" s="14"/>
      <c r="AB214" s="14"/>
      <c r="AC214" s="4" t="s">
        <v>3349</v>
      </c>
      <c r="AD214" s="4" t="s">
        <v>3349</v>
      </c>
      <c r="AE214" s="4" t="s">
        <v>5686</v>
      </c>
      <c r="AF214" s="4" t="s">
        <v>3999</v>
      </c>
      <c r="AG214" s="4"/>
      <c r="AH214" s="4"/>
    </row>
    <row r="215" customFormat="false" ht="15" hidden="false" customHeight="false" outlineLevel="0" collapsed="false">
      <c r="A215" s="4" t="s">
        <v>5970</v>
      </c>
      <c r="B215" s="12" t="n">
        <v>2021</v>
      </c>
      <c r="C215" s="4" t="s">
        <v>65</v>
      </c>
      <c r="D215" s="4" t="s">
        <v>5734</v>
      </c>
      <c r="E215" s="4" t="s">
        <v>5766</v>
      </c>
      <c r="F215" s="4" t="s">
        <v>5767</v>
      </c>
      <c r="G215" s="4"/>
      <c r="H215" s="4" t="s">
        <v>5736</v>
      </c>
      <c r="I215" s="4" t="s">
        <v>65</v>
      </c>
      <c r="J215" s="4"/>
      <c r="K215" s="4"/>
      <c r="L215" s="4" t="s">
        <v>5971</v>
      </c>
      <c r="M215" s="14"/>
      <c r="N215" s="14"/>
      <c r="O215" s="4" t="s">
        <v>4011</v>
      </c>
      <c r="P215" s="4" t="s">
        <v>3352</v>
      </c>
      <c r="Q215" s="11" t="n">
        <f aca="false">MIN($B215,2022)</f>
        <v>2021</v>
      </c>
      <c r="R215" s="4" t="s">
        <v>169</v>
      </c>
      <c r="S215" s="14"/>
      <c r="T215" s="14"/>
      <c r="U215" s="14"/>
      <c r="V215" s="4" t="s">
        <v>4012</v>
      </c>
      <c r="W215" s="14">
        <f>SUMIFS(DATOS_MODELO!$AD$2:$AD$3672,DATOS_MODELO!$A$2:$A$3672,"EMISION_AGRICULTURA_OBS",DATOS_MODELO!$D$2:$D$3672,$B215,DATOS_MODELO!$W$2:$W$3672,"3",DATOS_MODELO!$Z$2:$Z$3672,$V215)</f>
        <v>38.4461308</v>
      </c>
      <c r="X215" s="14" t="n">
        <f aca="false">IF($V215="CO2",$W215,0)</f>
        <v>38.4461308</v>
      </c>
      <c r="Y215" s="14" t="n">
        <f aca="false">0</f>
        <v>0</v>
      </c>
      <c r="Z215" s="14" t="n">
        <f aca="false">IF($V215="CH4",$W215,0)</f>
        <v>0</v>
      </c>
      <c r="AA215" s="14" t="n">
        <f aca="false">IF($V215="N2O",$W215,0)</f>
        <v>0</v>
      </c>
      <c r="AB215" s="14" t="n">
        <f aca="false">$X215+$Z215*PARAMETROS!$B$9+$AA215*PARAMETROS!$B$10</f>
        <v>38.4461308</v>
      </c>
      <c r="AC215" s="4" t="s">
        <v>169</v>
      </c>
      <c r="AD215" s="4"/>
      <c r="AE215" s="4" t="s">
        <v>5736</v>
      </c>
      <c r="AF215" s="4" t="s">
        <v>3999</v>
      </c>
      <c r="AG215" s="4" t="s">
        <v>3999</v>
      </c>
      <c r="AH215" s="4"/>
    </row>
    <row r="216" customFormat="false" ht="15" hidden="false" customHeight="false" outlineLevel="0" collapsed="false">
      <c r="A216" s="4" t="s">
        <v>5972</v>
      </c>
      <c r="B216" s="12" t="n">
        <v>2021</v>
      </c>
      <c r="C216" s="4" t="s">
        <v>65</v>
      </c>
      <c r="D216" s="4" t="s">
        <v>5734</v>
      </c>
      <c r="E216" s="4" t="s">
        <v>5770</v>
      </c>
      <c r="F216" s="4" t="s">
        <v>5771</v>
      </c>
      <c r="G216" s="4"/>
      <c r="H216" s="4" t="s">
        <v>5686</v>
      </c>
      <c r="I216" s="4" t="s">
        <v>65</v>
      </c>
      <c r="J216" s="4"/>
      <c r="K216" s="4"/>
      <c r="L216" s="4" t="s">
        <v>5973</v>
      </c>
      <c r="M216" s="14"/>
      <c r="N216" s="14"/>
      <c r="O216" s="4" t="s">
        <v>3349</v>
      </c>
      <c r="P216" s="4" t="s">
        <v>4019</v>
      </c>
      <c r="Q216" s="11" t="n">
        <f aca="false">MIN($B216,2022)</f>
        <v>2021</v>
      </c>
      <c r="R216" s="4" t="s">
        <v>3349</v>
      </c>
      <c r="S216" s="14"/>
      <c r="T216" s="14"/>
      <c r="U216" s="14"/>
      <c r="V216" s="4" t="s">
        <v>3349</v>
      </c>
      <c r="W216" s="14"/>
      <c r="X216" s="14"/>
      <c r="Y216" s="14"/>
      <c r="Z216" s="14"/>
      <c r="AA216" s="14"/>
      <c r="AB216" s="14"/>
      <c r="AC216" s="4" t="s">
        <v>3349</v>
      </c>
      <c r="AD216" s="4" t="s">
        <v>3349</v>
      </c>
      <c r="AE216" s="4" t="s">
        <v>5686</v>
      </c>
      <c r="AF216" s="4" t="s">
        <v>3999</v>
      </c>
      <c r="AG216" s="4"/>
      <c r="AH216" s="4"/>
    </row>
    <row r="217" customFormat="false" ht="15" hidden="false" customHeight="false" outlineLevel="0" collapsed="false">
      <c r="A217" s="4" t="s">
        <v>5974</v>
      </c>
      <c r="B217" s="12" t="n">
        <v>2021</v>
      </c>
      <c r="C217" s="4" t="s">
        <v>65</v>
      </c>
      <c r="D217" s="4" t="s">
        <v>5734</v>
      </c>
      <c r="E217" s="4" t="s">
        <v>5774</v>
      </c>
      <c r="F217" s="4" t="s">
        <v>5775</v>
      </c>
      <c r="G217" s="4"/>
      <c r="H217" s="4" t="s">
        <v>5686</v>
      </c>
      <c r="I217" s="4" t="s">
        <v>65</v>
      </c>
      <c r="J217" s="4"/>
      <c r="K217" s="4"/>
      <c r="L217" s="4" t="s">
        <v>5975</v>
      </c>
      <c r="M217" s="14"/>
      <c r="N217" s="14"/>
      <c r="O217" s="4" t="s">
        <v>3349</v>
      </c>
      <c r="P217" s="4" t="s">
        <v>4019</v>
      </c>
      <c r="Q217" s="11" t="n">
        <f aca="false">MIN($B217,2022)</f>
        <v>2021</v>
      </c>
      <c r="R217" s="4" t="s">
        <v>3349</v>
      </c>
      <c r="S217" s="14"/>
      <c r="T217" s="14"/>
      <c r="U217" s="14"/>
      <c r="V217" s="4" t="s">
        <v>3349</v>
      </c>
      <c r="W217" s="14"/>
      <c r="X217" s="14"/>
      <c r="Y217" s="14"/>
      <c r="Z217" s="14"/>
      <c r="AA217" s="14"/>
      <c r="AB217" s="14"/>
      <c r="AC217" s="4" t="s">
        <v>3349</v>
      </c>
      <c r="AD217" s="4" t="s">
        <v>3349</v>
      </c>
      <c r="AE217" s="4" t="s">
        <v>5686</v>
      </c>
      <c r="AF217" s="4" t="s">
        <v>3999</v>
      </c>
      <c r="AG217" s="4"/>
      <c r="AH217" s="4"/>
    </row>
    <row r="218" customFormat="false" ht="15" hidden="false" customHeight="false" outlineLevel="0" collapsed="false">
      <c r="A218" s="4" t="s">
        <v>5976</v>
      </c>
      <c r="B218" s="12" t="n">
        <v>2022</v>
      </c>
      <c r="C218" s="4" t="s">
        <v>65</v>
      </c>
      <c r="D218" s="4" t="s">
        <v>5685</v>
      </c>
      <c r="E218" s="4" t="s">
        <v>3377</v>
      </c>
      <c r="F218" s="4" t="s">
        <v>3378</v>
      </c>
      <c r="G218" s="4" t="s">
        <v>109</v>
      </c>
      <c r="H218" s="4" t="s">
        <v>2070</v>
      </c>
      <c r="I218" s="4" t="s">
        <v>65</v>
      </c>
      <c r="J218" s="4" t="s">
        <v>1994</v>
      </c>
      <c r="K218" s="4" t="s">
        <v>1995</v>
      </c>
      <c r="L218" s="4" t="s">
        <v>1257</v>
      </c>
      <c r="M218" s="14" t="n">
        <f aca="false">SUMIFS(PSUT_LARGA!$K$2:$K$618,PSUT_LARGA!$B$2:$B$618,$B218,PSUT_LARGA!$H$2:$H$618,$L218,PSUT_LARGA!$E$2:$E$618,$J218,PSUT_LARGA!$F$2:$F$618,$K218,PSUT_LARGA!$G$2:$G$618,$I218,PSUT_LARGA!$I$2:$I$618,$H218)</f>
        <v>322845.8968</v>
      </c>
      <c r="N218" s="14" t="n">
        <f aca="false">IF($H218="TRANSFORMACION_REFINERIA",$M218*INDEX(PARAMETROS!$C$27:$C$33,MATCH($B218,PARAMETROS!$A$27:$A$33,0)),$M218)</f>
        <v>322845.8968</v>
      </c>
      <c r="O218" s="4" t="s">
        <v>3349</v>
      </c>
      <c r="P218" s="4" t="s">
        <v>3344</v>
      </c>
      <c r="Q218" s="11" t="n">
        <f aca="false">MIN($B218,2022)</f>
        <v>2022</v>
      </c>
      <c r="R218" s="8" t="str">
        <f aca="false">IF(COUNT($S218:$U218)=0,"NO",IF($O218="CERO_DIRECTO","CAL",IF($B218&lt;=2022,"OBS","PRX")))</f>
        <v>NO</v>
      </c>
      <c r="S218" s="14"/>
      <c r="T218" s="14"/>
      <c r="U218" s="14"/>
      <c r="V218" s="8"/>
      <c r="W218" s="14"/>
      <c r="X218" s="14"/>
      <c r="Y218" s="14"/>
      <c r="Z218" s="14"/>
      <c r="AA218" s="14"/>
      <c r="AB218" s="14"/>
      <c r="AC218" s="4" t="s">
        <v>3349</v>
      </c>
      <c r="AD218" s="4"/>
      <c r="AE218" s="4" t="s">
        <v>5686</v>
      </c>
      <c r="AF218" s="4" t="s">
        <v>170</v>
      </c>
      <c r="AG218" s="4" t="s">
        <v>3999</v>
      </c>
      <c r="AH218" s="4"/>
    </row>
    <row r="219" customFormat="false" ht="15" hidden="false" customHeight="false" outlineLevel="0" collapsed="false">
      <c r="A219" s="4" t="s">
        <v>5977</v>
      </c>
      <c r="B219" s="12" t="n">
        <v>2022</v>
      </c>
      <c r="C219" s="4" t="s">
        <v>66</v>
      </c>
      <c r="D219" s="4" t="s">
        <v>5688</v>
      </c>
      <c r="E219" s="4" t="s">
        <v>3350</v>
      </c>
      <c r="F219" s="4" t="s">
        <v>3351</v>
      </c>
      <c r="G219" s="4" t="s">
        <v>76</v>
      </c>
      <c r="H219" s="4" t="s">
        <v>2019</v>
      </c>
      <c r="I219" s="4" t="s">
        <v>64</v>
      </c>
      <c r="J219" s="4" t="s">
        <v>1994</v>
      </c>
      <c r="K219" s="4" t="s">
        <v>65</v>
      </c>
      <c r="L219" s="4" t="s">
        <v>1187</v>
      </c>
      <c r="M219" s="14" t="n">
        <f aca="false">SUMIFS(PSUT_LARGA!$K$2:$K$618,PSUT_LARGA!$B$2:$B$618,$B219,PSUT_LARGA!$H$2:$H$618,$L219,PSUT_LARGA!$E$2:$E$618,$J219,PSUT_LARGA!$F$2:$F$618,$K219,PSUT_LARGA!$G$2:$G$618,$I219,PSUT_LARGA!$I$2:$I$618,$H219)</f>
        <v>0</v>
      </c>
      <c r="N219" s="14" t="n">
        <f aca="false">IF($H219="TRANSFORMACION_REFINERIA",$M219*INDEX(PARAMETROS!$C$27:$C$33,MATCH($B219,PARAMETROS!$A$27:$A$33,0)),$M219)</f>
        <v>0</v>
      </c>
      <c r="O219" s="4" t="s">
        <v>3349</v>
      </c>
      <c r="P219" s="4" t="s">
        <v>3352</v>
      </c>
      <c r="Q219" s="11" t="n">
        <f aca="false">MIN($B219,2022)</f>
        <v>2022</v>
      </c>
      <c r="R219" s="8" t="str">
        <f aca="false">IF(COUNT($S219:$U219)=0,"NO",IF($O219="CERO_DIRECTO","CAL",IF($B219&lt;=2022,"OBS","PRX")))</f>
        <v>NO</v>
      </c>
      <c r="S219" s="14"/>
      <c r="T219" s="14"/>
      <c r="U219" s="14"/>
      <c r="V219" s="8"/>
      <c r="W219" s="14"/>
      <c r="X219" s="14"/>
      <c r="Y219" s="14"/>
      <c r="Z219" s="14"/>
      <c r="AA219" s="14"/>
      <c r="AB219" s="14"/>
      <c r="AC219" s="4" t="s">
        <v>3349</v>
      </c>
      <c r="AD219" s="4"/>
      <c r="AE219" s="4" t="s">
        <v>5686</v>
      </c>
      <c r="AF219" s="4" t="s">
        <v>170</v>
      </c>
      <c r="AG219" s="4" t="s">
        <v>3999</v>
      </c>
      <c r="AH219" s="4"/>
    </row>
    <row r="220" customFormat="false" ht="15" hidden="false" customHeight="false" outlineLevel="0" collapsed="false">
      <c r="A220" s="4" t="s">
        <v>5978</v>
      </c>
      <c r="B220" s="12" t="n">
        <v>2022</v>
      </c>
      <c r="C220" s="4" t="s">
        <v>66</v>
      </c>
      <c r="D220" s="4" t="s">
        <v>5688</v>
      </c>
      <c r="E220" s="4" t="s">
        <v>3367</v>
      </c>
      <c r="F220" s="4" t="s">
        <v>3368</v>
      </c>
      <c r="G220" s="4" t="s">
        <v>82</v>
      </c>
      <c r="H220" s="4" t="s">
        <v>2019</v>
      </c>
      <c r="I220" s="4" t="s">
        <v>64</v>
      </c>
      <c r="J220" s="4" t="s">
        <v>1994</v>
      </c>
      <c r="K220" s="4" t="s">
        <v>65</v>
      </c>
      <c r="L220" s="4" t="s">
        <v>1229</v>
      </c>
      <c r="M220" s="14" t="n">
        <f aca="false">SUMIFS(PSUT_LARGA!$K$2:$K$618,PSUT_LARGA!$B$2:$B$618,$B220,PSUT_LARGA!$H$2:$H$618,$L220,PSUT_LARGA!$E$2:$E$618,$J220,PSUT_LARGA!$F$2:$F$618,$K220,PSUT_LARGA!$G$2:$G$618,$I220,PSUT_LARGA!$I$2:$I$618,$H220)</f>
        <v>43.2264</v>
      </c>
      <c r="N220" s="14" t="n">
        <f aca="false">IF($H220="TRANSFORMACION_REFINERIA",$M220*INDEX(PARAMETROS!$C$27:$C$33,MATCH($B220,PARAMETROS!$A$27:$A$33,0)),$M220)</f>
        <v>43.2264</v>
      </c>
      <c r="O220" s="4" t="s">
        <v>3349</v>
      </c>
      <c r="P220" s="4" t="s">
        <v>3352</v>
      </c>
      <c r="Q220" s="11" t="n">
        <f aca="false">MIN($B220,2022)</f>
        <v>2022</v>
      </c>
      <c r="R220" s="8" t="str">
        <f aca="false">IF(COUNT($S220:$U220)=0,"NO",IF($O220="CERO_DIRECTO","CAL",IF($B220&lt;=2022,"OBS","PRX")))</f>
        <v>NO</v>
      </c>
      <c r="S220" s="14"/>
      <c r="T220" s="14"/>
      <c r="U220" s="14"/>
      <c r="V220" s="8"/>
      <c r="W220" s="14"/>
      <c r="X220" s="14"/>
      <c r="Y220" s="14"/>
      <c r="Z220" s="14"/>
      <c r="AA220" s="14"/>
      <c r="AB220" s="14"/>
      <c r="AC220" s="4" t="s">
        <v>3349</v>
      </c>
      <c r="AD220" s="4"/>
      <c r="AE220" s="4" t="s">
        <v>5686</v>
      </c>
      <c r="AF220" s="4" t="s">
        <v>170</v>
      </c>
      <c r="AG220" s="4" t="s">
        <v>3999</v>
      </c>
      <c r="AH220" s="4"/>
    </row>
    <row r="221" customFormat="false" ht="15" hidden="false" customHeight="false" outlineLevel="0" collapsed="false">
      <c r="A221" s="4" t="s">
        <v>5979</v>
      </c>
      <c r="B221" s="12" t="n">
        <v>2022</v>
      </c>
      <c r="C221" s="4" t="s">
        <v>66</v>
      </c>
      <c r="D221" s="4" t="s">
        <v>5688</v>
      </c>
      <c r="E221" s="4" t="s">
        <v>3386</v>
      </c>
      <c r="F221" s="4" t="s">
        <v>3387</v>
      </c>
      <c r="G221" s="4" t="s">
        <v>86</v>
      </c>
      <c r="H221" s="4" t="s">
        <v>2019</v>
      </c>
      <c r="I221" s="4" t="s">
        <v>64</v>
      </c>
      <c r="J221" s="4" t="s">
        <v>1994</v>
      </c>
      <c r="K221" s="4" t="s">
        <v>65</v>
      </c>
      <c r="L221" s="4" t="s">
        <v>1271</v>
      </c>
      <c r="M221" s="14" t="n">
        <f aca="false">SUMIFS(PSUT_LARGA!$K$2:$K$618,PSUT_LARGA!$B$2:$B$618,$B221,PSUT_LARGA!$H$2:$H$618,$L221,PSUT_LARGA!$E$2:$E$618,$J221,PSUT_LARGA!$F$2:$F$618,$K221,PSUT_LARGA!$G$2:$G$618,$I221,PSUT_LARGA!$I$2:$I$618,$H221)</f>
        <v>7611.5067</v>
      </c>
      <c r="N221" s="14" t="n">
        <f aca="false">IF($H221="TRANSFORMACION_REFINERIA",$M221*INDEX(PARAMETROS!$C$27:$C$33,MATCH($B221,PARAMETROS!$A$27:$A$33,0)),$M221)</f>
        <v>7611.5067</v>
      </c>
      <c r="O221" s="4" t="s">
        <v>3388</v>
      </c>
      <c r="P221" s="4" t="s">
        <v>3352</v>
      </c>
      <c r="Q221" s="11" t="n">
        <f aca="false">MIN($B221,2022)</f>
        <v>2022</v>
      </c>
      <c r="R221" s="8" t="str">
        <f>IF(COUNT($S221:$U221)=0,"NO",IF($O221="CERO_DIRECTO","CAL",IF(OR($B221&gt;$Q221,COUNTIFS(DATOS_MODELO!$C$2:$C$3672,$Q221&amp;"|"&amp;$E221&amp;"|"&amp;$O221&amp;"|*",DATOS_MODELO!$F$2:$F$3672,"PRX",DATOS_MODELO!$AA$2:$AA$3672,"&lt;&gt;")&gt;0),"PRX",IF(COUNTIFS(DATOS_MODELO!$C$2:$C$3672,$Q221&amp;"|"&amp;$E221&amp;"|"&amp;$O221&amp;"|*",DATOS_MODELO!$F$2:$F$3672,"CAL",DATOS_MODELO!$AA$2:$AA$3672,"&lt;&gt;")&gt;0,"CAL","OBS"))))</f>
        <v>OBS</v>
      </c>
      <c r="S221" s="14">
        <f>IF(COUNTIFS(DATOS_MODELO!$C$2:$C$3672,$Q221&amp;"|"&amp;$E221&amp;"|"&amp;$O221&amp;"|CO2",DATOS_MODELO!$AA$2:$AA$3672,"&lt;&gt;")=0,"",INDEX(DATOS_MODELO!$AA$2:$AA$3672,MATCH($Q221&amp;"|"&amp;$E221&amp;"|"&amp;$O221&amp;"|CO2",DATOS_MODELO!$C$2:$C$3672,0)))</f>
        <v>0.00676909343060816</v>
      </c>
      <c r="T221" s="14">
        <f>IF(COUNTIFS(DATOS_MODELO!$C$2:$C$3672,$Q221&amp;"|"&amp;$E221&amp;"|"&amp;$O221&amp;"|CH4",DATOS_MODELO!$AA$2:$AA$3672,"&lt;&gt;")=0,"",INDEX(DATOS_MODELO!$AA$2:$AA$3672,MATCH($Q221&amp;"|"&amp;$E221&amp;"|"&amp;$O221&amp;"|CH4",DATOS_MODELO!$C$2:$C$3672,0)))</f>
        <v>0.0928778003966022</v>
      </c>
      <c r="U221" s="14"/>
      <c r="V221" s="8"/>
      <c r="W221" s="14"/>
      <c r="X221" s="14">
        <f>IF($P221="BIOGENICO",0,IF(ISNUMBER($S221),$N221*$S221/PARAMETROS!$B$8,""))</f>
        <v>5.1523e-05</v>
      </c>
      <c r="Y221" s="14">
        <f>IF($P221="BIOGENICO",IF(ISNUMBER($S221),$N221*$S221/PARAMETROS!$B$8,""),0)</f>
        <v>0.0</v>
      </c>
      <c r="Z221" s="14">
        <f>IF(ISNUMBER($T221),$N221*$T221/PARAMETROS!$B$8,"")</f>
        <v>0.00070694</v>
      </c>
      <c r="AA221" s="14" t="str">
        <f>IF($U221="","",$N221*$U221/PARAMETROS!$B$8)</f>
        <v/>
      </c>
      <c r="AB221" s="14">
        <f>IF($AA221="",$X221+$Z221*PARAMETROS!$B$9,$X221+$Z221*PARAMETROS!$B$9+$AA221*PARAMETROS!$B$10)</f>
        <v>0.019845843</v>
      </c>
      <c r="AC221" s="4" t="s">
        <v>1990</v>
      </c>
      <c r="AD221" s="4"/>
      <c r="AE221" s="4" t="s">
        <v>5690</v>
      </c>
      <c r="AF221" s="4" t="s">
        <v>170</v>
      </c>
      <c r="AG221" s="4" t="s">
        <v>3999</v>
      </c>
      <c r="AH221" s="4" t="inlineStr">
        <is>
          <t>CO2e parcial: N2O sin factor numérico; el total incluye solo los gases cuantificados.</t>
        </is>
      </c>
    </row>
    <row r="222" customFormat="false" ht="15" hidden="false" customHeight="false" outlineLevel="0" collapsed="false">
      <c r="A222" s="4" t="s">
        <v>5980</v>
      </c>
      <c r="B222" s="12" t="n">
        <v>2022</v>
      </c>
      <c r="C222" s="4" t="s">
        <v>67</v>
      </c>
      <c r="D222" s="4" t="s">
        <v>5685</v>
      </c>
      <c r="E222" s="4" t="s">
        <v>3341</v>
      </c>
      <c r="F222" s="4" t="s">
        <v>3342</v>
      </c>
      <c r="G222" s="4" t="s">
        <v>91</v>
      </c>
      <c r="H222" s="4" t="s">
        <v>2003</v>
      </c>
      <c r="I222" s="4" t="s">
        <v>67</v>
      </c>
      <c r="J222" s="4" t="s">
        <v>2001</v>
      </c>
      <c r="K222" s="4" t="s">
        <v>2002</v>
      </c>
      <c r="L222" s="4" t="s">
        <v>1164</v>
      </c>
      <c r="M222" s="14" t="n">
        <f aca="false">SUMIFS(PSUT_LARGA!$K$2:$K$618,PSUT_LARGA!$B$2:$B$618,$B222,PSUT_LARGA!$H$2:$H$618,$L222,PSUT_LARGA!$E$2:$E$618,$J222,PSUT_LARGA!$F$2:$F$618,$K222,PSUT_LARGA!$G$2:$G$618,$I222,PSUT_LARGA!$I$2:$I$618,$H222)</f>
        <v>52745.5621</v>
      </c>
      <c r="N222" s="14" t="n">
        <f aca="false">IF($H222="TRANSFORMACION_REFINERIA",$M222*INDEX(PARAMETROS!$C$27:$C$33,MATCH($B222,PARAMETROS!$A$27:$A$33,0)),$M222)</f>
        <v>52745.5621</v>
      </c>
      <c r="O222" s="4" t="inlineStr">
        <is>
          <t>COMB_BCANA</t>
        </is>
      </c>
      <c r="P222" s="4" t="s">
        <v>3344</v>
      </c>
      <c r="Q222" s="11" t="n">
        <f aca="false">MIN($B222,2022)</f>
        <v>2022</v>
      </c>
      <c r="R222" s="8" t="str">
        <f>IF(COUNT($S222:$U222)=0,"NO",IF($O222="CERO_DIRECTO","CAL",IF(OR($B222&gt;$Q222,COUNTIFS(DATOS_MODELO!$C$2:$C$3672,$Q222&amp;"|"&amp;$E222&amp;"|"&amp;$O222&amp;"|*",DATOS_MODELO!$F$2:$F$3672,"PRX",DATOS_MODELO!$AA$2:$AA$3672,"&lt;&gt;")&gt;0),"PRX",IF(COUNTIFS(DATOS_MODELO!$C$2:$C$3672,$Q222&amp;"|"&amp;$E222&amp;"|"&amp;$O222&amp;"|*",DATOS_MODELO!$F$2:$F$3672,"CAL",DATOS_MODELO!$AA$2:$AA$3672,"&lt;&gt;")&gt;0,"CAL","OBS"))))</f>
        <v>PRX</v>
      </c>
      <c r="S222" s="14">
        <f>IF(COUNTIFS(DATOS_MODELO!$C$2:$C$3672,$Q222&amp;"|"&amp;$E222&amp;"|"&amp;$O222&amp;"|CO2",DATOS_MODELO!$AA$2:$AA$3672,"&lt;&gt;")=0,"",INDEX(DATOS_MODELO!$AA$2:$AA$3672,MATCH($Q222&amp;"|"&amp;$E222&amp;"|"&amp;$O222&amp;"|CO2",DATOS_MODELO!$C$2:$C$3672,0)))</f>
        <v>100000.0</v>
      </c>
      <c r="T222" s="14">
        <f>IF(COUNTIFS(DATOS_MODELO!$C$2:$C$3672,$Q222&amp;"|"&amp;$E222&amp;"|"&amp;$O222&amp;"|CH4",DATOS_MODELO!$AA$2:$AA$3672,"&lt;&gt;")=0,"",INDEX(DATOS_MODELO!$AA$2:$AA$3672,MATCH($Q222&amp;"|"&amp;$E222&amp;"|"&amp;$O222&amp;"|CH4",DATOS_MODELO!$C$2:$C$3672,0)))</f>
        <v>30.0</v>
      </c>
      <c r="U222" s="14">
        <f>IF(COUNTIFS(DATOS_MODELO!$C$2:$C$3672,$Q222&amp;"|"&amp;$E222&amp;"|"&amp;$O222&amp;"|N2O",DATOS_MODELO!$AA$2:$AA$3672,"&lt;&gt;")=0,"",INDEX(DATOS_MODELO!$AA$2:$AA$3672,MATCH($Q222&amp;"|"&amp;$E222&amp;"|"&amp;$O222&amp;"|N2O",DATOS_MODELO!$C$2:$C$3672,0)))</f>
        <v>4.0</v>
      </c>
      <c r="V222" s="8"/>
      <c r="W222" s="14"/>
      <c r="X222" s="14">
        <f>IF($P222="BIOGENICO",0,IF(ISNUMBER($S222),$N222*$S222/PARAMETROS!$B$8,""))</f>
        <v>0.0</v>
      </c>
      <c r="Y222" s="14">
        <f>IF($P222="BIOGENICO",IF(ISNUMBER($S222),$N222*$S222/PARAMETROS!$B$8,""),0)</f>
        <v>5274.55621</v>
      </c>
      <c r="Z222" s="14">
        <f>IF(ISNUMBER($T222),$N222*$T222/PARAMETROS!$B$8,"")</f>
        <v>1.582366863</v>
      </c>
      <c r="AA222" s="14">
        <f>IF(ISNUMBER($U222),$N222*$U222/PARAMETROS!$B$8,"")</f>
        <v>0.2109822484</v>
      </c>
      <c r="AB222" s="14">
        <f>IF(COUNT($X222,$Z222,$AA222)=0,"",SUM($X222,IF(ISNUMBER($Z222),$Z222*PARAMETROS!$B$9,0),IF(ISNUMBER($AA222),$AA222*PARAMETROS!$B$10,0)))</f>
        <v>100.21656799</v>
      </c>
      <c r="AC222" s="4" t="s">
        <v>1990</v>
      </c>
      <c r="AD222" s="4"/>
      <c r="AE222" s="4" t="s">
        <v>5690</v>
      </c>
      <c r="AF222" s="4" t="s">
        <v>170</v>
      </c>
      <c r="AG222" s="4" t="inlineStr">
        <is>
          <t>MARN_GTM_BTR1_2024</t>
        </is>
      </c>
      <c r="AH222" s="4" t="inlineStr">
        <is>
          <t>Origen de factores: CO2: MARN_GTM_BTR1_2024 [PRX; BTR1 Guatemala 2024, tabla 3.6, p. 48; fila Otra biomasa sólida primaria; gas CO2]; CH4: MARN_GTM_BTR1_2024 [PRX; BTR1 Guatemala 2024, tabla 3.17, p. 57; fila Otra biomasa sólida primaria; gas CH4]; N2O: MARN_GTM_BTR1_2024 [PRX; BTR1 Guatemala 2024, tabla 3.17, p. 57; fila Otra biomasa sólida primaria; gas N2O].</t>
        </is>
      </c>
    </row>
    <row r="223" customFormat="false" ht="15" hidden="false" customHeight="false" outlineLevel="0" collapsed="false">
      <c r="A223" s="4" t="s">
        <v>5981</v>
      </c>
      <c r="B223" s="12" t="n">
        <v>2022</v>
      </c>
      <c r="C223" s="4" t="s">
        <v>67</v>
      </c>
      <c r="D223" s="4" t="s">
        <v>5685</v>
      </c>
      <c r="E223" s="4" t="s">
        <v>3341</v>
      </c>
      <c r="F223" s="4" t="s">
        <v>3342</v>
      </c>
      <c r="G223" s="4" t="s">
        <v>91</v>
      </c>
      <c r="H223" s="4" t="s">
        <v>2008</v>
      </c>
      <c r="I223" s="4" t="s">
        <v>67</v>
      </c>
      <c r="J223" s="4" t="s">
        <v>2001</v>
      </c>
      <c r="K223" s="4" t="s">
        <v>2002</v>
      </c>
      <c r="L223" s="4" t="s">
        <v>1165</v>
      </c>
      <c r="M223" s="14" t="n">
        <f aca="false">SUMIFS(PSUT_LARGA!$K$2:$K$618,PSUT_LARGA!$B$2:$B$618,$B223,PSUT_LARGA!$H$2:$H$618,$L223,PSUT_LARGA!$E$2:$E$618,$J223,PSUT_LARGA!$F$2:$F$618,$K223,PSUT_LARGA!$G$2:$G$618,$I223,PSUT_LARGA!$I$2:$I$618,$H223)</f>
        <v>21894.404</v>
      </c>
      <c r="N223" s="14" t="n">
        <f aca="false">IF($H223="TRANSFORMACION_REFINERIA",$M223*INDEX(PARAMETROS!$C$27:$C$33,MATCH($B223,PARAMETROS!$A$27:$A$33,0)),$M223)</f>
        <v>21894.404</v>
      </c>
      <c r="O223" s="4" t="inlineStr">
        <is>
          <t>COMB_BCANA</t>
        </is>
      </c>
      <c r="P223" s="4" t="s">
        <v>3344</v>
      </c>
      <c r="Q223" s="11" t="n">
        <f aca="false">MIN($B223,2022)</f>
        <v>2022</v>
      </c>
      <c r="R223" s="8" t="str">
        <f>IF(COUNT($S223:$U223)=0,"NO",IF($O223="CERO_DIRECTO","CAL",IF(OR($B223&gt;$Q223,COUNTIFS(DATOS_MODELO!$C$2:$C$3672,$Q223&amp;"|"&amp;$E223&amp;"|"&amp;$O223&amp;"|*",DATOS_MODELO!$F$2:$F$3672,"PRX",DATOS_MODELO!$AA$2:$AA$3672,"&lt;&gt;")&gt;0),"PRX",IF(COUNTIFS(DATOS_MODELO!$C$2:$C$3672,$Q223&amp;"|"&amp;$E223&amp;"|"&amp;$O223&amp;"|*",DATOS_MODELO!$F$2:$F$3672,"CAL",DATOS_MODELO!$AA$2:$AA$3672,"&lt;&gt;")&gt;0,"CAL","OBS"))))</f>
        <v>PRX</v>
      </c>
      <c r="S223" s="14">
        <f>IF(COUNTIFS(DATOS_MODELO!$C$2:$C$3672,$Q223&amp;"|"&amp;$E223&amp;"|"&amp;$O223&amp;"|CO2",DATOS_MODELO!$AA$2:$AA$3672,"&lt;&gt;")=0,"",INDEX(DATOS_MODELO!$AA$2:$AA$3672,MATCH($Q223&amp;"|"&amp;$E223&amp;"|"&amp;$O223&amp;"|CO2",DATOS_MODELO!$C$2:$C$3672,0)))</f>
        <v>100000.0</v>
      </c>
      <c r="T223" s="14">
        <f>IF(COUNTIFS(DATOS_MODELO!$C$2:$C$3672,$Q223&amp;"|"&amp;$E223&amp;"|"&amp;$O223&amp;"|CH4",DATOS_MODELO!$AA$2:$AA$3672,"&lt;&gt;")=0,"",INDEX(DATOS_MODELO!$AA$2:$AA$3672,MATCH($Q223&amp;"|"&amp;$E223&amp;"|"&amp;$O223&amp;"|CH4",DATOS_MODELO!$C$2:$C$3672,0)))</f>
        <v>30.0</v>
      </c>
      <c r="U223" s="14">
        <f>IF(COUNTIFS(DATOS_MODELO!$C$2:$C$3672,$Q223&amp;"|"&amp;$E223&amp;"|"&amp;$O223&amp;"|N2O",DATOS_MODELO!$AA$2:$AA$3672,"&lt;&gt;")=0,"",INDEX(DATOS_MODELO!$AA$2:$AA$3672,MATCH($Q223&amp;"|"&amp;$E223&amp;"|"&amp;$O223&amp;"|N2O",DATOS_MODELO!$C$2:$C$3672,0)))</f>
        <v>4.0</v>
      </c>
      <c r="V223" s="8"/>
      <c r="W223" s="14"/>
      <c r="X223" s="14">
        <f>IF($P223="BIOGENICO",0,IF(ISNUMBER($S223),$N223*$S223/PARAMETROS!$B$8,""))</f>
        <v>0.0</v>
      </c>
      <c r="Y223" s="14">
        <f>IF($P223="BIOGENICO",IF(ISNUMBER($S223),$N223*$S223/PARAMETROS!$B$8,""),0)</f>
        <v>2189.4404</v>
      </c>
      <c r="Z223" s="14">
        <f>IF(ISNUMBER($T223),$N223*$T223/PARAMETROS!$B$8,"")</f>
        <v>0.65683212</v>
      </c>
      <c r="AA223" s="14">
        <f>IF(ISNUMBER($U223),$N223*$U223/PARAMETROS!$B$8,"")</f>
        <v>0.087577616</v>
      </c>
      <c r="AB223" s="14">
        <f>IF(COUNT($X223,$Z223,$AA223)=0,"",SUM($X223,IF(ISNUMBER($Z223),$Z223*PARAMETROS!$B$9,0),IF(ISNUMBER($AA223),$AA223*PARAMETROS!$B$10,0)))</f>
        <v>41.5993676</v>
      </c>
      <c r="AC223" s="4" t="s">
        <v>1990</v>
      </c>
      <c r="AD223" s="4"/>
      <c r="AE223" s="4" t="s">
        <v>5690</v>
      </c>
      <c r="AF223" s="4" t="s">
        <v>170</v>
      </c>
      <c r="AG223" s="4" t="inlineStr">
        <is>
          <t>MARN_GTM_BTR1_2024</t>
        </is>
      </c>
      <c r="AH223" s="4" t="inlineStr">
        <is>
          <t>Origen de factores: CO2: MARN_GTM_BTR1_2024 [PRX; BTR1 Guatemala 2024, tabla 3.6, p. 48; fila Otra biomasa sólida primaria; gas CO2]; CH4: MARN_GTM_BTR1_2024 [PRX; BTR1 Guatemala 2024, tabla 3.17, p. 57; fila Otra biomasa sólida primaria; gas CH4]; N2O: MARN_GTM_BTR1_2024 [PRX; BTR1 Guatemala 2024, tabla 3.17, p. 57; fila Otra biomasa sólida primaria; gas N2O].</t>
        </is>
      </c>
    </row>
    <row r="224" customFormat="false" ht="15" hidden="false" customHeight="false" outlineLevel="0" collapsed="false">
      <c r="A224" s="4" t="s">
        <v>5982</v>
      </c>
      <c r="B224" s="12" t="n">
        <v>2022</v>
      </c>
      <c r="C224" s="4" t="s">
        <v>67</v>
      </c>
      <c r="D224" s="4" t="s">
        <v>5685</v>
      </c>
      <c r="E224" s="4" t="s">
        <v>3341</v>
      </c>
      <c r="F224" s="4" t="s">
        <v>3342</v>
      </c>
      <c r="G224" s="4" t="s">
        <v>93</v>
      </c>
      <c r="H224" s="4" t="s">
        <v>2003</v>
      </c>
      <c r="I224" s="4" t="s">
        <v>67</v>
      </c>
      <c r="J224" s="4" t="s">
        <v>2001</v>
      </c>
      <c r="K224" s="4" t="s">
        <v>2002</v>
      </c>
      <c r="L224" s="4" t="s">
        <v>1178</v>
      </c>
      <c r="M224" s="14" t="n">
        <f aca="false">SUMIFS(PSUT_LARGA!$K$2:$K$618,PSUT_LARGA!$B$2:$B$618,$B224,PSUT_LARGA!$H$2:$H$618,$L224,PSUT_LARGA!$E$2:$E$618,$J224,PSUT_LARGA!$F$2:$F$618,$K224,PSUT_LARGA!$G$2:$G$618,$I224,PSUT_LARGA!$I$2:$I$618,$H224)</f>
        <v>294.0441</v>
      </c>
      <c r="N224" s="14" t="n">
        <f aca="false">IF($H224="TRANSFORMACION_REFINERIA",$M224*INDEX(PARAMETROS!$C$27:$C$33,MATCH($B224,PARAMETROS!$A$27:$A$33,0)),$M224)</f>
        <v>294.0441</v>
      </c>
      <c r="O224" s="4" t="inlineStr">
        <is>
          <t>COMB_BIOGAS</t>
        </is>
      </c>
      <c r="P224" s="4" t="s">
        <v>3344</v>
      </c>
      <c r="Q224" s="11" t="n">
        <f aca="false">MIN($B224,2022)</f>
        <v>2022</v>
      </c>
      <c r="R224" s="8" t="str">
        <f>IF(COUNT($S224:$U224)=0,"NO",IF($O224="CERO_DIRECTO","CAL",IF(OR($B224&gt;$Q224,COUNTIFS(DATOS_MODELO!$C$2:$C$3672,$Q224&amp;"|"&amp;$E224&amp;"|"&amp;$O224&amp;"|*",DATOS_MODELO!$F$2:$F$3672,"PRX",DATOS_MODELO!$AA$2:$AA$3672,"&lt;&gt;")&gt;0),"PRX",IF(COUNTIFS(DATOS_MODELO!$C$2:$C$3672,$Q224&amp;"|"&amp;$E224&amp;"|"&amp;$O224&amp;"|*",DATOS_MODELO!$F$2:$F$3672,"CAL",DATOS_MODELO!$AA$2:$AA$3672,"&lt;&gt;")&gt;0,"CAL","OBS"))))</f>
        <v>PRX</v>
      </c>
      <c r="S224" s="14">
        <f>IF(COUNTIFS(DATOS_MODELO!$C$2:$C$3672,$Q224&amp;"|"&amp;$E224&amp;"|"&amp;$O224&amp;"|CO2",DATOS_MODELO!$AA$2:$AA$3672,"&lt;&gt;")=0,"",INDEX(DATOS_MODELO!$AA$2:$AA$3672,MATCH($Q224&amp;"|"&amp;$E224&amp;"|"&amp;$O224&amp;"|CO2",DATOS_MODELO!$C$2:$C$3672,0)))</f>
        <v>54600.0</v>
      </c>
      <c r="T224" s="14">
        <f>IF(COUNTIFS(DATOS_MODELO!$C$2:$C$3672,$Q224&amp;"|"&amp;$E224&amp;"|"&amp;$O224&amp;"|CH4",DATOS_MODELO!$AA$2:$AA$3672,"&lt;&gt;")=0,"",INDEX(DATOS_MODELO!$AA$2:$AA$3672,MATCH($Q224&amp;"|"&amp;$E224&amp;"|"&amp;$O224&amp;"|CH4",DATOS_MODELO!$C$2:$C$3672,0)))</f>
        <v>1.0</v>
      </c>
      <c r="U224" s="14">
        <f>IF(COUNTIFS(DATOS_MODELO!$C$2:$C$3672,$Q224&amp;"|"&amp;$E224&amp;"|"&amp;$O224&amp;"|N2O",DATOS_MODELO!$AA$2:$AA$3672,"&lt;&gt;")=0,"",INDEX(DATOS_MODELO!$AA$2:$AA$3672,MATCH($Q224&amp;"|"&amp;$E224&amp;"|"&amp;$O224&amp;"|N2O",DATOS_MODELO!$C$2:$C$3672,0)))</f>
        <v>0.1</v>
      </c>
      <c r="V224" s="8"/>
      <c r="W224" s="14"/>
      <c r="X224" s="14">
        <f>IF($P224="BIOGENICO",0,IF(ISNUMBER($S224),$N224*$S224/PARAMETROS!$B$8,""))</f>
        <v>0.0</v>
      </c>
      <c r="Y224" s="14">
        <f>IF($P224="BIOGENICO",IF(ISNUMBER($S224),$N224*$S224/PARAMETROS!$B$8,""),0)</f>
        <v>16.05480786</v>
      </c>
      <c r="Z224" s="14">
        <f>IF(ISNUMBER($T224),$N224*$T224/PARAMETROS!$B$8,"")</f>
        <v>0.0002940441</v>
      </c>
      <c r="AA224" s="14">
        <f>IF(ISNUMBER($U224),$N224*$U224/PARAMETROS!$B$8,"")</f>
        <v>2.940441e-05</v>
      </c>
      <c r="AB224" s="14">
        <f>IF(COUNT($X224,$Z224,$AA224)=0,"",SUM($X224,IF(ISNUMBER($Z224),$Z224*PARAMETROS!$B$9,0),IF(ISNUMBER($AA224),$AA224*PARAMETROS!$B$10,0)))</f>
        <v>0.01602540345</v>
      </c>
      <c r="AC224" s="4" t="s">
        <v>1990</v>
      </c>
      <c r="AD224" s="4"/>
      <c r="AE224" s="4" t="s">
        <v>5690</v>
      </c>
      <c r="AF224" s="4" t="s">
        <v>170</v>
      </c>
      <c r="AG224" s="4" t="inlineStr">
        <is>
          <t>MARN_GTM_BTR1_2024</t>
        </is>
      </c>
      <c r="AH224" s="4" t="inlineStr">
        <is>
          <t>Origen de factores: CO2: MARN_GTM_BTR1_2024 [PRX; BTR1 Guatemala 2024, tabla 3.6, p. 48; fila Gas de vertedero; gas CO2]; CH4: MARN_GTM_BTR1_2024 [PRX; BTR1 Guatemala 2024, tabla 3.17, p. 57; fila Gas de vertedero; gas CH4]; N2O: MARN_GTM_BTR1_2024 [PRX; BTR1 Guatemala 2024, tabla 3.17, p. 57; fila Gas de vertedero; gas N2O].</t>
        </is>
      </c>
    </row>
    <row r="225" customFormat="false" ht="15" hidden="false" customHeight="false" outlineLevel="0" collapsed="false">
      <c r="A225" s="4" t="s">
        <v>5983</v>
      </c>
      <c r="B225" s="12" t="n">
        <v>2022</v>
      </c>
      <c r="C225" s="4" t="s">
        <v>67</v>
      </c>
      <c r="D225" s="4" t="s">
        <v>5685</v>
      </c>
      <c r="E225" s="4" t="s">
        <v>3341</v>
      </c>
      <c r="F225" s="4" t="s">
        <v>3342</v>
      </c>
      <c r="G225" s="4" t="s">
        <v>76</v>
      </c>
      <c r="H225" s="4" t="s">
        <v>2003</v>
      </c>
      <c r="I225" s="4" t="s">
        <v>67</v>
      </c>
      <c r="J225" s="4" t="s">
        <v>2001</v>
      </c>
      <c r="K225" s="4" t="s">
        <v>2002</v>
      </c>
      <c r="L225" s="4" t="s">
        <v>1192</v>
      </c>
      <c r="M225" s="14" t="n">
        <f aca="false">SUMIFS(PSUT_LARGA!$K$2:$K$618,PSUT_LARGA!$B$2:$B$618,$B225,PSUT_LARGA!$H$2:$H$618,$L225,PSUT_LARGA!$E$2:$E$618,$J225,PSUT_LARGA!$F$2:$F$618,$K225,PSUT_LARGA!$G$2:$G$618,$I225,PSUT_LARGA!$I$2:$I$618,$H225)</f>
        <v>15343.1061</v>
      </c>
      <c r="N225" s="14" t="n">
        <f aca="false">IF($H225="TRANSFORMACION_REFINERIA",$M225*INDEX(PARAMETROS!$C$27:$C$33,MATCH($B225,PARAMETROS!$A$27:$A$33,0)),$M225)</f>
        <v>15343.1061</v>
      </c>
      <c r="O225" s="4" t="inlineStr">
        <is>
          <t>COMB_CRBN</t>
        </is>
      </c>
      <c r="P225" s="4" t="s">
        <v>3352</v>
      </c>
      <c r="Q225" s="11" t="n">
        <f aca="false">MIN($B225,2022)</f>
        <v>2022</v>
      </c>
      <c r="R225" s="8" t="str">
        <f>IF(COUNT($S225:$U225)=0,"NO",IF($O225="CERO_DIRECTO","CAL",IF(OR($B225&gt;$Q225,COUNTIFS(DATOS_MODELO!$C$2:$C$3672,$Q225&amp;"|"&amp;$E225&amp;"|"&amp;$O225&amp;"|*",DATOS_MODELO!$F$2:$F$3672,"PRX",DATOS_MODELO!$AA$2:$AA$3672,"&lt;&gt;")&gt;0),"PRX",IF(COUNTIFS(DATOS_MODELO!$C$2:$C$3672,$Q225&amp;"|"&amp;$E225&amp;"|"&amp;$O225&amp;"|*",DATOS_MODELO!$F$2:$F$3672,"CAL",DATOS_MODELO!$AA$2:$AA$3672,"&lt;&gt;")&gt;0,"CAL","OBS"))))</f>
        <v>PRX</v>
      </c>
      <c r="S225" s="14">
        <f>IF(COUNTIFS(DATOS_MODELO!$C$2:$C$3672,$Q225&amp;"|"&amp;$E225&amp;"|"&amp;$O225&amp;"|CO2",DATOS_MODELO!$AA$2:$AA$3672,"&lt;&gt;")=0,"",INDEX(DATOS_MODELO!$AA$2:$AA$3672,MATCH($Q225&amp;"|"&amp;$E225&amp;"|"&amp;$O225&amp;"|CO2",DATOS_MODELO!$C$2:$C$3672,0)))</f>
        <v>98300.0</v>
      </c>
      <c r="T225" s="14">
        <f>IF(COUNTIFS(DATOS_MODELO!$C$2:$C$3672,$Q225&amp;"|"&amp;$E225&amp;"|"&amp;$O225&amp;"|CH4",DATOS_MODELO!$AA$2:$AA$3672,"&lt;&gt;")=0,"",INDEX(DATOS_MODELO!$AA$2:$AA$3672,MATCH($Q225&amp;"|"&amp;$E225&amp;"|"&amp;$O225&amp;"|CH4",DATOS_MODELO!$C$2:$C$3672,0)))</f>
        <v>1.0</v>
      </c>
      <c r="U225" s="14">
        <f>IF(COUNTIFS(DATOS_MODELO!$C$2:$C$3672,$Q225&amp;"|"&amp;$E225&amp;"|"&amp;$O225&amp;"|N2O",DATOS_MODELO!$AA$2:$AA$3672,"&lt;&gt;")=0,"",INDEX(DATOS_MODELO!$AA$2:$AA$3672,MATCH($Q225&amp;"|"&amp;$E225&amp;"|"&amp;$O225&amp;"|N2O",DATOS_MODELO!$C$2:$C$3672,0)))</f>
        <v>1.5</v>
      </c>
      <c r="V225" s="8"/>
      <c r="W225" s="14"/>
      <c r="X225" s="14">
        <f>IF($P225="BIOGENICO",0,IF(ISNUMBER($S225),$N225*$S225/PARAMETROS!$B$8,""))</f>
        <v>1508.22732963</v>
      </c>
      <c r="Y225" s="14">
        <f>IF($P225="BIOGENICO",IF(ISNUMBER($S225),$N225*$S225/PARAMETROS!$B$8,""),0)</f>
        <v>0.0</v>
      </c>
      <c r="Z225" s="14">
        <f>IF(ISNUMBER($T225),$N225*$T225/PARAMETROS!$B$8,"")</f>
        <v>0.0153431061</v>
      </c>
      <c r="AA225" s="14">
        <f>IF(ISNUMBER($U225),$N225*$U225/PARAMETROS!$B$8,"")</f>
        <v>0.02301465915</v>
      </c>
      <c r="AB225" s="14">
        <f>IF(COUNT($X225,$Z225,$AA225)=0,"",SUM($X225,IF(ISNUMBER($Z225),$Z225*PARAMETROS!$B$9,0),IF(ISNUMBER($AA225),$AA225*PARAMETROS!$B$10,0)))</f>
        <v>1514.75582127555</v>
      </c>
      <c r="AC225" s="4" t="s">
        <v>1990</v>
      </c>
      <c r="AD225" s="4"/>
      <c r="AE225" s="4" t="s">
        <v>5690</v>
      </c>
      <c r="AF225" s="4" t="s">
        <v>170</v>
      </c>
      <c r="AG225" s="4" t="inlineStr">
        <is>
          <t>MARN_GTM_BTR1_2024</t>
        </is>
      </c>
      <c r="AH225" s="4" t="inlineStr">
        <is>
          <t>Origen de factores: CO2: MARN_GTM_BTR1_2024 [PRX; BTR1 Guatemala 2024, tabla 3.6, p. 48; fila Otro carbón bituminoso*; gas CO2]; CH4: MARN_GTM_BTR1_2024 [PRX; BTR1 Guatemala 2024, tabla 3.17, p. 57; fila Otro carbón bituminoso; gas CH4]; N2O: MARN_GTM_BTR1_2024 [PRX; BTR1 Guatemala 2024, tabla 3.17, p. 57; fila Otro carbón bituminoso; gas N2O].</t>
        </is>
      </c>
    </row>
    <row r="226" customFormat="false" ht="15" hidden="false" customHeight="false" outlineLevel="0" collapsed="false">
      <c r="A226" s="4" t="s">
        <v>5984</v>
      </c>
      <c r="B226" s="12" t="n">
        <v>2022</v>
      </c>
      <c r="C226" s="4" t="s">
        <v>67</v>
      </c>
      <c r="D226" s="4" t="s">
        <v>5685</v>
      </c>
      <c r="E226" s="4" t="s">
        <v>3341</v>
      </c>
      <c r="F226" s="4" t="s">
        <v>3342</v>
      </c>
      <c r="G226" s="4" t="s">
        <v>76</v>
      </c>
      <c r="H226" s="4" t="s">
        <v>2008</v>
      </c>
      <c r="I226" s="4" t="s">
        <v>67</v>
      </c>
      <c r="J226" s="4" t="s">
        <v>2001</v>
      </c>
      <c r="K226" s="4" t="s">
        <v>2002</v>
      </c>
      <c r="L226" s="4" t="s">
        <v>1193</v>
      </c>
      <c r="M226" s="14" t="n">
        <f aca="false">SUMIFS(PSUT_LARGA!$K$2:$K$618,PSUT_LARGA!$B$2:$B$618,$B226,PSUT_LARGA!$H$2:$H$618,$L226,PSUT_LARGA!$E$2:$E$618,$J226,PSUT_LARGA!$F$2:$F$618,$K226,PSUT_LARGA!$G$2:$G$618,$I226,PSUT_LARGA!$I$2:$I$618,$H226)</f>
        <v>605.983</v>
      </c>
      <c r="N226" s="14" t="n">
        <f aca="false">IF($H226="TRANSFORMACION_REFINERIA",$M226*INDEX(PARAMETROS!$C$27:$C$33,MATCH($B226,PARAMETROS!$A$27:$A$33,0)),$M226)</f>
        <v>605.983</v>
      </c>
      <c r="O226" s="4" t="inlineStr">
        <is>
          <t>COMB_CRBN</t>
        </is>
      </c>
      <c r="P226" s="4" t="s">
        <v>3352</v>
      </c>
      <c r="Q226" s="11" t="n">
        <f aca="false">MIN($B226,2022)</f>
        <v>2022</v>
      </c>
      <c r="R226" s="8" t="str">
        <f>IF(COUNT($S226:$U226)=0,"NO",IF($O226="CERO_DIRECTO","CAL",IF(OR($B226&gt;$Q226,COUNTIFS(DATOS_MODELO!$C$2:$C$3672,$Q226&amp;"|"&amp;$E226&amp;"|"&amp;$O226&amp;"|*",DATOS_MODELO!$F$2:$F$3672,"PRX",DATOS_MODELO!$AA$2:$AA$3672,"&lt;&gt;")&gt;0),"PRX",IF(COUNTIFS(DATOS_MODELO!$C$2:$C$3672,$Q226&amp;"|"&amp;$E226&amp;"|"&amp;$O226&amp;"|*",DATOS_MODELO!$F$2:$F$3672,"CAL",DATOS_MODELO!$AA$2:$AA$3672,"&lt;&gt;")&gt;0,"CAL","OBS"))))</f>
        <v>PRX</v>
      </c>
      <c r="S226" s="14">
        <f>IF(COUNTIFS(DATOS_MODELO!$C$2:$C$3672,$Q226&amp;"|"&amp;$E226&amp;"|"&amp;$O226&amp;"|CO2",DATOS_MODELO!$AA$2:$AA$3672,"&lt;&gt;")=0,"",INDEX(DATOS_MODELO!$AA$2:$AA$3672,MATCH($Q226&amp;"|"&amp;$E226&amp;"|"&amp;$O226&amp;"|CO2",DATOS_MODELO!$C$2:$C$3672,0)))</f>
        <v>98300.0</v>
      </c>
      <c r="T226" s="14">
        <f>IF(COUNTIFS(DATOS_MODELO!$C$2:$C$3672,$Q226&amp;"|"&amp;$E226&amp;"|"&amp;$O226&amp;"|CH4",DATOS_MODELO!$AA$2:$AA$3672,"&lt;&gt;")=0,"",INDEX(DATOS_MODELO!$AA$2:$AA$3672,MATCH($Q226&amp;"|"&amp;$E226&amp;"|"&amp;$O226&amp;"|CH4",DATOS_MODELO!$C$2:$C$3672,0)))</f>
        <v>1.0</v>
      </c>
      <c r="U226" s="14">
        <f>IF(COUNTIFS(DATOS_MODELO!$C$2:$C$3672,$Q226&amp;"|"&amp;$E226&amp;"|"&amp;$O226&amp;"|N2O",DATOS_MODELO!$AA$2:$AA$3672,"&lt;&gt;")=0,"",INDEX(DATOS_MODELO!$AA$2:$AA$3672,MATCH($Q226&amp;"|"&amp;$E226&amp;"|"&amp;$O226&amp;"|N2O",DATOS_MODELO!$C$2:$C$3672,0)))</f>
        <v>1.5</v>
      </c>
      <c r="V226" s="8"/>
      <c r="W226" s="14"/>
      <c r="X226" s="14">
        <f>IF($P226="BIOGENICO",0,IF(ISNUMBER($S226),$N226*$S226/PARAMETROS!$B$8,""))</f>
        <v>59.5681289</v>
      </c>
      <c r="Y226" s="14">
        <f>IF($P226="BIOGENICO",IF(ISNUMBER($S226),$N226*$S226/PARAMETROS!$B$8,""),0)</f>
        <v>0.0</v>
      </c>
      <c r="Z226" s="14">
        <f>IF(ISNUMBER($T226),$N226*$T226/PARAMETROS!$B$8,"")</f>
        <v>0.000605982994202872</v>
      </c>
      <c r="AA226" s="14">
        <f>IF(ISNUMBER($U226),$N226*$U226/PARAMETROS!$B$8,"")</f>
        <v>0.000908974491304308</v>
      </c>
      <c r="AB226" s="14">
        <f>IF(COUNT($X226,$Z226,$AA226)=0,"",SUM($X226,IF(ISNUMBER($Z226),$Z226*PARAMETROS!$B$9,0),IF(ISNUMBER($AA226),$AA226*PARAMETROS!$B$10,0)))</f>
        <v>59.8259746665</v>
      </c>
      <c r="AC226" s="4" t="s">
        <v>1990</v>
      </c>
      <c r="AD226" s="4"/>
      <c r="AE226" s="4" t="s">
        <v>5690</v>
      </c>
      <c r="AF226" s="4" t="s">
        <v>170</v>
      </c>
      <c r="AG226" s="4" t="inlineStr">
        <is>
          <t>MARN_GTM_BTR1_2024</t>
        </is>
      </c>
      <c r="AH226" s="4" t="inlineStr">
        <is>
          <t>Origen de factores: CO2: MARN_GTM_BTR1_2024 [PRX; BTR1 Guatemala 2024, tabla 3.6, p. 48; fila Otro carbón bituminoso*; gas CO2]; CH4: MARN_GTM_BTR1_2024 [PRX; BTR1 Guatemala 2024, tabla 3.17, p. 57; fila Otro carbón bituminoso; gas CH4]; N2O: MARN_GTM_BTR1_2024 [PRX; BTR1 Guatemala 2024, tabla 3.17, p. 57; fila Otro carbón bituminoso; gas N2O].</t>
        </is>
      </c>
    </row>
    <row r="227" customFormat="false" ht="23.85" hidden="false" customHeight="false" outlineLevel="0" collapsed="false">
      <c r="A227" s="4" t="s">
        <v>5985</v>
      </c>
      <c r="B227" s="12" t="n">
        <v>2022</v>
      </c>
      <c r="C227" s="4" t="s">
        <v>67</v>
      </c>
      <c r="D227" s="4" t="s">
        <v>5685</v>
      </c>
      <c r="E227" s="4" t="s">
        <v>3341</v>
      </c>
      <c r="F227" s="4" t="s">
        <v>3342</v>
      </c>
      <c r="G227" s="4" t="s">
        <v>78</v>
      </c>
      <c r="H227" s="4" t="s">
        <v>2003</v>
      </c>
      <c r="I227" s="4" t="s">
        <v>67</v>
      </c>
      <c r="J227" s="4" t="s">
        <v>2001</v>
      </c>
      <c r="K227" s="4" t="s">
        <v>66</v>
      </c>
      <c r="L227" s="4" t="s">
        <v>1206</v>
      </c>
      <c r="M227" s="14" t="n">
        <f aca="false">SUMIFS(PSUT_LARGA!$K$2:$K$618,PSUT_LARGA!$B$2:$B$618,$B227,PSUT_LARGA!$H$2:$H$618,$L227,PSUT_LARGA!$E$2:$E$618,$J227,PSUT_LARGA!$F$2:$F$618,$K227,PSUT_LARGA!$G$2:$G$618,$I227,PSUT_LARGA!$I$2:$I$618,$H227)</f>
        <v>1135.2159</v>
      </c>
      <c r="N227" s="14" t="n">
        <f aca="false">IF($H227="TRANSFORMACION_REFINERIA",$M227*INDEX(PARAMETROS!$C$27:$C$33,MATCH($B227,PARAMETROS!$A$27:$A$33,0)),$M227)</f>
        <v>1135.2159</v>
      </c>
      <c r="O227" s="4" t="s">
        <v>3362</v>
      </c>
      <c r="P227" s="4" t="s">
        <v>3363</v>
      </c>
      <c r="Q227" s="11" t="n">
        <f aca="false">MIN($B227,2022)</f>
        <v>2022</v>
      </c>
      <c r="R227" s="8" t="str">
        <f>IF(COUNT($S227:$U227)=0,"NO",IF($O227="CERO_DIRECTO","CAL",IF(OR($B227&gt;$Q227,COUNTIFS(DATOS_MODELO!$C$2:$C$3672,$Q227&amp;"|"&amp;$E227&amp;"|"&amp;$O227&amp;"|*",DATOS_MODELO!$F$2:$F$3672,"PRX",DATOS_MODELO!$AA$2:$AA$3672,"&lt;&gt;")&gt;0),"PRX",IF(COUNTIFS(DATOS_MODELO!$C$2:$C$3672,$Q227&amp;"|"&amp;$E227&amp;"|"&amp;$O227&amp;"|*",DATOS_MODELO!$F$2:$F$3672,"CAL",DATOS_MODELO!$AA$2:$AA$3672,"&lt;&gt;")&gt;0,"CAL","OBS"))))</f>
        <v>CAL</v>
      </c>
      <c r="S227" s="14">
        <f>IF(COUNTIFS(DATOS_MODELO!$C$2:$C$3672,$Q227&amp;"|"&amp;$E227&amp;"|"&amp;$O227&amp;"|CO2",DATOS_MODELO!$AA$2:$AA$3672,"&lt;&gt;")=0,"",INDEX(DATOS_MODELO!$AA$2:$AA$3672,MATCH($Q227&amp;"|"&amp;$E227&amp;"|"&amp;$O227&amp;"|CO2",DATOS_MODELO!$C$2:$C$3672,0)))</f>
        <v>0.0</v>
      </c>
      <c r="T227" s="14">
        <f>IF(COUNTIFS(DATOS_MODELO!$C$2:$C$3672,$Q227&amp;"|"&amp;$E227&amp;"|"&amp;$O227&amp;"|CH4",DATOS_MODELO!$AA$2:$AA$3672,"&lt;&gt;")=0,"",INDEX(DATOS_MODELO!$AA$2:$AA$3672,MATCH($Q227&amp;"|"&amp;$E227&amp;"|"&amp;$O227&amp;"|CH4",DATOS_MODELO!$C$2:$C$3672,0)))</f>
        <v>0.0</v>
      </c>
      <c r="U227" s="14">
        <f>IF(COUNTIFS(DATOS_MODELO!$C$2:$C$3672,$Q227&amp;"|"&amp;$E227&amp;"|"&amp;$O227&amp;"|N2O",DATOS_MODELO!$AA$2:$AA$3672,"&lt;&gt;")=0,"",INDEX(DATOS_MODELO!$AA$2:$AA$3672,MATCH($Q227&amp;"|"&amp;$E227&amp;"|"&amp;$O227&amp;"|N2O",DATOS_MODELO!$C$2:$C$3672,0)))</f>
        <v>0.0</v>
      </c>
      <c r="V227" s="8"/>
      <c r="W227" s="14"/>
      <c r="X227" s="14">
        <f>IF($P227="BIOGENICO",0,IF(ISNUMBER($S227),$N227*$S227/PARAMETROS!$B$8,""))</f>
        <v>0.0</v>
      </c>
      <c r="Y227" s="14">
        <f>IF($P227="BIOGENICO",IF(ISNUMBER($S227),$N227*$S227/PARAMETROS!$B$8,""),0)</f>
        <v>0.0</v>
      </c>
      <c r="Z227" s="14">
        <f>IF(ISNUMBER($T227),$N227*$T227/PARAMETROS!$B$8,"")</f>
        <v>0.0</v>
      </c>
      <c r="AA227" s="14">
        <f>IF(ISNUMBER($U227),$N227*$U227/PARAMETROS!$B$8,"")</f>
        <v>0.0</v>
      </c>
      <c r="AB227" s="14">
        <f>IF(COUNT($X227,$Z227,$AA227)=0,"",SUM($X227,IF(ISNUMBER($Z227),$Z227*PARAMETROS!$B$9,0),IF(ISNUMBER($AA227),$AA227*PARAMETROS!$B$10,0)))</f>
        <v>0.0</v>
      </c>
      <c r="AC227" s="4" t="s">
        <v>1990</v>
      </c>
      <c r="AD227" s="4"/>
      <c r="AE227" s="4" t="s">
        <v>3362</v>
      </c>
      <c r="AF227" s="4" t="s">
        <v>170</v>
      </c>
      <c r="AG227" s="4" t="inlineStr">
        <is>
          <t>METODO_EMISIONES</t>
        </is>
      </c>
      <c r="AH227" s="4"/>
    </row>
    <row r="228" customFormat="false" ht="23.85" hidden="false" customHeight="false" outlineLevel="0" collapsed="false">
      <c r="A228" s="4" t="s">
        <v>5986</v>
      </c>
      <c r="B228" s="12" t="n">
        <v>2022</v>
      </c>
      <c r="C228" s="4" t="s">
        <v>67</v>
      </c>
      <c r="D228" s="4" t="s">
        <v>5685</v>
      </c>
      <c r="E228" s="4" t="s">
        <v>3341</v>
      </c>
      <c r="F228" s="4" t="s">
        <v>3342</v>
      </c>
      <c r="G228" s="4" t="s">
        <v>80</v>
      </c>
      <c r="H228" s="4" t="s">
        <v>2003</v>
      </c>
      <c r="I228" s="4" t="s">
        <v>67</v>
      </c>
      <c r="J228" s="4" t="s">
        <v>2001</v>
      </c>
      <c r="K228" s="4" t="s">
        <v>66</v>
      </c>
      <c r="L228" s="4" t="s">
        <v>1220</v>
      </c>
      <c r="M228" s="14" t="n">
        <f aca="false">SUMIFS(PSUT_LARGA!$K$2:$K$618,PSUT_LARGA!$B$2:$B$618,$B228,PSUT_LARGA!$H$2:$H$618,$L228,PSUT_LARGA!$E$2:$E$618,$J228,PSUT_LARGA!$F$2:$F$618,$K228,PSUT_LARGA!$G$2:$G$618,$I228,PSUT_LARGA!$I$2:$I$618,$H228)</f>
        <v>11866.4602</v>
      </c>
      <c r="N228" s="14" t="n">
        <f aca="false">IF($H228="TRANSFORMACION_REFINERIA",$M228*INDEX(PARAMETROS!$C$27:$C$33,MATCH($B228,PARAMETROS!$A$27:$A$33,0)),$M228)</f>
        <v>11866.4602</v>
      </c>
      <c r="O228" s="4" t="s">
        <v>3362</v>
      </c>
      <c r="P228" s="4" t="s">
        <v>3363</v>
      </c>
      <c r="Q228" s="11" t="n">
        <f aca="false">MIN($B228,2022)</f>
        <v>2022</v>
      </c>
      <c r="R228" s="8" t="str">
        <f>IF(COUNT($S228:$U228)=0,"NO",IF($O228="CERO_DIRECTO","CAL",IF(OR($B228&gt;$Q228,COUNTIFS(DATOS_MODELO!$C$2:$C$3672,$Q228&amp;"|"&amp;$E228&amp;"|"&amp;$O228&amp;"|*",DATOS_MODELO!$F$2:$F$3672,"PRX",DATOS_MODELO!$AA$2:$AA$3672,"&lt;&gt;")&gt;0),"PRX",IF(COUNTIFS(DATOS_MODELO!$C$2:$C$3672,$Q228&amp;"|"&amp;$E228&amp;"|"&amp;$O228&amp;"|*",DATOS_MODELO!$F$2:$F$3672,"CAL",DATOS_MODELO!$AA$2:$AA$3672,"&lt;&gt;")&gt;0,"CAL","OBS"))))</f>
        <v>CAL</v>
      </c>
      <c r="S228" s="14">
        <f>IF(COUNTIFS(DATOS_MODELO!$C$2:$C$3672,$Q228&amp;"|"&amp;$E228&amp;"|"&amp;$O228&amp;"|CO2",DATOS_MODELO!$AA$2:$AA$3672,"&lt;&gt;")=0,"",INDEX(DATOS_MODELO!$AA$2:$AA$3672,MATCH($Q228&amp;"|"&amp;$E228&amp;"|"&amp;$O228&amp;"|CO2",DATOS_MODELO!$C$2:$C$3672,0)))</f>
        <v>0.0</v>
      </c>
      <c r="T228" s="14">
        <f>IF(COUNTIFS(DATOS_MODELO!$C$2:$C$3672,$Q228&amp;"|"&amp;$E228&amp;"|"&amp;$O228&amp;"|CH4",DATOS_MODELO!$AA$2:$AA$3672,"&lt;&gt;")=0,"",INDEX(DATOS_MODELO!$AA$2:$AA$3672,MATCH($Q228&amp;"|"&amp;$E228&amp;"|"&amp;$O228&amp;"|CH4",DATOS_MODELO!$C$2:$C$3672,0)))</f>
        <v>0.0</v>
      </c>
      <c r="U228" s="14">
        <f>IF(COUNTIFS(DATOS_MODELO!$C$2:$C$3672,$Q228&amp;"|"&amp;$E228&amp;"|"&amp;$O228&amp;"|N2O",DATOS_MODELO!$AA$2:$AA$3672,"&lt;&gt;")=0,"",INDEX(DATOS_MODELO!$AA$2:$AA$3672,MATCH($Q228&amp;"|"&amp;$E228&amp;"|"&amp;$O228&amp;"|N2O",DATOS_MODELO!$C$2:$C$3672,0)))</f>
        <v>0.0</v>
      </c>
      <c r="V228" s="8"/>
      <c r="W228" s="14"/>
      <c r="X228" s="14">
        <f>IF($P228="BIOGENICO",0,IF(ISNUMBER($S228),$N228*$S228/PARAMETROS!$B$8,""))</f>
        <v>0.0</v>
      </c>
      <c r="Y228" s="14">
        <f>IF($P228="BIOGENICO",IF(ISNUMBER($S228),$N228*$S228/PARAMETROS!$B$8,""),0)</f>
        <v>0.0</v>
      </c>
      <c r="Z228" s="14">
        <f>IF(ISNUMBER($T228),$N228*$T228/PARAMETROS!$B$8,"")</f>
        <v>0.0</v>
      </c>
      <c r="AA228" s="14">
        <f>IF(ISNUMBER($U228),$N228*$U228/PARAMETROS!$B$8,"")</f>
        <v>0.0</v>
      </c>
      <c r="AB228" s="14">
        <f>IF(COUNT($X228,$Z228,$AA228)=0,"",SUM($X228,IF(ISNUMBER($Z228),$Z228*PARAMETROS!$B$9,0),IF(ISNUMBER($AA228),$AA228*PARAMETROS!$B$10,0)))</f>
        <v>0.0</v>
      </c>
      <c r="AC228" s="4" t="s">
        <v>1990</v>
      </c>
      <c r="AD228" s="4"/>
      <c r="AE228" s="4" t="s">
        <v>3362</v>
      </c>
      <c r="AF228" s="4" t="s">
        <v>170</v>
      </c>
      <c r="AG228" s="4" t="inlineStr">
        <is>
          <t>METODO_EMISIONES</t>
        </is>
      </c>
      <c r="AH228" s="4"/>
    </row>
    <row r="229" customFormat="false" ht="15" hidden="false" customHeight="false" outlineLevel="0" collapsed="false">
      <c r="A229" s="4" t="s">
        <v>5987</v>
      </c>
      <c r="B229" s="12" t="n">
        <v>2022</v>
      </c>
      <c r="C229" s="4" t="s">
        <v>67</v>
      </c>
      <c r="D229" s="4" t="s">
        <v>5685</v>
      </c>
      <c r="E229" s="4" t="s">
        <v>3341</v>
      </c>
      <c r="F229" s="4" t="s">
        <v>3342</v>
      </c>
      <c r="G229" s="4" t="s">
        <v>82</v>
      </c>
      <c r="H229" s="4" t="s">
        <v>2003</v>
      </c>
      <c r="I229" s="4" t="s">
        <v>67</v>
      </c>
      <c r="J229" s="4" t="s">
        <v>2001</v>
      </c>
      <c r="K229" s="4" t="s">
        <v>2002</v>
      </c>
      <c r="L229" s="4" t="s">
        <v>1234</v>
      </c>
      <c r="M229" s="14" t="n">
        <f aca="false">SUMIFS(PSUT_LARGA!$K$2:$K$618,PSUT_LARGA!$B$2:$B$618,$B229,PSUT_LARGA!$H$2:$H$618,$L229,PSUT_LARGA!$E$2:$E$618,$J229,PSUT_LARGA!$F$2:$F$618,$K229,PSUT_LARGA!$G$2:$G$618,$I229,PSUT_LARGA!$I$2:$I$618,$H229)</f>
        <v>43.2264</v>
      </c>
      <c r="N229" s="14" t="n">
        <f aca="false">IF($H229="TRANSFORMACION_REFINERIA",$M229*INDEX(PARAMETROS!$C$27:$C$33,MATCH($B229,PARAMETROS!$A$27:$A$33,0)),$M229)</f>
        <v>43.2264</v>
      </c>
      <c r="O229" s="4" t="s">
        <v>3372</v>
      </c>
      <c r="P229" s="4" t="s">
        <v>3352</v>
      </c>
      <c r="Q229" s="11" t="n">
        <f aca="false">MIN($B229,2022)</f>
        <v>2022</v>
      </c>
      <c r="R229" s="8" t="str">
        <f>IF(COUNT($S229:$U229)=0,"NO",IF($O229="CERO_DIRECTO","CAL",IF(OR($B229&gt;$Q229,COUNTIFS(DATOS_MODELO!$C$2:$C$3672,$Q229&amp;"|"&amp;$E229&amp;"|"&amp;$O229&amp;"|*",DATOS_MODELO!$F$2:$F$3672,"PRX",DATOS_MODELO!$AA$2:$AA$3672,"&lt;&gt;")&gt;0),"PRX",IF(COUNTIFS(DATOS_MODELO!$C$2:$C$3672,$Q229&amp;"|"&amp;$E229&amp;"|"&amp;$O229&amp;"|*",DATOS_MODELO!$F$2:$F$3672,"CAL",DATOS_MODELO!$AA$2:$AA$3672,"&lt;&gt;")&gt;0,"CAL","OBS"))))</f>
        <v>OBS</v>
      </c>
      <c r="S229" s="14">
        <f>IF(COUNTIFS(DATOS_MODELO!$C$2:$C$3672,$Q229&amp;"|"&amp;$E229&amp;"|"&amp;$O229&amp;"|CO2",DATOS_MODELO!$AA$2:$AA$3672,"&lt;&gt;")=0,"",INDEX(DATOS_MODELO!$AA$2:$AA$3672,MATCH($Q229&amp;"|"&amp;$E229&amp;"|"&amp;$O229&amp;"|CO2",DATOS_MODELO!$C$2:$C$3672,0)))</f>
        <v>56100.0000037876</v>
      </c>
      <c r="T229" s="14">
        <f>IF(COUNTIFS(DATOS_MODELO!$C$2:$C$3672,$Q229&amp;"|"&amp;$E229&amp;"|"&amp;$O229&amp;"|CH4",DATOS_MODELO!$AA$2:$AA$3672,"&lt;&gt;")=0,"",INDEX(DATOS_MODELO!$AA$2:$AA$3672,MATCH($Q229&amp;"|"&amp;$E229&amp;"|"&amp;$O229&amp;"|CH4",DATOS_MODELO!$C$2:$C$3672,0)))</f>
        <v>1.00000061189815</v>
      </c>
      <c r="U229" s="14">
        <f>IF(COUNTIFS(DATOS_MODELO!$C$2:$C$3672,$Q229&amp;"|"&amp;$E229&amp;"|"&amp;$O229&amp;"|N2O",DATOS_MODELO!$AA$2:$AA$3672,"&lt;&gt;")=0,"",INDEX(DATOS_MODELO!$AA$2:$AA$3672,MATCH($Q229&amp;"|"&amp;$E229&amp;"|"&amp;$O229&amp;"|N2O",DATOS_MODELO!$C$2:$C$3672,0)))</f>
        <v>0.100000061189815</v>
      </c>
      <c r="V229" s="8"/>
      <c r="W229" s="14"/>
      <c r="X229" s="14">
        <f>IF($P229="BIOGENICO",0,IF(ISNUMBER($S229),$N229*$S229/PARAMETROS!$B$8,""))</f>
        <v>2.42500104016372</v>
      </c>
      <c r="Y229" s="14">
        <f>IF($P229="BIOGENICO",IF(ISNUMBER($S229),$N229*$S229/PARAMETROS!$B$8,""),0)</f>
        <v>0.0</v>
      </c>
      <c r="Z229" s="14">
        <f>IF(ISNUMBER($T229),$N229*$T229/PARAMETROS!$B$8,"")</f>
        <v>4.32264264501543e-05</v>
      </c>
      <c r="AA229" s="14">
        <f>IF(ISNUMBER($U229),$N229*$U229/PARAMETROS!$B$8,"")</f>
        <v>4.32264264501543e-06</v>
      </c>
      <c r="AB229" s="14">
        <f>IF(COUNT($X229,$Z229,$AA229)=0,"",SUM($X229,IF(ISNUMBER($Z229),$Z229*PARAMETROS!$B$9,0),IF(ISNUMBER($AA229),$AA229*PARAMETROS!$B$10,0)))</f>
        <v>2.42735688040526</v>
      </c>
      <c r="AC229" s="4" t="s">
        <v>1990</v>
      </c>
      <c r="AD229" s="4"/>
      <c r="AE229" s="4" t="s">
        <v>5690</v>
      </c>
      <c r="AF229" s="4" t="s">
        <v>170</v>
      </c>
      <c r="AG229" s="4" t="s">
        <v>3999</v>
      </c>
      <c r="AH229" s="4"/>
    </row>
    <row r="230" customFormat="false" ht="23.85" hidden="false" customHeight="false" outlineLevel="0" collapsed="false">
      <c r="A230" s="4" t="s">
        <v>5988</v>
      </c>
      <c r="B230" s="12" t="n">
        <v>2022</v>
      </c>
      <c r="C230" s="4" t="s">
        <v>67</v>
      </c>
      <c r="D230" s="4" t="s">
        <v>5685</v>
      </c>
      <c r="E230" s="4" t="s">
        <v>3341</v>
      </c>
      <c r="F230" s="4" t="s">
        <v>3342</v>
      </c>
      <c r="G230" s="4" t="s">
        <v>84</v>
      </c>
      <c r="H230" s="4" t="s">
        <v>2003</v>
      </c>
      <c r="I230" s="4" t="s">
        <v>67</v>
      </c>
      <c r="J230" s="4" t="s">
        <v>2001</v>
      </c>
      <c r="K230" s="4" t="s">
        <v>66</v>
      </c>
      <c r="L230" s="4" t="s">
        <v>1248</v>
      </c>
      <c r="M230" s="14" t="n">
        <f aca="false">SUMIFS(PSUT_LARGA!$K$2:$K$618,PSUT_LARGA!$B$2:$B$618,$B230,PSUT_LARGA!$H$2:$H$618,$L230,PSUT_LARGA!$E$2:$E$618,$J230,PSUT_LARGA!$F$2:$F$618,$K230,PSUT_LARGA!$G$2:$G$618,$I230,PSUT_LARGA!$I$2:$I$618,$H230)</f>
        <v>31846.0044</v>
      </c>
      <c r="N230" s="14" t="n">
        <f aca="false">IF($H230="TRANSFORMACION_REFINERIA",$M230*INDEX(PARAMETROS!$C$27:$C$33,MATCH($B230,PARAMETROS!$A$27:$A$33,0)),$M230)</f>
        <v>31846.0044</v>
      </c>
      <c r="O230" s="4" t="s">
        <v>3362</v>
      </c>
      <c r="P230" s="4" t="s">
        <v>3363</v>
      </c>
      <c r="Q230" s="11" t="n">
        <f aca="false">MIN($B230,2022)</f>
        <v>2022</v>
      </c>
      <c r="R230" s="8" t="str">
        <f>IF(COUNT($S230:$U230)=0,"NO",IF($O230="CERO_DIRECTO","CAL",IF(OR($B230&gt;$Q230,COUNTIFS(DATOS_MODELO!$C$2:$C$3672,$Q230&amp;"|"&amp;$E230&amp;"|"&amp;$O230&amp;"|*",DATOS_MODELO!$F$2:$F$3672,"PRX",DATOS_MODELO!$AA$2:$AA$3672,"&lt;&gt;")&gt;0),"PRX",IF(COUNTIFS(DATOS_MODELO!$C$2:$C$3672,$Q230&amp;"|"&amp;$E230&amp;"|"&amp;$O230&amp;"|*",DATOS_MODELO!$F$2:$F$3672,"CAL",DATOS_MODELO!$AA$2:$AA$3672,"&lt;&gt;")&gt;0,"CAL","OBS"))))</f>
        <v>CAL</v>
      </c>
      <c r="S230" s="14">
        <f>IF(COUNTIFS(DATOS_MODELO!$C$2:$C$3672,$Q230&amp;"|"&amp;$E230&amp;"|"&amp;$O230&amp;"|CO2",DATOS_MODELO!$AA$2:$AA$3672,"&lt;&gt;")=0,"",INDEX(DATOS_MODELO!$AA$2:$AA$3672,MATCH($Q230&amp;"|"&amp;$E230&amp;"|"&amp;$O230&amp;"|CO2",DATOS_MODELO!$C$2:$C$3672,0)))</f>
        <v>0.0</v>
      </c>
      <c r="T230" s="14">
        <f>IF(COUNTIFS(DATOS_MODELO!$C$2:$C$3672,$Q230&amp;"|"&amp;$E230&amp;"|"&amp;$O230&amp;"|CH4",DATOS_MODELO!$AA$2:$AA$3672,"&lt;&gt;")=0,"",INDEX(DATOS_MODELO!$AA$2:$AA$3672,MATCH($Q230&amp;"|"&amp;$E230&amp;"|"&amp;$O230&amp;"|CH4",DATOS_MODELO!$C$2:$C$3672,0)))</f>
        <v>0.0</v>
      </c>
      <c r="U230" s="14">
        <f>IF(COUNTIFS(DATOS_MODELO!$C$2:$C$3672,$Q230&amp;"|"&amp;$E230&amp;"|"&amp;$O230&amp;"|N2O",DATOS_MODELO!$AA$2:$AA$3672,"&lt;&gt;")=0,"",INDEX(DATOS_MODELO!$AA$2:$AA$3672,MATCH($Q230&amp;"|"&amp;$E230&amp;"|"&amp;$O230&amp;"|N2O",DATOS_MODELO!$C$2:$C$3672,0)))</f>
        <v>0.0</v>
      </c>
      <c r="V230" s="8"/>
      <c r="W230" s="14"/>
      <c r="X230" s="14">
        <f>IF($P230="BIOGENICO",0,IF(ISNUMBER($S230),$N230*$S230/PARAMETROS!$B$8,""))</f>
        <v>0.0</v>
      </c>
      <c r="Y230" s="14">
        <f>IF($P230="BIOGENICO",IF(ISNUMBER($S230),$N230*$S230/PARAMETROS!$B$8,""),0)</f>
        <v>0.0</v>
      </c>
      <c r="Z230" s="14">
        <f>IF(ISNUMBER($T230),$N230*$T230/PARAMETROS!$B$8,"")</f>
        <v>0.0</v>
      </c>
      <c r="AA230" s="14">
        <f>IF(ISNUMBER($U230),$N230*$U230/PARAMETROS!$B$8,"")</f>
        <v>0.0</v>
      </c>
      <c r="AB230" s="14">
        <f>IF(COUNT($X230,$Z230,$AA230)=0,"",SUM($X230,IF(ISNUMBER($Z230),$Z230*PARAMETROS!$B$9,0),IF(ISNUMBER($AA230),$AA230*PARAMETROS!$B$10,0)))</f>
        <v>0.0</v>
      </c>
      <c r="AC230" s="4" t="s">
        <v>1990</v>
      </c>
      <c r="AD230" s="4"/>
      <c r="AE230" s="4" t="s">
        <v>3362</v>
      </c>
      <c r="AF230" s="4" t="s">
        <v>170</v>
      </c>
      <c r="AG230" s="4" t="inlineStr">
        <is>
          <t>METODO_EMISIONES</t>
        </is>
      </c>
      <c r="AH230" s="4"/>
    </row>
    <row r="231" customFormat="false" ht="23.85" hidden="false" customHeight="false" outlineLevel="0" collapsed="false">
      <c r="A231" s="4" t="s">
        <v>5989</v>
      </c>
      <c r="B231" s="12" t="n">
        <v>2022</v>
      </c>
      <c r="C231" s="4" t="s">
        <v>67</v>
      </c>
      <c r="D231" s="4" t="s">
        <v>5685</v>
      </c>
      <c r="E231" s="4" t="s">
        <v>3341</v>
      </c>
      <c r="F231" s="4" t="s">
        <v>3342</v>
      </c>
      <c r="G231" s="4" t="s">
        <v>84</v>
      </c>
      <c r="H231" s="4" t="s">
        <v>2008</v>
      </c>
      <c r="I231" s="4" t="s">
        <v>67</v>
      </c>
      <c r="J231" s="4" t="s">
        <v>2001</v>
      </c>
      <c r="K231" s="4" t="s">
        <v>66</v>
      </c>
      <c r="L231" s="4" t="s">
        <v>1249</v>
      </c>
      <c r="M231" s="14" t="n">
        <f aca="false">SUMIFS(PSUT_LARGA!$K$2:$K$618,PSUT_LARGA!$B$2:$B$618,$B231,PSUT_LARGA!$H$2:$H$618,$L231,PSUT_LARGA!$E$2:$E$618,$J231,PSUT_LARGA!$F$2:$F$618,$K231,PSUT_LARGA!$G$2:$G$618,$I231,PSUT_LARGA!$I$2:$I$618,$H231)</f>
        <v>116.1419</v>
      </c>
      <c r="N231" s="14" t="n">
        <f aca="false">IF($H231="TRANSFORMACION_REFINERIA",$M231*INDEX(PARAMETROS!$C$27:$C$33,MATCH($B231,PARAMETROS!$A$27:$A$33,0)),$M231)</f>
        <v>116.1419</v>
      </c>
      <c r="O231" s="4" t="s">
        <v>3362</v>
      </c>
      <c r="P231" s="4" t="s">
        <v>3363</v>
      </c>
      <c r="Q231" s="11" t="n">
        <f aca="false">MIN($B231,2022)</f>
        <v>2022</v>
      </c>
      <c r="R231" s="8" t="str">
        <f>IF(COUNT($S231:$U231)=0,"NO",IF($O231="CERO_DIRECTO","CAL",IF(OR($B231&gt;$Q231,COUNTIFS(DATOS_MODELO!$C$2:$C$3672,$Q231&amp;"|"&amp;$E231&amp;"|"&amp;$O231&amp;"|*",DATOS_MODELO!$F$2:$F$3672,"PRX",DATOS_MODELO!$AA$2:$AA$3672,"&lt;&gt;")&gt;0),"PRX",IF(COUNTIFS(DATOS_MODELO!$C$2:$C$3672,$Q231&amp;"|"&amp;$E231&amp;"|"&amp;$O231&amp;"|*",DATOS_MODELO!$F$2:$F$3672,"CAL",DATOS_MODELO!$AA$2:$AA$3672,"&lt;&gt;")&gt;0,"CAL","OBS"))))</f>
        <v>CAL</v>
      </c>
      <c r="S231" s="14">
        <f>IF(COUNTIFS(DATOS_MODELO!$C$2:$C$3672,$Q231&amp;"|"&amp;$E231&amp;"|"&amp;$O231&amp;"|CO2",DATOS_MODELO!$AA$2:$AA$3672,"&lt;&gt;")=0,"",INDEX(DATOS_MODELO!$AA$2:$AA$3672,MATCH($Q231&amp;"|"&amp;$E231&amp;"|"&amp;$O231&amp;"|CO2",DATOS_MODELO!$C$2:$C$3672,0)))</f>
        <v>0.0</v>
      </c>
      <c r="T231" s="14">
        <f>IF(COUNTIFS(DATOS_MODELO!$C$2:$C$3672,$Q231&amp;"|"&amp;$E231&amp;"|"&amp;$O231&amp;"|CH4",DATOS_MODELO!$AA$2:$AA$3672,"&lt;&gt;")=0,"",INDEX(DATOS_MODELO!$AA$2:$AA$3672,MATCH($Q231&amp;"|"&amp;$E231&amp;"|"&amp;$O231&amp;"|CH4",DATOS_MODELO!$C$2:$C$3672,0)))</f>
        <v>0.0</v>
      </c>
      <c r="U231" s="14">
        <f>IF(COUNTIFS(DATOS_MODELO!$C$2:$C$3672,$Q231&amp;"|"&amp;$E231&amp;"|"&amp;$O231&amp;"|N2O",DATOS_MODELO!$AA$2:$AA$3672,"&lt;&gt;")=0,"",INDEX(DATOS_MODELO!$AA$2:$AA$3672,MATCH($Q231&amp;"|"&amp;$E231&amp;"|"&amp;$O231&amp;"|N2O",DATOS_MODELO!$C$2:$C$3672,0)))</f>
        <v>0.0</v>
      </c>
      <c r="V231" s="8"/>
      <c r="W231" s="14"/>
      <c r="X231" s="14">
        <f>IF($P231="BIOGENICO",0,IF(ISNUMBER($S231),$N231*$S231/PARAMETROS!$B$8,""))</f>
        <v>0.0</v>
      </c>
      <c r="Y231" s="14">
        <f>IF($P231="BIOGENICO",IF(ISNUMBER($S231),$N231*$S231/PARAMETROS!$B$8,""),0)</f>
        <v>0.0</v>
      </c>
      <c r="Z231" s="14">
        <f>IF(ISNUMBER($T231),$N231*$T231/PARAMETROS!$B$8,"")</f>
        <v>0.0</v>
      </c>
      <c r="AA231" s="14">
        <f>IF(ISNUMBER($U231),$N231*$U231/PARAMETROS!$B$8,"")</f>
        <v>0.0</v>
      </c>
      <c r="AB231" s="14">
        <f>IF(COUNT($X231,$Z231,$AA231)=0,"",SUM($X231,IF(ISNUMBER($Z231),$Z231*PARAMETROS!$B$9,0),IF(ISNUMBER($AA231),$AA231*PARAMETROS!$B$10,0)))</f>
        <v>0.0</v>
      </c>
      <c r="AC231" s="4" t="s">
        <v>1990</v>
      </c>
      <c r="AD231" s="4"/>
      <c r="AE231" s="4" t="s">
        <v>3362</v>
      </c>
      <c r="AF231" s="4" t="s">
        <v>170</v>
      </c>
      <c r="AG231" s="4" t="inlineStr">
        <is>
          <t>METODO_EMISIONES</t>
        </is>
      </c>
      <c r="AH231" s="4"/>
    </row>
    <row r="232" customFormat="false" ht="15" hidden="false" customHeight="false" outlineLevel="0" collapsed="false">
      <c r="A232" s="4" t="s">
        <v>5990</v>
      </c>
      <c r="B232" s="12" t="n">
        <v>2022</v>
      </c>
      <c r="C232" s="4" t="s">
        <v>67</v>
      </c>
      <c r="D232" s="4" t="s">
        <v>5685</v>
      </c>
      <c r="E232" s="4" t="s">
        <v>3395</v>
      </c>
      <c r="F232" s="4" t="s">
        <v>3396</v>
      </c>
      <c r="G232" s="4" t="s">
        <v>86</v>
      </c>
      <c r="H232" s="4" t="s">
        <v>2097</v>
      </c>
      <c r="I232" s="4" t="s">
        <v>67</v>
      </c>
      <c r="J232" s="4" t="s">
        <v>2001</v>
      </c>
      <c r="K232" s="4" t="s">
        <v>2002</v>
      </c>
      <c r="L232" s="4" t="s">
        <v>1275</v>
      </c>
      <c r="M232" s="14" t="n">
        <f aca="false">SUMIFS(PSUT_LARGA!$K$2:$K$618,PSUT_LARGA!$B$2:$B$618,$B232,PSUT_LARGA!$H$2:$H$618,$L232,PSUT_LARGA!$E$2:$E$618,$J232,PSUT_LARGA!$F$2:$F$618,$K232,PSUT_LARGA!$G$2:$G$618,$I232,PSUT_LARGA!$I$2:$I$618,$H232)</f>
        <v>5029.2522</v>
      </c>
      <c r="N232" s="14" t="n">
        <f aca="false">IF($H232="TRANSFORMACION_REFINERIA",$M232*INDEX(PARAMETROS!$C$27:$C$33,MATCH($B232,PARAMETROS!$A$27:$A$33,0)),$M232)</f>
        <v>24.02212068</v>
      </c>
      <c r="O232" s="4" t="s">
        <v>3397</v>
      </c>
      <c r="P232" s="4" t="s">
        <v>3352</v>
      </c>
      <c r="Q232" s="11" t="n">
        <f aca="false">MIN($B232,2022)</f>
        <v>2022</v>
      </c>
      <c r="R232" s="8" t="str">
        <f>IF(COUNT($S232:$U232)=0,"NO",IF($O232="CERO_DIRECTO","CAL",IF(OR($B232&gt;$Q232,COUNTIFS(DATOS_MODELO!$C$2:$C$3672,$Q232&amp;"|"&amp;$E232&amp;"|"&amp;$O232&amp;"|*",DATOS_MODELO!$F$2:$F$3672,"PRX",DATOS_MODELO!$AA$2:$AA$3672,"&lt;&gt;")&gt;0),"PRX",IF(COUNTIFS(DATOS_MODELO!$C$2:$C$3672,$Q232&amp;"|"&amp;$E232&amp;"|"&amp;$O232&amp;"|*",DATOS_MODELO!$F$2:$F$3672,"CAL",DATOS_MODELO!$AA$2:$AA$3672,"&lt;&gt;")&gt;0,"CAL","OBS"))))</f>
        <v>OBS</v>
      </c>
      <c r="S232" s="14">
        <f>IF(COUNTIFS(DATOS_MODELO!$C$2:$C$3672,$Q232&amp;"|"&amp;$E232&amp;"|"&amp;$O232&amp;"|CO2",DATOS_MODELO!$AA$2:$AA$3672,"&lt;&gt;")=0,"",INDEX(DATOS_MODELO!$AA$2:$AA$3672,MATCH($Q232&amp;"|"&amp;$E232&amp;"|"&amp;$O232&amp;"|CO2",DATOS_MODELO!$C$2:$C$3672,0)))</f>
        <v>72251.0819140552</v>
      </c>
      <c r="T232" s="14">
        <f>IF(COUNTIFS(DATOS_MODELO!$C$2:$C$3672,$Q232&amp;"|"&amp;$E232&amp;"|"&amp;$O232&amp;"|CH4",DATOS_MODELO!$AA$2:$AA$3672,"&lt;&gt;")=0,"",INDEX(DATOS_MODELO!$AA$2:$AA$3672,MATCH($Q232&amp;"|"&amp;$E232&amp;"|"&amp;$O232&amp;"|CH4",DATOS_MODELO!$C$2:$C$3672,0)))</f>
        <v>3.00000158021019</v>
      </c>
      <c r="U232" s="14">
        <f>IF(COUNTIFS(DATOS_MODELO!$C$2:$C$3672,$Q232&amp;"|"&amp;$E232&amp;"|"&amp;$O232&amp;"|N2O",DATOS_MODELO!$AA$2:$AA$3672,"&lt;&gt;")=0,"",INDEX(DATOS_MODELO!$AA$2:$AA$3672,MATCH($Q232&amp;"|"&amp;$E232&amp;"|"&amp;$O232&amp;"|N2O",DATOS_MODELO!$C$2:$C$3672,0)))</f>
        <v>0.600001148608</v>
      </c>
      <c r="V232" s="8"/>
      <c r="W232" s="14"/>
      <c r="X232" s="14">
        <f>IF($P232="BIOGENICO",0,IF(ISNUMBER($S232),$N232*$S232/PARAMETROS!$B$8,""))</f>
        <v>1.735624209</v>
      </c>
      <c r="Y232" s="14">
        <f>IF($P232="BIOGENICO",IF(ISNUMBER($S232),$N232*$S232/PARAMETROS!$B$8,""),0)</f>
        <v>0.0</v>
      </c>
      <c r="Z232" s="14">
        <f>IF(ISNUMBER($T232),$N232*$T232/PARAMETROS!$B$8,"")</f>
        <v>7.20664e-05</v>
      </c>
      <c r="AA232" s="14">
        <f>IF(ISNUMBER($U232),$N232*$U232/PARAMETROS!$B$8,"")</f>
        <v>1.44133e-05</v>
      </c>
      <c r="AB232" s="14">
        <f>IF(COUNT($X232,$Z232,$AA232)=0,"",SUM($X232,IF(ISNUMBER($Z232),$Z232*PARAMETROS!$B$9,0),IF(ISNUMBER($AA232),$AA232*PARAMETROS!$B$10,0)))</f>
        <v>1.7414615927</v>
      </c>
      <c r="AC232" s="4" t="s">
        <v>1990</v>
      </c>
      <c r="AD232" s="4"/>
      <c r="AE232" s="4" t="s">
        <v>5690</v>
      </c>
      <c r="AF232" s="4" t="s">
        <v>170</v>
      </c>
      <c r="AG232" s="4" t="s">
        <v>3999</v>
      </c>
      <c r="AH232" s="4"/>
    </row>
    <row r="233" customFormat="false" ht="23.85" hidden="false" customHeight="false" outlineLevel="0" collapsed="false">
      <c r="A233" s="4" t="s">
        <v>5991</v>
      </c>
      <c r="B233" s="12" t="n">
        <v>2022</v>
      </c>
      <c r="C233" s="4" t="s">
        <v>67</v>
      </c>
      <c r="D233" s="4" t="s">
        <v>5685</v>
      </c>
      <c r="E233" s="4" t="s">
        <v>3341</v>
      </c>
      <c r="F233" s="4" t="s">
        <v>3342</v>
      </c>
      <c r="G233" s="4" t="s">
        <v>88</v>
      </c>
      <c r="H233" s="4" t="s">
        <v>2003</v>
      </c>
      <c r="I233" s="4" t="s">
        <v>67</v>
      </c>
      <c r="J233" s="4" t="s">
        <v>2001</v>
      </c>
      <c r="K233" s="4" t="s">
        <v>66</v>
      </c>
      <c r="L233" s="4" t="s">
        <v>1290</v>
      </c>
      <c r="M233" s="14" t="n">
        <f aca="false">SUMIFS(PSUT_LARGA!$K$2:$K$618,PSUT_LARGA!$B$2:$B$618,$B233,PSUT_LARGA!$H$2:$H$618,$L233,PSUT_LARGA!$E$2:$E$618,$J233,PSUT_LARGA!$F$2:$F$618,$K233,PSUT_LARGA!$G$2:$G$618,$I233,PSUT_LARGA!$I$2:$I$618,$H233)</f>
        <v>793.646</v>
      </c>
      <c r="N233" s="14" t="n">
        <f aca="false">IF($H233="TRANSFORMACION_REFINERIA",$M233*INDEX(PARAMETROS!$C$27:$C$33,MATCH($B233,PARAMETROS!$A$27:$A$33,0)),$M233)</f>
        <v>793.646</v>
      </c>
      <c r="O233" s="4" t="s">
        <v>3362</v>
      </c>
      <c r="P233" s="4" t="s">
        <v>3363</v>
      </c>
      <c r="Q233" s="11" t="n">
        <f aca="false">MIN($B233,2022)</f>
        <v>2022</v>
      </c>
      <c r="R233" s="8" t="str">
        <f>IF(COUNT($S233:$U233)=0,"NO",IF($O233="CERO_DIRECTO","CAL",IF(OR($B233&gt;$Q233,COUNTIFS(DATOS_MODELO!$C$2:$C$3672,$Q233&amp;"|"&amp;$E233&amp;"|"&amp;$O233&amp;"|*",DATOS_MODELO!$F$2:$F$3672,"PRX",DATOS_MODELO!$AA$2:$AA$3672,"&lt;&gt;")&gt;0),"PRX",IF(COUNTIFS(DATOS_MODELO!$C$2:$C$3672,$Q233&amp;"|"&amp;$E233&amp;"|"&amp;$O233&amp;"|*",DATOS_MODELO!$F$2:$F$3672,"CAL",DATOS_MODELO!$AA$2:$AA$3672,"&lt;&gt;")&gt;0,"CAL","OBS"))))</f>
        <v>CAL</v>
      </c>
      <c r="S233" s="14">
        <f>IF(COUNTIFS(DATOS_MODELO!$C$2:$C$3672,$Q233&amp;"|"&amp;$E233&amp;"|"&amp;$O233&amp;"|CO2",DATOS_MODELO!$AA$2:$AA$3672,"&lt;&gt;")=0,"",INDEX(DATOS_MODELO!$AA$2:$AA$3672,MATCH($Q233&amp;"|"&amp;$E233&amp;"|"&amp;$O233&amp;"|CO2",DATOS_MODELO!$C$2:$C$3672,0)))</f>
        <v>0.0</v>
      </c>
      <c r="T233" s="14">
        <f>IF(COUNTIFS(DATOS_MODELO!$C$2:$C$3672,$Q233&amp;"|"&amp;$E233&amp;"|"&amp;$O233&amp;"|CH4",DATOS_MODELO!$AA$2:$AA$3672,"&lt;&gt;")=0,"",INDEX(DATOS_MODELO!$AA$2:$AA$3672,MATCH($Q233&amp;"|"&amp;$E233&amp;"|"&amp;$O233&amp;"|CH4",DATOS_MODELO!$C$2:$C$3672,0)))</f>
        <v>0.0</v>
      </c>
      <c r="U233" s="14">
        <f>IF(COUNTIFS(DATOS_MODELO!$C$2:$C$3672,$Q233&amp;"|"&amp;$E233&amp;"|"&amp;$O233&amp;"|N2O",DATOS_MODELO!$AA$2:$AA$3672,"&lt;&gt;")=0,"",INDEX(DATOS_MODELO!$AA$2:$AA$3672,MATCH($Q233&amp;"|"&amp;$E233&amp;"|"&amp;$O233&amp;"|N2O",DATOS_MODELO!$C$2:$C$3672,0)))</f>
        <v>0.0</v>
      </c>
      <c r="V233" s="8"/>
      <c r="W233" s="14"/>
      <c r="X233" s="14">
        <f>IF($P233="BIOGENICO",0,IF(ISNUMBER($S233),$N233*$S233/PARAMETROS!$B$8,""))</f>
        <v>0.0</v>
      </c>
      <c r="Y233" s="14">
        <f>IF($P233="BIOGENICO",IF(ISNUMBER($S233),$N233*$S233/PARAMETROS!$B$8,""),0)</f>
        <v>0.0</v>
      </c>
      <c r="Z233" s="14">
        <f>IF(ISNUMBER($T233),$N233*$T233/PARAMETROS!$B$8,"")</f>
        <v>0.0</v>
      </c>
      <c r="AA233" s="14">
        <f>IF(ISNUMBER($U233),$N233*$U233/PARAMETROS!$B$8,"")</f>
        <v>0.0</v>
      </c>
      <c r="AB233" s="14">
        <f>IF(COUNT($X233,$Z233,$AA233)=0,"",SUM($X233,IF(ISNUMBER($Z233),$Z233*PARAMETROS!$B$9,0),IF(ISNUMBER($AA233),$AA233*PARAMETROS!$B$10,0)))</f>
        <v>0.0</v>
      </c>
      <c r="AC233" s="4" t="s">
        <v>1990</v>
      </c>
      <c r="AD233" s="4"/>
      <c r="AE233" s="4" t="s">
        <v>3362</v>
      </c>
      <c r="AF233" s="4" t="s">
        <v>170</v>
      </c>
      <c r="AG233" s="4" t="inlineStr">
        <is>
          <t>METODO_EMISIONES</t>
        </is>
      </c>
      <c r="AH233" s="4"/>
    </row>
    <row r="234" customFormat="false" ht="15" hidden="false" customHeight="false" outlineLevel="0" collapsed="false">
      <c r="A234" s="4" t="s">
        <v>5992</v>
      </c>
      <c r="B234" s="12" t="n">
        <v>2022</v>
      </c>
      <c r="C234" s="4" t="s">
        <v>67</v>
      </c>
      <c r="D234" s="4" t="s">
        <v>5685</v>
      </c>
      <c r="E234" s="4" t="s">
        <v>3341</v>
      </c>
      <c r="F234" s="4" t="s">
        <v>3342</v>
      </c>
      <c r="G234" s="4" t="s">
        <v>97</v>
      </c>
      <c r="H234" s="4" t="s">
        <v>2003</v>
      </c>
      <c r="I234" s="4" t="s">
        <v>67</v>
      </c>
      <c r="J234" s="4" t="s">
        <v>2001</v>
      </c>
      <c r="K234" s="4" t="s">
        <v>2002</v>
      </c>
      <c r="L234" s="4" t="s">
        <v>1318</v>
      </c>
      <c r="M234" s="14" t="n">
        <f aca="false">SUMIFS(PSUT_LARGA!$K$2:$K$618,PSUT_LARGA!$B$2:$B$618,$B234,PSUT_LARGA!$H$2:$H$618,$L234,PSUT_LARGA!$E$2:$E$618,$J234,PSUT_LARGA!$F$2:$F$618,$K234,PSUT_LARGA!$G$2:$G$618,$I234,PSUT_LARGA!$I$2:$I$618,$H234)</f>
        <v>101.675</v>
      </c>
      <c r="N234" s="14" t="n">
        <f aca="false">IF($H234="TRANSFORMACION_REFINERIA",$M234*INDEX(PARAMETROS!$C$27:$C$33,MATCH($B234,PARAMETROS!$A$27:$A$33,0)),$M234)</f>
        <v>101.675</v>
      </c>
      <c r="O234" s="4" t="inlineStr">
        <is>
          <t>COMB_DOIL</t>
        </is>
      </c>
      <c r="P234" s="4" t="s">
        <v>3352</v>
      </c>
      <c r="Q234" s="11" t="n">
        <f aca="false">MIN($B234,2022)</f>
        <v>2022</v>
      </c>
      <c r="R234" s="8" t="str">
        <f>IF(COUNT($S234:$U234)=0,"NO",IF($O234="CERO_DIRECTO","CAL",IF(OR($B234&gt;$Q234,COUNTIFS(DATOS_MODELO!$C$2:$C$3672,$Q234&amp;"|"&amp;$E234&amp;"|"&amp;$O234&amp;"|*",DATOS_MODELO!$F$2:$F$3672,"PRX",DATOS_MODELO!$AA$2:$AA$3672,"&lt;&gt;")&gt;0),"PRX",IF(COUNTIFS(DATOS_MODELO!$C$2:$C$3672,$Q234&amp;"|"&amp;$E234&amp;"|"&amp;$O234&amp;"|*",DATOS_MODELO!$F$2:$F$3672,"CAL",DATOS_MODELO!$AA$2:$AA$3672,"&lt;&gt;")&gt;0,"CAL","OBS"))))</f>
        <v>PRX</v>
      </c>
      <c r="S234" s="14">
        <f>IF(COUNTIFS(DATOS_MODELO!$C$2:$C$3672,$Q234&amp;"|"&amp;$E234&amp;"|"&amp;$O234&amp;"|CO2",DATOS_MODELO!$AA$2:$AA$3672,"&lt;&gt;")=0,"",INDEX(DATOS_MODELO!$AA$2:$AA$3672,MATCH($Q234&amp;"|"&amp;$E234&amp;"|"&amp;$O234&amp;"|CO2",DATOS_MODELO!$C$2:$C$3672,0)))</f>
        <v>74100.0</v>
      </c>
      <c r="T234" s="14">
        <f>IF(COUNTIFS(DATOS_MODELO!$C$2:$C$3672,$Q234&amp;"|"&amp;$E234&amp;"|"&amp;$O234&amp;"|CH4",DATOS_MODELO!$AA$2:$AA$3672,"&lt;&gt;")=0,"",INDEX(DATOS_MODELO!$AA$2:$AA$3672,MATCH($Q234&amp;"|"&amp;$E234&amp;"|"&amp;$O234&amp;"|CH4",DATOS_MODELO!$C$2:$C$3672,0)))</f>
        <v>3.0</v>
      </c>
      <c r="U234" s="14">
        <f>IF(COUNTIFS(DATOS_MODELO!$C$2:$C$3672,$Q234&amp;"|"&amp;$E234&amp;"|"&amp;$O234&amp;"|N2O",DATOS_MODELO!$AA$2:$AA$3672,"&lt;&gt;")=0,"",INDEX(DATOS_MODELO!$AA$2:$AA$3672,MATCH($Q234&amp;"|"&amp;$E234&amp;"|"&amp;$O234&amp;"|N2O",DATOS_MODELO!$C$2:$C$3672,0)))</f>
        <v>0.6</v>
      </c>
      <c r="V234" s="8"/>
      <c r="W234" s="14"/>
      <c r="X234" s="14">
        <f>IF($P234="BIOGENICO",0,IF(ISNUMBER($S234),$N234*$S234/PARAMETROS!$B$8,""))</f>
        <v>7.5341175</v>
      </c>
      <c r="Y234" s="14">
        <f>IF($P234="BIOGENICO",IF(ISNUMBER($S234),$N234*$S234/PARAMETROS!$B$8,""),0)</f>
        <v>0.0</v>
      </c>
      <c r="Z234" s="14">
        <f>IF(ISNUMBER($T234),$N234*$T234/PARAMETROS!$B$8,"")</f>
        <v>0.000305025</v>
      </c>
      <c r="AA234" s="14">
        <f>IF(ISNUMBER($U234),$N234*$U234/PARAMETROS!$B$8,"")</f>
        <v>6.1005e-05</v>
      </c>
      <c r="AB234" s="14">
        <f>IF(COUNT($X234,$Z234,$AA234)=0,"",SUM($X234,IF(ISNUMBER($Z234),$Z234*PARAMETROS!$B$9,0),IF(ISNUMBER($AA234),$AA234*PARAMETROS!$B$10,0)))</f>
        <v>7.558824525</v>
      </c>
      <c r="AC234" s="4" t="s">
        <v>1990</v>
      </c>
      <c r="AD234" s="4"/>
      <c r="AE234" s="4" t="s">
        <v>5690</v>
      </c>
      <c r="AF234" s="4" t="s">
        <v>170</v>
      </c>
      <c r="AG234" s="4" t="inlineStr">
        <is>
          <t>MARN_GTM_BTR1_2024</t>
        </is>
      </c>
      <c r="AH234" s="4" t="inlineStr">
        <is>
          <t>Origen de factores: CO2: MARN_GTM_BTR1_2024 [PRX; BTR1 Guatemala 2024, tabla 3.6, p. 48; fila Gas/Diésel oíl; gas CO2]; CH4: MARN_GTM_BTR1_2024 [PRX; BTR1 Guatemala 2024, tabla 3.17, p. 57; fila Diésel; gas CH4]; N2O: MARN_GTM_BTR1_2024 [PRX; BTR1 Guatemala 2024, tabla 3.17, p. 57; fila Diésel; gas N2O].</t>
        </is>
      </c>
    </row>
    <row r="235" customFormat="false" ht="23.85" hidden="false" customHeight="false" outlineLevel="0" collapsed="false">
      <c r="A235" s="4" t="s">
        <v>5993</v>
      </c>
      <c r="B235" s="12" t="n">
        <v>2022</v>
      </c>
      <c r="C235" s="4" t="s">
        <v>67</v>
      </c>
      <c r="D235" s="4" t="s">
        <v>5685</v>
      </c>
      <c r="E235" s="4" t="s">
        <v>3341</v>
      </c>
      <c r="F235" s="4" t="s">
        <v>3342</v>
      </c>
      <c r="G235" s="4" t="s">
        <v>99</v>
      </c>
      <c r="H235" s="4" t="s">
        <v>2003</v>
      </c>
      <c r="I235" s="4" t="s">
        <v>67</v>
      </c>
      <c r="J235" s="4" t="s">
        <v>1994</v>
      </c>
      <c r="K235" s="4" t="s">
        <v>1995</v>
      </c>
      <c r="L235" s="4" t="s">
        <v>1332</v>
      </c>
      <c r="M235" s="14" t="n">
        <f aca="false">SUMIFS(PSUT_LARGA!$K$2:$K$618,PSUT_LARGA!$B$2:$B$618,$B235,PSUT_LARGA!$H$2:$H$618,$L235,PSUT_LARGA!$E$2:$E$618,$J235,PSUT_LARGA!$F$2:$F$618,$K235,PSUT_LARGA!$G$2:$G$618,$I235,PSUT_LARGA!$I$2:$I$618,$H235)</f>
        <v>44470.3791</v>
      </c>
      <c r="N235" s="14" t="n">
        <f aca="false">IF($H235="TRANSFORMACION_REFINERIA",$M235*INDEX(PARAMETROS!$C$27:$C$33,MATCH($B235,PARAMETROS!$A$27:$A$33,0)),$M235)</f>
        <v>44470.3791</v>
      </c>
      <c r="O235" s="4" t="s">
        <v>3362</v>
      </c>
      <c r="P235" s="4" t="s">
        <v>3363</v>
      </c>
      <c r="Q235" s="11" t="n">
        <f aca="false">MIN($B235,2022)</f>
        <v>2022</v>
      </c>
      <c r="R235" s="8" t="str">
        <f>IF(COUNT($S235:$U235)=0,"NO",IF($O235="CERO_DIRECTO","CAL",IF(OR($B235&gt;$Q235,COUNTIFS(DATOS_MODELO!$C$2:$C$3672,$Q235&amp;"|"&amp;$E235&amp;"|"&amp;$O235&amp;"|*",DATOS_MODELO!$F$2:$F$3672,"PRX",DATOS_MODELO!$AA$2:$AA$3672,"&lt;&gt;")&gt;0),"PRX",IF(COUNTIFS(DATOS_MODELO!$C$2:$C$3672,$Q235&amp;"|"&amp;$E235&amp;"|"&amp;$O235&amp;"|*",DATOS_MODELO!$F$2:$F$3672,"CAL",DATOS_MODELO!$AA$2:$AA$3672,"&lt;&gt;")&gt;0,"CAL","OBS"))))</f>
        <v>CAL</v>
      </c>
      <c r="S235" s="14">
        <f>IF(COUNTIFS(DATOS_MODELO!$C$2:$C$3672,$Q235&amp;"|"&amp;$E235&amp;"|"&amp;$O235&amp;"|CO2",DATOS_MODELO!$AA$2:$AA$3672,"&lt;&gt;")=0,"",INDEX(DATOS_MODELO!$AA$2:$AA$3672,MATCH($Q235&amp;"|"&amp;$E235&amp;"|"&amp;$O235&amp;"|CO2",DATOS_MODELO!$C$2:$C$3672,0)))</f>
        <v>0.0</v>
      </c>
      <c r="T235" s="14">
        <f>IF(COUNTIFS(DATOS_MODELO!$C$2:$C$3672,$Q235&amp;"|"&amp;$E235&amp;"|"&amp;$O235&amp;"|CH4",DATOS_MODELO!$AA$2:$AA$3672,"&lt;&gt;")=0,"",INDEX(DATOS_MODELO!$AA$2:$AA$3672,MATCH($Q235&amp;"|"&amp;$E235&amp;"|"&amp;$O235&amp;"|CH4",DATOS_MODELO!$C$2:$C$3672,0)))</f>
        <v>0.0</v>
      </c>
      <c r="U235" s="14">
        <f>IF(COUNTIFS(DATOS_MODELO!$C$2:$C$3672,$Q235&amp;"|"&amp;$E235&amp;"|"&amp;$O235&amp;"|N2O",DATOS_MODELO!$AA$2:$AA$3672,"&lt;&gt;")=0,"",INDEX(DATOS_MODELO!$AA$2:$AA$3672,MATCH($Q235&amp;"|"&amp;$E235&amp;"|"&amp;$O235&amp;"|N2O",DATOS_MODELO!$C$2:$C$3672,0)))</f>
        <v>0.0</v>
      </c>
      <c r="V235" s="8"/>
      <c r="W235" s="14"/>
      <c r="X235" s="14">
        <f>IF($P235="BIOGENICO",0,IF(ISNUMBER($S235),$N235*$S235/PARAMETROS!$B$8,""))</f>
        <v>0.0</v>
      </c>
      <c r="Y235" s="14">
        <f>IF($P235="BIOGENICO",IF(ISNUMBER($S235),$N235*$S235/PARAMETROS!$B$8,""),0)</f>
        <v>0.0</v>
      </c>
      <c r="Z235" s="14">
        <f>IF(ISNUMBER($T235),$N235*$T235/PARAMETROS!$B$8,"")</f>
        <v>0.0</v>
      </c>
      <c r="AA235" s="14">
        <f>IF(ISNUMBER($U235),$N235*$U235/PARAMETROS!$B$8,"")</f>
        <v>0.0</v>
      </c>
      <c r="AB235" s="14">
        <f>IF(COUNT($X235,$Z235,$AA235)=0,"",SUM($X235,IF(ISNUMBER($Z235),$Z235*PARAMETROS!$B$9,0),IF(ISNUMBER($AA235),$AA235*PARAMETROS!$B$10,0)))</f>
        <v>0.0</v>
      </c>
      <c r="AC235" s="4" t="s">
        <v>1990</v>
      </c>
      <c r="AD235" s="4"/>
      <c r="AE235" s="4" t="s">
        <v>3362</v>
      </c>
      <c r="AF235" s="4" t="s">
        <v>170</v>
      </c>
      <c r="AG235" s="4" t="inlineStr">
        <is>
          <t>METODO_EMISIONES</t>
        </is>
      </c>
      <c r="AH235" s="4"/>
    </row>
    <row r="236" customFormat="false" ht="23.85" hidden="false" customHeight="false" outlineLevel="0" collapsed="false">
      <c r="A236" s="4" t="s">
        <v>5994</v>
      </c>
      <c r="B236" s="12" t="n">
        <v>2022</v>
      </c>
      <c r="C236" s="4" t="s">
        <v>67</v>
      </c>
      <c r="D236" s="4" t="s">
        <v>5685</v>
      </c>
      <c r="E236" s="4" t="s">
        <v>3341</v>
      </c>
      <c r="F236" s="4" t="s">
        <v>3342</v>
      </c>
      <c r="G236" s="4" t="s">
        <v>99</v>
      </c>
      <c r="H236" s="4" t="s">
        <v>2008</v>
      </c>
      <c r="I236" s="4" t="s">
        <v>67</v>
      </c>
      <c r="J236" s="4" t="s">
        <v>1994</v>
      </c>
      <c r="K236" s="4" t="s">
        <v>1995</v>
      </c>
      <c r="L236" s="4" t="s">
        <v>1333</v>
      </c>
      <c r="M236" s="14" t="n">
        <f aca="false">SUMIFS(PSUT_LARGA!$K$2:$K$618,PSUT_LARGA!$B$2:$B$618,$B236,PSUT_LARGA!$H$2:$H$618,$L236,PSUT_LARGA!$E$2:$E$618,$J236,PSUT_LARGA!$F$2:$F$618,$K236,PSUT_LARGA!$G$2:$G$618,$I236,PSUT_LARGA!$I$2:$I$618,$H236)</f>
        <v>2860.9021</v>
      </c>
      <c r="N236" s="14" t="n">
        <f aca="false">IF($H236="TRANSFORMACION_REFINERIA",$M236*INDEX(PARAMETROS!$C$27:$C$33,MATCH($B236,PARAMETROS!$A$27:$A$33,0)),$M236)</f>
        <v>2860.9021</v>
      </c>
      <c r="O236" s="4" t="s">
        <v>3362</v>
      </c>
      <c r="P236" s="4" t="s">
        <v>3363</v>
      </c>
      <c r="Q236" s="11" t="n">
        <f aca="false">MIN($B236,2022)</f>
        <v>2022</v>
      </c>
      <c r="R236" s="8" t="str">
        <f>IF(COUNT($S236:$U236)=0,"NO",IF($O236="CERO_DIRECTO","CAL",IF(OR($B236&gt;$Q236,COUNTIFS(DATOS_MODELO!$C$2:$C$3672,$Q236&amp;"|"&amp;$E236&amp;"|"&amp;$O236&amp;"|*",DATOS_MODELO!$F$2:$F$3672,"PRX",DATOS_MODELO!$AA$2:$AA$3672,"&lt;&gt;")&gt;0),"PRX",IF(COUNTIFS(DATOS_MODELO!$C$2:$C$3672,$Q236&amp;"|"&amp;$E236&amp;"|"&amp;$O236&amp;"|*",DATOS_MODELO!$F$2:$F$3672,"CAL",DATOS_MODELO!$AA$2:$AA$3672,"&lt;&gt;")&gt;0,"CAL","OBS"))))</f>
        <v>CAL</v>
      </c>
      <c r="S236" s="14">
        <f>IF(COUNTIFS(DATOS_MODELO!$C$2:$C$3672,$Q236&amp;"|"&amp;$E236&amp;"|"&amp;$O236&amp;"|CO2",DATOS_MODELO!$AA$2:$AA$3672,"&lt;&gt;")=0,"",INDEX(DATOS_MODELO!$AA$2:$AA$3672,MATCH($Q236&amp;"|"&amp;$E236&amp;"|"&amp;$O236&amp;"|CO2",DATOS_MODELO!$C$2:$C$3672,0)))</f>
        <v>0.0</v>
      </c>
      <c r="T236" s="14">
        <f>IF(COUNTIFS(DATOS_MODELO!$C$2:$C$3672,$Q236&amp;"|"&amp;$E236&amp;"|"&amp;$O236&amp;"|CH4",DATOS_MODELO!$AA$2:$AA$3672,"&lt;&gt;")=0,"",INDEX(DATOS_MODELO!$AA$2:$AA$3672,MATCH($Q236&amp;"|"&amp;$E236&amp;"|"&amp;$O236&amp;"|CH4",DATOS_MODELO!$C$2:$C$3672,0)))</f>
        <v>0.0</v>
      </c>
      <c r="U236" s="14">
        <f>IF(COUNTIFS(DATOS_MODELO!$C$2:$C$3672,$Q236&amp;"|"&amp;$E236&amp;"|"&amp;$O236&amp;"|N2O",DATOS_MODELO!$AA$2:$AA$3672,"&lt;&gt;")=0,"",INDEX(DATOS_MODELO!$AA$2:$AA$3672,MATCH($Q236&amp;"|"&amp;$E236&amp;"|"&amp;$O236&amp;"|N2O",DATOS_MODELO!$C$2:$C$3672,0)))</f>
        <v>0.0</v>
      </c>
      <c r="V236" s="8"/>
      <c r="W236" s="14"/>
      <c r="X236" s="14">
        <f>IF($P236="BIOGENICO",0,IF(ISNUMBER($S236),$N236*$S236/PARAMETROS!$B$8,""))</f>
        <v>0.0</v>
      </c>
      <c r="Y236" s="14">
        <f>IF($P236="BIOGENICO",IF(ISNUMBER($S236),$N236*$S236/PARAMETROS!$B$8,""),0)</f>
        <v>0.0</v>
      </c>
      <c r="Z236" s="14">
        <f>IF(ISNUMBER($T236),$N236*$T236/PARAMETROS!$B$8,"")</f>
        <v>0.0</v>
      </c>
      <c r="AA236" s="14">
        <f>IF(ISNUMBER($U236),$N236*$U236/PARAMETROS!$B$8,"")</f>
        <v>0.0</v>
      </c>
      <c r="AB236" s="14">
        <f>IF(COUNT($X236,$Z236,$AA236)=0,"",SUM($X236,IF(ISNUMBER($Z236),$Z236*PARAMETROS!$B$9,0),IF(ISNUMBER($AA236),$AA236*PARAMETROS!$B$10,0)))</f>
        <v>0.0</v>
      </c>
      <c r="AC236" s="4" t="s">
        <v>1990</v>
      </c>
      <c r="AD236" s="4"/>
      <c r="AE236" s="4" t="s">
        <v>3362</v>
      </c>
      <c r="AF236" s="4" t="s">
        <v>170</v>
      </c>
      <c r="AG236" s="4" t="inlineStr">
        <is>
          <t>METODO_EMISIONES</t>
        </is>
      </c>
      <c r="AH236" s="4"/>
    </row>
    <row r="237" customFormat="false" ht="23.85" hidden="false" customHeight="false" outlineLevel="0" collapsed="false">
      <c r="A237" s="4" t="s">
        <v>5995</v>
      </c>
      <c r="B237" s="12" t="n">
        <v>2022</v>
      </c>
      <c r="C237" s="4" t="s">
        <v>67</v>
      </c>
      <c r="D237" s="4" t="s">
        <v>5685</v>
      </c>
      <c r="E237" s="4" t="s">
        <v>3420</v>
      </c>
      <c r="F237" s="4" t="s">
        <v>3421</v>
      </c>
      <c r="G237" s="4" t="s">
        <v>99</v>
      </c>
      <c r="H237" s="4" t="s">
        <v>2139</v>
      </c>
      <c r="I237" s="4" t="s">
        <v>67</v>
      </c>
      <c r="J237" s="4" t="s">
        <v>2001</v>
      </c>
      <c r="K237" s="4" t="s">
        <v>2002</v>
      </c>
      <c r="L237" s="4" t="s">
        <v>1334</v>
      </c>
      <c r="M237" s="14" t="n">
        <f aca="false">SUMIFS(PSUT_LARGA!$K$2:$K$618,PSUT_LARGA!$B$2:$B$618,$B237,PSUT_LARGA!$H$2:$H$618,$L237,PSUT_LARGA!$E$2:$E$618,$J237,PSUT_LARGA!$F$2:$F$618,$K237,PSUT_LARGA!$G$2:$G$618,$I237,PSUT_LARGA!$I$2:$I$618,$H237)</f>
        <v>2000.1506</v>
      </c>
      <c r="N237" s="14" t="n">
        <f aca="false">IF($H237="TRANSFORMACION_REFINERIA",$M237*INDEX(PARAMETROS!$C$27:$C$33,MATCH($B237,PARAMETROS!$A$27:$A$33,0)),$M237)</f>
        <v>2000.1506</v>
      </c>
      <c r="O237" s="4" t="s">
        <v>3362</v>
      </c>
      <c r="P237" s="4" t="s">
        <v>3363</v>
      </c>
      <c r="Q237" s="11" t="n">
        <f aca="false">MIN($B237,2022)</f>
        <v>2022</v>
      </c>
      <c r="R237" s="8" t="str">
        <f>IF(COUNT($S237:$U237)=0,"NO",IF($O237="CERO_DIRECTO","CAL",IF(OR($B237&gt;$Q237,COUNTIFS(DATOS_MODELO!$C$2:$C$3672,$Q237&amp;"|"&amp;$E237&amp;"|"&amp;$O237&amp;"|*",DATOS_MODELO!$F$2:$F$3672,"PRX",DATOS_MODELO!$AA$2:$AA$3672,"&lt;&gt;")&gt;0),"PRX",IF(COUNTIFS(DATOS_MODELO!$C$2:$C$3672,$Q237&amp;"|"&amp;$E237&amp;"|"&amp;$O237&amp;"|*",DATOS_MODELO!$F$2:$F$3672,"CAL",DATOS_MODELO!$AA$2:$AA$3672,"&lt;&gt;")&gt;0,"CAL","OBS"))))</f>
        <v>CAL</v>
      </c>
      <c r="S237" s="14">
        <f>IF(COUNTIFS(DATOS_MODELO!$C$2:$C$3672,$Q237&amp;"|"&amp;$E237&amp;"|"&amp;$O237&amp;"|CO2",DATOS_MODELO!$AA$2:$AA$3672,"&lt;&gt;")=0,"",INDEX(DATOS_MODELO!$AA$2:$AA$3672,MATCH($Q237&amp;"|"&amp;$E237&amp;"|"&amp;$O237&amp;"|CO2",DATOS_MODELO!$C$2:$C$3672,0)))</f>
        <v>0.0</v>
      </c>
      <c r="T237" s="14">
        <f>IF(COUNTIFS(DATOS_MODELO!$C$2:$C$3672,$Q237&amp;"|"&amp;$E237&amp;"|"&amp;$O237&amp;"|CH4",DATOS_MODELO!$AA$2:$AA$3672,"&lt;&gt;")=0,"",INDEX(DATOS_MODELO!$AA$2:$AA$3672,MATCH($Q237&amp;"|"&amp;$E237&amp;"|"&amp;$O237&amp;"|CH4",DATOS_MODELO!$C$2:$C$3672,0)))</f>
        <v>0.0</v>
      </c>
      <c r="U237" s="14">
        <f>IF(COUNTIFS(DATOS_MODELO!$C$2:$C$3672,$Q237&amp;"|"&amp;$E237&amp;"|"&amp;$O237&amp;"|N2O",DATOS_MODELO!$AA$2:$AA$3672,"&lt;&gt;")=0,"",INDEX(DATOS_MODELO!$AA$2:$AA$3672,MATCH($Q237&amp;"|"&amp;$E237&amp;"|"&amp;$O237&amp;"|N2O",DATOS_MODELO!$C$2:$C$3672,0)))</f>
        <v>0.0</v>
      </c>
      <c r="V237" s="8"/>
      <c r="W237" s="14"/>
      <c r="X237" s="14">
        <f>IF($P237="BIOGENICO",0,IF(ISNUMBER($S237),$N237*$S237/PARAMETROS!$B$8,""))</f>
        <v>0.0</v>
      </c>
      <c r="Y237" s="14">
        <f>IF($P237="BIOGENICO",IF(ISNUMBER($S237),$N237*$S237/PARAMETROS!$B$8,""),0)</f>
        <v>0.0</v>
      </c>
      <c r="Z237" s="14">
        <f>IF(ISNUMBER($T237),$N237*$T237/PARAMETROS!$B$8,"")</f>
        <v>0.0</v>
      </c>
      <c r="AA237" s="14">
        <f>IF(ISNUMBER($U237),$N237*$U237/PARAMETROS!$B$8,"")</f>
        <v>0.0</v>
      </c>
      <c r="AB237" s="14">
        <f>IF(COUNT($X237,$Z237,$AA237)=0,"",SUM($X237,IF(ISNUMBER($Z237),$Z237*PARAMETROS!$B$9,0),IF(ISNUMBER($AA237),$AA237*PARAMETROS!$B$10,0)))</f>
        <v>0.0</v>
      </c>
      <c r="AC237" s="4" t="s">
        <v>1990</v>
      </c>
      <c r="AD237" s="4"/>
      <c r="AE237" s="4" t="s">
        <v>3362</v>
      </c>
      <c r="AF237" s="4" t="s">
        <v>170</v>
      </c>
      <c r="AG237" s="4" t="inlineStr">
        <is>
          <t>METODO_EMISIONES</t>
        </is>
      </c>
      <c r="AH237" s="4"/>
    </row>
    <row r="238" customFormat="false" ht="15" hidden="false" customHeight="false" outlineLevel="0" collapsed="false">
      <c r="A238" s="4" t="s">
        <v>5996</v>
      </c>
      <c r="B238" s="12" t="n">
        <v>2022</v>
      </c>
      <c r="C238" s="4" t="s">
        <v>67</v>
      </c>
      <c r="D238" s="4" t="s">
        <v>5685</v>
      </c>
      <c r="E238" s="4" t="s">
        <v>3341</v>
      </c>
      <c r="F238" s="4" t="s">
        <v>3342</v>
      </c>
      <c r="G238" s="4" t="s">
        <v>101</v>
      </c>
      <c r="H238" s="4" t="s">
        <v>2003</v>
      </c>
      <c r="I238" s="4" t="s">
        <v>67</v>
      </c>
      <c r="J238" s="4" t="s">
        <v>2001</v>
      </c>
      <c r="K238" s="4" t="s">
        <v>2002</v>
      </c>
      <c r="L238" s="4" t="s">
        <v>1346</v>
      </c>
      <c r="M238" s="14" t="n">
        <f aca="false">SUMIFS(PSUT_LARGA!$K$2:$K$618,PSUT_LARGA!$B$2:$B$618,$B238,PSUT_LARGA!$H$2:$H$618,$L238,PSUT_LARGA!$E$2:$E$618,$J238,PSUT_LARGA!$F$2:$F$618,$K238,PSUT_LARGA!$G$2:$G$618,$I238,PSUT_LARGA!$I$2:$I$618,$H238)</f>
        <v>1428.4466</v>
      </c>
      <c r="N238" s="14" t="n">
        <f aca="false">IF($H238="TRANSFORMACION_REFINERIA",$M238*INDEX(PARAMETROS!$C$27:$C$33,MATCH($B238,PARAMETROS!$A$27:$A$33,0)),$M238)</f>
        <v>1428.4466</v>
      </c>
      <c r="O238" s="4" t="inlineStr">
        <is>
          <t>COMB_FOIL</t>
        </is>
      </c>
      <c r="P238" s="4" t="s">
        <v>3352</v>
      </c>
      <c r="Q238" s="11" t="n">
        <f aca="false">MIN($B238,2022)</f>
        <v>2022</v>
      </c>
      <c r="R238" s="8" t="str">
        <f>IF(COUNT($S238:$U238)=0,"NO",IF($O238="CERO_DIRECTO","CAL",IF(OR($B238&gt;$Q238,COUNTIFS(DATOS_MODELO!$C$2:$C$3672,$Q238&amp;"|"&amp;$E238&amp;"|"&amp;$O238&amp;"|*",DATOS_MODELO!$F$2:$F$3672,"PRX",DATOS_MODELO!$AA$2:$AA$3672,"&lt;&gt;")&gt;0),"PRX",IF(COUNTIFS(DATOS_MODELO!$C$2:$C$3672,$Q238&amp;"|"&amp;$E238&amp;"|"&amp;$O238&amp;"|*",DATOS_MODELO!$F$2:$F$3672,"CAL",DATOS_MODELO!$AA$2:$AA$3672,"&lt;&gt;")&gt;0,"CAL","OBS"))))</f>
        <v>PRX</v>
      </c>
      <c r="S238" s="14">
        <f>IF(COUNTIFS(DATOS_MODELO!$C$2:$C$3672,$Q238&amp;"|"&amp;$E238&amp;"|"&amp;$O238&amp;"|CO2",DATOS_MODELO!$AA$2:$AA$3672,"&lt;&gt;")=0,"",INDEX(DATOS_MODELO!$AA$2:$AA$3672,MATCH($Q238&amp;"|"&amp;$E238&amp;"|"&amp;$O238&amp;"|CO2",DATOS_MODELO!$C$2:$C$3672,0)))</f>
        <v>77400.0</v>
      </c>
      <c r="T238" s="14">
        <f>IF(COUNTIFS(DATOS_MODELO!$C$2:$C$3672,$Q238&amp;"|"&amp;$E238&amp;"|"&amp;$O238&amp;"|CH4",DATOS_MODELO!$AA$2:$AA$3672,"&lt;&gt;")=0,"",INDEX(DATOS_MODELO!$AA$2:$AA$3672,MATCH($Q238&amp;"|"&amp;$E238&amp;"|"&amp;$O238&amp;"|CH4",DATOS_MODELO!$C$2:$C$3672,0)))</f>
        <v>3.0</v>
      </c>
      <c r="U238" s="14">
        <f>IF(COUNTIFS(DATOS_MODELO!$C$2:$C$3672,$Q238&amp;"|"&amp;$E238&amp;"|"&amp;$O238&amp;"|N2O",DATOS_MODELO!$AA$2:$AA$3672,"&lt;&gt;")=0,"",INDEX(DATOS_MODELO!$AA$2:$AA$3672,MATCH($Q238&amp;"|"&amp;$E238&amp;"|"&amp;$O238&amp;"|N2O",DATOS_MODELO!$C$2:$C$3672,0)))</f>
        <v>0.6</v>
      </c>
      <c r="V238" s="8"/>
      <c r="W238" s="14"/>
      <c r="X238" s="14">
        <f>IF($P238="BIOGENICO",0,IF(ISNUMBER($S238),$N238*$S238/PARAMETROS!$B$8,""))</f>
        <v>110.56176684</v>
      </c>
      <c r="Y238" s="14">
        <f>IF($P238="BIOGENICO",IF(ISNUMBER($S238),$N238*$S238/PARAMETROS!$B$8,""),0)</f>
        <v>0.0</v>
      </c>
      <c r="Z238" s="14">
        <f>IF(ISNUMBER($T238),$N238*$T238/PARAMETROS!$B$8,"")</f>
        <v>0.0042853398</v>
      </c>
      <c r="AA238" s="14">
        <f>IF(ISNUMBER($U238),$N238*$U238/PARAMETROS!$B$8,"")</f>
        <v>0.00085706796</v>
      </c>
      <c r="AB238" s="14">
        <f>IF(COUNT($X238,$Z238,$AA238)=0,"",SUM($X238,IF(ISNUMBER($Z238),$Z238*PARAMETROS!$B$9,0),IF(ISNUMBER($AA238),$AA238*PARAMETROS!$B$10,0)))</f>
        <v>110.9088793638</v>
      </c>
      <c r="AC238" s="4" t="s">
        <v>1990</v>
      </c>
      <c r="AD238" s="4"/>
      <c r="AE238" s="4" t="s">
        <v>5690</v>
      </c>
      <c r="AF238" s="4" t="s">
        <v>170</v>
      </c>
      <c r="AG238" s="4" t="inlineStr">
        <is>
          <t>MARN_GTM_BTR1_2024</t>
        </is>
      </c>
      <c r="AH238" s="4" t="inlineStr">
        <is>
          <t>Origen de factores: CO2: MARN_GTM_BTR1_2024 [PRX; BTR1 Guatemala 2024, tabla 3.6, p. 48; fila Fuelóleo residual; gas CO2]; CH4: MARN_GTM_BTR1_2024 [PRX; BTR1 Guatemala 2024, tabla 3.17, p. 57; fila Fuelóleo residual; gas CH4]; N2O: MARN_GTM_BTR1_2024 [PRX; BTR1 Guatemala 2024, tabla 3.17, p. 57; fila Fuelóleo residual; gas N2O].</t>
        </is>
      </c>
    </row>
    <row r="239" customFormat="false" ht="15" hidden="false" customHeight="false" outlineLevel="0" collapsed="false">
      <c r="A239" s="4" t="s">
        <v>5997</v>
      </c>
      <c r="B239" s="12" t="n">
        <v>2022</v>
      </c>
      <c r="C239" s="4" t="s">
        <v>67</v>
      </c>
      <c r="D239" s="4" t="s">
        <v>5685</v>
      </c>
      <c r="E239" s="4" t="s">
        <v>3341</v>
      </c>
      <c r="F239" s="4" t="s">
        <v>3342</v>
      </c>
      <c r="G239" s="4" t="s">
        <v>101</v>
      </c>
      <c r="H239" s="4" t="s">
        <v>2008</v>
      </c>
      <c r="I239" s="4" t="s">
        <v>67</v>
      </c>
      <c r="J239" s="4" t="s">
        <v>2001</v>
      </c>
      <c r="K239" s="4" t="s">
        <v>2002</v>
      </c>
      <c r="L239" s="4" t="s">
        <v>1347</v>
      </c>
      <c r="M239" s="14" t="n">
        <f aca="false">SUMIFS(PSUT_LARGA!$K$2:$K$618,PSUT_LARGA!$B$2:$B$618,$B239,PSUT_LARGA!$H$2:$H$618,$L239,PSUT_LARGA!$E$2:$E$618,$J239,PSUT_LARGA!$F$2:$F$618,$K239,PSUT_LARGA!$G$2:$G$618,$I239,PSUT_LARGA!$I$2:$I$618,$H239)</f>
        <v>61.4117</v>
      </c>
      <c r="N239" s="14" t="n">
        <f aca="false">IF($H239="TRANSFORMACION_REFINERIA",$M239*INDEX(PARAMETROS!$C$27:$C$33,MATCH($B239,PARAMETROS!$A$27:$A$33,0)),$M239)</f>
        <v>61.4117</v>
      </c>
      <c r="O239" s="4" t="inlineStr">
        <is>
          <t>COMB_FOIL</t>
        </is>
      </c>
      <c r="P239" s="4" t="s">
        <v>3352</v>
      </c>
      <c r="Q239" s="11" t="n">
        <f aca="false">MIN($B239,2022)</f>
        <v>2022</v>
      </c>
      <c r="R239" s="8" t="str">
        <f>IF(COUNT($S239:$U239)=0,"NO",IF($O239="CERO_DIRECTO","CAL",IF(OR($B239&gt;$Q239,COUNTIFS(DATOS_MODELO!$C$2:$C$3672,$Q239&amp;"|"&amp;$E239&amp;"|"&amp;$O239&amp;"|*",DATOS_MODELO!$F$2:$F$3672,"PRX",DATOS_MODELO!$AA$2:$AA$3672,"&lt;&gt;")&gt;0),"PRX",IF(COUNTIFS(DATOS_MODELO!$C$2:$C$3672,$Q239&amp;"|"&amp;$E239&amp;"|"&amp;$O239&amp;"|*",DATOS_MODELO!$F$2:$F$3672,"CAL",DATOS_MODELO!$AA$2:$AA$3672,"&lt;&gt;")&gt;0,"CAL","OBS"))))</f>
        <v>PRX</v>
      </c>
      <c r="S239" s="14">
        <f>IF(COUNTIFS(DATOS_MODELO!$C$2:$C$3672,$Q239&amp;"|"&amp;$E239&amp;"|"&amp;$O239&amp;"|CO2",DATOS_MODELO!$AA$2:$AA$3672,"&lt;&gt;")=0,"",INDEX(DATOS_MODELO!$AA$2:$AA$3672,MATCH($Q239&amp;"|"&amp;$E239&amp;"|"&amp;$O239&amp;"|CO2",DATOS_MODELO!$C$2:$C$3672,0)))</f>
        <v>77400.0</v>
      </c>
      <c r="T239" s="14">
        <f>IF(COUNTIFS(DATOS_MODELO!$C$2:$C$3672,$Q239&amp;"|"&amp;$E239&amp;"|"&amp;$O239&amp;"|CH4",DATOS_MODELO!$AA$2:$AA$3672,"&lt;&gt;")=0,"",INDEX(DATOS_MODELO!$AA$2:$AA$3672,MATCH($Q239&amp;"|"&amp;$E239&amp;"|"&amp;$O239&amp;"|CH4",DATOS_MODELO!$C$2:$C$3672,0)))</f>
        <v>3.0</v>
      </c>
      <c r="U239" s="14">
        <f>IF(COUNTIFS(DATOS_MODELO!$C$2:$C$3672,$Q239&amp;"|"&amp;$E239&amp;"|"&amp;$O239&amp;"|N2O",DATOS_MODELO!$AA$2:$AA$3672,"&lt;&gt;")=0,"",INDEX(DATOS_MODELO!$AA$2:$AA$3672,MATCH($Q239&amp;"|"&amp;$E239&amp;"|"&amp;$O239&amp;"|N2O",DATOS_MODELO!$C$2:$C$3672,0)))</f>
        <v>0.6</v>
      </c>
      <c r="V239" s="8"/>
      <c r="W239" s="14"/>
      <c r="X239" s="14">
        <f>IF($P239="BIOGENICO",0,IF(ISNUMBER($S239),$N239*$S239/PARAMETROS!$B$8,""))</f>
        <v>4.75326558</v>
      </c>
      <c r="Y239" s="14">
        <f>IF($P239="BIOGENICO",IF(ISNUMBER($S239),$N239*$S239/PARAMETROS!$B$8,""),0)</f>
        <v>0.0</v>
      </c>
      <c r="Z239" s="14">
        <f>IF(ISNUMBER($T239),$N239*$T239/PARAMETROS!$B$8,"")</f>
        <v>0.0001842351</v>
      </c>
      <c r="AA239" s="14">
        <f>IF(ISNUMBER($U239),$N239*$U239/PARAMETROS!$B$8,"")</f>
        <v>3.684702e-05</v>
      </c>
      <c r="AB239" s="14">
        <f>IF(COUNT($X239,$Z239,$AA239)=0,"",SUM($X239,IF(ISNUMBER($Z239),$Z239*PARAMETROS!$B$9,0),IF(ISNUMBER($AA239),$AA239*PARAMETROS!$B$10,0)))</f>
        <v>4.7681886231</v>
      </c>
      <c r="AC239" s="4" t="s">
        <v>1990</v>
      </c>
      <c r="AD239" s="4"/>
      <c r="AE239" s="4" t="s">
        <v>5690</v>
      </c>
      <c r="AF239" s="4" t="s">
        <v>170</v>
      </c>
      <c r="AG239" s="4" t="inlineStr">
        <is>
          <t>MARN_GTM_BTR1_2024</t>
        </is>
      </c>
      <c r="AH239" s="4" t="inlineStr">
        <is>
          <t>Origen de factores: CO2: MARN_GTM_BTR1_2024 [PRX; BTR1 Guatemala 2024, tabla 3.6, p. 48; fila Fuelóleo residual; gas CO2]; CH4: MARN_GTM_BTR1_2024 [PRX; BTR1 Guatemala 2024, tabla 3.17, p. 57; fila Fuelóleo residual; gas CH4]; N2O: MARN_GTM_BTR1_2024 [PRX; BTR1 Guatemala 2024, tabla 3.17, p. 57; fila Fuelóleo residual; gas N2O].</t>
        </is>
      </c>
    </row>
    <row r="240" customFormat="false" ht="15" hidden="false" customHeight="false" outlineLevel="0" collapsed="false">
      <c r="A240" s="4" t="s">
        <v>5998</v>
      </c>
      <c r="B240" s="12" t="n">
        <v>2022</v>
      </c>
      <c r="C240" s="4" t="s">
        <v>73</v>
      </c>
      <c r="D240" s="4" t="s">
        <v>5685</v>
      </c>
      <c r="E240" s="4" t="s">
        <v>3380</v>
      </c>
      <c r="F240" s="4" t="s">
        <v>3381</v>
      </c>
      <c r="G240" s="4" t="s">
        <v>109</v>
      </c>
      <c r="H240" s="4" t="s">
        <v>2075</v>
      </c>
      <c r="I240" s="4" t="s">
        <v>73</v>
      </c>
      <c r="J240" s="4" t="s">
        <v>2001</v>
      </c>
      <c r="K240" s="4" t="s">
        <v>2074</v>
      </c>
      <c r="L240" s="4" t="s">
        <v>1266</v>
      </c>
      <c r="M240" s="14" t="n">
        <f aca="false">SUMIFS(PSUT_LARGA!$K$2:$K$618,PSUT_LARGA!$B$2:$B$618,$B240,PSUT_LARGA!$H$2:$H$618,$L240,PSUT_LARGA!$E$2:$E$618,$J240,PSUT_LARGA!$F$2:$F$618,$K240,PSUT_LARGA!$G$2:$G$618,$I240,PSUT_LARGA!$I$2:$I$618,$H240)</f>
        <v>313160.5106</v>
      </c>
      <c r="N240" s="14" t="n">
        <f aca="false">IF($H240="TRANSFORMACION_REFINERIA",$M240*INDEX(PARAMETROS!$C$27:$C$33,MATCH($B240,PARAMETROS!$A$27:$A$33,0)),$M240)</f>
        <v>313160.5106</v>
      </c>
      <c r="O240" s="4" t="s">
        <v>3343</v>
      </c>
      <c r="P240" s="4" t="s">
        <v>3344</v>
      </c>
      <c r="Q240" s="11" t="n">
        <f aca="false">MIN($B240,2022)</f>
        <v>2022</v>
      </c>
      <c r="R240" s="8" t="str">
        <f>IF(COUNT($S240:$U240)=0,"NO",IF($O240="CERO_DIRECTO","CAL",IF(OR($B240&gt;$Q240,COUNTIFS(DATOS_MODELO!$C$2:$C$3672,$Q240&amp;"|"&amp;$E240&amp;"|"&amp;$O240&amp;"|*",DATOS_MODELO!$F$2:$F$3672,"PRX",DATOS_MODELO!$AA$2:$AA$3672,"&lt;&gt;")&gt;0),"PRX",IF(COUNTIFS(DATOS_MODELO!$C$2:$C$3672,$Q240&amp;"|"&amp;$E240&amp;"|"&amp;$O240&amp;"|*",DATOS_MODELO!$F$2:$F$3672,"CAL",DATOS_MODELO!$AA$2:$AA$3672,"&lt;&gt;")&gt;0,"CAL","OBS"))))</f>
        <v>OBS</v>
      </c>
      <c r="S240" s="14">
        <f>IF(COUNTIFS(DATOS_MODELO!$C$2:$C$3672,$Q240&amp;"|"&amp;$E240&amp;"|"&amp;$O240&amp;"|CO2",DATOS_MODELO!$AA$2:$AA$3672,"&lt;&gt;")=0,"",INDEX(DATOS_MODELO!$AA$2:$AA$3672,MATCH($Q240&amp;"|"&amp;$E240&amp;"|"&amp;$O240&amp;"|CO2",DATOS_MODELO!$C$2:$C$3672,0)))</f>
        <v>112000.000077955</v>
      </c>
      <c r="T240" s="14">
        <f>IF(COUNTIFS(DATOS_MODELO!$C$2:$C$3672,$Q240&amp;"|"&amp;$E240&amp;"|"&amp;$O240&amp;"|CH4",DATOS_MODELO!$AA$2:$AA$3672,"&lt;&gt;")=0,"",INDEX(DATOS_MODELO!$AA$2:$AA$3672,MATCH($Q240&amp;"|"&amp;$E240&amp;"|"&amp;$O240&amp;"|CH4",DATOS_MODELO!$C$2:$C$3672,0)))</f>
        <v>300.0</v>
      </c>
      <c r="U240" s="14">
        <f>IF(COUNTIFS(DATOS_MODELO!$C$2:$C$3672,$Q240&amp;"|"&amp;$E240&amp;"|"&amp;$O240&amp;"|N2O",DATOS_MODELO!$AA$2:$AA$3672,"&lt;&gt;")=0,"",INDEX(DATOS_MODELO!$AA$2:$AA$3672,MATCH($Q240&amp;"|"&amp;$E240&amp;"|"&amp;$O240&amp;"|N2O",DATOS_MODELO!$C$2:$C$3672,0)))</f>
        <v>3.99999999350378</v>
      </c>
      <c r="V240" s="8"/>
      <c r="W240" s="14"/>
      <c r="X240" s="14">
        <f>IF($P240="BIOGENICO",0,IF(ISNUMBER($S240),$N240*$S240/PARAMETROS!$B$8,""))</f>
        <v>0.0</v>
      </c>
      <c r="Y240" s="14">
        <f>IF($P240="BIOGENICO",IF(ISNUMBER($S240),$N240*$S240/PARAMETROS!$B$8,""),0)</f>
        <v>35073.9772116123</v>
      </c>
      <c r="Z240" s="14">
        <f>IF(ISNUMBER($T240),$N240*$T240/PARAMETROS!$B$8,"")</f>
        <v>93.94815318</v>
      </c>
      <c r="AA240" s="14">
        <f>IF(ISNUMBER($U240),$N240*$U240/PARAMETROS!$B$8,"")</f>
        <v>1.25264204036564</v>
      </c>
      <c r="AB240" s="14">
        <f>IF(COUNT($X240,$Z240,$AA240)=0,"",SUM($X240,IF(ISNUMBER($Z240),$Z240*PARAMETROS!$B$9,0),IF(ISNUMBER($AA240),$AA240*PARAMETROS!$B$10,0)))</f>
        <v>2962.49842973689</v>
      </c>
      <c r="AC240" s="4" t="s">
        <v>1990</v>
      </c>
      <c r="AD240" s="4"/>
      <c r="AE240" s="4" t="s">
        <v>5690</v>
      </c>
      <c r="AF240" s="4" t="s">
        <v>170</v>
      </c>
      <c r="AG240" s="4" t="s">
        <v>3999</v>
      </c>
      <c r="AH240" s="4"/>
    </row>
    <row r="241" customFormat="false" ht="23.85" hidden="false" customHeight="false" outlineLevel="0" collapsed="false">
      <c r="A241" s="4" t="s">
        <v>5999</v>
      </c>
      <c r="B241" s="12" t="n">
        <v>2022</v>
      </c>
      <c r="C241" s="4" t="s">
        <v>73</v>
      </c>
      <c r="D241" s="4" t="s">
        <v>5685</v>
      </c>
      <c r="E241" s="4" t="s">
        <v>3380</v>
      </c>
      <c r="F241" s="4" t="s">
        <v>3381</v>
      </c>
      <c r="G241" s="4" t="s">
        <v>99</v>
      </c>
      <c r="H241" s="4" t="s">
        <v>2075</v>
      </c>
      <c r="I241" s="4" t="s">
        <v>73</v>
      </c>
      <c r="J241" s="4" t="s">
        <v>2001</v>
      </c>
      <c r="K241" s="4" t="s">
        <v>2074</v>
      </c>
      <c r="L241" s="4" t="s">
        <v>1336</v>
      </c>
      <c r="M241" s="14" t="n">
        <f aca="false">SUMIFS(PSUT_LARGA!$K$2:$K$618,PSUT_LARGA!$B$2:$B$618,$B241,PSUT_LARGA!$H$2:$H$618,$L241,PSUT_LARGA!$E$2:$E$618,$J241,PSUT_LARGA!$F$2:$F$618,$K241,PSUT_LARGA!$G$2:$G$618,$I241,PSUT_LARGA!$I$2:$I$618,$H241)</f>
        <v>14717.1948</v>
      </c>
      <c r="N241" s="14" t="n">
        <f aca="false">IF($H241="TRANSFORMACION_REFINERIA",$M241*INDEX(PARAMETROS!$C$27:$C$33,MATCH($B241,PARAMETROS!$A$27:$A$33,0)),$M241)</f>
        <v>14717.1948</v>
      </c>
      <c r="O241" s="4" t="s">
        <v>3362</v>
      </c>
      <c r="P241" s="4" t="s">
        <v>3363</v>
      </c>
      <c r="Q241" s="11" t="n">
        <f aca="false">MIN($B241,2022)</f>
        <v>2022</v>
      </c>
      <c r="R241" s="8" t="str">
        <f>IF(COUNT($S241:$U241)=0,"NO",IF($O241="CERO_DIRECTO","CAL",IF(OR($B241&gt;$Q241,COUNTIFS(DATOS_MODELO!$C$2:$C$3672,$Q241&amp;"|"&amp;$E241&amp;"|"&amp;$O241&amp;"|*",DATOS_MODELO!$F$2:$F$3672,"PRX",DATOS_MODELO!$AA$2:$AA$3672,"&lt;&gt;")&gt;0),"PRX",IF(COUNTIFS(DATOS_MODELO!$C$2:$C$3672,$Q241&amp;"|"&amp;$E241&amp;"|"&amp;$O241&amp;"|*",DATOS_MODELO!$F$2:$F$3672,"CAL",DATOS_MODELO!$AA$2:$AA$3672,"&lt;&gt;")&gt;0,"CAL","OBS"))))</f>
        <v>CAL</v>
      </c>
      <c r="S241" s="14">
        <f>IF(COUNTIFS(DATOS_MODELO!$C$2:$C$3672,$Q241&amp;"|"&amp;$E241&amp;"|"&amp;$O241&amp;"|CO2",DATOS_MODELO!$AA$2:$AA$3672,"&lt;&gt;")=0,"",INDEX(DATOS_MODELO!$AA$2:$AA$3672,MATCH($Q241&amp;"|"&amp;$E241&amp;"|"&amp;$O241&amp;"|CO2",DATOS_MODELO!$C$2:$C$3672,0)))</f>
        <v>0.0</v>
      </c>
      <c r="T241" s="14">
        <f>IF(COUNTIFS(DATOS_MODELO!$C$2:$C$3672,$Q241&amp;"|"&amp;$E241&amp;"|"&amp;$O241&amp;"|CH4",DATOS_MODELO!$AA$2:$AA$3672,"&lt;&gt;")=0,"",INDEX(DATOS_MODELO!$AA$2:$AA$3672,MATCH($Q241&amp;"|"&amp;$E241&amp;"|"&amp;$O241&amp;"|CH4",DATOS_MODELO!$C$2:$C$3672,0)))</f>
        <v>0.0</v>
      </c>
      <c r="U241" s="14">
        <f>IF(COUNTIFS(DATOS_MODELO!$C$2:$C$3672,$Q241&amp;"|"&amp;$E241&amp;"|"&amp;$O241&amp;"|N2O",DATOS_MODELO!$AA$2:$AA$3672,"&lt;&gt;")=0,"",INDEX(DATOS_MODELO!$AA$2:$AA$3672,MATCH($Q241&amp;"|"&amp;$E241&amp;"|"&amp;$O241&amp;"|N2O",DATOS_MODELO!$C$2:$C$3672,0)))</f>
        <v>0.0</v>
      </c>
      <c r="V241" s="8"/>
      <c r="W241" s="14"/>
      <c r="X241" s="14">
        <f>IF($P241="BIOGENICO",0,IF(ISNUMBER($S241),$N241*$S241/PARAMETROS!$B$8,""))</f>
        <v>0.0</v>
      </c>
      <c r="Y241" s="14">
        <f>IF($P241="BIOGENICO",IF(ISNUMBER($S241),$N241*$S241/PARAMETROS!$B$8,""),0)</f>
        <v>0.0</v>
      </c>
      <c r="Z241" s="14">
        <f>IF(ISNUMBER($T241),$N241*$T241/PARAMETROS!$B$8,"")</f>
        <v>0.0</v>
      </c>
      <c r="AA241" s="14">
        <f>IF(ISNUMBER($U241),$N241*$U241/PARAMETROS!$B$8,"")</f>
        <v>0.0</v>
      </c>
      <c r="AB241" s="14">
        <f>IF(COUNT($X241,$Z241,$AA241)=0,"",SUM($X241,IF(ISNUMBER($Z241),$Z241*PARAMETROS!$B$9,0),IF(ISNUMBER($AA241),$AA241*PARAMETROS!$B$10,0)))</f>
        <v>0.0</v>
      </c>
      <c r="AC241" s="4" t="s">
        <v>1990</v>
      </c>
      <c r="AD241" s="4"/>
      <c r="AE241" s="4" t="s">
        <v>3362</v>
      </c>
      <c r="AF241" s="4" t="s">
        <v>170</v>
      </c>
      <c r="AG241" s="4" t="inlineStr">
        <is>
          <t>METODO_EMISIONES</t>
        </is>
      </c>
      <c r="AH241" s="4"/>
    </row>
    <row r="242" customFormat="false" ht="15" hidden="false" customHeight="false" outlineLevel="0" collapsed="false">
      <c r="A242" s="4" t="s">
        <v>6000</v>
      </c>
      <c r="B242" s="12" t="n">
        <v>2022</v>
      </c>
      <c r="C242" s="4" t="s">
        <v>73</v>
      </c>
      <c r="D242" s="4" t="s">
        <v>5685</v>
      </c>
      <c r="E242" s="4" t="s">
        <v>3380</v>
      </c>
      <c r="F242" s="4" t="s">
        <v>3381</v>
      </c>
      <c r="G242" s="4" t="s">
        <v>105</v>
      </c>
      <c r="H242" s="4" t="s">
        <v>2075</v>
      </c>
      <c r="I242" s="4" t="s">
        <v>73</v>
      </c>
      <c r="J242" s="4" t="s">
        <v>2001</v>
      </c>
      <c r="K242" s="4" t="s">
        <v>2074</v>
      </c>
      <c r="L242" s="4" t="s">
        <v>1378</v>
      </c>
      <c r="M242" s="14" t="n">
        <f aca="false">SUMIFS(PSUT_LARGA!$K$2:$K$618,PSUT_LARGA!$B$2:$B$618,$B242,PSUT_LARGA!$H$2:$H$618,$L242,PSUT_LARGA!$E$2:$E$618,$J242,PSUT_LARGA!$F$2:$F$618,$K242,PSUT_LARGA!$G$2:$G$618,$I242,PSUT_LARGA!$I$2:$I$618,$H242)</f>
        <v>18564.4025</v>
      </c>
      <c r="N242" s="14" t="n">
        <f aca="false">IF($H242="TRANSFORMACION_REFINERIA",$M242*INDEX(PARAMETROS!$C$27:$C$33,MATCH($B242,PARAMETROS!$A$27:$A$33,0)),$M242)</f>
        <v>18564.4025</v>
      </c>
      <c r="O242" s="4" t="inlineStr">
        <is>
          <t>COMB_GLP</t>
        </is>
      </c>
      <c r="P242" s="4" t="s">
        <v>3352</v>
      </c>
      <c r="Q242" s="11" t="n">
        <f aca="false">MIN($B242,2022)</f>
        <v>2022</v>
      </c>
      <c r="R242" s="8" t="str">
        <f>IF(COUNT($S242:$U242)=0,"NO",IF($O242="CERO_DIRECTO","CAL",IF(OR($B242&gt;$Q242,COUNTIFS(DATOS_MODELO!$C$2:$C$3672,$Q242&amp;"|"&amp;$E242&amp;"|"&amp;$O242&amp;"|*",DATOS_MODELO!$F$2:$F$3672,"PRX",DATOS_MODELO!$AA$2:$AA$3672,"&lt;&gt;")&gt;0),"PRX",IF(COUNTIFS(DATOS_MODELO!$C$2:$C$3672,$Q242&amp;"|"&amp;$E242&amp;"|"&amp;$O242&amp;"|*",DATOS_MODELO!$F$2:$F$3672,"CAL",DATOS_MODELO!$AA$2:$AA$3672,"&lt;&gt;")&gt;0,"CAL","OBS"))))</f>
        <v>PRX</v>
      </c>
      <c r="S242" s="14">
        <f>IF(COUNTIFS(DATOS_MODELO!$C$2:$C$3672,$Q242&amp;"|"&amp;$E242&amp;"|"&amp;$O242&amp;"|CO2",DATOS_MODELO!$AA$2:$AA$3672,"&lt;&gt;")=0,"",INDEX(DATOS_MODELO!$AA$2:$AA$3672,MATCH($Q242&amp;"|"&amp;$E242&amp;"|"&amp;$O242&amp;"|CO2",DATOS_MODELO!$C$2:$C$3672,0)))</f>
        <v>63100.0</v>
      </c>
      <c r="T242" s="14">
        <f>IF(COUNTIFS(DATOS_MODELO!$C$2:$C$3672,$Q242&amp;"|"&amp;$E242&amp;"|"&amp;$O242&amp;"|CH4",DATOS_MODELO!$AA$2:$AA$3672,"&lt;&gt;")=0,"",INDEX(DATOS_MODELO!$AA$2:$AA$3672,MATCH($Q242&amp;"|"&amp;$E242&amp;"|"&amp;$O242&amp;"|CH4",DATOS_MODELO!$C$2:$C$3672,0)))</f>
        <v>5.0</v>
      </c>
      <c r="U242" s="14">
        <f>IF(COUNTIFS(DATOS_MODELO!$C$2:$C$3672,$Q242&amp;"|"&amp;$E242&amp;"|"&amp;$O242&amp;"|N2O",DATOS_MODELO!$AA$2:$AA$3672,"&lt;&gt;")=0,"",INDEX(DATOS_MODELO!$AA$2:$AA$3672,MATCH($Q242&amp;"|"&amp;$E242&amp;"|"&amp;$O242&amp;"|N2O",DATOS_MODELO!$C$2:$C$3672,0)))</f>
        <v>0.1</v>
      </c>
      <c r="V242" s="8"/>
      <c r="W242" s="14"/>
      <c r="X242" s="14">
        <f>IF($P242="BIOGENICO",0,IF(ISNUMBER($S242),$N242*$S242/PARAMETROS!$B$8,""))</f>
        <v>1171.41379775</v>
      </c>
      <c r="Y242" s="14">
        <f>IF($P242="BIOGENICO",IF(ISNUMBER($S242),$N242*$S242/PARAMETROS!$B$8,""),0)</f>
        <v>0.0</v>
      </c>
      <c r="Z242" s="14">
        <f>IF(ISNUMBER($T242),$N242*$T242/PARAMETROS!$B$8,"")</f>
        <v>0.0928220125</v>
      </c>
      <c r="AA242" s="14">
        <f>IF(ISNUMBER($U242),$N242*$U242/PARAMETROS!$B$8,"")</f>
        <v>0.00185644025</v>
      </c>
      <c r="AB242" s="14">
        <f>IF(COUNT($X242,$Z242,$AA242)=0,"",SUM($X242,IF(ISNUMBER($Z242),$Z242*PARAMETROS!$B$9,0),IF(ISNUMBER($AA242),$AA242*PARAMETROS!$B$10,0)))</f>
        <v>1174.50477076625</v>
      </c>
      <c r="AC242" s="4" t="s">
        <v>1990</v>
      </c>
      <c r="AD242" s="4"/>
      <c r="AE242" s="4" t="s">
        <v>5690</v>
      </c>
      <c r="AF242" s="4" t="s">
        <v>170</v>
      </c>
      <c r="AG242" s="4" t="inlineStr">
        <is>
          <t>MARN_GTM_BTR1_2024</t>
        </is>
      </c>
      <c r="AH242" s="4" t="inlineStr">
        <is>
          <t>Origen de factores: CO2: MARN_GTM_BTR1_2024 [PRX; BTR1 Guatemala 2024, tabla 3.6, p. 48; fila Gases licuados de petróleo; gas CO2]; CH4: MARN_GTM_BTR1_2024 [PRX; BTR1 Guatemala 2024, tabla 3.33, p. 70; fila Gases licuados de petróleo; gas CH4]; N2O: MARN_GTM_BTR1_2024 [PRX; BTR1 Guatemala 2024, tabla 3.33, p. 70; fila Gases licuados de petróleo; gas N2O].</t>
        </is>
      </c>
    </row>
    <row r="243" customFormat="false" ht="15" hidden="false" customHeight="false" outlineLevel="0" collapsed="false">
      <c r="A243" s="4" t="s">
        <v>6001</v>
      </c>
      <c r="B243" s="12" t="n">
        <v>2022</v>
      </c>
      <c r="C243" s="4" t="s">
        <v>68</v>
      </c>
      <c r="D243" s="4" t="s">
        <v>5685</v>
      </c>
      <c r="E243" s="4" t="s">
        <v>3404</v>
      </c>
      <c r="F243" s="4" t="s">
        <v>3405</v>
      </c>
      <c r="G243" s="4" t="s">
        <v>95</v>
      </c>
      <c r="H243" s="4" t="s">
        <v>2111</v>
      </c>
      <c r="I243" s="4" t="s">
        <v>68</v>
      </c>
      <c r="J243" s="4" t="s">
        <v>2001</v>
      </c>
      <c r="K243" s="4" t="s">
        <v>2002</v>
      </c>
      <c r="L243" s="4" t="s">
        <v>1310</v>
      </c>
      <c r="M243" s="14" t="n">
        <f aca="false">SUMIFS(PSUT_LARGA!$K$2:$K$618,PSUT_LARGA!$B$2:$B$618,$B243,PSUT_LARGA!$H$2:$H$618,$L243,PSUT_LARGA!$E$2:$E$618,$J243,PSUT_LARGA!$F$2:$F$618,$K243,PSUT_LARGA!$G$2:$G$618,$I243,PSUT_LARGA!$I$2:$I$618,$H243)</f>
        <v>26428.7023</v>
      </c>
      <c r="N243" s="14" t="n">
        <f aca="false">IF($H243="TRANSFORMACION_REFINERIA",$M243*INDEX(PARAMETROS!$C$27:$C$33,MATCH($B243,PARAMETROS!$A$27:$A$33,0)),$M243)</f>
        <v>26428.7023</v>
      </c>
      <c r="O243" s="4" t="inlineStr">
        <is>
          <t>COMB_COQUE</t>
        </is>
      </c>
      <c r="P243" s="4" t="s">
        <v>3352</v>
      </c>
      <c r="Q243" s="11" t="n">
        <f aca="false">MIN($B243,2022)</f>
        <v>2022</v>
      </c>
      <c r="R243" s="8" t="str">
        <f>IF(COUNT($S243:$U243)=0,"NO",IF($O243="CERO_DIRECTO","CAL",IF(OR($B243&gt;$Q243,COUNTIFS(DATOS_MODELO!$C$2:$C$3672,$Q243&amp;"|"&amp;$E243&amp;"|"&amp;$O243&amp;"|*",DATOS_MODELO!$F$2:$F$3672,"PRX",DATOS_MODELO!$AA$2:$AA$3672,"&lt;&gt;")&gt;0),"PRX",IF(COUNTIFS(DATOS_MODELO!$C$2:$C$3672,$Q243&amp;"|"&amp;$E243&amp;"|"&amp;$O243&amp;"|*",DATOS_MODELO!$F$2:$F$3672,"CAL",DATOS_MODELO!$AA$2:$AA$3672,"&lt;&gt;")&gt;0,"CAL","OBS"))))</f>
        <v>PRX</v>
      </c>
      <c r="S243" s="14">
        <f>IF(COUNTIFS(DATOS_MODELO!$C$2:$C$3672,$Q243&amp;"|"&amp;$E243&amp;"|"&amp;$O243&amp;"|CO2",DATOS_MODELO!$AA$2:$AA$3672,"&lt;&gt;")=0,"",INDEX(DATOS_MODELO!$AA$2:$AA$3672,MATCH($Q243&amp;"|"&amp;$E243&amp;"|"&amp;$O243&amp;"|CO2",DATOS_MODELO!$C$2:$C$3672,0)))</f>
        <v>97500.0</v>
      </c>
      <c r="T243" s="14">
        <f>IF(COUNTIFS(DATOS_MODELO!$C$2:$C$3672,$Q243&amp;"|"&amp;$E243&amp;"|"&amp;$O243&amp;"|CH4",DATOS_MODELO!$AA$2:$AA$3672,"&lt;&gt;")=0,"",INDEX(DATOS_MODELO!$AA$2:$AA$3672,MATCH($Q243&amp;"|"&amp;$E243&amp;"|"&amp;$O243&amp;"|CH4",DATOS_MODELO!$C$2:$C$3672,0)))</f>
        <v>3.0</v>
      </c>
      <c r="U243" s="14">
        <f>IF(COUNTIFS(DATOS_MODELO!$C$2:$C$3672,$Q243&amp;"|"&amp;$E243&amp;"|"&amp;$O243&amp;"|N2O",DATOS_MODELO!$AA$2:$AA$3672,"&lt;&gt;")=0,"",INDEX(DATOS_MODELO!$AA$2:$AA$3672,MATCH($Q243&amp;"|"&amp;$E243&amp;"|"&amp;$O243&amp;"|N2O",DATOS_MODELO!$C$2:$C$3672,0)))</f>
        <v>0.6</v>
      </c>
      <c r="V243" s="8"/>
      <c r="W243" s="14"/>
      <c r="X243" s="14">
        <f>IF($P243="BIOGENICO",0,IF(ISNUMBER($S243),$N243*$S243/PARAMETROS!$B$8,""))</f>
        <v>2576.79847425</v>
      </c>
      <c r="Y243" s="14">
        <f>IF($P243="BIOGENICO",IF(ISNUMBER($S243),$N243*$S243/PARAMETROS!$B$8,""),0)</f>
        <v>0.0</v>
      </c>
      <c r="Z243" s="14">
        <f>IF(ISNUMBER($T243),$N243*$T243/PARAMETROS!$B$8,"")</f>
        <v>0.0792861069</v>
      </c>
      <c r="AA243" s="14">
        <f>IF(ISNUMBER($U243),$N243*$U243/PARAMETROS!$B$8,"")</f>
        <v>0.01585722138</v>
      </c>
      <c r="AB243" s="14">
        <f>IF(COUNT($X243,$Z243,$AA243)=0,"",SUM($X243,IF(ISNUMBER($Z243),$Z243*PARAMETROS!$B$9,0),IF(ISNUMBER($AA243),$AA243*PARAMETROS!$B$10,0)))</f>
        <v>2583.2206489089</v>
      </c>
      <c r="AC243" s="4" t="s">
        <v>1990</v>
      </c>
      <c r="AD243" s="4"/>
      <c r="AE243" s="4" t="s">
        <v>5690</v>
      </c>
      <c r="AF243" s="4" t="s">
        <v>170</v>
      </c>
      <c r="AG243" s="4" t="inlineStr">
        <is>
          <t>MARN_GTM_BTR1_2024</t>
        </is>
      </c>
      <c r="AH243" s="4" t="inlineStr">
        <is>
          <t>Origen de factores: CO2: MARN_GTM_BTR1_2024 [PRX; BTR1 Guatemala 2024, tabla 3.6, p. 48; fila Coque de petróleo; gas CO2]; CH4: MARN_GTM_BTR1_2024 [PRX; BTR1 Guatemala 2024, tabla 3.22, p. 62; fila Coque de petróleo; gas CH4]; N2O: MARN_GTM_BTR1_2024 [PRX; BTR1 Guatemala 2024, tabla 3.22, p. 62; fila Coque de petróleo; gas N2O].</t>
        </is>
      </c>
    </row>
    <row r="244" customFormat="false" ht="15" hidden="false" customHeight="false" outlineLevel="0" collapsed="false">
      <c r="A244" s="4" t="s">
        <v>6002</v>
      </c>
      <c r="B244" s="12" t="n">
        <v>2022</v>
      </c>
      <c r="C244" s="4" t="s">
        <v>68</v>
      </c>
      <c r="D244" s="4" t="s">
        <v>5685</v>
      </c>
      <c r="E244" s="4" t="s">
        <v>3404</v>
      </c>
      <c r="F244" s="4" t="s">
        <v>3405</v>
      </c>
      <c r="G244" s="4" t="s">
        <v>97</v>
      </c>
      <c r="H244" s="4" t="s">
        <v>2111</v>
      </c>
      <c r="I244" s="4" t="s">
        <v>68</v>
      </c>
      <c r="J244" s="4" t="s">
        <v>2001</v>
      </c>
      <c r="K244" s="4" t="s">
        <v>2002</v>
      </c>
      <c r="L244" s="4" t="s">
        <v>1324</v>
      </c>
      <c r="M244" s="14" t="n">
        <f aca="false">SUMIFS(PSUT_LARGA!$K$2:$K$618,PSUT_LARGA!$B$2:$B$618,$B244,PSUT_LARGA!$H$2:$H$618,$L244,PSUT_LARGA!$E$2:$E$618,$J244,PSUT_LARGA!$F$2:$F$618,$K244,PSUT_LARGA!$G$2:$G$618,$I244,PSUT_LARGA!$I$2:$I$618,$H244)</f>
        <v>6602.8326</v>
      </c>
      <c r="N244" s="14" t="n">
        <f aca="false">IF($H244="TRANSFORMACION_REFINERIA",$M244*INDEX(PARAMETROS!$C$27:$C$33,MATCH($B244,PARAMETROS!$A$27:$A$33,0)),$M244)</f>
        <v>6602.8326</v>
      </c>
      <c r="O244" s="4" t="inlineStr">
        <is>
          <t>COMB_DOIL</t>
        </is>
      </c>
      <c r="P244" s="4" t="s">
        <v>3352</v>
      </c>
      <c r="Q244" s="11" t="n">
        <f aca="false">MIN($B244,2022)</f>
        <v>2022</v>
      </c>
      <c r="R244" s="8" t="str">
        <f>IF(COUNT($S244:$U244)=0,"NO",IF($O244="CERO_DIRECTO","CAL",IF(OR($B244&gt;$Q244,COUNTIFS(DATOS_MODELO!$C$2:$C$3672,$Q244&amp;"|"&amp;$E244&amp;"|"&amp;$O244&amp;"|*",DATOS_MODELO!$F$2:$F$3672,"PRX",DATOS_MODELO!$AA$2:$AA$3672,"&lt;&gt;")&gt;0),"PRX",IF(COUNTIFS(DATOS_MODELO!$C$2:$C$3672,$Q244&amp;"|"&amp;$E244&amp;"|"&amp;$O244&amp;"|*",DATOS_MODELO!$F$2:$F$3672,"CAL",DATOS_MODELO!$AA$2:$AA$3672,"&lt;&gt;")&gt;0,"CAL","OBS"))))</f>
        <v>PRX</v>
      </c>
      <c r="S244" s="14">
        <f>IF(COUNTIFS(DATOS_MODELO!$C$2:$C$3672,$Q244&amp;"|"&amp;$E244&amp;"|"&amp;$O244&amp;"|CO2",DATOS_MODELO!$AA$2:$AA$3672,"&lt;&gt;")=0,"",INDEX(DATOS_MODELO!$AA$2:$AA$3672,MATCH($Q244&amp;"|"&amp;$E244&amp;"|"&amp;$O244&amp;"|CO2",DATOS_MODELO!$C$2:$C$3672,0)))</f>
        <v>74100.0</v>
      </c>
      <c r="T244" s="14">
        <f>IF(COUNTIFS(DATOS_MODELO!$C$2:$C$3672,$Q244&amp;"|"&amp;$E244&amp;"|"&amp;$O244&amp;"|CH4",DATOS_MODELO!$AA$2:$AA$3672,"&lt;&gt;")=0,"",INDEX(DATOS_MODELO!$AA$2:$AA$3672,MATCH($Q244&amp;"|"&amp;$E244&amp;"|"&amp;$O244&amp;"|CH4",DATOS_MODELO!$C$2:$C$3672,0)))</f>
        <v>3.0</v>
      </c>
      <c r="U244" s="14">
        <f>IF(COUNTIFS(DATOS_MODELO!$C$2:$C$3672,$Q244&amp;"|"&amp;$E244&amp;"|"&amp;$O244&amp;"|N2O",DATOS_MODELO!$AA$2:$AA$3672,"&lt;&gt;")=0,"",INDEX(DATOS_MODELO!$AA$2:$AA$3672,MATCH($Q244&amp;"|"&amp;$E244&amp;"|"&amp;$O244&amp;"|N2O",DATOS_MODELO!$C$2:$C$3672,0)))</f>
        <v>0.6</v>
      </c>
      <c r="V244" s="8"/>
      <c r="W244" s="14"/>
      <c r="X244" s="14">
        <f>IF($P244="BIOGENICO",0,IF(ISNUMBER($S244),$N244*$S244/PARAMETROS!$B$8,""))</f>
        <v>489.26989566</v>
      </c>
      <c r="Y244" s="14">
        <f>IF($P244="BIOGENICO",IF(ISNUMBER($S244),$N244*$S244/PARAMETROS!$B$8,""),0)</f>
        <v>0.0</v>
      </c>
      <c r="Z244" s="14">
        <f>IF(ISNUMBER($T244),$N244*$T244/PARAMETROS!$B$8,"")</f>
        <v>0.0198084978</v>
      </c>
      <c r="AA244" s="14">
        <f>IF(ISNUMBER($U244),$N244*$U244/PARAMETROS!$B$8,"")</f>
        <v>0.00396169956</v>
      </c>
      <c r="AB244" s="14">
        <f>IF(COUNT($X244,$Z244,$AA244)=0,"",SUM($X244,IF(ISNUMBER($Z244),$Z244*PARAMETROS!$B$9,0),IF(ISNUMBER($AA244),$AA244*PARAMETROS!$B$10,0)))</f>
        <v>490.8743839818</v>
      </c>
      <c r="AC244" s="4" t="s">
        <v>1990</v>
      </c>
      <c r="AD244" s="4"/>
      <c r="AE244" s="4" t="s">
        <v>5690</v>
      </c>
      <c r="AF244" s="4" t="s">
        <v>170</v>
      </c>
      <c r="AG244" s="4" t="inlineStr">
        <is>
          <t>MARN_GTM_BTR1_2024</t>
        </is>
      </c>
      <c r="AH244" s="4" t="inlineStr">
        <is>
          <t>Origen de factores: CO2: MARN_GTM_BTR1_2024 [PRX; BTR1 Guatemala 2024, tabla 3.6, p. 48; fila Gas/Diésel oíl; gas CO2]; CH4: MARN_GTM_BTR1_2024 [PRX; BTR1 Guatemala 2024, tabla 3.22, p. 62; fila Diésel; gas CH4]; N2O: MARN_GTM_BTR1_2024 [PRX; BTR1 Guatemala 2024, tabla 3.22, p. 62; fila Diésel; gas N2O].</t>
        </is>
      </c>
    </row>
    <row r="245" customFormat="false" ht="23.85" hidden="false" customHeight="false" outlineLevel="0" collapsed="false">
      <c r="A245" s="4" t="s">
        <v>6003</v>
      </c>
      <c r="B245" s="12" t="n">
        <v>2022</v>
      </c>
      <c r="C245" s="4" t="s">
        <v>68</v>
      </c>
      <c r="D245" s="4" t="s">
        <v>5685</v>
      </c>
      <c r="E245" s="4" t="s">
        <v>3404</v>
      </c>
      <c r="F245" s="4" t="s">
        <v>3405</v>
      </c>
      <c r="G245" s="4" t="s">
        <v>99</v>
      </c>
      <c r="H245" s="4" t="s">
        <v>2111</v>
      </c>
      <c r="I245" s="4" t="s">
        <v>68</v>
      </c>
      <c r="J245" s="4" t="s">
        <v>2001</v>
      </c>
      <c r="K245" s="4" t="s">
        <v>2002</v>
      </c>
      <c r="L245" s="4" t="s">
        <v>1338</v>
      </c>
      <c r="M245" s="14" t="n">
        <f aca="false">SUMIFS(PSUT_LARGA!$K$2:$K$618,PSUT_LARGA!$B$2:$B$618,$B245,PSUT_LARGA!$H$2:$H$618,$L245,PSUT_LARGA!$E$2:$E$618,$J245,PSUT_LARGA!$F$2:$F$618,$K245,PSUT_LARGA!$G$2:$G$618,$I245,PSUT_LARGA!$I$2:$I$618,$H245)</f>
        <v>15335.495</v>
      </c>
      <c r="N245" s="14" t="n">
        <f aca="false">IF($H245="TRANSFORMACION_REFINERIA",$M245*INDEX(PARAMETROS!$C$27:$C$33,MATCH($B245,PARAMETROS!$A$27:$A$33,0)),$M245)</f>
        <v>15335.495</v>
      </c>
      <c r="O245" s="4" t="s">
        <v>3362</v>
      </c>
      <c r="P245" s="4" t="s">
        <v>3363</v>
      </c>
      <c r="Q245" s="11" t="n">
        <f aca="false">MIN($B245,2022)</f>
        <v>2022</v>
      </c>
      <c r="R245" s="8" t="str">
        <f>IF(COUNT($S245:$U245)=0,"NO",IF($O245="CERO_DIRECTO","CAL",IF(OR($B245&gt;$Q245,COUNTIFS(DATOS_MODELO!$C$2:$C$3672,$Q245&amp;"|"&amp;$E245&amp;"|"&amp;$O245&amp;"|*",DATOS_MODELO!$F$2:$F$3672,"PRX",DATOS_MODELO!$AA$2:$AA$3672,"&lt;&gt;")&gt;0),"PRX",IF(COUNTIFS(DATOS_MODELO!$C$2:$C$3672,$Q245&amp;"|"&amp;$E245&amp;"|"&amp;$O245&amp;"|*",DATOS_MODELO!$F$2:$F$3672,"CAL",DATOS_MODELO!$AA$2:$AA$3672,"&lt;&gt;")&gt;0,"CAL","OBS"))))</f>
        <v>CAL</v>
      </c>
      <c r="S245" s="14">
        <f>IF(COUNTIFS(DATOS_MODELO!$C$2:$C$3672,$Q245&amp;"|"&amp;$E245&amp;"|"&amp;$O245&amp;"|CO2",DATOS_MODELO!$AA$2:$AA$3672,"&lt;&gt;")=0,"",INDEX(DATOS_MODELO!$AA$2:$AA$3672,MATCH($Q245&amp;"|"&amp;$E245&amp;"|"&amp;$O245&amp;"|CO2",DATOS_MODELO!$C$2:$C$3672,0)))</f>
        <v>0.0</v>
      </c>
      <c r="T245" s="14">
        <f>IF(COUNTIFS(DATOS_MODELO!$C$2:$C$3672,$Q245&amp;"|"&amp;$E245&amp;"|"&amp;$O245&amp;"|CH4",DATOS_MODELO!$AA$2:$AA$3672,"&lt;&gt;")=0,"",INDEX(DATOS_MODELO!$AA$2:$AA$3672,MATCH($Q245&amp;"|"&amp;$E245&amp;"|"&amp;$O245&amp;"|CH4",DATOS_MODELO!$C$2:$C$3672,0)))</f>
        <v>0.0</v>
      </c>
      <c r="U245" s="14">
        <f>IF(COUNTIFS(DATOS_MODELO!$C$2:$C$3672,$Q245&amp;"|"&amp;$E245&amp;"|"&amp;$O245&amp;"|N2O",DATOS_MODELO!$AA$2:$AA$3672,"&lt;&gt;")=0,"",INDEX(DATOS_MODELO!$AA$2:$AA$3672,MATCH($Q245&amp;"|"&amp;$E245&amp;"|"&amp;$O245&amp;"|N2O",DATOS_MODELO!$C$2:$C$3672,0)))</f>
        <v>0.0</v>
      </c>
      <c r="V245" s="8"/>
      <c r="W245" s="14"/>
      <c r="X245" s="14">
        <f>IF($P245="BIOGENICO",0,IF(ISNUMBER($S245),$N245*$S245/PARAMETROS!$B$8,""))</f>
        <v>0.0</v>
      </c>
      <c r="Y245" s="14">
        <f>IF($P245="BIOGENICO",IF(ISNUMBER($S245),$N245*$S245/PARAMETROS!$B$8,""),0)</f>
        <v>0.0</v>
      </c>
      <c r="Z245" s="14">
        <f>IF(ISNUMBER($T245),$N245*$T245/PARAMETROS!$B$8,"")</f>
        <v>0.0</v>
      </c>
      <c r="AA245" s="14">
        <f>IF(ISNUMBER($U245),$N245*$U245/PARAMETROS!$B$8,"")</f>
        <v>0.0</v>
      </c>
      <c r="AB245" s="14">
        <f>IF(COUNT($X245,$Z245,$AA245)=0,"",SUM($X245,IF(ISNUMBER($Z245),$Z245*PARAMETROS!$B$9,0),IF(ISNUMBER($AA245),$AA245*PARAMETROS!$B$10,0)))</f>
        <v>0.0</v>
      </c>
      <c r="AC245" s="4" t="s">
        <v>1990</v>
      </c>
      <c r="AD245" s="4"/>
      <c r="AE245" s="4" t="s">
        <v>3362</v>
      </c>
      <c r="AF245" s="4" t="s">
        <v>170</v>
      </c>
      <c r="AG245" s="4" t="inlineStr">
        <is>
          <t>METODO_EMISIONES</t>
        </is>
      </c>
      <c r="AH245" s="4"/>
    </row>
    <row r="246" customFormat="false" ht="15" hidden="false" customHeight="false" outlineLevel="0" collapsed="false">
      <c r="A246" s="4" t="s">
        <v>6004</v>
      </c>
      <c r="B246" s="12" t="n">
        <v>2022</v>
      </c>
      <c r="C246" s="4" t="s">
        <v>68</v>
      </c>
      <c r="D246" s="4" t="s">
        <v>5685</v>
      </c>
      <c r="E246" s="4" t="s">
        <v>3404</v>
      </c>
      <c r="F246" s="4" t="s">
        <v>3405</v>
      </c>
      <c r="G246" s="4" t="s">
        <v>101</v>
      </c>
      <c r="H246" s="4" t="s">
        <v>2111</v>
      </c>
      <c r="I246" s="4" t="s">
        <v>68</v>
      </c>
      <c r="J246" s="4" t="s">
        <v>2001</v>
      </c>
      <c r="K246" s="4" t="s">
        <v>2002</v>
      </c>
      <c r="L246" s="4" t="s">
        <v>1352</v>
      </c>
      <c r="M246" s="14" t="n">
        <f aca="false">SUMIFS(PSUT_LARGA!$K$2:$K$618,PSUT_LARGA!$B$2:$B$618,$B246,PSUT_LARGA!$H$2:$H$618,$L246,PSUT_LARGA!$E$2:$E$618,$J246,PSUT_LARGA!$F$2:$F$618,$K246,PSUT_LARGA!$G$2:$G$618,$I246,PSUT_LARGA!$I$2:$I$618,$H246)</f>
        <v>8171.5907</v>
      </c>
      <c r="N246" s="14" t="n">
        <f aca="false">IF($H246="TRANSFORMACION_REFINERIA",$M246*INDEX(PARAMETROS!$C$27:$C$33,MATCH($B246,PARAMETROS!$A$27:$A$33,0)),$M246)</f>
        <v>8171.5907</v>
      </c>
      <c r="O246" s="4" t="inlineStr">
        <is>
          <t>COMB_FOIL</t>
        </is>
      </c>
      <c r="P246" s="4" t="s">
        <v>3352</v>
      </c>
      <c r="Q246" s="11" t="n">
        <f aca="false">MIN($B246,2022)</f>
        <v>2022</v>
      </c>
      <c r="R246" s="8" t="str">
        <f>IF(COUNT($S246:$U246)=0,"NO",IF($O246="CERO_DIRECTO","CAL",IF(OR($B246&gt;$Q246,COUNTIFS(DATOS_MODELO!$C$2:$C$3672,$Q246&amp;"|"&amp;$E246&amp;"|"&amp;$O246&amp;"|*",DATOS_MODELO!$F$2:$F$3672,"PRX",DATOS_MODELO!$AA$2:$AA$3672,"&lt;&gt;")&gt;0),"PRX",IF(COUNTIFS(DATOS_MODELO!$C$2:$C$3672,$Q246&amp;"|"&amp;$E246&amp;"|"&amp;$O246&amp;"|*",DATOS_MODELO!$F$2:$F$3672,"CAL",DATOS_MODELO!$AA$2:$AA$3672,"&lt;&gt;")&gt;0,"CAL","OBS"))))</f>
        <v>PRX</v>
      </c>
      <c r="S246" s="14">
        <f>IF(COUNTIFS(DATOS_MODELO!$C$2:$C$3672,$Q246&amp;"|"&amp;$E246&amp;"|"&amp;$O246&amp;"|CO2",DATOS_MODELO!$AA$2:$AA$3672,"&lt;&gt;")=0,"",INDEX(DATOS_MODELO!$AA$2:$AA$3672,MATCH($Q246&amp;"|"&amp;$E246&amp;"|"&amp;$O246&amp;"|CO2",DATOS_MODELO!$C$2:$C$3672,0)))</f>
        <v>77400.0</v>
      </c>
      <c r="T246" s="14">
        <f>IF(COUNTIFS(DATOS_MODELO!$C$2:$C$3672,$Q246&amp;"|"&amp;$E246&amp;"|"&amp;$O246&amp;"|CH4",DATOS_MODELO!$AA$2:$AA$3672,"&lt;&gt;")=0,"",INDEX(DATOS_MODELO!$AA$2:$AA$3672,MATCH($Q246&amp;"|"&amp;$E246&amp;"|"&amp;$O246&amp;"|CH4",DATOS_MODELO!$C$2:$C$3672,0)))</f>
        <v>3.0</v>
      </c>
      <c r="U246" s="14">
        <f>IF(COUNTIFS(DATOS_MODELO!$C$2:$C$3672,$Q246&amp;"|"&amp;$E246&amp;"|"&amp;$O246&amp;"|N2O",DATOS_MODELO!$AA$2:$AA$3672,"&lt;&gt;")=0,"",INDEX(DATOS_MODELO!$AA$2:$AA$3672,MATCH($Q246&amp;"|"&amp;$E246&amp;"|"&amp;$O246&amp;"|N2O",DATOS_MODELO!$C$2:$C$3672,0)))</f>
        <v>0.6</v>
      </c>
      <c r="V246" s="8"/>
      <c r="W246" s="14"/>
      <c r="X246" s="14">
        <f>IF($P246="BIOGENICO",0,IF(ISNUMBER($S246),$N246*$S246/PARAMETROS!$B$8,""))</f>
        <v>632.48112018</v>
      </c>
      <c r="Y246" s="14">
        <f>IF($P246="BIOGENICO",IF(ISNUMBER($S246),$N246*$S246/PARAMETROS!$B$8,""),0)</f>
        <v>0.0</v>
      </c>
      <c r="Z246" s="14">
        <f>IF(ISNUMBER($T246),$N246*$T246/PARAMETROS!$B$8,"")</f>
        <v>0.0245147721</v>
      </c>
      <c r="AA246" s="14">
        <f>IF(ISNUMBER($U246),$N246*$U246/PARAMETROS!$B$8,"")</f>
        <v>0.00490295442</v>
      </c>
      <c r="AB246" s="14">
        <f>IF(COUNT($X246,$Z246,$AA246)=0,"",SUM($X246,IF(ISNUMBER($Z246),$Z246*PARAMETROS!$B$9,0),IF(ISNUMBER($AA246),$AA246*PARAMETROS!$B$10,0)))</f>
        <v>634.4668167201</v>
      </c>
      <c r="AC246" s="4" t="s">
        <v>1990</v>
      </c>
      <c r="AD246" s="4"/>
      <c r="AE246" s="4" t="s">
        <v>5690</v>
      </c>
      <c r="AF246" s="4" t="s">
        <v>170</v>
      </c>
      <c r="AG246" s="4" t="inlineStr">
        <is>
          <t>MARN_GTM_BTR1_2024</t>
        </is>
      </c>
      <c r="AH246" s="4" t="inlineStr">
        <is>
          <t>Origen de factores: CO2: MARN_GTM_BTR1_2024 [PRX; BTR1 Guatemala 2024, tabla 3.6, p. 48; fila Fuelóleo residual; gas CO2]; CH4: MARN_GTM_BTR1_2024 [PRX; BTR1 Guatemala 2024, tabla 3.22, p. 62; fila Fuelóleo residual; gas CH4]; N2O: MARN_GTM_BTR1_2024 [PRX; BTR1 Guatemala 2024, tabla 3.22, p. 62; fila Fuelóleo residual; gas N2O].</t>
        </is>
      </c>
    </row>
    <row r="247" customFormat="false" ht="15" hidden="false" customHeight="false" outlineLevel="0" collapsed="false">
      <c r="A247" s="4" t="s">
        <v>6005</v>
      </c>
      <c r="B247" s="12" t="n">
        <v>2022</v>
      </c>
      <c r="C247" s="4" t="s">
        <v>68</v>
      </c>
      <c r="D247" s="4" t="s">
        <v>5685</v>
      </c>
      <c r="E247" s="4" t="s">
        <v>3404</v>
      </c>
      <c r="F247" s="4" t="s">
        <v>3405</v>
      </c>
      <c r="G247" s="4" t="s">
        <v>103</v>
      </c>
      <c r="H247" s="4" t="s">
        <v>2111</v>
      </c>
      <c r="I247" s="4" t="s">
        <v>68</v>
      </c>
      <c r="J247" s="4" t="s">
        <v>2001</v>
      </c>
      <c r="K247" s="4" t="s">
        <v>2002</v>
      </c>
      <c r="L247" s="4" t="s">
        <v>1366</v>
      </c>
      <c r="M247" s="14" t="n">
        <f aca="false">SUMIFS(PSUT_LARGA!$K$2:$K$618,PSUT_LARGA!$B$2:$B$618,$B247,PSUT_LARGA!$H$2:$H$618,$L247,PSUT_LARGA!$E$2:$E$618,$J247,PSUT_LARGA!$F$2:$F$618,$K247,PSUT_LARGA!$G$2:$G$618,$I247,PSUT_LARGA!$I$2:$I$618,$H247)</f>
        <v>1660.4399</v>
      </c>
      <c r="N247" s="14" t="n">
        <f aca="false">IF($H247="TRANSFORMACION_REFINERIA",$M247*INDEX(PARAMETROS!$C$27:$C$33,MATCH($B247,PARAMETROS!$A$27:$A$33,0)),$M247)</f>
        <v>1660.4399</v>
      </c>
      <c r="O247" s="4" t="inlineStr">
        <is>
          <t>COMB_GAS</t>
        </is>
      </c>
      <c r="P247" s="4" t="s">
        <v>3352</v>
      </c>
      <c r="Q247" s="11" t="n">
        <f aca="false">MIN($B247,2022)</f>
        <v>2022</v>
      </c>
      <c r="R247" s="8" t="str">
        <f>IF(COUNT($S247:$U247)=0,"NO",IF($O247="CERO_DIRECTO","CAL",IF(OR($B247&gt;$Q247,COUNTIFS(DATOS_MODELO!$C$2:$C$3672,$Q247&amp;"|"&amp;$E247&amp;"|"&amp;$O247&amp;"|*",DATOS_MODELO!$F$2:$F$3672,"PRX",DATOS_MODELO!$AA$2:$AA$3672,"&lt;&gt;")&gt;0),"PRX",IF(COUNTIFS(DATOS_MODELO!$C$2:$C$3672,$Q247&amp;"|"&amp;$E247&amp;"|"&amp;$O247&amp;"|*",DATOS_MODELO!$F$2:$F$3672,"CAL",DATOS_MODELO!$AA$2:$AA$3672,"&lt;&gt;")&gt;0,"CAL","OBS"))))</f>
        <v>PRX</v>
      </c>
      <c r="S247" s="14">
        <f>IF(COUNTIFS(DATOS_MODELO!$C$2:$C$3672,$Q247&amp;"|"&amp;$E247&amp;"|"&amp;$O247&amp;"|CO2",DATOS_MODELO!$AA$2:$AA$3672,"&lt;&gt;")=0,"",INDEX(DATOS_MODELO!$AA$2:$AA$3672,MATCH($Q247&amp;"|"&amp;$E247&amp;"|"&amp;$O247&amp;"|CO2",DATOS_MODELO!$C$2:$C$3672,0)))</f>
        <v>69300.0</v>
      </c>
      <c r="T247" s="14">
        <f>IF(COUNTIFS(DATOS_MODELO!$C$2:$C$3672,$Q247&amp;"|"&amp;$E247&amp;"|"&amp;$O247&amp;"|CH4",DATOS_MODELO!$AA$2:$AA$3672,"&lt;&gt;")=0,"",INDEX(DATOS_MODELO!$AA$2:$AA$3672,MATCH($Q247&amp;"|"&amp;$E247&amp;"|"&amp;$O247&amp;"|CH4",DATOS_MODELO!$C$2:$C$3672,0)))</f>
        <v>3.0</v>
      </c>
      <c r="U247" s="14">
        <f>IF(COUNTIFS(DATOS_MODELO!$C$2:$C$3672,$Q247&amp;"|"&amp;$E247&amp;"|"&amp;$O247&amp;"|N2O",DATOS_MODELO!$AA$2:$AA$3672,"&lt;&gt;")=0,"",INDEX(DATOS_MODELO!$AA$2:$AA$3672,MATCH($Q247&amp;"|"&amp;$E247&amp;"|"&amp;$O247&amp;"|N2O",DATOS_MODELO!$C$2:$C$3672,0)))</f>
        <v>0.6</v>
      </c>
      <c r="V247" s="8"/>
      <c r="W247" s="14"/>
      <c r="X247" s="14">
        <f>IF($P247="BIOGENICO",0,IF(ISNUMBER($S247),$N247*$S247/PARAMETROS!$B$8,""))</f>
        <v>115.06848507</v>
      </c>
      <c r="Y247" s="14">
        <f>IF($P247="BIOGENICO",IF(ISNUMBER($S247),$N247*$S247/PARAMETROS!$B$8,""),0)</f>
        <v>0.0</v>
      </c>
      <c r="Z247" s="14">
        <f>IF(ISNUMBER($T247),$N247*$T247/PARAMETROS!$B$8,"")</f>
        <v>0.0049813197</v>
      </c>
      <c r="AA247" s="14">
        <f>IF(ISNUMBER($U247),$N247*$U247/PARAMETROS!$B$8,"")</f>
        <v>0.00099626394</v>
      </c>
      <c r="AB247" s="14">
        <f>IF(COUNT($X247,$Z247,$AA247)=0,"",SUM($X247,IF(ISNUMBER($Z247),$Z247*PARAMETROS!$B$9,0),IF(ISNUMBER($AA247),$AA247*PARAMETROS!$B$10,0)))</f>
        <v>115.4719719657</v>
      </c>
      <c r="AC247" s="4" t="s">
        <v>1990</v>
      </c>
      <c r="AD247" s="4"/>
      <c r="AE247" s="4" t="s">
        <v>5690</v>
      </c>
      <c r="AF247" s="4" t="s">
        <v>170</v>
      </c>
      <c r="AG247" s="4" t="inlineStr">
        <is>
          <t>MARN_GTM_BTR1_2024</t>
        </is>
      </c>
      <c r="AH247" s="4" t="inlineStr">
        <is>
          <t>Origen de factores: CO2: MARN_GTM_BTR1_2024 [PRX; BTR1 Guatemala 2024, tabla 3.6, p. 48; fila Gasolina para motores; gas CO2]; CH4: MARN_GTM_BTR1_2024 [PRX; BTR1 Guatemala 2024, tabla 3.22, p. 62; fila Gasolina para motores; gas CH4]; N2O: MARN_GTM_BTR1_2024 [PRX; BTR1 Guatemala 2024, tabla 3.22, p. 62; fila Gasolina para motores; gas N2O].</t>
        </is>
      </c>
    </row>
    <row r="248" customFormat="false" ht="15" hidden="false" customHeight="false" outlineLevel="0" collapsed="false">
      <c r="A248" s="4" t="s">
        <v>6006</v>
      </c>
      <c r="B248" s="12" t="n">
        <v>2022</v>
      </c>
      <c r="C248" s="4" t="s">
        <v>68</v>
      </c>
      <c r="D248" s="4" t="s">
        <v>5685</v>
      </c>
      <c r="E248" s="4" t="s">
        <v>3404</v>
      </c>
      <c r="F248" s="4" t="s">
        <v>3405</v>
      </c>
      <c r="G248" s="4" t="s">
        <v>105</v>
      </c>
      <c r="H248" s="4" t="s">
        <v>2111</v>
      </c>
      <c r="I248" s="4" t="s">
        <v>68</v>
      </c>
      <c r="J248" s="4" t="s">
        <v>2001</v>
      </c>
      <c r="K248" s="4" t="s">
        <v>2002</v>
      </c>
      <c r="L248" s="4" t="s">
        <v>1380</v>
      </c>
      <c r="M248" s="14" t="n">
        <f aca="false">SUMIFS(PSUT_LARGA!$K$2:$K$618,PSUT_LARGA!$B$2:$B$618,$B248,PSUT_LARGA!$H$2:$H$618,$L248,PSUT_LARGA!$E$2:$E$618,$J248,PSUT_LARGA!$F$2:$F$618,$K248,PSUT_LARGA!$G$2:$G$618,$I248,PSUT_LARGA!$I$2:$I$618,$H248)</f>
        <v>4821.8933</v>
      </c>
      <c r="N248" s="14" t="n">
        <f aca="false">IF($H248="TRANSFORMACION_REFINERIA",$M248*INDEX(PARAMETROS!$C$27:$C$33,MATCH($B248,PARAMETROS!$A$27:$A$33,0)),$M248)</f>
        <v>4821.8933</v>
      </c>
      <c r="O248" s="4" t="inlineStr">
        <is>
          <t>COMB_GLP</t>
        </is>
      </c>
      <c r="P248" s="4" t="s">
        <v>3352</v>
      </c>
      <c r="Q248" s="11" t="n">
        <f aca="false">MIN($B248,2022)</f>
        <v>2022</v>
      </c>
      <c r="R248" s="8" t="str">
        <f>IF(COUNT($S248:$U248)=0,"NO",IF($O248="CERO_DIRECTO","CAL",IF(OR($B248&gt;$Q248,COUNTIFS(DATOS_MODELO!$C$2:$C$3672,$Q248&amp;"|"&amp;$E248&amp;"|"&amp;$O248&amp;"|*",DATOS_MODELO!$F$2:$F$3672,"PRX",DATOS_MODELO!$AA$2:$AA$3672,"&lt;&gt;")&gt;0),"PRX",IF(COUNTIFS(DATOS_MODELO!$C$2:$C$3672,$Q248&amp;"|"&amp;$E248&amp;"|"&amp;$O248&amp;"|*",DATOS_MODELO!$F$2:$F$3672,"CAL",DATOS_MODELO!$AA$2:$AA$3672,"&lt;&gt;")&gt;0,"CAL","OBS"))))</f>
        <v>PRX</v>
      </c>
      <c r="S248" s="14">
        <f>IF(COUNTIFS(DATOS_MODELO!$C$2:$C$3672,$Q248&amp;"|"&amp;$E248&amp;"|"&amp;$O248&amp;"|CO2",DATOS_MODELO!$AA$2:$AA$3672,"&lt;&gt;")=0,"",INDEX(DATOS_MODELO!$AA$2:$AA$3672,MATCH($Q248&amp;"|"&amp;$E248&amp;"|"&amp;$O248&amp;"|CO2",DATOS_MODELO!$C$2:$C$3672,0)))</f>
        <v>63100.0</v>
      </c>
      <c r="T248" s="14">
        <f>IF(COUNTIFS(DATOS_MODELO!$C$2:$C$3672,$Q248&amp;"|"&amp;$E248&amp;"|"&amp;$O248&amp;"|CH4",DATOS_MODELO!$AA$2:$AA$3672,"&lt;&gt;")=0,"",INDEX(DATOS_MODELO!$AA$2:$AA$3672,MATCH($Q248&amp;"|"&amp;$E248&amp;"|"&amp;$O248&amp;"|CH4",DATOS_MODELO!$C$2:$C$3672,0)))</f>
        <v>1.0</v>
      </c>
      <c r="U248" s="14">
        <f>IF(COUNTIFS(DATOS_MODELO!$C$2:$C$3672,$Q248&amp;"|"&amp;$E248&amp;"|"&amp;$O248&amp;"|N2O",DATOS_MODELO!$AA$2:$AA$3672,"&lt;&gt;")=0,"",INDEX(DATOS_MODELO!$AA$2:$AA$3672,MATCH($Q248&amp;"|"&amp;$E248&amp;"|"&amp;$O248&amp;"|N2O",DATOS_MODELO!$C$2:$C$3672,0)))</f>
        <v>0.1</v>
      </c>
      <c r="V248" s="8"/>
      <c r="W248" s="14"/>
      <c r="X248" s="14">
        <f>IF($P248="BIOGENICO",0,IF(ISNUMBER($S248),$N248*$S248/PARAMETROS!$B$8,""))</f>
        <v>304.26146723</v>
      </c>
      <c r="Y248" s="14">
        <f>IF($P248="BIOGENICO",IF(ISNUMBER($S248),$N248*$S248/PARAMETROS!$B$8,""),0)</f>
        <v>0.0</v>
      </c>
      <c r="Z248" s="14">
        <f>IF(ISNUMBER($T248),$N248*$T248/PARAMETROS!$B$8,"")</f>
        <v>0.0048218933</v>
      </c>
      <c r="AA248" s="14">
        <f>IF(ISNUMBER($U248),$N248*$U248/PARAMETROS!$B$8,"")</f>
        <v>0.00048218933</v>
      </c>
      <c r="AB248" s="14">
        <f>IF(COUNT($X248,$Z248,$AA248)=0,"",SUM($X248,IF(ISNUMBER($Z248),$Z248*PARAMETROS!$B$9,0),IF(ISNUMBER($AA248),$AA248*PARAMETROS!$B$10,0)))</f>
        <v>304.52426041485</v>
      </c>
      <c r="AC248" s="4" t="s">
        <v>1990</v>
      </c>
      <c r="AD248" s="4"/>
      <c r="AE248" s="4" t="s">
        <v>5690</v>
      </c>
      <c r="AF248" s="4" t="s">
        <v>170</v>
      </c>
      <c r="AG248" s="4" t="inlineStr">
        <is>
          <t>MARN_GTM_BTR1_2024</t>
        </is>
      </c>
      <c r="AH248" s="4" t="inlineStr">
        <is>
          <t>Origen de factores: CO2: MARN_GTM_BTR1_2024 [PRX; BTR1 Guatemala 2024, tabla 3.6, p. 48; fila Gases licuados de petróleo; gas CO2]; CH4: MARN_GTM_BTR1_2024 [PRX; BTR1 Guatemala 2024, tabla 3.22, p. 62; fila Gases licuados de petróleo; gas CH4]; N2O: MARN_GTM_BTR1_2024 [PRX; BTR1 Guatemala 2024, tabla 3.22, p. 62; fila Gases licuados de petróleo; gas N2O].</t>
        </is>
      </c>
    </row>
    <row r="249" customFormat="false" ht="15" hidden="false" customHeight="false" outlineLevel="0" collapsed="false">
      <c r="A249" s="4" t="s">
        <v>6007</v>
      </c>
      <c r="B249" s="12" t="n">
        <v>2022</v>
      </c>
      <c r="C249" s="4" t="s">
        <v>72</v>
      </c>
      <c r="D249" s="4" t="s">
        <v>5685</v>
      </c>
      <c r="E249" s="4" t="s">
        <v>3383</v>
      </c>
      <c r="F249" s="4" t="s">
        <v>3384</v>
      </c>
      <c r="G249" s="4" t="s">
        <v>109</v>
      </c>
      <c r="H249" s="4" t="s">
        <v>2079</v>
      </c>
      <c r="I249" s="4" t="s">
        <v>72</v>
      </c>
      <c r="J249" s="4" t="s">
        <v>2001</v>
      </c>
      <c r="K249" s="4" t="s">
        <v>2002</v>
      </c>
      <c r="L249" s="4" t="s">
        <v>1267</v>
      </c>
      <c r="M249" s="14" t="n">
        <f aca="false">SUMIFS(PSUT_LARGA!$K$2:$K$618,PSUT_LARGA!$B$2:$B$618,$B249,PSUT_LARGA!$H$2:$H$618,$L249,PSUT_LARGA!$E$2:$E$618,$J249,PSUT_LARGA!$F$2:$F$618,$K249,PSUT_LARGA!$G$2:$G$618,$I249,PSUT_LARGA!$I$2:$I$618,$H249)</f>
        <v>9685.3862</v>
      </c>
      <c r="N249" s="14" t="n">
        <f aca="false">IF($H249="TRANSFORMACION_REFINERIA",$M249*INDEX(PARAMETROS!$C$27:$C$33,MATCH($B249,PARAMETROS!$A$27:$A$33,0)),$M249)</f>
        <v>9685.3862</v>
      </c>
      <c r="O249" s="4" t="s">
        <v>3343</v>
      </c>
      <c r="P249" s="4" t="s">
        <v>3344</v>
      </c>
      <c r="Q249" s="11" t="n">
        <f aca="false">MIN($B249,2022)</f>
        <v>2022</v>
      </c>
      <c r="R249" s="8" t="str">
        <f>IF(COUNT($S249:$U249)=0,"NO",IF($O249="CERO_DIRECTO","CAL",IF(OR($B249&gt;$Q249,COUNTIFS(DATOS_MODELO!$C$2:$C$3672,$Q249&amp;"|"&amp;$E249&amp;"|"&amp;$O249&amp;"|*",DATOS_MODELO!$F$2:$F$3672,"PRX",DATOS_MODELO!$AA$2:$AA$3672,"&lt;&gt;")&gt;0),"PRX",IF(COUNTIFS(DATOS_MODELO!$C$2:$C$3672,$Q249&amp;"|"&amp;$E249&amp;"|"&amp;$O249&amp;"|*",DATOS_MODELO!$F$2:$F$3672,"CAL",DATOS_MODELO!$AA$2:$AA$3672,"&lt;&gt;")&gt;0,"CAL","OBS"))))</f>
        <v>OBS</v>
      </c>
      <c r="S249" s="14">
        <f>IF(COUNTIFS(DATOS_MODELO!$C$2:$C$3672,$Q249&amp;"|"&amp;$E249&amp;"|"&amp;$O249&amp;"|CO2",DATOS_MODELO!$AA$2:$AA$3672,"&lt;&gt;")=0,"",INDEX(DATOS_MODELO!$AA$2:$AA$3672,MATCH($Q249&amp;"|"&amp;$E249&amp;"|"&amp;$O249&amp;"|CO2",DATOS_MODELO!$C$2:$C$3672,0)))</f>
        <v>111999.999773152</v>
      </c>
      <c r="T249" s="14">
        <f>IF(COUNTIFS(DATOS_MODELO!$C$2:$C$3672,$Q249&amp;"|"&amp;$E249&amp;"|"&amp;$O249&amp;"|CH4",DATOS_MODELO!$AA$2:$AA$3672,"&lt;&gt;")=0,"",INDEX(DATOS_MODELO!$AA$2:$AA$3672,MATCH($Q249&amp;"|"&amp;$E249&amp;"|"&amp;$O249&amp;"|CH4",DATOS_MODELO!$C$2:$C$3672,0)))</f>
        <v>299.999999579911</v>
      </c>
      <c r="U249" s="14">
        <f>IF(COUNTIFS(DATOS_MODELO!$C$2:$C$3672,$Q249&amp;"|"&amp;$E249&amp;"|"&amp;$O249&amp;"|N2O",DATOS_MODELO!$AA$2:$AA$3672,"&lt;&gt;")=0,"",INDEX(DATOS_MODELO!$AA$2:$AA$3672,MATCH($Q249&amp;"|"&amp;$E249&amp;"|"&amp;$O249&amp;"|N2O",DATOS_MODELO!$C$2:$C$3672,0)))</f>
        <v>3.99999950429495</v>
      </c>
      <c r="V249" s="8"/>
      <c r="W249" s="14"/>
      <c r="X249" s="14">
        <f>IF($P249="BIOGENICO",0,IF(ISNUMBER($S249),$N249*$S249/PARAMETROS!$B$8,""))</f>
        <v>0.0</v>
      </c>
      <c r="Y249" s="14">
        <f>IF($P249="BIOGENICO",IF(ISNUMBER($S249),$N249*$S249/PARAMETROS!$B$8,""),0)</f>
        <v>1084.76325220289</v>
      </c>
      <c r="Z249" s="14">
        <f>IF(ISNUMBER($T249),$N249*$T249/PARAMETROS!$B$8,"")</f>
        <v>2.90561585593128</v>
      </c>
      <c r="AA249" s="14">
        <f>IF(ISNUMBER($U249),$N249*$U249/PARAMETROS!$B$8,"")</f>
        <v>0.0387415399989051</v>
      </c>
      <c r="AB249" s="14">
        <f>IF(COUNT($X249,$Z249,$AA249)=0,"",SUM($X249,IF(ISNUMBER($Z249),$Z249*PARAMETROS!$B$9,0),IF(ISNUMBER($AA249),$AA249*PARAMETROS!$B$10,0)))</f>
        <v>91.6237520657856</v>
      </c>
      <c r="AC249" s="4" t="s">
        <v>1990</v>
      </c>
      <c r="AD249" s="4"/>
      <c r="AE249" s="4" t="s">
        <v>5690</v>
      </c>
      <c r="AF249" s="4" t="s">
        <v>170</v>
      </c>
      <c r="AG249" s="4" t="s">
        <v>3999</v>
      </c>
      <c r="AH249" s="4"/>
    </row>
    <row r="250" customFormat="false" ht="23.85" hidden="false" customHeight="false" outlineLevel="0" collapsed="false">
      <c r="A250" s="4" t="s">
        <v>6008</v>
      </c>
      <c r="B250" s="12" t="n">
        <v>2022</v>
      </c>
      <c r="C250" s="4" t="s">
        <v>72</v>
      </c>
      <c r="D250" s="4" t="s">
        <v>5685</v>
      </c>
      <c r="E250" s="4" t="s">
        <v>3383</v>
      </c>
      <c r="F250" s="4" t="s">
        <v>3384</v>
      </c>
      <c r="G250" s="4" t="s">
        <v>99</v>
      </c>
      <c r="H250" s="4" t="s">
        <v>2079</v>
      </c>
      <c r="I250" s="4" t="s">
        <v>72</v>
      </c>
      <c r="J250" s="4" t="s">
        <v>2001</v>
      </c>
      <c r="K250" s="4" t="s">
        <v>2002</v>
      </c>
      <c r="L250" s="4" t="s">
        <v>1337</v>
      </c>
      <c r="M250" s="14" t="n">
        <f aca="false">SUMIFS(PSUT_LARGA!$K$2:$K$618,PSUT_LARGA!$B$2:$B$618,$B250,PSUT_LARGA!$H$2:$H$618,$L250,PSUT_LARGA!$E$2:$E$618,$J250,PSUT_LARGA!$F$2:$F$618,$K250,PSUT_LARGA!$G$2:$G$618,$I250,PSUT_LARGA!$I$2:$I$618,$H250)</f>
        <v>10452.0157</v>
      </c>
      <c r="N250" s="14" t="n">
        <f aca="false">IF($H250="TRANSFORMACION_REFINERIA",$M250*INDEX(PARAMETROS!$C$27:$C$33,MATCH($B250,PARAMETROS!$A$27:$A$33,0)),$M250)</f>
        <v>10452.0157</v>
      </c>
      <c r="O250" s="4" t="s">
        <v>3362</v>
      </c>
      <c r="P250" s="4" t="s">
        <v>3363</v>
      </c>
      <c r="Q250" s="11" t="n">
        <f aca="false">MIN($B250,2022)</f>
        <v>2022</v>
      </c>
      <c r="R250" s="8" t="str">
        <f>IF(COUNT($S250:$U250)=0,"NO",IF($O250="CERO_DIRECTO","CAL",IF(OR($B250&gt;$Q250,COUNTIFS(DATOS_MODELO!$C$2:$C$3672,$Q250&amp;"|"&amp;$E250&amp;"|"&amp;$O250&amp;"|*",DATOS_MODELO!$F$2:$F$3672,"PRX",DATOS_MODELO!$AA$2:$AA$3672,"&lt;&gt;")&gt;0),"PRX",IF(COUNTIFS(DATOS_MODELO!$C$2:$C$3672,$Q250&amp;"|"&amp;$E250&amp;"|"&amp;$O250&amp;"|*",DATOS_MODELO!$F$2:$F$3672,"CAL",DATOS_MODELO!$AA$2:$AA$3672,"&lt;&gt;")&gt;0,"CAL","OBS"))))</f>
        <v>CAL</v>
      </c>
      <c r="S250" s="14">
        <f>IF(COUNTIFS(DATOS_MODELO!$C$2:$C$3672,$Q250&amp;"|"&amp;$E250&amp;"|"&amp;$O250&amp;"|CO2",DATOS_MODELO!$AA$2:$AA$3672,"&lt;&gt;")=0,"",INDEX(DATOS_MODELO!$AA$2:$AA$3672,MATCH($Q250&amp;"|"&amp;$E250&amp;"|"&amp;$O250&amp;"|CO2",DATOS_MODELO!$C$2:$C$3672,0)))</f>
        <v>0.0</v>
      </c>
      <c r="T250" s="14">
        <f>IF(COUNTIFS(DATOS_MODELO!$C$2:$C$3672,$Q250&amp;"|"&amp;$E250&amp;"|"&amp;$O250&amp;"|CH4",DATOS_MODELO!$AA$2:$AA$3672,"&lt;&gt;")=0,"",INDEX(DATOS_MODELO!$AA$2:$AA$3672,MATCH($Q250&amp;"|"&amp;$E250&amp;"|"&amp;$O250&amp;"|CH4",DATOS_MODELO!$C$2:$C$3672,0)))</f>
        <v>0.0</v>
      </c>
      <c r="U250" s="14">
        <f>IF(COUNTIFS(DATOS_MODELO!$C$2:$C$3672,$Q250&amp;"|"&amp;$E250&amp;"|"&amp;$O250&amp;"|N2O",DATOS_MODELO!$AA$2:$AA$3672,"&lt;&gt;")=0,"",INDEX(DATOS_MODELO!$AA$2:$AA$3672,MATCH($Q250&amp;"|"&amp;$E250&amp;"|"&amp;$O250&amp;"|N2O",DATOS_MODELO!$C$2:$C$3672,0)))</f>
        <v>0.0</v>
      </c>
      <c r="V250" s="8"/>
      <c r="W250" s="14"/>
      <c r="X250" s="14">
        <f>IF($P250="BIOGENICO",0,IF(ISNUMBER($S250),$N250*$S250/PARAMETROS!$B$8,""))</f>
        <v>0.0</v>
      </c>
      <c r="Y250" s="14">
        <f>IF($P250="BIOGENICO",IF(ISNUMBER($S250),$N250*$S250/PARAMETROS!$B$8,""),0)</f>
        <v>0.0</v>
      </c>
      <c r="Z250" s="14">
        <f>IF(ISNUMBER($T250),$N250*$T250/PARAMETROS!$B$8,"")</f>
        <v>0.0</v>
      </c>
      <c r="AA250" s="14">
        <f>IF(ISNUMBER($U250),$N250*$U250/PARAMETROS!$B$8,"")</f>
        <v>0.0</v>
      </c>
      <c r="AB250" s="14">
        <f>IF(COUNT($X250,$Z250,$AA250)=0,"",SUM($X250,IF(ISNUMBER($Z250),$Z250*PARAMETROS!$B$9,0),IF(ISNUMBER($AA250),$AA250*PARAMETROS!$B$10,0)))</f>
        <v>0.0</v>
      </c>
      <c r="AC250" s="4" t="s">
        <v>1990</v>
      </c>
      <c r="AD250" s="4"/>
      <c r="AE250" s="4" t="s">
        <v>3362</v>
      </c>
      <c r="AF250" s="4" t="s">
        <v>170</v>
      </c>
      <c r="AG250" s="4" t="inlineStr">
        <is>
          <t>METODO_EMISIONES</t>
        </is>
      </c>
      <c r="AH250" s="4"/>
    </row>
    <row r="251" customFormat="false" ht="15" hidden="false" customHeight="false" outlineLevel="0" collapsed="false">
      <c r="A251" s="4" t="s">
        <v>6009</v>
      </c>
      <c r="B251" s="12" t="n">
        <v>2022</v>
      </c>
      <c r="C251" s="4" t="s">
        <v>72</v>
      </c>
      <c r="D251" s="4" t="s">
        <v>5685</v>
      </c>
      <c r="E251" s="4" t="s">
        <v>3383</v>
      </c>
      <c r="F251" s="4" t="s">
        <v>3384</v>
      </c>
      <c r="G251" s="4" t="s">
        <v>103</v>
      </c>
      <c r="H251" s="4" t="s">
        <v>2079</v>
      </c>
      <c r="I251" s="4" t="s">
        <v>72</v>
      </c>
      <c r="J251" s="4" t="s">
        <v>2001</v>
      </c>
      <c r="K251" s="4" t="s">
        <v>2002</v>
      </c>
      <c r="L251" s="4" t="s">
        <v>1365</v>
      </c>
      <c r="M251" s="14" t="n">
        <f aca="false">SUMIFS(PSUT_LARGA!$K$2:$K$618,PSUT_LARGA!$B$2:$B$618,$B251,PSUT_LARGA!$H$2:$H$618,$L251,PSUT_LARGA!$E$2:$E$618,$J251,PSUT_LARGA!$F$2:$F$618,$K251,PSUT_LARGA!$G$2:$G$618,$I251,PSUT_LARGA!$I$2:$I$618,$H251)</f>
        <v>415.1245</v>
      </c>
      <c r="N251" s="14" t="n">
        <f aca="false">IF($H251="TRANSFORMACION_REFINERIA",$M251*INDEX(PARAMETROS!$C$27:$C$33,MATCH($B251,PARAMETROS!$A$27:$A$33,0)),$M251)</f>
        <v>415.1245</v>
      </c>
      <c r="O251" s="4" t="inlineStr">
        <is>
          <t>COMB_GAS</t>
        </is>
      </c>
      <c r="P251" s="4" t="s">
        <v>3352</v>
      </c>
      <c r="Q251" s="11" t="n">
        <f aca="false">MIN($B251,2022)</f>
        <v>2022</v>
      </c>
      <c r="R251" s="8" t="str">
        <f>IF(COUNT($S251:$U251)=0,"NO",IF($O251="CERO_DIRECTO","CAL",IF(OR($B251&gt;$Q251,COUNTIFS(DATOS_MODELO!$C$2:$C$3672,$Q251&amp;"|"&amp;$E251&amp;"|"&amp;$O251&amp;"|*",DATOS_MODELO!$F$2:$F$3672,"PRX",DATOS_MODELO!$AA$2:$AA$3672,"&lt;&gt;")&gt;0),"PRX",IF(COUNTIFS(DATOS_MODELO!$C$2:$C$3672,$Q251&amp;"|"&amp;$E251&amp;"|"&amp;$O251&amp;"|*",DATOS_MODELO!$F$2:$F$3672,"CAL",DATOS_MODELO!$AA$2:$AA$3672,"&lt;&gt;")&gt;0,"CAL","OBS"))))</f>
        <v>PRX</v>
      </c>
      <c r="S251" s="14">
        <f>IF(COUNTIFS(DATOS_MODELO!$C$2:$C$3672,$Q251&amp;"|"&amp;$E251&amp;"|"&amp;$O251&amp;"|CO2",DATOS_MODELO!$AA$2:$AA$3672,"&lt;&gt;")=0,"",INDEX(DATOS_MODELO!$AA$2:$AA$3672,MATCH($Q251&amp;"|"&amp;$E251&amp;"|"&amp;$O251&amp;"|CO2",DATOS_MODELO!$C$2:$C$3672,0)))</f>
        <v>69300.0</v>
      </c>
      <c r="T251" s="14">
        <f>IF(COUNTIFS(DATOS_MODELO!$C$2:$C$3672,$Q251&amp;"|"&amp;$E251&amp;"|"&amp;$O251&amp;"|CH4",DATOS_MODELO!$AA$2:$AA$3672,"&lt;&gt;")=0,"",INDEX(DATOS_MODELO!$AA$2:$AA$3672,MATCH($Q251&amp;"|"&amp;$E251&amp;"|"&amp;$O251&amp;"|CH4",DATOS_MODELO!$C$2:$C$3672,0)))</f>
        <v>10.0</v>
      </c>
      <c r="U251" s="14">
        <f>IF(COUNTIFS(DATOS_MODELO!$C$2:$C$3672,$Q251&amp;"|"&amp;$E251&amp;"|"&amp;$O251&amp;"|N2O",DATOS_MODELO!$AA$2:$AA$3672,"&lt;&gt;")=0,"",INDEX(DATOS_MODELO!$AA$2:$AA$3672,MATCH($Q251&amp;"|"&amp;$E251&amp;"|"&amp;$O251&amp;"|N2O",DATOS_MODELO!$C$2:$C$3672,0)))</f>
        <v>0.6</v>
      </c>
      <c r="V251" s="8"/>
      <c r="W251" s="14"/>
      <c r="X251" s="14">
        <f>IF($P251="BIOGENICO",0,IF(ISNUMBER($S251),$N251*$S251/PARAMETROS!$B$8,""))</f>
        <v>28.76812785</v>
      </c>
      <c r="Y251" s="14">
        <f>IF($P251="BIOGENICO",IF(ISNUMBER($S251),$N251*$S251/PARAMETROS!$B$8,""),0)</f>
        <v>0.0</v>
      </c>
      <c r="Z251" s="14">
        <f>IF(ISNUMBER($T251),$N251*$T251/PARAMETROS!$B$8,"")</f>
        <v>0.004151245</v>
      </c>
      <c r="AA251" s="14">
        <f>IF(ISNUMBER($U251),$N251*$U251/PARAMETROS!$B$8,"")</f>
        <v>0.0002490747</v>
      </c>
      <c r="AB251" s="14">
        <f>IF(COUNT($X251,$Z251,$AA251)=0,"",SUM($X251,IF(ISNUMBER($Z251),$Z251*PARAMETROS!$B$9,0),IF(ISNUMBER($AA251),$AA251*PARAMETROS!$B$10,0)))</f>
        <v>28.9503675055</v>
      </c>
      <c r="AC251" s="4" t="s">
        <v>1990</v>
      </c>
      <c r="AD251" s="4"/>
      <c r="AE251" s="4" t="s">
        <v>5690</v>
      </c>
      <c r="AF251" s="4" t="s">
        <v>170</v>
      </c>
      <c r="AG251" s="4" t="inlineStr">
        <is>
          <t>MARN_GTM_BTR1_2024</t>
        </is>
      </c>
      <c r="AH251" s="4" t="inlineStr">
        <is>
          <t>Origen de factores: CO2: MARN_GTM_BTR1_2024 [PRX; BTR1 Guatemala 2024, tabla 3.6, p. 48; fila Gasolina para motores; gas CO2]; CH4: MARN_GTM_BTR1_2024 [PRX; BTR1 Guatemala 2024, tabla 3.33, p. 70; fila Gasolina para motores; gas CH4]; N2O: MARN_GTM_BTR1_2024 [PRX; BTR1 Guatemala 2024, tabla 3.33, p. 70; fila Gasolina para motores; gas N2O].</t>
        </is>
      </c>
    </row>
    <row r="252" customFormat="false" ht="15" hidden="false" customHeight="false" outlineLevel="0" collapsed="false">
      <c r="A252" s="4" t="s">
        <v>6010</v>
      </c>
      <c r="B252" s="12" t="n">
        <v>2022</v>
      </c>
      <c r="C252" s="4" t="s">
        <v>72</v>
      </c>
      <c r="D252" s="4" t="s">
        <v>5685</v>
      </c>
      <c r="E252" s="4" t="s">
        <v>3383</v>
      </c>
      <c r="F252" s="4" t="s">
        <v>3384</v>
      </c>
      <c r="G252" s="4" t="s">
        <v>105</v>
      </c>
      <c r="H252" s="4" t="s">
        <v>2079</v>
      </c>
      <c r="I252" s="4" t="s">
        <v>72</v>
      </c>
      <c r="J252" s="4" t="s">
        <v>2001</v>
      </c>
      <c r="K252" s="4" t="s">
        <v>2002</v>
      </c>
      <c r="L252" s="4" t="s">
        <v>1379</v>
      </c>
      <c r="M252" s="14" t="n">
        <f aca="false">SUMIFS(PSUT_LARGA!$K$2:$K$618,PSUT_LARGA!$B$2:$B$618,$B252,PSUT_LARGA!$H$2:$H$618,$L252,PSUT_LARGA!$E$2:$E$618,$J252,PSUT_LARGA!$F$2:$F$618,$K252,PSUT_LARGA!$G$2:$G$618,$I252,PSUT_LARGA!$I$2:$I$618,$H252)</f>
        <v>482.1719</v>
      </c>
      <c r="N252" s="14" t="n">
        <f aca="false">IF($H252="TRANSFORMACION_REFINERIA",$M252*INDEX(PARAMETROS!$C$27:$C$33,MATCH($B252,PARAMETROS!$A$27:$A$33,0)),$M252)</f>
        <v>482.1719</v>
      </c>
      <c r="O252" s="4" t="inlineStr">
        <is>
          <t>COMB_GLP</t>
        </is>
      </c>
      <c r="P252" s="4" t="s">
        <v>3352</v>
      </c>
      <c r="Q252" s="11" t="n">
        <f aca="false">MIN($B252,2022)</f>
        <v>2022</v>
      </c>
      <c r="R252" s="8" t="str">
        <f>IF(COUNT($S252:$U252)=0,"NO",IF($O252="CERO_DIRECTO","CAL",IF(OR($B252&gt;$Q252,COUNTIFS(DATOS_MODELO!$C$2:$C$3672,$Q252&amp;"|"&amp;$E252&amp;"|"&amp;$O252&amp;"|*",DATOS_MODELO!$F$2:$F$3672,"PRX",DATOS_MODELO!$AA$2:$AA$3672,"&lt;&gt;")&gt;0),"PRX",IF(COUNTIFS(DATOS_MODELO!$C$2:$C$3672,$Q252&amp;"|"&amp;$E252&amp;"|"&amp;$O252&amp;"|*",DATOS_MODELO!$F$2:$F$3672,"CAL",DATOS_MODELO!$AA$2:$AA$3672,"&lt;&gt;")&gt;0,"CAL","OBS"))))</f>
        <v>PRX</v>
      </c>
      <c r="S252" s="14">
        <f>IF(COUNTIFS(DATOS_MODELO!$C$2:$C$3672,$Q252&amp;"|"&amp;$E252&amp;"|"&amp;$O252&amp;"|CO2",DATOS_MODELO!$AA$2:$AA$3672,"&lt;&gt;")=0,"",INDEX(DATOS_MODELO!$AA$2:$AA$3672,MATCH($Q252&amp;"|"&amp;$E252&amp;"|"&amp;$O252&amp;"|CO2",DATOS_MODELO!$C$2:$C$3672,0)))</f>
        <v>63100.0</v>
      </c>
      <c r="T252" s="14">
        <f>IF(COUNTIFS(DATOS_MODELO!$C$2:$C$3672,$Q252&amp;"|"&amp;$E252&amp;"|"&amp;$O252&amp;"|CH4",DATOS_MODELO!$AA$2:$AA$3672,"&lt;&gt;")=0,"",INDEX(DATOS_MODELO!$AA$2:$AA$3672,MATCH($Q252&amp;"|"&amp;$E252&amp;"|"&amp;$O252&amp;"|CH4",DATOS_MODELO!$C$2:$C$3672,0)))</f>
        <v>5.0</v>
      </c>
      <c r="U252" s="14">
        <f>IF(COUNTIFS(DATOS_MODELO!$C$2:$C$3672,$Q252&amp;"|"&amp;$E252&amp;"|"&amp;$O252&amp;"|N2O",DATOS_MODELO!$AA$2:$AA$3672,"&lt;&gt;")=0,"",INDEX(DATOS_MODELO!$AA$2:$AA$3672,MATCH($Q252&amp;"|"&amp;$E252&amp;"|"&amp;$O252&amp;"|N2O",DATOS_MODELO!$C$2:$C$3672,0)))</f>
        <v>0.1</v>
      </c>
      <c r="V252" s="8"/>
      <c r="W252" s="14"/>
      <c r="X252" s="14">
        <f>IF($P252="BIOGENICO",0,IF(ISNUMBER($S252),$N252*$S252/PARAMETROS!$B$8,""))</f>
        <v>30.42504689</v>
      </c>
      <c r="Y252" s="14">
        <f>IF($P252="BIOGENICO",IF(ISNUMBER($S252),$N252*$S252/PARAMETROS!$B$8,""),0)</f>
        <v>0.0</v>
      </c>
      <c r="Z252" s="14">
        <f>IF(ISNUMBER($T252),$N252*$T252/PARAMETROS!$B$8,"")</f>
        <v>0.0024108595</v>
      </c>
      <c r="AA252" s="14">
        <f>IF(ISNUMBER($U252),$N252*$U252/PARAMETROS!$B$8,"")</f>
        <v>4.821719e-05</v>
      </c>
      <c r="AB252" s="14">
        <f>IF(COUNT($X252,$Z252,$AA252)=0,"",SUM($X252,IF(ISNUMBER($Z252),$Z252*PARAMETROS!$B$9,0),IF(ISNUMBER($AA252),$AA252*PARAMETROS!$B$10,0)))</f>
        <v>30.50532851135</v>
      </c>
      <c r="AC252" s="4" t="s">
        <v>1990</v>
      </c>
      <c r="AD252" s="4"/>
      <c r="AE252" s="4" t="s">
        <v>5690</v>
      </c>
      <c r="AF252" s="4" t="s">
        <v>170</v>
      </c>
      <c r="AG252" s="4" t="inlineStr">
        <is>
          <t>MARN_GTM_BTR1_2024</t>
        </is>
      </c>
      <c r="AH252" s="4" t="inlineStr">
        <is>
          <t>Origen de factores: CO2: MARN_GTM_BTR1_2024 [PRX; BTR1 Guatemala 2024, tabla 3.6, p. 48; fila Gases licuados de petróleo; gas CO2]; CH4: MARN_GTM_BTR1_2024 [PRX; BTR1 Guatemala 2024, tabla 3.33, p. 70; fila Gases licuados de petróleo; gas CH4]; N2O: MARN_GTM_BTR1_2024 [PRX; BTR1 Guatemala 2024, tabla 3.33, p. 70; fila Gases licuados de petróleo; gas N2O].</t>
        </is>
      </c>
    </row>
    <row r="253" customFormat="false" ht="15" hidden="false" customHeight="false" outlineLevel="0" collapsed="false">
      <c r="A253" s="4" t="s">
        <v>6011</v>
      </c>
      <c r="B253" s="12" t="n">
        <v>2022</v>
      </c>
      <c r="C253" s="4" t="s">
        <v>71</v>
      </c>
      <c r="D253" s="4" t="s">
        <v>5685</v>
      </c>
      <c r="E253" s="4" t="s">
        <v>3412</v>
      </c>
      <c r="F253" s="4" t="s">
        <v>3413</v>
      </c>
      <c r="G253" s="4" t="s">
        <v>97</v>
      </c>
      <c r="H253" s="4" t="s">
        <v>2123</v>
      </c>
      <c r="I253" s="4" t="s">
        <v>71</v>
      </c>
      <c r="J253" s="4" t="s">
        <v>2001</v>
      </c>
      <c r="K253" s="4" t="s">
        <v>2002</v>
      </c>
      <c r="L253" s="4" t="s">
        <v>1321</v>
      </c>
      <c r="M253" s="14" t="n">
        <f aca="false">SUMIFS(PSUT_LARGA!$K$2:$K$618,PSUT_LARGA!$B$2:$B$618,$B253,PSUT_LARGA!$H$2:$H$618,$L253,PSUT_LARGA!$E$2:$E$618,$J253,PSUT_LARGA!$F$2:$F$618,$K253,PSUT_LARGA!$G$2:$G$618,$I253,PSUT_LARGA!$I$2:$I$618,$H253)</f>
        <v>75932.4006</v>
      </c>
      <c r="N253" s="14" t="n">
        <f aca="false">IF($H253="TRANSFORMACION_REFINERIA",$M253*INDEX(PARAMETROS!$C$27:$C$33,MATCH($B253,PARAMETROS!$A$27:$A$33,0)),$M253)</f>
        <v>75932.4006</v>
      </c>
      <c r="O253" s="4" t="inlineStr">
        <is>
          <t>COMB_DOIL</t>
        </is>
      </c>
      <c r="P253" s="4" t="s">
        <v>3352</v>
      </c>
      <c r="Q253" s="11" t="n">
        <f aca="false">MIN($B253,2022)</f>
        <v>2022</v>
      </c>
      <c r="R253" s="8" t="str">
        <f>IF(COUNT($S253:$U253)=0,"NO",IF($O253="CERO_DIRECTO","CAL",IF(OR($B253&gt;$Q253,COUNTIFS(DATOS_MODELO!$C$2:$C$3672,$Q253&amp;"|"&amp;$E253&amp;"|"&amp;$O253&amp;"|*",DATOS_MODELO!$F$2:$F$3672,"PRX",DATOS_MODELO!$AA$2:$AA$3672,"&lt;&gt;")&gt;0),"PRX",IF(COUNTIFS(DATOS_MODELO!$C$2:$C$3672,$Q253&amp;"|"&amp;$E253&amp;"|"&amp;$O253&amp;"|*",DATOS_MODELO!$F$2:$F$3672,"CAL",DATOS_MODELO!$AA$2:$AA$3672,"&lt;&gt;")&gt;0,"CAL","OBS"))))</f>
        <v>OBS</v>
      </c>
      <c r="S253" s="14">
        <f>IF(COUNTIFS(DATOS_MODELO!$C$2:$C$3672,$Q253&amp;"|"&amp;$E253&amp;"|"&amp;$O253&amp;"|CO2",DATOS_MODELO!$AA$2:$AA$3672,"&lt;&gt;")=0,"",INDEX(DATOS_MODELO!$AA$2:$AA$3672,MATCH($Q253&amp;"|"&amp;$E253&amp;"|"&amp;$O253&amp;"|CO2",DATOS_MODELO!$C$2:$C$3672,0)))</f>
        <v>74100.000087609</v>
      </c>
      <c r="T253" s="14">
        <f>IF(COUNTIFS(DATOS_MODELO!$C$2:$C$3672,$Q253&amp;"|"&amp;$E253&amp;"|"&amp;$O253&amp;"|CH4",DATOS_MODELO!$AA$2:$AA$3672,"&lt;&gt;")=0,"",INDEX(DATOS_MODELO!$AA$2:$AA$3672,MATCH($Q253&amp;"|"&amp;$E253&amp;"|"&amp;$O253&amp;"|CH4",DATOS_MODELO!$C$2:$C$3672,0)))</f>
        <v>3.8999999552578</v>
      </c>
      <c r="U253" s="14">
        <f>IF(COUNTIFS(DATOS_MODELO!$C$2:$C$3672,$Q253&amp;"|"&amp;$E253&amp;"|"&amp;$O253&amp;"|N2O",DATOS_MODELO!$AA$2:$AA$3672,"&lt;&gt;")=0,"",INDEX(DATOS_MODELO!$AA$2:$AA$3672,MATCH($Q253&amp;"|"&amp;$E253&amp;"|"&amp;$O253&amp;"|N2O",DATOS_MODELO!$C$2:$C$3672,0)))</f>
        <v>3.8999999552578</v>
      </c>
      <c r="V253" s="8"/>
      <c r="W253" s="14"/>
      <c r="X253" s="14">
        <f>IF($P253="BIOGENICO",0,IF(ISNUMBER($S253),$N253*$S253/PARAMETROS!$B$8,""))</f>
        <v>5626.59089111236</v>
      </c>
      <c r="Y253" s="14">
        <f>IF($P253="BIOGENICO",IF(ISNUMBER($S253),$N253*$S253/PARAMETROS!$B$8,""),0)</f>
        <v>0.0</v>
      </c>
      <c r="Z253" s="14">
        <f>IF(ISNUMBER($T253),$N253*$T253/PARAMETROS!$B$8,"")</f>
        <v>0.296136358942618</v>
      </c>
      <c r="AA253" s="14">
        <f>IF(ISNUMBER($U253),$N253*$U253/PARAMETROS!$B$8,"")</f>
        <v>0.296136358942618</v>
      </c>
      <c r="AB253" s="14">
        <f>IF(COUNT($X253,$Z253,$AA253)=0,"",SUM($X253,IF(ISNUMBER($Z253),$Z253*PARAMETROS!$B$9,0),IF(ISNUMBER($AA253),$AA253*PARAMETROS!$B$10,0)))</f>
        <v>5713.35884428255</v>
      </c>
      <c r="AC253" s="4" t="s">
        <v>1990</v>
      </c>
      <c r="AD253" s="4"/>
      <c r="AE253" s="4" t="s">
        <v>5690</v>
      </c>
      <c r="AF253" s="4" t="s">
        <v>170</v>
      </c>
      <c r="AG253" s="4" t="s">
        <v>3999</v>
      </c>
      <c r="AH253" s="4" t="inlineStr">
        <is>
          <t>Origen de factores: CO2: UNFCCC_GTM_CRT_2024 [OBS; GTM-CRT-2024-V0.3-2022-20250304-084824_started.xlsx; Table1.A(a)s3; AD=C22; EM=H22; IEF=E22]; CH4: UNFCCC_GTM_CRT_2024 [OBS; GTM-CRT-2024-V0.3-2022-20250304-084824_started.xlsx; Table1.A(a)s3; AD=C22; EM=I22; IEF=F22]; N2O: UNFCCC_GTM_CRT_2024 [OBS; GTM-CRT-2024-V0.3-2022-20250304-084824_started.xlsx; Table1.A(a)s3; AD=C22; EM=J22; IEF=G22].</t>
        </is>
      </c>
    </row>
    <row r="254" customFormat="false" ht="15" hidden="false" customHeight="false" outlineLevel="0" collapsed="false">
      <c r="A254" s="4" t="s">
        <v>6012</v>
      </c>
      <c r="B254" s="12" t="n">
        <v>2022</v>
      </c>
      <c r="C254" s="4" t="s">
        <v>71</v>
      </c>
      <c r="D254" s="4" t="s">
        <v>5685</v>
      </c>
      <c r="E254" s="4" t="s">
        <v>3412</v>
      </c>
      <c r="F254" s="4" t="s">
        <v>3413</v>
      </c>
      <c r="G254" s="4" t="s">
        <v>103</v>
      </c>
      <c r="H254" s="4" t="s">
        <v>2123</v>
      </c>
      <c r="I254" s="4" t="s">
        <v>71</v>
      </c>
      <c r="J254" s="4" t="s">
        <v>2001</v>
      </c>
      <c r="K254" s="4" t="s">
        <v>2002</v>
      </c>
      <c r="L254" s="4" t="s">
        <v>1363</v>
      </c>
      <c r="M254" s="14" t="n">
        <f aca="false">SUMIFS(PSUT_LARGA!$K$2:$K$618,PSUT_LARGA!$B$2:$B$618,$B254,PSUT_LARGA!$H$2:$H$618,$L254,PSUT_LARGA!$E$2:$E$618,$J254,PSUT_LARGA!$F$2:$F$618,$K254,PSUT_LARGA!$G$2:$G$618,$I254,PSUT_LARGA!$I$2:$I$618,$H254)</f>
        <v>81023.7036</v>
      </c>
      <c r="N254" s="14" t="n">
        <f aca="false">IF($H254="TRANSFORMACION_REFINERIA",$M254*INDEX(PARAMETROS!$C$27:$C$33,MATCH($B254,PARAMETROS!$A$27:$A$33,0)),$M254)</f>
        <v>81023.7036</v>
      </c>
      <c r="O254" s="4" t="inlineStr">
        <is>
          <t>COMB_GAS</t>
        </is>
      </c>
      <c r="P254" s="4" t="s">
        <v>3352</v>
      </c>
      <c r="Q254" s="11" t="n">
        <f aca="false">MIN($B254,2022)</f>
        <v>2022</v>
      </c>
      <c r="R254" s="8" t="str">
        <f>IF(COUNT($S254:$U254)=0,"NO",IF($O254="CERO_DIRECTO","CAL",IF(OR($B254&gt;$Q254,COUNTIFS(DATOS_MODELO!$C$2:$C$3672,$Q254&amp;"|"&amp;$E254&amp;"|"&amp;$O254&amp;"|*",DATOS_MODELO!$F$2:$F$3672,"PRX",DATOS_MODELO!$AA$2:$AA$3672,"&lt;&gt;")&gt;0),"PRX",IF(COUNTIFS(DATOS_MODELO!$C$2:$C$3672,$Q254&amp;"|"&amp;$E254&amp;"|"&amp;$O254&amp;"|*",DATOS_MODELO!$F$2:$F$3672,"CAL",DATOS_MODELO!$AA$2:$AA$3672,"&lt;&gt;")&gt;0,"CAL","OBS"))))</f>
        <v>PRX</v>
      </c>
      <c r="S254" s="14">
        <f>IF(COUNTIFS(DATOS_MODELO!$C$2:$C$3672,$Q254&amp;"|"&amp;$E254&amp;"|"&amp;$O254&amp;"|CO2",DATOS_MODELO!$AA$2:$AA$3672,"&lt;&gt;")=0,"",INDEX(DATOS_MODELO!$AA$2:$AA$3672,MATCH($Q254&amp;"|"&amp;$E254&amp;"|"&amp;$O254&amp;"|CO2",DATOS_MODELO!$C$2:$C$3672,0)))</f>
        <v>69300.6912813097</v>
      </c>
      <c r="T254" s="14">
        <f>IF(COUNTIFS(DATOS_MODELO!$C$2:$C$3672,$Q254&amp;"|"&amp;$E254&amp;"|"&amp;$O254&amp;"|CH4",DATOS_MODELO!$AA$2:$AA$3672,"&lt;&gt;")=0,"",INDEX(DATOS_MODELO!$AA$2:$AA$3672,MATCH($Q254&amp;"|"&amp;$E254&amp;"|"&amp;$O254&amp;"|CH4",DATOS_MODELO!$C$2:$C$3672,0)))</f>
        <v>32.9679032524748</v>
      </c>
      <c r="U254" s="14">
        <f>IF(COUNTIFS(DATOS_MODELO!$C$2:$C$3672,$Q254&amp;"|"&amp;$E254&amp;"|"&amp;$O254&amp;"|N2O",DATOS_MODELO!$AA$2:$AA$3672,"&lt;&gt;")=0,"",INDEX(DATOS_MODELO!$AA$2:$AA$3672,MATCH($Q254&amp;"|"&amp;$E254&amp;"|"&amp;$O254&amp;"|N2O",DATOS_MODELO!$C$2:$C$3672,0)))</f>
        <v>3.19881485400936</v>
      </c>
      <c r="V254" s="8"/>
      <c r="W254" s="14"/>
      <c r="X254" s="14">
        <f>IF($P254="BIOGENICO",0,IF(ISNUMBER($S254),$N254*$S254/PARAMETROS!$B$8,""))</f>
        <v>5614.99866965194</v>
      </c>
      <c r="Y254" s="14">
        <f>IF($P254="BIOGENICO",IF(ISNUMBER($S254),$N254*$S254/PARAMETROS!$B$8,""),0)</f>
        <v>0.0</v>
      </c>
      <c r="Z254" s="14">
        <f>IF(ISNUMBER($T254),$N254*$T254/PARAMETROS!$B$8,"")</f>
        <v>2.67118162144199</v>
      </c>
      <c r="AA254" s="14">
        <f>IF(ISNUMBER($U254),$N254*$U254/PARAMETROS!$B$8,"")</f>
        <v>0.259179826602532</v>
      </c>
      <c r="AB254" s="14">
        <f>IF(COUNT($X254,$Z254,$AA254)=0,"",SUM($X254,IF(ISNUMBER($Z254),$Z254*PARAMETROS!$B$9,0),IF(ISNUMBER($AA254),$AA254*PARAMETROS!$B$10,0)))</f>
        <v>5758.47440910199</v>
      </c>
      <c r="AC254" s="4" t="s">
        <v>1990</v>
      </c>
      <c r="AD254" s="4"/>
      <c r="AE254" s="4" t="s">
        <v>5690</v>
      </c>
      <c r="AF254" s="4" t="s">
        <v>170</v>
      </c>
      <c r="AG254" s="4" t="s">
        <v>3999</v>
      </c>
      <c r="AH254" s="4" t="inlineStr">
        <is>
          <t>Origen de factores: CO2: UNFCCC_GTM_CRT_2024 [PRX; GTM-CRT-2024-V0.3-2022-20250304-084824_started.xlsx; Table1.A(a)s3; AD=C17+C21; EM=H17+H21; IEF=E17+E21]; CH4: UNFCCC_GTM_CRT_2024 [PRX; GTM-CRT-2024-V0.3-2022-20250304-084824_started.xlsx; Table1.A(a)s3; AD=C17+C21; EM=I17+I21; IEF=F17+F21]; N2O: UNFCCC_GTM_CRT_2024 [PRX; GTM-CRT-2024-V0.3-2022-20250304-084824_started.xlsx; Table1.A(a)s3; AD=C17+C21; EM=J17+J21; IEF=G17+G21].</t>
        </is>
      </c>
    </row>
    <row r="255" customFormat="false" ht="15" hidden="false" customHeight="false" outlineLevel="0" collapsed="false">
      <c r="A255" s="4" t="s">
        <v>6013</v>
      </c>
      <c r="B255" s="12" t="n">
        <v>2022</v>
      </c>
      <c r="C255" s="4" t="s">
        <v>71</v>
      </c>
      <c r="D255" s="4" t="s">
        <v>5685</v>
      </c>
      <c r="E255" s="4" t="s">
        <v>3412</v>
      </c>
      <c r="F255" s="4" t="s">
        <v>3413</v>
      </c>
      <c r="G255" s="4" t="s">
        <v>105</v>
      </c>
      <c r="H255" s="4" t="s">
        <v>2123</v>
      </c>
      <c r="I255" s="4" t="s">
        <v>71</v>
      </c>
      <c r="J255" s="4" t="s">
        <v>2001</v>
      </c>
      <c r="K255" s="4" t="s">
        <v>2002</v>
      </c>
      <c r="L255" s="4" t="s">
        <v>1377</v>
      </c>
      <c r="M255" s="14" t="n">
        <f aca="false">SUMIFS(PSUT_LARGA!$K$2:$K$618,PSUT_LARGA!$B$2:$B$618,$B255,PSUT_LARGA!$H$2:$H$618,$L255,PSUT_LARGA!$E$2:$E$618,$J255,PSUT_LARGA!$F$2:$F$618,$K255,PSUT_LARGA!$G$2:$G$618,$I255,PSUT_LARGA!$I$2:$I$618,$H255)</f>
        <v>241.115</v>
      </c>
      <c r="N255" s="14" t="n">
        <f aca="false">IF($H255="TRANSFORMACION_REFINERIA",$M255*INDEX(PARAMETROS!$C$27:$C$33,MATCH($B255,PARAMETROS!$A$27:$A$33,0)),$M255)</f>
        <v>241.115</v>
      </c>
      <c r="O255" s="4" t="inlineStr">
        <is>
          <t>COMB_GLP</t>
        </is>
      </c>
      <c r="P255" s="4" t="s">
        <v>3352</v>
      </c>
      <c r="Q255" s="11" t="n">
        <f aca="false">MIN($B255,2022)</f>
        <v>2022</v>
      </c>
      <c r="R255" s="8" t="str">
        <f>IF(COUNT($S255:$U255)=0,"NO",IF($O255="CERO_DIRECTO","CAL",IF(OR($B255&gt;$Q255,COUNTIFS(DATOS_MODELO!$C$2:$C$3672,$Q255&amp;"|"&amp;$E255&amp;"|"&amp;$O255&amp;"|*",DATOS_MODELO!$F$2:$F$3672,"PRX",DATOS_MODELO!$AA$2:$AA$3672,"&lt;&gt;")&gt;0),"PRX",IF(COUNTIFS(DATOS_MODELO!$C$2:$C$3672,$Q255&amp;"|"&amp;$E255&amp;"|"&amp;$O255&amp;"|*",DATOS_MODELO!$F$2:$F$3672,"CAL",DATOS_MODELO!$AA$2:$AA$3672,"&lt;&gt;")&gt;0,"CAL","OBS"))))</f>
        <v>OBS</v>
      </c>
      <c r="S255" s="14">
        <f>IF(COUNTIFS(DATOS_MODELO!$C$2:$C$3672,$Q255&amp;"|"&amp;$E255&amp;"|"&amp;$O255&amp;"|CO2",DATOS_MODELO!$AA$2:$AA$3672,"&lt;&gt;")=0,"",INDEX(DATOS_MODELO!$AA$2:$AA$3672,MATCH($Q255&amp;"|"&amp;$E255&amp;"|"&amp;$O255&amp;"|CO2",DATOS_MODELO!$C$2:$C$3672,0)))</f>
        <v>63100.0002354194</v>
      </c>
      <c r="T255" s="14">
        <f>IF(COUNTIFS(DATOS_MODELO!$C$2:$C$3672,$Q255&amp;"|"&amp;$E255&amp;"|"&amp;$O255&amp;"|CH4",DATOS_MODELO!$AA$2:$AA$3672,"&lt;&gt;")=0,"",INDEX(DATOS_MODELO!$AA$2:$AA$3672,MATCH($Q255&amp;"|"&amp;$E255&amp;"|"&amp;$O255&amp;"|CH4",DATOS_MODELO!$C$2:$C$3672,0)))</f>
        <v>61.9999810820671</v>
      </c>
      <c r="U255" s="14">
        <f>IF(COUNTIFS(DATOS_MODELO!$C$2:$C$3672,$Q255&amp;"|"&amp;$E255&amp;"|"&amp;$O255&amp;"|N2O",DATOS_MODELO!$AA$2:$AA$3672,"&lt;&gt;")=0,"",INDEX(DATOS_MODELO!$AA$2:$AA$3672,MATCH($Q255&amp;"|"&amp;$E255&amp;"|"&amp;$O255&amp;"|N2O",DATOS_MODELO!$C$2:$C$3672,0)))</f>
        <v>0.200001027744971</v>
      </c>
      <c r="V255" s="8"/>
      <c r="W255" s="14"/>
      <c r="X255" s="14">
        <f>IF($P255="BIOGENICO",0,IF(ISNUMBER($S255),$N255*$S255/PARAMETROS!$B$8,""))</f>
        <v>15.2143565567632</v>
      </c>
      <c r="Y255" s="14">
        <f>IF($P255="BIOGENICO",IF(ISNUMBER($S255),$N255*$S255/PARAMETROS!$B$8,""),0)</f>
        <v>0.0</v>
      </c>
      <c r="Z255" s="14">
        <f>IF(ISNUMBER($T255),$N255*$T255/PARAMETROS!$B$8,"")</f>
        <v>0.0149491254386026</v>
      </c>
      <c r="AA255" s="14">
        <f>IF(ISNUMBER($U255),$N255*$U255/PARAMETROS!$B$8,"")</f>
        <v>4.82232478047287e-05</v>
      </c>
      <c r="AB255" s="14">
        <f>IF(COUNT($X255,$Z255,$AA255)=0,"",SUM($X255,IF(ISNUMBER($Z255),$Z255*PARAMETROS!$B$9,0),IF(ISNUMBER($AA255),$AA255*PARAMETROS!$B$10,0)))</f>
        <v>15.6457112297123</v>
      </c>
      <c r="AC255" s="4" t="s">
        <v>1990</v>
      </c>
      <c r="AD255" s="4"/>
      <c r="AE255" s="4" t="s">
        <v>5690</v>
      </c>
      <c r="AF255" s="4" t="s">
        <v>170</v>
      </c>
      <c r="AG255" s="4" t="s">
        <v>3999</v>
      </c>
      <c r="AH255" s="4" t="inlineStr">
        <is>
          <t>Origen de factores: CO2: UNFCCC_GTM_CRT_2024 [OBS; GTM-CRT-2024-V0.3-2022-20250304-084824_started.xlsx; Table1.A(a)s3; AD=C23; EM=H23; IEF=E23]; CH4: UNFCCC_GTM_CRT_2024 [OBS; GTM-CRT-2024-V0.3-2022-20250304-084824_started.xlsx; Table1.A(a)s3; AD=C23; EM=I23; IEF=F23]; N2O: UNFCCC_GTM_CRT_2024 [OBS; GTM-CRT-2024-V0.3-2022-20250304-084824_started.xlsx; Table1.A(a)s3; AD=C23; EM=J23; IEF=G23].</t>
        </is>
      </c>
    </row>
    <row r="256" customFormat="false" ht="15" hidden="false" customHeight="false" outlineLevel="0" collapsed="false">
      <c r="A256" s="4" t="s">
        <v>6014</v>
      </c>
      <c r="B256" s="12" t="n">
        <v>2022</v>
      </c>
      <c r="C256" s="4" t="s">
        <v>71</v>
      </c>
      <c r="D256" s="4" t="s">
        <v>5685</v>
      </c>
      <c r="E256" s="4" t="s">
        <v>3412</v>
      </c>
      <c r="F256" s="4" t="s">
        <v>3413</v>
      </c>
      <c r="G256" s="4" t="s">
        <v>107</v>
      </c>
      <c r="H256" s="4" t="s">
        <v>2123</v>
      </c>
      <c r="I256" s="4" t="s">
        <v>71</v>
      </c>
      <c r="J256" s="4" t="s">
        <v>2001</v>
      </c>
      <c r="K256" s="4" t="s">
        <v>2002</v>
      </c>
      <c r="L256" s="4" t="s">
        <v>1391</v>
      </c>
      <c r="M256" s="14" t="n">
        <f aca="false">SUMIFS(PSUT_LARGA!$K$2:$K$618,PSUT_LARGA!$B$2:$B$618,$B256,PSUT_LARGA!$H$2:$H$618,$L256,PSUT_LARGA!$E$2:$E$618,$J256,PSUT_LARGA!$F$2:$F$618,$K256,PSUT_LARGA!$G$2:$G$618,$I256,PSUT_LARGA!$I$2:$I$618,$H256)</f>
        <v>4486.1334</v>
      </c>
      <c r="N256" s="14" t="n">
        <f aca="false">IF($H256="TRANSFORMACION_REFINERIA",$M256*INDEX(PARAMETROS!$C$27:$C$33,MATCH($B256,PARAMETROS!$A$27:$A$33,0)),$M256)</f>
        <v>4486.1334</v>
      </c>
      <c r="O256" s="4" t="inlineStr">
        <is>
          <t>COMB_KER</t>
        </is>
      </c>
      <c r="P256" s="4" t="s">
        <v>3352</v>
      </c>
      <c r="Q256" s="11" t="n">
        <f aca="false">MIN($B256,2022)</f>
        <v>2022</v>
      </c>
      <c r="R256" s="8" t="str">
        <f>IF(COUNT($S256:$U256)=0,"NO",IF($O256="CERO_DIRECTO","CAL",IF(OR($B256&gt;$Q256,COUNTIFS(DATOS_MODELO!$C$2:$C$3672,$Q256&amp;"|"&amp;$E256&amp;"|"&amp;$O256&amp;"|*",DATOS_MODELO!$F$2:$F$3672,"PRX",DATOS_MODELO!$AA$2:$AA$3672,"&lt;&gt;")&gt;0),"PRX",IF(COUNTIFS(DATOS_MODELO!$C$2:$C$3672,$Q256&amp;"|"&amp;$E256&amp;"|"&amp;$O256&amp;"|*",DATOS_MODELO!$F$2:$F$3672,"CAL",DATOS_MODELO!$AA$2:$AA$3672,"&lt;&gt;")&gt;0,"CAL","OBS"))))</f>
        <v>PRX</v>
      </c>
      <c r="S256" s="14">
        <f>IF(COUNTIFS(DATOS_MODELO!$C$2:$C$3672,$Q256&amp;"|"&amp;$E256&amp;"|"&amp;$O256&amp;"|CO2",DATOS_MODELO!$AA$2:$AA$3672,"&lt;&gt;")=0,"",INDEX(DATOS_MODELO!$AA$2:$AA$3672,MATCH($Q256&amp;"|"&amp;$E256&amp;"|"&amp;$O256&amp;"|CO2",DATOS_MODELO!$C$2:$C$3672,0)))</f>
        <v>71500.0</v>
      </c>
      <c r="T256" s="14">
        <f>IF(COUNTIFS(DATOS_MODELO!$C$2:$C$3672,$Q256&amp;"|"&amp;$E256&amp;"|"&amp;$O256&amp;"|CH4",DATOS_MODELO!$AA$2:$AA$3672,"&lt;&gt;")=0,"",INDEX(DATOS_MODELO!$AA$2:$AA$3672,MATCH($Q256&amp;"|"&amp;$E256&amp;"|"&amp;$O256&amp;"|CH4",DATOS_MODELO!$C$2:$C$3672,0)))</f>
        <v>0.5</v>
      </c>
      <c r="U256" s="14">
        <f>IF(COUNTIFS(DATOS_MODELO!$C$2:$C$3672,$Q256&amp;"|"&amp;$E256&amp;"|"&amp;$O256&amp;"|N2O",DATOS_MODELO!$AA$2:$AA$3672,"&lt;&gt;")=0,"",INDEX(DATOS_MODELO!$AA$2:$AA$3672,MATCH($Q256&amp;"|"&amp;$E256&amp;"|"&amp;$O256&amp;"|N2O",DATOS_MODELO!$C$2:$C$3672,0)))</f>
        <v>2.0</v>
      </c>
      <c r="V256" s="8"/>
      <c r="W256" s="14"/>
      <c r="X256" s="14">
        <f>IF($P256="BIOGENICO",0,IF(ISNUMBER($S256),$N256*$S256/PARAMETROS!$B$8,""))</f>
        <v>320.7585381</v>
      </c>
      <c r="Y256" s="14">
        <f>IF($P256="BIOGENICO",IF(ISNUMBER($S256),$N256*$S256/PARAMETROS!$B$8,""),0)</f>
        <v>0.0</v>
      </c>
      <c r="Z256" s="14">
        <f>IF(ISNUMBER($T256),$N256*$T256/PARAMETROS!$B$8,"")</f>
        <v>0.0022430667</v>
      </c>
      <c r="AA256" s="14">
        <f>IF(ISNUMBER($U256),$N256*$U256/PARAMETROS!$B$8,"")</f>
        <v>0.0089722668</v>
      </c>
      <c r="AB256" s="14">
        <f>IF(COUNT($X256,$Z256,$AA256)=0,"",SUM($X256,IF(ISNUMBER($Z256),$Z256*PARAMETROS!$B$9,0),IF(ISNUMBER($AA256),$AA256*PARAMETROS!$B$10,0)))</f>
        <v>323.1989946696</v>
      </c>
      <c r="AC256" s="4" t="s">
        <v>1990</v>
      </c>
      <c r="AD256" s="4"/>
      <c r="AE256" s="4" t="s">
        <v>5690</v>
      </c>
      <c r="AF256" s="4" t="s">
        <v>170</v>
      </c>
      <c r="AG256" s="4" t="inlineStr">
        <is>
          <t>IPCC_2006_GL</t>
        </is>
      </c>
      <c r="AH256" s="4" t="inlineStr">
        <is>
          <t>Origen de factores: CO2: IPCC_2006_GL [PRX; Volumen 2, capítulo 3, tabla 3.6.4, p. 3.64; fila Jet Kerosene; gas CO2]; CH4: IPCC_2006_GL [PRX; Volumen 2, capítulo 3, tabla 3.6.5, p. 3.64; fila All fuels; gas CH4]; N2O: IPCC_2006_GL [PRX; Volumen 2, capítulo 3, tabla 3.6.5, p. 3.64; fila All fuels; gas N2O].</t>
        </is>
      </c>
    </row>
    <row r="257" customFormat="false" ht="15" hidden="false" customHeight="false" outlineLevel="0" collapsed="false">
      <c r="A257" s="4" t="s">
        <v>6015</v>
      </c>
      <c r="B257" s="12" t="n">
        <v>2022</v>
      </c>
      <c r="C257" s="4" t="s">
        <v>65</v>
      </c>
      <c r="D257" s="4" t="s">
        <v>5734</v>
      </c>
      <c r="E257" s="4" t="s">
        <v>4024</v>
      </c>
      <c r="F257" s="4" t="s">
        <v>5735</v>
      </c>
      <c r="G257" s="4"/>
      <c r="H257" s="4" t="s">
        <v>5736</v>
      </c>
      <c r="I257" s="4" t="s">
        <v>65</v>
      </c>
      <c r="J257" s="4"/>
      <c r="K257" s="4"/>
      <c r="L257" s="4" t="s">
        <v>6016</v>
      </c>
      <c r="M257" s="14"/>
      <c r="N257" s="14"/>
      <c r="O257" s="4" t="s">
        <v>4011</v>
      </c>
      <c r="P257" s="4" t="s">
        <v>4019</v>
      </c>
      <c r="Q257" s="11" t="n">
        <f aca="false">MIN($B257,2022)</f>
        <v>2022</v>
      </c>
      <c r="R257" s="4" t="s">
        <v>169</v>
      </c>
      <c r="S257" s="14"/>
      <c r="T257" s="14"/>
      <c r="U257" s="14"/>
      <c r="V257" s="4" t="s">
        <v>4018</v>
      </c>
      <c r="W257" s="14">
        <f>SUMIFS(DATOS_MODELO!$AD$2:$AD$3672,DATOS_MODELO!$A$2:$A$3672,"EMISION_AGRICULTURA_OBS",DATOS_MODELO!$D$2:$D$3672,$B257,DATOS_MODELO!$W$2:$W$3672,"3.A",DATOS_MODELO!$Z$2:$Z$3672,$V257)</f>
        <v>173.940421</v>
      </c>
      <c r="X257" s="14" t="n">
        <f aca="false">IF($V257="CO2",$W257,0)</f>
        <v>0</v>
      </c>
      <c r="Y257" s="14" t="n">
        <f aca="false">0</f>
        <v>0</v>
      </c>
      <c r="Z257" s="14" t="n">
        <f aca="false">IF($V257="CH4",$W257,0)</f>
        <v>173.940421</v>
      </c>
      <c r="AA257" s="14" t="n">
        <f aca="false">IF($V257="N2O",$W257,0)</f>
        <v>0</v>
      </c>
      <c r="AB257" s="14" t="n">
        <f aca="false">$X257+$Z257*PARAMETROS!$B$9+$AA257*PARAMETROS!$B$10</f>
        <v>4870.331788</v>
      </c>
      <c r="AC257" s="4" t="s">
        <v>169</v>
      </c>
      <c r="AD257" s="4"/>
      <c r="AE257" s="4" t="s">
        <v>5736</v>
      </c>
      <c r="AF257" s="4" t="s">
        <v>3999</v>
      </c>
      <c r="AG257" s="4" t="s">
        <v>3999</v>
      </c>
      <c r="AH257" s="4"/>
    </row>
    <row r="258" customFormat="false" ht="15" hidden="false" customHeight="false" outlineLevel="0" collapsed="false">
      <c r="A258" s="4" t="s">
        <v>6017</v>
      </c>
      <c r="B258" s="12" t="n">
        <v>2022</v>
      </c>
      <c r="C258" s="4" t="s">
        <v>65</v>
      </c>
      <c r="D258" s="4" t="s">
        <v>5734</v>
      </c>
      <c r="E258" s="4" t="s">
        <v>4030</v>
      </c>
      <c r="F258" s="4" t="s">
        <v>5739</v>
      </c>
      <c r="G258" s="4"/>
      <c r="H258" s="4" t="s">
        <v>5736</v>
      </c>
      <c r="I258" s="4" t="s">
        <v>65</v>
      </c>
      <c r="J258" s="4"/>
      <c r="K258" s="4"/>
      <c r="L258" s="4" t="s">
        <v>6018</v>
      </c>
      <c r="M258" s="14"/>
      <c r="N258" s="14"/>
      <c r="O258" s="4" t="s">
        <v>4011</v>
      </c>
      <c r="P258" s="4" t="s">
        <v>4019</v>
      </c>
      <c r="Q258" s="11" t="n">
        <f aca="false">MIN($B258,2022)</f>
        <v>2022</v>
      </c>
      <c r="R258" s="4" t="s">
        <v>169</v>
      </c>
      <c r="S258" s="14"/>
      <c r="T258" s="14"/>
      <c r="U258" s="14"/>
      <c r="V258" s="4" t="s">
        <v>4018</v>
      </c>
      <c r="W258" s="14">
        <f>SUMIFS(DATOS_MODELO!$AD$2:$AD$3672,DATOS_MODELO!$A$2:$A$3672,"EMISION_AGRICULTURA_OBS",DATOS_MODELO!$D$2:$D$3672,$B258,DATOS_MODELO!$W$2:$W$3672,"3.B",DATOS_MODELO!$Z$2:$Z$3672,$V258)</f>
        <v>6.16906602</v>
      </c>
      <c r="X258" s="14" t="n">
        <f aca="false">IF($V258="CO2",$W258,0)</f>
        <v>0</v>
      </c>
      <c r="Y258" s="14" t="n">
        <f aca="false">0</f>
        <v>0</v>
      </c>
      <c r="Z258" s="14" t="n">
        <f aca="false">IF($V258="CH4",$W258,0)</f>
        <v>6.16906602</v>
      </c>
      <c r="AA258" s="14" t="n">
        <f aca="false">IF($V258="N2O",$W258,0)</f>
        <v>0</v>
      </c>
      <c r="AB258" s="14" t="n">
        <f aca="false">$X258+$Z258*PARAMETROS!$B$9+$AA258*PARAMETROS!$B$10</f>
        <v>172.73384856</v>
      </c>
      <c r="AC258" s="4" t="s">
        <v>169</v>
      </c>
      <c r="AD258" s="4"/>
      <c r="AE258" s="4" t="s">
        <v>5736</v>
      </c>
      <c r="AF258" s="4" t="s">
        <v>3999</v>
      </c>
      <c r="AG258" s="4" t="s">
        <v>3999</v>
      </c>
      <c r="AH258" s="4"/>
    </row>
    <row r="259" customFormat="false" ht="15" hidden="false" customHeight="false" outlineLevel="0" collapsed="false">
      <c r="A259" s="4" t="s">
        <v>6019</v>
      </c>
      <c r="B259" s="12" t="n">
        <v>2022</v>
      </c>
      <c r="C259" s="4" t="s">
        <v>65</v>
      </c>
      <c r="D259" s="4" t="s">
        <v>5734</v>
      </c>
      <c r="E259" s="4" t="s">
        <v>4030</v>
      </c>
      <c r="F259" s="4" t="s">
        <v>5739</v>
      </c>
      <c r="G259" s="4"/>
      <c r="H259" s="4" t="s">
        <v>5736</v>
      </c>
      <c r="I259" s="4" t="s">
        <v>65</v>
      </c>
      <c r="J259" s="4"/>
      <c r="K259" s="4"/>
      <c r="L259" s="4" t="s">
        <v>6020</v>
      </c>
      <c r="M259" s="14"/>
      <c r="N259" s="14"/>
      <c r="O259" s="4" t="s">
        <v>4011</v>
      </c>
      <c r="P259" s="4" t="s">
        <v>4019</v>
      </c>
      <c r="Q259" s="11" t="n">
        <f aca="false">MIN($B259,2022)</f>
        <v>2022</v>
      </c>
      <c r="R259" s="4" t="s">
        <v>169</v>
      </c>
      <c r="S259" s="14"/>
      <c r="T259" s="14"/>
      <c r="U259" s="14"/>
      <c r="V259" s="4" t="s">
        <v>4048</v>
      </c>
      <c r="W259" s="14">
        <f>SUMIFS(DATOS_MODELO!$AD$2:$AD$3672,DATOS_MODELO!$A$2:$A$3672,"EMISION_AGRICULTURA_OBS",DATOS_MODELO!$D$2:$D$3672,$B259,DATOS_MODELO!$W$2:$W$3672,"3.B",DATOS_MODELO!$Z$2:$Z$3672,$V259)</f>
        <v>0.90690116254556</v>
      </c>
      <c r="X259" s="14" t="n">
        <f aca="false">IF($V259="CO2",$W259,0)</f>
        <v>0</v>
      </c>
      <c r="Y259" s="14" t="n">
        <f aca="false">0</f>
        <v>0</v>
      </c>
      <c r="Z259" s="14" t="n">
        <f aca="false">IF($V259="CH4",$W259,0)</f>
        <v>0</v>
      </c>
      <c r="AA259" s="14" t="n">
        <f aca="false">IF($V259="N2O",$W259,0)</f>
        <v>0.90690116254556</v>
      </c>
      <c r="AB259" s="14" t="n">
        <f aca="false">$X259+$Z259*PARAMETROS!$B$9+$AA259*PARAMETROS!$B$10</f>
        <v>240.328808074573</v>
      </c>
      <c r="AC259" s="4" t="s">
        <v>169</v>
      </c>
      <c r="AD259" s="4"/>
      <c r="AE259" s="4" t="s">
        <v>5736</v>
      </c>
      <c r="AF259" s="4" t="s">
        <v>3999</v>
      </c>
      <c r="AG259" s="4" t="s">
        <v>3999</v>
      </c>
      <c r="AH259" s="4"/>
    </row>
    <row r="260" customFormat="false" ht="15" hidden="false" customHeight="false" outlineLevel="0" collapsed="false">
      <c r="A260" s="4" t="s">
        <v>6021</v>
      </c>
      <c r="B260" s="12" t="n">
        <v>2022</v>
      </c>
      <c r="C260" s="4" t="s">
        <v>65</v>
      </c>
      <c r="D260" s="4" t="s">
        <v>5734</v>
      </c>
      <c r="E260" s="4" t="s">
        <v>4036</v>
      </c>
      <c r="F260" s="4" t="s">
        <v>5744</v>
      </c>
      <c r="G260" s="4"/>
      <c r="H260" s="4" t="s">
        <v>5736</v>
      </c>
      <c r="I260" s="4" t="s">
        <v>65</v>
      </c>
      <c r="J260" s="4"/>
      <c r="K260" s="4"/>
      <c r="L260" s="4" t="s">
        <v>6022</v>
      </c>
      <c r="M260" s="14"/>
      <c r="N260" s="14"/>
      <c r="O260" s="4" t="s">
        <v>4011</v>
      </c>
      <c r="P260" s="4" t="s">
        <v>4019</v>
      </c>
      <c r="Q260" s="11" t="n">
        <f aca="false">MIN($B260,2022)</f>
        <v>2022</v>
      </c>
      <c r="R260" s="4" t="s">
        <v>169</v>
      </c>
      <c r="S260" s="14"/>
      <c r="T260" s="14"/>
      <c r="U260" s="14"/>
      <c r="V260" s="4" t="s">
        <v>4018</v>
      </c>
      <c r="W260" s="14">
        <f>SUMIFS(DATOS_MODELO!$AD$2:$AD$3672,DATOS_MODELO!$A$2:$A$3672,"EMISION_AGRICULTURA_OBS",DATOS_MODELO!$D$2:$D$3672,$B260,DATOS_MODELO!$W$2:$W$3672,"3.C",DATOS_MODELO!$Z$2:$Z$3672,$V260)</f>
        <v>0.83685504903</v>
      </c>
      <c r="X260" s="14" t="n">
        <f aca="false">IF($V260="CO2",$W260,0)</f>
        <v>0</v>
      </c>
      <c r="Y260" s="14" t="n">
        <f aca="false">0</f>
        <v>0</v>
      </c>
      <c r="Z260" s="14" t="n">
        <f aca="false">IF($V260="CH4",$W260,0)</f>
        <v>0.83685504903</v>
      </c>
      <c r="AA260" s="14" t="n">
        <f aca="false">IF($V260="N2O",$W260,0)</f>
        <v>0</v>
      </c>
      <c r="AB260" s="14" t="n">
        <f aca="false">$X260+$Z260*PARAMETROS!$B$9+$AA260*PARAMETROS!$B$10</f>
        <v>23.43194137284</v>
      </c>
      <c r="AC260" s="4" t="s">
        <v>169</v>
      </c>
      <c r="AD260" s="4"/>
      <c r="AE260" s="4" t="s">
        <v>5736</v>
      </c>
      <c r="AF260" s="4" t="s">
        <v>3999</v>
      </c>
      <c r="AG260" s="4" t="s">
        <v>3999</v>
      </c>
      <c r="AH260" s="4"/>
    </row>
    <row r="261" customFormat="false" ht="15" hidden="false" customHeight="false" outlineLevel="0" collapsed="false">
      <c r="A261" s="4" t="s">
        <v>6023</v>
      </c>
      <c r="B261" s="12" t="n">
        <v>2022</v>
      </c>
      <c r="C261" s="4" t="s">
        <v>65</v>
      </c>
      <c r="D261" s="4" t="s">
        <v>5734</v>
      </c>
      <c r="E261" s="4" t="s">
        <v>4057</v>
      </c>
      <c r="F261" s="4" t="s">
        <v>5747</v>
      </c>
      <c r="G261" s="4"/>
      <c r="H261" s="4" t="s">
        <v>5736</v>
      </c>
      <c r="I261" s="4" t="s">
        <v>65</v>
      </c>
      <c r="J261" s="4"/>
      <c r="K261" s="4"/>
      <c r="L261" s="4" t="s">
        <v>6024</v>
      </c>
      <c r="M261" s="14"/>
      <c r="N261" s="14"/>
      <c r="O261" s="4" t="s">
        <v>4011</v>
      </c>
      <c r="P261" s="4" t="s">
        <v>4019</v>
      </c>
      <c r="Q261" s="11" t="n">
        <f aca="false">MIN($B261,2022)</f>
        <v>2022</v>
      </c>
      <c r="R261" s="4" t="s">
        <v>169</v>
      </c>
      <c r="S261" s="14"/>
      <c r="T261" s="14"/>
      <c r="U261" s="14"/>
      <c r="V261" s="4" t="s">
        <v>4048</v>
      </c>
      <c r="W261" s="14">
        <f>SUMIFS(DATOS_MODELO!$AD$2:$AD$3672,DATOS_MODELO!$A$2:$A$3672,"EMISION_AGRICULTURA_OBS",DATOS_MODELO!$D$2:$D$3672,$B261,DATOS_MODELO!$W$2:$W$3672,"3.D",DATOS_MODELO!$Z$2:$Z$3672,$V261)</f>
        <v>3.22792973582623</v>
      </c>
      <c r="X261" s="14" t="n">
        <f aca="false">IF($V261="CO2",$W261,0)</f>
        <v>0</v>
      </c>
      <c r="Y261" s="14" t="n">
        <f aca="false">0</f>
        <v>0</v>
      </c>
      <c r="Z261" s="14" t="n">
        <f aca="false">IF($V261="CH4",$W261,0)</f>
        <v>0</v>
      </c>
      <c r="AA261" s="14" t="n">
        <f aca="false">IF($V261="N2O",$W261,0)</f>
        <v>3.22792973582623</v>
      </c>
      <c r="AB261" s="14" t="n">
        <f aca="false">$X261+$Z261*PARAMETROS!$B$9+$AA261*PARAMETROS!$B$10</f>
        <v>855.40137999395</v>
      </c>
      <c r="AC261" s="4" t="s">
        <v>169</v>
      </c>
      <c r="AD261" s="4"/>
      <c r="AE261" s="4" t="s">
        <v>5736</v>
      </c>
      <c r="AF261" s="4" t="s">
        <v>3999</v>
      </c>
      <c r="AG261" s="4" t="s">
        <v>3999</v>
      </c>
      <c r="AH261" s="4"/>
    </row>
    <row r="262" customFormat="false" ht="15" hidden="false" customHeight="false" outlineLevel="0" collapsed="false">
      <c r="A262" s="4" t="s">
        <v>6025</v>
      </c>
      <c r="B262" s="12" t="n">
        <v>2022</v>
      </c>
      <c r="C262" s="4" t="s">
        <v>65</v>
      </c>
      <c r="D262" s="4" t="s">
        <v>5734</v>
      </c>
      <c r="E262" s="4" t="s">
        <v>4042</v>
      </c>
      <c r="F262" s="4" t="s">
        <v>5750</v>
      </c>
      <c r="G262" s="4"/>
      <c r="H262" s="4" t="s">
        <v>5736</v>
      </c>
      <c r="I262" s="4" t="s">
        <v>65</v>
      </c>
      <c r="J262" s="4"/>
      <c r="K262" s="4"/>
      <c r="L262" s="4" t="s">
        <v>6026</v>
      </c>
      <c r="M262" s="14"/>
      <c r="N262" s="14"/>
      <c r="O262" s="4" t="s">
        <v>4011</v>
      </c>
      <c r="P262" s="4" t="s">
        <v>4019</v>
      </c>
      <c r="Q262" s="11" t="n">
        <f aca="false">MIN($B262,2022)</f>
        <v>2022</v>
      </c>
      <c r="R262" s="4" t="s">
        <v>169</v>
      </c>
      <c r="S262" s="14"/>
      <c r="T262" s="14"/>
      <c r="U262" s="14"/>
      <c r="V262" s="4" t="s">
        <v>4018</v>
      </c>
      <c r="W262" s="14">
        <f>SUMIFS(DATOS_MODELO!$AD$2:$AD$3672,DATOS_MODELO!$A$2:$A$3672,"EMISION_AGRICULTURA_OBS",DATOS_MODELO!$D$2:$D$3672,$B262,DATOS_MODELO!$W$2:$W$3672,"3.E",DATOS_MODELO!$Z$2:$Z$3672,$V262)</f>
        <v>4.385229784857</v>
      </c>
      <c r="X262" s="14" t="n">
        <f aca="false">IF($V262="CO2",$W262,0)</f>
        <v>0</v>
      </c>
      <c r="Y262" s="14" t="n">
        <f aca="false">0</f>
        <v>0</v>
      </c>
      <c r="Z262" s="14" t="n">
        <f aca="false">IF($V262="CH4",$W262,0)</f>
        <v>4.385229784857</v>
      </c>
      <c r="AA262" s="14" t="n">
        <f aca="false">IF($V262="N2O",$W262,0)</f>
        <v>0</v>
      </c>
      <c r="AB262" s="14" t="n">
        <f aca="false">$X262+$Z262*PARAMETROS!$B$9+$AA262*PARAMETROS!$B$10</f>
        <v>122.786433975996</v>
      </c>
      <c r="AC262" s="4" t="s">
        <v>169</v>
      </c>
      <c r="AD262" s="4"/>
      <c r="AE262" s="4" t="s">
        <v>5736</v>
      </c>
      <c r="AF262" s="4" t="s">
        <v>3999</v>
      </c>
      <c r="AG262" s="4" t="s">
        <v>3999</v>
      </c>
      <c r="AH262" s="4"/>
    </row>
    <row r="263" customFormat="false" ht="15" hidden="false" customHeight="false" outlineLevel="0" collapsed="false">
      <c r="A263" s="4" t="s">
        <v>6027</v>
      </c>
      <c r="B263" s="12" t="n">
        <v>2022</v>
      </c>
      <c r="C263" s="4" t="s">
        <v>65</v>
      </c>
      <c r="D263" s="4" t="s">
        <v>5734</v>
      </c>
      <c r="E263" s="4" t="s">
        <v>4042</v>
      </c>
      <c r="F263" s="4" t="s">
        <v>5750</v>
      </c>
      <c r="G263" s="4"/>
      <c r="H263" s="4" t="s">
        <v>5736</v>
      </c>
      <c r="I263" s="4" t="s">
        <v>65</v>
      </c>
      <c r="J263" s="4"/>
      <c r="K263" s="4"/>
      <c r="L263" s="4" t="s">
        <v>6028</v>
      </c>
      <c r="M263" s="14"/>
      <c r="N263" s="14"/>
      <c r="O263" s="4" t="s">
        <v>4011</v>
      </c>
      <c r="P263" s="4" t="s">
        <v>4019</v>
      </c>
      <c r="Q263" s="11" t="n">
        <f aca="false">MIN($B263,2022)</f>
        <v>2022</v>
      </c>
      <c r="R263" s="4" t="s">
        <v>169</v>
      </c>
      <c r="S263" s="14"/>
      <c r="T263" s="14"/>
      <c r="U263" s="14"/>
      <c r="V263" s="4" t="s">
        <v>4048</v>
      </c>
      <c r="W263" s="14">
        <f>SUMIFS(DATOS_MODELO!$AD$2:$AD$3672,DATOS_MODELO!$A$2:$A$3672,"EMISION_AGRICULTURA_OBS",DATOS_MODELO!$D$2:$D$3672,$B263,DATOS_MODELO!$W$2:$W$3672,"3.E",DATOS_MODELO!$Z$2:$Z$3672,$V263)</f>
        <v>0.4003905455739</v>
      </c>
      <c r="X263" s="14" t="n">
        <f aca="false">IF($V263="CO2",$W263,0)</f>
        <v>0</v>
      </c>
      <c r="Y263" s="14" t="n">
        <f aca="false">0</f>
        <v>0</v>
      </c>
      <c r="Z263" s="14" t="n">
        <f aca="false">IF($V263="CH4",$W263,0)</f>
        <v>0</v>
      </c>
      <c r="AA263" s="14" t="n">
        <f aca="false">IF($V263="N2O",$W263,0)</f>
        <v>0.4003905455739</v>
      </c>
      <c r="AB263" s="14" t="n">
        <f aca="false">$X263+$Z263*PARAMETROS!$B$9+$AA263*PARAMETROS!$B$10</f>
        <v>106.103494577084</v>
      </c>
      <c r="AC263" s="4" t="s">
        <v>169</v>
      </c>
      <c r="AD263" s="4"/>
      <c r="AE263" s="4" t="s">
        <v>5736</v>
      </c>
      <c r="AF263" s="4" t="s">
        <v>3999</v>
      </c>
      <c r="AG263" s="4" t="s">
        <v>3999</v>
      </c>
      <c r="AH263" s="4"/>
    </row>
    <row r="264" customFormat="false" ht="23.85" hidden="false" customHeight="false" outlineLevel="0" collapsed="false">
      <c r="A264" s="4" t="s">
        <v>6029</v>
      </c>
      <c r="B264" s="12" t="n">
        <v>2022</v>
      </c>
      <c r="C264" s="4" t="s">
        <v>65</v>
      </c>
      <c r="D264" s="4" t="s">
        <v>5734</v>
      </c>
      <c r="E264" s="4" t="s">
        <v>5755</v>
      </c>
      <c r="F264" s="4" t="s">
        <v>5756</v>
      </c>
      <c r="G264" s="4"/>
      <c r="H264" s="4" t="s">
        <v>5757</v>
      </c>
      <c r="I264" s="4" t="s">
        <v>65</v>
      </c>
      <c r="J264" s="4"/>
      <c r="K264" s="4"/>
      <c r="L264" s="4" t="s">
        <v>6030</v>
      </c>
      <c r="M264" s="14"/>
      <c r="N264" s="14"/>
      <c r="O264" s="4" t="s">
        <v>4011</v>
      </c>
      <c r="P264" s="4" t="s">
        <v>4019</v>
      </c>
      <c r="Q264" s="11" t="n">
        <f aca="false">MIN($B264,2022)</f>
        <v>2022</v>
      </c>
      <c r="R264" s="4" t="s">
        <v>1990</v>
      </c>
      <c r="S264" s="14"/>
      <c r="T264" s="14"/>
      <c r="U264" s="14"/>
      <c r="V264" s="4" t="s">
        <v>4018</v>
      </c>
      <c r="W264" s="14">
        <f>SUMIFS(DATOS_MODELO!$AD$2:$AD$3672,DATOS_MODELO!$A$2:$A$3672,"EMISION_AGRICULTURA_OBS",DATOS_MODELO!$D$2:$D$3672,$B264,DATOS_MODELO!$W$2:$W$3672,"3",DATOS_MODELO!$Z$2:$Z$3672,$V264)-SUMIFS(DATOS_MODELO!$AD$2:$AD$3672,DATOS_MODELO!$A$2:$A$3672,"EMISION_AGRICULTURA_OBS",DATOS_MODELO!$D$2:$D$3672,$B264,DATOS_MODELO!$W$2:$W$3672,"3.A",DATOS_MODELO!$Z$2:$Z$3672,$V264)-SUMIFS(DATOS_MODELO!$AD$2:$AD$3672,DATOS_MODELO!$A$2:$A$3672,"EMISION_AGRICULTURA_OBS",DATOS_MODELO!$D$2:$D$3672,$B264,DATOS_MODELO!$W$2:$W$3672,"3.B",DATOS_MODELO!$Z$2:$Z$3672,$V264)-SUMIFS(DATOS_MODELO!$AD$2:$AD$3672,DATOS_MODELO!$A$2:$A$3672,"EMISION_AGRICULTURA_OBS",DATOS_MODELO!$D$2:$D$3672,$B264,DATOS_MODELO!$W$2:$W$3672,"3.C",DATOS_MODELO!$Z$2:$Z$3672,$V264)-SUMIFS(DATOS_MODELO!$AD$2:$AD$3672,DATOS_MODELO!$A$2:$A$3672,"EMISION_AGRICULTURA_OBS",DATOS_MODELO!$D$2:$D$3672,$B264,DATOS_MODELO!$W$2:$W$3672,"3.D",DATOS_MODELO!$Z$2:$Z$3672,$V264)-SUMIFS(DATOS_MODELO!$AD$2:$AD$3672,DATOS_MODELO!$A$2:$A$3672,"EMISION_AGRICULTURA_OBS",DATOS_MODELO!$D$2:$D$3672,$B264,DATOS_MODELO!$W$2:$W$3672,"3.E",DATOS_MODELO!$Z$2:$Z$3672,$V264)</f>
        <v>4.44306595293898</v>
      </c>
      <c r="X264" s="14" t="n">
        <f aca="false">IF($V264="CO2",$W264,0)</f>
        <v>0</v>
      </c>
      <c r="Y264" s="14" t="n">
        <f aca="false">0</f>
        <v>0</v>
      </c>
      <c r="Z264" s="14" t="n">
        <f aca="false">IF($V264="CH4",$W264,0)</f>
        <v>4.44306595293898</v>
      </c>
      <c r="AA264" s="14" t="n">
        <f aca="false">IF($V264="N2O",$W264,0)</f>
        <v>0</v>
      </c>
      <c r="AB264" s="14" t="n">
        <f aca="false">$X264+$Z264*PARAMETROS!$B$9+$AA264*PARAMETROS!$B$10</f>
        <v>124.405846682291</v>
      </c>
      <c r="AC264" s="4" t="s">
        <v>1990</v>
      </c>
      <c r="AD264" s="4"/>
      <c r="AE264" s="4" t="s">
        <v>5757</v>
      </c>
      <c r="AF264" s="4" t="s">
        <v>3999</v>
      </c>
      <c r="AG264" s="4" t="s">
        <v>3999</v>
      </c>
      <c r="AH264" s="4"/>
    </row>
    <row r="265" customFormat="false" ht="23.85" hidden="false" customHeight="false" outlineLevel="0" collapsed="false">
      <c r="A265" s="4" t="s">
        <v>6031</v>
      </c>
      <c r="B265" s="12" t="n">
        <v>2022</v>
      </c>
      <c r="C265" s="4" t="s">
        <v>65</v>
      </c>
      <c r="D265" s="4" t="s">
        <v>5734</v>
      </c>
      <c r="E265" s="4" t="s">
        <v>5755</v>
      </c>
      <c r="F265" s="4" t="s">
        <v>5756</v>
      </c>
      <c r="G265" s="4"/>
      <c r="H265" s="4" t="s">
        <v>5757</v>
      </c>
      <c r="I265" s="4" t="s">
        <v>65</v>
      </c>
      <c r="J265" s="4"/>
      <c r="K265" s="4"/>
      <c r="L265" s="4" t="s">
        <v>6032</v>
      </c>
      <c r="M265" s="14"/>
      <c r="N265" s="14"/>
      <c r="O265" s="4" t="s">
        <v>4011</v>
      </c>
      <c r="P265" s="4" t="s">
        <v>4019</v>
      </c>
      <c r="Q265" s="11" t="n">
        <f aca="false">MIN($B265,2022)</f>
        <v>2022</v>
      </c>
      <c r="R265" s="4" t="s">
        <v>1990</v>
      </c>
      <c r="S265" s="14"/>
      <c r="T265" s="14"/>
      <c r="U265" s="14"/>
      <c r="V265" s="4" t="s">
        <v>4048</v>
      </c>
      <c r="W265" s="14">
        <f>SUMIFS(DATOS_MODELO!$AD$2:$AD$3672,DATOS_MODELO!$A$2:$A$3672,"EMISION_AGRICULTURA_OBS",DATOS_MODELO!$D$2:$D$3672,$B265,DATOS_MODELO!$W$2:$W$3672,"3",DATOS_MODELO!$Z$2:$Z$3672,$V265)-SUMIFS(DATOS_MODELO!$AD$2:$AD$3672,DATOS_MODELO!$A$2:$A$3672,"EMISION_AGRICULTURA_OBS",DATOS_MODELO!$D$2:$D$3672,$B265,DATOS_MODELO!$W$2:$W$3672,"3.A",DATOS_MODELO!$Z$2:$Z$3672,$V265)-SUMIFS(DATOS_MODELO!$AD$2:$AD$3672,DATOS_MODELO!$A$2:$A$3672,"EMISION_AGRICULTURA_OBS",DATOS_MODELO!$D$2:$D$3672,$B265,DATOS_MODELO!$W$2:$W$3672,"3.B",DATOS_MODELO!$Z$2:$Z$3672,$V265)-SUMIFS(DATOS_MODELO!$AD$2:$AD$3672,DATOS_MODELO!$A$2:$A$3672,"EMISION_AGRICULTURA_OBS",DATOS_MODELO!$D$2:$D$3672,$B265,DATOS_MODELO!$W$2:$W$3672,"3.C",DATOS_MODELO!$Z$2:$Z$3672,$V265)-SUMIFS(DATOS_MODELO!$AD$2:$AD$3672,DATOS_MODELO!$A$2:$A$3672,"EMISION_AGRICULTURA_OBS",DATOS_MODELO!$D$2:$D$3672,$B265,DATOS_MODELO!$W$2:$W$3672,"3.D",DATOS_MODELO!$Z$2:$Z$3672,$V265)-SUMIFS(DATOS_MODELO!$AD$2:$AD$3672,DATOS_MODELO!$A$2:$A$3672,"EMISION_AGRICULTURA_OBS",DATOS_MODELO!$D$2:$D$3672,$B265,DATOS_MODELO!$W$2:$W$3672,"3.E",DATOS_MODELO!$Z$2:$Z$3672,$V265)</f>
        <v>0.1151905987799</v>
      </c>
      <c r="X265" s="14" t="n">
        <f aca="false">IF($V265="CO2",$W265,0)</f>
        <v>0</v>
      </c>
      <c r="Y265" s="14" t="n">
        <f aca="false">0</f>
        <v>0</v>
      </c>
      <c r="Z265" s="14" t="n">
        <f aca="false">IF($V265="CH4",$W265,0)</f>
        <v>0</v>
      </c>
      <c r="AA265" s="14" t="n">
        <f aca="false">IF($V265="N2O",$W265,0)</f>
        <v>0.1151905987799</v>
      </c>
      <c r="AB265" s="14" t="n">
        <f aca="false">$X265+$Z265*PARAMETROS!$B$9+$AA265*PARAMETROS!$B$10</f>
        <v>30.5255086766736</v>
      </c>
      <c r="AC265" s="4" t="s">
        <v>1990</v>
      </c>
      <c r="AD265" s="4"/>
      <c r="AE265" s="4" t="s">
        <v>5757</v>
      </c>
      <c r="AF265" s="4" t="s">
        <v>3999</v>
      </c>
      <c r="AG265" s="4" t="s">
        <v>3999</v>
      </c>
      <c r="AH265" s="4"/>
    </row>
    <row r="266" customFormat="false" ht="15" hidden="false" customHeight="false" outlineLevel="0" collapsed="false">
      <c r="A266" s="4" t="s">
        <v>6033</v>
      </c>
      <c r="B266" s="12" t="n">
        <v>2022</v>
      </c>
      <c r="C266" s="4" t="s">
        <v>65</v>
      </c>
      <c r="D266" s="4" t="s">
        <v>5734</v>
      </c>
      <c r="E266" s="4" t="s">
        <v>5762</v>
      </c>
      <c r="F266" s="4" t="s">
        <v>5763</v>
      </c>
      <c r="G266" s="4"/>
      <c r="H266" s="4" t="s">
        <v>5686</v>
      </c>
      <c r="I266" s="4" t="s">
        <v>65</v>
      </c>
      <c r="J266" s="4"/>
      <c r="K266" s="4"/>
      <c r="L266" s="4" t="s">
        <v>6034</v>
      </c>
      <c r="M266" s="14"/>
      <c r="N266" s="14"/>
      <c r="O266" s="4" t="s">
        <v>3349</v>
      </c>
      <c r="P266" s="4" t="s">
        <v>4019</v>
      </c>
      <c r="Q266" s="11" t="n">
        <f aca="false">MIN($B266,2022)</f>
        <v>2022</v>
      </c>
      <c r="R266" s="4" t="s">
        <v>3349</v>
      </c>
      <c r="S266" s="14"/>
      <c r="T266" s="14"/>
      <c r="U266" s="14"/>
      <c r="V266" s="4" t="s">
        <v>3349</v>
      </c>
      <c r="W266" s="14"/>
      <c r="X266" s="14"/>
      <c r="Y266" s="14"/>
      <c r="Z266" s="14"/>
      <c r="AA266" s="14"/>
      <c r="AB266" s="14"/>
      <c r="AC266" s="4" t="s">
        <v>3349</v>
      </c>
      <c r="AD266" s="4" t="s">
        <v>3349</v>
      </c>
      <c r="AE266" s="4" t="s">
        <v>5686</v>
      </c>
      <c r="AF266" s="4" t="s">
        <v>3999</v>
      </c>
      <c r="AG266" s="4"/>
      <c r="AH266" s="4"/>
    </row>
    <row r="267" customFormat="false" ht="15" hidden="false" customHeight="false" outlineLevel="0" collapsed="false">
      <c r="A267" s="4" t="s">
        <v>6035</v>
      </c>
      <c r="B267" s="12" t="n">
        <v>2022</v>
      </c>
      <c r="C267" s="4" t="s">
        <v>65</v>
      </c>
      <c r="D267" s="4" t="s">
        <v>5734</v>
      </c>
      <c r="E267" s="4" t="s">
        <v>5766</v>
      </c>
      <c r="F267" s="4" t="s">
        <v>5767</v>
      </c>
      <c r="G267" s="4"/>
      <c r="H267" s="4" t="s">
        <v>5736</v>
      </c>
      <c r="I267" s="4" t="s">
        <v>65</v>
      </c>
      <c r="J267" s="4"/>
      <c r="K267" s="4"/>
      <c r="L267" s="4" t="s">
        <v>6036</v>
      </c>
      <c r="M267" s="14"/>
      <c r="N267" s="14"/>
      <c r="O267" s="4" t="s">
        <v>4011</v>
      </c>
      <c r="P267" s="4" t="s">
        <v>3352</v>
      </c>
      <c r="Q267" s="11" t="n">
        <f aca="false">MIN($B267,2022)</f>
        <v>2022</v>
      </c>
      <c r="R267" s="4" t="s">
        <v>169</v>
      </c>
      <c r="S267" s="14"/>
      <c r="T267" s="14"/>
      <c r="U267" s="14"/>
      <c r="V267" s="4" t="s">
        <v>4012</v>
      </c>
      <c r="W267" s="14">
        <f>SUMIFS(DATOS_MODELO!$AD$2:$AD$3672,DATOS_MODELO!$A$2:$A$3672,"EMISION_AGRICULTURA_OBS",DATOS_MODELO!$D$2:$D$3672,$B267,DATOS_MODELO!$W$2:$W$3672,"3",DATOS_MODELO!$Z$2:$Z$3672,$V267)</f>
        <v>32.3869824</v>
      </c>
      <c r="X267" s="14" t="n">
        <f aca="false">IF($V267="CO2",$W267,0)</f>
        <v>32.3869824</v>
      </c>
      <c r="Y267" s="14" t="n">
        <f aca="false">0</f>
        <v>0</v>
      </c>
      <c r="Z267" s="14" t="n">
        <f aca="false">IF($V267="CH4",$W267,0)</f>
        <v>0</v>
      </c>
      <c r="AA267" s="14" t="n">
        <f aca="false">IF($V267="N2O",$W267,0)</f>
        <v>0</v>
      </c>
      <c r="AB267" s="14" t="n">
        <f aca="false">$X267+$Z267*PARAMETROS!$B$9+$AA267*PARAMETROS!$B$10</f>
        <v>32.3869824</v>
      </c>
      <c r="AC267" s="4" t="s">
        <v>169</v>
      </c>
      <c r="AD267" s="4"/>
      <c r="AE267" s="4" t="s">
        <v>5736</v>
      </c>
      <c r="AF267" s="4" t="s">
        <v>3999</v>
      </c>
      <c r="AG267" s="4" t="s">
        <v>3999</v>
      </c>
      <c r="AH267" s="4"/>
    </row>
    <row r="268" customFormat="false" ht="15" hidden="false" customHeight="false" outlineLevel="0" collapsed="false">
      <c r="A268" s="4" t="s">
        <v>6037</v>
      </c>
      <c r="B268" s="12" t="n">
        <v>2022</v>
      </c>
      <c r="C268" s="4" t="s">
        <v>65</v>
      </c>
      <c r="D268" s="4" t="s">
        <v>5734</v>
      </c>
      <c r="E268" s="4" t="s">
        <v>5770</v>
      </c>
      <c r="F268" s="4" t="s">
        <v>5771</v>
      </c>
      <c r="G268" s="4"/>
      <c r="H268" s="4" t="s">
        <v>5686</v>
      </c>
      <c r="I268" s="4" t="s">
        <v>65</v>
      </c>
      <c r="J268" s="4"/>
      <c r="K268" s="4"/>
      <c r="L268" s="4" t="s">
        <v>6038</v>
      </c>
      <c r="M268" s="14"/>
      <c r="N268" s="14"/>
      <c r="O268" s="4" t="s">
        <v>3349</v>
      </c>
      <c r="P268" s="4" t="s">
        <v>4019</v>
      </c>
      <c r="Q268" s="11" t="n">
        <f aca="false">MIN($B268,2022)</f>
        <v>2022</v>
      </c>
      <c r="R268" s="4" t="s">
        <v>3349</v>
      </c>
      <c r="S268" s="14"/>
      <c r="T268" s="14"/>
      <c r="U268" s="14"/>
      <c r="V268" s="4" t="s">
        <v>3349</v>
      </c>
      <c r="W268" s="14"/>
      <c r="X268" s="14"/>
      <c r="Y268" s="14"/>
      <c r="Z268" s="14"/>
      <c r="AA268" s="14"/>
      <c r="AB268" s="14"/>
      <c r="AC268" s="4" t="s">
        <v>3349</v>
      </c>
      <c r="AD268" s="4" t="s">
        <v>3349</v>
      </c>
      <c r="AE268" s="4" t="s">
        <v>5686</v>
      </c>
      <c r="AF268" s="4" t="s">
        <v>3999</v>
      </c>
      <c r="AG268" s="4"/>
      <c r="AH268" s="4"/>
    </row>
    <row r="269" customFormat="false" ht="15" hidden="false" customHeight="false" outlineLevel="0" collapsed="false">
      <c r="A269" s="4" t="s">
        <v>6039</v>
      </c>
      <c r="B269" s="12" t="n">
        <v>2022</v>
      </c>
      <c r="C269" s="4" t="s">
        <v>65</v>
      </c>
      <c r="D269" s="4" t="s">
        <v>5734</v>
      </c>
      <c r="E269" s="4" t="s">
        <v>5774</v>
      </c>
      <c r="F269" s="4" t="s">
        <v>5775</v>
      </c>
      <c r="G269" s="4"/>
      <c r="H269" s="4" t="s">
        <v>5686</v>
      </c>
      <c r="I269" s="4" t="s">
        <v>65</v>
      </c>
      <c r="J269" s="4"/>
      <c r="K269" s="4"/>
      <c r="L269" s="4" t="s">
        <v>6040</v>
      </c>
      <c r="M269" s="14"/>
      <c r="N269" s="14"/>
      <c r="O269" s="4" t="s">
        <v>3349</v>
      </c>
      <c r="P269" s="4" t="s">
        <v>4019</v>
      </c>
      <c r="Q269" s="11" t="n">
        <f aca="false">MIN($B269,2022)</f>
        <v>2022</v>
      </c>
      <c r="R269" s="4" t="s">
        <v>3349</v>
      </c>
      <c r="S269" s="14"/>
      <c r="T269" s="14"/>
      <c r="U269" s="14"/>
      <c r="V269" s="4" t="s">
        <v>3349</v>
      </c>
      <c r="W269" s="14"/>
      <c r="X269" s="14"/>
      <c r="Y269" s="14"/>
      <c r="Z269" s="14"/>
      <c r="AA269" s="14"/>
      <c r="AB269" s="14"/>
      <c r="AC269" s="4" t="s">
        <v>3349</v>
      </c>
      <c r="AD269" s="4" t="s">
        <v>3349</v>
      </c>
      <c r="AE269" s="4" t="s">
        <v>5686</v>
      </c>
      <c r="AF269" s="4" t="s">
        <v>3999</v>
      </c>
      <c r="AG269" s="4"/>
      <c r="AH269" s="4"/>
    </row>
    <row r="270" customFormat="false" ht="15" hidden="false" customHeight="false" outlineLevel="0" collapsed="false">
      <c r="A270" s="4" t="s">
        <v>6041</v>
      </c>
      <c r="B270" s="12" t="n">
        <v>2023</v>
      </c>
      <c r="C270" s="4" t="s">
        <v>65</v>
      </c>
      <c r="D270" s="4" t="s">
        <v>5685</v>
      </c>
      <c r="E270" s="4" t="s">
        <v>3377</v>
      </c>
      <c r="F270" s="4" t="s">
        <v>3378</v>
      </c>
      <c r="G270" s="4" t="s">
        <v>109</v>
      </c>
      <c r="H270" s="4" t="s">
        <v>2070</v>
      </c>
      <c r="I270" s="4" t="s">
        <v>65</v>
      </c>
      <c r="J270" s="4" t="s">
        <v>1994</v>
      </c>
      <c r="K270" s="4" t="s">
        <v>1995</v>
      </c>
      <c r="L270" s="4" t="s">
        <v>1523</v>
      </c>
      <c r="M270" s="14" t="n">
        <f aca="false">SUMIFS(PSUT_LARGA!$K$2:$K$618,PSUT_LARGA!$B$2:$B$618,$B270,PSUT_LARGA!$H$2:$H$618,$L270,PSUT_LARGA!$E$2:$E$618,$J270,PSUT_LARGA!$F$2:$F$618,$K270,PSUT_LARGA!$G$2:$G$618,$I270,PSUT_LARGA!$I$2:$I$618,$H270)</f>
        <v>332578.2278</v>
      </c>
      <c r="N270" s="14" t="n">
        <f aca="false">IF($H270="TRANSFORMACION_REFINERIA",$M270*INDEX(PARAMETROS!$C$27:$C$33,MATCH($B270,PARAMETROS!$A$27:$A$33,0)),$M270)</f>
        <v>332578.2278</v>
      </c>
      <c r="O270" s="4" t="s">
        <v>3349</v>
      </c>
      <c r="P270" s="4" t="s">
        <v>3344</v>
      </c>
      <c r="Q270" s="11" t="n">
        <f aca="false">MIN($B270,2022)</f>
        <v>2022</v>
      </c>
      <c r="R270" s="8" t="str">
        <f aca="false">IF(COUNT($S270:$U270)=0,"NO",IF($O270="CERO_DIRECTO","CAL",IF($B270&lt;=2022,"OBS","PRX")))</f>
        <v>NO</v>
      </c>
      <c r="S270" s="14"/>
      <c r="T270" s="14"/>
      <c r="U270" s="14"/>
      <c r="V270" s="8"/>
      <c r="W270" s="14"/>
      <c r="X270" s="14"/>
      <c r="Y270" s="14"/>
      <c r="Z270" s="14"/>
      <c r="AA270" s="14"/>
      <c r="AB270" s="14"/>
      <c r="AC270" s="4" t="s">
        <v>3349</v>
      </c>
      <c r="AD270" s="4"/>
      <c r="AE270" s="4" t="s">
        <v>5686</v>
      </c>
      <c r="AF270" s="4" t="s">
        <v>170</v>
      </c>
      <c r="AG270" s="4" t="s">
        <v>3999</v>
      </c>
      <c r="AH270" s="4"/>
    </row>
    <row r="271" customFormat="false" ht="15" hidden="false" customHeight="false" outlineLevel="0" collapsed="false">
      <c r="A271" s="4" t="s">
        <v>6042</v>
      </c>
      <c r="B271" s="12" t="n">
        <v>2023</v>
      </c>
      <c r="C271" s="4" t="s">
        <v>66</v>
      </c>
      <c r="D271" s="4" t="s">
        <v>5688</v>
      </c>
      <c r="E271" s="4" t="s">
        <v>3350</v>
      </c>
      <c r="F271" s="4" t="s">
        <v>3351</v>
      </c>
      <c r="G271" s="4" t="s">
        <v>76</v>
      </c>
      <c r="H271" s="4" t="s">
        <v>2019</v>
      </c>
      <c r="I271" s="4" t="s">
        <v>64</v>
      </c>
      <c r="J271" s="4" t="s">
        <v>1994</v>
      </c>
      <c r="K271" s="4" t="s">
        <v>65</v>
      </c>
      <c r="L271" s="4" t="s">
        <v>1453</v>
      </c>
      <c r="M271" s="14" t="n">
        <f aca="false">SUMIFS(PSUT_LARGA!$K$2:$K$618,PSUT_LARGA!$B$2:$B$618,$B271,PSUT_LARGA!$H$2:$H$618,$L271,PSUT_LARGA!$E$2:$E$618,$J271,PSUT_LARGA!$F$2:$F$618,$K271,PSUT_LARGA!$G$2:$G$618,$I271,PSUT_LARGA!$I$2:$I$618,$H271)</f>
        <v>0</v>
      </c>
      <c r="N271" s="14" t="n">
        <f aca="false">IF($H271="TRANSFORMACION_REFINERIA",$M271*INDEX(PARAMETROS!$C$27:$C$33,MATCH($B271,PARAMETROS!$A$27:$A$33,0)),$M271)</f>
        <v>0</v>
      </c>
      <c r="O271" s="4" t="s">
        <v>3349</v>
      </c>
      <c r="P271" s="4" t="s">
        <v>3352</v>
      </c>
      <c r="Q271" s="11" t="n">
        <f aca="false">MIN($B271,2022)</f>
        <v>2022</v>
      </c>
      <c r="R271" s="8" t="str">
        <f aca="false">IF(COUNT($S271:$U271)=0,"NO",IF($O271="CERO_DIRECTO","CAL",IF($B271&lt;=2022,"OBS","PRX")))</f>
        <v>NO</v>
      </c>
      <c r="S271" s="14"/>
      <c r="T271" s="14"/>
      <c r="U271" s="14"/>
      <c r="V271" s="8"/>
      <c r="W271" s="14"/>
      <c r="X271" s="14"/>
      <c r="Y271" s="14"/>
      <c r="Z271" s="14"/>
      <c r="AA271" s="14"/>
      <c r="AB271" s="14"/>
      <c r="AC271" s="4" t="s">
        <v>3349</v>
      </c>
      <c r="AD271" s="4"/>
      <c r="AE271" s="4" t="s">
        <v>5686</v>
      </c>
      <c r="AF271" s="4" t="s">
        <v>170</v>
      </c>
      <c r="AG271" s="4" t="s">
        <v>3999</v>
      </c>
      <c r="AH271" s="4"/>
    </row>
    <row r="272" customFormat="false" ht="15" hidden="false" customHeight="false" outlineLevel="0" collapsed="false">
      <c r="A272" s="4" t="s">
        <v>6043</v>
      </c>
      <c r="B272" s="12" t="n">
        <v>2023</v>
      </c>
      <c r="C272" s="4" t="s">
        <v>66</v>
      </c>
      <c r="D272" s="4" t="s">
        <v>5688</v>
      </c>
      <c r="E272" s="4" t="s">
        <v>3367</v>
      </c>
      <c r="F272" s="4" t="s">
        <v>3368</v>
      </c>
      <c r="G272" s="4" t="s">
        <v>82</v>
      </c>
      <c r="H272" s="4" t="s">
        <v>2019</v>
      </c>
      <c r="I272" s="4" t="s">
        <v>64</v>
      </c>
      <c r="J272" s="4" t="s">
        <v>1994</v>
      </c>
      <c r="K272" s="4" t="s">
        <v>65</v>
      </c>
      <c r="L272" s="4" t="s">
        <v>1495</v>
      </c>
      <c r="M272" s="14" t="n">
        <f aca="false">SUMIFS(PSUT_LARGA!$K$2:$K$618,PSUT_LARGA!$B$2:$B$618,$B272,PSUT_LARGA!$H$2:$H$618,$L272,PSUT_LARGA!$E$2:$E$618,$J272,PSUT_LARGA!$F$2:$F$618,$K272,PSUT_LARGA!$G$2:$G$618,$I272,PSUT_LARGA!$I$2:$I$618,$H272)</f>
        <v>0</v>
      </c>
      <c r="N272" s="14" t="n">
        <f aca="false">IF($H272="TRANSFORMACION_REFINERIA",$M272*INDEX(PARAMETROS!$C$27:$C$33,MATCH($B272,PARAMETROS!$A$27:$A$33,0)),$M272)</f>
        <v>0</v>
      </c>
      <c r="O272" s="4" t="s">
        <v>3349</v>
      </c>
      <c r="P272" s="4" t="s">
        <v>3352</v>
      </c>
      <c r="Q272" s="11" t="n">
        <f aca="false">MIN($B272,2022)</f>
        <v>2022</v>
      </c>
      <c r="R272" s="8" t="str">
        <f aca="false">IF(COUNT($S272:$U272)=0,"NO",IF($O272="CERO_DIRECTO","CAL",IF($B272&lt;=2022,"OBS","PRX")))</f>
        <v>NO</v>
      </c>
      <c r="S272" s="14"/>
      <c r="T272" s="14"/>
      <c r="U272" s="14"/>
      <c r="V272" s="8"/>
      <c r="W272" s="14"/>
      <c r="X272" s="14"/>
      <c r="Y272" s="14"/>
      <c r="Z272" s="14"/>
      <c r="AA272" s="14"/>
      <c r="AB272" s="14"/>
      <c r="AC272" s="4" t="s">
        <v>3349</v>
      </c>
      <c r="AD272" s="4"/>
      <c r="AE272" s="4" t="s">
        <v>5686</v>
      </c>
      <c r="AF272" s="4" t="s">
        <v>170</v>
      </c>
      <c r="AG272" s="4" t="s">
        <v>3999</v>
      </c>
      <c r="AH272" s="4"/>
    </row>
    <row r="273" customFormat="false" ht="15" hidden="false" customHeight="false" outlineLevel="0" collapsed="false">
      <c r="A273" s="4" t="s">
        <v>6044</v>
      </c>
      <c r="B273" s="12" t="n">
        <v>2023</v>
      </c>
      <c r="C273" s="4" t="s">
        <v>66</v>
      </c>
      <c r="D273" s="4" t="s">
        <v>5688</v>
      </c>
      <c r="E273" s="4" t="s">
        <v>3386</v>
      </c>
      <c r="F273" s="4" t="s">
        <v>3387</v>
      </c>
      <c r="G273" s="4" t="s">
        <v>86</v>
      </c>
      <c r="H273" s="4" t="s">
        <v>2019</v>
      </c>
      <c r="I273" s="4" t="s">
        <v>64</v>
      </c>
      <c r="J273" s="4" t="s">
        <v>1994</v>
      </c>
      <c r="K273" s="4" t="s">
        <v>65</v>
      </c>
      <c r="L273" s="4" t="s">
        <v>1537</v>
      </c>
      <c r="M273" s="14" t="n">
        <f aca="false">SUMIFS(PSUT_LARGA!$K$2:$K$618,PSUT_LARGA!$B$2:$B$618,$B273,PSUT_LARGA!$H$2:$H$618,$L273,PSUT_LARGA!$E$2:$E$618,$J273,PSUT_LARGA!$F$2:$F$618,$K273,PSUT_LARGA!$G$2:$G$618,$I273,PSUT_LARGA!$I$2:$I$618,$H273)</f>
        <v>10510.2319</v>
      </c>
      <c r="N273" s="14" t="n">
        <f aca="false">IF($H273="TRANSFORMACION_REFINERIA",$M273*INDEX(PARAMETROS!$C$27:$C$33,MATCH($B273,PARAMETROS!$A$27:$A$33,0)),$M273)</f>
        <v>10510.2319</v>
      </c>
      <c r="O273" s="4" t="s">
        <v>3388</v>
      </c>
      <c r="P273" s="4" t="s">
        <v>3352</v>
      </c>
      <c r="Q273" s="11" t="n">
        <f aca="false">MIN($B273,2022)</f>
        <v>2022</v>
      </c>
      <c r="R273" s="8" t="str">
        <f>IF(COUNT($S273:$U273)=0,"NO",IF($O273="CERO_DIRECTO","CAL",IF(OR($B273&gt;$Q273,COUNTIFS(DATOS_MODELO!$C$2:$C$3672,$Q273&amp;"|"&amp;$E273&amp;"|"&amp;$O273&amp;"|*",DATOS_MODELO!$F$2:$F$3672,"PRX",DATOS_MODELO!$AA$2:$AA$3672,"&lt;&gt;")&gt;0),"PRX",IF(COUNTIFS(DATOS_MODELO!$C$2:$C$3672,$Q273&amp;"|"&amp;$E273&amp;"|"&amp;$O273&amp;"|*",DATOS_MODELO!$F$2:$F$3672,"CAL",DATOS_MODELO!$AA$2:$AA$3672,"&lt;&gt;")&gt;0,"CAL","OBS"))))</f>
        <v>PRX</v>
      </c>
      <c r="S273" s="14">
        <f>IF(COUNTIFS(DATOS_MODELO!$C$2:$C$3672,$Q273&amp;"|"&amp;$E273&amp;"|"&amp;$O273&amp;"|CO2",DATOS_MODELO!$AA$2:$AA$3672,"&lt;&gt;")=0,"",INDEX(DATOS_MODELO!$AA$2:$AA$3672,MATCH($Q273&amp;"|"&amp;$E273&amp;"|"&amp;$O273&amp;"|CO2",DATOS_MODELO!$C$2:$C$3672,0)))</f>
        <v>0.00676909343060816</v>
      </c>
      <c r="T273" s="14">
        <f>IF(COUNTIFS(DATOS_MODELO!$C$2:$C$3672,$Q273&amp;"|"&amp;$E273&amp;"|"&amp;$O273&amp;"|CH4",DATOS_MODELO!$AA$2:$AA$3672,"&lt;&gt;")=0,"",INDEX(DATOS_MODELO!$AA$2:$AA$3672,MATCH($Q273&amp;"|"&amp;$E273&amp;"|"&amp;$O273&amp;"|CH4",DATOS_MODELO!$C$2:$C$3672,0)))</f>
        <v>0.0928778003966022</v>
      </c>
      <c r="U273" s="14"/>
      <c r="V273" s="8"/>
      <c r="W273" s="14"/>
      <c r="X273" s="14">
        <f>IF($P273="BIOGENICO",0,IF(ISNUMBER($S273),$N273*$S273/PARAMETROS!$B$8,""))</f>
        <v>7.11447417084583e-05</v>
      </c>
      <c r="Y273" s="14">
        <f>IF($P273="BIOGENICO",IF(ISNUMBER($S273),$N273*$S273/PARAMETROS!$B$8,""),0)</f>
        <v>0.0</v>
      </c>
      <c r="Z273" s="14">
        <f>IF(ISNUMBER($T273),$N273*$T273/PARAMETROS!$B$8,"")</f>
        <v>0.0009761672205302</v>
      </c>
      <c r="AA273" s="14" t="str">
        <f>IF($U273="","",$N273*$U273/PARAMETROS!$B$8)</f>
        <v/>
      </c>
      <c r="AB273" s="14">
        <f>IF($AA273="",$X273+$Z273*PARAMETROS!$B$9,$X273+$Z273*PARAMETROS!$B$9+$AA273*PARAMETROS!$B$10)</f>
        <v>0.0274038269165541</v>
      </c>
      <c r="AC273" s="4" t="s">
        <v>1990</v>
      </c>
      <c r="AD273" s="4"/>
      <c r="AE273" s="4" t="s">
        <v>5690</v>
      </c>
      <c r="AF273" s="4" t="s">
        <v>170</v>
      </c>
      <c r="AG273" s="4" t="s">
        <v>3999</v>
      </c>
      <c r="AH273" s="4" t="inlineStr">
        <is>
          <t>CO2e parcial: N2O sin factor numérico; el total incluye solo los gases cuantificados.</t>
        </is>
      </c>
    </row>
    <row r="274" customFormat="false" ht="15" hidden="false" customHeight="false" outlineLevel="0" collapsed="false">
      <c r="A274" s="4" t="s">
        <v>6045</v>
      </c>
      <c r="B274" s="12" t="n">
        <v>2023</v>
      </c>
      <c r="C274" s="4" t="s">
        <v>67</v>
      </c>
      <c r="D274" s="4" t="s">
        <v>5685</v>
      </c>
      <c r="E274" s="4" t="s">
        <v>3341</v>
      </c>
      <c r="F274" s="4" t="s">
        <v>3342</v>
      </c>
      <c r="G274" s="4" t="s">
        <v>91</v>
      </c>
      <c r="H274" s="4" t="s">
        <v>2003</v>
      </c>
      <c r="I274" s="4" t="s">
        <v>67</v>
      </c>
      <c r="J274" s="4" t="s">
        <v>2001</v>
      </c>
      <c r="K274" s="4" t="s">
        <v>2002</v>
      </c>
      <c r="L274" s="4" t="s">
        <v>1430</v>
      </c>
      <c r="M274" s="14" t="n">
        <f aca="false">SUMIFS(PSUT_LARGA!$K$2:$K$618,PSUT_LARGA!$B$2:$B$618,$B274,PSUT_LARGA!$H$2:$H$618,$L274,PSUT_LARGA!$E$2:$E$618,$J274,PSUT_LARGA!$F$2:$F$618,$K274,PSUT_LARGA!$G$2:$G$618,$I274,PSUT_LARGA!$I$2:$I$618,$H274)</f>
        <v>58056.7155</v>
      </c>
      <c r="N274" s="14" t="n">
        <f aca="false">IF($H274="TRANSFORMACION_REFINERIA",$M274*INDEX(PARAMETROS!$C$27:$C$33,MATCH($B274,PARAMETROS!$A$27:$A$33,0)),$M274)</f>
        <v>58056.7155</v>
      </c>
      <c r="O274" s="4" t="inlineStr">
        <is>
          <t>COMB_BCANA</t>
        </is>
      </c>
      <c r="P274" s="4" t="s">
        <v>3344</v>
      </c>
      <c r="Q274" s="11" t="n">
        <f aca="false">MIN($B274,2022)</f>
        <v>2022</v>
      </c>
      <c r="R274" s="8" t="str">
        <f>IF(COUNT($S274:$U274)=0,"NO",IF($O274="CERO_DIRECTO","CAL",IF(OR($B274&gt;$Q274,COUNTIFS(DATOS_MODELO!$C$2:$C$3672,$Q274&amp;"|"&amp;$E274&amp;"|"&amp;$O274&amp;"|*",DATOS_MODELO!$F$2:$F$3672,"PRX",DATOS_MODELO!$AA$2:$AA$3672,"&lt;&gt;")&gt;0),"PRX",IF(COUNTIFS(DATOS_MODELO!$C$2:$C$3672,$Q274&amp;"|"&amp;$E274&amp;"|"&amp;$O274&amp;"|*",DATOS_MODELO!$F$2:$F$3672,"CAL",DATOS_MODELO!$AA$2:$AA$3672,"&lt;&gt;")&gt;0,"CAL","OBS"))))</f>
        <v>PRX</v>
      </c>
      <c r="S274" s="14">
        <f>IF(COUNTIFS(DATOS_MODELO!$C$2:$C$3672,$Q274&amp;"|"&amp;$E274&amp;"|"&amp;$O274&amp;"|CO2",DATOS_MODELO!$AA$2:$AA$3672,"&lt;&gt;")=0,"",INDEX(DATOS_MODELO!$AA$2:$AA$3672,MATCH($Q274&amp;"|"&amp;$E274&amp;"|"&amp;$O274&amp;"|CO2",DATOS_MODELO!$C$2:$C$3672,0)))</f>
        <v>100000.0</v>
      </c>
      <c r="T274" s="14">
        <f>IF(COUNTIFS(DATOS_MODELO!$C$2:$C$3672,$Q274&amp;"|"&amp;$E274&amp;"|"&amp;$O274&amp;"|CH4",DATOS_MODELO!$AA$2:$AA$3672,"&lt;&gt;")=0,"",INDEX(DATOS_MODELO!$AA$2:$AA$3672,MATCH($Q274&amp;"|"&amp;$E274&amp;"|"&amp;$O274&amp;"|CH4",DATOS_MODELO!$C$2:$C$3672,0)))</f>
        <v>30.0</v>
      </c>
      <c r="U274" s="14">
        <f>IF(COUNTIFS(DATOS_MODELO!$C$2:$C$3672,$Q274&amp;"|"&amp;$E274&amp;"|"&amp;$O274&amp;"|N2O",DATOS_MODELO!$AA$2:$AA$3672,"&lt;&gt;")=0,"",INDEX(DATOS_MODELO!$AA$2:$AA$3672,MATCH($Q274&amp;"|"&amp;$E274&amp;"|"&amp;$O274&amp;"|N2O",DATOS_MODELO!$C$2:$C$3672,0)))</f>
        <v>4.0</v>
      </c>
      <c r="V274" s="8"/>
      <c r="W274" s="14"/>
      <c r="X274" s="14">
        <f>IF($P274="BIOGENICO",0,IF(ISNUMBER($S274),$N274*$S274/PARAMETROS!$B$8,""))</f>
        <v>0.0</v>
      </c>
      <c r="Y274" s="14">
        <f>IF($P274="BIOGENICO",IF(ISNUMBER($S274),$N274*$S274/PARAMETROS!$B$8,""),0)</f>
        <v>5805.67155</v>
      </c>
      <c r="Z274" s="14">
        <f>IF(ISNUMBER($T274),$N274*$T274/PARAMETROS!$B$8,"")</f>
        <v>1.741701465</v>
      </c>
      <c r="AA274" s="14">
        <f>IF(ISNUMBER($U274),$N274*$U274/PARAMETROS!$B$8,"")</f>
        <v>0.232226862</v>
      </c>
      <c r="AB274" s="14">
        <f>IF(COUNT($X274,$Z274,$AA274)=0,"",SUM($X274,IF(ISNUMBER($Z274),$Z274*PARAMETROS!$B$9,0),IF(ISNUMBER($AA274),$AA274*PARAMETROS!$B$10,0)))</f>
        <v>110.30775945</v>
      </c>
      <c r="AC274" s="4" t="s">
        <v>1990</v>
      </c>
      <c r="AD274" s="4"/>
      <c r="AE274" s="4" t="s">
        <v>5690</v>
      </c>
      <c r="AF274" s="4" t="s">
        <v>170</v>
      </c>
      <c r="AG274" s="4" t="inlineStr">
        <is>
          <t>MARN_GTM_BTR1_2024</t>
        </is>
      </c>
      <c r="AH274" s="4" t="inlineStr">
        <is>
          <t>Origen de factores: CO2: MARN_GTM_BTR1_2024 [PRX; BTR1 Guatemala 2024, tabla 3.6, p. 48; fila Otra biomasa sólida primaria; gas CO2]; CH4: MARN_GTM_BTR1_2024 [PRX; BTR1 Guatemala 2024, tabla 3.17, p. 57; fila Otra biomasa sólida primaria; gas CH4]; N2O: MARN_GTM_BTR1_2024 [PRX; BTR1 Guatemala 2024, tabla 3.17, p. 57; fila Otra biomasa sólida primaria; gas N2O].</t>
        </is>
      </c>
    </row>
    <row r="275" customFormat="false" ht="15" hidden="false" customHeight="false" outlineLevel="0" collapsed="false">
      <c r="A275" s="4" t="s">
        <v>6046</v>
      </c>
      <c r="B275" s="12" t="n">
        <v>2023</v>
      </c>
      <c r="C275" s="4" t="s">
        <v>67</v>
      </c>
      <c r="D275" s="4" t="s">
        <v>5685</v>
      </c>
      <c r="E275" s="4" t="s">
        <v>3341</v>
      </c>
      <c r="F275" s="4" t="s">
        <v>3342</v>
      </c>
      <c r="G275" s="4" t="s">
        <v>91</v>
      </c>
      <c r="H275" s="4" t="s">
        <v>2008</v>
      </c>
      <c r="I275" s="4" t="s">
        <v>67</v>
      </c>
      <c r="J275" s="4" t="s">
        <v>2001</v>
      </c>
      <c r="K275" s="4" t="s">
        <v>2002</v>
      </c>
      <c r="L275" s="4" t="s">
        <v>1431</v>
      </c>
      <c r="M275" s="14" t="n">
        <f aca="false">SUMIFS(PSUT_LARGA!$K$2:$K$618,PSUT_LARGA!$B$2:$B$618,$B275,PSUT_LARGA!$H$2:$H$618,$L275,PSUT_LARGA!$E$2:$E$618,$J275,PSUT_LARGA!$F$2:$F$618,$K275,PSUT_LARGA!$G$2:$G$618,$I275,PSUT_LARGA!$I$2:$I$618,$H275)</f>
        <v>31011.8046</v>
      </c>
      <c r="N275" s="14" t="n">
        <f aca="false">IF($H275="TRANSFORMACION_REFINERIA",$M275*INDEX(PARAMETROS!$C$27:$C$33,MATCH($B275,PARAMETROS!$A$27:$A$33,0)),$M275)</f>
        <v>31011.8046</v>
      </c>
      <c r="O275" s="4" t="inlineStr">
        <is>
          <t>COMB_BCANA</t>
        </is>
      </c>
      <c r="P275" s="4" t="s">
        <v>3344</v>
      </c>
      <c r="Q275" s="11" t="n">
        <f aca="false">MIN($B275,2022)</f>
        <v>2022</v>
      </c>
      <c r="R275" s="8" t="str">
        <f>IF(COUNT($S275:$U275)=0,"NO",IF($O275="CERO_DIRECTO","CAL",IF(OR($B275&gt;$Q275,COUNTIFS(DATOS_MODELO!$C$2:$C$3672,$Q275&amp;"|"&amp;$E275&amp;"|"&amp;$O275&amp;"|*",DATOS_MODELO!$F$2:$F$3672,"PRX",DATOS_MODELO!$AA$2:$AA$3672,"&lt;&gt;")&gt;0),"PRX",IF(COUNTIFS(DATOS_MODELO!$C$2:$C$3672,$Q275&amp;"|"&amp;$E275&amp;"|"&amp;$O275&amp;"|*",DATOS_MODELO!$F$2:$F$3672,"CAL",DATOS_MODELO!$AA$2:$AA$3672,"&lt;&gt;")&gt;0,"CAL","OBS"))))</f>
        <v>PRX</v>
      </c>
      <c r="S275" s="14">
        <f>IF(COUNTIFS(DATOS_MODELO!$C$2:$C$3672,$Q275&amp;"|"&amp;$E275&amp;"|"&amp;$O275&amp;"|CO2",DATOS_MODELO!$AA$2:$AA$3672,"&lt;&gt;")=0,"",INDEX(DATOS_MODELO!$AA$2:$AA$3672,MATCH($Q275&amp;"|"&amp;$E275&amp;"|"&amp;$O275&amp;"|CO2",DATOS_MODELO!$C$2:$C$3672,0)))</f>
        <v>100000.0</v>
      </c>
      <c r="T275" s="14">
        <f>IF(COUNTIFS(DATOS_MODELO!$C$2:$C$3672,$Q275&amp;"|"&amp;$E275&amp;"|"&amp;$O275&amp;"|CH4",DATOS_MODELO!$AA$2:$AA$3672,"&lt;&gt;")=0,"",INDEX(DATOS_MODELO!$AA$2:$AA$3672,MATCH($Q275&amp;"|"&amp;$E275&amp;"|"&amp;$O275&amp;"|CH4",DATOS_MODELO!$C$2:$C$3672,0)))</f>
        <v>30.0</v>
      </c>
      <c r="U275" s="14">
        <f>IF(COUNTIFS(DATOS_MODELO!$C$2:$C$3672,$Q275&amp;"|"&amp;$E275&amp;"|"&amp;$O275&amp;"|N2O",DATOS_MODELO!$AA$2:$AA$3672,"&lt;&gt;")=0,"",INDEX(DATOS_MODELO!$AA$2:$AA$3672,MATCH($Q275&amp;"|"&amp;$E275&amp;"|"&amp;$O275&amp;"|N2O",DATOS_MODELO!$C$2:$C$3672,0)))</f>
        <v>4.0</v>
      </c>
      <c r="V275" s="8"/>
      <c r="W275" s="14"/>
      <c r="X275" s="14">
        <f>IF($P275="BIOGENICO",0,IF(ISNUMBER($S275),$N275*$S275/PARAMETROS!$B$8,""))</f>
        <v>0.0</v>
      </c>
      <c r="Y275" s="14">
        <f>IF($P275="BIOGENICO",IF(ISNUMBER($S275),$N275*$S275/PARAMETROS!$B$8,""),0)</f>
        <v>3101.18046</v>
      </c>
      <c r="Z275" s="14">
        <f>IF(ISNUMBER($T275),$N275*$T275/PARAMETROS!$B$8,"")</f>
        <v>0.930354138</v>
      </c>
      <c r="AA275" s="14">
        <f>IF(ISNUMBER($U275),$N275*$U275/PARAMETROS!$B$8,"")</f>
        <v>0.1240472184</v>
      </c>
      <c r="AB275" s="14">
        <f>IF(COUNT($X275,$Z275,$AA275)=0,"",SUM($X275,IF(ISNUMBER($Z275),$Z275*PARAMETROS!$B$9,0),IF(ISNUMBER($AA275),$AA275*PARAMETROS!$B$10,0)))</f>
        <v>58.92242874</v>
      </c>
      <c r="AC275" s="4" t="s">
        <v>1990</v>
      </c>
      <c r="AD275" s="4"/>
      <c r="AE275" s="4" t="s">
        <v>5690</v>
      </c>
      <c r="AF275" s="4" t="s">
        <v>170</v>
      </c>
      <c r="AG275" s="4" t="inlineStr">
        <is>
          <t>MARN_GTM_BTR1_2024</t>
        </is>
      </c>
      <c r="AH275" s="4" t="inlineStr">
        <is>
          <t>Origen de factores: CO2: MARN_GTM_BTR1_2024 [PRX; BTR1 Guatemala 2024, tabla 3.6, p. 48; fila Otra biomasa sólida primaria; gas CO2]; CH4: MARN_GTM_BTR1_2024 [PRX; BTR1 Guatemala 2024, tabla 3.17, p. 57; fila Otra biomasa sólida primaria; gas CH4]; N2O: MARN_GTM_BTR1_2024 [PRX; BTR1 Guatemala 2024, tabla 3.17, p. 57; fila Otra biomasa sólida primaria; gas N2O].</t>
        </is>
      </c>
    </row>
    <row r="276" customFormat="false" ht="15" hidden="false" customHeight="false" outlineLevel="0" collapsed="false">
      <c r="A276" s="4" t="s">
        <v>6047</v>
      </c>
      <c r="B276" s="12" t="n">
        <v>2023</v>
      </c>
      <c r="C276" s="4" t="s">
        <v>67</v>
      </c>
      <c r="D276" s="4" t="s">
        <v>5685</v>
      </c>
      <c r="E276" s="4" t="s">
        <v>3341</v>
      </c>
      <c r="F276" s="4" t="s">
        <v>3342</v>
      </c>
      <c r="G276" s="4" t="s">
        <v>93</v>
      </c>
      <c r="H276" s="4" t="s">
        <v>2003</v>
      </c>
      <c r="I276" s="4" t="s">
        <v>67</v>
      </c>
      <c r="J276" s="4" t="s">
        <v>2001</v>
      </c>
      <c r="K276" s="4" t="s">
        <v>2002</v>
      </c>
      <c r="L276" s="4" t="s">
        <v>1444</v>
      </c>
      <c r="M276" s="14" t="n">
        <f aca="false">SUMIFS(PSUT_LARGA!$K$2:$K$618,PSUT_LARGA!$B$2:$B$618,$B276,PSUT_LARGA!$H$2:$H$618,$L276,PSUT_LARGA!$E$2:$E$618,$J276,PSUT_LARGA!$F$2:$F$618,$K276,PSUT_LARGA!$G$2:$G$618,$I276,PSUT_LARGA!$I$2:$I$618,$H276)</f>
        <v>362.4278</v>
      </c>
      <c r="N276" s="14" t="n">
        <f aca="false">IF($H276="TRANSFORMACION_REFINERIA",$M276*INDEX(PARAMETROS!$C$27:$C$33,MATCH($B276,PARAMETROS!$A$27:$A$33,0)),$M276)</f>
        <v>362.4278</v>
      </c>
      <c r="O276" s="4" t="inlineStr">
        <is>
          <t>COMB_BIOGAS</t>
        </is>
      </c>
      <c r="P276" s="4" t="s">
        <v>3344</v>
      </c>
      <c r="Q276" s="11" t="n">
        <f aca="false">MIN($B276,2022)</f>
        <v>2022</v>
      </c>
      <c r="R276" s="8" t="str">
        <f>IF(COUNT($S276:$U276)=0,"NO",IF($O276="CERO_DIRECTO","CAL",IF(OR($B276&gt;$Q276,COUNTIFS(DATOS_MODELO!$C$2:$C$3672,$Q276&amp;"|"&amp;$E276&amp;"|"&amp;$O276&amp;"|*",DATOS_MODELO!$F$2:$F$3672,"PRX",DATOS_MODELO!$AA$2:$AA$3672,"&lt;&gt;")&gt;0),"PRX",IF(COUNTIFS(DATOS_MODELO!$C$2:$C$3672,$Q276&amp;"|"&amp;$E276&amp;"|"&amp;$O276&amp;"|*",DATOS_MODELO!$F$2:$F$3672,"CAL",DATOS_MODELO!$AA$2:$AA$3672,"&lt;&gt;")&gt;0,"CAL","OBS"))))</f>
        <v>PRX</v>
      </c>
      <c r="S276" s="14">
        <f>IF(COUNTIFS(DATOS_MODELO!$C$2:$C$3672,$Q276&amp;"|"&amp;$E276&amp;"|"&amp;$O276&amp;"|CO2",DATOS_MODELO!$AA$2:$AA$3672,"&lt;&gt;")=0,"",INDEX(DATOS_MODELO!$AA$2:$AA$3672,MATCH($Q276&amp;"|"&amp;$E276&amp;"|"&amp;$O276&amp;"|CO2",DATOS_MODELO!$C$2:$C$3672,0)))</f>
        <v>54600.0</v>
      </c>
      <c r="T276" s="14">
        <f>IF(COUNTIFS(DATOS_MODELO!$C$2:$C$3672,$Q276&amp;"|"&amp;$E276&amp;"|"&amp;$O276&amp;"|CH4",DATOS_MODELO!$AA$2:$AA$3672,"&lt;&gt;")=0,"",INDEX(DATOS_MODELO!$AA$2:$AA$3672,MATCH($Q276&amp;"|"&amp;$E276&amp;"|"&amp;$O276&amp;"|CH4",DATOS_MODELO!$C$2:$C$3672,0)))</f>
        <v>1.0</v>
      </c>
      <c r="U276" s="14">
        <f>IF(COUNTIFS(DATOS_MODELO!$C$2:$C$3672,$Q276&amp;"|"&amp;$E276&amp;"|"&amp;$O276&amp;"|N2O",DATOS_MODELO!$AA$2:$AA$3672,"&lt;&gt;")=0,"",INDEX(DATOS_MODELO!$AA$2:$AA$3672,MATCH($Q276&amp;"|"&amp;$E276&amp;"|"&amp;$O276&amp;"|N2O",DATOS_MODELO!$C$2:$C$3672,0)))</f>
        <v>0.1</v>
      </c>
      <c r="V276" s="8"/>
      <c r="W276" s="14"/>
      <c r="X276" s="14">
        <f>IF($P276="BIOGENICO",0,IF(ISNUMBER($S276),$N276*$S276/PARAMETROS!$B$8,""))</f>
        <v>0.0</v>
      </c>
      <c r="Y276" s="14">
        <f>IF($P276="BIOGENICO",IF(ISNUMBER($S276),$N276*$S276/PARAMETROS!$B$8,""),0)</f>
        <v>19.78855788</v>
      </c>
      <c r="Z276" s="14">
        <f>IF(ISNUMBER($T276),$N276*$T276/PARAMETROS!$B$8,"")</f>
        <v>0.0003624278</v>
      </c>
      <c r="AA276" s="14">
        <f>IF(ISNUMBER($U276),$N276*$U276/PARAMETROS!$B$8,"")</f>
        <v>3.624278e-05</v>
      </c>
      <c r="AB276" s="14">
        <f>IF(COUNT($X276,$Z276,$AA276)=0,"",SUM($X276,IF(ISNUMBER($Z276),$Z276*PARAMETROS!$B$9,0),IF(ISNUMBER($AA276),$AA276*PARAMETROS!$B$10,0)))</f>
        <v>0.0197523151</v>
      </c>
      <c r="AC276" s="4" t="s">
        <v>1990</v>
      </c>
      <c r="AD276" s="4"/>
      <c r="AE276" s="4" t="s">
        <v>5690</v>
      </c>
      <c r="AF276" s="4" t="s">
        <v>170</v>
      </c>
      <c r="AG276" s="4" t="inlineStr">
        <is>
          <t>MARN_GTM_BTR1_2024</t>
        </is>
      </c>
      <c r="AH276" s="4" t="inlineStr">
        <is>
          <t>Origen de factores: CO2: MARN_GTM_BTR1_2024 [PRX; BTR1 Guatemala 2024, tabla 3.6, p. 48; fila Gas de vertedero; gas CO2]; CH4: MARN_GTM_BTR1_2024 [PRX; BTR1 Guatemala 2024, tabla 3.17, p. 57; fila Gas de vertedero; gas CH4]; N2O: MARN_GTM_BTR1_2024 [PRX; BTR1 Guatemala 2024, tabla 3.17, p. 57; fila Gas de vertedero; gas N2O].</t>
        </is>
      </c>
    </row>
    <row r="277" customFormat="false" ht="15" hidden="false" customHeight="false" outlineLevel="0" collapsed="false">
      <c r="A277" s="4" t="s">
        <v>6048</v>
      </c>
      <c r="B277" s="12" t="n">
        <v>2023</v>
      </c>
      <c r="C277" s="4" t="s">
        <v>67</v>
      </c>
      <c r="D277" s="4" t="s">
        <v>5685</v>
      </c>
      <c r="E277" s="4" t="s">
        <v>3341</v>
      </c>
      <c r="F277" s="4" t="s">
        <v>3342</v>
      </c>
      <c r="G277" s="4" t="s">
        <v>76</v>
      </c>
      <c r="H277" s="4" t="s">
        <v>2003</v>
      </c>
      <c r="I277" s="4" t="s">
        <v>67</v>
      </c>
      <c r="J277" s="4" t="s">
        <v>2001</v>
      </c>
      <c r="K277" s="4" t="s">
        <v>2002</v>
      </c>
      <c r="L277" s="4" t="s">
        <v>1458</v>
      </c>
      <c r="M277" s="14" t="n">
        <f aca="false">SUMIFS(PSUT_LARGA!$K$2:$K$618,PSUT_LARGA!$B$2:$B$618,$B277,PSUT_LARGA!$H$2:$H$618,$L277,PSUT_LARGA!$E$2:$E$618,$J277,PSUT_LARGA!$F$2:$F$618,$K277,PSUT_LARGA!$G$2:$G$618,$I277,PSUT_LARGA!$I$2:$I$618,$H277)</f>
        <v>25264.9012</v>
      </c>
      <c r="N277" s="14" t="n">
        <f aca="false">IF($H277="TRANSFORMACION_REFINERIA",$M277*INDEX(PARAMETROS!$C$27:$C$33,MATCH($B277,PARAMETROS!$A$27:$A$33,0)),$M277)</f>
        <v>25264.9012</v>
      </c>
      <c r="O277" s="4" t="inlineStr">
        <is>
          <t>COMB_CRBN</t>
        </is>
      </c>
      <c r="P277" s="4" t="s">
        <v>3352</v>
      </c>
      <c r="Q277" s="11" t="n">
        <f aca="false">MIN($B277,2022)</f>
        <v>2022</v>
      </c>
      <c r="R277" s="8" t="str">
        <f>IF(COUNT($S277:$U277)=0,"NO",IF($O277="CERO_DIRECTO","CAL",IF(OR($B277&gt;$Q277,COUNTIFS(DATOS_MODELO!$C$2:$C$3672,$Q277&amp;"|"&amp;$E277&amp;"|"&amp;$O277&amp;"|*",DATOS_MODELO!$F$2:$F$3672,"PRX",DATOS_MODELO!$AA$2:$AA$3672,"&lt;&gt;")&gt;0),"PRX",IF(COUNTIFS(DATOS_MODELO!$C$2:$C$3672,$Q277&amp;"|"&amp;$E277&amp;"|"&amp;$O277&amp;"|*",DATOS_MODELO!$F$2:$F$3672,"CAL",DATOS_MODELO!$AA$2:$AA$3672,"&lt;&gt;")&gt;0,"CAL","OBS"))))</f>
        <v>PRX</v>
      </c>
      <c r="S277" s="14">
        <f>IF(COUNTIFS(DATOS_MODELO!$C$2:$C$3672,$Q277&amp;"|"&amp;$E277&amp;"|"&amp;$O277&amp;"|CO2",DATOS_MODELO!$AA$2:$AA$3672,"&lt;&gt;")=0,"",INDEX(DATOS_MODELO!$AA$2:$AA$3672,MATCH($Q277&amp;"|"&amp;$E277&amp;"|"&amp;$O277&amp;"|CO2",DATOS_MODELO!$C$2:$C$3672,0)))</f>
        <v>98300.0</v>
      </c>
      <c r="T277" s="14">
        <f>IF(COUNTIFS(DATOS_MODELO!$C$2:$C$3672,$Q277&amp;"|"&amp;$E277&amp;"|"&amp;$O277&amp;"|CH4",DATOS_MODELO!$AA$2:$AA$3672,"&lt;&gt;")=0,"",INDEX(DATOS_MODELO!$AA$2:$AA$3672,MATCH($Q277&amp;"|"&amp;$E277&amp;"|"&amp;$O277&amp;"|CH4",DATOS_MODELO!$C$2:$C$3672,0)))</f>
        <v>1.0</v>
      </c>
      <c r="U277" s="14">
        <f>IF(COUNTIFS(DATOS_MODELO!$C$2:$C$3672,$Q277&amp;"|"&amp;$E277&amp;"|"&amp;$O277&amp;"|N2O",DATOS_MODELO!$AA$2:$AA$3672,"&lt;&gt;")=0,"",INDEX(DATOS_MODELO!$AA$2:$AA$3672,MATCH($Q277&amp;"|"&amp;$E277&amp;"|"&amp;$O277&amp;"|N2O",DATOS_MODELO!$C$2:$C$3672,0)))</f>
        <v>1.5</v>
      </c>
      <c r="V277" s="8"/>
      <c r="W277" s="14"/>
      <c r="X277" s="14">
        <f>IF($P277="BIOGENICO",0,IF(ISNUMBER($S277),$N277*$S277/PARAMETROS!$B$8,""))</f>
        <v>2483.53978796</v>
      </c>
      <c r="Y277" s="14">
        <f>IF($P277="BIOGENICO",IF(ISNUMBER($S277),$N277*$S277/PARAMETROS!$B$8,""),0)</f>
        <v>0.0</v>
      </c>
      <c r="Z277" s="14">
        <f>IF(ISNUMBER($T277),$N277*$T277/PARAMETROS!$B$8,"")</f>
        <v>0.0252649012</v>
      </c>
      <c r="AA277" s="14">
        <f>IF(ISNUMBER($U277),$N277*$U277/PARAMETROS!$B$8,"")</f>
        <v>0.0378973518</v>
      </c>
      <c r="AB277" s="14">
        <f>IF(COUNT($X277,$Z277,$AA277)=0,"",SUM($X277,IF(ISNUMBER($Z277),$Z277*PARAMETROS!$B$9,0),IF(ISNUMBER($AA277),$AA277*PARAMETROS!$B$10,0)))</f>
        <v>2494.2900034206</v>
      </c>
      <c r="AC277" s="4" t="s">
        <v>1990</v>
      </c>
      <c r="AD277" s="4"/>
      <c r="AE277" s="4" t="s">
        <v>5690</v>
      </c>
      <c r="AF277" s="4" t="s">
        <v>170</v>
      </c>
      <c r="AG277" s="4" t="inlineStr">
        <is>
          <t>MARN_GTM_BTR1_2024</t>
        </is>
      </c>
      <c r="AH277" s="4" t="inlineStr">
        <is>
          <t>Origen de factores: CO2: MARN_GTM_BTR1_2024 [PRX; BTR1 Guatemala 2024, tabla 3.6, p. 48; fila Otro carbón bituminoso*; gas CO2]; CH4: MARN_GTM_BTR1_2024 [PRX; BTR1 Guatemala 2024, tabla 3.17, p. 57; fila Otro carbón bituminoso; gas CH4]; N2O: MARN_GTM_BTR1_2024 [PRX; BTR1 Guatemala 2024, tabla 3.17, p. 57; fila Otro carbón bituminoso; gas N2O].</t>
        </is>
      </c>
    </row>
    <row r="278" customFormat="false" ht="15" hidden="false" customHeight="false" outlineLevel="0" collapsed="false">
      <c r="A278" s="4" t="s">
        <v>6049</v>
      </c>
      <c r="B278" s="12" t="n">
        <v>2023</v>
      </c>
      <c r="C278" s="4" t="s">
        <v>67</v>
      </c>
      <c r="D278" s="4" t="s">
        <v>5685</v>
      </c>
      <c r="E278" s="4" t="s">
        <v>3341</v>
      </c>
      <c r="F278" s="4" t="s">
        <v>3342</v>
      </c>
      <c r="G278" s="4" t="s">
        <v>76</v>
      </c>
      <c r="H278" s="4" t="s">
        <v>2008</v>
      </c>
      <c r="I278" s="4" t="s">
        <v>67</v>
      </c>
      <c r="J278" s="4" t="s">
        <v>2001</v>
      </c>
      <c r="K278" s="4" t="s">
        <v>2002</v>
      </c>
      <c r="L278" s="4" t="s">
        <v>1459</v>
      </c>
      <c r="M278" s="14" t="n">
        <f aca="false">SUMIFS(PSUT_LARGA!$K$2:$K$618,PSUT_LARGA!$B$2:$B$618,$B278,PSUT_LARGA!$H$2:$H$618,$L278,PSUT_LARGA!$E$2:$E$618,$J278,PSUT_LARGA!$F$2:$F$618,$K278,PSUT_LARGA!$G$2:$G$618,$I278,PSUT_LARGA!$I$2:$I$618,$H278)</f>
        <v>5139.8165</v>
      </c>
      <c r="N278" s="14" t="n">
        <f aca="false">IF($H278="TRANSFORMACION_REFINERIA",$M278*INDEX(PARAMETROS!$C$27:$C$33,MATCH($B278,PARAMETROS!$A$27:$A$33,0)),$M278)</f>
        <v>5139.8165</v>
      </c>
      <c r="O278" s="4" t="inlineStr">
        <is>
          <t>COMB_CRBN</t>
        </is>
      </c>
      <c r="P278" s="4" t="s">
        <v>3352</v>
      </c>
      <c r="Q278" s="11" t="n">
        <f aca="false">MIN($B278,2022)</f>
        <v>2022</v>
      </c>
      <c r="R278" s="8" t="str">
        <f>IF(COUNT($S278:$U278)=0,"NO",IF($O278="CERO_DIRECTO","CAL",IF(OR($B278&gt;$Q278,COUNTIFS(DATOS_MODELO!$C$2:$C$3672,$Q278&amp;"|"&amp;$E278&amp;"|"&amp;$O278&amp;"|*",DATOS_MODELO!$F$2:$F$3672,"PRX",DATOS_MODELO!$AA$2:$AA$3672,"&lt;&gt;")&gt;0),"PRX",IF(COUNTIFS(DATOS_MODELO!$C$2:$C$3672,$Q278&amp;"|"&amp;$E278&amp;"|"&amp;$O278&amp;"|*",DATOS_MODELO!$F$2:$F$3672,"CAL",DATOS_MODELO!$AA$2:$AA$3672,"&lt;&gt;")&gt;0,"CAL","OBS"))))</f>
        <v>PRX</v>
      </c>
      <c r="S278" s="14">
        <f>IF(COUNTIFS(DATOS_MODELO!$C$2:$C$3672,$Q278&amp;"|"&amp;$E278&amp;"|"&amp;$O278&amp;"|CO2",DATOS_MODELO!$AA$2:$AA$3672,"&lt;&gt;")=0,"",INDEX(DATOS_MODELO!$AA$2:$AA$3672,MATCH($Q278&amp;"|"&amp;$E278&amp;"|"&amp;$O278&amp;"|CO2",DATOS_MODELO!$C$2:$C$3672,0)))</f>
        <v>98300.0</v>
      </c>
      <c r="T278" s="14">
        <f>IF(COUNTIFS(DATOS_MODELO!$C$2:$C$3672,$Q278&amp;"|"&amp;$E278&amp;"|"&amp;$O278&amp;"|CH4",DATOS_MODELO!$AA$2:$AA$3672,"&lt;&gt;")=0,"",INDEX(DATOS_MODELO!$AA$2:$AA$3672,MATCH($Q278&amp;"|"&amp;$E278&amp;"|"&amp;$O278&amp;"|CH4",DATOS_MODELO!$C$2:$C$3672,0)))</f>
        <v>1.0</v>
      </c>
      <c r="U278" s="14">
        <f>IF(COUNTIFS(DATOS_MODELO!$C$2:$C$3672,$Q278&amp;"|"&amp;$E278&amp;"|"&amp;$O278&amp;"|N2O",DATOS_MODELO!$AA$2:$AA$3672,"&lt;&gt;")=0,"",INDEX(DATOS_MODELO!$AA$2:$AA$3672,MATCH($Q278&amp;"|"&amp;$E278&amp;"|"&amp;$O278&amp;"|N2O",DATOS_MODELO!$C$2:$C$3672,0)))</f>
        <v>1.5</v>
      </c>
      <c r="V278" s="8"/>
      <c r="W278" s="14"/>
      <c r="X278" s="14">
        <f>IF($P278="BIOGENICO",0,IF(ISNUMBER($S278),$N278*$S278/PARAMETROS!$B$8,""))</f>
        <v>505.24396195</v>
      </c>
      <c r="Y278" s="14">
        <f>IF($P278="BIOGENICO",IF(ISNUMBER($S278),$N278*$S278/PARAMETROS!$B$8,""),0)</f>
        <v>0.0</v>
      </c>
      <c r="Z278" s="14">
        <f>IF(ISNUMBER($T278),$N278*$T278/PARAMETROS!$B$8,"")</f>
        <v>0.0051398165</v>
      </c>
      <c r="AA278" s="14">
        <f>IF(ISNUMBER($U278),$N278*$U278/PARAMETROS!$B$8,"")</f>
        <v>0.00770972475</v>
      </c>
      <c r="AB278" s="14">
        <f>IF(COUNT($X278,$Z278,$AA278)=0,"",SUM($X278,IF(ISNUMBER($Z278),$Z278*PARAMETROS!$B$9,0),IF(ISNUMBER($AA278),$AA278*PARAMETROS!$B$10,0)))</f>
        <v>507.43095387075</v>
      </c>
      <c r="AC278" s="4" t="s">
        <v>1990</v>
      </c>
      <c r="AD278" s="4"/>
      <c r="AE278" s="4" t="s">
        <v>5690</v>
      </c>
      <c r="AF278" s="4" t="s">
        <v>170</v>
      </c>
      <c r="AG278" s="4" t="inlineStr">
        <is>
          <t>MARN_GTM_BTR1_2024</t>
        </is>
      </c>
      <c r="AH278" s="4" t="inlineStr">
        <is>
          <t>Origen de factores: CO2: MARN_GTM_BTR1_2024 [PRX; BTR1 Guatemala 2024, tabla 3.6, p. 48; fila Otro carbón bituminoso*; gas CO2]; CH4: MARN_GTM_BTR1_2024 [PRX; BTR1 Guatemala 2024, tabla 3.17, p. 57; fila Otro carbón bituminoso; gas CH4]; N2O: MARN_GTM_BTR1_2024 [PRX; BTR1 Guatemala 2024, tabla 3.17, p. 57; fila Otro carbón bituminoso; gas N2O].</t>
        </is>
      </c>
    </row>
    <row r="279" customFormat="false" ht="23.85" hidden="false" customHeight="false" outlineLevel="0" collapsed="false">
      <c r="A279" s="4" t="s">
        <v>6050</v>
      </c>
      <c r="B279" s="12" t="n">
        <v>2023</v>
      </c>
      <c r="C279" s="4" t="s">
        <v>67</v>
      </c>
      <c r="D279" s="4" t="s">
        <v>5685</v>
      </c>
      <c r="E279" s="4" t="s">
        <v>3341</v>
      </c>
      <c r="F279" s="4" t="s">
        <v>3342</v>
      </c>
      <c r="G279" s="4" t="s">
        <v>78</v>
      </c>
      <c r="H279" s="4" t="s">
        <v>2003</v>
      </c>
      <c r="I279" s="4" t="s">
        <v>67</v>
      </c>
      <c r="J279" s="4" t="s">
        <v>2001</v>
      </c>
      <c r="K279" s="4" t="s">
        <v>66</v>
      </c>
      <c r="L279" s="4" t="s">
        <v>1472</v>
      </c>
      <c r="M279" s="14" t="n">
        <f aca="false">SUMIFS(PSUT_LARGA!$K$2:$K$618,PSUT_LARGA!$B$2:$B$618,$B279,PSUT_LARGA!$H$2:$H$618,$L279,PSUT_LARGA!$E$2:$E$618,$J279,PSUT_LARGA!$F$2:$F$618,$K279,PSUT_LARGA!$G$2:$G$618,$I279,PSUT_LARGA!$I$2:$I$618,$H279)</f>
        <v>1248.5109</v>
      </c>
      <c r="N279" s="14" t="n">
        <f aca="false">IF($H279="TRANSFORMACION_REFINERIA",$M279*INDEX(PARAMETROS!$C$27:$C$33,MATCH($B279,PARAMETROS!$A$27:$A$33,0)),$M279)</f>
        <v>1248.5109</v>
      </c>
      <c r="O279" s="4" t="s">
        <v>3362</v>
      </c>
      <c r="P279" s="4" t="s">
        <v>3363</v>
      </c>
      <c r="Q279" s="11" t="n">
        <f aca="false">MIN($B279,2022)</f>
        <v>2022</v>
      </c>
      <c r="R279" s="8" t="str">
        <f>IF(COUNT($S279:$U279)=0,"NO",IF($O279="CERO_DIRECTO","CAL",IF(OR($B279&gt;$Q279,COUNTIFS(DATOS_MODELO!$C$2:$C$3672,$Q279&amp;"|"&amp;$E279&amp;"|"&amp;$O279&amp;"|*",DATOS_MODELO!$F$2:$F$3672,"PRX",DATOS_MODELO!$AA$2:$AA$3672,"&lt;&gt;")&gt;0),"PRX",IF(COUNTIFS(DATOS_MODELO!$C$2:$C$3672,$Q279&amp;"|"&amp;$E279&amp;"|"&amp;$O279&amp;"|*",DATOS_MODELO!$F$2:$F$3672,"CAL",DATOS_MODELO!$AA$2:$AA$3672,"&lt;&gt;")&gt;0,"CAL","OBS"))))</f>
        <v>CAL</v>
      </c>
      <c r="S279" s="14">
        <f>IF(COUNTIFS(DATOS_MODELO!$C$2:$C$3672,$Q279&amp;"|"&amp;$E279&amp;"|"&amp;$O279&amp;"|CO2",DATOS_MODELO!$AA$2:$AA$3672,"&lt;&gt;")=0,"",INDEX(DATOS_MODELO!$AA$2:$AA$3672,MATCH($Q279&amp;"|"&amp;$E279&amp;"|"&amp;$O279&amp;"|CO2",DATOS_MODELO!$C$2:$C$3672,0)))</f>
        <v>0.0</v>
      </c>
      <c r="T279" s="14">
        <f>IF(COUNTIFS(DATOS_MODELO!$C$2:$C$3672,$Q279&amp;"|"&amp;$E279&amp;"|"&amp;$O279&amp;"|CH4",DATOS_MODELO!$AA$2:$AA$3672,"&lt;&gt;")=0,"",INDEX(DATOS_MODELO!$AA$2:$AA$3672,MATCH($Q279&amp;"|"&amp;$E279&amp;"|"&amp;$O279&amp;"|CH4",DATOS_MODELO!$C$2:$C$3672,0)))</f>
        <v>0.0</v>
      </c>
      <c r="U279" s="14">
        <f>IF(COUNTIFS(DATOS_MODELO!$C$2:$C$3672,$Q279&amp;"|"&amp;$E279&amp;"|"&amp;$O279&amp;"|N2O",DATOS_MODELO!$AA$2:$AA$3672,"&lt;&gt;")=0,"",INDEX(DATOS_MODELO!$AA$2:$AA$3672,MATCH($Q279&amp;"|"&amp;$E279&amp;"|"&amp;$O279&amp;"|N2O",DATOS_MODELO!$C$2:$C$3672,0)))</f>
        <v>0.0</v>
      </c>
      <c r="V279" s="8"/>
      <c r="W279" s="14"/>
      <c r="X279" s="14">
        <f>IF($P279="BIOGENICO",0,IF(ISNUMBER($S279),$N279*$S279/PARAMETROS!$B$8,""))</f>
        <v>0.0</v>
      </c>
      <c r="Y279" s="14">
        <f>IF($P279="BIOGENICO",IF(ISNUMBER($S279),$N279*$S279/PARAMETROS!$B$8,""),0)</f>
        <v>0.0</v>
      </c>
      <c r="Z279" s="14">
        <f>IF(ISNUMBER($T279),$N279*$T279/PARAMETROS!$B$8,"")</f>
        <v>0.0</v>
      </c>
      <c r="AA279" s="14">
        <f>IF(ISNUMBER($U279),$N279*$U279/PARAMETROS!$B$8,"")</f>
        <v>0.0</v>
      </c>
      <c r="AB279" s="14">
        <f>IF(COUNT($X279,$Z279,$AA279)=0,"",SUM($X279,IF(ISNUMBER($Z279),$Z279*PARAMETROS!$B$9,0),IF(ISNUMBER($AA279),$AA279*PARAMETROS!$B$10,0)))</f>
        <v>0.0</v>
      </c>
      <c r="AC279" s="4" t="s">
        <v>1990</v>
      </c>
      <c r="AD279" s="4"/>
      <c r="AE279" s="4" t="s">
        <v>3362</v>
      </c>
      <c r="AF279" s="4" t="s">
        <v>170</v>
      </c>
      <c r="AG279" s="4" t="inlineStr">
        <is>
          <t>METODO_EMISIONES</t>
        </is>
      </c>
      <c r="AH279" s="4"/>
    </row>
    <row r="280" customFormat="false" ht="23.85" hidden="false" customHeight="false" outlineLevel="0" collapsed="false">
      <c r="A280" s="4" t="s">
        <v>6051</v>
      </c>
      <c r="B280" s="12" t="n">
        <v>2023</v>
      </c>
      <c r="C280" s="4" t="s">
        <v>67</v>
      </c>
      <c r="D280" s="4" t="s">
        <v>5685</v>
      </c>
      <c r="E280" s="4" t="s">
        <v>3341</v>
      </c>
      <c r="F280" s="4" t="s">
        <v>3342</v>
      </c>
      <c r="G280" s="4" t="s">
        <v>80</v>
      </c>
      <c r="H280" s="4" t="s">
        <v>2003</v>
      </c>
      <c r="I280" s="4" t="s">
        <v>67</v>
      </c>
      <c r="J280" s="4" t="s">
        <v>2001</v>
      </c>
      <c r="K280" s="4" t="s">
        <v>66</v>
      </c>
      <c r="L280" s="4" t="s">
        <v>1486</v>
      </c>
      <c r="M280" s="14" t="n">
        <f aca="false">SUMIFS(PSUT_LARGA!$K$2:$K$618,PSUT_LARGA!$B$2:$B$618,$B280,PSUT_LARGA!$H$2:$H$618,$L280,PSUT_LARGA!$E$2:$E$618,$J280,PSUT_LARGA!$F$2:$F$618,$K280,PSUT_LARGA!$G$2:$G$618,$I280,PSUT_LARGA!$I$2:$I$618,$H280)</f>
        <v>11880.869</v>
      </c>
      <c r="N280" s="14" t="n">
        <f aca="false">IF($H280="TRANSFORMACION_REFINERIA",$M280*INDEX(PARAMETROS!$C$27:$C$33,MATCH($B280,PARAMETROS!$A$27:$A$33,0)),$M280)</f>
        <v>11880.869</v>
      </c>
      <c r="O280" s="4" t="s">
        <v>3362</v>
      </c>
      <c r="P280" s="4" t="s">
        <v>3363</v>
      </c>
      <c r="Q280" s="11" t="n">
        <f aca="false">MIN($B280,2022)</f>
        <v>2022</v>
      </c>
      <c r="R280" s="8" t="str">
        <f>IF(COUNT($S280:$U280)=0,"NO",IF($O280="CERO_DIRECTO","CAL",IF(OR($B280&gt;$Q280,COUNTIFS(DATOS_MODELO!$C$2:$C$3672,$Q280&amp;"|"&amp;$E280&amp;"|"&amp;$O280&amp;"|*",DATOS_MODELO!$F$2:$F$3672,"PRX",DATOS_MODELO!$AA$2:$AA$3672,"&lt;&gt;")&gt;0),"PRX",IF(COUNTIFS(DATOS_MODELO!$C$2:$C$3672,$Q280&amp;"|"&amp;$E280&amp;"|"&amp;$O280&amp;"|*",DATOS_MODELO!$F$2:$F$3672,"CAL",DATOS_MODELO!$AA$2:$AA$3672,"&lt;&gt;")&gt;0,"CAL","OBS"))))</f>
        <v>CAL</v>
      </c>
      <c r="S280" s="14">
        <f>IF(COUNTIFS(DATOS_MODELO!$C$2:$C$3672,$Q280&amp;"|"&amp;$E280&amp;"|"&amp;$O280&amp;"|CO2",DATOS_MODELO!$AA$2:$AA$3672,"&lt;&gt;")=0,"",INDEX(DATOS_MODELO!$AA$2:$AA$3672,MATCH($Q280&amp;"|"&amp;$E280&amp;"|"&amp;$O280&amp;"|CO2",DATOS_MODELO!$C$2:$C$3672,0)))</f>
        <v>0.0</v>
      </c>
      <c r="T280" s="14">
        <f>IF(COUNTIFS(DATOS_MODELO!$C$2:$C$3672,$Q280&amp;"|"&amp;$E280&amp;"|"&amp;$O280&amp;"|CH4",DATOS_MODELO!$AA$2:$AA$3672,"&lt;&gt;")=0,"",INDEX(DATOS_MODELO!$AA$2:$AA$3672,MATCH($Q280&amp;"|"&amp;$E280&amp;"|"&amp;$O280&amp;"|CH4",DATOS_MODELO!$C$2:$C$3672,0)))</f>
        <v>0.0</v>
      </c>
      <c r="U280" s="14">
        <f>IF(COUNTIFS(DATOS_MODELO!$C$2:$C$3672,$Q280&amp;"|"&amp;$E280&amp;"|"&amp;$O280&amp;"|N2O",DATOS_MODELO!$AA$2:$AA$3672,"&lt;&gt;")=0,"",INDEX(DATOS_MODELO!$AA$2:$AA$3672,MATCH($Q280&amp;"|"&amp;$E280&amp;"|"&amp;$O280&amp;"|N2O",DATOS_MODELO!$C$2:$C$3672,0)))</f>
        <v>0.0</v>
      </c>
      <c r="V280" s="8"/>
      <c r="W280" s="14"/>
      <c r="X280" s="14">
        <f>IF($P280="BIOGENICO",0,IF(ISNUMBER($S280),$N280*$S280/PARAMETROS!$B$8,""))</f>
        <v>0.0</v>
      </c>
      <c r="Y280" s="14">
        <f>IF($P280="BIOGENICO",IF(ISNUMBER($S280),$N280*$S280/PARAMETROS!$B$8,""),0)</f>
        <v>0.0</v>
      </c>
      <c r="Z280" s="14">
        <f>IF(ISNUMBER($T280),$N280*$T280/PARAMETROS!$B$8,"")</f>
        <v>0.0</v>
      </c>
      <c r="AA280" s="14">
        <f>IF(ISNUMBER($U280),$N280*$U280/PARAMETROS!$B$8,"")</f>
        <v>0.0</v>
      </c>
      <c r="AB280" s="14">
        <f>IF(COUNT($X280,$Z280,$AA280)=0,"",SUM($X280,IF(ISNUMBER($Z280),$Z280*PARAMETROS!$B$9,0),IF(ISNUMBER($AA280),$AA280*PARAMETROS!$B$10,0)))</f>
        <v>0.0</v>
      </c>
      <c r="AC280" s="4" t="s">
        <v>1990</v>
      </c>
      <c r="AD280" s="4"/>
      <c r="AE280" s="4" t="s">
        <v>3362</v>
      </c>
      <c r="AF280" s="4" t="s">
        <v>170</v>
      </c>
      <c r="AG280" s="4" t="inlineStr">
        <is>
          <t>METODO_EMISIONES</t>
        </is>
      </c>
      <c r="AH280" s="4"/>
    </row>
    <row r="281" customFormat="false" ht="23.85" hidden="false" customHeight="false" outlineLevel="0" collapsed="false">
      <c r="A281" s="4" t="s">
        <v>6052</v>
      </c>
      <c r="B281" s="12" t="n">
        <v>2023</v>
      </c>
      <c r="C281" s="4" t="s">
        <v>67</v>
      </c>
      <c r="D281" s="4" t="s">
        <v>5685</v>
      </c>
      <c r="E281" s="4" t="s">
        <v>3341</v>
      </c>
      <c r="F281" s="4" t="s">
        <v>3342</v>
      </c>
      <c r="G281" s="4" t="s">
        <v>84</v>
      </c>
      <c r="H281" s="4" t="s">
        <v>2003</v>
      </c>
      <c r="I281" s="4" t="s">
        <v>67</v>
      </c>
      <c r="J281" s="4" t="s">
        <v>2001</v>
      </c>
      <c r="K281" s="4" t="s">
        <v>66</v>
      </c>
      <c r="L281" s="4" t="s">
        <v>1514</v>
      </c>
      <c r="M281" s="14" t="n">
        <f aca="false">SUMIFS(PSUT_LARGA!$K$2:$K$618,PSUT_LARGA!$B$2:$B$618,$B281,PSUT_LARGA!$H$2:$H$618,$L281,PSUT_LARGA!$E$2:$E$618,$J281,PSUT_LARGA!$F$2:$F$618,$K281,PSUT_LARGA!$G$2:$G$618,$I281,PSUT_LARGA!$I$2:$I$618,$H281)</f>
        <v>25658.7611</v>
      </c>
      <c r="N281" s="14" t="n">
        <f aca="false">IF($H281="TRANSFORMACION_REFINERIA",$M281*INDEX(PARAMETROS!$C$27:$C$33,MATCH($B281,PARAMETROS!$A$27:$A$33,0)),$M281)</f>
        <v>25658.7611</v>
      </c>
      <c r="O281" s="4" t="s">
        <v>3362</v>
      </c>
      <c r="P281" s="4" t="s">
        <v>3363</v>
      </c>
      <c r="Q281" s="11" t="n">
        <f aca="false">MIN($B281,2022)</f>
        <v>2022</v>
      </c>
      <c r="R281" s="8" t="str">
        <f>IF(COUNT($S281:$U281)=0,"NO",IF($O281="CERO_DIRECTO","CAL",IF(OR($B281&gt;$Q281,COUNTIFS(DATOS_MODELO!$C$2:$C$3672,$Q281&amp;"|"&amp;$E281&amp;"|"&amp;$O281&amp;"|*",DATOS_MODELO!$F$2:$F$3672,"PRX",DATOS_MODELO!$AA$2:$AA$3672,"&lt;&gt;")&gt;0),"PRX",IF(COUNTIFS(DATOS_MODELO!$C$2:$C$3672,$Q281&amp;"|"&amp;$E281&amp;"|"&amp;$O281&amp;"|*",DATOS_MODELO!$F$2:$F$3672,"CAL",DATOS_MODELO!$AA$2:$AA$3672,"&lt;&gt;")&gt;0,"CAL","OBS"))))</f>
        <v>CAL</v>
      </c>
      <c r="S281" s="14">
        <f>IF(COUNTIFS(DATOS_MODELO!$C$2:$C$3672,$Q281&amp;"|"&amp;$E281&amp;"|"&amp;$O281&amp;"|CO2",DATOS_MODELO!$AA$2:$AA$3672,"&lt;&gt;")=0,"",INDEX(DATOS_MODELO!$AA$2:$AA$3672,MATCH($Q281&amp;"|"&amp;$E281&amp;"|"&amp;$O281&amp;"|CO2",DATOS_MODELO!$C$2:$C$3672,0)))</f>
        <v>0.0</v>
      </c>
      <c r="T281" s="14">
        <f>IF(COUNTIFS(DATOS_MODELO!$C$2:$C$3672,$Q281&amp;"|"&amp;$E281&amp;"|"&amp;$O281&amp;"|CH4",DATOS_MODELO!$AA$2:$AA$3672,"&lt;&gt;")=0,"",INDEX(DATOS_MODELO!$AA$2:$AA$3672,MATCH($Q281&amp;"|"&amp;$E281&amp;"|"&amp;$O281&amp;"|CH4",DATOS_MODELO!$C$2:$C$3672,0)))</f>
        <v>0.0</v>
      </c>
      <c r="U281" s="14">
        <f>IF(COUNTIFS(DATOS_MODELO!$C$2:$C$3672,$Q281&amp;"|"&amp;$E281&amp;"|"&amp;$O281&amp;"|N2O",DATOS_MODELO!$AA$2:$AA$3672,"&lt;&gt;")=0,"",INDEX(DATOS_MODELO!$AA$2:$AA$3672,MATCH($Q281&amp;"|"&amp;$E281&amp;"|"&amp;$O281&amp;"|N2O",DATOS_MODELO!$C$2:$C$3672,0)))</f>
        <v>0.0</v>
      </c>
      <c r="V281" s="8"/>
      <c r="W281" s="14"/>
      <c r="X281" s="14">
        <f>IF($P281="BIOGENICO",0,IF(ISNUMBER($S281),$N281*$S281/PARAMETROS!$B$8,""))</f>
        <v>0.0</v>
      </c>
      <c r="Y281" s="14">
        <f>IF($P281="BIOGENICO",IF(ISNUMBER($S281),$N281*$S281/PARAMETROS!$B$8,""),0)</f>
        <v>0.0</v>
      </c>
      <c r="Z281" s="14">
        <f>IF(ISNUMBER($T281),$N281*$T281/PARAMETROS!$B$8,"")</f>
        <v>0.0</v>
      </c>
      <c r="AA281" s="14">
        <f>IF(ISNUMBER($U281),$N281*$U281/PARAMETROS!$B$8,"")</f>
        <v>0.0</v>
      </c>
      <c r="AB281" s="14">
        <f>IF(COUNT($X281,$Z281,$AA281)=0,"",SUM($X281,IF(ISNUMBER($Z281),$Z281*PARAMETROS!$B$9,0),IF(ISNUMBER($AA281),$AA281*PARAMETROS!$B$10,0)))</f>
        <v>0.0</v>
      </c>
      <c r="AC281" s="4" t="s">
        <v>1990</v>
      </c>
      <c r="AD281" s="4"/>
      <c r="AE281" s="4" t="s">
        <v>3362</v>
      </c>
      <c r="AF281" s="4" t="s">
        <v>170</v>
      </c>
      <c r="AG281" s="4" t="inlineStr">
        <is>
          <t>METODO_EMISIONES</t>
        </is>
      </c>
      <c r="AH281" s="4"/>
    </row>
    <row r="282" customFormat="false" ht="23.85" hidden="false" customHeight="false" outlineLevel="0" collapsed="false">
      <c r="A282" s="4" t="s">
        <v>6053</v>
      </c>
      <c r="B282" s="12" t="n">
        <v>2023</v>
      </c>
      <c r="C282" s="4" t="s">
        <v>67</v>
      </c>
      <c r="D282" s="4" t="s">
        <v>5685</v>
      </c>
      <c r="E282" s="4" t="s">
        <v>3341</v>
      </c>
      <c r="F282" s="4" t="s">
        <v>3342</v>
      </c>
      <c r="G282" s="4" t="s">
        <v>84</v>
      </c>
      <c r="H282" s="4" t="s">
        <v>2008</v>
      </c>
      <c r="I282" s="4" t="s">
        <v>67</v>
      </c>
      <c r="J282" s="4" t="s">
        <v>2001</v>
      </c>
      <c r="K282" s="4" t="s">
        <v>66</v>
      </c>
      <c r="L282" s="4" t="s">
        <v>1515</v>
      </c>
      <c r="M282" s="14" t="n">
        <f aca="false">SUMIFS(PSUT_LARGA!$K$2:$K$618,PSUT_LARGA!$B$2:$B$618,$B282,PSUT_LARGA!$H$2:$H$618,$L282,PSUT_LARGA!$E$2:$E$618,$J282,PSUT_LARGA!$F$2:$F$618,$K282,PSUT_LARGA!$G$2:$G$618,$I282,PSUT_LARGA!$I$2:$I$618,$H282)</f>
        <v>105.2772</v>
      </c>
      <c r="N282" s="14" t="n">
        <f aca="false">IF($H282="TRANSFORMACION_REFINERIA",$M282*INDEX(PARAMETROS!$C$27:$C$33,MATCH($B282,PARAMETROS!$A$27:$A$33,0)),$M282)</f>
        <v>105.2772</v>
      </c>
      <c r="O282" s="4" t="s">
        <v>3362</v>
      </c>
      <c r="P282" s="4" t="s">
        <v>3363</v>
      </c>
      <c r="Q282" s="11" t="n">
        <f aca="false">MIN($B282,2022)</f>
        <v>2022</v>
      </c>
      <c r="R282" s="8" t="str">
        <f>IF(COUNT($S282:$U282)=0,"NO",IF($O282="CERO_DIRECTO","CAL",IF(OR($B282&gt;$Q282,COUNTIFS(DATOS_MODELO!$C$2:$C$3672,$Q282&amp;"|"&amp;$E282&amp;"|"&amp;$O282&amp;"|*",DATOS_MODELO!$F$2:$F$3672,"PRX",DATOS_MODELO!$AA$2:$AA$3672,"&lt;&gt;")&gt;0),"PRX",IF(COUNTIFS(DATOS_MODELO!$C$2:$C$3672,$Q282&amp;"|"&amp;$E282&amp;"|"&amp;$O282&amp;"|*",DATOS_MODELO!$F$2:$F$3672,"CAL",DATOS_MODELO!$AA$2:$AA$3672,"&lt;&gt;")&gt;0,"CAL","OBS"))))</f>
        <v>CAL</v>
      </c>
      <c r="S282" s="14">
        <f>IF(COUNTIFS(DATOS_MODELO!$C$2:$C$3672,$Q282&amp;"|"&amp;$E282&amp;"|"&amp;$O282&amp;"|CO2",DATOS_MODELO!$AA$2:$AA$3672,"&lt;&gt;")=0,"",INDEX(DATOS_MODELO!$AA$2:$AA$3672,MATCH($Q282&amp;"|"&amp;$E282&amp;"|"&amp;$O282&amp;"|CO2",DATOS_MODELO!$C$2:$C$3672,0)))</f>
        <v>0.0</v>
      </c>
      <c r="T282" s="14">
        <f>IF(COUNTIFS(DATOS_MODELO!$C$2:$C$3672,$Q282&amp;"|"&amp;$E282&amp;"|"&amp;$O282&amp;"|CH4",DATOS_MODELO!$AA$2:$AA$3672,"&lt;&gt;")=0,"",INDEX(DATOS_MODELO!$AA$2:$AA$3672,MATCH($Q282&amp;"|"&amp;$E282&amp;"|"&amp;$O282&amp;"|CH4",DATOS_MODELO!$C$2:$C$3672,0)))</f>
        <v>0.0</v>
      </c>
      <c r="U282" s="14">
        <f>IF(COUNTIFS(DATOS_MODELO!$C$2:$C$3672,$Q282&amp;"|"&amp;$E282&amp;"|"&amp;$O282&amp;"|N2O",DATOS_MODELO!$AA$2:$AA$3672,"&lt;&gt;")=0,"",INDEX(DATOS_MODELO!$AA$2:$AA$3672,MATCH($Q282&amp;"|"&amp;$E282&amp;"|"&amp;$O282&amp;"|N2O",DATOS_MODELO!$C$2:$C$3672,0)))</f>
        <v>0.0</v>
      </c>
      <c r="V282" s="8"/>
      <c r="W282" s="14"/>
      <c r="X282" s="14">
        <f>IF($P282="BIOGENICO",0,IF(ISNUMBER($S282),$N282*$S282/PARAMETROS!$B$8,""))</f>
        <v>0.0</v>
      </c>
      <c r="Y282" s="14">
        <f>IF($P282="BIOGENICO",IF(ISNUMBER($S282),$N282*$S282/PARAMETROS!$B$8,""),0)</f>
        <v>0.0</v>
      </c>
      <c r="Z282" s="14">
        <f>IF(ISNUMBER($T282),$N282*$T282/PARAMETROS!$B$8,"")</f>
        <v>0.0</v>
      </c>
      <c r="AA282" s="14">
        <f>IF(ISNUMBER($U282),$N282*$U282/PARAMETROS!$B$8,"")</f>
        <v>0.0</v>
      </c>
      <c r="AB282" s="14">
        <f>IF(COUNT($X282,$Z282,$AA282)=0,"",SUM($X282,IF(ISNUMBER($Z282),$Z282*PARAMETROS!$B$9,0),IF(ISNUMBER($AA282),$AA282*PARAMETROS!$B$10,0)))</f>
        <v>0.0</v>
      </c>
      <c r="AC282" s="4" t="s">
        <v>1990</v>
      </c>
      <c r="AD282" s="4"/>
      <c r="AE282" s="4" t="s">
        <v>3362</v>
      </c>
      <c r="AF282" s="4" t="s">
        <v>170</v>
      </c>
      <c r="AG282" s="4" t="inlineStr">
        <is>
          <t>METODO_EMISIONES</t>
        </is>
      </c>
      <c r="AH282" s="4"/>
    </row>
    <row r="283" customFormat="false" ht="15" hidden="false" customHeight="false" outlineLevel="0" collapsed="false">
      <c r="A283" s="4" t="s">
        <v>6054</v>
      </c>
      <c r="B283" s="12" t="n">
        <v>2023</v>
      </c>
      <c r="C283" s="4" t="s">
        <v>67</v>
      </c>
      <c r="D283" s="4" t="s">
        <v>5685</v>
      </c>
      <c r="E283" s="4" t="s">
        <v>3395</v>
      </c>
      <c r="F283" s="4" t="s">
        <v>3396</v>
      </c>
      <c r="G283" s="4" t="s">
        <v>86</v>
      </c>
      <c r="H283" s="4" t="s">
        <v>2097</v>
      </c>
      <c r="I283" s="4" t="s">
        <v>67</v>
      </c>
      <c r="J283" s="4" t="s">
        <v>2001</v>
      </c>
      <c r="K283" s="4" t="s">
        <v>2002</v>
      </c>
      <c r="L283" s="4" t="s">
        <v>1541</v>
      </c>
      <c r="M283" s="14" t="n">
        <f aca="false">SUMIFS(PSUT_LARGA!$K$2:$K$618,PSUT_LARGA!$B$2:$B$618,$B283,PSUT_LARGA!$H$2:$H$618,$L283,PSUT_LARGA!$E$2:$E$618,$J283,PSUT_LARGA!$F$2:$F$618,$K283,PSUT_LARGA!$G$2:$G$618,$I283,PSUT_LARGA!$I$2:$I$618,$H283)</f>
        <v>4305.2681</v>
      </c>
      <c r="N283" s="14" t="n">
        <f aca="false">IF($H283="TRANSFORMACION_REFINERIA",$M283*INDEX(PARAMETROS!$C$27:$C$33,MATCH($B283,PARAMETROS!$A$27:$A$33,0)),$M283)</f>
        <v>20.5640253749761</v>
      </c>
      <c r="O283" s="4" t="s">
        <v>3397</v>
      </c>
      <c r="P283" s="4" t="s">
        <v>3352</v>
      </c>
      <c r="Q283" s="11" t="n">
        <f aca="false">MIN($B283,2022)</f>
        <v>2022</v>
      </c>
      <c r="R283" s="8" t="str">
        <f>IF(COUNT($S283:$U283)=0,"NO",IF($O283="CERO_DIRECTO","CAL",IF(OR($B283&gt;$Q283,COUNTIFS(DATOS_MODELO!$C$2:$C$3672,$Q283&amp;"|"&amp;$E283&amp;"|"&amp;$O283&amp;"|*",DATOS_MODELO!$F$2:$F$3672,"PRX",DATOS_MODELO!$AA$2:$AA$3672,"&lt;&gt;")&gt;0),"PRX",IF(COUNTIFS(DATOS_MODELO!$C$2:$C$3672,$Q283&amp;"|"&amp;$E283&amp;"|"&amp;$O283&amp;"|*",DATOS_MODELO!$F$2:$F$3672,"CAL",DATOS_MODELO!$AA$2:$AA$3672,"&lt;&gt;")&gt;0,"CAL","OBS"))))</f>
        <v>PRX</v>
      </c>
      <c r="S283" s="14">
        <f>IF(COUNTIFS(DATOS_MODELO!$C$2:$C$3672,$Q283&amp;"|"&amp;$E283&amp;"|"&amp;$O283&amp;"|CO2",DATOS_MODELO!$AA$2:$AA$3672,"&lt;&gt;")=0,"",INDEX(DATOS_MODELO!$AA$2:$AA$3672,MATCH($Q283&amp;"|"&amp;$E283&amp;"|"&amp;$O283&amp;"|CO2",DATOS_MODELO!$C$2:$C$3672,0)))</f>
        <v>72251.0819140552</v>
      </c>
      <c r="T283" s="14">
        <f>IF(COUNTIFS(DATOS_MODELO!$C$2:$C$3672,$Q283&amp;"|"&amp;$E283&amp;"|"&amp;$O283&amp;"|CH4",DATOS_MODELO!$AA$2:$AA$3672,"&lt;&gt;")=0,"",INDEX(DATOS_MODELO!$AA$2:$AA$3672,MATCH($Q283&amp;"|"&amp;$E283&amp;"|"&amp;$O283&amp;"|CH4",DATOS_MODELO!$C$2:$C$3672,0)))</f>
        <v>3.00000158021019</v>
      </c>
      <c r="U283" s="14">
        <f>IF(COUNTIFS(DATOS_MODELO!$C$2:$C$3672,$Q283&amp;"|"&amp;$E283&amp;"|"&amp;$O283&amp;"|N2O",DATOS_MODELO!$AA$2:$AA$3672,"&lt;&gt;")=0,"",INDEX(DATOS_MODELO!$AA$2:$AA$3672,MATCH($Q283&amp;"|"&amp;$E283&amp;"|"&amp;$O283&amp;"|N2O",DATOS_MODELO!$C$2:$C$3672,0)))</f>
        <v>0.600001148608</v>
      </c>
      <c r="V283" s="8"/>
      <c r="W283" s="14"/>
      <c r="X283" s="14">
        <f>IF($P283="BIOGENICO",0,IF(ISNUMBER($S283),$N283*$S283/PARAMETROS!$B$8,""))</f>
        <v>1.48577308185011</v>
      </c>
      <c r="Y283" s="14">
        <f>IF($P283="BIOGENICO",IF(ISNUMBER($S283),$N283*$S283/PARAMETROS!$B$8,""),0)</f>
        <v>0.0</v>
      </c>
      <c r="Z283" s="14">
        <f>IF(ISNUMBER($T283),$N283*$T283/PARAMETROS!$B$8,"")</f>
        <v>6.16921086204108e-05</v>
      </c>
      <c r="AA283" s="14">
        <f>IF(ISNUMBER($U283),$N283*$U283/PARAMETROS!$B$8,"")</f>
        <v>1.23384388449897e-05</v>
      </c>
      <c r="AB283" s="14">
        <f>IF(COUNT($X283,$Z283,$AA283)=0,"",SUM($X283,IF(ISNUMBER($Z283),$Z283*PARAMETROS!$B$9,0),IF(ISNUMBER($AA283),$AA283*PARAMETROS!$B$10,0)))</f>
        <v>1.4907701471854</v>
      </c>
      <c r="AC283" s="4" t="s">
        <v>1990</v>
      </c>
      <c r="AD283" s="4"/>
      <c r="AE283" s="4" t="s">
        <v>5690</v>
      </c>
      <c r="AF283" s="4" t="s">
        <v>170</v>
      </c>
      <c r="AG283" s="4" t="s">
        <v>3999</v>
      </c>
      <c r="AH283" s="4"/>
    </row>
    <row r="284" customFormat="false" ht="23.85" hidden="false" customHeight="false" outlineLevel="0" collapsed="false">
      <c r="A284" s="4" t="s">
        <v>6055</v>
      </c>
      <c r="B284" s="12" t="n">
        <v>2023</v>
      </c>
      <c r="C284" s="4" t="s">
        <v>67</v>
      </c>
      <c r="D284" s="4" t="s">
        <v>5685</v>
      </c>
      <c r="E284" s="4" t="s">
        <v>3341</v>
      </c>
      <c r="F284" s="4" t="s">
        <v>3342</v>
      </c>
      <c r="G284" s="4" t="s">
        <v>88</v>
      </c>
      <c r="H284" s="4" t="s">
        <v>2003</v>
      </c>
      <c r="I284" s="4" t="s">
        <v>67</v>
      </c>
      <c r="J284" s="4" t="s">
        <v>2001</v>
      </c>
      <c r="K284" s="4" t="s">
        <v>66</v>
      </c>
      <c r="L284" s="4" t="s">
        <v>1556</v>
      </c>
      <c r="M284" s="14" t="n">
        <f aca="false">SUMIFS(PSUT_LARGA!$K$2:$K$618,PSUT_LARGA!$B$2:$B$618,$B284,PSUT_LARGA!$H$2:$H$618,$L284,PSUT_LARGA!$E$2:$E$618,$J284,PSUT_LARGA!$F$2:$F$618,$K284,PSUT_LARGA!$G$2:$G$618,$I284,PSUT_LARGA!$I$2:$I$618,$H284)</f>
        <v>887.187</v>
      </c>
      <c r="N284" s="14" t="n">
        <f aca="false">IF($H284="TRANSFORMACION_REFINERIA",$M284*INDEX(PARAMETROS!$C$27:$C$33,MATCH($B284,PARAMETROS!$A$27:$A$33,0)),$M284)</f>
        <v>887.187</v>
      </c>
      <c r="O284" s="4" t="s">
        <v>3362</v>
      </c>
      <c r="P284" s="4" t="s">
        <v>3363</v>
      </c>
      <c r="Q284" s="11" t="n">
        <f aca="false">MIN($B284,2022)</f>
        <v>2022</v>
      </c>
      <c r="R284" s="8" t="str">
        <f>IF(COUNT($S284:$U284)=0,"NO",IF($O284="CERO_DIRECTO","CAL",IF(OR($B284&gt;$Q284,COUNTIFS(DATOS_MODELO!$C$2:$C$3672,$Q284&amp;"|"&amp;$E284&amp;"|"&amp;$O284&amp;"|*",DATOS_MODELO!$F$2:$F$3672,"PRX",DATOS_MODELO!$AA$2:$AA$3672,"&lt;&gt;")&gt;0),"PRX",IF(COUNTIFS(DATOS_MODELO!$C$2:$C$3672,$Q284&amp;"|"&amp;$E284&amp;"|"&amp;$O284&amp;"|*",DATOS_MODELO!$F$2:$F$3672,"CAL",DATOS_MODELO!$AA$2:$AA$3672,"&lt;&gt;")&gt;0,"CAL","OBS"))))</f>
        <v>CAL</v>
      </c>
      <c r="S284" s="14">
        <f>IF(COUNTIFS(DATOS_MODELO!$C$2:$C$3672,$Q284&amp;"|"&amp;$E284&amp;"|"&amp;$O284&amp;"|CO2",DATOS_MODELO!$AA$2:$AA$3672,"&lt;&gt;")=0,"",INDEX(DATOS_MODELO!$AA$2:$AA$3672,MATCH($Q284&amp;"|"&amp;$E284&amp;"|"&amp;$O284&amp;"|CO2",DATOS_MODELO!$C$2:$C$3672,0)))</f>
        <v>0.0</v>
      </c>
      <c r="T284" s="14">
        <f>IF(COUNTIFS(DATOS_MODELO!$C$2:$C$3672,$Q284&amp;"|"&amp;$E284&amp;"|"&amp;$O284&amp;"|CH4",DATOS_MODELO!$AA$2:$AA$3672,"&lt;&gt;")=0,"",INDEX(DATOS_MODELO!$AA$2:$AA$3672,MATCH($Q284&amp;"|"&amp;$E284&amp;"|"&amp;$O284&amp;"|CH4",DATOS_MODELO!$C$2:$C$3672,0)))</f>
        <v>0.0</v>
      </c>
      <c r="U284" s="14">
        <f>IF(COUNTIFS(DATOS_MODELO!$C$2:$C$3672,$Q284&amp;"|"&amp;$E284&amp;"|"&amp;$O284&amp;"|N2O",DATOS_MODELO!$AA$2:$AA$3672,"&lt;&gt;")=0,"",INDEX(DATOS_MODELO!$AA$2:$AA$3672,MATCH($Q284&amp;"|"&amp;$E284&amp;"|"&amp;$O284&amp;"|N2O",DATOS_MODELO!$C$2:$C$3672,0)))</f>
        <v>0.0</v>
      </c>
      <c r="V284" s="8"/>
      <c r="W284" s="14"/>
      <c r="X284" s="14">
        <f>IF($P284="BIOGENICO",0,IF(ISNUMBER($S284),$N284*$S284/PARAMETROS!$B$8,""))</f>
        <v>0.0</v>
      </c>
      <c r="Y284" s="14">
        <f>IF($P284="BIOGENICO",IF(ISNUMBER($S284),$N284*$S284/PARAMETROS!$B$8,""),0)</f>
        <v>0.0</v>
      </c>
      <c r="Z284" s="14">
        <f>IF(ISNUMBER($T284),$N284*$T284/PARAMETROS!$B$8,"")</f>
        <v>0.0</v>
      </c>
      <c r="AA284" s="14">
        <f>IF(ISNUMBER($U284),$N284*$U284/PARAMETROS!$B$8,"")</f>
        <v>0.0</v>
      </c>
      <c r="AB284" s="14">
        <f>IF(COUNT($X284,$Z284,$AA284)=0,"",SUM($X284,IF(ISNUMBER($Z284),$Z284*PARAMETROS!$B$9,0),IF(ISNUMBER($AA284),$AA284*PARAMETROS!$B$10,0)))</f>
        <v>0.0</v>
      </c>
      <c r="AC284" s="4" t="s">
        <v>1990</v>
      </c>
      <c r="AD284" s="4"/>
      <c r="AE284" s="4" t="s">
        <v>3362</v>
      </c>
      <c r="AF284" s="4" t="s">
        <v>170</v>
      </c>
      <c r="AG284" s="4" t="inlineStr">
        <is>
          <t>METODO_EMISIONES</t>
        </is>
      </c>
      <c r="AH284" s="4"/>
    </row>
    <row r="285" customFormat="false" ht="15" hidden="false" customHeight="false" outlineLevel="0" collapsed="false">
      <c r="A285" s="4" t="s">
        <v>6056</v>
      </c>
      <c r="B285" s="12" t="n">
        <v>2023</v>
      </c>
      <c r="C285" s="4" t="s">
        <v>67</v>
      </c>
      <c r="D285" s="4" t="s">
        <v>5685</v>
      </c>
      <c r="E285" s="4" t="s">
        <v>3341</v>
      </c>
      <c r="F285" s="4" t="s">
        <v>3342</v>
      </c>
      <c r="G285" s="4" t="s">
        <v>97</v>
      </c>
      <c r="H285" s="4" t="s">
        <v>2003</v>
      </c>
      <c r="I285" s="4" t="s">
        <v>67</v>
      </c>
      <c r="J285" s="4" t="s">
        <v>2001</v>
      </c>
      <c r="K285" s="4" t="s">
        <v>2002</v>
      </c>
      <c r="L285" s="4" t="s">
        <v>1584</v>
      </c>
      <c r="M285" s="14" t="n">
        <f aca="false">SUMIFS(PSUT_LARGA!$K$2:$K$618,PSUT_LARGA!$B$2:$B$618,$B285,PSUT_LARGA!$H$2:$H$618,$L285,PSUT_LARGA!$E$2:$E$618,$J285,PSUT_LARGA!$F$2:$F$618,$K285,PSUT_LARGA!$G$2:$G$618,$I285,PSUT_LARGA!$I$2:$I$618,$H285)</f>
        <v>98.189</v>
      </c>
      <c r="N285" s="14" t="n">
        <f aca="false">IF($H285="TRANSFORMACION_REFINERIA",$M285*INDEX(PARAMETROS!$C$27:$C$33,MATCH($B285,PARAMETROS!$A$27:$A$33,0)),$M285)</f>
        <v>98.189</v>
      </c>
      <c r="O285" s="4" t="inlineStr">
        <is>
          <t>COMB_DOIL</t>
        </is>
      </c>
      <c r="P285" s="4" t="s">
        <v>3352</v>
      </c>
      <c r="Q285" s="11" t="n">
        <f aca="false">MIN($B285,2022)</f>
        <v>2022</v>
      </c>
      <c r="R285" s="8" t="str">
        <f>IF(COUNT($S285:$U285)=0,"NO",IF($O285="CERO_DIRECTO","CAL",IF(OR($B285&gt;$Q285,COUNTIFS(DATOS_MODELO!$C$2:$C$3672,$Q285&amp;"|"&amp;$E285&amp;"|"&amp;$O285&amp;"|*",DATOS_MODELO!$F$2:$F$3672,"PRX",DATOS_MODELO!$AA$2:$AA$3672,"&lt;&gt;")&gt;0),"PRX",IF(COUNTIFS(DATOS_MODELO!$C$2:$C$3672,$Q285&amp;"|"&amp;$E285&amp;"|"&amp;$O285&amp;"|*",DATOS_MODELO!$F$2:$F$3672,"CAL",DATOS_MODELO!$AA$2:$AA$3672,"&lt;&gt;")&gt;0,"CAL","OBS"))))</f>
        <v>PRX</v>
      </c>
      <c r="S285" s="14">
        <f>IF(COUNTIFS(DATOS_MODELO!$C$2:$C$3672,$Q285&amp;"|"&amp;$E285&amp;"|"&amp;$O285&amp;"|CO2",DATOS_MODELO!$AA$2:$AA$3672,"&lt;&gt;")=0,"",INDEX(DATOS_MODELO!$AA$2:$AA$3672,MATCH($Q285&amp;"|"&amp;$E285&amp;"|"&amp;$O285&amp;"|CO2",DATOS_MODELO!$C$2:$C$3672,0)))</f>
        <v>74100.0</v>
      </c>
      <c r="T285" s="14">
        <f>IF(COUNTIFS(DATOS_MODELO!$C$2:$C$3672,$Q285&amp;"|"&amp;$E285&amp;"|"&amp;$O285&amp;"|CH4",DATOS_MODELO!$AA$2:$AA$3672,"&lt;&gt;")=0,"",INDEX(DATOS_MODELO!$AA$2:$AA$3672,MATCH($Q285&amp;"|"&amp;$E285&amp;"|"&amp;$O285&amp;"|CH4",DATOS_MODELO!$C$2:$C$3672,0)))</f>
        <v>3.0</v>
      </c>
      <c r="U285" s="14">
        <f>IF(COUNTIFS(DATOS_MODELO!$C$2:$C$3672,$Q285&amp;"|"&amp;$E285&amp;"|"&amp;$O285&amp;"|N2O",DATOS_MODELO!$AA$2:$AA$3672,"&lt;&gt;")=0,"",INDEX(DATOS_MODELO!$AA$2:$AA$3672,MATCH($Q285&amp;"|"&amp;$E285&amp;"|"&amp;$O285&amp;"|N2O",DATOS_MODELO!$C$2:$C$3672,0)))</f>
        <v>0.6</v>
      </c>
      <c r="V285" s="8"/>
      <c r="W285" s="14"/>
      <c r="X285" s="14">
        <f>IF($P285="BIOGENICO",0,IF(ISNUMBER($S285),$N285*$S285/PARAMETROS!$B$8,""))</f>
        <v>7.2758049</v>
      </c>
      <c r="Y285" s="14">
        <f>IF($P285="BIOGENICO",IF(ISNUMBER($S285),$N285*$S285/PARAMETROS!$B$8,""),0)</f>
        <v>0.0</v>
      </c>
      <c r="Z285" s="14">
        <f>IF(ISNUMBER($T285),$N285*$T285/PARAMETROS!$B$8,"")</f>
        <v>0.000294567</v>
      </c>
      <c r="AA285" s="14">
        <f>IF(ISNUMBER($U285),$N285*$U285/PARAMETROS!$B$8,"")</f>
        <v>5.89134e-05</v>
      </c>
      <c r="AB285" s="14">
        <f>IF(COUNT($X285,$Z285,$AA285)=0,"",SUM($X285,IF(ISNUMBER($Z285),$Z285*PARAMETROS!$B$9,0),IF(ISNUMBER($AA285),$AA285*PARAMETROS!$B$10,0)))</f>
        <v>7.299664827</v>
      </c>
      <c r="AC285" s="4" t="s">
        <v>1990</v>
      </c>
      <c r="AD285" s="4"/>
      <c r="AE285" s="4" t="s">
        <v>5690</v>
      </c>
      <c r="AF285" s="4" t="s">
        <v>170</v>
      </c>
      <c r="AG285" s="4" t="inlineStr">
        <is>
          <t>MARN_GTM_BTR1_2024</t>
        </is>
      </c>
      <c r="AH285" s="4" t="inlineStr">
        <is>
          <t>Origen de factores: CO2: MARN_GTM_BTR1_2024 [PRX; BTR1 Guatemala 2024, tabla 3.6, p. 48; fila Gas/Diésel oíl; gas CO2]; CH4: MARN_GTM_BTR1_2024 [PRX; BTR1 Guatemala 2024, tabla 3.17, p. 57; fila Diésel; gas CH4]; N2O: MARN_GTM_BTR1_2024 [PRX; BTR1 Guatemala 2024, tabla 3.17, p. 57; fila Diésel; gas N2O].</t>
        </is>
      </c>
    </row>
    <row r="286" customFormat="false" ht="23.85" hidden="false" customHeight="false" outlineLevel="0" collapsed="false">
      <c r="A286" s="4" t="s">
        <v>6057</v>
      </c>
      <c r="B286" s="12" t="n">
        <v>2023</v>
      </c>
      <c r="C286" s="4" t="s">
        <v>67</v>
      </c>
      <c r="D286" s="4" t="s">
        <v>5685</v>
      </c>
      <c r="E286" s="4" t="s">
        <v>3341</v>
      </c>
      <c r="F286" s="4" t="s">
        <v>3342</v>
      </c>
      <c r="G286" s="4" t="s">
        <v>99</v>
      </c>
      <c r="H286" s="4" t="s">
        <v>2003</v>
      </c>
      <c r="I286" s="4" t="s">
        <v>67</v>
      </c>
      <c r="J286" s="4" t="s">
        <v>1994</v>
      </c>
      <c r="K286" s="4" t="s">
        <v>1995</v>
      </c>
      <c r="L286" s="4" t="s">
        <v>1598</v>
      </c>
      <c r="M286" s="14" t="n">
        <f aca="false">SUMIFS(PSUT_LARGA!$K$2:$K$618,PSUT_LARGA!$B$2:$B$618,$B286,PSUT_LARGA!$H$2:$H$618,$L286,PSUT_LARGA!$E$2:$E$618,$J286,PSUT_LARGA!$F$2:$F$618,$K286,PSUT_LARGA!$G$2:$G$618,$I286,PSUT_LARGA!$I$2:$I$618,$H286)</f>
        <v>45301.8482</v>
      </c>
      <c r="N286" s="14" t="n">
        <f aca="false">IF($H286="TRANSFORMACION_REFINERIA",$M286*INDEX(PARAMETROS!$C$27:$C$33,MATCH($B286,PARAMETROS!$A$27:$A$33,0)),$M286)</f>
        <v>45301.8482</v>
      </c>
      <c r="O286" s="4" t="s">
        <v>3362</v>
      </c>
      <c r="P286" s="4" t="s">
        <v>3363</v>
      </c>
      <c r="Q286" s="11" t="n">
        <f aca="false">MIN($B286,2022)</f>
        <v>2022</v>
      </c>
      <c r="R286" s="8" t="str">
        <f>IF(COUNT($S286:$U286)=0,"NO",IF($O286="CERO_DIRECTO","CAL",IF(OR($B286&gt;$Q286,COUNTIFS(DATOS_MODELO!$C$2:$C$3672,$Q286&amp;"|"&amp;$E286&amp;"|"&amp;$O286&amp;"|*",DATOS_MODELO!$F$2:$F$3672,"PRX",DATOS_MODELO!$AA$2:$AA$3672,"&lt;&gt;")&gt;0),"PRX",IF(COUNTIFS(DATOS_MODELO!$C$2:$C$3672,$Q286&amp;"|"&amp;$E286&amp;"|"&amp;$O286&amp;"|*",DATOS_MODELO!$F$2:$F$3672,"CAL",DATOS_MODELO!$AA$2:$AA$3672,"&lt;&gt;")&gt;0,"CAL","OBS"))))</f>
        <v>CAL</v>
      </c>
      <c r="S286" s="14">
        <f>IF(COUNTIFS(DATOS_MODELO!$C$2:$C$3672,$Q286&amp;"|"&amp;$E286&amp;"|"&amp;$O286&amp;"|CO2",DATOS_MODELO!$AA$2:$AA$3672,"&lt;&gt;")=0,"",INDEX(DATOS_MODELO!$AA$2:$AA$3672,MATCH($Q286&amp;"|"&amp;$E286&amp;"|"&amp;$O286&amp;"|CO2",DATOS_MODELO!$C$2:$C$3672,0)))</f>
        <v>0.0</v>
      </c>
      <c r="T286" s="14">
        <f>IF(COUNTIFS(DATOS_MODELO!$C$2:$C$3672,$Q286&amp;"|"&amp;$E286&amp;"|"&amp;$O286&amp;"|CH4",DATOS_MODELO!$AA$2:$AA$3672,"&lt;&gt;")=0,"",INDEX(DATOS_MODELO!$AA$2:$AA$3672,MATCH($Q286&amp;"|"&amp;$E286&amp;"|"&amp;$O286&amp;"|CH4",DATOS_MODELO!$C$2:$C$3672,0)))</f>
        <v>0.0</v>
      </c>
      <c r="U286" s="14">
        <f>IF(COUNTIFS(DATOS_MODELO!$C$2:$C$3672,$Q286&amp;"|"&amp;$E286&amp;"|"&amp;$O286&amp;"|N2O",DATOS_MODELO!$AA$2:$AA$3672,"&lt;&gt;")=0,"",INDEX(DATOS_MODELO!$AA$2:$AA$3672,MATCH($Q286&amp;"|"&amp;$E286&amp;"|"&amp;$O286&amp;"|N2O",DATOS_MODELO!$C$2:$C$3672,0)))</f>
        <v>0.0</v>
      </c>
      <c r="V286" s="8"/>
      <c r="W286" s="14"/>
      <c r="X286" s="14">
        <f>IF($P286="BIOGENICO",0,IF(ISNUMBER($S286),$N286*$S286/PARAMETROS!$B$8,""))</f>
        <v>0.0</v>
      </c>
      <c r="Y286" s="14">
        <f>IF($P286="BIOGENICO",IF(ISNUMBER($S286),$N286*$S286/PARAMETROS!$B$8,""),0)</f>
        <v>0.0</v>
      </c>
      <c r="Z286" s="14">
        <f>IF(ISNUMBER($T286),$N286*$T286/PARAMETROS!$B$8,"")</f>
        <v>0.0</v>
      </c>
      <c r="AA286" s="14">
        <f>IF(ISNUMBER($U286),$N286*$U286/PARAMETROS!$B$8,"")</f>
        <v>0.0</v>
      </c>
      <c r="AB286" s="14">
        <f>IF(COUNT($X286,$Z286,$AA286)=0,"",SUM($X286,IF(ISNUMBER($Z286),$Z286*PARAMETROS!$B$9,0),IF(ISNUMBER($AA286),$AA286*PARAMETROS!$B$10,0)))</f>
        <v>0.0</v>
      </c>
      <c r="AC286" s="4" t="s">
        <v>1990</v>
      </c>
      <c r="AD286" s="4"/>
      <c r="AE286" s="4" t="s">
        <v>3362</v>
      </c>
      <c r="AF286" s="4" t="s">
        <v>170</v>
      </c>
      <c r="AG286" s="4" t="inlineStr">
        <is>
          <t>METODO_EMISIONES</t>
        </is>
      </c>
      <c r="AH286" s="4"/>
    </row>
    <row r="287" customFormat="false" ht="23.85" hidden="false" customHeight="false" outlineLevel="0" collapsed="false">
      <c r="A287" s="4" t="s">
        <v>6058</v>
      </c>
      <c r="B287" s="12" t="n">
        <v>2023</v>
      </c>
      <c r="C287" s="4" t="s">
        <v>67</v>
      </c>
      <c r="D287" s="4" t="s">
        <v>5685</v>
      </c>
      <c r="E287" s="4" t="s">
        <v>3341</v>
      </c>
      <c r="F287" s="4" t="s">
        <v>3342</v>
      </c>
      <c r="G287" s="4" t="s">
        <v>99</v>
      </c>
      <c r="H287" s="4" t="s">
        <v>2008</v>
      </c>
      <c r="I287" s="4" t="s">
        <v>67</v>
      </c>
      <c r="J287" s="4" t="s">
        <v>1994</v>
      </c>
      <c r="K287" s="4" t="s">
        <v>1995</v>
      </c>
      <c r="L287" s="4" t="s">
        <v>1599</v>
      </c>
      <c r="M287" s="14" t="n">
        <f aca="false">SUMIFS(PSUT_LARGA!$K$2:$K$618,PSUT_LARGA!$B$2:$B$618,$B287,PSUT_LARGA!$H$2:$H$618,$L287,PSUT_LARGA!$E$2:$E$618,$J287,PSUT_LARGA!$F$2:$F$618,$K287,PSUT_LARGA!$G$2:$G$618,$I287,PSUT_LARGA!$I$2:$I$618,$H287)</f>
        <v>3732.8669</v>
      </c>
      <c r="N287" s="14" t="n">
        <f aca="false">IF($H287="TRANSFORMACION_REFINERIA",$M287*INDEX(PARAMETROS!$C$27:$C$33,MATCH($B287,PARAMETROS!$A$27:$A$33,0)),$M287)</f>
        <v>3732.8669</v>
      </c>
      <c r="O287" s="4" t="s">
        <v>3362</v>
      </c>
      <c r="P287" s="4" t="s">
        <v>3363</v>
      </c>
      <c r="Q287" s="11" t="n">
        <f aca="false">MIN($B287,2022)</f>
        <v>2022</v>
      </c>
      <c r="R287" s="8" t="str">
        <f>IF(COUNT($S287:$U287)=0,"NO",IF($O287="CERO_DIRECTO","CAL",IF(OR($B287&gt;$Q287,COUNTIFS(DATOS_MODELO!$C$2:$C$3672,$Q287&amp;"|"&amp;$E287&amp;"|"&amp;$O287&amp;"|*",DATOS_MODELO!$F$2:$F$3672,"PRX",DATOS_MODELO!$AA$2:$AA$3672,"&lt;&gt;")&gt;0),"PRX",IF(COUNTIFS(DATOS_MODELO!$C$2:$C$3672,$Q287&amp;"|"&amp;$E287&amp;"|"&amp;$O287&amp;"|*",DATOS_MODELO!$F$2:$F$3672,"CAL",DATOS_MODELO!$AA$2:$AA$3672,"&lt;&gt;")&gt;0,"CAL","OBS"))))</f>
        <v>CAL</v>
      </c>
      <c r="S287" s="14">
        <f>IF(COUNTIFS(DATOS_MODELO!$C$2:$C$3672,$Q287&amp;"|"&amp;$E287&amp;"|"&amp;$O287&amp;"|CO2",DATOS_MODELO!$AA$2:$AA$3672,"&lt;&gt;")=0,"",INDEX(DATOS_MODELO!$AA$2:$AA$3672,MATCH($Q287&amp;"|"&amp;$E287&amp;"|"&amp;$O287&amp;"|CO2",DATOS_MODELO!$C$2:$C$3672,0)))</f>
        <v>0.0</v>
      </c>
      <c r="T287" s="14">
        <f>IF(COUNTIFS(DATOS_MODELO!$C$2:$C$3672,$Q287&amp;"|"&amp;$E287&amp;"|"&amp;$O287&amp;"|CH4",DATOS_MODELO!$AA$2:$AA$3672,"&lt;&gt;")=0,"",INDEX(DATOS_MODELO!$AA$2:$AA$3672,MATCH($Q287&amp;"|"&amp;$E287&amp;"|"&amp;$O287&amp;"|CH4",DATOS_MODELO!$C$2:$C$3672,0)))</f>
        <v>0.0</v>
      </c>
      <c r="U287" s="14">
        <f>IF(COUNTIFS(DATOS_MODELO!$C$2:$C$3672,$Q287&amp;"|"&amp;$E287&amp;"|"&amp;$O287&amp;"|N2O",DATOS_MODELO!$AA$2:$AA$3672,"&lt;&gt;")=0,"",INDEX(DATOS_MODELO!$AA$2:$AA$3672,MATCH($Q287&amp;"|"&amp;$E287&amp;"|"&amp;$O287&amp;"|N2O",DATOS_MODELO!$C$2:$C$3672,0)))</f>
        <v>0.0</v>
      </c>
      <c r="V287" s="8"/>
      <c r="W287" s="14"/>
      <c r="X287" s="14">
        <f>IF($P287="BIOGENICO",0,IF(ISNUMBER($S287),$N287*$S287/PARAMETROS!$B$8,""))</f>
        <v>0.0</v>
      </c>
      <c r="Y287" s="14">
        <f>IF($P287="BIOGENICO",IF(ISNUMBER($S287),$N287*$S287/PARAMETROS!$B$8,""),0)</f>
        <v>0.0</v>
      </c>
      <c r="Z287" s="14">
        <f>IF(ISNUMBER($T287),$N287*$T287/PARAMETROS!$B$8,"")</f>
        <v>0.0</v>
      </c>
      <c r="AA287" s="14">
        <f>IF(ISNUMBER($U287),$N287*$U287/PARAMETROS!$B$8,"")</f>
        <v>0.0</v>
      </c>
      <c r="AB287" s="14">
        <f>IF(COUNT($X287,$Z287,$AA287)=0,"",SUM($X287,IF(ISNUMBER($Z287),$Z287*PARAMETROS!$B$9,0),IF(ISNUMBER($AA287),$AA287*PARAMETROS!$B$10,0)))</f>
        <v>0.0</v>
      </c>
      <c r="AC287" s="4" t="s">
        <v>1990</v>
      </c>
      <c r="AD287" s="4"/>
      <c r="AE287" s="4" t="s">
        <v>3362</v>
      </c>
      <c r="AF287" s="4" t="s">
        <v>170</v>
      </c>
      <c r="AG287" s="4" t="inlineStr">
        <is>
          <t>METODO_EMISIONES</t>
        </is>
      </c>
      <c r="AH287" s="4"/>
    </row>
    <row r="288" customFormat="false" ht="23.85" hidden="false" customHeight="false" outlineLevel="0" collapsed="false">
      <c r="A288" s="4" t="s">
        <v>6059</v>
      </c>
      <c r="B288" s="12" t="n">
        <v>2023</v>
      </c>
      <c r="C288" s="4" t="s">
        <v>67</v>
      </c>
      <c r="D288" s="4" t="s">
        <v>5685</v>
      </c>
      <c r="E288" s="4" t="s">
        <v>3420</v>
      </c>
      <c r="F288" s="4" t="s">
        <v>3421</v>
      </c>
      <c r="G288" s="4" t="s">
        <v>99</v>
      </c>
      <c r="H288" s="4" t="s">
        <v>2139</v>
      </c>
      <c r="I288" s="4" t="s">
        <v>67</v>
      </c>
      <c r="J288" s="4" t="s">
        <v>2001</v>
      </c>
      <c r="K288" s="4" t="s">
        <v>2002</v>
      </c>
      <c r="L288" s="4" t="s">
        <v>1600</v>
      </c>
      <c r="M288" s="14" t="n">
        <f aca="false">SUMIFS(PSUT_LARGA!$K$2:$K$618,PSUT_LARGA!$B$2:$B$618,$B288,PSUT_LARGA!$H$2:$H$618,$L288,PSUT_LARGA!$E$2:$E$618,$J288,PSUT_LARGA!$F$2:$F$618,$K288,PSUT_LARGA!$G$2:$G$618,$I288,PSUT_LARGA!$I$2:$I$618,$H288)</f>
        <v>1834.5075</v>
      </c>
      <c r="N288" s="14" t="n">
        <f aca="false">IF($H288="TRANSFORMACION_REFINERIA",$M288*INDEX(PARAMETROS!$C$27:$C$33,MATCH($B288,PARAMETROS!$A$27:$A$33,0)),$M288)</f>
        <v>1834.5075</v>
      </c>
      <c r="O288" s="4" t="s">
        <v>3362</v>
      </c>
      <c r="P288" s="4" t="s">
        <v>3363</v>
      </c>
      <c r="Q288" s="11" t="n">
        <f aca="false">MIN($B288,2022)</f>
        <v>2022</v>
      </c>
      <c r="R288" s="8" t="str">
        <f>IF(COUNT($S288:$U288)=0,"NO",IF($O288="CERO_DIRECTO","CAL",IF(OR($B288&gt;$Q288,COUNTIFS(DATOS_MODELO!$C$2:$C$3672,$Q288&amp;"|"&amp;$E288&amp;"|"&amp;$O288&amp;"|*",DATOS_MODELO!$F$2:$F$3672,"PRX",DATOS_MODELO!$AA$2:$AA$3672,"&lt;&gt;")&gt;0),"PRX",IF(COUNTIFS(DATOS_MODELO!$C$2:$C$3672,$Q288&amp;"|"&amp;$E288&amp;"|"&amp;$O288&amp;"|*",DATOS_MODELO!$F$2:$F$3672,"CAL",DATOS_MODELO!$AA$2:$AA$3672,"&lt;&gt;")&gt;0,"CAL","OBS"))))</f>
        <v>CAL</v>
      </c>
      <c r="S288" s="14">
        <f>IF(COUNTIFS(DATOS_MODELO!$C$2:$C$3672,$Q288&amp;"|"&amp;$E288&amp;"|"&amp;$O288&amp;"|CO2",DATOS_MODELO!$AA$2:$AA$3672,"&lt;&gt;")=0,"",INDEX(DATOS_MODELO!$AA$2:$AA$3672,MATCH($Q288&amp;"|"&amp;$E288&amp;"|"&amp;$O288&amp;"|CO2",DATOS_MODELO!$C$2:$C$3672,0)))</f>
        <v>0.0</v>
      </c>
      <c r="T288" s="14">
        <f>IF(COUNTIFS(DATOS_MODELO!$C$2:$C$3672,$Q288&amp;"|"&amp;$E288&amp;"|"&amp;$O288&amp;"|CH4",DATOS_MODELO!$AA$2:$AA$3672,"&lt;&gt;")=0,"",INDEX(DATOS_MODELO!$AA$2:$AA$3672,MATCH($Q288&amp;"|"&amp;$E288&amp;"|"&amp;$O288&amp;"|CH4",DATOS_MODELO!$C$2:$C$3672,0)))</f>
        <v>0.0</v>
      </c>
      <c r="U288" s="14">
        <f>IF(COUNTIFS(DATOS_MODELO!$C$2:$C$3672,$Q288&amp;"|"&amp;$E288&amp;"|"&amp;$O288&amp;"|N2O",DATOS_MODELO!$AA$2:$AA$3672,"&lt;&gt;")=0,"",INDEX(DATOS_MODELO!$AA$2:$AA$3672,MATCH($Q288&amp;"|"&amp;$E288&amp;"|"&amp;$O288&amp;"|N2O",DATOS_MODELO!$C$2:$C$3672,0)))</f>
        <v>0.0</v>
      </c>
      <c r="V288" s="8"/>
      <c r="W288" s="14"/>
      <c r="X288" s="14">
        <f>IF($P288="BIOGENICO",0,IF(ISNUMBER($S288),$N288*$S288/PARAMETROS!$B$8,""))</f>
        <v>0.0</v>
      </c>
      <c r="Y288" s="14">
        <f>IF($P288="BIOGENICO",IF(ISNUMBER($S288),$N288*$S288/PARAMETROS!$B$8,""),0)</f>
        <v>0.0</v>
      </c>
      <c r="Z288" s="14">
        <f>IF(ISNUMBER($T288),$N288*$T288/PARAMETROS!$B$8,"")</f>
        <v>0.0</v>
      </c>
      <c r="AA288" s="14">
        <f>IF(ISNUMBER($U288),$N288*$U288/PARAMETROS!$B$8,"")</f>
        <v>0.0</v>
      </c>
      <c r="AB288" s="14">
        <f>IF(COUNT($X288,$Z288,$AA288)=0,"",SUM($X288,IF(ISNUMBER($Z288),$Z288*PARAMETROS!$B$9,0),IF(ISNUMBER($AA288),$AA288*PARAMETROS!$B$10,0)))</f>
        <v>0.0</v>
      </c>
      <c r="AC288" s="4" t="s">
        <v>1990</v>
      </c>
      <c r="AD288" s="4"/>
      <c r="AE288" s="4" t="s">
        <v>3362</v>
      </c>
      <c r="AF288" s="4" t="s">
        <v>170</v>
      </c>
      <c r="AG288" s="4" t="inlineStr">
        <is>
          <t>METODO_EMISIONES</t>
        </is>
      </c>
      <c r="AH288" s="4"/>
    </row>
    <row r="289" customFormat="false" ht="15" hidden="false" customHeight="false" outlineLevel="0" collapsed="false">
      <c r="A289" s="4" t="s">
        <v>6060</v>
      </c>
      <c r="B289" s="12" t="n">
        <v>2023</v>
      </c>
      <c r="C289" s="4" t="s">
        <v>67</v>
      </c>
      <c r="D289" s="4" t="s">
        <v>5685</v>
      </c>
      <c r="E289" s="4" t="s">
        <v>3341</v>
      </c>
      <c r="F289" s="4" t="s">
        <v>3342</v>
      </c>
      <c r="G289" s="4" t="s">
        <v>101</v>
      </c>
      <c r="H289" s="4" t="s">
        <v>2003</v>
      </c>
      <c r="I289" s="4" t="s">
        <v>67</v>
      </c>
      <c r="J289" s="4" t="s">
        <v>2001</v>
      </c>
      <c r="K289" s="4" t="s">
        <v>2002</v>
      </c>
      <c r="L289" s="4" t="s">
        <v>1612</v>
      </c>
      <c r="M289" s="14" t="n">
        <f aca="false">SUMIFS(PSUT_LARGA!$K$2:$K$618,PSUT_LARGA!$B$2:$B$618,$B289,PSUT_LARGA!$H$2:$H$618,$L289,PSUT_LARGA!$E$2:$E$618,$J289,PSUT_LARGA!$F$2:$F$618,$K289,PSUT_LARGA!$G$2:$G$618,$I289,PSUT_LARGA!$I$2:$I$618,$H289)</f>
        <v>4479.8586</v>
      </c>
      <c r="N289" s="14" t="n">
        <f aca="false">IF($H289="TRANSFORMACION_REFINERIA",$M289*INDEX(PARAMETROS!$C$27:$C$33,MATCH($B289,PARAMETROS!$A$27:$A$33,0)),$M289)</f>
        <v>4479.8586</v>
      </c>
      <c r="O289" s="4" t="inlineStr">
        <is>
          <t>COMB_FOIL</t>
        </is>
      </c>
      <c r="P289" s="4" t="s">
        <v>3352</v>
      </c>
      <c r="Q289" s="11" t="n">
        <f aca="false">MIN($B289,2022)</f>
        <v>2022</v>
      </c>
      <c r="R289" s="8" t="str">
        <f>IF(COUNT($S289:$U289)=0,"NO",IF($O289="CERO_DIRECTO","CAL",IF(OR($B289&gt;$Q289,COUNTIFS(DATOS_MODELO!$C$2:$C$3672,$Q289&amp;"|"&amp;$E289&amp;"|"&amp;$O289&amp;"|*",DATOS_MODELO!$F$2:$F$3672,"PRX",DATOS_MODELO!$AA$2:$AA$3672,"&lt;&gt;")&gt;0),"PRX",IF(COUNTIFS(DATOS_MODELO!$C$2:$C$3672,$Q289&amp;"|"&amp;$E289&amp;"|"&amp;$O289&amp;"|*",DATOS_MODELO!$F$2:$F$3672,"CAL",DATOS_MODELO!$AA$2:$AA$3672,"&lt;&gt;")&gt;0,"CAL","OBS"))))</f>
        <v>PRX</v>
      </c>
      <c r="S289" s="14">
        <f>IF(COUNTIFS(DATOS_MODELO!$C$2:$C$3672,$Q289&amp;"|"&amp;$E289&amp;"|"&amp;$O289&amp;"|CO2",DATOS_MODELO!$AA$2:$AA$3672,"&lt;&gt;")=0,"",INDEX(DATOS_MODELO!$AA$2:$AA$3672,MATCH($Q289&amp;"|"&amp;$E289&amp;"|"&amp;$O289&amp;"|CO2",DATOS_MODELO!$C$2:$C$3672,0)))</f>
        <v>77400.0</v>
      </c>
      <c r="T289" s="14">
        <f>IF(COUNTIFS(DATOS_MODELO!$C$2:$C$3672,$Q289&amp;"|"&amp;$E289&amp;"|"&amp;$O289&amp;"|CH4",DATOS_MODELO!$AA$2:$AA$3672,"&lt;&gt;")=0,"",INDEX(DATOS_MODELO!$AA$2:$AA$3672,MATCH($Q289&amp;"|"&amp;$E289&amp;"|"&amp;$O289&amp;"|CH4",DATOS_MODELO!$C$2:$C$3672,0)))</f>
        <v>3.0</v>
      </c>
      <c r="U289" s="14">
        <f>IF(COUNTIFS(DATOS_MODELO!$C$2:$C$3672,$Q289&amp;"|"&amp;$E289&amp;"|"&amp;$O289&amp;"|N2O",DATOS_MODELO!$AA$2:$AA$3672,"&lt;&gt;")=0,"",INDEX(DATOS_MODELO!$AA$2:$AA$3672,MATCH($Q289&amp;"|"&amp;$E289&amp;"|"&amp;$O289&amp;"|N2O",DATOS_MODELO!$C$2:$C$3672,0)))</f>
        <v>0.6</v>
      </c>
      <c r="V289" s="8"/>
      <c r="W289" s="14"/>
      <c r="X289" s="14">
        <f>IF($P289="BIOGENICO",0,IF(ISNUMBER($S289),$N289*$S289/PARAMETROS!$B$8,""))</f>
        <v>346.74105564</v>
      </c>
      <c r="Y289" s="14">
        <f>IF($P289="BIOGENICO",IF(ISNUMBER($S289),$N289*$S289/PARAMETROS!$B$8,""),0)</f>
        <v>0.0</v>
      </c>
      <c r="Z289" s="14">
        <f>IF(ISNUMBER($T289),$N289*$T289/PARAMETROS!$B$8,"")</f>
        <v>0.0134395758</v>
      </c>
      <c r="AA289" s="14">
        <f>IF(ISNUMBER($U289),$N289*$U289/PARAMETROS!$B$8,"")</f>
        <v>0.00268791516</v>
      </c>
      <c r="AB289" s="14">
        <f>IF(COUNT($X289,$Z289,$AA289)=0,"",SUM($X289,IF(ISNUMBER($Z289),$Z289*PARAMETROS!$B$9,0),IF(ISNUMBER($AA289),$AA289*PARAMETROS!$B$10,0)))</f>
        <v>347.8296612798</v>
      </c>
      <c r="AC289" s="4" t="s">
        <v>1990</v>
      </c>
      <c r="AD289" s="4"/>
      <c r="AE289" s="4" t="s">
        <v>5690</v>
      </c>
      <c r="AF289" s="4" t="s">
        <v>170</v>
      </c>
      <c r="AG289" s="4" t="inlineStr">
        <is>
          <t>MARN_GTM_BTR1_2024</t>
        </is>
      </c>
      <c r="AH289" s="4" t="inlineStr">
        <is>
          <t>Origen de factores: CO2: MARN_GTM_BTR1_2024 [PRX; BTR1 Guatemala 2024, tabla 3.6, p. 48; fila Fuelóleo residual; gas CO2]; CH4: MARN_GTM_BTR1_2024 [PRX; BTR1 Guatemala 2024, tabla 3.17, p. 57; fila Fuelóleo residual; gas CH4]; N2O: MARN_GTM_BTR1_2024 [PRX; BTR1 Guatemala 2024, tabla 3.17, p. 57; fila Fuelóleo residual; gas N2O].</t>
        </is>
      </c>
    </row>
    <row r="290" customFormat="false" ht="15" hidden="false" customHeight="false" outlineLevel="0" collapsed="false">
      <c r="A290" s="4" t="s">
        <v>6061</v>
      </c>
      <c r="B290" s="12" t="n">
        <v>2023</v>
      </c>
      <c r="C290" s="4" t="s">
        <v>67</v>
      </c>
      <c r="D290" s="4" t="s">
        <v>5685</v>
      </c>
      <c r="E290" s="4" t="s">
        <v>3341</v>
      </c>
      <c r="F290" s="4" t="s">
        <v>3342</v>
      </c>
      <c r="G290" s="4" t="s">
        <v>101</v>
      </c>
      <c r="H290" s="4" t="s">
        <v>2008</v>
      </c>
      <c r="I290" s="4" t="s">
        <v>67</v>
      </c>
      <c r="J290" s="4" t="s">
        <v>2001</v>
      </c>
      <c r="K290" s="4" t="s">
        <v>2002</v>
      </c>
      <c r="L290" s="4" t="s">
        <v>1613</v>
      </c>
      <c r="M290" s="14" t="n">
        <f aca="false">SUMIFS(PSUT_LARGA!$K$2:$K$618,PSUT_LARGA!$B$2:$B$618,$B290,PSUT_LARGA!$H$2:$H$618,$L290,PSUT_LARGA!$E$2:$E$618,$J290,PSUT_LARGA!$F$2:$F$618,$K290,PSUT_LARGA!$G$2:$G$618,$I290,PSUT_LARGA!$I$2:$I$618,$H290)</f>
        <v>67.4541</v>
      </c>
      <c r="N290" s="14" t="n">
        <f aca="false">IF($H290="TRANSFORMACION_REFINERIA",$M290*INDEX(PARAMETROS!$C$27:$C$33,MATCH($B290,PARAMETROS!$A$27:$A$33,0)),$M290)</f>
        <v>67.4541</v>
      </c>
      <c r="O290" s="4" t="inlineStr">
        <is>
          <t>COMB_FOIL</t>
        </is>
      </c>
      <c r="P290" s="4" t="s">
        <v>3352</v>
      </c>
      <c r="Q290" s="11" t="n">
        <f aca="false">MIN($B290,2022)</f>
        <v>2022</v>
      </c>
      <c r="R290" s="8" t="str">
        <f>IF(COUNT($S290:$U290)=0,"NO",IF($O290="CERO_DIRECTO","CAL",IF(OR($B290&gt;$Q290,COUNTIFS(DATOS_MODELO!$C$2:$C$3672,$Q290&amp;"|"&amp;$E290&amp;"|"&amp;$O290&amp;"|*",DATOS_MODELO!$F$2:$F$3672,"PRX",DATOS_MODELO!$AA$2:$AA$3672,"&lt;&gt;")&gt;0),"PRX",IF(COUNTIFS(DATOS_MODELO!$C$2:$C$3672,$Q290&amp;"|"&amp;$E290&amp;"|"&amp;$O290&amp;"|*",DATOS_MODELO!$F$2:$F$3672,"CAL",DATOS_MODELO!$AA$2:$AA$3672,"&lt;&gt;")&gt;0,"CAL","OBS"))))</f>
        <v>PRX</v>
      </c>
      <c r="S290" s="14">
        <f>IF(COUNTIFS(DATOS_MODELO!$C$2:$C$3672,$Q290&amp;"|"&amp;$E290&amp;"|"&amp;$O290&amp;"|CO2",DATOS_MODELO!$AA$2:$AA$3672,"&lt;&gt;")=0,"",INDEX(DATOS_MODELO!$AA$2:$AA$3672,MATCH($Q290&amp;"|"&amp;$E290&amp;"|"&amp;$O290&amp;"|CO2",DATOS_MODELO!$C$2:$C$3672,0)))</f>
        <v>77400.0</v>
      </c>
      <c r="T290" s="14">
        <f>IF(COUNTIFS(DATOS_MODELO!$C$2:$C$3672,$Q290&amp;"|"&amp;$E290&amp;"|"&amp;$O290&amp;"|CH4",DATOS_MODELO!$AA$2:$AA$3672,"&lt;&gt;")=0,"",INDEX(DATOS_MODELO!$AA$2:$AA$3672,MATCH($Q290&amp;"|"&amp;$E290&amp;"|"&amp;$O290&amp;"|CH4",DATOS_MODELO!$C$2:$C$3672,0)))</f>
        <v>3.0</v>
      </c>
      <c r="U290" s="14">
        <f>IF(COUNTIFS(DATOS_MODELO!$C$2:$C$3672,$Q290&amp;"|"&amp;$E290&amp;"|"&amp;$O290&amp;"|N2O",DATOS_MODELO!$AA$2:$AA$3672,"&lt;&gt;")=0,"",INDEX(DATOS_MODELO!$AA$2:$AA$3672,MATCH($Q290&amp;"|"&amp;$E290&amp;"|"&amp;$O290&amp;"|N2O",DATOS_MODELO!$C$2:$C$3672,0)))</f>
        <v>0.6</v>
      </c>
      <c r="V290" s="8"/>
      <c r="W290" s="14"/>
      <c r="X290" s="14">
        <f>IF($P290="BIOGENICO",0,IF(ISNUMBER($S290),$N290*$S290/PARAMETROS!$B$8,""))</f>
        <v>5.22094734</v>
      </c>
      <c r="Y290" s="14">
        <f>IF($P290="BIOGENICO",IF(ISNUMBER($S290),$N290*$S290/PARAMETROS!$B$8,""),0)</f>
        <v>0.0</v>
      </c>
      <c r="Z290" s="14">
        <f>IF(ISNUMBER($T290),$N290*$T290/PARAMETROS!$B$8,"")</f>
        <v>0.0002023623</v>
      </c>
      <c r="AA290" s="14">
        <f>IF(ISNUMBER($U290),$N290*$U290/PARAMETROS!$B$8,"")</f>
        <v>4.047246e-05</v>
      </c>
      <c r="AB290" s="14">
        <f>IF(COUNT($X290,$Z290,$AA290)=0,"",SUM($X290,IF(ISNUMBER($Z290),$Z290*PARAMETROS!$B$9,0),IF(ISNUMBER($AA290),$AA290*PARAMETROS!$B$10,0)))</f>
        <v>5.2373386863</v>
      </c>
      <c r="AC290" s="4" t="s">
        <v>1990</v>
      </c>
      <c r="AD290" s="4"/>
      <c r="AE290" s="4" t="s">
        <v>5690</v>
      </c>
      <c r="AF290" s="4" t="s">
        <v>170</v>
      </c>
      <c r="AG290" s="4" t="inlineStr">
        <is>
          <t>MARN_GTM_BTR1_2024</t>
        </is>
      </c>
      <c r="AH290" s="4" t="inlineStr">
        <is>
          <t>Origen de factores: CO2: MARN_GTM_BTR1_2024 [PRX; BTR1 Guatemala 2024, tabla 3.6, p. 48; fila Fuelóleo residual; gas CO2]; CH4: MARN_GTM_BTR1_2024 [PRX; BTR1 Guatemala 2024, tabla 3.17, p. 57; fila Fuelóleo residual; gas CH4]; N2O: MARN_GTM_BTR1_2024 [PRX; BTR1 Guatemala 2024, tabla 3.17, p. 57; fila Fuelóleo residual; gas N2O].</t>
        </is>
      </c>
    </row>
    <row r="291" customFormat="false" ht="15" hidden="false" customHeight="false" outlineLevel="0" collapsed="false">
      <c r="A291" s="4" t="s">
        <v>6062</v>
      </c>
      <c r="B291" s="12" t="n">
        <v>2023</v>
      </c>
      <c r="C291" s="4" t="s">
        <v>73</v>
      </c>
      <c r="D291" s="4" t="s">
        <v>5685</v>
      </c>
      <c r="E291" s="4" t="s">
        <v>3380</v>
      </c>
      <c r="F291" s="4" t="s">
        <v>3381</v>
      </c>
      <c r="G291" s="4" t="s">
        <v>109</v>
      </c>
      <c r="H291" s="4" t="s">
        <v>2075</v>
      </c>
      <c r="I291" s="4" t="s">
        <v>73</v>
      </c>
      <c r="J291" s="4" t="s">
        <v>2001</v>
      </c>
      <c r="K291" s="4" t="s">
        <v>2074</v>
      </c>
      <c r="L291" s="4" t="s">
        <v>1532</v>
      </c>
      <c r="M291" s="14" t="n">
        <f aca="false">SUMIFS(PSUT_LARGA!$K$2:$K$618,PSUT_LARGA!$B$2:$B$618,$B291,PSUT_LARGA!$H$2:$H$618,$L291,PSUT_LARGA!$E$2:$E$618,$J291,PSUT_LARGA!$F$2:$F$618,$K291,PSUT_LARGA!$G$2:$G$618,$I291,PSUT_LARGA!$I$2:$I$618,$H291)</f>
        <v>322600.8891</v>
      </c>
      <c r="N291" s="14" t="n">
        <f aca="false">IF($H291="TRANSFORMACION_REFINERIA",$M291*INDEX(PARAMETROS!$C$27:$C$33,MATCH($B291,PARAMETROS!$A$27:$A$33,0)),$M291)</f>
        <v>322600.8891</v>
      </c>
      <c r="O291" s="4" t="s">
        <v>3343</v>
      </c>
      <c r="P291" s="4" t="s">
        <v>3344</v>
      </c>
      <c r="Q291" s="11" t="n">
        <f aca="false">MIN($B291,2022)</f>
        <v>2022</v>
      </c>
      <c r="R291" s="8" t="str">
        <f>IF(COUNT($S291:$U291)=0,"NO",IF($O291="CERO_DIRECTO","CAL",IF(OR($B291&gt;$Q291,COUNTIFS(DATOS_MODELO!$C$2:$C$3672,$Q291&amp;"|"&amp;$E291&amp;"|"&amp;$O291&amp;"|*",DATOS_MODELO!$F$2:$F$3672,"PRX",DATOS_MODELO!$AA$2:$AA$3672,"&lt;&gt;")&gt;0),"PRX",IF(COUNTIFS(DATOS_MODELO!$C$2:$C$3672,$Q291&amp;"|"&amp;$E291&amp;"|"&amp;$O291&amp;"|*",DATOS_MODELO!$F$2:$F$3672,"CAL",DATOS_MODELO!$AA$2:$AA$3672,"&lt;&gt;")&gt;0,"CAL","OBS"))))</f>
        <v>PRX</v>
      </c>
      <c r="S291" s="14">
        <f>IF(COUNTIFS(DATOS_MODELO!$C$2:$C$3672,$Q291&amp;"|"&amp;$E291&amp;"|"&amp;$O291&amp;"|CO2",DATOS_MODELO!$AA$2:$AA$3672,"&lt;&gt;")=0,"",INDEX(DATOS_MODELO!$AA$2:$AA$3672,MATCH($Q291&amp;"|"&amp;$E291&amp;"|"&amp;$O291&amp;"|CO2",DATOS_MODELO!$C$2:$C$3672,0)))</f>
        <v>112000.000077955</v>
      </c>
      <c r="T291" s="14">
        <f>IF(COUNTIFS(DATOS_MODELO!$C$2:$C$3672,$Q291&amp;"|"&amp;$E291&amp;"|"&amp;$O291&amp;"|CH4",DATOS_MODELO!$AA$2:$AA$3672,"&lt;&gt;")=0,"",INDEX(DATOS_MODELO!$AA$2:$AA$3672,MATCH($Q291&amp;"|"&amp;$E291&amp;"|"&amp;$O291&amp;"|CH4",DATOS_MODELO!$C$2:$C$3672,0)))</f>
        <v>300.0</v>
      </c>
      <c r="U291" s="14">
        <f>IF(COUNTIFS(DATOS_MODELO!$C$2:$C$3672,$Q291&amp;"|"&amp;$E291&amp;"|"&amp;$O291&amp;"|N2O",DATOS_MODELO!$AA$2:$AA$3672,"&lt;&gt;")=0,"",INDEX(DATOS_MODELO!$AA$2:$AA$3672,MATCH($Q291&amp;"|"&amp;$E291&amp;"|"&amp;$O291&amp;"|N2O",DATOS_MODELO!$C$2:$C$3672,0)))</f>
        <v>3.99999999350378</v>
      </c>
      <c r="V291" s="8"/>
      <c r="W291" s="14"/>
      <c r="X291" s="14">
        <f>IF($P291="BIOGENICO",0,IF(ISNUMBER($S291),$N291*$S291/PARAMETROS!$B$8,""))</f>
        <v>0.0</v>
      </c>
      <c r="Y291" s="14">
        <f>IF($P291="BIOGENICO",IF(ISNUMBER($S291),$N291*$S291/PARAMETROS!$B$8,""),0)</f>
        <v>36131.2996043482</v>
      </c>
      <c r="Z291" s="14">
        <f>IF(ISNUMBER($T291),$N291*$T291/PARAMETROS!$B$8,"")</f>
        <v>96.78026673</v>
      </c>
      <c r="AA291" s="14">
        <f>IF(ISNUMBER($U291),$N291*$U291/PARAMETROS!$B$8,"")</f>
        <v>1.29040355430431</v>
      </c>
      <c r="AB291" s="14">
        <f>IF(COUNT($X291,$Z291,$AA291)=0,"",SUM($X291,IF(ISNUMBER($Z291),$Z291*PARAMETROS!$B$9,0),IF(ISNUMBER($AA291),$AA291*PARAMETROS!$B$10,0)))</f>
        <v>3051.80441033064</v>
      </c>
      <c r="AC291" s="4" t="s">
        <v>1990</v>
      </c>
      <c r="AD291" s="4"/>
      <c r="AE291" s="4" t="s">
        <v>5690</v>
      </c>
      <c r="AF291" s="4" t="s">
        <v>170</v>
      </c>
      <c r="AG291" s="4" t="s">
        <v>3999</v>
      </c>
      <c r="AH291" s="4"/>
    </row>
    <row r="292" customFormat="false" ht="23.85" hidden="false" customHeight="false" outlineLevel="0" collapsed="false">
      <c r="A292" s="4" t="s">
        <v>6063</v>
      </c>
      <c r="B292" s="12" t="n">
        <v>2023</v>
      </c>
      <c r="C292" s="4" t="s">
        <v>73</v>
      </c>
      <c r="D292" s="4" t="s">
        <v>5685</v>
      </c>
      <c r="E292" s="4" t="s">
        <v>3380</v>
      </c>
      <c r="F292" s="4" t="s">
        <v>3381</v>
      </c>
      <c r="G292" s="4" t="s">
        <v>99</v>
      </c>
      <c r="H292" s="4" t="s">
        <v>2075</v>
      </c>
      <c r="I292" s="4" t="s">
        <v>73</v>
      </c>
      <c r="J292" s="4" t="s">
        <v>2001</v>
      </c>
      <c r="K292" s="4" t="s">
        <v>2074</v>
      </c>
      <c r="L292" s="4" t="s">
        <v>1602</v>
      </c>
      <c r="M292" s="14" t="n">
        <f aca="false">SUMIFS(PSUT_LARGA!$K$2:$K$618,PSUT_LARGA!$B$2:$B$618,$B292,PSUT_LARGA!$H$2:$H$618,$L292,PSUT_LARGA!$E$2:$E$618,$J292,PSUT_LARGA!$F$2:$F$618,$K292,PSUT_LARGA!$G$2:$G$618,$I292,PSUT_LARGA!$I$2:$I$618,$H292)</f>
        <v>15575.2156</v>
      </c>
      <c r="N292" s="14" t="n">
        <f aca="false">IF($H292="TRANSFORMACION_REFINERIA",$M292*INDEX(PARAMETROS!$C$27:$C$33,MATCH($B292,PARAMETROS!$A$27:$A$33,0)),$M292)</f>
        <v>15575.2156</v>
      </c>
      <c r="O292" s="4" t="s">
        <v>3362</v>
      </c>
      <c r="P292" s="4" t="s">
        <v>3363</v>
      </c>
      <c r="Q292" s="11" t="n">
        <f aca="false">MIN($B292,2022)</f>
        <v>2022</v>
      </c>
      <c r="R292" s="8" t="str">
        <f>IF(COUNT($S292:$U292)=0,"NO",IF($O292="CERO_DIRECTO","CAL",IF(OR($B292&gt;$Q292,COUNTIFS(DATOS_MODELO!$C$2:$C$3672,$Q292&amp;"|"&amp;$E292&amp;"|"&amp;$O292&amp;"|*",DATOS_MODELO!$F$2:$F$3672,"PRX",DATOS_MODELO!$AA$2:$AA$3672,"&lt;&gt;")&gt;0),"PRX",IF(COUNTIFS(DATOS_MODELO!$C$2:$C$3672,$Q292&amp;"|"&amp;$E292&amp;"|"&amp;$O292&amp;"|*",DATOS_MODELO!$F$2:$F$3672,"CAL",DATOS_MODELO!$AA$2:$AA$3672,"&lt;&gt;")&gt;0,"CAL","OBS"))))</f>
        <v>CAL</v>
      </c>
      <c r="S292" s="14">
        <f>IF(COUNTIFS(DATOS_MODELO!$C$2:$C$3672,$Q292&amp;"|"&amp;$E292&amp;"|"&amp;$O292&amp;"|CO2",DATOS_MODELO!$AA$2:$AA$3672,"&lt;&gt;")=0,"",INDEX(DATOS_MODELO!$AA$2:$AA$3672,MATCH($Q292&amp;"|"&amp;$E292&amp;"|"&amp;$O292&amp;"|CO2",DATOS_MODELO!$C$2:$C$3672,0)))</f>
        <v>0.0</v>
      </c>
      <c r="T292" s="14">
        <f>IF(COUNTIFS(DATOS_MODELO!$C$2:$C$3672,$Q292&amp;"|"&amp;$E292&amp;"|"&amp;$O292&amp;"|CH4",DATOS_MODELO!$AA$2:$AA$3672,"&lt;&gt;")=0,"",INDEX(DATOS_MODELO!$AA$2:$AA$3672,MATCH($Q292&amp;"|"&amp;$E292&amp;"|"&amp;$O292&amp;"|CH4",DATOS_MODELO!$C$2:$C$3672,0)))</f>
        <v>0.0</v>
      </c>
      <c r="U292" s="14">
        <f>IF(COUNTIFS(DATOS_MODELO!$C$2:$C$3672,$Q292&amp;"|"&amp;$E292&amp;"|"&amp;$O292&amp;"|N2O",DATOS_MODELO!$AA$2:$AA$3672,"&lt;&gt;")=0,"",INDEX(DATOS_MODELO!$AA$2:$AA$3672,MATCH($Q292&amp;"|"&amp;$E292&amp;"|"&amp;$O292&amp;"|N2O",DATOS_MODELO!$C$2:$C$3672,0)))</f>
        <v>0.0</v>
      </c>
      <c r="V292" s="8"/>
      <c r="W292" s="14"/>
      <c r="X292" s="14">
        <f>IF($P292="BIOGENICO",0,IF(ISNUMBER($S292),$N292*$S292/PARAMETROS!$B$8,""))</f>
        <v>0.0</v>
      </c>
      <c r="Y292" s="14">
        <f>IF($P292="BIOGENICO",IF(ISNUMBER($S292),$N292*$S292/PARAMETROS!$B$8,""),0)</f>
        <v>0.0</v>
      </c>
      <c r="Z292" s="14">
        <f>IF(ISNUMBER($T292),$N292*$T292/PARAMETROS!$B$8,"")</f>
        <v>0.0</v>
      </c>
      <c r="AA292" s="14">
        <f>IF(ISNUMBER($U292),$N292*$U292/PARAMETROS!$B$8,"")</f>
        <v>0.0</v>
      </c>
      <c r="AB292" s="14">
        <f>IF(COUNT($X292,$Z292,$AA292)=0,"",SUM($X292,IF(ISNUMBER($Z292),$Z292*PARAMETROS!$B$9,0),IF(ISNUMBER($AA292),$AA292*PARAMETROS!$B$10,0)))</f>
        <v>0.0</v>
      </c>
      <c r="AC292" s="4" t="s">
        <v>1990</v>
      </c>
      <c r="AD292" s="4"/>
      <c r="AE292" s="4" t="s">
        <v>3362</v>
      </c>
      <c r="AF292" s="4" t="s">
        <v>170</v>
      </c>
      <c r="AG292" s="4" t="inlineStr">
        <is>
          <t>METODO_EMISIONES</t>
        </is>
      </c>
      <c r="AH292" s="4"/>
    </row>
    <row r="293" customFormat="false" ht="15" hidden="false" customHeight="false" outlineLevel="0" collapsed="false">
      <c r="A293" s="4" t="s">
        <v>6064</v>
      </c>
      <c r="B293" s="12" t="n">
        <v>2023</v>
      </c>
      <c r="C293" s="4" t="s">
        <v>73</v>
      </c>
      <c r="D293" s="4" t="s">
        <v>5685</v>
      </c>
      <c r="E293" s="4" t="s">
        <v>3380</v>
      </c>
      <c r="F293" s="4" t="s">
        <v>3381</v>
      </c>
      <c r="G293" s="4" t="s">
        <v>105</v>
      </c>
      <c r="H293" s="4" t="s">
        <v>2075</v>
      </c>
      <c r="I293" s="4" t="s">
        <v>73</v>
      </c>
      <c r="J293" s="4" t="s">
        <v>2001</v>
      </c>
      <c r="K293" s="4" t="s">
        <v>2074</v>
      </c>
      <c r="L293" s="4" t="s">
        <v>1644</v>
      </c>
      <c r="M293" s="14" t="n">
        <f aca="false">SUMIFS(PSUT_LARGA!$K$2:$K$618,PSUT_LARGA!$B$2:$B$618,$B293,PSUT_LARGA!$H$2:$H$618,$L293,PSUT_LARGA!$E$2:$E$618,$J293,PSUT_LARGA!$F$2:$F$618,$K293,PSUT_LARGA!$G$2:$G$618,$I293,PSUT_LARGA!$I$2:$I$618,$H293)</f>
        <v>19241.7323</v>
      </c>
      <c r="N293" s="14" t="n">
        <f aca="false">IF($H293="TRANSFORMACION_REFINERIA",$M293*INDEX(PARAMETROS!$C$27:$C$33,MATCH($B293,PARAMETROS!$A$27:$A$33,0)),$M293)</f>
        <v>19241.7323</v>
      </c>
      <c r="O293" s="4" t="inlineStr">
        <is>
          <t>COMB_GLP</t>
        </is>
      </c>
      <c r="P293" s="4" t="s">
        <v>3352</v>
      </c>
      <c r="Q293" s="11" t="n">
        <f aca="false">MIN($B293,2022)</f>
        <v>2022</v>
      </c>
      <c r="R293" s="8" t="str">
        <f>IF(COUNT($S293:$U293)=0,"NO",IF($O293="CERO_DIRECTO","CAL",IF(OR($B293&gt;$Q293,COUNTIFS(DATOS_MODELO!$C$2:$C$3672,$Q293&amp;"|"&amp;$E293&amp;"|"&amp;$O293&amp;"|*",DATOS_MODELO!$F$2:$F$3672,"PRX",DATOS_MODELO!$AA$2:$AA$3672,"&lt;&gt;")&gt;0),"PRX",IF(COUNTIFS(DATOS_MODELO!$C$2:$C$3672,$Q293&amp;"|"&amp;$E293&amp;"|"&amp;$O293&amp;"|*",DATOS_MODELO!$F$2:$F$3672,"CAL",DATOS_MODELO!$AA$2:$AA$3672,"&lt;&gt;")&gt;0,"CAL","OBS"))))</f>
        <v>PRX</v>
      </c>
      <c r="S293" s="14">
        <f>IF(COUNTIFS(DATOS_MODELO!$C$2:$C$3672,$Q293&amp;"|"&amp;$E293&amp;"|"&amp;$O293&amp;"|CO2",DATOS_MODELO!$AA$2:$AA$3672,"&lt;&gt;")=0,"",INDEX(DATOS_MODELO!$AA$2:$AA$3672,MATCH($Q293&amp;"|"&amp;$E293&amp;"|"&amp;$O293&amp;"|CO2",DATOS_MODELO!$C$2:$C$3672,0)))</f>
        <v>63100.0</v>
      </c>
      <c r="T293" s="14">
        <f>IF(COUNTIFS(DATOS_MODELO!$C$2:$C$3672,$Q293&amp;"|"&amp;$E293&amp;"|"&amp;$O293&amp;"|CH4",DATOS_MODELO!$AA$2:$AA$3672,"&lt;&gt;")=0,"",INDEX(DATOS_MODELO!$AA$2:$AA$3672,MATCH($Q293&amp;"|"&amp;$E293&amp;"|"&amp;$O293&amp;"|CH4",DATOS_MODELO!$C$2:$C$3672,0)))</f>
        <v>5.0</v>
      </c>
      <c r="U293" s="14">
        <f>IF(COUNTIFS(DATOS_MODELO!$C$2:$C$3672,$Q293&amp;"|"&amp;$E293&amp;"|"&amp;$O293&amp;"|N2O",DATOS_MODELO!$AA$2:$AA$3672,"&lt;&gt;")=0,"",INDEX(DATOS_MODELO!$AA$2:$AA$3672,MATCH($Q293&amp;"|"&amp;$E293&amp;"|"&amp;$O293&amp;"|N2O",DATOS_MODELO!$C$2:$C$3672,0)))</f>
        <v>0.1</v>
      </c>
      <c r="V293" s="8"/>
      <c r="W293" s="14"/>
      <c r="X293" s="14">
        <f>IF($P293="BIOGENICO",0,IF(ISNUMBER($S293),$N293*$S293/PARAMETROS!$B$8,""))</f>
        <v>1214.15330813</v>
      </c>
      <c r="Y293" s="14">
        <f>IF($P293="BIOGENICO",IF(ISNUMBER($S293),$N293*$S293/PARAMETROS!$B$8,""),0)</f>
        <v>0.0</v>
      </c>
      <c r="Z293" s="14">
        <f>IF(ISNUMBER($T293),$N293*$T293/PARAMETROS!$B$8,"")</f>
        <v>0.0962086615</v>
      </c>
      <c r="AA293" s="14">
        <f>IF(ISNUMBER($U293),$N293*$U293/PARAMETROS!$B$8,"")</f>
        <v>0.00192417323</v>
      </c>
      <c r="AB293" s="14">
        <f>IF(COUNT($X293,$Z293,$AA293)=0,"",SUM($X293,IF(ISNUMBER($Z293),$Z293*PARAMETROS!$B$9,0),IF(ISNUMBER($AA293),$AA293*PARAMETROS!$B$10,0)))</f>
        <v>1217.35705655795</v>
      </c>
      <c r="AC293" s="4" t="s">
        <v>1990</v>
      </c>
      <c r="AD293" s="4"/>
      <c r="AE293" s="4" t="s">
        <v>5690</v>
      </c>
      <c r="AF293" s="4" t="s">
        <v>170</v>
      </c>
      <c r="AG293" s="4" t="inlineStr">
        <is>
          <t>MARN_GTM_BTR1_2024</t>
        </is>
      </c>
      <c r="AH293" s="4" t="inlineStr">
        <is>
          <t>Origen de factores: CO2: MARN_GTM_BTR1_2024 [PRX; BTR1 Guatemala 2024, tabla 3.6, p. 48; fila Gases licuados de petróleo; gas CO2]; CH4: MARN_GTM_BTR1_2024 [PRX; BTR1 Guatemala 2024, tabla 3.33, p. 70; fila Gases licuados de petróleo; gas CH4]; N2O: MARN_GTM_BTR1_2024 [PRX; BTR1 Guatemala 2024, tabla 3.33, p. 70; fila Gases licuados de petróleo; gas N2O].</t>
        </is>
      </c>
    </row>
    <row r="294" customFormat="false" ht="15" hidden="false" customHeight="false" outlineLevel="0" collapsed="false">
      <c r="A294" s="4" t="s">
        <v>6065</v>
      </c>
      <c r="B294" s="12" t="n">
        <v>2023</v>
      </c>
      <c r="C294" s="4" t="s">
        <v>68</v>
      </c>
      <c r="D294" s="4" t="s">
        <v>5685</v>
      </c>
      <c r="E294" s="4" t="s">
        <v>3404</v>
      </c>
      <c r="F294" s="4" t="s">
        <v>3405</v>
      </c>
      <c r="G294" s="4" t="s">
        <v>95</v>
      </c>
      <c r="H294" s="4" t="s">
        <v>2111</v>
      </c>
      <c r="I294" s="4" t="s">
        <v>68</v>
      </c>
      <c r="J294" s="4" t="s">
        <v>2001</v>
      </c>
      <c r="K294" s="4" t="s">
        <v>2002</v>
      </c>
      <c r="L294" s="4" t="s">
        <v>1576</v>
      </c>
      <c r="M294" s="14" t="n">
        <f aca="false">SUMIFS(PSUT_LARGA!$K$2:$K$618,PSUT_LARGA!$B$2:$B$618,$B294,PSUT_LARGA!$H$2:$H$618,$L294,PSUT_LARGA!$E$2:$E$618,$J294,PSUT_LARGA!$F$2:$F$618,$K294,PSUT_LARGA!$G$2:$G$618,$I294,PSUT_LARGA!$I$2:$I$618,$H294)</f>
        <v>25038.7179</v>
      </c>
      <c r="N294" s="14" t="n">
        <f aca="false">IF($H294="TRANSFORMACION_REFINERIA",$M294*INDEX(PARAMETROS!$C$27:$C$33,MATCH($B294,PARAMETROS!$A$27:$A$33,0)),$M294)</f>
        <v>25038.7179</v>
      </c>
      <c r="O294" s="4" t="inlineStr">
        <is>
          <t>COMB_COQUE</t>
        </is>
      </c>
      <c r="P294" s="4" t="s">
        <v>3352</v>
      </c>
      <c r="Q294" s="11" t="n">
        <f aca="false">MIN($B294,2022)</f>
        <v>2022</v>
      </c>
      <c r="R294" s="8" t="str">
        <f>IF(COUNT($S294:$U294)=0,"NO",IF($O294="CERO_DIRECTO","CAL",IF(OR($B294&gt;$Q294,COUNTIFS(DATOS_MODELO!$C$2:$C$3672,$Q294&amp;"|"&amp;$E294&amp;"|"&amp;$O294&amp;"|*",DATOS_MODELO!$F$2:$F$3672,"PRX",DATOS_MODELO!$AA$2:$AA$3672,"&lt;&gt;")&gt;0),"PRX",IF(COUNTIFS(DATOS_MODELO!$C$2:$C$3672,$Q294&amp;"|"&amp;$E294&amp;"|"&amp;$O294&amp;"|*",DATOS_MODELO!$F$2:$F$3672,"CAL",DATOS_MODELO!$AA$2:$AA$3672,"&lt;&gt;")&gt;0,"CAL","OBS"))))</f>
        <v>PRX</v>
      </c>
      <c r="S294" s="14">
        <f>IF(COUNTIFS(DATOS_MODELO!$C$2:$C$3672,$Q294&amp;"|"&amp;$E294&amp;"|"&amp;$O294&amp;"|CO2",DATOS_MODELO!$AA$2:$AA$3672,"&lt;&gt;")=0,"",INDEX(DATOS_MODELO!$AA$2:$AA$3672,MATCH($Q294&amp;"|"&amp;$E294&amp;"|"&amp;$O294&amp;"|CO2",DATOS_MODELO!$C$2:$C$3672,0)))</f>
        <v>97500.0</v>
      </c>
      <c r="T294" s="14">
        <f>IF(COUNTIFS(DATOS_MODELO!$C$2:$C$3672,$Q294&amp;"|"&amp;$E294&amp;"|"&amp;$O294&amp;"|CH4",DATOS_MODELO!$AA$2:$AA$3672,"&lt;&gt;")=0,"",INDEX(DATOS_MODELO!$AA$2:$AA$3672,MATCH($Q294&amp;"|"&amp;$E294&amp;"|"&amp;$O294&amp;"|CH4",DATOS_MODELO!$C$2:$C$3672,0)))</f>
        <v>3.0</v>
      </c>
      <c r="U294" s="14">
        <f>IF(COUNTIFS(DATOS_MODELO!$C$2:$C$3672,$Q294&amp;"|"&amp;$E294&amp;"|"&amp;$O294&amp;"|N2O",DATOS_MODELO!$AA$2:$AA$3672,"&lt;&gt;")=0,"",INDEX(DATOS_MODELO!$AA$2:$AA$3672,MATCH($Q294&amp;"|"&amp;$E294&amp;"|"&amp;$O294&amp;"|N2O",DATOS_MODELO!$C$2:$C$3672,0)))</f>
        <v>0.6</v>
      </c>
      <c r="V294" s="8"/>
      <c r="W294" s="14"/>
      <c r="X294" s="14">
        <f>IF($P294="BIOGENICO",0,IF(ISNUMBER($S294),$N294*$S294/PARAMETROS!$B$8,""))</f>
        <v>2441.27499525</v>
      </c>
      <c r="Y294" s="14">
        <f>IF($P294="BIOGENICO",IF(ISNUMBER($S294),$N294*$S294/PARAMETROS!$B$8,""),0)</f>
        <v>0.0</v>
      </c>
      <c r="Z294" s="14">
        <f>IF(ISNUMBER($T294),$N294*$T294/PARAMETROS!$B$8,"")</f>
        <v>0.0751161537</v>
      </c>
      <c r="AA294" s="14">
        <f>IF(ISNUMBER($U294),$N294*$U294/PARAMETROS!$B$8,"")</f>
        <v>0.01502323074</v>
      </c>
      <c r="AB294" s="14">
        <f>IF(COUNT($X294,$Z294,$AA294)=0,"",SUM($X294,IF(ISNUMBER($Z294),$Z294*PARAMETROS!$B$9,0),IF(ISNUMBER($AA294),$AA294*PARAMETROS!$B$10,0)))</f>
        <v>2447.3594036997</v>
      </c>
      <c r="AC294" s="4" t="s">
        <v>1990</v>
      </c>
      <c r="AD294" s="4"/>
      <c r="AE294" s="4" t="s">
        <v>5690</v>
      </c>
      <c r="AF294" s="4" t="s">
        <v>170</v>
      </c>
      <c r="AG294" s="4" t="inlineStr">
        <is>
          <t>MARN_GTM_BTR1_2024</t>
        </is>
      </c>
      <c r="AH294" s="4" t="inlineStr">
        <is>
          <t>Origen de factores: CO2: MARN_GTM_BTR1_2024 [PRX; BTR1 Guatemala 2024, tabla 3.6, p. 48; fila Coque de petróleo; gas CO2]; CH4: MARN_GTM_BTR1_2024 [PRX; BTR1 Guatemala 2024, tabla 3.22, p. 62; fila Coque de petróleo; gas CH4]; N2O: MARN_GTM_BTR1_2024 [PRX; BTR1 Guatemala 2024, tabla 3.22, p. 62; fila Coque de petróleo; gas N2O].</t>
        </is>
      </c>
    </row>
    <row r="295" customFormat="false" ht="15" hidden="false" customHeight="false" outlineLevel="0" collapsed="false">
      <c r="A295" s="4" t="s">
        <v>6066</v>
      </c>
      <c r="B295" s="12" t="n">
        <v>2023</v>
      </c>
      <c r="C295" s="4" t="s">
        <v>68</v>
      </c>
      <c r="D295" s="4" t="s">
        <v>5685</v>
      </c>
      <c r="E295" s="4" t="s">
        <v>3404</v>
      </c>
      <c r="F295" s="4" t="s">
        <v>3405</v>
      </c>
      <c r="G295" s="4" t="s">
        <v>97</v>
      </c>
      <c r="H295" s="4" t="s">
        <v>2111</v>
      </c>
      <c r="I295" s="4" t="s">
        <v>68</v>
      </c>
      <c r="J295" s="4" t="s">
        <v>2001</v>
      </c>
      <c r="K295" s="4" t="s">
        <v>2002</v>
      </c>
      <c r="L295" s="4" t="s">
        <v>1590</v>
      </c>
      <c r="M295" s="14" t="n">
        <f aca="false">SUMIFS(PSUT_LARGA!$K$2:$K$618,PSUT_LARGA!$B$2:$B$618,$B295,PSUT_LARGA!$H$2:$H$618,$L295,PSUT_LARGA!$E$2:$E$618,$J295,PSUT_LARGA!$F$2:$F$618,$K295,PSUT_LARGA!$G$2:$G$618,$I295,PSUT_LARGA!$I$2:$I$618,$H295)</f>
        <v>6887.755</v>
      </c>
      <c r="N295" s="14" t="n">
        <f aca="false">IF($H295="TRANSFORMACION_REFINERIA",$M295*INDEX(PARAMETROS!$C$27:$C$33,MATCH($B295,PARAMETROS!$A$27:$A$33,0)),$M295)</f>
        <v>6887.755</v>
      </c>
      <c r="O295" s="4" t="inlineStr">
        <is>
          <t>COMB_DOIL</t>
        </is>
      </c>
      <c r="P295" s="4" t="s">
        <v>3352</v>
      </c>
      <c r="Q295" s="11" t="n">
        <f aca="false">MIN($B295,2022)</f>
        <v>2022</v>
      </c>
      <c r="R295" s="8" t="str">
        <f>IF(COUNT($S295:$U295)=0,"NO",IF($O295="CERO_DIRECTO","CAL",IF(OR($B295&gt;$Q295,COUNTIFS(DATOS_MODELO!$C$2:$C$3672,$Q295&amp;"|"&amp;$E295&amp;"|"&amp;$O295&amp;"|*",DATOS_MODELO!$F$2:$F$3672,"PRX",DATOS_MODELO!$AA$2:$AA$3672,"&lt;&gt;")&gt;0),"PRX",IF(COUNTIFS(DATOS_MODELO!$C$2:$C$3672,$Q295&amp;"|"&amp;$E295&amp;"|"&amp;$O295&amp;"|*",DATOS_MODELO!$F$2:$F$3672,"CAL",DATOS_MODELO!$AA$2:$AA$3672,"&lt;&gt;")&gt;0,"CAL","OBS"))))</f>
        <v>PRX</v>
      </c>
      <c r="S295" s="14">
        <f>IF(COUNTIFS(DATOS_MODELO!$C$2:$C$3672,$Q295&amp;"|"&amp;$E295&amp;"|"&amp;$O295&amp;"|CO2",DATOS_MODELO!$AA$2:$AA$3672,"&lt;&gt;")=0,"",INDEX(DATOS_MODELO!$AA$2:$AA$3672,MATCH($Q295&amp;"|"&amp;$E295&amp;"|"&amp;$O295&amp;"|CO2",DATOS_MODELO!$C$2:$C$3672,0)))</f>
        <v>74100.0</v>
      </c>
      <c r="T295" s="14">
        <f>IF(COUNTIFS(DATOS_MODELO!$C$2:$C$3672,$Q295&amp;"|"&amp;$E295&amp;"|"&amp;$O295&amp;"|CH4",DATOS_MODELO!$AA$2:$AA$3672,"&lt;&gt;")=0,"",INDEX(DATOS_MODELO!$AA$2:$AA$3672,MATCH($Q295&amp;"|"&amp;$E295&amp;"|"&amp;$O295&amp;"|CH4",DATOS_MODELO!$C$2:$C$3672,0)))</f>
        <v>3.0</v>
      </c>
      <c r="U295" s="14">
        <f>IF(COUNTIFS(DATOS_MODELO!$C$2:$C$3672,$Q295&amp;"|"&amp;$E295&amp;"|"&amp;$O295&amp;"|N2O",DATOS_MODELO!$AA$2:$AA$3672,"&lt;&gt;")=0,"",INDEX(DATOS_MODELO!$AA$2:$AA$3672,MATCH($Q295&amp;"|"&amp;$E295&amp;"|"&amp;$O295&amp;"|N2O",DATOS_MODELO!$C$2:$C$3672,0)))</f>
        <v>0.6</v>
      </c>
      <c r="V295" s="8"/>
      <c r="W295" s="14"/>
      <c r="X295" s="14">
        <f>IF($P295="BIOGENICO",0,IF(ISNUMBER($S295),$N295*$S295/PARAMETROS!$B$8,""))</f>
        <v>510.3826455</v>
      </c>
      <c r="Y295" s="14">
        <f>IF($P295="BIOGENICO",IF(ISNUMBER($S295),$N295*$S295/PARAMETROS!$B$8,""),0)</f>
        <v>0.0</v>
      </c>
      <c r="Z295" s="14">
        <f>IF(ISNUMBER($T295),$N295*$T295/PARAMETROS!$B$8,"")</f>
        <v>0.020663265</v>
      </c>
      <c r="AA295" s="14">
        <f>IF(ISNUMBER($U295),$N295*$U295/PARAMETROS!$B$8,"")</f>
        <v>0.004132653</v>
      </c>
      <c r="AB295" s="14">
        <f>IF(COUNT($X295,$Z295,$AA295)=0,"",SUM($X295,IF(ISNUMBER($Z295),$Z295*PARAMETROS!$B$9,0),IF(ISNUMBER($AA295),$AA295*PARAMETROS!$B$10,0)))</f>
        <v>512.056369965</v>
      </c>
      <c r="AC295" s="4" t="s">
        <v>1990</v>
      </c>
      <c r="AD295" s="4"/>
      <c r="AE295" s="4" t="s">
        <v>5690</v>
      </c>
      <c r="AF295" s="4" t="s">
        <v>170</v>
      </c>
      <c r="AG295" s="4" t="inlineStr">
        <is>
          <t>MARN_GTM_BTR1_2024</t>
        </is>
      </c>
      <c r="AH295" s="4" t="inlineStr">
        <is>
          <t>Origen de factores: CO2: MARN_GTM_BTR1_2024 [PRX; BTR1 Guatemala 2024, tabla 3.6, p. 48; fila Gas/Diésel oíl; gas CO2]; CH4: MARN_GTM_BTR1_2024 [PRX; BTR1 Guatemala 2024, tabla 3.22, p. 62; fila Diésel; gas CH4]; N2O: MARN_GTM_BTR1_2024 [PRX; BTR1 Guatemala 2024, tabla 3.22, p. 62; fila Diésel; gas N2O].</t>
        </is>
      </c>
    </row>
    <row r="296" customFormat="false" ht="23.85" hidden="false" customHeight="false" outlineLevel="0" collapsed="false">
      <c r="A296" s="4" t="s">
        <v>6067</v>
      </c>
      <c r="B296" s="12" t="n">
        <v>2023</v>
      </c>
      <c r="C296" s="4" t="s">
        <v>68</v>
      </c>
      <c r="D296" s="4" t="s">
        <v>5685</v>
      </c>
      <c r="E296" s="4" t="s">
        <v>3404</v>
      </c>
      <c r="F296" s="4" t="s">
        <v>3405</v>
      </c>
      <c r="G296" s="4" t="s">
        <v>99</v>
      </c>
      <c r="H296" s="4" t="s">
        <v>2111</v>
      </c>
      <c r="I296" s="4" t="s">
        <v>68</v>
      </c>
      <c r="J296" s="4" t="s">
        <v>2001</v>
      </c>
      <c r="K296" s="4" t="s">
        <v>2002</v>
      </c>
      <c r="L296" s="4" t="s">
        <v>1604</v>
      </c>
      <c r="M296" s="14" t="n">
        <f aca="false">SUMIFS(PSUT_LARGA!$K$2:$K$618,PSUT_LARGA!$B$2:$B$618,$B296,PSUT_LARGA!$H$2:$H$618,$L296,PSUT_LARGA!$E$2:$E$618,$J296,PSUT_LARGA!$F$2:$F$618,$K296,PSUT_LARGA!$G$2:$G$618,$I296,PSUT_LARGA!$I$2:$I$618,$H296)</f>
        <v>16973.6245</v>
      </c>
      <c r="N296" s="14" t="n">
        <f aca="false">IF($H296="TRANSFORMACION_REFINERIA",$M296*INDEX(PARAMETROS!$C$27:$C$33,MATCH($B296,PARAMETROS!$A$27:$A$33,0)),$M296)</f>
        <v>16973.6245</v>
      </c>
      <c r="O296" s="4" t="s">
        <v>3362</v>
      </c>
      <c r="P296" s="4" t="s">
        <v>3363</v>
      </c>
      <c r="Q296" s="11" t="n">
        <f aca="false">MIN($B296,2022)</f>
        <v>2022</v>
      </c>
      <c r="R296" s="8" t="str">
        <f>IF(COUNT($S296:$U296)=0,"NO",IF($O296="CERO_DIRECTO","CAL",IF(OR($B296&gt;$Q296,COUNTIFS(DATOS_MODELO!$C$2:$C$3672,$Q296&amp;"|"&amp;$E296&amp;"|"&amp;$O296&amp;"|*",DATOS_MODELO!$F$2:$F$3672,"PRX",DATOS_MODELO!$AA$2:$AA$3672,"&lt;&gt;")&gt;0),"PRX",IF(COUNTIFS(DATOS_MODELO!$C$2:$C$3672,$Q296&amp;"|"&amp;$E296&amp;"|"&amp;$O296&amp;"|*",DATOS_MODELO!$F$2:$F$3672,"CAL",DATOS_MODELO!$AA$2:$AA$3672,"&lt;&gt;")&gt;0,"CAL","OBS"))))</f>
        <v>CAL</v>
      </c>
      <c r="S296" s="14">
        <f>IF(COUNTIFS(DATOS_MODELO!$C$2:$C$3672,$Q296&amp;"|"&amp;$E296&amp;"|"&amp;$O296&amp;"|CO2",DATOS_MODELO!$AA$2:$AA$3672,"&lt;&gt;")=0,"",INDEX(DATOS_MODELO!$AA$2:$AA$3672,MATCH($Q296&amp;"|"&amp;$E296&amp;"|"&amp;$O296&amp;"|CO2",DATOS_MODELO!$C$2:$C$3672,0)))</f>
        <v>0.0</v>
      </c>
      <c r="T296" s="14">
        <f>IF(COUNTIFS(DATOS_MODELO!$C$2:$C$3672,$Q296&amp;"|"&amp;$E296&amp;"|"&amp;$O296&amp;"|CH4",DATOS_MODELO!$AA$2:$AA$3672,"&lt;&gt;")=0,"",INDEX(DATOS_MODELO!$AA$2:$AA$3672,MATCH($Q296&amp;"|"&amp;$E296&amp;"|"&amp;$O296&amp;"|CH4",DATOS_MODELO!$C$2:$C$3672,0)))</f>
        <v>0.0</v>
      </c>
      <c r="U296" s="14">
        <f>IF(COUNTIFS(DATOS_MODELO!$C$2:$C$3672,$Q296&amp;"|"&amp;$E296&amp;"|"&amp;$O296&amp;"|N2O",DATOS_MODELO!$AA$2:$AA$3672,"&lt;&gt;")=0,"",INDEX(DATOS_MODELO!$AA$2:$AA$3672,MATCH($Q296&amp;"|"&amp;$E296&amp;"|"&amp;$O296&amp;"|N2O",DATOS_MODELO!$C$2:$C$3672,0)))</f>
        <v>0.0</v>
      </c>
      <c r="V296" s="8"/>
      <c r="W296" s="14"/>
      <c r="X296" s="14">
        <f>IF($P296="BIOGENICO",0,IF(ISNUMBER($S296),$N296*$S296/PARAMETROS!$B$8,""))</f>
        <v>0.0</v>
      </c>
      <c r="Y296" s="14">
        <f>IF($P296="BIOGENICO",IF(ISNUMBER($S296),$N296*$S296/PARAMETROS!$B$8,""),0)</f>
        <v>0.0</v>
      </c>
      <c r="Z296" s="14">
        <f>IF(ISNUMBER($T296),$N296*$T296/PARAMETROS!$B$8,"")</f>
        <v>0.0</v>
      </c>
      <c r="AA296" s="14">
        <f>IF(ISNUMBER($U296),$N296*$U296/PARAMETROS!$B$8,"")</f>
        <v>0.0</v>
      </c>
      <c r="AB296" s="14">
        <f>IF(COUNT($X296,$Z296,$AA296)=0,"",SUM($X296,IF(ISNUMBER($Z296),$Z296*PARAMETROS!$B$9,0),IF(ISNUMBER($AA296),$AA296*PARAMETROS!$B$10,0)))</f>
        <v>0.0</v>
      </c>
      <c r="AC296" s="4" t="s">
        <v>1990</v>
      </c>
      <c r="AD296" s="4"/>
      <c r="AE296" s="4" t="s">
        <v>3362</v>
      </c>
      <c r="AF296" s="4" t="s">
        <v>170</v>
      </c>
      <c r="AG296" s="4" t="inlineStr">
        <is>
          <t>METODO_EMISIONES</t>
        </is>
      </c>
      <c r="AH296" s="4"/>
    </row>
    <row r="297" customFormat="false" ht="15" hidden="false" customHeight="false" outlineLevel="0" collapsed="false">
      <c r="A297" s="4" t="s">
        <v>6068</v>
      </c>
      <c r="B297" s="12" t="n">
        <v>2023</v>
      </c>
      <c r="C297" s="4" t="s">
        <v>68</v>
      </c>
      <c r="D297" s="4" t="s">
        <v>5685</v>
      </c>
      <c r="E297" s="4" t="s">
        <v>3404</v>
      </c>
      <c r="F297" s="4" t="s">
        <v>3405</v>
      </c>
      <c r="G297" s="4" t="s">
        <v>101</v>
      </c>
      <c r="H297" s="4" t="s">
        <v>2111</v>
      </c>
      <c r="I297" s="4" t="s">
        <v>68</v>
      </c>
      <c r="J297" s="4" t="s">
        <v>2001</v>
      </c>
      <c r="K297" s="4" t="s">
        <v>2002</v>
      </c>
      <c r="L297" s="4" t="s">
        <v>1618</v>
      </c>
      <c r="M297" s="14" t="n">
        <f aca="false">SUMIFS(PSUT_LARGA!$K$2:$K$618,PSUT_LARGA!$B$2:$B$618,$B297,PSUT_LARGA!$H$2:$H$618,$L297,PSUT_LARGA!$E$2:$E$618,$J297,PSUT_LARGA!$F$2:$F$618,$K297,PSUT_LARGA!$G$2:$G$618,$I297,PSUT_LARGA!$I$2:$I$618,$H297)</f>
        <v>8162.8757</v>
      </c>
      <c r="N297" s="14" t="n">
        <f aca="false">IF($H297="TRANSFORMACION_REFINERIA",$M297*INDEX(PARAMETROS!$C$27:$C$33,MATCH($B297,PARAMETROS!$A$27:$A$33,0)),$M297)</f>
        <v>8162.8757</v>
      </c>
      <c r="O297" s="4" t="inlineStr">
        <is>
          <t>COMB_FOIL</t>
        </is>
      </c>
      <c r="P297" s="4" t="s">
        <v>3352</v>
      </c>
      <c r="Q297" s="11" t="n">
        <f aca="false">MIN($B297,2022)</f>
        <v>2022</v>
      </c>
      <c r="R297" s="8" t="str">
        <f>IF(COUNT($S297:$U297)=0,"NO",IF($O297="CERO_DIRECTO","CAL",IF(OR($B297&gt;$Q297,COUNTIFS(DATOS_MODELO!$C$2:$C$3672,$Q297&amp;"|"&amp;$E297&amp;"|"&amp;$O297&amp;"|*",DATOS_MODELO!$F$2:$F$3672,"PRX",DATOS_MODELO!$AA$2:$AA$3672,"&lt;&gt;")&gt;0),"PRX",IF(COUNTIFS(DATOS_MODELO!$C$2:$C$3672,$Q297&amp;"|"&amp;$E297&amp;"|"&amp;$O297&amp;"|*",DATOS_MODELO!$F$2:$F$3672,"CAL",DATOS_MODELO!$AA$2:$AA$3672,"&lt;&gt;")&gt;0,"CAL","OBS"))))</f>
        <v>PRX</v>
      </c>
      <c r="S297" s="14">
        <f>IF(COUNTIFS(DATOS_MODELO!$C$2:$C$3672,$Q297&amp;"|"&amp;$E297&amp;"|"&amp;$O297&amp;"|CO2",DATOS_MODELO!$AA$2:$AA$3672,"&lt;&gt;")=0,"",INDEX(DATOS_MODELO!$AA$2:$AA$3672,MATCH($Q297&amp;"|"&amp;$E297&amp;"|"&amp;$O297&amp;"|CO2",DATOS_MODELO!$C$2:$C$3672,0)))</f>
        <v>77400.0</v>
      </c>
      <c r="T297" s="14">
        <f>IF(COUNTIFS(DATOS_MODELO!$C$2:$C$3672,$Q297&amp;"|"&amp;$E297&amp;"|"&amp;$O297&amp;"|CH4",DATOS_MODELO!$AA$2:$AA$3672,"&lt;&gt;")=0,"",INDEX(DATOS_MODELO!$AA$2:$AA$3672,MATCH($Q297&amp;"|"&amp;$E297&amp;"|"&amp;$O297&amp;"|CH4",DATOS_MODELO!$C$2:$C$3672,0)))</f>
        <v>3.0</v>
      </c>
      <c r="U297" s="14">
        <f>IF(COUNTIFS(DATOS_MODELO!$C$2:$C$3672,$Q297&amp;"|"&amp;$E297&amp;"|"&amp;$O297&amp;"|N2O",DATOS_MODELO!$AA$2:$AA$3672,"&lt;&gt;")=0,"",INDEX(DATOS_MODELO!$AA$2:$AA$3672,MATCH($Q297&amp;"|"&amp;$E297&amp;"|"&amp;$O297&amp;"|N2O",DATOS_MODELO!$C$2:$C$3672,0)))</f>
        <v>0.6</v>
      </c>
      <c r="V297" s="8"/>
      <c r="W297" s="14"/>
      <c r="X297" s="14">
        <f>IF($P297="BIOGENICO",0,IF(ISNUMBER($S297),$N297*$S297/PARAMETROS!$B$8,""))</f>
        <v>631.80657918</v>
      </c>
      <c r="Y297" s="14">
        <f>IF($P297="BIOGENICO",IF(ISNUMBER($S297),$N297*$S297/PARAMETROS!$B$8,""),0)</f>
        <v>0.0</v>
      </c>
      <c r="Z297" s="14">
        <f>IF(ISNUMBER($T297),$N297*$T297/PARAMETROS!$B$8,"")</f>
        <v>0.0244886271</v>
      </c>
      <c r="AA297" s="14">
        <f>IF(ISNUMBER($U297),$N297*$U297/PARAMETROS!$B$8,"")</f>
        <v>0.00489772542</v>
      </c>
      <c r="AB297" s="14">
        <f>IF(COUNT($X297,$Z297,$AA297)=0,"",SUM($X297,IF(ISNUMBER($Z297),$Z297*PARAMETROS!$B$9,0),IF(ISNUMBER($AA297),$AA297*PARAMETROS!$B$10,0)))</f>
        <v>633.7901579751</v>
      </c>
      <c r="AC297" s="4" t="s">
        <v>1990</v>
      </c>
      <c r="AD297" s="4"/>
      <c r="AE297" s="4" t="s">
        <v>5690</v>
      </c>
      <c r="AF297" s="4" t="s">
        <v>170</v>
      </c>
      <c r="AG297" s="4" t="inlineStr">
        <is>
          <t>MARN_GTM_BTR1_2024</t>
        </is>
      </c>
      <c r="AH297" s="4" t="inlineStr">
        <is>
          <t>Origen de factores: CO2: MARN_GTM_BTR1_2024 [PRX; BTR1 Guatemala 2024, tabla 3.6, p. 48; fila Fuelóleo residual; gas CO2]; CH4: MARN_GTM_BTR1_2024 [PRX; BTR1 Guatemala 2024, tabla 3.22, p. 62; fila Fuelóleo residual; gas CH4]; N2O: MARN_GTM_BTR1_2024 [PRX; BTR1 Guatemala 2024, tabla 3.22, p. 62; fila Fuelóleo residual; gas N2O].</t>
        </is>
      </c>
    </row>
    <row r="298" customFormat="false" ht="15" hidden="false" customHeight="false" outlineLevel="0" collapsed="false">
      <c r="A298" s="4" t="s">
        <v>6069</v>
      </c>
      <c r="B298" s="12" t="n">
        <v>2023</v>
      </c>
      <c r="C298" s="4" t="s">
        <v>68</v>
      </c>
      <c r="D298" s="4" t="s">
        <v>5685</v>
      </c>
      <c r="E298" s="4" t="s">
        <v>3404</v>
      </c>
      <c r="F298" s="4" t="s">
        <v>3405</v>
      </c>
      <c r="G298" s="4" t="s">
        <v>103</v>
      </c>
      <c r="H298" s="4" t="s">
        <v>2111</v>
      </c>
      <c r="I298" s="4" t="s">
        <v>68</v>
      </c>
      <c r="J298" s="4" t="s">
        <v>2001</v>
      </c>
      <c r="K298" s="4" t="s">
        <v>2002</v>
      </c>
      <c r="L298" s="4" t="s">
        <v>1632</v>
      </c>
      <c r="M298" s="14" t="n">
        <f aca="false">SUMIFS(PSUT_LARGA!$K$2:$K$618,PSUT_LARGA!$B$2:$B$618,$B298,PSUT_LARGA!$H$2:$H$618,$L298,PSUT_LARGA!$E$2:$E$618,$J298,PSUT_LARGA!$F$2:$F$618,$K298,PSUT_LARGA!$G$2:$G$618,$I298,PSUT_LARGA!$I$2:$I$618,$H298)</f>
        <v>1774.6645</v>
      </c>
      <c r="N298" s="14" t="n">
        <f aca="false">IF($H298="TRANSFORMACION_REFINERIA",$M298*INDEX(PARAMETROS!$C$27:$C$33,MATCH($B298,PARAMETROS!$A$27:$A$33,0)),$M298)</f>
        <v>1774.6645</v>
      </c>
      <c r="O298" s="4" t="inlineStr">
        <is>
          <t>COMB_GAS</t>
        </is>
      </c>
      <c r="P298" s="4" t="s">
        <v>3352</v>
      </c>
      <c r="Q298" s="11" t="n">
        <f aca="false">MIN($B298,2022)</f>
        <v>2022</v>
      </c>
      <c r="R298" s="8" t="str">
        <f>IF(COUNT($S298:$U298)=0,"NO",IF($O298="CERO_DIRECTO","CAL",IF(OR($B298&gt;$Q298,COUNTIFS(DATOS_MODELO!$C$2:$C$3672,$Q298&amp;"|"&amp;$E298&amp;"|"&amp;$O298&amp;"|*",DATOS_MODELO!$F$2:$F$3672,"PRX",DATOS_MODELO!$AA$2:$AA$3672,"&lt;&gt;")&gt;0),"PRX",IF(COUNTIFS(DATOS_MODELO!$C$2:$C$3672,$Q298&amp;"|"&amp;$E298&amp;"|"&amp;$O298&amp;"|*",DATOS_MODELO!$F$2:$F$3672,"CAL",DATOS_MODELO!$AA$2:$AA$3672,"&lt;&gt;")&gt;0,"CAL","OBS"))))</f>
        <v>PRX</v>
      </c>
      <c r="S298" s="14">
        <f>IF(COUNTIFS(DATOS_MODELO!$C$2:$C$3672,$Q298&amp;"|"&amp;$E298&amp;"|"&amp;$O298&amp;"|CO2",DATOS_MODELO!$AA$2:$AA$3672,"&lt;&gt;")=0,"",INDEX(DATOS_MODELO!$AA$2:$AA$3672,MATCH($Q298&amp;"|"&amp;$E298&amp;"|"&amp;$O298&amp;"|CO2",DATOS_MODELO!$C$2:$C$3672,0)))</f>
        <v>69300.0</v>
      </c>
      <c r="T298" s="14">
        <f>IF(COUNTIFS(DATOS_MODELO!$C$2:$C$3672,$Q298&amp;"|"&amp;$E298&amp;"|"&amp;$O298&amp;"|CH4",DATOS_MODELO!$AA$2:$AA$3672,"&lt;&gt;")=0,"",INDEX(DATOS_MODELO!$AA$2:$AA$3672,MATCH($Q298&amp;"|"&amp;$E298&amp;"|"&amp;$O298&amp;"|CH4",DATOS_MODELO!$C$2:$C$3672,0)))</f>
        <v>3.0</v>
      </c>
      <c r="U298" s="14">
        <f>IF(COUNTIFS(DATOS_MODELO!$C$2:$C$3672,$Q298&amp;"|"&amp;$E298&amp;"|"&amp;$O298&amp;"|N2O",DATOS_MODELO!$AA$2:$AA$3672,"&lt;&gt;")=0,"",INDEX(DATOS_MODELO!$AA$2:$AA$3672,MATCH($Q298&amp;"|"&amp;$E298&amp;"|"&amp;$O298&amp;"|N2O",DATOS_MODELO!$C$2:$C$3672,0)))</f>
        <v>0.6</v>
      </c>
      <c r="V298" s="8"/>
      <c r="W298" s="14"/>
      <c r="X298" s="14">
        <f>IF($P298="BIOGENICO",0,IF(ISNUMBER($S298),$N298*$S298/PARAMETROS!$B$8,""))</f>
        <v>122.98424985</v>
      </c>
      <c r="Y298" s="14">
        <f>IF($P298="BIOGENICO",IF(ISNUMBER($S298),$N298*$S298/PARAMETROS!$B$8,""),0)</f>
        <v>0.0</v>
      </c>
      <c r="Z298" s="14">
        <f>IF(ISNUMBER($T298),$N298*$T298/PARAMETROS!$B$8,"")</f>
        <v>0.0053239935</v>
      </c>
      <c r="AA298" s="14">
        <f>IF(ISNUMBER($U298),$N298*$U298/PARAMETROS!$B$8,"")</f>
        <v>0.0010647987</v>
      </c>
      <c r="AB298" s="14">
        <f>IF(COUNT($X298,$Z298,$AA298)=0,"",SUM($X298,IF(ISNUMBER($Z298),$Z298*PARAMETROS!$B$9,0),IF(ISNUMBER($AA298),$AA298*PARAMETROS!$B$10,0)))</f>
        <v>123.4154933235</v>
      </c>
      <c r="AC298" s="4" t="s">
        <v>1990</v>
      </c>
      <c r="AD298" s="4"/>
      <c r="AE298" s="4" t="s">
        <v>5690</v>
      </c>
      <c r="AF298" s="4" t="s">
        <v>170</v>
      </c>
      <c r="AG298" s="4" t="inlineStr">
        <is>
          <t>MARN_GTM_BTR1_2024</t>
        </is>
      </c>
      <c r="AH298" s="4" t="inlineStr">
        <is>
          <t>Origen de factores: CO2: MARN_GTM_BTR1_2024 [PRX; BTR1 Guatemala 2024, tabla 3.6, p. 48; fila Gasolina para motores; gas CO2]; CH4: MARN_GTM_BTR1_2024 [PRX; BTR1 Guatemala 2024, tabla 3.22, p. 62; fila Gasolina para motores; gas CH4]; N2O: MARN_GTM_BTR1_2024 [PRX; BTR1 Guatemala 2024, tabla 3.22, p. 62; fila Gasolina para motores; gas N2O].</t>
        </is>
      </c>
    </row>
    <row r="299" customFormat="false" ht="15" hidden="false" customHeight="false" outlineLevel="0" collapsed="false">
      <c r="A299" s="4" t="s">
        <v>6070</v>
      </c>
      <c r="B299" s="12" t="n">
        <v>2023</v>
      </c>
      <c r="C299" s="4" t="s">
        <v>68</v>
      </c>
      <c r="D299" s="4" t="s">
        <v>5685</v>
      </c>
      <c r="E299" s="4" t="s">
        <v>3404</v>
      </c>
      <c r="F299" s="4" t="s">
        <v>3405</v>
      </c>
      <c r="G299" s="4" t="s">
        <v>105</v>
      </c>
      <c r="H299" s="4" t="s">
        <v>2111</v>
      </c>
      <c r="I299" s="4" t="s">
        <v>68</v>
      </c>
      <c r="J299" s="4" t="s">
        <v>2001</v>
      </c>
      <c r="K299" s="4" t="s">
        <v>2002</v>
      </c>
      <c r="L299" s="4" t="s">
        <v>1646</v>
      </c>
      <c r="M299" s="14" t="n">
        <f aca="false">SUMIFS(PSUT_LARGA!$K$2:$K$618,PSUT_LARGA!$B$2:$B$618,$B299,PSUT_LARGA!$H$2:$H$618,$L299,PSUT_LARGA!$E$2:$E$618,$J299,PSUT_LARGA!$F$2:$F$618,$K299,PSUT_LARGA!$G$2:$G$618,$I299,PSUT_LARGA!$I$2:$I$618,$H299)</f>
        <v>4997.8782</v>
      </c>
      <c r="N299" s="14" t="n">
        <f aca="false">IF($H299="TRANSFORMACION_REFINERIA",$M299*INDEX(PARAMETROS!$C$27:$C$33,MATCH($B299,PARAMETROS!$A$27:$A$33,0)),$M299)</f>
        <v>4997.8782</v>
      </c>
      <c r="O299" s="4" t="inlineStr">
        <is>
          <t>COMB_GLP</t>
        </is>
      </c>
      <c r="P299" s="4" t="s">
        <v>3352</v>
      </c>
      <c r="Q299" s="11" t="n">
        <f aca="false">MIN($B299,2022)</f>
        <v>2022</v>
      </c>
      <c r="R299" s="8" t="str">
        <f>IF(COUNT($S299:$U299)=0,"NO",IF($O299="CERO_DIRECTO","CAL",IF(OR($B299&gt;$Q299,COUNTIFS(DATOS_MODELO!$C$2:$C$3672,$Q299&amp;"|"&amp;$E299&amp;"|"&amp;$O299&amp;"|*",DATOS_MODELO!$F$2:$F$3672,"PRX",DATOS_MODELO!$AA$2:$AA$3672,"&lt;&gt;")&gt;0),"PRX",IF(COUNTIFS(DATOS_MODELO!$C$2:$C$3672,$Q299&amp;"|"&amp;$E299&amp;"|"&amp;$O299&amp;"|*",DATOS_MODELO!$F$2:$F$3672,"CAL",DATOS_MODELO!$AA$2:$AA$3672,"&lt;&gt;")&gt;0,"CAL","OBS"))))</f>
        <v>PRX</v>
      </c>
      <c r="S299" s="14">
        <f>IF(COUNTIFS(DATOS_MODELO!$C$2:$C$3672,$Q299&amp;"|"&amp;$E299&amp;"|"&amp;$O299&amp;"|CO2",DATOS_MODELO!$AA$2:$AA$3672,"&lt;&gt;")=0,"",INDEX(DATOS_MODELO!$AA$2:$AA$3672,MATCH($Q299&amp;"|"&amp;$E299&amp;"|"&amp;$O299&amp;"|CO2",DATOS_MODELO!$C$2:$C$3672,0)))</f>
        <v>63100.0</v>
      </c>
      <c r="T299" s="14">
        <f>IF(COUNTIFS(DATOS_MODELO!$C$2:$C$3672,$Q299&amp;"|"&amp;$E299&amp;"|"&amp;$O299&amp;"|CH4",DATOS_MODELO!$AA$2:$AA$3672,"&lt;&gt;")=0,"",INDEX(DATOS_MODELO!$AA$2:$AA$3672,MATCH($Q299&amp;"|"&amp;$E299&amp;"|"&amp;$O299&amp;"|CH4",DATOS_MODELO!$C$2:$C$3672,0)))</f>
        <v>1.0</v>
      </c>
      <c r="U299" s="14">
        <f>IF(COUNTIFS(DATOS_MODELO!$C$2:$C$3672,$Q299&amp;"|"&amp;$E299&amp;"|"&amp;$O299&amp;"|N2O",DATOS_MODELO!$AA$2:$AA$3672,"&lt;&gt;")=0,"",INDEX(DATOS_MODELO!$AA$2:$AA$3672,MATCH($Q299&amp;"|"&amp;$E299&amp;"|"&amp;$O299&amp;"|N2O",DATOS_MODELO!$C$2:$C$3672,0)))</f>
        <v>0.1</v>
      </c>
      <c r="V299" s="8"/>
      <c r="W299" s="14"/>
      <c r="X299" s="14">
        <f>IF($P299="BIOGENICO",0,IF(ISNUMBER($S299),$N299*$S299/PARAMETROS!$B$8,""))</f>
        <v>315.36611442</v>
      </c>
      <c r="Y299" s="14">
        <f>IF($P299="BIOGENICO",IF(ISNUMBER($S299),$N299*$S299/PARAMETROS!$B$8,""),0)</f>
        <v>0.0</v>
      </c>
      <c r="Z299" s="14">
        <f>IF(ISNUMBER($T299),$N299*$T299/PARAMETROS!$B$8,"")</f>
        <v>0.0049978782</v>
      </c>
      <c r="AA299" s="14">
        <f>IF(ISNUMBER($U299),$N299*$U299/PARAMETROS!$B$8,"")</f>
        <v>0.00049978782</v>
      </c>
      <c r="AB299" s="14">
        <f>IF(COUNT($X299,$Z299,$AA299)=0,"",SUM($X299,IF(ISNUMBER($Z299),$Z299*PARAMETROS!$B$9,0),IF(ISNUMBER($AA299),$AA299*PARAMETROS!$B$10,0)))</f>
        <v>315.6384987819</v>
      </c>
      <c r="AC299" s="4" t="s">
        <v>1990</v>
      </c>
      <c r="AD299" s="4"/>
      <c r="AE299" s="4" t="s">
        <v>5690</v>
      </c>
      <c r="AF299" s="4" t="s">
        <v>170</v>
      </c>
      <c r="AG299" s="4" t="inlineStr">
        <is>
          <t>MARN_GTM_BTR1_2024</t>
        </is>
      </c>
      <c r="AH299" s="4" t="inlineStr">
        <is>
          <t>Origen de factores: CO2: MARN_GTM_BTR1_2024 [PRX; BTR1 Guatemala 2024, tabla 3.6, p. 48; fila Gases licuados de petróleo; gas CO2]; CH4: MARN_GTM_BTR1_2024 [PRX; BTR1 Guatemala 2024, tabla 3.22, p. 62; fila Gases licuados de petróleo; gas CH4]; N2O: MARN_GTM_BTR1_2024 [PRX; BTR1 Guatemala 2024, tabla 3.22, p. 62; fila Gases licuados de petróleo; gas N2O].</t>
        </is>
      </c>
    </row>
    <row r="300" customFormat="false" ht="15" hidden="false" customHeight="false" outlineLevel="0" collapsed="false">
      <c r="A300" s="4" t="s">
        <v>6071</v>
      </c>
      <c r="B300" s="12" t="n">
        <v>2023</v>
      </c>
      <c r="C300" s="4" t="s">
        <v>72</v>
      </c>
      <c r="D300" s="4" t="s">
        <v>5685</v>
      </c>
      <c r="E300" s="4" t="s">
        <v>3383</v>
      </c>
      <c r="F300" s="4" t="s">
        <v>3384</v>
      </c>
      <c r="G300" s="4" t="s">
        <v>109</v>
      </c>
      <c r="H300" s="4" t="s">
        <v>2079</v>
      </c>
      <c r="I300" s="4" t="s">
        <v>72</v>
      </c>
      <c r="J300" s="4" t="s">
        <v>2001</v>
      </c>
      <c r="K300" s="4" t="s">
        <v>2002</v>
      </c>
      <c r="L300" s="4" t="s">
        <v>1533</v>
      </c>
      <c r="M300" s="14" t="n">
        <f aca="false">SUMIFS(PSUT_LARGA!$K$2:$K$618,PSUT_LARGA!$B$2:$B$618,$B300,PSUT_LARGA!$H$2:$H$618,$L300,PSUT_LARGA!$E$2:$E$618,$J300,PSUT_LARGA!$F$2:$F$618,$K300,PSUT_LARGA!$G$2:$G$618,$I300,PSUT_LARGA!$I$2:$I$618,$H300)</f>
        <v>9977.3387</v>
      </c>
      <c r="N300" s="14" t="n">
        <f aca="false">IF($H300="TRANSFORMACION_REFINERIA",$M300*INDEX(PARAMETROS!$C$27:$C$33,MATCH($B300,PARAMETROS!$A$27:$A$33,0)),$M300)</f>
        <v>9977.3387</v>
      </c>
      <c r="O300" s="4" t="s">
        <v>3343</v>
      </c>
      <c r="P300" s="4" t="s">
        <v>3344</v>
      </c>
      <c r="Q300" s="11" t="n">
        <f aca="false">MIN($B300,2022)</f>
        <v>2022</v>
      </c>
      <c r="R300" s="8" t="str">
        <f>IF(COUNT($S300:$U300)=0,"NO",IF($O300="CERO_DIRECTO","CAL",IF(OR($B300&gt;$Q300,COUNTIFS(DATOS_MODELO!$C$2:$C$3672,$Q300&amp;"|"&amp;$E300&amp;"|"&amp;$O300&amp;"|*",DATOS_MODELO!$F$2:$F$3672,"PRX",DATOS_MODELO!$AA$2:$AA$3672,"&lt;&gt;")&gt;0),"PRX",IF(COUNTIFS(DATOS_MODELO!$C$2:$C$3672,$Q300&amp;"|"&amp;$E300&amp;"|"&amp;$O300&amp;"|*",DATOS_MODELO!$F$2:$F$3672,"CAL",DATOS_MODELO!$AA$2:$AA$3672,"&lt;&gt;")&gt;0,"CAL","OBS"))))</f>
        <v>PRX</v>
      </c>
      <c r="S300" s="14">
        <f>IF(COUNTIFS(DATOS_MODELO!$C$2:$C$3672,$Q300&amp;"|"&amp;$E300&amp;"|"&amp;$O300&amp;"|CO2",DATOS_MODELO!$AA$2:$AA$3672,"&lt;&gt;")=0,"",INDEX(DATOS_MODELO!$AA$2:$AA$3672,MATCH($Q300&amp;"|"&amp;$E300&amp;"|"&amp;$O300&amp;"|CO2",DATOS_MODELO!$C$2:$C$3672,0)))</f>
        <v>111999.999773152</v>
      </c>
      <c r="T300" s="14">
        <f>IF(COUNTIFS(DATOS_MODELO!$C$2:$C$3672,$Q300&amp;"|"&amp;$E300&amp;"|"&amp;$O300&amp;"|CH4",DATOS_MODELO!$AA$2:$AA$3672,"&lt;&gt;")=0,"",INDEX(DATOS_MODELO!$AA$2:$AA$3672,MATCH($Q300&amp;"|"&amp;$E300&amp;"|"&amp;$O300&amp;"|CH4",DATOS_MODELO!$C$2:$C$3672,0)))</f>
        <v>299.999999579911</v>
      </c>
      <c r="U300" s="14">
        <f>IF(COUNTIFS(DATOS_MODELO!$C$2:$C$3672,$Q300&amp;"|"&amp;$E300&amp;"|"&amp;$O300&amp;"|N2O",DATOS_MODELO!$AA$2:$AA$3672,"&lt;&gt;")=0,"",INDEX(DATOS_MODELO!$AA$2:$AA$3672,MATCH($Q300&amp;"|"&amp;$E300&amp;"|"&amp;$O300&amp;"|N2O",DATOS_MODELO!$C$2:$C$3672,0)))</f>
        <v>3.99999950429495</v>
      </c>
      <c r="V300" s="8"/>
      <c r="W300" s="14"/>
      <c r="X300" s="14">
        <f>IF($P300="BIOGENICO",0,IF(ISNUMBER($S300),$N300*$S300/PARAMETROS!$B$8,""))</f>
        <v>0.0</v>
      </c>
      <c r="Y300" s="14">
        <f>IF($P300="BIOGENICO",IF(ISNUMBER($S300),$N300*$S300/PARAMETROS!$B$8,""),0)</f>
        <v>1117.46193213666</v>
      </c>
      <c r="Z300" s="14">
        <f>IF(ISNUMBER($T300),$N300*$T300/PARAMETROS!$B$8,"")</f>
        <v>2.99320160580863</v>
      </c>
      <c r="AA300" s="14">
        <f>IF(ISNUMBER($U300),$N300*$U300/PARAMETROS!$B$8,"")</f>
        <v>0.0399093498541828</v>
      </c>
      <c r="AB300" s="14">
        <f>IF(COUNT($X300,$Z300,$AA300)=0,"",SUM($X300,IF(ISNUMBER($Z300),$Z300*PARAMETROS!$B$9,0),IF(ISNUMBER($AA300),$AA300*PARAMETROS!$B$10,0)))</f>
        <v>94.3856226740001</v>
      </c>
      <c r="AC300" s="4" t="s">
        <v>1990</v>
      </c>
      <c r="AD300" s="4"/>
      <c r="AE300" s="4" t="s">
        <v>5690</v>
      </c>
      <c r="AF300" s="4" t="s">
        <v>170</v>
      </c>
      <c r="AG300" s="4" t="s">
        <v>3999</v>
      </c>
      <c r="AH300" s="4"/>
    </row>
    <row r="301" customFormat="false" ht="23.85" hidden="false" customHeight="false" outlineLevel="0" collapsed="false">
      <c r="A301" s="4" t="s">
        <v>6072</v>
      </c>
      <c r="B301" s="12" t="n">
        <v>2023</v>
      </c>
      <c r="C301" s="4" t="s">
        <v>72</v>
      </c>
      <c r="D301" s="4" t="s">
        <v>5685</v>
      </c>
      <c r="E301" s="4" t="s">
        <v>3383</v>
      </c>
      <c r="F301" s="4" t="s">
        <v>3384</v>
      </c>
      <c r="G301" s="4" t="s">
        <v>99</v>
      </c>
      <c r="H301" s="4" t="s">
        <v>2079</v>
      </c>
      <c r="I301" s="4" t="s">
        <v>72</v>
      </c>
      <c r="J301" s="4" t="s">
        <v>2001</v>
      </c>
      <c r="K301" s="4" t="s">
        <v>2002</v>
      </c>
      <c r="L301" s="4" t="s">
        <v>1603</v>
      </c>
      <c r="M301" s="14" t="n">
        <f aca="false">SUMIFS(PSUT_LARGA!$K$2:$K$618,PSUT_LARGA!$B$2:$B$618,$B301,PSUT_LARGA!$H$2:$H$618,$L301,PSUT_LARGA!$E$2:$E$618,$J301,PSUT_LARGA!$F$2:$F$618,$K301,PSUT_LARGA!$G$2:$G$618,$I301,PSUT_LARGA!$I$2:$I$618,$H301)</f>
        <v>11459.0049</v>
      </c>
      <c r="N301" s="14" t="n">
        <f aca="false">IF($H301="TRANSFORMACION_REFINERIA",$M301*INDEX(PARAMETROS!$C$27:$C$33,MATCH($B301,PARAMETROS!$A$27:$A$33,0)),$M301)</f>
        <v>11459.0049</v>
      </c>
      <c r="O301" s="4" t="s">
        <v>3362</v>
      </c>
      <c r="P301" s="4" t="s">
        <v>3363</v>
      </c>
      <c r="Q301" s="11" t="n">
        <f aca="false">MIN($B301,2022)</f>
        <v>2022</v>
      </c>
      <c r="R301" s="8" t="str">
        <f>IF(COUNT($S301:$U301)=0,"NO",IF($O301="CERO_DIRECTO","CAL",IF(OR($B301&gt;$Q301,COUNTIFS(DATOS_MODELO!$C$2:$C$3672,$Q301&amp;"|"&amp;$E301&amp;"|"&amp;$O301&amp;"|*",DATOS_MODELO!$F$2:$F$3672,"PRX",DATOS_MODELO!$AA$2:$AA$3672,"&lt;&gt;")&gt;0),"PRX",IF(COUNTIFS(DATOS_MODELO!$C$2:$C$3672,$Q301&amp;"|"&amp;$E301&amp;"|"&amp;$O301&amp;"|*",DATOS_MODELO!$F$2:$F$3672,"CAL",DATOS_MODELO!$AA$2:$AA$3672,"&lt;&gt;")&gt;0,"CAL","OBS"))))</f>
        <v>CAL</v>
      </c>
      <c r="S301" s="14">
        <f>IF(COUNTIFS(DATOS_MODELO!$C$2:$C$3672,$Q301&amp;"|"&amp;$E301&amp;"|"&amp;$O301&amp;"|CO2",DATOS_MODELO!$AA$2:$AA$3672,"&lt;&gt;")=0,"",INDEX(DATOS_MODELO!$AA$2:$AA$3672,MATCH($Q301&amp;"|"&amp;$E301&amp;"|"&amp;$O301&amp;"|CO2",DATOS_MODELO!$C$2:$C$3672,0)))</f>
        <v>0.0</v>
      </c>
      <c r="T301" s="14">
        <f>IF(COUNTIFS(DATOS_MODELO!$C$2:$C$3672,$Q301&amp;"|"&amp;$E301&amp;"|"&amp;$O301&amp;"|CH4",DATOS_MODELO!$AA$2:$AA$3672,"&lt;&gt;")=0,"",INDEX(DATOS_MODELO!$AA$2:$AA$3672,MATCH($Q301&amp;"|"&amp;$E301&amp;"|"&amp;$O301&amp;"|CH4",DATOS_MODELO!$C$2:$C$3672,0)))</f>
        <v>0.0</v>
      </c>
      <c r="U301" s="14">
        <f>IF(COUNTIFS(DATOS_MODELO!$C$2:$C$3672,$Q301&amp;"|"&amp;$E301&amp;"|"&amp;$O301&amp;"|N2O",DATOS_MODELO!$AA$2:$AA$3672,"&lt;&gt;")=0,"",INDEX(DATOS_MODELO!$AA$2:$AA$3672,MATCH($Q301&amp;"|"&amp;$E301&amp;"|"&amp;$O301&amp;"|N2O",DATOS_MODELO!$C$2:$C$3672,0)))</f>
        <v>0.0</v>
      </c>
      <c r="V301" s="8"/>
      <c r="W301" s="14"/>
      <c r="X301" s="14">
        <f>IF($P301="BIOGENICO",0,IF(ISNUMBER($S301),$N301*$S301/PARAMETROS!$B$8,""))</f>
        <v>0.0</v>
      </c>
      <c r="Y301" s="14">
        <f>IF($P301="BIOGENICO",IF(ISNUMBER($S301),$N301*$S301/PARAMETROS!$B$8,""),0)</f>
        <v>0.0</v>
      </c>
      <c r="Z301" s="14">
        <f>IF(ISNUMBER($T301),$N301*$T301/PARAMETROS!$B$8,"")</f>
        <v>0.0</v>
      </c>
      <c r="AA301" s="14">
        <f>IF(ISNUMBER($U301),$N301*$U301/PARAMETROS!$B$8,"")</f>
        <v>0.0</v>
      </c>
      <c r="AB301" s="14">
        <f>IF(COUNT($X301,$Z301,$AA301)=0,"",SUM($X301,IF(ISNUMBER($Z301),$Z301*PARAMETROS!$B$9,0),IF(ISNUMBER($AA301),$AA301*PARAMETROS!$B$10,0)))</f>
        <v>0.0</v>
      </c>
      <c r="AC301" s="4" t="s">
        <v>1990</v>
      </c>
      <c r="AD301" s="4"/>
      <c r="AE301" s="4" t="s">
        <v>3362</v>
      </c>
      <c r="AF301" s="4" t="s">
        <v>170</v>
      </c>
      <c r="AG301" s="4" t="inlineStr">
        <is>
          <t>METODO_EMISIONES</t>
        </is>
      </c>
      <c r="AH301" s="4"/>
    </row>
    <row r="302" customFormat="false" ht="15" hidden="false" customHeight="false" outlineLevel="0" collapsed="false">
      <c r="A302" s="4" t="s">
        <v>6073</v>
      </c>
      <c r="B302" s="12" t="n">
        <v>2023</v>
      </c>
      <c r="C302" s="4" t="s">
        <v>72</v>
      </c>
      <c r="D302" s="4" t="s">
        <v>5685</v>
      </c>
      <c r="E302" s="4" t="s">
        <v>3383</v>
      </c>
      <c r="F302" s="4" t="s">
        <v>3384</v>
      </c>
      <c r="G302" s="4" t="s">
        <v>103</v>
      </c>
      <c r="H302" s="4" t="s">
        <v>2079</v>
      </c>
      <c r="I302" s="4" t="s">
        <v>72</v>
      </c>
      <c r="J302" s="4" t="s">
        <v>2001</v>
      </c>
      <c r="K302" s="4" t="s">
        <v>2002</v>
      </c>
      <c r="L302" s="4" t="s">
        <v>1631</v>
      </c>
      <c r="M302" s="14" t="n">
        <f aca="false">SUMIFS(PSUT_LARGA!$K$2:$K$618,PSUT_LARGA!$B$2:$B$618,$B302,PSUT_LARGA!$H$2:$H$618,$L302,PSUT_LARGA!$E$2:$E$618,$J302,PSUT_LARGA!$F$2:$F$618,$K302,PSUT_LARGA!$G$2:$G$618,$I302,PSUT_LARGA!$I$2:$I$618,$H302)</f>
        <v>443.6516</v>
      </c>
      <c r="N302" s="14" t="n">
        <f aca="false">IF($H302="TRANSFORMACION_REFINERIA",$M302*INDEX(PARAMETROS!$C$27:$C$33,MATCH($B302,PARAMETROS!$A$27:$A$33,0)),$M302)</f>
        <v>443.6516</v>
      </c>
      <c r="O302" s="4" t="inlineStr">
        <is>
          <t>COMB_GAS</t>
        </is>
      </c>
      <c r="P302" s="4" t="s">
        <v>3352</v>
      </c>
      <c r="Q302" s="11" t="n">
        <f aca="false">MIN($B302,2022)</f>
        <v>2022</v>
      </c>
      <c r="R302" s="8" t="str">
        <f>IF(COUNT($S302:$U302)=0,"NO",IF($O302="CERO_DIRECTO","CAL",IF(OR($B302&gt;$Q302,COUNTIFS(DATOS_MODELO!$C$2:$C$3672,$Q302&amp;"|"&amp;$E302&amp;"|"&amp;$O302&amp;"|*",DATOS_MODELO!$F$2:$F$3672,"PRX",DATOS_MODELO!$AA$2:$AA$3672,"&lt;&gt;")&gt;0),"PRX",IF(COUNTIFS(DATOS_MODELO!$C$2:$C$3672,$Q302&amp;"|"&amp;$E302&amp;"|"&amp;$O302&amp;"|*",DATOS_MODELO!$F$2:$F$3672,"CAL",DATOS_MODELO!$AA$2:$AA$3672,"&lt;&gt;")&gt;0,"CAL","OBS"))))</f>
        <v>PRX</v>
      </c>
      <c r="S302" s="14">
        <f>IF(COUNTIFS(DATOS_MODELO!$C$2:$C$3672,$Q302&amp;"|"&amp;$E302&amp;"|"&amp;$O302&amp;"|CO2",DATOS_MODELO!$AA$2:$AA$3672,"&lt;&gt;")=0,"",INDEX(DATOS_MODELO!$AA$2:$AA$3672,MATCH($Q302&amp;"|"&amp;$E302&amp;"|"&amp;$O302&amp;"|CO2",DATOS_MODELO!$C$2:$C$3672,0)))</f>
        <v>69300.0</v>
      </c>
      <c r="T302" s="14">
        <f>IF(COUNTIFS(DATOS_MODELO!$C$2:$C$3672,$Q302&amp;"|"&amp;$E302&amp;"|"&amp;$O302&amp;"|CH4",DATOS_MODELO!$AA$2:$AA$3672,"&lt;&gt;")=0,"",INDEX(DATOS_MODELO!$AA$2:$AA$3672,MATCH($Q302&amp;"|"&amp;$E302&amp;"|"&amp;$O302&amp;"|CH4",DATOS_MODELO!$C$2:$C$3672,0)))</f>
        <v>10.0</v>
      </c>
      <c r="U302" s="14">
        <f>IF(COUNTIFS(DATOS_MODELO!$C$2:$C$3672,$Q302&amp;"|"&amp;$E302&amp;"|"&amp;$O302&amp;"|N2O",DATOS_MODELO!$AA$2:$AA$3672,"&lt;&gt;")=0,"",INDEX(DATOS_MODELO!$AA$2:$AA$3672,MATCH($Q302&amp;"|"&amp;$E302&amp;"|"&amp;$O302&amp;"|N2O",DATOS_MODELO!$C$2:$C$3672,0)))</f>
        <v>0.6</v>
      </c>
      <c r="V302" s="8"/>
      <c r="W302" s="14"/>
      <c r="X302" s="14">
        <f>IF($P302="BIOGENICO",0,IF(ISNUMBER($S302),$N302*$S302/PARAMETROS!$B$8,""))</f>
        <v>30.74505588</v>
      </c>
      <c r="Y302" s="14">
        <f>IF($P302="BIOGENICO",IF(ISNUMBER($S302),$N302*$S302/PARAMETROS!$B$8,""),0)</f>
        <v>0.0</v>
      </c>
      <c r="Z302" s="14">
        <f>IF(ISNUMBER($T302),$N302*$T302/PARAMETROS!$B$8,"")</f>
        <v>0.004436516</v>
      </c>
      <c r="AA302" s="14">
        <f>IF(ISNUMBER($U302),$N302*$U302/PARAMETROS!$B$8,"")</f>
        <v>0.00026619096</v>
      </c>
      <c r="AB302" s="14">
        <f>IF(COUNT($X302,$Z302,$AA302)=0,"",SUM($X302,IF(ISNUMBER($Z302),$Z302*PARAMETROS!$B$9,0),IF(ISNUMBER($AA302),$AA302*PARAMETROS!$B$10,0)))</f>
        <v>30.9398189324</v>
      </c>
      <c r="AC302" s="4" t="s">
        <v>1990</v>
      </c>
      <c r="AD302" s="4"/>
      <c r="AE302" s="4" t="s">
        <v>5690</v>
      </c>
      <c r="AF302" s="4" t="s">
        <v>170</v>
      </c>
      <c r="AG302" s="4" t="inlineStr">
        <is>
          <t>MARN_GTM_BTR1_2024</t>
        </is>
      </c>
      <c r="AH302" s="4" t="inlineStr">
        <is>
          <t>Origen de factores: CO2: MARN_GTM_BTR1_2024 [PRX; BTR1 Guatemala 2024, tabla 3.6, p. 48; fila Gasolina para motores; gas CO2]; CH4: MARN_GTM_BTR1_2024 [PRX; BTR1 Guatemala 2024, tabla 3.33, p. 70; fila Gasolina para motores; gas CH4]; N2O: MARN_GTM_BTR1_2024 [PRX; BTR1 Guatemala 2024, tabla 3.33, p. 70; fila Gasolina para motores; gas N2O].</t>
        </is>
      </c>
    </row>
    <row r="303" customFormat="false" ht="15" hidden="false" customHeight="false" outlineLevel="0" collapsed="false">
      <c r="A303" s="4" t="s">
        <v>6074</v>
      </c>
      <c r="B303" s="12" t="n">
        <v>2023</v>
      </c>
      <c r="C303" s="4" t="s">
        <v>72</v>
      </c>
      <c r="D303" s="4" t="s">
        <v>5685</v>
      </c>
      <c r="E303" s="4" t="s">
        <v>3383</v>
      </c>
      <c r="F303" s="4" t="s">
        <v>3384</v>
      </c>
      <c r="G303" s="4" t="s">
        <v>105</v>
      </c>
      <c r="H303" s="4" t="s">
        <v>2079</v>
      </c>
      <c r="I303" s="4" t="s">
        <v>72</v>
      </c>
      <c r="J303" s="4" t="s">
        <v>2001</v>
      </c>
      <c r="K303" s="4" t="s">
        <v>2002</v>
      </c>
      <c r="L303" s="4" t="s">
        <v>1645</v>
      </c>
      <c r="M303" s="14" t="n">
        <f aca="false">SUMIFS(PSUT_LARGA!$K$2:$K$618,PSUT_LARGA!$B$2:$B$618,$B303,PSUT_LARGA!$H$2:$H$618,$L303,PSUT_LARGA!$E$2:$E$618,$J303,PSUT_LARGA!$F$2:$F$618,$K303,PSUT_LARGA!$G$2:$G$618,$I303,PSUT_LARGA!$I$2:$I$618,$H303)</f>
        <v>499.7762</v>
      </c>
      <c r="N303" s="14" t="n">
        <f aca="false">IF($H303="TRANSFORMACION_REFINERIA",$M303*INDEX(PARAMETROS!$C$27:$C$33,MATCH($B303,PARAMETROS!$A$27:$A$33,0)),$M303)</f>
        <v>499.7762</v>
      </c>
      <c r="O303" s="4" t="inlineStr">
        <is>
          <t>COMB_GLP</t>
        </is>
      </c>
      <c r="P303" s="4" t="s">
        <v>3352</v>
      </c>
      <c r="Q303" s="11" t="n">
        <f aca="false">MIN($B303,2022)</f>
        <v>2022</v>
      </c>
      <c r="R303" s="8" t="str">
        <f>IF(COUNT($S303:$U303)=0,"NO",IF($O303="CERO_DIRECTO","CAL",IF(OR($B303&gt;$Q303,COUNTIFS(DATOS_MODELO!$C$2:$C$3672,$Q303&amp;"|"&amp;$E303&amp;"|"&amp;$O303&amp;"|*",DATOS_MODELO!$F$2:$F$3672,"PRX",DATOS_MODELO!$AA$2:$AA$3672,"&lt;&gt;")&gt;0),"PRX",IF(COUNTIFS(DATOS_MODELO!$C$2:$C$3672,$Q303&amp;"|"&amp;$E303&amp;"|"&amp;$O303&amp;"|*",DATOS_MODELO!$F$2:$F$3672,"CAL",DATOS_MODELO!$AA$2:$AA$3672,"&lt;&gt;")&gt;0,"CAL","OBS"))))</f>
        <v>PRX</v>
      </c>
      <c r="S303" s="14">
        <f>IF(COUNTIFS(DATOS_MODELO!$C$2:$C$3672,$Q303&amp;"|"&amp;$E303&amp;"|"&amp;$O303&amp;"|CO2",DATOS_MODELO!$AA$2:$AA$3672,"&lt;&gt;")=0,"",INDEX(DATOS_MODELO!$AA$2:$AA$3672,MATCH($Q303&amp;"|"&amp;$E303&amp;"|"&amp;$O303&amp;"|CO2",DATOS_MODELO!$C$2:$C$3672,0)))</f>
        <v>63100.0</v>
      </c>
      <c r="T303" s="14">
        <f>IF(COUNTIFS(DATOS_MODELO!$C$2:$C$3672,$Q303&amp;"|"&amp;$E303&amp;"|"&amp;$O303&amp;"|CH4",DATOS_MODELO!$AA$2:$AA$3672,"&lt;&gt;")=0,"",INDEX(DATOS_MODELO!$AA$2:$AA$3672,MATCH($Q303&amp;"|"&amp;$E303&amp;"|"&amp;$O303&amp;"|CH4",DATOS_MODELO!$C$2:$C$3672,0)))</f>
        <v>5.0</v>
      </c>
      <c r="U303" s="14">
        <f>IF(COUNTIFS(DATOS_MODELO!$C$2:$C$3672,$Q303&amp;"|"&amp;$E303&amp;"|"&amp;$O303&amp;"|N2O",DATOS_MODELO!$AA$2:$AA$3672,"&lt;&gt;")=0,"",INDEX(DATOS_MODELO!$AA$2:$AA$3672,MATCH($Q303&amp;"|"&amp;$E303&amp;"|"&amp;$O303&amp;"|N2O",DATOS_MODELO!$C$2:$C$3672,0)))</f>
        <v>0.1</v>
      </c>
      <c r="V303" s="8"/>
      <c r="W303" s="14"/>
      <c r="X303" s="14">
        <f>IF($P303="BIOGENICO",0,IF(ISNUMBER($S303),$N303*$S303/PARAMETROS!$B$8,""))</f>
        <v>31.53587822</v>
      </c>
      <c r="Y303" s="14">
        <f>IF($P303="BIOGENICO",IF(ISNUMBER($S303),$N303*$S303/PARAMETROS!$B$8,""),0)</f>
        <v>0.0</v>
      </c>
      <c r="Z303" s="14">
        <f>IF(ISNUMBER($T303),$N303*$T303/PARAMETROS!$B$8,"")</f>
        <v>0.002498881</v>
      </c>
      <c r="AA303" s="14">
        <f>IF(ISNUMBER($U303),$N303*$U303/PARAMETROS!$B$8,"")</f>
        <v>4.997762e-05</v>
      </c>
      <c r="AB303" s="14">
        <f>IF(COUNT($X303,$Z303,$AA303)=0,"",SUM($X303,IF(ISNUMBER($Z303),$Z303*PARAMETROS!$B$9,0),IF(ISNUMBER($AA303),$AA303*PARAMETROS!$B$10,0)))</f>
        <v>31.6190909573</v>
      </c>
      <c r="AC303" s="4" t="s">
        <v>1990</v>
      </c>
      <c r="AD303" s="4"/>
      <c r="AE303" s="4" t="s">
        <v>5690</v>
      </c>
      <c r="AF303" s="4" t="s">
        <v>170</v>
      </c>
      <c r="AG303" s="4" t="inlineStr">
        <is>
          <t>MARN_GTM_BTR1_2024</t>
        </is>
      </c>
      <c r="AH303" s="4" t="inlineStr">
        <is>
          <t>Origen de factores: CO2: MARN_GTM_BTR1_2024 [PRX; BTR1 Guatemala 2024, tabla 3.6, p. 48; fila Gases licuados de petróleo; gas CO2]; CH4: MARN_GTM_BTR1_2024 [PRX; BTR1 Guatemala 2024, tabla 3.33, p. 70; fila Gases licuados de petróleo; gas CH4]; N2O: MARN_GTM_BTR1_2024 [PRX; BTR1 Guatemala 2024, tabla 3.33, p. 70; fila Gases licuados de petróleo; gas N2O].</t>
        </is>
      </c>
    </row>
    <row r="304" customFormat="false" ht="15" hidden="false" customHeight="false" outlineLevel="0" collapsed="false">
      <c r="A304" s="4" t="s">
        <v>6075</v>
      </c>
      <c r="B304" s="12" t="n">
        <v>2023</v>
      </c>
      <c r="C304" s="4" t="s">
        <v>71</v>
      </c>
      <c r="D304" s="4" t="s">
        <v>5685</v>
      </c>
      <c r="E304" s="4" t="s">
        <v>3412</v>
      </c>
      <c r="F304" s="4" t="s">
        <v>3413</v>
      </c>
      <c r="G304" s="4" t="s">
        <v>97</v>
      </c>
      <c r="H304" s="4" t="s">
        <v>2123</v>
      </c>
      <c r="I304" s="4" t="s">
        <v>71</v>
      </c>
      <c r="J304" s="4" t="s">
        <v>2001</v>
      </c>
      <c r="K304" s="4" t="s">
        <v>2002</v>
      </c>
      <c r="L304" s="4" t="s">
        <v>1587</v>
      </c>
      <c r="M304" s="14" t="n">
        <f aca="false">SUMIFS(PSUT_LARGA!$K$2:$K$618,PSUT_LARGA!$B$2:$B$618,$B304,PSUT_LARGA!$H$2:$H$618,$L304,PSUT_LARGA!$E$2:$E$618,$J304,PSUT_LARGA!$F$2:$F$618,$K304,PSUT_LARGA!$G$2:$G$618,$I304,PSUT_LARGA!$I$2:$I$618,$H304)</f>
        <v>79208.892</v>
      </c>
      <c r="N304" s="14" t="n">
        <f aca="false">IF($H304="TRANSFORMACION_REFINERIA",$M304*INDEX(PARAMETROS!$C$27:$C$33,MATCH($B304,PARAMETROS!$A$27:$A$33,0)),$M304)</f>
        <v>79208.892</v>
      </c>
      <c r="O304" s="4" t="inlineStr">
        <is>
          <t>COMB_DOIL</t>
        </is>
      </c>
      <c r="P304" s="4" t="s">
        <v>3352</v>
      </c>
      <c r="Q304" s="11" t="n">
        <f aca="false">MIN($B304,2022)</f>
        <v>2022</v>
      </c>
      <c r="R304" s="8" t="str">
        <f>IF(COUNT($S304:$U304)=0,"NO",IF($O304="CERO_DIRECTO","CAL",IF(OR($B304&gt;$Q304,COUNTIFS(DATOS_MODELO!$C$2:$C$3672,$Q304&amp;"|"&amp;$E304&amp;"|"&amp;$O304&amp;"|*",DATOS_MODELO!$F$2:$F$3672,"PRX",DATOS_MODELO!$AA$2:$AA$3672,"&lt;&gt;")&gt;0),"PRX",IF(COUNTIFS(DATOS_MODELO!$C$2:$C$3672,$Q304&amp;"|"&amp;$E304&amp;"|"&amp;$O304&amp;"|*",DATOS_MODELO!$F$2:$F$3672,"CAL",DATOS_MODELO!$AA$2:$AA$3672,"&lt;&gt;")&gt;0,"CAL","OBS"))))</f>
        <v>PRX</v>
      </c>
      <c r="S304" s="14">
        <f>IF(COUNTIFS(DATOS_MODELO!$C$2:$C$3672,$Q304&amp;"|"&amp;$E304&amp;"|"&amp;$O304&amp;"|CO2",DATOS_MODELO!$AA$2:$AA$3672,"&lt;&gt;")=0,"",INDEX(DATOS_MODELO!$AA$2:$AA$3672,MATCH($Q304&amp;"|"&amp;$E304&amp;"|"&amp;$O304&amp;"|CO2",DATOS_MODELO!$C$2:$C$3672,0)))</f>
        <v>74100.000087609</v>
      </c>
      <c r="T304" s="14">
        <f>IF(COUNTIFS(DATOS_MODELO!$C$2:$C$3672,$Q304&amp;"|"&amp;$E304&amp;"|"&amp;$O304&amp;"|CH4",DATOS_MODELO!$AA$2:$AA$3672,"&lt;&gt;")=0,"",INDEX(DATOS_MODELO!$AA$2:$AA$3672,MATCH($Q304&amp;"|"&amp;$E304&amp;"|"&amp;$O304&amp;"|CH4",DATOS_MODELO!$C$2:$C$3672,0)))</f>
        <v>3.8999999552578</v>
      </c>
      <c r="U304" s="14">
        <f>IF(COUNTIFS(DATOS_MODELO!$C$2:$C$3672,$Q304&amp;"|"&amp;$E304&amp;"|"&amp;$O304&amp;"|N2O",DATOS_MODELO!$AA$2:$AA$3672,"&lt;&gt;")=0,"",INDEX(DATOS_MODELO!$AA$2:$AA$3672,MATCH($Q304&amp;"|"&amp;$E304&amp;"|"&amp;$O304&amp;"|N2O",DATOS_MODELO!$C$2:$C$3672,0)))</f>
        <v>3.8999999552578</v>
      </c>
      <c r="V304" s="8"/>
      <c r="W304" s="14"/>
      <c r="X304" s="14">
        <f>IF($P304="BIOGENICO",0,IF(ISNUMBER($S304),$N304*$S304/PARAMETROS!$B$8,""))</f>
        <v>5869.37890413941</v>
      </c>
      <c r="Y304" s="14">
        <f>IF($P304="BIOGENICO",IF(ISNUMBER($S304),$N304*$S304/PARAMETROS!$B$8,""),0)</f>
        <v>0.0</v>
      </c>
      <c r="Z304" s="14">
        <f>IF(ISNUMBER($T304),$N304*$T304/PARAMETROS!$B$8,"")</f>
        <v>0.30891467525602</v>
      </c>
      <c r="AA304" s="14">
        <f>IF(ISNUMBER($U304),$N304*$U304/PARAMETROS!$B$8,"")</f>
        <v>0.30891467525602</v>
      </c>
      <c r="AB304" s="14">
        <f>IF(COUNT($X304,$Z304,$AA304)=0,"",SUM($X304,IF(ISNUMBER($Z304),$Z304*PARAMETROS!$B$9,0),IF(ISNUMBER($AA304),$AA304*PARAMETROS!$B$10,0)))</f>
        <v>5959.89090398942</v>
      </c>
      <c r="AC304" s="4" t="s">
        <v>1990</v>
      </c>
      <c r="AD304" s="4"/>
      <c r="AE304" s="4" t="s">
        <v>5690</v>
      </c>
      <c r="AF304" s="4" t="s">
        <v>170</v>
      </c>
      <c r="AG304" s="4" t="s">
        <v>3999</v>
      </c>
      <c r="AH304" s="4" t="inlineStr">
        <is>
          <t>Origen de factores: CO2: UNFCCC_GTM_CRT_2024 [OBS; GTM-CRT-2024-V0.3-2022-20250304-084824_started.xlsx; Table1.A(a)s3; AD=C22; EM=H22; IEF=E22]; CH4: UNFCCC_GTM_CRT_2024 [OBS; GTM-CRT-2024-V0.3-2022-20250304-084824_started.xlsx; Table1.A(a)s3; AD=C22; EM=I22; IEF=F22]; N2O: UNFCCC_GTM_CRT_2024 [OBS; GTM-CRT-2024-V0.3-2022-20250304-084824_started.xlsx; Table1.A(a)s3; AD=C22; EM=J22; IEF=G22].</t>
        </is>
      </c>
    </row>
    <row r="305" customFormat="false" ht="23.85" hidden="false" customHeight="false" outlineLevel="0" collapsed="false">
      <c r="A305" s="4" t="s">
        <v>6076</v>
      </c>
      <c r="B305" s="12" t="n">
        <v>2023</v>
      </c>
      <c r="C305" s="4" t="s">
        <v>71</v>
      </c>
      <c r="D305" s="4" t="s">
        <v>5685</v>
      </c>
      <c r="E305" s="4" t="s">
        <v>3412</v>
      </c>
      <c r="F305" s="4" t="s">
        <v>3413</v>
      </c>
      <c r="G305" s="4" t="s">
        <v>99</v>
      </c>
      <c r="H305" s="4" t="s">
        <v>2123</v>
      </c>
      <c r="I305" s="4" t="s">
        <v>71</v>
      </c>
      <c r="J305" s="4" t="s">
        <v>2001</v>
      </c>
      <c r="K305" s="4" t="s">
        <v>2002</v>
      </c>
      <c r="L305" s="4" t="s">
        <v>1601</v>
      </c>
      <c r="M305" s="14" t="n">
        <f aca="false">SUMIFS(PSUT_LARGA!$K$2:$K$618,PSUT_LARGA!$B$2:$B$618,$B305,PSUT_LARGA!$H$2:$H$618,$L305,PSUT_LARGA!$E$2:$E$618,$J305,PSUT_LARGA!$F$2:$F$618,$K305,PSUT_LARGA!$G$2:$G$618,$I305,PSUT_LARGA!$I$2:$I$618,$H305)</f>
        <v>11.5619</v>
      </c>
      <c r="N305" s="14" t="n">
        <f aca="false">IF($H305="TRANSFORMACION_REFINERIA",$M305*INDEX(PARAMETROS!$C$27:$C$33,MATCH($B305,PARAMETROS!$A$27:$A$33,0)),$M305)</f>
        <v>11.5619</v>
      </c>
      <c r="O305" s="4" t="s">
        <v>3362</v>
      </c>
      <c r="P305" s="4" t="s">
        <v>3363</v>
      </c>
      <c r="Q305" s="11" t="n">
        <f aca="false">MIN($B305,2022)</f>
        <v>2022</v>
      </c>
      <c r="R305" s="8" t="str">
        <f>IF(COUNT($S305:$U305)=0,"NO",IF($O305="CERO_DIRECTO","CAL",IF(OR($B305&gt;$Q305,COUNTIFS(DATOS_MODELO!$C$2:$C$3672,$Q305&amp;"|"&amp;$E305&amp;"|"&amp;$O305&amp;"|*",DATOS_MODELO!$F$2:$F$3672,"PRX",DATOS_MODELO!$AA$2:$AA$3672,"&lt;&gt;")&gt;0),"PRX",IF(COUNTIFS(DATOS_MODELO!$C$2:$C$3672,$Q305&amp;"|"&amp;$E305&amp;"|"&amp;$O305&amp;"|*",DATOS_MODELO!$F$2:$F$3672,"CAL",DATOS_MODELO!$AA$2:$AA$3672,"&lt;&gt;")&gt;0,"CAL","OBS"))))</f>
        <v>CAL</v>
      </c>
      <c r="S305" s="14">
        <f>IF(COUNTIFS(DATOS_MODELO!$C$2:$C$3672,$Q305&amp;"|"&amp;$E305&amp;"|"&amp;$O305&amp;"|CO2",DATOS_MODELO!$AA$2:$AA$3672,"&lt;&gt;")=0,"",INDEX(DATOS_MODELO!$AA$2:$AA$3672,MATCH($Q305&amp;"|"&amp;$E305&amp;"|"&amp;$O305&amp;"|CO2",DATOS_MODELO!$C$2:$C$3672,0)))</f>
        <v>0.0</v>
      </c>
      <c r="T305" s="14">
        <f>IF(COUNTIFS(DATOS_MODELO!$C$2:$C$3672,$Q305&amp;"|"&amp;$E305&amp;"|"&amp;$O305&amp;"|CH4",DATOS_MODELO!$AA$2:$AA$3672,"&lt;&gt;")=0,"",INDEX(DATOS_MODELO!$AA$2:$AA$3672,MATCH($Q305&amp;"|"&amp;$E305&amp;"|"&amp;$O305&amp;"|CH4",DATOS_MODELO!$C$2:$C$3672,0)))</f>
        <v>0.0</v>
      </c>
      <c r="U305" s="14">
        <f>IF(COUNTIFS(DATOS_MODELO!$C$2:$C$3672,$Q305&amp;"|"&amp;$E305&amp;"|"&amp;$O305&amp;"|N2O",DATOS_MODELO!$AA$2:$AA$3672,"&lt;&gt;")=0,"",INDEX(DATOS_MODELO!$AA$2:$AA$3672,MATCH($Q305&amp;"|"&amp;$E305&amp;"|"&amp;$O305&amp;"|N2O",DATOS_MODELO!$C$2:$C$3672,0)))</f>
        <v>0.0</v>
      </c>
      <c r="V305" s="8"/>
      <c r="W305" s="14"/>
      <c r="X305" s="14">
        <f>IF($P305="BIOGENICO",0,IF(ISNUMBER($S305),$N305*$S305/PARAMETROS!$B$8,""))</f>
        <v>0.0</v>
      </c>
      <c r="Y305" s="14">
        <f>IF($P305="BIOGENICO",IF(ISNUMBER($S305),$N305*$S305/PARAMETROS!$B$8,""),0)</f>
        <v>0.0</v>
      </c>
      <c r="Z305" s="14">
        <f>IF(ISNUMBER($T305),$N305*$T305/PARAMETROS!$B$8,"")</f>
        <v>0.0</v>
      </c>
      <c r="AA305" s="14">
        <f>IF(ISNUMBER($U305),$N305*$U305/PARAMETROS!$B$8,"")</f>
        <v>0.0</v>
      </c>
      <c r="AB305" s="14">
        <f>IF(COUNT($X305,$Z305,$AA305)=0,"",SUM($X305,IF(ISNUMBER($Z305),$Z305*PARAMETROS!$B$9,0),IF(ISNUMBER($AA305),$AA305*PARAMETROS!$B$10,0)))</f>
        <v>0.0</v>
      </c>
      <c r="AC305" s="4" t="s">
        <v>1990</v>
      </c>
      <c r="AD305" s="4"/>
      <c r="AE305" s="4" t="s">
        <v>3362</v>
      </c>
      <c r="AF305" s="4" t="s">
        <v>170</v>
      </c>
      <c r="AG305" s="4" t="inlineStr">
        <is>
          <t>METODO_EMISIONES</t>
        </is>
      </c>
      <c r="AH305" s="4"/>
    </row>
    <row r="306" customFormat="false" ht="15" hidden="false" customHeight="false" outlineLevel="0" collapsed="false">
      <c r="A306" s="4" t="s">
        <v>6077</v>
      </c>
      <c r="B306" s="12" t="n">
        <v>2023</v>
      </c>
      <c r="C306" s="4" t="s">
        <v>71</v>
      </c>
      <c r="D306" s="4" t="s">
        <v>5685</v>
      </c>
      <c r="E306" s="4" t="s">
        <v>3412</v>
      </c>
      <c r="F306" s="4" t="s">
        <v>3413</v>
      </c>
      <c r="G306" s="4" t="s">
        <v>103</v>
      </c>
      <c r="H306" s="4" t="s">
        <v>2123</v>
      </c>
      <c r="I306" s="4" t="s">
        <v>71</v>
      </c>
      <c r="J306" s="4" t="s">
        <v>2001</v>
      </c>
      <c r="K306" s="4" t="s">
        <v>2002</v>
      </c>
      <c r="L306" s="4" t="s">
        <v>1629</v>
      </c>
      <c r="M306" s="14" t="n">
        <f aca="false">SUMIFS(PSUT_LARGA!$K$2:$K$618,PSUT_LARGA!$B$2:$B$618,$B306,PSUT_LARGA!$H$2:$H$618,$L306,PSUT_LARGA!$E$2:$E$618,$J306,PSUT_LARGA!$F$2:$F$618,$K306,PSUT_LARGA!$G$2:$G$618,$I306,PSUT_LARGA!$I$2:$I$618,$H306)</f>
        <v>86608.1594</v>
      </c>
      <c r="N306" s="14" t="n">
        <f aca="false">IF($H306="TRANSFORMACION_REFINERIA",$M306*INDEX(PARAMETROS!$C$27:$C$33,MATCH($B306,PARAMETROS!$A$27:$A$33,0)),$M306)</f>
        <v>86608.1594</v>
      </c>
      <c r="O306" s="4" t="inlineStr">
        <is>
          <t>COMB_GAS</t>
        </is>
      </c>
      <c r="P306" s="4" t="s">
        <v>3352</v>
      </c>
      <c r="Q306" s="11" t="n">
        <f aca="false">MIN($B306,2022)</f>
        <v>2022</v>
      </c>
      <c r="R306" s="8" t="str">
        <f>IF(COUNT($S306:$U306)=0,"NO",IF($O306="CERO_DIRECTO","CAL",IF(OR($B306&gt;$Q306,COUNTIFS(DATOS_MODELO!$C$2:$C$3672,$Q306&amp;"|"&amp;$E306&amp;"|"&amp;$O306&amp;"|*",DATOS_MODELO!$F$2:$F$3672,"PRX",DATOS_MODELO!$AA$2:$AA$3672,"&lt;&gt;")&gt;0),"PRX",IF(COUNTIFS(DATOS_MODELO!$C$2:$C$3672,$Q306&amp;"|"&amp;$E306&amp;"|"&amp;$O306&amp;"|*",DATOS_MODELO!$F$2:$F$3672,"CAL",DATOS_MODELO!$AA$2:$AA$3672,"&lt;&gt;")&gt;0,"CAL","OBS"))))</f>
        <v>PRX</v>
      </c>
      <c r="S306" s="14">
        <f>IF(COUNTIFS(DATOS_MODELO!$C$2:$C$3672,$Q306&amp;"|"&amp;$E306&amp;"|"&amp;$O306&amp;"|CO2",DATOS_MODELO!$AA$2:$AA$3672,"&lt;&gt;")=0,"",INDEX(DATOS_MODELO!$AA$2:$AA$3672,MATCH($Q306&amp;"|"&amp;$E306&amp;"|"&amp;$O306&amp;"|CO2",DATOS_MODELO!$C$2:$C$3672,0)))</f>
        <v>69300.6912813097</v>
      </c>
      <c r="T306" s="14">
        <f>IF(COUNTIFS(DATOS_MODELO!$C$2:$C$3672,$Q306&amp;"|"&amp;$E306&amp;"|"&amp;$O306&amp;"|CH4",DATOS_MODELO!$AA$2:$AA$3672,"&lt;&gt;")=0,"",INDEX(DATOS_MODELO!$AA$2:$AA$3672,MATCH($Q306&amp;"|"&amp;$E306&amp;"|"&amp;$O306&amp;"|CH4",DATOS_MODELO!$C$2:$C$3672,0)))</f>
        <v>32.9679032524748</v>
      </c>
      <c r="U306" s="14">
        <f>IF(COUNTIFS(DATOS_MODELO!$C$2:$C$3672,$Q306&amp;"|"&amp;$E306&amp;"|"&amp;$O306&amp;"|N2O",DATOS_MODELO!$AA$2:$AA$3672,"&lt;&gt;")=0,"",INDEX(DATOS_MODELO!$AA$2:$AA$3672,MATCH($Q306&amp;"|"&amp;$E306&amp;"|"&amp;$O306&amp;"|N2O",DATOS_MODELO!$C$2:$C$3672,0)))</f>
        <v>3.19881485400936</v>
      </c>
      <c r="V306" s="8"/>
      <c r="W306" s="14"/>
      <c r="X306" s="14">
        <f>IF($P306="BIOGENICO",0,IF(ISNUMBER($S306),$N306*$S306/PARAMETROS!$B$8,""))</f>
        <v>6002.00531702186</v>
      </c>
      <c r="Y306" s="14">
        <f>IF($P306="BIOGENICO",IF(ISNUMBER($S306),$N306*$S306/PARAMETROS!$B$8,""),0)</f>
        <v>0.0</v>
      </c>
      <c r="Z306" s="14">
        <f>IF(ISNUMBER($T306),$N306*$T306/PARAMETROS!$B$8,"")</f>
        <v>2.85528941997411</v>
      </c>
      <c r="AA306" s="14">
        <f>IF(ISNUMBER($U306),$N306*$U306/PARAMETROS!$B$8,"")</f>
        <v>0.27704346676713</v>
      </c>
      <c r="AB306" s="14">
        <f>IF(COUNT($X306,$Z306,$AA306)=0,"",SUM($X306,IF(ISNUMBER($Z306),$Z306*PARAMETROS!$B$9,0),IF(ISNUMBER($AA306),$AA306*PARAMETROS!$B$10,0)))</f>
        <v>6155.36993947443</v>
      </c>
      <c r="AC306" s="4" t="s">
        <v>1990</v>
      </c>
      <c r="AD306" s="4"/>
      <c r="AE306" s="4" t="s">
        <v>5690</v>
      </c>
      <c r="AF306" s="4" t="s">
        <v>170</v>
      </c>
      <c r="AG306" s="4" t="s">
        <v>3999</v>
      </c>
      <c r="AH306" s="4" t="inlineStr">
        <is>
          <t>Origen de factores: CO2: UNFCCC_GTM_CRT_2024 [PRX; GTM-CRT-2024-V0.3-2022-20250304-084824_started.xlsx; Table1.A(a)s3; AD=C17+C21; EM=H17+H21; IEF=E17+E21]; CH4: UNFCCC_GTM_CRT_2024 [PRX; GTM-CRT-2024-V0.3-2022-20250304-084824_started.xlsx; Table1.A(a)s3; AD=C17+C21; EM=I17+I21; IEF=F17+F21]; N2O: UNFCCC_GTM_CRT_2024 [PRX; GTM-CRT-2024-V0.3-2022-20250304-084824_started.xlsx; Table1.A(a)s3; AD=C17+C21; EM=J17+J21; IEF=G17+G21].</t>
        </is>
      </c>
    </row>
    <row r="307" customFormat="false" ht="15" hidden="false" customHeight="false" outlineLevel="0" collapsed="false">
      <c r="A307" s="4" t="s">
        <v>6078</v>
      </c>
      <c r="B307" s="12" t="n">
        <v>2023</v>
      </c>
      <c r="C307" s="4" t="s">
        <v>71</v>
      </c>
      <c r="D307" s="4" t="s">
        <v>5685</v>
      </c>
      <c r="E307" s="4" t="s">
        <v>3412</v>
      </c>
      <c r="F307" s="4" t="s">
        <v>3413</v>
      </c>
      <c r="G307" s="4" t="s">
        <v>105</v>
      </c>
      <c r="H307" s="4" t="s">
        <v>2123</v>
      </c>
      <c r="I307" s="4" t="s">
        <v>71</v>
      </c>
      <c r="J307" s="4" t="s">
        <v>2001</v>
      </c>
      <c r="K307" s="4" t="s">
        <v>2002</v>
      </c>
      <c r="L307" s="4" t="s">
        <v>1643</v>
      </c>
      <c r="M307" s="14" t="n">
        <f aca="false">SUMIFS(PSUT_LARGA!$K$2:$K$618,PSUT_LARGA!$B$2:$B$618,$B307,PSUT_LARGA!$H$2:$H$618,$L307,PSUT_LARGA!$E$2:$E$618,$J307,PSUT_LARGA!$F$2:$F$618,$K307,PSUT_LARGA!$G$2:$G$618,$I307,PSUT_LARGA!$I$2:$I$618,$H307)</f>
        <v>249.8881</v>
      </c>
      <c r="N307" s="14" t="n">
        <f aca="false">IF($H307="TRANSFORMACION_REFINERIA",$M307*INDEX(PARAMETROS!$C$27:$C$33,MATCH($B307,PARAMETROS!$A$27:$A$33,0)),$M307)</f>
        <v>249.8881</v>
      </c>
      <c r="O307" s="4" t="inlineStr">
        <is>
          <t>COMB_GLP</t>
        </is>
      </c>
      <c r="P307" s="4" t="s">
        <v>3352</v>
      </c>
      <c r="Q307" s="11" t="n">
        <f aca="false">MIN($B307,2022)</f>
        <v>2022</v>
      </c>
      <c r="R307" s="8" t="str">
        <f>IF(COUNT($S307:$U307)=0,"NO",IF($O307="CERO_DIRECTO","CAL",IF(OR($B307&gt;$Q307,COUNTIFS(DATOS_MODELO!$C$2:$C$3672,$Q307&amp;"|"&amp;$E307&amp;"|"&amp;$O307&amp;"|*",DATOS_MODELO!$F$2:$F$3672,"PRX",DATOS_MODELO!$AA$2:$AA$3672,"&lt;&gt;")&gt;0),"PRX",IF(COUNTIFS(DATOS_MODELO!$C$2:$C$3672,$Q307&amp;"|"&amp;$E307&amp;"|"&amp;$O307&amp;"|*",DATOS_MODELO!$F$2:$F$3672,"CAL",DATOS_MODELO!$AA$2:$AA$3672,"&lt;&gt;")&gt;0,"CAL","OBS"))))</f>
        <v>PRX</v>
      </c>
      <c r="S307" s="14">
        <f>IF(COUNTIFS(DATOS_MODELO!$C$2:$C$3672,$Q307&amp;"|"&amp;$E307&amp;"|"&amp;$O307&amp;"|CO2",DATOS_MODELO!$AA$2:$AA$3672,"&lt;&gt;")=0,"",INDEX(DATOS_MODELO!$AA$2:$AA$3672,MATCH($Q307&amp;"|"&amp;$E307&amp;"|"&amp;$O307&amp;"|CO2",DATOS_MODELO!$C$2:$C$3672,0)))</f>
        <v>63100.0002354194</v>
      </c>
      <c r="T307" s="14">
        <f>IF(COUNTIFS(DATOS_MODELO!$C$2:$C$3672,$Q307&amp;"|"&amp;$E307&amp;"|"&amp;$O307&amp;"|CH4",DATOS_MODELO!$AA$2:$AA$3672,"&lt;&gt;")=0,"",INDEX(DATOS_MODELO!$AA$2:$AA$3672,MATCH($Q307&amp;"|"&amp;$E307&amp;"|"&amp;$O307&amp;"|CH4",DATOS_MODELO!$C$2:$C$3672,0)))</f>
        <v>61.9999810820671</v>
      </c>
      <c r="U307" s="14">
        <f>IF(COUNTIFS(DATOS_MODELO!$C$2:$C$3672,$Q307&amp;"|"&amp;$E307&amp;"|"&amp;$O307&amp;"|N2O",DATOS_MODELO!$AA$2:$AA$3672,"&lt;&gt;")=0,"",INDEX(DATOS_MODELO!$AA$2:$AA$3672,MATCH($Q307&amp;"|"&amp;$E307&amp;"|"&amp;$O307&amp;"|N2O",DATOS_MODELO!$C$2:$C$3672,0)))</f>
        <v>0.200001027744971</v>
      </c>
      <c r="V307" s="8"/>
      <c r="W307" s="14"/>
      <c r="X307" s="14">
        <f>IF($P307="BIOGENICO",0,IF(ISNUMBER($S307),$N307*$S307/PARAMETROS!$B$8,""))</f>
        <v>15.7679391688285</v>
      </c>
      <c r="Y307" s="14">
        <f>IF($P307="BIOGENICO",IF(ISNUMBER($S307),$N307*$S307/PARAMETROS!$B$8,""),0)</f>
        <v>0.0</v>
      </c>
      <c r="Z307" s="14">
        <f>IF(ISNUMBER($T307),$N307*$T307/PARAMETROS!$B$8,"")</f>
        <v>0.0154930574726337</v>
      </c>
      <c r="AA307" s="14">
        <f>IF(ISNUMBER($U307),$N307*$U307/PARAMETROS!$B$8,"")</f>
        <v>4.99778768212381e-05</v>
      </c>
      <c r="AB307" s="14">
        <f>IF(COUNT($X307,$Z307,$AA307)=0,"",SUM($X307,IF(ISNUMBER($Z307),$Z307*PARAMETROS!$B$9,0),IF(ISNUMBER($AA307),$AA307*PARAMETROS!$B$10,0)))</f>
        <v>16.2149889154199</v>
      </c>
      <c r="AC307" s="4" t="s">
        <v>1990</v>
      </c>
      <c r="AD307" s="4"/>
      <c r="AE307" s="4" t="s">
        <v>5690</v>
      </c>
      <c r="AF307" s="4" t="s">
        <v>170</v>
      </c>
      <c r="AG307" s="4" t="s">
        <v>3999</v>
      </c>
      <c r="AH307" s="4" t="inlineStr">
        <is>
          <t>Origen de factores: CO2: UNFCCC_GTM_CRT_2024 [OBS; GTM-CRT-2024-V0.3-2022-20250304-084824_started.xlsx; Table1.A(a)s3; AD=C23; EM=H23; IEF=E23]; CH4: UNFCCC_GTM_CRT_2024 [OBS; GTM-CRT-2024-V0.3-2022-20250304-084824_started.xlsx; Table1.A(a)s3; AD=C23; EM=I23; IEF=F23]; N2O: UNFCCC_GTM_CRT_2024 [OBS; GTM-CRT-2024-V0.3-2022-20250304-084824_started.xlsx; Table1.A(a)s3; AD=C23; EM=J23; IEF=G23].</t>
        </is>
      </c>
    </row>
    <row r="308" customFormat="false" ht="15" hidden="false" customHeight="false" outlineLevel="0" collapsed="false">
      <c r="A308" s="4" t="s">
        <v>6079</v>
      </c>
      <c r="B308" s="12" t="n">
        <v>2023</v>
      </c>
      <c r="C308" s="4" t="s">
        <v>71</v>
      </c>
      <c r="D308" s="4" t="s">
        <v>5685</v>
      </c>
      <c r="E308" s="4" t="s">
        <v>3412</v>
      </c>
      <c r="F308" s="4" t="s">
        <v>3413</v>
      </c>
      <c r="G308" s="4" t="s">
        <v>107</v>
      </c>
      <c r="H308" s="4" t="s">
        <v>2123</v>
      </c>
      <c r="I308" s="4" t="s">
        <v>71</v>
      </c>
      <c r="J308" s="4" t="s">
        <v>2001</v>
      </c>
      <c r="K308" s="4" t="s">
        <v>2002</v>
      </c>
      <c r="L308" s="4" t="s">
        <v>1657</v>
      </c>
      <c r="M308" s="14" t="n">
        <f aca="false">SUMIFS(PSUT_LARGA!$K$2:$K$618,PSUT_LARGA!$B$2:$B$618,$B308,PSUT_LARGA!$H$2:$H$618,$L308,PSUT_LARGA!$E$2:$E$618,$J308,PSUT_LARGA!$F$2:$F$618,$K308,PSUT_LARGA!$G$2:$G$618,$I308,PSUT_LARGA!$I$2:$I$618,$H308)</f>
        <v>5262.7561</v>
      </c>
      <c r="N308" s="14" t="n">
        <f aca="false">IF($H308="TRANSFORMACION_REFINERIA",$M308*INDEX(PARAMETROS!$C$27:$C$33,MATCH($B308,PARAMETROS!$A$27:$A$33,0)),$M308)</f>
        <v>5262.7561</v>
      </c>
      <c r="O308" s="4" t="inlineStr">
        <is>
          <t>COMB_KER</t>
        </is>
      </c>
      <c r="P308" s="4" t="s">
        <v>3352</v>
      </c>
      <c r="Q308" s="11" t="n">
        <f aca="false">MIN($B308,2022)</f>
        <v>2022</v>
      </c>
      <c r="R308" s="8" t="str">
        <f>IF(COUNT($S308:$U308)=0,"NO",IF($O308="CERO_DIRECTO","CAL",IF(OR($B308&gt;$Q308,COUNTIFS(DATOS_MODELO!$C$2:$C$3672,$Q308&amp;"|"&amp;$E308&amp;"|"&amp;$O308&amp;"|*",DATOS_MODELO!$F$2:$F$3672,"PRX",DATOS_MODELO!$AA$2:$AA$3672,"&lt;&gt;")&gt;0),"PRX",IF(COUNTIFS(DATOS_MODELO!$C$2:$C$3672,$Q308&amp;"|"&amp;$E308&amp;"|"&amp;$O308&amp;"|*",DATOS_MODELO!$F$2:$F$3672,"CAL",DATOS_MODELO!$AA$2:$AA$3672,"&lt;&gt;")&gt;0,"CAL","OBS"))))</f>
        <v>PRX</v>
      </c>
      <c r="S308" s="14">
        <f>IF(COUNTIFS(DATOS_MODELO!$C$2:$C$3672,$Q308&amp;"|"&amp;$E308&amp;"|"&amp;$O308&amp;"|CO2",DATOS_MODELO!$AA$2:$AA$3672,"&lt;&gt;")=0,"",INDEX(DATOS_MODELO!$AA$2:$AA$3672,MATCH($Q308&amp;"|"&amp;$E308&amp;"|"&amp;$O308&amp;"|CO2",DATOS_MODELO!$C$2:$C$3672,0)))</f>
        <v>71500.0</v>
      </c>
      <c r="T308" s="14">
        <f>IF(COUNTIFS(DATOS_MODELO!$C$2:$C$3672,$Q308&amp;"|"&amp;$E308&amp;"|"&amp;$O308&amp;"|CH4",DATOS_MODELO!$AA$2:$AA$3672,"&lt;&gt;")=0,"",INDEX(DATOS_MODELO!$AA$2:$AA$3672,MATCH($Q308&amp;"|"&amp;$E308&amp;"|"&amp;$O308&amp;"|CH4",DATOS_MODELO!$C$2:$C$3672,0)))</f>
        <v>0.5</v>
      </c>
      <c r="U308" s="14">
        <f>IF(COUNTIFS(DATOS_MODELO!$C$2:$C$3672,$Q308&amp;"|"&amp;$E308&amp;"|"&amp;$O308&amp;"|N2O",DATOS_MODELO!$AA$2:$AA$3672,"&lt;&gt;")=0,"",INDEX(DATOS_MODELO!$AA$2:$AA$3672,MATCH($Q308&amp;"|"&amp;$E308&amp;"|"&amp;$O308&amp;"|N2O",DATOS_MODELO!$C$2:$C$3672,0)))</f>
        <v>2.0</v>
      </c>
      <c r="V308" s="8"/>
      <c r="W308" s="14"/>
      <c r="X308" s="14">
        <f>IF($P308="BIOGENICO",0,IF(ISNUMBER($S308),$N308*$S308/PARAMETROS!$B$8,""))</f>
        <v>376.28706115</v>
      </c>
      <c r="Y308" s="14">
        <f>IF($P308="BIOGENICO",IF(ISNUMBER($S308),$N308*$S308/PARAMETROS!$B$8,""),0)</f>
        <v>0.0</v>
      </c>
      <c r="Z308" s="14">
        <f>IF(ISNUMBER($T308),$N308*$T308/PARAMETROS!$B$8,"")</f>
        <v>0.00263137805</v>
      </c>
      <c r="AA308" s="14">
        <f>IF(ISNUMBER($U308),$N308*$U308/PARAMETROS!$B$8,"")</f>
        <v>0.0105255122</v>
      </c>
      <c r="AB308" s="14">
        <f>IF(COUNT($X308,$Z308,$AA308)=0,"",SUM($X308,IF(ISNUMBER($Z308),$Z308*PARAMETROS!$B$9,0),IF(ISNUMBER($AA308),$AA308*PARAMETROS!$B$10,0)))</f>
        <v>379.1500004684</v>
      </c>
      <c r="AC308" s="4" t="s">
        <v>1990</v>
      </c>
      <c r="AD308" s="4"/>
      <c r="AE308" s="4" t="s">
        <v>5690</v>
      </c>
      <c r="AF308" s="4" t="s">
        <v>170</v>
      </c>
      <c r="AG308" s="4" t="inlineStr">
        <is>
          <t>IPCC_2006_GL</t>
        </is>
      </c>
      <c r="AH308" s="4" t="inlineStr">
        <is>
          <t>Origen de factores: CO2: IPCC_2006_GL [PRX; Volumen 2, capítulo 3, tabla 3.6.4, p. 3.64; fila Jet Kerosene; gas CO2]; CH4: IPCC_2006_GL [PRX; Volumen 2, capítulo 3, tabla 3.6.5, p. 3.64; fila All fuels; gas CH4]; N2O: IPCC_2006_GL [PRX; Volumen 2, capítulo 3, tabla 3.6.5, p. 3.64; fila All fuels; gas N2O].</t>
        </is>
      </c>
    </row>
    <row r="309" customFormat="false" ht="15" hidden="false" customHeight="false" outlineLevel="0" collapsed="false">
      <c r="A309" s="4" t="s">
        <v>6080</v>
      </c>
      <c r="B309" s="12" t="n">
        <v>2023</v>
      </c>
      <c r="C309" s="4" t="s">
        <v>65</v>
      </c>
      <c r="D309" s="4" t="s">
        <v>5734</v>
      </c>
      <c r="E309" s="4" t="s">
        <v>4024</v>
      </c>
      <c r="F309" s="4" t="s">
        <v>5735</v>
      </c>
      <c r="G309" s="4"/>
      <c r="H309" s="4" t="s">
        <v>6081</v>
      </c>
      <c r="I309" s="4" t="s">
        <v>65</v>
      </c>
      <c r="J309" s="4"/>
      <c r="K309" s="4"/>
      <c r="L309" s="4" t="s">
        <v>6082</v>
      </c>
      <c r="M309" s="14"/>
      <c r="N309" s="14"/>
      <c r="O309" s="4" t="s">
        <v>4011</v>
      </c>
      <c r="P309" s="4" t="s">
        <v>4019</v>
      </c>
      <c r="Q309" s="11" t="n">
        <f aca="false">MIN($B309,2022)</f>
        <v>2022</v>
      </c>
      <c r="R309" s="4" t="s">
        <v>3894</v>
      </c>
      <c r="S309" s="14"/>
      <c r="T309" s="14"/>
      <c r="U309" s="14"/>
      <c r="V309" s="4" t="s">
        <v>4018</v>
      </c>
      <c r="W309" s="14" t="n">
        <f aca="false">SUMIFS($W$2:$W$375,$B$2:$B$375,2022,$E$2:$E$375,$E309,$V$2:$V$375,$V309)*INDEX(PARAMETROS!$C$17:$C$23,MATCH($B309,PARAMETROS!$A$17:$A$23,0))</f>
        <v>176.352160063432</v>
      </c>
      <c r="X309" s="14" t="n">
        <f aca="false">IF($V309="CO2",$W309,0)</f>
        <v>0</v>
      </c>
      <c r="Y309" s="14" t="n">
        <f aca="false">0</f>
        <v>0</v>
      </c>
      <c r="Z309" s="14" t="n">
        <f aca="false">IF($V309="CH4",$W309,0)</f>
        <v>176.352160063432</v>
      </c>
      <c r="AA309" s="14" t="n">
        <f aca="false">IF($V309="N2O",$W309,0)</f>
        <v>0</v>
      </c>
      <c r="AB309" s="14" t="n">
        <f aca="false">$X309+$Z309*PARAMETROS!$B$9+$AA309*PARAMETROS!$B$10</f>
        <v>4937.86048177609</v>
      </c>
      <c r="AC309" s="4" t="s">
        <v>3894</v>
      </c>
      <c r="AD309" s="4"/>
      <c r="AE309" s="4" t="s">
        <v>6083</v>
      </c>
      <c r="AF309" s="4" t="s">
        <v>4242</v>
      </c>
      <c r="AG309" s="4" t="s">
        <v>3999</v>
      </c>
      <c r="AH309" s="4"/>
    </row>
    <row r="310" customFormat="false" ht="15" hidden="false" customHeight="false" outlineLevel="0" collapsed="false">
      <c r="A310" s="4" t="s">
        <v>6084</v>
      </c>
      <c r="B310" s="12" t="n">
        <v>2023</v>
      </c>
      <c r="C310" s="4" t="s">
        <v>65</v>
      </c>
      <c r="D310" s="4" t="s">
        <v>5734</v>
      </c>
      <c r="E310" s="4" t="s">
        <v>4030</v>
      </c>
      <c r="F310" s="4" t="s">
        <v>5739</v>
      </c>
      <c r="G310" s="4"/>
      <c r="H310" s="4" t="s">
        <v>6081</v>
      </c>
      <c r="I310" s="4" t="s">
        <v>65</v>
      </c>
      <c r="J310" s="4"/>
      <c r="K310" s="4"/>
      <c r="L310" s="4" t="s">
        <v>6085</v>
      </c>
      <c r="M310" s="14"/>
      <c r="N310" s="14"/>
      <c r="O310" s="4" t="s">
        <v>4011</v>
      </c>
      <c r="P310" s="4" t="s">
        <v>4019</v>
      </c>
      <c r="Q310" s="11" t="n">
        <f aca="false">MIN($B310,2022)</f>
        <v>2022</v>
      </c>
      <c r="R310" s="4" t="s">
        <v>3894</v>
      </c>
      <c r="S310" s="14"/>
      <c r="T310" s="14"/>
      <c r="U310" s="14"/>
      <c r="V310" s="4" t="s">
        <v>4018</v>
      </c>
      <c r="W310" s="14" t="n">
        <f aca="false">SUMIFS($W$2:$W$375,$B$2:$B$375,2022,$E$2:$E$375,$E310,$V$2:$V$375,$V310)*INDEX(PARAMETROS!$C$17:$C$23,MATCH($B310,PARAMETROS!$A$17:$A$23,0))</f>
        <v>6.2546020755056</v>
      </c>
      <c r="X310" s="14" t="n">
        <f aca="false">IF($V310="CO2",$W310,0)</f>
        <v>0</v>
      </c>
      <c r="Y310" s="14" t="n">
        <f aca="false">0</f>
        <v>0</v>
      </c>
      <c r="Z310" s="14" t="n">
        <f aca="false">IF($V310="CH4",$W310,0)</f>
        <v>6.2546020755056</v>
      </c>
      <c r="AA310" s="14" t="n">
        <f aca="false">IF($V310="N2O",$W310,0)</f>
        <v>0</v>
      </c>
      <c r="AB310" s="14" t="n">
        <f aca="false">$X310+$Z310*PARAMETROS!$B$9+$AA310*PARAMETROS!$B$10</f>
        <v>175.128858114157</v>
      </c>
      <c r="AC310" s="4" t="s">
        <v>3894</v>
      </c>
      <c r="AD310" s="4"/>
      <c r="AE310" s="4" t="s">
        <v>6083</v>
      </c>
      <c r="AF310" s="4" t="s">
        <v>4242</v>
      </c>
      <c r="AG310" s="4" t="s">
        <v>3999</v>
      </c>
      <c r="AH310" s="4"/>
    </row>
    <row r="311" customFormat="false" ht="15" hidden="false" customHeight="false" outlineLevel="0" collapsed="false">
      <c r="A311" s="4" t="s">
        <v>6086</v>
      </c>
      <c r="B311" s="12" t="n">
        <v>2023</v>
      </c>
      <c r="C311" s="4" t="s">
        <v>65</v>
      </c>
      <c r="D311" s="4" t="s">
        <v>5734</v>
      </c>
      <c r="E311" s="4" t="s">
        <v>4030</v>
      </c>
      <c r="F311" s="4" t="s">
        <v>5739</v>
      </c>
      <c r="G311" s="4"/>
      <c r="H311" s="4" t="s">
        <v>6081</v>
      </c>
      <c r="I311" s="4" t="s">
        <v>65</v>
      </c>
      <c r="J311" s="4"/>
      <c r="K311" s="4"/>
      <c r="L311" s="4" t="s">
        <v>6087</v>
      </c>
      <c r="M311" s="14"/>
      <c r="N311" s="14"/>
      <c r="O311" s="4" t="s">
        <v>4011</v>
      </c>
      <c r="P311" s="4" t="s">
        <v>4019</v>
      </c>
      <c r="Q311" s="11" t="n">
        <f aca="false">MIN($B311,2022)</f>
        <v>2022</v>
      </c>
      <c r="R311" s="4" t="s">
        <v>3894</v>
      </c>
      <c r="S311" s="14"/>
      <c r="T311" s="14"/>
      <c r="U311" s="14"/>
      <c r="V311" s="4" t="s">
        <v>4048</v>
      </c>
      <c r="W311" s="14" t="n">
        <f aca="false">SUMIFS($W$2:$W$375,$B$2:$B$375,2022,$E$2:$E$375,$E311,$V$2:$V$375,$V311)*INDEX(PARAMETROS!$C$17:$C$23,MATCH($B311,PARAMETROS!$A$17:$A$23,0))</f>
        <v>0.919475634584942</v>
      </c>
      <c r="X311" s="14" t="n">
        <f aca="false">IF($V311="CO2",$W311,0)</f>
        <v>0</v>
      </c>
      <c r="Y311" s="14" t="n">
        <f aca="false">0</f>
        <v>0</v>
      </c>
      <c r="Z311" s="14" t="n">
        <f aca="false">IF($V311="CH4",$W311,0)</f>
        <v>0</v>
      </c>
      <c r="AA311" s="14" t="n">
        <f aca="false">IF($V311="N2O",$W311,0)</f>
        <v>0.919475634584942</v>
      </c>
      <c r="AB311" s="14" t="n">
        <f aca="false">$X311+$Z311*PARAMETROS!$B$9+$AA311*PARAMETROS!$B$10</f>
        <v>243.66104316501</v>
      </c>
      <c r="AC311" s="4" t="s">
        <v>3894</v>
      </c>
      <c r="AD311" s="4"/>
      <c r="AE311" s="4" t="s">
        <v>6083</v>
      </c>
      <c r="AF311" s="4" t="s">
        <v>4242</v>
      </c>
      <c r="AG311" s="4" t="s">
        <v>3999</v>
      </c>
      <c r="AH311" s="4"/>
    </row>
    <row r="312" customFormat="false" ht="15" hidden="false" customHeight="false" outlineLevel="0" collapsed="false">
      <c r="A312" s="4" t="s">
        <v>6088</v>
      </c>
      <c r="B312" s="12" t="n">
        <v>2023</v>
      </c>
      <c r="C312" s="4" t="s">
        <v>65</v>
      </c>
      <c r="D312" s="4" t="s">
        <v>5734</v>
      </c>
      <c r="E312" s="4" t="s">
        <v>4036</v>
      </c>
      <c r="F312" s="4" t="s">
        <v>5744</v>
      </c>
      <c r="G312" s="4"/>
      <c r="H312" s="4" t="s">
        <v>6081</v>
      </c>
      <c r="I312" s="4" t="s">
        <v>65</v>
      </c>
      <c r="J312" s="4"/>
      <c r="K312" s="4"/>
      <c r="L312" s="4" t="s">
        <v>6089</v>
      </c>
      <c r="M312" s="14"/>
      <c r="N312" s="14"/>
      <c r="O312" s="4" t="s">
        <v>4011</v>
      </c>
      <c r="P312" s="4" t="s">
        <v>4019</v>
      </c>
      <c r="Q312" s="11" t="n">
        <f aca="false">MIN($B312,2022)</f>
        <v>2022</v>
      </c>
      <c r="R312" s="4" t="s">
        <v>3894</v>
      </c>
      <c r="S312" s="14"/>
      <c r="T312" s="14"/>
      <c r="U312" s="14"/>
      <c r="V312" s="4" t="s">
        <v>4018</v>
      </c>
      <c r="W312" s="14" t="n">
        <f aca="false">SUMIFS($W$2:$W$375,$B$2:$B$375,2022,$E$2:$E$375,$E312,$V$2:$V$375,$V312)*INDEX(PARAMETROS!$C$17:$C$23,MATCH($B312,PARAMETROS!$A$17:$A$23,0))</f>
        <v>0.848458309506044</v>
      </c>
      <c r="X312" s="14" t="n">
        <f aca="false">IF($V312="CO2",$W312,0)</f>
        <v>0</v>
      </c>
      <c r="Y312" s="14" t="n">
        <f aca="false">0</f>
        <v>0</v>
      </c>
      <c r="Z312" s="14" t="n">
        <f aca="false">IF($V312="CH4",$W312,0)</f>
        <v>0.848458309506044</v>
      </c>
      <c r="AA312" s="14" t="n">
        <f aca="false">IF($V312="N2O",$W312,0)</f>
        <v>0</v>
      </c>
      <c r="AB312" s="14" t="n">
        <f aca="false">$X312+$Z312*PARAMETROS!$B$9+$AA312*PARAMETROS!$B$10</f>
        <v>23.7568326661692</v>
      </c>
      <c r="AC312" s="4" t="s">
        <v>3894</v>
      </c>
      <c r="AD312" s="4"/>
      <c r="AE312" s="4" t="s">
        <v>6083</v>
      </c>
      <c r="AF312" s="4" t="s">
        <v>4242</v>
      </c>
      <c r="AG312" s="4" t="s">
        <v>3999</v>
      </c>
      <c r="AH312" s="4"/>
    </row>
    <row r="313" customFormat="false" ht="15" hidden="false" customHeight="false" outlineLevel="0" collapsed="false">
      <c r="A313" s="4" t="s">
        <v>6090</v>
      </c>
      <c r="B313" s="12" t="n">
        <v>2023</v>
      </c>
      <c r="C313" s="4" t="s">
        <v>65</v>
      </c>
      <c r="D313" s="4" t="s">
        <v>5734</v>
      </c>
      <c r="E313" s="4" t="s">
        <v>4057</v>
      </c>
      <c r="F313" s="4" t="s">
        <v>5747</v>
      </c>
      <c r="G313" s="4"/>
      <c r="H313" s="4" t="s">
        <v>6081</v>
      </c>
      <c r="I313" s="4" t="s">
        <v>65</v>
      </c>
      <c r="J313" s="4"/>
      <c r="K313" s="4"/>
      <c r="L313" s="4" t="s">
        <v>6091</v>
      </c>
      <c r="M313" s="14"/>
      <c r="N313" s="14"/>
      <c r="O313" s="4" t="s">
        <v>4011</v>
      </c>
      <c r="P313" s="4" t="s">
        <v>4019</v>
      </c>
      <c r="Q313" s="11" t="n">
        <f aca="false">MIN($B313,2022)</f>
        <v>2022</v>
      </c>
      <c r="R313" s="4" t="s">
        <v>3894</v>
      </c>
      <c r="S313" s="14"/>
      <c r="T313" s="14"/>
      <c r="U313" s="14"/>
      <c r="V313" s="4" t="s">
        <v>4048</v>
      </c>
      <c r="W313" s="14" t="n">
        <f aca="false">SUMIFS($W$2:$W$375,$B$2:$B$375,2022,$E$2:$E$375,$E313,$V$2:$V$375,$V313)*INDEX(PARAMETROS!$C$17:$C$23,MATCH($B313,PARAMETROS!$A$17:$A$23,0))</f>
        <v>3.27268600462878</v>
      </c>
      <c r="X313" s="14" t="n">
        <f aca="false">IF($V313="CO2",$W313,0)</f>
        <v>0</v>
      </c>
      <c r="Y313" s="14" t="n">
        <f aca="false">0</f>
        <v>0</v>
      </c>
      <c r="Z313" s="14" t="n">
        <f aca="false">IF($V313="CH4",$W313,0)</f>
        <v>0</v>
      </c>
      <c r="AA313" s="14" t="n">
        <f aca="false">IF($V313="N2O",$W313,0)</f>
        <v>3.27268600462878</v>
      </c>
      <c r="AB313" s="14" t="n">
        <f aca="false">$X313+$Z313*PARAMETROS!$B$9+$AA313*PARAMETROS!$B$10</f>
        <v>867.261791226627</v>
      </c>
      <c r="AC313" s="4" t="s">
        <v>3894</v>
      </c>
      <c r="AD313" s="4"/>
      <c r="AE313" s="4" t="s">
        <v>6083</v>
      </c>
      <c r="AF313" s="4" t="s">
        <v>4242</v>
      </c>
      <c r="AG313" s="4" t="s">
        <v>3999</v>
      </c>
      <c r="AH313" s="4"/>
    </row>
    <row r="314" customFormat="false" ht="15" hidden="false" customHeight="false" outlineLevel="0" collapsed="false">
      <c r="A314" s="4" t="s">
        <v>6092</v>
      </c>
      <c r="B314" s="12" t="n">
        <v>2023</v>
      </c>
      <c r="C314" s="4" t="s">
        <v>65</v>
      </c>
      <c r="D314" s="4" t="s">
        <v>5734</v>
      </c>
      <c r="E314" s="4" t="s">
        <v>4042</v>
      </c>
      <c r="F314" s="4" t="s">
        <v>5750</v>
      </c>
      <c r="G314" s="4"/>
      <c r="H314" s="4" t="s">
        <v>6081</v>
      </c>
      <c r="I314" s="4" t="s">
        <v>65</v>
      </c>
      <c r="J314" s="4"/>
      <c r="K314" s="4"/>
      <c r="L314" s="4" t="s">
        <v>6093</v>
      </c>
      <c r="M314" s="14"/>
      <c r="N314" s="14"/>
      <c r="O314" s="4" t="s">
        <v>4011</v>
      </c>
      <c r="P314" s="4" t="s">
        <v>4019</v>
      </c>
      <c r="Q314" s="11" t="n">
        <f aca="false">MIN($B314,2022)</f>
        <v>2022</v>
      </c>
      <c r="R314" s="4" t="s">
        <v>3894</v>
      </c>
      <c r="S314" s="14"/>
      <c r="T314" s="14"/>
      <c r="U314" s="14"/>
      <c r="V314" s="4" t="s">
        <v>4018</v>
      </c>
      <c r="W314" s="14" t="n">
        <f aca="false">SUMIFS($W$2:$W$375,$B$2:$B$375,2022,$E$2:$E$375,$E314,$V$2:$V$375,$V314)*INDEX(PARAMETROS!$C$17:$C$23,MATCH($B314,PARAMETROS!$A$17:$A$23,0))</f>
        <v>4.44603238561801</v>
      </c>
      <c r="X314" s="14" t="n">
        <f aca="false">IF($V314="CO2",$W314,0)</f>
        <v>0</v>
      </c>
      <c r="Y314" s="14" t="n">
        <f aca="false">0</f>
        <v>0</v>
      </c>
      <c r="Z314" s="14" t="n">
        <f aca="false">IF($V314="CH4",$W314,0)</f>
        <v>4.44603238561801</v>
      </c>
      <c r="AA314" s="14" t="n">
        <f aca="false">IF($V314="N2O",$W314,0)</f>
        <v>0</v>
      </c>
      <c r="AB314" s="14" t="n">
        <f aca="false">$X314+$Z314*PARAMETROS!$B$9+$AA314*PARAMETROS!$B$10</f>
        <v>124.488906797304</v>
      </c>
      <c r="AC314" s="4" t="s">
        <v>3894</v>
      </c>
      <c r="AD314" s="4"/>
      <c r="AE314" s="4" t="s">
        <v>6083</v>
      </c>
      <c r="AF314" s="4" t="s">
        <v>4242</v>
      </c>
      <c r="AG314" s="4" t="s">
        <v>3999</v>
      </c>
      <c r="AH314" s="4"/>
    </row>
    <row r="315" customFormat="false" ht="15" hidden="false" customHeight="false" outlineLevel="0" collapsed="false">
      <c r="A315" s="4" t="s">
        <v>6094</v>
      </c>
      <c r="B315" s="12" t="n">
        <v>2023</v>
      </c>
      <c r="C315" s="4" t="s">
        <v>65</v>
      </c>
      <c r="D315" s="4" t="s">
        <v>5734</v>
      </c>
      <c r="E315" s="4" t="s">
        <v>4042</v>
      </c>
      <c r="F315" s="4" t="s">
        <v>5750</v>
      </c>
      <c r="G315" s="4"/>
      <c r="H315" s="4" t="s">
        <v>6081</v>
      </c>
      <c r="I315" s="4" t="s">
        <v>65</v>
      </c>
      <c r="J315" s="4"/>
      <c r="K315" s="4"/>
      <c r="L315" s="4" t="s">
        <v>6095</v>
      </c>
      <c r="M315" s="14"/>
      <c r="N315" s="14"/>
      <c r="O315" s="4" t="s">
        <v>4011</v>
      </c>
      <c r="P315" s="4" t="s">
        <v>4019</v>
      </c>
      <c r="Q315" s="11" t="n">
        <f aca="false">MIN($B315,2022)</f>
        <v>2022</v>
      </c>
      <c r="R315" s="4" t="s">
        <v>3894</v>
      </c>
      <c r="S315" s="14"/>
      <c r="T315" s="14"/>
      <c r="U315" s="14"/>
      <c r="V315" s="4" t="s">
        <v>4048</v>
      </c>
      <c r="W315" s="14" t="n">
        <f aca="false">SUMIFS($W$2:$W$375,$B$2:$B$375,2022,$E$2:$E$375,$E315,$V$2:$V$375,$V315)*INDEX(PARAMETROS!$C$17:$C$23,MATCH($B315,PARAMETROS!$A$17:$A$23,0))</f>
        <v>0.405942087382514</v>
      </c>
      <c r="X315" s="14" t="n">
        <f aca="false">IF($V315="CO2",$W315,0)</f>
        <v>0</v>
      </c>
      <c r="Y315" s="14" t="n">
        <f aca="false">0</f>
        <v>0</v>
      </c>
      <c r="Z315" s="14" t="n">
        <f aca="false">IF($V315="CH4",$W315,0)</f>
        <v>0</v>
      </c>
      <c r="AA315" s="14" t="n">
        <f aca="false">IF($V315="N2O",$W315,0)</f>
        <v>0.405942087382514</v>
      </c>
      <c r="AB315" s="14" t="n">
        <f aca="false">$X315+$Z315*PARAMETROS!$B$9+$AA315*PARAMETROS!$B$10</f>
        <v>107.574653156366</v>
      </c>
      <c r="AC315" s="4" t="s">
        <v>3894</v>
      </c>
      <c r="AD315" s="4"/>
      <c r="AE315" s="4" t="s">
        <v>6083</v>
      </c>
      <c r="AF315" s="4" t="s">
        <v>4242</v>
      </c>
      <c r="AG315" s="4" t="s">
        <v>3999</v>
      </c>
      <c r="AH315" s="4"/>
    </row>
    <row r="316" customFormat="false" ht="15" hidden="false" customHeight="false" outlineLevel="0" collapsed="false">
      <c r="A316" s="4" t="s">
        <v>6096</v>
      </c>
      <c r="B316" s="12" t="n">
        <v>2023</v>
      </c>
      <c r="C316" s="4" t="s">
        <v>65</v>
      </c>
      <c r="D316" s="4" t="s">
        <v>5734</v>
      </c>
      <c r="E316" s="4" t="s">
        <v>5755</v>
      </c>
      <c r="F316" s="4" t="s">
        <v>5756</v>
      </c>
      <c r="G316" s="4"/>
      <c r="H316" s="4" t="s">
        <v>6081</v>
      </c>
      <c r="I316" s="4" t="s">
        <v>65</v>
      </c>
      <c r="J316" s="4"/>
      <c r="K316" s="4"/>
      <c r="L316" s="4" t="s">
        <v>6097</v>
      </c>
      <c r="M316" s="14"/>
      <c r="N316" s="14"/>
      <c r="O316" s="4" t="s">
        <v>4011</v>
      </c>
      <c r="P316" s="4" t="s">
        <v>4019</v>
      </c>
      <c r="Q316" s="11" t="n">
        <f aca="false">MIN($B316,2022)</f>
        <v>2022</v>
      </c>
      <c r="R316" s="4" t="s">
        <v>3894</v>
      </c>
      <c r="S316" s="14"/>
      <c r="T316" s="14"/>
      <c r="U316" s="14"/>
      <c r="V316" s="4" t="s">
        <v>4018</v>
      </c>
      <c r="W316" s="14" t="n">
        <f aca="false">SUMIFS($W$2:$W$375,$B$2:$B$375,2022,$E$2:$E$375,$E316,$V$2:$V$375,$V316)*INDEX(PARAMETROS!$C$17:$C$23,MATCH($B316,PARAMETROS!$A$17:$A$23,0))</f>
        <v>4.50467047050024</v>
      </c>
      <c r="X316" s="14" t="n">
        <f aca="false">IF($V316="CO2",$W316,0)</f>
        <v>0</v>
      </c>
      <c r="Y316" s="14" t="n">
        <f aca="false">0</f>
        <v>0</v>
      </c>
      <c r="Z316" s="14" t="n">
        <f aca="false">IF($V316="CH4",$W316,0)</f>
        <v>4.50467047050024</v>
      </c>
      <c r="AA316" s="14" t="n">
        <f aca="false">IF($V316="N2O",$W316,0)</f>
        <v>0</v>
      </c>
      <c r="AB316" s="14" t="n">
        <f aca="false">$X316+$Z316*PARAMETROS!$B$9+$AA316*PARAMETROS!$B$10</f>
        <v>126.130773174007</v>
      </c>
      <c r="AC316" s="4" t="s">
        <v>3894</v>
      </c>
      <c r="AD316" s="4"/>
      <c r="AE316" s="4" t="s">
        <v>6083</v>
      </c>
      <c r="AF316" s="4" t="s">
        <v>4242</v>
      </c>
      <c r="AG316" s="4" t="s">
        <v>3999</v>
      </c>
      <c r="AH316" s="4"/>
    </row>
    <row r="317" customFormat="false" ht="15" hidden="false" customHeight="false" outlineLevel="0" collapsed="false">
      <c r="A317" s="4" t="s">
        <v>6098</v>
      </c>
      <c r="B317" s="12" t="n">
        <v>2023</v>
      </c>
      <c r="C317" s="4" t="s">
        <v>65</v>
      </c>
      <c r="D317" s="4" t="s">
        <v>5734</v>
      </c>
      <c r="E317" s="4" t="s">
        <v>5755</v>
      </c>
      <c r="F317" s="4" t="s">
        <v>5756</v>
      </c>
      <c r="G317" s="4"/>
      <c r="H317" s="4" t="s">
        <v>6081</v>
      </c>
      <c r="I317" s="4" t="s">
        <v>65</v>
      </c>
      <c r="J317" s="4"/>
      <c r="K317" s="4"/>
      <c r="L317" s="4" t="s">
        <v>6099</v>
      </c>
      <c r="M317" s="14"/>
      <c r="N317" s="14"/>
      <c r="O317" s="4" t="s">
        <v>4011</v>
      </c>
      <c r="P317" s="4" t="s">
        <v>4019</v>
      </c>
      <c r="Q317" s="11" t="n">
        <f aca="false">MIN($B317,2022)</f>
        <v>2022</v>
      </c>
      <c r="R317" s="4" t="s">
        <v>3894</v>
      </c>
      <c r="S317" s="14"/>
      <c r="T317" s="14"/>
      <c r="U317" s="14"/>
      <c r="V317" s="4" t="s">
        <v>4048</v>
      </c>
      <c r="W317" s="14" t="n">
        <f aca="false">SUMIFS($W$2:$W$375,$B$2:$B$375,2022,$E$2:$E$375,$E317,$V$2:$V$375,$V317)*INDEX(PARAMETROS!$C$17:$C$23,MATCH($B317,PARAMETROS!$A$17:$A$23,0))</f>
        <v>0.116787752938896</v>
      </c>
      <c r="X317" s="14" t="n">
        <f aca="false">IF($V317="CO2",$W317,0)</f>
        <v>0</v>
      </c>
      <c r="Y317" s="14" t="n">
        <f aca="false">0</f>
        <v>0</v>
      </c>
      <c r="Z317" s="14" t="n">
        <f aca="false">IF($V317="CH4",$W317,0)</f>
        <v>0</v>
      </c>
      <c r="AA317" s="14" t="n">
        <f aca="false">IF($V317="N2O",$W317,0)</f>
        <v>0.116787752938896</v>
      </c>
      <c r="AB317" s="14" t="n">
        <f aca="false">$X317+$Z317*PARAMETROS!$B$9+$AA317*PARAMETROS!$B$10</f>
        <v>30.9487545288075</v>
      </c>
      <c r="AC317" s="4" t="s">
        <v>3894</v>
      </c>
      <c r="AD317" s="4"/>
      <c r="AE317" s="4" t="s">
        <v>6083</v>
      </c>
      <c r="AF317" s="4" t="s">
        <v>4242</v>
      </c>
      <c r="AG317" s="4" t="s">
        <v>3999</v>
      </c>
      <c r="AH317" s="4"/>
    </row>
    <row r="318" customFormat="false" ht="15" hidden="false" customHeight="false" outlineLevel="0" collapsed="false">
      <c r="A318" s="4" t="s">
        <v>6100</v>
      </c>
      <c r="B318" s="12" t="n">
        <v>2023</v>
      </c>
      <c r="C318" s="4" t="s">
        <v>65</v>
      </c>
      <c r="D318" s="4" t="s">
        <v>5734</v>
      </c>
      <c r="E318" s="4" t="s">
        <v>5762</v>
      </c>
      <c r="F318" s="4" t="s">
        <v>5763</v>
      </c>
      <c r="G318" s="4"/>
      <c r="H318" s="4" t="s">
        <v>5686</v>
      </c>
      <c r="I318" s="4" t="s">
        <v>65</v>
      </c>
      <c r="J318" s="4"/>
      <c r="K318" s="4"/>
      <c r="L318" s="4" t="s">
        <v>6101</v>
      </c>
      <c r="M318" s="14"/>
      <c r="N318" s="14"/>
      <c r="O318" s="4" t="s">
        <v>3349</v>
      </c>
      <c r="P318" s="4" t="s">
        <v>4019</v>
      </c>
      <c r="Q318" s="11" t="n">
        <f aca="false">MIN($B318,2022)</f>
        <v>2022</v>
      </c>
      <c r="R318" s="4" t="s">
        <v>3349</v>
      </c>
      <c r="S318" s="14"/>
      <c r="T318" s="14"/>
      <c r="U318" s="14"/>
      <c r="V318" s="4" t="s">
        <v>3349</v>
      </c>
      <c r="W318" s="14"/>
      <c r="X318" s="14"/>
      <c r="Y318" s="14"/>
      <c r="Z318" s="14"/>
      <c r="AA318" s="14"/>
      <c r="AB318" s="14"/>
      <c r="AC318" s="4" t="s">
        <v>3349</v>
      </c>
      <c r="AD318" s="4" t="s">
        <v>3349</v>
      </c>
      <c r="AE318" s="4" t="s">
        <v>5686</v>
      </c>
      <c r="AF318" s="4" t="s">
        <v>4242</v>
      </c>
      <c r="AG318" s="4"/>
      <c r="AH318" s="4"/>
    </row>
    <row r="319" customFormat="false" ht="15" hidden="false" customHeight="false" outlineLevel="0" collapsed="false">
      <c r="A319" s="4" t="s">
        <v>6102</v>
      </c>
      <c r="B319" s="12" t="n">
        <v>2023</v>
      </c>
      <c r="C319" s="4" t="s">
        <v>65</v>
      </c>
      <c r="D319" s="4" t="s">
        <v>5734</v>
      </c>
      <c r="E319" s="4" t="s">
        <v>5766</v>
      </c>
      <c r="F319" s="4" t="s">
        <v>5767</v>
      </c>
      <c r="G319" s="4"/>
      <c r="H319" s="4" t="s">
        <v>6081</v>
      </c>
      <c r="I319" s="4" t="s">
        <v>65</v>
      </c>
      <c r="J319" s="4"/>
      <c r="K319" s="4"/>
      <c r="L319" s="4" t="s">
        <v>6103</v>
      </c>
      <c r="M319" s="14"/>
      <c r="N319" s="14"/>
      <c r="O319" s="4" t="s">
        <v>4011</v>
      </c>
      <c r="P319" s="4" t="s">
        <v>3352</v>
      </c>
      <c r="Q319" s="11" t="n">
        <f aca="false">MIN($B319,2022)</f>
        <v>2022</v>
      </c>
      <c r="R319" s="4" t="s">
        <v>3894</v>
      </c>
      <c r="S319" s="14"/>
      <c r="T319" s="14"/>
      <c r="U319" s="14"/>
      <c r="V319" s="4" t="s">
        <v>4012</v>
      </c>
      <c r="W319" s="14" t="n">
        <f aca="false">SUMIFS($W$2:$W$375,$B$2:$B$375,2022,$E$2:$E$375,$E319,$V$2:$V$375,$V319)*INDEX(PARAMETROS!$C$17:$C$23,MATCH($B319,PARAMETROS!$A$17:$A$23,0))</f>
        <v>32.8360381752574</v>
      </c>
      <c r="X319" s="14" t="n">
        <f aca="false">IF($V319="CO2",$W319,0)</f>
        <v>32.8360381752574</v>
      </c>
      <c r="Y319" s="14" t="n">
        <f aca="false">0</f>
        <v>0</v>
      </c>
      <c r="Z319" s="14" t="n">
        <f aca="false">IF($V319="CH4",$W319,0)</f>
        <v>0</v>
      </c>
      <c r="AA319" s="14" t="n">
        <f aca="false">IF($V319="N2O",$W319,0)</f>
        <v>0</v>
      </c>
      <c r="AB319" s="14" t="n">
        <f aca="false">$X319+$Z319*PARAMETROS!$B$9+$AA319*PARAMETROS!$B$10</f>
        <v>32.8360381752574</v>
      </c>
      <c r="AC319" s="4" t="s">
        <v>3894</v>
      </c>
      <c r="AD319" s="4"/>
      <c r="AE319" s="4" t="s">
        <v>6083</v>
      </c>
      <c r="AF319" s="4" t="s">
        <v>4242</v>
      </c>
      <c r="AG319" s="4" t="s">
        <v>3999</v>
      </c>
      <c r="AH319" s="4"/>
    </row>
    <row r="320" customFormat="false" ht="15" hidden="false" customHeight="false" outlineLevel="0" collapsed="false">
      <c r="A320" s="4" t="s">
        <v>6104</v>
      </c>
      <c r="B320" s="12" t="n">
        <v>2023</v>
      </c>
      <c r="C320" s="4" t="s">
        <v>65</v>
      </c>
      <c r="D320" s="4" t="s">
        <v>5734</v>
      </c>
      <c r="E320" s="4" t="s">
        <v>5770</v>
      </c>
      <c r="F320" s="4" t="s">
        <v>5771</v>
      </c>
      <c r="G320" s="4"/>
      <c r="H320" s="4" t="s">
        <v>5686</v>
      </c>
      <c r="I320" s="4" t="s">
        <v>65</v>
      </c>
      <c r="J320" s="4"/>
      <c r="K320" s="4"/>
      <c r="L320" s="4" t="s">
        <v>6105</v>
      </c>
      <c r="M320" s="14"/>
      <c r="N320" s="14"/>
      <c r="O320" s="4" t="s">
        <v>3349</v>
      </c>
      <c r="P320" s="4" t="s">
        <v>4019</v>
      </c>
      <c r="Q320" s="11" t="n">
        <f aca="false">MIN($B320,2022)</f>
        <v>2022</v>
      </c>
      <c r="R320" s="4" t="s">
        <v>3349</v>
      </c>
      <c r="S320" s="14"/>
      <c r="T320" s="14"/>
      <c r="U320" s="14"/>
      <c r="V320" s="4" t="s">
        <v>3349</v>
      </c>
      <c r="W320" s="14"/>
      <c r="X320" s="14"/>
      <c r="Y320" s="14"/>
      <c r="Z320" s="14"/>
      <c r="AA320" s="14"/>
      <c r="AB320" s="14"/>
      <c r="AC320" s="4" t="s">
        <v>3349</v>
      </c>
      <c r="AD320" s="4" t="s">
        <v>3349</v>
      </c>
      <c r="AE320" s="4" t="s">
        <v>5686</v>
      </c>
      <c r="AF320" s="4" t="s">
        <v>4242</v>
      </c>
      <c r="AG320" s="4"/>
      <c r="AH320" s="4"/>
    </row>
    <row r="321" customFormat="false" ht="15" hidden="false" customHeight="false" outlineLevel="0" collapsed="false">
      <c r="A321" s="4" t="s">
        <v>6106</v>
      </c>
      <c r="B321" s="12" t="n">
        <v>2023</v>
      </c>
      <c r="C321" s="4" t="s">
        <v>65</v>
      </c>
      <c r="D321" s="4" t="s">
        <v>5734</v>
      </c>
      <c r="E321" s="4" t="s">
        <v>5774</v>
      </c>
      <c r="F321" s="4" t="s">
        <v>5775</v>
      </c>
      <c r="G321" s="4"/>
      <c r="H321" s="4" t="s">
        <v>5686</v>
      </c>
      <c r="I321" s="4" t="s">
        <v>65</v>
      </c>
      <c r="J321" s="4"/>
      <c r="K321" s="4"/>
      <c r="L321" s="4" t="s">
        <v>6107</v>
      </c>
      <c r="M321" s="14"/>
      <c r="N321" s="14"/>
      <c r="O321" s="4" t="s">
        <v>3349</v>
      </c>
      <c r="P321" s="4" t="s">
        <v>4019</v>
      </c>
      <c r="Q321" s="11" t="n">
        <f aca="false">MIN($B321,2022)</f>
        <v>2022</v>
      </c>
      <c r="R321" s="4" t="s">
        <v>3349</v>
      </c>
      <c r="S321" s="14"/>
      <c r="T321" s="14"/>
      <c r="U321" s="14"/>
      <c r="V321" s="4" t="s">
        <v>3349</v>
      </c>
      <c r="W321" s="14"/>
      <c r="X321" s="14"/>
      <c r="Y321" s="14"/>
      <c r="Z321" s="14"/>
      <c r="AA321" s="14"/>
      <c r="AB321" s="14"/>
      <c r="AC321" s="4" t="s">
        <v>3349</v>
      </c>
      <c r="AD321" s="4" t="s">
        <v>3349</v>
      </c>
      <c r="AE321" s="4" t="s">
        <v>5686</v>
      </c>
      <c r="AF321" s="4" t="s">
        <v>4242</v>
      </c>
      <c r="AG321" s="4"/>
      <c r="AH321" s="4"/>
    </row>
    <row r="322" customFormat="false" ht="15" hidden="false" customHeight="false" outlineLevel="0" collapsed="false">
      <c r="A322" s="4" t="s">
        <v>6108</v>
      </c>
      <c r="B322" s="12" t="n">
        <v>2024</v>
      </c>
      <c r="C322" s="4" t="s">
        <v>65</v>
      </c>
      <c r="D322" s="4" t="s">
        <v>5685</v>
      </c>
      <c r="E322" s="4" t="s">
        <v>3377</v>
      </c>
      <c r="F322" s="4" t="s">
        <v>3378</v>
      </c>
      <c r="G322" s="4" t="s">
        <v>109</v>
      </c>
      <c r="H322" s="4" t="s">
        <v>2070</v>
      </c>
      <c r="I322" s="4" t="s">
        <v>65</v>
      </c>
      <c r="J322" s="4" t="s">
        <v>1994</v>
      </c>
      <c r="K322" s="4" t="s">
        <v>1995</v>
      </c>
      <c r="L322" s="4" t="s">
        <v>1806</v>
      </c>
      <c r="M322" s="14" t="n">
        <f aca="false">SUMIFS(PSUT_LARGA!$K$2:$K$618,PSUT_LARGA!$B$2:$B$618,$B322,PSUT_LARGA!$H$2:$H$618,$L322,PSUT_LARGA!$E$2:$E$618,$J322,PSUT_LARGA!$F$2:$F$618,$K322,PSUT_LARGA!$G$2:$G$618,$I322,PSUT_LARGA!$I$2:$I$618,$H322)</f>
        <v>342603.9638</v>
      </c>
      <c r="N322" s="14" t="n">
        <f aca="false">IF($H322="TRANSFORMACION_REFINERIA",$M322*INDEX(PARAMETROS!$C$27:$C$33,MATCH($B322,PARAMETROS!$A$27:$A$33,0)),$M322)</f>
        <v>342603.9638</v>
      </c>
      <c r="O322" s="4" t="s">
        <v>3349</v>
      </c>
      <c r="P322" s="4" t="s">
        <v>3344</v>
      </c>
      <c r="Q322" s="11" t="n">
        <f aca="false">MIN($B322,2022)</f>
        <v>2022</v>
      </c>
      <c r="R322" s="8" t="str">
        <f aca="false">IF(COUNT($S322:$U322)=0,"NO",IF($O322="CERO_DIRECTO","CAL",IF($B322&lt;=2022,"OBS","PRX")))</f>
        <v>NO</v>
      </c>
      <c r="S322" s="14"/>
      <c r="T322" s="14"/>
      <c r="U322" s="14"/>
      <c r="V322" s="8"/>
      <c r="W322" s="14"/>
      <c r="X322" s="14"/>
      <c r="Y322" s="14"/>
      <c r="Z322" s="14"/>
      <c r="AA322" s="14"/>
      <c r="AB322" s="14"/>
      <c r="AC322" s="4" t="s">
        <v>3349</v>
      </c>
      <c r="AD322" s="4"/>
      <c r="AE322" s="4" t="s">
        <v>5686</v>
      </c>
      <c r="AF322" s="4" t="s">
        <v>170</v>
      </c>
      <c r="AG322" s="4" t="s">
        <v>3999</v>
      </c>
      <c r="AH322" s="4"/>
    </row>
    <row r="323" customFormat="false" ht="15" hidden="false" customHeight="false" outlineLevel="0" collapsed="false">
      <c r="A323" s="4" t="s">
        <v>6109</v>
      </c>
      <c r="B323" s="12" t="n">
        <v>2024</v>
      </c>
      <c r="C323" s="4" t="s">
        <v>66</v>
      </c>
      <c r="D323" s="4" t="s">
        <v>5688</v>
      </c>
      <c r="E323" s="4" t="s">
        <v>3350</v>
      </c>
      <c r="F323" s="4" t="s">
        <v>3351</v>
      </c>
      <c r="G323" s="4" t="s">
        <v>76</v>
      </c>
      <c r="H323" s="4" t="s">
        <v>2019</v>
      </c>
      <c r="I323" s="4" t="s">
        <v>64</v>
      </c>
      <c r="J323" s="4" t="s">
        <v>1994</v>
      </c>
      <c r="K323" s="4" t="s">
        <v>65</v>
      </c>
      <c r="L323" s="4" t="s">
        <v>1731</v>
      </c>
      <c r="M323" s="14" t="n">
        <f aca="false">SUMIFS(PSUT_LARGA!$K$2:$K$618,PSUT_LARGA!$B$2:$B$618,$B323,PSUT_LARGA!$H$2:$H$618,$L323,PSUT_LARGA!$E$2:$E$618,$J323,PSUT_LARGA!$F$2:$F$618,$K323,PSUT_LARGA!$G$2:$G$618,$I323,PSUT_LARGA!$I$2:$I$618,$H323)</f>
        <v>0</v>
      </c>
      <c r="N323" s="14" t="n">
        <f aca="false">IF($H323="TRANSFORMACION_REFINERIA",$M323*INDEX(PARAMETROS!$C$27:$C$33,MATCH($B323,PARAMETROS!$A$27:$A$33,0)),$M323)</f>
        <v>0</v>
      </c>
      <c r="O323" s="4" t="s">
        <v>3349</v>
      </c>
      <c r="P323" s="4" t="s">
        <v>3352</v>
      </c>
      <c r="Q323" s="11" t="n">
        <f aca="false">MIN($B323,2022)</f>
        <v>2022</v>
      </c>
      <c r="R323" s="8" t="str">
        <f aca="false">IF(COUNT($S323:$U323)=0,"NO",IF($O323="CERO_DIRECTO","CAL",IF($B323&lt;=2022,"OBS","PRX")))</f>
        <v>NO</v>
      </c>
      <c r="S323" s="14"/>
      <c r="T323" s="14"/>
      <c r="U323" s="14"/>
      <c r="V323" s="8"/>
      <c r="W323" s="14"/>
      <c r="X323" s="14"/>
      <c r="Y323" s="14"/>
      <c r="Z323" s="14"/>
      <c r="AA323" s="14"/>
      <c r="AB323" s="14"/>
      <c r="AC323" s="4" t="s">
        <v>3349</v>
      </c>
      <c r="AD323" s="4"/>
      <c r="AE323" s="4" t="s">
        <v>5686</v>
      </c>
      <c r="AF323" s="4" t="s">
        <v>170</v>
      </c>
      <c r="AG323" s="4" t="s">
        <v>3999</v>
      </c>
      <c r="AH323" s="4"/>
    </row>
    <row r="324" customFormat="false" ht="15" hidden="false" customHeight="false" outlineLevel="0" collapsed="false">
      <c r="A324" s="4" t="s">
        <v>6110</v>
      </c>
      <c r="B324" s="12" t="n">
        <v>2024</v>
      </c>
      <c r="C324" s="4" t="s">
        <v>66</v>
      </c>
      <c r="D324" s="4" t="s">
        <v>5688</v>
      </c>
      <c r="E324" s="4" t="s">
        <v>3367</v>
      </c>
      <c r="F324" s="4" t="s">
        <v>3368</v>
      </c>
      <c r="G324" s="4" t="s">
        <v>82</v>
      </c>
      <c r="H324" s="4" t="s">
        <v>2019</v>
      </c>
      <c r="I324" s="4" t="s">
        <v>64</v>
      </c>
      <c r="J324" s="4" t="s">
        <v>1994</v>
      </c>
      <c r="K324" s="4" t="s">
        <v>65</v>
      </c>
      <c r="L324" s="4" t="s">
        <v>1776</v>
      </c>
      <c r="M324" s="14" t="n">
        <f aca="false">SUMIFS(PSUT_LARGA!$K$2:$K$618,PSUT_LARGA!$B$2:$B$618,$B324,PSUT_LARGA!$H$2:$H$618,$L324,PSUT_LARGA!$E$2:$E$618,$J324,PSUT_LARGA!$F$2:$F$618,$K324,PSUT_LARGA!$G$2:$G$618,$I324,PSUT_LARGA!$I$2:$I$618,$H324)</f>
        <v>736.0108</v>
      </c>
      <c r="N324" s="14" t="n">
        <f aca="false">IF($H324="TRANSFORMACION_REFINERIA",$M324*INDEX(PARAMETROS!$C$27:$C$33,MATCH($B324,PARAMETROS!$A$27:$A$33,0)),$M324)</f>
        <v>736.0108</v>
      </c>
      <c r="O324" s="4" t="s">
        <v>3349</v>
      </c>
      <c r="P324" s="4" t="s">
        <v>3352</v>
      </c>
      <c r="Q324" s="11" t="n">
        <f aca="false">MIN($B324,2022)</f>
        <v>2022</v>
      </c>
      <c r="R324" s="8" t="str">
        <f aca="false">IF(COUNT($S324:$U324)=0,"NO",IF($O324="CERO_DIRECTO","CAL",IF($B324&lt;=2022,"OBS","PRX")))</f>
        <v>NO</v>
      </c>
      <c r="S324" s="14"/>
      <c r="T324" s="14"/>
      <c r="U324" s="14"/>
      <c r="V324" s="8"/>
      <c r="W324" s="14"/>
      <c r="X324" s="14"/>
      <c r="Y324" s="14"/>
      <c r="Z324" s="14"/>
      <c r="AA324" s="14"/>
      <c r="AB324" s="14"/>
      <c r="AC324" s="4" t="s">
        <v>3349</v>
      </c>
      <c r="AD324" s="4"/>
      <c r="AE324" s="4" t="s">
        <v>5686</v>
      </c>
      <c r="AF324" s="4" t="s">
        <v>170</v>
      </c>
      <c r="AG324" s="4" t="s">
        <v>3999</v>
      </c>
      <c r="AH324" s="4"/>
    </row>
    <row r="325" customFormat="false" ht="15" hidden="false" customHeight="false" outlineLevel="0" collapsed="false">
      <c r="A325" s="4" t="s">
        <v>6111</v>
      </c>
      <c r="B325" s="12" t="n">
        <v>2024</v>
      </c>
      <c r="C325" s="4" t="s">
        <v>66</v>
      </c>
      <c r="D325" s="4" t="s">
        <v>5688</v>
      </c>
      <c r="E325" s="4" t="s">
        <v>3386</v>
      </c>
      <c r="F325" s="4" t="s">
        <v>3387</v>
      </c>
      <c r="G325" s="4" t="s">
        <v>86</v>
      </c>
      <c r="H325" s="4" t="s">
        <v>2019</v>
      </c>
      <c r="I325" s="4" t="s">
        <v>64</v>
      </c>
      <c r="J325" s="4" t="s">
        <v>1994</v>
      </c>
      <c r="K325" s="4" t="s">
        <v>65</v>
      </c>
      <c r="L325" s="4" t="s">
        <v>1824</v>
      </c>
      <c r="M325" s="14" t="n">
        <f aca="false">SUMIFS(PSUT_LARGA!$K$2:$K$618,PSUT_LARGA!$B$2:$B$618,$B325,PSUT_LARGA!$H$2:$H$618,$L325,PSUT_LARGA!$E$2:$E$618,$J325,PSUT_LARGA!$F$2:$F$618,$K325,PSUT_LARGA!$G$2:$G$618,$I325,PSUT_LARGA!$I$2:$I$618,$H325)</f>
        <v>10735.3113</v>
      </c>
      <c r="N325" s="14" t="n">
        <f aca="false">IF($H325="TRANSFORMACION_REFINERIA",$M325*INDEX(PARAMETROS!$C$27:$C$33,MATCH($B325,PARAMETROS!$A$27:$A$33,0)),$M325)</f>
        <v>10735.3113</v>
      </c>
      <c r="O325" s="4" t="s">
        <v>3388</v>
      </c>
      <c r="P325" s="4" t="s">
        <v>3352</v>
      </c>
      <c r="Q325" s="11" t="n">
        <f aca="false">MIN($B325,2022)</f>
        <v>2022</v>
      </c>
      <c r="R325" s="8" t="str">
        <f>IF(COUNT($S325:$U325)=0,"NO",IF($O325="CERO_DIRECTO","CAL",IF(OR($B325&gt;$Q325,COUNTIFS(DATOS_MODELO!$C$2:$C$3672,$Q325&amp;"|"&amp;$E325&amp;"|"&amp;$O325&amp;"|*",DATOS_MODELO!$F$2:$F$3672,"PRX",DATOS_MODELO!$AA$2:$AA$3672,"&lt;&gt;")&gt;0),"PRX",IF(COUNTIFS(DATOS_MODELO!$C$2:$C$3672,$Q325&amp;"|"&amp;$E325&amp;"|"&amp;$O325&amp;"|*",DATOS_MODELO!$F$2:$F$3672,"CAL",DATOS_MODELO!$AA$2:$AA$3672,"&lt;&gt;")&gt;0,"CAL","OBS"))))</f>
        <v>PRX</v>
      </c>
      <c r="S325" s="14">
        <f>IF(COUNTIFS(DATOS_MODELO!$C$2:$C$3672,$Q325&amp;"|"&amp;$E325&amp;"|"&amp;$O325&amp;"|CO2",DATOS_MODELO!$AA$2:$AA$3672,"&lt;&gt;")=0,"",INDEX(DATOS_MODELO!$AA$2:$AA$3672,MATCH($Q325&amp;"|"&amp;$E325&amp;"|"&amp;$O325&amp;"|CO2",DATOS_MODELO!$C$2:$C$3672,0)))</f>
        <v>0.00676909343060816</v>
      </c>
      <c r="T325" s="14">
        <f>IF(COUNTIFS(DATOS_MODELO!$C$2:$C$3672,$Q325&amp;"|"&amp;$E325&amp;"|"&amp;$O325&amp;"|CH4",DATOS_MODELO!$AA$2:$AA$3672,"&lt;&gt;")=0,"",INDEX(DATOS_MODELO!$AA$2:$AA$3672,MATCH($Q325&amp;"|"&amp;$E325&amp;"|"&amp;$O325&amp;"|CH4",DATOS_MODELO!$C$2:$C$3672,0)))</f>
        <v>0.0928778003966022</v>
      </c>
      <c r="U325" s="14"/>
      <c r="V325" s="8"/>
      <c r="W325" s="14"/>
      <c r="X325" s="14">
        <f>IF($P325="BIOGENICO",0,IF(ISNUMBER($S325),$N325*$S325/PARAMETROS!$B$8,""))</f>
        <v>7.26683251963636e-05</v>
      </c>
      <c r="Y325" s="14">
        <f>IF($P325="BIOGENICO",IF(ISNUMBER($S325),$N325*$S325/PARAMETROS!$B$8,""),0)</f>
        <v>0.0</v>
      </c>
      <c r="Z325" s="14">
        <f>IF(ISNUMBER($T325),$N325*$T325/PARAMETROS!$B$8,"")</f>
        <v>0.000997072100116788</v>
      </c>
      <c r="AA325" s="14" t="str">
        <f>IF($U325="","",$N325*$U325/PARAMETROS!$B$8)</f>
        <v/>
      </c>
      <c r="AB325" s="14">
        <f>IF($AA325="",$X325+$Z325*PARAMETROS!$B$9,$X325+$Z325*PARAMETROS!$B$9+$AA325*PARAMETROS!$B$10)</f>
        <v>0.0279906871284664</v>
      </c>
      <c r="AC325" s="4" t="s">
        <v>1990</v>
      </c>
      <c r="AD325" s="4"/>
      <c r="AE325" s="4" t="s">
        <v>5690</v>
      </c>
      <c r="AF325" s="4" t="s">
        <v>170</v>
      </c>
      <c r="AG325" s="4" t="s">
        <v>3999</v>
      </c>
      <c r="AH325" s="4" t="inlineStr">
        <is>
          <t>CO2e parcial: N2O sin factor numérico; el total incluye solo los gases cuantificados.</t>
        </is>
      </c>
    </row>
    <row r="326" customFormat="false" ht="15" hidden="false" customHeight="false" outlineLevel="0" collapsed="false">
      <c r="A326" s="4" t="s">
        <v>6112</v>
      </c>
      <c r="B326" s="12" t="n">
        <v>2024</v>
      </c>
      <c r="C326" s="4" t="s">
        <v>67</v>
      </c>
      <c r="D326" s="4" t="s">
        <v>5685</v>
      </c>
      <c r="E326" s="4" t="s">
        <v>3341</v>
      </c>
      <c r="F326" s="4" t="s">
        <v>3342</v>
      </c>
      <c r="G326" s="4" t="s">
        <v>91</v>
      </c>
      <c r="H326" s="4" t="s">
        <v>2003</v>
      </c>
      <c r="I326" s="4" t="s">
        <v>67</v>
      </c>
      <c r="J326" s="4" t="s">
        <v>2001</v>
      </c>
      <c r="K326" s="4" t="s">
        <v>2002</v>
      </c>
      <c r="L326" s="4" t="s">
        <v>1699</v>
      </c>
      <c r="M326" s="14" t="n">
        <f aca="false">SUMIFS(PSUT_LARGA!$K$2:$K$618,PSUT_LARGA!$B$2:$B$618,$B326,PSUT_LARGA!$H$2:$H$618,$L326,PSUT_LARGA!$E$2:$E$618,$J326,PSUT_LARGA!$F$2:$F$618,$K326,PSUT_LARGA!$G$2:$G$618,$I326,PSUT_LARGA!$I$2:$I$618,$H326)</f>
        <v>49781.0096</v>
      </c>
      <c r="N326" s="14" t="n">
        <f aca="false">IF($H326="TRANSFORMACION_REFINERIA",$M326*INDEX(PARAMETROS!$C$27:$C$33,MATCH($B326,PARAMETROS!$A$27:$A$33,0)),$M326)</f>
        <v>49781.0096</v>
      </c>
      <c r="O326" s="4" t="inlineStr">
        <is>
          <t>COMB_BCANA</t>
        </is>
      </c>
      <c r="P326" s="4" t="s">
        <v>3344</v>
      </c>
      <c r="Q326" s="11" t="n">
        <f aca="false">MIN($B326,2022)</f>
        <v>2022</v>
      </c>
      <c r="R326" s="8" t="str">
        <f>IF(COUNT($S326:$U326)=0,"NO",IF($O326="CERO_DIRECTO","CAL",IF(OR($B326&gt;$Q326,COUNTIFS(DATOS_MODELO!$C$2:$C$3672,$Q326&amp;"|"&amp;$E326&amp;"|"&amp;$O326&amp;"|*",DATOS_MODELO!$F$2:$F$3672,"PRX",DATOS_MODELO!$AA$2:$AA$3672,"&lt;&gt;")&gt;0),"PRX",IF(COUNTIFS(DATOS_MODELO!$C$2:$C$3672,$Q326&amp;"|"&amp;$E326&amp;"|"&amp;$O326&amp;"|*",DATOS_MODELO!$F$2:$F$3672,"CAL",DATOS_MODELO!$AA$2:$AA$3672,"&lt;&gt;")&gt;0,"CAL","OBS"))))</f>
        <v>PRX</v>
      </c>
      <c r="S326" s="14">
        <f>IF(COUNTIFS(DATOS_MODELO!$C$2:$C$3672,$Q326&amp;"|"&amp;$E326&amp;"|"&amp;$O326&amp;"|CO2",DATOS_MODELO!$AA$2:$AA$3672,"&lt;&gt;")=0,"",INDEX(DATOS_MODELO!$AA$2:$AA$3672,MATCH($Q326&amp;"|"&amp;$E326&amp;"|"&amp;$O326&amp;"|CO2",DATOS_MODELO!$C$2:$C$3672,0)))</f>
        <v>100000.0</v>
      </c>
      <c r="T326" s="14">
        <f>IF(COUNTIFS(DATOS_MODELO!$C$2:$C$3672,$Q326&amp;"|"&amp;$E326&amp;"|"&amp;$O326&amp;"|CH4",DATOS_MODELO!$AA$2:$AA$3672,"&lt;&gt;")=0,"",INDEX(DATOS_MODELO!$AA$2:$AA$3672,MATCH($Q326&amp;"|"&amp;$E326&amp;"|"&amp;$O326&amp;"|CH4",DATOS_MODELO!$C$2:$C$3672,0)))</f>
        <v>30.0</v>
      </c>
      <c r="U326" s="14">
        <f>IF(COUNTIFS(DATOS_MODELO!$C$2:$C$3672,$Q326&amp;"|"&amp;$E326&amp;"|"&amp;$O326&amp;"|N2O",DATOS_MODELO!$AA$2:$AA$3672,"&lt;&gt;")=0,"",INDEX(DATOS_MODELO!$AA$2:$AA$3672,MATCH($Q326&amp;"|"&amp;$E326&amp;"|"&amp;$O326&amp;"|N2O",DATOS_MODELO!$C$2:$C$3672,0)))</f>
        <v>4.0</v>
      </c>
      <c r="V326" s="8"/>
      <c r="W326" s="14"/>
      <c r="X326" s="14">
        <f>IF($P326="BIOGENICO",0,IF(ISNUMBER($S326),$N326*$S326/PARAMETROS!$B$8,""))</f>
        <v>0.0</v>
      </c>
      <c r="Y326" s="14">
        <f>IF($P326="BIOGENICO",IF(ISNUMBER($S326),$N326*$S326/PARAMETROS!$B$8,""),0)</f>
        <v>4978.10096</v>
      </c>
      <c r="Z326" s="14">
        <f>IF(ISNUMBER($T326),$N326*$T326/PARAMETROS!$B$8,"")</f>
        <v>1.493430288</v>
      </c>
      <c r="AA326" s="14">
        <f>IF(ISNUMBER($U326),$N326*$U326/PARAMETROS!$B$8,"")</f>
        <v>0.1991240384</v>
      </c>
      <c r="AB326" s="14">
        <f>IF(COUNT($X326,$Z326,$AA326)=0,"",SUM($X326,IF(ISNUMBER($Z326),$Z326*PARAMETROS!$B$9,0),IF(ISNUMBER($AA326),$AA326*PARAMETROS!$B$10,0)))</f>
        <v>94.58391824</v>
      </c>
      <c r="AC326" s="4" t="s">
        <v>1990</v>
      </c>
      <c r="AD326" s="4"/>
      <c r="AE326" s="4" t="s">
        <v>5690</v>
      </c>
      <c r="AF326" s="4" t="s">
        <v>170</v>
      </c>
      <c r="AG326" s="4" t="inlineStr">
        <is>
          <t>MARN_GTM_BTR1_2024</t>
        </is>
      </c>
      <c r="AH326" s="4" t="inlineStr">
        <is>
          <t>Origen de factores: CO2: MARN_GTM_BTR1_2024 [PRX; BTR1 Guatemala 2024, tabla 3.6, p. 48; fila Otra biomasa sólida primaria; gas CO2]; CH4: MARN_GTM_BTR1_2024 [PRX; BTR1 Guatemala 2024, tabla 3.17, p. 57; fila Otra biomasa sólida primaria; gas CH4]; N2O: MARN_GTM_BTR1_2024 [PRX; BTR1 Guatemala 2024, tabla 3.17, p. 57; fila Otra biomasa sólida primaria; gas N2O].</t>
        </is>
      </c>
    </row>
    <row r="327" customFormat="false" ht="15" hidden="false" customHeight="false" outlineLevel="0" collapsed="false">
      <c r="A327" s="4" t="s">
        <v>6113</v>
      </c>
      <c r="B327" s="12" t="n">
        <v>2024</v>
      </c>
      <c r="C327" s="4" t="s">
        <v>67</v>
      </c>
      <c r="D327" s="4" t="s">
        <v>5685</v>
      </c>
      <c r="E327" s="4" t="s">
        <v>3341</v>
      </c>
      <c r="F327" s="4" t="s">
        <v>3342</v>
      </c>
      <c r="G327" s="4" t="s">
        <v>91</v>
      </c>
      <c r="H327" s="4" t="s">
        <v>2008</v>
      </c>
      <c r="I327" s="4" t="s">
        <v>67</v>
      </c>
      <c r="J327" s="4" t="s">
        <v>2001</v>
      </c>
      <c r="K327" s="4" t="s">
        <v>2002</v>
      </c>
      <c r="L327" s="4" t="s">
        <v>1701</v>
      </c>
      <c r="M327" s="14" t="n">
        <f aca="false">SUMIFS(PSUT_LARGA!$K$2:$K$618,PSUT_LARGA!$B$2:$B$618,$B327,PSUT_LARGA!$H$2:$H$618,$L327,PSUT_LARGA!$E$2:$E$618,$J327,PSUT_LARGA!$F$2:$F$618,$K327,PSUT_LARGA!$G$2:$G$618,$I327,PSUT_LARGA!$I$2:$I$618,$H327)</f>
        <v>27357.7794</v>
      </c>
      <c r="N327" s="14" t="n">
        <f aca="false">IF($H327="TRANSFORMACION_REFINERIA",$M327*INDEX(PARAMETROS!$C$27:$C$33,MATCH($B327,PARAMETROS!$A$27:$A$33,0)),$M327)</f>
        <v>27357.7794</v>
      </c>
      <c r="O327" s="4" t="inlineStr">
        <is>
          <t>COMB_BCANA</t>
        </is>
      </c>
      <c r="P327" s="4" t="s">
        <v>3344</v>
      </c>
      <c r="Q327" s="11" t="n">
        <f aca="false">MIN($B327,2022)</f>
        <v>2022</v>
      </c>
      <c r="R327" s="8" t="str">
        <f>IF(COUNT($S327:$U327)=0,"NO",IF($O327="CERO_DIRECTO","CAL",IF(OR($B327&gt;$Q327,COUNTIFS(DATOS_MODELO!$C$2:$C$3672,$Q327&amp;"|"&amp;$E327&amp;"|"&amp;$O327&amp;"|*",DATOS_MODELO!$F$2:$F$3672,"PRX",DATOS_MODELO!$AA$2:$AA$3672,"&lt;&gt;")&gt;0),"PRX",IF(COUNTIFS(DATOS_MODELO!$C$2:$C$3672,$Q327&amp;"|"&amp;$E327&amp;"|"&amp;$O327&amp;"|*",DATOS_MODELO!$F$2:$F$3672,"CAL",DATOS_MODELO!$AA$2:$AA$3672,"&lt;&gt;")&gt;0,"CAL","OBS"))))</f>
        <v>PRX</v>
      </c>
      <c r="S327" s="14">
        <f>IF(COUNTIFS(DATOS_MODELO!$C$2:$C$3672,$Q327&amp;"|"&amp;$E327&amp;"|"&amp;$O327&amp;"|CO2",DATOS_MODELO!$AA$2:$AA$3672,"&lt;&gt;")=0,"",INDEX(DATOS_MODELO!$AA$2:$AA$3672,MATCH($Q327&amp;"|"&amp;$E327&amp;"|"&amp;$O327&amp;"|CO2",DATOS_MODELO!$C$2:$C$3672,0)))</f>
        <v>100000.0</v>
      </c>
      <c r="T327" s="14">
        <f>IF(COUNTIFS(DATOS_MODELO!$C$2:$C$3672,$Q327&amp;"|"&amp;$E327&amp;"|"&amp;$O327&amp;"|CH4",DATOS_MODELO!$AA$2:$AA$3672,"&lt;&gt;")=0,"",INDEX(DATOS_MODELO!$AA$2:$AA$3672,MATCH($Q327&amp;"|"&amp;$E327&amp;"|"&amp;$O327&amp;"|CH4",DATOS_MODELO!$C$2:$C$3672,0)))</f>
        <v>30.0</v>
      </c>
      <c r="U327" s="14">
        <f>IF(COUNTIFS(DATOS_MODELO!$C$2:$C$3672,$Q327&amp;"|"&amp;$E327&amp;"|"&amp;$O327&amp;"|N2O",DATOS_MODELO!$AA$2:$AA$3672,"&lt;&gt;")=0,"",INDEX(DATOS_MODELO!$AA$2:$AA$3672,MATCH($Q327&amp;"|"&amp;$E327&amp;"|"&amp;$O327&amp;"|N2O",DATOS_MODELO!$C$2:$C$3672,0)))</f>
        <v>4.0</v>
      </c>
      <c r="V327" s="8"/>
      <c r="W327" s="14"/>
      <c r="X327" s="14">
        <f>IF($P327="BIOGENICO",0,IF(ISNUMBER($S327),$N327*$S327/PARAMETROS!$B$8,""))</f>
        <v>0.0</v>
      </c>
      <c r="Y327" s="14">
        <f>IF($P327="BIOGENICO",IF(ISNUMBER($S327),$N327*$S327/PARAMETROS!$B$8,""),0)</f>
        <v>2735.77794</v>
      </c>
      <c r="Z327" s="14">
        <f>IF(ISNUMBER($T327),$N327*$T327/PARAMETROS!$B$8,"")</f>
        <v>0.820733382</v>
      </c>
      <c r="AA327" s="14">
        <f>IF(ISNUMBER($U327),$N327*$U327/PARAMETROS!$B$8,"")</f>
        <v>0.1094311176</v>
      </c>
      <c r="AB327" s="14">
        <f>IF(COUNT($X327,$Z327,$AA327)=0,"",SUM($X327,IF(ISNUMBER($Z327),$Z327*PARAMETROS!$B$9,0),IF(ISNUMBER($AA327),$AA327*PARAMETROS!$B$10,0)))</f>
        <v>51.97978086</v>
      </c>
      <c r="AC327" s="4" t="s">
        <v>1990</v>
      </c>
      <c r="AD327" s="4"/>
      <c r="AE327" s="4" t="s">
        <v>5690</v>
      </c>
      <c r="AF327" s="4" t="s">
        <v>170</v>
      </c>
      <c r="AG327" s="4" t="inlineStr">
        <is>
          <t>MARN_GTM_BTR1_2024</t>
        </is>
      </c>
      <c r="AH327" s="4" t="inlineStr">
        <is>
          <t>Origen de factores: CO2: MARN_GTM_BTR1_2024 [PRX; BTR1 Guatemala 2024, tabla 3.6, p. 48; fila Otra biomasa sólida primaria; gas CO2]; CH4: MARN_GTM_BTR1_2024 [PRX; BTR1 Guatemala 2024, tabla 3.17, p. 57; fila Otra biomasa sólida primaria; gas CH4]; N2O: MARN_GTM_BTR1_2024 [PRX; BTR1 Guatemala 2024, tabla 3.17, p. 57; fila Otra biomasa sólida primaria; gas N2O].</t>
        </is>
      </c>
    </row>
    <row r="328" customFormat="false" ht="15" hidden="false" customHeight="false" outlineLevel="0" collapsed="false">
      <c r="A328" s="4" t="s">
        <v>6114</v>
      </c>
      <c r="B328" s="12" t="n">
        <v>2024</v>
      </c>
      <c r="C328" s="4" t="s">
        <v>67</v>
      </c>
      <c r="D328" s="4" t="s">
        <v>5685</v>
      </c>
      <c r="E328" s="4" t="s">
        <v>3341</v>
      </c>
      <c r="F328" s="4" t="s">
        <v>3342</v>
      </c>
      <c r="G328" s="4" t="s">
        <v>93</v>
      </c>
      <c r="H328" s="4" t="s">
        <v>2003</v>
      </c>
      <c r="I328" s="4" t="s">
        <v>67</v>
      </c>
      <c r="J328" s="4" t="s">
        <v>2001</v>
      </c>
      <c r="K328" s="4" t="s">
        <v>2002</v>
      </c>
      <c r="L328" s="4" t="s">
        <v>1721</v>
      </c>
      <c r="M328" s="14" t="n">
        <f aca="false">SUMIFS(PSUT_LARGA!$K$2:$K$618,PSUT_LARGA!$B$2:$B$618,$B328,PSUT_LARGA!$H$2:$H$618,$L328,PSUT_LARGA!$E$2:$E$618,$J328,PSUT_LARGA!$F$2:$F$618,$K328,PSUT_LARGA!$G$2:$G$618,$I328,PSUT_LARGA!$I$2:$I$618,$H328)</f>
        <v>355.9206</v>
      </c>
      <c r="N328" s="14" t="n">
        <f aca="false">IF($H328="TRANSFORMACION_REFINERIA",$M328*INDEX(PARAMETROS!$C$27:$C$33,MATCH($B328,PARAMETROS!$A$27:$A$33,0)),$M328)</f>
        <v>355.9206</v>
      </c>
      <c r="O328" s="4" t="inlineStr">
        <is>
          <t>COMB_BIOGAS</t>
        </is>
      </c>
      <c r="P328" s="4" t="s">
        <v>3344</v>
      </c>
      <c r="Q328" s="11" t="n">
        <f aca="false">MIN($B328,2022)</f>
        <v>2022</v>
      </c>
      <c r="R328" s="8" t="str">
        <f>IF(COUNT($S328:$U328)=0,"NO",IF($O328="CERO_DIRECTO","CAL",IF(OR($B328&gt;$Q328,COUNTIFS(DATOS_MODELO!$C$2:$C$3672,$Q328&amp;"|"&amp;$E328&amp;"|"&amp;$O328&amp;"|*",DATOS_MODELO!$F$2:$F$3672,"PRX",DATOS_MODELO!$AA$2:$AA$3672,"&lt;&gt;")&gt;0),"PRX",IF(COUNTIFS(DATOS_MODELO!$C$2:$C$3672,$Q328&amp;"|"&amp;$E328&amp;"|"&amp;$O328&amp;"|*",DATOS_MODELO!$F$2:$F$3672,"CAL",DATOS_MODELO!$AA$2:$AA$3672,"&lt;&gt;")&gt;0,"CAL","OBS"))))</f>
        <v>PRX</v>
      </c>
      <c r="S328" s="14">
        <f>IF(COUNTIFS(DATOS_MODELO!$C$2:$C$3672,$Q328&amp;"|"&amp;$E328&amp;"|"&amp;$O328&amp;"|CO2",DATOS_MODELO!$AA$2:$AA$3672,"&lt;&gt;")=0,"",INDEX(DATOS_MODELO!$AA$2:$AA$3672,MATCH($Q328&amp;"|"&amp;$E328&amp;"|"&amp;$O328&amp;"|CO2",DATOS_MODELO!$C$2:$C$3672,0)))</f>
        <v>54600.0</v>
      </c>
      <c r="T328" s="14">
        <f>IF(COUNTIFS(DATOS_MODELO!$C$2:$C$3672,$Q328&amp;"|"&amp;$E328&amp;"|"&amp;$O328&amp;"|CH4",DATOS_MODELO!$AA$2:$AA$3672,"&lt;&gt;")=0,"",INDEX(DATOS_MODELO!$AA$2:$AA$3672,MATCH($Q328&amp;"|"&amp;$E328&amp;"|"&amp;$O328&amp;"|CH4",DATOS_MODELO!$C$2:$C$3672,0)))</f>
        <v>1.0</v>
      </c>
      <c r="U328" s="14">
        <f>IF(COUNTIFS(DATOS_MODELO!$C$2:$C$3672,$Q328&amp;"|"&amp;$E328&amp;"|"&amp;$O328&amp;"|N2O",DATOS_MODELO!$AA$2:$AA$3672,"&lt;&gt;")=0,"",INDEX(DATOS_MODELO!$AA$2:$AA$3672,MATCH($Q328&amp;"|"&amp;$E328&amp;"|"&amp;$O328&amp;"|N2O",DATOS_MODELO!$C$2:$C$3672,0)))</f>
        <v>0.1</v>
      </c>
      <c r="V328" s="8"/>
      <c r="W328" s="14"/>
      <c r="X328" s="14">
        <f>IF($P328="BIOGENICO",0,IF(ISNUMBER($S328),$N328*$S328/PARAMETROS!$B$8,""))</f>
        <v>0.0</v>
      </c>
      <c r="Y328" s="14">
        <f>IF($P328="BIOGENICO",IF(ISNUMBER($S328),$N328*$S328/PARAMETROS!$B$8,""),0)</f>
        <v>19.43326476</v>
      </c>
      <c r="Z328" s="14">
        <f>IF(ISNUMBER($T328),$N328*$T328/PARAMETROS!$B$8,"")</f>
        <v>0.0003559206</v>
      </c>
      <c r="AA328" s="14">
        <f>IF(ISNUMBER($U328),$N328*$U328/PARAMETROS!$B$8,"")</f>
        <v>3.559206e-05</v>
      </c>
      <c r="AB328" s="14">
        <f>IF(COUNT($X328,$Z328,$AA328)=0,"",SUM($X328,IF(ISNUMBER($Z328),$Z328*PARAMETROS!$B$9,0),IF(ISNUMBER($AA328),$AA328*PARAMETROS!$B$10,0)))</f>
        <v>0.0193976727</v>
      </c>
      <c r="AC328" s="4" t="s">
        <v>1990</v>
      </c>
      <c r="AD328" s="4"/>
      <c r="AE328" s="4" t="s">
        <v>5690</v>
      </c>
      <c r="AF328" s="4" t="s">
        <v>170</v>
      </c>
      <c r="AG328" s="4" t="inlineStr">
        <is>
          <t>MARN_GTM_BTR1_2024</t>
        </is>
      </c>
      <c r="AH328" s="4" t="inlineStr">
        <is>
          <t>Origen de factores: CO2: MARN_GTM_BTR1_2024 [PRX; BTR1 Guatemala 2024, tabla 3.6, p. 48; fila Gas de vertedero; gas CO2]; CH4: MARN_GTM_BTR1_2024 [PRX; BTR1 Guatemala 2024, tabla 3.17, p. 57; fila Gas de vertedero; gas CH4]; N2O: MARN_GTM_BTR1_2024 [PRX; BTR1 Guatemala 2024, tabla 3.17, p. 57; fila Gas de vertedero; gas N2O].</t>
        </is>
      </c>
    </row>
    <row r="329" customFormat="false" ht="15" hidden="false" customHeight="false" outlineLevel="0" collapsed="false">
      <c r="A329" s="4" t="s">
        <v>6115</v>
      </c>
      <c r="B329" s="12" t="n">
        <v>2024</v>
      </c>
      <c r="C329" s="4" t="s">
        <v>67</v>
      </c>
      <c r="D329" s="4" t="s">
        <v>5685</v>
      </c>
      <c r="E329" s="4" t="s">
        <v>3341</v>
      </c>
      <c r="F329" s="4" t="s">
        <v>3342</v>
      </c>
      <c r="G329" s="4" t="s">
        <v>76</v>
      </c>
      <c r="H329" s="4" t="s">
        <v>2003</v>
      </c>
      <c r="I329" s="4" t="s">
        <v>67</v>
      </c>
      <c r="J329" s="4" t="s">
        <v>2001</v>
      </c>
      <c r="K329" s="4" t="s">
        <v>2002</v>
      </c>
      <c r="L329" s="4" t="s">
        <v>1737</v>
      </c>
      <c r="M329" s="14" t="n">
        <f aca="false">SUMIFS(PSUT_LARGA!$K$2:$K$618,PSUT_LARGA!$B$2:$B$618,$B329,PSUT_LARGA!$H$2:$H$618,$L329,PSUT_LARGA!$E$2:$E$618,$J329,PSUT_LARGA!$F$2:$F$618,$K329,PSUT_LARGA!$G$2:$G$618,$I329,PSUT_LARGA!$I$2:$I$618,$H329)</f>
        <v>34437.3225</v>
      </c>
      <c r="N329" s="14" t="n">
        <f aca="false">IF($H329="TRANSFORMACION_REFINERIA",$M329*INDEX(PARAMETROS!$C$27:$C$33,MATCH($B329,PARAMETROS!$A$27:$A$33,0)),$M329)</f>
        <v>34437.3225</v>
      </c>
      <c r="O329" s="4" t="inlineStr">
        <is>
          <t>COMB_CRBN</t>
        </is>
      </c>
      <c r="P329" s="4" t="s">
        <v>3352</v>
      </c>
      <c r="Q329" s="11" t="n">
        <f aca="false">MIN($B329,2022)</f>
        <v>2022</v>
      </c>
      <c r="R329" s="8" t="str">
        <f>IF(COUNT($S329:$U329)=0,"NO",IF($O329="CERO_DIRECTO","CAL",IF(OR($B329&gt;$Q329,COUNTIFS(DATOS_MODELO!$C$2:$C$3672,$Q329&amp;"|"&amp;$E329&amp;"|"&amp;$O329&amp;"|*",DATOS_MODELO!$F$2:$F$3672,"PRX",DATOS_MODELO!$AA$2:$AA$3672,"&lt;&gt;")&gt;0),"PRX",IF(COUNTIFS(DATOS_MODELO!$C$2:$C$3672,$Q329&amp;"|"&amp;$E329&amp;"|"&amp;$O329&amp;"|*",DATOS_MODELO!$F$2:$F$3672,"CAL",DATOS_MODELO!$AA$2:$AA$3672,"&lt;&gt;")&gt;0,"CAL","OBS"))))</f>
        <v>PRX</v>
      </c>
      <c r="S329" s="14">
        <f>IF(COUNTIFS(DATOS_MODELO!$C$2:$C$3672,$Q329&amp;"|"&amp;$E329&amp;"|"&amp;$O329&amp;"|CO2",DATOS_MODELO!$AA$2:$AA$3672,"&lt;&gt;")=0,"",INDEX(DATOS_MODELO!$AA$2:$AA$3672,MATCH($Q329&amp;"|"&amp;$E329&amp;"|"&amp;$O329&amp;"|CO2",DATOS_MODELO!$C$2:$C$3672,0)))</f>
        <v>98300.0</v>
      </c>
      <c r="T329" s="14">
        <f>IF(COUNTIFS(DATOS_MODELO!$C$2:$C$3672,$Q329&amp;"|"&amp;$E329&amp;"|"&amp;$O329&amp;"|CH4",DATOS_MODELO!$AA$2:$AA$3672,"&lt;&gt;")=0,"",INDEX(DATOS_MODELO!$AA$2:$AA$3672,MATCH($Q329&amp;"|"&amp;$E329&amp;"|"&amp;$O329&amp;"|CH4",DATOS_MODELO!$C$2:$C$3672,0)))</f>
        <v>1.0</v>
      </c>
      <c r="U329" s="14">
        <f>IF(COUNTIFS(DATOS_MODELO!$C$2:$C$3672,$Q329&amp;"|"&amp;$E329&amp;"|"&amp;$O329&amp;"|N2O",DATOS_MODELO!$AA$2:$AA$3672,"&lt;&gt;")=0,"",INDEX(DATOS_MODELO!$AA$2:$AA$3672,MATCH($Q329&amp;"|"&amp;$E329&amp;"|"&amp;$O329&amp;"|N2O",DATOS_MODELO!$C$2:$C$3672,0)))</f>
        <v>1.5</v>
      </c>
      <c r="V329" s="8"/>
      <c r="W329" s="14"/>
      <c r="X329" s="14">
        <f>IF($P329="BIOGENICO",0,IF(ISNUMBER($S329),$N329*$S329/PARAMETROS!$B$8,""))</f>
        <v>3385.18880175</v>
      </c>
      <c r="Y329" s="14">
        <f>IF($P329="BIOGENICO",IF(ISNUMBER($S329),$N329*$S329/PARAMETROS!$B$8,""),0)</f>
        <v>0.0</v>
      </c>
      <c r="Z329" s="14">
        <f>IF(ISNUMBER($T329),$N329*$T329/PARAMETROS!$B$8,"")</f>
        <v>0.0344373225</v>
      </c>
      <c r="AA329" s="14">
        <f>IF(ISNUMBER($U329),$N329*$U329/PARAMETROS!$B$8,"")</f>
        <v>0.05165598375</v>
      </c>
      <c r="AB329" s="14">
        <f>IF(COUNT($X329,$Z329,$AA329)=0,"",SUM($X329,IF(ISNUMBER($Z329),$Z329*PARAMETROS!$B$9,0),IF(ISNUMBER($AA329),$AA329*PARAMETROS!$B$10,0)))</f>
        <v>3399.84188247375</v>
      </c>
      <c r="AC329" s="4" t="s">
        <v>1990</v>
      </c>
      <c r="AD329" s="4"/>
      <c r="AE329" s="4" t="s">
        <v>5690</v>
      </c>
      <c r="AF329" s="4" t="s">
        <v>170</v>
      </c>
      <c r="AG329" s="4" t="inlineStr">
        <is>
          <t>MARN_GTM_BTR1_2024</t>
        </is>
      </c>
      <c r="AH329" s="4" t="inlineStr">
        <is>
          <t>Origen de factores: CO2: MARN_GTM_BTR1_2024 [PRX; BTR1 Guatemala 2024, tabla 3.6, p. 48; fila Otro carbón bituminoso*; gas CO2]; CH4: MARN_GTM_BTR1_2024 [PRX; BTR1 Guatemala 2024, tabla 3.17, p. 57; fila Otro carbón bituminoso; gas CH4]; N2O: MARN_GTM_BTR1_2024 [PRX; BTR1 Guatemala 2024, tabla 3.17, p. 57; fila Otro carbón bituminoso; gas N2O].</t>
        </is>
      </c>
    </row>
    <row r="330" customFormat="false" ht="15" hidden="false" customHeight="false" outlineLevel="0" collapsed="false">
      <c r="A330" s="4" t="s">
        <v>6116</v>
      </c>
      <c r="B330" s="12" t="n">
        <v>2024</v>
      </c>
      <c r="C330" s="4" t="s">
        <v>67</v>
      </c>
      <c r="D330" s="4" t="s">
        <v>5685</v>
      </c>
      <c r="E330" s="4" t="s">
        <v>3341</v>
      </c>
      <c r="F330" s="4" t="s">
        <v>3342</v>
      </c>
      <c r="G330" s="4" t="s">
        <v>76</v>
      </c>
      <c r="H330" s="4" t="s">
        <v>2008</v>
      </c>
      <c r="I330" s="4" t="s">
        <v>67</v>
      </c>
      <c r="J330" s="4" t="s">
        <v>2001</v>
      </c>
      <c r="K330" s="4" t="s">
        <v>2002</v>
      </c>
      <c r="L330" s="4" t="s">
        <v>1738</v>
      </c>
      <c r="M330" s="14" t="n">
        <f aca="false">SUMIFS(PSUT_LARGA!$K$2:$K$618,PSUT_LARGA!$B$2:$B$618,$B330,PSUT_LARGA!$H$2:$H$618,$L330,PSUT_LARGA!$E$2:$E$618,$J330,PSUT_LARGA!$F$2:$F$618,$K330,PSUT_LARGA!$G$2:$G$618,$I330,PSUT_LARGA!$I$2:$I$618,$H330)</f>
        <v>1688.9089</v>
      </c>
      <c r="N330" s="14" t="n">
        <f aca="false">IF($H330="TRANSFORMACION_REFINERIA",$M330*INDEX(PARAMETROS!$C$27:$C$33,MATCH($B330,PARAMETROS!$A$27:$A$33,0)),$M330)</f>
        <v>1688.9089</v>
      </c>
      <c r="O330" s="4" t="inlineStr">
        <is>
          <t>COMB_CRBN</t>
        </is>
      </c>
      <c r="P330" s="4" t="s">
        <v>3352</v>
      </c>
      <c r="Q330" s="11" t="n">
        <f aca="false">MIN($B330,2022)</f>
        <v>2022</v>
      </c>
      <c r="R330" s="8" t="str">
        <f>IF(COUNT($S330:$U330)=0,"NO",IF($O330="CERO_DIRECTO","CAL",IF(OR($B330&gt;$Q330,COUNTIFS(DATOS_MODELO!$C$2:$C$3672,$Q330&amp;"|"&amp;$E330&amp;"|"&amp;$O330&amp;"|*",DATOS_MODELO!$F$2:$F$3672,"PRX",DATOS_MODELO!$AA$2:$AA$3672,"&lt;&gt;")&gt;0),"PRX",IF(COUNTIFS(DATOS_MODELO!$C$2:$C$3672,$Q330&amp;"|"&amp;$E330&amp;"|"&amp;$O330&amp;"|*",DATOS_MODELO!$F$2:$F$3672,"CAL",DATOS_MODELO!$AA$2:$AA$3672,"&lt;&gt;")&gt;0,"CAL","OBS"))))</f>
        <v>PRX</v>
      </c>
      <c r="S330" s="14">
        <f>IF(COUNTIFS(DATOS_MODELO!$C$2:$C$3672,$Q330&amp;"|"&amp;$E330&amp;"|"&amp;$O330&amp;"|CO2",DATOS_MODELO!$AA$2:$AA$3672,"&lt;&gt;")=0,"",INDEX(DATOS_MODELO!$AA$2:$AA$3672,MATCH($Q330&amp;"|"&amp;$E330&amp;"|"&amp;$O330&amp;"|CO2",DATOS_MODELO!$C$2:$C$3672,0)))</f>
        <v>98300.0</v>
      </c>
      <c r="T330" s="14">
        <f>IF(COUNTIFS(DATOS_MODELO!$C$2:$C$3672,$Q330&amp;"|"&amp;$E330&amp;"|"&amp;$O330&amp;"|CH4",DATOS_MODELO!$AA$2:$AA$3672,"&lt;&gt;")=0,"",INDEX(DATOS_MODELO!$AA$2:$AA$3672,MATCH($Q330&amp;"|"&amp;$E330&amp;"|"&amp;$O330&amp;"|CH4",DATOS_MODELO!$C$2:$C$3672,0)))</f>
        <v>1.0</v>
      </c>
      <c r="U330" s="14">
        <f>IF(COUNTIFS(DATOS_MODELO!$C$2:$C$3672,$Q330&amp;"|"&amp;$E330&amp;"|"&amp;$O330&amp;"|N2O",DATOS_MODELO!$AA$2:$AA$3672,"&lt;&gt;")=0,"",INDEX(DATOS_MODELO!$AA$2:$AA$3672,MATCH($Q330&amp;"|"&amp;$E330&amp;"|"&amp;$O330&amp;"|N2O",DATOS_MODELO!$C$2:$C$3672,0)))</f>
        <v>1.5</v>
      </c>
      <c r="V330" s="8"/>
      <c r="W330" s="14"/>
      <c r="X330" s="14">
        <f>IF($P330="BIOGENICO",0,IF(ISNUMBER($S330),$N330*$S330/PARAMETROS!$B$8,""))</f>
        <v>166.01974487</v>
      </c>
      <c r="Y330" s="14">
        <f>IF($P330="BIOGENICO",IF(ISNUMBER($S330),$N330*$S330/PARAMETROS!$B$8,""),0)</f>
        <v>0.0</v>
      </c>
      <c r="Z330" s="14">
        <f>IF(ISNUMBER($T330),$N330*$T330/PARAMETROS!$B$8,"")</f>
        <v>0.0016889089</v>
      </c>
      <c r="AA330" s="14">
        <f>IF(ISNUMBER($U330),$N330*$U330/PARAMETROS!$B$8,"")</f>
        <v>0.00253336335</v>
      </c>
      <c r="AB330" s="14">
        <f>IF(COUNT($X330,$Z330,$AA330)=0,"",SUM($X330,IF(ISNUMBER($Z330),$Z330*PARAMETROS!$B$9,0),IF(ISNUMBER($AA330),$AA330*PARAMETROS!$B$10,0)))</f>
        <v>166.73837560695</v>
      </c>
      <c r="AC330" s="4" t="s">
        <v>1990</v>
      </c>
      <c r="AD330" s="4"/>
      <c r="AE330" s="4" t="s">
        <v>5690</v>
      </c>
      <c r="AF330" s="4" t="s">
        <v>170</v>
      </c>
      <c r="AG330" s="4" t="inlineStr">
        <is>
          <t>MARN_GTM_BTR1_2024</t>
        </is>
      </c>
      <c r="AH330" s="4" t="inlineStr">
        <is>
          <t>Origen de factores: CO2: MARN_GTM_BTR1_2024 [PRX; BTR1 Guatemala 2024, tabla 3.6, p. 48; fila Otro carbón bituminoso*; gas CO2]; CH4: MARN_GTM_BTR1_2024 [PRX; BTR1 Guatemala 2024, tabla 3.17, p. 57; fila Otro carbón bituminoso; gas CH4]; N2O: MARN_GTM_BTR1_2024 [PRX; BTR1 Guatemala 2024, tabla 3.17, p. 57; fila Otro carbón bituminoso; gas N2O].</t>
        </is>
      </c>
    </row>
    <row r="331" customFormat="false" ht="23.85" hidden="false" customHeight="false" outlineLevel="0" collapsed="false">
      <c r="A331" s="4" t="s">
        <v>6117</v>
      </c>
      <c r="B331" s="12" t="n">
        <v>2024</v>
      </c>
      <c r="C331" s="4" t="s">
        <v>67</v>
      </c>
      <c r="D331" s="4" t="s">
        <v>5685</v>
      </c>
      <c r="E331" s="4" t="s">
        <v>3341</v>
      </c>
      <c r="F331" s="4" t="s">
        <v>3342</v>
      </c>
      <c r="G331" s="4" t="s">
        <v>78</v>
      </c>
      <c r="H331" s="4" t="s">
        <v>2003</v>
      </c>
      <c r="I331" s="4" t="s">
        <v>67</v>
      </c>
      <c r="J331" s="4" t="s">
        <v>2001</v>
      </c>
      <c r="K331" s="4" t="s">
        <v>66</v>
      </c>
      <c r="L331" s="4" t="s">
        <v>1752</v>
      </c>
      <c r="M331" s="14" t="n">
        <f aca="false">SUMIFS(PSUT_LARGA!$K$2:$K$618,PSUT_LARGA!$B$2:$B$618,$B331,PSUT_LARGA!$H$2:$H$618,$L331,PSUT_LARGA!$E$2:$E$618,$J331,PSUT_LARGA!$F$2:$F$618,$K331,PSUT_LARGA!$G$2:$G$618,$I331,PSUT_LARGA!$I$2:$I$618,$H331)</f>
        <v>1044.9866</v>
      </c>
      <c r="N331" s="14" t="n">
        <f aca="false">IF($H331="TRANSFORMACION_REFINERIA",$M331*INDEX(PARAMETROS!$C$27:$C$33,MATCH($B331,PARAMETROS!$A$27:$A$33,0)),$M331)</f>
        <v>1044.9866</v>
      </c>
      <c r="O331" s="4" t="s">
        <v>3362</v>
      </c>
      <c r="P331" s="4" t="s">
        <v>3363</v>
      </c>
      <c r="Q331" s="11" t="n">
        <f aca="false">MIN($B331,2022)</f>
        <v>2022</v>
      </c>
      <c r="R331" s="8" t="str">
        <f>IF(COUNT($S331:$U331)=0,"NO",IF($O331="CERO_DIRECTO","CAL",IF(OR($B331&gt;$Q331,COUNTIFS(DATOS_MODELO!$C$2:$C$3672,$Q331&amp;"|"&amp;$E331&amp;"|"&amp;$O331&amp;"|*",DATOS_MODELO!$F$2:$F$3672,"PRX",DATOS_MODELO!$AA$2:$AA$3672,"&lt;&gt;")&gt;0),"PRX",IF(COUNTIFS(DATOS_MODELO!$C$2:$C$3672,$Q331&amp;"|"&amp;$E331&amp;"|"&amp;$O331&amp;"|*",DATOS_MODELO!$F$2:$F$3672,"CAL",DATOS_MODELO!$AA$2:$AA$3672,"&lt;&gt;")&gt;0,"CAL","OBS"))))</f>
        <v>CAL</v>
      </c>
      <c r="S331" s="14">
        <f>IF(COUNTIFS(DATOS_MODELO!$C$2:$C$3672,$Q331&amp;"|"&amp;$E331&amp;"|"&amp;$O331&amp;"|CO2",DATOS_MODELO!$AA$2:$AA$3672,"&lt;&gt;")=0,"",INDEX(DATOS_MODELO!$AA$2:$AA$3672,MATCH($Q331&amp;"|"&amp;$E331&amp;"|"&amp;$O331&amp;"|CO2",DATOS_MODELO!$C$2:$C$3672,0)))</f>
        <v>0.0</v>
      </c>
      <c r="T331" s="14">
        <f>IF(COUNTIFS(DATOS_MODELO!$C$2:$C$3672,$Q331&amp;"|"&amp;$E331&amp;"|"&amp;$O331&amp;"|CH4",DATOS_MODELO!$AA$2:$AA$3672,"&lt;&gt;")=0,"",INDEX(DATOS_MODELO!$AA$2:$AA$3672,MATCH($Q331&amp;"|"&amp;$E331&amp;"|"&amp;$O331&amp;"|CH4",DATOS_MODELO!$C$2:$C$3672,0)))</f>
        <v>0.0</v>
      </c>
      <c r="U331" s="14">
        <f>IF(COUNTIFS(DATOS_MODELO!$C$2:$C$3672,$Q331&amp;"|"&amp;$E331&amp;"|"&amp;$O331&amp;"|N2O",DATOS_MODELO!$AA$2:$AA$3672,"&lt;&gt;")=0,"",INDEX(DATOS_MODELO!$AA$2:$AA$3672,MATCH($Q331&amp;"|"&amp;$E331&amp;"|"&amp;$O331&amp;"|N2O",DATOS_MODELO!$C$2:$C$3672,0)))</f>
        <v>0.0</v>
      </c>
      <c r="V331" s="8"/>
      <c r="W331" s="14"/>
      <c r="X331" s="14">
        <f>IF($P331="BIOGENICO",0,IF(ISNUMBER($S331),$N331*$S331/PARAMETROS!$B$8,""))</f>
        <v>0.0</v>
      </c>
      <c r="Y331" s="14">
        <f>IF($P331="BIOGENICO",IF(ISNUMBER($S331),$N331*$S331/PARAMETROS!$B$8,""),0)</f>
        <v>0.0</v>
      </c>
      <c r="Z331" s="14">
        <f>IF(ISNUMBER($T331),$N331*$T331/PARAMETROS!$B$8,"")</f>
        <v>0.0</v>
      </c>
      <c r="AA331" s="14">
        <f>IF(ISNUMBER($U331),$N331*$U331/PARAMETROS!$B$8,"")</f>
        <v>0.0</v>
      </c>
      <c r="AB331" s="14">
        <f>IF(COUNT($X331,$Z331,$AA331)=0,"",SUM($X331,IF(ISNUMBER($Z331),$Z331*PARAMETROS!$B$9,0),IF(ISNUMBER($AA331),$AA331*PARAMETROS!$B$10,0)))</f>
        <v>0.0</v>
      </c>
      <c r="AC331" s="4" t="s">
        <v>1990</v>
      </c>
      <c r="AD331" s="4"/>
      <c r="AE331" s="4" t="s">
        <v>3362</v>
      </c>
      <c r="AF331" s="4" t="s">
        <v>170</v>
      </c>
      <c r="AG331" s="4" t="inlineStr">
        <is>
          <t>METODO_EMISIONES</t>
        </is>
      </c>
      <c r="AH331" s="4"/>
    </row>
    <row r="332" customFormat="false" ht="23.85" hidden="false" customHeight="false" outlineLevel="0" collapsed="false">
      <c r="A332" s="4" t="s">
        <v>6118</v>
      </c>
      <c r="B332" s="12" t="n">
        <v>2024</v>
      </c>
      <c r="C332" s="4" t="s">
        <v>67</v>
      </c>
      <c r="D332" s="4" t="s">
        <v>5685</v>
      </c>
      <c r="E332" s="4" t="s">
        <v>3341</v>
      </c>
      <c r="F332" s="4" t="s">
        <v>3342</v>
      </c>
      <c r="G332" s="4" t="s">
        <v>80</v>
      </c>
      <c r="H332" s="4" t="s">
        <v>2003</v>
      </c>
      <c r="I332" s="4" t="s">
        <v>67</v>
      </c>
      <c r="J332" s="4" t="s">
        <v>2001</v>
      </c>
      <c r="K332" s="4" t="s">
        <v>66</v>
      </c>
      <c r="L332" s="4" t="s">
        <v>1767</v>
      </c>
      <c r="M332" s="14" t="n">
        <f aca="false">SUMIFS(PSUT_LARGA!$K$2:$K$618,PSUT_LARGA!$B$2:$B$618,$B332,PSUT_LARGA!$H$2:$H$618,$L332,PSUT_LARGA!$E$2:$E$618,$J332,PSUT_LARGA!$F$2:$F$618,$K332,PSUT_LARGA!$G$2:$G$618,$I332,PSUT_LARGA!$I$2:$I$618,$H332)</f>
        <v>11449.0698</v>
      </c>
      <c r="N332" s="14" t="n">
        <f aca="false">IF($H332="TRANSFORMACION_REFINERIA",$M332*INDEX(PARAMETROS!$C$27:$C$33,MATCH($B332,PARAMETROS!$A$27:$A$33,0)),$M332)</f>
        <v>11449.0698</v>
      </c>
      <c r="O332" s="4" t="s">
        <v>3362</v>
      </c>
      <c r="P332" s="4" t="s">
        <v>3363</v>
      </c>
      <c r="Q332" s="11" t="n">
        <f aca="false">MIN($B332,2022)</f>
        <v>2022</v>
      </c>
      <c r="R332" s="8" t="str">
        <f>IF(COUNT($S332:$U332)=0,"NO",IF($O332="CERO_DIRECTO","CAL",IF(OR($B332&gt;$Q332,COUNTIFS(DATOS_MODELO!$C$2:$C$3672,$Q332&amp;"|"&amp;$E332&amp;"|"&amp;$O332&amp;"|*",DATOS_MODELO!$F$2:$F$3672,"PRX",DATOS_MODELO!$AA$2:$AA$3672,"&lt;&gt;")&gt;0),"PRX",IF(COUNTIFS(DATOS_MODELO!$C$2:$C$3672,$Q332&amp;"|"&amp;$E332&amp;"|"&amp;$O332&amp;"|*",DATOS_MODELO!$F$2:$F$3672,"CAL",DATOS_MODELO!$AA$2:$AA$3672,"&lt;&gt;")&gt;0,"CAL","OBS"))))</f>
        <v>CAL</v>
      </c>
      <c r="S332" s="14">
        <f>IF(COUNTIFS(DATOS_MODELO!$C$2:$C$3672,$Q332&amp;"|"&amp;$E332&amp;"|"&amp;$O332&amp;"|CO2",DATOS_MODELO!$AA$2:$AA$3672,"&lt;&gt;")=0,"",INDEX(DATOS_MODELO!$AA$2:$AA$3672,MATCH($Q332&amp;"|"&amp;$E332&amp;"|"&amp;$O332&amp;"|CO2",DATOS_MODELO!$C$2:$C$3672,0)))</f>
        <v>0.0</v>
      </c>
      <c r="T332" s="14">
        <f>IF(COUNTIFS(DATOS_MODELO!$C$2:$C$3672,$Q332&amp;"|"&amp;$E332&amp;"|"&amp;$O332&amp;"|CH4",DATOS_MODELO!$AA$2:$AA$3672,"&lt;&gt;")=0,"",INDEX(DATOS_MODELO!$AA$2:$AA$3672,MATCH($Q332&amp;"|"&amp;$E332&amp;"|"&amp;$O332&amp;"|CH4",DATOS_MODELO!$C$2:$C$3672,0)))</f>
        <v>0.0</v>
      </c>
      <c r="U332" s="14">
        <f>IF(COUNTIFS(DATOS_MODELO!$C$2:$C$3672,$Q332&amp;"|"&amp;$E332&amp;"|"&amp;$O332&amp;"|N2O",DATOS_MODELO!$AA$2:$AA$3672,"&lt;&gt;")=0,"",INDEX(DATOS_MODELO!$AA$2:$AA$3672,MATCH($Q332&amp;"|"&amp;$E332&amp;"|"&amp;$O332&amp;"|N2O",DATOS_MODELO!$C$2:$C$3672,0)))</f>
        <v>0.0</v>
      </c>
      <c r="V332" s="8"/>
      <c r="W332" s="14"/>
      <c r="X332" s="14">
        <f>IF($P332="BIOGENICO",0,IF(ISNUMBER($S332),$N332*$S332/PARAMETROS!$B$8,""))</f>
        <v>0.0</v>
      </c>
      <c r="Y332" s="14">
        <f>IF($P332="BIOGENICO",IF(ISNUMBER($S332),$N332*$S332/PARAMETROS!$B$8,""),0)</f>
        <v>0.0</v>
      </c>
      <c r="Z332" s="14">
        <f>IF(ISNUMBER($T332),$N332*$T332/PARAMETROS!$B$8,"")</f>
        <v>0.0</v>
      </c>
      <c r="AA332" s="14">
        <f>IF(ISNUMBER($U332),$N332*$U332/PARAMETROS!$B$8,"")</f>
        <v>0.0</v>
      </c>
      <c r="AB332" s="14">
        <f>IF(COUNT($X332,$Z332,$AA332)=0,"",SUM($X332,IF(ISNUMBER($Z332),$Z332*PARAMETROS!$B$9,0),IF(ISNUMBER($AA332),$AA332*PARAMETROS!$B$10,0)))</f>
        <v>0.0</v>
      </c>
      <c r="AC332" s="4" t="s">
        <v>1990</v>
      </c>
      <c r="AD332" s="4"/>
      <c r="AE332" s="4" t="s">
        <v>3362</v>
      </c>
      <c r="AF332" s="4" t="s">
        <v>170</v>
      </c>
      <c r="AG332" s="4" t="inlineStr">
        <is>
          <t>METODO_EMISIONES</t>
        </is>
      </c>
      <c r="AH332" s="4"/>
    </row>
    <row r="333" customFormat="false" ht="15" hidden="false" customHeight="false" outlineLevel="0" collapsed="false">
      <c r="A333" s="4" t="s">
        <v>6119</v>
      </c>
      <c r="B333" s="12" t="n">
        <v>2024</v>
      </c>
      <c r="C333" s="4" t="s">
        <v>67</v>
      </c>
      <c r="D333" s="4" t="s">
        <v>5685</v>
      </c>
      <c r="E333" s="4" t="s">
        <v>3341</v>
      </c>
      <c r="F333" s="4" t="s">
        <v>3342</v>
      </c>
      <c r="G333" s="4" t="s">
        <v>82</v>
      </c>
      <c r="H333" s="4" t="s">
        <v>2003</v>
      </c>
      <c r="I333" s="4" t="s">
        <v>67</v>
      </c>
      <c r="J333" s="4" t="s">
        <v>2001</v>
      </c>
      <c r="K333" s="4" t="s">
        <v>2002</v>
      </c>
      <c r="L333" s="4" t="s">
        <v>1782</v>
      </c>
      <c r="M333" s="14" t="n">
        <f aca="false">SUMIFS(PSUT_LARGA!$K$2:$K$618,PSUT_LARGA!$B$2:$B$618,$B333,PSUT_LARGA!$H$2:$H$618,$L333,PSUT_LARGA!$E$2:$E$618,$J333,PSUT_LARGA!$F$2:$F$618,$K333,PSUT_LARGA!$G$2:$G$618,$I333,PSUT_LARGA!$I$2:$I$618,$H333)</f>
        <v>736.0108</v>
      </c>
      <c r="N333" s="14" t="n">
        <f aca="false">IF($H333="TRANSFORMACION_REFINERIA",$M333*INDEX(PARAMETROS!$C$27:$C$33,MATCH($B333,PARAMETROS!$A$27:$A$33,0)),$M333)</f>
        <v>736.0108</v>
      </c>
      <c r="O333" s="4" t="s">
        <v>3372</v>
      </c>
      <c r="P333" s="4" t="s">
        <v>3352</v>
      </c>
      <c r="Q333" s="11" t="n">
        <f aca="false">MIN($B333,2022)</f>
        <v>2022</v>
      </c>
      <c r="R333" s="8" t="str">
        <f>IF(COUNT($S333:$U333)=0,"NO",IF($O333="CERO_DIRECTO","CAL",IF(OR($B333&gt;$Q333,COUNTIFS(DATOS_MODELO!$C$2:$C$3672,$Q333&amp;"|"&amp;$E333&amp;"|"&amp;$O333&amp;"|*",DATOS_MODELO!$F$2:$F$3672,"PRX",DATOS_MODELO!$AA$2:$AA$3672,"&lt;&gt;")&gt;0),"PRX",IF(COUNTIFS(DATOS_MODELO!$C$2:$C$3672,$Q333&amp;"|"&amp;$E333&amp;"|"&amp;$O333&amp;"|*",DATOS_MODELO!$F$2:$F$3672,"CAL",DATOS_MODELO!$AA$2:$AA$3672,"&lt;&gt;")&gt;0,"CAL","OBS"))))</f>
        <v>PRX</v>
      </c>
      <c r="S333" s="14">
        <f>IF(COUNTIFS(DATOS_MODELO!$C$2:$C$3672,$Q333&amp;"|"&amp;$E333&amp;"|"&amp;$O333&amp;"|CO2",DATOS_MODELO!$AA$2:$AA$3672,"&lt;&gt;")=0,"",INDEX(DATOS_MODELO!$AA$2:$AA$3672,MATCH($Q333&amp;"|"&amp;$E333&amp;"|"&amp;$O333&amp;"|CO2",DATOS_MODELO!$C$2:$C$3672,0)))</f>
        <v>56100.0000037876</v>
      </c>
      <c r="T333" s="14">
        <f>IF(COUNTIFS(DATOS_MODELO!$C$2:$C$3672,$Q333&amp;"|"&amp;$E333&amp;"|"&amp;$O333&amp;"|CH4",DATOS_MODELO!$AA$2:$AA$3672,"&lt;&gt;")=0,"",INDEX(DATOS_MODELO!$AA$2:$AA$3672,MATCH($Q333&amp;"|"&amp;$E333&amp;"|"&amp;$O333&amp;"|CH4",DATOS_MODELO!$C$2:$C$3672,0)))</f>
        <v>1.00000061189815</v>
      </c>
      <c r="U333" s="14">
        <f>IF(COUNTIFS(DATOS_MODELO!$C$2:$C$3672,$Q333&amp;"|"&amp;$E333&amp;"|"&amp;$O333&amp;"|N2O",DATOS_MODELO!$AA$2:$AA$3672,"&lt;&gt;")=0,"",INDEX(DATOS_MODELO!$AA$2:$AA$3672,MATCH($Q333&amp;"|"&amp;$E333&amp;"|"&amp;$O333&amp;"|N2O",DATOS_MODELO!$C$2:$C$3672,0)))</f>
        <v>0.100000061189815</v>
      </c>
      <c r="V333" s="8"/>
      <c r="W333" s="14"/>
      <c r="X333" s="14">
        <f>IF($P333="BIOGENICO",0,IF(ISNUMBER($S333),$N333*$S333/PARAMETROS!$B$8,""))</f>
        <v>41.2902058827877</v>
      </c>
      <c r="Y333" s="14">
        <f>IF($P333="BIOGENICO",IF(ISNUMBER($S333),$N333*$S333/PARAMETROS!$B$8,""),0)</f>
        <v>0.0</v>
      </c>
      <c r="Z333" s="14">
        <f>IF(ISNUMBER($T333),$N333*$T333/PARAMETROS!$B$8,"")</f>
        <v>0.000736011250363648</v>
      </c>
      <c r="AA333" s="14">
        <f>IF(ISNUMBER($U333),$N333*$U333/PARAMETROS!$B$8,"")</f>
        <v>7.36011250363648e-05</v>
      </c>
      <c r="AB333" s="14">
        <f>IF(COUNT($X333,$Z333,$AA333)=0,"",SUM($X333,IF(ISNUMBER($Z333),$Z333*PARAMETROS!$B$9,0),IF(ISNUMBER($AA333),$AA333*PARAMETROS!$B$10,0)))</f>
        <v>41.3303184959325</v>
      </c>
      <c r="AC333" s="4" t="s">
        <v>1990</v>
      </c>
      <c r="AD333" s="4"/>
      <c r="AE333" s="4" t="s">
        <v>5690</v>
      </c>
      <c r="AF333" s="4" t="s">
        <v>170</v>
      </c>
      <c r="AG333" s="4" t="s">
        <v>3999</v>
      </c>
      <c r="AH333" s="4"/>
    </row>
    <row r="334" customFormat="false" ht="23.85" hidden="false" customHeight="false" outlineLevel="0" collapsed="false">
      <c r="A334" s="4" t="s">
        <v>6120</v>
      </c>
      <c r="B334" s="12" t="n">
        <v>2024</v>
      </c>
      <c r="C334" s="4" t="s">
        <v>67</v>
      </c>
      <c r="D334" s="4" t="s">
        <v>5685</v>
      </c>
      <c r="E334" s="4" t="s">
        <v>3341</v>
      </c>
      <c r="F334" s="4" t="s">
        <v>3342</v>
      </c>
      <c r="G334" s="4" t="s">
        <v>84</v>
      </c>
      <c r="H334" s="4" t="s">
        <v>2003</v>
      </c>
      <c r="I334" s="4" t="s">
        <v>67</v>
      </c>
      <c r="J334" s="4" t="s">
        <v>2001</v>
      </c>
      <c r="K334" s="4" t="s">
        <v>66</v>
      </c>
      <c r="L334" s="4" t="s">
        <v>1797</v>
      </c>
      <c r="M334" s="14" t="n">
        <f aca="false">SUMIFS(PSUT_LARGA!$K$2:$K$618,PSUT_LARGA!$B$2:$B$618,$B334,PSUT_LARGA!$H$2:$H$618,$L334,PSUT_LARGA!$E$2:$E$618,$J334,PSUT_LARGA!$F$2:$F$618,$K334,PSUT_LARGA!$G$2:$G$618,$I334,PSUT_LARGA!$I$2:$I$618,$H334)</f>
        <v>24483.3981</v>
      </c>
      <c r="N334" s="14" t="n">
        <f aca="false">IF($H334="TRANSFORMACION_REFINERIA",$M334*INDEX(PARAMETROS!$C$27:$C$33,MATCH($B334,PARAMETROS!$A$27:$A$33,0)),$M334)</f>
        <v>24483.3981</v>
      </c>
      <c r="O334" s="4" t="s">
        <v>3362</v>
      </c>
      <c r="P334" s="4" t="s">
        <v>3363</v>
      </c>
      <c r="Q334" s="11" t="n">
        <f aca="false">MIN($B334,2022)</f>
        <v>2022</v>
      </c>
      <c r="R334" s="8" t="str">
        <f>IF(COUNT($S334:$U334)=0,"NO",IF($O334="CERO_DIRECTO","CAL",IF(OR($B334&gt;$Q334,COUNTIFS(DATOS_MODELO!$C$2:$C$3672,$Q334&amp;"|"&amp;$E334&amp;"|"&amp;$O334&amp;"|*",DATOS_MODELO!$F$2:$F$3672,"PRX",DATOS_MODELO!$AA$2:$AA$3672,"&lt;&gt;")&gt;0),"PRX",IF(COUNTIFS(DATOS_MODELO!$C$2:$C$3672,$Q334&amp;"|"&amp;$E334&amp;"|"&amp;$O334&amp;"|*",DATOS_MODELO!$F$2:$F$3672,"CAL",DATOS_MODELO!$AA$2:$AA$3672,"&lt;&gt;")&gt;0,"CAL","OBS"))))</f>
        <v>CAL</v>
      </c>
      <c r="S334" s="14">
        <f>IF(COUNTIFS(DATOS_MODELO!$C$2:$C$3672,$Q334&amp;"|"&amp;$E334&amp;"|"&amp;$O334&amp;"|CO2",DATOS_MODELO!$AA$2:$AA$3672,"&lt;&gt;")=0,"",INDEX(DATOS_MODELO!$AA$2:$AA$3672,MATCH($Q334&amp;"|"&amp;$E334&amp;"|"&amp;$O334&amp;"|CO2",DATOS_MODELO!$C$2:$C$3672,0)))</f>
        <v>0.0</v>
      </c>
      <c r="T334" s="14">
        <f>IF(COUNTIFS(DATOS_MODELO!$C$2:$C$3672,$Q334&amp;"|"&amp;$E334&amp;"|"&amp;$O334&amp;"|CH4",DATOS_MODELO!$AA$2:$AA$3672,"&lt;&gt;")=0,"",INDEX(DATOS_MODELO!$AA$2:$AA$3672,MATCH($Q334&amp;"|"&amp;$E334&amp;"|"&amp;$O334&amp;"|CH4",DATOS_MODELO!$C$2:$C$3672,0)))</f>
        <v>0.0</v>
      </c>
      <c r="U334" s="14">
        <f>IF(COUNTIFS(DATOS_MODELO!$C$2:$C$3672,$Q334&amp;"|"&amp;$E334&amp;"|"&amp;$O334&amp;"|N2O",DATOS_MODELO!$AA$2:$AA$3672,"&lt;&gt;")=0,"",INDEX(DATOS_MODELO!$AA$2:$AA$3672,MATCH($Q334&amp;"|"&amp;$E334&amp;"|"&amp;$O334&amp;"|N2O",DATOS_MODELO!$C$2:$C$3672,0)))</f>
        <v>0.0</v>
      </c>
      <c r="V334" s="8"/>
      <c r="W334" s="14"/>
      <c r="X334" s="14">
        <f>IF($P334="BIOGENICO",0,IF(ISNUMBER($S334),$N334*$S334/PARAMETROS!$B$8,""))</f>
        <v>0.0</v>
      </c>
      <c r="Y334" s="14">
        <f>IF($P334="BIOGENICO",IF(ISNUMBER($S334),$N334*$S334/PARAMETROS!$B$8,""),0)</f>
        <v>0.0</v>
      </c>
      <c r="Z334" s="14">
        <f>IF(ISNUMBER($T334),$N334*$T334/PARAMETROS!$B$8,"")</f>
        <v>0.0</v>
      </c>
      <c r="AA334" s="14">
        <f>IF(ISNUMBER($U334),$N334*$U334/PARAMETROS!$B$8,"")</f>
        <v>0.0</v>
      </c>
      <c r="AB334" s="14">
        <f>IF(COUNT($X334,$Z334,$AA334)=0,"",SUM($X334,IF(ISNUMBER($Z334),$Z334*PARAMETROS!$B$9,0),IF(ISNUMBER($AA334),$AA334*PARAMETROS!$B$10,0)))</f>
        <v>0.0</v>
      </c>
      <c r="AC334" s="4" t="s">
        <v>1990</v>
      </c>
      <c r="AD334" s="4"/>
      <c r="AE334" s="4" t="s">
        <v>3362</v>
      </c>
      <c r="AF334" s="4" t="s">
        <v>170</v>
      </c>
      <c r="AG334" s="4" t="inlineStr">
        <is>
          <t>METODO_EMISIONES</t>
        </is>
      </c>
      <c r="AH334" s="4"/>
    </row>
    <row r="335" customFormat="false" ht="23.85" hidden="false" customHeight="false" outlineLevel="0" collapsed="false">
      <c r="A335" s="4" t="s">
        <v>6121</v>
      </c>
      <c r="B335" s="12" t="n">
        <v>2024</v>
      </c>
      <c r="C335" s="4" t="s">
        <v>67</v>
      </c>
      <c r="D335" s="4" t="s">
        <v>5685</v>
      </c>
      <c r="E335" s="4" t="s">
        <v>3341</v>
      </c>
      <c r="F335" s="4" t="s">
        <v>3342</v>
      </c>
      <c r="G335" s="4" t="s">
        <v>84</v>
      </c>
      <c r="H335" s="4" t="s">
        <v>2008</v>
      </c>
      <c r="I335" s="4" t="s">
        <v>67</v>
      </c>
      <c r="J335" s="4" t="s">
        <v>2001</v>
      </c>
      <c r="K335" s="4" t="s">
        <v>66</v>
      </c>
      <c r="L335" s="4" t="s">
        <v>1798</v>
      </c>
      <c r="M335" s="14" t="n">
        <f aca="false">SUMIFS(PSUT_LARGA!$K$2:$K$618,PSUT_LARGA!$B$2:$B$618,$B335,PSUT_LARGA!$H$2:$H$618,$L335,PSUT_LARGA!$E$2:$E$618,$J335,PSUT_LARGA!$F$2:$F$618,$K335,PSUT_LARGA!$G$2:$G$618,$I335,PSUT_LARGA!$I$2:$I$618,$H335)</f>
        <v>95.0516</v>
      </c>
      <c r="N335" s="14" t="n">
        <f aca="false">IF($H335="TRANSFORMACION_REFINERIA",$M335*INDEX(PARAMETROS!$C$27:$C$33,MATCH($B335,PARAMETROS!$A$27:$A$33,0)),$M335)</f>
        <v>95.0516</v>
      </c>
      <c r="O335" s="4" t="s">
        <v>3362</v>
      </c>
      <c r="P335" s="4" t="s">
        <v>3363</v>
      </c>
      <c r="Q335" s="11" t="n">
        <f aca="false">MIN($B335,2022)</f>
        <v>2022</v>
      </c>
      <c r="R335" s="8" t="str">
        <f>IF(COUNT($S335:$U335)=0,"NO",IF($O335="CERO_DIRECTO","CAL",IF(OR($B335&gt;$Q335,COUNTIFS(DATOS_MODELO!$C$2:$C$3672,$Q335&amp;"|"&amp;$E335&amp;"|"&amp;$O335&amp;"|*",DATOS_MODELO!$F$2:$F$3672,"PRX",DATOS_MODELO!$AA$2:$AA$3672,"&lt;&gt;")&gt;0),"PRX",IF(COUNTIFS(DATOS_MODELO!$C$2:$C$3672,$Q335&amp;"|"&amp;$E335&amp;"|"&amp;$O335&amp;"|*",DATOS_MODELO!$F$2:$F$3672,"CAL",DATOS_MODELO!$AA$2:$AA$3672,"&lt;&gt;")&gt;0,"CAL","OBS"))))</f>
        <v>CAL</v>
      </c>
      <c r="S335" s="14">
        <f>IF(COUNTIFS(DATOS_MODELO!$C$2:$C$3672,$Q335&amp;"|"&amp;$E335&amp;"|"&amp;$O335&amp;"|CO2",DATOS_MODELO!$AA$2:$AA$3672,"&lt;&gt;")=0,"",INDEX(DATOS_MODELO!$AA$2:$AA$3672,MATCH($Q335&amp;"|"&amp;$E335&amp;"|"&amp;$O335&amp;"|CO2",DATOS_MODELO!$C$2:$C$3672,0)))</f>
        <v>0.0</v>
      </c>
      <c r="T335" s="14">
        <f>IF(COUNTIFS(DATOS_MODELO!$C$2:$C$3672,$Q335&amp;"|"&amp;$E335&amp;"|"&amp;$O335&amp;"|CH4",DATOS_MODELO!$AA$2:$AA$3672,"&lt;&gt;")=0,"",INDEX(DATOS_MODELO!$AA$2:$AA$3672,MATCH($Q335&amp;"|"&amp;$E335&amp;"|"&amp;$O335&amp;"|CH4",DATOS_MODELO!$C$2:$C$3672,0)))</f>
        <v>0.0</v>
      </c>
      <c r="U335" s="14">
        <f>IF(COUNTIFS(DATOS_MODELO!$C$2:$C$3672,$Q335&amp;"|"&amp;$E335&amp;"|"&amp;$O335&amp;"|N2O",DATOS_MODELO!$AA$2:$AA$3672,"&lt;&gt;")=0,"",INDEX(DATOS_MODELO!$AA$2:$AA$3672,MATCH($Q335&amp;"|"&amp;$E335&amp;"|"&amp;$O335&amp;"|N2O",DATOS_MODELO!$C$2:$C$3672,0)))</f>
        <v>0.0</v>
      </c>
      <c r="V335" s="8"/>
      <c r="W335" s="14"/>
      <c r="X335" s="14">
        <f>IF($P335="BIOGENICO",0,IF(ISNUMBER($S335),$N335*$S335/PARAMETROS!$B$8,""))</f>
        <v>0.0</v>
      </c>
      <c r="Y335" s="14">
        <f>IF($P335="BIOGENICO",IF(ISNUMBER($S335),$N335*$S335/PARAMETROS!$B$8,""),0)</f>
        <v>0.0</v>
      </c>
      <c r="Z335" s="14">
        <f>IF(ISNUMBER($T335),$N335*$T335/PARAMETROS!$B$8,"")</f>
        <v>0.0</v>
      </c>
      <c r="AA335" s="14">
        <f>IF(ISNUMBER($U335),$N335*$U335/PARAMETROS!$B$8,"")</f>
        <v>0.0</v>
      </c>
      <c r="AB335" s="14">
        <f>IF(COUNT($X335,$Z335,$AA335)=0,"",SUM($X335,IF(ISNUMBER($Z335),$Z335*PARAMETROS!$B$9,0),IF(ISNUMBER($AA335),$AA335*PARAMETROS!$B$10,0)))</f>
        <v>0.0</v>
      </c>
      <c r="AC335" s="4" t="s">
        <v>1990</v>
      </c>
      <c r="AD335" s="4"/>
      <c r="AE335" s="4" t="s">
        <v>3362</v>
      </c>
      <c r="AF335" s="4" t="s">
        <v>170</v>
      </c>
      <c r="AG335" s="4" t="inlineStr">
        <is>
          <t>METODO_EMISIONES</t>
        </is>
      </c>
      <c r="AH335" s="4"/>
    </row>
    <row r="336" customFormat="false" ht="15" hidden="false" customHeight="false" outlineLevel="0" collapsed="false">
      <c r="A336" s="4" t="s">
        <v>6122</v>
      </c>
      <c r="B336" s="12" t="n">
        <v>2024</v>
      </c>
      <c r="C336" s="4" t="s">
        <v>67</v>
      </c>
      <c r="D336" s="4" t="s">
        <v>5685</v>
      </c>
      <c r="E336" s="4" t="s">
        <v>3395</v>
      </c>
      <c r="F336" s="4" t="s">
        <v>3396</v>
      </c>
      <c r="G336" s="4" t="s">
        <v>86</v>
      </c>
      <c r="H336" s="4" t="s">
        <v>2097</v>
      </c>
      <c r="I336" s="4" t="s">
        <v>67</v>
      </c>
      <c r="J336" s="4" t="s">
        <v>2001</v>
      </c>
      <c r="K336" s="4" t="s">
        <v>2002</v>
      </c>
      <c r="L336" s="4" t="s">
        <v>1829</v>
      </c>
      <c r="M336" s="14" t="n">
        <f aca="false">SUMIFS(PSUT_LARGA!$K$2:$K$618,PSUT_LARGA!$B$2:$B$618,$B336,PSUT_LARGA!$H$2:$H$618,$L336,PSUT_LARGA!$E$2:$E$618,$J336,PSUT_LARGA!$F$2:$F$618,$K336,PSUT_LARGA!$G$2:$G$618,$I336,PSUT_LARGA!$I$2:$I$618,$H336)</f>
        <v>2930.0992</v>
      </c>
      <c r="N336" s="14" t="n">
        <f aca="false">IF($H336="TRANSFORMACION_REFINERIA",$M336*INDEX(PARAMETROS!$C$27:$C$33,MATCH($B336,PARAMETROS!$A$27:$A$33,0)),$M336)</f>
        <v>13.9955591383489</v>
      </c>
      <c r="O336" s="4" t="s">
        <v>3397</v>
      </c>
      <c r="P336" s="4" t="s">
        <v>3352</v>
      </c>
      <c r="Q336" s="11" t="n">
        <f aca="false">MIN($B336,2022)</f>
        <v>2022</v>
      </c>
      <c r="R336" s="8" t="str">
        <f>IF(COUNT($S336:$U336)=0,"NO",IF($O336="CERO_DIRECTO","CAL",IF(OR($B336&gt;$Q336,COUNTIFS(DATOS_MODELO!$C$2:$C$3672,$Q336&amp;"|"&amp;$E336&amp;"|"&amp;$O336&amp;"|*",DATOS_MODELO!$F$2:$F$3672,"PRX",DATOS_MODELO!$AA$2:$AA$3672,"&lt;&gt;")&gt;0),"PRX",IF(COUNTIFS(DATOS_MODELO!$C$2:$C$3672,$Q336&amp;"|"&amp;$E336&amp;"|"&amp;$O336&amp;"|*",DATOS_MODELO!$F$2:$F$3672,"CAL",DATOS_MODELO!$AA$2:$AA$3672,"&lt;&gt;")&gt;0,"CAL","OBS"))))</f>
        <v>PRX</v>
      </c>
      <c r="S336" s="14">
        <f>IF(COUNTIFS(DATOS_MODELO!$C$2:$C$3672,$Q336&amp;"|"&amp;$E336&amp;"|"&amp;$O336&amp;"|CO2",DATOS_MODELO!$AA$2:$AA$3672,"&lt;&gt;")=0,"",INDEX(DATOS_MODELO!$AA$2:$AA$3672,MATCH($Q336&amp;"|"&amp;$E336&amp;"|"&amp;$O336&amp;"|CO2",DATOS_MODELO!$C$2:$C$3672,0)))</f>
        <v>72251.0819140552</v>
      </c>
      <c r="T336" s="14">
        <f>IF(COUNTIFS(DATOS_MODELO!$C$2:$C$3672,$Q336&amp;"|"&amp;$E336&amp;"|"&amp;$O336&amp;"|CH4",DATOS_MODELO!$AA$2:$AA$3672,"&lt;&gt;")=0,"",INDEX(DATOS_MODELO!$AA$2:$AA$3672,MATCH($Q336&amp;"|"&amp;$E336&amp;"|"&amp;$O336&amp;"|CH4",DATOS_MODELO!$C$2:$C$3672,0)))</f>
        <v>3.00000158021019</v>
      </c>
      <c r="U336" s="14">
        <f>IF(COUNTIFS(DATOS_MODELO!$C$2:$C$3672,$Q336&amp;"|"&amp;$E336&amp;"|"&amp;$O336&amp;"|N2O",DATOS_MODELO!$AA$2:$AA$3672,"&lt;&gt;")=0,"",INDEX(DATOS_MODELO!$AA$2:$AA$3672,MATCH($Q336&amp;"|"&amp;$E336&amp;"|"&amp;$O336&amp;"|N2O",DATOS_MODELO!$C$2:$C$3672,0)))</f>
        <v>0.600001148608</v>
      </c>
      <c r="V336" s="8"/>
      <c r="W336" s="14"/>
      <c r="X336" s="14">
        <f>IF($P336="BIOGENICO",0,IF(ISNUMBER($S336),$N336*$S336/PARAMETROS!$B$8,""))</f>
        <v>1.01119428973785</v>
      </c>
      <c r="Y336" s="14">
        <f>IF($P336="BIOGENICO",IF(ISNUMBER($S336),$N336*$S336/PARAMETROS!$B$8,""),0)</f>
        <v>0.0</v>
      </c>
      <c r="Z336" s="14">
        <f>IF(ISNUMBER($T336),$N336*$T336/PARAMETROS!$B$8,"")</f>
        <v>4.1986699530972e-05</v>
      </c>
      <c r="AA336" s="14">
        <f>IF(ISNUMBER($U336),$N336*$U336/PARAMETROS!$B$8,"")</f>
        <v>8.39735155842055e-06</v>
      </c>
      <c r="AB336" s="14">
        <f>IF(COUNT($X336,$Z336,$AA336)=0,"",SUM($X336,IF(ISNUMBER($Z336),$Z336*PARAMETROS!$B$9,0),IF(ISNUMBER($AA336),$AA336*PARAMETROS!$B$10,0)))</f>
        <v>1.0145952154877</v>
      </c>
      <c r="AC336" s="4" t="s">
        <v>1990</v>
      </c>
      <c r="AD336" s="4"/>
      <c r="AE336" s="4" t="s">
        <v>5690</v>
      </c>
      <c r="AF336" s="4" t="s">
        <v>170</v>
      </c>
      <c r="AG336" s="4" t="s">
        <v>3999</v>
      </c>
      <c r="AH336" s="4"/>
    </row>
    <row r="337" customFormat="false" ht="23.85" hidden="false" customHeight="false" outlineLevel="0" collapsed="false">
      <c r="A337" s="4" t="s">
        <v>6123</v>
      </c>
      <c r="B337" s="12" t="n">
        <v>2024</v>
      </c>
      <c r="C337" s="4" t="s">
        <v>67</v>
      </c>
      <c r="D337" s="4" t="s">
        <v>5685</v>
      </c>
      <c r="E337" s="4" t="s">
        <v>3341</v>
      </c>
      <c r="F337" s="4" t="s">
        <v>3342</v>
      </c>
      <c r="G337" s="4" t="s">
        <v>88</v>
      </c>
      <c r="H337" s="4" t="s">
        <v>2003</v>
      </c>
      <c r="I337" s="4" t="s">
        <v>67</v>
      </c>
      <c r="J337" s="4" t="s">
        <v>2001</v>
      </c>
      <c r="K337" s="4" t="s">
        <v>66</v>
      </c>
      <c r="L337" s="4" t="s">
        <v>1846</v>
      </c>
      <c r="M337" s="14" t="n">
        <f aca="false">SUMIFS(PSUT_LARGA!$K$2:$K$618,PSUT_LARGA!$B$2:$B$618,$B337,PSUT_LARGA!$H$2:$H$618,$L337,PSUT_LARGA!$E$2:$E$618,$J337,PSUT_LARGA!$F$2:$F$618,$K337,PSUT_LARGA!$G$2:$G$618,$I337,PSUT_LARGA!$I$2:$I$618,$H337)</f>
        <v>909.6136</v>
      </c>
      <c r="N337" s="14" t="n">
        <f aca="false">IF($H337="TRANSFORMACION_REFINERIA",$M337*INDEX(PARAMETROS!$C$27:$C$33,MATCH($B337,PARAMETROS!$A$27:$A$33,0)),$M337)</f>
        <v>909.6136</v>
      </c>
      <c r="O337" s="4" t="s">
        <v>3362</v>
      </c>
      <c r="P337" s="4" t="s">
        <v>3363</v>
      </c>
      <c r="Q337" s="11" t="n">
        <f aca="false">MIN($B337,2022)</f>
        <v>2022</v>
      </c>
      <c r="R337" s="8" t="str">
        <f>IF(COUNT($S337:$U337)=0,"NO",IF($O337="CERO_DIRECTO","CAL",IF(OR($B337&gt;$Q337,COUNTIFS(DATOS_MODELO!$C$2:$C$3672,$Q337&amp;"|"&amp;$E337&amp;"|"&amp;$O337&amp;"|*",DATOS_MODELO!$F$2:$F$3672,"PRX",DATOS_MODELO!$AA$2:$AA$3672,"&lt;&gt;")&gt;0),"PRX",IF(COUNTIFS(DATOS_MODELO!$C$2:$C$3672,$Q337&amp;"|"&amp;$E337&amp;"|"&amp;$O337&amp;"|*",DATOS_MODELO!$F$2:$F$3672,"CAL",DATOS_MODELO!$AA$2:$AA$3672,"&lt;&gt;")&gt;0,"CAL","OBS"))))</f>
        <v>CAL</v>
      </c>
      <c r="S337" s="14">
        <f>IF(COUNTIFS(DATOS_MODELO!$C$2:$C$3672,$Q337&amp;"|"&amp;$E337&amp;"|"&amp;$O337&amp;"|CO2",DATOS_MODELO!$AA$2:$AA$3672,"&lt;&gt;")=0,"",INDEX(DATOS_MODELO!$AA$2:$AA$3672,MATCH($Q337&amp;"|"&amp;$E337&amp;"|"&amp;$O337&amp;"|CO2",DATOS_MODELO!$C$2:$C$3672,0)))</f>
        <v>0.0</v>
      </c>
      <c r="T337" s="14">
        <f>IF(COUNTIFS(DATOS_MODELO!$C$2:$C$3672,$Q337&amp;"|"&amp;$E337&amp;"|"&amp;$O337&amp;"|CH4",DATOS_MODELO!$AA$2:$AA$3672,"&lt;&gt;")=0,"",INDEX(DATOS_MODELO!$AA$2:$AA$3672,MATCH($Q337&amp;"|"&amp;$E337&amp;"|"&amp;$O337&amp;"|CH4",DATOS_MODELO!$C$2:$C$3672,0)))</f>
        <v>0.0</v>
      </c>
      <c r="U337" s="14">
        <f>IF(COUNTIFS(DATOS_MODELO!$C$2:$C$3672,$Q337&amp;"|"&amp;$E337&amp;"|"&amp;$O337&amp;"|N2O",DATOS_MODELO!$AA$2:$AA$3672,"&lt;&gt;")=0,"",INDEX(DATOS_MODELO!$AA$2:$AA$3672,MATCH($Q337&amp;"|"&amp;$E337&amp;"|"&amp;$O337&amp;"|N2O",DATOS_MODELO!$C$2:$C$3672,0)))</f>
        <v>0.0</v>
      </c>
      <c r="V337" s="8"/>
      <c r="W337" s="14"/>
      <c r="X337" s="14">
        <f>IF($P337="BIOGENICO",0,IF(ISNUMBER($S337),$N337*$S337/PARAMETROS!$B$8,""))</f>
        <v>0.0</v>
      </c>
      <c r="Y337" s="14">
        <f>IF($P337="BIOGENICO",IF(ISNUMBER($S337),$N337*$S337/PARAMETROS!$B$8,""),0)</f>
        <v>0.0</v>
      </c>
      <c r="Z337" s="14">
        <f>IF(ISNUMBER($T337),$N337*$T337/PARAMETROS!$B$8,"")</f>
        <v>0.0</v>
      </c>
      <c r="AA337" s="14">
        <f>IF(ISNUMBER($U337),$N337*$U337/PARAMETROS!$B$8,"")</f>
        <v>0.0</v>
      </c>
      <c r="AB337" s="14">
        <f>IF(COUNT($X337,$Z337,$AA337)=0,"",SUM($X337,IF(ISNUMBER($Z337),$Z337*PARAMETROS!$B$9,0),IF(ISNUMBER($AA337),$AA337*PARAMETROS!$B$10,0)))</f>
        <v>0.0</v>
      </c>
      <c r="AC337" s="4" t="s">
        <v>1990</v>
      </c>
      <c r="AD337" s="4"/>
      <c r="AE337" s="4" t="s">
        <v>3362</v>
      </c>
      <c r="AF337" s="4" t="s">
        <v>170</v>
      </c>
      <c r="AG337" s="4" t="inlineStr">
        <is>
          <t>METODO_EMISIONES</t>
        </is>
      </c>
      <c r="AH337" s="4"/>
    </row>
    <row r="338" customFormat="false" ht="15" hidden="false" customHeight="false" outlineLevel="0" collapsed="false">
      <c r="A338" s="4" t="s">
        <v>6124</v>
      </c>
      <c r="B338" s="12" t="n">
        <v>2024</v>
      </c>
      <c r="C338" s="4" t="s">
        <v>67</v>
      </c>
      <c r="D338" s="4" t="s">
        <v>5685</v>
      </c>
      <c r="E338" s="4" t="s">
        <v>3341</v>
      </c>
      <c r="F338" s="4" t="s">
        <v>3342</v>
      </c>
      <c r="G338" s="4" t="s">
        <v>95</v>
      </c>
      <c r="H338" s="4" t="s">
        <v>2003</v>
      </c>
      <c r="I338" s="4" t="s">
        <v>67</v>
      </c>
      <c r="J338" s="4" t="s">
        <v>2001</v>
      </c>
      <c r="K338" s="4" t="s">
        <v>2002</v>
      </c>
      <c r="L338" s="4" t="s">
        <v>1861</v>
      </c>
      <c r="M338" s="14" t="n">
        <f aca="false">SUMIFS(PSUT_LARGA!$K$2:$K$618,PSUT_LARGA!$B$2:$B$618,$B338,PSUT_LARGA!$H$2:$H$618,$L338,PSUT_LARGA!$E$2:$E$618,$J338,PSUT_LARGA!$F$2:$F$618,$K338,PSUT_LARGA!$G$2:$G$618,$I338,PSUT_LARGA!$I$2:$I$618,$H338)</f>
        <v>54.0911</v>
      </c>
      <c r="N338" s="14" t="n">
        <f aca="false">IF($H338="TRANSFORMACION_REFINERIA",$M338*INDEX(PARAMETROS!$C$27:$C$33,MATCH($B338,PARAMETROS!$A$27:$A$33,0)),$M338)</f>
        <v>54.0911</v>
      </c>
      <c r="O338" s="4" t="inlineStr">
        <is>
          <t>COMB_COQUE</t>
        </is>
      </c>
      <c r="P338" s="4" t="s">
        <v>3352</v>
      </c>
      <c r="Q338" s="11" t="n">
        <f aca="false">MIN($B338,2022)</f>
        <v>2022</v>
      </c>
      <c r="R338" s="8" t="str">
        <f>IF(COUNT($S338:$U338)=0,"NO",IF($O338="CERO_DIRECTO","CAL",IF(OR($B338&gt;$Q338,COUNTIFS(DATOS_MODELO!$C$2:$C$3672,$Q338&amp;"|"&amp;$E338&amp;"|"&amp;$O338&amp;"|*",DATOS_MODELO!$F$2:$F$3672,"PRX",DATOS_MODELO!$AA$2:$AA$3672,"&lt;&gt;")&gt;0),"PRX",IF(COUNTIFS(DATOS_MODELO!$C$2:$C$3672,$Q338&amp;"|"&amp;$E338&amp;"|"&amp;$O338&amp;"|*",DATOS_MODELO!$F$2:$F$3672,"CAL",DATOS_MODELO!$AA$2:$AA$3672,"&lt;&gt;")&gt;0,"CAL","OBS"))))</f>
        <v>PRX</v>
      </c>
      <c r="S338" s="14">
        <f>IF(COUNTIFS(DATOS_MODELO!$C$2:$C$3672,$Q338&amp;"|"&amp;$E338&amp;"|"&amp;$O338&amp;"|CO2",DATOS_MODELO!$AA$2:$AA$3672,"&lt;&gt;")=0,"",INDEX(DATOS_MODELO!$AA$2:$AA$3672,MATCH($Q338&amp;"|"&amp;$E338&amp;"|"&amp;$O338&amp;"|CO2",DATOS_MODELO!$C$2:$C$3672,0)))</f>
        <v>97500.0</v>
      </c>
      <c r="T338" s="14">
        <f>IF(COUNTIFS(DATOS_MODELO!$C$2:$C$3672,$Q338&amp;"|"&amp;$E338&amp;"|"&amp;$O338&amp;"|CH4",DATOS_MODELO!$AA$2:$AA$3672,"&lt;&gt;")=0,"",INDEX(DATOS_MODELO!$AA$2:$AA$3672,MATCH($Q338&amp;"|"&amp;$E338&amp;"|"&amp;$O338&amp;"|CH4",DATOS_MODELO!$C$2:$C$3672,0)))</f>
        <v>3.0</v>
      </c>
      <c r="U338" s="14">
        <f>IF(COUNTIFS(DATOS_MODELO!$C$2:$C$3672,$Q338&amp;"|"&amp;$E338&amp;"|"&amp;$O338&amp;"|N2O",DATOS_MODELO!$AA$2:$AA$3672,"&lt;&gt;")=0,"",INDEX(DATOS_MODELO!$AA$2:$AA$3672,MATCH($Q338&amp;"|"&amp;$E338&amp;"|"&amp;$O338&amp;"|N2O",DATOS_MODELO!$C$2:$C$3672,0)))</f>
        <v>0.6</v>
      </c>
      <c r="V338" s="8"/>
      <c r="W338" s="14"/>
      <c r="X338" s="14">
        <f>IF($P338="BIOGENICO",0,IF(ISNUMBER($S338),$N338*$S338/PARAMETROS!$B$8,""))</f>
        <v>5.27388225</v>
      </c>
      <c r="Y338" s="14">
        <f>IF($P338="BIOGENICO",IF(ISNUMBER($S338),$N338*$S338/PARAMETROS!$B$8,""),0)</f>
        <v>0.0</v>
      </c>
      <c r="Z338" s="14">
        <f>IF(ISNUMBER($T338),$N338*$T338/PARAMETROS!$B$8,"")</f>
        <v>0.0001622733</v>
      </c>
      <c r="AA338" s="14">
        <f>IF(ISNUMBER($U338),$N338*$U338/PARAMETROS!$B$8,"")</f>
        <v>3.245466e-05</v>
      </c>
      <c r="AB338" s="14">
        <f>IF(COUNT($X338,$Z338,$AA338)=0,"",SUM($X338,IF(ISNUMBER($Z338),$Z338*PARAMETROS!$B$9,0),IF(ISNUMBER($AA338),$AA338*PARAMETROS!$B$10,0)))</f>
        <v>5.2870263873</v>
      </c>
      <c r="AC338" s="4" t="s">
        <v>1990</v>
      </c>
      <c r="AD338" s="4"/>
      <c r="AE338" s="4" t="s">
        <v>5690</v>
      </c>
      <c r="AF338" s="4" t="s">
        <v>170</v>
      </c>
      <c r="AG338" s="4" t="inlineStr">
        <is>
          <t>IPCC_2006_GL | MARN_GTM_BTR1_2024</t>
        </is>
      </c>
      <c r="AH338" s="4" t="inlineStr">
        <is>
          <t>Origen de factores: CO2: MARN_GTM_BTR1_2024 [PRX; BTR1 Guatemala 2024, tabla 3.6, p. 48; fila Coque de petróleo; gas CO2]; CH4: IPCC_2006_GL [PRX; Volumen 2, capítulo 2, tabla 2.2, p. 2.16; fila Petroleum Coke; gas CH4]; N2O: IPCC_2006_GL [PRX; Volumen 2, capítulo 2, tabla 2.2, p. 2.16; fila Petroleum Coke; gas N2O].</t>
        </is>
      </c>
    </row>
    <row r="339" customFormat="false" ht="15" hidden="false" customHeight="false" outlineLevel="0" collapsed="false">
      <c r="A339" s="4" t="s">
        <v>6125</v>
      </c>
      <c r="B339" s="12" t="n">
        <v>2024</v>
      </c>
      <c r="C339" s="4" t="s">
        <v>67</v>
      </c>
      <c r="D339" s="4" t="s">
        <v>5685</v>
      </c>
      <c r="E339" s="4" t="s">
        <v>3341</v>
      </c>
      <c r="F339" s="4" t="s">
        <v>3342</v>
      </c>
      <c r="G339" s="4" t="s">
        <v>97</v>
      </c>
      <c r="H339" s="4" t="s">
        <v>2003</v>
      </c>
      <c r="I339" s="4" t="s">
        <v>67</v>
      </c>
      <c r="J339" s="4" t="s">
        <v>2001</v>
      </c>
      <c r="K339" s="4" t="s">
        <v>2002</v>
      </c>
      <c r="L339" s="4" t="s">
        <v>1876</v>
      </c>
      <c r="M339" s="14" t="n">
        <f aca="false">SUMIFS(PSUT_LARGA!$K$2:$K$618,PSUT_LARGA!$B$2:$B$618,$B339,PSUT_LARGA!$H$2:$H$618,$L339,PSUT_LARGA!$E$2:$E$618,$J339,PSUT_LARGA!$F$2:$F$618,$K339,PSUT_LARGA!$G$2:$G$618,$I339,PSUT_LARGA!$I$2:$I$618,$H339)</f>
        <v>434.7042</v>
      </c>
      <c r="N339" s="14" t="n">
        <f aca="false">IF($H339="TRANSFORMACION_REFINERIA",$M339*INDEX(PARAMETROS!$C$27:$C$33,MATCH($B339,PARAMETROS!$A$27:$A$33,0)),$M339)</f>
        <v>434.7042</v>
      </c>
      <c r="O339" s="4" t="inlineStr">
        <is>
          <t>COMB_DOIL</t>
        </is>
      </c>
      <c r="P339" s="4" t="s">
        <v>3352</v>
      </c>
      <c r="Q339" s="11" t="n">
        <f aca="false">MIN($B339,2022)</f>
        <v>2022</v>
      </c>
      <c r="R339" s="8" t="str">
        <f>IF(COUNT($S339:$U339)=0,"NO",IF($O339="CERO_DIRECTO","CAL",IF(OR($B339&gt;$Q339,COUNTIFS(DATOS_MODELO!$C$2:$C$3672,$Q339&amp;"|"&amp;$E339&amp;"|"&amp;$O339&amp;"|*",DATOS_MODELO!$F$2:$F$3672,"PRX",DATOS_MODELO!$AA$2:$AA$3672,"&lt;&gt;")&gt;0),"PRX",IF(COUNTIFS(DATOS_MODELO!$C$2:$C$3672,$Q339&amp;"|"&amp;$E339&amp;"|"&amp;$O339&amp;"|*",DATOS_MODELO!$F$2:$F$3672,"CAL",DATOS_MODELO!$AA$2:$AA$3672,"&lt;&gt;")&gt;0,"CAL","OBS"))))</f>
        <v>PRX</v>
      </c>
      <c r="S339" s="14">
        <f>IF(COUNTIFS(DATOS_MODELO!$C$2:$C$3672,$Q339&amp;"|"&amp;$E339&amp;"|"&amp;$O339&amp;"|CO2",DATOS_MODELO!$AA$2:$AA$3672,"&lt;&gt;")=0,"",INDEX(DATOS_MODELO!$AA$2:$AA$3672,MATCH($Q339&amp;"|"&amp;$E339&amp;"|"&amp;$O339&amp;"|CO2",DATOS_MODELO!$C$2:$C$3672,0)))</f>
        <v>74100.0</v>
      </c>
      <c r="T339" s="14">
        <f>IF(COUNTIFS(DATOS_MODELO!$C$2:$C$3672,$Q339&amp;"|"&amp;$E339&amp;"|"&amp;$O339&amp;"|CH4",DATOS_MODELO!$AA$2:$AA$3672,"&lt;&gt;")=0,"",INDEX(DATOS_MODELO!$AA$2:$AA$3672,MATCH($Q339&amp;"|"&amp;$E339&amp;"|"&amp;$O339&amp;"|CH4",DATOS_MODELO!$C$2:$C$3672,0)))</f>
        <v>3.0</v>
      </c>
      <c r="U339" s="14">
        <f>IF(COUNTIFS(DATOS_MODELO!$C$2:$C$3672,$Q339&amp;"|"&amp;$E339&amp;"|"&amp;$O339&amp;"|N2O",DATOS_MODELO!$AA$2:$AA$3672,"&lt;&gt;")=0,"",INDEX(DATOS_MODELO!$AA$2:$AA$3672,MATCH($Q339&amp;"|"&amp;$E339&amp;"|"&amp;$O339&amp;"|N2O",DATOS_MODELO!$C$2:$C$3672,0)))</f>
        <v>0.6</v>
      </c>
      <c r="V339" s="8"/>
      <c r="W339" s="14"/>
      <c r="X339" s="14">
        <f>IF($P339="BIOGENICO",0,IF(ISNUMBER($S339),$N339*$S339/PARAMETROS!$B$8,""))</f>
        <v>32.21158122</v>
      </c>
      <c r="Y339" s="14">
        <f>IF($P339="BIOGENICO",IF(ISNUMBER($S339),$N339*$S339/PARAMETROS!$B$8,""),0)</f>
        <v>0.0</v>
      </c>
      <c r="Z339" s="14">
        <f>IF(ISNUMBER($T339),$N339*$T339/PARAMETROS!$B$8,"")</f>
        <v>0.0013041126</v>
      </c>
      <c r="AA339" s="14">
        <f>IF(ISNUMBER($U339),$N339*$U339/PARAMETROS!$B$8,"")</f>
        <v>0.00026082252</v>
      </c>
      <c r="AB339" s="14">
        <f>IF(COUNT($X339,$Z339,$AA339)=0,"",SUM($X339,IF(ISNUMBER($Z339),$Z339*PARAMETROS!$B$9,0),IF(ISNUMBER($AA339),$AA339*PARAMETROS!$B$10,0)))</f>
        <v>32.3172143406</v>
      </c>
      <c r="AC339" s="4" t="s">
        <v>1990</v>
      </c>
      <c r="AD339" s="4"/>
      <c r="AE339" s="4" t="s">
        <v>5690</v>
      </c>
      <c r="AF339" s="4" t="s">
        <v>170</v>
      </c>
      <c r="AG339" s="4" t="inlineStr">
        <is>
          <t>MARN_GTM_BTR1_2024</t>
        </is>
      </c>
      <c r="AH339" s="4" t="inlineStr">
        <is>
          <t>Origen de factores: CO2: MARN_GTM_BTR1_2024 [PRX; BTR1 Guatemala 2024, tabla 3.6, p. 48; fila Gas/Diésel oíl; gas CO2]; CH4: MARN_GTM_BTR1_2024 [PRX; BTR1 Guatemala 2024, tabla 3.17, p. 57; fila Diésel; gas CH4]; N2O: MARN_GTM_BTR1_2024 [PRX; BTR1 Guatemala 2024, tabla 3.17, p. 57; fila Diésel; gas N2O].</t>
        </is>
      </c>
    </row>
    <row r="340" customFormat="false" ht="23.85" hidden="false" customHeight="false" outlineLevel="0" collapsed="false">
      <c r="A340" s="4" t="s">
        <v>6126</v>
      </c>
      <c r="B340" s="12" t="n">
        <v>2024</v>
      </c>
      <c r="C340" s="4" t="s">
        <v>67</v>
      </c>
      <c r="D340" s="4" t="s">
        <v>5685</v>
      </c>
      <c r="E340" s="4" t="s">
        <v>3341</v>
      </c>
      <c r="F340" s="4" t="s">
        <v>3342</v>
      </c>
      <c r="G340" s="4" t="s">
        <v>99</v>
      </c>
      <c r="H340" s="4" t="s">
        <v>2003</v>
      </c>
      <c r="I340" s="4" t="s">
        <v>67</v>
      </c>
      <c r="J340" s="4" t="s">
        <v>1994</v>
      </c>
      <c r="K340" s="4" t="s">
        <v>1995</v>
      </c>
      <c r="L340" s="4" t="s">
        <v>1890</v>
      </c>
      <c r="M340" s="14" t="n">
        <f aca="false">SUMIFS(PSUT_LARGA!$K$2:$K$618,PSUT_LARGA!$B$2:$B$618,$B340,PSUT_LARGA!$H$2:$H$618,$L340,PSUT_LARGA!$E$2:$E$618,$J340,PSUT_LARGA!$F$2:$F$618,$K340,PSUT_LARGA!$G$2:$G$618,$I340,PSUT_LARGA!$I$2:$I$618,$H340)</f>
        <v>49633.4356</v>
      </c>
      <c r="N340" s="14" t="n">
        <f aca="false">IF($H340="TRANSFORMACION_REFINERIA",$M340*INDEX(PARAMETROS!$C$27:$C$33,MATCH($B340,PARAMETROS!$A$27:$A$33,0)),$M340)</f>
        <v>49633.4356</v>
      </c>
      <c r="O340" s="4" t="s">
        <v>3362</v>
      </c>
      <c r="P340" s="4" t="s">
        <v>3363</v>
      </c>
      <c r="Q340" s="11" t="n">
        <f aca="false">MIN($B340,2022)</f>
        <v>2022</v>
      </c>
      <c r="R340" s="8" t="str">
        <f>IF(COUNT($S340:$U340)=0,"NO",IF($O340="CERO_DIRECTO","CAL",IF(OR($B340&gt;$Q340,COUNTIFS(DATOS_MODELO!$C$2:$C$3672,$Q340&amp;"|"&amp;$E340&amp;"|"&amp;$O340&amp;"|*",DATOS_MODELO!$F$2:$F$3672,"PRX",DATOS_MODELO!$AA$2:$AA$3672,"&lt;&gt;")&gt;0),"PRX",IF(COUNTIFS(DATOS_MODELO!$C$2:$C$3672,$Q340&amp;"|"&amp;$E340&amp;"|"&amp;$O340&amp;"|*",DATOS_MODELO!$F$2:$F$3672,"CAL",DATOS_MODELO!$AA$2:$AA$3672,"&lt;&gt;")&gt;0,"CAL","OBS"))))</f>
        <v>CAL</v>
      </c>
      <c r="S340" s="14">
        <f>IF(COUNTIFS(DATOS_MODELO!$C$2:$C$3672,$Q340&amp;"|"&amp;$E340&amp;"|"&amp;$O340&amp;"|CO2",DATOS_MODELO!$AA$2:$AA$3672,"&lt;&gt;")=0,"",INDEX(DATOS_MODELO!$AA$2:$AA$3672,MATCH($Q340&amp;"|"&amp;$E340&amp;"|"&amp;$O340&amp;"|CO2",DATOS_MODELO!$C$2:$C$3672,0)))</f>
        <v>0.0</v>
      </c>
      <c r="T340" s="14">
        <f>IF(COUNTIFS(DATOS_MODELO!$C$2:$C$3672,$Q340&amp;"|"&amp;$E340&amp;"|"&amp;$O340&amp;"|CH4",DATOS_MODELO!$AA$2:$AA$3672,"&lt;&gt;")=0,"",INDEX(DATOS_MODELO!$AA$2:$AA$3672,MATCH($Q340&amp;"|"&amp;$E340&amp;"|"&amp;$O340&amp;"|CH4",DATOS_MODELO!$C$2:$C$3672,0)))</f>
        <v>0.0</v>
      </c>
      <c r="U340" s="14">
        <f>IF(COUNTIFS(DATOS_MODELO!$C$2:$C$3672,$Q340&amp;"|"&amp;$E340&amp;"|"&amp;$O340&amp;"|N2O",DATOS_MODELO!$AA$2:$AA$3672,"&lt;&gt;")=0,"",INDEX(DATOS_MODELO!$AA$2:$AA$3672,MATCH($Q340&amp;"|"&amp;$E340&amp;"|"&amp;$O340&amp;"|N2O",DATOS_MODELO!$C$2:$C$3672,0)))</f>
        <v>0.0</v>
      </c>
      <c r="V340" s="8"/>
      <c r="W340" s="14"/>
      <c r="X340" s="14">
        <f>IF($P340="BIOGENICO",0,IF(ISNUMBER($S340),$N340*$S340/PARAMETROS!$B$8,""))</f>
        <v>0.0</v>
      </c>
      <c r="Y340" s="14">
        <f>IF($P340="BIOGENICO",IF(ISNUMBER($S340),$N340*$S340/PARAMETROS!$B$8,""),0)</f>
        <v>0.0</v>
      </c>
      <c r="Z340" s="14">
        <f>IF(ISNUMBER($T340),$N340*$T340/PARAMETROS!$B$8,"")</f>
        <v>0.0</v>
      </c>
      <c r="AA340" s="14">
        <f>IF(ISNUMBER($U340),$N340*$U340/PARAMETROS!$B$8,"")</f>
        <v>0.0</v>
      </c>
      <c r="AB340" s="14">
        <f>IF(COUNT($X340,$Z340,$AA340)=0,"",SUM($X340,IF(ISNUMBER($Z340),$Z340*PARAMETROS!$B$9,0),IF(ISNUMBER($AA340),$AA340*PARAMETROS!$B$10,0)))</f>
        <v>0.0</v>
      </c>
      <c r="AC340" s="4" t="s">
        <v>1990</v>
      </c>
      <c r="AD340" s="4"/>
      <c r="AE340" s="4" t="s">
        <v>3362</v>
      </c>
      <c r="AF340" s="4" t="s">
        <v>170</v>
      </c>
      <c r="AG340" s="4" t="inlineStr">
        <is>
          <t>METODO_EMISIONES</t>
        </is>
      </c>
      <c r="AH340" s="4"/>
    </row>
    <row r="341" customFormat="false" ht="23.85" hidden="false" customHeight="false" outlineLevel="0" collapsed="false">
      <c r="A341" s="4" t="s">
        <v>6127</v>
      </c>
      <c r="B341" s="12" t="n">
        <v>2024</v>
      </c>
      <c r="C341" s="4" t="s">
        <v>67</v>
      </c>
      <c r="D341" s="4" t="s">
        <v>5685</v>
      </c>
      <c r="E341" s="4" t="s">
        <v>3341</v>
      </c>
      <c r="F341" s="4" t="s">
        <v>3342</v>
      </c>
      <c r="G341" s="4" t="s">
        <v>99</v>
      </c>
      <c r="H341" s="4" t="s">
        <v>2008</v>
      </c>
      <c r="I341" s="4" t="s">
        <v>67</v>
      </c>
      <c r="J341" s="4" t="s">
        <v>1994</v>
      </c>
      <c r="K341" s="4" t="s">
        <v>1995</v>
      </c>
      <c r="L341" s="4" t="s">
        <v>1891</v>
      </c>
      <c r="M341" s="14" t="n">
        <f aca="false">SUMIFS(PSUT_LARGA!$K$2:$K$618,PSUT_LARGA!$B$2:$B$618,$B341,PSUT_LARGA!$H$2:$H$618,$L341,PSUT_LARGA!$E$2:$E$618,$J341,PSUT_LARGA!$F$2:$F$618,$K341,PSUT_LARGA!$G$2:$G$618,$I341,PSUT_LARGA!$I$2:$I$618,$H341)</f>
        <v>3575.9969</v>
      </c>
      <c r="N341" s="14" t="n">
        <f aca="false">IF($H341="TRANSFORMACION_REFINERIA",$M341*INDEX(PARAMETROS!$C$27:$C$33,MATCH($B341,PARAMETROS!$A$27:$A$33,0)),$M341)</f>
        <v>3575.9969</v>
      </c>
      <c r="O341" s="4" t="s">
        <v>3362</v>
      </c>
      <c r="P341" s="4" t="s">
        <v>3363</v>
      </c>
      <c r="Q341" s="11" t="n">
        <f aca="false">MIN($B341,2022)</f>
        <v>2022</v>
      </c>
      <c r="R341" s="8" t="str">
        <f>IF(COUNT($S341:$U341)=0,"NO",IF($O341="CERO_DIRECTO","CAL",IF(OR($B341&gt;$Q341,COUNTIFS(DATOS_MODELO!$C$2:$C$3672,$Q341&amp;"|"&amp;$E341&amp;"|"&amp;$O341&amp;"|*",DATOS_MODELO!$F$2:$F$3672,"PRX",DATOS_MODELO!$AA$2:$AA$3672,"&lt;&gt;")&gt;0),"PRX",IF(COUNTIFS(DATOS_MODELO!$C$2:$C$3672,$Q341&amp;"|"&amp;$E341&amp;"|"&amp;$O341&amp;"|*",DATOS_MODELO!$F$2:$F$3672,"CAL",DATOS_MODELO!$AA$2:$AA$3672,"&lt;&gt;")&gt;0,"CAL","OBS"))))</f>
        <v>CAL</v>
      </c>
      <c r="S341" s="14">
        <f>IF(COUNTIFS(DATOS_MODELO!$C$2:$C$3672,$Q341&amp;"|"&amp;$E341&amp;"|"&amp;$O341&amp;"|CO2",DATOS_MODELO!$AA$2:$AA$3672,"&lt;&gt;")=0,"",INDEX(DATOS_MODELO!$AA$2:$AA$3672,MATCH($Q341&amp;"|"&amp;$E341&amp;"|"&amp;$O341&amp;"|CO2",DATOS_MODELO!$C$2:$C$3672,0)))</f>
        <v>0.0</v>
      </c>
      <c r="T341" s="14">
        <f>IF(COUNTIFS(DATOS_MODELO!$C$2:$C$3672,$Q341&amp;"|"&amp;$E341&amp;"|"&amp;$O341&amp;"|CH4",DATOS_MODELO!$AA$2:$AA$3672,"&lt;&gt;")=0,"",INDEX(DATOS_MODELO!$AA$2:$AA$3672,MATCH($Q341&amp;"|"&amp;$E341&amp;"|"&amp;$O341&amp;"|CH4",DATOS_MODELO!$C$2:$C$3672,0)))</f>
        <v>0.0</v>
      </c>
      <c r="U341" s="14">
        <f>IF(COUNTIFS(DATOS_MODELO!$C$2:$C$3672,$Q341&amp;"|"&amp;$E341&amp;"|"&amp;$O341&amp;"|N2O",DATOS_MODELO!$AA$2:$AA$3672,"&lt;&gt;")=0,"",INDEX(DATOS_MODELO!$AA$2:$AA$3672,MATCH($Q341&amp;"|"&amp;$E341&amp;"|"&amp;$O341&amp;"|N2O",DATOS_MODELO!$C$2:$C$3672,0)))</f>
        <v>0.0</v>
      </c>
      <c r="V341" s="8"/>
      <c r="W341" s="14"/>
      <c r="X341" s="14">
        <f>IF($P341="BIOGENICO",0,IF(ISNUMBER($S341),$N341*$S341/PARAMETROS!$B$8,""))</f>
        <v>0.0</v>
      </c>
      <c r="Y341" s="14">
        <f>IF($P341="BIOGENICO",IF(ISNUMBER($S341),$N341*$S341/PARAMETROS!$B$8,""),0)</f>
        <v>0.0</v>
      </c>
      <c r="Z341" s="14">
        <f>IF(ISNUMBER($T341),$N341*$T341/PARAMETROS!$B$8,"")</f>
        <v>0.0</v>
      </c>
      <c r="AA341" s="14">
        <f>IF(ISNUMBER($U341),$N341*$U341/PARAMETROS!$B$8,"")</f>
        <v>0.0</v>
      </c>
      <c r="AB341" s="14">
        <f>IF(COUNT($X341,$Z341,$AA341)=0,"",SUM($X341,IF(ISNUMBER($Z341),$Z341*PARAMETROS!$B$9,0),IF(ISNUMBER($AA341),$AA341*PARAMETROS!$B$10,0)))</f>
        <v>0.0</v>
      </c>
      <c r="AC341" s="4" t="s">
        <v>1990</v>
      </c>
      <c r="AD341" s="4"/>
      <c r="AE341" s="4" t="s">
        <v>3362</v>
      </c>
      <c r="AF341" s="4" t="s">
        <v>170</v>
      </c>
      <c r="AG341" s="4" t="inlineStr">
        <is>
          <t>METODO_EMISIONES</t>
        </is>
      </c>
      <c r="AH341" s="4"/>
    </row>
    <row r="342" customFormat="false" ht="23.85" hidden="false" customHeight="false" outlineLevel="0" collapsed="false">
      <c r="A342" s="4" t="s">
        <v>6128</v>
      </c>
      <c r="B342" s="12" t="n">
        <v>2024</v>
      </c>
      <c r="C342" s="4" t="s">
        <v>67</v>
      </c>
      <c r="D342" s="4" t="s">
        <v>5685</v>
      </c>
      <c r="E342" s="4" t="s">
        <v>3420</v>
      </c>
      <c r="F342" s="4" t="s">
        <v>3421</v>
      </c>
      <c r="G342" s="4" t="s">
        <v>99</v>
      </c>
      <c r="H342" s="4" t="s">
        <v>2139</v>
      </c>
      <c r="I342" s="4" t="s">
        <v>67</v>
      </c>
      <c r="J342" s="4" t="s">
        <v>2001</v>
      </c>
      <c r="K342" s="4" t="s">
        <v>2002</v>
      </c>
      <c r="L342" s="4" t="s">
        <v>1892</v>
      </c>
      <c r="M342" s="14" t="n">
        <f aca="false">SUMIFS(PSUT_LARGA!$K$2:$K$618,PSUT_LARGA!$B$2:$B$618,$B342,PSUT_LARGA!$H$2:$H$618,$L342,PSUT_LARGA!$E$2:$E$618,$J342,PSUT_LARGA!$F$2:$F$618,$K342,PSUT_LARGA!$G$2:$G$618,$I342,PSUT_LARGA!$I$2:$I$618,$H342)</f>
        <v>2928.5886</v>
      </c>
      <c r="N342" s="14" t="n">
        <f aca="false">IF($H342="TRANSFORMACION_REFINERIA",$M342*INDEX(PARAMETROS!$C$27:$C$33,MATCH($B342,PARAMETROS!$A$27:$A$33,0)),$M342)</f>
        <v>2928.5886</v>
      </c>
      <c r="O342" s="4" t="s">
        <v>3362</v>
      </c>
      <c r="P342" s="4" t="s">
        <v>3363</v>
      </c>
      <c r="Q342" s="11" t="n">
        <f aca="false">MIN($B342,2022)</f>
        <v>2022</v>
      </c>
      <c r="R342" s="8" t="str">
        <f>IF(COUNT($S342:$U342)=0,"NO",IF($O342="CERO_DIRECTO","CAL",IF(OR($B342&gt;$Q342,COUNTIFS(DATOS_MODELO!$C$2:$C$3672,$Q342&amp;"|"&amp;$E342&amp;"|"&amp;$O342&amp;"|*",DATOS_MODELO!$F$2:$F$3672,"PRX",DATOS_MODELO!$AA$2:$AA$3672,"&lt;&gt;")&gt;0),"PRX",IF(COUNTIFS(DATOS_MODELO!$C$2:$C$3672,$Q342&amp;"|"&amp;$E342&amp;"|"&amp;$O342&amp;"|*",DATOS_MODELO!$F$2:$F$3672,"CAL",DATOS_MODELO!$AA$2:$AA$3672,"&lt;&gt;")&gt;0,"CAL","OBS"))))</f>
        <v>CAL</v>
      </c>
      <c r="S342" s="14">
        <f>IF(COUNTIFS(DATOS_MODELO!$C$2:$C$3672,$Q342&amp;"|"&amp;$E342&amp;"|"&amp;$O342&amp;"|CO2",DATOS_MODELO!$AA$2:$AA$3672,"&lt;&gt;")=0,"",INDEX(DATOS_MODELO!$AA$2:$AA$3672,MATCH($Q342&amp;"|"&amp;$E342&amp;"|"&amp;$O342&amp;"|CO2",DATOS_MODELO!$C$2:$C$3672,0)))</f>
        <v>0.0</v>
      </c>
      <c r="T342" s="14">
        <f>IF(COUNTIFS(DATOS_MODELO!$C$2:$C$3672,$Q342&amp;"|"&amp;$E342&amp;"|"&amp;$O342&amp;"|CH4",DATOS_MODELO!$AA$2:$AA$3672,"&lt;&gt;")=0,"",INDEX(DATOS_MODELO!$AA$2:$AA$3672,MATCH($Q342&amp;"|"&amp;$E342&amp;"|"&amp;$O342&amp;"|CH4",DATOS_MODELO!$C$2:$C$3672,0)))</f>
        <v>0.0</v>
      </c>
      <c r="U342" s="14">
        <f>IF(COUNTIFS(DATOS_MODELO!$C$2:$C$3672,$Q342&amp;"|"&amp;$E342&amp;"|"&amp;$O342&amp;"|N2O",DATOS_MODELO!$AA$2:$AA$3672,"&lt;&gt;")=0,"",INDEX(DATOS_MODELO!$AA$2:$AA$3672,MATCH($Q342&amp;"|"&amp;$E342&amp;"|"&amp;$O342&amp;"|N2O",DATOS_MODELO!$C$2:$C$3672,0)))</f>
        <v>0.0</v>
      </c>
      <c r="V342" s="8"/>
      <c r="W342" s="14"/>
      <c r="X342" s="14">
        <f>IF($P342="BIOGENICO",0,IF(ISNUMBER($S342),$N342*$S342/PARAMETROS!$B$8,""))</f>
        <v>0.0</v>
      </c>
      <c r="Y342" s="14">
        <f>IF($P342="BIOGENICO",IF(ISNUMBER($S342),$N342*$S342/PARAMETROS!$B$8,""),0)</f>
        <v>0.0</v>
      </c>
      <c r="Z342" s="14">
        <f>IF(ISNUMBER($T342),$N342*$T342/PARAMETROS!$B$8,"")</f>
        <v>0.0</v>
      </c>
      <c r="AA342" s="14">
        <f>IF(ISNUMBER($U342),$N342*$U342/PARAMETROS!$B$8,"")</f>
        <v>0.0</v>
      </c>
      <c r="AB342" s="14">
        <f>IF(COUNT($X342,$Z342,$AA342)=0,"",SUM($X342,IF(ISNUMBER($Z342),$Z342*PARAMETROS!$B$9,0),IF(ISNUMBER($AA342),$AA342*PARAMETROS!$B$10,0)))</f>
        <v>0.0</v>
      </c>
      <c r="AC342" s="4" t="s">
        <v>1990</v>
      </c>
      <c r="AD342" s="4"/>
      <c r="AE342" s="4" t="s">
        <v>3362</v>
      </c>
      <c r="AF342" s="4" t="s">
        <v>170</v>
      </c>
      <c r="AG342" s="4" t="inlineStr">
        <is>
          <t>METODO_EMISIONES</t>
        </is>
      </c>
      <c r="AH342" s="4"/>
    </row>
    <row r="343" customFormat="false" ht="15" hidden="false" customHeight="false" outlineLevel="0" collapsed="false">
      <c r="A343" s="4" t="s">
        <v>6129</v>
      </c>
      <c r="B343" s="12" t="n">
        <v>2024</v>
      </c>
      <c r="C343" s="4" t="s">
        <v>67</v>
      </c>
      <c r="D343" s="4" t="s">
        <v>5685</v>
      </c>
      <c r="E343" s="4" t="s">
        <v>3341</v>
      </c>
      <c r="F343" s="4" t="s">
        <v>3342</v>
      </c>
      <c r="G343" s="4" t="s">
        <v>101</v>
      </c>
      <c r="H343" s="4" t="s">
        <v>2003</v>
      </c>
      <c r="I343" s="4" t="s">
        <v>67</v>
      </c>
      <c r="J343" s="4" t="s">
        <v>2001</v>
      </c>
      <c r="K343" s="4" t="s">
        <v>2002</v>
      </c>
      <c r="L343" s="4" t="s">
        <v>1906</v>
      </c>
      <c r="M343" s="14" t="n">
        <f aca="false">SUMIFS(PSUT_LARGA!$K$2:$K$618,PSUT_LARGA!$B$2:$B$618,$B343,PSUT_LARGA!$H$2:$H$618,$L343,PSUT_LARGA!$E$2:$E$618,$J343,PSUT_LARGA!$F$2:$F$618,$K343,PSUT_LARGA!$G$2:$G$618,$I343,PSUT_LARGA!$I$2:$I$618,$H343)</f>
        <v>7216.3686</v>
      </c>
      <c r="N343" s="14" t="n">
        <f aca="false">IF($H343="TRANSFORMACION_REFINERIA",$M343*INDEX(PARAMETROS!$C$27:$C$33,MATCH($B343,PARAMETROS!$A$27:$A$33,0)),$M343)</f>
        <v>7216.3686</v>
      </c>
      <c r="O343" s="4" t="inlineStr">
        <is>
          <t>COMB_FOIL</t>
        </is>
      </c>
      <c r="P343" s="4" t="s">
        <v>3352</v>
      </c>
      <c r="Q343" s="11" t="n">
        <f aca="false">MIN($B343,2022)</f>
        <v>2022</v>
      </c>
      <c r="R343" s="8" t="str">
        <f>IF(COUNT($S343:$U343)=0,"NO",IF($O343="CERO_DIRECTO","CAL",IF(OR($B343&gt;$Q343,COUNTIFS(DATOS_MODELO!$C$2:$C$3672,$Q343&amp;"|"&amp;$E343&amp;"|"&amp;$O343&amp;"|*",DATOS_MODELO!$F$2:$F$3672,"PRX",DATOS_MODELO!$AA$2:$AA$3672,"&lt;&gt;")&gt;0),"PRX",IF(COUNTIFS(DATOS_MODELO!$C$2:$C$3672,$Q343&amp;"|"&amp;$E343&amp;"|"&amp;$O343&amp;"|*",DATOS_MODELO!$F$2:$F$3672,"CAL",DATOS_MODELO!$AA$2:$AA$3672,"&lt;&gt;")&gt;0,"CAL","OBS"))))</f>
        <v>PRX</v>
      </c>
      <c r="S343" s="14">
        <f>IF(COUNTIFS(DATOS_MODELO!$C$2:$C$3672,$Q343&amp;"|"&amp;$E343&amp;"|"&amp;$O343&amp;"|CO2",DATOS_MODELO!$AA$2:$AA$3672,"&lt;&gt;")=0,"",INDEX(DATOS_MODELO!$AA$2:$AA$3672,MATCH($Q343&amp;"|"&amp;$E343&amp;"|"&amp;$O343&amp;"|CO2",DATOS_MODELO!$C$2:$C$3672,0)))</f>
        <v>77400.0</v>
      </c>
      <c r="T343" s="14">
        <f>IF(COUNTIFS(DATOS_MODELO!$C$2:$C$3672,$Q343&amp;"|"&amp;$E343&amp;"|"&amp;$O343&amp;"|CH4",DATOS_MODELO!$AA$2:$AA$3672,"&lt;&gt;")=0,"",INDEX(DATOS_MODELO!$AA$2:$AA$3672,MATCH($Q343&amp;"|"&amp;$E343&amp;"|"&amp;$O343&amp;"|CH4",DATOS_MODELO!$C$2:$C$3672,0)))</f>
        <v>3.0</v>
      </c>
      <c r="U343" s="14">
        <f>IF(COUNTIFS(DATOS_MODELO!$C$2:$C$3672,$Q343&amp;"|"&amp;$E343&amp;"|"&amp;$O343&amp;"|N2O",DATOS_MODELO!$AA$2:$AA$3672,"&lt;&gt;")=0,"",INDEX(DATOS_MODELO!$AA$2:$AA$3672,MATCH($Q343&amp;"|"&amp;$E343&amp;"|"&amp;$O343&amp;"|N2O",DATOS_MODELO!$C$2:$C$3672,0)))</f>
        <v>0.6</v>
      </c>
      <c r="V343" s="8"/>
      <c r="W343" s="14"/>
      <c r="X343" s="14">
        <f>IF($P343="BIOGENICO",0,IF(ISNUMBER($S343),$N343*$S343/PARAMETROS!$B$8,""))</f>
        <v>558.54692964</v>
      </c>
      <c r="Y343" s="14">
        <f>IF($P343="BIOGENICO",IF(ISNUMBER($S343),$N343*$S343/PARAMETROS!$B$8,""),0)</f>
        <v>0.0</v>
      </c>
      <c r="Z343" s="14">
        <f>IF(ISNUMBER($T343),$N343*$T343/PARAMETROS!$B$8,"")</f>
        <v>0.0216491058</v>
      </c>
      <c r="AA343" s="14">
        <f>IF(ISNUMBER($U343),$N343*$U343/PARAMETROS!$B$8,"")</f>
        <v>0.00432982116</v>
      </c>
      <c r="AB343" s="14">
        <f>IF(COUNT($X343,$Z343,$AA343)=0,"",SUM($X343,IF(ISNUMBER($Z343),$Z343*PARAMETROS!$B$9,0),IF(ISNUMBER($AA343),$AA343*PARAMETROS!$B$10,0)))</f>
        <v>560.3005072098</v>
      </c>
      <c r="AC343" s="4" t="s">
        <v>1990</v>
      </c>
      <c r="AD343" s="4"/>
      <c r="AE343" s="4" t="s">
        <v>5690</v>
      </c>
      <c r="AF343" s="4" t="s">
        <v>170</v>
      </c>
      <c r="AG343" s="4" t="inlineStr">
        <is>
          <t>MARN_GTM_BTR1_2024</t>
        </is>
      </c>
      <c r="AH343" s="4" t="inlineStr">
        <is>
          <t>Origen de factores: CO2: MARN_GTM_BTR1_2024 [PRX; BTR1 Guatemala 2024, tabla 3.6, p. 48; fila Fuelóleo residual; gas CO2]; CH4: MARN_GTM_BTR1_2024 [PRX; BTR1 Guatemala 2024, tabla 3.17, p. 57; fila Fuelóleo residual; gas CH4]; N2O: MARN_GTM_BTR1_2024 [PRX; BTR1 Guatemala 2024, tabla 3.17, p. 57; fila Fuelóleo residual; gas N2O].</t>
        </is>
      </c>
    </row>
    <row r="344" customFormat="false" ht="15" hidden="false" customHeight="false" outlineLevel="0" collapsed="false">
      <c r="A344" s="4" t="s">
        <v>6130</v>
      </c>
      <c r="B344" s="12" t="n">
        <v>2024</v>
      </c>
      <c r="C344" s="4" t="s">
        <v>67</v>
      </c>
      <c r="D344" s="4" t="s">
        <v>5685</v>
      </c>
      <c r="E344" s="4" t="s">
        <v>3341</v>
      </c>
      <c r="F344" s="4" t="s">
        <v>3342</v>
      </c>
      <c r="G344" s="4" t="s">
        <v>101</v>
      </c>
      <c r="H344" s="4" t="s">
        <v>2008</v>
      </c>
      <c r="I344" s="4" t="s">
        <v>67</v>
      </c>
      <c r="J344" s="4" t="s">
        <v>2001</v>
      </c>
      <c r="K344" s="4" t="s">
        <v>2002</v>
      </c>
      <c r="L344" s="4" t="s">
        <v>1907</v>
      </c>
      <c r="M344" s="14" t="n">
        <f aca="false">SUMIFS(PSUT_LARGA!$K$2:$K$618,PSUT_LARGA!$B$2:$B$618,$B344,PSUT_LARGA!$H$2:$H$618,$L344,PSUT_LARGA!$E$2:$E$618,$J344,PSUT_LARGA!$F$2:$F$618,$K344,PSUT_LARGA!$G$2:$G$618,$I344,PSUT_LARGA!$I$2:$I$618,$H344)</f>
        <v>9.296</v>
      </c>
      <c r="N344" s="14" t="n">
        <f aca="false">IF($H344="TRANSFORMACION_REFINERIA",$M344*INDEX(PARAMETROS!$C$27:$C$33,MATCH($B344,PARAMETROS!$A$27:$A$33,0)),$M344)</f>
        <v>9.296</v>
      </c>
      <c r="O344" s="4" t="inlineStr">
        <is>
          <t>COMB_FOIL</t>
        </is>
      </c>
      <c r="P344" s="4" t="s">
        <v>3352</v>
      </c>
      <c r="Q344" s="11" t="n">
        <f aca="false">MIN($B344,2022)</f>
        <v>2022</v>
      </c>
      <c r="R344" s="8" t="str">
        <f>IF(COUNT($S344:$U344)=0,"NO",IF($O344="CERO_DIRECTO","CAL",IF(OR($B344&gt;$Q344,COUNTIFS(DATOS_MODELO!$C$2:$C$3672,$Q344&amp;"|"&amp;$E344&amp;"|"&amp;$O344&amp;"|*",DATOS_MODELO!$F$2:$F$3672,"PRX",DATOS_MODELO!$AA$2:$AA$3672,"&lt;&gt;")&gt;0),"PRX",IF(COUNTIFS(DATOS_MODELO!$C$2:$C$3672,$Q344&amp;"|"&amp;$E344&amp;"|"&amp;$O344&amp;"|*",DATOS_MODELO!$F$2:$F$3672,"CAL",DATOS_MODELO!$AA$2:$AA$3672,"&lt;&gt;")&gt;0,"CAL","OBS"))))</f>
        <v>PRX</v>
      </c>
      <c r="S344" s="14">
        <f>IF(COUNTIFS(DATOS_MODELO!$C$2:$C$3672,$Q344&amp;"|"&amp;$E344&amp;"|"&amp;$O344&amp;"|CO2",DATOS_MODELO!$AA$2:$AA$3672,"&lt;&gt;")=0,"",INDEX(DATOS_MODELO!$AA$2:$AA$3672,MATCH($Q344&amp;"|"&amp;$E344&amp;"|"&amp;$O344&amp;"|CO2",DATOS_MODELO!$C$2:$C$3672,0)))</f>
        <v>77400.0</v>
      </c>
      <c r="T344" s="14">
        <f>IF(COUNTIFS(DATOS_MODELO!$C$2:$C$3672,$Q344&amp;"|"&amp;$E344&amp;"|"&amp;$O344&amp;"|CH4",DATOS_MODELO!$AA$2:$AA$3672,"&lt;&gt;")=0,"",INDEX(DATOS_MODELO!$AA$2:$AA$3672,MATCH($Q344&amp;"|"&amp;$E344&amp;"|"&amp;$O344&amp;"|CH4",DATOS_MODELO!$C$2:$C$3672,0)))</f>
        <v>3.0</v>
      </c>
      <c r="U344" s="14">
        <f>IF(COUNTIFS(DATOS_MODELO!$C$2:$C$3672,$Q344&amp;"|"&amp;$E344&amp;"|"&amp;$O344&amp;"|N2O",DATOS_MODELO!$AA$2:$AA$3672,"&lt;&gt;")=0,"",INDEX(DATOS_MODELO!$AA$2:$AA$3672,MATCH($Q344&amp;"|"&amp;$E344&amp;"|"&amp;$O344&amp;"|N2O",DATOS_MODELO!$C$2:$C$3672,0)))</f>
        <v>0.6</v>
      </c>
      <c r="V344" s="8"/>
      <c r="W344" s="14"/>
      <c r="X344" s="14">
        <f>IF($P344="BIOGENICO",0,IF(ISNUMBER($S344),$N344*$S344/PARAMETROS!$B$8,""))</f>
        <v>0.7195104</v>
      </c>
      <c r="Y344" s="14">
        <f>IF($P344="BIOGENICO",IF(ISNUMBER($S344),$N344*$S344/PARAMETROS!$B$8,""),0)</f>
        <v>0.0</v>
      </c>
      <c r="Z344" s="14">
        <f>IF(ISNUMBER($T344),$N344*$T344/PARAMETROS!$B$8,"")</f>
        <v>2.7887998306758e-05</v>
      </c>
      <c r="AA344" s="14">
        <f>IF(ISNUMBER($U344),$N344*$U344/PARAMETROS!$B$8,"")</f>
        <v>5.57759847311162e-06</v>
      </c>
      <c r="AB344" s="14">
        <f>IF(COUNT($X344,$Z344,$AA344)=0,"",SUM($X344,IF(ISNUMBER($Z344),$Z344*PARAMETROS!$B$9,0),IF(ISNUMBER($AA344),$AA344*PARAMETROS!$B$10,0)))</f>
        <v>0.721769328</v>
      </c>
      <c r="AC344" s="4" t="s">
        <v>1990</v>
      </c>
      <c r="AD344" s="4"/>
      <c r="AE344" s="4" t="s">
        <v>5690</v>
      </c>
      <c r="AF344" s="4" t="s">
        <v>170</v>
      </c>
      <c r="AG344" s="4" t="inlineStr">
        <is>
          <t>MARN_GTM_BTR1_2024</t>
        </is>
      </c>
      <c r="AH344" s="4" t="inlineStr">
        <is>
          <t>Origen de factores: CO2: MARN_GTM_BTR1_2024 [PRX; BTR1 Guatemala 2024, tabla 3.6, p. 48; fila Fuelóleo residual; gas CO2]; CH4: MARN_GTM_BTR1_2024 [PRX; BTR1 Guatemala 2024, tabla 3.17, p. 57; fila Fuelóleo residual; gas CH4]; N2O: MARN_GTM_BTR1_2024 [PRX; BTR1 Guatemala 2024, tabla 3.17, p. 57; fila Fuelóleo residual; gas N2O].</t>
        </is>
      </c>
    </row>
    <row r="345" customFormat="false" ht="15" hidden="false" customHeight="false" outlineLevel="0" collapsed="false">
      <c r="A345" s="4" t="s">
        <v>6131</v>
      </c>
      <c r="B345" s="12" t="n">
        <v>2024</v>
      </c>
      <c r="C345" s="4" t="s">
        <v>73</v>
      </c>
      <c r="D345" s="4" t="s">
        <v>5685</v>
      </c>
      <c r="E345" s="4" t="s">
        <v>3380</v>
      </c>
      <c r="F345" s="4" t="s">
        <v>3381</v>
      </c>
      <c r="G345" s="4" t="s">
        <v>109</v>
      </c>
      <c r="H345" s="4" t="s">
        <v>2075</v>
      </c>
      <c r="I345" s="4" t="s">
        <v>73</v>
      </c>
      <c r="J345" s="4" t="s">
        <v>2001</v>
      </c>
      <c r="K345" s="4" t="s">
        <v>2074</v>
      </c>
      <c r="L345" s="4" t="s">
        <v>1817</v>
      </c>
      <c r="M345" s="14" t="n">
        <f aca="false">SUMIFS(PSUT_LARGA!$K$2:$K$618,PSUT_LARGA!$B$2:$B$618,$B345,PSUT_LARGA!$H$2:$H$618,$L345,PSUT_LARGA!$E$2:$E$618,$J345,PSUT_LARGA!$F$2:$F$618,$K345,PSUT_LARGA!$G$2:$G$618,$I345,PSUT_LARGA!$I$2:$I$618,$H345)</f>
        <v>332325.8414</v>
      </c>
      <c r="N345" s="14" t="n">
        <f aca="false">IF($H345="TRANSFORMACION_REFINERIA",$M345*INDEX(PARAMETROS!$C$27:$C$33,MATCH($B345,PARAMETROS!$A$27:$A$33,0)),$M345)</f>
        <v>332325.8414</v>
      </c>
      <c r="O345" s="4" t="s">
        <v>3343</v>
      </c>
      <c r="P345" s="4" t="s">
        <v>3344</v>
      </c>
      <c r="Q345" s="11" t="n">
        <f aca="false">MIN($B345,2022)</f>
        <v>2022</v>
      </c>
      <c r="R345" s="8" t="str">
        <f>IF(COUNT($S345:$U345)=0,"NO",IF($O345="CERO_DIRECTO","CAL",IF(OR($B345&gt;$Q345,COUNTIFS(DATOS_MODELO!$C$2:$C$3672,$Q345&amp;"|"&amp;$E345&amp;"|"&amp;$O345&amp;"|*",DATOS_MODELO!$F$2:$F$3672,"PRX",DATOS_MODELO!$AA$2:$AA$3672,"&lt;&gt;")&gt;0),"PRX",IF(COUNTIFS(DATOS_MODELO!$C$2:$C$3672,$Q345&amp;"|"&amp;$E345&amp;"|"&amp;$O345&amp;"|*",DATOS_MODELO!$F$2:$F$3672,"CAL",DATOS_MODELO!$AA$2:$AA$3672,"&lt;&gt;")&gt;0,"CAL","OBS"))))</f>
        <v>PRX</v>
      </c>
      <c r="S345" s="14">
        <f>IF(COUNTIFS(DATOS_MODELO!$C$2:$C$3672,$Q345&amp;"|"&amp;$E345&amp;"|"&amp;$O345&amp;"|CO2",DATOS_MODELO!$AA$2:$AA$3672,"&lt;&gt;")=0,"",INDEX(DATOS_MODELO!$AA$2:$AA$3672,MATCH($Q345&amp;"|"&amp;$E345&amp;"|"&amp;$O345&amp;"|CO2",DATOS_MODELO!$C$2:$C$3672,0)))</f>
        <v>112000.000077955</v>
      </c>
      <c r="T345" s="14">
        <f>IF(COUNTIFS(DATOS_MODELO!$C$2:$C$3672,$Q345&amp;"|"&amp;$E345&amp;"|"&amp;$O345&amp;"|CH4",DATOS_MODELO!$AA$2:$AA$3672,"&lt;&gt;")=0,"",INDEX(DATOS_MODELO!$AA$2:$AA$3672,MATCH($Q345&amp;"|"&amp;$E345&amp;"|"&amp;$O345&amp;"|CH4",DATOS_MODELO!$C$2:$C$3672,0)))</f>
        <v>300.0</v>
      </c>
      <c r="U345" s="14">
        <f>IF(COUNTIFS(DATOS_MODELO!$C$2:$C$3672,$Q345&amp;"|"&amp;$E345&amp;"|"&amp;$O345&amp;"|N2O",DATOS_MODELO!$AA$2:$AA$3672,"&lt;&gt;")=0,"",INDEX(DATOS_MODELO!$AA$2:$AA$3672,MATCH($Q345&amp;"|"&amp;$E345&amp;"|"&amp;$O345&amp;"|N2O",DATOS_MODELO!$C$2:$C$3672,0)))</f>
        <v>3.99999999350378</v>
      </c>
      <c r="V345" s="8"/>
      <c r="W345" s="14"/>
      <c r="X345" s="14">
        <f>IF($P345="BIOGENICO",0,IF(ISNUMBER($S345),$N345*$S345/PARAMETROS!$B$8,""))</f>
        <v>0.0</v>
      </c>
      <c r="Y345" s="14">
        <f>IF($P345="BIOGENICO",IF(ISNUMBER($S345),$N345*$S345/PARAMETROS!$B$8,""),0)</f>
        <v>37220.4942627063</v>
      </c>
      <c r="Z345" s="14">
        <f>IF(ISNUMBER($T345),$N345*$T345/PARAMETROS!$B$8,"")</f>
        <v>99.69775242</v>
      </c>
      <c r="AA345" s="14">
        <f>IF(ISNUMBER($U345),$N345*$U345/PARAMETROS!$B$8,"")</f>
        <v>1.32930336344114</v>
      </c>
      <c r="AB345" s="14">
        <f>IF(COUNT($X345,$Z345,$AA345)=0,"",SUM($X345,IF(ISNUMBER($Z345),$Z345*PARAMETROS!$B$9,0),IF(ISNUMBER($AA345),$AA345*PARAMETROS!$B$10,0)))</f>
        <v>3143.8024590719</v>
      </c>
      <c r="AC345" s="4" t="s">
        <v>1990</v>
      </c>
      <c r="AD345" s="4"/>
      <c r="AE345" s="4" t="s">
        <v>5690</v>
      </c>
      <c r="AF345" s="4" t="s">
        <v>170</v>
      </c>
      <c r="AG345" s="4" t="s">
        <v>3999</v>
      </c>
      <c r="AH345" s="4"/>
    </row>
    <row r="346" customFormat="false" ht="23.85" hidden="false" customHeight="false" outlineLevel="0" collapsed="false">
      <c r="A346" s="4" t="s">
        <v>6132</v>
      </c>
      <c r="B346" s="12" t="n">
        <v>2024</v>
      </c>
      <c r="C346" s="4" t="s">
        <v>73</v>
      </c>
      <c r="D346" s="4" t="s">
        <v>5685</v>
      </c>
      <c r="E346" s="4" t="s">
        <v>3380</v>
      </c>
      <c r="F346" s="4" t="s">
        <v>3381</v>
      </c>
      <c r="G346" s="4" t="s">
        <v>99</v>
      </c>
      <c r="H346" s="4" t="s">
        <v>2075</v>
      </c>
      <c r="I346" s="4" t="s">
        <v>73</v>
      </c>
      <c r="J346" s="4" t="s">
        <v>2001</v>
      </c>
      <c r="K346" s="4" t="s">
        <v>2074</v>
      </c>
      <c r="L346" s="4" t="s">
        <v>1895</v>
      </c>
      <c r="M346" s="14" t="n">
        <f aca="false">SUMIFS(PSUT_LARGA!$K$2:$K$618,PSUT_LARGA!$B$2:$B$618,$B346,PSUT_LARGA!$H$2:$H$618,$L346,PSUT_LARGA!$E$2:$E$618,$J346,PSUT_LARGA!$F$2:$F$618,$K346,PSUT_LARGA!$G$2:$G$618,$I346,PSUT_LARGA!$I$2:$I$618,$H346)</f>
        <v>16781.9526</v>
      </c>
      <c r="N346" s="14" t="n">
        <f aca="false">IF($H346="TRANSFORMACION_REFINERIA",$M346*INDEX(PARAMETROS!$C$27:$C$33,MATCH($B346,PARAMETROS!$A$27:$A$33,0)),$M346)</f>
        <v>16781.9526</v>
      </c>
      <c r="O346" s="4" t="s">
        <v>3362</v>
      </c>
      <c r="P346" s="4" t="s">
        <v>3363</v>
      </c>
      <c r="Q346" s="11" t="n">
        <f aca="false">MIN($B346,2022)</f>
        <v>2022</v>
      </c>
      <c r="R346" s="8" t="str">
        <f>IF(COUNT($S346:$U346)=0,"NO",IF($O346="CERO_DIRECTO","CAL",IF(OR($B346&gt;$Q346,COUNTIFS(DATOS_MODELO!$C$2:$C$3672,$Q346&amp;"|"&amp;$E346&amp;"|"&amp;$O346&amp;"|*",DATOS_MODELO!$F$2:$F$3672,"PRX",DATOS_MODELO!$AA$2:$AA$3672,"&lt;&gt;")&gt;0),"PRX",IF(COUNTIFS(DATOS_MODELO!$C$2:$C$3672,$Q346&amp;"|"&amp;$E346&amp;"|"&amp;$O346&amp;"|*",DATOS_MODELO!$F$2:$F$3672,"CAL",DATOS_MODELO!$AA$2:$AA$3672,"&lt;&gt;")&gt;0,"CAL","OBS"))))</f>
        <v>CAL</v>
      </c>
      <c r="S346" s="14">
        <f>IF(COUNTIFS(DATOS_MODELO!$C$2:$C$3672,$Q346&amp;"|"&amp;$E346&amp;"|"&amp;$O346&amp;"|CO2",DATOS_MODELO!$AA$2:$AA$3672,"&lt;&gt;")=0,"",INDEX(DATOS_MODELO!$AA$2:$AA$3672,MATCH($Q346&amp;"|"&amp;$E346&amp;"|"&amp;$O346&amp;"|CO2",DATOS_MODELO!$C$2:$C$3672,0)))</f>
        <v>0.0</v>
      </c>
      <c r="T346" s="14">
        <f>IF(COUNTIFS(DATOS_MODELO!$C$2:$C$3672,$Q346&amp;"|"&amp;$E346&amp;"|"&amp;$O346&amp;"|CH4",DATOS_MODELO!$AA$2:$AA$3672,"&lt;&gt;")=0,"",INDEX(DATOS_MODELO!$AA$2:$AA$3672,MATCH($Q346&amp;"|"&amp;$E346&amp;"|"&amp;$O346&amp;"|CH4",DATOS_MODELO!$C$2:$C$3672,0)))</f>
        <v>0.0</v>
      </c>
      <c r="U346" s="14">
        <f>IF(COUNTIFS(DATOS_MODELO!$C$2:$C$3672,$Q346&amp;"|"&amp;$E346&amp;"|"&amp;$O346&amp;"|N2O",DATOS_MODELO!$AA$2:$AA$3672,"&lt;&gt;")=0,"",INDEX(DATOS_MODELO!$AA$2:$AA$3672,MATCH($Q346&amp;"|"&amp;$E346&amp;"|"&amp;$O346&amp;"|N2O",DATOS_MODELO!$C$2:$C$3672,0)))</f>
        <v>0.0</v>
      </c>
      <c r="V346" s="8"/>
      <c r="W346" s="14"/>
      <c r="X346" s="14">
        <f>IF($P346="BIOGENICO",0,IF(ISNUMBER($S346),$N346*$S346/PARAMETROS!$B$8,""))</f>
        <v>0.0</v>
      </c>
      <c r="Y346" s="14">
        <f>IF($P346="BIOGENICO",IF(ISNUMBER($S346),$N346*$S346/PARAMETROS!$B$8,""),0)</f>
        <v>0.0</v>
      </c>
      <c r="Z346" s="14">
        <f>IF(ISNUMBER($T346),$N346*$T346/PARAMETROS!$B$8,"")</f>
        <v>0.0</v>
      </c>
      <c r="AA346" s="14">
        <f>IF(ISNUMBER($U346),$N346*$U346/PARAMETROS!$B$8,"")</f>
        <v>0.0</v>
      </c>
      <c r="AB346" s="14">
        <f>IF(COUNT($X346,$Z346,$AA346)=0,"",SUM($X346,IF(ISNUMBER($Z346),$Z346*PARAMETROS!$B$9,0),IF(ISNUMBER($AA346),$AA346*PARAMETROS!$B$10,0)))</f>
        <v>0.0</v>
      </c>
      <c r="AC346" s="4" t="s">
        <v>1990</v>
      </c>
      <c r="AD346" s="4"/>
      <c r="AE346" s="4" t="s">
        <v>3362</v>
      </c>
      <c r="AF346" s="4" t="s">
        <v>170</v>
      </c>
      <c r="AG346" s="4" t="inlineStr">
        <is>
          <t>METODO_EMISIONES</t>
        </is>
      </c>
      <c r="AH346" s="4"/>
    </row>
    <row r="347" customFormat="false" ht="15" hidden="false" customHeight="false" outlineLevel="0" collapsed="false">
      <c r="A347" s="4" t="s">
        <v>6133</v>
      </c>
      <c r="B347" s="12" t="n">
        <v>2024</v>
      </c>
      <c r="C347" s="4" t="s">
        <v>73</v>
      </c>
      <c r="D347" s="4" t="s">
        <v>5685</v>
      </c>
      <c r="E347" s="4" t="s">
        <v>3380</v>
      </c>
      <c r="F347" s="4" t="s">
        <v>3381</v>
      </c>
      <c r="G347" s="4" t="s">
        <v>105</v>
      </c>
      <c r="H347" s="4" t="s">
        <v>2075</v>
      </c>
      <c r="I347" s="4" t="s">
        <v>73</v>
      </c>
      <c r="J347" s="4" t="s">
        <v>2001</v>
      </c>
      <c r="K347" s="4" t="s">
        <v>2074</v>
      </c>
      <c r="L347" s="4" t="s">
        <v>1938</v>
      </c>
      <c r="M347" s="14" t="n">
        <f aca="false">SUMIFS(PSUT_LARGA!$K$2:$K$618,PSUT_LARGA!$B$2:$B$618,$B347,PSUT_LARGA!$H$2:$H$618,$L347,PSUT_LARGA!$E$2:$E$618,$J347,PSUT_LARGA!$F$2:$F$618,$K347,PSUT_LARGA!$G$2:$G$618,$I347,PSUT_LARGA!$I$2:$I$618,$H347)</f>
        <v>19839.988</v>
      </c>
      <c r="N347" s="14" t="n">
        <f aca="false">IF($H347="TRANSFORMACION_REFINERIA",$M347*INDEX(PARAMETROS!$C$27:$C$33,MATCH($B347,PARAMETROS!$A$27:$A$33,0)),$M347)</f>
        <v>19839.988</v>
      </c>
      <c r="O347" s="4" t="inlineStr">
        <is>
          <t>COMB_GLP</t>
        </is>
      </c>
      <c r="P347" s="4" t="s">
        <v>3352</v>
      </c>
      <c r="Q347" s="11" t="n">
        <f aca="false">MIN($B347,2022)</f>
        <v>2022</v>
      </c>
      <c r="R347" s="8" t="str">
        <f>IF(COUNT($S347:$U347)=0,"NO",IF($O347="CERO_DIRECTO","CAL",IF(OR($B347&gt;$Q347,COUNTIFS(DATOS_MODELO!$C$2:$C$3672,$Q347&amp;"|"&amp;$E347&amp;"|"&amp;$O347&amp;"|*",DATOS_MODELO!$F$2:$F$3672,"PRX",DATOS_MODELO!$AA$2:$AA$3672,"&lt;&gt;")&gt;0),"PRX",IF(COUNTIFS(DATOS_MODELO!$C$2:$C$3672,$Q347&amp;"|"&amp;$E347&amp;"|"&amp;$O347&amp;"|*",DATOS_MODELO!$F$2:$F$3672,"CAL",DATOS_MODELO!$AA$2:$AA$3672,"&lt;&gt;")&gt;0,"CAL","OBS"))))</f>
        <v>PRX</v>
      </c>
      <c r="S347" s="14">
        <f>IF(COUNTIFS(DATOS_MODELO!$C$2:$C$3672,$Q347&amp;"|"&amp;$E347&amp;"|"&amp;$O347&amp;"|CO2",DATOS_MODELO!$AA$2:$AA$3672,"&lt;&gt;")=0,"",INDEX(DATOS_MODELO!$AA$2:$AA$3672,MATCH($Q347&amp;"|"&amp;$E347&amp;"|"&amp;$O347&amp;"|CO2",DATOS_MODELO!$C$2:$C$3672,0)))</f>
        <v>63100.0</v>
      </c>
      <c r="T347" s="14">
        <f>IF(COUNTIFS(DATOS_MODELO!$C$2:$C$3672,$Q347&amp;"|"&amp;$E347&amp;"|"&amp;$O347&amp;"|CH4",DATOS_MODELO!$AA$2:$AA$3672,"&lt;&gt;")=0,"",INDEX(DATOS_MODELO!$AA$2:$AA$3672,MATCH($Q347&amp;"|"&amp;$E347&amp;"|"&amp;$O347&amp;"|CH4",DATOS_MODELO!$C$2:$C$3672,0)))</f>
        <v>5.0</v>
      </c>
      <c r="U347" s="14">
        <f>IF(COUNTIFS(DATOS_MODELO!$C$2:$C$3672,$Q347&amp;"|"&amp;$E347&amp;"|"&amp;$O347&amp;"|N2O",DATOS_MODELO!$AA$2:$AA$3672,"&lt;&gt;")=0,"",INDEX(DATOS_MODELO!$AA$2:$AA$3672,MATCH($Q347&amp;"|"&amp;$E347&amp;"|"&amp;$O347&amp;"|N2O",DATOS_MODELO!$C$2:$C$3672,0)))</f>
        <v>0.1</v>
      </c>
      <c r="V347" s="8"/>
      <c r="W347" s="14"/>
      <c r="X347" s="14">
        <f>IF($P347="BIOGENICO",0,IF(ISNUMBER($S347),$N347*$S347/PARAMETROS!$B$8,""))</f>
        <v>1251.9032428</v>
      </c>
      <c r="Y347" s="14">
        <f>IF($P347="BIOGENICO",IF(ISNUMBER($S347),$N347*$S347/PARAMETROS!$B$8,""),0)</f>
        <v>0.0</v>
      </c>
      <c r="Z347" s="14">
        <f>IF(ISNUMBER($T347),$N347*$T347/PARAMETROS!$B$8,"")</f>
        <v>0.09919994</v>
      </c>
      <c r="AA347" s="14">
        <f>IF(ISNUMBER($U347),$N347*$U347/PARAMETROS!$B$8,"")</f>
        <v>0.0019839988</v>
      </c>
      <c r="AB347" s="14">
        <f>IF(COUNT($X347,$Z347,$AA347)=0,"",SUM($X347,IF(ISNUMBER($Z347),$Z347*PARAMETROS!$B$9,0),IF(ISNUMBER($AA347),$AA347*PARAMETROS!$B$10,0)))</f>
        <v>1255.206600802</v>
      </c>
      <c r="AC347" s="4" t="s">
        <v>1990</v>
      </c>
      <c r="AD347" s="4"/>
      <c r="AE347" s="4" t="s">
        <v>5690</v>
      </c>
      <c r="AF347" s="4" t="s">
        <v>170</v>
      </c>
      <c r="AG347" s="4" t="inlineStr">
        <is>
          <t>MARN_GTM_BTR1_2024</t>
        </is>
      </c>
      <c r="AH347" s="4" t="inlineStr">
        <is>
          <t>Origen de factores: CO2: MARN_GTM_BTR1_2024 [PRX; BTR1 Guatemala 2024, tabla 3.6, p. 48; fila Gases licuados de petróleo; gas CO2]; CH4: MARN_GTM_BTR1_2024 [PRX; BTR1 Guatemala 2024, tabla 3.33, p. 70; fila Gases licuados de petróleo; gas CH4]; N2O: MARN_GTM_BTR1_2024 [PRX; BTR1 Guatemala 2024, tabla 3.33, p. 70; fila Gases licuados de petróleo; gas N2O].</t>
        </is>
      </c>
    </row>
    <row r="348" customFormat="false" ht="15" hidden="false" customHeight="false" outlineLevel="0" collapsed="false">
      <c r="A348" s="4" t="s">
        <v>6134</v>
      </c>
      <c r="B348" s="12" t="n">
        <v>2024</v>
      </c>
      <c r="C348" s="4" t="s">
        <v>68</v>
      </c>
      <c r="D348" s="4" t="s">
        <v>5685</v>
      </c>
      <c r="E348" s="4" t="s">
        <v>3404</v>
      </c>
      <c r="F348" s="4" t="s">
        <v>3405</v>
      </c>
      <c r="G348" s="4" t="s">
        <v>95</v>
      </c>
      <c r="H348" s="4" t="s">
        <v>2111</v>
      </c>
      <c r="I348" s="4" t="s">
        <v>68</v>
      </c>
      <c r="J348" s="4" t="s">
        <v>2001</v>
      </c>
      <c r="K348" s="4" t="s">
        <v>2002</v>
      </c>
      <c r="L348" s="4" t="s">
        <v>1867</v>
      </c>
      <c r="M348" s="14" t="n">
        <f aca="false">SUMIFS(PSUT_LARGA!$K$2:$K$618,PSUT_LARGA!$B$2:$B$618,$B348,PSUT_LARGA!$H$2:$H$618,$L348,PSUT_LARGA!$E$2:$E$618,$J348,PSUT_LARGA!$F$2:$F$618,$K348,PSUT_LARGA!$G$2:$G$618,$I348,PSUT_LARGA!$I$2:$I$618,$H348)</f>
        <v>30038.6296</v>
      </c>
      <c r="N348" s="14" t="n">
        <f aca="false">IF($H348="TRANSFORMACION_REFINERIA",$M348*INDEX(PARAMETROS!$C$27:$C$33,MATCH($B348,PARAMETROS!$A$27:$A$33,0)),$M348)</f>
        <v>30038.6296</v>
      </c>
      <c r="O348" s="4" t="inlineStr">
        <is>
          <t>COMB_COQUE</t>
        </is>
      </c>
      <c r="P348" s="4" t="s">
        <v>3352</v>
      </c>
      <c r="Q348" s="11" t="n">
        <f aca="false">MIN($B348,2022)</f>
        <v>2022</v>
      </c>
      <c r="R348" s="8" t="str">
        <f>IF(COUNT($S348:$U348)=0,"NO",IF($O348="CERO_DIRECTO","CAL",IF(OR($B348&gt;$Q348,COUNTIFS(DATOS_MODELO!$C$2:$C$3672,$Q348&amp;"|"&amp;$E348&amp;"|"&amp;$O348&amp;"|*",DATOS_MODELO!$F$2:$F$3672,"PRX",DATOS_MODELO!$AA$2:$AA$3672,"&lt;&gt;")&gt;0),"PRX",IF(COUNTIFS(DATOS_MODELO!$C$2:$C$3672,$Q348&amp;"|"&amp;$E348&amp;"|"&amp;$O348&amp;"|*",DATOS_MODELO!$F$2:$F$3672,"CAL",DATOS_MODELO!$AA$2:$AA$3672,"&lt;&gt;")&gt;0,"CAL","OBS"))))</f>
        <v>PRX</v>
      </c>
      <c r="S348" s="14">
        <f>IF(COUNTIFS(DATOS_MODELO!$C$2:$C$3672,$Q348&amp;"|"&amp;$E348&amp;"|"&amp;$O348&amp;"|CO2",DATOS_MODELO!$AA$2:$AA$3672,"&lt;&gt;")=0,"",INDEX(DATOS_MODELO!$AA$2:$AA$3672,MATCH($Q348&amp;"|"&amp;$E348&amp;"|"&amp;$O348&amp;"|CO2",DATOS_MODELO!$C$2:$C$3672,0)))</f>
        <v>97500.0</v>
      </c>
      <c r="T348" s="14">
        <f>IF(COUNTIFS(DATOS_MODELO!$C$2:$C$3672,$Q348&amp;"|"&amp;$E348&amp;"|"&amp;$O348&amp;"|CH4",DATOS_MODELO!$AA$2:$AA$3672,"&lt;&gt;")=0,"",INDEX(DATOS_MODELO!$AA$2:$AA$3672,MATCH($Q348&amp;"|"&amp;$E348&amp;"|"&amp;$O348&amp;"|CH4",DATOS_MODELO!$C$2:$C$3672,0)))</f>
        <v>3.0</v>
      </c>
      <c r="U348" s="14">
        <f>IF(COUNTIFS(DATOS_MODELO!$C$2:$C$3672,$Q348&amp;"|"&amp;$E348&amp;"|"&amp;$O348&amp;"|N2O",DATOS_MODELO!$AA$2:$AA$3672,"&lt;&gt;")=0,"",INDEX(DATOS_MODELO!$AA$2:$AA$3672,MATCH($Q348&amp;"|"&amp;$E348&amp;"|"&amp;$O348&amp;"|N2O",DATOS_MODELO!$C$2:$C$3672,0)))</f>
        <v>0.6</v>
      </c>
      <c r="V348" s="8"/>
      <c r="W348" s="14"/>
      <c r="X348" s="14">
        <f>IF($P348="BIOGENICO",0,IF(ISNUMBER($S348),$N348*$S348/PARAMETROS!$B$8,""))</f>
        <v>2928.766386</v>
      </c>
      <c r="Y348" s="14">
        <f>IF($P348="BIOGENICO",IF(ISNUMBER($S348),$N348*$S348/PARAMETROS!$B$8,""),0)</f>
        <v>0.0</v>
      </c>
      <c r="Z348" s="14">
        <f>IF(ISNUMBER($T348),$N348*$T348/PARAMETROS!$B$8,"")</f>
        <v>0.0901158888</v>
      </c>
      <c r="AA348" s="14">
        <f>IF(ISNUMBER($U348),$N348*$U348/PARAMETROS!$B$8,"")</f>
        <v>0.01802317776</v>
      </c>
      <c r="AB348" s="14">
        <f>IF(COUNT($X348,$Z348,$AA348)=0,"",SUM($X348,IF(ISNUMBER($Z348),$Z348*PARAMETROS!$B$9,0),IF(ISNUMBER($AA348),$AA348*PARAMETROS!$B$10,0)))</f>
        <v>2936.0657729928</v>
      </c>
      <c r="AC348" s="4" t="s">
        <v>1990</v>
      </c>
      <c r="AD348" s="4"/>
      <c r="AE348" s="4" t="s">
        <v>5690</v>
      </c>
      <c r="AF348" s="4" t="s">
        <v>170</v>
      </c>
      <c r="AG348" s="4" t="inlineStr">
        <is>
          <t>MARN_GTM_BTR1_2024</t>
        </is>
      </c>
      <c r="AH348" s="4" t="inlineStr">
        <is>
          <t>Origen de factores: CO2: MARN_GTM_BTR1_2024 [PRX; BTR1 Guatemala 2024, tabla 3.6, p. 48; fila Coque de petróleo; gas CO2]; CH4: MARN_GTM_BTR1_2024 [PRX; BTR1 Guatemala 2024, tabla 3.22, p. 62; fila Coque de petróleo; gas CH4]; N2O: MARN_GTM_BTR1_2024 [PRX; BTR1 Guatemala 2024, tabla 3.22, p. 62; fila Coque de petróleo; gas N2O].</t>
        </is>
      </c>
    </row>
    <row r="349" customFormat="false" ht="15" hidden="false" customHeight="false" outlineLevel="0" collapsed="false">
      <c r="A349" s="4" t="s">
        <v>6135</v>
      </c>
      <c r="B349" s="12" t="n">
        <v>2024</v>
      </c>
      <c r="C349" s="4" t="s">
        <v>68</v>
      </c>
      <c r="D349" s="4" t="s">
        <v>5685</v>
      </c>
      <c r="E349" s="4" t="s">
        <v>3404</v>
      </c>
      <c r="F349" s="4" t="s">
        <v>3405</v>
      </c>
      <c r="G349" s="4" t="s">
        <v>97</v>
      </c>
      <c r="H349" s="4" t="s">
        <v>2111</v>
      </c>
      <c r="I349" s="4" t="s">
        <v>68</v>
      </c>
      <c r="J349" s="4" t="s">
        <v>2001</v>
      </c>
      <c r="K349" s="4" t="s">
        <v>2002</v>
      </c>
      <c r="L349" s="4" t="s">
        <v>1882</v>
      </c>
      <c r="M349" s="14" t="n">
        <f aca="false">SUMIFS(PSUT_LARGA!$K$2:$K$618,PSUT_LARGA!$B$2:$B$618,$B349,PSUT_LARGA!$H$2:$H$618,$L349,PSUT_LARGA!$E$2:$E$618,$J349,PSUT_LARGA!$F$2:$F$618,$K349,PSUT_LARGA!$G$2:$G$618,$I349,PSUT_LARGA!$I$2:$I$618,$H349)</f>
        <v>7345.4668</v>
      </c>
      <c r="N349" s="14" t="n">
        <f aca="false">IF($H349="TRANSFORMACION_REFINERIA",$M349*INDEX(PARAMETROS!$C$27:$C$33,MATCH($B349,PARAMETROS!$A$27:$A$33,0)),$M349)</f>
        <v>7345.4668</v>
      </c>
      <c r="O349" s="4" t="inlineStr">
        <is>
          <t>COMB_DOIL</t>
        </is>
      </c>
      <c r="P349" s="4" t="s">
        <v>3352</v>
      </c>
      <c r="Q349" s="11" t="n">
        <f aca="false">MIN($B349,2022)</f>
        <v>2022</v>
      </c>
      <c r="R349" s="8" t="str">
        <f>IF(COUNT($S349:$U349)=0,"NO",IF($O349="CERO_DIRECTO","CAL",IF(OR($B349&gt;$Q349,COUNTIFS(DATOS_MODELO!$C$2:$C$3672,$Q349&amp;"|"&amp;$E349&amp;"|"&amp;$O349&amp;"|*",DATOS_MODELO!$F$2:$F$3672,"PRX",DATOS_MODELO!$AA$2:$AA$3672,"&lt;&gt;")&gt;0),"PRX",IF(COUNTIFS(DATOS_MODELO!$C$2:$C$3672,$Q349&amp;"|"&amp;$E349&amp;"|"&amp;$O349&amp;"|*",DATOS_MODELO!$F$2:$F$3672,"CAL",DATOS_MODELO!$AA$2:$AA$3672,"&lt;&gt;")&gt;0,"CAL","OBS"))))</f>
        <v>PRX</v>
      </c>
      <c r="S349" s="14">
        <f>IF(COUNTIFS(DATOS_MODELO!$C$2:$C$3672,$Q349&amp;"|"&amp;$E349&amp;"|"&amp;$O349&amp;"|CO2",DATOS_MODELO!$AA$2:$AA$3672,"&lt;&gt;")=0,"",INDEX(DATOS_MODELO!$AA$2:$AA$3672,MATCH($Q349&amp;"|"&amp;$E349&amp;"|"&amp;$O349&amp;"|CO2",DATOS_MODELO!$C$2:$C$3672,0)))</f>
        <v>74100.0</v>
      </c>
      <c r="T349" s="14">
        <f>IF(COUNTIFS(DATOS_MODELO!$C$2:$C$3672,$Q349&amp;"|"&amp;$E349&amp;"|"&amp;$O349&amp;"|CH4",DATOS_MODELO!$AA$2:$AA$3672,"&lt;&gt;")=0,"",INDEX(DATOS_MODELO!$AA$2:$AA$3672,MATCH($Q349&amp;"|"&amp;$E349&amp;"|"&amp;$O349&amp;"|CH4",DATOS_MODELO!$C$2:$C$3672,0)))</f>
        <v>3.0</v>
      </c>
      <c r="U349" s="14">
        <f>IF(COUNTIFS(DATOS_MODELO!$C$2:$C$3672,$Q349&amp;"|"&amp;$E349&amp;"|"&amp;$O349&amp;"|N2O",DATOS_MODELO!$AA$2:$AA$3672,"&lt;&gt;")=0,"",INDEX(DATOS_MODELO!$AA$2:$AA$3672,MATCH($Q349&amp;"|"&amp;$E349&amp;"|"&amp;$O349&amp;"|N2O",DATOS_MODELO!$C$2:$C$3672,0)))</f>
        <v>0.6</v>
      </c>
      <c r="V349" s="8"/>
      <c r="W349" s="14"/>
      <c r="X349" s="14">
        <f>IF($P349="BIOGENICO",0,IF(ISNUMBER($S349),$N349*$S349/PARAMETROS!$B$8,""))</f>
        <v>544.29908988</v>
      </c>
      <c r="Y349" s="14">
        <f>IF($P349="BIOGENICO",IF(ISNUMBER($S349),$N349*$S349/PARAMETROS!$B$8,""),0)</f>
        <v>0.0</v>
      </c>
      <c r="Z349" s="14">
        <f>IF(ISNUMBER($T349),$N349*$T349/PARAMETROS!$B$8,"")</f>
        <v>0.0220364004</v>
      </c>
      <c r="AA349" s="14">
        <f>IF(ISNUMBER($U349),$N349*$U349/PARAMETROS!$B$8,"")</f>
        <v>0.00440728008</v>
      </c>
      <c r="AB349" s="14">
        <f>IF(COUNT($X349,$Z349,$AA349)=0,"",SUM($X349,IF(ISNUMBER($Z349),$Z349*PARAMETROS!$B$9,0),IF(ISNUMBER($AA349),$AA349*PARAMETROS!$B$10,0)))</f>
        <v>546.0840383124</v>
      </c>
      <c r="AC349" s="4" t="s">
        <v>1990</v>
      </c>
      <c r="AD349" s="4"/>
      <c r="AE349" s="4" t="s">
        <v>5690</v>
      </c>
      <c r="AF349" s="4" t="s">
        <v>170</v>
      </c>
      <c r="AG349" s="4" t="inlineStr">
        <is>
          <t>MARN_GTM_BTR1_2024</t>
        </is>
      </c>
      <c r="AH349" s="4" t="inlineStr">
        <is>
          <t>Origen de factores: CO2: MARN_GTM_BTR1_2024 [PRX; BTR1 Guatemala 2024, tabla 3.6, p. 48; fila Gas/Diésel oíl; gas CO2]; CH4: MARN_GTM_BTR1_2024 [PRX; BTR1 Guatemala 2024, tabla 3.22, p. 62; fila Diésel; gas CH4]; N2O: MARN_GTM_BTR1_2024 [PRX; BTR1 Guatemala 2024, tabla 3.22, p. 62; fila Diésel; gas N2O].</t>
        </is>
      </c>
    </row>
    <row r="350" customFormat="false" ht="23.85" hidden="false" customHeight="false" outlineLevel="0" collapsed="false">
      <c r="A350" s="4" t="s">
        <v>6136</v>
      </c>
      <c r="B350" s="12" t="n">
        <v>2024</v>
      </c>
      <c r="C350" s="4" t="s">
        <v>68</v>
      </c>
      <c r="D350" s="4" t="s">
        <v>5685</v>
      </c>
      <c r="E350" s="4" t="s">
        <v>3404</v>
      </c>
      <c r="F350" s="4" t="s">
        <v>3405</v>
      </c>
      <c r="G350" s="4" t="s">
        <v>99</v>
      </c>
      <c r="H350" s="4" t="s">
        <v>2111</v>
      </c>
      <c r="I350" s="4" t="s">
        <v>68</v>
      </c>
      <c r="J350" s="4" t="s">
        <v>2001</v>
      </c>
      <c r="K350" s="4" t="s">
        <v>2002</v>
      </c>
      <c r="L350" s="4" t="s">
        <v>1897</v>
      </c>
      <c r="M350" s="14" t="n">
        <f aca="false">SUMIFS(PSUT_LARGA!$K$2:$K$618,PSUT_LARGA!$B$2:$B$618,$B350,PSUT_LARGA!$H$2:$H$618,$L350,PSUT_LARGA!$E$2:$E$618,$J350,PSUT_LARGA!$F$2:$F$618,$K350,PSUT_LARGA!$G$2:$G$618,$I350,PSUT_LARGA!$I$2:$I$618,$H350)</f>
        <v>17403.2159</v>
      </c>
      <c r="N350" s="14" t="n">
        <f aca="false">IF($H350="TRANSFORMACION_REFINERIA",$M350*INDEX(PARAMETROS!$C$27:$C$33,MATCH($B350,PARAMETROS!$A$27:$A$33,0)),$M350)</f>
        <v>17403.2159</v>
      </c>
      <c r="O350" s="4" t="s">
        <v>3362</v>
      </c>
      <c r="P350" s="4" t="s">
        <v>3363</v>
      </c>
      <c r="Q350" s="11" t="n">
        <f aca="false">MIN($B350,2022)</f>
        <v>2022</v>
      </c>
      <c r="R350" s="8" t="str">
        <f>IF(COUNT($S350:$U350)=0,"NO",IF($O350="CERO_DIRECTO","CAL",IF(OR($B350&gt;$Q350,COUNTIFS(DATOS_MODELO!$C$2:$C$3672,$Q350&amp;"|"&amp;$E350&amp;"|"&amp;$O350&amp;"|*",DATOS_MODELO!$F$2:$F$3672,"PRX",DATOS_MODELO!$AA$2:$AA$3672,"&lt;&gt;")&gt;0),"PRX",IF(COUNTIFS(DATOS_MODELO!$C$2:$C$3672,$Q350&amp;"|"&amp;$E350&amp;"|"&amp;$O350&amp;"|*",DATOS_MODELO!$F$2:$F$3672,"CAL",DATOS_MODELO!$AA$2:$AA$3672,"&lt;&gt;")&gt;0,"CAL","OBS"))))</f>
        <v>CAL</v>
      </c>
      <c r="S350" s="14">
        <f>IF(COUNTIFS(DATOS_MODELO!$C$2:$C$3672,$Q350&amp;"|"&amp;$E350&amp;"|"&amp;$O350&amp;"|CO2",DATOS_MODELO!$AA$2:$AA$3672,"&lt;&gt;")=0,"",INDEX(DATOS_MODELO!$AA$2:$AA$3672,MATCH($Q350&amp;"|"&amp;$E350&amp;"|"&amp;$O350&amp;"|CO2",DATOS_MODELO!$C$2:$C$3672,0)))</f>
        <v>0.0</v>
      </c>
      <c r="T350" s="14">
        <f>IF(COUNTIFS(DATOS_MODELO!$C$2:$C$3672,$Q350&amp;"|"&amp;$E350&amp;"|"&amp;$O350&amp;"|CH4",DATOS_MODELO!$AA$2:$AA$3672,"&lt;&gt;")=0,"",INDEX(DATOS_MODELO!$AA$2:$AA$3672,MATCH($Q350&amp;"|"&amp;$E350&amp;"|"&amp;$O350&amp;"|CH4",DATOS_MODELO!$C$2:$C$3672,0)))</f>
        <v>0.0</v>
      </c>
      <c r="U350" s="14">
        <f>IF(COUNTIFS(DATOS_MODELO!$C$2:$C$3672,$Q350&amp;"|"&amp;$E350&amp;"|"&amp;$O350&amp;"|N2O",DATOS_MODELO!$AA$2:$AA$3672,"&lt;&gt;")=0,"",INDEX(DATOS_MODELO!$AA$2:$AA$3672,MATCH($Q350&amp;"|"&amp;$E350&amp;"|"&amp;$O350&amp;"|N2O",DATOS_MODELO!$C$2:$C$3672,0)))</f>
        <v>0.0</v>
      </c>
      <c r="V350" s="8"/>
      <c r="W350" s="14"/>
      <c r="X350" s="14">
        <f>IF($P350="BIOGENICO",0,IF(ISNUMBER($S350),$N350*$S350/PARAMETROS!$B$8,""))</f>
        <v>0.0</v>
      </c>
      <c r="Y350" s="14">
        <f>IF($P350="BIOGENICO",IF(ISNUMBER($S350),$N350*$S350/PARAMETROS!$B$8,""),0)</f>
        <v>0.0</v>
      </c>
      <c r="Z350" s="14">
        <f>IF(ISNUMBER($T350),$N350*$T350/PARAMETROS!$B$8,"")</f>
        <v>0.0</v>
      </c>
      <c r="AA350" s="14">
        <f>IF(ISNUMBER($U350),$N350*$U350/PARAMETROS!$B$8,"")</f>
        <v>0.0</v>
      </c>
      <c r="AB350" s="14">
        <f>IF(COUNT($X350,$Z350,$AA350)=0,"",SUM($X350,IF(ISNUMBER($Z350),$Z350*PARAMETROS!$B$9,0),IF(ISNUMBER($AA350),$AA350*PARAMETROS!$B$10,0)))</f>
        <v>0.0</v>
      </c>
      <c r="AC350" s="4" t="s">
        <v>1990</v>
      </c>
      <c r="AD350" s="4"/>
      <c r="AE350" s="4" t="s">
        <v>3362</v>
      </c>
      <c r="AF350" s="4" t="s">
        <v>170</v>
      </c>
      <c r="AG350" s="4" t="inlineStr">
        <is>
          <t>METODO_EMISIONES</t>
        </is>
      </c>
      <c r="AH350" s="4"/>
    </row>
    <row r="351" customFormat="false" ht="15" hidden="false" customHeight="false" outlineLevel="0" collapsed="false">
      <c r="A351" s="4" t="s">
        <v>6137</v>
      </c>
      <c r="B351" s="12" t="n">
        <v>2024</v>
      </c>
      <c r="C351" s="4" t="s">
        <v>68</v>
      </c>
      <c r="D351" s="4" t="s">
        <v>5685</v>
      </c>
      <c r="E351" s="4" t="s">
        <v>3404</v>
      </c>
      <c r="F351" s="4" t="s">
        <v>3405</v>
      </c>
      <c r="G351" s="4" t="s">
        <v>101</v>
      </c>
      <c r="H351" s="4" t="s">
        <v>2111</v>
      </c>
      <c r="I351" s="4" t="s">
        <v>68</v>
      </c>
      <c r="J351" s="4" t="s">
        <v>2001</v>
      </c>
      <c r="K351" s="4" t="s">
        <v>2002</v>
      </c>
      <c r="L351" s="4" t="s">
        <v>1912</v>
      </c>
      <c r="M351" s="14" t="n">
        <f aca="false">SUMIFS(PSUT_LARGA!$K$2:$K$618,PSUT_LARGA!$B$2:$B$618,$B351,PSUT_LARGA!$H$2:$H$618,$L351,PSUT_LARGA!$E$2:$E$618,$J351,PSUT_LARGA!$F$2:$F$618,$K351,PSUT_LARGA!$G$2:$G$618,$I351,PSUT_LARGA!$I$2:$I$618,$H351)</f>
        <v>7259.2464</v>
      </c>
      <c r="N351" s="14" t="n">
        <f aca="false">IF($H351="TRANSFORMACION_REFINERIA",$M351*INDEX(PARAMETROS!$C$27:$C$33,MATCH($B351,PARAMETROS!$A$27:$A$33,0)),$M351)</f>
        <v>7259.2464</v>
      </c>
      <c r="O351" s="4" t="inlineStr">
        <is>
          <t>COMB_FOIL</t>
        </is>
      </c>
      <c r="P351" s="4" t="s">
        <v>3352</v>
      </c>
      <c r="Q351" s="11" t="n">
        <f aca="false">MIN($B351,2022)</f>
        <v>2022</v>
      </c>
      <c r="R351" s="8" t="str">
        <f>IF(COUNT($S351:$U351)=0,"NO",IF($O351="CERO_DIRECTO","CAL",IF(OR($B351&gt;$Q351,COUNTIFS(DATOS_MODELO!$C$2:$C$3672,$Q351&amp;"|"&amp;$E351&amp;"|"&amp;$O351&amp;"|*",DATOS_MODELO!$F$2:$F$3672,"PRX",DATOS_MODELO!$AA$2:$AA$3672,"&lt;&gt;")&gt;0),"PRX",IF(COUNTIFS(DATOS_MODELO!$C$2:$C$3672,$Q351&amp;"|"&amp;$E351&amp;"|"&amp;$O351&amp;"|*",DATOS_MODELO!$F$2:$F$3672,"CAL",DATOS_MODELO!$AA$2:$AA$3672,"&lt;&gt;")&gt;0,"CAL","OBS"))))</f>
        <v>PRX</v>
      </c>
      <c r="S351" s="14">
        <f>IF(COUNTIFS(DATOS_MODELO!$C$2:$C$3672,$Q351&amp;"|"&amp;$E351&amp;"|"&amp;$O351&amp;"|CO2",DATOS_MODELO!$AA$2:$AA$3672,"&lt;&gt;")=0,"",INDEX(DATOS_MODELO!$AA$2:$AA$3672,MATCH($Q351&amp;"|"&amp;$E351&amp;"|"&amp;$O351&amp;"|CO2",DATOS_MODELO!$C$2:$C$3672,0)))</f>
        <v>77400.0</v>
      </c>
      <c r="T351" s="14">
        <f>IF(COUNTIFS(DATOS_MODELO!$C$2:$C$3672,$Q351&amp;"|"&amp;$E351&amp;"|"&amp;$O351&amp;"|CH4",DATOS_MODELO!$AA$2:$AA$3672,"&lt;&gt;")=0,"",INDEX(DATOS_MODELO!$AA$2:$AA$3672,MATCH($Q351&amp;"|"&amp;$E351&amp;"|"&amp;$O351&amp;"|CH4",DATOS_MODELO!$C$2:$C$3672,0)))</f>
        <v>3.0</v>
      </c>
      <c r="U351" s="14">
        <f>IF(COUNTIFS(DATOS_MODELO!$C$2:$C$3672,$Q351&amp;"|"&amp;$E351&amp;"|"&amp;$O351&amp;"|N2O",DATOS_MODELO!$AA$2:$AA$3672,"&lt;&gt;")=0,"",INDEX(DATOS_MODELO!$AA$2:$AA$3672,MATCH($Q351&amp;"|"&amp;$E351&amp;"|"&amp;$O351&amp;"|N2O",DATOS_MODELO!$C$2:$C$3672,0)))</f>
        <v>0.6</v>
      </c>
      <c r="V351" s="8"/>
      <c r="W351" s="14"/>
      <c r="X351" s="14">
        <f>IF($P351="BIOGENICO",0,IF(ISNUMBER($S351),$N351*$S351/PARAMETROS!$B$8,""))</f>
        <v>561.86567136</v>
      </c>
      <c r="Y351" s="14">
        <f>IF($P351="BIOGENICO",IF(ISNUMBER($S351),$N351*$S351/PARAMETROS!$B$8,""),0)</f>
        <v>0.0</v>
      </c>
      <c r="Z351" s="14">
        <f>IF(ISNUMBER($T351),$N351*$T351/PARAMETROS!$B$8,"")</f>
        <v>0.0217777392</v>
      </c>
      <c r="AA351" s="14">
        <f>IF(ISNUMBER($U351),$N351*$U351/PARAMETROS!$B$8,"")</f>
        <v>0.00435554784</v>
      </c>
      <c r="AB351" s="14">
        <f>IF(COUNT($X351,$Z351,$AA351)=0,"",SUM($X351,IF(ISNUMBER($Z351),$Z351*PARAMETROS!$B$9,0),IF(ISNUMBER($AA351),$AA351*PARAMETROS!$B$10,0)))</f>
        <v>563.6296682352</v>
      </c>
      <c r="AC351" s="4" t="s">
        <v>1990</v>
      </c>
      <c r="AD351" s="4"/>
      <c r="AE351" s="4" t="s">
        <v>5690</v>
      </c>
      <c r="AF351" s="4" t="s">
        <v>170</v>
      </c>
      <c r="AG351" s="4" t="inlineStr">
        <is>
          <t>MARN_GTM_BTR1_2024</t>
        </is>
      </c>
      <c r="AH351" s="4" t="inlineStr">
        <is>
          <t>Origen de factores: CO2: MARN_GTM_BTR1_2024 [PRX; BTR1 Guatemala 2024, tabla 3.6, p. 48; fila Fuelóleo residual; gas CO2]; CH4: MARN_GTM_BTR1_2024 [PRX; BTR1 Guatemala 2024, tabla 3.22, p. 62; fila Fuelóleo residual; gas CH4]; N2O: MARN_GTM_BTR1_2024 [PRX; BTR1 Guatemala 2024, tabla 3.22, p. 62; fila Fuelóleo residual; gas N2O].</t>
        </is>
      </c>
    </row>
    <row r="352" customFormat="false" ht="15" hidden="false" customHeight="false" outlineLevel="0" collapsed="false">
      <c r="A352" s="4" t="s">
        <v>6138</v>
      </c>
      <c r="B352" s="12" t="n">
        <v>2024</v>
      </c>
      <c r="C352" s="4" t="s">
        <v>68</v>
      </c>
      <c r="D352" s="4" t="s">
        <v>5685</v>
      </c>
      <c r="E352" s="4" t="s">
        <v>3404</v>
      </c>
      <c r="F352" s="4" t="s">
        <v>3405</v>
      </c>
      <c r="G352" s="4" t="s">
        <v>103</v>
      </c>
      <c r="H352" s="4" t="s">
        <v>2111</v>
      </c>
      <c r="I352" s="4" t="s">
        <v>68</v>
      </c>
      <c r="J352" s="4" t="s">
        <v>2001</v>
      </c>
      <c r="K352" s="4" t="s">
        <v>2002</v>
      </c>
      <c r="L352" s="4" t="s">
        <v>1926</v>
      </c>
      <c r="M352" s="14" t="n">
        <f aca="false">SUMIFS(PSUT_LARGA!$K$2:$K$618,PSUT_LARGA!$B$2:$B$618,$B352,PSUT_LARGA!$H$2:$H$618,$L352,PSUT_LARGA!$E$2:$E$618,$J352,PSUT_LARGA!$F$2:$F$618,$K352,PSUT_LARGA!$G$2:$G$618,$I352,PSUT_LARGA!$I$2:$I$618,$H352)</f>
        <v>1921.7156</v>
      </c>
      <c r="N352" s="14" t="n">
        <f aca="false">IF($H352="TRANSFORMACION_REFINERIA",$M352*INDEX(PARAMETROS!$C$27:$C$33,MATCH($B352,PARAMETROS!$A$27:$A$33,0)),$M352)</f>
        <v>1921.7156</v>
      </c>
      <c r="O352" s="4" t="inlineStr">
        <is>
          <t>COMB_GAS</t>
        </is>
      </c>
      <c r="P352" s="4" t="s">
        <v>3352</v>
      </c>
      <c r="Q352" s="11" t="n">
        <f aca="false">MIN($B352,2022)</f>
        <v>2022</v>
      </c>
      <c r="R352" s="8" t="str">
        <f>IF(COUNT($S352:$U352)=0,"NO",IF($O352="CERO_DIRECTO","CAL",IF(OR($B352&gt;$Q352,COUNTIFS(DATOS_MODELO!$C$2:$C$3672,$Q352&amp;"|"&amp;$E352&amp;"|"&amp;$O352&amp;"|*",DATOS_MODELO!$F$2:$F$3672,"PRX",DATOS_MODELO!$AA$2:$AA$3672,"&lt;&gt;")&gt;0),"PRX",IF(COUNTIFS(DATOS_MODELO!$C$2:$C$3672,$Q352&amp;"|"&amp;$E352&amp;"|"&amp;$O352&amp;"|*",DATOS_MODELO!$F$2:$F$3672,"CAL",DATOS_MODELO!$AA$2:$AA$3672,"&lt;&gt;")&gt;0,"CAL","OBS"))))</f>
        <v>PRX</v>
      </c>
      <c r="S352" s="14">
        <f>IF(COUNTIFS(DATOS_MODELO!$C$2:$C$3672,$Q352&amp;"|"&amp;$E352&amp;"|"&amp;$O352&amp;"|CO2",DATOS_MODELO!$AA$2:$AA$3672,"&lt;&gt;")=0,"",INDEX(DATOS_MODELO!$AA$2:$AA$3672,MATCH($Q352&amp;"|"&amp;$E352&amp;"|"&amp;$O352&amp;"|CO2",DATOS_MODELO!$C$2:$C$3672,0)))</f>
        <v>69300.0</v>
      </c>
      <c r="T352" s="14">
        <f>IF(COUNTIFS(DATOS_MODELO!$C$2:$C$3672,$Q352&amp;"|"&amp;$E352&amp;"|"&amp;$O352&amp;"|CH4",DATOS_MODELO!$AA$2:$AA$3672,"&lt;&gt;")=0,"",INDEX(DATOS_MODELO!$AA$2:$AA$3672,MATCH($Q352&amp;"|"&amp;$E352&amp;"|"&amp;$O352&amp;"|CH4",DATOS_MODELO!$C$2:$C$3672,0)))</f>
        <v>3.0</v>
      </c>
      <c r="U352" s="14">
        <f>IF(COUNTIFS(DATOS_MODELO!$C$2:$C$3672,$Q352&amp;"|"&amp;$E352&amp;"|"&amp;$O352&amp;"|N2O",DATOS_MODELO!$AA$2:$AA$3672,"&lt;&gt;")=0,"",INDEX(DATOS_MODELO!$AA$2:$AA$3672,MATCH($Q352&amp;"|"&amp;$E352&amp;"|"&amp;$O352&amp;"|N2O",DATOS_MODELO!$C$2:$C$3672,0)))</f>
        <v>0.6</v>
      </c>
      <c r="V352" s="8"/>
      <c r="W352" s="14"/>
      <c r="X352" s="14">
        <f>IF($P352="BIOGENICO",0,IF(ISNUMBER($S352),$N352*$S352/PARAMETROS!$B$8,""))</f>
        <v>133.17489108</v>
      </c>
      <c r="Y352" s="14">
        <f>IF($P352="BIOGENICO",IF(ISNUMBER($S352),$N352*$S352/PARAMETROS!$B$8,""),0)</f>
        <v>0.0</v>
      </c>
      <c r="Z352" s="14">
        <f>IF(ISNUMBER($T352),$N352*$T352/PARAMETROS!$B$8,"")</f>
        <v>0.0057651468</v>
      </c>
      <c r="AA352" s="14">
        <f>IF(ISNUMBER($U352),$N352*$U352/PARAMETROS!$B$8,"")</f>
        <v>0.00115302936</v>
      </c>
      <c r="AB352" s="14">
        <f>IF(COUNT($X352,$Z352,$AA352)=0,"",SUM($X352,IF(ISNUMBER($Z352),$Z352*PARAMETROS!$B$9,0),IF(ISNUMBER($AA352),$AA352*PARAMETROS!$B$10,0)))</f>
        <v>133.6418679708</v>
      </c>
      <c r="AC352" s="4" t="s">
        <v>1990</v>
      </c>
      <c r="AD352" s="4"/>
      <c r="AE352" s="4" t="s">
        <v>5690</v>
      </c>
      <c r="AF352" s="4" t="s">
        <v>170</v>
      </c>
      <c r="AG352" s="4" t="inlineStr">
        <is>
          <t>MARN_GTM_BTR1_2024</t>
        </is>
      </c>
      <c r="AH352" s="4" t="inlineStr">
        <is>
          <t>Origen de factores: CO2: MARN_GTM_BTR1_2024 [PRX; BTR1 Guatemala 2024, tabla 3.6, p. 48; fila Gasolina para motores; gas CO2]; CH4: MARN_GTM_BTR1_2024 [PRX; BTR1 Guatemala 2024, tabla 3.22, p. 62; fila Gasolina para motores; gas CH4]; N2O: MARN_GTM_BTR1_2024 [PRX; BTR1 Guatemala 2024, tabla 3.22, p. 62; fila Gasolina para motores; gas N2O].</t>
        </is>
      </c>
    </row>
    <row r="353" customFormat="false" ht="15" hidden="false" customHeight="false" outlineLevel="0" collapsed="false">
      <c r="A353" s="4" t="s">
        <v>6139</v>
      </c>
      <c r="B353" s="12" t="n">
        <v>2024</v>
      </c>
      <c r="C353" s="4" t="s">
        <v>68</v>
      </c>
      <c r="D353" s="4" t="s">
        <v>5685</v>
      </c>
      <c r="E353" s="4" t="s">
        <v>3404</v>
      </c>
      <c r="F353" s="4" t="s">
        <v>3405</v>
      </c>
      <c r="G353" s="4" t="s">
        <v>105</v>
      </c>
      <c r="H353" s="4" t="s">
        <v>2111</v>
      </c>
      <c r="I353" s="4" t="s">
        <v>68</v>
      </c>
      <c r="J353" s="4" t="s">
        <v>2001</v>
      </c>
      <c r="K353" s="4" t="s">
        <v>2002</v>
      </c>
      <c r="L353" s="4" t="s">
        <v>1940</v>
      </c>
      <c r="M353" s="14" t="n">
        <f aca="false">SUMIFS(PSUT_LARGA!$K$2:$K$618,PSUT_LARGA!$B$2:$B$618,$B353,PSUT_LARGA!$H$2:$H$618,$L353,PSUT_LARGA!$E$2:$E$618,$J353,PSUT_LARGA!$F$2:$F$618,$K353,PSUT_LARGA!$G$2:$G$618,$I353,PSUT_LARGA!$I$2:$I$618,$H353)</f>
        <v>5153.2376</v>
      </c>
      <c r="N353" s="14" t="n">
        <f aca="false">IF($H353="TRANSFORMACION_REFINERIA",$M353*INDEX(PARAMETROS!$C$27:$C$33,MATCH($B353,PARAMETROS!$A$27:$A$33,0)),$M353)</f>
        <v>5153.2376</v>
      </c>
      <c r="O353" s="4" t="inlineStr">
        <is>
          <t>COMB_GLP</t>
        </is>
      </c>
      <c r="P353" s="4" t="s">
        <v>3352</v>
      </c>
      <c r="Q353" s="11" t="n">
        <f aca="false">MIN($B353,2022)</f>
        <v>2022</v>
      </c>
      <c r="R353" s="8" t="str">
        <f>IF(COUNT($S353:$U353)=0,"NO",IF($O353="CERO_DIRECTO","CAL",IF(OR($B353&gt;$Q353,COUNTIFS(DATOS_MODELO!$C$2:$C$3672,$Q353&amp;"|"&amp;$E353&amp;"|"&amp;$O353&amp;"|*",DATOS_MODELO!$F$2:$F$3672,"PRX",DATOS_MODELO!$AA$2:$AA$3672,"&lt;&gt;")&gt;0),"PRX",IF(COUNTIFS(DATOS_MODELO!$C$2:$C$3672,$Q353&amp;"|"&amp;$E353&amp;"|"&amp;$O353&amp;"|*",DATOS_MODELO!$F$2:$F$3672,"CAL",DATOS_MODELO!$AA$2:$AA$3672,"&lt;&gt;")&gt;0,"CAL","OBS"))))</f>
        <v>PRX</v>
      </c>
      <c r="S353" s="14">
        <f>IF(COUNTIFS(DATOS_MODELO!$C$2:$C$3672,$Q353&amp;"|"&amp;$E353&amp;"|"&amp;$O353&amp;"|CO2",DATOS_MODELO!$AA$2:$AA$3672,"&lt;&gt;")=0,"",INDEX(DATOS_MODELO!$AA$2:$AA$3672,MATCH($Q353&amp;"|"&amp;$E353&amp;"|"&amp;$O353&amp;"|CO2",DATOS_MODELO!$C$2:$C$3672,0)))</f>
        <v>63100.0</v>
      </c>
      <c r="T353" s="14">
        <f>IF(COUNTIFS(DATOS_MODELO!$C$2:$C$3672,$Q353&amp;"|"&amp;$E353&amp;"|"&amp;$O353&amp;"|CH4",DATOS_MODELO!$AA$2:$AA$3672,"&lt;&gt;")=0,"",INDEX(DATOS_MODELO!$AA$2:$AA$3672,MATCH($Q353&amp;"|"&amp;$E353&amp;"|"&amp;$O353&amp;"|CH4",DATOS_MODELO!$C$2:$C$3672,0)))</f>
        <v>1.0</v>
      </c>
      <c r="U353" s="14">
        <f>IF(COUNTIFS(DATOS_MODELO!$C$2:$C$3672,$Q353&amp;"|"&amp;$E353&amp;"|"&amp;$O353&amp;"|N2O",DATOS_MODELO!$AA$2:$AA$3672,"&lt;&gt;")=0,"",INDEX(DATOS_MODELO!$AA$2:$AA$3672,MATCH($Q353&amp;"|"&amp;$E353&amp;"|"&amp;$O353&amp;"|N2O",DATOS_MODELO!$C$2:$C$3672,0)))</f>
        <v>0.1</v>
      </c>
      <c r="V353" s="8"/>
      <c r="W353" s="14"/>
      <c r="X353" s="14">
        <f>IF($P353="BIOGENICO",0,IF(ISNUMBER($S353),$N353*$S353/PARAMETROS!$B$8,""))</f>
        <v>325.16929256</v>
      </c>
      <c r="Y353" s="14">
        <f>IF($P353="BIOGENICO",IF(ISNUMBER($S353),$N353*$S353/PARAMETROS!$B$8,""),0)</f>
        <v>0.0</v>
      </c>
      <c r="Z353" s="14">
        <f>IF(ISNUMBER($T353),$N353*$T353/PARAMETROS!$B$8,"")</f>
        <v>0.0051532376</v>
      </c>
      <c r="AA353" s="14">
        <f>IF(ISNUMBER($U353),$N353*$U353/PARAMETROS!$B$8,"")</f>
        <v>0.00051532376</v>
      </c>
      <c r="AB353" s="14">
        <f>IF(COUNT($X353,$Z353,$AA353)=0,"",SUM($X353,IF(ISNUMBER($Z353),$Z353*PARAMETROS!$B$9,0),IF(ISNUMBER($AA353),$AA353*PARAMETROS!$B$10,0)))</f>
        <v>325.4501440092</v>
      </c>
      <c r="AC353" s="4" t="s">
        <v>1990</v>
      </c>
      <c r="AD353" s="4"/>
      <c r="AE353" s="4" t="s">
        <v>5690</v>
      </c>
      <c r="AF353" s="4" t="s">
        <v>170</v>
      </c>
      <c r="AG353" s="4" t="inlineStr">
        <is>
          <t>MARN_GTM_BTR1_2024</t>
        </is>
      </c>
      <c r="AH353" s="4" t="inlineStr">
        <is>
          <t>Origen de factores: CO2: MARN_GTM_BTR1_2024 [PRX; BTR1 Guatemala 2024, tabla 3.6, p. 48; fila Gases licuados de petróleo; gas CO2]; CH4: MARN_GTM_BTR1_2024 [PRX; BTR1 Guatemala 2024, tabla 3.22, p. 62; fila Gases licuados de petróleo; gas CH4]; N2O: MARN_GTM_BTR1_2024 [PRX; BTR1 Guatemala 2024, tabla 3.22, p. 62; fila Gases licuados de petróleo; gas N2O].</t>
        </is>
      </c>
    </row>
    <row r="354" customFormat="false" ht="15" hidden="false" customHeight="false" outlineLevel="0" collapsed="false">
      <c r="A354" s="4" t="s">
        <v>6140</v>
      </c>
      <c r="B354" s="12" t="n">
        <v>2024</v>
      </c>
      <c r="C354" s="4" t="s">
        <v>72</v>
      </c>
      <c r="D354" s="4" t="s">
        <v>5685</v>
      </c>
      <c r="E354" s="4" t="s">
        <v>3383</v>
      </c>
      <c r="F354" s="4" t="s">
        <v>3384</v>
      </c>
      <c r="G354" s="4" t="s">
        <v>109</v>
      </c>
      <c r="H354" s="4" t="s">
        <v>2079</v>
      </c>
      <c r="I354" s="4" t="s">
        <v>72</v>
      </c>
      <c r="J354" s="4" t="s">
        <v>2001</v>
      </c>
      <c r="K354" s="4" t="s">
        <v>2002</v>
      </c>
      <c r="L354" s="4" t="s">
        <v>1819</v>
      </c>
      <c r="M354" s="14" t="n">
        <f aca="false">SUMIFS(PSUT_LARGA!$K$2:$K$618,PSUT_LARGA!$B$2:$B$618,$B354,PSUT_LARGA!$H$2:$H$618,$L354,PSUT_LARGA!$E$2:$E$618,$J354,PSUT_LARGA!$F$2:$F$618,$K354,PSUT_LARGA!$G$2:$G$618,$I354,PSUT_LARGA!$I$2:$I$618,$H354)</f>
        <v>10278.1224</v>
      </c>
      <c r="N354" s="14" t="n">
        <f aca="false">IF($H354="TRANSFORMACION_REFINERIA",$M354*INDEX(PARAMETROS!$C$27:$C$33,MATCH($B354,PARAMETROS!$A$27:$A$33,0)),$M354)</f>
        <v>10278.1224</v>
      </c>
      <c r="O354" s="4" t="s">
        <v>3343</v>
      </c>
      <c r="P354" s="4" t="s">
        <v>3344</v>
      </c>
      <c r="Q354" s="11" t="n">
        <f aca="false">MIN($B354,2022)</f>
        <v>2022</v>
      </c>
      <c r="R354" s="8" t="str">
        <f>IF(COUNT($S354:$U354)=0,"NO",IF($O354="CERO_DIRECTO","CAL",IF(OR($B354&gt;$Q354,COUNTIFS(DATOS_MODELO!$C$2:$C$3672,$Q354&amp;"|"&amp;$E354&amp;"|"&amp;$O354&amp;"|*",DATOS_MODELO!$F$2:$F$3672,"PRX",DATOS_MODELO!$AA$2:$AA$3672,"&lt;&gt;")&gt;0),"PRX",IF(COUNTIFS(DATOS_MODELO!$C$2:$C$3672,$Q354&amp;"|"&amp;$E354&amp;"|"&amp;$O354&amp;"|*",DATOS_MODELO!$F$2:$F$3672,"CAL",DATOS_MODELO!$AA$2:$AA$3672,"&lt;&gt;")&gt;0,"CAL","OBS"))))</f>
        <v>PRX</v>
      </c>
      <c r="S354" s="14">
        <f>IF(COUNTIFS(DATOS_MODELO!$C$2:$C$3672,$Q354&amp;"|"&amp;$E354&amp;"|"&amp;$O354&amp;"|CO2",DATOS_MODELO!$AA$2:$AA$3672,"&lt;&gt;")=0,"",INDEX(DATOS_MODELO!$AA$2:$AA$3672,MATCH($Q354&amp;"|"&amp;$E354&amp;"|"&amp;$O354&amp;"|CO2",DATOS_MODELO!$C$2:$C$3672,0)))</f>
        <v>111999.999773152</v>
      </c>
      <c r="T354" s="14">
        <f>IF(COUNTIFS(DATOS_MODELO!$C$2:$C$3672,$Q354&amp;"|"&amp;$E354&amp;"|"&amp;$O354&amp;"|CH4",DATOS_MODELO!$AA$2:$AA$3672,"&lt;&gt;")=0,"",INDEX(DATOS_MODELO!$AA$2:$AA$3672,MATCH($Q354&amp;"|"&amp;$E354&amp;"|"&amp;$O354&amp;"|CH4",DATOS_MODELO!$C$2:$C$3672,0)))</f>
        <v>299.999999579911</v>
      </c>
      <c r="U354" s="14">
        <f>IF(COUNTIFS(DATOS_MODELO!$C$2:$C$3672,$Q354&amp;"|"&amp;$E354&amp;"|"&amp;$O354&amp;"|N2O",DATOS_MODELO!$AA$2:$AA$3672,"&lt;&gt;")=0,"",INDEX(DATOS_MODELO!$AA$2:$AA$3672,MATCH($Q354&amp;"|"&amp;$E354&amp;"|"&amp;$O354&amp;"|N2O",DATOS_MODELO!$C$2:$C$3672,0)))</f>
        <v>3.99999950429495</v>
      </c>
      <c r="V354" s="8"/>
      <c r="W354" s="14"/>
      <c r="X354" s="14">
        <f>IF($P354="BIOGENICO",0,IF(ISNUMBER($S354),$N354*$S354/PARAMETROS!$B$8,""))</f>
        <v>0.0</v>
      </c>
      <c r="Y354" s="14">
        <f>IF($P354="BIOGENICO",IF(ISNUMBER($S354),$N354*$S354/PARAMETROS!$B$8,""),0)</f>
        <v>1151.14970646843</v>
      </c>
      <c r="Z354" s="14">
        <f>IF(ISNUMBER($T354),$N354*$T354/PARAMETROS!$B$8,"")</f>
        <v>3.08343671568227</v>
      </c>
      <c r="AA354" s="14">
        <f>IF(ISNUMBER($U354),$N354*$U354/PARAMETROS!$B$8,"")</f>
        <v>0.0411124845050828</v>
      </c>
      <c r="AB354" s="14">
        <f>IF(COUNT($X354,$Z354,$AA354)=0,"",SUM($X354,IF(ISNUMBER($Z354),$Z354*PARAMETROS!$B$9,0),IF(ISNUMBER($AA354),$AA354*PARAMETROS!$B$10,0)))</f>
        <v>97.2310364329506</v>
      </c>
      <c r="AC354" s="4" t="s">
        <v>1990</v>
      </c>
      <c r="AD354" s="4"/>
      <c r="AE354" s="4" t="s">
        <v>5690</v>
      </c>
      <c r="AF354" s="4" t="s">
        <v>170</v>
      </c>
      <c r="AG354" s="4" t="s">
        <v>3999</v>
      </c>
      <c r="AH354" s="4"/>
    </row>
    <row r="355" customFormat="false" ht="23.85" hidden="false" customHeight="false" outlineLevel="0" collapsed="false">
      <c r="A355" s="4" t="s">
        <v>6141</v>
      </c>
      <c r="B355" s="12" t="n">
        <v>2024</v>
      </c>
      <c r="C355" s="4" t="s">
        <v>72</v>
      </c>
      <c r="D355" s="4" t="s">
        <v>5685</v>
      </c>
      <c r="E355" s="4" t="s">
        <v>3383</v>
      </c>
      <c r="F355" s="4" t="s">
        <v>3384</v>
      </c>
      <c r="G355" s="4" t="s">
        <v>99</v>
      </c>
      <c r="H355" s="4" t="s">
        <v>2079</v>
      </c>
      <c r="I355" s="4" t="s">
        <v>72</v>
      </c>
      <c r="J355" s="4" t="s">
        <v>2001</v>
      </c>
      <c r="K355" s="4" t="s">
        <v>2002</v>
      </c>
      <c r="L355" s="4" t="s">
        <v>1896</v>
      </c>
      <c r="M355" s="14" t="n">
        <f aca="false">SUMIFS(PSUT_LARGA!$K$2:$K$618,PSUT_LARGA!$B$2:$B$618,$B355,PSUT_LARGA!$H$2:$H$618,$L355,PSUT_LARGA!$E$2:$E$618,$J355,PSUT_LARGA!$F$2:$F$618,$K355,PSUT_LARGA!$G$2:$G$618,$I355,PSUT_LARGA!$I$2:$I$618,$H355)</f>
        <v>12059.1779</v>
      </c>
      <c r="N355" s="14" t="n">
        <f aca="false">IF($H355="TRANSFORMACION_REFINERIA",$M355*INDEX(PARAMETROS!$C$27:$C$33,MATCH($B355,PARAMETROS!$A$27:$A$33,0)),$M355)</f>
        <v>12059.1779</v>
      </c>
      <c r="O355" s="4" t="s">
        <v>3362</v>
      </c>
      <c r="P355" s="4" t="s">
        <v>3363</v>
      </c>
      <c r="Q355" s="11" t="n">
        <f aca="false">MIN($B355,2022)</f>
        <v>2022</v>
      </c>
      <c r="R355" s="8" t="str">
        <f>IF(COUNT($S355:$U355)=0,"NO",IF($O355="CERO_DIRECTO","CAL",IF(OR($B355&gt;$Q355,COUNTIFS(DATOS_MODELO!$C$2:$C$3672,$Q355&amp;"|"&amp;$E355&amp;"|"&amp;$O355&amp;"|*",DATOS_MODELO!$F$2:$F$3672,"PRX",DATOS_MODELO!$AA$2:$AA$3672,"&lt;&gt;")&gt;0),"PRX",IF(COUNTIFS(DATOS_MODELO!$C$2:$C$3672,$Q355&amp;"|"&amp;$E355&amp;"|"&amp;$O355&amp;"|*",DATOS_MODELO!$F$2:$F$3672,"CAL",DATOS_MODELO!$AA$2:$AA$3672,"&lt;&gt;")&gt;0,"CAL","OBS"))))</f>
        <v>CAL</v>
      </c>
      <c r="S355" s="14">
        <f>IF(COUNTIFS(DATOS_MODELO!$C$2:$C$3672,$Q355&amp;"|"&amp;$E355&amp;"|"&amp;$O355&amp;"|CO2",DATOS_MODELO!$AA$2:$AA$3672,"&lt;&gt;")=0,"",INDEX(DATOS_MODELO!$AA$2:$AA$3672,MATCH($Q355&amp;"|"&amp;$E355&amp;"|"&amp;$O355&amp;"|CO2",DATOS_MODELO!$C$2:$C$3672,0)))</f>
        <v>0.0</v>
      </c>
      <c r="T355" s="14">
        <f>IF(COUNTIFS(DATOS_MODELO!$C$2:$C$3672,$Q355&amp;"|"&amp;$E355&amp;"|"&amp;$O355&amp;"|CH4",DATOS_MODELO!$AA$2:$AA$3672,"&lt;&gt;")=0,"",INDEX(DATOS_MODELO!$AA$2:$AA$3672,MATCH($Q355&amp;"|"&amp;$E355&amp;"|"&amp;$O355&amp;"|CH4",DATOS_MODELO!$C$2:$C$3672,0)))</f>
        <v>0.0</v>
      </c>
      <c r="U355" s="14">
        <f>IF(COUNTIFS(DATOS_MODELO!$C$2:$C$3672,$Q355&amp;"|"&amp;$E355&amp;"|"&amp;$O355&amp;"|N2O",DATOS_MODELO!$AA$2:$AA$3672,"&lt;&gt;")=0,"",INDEX(DATOS_MODELO!$AA$2:$AA$3672,MATCH($Q355&amp;"|"&amp;$E355&amp;"|"&amp;$O355&amp;"|N2O",DATOS_MODELO!$C$2:$C$3672,0)))</f>
        <v>0.0</v>
      </c>
      <c r="V355" s="8"/>
      <c r="W355" s="14"/>
      <c r="X355" s="14">
        <f>IF($P355="BIOGENICO",0,IF(ISNUMBER($S355),$N355*$S355/PARAMETROS!$B$8,""))</f>
        <v>0.0</v>
      </c>
      <c r="Y355" s="14">
        <f>IF($P355="BIOGENICO",IF(ISNUMBER($S355),$N355*$S355/PARAMETROS!$B$8,""),0)</f>
        <v>0.0</v>
      </c>
      <c r="Z355" s="14">
        <f>IF(ISNUMBER($T355),$N355*$T355/PARAMETROS!$B$8,"")</f>
        <v>0.0</v>
      </c>
      <c r="AA355" s="14">
        <f>IF(ISNUMBER($U355),$N355*$U355/PARAMETROS!$B$8,"")</f>
        <v>0.0</v>
      </c>
      <c r="AB355" s="14">
        <f>IF(COUNT($X355,$Z355,$AA355)=0,"",SUM($X355,IF(ISNUMBER($Z355),$Z355*PARAMETROS!$B$9,0),IF(ISNUMBER($AA355),$AA355*PARAMETROS!$B$10,0)))</f>
        <v>0.0</v>
      </c>
      <c r="AC355" s="4" t="s">
        <v>1990</v>
      </c>
      <c r="AD355" s="4"/>
      <c r="AE355" s="4" t="s">
        <v>3362</v>
      </c>
      <c r="AF355" s="4" t="s">
        <v>170</v>
      </c>
      <c r="AG355" s="4" t="inlineStr">
        <is>
          <t>METODO_EMISIONES</t>
        </is>
      </c>
      <c r="AH355" s="4"/>
    </row>
    <row r="356" customFormat="false" ht="15" hidden="false" customHeight="false" outlineLevel="0" collapsed="false">
      <c r="A356" s="4" t="s">
        <v>6142</v>
      </c>
      <c r="B356" s="12" t="n">
        <v>2024</v>
      </c>
      <c r="C356" s="4" t="s">
        <v>72</v>
      </c>
      <c r="D356" s="4" t="s">
        <v>5685</v>
      </c>
      <c r="E356" s="4" t="s">
        <v>3383</v>
      </c>
      <c r="F356" s="4" t="s">
        <v>3384</v>
      </c>
      <c r="G356" s="4" t="s">
        <v>103</v>
      </c>
      <c r="H356" s="4" t="s">
        <v>2079</v>
      </c>
      <c r="I356" s="4" t="s">
        <v>72</v>
      </c>
      <c r="J356" s="4" t="s">
        <v>2001</v>
      </c>
      <c r="K356" s="4" t="s">
        <v>2002</v>
      </c>
      <c r="L356" s="4" t="s">
        <v>1925</v>
      </c>
      <c r="M356" s="14" t="n">
        <f aca="false">SUMIFS(PSUT_LARGA!$K$2:$K$618,PSUT_LARGA!$B$2:$B$618,$B356,PSUT_LARGA!$H$2:$H$618,$L356,PSUT_LARGA!$E$2:$E$618,$J356,PSUT_LARGA!$F$2:$F$618,$K356,PSUT_LARGA!$G$2:$G$618,$I356,PSUT_LARGA!$I$2:$I$618,$H356)</f>
        <v>480.4289</v>
      </c>
      <c r="N356" s="14" t="n">
        <f aca="false">IF($H356="TRANSFORMACION_REFINERIA",$M356*INDEX(PARAMETROS!$C$27:$C$33,MATCH($B356,PARAMETROS!$A$27:$A$33,0)),$M356)</f>
        <v>480.4289</v>
      </c>
      <c r="O356" s="4" t="inlineStr">
        <is>
          <t>COMB_GAS</t>
        </is>
      </c>
      <c r="P356" s="4" t="s">
        <v>3352</v>
      </c>
      <c r="Q356" s="11" t="n">
        <f aca="false">MIN($B356,2022)</f>
        <v>2022</v>
      </c>
      <c r="R356" s="8" t="str">
        <f>IF(COUNT($S356:$U356)=0,"NO",IF($O356="CERO_DIRECTO","CAL",IF(OR($B356&gt;$Q356,COUNTIFS(DATOS_MODELO!$C$2:$C$3672,$Q356&amp;"|"&amp;$E356&amp;"|"&amp;$O356&amp;"|*",DATOS_MODELO!$F$2:$F$3672,"PRX",DATOS_MODELO!$AA$2:$AA$3672,"&lt;&gt;")&gt;0),"PRX",IF(COUNTIFS(DATOS_MODELO!$C$2:$C$3672,$Q356&amp;"|"&amp;$E356&amp;"|"&amp;$O356&amp;"|*",DATOS_MODELO!$F$2:$F$3672,"CAL",DATOS_MODELO!$AA$2:$AA$3672,"&lt;&gt;")&gt;0,"CAL","OBS"))))</f>
        <v>PRX</v>
      </c>
      <c r="S356" s="14">
        <f>IF(COUNTIFS(DATOS_MODELO!$C$2:$C$3672,$Q356&amp;"|"&amp;$E356&amp;"|"&amp;$O356&amp;"|CO2",DATOS_MODELO!$AA$2:$AA$3672,"&lt;&gt;")=0,"",INDEX(DATOS_MODELO!$AA$2:$AA$3672,MATCH($Q356&amp;"|"&amp;$E356&amp;"|"&amp;$O356&amp;"|CO2",DATOS_MODELO!$C$2:$C$3672,0)))</f>
        <v>69300.0</v>
      </c>
      <c r="T356" s="14">
        <f>IF(COUNTIFS(DATOS_MODELO!$C$2:$C$3672,$Q356&amp;"|"&amp;$E356&amp;"|"&amp;$O356&amp;"|CH4",DATOS_MODELO!$AA$2:$AA$3672,"&lt;&gt;")=0,"",INDEX(DATOS_MODELO!$AA$2:$AA$3672,MATCH($Q356&amp;"|"&amp;$E356&amp;"|"&amp;$O356&amp;"|CH4",DATOS_MODELO!$C$2:$C$3672,0)))</f>
        <v>10.0</v>
      </c>
      <c r="U356" s="14">
        <f>IF(COUNTIFS(DATOS_MODELO!$C$2:$C$3672,$Q356&amp;"|"&amp;$E356&amp;"|"&amp;$O356&amp;"|N2O",DATOS_MODELO!$AA$2:$AA$3672,"&lt;&gt;")=0,"",INDEX(DATOS_MODELO!$AA$2:$AA$3672,MATCH($Q356&amp;"|"&amp;$E356&amp;"|"&amp;$O356&amp;"|N2O",DATOS_MODELO!$C$2:$C$3672,0)))</f>
        <v>0.6</v>
      </c>
      <c r="V356" s="8"/>
      <c r="W356" s="14"/>
      <c r="X356" s="14">
        <f>IF($P356="BIOGENICO",0,IF(ISNUMBER($S356),$N356*$S356/PARAMETROS!$B$8,""))</f>
        <v>33.29372277</v>
      </c>
      <c r="Y356" s="14">
        <f>IF($P356="BIOGENICO",IF(ISNUMBER($S356),$N356*$S356/PARAMETROS!$B$8,""),0)</f>
        <v>0.0</v>
      </c>
      <c r="Z356" s="14">
        <f>IF(ISNUMBER($T356),$N356*$T356/PARAMETROS!$B$8,"")</f>
        <v>0.004804289</v>
      </c>
      <c r="AA356" s="14">
        <f>IF(ISNUMBER($U356),$N356*$U356/PARAMETROS!$B$8,"")</f>
        <v>0.00028825734</v>
      </c>
      <c r="AB356" s="14">
        <f>IF(COUNT($X356,$Z356,$AA356)=0,"",SUM($X356,IF(ISNUMBER($Z356),$Z356*PARAMETROS!$B$9,0),IF(ISNUMBER($AA356),$AA356*PARAMETROS!$B$10,0)))</f>
        <v>33.5046310571</v>
      </c>
      <c r="AC356" s="4" t="s">
        <v>1990</v>
      </c>
      <c r="AD356" s="4"/>
      <c r="AE356" s="4" t="s">
        <v>5690</v>
      </c>
      <c r="AF356" s="4" t="s">
        <v>170</v>
      </c>
      <c r="AG356" s="4" t="inlineStr">
        <is>
          <t>MARN_GTM_BTR1_2024</t>
        </is>
      </c>
      <c r="AH356" s="4" t="inlineStr">
        <is>
          <t>Origen de factores: CO2: MARN_GTM_BTR1_2024 [PRX; BTR1 Guatemala 2024, tabla 3.6, p. 48; fila Gasolina para motores; gas CO2]; CH4: MARN_GTM_BTR1_2024 [PRX; BTR1 Guatemala 2024, tabla 3.33, p. 70; fila Gasolina para motores; gas CH4]; N2O: MARN_GTM_BTR1_2024 [PRX; BTR1 Guatemala 2024, tabla 3.33, p. 70; fila Gasolina para motores; gas N2O].</t>
        </is>
      </c>
    </row>
    <row r="357" customFormat="false" ht="15" hidden="false" customHeight="false" outlineLevel="0" collapsed="false">
      <c r="A357" s="4" t="s">
        <v>6143</v>
      </c>
      <c r="B357" s="12" t="n">
        <v>2024</v>
      </c>
      <c r="C357" s="4" t="s">
        <v>72</v>
      </c>
      <c r="D357" s="4" t="s">
        <v>5685</v>
      </c>
      <c r="E357" s="4" t="s">
        <v>3383</v>
      </c>
      <c r="F357" s="4" t="s">
        <v>3384</v>
      </c>
      <c r="G357" s="4" t="s">
        <v>105</v>
      </c>
      <c r="H357" s="4" t="s">
        <v>2079</v>
      </c>
      <c r="I357" s="4" t="s">
        <v>72</v>
      </c>
      <c r="J357" s="4" t="s">
        <v>2001</v>
      </c>
      <c r="K357" s="4" t="s">
        <v>2002</v>
      </c>
      <c r="L357" s="4" t="s">
        <v>1939</v>
      </c>
      <c r="M357" s="14" t="n">
        <f aca="false">SUMIFS(PSUT_LARGA!$K$2:$K$618,PSUT_LARGA!$B$2:$B$618,$B357,PSUT_LARGA!$H$2:$H$618,$L357,PSUT_LARGA!$E$2:$E$618,$J357,PSUT_LARGA!$F$2:$F$618,$K357,PSUT_LARGA!$G$2:$G$618,$I357,PSUT_LARGA!$I$2:$I$618,$H357)</f>
        <v>515.347</v>
      </c>
      <c r="N357" s="14" t="n">
        <f aca="false">IF($H357="TRANSFORMACION_REFINERIA",$M357*INDEX(PARAMETROS!$C$27:$C$33,MATCH($B357,PARAMETROS!$A$27:$A$33,0)),$M357)</f>
        <v>515.347</v>
      </c>
      <c r="O357" s="4" t="inlineStr">
        <is>
          <t>COMB_GLP</t>
        </is>
      </c>
      <c r="P357" s="4" t="s">
        <v>3352</v>
      </c>
      <c r="Q357" s="11" t="n">
        <f aca="false">MIN($B357,2022)</f>
        <v>2022</v>
      </c>
      <c r="R357" s="8" t="str">
        <f>IF(COUNT($S357:$U357)=0,"NO",IF($O357="CERO_DIRECTO","CAL",IF(OR($B357&gt;$Q357,COUNTIFS(DATOS_MODELO!$C$2:$C$3672,$Q357&amp;"|"&amp;$E357&amp;"|"&amp;$O357&amp;"|*",DATOS_MODELO!$F$2:$F$3672,"PRX",DATOS_MODELO!$AA$2:$AA$3672,"&lt;&gt;")&gt;0),"PRX",IF(COUNTIFS(DATOS_MODELO!$C$2:$C$3672,$Q357&amp;"|"&amp;$E357&amp;"|"&amp;$O357&amp;"|*",DATOS_MODELO!$F$2:$F$3672,"CAL",DATOS_MODELO!$AA$2:$AA$3672,"&lt;&gt;")&gt;0,"CAL","OBS"))))</f>
        <v>PRX</v>
      </c>
      <c r="S357" s="14">
        <f>IF(COUNTIFS(DATOS_MODELO!$C$2:$C$3672,$Q357&amp;"|"&amp;$E357&amp;"|"&amp;$O357&amp;"|CO2",DATOS_MODELO!$AA$2:$AA$3672,"&lt;&gt;")=0,"",INDEX(DATOS_MODELO!$AA$2:$AA$3672,MATCH($Q357&amp;"|"&amp;$E357&amp;"|"&amp;$O357&amp;"|CO2",DATOS_MODELO!$C$2:$C$3672,0)))</f>
        <v>63100.0</v>
      </c>
      <c r="T357" s="14">
        <f>IF(COUNTIFS(DATOS_MODELO!$C$2:$C$3672,$Q357&amp;"|"&amp;$E357&amp;"|"&amp;$O357&amp;"|CH4",DATOS_MODELO!$AA$2:$AA$3672,"&lt;&gt;")=0,"",INDEX(DATOS_MODELO!$AA$2:$AA$3672,MATCH($Q357&amp;"|"&amp;$E357&amp;"|"&amp;$O357&amp;"|CH4",DATOS_MODELO!$C$2:$C$3672,0)))</f>
        <v>5.0</v>
      </c>
      <c r="U357" s="14">
        <f>IF(COUNTIFS(DATOS_MODELO!$C$2:$C$3672,$Q357&amp;"|"&amp;$E357&amp;"|"&amp;$O357&amp;"|N2O",DATOS_MODELO!$AA$2:$AA$3672,"&lt;&gt;")=0,"",INDEX(DATOS_MODELO!$AA$2:$AA$3672,MATCH($Q357&amp;"|"&amp;$E357&amp;"|"&amp;$O357&amp;"|N2O",DATOS_MODELO!$C$2:$C$3672,0)))</f>
        <v>0.1</v>
      </c>
      <c r="V357" s="8"/>
      <c r="W357" s="14"/>
      <c r="X357" s="14">
        <f>IF($P357="BIOGENICO",0,IF(ISNUMBER($S357),$N357*$S357/PARAMETROS!$B$8,""))</f>
        <v>32.5183957</v>
      </c>
      <c r="Y357" s="14">
        <f>IF($P357="BIOGENICO",IF(ISNUMBER($S357),$N357*$S357/PARAMETROS!$B$8,""),0)</f>
        <v>0.0</v>
      </c>
      <c r="Z357" s="14">
        <f>IF(ISNUMBER($T357),$N357*$T357/PARAMETROS!$B$8,"")</f>
        <v>0.002576735</v>
      </c>
      <c r="AA357" s="14">
        <f>IF(ISNUMBER($U357),$N357*$U357/PARAMETROS!$B$8,"")</f>
        <v>5.15347e-05</v>
      </c>
      <c r="AB357" s="14">
        <f>IF(COUNT($X357,$Z357,$AA357)=0,"",SUM($X357,IF(ISNUMBER($Z357),$Z357*PARAMETROS!$B$9,0),IF(ISNUMBER($AA357),$AA357*PARAMETROS!$B$10,0)))</f>
        <v>32.6042009755</v>
      </c>
      <c r="AC357" s="4" t="s">
        <v>1990</v>
      </c>
      <c r="AD357" s="4"/>
      <c r="AE357" s="4" t="s">
        <v>5690</v>
      </c>
      <c r="AF357" s="4" t="s">
        <v>170</v>
      </c>
      <c r="AG357" s="4" t="inlineStr">
        <is>
          <t>MARN_GTM_BTR1_2024</t>
        </is>
      </c>
      <c r="AH357" s="4" t="inlineStr">
        <is>
          <t>Origen de factores: CO2: MARN_GTM_BTR1_2024 [PRX; BTR1 Guatemala 2024, tabla 3.6, p. 48; fila Gases licuados de petróleo; gas CO2]; CH4: MARN_GTM_BTR1_2024 [PRX; BTR1 Guatemala 2024, tabla 3.33, p. 70; fila Gases licuados de petróleo; gas CH4]; N2O: MARN_GTM_BTR1_2024 [PRX; BTR1 Guatemala 2024, tabla 3.33, p. 70; fila Gases licuados de petróleo; gas N2O].</t>
        </is>
      </c>
    </row>
    <row r="358" customFormat="false" ht="15" hidden="false" customHeight="false" outlineLevel="0" collapsed="false">
      <c r="A358" s="4" t="s">
        <v>6144</v>
      </c>
      <c r="B358" s="12" t="n">
        <v>2024</v>
      </c>
      <c r="C358" s="4" t="s">
        <v>71</v>
      </c>
      <c r="D358" s="4" t="s">
        <v>5685</v>
      </c>
      <c r="E358" s="4" t="s">
        <v>3412</v>
      </c>
      <c r="F358" s="4" t="s">
        <v>3413</v>
      </c>
      <c r="G358" s="4" t="s">
        <v>97</v>
      </c>
      <c r="H358" s="4" t="s">
        <v>2123</v>
      </c>
      <c r="I358" s="4" t="s">
        <v>71</v>
      </c>
      <c r="J358" s="4" t="s">
        <v>2001</v>
      </c>
      <c r="K358" s="4" t="s">
        <v>2002</v>
      </c>
      <c r="L358" s="4" t="s">
        <v>1879</v>
      </c>
      <c r="M358" s="14" t="n">
        <f aca="false">SUMIFS(PSUT_LARGA!$K$2:$K$618,PSUT_LARGA!$B$2:$B$618,$B358,PSUT_LARGA!$H$2:$H$618,$L358,PSUT_LARGA!$E$2:$E$618,$J358,PSUT_LARGA!$F$2:$F$618,$K358,PSUT_LARGA!$G$2:$G$618,$I358,PSUT_LARGA!$I$2:$I$618,$H358)</f>
        <v>84472.6358</v>
      </c>
      <c r="N358" s="14" t="n">
        <f aca="false">IF($H358="TRANSFORMACION_REFINERIA",$M358*INDEX(PARAMETROS!$C$27:$C$33,MATCH($B358,PARAMETROS!$A$27:$A$33,0)),$M358)</f>
        <v>84472.6358</v>
      </c>
      <c r="O358" s="4" t="inlineStr">
        <is>
          <t>COMB_DOIL</t>
        </is>
      </c>
      <c r="P358" s="4" t="s">
        <v>3352</v>
      </c>
      <c r="Q358" s="11" t="n">
        <f aca="false">MIN($B358,2022)</f>
        <v>2022</v>
      </c>
      <c r="R358" s="8" t="str">
        <f>IF(COUNT($S358:$U358)=0,"NO",IF($O358="CERO_DIRECTO","CAL",IF(OR($B358&gt;$Q358,COUNTIFS(DATOS_MODELO!$C$2:$C$3672,$Q358&amp;"|"&amp;$E358&amp;"|"&amp;$O358&amp;"|*",DATOS_MODELO!$F$2:$F$3672,"PRX",DATOS_MODELO!$AA$2:$AA$3672,"&lt;&gt;")&gt;0),"PRX",IF(COUNTIFS(DATOS_MODELO!$C$2:$C$3672,$Q358&amp;"|"&amp;$E358&amp;"|"&amp;$O358&amp;"|*",DATOS_MODELO!$F$2:$F$3672,"CAL",DATOS_MODELO!$AA$2:$AA$3672,"&lt;&gt;")&gt;0,"CAL","OBS"))))</f>
        <v>PRX</v>
      </c>
      <c r="S358" s="14">
        <f>IF(COUNTIFS(DATOS_MODELO!$C$2:$C$3672,$Q358&amp;"|"&amp;$E358&amp;"|"&amp;$O358&amp;"|CO2",DATOS_MODELO!$AA$2:$AA$3672,"&lt;&gt;")=0,"",INDEX(DATOS_MODELO!$AA$2:$AA$3672,MATCH($Q358&amp;"|"&amp;$E358&amp;"|"&amp;$O358&amp;"|CO2",DATOS_MODELO!$C$2:$C$3672,0)))</f>
        <v>74100.000087609</v>
      </c>
      <c r="T358" s="14">
        <f>IF(COUNTIFS(DATOS_MODELO!$C$2:$C$3672,$Q358&amp;"|"&amp;$E358&amp;"|"&amp;$O358&amp;"|CH4",DATOS_MODELO!$AA$2:$AA$3672,"&lt;&gt;")=0,"",INDEX(DATOS_MODELO!$AA$2:$AA$3672,MATCH($Q358&amp;"|"&amp;$E358&amp;"|"&amp;$O358&amp;"|CH4",DATOS_MODELO!$C$2:$C$3672,0)))</f>
        <v>3.8999999552578</v>
      </c>
      <c r="U358" s="14">
        <f>IF(COUNTIFS(DATOS_MODELO!$C$2:$C$3672,$Q358&amp;"|"&amp;$E358&amp;"|"&amp;$O358&amp;"|N2O",DATOS_MODELO!$AA$2:$AA$3672,"&lt;&gt;")=0,"",INDEX(DATOS_MODELO!$AA$2:$AA$3672,MATCH($Q358&amp;"|"&amp;$E358&amp;"|"&amp;$O358&amp;"|N2O",DATOS_MODELO!$C$2:$C$3672,0)))</f>
        <v>3.8999999552578</v>
      </c>
      <c r="V358" s="8"/>
      <c r="W358" s="14"/>
      <c r="X358" s="14">
        <f>IF($P358="BIOGENICO",0,IF(ISNUMBER($S358),$N358*$S358/PARAMETROS!$B$8,""))</f>
        <v>6259.42232018056</v>
      </c>
      <c r="Y358" s="14">
        <f>IF($P358="BIOGENICO",IF(ISNUMBER($S358),$N358*$S358/PARAMETROS!$B$8,""),0)</f>
        <v>0.0</v>
      </c>
      <c r="Z358" s="14">
        <f>IF(ISNUMBER($T358),$N358*$T358/PARAMETROS!$B$8,"")</f>
        <v>0.329443275840509</v>
      </c>
      <c r="AA358" s="14">
        <f>IF(ISNUMBER($U358),$N358*$U358/PARAMETROS!$B$8,"")</f>
        <v>0.329443275840509</v>
      </c>
      <c r="AB358" s="14">
        <f>IF(COUNT($X358,$Z358,$AA358)=0,"",SUM($X358,IF(ISNUMBER($Z358),$Z358*PARAMETROS!$B$9,0),IF(ISNUMBER($AA358),$AA358*PARAMETROS!$B$10,0)))</f>
        <v>6355.94920000183</v>
      </c>
      <c r="AC358" s="4" t="s">
        <v>1990</v>
      </c>
      <c r="AD358" s="4"/>
      <c r="AE358" s="4" t="s">
        <v>5690</v>
      </c>
      <c r="AF358" s="4" t="s">
        <v>170</v>
      </c>
      <c r="AG358" s="4" t="s">
        <v>3999</v>
      </c>
      <c r="AH358" s="4" t="inlineStr">
        <is>
          <t>Origen de factores: CO2: UNFCCC_GTM_CRT_2024 [OBS; GTM-CRT-2024-V0.3-2022-20250304-084824_started.xlsx; Table1.A(a)s3; AD=C22; EM=H22; IEF=E22]; CH4: UNFCCC_GTM_CRT_2024 [OBS; GTM-CRT-2024-V0.3-2022-20250304-084824_started.xlsx; Table1.A(a)s3; AD=C22; EM=I22; IEF=F22]; N2O: UNFCCC_GTM_CRT_2024 [OBS; GTM-CRT-2024-V0.3-2022-20250304-084824_started.xlsx; Table1.A(a)s3; AD=C22; EM=J22; IEF=G22].</t>
        </is>
      </c>
    </row>
    <row r="359" customFormat="false" ht="23.85" hidden="false" customHeight="false" outlineLevel="0" collapsed="false">
      <c r="A359" s="4" t="s">
        <v>6145</v>
      </c>
      <c r="B359" s="12" t="n">
        <v>2024</v>
      </c>
      <c r="C359" s="4" t="s">
        <v>71</v>
      </c>
      <c r="D359" s="4" t="s">
        <v>5685</v>
      </c>
      <c r="E359" s="4" t="s">
        <v>3412</v>
      </c>
      <c r="F359" s="4" t="s">
        <v>3413</v>
      </c>
      <c r="G359" s="4" t="s">
        <v>99</v>
      </c>
      <c r="H359" s="4" t="s">
        <v>2123</v>
      </c>
      <c r="I359" s="4" t="s">
        <v>71</v>
      </c>
      <c r="J359" s="4" t="s">
        <v>2001</v>
      </c>
      <c r="K359" s="4" t="s">
        <v>2002</v>
      </c>
      <c r="L359" s="4" t="s">
        <v>1894</v>
      </c>
      <c r="M359" s="14" t="n">
        <f aca="false">SUMIFS(PSUT_LARGA!$K$2:$K$618,PSUT_LARGA!$B$2:$B$618,$B359,PSUT_LARGA!$H$2:$H$618,$L359,PSUT_LARGA!$E$2:$E$618,$J359,PSUT_LARGA!$F$2:$F$618,$K359,PSUT_LARGA!$G$2:$G$618,$I359,PSUT_LARGA!$I$2:$I$618,$H359)</f>
        <v>29.2243</v>
      </c>
      <c r="N359" s="14" t="n">
        <f aca="false">IF($H359="TRANSFORMACION_REFINERIA",$M359*INDEX(PARAMETROS!$C$27:$C$33,MATCH($B359,PARAMETROS!$A$27:$A$33,0)),$M359)</f>
        <v>29.2243</v>
      </c>
      <c r="O359" s="4" t="s">
        <v>3362</v>
      </c>
      <c r="P359" s="4" t="s">
        <v>3363</v>
      </c>
      <c r="Q359" s="11" t="n">
        <f aca="false">MIN($B359,2022)</f>
        <v>2022</v>
      </c>
      <c r="R359" s="8" t="str">
        <f>IF(COUNT($S359:$U359)=0,"NO",IF($O359="CERO_DIRECTO","CAL",IF(OR($B359&gt;$Q359,COUNTIFS(DATOS_MODELO!$C$2:$C$3672,$Q359&amp;"|"&amp;$E359&amp;"|"&amp;$O359&amp;"|*",DATOS_MODELO!$F$2:$F$3672,"PRX",DATOS_MODELO!$AA$2:$AA$3672,"&lt;&gt;")&gt;0),"PRX",IF(COUNTIFS(DATOS_MODELO!$C$2:$C$3672,$Q359&amp;"|"&amp;$E359&amp;"|"&amp;$O359&amp;"|*",DATOS_MODELO!$F$2:$F$3672,"CAL",DATOS_MODELO!$AA$2:$AA$3672,"&lt;&gt;")&gt;0,"CAL","OBS"))))</f>
        <v>CAL</v>
      </c>
      <c r="S359" s="14">
        <f>IF(COUNTIFS(DATOS_MODELO!$C$2:$C$3672,$Q359&amp;"|"&amp;$E359&amp;"|"&amp;$O359&amp;"|CO2",DATOS_MODELO!$AA$2:$AA$3672,"&lt;&gt;")=0,"",INDEX(DATOS_MODELO!$AA$2:$AA$3672,MATCH($Q359&amp;"|"&amp;$E359&amp;"|"&amp;$O359&amp;"|CO2",DATOS_MODELO!$C$2:$C$3672,0)))</f>
        <v>0.0</v>
      </c>
      <c r="T359" s="14">
        <f>IF(COUNTIFS(DATOS_MODELO!$C$2:$C$3672,$Q359&amp;"|"&amp;$E359&amp;"|"&amp;$O359&amp;"|CH4",DATOS_MODELO!$AA$2:$AA$3672,"&lt;&gt;")=0,"",INDEX(DATOS_MODELO!$AA$2:$AA$3672,MATCH($Q359&amp;"|"&amp;$E359&amp;"|"&amp;$O359&amp;"|CH4",DATOS_MODELO!$C$2:$C$3672,0)))</f>
        <v>0.0</v>
      </c>
      <c r="U359" s="14">
        <f>IF(COUNTIFS(DATOS_MODELO!$C$2:$C$3672,$Q359&amp;"|"&amp;$E359&amp;"|"&amp;$O359&amp;"|N2O",DATOS_MODELO!$AA$2:$AA$3672,"&lt;&gt;")=0,"",INDEX(DATOS_MODELO!$AA$2:$AA$3672,MATCH($Q359&amp;"|"&amp;$E359&amp;"|"&amp;$O359&amp;"|N2O",DATOS_MODELO!$C$2:$C$3672,0)))</f>
        <v>0.0</v>
      </c>
      <c r="V359" s="8"/>
      <c r="W359" s="14"/>
      <c r="X359" s="14">
        <f>IF($P359="BIOGENICO",0,IF(ISNUMBER($S359),$N359*$S359/PARAMETROS!$B$8,""))</f>
        <v>0.0</v>
      </c>
      <c r="Y359" s="14">
        <f>IF($P359="BIOGENICO",IF(ISNUMBER($S359),$N359*$S359/PARAMETROS!$B$8,""),0)</f>
        <v>0.0</v>
      </c>
      <c r="Z359" s="14">
        <f>IF(ISNUMBER($T359),$N359*$T359/PARAMETROS!$B$8,"")</f>
        <v>0.0</v>
      </c>
      <c r="AA359" s="14">
        <f>IF(ISNUMBER($U359),$N359*$U359/PARAMETROS!$B$8,"")</f>
        <v>0.0</v>
      </c>
      <c r="AB359" s="14">
        <f>IF(COUNT($X359,$Z359,$AA359)=0,"",SUM($X359,IF(ISNUMBER($Z359),$Z359*PARAMETROS!$B$9,0),IF(ISNUMBER($AA359),$AA359*PARAMETROS!$B$10,0)))</f>
        <v>0.0</v>
      </c>
      <c r="AC359" s="4" t="s">
        <v>1990</v>
      </c>
      <c r="AD359" s="4"/>
      <c r="AE359" s="4" t="s">
        <v>3362</v>
      </c>
      <c r="AF359" s="4" t="s">
        <v>170</v>
      </c>
      <c r="AG359" s="4" t="inlineStr">
        <is>
          <t>METODO_EMISIONES</t>
        </is>
      </c>
      <c r="AH359" s="4"/>
    </row>
    <row r="360" customFormat="false" ht="15" hidden="false" customHeight="false" outlineLevel="0" collapsed="false">
      <c r="A360" s="4" t="s">
        <v>6146</v>
      </c>
      <c r="B360" s="12" t="n">
        <v>2024</v>
      </c>
      <c r="C360" s="4" t="s">
        <v>71</v>
      </c>
      <c r="D360" s="4" t="s">
        <v>5685</v>
      </c>
      <c r="E360" s="4" t="s">
        <v>3412</v>
      </c>
      <c r="F360" s="4" t="s">
        <v>3413</v>
      </c>
      <c r="G360" s="4" t="s">
        <v>103</v>
      </c>
      <c r="H360" s="4" t="s">
        <v>2123</v>
      </c>
      <c r="I360" s="4" t="s">
        <v>71</v>
      </c>
      <c r="J360" s="4" t="s">
        <v>2001</v>
      </c>
      <c r="K360" s="4" t="s">
        <v>2002</v>
      </c>
      <c r="L360" s="4" t="s">
        <v>1923</v>
      </c>
      <c r="M360" s="14" t="n">
        <f aca="false">SUMIFS(PSUT_LARGA!$K$2:$K$618,PSUT_LARGA!$B$2:$B$618,$B360,PSUT_LARGA!$H$2:$H$618,$L360,PSUT_LARGA!$E$2:$E$618,$J360,PSUT_LARGA!$F$2:$F$618,$K360,PSUT_LARGA!$G$2:$G$618,$I360,PSUT_LARGA!$I$2:$I$618,$H360)</f>
        <v>93990.3454</v>
      </c>
      <c r="N360" s="14" t="n">
        <f aca="false">IF($H360="TRANSFORMACION_REFINERIA",$M360*INDEX(PARAMETROS!$C$27:$C$33,MATCH($B360,PARAMETROS!$A$27:$A$33,0)),$M360)</f>
        <v>93990.3454</v>
      </c>
      <c r="O360" s="4" t="inlineStr">
        <is>
          <t>COMB_GAS</t>
        </is>
      </c>
      <c r="P360" s="4" t="s">
        <v>3352</v>
      </c>
      <c r="Q360" s="11" t="n">
        <f aca="false">MIN($B360,2022)</f>
        <v>2022</v>
      </c>
      <c r="R360" s="8" t="str">
        <f>IF(COUNT($S360:$U360)=0,"NO",IF($O360="CERO_DIRECTO","CAL",IF(OR($B360&gt;$Q360,COUNTIFS(DATOS_MODELO!$C$2:$C$3672,$Q360&amp;"|"&amp;$E360&amp;"|"&amp;$O360&amp;"|*",DATOS_MODELO!$F$2:$F$3672,"PRX",DATOS_MODELO!$AA$2:$AA$3672,"&lt;&gt;")&gt;0),"PRX",IF(COUNTIFS(DATOS_MODELO!$C$2:$C$3672,$Q360&amp;"|"&amp;$E360&amp;"|"&amp;$O360&amp;"|*",DATOS_MODELO!$F$2:$F$3672,"CAL",DATOS_MODELO!$AA$2:$AA$3672,"&lt;&gt;")&gt;0,"CAL","OBS"))))</f>
        <v>PRX</v>
      </c>
      <c r="S360" s="14">
        <f>IF(COUNTIFS(DATOS_MODELO!$C$2:$C$3672,$Q360&amp;"|"&amp;$E360&amp;"|"&amp;$O360&amp;"|CO2",DATOS_MODELO!$AA$2:$AA$3672,"&lt;&gt;")=0,"",INDEX(DATOS_MODELO!$AA$2:$AA$3672,MATCH($Q360&amp;"|"&amp;$E360&amp;"|"&amp;$O360&amp;"|CO2",DATOS_MODELO!$C$2:$C$3672,0)))</f>
        <v>69300.6912813097</v>
      </c>
      <c r="T360" s="14">
        <f>IF(COUNTIFS(DATOS_MODELO!$C$2:$C$3672,$Q360&amp;"|"&amp;$E360&amp;"|"&amp;$O360&amp;"|CH4",DATOS_MODELO!$AA$2:$AA$3672,"&lt;&gt;")=0,"",INDEX(DATOS_MODELO!$AA$2:$AA$3672,MATCH($Q360&amp;"|"&amp;$E360&amp;"|"&amp;$O360&amp;"|CH4",DATOS_MODELO!$C$2:$C$3672,0)))</f>
        <v>32.9679032524748</v>
      </c>
      <c r="U360" s="14">
        <f>IF(COUNTIFS(DATOS_MODELO!$C$2:$C$3672,$Q360&amp;"|"&amp;$E360&amp;"|"&amp;$O360&amp;"|N2O",DATOS_MODELO!$AA$2:$AA$3672,"&lt;&gt;")=0,"",INDEX(DATOS_MODELO!$AA$2:$AA$3672,MATCH($Q360&amp;"|"&amp;$E360&amp;"|"&amp;$O360&amp;"|N2O",DATOS_MODELO!$C$2:$C$3672,0)))</f>
        <v>3.19881485400936</v>
      </c>
      <c r="V360" s="8"/>
      <c r="W360" s="14"/>
      <c r="X360" s="14">
        <f>IF($P360="BIOGENICO",0,IF(ISNUMBER($S360),$N360*$S360/PARAMETROS!$B$8,""))</f>
        <v>6513.59590998907</v>
      </c>
      <c r="Y360" s="14">
        <f>IF($P360="BIOGENICO",IF(ISNUMBER($S360),$N360*$S360/PARAMETROS!$B$8,""),0)</f>
        <v>0.0</v>
      </c>
      <c r="Z360" s="14">
        <f>IF(ISNUMBER($T360),$N360*$T360/PARAMETROS!$B$8,"")</f>
        <v>3.09866461381389</v>
      </c>
      <c r="AA360" s="14">
        <f>IF(ISNUMBER($U360),$N360*$U360/PARAMETROS!$B$8,"")</f>
        <v>0.30065771299899</v>
      </c>
      <c r="AB360" s="14">
        <f>IF(COUNT($X360,$Z360,$AA360)=0,"",SUM($X360,IF(ISNUMBER($Z360),$Z360*PARAMETROS!$B$9,0),IF(ISNUMBER($AA360),$AA360*PARAMETROS!$B$10,0)))</f>
        <v>6680.03281312059</v>
      </c>
      <c r="AC360" s="4" t="s">
        <v>1990</v>
      </c>
      <c r="AD360" s="4"/>
      <c r="AE360" s="4" t="s">
        <v>5690</v>
      </c>
      <c r="AF360" s="4" t="s">
        <v>170</v>
      </c>
      <c r="AG360" s="4" t="s">
        <v>3999</v>
      </c>
      <c r="AH360" s="4" t="inlineStr">
        <is>
          <t>Origen de factores: CO2: UNFCCC_GTM_CRT_2024 [PRX; GTM-CRT-2024-V0.3-2022-20250304-084824_started.xlsx; Table1.A(a)s3; AD=C17+C21; EM=H17+H21; IEF=E17+E21]; CH4: UNFCCC_GTM_CRT_2024 [PRX; GTM-CRT-2024-V0.3-2022-20250304-084824_started.xlsx; Table1.A(a)s3; AD=C17+C21; EM=I17+I21; IEF=F17+F21]; N2O: UNFCCC_GTM_CRT_2024 [PRX; GTM-CRT-2024-V0.3-2022-20250304-084824_started.xlsx; Table1.A(a)s3; AD=C17+C21; EM=J17+J21; IEF=G17+G21].</t>
        </is>
      </c>
    </row>
    <row r="361" customFormat="false" ht="15" hidden="false" customHeight="false" outlineLevel="0" collapsed="false">
      <c r="A361" s="4" t="s">
        <v>6147</v>
      </c>
      <c r="B361" s="12" t="n">
        <v>2024</v>
      </c>
      <c r="C361" s="4" t="s">
        <v>71</v>
      </c>
      <c r="D361" s="4" t="s">
        <v>5685</v>
      </c>
      <c r="E361" s="4" t="s">
        <v>3412</v>
      </c>
      <c r="F361" s="4" t="s">
        <v>3413</v>
      </c>
      <c r="G361" s="4" t="s">
        <v>105</v>
      </c>
      <c r="H361" s="4" t="s">
        <v>2123</v>
      </c>
      <c r="I361" s="4" t="s">
        <v>71</v>
      </c>
      <c r="J361" s="4" t="s">
        <v>2001</v>
      </c>
      <c r="K361" s="4" t="s">
        <v>2002</v>
      </c>
      <c r="L361" s="4" t="s">
        <v>1937</v>
      </c>
      <c r="M361" s="14" t="n">
        <f aca="false">SUMIFS(PSUT_LARGA!$K$2:$K$618,PSUT_LARGA!$B$2:$B$618,$B361,PSUT_LARGA!$H$2:$H$618,$L361,PSUT_LARGA!$E$2:$E$618,$J361,PSUT_LARGA!$F$2:$F$618,$K361,PSUT_LARGA!$G$2:$G$618,$I361,PSUT_LARGA!$I$2:$I$618,$H361)</f>
        <v>257.6735</v>
      </c>
      <c r="N361" s="14" t="n">
        <f aca="false">IF($H361="TRANSFORMACION_REFINERIA",$M361*INDEX(PARAMETROS!$C$27:$C$33,MATCH($B361,PARAMETROS!$A$27:$A$33,0)),$M361)</f>
        <v>257.6735</v>
      </c>
      <c r="O361" s="4" t="inlineStr">
        <is>
          <t>COMB_GLP</t>
        </is>
      </c>
      <c r="P361" s="4" t="s">
        <v>3352</v>
      </c>
      <c r="Q361" s="11" t="n">
        <f aca="false">MIN($B361,2022)</f>
        <v>2022</v>
      </c>
      <c r="R361" s="8" t="str">
        <f>IF(COUNT($S361:$U361)=0,"NO",IF($O361="CERO_DIRECTO","CAL",IF(OR($B361&gt;$Q361,COUNTIFS(DATOS_MODELO!$C$2:$C$3672,$Q361&amp;"|"&amp;$E361&amp;"|"&amp;$O361&amp;"|*",DATOS_MODELO!$F$2:$F$3672,"PRX",DATOS_MODELO!$AA$2:$AA$3672,"&lt;&gt;")&gt;0),"PRX",IF(COUNTIFS(DATOS_MODELO!$C$2:$C$3672,$Q361&amp;"|"&amp;$E361&amp;"|"&amp;$O361&amp;"|*",DATOS_MODELO!$F$2:$F$3672,"CAL",DATOS_MODELO!$AA$2:$AA$3672,"&lt;&gt;")&gt;0,"CAL","OBS"))))</f>
        <v>PRX</v>
      </c>
      <c r="S361" s="14">
        <f>IF(COUNTIFS(DATOS_MODELO!$C$2:$C$3672,$Q361&amp;"|"&amp;$E361&amp;"|"&amp;$O361&amp;"|CO2",DATOS_MODELO!$AA$2:$AA$3672,"&lt;&gt;")=0,"",INDEX(DATOS_MODELO!$AA$2:$AA$3672,MATCH($Q361&amp;"|"&amp;$E361&amp;"|"&amp;$O361&amp;"|CO2",DATOS_MODELO!$C$2:$C$3672,0)))</f>
        <v>63100.0002354194</v>
      </c>
      <c r="T361" s="14">
        <f>IF(COUNTIFS(DATOS_MODELO!$C$2:$C$3672,$Q361&amp;"|"&amp;$E361&amp;"|"&amp;$O361&amp;"|CH4",DATOS_MODELO!$AA$2:$AA$3672,"&lt;&gt;")=0,"",INDEX(DATOS_MODELO!$AA$2:$AA$3672,MATCH($Q361&amp;"|"&amp;$E361&amp;"|"&amp;$O361&amp;"|CH4",DATOS_MODELO!$C$2:$C$3672,0)))</f>
        <v>61.9999810820671</v>
      </c>
      <c r="U361" s="14">
        <f>IF(COUNTIFS(DATOS_MODELO!$C$2:$C$3672,$Q361&amp;"|"&amp;$E361&amp;"|"&amp;$O361&amp;"|N2O",DATOS_MODELO!$AA$2:$AA$3672,"&lt;&gt;")=0,"",INDEX(DATOS_MODELO!$AA$2:$AA$3672,MATCH($Q361&amp;"|"&amp;$E361&amp;"|"&amp;$O361&amp;"|N2O",DATOS_MODELO!$C$2:$C$3672,0)))</f>
        <v>0.200001027744971</v>
      </c>
      <c r="V361" s="8"/>
      <c r="W361" s="14"/>
      <c r="X361" s="14">
        <f>IF($P361="BIOGENICO",0,IF(ISNUMBER($S361),$N361*$S361/PARAMETROS!$B$8,""))</f>
        <v>16.2591979106613</v>
      </c>
      <c r="Y361" s="14">
        <f>IF($P361="BIOGENICO",IF(ISNUMBER($S361),$N361*$S361/PARAMETROS!$B$8,""),0)</f>
        <v>0.0</v>
      </c>
      <c r="Z361" s="14">
        <f>IF(ISNUMBER($T361),$N361*$T361/PARAMETROS!$B$8,"")</f>
        <v>0.01597575212535</v>
      </c>
      <c r="AA361" s="14">
        <f>IF(ISNUMBER($U361),$N361*$U361/PARAMETROS!$B$8,"")</f>
        <v>5.15349648226438e-05</v>
      </c>
      <c r="AB361" s="14">
        <f>IF(COUNT($X361,$Z361,$AA361)=0,"",SUM($X361,IF(ISNUMBER($Z361),$Z361*PARAMETROS!$B$9,0),IF(ISNUMBER($AA361),$AA361*PARAMETROS!$B$10,0)))</f>
        <v>16.7201757358491</v>
      </c>
      <c r="AC361" s="4" t="s">
        <v>1990</v>
      </c>
      <c r="AD361" s="4"/>
      <c r="AE361" s="4" t="s">
        <v>5690</v>
      </c>
      <c r="AF361" s="4" t="s">
        <v>170</v>
      </c>
      <c r="AG361" s="4" t="s">
        <v>3999</v>
      </c>
      <c r="AH361" s="4" t="inlineStr">
        <is>
          <t>Origen de factores: CO2: UNFCCC_GTM_CRT_2024 [OBS; GTM-CRT-2024-V0.3-2022-20250304-084824_started.xlsx; Table1.A(a)s3; AD=C23; EM=H23; IEF=E23]; CH4: UNFCCC_GTM_CRT_2024 [OBS; GTM-CRT-2024-V0.3-2022-20250304-084824_started.xlsx; Table1.A(a)s3; AD=C23; EM=I23; IEF=F23]; N2O: UNFCCC_GTM_CRT_2024 [OBS; GTM-CRT-2024-V0.3-2022-20250304-084824_started.xlsx; Table1.A(a)s3; AD=C23; EM=J23; IEF=G23].</t>
        </is>
      </c>
    </row>
    <row r="362" customFormat="false" ht="15" hidden="false" customHeight="false" outlineLevel="0" collapsed="false">
      <c r="A362" s="4" t="s">
        <v>6148</v>
      </c>
      <c r="B362" s="12" t="n">
        <v>2024</v>
      </c>
      <c r="C362" s="4" t="s">
        <v>71</v>
      </c>
      <c r="D362" s="4" t="s">
        <v>5685</v>
      </c>
      <c r="E362" s="4" t="s">
        <v>3412</v>
      </c>
      <c r="F362" s="4" t="s">
        <v>3413</v>
      </c>
      <c r="G362" s="4" t="s">
        <v>107</v>
      </c>
      <c r="H362" s="4" t="s">
        <v>2123</v>
      </c>
      <c r="I362" s="4" t="s">
        <v>71</v>
      </c>
      <c r="J362" s="4" t="s">
        <v>2001</v>
      </c>
      <c r="K362" s="4" t="s">
        <v>2002</v>
      </c>
      <c r="L362" s="4" t="s">
        <v>1951</v>
      </c>
      <c r="M362" s="14" t="n">
        <f aca="false">SUMIFS(PSUT_LARGA!$K$2:$K$618,PSUT_LARGA!$B$2:$B$618,$B362,PSUT_LARGA!$H$2:$H$618,$L362,PSUT_LARGA!$E$2:$E$618,$J362,PSUT_LARGA!$F$2:$F$618,$K362,PSUT_LARGA!$G$2:$G$618,$I362,PSUT_LARGA!$I$2:$I$618,$H362)</f>
        <v>5611.1237</v>
      </c>
      <c r="N362" s="14" t="n">
        <f aca="false">IF($H362="TRANSFORMACION_REFINERIA",$M362*INDEX(PARAMETROS!$C$27:$C$33,MATCH($B362,PARAMETROS!$A$27:$A$33,0)),$M362)</f>
        <v>5611.1237</v>
      </c>
      <c r="O362" s="4" t="inlineStr">
        <is>
          <t>COMB_KER</t>
        </is>
      </c>
      <c r="P362" s="4" t="s">
        <v>3352</v>
      </c>
      <c r="Q362" s="11" t="n">
        <f aca="false">MIN($B362,2022)</f>
        <v>2022</v>
      </c>
      <c r="R362" s="8" t="str">
        <f>IF(COUNT($S362:$U362)=0,"NO",IF($O362="CERO_DIRECTO","CAL",IF(OR($B362&gt;$Q362,COUNTIFS(DATOS_MODELO!$C$2:$C$3672,$Q362&amp;"|"&amp;$E362&amp;"|"&amp;$O362&amp;"|*",DATOS_MODELO!$F$2:$F$3672,"PRX",DATOS_MODELO!$AA$2:$AA$3672,"&lt;&gt;")&gt;0),"PRX",IF(COUNTIFS(DATOS_MODELO!$C$2:$C$3672,$Q362&amp;"|"&amp;$E362&amp;"|"&amp;$O362&amp;"|*",DATOS_MODELO!$F$2:$F$3672,"CAL",DATOS_MODELO!$AA$2:$AA$3672,"&lt;&gt;")&gt;0,"CAL","OBS"))))</f>
        <v>PRX</v>
      </c>
      <c r="S362" s="14">
        <f>IF(COUNTIFS(DATOS_MODELO!$C$2:$C$3672,$Q362&amp;"|"&amp;$E362&amp;"|"&amp;$O362&amp;"|CO2",DATOS_MODELO!$AA$2:$AA$3672,"&lt;&gt;")=0,"",INDEX(DATOS_MODELO!$AA$2:$AA$3672,MATCH($Q362&amp;"|"&amp;$E362&amp;"|"&amp;$O362&amp;"|CO2",DATOS_MODELO!$C$2:$C$3672,0)))</f>
        <v>71500.0</v>
      </c>
      <c r="T362" s="14">
        <f>IF(COUNTIFS(DATOS_MODELO!$C$2:$C$3672,$Q362&amp;"|"&amp;$E362&amp;"|"&amp;$O362&amp;"|CH4",DATOS_MODELO!$AA$2:$AA$3672,"&lt;&gt;")=0,"",INDEX(DATOS_MODELO!$AA$2:$AA$3672,MATCH($Q362&amp;"|"&amp;$E362&amp;"|"&amp;$O362&amp;"|CH4",DATOS_MODELO!$C$2:$C$3672,0)))</f>
        <v>0.5</v>
      </c>
      <c r="U362" s="14">
        <f>IF(COUNTIFS(DATOS_MODELO!$C$2:$C$3672,$Q362&amp;"|"&amp;$E362&amp;"|"&amp;$O362&amp;"|N2O",DATOS_MODELO!$AA$2:$AA$3672,"&lt;&gt;")=0,"",INDEX(DATOS_MODELO!$AA$2:$AA$3672,MATCH($Q362&amp;"|"&amp;$E362&amp;"|"&amp;$O362&amp;"|N2O",DATOS_MODELO!$C$2:$C$3672,0)))</f>
        <v>2.0</v>
      </c>
      <c r="V362" s="8"/>
      <c r="W362" s="14"/>
      <c r="X362" s="14">
        <f>IF($P362="BIOGENICO",0,IF(ISNUMBER($S362),$N362*$S362/PARAMETROS!$B$8,""))</f>
        <v>401.19534455</v>
      </c>
      <c r="Y362" s="14">
        <f>IF($P362="BIOGENICO",IF(ISNUMBER($S362),$N362*$S362/PARAMETROS!$B$8,""),0)</f>
        <v>0.0</v>
      </c>
      <c r="Z362" s="14">
        <f>IF(ISNUMBER($T362),$N362*$T362/PARAMETROS!$B$8,"")</f>
        <v>0.00280556185</v>
      </c>
      <c r="AA362" s="14">
        <f>IF(ISNUMBER($U362),$N362*$U362/PARAMETROS!$B$8,"")</f>
        <v>0.0112222474</v>
      </c>
      <c r="AB362" s="14">
        <f>IF(COUNT($X362,$Z362,$AA362)=0,"",SUM($X362,IF(ISNUMBER($Z362),$Z362*PARAMETROS!$B$9,0),IF(ISNUMBER($AA362),$AA362*PARAMETROS!$B$10,0)))</f>
        <v>404.2477958428</v>
      </c>
      <c r="AC362" s="4" t="s">
        <v>1990</v>
      </c>
      <c r="AD362" s="4"/>
      <c r="AE362" s="4" t="s">
        <v>5690</v>
      </c>
      <c r="AF362" s="4" t="s">
        <v>170</v>
      </c>
      <c r="AG362" s="4" t="inlineStr">
        <is>
          <t>IPCC_2006_GL</t>
        </is>
      </c>
      <c r="AH362" s="4" t="inlineStr">
        <is>
          <t>Origen de factores: CO2: IPCC_2006_GL [PRX; Volumen 2, capítulo 3, tabla 3.6.4, p. 3.64; fila Jet Kerosene; gas CO2]; CH4: IPCC_2006_GL [PRX; Volumen 2, capítulo 3, tabla 3.6.5, p. 3.64; fila All fuels; gas CH4]; N2O: IPCC_2006_GL [PRX; Volumen 2, capítulo 3, tabla 3.6.5, p. 3.64; fila All fuels; gas N2O].</t>
        </is>
      </c>
    </row>
    <row r="363" customFormat="false" ht="15" hidden="false" customHeight="false" outlineLevel="0" collapsed="false">
      <c r="A363" s="4" t="s">
        <v>6149</v>
      </c>
      <c r="B363" s="12" t="n">
        <v>2024</v>
      </c>
      <c r="C363" s="4" t="s">
        <v>65</v>
      </c>
      <c r="D363" s="4" t="s">
        <v>5734</v>
      </c>
      <c r="E363" s="4" t="s">
        <v>4024</v>
      </c>
      <c r="F363" s="4" t="s">
        <v>5735</v>
      </c>
      <c r="G363" s="4"/>
      <c r="H363" s="4" t="s">
        <v>6081</v>
      </c>
      <c r="I363" s="4" t="s">
        <v>65</v>
      </c>
      <c r="J363" s="4"/>
      <c r="K363" s="4"/>
      <c r="L363" s="4" t="s">
        <v>6150</v>
      </c>
      <c r="M363" s="14"/>
      <c r="N363" s="14"/>
      <c r="O363" s="4" t="s">
        <v>4011</v>
      </c>
      <c r="P363" s="4" t="s">
        <v>4019</v>
      </c>
      <c r="Q363" s="11" t="n">
        <f aca="false">MIN($B363,2022)</f>
        <v>2022</v>
      </c>
      <c r="R363" s="4" t="s">
        <v>3894</v>
      </c>
      <c r="S363" s="14"/>
      <c r="T363" s="14"/>
      <c r="U363" s="14"/>
      <c r="V363" s="4" t="s">
        <v>4018</v>
      </c>
      <c r="W363" s="14" t="n">
        <f aca="false">SUMIFS($W$2:$W$375,$B$2:$B$375,2022,$E$2:$E$375,$E363,$V$2:$V$375,$V363)*INDEX(PARAMETROS!$C$17:$C$23,MATCH($B363,PARAMETROS!$A$17:$A$23,0))</f>
        <v>176.495679033602</v>
      </c>
      <c r="X363" s="14" t="n">
        <f aca="false">IF($V363="CO2",$W363,0)</f>
        <v>0</v>
      </c>
      <c r="Y363" s="14" t="n">
        <f aca="false">0</f>
        <v>0</v>
      </c>
      <c r="Z363" s="14" t="n">
        <f aca="false">IF($V363="CH4",$W363,0)</f>
        <v>176.495679033602</v>
      </c>
      <c r="AA363" s="14" t="n">
        <f aca="false">IF($V363="N2O",$W363,0)</f>
        <v>0</v>
      </c>
      <c r="AB363" s="14" t="n">
        <f aca="false">$X363+$Z363*PARAMETROS!$B$9+$AA363*PARAMETROS!$B$10</f>
        <v>4941.87901294087</v>
      </c>
      <c r="AC363" s="4" t="s">
        <v>3894</v>
      </c>
      <c r="AD363" s="4"/>
      <c r="AE363" s="4" t="s">
        <v>6083</v>
      </c>
      <c r="AF363" s="4" t="s">
        <v>4242</v>
      </c>
      <c r="AG363" s="4" t="s">
        <v>3999</v>
      </c>
      <c r="AH363" s="4"/>
    </row>
    <row r="364" customFormat="false" ht="15" hidden="false" customHeight="false" outlineLevel="0" collapsed="false">
      <c r="A364" s="4" t="s">
        <v>6151</v>
      </c>
      <c r="B364" s="12" t="n">
        <v>2024</v>
      </c>
      <c r="C364" s="4" t="s">
        <v>65</v>
      </c>
      <c r="D364" s="4" t="s">
        <v>5734</v>
      </c>
      <c r="E364" s="4" t="s">
        <v>4030</v>
      </c>
      <c r="F364" s="4" t="s">
        <v>5739</v>
      </c>
      <c r="G364" s="4"/>
      <c r="H364" s="4" t="s">
        <v>6081</v>
      </c>
      <c r="I364" s="4" t="s">
        <v>65</v>
      </c>
      <c r="J364" s="4"/>
      <c r="K364" s="4"/>
      <c r="L364" s="4" t="s">
        <v>6152</v>
      </c>
      <c r="M364" s="14"/>
      <c r="N364" s="14"/>
      <c r="O364" s="4" t="s">
        <v>4011</v>
      </c>
      <c r="P364" s="4" t="s">
        <v>4019</v>
      </c>
      <c r="Q364" s="11" t="n">
        <f aca="false">MIN($B364,2022)</f>
        <v>2022</v>
      </c>
      <c r="R364" s="4" t="s">
        <v>3894</v>
      </c>
      <c r="S364" s="14"/>
      <c r="T364" s="14"/>
      <c r="U364" s="14"/>
      <c r="V364" s="4" t="s">
        <v>4018</v>
      </c>
      <c r="W364" s="14" t="n">
        <f aca="false">SUMIFS($W$2:$W$375,$B$2:$B$375,2022,$E$2:$E$375,$E364,$V$2:$V$375,$V364)*INDEX(PARAMETROS!$C$17:$C$23,MATCH($B364,PARAMETROS!$A$17:$A$23,0))</f>
        <v>6.25969219772685</v>
      </c>
      <c r="X364" s="14" t="n">
        <f aca="false">IF($V364="CO2",$W364,0)</f>
        <v>0</v>
      </c>
      <c r="Y364" s="14" t="n">
        <f aca="false">0</f>
        <v>0</v>
      </c>
      <c r="Z364" s="14" t="n">
        <f aca="false">IF($V364="CH4",$W364,0)</f>
        <v>6.25969219772685</v>
      </c>
      <c r="AA364" s="14" t="n">
        <f aca="false">IF($V364="N2O",$W364,0)</f>
        <v>0</v>
      </c>
      <c r="AB364" s="14" t="n">
        <f aca="false">$X364+$Z364*PARAMETROS!$B$9+$AA364*PARAMETROS!$B$10</f>
        <v>175.271381536352</v>
      </c>
      <c r="AC364" s="4" t="s">
        <v>3894</v>
      </c>
      <c r="AD364" s="4"/>
      <c r="AE364" s="4" t="s">
        <v>6083</v>
      </c>
      <c r="AF364" s="4" t="s">
        <v>4242</v>
      </c>
      <c r="AG364" s="4" t="s">
        <v>3999</v>
      </c>
      <c r="AH364" s="4"/>
    </row>
    <row r="365" customFormat="false" ht="15" hidden="false" customHeight="false" outlineLevel="0" collapsed="false">
      <c r="A365" s="4" t="s">
        <v>6153</v>
      </c>
      <c r="B365" s="12" t="n">
        <v>2024</v>
      </c>
      <c r="C365" s="4" t="s">
        <v>65</v>
      </c>
      <c r="D365" s="4" t="s">
        <v>5734</v>
      </c>
      <c r="E365" s="4" t="s">
        <v>4030</v>
      </c>
      <c r="F365" s="4" t="s">
        <v>5739</v>
      </c>
      <c r="G365" s="4"/>
      <c r="H365" s="4" t="s">
        <v>6081</v>
      </c>
      <c r="I365" s="4" t="s">
        <v>65</v>
      </c>
      <c r="J365" s="4"/>
      <c r="K365" s="4"/>
      <c r="L365" s="4" t="s">
        <v>6154</v>
      </c>
      <c r="M365" s="14"/>
      <c r="N365" s="14"/>
      <c r="O365" s="4" t="s">
        <v>4011</v>
      </c>
      <c r="P365" s="4" t="s">
        <v>4019</v>
      </c>
      <c r="Q365" s="11" t="n">
        <f aca="false">MIN($B365,2022)</f>
        <v>2022</v>
      </c>
      <c r="R365" s="4" t="s">
        <v>3894</v>
      </c>
      <c r="S365" s="14"/>
      <c r="T365" s="14"/>
      <c r="U365" s="14"/>
      <c r="V365" s="4" t="s">
        <v>4048</v>
      </c>
      <c r="W365" s="14" t="n">
        <f aca="false">SUMIFS($W$2:$W$375,$B$2:$B$375,2022,$E$2:$E$375,$E365,$V$2:$V$375,$V365)*INDEX(PARAMETROS!$C$17:$C$23,MATCH($B365,PARAMETROS!$A$17:$A$23,0))</f>
        <v>0.920223922534038</v>
      </c>
      <c r="X365" s="14" t="n">
        <f aca="false">IF($V365="CO2",$W365,0)</f>
        <v>0</v>
      </c>
      <c r="Y365" s="14" t="n">
        <f aca="false">0</f>
        <v>0</v>
      </c>
      <c r="Z365" s="14" t="n">
        <f aca="false">IF($V365="CH4",$W365,0)</f>
        <v>0</v>
      </c>
      <c r="AA365" s="14" t="n">
        <f aca="false">IF($V365="N2O",$W365,0)</f>
        <v>0.920223922534038</v>
      </c>
      <c r="AB365" s="14" t="n">
        <f aca="false">$X365+$Z365*PARAMETROS!$B$9+$AA365*PARAMETROS!$B$10</f>
        <v>243.85933947152</v>
      </c>
      <c r="AC365" s="4" t="s">
        <v>3894</v>
      </c>
      <c r="AD365" s="4"/>
      <c r="AE365" s="4" t="s">
        <v>6083</v>
      </c>
      <c r="AF365" s="4" t="s">
        <v>4242</v>
      </c>
      <c r="AG365" s="4" t="s">
        <v>3999</v>
      </c>
      <c r="AH365" s="4"/>
    </row>
    <row r="366" customFormat="false" ht="15" hidden="false" customHeight="false" outlineLevel="0" collapsed="false">
      <c r="A366" s="4" t="s">
        <v>6155</v>
      </c>
      <c r="B366" s="12" t="n">
        <v>2024</v>
      </c>
      <c r="C366" s="4" t="s">
        <v>65</v>
      </c>
      <c r="D366" s="4" t="s">
        <v>5734</v>
      </c>
      <c r="E366" s="4" t="s">
        <v>4036</v>
      </c>
      <c r="F366" s="4" t="s">
        <v>5744</v>
      </c>
      <c r="G366" s="4"/>
      <c r="H366" s="4" t="s">
        <v>6081</v>
      </c>
      <c r="I366" s="4" t="s">
        <v>65</v>
      </c>
      <c r="J366" s="4"/>
      <c r="K366" s="4"/>
      <c r="L366" s="4" t="s">
        <v>6156</v>
      </c>
      <c r="M366" s="14"/>
      <c r="N366" s="14"/>
      <c r="O366" s="4" t="s">
        <v>4011</v>
      </c>
      <c r="P366" s="4" t="s">
        <v>4019</v>
      </c>
      <c r="Q366" s="11" t="n">
        <f aca="false">MIN($B366,2022)</f>
        <v>2022</v>
      </c>
      <c r="R366" s="4" t="s">
        <v>3894</v>
      </c>
      <c r="S366" s="14"/>
      <c r="T366" s="14"/>
      <c r="U366" s="14"/>
      <c r="V366" s="4" t="s">
        <v>4018</v>
      </c>
      <c r="W366" s="14" t="n">
        <f aca="false">SUMIFS($W$2:$W$375,$B$2:$B$375,2022,$E$2:$E$375,$E366,$V$2:$V$375,$V366)*INDEX(PARAMETROS!$C$17:$C$23,MATCH($B366,PARAMETROS!$A$17:$A$23,0))</f>
        <v>0.849148802113389</v>
      </c>
      <c r="X366" s="14" t="n">
        <f aca="false">IF($V366="CO2",$W366,0)</f>
        <v>0</v>
      </c>
      <c r="Y366" s="14" t="n">
        <f aca="false">0</f>
        <v>0</v>
      </c>
      <c r="Z366" s="14" t="n">
        <f aca="false">IF($V366="CH4",$W366,0)</f>
        <v>0.849148802113389</v>
      </c>
      <c r="AA366" s="14" t="n">
        <f aca="false">IF($V366="N2O",$W366,0)</f>
        <v>0</v>
      </c>
      <c r="AB366" s="14" t="n">
        <f aca="false">$X366+$Z366*PARAMETROS!$B$9+$AA366*PARAMETROS!$B$10</f>
        <v>23.7761664591749</v>
      </c>
      <c r="AC366" s="4" t="s">
        <v>3894</v>
      </c>
      <c r="AD366" s="4"/>
      <c r="AE366" s="4" t="s">
        <v>6083</v>
      </c>
      <c r="AF366" s="4" t="s">
        <v>4242</v>
      </c>
      <c r="AG366" s="4" t="s">
        <v>3999</v>
      </c>
      <c r="AH366" s="4"/>
    </row>
    <row r="367" customFormat="false" ht="15" hidden="false" customHeight="false" outlineLevel="0" collapsed="false">
      <c r="A367" s="4" t="s">
        <v>6157</v>
      </c>
      <c r="B367" s="12" t="n">
        <v>2024</v>
      </c>
      <c r="C367" s="4" t="s">
        <v>65</v>
      </c>
      <c r="D367" s="4" t="s">
        <v>5734</v>
      </c>
      <c r="E367" s="4" t="s">
        <v>4057</v>
      </c>
      <c r="F367" s="4" t="s">
        <v>5747</v>
      </c>
      <c r="G367" s="4"/>
      <c r="H367" s="4" t="s">
        <v>6081</v>
      </c>
      <c r="I367" s="4" t="s">
        <v>65</v>
      </c>
      <c r="J367" s="4"/>
      <c r="K367" s="4"/>
      <c r="L367" s="4" t="s">
        <v>6158</v>
      </c>
      <c r="M367" s="14"/>
      <c r="N367" s="14"/>
      <c r="O367" s="4" t="s">
        <v>4011</v>
      </c>
      <c r="P367" s="4" t="s">
        <v>4019</v>
      </c>
      <c r="Q367" s="11" t="n">
        <f aca="false">MIN($B367,2022)</f>
        <v>2022</v>
      </c>
      <c r="R367" s="4" t="s">
        <v>3894</v>
      </c>
      <c r="S367" s="14"/>
      <c r="T367" s="14"/>
      <c r="U367" s="14"/>
      <c r="V367" s="4" t="s">
        <v>4048</v>
      </c>
      <c r="W367" s="14" t="n">
        <f aca="false">SUMIFS($W$2:$W$375,$B$2:$B$375,2022,$E$2:$E$375,$E367,$V$2:$V$375,$V367)*INDEX(PARAMETROS!$C$17:$C$23,MATCH($B367,PARAMETROS!$A$17:$A$23,0))</f>
        <v>3.27534938297871</v>
      </c>
      <c r="X367" s="14" t="n">
        <f aca="false">IF($V367="CO2",$W367,0)</f>
        <v>0</v>
      </c>
      <c r="Y367" s="14" t="n">
        <f aca="false">0</f>
        <v>0</v>
      </c>
      <c r="Z367" s="14" t="n">
        <f aca="false">IF($V367="CH4",$W367,0)</f>
        <v>0</v>
      </c>
      <c r="AA367" s="14" t="n">
        <f aca="false">IF($V367="N2O",$W367,0)</f>
        <v>3.27534938297871</v>
      </c>
      <c r="AB367" s="14" t="n">
        <f aca="false">$X367+$Z367*PARAMETROS!$B$9+$AA367*PARAMETROS!$B$10</f>
        <v>867.967586489358</v>
      </c>
      <c r="AC367" s="4" t="s">
        <v>3894</v>
      </c>
      <c r="AD367" s="4"/>
      <c r="AE367" s="4" t="s">
        <v>6083</v>
      </c>
      <c r="AF367" s="4" t="s">
        <v>4242</v>
      </c>
      <c r="AG367" s="4" t="s">
        <v>3999</v>
      </c>
      <c r="AH367" s="4"/>
    </row>
    <row r="368" customFormat="false" ht="15" hidden="false" customHeight="false" outlineLevel="0" collapsed="false">
      <c r="A368" s="4" t="s">
        <v>6159</v>
      </c>
      <c r="B368" s="12" t="n">
        <v>2024</v>
      </c>
      <c r="C368" s="4" t="s">
        <v>65</v>
      </c>
      <c r="D368" s="4" t="s">
        <v>5734</v>
      </c>
      <c r="E368" s="4" t="s">
        <v>4042</v>
      </c>
      <c r="F368" s="4" t="s">
        <v>5750</v>
      </c>
      <c r="G368" s="4"/>
      <c r="H368" s="4" t="s">
        <v>6081</v>
      </c>
      <c r="I368" s="4" t="s">
        <v>65</v>
      </c>
      <c r="J368" s="4"/>
      <c r="K368" s="4"/>
      <c r="L368" s="4" t="s">
        <v>6160</v>
      </c>
      <c r="M368" s="14"/>
      <c r="N368" s="14"/>
      <c r="O368" s="4" t="s">
        <v>4011</v>
      </c>
      <c r="P368" s="4" t="s">
        <v>4019</v>
      </c>
      <c r="Q368" s="11" t="n">
        <f aca="false">MIN($B368,2022)</f>
        <v>2022</v>
      </c>
      <c r="R368" s="4" t="s">
        <v>3894</v>
      </c>
      <c r="S368" s="14"/>
      <c r="T368" s="14"/>
      <c r="U368" s="14"/>
      <c r="V368" s="4" t="s">
        <v>4018</v>
      </c>
      <c r="W368" s="14" t="n">
        <f aca="false">SUMIFS($W$2:$W$375,$B$2:$B$375,2022,$E$2:$E$375,$E368,$V$2:$V$375,$V368)*INDEX(PARAMETROS!$C$17:$C$23,MATCH($B368,PARAMETROS!$A$17:$A$23,0))</f>
        <v>4.44965065708743</v>
      </c>
      <c r="X368" s="14" t="n">
        <f aca="false">IF($V368="CO2",$W368,0)</f>
        <v>0</v>
      </c>
      <c r="Y368" s="14" t="n">
        <f aca="false">0</f>
        <v>0</v>
      </c>
      <c r="Z368" s="14" t="n">
        <f aca="false">IF($V368="CH4",$W368,0)</f>
        <v>4.44965065708743</v>
      </c>
      <c r="AA368" s="14" t="n">
        <f aca="false">IF($V368="N2O",$W368,0)</f>
        <v>0</v>
      </c>
      <c r="AB368" s="14" t="n">
        <f aca="false">$X368+$Z368*PARAMETROS!$B$9+$AA368*PARAMETROS!$B$10</f>
        <v>124.590218398448</v>
      </c>
      <c r="AC368" s="4" t="s">
        <v>3894</v>
      </c>
      <c r="AD368" s="4"/>
      <c r="AE368" s="4" t="s">
        <v>6083</v>
      </c>
      <c r="AF368" s="4" t="s">
        <v>4242</v>
      </c>
      <c r="AG368" s="4" t="s">
        <v>3999</v>
      </c>
      <c r="AH368" s="4"/>
    </row>
    <row r="369" customFormat="false" ht="15" hidden="false" customHeight="false" outlineLevel="0" collapsed="false">
      <c r="A369" s="4" t="s">
        <v>6161</v>
      </c>
      <c r="B369" s="12" t="n">
        <v>2024</v>
      </c>
      <c r="C369" s="4" t="s">
        <v>65</v>
      </c>
      <c r="D369" s="4" t="s">
        <v>5734</v>
      </c>
      <c r="E369" s="4" t="s">
        <v>4042</v>
      </c>
      <c r="F369" s="4" t="s">
        <v>5750</v>
      </c>
      <c r="G369" s="4"/>
      <c r="H369" s="4" t="s">
        <v>6081</v>
      </c>
      <c r="I369" s="4" t="s">
        <v>65</v>
      </c>
      <c r="J369" s="4"/>
      <c r="K369" s="4"/>
      <c r="L369" s="4" t="s">
        <v>6162</v>
      </c>
      <c r="M369" s="14"/>
      <c r="N369" s="14"/>
      <c r="O369" s="4" t="s">
        <v>4011</v>
      </c>
      <c r="P369" s="4" t="s">
        <v>4019</v>
      </c>
      <c r="Q369" s="11" t="n">
        <f aca="false">MIN($B369,2022)</f>
        <v>2022</v>
      </c>
      <c r="R369" s="4" t="s">
        <v>3894</v>
      </c>
      <c r="S369" s="14"/>
      <c r="T369" s="14"/>
      <c r="U369" s="14"/>
      <c r="V369" s="4" t="s">
        <v>4048</v>
      </c>
      <c r="W369" s="14" t="n">
        <f aca="false">SUMIFS($W$2:$W$375,$B$2:$B$375,2022,$E$2:$E$375,$E369,$V$2:$V$375,$V369)*INDEX(PARAMETROS!$C$17:$C$23,MATCH($B369,PARAMETROS!$A$17:$A$23,0))</f>
        <v>0.406272451299287</v>
      </c>
      <c r="X369" s="14" t="n">
        <f aca="false">IF($V369="CO2",$W369,0)</f>
        <v>0</v>
      </c>
      <c r="Y369" s="14" t="n">
        <f aca="false">0</f>
        <v>0</v>
      </c>
      <c r="Z369" s="14" t="n">
        <f aca="false">IF($V369="CH4",$W369,0)</f>
        <v>0</v>
      </c>
      <c r="AA369" s="14" t="n">
        <f aca="false">IF($V369="N2O",$W369,0)</f>
        <v>0.406272451299287</v>
      </c>
      <c r="AB369" s="14" t="n">
        <f aca="false">$X369+$Z369*PARAMETROS!$B$9+$AA369*PARAMETROS!$B$10</f>
        <v>107.662199594311</v>
      </c>
      <c r="AC369" s="4" t="s">
        <v>3894</v>
      </c>
      <c r="AD369" s="4"/>
      <c r="AE369" s="4" t="s">
        <v>6083</v>
      </c>
      <c r="AF369" s="4" t="s">
        <v>4242</v>
      </c>
      <c r="AG369" s="4" t="s">
        <v>3999</v>
      </c>
      <c r="AH369" s="4"/>
    </row>
    <row r="370" customFormat="false" ht="15" hidden="false" customHeight="false" outlineLevel="0" collapsed="false">
      <c r="A370" s="4" t="s">
        <v>6163</v>
      </c>
      <c r="B370" s="12" t="n">
        <v>2024</v>
      </c>
      <c r="C370" s="4" t="s">
        <v>65</v>
      </c>
      <c r="D370" s="4" t="s">
        <v>5734</v>
      </c>
      <c r="E370" s="4" t="s">
        <v>5755</v>
      </c>
      <c r="F370" s="4" t="s">
        <v>5756</v>
      </c>
      <c r="G370" s="4"/>
      <c r="H370" s="4" t="s">
        <v>6081</v>
      </c>
      <c r="I370" s="4" t="s">
        <v>65</v>
      </c>
      <c r="J370" s="4"/>
      <c r="K370" s="4"/>
      <c r="L370" s="4" t="s">
        <v>6164</v>
      </c>
      <c r="M370" s="14"/>
      <c r="N370" s="14"/>
      <c r="O370" s="4" t="s">
        <v>4011</v>
      </c>
      <c r="P370" s="4" t="s">
        <v>4019</v>
      </c>
      <c r="Q370" s="11" t="n">
        <f aca="false">MIN($B370,2022)</f>
        <v>2022</v>
      </c>
      <c r="R370" s="4" t="s">
        <v>3894</v>
      </c>
      <c r="S370" s="14"/>
      <c r="T370" s="14"/>
      <c r="U370" s="14"/>
      <c r="V370" s="4" t="s">
        <v>4018</v>
      </c>
      <c r="W370" s="14" t="n">
        <f aca="false">SUMIFS($W$2:$W$375,$B$2:$B$375,2022,$E$2:$E$375,$E370,$V$2:$V$375,$V370)*INDEX(PARAMETROS!$C$17:$C$23,MATCH($B370,PARAMETROS!$A$17:$A$23,0))</f>
        <v>4.50833646283428</v>
      </c>
      <c r="X370" s="14" t="n">
        <f aca="false">IF($V370="CO2",$W370,0)</f>
        <v>0</v>
      </c>
      <c r="Y370" s="14" t="n">
        <f aca="false">0</f>
        <v>0</v>
      </c>
      <c r="Z370" s="14" t="n">
        <f aca="false">IF($V370="CH4",$W370,0)</f>
        <v>4.50833646283428</v>
      </c>
      <c r="AA370" s="14" t="n">
        <f aca="false">IF($V370="N2O",$W370,0)</f>
        <v>0</v>
      </c>
      <c r="AB370" s="14" t="n">
        <f aca="false">$X370+$Z370*PARAMETROS!$B$9+$AA370*PARAMETROS!$B$10</f>
        <v>126.23342095936</v>
      </c>
      <c r="AC370" s="4" t="s">
        <v>3894</v>
      </c>
      <c r="AD370" s="4"/>
      <c r="AE370" s="4" t="s">
        <v>6083</v>
      </c>
      <c r="AF370" s="4" t="s">
        <v>4242</v>
      </c>
      <c r="AG370" s="4" t="s">
        <v>3999</v>
      </c>
      <c r="AH370" s="4"/>
    </row>
    <row r="371" customFormat="false" ht="15" hidden="false" customHeight="false" outlineLevel="0" collapsed="false">
      <c r="A371" s="4" t="s">
        <v>6165</v>
      </c>
      <c r="B371" s="12" t="n">
        <v>2024</v>
      </c>
      <c r="C371" s="4" t="s">
        <v>65</v>
      </c>
      <c r="D371" s="4" t="s">
        <v>5734</v>
      </c>
      <c r="E371" s="4" t="s">
        <v>5755</v>
      </c>
      <c r="F371" s="4" t="s">
        <v>5756</v>
      </c>
      <c r="G371" s="4"/>
      <c r="H371" s="4" t="s">
        <v>6081</v>
      </c>
      <c r="I371" s="4" t="s">
        <v>65</v>
      </c>
      <c r="J371" s="4"/>
      <c r="K371" s="4"/>
      <c r="L371" s="4" t="s">
        <v>6166</v>
      </c>
      <c r="M371" s="14"/>
      <c r="N371" s="14"/>
      <c r="O371" s="4" t="s">
        <v>4011</v>
      </c>
      <c r="P371" s="4" t="s">
        <v>4019</v>
      </c>
      <c r="Q371" s="11" t="n">
        <f aca="false">MIN($B371,2022)</f>
        <v>2022</v>
      </c>
      <c r="R371" s="4" t="s">
        <v>3894</v>
      </c>
      <c r="S371" s="14"/>
      <c r="T371" s="14"/>
      <c r="U371" s="14"/>
      <c r="V371" s="4" t="s">
        <v>4048</v>
      </c>
      <c r="W371" s="14" t="n">
        <f aca="false">SUMIFS($W$2:$W$375,$B$2:$B$375,2022,$E$2:$E$375,$E371,$V$2:$V$375,$V371)*INDEX(PARAMETROS!$C$17:$C$23,MATCH($B371,PARAMETROS!$A$17:$A$23,0))</f>
        <v>0.116882797184593</v>
      </c>
      <c r="X371" s="14" t="n">
        <f aca="false">IF($V371="CO2",$W371,0)</f>
        <v>0</v>
      </c>
      <c r="Y371" s="14" t="n">
        <f aca="false">0</f>
        <v>0</v>
      </c>
      <c r="Z371" s="14" t="n">
        <f aca="false">IF($V371="CH4",$W371,0)</f>
        <v>0</v>
      </c>
      <c r="AA371" s="14" t="n">
        <f aca="false">IF($V371="N2O",$W371,0)</f>
        <v>0.116882797184593</v>
      </c>
      <c r="AB371" s="14" t="n">
        <f aca="false">$X371+$Z371*PARAMETROS!$B$9+$AA371*PARAMETROS!$B$10</f>
        <v>30.9739412539172</v>
      </c>
      <c r="AC371" s="4" t="s">
        <v>3894</v>
      </c>
      <c r="AD371" s="4"/>
      <c r="AE371" s="4" t="s">
        <v>6083</v>
      </c>
      <c r="AF371" s="4" t="s">
        <v>4242</v>
      </c>
      <c r="AG371" s="4" t="s">
        <v>3999</v>
      </c>
      <c r="AH371" s="4"/>
    </row>
    <row r="372" customFormat="false" ht="15" hidden="false" customHeight="false" outlineLevel="0" collapsed="false">
      <c r="A372" s="4" t="s">
        <v>6167</v>
      </c>
      <c r="B372" s="12" t="n">
        <v>2024</v>
      </c>
      <c r="C372" s="4" t="s">
        <v>65</v>
      </c>
      <c r="D372" s="4" t="s">
        <v>5734</v>
      </c>
      <c r="E372" s="4" t="s">
        <v>5762</v>
      </c>
      <c r="F372" s="4" t="s">
        <v>5763</v>
      </c>
      <c r="G372" s="4"/>
      <c r="H372" s="4" t="s">
        <v>5686</v>
      </c>
      <c r="I372" s="4" t="s">
        <v>65</v>
      </c>
      <c r="J372" s="4"/>
      <c r="K372" s="4"/>
      <c r="L372" s="4" t="s">
        <v>6168</v>
      </c>
      <c r="M372" s="14"/>
      <c r="N372" s="14"/>
      <c r="O372" s="4" t="s">
        <v>3349</v>
      </c>
      <c r="P372" s="4" t="s">
        <v>4019</v>
      </c>
      <c r="Q372" s="11" t="n">
        <f aca="false">MIN($B372,2022)</f>
        <v>2022</v>
      </c>
      <c r="R372" s="4" t="s">
        <v>3349</v>
      </c>
      <c r="S372" s="14"/>
      <c r="T372" s="14"/>
      <c r="U372" s="14"/>
      <c r="V372" s="4" t="s">
        <v>3349</v>
      </c>
      <c r="W372" s="14"/>
      <c r="X372" s="14"/>
      <c r="Y372" s="14"/>
      <c r="Z372" s="14"/>
      <c r="AA372" s="14"/>
      <c r="AB372" s="14"/>
      <c r="AC372" s="4" t="s">
        <v>3349</v>
      </c>
      <c r="AD372" s="4" t="s">
        <v>3349</v>
      </c>
      <c r="AE372" s="4" t="s">
        <v>5686</v>
      </c>
      <c r="AF372" s="4" t="s">
        <v>4242</v>
      </c>
      <c r="AG372" s="4"/>
      <c r="AH372" s="4"/>
    </row>
    <row r="373" customFormat="false" ht="15" hidden="false" customHeight="false" outlineLevel="0" collapsed="false">
      <c r="A373" s="4" t="s">
        <v>6169</v>
      </c>
      <c r="B373" s="12" t="n">
        <v>2024</v>
      </c>
      <c r="C373" s="4" t="s">
        <v>65</v>
      </c>
      <c r="D373" s="4" t="s">
        <v>5734</v>
      </c>
      <c r="E373" s="4" t="s">
        <v>5766</v>
      </c>
      <c r="F373" s="4" t="s">
        <v>5767</v>
      </c>
      <c r="G373" s="4"/>
      <c r="H373" s="4" t="s">
        <v>6081</v>
      </c>
      <c r="I373" s="4" t="s">
        <v>65</v>
      </c>
      <c r="J373" s="4"/>
      <c r="K373" s="4"/>
      <c r="L373" s="4" t="s">
        <v>6170</v>
      </c>
      <c r="M373" s="14"/>
      <c r="N373" s="14"/>
      <c r="O373" s="4" t="s">
        <v>4011</v>
      </c>
      <c r="P373" s="4" t="s">
        <v>3352</v>
      </c>
      <c r="Q373" s="11" t="n">
        <f aca="false">MIN($B373,2022)</f>
        <v>2022</v>
      </c>
      <c r="R373" s="4" t="s">
        <v>3894</v>
      </c>
      <c r="S373" s="14"/>
      <c r="T373" s="14"/>
      <c r="U373" s="14"/>
      <c r="V373" s="4" t="s">
        <v>4012</v>
      </c>
      <c r="W373" s="14" t="n">
        <f aca="false">SUMIFS($W$2:$W$375,$B$2:$B$375,2022,$E$2:$E$375,$E373,$V$2:$V$375,$V373)*INDEX(PARAMETROS!$C$17:$C$23,MATCH($B373,PARAMETROS!$A$17:$A$23,0))</f>
        <v>32.8627608101359</v>
      </c>
      <c r="X373" s="14" t="n">
        <f aca="false">IF($V373="CO2",$W373,0)</f>
        <v>32.8627608101359</v>
      </c>
      <c r="Y373" s="14" t="n">
        <f aca="false">0</f>
        <v>0</v>
      </c>
      <c r="Z373" s="14" t="n">
        <f aca="false">IF($V373="CH4",$W373,0)</f>
        <v>0</v>
      </c>
      <c r="AA373" s="14" t="n">
        <f aca="false">IF($V373="N2O",$W373,0)</f>
        <v>0</v>
      </c>
      <c r="AB373" s="14" t="n">
        <f aca="false">$X373+$Z373*PARAMETROS!$B$9+$AA373*PARAMETROS!$B$10</f>
        <v>32.8627608101359</v>
      </c>
      <c r="AC373" s="4" t="s">
        <v>3894</v>
      </c>
      <c r="AD373" s="4"/>
      <c r="AE373" s="4" t="s">
        <v>6083</v>
      </c>
      <c r="AF373" s="4" t="s">
        <v>4242</v>
      </c>
      <c r="AG373" s="4" t="s">
        <v>3999</v>
      </c>
      <c r="AH373" s="4"/>
    </row>
    <row r="374" customFormat="false" ht="15" hidden="false" customHeight="false" outlineLevel="0" collapsed="false">
      <c r="A374" s="4" t="s">
        <v>6171</v>
      </c>
      <c r="B374" s="12" t="n">
        <v>2024</v>
      </c>
      <c r="C374" s="4" t="s">
        <v>65</v>
      </c>
      <c r="D374" s="4" t="s">
        <v>5734</v>
      </c>
      <c r="E374" s="4" t="s">
        <v>5770</v>
      </c>
      <c r="F374" s="4" t="s">
        <v>5771</v>
      </c>
      <c r="G374" s="4"/>
      <c r="H374" s="4" t="s">
        <v>5686</v>
      </c>
      <c r="I374" s="4" t="s">
        <v>65</v>
      </c>
      <c r="J374" s="4"/>
      <c r="K374" s="4"/>
      <c r="L374" s="4" t="s">
        <v>6172</v>
      </c>
      <c r="M374" s="14"/>
      <c r="N374" s="14"/>
      <c r="O374" s="4" t="s">
        <v>3349</v>
      </c>
      <c r="P374" s="4" t="s">
        <v>4019</v>
      </c>
      <c r="Q374" s="11" t="n">
        <f aca="false">MIN($B374,2022)</f>
        <v>2022</v>
      </c>
      <c r="R374" s="4" t="s">
        <v>3349</v>
      </c>
      <c r="S374" s="14"/>
      <c r="T374" s="14"/>
      <c r="U374" s="14"/>
      <c r="V374" s="4" t="s">
        <v>3349</v>
      </c>
      <c r="W374" s="14"/>
      <c r="X374" s="14"/>
      <c r="Y374" s="14"/>
      <c r="Z374" s="14"/>
      <c r="AA374" s="14"/>
      <c r="AB374" s="14"/>
      <c r="AC374" s="4" t="s">
        <v>3349</v>
      </c>
      <c r="AD374" s="4" t="s">
        <v>3349</v>
      </c>
      <c r="AE374" s="4" t="s">
        <v>5686</v>
      </c>
      <c r="AF374" s="4" t="s">
        <v>4242</v>
      </c>
      <c r="AG374" s="4"/>
      <c r="AH374" s="4"/>
    </row>
    <row r="375" customFormat="false" ht="15" hidden="false" customHeight="false" outlineLevel="0" collapsed="false">
      <c r="A375" s="4" t="s">
        <v>6173</v>
      </c>
      <c r="B375" s="12" t="n">
        <v>2024</v>
      </c>
      <c r="C375" s="4" t="s">
        <v>65</v>
      </c>
      <c r="D375" s="4" t="s">
        <v>5734</v>
      </c>
      <c r="E375" s="4" t="s">
        <v>5774</v>
      </c>
      <c r="F375" s="4" t="s">
        <v>5775</v>
      </c>
      <c r="G375" s="4"/>
      <c r="H375" s="4" t="s">
        <v>5686</v>
      </c>
      <c r="I375" s="4" t="s">
        <v>65</v>
      </c>
      <c r="J375" s="4"/>
      <c r="K375" s="4"/>
      <c r="L375" s="4" t="s">
        <v>6174</v>
      </c>
      <c r="M375" s="14"/>
      <c r="N375" s="14"/>
      <c r="O375" s="4" t="s">
        <v>3349</v>
      </c>
      <c r="P375" s="4" t="s">
        <v>4019</v>
      </c>
      <c r="Q375" s="11" t="n">
        <f aca="false">MIN($B375,2022)</f>
        <v>2022</v>
      </c>
      <c r="R375" s="4" t="s">
        <v>3349</v>
      </c>
      <c r="S375" s="14"/>
      <c r="T375" s="14"/>
      <c r="U375" s="14"/>
      <c r="V375" s="4" t="s">
        <v>3349</v>
      </c>
      <c r="W375" s="14"/>
      <c r="X375" s="14"/>
      <c r="Y375" s="14"/>
      <c r="Z375" s="14"/>
      <c r="AA375" s="14"/>
      <c r="AB375" s="14"/>
      <c r="AC375" s="4" t="s">
        <v>3349</v>
      </c>
      <c r="AD375" s="4" t="s">
        <v>3349</v>
      </c>
      <c r="AE375" s="4" t="s">
        <v>5686</v>
      </c>
      <c r="AF375" s="4" t="s">
        <v>4242</v>
      </c>
      <c r="AG375" s="4"/>
      <c r="AH375" s="4"/>
    </row>
  </sheetData>
  <autoFilter ref="A1:AH375"/>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4.71"/>
    <col collapsed="false" customWidth="true" hidden="false" outlineLevel="0" max="3" min="2" style="1" width="20.71"/>
    <col collapsed="false" customWidth="true" hidden="false" outlineLevel="0" max="4" min="4" style="1" width="15.71"/>
  </cols>
  <sheetData>
    <row r="1" customFormat="false" ht="19.7" hidden="false" customHeight="false" outlineLevel="0" collapsed="false">
      <c r="A1" s="2" t="s">
        <v>6175</v>
      </c>
      <c r="B1" s="2"/>
      <c r="C1" s="2"/>
      <c r="D1" s="2"/>
    </row>
    <row r="3" customFormat="false" ht="15" hidden="false" customHeight="false" outlineLevel="0" collapsed="false">
      <c r="A3" s="3" t="s">
        <v>53</v>
      </c>
      <c r="B3" s="11" t="n">
        <f aca="false">PSUT!$B$3</f>
        <v>2024</v>
      </c>
    </row>
    <row r="5" customFormat="false" ht="15" hidden="false" customHeight="false" outlineLevel="0" collapsed="false">
      <c r="A5" s="5" t="s">
        <v>6176</v>
      </c>
      <c r="B5" s="5" t="s">
        <v>34</v>
      </c>
      <c r="C5" s="5" t="s">
        <v>32</v>
      </c>
      <c r="D5" s="5" t="s">
        <v>56</v>
      </c>
    </row>
    <row r="6" customFormat="false" ht="15" hidden="false" customHeight="false" outlineLevel="0" collapsed="false">
      <c r="A6" s="4" t="s">
        <v>6177</v>
      </c>
      <c r="B6" s="11" t="n">
        <f aca="false">COUNTA(PSUT_LARGA!$A$2:$A$618)</f>
        <v>617</v>
      </c>
      <c r="C6" s="12" t="n">
        <v>617</v>
      </c>
      <c r="D6" s="15" t="str">
        <f aca="false">IF(B6=C6,"OK","REVISAR")</f>
        <v>OK</v>
      </c>
    </row>
    <row r="7" customFormat="false" ht="15" hidden="false" customHeight="false" outlineLevel="0" collapsed="false">
      <c r="A7" s="4" t="s">
        <v>6178</v>
      </c>
      <c r="B7" s="11" t="n">
        <f aca="false">COUNTIF(PSUT_LARGA!$B$2:$B$618,2024)</f>
        <v>86</v>
      </c>
      <c r="C7" s="12" t="n">
        <v>86</v>
      </c>
      <c r="D7" s="15" t="str">
        <f aca="false">IF(B7=C7,"OK","REVISAR")</f>
        <v>OK</v>
      </c>
    </row>
    <row r="8" customFormat="false" ht="15" hidden="false" customHeight="false" outlineLevel="0" collapsed="false">
      <c r="A8" s="4" t="s">
        <v>6179</v>
      </c>
      <c r="B8" s="11" t="n">
        <f aca="false">COUNTIFS(PSUT_LARGA!$B$2:$B$618,2024,PSUT_LARGA!$G$2:$G$618,"STAT")</f>
        <v>2</v>
      </c>
      <c r="C8" s="12" t="n">
        <v>2</v>
      </c>
      <c r="D8" s="15" t="str">
        <f aca="false">IF(B8=C8,"OK","REVISAR")</f>
        <v>OK</v>
      </c>
    </row>
    <row r="9" customFormat="false" ht="15" hidden="false" customHeight="false" outlineLevel="0" collapsed="false">
      <c r="A9" s="4" t="s">
        <v>6180</v>
      </c>
      <c r="B9" s="11" t="n">
        <f aca="false">COUNTIFS(PSUT_LARGA!$G$2:$G$618,"NO_ASIG",PSUT_LARGA!$I$2:$I$618,"USO_NO_ENERGETICO_APARENTE")</f>
        <v>7</v>
      </c>
      <c r="C9" s="12" t="n">
        <v>7</v>
      </c>
      <c r="D9" s="15" t="str">
        <f aca="false">IF(B9=C9,"OK","REVISAR")</f>
        <v>OK</v>
      </c>
    </row>
    <row r="10" customFormat="false" ht="15" hidden="false" customHeight="false" outlineLevel="0" collapsed="false">
      <c r="A10" s="4" t="s">
        <v>6181</v>
      </c>
      <c r="B10" s="16" t="n">
        <f aca="false">SUMIFS(PSUT_LARGA!$K$2:$K$618,PSUT_LARGA!$B$2:$B$618,2024,PSUT_LARGA!$C$2:$C$618,"NOEN",PSUT_LARGA!$G$2:$G$618,"NO_ASIG",PSUT_LARGA!$I$2:$I$618,"USO_NO_ENERGETICO_APARENTE")</f>
        <v>1217.0207</v>
      </c>
      <c r="C10" s="17" t="n">
        <v>1217.0207</v>
      </c>
      <c r="D10" s="15" t="str">
        <f aca="false">IF(ABS(B10-C10)&lt;=PARAMETROS!$B$11,"OK","REVISAR")</f>
        <v>OK</v>
      </c>
    </row>
    <row r="11" customFormat="false" ht="15" hidden="false" customHeight="false" outlineLevel="0" collapsed="false">
      <c r="A11" s="4" t="s">
        <v>6182</v>
      </c>
      <c r="B11" s="11" t="n">
        <f aca="false">COUNTIFS(PSUT_LARGA!$C$2:$C$618,"NOEN",PSUT_LARGA!$G$2:$G$618,"STAT")</f>
        <v>0</v>
      </c>
      <c r="C11" s="12" t="n">
        <v>0</v>
      </c>
      <c r="D11" s="15" t="str">
        <f aca="false">IF(B11=C11,"OK","REVISAR")</f>
        <v>OK</v>
      </c>
    </row>
    <row r="12" customFormat="false" ht="15" hidden="false" customHeight="false" outlineLevel="0" collapsed="false">
      <c r="A12" s="4" t="s">
        <v>6183</v>
      </c>
      <c r="B12" s="16" t="n">
        <f aca="false">SUMIFS(PSUT_LARGA!$K$2:$K$618,PSUT_LARGA!$B$2:$B$618,2019,PSUT_LARGA!$C$2:$C$618,"GAS",PSUT_LARGA!$G$2:$G$618,"NO_ASIG",PSUT_LARGA!$I$2:$I$618,"USO_ENERGETICO_INTERNO_APARENTE")</f>
        <v>10976.3682</v>
      </c>
      <c r="C12" s="17" t="n">
        <v>10976.3682</v>
      </c>
      <c r="D12" s="15" t="str">
        <f aca="false">IF(ABS(B12-C12)&lt;=PARAMETROS!$B$11,"OK","REVISAR")</f>
        <v>OK</v>
      </c>
    </row>
    <row r="13" customFormat="false" ht="15" hidden="false" customHeight="false" outlineLevel="0" collapsed="false">
      <c r="A13" s="4" t="s">
        <v>6184</v>
      </c>
      <c r="B13" s="11" t="n">
        <f aca="false">COUNTIF(PSUT_LARGA!$L$2:$L$618,"residuo_estadistico")</f>
        <v>0</v>
      </c>
      <c r="C13" s="12" t="n">
        <v>0</v>
      </c>
      <c r="D13" s="15" t="str">
        <f aca="false">IF(B13=C13,"OK","REVISAR")</f>
        <v>OK</v>
      </c>
    </row>
    <row r="14" customFormat="false" ht="15" hidden="false" customHeight="false" outlineLevel="0" collapsed="false">
      <c r="A14" s="4" t="s">
        <v>6185</v>
      </c>
      <c r="B14" s="11" t="n">
        <f aca="false">COUNTA(EMISIONES_LARGA!$A$2:$A$375)</f>
        <v>374</v>
      </c>
      <c r="C14" s="12" t="n">
        <v>374</v>
      </c>
      <c r="D14" s="15" t="str">
        <f aca="false">IF(B14=C14,"OK","REVISAR")</f>
        <v>OK</v>
      </c>
    </row>
    <row r="15" customFormat="false" ht="15" hidden="false" customHeight="false" outlineLevel="0" collapsed="false">
      <c r="A15" s="4" t="s">
        <v>6186</v>
      </c>
      <c r="B15" s="11" t="n">
        <f aca="false">COUNTIFS(EMISIONES_LARGA!$B$2:$B$375,2019,EMISIONES_LARGA!$C$2:$C$375,"NO_ASIG",EMISIONES_LARGA!$G$2:$G$375,"GAS",EMISIONES_LARGA!$D$2:$D$375,"COMBUSTION")</f>
        <v>1</v>
      </c>
      <c r="C15" s="12" t="n">
        <v>1</v>
      </c>
      <c r="D15" s="15" t="str">
        <f aca="false">IF(B15=C15,"OK","REVISAR")</f>
        <v>OK</v>
      </c>
    </row>
    <row r="16" customFormat="false" ht="15" hidden="false" customHeight="false" outlineLevel="0" collapsed="false">
      <c r="A16" s="4" t="s">
        <v>6187</v>
      </c>
      <c r="B16" s="11" t="n">
        <f aca="false">ROUND(SUMPRODUCT(1/COUNTIF(EMISIONES_LARGA!$B$2:$B$375,EMISIONES_LARGA!$B$2:$B$375)),0)</f>
        <v>7</v>
      </c>
      <c r="C16" s="12" t="n">
        <v>7</v>
      </c>
      <c r="D16" s="15" t="str">
        <f aca="false">IF(B16=C16,"OK","REVISAR")</f>
        <v>OK</v>
      </c>
    </row>
    <row r="17" customFormat="false" ht="15" hidden="false" customHeight="false" outlineLevel="0" collapsed="false">
      <c r="A17" s="4" t="s">
        <v>6188</v>
      </c>
      <c r="B17" s="18" t="n">
        <f aca="false">ABS(EMISIONES!$J$13-(EMISIONES!$J$9+EMISIONES!$J$11*PARAMETROS!$B$9+EMISIONES!$J$12*PARAMETROS!$B$10))</f>
        <v>0</v>
      </c>
      <c r="C17" s="19" t="n">
        <v>1E-009</v>
      </c>
      <c r="D17" s="15" t="str">
        <f aca="false">IF(B17&lt;=C17,"OK","REVISAR")</f>
        <v>OK</v>
      </c>
    </row>
  </sheetData>
  <mergeCells count="1">
    <mergeCell ref="A1:D1"/>
  </mergeCells>
  <conditionalFormatting sqref="D6:D17">
    <cfRule type="containsText" priority="2" operator="containsText" aboveAverage="0" equalAverage="0" bottom="0" percent="0" rank="0" text="REVISAR" dxfId="5">
      <formula>NOT(ISERROR(SEARCH("REVISAR",D6)))</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LibreOfficeDev/26.8.0.0.alpha0$Linux_X86_64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2026-08-10T22:32:17Z</dcterms:created>
  <dc:creator>Juan Alejandro Osorio; Patricia Villatoro; Noe Salguero; José Carlos Soberanis</dc:creator>
  <dc:description>Libro de cálculo reproducible con fórmulas visibles.</dc:description>
  <dc:language>en-US</dc:language>
  <cp:lastModifiedBy>Juan Alejandro Osorio; Patricia Villatoro; Noe Salguero; José Carlos Soberanis</cp:lastModifiedBy>
  <dcterms:modified xsi:type="dcterms:W3CDTF">2026-08-10T22:32:17Z</dcterms:modified>
  <cp:revision>0</cp:revision>
  <dc:subject/>
  <dc:title>Cuenta experimental de energía y emisiones al aire de Guatemala, 2018–2024</dc:title>
</cp:coreProperties>
</file>

<file path=docProps/custom.xml><?xml version="1.0" encoding="utf-8"?>
<Properties xmlns="http://schemas.openxmlformats.org/officeDocument/2006/custom-properties" xmlns:vt="http://schemas.openxmlformats.org/officeDocument/2006/docPropsVTypes"/>
</file>